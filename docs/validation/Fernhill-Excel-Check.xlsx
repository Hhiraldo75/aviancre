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turns" sheetId="2" state="visible" r:id="rId4"/>
    <sheet name="Annual" sheetId="3" state="visible" r:id="rId5"/>
    <sheet name="Units" sheetId="4" state="visible" r:id="rId6"/>
    <sheet name="Mkt" sheetId="5" state="visible" r:id="rId7"/>
    <sheet name="Rent" sheetId="6" state="visible" r:id="rId8"/>
    <sheet name="Turnover" sheetId="7" state="visible" r:id="rId9"/>
    <sheet name="Monthl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<sst xmlns="http://schemas.openxmlformats.org/spreadsheetml/2006/main" count="422" uniqueCount="144">
  <si>
    <t xml:space="preserve">Fernhill Commons: independent Excel check of the AVIANCRE multifamily engine</t>
  </si>
  <si>
    <t xml:space="preserve">Built only from inputs.md, rules.md and rent-roll.csv (fictional sample data). Blue = input from inputs.md; black = formula.</t>
  </si>
  <si>
    <t xml:space="preserve">Input</t>
  </si>
  <si>
    <t xml:space="preserve">Value</t>
  </si>
  <si>
    <t xml:space="preserve">Source</t>
  </si>
  <si>
    <t xml:space="preserve">Analysis start date</t>
  </si>
  <si>
    <t xml:space="preserve">inputs.md: analysis start</t>
  </si>
  <si>
    <t xml:space="preserve">Units</t>
  </si>
  <si>
    <t xml:space="preserve">inputs.md: property</t>
  </si>
  <si>
    <t xml:space="preserve">Market rent growth (annual step each Nov)</t>
  </si>
  <si>
    <t xml:space="preserve">inputs.md: revenue</t>
  </si>
  <si>
    <t xml:space="preserve">General vacancy (floor)</t>
  </si>
  <si>
    <t xml:space="preserve">Credit loss</t>
  </si>
  <si>
    <t xml:space="preserve">Operating expenses $/unit/yr (year 1)</t>
  </si>
  <si>
    <t xml:space="preserve">inputs.md: operating expenses</t>
  </si>
  <si>
    <t xml:space="preserve">Expense growth</t>
  </si>
  <si>
    <t xml:space="preserve">Management fee (% of EGI)</t>
  </si>
  <si>
    <t xml:space="preserve">Capital reserves $/unit/yr (flat)</t>
  </si>
  <si>
    <t xml:space="preserve">inputs.md: capital</t>
  </si>
  <si>
    <t xml:space="preserve">Initial capex</t>
  </si>
  <si>
    <t xml:space="preserve">Turnover share per roll</t>
  </si>
  <si>
    <t xml:space="preserve">Turnover cost per move-out (year 1)</t>
  </si>
  <si>
    <t xml:space="preserve">Lease-up pace (units/month)</t>
  </si>
  <si>
    <t xml:space="preserve">Max renewal increase</t>
  </si>
  <si>
    <t xml:space="preserve">Market cap rate (price = Y1 NOI / cap)</t>
  </si>
  <si>
    <t xml:space="preserve">inputs.md: acquisition</t>
  </si>
  <si>
    <t xml:space="preserve">Closing costs (% of price)</t>
  </si>
  <si>
    <t xml:space="preserve">Hold (years)</t>
  </si>
  <si>
    <t xml:space="preserve">LTV (on price)</t>
  </si>
  <si>
    <t xml:space="preserve">inputs.md: debt</t>
  </si>
  <si>
    <t xml:space="preserve">Interest rate (fixed, annual)</t>
  </si>
  <si>
    <t xml:space="preserve">Interest-only period (years)</t>
  </si>
  <si>
    <t xml:space="preserve">Amortization (years)</t>
  </si>
  <si>
    <t xml:space="preserve">Loan fee (% of loan)</t>
  </si>
  <si>
    <t xml:space="preserve">Exit cap rate</t>
  </si>
  <si>
    <t xml:space="preserve">inputs.md: exit</t>
  </si>
  <si>
    <t xml:space="preserve">Selling costs (% of gross sale)</t>
  </si>
  <si>
    <t xml:space="preserve">Discount rate (unlevered NPV)</t>
  </si>
  <si>
    <t xml:space="preserve">inputs.md: returns</t>
  </si>
  <si>
    <t xml:space="preserve">Acquisition, debt, sale and returns</t>
  </si>
  <si>
    <t xml:space="preserve">Year-1 NOI</t>
  </si>
  <si>
    <t xml:space="preserve">Purchase price (Y1 NOI / market cap)</t>
  </si>
  <si>
    <t xml:space="preserve">Closing costs</t>
  </si>
  <si>
    <t xml:space="preserve">Total cost</t>
  </si>
  <si>
    <t xml:space="preserve">Loan (LTV x price)</t>
  </si>
  <si>
    <t xml:space="preserve">Loan fee</t>
  </si>
  <si>
    <t xml:space="preserve">Equity</t>
  </si>
  <si>
    <t xml:space="preserve">Amortizing payment (months 25+)</t>
  </si>
  <si>
    <t xml:space="preserve">Loan payoff (balance after month 120)</t>
  </si>
  <si>
    <t xml:space="preserve">Exit NOI (normalized year 11)</t>
  </si>
  <si>
    <t xml:space="preserve">Gross sale price</t>
  </si>
  <si>
    <t xml:space="preserve">Net sale proceeds</t>
  </si>
  <si>
    <t xml:space="preserve">Going-in cap</t>
  </si>
  <si>
    <t xml:space="preserve">Debt yield</t>
  </si>
  <si>
    <t xml:space="preserve">Year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</si>
  <si>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</si>
  <si>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</si>
  <si>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</si>
  <si>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</si>
  <si>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</si>
  <si>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</si>
  <si>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</si>
  <si>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</si>
  <si>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</si>
  <si>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</si>
  <si>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</si>
  <si>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Unlevered cash flow</t>
  </si>
  <si>
    <t xml:space="preserve">Levered cash flow</t>
  </si>
  <si>
    <t xml:space="preserve">Unlevered IRR</t>
  </si>
  <si>
    <t xml:space="preserve">Levered IRR</t>
  </si>
  <si>
    <t xml:space="preserve">Unlevered NPV @ discount rate</t>
  </si>
  <si>
    <t xml:space="preserve">Unlevered equity multiple</t>
  </si>
  <si>
    <t xml:space="preserve">Levered equity multiple</t>
  </si>
  <si>
    <t xml:space="preserve">Minimum DSCR (years 1-10)</t>
  </si>
  <si>
    <t xml:space="preserve">Year-1 cash-on-cash</t>
  </si>
  <si>
    <t xml:space="preserve">Annual cash flow ($)</t>
  </si>
  <si>
    <t xml:space="preserve">Analysis year</t>
  </si>
  <si>
    <t xml:space="preserve">11</t>
  </si>
  <si>
    <t xml:space="preserve">Gross potential rent</t>
  </si>
  <si>
    <t xml:space="preserve">Less: loss to lease</t>
  </si>
  <si>
    <t xml:space="preserve">Other income</t>
  </si>
  <si>
    <t xml:space="preserve">Potential gross income</t>
  </si>
  <si>
    <t xml:space="preserve">Less: absorption vacancy</t>
  </si>
  <si>
    <t xml:space="preserve">Less: general vacancy (floor)</t>
  </si>
  <si>
    <t xml:space="preserve">Income before credit loss</t>
  </si>
  <si>
    <t xml:space="preserve">Less: credit loss</t>
  </si>
  <si>
    <t xml:space="preserve">Effective gross income</t>
  </si>
  <si>
    <t xml:space="preserve">Operating expenses</t>
  </si>
  <si>
    <t xml:space="preserve">Management fee</t>
  </si>
  <si>
    <t xml:space="preserve">Total operating expenses</t>
  </si>
  <si>
    <t xml:space="preserve">Net operating income</t>
  </si>
  <si>
    <t xml:space="preserve">Turnover cost</t>
  </si>
  <si>
    <t xml:space="preserve">Capital reserves</t>
  </si>
  <si>
    <t xml:space="preserve">Cash flow before debt</t>
  </si>
  <si>
    <t xml:space="preserve">Debt service</t>
  </si>
  <si>
    <t xml:space="preserve">Cash flow after debt</t>
  </si>
  <si>
    <t xml:space="preserve">Occupied unit-months</t>
  </si>
  <si>
    <t xml:space="preserve">Physical occupancy</t>
  </si>
  <si>
    <t xml:space="preserve">DSCR</t>
  </si>
  <si>
    <t xml:space="preserve">Cash-on-cash</t>
  </si>
  <si>
    <t xml:space="preserve">Year 11 normalized for exit (absorption vacancy removed, full 5% general vacancy)</t>
  </si>
  <si>
    <t xml:space="preserve">General vacancy (full)</t>
  </si>
  <si>
    <t xml:space="preserve">Normalized year-11 NOI</t>
  </si>
  <si>
    <t xml:space="preserve">Note: rows 20, 21, 25, 26 are blank in year 11 (sale after month 120).</t>
  </si>
  <si>
    <t xml:space="preserve">Unit</t>
  </si>
  <si>
    <t xml:space="preserve">Floor plan</t>
  </si>
  <si>
    <t xml:space="preserve">SF</t>
  </si>
  <si>
    <t xml:space="preserve">Status</t>
  </si>
  <si>
    <t xml:space="preserve">Market rent $/mo</t>
  </si>
  <si>
    <t xml:space="preserve">In-place rent $/mo</t>
  </si>
  <si>
    <t xml:space="preserve">Other income $/mo</t>
  </si>
  <si>
    <t xml:space="preserve">Lease end</t>
  </si>
  <si>
    <t xml:space="preserve">Pre-leased</t>
  </si>
  <si>
    <t xml:space="preserve">Future lease rent</t>
  </si>
  <si>
    <t xml:space="preserve">Occupied (1/0)</t>
  </si>
  <si>
    <t xml:space="preserve">On notice w/ signed resident</t>
  </si>
  <si>
    <t xml:space="preserve">First roll month (occupied)</t>
  </si>
  <si>
    <t xml:space="preserve">Lease-up queue position</t>
  </si>
  <si>
    <t xml:space="preserve">Lease-up start month</t>
  </si>
  <si>
    <t xml:space="preserve">Leased from month</t>
  </si>
  <si>
    <t xml:space="preserve">First regular roll month</t>
  </si>
  <si>
    <t xml:space="preserve">Rent at lease-up start</t>
  </si>
  <si>
    <t xml:space="preserve">735 SF</t>
  </si>
  <si>
    <t xml:space="preserve">Occupied</t>
  </si>
  <si>
    <t xml:space="preserve">Vacant</t>
  </si>
  <si>
    <t xml:space="preserve">560 SF</t>
  </si>
  <si>
    <t xml:space="preserve">Yes</t>
  </si>
  <si>
    <t xml:space="preserve">960 SF</t>
  </si>
  <si>
    <t xml:space="preserve">1180 SF</t>
  </si>
  <si>
    <t xml:space="preserve">Totals</t>
  </si>
  <si>
    <t xml:space="preserve">Month</t>
  </si>
  <si>
    <t xml:space="preserve">Opening rent</t>
  </si>
  <si>
    <t xml:space="preserve">Turnover cost $</t>
  </si>
  <si>
    <t xml:space="preserve">GPR</t>
  </si>
  <si>
    <t xml:space="preserve">Market rent on leased units</t>
  </si>
  <si>
    <t xml:space="preserve">Current rent (leased)</t>
  </si>
  <si>
    <t xml:space="preserve">Loss to lease</t>
  </si>
  <si>
    <t xml:space="preserve">Absorption vacancy</t>
  </si>
  <si>
    <t xml:space="preserve">Occupied units</t>
  </si>
  <si>
    <t xml:space="preserve">Loan: opening balance</t>
  </si>
  <si>
    <t xml:space="preserve">Payment</t>
  </si>
  <si>
    <t xml:space="preserve">Interest</t>
  </si>
  <si>
    <t xml:space="preserve">Principal</t>
  </si>
  <si>
    <t xml:space="preserve">Closing balance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</si>
</sst>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0"/>
    <numFmt numFmtId="167" formatCode="0.00%;\(0.00%\);\-"/>
    <numFmt numFmtId="168" formatCode="\$#,##0;&quot;($&quot;#,##0\);\-"/>
    <numFmt numFmtId="169" formatCode="\$#,##0.00;&quot;($&quot;#,##0.00\);\-"/>
    <numFmt numFmtId="170" formatCode="0.00\x"/>
    <numFmt numFmtId="171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2" t="s">
        <v>5</v>
      </c>
      <c r="B5" s="4" t="n">
        <v>46327</v>
      </c>
      <c r="C5" s="5" t="s">
        <v>6</v>
      </c>
    </row>
    <row r="6" customFormat="false" ht="15" hidden="false" customHeight="false" outlineLevel="0" collapsed="false">
      <c r="A6" s="2" t="s">
        <v>7</v>
      </c>
      <c r="B6" s="6" t="n">
        <v>120</v>
      </c>
      <c r="C6" s="5" t="s">
        <v>8</v>
      </c>
    </row>
    <row r="7" customFormat="false" ht="15" hidden="false" customHeight="false" outlineLevel="0" collapsed="false">
      <c r="A7" s="2" t="s">
        <v>9</v>
      </c>
      <c r="B7" s="7" t="n">
        <v>0.03</v>
      </c>
      <c r="C7" s="5" t="s">
        <v>10</v>
      </c>
    </row>
    <row r="8" customFormat="false" ht="15" hidden="false" customHeight="false" outlineLevel="0" collapsed="false">
      <c r="A8" s="2" t="s">
        <v>11</v>
      </c>
      <c r="B8" s="7" t="n">
        <v>0.05</v>
      </c>
      <c r="C8" s="5" t="s">
        <v>10</v>
      </c>
    </row>
    <row r="9" customFormat="false" ht="15" hidden="false" customHeight="false" outlineLevel="0" collapsed="false">
      <c r="A9" s="2" t="s">
        <v>12</v>
      </c>
      <c r="B9" s="7" t="n">
        <v>0.01</v>
      </c>
      <c r="C9" s="5" t="s">
        <v>10</v>
      </c>
    </row>
    <row r="10" customFormat="false" ht="15" hidden="false" customHeight="false" outlineLevel="0" collapsed="false">
      <c r="A10" s="2" t="s">
        <v>13</v>
      </c>
      <c r="B10" s="8" t="n">
        <v>6800</v>
      </c>
      <c r="C10" s="5" t="s">
        <v>14</v>
      </c>
    </row>
    <row r="11" customFormat="false" ht="15" hidden="false" customHeight="false" outlineLevel="0" collapsed="false">
      <c r="A11" s="2" t="s">
        <v>15</v>
      </c>
      <c r="B11" s="7" t="n">
        <v>0.03</v>
      </c>
      <c r="C11" s="5" t="s">
        <v>14</v>
      </c>
    </row>
    <row r="12" customFormat="false" ht="15" hidden="false" customHeight="false" outlineLevel="0" collapsed="false">
      <c r="A12" s="2" t="s">
        <v>16</v>
      </c>
      <c r="B12" s="7" t="n">
        <v>0.03</v>
      </c>
      <c r="C12" s="5" t="s">
        <v>14</v>
      </c>
    </row>
    <row r="13" customFormat="false" ht="15" hidden="false" customHeight="false" outlineLevel="0" collapsed="false">
      <c r="A13" s="2" t="s">
        <v>17</v>
      </c>
      <c r="B13" s="8" t="n">
        <v>300</v>
      </c>
      <c r="C13" s="5" t="s">
        <v>18</v>
      </c>
    </row>
    <row r="14" customFormat="false" ht="15" hidden="false" customHeight="false" outlineLevel="0" collapsed="false">
      <c r="A14" s="2" t="s">
        <v>19</v>
      </c>
      <c r="B14" s="8" t="n">
        <v>0</v>
      </c>
      <c r="C14" s="5" t="s">
        <v>18</v>
      </c>
    </row>
    <row r="15" customFormat="false" ht="15" hidden="false" customHeight="false" outlineLevel="0" collapsed="false">
      <c r="A15" s="2" t="s">
        <v>20</v>
      </c>
      <c r="B15" s="7" t="n">
        <v>0.5</v>
      </c>
      <c r="C15" s="5" t="s">
        <v>18</v>
      </c>
    </row>
    <row r="16" customFormat="false" ht="15" hidden="false" customHeight="false" outlineLevel="0" collapsed="false">
      <c r="A16" s="2" t="s">
        <v>21</v>
      </c>
      <c r="B16" s="8" t="n">
        <v>1000</v>
      </c>
      <c r="C16" s="5" t="s">
        <v>18</v>
      </c>
    </row>
    <row r="17" customFormat="false" ht="15" hidden="false" customHeight="false" outlineLevel="0" collapsed="false">
      <c r="A17" s="2" t="s">
        <v>22</v>
      </c>
      <c r="B17" s="6" t="n">
        <v>8</v>
      </c>
      <c r="C17" s="5" t="s">
        <v>18</v>
      </c>
    </row>
    <row r="18" customFormat="false" ht="15" hidden="false" customHeight="false" outlineLevel="0" collapsed="false">
      <c r="A18" s="2" t="s">
        <v>23</v>
      </c>
      <c r="B18" s="7" t="n">
        <v>0.05</v>
      </c>
      <c r="C18" s="5" t="s">
        <v>18</v>
      </c>
    </row>
    <row r="19" customFormat="false" ht="15" hidden="false" customHeight="false" outlineLevel="0" collapsed="false">
      <c r="A19" s="2" t="s">
        <v>24</v>
      </c>
      <c r="B19" s="7" t="n">
        <v>0.0625</v>
      </c>
      <c r="C19" s="5" t="s">
        <v>25</v>
      </c>
    </row>
    <row r="20" customFormat="false" ht="15" hidden="false" customHeight="false" outlineLevel="0" collapsed="false">
      <c r="A20" s="2" t="s">
        <v>26</v>
      </c>
      <c r="B20" s="7" t="n">
        <v>0.015</v>
      </c>
      <c r="C20" s="5" t="s">
        <v>25</v>
      </c>
    </row>
    <row r="21" customFormat="false" ht="15" hidden="false" customHeight="false" outlineLevel="0" collapsed="false">
      <c r="A21" s="2" t="s">
        <v>27</v>
      </c>
      <c r="B21" s="6" t="n">
        <v>10</v>
      </c>
      <c r="C21" s="5" t="s">
        <v>25</v>
      </c>
    </row>
    <row r="22" customFormat="false" ht="15" hidden="false" customHeight="false" outlineLevel="0" collapsed="false">
      <c r="A22" s="2" t="s">
        <v>28</v>
      </c>
      <c r="B22" s="7" t="n">
        <v>0.6</v>
      </c>
      <c r="C22" s="5" t="s">
        <v>29</v>
      </c>
    </row>
    <row r="23" customFormat="false" ht="15" hidden="false" customHeight="false" outlineLevel="0" collapsed="false">
      <c r="A23" s="2" t="s">
        <v>30</v>
      </c>
      <c r="B23" s="7" t="n">
        <v>0.065</v>
      </c>
      <c r="C23" s="5" t="s">
        <v>29</v>
      </c>
    </row>
    <row r="24" customFormat="false" ht="15" hidden="false" customHeight="false" outlineLevel="0" collapsed="false">
      <c r="A24" s="2" t="s">
        <v>31</v>
      </c>
      <c r="B24" s="6" t="n">
        <v>2</v>
      </c>
      <c r="C24" s="5" t="s">
        <v>29</v>
      </c>
    </row>
    <row r="25" customFormat="false" ht="15" hidden="false" customHeight="false" outlineLevel="0" collapsed="false">
      <c r="A25" s="2" t="s">
        <v>32</v>
      </c>
      <c r="B25" s="6" t="n">
        <v>30</v>
      </c>
      <c r="C25" s="5" t="s">
        <v>29</v>
      </c>
    </row>
    <row r="26" customFormat="false" ht="15" hidden="false" customHeight="false" outlineLevel="0" collapsed="false">
      <c r="A26" s="2" t="s">
        <v>33</v>
      </c>
      <c r="B26" s="7" t="n">
        <v>0.01</v>
      </c>
      <c r="C26" s="5" t="s">
        <v>29</v>
      </c>
    </row>
    <row r="27" customFormat="false" ht="15" hidden="false" customHeight="false" outlineLevel="0" collapsed="false">
      <c r="A27" s="2" t="s">
        <v>34</v>
      </c>
      <c r="B27" s="7" t="n">
        <v>0.065</v>
      </c>
      <c r="C27" s="5" t="s">
        <v>35</v>
      </c>
    </row>
    <row r="28" customFormat="false" ht="15" hidden="false" customHeight="false" outlineLevel="0" collapsed="false">
      <c r="A28" s="2" t="s">
        <v>36</v>
      </c>
      <c r="B28" s="7" t="n">
        <v>0.02</v>
      </c>
      <c r="C28" s="5" t="s">
        <v>35</v>
      </c>
    </row>
    <row r="29" customFormat="false" ht="15" hidden="false" customHeight="false" outlineLevel="0" collapsed="false">
      <c r="A29" s="2" t="s">
        <v>37</v>
      </c>
      <c r="B29" s="7" t="n">
        <v>0.08</v>
      </c>
      <c r="C29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3" style="0" width="13"/>
  </cols>
  <sheetData>
    <row r="1" customFormat="false" ht="15" hidden="false" customHeight="false" outlineLevel="0" collapsed="false">
      <c r="A1" s="9" t="s">
        <v>39</v>
      </c>
    </row>
    <row r="4" customFormat="false" ht="15" hidden="false" customHeight="false" outlineLevel="0" collapsed="false">
      <c r="A4" s="2" t="s">
        <v>40</v>
      </c>
      <c r="C4" s="10" t="n">
        <f aca="false">Annual!C16</f>
        <v>1311652.5156975</v>
      </c>
    </row>
    <row r="5" customFormat="false" ht="15" hidden="false" customHeight="false" outlineLevel="0" collapsed="false">
      <c r="A5" s="2" t="s">
        <v>41</v>
      </c>
      <c r="C5" s="10" t="n">
        <f aca="false">C4/Inputs!$B$19</f>
        <v>20986440.25116</v>
      </c>
    </row>
    <row r="6" customFormat="false" ht="15" hidden="false" customHeight="false" outlineLevel="0" collapsed="false">
      <c r="A6" s="2" t="s">
        <v>42</v>
      </c>
      <c r="C6" s="10" t="n">
        <f aca="false">Inputs!$B$20*C5</f>
        <v>314796.6037674</v>
      </c>
    </row>
    <row r="7" customFormat="false" ht="15" hidden="false" customHeight="false" outlineLevel="0" collapsed="false">
      <c r="A7" s="2" t="s">
        <v>43</v>
      </c>
      <c r="C7" s="10" t="n">
        <f aca="false">C5+C6+Inputs!$B$14</f>
        <v>21301236.8549274</v>
      </c>
    </row>
    <row r="8" customFormat="false" ht="15" hidden="false" customHeight="false" outlineLevel="0" collapsed="false">
      <c r="A8" s="2" t="s">
        <v>44</v>
      </c>
      <c r="C8" s="10" t="n">
        <f aca="false">Inputs!$B$22*C5</f>
        <v>12591864.150696</v>
      </c>
    </row>
    <row r="9" customFormat="false" ht="15" hidden="false" customHeight="false" outlineLevel="0" collapsed="false">
      <c r="A9" s="2" t="s">
        <v>45</v>
      </c>
      <c r="C9" s="10" t="n">
        <f aca="false">Inputs!$B$26*C8</f>
        <v>125918.64150696</v>
      </c>
    </row>
    <row r="10" customFormat="false" ht="15" hidden="false" customHeight="false" outlineLevel="0" collapsed="false">
      <c r="A10" s="2" t="s">
        <v>46</v>
      </c>
      <c r="C10" s="10" t="n">
        <f aca="false">C7-C8+C9</f>
        <v>8835291.34573836</v>
      </c>
    </row>
    <row r="11" customFormat="false" ht="15" hidden="false" customHeight="false" outlineLevel="0" collapsed="false">
      <c r="A11" s="2" t="s">
        <v>47</v>
      </c>
      <c r="C11" s="11" t="n">
        <f aca="false">-PMT(Inputs!$B$23/12,Inputs!$B$25*12,C8)</f>
        <v>79589.1468582233</v>
      </c>
    </row>
    <row r="12" customFormat="false" ht="15" hidden="false" customHeight="false" outlineLevel="0" collapsed="false">
      <c r="A12" s="2" t="s">
        <v>48</v>
      </c>
      <c r="C12" s="10" t="n">
        <f aca="false">INDEX(Monthly!$N$2:$N$133,Inputs!$B$21*12)</f>
        <v>11163528.3886199</v>
      </c>
    </row>
    <row r="13" customFormat="false" ht="15" hidden="false" customHeight="false" outlineLevel="0" collapsed="false">
      <c r="A13" s="2" t="s">
        <v>49</v>
      </c>
      <c r="C13" s="10" t="n">
        <f aca="false">Annual!M36</f>
        <v>1778732.56169625</v>
      </c>
    </row>
    <row r="14" customFormat="false" ht="15" hidden="false" customHeight="false" outlineLevel="0" collapsed="false">
      <c r="A14" s="2" t="s">
        <v>50</v>
      </c>
      <c r="C14" s="10" t="n">
        <f aca="false">C13/Inputs!$B$27</f>
        <v>27365116.3337885</v>
      </c>
    </row>
    <row r="15" customFormat="false" ht="15" hidden="false" customHeight="false" outlineLevel="0" collapsed="false">
      <c r="A15" s="2" t="s">
        <v>51</v>
      </c>
      <c r="C15" s="10" t="n">
        <f aca="false">C14*(1-Inputs!$B$28)</f>
        <v>26817814.0071127</v>
      </c>
    </row>
    <row r="16" customFormat="false" ht="15" hidden="false" customHeight="false" outlineLevel="0" collapsed="false">
      <c r="A16" s="2" t="s">
        <v>52</v>
      </c>
      <c r="C16" s="12" t="n">
        <f aca="false">C4/C5</f>
        <v>0.0625</v>
      </c>
    </row>
    <row r="17" customFormat="false" ht="15" hidden="false" customHeight="false" outlineLevel="0" collapsed="false">
      <c r="A17" s="2" t="s">
        <v>53</v>
      </c>
      <c r="C17" s="12" t="n">
        <f aca="false">C4/C8</f>
        <v>0.104166666666667</v>
      </c>
    </row>
    <row r="19" customFormat="false" ht="15" hidden="false" customHeight="false" outlineLevel="0" collapsed="false">
      <c r="A19" s="3" t="s">
        <v>54</v>
      </c>
      <c r="C19" s="13" t="s">
        <v>55</v>
      </c>
      <c r="D19" s="13" t="s">
        <v>56</v>
      </c>
      <c r="E19" s="13" t="s">
        <v>57</v>
      </c>
      <c r="F19" s="13" t="s">
        <v>58</v>
      </c>
      <c r="G19" s="13" t="s">
        <v>59</v>
      </c>
      <c r="H19" s="13" t="s">
        <v>60</v>
      </c>
      <c r="I19" s="13" t="s">
        <v>61</v>
      </c>
      <c r="J19" s="13" t="s">
        <v>62</v>
      </c>
      <c r="K19" s="13" t="s">
        <v>63</v>
      </c>
      <c r="L19" s="13" t="s">
        <v>64</v>
      </c>
      <c r="M19" s="13" t="s">
        <v>65</v>
      </c>
    </row>
    <row r="20" customFormat="false" ht="15" hidden="false" customHeight="false" outlineLevel="0" collapsed="false">
      <c r="A20" s="0" t="s">
        <v>66</v>
      </c>
      <c r="C20" s="10" t="n">
        <f aca="false">-C7</f>
        <v>-21301236.8549274</v>
      </c>
      <c r="D20" s="10" t="n">
        <f aca="false">Annual!C19</f>
        <v>1220152.5156975</v>
      </c>
      <c r="E20" s="10" t="n">
        <f aca="false">Annual!D19</f>
        <v>1256174.31797914</v>
      </c>
      <c r="F20" s="10" t="n">
        <f aca="false">Annual!E19</f>
        <v>1302475.93889257</v>
      </c>
      <c r="G20" s="10" t="n">
        <f aca="false">Annual!F19</f>
        <v>1344407.44083827</v>
      </c>
      <c r="H20" s="10" t="n">
        <f aca="false">Annual!G19</f>
        <v>1386129.9886712</v>
      </c>
      <c r="I20" s="10" t="n">
        <f aca="false">Annual!H19</f>
        <v>1428793.88833133</v>
      </c>
      <c r="J20" s="10" t="n">
        <f aca="false">Annual!I19</f>
        <v>1472737.70498127</v>
      </c>
      <c r="K20" s="10" t="n">
        <f aca="false">Annual!J19</f>
        <v>1517999.83613071</v>
      </c>
      <c r="L20" s="10" t="n">
        <f aca="false">Annual!K19</f>
        <v>1564619.83121463</v>
      </c>
      <c r="M20" s="10" t="n">
        <f aca="false">Annual!L19+$C$15</f>
        <v>28430452.4332638</v>
      </c>
    </row>
    <row r="21" customFormat="false" ht="15" hidden="false" customHeight="false" outlineLevel="0" collapsed="false">
      <c r="A21" s="0" t="s">
        <v>67</v>
      </c>
      <c r="C21" s="10" t="n">
        <f aca="false">-C10</f>
        <v>-8835291.34573836</v>
      </c>
      <c r="D21" s="10" t="n">
        <f aca="false">Annual!C21</f>
        <v>401681.34590226</v>
      </c>
      <c r="E21" s="10" t="n">
        <f aca="false">Annual!D21</f>
        <v>437703.148183897</v>
      </c>
      <c r="F21" s="10" t="n">
        <f aca="false">Annual!E21</f>
        <v>347406.176593891</v>
      </c>
      <c r="G21" s="10" t="n">
        <f aca="false">Annual!F21</f>
        <v>389337.678539591</v>
      </c>
      <c r="H21" s="10" t="n">
        <f aca="false">Annual!G21</f>
        <v>431060.226372519</v>
      </c>
      <c r="I21" s="10" t="n">
        <f aca="false">Annual!H21</f>
        <v>473724.126032655</v>
      </c>
      <c r="J21" s="10" t="n">
        <f aca="false">Annual!I21</f>
        <v>517667.942682595</v>
      </c>
      <c r="K21" s="10" t="n">
        <f aca="false">Annual!J21</f>
        <v>562930.073832033</v>
      </c>
      <c r="L21" s="10" t="n">
        <f aca="false">Annual!K21</f>
        <v>609550.068915954</v>
      </c>
      <c r="M21" s="10" t="n">
        <f aca="false">Annual!L21+$C$15-$C$12</f>
        <v>16311854.2823453</v>
      </c>
    </row>
    <row r="23" customFormat="false" ht="15" hidden="false" customHeight="false" outlineLevel="0" collapsed="false">
      <c r="A23" s="14" t="s">
        <v>68</v>
      </c>
      <c r="C23" s="15" t="n">
        <f aca="false">IRR(C20:M20)</f>
        <v>0.0825601264398584</v>
      </c>
    </row>
    <row r="24" customFormat="false" ht="15" hidden="false" customHeight="false" outlineLevel="0" collapsed="false">
      <c r="A24" s="14" t="s">
        <v>69</v>
      </c>
      <c r="C24" s="15" t="n">
        <f aca="false">IRR(C21:M21)</f>
        <v>0.10043024448563</v>
      </c>
    </row>
    <row r="25" customFormat="false" ht="15" hidden="false" customHeight="false" outlineLevel="0" collapsed="false">
      <c r="A25" s="14" t="s">
        <v>70</v>
      </c>
      <c r="C25" s="16" t="n">
        <f aca="false">C20+NPV(Inputs!$B$29,D20:M20)</f>
        <v>402343.556936026</v>
      </c>
    </row>
    <row r="26" customFormat="false" ht="15" hidden="false" customHeight="false" outlineLevel="0" collapsed="false">
      <c r="A26" s="14" t="s">
        <v>71</v>
      </c>
      <c r="C26" s="17" t="n">
        <f aca="false">SUM(D20:M20)/C7</f>
        <v>1.92120035914881</v>
      </c>
    </row>
    <row r="27" customFormat="false" ht="15" hidden="false" customHeight="false" outlineLevel="0" collapsed="false">
      <c r="A27" s="14" t="s">
        <v>72</v>
      </c>
      <c r="C27" s="17" t="n">
        <f aca="false">SUM(D21:M21)/C10</f>
        <v>2.31830669390212</v>
      </c>
    </row>
    <row r="28" customFormat="false" ht="15" hidden="false" customHeight="false" outlineLevel="0" collapsed="false">
      <c r="A28" s="14" t="s">
        <v>73</v>
      </c>
      <c r="C28" s="17" t="n">
        <f aca="false">MIN(Annual!C25:L25)</f>
        <v>1.46809164549184</v>
      </c>
    </row>
    <row r="29" customFormat="false" ht="15" hidden="false" customHeight="false" outlineLevel="0" collapsed="false">
      <c r="A29" s="14" t="s">
        <v>74</v>
      </c>
      <c r="C29" s="15" t="n">
        <f aca="false">Annual!C26</f>
        <v>0.0454632824412755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3" style="0" width="13"/>
  </cols>
  <sheetData>
    <row r="1" customFormat="false" ht="15" hidden="false" customHeight="false" outlineLevel="0" collapsed="false">
      <c r="A1" s="9" t="s">
        <v>75</v>
      </c>
    </row>
    <row r="3" customFormat="false" ht="15" hidden="false" customHeight="false" outlineLevel="0" collapsed="false">
      <c r="A3" s="3" t="s">
        <v>76</v>
      </c>
      <c r="C3" s="13" t="s">
        <v>56</v>
      </c>
      <c r="D3" s="13" t="s">
        <v>57</v>
      </c>
      <c r="E3" s="13" t="s">
        <v>58</v>
      </c>
      <c r="F3" s="13" t="s">
        <v>59</v>
      </c>
      <c r="G3" s="13" t="s">
        <v>60</v>
      </c>
      <c r="H3" s="13" t="s">
        <v>61</v>
      </c>
      <c r="I3" s="13" t="s">
        <v>62</v>
      </c>
      <c r="J3" s="13" t="s">
        <v>63</v>
      </c>
      <c r="K3" s="13" t="s">
        <v>64</v>
      </c>
      <c r="L3" s="13" t="s">
        <v>65</v>
      </c>
      <c r="M3" s="13" t="s">
        <v>77</v>
      </c>
    </row>
    <row r="4" customFormat="false" ht="15" hidden="false" customHeight="false" outlineLevel="0" collapsed="false">
      <c r="A4" s="2" t="s">
        <v>78</v>
      </c>
      <c r="C4" s="10" t="n">
        <f aca="false">SUMIF(Monthly!$B$2:$B$133,1,Monthly!$C$2:$C$133)</f>
        <v>2333160</v>
      </c>
      <c r="D4" s="10" t="n">
        <f aca="false">SUMIF(Monthly!$B$2:$B$133,2,Monthly!$C$2:$C$133)</f>
        <v>2403154.8</v>
      </c>
      <c r="E4" s="10" t="n">
        <f aca="false">SUMIF(Monthly!$B$2:$B$133,3,Monthly!$C$2:$C$133)</f>
        <v>2475249.444</v>
      </c>
      <c r="F4" s="10" t="n">
        <f aca="false">SUMIF(Monthly!$B$2:$B$133,4,Monthly!$C$2:$C$133)</f>
        <v>2549506.92732</v>
      </c>
      <c r="G4" s="10" t="n">
        <f aca="false">SUMIF(Monthly!$B$2:$B$133,5,Monthly!$C$2:$C$133)</f>
        <v>2625992.1351396</v>
      </c>
      <c r="H4" s="10" t="n">
        <f aca="false">SUMIF(Monthly!$B$2:$B$133,6,Monthly!$C$2:$C$133)</f>
        <v>2704771.89919379</v>
      </c>
      <c r="I4" s="10" t="n">
        <f aca="false">SUMIF(Monthly!$B$2:$B$133,7,Monthly!$C$2:$C$133)</f>
        <v>2785915.0561696</v>
      </c>
      <c r="J4" s="10" t="n">
        <f aca="false">SUMIF(Monthly!$B$2:$B$133,8,Monthly!$C$2:$C$133)</f>
        <v>2869492.50785469</v>
      </c>
      <c r="K4" s="10" t="n">
        <f aca="false">SUMIF(Monthly!$B$2:$B$133,9,Monthly!$C$2:$C$133)</f>
        <v>2955577.28309033</v>
      </c>
      <c r="L4" s="10" t="n">
        <f aca="false">SUMIF(Monthly!$B$2:$B$133,10,Monthly!$C$2:$C$133)</f>
        <v>3044244.60158304</v>
      </c>
      <c r="M4" s="10" t="n">
        <f aca="false">SUMIF(Monthly!$B$2:$B$133,11,Monthly!$C$2:$C$133)</f>
        <v>3135571.93963053</v>
      </c>
    </row>
    <row r="5" customFormat="false" ht="15" hidden="false" customHeight="false" outlineLevel="0" collapsed="false">
      <c r="A5" s="2" t="s">
        <v>79</v>
      </c>
      <c r="C5" s="10" t="n">
        <f aca="false">SUMIF(Monthly!$B$2:$B$133,1,Monthly!$F$2:$F$133)</f>
        <v>40080.5</v>
      </c>
      <c r="D5" s="10" t="n">
        <f aca="false">SUMIF(Monthly!$B$2:$B$133,2,Monthly!$F$2:$F$133)</f>
        <v>38024.9124999999</v>
      </c>
      <c r="E5" s="10" t="n">
        <f aca="false">SUMIF(Monthly!$B$2:$B$133,3,Monthly!$F$2:$F$133)</f>
        <v>30904.6544062497</v>
      </c>
      <c r="F5" s="10" t="n">
        <f aca="false">SUMIF(Monthly!$B$2:$B$133,4,Monthly!$F$2:$F$133)</f>
        <v>29883.69253625</v>
      </c>
      <c r="G5" s="10" t="n">
        <f aca="false">SUMIF(Monthly!$B$2:$B$133,5,Monthly!$F$2:$F$133)</f>
        <v>30440.0414026502</v>
      </c>
      <c r="H5" s="10" t="n">
        <f aca="false">SUMIF(Monthly!$B$2:$B$133,6,Monthly!$F$2:$F$133)</f>
        <v>31353.2426447295</v>
      </c>
      <c r="I5" s="10" t="n">
        <f aca="false">SUMIF(Monthly!$B$2:$B$133,7,Monthly!$F$2:$F$133)</f>
        <v>32293.8399240711</v>
      </c>
      <c r="J5" s="10" t="n">
        <f aca="false">SUMIF(Monthly!$B$2:$B$133,8,Monthly!$F$2:$F$133)</f>
        <v>33262.6551217936</v>
      </c>
      <c r="K5" s="10" t="n">
        <f aca="false">SUMIF(Monthly!$B$2:$B$133,9,Monthly!$F$2:$F$133)</f>
        <v>34260.5347754476</v>
      </c>
      <c r="L5" s="10" t="n">
        <f aca="false">SUMIF(Monthly!$B$2:$B$133,10,Monthly!$F$2:$F$133)</f>
        <v>35288.3508187108</v>
      </c>
      <c r="M5" s="10" t="n">
        <f aca="false">SUMIF(Monthly!$B$2:$B$133,11,Monthly!$F$2:$F$133)</f>
        <v>36347.0013432719</v>
      </c>
    </row>
    <row r="6" customFormat="false" ht="15" hidden="false" customHeight="false" outlineLevel="0" collapsed="false">
      <c r="A6" s="2" t="s">
        <v>80</v>
      </c>
      <c r="C6" s="10" t="n">
        <f aca="false">Units!$G$123*12*(1+Inputs!$B$7)^(1-1)</f>
        <v>39144</v>
      </c>
      <c r="D6" s="10" t="n">
        <f aca="false">Units!$G$123*12*(1+Inputs!$B$7)^(2-1)</f>
        <v>40318.32</v>
      </c>
      <c r="E6" s="10" t="n">
        <f aca="false">Units!$G$123*12*(1+Inputs!$B$7)^(3-1)</f>
        <v>41527.8696</v>
      </c>
      <c r="F6" s="10" t="n">
        <f aca="false">Units!$G$123*12*(1+Inputs!$B$7)^(4-1)</f>
        <v>42773.705688</v>
      </c>
      <c r="G6" s="10" t="n">
        <f aca="false">Units!$G$123*12*(1+Inputs!$B$7)^(5-1)</f>
        <v>44056.91685864</v>
      </c>
      <c r="H6" s="10" t="n">
        <f aca="false">Units!$G$123*12*(1+Inputs!$B$7)^(6-1)</f>
        <v>45378.6243643992</v>
      </c>
      <c r="I6" s="10" t="n">
        <f aca="false">Units!$G$123*12*(1+Inputs!$B$7)^(7-1)</f>
        <v>46739.9830953312</v>
      </c>
      <c r="J6" s="10" t="n">
        <f aca="false">Units!$G$123*12*(1+Inputs!$B$7)^(8-1)</f>
        <v>48142.1825881911</v>
      </c>
      <c r="K6" s="10" t="n">
        <f aca="false">Units!$G$123*12*(1+Inputs!$B$7)^(9-1)</f>
        <v>49586.4480658369</v>
      </c>
      <c r="L6" s="10" t="n">
        <f aca="false">Units!$G$123*12*(1+Inputs!$B$7)^(10-1)</f>
        <v>51074.041507812</v>
      </c>
      <c r="M6" s="10" t="n">
        <f aca="false">Units!$G$123*12*(1+Inputs!$B$7)^(11-1)</f>
        <v>52606.2627530463</v>
      </c>
    </row>
    <row r="7" customFormat="false" ht="15" hidden="false" customHeight="false" outlineLevel="0" collapsed="false">
      <c r="A7" s="14" t="s">
        <v>81</v>
      </c>
      <c r="C7" s="18" t="n">
        <f aca="false">C4-C5+C6</f>
        <v>2332223.5</v>
      </c>
      <c r="D7" s="18" t="n">
        <f aca="false">D4-D5+D6</f>
        <v>2405448.2075</v>
      </c>
      <c r="E7" s="18" t="n">
        <f aca="false">E4-E5+E6</f>
        <v>2485872.65919375</v>
      </c>
      <c r="F7" s="18" t="n">
        <f aca="false">F4-F5+F6</f>
        <v>2562396.94047175</v>
      </c>
      <c r="G7" s="18" t="n">
        <f aca="false">G4-G5+G6</f>
        <v>2639609.01059559</v>
      </c>
      <c r="H7" s="18" t="n">
        <f aca="false">H4-H5+H6</f>
        <v>2718797.28091346</v>
      </c>
      <c r="I7" s="18" t="n">
        <f aca="false">I4-I5+I6</f>
        <v>2800361.19934086</v>
      </c>
      <c r="J7" s="18" t="n">
        <f aca="false">J4-J5+J6</f>
        <v>2884372.03532109</v>
      </c>
      <c r="K7" s="18" t="n">
        <f aca="false">K4-K5+K6</f>
        <v>2970903.19638072</v>
      </c>
      <c r="L7" s="18" t="n">
        <f aca="false">L4-L5+L6</f>
        <v>3060030.29227214</v>
      </c>
      <c r="M7" s="18" t="n">
        <f aca="false">M4-M5+M6</f>
        <v>3151831.20104031</v>
      </c>
    </row>
    <row r="8" customFormat="false" ht="15" hidden="false" customHeight="false" outlineLevel="0" collapsed="false">
      <c r="A8" s="2" t="s">
        <v>82</v>
      </c>
      <c r="C8" s="10" t="n">
        <f aca="false">SUMIF(Monthly!$B$2:$B$133,1,Monthly!$G$2:$G$133)</f>
        <v>3375</v>
      </c>
      <c r="D8" s="10" t="n">
        <f aca="false">SUMIF(Monthly!$B$2:$B$133,2,Monthly!$G$2:$G$133)</f>
        <v>0</v>
      </c>
      <c r="E8" s="10" t="n">
        <f aca="false">SUMIF(Monthly!$B$2:$B$133,3,Monthly!$G$2:$G$133)</f>
        <v>0</v>
      </c>
      <c r="F8" s="10" t="n">
        <f aca="false">SUMIF(Monthly!$B$2:$B$133,4,Monthly!$G$2:$G$133)</f>
        <v>0</v>
      </c>
      <c r="G8" s="10" t="n">
        <f aca="false">SUMIF(Monthly!$B$2:$B$133,5,Monthly!$G$2:$G$133)</f>
        <v>0</v>
      </c>
      <c r="H8" s="10" t="n">
        <f aca="false">SUMIF(Monthly!$B$2:$B$133,6,Monthly!$G$2:$G$133)</f>
        <v>0</v>
      </c>
      <c r="I8" s="10" t="n">
        <f aca="false">SUMIF(Monthly!$B$2:$B$133,7,Monthly!$G$2:$G$133)</f>
        <v>0</v>
      </c>
      <c r="J8" s="10" t="n">
        <f aca="false">SUMIF(Monthly!$B$2:$B$133,8,Monthly!$G$2:$G$133)</f>
        <v>0</v>
      </c>
      <c r="K8" s="10" t="n">
        <f aca="false">SUMIF(Monthly!$B$2:$B$133,9,Monthly!$G$2:$G$133)</f>
        <v>0</v>
      </c>
      <c r="L8" s="10" t="n">
        <f aca="false">SUMIF(Monthly!$B$2:$B$133,10,Monthly!$G$2:$G$133)</f>
        <v>0</v>
      </c>
      <c r="M8" s="10" t="n">
        <f aca="false">SUMIF(Monthly!$B$2:$B$133,11,Monthly!$G$2:$G$133)</f>
        <v>0</v>
      </c>
    </row>
    <row r="9" customFormat="false" ht="15" hidden="false" customHeight="false" outlineLevel="0" collapsed="false">
      <c r="A9" s="2" t="s">
        <v>83</v>
      </c>
      <c r="C9" s="10" t="n">
        <f aca="false">MAX(0,Inputs!$B$8*C7-C8)</f>
        <v>113236.175</v>
      </c>
      <c r="D9" s="10" t="n">
        <f aca="false">MAX(0,Inputs!$B$8*D7-D8)</f>
        <v>120272.410375</v>
      </c>
      <c r="E9" s="10" t="n">
        <f aca="false">MAX(0,Inputs!$B$8*E7-E8)</f>
        <v>124293.632959688</v>
      </c>
      <c r="F9" s="10" t="n">
        <f aca="false">MAX(0,Inputs!$B$8*F7-F8)</f>
        <v>128119.847023588</v>
      </c>
      <c r="G9" s="10" t="n">
        <f aca="false">MAX(0,Inputs!$B$8*G7-G8)</f>
        <v>131980.45052978</v>
      </c>
      <c r="H9" s="10" t="n">
        <f aca="false">MAX(0,Inputs!$B$8*H7-H8)</f>
        <v>135939.864045673</v>
      </c>
      <c r="I9" s="10" t="n">
        <f aca="false">MAX(0,Inputs!$B$8*I7-I8)</f>
        <v>140018.059967043</v>
      </c>
      <c r="J9" s="10" t="n">
        <f aca="false">MAX(0,Inputs!$B$8*J7-J8)</f>
        <v>144218.601766054</v>
      </c>
      <c r="K9" s="10" t="n">
        <f aca="false">MAX(0,Inputs!$B$8*K7-K8)</f>
        <v>148545.159819036</v>
      </c>
      <c r="L9" s="10" t="n">
        <f aca="false">MAX(0,Inputs!$B$8*L7-L8)</f>
        <v>153001.514613607</v>
      </c>
      <c r="M9" s="10" t="n">
        <f aca="false">MAX(0,Inputs!$B$8*M7-M8)</f>
        <v>157591.560052015</v>
      </c>
    </row>
    <row r="10" customFormat="false" ht="15" hidden="false" customHeight="false" outlineLevel="0" collapsed="false">
      <c r="A10" s="2" t="s">
        <v>84</v>
      </c>
      <c r="C10" s="10" t="n">
        <f aca="false">C7-C8-C9</f>
        <v>2215612.325</v>
      </c>
      <c r="D10" s="10" t="n">
        <f aca="false">D7-D8-D9</f>
        <v>2285175.797125</v>
      </c>
      <c r="E10" s="10" t="n">
        <f aca="false">E7-E8-E9</f>
        <v>2361579.02623406</v>
      </c>
      <c r="F10" s="10" t="n">
        <f aca="false">F7-F8-F9</f>
        <v>2434277.09344816</v>
      </c>
      <c r="G10" s="10" t="n">
        <f aca="false">G7-G8-G9</f>
        <v>2507628.56006581</v>
      </c>
      <c r="H10" s="10" t="n">
        <f aca="false">H7-H8-H9</f>
        <v>2582857.41686779</v>
      </c>
      <c r="I10" s="10" t="n">
        <f aca="false">I7-I8-I9</f>
        <v>2660343.13937382</v>
      </c>
      <c r="J10" s="10" t="n">
        <f aca="false">J7-J8-J9</f>
        <v>2740153.43355503</v>
      </c>
      <c r="K10" s="10" t="n">
        <f aca="false">K7-K8-K9</f>
        <v>2822358.03656168</v>
      </c>
      <c r="L10" s="10" t="n">
        <f aca="false">L7-L8-L9</f>
        <v>2907028.77765854</v>
      </c>
      <c r="M10" s="10" t="n">
        <f aca="false">M7-M8-M9</f>
        <v>2994239.64098829</v>
      </c>
    </row>
    <row r="11" customFormat="false" ht="15" hidden="false" customHeight="false" outlineLevel="0" collapsed="false">
      <c r="A11" s="2" t="s">
        <v>85</v>
      </c>
      <c r="C11" s="10" t="n">
        <f aca="false">Inputs!$B$9*C10</f>
        <v>22156.12325</v>
      </c>
      <c r="D11" s="10" t="n">
        <f aca="false">Inputs!$B$9*D10</f>
        <v>22851.75797125</v>
      </c>
      <c r="E11" s="10" t="n">
        <f aca="false">Inputs!$B$9*E10</f>
        <v>23615.7902623406</v>
      </c>
      <c r="F11" s="10" t="n">
        <f aca="false">Inputs!$B$9*F10</f>
        <v>24342.7709344816</v>
      </c>
      <c r="G11" s="10" t="n">
        <f aca="false">Inputs!$B$9*G10</f>
        <v>25076.2856006581</v>
      </c>
      <c r="H11" s="10" t="n">
        <f aca="false">Inputs!$B$9*H10</f>
        <v>25828.5741686779</v>
      </c>
      <c r="I11" s="10" t="n">
        <f aca="false">Inputs!$B$9*I10</f>
        <v>26603.4313937382</v>
      </c>
      <c r="J11" s="10" t="n">
        <f aca="false">Inputs!$B$9*J10</f>
        <v>27401.5343355503</v>
      </c>
      <c r="K11" s="10" t="n">
        <f aca="false">Inputs!$B$9*K10</f>
        <v>28223.5803656168</v>
      </c>
      <c r="L11" s="10" t="n">
        <f aca="false">Inputs!$B$9*L10</f>
        <v>29070.2877765854</v>
      </c>
      <c r="M11" s="10" t="n">
        <f aca="false">Inputs!$B$9*M10</f>
        <v>29942.3964098829</v>
      </c>
    </row>
    <row r="12" customFormat="false" ht="15" hidden="false" customHeight="false" outlineLevel="0" collapsed="false">
      <c r="A12" s="14" t="s">
        <v>86</v>
      </c>
      <c r="C12" s="18" t="n">
        <f aca="false">C10-C11</f>
        <v>2193456.20175</v>
      </c>
      <c r="D12" s="18" t="n">
        <f aca="false">D10-D11</f>
        <v>2262324.03915375</v>
      </c>
      <c r="E12" s="18" t="n">
        <f aca="false">E10-E11</f>
        <v>2337963.23597172</v>
      </c>
      <c r="F12" s="18" t="n">
        <f aca="false">F10-F11</f>
        <v>2409934.32251368</v>
      </c>
      <c r="G12" s="18" t="n">
        <f aca="false">G10-G11</f>
        <v>2482552.27446515</v>
      </c>
      <c r="H12" s="18" t="n">
        <f aca="false">H10-H11</f>
        <v>2557028.84269911</v>
      </c>
      <c r="I12" s="18" t="n">
        <f aca="false">I10-I11</f>
        <v>2633739.70798008</v>
      </c>
      <c r="J12" s="18" t="n">
        <f aca="false">J10-J11</f>
        <v>2712751.89921948</v>
      </c>
      <c r="K12" s="18" t="n">
        <f aca="false">K10-K11</f>
        <v>2794134.45619607</v>
      </c>
      <c r="L12" s="18" t="n">
        <f aca="false">L10-L11</f>
        <v>2877958.48988195</v>
      </c>
      <c r="M12" s="18" t="n">
        <f aca="false">M10-M11</f>
        <v>2964297.24457841</v>
      </c>
    </row>
    <row r="13" customFormat="false" ht="15" hidden="false" customHeight="false" outlineLevel="0" collapsed="false">
      <c r="A13" s="2" t="s">
        <v>87</v>
      </c>
      <c r="C13" s="10" t="n">
        <f aca="false">Inputs!$B$10*Inputs!$B$6*(1+Inputs!$B$11)^(1-1)</f>
        <v>816000</v>
      </c>
      <c r="D13" s="10" t="n">
        <f aca="false">Inputs!$B$10*Inputs!$B$6*(1+Inputs!$B$11)^(2-1)</f>
        <v>840480</v>
      </c>
      <c r="E13" s="10" t="n">
        <f aca="false">Inputs!$B$10*Inputs!$B$6*(1+Inputs!$B$11)^(3-1)</f>
        <v>865694.4</v>
      </c>
      <c r="F13" s="10" t="n">
        <f aca="false">Inputs!$B$10*Inputs!$B$6*(1+Inputs!$B$11)^(4-1)</f>
        <v>891665.232</v>
      </c>
      <c r="G13" s="10" t="n">
        <f aca="false">Inputs!$B$10*Inputs!$B$6*(1+Inputs!$B$11)^(5-1)</f>
        <v>918415.18896</v>
      </c>
      <c r="H13" s="10" t="n">
        <f aca="false">Inputs!$B$10*Inputs!$B$6*(1+Inputs!$B$11)^(6-1)</f>
        <v>945967.6446288</v>
      </c>
      <c r="I13" s="10" t="n">
        <f aca="false">Inputs!$B$10*Inputs!$B$6*(1+Inputs!$B$11)^(7-1)</f>
        <v>974346.673967664</v>
      </c>
      <c r="J13" s="10" t="n">
        <f aca="false">Inputs!$B$10*Inputs!$B$6*(1+Inputs!$B$11)^(8-1)</f>
        <v>1003577.07418669</v>
      </c>
      <c r="K13" s="10" t="n">
        <f aca="false">Inputs!$B$10*Inputs!$B$6*(1+Inputs!$B$11)^(9-1)</f>
        <v>1033684.38641229</v>
      </c>
      <c r="L13" s="10" t="n">
        <f aca="false">Inputs!$B$10*Inputs!$B$6*(1+Inputs!$B$11)^(10-1)</f>
        <v>1064694.91800466</v>
      </c>
      <c r="M13" s="10" t="n">
        <f aca="false">Inputs!$B$10*Inputs!$B$6*(1+Inputs!$B$11)^(11-1)</f>
        <v>1096635.7655448</v>
      </c>
    </row>
    <row r="14" customFormat="false" ht="15" hidden="false" customHeight="false" outlineLevel="0" collapsed="false">
      <c r="A14" s="2" t="s">
        <v>88</v>
      </c>
      <c r="C14" s="10" t="n">
        <f aca="false">Inputs!$B$12*C12</f>
        <v>65803.6860525</v>
      </c>
      <c r="D14" s="10" t="n">
        <f aca="false">Inputs!$B$12*D12</f>
        <v>67869.7211746125</v>
      </c>
      <c r="E14" s="10" t="n">
        <f aca="false">Inputs!$B$12*E12</f>
        <v>70138.8970791517</v>
      </c>
      <c r="F14" s="10" t="n">
        <f aca="false">Inputs!$B$12*F12</f>
        <v>72298.0296754104</v>
      </c>
      <c r="G14" s="10" t="n">
        <f aca="false">Inputs!$B$12*G12</f>
        <v>74476.5682339546</v>
      </c>
      <c r="H14" s="10" t="n">
        <f aca="false">Inputs!$B$12*H12</f>
        <v>76710.8652809732</v>
      </c>
      <c r="I14" s="10" t="n">
        <f aca="false">Inputs!$B$12*I12</f>
        <v>79012.1912394024</v>
      </c>
      <c r="J14" s="10" t="n">
        <f aca="false">Inputs!$B$12*J12</f>
        <v>81382.5569765845</v>
      </c>
      <c r="K14" s="10" t="n">
        <f aca="false">Inputs!$B$12*K12</f>
        <v>83824.033685882</v>
      </c>
      <c r="L14" s="10" t="n">
        <f aca="false">Inputs!$B$12*L12</f>
        <v>86338.7546964585</v>
      </c>
      <c r="M14" s="10" t="n">
        <f aca="false">Inputs!$B$12*M12</f>
        <v>88928.9173373523</v>
      </c>
    </row>
    <row r="15" customFormat="false" ht="15" hidden="false" customHeight="false" outlineLevel="0" collapsed="false">
      <c r="A15" s="2" t="s">
        <v>89</v>
      </c>
      <c r="C15" s="10" t="n">
        <f aca="false">C13+C14</f>
        <v>881803.6860525</v>
      </c>
      <c r="D15" s="10" t="n">
        <f aca="false">D13+D14</f>
        <v>908349.721174613</v>
      </c>
      <c r="E15" s="10" t="n">
        <f aca="false">E13+E14</f>
        <v>935833.297079152</v>
      </c>
      <c r="F15" s="10" t="n">
        <f aca="false">F13+F14</f>
        <v>963963.26167541</v>
      </c>
      <c r="G15" s="10" t="n">
        <f aca="false">G13+G14</f>
        <v>992891.757193955</v>
      </c>
      <c r="H15" s="10" t="n">
        <f aca="false">H13+H14</f>
        <v>1022678.50990977</v>
      </c>
      <c r="I15" s="10" t="n">
        <f aca="false">I13+I14</f>
        <v>1053358.86520707</v>
      </c>
      <c r="J15" s="10" t="n">
        <f aca="false">J13+J14</f>
        <v>1084959.63116328</v>
      </c>
      <c r="K15" s="10" t="n">
        <f aca="false">K13+K14</f>
        <v>1117508.42009818</v>
      </c>
      <c r="L15" s="10" t="n">
        <f aca="false">L13+L14</f>
        <v>1151033.67270112</v>
      </c>
      <c r="M15" s="10" t="n">
        <f aca="false">M13+M14</f>
        <v>1185564.68288216</v>
      </c>
    </row>
    <row r="16" customFormat="false" ht="15" hidden="false" customHeight="false" outlineLevel="0" collapsed="false">
      <c r="A16" s="14" t="s">
        <v>90</v>
      </c>
      <c r="C16" s="18" t="n">
        <f aca="false">C12-C15</f>
        <v>1311652.5156975</v>
      </c>
      <c r="D16" s="18" t="n">
        <f aca="false">D12-D15</f>
        <v>1353974.31797914</v>
      </c>
      <c r="E16" s="18" t="n">
        <f aca="false">E12-E15</f>
        <v>1402129.93889257</v>
      </c>
      <c r="F16" s="18" t="n">
        <f aca="false">F12-F15</f>
        <v>1445971.06083827</v>
      </c>
      <c r="G16" s="18" t="n">
        <f aca="false">G12-G15</f>
        <v>1489660.5172712</v>
      </c>
      <c r="H16" s="18" t="n">
        <f aca="false">H12-H15</f>
        <v>1534350.33278933</v>
      </c>
      <c r="I16" s="18" t="n">
        <f aca="false">I12-I15</f>
        <v>1580380.84277301</v>
      </c>
      <c r="J16" s="18" t="n">
        <f aca="false">J12-J15</f>
        <v>1627792.2680562</v>
      </c>
      <c r="K16" s="18" t="n">
        <f aca="false">K12-K15</f>
        <v>1676626.03609789</v>
      </c>
      <c r="L16" s="18" t="n">
        <f aca="false">L12-L15</f>
        <v>1726924.81718083</v>
      </c>
      <c r="M16" s="18" t="n">
        <f aca="false">M12-M15</f>
        <v>1778732.56169625</v>
      </c>
    </row>
    <row r="17" customFormat="false" ht="15" hidden="false" customHeight="false" outlineLevel="0" collapsed="false">
      <c r="A17" s="2" t="s">
        <v>91</v>
      </c>
      <c r="C17" s="10" t="n">
        <f aca="false">SUMIF(Monthly!$B$2:$B$133,1,Monthly!$I$2:$I$133)</f>
        <v>55500</v>
      </c>
      <c r="D17" s="10" t="n">
        <f aca="false">SUMIF(Monthly!$B$2:$B$133,2,Monthly!$I$2:$I$133)</f>
        <v>61800</v>
      </c>
      <c r="E17" s="10" t="n">
        <f aca="false">SUMIF(Monthly!$B$2:$B$133,3,Monthly!$I$2:$I$133)</f>
        <v>63654</v>
      </c>
      <c r="F17" s="10" t="n">
        <f aca="false">SUMIF(Monthly!$B$2:$B$133,4,Monthly!$I$2:$I$133)</f>
        <v>65563.62</v>
      </c>
      <c r="G17" s="10" t="n">
        <f aca="false">SUMIF(Monthly!$B$2:$B$133,5,Monthly!$I$2:$I$133)</f>
        <v>67530.5286</v>
      </c>
      <c r="H17" s="10" t="n">
        <f aca="false">SUMIF(Monthly!$B$2:$B$133,6,Monthly!$I$2:$I$133)</f>
        <v>69556.444458</v>
      </c>
      <c r="I17" s="10" t="n">
        <f aca="false">SUMIF(Monthly!$B$2:$B$133,7,Monthly!$I$2:$I$133)</f>
        <v>71643.13779174</v>
      </c>
      <c r="J17" s="10" t="n">
        <f aca="false">SUMIF(Monthly!$B$2:$B$133,8,Monthly!$I$2:$I$133)</f>
        <v>73792.4319254922</v>
      </c>
      <c r="K17" s="10" t="n">
        <f aca="false">SUMIF(Monthly!$B$2:$B$133,9,Monthly!$I$2:$I$133)</f>
        <v>76006.204883257</v>
      </c>
      <c r="L17" s="10" t="n">
        <f aca="false">SUMIF(Monthly!$B$2:$B$133,10,Monthly!$I$2:$I$133)</f>
        <v>78286.3910297547</v>
      </c>
      <c r="M17" s="10" t="n">
        <f aca="false">SUMIF(Monthly!$B$2:$B$133,11,Monthly!$I$2:$I$133)</f>
        <v>80634.9827606473</v>
      </c>
    </row>
    <row r="18" customFormat="false" ht="15" hidden="false" customHeight="false" outlineLevel="0" collapsed="false">
      <c r="A18" s="2" t="s">
        <v>92</v>
      </c>
      <c r="C18" s="10" t="n">
        <f aca="false">Inputs!$B$13*Inputs!$B$6</f>
        <v>36000</v>
      </c>
      <c r="D18" s="10" t="n">
        <f aca="false">Inputs!$B$13*Inputs!$B$6</f>
        <v>36000</v>
      </c>
      <c r="E18" s="10" t="n">
        <f aca="false">Inputs!$B$13*Inputs!$B$6</f>
        <v>36000</v>
      </c>
      <c r="F18" s="10" t="n">
        <f aca="false">Inputs!$B$13*Inputs!$B$6</f>
        <v>36000</v>
      </c>
      <c r="G18" s="10" t="n">
        <f aca="false">Inputs!$B$13*Inputs!$B$6</f>
        <v>36000</v>
      </c>
      <c r="H18" s="10" t="n">
        <f aca="false">Inputs!$B$13*Inputs!$B$6</f>
        <v>36000</v>
      </c>
      <c r="I18" s="10" t="n">
        <f aca="false">Inputs!$B$13*Inputs!$B$6</f>
        <v>36000</v>
      </c>
      <c r="J18" s="10" t="n">
        <f aca="false">Inputs!$B$13*Inputs!$B$6</f>
        <v>36000</v>
      </c>
      <c r="K18" s="10" t="n">
        <f aca="false">Inputs!$B$13*Inputs!$B$6</f>
        <v>36000</v>
      </c>
      <c r="L18" s="10" t="n">
        <f aca="false">Inputs!$B$13*Inputs!$B$6</f>
        <v>36000</v>
      </c>
      <c r="M18" s="10" t="n">
        <f aca="false">Inputs!$B$13*Inputs!$B$6</f>
        <v>36000</v>
      </c>
    </row>
    <row r="19" customFormat="false" ht="15" hidden="false" customHeight="false" outlineLevel="0" collapsed="false">
      <c r="A19" s="14" t="s">
        <v>93</v>
      </c>
      <c r="C19" s="18" t="n">
        <f aca="false">C16-C17-C18</f>
        <v>1220152.5156975</v>
      </c>
      <c r="D19" s="18" t="n">
        <f aca="false">D16-D17-D18</f>
        <v>1256174.31797914</v>
      </c>
      <c r="E19" s="18" t="n">
        <f aca="false">E16-E17-E18</f>
        <v>1302475.93889257</v>
      </c>
      <c r="F19" s="18" t="n">
        <f aca="false">F16-F17-F18</f>
        <v>1344407.44083827</v>
      </c>
      <c r="G19" s="18" t="n">
        <f aca="false">G16-G17-G18</f>
        <v>1386129.9886712</v>
      </c>
      <c r="H19" s="18" t="n">
        <f aca="false">H16-H17-H18</f>
        <v>1428793.88833133</v>
      </c>
      <c r="I19" s="18" t="n">
        <f aca="false">I16-I17-I18</f>
        <v>1472737.70498127</v>
      </c>
      <c r="J19" s="18" t="n">
        <f aca="false">J16-J17-J18</f>
        <v>1517999.83613071</v>
      </c>
      <c r="K19" s="18" t="n">
        <f aca="false">K16-K17-K18</f>
        <v>1564619.83121463</v>
      </c>
      <c r="L19" s="18" t="n">
        <f aca="false">L16-L17-L18</f>
        <v>1612638.42615107</v>
      </c>
      <c r="M19" s="18" t="n">
        <f aca="false">M16-M17-M18</f>
        <v>1662097.57893561</v>
      </c>
    </row>
    <row r="20" customFormat="false" ht="15" hidden="false" customHeight="false" outlineLevel="0" collapsed="false">
      <c r="A20" s="2" t="s">
        <v>94</v>
      </c>
      <c r="C20" s="10" t="n">
        <f aca="false">SUMIF(Monthly!$B$2:$B$133,1,Monthly!$K$2:$K$133)</f>
        <v>818471.16979524</v>
      </c>
      <c r="D20" s="10" t="n">
        <f aca="false">SUMIF(Monthly!$B$2:$B$133,2,Monthly!$K$2:$K$133)</f>
        <v>818471.16979524</v>
      </c>
      <c r="E20" s="10" t="n">
        <f aca="false">SUMIF(Monthly!$B$2:$B$133,3,Monthly!$K$2:$K$133)</f>
        <v>955069.762298679</v>
      </c>
      <c r="F20" s="10" t="n">
        <f aca="false">SUMIF(Monthly!$B$2:$B$133,4,Monthly!$K$2:$K$133)</f>
        <v>955069.762298679</v>
      </c>
      <c r="G20" s="10" t="n">
        <f aca="false">SUMIF(Monthly!$B$2:$B$133,5,Monthly!$K$2:$K$133)</f>
        <v>955069.762298679</v>
      </c>
      <c r="H20" s="10" t="n">
        <f aca="false">SUMIF(Monthly!$B$2:$B$133,6,Monthly!$K$2:$K$133)</f>
        <v>955069.762298679</v>
      </c>
      <c r="I20" s="10" t="n">
        <f aca="false">SUMIF(Monthly!$B$2:$B$133,7,Monthly!$K$2:$K$133)</f>
        <v>955069.762298679</v>
      </c>
      <c r="J20" s="10" t="n">
        <f aca="false">SUMIF(Monthly!$B$2:$B$133,8,Monthly!$K$2:$K$133)</f>
        <v>955069.762298679</v>
      </c>
      <c r="K20" s="10" t="n">
        <f aca="false">SUMIF(Monthly!$B$2:$B$133,9,Monthly!$K$2:$K$133)</f>
        <v>955069.762298679</v>
      </c>
      <c r="L20" s="10" t="n">
        <f aca="false">SUMIF(Monthly!$B$2:$B$133,10,Monthly!$K$2:$K$133)</f>
        <v>955069.762298679</v>
      </c>
      <c r="M20" s="10" t="n">
        <f aca="false">SUMIF(Monthly!$B$2:$B$133,11,Monthly!$K$2:$K$133)</f>
        <v>0</v>
      </c>
    </row>
    <row r="21" customFormat="false" ht="15" hidden="false" customHeight="false" outlineLevel="0" collapsed="false">
      <c r="A21" s="14" t="s">
        <v>95</v>
      </c>
      <c r="C21" s="18" t="n">
        <f aca="false">C19-C20</f>
        <v>401681.34590226</v>
      </c>
      <c r="D21" s="18" t="n">
        <f aca="false">D19-D20</f>
        <v>437703.148183897</v>
      </c>
      <c r="E21" s="18" t="n">
        <f aca="false">E19-E20</f>
        <v>347406.176593891</v>
      </c>
      <c r="F21" s="18" t="n">
        <f aca="false">F19-F20</f>
        <v>389337.678539591</v>
      </c>
      <c r="G21" s="18" t="n">
        <f aca="false">G19-G20</f>
        <v>431060.226372519</v>
      </c>
      <c r="H21" s="18" t="n">
        <f aca="false">H19-H20</f>
        <v>473724.126032655</v>
      </c>
      <c r="I21" s="18" t="n">
        <f aca="false">I19-I20</f>
        <v>517667.942682595</v>
      </c>
      <c r="J21" s="18" t="n">
        <f aca="false">J19-J20</f>
        <v>562930.073832033</v>
      </c>
      <c r="K21" s="18" t="n">
        <f aca="false">K19-K20</f>
        <v>609550.068915954</v>
      </c>
      <c r="L21" s="18" t="n">
        <f aca="false">L19-L20</f>
        <v>657568.663852394</v>
      </c>
      <c r="M21" s="18" t="n">
        <f aca="false">M19-M20</f>
        <v>1662097.57893561</v>
      </c>
    </row>
    <row r="23" customFormat="false" ht="15" hidden="false" customHeight="false" outlineLevel="0" collapsed="false">
      <c r="A23" s="2" t="s">
        <v>96</v>
      </c>
      <c r="C23" s="10" t="n">
        <f aca="false">SUMIF(Monthly!$B$2:$B$133,1,Monthly!$H$2:$H$133)</f>
        <v>1438</v>
      </c>
      <c r="D23" s="10" t="n">
        <f aca="false">SUMIF(Monthly!$B$2:$B$133,2,Monthly!$H$2:$H$133)</f>
        <v>1440</v>
      </c>
      <c r="E23" s="10" t="n">
        <f aca="false">SUMIF(Monthly!$B$2:$B$133,3,Monthly!$H$2:$H$133)</f>
        <v>1440</v>
      </c>
      <c r="F23" s="10" t="n">
        <f aca="false">SUMIF(Monthly!$B$2:$B$133,4,Monthly!$H$2:$H$133)</f>
        <v>1440</v>
      </c>
      <c r="G23" s="10" t="n">
        <f aca="false">SUMIF(Monthly!$B$2:$B$133,5,Monthly!$H$2:$H$133)</f>
        <v>1440</v>
      </c>
      <c r="H23" s="10" t="n">
        <f aca="false">SUMIF(Monthly!$B$2:$B$133,6,Monthly!$H$2:$H$133)</f>
        <v>1440</v>
      </c>
      <c r="I23" s="10" t="n">
        <f aca="false">SUMIF(Monthly!$B$2:$B$133,7,Monthly!$H$2:$H$133)</f>
        <v>1440</v>
      </c>
      <c r="J23" s="10" t="n">
        <f aca="false">SUMIF(Monthly!$B$2:$B$133,8,Monthly!$H$2:$H$133)</f>
        <v>1440</v>
      </c>
      <c r="K23" s="10" t="n">
        <f aca="false">SUMIF(Monthly!$B$2:$B$133,9,Monthly!$H$2:$H$133)</f>
        <v>1440</v>
      </c>
      <c r="L23" s="10" t="n">
        <f aca="false">SUMIF(Monthly!$B$2:$B$133,10,Monthly!$H$2:$H$133)</f>
        <v>1440</v>
      </c>
      <c r="M23" s="10" t="n">
        <f aca="false">SUMIF(Monthly!$B$2:$B$133,11,Monthly!$H$2:$H$133)</f>
        <v>1440</v>
      </c>
    </row>
    <row r="24" customFormat="false" ht="15" hidden="false" customHeight="false" outlineLevel="0" collapsed="false">
      <c r="A24" s="2" t="s">
        <v>97</v>
      </c>
      <c r="C24" s="12" t="n">
        <f aca="false">C23/(Inputs!$B$6*12)</f>
        <v>0.998611111111111</v>
      </c>
      <c r="D24" s="12" t="n">
        <f aca="false">D23/(Inputs!$B$6*12)</f>
        <v>1</v>
      </c>
      <c r="E24" s="12" t="n">
        <f aca="false">E23/(Inputs!$B$6*12)</f>
        <v>1</v>
      </c>
      <c r="F24" s="12" t="n">
        <f aca="false">F23/(Inputs!$B$6*12)</f>
        <v>1</v>
      </c>
      <c r="G24" s="12" t="n">
        <f aca="false">G23/(Inputs!$B$6*12)</f>
        <v>1</v>
      </c>
      <c r="H24" s="12" t="n">
        <f aca="false">H23/(Inputs!$B$6*12)</f>
        <v>1</v>
      </c>
      <c r="I24" s="12" t="n">
        <f aca="false">I23/(Inputs!$B$6*12)</f>
        <v>1</v>
      </c>
      <c r="J24" s="12" t="n">
        <f aca="false">J23/(Inputs!$B$6*12)</f>
        <v>1</v>
      </c>
      <c r="K24" s="12" t="n">
        <f aca="false">K23/(Inputs!$B$6*12)</f>
        <v>1</v>
      </c>
      <c r="L24" s="12" t="n">
        <f aca="false">L23/(Inputs!$B$6*12)</f>
        <v>1</v>
      </c>
      <c r="M24" s="12" t="n">
        <f aca="false">M23/(Inputs!$B$6*12)</f>
        <v>1</v>
      </c>
    </row>
    <row r="25" customFormat="false" ht="15" hidden="false" customHeight="false" outlineLevel="0" collapsed="false">
      <c r="A25" s="2" t="s">
        <v>98</v>
      </c>
      <c r="C25" s="19" t="n">
        <f aca="false">IF(C20=0,"",C16/C20)</f>
        <v>1.6025641025641</v>
      </c>
      <c r="D25" s="19" t="n">
        <f aca="false">IF(D20=0,"",D16/D20)</f>
        <v>1.65427246303357</v>
      </c>
      <c r="E25" s="19" t="n">
        <f aca="false">IF(E20=0,"",E16/E20)</f>
        <v>1.46809164549184</v>
      </c>
      <c r="F25" s="19" t="n">
        <f aca="false">IF(F20=0,"",F16/F20)</f>
        <v>1.51399522623152</v>
      </c>
      <c r="G25" s="19" t="n">
        <f aca="false">IF(G20=0,"",G16/G20)</f>
        <v>1.55974000651623</v>
      </c>
      <c r="H25" s="19" t="n">
        <f aca="false">IF(H20=0,"",H16/H20)</f>
        <v>1.60653220671172</v>
      </c>
      <c r="I25" s="19" t="n">
        <f aca="false">IF(I20=0,"",I16/I20)</f>
        <v>1.65472817291307</v>
      </c>
      <c r="J25" s="19" t="n">
        <f aca="false">IF(J20=0,"",J16/J20)</f>
        <v>1.70437001810046</v>
      </c>
      <c r="K25" s="19" t="n">
        <f aca="false">IF(K20=0,"",K16/K20)</f>
        <v>1.75550111864348</v>
      </c>
      <c r="L25" s="19" t="n">
        <f aca="false">IF(L20=0,"",L16/L20)</f>
        <v>1.80816615220278</v>
      </c>
      <c r="M25" s="19" t="str">
        <f aca="false">IF(M20=0,"",M16/M20)</f>
        <v/>
      </c>
    </row>
    <row r="26" customFormat="false" ht="15" hidden="false" customHeight="false" outlineLevel="0" collapsed="false">
      <c r="A26" s="2" t="s">
        <v>99</v>
      </c>
      <c r="C26" s="12" t="n">
        <f aca="false">C21/Returns!$C$10</f>
        <v>0.0454632824412755</v>
      </c>
      <c r="D26" s="12" t="n">
        <f aca="false">D21/Returns!$C$10</f>
        <v>0.0495403185991168</v>
      </c>
      <c r="E26" s="12" t="n">
        <f aca="false">E21/Returns!$C$10</f>
        <v>0.0393202853193358</v>
      </c>
      <c r="F26" s="12" t="n">
        <f aca="false">F21/Returns!$C$10</f>
        <v>0.044066195816778</v>
      </c>
      <c r="G26" s="12" t="n">
        <f aca="false">G21/Returns!$C$10</f>
        <v>0.0487884563739302</v>
      </c>
      <c r="H26" s="12" t="n">
        <f aca="false">H21/Returns!$C$10</f>
        <v>0.0536172614456174</v>
      </c>
      <c r="I26" s="12" t="n">
        <f aca="false">I21/Returns!$C$10</f>
        <v>0.0585909306694553</v>
      </c>
      <c r="J26" s="12" t="n">
        <f aca="false">J21/Returns!$C$10</f>
        <v>0.0637138099700084</v>
      </c>
      <c r="K26" s="12" t="n">
        <f aca="false">K21/Returns!$C$10</f>
        <v>0.0689903756495779</v>
      </c>
      <c r="L26" s="12" t="n">
        <f aca="false">L21/Returns!$C$10</f>
        <v>0.0744252382995347</v>
      </c>
      <c r="M26" s="12" t="n">
        <f aca="false">M21/Returns!$C$10</f>
        <v>0.188120290989307</v>
      </c>
    </row>
    <row r="28" customFormat="false" ht="15" hidden="false" customHeight="false" outlineLevel="0" collapsed="false">
      <c r="A28" s="14" t="s">
        <v>100</v>
      </c>
    </row>
    <row r="29" customFormat="false" ht="15" hidden="false" customHeight="false" outlineLevel="0" collapsed="false">
      <c r="A29" s="2" t="s">
        <v>81</v>
      </c>
      <c r="M29" s="10" t="n">
        <f aca="false">M7</f>
        <v>3151831.20104031</v>
      </c>
    </row>
    <row r="30" customFormat="false" ht="15" hidden="false" customHeight="false" outlineLevel="0" collapsed="false">
      <c r="A30" s="2" t="s">
        <v>101</v>
      </c>
      <c r="M30" s="10" t="n">
        <f aca="false">Inputs!$B$8*M29</f>
        <v>157591.560052015</v>
      </c>
    </row>
    <row r="31" customFormat="false" ht="15" hidden="false" customHeight="false" outlineLevel="0" collapsed="false">
      <c r="A31" s="2" t="s">
        <v>84</v>
      </c>
      <c r="M31" s="10" t="n">
        <f aca="false">M29-M30</f>
        <v>2994239.64098829</v>
      </c>
    </row>
    <row r="32" customFormat="false" ht="15" hidden="false" customHeight="false" outlineLevel="0" collapsed="false">
      <c r="A32" s="2" t="s">
        <v>12</v>
      </c>
      <c r="M32" s="10" t="n">
        <f aca="false">Inputs!$B$9*M31</f>
        <v>29942.3964098829</v>
      </c>
    </row>
    <row r="33" customFormat="false" ht="15" hidden="false" customHeight="false" outlineLevel="0" collapsed="false">
      <c r="A33" s="2" t="s">
        <v>86</v>
      </c>
      <c r="M33" s="10" t="n">
        <f aca="false">M31-M32</f>
        <v>2964297.24457841</v>
      </c>
    </row>
    <row r="34" customFormat="false" ht="15" hidden="false" customHeight="false" outlineLevel="0" collapsed="false">
      <c r="A34" s="2" t="s">
        <v>87</v>
      </c>
      <c r="M34" s="10" t="n">
        <f aca="false">M13</f>
        <v>1096635.7655448</v>
      </c>
    </row>
    <row r="35" customFormat="false" ht="15" hidden="false" customHeight="false" outlineLevel="0" collapsed="false">
      <c r="A35" s="2" t="s">
        <v>88</v>
      </c>
      <c r="M35" s="10" t="n">
        <f aca="false">Inputs!$B$12*M33</f>
        <v>88928.9173373523</v>
      </c>
    </row>
    <row r="36" customFormat="false" ht="15" hidden="false" customHeight="false" outlineLevel="0" collapsed="false">
      <c r="A36" s="14" t="s">
        <v>102</v>
      </c>
      <c r="M36" s="18" t="n">
        <f aca="false">M33-M34-M35</f>
        <v>1778732.56169625</v>
      </c>
    </row>
    <row r="37" customFormat="false" ht="15" hidden="false" customHeight="false" outlineLevel="0" collapsed="false">
      <c r="A37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11" min="9" style="0" width="9"/>
    <col collapsed="false" customWidth="true" hidden="false" outlineLevel="0" max="17" min="12" style="0" width="10"/>
    <col collapsed="false" customWidth="true" hidden="false" outlineLevel="0" max="18" min="18" style="0" width="11"/>
  </cols>
  <sheetData>
    <row r="1" customFormat="false" ht="45" hidden="false" customHeight="true" outlineLevel="0" collapsed="false">
      <c r="A1" s="20" t="s">
        <v>104</v>
      </c>
      <c r="B1" s="20" t="s">
        <v>105</v>
      </c>
      <c r="C1" s="20" t="s">
        <v>106</v>
      </c>
      <c r="D1" s="20" t="s">
        <v>107</v>
      </c>
      <c r="E1" s="20" t="s">
        <v>108</v>
      </c>
      <c r="F1" s="20" t="s">
        <v>109</v>
      </c>
      <c r="G1" s="20" t="s">
        <v>110</v>
      </c>
      <c r="H1" s="20" t="s">
        <v>111</v>
      </c>
      <c r="I1" s="20" t="s">
        <v>112</v>
      </c>
      <c r="J1" s="20" t="s">
        <v>113</v>
      </c>
      <c r="K1" s="20" t="s">
        <v>114</v>
      </c>
      <c r="L1" s="20" t="s">
        <v>115</v>
      </c>
      <c r="M1" s="20" t="s">
        <v>116</v>
      </c>
      <c r="N1" s="20" t="s">
        <v>117</v>
      </c>
      <c r="O1" s="20" t="s">
        <v>118</v>
      </c>
      <c r="P1" s="20" t="s">
        <v>119</v>
      </c>
      <c r="Q1" s="20" t="s">
        <v>120</v>
      </c>
      <c r="R1" s="20" t="s">
        <v>121</v>
      </c>
    </row>
    <row r="2" customFormat="false" ht="15" hidden="false" customHeight="false" outlineLevel="0" collapsed="false">
      <c r="A2" s="21" t="n">
        <v>101</v>
      </c>
      <c r="B2" s="21" t="s">
        <v>122</v>
      </c>
      <c r="C2" s="21" t="n">
        <v>735</v>
      </c>
      <c r="D2" s="21" t="s">
        <v>123</v>
      </c>
      <c r="E2" s="8" t="n">
        <v>1525</v>
      </c>
      <c r="F2" s="8" t="n">
        <v>1565</v>
      </c>
      <c r="G2" s="8" t="n">
        <v>0</v>
      </c>
      <c r="H2" s="4" t="n">
        <v>46356</v>
      </c>
      <c r="I2" s="21"/>
      <c r="J2" s="8"/>
      <c r="K2" s="2" t="n">
        <f aca="false">IF(D2="Occupied",1,0)</f>
        <v>1</v>
      </c>
      <c r="L2" s="2" t="n">
        <f aca="false">IF(AND(K2=1,I2="Yes"),1,0)</f>
        <v>0</v>
      </c>
      <c r="M2" s="2" t="n">
        <f aca="false">IF(K2=1,IF(OR(H2="",H2&lt;Inputs!$B$5),1,(YEAR(H2)-YEAR(Inputs!$B$5))*12+MONTH(H2)-MONTH(Inputs!$B$5)+2),"")</f>
        <v>2</v>
      </c>
      <c r="N2" s="2" t="str">
        <f aca="false">IF(K2=0,IF(I2="Yes",COUNTIFS(K$2:K2,0,I$2:I2,"Yes")-1,COUNTIFS(K$2:K$121,0,I$2:I$121,"Yes")+COUNTIFS(K$2:K2,0,I$2:I2,"&lt;&gt;Yes")-1),"")</f>
        <v/>
      </c>
      <c r="O2" s="2" t="str">
        <f aca="false">IF(K2=0,INT(N2/Inputs!$B$17)+1,"")</f>
        <v/>
      </c>
      <c r="P2" s="2" t="n">
        <f aca="false">IF(K2=1,1,O2)</f>
        <v>1</v>
      </c>
      <c r="Q2" s="2" t="n">
        <f aca="false">IF(K2=1,M2,O2+12)</f>
        <v>2</v>
      </c>
      <c r="R2" s="11" t="str">
        <f aca="false">IF(K2=0,IF(AND(I2="Yes",J2&lt;&gt;""),J2,E2*(1+Inputs!$B$7)^(INT((O2-1)/12))),"")</f>
        <v/>
      </c>
    </row>
    <row r="3" customFormat="false" ht="15" hidden="false" customHeight="false" outlineLevel="0" collapsed="false">
      <c r="A3" s="21" t="n">
        <v>102</v>
      </c>
      <c r="B3" s="21" t="s">
        <v>122</v>
      </c>
      <c r="C3" s="21" t="n">
        <v>735</v>
      </c>
      <c r="D3" s="21" t="s">
        <v>123</v>
      </c>
      <c r="E3" s="8" t="n">
        <v>1525</v>
      </c>
      <c r="F3" s="8" t="n">
        <v>1235</v>
      </c>
      <c r="G3" s="8" t="n">
        <v>45</v>
      </c>
      <c r="H3" s="4" t="n">
        <v>46477</v>
      </c>
      <c r="I3" s="21"/>
      <c r="J3" s="8"/>
      <c r="K3" s="2" t="n">
        <f aca="false">IF(D3="Occupied",1,0)</f>
        <v>1</v>
      </c>
      <c r="L3" s="2" t="n">
        <f aca="false">IF(AND(K3=1,I3="Yes"),1,0)</f>
        <v>0</v>
      </c>
      <c r="M3" s="2" t="n">
        <f aca="false">IF(K3=1,IF(OR(H3="",H3&lt;Inputs!$B$5),1,(YEAR(H3)-YEAR(Inputs!$B$5))*12+MONTH(H3)-MONTH(Inputs!$B$5)+2),"")</f>
        <v>6</v>
      </c>
      <c r="N3" s="2" t="str">
        <f aca="false">IF(K3=0,IF(I3="Yes",COUNTIFS(K$2:K3,0,I$2:I3,"Yes")-1,COUNTIFS(K$2:K$121,0,I$2:I$121,"Yes")+COUNTIFS(K$2:K3,0,I$2:I3,"&lt;&gt;Yes")-1),"")</f>
        <v/>
      </c>
      <c r="O3" s="2" t="str">
        <f aca="false">IF(K3=0,INT(N3/Inputs!$B$17)+1,"")</f>
        <v/>
      </c>
      <c r="P3" s="2" t="n">
        <f aca="false">IF(K3=1,1,O3)</f>
        <v>1</v>
      </c>
      <c r="Q3" s="2" t="n">
        <f aca="false">IF(K3=1,M3,O3+12)</f>
        <v>6</v>
      </c>
      <c r="R3" s="11" t="str">
        <f aca="false">IF(K3=0,IF(AND(I3="Yes",J3&lt;&gt;""),J3,E3*(1+Inputs!$B$7)^(INT((O3-1)/12))),"")</f>
        <v/>
      </c>
    </row>
    <row r="4" customFormat="false" ht="15" hidden="false" customHeight="false" outlineLevel="0" collapsed="false">
      <c r="A4" s="21" t="n">
        <v>103</v>
      </c>
      <c r="B4" s="21" t="s">
        <v>122</v>
      </c>
      <c r="C4" s="21" t="n">
        <v>735</v>
      </c>
      <c r="D4" s="21" t="s">
        <v>123</v>
      </c>
      <c r="E4" s="8" t="n">
        <v>1525</v>
      </c>
      <c r="F4" s="8" t="n">
        <v>1475</v>
      </c>
      <c r="G4" s="8" t="n">
        <v>62</v>
      </c>
      <c r="H4" s="4" t="n">
        <v>46630</v>
      </c>
      <c r="I4" s="21"/>
      <c r="J4" s="8"/>
      <c r="K4" s="2" t="n">
        <f aca="false">IF(D4="Occupied",1,0)</f>
        <v>1</v>
      </c>
      <c r="L4" s="2" t="n">
        <f aca="false">IF(AND(K4=1,I4="Yes"),1,0)</f>
        <v>0</v>
      </c>
      <c r="M4" s="2" t="n">
        <f aca="false">IF(K4=1,IF(OR(H4="",H4&lt;Inputs!$B$5),1,(YEAR(H4)-YEAR(Inputs!$B$5))*12+MONTH(H4)-MONTH(Inputs!$B$5)+2),"")</f>
        <v>11</v>
      </c>
      <c r="N4" s="2" t="str">
        <f aca="false">IF(K4=0,IF(I4="Yes",COUNTIFS(K$2:K4,0,I$2:I4,"Yes")-1,COUNTIFS(K$2:K$121,0,I$2:I$121,"Yes")+COUNTIFS(K$2:K4,0,I$2:I4,"&lt;&gt;Yes")-1),"")</f>
        <v/>
      </c>
      <c r="O4" s="2" t="str">
        <f aca="false">IF(K4=0,INT(N4/Inputs!$B$17)+1,"")</f>
        <v/>
      </c>
      <c r="P4" s="2" t="n">
        <f aca="false">IF(K4=1,1,O4)</f>
        <v>1</v>
      </c>
      <c r="Q4" s="2" t="n">
        <f aca="false">IF(K4=1,M4,O4+12)</f>
        <v>11</v>
      </c>
      <c r="R4" s="11" t="str">
        <f aca="false">IF(K4=0,IF(AND(I4="Yes",J4&lt;&gt;""),J4,E4*(1+Inputs!$B$7)^(INT((O4-1)/12))),"")</f>
        <v/>
      </c>
    </row>
    <row r="5" customFormat="false" ht="15" hidden="false" customHeight="false" outlineLevel="0" collapsed="false">
      <c r="A5" s="21" t="n">
        <v>104</v>
      </c>
      <c r="B5" s="21" t="s">
        <v>122</v>
      </c>
      <c r="C5" s="21" t="n">
        <v>735</v>
      </c>
      <c r="D5" s="21" t="s">
        <v>124</v>
      </c>
      <c r="E5" s="8" t="n">
        <v>1525</v>
      </c>
      <c r="F5" s="8" t="n">
        <v>0</v>
      </c>
      <c r="G5" s="8" t="n">
        <v>0</v>
      </c>
      <c r="H5" s="4"/>
      <c r="I5" s="21"/>
      <c r="J5" s="8"/>
      <c r="K5" s="2" t="n">
        <f aca="false">IF(D5="Occupied",1,0)</f>
        <v>0</v>
      </c>
      <c r="L5" s="2" t="n">
        <f aca="false">IF(AND(K5=1,I5="Yes"),1,0)</f>
        <v>0</v>
      </c>
      <c r="M5" s="2" t="str">
        <f aca="false">IF(K5=1,IF(OR(H5="",H5&lt;Inputs!$B$5),1,(YEAR(H5)-YEAR(Inputs!$B$5))*12+MONTH(H5)-MONTH(Inputs!$B$5)+2),"")</f>
        <v/>
      </c>
      <c r="N5" s="2" t="n">
        <f aca="false">IF(K5=0,IF(I5="Yes",COUNTIFS(K$2:K5,0,I$2:I5,"Yes")-1,COUNTIFS(K$2:K$121,0,I$2:I$121,"Yes")+COUNTIFS(K$2:K5,0,I$2:I5,"&lt;&gt;Yes")-1),"")</f>
        <v>3</v>
      </c>
      <c r="O5" s="2" t="n">
        <f aca="false">IF(K5=0,INT(N5/Inputs!$B$17)+1,"")</f>
        <v>1</v>
      </c>
      <c r="P5" s="2" t="n">
        <f aca="false">IF(K5=1,1,O5)</f>
        <v>1</v>
      </c>
      <c r="Q5" s="2" t="n">
        <f aca="false">IF(K5=1,M5,O5+12)</f>
        <v>13</v>
      </c>
      <c r="R5" s="11" t="n">
        <f aca="false">IF(K5=0,IF(AND(I5="Yes",J5&lt;&gt;""),J5,E5*(1+Inputs!$B$7)^(INT((O5-1)/12))),"")</f>
        <v>1525</v>
      </c>
    </row>
    <row r="6" customFormat="false" ht="15" hidden="false" customHeight="false" outlineLevel="0" collapsed="false">
      <c r="A6" s="21" t="n">
        <v>105</v>
      </c>
      <c r="B6" s="21" t="s">
        <v>122</v>
      </c>
      <c r="C6" s="21" t="n">
        <v>735</v>
      </c>
      <c r="D6" s="21" t="s">
        <v>123</v>
      </c>
      <c r="E6" s="8" t="n">
        <v>1525</v>
      </c>
      <c r="F6" s="8" t="n">
        <v>1445</v>
      </c>
      <c r="G6" s="8" t="n">
        <v>0</v>
      </c>
      <c r="H6" s="4" t="n">
        <v>46387</v>
      </c>
      <c r="I6" s="21"/>
      <c r="J6" s="8"/>
      <c r="K6" s="2" t="n">
        <f aca="false">IF(D6="Occupied",1,0)</f>
        <v>1</v>
      </c>
      <c r="L6" s="2" t="n">
        <f aca="false">IF(AND(K6=1,I6="Yes"),1,0)</f>
        <v>0</v>
      </c>
      <c r="M6" s="2" t="n">
        <f aca="false">IF(K6=1,IF(OR(H6="",H6&lt;Inputs!$B$5),1,(YEAR(H6)-YEAR(Inputs!$B$5))*12+MONTH(H6)-MONTH(Inputs!$B$5)+2),"")</f>
        <v>3</v>
      </c>
      <c r="N6" s="2" t="str">
        <f aca="false">IF(K6=0,IF(I6="Yes",COUNTIFS(K$2:K6,0,I$2:I6,"Yes")-1,COUNTIFS(K$2:K$121,0,I$2:I$121,"Yes")+COUNTIFS(K$2:K6,0,I$2:I6,"&lt;&gt;Yes")-1),"")</f>
        <v/>
      </c>
      <c r="O6" s="2" t="str">
        <f aca="false">IF(K6=0,INT(N6/Inputs!$B$17)+1,"")</f>
        <v/>
      </c>
      <c r="P6" s="2" t="n">
        <f aca="false">IF(K6=1,1,O6)</f>
        <v>1</v>
      </c>
      <c r="Q6" s="2" t="n">
        <f aca="false">IF(K6=1,M6,O6+12)</f>
        <v>3</v>
      </c>
      <c r="R6" s="11" t="str">
        <f aca="false">IF(K6=0,IF(AND(I6="Yes",J6&lt;&gt;""),J6,E6*(1+Inputs!$B$7)^(INT((O6-1)/12))),"")</f>
        <v/>
      </c>
    </row>
    <row r="7" customFormat="false" ht="15" hidden="false" customHeight="false" outlineLevel="0" collapsed="false">
      <c r="A7" s="21" t="n">
        <v>106</v>
      </c>
      <c r="B7" s="21" t="s">
        <v>122</v>
      </c>
      <c r="C7" s="21" t="n">
        <v>735</v>
      </c>
      <c r="D7" s="21" t="s">
        <v>123</v>
      </c>
      <c r="E7" s="8" t="n">
        <v>1525</v>
      </c>
      <c r="F7" s="8" t="n">
        <v>1400</v>
      </c>
      <c r="G7" s="8" t="n">
        <v>52</v>
      </c>
      <c r="H7" s="4" t="n">
        <v>46418</v>
      </c>
      <c r="I7" s="21"/>
      <c r="J7" s="8"/>
      <c r="K7" s="2" t="n">
        <f aca="false">IF(D7="Occupied",1,0)</f>
        <v>1</v>
      </c>
      <c r="L7" s="2" t="n">
        <f aca="false">IF(AND(K7=1,I7="Yes"),1,0)</f>
        <v>0</v>
      </c>
      <c r="M7" s="2" t="n">
        <f aca="false">IF(K7=1,IF(OR(H7="",H7&lt;Inputs!$B$5),1,(YEAR(H7)-YEAR(Inputs!$B$5))*12+MONTH(H7)-MONTH(Inputs!$B$5)+2),"")</f>
        <v>4</v>
      </c>
      <c r="N7" s="2" t="str">
        <f aca="false">IF(K7=0,IF(I7="Yes",COUNTIFS(K$2:K7,0,I$2:I7,"Yes")-1,COUNTIFS(K$2:K$121,0,I$2:I$121,"Yes")+COUNTIFS(K$2:K7,0,I$2:I7,"&lt;&gt;Yes")-1),"")</f>
        <v/>
      </c>
      <c r="O7" s="2" t="str">
        <f aca="false">IF(K7=0,INT(N7/Inputs!$B$17)+1,"")</f>
        <v/>
      </c>
      <c r="P7" s="2" t="n">
        <f aca="false">IF(K7=1,1,O7)</f>
        <v>1</v>
      </c>
      <c r="Q7" s="2" t="n">
        <f aca="false">IF(K7=1,M7,O7+12)</f>
        <v>4</v>
      </c>
      <c r="R7" s="11" t="str">
        <f aca="false">IF(K7=0,IF(AND(I7="Yes",J7&lt;&gt;""),J7,E7*(1+Inputs!$B$7)^(INT((O7-1)/12))),"")</f>
        <v/>
      </c>
    </row>
    <row r="8" customFormat="false" ht="15" hidden="false" customHeight="false" outlineLevel="0" collapsed="false">
      <c r="A8" s="21" t="n">
        <v>107</v>
      </c>
      <c r="B8" s="21" t="s">
        <v>122</v>
      </c>
      <c r="C8" s="21" t="n">
        <v>735</v>
      </c>
      <c r="D8" s="21" t="s">
        <v>123</v>
      </c>
      <c r="E8" s="8" t="n">
        <v>1525</v>
      </c>
      <c r="F8" s="8" t="n">
        <v>1580</v>
      </c>
      <c r="G8" s="8" t="n">
        <v>45</v>
      </c>
      <c r="H8" s="4" t="n">
        <v>46387</v>
      </c>
      <c r="I8" s="21"/>
      <c r="J8" s="8"/>
      <c r="K8" s="2" t="n">
        <f aca="false">IF(D8="Occupied",1,0)</f>
        <v>1</v>
      </c>
      <c r="L8" s="2" t="n">
        <f aca="false">IF(AND(K8=1,I8="Yes"),1,0)</f>
        <v>0</v>
      </c>
      <c r="M8" s="2" t="n">
        <f aca="false">IF(K8=1,IF(OR(H8="",H8&lt;Inputs!$B$5),1,(YEAR(H8)-YEAR(Inputs!$B$5))*12+MONTH(H8)-MONTH(Inputs!$B$5)+2),"")</f>
        <v>3</v>
      </c>
      <c r="N8" s="2" t="str">
        <f aca="false">IF(K8=0,IF(I8="Yes",COUNTIFS(K$2:K8,0,I$2:I8,"Yes")-1,COUNTIFS(K$2:K$121,0,I$2:I$121,"Yes")+COUNTIFS(K$2:K8,0,I$2:I8,"&lt;&gt;Yes")-1),"")</f>
        <v/>
      </c>
      <c r="O8" s="2" t="str">
        <f aca="false">IF(K8=0,INT(N8/Inputs!$B$17)+1,"")</f>
        <v/>
      </c>
      <c r="P8" s="2" t="n">
        <f aca="false">IF(K8=1,1,O8)</f>
        <v>1</v>
      </c>
      <c r="Q8" s="2" t="n">
        <f aca="false">IF(K8=1,M8,O8+12)</f>
        <v>3</v>
      </c>
      <c r="R8" s="11" t="str">
        <f aca="false">IF(K8=0,IF(AND(I8="Yes",J8&lt;&gt;""),J8,E8*(1+Inputs!$B$7)^(INT((O8-1)/12))),"")</f>
        <v/>
      </c>
    </row>
    <row r="9" customFormat="false" ht="15" hidden="false" customHeight="false" outlineLevel="0" collapsed="false">
      <c r="A9" s="21" t="n">
        <v>108</v>
      </c>
      <c r="B9" s="21" t="s">
        <v>122</v>
      </c>
      <c r="C9" s="21" t="n">
        <v>735</v>
      </c>
      <c r="D9" s="21" t="s">
        <v>123</v>
      </c>
      <c r="E9" s="8" t="n">
        <v>1525</v>
      </c>
      <c r="F9" s="8" t="n">
        <v>1475</v>
      </c>
      <c r="G9" s="8" t="n">
        <v>0</v>
      </c>
      <c r="H9" s="4" t="n">
        <v>46538</v>
      </c>
      <c r="I9" s="21"/>
      <c r="J9" s="8"/>
      <c r="K9" s="2" t="n">
        <f aca="false">IF(D9="Occupied",1,0)</f>
        <v>1</v>
      </c>
      <c r="L9" s="2" t="n">
        <f aca="false">IF(AND(K9=1,I9="Yes"),1,0)</f>
        <v>0</v>
      </c>
      <c r="M9" s="2" t="n">
        <f aca="false">IF(K9=1,IF(OR(H9="",H9&lt;Inputs!$B$5),1,(YEAR(H9)-YEAR(Inputs!$B$5))*12+MONTH(H9)-MONTH(Inputs!$B$5)+2),"")</f>
        <v>8</v>
      </c>
      <c r="N9" s="2" t="str">
        <f aca="false">IF(K9=0,IF(I9="Yes",COUNTIFS(K$2:K9,0,I$2:I9,"Yes")-1,COUNTIFS(K$2:K$121,0,I$2:I$121,"Yes")+COUNTIFS(K$2:K9,0,I$2:I9,"&lt;&gt;Yes")-1),"")</f>
        <v/>
      </c>
      <c r="O9" s="2" t="str">
        <f aca="false">IF(K9=0,INT(N9/Inputs!$B$17)+1,"")</f>
        <v/>
      </c>
      <c r="P9" s="2" t="n">
        <f aca="false">IF(K9=1,1,O9)</f>
        <v>1</v>
      </c>
      <c r="Q9" s="2" t="n">
        <f aca="false">IF(K9=1,M9,O9+12)</f>
        <v>8</v>
      </c>
      <c r="R9" s="11" t="str">
        <f aca="false">IF(K9=0,IF(AND(I9="Yes",J9&lt;&gt;""),J9,E9*(1+Inputs!$B$7)^(INT((O9-1)/12))),"")</f>
        <v/>
      </c>
    </row>
    <row r="10" customFormat="false" ht="15" hidden="false" customHeight="false" outlineLevel="0" collapsed="false">
      <c r="A10" s="21" t="n">
        <v>109</v>
      </c>
      <c r="B10" s="21" t="s">
        <v>122</v>
      </c>
      <c r="C10" s="21" t="n">
        <v>735</v>
      </c>
      <c r="D10" s="21" t="s">
        <v>123</v>
      </c>
      <c r="E10" s="8" t="n">
        <v>1525</v>
      </c>
      <c r="F10" s="8" t="n">
        <v>1565</v>
      </c>
      <c r="G10" s="8" t="n">
        <v>12</v>
      </c>
      <c r="H10" s="4" t="n">
        <v>46568</v>
      </c>
      <c r="I10" s="21"/>
      <c r="J10" s="8"/>
      <c r="K10" s="2" t="n">
        <f aca="false">IF(D10="Occupied",1,0)</f>
        <v>1</v>
      </c>
      <c r="L10" s="2" t="n">
        <f aca="false">IF(AND(K10=1,I10="Yes"),1,0)</f>
        <v>0</v>
      </c>
      <c r="M10" s="2" t="n">
        <f aca="false">IF(K10=1,IF(OR(H10="",H10&lt;Inputs!$B$5),1,(YEAR(H10)-YEAR(Inputs!$B$5))*12+MONTH(H10)-MONTH(Inputs!$B$5)+2),"")</f>
        <v>9</v>
      </c>
      <c r="N10" s="2" t="str">
        <f aca="false">IF(K10=0,IF(I10="Yes",COUNTIFS(K$2:K10,0,I$2:I10,"Yes")-1,COUNTIFS(K$2:K$121,0,I$2:I$121,"Yes")+COUNTIFS(K$2:K10,0,I$2:I10,"&lt;&gt;Yes")-1),"")</f>
        <v/>
      </c>
      <c r="O10" s="2" t="str">
        <f aca="false">IF(K10=0,INT(N10/Inputs!$B$17)+1,"")</f>
        <v/>
      </c>
      <c r="P10" s="2" t="n">
        <f aca="false">IF(K10=1,1,O10)</f>
        <v>1</v>
      </c>
      <c r="Q10" s="2" t="n">
        <f aca="false">IF(K10=1,M10,O10+12)</f>
        <v>9</v>
      </c>
      <c r="R10" s="11" t="str">
        <f aca="false">IF(K10=0,IF(AND(I10="Yes",J10&lt;&gt;""),J10,E10*(1+Inputs!$B$7)^(INT((O10-1)/12))),"")</f>
        <v/>
      </c>
    </row>
    <row r="11" customFormat="false" ht="15" hidden="false" customHeight="false" outlineLevel="0" collapsed="false">
      <c r="A11" s="21" t="n">
        <v>110</v>
      </c>
      <c r="B11" s="21" t="s">
        <v>122</v>
      </c>
      <c r="C11" s="21" t="n">
        <v>735</v>
      </c>
      <c r="D11" s="21" t="s">
        <v>123</v>
      </c>
      <c r="E11" s="8" t="n">
        <v>1525</v>
      </c>
      <c r="F11" s="8" t="n">
        <v>1500</v>
      </c>
      <c r="G11" s="8" t="n">
        <v>37</v>
      </c>
      <c r="H11" s="4" t="n">
        <v>46660</v>
      </c>
      <c r="I11" s="21"/>
      <c r="J11" s="8"/>
      <c r="K11" s="2" t="n">
        <f aca="false">IF(D11="Occupied",1,0)</f>
        <v>1</v>
      </c>
      <c r="L11" s="2" t="n">
        <f aca="false">IF(AND(K11=1,I11="Yes"),1,0)</f>
        <v>0</v>
      </c>
      <c r="M11" s="2" t="n">
        <f aca="false">IF(K11=1,IF(OR(H11="",H11&lt;Inputs!$B$5),1,(YEAR(H11)-YEAR(Inputs!$B$5))*12+MONTH(H11)-MONTH(Inputs!$B$5)+2),"")</f>
        <v>12</v>
      </c>
      <c r="N11" s="2" t="str">
        <f aca="false">IF(K11=0,IF(I11="Yes",COUNTIFS(K$2:K11,0,I$2:I11,"Yes")-1,COUNTIFS(K$2:K$121,0,I$2:I$121,"Yes")+COUNTIFS(K$2:K11,0,I$2:I11,"&lt;&gt;Yes")-1),"")</f>
        <v/>
      </c>
      <c r="O11" s="2" t="str">
        <f aca="false">IF(K11=0,INT(N11/Inputs!$B$17)+1,"")</f>
        <v/>
      </c>
      <c r="P11" s="2" t="n">
        <f aca="false">IF(K11=1,1,O11)</f>
        <v>1</v>
      </c>
      <c r="Q11" s="2" t="n">
        <f aca="false">IF(K11=1,M11,O11+12)</f>
        <v>12</v>
      </c>
      <c r="R11" s="11" t="str">
        <f aca="false">IF(K11=0,IF(AND(I11="Yes",J11&lt;&gt;""),J11,E11*(1+Inputs!$B$7)^(INT((O11-1)/12))),"")</f>
        <v/>
      </c>
    </row>
    <row r="12" customFormat="false" ht="15" hidden="false" customHeight="false" outlineLevel="0" collapsed="false">
      <c r="A12" s="21" t="n">
        <v>111</v>
      </c>
      <c r="B12" s="21" t="s">
        <v>122</v>
      </c>
      <c r="C12" s="21" t="n">
        <v>735</v>
      </c>
      <c r="D12" s="21" t="s">
        <v>123</v>
      </c>
      <c r="E12" s="8" t="n">
        <v>1525</v>
      </c>
      <c r="F12" s="8" t="n">
        <v>1450</v>
      </c>
      <c r="G12" s="8" t="n">
        <v>47</v>
      </c>
      <c r="H12" s="4" t="n">
        <v>46538</v>
      </c>
      <c r="I12" s="21"/>
      <c r="J12" s="8"/>
      <c r="K12" s="2" t="n">
        <f aca="false">IF(D12="Occupied",1,0)</f>
        <v>1</v>
      </c>
      <c r="L12" s="2" t="n">
        <f aca="false">IF(AND(K12=1,I12="Yes"),1,0)</f>
        <v>0</v>
      </c>
      <c r="M12" s="2" t="n">
        <f aca="false">IF(K12=1,IF(OR(H12="",H12&lt;Inputs!$B$5),1,(YEAR(H12)-YEAR(Inputs!$B$5))*12+MONTH(H12)-MONTH(Inputs!$B$5)+2),"")</f>
        <v>8</v>
      </c>
      <c r="N12" s="2" t="str">
        <f aca="false">IF(K12=0,IF(I12="Yes",COUNTIFS(K$2:K12,0,I$2:I12,"Yes")-1,COUNTIFS(K$2:K$121,0,I$2:I$121,"Yes")+COUNTIFS(K$2:K12,0,I$2:I12,"&lt;&gt;Yes")-1),"")</f>
        <v/>
      </c>
      <c r="O12" s="2" t="str">
        <f aca="false">IF(K12=0,INT(N12/Inputs!$B$17)+1,"")</f>
        <v/>
      </c>
      <c r="P12" s="2" t="n">
        <f aca="false">IF(K12=1,1,O12)</f>
        <v>1</v>
      </c>
      <c r="Q12" s="2" t="n">
        <f aca="false">IF(K12=1,M12,O12+12)</f>
        <v>8</v>
      </c>
      <c r="R12" s="11" t="str">
        <f aca="false">IF(K12=0,IF(AND(I12="Yes",J12&lt;&gt;""),J12,E12*(1+Inputs!$B$7)^(INT((O12-1)/12))),"")</f>
        <v/>
      </c>
    </row>
    <row r="13" customFormat="false" ht="15" hidden="false" customHeight="false" outlineLevel="0" collapsed="false">
      <c r="A13" s="21" t="n">
        <v>112</v>
      </c>
      <c r="B13" s="21" t="s">
        <v>122</v>
      </c>
      <c r="C13" s="21" t="n">
        <v>735</v>
      </c>
      <c r="D13" s="21" t="s">
        <v>123</v>
      </c>
      <c r="E13" s="8" t="n">
        <v>1525</v>
      </c>
      <c r="F13" s="8" t="n">
        <v>1555</v>
      </c>
      <c r="G13" s="8" t="n">
        <v>12</v>
      </c>
      <c r="H13" s="4" t="n">
        <v>46418</v>
      </c>
      <c r="I13" s="21"/>
      <c r="J13" s="8"/>
      <c r="K13" s="2" t="n">
        <f aca="false">IF(D13="Occupied",1,0)</f>
        <v>1</v>
      </c>
      <c r="L13" s="2" t="n">
        <f aca="false">IF(AND(K13=1,I13="Yes"),1,0)</f>
        <v>0</v>
      </c>
      <c r="M13" s="2" t="n">
        <f aca="false">IF(K13=1,IF(OR(H13="",H13&lt;Inputs!$B$5),1,(YEAR(H13)-YEAR(Inputs!$B$5))*12+MONTH(H13)-MONTH(Inputs!$B$5)+2),"")</f>
        <v>4</v>
      </c>
      <c r="N13" s="2" t="str">
        <f aca="false">IF(K13=0,IF(I13="Yes",COUNTIFS(K$2:K13,0,I$2:I13,"Yes")-1,COUNTIFS(K$2:K$121,0,I$2:I$121,"Yes")+COUNTIFS(K$2:K13,0,I$2:I13,"&lt;&gt;Yes")-1),"")</f>
        <v/>
      </c>
      <c r="O13" s="2" t="str">
        <f aca="false">IF(K13=0,INT(N13/Inputs!$B$17)+1,"")</f>
        <v/>
      </c>
      <c r="P13" s="2" t="n">
        <f aca="false">IF(K13=1,1,O13)</f>
        <v>1</v>
      </c>
      <c r="Q13" s="2" t="n">
        <f aca="false">IF(K13=1,M13,O13+12)</f>
        <v>4</v>
      </c>
      <c r="R13" s="11" t="str">
        <f aca="false">IF(K13=0,IF(AND(I13="Yes",J13&lt;&gt;""),J13,E13*(1+Inputs!$B$7)^(INT((O13-1)/12))),"")</f>
        <v/>
      </c>
    </row>
    <row r="14" customFormat="false" ht="15" hidden="false" customHeight="false" outlineLevel="0" collapsed="false">
      <c r="A14" s="21" t="n">
        <v>113</v>
      </c>
      <c r="B14" s="21" t="s">
        <v>125</v>
      </c>
      <c r="C14" s="21" t="n">
        <v>560</v>
      </c>
      <c r="D14" s="21" t="s">
        <v>123</v>
      </c>
      <c r="E14" s="8" t="n">
        <v>1295</v>
      </c>
      <c r="F14" s="8" t="n">
        <v>1320</v>
      </c>
      <c r="G14" s="8" t="n">
        <v>12</v>
      </c>
      <c r="H14" s="4" t="n">
        <v>46568</v>
      </c>
      <c r="I14" s="21"/>
      <c r="J14" s="8"/>
      <c r="K14" s="2" t="n">
        <f aca="false">IF(D14="Occupied",1,0)</f>
        <v>1</v>
      </c>
      <c r="L14" s="2" t="n">
        <f aca="false">IF(AND(K14=1,I14="Yes"),1,0)</f>
        <v>0</v>
      </c>
      <c r="M14" s="2" t="n">
        <f aca="false">IF(K14=1,IF(OR(H14="",H14&lt;Inputs!$B$5),1,(YEAR(H14)-YEAR(Inputs!$B$5))*12+MONTH(H14)-MONTH(Inputs!$B$5)+2),"")</f>
        <v>9</v>
      </c>
      <c r="N14" s="2" t="str">
        <f aca="false">IF(K14=0,IF(I14="Yes",COUNTIFS(K$2:K14,0,I$2:I14,"Yes")-1,COUNTIFS(K$2:K$121,0,I$2:I$121,"Yes")+COUNTIFS(K$2:K14,0,I$2:I14,"&lt;&gt;Yes")-1),"")</f>
        <v/>
      </c>
      <c r="O14" s="2" t="str">
        <f aca="false">IF(K14=0,INT(N14/Inputs!$B$17)+1,"")</f>
        <v/>
      </c>
      <c r="P14" s="2" t="n">
        <f aca="false">IF(K14=1,1,O14)</f>
        <v>1</v>
      </c>
      <c r="Q14" s="2" t="n">
        <f aca="false">IF(K14=1,M14,O14+12)</f>
        <v>9</v>
      </c>
      <c r="R14" s="11" t="str">
        <f aca="false">IF(K14=0,IF(AND(I14="Yes",J14&lt;&gt;""),J14,E14*(1+Inputs!$B$7)^(INT((O14-1)/12))),"")</f>
        <v/>
      </c>
    </row>
    <row r="15" customFormat="false" ht="15" hidden="false" customHeight="false" outlineLevel="0" collapsed="false">
      <c r="A15" s="21" t="n">
        <v>114</v>
      </c>
      <c r="B15" s="21" t="s">
        <v>125</v>
      </c>
      <c r="C15" s="21" t="n">
        <v>560</v>
      </c>
      <c r="D15" s="21" t="s">
        <v>123</v>
      </c>
      <c r="E15" s="8" t="n">
        <v>1295</v>
      </c>
      <c r="F15" s="8" t="n">
        <v>1245</v>
      </c>
      <c r="G15" s="8" t="n">
        <v>0</v>
      </c>
      <c r="H15" s="4" t="n">
        <v>46599</v>
      </c>
      <c r="I15" s="21"/>
      <c r="J15" s="8"/>
      <c r="K15" s="2" t="n">
        <f aca="false">IF(D15="Occupied",1,0)</f>
        <v>1</v>
      </c>
      <c r="L15" s="2" t="n">
        <f aca="false">IF(AND(K15=1,I15="Yes"),1,0)</f>
        <v>0</v>
      </c>
      <c r="M15" s="2" t="n">
        <f aca="false">IF(K15=1,IF(OR(H15="",H15&lt;Inputs!$B$5),1,(YEAR(H15)-YEAR(Inputs!$B$5))*12+MONTH(H15)-MONTH(Inputs!$B$5)+2),"")</f>
        <v>10</v>
      </c>
      <c r="N15" s="2" t="str">
        <f aca="false">IF(K15=0,IF(I15="Yes",COUNTIFS(K$2:K15,0,I$2:I15,"Yes")-1,COUNTIFS(K$2:K$121,0,I$2:I$121,"Yes")+COUNTIFS(K$2:K15,0,I$2:I15,"&lt;&gt;Yes")-1),"")</f>
        <v/>
      </c>
      <c r="O15" s="2" t="str">
        <f aca="false">IF(K15=0,INT(N15/Inputs!$B$17)+1,"")</f>
        <v/>
      </c>
      <c r="P15" s="2" t="n">
        <f aca="false">IF(K15=1,1,O15)</f>
        <v>1</v>
      </c>
      <c r="Q15" s="2" t="n">
        <f aca="false">IF(K15=1,M15,O15+12)</f>
        <v>10</v>
      </c>
      <c r="R15" s="11" t="str">
        <f aca="false">IF(K15=0,IF(AND(I15="Yes",J15&lt;&gt;""),J15,E15*(1+Inputs!$B$7)^(INT((O15-1)/12))),"")</f>
        <v/>
      </c>
    </row>
    <row r="16" customFormat="false" ht="15" hidden="false" customHeight="false" outlineLevel="0" collapsed="false">
      <c r="A16" s="21" t="n">
        <v>115</v>
      </c>
      <c r="B16" s="21" t="s">
        <v>125</v>
      </c>
      <c r="C16" s="21" t="n">
        <v>560</v>
      </c>
      <c r="D16" s="21" t="s">
        <v>123</v>
      </c>
      <c r="E16" s="8" t="n">
        <v>1295</v>
      </c>
      <c r="F16" s="8" t="n">
        <v>1030</v>
      </c>
      <c r="G16" s="8" t="n">
        <v>35</v>
      </c>
      <c r="H16" s="4" t="n">
        <v>46599</v>
      </c>
      <c r="I16" s="21"/>
      <c r="J16" s="8"/>
      <c r="K16" s="2" t="n">
        <f aca="false">IF(D16="Occupied",1,0)</f>
        <v>1</v>
      </c>
      <c r="L16" s="2" t="n">
        <f aca="false">IF(AND(K16=1,I16="Yes"),1,0)</f>
        <v>0</v>
      </c>
      <c r="M16" s="2" t="n">
        <f aca="false">IF(K16=1,IF(OR(H16="",H16&lt;Inputs!$B$5),1,(YEAR(H16)-YEAR(Inputs!$B$5))*12+MONTH(H16)-MONTH(Inputs!$B$5)+2),"")</f>
        <v>10</v>
      </c>
      <c r="N16" s="2" t="str">
        <f aca="false">IF(K16=0,IF(I16="Yes",COUNTIFS(K$2:K16,0,I$2:I16,"Yes")-1,COUNTIFS(K$2:K$121,0,I$2:I$121,"Yes")+COUNTIFS(K$2:K16,0,I$2:I16,"&lt;&gt;Yes")-1),"")</f>
        <v/>
      </c>
      <c r="O16" s="2" t="str">
        <f aca="false">IF(K16=0,INT(N16/Inputs!$B$17)+1,"")</f>
        <v/>
      </c>
      <c r="P16" s="2" t="n">
        <f aca="false">IF(K16=1,1,O16)</f>
        <v>1</v>
      </c>
      <c r="Q16" s="2" t="n">
        <f aca="false">IF(K16=1,M16,O16+12)</f>
        <v>10</v>
      </c>
      <c r="R16" s="11" t="str">
        <f aca="false">IF(K16=0,IF(AND(I16="Yes",J16&lt;&gt;""),J16,E16*(1+Inputs!$B$7)^(INT((O16-1)/12))),"")</f>
        <v/>
      </c>
    </row>
    <row r="17" customFormat="false" ht="15" hidden="false" customHeight="false" outlineLevel="0" collapsed="false">
      <c r="A17" s="21" t="n">
        <v>116</v>
      </c>
      <c r="B17" s="21" t="s">
        <v>125</v>
      </c>
      <c r="C17" s="21" t="n">
        <v>560</v>
      </c>
      <c r="D17" s="21" t="s">
        <v>123</v>
      </c>
      <c r="E17" s="8" t="n">
        <v>1295</v>
      </c>
      <c r="F17" s="8" t="n">
        <v>1330</v>
      </c>
      <c r="G17" s="8" t="n">
        <v>45</v>
      </c>
      <c r="H17" s="4" t="n">
        <v>46356</v>
      </c>
      <c r="I17" s="21"/>
      <c r="J17" s="8"/>
      <c r="K17" s="2" t="n">
        <f aca="false">IF(D17="Occupied",1,0)</f>
        <v>1</v>
      </c>
      <c r="L17" s="2" t="n">
        <f aca="false">IF(AND(K17=1,I17="Yes"),1,0)</f>
        <v>0</v>
      </c>
      <c r="M17" s="2" t="n">
        <f aca="false">IF(K17=1,IF(OR(H17="",H17&lt;Inputs!$B$5),1,(YEAR(H17)-YEAR(Inputs!$B$5))*12+MONTH(H17)-MONTH(Inputs!$B$5)+2),"")</f>
        <v>2</v>
      </c>
      <c r="N17" s="2" t="str">
        <f aca="false">IF(K17=0,IF(I17="Yes",COUNTIFS(K$2:K17,0,I$2:I17,"Yes")-1,COUNTIFS(K$2:K$121,0,I$2:I$121,"Yes")+COUNTIFS(K$2:K17,0,I$2:I17,"&lt;&gt;Yes")-1),"")</f>
        <v/>
      </c>
      <c r="O17" s="2" t="str">
        <f aca="false">IF(K17=0,INT(N17/Inputs!$B$17)+1,"")</f>
        <v/>
      </c>
      <c r="P17" s="2" t="n">
        <f aca="false">IF(K17=1,1,O17)</f>
        <v>1</v>
      </c>
      <c r="Q17" s="2" t="n">
        <f aca="false">IF(K17=1,M17,O17+12)</f>
        <v>2</v>
      </c>
      <c r="R17" s="11" t="str">
        <f aca="false">IF(K17=0,IF(AND(I17="Yes",J17&lt;&gt;""),J17,E17*(1+Inputs!$B$7)^(INT((O17-1)/12))),"")</f>
        <v/>
      </c>
    </row>
    <row r="18" customFormat="false" ht="15" hidden="false" customHeight="false" outlineLevel="0" collapsed="false">
      <c r="A18" s="21" t="n">
        <v>117</v>
      </c>
      <c r="B18" s="21" t="s">
        <v>125</v>
      </c>
      <c r="C18" s="21" t="n">
        <v>560</v>
      </c>
      <c r="D18" s="21" t="s">
        <v>124</v>
      </c>
      <c r="E18" s="8" t="n">
        <v>1295</v>
      </c>
      <c r="F18" s="8" t="n">
        <v>0</v>
      </c>
      <c r="G18" s="8" t="n">
        <v>0</v>
      </c>
      <c r="H18" s="4"/>
      <c r="I18" s="21" t="s">
        <v>126</v>
      </c>
      <c r="J18" s="8"/>
      <c r="K18" s="2" t="n">
        <f aca="false">IF(D18="Occupied",1,0)</f>
        <v>0</v>
      </c>
      <c r="L18" s="2" t="n">
        <f aca="false">IF(AND(K18=1,I18="Yes"),1,0)</f>
        <v>0</v>
      </c>
      <c r="M18" s="2" t="str">
        <f aca="false">IF(K18=1,IF(OR(H18="",H18&lt;Inputs!$B$5),1,(YEAR(H18)-YEAR(Inputs!$B$5))*12+MONTH(H18)-MONTH(Inputs!$B$5)+2),"")</f>
        <v/>
      </c>
      <c r="N18" s="2" t="n">
        <f aca="false">IF(K18=0,IF(I18="Yes",COUNTIFS(K$2:K18,0,I$2:I18,"Yes")-1,COUNTIFS(K$2:K$121,0,I$2:I$121,"Yes")+COUNTIFS(K$2:K18,0,I$2:I18,"&lt;&gt;Yes")-1),"")</f>
        <v>0</v>
      </c>
      <c r="O18" s="2" t="n">
        <f aca="false">IF(K18=0,INT(N18/Inputs!$B$17)+1,"")</f>
        <v>1</v>
      </c>
      <c r="P18" s="2" t="n">
        <f aca="false">IF(K18=1,1,O18)</f>
        <v>1</v>
      </c>
      <c r="Q18" s="2" t="n">
        <f aca="false">IF(K18=1,M18,O18+12)</f>
        <v>13</v>
      </c>
      <c r="R18" s="11" t="n">
        <f aca="false">IF(K18=0,IF(AND(I18="Yes",J18&lt;&gt;""),J18,E18*(1+Inputs!$B$7)^(INT((O18-1)/12))),"")</f>
        <v>1295</v>
      </c>
    </row>
    <row r="19" customFormat="false" ht="15" hidden="false" customHeight="false" outlineLevel="0" collapsed="false">
      <c r="A19" s="21" t="n">
        <v>118</v>
      </c>
      <c r="B19" s="21" t="s">
        <v>125</v>
      </c>
      <c r="C19" s="21" t="n">
        <v>560</v>
      </c>
      <c r="D19" s="21" t="s">
        <v>123</v>
      </c>
      <c r="E19" s="8" t="n">
        <v>1295</v>
      </c>
      <c r="F19" s="8" t="n">
        <v>1225</v>
      </c>
      <c r="G19" s="8" t="n">
        <v>0</v>
      </c>
      <c r="H19" s="4" t="n">
        <v>46568</v>
      </c>
      <c r="I19" s="21"/>
      <c r="J19" s="8"/>
      <c r="K19" s="2" t="n">
        <f aca="false">IF(D19="Occupied",1,0)</f>
        <v>1</v>
      </c>
      <c r="L19" s="2" t="n">
        <f aca="false">IF(AND(K19=1,I19="Yes"),1,0)</f>
        <v>0</v>
      </c>
      <c r="M19" s="2" t="n">
        <f aca="false">IF(K19=1,IF(OR(H19="",H19&lt;Inputs!$B$5),1,(YEAR(H19)-YEAR(Inputs!$B$5))*12+MONTH(H19)-MONTH(Inputs!$B$5)+2),"")</f>
        <v>9</v>
      </c>
      <c r="N19" s="2" t="str">
        <f aca="false">IF(K19=0,IF(I19="Yes",COUNTIFS(K$2:K19,0,I$2:I19,"Yes")-1,COUNTIFS(K$2:K$121,0,I$2:I$121,"Yes")+COUNTIFS(K$2:K19,0,I$2:I19,"&lt;&gt;Yes")-1),"")</f>
        <v/>
      </c>
      <c r="O19" s="2" t="str">
        <f aca="false">IF(K19=0,INT(N19/Inputs!$B$17)+1,"")</f>
        <v/>
      </c>
      <c r="P19" s="2" t="n">
        <f aca="false">IF(K19=1,1,O19)</f>
        <v>1</v>
      </c>
      <c r="Q19" s="2" t="n">
        <f aca="false">IF(K19=1,M19,O19+12)</f>
        <v>9</v>
      </c>
      <c r="R19" s="11" t="str">
        <f aca="false">IF(K19=0,IF(AND(I19="Yes",J19&lt;&gt;""),J19,E19*(1+Inputs!$B$7)^(INT((O19-1)/12))),"")</f>
        <v/>
      </c>
    </row>
    <row r="20" customFormat="false" ht="15" hidden="false" customHeight="false" outlineLevel="0" collapsed="false">
      <c r="A20" s="21" t="n">
        <v>119</v>
      </c>
      <c r="B20" s="21" t="s">
        <v>125</v>
      </c>
      <c r="C20" s="21" t="n">
        <v>560</v>
      </c>
      <c r="D20" s="21" t="s">
        <v>123</v>
      </c>
      <c r="E20" s="8" t="n">
        <v>1295</v>
      </c>
      <c r="F20" s="8" t="n">
        <v>1270</v>
      </c>
      <c r="G20" s="8" t="n">
        <v>0</v>
      </c>
      <c r="H20" s="4" t="n">
        <v>46568</v>
      </c>
      <c r="I20" s="21"/>
      <c r="J20" s="8"/>
      <c r="K20" s="2" t="n">
        <f aca="false">IF(D20="Occupied",1,0)</f>
        <v>1</v>
      </c>
      <c r="L20" s="2" t="n">
        <f aca="false">IF(AND(K20=1,I20="Yes"),1,0)</f>
        <v>0</v>
      </c>
      <c r="M20" s="2" t="n">
        <f aca="false">IF(K20=1,IF(OR(H20="",H20&lt;Inputs!$B$5),1,(YEAR(H20)-YEAR(Inputs!$B$5))*12+MONTH(H20)-MONTH(Inputs!$B$5)+2),"")</f>
        <v>9</v>
      </c>
      <c r="N20" s="2" t="str">
        <f aca="false">IF(K20=0,IF(I20="Yes",COUNTIFS(K$2:K20,0,I$2:I20,"Yes")-1,COUNTIFS(K$2:K$121,0,I$2:I$121,"Yes")+COUNTIFS(K$2:K20,0,I$2:I20,"&lt;&gt;Yes")-1),"")</f>
        <v/>
      </c>
      <c r="O20" s="2" t="str">
        <f aca="false">IF(K20=0,INT(N20/Inputs!$B$17)+1,"")</f>
        <v/>
      </c>
      <c r="P20" s="2" t="n">
        <f aca="false">IF(K20=1,1,O20)</f>
        <v>1</v>
      </c>
      <c r="Q20" s="2" t="n">
        <f aca="false">IF(K20=1,M20,O20+12)</f>
        <v>9</v>
      </c>
      <c r="R20" s="11" t="str">
        <f aca="false">IF(K20=0,IF(AND(I20="Yes",J20&lt;&gt;""),J20,E20*(1+Inputs!$B$7)^(INT((O20-1)/12))),"")</f>
        <v/>
      </c>
    </row>
    <row r="21" customFormat="false" ht="15" hidden="false" customHeight="false" outlineLevel="0" collapsed="false">
      <c r="A21" s="21" t="n">
        <v>120</v>
      </c>
      <c r="B21" s="21" t="s">
        <v>125</v>
      </c>
      <c r="C21" s="21" t="n">
        <v>560</v>
      </c>
      <c r="D21" s="21" t="s">
        <v>123</v>
      </c>
      <c r="E21" s="8" t="n">
        <v>1295</v>
      </c>
      <c r="F21" s="8" t="n">
        <v>1190</v>
      </c>
      <c r="G21" s="8" t="n">
        <v>0</v>
      </c>
      <c r="H21" s="4" t="n">
        <v>46568</v>
      </c>
      <c r="I21" s="21"/>
      <c r="J21" s="8"/>
      <c r="K21" s="2" t="n">
        <f aca="false">IF(D21="Occupied",1,0)</f>
        <v>1</v>
      </c>
      <c r="L21" s="2" t="n">
        <f aca="false">IF(AND(K21=1,I21="Yes"),1,0)</f>
        <v>0</v>
      </c>
      <c r="M21" s="2" t="n">
        <f aca="false">IF(K21=1,IF(OR(H21="",H21&lt;Inputs!$B$5),1,(YEAR(H21)-YEAR(Inputs!$B$5))*12+MONTH(H21)-MONTH(Inputs!$B$5)+2),"")</f>
        <v>9</v>
      </c>
      <c r="N21" s="2" t="str">
        <f aca="false">IF(K21=0,IF(I21="Yes",COUNTIFS(K$2:K21,0,I$2:I21,"Yes")-1,COUNTIFS(K$2:K$121,0,I$2:I$121,"Yes")+COUNTIFS(K$2:K21,0,I$2:I21,"&lt;&gt;Yes")-1),"")</f>
        <v/>
      </c>
      <c r="O21" s="2" t="str">
        <f aca="false">IF(K21=0,INT(N21/Inputs!$B$17)+1,"")</f>
        <v/>
      </c>
      <c r="P21" s="2" t="n">
        <f aca="false">IF(K21=1,1,O21)</f>
        <v>1</v>
      </c>
      <c r="Q21" s="2" t="n">
        <f aca="false">IF(K21=1,M21,O21+12)</f>
        <v>9</v>
      </c>
      <c r="R21" s="11" t="str">
        <f aca="false">IF(K21=0,IF(AND(I21="Yes",J21&lt;&gt;""),J21,E21*(1+Inputs!$B$7)^(INT((O21-1)/12))),"")</f>
        <v/>
      </c>
    </row>
    <row r="22" customFormat="false" ht="15" hidden="false" customHeight="false" outlineLevel="0" collapsed="false">
      <c r="A22" s="21" t="n">
        <v>121</v>
      </c>
      <c r="B22" s="21" t="s">
        <v>127</v>
      </c>
      <c r="C22" s="21" t="n">
        <v>960</v>
      </c>
      <c r="D22" s="21" t="s">
        <v>123</v>
      </c>
      <c r="E22" s="8" t="n">
        <v>1850</v>
      </c>
      <c r="F22" s="8" t="n">
        <v>1800</v>
      </c>
      <c r="G22" s="8" t="n">
        <v>40</v>
      </c>
      <c r="H22" s="4" t="n">
        <v>46387</v>
      </c>
      <c r="I22" s="21"/>
      <c r="J22" s="8"/>
      <c r="K22" s="2" t="n">
        <f aca="false">IF(D22="Occupied",1,0)</f>
        <v>1</v>
      </c>
      <c r="L22" s="2" t="n">
        <f aca="false">IF(AND(K22=1,I22="Yes"),1,0)</f>
        <v>0</v>
      </c>
      <c r="M22" s="2" t="n">
        <f aca="false">IF(K22=1,IF(OR(H22="",H22&lt;Inputs!$B$5),1,(YEAR(H22)-YEAR(Inputs!$B$5))*12+MONTH(H22)-MONTH(Inputs!$B$5)+2),"")</f>
        <v>3</v>
      </c>
      <c r="N22" s="2" t="str">
        <f aca="false">IF(K22=0,IF(I22="Yes",COUNTIFS(K$2:K22,0,I$2:I22,"Yes")-1,COUNTIFS(K$2:K$121,0,I$2:I$121,"Yes")+COUNTIFS(K$2:K22,0,I$2:I22,"&lt;&gt;Yes")-1),"")</f>
        <v/>
      </c>
      <c r="O22" s="2" t="str">
        <f aca="false">IF(K22=0,INT(N22/Inputs!$B$17)+1,"")</f>
        <v/>
      </c>
      <c r="P22" s="2" t="n">
        <f aca="false">IF(K22=1,1,O22)</f>
        <v>1</v>
      </c>
      <c r="Q22" s="2" t="n">
        <f aca="false">IF(K22=1,M22,O22+12)</f>
        <v>3</v>
      </c>
      <c r="R22" s="11" t="str">
        <f aca="false">IF(K22=0,IF(AND(I22="Yes",J22&lt;&gt;""),J22,E22*(1+Inputs!$B$7)^(INT((O22-1)/12))),"")</f>
        <v/>
      </c>
    </row>
    <row r="23" customFormat="false" ht="15" hidden="false" customHeight="false" outlineLevel="0" collapsed="false">
      <c r="A23" s="21" t="n">
        <v>122</v>
      </c>
      <c r="B23" s="21" t="s">
        <v>127</v>
      </c>
      <c r="C23" s="21" t="n">
        <v>960</v>
      </c>
      <c r="D23" s="21" t="s">
        <v>123</v>
      </c>
      <c r="E23" s="8" t="n">
        <v>1850</v>
      </c>
      <c r="F23" s="8" t="n">
        <v>1725</v>
      </c>
      <c r="G23" s="8" t="n">
        <v>0</v>
      </c>
      <c r="H23" s="4" t="n">
        <v>46599</v>
      </c>
      <c r="I23" s="21"/>
      <c r="J23" s="8"/>
      <c r="K23" s="2" t="n">
        <f aca="false">IF(D23="Occupied",1,0)</f>
        <v>1</v>
      </c>
      <c r="L23" s="2" t="n">
        <f aca="false">IF(AND(K23=1,I23="Yes"),1,0)</f>
        <v>0</v>
      </c>
      <c r="M23" s="2" t="n">
        <f aca="false">IF(K23=1,IF(OR(H23="",H23&lt;Inputs!$B$5),1,(YEAR(H23)-YEAR(Inputs!$B$5))*12+MONTH(H23)-MONTH(Inputs!$B$5)+2),"")</f>
        <v>10</v>
      </c>
      <c r="N23" s="2" t="str">
        <f aca="false">IF(K23=0,IF(I23="Yes",COUNTIFS(K$2:K23,0,I$2:I23,"Yes")-1,COUNTIFS(K$2:K$121,0,I$2:I$121,"Yes")+COUNTIFS(K$2:K23,0,I$2:I23,"&lt;&gt;Yes")-1),"")</f>
        <v/>
      </c>
      <c r="O23" s="2" t="str">
        <f aca="false">IF(K23=0,INT(N23/Inputs!$B$17)+1,"")</f>
        <v/>
      </c>
      <c r="P23" s="2" t="n">
        <f aca="false">IF(K23=1,1,O23)</f>
        <v>1</v>
      </c>
      <c r="Q23" s="2" t="n">
        <f aca="false">IF(K23=1,M23,O23+12)</f>
        <v>10</v>
      </c>
      <c r="R23" s="11" t="str">
        <f aca="false">IF(K23=0,IF(AND(I23="Yes",J23&lt;&gt;""),J23,E23*(1+Inputs!$B$7)^(INT((O23-1)/12))),"")</f>
        <v/>
      </c>
    </row>
    <row r="24" customFormat="false" ht="15" hidden="false" customHeight="false" outlineLevel="0" collapsed="false">
      <c r="A24" s="21" t="n">
        <v>123</v>
      </c>
      <c r="B24" s="21" t="s">
        <v>127</v>
      </c>
      <c r="C24" s="21" t="n">
        <v>960</v>
      </c>
      <c r="D24" s="21" t="s">
        <v>123</v>
      </c>
      <c r="E24" s="8" t="n">
        <v>1850</v>
      </c>
      <c r="F24" s="8" t="n">
        <v>1750</v>
      </c>
      <c r="G24" s="8" t="n">
        <v>45</v>
      </c>
      <c r="H24" s="4" t="n">
        <v>46507</v>
      </c>
      <c r="I24" s="21"/>
      <c r="J24" s="8"/>
      <c r="K24" s="2" t="n">
        <f aca="false">IF(D24="Occupied",1,0)</f>
        <v>1</v>
      </c>
      <c r="L24" s="2" t="n">
        <f aca="false">IF(AND(K24=1,I24="Yes"),1,0)</f>
        <v>0</v>
      </c>
      <c r="M24" s="2" t="n">
        <f aca="false">IF(K24=1,IF(OR(H24="",H24&lt;Inputs!$B$5),1,(YEAR(H24)-YEAR(Inputs!$B$5))*12+MONTH(H24)-MONTH(Inputs!$B$5)+2),"")</f>
        <v>7</v>
      </c>
      <c r="N24" s="2" t="str">
        <f aca="false">IF(K24=0,IF(I24="Yes",COUNTIFS(K$2:K24,0,I$2:I24,"Yes")-1,COUNTIFS(K$2:K$121,0,I$2:I$121,"Yes")+COUNTIFS(K$2:K24,0,I$2:I24,"&lt;&gt;Yes")-1),"")</f>
        <v/>
      </c>
      <c r="O24" s="2" t="str">
        <f aca="false">IF(K24=0,INT(N24/Inputs!$B$17)+1,"")</f>
        <v/>
      </c>
      <c r="P24" s="2" t="n">
        <f aca="false">IF(K24=1,1,O24)</f>
        <v>1</v>
      </c>
      <c r="Q24" s="2" t="n">
        <f aca="false">IF(K24=1,M24,O24+12)</f>
        <v>7</v>
      </c>
      <c r="R24" s="11" t="str">
        <f aca="false">IF(K24=0,IF(AND(I24="Yes",J24&lt;&gt;""),J24,E24*(1+Inputs!$B$7)^(INT((O24-1)/12))),"")</f>
        <v/>
      </c>
    </row>
    <row r="25" customFormat="false" ht="15" hidden="false" customHeight="false" outlineLevel="0" collapsed="false">
      <c r="A25" s="21" t="n">
        <v>124</v>
      </c>
      <c r="B25" s="21" t="s">
        <v>127</v>
      </c>
      <c r="C25" s="21" t="n">
        <v>960</v>
      </c>
      <c r="D25" s="21" t="s">
        <v>123</v>
      </c>
      <c r="E25" s="8" t="n">
        <v>1850</v>
      </c>
      <c r="F25" s="8" t="n">
        <v>1680</v>
      </c>
      <c r="G25" s="8" t="n">
        <v>80</v>
      </c>
      <c r="H25" s="4" t="n">
        <v>46630</v>
      </c>
      <c r="I25" s="21"/>
      <c r="J25" s="8"/>
      <c r="K25" s="2" t="n">
        <f aca="false">IF(D25="Occupied",1,0)</f>
        <v>1</v>
      </c>
      <c r="L25" s="2" t="n">
        <f aca="false">IF(AND(K25=1,I25="Yes"),1,0)</f>
        <v>0</v>
      </c>
      <c r="M25" s="2" t="n">
        <f aca="false">IF(K25=1,IF(OR(H25="",H25&lt;Inputs!$B$5),1,(YEAR(H25)-YEAR(Inputs!$B$5))*12+MONTH(H25)-MONTH(Inputs!$B$5)+2),"")</f>
        <v>11</v>
      </c>
      <c r="N25" s="2" t="str">
        <f aca="false">IF(K25=0,IF(I25="Yes",COUNTIFS(K$2:K25,0,I$2:I25,"Yes")-1,COUNTIFS(K$2:K$121,0,I$2:I$121,"Yes")+COUNTIFS(K$2:K25,0,I$2:I25,"&lt;&gt;Yes")-1),"")</f>
        <v/>
      </c>
      <c r="O25" s="2" t="str">
        <f aca="false">IF(K25=0,INT(N25/Inputs!$B$17)+1,"")</f>
        <v/>
      </c>
      <c r="P25" s="2" t="n">
        <f aca="false">IF(K25=1,1,O25)</f>
        <v>1</v>
      </c>
      <c r="Q25" s="2" t="n">
        <f aca="false">IF(K25=1,M25,O25+12)</f>
        <v>11</v>
      </c>
      <c r="R25" s="11" t="str">
        <f aca="false">IF(K25=0,IF(AND(I25="Yes",J25&lt;&gt;""),J25,E25*(1+Inputs!$B$7)^(INT((O25-1)/12))),"")</f>
        <v/>
      </c>
    </row>
    <row r="26" customFormat="false" ht="15" hidden="false" customHeight="false" outlineLevel="0" collapsed="false">
      <c r="A26" s="21" t="n">
        <v>125</v>
      </c>
      <c r="B26" s="21" t="s">
        <v>127</v>
      </c>
      <c r="C26" s="21" t="n">
        <v>960</v>
      </c>
      <c r="D26" s="21" t="s">
        <v>123</v>
      </c>
      <c r="E26" s="8" t="n">
        <v>1850</v>
      </c>
      <c r="F26" s="8" t="n">
        <v>1895</v>
      </c>
      <c r="G26" s="8" t="n">
        <v>0</v>
      </c>
      <c r="H26" s="4" t="n">
        <v>46660</v>
      </c>
      <c r="I26" s="21"/>
      <c r="J26" s="8"/>
      <c r="K26" s="2" t="n">
        <f aca="false">IF(D26="Occupied",1,0)</f>
        <v>1</v>
      </c>
      <c r="L26" s="2" t="n">
        <f aca="false">IF(AND(K26=1,I26="Yes"),1,0)</f>
        <v>0</v>
      </c>
      <c r="M26" s="2" t="n">
        <f aca="false">IF(K26=1,IF(OR(H26="",H26&lt;Inputs!$B$5),1,(YEAR(H26)-YEAR(Inputs!$B$5))*12+MONTH(H26)-MONTH(Inputs!$B$5)+2),"")</f>
        <v>12</v>
      </c>
      <c r="N26" s="2" t="str">
        <f aca="false">IF(K26=0,IF(I26="Yes",COUNTIFS(K$2:K26,0,I$2:I26,"Yes")-1,COUNTIFS(K$2:K$121,0,I$2:I$121,"Yes")+COUNTIFS(K$2:K26,0,I$2:I26,"&lt;&gt;Yes")-1),"")</f>
        <v/>
      </c>
      <c r="O26" s="2" t="str">
        <f aca="false">IF(K26=0,INT(N26/Inputs!$B$17)+1,"")</f>
        <v/>
      </c>
      <c r="P26" s="2" t="n">
        <f aca="false">IF(K26=1,1,O26)</f>
        <v>1</v>
      </c>
      <c r="Q26" s="2" t="n">
        <f aca="false">IF(K26=1,M26,O26+12)</f>
        <v>12</v>
      </c>
      <c r="R26" s="11" t="str">
        <f aca="false">IF(K26=0,IF(AND(I26="Yes",J26&lt;&gt;""),J26,E26*(1+Inputs!$B$7)^(INT((O26-1)/12))),"")</f>
        <v/>
      </c>
    </row>
    <row r="27" customFormat="false" ht="15" hidden="false" customHeight="false" outlineLevel="0" collapsed="false">
      <c r="A27" s="21" t="n">
        <v>126</v>
      </c>
      <c r="B27" s="21" t="s">
        <v>127</v>
      </c>
      <c r="C27" s="21" t="n">
        <v>960</v>
      </c>
      <c r="D27" s="21" t="s">
        <v>123</v>
      </c>
      <c r="E27" s="8" t="n">
        <v>1850</v>
      </c>
      <c r="F27" s="8" t="n">
        <v>1895</v>
      </c>
      <c r="G27" s="8" t="n">
        <v>0</v>
      </c>
      <c r="H27" s="4" t="n">
        <v>46234</v>
      </c>
      <c r="I27" s="21"/>
      <c r="J27" s="8"/>
      <c r="K27" s="2" t="n">
        <f aca="false">IF(D27="Occupied",1,0)</f>
        <v>1</v>
      </c>
      <c r="L27" s="2" t="n">
        <f aca="false">IF(AND(K27=1,I27="Yes"),1,0)</f>
        <v>0</v>
      </c>
      <c r="M27" s="2" t="n">
        <f aca="false">IF(K27=1,IF(OR(H27="",H27&lt;Inputs!$B$5),1,(YEAR(H27)-YEAR(Inputs!$B$5))*12+MONTH(H27)-MONTH(Inputs!$B$5)+2),"")</f>
        <v>1</v>
      </c>
      <c r="N27" s="2" t="str">
        <f aca="false">IF(K27=0,IF(I27="Yes",COUNTIFS(K$2:K27,0,I$2:I27,"Yes")-1,COUNTIFS(K$2:K$121,0,I$2:I$121,"Yes")+COUNTIFS(K$2:K27,0,I$2:I27,"&lt;&gt;Yes")-1),"")</f>
        <v/>
      </c>
      <c r="O27" s="2" t="str">
        <f aca="false">IF(K27=0,INT(N27/Inputs!$B$17)+1,"")</f>
        <v/>
      </c>
      <c r="P27" s="2" t="n">
        <f aca="false">IF(K27=1,1,O27)</f>
        <v>1</v>
      </c>
      <c r="Q27" s="2" t="n">
        <f aca="false">IF(K27=1,M27,O27+12)</f>
        <v>1</v>
      </c>
      <c r="R27" s="11" t="str">
        <f aca="false">IF(K27=0,IF(AND(I27="Yes",J27&lt;&gt;""),J27,E27*(1+Inputs!$B$7)^(INT((O27-1)/12))),"")</f>
        <v/>
      </c>
    </row>
    <row r="28" customFormat="false" ht="15" hidden="false" customHeight="false" outlineLevel="0" collapsed="false">
      <c r="A28" s="21" t="n">
        <v>127</v>
      </c>
      <c r="B28" s="21" t="s">
        <v>127</v>
      </c>
      <c r="C28" s="21" t="n">
        <v>960</v>
      </c>
      <c r="D28" s="21" t="s">
        <v>123</v>
      </c>
      <c r="E28" s="8" t="n">
        <v>1850</v>
      </c>
      <c r="F28" s="8" t="n">
        <v>1855</v>
      </c>
      <c r="G28" s="8" t="n">
        <v>12</v>
      </c>
      <c r="H28" s="4" t="n">
        <v>46418</v>
      </c>
      <c r="I28" s="21"/>
      <c r="J28" s="8"/>
      <c r="K28" s="2" t="n">
        <f aca="false">IF(D28="Occupied",1,0)</f>
        <v>1</v>
      </c>
      <c r="L28" s="2" t="n">
        <f aca="false">IF(AND(K28=1,I28="Yes"),1,0)</f>
        <v>0</v>
      </c>
      <c r="M28" s="2" t="n">
        <f aca="false">IF(K28=1,IF(OR(H28="",H28&lt;Inputs!$B$5),1,(YEAR(H28)-YEAR(Inputs!$B$5))*12+MONTH(H28)-MONTH(Inputs!$B$5)+2),"")</f>
        <v>4</v>
      </c>
      <c r="N28" s="2" t="str">
        <f aca="false">IF(K28=0,IF(I28="Yes",COUNTIFS(K$2:K28,0,I$2:I28,"Yes")-1,COUNTIFS(K$2:K$121,0,I$2:I$121,"Yes")+COUNTIFS(K$2:K28,0,I$2:I28,"&lt;&gt;Yes")-1),"")</f>
        <v/>
      </c>
      <c r="O28" s="2" t="str">
        <f aca="false">IF(K28=0,INT(N28/Inputs!$B$17)+1,"")</f>
        <v/>
      </c>
      <c r="P28" s="2" t="n">
        <f aca="false">IF(K28=1,1,O28)</f>
        <v>1</v>
      </c>
      <c r="Q28" s="2" t="n">
        <f aca="false">IF(K28=1,M28,O28+12)</f>
        <v>4</v>
      </c>
      <c r="R28" s="11" t="str">
        <f aca="false">IF(K28=0,IF(AND(I28="Yes",J28&lt;&gt;""),J28,E28*(1+Inputs!$B$7)^(INT((O28-1)/12))),"")</f>
        <v/>
      </c>
    </row>
    <row r="29" customFormat="false" ht="15" hidden="false" customHeight="false" outlineLevel="0" collapsed="false">
      <c r="A29" s="21" t="n">
        <v>128</v>
      </c>
      <c r="B29" s="21" t="s">
        <v>128</v>
      </c>
      <c r="C29" s="21" t="n">
        <v>1180</v>
      </c>
      <c r="D29" s="21" t="s">
        <v>123</v>
      </c>
      <c r="E29" s="8" t="n">
        <v>2240</v>
      </c>
      <c r="F29" s="8" t="n">
        <v>2130</v>
      </c>
      <c r="G29" s="8" t="n">
        <v>12</v>
      </c>
      <c r="H29" s="4" t="n">
        <v>46630</v>
      </c>
      <c r="I29" s="21"/>
      <c r="J29" s="8"/>
      <c r="K29" s="2" t="n">
        <f aca="false">IF(D29="Occupied",1,0)</f>
        <v>1</v>
      </c>
      <c r="L29" s="2" t="n">
        <f aca="false">IF(AND(K29=1,I29="Yes"),1,0)</f>
        <v>0</v>
      </c>
      <c r="M29" s="2" t="n">
        <f aca="false">IF(K29=1,IF(OR(H29="",H29&lt;Inputs!$B$5),1,(YEAR(H29)-YEAR(Inputs!$B$5))*12+MONTH(H29)-MONTH(Inputs!$B$5)+2),"")</f>
        <v>11</v>
      </c>
      <c r="N29" s="2" t="str">
        <f aca="false">IF(K29=0,IF(I29="Yes",COUNTIFS(K$2:K29,0,I$2:I29,"Yes")-1,COUNTIFS(K$2:K$121,0,I$2:I$121,"Yes")+COUNTIFS(K$2:K29,0,I$2:I29,"&lt;&gt;Yes")-1),"")</f>
        <v/>
      </c>
      <c r="O29" s="2" t="str">
        <f aca="false">IF(K29=0,INT(N29/Inputs!$B$17)+1,"")</f>
        <v/>
      </c>
      <c r="P29" s="2" t="n">
        <f aca="false">IF(K29=1,1,O29)</f>
        <v>1</v>
      </c>
      <c r="Q29" s="2" t="n">
        <f aca="false">IF(K29=1,M29,O29+12)</f>
        <v>11</v>
      </c>
      <c r="R29" s="11" t="str">
        <f aca="false">IF(K29=0,IF(AND(I29="Yes",J29&lt;&gt;""),J29,E29*(1+Inputs!$B$7)^(INT((O29-1)/12))),"")</f>
        <v/>
      </c>
    </row>
    <row r="30" customFormat="false" ht="15" hidden="false" customHeight="false" outlineLevel="0" collapsed="false">
      <c r="A30" s="21" t="n">
        <v>129</v>
      </c>
      <c r="B30" s="21" t="s">
        <v>128</v>
      </c>
      <c r="C30" s="21" t="n">
        <v>1180</v>
      </c>
      <c r="D30" s="21" t="s">
        <v>123</v>
      </c>
      <c r="E30" s="8" t="n">
        <v>2240</v>
      </c>
      <c r="F30" s="8" t="n">
        <v>2280</v>
      </c>
      <c r="G30" s="8" t="n">
        <v>45</v>
      </c>
      <c r="H30" s="4" t="n">
        <v>46538</v>
      </c>
      <c r="I30" s="21"/>
      <c r="J30" s="8"/>
      <c r="K30" s="2" t="n">
        <f aca="false">IF(D30="Occupied",1,0)</f>
        <v>1</v>
      </c>
      <c r="L30" s="2" t="n">
        <f aca="false">IF(AND(K30=1,I30="Yes"),1,0)</f>
        <v>0</v>
      </c>
      <c r="M30" s="2" t="n">
        <f aca="false">IF(K30=1,IF(OR(H30="",H30&lt;Inputs!$B$5),1,(YEAR(H30)-YEAR(Inputs!$B$5))*12+MONTH(H30)-MONTH(Inputs!$B$5)+2),"")</f>
        <v>8</v>
      </c>
      <c r="N30" s="2" t="str">
        <f aca="false">IF(K30=0,IF(I30="Yes",COUNTIFS(K$2:K30,0,I$2:I30,"Yes")-1,COUNTIFS(K$2:K$121,0,I$2:I$121,"Yes")+COUNTIFS(K$2:K30,0,I$2:I30,"&lt;&gt;Yes")-1),"")</f>
        <v/>
      </c>
      <c r="O30" s="2" t="str">
        <f aca="false">IF(K30=0,INT(N30/Inputs!$B$17)+1,"")</f>
        <v/>
      </c>
      <c r="P30" s="2" t="n">
        <f aca="false">IF(K30=1,1,O30)</f>
        <v>1</v>
      </c>
      <c r="Q30" s="2" t="n">
        <f aca="false">IF(K30=1,M30,O30+12)</f>
        <v>8</v>
      </c>
      <c r="R30" s="11" t="str">
        <f aca="false">IF(K30=0,IF(AND(I30="Yes",J30&lt;&gt;""),J30,E30*(1+Inputs!$B$7)^(INT((O30-1)/12))),"")</f>
        <v/>
      </c>
    </row>
    <row r="31" customFormat="false" ht="15" hidden="false" customHeight="false" outlineLevel="0" collapsed="false">
      <c r="A31" s="21" t="n">
        <v>130</v>
      </c>
      <c r="B31" s="21" t="s">
        <v>128</v>
      </c>
      <c r="C31" s="21" t="n">
        <v>1180</v>
      </c>
      <c r="D31" s="21" t="s">
        <v>123</v>
      </c>
      <c r="E31" s="8" t="n">
        <v>2240</v>
      </c>
      <c r="F31" s="8" t="n">
        <v>2300</v>
      </c>
      <c r="G31" s="8" t="n">
        <v>65</v>
      </c>
      <c r="H31" s="4" t="n">
        <v>46568</v>
      </c>
      <c r="I31" s="21"/>
      <c r="J31" s="8"/>
      <c r="K31" s="2" t="n">
        <f aca="false">IF(D31="Occupied",1,0)</f>
        <v>1</v>
      </c>
      <c r="L31" s="2" t="n">
        <f aca="false">IF(AND(K31=1,I31="Yes"),1,0)</f>
        <v>0</v>
      </c>
      <c r="M31" s="2" t="n">
        <f aca="false">IF(K31=1,IF(OR(H31="",H31&lt;Inputs!$B$5),1,(YEAR(H31)-YEAR(Inputs!$B$5))*12+MONTH(H31)-MONTH(Inputs!$B$5)+2),"")</f>
        <v>9</v>
      </c>
      <c r="N31" s="2" t="str">
        <f aca="false">IF(K31=0,IF(I31="Yes",COUNTIFS(K$2:K31,0,I$2:I31,"Yes")-1,COUNTIFS(K$2:K$121,0,I$2:I$121,"Yes")+COUNTIFS(K$2:K31,0,I$2:I31,"&lt;&gt;Yes")-1),"")</f>
        <v/>
      </c>
      <c r="O31" s="2" t="str">
        <f aca="false">IF(K31=0,INT(N31/Inputs!$B$17)+1,"")</f>
        <v/>
      </c>
      <c r="P31" s="2" t="n">
        <f aca="false">IF(K31=1,1,O31)</f>
        <v>1</v>
      </c>
      <c r="Q31" s="2" t="n">
        <f aca="false">IF(K31=1,M31,O31+12)</f>
        <v>9</v>
      </c>
      <c r="R31" s="11" t="str">
        <f aca="false">IF(K31=0,IF(AND(I31="Yes",J31&lt;&gt;""),J31,E31*(1+Inputs!$B$7)^(INT((O31-1)/12))),"")</f>
        <v/>
      </c>
    </row>
    <row r="32" customFormat="false" ht="15" hidden="false" customHeight="false" outlineLevel="0" collapsed="false">
      <c r="A32" s="21" t="n">
        <v>201</v>
      </c>
      <c r="B32" s="21" t="s">
        <v>122</v>
      </c>
      <c r="C32" s="21" t="n">
        <v>735</v>
      </c>
      <c r="D32" s="21" t="s">
        <v>123</v>
      </c>
      <c r="E32" s="8" t="n">
        <v>1525</v>
      </c>
      <c r="F32" s="8" t="n">
        <v>1420</v>
      </c>
      <c r="G32" s="8" t="n">
        <v>25</v>
      </c>
      <c r="H32" s="4" t="n">
        <v>46326</v>
      </c>
      <c r="I32" s="21"/>
      <c r="J32" s="8"/>
      <c r="K32" s="2" t="n">
        <f aca="false">IF(D32="Occupied",1,0)</f>
        <v>1</v>
      </c>
      <c r="L32" s="2" t="n">
        <f aca="false">IF(AND(K32=1,I32="Yes"),1,0)</f>
        <v>0</v>
      </c>
      <c r="M32" s="2" t="n">
        <f aca="false">IF(K32=1,IF(OR(H32="",H32&lt;Inputs!$B$5),1,(YEAR(H32)-YEAR(Inputs!$B$5))*12+MONTH(H32)-MONTH(Inputs!$B$5)+2),"")</f>
        <v>1</v>
      </c>
      <c r="N32" s="2" t="str">
        <f aca="false">IF(K32=0,IF(I32="Yes",COUNTIFS(K$2:K32,0,I$2:I32,"Yes")-1,COUNTIFS(K$2:K$121,0,I$2:I$121,"Yes")+COUNTIFS(K$2:K32,0,I$2:I32,"&lt;&gt;Yes")-1),"")</f>
        <v/>
      </c>
      <c r="O32" s="2" t="str">
        <f aca="false">IF(K32=0,INT(N32/Inputs!$B$17)+1,"")</f>
        <v/>
      </c>
      <c r="P32" s="2" t="n">
        <f aca="false">IF(K32=1,1,O32)</f>
        <v>1</v>
      </c>
      <c r="Q32" s="2" t="n">
        <f aca="false">IF(K32=1,M32,O32+12)</f>
        <v>1</v>
      </c>
      <c r="R32" s="11" t="str">
        <f aca="false">IF(K32=0,IF(AND(I32="Yes",J32&lt;&gt;""),J32,E32*(1+Inputs!$B$7)^(INT((O32-1)/12))),"")</f>
        <v/>
      </c>
    </row>
    <row r="33" customFormat="false" ht="15" hidden="false" customHeight="false" outlineLevel="0" collapsed="false">
      <c r="A33" s="21" t="n">
        <v>202</v>
      </c>
      <c r="B33" s="21" t="s">
        <v>122</v>
      </c>
      <c r="C33" s="21" t="n">
        <v>735</v>
      </c>
      <c r="D33" s="21" t="s">
        <v>123</v>
      </c>
      <c r="E33" s="8" t="n">
        <v>1525</v>
      </c>
      <c r="F33" s="8" t="n">
        <v>1430</v>
      </c>
      <c r="G33" s="8" t="n">
        <v>0</v>
      </c>
      <c r="H33" s="4" t="n">
        <v>46599</v>
      </c>
      <c r="I33" s="21"/>
      <c r="J33" s="8"/>
      <c r="K33" s="2" t="n">
        <f aca="false">IF(D33="Occupied",1,0)</f>
        <v>1</v>
      </c>
      <c r="L33" s="2" t="n">
        <f aca="false">IF(AND(K33=1,I33="Yes"),1,0)</f>
        <v>0</v>
      </c>
      <c r="M33" s="2" t="n">
        <f aca="false">IF(K33=1,IF(OR(H33="",H33&lt;Inputs!$B$5),1,(YEAR(H33)-YEAR(Inputs!$B$5))*12+MONTH(H33)-MONTH(Inputs!$B$5)+2),"")</f>
        <v>10</v>
      </c>
      <c r="N33" s="2" t="str">
        <f aca="false">IF(K33=0,IF(I33="Yes",COUNTIFS(K$2:K33,0,I$2:I33,"Yes")-1,COUNTIFS(K$2:K$121,0,I$2:I$121,"Yes")+COUNTIFS(K$2:K33,0,I$2:I33,"&lt;&gt;Yes")-1),"")</f>
        <v/>
      </c>
      <c r="O33" s="2" t="str">
        <f aca="false">IF(K33=0,INT(N33/Inputs!$B$17)+1,"")</f>
        <v/>
      </c>
      <c r="P33" s="2" t="n">
        <f aca="false">IF(K33=1,1,O33)</f>
        <v>1</v>
      </c>
      <c r="Q33" s="2" t="n">
        <f aca="false">IF(K33=1,M33,O33+12)</f>
        <v>10</v>
      </c>
      <c r="R33" s="11" t="str">
        <f aca="false">IF(K33=0,IF(AND(I33="Yes",J33&lt;&gt;""),J33,E33*(1+Inputs!$B$7)^(INT((O33-1)/12))),"")</f>
        <v/>
      </c>
    </row>
    <row r="34" customFormat="false" ht="15" hidden="false" customHeight="false" outlineLevel="0" collapsed="false">
      <c r="A34" s="21" t="n">
        <v>203</v>
      </c>
      <c r="B34" s="21" t="s">
        <v>122</v>
      </c>
      <c r="C34" s="21" t="n">
        <v>735</v>
      </c>
      <c r="D34" s="21" t="s">
        <v>123</v>
      </c>
      <c r="E34" s="8" t="n">
        <v>1525</v>
      </c>
      <c r="F34" s="8" t="n">
        <v>1220</v>
      </c>
      <c r="G34" s="8" t="n">
        <v>12</v>
      </c>
      <c r="H34" s="4" t="n">
        <v>46538</v>
      </c>
      <c r="I34" s="21"/>
      <c r="J34" s="8"/>
      <c r="K34" s="2" t="n">
        <f aca="false">IF(D34="Occupied",1,0)</f>
        <v>1</v>
      </c>
      <c r="L34" s="2" t="n">
        <f aca="false">IF(AND(K34=1,I34="Yes"),1,0)</f>
        <v>0</v>
      </c>
      <c r="M34" s="2" t="n">
        <f aca="false">IF(K34=1,IF(OR(H34="",H34&lt;Inputs!$B$5),1,(YEAR(H34)-YEAR(Inputs!$B$5))*12+MONTH(H34)-MONTH(Inputs!$B$5)+2),"")</f>
        <v>8</v>
      </c>
      <c r="N34" s="2" t="str">
        <f aca="false">IF(K34=0,IF(I34="Yes",COUNTIFS(K$2:K34,0,I$2:I34,"Yes")-1,COUNTIFS(K$2:K$121,0,I$2:I$121,"Yes")+COUNTIFS(K$2:K34,0,I$2:I34,"&lt;&gt;Yes")-1),"")</f>
        <v/>
      </c>
      <c r="O34" s="2" t="str">
        <f aca="false">IF(K34=0,INT(N34/Inputs!$B$17)+1,"")</f>
        <v/>
      </c>
      <c r="P34" s="2" t="n">
        <f aca="false">IF(K34=1,1,O34)</f>
        <v>1</v>
      </c>
      <c r="Q34" s="2" t="n">
        <f aca="false">IF(K34=1,M34,O34+12)</f>
        <v>8</v>
      </c>
      <c r="R34" s="11" t="str">
        <f aca="false">IF(K34=0,IF(AND(I34="Yes",J34&lt;&gt;""),J34,E34*(1+Inputs!$B$7)^(INT((O34-1)/12))),"")</f>
        <v/>
      </c>
    </row>
    <row r="35" customFormat="false" ht="15" hidden="false" customHeight="false" outlineLevel="0" collapsed="false">
      <c r="A35" s="21" t="n">
        <v>204</v>
      </c>
      <c r="B35" s="21" t="s">
        <v>122</v>
      </c>
      <c r="C35" s="21" t="n">
        <v>735</v>
      </c>
      <c r="D35" s="21" t="s">
        <v>123</v>
      </c>
      <c r="E35" s="8" t="n">
        <v>1525</v>
      </c>
      <c r="F35" s="8" t="n">
        <v>1380</v>
      </c>
      <c r="G35" s="8" t="n">
        <v>35</v>
      </c>
      <c r="H35" s="4" t="n">
        <v>46538</v>
      </c>
      <c r="I35" s="21"/>
      <c r="J35" s="8"/>
      <c r="K35" s="2" t="n">
        <f aca="false">IF(D35="Occupied",1,0)</f>
        <v>1</v>
      </c>
      <c r="L35" s="2" t="n">
        <f aca="false">IF(AND(K35=1,I35="Yes"),1,0)</f>
        <v>0</v>
      </c>
      <c r="M35" s="2" t="n">
        <f aca="false">IF(K35=1,IF(OR(H35="",H35&lt;Inputs!$B$5),1,(YEAR(H35)-YEAR(Inputs!$B$5))*12+MONTH(H35)-MONTH(Inputs!$B$5)+2),"")</f>
        <v>8</v>
      </c>
      <c r="N35" s="2" t="str">
        <f aca="false">IF(K35=0,IF(I35="Yes",COUNTIFS(K$2:K35,0,I$2:I35,"Yes")-1,COUNTIFS(K$2:K$121,0,I$2:I$121,"Yes")+COUNTIFS(K$2:K35,0,I$2:I35,"&lt;&gt;Yes")-1),"")</f>
        <v/>
      </c>
      <c r="O35" s="2" t="str">
        <f aca="false">IF(K35=0,INT(N35/Inputs!$B$17)+1,"")</f>
        <v/>
      </c>
      <c r="P35" s="2" t="n">
        <f aca="false">IF(K35=1,1,O35)</f>
        <v>1</v>
      </c>
      <c r="Q35" s="2" t="n">
        <f aca="false">IF(K35=1,M35,O35+12)</f>
        <v>8</v>
      </c>
      <c r="R35" s="11" t="str">
        <f aca="false">IF(K35=0,IF(AND(I35="Yes",J35&lt;&gt;""),J35,E35*(1+Inputs!$B$7)^(INT((O35-1)/12))),"")</f>
        <v/>
      </c>
    </row>
    <row r="36" customFormat="false" ht="15" hidden="false" customHeight="false" outlineLevel="0" collapsed="false">
      <c r="A36" s="21" t="n">
        <v>205</v>
      </c>
      <c r="B36" s="21" t="s">
        <v>122</v>
      </c>
      <c r="C36" s="21" t="n">
        <v>735</v>
      </c>
      <c r="D36" s="21" t="s">
        <v>123</v>
      </c>
      <c r="E36" s="8" t="n">
        <v>1525</v>
      </c>
      <c r="F36" s="8" t="n">
        <v>1380</v>
      </c>
      <c r="G36" s="8" t="n">
        <v>0</v>
      </c>
      <c r="H36" s="4" t="n">
        <v>46326</v>
      </c>
      <c r="I36" s="21"/>
      <c r="J36" s="8"/>
      <c r="K36" s="2" t="n">
        <f aca="false">IF(D36="Occupied",1,0)</f>
        <v>1</v>
      </c>
      <c r="L36" s="2" t="n">
        <f aca="false">IF(AND(K36=1,I36="Yes"),1,0)</f>
        <v>0</v>
      </c>
      <c r="M36" s="2" t="n">
        <f aca="false">IF(K36=1,IF(OR(H36="",H36&lt;Inputs!$B$5),1,(YEAR(H36)-YEAR(Inputs!$B$5))*12+MONTH(H36)-MONTH(Inputs!$B$5)+2),"")</f>
        <v>1</v>
      </c>
      <c r="N36" s="2" t="str">
        <f aca="false">IF(K36=0,IF(I36="Yes",COUNTIFS(K$2:K36,0,I$2:I36,"Yes")-1,COUNTIFS(K$2:K$121,0,I$2:I$121,"Yes")+COUNTIFS(K$2:K36,0,I$2:I36,"&lt;&gt;Yes")-1),"")</f>
        <v/>
      </c>
      <c r="O36" s="2" t="str">
        <f aca="false">IF(K36=0,INT(N36/Inputs!$B$17)+1,"")</f>
        <v/>
      </c>
      <c r="P36" s="2" t="n">
        <f aca="false">IF(K36=1,1,O36)</f>
        <v>1</v>
      </c>
      <c r="Q36" s="2" t="n">
        <f aca="false">IF(K36=1,M36,O36+12)</f>
        <v>1</v>
      </c>
      <c r="R36" s="11" t="str">
        <f aca="false">IF(K36=0,IF(AND(I36="Yes",J36&lt;&gt;""),J36,E36*(1+Inputs!$B$7)^(INT((O36-1)/12))),"")</f>
        <v/>
      </c>
    </row>
    <row r="37" customFormat="false" ht="15" hidden="false" customHeight="false" outlineLevel="0" collapsed="false">
      <c r="A37" s="21" t="n">
        <v>206</v>
      </c>
      <c r="B37" s="21" t="s">
        <v>122</v>
      </c>
      <c r="C37" s="21" t="n">
        <v>735</v>
      </c>
      <c r="D37" s="21" t="s">
        <v>123</v>
      </c>
      <c r="E37" s="8" t="n">
        <v>1525</v>
      </c>
      <c r="F37" s="8" t="n">
        <v>1425</v>
      </c>
      <c r="G37" s="8" t="n">
        <v>0</v>
      </c>
      <c r="H37" s="4" t="n">
        <v>46660</v>
      </c>
      <c r="I37" s="21"/>
      <c r="J37" s="8"/>
      <c r="K37" s="2" t="n">
        <f aca="false">IF(D37="Occupied",1,0)</f>
        <v>1</v>
      </c>
      <c r="L37" s="2" t="n">
        <f aca="false">IF(AND(K37=1,I37="Yes"),1,0)</f>
        <v>0</v>
      </c>
      <c r="M37" s="2" t="n">
        <f aca="false">IF(K37=1,IF(OR(H37="",H37&lt;Inputs!$B$5),1,(YEAR(H37)-YEAR(Inputs!$B$5))*12+MONTH(H37)-MONTH(Inputs!$B$5)+2),"")</f>
        <v>12</v>
      </c>
      <c r="N37" s="2" t="str">
        <f aca="false">IF(K37=0,IF(I37="Yes",COUNTIFS(K$2:K37,0,I$2:I37,"Yes")-1,COUNTIFS(K$2:K$121,0,I$2:I$121,"Yes")+COUNTIFS(K$2:K37,0,I$2:I37,"&lt;&gt;Yes")-1),"")</f>
        <v/>
      </c>
      <c r="O37" s="2" t="str">
        <f aca="false">IF(K37=0,INT(N37/Inputs!$B$17)+1,"")</f>
        <v/>
      </c>
      <c r="P37" s="2" t="n">
        <f aca="false">IF(K37=1,1,O37)</f>
        <v>1</v>
      </c>
      <c r="Q37" s="2" t="n">
        <f aca="false">IF(K37=1,M37,O37+12)</f>
        <v>12</v>
      </c>
      <c r="R37" s="11" t="str">
        <f aca="false">IF(K37=0,IF(AND(I37="Yes",J37&lt;&gt;""),J37,E37*(1+Inputs!$B$7)^(INT((O37-1)/12))),"")</f>
        <v/>
      </c>
    </row>
    <row r="38" customFormat="false" ht="15" hidden="false" customHeight="false" outlineLevel="0" collapsed="false">
      <c r="A38" s="21" t="n">
        <v>207</v>
      </c>
      <c r="B38" s="21" t="s">
        <v>122</v>
      </c>
      <c r="C38" s="21" t="n">
        <v>735</v>
      </c>
      <c r="D38" s="21" t="s">
        <v>123</v>
      </c>
      <c r="E38" s="8" t="n">
        <v>1525</v>
      </c>
      <c r="F38" s="8" t="n">
        <v>1435</v>
      </c>
      <c r="G38" s="8" t="n">
        <v>50</v>
      </c>
      <c r="H38" s="4" t="n">
        <v>46418</v>
      </c>
      <c r="I38" s="21"/>
      <c r="J38" s="8"/>
      <c r="K38" s="2" t="n">
        <f aca="false">IF(D38="Occupied",1,0)</f>
        <v>1</v>
      </c>
      <c r="L38" s="2" t="n">
        <f aca="false">IF(AND(K38=1,I38="Yes"),1,0)</f>
        <v>0</v>
      </c>
      <c r="M38" s="2" t="n">
        <f aca="false">IF(K38=1,IF(OR(H38="",H38&lt;Inputs!$B$5),1,(YEAR(H38)-YEAR(Inputs!$B$5))*12+MONTH(H38)-MONTH(Inputs!$B$5)+2),"")</f>
        <v>4</v>
      </c>
      <c r="N38" s="2" t="str">
        <f aca="false">IF(K38=0,IF(I38="Yes",COUNTIFS(K$2:K38,0,I$2:I38,"Yes")-1,COUNTIFS(K$2:K$121,0,I$2:I$121,"Yes")+COUNTIFS(K$2:K38,0,I$2:I38,"&lt;&gt;Yes")-1),"")</f>
        <v/>
      </c>
      <c r="O38" s="2" t="str">
        <f aca="false">IF(K38=0,INT(N38/Inputs!$B$17)+1,"")</f>
        <v/>
      </c>
      <c r="P38" s="2" t="n">
        <f aca="false">IF(K38=1,1,O38)</f>
        <v>1</v>
      </c>
      <c r="Q38" s="2" t="n">
        <f aca="false">IF(K38=1,M38,O38+12)</f>
        <v>4</v>
      </c>
      <c r="R38" s="11" t="str">
        <f aca="false">IF(K38=0,IF(AND(I38="Yes",J38&lt;&gt;""),J38,E38*(1+Inputs!$B$7)^(INT((O38-1)/12))),"")</f>
        <v/>
      </c>
    </row>
    <row r="39" customFormat="false" ht="15" hidden="false" customHeight="false" outlineLevel="0" collapsed="false">
      <c r="A39" s="21" t="n">
        <v>208</v>
      </c>
      <c r="B39" s="21" t="s">
        <v>122</v>
      </c>
      <c r="C39" s="21" t="n">
        <v>735</v>
      </c>
      <c r="D39" s="21" t="s">
        <v>123</v>
      </c>
      <c r="E39" s="8" t="n">
        <v>1525</v>
      </c>
      <c r="F39" s="8" t="n">
        <v>1540</v>
      </c>
      <c r="G39" s="8" t="n">
        <v>65</v>
      </c>
      <c r="H39" s="4" t="n">
        <v>46387</v>
      </c>
      <c r="I39" s="21"/>
      <c r="J39" s="8"/>
      <c r="K39" s="2" t="n">
        <f aca="false">IF(D39="Occupied",1,0)</f>
        <v>1</v>
      </c>
      <c r="L39" s="2" t="n">
        <f aca="false">IF(AND(K39=1,I39="Yes"),1,0)</f>
        <v>0</v>
      </c>
      <c r="M39" s="2" t="n">
        <f aca="false">IF(K39=1,IF(OR(H39="",H39&lt;Inputs!$B$5),1,(YEAR(H39)-YEAR(Inputs!$B$5))*12+MONTH(H39)-MONTH(Inputs!$B$5)+2),"")</f>
        <v>3</v>
      </c>
      <c r="N39" s="2" t="str">
        <f aca="false">IF(K39=0,IF(I39="Yes",COUNTIFS(K$2:K39,0,I$2:I39,"Yes")-1,COUNTIFS(K$2:K$121,0,I$2:I$121,"Yes")+COUNTIFS(K$2:K39,0,I$2:I39,"&lt;&gt;Yes")-1),"")</f>
        <v/>
      </c>
      <c r="O39" s="2" t="str">
        <f aca="false">IF(K39=0,INT(N39/Inputs!$B$17)+1,"")</f>
        <v/>
      </c>
      <c r="P39" s="2" t="n">
        <f aca="false">IF(K39=1,1,O39)</f>
        <v>1</v>
      </c>
      <c r="Q39" s="2" t="n">
        <f aca="false">IF(K39=1,M39,O39+12)</f>
        <v>3</v>
      </c>
      <c r="R39" s="11" t="str">
        <f aca="false">IF(K39=0,IF(AND(I39="Yes",J39&lt;&gt;""),J39,E39*(1+Inputs!$B$7)^(INT((O39-1)/12))),"")</f>
        <v/>
      </c>
    </row>
    <row r="40" customFormat="false" ht="15" hidden="false" customHeight="false" outlineLevel="0" collapsed="false">
      <c r="A40" s="21" t="n">
        <v>209</v>
      </c>
      <c r="B40" s="21" t="s">
        <v>122</v>
      </c>
      <c r="C40" s="21" t="n">
        <v>735</v>
      </c>
      <c r="D40" s="21" t="s">
        <v>124</v>
      </c>
      <c r="E40" s="8" t="n">
        <v>1525</v>
      </c>
      <c r="F40" s="8" t="n">
        <v>0</v>
      </c>
      <c r="G40" s="8" t="n">
        <v>0</v>
      </c>
      <c r="H40" s="4"/>
      <c r="I40" s="21"/>
      <c r="J40" s="8"/>
      <c r="K40" s="2" t="n">
        <f aca="false">IF(D40="Occupied",1,0)</f>
        <v>0</v>
      </c>
      <c r="L40" s="2" t="n">
        <f aca="false">IF(AND(K40=1,I40="Yes"),1,0)</f>
        <v>0</v>
      </c>
      <c r="M40" s="2" t="str">
        <f aca="false">IF(K40=1,IF(OR(H40="",H40&lt;Inputs!$B$5),1,(YEAR(H40)-YEAR(Inputs!$B$5))*12+MONTH(H40)-MONTH(Inputs!$B$5)+2),"")</f>
        <v/>
      </c>
      <c r="N40" s="2" t="n">
        <f aca="false">IF(K40=0,IF(I40="Yes",COUNTIFS(K$2:K40,0,I$2:I40,"Yes")-1,COUNTIFS(K$2:K$121,0,I$2:I$121,"Yes")+COUNTIFS(K$2:K40,0,I$2:I40,"&lt;&gt;Yes")-1),"")</f>
        <v>4</v>
      </c>
      <c r="O40" s="2" t="n">
        <f aca="false">IF(K40=0,INT(N40/Inputs!$B$17)+1,"")</f>
        <v>1</v>
      </c>
      <c r="P40" s="2" t="n">
        <f aca="false">IF(K40=1,1,O40)</f>
        <v>1</v>
      </c>
      <c r="Q40" s="2" t="n">
        <f aca="false">IF(K40=1,M40,O40+12)</f>
        <v>13</v>
      </c>
      <c r="R40" s="11" t="n">
        <f aca="false">IF(K40=0,IF(AND(I40="Yes",J40&lt;&gt;""),J40,E40*(1+Inputs!$B$7)^(INT((O40-1)/12))),"")</f>
        <v>1525</v>
      </c>
    </row>
    <row r="41" customFormat="false" ht="15" hidden="false" customHeight="false" outlineLevel="0" collapsed="false">
      <c r="A41" s="21" t="n">
        <v>210</v>
      </c>
      <c r="B41" s="21" t="s">
        <v>122</v>
      </c>
      <c r="C41" s="21" t="n">
        <v>735</v>
      </c>
      <c r="D41" s="21" t="s">
        <v>123</v>
      </c>
      <c r="E41" s="8" t="n">
        <v>1525</v>
      </c>
      <c r="F41" s="8" t="n">
        <v>1455</v>
      </c>
      <c r="G41" s="8" t="n">
        <v>50</v>
      </c>
      <c r="H41" s="4" t="n">
        <v>46538</v>
      </c>
      <c r="I41" s="21"/>
      <c r="J41" s="8"/>
      <c r="K41" s="2" t="n">
        <f aca="false">IF(D41="Occupied",1,0)</f>
        <v>1</v>
      </c>
      <c r="L41" s="2" t="n">
        <f aca="false">IF(AND(K41=1,I41="Yes"),1,0)</f>
        <v>0</v>
      </c>
      <c r="M41" s="2" t="n">
        <f aca="false">IF(K41=1,IF(OR(H41="",H41&lt;Inputs!$B$5),1,(YEAR(H41)-YEAR(Inputs!$B$5))*12+MONTH(H41)-MONTH(Inputs!$B$5)+2),"")</f>
        <v>8</v>
      </c>
      <c r="N41" s="2" t="str">
        <f aca="false">IF(K41=0,IF(I41="Yes",COUNTIFS(K$2:K41,0,I$2:I41,"Yes")-1,COUNTIFS(K$2:K$121,0,I$2:I$121,"Yes")+COUNTIFS(K$2:K41,0,I$2:I41,"&lt;&gt;Yes")-1),"")</f>
        <v/>
      </c>
      <c r="O41" s="2" t="str">
        <f aca="false">IF(K41=0,INT(N41/Inputs!$B$17)+1,"")</f>
        <v/>
      </c>
      <c r="P41" s="2" t="n">
        <f aca="false">IF(K41=1,1,O41)</f>
        <v>1</v>
      </c>
      <c r="Q41" s="2" t="n">
        <f aca="false">IF(K41=1,M41,O41+12)</f>
        <v>8</v>
      </c>
      <c r="R41" s="11" t="str">
        <f aca="false">IF(K41=0,IF(AND(I41="Yes",J41&lt;&gt;""),J41,E41*(1+Inputs!$B$7)^(INT((O41-1)/12))),"")</f>
        <v/>
      </c>
    </row>
    <row r="42" customFormat="false" ht="15" hidden="false" customHeight="false" outlineLevel="0" collapsed="false">
      <c r="A42" s="21" t="n">
        <v>211</v>
      </c>
      <c r="B42" s="21" t="s">
        <v>122</v>
      </c>
      <c r="C42" s="21" t="n">
        <v>735</v>
      </c>
      <c r="D42" s="21" t="s">
        <v>123</v>
      </c>
      <c r="E42" s="8" t="n">
        <v>1525</v>
      </c>
      <c r="F42" s="8" t="n">
        <v>1375</v>
      </c>
      <c r="G42" s="8" t="n">
        <v>45</v>
      </c>
      <c r="H42" s="4" t="n">
        <v>46418</v>
      </c>
      <c r="I42" s="21"/>
      <c r="J42" s="8"/>
      <c r="K42" s="2" t="n">
        <f aca="false">IF(D42="Occupied",1,0)</f>
        <v>1</v>
      </c>
      <c r="L42" s="2" t="n">
        <f aca="false">IF(AND(K42=1,I42="Yes"),1,0)</f>
        <v>0</v>
      </c>
      <c r="M42" s="2" t="n">
        <f aca="false">IF(K42=1,IF(OR(H42="",H42&lt;Inputs!$B$5),1,(YEAR(H42)-YEAR(Inputs!$B$5))*12+MONTH(H42)-MONTH(Inputs!$B$5)+2),"")</f>
        <v>4</v>
      </c>
      <c r="N42" s="2" t="str">
        <f aca="false">IF(K42=0,IF(I42="Yes",COUNTIFS(K$2:K42,0,I$2:I42,"Yes")-1,COUNTIFS(K$2:K$121,0,I$2:I$121,"Yes")+COUNTIFS(K$2:K42,0,I$2:I42,"&lt;&gt;Yes")-1),"")</f>
        <v/>
      </c>
      <c r="O42" s="2" t="str">
        <f aca="false">IF(K42=0,INT(N42/Inputs!$B$17)+1,"")</f>
        <v/>
      </c>
      <c r="P42" s="2" t="n">
        <f aca="false">IF(K42=1,1,O42)</f>
        <v>1</v>
      </c>
      <c r="Q42" s="2" t="n">
        <f aca="false">IF(K42=1,M42,O42+12)</f>
        <v>4</v>
      </c>
      <c r="R42" s="11" t="str">
        <f aca="false">IF(K42=0,IF(AND(I42="Yes",J42&lt;&gt;""),J42,E42*(1+Inputs!$B$7)^(INT((O42-1)/12))),"")</f>
        <v/>
      </c>
    </row>
    <row r="43" customFormat="false" ht="15" hidden="false" customHeight="false" outlineLevel="0" collapsed="false">
      <c r="A43" s="21" t="n">
        <v>212</v>
      </c>
      <c r="B43" s="21" t="s">
        <v>122</v>
      </c>
      <c r="C43" s="21" t="n">
        <v>735</v>
      </c>
      <c r="D43" s="21" t="s">
        <v>123</v>
      </c>
      <c r="E43" s="8" t="n">
        <v>1525</v>
      </c>
      <c r="F43" s="8" t="n">
        <v>1390</v>
      </c>
      <c r="G43" s="8" t="n">
        <v>0</v>
      </c>
      <c r="H43" s="4" t="n">
        <v>46568</v>
      </c>
      <c r="I43" s="21"/>
      <c r="J43" s="8"/>
      <c r="K43" s="2" t="n">
        <f aca="false">IF(D43="Occupied",1,0)</f>
        <v>1</v>
      </c>
      <c r="L43" s="2" t="n">
        <f aca="false">IF(AND(K43=1,I43="Yes"),1,0)</f>
        <v>0</v>
      </c>
      <c r="M43" s="2" t="n">
        <f aca="false">IF(K43=1,IF(OR(H43="",H43&lt;Inputs!$B$5),1,(YEAR(H43)-YEAR(Inputs!$B$5))*12+MONTH(H43)-MONTH(Inputs!$B$5)+2),"")</f>
        <v>9</v>
      </c>
      <c r="N43" s="2" t="str">
        <f aca="false">IF(K43=0,IF(I43="Yes",COUNTIFS(K$2:K43,0,I$2:I43,"Yes")-1,COUNTIFS(K$2:K$121,0,I$2:I$121,"Yes")+COUNTIFS(K$2:K43,0,I$2:I43,"&lt;&gt;Yes")-1),"")</f>
        <v/>
      </c>
      <c r="O43" s="2" t="str">
        <f aca="false">IF(K43=0,INT(N43/Inputs!$B$17)+1,"")</f>
        <v/>
      </c>
      <c r="P43" s="2" t="n">
        <f aca="false">IF(K43=1,1,O43)</f>
        <v>1</v>
      </c>
      <c r="Q43" s="2" t="n">
        <f aca="false">IF(K43=1,M43,O43+12)</f>
        <v>9</v>
      </c>
      <c r="R43" s="11" t="str">
        <f aca="false">IF(K43=0,IF(AND(I43="Yes",J43&lt;&gt;""),J43,E43*(1+Inputs!$B$7)^(INT((O43-1)/12))),"")</f>
        <v/>
      </c>
    </row>
    <row r="44" customFormat="false" ht="15" hidden="false" customHeight="false" outlineLevel="0" collapsed="false">
      <c r="A44" s="21" t="n">
        <v>213</v>
      </c>
      <c r="B44" s="21" t="s">
        <v>125</v>
      </c>
      <c r="C44" s="21" t="n">
        <v>560</v>
      </c>
      <c r="D44" s="21" t="s">
        <v>123</v>
      </c>
      <c r="E44" s="8" t="n">
        <v>1295</v>
      </c>
      <c r="F44" s="8" t="n">
        <v>1195</v>
      </c>
      <c r="G44" s="8" t="n">
        <v>85</v>
      </c>
      <c r="H44" s="4" t="n">
        <v>46660</v>
      </c>
      <c r="I44" s="21"/>
      <c r="J44" s="8"/>
      <c r="K44" s="2" t="n">
        <f aca="false">IF(D44="Occupied",1,0)</f>
        <v>1</v>
      </c>
      <c r="L44" s="2" t="n">
        <f aca="false">IF(AND(K44=1,I44="Yes"),1,0)</f>
        <v>0</v>
      </c>
      <c r="M44" s="2" t="n">
        <f aca="false">IF(K44=1,IF(OR(H44="",H44&lt;Inputs!$B$5),1,(YEAR(H44)-YEAR(Inputs!$B$5))*12+MONTH(H44)-MONTH(Inputs!$B$5)+2),"")</f>
        <v>12</v>
      </c>
      <c r="N44" s="2" t="str">
        <f aca="false">IF(K44=0,IF(I44="Yes",COUNTIFS(K$2:K44,0,I$2:I44,"Yes")-1,COUNTIFS(K$2:K$121,0,I$2:I$121,"Yes")+COUNTIFS(K$2:K44,0,I$2:I44,"&lt;&gt;Yes")-1),"")</f>
        <v/>
      </c>
      <c r="O44" s="2" t="str">
        <f aca="false">IF(K44=0,INT(N44/Inputs!$B$17)+1,"")</f>
        <v/>
      </c>
      <c r="P44" s="2" t="n">
        <f aca="false">IF(K44=1,1,O44)</f>
        <v>1</v>
      </c>
      <c r="Q44" s="2" t="n">
        <f aca="false">IF(K44=1,M44,O44+12)</f>
        <v>12</v>
      </c>
      <c r="R44" s="11" t="str">
        <f aca="false">IF(K44=0,IF(AND(I44="Yes",J44&lt;&gt;""),J44,E44*(1+Inputs!$B$7)^(INT((O44-1)/12))),"")</f>
        <v/>
      </c>
    </row>
    <row r="45" customFormat="false" ht="15" hidden="false" customHeight="false" outlineLevel="0" collapsed="false">
      <c r="A45" s="21" t="n">
        <v>214</v>
      </c>
      <c r="B45" s="21" t="s">
        <v>125</v>
      </c>
      <c r="C45" s="21" t="n">
        <v>560</v>
      </c>
      <c r="D45" s="21" t="s">
        <v>123</v>
      </c>
      <c r="E45" s="8" t="n">
        <v>1295</v>
      </c>
      <c r="F45" s="8" t="n">
        <v>1260</v>
      </c>
      <c r="G45" s="8" t="n">
        <v>12</v>
      </c>
      <c r="H45" s="4" t="n">
        <v>46326</v>
      </c>
      <c r="I45" s="21" t="s">
        <v>126</v>
      </c>
      <c r="J45" s="8"/>
      <c r="K45" s="2" t="n">
        <f aca="false">IF(D45="Occupied",1,0)</f>
        <v>1</v>
      </c>
      <c r="L45" s="2" t="n">
        <f aca="false">IF(AND(K45=1,I45="Yes"),1,0)</f>
        <v>1</v>
      </c>
      <c r="M45" s="2" t="n">
        <f aca="false">IF(K45=1,IF(OR(H45="",H45&lt;Inputs!$B$5),1,(YEAR(H45)-YEAR(Inputs!$B$5))*12+MONTH(H45)-MONTH(Inputs!$B$5)+2),"")</f>
        <v>1</v>
      </c>
      <c r="N45" s="2" t="str">
        <f aca="false">IF(K45=0,IF(I45="Yes",COUNTIFS(K$2:K45,0,I$2:I45,"Yes")-1,COUNTIFS(K$2:K$121,0,I$2:I$121,"Yes")+COUNTIFS(K$2:K45,0,I$2:I45,"&lt;&gt;Yes")-1),"")</f>
        <v/>
      </c>
      <c r="O45" s="2" t="str">
        <f aca="false">IF(K45=0,INT(N45/Inputs!$B$17)+1,"")</f>
        <v/>
      </c>
      <c r="P45" s="2" t="n">
        <f aca="false">IF(K45=1,1,O45)</f>
        <v>1</v>
      </c>
      <c r="Q45" s="2" t="n">
        <f aca="false">IF(K45=1,M45,O45+12)</f>
        <v>1</v>
      </c>
      <c r="R45" s="11" t="str">
        <f aca="false">IF(K45=0,IF(AND(I45="Yes",J45&lt;&gt;""),J45,E45*(1+Inputs!$B$7)^(INT((O45-1)/12))),"")</f>
        <v/>
      </c>
    </row>
    <row r="46" customFormat="false" ht="15" hidden="false" customHeight="false" outlineLevel="0" collapsed="false">
      <c r="A46" s="21" t="n">
        <v>215</v>
      </c>
      <c r="B46" s="21" t="s">
        <v>125</v>
      </c>
      <c r="C46" s="21" t="n">
        <v>560</v>
      </c>
      <c r="D46" s="21" t="s">
        <v>123</v>
      </c>
      <c r="E46" s="8" t="n">
        <v>1295</v>
      </c>
      <c r="F46" s="8" t="n">
        <v>1310</v>
      </c>
      <c r="G46" s="8" t="n">
        <v>75</v>
      </c>
      <c r="H46" s="4" t="n">
        <v>46630</v>
      </c>
      <c r="I46" s="21"/>
      <c r="J46" s="8"/>
      <c r="K46" s="2" t="n">
        <f aca="false">IF(D46="Occupied",1,0)</f>
        <v>1</v>
      </c>
      <c r="L46" s="2" t="n">
        <f aca="false">IF(AND(K46=1,I46="Yes"),1,0)</f>
        <v>0</v>
      </c>
      <c r="M46" s="2" t="n">
        <f aca="false">IF(K46=1,IF(OR(H46="",H46&lt;Inputs!$B$5),1,(YEAR(H46)-YEAR(Inputs!$B$5))*12+MONTH(H46)-MONTH(Inputs!$B$5)+2),"")</f>
        <v>11</v>
      </c>
      <c r="N46" s="2" t="str">
        <f aca="false">IF(K46=0,IF(I46="Yes",COUNTIFS(K$2:K46,0,I$2:I46,"Yes")-1,COUNTIFS(K$2:K$121,0,I$2:I$121,"Yes")+COUNTIFS(K$2:K46,0,I$2:I46,"&lt;&gt;Yes")-1),"")</f>
        <v/>
      </c>
      <c r="O46" s="2" t="str">
        <f aca="false">IF(K46=0,INT(N46/Inputs!$B$17)+1,"")</f>
        <v/>
      </c>
      <c r="P46" s="2" t="n">
        <f aca="false">IF(K46=1,1,O46)</f>
        <v>1</v>
      </c>
      <c r="Q46" s="2" t="n">
        <f aca="false">IF(K46=1,M46,O46+12)</f>
        <v>11</v>
      </c>
      <c r="R46" s="11" t="str">
        <f aca="false">IF(K46=0,IF(AND(I46="Yes",J46&lt;&gt;""),J46,E46*(1+Inputs!$B$7)^(INT((O46-1)/12))),"")</f>
        <v/>
      </c>
    </row>
    <row r="47" customFormat="false" ht="15" hidden="false" customHeight="false" outlineLevel="0" collapsed="false">
      <c r="A47" s="21" t="n">
        <v>216</v>
      </c>
      <c r="B47" s="21" t="s">
        <v>125</v>
      </c>
      <c r="C47" s="21" t="n">
        <v>560</v>
      </c>
      <c r="D47" s="21" t="s">
        <v>123</v>
      </c>
      <c r="E47" s="8" t="n">
        <v>1295</v>
      </c>
      <c r="F47" s="8" t="n">
        <v>1220</v>
      </c>
      <c r="G47" s="8" t="n">
        <v>25</v>
      </c>
      <c r="H47" s="4" t="n">
        <v>46660</v>
      </c>
      <c r="I47" s="21"/>
      <c r="J47" s="8"/>
      <c r="K47" s="2" t="n">
        <f aca="false">IF(D47="Occupied",1,0)</f>
        <v>1</v>
      </c>
      <c r="L47" s="2" t="n">
        <f aca="false">IF(AND(K47=1,I47="Yes"),1,0)</f>
        <v>0</v>
      </c>
      <c r="M47" s="2" t="n">
        <f aca="false">IF(K47=1,IF(OR(H47="",H47&lt;Inputs!$B$5),1,(YEAR(H47)-YEAR(Inputs!$B$5))*12+MONTH(H47)-MONTH(Inputs!$B$5)+2),"")</f>
        <v>12</v>
      </c>
      <c r="N47" s="2" t="str">
        <f aca="false">IF(K47=0,IF(I47="Yes",COUNTIFS(K$2:K47,0,I$2:I47,"Yes")-1,COUNTIFS(K$2:K$121,0,I$2:I$121,"Yes")+COUNTIFS(K$2:K47,0,I$2:I47,"&lt;&gt;Yes")-1),"")</f>
        <v/>
      </c>
      <c r="O47" s="2" t="str">
        <f aca="false">IF(K47=0,INT(N47/Inputs!$B$17)+1,"")</f>
        <v/>
      </c>
      <c r="P47" s="2" t="n">
        <f aca="false">IF(K47=1,1,O47)</f>
        <v>1</v>
      </c>
      <c r="Q47" s="2" t="n">
        <f aca="false">IF(K47=1,M47,O47+12)</f>
        <v>12</v>
      </c>
      <c r="R47" s="11" t="str">
        <f aca="false">IF(K47=0,IF(AND(I47="Yes",J47&lt;&gt;""),J47,E47*(1+Inputs!$B$7)^(INT((O47-1)/12))),"")</f>
        <v/>
      </c>
    </row>
    <row r="48" customFormat="false" ht="15" hidden="false" customHeight="false" outlineLevel="0" collapsed="false">
      <c r="A48" s="21" t="n">
        <v>217</v>
      </c>
      <c r="B48" s="21" t="s">
        <v>125</v>
      </c>
      <c r="C48" s="21" t="n">
        <v>560</v>
      </c>
      <c r="D48" s="21" t="s">
        <v>123</v>
      </c>
      <c r="E48" s="8" t="n">
        <v>1295</v>
      </c>
      <c r="F48" s="8" t="n">
        <v>1330</v>
      </c>
      <c r="G48" s="8" t="n">
        <v>0</v>
      </c>
      <c r="H48" s="4" t="n">
        <v>46507</v>
      </c>
      <c r="I48" s="21"/>
      <c r="J48" s="8"/>
      <c r="K48" s="2" t="n">
        <f aca="false">IF(D48="Occupied",1,0)</f>
        <v>1</v>
      </c>
      <c r="L48" s="2" t="n">
        <f aca="false">IF(AND(K48=1,I48="Yes"),1,0)</f>
        <v>0</v>
      </c>
      <c r="M48" s="2" t="n">
        <f aca="false">IF(K48=1,IF(OR(H48="",H48&lt;Inputs!$B$5),1,(YEAR(H48)-YEAR(Inputs!$B$5))*12+MONTH(H48)-MONTH(Inputs!$B$5)+2),"")</f>
        <v>7</v>
      </c>
      <c r="N48" s="2" t="str">
        <f aca="false">IF(K48=0,IF(I48="Yes",COUNTIFS(K$2:K48,0,I$2:I48,"Yes")-1,COUNTIFS(K$2:K$121,0,I$2:I$121,"Yes")+COUNTIFS(K$2:K48,0,I$2:I48,"&lt;&gt;Yes")-1),"")</f>
        <v/>
      </c>
      <c r="O48" s="2" t="str">
        <f aca="false">IF(K48=0,INT(N48/Inputs!$B$17)+1,"")</f>
        <v/>
      </c>
      <c r="P48" s="2" t="n">
        <f aca="false">IF(K48=1,1,O48)</f>
        <v>1</v>
      </c>
      <c r="Q48" s="2" t="n">
        <f aca="false">IF(K48=1,M48,O48+12)</f>
        <v>7</v>
      </c>
      <c r="R48" s="11" t="str">
        <f aca="false">IF(K48=0,IF(AND(I48="Yes",J48&lt;&gt;""),J48,E48*(1+Inputs!$B$7)^(INT((O48-1)/12))),"")</f>
        <v/>
      </c>
    </row>
    <row r="49" customFormat="false" ht="15" hidden="false" customHeight="false" outlineLevel="0" collapsed="false">
      <c r="A49" s="21" t="n">
        <v>218</v>
      </c>
      <c r="B49" s="21" t="s">
        <v>125</v>
      </c>
      <c r="C49" s="21" t="n">
        <v>560</v>
      </c>
      <c r="D49" s="21" t="s">
        <v>123</v>
      </c>
      <c r="E49" s="8" t="n">
        <v>1295</v>
      </c>
      <c r="F49" s="8" t="n">
        <v>1215</v>
      </c>
      <c r="G49" s="8" t="n">
        <v>0</v>
      </c>
      <c r="H49" s="4" t="n">
        <v>46477</v>
      </c>
      <c r="I49" s="21"/>
      <c r="J49" s="8"/>
      <c r="K49" s="2" t="n">
        <f aca="false">IF(D49="Occupied",1,0)</f>
        <v>1</v>
      </c>
      <c r="L49" s="2" t="n">
        <f aca="false">IF(AND(K49=1,I49="Yes"),1,0)</f>
        <v>0</v>
      </c>
      <c r="M49" s="2" t="n">
        <f aca="false">IF(K49=1,IF(OR(H49="",H49&lt;Inputs!$B$5),1,(YEAR(H49)-YEAR(Inputs!$B$5))*12+MONTH(H49)-MONTH(Inputs!$B$5)+2),"")</f>
        <v>6</v>
      </c>
      <c r="N49" s="2" t="str">
        <f aca="false">IF(K49=0,IF(I49="Yes",COUNTIFS(K$2:K49,0,I$2:I49,"Yes")-1,COUNTIFS(K$2:K$121,0,I$2:I$121,"Yes")+COUNTIFS(K$2:K49,0,I$2:I49,"&lt;&gt;Yes")-1),"")</f>
        <v/>
      </c>
      <c r="O49" s="2" t="str">
        <f aca="false">IF(K49=0,INT(N49/Inputs!$B$17)+1,"")</f>
        <v/>
      </c>
      <c r="P49" s="2" t="n">
        <f aca="false">IF(K49=1,1,O49)</f>
        <v>1</v>
      </c>
      <c r="Q49" s="2" t="n">
        <f aca="false">IF(K49=1,M49,O49+12)</f>
        <v>6</v>
      </c>
      <c r="R49" s="11" t="str">
        <f aca="false">IF(K49=0,IF(AND(I49="Yes",J49&lt;&gt;""),J49,E49*(1+Inputs!$B$7)^(INT((O49-1)/12))),"")</f>
        <v/>
      </c>
    </row>
    <row r="50" customFormat="false" ht="15" hidden="false" customHeight="false" outlineLevel="0" collapsed="false">
      <c r="A50" s="21" t="n">
        <v>219</v>
      </c>
      <c r="B50" s="21" t="s">
        <v>125</v>
      </c>
      <c r="C50" s="21" t="n">
        <v>560</v>
      </c>
      <c r="D50" s="21" t="s">
        <v>123</v>
      </c>
      <c r="E50" s="8" t="n">
        <v>1295</v>
      </c>
      <c r="F50" s="8" t="n">
        <v>1295</v>
      </c>
      <c r="G50" s="8" t="n">
        <v>40</v>
      </c>
      <c r="H50" s="4" t="n">
        <v>46630</v>
      </c>
      <c r="I50" s="21"/>
      <c r="J50" s="8"/>
      <c r="K50" s="2" t="n">
        <f aca="false">IF(D50="Occupied",1,0)</f>
        <v>1</v>
      </c>
      <c r="L50" s="2" t="n">
        <f aca="false">IF(AND(K50=1,I50="Yes"),1,0)</f>
        <v>0</v>
      </c>
      <c r="M50" s="2" t="n">
        <f aca="false">IF(K50=1,IF(OR(H50="",H50&lt;Inputs!$B$5),1,(YEAR(H50)-YEAR(Inputs!$B$5))*12+MONTH(H50)-MONTH(Inputs!$B$5)+2),"")</f>
        <v>11</v>
      </c>
      <c r="N50" s="2" t="str">
        <f aca="false">IF(K50=0,IF(I50="Yes",COUNTIFS(K$2:K50,0,I$2:I50,"Yes")-1,COUNTIFS(K$2:K$121,0,I$2:I$121,"Yes")+COUNTIFS(K$2:K50,0,I$2:I50,"&lt;&gt;Yes")-1),"")</f>
        <v/>
      </c>
      <c r="O50" s="2" t="str">
        <f aca="false">IF(K50=0,INT(N50/Inputs!$B$17)+1,"")</f>
        <v/>
      </c>
      <c r="P50" s="2" t="n">
        <f aca="false">IF(K50=1,1,O50)</f>
        <v>1</v>
      </c>
      <c r="Q50" s="2" t="n">
        <f aca="false">IF(K50=1,M50,O50+12)</f>
        <v>11</v>
      </c>
      <c r="R50" s="11" t="str">
        <f aca="false">IF(K50=0,IF(AND(I50="Yes",J50&lt;&gt;""),J50,E50*(1+Inputs!$B$7)^(INT((O50-1)/12))),"")</f>
        <v/>
      </c>
    </row>
    <row r="51" customFormat="false" ht="15" hidden="false" customHeight="false" outlineLevel="0" collapsed="false">
      <c r="A51" s="21" t="n">
        <v>220</v>
      </c>
      <c r="B51" s="21" t="s">
        <v>125</v>
      </c>
      <c r="C51" s="21" t="n">
        <v>560</v>
      </c>
      <c r="D51" s="21" t="s">
        <v>123</v>
      </c>
      <c r="E51" s="8" t="n">
        <v>1295</v>
      </c>
      <c r="F51" s="8" t="n">
        <v>1280</v>
      </c>
      <c r="G51" s="8" t="n">
        <v>50</v>
      </c>
      <c r="H51" s="4" t="n">
        <v>46356</v>
      </c>
      <c r="I51" s="21"/>
      <c r="J51" s="8"/>
      <c r="K51" s="2" t="n">
        <f aca="false">IF(D51="Occupied",1,0)</f>
        <v>1</v>
      </c>
      <c r="L51" s="2" t="n">
        <f aca="false">IF(AND(K51=1,I51="Yes"),1,0)</f>
        <v>0</v>
      </c>
      <c r="M51" s="2" t="n">
        <f aca="false">IF(K51=1,IF(OR(H51="",H51&lt;Inputs!$B$5),1,(YEAR(H51)-YEAR(Inputs!$B$5))*12+MONTH(H51)-MONTH(Inputs!$B$5)+2),"")</f>
        <v>2</v>
      </c>
      <c r="N51" s="2" t="str">
        <f aca="false">IF(K51=0,IF(I51="Yes",COUNTIFS(K$2:K51,0,I$2:I51,"Yes")-1,COUNTIFS(K$2:K$121,0,I$2:I$121,"Yes")+COUNTIFS(K$2:K51,0,I$2:I51,"&lt;&gt;Yes")-1),"")</f>
        <v/>
      </c>
      <c r="O51" s="2" t="str">
        <f aca="false">IF(K51=0,INT(N51/Inputs!$B$17)+1,"")</f>
        <v/>
      </c>
      <c r="P51" s="2" t="n">
        <f aca="false">IF(K51=1,1,O51)</f>
        <v>1</v>
      </c>
      <c r="Q51" s="2" t="n">
        <f aca="false">IF(K51=1,M51,O51+12)</f>
        <v>2</v>
      </c>
      <c r="R51" s="11" t="str">
        <f aca="false">IF(K51=0,IF(AND(I51="Yes",J51&lt;&gt;""),J51,E51*(1+Inputs!$B$7)^(INT((O51-1)/12))),"")</f>
        <v/>
      </c>
    </row>
    <row r="52" customFormat="false" ht="15" hidden="false" customHeight="false" outlineLevel="0" collapsed="false">
      <c r="A52" s="21" t="n">
        <v>221</v>
      </c>
      <c r="B52" s="21" t="s">
        <v>127</v>
      </c>
      <c r="C52" s="21" t="n">
        <v>960</v>
      </c>
      <c r="D52" s="21" t="s">
        <v>123</v>
      </c>
      <c r="E52" s="8" t="n">
        <v>1850</v>
      </c>
      <c r="F52" s="8" t="n">
        <v>1850</v>
      </c>
      <c r="G52" s="8" t="n">
        <v>47</v>
      </c>
      <c r="H52" s="4" t="n">
        <v>46387</v>
      </c>
      <c r="I52" s="21"/>
      <c r="J52" s="8"/>
      <c r="K52" s="2" t="n">
        <f aca="false">IF(D52="Occupied",1,0)</f>
        <v>1</v>
      </c>
      <c r="L52" s="2" t="n">
        <f aca="false">IF(AND(K52=1,I52="Yes"),1,0)</f>
        <v>0</v>
      </c>
      <c r="M52" s="2" t="n">
        <f aca="false">IF(K52=1,IF(OR(H52="",H52&lt;Inputs!$B$5),1,(YEAR(H52)-YEAR(Inputs!$B$5))*12+MONTH(H52)-MONTH(Inputs!$B$5)+2),"")</f>
        <v>3</v>
      </c>
      <c r="N52" s="2" t="str">
        <f aca="false">IF(K52=0,IF(I52="Yes",COUNTIFS(K$2:K52,0,I$2:I52,"Yes")-1,COUNTIFS(K$2:K$121,0,I$2:I$121,"Yes")+COUNTIFS(K$2:K52,0,I$2:I52,"&lt;&gt;Yes")-1),"")</f>
        <v/>
      </c>
      <c r="O52" s="2" t="str">
        <f aca="false">IF(K52=0,INT(N52/Inputs!$B$17)+1,"")</f>
        <v/>
      </c>
      <c r="P52" s="2" t="n">
        <f aca="false">IF(K52=1,1,O52)</f>
        <v>1</v>
      </c>
      <c r="Q52" s="2" t="n">
        <f aca="false">IF(K52=1,M52,O52+12)</f>
        <v>3</v>
      </c>
      <c r="R52" s="11" t="str">
        <f aca="false">IF(K52=0,IF(AND(I52="Yes",J52&lt;&gt;""),J52,E52*(1+Inputs!$B$7)^(INT((O52-1)/12))),"")</f>
        <v/>
      </c>
    </row>
    <row r="53" customFormat="false" ht="15" hidden="false" customHeight="false" outlineLevel="0" collapsed="false">
      <c r="A53" s="21" t="n">
        <v>222</v>
      </c>
      <c r="B53" s="21" t="s">
        <v>127</v>
      </c>
      <c r="C53" s="21" t="n">
        <v>960</v>
      </c>
      <c r="D53" s="21" t="s">
        <v>124</v>
      </c>
      <c r="E53" s="8" t="n">
        <v>1850</v>
      </c>
      <c r="F53" s="8" t="n">
        <v>0</v>
      </c>
      <c r="G53" s="8" t="n">
        <v>0</v>
      </c>
      <c r="H53" s="4"/>
      <c r="I53" s="21"/>
      <c r="J53" s="8"/>
      <c r="K53" s="2" t="n">
        <f aca="false">IF(D53="Occupied",1,0)</f>
        <v>0</v>
      </c>
      <c r="L53" s="2" t="n">
        <f aca="false">IF(AND(K53=1,I53="Yes"),1,0)</f>
        <v>0</v>
      </c>
      <c r="M53" s="2" t="str">
        <f aca="false">IF(K53=1,IF(OR(H53="",H53&lt;Inputs!$B$5),1,(YEAR(H53)-YEAR(Inputs!$B$5))*12+MONTH(H53)-MONTH(Inputs!$B$5)+2),"")</f>
        <v/>
      </c>
      <c r="N53" s="2" t="n">
        <f aca="false">IF(K53=0,IF(I53="Yes",COUNTIFS(K$2:K53,0,I$2:I53,"Yes")-1,COUNTIFS(K$2:K$121,0,I$2:I$121,"Yes")+COUNTIFS(K$2:K53,0,I$2:I53,"&lt;&gt;Yes")-1),"")</f>
        <v>5</v>
      </c>
      <c r="O53" s="2" t="n">
        <f aca="false">IF(K53=0,INT(N53/Inputs!$B$17)+1,"")</f>
        <v>1</v>
      </c>
      <c r="P53" s="2" t="n">
        <f aca="false">IF(K53=1,1,O53)</f>
        <v>1</v>
      </c>
      <c r="Q53" s="2" t="n">
        <f aca="false">IF(K53=1,M53,O53+12)</f>
        <v>13</v>
      </c>
      <c r="R53" s="11" t="n">
        <f aca="false">IF(K53=0,IF(AND(I53="Yes",J53&lt;&gt;""),J53,E53*(1+Inputs!$B$7)^(INT((O53-1)/12))),"")</f>
        <v>1850</v>
      </c>
    </row>
    <row r="54" customFormat="false" ht="15" hidden="false" customHeight="false" outlineLevel="0" collapsed="false">
      <c r="A54" s="21" t="n">
        <v>223</v>
      </c>
      <c r="B54" s="21" t="s">
        <v>127</v>
      </c>
      <c r="C54" s="21" t="n">
        <v>960</v>
      </c>
      <c r="D54" s="21" t="s">
        <v>123</v>
      </c>
      <c r="E54" s="8" t="n">
        <v>1850</v>
      </c>
      <c r="F54" s="8" t="n">
        <v>1720</v>
      </c>
      <c r="G54" s="8" t="n">
        <v>35</v>
      </c>
      <c r="H54" s="4" t="n">
        <v>46599</v>
      </c>
      <c r="I54" s="21"/>
      <c r="J54" s="8"/>
      <c r="K54" s="2" t="n">
        <f aca="false">IF(D54="Occupied",1,0)</f>
        <v>1</v>
      </c>
      <c r="L54" s="2" t="n">
        <f aca="false">IF(AND(K54=1,I54="Yes"),1,0)</f>
        <v>0</v>
      </c>
      <c r="M54" s="2" t="n">
        <f aca="false">IF(K54=1,IF(OR(H54="",H54&lt;Inputs!$B$5),1,(YEAR(H54)-YEAR(Inputs!$B$5))*12+MONTH(H54)-MONTH(Inputs!$B$5)+2),"")</f>
        <v>10</v>
      </c>
      <c r="N54" s="2" t="str">
        <f aca="false">IF(K54=0,IF(I54="Yes",COUNTIFS(K$2:K54,0,I$2:I54,"Yes")-1,COUNTIFS(K$2:K$121,0,I$2:I$121,"Yes")+COUNTIFS(K$2:K54,0,I$2:I54,"&lt;&gt;Yes")-1),"")</f>
        <v/>
      </c>
      <c r="O54" s="2" t="str">
        <f aca="false">IF(K54=0,INT(N54/Inputs!$B$17)+1,"")</f>
        <v/>
      </c>
      <c r="P54" s="2" t="n">
        <f aca="false">IF(K54=1,1,O54)</f>
        <v>1</v>
      </c>
      <c r="Q54" s="2" t="n">
        <f aca="false">IF(K54=1,M54,O54+12)</f>
        <v>10</v>
      </c>
      <c r="R54" s="11" t="str">
        <f aca="false">IF(K54=0,IF(AND(I54="Yes",J54&lt;&gt;""),J54,E54*(1+Inputs!$B$7)^(INT((O54-1)/12))),"")</f>
        <v/>
      </c>
    </row>
    <row r="55" customFormat="false" ht="15" hidden="false" customHeight="false" outlineLevel="0" collapsed="false">
      <c r="A55" s="21" t="n">
        <v>224</v>
      </c>
      <c r="B55" s="21" t="s">
        <v>127</v>
      </c>
      <c r="C55" s="21" t="n">
        <v>960</v>
      </c>
      <c r="D55" s="21" t="s">
        <v>123</v>
      </c>
      <c r="E55" s="8" t="n">
        <v>1850</v>
      </c>
      <c r="F55" s="8" t="n">
        <v>1735</v>
      </c>
      <c r="G55" s="8" t="n">
        <v>50</v>
      </c>
      <c r="H55" s="4" t="n">
        <v>46507</v>
      </c>
      <c r="I55" s="21"/>
      <c r="J55" s="8"/>
      <c r="K55" s="2" t="n">
        <f aca="false">IF(D55="Occupied",1,0)</f>
        <v>1</v>
      </c>
      <c r="L55" s="2" t="n">
        <f aca="false">IF(AND(K55=1,I55="Yes"),1,0)</f>
        <v>0</v>
      </c>
      <c r="M55" s="2" t="n">
        <f aca="false">IF(K55=1,IF(OR(H55="",H55&lt;Inputs!$B$5),1,(YEAR(H55)-YEAR(Inputs!$B$5))*12+MONTH(H55)-MONTH(Inputs!$B$5)+2),"")</f>
        <v>7</v>
      </c>
      <c r="N55" s="2" t="str">
        <f aca="false">IF(K55=0,IF(I55="Yes",COUNTIFS(K$2:K55,0,I$2:I55,"Yes")-1,COUNTIFS(K$2:K$121,0,I$2:I$121,"Yes")+COUNTIFS(K$2:K55,0,I$2:I55,"&lt;&gt;Yes")-1),"")</f>
        <v/>
      </c>
      <c r="O55" s="2" t="str">
        <f aca="false">IF(K55=0,INT(N55/Inputs!$B$17)+1,"")</f>
        <v/>
      </c>
      <c r="P55" s="2" t="n">
        <f aca="false">IF(K55=1,1,O55)</f>
        <v>1</v>
      </c>
      <c r="Q55" s="2" t="n">
        <f aca="false">IF(K55=1,M55,O55+12)</f>
        <v>7</v>
      </c>
      <c r="R55" s="11" t="str">
        <f aca="false">IF(K55=0,IF(AND(I55="Yes",J55&lt;&gt;""),J55,E55*(1+Inputs!$B$7)^(INT((O55-1)/12))),"")</f>
        <v/>
      </c>
    </row>
    <row r="56" customFormat="false" ht="15" hidden="false" customHeight="false" outlineLevel="0" collapsed="false">
      <c r="A56" s="21" t="n">
        <v>225</v>
      </c>
      <c r="B56" s="21" t="s">
        <v>127</v>
      </c>
      <c r="C56" s="21" t="n">
        <v>960</v>
      </c>
      <c r="D56" s="21" t="s">
        <v>123</v>
      </c>
      <c r="E56" s="8" t="n">
        <v>1850</v>
      </c>
      <c r="F56" s="8" t="n">
        <v>1865</v>
      </c>
      <c r="G56" s="8" t="n">
        <v>25</v>
      </c>
      <c r="H56" s="4" t="n">
        <v>46660</v>
      </c>
      <c r="I56" s="21"/>
      <c r="J56" s="8"/>
      <c r="K56" s="2" t="n">
        <f aca="false">IF(D56="Occupied",1,0)</f>
        <v>1</v>
      </c>
      <c r="L56" s="2" t="n">
        <f aca="false">IF(AND(K56=1,I56="Yes"),1,0)</f>
        <v>0</v>
      </c>
      <c r="M56" s="2" t="n">
        <f aca="false">IF(K56=1,IF(OR(H56="",H56&lt;Inputs!$B$5),1,(YEAR(H56)-YEAR(Inputs!$B$5))*12+MONTH(H56)-MONTH(Inputs!$B$5)+2),"")</f>
        <v>12</v>
      </c>
      <c r="N56" s="2" t="str">
        <f aca="false">IF(K56=0,IF(I56="Yes",COUNTIFS(K$2:K56,0,I$2:I56,"Yes")-1,COUNTIFS(K$2:K$121,0,I$2:I$121,"Yes")+COUNTIFS(K$2:K56,0,I$2:I56,"&lt;&gt;Yes")-1),"")</f>
        <v/>
      </c>
      <c r="O56" s="2" t="str">
        <f aca="false">IF(K56=0,INT(N56/Inputs!$B$17)+1,"")</f>
        <v/>
      </c>
      <c r="P56" s="2" t="n">
        <f aca="false">IF(K56=1,1,O56)</f>
        <v>1</v>
      </c>
      <c r="Q56" s="2" t="n">
        <f aca="false">IF(K56=1,M56,O56+12)</f>
        <v>12</v>
      </c>
      <c r="R56" s="11" t="str">
        <f aca="false">IF(K56=0,IF(AND(I56="Yes",J56&lt;&gt;""),J56,E56*(1+Inputs!$B$7)^(INT((O56-1)/12))),"")</f>
        <v/>
      </c>
    </row>
    <row r="57" customFormat="false" ht="15" hidden="false" customHeight="false" outlineLevel="0" collapsed="false">
      <c r="A57" s="21" t="n">
        <v>226</v>
      </c>
      <c r="B57" s="21" t="s">
        <v>127</v>
      </c>
      <c r="C57" s="21" t="n">
        <v>960</v>
      </c>
      <c r="D57" s="21" t="s">
        <v>123</v>
      </c>
      <c r="E57" s="8" t="n">
        <v>1850</v>
      </c>
      <c r="F57" s="8" t="n">
        <v>1895</v>
      </c>
      <c r="G57" s="8" t="n">
        <v>40</v>
      </c>
      <c r="H57" s="4" t="n">
        <v>46538</v>
      </c>
      <c r="I57" s="21"/>
      <c r="J57" s="8"/>
      <c r="K57" s="2" t="n">
        <f aca="false">IF(D57="Occupied",1,0)</f>
        <v>1</v>
      </c>
      <c r="L57" s="2" t="n">
        <f aca="false">IF(AND(K57=1,I57="Yes"),1,0)</f>
        <v>0</v>
      </c>
      <c r="M57" s="2" t="n">
        <f aca="false">IF(K57=1,IF(OR(H57="",H57&lt;Inputs!$B$5),1,(YEAR(H57)-YEAR(Inputs!$B$5))*12+MONTH(H57)-MONTH(Inputs!$B$5)+2),"")</f>
        <v>8</v>
      </c>
      <c r="N57" s="2" t="str">
        <f aca="false">IF(K57=0,IF(I57="Yes",COUNTIFS(K$2:K57,0,I$2:I57,"Yes")-1,COUNTIFS(K$2:K$121,0,I$2:I$121,"Yes")+COUNTIFS(K$2:K57,0,I$2:I57,"&lt;&gt;Yes")-1),"")</f>
        <v/>
      </c>
      <c r="O57" s="2" t="str">
        <f aca="false">IF(K57=0,INT(N57/Inputs!$B$17)+1,"")</f>
        <v/>
      </c>
      <c r="P57" s="2" t="n">
        <f aca="false">IF(K57=1,1,O57)</f>
        <v>1</v>
      </c>
      <c r="Q57" s="2" t="n">
        <f aca="false">IF(K57=1,M57,O57+12)</f>
        <v>8</v>
      </c>
      <c r="R57" s="11" t="str">
        <f aca="false">IF(K57=0,IF(AND(I57="Yes",J57&lt;&gt;""),J57,E57*(1+Inputs!$B$7)^(INT((O57-1)/12))),"")</f>
        <v/>
      </c>
    </row>
    <row r="58" customFormat="false" ht="15" hidden="false" customHeight="false" outlineLevel="0" collapsed="false">
      <c r="A58" s="21" t="n">
        <v>227</v>
      </c>
      <c r="B58" s="21" t="s">
        <v>127</v>
      </c>
      <c r="C58" s="21" t="n">
        <v>960</v>
      </c>
      <c r="D58" s="21" t="s">
        <v>123</v>
      </c>
      <c r="E58" s="8" t="n">
        <v>1850</v>
      </c>
      <c r="F58" s="8" t="n">
        <v>1895</v>
      </c>
      <c r="G58" s="8" t="n">
        <v>0</v>
      </c>
      <c r="H58" s="4" t="n">
        <v>46446</v>
      </c>
      <c r="I58" s="21"/>
      <c r="J58" s="8"/>
      <c r="K58" s="2" t="n">
        <f aca="false">IF(D58="Occupied",1,0)</f>
        <v>1</v>
      </c>
      <c r="L58" s="2" t="n">
        <f aca="false">IF(AND(K58=1,I58="Yes"),1,0)</f>
        <v>0</v>
      </c>
      <c r="M58" s="2" t="n">
        <f aca="false">IF(K58=1,IF(OR(H58="",H58&lt;Inputs!$B$5),1,(YEAR(H58)-YEAR(Inputs!$B$5))*12+MONTH(H58)-MONTH(Inputs!$B$5)+2),"")</f>
        <v>5</v>
      </c>
      <c r="N58" s="2" t="str">
        <f aca="false">IF(K58=0,IF(I58="Yes",COUNTIFS(K$2:K58,0,I$2:I58,"Yes")-1,COUNTIFS(K$2:K$121,0,I$2:I$121,"Yes")+COUNTIFS(K$2:K58,0,I$2:I58,"&lt;&gt;Yes")-1),"")</f>
        <v/>
      </c>
      <c r="O58" s="2" t="str">
        <f aca="false">IF(K58=0,INT(N58/Inputs!$B$17)+1,"")</f>
        <v/>
      </c>
      <c r="P58" s="2" t="n">
        <f aca="false">IF(K58=1,1,O58)</f>
        <v>1</v>
      </c>
      <c r="Q58" s="2" t="n">
        <f aca="false">IF(K58=1,M58,O58+12)</f>
        <v>5</v>
      </c>
      <c r="R58" s="11" t="str">
        <f aca="false">IF(K58=0,IF(AND(I58="Yes",J58&lt;&gt;""),J58,E58*(1+Inputs!$B$7)^(INT((O58-1)/12))),"")</f>
        <v/>
      </c>
    </row>
    <row r="59" customFormat="false" ht="15" hidden="false" customHeight="false" outlineLevel="0" collapsed="false">
      <c r="A59" s="21" t="n">
        <v>228</v>
      </c>
      <c r="B59" s="21" t="s">
        <v>128</v>
      </c>
      <c r="C59" s="21" t="n">
        <v>1180</v>
      </c>
      <c r="D59" s="21" t="s">
        <v>123</v>
      </c>
      <c r="E59" s="8" t="n">
        <v>2240</v>
      </c>
      <c r="F59" s="8" t="n">
        <v>2235</v>
      </c>
      <c r="G59" s="8" t="n">
        <v>70</v>
      </c>
      <c r="H59" s="4" t="n">
        <v>46418</v>
      </c>
      <c r="I59" s="21"/>
      <c r="J59" s="8"/>
      <c r="K59" s="2" t="n">
        <f aca="false">IF(D59="Occupied",1,0)</f>
        <v>1</v>
      </c>
      <c r="L59" s="2" t="n">
        <f aca="false">IF(AND(K59=1,I59="Yes"),1,0)</f>
        <v>0</v>
      </c>
      <c r="M59" s="2" t="n">
        <f aca="false">IF(K59=1,IF(OR(H59="",H59&lt;Inputs!$B$5),1,(YEAR(H59)-YEAR(Inputs!$B$5))*12+MONTH(H59)-MONTH(Inputs!$B$5)+2),"")</f>
        <v>4</v>
      </c>
      <c r="N59" s="2" t="str">
        <f aca="false">IF(K59=0,IF(I59="Yes",COUNTIFS(K$2:K59,0,I$2:I59,"Yes")-1,COUNTIFS(K$2:K$121,0,I$2:I$121,"Yes")+COUNTIFS(K$2:K59,0,I$2:I59,"&lt;&gt;Yes")-1),"")</f>
        <v/>
      </c>
      <c r="O59" s="2" t="str">
        <f aca="false">IF(K59=0,INT(N59/Inputs!$B$17)+1,"")</f>
        <v/>
      </c>
      <c r="P59" s="2" t="n">
        <f aca="false">IF(K59=1,1,O59)</f>
        <v>1</v>
      </c>
      <c r="Q59" s="2" t="n">
        <f aca="false">IF(K59=1,M59,O59+12)</f>
        <v>4</v>
      </c>
      <c r="R59" s="11" t="str">
        <f aca="false">IF(K59=0,IF(AND(I59="Yes",J59&lt;&gt;""),J59,E59*(1+Inputs!$B$7)^(INT((O59-1)/12))),"")</f>
        <v/>
      </c>
    </row>
    <row r="60" customFormat="false" ht="15" hidden="false" customHeight="false" outlineLevel="0" collapsed="false">
      <c r="A60" s="21" t="n">
        <v>229</v>
      </c>
      <c r="B60" s="21" t="s">
        <v>128</v>
      </c>
      <c r="C60" s="21" t="n">
        <v>1180</v>
      </c>
      <c r="D60" s="21" t="s">
        <v>123</v>
      </c>
      <c r="E60" s="8" t="n">
        <v>2240</v>
      </c>
      <c r="F60" s="8" t="n">
        <v>2255</v>
      </c>
      <c r="G60" s="8" t="n">
        <v>50</v>
      </c>
      <c r="H60" s="4" t="n">
        <v>46387</v>
      </c>
      <c r="I60" s="21"/>
      <c r="J60" s="8"/>
      <c r="K60" s="2" t="n">
        <f aca="false">IF(D60="Occupied",1,0)</f>
        <v>1</v>
      </c>
      <c r="L60" s="2" t="n">
        <f aca="false">IF(AND(K60=1,I60="Yes"),1,0)</f>
        <v>0</v>
      </c>
      <c r="M60" s="2" t="n">
        <f aca="false">IF(K60=1,IF(OR(H60="",H60&lt;Inputs!$B$5),1,(YEAR(H60)-YEAR(Inputs!$B$5))*12+MONTH(H60)-MONTH(Inputs!$B$5)+2),"")</f>
        <v>3</v>
      </c>
      <c r="N60" s="2" t="str">
        <f aca="false">IF(K60=0,IF(I60="Yes",COUNTIFS(K$2:K60,0,I$2:I60,"Yes")-1,COUNTIFS(K$2:K$121,0,I$2:I$121,"Yes")+COUNTIFS(K$2:K60,0,I$2:I60,"&lt;&gt;Yes")-1),"")</f>
        <v/>
      </c>
      <c r="O60" s="2" t="str">
        <f aca="false">IF(K60=0,INT(N60/Inputs!$B$17)+1,"")</f>
        <v/>
      </c>
      <c r="P60" s="2" t="n">
        <f aca="false">IF(K60=1,1,O60)</f>
        <v>1</v>
      </c>
      <c r="Q60" s="2" t="n">
        <f aca="false">IF(K60=1,M60,O60+12)</f>
        <v>3</v>
      </c>
      <c r="R60" s="11" t="str">
        <f aca="false">IF(K60=0,IF(AND(I60="Yes",J60&lt;&gt;""),J60,E60*(1+Inputs!$B$7)^(INT((O60-1)/12))),"")</f>
        <v/>
      </c>
    </row>
    <row r="61" customFormat="false" ht="15" hidden="false" customHeight="false" outlineLevel="0" collapsed="false">
      <c r="A61" s="21" t="n">
        <v>230</v>
      </c>
      <c r="B61" s="21" t="s">
        <v>128</v>
      </c>
      <c r="C61" s="21" t="n">
        <v>1180</v>
      </c>
      <c r="D61" s="21" t="s">
        <v>124</v>
      </c>
      <c r="E61" s="8" t="n">
        <v>2240</v>
      </c>
      <c r="F61" s="8" t="n">
        <v>0</v>
      </c>
      <c r="G61" s="8" t="n">
        <v>0</v>
      </c>
      <c r="H61" s="4"/>
      <c r="I61" s="21"/>
      <c r="J61" s="8"/>
      <c r="K61" s="2" t="n">
        <f aca="false">IF(D61="Occupied",1,0)</f>
        <v>0</v>
      </c>
      <c r="L61" s="2" t="n">
        <f aca="false">IF(AND(K61=1,I61="Yes"),1,0)</f>
        <v>0</v>
      </c>
      <c r="M61" s="2" t="str">
        <f aca="false">IF(K61=1,IF(OR(H61="",H61&lt;Inputs!$B$5),1,(YEAR(H61)-YEAR(Inputs!$B$5))*12+MONTH(H61)-MONTH(Inputs!$B$5)+2),"")</f>
        <v/>
      </c>
      <c r="N61" s="2" t="n">
        <f aca="false">IF(K61=0,IF(I61="Yes",COUNTIFS(K$2:K61,0,I$2:I61,"Yes")-1,COUNTIFS(K$2:K$121,0,I$2:I$121,"Yes")+COUNTIFS(K$2:K61,0,I$2:I61,"&lt;&gt;Yes")-1),"")</f>
        <v>6</v>
      </c>
      <c r="O61" s="2" t="n">
        <f aca="false">IF(K61=0,INT(N61/Inputs!$B$17)+1,"")</f>
        <v>1</v>
      </c>
      <c r="P61" s="2" t="n">
        <f aca="false">IF(K61=1,1,O61)</f>
        <v>1</v>
      </c>
      <c r="Q61" s="2" t="n">
        <f aca="false">IF(K61=1,M61,O61+12)</f>
        <v>13</v>
      </c>
      <c r="R61" s="11" t="n">
        <f aca="false">IF(K61=0,IF(AND(I61="Yes",J61&lt;&gt;""),J61,E61*(1+Inputs!$B$7)^(INT((O61-1)/12))),"")</f>
        <v>2240</v>
      </c>
    </row>
    <row r="62" customFormat="false" ht="15" hidden="false" customHeight="false" outlineLevel="0" collapsed="false">
      <c r="A62" s="21" t="n">
        <v>301</v>
      </c>
      <c r="B62" s="21" t="s">
        <v>122</v>
      </c>
      <c r="C62" s="21" t="n">
        <v>735</v>
      </c>
      <c r="D62" s="21" t="s">
        <v>123</v>
      </c>
      <c r="E62" s="8" t="n">
        <v>1525</v>
      </c>
      <c r="F62" s="8" t="n">
        <v>1555</v>
      </c>
      <c r="G62" s="8" t="n">
        <v>25</v>
      </c>
      <c r="H62" s="4" t="n">
        <v>46326</v>
      </c>
      <c r="I62" s="21"/>
      <c r="J62" s="8"/>
      <c r="K62" s="2" t="n">
        <f aca="false">IF(D62="Occupied",1,0)</f>
        <v>1</v>
      </c>
      <c r="L62" s="2" t="n">
        <f aca="false">IF(AND(K62=1,I62="Yes"),1,0)</f>
        <v>0</v>
      </c>
      <c r="M62" s="2" t="n">
        <f aca="false">IF(K62=1,IF(OR(H62="",H62&lt;Inputs!$B$5),1,(YEAR(H62)-YEAR(Inputs!$B$5))*12+MONTH(H62)-MONTH(Inputs!$B$5)+2),"")</f>
        <v>1</v>
      </c>
      <c r="N62" s="2" t="str">
        <f aca="false">IF(K62=0,IF(I62="Yes",COUNTIFS(K$2:K62,0,I$2:I62,"Yes")-1,COUNTIFS(K$2:K$121,0,I$2:I$121,"Yes")+COUNTIFS(K$2:K62,0,I$2:I62,"&lt;&gt;Yes")-1),"")</f>
        <v/>
      </c>
      <c r="O62" s="2" t="str">
        <f aca="false">IF(K62=0,INT(N62/Inputs!$B$17)+1,"")</f>
        <v/>
      </c>
      <c r="P62" s="2" t="n">
        <f aca="false">IF(K62=1,1,O62)</f>
        <v>1</v>
      </c>
      <c r="Q62" s="2" t="n">
        <f aca="false">IF(K62=1,M62,O62+12)</f>
        <v>1</v>
      </c>
      <c r="R62" s="11" t="str">
        <f aca="false">IF(K62=0,IF(AND(I62="Yes",J62&lt;&gt;""),J62,E62*(1+Inputs!$B$7)^(INT((O62-1)/12))),"")</f>
        <v/>
      </c>
    </row>
    <row r="63" customFormat="false" ht="15" hidden="false" customHeight="false" outlineLevel="0" collapsed="false">
      <c r="A63" s="21" t="n">
        <v>302</v>
      </c>
      <c r="B63" s="21" t="s">
        <v>122</v>
      </c>
      <c r="C63" s="21" t="n">
        <v>735</v>
      </c>
      <c r="D63" s="21" t="s">
        <v>123</v>
      </c>
      <c r="E63" s="8" t="n">
        <v>1525</v>
      </c>
      <c r="F63" s="8" t="n">
        <v>1455</v>
      </c>
      <c r="G63" s="8" t="n">
        <v>0</v>
      </c>
      <c r="H63" s="4" t="n">
        <v>46477</v>
      </c>
      <c r="I63" s="21"/>
      <c r="J63" s="8"/>
      <c r="K63" s="2" t="n">
        <f aca="false">IF(D63="Occupied",1,0)</f>
        <v>1</v>
      </c>
      <c r="L63" s="2" t="n">
        <f aca="false">IF(AND(K63=1,I63="Yes"),1,0)</f>
        <v>0</v>
      </c>
      <c r="M63" s="2" t="n">
        <f aca="false">IF(K63=1,IF(OR(H63="",H63&lt;Inputs!$B$5),1,(YEAR(H63)-YEAR(Inputs!$B$5))*12+MONTH(H63)-MONTH(Inputs!$B$5)+2),"")</f>
        <v>6</v>
      </c>
      <c r="N63" s="2" t="str">
        <f aca="false">IF(K63=0,IF(I63="Yes",COUNTIFS(K$2:K63,0,I$2:I63,"Yes")-1,COUNTIFS(K$2:K$121,0,I$2:I$121,"Yes")+COUNTIFS(K$2:K63,0,I$2:I63,"&lt;&gt;Yes")-1),"")</f>
        <v/>
      </c>
      <c r="O63" s="2" t="str">
        <f aca="false">IF(K63=0,INT(N63/Inputs!$B$17)+1,"")</f>
        <v/>
      </c>
      <c r="P63" s="2" t="n">
        <f aca="false">IF(K63=1,1,O63)</f>
        <v>1</v>
      </c>
      <c r="Q63" s="2" t="n">
        <f aca="false">IF(K63=1,M63,O63+12)</f>
        <v>6</v>
      </c>
      <c r="R63" s="11" t="str">
        <f aca="false">IF(K63=0,IF(AND(I63="Yes",J63&lt;&gt;""),J63,E63*(1+Inputs!$B$7)^(INT((O63-1)/12))),"")</f>
        <v/>
      </c>
    </row>
    <row r="64" customFormat="false" ht="15" hidden="false" customHeight="false" outlineLevel="0" collapsed="false">
      <c r="A64" s="21" t="n">
        <v>303</v>
      </c>
      <c r="B64" s="21" t="s">
        <v>122</v>
      </c>
      <c r="C64" s="21" t="n">
        <v>735</v>
      </c>
      <c r="D64" s="21" t="s">
        <v>123</v>
      </c>
      <c r="E64" s="8" t="n">
        <v>1525</v>
      </c>
      <c r="F64" s="8" t="n">
        <v>1450</v>
      </c>
      <c r="G64" s="8" t="n">
        <v>12</v>
      </c>
      <c r="H64" s="4" t="n">
        <v>46630</v>
      </c>
      <c r="I64" s="21"/>
      <c r="J64" s="8"/>
      <c r="K64" s="2" t="n">
        <f aca="false">IF(D64="Occupied",1,0)</f>
        <v>1</v>
      </c>
      <c r="L64" s="2" t="n">
        <f aca="false">IF(AND(K64=1,I64="Yes"),1,0)</f>
        <v>0</v>
      </c>
      <c r="M64" s="2" t="n">
        <f aca="false">IF(K64=1,IF(OR(H64="",H64&lt;Inputs!$B$5),1,(YEAR(H64)-YEAR(Inputs!$B$5))*12+MONTH(H64)-MONTH(Inputs!$B$5)+2),"")</f>
        <v>11</v>
      </c>
      <c r="N64" s="2" t="str">
        <f aca="false">IF(K64=0,IF(I64="Yes",COUNTIFS(K$2:K64,0,I$2:I64,"Yes")-1,COUNTIFS(K$2:K$121,0,I$2:I$121,"Yes")+COUNTIFS(K$2:K64,0,I$2:I64,"&lt;&gt;Yes")-1),"")</f>
        <v/>
      </c>
      <c r="O64" s="2" t="str">
        <f aca="false">IF(K64=0,INT(N64/Inputs!$B$17)+1,"")</f>
        <v/>
      </c>
      <c r="P64" s="2" t="n">
        <f aca="false">IF(K64=1,1,O64)</f>
        <v>1</v>
      </c>
      <c r="Q64" s="2" t="n">
        <f aca="false">IF(K64=1,M64,O64+12)</f>
        <v>11</v>
      </c>
      <c r="R64" s="11" t="str">
        <f aca="false">IF(K64=0,IF(AND(I64="Yes",J64&lt;&gt;""),J64,E64*(1+Inputs!$B$7)^(INT((O64-1)/12))),"")</f>
        <v/>
      </c>
    </row>
    <row r="65" customFormat="false" ht="15" hidden="false" customHeight="false" outlineLevel="0" collapsed="false">
      <c r="A65" s="21" t="n">
        <v>304</v>
      </c>
      <c r="B65" s="21" t="s">
        <v>122</v>
      </c>
      <c r="C65" s="21" t="n">
        <v>735</v>
      </c>
      <c r="D65" s="21" t="s">
        <v>123</v>
      </c>
      <c r="E65" s="8" t="n">
        <v>1525</v>
      </c>
      <c r="F65" s="8" t="n">
        <v>1535</v>
      </c>
      <c r="G65" s="8" t="n">
        <v>0</v>
      </c>
      <c r="H65" s="4" t="n">
        <v>46446</v>
      </c>
      <c r="I65" s="21"/>
      <c r="J65" s="8"/>
      <c r="K65" s="2" t="n">
        <f aca="false">IF(D65="Occupied",1,0)</f>
        <v>1</v>
      </c>
      <c r="L65" s="2" t="n">
        <f aca="false">IF(AND(K65=1,I65="Yes"),1,0)</f>
        <v>0</v>
      </c>
      <c r="M65" s="2" t="n">
        <f aca="false">IF(K65=1,IF(OR(H65="",H65&lt;Inputs!$B$5),1,(YEAR(H65)-YEAR(Inputs!$B$5))*12+MONTH(H65)-MONTH(Inputs!$B$5)+2),"")</f>
        <v>5</v>
      </c>
      <c r="N65" s="2" t="str">
        <f aca="false">IF(K65=0,IF(I65="Yes",COUNTIFS(K$2:K65,0,I$2:I65,"Yes")-1,COUNTIFS(K$2:K$121,0,I$2:I$121,"Yes")+COUNTIFS(K$2:K65,0,I$2:I65,"&lt;&gt;Yes")-1),"")</f>
        <v/>
      </c>
      <c r="O65" s="2" t="str">
        <f aca="false">IF(K65=0,INT(N65/Inputs!$B$17)+1,"")</f>
        <v/>
      </c>
      <c r="P65" s="2" t="n">
        <f aca="false">IF(K65=1,1,O65)</f>
        <v>1</v>
      </c>
      <c r="Q65" s="2" t="n">
        <f aca="false">IF(K65=1,M65,O65+12)</f>
        <v>5</v>
      </c>
      <c r="R65" s="11" t="str">
        <f aca="false">IF(K65=0,IF(AND(I65="Yes",J65&lt;&gt;""),J65,E65*(1+Inputs!$B$7)^(INT((O65-1)/12))),"")</f>
        <v/>
      </c>
    </row>
    <row r="66" customFormat="false" ht="15" hidden="false" customHeight="false" outlineLevel="0" collapsed="false">
      <c r="A66" s="21" t="n">
        <v>305</v>
      </c>
      <c r="B66" s="21" t="s">
        <v>122</v>
      </c>
      <c r="C66" s="21" t="n">
        <v>735</v>
      </c>
      <c r="D66" s="21" t="s">
        <v>124</v>
      </c>
      <c r="E66" s="8" t="n">
        <v>1525</v>
      </c>
      <c r="F66" s="8" t="n">
        <v>0</v>
      </c>
      <c r="G66" s="8" t="n">
        <v>0</v>
      </c>
      <c r="H66" s="4"/>
      <c r="I66" s="21" t="s">
        <v>126</v>
      </c>
      <c r="J66" s="8"/>
      <c r="K66" s="2" t="n">
        <f aca="false">IF(D66="Occupied",1,0)</f>
        <v>0</v>
      </c>
      <c r="L66" s="2" t="n">
        <f aca="false">IF(AND(K66=1,I66="Yes"),1,0)</f>
        <v>0</v>
      </c>
      <c r="M66" s="2" t="str">
        <f aca="false">IF(K66=1,IF(OR(H66="",H66&lt;Inputs!$B$5),1,(YEAR(H66)-YEAR(Inputs!$B$5))*12+MONTH(H66)-MONTH(Inputs!$B$5)+2),"")</f>
        <v/>
      </c>
      <c r="N66" s="2" t="n">
        <f aca="false">IF(K66=0,IF(I66="Yes",COUNTIFS(K$2:K66,0,I$2:I66,"Yes")-1,COUNTIFS(K$2:K$121,0,I$2:I$121,"Yes")+COUNTIFS(K$2:K66,0,I$2:I66,"&lt;&gt;Yes")-1),"")</f>
        <v>1</v>
      </c>
      <c r="O66" s="2" t="n">
        <f aca="false">IF(K66=0,INT(N66/Inputs!$B$17)+1,"")</f>
        <v>1</v>
      </c>
      <c r="P66" s="2" t="n">
        <f aca="false">IF(K66=1,1,O66)</f>
        <v>1</v>
      </c>
      <c r="Q66" s="2" t="n">
        <f aca="false">IF(K66=1,M66,O66+12)</f>
        <v>13</v>
      </c>
      <c r="R66" s="11" t="n">
        <f aca="false">IF(K66=0,IF(AND(I66="Yes",J66&lt;&gt;""),J66,E66*(1+Inputs!$B$7)^(INT((O66-1)/12))),"")</f>
        <v>1525</v>
      </c>
    </row>
    <row r="67" customFormat="false" ht="15" hidden="false" customHeight="false" outlineLevel="0" collapsed="false">
      <c r="A67" s="21" t="n">
        <v>306</v>
      </c>
      <c r="B67" s="21" t="s">
        <v>122</v>
      </c>
      <c r="C67" s="21" t="n">
        <v>735</v>
      </c>
      <c r="D67" s="21" t="s">
        <v>123</v>
      </c>
      <c r="E67" s="8" t="n">
        <v>1525</v>
      </c>
      <c r="F67" s="8" t="n">
        <v>1425</v>
      </c>
      <c r="G67" s="8" t="n">
        <v>0</v>
      </c>
      <c r="H67" s="4" t="n">
        <v>46507</v>
      </c>
      <c r="I67" s="21"/>
      <c r="J67" s="8"/>
      <c r="K67" s="2" t="n">
        <f aca="false">IF(D67="Occupied",1,0)</f>
        <v>1</v>
      </c>
      <c r="L67" s="2" t="n">
        <f aca="false">IF(AND(K67=1,I67="Yes"),1,0)</f>
        <v>0</v>
      </c>
      <c r="M67" s="2" t="n">
        <f aca="false">IF(K67=1,IF(OR(H67="",H67&lt;Inputs!$B$5),1,(YEAR(H67)-YEAR(Inputs!$B$5))*12+MONTH(H67)-MONTH(Inputs!$B$5)+2),"")</f>
        <v>7</v>
      </c>
      <c r="N67" s="2" t="str">
        <f aca="false">IF(K67=0,IF(I67="Yes",COUNTIFS(K$2:K67,0,I$2:I67,"Yes")-1,COUNTIFS(K$2:K$121,0,I$2:I$121,"Yes")+COUNTIFS(K$2:K67,0,I$2:I67,"&lt;&gt;Yes")-1),"")</f>
        <v/>
      </c>
      <c r="O67" s="2" t="str">
        <f aca="false">IF(K67=0,INT(N67/Inputs!$B$17)+1,"")</f>
        <v/>
      </c>
      <c r="P67" s="2" t="n">
        <f aca="false">IF(K67=1,1,O67)</f>
        <v>1</v>
      </c>
      <c r="Q67" s="2" t="n">
        <f aca="false">IF(K67=1,M67,O67+12)</f>
        <v>7</v>
      </c>
      <c r="R67" s="11" t="str">
        <f aca="false">IF(K67=0,IF(AND(I67="Yes",J67&lt;&gt;""),J67,E67*(1+Inputs!$B$7)^(INT((O67-1)/12))),"")</f>
        <v/>
      </c>
    </row>
    <row r="68" customFormat="false" ht="15" hidden="false" customHeight="false" outlineLevel="0" collapsed="false">
      <c r="A68" s="21" t="n">
        <v>307</v>
      </c>
      <c r="B68" s="21" t="s">
        <v>122</v>
      </c>
      <c r="C68" s="21" t="n">
        <v>735</v>
      </c>
      <c r="D68" s="21" t="s">
        <v>123</v>
      </c>
      <c r="E68" s="8" t="n">
        <v>1525</v>
      </c>
      <c r="F68" s="8" t="n">
        <v>1460</v>
      </c>
      <c r="G68" s="8" t="n">
        <v>85</v>
      </c>
      <c r="H68" s="4" t="n">
        <v>46326</v>
      </c>
      <c r="I68" s="21"/>
      <c r="J68" s="8"/>
      <c r="K68" s="2" t="n">
        <f aca="false">IF(D68="Occupied",1,0)</f>
        <v>1</v>
      </c>
      <c r="L68" s="2" t="n">
        <f aca="false">IF(AND(K68=1,I68="Yes"),1,0)</f>
        <v>0</v>
      </c>
      <c r="M68" s="2" t="n">
        <f aca="false">IF(K68=1,IF(OR(H68="",H68&lt;Inputs!$B$5),1,(YEAR(H68)-YEAR(Inputs!$B$5))*12+MONTH(H68)-MONTH(Inputs!$B$5)+2),"")</f>
        <v>1</v>
      </c>
      <c r="N68" s="2" t="str">
        <f aca="false">IF(K68=0,IF(I68="Yes",COUNTIFS(K$2:K68,0,I$2:I68,"Yes")-1,COUNTIFS(K$2:K$121,0,I$2:I$121,"Yes")+COUNTIFS(K$2:K68,0,I$2:I68,"&lt;&gt;Yes")-1),"")</f>
        <v/>
      </c>
      <c r="O68" s="2" t="str">
        <f aca="false">IF(K68=0,INT(N68/Inputs!$B$17)+1,"")</f>
        <v/>
      </c>
      <c r="P68" s="2" t="n">
        <f aca="false">IF(K68=1,1,O68)</f>
        <v>1</v>
      </c>
      <c r="Q68" s="2" t="n">
        <f aca="false">IF(K68=1,M68,O68+12)</f>
        <v>1</v>
      </c>
      <c r="R68" s="11" t="str">
        <f aca="false">IF(K68=0,IF(AND(I68="Yes",J68&lt;&gt;""),J68,E68*(1+Inputs!$B$7)^(INT((O68-1)/12))),"")</f>
        <v/>
      </c>
    </row>
    <row r="69" customFormat="false" ht="15" hidden="false" customHeight="false" outlineLevel="0" collapsed="false">
      <c r="A69" s="21" t="n">
        <v>308</v>
      </c>
      <c r="B69" s="21" t="s">
        <v>122</v>
      </c>
      <c r="C69" s="21" t="n">
        <v>735</v>
      </c>
      <c r="D69" s="21" t="s">
        <v>123</v>
      </c>
      <c r="E69" s="8" t="n">
        <v>1525</v>
      </c>
      <c r="F69" s="8" t="n">
        <v>1425</v>
      </c>
      <c r="G69" s="8" t="n">
        <v>0</v>
      </c>
      <c r="H69" s="4" t="n">
        <v>46326</v>
      </c>
      <c r="I69" s="21"/>
      <c r="J69" s="8"/>
      <c r="K69" s="2" t="n">
        <f aca="false">IF(D69="Occupied",1,0)</f>
        <v>1</v>
      </c>
      <c r="L69" s="2" t="n">
        <f aca="false">IF(AND(K69=1,I69="Yes"),1,0)</f>
        <v>0</v>
      </c>
      <c r="M69" s="2" t="n">
        <f aca="false">IF(K69=1,IF(OR(H69="",H69&lt;Inputs!$B$5),1,(YEAR(H69)-YEAR(Inputs!$B$5))*12+MONTH(H69)-MONTH(Inputs!$B$5)+2),"")</f>
        <v>1</v>
      </c>
      <c r="N69" s="2" t="str">
        <f aca="false">IF(K69=0,IF(I69="Yes",COUNTIFS(K$2:K69,0,I$2:I69,"Yes")-1,COUNTIFS(K$2:K$121,0,I$2:I$121,"Yes")+COUNTIFS(K$2:K69,0,I$2:I69,"&lt;&gt;Yes")-1),"")</f>
        <v/>
      </c>
      <c r="O69" s="2" t="str">
        <f aca="false">IF(K69=0,INT(N69/Inputs!$B$17)+1,"")</f>
        <v/>
      </c>
      <c r="P69" s="2" t="n">
        <f aca="false">IF(K69=1,1,O69)</f>
        <v>1</v>
      </c>
      <c r="Q69" s="2" t="n">
        <f aca="false">IF(K69=1,M69,O69+12)</f>
        <v>1</v>
      </c>
      <c r="R69" s="11" t="str">
        <f aca="false">IF(K69=0,IF(AND(I69="Yes",J69&lt;&gt;""),J69,E69*(1+Inputs!$B$7)^(INT((O69-1)/12))),"")</f>
        <v/>
      </c>
    </row>
    <row r="70" customFormat="false" ht="15" hidden="false" customHeight="false" outlineLevel="0" collapsed="false">
      <c r="A70" s="21" t="n">
        <v>309</v>
      </c>
      <c r="B70" s="21" t="s">
        <v>122</v>
      </c>
      <c r="C70" s="21" t="n">
        <v>735</v>
      </c>
      <c r="D70" s="21" t="s">
        <v>123</v>
      </c>
      <c r="E70" s="8" t="n">
        <v>1525</v>
      </c>
      <c r="F70" s="8" t="n">
        <v>1450</v>
      </c>
      <c r="G70" s="8" t="n">
        <v>130</v>
      </c>
      <c r="H70" s="4" t="n">
        <v>46356</v>
      </c>
      <c r="I70" s="21"/>
      <c r="J70" s="8"/>
      <c r="K70" s="2" t="n">
        <f aca="false">IF(D70="Occupied",1,0)</f>
        <v>1</v>
      </c>
      <c r="L70" s="2" t="n">
        <f aca="false">IF(AND(K70=1,I70="Yes"),1,0)</f>
        <v>0</v>
      </c>
      <c r="M70" s="2" t="n">
        <f aca="false">IF(K70=1,IF(OR(H70="",H70&lt;Inputs!$B$5),1,(YEAR(H70)-YEAR(Inputs!$B$5))*12+MONTH(H70)-MONTH(Inputs!$B$5)+2),"")</f>
        <v>2</v>
      </c>
      <c r="N70" s="2" t="str">
        <f aca="false">IF(K70=0,IF(I70="Yes",COUNTIFS(K$2:K70,0,I$2:I70,"Yes")-1,COUNTIFS(K$2:K$121,0,I$2:I$121,"Yes")+COUNTIFS(K$2:K70,0,I$2:I70,"&lt;&gt;Yes")-1),"")</f>
        <v/>
      </c>
      <c r="O70" s="2" t="str">
        <f aca="false">IF(K70=0,INT(N70/Inputs!$B$17)+1,"")</f>
        <v/>
      </c>
      <c r="P70" s="2" t="n">
        <f aca="false">IF(K70=1,1,O70)</f>
        <v>1</v>
      </c>
      <c r="Q70" s="2" t="n">
        <f aca="false">IF(K70=1,M70,O70+12)</f>
        <v>2</v>
      </c>
      <c r="R70" s="11" t="str">
        <f aca="false">IF(K70=0,IF(AND(I70="Yes",J70&lt;&gt;""),J70,E70*(1+Inputs!$B$7)^(INT((O70-1)/12))),"")</f>
        <v/>
      </c>
    </row>
    <row r="71" customFormat="false" ht="15" hidden="false" customHeight="false" outlineLevel="0" collapsed="false">
      <c r="A71" s="21" t="n">
        <v>310</v>
      </c>
      <c r="B71" s="21" t="s">
        <v>122</v>
      </c>
      <c r="C71" s="21" t="n">
        <v>735</v>
      </c>
      <c r="D71" s="21" t="s">
        <v>123</v>
      </c>
      <c r="E71" s="8" t="n">
        <v>1525</v>
      </c>
      <c r="F71" s="8" t="n">
        <v>1580</v>
      </c>
      <c r="G71" s="8" t="n">
        <v>35</v>
      </c>
      <c r="H71" s="4" t="n">
        <v>46599</v>
      </c>
      <c r="I71" s="21"/>
      <c r="J71" s="8"/>
      <c r="K71" s="2" t="n">
        <f aca="false">IF(D71="Occupied",1,0)</f>
        <v>1</v>
      </c>
      <c r="L71" s="2" t="n">
        <f aca="false">IF(AND(K71=1,I71="Yes"),1,0)</f>
        <v>0</v>
      </c>
      <c r="M71" s="2" t="n">
        <f aca="false">IF(K71=1,IF(OR(H71="",H71&lt;Inputs!$B$5),1,(YEAR(H71)-YEAR(Inputs!$B$5))*12+MONTH(H71)-MONTH(Inputs!$B$5)+2),"")</f>
        <v>10</v>
      </c>
      <c r="N71" s="2" t="str">
        <f aca="false">IF(K71=0,IF(I71="Yes",COUNTIFS(K$2:K71,0,I$2:I71,"Yes")-1,COUNTIFS(K$2:K$121,0,I$2:I$121,"Yes")+COUNTIFS(K$2:K71,0,I$2:I71,"&lt;&gt;Yes")-1),"")</f>
        <v/>
      </c>
      <c r="O71" s="2" t="str">
        <f aca="false">IF(K71=0,INT(N71/Inputs!$B$17)+1,"")</f>
        <v/>
      </c>
      <c r="P71" s="2" t="n">
        <f aca="false">IF(K71=1,1,O71)</f>
        <v>1</v>
      </c>
      <c r="Q71" s="2" t="n">
        <f aca="false">IF(K71=1,M71,O71+12)</f>
        <v>10</v>
      </c>
      <c r="R71" s="11" t="str">
        <f aca="false">IF(K71=0,IF(AND(I71="Yes",J71&lt;&gt;""),J71,E71*(1+Inputs!$B$7)^(INT((O71-1)/12))),"")</f>
        <v/>
      </c>
    </row>
    <row r="72" customFormat="false" ht="15" hidden="false" customHeight="false" outlineLevel="0" collapsed="false">
      <c r="A72" s="21" t="n">
        <v>311</v>
      </c>
      <c r="B72" s="21" t="s">
        <v>122</v>
      </c>
      <c r="C72" s="21" t="n">
        <v>735</v>
      </c>
      <c r="D72" s="21" t="s">
        <v>123</v>
      </c>
      <c r="E72" s="8" t="n">
        <v>1525</v>
      </c>
      <c r="F72" s="8" t="n">
        <v>1190</v>
      </c>
      <c r="G72" s="8" t="n">
        <v>12</v>
      </c>
      <c r="H72" s="4" t="n">
        <v>46507</v>
      </c>
      <c r="I72" s="21"/>
      <c r="J72" s="8"/>
      <c r="K72" s="2" t="n">
        <f aca="false">IF(D72="Occupied",1,0)</f>
        <v>1</v>
      </c>
      <c r="L72" s="2" t="n">
        <f aca="false">IF(AND(K72=1,I72="Yes"),1,0)</f>
        <v>0</v>
      </c>
      <c r="M72" s="2" t="n">
        <f aca="false">IF(K72=1,IF(OR(H72="",H72&lt;Inputs!$B$5),1,(YEAR(H72)-YEAR(Inputs!$B$5))*12+MONTH(H72)-MONTH(Inputs!$B$5)+2),"")</f>
        <v>7</v>
      </c>
      <c r="N72" s="2" t="str">
        <f aca="false">IF(K72=0,IF(I72="Yes",COUNTIFS(K$2:K72,0,I$2:I72,"Yes")-1,COUNTIFS(K$2:K$121,0,I$2:I$121,"Yes")+COUNTIFS(K$2:K72,0,I$2:I72,"&lt;&gt;Yes")-1),"")</f>
        <v/>
      </c>
      <c r="O72" s="2" t="str">
        <f aca="false">IF(K72=0,INT(N72/Inputs!$B$17)+1,"")</f>
        <v/>
      </c>
      <c r="P72" s="2" t="n">
        <f aca="false">IF(K72=1,1,O72)</f>
        <v>1</v>
      </c>
      <c r="Q72" s="2" t="n">
        <f aca="false">IF(K72=1,M72,O72+12)</f>
        <v>7</v>
      </c>
      <c r="R72" s="11" t="str">
        <f aca="false">IF(K72=0,IF(AND(I72="Yes",J72&lt;&gt;""),J72,E72*(1+Inputs!$B$7)^(INT((O72-1)/12))),"")</f>
        <v/>
      </c>
    </row>
    <row r="73" customFormat="false" ht="15" hidden="false" customHeight="false" outlineLevel="0" collapsed="false">
      <c r="A73" s="21" t="n">
        <v>312</v>
      </c>
      <c r="B73" s="21" t="s">
        <v>122</v>
      </c>
      <c r="C73" s="21" t="n">
        <v>735</v>
      </c>
      <c r="D73" s="21" t="s">
        <v>123</v>
      </c>
      <c r="E73" s="8" t="n">
        <v>1525</v>
      </c>
      <c r="F73" s="8" t="n">
        <v>1485</v>
      </c>
      <c r="G73" s="8" t="n">
        <v>0</v>
      </c>
      <c r="H73" s="4" t="n">
        <v>46418</v>
      </c>
      <c r="I73" s="21"/>
      <c r="J73" s="8"/>
      <c r="K73" s="2" t="n">
        <f aca="false">IF(D73="Occupied",1,0)</f>
        <v>1</v>
      </c>
      <c r="L73" s="2" t="n">
        <f aca="false">IF(AND(K73=1,I73="Yes"),1,0)</f>
        <v>0</v>
      </c>
      <c r="M73" s="2" t="n">
        <f aca="false">IF(K73=1,IF(OR(H73="",H73&lt;Inputs!$B$5),1,(YEAR(H73)-YEAR(Inputs!$B$5))*12+MONTH(H73)-MONTH(Inputs!$B$5)+2),"")</f>
        <v>4</v>
      </c>
      <c r="N73" s="2" t="str">
        <f aca="false">IF(K73=0,IF(I73="Yes",COUNTIFS(K$2:K73,0,I$2:I73,"Yes")-1,COUNTIFS(K$2:K$121,0,I$2:I$121,"Yes")+COUNTIFS(K$2:K73,0,I$2:I73,"&lt;&gt;Yes")-1),"")</f>
        <v/>
      </c>
      <c r="O73" s="2" t="str">
        <f aca="false">IF(K73=0,INT(N73/Inputs!$B$17)+1,"")</f>
        <v/>
      </c>
      <c r="P73" s="2" t="n">
        <f aca="false">IF(K73=1,1,O73)</f>
        <v>1</v>
      </c>
      <c r="Q73" s="2" t="n">
        <f aca="false">IF(K73=1,M73,O73+12)</f>
        <v>4</v>
      </c>
      <c r="R73" s="11" t="str">
        <f aca="false">IF(K73=0,IF(AND(I73="Yes",J73&lt;&gt;""),J73,E73*(1+Inputs!$B$7)^(INT((O73-1)/12))),"")</f>
        <v/>
      </c>
    </row>
    <row r="74" customFormat="false" ht="15" hidden="false" customHeight="false" outlineLevel="0" collapsed="false">
      <c r="A74" s="21" t="n">
        <v>313</v>
      </c>
      <c r="B74" s="21" t="s">
        <v>125</v>
      </c>
      <c r="C74" s="21" t="n">
        <v>560</v>
      </c>
      <c r="D74" s="21" t="s">
        <v>123</v>
      </c>
      <c r="E74" s="8" t="n">
        <v>1295</v>
      </c>
      <c r="F74" s="8" t="n">
        <v>1285</v>
      </c>
      <c r="G74" s="8" t="n">
        <v>0</v>
      </c>
      <c r="H74" s="4" t="n">
        <v>46418</v>
      </c>
      <c r="I74" s="21"/>
      <c r="J74" s="8"/>
      <c r="K74" s="2" t="n">
        <f aca="false">IF(D74="Occupied",1,0)</f>
        <v>1</v>
      </c>
      <c r="L74" s="2" t="n">
        <f aca="false">IF(AND(K74=1,I74="Yes"),1,0)</f>
        <v>0</v>
      </c>
      <c r="M74" s="2" t="n">
        <f aca="false">IF(K74=1,IF(OR(H74="",H74&lt;Inputs!$B$5),1,(YEAR(H74)-YEAR(Inputs!$B$5))*12+MONTH(H74)-MONTH(Inputs!$B$5)+2),"")</f>
        <v>4</v>
      </c>
      <c r="N74" s="2" t="str">
        <f aca="false">IF(K74=0,IF(I74="Yes",COUNTIFS(K$2:K74,0,I$2:I74,"Yes")-1,COUNTIFS(K$2:K$121,0,I$2:I$121,"Yes")+COUNTIFS(K$2:K74,0,I$2:I74,"&lt;&gt;Yes")-1),"")</f>
        <v/>
      </c>
      <c r="O74" s="2" t="str">
        <f aca="false">IF(K74=0,INT(N74/Inputs!$B$17)+1,"")</f>
        <v/>
      </c>
      <c r="P74" s="2" t="n">
        <f aca="false">IF(K74=1,1,O74)</f>
        <v>1</v>
      </c>
      <c r="Q74" s="2" t="n">
        <f aca="false">IF(K74=1,M74,O74+12)</f>
        <v>4</v>
      </c>
      <c r="R74" s="11" t="str">
        <f aca="false">IF(K74=0,IF(AND(I74="Yes",J74&lt;&gt;""),J74,E74*(1+Inputs!$B$7)^(INT((O74-1)/12))),"")</f>
        <v/>
      </c>
    </row>
    <row r="75" customFormat="false" ht="15" hidden="false" customHeight="false" outlineLevel="0" collapsed="false">
      <c r="A75" s="21" t="n">
        <v>314</v>
      </c>
      <c r="B75" s="21" t="s">
        <v>125</v>
      </c>
      <c r="C75" s="21" t="n">
        <v>560</v>
      </c>
      <c r="D75" s="21" t="s">
        <v>123</v>
      </c>
      <c r="E75" s="8" t="n">
        <v>1295</v>
      </c>
      <c r="F75" s="8" t="n">
        <v>1195</v>
      </c>
      <c r="G75" s="8" t="n">
        <v>12</v>
      </c>
      <c r="H75" s="4" t="n">
        <v>46326</v>
      </c>
      <c r="I75" s="21"/>
      <c r="J75" s="8"/>
      <c r="K75" s="2" t="n">
        <f aca="false">IF(D75="Occupied",1,0)</f>
        <v>1</v>
      </c>
      <c r="L75" s="2" t="n">
        <f aca="false">IF(AND(K75=1,I75="Yes"),1,0)</f>
        <v>0</v>
      </c>
      <c r="M75" s="2" t="n">
        <f aca="false">IF(K75=1,IF(OR(H75="",H75&lt;Inputs!$B$5),1,(YEAR(H75)-YEAR(Inputs!$B$5))*12+MONTH(H75)-MONTH(Inputs!$B$5)+2),"")</f>
        <v>1</v>
      </c>
      <c r="N75" s="2" t="str">
        <f aca="false">IF(K75=0,IF(I75="Yes",COUNTIFS(K$2:K75,0,I$2:I75,"Yes")-1,COUNTIFS(K$2:K$121,0,I$2:I$121,"Yes")+COUNTIFS(K$2:K75,0,I$2:I75,"&lt;&gt;Yes")-1),"")</f>
        <v/>
      </c>
      <c r="O75" s="2" t="str">
        <f aca="false">IF(K75=0,INT(N75/Inputs!$B$17)+1,"")</f>
        <v/>
      </c>
      <c r="P75" s="2" t="n">
        <f aca="false">IF(K75=1,1,O75)</f>
        <v>1</v>
      </c>
      <c r="Q75" s="2" t="n">
        <f aca="false">IF(K75=1,M75,O75+12)</f>
        <v>1</v>
      </c>
      <c r="R75" s="11" t="str">
        <f aca="false">IF(K75=0,IF(AND(I75="Yes",J75&lt;&gt;""),J75,E75*(1+Inputs!$B$7)^(INT((O75-1)/12))),"")</f>
        <v/>
      </c>
    </row>
    <row r="76" customFormat="false" ht="15" hidden="false" customHeight="false" outlineLevel="0" collapsed="false">
      <c r="A76" s="21" t="n">
        <v>315</v>
      </c>
      <c r="B76" s="21" t="s">
        <v>125</v>
      </c>
      <c r="C76" s="21" t="n">
        <v>560</v>
      </c>
      <c r="D76" s="21" t="s">
        <v>123</v>
      </c>
      <c r="E76" s="8" t="n">
        <v>1295</v>
      </c>
      <c r="F76" s="8" t="n">
        <v>1275</v>
      </c>
      <c r="G76" s="8" t="n">
        <v>40</v>
      </c>
      <c r="H76" s="4" t="n">
        <v>46446</v>
      </c>
      <c r="I76" s="21"/>
      <c r="J76" s="8"/>
      <c r="K76" s="2" t="n">
        <f aca="false">IF(D76="Occupied",1,0)</f>
        <v>1</v>
      </c>
      <c r="L76" s="2" t="n">
        <f aca="false">IF(AND(K76=1,I76="Yes"),1,0)</f>
        <v>0</v>
      </c>
      <c r="M76" s="2" t="n">
        <f aca="false">IF(K76=1,IF(OR(H76="",H76&lt;Inputs!$B$5),1,(YEAR(H76)-YEAR(Inputs!$B$5))*12+MONTH(H76)-MONTH(Inputs!$B$5)+2),"")</f>
        <v>5</v>
      </c>
      <c r="N76" s="2" t="str">
        <f aca="false">IF(K76=0,IF(I76="Yes",COUNTIFS(K$2:K76,0,I$2:I76,"Yes")-1,COUNTIFS(K$2:K$121,0,I$2:I$121,"Yes")+COUNTIFS(K$2:K76,0,I$2:I76,"&lt;&gt;Yes")-1),"")</f>
        <v/>
      </c>
      <c r="O76" s="2" t="str">
        <f aca="false">IF(K76=0,INT(N76/Inputs!$B$17)+1,"")</f>
        <v/>
      </c>
      <c r="P76" s="2" t="n">
        <f aca="false">IF(K76=1,1,O76)</f>
        <v>1</v>
      </c>
      <c r="Q76" s="2" t="n">
        <f aca="false">IF(K76=1,M76,O76+12)</f>
        <v>5</v>
      </c>
      <c r="R76" s="11" t="str">
        <f aca="false">IF(K76=0,IF(AND(I76="Yes",J76&lt;&gt;""),J76,E76*(1+Inputs!$B$7)^(INT((O76-1)/12))),"")</f>
        <v/>
      </c>
    </row>
    <row r="77" customFormat="false" ht="15" hidden="false" customHeight="false" outlineLevel="0" collapsed="false">
      <c r="A77" s="21" t="n">
        <v>316</v>
      </c>
      <c r="B77" s="21" t="s">
        <v>125</v>
      </c>
      <c r="C77" s="21" t="n">
        <v>560</v>
      </c>
      <c r="D77" s="21" t="s">
        <v>123</v>
      </c>
      <c r="E77" s="8" t="n">
        <v>1295</v>
      </c>
      <c r="F77" s="8" t="n">
        <v>1290</v>
      </c>
      <c r="G77" s="8" t="n">
        <v>0</v>
      </c>
      <c r="H77" s="4" t="n">
        <v>46326</v>
      </c>
      <c r="I77" s="21"/>
      <c r="J77" s="8"/>
      <c r="K77" s="2" t="n">
        <f aca="false">IF(D77="Occupied",1,0)</f>
        <v>1</v>
      </c>
      <c r="L77" s="2" t="n">
        <f aca="false">IF(AND(K77=1,I77="Yes"),1,0)</f>
        <v>0</v>
      </c>
      <c r="M77" s="2" t="n">
        <f aca="false">IF(K77=1,IF(OR(H77="",H77&lt;Inputs!$B$5),1,(YEAR(H77)-YEAR(Inputs!$B$5))*12+MONTH(H77)-MONTH(Inputs!$B$5)+2),"")</f>
        <v>1</v>
      </c>
      <c r="N77" s="2" t="str">
        <f aca="false">IF(K77=0,IF(I77="Yes",COUNTIFS(K$2:K77,0,I$2:I77,"Yes")-1,COUNTIFS(K$2:K$121,0,I$2:I$121,"Yes")+COUNTIFS(K$2:K77,0,I$2:I77,"&lt;&gt;Yes")-1),"")</f>
        <v/>
      </c>
      <c r="O77" s="2" t="str">
        <f aca="false">IF(K77=0,INT(N77/Inputs!$B$17)+1,"")</f>
        <v/>
      </c>
      <c r="P77" s="2" t="n">
        <f aca="false">IF(K77=1,1,O77)</f>
        <v>1</v>
      </c>
      <c r="Q77" s="2" t="n">
        <f aca="false">IF(K77=1,M77,O77+12)</f>
        <v>1</v>
      </c>
      <c r="R77" s="11" t="str">
        <f aca="false">IF(K77=0,IF(AND(I77="Yes",J77&lt;&gt;""),J77,E77*(1+Inputs!$B$7)^(INT((O77-1)/12))),"")</f>
        <v/>
      </c>
    </row>
    <row r="78" customFormat="false" ht="15" hidden="false" customHeight="false" outlineLevel="0" collapsed="false">
      <c r="A78" s="21" t="n">
        <v>317</v>
      </c>
      <c r="B78" s="21" t="s">
        <v>125</v>
      </c>
      <c r="C78" s="21" t="n">
        <v>560</v>
      </c>
      <c r="D78" s="21" t="s">
        <v>123</v>
      </c>
      <c r="E78" s="8" t="n">
        <v>1295</v>
      </c>
      <c r="F78" s="8" t="n">
        <v>1200</v>
      </c>
      <c r="G78" s="8" t="n">
        <v>40</v>
      </c>
      <c r="H78" s="4" t="n">
        <v>46568</v>
      </c>
      <c r="I78" s="21"/>
      <c r="J78" s="8"/>
      <c r="K78" s="2" t="n">
        <f aca="false">IF(D78="Occupied",1,0)</f>
        <v>1</v>
      </c>
      <c r="L78" s="2" t="n">
        <f aca="false">IF(AND(K78=1,I78="Yes"),1,0)</f>
        <v>0</v>
      </c>
      <c r="M78" s="2" t="n">
        <f aca="false">IF(K78=1,IF(OR(H78="",H78&lt;Inputs!$B$5),1,(YEAR(H78)-YEAR(Inputs!$B$5))*12+MONTH(H78)-MONTH(Inputs!$B$5)+2),"")</f>
        <v>9</v>
      </c>
      <c r="N78" s="2" t="str">
        <f aca="false">IF(K78=0,IF(I78="Yes",COUNTIFS(K$2:K78,0,I$2:I78,"Yes")-1,COUNTIFS(K$2:K$121,0,I$2:I$121,"Yes")+COUNTIFS(K$2:K78,0,I$2:I78,"&lt;&gt;Yes")-1),"")</f>
        <v/>
      </c>
      <c r="O78" s="2" t="str">
        <f aca="false">IF(K78=0,INT(N78/Inputs!$B$17)+1,"")</f>
        <v/>
      </c>
      <c r="P78" s="2" t="n">
        <f aca="false">IF(K78=1,1,O78)</f>
        <v>1</v>
      </c>
      <c r="Q78" s="2" t="n">
        <f aca="false">IF(K78=1,M78,O78+12)</f>
        <v>9</v>
      </c>
      <c r="R78" s="11" t="str">
        <f aca="false">IF(K78=0,IF(AND(I78="Yes",J78&lt;&gt;""),J78,E78*(1+Inputs!$B$7)^(INT((O78-1)/12))),"")</f>
        <v/>
      </c>
    </row>
    <row r="79" customFormat="false" ht="15" hidden="false" customHeight="false" outlineLevel="0" collapsed="false">
      <c r="A79" s="21" t="n">
        <v>318</v>
      </c>
      <c r="B79" s="21" t="s">
        <v>125</v>
      </c>
      <c r="C79" s="21" t="n">
        <v>560</v>
      </c>
      <c r="D79" s="21" t="s">
        <v>124</v>
      </c>
      <c r="E79" s="8" t="n">
        <v>1295</v>
      </c>
      <c r="F79" s="8" t="n">
        <v>0</v>
      </c>
      <c r="G79" s="8" t="n">
        <v>0</v>
      </c>
      <c r="H79" s="4"/>
      <c r="I79" s="21"/>
      <c r="J79" s="8"/>
      <c r="K79" s="2" t="n">
        <f aca="false">IF(D79="Occupied",1,0)</f>
        <v>0</v>
      </c>
      <c r="L79" s="2" t="n">
        <f aca="false">IF(AND(K79=1,I79="Yes"),1,0)</f>
        <v>0</v>
      </c>
      <c r="M79" s="2" t="str">
        <f aca="false">IF(K79=1,IF(OR(H79="",H79&lt;Inputs!$B$5),1,(YEAR(H79)-YEAR(Inputs!$B$5))*12+MONTH(H79)-MONTH(Inputs!$B$5)+2),"")</f>
        <v/>
      </c>
      <c r="N79" s="2" t="n">
        <f aca="false">IF(K79=0,IF(I79="Yes",COUNTIFS(K$2:K79,0,I$2:I79,"Yes")-1,COUNTIFS(K$2:K$121,0,I$2:I$121,"Yes")+COUNTIFS(K$2:K79,0,I$2:I79,"&lt;&gt;Yes")-1),"")</f>
        <v>7</v>
      </c>
      <c r="O79" s="2" t="n">
        <f aca="false">IF(K79=0,INT(N79/Inputs!$B$17)+1,"")</f>
        <v>1</v>
      </c>
      <c r="P79" s="2" t="n">
        <f aca="false">IF(K79=1,1,O79)</f>
        <v>1</v>
      </c>
      <c r="Q79" s="2" t="n">
        <f aca="false">IF(K79=1,M79,O79+12)</f>
        <v>13</v>
      </c>
      <c r="R79" s="11" t="n">
        <f aca="false">IF(K79=0,IF(AND(I79="Yes",J79&lt;&gt;""),J79,E79*(1+Inputs!$B$7)^(INT((O79-1)/12))),"")</f>
        <v>1295</v>
      </c>
    </row>
    <row r="80" customFormat="false" ht="15" hidden="false" customHeight="false" outlineLevel="0" collapsed="false">
      <c r="A80" s="21" t="n">
        <v>319</v>
      </c>
      <c r="B80" s="21" t="s">
        <v>125</v>
      </c>
      <c r="C80" s="21" t="n">
        <v>560</v>
      </c>
      <c r="D80" s="21" t="s">
        <v>123</v>
      </c>
      <c r="E80" s="8" t="n">
        <v>1295</v>
      </c>
      <c r="F80" s="8" t="n">
        <v>1270</v>
      </c>
      <c r="G80" s="8" t="n">
        <v>37</v>
      </c>
      <c r="H80" s="4" t="n">
        <v>46418</v>
      </c>
      <c r="I80" s="21"/>
      <c r="J80" s="8"/>
      <c r="K80" s="2" t="n">
        <f aca="false">IF(D80="Occupied",1,0)</f>
        <v>1</v>
      </c>
      <c r="L80" s="2" t="n">
        <f aca="false">IF(AND(K80=1,I80="Yes"),1,0)</f>
        <v>0</v>
      </c>
      <c r="M80" s="2" t="n">
        <f aca="false">IF(K80=1,IF(OR(H80="",H80&lt;Inputs!$B$5),1,(YEAR(H80)-YEAR(Inputs!$B$5))*12+MONTH(H80)-MONTH(Inputs!$B$5)+2),"")</f>
        <v>4</v>
      </c>
      <c r="N80" s="2" t="str">
        <f aca="false">IF(K80=0,IF(I80="Yes",COUNTIFS(K$2:K80,0,I$2:I80,"Yes")-1,COUNTIFS(K$2:K$121,0,I$2:I$121,"Yes")+COUNTIFS(K$2:K80,0,I$2:I80,"&lt;&gt;Yes")-1),"")</f>
        <v/>
      </c>
      <c r="O80" s="2" t="str">
        <f aca="false">IF(K80=0,INT(N80/Inputs!$B$17)+1,"")</f>
        <v/>
      </c>
      <c r="P80" s="2" t="n">
        <f aca="false">IF(K80=1,1,O80)</f>
        <v>1</v>
      </c>
      <c r="Q80" s="2" t="n">
        <f aca="false">IF(K80=1,M80,O80+12)</f>
        <v>4</v>
      </c>
      <c r="R80" s="11" t="str">
        <f aca="false">IF(K80=0,IF(AND(I80="Yes",J80&lt;&gt;""),J80,E80*(1+Inputs!$B$7)^(INT((O80-1)/12))),"")</f>
        <v/>
      </c>
    </row>
    <row r="81" customFormat="false" ht="15" hidden="false" customHeight="false" outlineLevel="0" collapsed="false">
      <c r="A81" s="21" t="n">
        <v>320</v>
      </c>
      <c r="B81" s="21" t="s">
        <v>127</v>
      </c>
      <c r="C81" s="21" t="n">
        <v>960</v>
      </c>
      <c r="D81" s="21" t="s">
        <v>123</v>
      </c>
      <c r="E81" s="8" t="n">
        <v>1850</v>
      </c>
      <c r="F81" s="8" t="n">
        <v>1475</v>
      </c>
      <c r="G81" s="8" t="n">
        <v>47</v>
      </c>
      <c r="H81" s="4" t="n">
        <v>46387</v>
      </c>
      <c r="I81" s="21"/>
      <c r="J81" s="8"/>
      <c r="K81" s="2" t="n">
        <f aca="false">IF(D81="Occupied",1,0)</f>
        <v>1</v>
      </c>
      <c r="L81" s="2" t="n">
        <f aca="false">IF(AND(K81=1,I81="Yes"),1,0)</f>
        <v>0</v>
      </c>
      <c r="M81" s="2" t="n">
        <f aca="false">IF(K81=1,IF(OR(H81="",H81&lt;Inputs!$B$5),1,(YEAR(H81)-YEAR(Inputs!$B$5))*12+MONTH(H81)-MONTH(Inputs!$B$5)+2),"")</f>
        <v>3</v>
      </c>
      <c r="N81" s="2" t="str">
        <f aca="false">IF(K81=0,IF(I81="Yes",COUNTIFS(K$2:K81,0,I$2:I81,"Yes")-1,COUNTIFS(K$2:K$121,0,I$2:I$121,"Yes")+COUNTIFS(K$2:K81,0,I$2:I81,"&lt;&gt;Yes")-1),"")</f>
        <v/>
      </c>
      <c r="O81" s="2" t="str">
        <f aca="false">IF(K81=0,INT(N81/Inputs!$B$17)+1,"")</f>
        <v/>
      </c>
      <c r="P81" s="2" t="n">
        <f aca="false">IF(K81=1,1,O81)</f>
        <v>1</v>
      </c>
      <c r="Q81" s="2" t="n">
        <f aca="false">IF(K81=1,M81,O81+12)</f>
        <v>3</v>
      </c>
      <c r="R81" s="11" t="str">
        <f aca="false">IF(K81=0,IF(AND(I81="Yes",J81&lt;&gt;""),J81,E81*(1+Inputs!$B$7)^(INT((O81-1)/12))),"")</f>
        <v/>
      </c>
    </row>
    <row r="82" customFormat="false" ht="15" hidden="false" customHeight="false" outlineLevel="0" collapsed="false">
      <c r="A82" s="21" t="n">
        <v>321</v>
      </c>
      <c r="B82" s="21" t="s">
        <v>127</v>
      </c>
      <c r="C82" s="21" t="n">
        <v>960</v>
      </c>
      <c r="D82" s="21" t="s">
        <v>124</v>
      </c>
      <c r="E82" s="8" t="n">
        <v>1850</v>
      </c>
      <c r="F82" s="8" t="n">
        <v>0</v>
      </c>
      <c r="G82" s="8" t="n">
        <v>0</v>
      </c>
      <c r="H82" s="4"/>
      <c r="I82" s="21"/>
      <c r="J82" s="8"/>
      <c r="K82" s="2" t="n">
        <f aca="false">IF(D82="Occupied",1,0)</f>
        <v>0</v>
      </c>
      <c r="L82" s="2" t="n">
        <f aca="false">IF(AND(K82=1,I82="Yes"),1,0)</f>
        <v>0</v>
      </c>
      <c r="M82" s="2" t="str">
        <f aca="false">IF(K82=1,IF(OR(H82="",H82&lt;Inputs!$B$5),1,(YEAR(H82)-YEAR(Inputs!$B$5))*12+MONTH(H82)-MONTH(Inputs!$B$5)+2),"")</f>
        <v/>
      </c>
      <c r="N82" s="2" t="n">
        <f aca="false">IF(K82=0,IF(I82="Yes",COUNTIFS(K$2:K82,0,I$2:I82,"Yes")-1,COUNTIFS(K$2:K$121,0,I$2:I$121,"Yes")+COUNTIFS(K$2:K82,0,I$2:I82,"&lt;&gt;Yes")-1),"")</f>
        <v>8</v>
      </c>
      <c r="O82" s="2" t="n">
        <f aca="false">IF(K82=0,INT(N82/Inputs!$B$17)+1,"")</f>
        <v>2</v>
      </c>
      <c r="P82" s="2" t="n">
        <f aca="false">IF(K82=1,1,O82)</f>
        <v>2</v>
      </c>
      <c r="Q82" s="2" t="n">
        <f aca="false">IF(K82=1,M82,O82+12)</f>
        <v>14</v>
      </c>
      <c r="R82" s="11" t="n">
        <f aca="false">IF(K82=0,IF(AND(I82="Yes",J82&lt;&gt;""),J82,E82*(1+Inputs!$B$7)^(INT((O82-1)/12))),"")</f>
        <v>1850</v>
      </c>
    </row>
    <row r="83" customFormat="false" ht="15" hidden="false" customHeight="false" outlineLevel="0" collapsed="false">
      <c r="A83" s="21" t="n">
        <v>322</v>
      </c>
      <c r="B83" s="21" t="s">
        <v>127</v>
      </c>
      <c r="C83" s="21" t="n">
        <v>960</v>
      </c>
      <c r="D83" s="21" t="s">
        <v>123</v>
      </c>
      <c r="E83" s="8" t="n">
        <v>1850</v>
      </c>
      <c r="F83" s="8" t="n">
        <v>1680</v>
      </c>
      <c r="G83" s="8" t="n">
        <v>45</v>
      </c>
      <c r="H83" s="4" t="n">
        <v>46387</v>
      </c>
      <c r="I83" s="21"/>
      <c r="J83" s="8"/>
      <c r="K83" s="2" t="n">
        <f aca="false">IF(D83="Occupied",1,0)</f>
        <v>1</v>
      </c>
      <c r="L83" s="2" t="n">
        <f aca="false">IF(AND(K83=1,I83="Yes"),1,0)</f>
        <v>0</v>
      </c>
      <c r="M83" s="2" t="n">
        <f aca="false">IF(K83=1,IF(OR(H83="",H83&lt;Inputs!$B$5),1,(YEAR(H83)-YEAR(Inputs!$B$5))*12+MONTH(H83)-MONTH(Inputs!$B$5)+2),"")</f>
        <v>3</v>
      </c>
      <c r="N83" s="2" t="str">
        <f aca="false">IF(K83=0,IF(I83="Yes",COUNTIFS(K$2:K83,0,I$2:I83,"Yes")-1,COUNTIFS(K$2:K$121,0,I$2:I$121,"Yes")+COUNTIFS(K$2:K83,0,I$2:I83,"&lt;&gt;Yes")-1),"")</f>
        <v/>
      </c>
      <c r="O83" s="2" t="str">
        <f aca="false">IF(K83=0,INT(N83/Inputs!$B$17)+1,"")</f>
        <v/>
      </c>
      <c r="P83" s="2" t="n">
        <f aca="false">IF(K83=1,1,O83)</f>
        <v>1</v>
      </c>
      <c r="Q83" s="2" t="n">
        <f aca="false">IF(K83=1,M83,O83+12)</f>
        <v>3</v>
      </c>
      <c r="R83" s="11" t="str">
        <f aca="false">IF(K83=0,IF(AND(I83="Yes",J83&lt;&gt;""),J83,E83*(1+Inputs!$B$7)^(INT((O83-1)/12))),"")</f>
        <v/>
      </c>
    </row>
    <row r="84" customFormat="false" ht="15" hidden="false" customHeight="false" outlineLevel="0" collapsed="false">
      <c r="A84" s="21" t="n">
        <v>323</v>
      </c>
      <c r="B84" s="21" t="s">
        <v>127</v>
      </c>
      <c r="C84" s="21" t="n">
        <v>960</v>
      </c>
      <c r="D84" s="21" t="s">
        <v>123</v>
      </c>
      <c r="E84" s="8" t="n">
        <v>1850</v>
      </c>
      <c r="F84" s="8" t="n">
        <v>1890</v>
      </c>
      <c r="G84" s="8" t="n">
        <v>0</v>
      </c>
      <c r="H84" s="4"/>
      <c r="I84" s="21"/>
      <c r="J84" s="8"/>
      <c r="K84" s="2" t="n">
        <f aca="false">IF(D84="Occupied",1,0)</f>
        <v>1</v>
      </c>
      <c r="L84" s="2" t="n">
        <f aca="false">IF(AND(K84=1,I84="Yes"),1,0)</f>
        <v>0</v>
      </c>
      <c r="M84" s="2" t="n">
        <f aca="false">IF(K84=1,IF(OR(H84="",H84&lt;Inputs!$B$5),1,(YEAR(H84)-YEAR(Inputs!$B$5))*12+MONTH(H84)-MONTH(Inputs!$B$5)+2),"")</f>
        <v>1</v>
      </c>
      <c r="N84" s="2" t="str">
        <f aca="false">IF(K84=0,IF(I84="Yes",COUNTIFS(K$2:K84,0,I$2:I84,"Yes")-1,COUNTIFS(K$2:K$121,0,I$2:I$121,"Yes")+COUNTIFS(K$2:K84,0,I$2:I84,"&lt;&gt;Yes")-1),"")</f>
        <v/>
      </c>
      <c r="O84" s="2" t="str">
        <f aca="false">IF(K84=0,INT(N84/Inputs!$B$17)+1,"")</f>
        <v/>
      </c>
      <c r="P84" s="2" t="n">
        <f aca="false">IF(K84=1,1,O84)</f>
        <v>1</v>
      </c>
      <c r="Q84" s="2" t="n">
        <f aca="false">IF(K84=1,M84,O84+12)</f>
        <v>1</v>
      </c>
      <c r="R84" s="11" t="str">
        <f aca="false">IF(K84=0,IF(AND(I84="Yes",J84&lt;&gt;""),J84,E84*(1+Inputs!$B$7)^(INT((O84-1)/12))),"")</f>
        <v/>
      </c>
    </row>
    <row r="85" customFormat="false" ht="15" hidden="false" customHeight="false" outlineLevel="0" collapsed="false">
      <c r="A85" s="21" t="n">
        <v>324</v>
      </c>
      <c r="B85" s="21" t="s">
        <v>127</v>
      </c>
      <c r="C85" s="21" t="n">
        <v>960</v>
      </c>
      <c r="D85" s="21" t="s">
        <v>123</v>
      </c>
      <c r="E85" s="8" t="n">
        <v>1850</v>
      </c>
      <c r="F85" s="8" t="n">
        <v>1670</v>
      </c>
      <c r="G85" s="8" t="n">
        <v>25</v>
      </c>
      <c r="H85" s="4" t="n">
        <v>46660</v>
      </c>
      <c r="I85" s="21"/>
      <c r="J85" s="8"/>
      <c r="K85" s="2" t="n">
        <f aca="false">IF(D85="Occupied",1,0)</f>
        <v>1</v>
      </c>
      <c r="L85" s="2" t="n">
        <f aca="false">IF(AND(K85=1,I85="Yes"),1,0)</f>
        <v>0</v>
      </c>
      <c r="M85" s="2" t="n">
        <f aca="false">IF(K85=1,IF(OR(H85="",H85&lt;Inputs!$B$5),1,(YEAR(H85)-YEAR(Inputs!$B$5))*12+MONTH(H85)-MONTH(Inputs!$B$5)+2),"")</f>
        <v>12</v>
      </c>
      <c r="N85" s="2" t="str">
        <f aca="false">IF(K85=0,IF(I85="Yes",COUNTIFS(K$2:K85,0,I$2:I85,"Yes")-1,COUNTIFS(K$2:K$121,0,I$2:I$121,"Yes")+COUNTIFS(K$2:K85,0,I$2:I85,"&lt;&gt;Yes")-1),"")</f>
        <v/>
      </c>
      <c r="O85" s="2" t="str">
        <f aca="false">IF(K85=0,INT(N85/Inputs!$B$17)+1,"")</f>
        <v/>
      </c>
      <c r="P85" s="2" t="n">
        <f aca="false">IF(K85=1,1,O85)</f>
        <v>1</v>
      </c>
      <c r="Q85" s="2" t="n">
        <f aca="false">IF(K85=1,M85,O85+12)</f>
        <v>12</v>
      </c>
      <c r="R85" s="11" t="str">
        <f aca="false">IF(K85=0,IF(AND(I85="Yes",J85&lt;&gt;""),J85,E85*(1+Inputs!$B$7)^(INT((O85-1)/12))),"")</f>
        <v/>
      </c>
    </row>
    <row r="86" customFormat="false" ht="15" hidden="false" customHeight="false" outlineLevel="0" collapsed="false">
      <c r="A86" s="21" t="n">
        <v>325</v>
      </c>
      <c r="B86" s="21" t="s">
        <v>127</v>
      </c>
      <c r="C86" s="21" t="n">
        <v>960</v>
      </c>
      <c r="D86" s="21" t="s">
        <v>123</v>
      </c>
      <c r="E86" s="8" t="n">
        <v>1850</v>
      </c>
      <c r="F86" s="8" t="n">
        <v>1910</v>
      </c>
      <c r="G86" s="8" t="n">
        <v>35</v>
      </c>
      <c r="H86" s="4" t="n">
        <v>46538</v>
      </c>
      <c r="I86" s="21"/>
      <c r="J86" s="8"/>
      <c r="K86" s="2" t="n">
        <f aca="false">IF(D86="Occupied",1,0)</f>
        <v>1</v>
      </c>
      <c r="L86" s="2" t="n">
        <f aca="false">IF(AND(K86=1,I86="Yes"),1,0)</f>
        <v>0</v>
      </c>
      <c r="M86" s="2" t="n">
        <f aca="false">IF(K86=1,IF(OR(H86="",H86&lt;Inputs!$B$5),1,(YEAR(H86)-YEAR(Inputs!$B$5))*12+MONTH(H86)-MONTH(Inputs!$B$5)+2),"")</f>
        <v>8</v>
      </c>
      <c r="N86" s="2" t="str">
        <f aca="false">IF(K86=0,IF(I86="Yes",COUNTIFS(K$2:K86,0,I$2:I86,"Yes")-1,COUNTIFS(K$2:K$121,0,I$2:I$121,"Yes")+COUNTIFS(K$2:K86,0,I$2:I86,"&lt;&gt;Yes")-1),"")</f>
        <v/>
      </c>
      <c r="O86" s="2" t="str">
        <f aca="false">IF(K86=0,INT(N86/Inputs!$B$17)+1,"")</f>
        <v/>
      </c>
      <c r="P86" s="2" t="n">
        <f aca="false">IF(K86=1,1,O86)</f>
        <v>1</v>
      </c>
      <c r="Q86" s="2" t="n">
        <f aca="false">IF(K86=1,M86,O86+12)</f>
        <v>8</v>
      </c>
      <c r="R86" s="11" t="str">
        <f aca="false">IF(K86=0,IF(AND(I86="Yes",J86&lt;&gt;""),J86,E86*(1+Inputs!$B$7)^(INT((O86-1)/12))),"")</f>
        <v/>
      </c>
    </row>
    <row r="87" customFormat="false" ht="15" hidden="false" customHeight="false" outlineLevel="0" collapsed="false">
      <c r="A87" s="21" t="n">
        <v>326</v>
      </c>
      <c r="B87" s="21" t="s">
        <v>127</v>
      </c>
      <c r="C87" s="21" t="n">
        <v>960</v>
      </c>
      <c r="D87" s="21" t="s">
        <v>123</v>
      </c>
      <c r="E87" s="8" t="n">
        <v>1850</v>
      </c>
      <c r="F87" s="8" t="n">
        <v>1910</v>
      </c>
      <c r="G87" s="8" t="n">
        <v>50</v>
      </c>
      <c r="H87" s="4" t="n">
        <v>46507</v>
      </c>
      <c r="I87" s="21"/>
      <c r="J87" s="8"/>
      <c r="K87" s="2" t="n">
        <f aca="false">IF(D87="Occupied",1,0)</f>
        <v>1</v>
      </c>
      <c r="L87" s="2" t="n">
        <f aca="false">IF(AND(K87=1,I87="Yes"),1,0)</f>
        <v>0</v>
      </c>
      <c r="M87" s="2" t="n">
        <f aca="false">IF(K87=1,IF(OR(H87="",H87&lt;Inputs!$B$5),1,(YEAR(H87)-YEAR(Inputs!$B$5))*12+MONTH(H87)-MONTH(Inputs!$B$5)+2),"")</f>
        <v>7</v>
      </c>
      <c r="N87" s="2" t="str">
        <f aca="false">IF(K87=0,IF(I87="Yes",COUNTIFS(K$2:K87,0,I$2:I87,"Yes")-1,COUNTIFS(K$2:K$121,0,I$2:I$121,"Yes")+COUNTIFS(K$2:K87,0,I$2:I87,"&lt;&gt;Yes")-1),"")</f>
        <v/>
      </c>
      <c r="O87" s="2" t="str">
        <f aca="false">IF(K87=0,INT(N87/Inputs!$B$17)+1,"")</f>
        <v/>
      </c>
      <c r="P87" s="2" t="n">
        <f aca="false">IF(K87=1,1,O87)</f>
        <v>1</v>
      </c>
      <c r="Q87" s="2" t="n">
        <f aca="false">IF(K87=1,M87,O87+12)</f>
        <v>7</v>
      </c>
      <c r="R87" s="11" t="str">
        <f aca="false">IF(K87=0,IF(AND(I87="Yes",J87&lt;&gt;""),J87,E87*(1+Inputs!$B$7)^(INT((O87-1)/12))),"")</f>
        <v/>
      </c>
    </row>
    <row r="88" customFormat="false" ht="15" hidden="false" customHeight="false" outlineLevel="0" collapsed="false">
      <c r="A88" s="21" t="n">
        <v>327</v>
      </c>
      <c r="B88" s="21" t="s">
        <v>127</v>
      </c>
      <c r="C88" s="21" t="n">
        <v>960</v>
      </c>
      <c r="D88" s="21" t="s">
        <v>123</v>
      </c>
      <c r="E88" s="8" t="n">
        <v>1850</v>
      </c>
      <c r="F88" s="8" t="n">
        <v>1775</v>
      </c>
      <c r="G88" s="8" t="n">
        <v>0</v>
      </c>
      <c r="H88" s="4" t="n">
        <v>46356</v>
      </c>
      <c r="I88" s="21"/>
      <c r="J88" s="8"/>
      <c r="K88" s="2" t="n">
        <f aca="false">IF(D88="Occupied",1,0)</f>
        <v>1</v>
      </c>
      <c r="L88" s="2" t="n">
        <f aca="false">IF(AND(K88=1,I88="Yes"),1,0)</f>
        <v>0</v>
      </c>
      <c r="M88" s="2" t="n">
        <f aca="false">IF(K88=1,IF(OR(H88="",H88&lt;Inputs!$B$5),1,(YEAR(H88)-YEAR(Inputs!$B$5))*12+MONTH(H88)-MONTH(Inputs!$B$5)+2),"")</f>
        <v>2</v>
      </c>
      <c r="N88" s="2" t="str">
        <f aca="false">IF(K88=0,IF(I88="Yes",COUNTIFS(K$2:K88,0,I$2:I88,"Yes")-1,COUNTIFS(K$2:K$121,0,I$2:I$121,"Yes")+COUNTIFS(K$2:K88,0,I$2:I88,"&lt;&gt;Yes")-1),"")</f>
        <v/>
      </c>
      <c r="O88" s="2" t="str">
        <f aca="false">IF(K88=0,INT(N88/Inputs!$B$17)+1,"")</f>
        <v/>
      </c>
      <c r="P88" s="2" t="n">
        <f aca="false">IF(K88=1,1,O88)</f>
        <v>1</v>
      </c>
      <c r="Q88" s="2" t="n">
        <f aca="false">IF(K88=1,M88,O88+12)</f>
        <v>2</v>
      </c>
      <c r="R88" s="11" t="str">
        <f aca="false">IF(K88=0,IF(AND(I88="Yes",J88&lt;&gt;""),J88,E88*(1+Inputs!$B$7)^(INT((O88-1)/12))),"")</f>
        <v/>
      </c>
    </row>
    <row r="89" customFormat="false" ht="15" hidden="false" customHeight="false" outlineLevel="0" collapsed="false">
      <c r="A89" s="21" t="n">
        <v>328</v>
      </c>
      <c r="B89" s="21" t="s">
        <v>128</v>
      </c>
      <c r="C89" s="21" t="n">
        <v>1180</v>
      </c>
      <c r="D89" s="21" t="s">
        <v>123</v>
      </c>
      <c r="E89" s="8" t="n">
        <v>2240</v>
      </c>
      <c r="F89" s="8" t="n">
        <v>2125</v>
      </c>
      <c r="G89" s="8" t="n">
        <v>70</v>
      </c>
      <c r="H89" s="4" t="n">
        <v>46538</v>
      </c>
      <c r="I89" s="21"/>
      <c r="J89" s="8"/>
      <c r="K89" s="2" t="n">
        <f aca="false">IF(D89="Occupied",1,0)</f>
        <v>1</v>
      </c>
      <c r="L89" s="2" t="n">
        <f aca="false">IF(AND(K89=1,I89="Yes"),1,0)</f>
        <v>0</v>
      </c>
      <c r="M89" s="2" t="n">
        <f aca="false">IF(K89=1,IF(OR(H89="",H89&lt;Inputs!$B$5),1,(YEAR(H89)-YEAR(Inputs!$B$5))*12+MONTH(H89)-MONTH(Inputs!$B$5)+2),"")</f>
        <v>8</v>
      </c>
      <c r="N89" s="2" t="str">
        <f aca="false">IF(K89=0,IF(I89="Yes",COUNTIFS(K$2:K89,0,I$2:I89,"Yes")-1,COUNTIFS(K$2:K$121,0,I$2:I$121,"Yes")+COUNTIFS(K$2:K89,0,I$2:I89,"&lt;&gt;Yes")-1),"")</f>
        <v/>
      </c>
      <c r="O89" s="2" t="str">
        <f aca="false">IF(K89=0,INT(N89/Inputs!$B$17)+1,"")</f>
        <v/>
      </c>
      <c r="P89" s="2" t="n">
        <f aca="false">IF(K89=1,1,O89)</f>
        <v>1</v>
      </c>
      <c r="Q89" s="2" t="n">
        <f aca="false">IF(K89=1,M89,O89+12)</f>
        <v>8</v>
      </c>
      <c r="R89" s="11" t="str">
        <f aca="false">IF(K89=0,IF(AND(I89="Yes",J89&lt;&gt;""),J89,E89*(1+Inputs!$B$7)^(INT((O89-1)/12))),"")</f>
        <v/>
      </c>
    </row>
    <row r="90" customFormat="false" ht="15" hidden="false" customHeight="false" outlineLevel="0" collapsed="false">
      <c r="A90" s="21" t="n">
        <v>329</v>
      </c>
      <c r="B90" s="21" t="s">
        <v>128</v>
      </c>
      <c r="C90" s="21" t="n">
        <v>1180</v>
      </c>
      <c r="D90" s="21" t="s">
        <v>123</v>
      </c>
      <c r="E90" s="8" t="n">
        <v>2240</v>
      </c>
      <c r="F90" s="8" t="n">
        <v>2275</v>
      </c>
      <c r="G90" s="8" t="n">
        <v>50</v>
      </c>
      <c r="H90" s="4" t="n">
        <v>46507</v>
      </c>
      <c r="I90" s="21"/>
      <c r="J90" s="8"/>
      <c r="K90" s="2" t="n">
        <f aca="false">IF(D90="Occupied",1,0)</f>
        <v>1</v>
      </c>
      <c r="L90" s="2" t="n">
        <f aca="false">IF(AND(K90=1,I90="Yes"),1,0)</f>
        <v>0</v>
      </c>
      <c r="M90" s="2" t="n">
        <f aca="false">IF(K90=1,IF(OR(H90="",H90&lt;Inputs!$B$5),1,(YEAR(H90)-YEAR(Inputs!$B$5))*12+MONTH(H90)-MONTH(Inputs!$B$5)+2),"")</f>
        <v>7</v>
      </c>
      <c r="N90" s="2" t="str">
        <f aca="false">IF(K90=0,IF(I90="Yes",COUNTIFS(K$2:K90,0,I$2:I90,"Yes")-1,COUNTIFS(K$2:K$121,0,I$2:I$121,"Yes")+COUNTIFS(K$2:K90,0,I$2:I90,"&lt;&gt;Yes")-1),"")</f>
        <v/>
      </c>
      <c r="O90" s="2" t="str">
        <f aca="false">IF(K90=0,INT(N90/Inputs!$B$17)+1,"")</f>
        <v/>
      </c>
      <c r="P90" s="2" t="n">
        <f aca="false">IF(K90=1,1,O90)</f>
        <v>1</v>
      </c>
      <c r="Q90" s="2" t="n">
        <f aca="false">IF(K90=1,M90,O90+12)</f>
        <v>7</v>
      </c>
      <c r="R90" s="11" t="str">
        <f aca="false">IF(K90=0,IF(AND(I90="Yes",J90&lt;&gt;""),J90,E90*(1+Inputs!$B$7)^(INT((O90-1)/12))),"")</f>
        <v/>
      </c>
    </row>
    <row r="91" customFormat="false" ht="15" hidden="false" customHeight="false" outlineLevel="0" collapsed="false">
      <c r="A91" s="21" t="n">
        <v>330</v>
      </c>
      <c r="B91" s="21" t="s">
        <v>128</v>
      </c>
      <c r="C91" s="21" t="n">
        <v>1180</v>
      </c>
      <c r="D91" s="21" t="s">
        <v>123</v>
      </c>
      <c r="E91" s="8" t="n">
        <v>2240</v>
      </c>
      <c r="F91" s="8" t="n">
        <v>2325</v>
      </c>
      <c r="G91" s="8" t="n">
        <v>0</v>
      </c>
      <c r="H91" s="4" t="n">
        <v>46387</v>
      </c>
      <c r="I91" s="21"/>
      <c r="J91" s="8"/>
      <c r="K91" s="2" t="n">
        <f aca="false">IF(D91="Occupied",1,0)</f>
        <v>1</v>
      </c>
      <c r="L91" s="2" t="n">
        <f aca="false">IF(AND(K91=1,I91="Yes"),1,0)</f>
        <v>0</v>
      </c>
      <c r="M91" s="2" t="n">
        <f aca="false">IF(K91=1,IF(OR(H91="",H91&lt;Inputs!$B$5),1,(YEAR(H91)-YEAR(Inputs!$B$5))*12+MONTH(H91)-MONTH(Inputs!$B$5)+2),"")</f>
        <v>3</v>
      </c>
      <c r="N91" s="2" t="str">
        <f aca="false">IF(K91=0,IF(I91="Yes",COUNTIFS(K$2:K91,0,I$2:I91,"Yes")-1,COUNTIFS(K$2:K$121,0,I$2:I$121,"Yes")+COUNTIFS(K$2:K91,0,I$2:I91,"&lt;&gt;Yes")-1),"")</f>
        <v/>
      </c>
      <c r="O91" s="2" t="str">
        <f aca="false">IF(K91=0,INT(N91/Inputs!$B$17)+1,"")</f>
        <v/>
      </c>
      <c r="P91" s="2" t="n">
        <f aca="false">IF(K91=1,1,O91)</f>
        <v>1</v>
      </c>
      <c r="Q91" s="2" t="n">
        <f aca="false">IF(K91=1,M91,O91+12)</f>
        <v>3</v>
      </c>
      <c r="R91" s="11" t="str">
        <f aca="false">IF(K91=0,IF(AND(I91="Yes",J91&lt;&gt;""),J91,E91*(1+Inputs!$B$7)^(INT((O91-1)/12))),"")</f>
        <v/>
      </c>
    </row>
    <row r="92" customFormat="false" ht="15" hidden="false" customHeight="false" outlineLevel="0" collapsed="false">
      <c r="A92" s="21" t="n">
        <v>401</v>
      </c>
      <c r="B92" s="21" t="s">
        <v>122</v>
      </c>
      <c r="C92" s="21" t="n">
        <v>735</v>
      </c>
      <c r="D92" s="21" t="s">
        <v>123</v>
      </c>
      <c r="E92" s="8" t="n">
        <v>1525</v>
      </c>
      <c r="F92" s="8" t="n">
        <v>1565</v>
      </c>
      <c r="G92" s="8" t="n">
        <v>47</v>
      </c>
      <c r="H92" s="4" t="n">
        <v>46568</v>
      </c>
      <c r="I92" s="21"/>
      <c r="J92" s="8"/>
      <c r="K92" s="2" t="n">
        <f aca="false">IF(D92="Occupied",1,0)</f>
        <v>1</v>
      </c>
      <c r="L92" s="2" t="n">
        <f aca="false">IF(AND(K92=1,I92="Yes"),1,0)</f>
        <v>0</v>
      </c>
      <c r="M92" s="2" t="n">
        <f aca="false">IF(K92=1,IF(OR(H92="",H92&lt;Inputs!$B$5),1,(YEAR(H92)-YEAR(Inputs!$B$5))*12+MONTH(H92)-MONTH(Inputs!$B$5)+2),"")</f>
        <v>9</v>
      </c>
      <c r="N92" s="2" t="str">
        <f aca="false">IF(K92=0,IF(I92="Yes",COUNTIFS(K$2:K92,0,I$2:I92,"Yes")-1,COUNTIFS(K$2:K$121,0,I$2:I$121,"Yes")+COUNTIFS(K$2:K92,0,I$2:I92,"&lt;&gt;Yes")-1),"")</f>
        <v/>
      </c>
      <c r="O92" s="2" t="str">
        <f aca="false">IF(K92=0,INT(N92/Inputs!$B$17)+1,"")</f>
        <v/>
      </c>
      <c r="P92" s="2" t="n">
        <f aca="false">IF(K92=1,1,O92)</f>
        <v>1</v>
      </c>
      <c r="Q92" s="2" t="n">
        <f aca="false">IF(K92=1,M92,O92+12)</f>
        <v>9</v>
      </c>
      <c r="R92" s="11" t="str">
        <f aca="false">IF(K92=0,IF(AND(I92="Yes",J92&lt;&gt;""),J92,E92*(1+Inputs!$B$7)^(INT((O92-1)/12))),"")</f>
        <v/>
      </c>
    </row>
    <row r="93" customFormat="false" ht="15" hidden="false" customHeight="false" outlineLevel="0" collapsed="false">
      <c r="A93" s="21" t="n">
        <v>402</v>
      </c>
      <c r="B93" s="21" t="s">
        <v>122</v>
      </c>
      <c r="C93" s="21" t="n">
        <v>735</v>
      </c>
      <c r="D93" s="21" t="s">
        <v>123</v>
      </c>
      <c r="E93" s="8" t="n">
        <v>1525</v>
      </c>
      <c r="F93" s="8" t="n">
        <v>1520</v>
      </c>
      <c r="G93" s="8" t="n">
        <v>35</v>
      </c>
      <c r="H93" s="4" t="n">
        <v>46507</v>
      </c>
      <c r="I93" s="21"/>
      <c r="J93" s="8"/>
      <c r="K93" s="2" t="n">
        <f aca="false">IF(D93="Occupied",1,0)</f>
        <v>1</v>
      </c>
      <c r="L93" s="2" t="n">
        <f aca="false">IF(AND(K93=1,I93="Yes"),1,0)</f>
        <v>0</v>
      </c>
      <c r="M93" s="2" t="n">
        <f aca="false">IF(K93=1,IF(OR(H93="",H93&lt;Inputs!$B$5),1,(YEAR(H93)-YEAR(Inputs!$B$5))*12+MONTH(H93)-MONTH(Inputs!$B$5)+2),"")</f>
        <v>7</v>
      </c>
      <c r="N93" s="2" t="str">
        <f aca="false">IF(K93=0,IF(I93="Yes",COUNTIFS(K$2:K93,0,I$2:I93,"Yes")-1,COUNTIFS(K$2:K$121,0,I$2:I$121,"Yes")+COUNTIFS(K$2:K93,0,I$2:I93,"&lt;&gt;Yes")-1),"")</f>
        <v/>
      </c>
      <c r="O93" s="2" t="str">
        <f aca="false">IF(K93=0,INT(N93/Inputs!$B$17)+1,"")</f>
        <v/>
      </c>
      <c r="P93" s="2" t="n">
        <f aca="false">IF(K93=1,1,O93)</f>
        <v>1</v>
      </c>
      <c r="Q93" s="2" t="n">
        <f aca="false">IF(K93=1,M93,O93+12)</f>
        <v>7</v>
      </c>
      <c r="R93" s="11" t="str">
        <f aca="false">IF(K93=0,IF(AND(I93="Yes",J93&lt;&gt;""),J93,E93*(1+Inputs!$B$7)^(INT((O93-1)/12))),"")</f>
        <v/>
      </c>
    </row>
    <row r="94" customFormat="false" ht="15" hidden="false" customHeight="false" outlineLevel="0" collapsed="false">
      <c r="A94" s="21" t="n">
        <v>403</v>
      </c>
      <c r="B94" s="21" t="s">
        <v>122</v>
      </c>
      <c r="C94" s="21" t="n">
        <v>735</v>
      </c>
      <c r="D94" s="21" t="s">
        <v>123</v>
      </c>
      <c r="E94" s="8" t="n">
        <v>1525</v>
      </c>
      <c r="F94" s="8" t="n">
        <v>1380</v>
      </c>
      <c r="G94" s="8" t="n">
        <v>45</v>
      </c>
      <c r="H94" s="4" t="n">
        <v>46477</v>
      </c>
      <c r="I94" s="21"/>
      <c r="J94" s="8"/>
      <c r="K94" s="2" t="n">
        <f aca="false">IF(D94="Occupied",1,0)</f>
        <v>1</v>
      </c>
      <c r="L94" s="2" t="n">
        <f aca="false">IF(AND(K94=1,I94="Yes"),1,0)</f>
        <v>0</v>
      </c>
      <c r="M94" s="2" t="n">
        <f aca="false">IF(K94=1,IF(OR(H94="",H94&lt;Inputs!$B$5),1,(YEAR(H94)-YEAR(Inputs!$B$5))*12+MONTH(H94)-MONTH(Inputs!$B$5)+2),"")</f>
        <v>6</v>
      </c>
      <c r="N94" s="2" t="str">
        <f aca="false">IF(K94=0,IF(I94="Yes",COUNTIFS(K$2:K94,0,I$2:I94,"Yes")-1,COUNTIFS(K$2:K$121,0,I$2:I$121,"Yes")+COUNTIFS(K$2:K94,0,I$2:I94,"&lt;&gt;Yes")-1),"")</f>
        <v/>
      </c>
      <c r="O94" s="2" t="str">
        <f aca="false">IF(K94=0,INT(N94/Inputs!$B$17)+1,"")</f>
        <v/>
      </c>
      <c r="P94" s="2" t="n">
        <f aca="false">IF(K94=1,1,O94)</f>
        <v>1</v>
      </c>
      <c r="Q94" s="2" t="n">
        <f aca="false">IF(K94=1,M94,O94+12)</f>
        <v>6</v>
      </c>
      <c r="R94" s="11" t="str">
        <f aca="false">IF(K94=0,IF(AND(I94="Yes",J94&lt;&gt;""),J94,E94*(1+Inputs!$B$7)^(INT((O94-1)/12))),"")</f>
        <v/>
      </c>
    </row>
    <row r="95" customFormat="false" ht="15" hidden="false" customHeight="false" outlineLevel="0" collapsed="false">
      <c r="A95" s="21" t="n">
        <v>404</v>
      </c>
      <c r="B95" s="21" t="s">
        <v>122</v>
      </c>
      <c r="C95" s="21" t="n">
        <v>735</v>
      </c>
      <c r="D95" s="21" t="s">
        <v>123</v>
      </c>
      <c r="E95" s="8" t="n">
        <v>1525</v>
      </c>
      <c r="F95" s="8" t="n">
        <v>1400</v>
      </c>
      <c r="G95" s="8" t="n">
        <v>0</v>
      </c>
      <c r="H95" s="4" t="n">
        <v>46356</v>
      </c>
      <c r="I95" s="21"/>
      <c r="J95" s="8"/>
      <c r="K95" s="2" t="n">
        <f aca="false">IF(D95="Occupied",1,0)</f>
        <v>1</v>
      </c>
      <c r="L95" s="2" t="n">
        <f aca="false">IF(AND(K95=1,I95="Yes"),1,0)</f>
        <v>0</v>
      </c>
      <c r="M95" s="2" t="n">
        <f aca="false">IF(K95=1,IF(OR(H95="",H95&lt;Inputs!$B$5),1,(YEAR(H95)-YEAR(Inputs!$B$5))*12+MONTH(H95)-MONTH(Inputs!$B$5)+2),"")</f>
        <v>2</v>
      </c>
      <c r="N95" s="2" t="str">
        <f aca="false">IF(K95=0,IF(I95="Yes",COUNTIFS(K$2:K95,0,I$2:I95,"Yes")-1,COUNTIFS(K$2:K$121,0,I$2:I$121,"Yes")+COUNTIFS(K$2:K95,0,I$2:I95,"&lt;&gt;Yes")-1),"")</f>
        <v/>
      </c>
      <c r="O95" s="2" t="str">
        <f aca="false">IF(K95=0,INT(N95/Inputs!$B$17)+1,"")</f>
        <v/>
      </c>
      <c r="P95" s="2" t="n">
        <f aca="false">IF(K95=1,1,O95)</f>
        <v>1</v>
      </c>
      <c r="Q95" s="2" t="n">
        <f aca="false">IF(K95=1,M95,O95+12)</f>
        <v>2</v>
      </c>
      <c r="R95" s="11" t="str">
        <f aca="false">IF(K95=0,IF(AND(I95="Yes",J95&lt;&gt;""),J95,E95*(1+Inputs!$B$7)^(INT((O95-1)/12))),"")</f>
        <v/>
      </c>
    </row>
    <row r="96" customFormat="false" ht="15" hidden="false" customHeight="false" outlineLevel="0" collapsed="false">
      <c r="A96" s="21" t="n">
        <v>405</v>
      </c>
      <c r="B96" s="21" t="s">
        <v>122</v>
      </c>
      <c r="C96" s="21" t="n">
        <v>735</v>
      </c>
      <c r="D96" s="21" t="s">
        <v>123</v>
      </c>
      <c r="E96" s="8" t="n">
        <v>1525</v>
      </c>
      <c r="F96" s="8" t="n">
        <v>1535</v>
      </c>
      <c r="G96" s="8" t="n">
        <v>70</v>
      </c>
      <c r="H96" s="4" t="n">
        <v>46660</v>
      </c>
      <c r="I96" s="21"/>
      <c r="J96" s="8"/>
      <c r="K96" s="2" t="n">
        <f aca="false">IF(D96="Occupied",1,0)</f>
        <v>1</v>
      </c>
      <c r="L96" s="2" t="n">
        <f aca="false">IF(AND(K96=1,I96="Yes"),1,0)</f>
        <v>0</v>
      </c>
      <c r="M96" s="2" t="n">
        <f aca="false">IF(K96=1,IF(OR(H96="",H96&lt;Inputs!$B$5),1,(YEAR(H96)-YEAR(Inputs!$B$5))*12+MONTH(H96)-MONTH(Inputs!$B$5)+2),"")</f>
        <v>12</v>
      </c>
      <c r="N96" s="2" t="str">
        <f aca="false">IF(K96=0,IF(I96="Yes",COUNTIFS(K$2:K96,0,I$2:I96,"Yes")-1,COUNTIFS(K$2:K$121,0,I$2:I$121,"Yes")+COUNTIFS(K$2:K96,0,I$2:I96,"&lt;&gt;Yes")-1),"")</f>
        <v/>
      </c>
      <c r="O96" s="2" t="str">
        <f aca="false">IF(K96=0,INT(N96/Inputs!$B$17)+1,"")</f>
        <v/>
      </c>
      <c r="P96" s="2" t="n">
        <f aca="false">IF(K96=1,1,O96)</f>
        <v>1</v>
      </c>
      <c r="Q96" s="2" t="n">
        <f aca="false">IF(K96=1,M96,O96+12)</f>
        <v>12</v>
      </c>
      <c r="R96" s="11" t="str">
        <f aca="false">IF(K96=0,IF(AND(I96="Yes",J96&lt;&gt;""),J96,E96*(1+Inputs!$B$7)^(INT((O96-1)/12))),"")</f>
        <v/>
      </c>
    </row>
    <row r="97" customFormat="false" ht="15" hidden="false" customHeight="false" outlineLevel="0" collapsed="false">
      <c r="A97" s="21" t="n">
        <v>406</v>
      </c>
      <c r="B97" s="21" t="s">
        <v>122</v>
      </c>
      <c r="C97" s="21" t="n">
        <v>735</v>
      </c>
      <c r="D97" s="21" t="s">
        <v>123</v>
      </c>
      <c r="E97" s="8" t="n">
        <v>1525</v>
      </c>
      <c r="F97" s="8" t="n">
        <v>1510</v>
      </c>
      <c r="G97" s="8" t="n">
        <v>40</v>
      </c>
      <c r="H97" s="4" t="n">
        <v>46568</v>
      </c>
      <c r="I97" s="21"/>
      <c r="J97" s="8"/>
      <c r="K97" s="2" t="n">
        <f aca="false">IF(D97="Occupied",1,0)</f>
        <v>1</v>
      </c>
      <c r="L97" s="2" t="n">
        <f aca="false">IF(AND(K97=1,I97="Yes"),1,0)</f>
        <v>0</v>
      </c>
      <c r="M97" s="2" t="n">
        <f aca="false">IF(K97=1,IF(OR(H97="",H97&lt;Inputs!$B$5),1,(YEAR(H97)-YEAR(Inputs!$B$5))*12+MONTH(H97)-MONTH(Inputs!$B$5)+2),"")</f>
        <v>9</v>
      </c>
      <c r="N97" s="2" t="str">
        <f aca="false">IF(K97=0,IF(I97="Yes",COUNTIFS(K$2:K97,0,I$2:I97,"Yes")-1,COUNTIFS(K$2:K$121,0,I$2:I$121,"Yes")+COUNTIFS(K$2:K97,0,I$2:I97,"&lt;&gt;Yes")-1),"")</f>
        <v/>
      </c>
      <c r="O97" s="2" t="str">
        <f aca="false">IF(K97=0,INT(N97/Inputs!$B$17)+1,"")</f>
        <v/>
      </c>
      <c r="P97" s="2" t="n">
        <f aca="false">IF(K97=1,1,O97)</f>
        <v>1</v>
      </c>
      <c r="Q97" s="2" t="n">
        <f aca="false">IF(K97=1,M97,O97+12)</f>
        <v>9</v>
      </c>
      <c r="R97" s="11" t="str">
        <f aca="false">IF(K97=0,IF(AND(I97="Yes",J97&lt;&gt;""),J97,E97*(1+Inputs!$B$7)^(INT((O97-1)/12))),"")</f>
        <v/>
      </c>
    </row>
    <row r="98" customFormat="false" ht="15" hidden="false" customHeight="false" outlineLevel="0" collapsed="false">
      <c r="A98" s="21" t="n">
        <v>407</v>
      </c>
      <c r="B98" s="21" t="s">
        <v>122</v>
      </c>
      <c r="C98" s="21" t="n">
        <v>735</v>
      </c>
      <c r="D98" s="21" t="s">
        <v>123</v>
      </c>
      <c r="E98" s="8" t="n">
        <v>1525</v>
      </c>
      <c r="F98" s="8" t="n">
        <v>1395</v>
      </c>
      <c r="G98" s="8" t="n">
        <v>12</v>
      </c>
      <c r="H98" s="4" t="n">
        <v>46477</v>
      </c>
      <c r="I98" s="21"/>
      <c r="J98" s="8"/>
      <c r="K98" s="2" t="n">
        <f aca="false">IF(D98="Occupied",1,0)</f>
        <v>1</v>
      </c>
      <c r="L98" s="2" t="n">
        <f aca="false">IF(AND(K98=1,I98="Yes"),1,0)</f>
        <v>0</v>
      </c>
      <c r="M98" s="2" t="n">
        <f aca="false">IF(K98=1,IF(OR(H98="",H98&lt;Inputs!$B$5),1,(YEAR(H98)-YEAR(Inputs!$B$5))*12+MONTH(H98)-MONTH(Inputs!$B$5)+2),"")</f>
        <v>6</v>
      </c>
      <c r="N98" s="2" t="str">
        <f aca="false">IF(K98=0,IF(I98="Yes",COUNTIFS(K$2:K98,0,I$2:I98,"Yes")-1,COUNTIFS(K$2:K$121,0,I$2:I$121,"Yes")+COUNTIFS(K$2:K98,0,I$2:I98,"&lt;&gt;Yes")-1),"")</f>
        <v/>
      </c>
      <c r="O98" s="2" t="str">
        <f aca="false">IF(K98=0,INT(N98/Inputs!$B$17)+1,"")</f>
        <v/>
      </c>
      <c r="P98" s="2" t="n">
        <f aca="false">IF(K98=1,1,O98)</f>
        <v>1</v>
      </c>
      <c r="Q98" s="2" t="n">
        <f aca="false">IF(K98=1,M98,O98+12)</f>
        <v>6</v>
      </c>
      <c r="R98" s="11" t="str">
        <f aca="false">IF(K98=0,IF(AND(I98="Yes",J98&lt;&gt;""),J98,E98*(1+Inputs!$B$7)^(INT((O98-1)/12))),"")</f>
        <v/>
      </c>
    </row>
    <row r="99" customFormat="false" ht="15" hidden="false" customHeight="false" outlineLevel="0" collapsed="false">
      <c r="A99" s="21" t="n">
        <v>408</v>
      </c>
      <c r="B99" s="21" t="s">
        <v>122</v>
      </c>
      <c r="C99" s="21" t="n">
        <v>735</v>
      </c>
      <c r="D99" s="21" t="s">
        <v>123</v>
      </c>
      <c r="E99" s="8" t="n">
        <v>1525</v>
      </c>
      <c r="F99" s="8" t="n">
        <v>1225</v>
      </c>
      <c r="G99" s="8" t="n">
        <v>45</v>
      </c>
      <c r="H99" s="4" t="n">
        <v>46418</v>
      </c>
      <c r="I99" s="21"/>
      <c r="J99" s="8"/>
      <c r="K99" s="2" t="n">
        <f aca="false">IF(D99="Occupied",1,0)</f>
        <v>1</v>
      </c>
      <c r="L99" s="2" t="n">
        <f aca="false">IF(AND(K99=1,I99="Yes"),1,0)</f>
        <v>0</v>
      </c>
      <c r="M99" s="2" t="n">
        <f aca="false">IF(K99=1,IF(OR(H99="",H99&lt;Inputs!$B$5),1,(YEAR(H99)-YEAR(Inputs!$B$5))*12+MONTH(H99)-MONTH(Inputs!$B$5)+2),"")</f>
        <v>4</v>
      </c>
      <c r="N99" s="2" t="str">
        <f aca="false">IF(K99=0,IF(I99="Yes",COUNTIFS(K$2:K99,0,I$2:I99,"Yes")-1,COUNTIFS(K$2:K$121,0,I$2:I$121,"Yes")+COUNTIFS(K$2:K99,0,I$2:I99,"&lt;&gt;Yes")-1),"")</f>
        <v/>
      </c>
      <c r="O99" s="2" t="str">
        <f aca="false">IF(K99=0,INT(N99/Inputs!$B$17)+1,"")</f>
        <v/>
      </c>
      <c r="P99" s="2" t="n">
        <f aca="false">IF(K99=1,1,O99)</f>
        <v>1</v>
      </c>
      <c r="Q99" s="2" t="n">
        <f aca="false">IF(K99=1,M99,O99+12)</f>
        <v>4</v>
      </c>
      <c r="R99" s="11" t="str">
        <f aca="false">IF(K99=0,IF(AND(I99="Yes",J99&lt;&gt;""),J99,E99*(1+Inputs!$B$7)^(INT((O99-1)/12))),"")</f>
        <v/>
      </c>
    </row>
    <row r="100" customFormat="false" ht="15" hidden="false" customHeight="false" outlineLevel="0" collapsed="false">
      <c r="A100" s="21" t="n">
        <v>409</v>
      </c>
      <c r="B100" s="21" t="s">
        <v>122</v>
      </c>
      <c r="C100" s="21" t="n">
        <v>735</v>
      </c>
      <c r="D100" s="21" t="s">
        <v>123</v>
      </c>
      <c r="E100" s="8" t="n">
        <v>1525</v>
      </c>
      <c r="F100" s="8" t="n">
        <v>1570</v>
      </c>
      <c r="G100" s="8" t="n">
        <v>12</v>
      </c>
      <c r="H100" s="4" t="n">
        <v>46538</v>
      </c>
      <c r="I100" s="21"/>
      <c r="J100" s="8"/>
      <c r="K100" s="2" t="n">
        <f aca="false">IF(D100="Occupied",1,0)</f>
        <v>1</v>
      </c>
      <c r="L100" s="2" t="n">
        <f aca="false">IF(AND(K100=1,I100="Yes"),1,0)</f>
        <v>0</v>
      </c>
      <c r="M100" s="2" t="n">
        <f aca="false">IF(K100=1,IF(OR(H100="",H100&lt;Inputs!$B$5),1,(YEAR(H100)-YEAR(Inputs!$B$5))*12+MONTH(H100)-MONTH(Inputs!$B$5)+2),"")</f>
        <v>8</v>
      </c>
      <c r="N100" s="2" t="str">
        <f aca="false">IF(K100=0,IF(I100="Yes",COUNTIFS(K$2:K100,0,I$2:I100,"Yes")-1,COUNTIFS(K$2:K$121,0,I$2:I$121,"Yes")+COUNTIFS(K$2:K100,0,I$2:I100,"&lt;&gt;Yes")-1),"")</f>
        <v/>
      </c>
      <c r="O100" s="2" t="str">
        <f aca="false">IF(K100=0,INT(N100/Inputs!$B$17)+1,"")</f>
        <v/>
      </c>
      <c r="P100" s="2" t="n">
        <f aca="false">IF(K100=1,1,O100)</f>
        <v>1</v>
      </c>
      <c r="Q100" s="2" t="n">
        <f aca="false">IF(K100=1,M100,O100+12)</f>
        <v>8</v>
      </c>
      <c r="R100" s="11" t="str">
        <f aca="false">IF(K100=0,IF(AND(I100="Yes",J100&lt;&gt;""),J100,E100*(1+Inputs!$B$7)^(INT((O100-1)/12))),"")</f>
        <v/>
      </c>
    </row>
    <row r="101" customFormat="false" ht="15" hidden="false" customHeight="false" outlineLevel="0" collapsed="false">
      <c r="A101" s="21" t="n">
        <v>410</v>
      </c>
      <c r="B101" s="21" t="s">
        <v>122</v>
      </c>
      <c r="C101" s="21" t="n">
        <v>735</v>
      </c>
      <c r="D101" s="21" t="s">
        <v>123</v>
      </c>
      <c r="E101" s="8" t="n">
        <v>1525</v>
      </c>
      <c r="F101" s="8" t="n">
        <v>1570</v>
      </c>
      <c r="G101" s="8" t="n">
        <v>97</v>
      </c>
      <c r="H101" s="4" t="n">
        <v>46326</v>
      </c>
      <c r="I101" s="21"/>
      <c r="J101" s="8"/>
      <c r="K101" s="2" t="n">
        <f aca="false">IF(D101="Occupied",1,0)</f>
        <v>1</v>
      </c>
      <c r="L101" s="2" t="n">
        <f aca="false">IF(AND(K101=1,I101="Yes"),1,0)</f>
        <v>0</v>
      </c>
      <c r="M101" s="2" t="n">
        <f aca="false">IF(K101=1,IF(OR(H101="",H101&lt;Inputs!$B$5),1,(YEAR(H101)-YEAR(Inputs!$B$5))*12+MONTH(H101)-MONTH(Inputs!$B$5)+2),"")</f>
        <v>1</v>
      </c>
      <c r="N101" s="2" t="str">
        <f aca="false">IF(K101=0,IF(I101="Yes",COUNTIFS(K$2:K101,0,I$2:I101,"Yes")-1,COUNTIFS(K$2:K$121,0,I$2:I$121,"Yes")+COUNTIFS(K$2:K101,0,I$2:I101,"&lt;&gt;Yes")-1),"")</f>
        <v/>
      </c>
      <c r="O101" s="2" t="str">
        <f aca="false">IF(K101=0,INT(N101/Inputs!$B$17)+1,"")</f>
        <v/>
      </c>
      <c r="P101" s="2" t="n">
        <f aca="false">IF(K101=1,1,O101)</f>
        <v>1</v>
      </c>
      <c r="Q101" s="2" t="n">
        <f aca="false">IF(K101=1,M101,O101+12)</f>
        <v>1</v>
      </c>
      <c r="R101" s="11" t="str">
        <f aca="false">IF(K101=0,IF(AND(I101="Yes",J101&lt;&gt;""),J101,E101*(1+Inputs!$B$7)^(INT((O101-1)/12))),"")</f>
        <v/>
      </c>
    </row>
    <row r="102" customFormat="false" ht="15" hidden="false" customHeight="false" outlineLevel="0" collapsed="false">
      <c r="A102" s="21" t="n">
        <v>411</v>
      </c>
      <c r="B102" s="21" t="s">
        <v>122</v>
      </c>
      <c r="C102" s="21" t="n">
        <v>735</v>
      </c>
      <c r="D102" s="21" t="s">
        <v>123</v>
      </c>
      <c r="E102" s="8" t="n">
        <v>1525</v>
      </c>
      <c r="F102" s="8" t="n">
        <v>1510</v>
      </c>
      <c r="G102" s="8" t="n">
        <v>0</v>
      </c>
      <c r="H102" s="4" t="n">
        <v>46387</v>
      </c>
      <c r="I102" s="21"/>
      <c r="J102" s="8"/>
      <c r="K102" s="2" t="n">
        <f aca="false">IF(D102="Occupied",1,0)</f>
        <v>1</v>
      </c>
      <c r="L102" s="2" t="n">
        <f aca="false">IF(AND(K102=1,I102="Yes"),1,0)</f>
        <v>0</v>
      </c>
      <c r="M102" s="2" t="n">
        <f aca="false">IF(K102=1,IF(OR(H102="",H102&lt;Inputs!$B$5),1,(YEAR(H102)-YEAR(Inputs!$B$5))*12+MONTH(H102)-MONTH(Inputs!$B$5)+2),"")</f>
        <v>3</v>
      </c>
      <c r="N102" s="2" t="str">
        <f aca="false">IF(K102=0,IF(I102="Yes",COUNTIFS(K$2:K102,0,I$2:I102,"Yes")-1,COUNTIFS(K$2:K$121,0,I$2:I$121,"Yes")+COUNTIFS(K$2:K102,0,I$2:I102,"&lt;&gt;Yes")-1),"")</f>
        <v/>
      </c>
      <c r="O102" s="2" t="str">
        <f aca="false">IF(K102=0,INT(N102/Inputs!$B$17)+1,"")</f>
        <v/>
      </c>
      <c r="P102" s="2" t="n">
        <f aca="false">IF(K102=1,1,O102)</f>
        <v>1</v>
      </c>
      <c r="Q102" s="2" t="n">
        <f aca="false">IF(K102=1,M102,O102+12)</f>
        <v>3</v>
      </c>
      <c r="R102" s="11" t="str">
        <f aca="false">IF(K102=0,IF(AND(I102="Yes",J102&lt;&gt;""),J102,E102*(1+Inputs!$B$7)^(INT((O102-1)/12))),"")</f>
        <v/>
      </c>
    </row>
    <row r="103" customFormat="false" ht="15" hidden="false" customHeight="false" outlineLevel="0" collapsed="false">
      <c r="A103" s="21" t="n">
        <v>412</v>
      </c>
      <c r="B103" s="21" t="s">
        <v>122</v>
      </c>
      <c r="C103" s="21" t="n">
        <v>735</v>
      </c>
      <c r="D103" s="21" t="s">
        <v>124</v>
      </c>
      <c r="E103" s="8" t="n">
        <v>1525</v>
      </c>
      <c r="F103" s="8" t="n">
        <v>0</v>
      </c>
      <c r="G103" s="8" t="n">
        <v>0</v>
      </c>
      <c r="H103" s="4"/>
      <c r="I103" s="21"/>
      <c r="J103" s="8"/>
      <c r="K103" s="2" t="n">
        <f aca="false">IF(D103="Occupied",1,0)</f>
        <v>0</v>
      </c>
      <c r="L103" s="2" t="n">
        <f aca="false">IF(AND(K103=1,I103="Yes"),1,0)</f>
        <v>0</v>
      </c>
      <c r="M103" s="2" t="str">
        <f aca="false">IF(K103=1,IF(OR(H103="",H103&lt;Inputs!$B$5),1,(YEAR(H103)-YEAR(Inputs!$B$5))*12+MONTH(H103)-MONTH(Inputs!$B$5)+2),"")</f>
        <v/>
      </c>
      <c r="N103" s="2" t="n">
        <f aca="false">IF(K103=0,IF(I103="Yes",COUNTIFS(K$2:K103,0,I$2:I103,"Yes")-1,COUNTIFS(K$2:K$121,0,I$2:I$121,"Yes")+COUNTIFS(K$2:K103,0,I$2:I103,"&lt;&gt;Yes")-1),"")</f>
        <v>9</v>
      </c>
      <c r="O103" s="2" t="n">
        <f aca="false">IF(K103=0,INT(N103/Inputs!$B$17)+1,"")</f>
        <v>2</v>
      </c>
      <c r="P103" s="2" t="n">
        <f aca="false">IF(K103=1,1,O103)</f>
        <v>2</v>
      </c>
      <c r="Q103" s="2" t="n">
        <f aca="false">IF(K103=1,M103,O103+12)</f>
        <v>14</v>
      </c>
      <c r="R103" s="11" t="n">
        <f aca="false">IF(K103=0,IF(AND(I103="Yes",J103&lt;&gt;""),J103,E103*(1+Inputs!$B$7)^(INT((O103-1)/12))),"")</f>
        <v>1525</v>
      </c>
    </row>
    <row r="104" customFormat="false" ht="15" hidden="false" customHeight="false" outlineLevel="0" collapsed="false">
      <c r="A104" s="21" t="n">
        <v>413</v>
      </c>
      <c r="B104" s="21" t="s">
        <v>125</v>
      </c>
      <c r="C104" s="21" t="n">
        <v>560</v>
      </c>
      <c r="D104" s="21" t="s">
        <v>123</v>
      </c>
      <c r="E104" s="8" t="n">
        <v>1295</v>
      </c>
      <c r="F104" s="8" t="n">
        <v>1170</v>
      </c>
      <c r="G104" s="8" t="n">
        <v>50</v>
      </c>
      <c r="H104" s="4" t="n">
        <v>46387</v>
      </c>
      <c r="I104" s="21"/>
      <c r="J104" s="8"/>
      <c r="K104" s="2" t="n">
        <f aca="false">IF(D104="Occupied",1,0)</f>
        <v>1</v>
      </c>
      <c r="L104" s="2" t="n">
        <f aca="false">IF(AND(K104=1,I104="Yes"),1,0)</f>
        <v>0</v>
      </c>
      <c r="M104" s="2" t="n">
        <f aca="false">IF(K104=1,IF(OR(H104="",H104&lt;Inputs!$B$5),1,(YEAR(H104)-YEAR(Inputs!$B$5))*12+MONTH(H104)-MONTH(Inputs!$B$5)+2),"")</f>
        <v>3</v>
      </c>
      <c r="N104" s="2" t="str">
        <f aca="false">IF(K104=0,IF(I104="Yes",COUNTIFS(K$2:K104,0,I$2:I104,"Yes")-1,COUNTIFS(K$2:K$121,0,I$2:I$121,"Yes")+COUNTIFS(K$2:K104,0,I$2:I104,"&lt;&gt;Yes")-1),"")</f>
        <v/>
      </c>
      <c r="O104" s="2" t="str">
        <f aca="false">IF(K104=0,INT(N104/Inputs!$B$17)+1,"")</f>
        <v/>
      </c>
      <c r="P104" s="2" t="n">
        <f aca="false">IF(K104=1,1,O104)</f>
        <v>1</v>
      </c>
      <c r="Q104" s="2" t="n">
        <f aca="false">IF(K104=1,M104,O104+12)</f>
        <v>3</v>
      </c>
      <c r="R104" s="11" t="str">
        <f aca="false">IF(K104=0,IF(AND(I104="Yes",J104&lt;&gt;""),J104,E104*(1+Inputs!$B$7)^(INT((O104-1)/12))),"")</f>
        <v/>
      </c>
    </row>
    <row r="105" customFormat="false" ht="15" hidden="false" customHeight="false" outlineLevel="0" collapsed="false">
      <c r="A105" s="21" t="n">
        <v>414</v>
      </c>
      <c r="B105" s="21" t="s">
        <v>125</v>
      </c>
      <c r="C105" s="21" t="n">
        <v>560</v>
      </c>
      <c r="D105" s="21" t="s">
        <v>123</v>
      </c>
      <c r="E105" s="8" t="n">
        <v>1295</v>
      </c>
      <c r="F105" s="8" t="n">
        <v>1260</v>
      </c>
      <c r="G105" s="8" t="n">
        <v>12</v>
      </c>
      <c r="H105" s="4" t="n">
        <v>46446</v>
      </c>
      <c r="I105" s="21"/>
      <c r="J105" s="8"/>
      <c r="K105" s="2" t="n">
        <f aca="false">IF(D105="Occupied",1,0)</f>
        <v>1</v>
      </c>
      <c r="L105" s="2" t="n">
        <f aca="false">IF(AND(K105=1,I105="Yes"),1,0)</f>
        <v>0</v>
      </c>
      <c r="M105" s="2" t="n">
        <f aca="false">IF(K105=1,IF(OR(H105="",H105&lt;Inputs!$B$5),1,(YEAR(H105)-YEAR(Inputs!$B$5))*12+MONTH(H105)-MONTH(Inputs!$B$5)+2),"")</f>
        <v>5</v>
      </c>
      <c r="N105" s="2" t="str">
        <f aca="false">IF(K105=0,IF(I105="Yes",COUNTIFS(K$2:K105,0,I$2:I105,"Yes")-1,COUNTIFS(K$2:K$121,0,I$2:I$121,"Yes")+COUNTIFS(K$2:K105,0,I$2:I105,"&lt;&gt;Yes")-1),"")</f>
        <v/>
      </c>
      <c r="O105" s="2" t="str">
        <f aca="false">IF(K105=0,INT(N105/Inputs!$B$17)+1,"")</f>
        <v/>
      </c>
      <c r="P105" s="2" t="n">
        <f aca="false">IF(K105=1,1,O105)</f>
        <v>1</v>
      </c>
      <c r="Q105" s="2" t="n">
        <f aca="false">IF(K105=1,M105,O105+12)</f>
        <v>5</v>
      </c>
      <c r="R105" s="11" t="str">
        <f aca="false">IF(K105=0,IF(AND(I105="Yes",J105&lt;&gt;""),J105,E105*(1+Inputs!$B$7)^(INT((O105-1)/12))),"")</f>
        <v/>
      </c>
    </row>
    <row r="106" customFormat="false" ht="15" hidden="false" customHeight="false" outlineLevel="0" collapsed="false">
      <c r="A106" s="21" t="n">
        <v>415</v>
      </c>
      <c r="B106" s="21" t="s">
        <v>125</v>
      </c>
      <c r="C106" s="21" t="n">
        <v>560</v>
      </c>
      <c r="D106" s="21" t="s">
        <v>123</v>
      </c>
      <c r="E106" s="8" t="n">
        <v>1295</v>
      </c>
      <c r="F106" s="8" t="n">
        <v>1240</v>
      </c>
      <c r="G106" s="8" t="n">
        <v>0</v>
      </c>
      <c r="H106" s="4" t="n">
        <v>46326</v>
      </c>
      <c r="I106" s="21"/>
      <c r="J106" s="8"/>
      <c r="K106" s="2" t="n">
        <f aca="false">IF(D106="Occupied",1,0)</f>
        <v>1</v>
      </c>
      <c r="L106" s="2" t="n">
        <f aca="false">IF(AND(K106=1,I106="Yes"),1,0)</f>
        <v>0</v>
      </c>
      <c r="M106" s="2" t="n">
        <f aca="false">IF(K106=1,IF(OR(H106="",H106&lt;Inputs!$B$5),1,(YEAR(H106)-YEAR(Inputs!$B$5))*12+MONTH(H106)-MONTH(Inputs!$B$5)+2),"")</f>
        <v>1</v>
      </c>
      <c r="N106" s="2" t="str">
        <f aca="false">IF(K106=0,IF(I106="Yes",COUNTIFS(K$2:K106,0,I$2:I106,"Yes")-1,COUNTIFS(K$2:K$121,0,I$2:I$121,"Yes")+COUNTIFS(K$2:K106,0,I$2:I106,"&lt;&gt;Yes")-1),"")</f>
        <v/>
      </c>
      <c r="O106" s="2" t="str">
        <f aca="false">IF(K106=0,INT(N106/Inputs!$B$17)+1,"")</f>
        <v/>
      </c>
      <c r="P106" s="2" t="n">
        <f aca="false">IF(K106=1,1,O106)</f>
        <v>1</v>
      </c>
      <c r="Q106" s="2" t="n">
        <f aca="false">IF(K106=1,M106,O106+12)</f>
        <v>1</v>
      </c>
      <c r="R106" s="11" t="str">
        <f aca="false">IF(K106=0,IF(AND(I106="Yes",J106&lt;&gt;""),J106,E106*(1+Inputs!$B$7)^(INT((O106-1)/12))),"")</f>
        <v/>
      </c>
    </row>
    <row r="107" customFormat="false" ht="15" hidden="false" customHeight="false" outlineLevel="0" collapsed="false">
      <c r="A107" s="21" t="n">
        <v>416</v>
      </c>
      <c r="B107" s="21" t="s">
        <v>125</v>
      </c>
      <c r="C107" s="21" t="n">
        <v>560</v>
      </c>
      <c r="D107" s="21" t="s">
        <v>123</v>
      </c>
      <c r="E107" s="8" t="n">
        <v>1295</v>
      </c>
      <c r="F107" s="8" t="n">
        <v>1270</v>
      </c>
      <c r="G107" s="8" t="n">
        <v>0</v>
      </c>
      <c r="H107" s="4" t="n">
        <v>46356</v>
      </c>
      <c r="I107" s="21"/>
      <c r="J107" s="8"/>
      <c r="K107" s="2" t="n">
        <f aca="false">IF(D107="Occupied",1,0)</f>
        <v>1</v>
      </c>
      <c r="L107" s="2" t="n">
        <f aca="false">IF(AND(K107=1,I107="Yes"),1,0)</f>
        <v>0</v>
      </c>
      <c r="M107" s="2" t="n">
        <f aca="false">IF(K107=1,IF(OR(H107="",H107&lt;Inputs!$B$5),1,(YEAR(H107)-YEAR(Inputs!$B$5))*12+MONTH(H107)-MONTH(Inputs!$B$5)+2),"")</f>
        <v>2</v>
      </c>
      <c r="N107" s="2" t="str">
        <f aca="false">IF(K107=0,IF(I107="Yes",COUNTIFS(K$2:K107,0,I$2:I107,"Yes")-1,COUNTIFS(K$2:K$121,0,I$2:I$121,"Yes")+COUNTIFS(K$2:K107,0,I$2:I107,"&lt;&gt;Yes")-1),"")</f>
        <v/>
      </c>
      <c r="O107" s="2" t="str">
        <f aca="false">IF(K107=0,INT(N107/Inputs!$B$17)+1,"")</f>
        <v/>
      </c>
      <c r="P107" s="2" t="n">
        <f aca="false">IF(K107=1,1,O107)</f>
        <v>1</v>
      </c>
      <c r="Q107" s="2" t="n">
        <f aca="false">IF(K107=1,M107,O107+12)</f>
        <v>2</v>
      </c>
      <c r="R107" s="11" t="str">
        <f aca="false">IF(K107=0,IF(AND(I107="Yes",J107&lt;&gt;""),J107,E107*(1+Inputs!$B$7)^(INT((O107-1)/12))),"")</f>
        <v/>
      </c>
    </row>
    <row r="108" customFormat="false" ht="15" hidden="false" customHeight="false" outlineLevel="0" collapsed="false">
      <c r="A108" s="21" t="n">
        <v>417</v>
      </c>
      <c r="B108" s="21" t="s">
        <v>125</v>
      </c>
      <c r="C108" s="21" t="n">
        <v>560</v>
      </c>
      <c r="D108" s="21" t="s">
        <v>123</v>
      </c>
      <c r="E108" s="8" t="n">
        <v>1295</v>
      </c>
      <c r="F108" s="8" t="n">
        <v>1325</v>
      </c>
      <c r="G108" s="8" t="n">
        <v>35</v>
      </c>
      <c r="H108" s="4" t="n">
        <v>46660</v>
      </c>
      <c r="I108" s="21"/>
      <c r="J108" s="8"/>
      <c r="K108" s="2" t="n">
        <f aca="false">IF(D108="Occupied",1,0)</f>
        <v>1</v>
      </c>
      <c r="L108" s="2" t="n">
        <f aca="false">IF(AND(K108=1,I108="Yes"),1,0)</f>
        <v>0</v>
      </c>
      <c r="M108" s="2" t="n">
        <f aca="false">IF(K108=1,IF(OR(H108="",H108&lt;Inputs!$B$5),1,(YEAR(H108)-YEAR(Inputs!$B$5))*12+MONTH(H108)-MONTH(Inputs!$B$5)+2),"")</f>
        <v>12</v>
      </c>
      <c r="N108" s="2" t="str">
        <f aca="false">IF(K108=0,IF(I108="Yes",COUNTIFS(K$2:K108,0,I$2:I108,"Yes")-1,COUNTIFS(K$2:K$121,0,I$2:I$121,"Yes")+COUNTIFS(K$2:K108,0,I$2:I108,"&lt;&gt;Yes")-1),"")</f>
        <v/>
      </c>
      <c r="O108" s="2" t="str">
        <f aca="false">IF(K108=0,INT(N108/Inputs!$B$17)+1,"")</f>
        <v/>
      </c>
      <c r="P108" s="2" t="n">
        <f aca="false">IF(K108=1,1,O108)</f>
        <v>1</v>
      </c>
      <c r="Q108" s="2" t="n">
        <f aca="false">IF(K108=1,M108,O108+12)</f>
        <v>12</v>
      </c>
      <c r="R108" s="11" t="str">
        <f aca="false">IF(K108=0,IF(AND(I108="Yes",J108&lt;&gt;""),J108,E108*(1+Inputs!$B$7)^(INT((O108-1)/12))),"")</f>
        <v/>
      </c>
    </row>
    <row r="109" customFormat="false" ht="15" hidden="false" customHeight="false" outlineLevel="0" collapsed="false">
      <c r="A109" s="21" t="n">
        <v>418</v>
      </c>
      <c r="B109" s="21" t="s">
        <v>125</v>
      </c>
      <c r="C109" s="21" t="n">
        <v>560</v>
      </c>
      <c r="D109" s="21" t="s">
        <v>123</v>
      </c>
      <c r="E109" s="8" t="n">
        <v>1295</v>
      </c>
      <c r="F109" s="8" t="n">
        <v>1265</v>
      </c>
      <c r="G109" s="8" t="n">
        <v>25</v>
      </c>
      <c r="H109" s="4" t="n">
        <v>46418</v>
      </c>
      <c r="I109" s="21"/>
      <c r="J109" s="8"/>
      <c r="K109" s="2" t="n">
        <f aca="false">IF(D109="Occupied",1,0)</f>
        <v>1</v>
      </c>
      <c r="L109" s="2" t="n">
        <f aca="false">IF(AND(K109=1,I109="Yes"),1,0)</f>
        <v>0</v>
      </c>
      <c r="M109" s="2" t="n">
        <f aca="false">IF(K109=1,IF(OR(H109="",H109&lt;Inputs!$B$5),1,(YEAR(H109)-YEAR(Inputs!$B$5))*12+MONTH(H109)-MONTH(Inputs!$B$5)+2),"")</f>
        <v>4</v>
      </c>
      <c r="N109" s="2" t="str">
        <f aca="false">IF(K109=0,IF(I109="Yes",COUNTIFS(K$2:K109,0,I$2:I109,"Yes")-1,COUNTIFS(K$2:K$121,0,I$2:I$121,"Yes")+COUNTIFS(K$2:K109,0,I$2:I109,"&lt;&gt;Yes")-1),"")</f>
        <v/>
      </c>
      <c r="O109" s="2" t="str">
        <f aca="false">IF(K109=0,INT(N109/Inputs!$B$17)+1,"")</f>
        <v/>
      </c>
      <c r="P109" s="2" t="n">
        <f aca="false">IF(K109=1,1,O109)</f>
        <v>1</v>
      </c>
      <c r="Q109" s="2" t="n">
        <f aca="false">IF(K109=1,M109,O109+12)</f>
        <v>4</v>
      </c>
      <c r="R109" s="11" t="str">
        <f aca="false">IF(K109=0,IF(AND(I109="Yes",J109&lt;&gt;""),J109,E109*(1+Inputs!$B$7)^(INT((O109-1)/12))),"")</f>
        <v/>
      </c>
    </row>
    <row r="110" customFormat="false" ht="15" hidden="false" customHeight="false" outlineLevel="0" collapsed="false">
      <c r="A110" s="21" t="n">
        <v>419</v>
      </c>
      <c r="B110" s="21" t="s">
        <v>125</v>
      </c>
      <c r="C110" s="21" t="n">
        <v>560</v>
      </c>
      <c r="D110" s="21" t="s">
        <v>123</v>
      </c>
      <c r="E110" s="8" t="n">
        <v>1295</v>
      </c>
      <c r="F110" s="8" t="n">
        <v>1275</v>
      </c>
      <c r="G110" s="8" t="n">
        <v>45</v>
      </c>
      <c r="H110" s="4" t="n">
        <v>46568</v>
      </c>
      <c r="I110" s="21"/>
      <c r="J110" s="8"/>
      <c r="K110" s="2" t="n">
        <f aca="false">IF(D110="Occupied",1,0)</f>
        <v>1</v>
      </c>
      <c r="L110" s="2" t="n">
        <f aca="false">IF(AND(K110=1,I110="Yes"),1,0)</f>
        <v>0</v>
      </c>
      <c r="M110" s="2" t="n">
        <f aca="false">IF(K110=1,IF(OR(H110="",H110&lt;Inputs!$B$5),1,(YEAR(H110)-YEAR(Inputs!$B$5))*12+MONTH(H110)-MONTH(Inputs!$B$5)+2),"")</f>
        <v>9</v>
      </c>
      <c r="N110" s="2" t="str">
        <f aca="false">IF(K110=0,IF(I110="Yes",COUNTIFS(K$2:K110,0,I$2:I110,"Yes")-1,COUNTIFS(K$2:K$121,0,I$2:I$121,"Yes")+COUNTIFS(K$2:K110,0,I$2:I110,"&lt;&gt;Yes")-1),"")</f>
        <v/>
      </c>
      <c r="O110" s="2" t="str">
        <f aca="false">IF(K110=0,INT(N110/Inputs!$B$17)+1,"")</f>
        <v/>
      </c>
      <c r="P110" s="2" t="n">
        <f aca="false">IF(K110=1,1,O110)</f>
        <v>1</v>
      </c>
      <c r="Q110" s="2" t="n">
        <f aca="false">IF(K110=1,M110,O110+12)</f>
        <v>9</v>
      </c>
      <c r="R110" s="11" t="str">
        <f aca="false">IF(K110=0,IF(AND(I110="Yes",J110&lt;&gt;""),J110,E110*(1+Inputs!$B$7)^(INT((O110-1)/12))),"")</f>
        <v/>
      </c>
    </row>
    <row r="111" customFormat="false" ht="15" hidden="false" customHeight="false" outlineLevel="0" collapsed="false">
      <c r="A111" s="21" t="n">
        <v>420</v>
      </c>
      <c r="B111" s="21" t="s">
        <v>127</v>
      </c>
      <c r="C111" s="21" t="n">
        <v>960</v>
      </c>
      <c r="D111" s="21" t="s">
        <v>123</v>
      </c>
      <c r="E111" s="8" t="n">
        <v>1850</v>
      </c>
      <c r="F111" s="8" t="n">
        <v>1850</v>
      </c>
      <c r="G111" s="8" t="n">
        <v>0</v>
      </c>
      <c r="H111" s="4" t="n">
        <v>46630</v>
      </c>
      <c r="I111" s="21"/>
      <c r="J111" s="8"/>
      <c r="K111" s="2" t="n">
        <f aca="false">IF(D111="Occupied",1,0)</f>
        <v>1</v>
      </c>
      <c r="L111" s="2" t="n">
        <f aca="false">IF(AND(K111=1,I111="Yes"),1,0)</f>
        <v>0</v>
      </c>
      <c r="M111" s="2" t="n">
        <f aca="false">IF(K111=1,IF(OR(H111="",H111&lt;Inputs!$B$5),1,(YEAR(H111)-YEAR(Inputs!$B$5))*12+MONTH(H111)-MONTH(Inputs!$B$5)+2),"")</f>
        <v>11</v>
      </c>
      <c r="N111" s="2" t="str">
        <f aca="false">IF(K111=0,IF(I111="Yes",COUNTIFS(K$2:K111,0,I$2:I111,"Yes")-1,COUNTIFS(K$2:K$121,0,I$2:I$121,"Yes")+COUNTIFS(K$2:K111,0,I$2:I111,"&lt;&gt;Yes")-1),"")</f>
        <v/>
      </c>
      <c r="O111" s="2" t="str">
        <f aca="false">IF(K111=0,INT(N111/Inputs!$B$17)+1,"")</f>
        <v/>
      </c>
      <c r="P111" s="2" t="n">
        <f aca="false">IF(K111=1,1,O111)</f>
        <v>1</v>
      </c>
      <c r="Q111" s="2" t="n">
        <f aca="false">IF(K111=1,M111,O111+12)</f>
        <v>11</v>
      </c>
      <c r="R111" s="11" t="str">
        <f aca="false">IF(K111=0,IF(AND(I111="Yes",J111&lt;&gt;""),J111,E111*(1+Inputs!$B$7)^(INT((O111-1)/12))),"")</f>
        <v/>
      </c>
    </row>
    <row r="112" customFormat="false" ht="15" hidden="false" customHeight="false" outlineLevel="0" collapsed="false">
      <c r="A112" s="21" t="n">
        <v>421</v>
      </c>
      <c r="B112" s="21" t="s">
        <v>127</v>
      </c>
      <c r="C112" s="21" t="n">
        <v>960</v>
      </c>
      <c r="D112" s="21" t="s">
        <v>123</v>
      </c>
      <c r="E112" s="8" t="n">
        <v>1850</v>
      </c>
      <c r="F112" s="8" t="n">
        <v>1800</v>
      </c>
      <c r="G112" s="8" t="n">
        <v>45</v>
      </c>
      <c r="H112" s="4" t="n">
        <v>46356</v>
      </c>
      <c r="I112" s="21"/>
      <c r="J112" s="8"/>
      <c r="K112" s="2" t="n">
        <f aca="false">IF(D112="Occupied",1,0)</f>
        <v>1</v>
      </c>
      <c r="L112" s="2" t="n">
        <f aca="false">IF(AND(K112=1,I112="Yes"),1,0)</f>
        <v>0</v>
      </c>
      <c r="M112" s="2" t="n">
        <f aca="false">IF(K112=1,IF(OR(H112="",H112&lt;Inputs!$B$5),1,(YEAR(H112)-YEAR(Inputs!$B$5))*12+MONTH(H112)-MONTH(Inputs!$B$5)+2),"")</f>
        <v>2</v>
      </c>
      <c r="N112" s="2" t="str">
        <f aca="false">IF(K112=0,IF(I112="Yes",COUNTIFS(K$2:K112,0,I$2:I112,"Yes")-1,COUNTIFS(K$2:K$121,0,I$2:I$121,"Yes")+COUNTIFS(K$2:K112,0,I$2:I112,"&lt;&gt;Yes")-1),"")</f>
        <v/>
      </c>
      <c r="O112" s="2" t="str">
        <f aca="false">IF(K112=0,INT(N112/Inputs!$B$17)+1,"")</f>
        <v/>
      </c>
      <c r="P112" s="2" t="n">
        <f aca="false">IF(K112=1,1,O112)</f>
        <v>1</v>
      </c>
      <c r="Q112" s="2" t="n">
        <f aca="false">IF(K112=1,M112,O112+12)</f>
        <v>2</v>
      </c>
      <c r="R112" s="11" t="str">
        <f aca="false">IF(K112=0,IF(AND(I112="Yes",J112&lt;&gt;""),J112,E112*(1+Inputs!$B$7)^(INT((O112-1)/12))),"")</f>
        <v/>
      </c>
    </row>
    <row r="113" customFormat="false" ht="15" hidden="false" customHeight="false" outlineLevel="0" collapsed="false">
      <c r="A113" s="21" t="n">
        <v>422</v>
      </c>
      <c r="B113" s="21" t="s">
        <v>127</v>
      </c>
      <c r="C113" s="21" t="n">
        <v>960</v>
      </c>
      <c r="D113" s="21" t="s">
        <v>123</v>
      </c>
      <c r="E113" s="8" t="n">
        <v>1850</v>
      </c>
      <c r="F113" s="8" t="n">
        <v>1850</v>
      </c>
      <c r="G113" s="8" t="n">
        <v>47</v>
      </c>
      <c r="H113" s="4" t="n">
        <v>46660</v>
      </c>
      <c r="I113" s="21"/>
      <c r="J113" s="8"/>
      <c r="K113" s="2" t="n">
        <f aca="false">IF(D113="Occupied",1,0)</f>
        <v>1</v>
      </c>
      <c r="L113" s="2" t="n">
        <f aca="false">IF(AND(K113=1,I113="Yes"),1,0)</f>
        <v>0</v>
      </c>
      <c r="M113" s="2" t="n">
        <f aca="false">IF(K113=1,IF(OR(H113="",H113&lt;Inputs!$B$5),1,(YEAR(H113)-YEAR(Inputs!$B$5))*12+MONTH(H113)-MONTH(Inputs!$B$5)+2),"")</f>
        <v>12</v>
      </c>
      <c r="N113" s="2" t="str">
        <f aca="false">IF(K113=0,IF(I113="Yes",COUNTIFS(K$2:K113,0,I$2:I113,"Yes")-1,COUNTIFS(K$2:K$121,0,I$2:I$121,"Yes")+COUNTIFS(K$2:K113,0,I$2:I113,"&lt;&gt;Yes")-1),"")</f>
        <v/>
      </c>
      <c r="O113" s="2" t="str">
        <f aca="false">IF(K113=0,INT(N113/Inputs!$B$17)+1,"")</f>
        <v/>
      </c>
      <c r="P113" s="2" t="n">
        <f aca="false">IF(K113=1,1,O113)</f>
        <v>1</v>
      </c>
      <c r="Q113" s="2" t="n">
        <f aca="false">IF(K113=1,M113,O113+12)</f>
        <v>12</v>
      </c>
      <c r="R113" s="11" t="str">
        <f aca="false">IF(K113=0,IF(AND(I113="Yes",J113&lt;&gt;""),J113,E113*(1+Inputs!$B$7)^(INT((O113-1)/12))),"")</f>
        <v/>
      </c>
    </row>
    <row r="114" customFormat="false" ht="15" hidden="false" customHeight="false" outlineLevel="0" collapsed="false">
      <c r="A114" s="21" t="n">
        <v>423</v>
      </c>
      <c r="B114" s="21" t="s">
        <v>127</v>
      </c>
      <c r="C114" s="21" t="n">
        <v>960</v>
      </c>
      <c r="D114" s="21" t="s">
        <v>123</v>
      </c>
      <c r="E114" s="8" t="n">
        <v>1850</v>
      </c>
      <c r="F114" s="8" t="n">
        <v>1925</v>
      </c>
      <c r="G114" s="8" t="n">
        <v>62</v>
      </c>
      <c r="H114" s="4" t="n">
        <v>46356</v>
      </c>
      <c r="I114" s="21"/>
      <c r="J114" s="8"/>
      <c r="K114" s="2" t="n">
        <f aca="false">IF(D114="Occupied",1,0)</f>
        <v>1</v>
      </c>
      <c r="L114" s="2" t="n">
        <f aca="false">IF(AND(K114=1,I114="Yes"),1,0)</f>
        <v>0</v>
      </c>
      <c r="M114" s="2" t="n">
        <f aca="false">IF(K114=1,IF(OR(H114="",H114&lt;Inputs!$B$5),1,(YEAR(H114)-YEAR(Inputs!$B$5))*12+MONTH(H114)-MONTH(Inputs!$B$5)+2),"")</f>
        <v>2</v>
      </c>
      <c r="N114" s="2" t="str">
        <f aca="false">IF(K114=0,IF(I114="Yes",COUNTIFS(K$2:K114,0,I$2:I114,"Yes")-1,COUNTIFS(K$2:K$121,0,I$2:I$121,"Yes")+COUNTIFS(K$2:K114,0,I$2:I114,"&lt;&gt;Yes")-1),"")</f>
        <v/>
      </c>
      <c r="O114" s="2" t="str">
        <f aca="false">IF(K114=0,INT(N114/Inputs!$B$17)+1,"")</f>
        <v/>
      </c>
      <c r="P114" s="2" t="n">
        <f aca="false">IF(K114=1,1,O114)</f>
        <v>1</v>
      </c>
      <c r="Q114" s="2" t="n">
        <f aca="false">IF(K114=1,M114,O114+12)</f>
        <v>2</v>
      </c>
      <c r="R114" s="11" t="str">
        <f aca="false">IF(K114=0,IF(AND(I114="Yes",J114&lt;&gt;""),J114,E114*(1+Inputs!$B$7)^(INT((O114-1)/12))),"")</f>
        <v/>
      </c>
    </row>
    <row r="115" customFormat="false" ht="15" hidden="false" customHeight="false" outlineLevel="0" collapsed="false">
      <c r="A115" s="21" t="n">
        <v>424</v>
      </c>
      <c r="B115" s="21" t="s">
        <v>127</v>
      </c>
      <c r="C115" s="21" t="n">
        <v>960</v>
      </c>
      <c r="D115" s="21" t="s">
        <v>123</v>
      </c>
      <c r="E115" s="8" t="n">
        <v>1850</v>
      </c>
      <c r="F115" s="8" t="n">
        <v>1835</v>
      </c>
      <c r="G115" s="8" t="n">
        <v>85</v>
      </c>
      <c r="H115" s="4" t="n">
        <v>46477</v>
      </c>
      <c r="I115" s="21"/>
      <c r="J115" s="8"/>
      <c r="K115" s="2" t="n">
        <f aca="false">IF(D115="Occupied",1,0)</f>
        <v>1</v>
      </c>
      <c r="L115" s="2" t="n">
        <f aca="false">IF(AND(K115=1,I115="Yes"),1,0)</f>
        <v>0</v>
      </c>
      <c r="M115" s="2" t="n">
        <f aca="false">IF(K115=1,IF(OR(H115="",H115&lt;Inputs!$B$5),1,(YEAR(H115)-YEAR(Inputs!$B$5))*12+MONTH(H115)-MONTH(Inputs!$B$5)+2),"")</f>
        <v>6</v>
      </c>
      <c r="N115" s="2" t="str">
        <f aca="false">IF(K115=0,IF(I115="Yes",COUNTIFS(K$2:K115,0,I$2:I115,"Yes")-1,COUNTIFS(K$2:K$121,0,I$2:I$121,"Yes")+COUNTIFS(K$2:K115,0,I$2:I115,"&lt;&gt;Yes")-1),"")</f>
        <v/>
      </c>
      <c r="O115" s="2" t="str">
        <f aca="false">IF(K115=0,INT(N115/Inputs!$B$17)+1,"")</f>
        <v/>
      </c>
      <c r="P115" s="2" t="n">
        <f aca="false">IF(K115=1,1,O115)</f>
        <v>1</v>
      </c>
      <c r="Q115" s="2" t="n">
        <f aca="false">IF(K115=1,M115,O115+12)</f>
        <v>6</v>
      </c>
      <c r="R115" s="11" t="str">
        <f aca="false">IF(K115=0,IF(AND(I115="Yes",J115&lt;&gt;""),J115,E115*(1+Inputs!$B$7)^(INT((O115-1)/12))),"")</f>
        <v/>
      </c>
    </row>
    <row r="116" customFormat="false" ht="15" hidden="false" customHeight="false" outlineLevel="0" collapsed="false">
      <c r="A116" s="21" t="n">
        <v>425</v>
      </c>
      <c r="B116" s="21" t="s">
        <v>127</v>
      </c>
      <c r="C116" s="21" t="n">
        <v>960</v>
      </c>
      <c r="D116" s="21" t="s">
        <v>123</v>
      </c>
      <c r="E116" s="8" t="n">
        <v>1850</v>
      </c>
      <c r="F116" s="8" t="n">
        <v>1720</v>
      </c>
      <c r="G116" s="8" t="n">
        <v>12</v>
      </c>
      <c r="H116" s="4" t="n">
        <v>46446</v>
      </c>
      <c r="I116" s="21"/>
      <c r="J116" s="8"/>
      <c r="K116" s="2" t="n">
        <f aca="false">IF(D116="Occupied",1,0)</f>
        <v>1</v>
      </c>
      <c r="L116" s="2" t="n">
        <f aca="false">IF(AND(K116=1,I116="Yes"),1,0)</f>
        <v>0</v>
      </c>
      <c r="M116" s="2" t="n">
        <f aca="false">IF(K116=1,IF(OR(H116="",H116&lt;Inputs!$B$5),1,(YEAR(H116)-YEAR(Inputs!$B$5))*12+MONTH(H116)-MONTH(Inputs!$B$5)+2),"")</f>
        <v>5</v>
      </c>
      <c r="N116" s="2" t="str">
        <f aca="false">IF(K116=0,IF(I116="Yes",COUNTIFS(K$2:K116,0,I$2:I116,"Yes")-1,COUNTIFS(K$2:K$121,0,I$2:I$121,"Yes")+COUNTIFS(K$2:K116,0,I$2:I116,"&lt;&gt;Yes")-1),"")</f>
        <v/>
      </c>
      <c r="O116" s="2" t="str">
        <f aca="false">IF(K116=0,INT(N116/Inputs!$B$17)+1,"")</f>
        <v/>
      </c>
      <c r="P116" s="2" t="n">
        <f aca="false">IF(K116=1,1,O116)</f>
        <v>1</v>
      </c>
      <c r="Q116" s="2" t="n">
        <f aca="false">IF(K116=1,M116,O116+12)</f>
        <v>5</v>
      </c>
      <c r="R116" s="11" t="str">
        <f aca="false">IF(K116=0,IF(AND(I116="Yes",J116&lt;&gt;""),J116,E116*(1+Inputs!$B$7)^(INT((O116-1)/12))),"")</f>
        <v/>
      </c>
    </row>
    <row r="117" customFormat="false" ht="15" hidden="false" customHeight="false" outlineLevel="0" collapsed="false">
      <c r="A117" s="21" t="n">
        <v>426</v>
      </c>
      <c r="B117" s="21" t="s">
        <v>127</v>
      </c>
      <c r="C117" s="21" t="n">
        <v>960</v>
      </c>
      <c r="D117" s="21" t="s">
        <v>123</v>
      </c>
      <c r="E117" s="8" t="n">
        <v>1850</v>
      </c>
      <c r="F117" s="8" t="n">
        <v>1870</v>
      </c>
      <c r="G117" s="8" t="n">
        <v>50</v>
      </c>
      <c r="H117" s="4" t="n">
        <v>46387</v>
      </c>
      <c r="I117" s="21"/>
      <c r="J117" s="8"/>
      <c r="K117" s="2" t="n">
        <f aca="false">IF(D117="Occupied",1,0)</f>
        <v>1</v>
      </c>
      <c r="L117" s="2" t="n">
        <f aca="false">IF(AND(K117=1,I117="Yes"),1,0)</f>
        <v>0</v>
      </c>
      <c r="M117" s="2" t="n">
        <f aca="false">IF(K117=1,IF(OR(H117="",H117&lt;Inputs!$B$5),1,(YEAR(H117)-YEAR(Inputs!$B$5))*12+MONTH(H117)-MONTH(Inputs!$B$5)+2),"")</f>
        <v>3</v>
      </c>
      <c r="N117" s="2" t="str">
        <f aca="false">IF(K117=0,IF(I117="Yes",COUNTIFS(K$2:K117,0,I$2:I117,"Yes")-1,COUNTIFS(K$2:K$121,0,I$2:I$121,"Yes")+COUNTIFS(K$2:K117,0,I$2:I117,"&lt;&gt;Yes")-1),"")</f>
        <v/>
      </c>
      <c r="O117" s="2" t="str">
        <f aca="false">IF(K117=0,INT(N117/Inputs!$B$17)+1,"")</f>
        <v/>
      </c>
      <c r="P117" s="2" t="n">
        <f aca="false">IF(K117=1,1,O117)</f>
        <v>1</v>
      </c>
      <c r="Q117" s="2" t="n">
        <f aca="false">IF(K117=1,M117,O117+12)</f>
        <v>3</v>
      </c>
      <c r="R117" s="11" t="str">
        <f aca="false">IF(K117=0,IF(AND(I117="Yes",J117&lt;&gt;""),J117,E117*(1+Inputs!$B$7)^(INT((O117-1)/12))),"")</f>
        <v/>
      </c>
    </row>
    <row r="118" customFormat="false" ht="15" hidden="false" customHeight="false" outlineLevel="0" collapsed="false">
      <c r="A118" s="21" t="n">
        <v>427</v>
      </c>
      <c r="B118" s="21" t="s">
        <v>127</v>
      </c>
      <c r="C118" s="21" t="n">
        <v>960</v>
      </c>
      <c r="D118" s="21" t="s">
        <v>124</v>
      </c>
      <c r="E118" s="8" t="n">
        <v>1850</v>
      </c>
      <c r="F118" s="8" t="n">
        <v>0</v>
      </c>
      <c r="G118" s="8" t="n">
        <v>0</v>
      </c>
      <c r="H118" s="4"/>
      <c r="I118" s="21" t="s">
        <v>126</v>
      </c>
      <c r="J118" s="8"/>
      <c r="K118" s="2" t="n">
        <f aca="false">IF(D118="Occupied",1,0)</f>
        <v>0</v>
      </c>
      <c r="L118" s="2" t="n">
        <f aca="false">IF(AND(K118=1,I118="Yes"),1,0)</f>
        <v>0</v>
      </c>
      <c r="M118" s="2" t="str">
        <f aca="false">IF(K118=1,IF(OR(H118="",H118&lt;Inputs!$B$5),1,(YEAR(H118)-YEAR(Inputs!$B$5))*12+MONTH(H118)-MONTH(Inputs!$B$5)+2),"")</f>
        <v/>
      </c>
      <c r="N118" s="2" t="n">
        <f aca="false">IF(K118=0,IF(I118="Yes",COUNTIFS(K$2:K118,0,I$2:I118,"Yes")-1,COUNTIFS(K$2:K$121,0,I$2:I$121,"Yes")+COUNTIFS(K$2:K118,0,I$2:I118,"&lt;&gt;Yes")-1),"")</f>
        <v>2</v>
      </c>
      <c r="O118" s="2" t="n">
        <f aca="false">IF(K118=0,INT(N118/Inputs!$B$17)+1,"")</f>
        <v>1</v>
      </c>
      <c r="P118" s="2" t="n">
        <f aca="false">IF(K118=1,1,O118)</f>
        <v>1</v>
      </c>
      <c r="Q118" s="2" t="n">
        <f aca="false">IF(K118=1,M118,O118+12)</f>
        <v>13</v>
      </c>
      <c r="R118" s="11" t="n">
        <f aca="false">IF(K118=0,IF(AND(I118="Yes",J118&lt;&gt;""),J118,E118*(1+Inputs!$B$7)^(INT((O118-1)/12))),"")</f>
        <v>1850</v>
      </c>
    </row>
    <row r="119" customFormat="false" ht="15" hidden="false" customHeight="false" outlineLevel="0" collapsed="false">
      <c r="A119" s="21" t="n">
        <v>428</v>
      </c>
      <c r="B119" s="21" t="s">
        <v>128</v>
      </c>
      <c r="C119" s="21" t="n">
        <v>1180</v>
      </c>
      <c r="D119" s="21" t="s">
        <v>123</v>
      </c>
      <c r="E119" s="8" t="n">
        <v>2240</v>
      </c>
      <c r="F119" s="8" t="n">
        <v>2230</v>
      </c>
      <c r="G119" s="8" t="n">
        <v>52</v>
      </c>
      <c r="H119" s="4" t="n">
        <v>46507</v>
      </c>
      <c r="I119" s="21"/>
      <c r="J119" s="8"/>
      <c r="K119" s="2" t="n">
        <f aca="false">IF(D119="Occupied",1,0)</f>
        <v>1</v>
      </c>
      <c r="L119" s="2" t="n">
        <f aca="false">IF(AND(K119=1,I119="Yes"),1,0)</f>
        <v>0</v>
      </c>
      <c r="M119" s="2" t="n">
        <f aca="false">IF(K119=1,IF(OR(H119="",H119&lt;Inputs!$B$5),1,(YEAR(H119)-YEAR(Inputs!$B$5))*12+MONTH(H119)-MONTH(Inputs!$B$5)+2),"")</f>
        <v>7</v>
      </c>
      <c r="N119" s="2" t="str">
        <f aca="false">IF(K119=0,IF(I119="Yes",COUNTIFS(K$2:K119,0,I$2:I119,"Yes")-1,COUNTIFS(K$2:K$121,0,I$2:I$121,"Yes")+COUNTIFS(K$2:K119,0,I$2:I119,"&lt;&gt;Yes")-1),"")</f>
        <v/>
      </c>
      <c r="O119" s="2" t="str">
        <f aca="false">IF(K119=0,INT(N119/Inputs!$B$17)+1,"")</f>
        <v/>
      </c>
      <c r="P119" s="2" t="n">
        <f aca="false">IF(K119=1,1,O119)</f>
        <v>1</v>
      </c>
      <c r="Q119" s="2" t="n">
        <f aca="false">IF(K119=1,M119,O119+12)</f>
        <v>7</v>
      </c>
      <c r="R119" s="11" t="str">
        <f aca="false">IF(K119=0,IF(AND(I119="Yes",J119&lt;&gt;""),J119,E119*(1+Inputs!$B$7)^(INT((O119-1)/12))),"")</f>
        <v/>
      </c>
    </row>
    <row r="120" customFormat="false" ht="15" hidden="false" customHeight="false" outlineLevel="0" collapsed="false">
      <c r="A120" s="21" t="n">
        <v>429</v>
      </c>
      <c r="B120" s="21" t="s">
        <v>128</v>
      </c>
      <c r="C120" s="21" t="n">
        <v>1180</v>
      </c>
      <c r="D120" s="21" t="s">
        <v>123</v>
      </c>
      <c r="E120" s="8" t="n">
        <v>2240</v>
      </c>
      <c r="F120" s="8" t="n">
        <v>2190</v>
      </c>
      <c r="G120" s="8" t="n">
        <v>0</v>
      </c>
      <c r="H120" s="4" t="n">
        <v>46326</v>
      </c>
      <c r="I120" s="21"/>
      <c r="J120" s="8"/>
      <c r="K120" s="2" t="n">
        <f aca="false">IF(D120="Occupied",1,0)</f>
        <v>1</v>
      </c>
      <c r="L120" s="2" t="n">
        <f aca="false">IF(AND(K120=1,I120="Yes"),1,0)</f>
        <v>0</v>
      </c>
      <c r="M120" s="2" t="n">
        <f aca="false">IF(K120=1,IF(OR(H120="",H120&lt;Inputs!$B$5),1,(YEAR(H120)-YEAR(Inputs!$B$5))*12+MONTH(H120)-MONTH(Inputs!$B$5)+2),"")</f>
        <v>1</v>
      </c>
      <c r="N120" s="2" t="str">
        <f aca="false">IF(K120=0,IF(I120="Yes",COUNTIFS(K$2:K120,0,I$2:I120,"Yes")-1,COUNTIFS(K$2:K$121,0,I$2:I$121,"Yes")+COUNTIFS(K$2:K120,0,I$2:I120,"&lt;&gt;Yes")-1),"")</f>
        <v/>
      </c>
      <c r="O120" s="2" t="str">
        <f aca="false">IF(K120=0,INT(N120/Inputs!$B$17)+1,"")</f>
        <v/>
      </c>
      <c r="P120" s="2" t="n">
        <f aca="false">IF(K120=1,1,O120)</f>
        <v>1</v>
      </c>
      <c r="Q120" s="2" t="n">
        <f aca="false">IF(K120=1,M120,O120+12)</f>
        <v>1</v>
      </c>
      <c r="R120" s="11" t="str">
        <f aca="false">IF(K120=0,IF(AND(I120="Yes",J120&lt;&gt;""),J120,E120*(1+Inputs!$B$7)^(INT((O120-1)/12))),"")</f>
        <v/>
      </c>
    </row>
    <row r="121" customFormat="false" ht="15" hidden="false" customHeight="false" outlineLevel="0" collapsed="false">
      <c r="A121" s="21" t="n">
        <v>430</v>
      </c>
      <c r="B121" s="21" t="s">
        <v>128</v>
      </c>
      <c r="C121" s="21" t="n">
        <v>1180</v>
      </c>
      <c r="D121" s="21" t="s">
        <v>123</v>
      </c>
      <c r="E121" s="8" t="n">
        <v>2240</v>
      </c>
      <c r="F121" s="8" t="n">
        <v>2325</v>
      </c>
      <c r="G121" s="8" t="n">
        <v>0</v>
      </c>
      <c r="H121" s="4" t="n">
        <v>46599</v>
      </c>
      <c r="I121" s="21"/>
      <c r="J121" s="8"/>
      <c r="K121" s="2" t="n">
        <f aca="false">IF(D121="Occupied",1,0)</f>
        <v>1</v>
      </c>
      <c r="L121" s="2" t="n">
        <f aca="false">IF(AND(K121=1,I121="Yes"),1,0)</f>
        <v>0</v>
      </c>
      <c r="M121" s="2" t="n">
        <f aca="false">IF(K121=1,IF(OR(H121="",H121&lt;Inputs!$B$5),1,(YEAR(H121)-YEAR(Inputs!$B$5))*12+MONTH(H121)-MONTH(Inputs!$B$5)+2),"")</f>
        <v>10</v>
      </c>
      <c r="N121" s="2" t="str">
        <f aca="false">IF(K121=0,IF(I121="Yes",COUNTIFS(K$2:K121,0,I$2:I121,"Yes")-1,COUNTIFS(K$2:K$121,0,I$2:I$121,"Yes")+COUNTIFS(K$2:K121,0,I$2:I121,"&lt;&gt;Yes")-1),"")</f>
        <v/>
      </c>
      <c r="O121" s="2" t="str">
        <f aca="false">IF(K121=0,INT(N121/Inputs!$B$17)+1,"")</f>
        <v/>
      </c>
      <c r="P121" s="2" t="n">
        <f aca="false">IF(K121=1,1,O121)</f>
        <v>1</v>
      </c>
      <c r="Q121" s="2" t="n">
        <f aca="false">IF(K121=1,M121,O121+12)</f>
        <v>10</v>
      </c>
      <c r="R121" s="11" t="str">
        <f aca="false">IF(K121=0,IF(AND(I121="Yes",J121&lt;&gt;""),J121,E121*(1+Inputs!$B$7)^(INT((O121-1)/12))),"")</f>
        <v/>
      </c>
    </row>
    <row r="123" customFormat="false" ht="15" hidden="false" customHeight="false" outlineLevel="0" collapsed="false">
      <c r="A123" s="14" t="s">
        <v>129</v>
      </c>
      <c r="C123" s="14" t="n">
        <f aca="false">SUM(C2:C121)</f>
        <v>95040</v>
      </c>
      <c r="F123" s="18" t="n">
        <f aca="false">SUMIF(D2:D121,"Occupied",F2:F121)</f>
        <v>172310</v>
      </c>
      <c r="G123" s="18" t="n">
        <f aca="false">SUM(G2:G121)</f>
        <v>3262</v>
      </c>
      <c r="K123" s="14" t="n">
        <f aca="false">SUM(K2:K121)</f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D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</cols>
  <sheetData>
    <row r="1" customFormat="false" ht="15" hidden="false" customHeight="false" outlineLevel="0" collapsed="false">
      <c r="A1" s="14" t="s">
        <v>130</v>
      </c>
      <c r="B1" s="14" t="s">
        <v>108</v>
      </c>
      <c r="C1" s="14" t="n">
        <v>1</v>
      </c>
      <c r="D1" s="14" t="n">
        <v>2</v>
      </c>
      <c r="E1" s="14" t="n">
        <v>3</v>
      </c>
      <c r="F1" s="14" t="n">
        <v>4</v>
      </c>
      <c r="G1" s="14" t="n">
        <v>5</v>
      </c>
      <c r="H1" s="14" t="n">
        <v>6</v>
      </c>
      <c r="I1" s="14" t="n">
        <v>7</v>
      </c>
      <c r="J1" s="14" t="n">
        <v>8</v>
      </c>
      <c r="K1" s="14" t="n">
        <v>9</v>
      </c>
      <c r="L1" s="14" t="n">
        <v>10</v>
      </c>
      <c r="M1" s="14" t="n">
        <v>11</v>
      </c>
      <c r="N1" s="14" t="n">
        <v>12</v>
      </c>
      <c r="O1" s="14" t="n">
        <v>13</v>
      </c>
      <c r="P1" s="14" t="n">
        <v>14</v>
      </c>
      <c r="Q1" s="14" t="n">
        <v>15</v>
      </c>
      <c r="R1" s="14" t="n">
        <v>16</v>
      </c>
      <c r="S1" s="14" t="n">
        <v>17</v>
      </c>
      <c r="T1" s="14" t="n">
        <v>18</v>
      </c>
      <c r="U1" s="14" t="n">
        <v>19</v>
      </c>
      <c r="V1" s="14" t="n">
        <v>20</v>
      </c>
      <c r="W1" s="14" t="n">
        <v>21</v>
      </c>
      <c r="X1" s="14" t="n">
        <v>22</v>
      </c>
      <c r="Y1" s="14" t="n">
        <v>23</v>
      </c>
      <c r="Z1" s="14" t="n">
        <v>24</v>
      </c>
      <c r="AA1" s="14" t="n">
        <v>25</v>
      </c>
      <c r="AB1" s="14" t="n">
        <v>26</v>
      </c>
      <c r="AC1" s="14" t="n">
        <v>27</v>
      </c>
      <c r="AD1" s="14" t="n">
        <v>28</v>
      </c>
      <c r="AE1" s="14" t="n">
        <v>29</v>
      </c>
      <c r="AF1" s="14" t="n">
        <v>30</v>
      </c>
      <c r="AG1" s="14" t="n">
        <v>31</v>
      </c>
      <c r="AH1" s="14" t="n">
        <v>32</v>
      </c>
      <c r="AI1" s="14" t="n">
        <v>33</v>
      </c>
      <c r="AJ1" s="14" t="n">
        <v>34</v>
      </c>
      <c r="AK1" s="14" t="n">
        <v>35</v>
      </c>
      <c r="AL1" s="14" t="n">
        <v>36</v>
      </c>
      <c r="AM1" s="14" t="n">
        <v>37</v>
      </c>
      <c r="AN1" s="14" t="n">
        <v>38</v>
      </c>
      <c r="AO1" s="14" t="n">
        <v>39</v>
      </c>
      <c r="AP1" s="14" t="n">
        <v>40</v>
      </c>
      <c r="AQ1" s="14" t="n">
        <v>41</v>
      </c>
      <c r="AR1" s="14" t="n">
        <v>42</v>
      </c>
      <c r="AS1" s="14" t="n">
        <v>43</v>
      </c>
      <c r="AT1" s="14" t="n">
        <v>44</v>
      </c>
      <c r="AU1" s="14" t="n">
        <v>45</v>
      </c>
      <c r="AV1" s="14" t="n">
        <v>46</v>
      </c>
      <c r="AW1" s="14" t="n">
        <v>47</v>
      </c>
      <c r="AX1" s="14" t="n">
        <v>48</v>
      </c>
      <c r="AY1" s="14" t="n">
        <v>49</v>
      </c>
      <c r="AZ1" s="14" t="n">
        <v>50</v>
      </c>
      <c r="BA1" s="14" t="n">
        <v>51</v>
      </c>
      <c r="BB1" s="14" t="n">
        <v>52</v>
      </c>
      <c r="BC1" s="14" t="n">
        <v>53</v>
      </c>
      <c r="BD1" s="14" t="n">
        <v>54</v>
      </c>
      <c r="BE1" s="14" t="n">
        <v>55</v>
      </c>
      <c r="BF1" s="14" t="n">
        <v>56</v>
      </c>
      <c r="BG1" s="14" t="n">
        <v>57</v>
      </c>
      <c r="BH1" s="14" t="n">
        <v>58</v>
      </c>
      <c r="BI1" s="14" t="n">
        <v>59</v>
      </c>
      <c r="BJ1" s="14" t="n">
        <v>60</v>
      </c>
      <c r="BK1" s="14" t="n">
        <v>61</v>
      </c>
      <c r="BL1" s="14" t="n">
        <v>62</v>
      </c>
      <c r="BM1" s="14" t="n">
        <v>63</v>
      </c>
      <c r="BN1" s="14" t="n">
        <v>64</v>
      </c>
      <c r="BO1" s="14" t="n">
        <v>65</v>
      </c>
      <c r="BP1" s="14" t="n">
        <v>66</v>
      </c>
      <c r="BQ1" s="14" t="n">
        <v>67</v>
      </c>
      <c r="BR1" s="14" t="n">
        <v>68</v>
      </c>
      <c r="BS1" s="14" t="n">
        <v>69</v>
      </c>
      <c r="BT1" s="14" t="n">
        <v>70</v>
      </c>
      <c r="BU1" s="14" t="n">
        <v>71</v>
      </c>
      <c r="BV1" s="14" t="n">
        <v>72</v>
      </c>
      <c r="BW1" s="14" t="n">
        <v>73</v>
      </c>
      <c r="BX1" s="14" t="n">
        <v>74</v>
      </c>
      <c r="BY1" s="14" t="n">
        <v>75</v>
      </c>
      <c r="BZ1" s="14" t="n">
        <v>76</v>
      </c>
      <c r="CA1" s="14" t="n">
        <v>77</v>
      </c>
      <c r="CB1" s="14" t="n">
        <v>78</v>
      </c>
      <c r="CC1" s="14" t="n">
        <v>79</v>
      </c>
      <c r="CD1" s="14" t="n">
        <v>80</v>
      </c>
      <c r="CE1" s="14" t="n">
        <v>81</v>
      </c>
      <c r="CF1" s="14" t="n">
        <v>82</v>
      </c>
      <c r="CG1" s="14" t="n">
        <v>83</v>
      </c>
      <c r="CH1" s="14" t="n">
        <v>84</v>
      </c>
      <c r="CI1" s="14" t="n">
        <v>85</v>
      </c>
      <c r="CJ1" s="14" t="n">
        <v>86</v>
      </c>
      <c r="CK1" s="14" t="n">
        <v>87</v>
      </c>
      <c r="CL1" s="14" t="n">
        <v>88</v>
      </c>
      <c r="CM1" s="14" t="n">
        <v>89</v>
      </c>
      <c r="CN1" s="14" t="n">
        <v>90</v>
      </c>
      <c r="CO1" s="14" t="n">
        <v>91</v>
      </c>
      <c r="CP1" s="14" t="n">
        <v>92</v>
      </c>
      <c r="CQ1" s="14" t="n">
        <v>93</v>
      </c>
      <c r="CR1" s="14" t="n">
        <v>94</v>
      </c>
      <c r="CS1" s="14" t="n">
        <v>95</v>
      </c>
      <c r="CT1" s="14" t="n">
        <v>96</v>
      </c>
      <c r="CU1" s="14" t="n">
        <v>97</v>
      </c>
      <c r="CV1" s="14" t="n">
        <v>98</v>
      </c>
      <c r="CW1" s="14" t="n">
        <v>99</v>
      </c>
      <c r="CX1" s="14" t="n">
        <v>100</v>
      </c>
      <c r="CY1" s="14" t="n">
        <v>101</v>
      </c>
      <c r="CZ1" s="14" t="n">
        <v>102</v>
      </c>
      <c r="DA1" s="14" t="n">
        <v>103</v>
      </c>
      <c r="DB1" s="14" t="n">
        <v>104</v>
      </c>
      <c r="DC1" s="14" t="n">
        <v>105</v>
      </c>
      <c r="DD1" s="14" t="n">
        <v>106</v>
      </c>
      <c r="DE1" s="14" t="n">
        <v>107</v>
      </c>
      <c r="DF1" s="14" t="n">
        <v>108</v>
      </c>
      <c r="DG1" s="14" t="n">
        <v>109</v>
      </c>
      <c r="DH1" s="14" t="n">
        <v>110</v>
      </c>
      <c r="DI1" s="14" t="n">
        <v>111</v>
      </c>
      <c r="DJ1" s="14" t="n">
        <v>112</v>
      </c>
      <c r="DK1" s="14" t="n">
        <v>113</v>
      </c>
      <c r="DL1" s="14" t="n">
        <v>114</v>
      </c>
      <c r="DM1" s="14" t="n">
        <v>115</v>
      </c>
      <c r="DN1" s="14" t="n">
        <v>116</v>
      </c>
      <c r="DO1" s="14" t="n">
        <v>117</v>
      </c>
      <c r="DP1" s="14" t="n">
        <v>118</v>
      </c>
      <c r="DQ1" s="14" t="n">
        <v>119</v>
      </c>
      <c r="DR1" s="14" t="n">
        <v>120</v>
      </c>
      <c r="DS1" s="14" t="n">
        <v>121</v>
      </c>
      <c r="DT1" s="14" t="n">
        <v>122</v>
      </c>
      <c r="DU1" s="14" t="n">
        <v>123</v>
      </c>
      <c r="DV1" s="14" t="n">
        <v>124</v>
      </c>
      <c r="DW1" s="14" t="n">
        <v>125</v>
      </c>
      <c r="DX1" s="14" t="n">
        <v>126</v>
      </c>
      <c r="DY1" s="14" t="n">
        <v>127</v>
      </c>
      <c r="DZ1" s="14" t="n">
        <v>128</v>
      </c>
      <c r="EA1" s="14" t="n">
        <v>129</v>
      </c>
      <c r="EB1" s="14" t="n">
        <v>130</v>
      </c>
      <c r="EC1" s="14" t="n">
        <v>131</v>
      </c>
      <c r="ED1" s="14" t="n">
        <v>132</v>
      </c>
    </row>
    <row r="2" customFormat="false" ht="15" hidden="false" customHeight="false" outlineLevel="0" collapsed="false">
      <c r="A2" s="14" t="s">
        <v>54</v>
      </c>
      <c r="C2" s="2" t="n">
        <f aca="false">ROUNDUP(C1/12,0)</f>
        <v>1</v>
      </c>
      <c r="D2" s="2" t="n">
        <f aca="false">ROUNDUP(D1/12,0)</f>
        <v>1</v>
      </c>
      <c r="E2" s="2" t="n">
        <f aca="false">ROUNDUP(E1/12,0)</f>
        <v>1</v>
      </c>
      <c r="F2" s="2" t="n">
        <f aca="false">ROUNDUP(F1/12,0)</f>
        <v>1</v>
      </c>
      <c r="G2" s="2" t="n">
        <f aca="false">ROUNDUP(G1/12,0)</f>
        <v>1</v>
      </c>
      <c r="H2" s="2" t="n">
        <f aca="false">ROUNDUP(H1/12,0)</f>
        <v>1</v>
      </c>
      <c r="I2" s="2" t="n">
        <f aca="false">ROUNDUP(I1/12,0)</f>
        <v>1</v>
      </c>
      <c r="J2" s="2" t="n">
        <f aca="false">ROUNDUP(J1/12,0)</f>
        <v>1</v>
      </c>
      <c r="K2" s="2" t="n">
        <f aca="false">ROUNDUP(K1/12,0)</f>
        <v>1</v>
      </c>
      <c r="L2" s="2" t="n">
        <f aca="false">ROUNDUP(L1/12,0)</f>
        <v>1</v>
      </c>
      <c r="M2" s="2" t="n">
        <f aca="false">ROUNDUP(M1/12,0)</f>
        <v>1</v>
      </c>
      <c r="N2" s="2" t="n">
        <f aca="false">ROUNDUP(N1/12,0)</f>
        <v>1</v>
      </c>
      <c r="O2" s="2" t="n">
        <f aca="false">ROUNDUP(O1/12,0)</f>
        <v>2</v>
      </c>
      <c r="P2" s="2" t="n">
        <f aca="false">ROUNDUP(P1/12,0)</f>
        <v>2</v>
      </c>
      <c r="Q2" s="2" t="n">
        <f aca="false">ROUNDUP(Q1/12,0)</f>
        <v>2</v>
      </c>
      <c r="R2" s="2" t="n">
        <f aca="false">ROUNDUP(R1/12,0)</f>
        <v>2</v>
      </c>
      <c r="S2" s="2" t="n">
        <f aca="false">ROUNDUP(S1/12,0)</f>
        <v>2</v>
      </c>
      <c r="T2" s="2" t="n">
        <f aca="false">ROUNDUP(T1/12,0)</f>
        <v>2</v>
      </c>
      <c r="U2" s="2" t="n">
        <f aca="false">ROUNDUP(U1/12,0)</f>
        <v>2</v>
      </c>
      <c r="V2" s="2" t="n">
        <f aca="false">ROUNDUP(V1/12,0)</f>
        <v>2</v>
      </c>
      <c r="W2" s="2" t="n">
        <f aca="false">ROUNDUP(W1/12,0)</f>
        <v>2</v>
      </c>
      <c r="X2" s="2" t="n">
        <f aca="false">ROUNDUP(X1/12,0)</f>
        <v>2</v>
      </c>
      <c r="Y2" s="2" t="n">
        <f aca="false">ROUNDUP(Y1/12,0)</f>
        <v>2</v>
      </c>
      <c r="Z2" s="2" t="n">
        <f aca="false">ROUNDUP(Z1/12,0)</f>
        <v>2</v>
      </c>
      <c r="AA2" s="2" t="n">
        <f aca="false">ROUNDUP(AA1/12,0)</f>
        <v>3</v>
      </c>
      <c r="AB2" s="2" t="n">
        <f aca="false">ROUNDUP(AB1/12,0)</f>
        <v>3</v>
      </c>
      <c r="AC2" s="2" t="n">
        <f aca="false">ROUNDUP(AC1/12,0)</f>
        <v>3</v>
      </c>
      <c r="AD2" s="2" t="n">
        <f aca="false">ROUNDUP(AD1/12,0)</f>
        <v>3</v>
      </c>
      <c r="AE2" s="2" t="n">
        <f aca="false">ROUNDUP(AE1/12,0)</f>
        <v>3</v>
      </c>
      <c r="AF2" s="2" t="n">
        <f aca="false">ROUNDUP(AF1/12,0)</f>
        <v>3</v>
      </c>
      <c r="AG2" s="2" t="n">
        <f aca="false">ROUNDUP(AG1/12,0)</f>
        <v>3</v>
      </c>
      <c r="AH2" s="2" t="n">
        <f aca="false">ROUNDUP(AH1/12,0)</f>
        <v>3</v>
      </c>
      <c r="AI2" s="2" t="n">
        <f aca="false">ROUNDUP(AI1/12,0)</f>
        <v>3</v>
      </c>
      <c r="AJ2" s="2" t="n">
        <f aca="false">ROUNDUP(AJ1/12,0)</f>
        <v>3</v>
      </c>
      <c r="AK2" s="2" t="n">
        <f aca="false">ROUNDUP(AK1/12,0)</f>
        <v>3</v>
      </c>
      <c r="AL2" s="2" t="n">
        <f aca="false">ROUNDUP(AL1/12,0)</f>
        <v>3</v>
      </c>
      <c r="AM2" s="2" t="n">
        <f aca="false">ROUNDUP(AM1/12,0)</f>
        <v>4</v>
      </c>
      <c r="AN2" s="2" t="n">
        <f aca="false">ROUNDUP(AN1/12,0)</f>
        <v>4</v>
      </c>
      <c r="AO2" s="2" t="n">
        <f aca="false">ROUNDUP(AO1/12,0)</f>
        <v>4</v>
      </c>
      <c r="AP2" s="2" t="n">
        <f aca="false">ROUNDUP(AP1/12,0)</f>
        <v>4</v>
      </c>
      <c r="AQ2" s="2" t="n">
        <f aca="false">ROUNDUP(AQ1/12,0)</f>
        <v>4</v>
      </c>
      <c r="AR2" s="2" t="n">
        <f aca="false">ROUNDUP(AR1/12,0)</f>
        <v>4</v>
      </c>
      <c r="AS2" s="2" t="n">
        <f aca="false">ROUNDUP(AS1/12,0)</f>
        <v>4</v>
      </c>
      <c r="AT2" s="2" t="n">
        <f aca="false">ROUNDUP(AT1/12,0)</f>
        <v>4</v>
      </c>
      <c r="AU2" s="2" t="n">
        <f aca="false">ROUNDUP(AU1/12,0)</f>
        <v>4</v>
      </c>
      <c r="AV2" s="2" t="n">
        <f aca="false">ROUNDUP(AV1/12,0)</f>
        <v>4</v>
      </c>
      <c r="AW2" s="2" t="n">
        <f aca="false">ROUNDUP(AW1/12,0)</f>
        <v>4</v>
      </c>
      <c r="AX2" s="2" t="n">
        <f aca="false">ROUNDUP(AX1/12,0)</f>
        <v>4</v>
      </c>
      <c r="AY2" s="2" t="n">
        <f aca="false">ROUNDUP(AY1/12,0)</f>
        <v>5</v>
      </c>
      <c r="AZ2" s="2" t="n">
        <f aca="false">ROUNDUP(AZ1/12,0)</f>
        <v>5</v>
      </c>
      <c r="BA2" s="2" t="n">
        <f aca="false">ROUNDUP(BA1/12,0)</f>
        <v>5</v>
      </c>
      <c r="BB2" s="2" t="n">
        <f aca="false">ROUNDUP(BB1/12,0)</f>
        <v>5</v>
      </c>
      <c r="BC2" s="2" t="n">
        <f aca="false">ROUNDUP(BC1/12,0)</f>
        <v>5</v>
      </c>
      <c r="BD2" s="2" t="n">
        <f aca="false">ROUNDUP(BD1/12,0)</f>
        <v>5</v>
      </c>
      <c r="BE2" s="2" t="n">
        <f aca="false">ROUNDUP(BE1/12,0)</f>
        <v>5</v>
      </c>
      <c r="BF2" s="2" t="n">
        <f aca="false">ROUNDUP(BF1/12,0)</f>
        <v>5</v>
      </c>
      <c r="BG2" s="2" t="n">
        <f aca="false">ROUNDUP(BG1/12,0)</f>
        <v>5</v>
      </c>
      <c r="BH2" s="2" t="n">
        <f aca="false">ROUNDUP(BH1/12,0)</f>
        <v>5</v>
      </c>
      <c r="BI2" s="2" t="n">
        <f aca="false">ROUNDUP(BI1/12,0)</f>
        <v>5</v>
      </c>
      <c r="BJ2" s="2" t="n">
        <f aca="false">ROUNDUP(BJ1/12,0)</f>
        <v>5</v>
      </c>
      <c r="BK2" s="2" t="n">
        <f aca="false">ROUNDUP(BK1/12,0)</f>
        <v>6</v>
      </c>
      <c r="BL2" s="2" t="n">
        <f aca="false">ROUNDUP(BL1/12,0)</f>
        <v>6</v>
      </c>
      <c r="BM2" s="2" t="n">
        <f aca="false">ROUNDUP(BM1/12,0)</f>
        <v>6</v>
      </c>
      <c r="BN2" s="2" t="n">
        <f aca="false">ROUNDUP(BN1/12,0)</f>
        <v>6</v>
      </c>
      <c r="BO2" s="2" t="n">
        <f aca="false">ROUNDUP(BO1/12,0)</f>
        <v>6</v>
      </c>
      <c r="BP2" s="2" t="n">
        <f aca="false">ROUNDUP(BP1/12,0)</f>
        <v>6</v>
      </c>
      <c r="BQ2" s="2" t="n">
        <f aca="false">ROUNDUP(BQ1/12,0)</f>
        <v>6</v>
      </c>
      <c r="BR2" s="2" t="n">
        <f aca="false">ROUNDUP(BR1/12,0)</f>
        <v>6</v>
      </c>
      <c r="BS2" s="2" t="n">
        <f aca="false">ROUNDUP(BS1/12,0)</f>
        <v>6</v>
      </c>
      <c r="BT2" s="2" t="n">
        <f aca="false">ROUNDUP(BT1/12,0)</f>
        <v>6</v>
      </c>
      <c r="BU2" s="2" t="n">
        <f aca="false">ROUNDUP(BU1/12,0)</f>
        <v>6</v>
      </c>
      <c r="BV2" s="2" t="n">
        <f aca="false">ROUNDUP(BV1/12,0)</f>
        <v>6</v>
      </c>
      <c r="BW2" s="2" t="n">
        <f aca="false">ROUNDUP(BW1/12,0)</f>
        <v>7</v>
      </c>
      <c r="BX2" s="2" t="n">
        <f aca="false">ROUNDUP(BX1/12,0)</f>
        <v>7</v>
      </c>
      <c r="BY2" s="2" t="n">
        <f aca="false">ROUNDUP(BY1/12,0)</f>
        <v>7</v>
      </c>
      <c r="BZ2" s="2" t="n">
        <f aca="false">ROUNDUP(BZ1/12,0)</f>
        <v>7</v>
      </c>
      <c r="CA2" s="2" t="n">
        <f aca="false">ROUNDUP(CA1/12,0)</f>
        <v>7</v>
      </c>
      <c r="CB2" s="2" t="n">
        <f aca="false">ROUNDUP(CB1/12,0)</f>
        <v>7</v>
      </c>
      <c r="CC2" s="2" t="n">
        <f aca="false">ROUNDUP(CC1/12,0)</f>
        <v>7</v>
      </c>
      <c r="CD2" s="2" t="n">
        <f aca="false">ROUNDUP(CD1/12,0)</f>
        <v>7</v>
      </c>
      <c r="CE2" s="2" t="n">
        <f aca="false">ROUNDUP(CE1/12,0)</f>
        <v>7</v>
      </c>
      <c r="CF2" s="2" t="n">
        <f aca="false">ROUNDUP(CF1/12,0)</f>
        <v>7</v>
      </c>
      <c r="CG2" s="2" t="n">
        <f aca="false">ROUNDUP(CG1/12,0)</f>
        <v>7</v>
      </c>
      <c r="CH2" s="2" t="n">
        <f aca="false">ROUNDUP(CH1/12,0)</f>
        <v>7</v>
      </c>
      <c r="CI2" s="2" t="n">
        <f aca="false">ROUNDUP(CI1/12,0)</f>
        <v>8</v>
      </c>
      <c r="CJ2" s="2" t="n">
        <f aca="false">ROUNDUP(CJ1/12,0)</f>
        <v>8</v>
      </c>
      <c r="CK2" s="2" t="n">
        <f aca="false">ROUNDUP(CK1/12,0)</f>
        <v>8</v>
      </c>
      <c r="CL2" s="2" t="n">
        <f aca="false">ROUNDUP(CL1/12,0)</f>
        <v>8</v>
      </c>
      <c r="CM2" s="2" t="n">
        <f aca="false">ROUNDUP(CM1/12,0)</f>
        <v>8</v>
      </c>
      <c r="CN2" s="2" t="n">
        <f aca="false">ROUNDUP(CN1/12,0)</f>
        <v>8</v>
      </c>
      <c r="CO2" s="2" t="n">
        <f aca="false">ROUNDUP(CO1/12,0)</f>
        <v>8</v>
      </c>
      <c r="CP2" s="2" t="n">
        <f aca="false">ROUNDUP(CP1/12,0)</f>
        <v>8</v>
      </c>
      <c r="CQ2" s="2" t="n">
        <f aca="false">ROUNDUP(CQ1/12,0)</f>
        <v>8</v>
      </c>
      <c r="CR2" s="2" t="n">
        <f aca="false">ROUNDUP(CR1/12,0)</f>
        <v>8</v>
      </c>
      <c r="CS2" s="2" t="n">
        <f aca="false">ROUNDUP(CS1/12,0)</f>
        <v>8</v>
      </c>
      <c r="CT2" s="2" t="n">
        <f aca="false">ROUNDUP(CT1/12,0)</f>
        <v>8</v>
      </c>
      <c r="CU2" s="2" t="n">
        <f aca="false">ROUNDUP(CU1/12,0)</f>
        <v>9</v>
      </c>
      <c r="CV2" s="2" t="n">
        <f aca="false">ROUNDUP(CV1/12,0)</f>
        <v>9</v>
      </c>
      <c r="CW2" s="2" t="n">
        <f aca="false">ROUNDUP(CW1/12,0)</f>
        <v>9</v>
      </c>
      <c r="CX2" s="2" t="n">
        <f aca="false">ROUNDUP(CX1/12,0)</f>
        <v>9</v>
      </c>
      <c r="CY2" s="2" t="n">
        <f aca="false">ROUNDUP(CY1/12,0)</f>
        <v>9</v>
      </c>
      <c r="CZ2" s="2" t="n">
        <f aca="false">ROUNDUP(CZ1/12,0)</f>
        <v>9</v>
      </c>
      <c r="DA2" s="2" t="n">
        <f aca="false">ROUNDUP(DA1/12,0)</f>
        <v>9</v>
      </c>
      <c r="DB2" s="2" t="n">
        <f aca="false">ROUNDUP(DB1/12,0)</f>
        <v>9</v>
      </c>
      <c r="DC2" s="2" t="n">
        <f aca="false">ROUNDUP(DC1/12,0)</f>
        <v>9</v>
      </c>
      <c r="DD2" s="2" t="n">
        <f aca="false">ROUNDUP(DD1/12,0)</f>
        <v>9</v>
      </c>
      <c r="DE2" s="2" t="n">
        <f aca="false">ROUNDUP(DE1/12,0)</f>
        <v>9</v>
      </c>
      <c r="DF2" s="2" t="n">
        <f aca="false">ROUNDUP(DF1/12,0)</f>
        <v>9</v>
      </c>
      <c r="DG2" s="2" t="n">
        <f aca="false">ROUNDUP(DG1/12,0)</f>
        <v>10</v>
      </c>
      <c r="DH2" s="2" t="n">
        <f aca="false">ROUNDUP(DH1/12,0)</f>
        <v>10</v>
      </c>
      <c r="DI2" s="2" t="n">
        <f aca="false">ROUNDUP(DI1/12,0)</f>
        <v>10</v>
      </c>
      <c r="DJ2" s="2" t="n">
        <f aca="false">ROUNDUP(DJ1/12,0)</f>
        <v>10</v>
      </c>
      <c r="DK2" s="2" t="n">
        <f aca="false">ROUNDUP(DK1/12,0)</f>
        <v>10</v>
      </c>
      <c r="DL2" s="2" t="n">
        <f aca="false">ROUNDUP(DL1/12,0)</f>
        <v>10</v>
      </c>
      <c r="DM2" s="2" t="n">
        <f aca="false">ROUNDUP(DM1/12,0)</f>
        <v>10</v>
      </c>
      <c r="DN2" s="2" t="n">
        <f aca="false">ROUNDUP(DN1/12,0)</f>
        <v>10</v>
      </c>
      <c r="DO2" s="2" t="n">
        <f aca="false">ROUNDUP(DO1/12,0)</f>
        <v>10</v>
      </c>
      <c r="DP2" s="2" t="n">
        <f aca="false">ROUNDUP(DP1/12,0)</f>
        <v>10</v>
      </c>
      <c r="DQ2" s="2" t="n">
        <f aca="false">ROUNDUP(DQ1/12,0)</f>
        <v>10</v>
      </c>
      <c r="DR2" s="2" t="n">
        <f aca="false">ROUNDUP(DR1/12,0)</f>
        <v>10</v>
      </c>
      <c r="DS2" s="2" t="n">
        <f aca="false">ROUNDUP(DS1/12,0)</f>
        <v>11</v>
      </c>
      <c r="DT2" s="2" t="n">
        <f aca="false">ROUNDUP(DT1/12,0)</f>
        <v>11</v>
      </c>
      <c r="DU2" s="2" t="n">
        <f aca="false">ROUNDUP(DU1/12,0)</f>
        <v>11</v>
      </c>
      <c r="DV2" s="2" t="n">
        <f aca="false">ROUNDUP(DV1/12,0)</f>
        <v>11</v>
      </c>
      <c r="DW2" s="2" t="n">
        <f aca="false">ROUNDUP(DW1/12,0)</f>
        <v>11</v>
      </c>
      <c r="DX2" s="2" t="n">
        <f aca="false">ROUNDUP(DX1/12,0)</f>
        <v>11</v>
      </c>
      <c r="DY2" s="2" t="n">
        <f aca="false">ROUNDUP(DY1/12,0)</f>
        <v>11</v>
      </c>
      <c r="DZ2" s="2" t="n">
        <f aca="false">ROUNDUP(DZ1/12,0)</f>
        <v>11</v>
      </c>
      <c r="EA2" s="2" t="n">
        <f aca="false">ROUNDUP(EA1/12,0)</f>
        <v>11</v>
      </c>
      <c r="EB2" s="2" t="n">
        <f aca="false">ROUNDUP(EB1/12,0)</f>
        <v>11</v>
      </c>
      <c r="EC2" s="2" t="n">
        <f aca="false">ROUNDUP(EC1/12,0)</f>
        <v>11</v>
      </c>
      <c r="ED2" s="2" t="n">
        <f aca="false">ROUNDUP(ED1/12,0)</f>
        <v>11</v>
      </c>
    </row>
    <row r="3" customFormat="false" ht="15" hidden="false" customHeight="false" outlineLevel="0" collapsed="false">
      <c r="A3" s="22" t="n">
        <f aca="false">Units!A2</f>
        <v>101</v>
      </c>
      <c r="B3" s="23"/>
      <c r="C3" s="11" t="n">
        <f aca="false">Units!$E2*(1+Inputs!$B$7)^(C$2-1)</f>
        <v>1525</v>
      </c>
      <c r="D3" s="11" t="n">
        <f aca="false">Units!$E2*(1+Inputs!$B$7)^(D$2-1)</f>
        <v>1525</v>
      </c>
      <c r="E3" s="11" t="n">
        <f aca="false">Units!$E2*(1+Inputs!$B$7)^(E$2-1)</f>
        <v>1525</v>
      </c>
      <c r="F3" s="11" t="n">
        <f aca="false">Units!$E2*(1+Inputs!$B$7)^(F$2-1)</f>
        <v>1525</v>
      </c>
      <c r="G3" s="11" t="n">
        <f aca="false">Units!$E2*(1+Inputs!$B$7)^(G$2-1)</f>
        <v>1525</v>
      </c>
      <c r="H3" s="11" t="n">
        <f aca="false">Units!$E2*(1+Inputs!$B$7)^(H$2-1)</f>
        <v>1525</v>
      </c>
      <c r="I3" s="11" t="n">
        <f aca="false">Units!$E2*(1+Inputs!$B$7)^(I$2-1)</f>
        <v>1525</v>
      </c>
      <c r="J3" s="11" t="n">
        <f aca="false">Units!$E2*(1+Inputs!$B$7)^(J$2-1)</f>
        <v>1525</v>
      </c>
      <c r="K3" s="11" t="n">
        <f aca="false">Units!$E2*(1+Inputs!$B$7)^(K$2-1)</f>
        <v>1525</v>
      </c>
      <c r="L3" s="11" t="n">
        <f aca="false">Units!$E2*(1+Inputs!$B$7)^(L$2-1)</f>
        <v>1525</v>
      </c>
      <c r="M3" s="11" t="n">
        <f aca="false">Units!$E2*(1+Inputs!$B$7)^(M$2-1)</f>
        <v>1525</v>
      </c>
      <c r="N3" s="11" t="n">
        <f aca="false">Units!$E2*(1+Inputs!$B$7)^(N$2-1)</f>
        <v>1525</v>
      </c>
      <c r="O3" s="11" t="n">
        <f aca="false">Units!$E2*(1+Inputs!$B$7)^(O$2-1)</f>
        <v>1570.75</v>
      </c>
      <c r="P3" s="11" t="n">
        <f aca="false">Units!$E2*(1+Inputs!$B$7)^(P$2-1)</f>
        <v>1570.75</v>
      </c>
      <c r="Q3" s="11" t="n">
        <f aca="false">Units!$E2*(1+Inputs!$B$7)^(Q$2-1)</f>
        <v>1570.75</v>
      </c>
      <c r="R3" s="11" t="n">
        <f aca="false">Units!$E2*(1+Inputs!$B$7)^(R$2-1)</f>
        <v>1570.75</v>
      </c>
      <c r="S3" s="11" t="n">
        <f aca="false">Units!$E2*(1+Inputs!$B$7)^(S$2-1)</f>
        <v>1570.75</v>
      </c>
      <c r="T3" s="11" t="n">
        <f aca="false">Units!$E2*(1+Inputs!$B$7)^(T$2-1)</f>
        <v>1570.75</v>
      </c>
      <c r="U3" s="11" t="n">
        <f aca="false">Units!$E2*(1+Inputs!$B$7)^(U$2-1)</f>
        <v>1570.75</v>
      </c>
      <c r="V3" s="11" t="n">
        <f aca="false">Units!$E2*(1+Inputs!$B$7)^(V$2-1)</f>
        <v>1570.75</v>
      </c>
      <c r="W3" s="11" t="n">
        <f aca="false">Units!$E2*(1+Inputs!$B$7)^(W$2-1)</f>
        <v>1570.75</v>
      </c>
      <c r="X3" s="11" t="n">
        <f aca="false">Units!$E2*(1+Inputs!$B$7)^(X$2-1)</f>
        <v>1570.75</v>
      </c>
      <c r="Y3" s="11" t="n">
        <f aca="false">Units!$E2*(1+Inputs!$B$7)^(Y$2-1)</f>
        <v>1570.75</v>
      </c>
      <c r="Z3" s="11" t="n">
        <f aca="false">Units!$E2*(1+Inputs!$B$7)^(Z$2-1)</f>
        <v>1570.75</v>
      </c>
      <c r="AA3" s="11" t="n">
        <f aca="false">Units!$E2*(1+Inputs!$B$7)^(AA$2-1)</f>
        <v>1617.8725</v>
      </c>
      <c r="AB3" s="11" t="n">
        <f aca="false">Units!$E2*(1+Inputs!$B$7)^(AB$2-1)</f>
        <v>1617.8725</v>
      </c>
      <c r="AC3" s="11" t="n">
        <f aca="false">Units!$E2*(1+Inputs!$B$7)^(AC$2-1)</f>
        <v>1617.8725</v>
      </c>
      <c r="AD3" s="11" t="n">
        <f aca="false">Units!$E2*(1+Inputs!$B$7)^(AD$2-1)</f>
        <v>1617.8725</v>
      </c>
      <c r="AE3" s="11" t="n">
        <f aca="false">Units!$E2*(1+Inputs!$B$7)^(AE$2-1)</f>
        <v>1617.8725</v>
      </c>
      <c r="AF3" s="11" t="n">
        <f aca="false">Units!$E2*(1+Inputs!$B$7)^(AF$2-1)</f>
        <v>1617.8725</v>
      </c>
      <c r="AG3" s="11" t="n">
        <f aca="false">Units!$E2*(1+Inputs!$B$7)^(AG$2-1)</f>
        <v>1617.8725</v>
      </c>
      <c r="AH3" s="11" t="n">
        <f aca="false">Units!$E2*(1+Inputs!$B$7)^(AH$2-1)</f>
        <v>1617.8725</v>
      </c>
      <c r="AI3" s="11" t="n">
        <f aca="false">Units!$E2*(1+Inputs!$B$7)^(AI$2-1)</f>
        <v>1617.8725</v>
      </c>
      <c r="AJ3" s="11" t="n">
        <f aca="false">Units!$E2*(1+Inputs!$B$7)^(AJ$2-1)</f>
        <v>1617.8725</v>
      </c>
      <c r="AK3" s="11" t="n">
        <f aca="false">Units!$E2*(1+Inputs!$B$7)^(AK$2-1)</f>
        <v>1617.8725</v>
      </c>
      <c r="AL3" s="11" t="n">
        <f aca="false">Units!$E2*(1+Inputs!$B$7)^(AL$2-1)</f>
        <v>1617.8725</v>
      </c>
      <c r="AM3" s="11" t="n">
        <f aca="false">Units!$E2*(1+Inputs!$B$7)^(AM$2-1)</f>
        <v>1666.408675</v>
      </c>
      <c r="AN3" s="11" t="n">
        <f aca="false">Units!$E2*(1+Inputs!$B$7)^(AN$2-1)</f>
        <v>1666.408675</v>
      </c>
      <c r="AO3" s="11" t="n">
        <f aca="false">Units!$E2*(1+Inputs!$B$7)^(AO$2-1)</f>
        <v>1666.408675</v>
      </c>
      <c r="AP3" s="11" t="n">
        <f aca="false">Units!$E2*(1+Inputs!$B$7)^(AP$2-1)</f>
        <v>1666.408675</v>
      </c>
      <c r="AQ3" s="11" t="n">
        <f aca="false">Units!$E2*(1+Inputs!$B$7)^(AQ$2-1)</f>
        <v>1666.408675</v>
      </c>
      <c r="AR3" s="11" t="n">
        <f aca="false">Units!$E2*(1+Inputs!$B$7)^(AR$2-1)</f>
        <v>1666.408675</v>
      </c>
      <c r="AS3" s="11" t="n">
        <f aca="false">Units!$E2*(1+Inputs!$B$7)^(AS$2-1)</f>
        <v>1666.408675</v>
      </c>
      <c r="AT3" s="11" t="n">
        <f aca="false">Units!$E2*(1+Inputs!$B$7)^(AT$2-1)</f>
        <v>1666.408675</v>
      </c>
      <c r="AU3" s="11" t="n">
        <f aca="false">Units!$E2*(1+Inputs!$B$7)^(AU$2-1)</f>
        <v>1666.408675</v>
      </c>
      <c r="AV3" s="11" t="n">
        <f aca="false">Units!$E2*(1+Inputs!$B$7)^(AV$2-1)</f>
        <v>1666.408675</v>
      </c>
      <c r="AW3" s="11" t="n">
        <f aca="false">Units!$E2*(1+Inputs!$B$7)^(AW$2-1)</f>
        <v>1666.408675</v>
      </c>
      <c r="AX3" s="11" t="n">
        <f aca="false">Units!$E2*(1+Inputs!$B$7)^(AX$2-1)</f>
        <v>1666.408675</v>
      </c>
      <c r="AY3" s="11" t="n">
        <f aca="false">Units!$E2*(1+Inputs!$B$7)^(AY$2-1)</f>
        <v>1716.40093525</v>
      </c>
      <c r="AZ3" s="11" t="n">
        <f aca="false">Units!$E2*(1+Inputs!$B$7)^(AZ$2-1)</f>
        <v>1716.40093525</v>
      </c>
      <c r="BA3" s="11" t="n">
        <f aca="false">Units!$E2*(1+Inputs!$B$7)^(BA$2-1)</f>
        <v>1716.40093525</v>
      </c>
      <c r="BB3" s="11" t="n">
        <f aca="false">Units!$E2*(1+Inputs!$B$7)^(BB$2-1)</f>
        <v>1716.40093525</v>
      </c>
      <c r="BC3" s="11" t="n">
        <f aca="false">Units!$E2*(1+Inputs!$B$7)^(BC$2-1)</f>
        <v>1716.40093525</v>
      </c>
      <c r="BD3" s="11" t="n">
        <f aca="false">Units!$E2*(1+Inputs!$B$7)^(BD$2-1)</f>
        <v>1716.40093525</v>
      </c>
      <c r="BE3" s="11" t="n">
        <f aca="false">Units!$E2*(1+Inputs!$B$7)^(BE$2-1)</f>
        <v>1716.40093525</v>
      </c>
      <c r="BF3" s="11" t="n">
        <f aca="false">Units!$E2*(1+Inputs!$B$7)^(BF$2-1)</f>
        <v>1716.40093525</v>
      </c>
      <c r="BG3" s="11" t="n">
        <f aca="false">Units!$E2*(1+Inputs!$B$7)^(BG$2-1)</f>
        <v>1716.40093525</v>
      </c>
      <c r="BH3" s="11" t="n">
        <f aca="false">Units!$E2*(1+Inputs!$B$7)^(BH$2-1)</f>
        <v>1716.40093525</v>
      </c>
      <c r="BI3" s="11" t="n">
        <f aca="false">Units!$E2*(1+Inputs!$B$7)^(BI$2-1)</f>
        <v>1716.40093525</v>
      </c>
      <c r="BJ3" s="11" t="n">
        <f aca="false">Units!$E2*(1+Inputs!$B$7)^(BJ$2-1)</f>
        <v>1716.40093525</v>
      </c>
      <c r="BK3" s="11" t="n">
        <f aca="false">Units!$E2*(1+Inputs!$B$7)^(BK$2-1)</f>
        <v>1767.8929633075</v>
      </c>
      <c r="BL3" s="11" t="n">
        <f aca="false">Units!$E2*(1+Inputs!$B$7)^(BL$2-1)</f>
        <v>1767.8929633075</v>
      </c>
      <c r="BM3" s="11" t="n">
        <f aca="false">Units!$E2*(1+Inputs!$B$7)^(BM$2-1)</f>
        <v>1767.8929633075</v>
      </c>
      <c r="BN3" s="11" t="n">
        <f aca="false">Units!$E2*(1+Inputs!$B$7)^(BN$2-1)</f>
        <v>1767.8929633075</v>
      </c>
      <c r="BO3" s="11" t="n">
        <f aca="false">Units!$E2*(1+Inputs!$B$7)^(BO$2-1)</f>
        <v>1767.8929633075</v>
      </c>
      <c r="BP3" s="11" t="n">
        <f aca="false">Units!$E2*(1+Inputs!$B$7)^(BP$2-1)</f>
        <v>1767.8929633075</v>
      </c>
      <c r="BQ3" s="11" t="n">
        <f aca="false">Units!$E2*(1+Inputs!$B$7)^(BQ$2-1)</f>
        <v>1767.8929633075</v>
      </c>
      <c r="BR3" s="11" t="n">
        <f aca="false">Units!$E2*(1+Inputs!$B$7)^(BR$2-1)</f>
        <v>1767.8929633075</v>
      </c>
      <c r="BS3" s="11" t="n">
        <f aca="false">Units!$E2*(1+Inputs!$B$7)^(BS$2-1)</f>
        <v>1767.8929633075</v>
      </c>
      <c r="BT3" s="11" t="n">
        <f aca="false">Units!$E2*(1+Inputs!$B$7)^(BT$2-1)</f>
        <v>1767.8929633075</v>
      </c>
      <c r="BU3" s="11" t="n">
        <f aca="false">Units!$E2*(1+Inputs!$B$7)^(BU$2-1)</f>
        <v>1767.8929633075</v>
      </c>
      <c r="BV3" s="11" t="n">
        <f aca="false">Units!$E2*(1+Inputs!$B$7)^(BV$2-1)</f>
        <v>1767.8929633075</v>
      </c>
      <c r="BW3" s="11" t="n">
        <f aca="false">Units!$E2*(1+Inputs!$B$7)^(BW$2-1)</f>
        <v>1820.92975220673</v>
      </c>
      <c r="BX3" s="11" t="n">
        <f aca="false">Units!$E2*(1+Inputs!$B$7)^(BX$2-1)</f>
        <v>1820.92975220673</v>
      </c>
      <c r="BY3" s="11" t="n">
        <f aca="false">Units!$E2*(1+Inputs!$B$7)^(BY$2-1)</f>
        <v>1820.92975220673</v>
      </c>
      <c r="BZ3" s="11" t="n">
        <f aca="false">Units!$E2*(1+Inputs!$B$7)^(BZ$2-1)</f>
        <v>1820.92975220673</v>
      </c>
      <c r="CA3" s="11" t="n">
        <f aca="false">Units!$E2*(1+Inputs!$B$7)^(CA$2-1)</f>
        <v>1820.92975220673</v>
      </c>
      <c r="CB3" s="11" t="n">
        <f aca="false">Units!$E2*(1+Inputs!$B$7)^(CB$2-1)</f>
        <v>1820.92975220673</v>
      </c>
      <c r="CC3" s="11" t="n">
        <f aca="false">Units!$E2*(1+Inputs!$B$7)^(CC$2-1)</f>
        <v>1820.92975220673</v>
      </c>
      <c r="CD3" s="11" t="n">
        <f aca="false">Units!$E2*(1+Inputs!$B$7)^(CD$2-1)</f>
        <v>1820.92975220673</v>
      </c>
      <c r="CE3" s="11" t="n">
        <f aca="false">Units!$E2*(1+Inputs!$B$7)^(CE$2-1)</f>
        <v>1820.92975220673</v>
      </c>
      <c r="CF3" s="11" t="n">
        <f aca="false">Units!$E2*(1+Inputs!$B$7)^(CF$2-1)</f>
        <v>1820.92975220673</v>
      </c>
      <c r="CG3" s="11" t="n">
        <f aca="false">Units!$E2*(1+Inputs!$B$7)^(CG$2-1)</f>
        <v>1820.92975220673</v>
      </c>
      <c r="CH3" s="11" t="n">
        <f aca="false">Units!$E2*(1+Inputs!$B$7)^(CH$2-1)</f>
        <v>1820.92975220673</v>
      </c>
      <c r="CI3" s="11" t="n">
        <f aca="false">Units!$E2*(1+Inputs!$B$7)^(CI$2-1)</f>
        <v>1875.55764477293</v>
      </c>
      <c r="CJ3" s="11" t="n">
        <f aca="false">Units!$E2*(1+Inputs!$B$7)^(CJ$2-1)</f>
        <v>1875.55764477293</v>
      </c>
      <c r="CK3" s="11" t="n">
        <f aca="false">Units!$E2*(1+Inputs!$B$7)^(CK$2-1)</f>
        <v>1875.55764477293</v>
      </c>
      <c r="CL3" s="11" t="n">
        <f aca="false">Units!$E2*(1+Inputs!$B$7)^(CL$2-1)</f>
        <v>1875.55764477293</v>
      </c>
      <c r="CM3" s="11" t="n">
        <f aca="false">Units!$E2*(1+Inputs!$B$7)^(CM$2-1)</f>
        <v>1875.55764477293</v>
      </c>
      <c r="CN3" s="11" t="n">
        <f aca="false">Units!$E2*(1+Inputs!$B$7)^(CN$2-1)</f>
        <v>1875.55764477293</v>
      </c>
      <c r="CO3" s="11" t="n">
        <f aca="false">Units!$E2*(1+Inputs!$B$7)^(CO$2-1)</f>
        <v>1875.55764477293</v>
      </c>
      <c r="CP3" s="11" t="n">
        <f aca="false">Units!$E2*(1+Inputs!$B$7)^(CP$2-1)</f>
        <v>1875.55764477293</v>
      </c>
      <c r="CQ3" s="11" t="n">
        <f aca="false">Units!$E2*(1+Inputs!$B$7)^(CQ$2-1)</f>
        <v>1875.55764477293</v>
      </c>
      <c r="CR3" s="11" t="n">
        <f aca="false">Units!$E2*(1+Inputs!$B$7)^(CR$2-1)</f>
        <v>1875.55764477293</v>
      </c>
      <c r="CS3" s="11" t="n">
        <f aca="false">Units!$E2*(1+Inputs!$B$7)^(CS$2-1)</f>
        <v>1875.55764477293</v>
      </c>
      <c r="CT3" s="11" t="n">
        <f aca="false">Units!$E2*(1+Inputs!$B$7)^(CT$2-1)</f>
        <v>1875.55764477293</v>
      </c>
      <c r="CU3" s="11" t="n">
        <f aca="false">Units!$E2*(1+Inputs!$B$7)^(CU$2-1)</f>
        <v>1931.82437411612</v>
      </c>
      <c r="CV3" s="11" t="n">
        <f aca="false">Units!$E2*(1+Inputs!$B$7)^(CV$2-1)</f>
        <v>1931.82437411612</v>
      </c>
      <c r="CW3" s="11" t="n">
        <f aca="false">Units!$E2*(1+Inputs!$B$7)^(CW$2-1)</f>
        <v>1931.82437411612</v>
      </c>
      <c r="CX3" s="11" t="n">
        <f aca="false">Units!$E2*(1+Inputs!$B$7)^(CX$2-1)</f>
        <v>1931.82437411612</v>
      </c>
      <c r="CY3" s="11" t="n">
        <f aca="false">Units!$E2*(1+Inputs!$B$7)^(CY$2-1)</f>
        <v>1931.82437411612</v>
      </c>
      <c r="CZ3" s="11" t="n">
        <f aca="false">Units!$E2*(1+Inputs!$B$7)^(CZ$2-1)</f>
        <v>1931.82437411612</v>
      </c>
      <c r="DA3" s="11" t="n">
        <f aca="false">Units!$E2*(1+Inputs!$B$7)^(DA$2-1)</f>
        <v>1931.82437411612</v>
      </c>
      <c r="DB3" s="11" t="n">
        <f aca="false">Units!$E2*(1+Inputs!$B$7)^(DB$2-1)</f>
        <v>1931.82437411612</v>
      </c>
      <c r="DC3" s="11" t="n">
        <f aca="false">Units!$E2*(1+Inputs!$B$7)^(DC$2-1)</f>
        <v>1931.82437411612</v>
      </c>
      <c r="DD3" s="11" t="n">
        <f aca="false">Units!$E2*(1+Inputs!$B$7)^(DD$2-1)</f>
        <v>1931.82437411612</v>
      </c>
      <c r="DE3" s="11" t="n">
        <f aca="false">Units!$E2*(1+Inputs!$B$7)^(DE$2-1)</f>
        <v>1931.82437411612</v>
      </c>
      <c r="DF3" s="11" t="n">
        <f aca="false">Units!$E2*(1+Inputs!$B$7)^(DF$2-1)</f>
        <v>1931.82437411612</v>
      </c>
      <c r="DG3" s="11" t="n">
        <f aca="false">Units!$E2*(1+Inputs!$B$7)^(DG$2-1)</f>
        <v>1989.7791053396</v>
      </c>
      <c r="DH3" s="11" t="n">
        <f aca="false">Units!$E2*(1+Inputs!$B$7)^(DH$2-1)</f>
        <v>1989.7791053396</v>
      </c>
      <c r="DI3" s="11" t="n">
        <f aca="false">Units!$E2*(1+Inputs!$B$7)^(DI$2-1)</f>
        <v>1989.7791053396</v>
      </c>
      <c r="DJ3" s="11" t="n">
        <f aca="false">Units!$E2*(1+Inputs!$B$7)^(DJ$2-1)</f>
        <v>1989.7791053396</v>
      </c>
      <c r="DK3" s="11" t="n">
        <f aca="false">Units!$E2*(1+Inputs!$B$7)^(DK$2-1)</f>
        <v>1989.7791053396</v>
      </c>
      <c r="DL3" s="11" t="n">
        <f aca="false">Units!$E2*(1+Inputs!$B$7)^(DL$2-1)</f>
        <v>1989.7791053396</v>
      </c>
      <c r="DM3" s="11" t="n">
        <f aca="false">Units!$E2*(1+Inputs!$B$7)^(DM$2-1)</f>
        <v>1989.7791053396</v>
      </c>
      <c r="DN3" s="11" t="n">
        <f aca="false">Units!$E2*(1+Inputs!$B$7)^(DN$2-1)</f>
        <v>1989.7791053396</v>
      </c>
      <c r="DO3" s="11" t="n">
        <f aca="false">Units!$E2*(1+Inputs!$B$7)^(DO$2-1)</f>
        <v>1989.7791053396</v>
      </c>
      <c r="DP3" s="11" t="n">
        <f aca="false">Units!$E2*(1+Inputs!$B$7)^(DP$2-1)</f>
        <v>1989.7791053396</v>
      </c>
      <c r="DQ3" s="11" t="n">
        <f aca="false">Units!$E2*(1+Inputs!$B$7)^(DQ$2-1)</f>
        <v>1989.7791053396</v>
      </c>
      <c r="DR3" s="11" t="n">
        <f aca="false">Units!$E2*(1+Inputs!$B$7)^(DR$2-1)</f>
        <v>1989.7791053396</v>
      </c>
      <c r="DS3" s="11" t="n">
        <f aca="false">Units!$E2*(1+Inputs!$B$7)^(DS$2-1)</f>
        <v>2049.47247849979</v>
      </c>
      <c r="DT3" s="11" t="n">
        <f aca="false">Units!$E2*(1+Inputs!$B$7)^(DT$2-1)</f>
        <v>2049.47247849979</v>
      </c>
      <c r="DU3" s="11" t="n">
        <f aca="false">Units!$E2*(1+Inputs!$B$7)^(DU$2-1)</f>
        <v>2049.47247849979</v>
      </c>
      <c r="DV3" s="11" t="n">
        <f aca="false">Units!$E2*(1+Inputs!$B$7)^(DV$2-1)</f>
        <v>2049.47247849979</v>
      </c>
      <c r="DW3" s="11" t="n">
        <f aca="false">Units!$E2*(1+Inputs!$B$7)^(DW$2-1)</f>
        <v>2049.47247849979</v>
      </c>
      <c r="DX3" s="11" t="n">
        <f aca="false">Units!$E2*(1+Inputs!$B$7)^(DX$2-1)</f>
        <v>2049.47247849979</v>
      </c>
      <c r="DY3" s="11" t="n">
        <f aca="false">Units!$E2*(1+Inputs!$B$7)^(DY$2-1)</f>
        <v>2049.47247849979</v>
      </c>
      <c r="DZ3" s="11" t="n">
        <f aca="false">Units!$E2*(1+Inputs!$B$7)^(DZ$2-1)</f>
        <v>2049.47247849979</v>
      </c>
      <c r="EA3" s="11" t="n">
        <f aca="false">Units!$E2*(1+Inputs!$B$7)^(EA$2-1)</f>
        <v>2049.47247849979</v>
      </c>
      <c r="EB3" s="11" t="n">
        <f aca="false">Units!$E2*(1+Inputs!$B$7)^(EB$2-1)</f>
        <v>2049.47247849979</v>
      </c>
      <c r="EC3" s="11" t="n">
        <f aca="false">Units!$E2*(1+Inputs!$B$7)^(EC$2-1)</f>
        <v>2049.47247849979</v>
      </c>
      <c r="ED3" s="11" t="n">
        <f aca="false">Units!$E2*(1+Inputs!$B$7)^(ED$2-1)</f>
        <v>2049.47247849979</v>
      </c>
    </row>
    <row r="4" customFormat="false" ht="15" hidden="false" customHeight="false" outlineLevel="0" collapsed="false">
      <c r="A4" s="22" t="n">
        <f aca="false">Units!A3</f>
        <v>102</v>
      </c>
      <c r="B4" s="23"/>
      <c r="C4" s="11" t="n">
        <f aca="false">Units!$E3*(1+Inputs!$B$7)^(C$2-1)</f>
        <v>1525</v>
      </c>
      <c r="D4" s="11" t="n">
        <f aca="false">Units!$E3*(1+Inputs!$B$7)^(D$2-1)</f>
        <v>1525</v>
      </c>
      <c r="E4" s="11" t="n">
        <f aca="false">Units!$E3*(1+Inputs!$B$7)^(E$2-1)</f>
        <v>1525</v>
      </c>
      <c r="F4" s="11" t="n">
        <f aca="false">Units!$E3*(1+Inputs!$B$7)^(F$2-1)</f>
        <v>1525</v>
      </c>
      <c r="G4" s="11" t="n">
        <f aca="false">Units!$E3*(1+Inputs!$B$7)^(G$2-1)</f>
        <v>1525</v>
      </c>
      <c r="H4" s="11" t="n">
        <f aca="false">Units!$E3*(1+Inputs!$B$7)^(H$2-1)</f>
        <v>1525</v>
      </c>
      <c r="I4" s="11" t="n">
        <f aca="false">Units!$E3*(1+Inputs!$B$7)^(I$2-1)</f>
        <v>1525</v>
      </c>
      <c r="J4" s="11" t="n">
        <f aca="false">Units!$E3*(1+Inputs!$B$7)^(J$2-1)</f>
        <v>1525</v>
      </c>
      <c r="K4" s="11" t="n">
        <f aca="false">Units!$E3*(1+Inputs!$B$7)^(K$2-1)</f>
        <v>1525</v>
      </c>
      <c r="L4" s="11" t="n">
        <f aca="false">Units!$E3*(1+Inputs!$B$7)^(L$2-1)</f>
        <v>1525</v>
      </c>
      <c r="M4" s="11" t="n">
        <f aca="false">Units!$E3*(1+Inputs!$B$7)^(M$2-1)</f>
        <v>1525</v>
      </c>
      <c r="N4" s="11" t="n">
        <f aca="false">Units!$E3*(1+Inputs!$B$7)^(N$2-1)</f>
        <v>1525</v>
      </c>
      <c r="O4" s="11" t="n">
        <f aca="false">Units!$E3*(1+Inputs!$B$7)^(O$2-1)</f>
        <v>1570.75</v>
      </c>
      <c r="P4" s="11" t="n">
        <f aca="false">Units!$E3*(1+Inputs!$B$7)^(P$2-1)</f>
        <v>1570.75</v>
      </c>
      <c r="Q4" s="11" t="n">
        <f aca="false">Units!$E3*(1+Inputs!$B$7)^(Q$2-1)</f>
        <v>1570.75</v>
      </c>
      <c r="R4" s="11" t="n">
        <f aca="false">Units!$E3*(1+Inputs!$B$7)^(R$2-1)</f>
        <v>1570.75</v>
      </c>
      <c r="S4" s="11" t="n">
        <f aca="false">Units!$E3*(1+Inputs!$B$7)^(S$2-1)</f>
        <v>1570.75</v>
      </c>
      <c r="T4" s="11" t="n">
        <f aca="false">Units!$E3*(1+Inputs!$B$7)^(T$2-1)</f>
        <v>1570.75</v>
      </c>
      <c r="U4" s="11" t="n">
        <f aca="false">Units!$E3*(1+Inputs!$B$7)^(U$2-1)</f>
        <v>1570.75</v>
      </c>
      <c r="V4" s="11" t="n">
        <f aca="false">Units!$E3*(1+Inputs!$B$7)^(V$2-1)</f>
        <v>1570.75</v>
      </c>
      <c r="W4" s="11" t="n">
        <f aca="false">Units!$E3*(1+Inputs!$B$7)^(W$2-1)</f>
        <v>1570.75</v>
      </c>
      <c r="X4" s="11" t="n">
        <f aca="false">Units!$E3*(1+Inputs!$B$7)^(X$2-1)</f>
        <v>1570.75</v>
      </c>
      <c r="Y4" s="11" t="n">
        <f aca="false">Units!$E3*(1+Inputs!$B$7)^(Y$2-1)</f>
        <v>1570.75</v>
      </c>
      <c r="Z4" s="11" t="n">
        <f aca="false">Units!$E3*(1+Inputs!$B$7)^(Z$2-1)</f>
        <v>1570.75</v>
      </c>
      <c r="AA4" s="11" t="n">
        <f aca="false">Units!$E3*(1+Inputs!$B$7)^(AA$2-1)</f>
        <v>1617.8725</v>
      </c>
      <c r="AB4" s="11" t="n">
        <f aca="false">Units!$E3*(1+Inputs!$B$7)^(AB$2-1)</f>
        <v>1617.8725</v>
      </c>
      <c r="AC4" s="11" t="n">
        <f aca="false">Units!$E3*(1+Inputs!$B$7)^(AC$2-1)</f>
        <v>1617.8725</v>
      </c>
      <c r="AD4" s="11" t="n">
        <f aca="false">Units!$E3*(1+Inputs!$B$7)^(AD$2-1)</f>
        <v>1617.8725</v>
      </c>
      <c r="AE4" s="11" t="n">
        <f aca="false">Units!$E3*(1+Inputs!$B$7)^(AE$2-1)</f>
        <v>1617.8725</v>
      </c>
      <c r="AF4" s="11" t="n">
        <f aca="false">Units!$E3*(1+Inputs!$B$7)^(AF$2-1)</f>
        <v>1617.8725</v>
      </c>
      <c r="AG4" s="11" t="n">
        <f aca="false">Units!$E3*(1+Inputs!$B$7)^(AG$2-1)</f>
        <v>1617.8725</v>
      </c>
      <c r="AH4" s="11" t="n">
        <f aca="false">Units!$E3*(1+Inputs!$B$7)^(AH$2-1)</f>
        <v>1617.8725</v>
      </c>
      <c r="AI4" s="11" t="n">
        <f aca="false">Units!$E3*(1+Inputs!$B$7)^(AI$2-1)</f>
        <v>1617.8725</v>
      </c>
      <c r="AJ4" s="11" t="n">
        <f aca="false">Units!$E3*(1+Inputs!$B$7)^(AJ$2-1)</f>
        <v>1617.8725</v>
      </c>
      <c r="AK4" s="11" t="n">
        <f aca="false">Units!$E3*(1+Inputs!$B$7)^(AK$2-1)</f>
        <v>1617.8725</v>
      </c>
      <c r="AL4" s="11" t="n">
        <f aca="false">Units!$E3*(1+Inputs!$B$7)^(AL$2-1)</f>
        <v>1617.8725</v>
      </c>
      <c r="AM4" s="11" t="n">
        <f aca="false">Units!$E3*(1+Inputs!$B$7)^(AM$2-1)</f>
        <v>1666.408675</v>
      </c>
      <c r="AN4" s="11" t="n">
        <f aca="false">Units!$E3*(1+Inputs!$B$7)^(AN$2-1)</f>
        <v>1666.408675</v>
      </c>
      <c r="AO4" s="11" t="n">
        <f aca="false">Units!$E3*(1+Inputs!$B$7)^(AO$2-1)</f>
        <v>1666.408675</v>
      </c>
      <c r="AP4" s="11" t="n">
        <f aca="false">Units!$E3*(1+Inputs!$B$7)^(AP$2-1)</f>
        <v>1666.408675</v>
      </c>
      <c r="AQ4" s="11" t="n">
        <f aca="false">Units!$E3*(1+Inputs!$B$7)^(AQ$2-1)</f>
        <v>1666.408675</v>
      </c>
      <c r="AR4" s="11" t="n">
        <f aca="false">Units!$E3*(1+Inputs!$B$7)^(AR$2-1)</f>
        <v>1666.408675</v>
      </c>
      <c r="AS4" s="11" t="n">
        <f aca="false">Units!$E3*(1+Inputs!$B$7)^(AS$2-1)</f>
        <v>1666.408675</v>
      </c>
      <c r="AT4" s="11" t="n">
        <f aca="false">Units!$E3*(1+Inputs!$B$7)^(AT$2-1)</f>
        <v>1666.408675</v>
      </c>
      <c r="AU4" s="11" t="n">
        <f aca="false">Units!$E3*(1+Inputs!$B$7)^(AU$2-1)</f>
        <v>1666.408675</v>
      </c>
      <c r="AV4" s="11" t="n">
        <f aca="false">Units!$E3*(1+Inputs!$B$7)^(AV$2-1)</f>
        <v>1666.408675</v>
      </c>
      <c r="AW4" s="11" t="n">
        <f aca="false">Units!$E3*(1+Inputs!$B$7)^(AW$2-1)</f>
        <v>1666.408675</v>
      </c>
      <c r="AX4" s="11" t="n">
        <f aca="false">Units!$E3*(1+Inputs!$B$7)^(AX$2-1)</f>
        <v>1666.408675</v>
      </c>
      <c r="AY4" s="11" t="n">
        <f aca="false">Units!$E3*(1+Inputs!$B$7)^(AY$2-1)</f>
        <v>1716.40093525</v>
      </c>
      <c r="AZ4" s="11" t="n">
        <f aca="false">Units!$E3*(1+Inputs!$B$7)^(AZ$2-1)</f>
        <v>1716.40093525</v>
      </c>
      <c r="BA4" s="11" t="n">
        <f aca="false">Units!$E3*(1+Inputs!$B$7)^(BA$2-1)</f>
        <v>1716.40093525</v>
      </c>
      <c r="BB4" s="11" t="n">
        <f aca="false">Units!$E3*(1+Inputs!$B$7)^(BB$2-1)</f>
        <v>1716.40093525</v>
      </c>
      <c r="BC4" s="11" t="n">
        <f aca="false">Units!$E3*(1+Inputs!$B$7)^(BC$2-1)</f>
        <v>1716.40093525</v>
      </c>
      <c r="BD4" s="11" t="n">
        <f aca="false">Units!$E3*(1+Inputs!$B$7)^(BD$2-1)</f>
        <v>1716.40093525</v>
      </c>
      <c r="BE4" s="11" t="n">
        <f aca="false">Units!$E3*(1+Inputs!$B$7)^(BE$2-1)</f>
        <v>1716.40093525</v>
      </c>
      <c r="BF4" s="11" t="n">
        <f aca="false">Units!$E3*(1+Inputs!$B$7)^(BF$2-1)</f>
        <v>1716.40093525</v>
      </c>
      <c r="BG4" s="11" t="n">
        <f aca="false">Units!$E3*(1+Inputs!$B$7)^(BG$2-1)</f>
        <v>1716.40093525</v>
      </c>
      <c r="BH4" s="11" t="n">
        <f aca="false">Units!$E3*(1+Inputs!$B$7)^(BH$2-1)</f>
        <v>1716.40093525</v>
      </c>
      <c r="BI4" s="11" t="n">
        <f aca="false">Units!$E3*(1+Inputs!$B$7)^(BI$2-1)</f>
        <v>1716.40093525</v>
      </c>
      <c r="BJ4" s="11" t="n">
        <f aca="false">Units!$E3*(1+Inputs!$B$7)^(BJ$2-1)</f>
        <v>1716.40093525</v>
      </c>
      <c r="BK4" s="11" t="n">
        <f aca="false">Units!$E3*(1+Inputs!$B$7)^(BK$2-1)</f>
        <v>1767.8929633075</v>
      </c>
      <c r="BL4" s="11" t="n">
        <f aca="false">Units!$E3*(1+Inputs!$B$7)^(BL$2-1)</f>
        <v>1767.8929633075</v>
      </c>
      <c r="BM4" s="11" t="n">
        <f aca="false">Units!$E3*(1+Inputs!$B$7)^(BM$2-1)</f>
        <v>1767.8929633075</v>
      </c>
      <c r="BN4" s="11" t="n">
        <f aca="false">Units!$E3*(1+Inputs!$B$7)^(BN$2-1)</f>
        <v>1767.8929633075</v>
      </c>
      <c r="BO4" s="11" t="n">
        <f aca="false">Units!$E3*(1+Inputs!$B$7)^(BO$2-1)</f>
        <v>1767.8929633075</v>
      </c>
      <c r="BP4" s="11" t="n">
        <f aca="false">Units!$E3*(1+Inputs!$B$7)^(BP$2-1)</f>
        <v>1767.8929633075</v>
      </c>
      <c r="BQ4" s="11" t="n">
        <f aca="false">Units!$E3*(1+Inputs!$B$7)^(BQ$2-1)</f>
        <v>1767.8929633075</v>
      </c>
      <c r="BR4" s="11" t="n">
        <f aca="false">Units!$E3*(1+Inputs!$B$7)^(BR$2-1)</f>
        <v>1767.8929633075</v>
      </c>
      <c r="BS4" s="11" t="n">
        <f aca="false">Units!$E3*(1+Inputs!$B$7)^(BS$2-1)</f>
        <v>1767.8929633075</v>
      </c>
      <c r="BT4" s="11" t="n">
        <f aca="false">Units!$E3*(1+Inputs!$B$7)^(BT$2-1)</f>
        <v>1767.8929633075</v>
      </c>
      <c r="BU4" s="11" t="n">
        <f aca="false">Units!$E3*(1+Inputs!$B$7)^(BU$2-1)</f>
        <v>1767.8929633075</v>
      </c>
      <c r="BV4" s="11" t="n">
        <f aca="false">Units!$E3*(1+Inputs!$B$7)^(BV$2-1)</f>
        <v>1767.8929633075</v>
      </c>
      <c r="BW4" s="11" t="n">
        <f aca="false">Units!$E3*(1+Inputs!$B$7)^(BW$2-1)</f>
        <v>1820.92975220673</v>
      </c>
      <c r="BX4" s="11" t="n">
        <f aca="false">Units!$E3*(1+Inputs!$B$7)^(BX$2-1)</f>
        <v>1820.92975220673</v>
      </c>
      <c r="BY4" s="11" t="n">
        <f aca="false">Units!$E3*(1+Inputs!$B$7)^(BY$2-1)</f>
        <v>1820.92975220673</v>
      </c>
      <c r="BZ4" s="11" t="n">
        <f aca="false">Units!$E3*(1+Inputs!$B$7)^(BZ$2-1)</f>
        <v>1820.92975220673</v>
      </c>
      <c r="CA4" s="11" t="n">
        <f aca="false">Units!$E3*(1+Inputs!$B$7)^(CA$2-1)</f>
        <v>1820.92975220673</v>
      </c>
      <c r="CB4" s="11" t="n">
        <f aca="false">Units!$E3*(1+Inputs!$B$7)^(CB$2-1)</f>
        <v>1820.92975220673</v>
      </c>
      <c r="CC4" s="11" t="n">
        <f aca="false">Units!$E3*(1+Inputs!$B$7)^(CC$2-1)</f>
        <v>1820.92975220673</v>
      </c>
      <c r="CD4" s="11" t="n">
        <f aca="false">Units!$E3*(1+Inputs!$B$7)^(CD$2-1)</f>
        <v>1820.92975220673</v>
      </c>
      <c r="CE4" s="11" t="n">
        <f aca="false">Units!$E3*(1+Inputs!$B$7)^(CE$2-1)</f>
        <v>1820.92975220673</v>
      </c>
      <c r="CF4" s="11" t="n">
        <f aca="false">Units!$E3*(1+Inputs!$B$7)^(CF$2-1)</f>
        <v>1820.92975220673</v>
      </c>
      <c r="CG4" s="11" t="n">
        <f aca="false">Units!$E3*(1+Inputs!$B$7)^(CG$2-1)</f>
        <v>1820.92975220673</v>
      </c>
      <c r="CH4" s="11" t="n">
        <f aca="false">Units!$E3*(1+Inputs!$B$7)^(CH$2-1)</f>
        <v>1820.92975220673</v>
      </c>
      <c r="CI4" s="11" t="n">
        <f aca="false">Units!$E3*(1+Inputs!$B$7)^(CI$2-1)</f>
        <v>1875.55764477293</v>
      </c>
      <c r="CJ4" s="11" t="n">
        <f aca="false">Units!$E3*(1+Inputs!$B$7)^(CJ$2-1)</f>
        <v>1875.55764477293</v>
      </c>
      <c r="CK4" s="11" t="n">
        <f aca="false">Units!$E3*(1+Inputs!$B$7)^(CK$2-1)</f>
        <v>1875.55764477293</v>
      </c>
      <c r="CL4" s="11" t="n">
        <f aca="false">Units!$E3*(1+Inputs!$B$7)^(CL$2-1)</f>
        <v>1875.55764477293</v>
      </c>
      <c r="CM4" s="11" t="n">
        <f aca="false">Units!$E3*(1+Inputs!$B$7)^(CM$2-1)</f>
        <v>1875.55764477293</v>
      </c>
      <c r="CN4" s="11" t="n">
        <f aca="false">Units!$E3*(1+Inputs!$B$7)^(CN$2-1)</f>
        <v>1875.55764477293</v>
      </c>
      <c r="CO4" s="11" t="n">
        <f aca="false">Units!$E3*(1+Inputs!$B$7)^(CO$2-1)</f>
        <v>1875.55764477293</v>
      </c>
      <c r="CP4" s="11" t="n">
        <f aca="false">Units!$E3*(1+Inputs!$B$7)^(CP$2-1)</f>
        <v>1875.55764477293</v>
      </c>
      <c r="CQ4" s="11" t="n">
        <f aca="false">Units!$E3*(1+Inputs!$B$7)^(CQ$2-1)</f>
        <v>1875.55764477293</v>
      </c>
      <c r="CR4" s="11" t="n">
        <f aca="false">Units!$E3*(1+Inputs!$B$7)^(CR$2-1)</f>
        <v>1875.55764477293</v>
      </c>
      <c r="CS4" s="11" t="n">
        <f aca="false">Units!$E3*(1+Inputs!$B$7)^(CS$2-1)</f>
        <v>1875.55764477293</v>
      </c>
      <c r="CT4" s="11" t="n">
        <f aca="false">Units!$E3*(1+Inputs!$B$7)^(CT$2-1)</f>
        <v>1875.55764477293</v>
      </c>
      <c r="CU4" s="11" t="n">
        <f aca="false">Units!$E3*(1+Inputs!$B$7)^(CU$2-1)</f>
        <v>1931.82437411612</v>
      </c>
      <c r="CV4" s="11" t="n">
        <f aca="false">Units!$E3*(1+Inputs!$B$7)^(CV$2-1)</f>
        <v>1931.82437411612</v>
      </c>
      <c r="CW4" s="11" t="n">
        <f aca="false">Units!$E3*(1+Inputs!$B$7)^(CW$2-1)</f>
        <v>1931.82437411612</v>
      </c>
      <c r="CX4" s="11" t="n">
        <f aca="false">Units!$E3*(1+Inputs!$B$7)^(CX$2-1)</f>
        <v>1931.82437411612</v>
      </c>
      <c r="CY4" s="11" t="n">
        <f aca="false">Units!$E3*(1+Inputs!$B$7)^(CY$2-1)</f>
        <v>1931.82437411612</v>
      </c>
      <c r="CZ4" s="11" t="n">
        <f aca="false">Units!$E3*(1+Inputs!$B$7)^(CZ$2-1)</f>
        <v>1931.82437411612</v>
      </c>
      <c r="DA4" s="11" t="n">
        <f aca="false">Units!$E3*(1+Inputs!$B$7)^(DA$2-1)</f>
        <v>1931.82437411612</v>
      </c>
      <c r="DB4" s="11" t="n">
        <f aca="false">Units!$E3*(1+Inputs!$B$7)^(DB$2-1)</f>
        <v>1931.82437411612</v>
      </c>
      <c r="DC4" s="11" t="n">
        <f aca="false">Units!$E3*(1+Inputs!$B$7)^(DC$2-1)</f>
        <v>1931.82437411612</v>
      </c>
      <c r="DD4" s="11" t="n">
        <f aca="false">Units!$E3*(1+Inputs!$B$7)^(DD$2-1)</f>
        <v>1931.82437411612</v>
      </c>
      <c r="DE4" s="11" t="n">
        <f aca="false">Units!$E3*(1+Inputs!$B$7)^(DE$2-1)</f>
        <v>1931.82437411612</v>
      </c>
      <c r="DF4" s="11" t="n">
        <f aca="false">Units!$E3*(1+Inputs!$B$7)^(DF$2-1)</f>
        <v>1931.82437411612</v>
      </c>
      <c r="DG4" s="11" t="n">
        <f aca="false">Units!$E3*(1+Inputs!$B$7)^(DG$2-1)</f>
        <v>1989.7791053396</v>
      </c>
      <c r="DH4" s="11" t="n">
        <f aca="false">Units!$E3*(1+Inputs!$B$7)^(DH$2-1)</f>
        <v>1989.7791053396</v>
      </c>
      <c r="DI4" s="11" t="n">
        <f aca="false">Units!$E3*(1+Inputs!$B$7)^(DI$2-1)</f>
        <v>1989.7791053396</v>
      </c>
      <c r="DJ4" s="11" t="n">
        <f aca="false">Units!$E3*(1+Inputs!$B$7)^(DJ$2-1)</f>
        <v>1989.7791053396</v>
      </c>
      <c r="DK4" s="11" t="n">
        <f aca="false">Units!$E3*(1+Inputs!$B$7)^(DK$2-1)</f>
        <v>1989.7791053396</v>
      </c>
      <c r="DL4" s="11" t="n">
        <f aca="false">Units!$E3*(1+Inputs!$B$7)^(DL$2-1)</f>
        <v>1989.7791053396</v>
      </c>
      <c r="DM4" s="11" t="n">
        <f aca="false">Units!$E3*(1+Inputs!$B$7)^(DM$2-1)</f>
        <v>1989.7791053396</v>
      </c>
      <c r="DN4" s="11" t="n">
        <f aca="false">Units!$E3*(1+Inputs!$B$7)^(DN$2-1)</f>
        <v>1989.7791053396</v>
      </c>
      <c r="DO4" s="11" t="n">
        <f aca="false">Units!$E3*(1+Inputs!$B$7)^(DO$2-1)</f>
        <v>1989.7791053396</v>
      </c>
      <c r="DP4" s="11" t="n">
        <f aca="false">Units!$E3*(1+Inputs!$B$7)^(DP$2-1)</f>
        <v>1989.7791053396</v>
      </c>
      <c r="DQ4" s="11" t="n">
        <f aca="false">Units!$E3*(1+Inputs!$B$7)^(DQ$2-1)</f>
        <v>1989.7791053396</v>
      </c>
      <c r="DR4" s="11" t="n">
        <f aca="false">Units!$E3*(1+Inputs!$B$7)^(DR$2-1)</f>
        <v>1989.7791053396</v>
      </c>
      <c r="DS4" s="11" t="n">
        <f aca="false">Units!$E3*(1+Inputs!$B$7)^(DS$2-1)</f>
        <v>2049.47247849979</v>
      </c>
      <c r="DT4" s="11" t="n">
        <f aca="false">Units!$E3*(1+Inputs!$B$7)^(DT$2-1)</f>
        <v>2049.47247849979</v>
      </c>
      <c r="DU4" s="11" t="n">
        <f aca="false">Units!$E3*(1+Inputs!$B$7)^(DU$2-1)</f>
        <v>2049.47247849979</v>
      </c>
      <c r="DV4" s="11" t="n">
        <f aca="false">Units!$E3*(1+Inputs!$B$7)^(DV$2-1)</f>
        <v>2049.47247849979</v>
      </c>
      <c r="DW4" s="11" t="n">
        <f aca="false">Units!$E3*(1+Inputs!$B$7)^(DW$2-1)</f>
        <v>2049.47247849979</v>
      </c>
      <c r="DX4" s="11" t="n">
        <f aca="false">Units!$E3*(1+Inputs!$B$7)^(DX$2-1)</f>
        <v>2049.47247849979</v>
      </c>
      <c r="DY4" s="11" t="n">
        <f aca="false">Units!$E3*(1+Inputs!$B$7)^(DY$2-1)</f>
        <v>2049.47247849979</v>
      </c>
      <c r="DZ4" s="11" t="n">
        <f aca="false">Units!$E3*(1+Inputs!$B$7)^(DZ$2-1)</f>
        <v>2049.47247849979</v>
      </c>
      <c r="EA4" s="11" t="n">
        <f aca="false">Units!$E3*(1+Inputs!$B$7)^(EA$2-1)</f>
        <v>2049.47247849979</v>
      </c>
      <c r="EB4" s="11" t="n">
        <f aca="false">Units!$E3*(1+Inputs!$B$7)^(EB$2-1)</f>
        <v>2049.47247849979</v>
      </c>
      <c r="EC4" s="11" t="n">
        <f aca="false">Units!$E3*(1+Inputs!$B$7)^(EC$2-1)</f>
        <v>2049.47247849979</v>
      </c>
      <c r="ED4" s="11" t="n">
        <f aca="false">Units!$E3*(1+Inputs!$B$7)^(ED$2-1)</f>
        <v>2049.47247849979</v>
      </c>
    </row>
    <row r="5" customFormat="false" ht="15" hidden="false" customHeight="false" outlineLevel="0" collapsed="false">
      <c r="A5" s="22" t="n">
        <f aca="false">Units!A4</f>
        <v>103</v>
      </c>
      <c r="B5" s="23"/>
      <c r="C5" s="11" t="n">
        <f aca="false">Units!$E4*(1+Inputs!$B$7)^(C$2-1)</f>
        <v>1525</v>
      </c>
      <c r="D5" s="11" t="n">
        <f aca="false">Units!$E4*(1+Inputs!$B$7)^(D$2-1)</f>
        <v>1525</v>
      </c>
      <c r="E5" s="11" t="n">
        <f aca="false">Units!$E4*(1+Inputs!$B$7)^(E$2-1)</f>
        <v>1525</v>
      </c>
      <c r="F5" s="11" t="n">
        <f aca="false">Units!$E4*(1+Inputs!$B$7)^(F$2-1)</f>
        <v>1525</v>
      </c>
      <c r="G5" s="11" t="n">
        <f aca="false">Units!$E4*(1+Inputs!$B$7)^(G$2-1)</f>
        <v>1525</v>
      </c>
      <c r="H5" s="11" t="n">
        <f aca="false">Units!$E4*(1+Inputs!$B$7)^(H$2-1)</f>
        <v>1525</v>
      </c>
      <c r="I5" s="11" t="n">
        <f aca="false">Units!$E4*(1+Inputs!$B$7)^(I$2-1)</f>
        <v>1525</v>
      </c>
      <c r="J5" s="11" t="n">
        <f aca="false">Units!$E4*(1+Inputs!$B$7)^(J$2-1)</f>
        <v>1525</v>
      </c>
      <c r="K5" s="11" t="n">
        <f aca="false">Units!$E4*(1+Inputs!$B$7)^(K$2-1)</f>
        <v>1525</v>
      </c>
      <c r="L5" s="11" t="n">
        <f aca="false">Units!$E4*(1+Inputs!$B$7)^(L$2-1)</f>
        <v>1525</v>
      </c>
      <c r="M5" s="11" t="n">
        <f aca="false">Units!$E4*(1+Inputs!$B$7)^(M$2-1)</f>
        <v>1525</v>
      </c>
      <c r="N5" s="11" t="n">
        <f aca="false">Units!$E4*(1+Inputs!$B$7)^(N$2-1)</f>
        <v>1525</v>
      </c>
      <c r="O5" s="11" t="n">
        <f aca="false">Units!$E4*(1+Inputs!$B$7)^(O$2-1)</f>
        <v>1570.75</v>
      </c>
      <c r="P5" s="11" t="n">
        <f aca="false">Units!$E4*(1+Inputs!$B$7)^(P$2-1)</f>
        <v>1570.75</v>
      </c>
      <c r="Q5" s="11" t="n">
        <f aca="false">Units!$E4*(1+Inputs!$B$7)^(Q$2-1)</f>
        <v>1570.75</v>
      </c>
      <c r="R5" s="11" t="n">
        <f aca="false">Units!$E4*(1+Inputs!$B$7)^(R$2-1)</f>
        <v>1570.75</v>
      </c>
      <c r="S5" s="11" t="n">
        <f aca="false">Units!$E4*(1+Inputs!$B$7)^(S$2-1)</f>
        <v>1570.75</v>
      </c>
      <c r="T5" s="11" t="n">
        <f aca="false">Units!$E4*(1+Inputs!$B$7)^(T$2-1)</f>
        <v>1570.75</v>
      </c>
      <c r="U5" s="11" t="n">
        <f aca="false">Units!$E4*(1+Inputs!$B$7)^(U$2-1)</f>
        <v>1570.75</v>
      </c>
      <c r="V5" s="11" t="n">
        <f aca="false">Units!$E4*(1+Inputs!$B$7)^(V$2-1)</f>
        <v>1570.75</v>
      </c>
      <c r="W5" s="11" t="n">
        <f aca="false">Units!$E4*(1+Inputs!$B$7)^(W$2-1)</f>
        <v>1570.75</v>
      </c>
      <c r="X5" s="11" t="n">
        <f aca="false">Units!$E4*(1+Inputs!$B$7)^(X$2-1)</f>
        <v>1570.75</v>
      </c>
      <c r="Y5" s="11" t="n">
        <f aca="false">Units!$E4*(1+Inputs!$B$7)^(Y$2-1)</f>
        <v>1570.75</v>
      </c>
      <c r="Z5" s="11" t="n">
        <f aca="false">Units!$E4*(1+Inputs!$B$7)^(Z$2-1)</f>
        <v>1570.75</v>
      </c>
      <c r="AA5" s="11" t="n">
        <f aca="false">Units!$E4*(1+Inputs!$B$7)^(AA$2-1)</f>
        <v>1617.8725</v>
      </c>
      <c r="AB5" s="11" t="n">
        <f aca="false">Units!$E4*(1+Inputs!$B$7)^(AB$2-1)</f>
        <v>1617.8725</v>
      </c>
      <c r="AC5" s="11" t="n">
        <f aca="false">Units!$E4*(1+Inputs!$B$7)^(AC$2-1)</f>
        <v>1617.8725</v>
      </c>
      <c r="AD5" s="11" t="n">
        <f aca="false">Units!$E4*(1+Inputs!$B$7)^(AD$2-1)</f>
        <v>1617.8725</v>
      </c>
      <c r="AE5" s="11" t="n">
        <f aca="false">Units!$E4*(1+Inputs!$B$7)^(AE$2-1)</f>
        <v>1617.8725</v>
      </c>
      <c r="AF5" s="11" t="n">
        <f aca="false">Units!$E4*(1+Inputs!$B$7)^(AF$2-1)</f>
        <v>1617.8725</v>
      </c>
      <c r="AG5" s="11" t="n">
        <f aca="false">Units!$E4*(1+Inputs!$B$7)^(AG$2-1)</f>
        <v>1617.8725</v>
      </c>
      <c r="AH5" s="11" t="n">
        <f aca="false">Units!$E4*(1+Inputs!$B$7)^(AH$2-1)</f>
        <v>1617.8725</v>
      </c>
      <c r="AI5" s="11" t="n">
        <f aca="false">Units!$E4*(1+Inputs!$B$7)^(AI$2-1)</f>
        <v>1617.8725</v>
      </c>
      <c r="AJ5" s="11" t="n">
        <f aca="false">Units!$E4*(1+Inputs!$B$7)^(AJ$2-1)</f>
        <v>1617.8725</v>
      </c>
      <c r="AK5" s="11" t="n">
        <f aca="false">Units!$E4*(1+Inputs!$B$7)^(AK$2-1)</f>
        <v>1617.8725</v>
      </c>
      <c r="AL5" s="11" t="n">
        <f aca="false">Units!$E4*(1+Inputs!$B$7)^(AL$2-1)</f>
        <v>1617.8725</v>
      </c>
      <c r="AM5" s="11" t="n">
        <f aca="false">Units!$E4*(1+Inputs!$B$7)^(AM$2-1)</f>
        <v>1666.408675</v>
      </c>
      <c r="AN5" s="11" t="n">
        <f aca="false">Units!$E4*(1+Inputs!$B$7)^(AN$2-1)</f>
        <v>1666.408675</v>
      </c>
      <c r="AO5" s="11" t="n">
        <f aca="false">Units!$E4*(1+Inputs!$B$7)^(AO$2-1)</f>
        <v>1666.408675</v>
      </c>
      <c r="AP5" s="11" t="n">
        <f aca="false">Units!$E4*(1+Inputs!$B$7)^(AP$2-1)</f>
        <v>1666.408675</v>
      </c>
      <c r="AQ5" s="11" t="n">
        <f aca="false">Units!$E4*(1+Inputs!$B$7)^(AQ$2-1)</f>
        <v>1666.408675</v>
      </c>
      <c r="AR5" s="11" t="n">
        <f aca="false">Units!$E4*(1+Inputs!$B$7)^(AR$2-1)</f>
        <v>1666.408675</v>
      </c>
      <c r="AS5" s="11" t="n">
        <f aca="false">Units!$E4*(1+Inputs!$B$7)^(AS$2-1)</f>
        <v>1666.408675</v>
      </c>
      <c r="AT5" s="11" t="n">
        <f aca="false">Units!$E4*(1+Inputs!$B$7)^(AT$2-1)</f>
        <v>1666.408675</v>
      </c>
      <c r="AU5" s="11" t="n">
        <f aca="false">Units!$E4*(1+Inputs!$B$7)^(AU$2-1)</f>
        <v>1666.408675</v>
      </c>
      <c r="AV5" s="11" t="n">
        <f aca="false">Units!$E4*(1+Inputs!$B$7)^(AV$2-1)</f>
        <v>1666.408675</v>
      </c>
      <c r="AW5" s="11" t="n">
        <f aca="false">Units!$E4*(1+Inputs!$B$7)^(AW$2-1)</f>
        <v>1666.408675</v>
      </c>
      <c r="AX5" s="11" t="n">
        <f aca="false">Units!$E4*(1+Inputs!$B$7)^(AX$2-1)</f>
        <v>1666.408675</v>
      </c>
      <c r="AY5" s="11" t="n">
        <f aca="false">Units!$E4*(1+Inputs!$B$7)^(AY$2-1)</f>
        <v>1716.40093525</v>
      </c>
      <c r="AZ5" s="11" t="n">
        <f aca="false">Units!$E4*(1+Inputs!$B$7)^(AZ$2-1)</f>
        <v>1716.40093525</v>
      </c>
      <c r="BA5" s="11" t="n">
        <f aca="false">Units!$E4*(1+Inputs!$B$7)^(BA$2-1)</f>
        <v>1716.40093525</v>
      </c>
      <c r="BB5" s="11" t="n">
        <f aca="false">Units!$E4*(1+Inputs!$B$7)^(BB$2-1)</f>
        <v>1716.40093525</v>
      </c>
      <c r="BC5" s="11" t="n">
        <f aca="false">Units!$E4*(1+Inputs!$B$7)^(BC$2-1)</f>
        <v>1716.40093525</v>
      </c>
      <c r="BD5" s="11" t="n">
        <f aca="false">Units!$E4*(1+Inputs!$B$7)^(BD$2-1)</f>
        <v>1716.40093525</v>
      </c>
      <c r="BE5" s="11" t="n">
        <f aca="false">Units!$E4*(1+Inputs!$B$7)^(BE$2-1)</f>
        <v>1716.40093525</v>
      </c>
      <c r="BF5" s="11" t="n">
        <f aca="false">Units!$E4*(1+Inputs!$B$7)^(BF$2-1)</f>
        <v>1716.40093525</v>
      </c>
      <c r="BG5" s="11" t="n">
        <f aca="false">Units!$E4*(1+Inputs!$B$7)^(BG$2-1)</f>
        <v>1716.40093525</v>
      </c>
      <c r="BH5" s="11" t="n">
        <f aca="false">Units!$E4*(1+Inputs!$B$7)^(BH$2-1)</f>
        <v>1716.40093525</v>
      </c>
      <c r="BI5" s="11" t="n">
        <f aca="false">Units!$E4*(1+Inputs!$B$7)^(BI$2-1)</f>
        <v>1716.40093525</v>
      </c>
      <c r="BJ5" s="11" t="n">
        <f aca="false">Units!$E4*(1+Inputs!$B$7)^(BJ$2-1)</f>
        <v>1716.40093525</v>
      </c>
      <c r="BK5" s="11" t="n">
        <f aca="false">Units!$E4*(1+Inputs!$B$7)^(BK$2-1)</f>
        <v>1767.8929633075</v>
      </c>
      <c r="BL5" s="11" t="n">
        <f aca="false">Units!$E4*(1+Inputs!$B$7)^(BL$2-1)</f>
        <v>1767.8929633075</v>
      </c>
      <c r="BM5" s="11" t="n">
        <f aca="false">Units!$E4*(1+Inputs!$B$7)^(BM$2-1)</f>
        <v>1767.8929633075</v>
      </c>
      <c r="BN5" s="11" t="n">
        <f aca="false">Units!$E4*(1+Inputs!$B$7)^(BN$2-1)</f>
        <v>1767.8929633075</v>
      </c>
      <c r="BO5" s="11" t="n">
        <f aca="false">Units!$E4*(1+Inputs!$B$7)^(BO$2-1)</f>
        <v>1767.8929633075</v>
      </c>
      <c r="BP5" s="11" t="n">
        <f aca="false">Units!$E4*(1+Inputs!$B$7)^(BP$2-1)</f>
        <v>1767.8929633075</v>
      </c>
      <c r="BQ5" s="11" t="n">
        <f aca="false">Units!$E4*(1+Inputs!$B$7)^(BQ$2-1)</f>
        <v>1767.8929633075</v>
      </c>
      <c r="BR5" s="11" t="n">
        <f aca="false">Units!$E4*(1+Inputs!$B$7)^(BR$2-1)</f>
        <v>1767.8929633075</v>
      </c>
      <c r="BS5" s="11" t="n">
        <f aca="false">Units!$E4*(1+Inputs!$B$7)^(BS$2-1)</f>
        <v>1767.8929633075</v>
      </c>
      <c r="BT5" s="11" t="n">
        <f aca="false">Units!$E4*(1+Inputs!$B$7)^(BT$2-1)</f>
        <v>1767.8929633075</v>
      </c>
      <c r="BU5" s="11" t="n">
        <f aca="false">Units!$E4*(1+Inputs!$B$7)^(BU$2-1)</f>
        <v>1767.8929633075</v>
      </c>
      <c r="BV5" s="11" t="n">
        <f aca="false">Units!$E4*(1+Inputs!$B$7)^(BV$2-1)</f>
        <v>1767.8929633075</v>
      </c>
      <c r="BW5" s="11" t="n">
        <f aca="false">Units!$E4*(1+Inputs!$B$7)^(BW$2-1)</f>
        <v>1820.92975220673</v>
      </c>
      <c r="BX5" s="11" t="n">
        <f aca="false">Units!$E4*(1+Inputs!$B$7)^(BX$2-1)</f>
        <v>1820.92975220673</v>
      </c>
      <c r="BY5" s="11" t="n">
        <f aca="false">Units!$E4*(1+Inputs!$B$7)^(BY$2-1)</f>
        <v>1820.92975220673</v>
      </c>
      <c r="BZ5" s="11" t="n">
        <f aca="false">Units!$E4*(1+Inputs!$B$7)^(BZ$2-1)</f>
        <v>1820.92975220673</v>
      </c>
      <c r="CA5" s="11" t="n">
        <f aca="false">Units!$E4*(1+Inputs!$B$7)^(CA$2-1)</f>
        <v>1820.92975220673</v>
      </c>
      <c r="CB5" s="11" t="n">
        <f aca="false">Units!$E4*(1+Inputs!$B$7)^(CB$2-1)</f>
        <v>1820.92975220673</v>
      </c>
      <c r="CC5" s="11" t="n">
        <f aca="false">Units!$E4*(1+Inputs!$B$7)^(CC$2-1)</f>
        <v>1820.92975220673</v>
      </c>
      <c r="CD5" s="11" t="n">
        <f aca="false">Units!$E4*(1+Inputs!$B$7)^(CD$2-1)</f>
        <v>1820.92975220673</v>
      </c>
      <c r="CE5" s="11" t="n">
        <f aca="false">Units!$E4*(1+Inputs!$B$7)^(CE$2-1)</f>
        <v>1820.92975220673</v>
      </c>
      <c r="CF5" s="11" t="n">
        <f aca="false">Units!$E4*(1+Inputs!$B$7)^(CF$2-1)</f>
        <v>1820.92975220673</v>
      </c>
      <c r="CG5" s="11" t="n">
        <f aca="false">Units!$E4*(1+Inputs!$B$7)^(CG$2-1)</f>
        <v>1820.92975220673</v>
      </c>
      <c r="CH5" s="11" t="n">
        <f aca="false">Units!$E4*(1+Inputs!$B$7)^(CH$2-1)</f>
        <v>1820.92975220673</v>
      </c>
      <c r="CI5" s="11" t="n">
        <f aca="false">Units!$E4*(1+Inputs!$B$7)^(CI$2-1)</f>
        <v>1875.55764477293</v>
      </c>
      <c r="CJ5" s="11" t="n">
        <f aca="false">Units!$E4*(1+Inputs!$B$7)^(CJ$2-1)</f>
        <v>1875.55764477293</v>
      </c>
      <c r="CK5" s="11" t="n">
        <f aca="false">Units!$E4*(1+Inputs!$B$7)^(CK$2-1)</f>
        <v>1875.55764477293</v>
      </c>
      <c r="CL5" s="11" t="n">
        <f aca="false">Units!$E4*(1+Inputs!$B$7)^(CL$2-1)</f>
        <v>1875.55764477293</v>
      </c>
      <c r="CM5" s="11" t="n">
        <f aca="false">Units!$E4*(1+Inputs!$B$7)^(CM$2-1)</f>
        <v>1875.55764477293</v>
      </c>
      <c r="CN5" s="11" t="n">
        <f aca="false">Units!$E4*(1+Inputs!$B$7)^(CN$2-1)</f>
        <v>1875.55764477293</v>
      </c>
      <c r="CO5" s="11" t="n">
        <f aca="false">Units!$E4*(1+Inputs!$B$7)^(CO$2-1)</f>
        <v>1875.55764477293</v>
      </c>
      <c r="CP5" s="11" t="n">
        <f aca="false">Units!$E4*(1+Inputs!$B$7)^(CP$2-1)</f>
        <v>1875.55764477293</v>
      </c>
      <c r="CQ5" s="11" t="n">
        <f aca="false">Units!$E4*(1+Inputs!$B$7)^(CQ$2-1)</f>
        <v>1875.55764477293</v>
      </c>
      <c r="CR5" s="11" t="n">
        <f aca="false">Units!$E4*(1+Inputs!$B$7)^(CR$2-1)</f>
        <v>1875.55764477293</v>
      </c>
      <c r="CS5" s="11" t="n">
        <f aca="false">Units!$E4*(1+Inputs!$B$7)^(CS$2-1)</f>
        <v>1875.55764477293</v>
      </c>
      <c r="CT5" s="11" t="n">
        <f aca="false">Units!$E4*(1+Inputs!$B$7)^(CT$2-1)</f>
        <v>1875.55764477293</v>
      </c>
      <c r="CU5" s="11" t="n">
        <f aca="false">Units!$E4*(1+Inputs!$B$7)^(CU$2-1)</f>
        <v>1931.82437411612</v>
      </c>
      <c r="CV5" s="11" t="n">
        <f aca="false">Units!$E4*(1+Inputs!$B$7)^(CV$2-1)</f>
        <v>1931.82437411612</v>
      </c>
      <c r="CW5" s="11" t="n">
        <f aca="false">Units!$E4*(1+Inputs!$B$7)^(CW$2-1)</f>
        <v>1931.82437411612</v>
      </c>
      <c r="CX5" s="11" t="n">
        <f aca="false">Units!$E4*(1+Inputs!$B$7)^(CX$2-1)</f>
        <v>1931.82437411612</v>
      </c>
      <c r="CY5" s="11" t="n">
        <f aca="false">Units!$E4*(1+Inputs!$B$7)^(CY$2-1)</f>
        <v>1931.82437411612</v>
      </c>
      <c r="CZ5" s="11" t="n">
        <f aca="false">Units!$E4*(1+Inputs!$B$7)^(CZ$2-1)</f>
        <v>1931.82437411612</v>
      </c>
      <c r="DA5" s="11" t="n">
        <f aca="false">Units!$E4*(1+Inputs!$B$7)^(DA$2-1)</f>
        <v>1931.82437411612</v>
      </c>
      <c r="DB5" s="11" t="n">
        <f aca="false">Units!$E4*(1+Inputs!$B$7)^(DB$2-1)</f>
        <v>1931.82437411612</v>
      </c>
      <c r="DC5" s="11" t="n">
        <f aca="false">Units!$E4*(1+Inputs!$B$7)^(DC$2-1)</f>
        <v>1931.82437411612</v>
      </c>
      <c r="DD5" s="11" t="n">
        <f aca="false">Units!$E4*(1+Inputs!$B$7)^(DD$2-1)</f>
        <v>1931.82437411612</v>
      </c>
      <c r="DE5" s="11" t="n">
        <f aca="false">Units!$E4*(1+Inputs!$B$7)^(DE$2-1)</f>
        <v>1931.82437411612</v>
      </c>
      <c r="DF5" s="11" t="n">
        <f aca="false">Units!$E4*(1+Inputs!$B$7)^(DF$2-1)</f>
        <v>1931.82437411612</v>
      </c>
      <c r="DG5" s="11" t="n">
        <f aca="false">Units!$E4*(1+Inputs!$B$7)^(DG$2-1)</f>
        <v>1989.7791053396</v>
      </c>
      <c r="DH5" s="11" t="n">
        <f aca="false">Units!$E4*(1+Inputs!$B$7)^(DH$2-1)</f>
        <v>1989.7791053396</v>
      </c>
      <c r="DI5" s="11" t="n">
        <f aca="false">Units!$E4*(1+Inputs!$B$7)^(DI$2-1)</f>
        <v>1989.7791053396</v>
      </c>
      <c r="DJ5" s="11" t="n">
        <f aca="false">Units!$E4*(1+Inputs!$B$7)^(DJ$2-1)</f>
        <v>1989.7791053396</v>
      </c>
      <c r="DK5" s="11" t="n">
        <f aca="false">Units!$E4*(1+Inputs!$B$7)^(DK$2-1)</f>
        <v>1989.7791053396</v>
      </c>
      <c r="DL5" s="11" t="n">
        <f aca="false">Units!$E4*(1+Inputs!$B$7)^(DL$2-1)</f>
        <v>1989.7791053396</v>
      </c>
      <c r="DM5" s="11" t="n">
        <f aca="false">Units!$E4*(1+Inputs!$B$7)^(DM$2-1)</f>
        <v>1989.7791053396</v>
      </c>
      <c r="DN5" s="11" t="n">
        <f aca="false">Units!$E4*(1+Inputs!$B$7)^(DN$2-1)</f>
        <v>1989.7791053396</v>
      </c>
      <c r="DO5" s="11" t="n">
        <f aca="false">Units!$E4*(1+Inputs!$B$7)^(DO$2-1)</f>
        <v>1989.7791053396</v>
      </c>
      <c r="DP5" s="11" t="n">
        <f aca="false">Units!$E4*(1+Inputs!$B$7)^(DP$2-1)</f>
        <v>1989.7791053396</v>
      </c>
      <c r="DQ5" s="11" t="n">
        <f aca="false">Units!$E4*(1+Inputs!$B$7)^(DQ$2-1)</f>
        <v>1989.7791053396</v>
      </c>
      <c r="DR5" s="11" t="n">
        <f aca="false">Units!$E4*(1+Inputs!$B$7)^(DR$2-1)</f>
        <v>1989.7791053396</v>
      </c>
      <c r="DS5" s="11" t="n">
        <f aca="false">Units!$E4*(1+Inputs!$B$7)^(DS$2-1)</f>
        <v>2049.47247849979</v>
      </c>
      <c r="DT5" s="11" t="n">
        <f aca="false">Units!$E4*(1+Inputs!$B$7)^(DT$2-1)</f>
        <v>2049.47247849979</v>
      </c>
      <c r="DU5" s="11" t="n">
        <f aca="false">Units!$E4*(1+Inputs!$B$7)^(DU$2-1)</f>
        <v>2049.47247849979</v>
      </c>
      <c r="DV5" s="11" t="n">
        <f aca="false">Units!$E4*(1+Inputs!$B$7)^(DV$2-1)</f>
        <v>2049.47247849979</v>
      </c>
      <c r="DW5" s="11" t="n">
        <f aca="false">Units!$E4*(1+Inputs!$B$7)^(DW$2-1)</f>
        <v>2049.47247849979</v>
      </c>
      <c r="DX5" s="11" t="n">
        <f aca="false">Units!$E4*(1+Inputs!$B$7)^(DX$2-1)</f>
        <v>2049.47247849979</v>
      </c>
      <c r="DY5" s="11" t="n">
        <f aca="false">Units!$E4*(1+Inputs!$B$7)^(DY$2-1)</f>
        <v>2049.47247849979</v>
      </c>
      <c r="DZ5" s="11" t="n">
        <f aca="false">Units!$E4*(1+Inputs!$B$7)^(DZ$2-1)</f>
        <v>2049.47247849979</v>
      </c>
      <c r="EA5" s="11" t="n">
        <f aca="false">Units!$E4*(1+Inputs!$B$7)^(EA$2-1)</f>
        <v>2049.47247849979</v>
      </c>
      <c r="EB5" s="11" t="n">
        <f aca="false">Units!$E4*(1+Inputs!$B$7)^(EB$2-1)</f>
        <v>2049.47247849979</v>
      </c>
      <c r="EC5" s="11" t="n">
        <f aca="false">Units!$E4*(1+Inputs!$B$7)^(EC$2-1)</f>
        <v>2049.47247849979</v>
      </c>
      <c r="ED5" s="11" t="n">
        <f aca="false">Units!$E4*(1+Inputs!$B$7)^(ED$2-1)</f>
        <v>2049.47247849979</v>
      </c>
    </row>
    <row r="6" customFormat="false" ht="15" hidden="false" customHeight="false" outlineLevel="0" collapsed="false">
      <c r="A6" s="22" t="n">
        <f aca="false">Units!A5</f>
        <v>104</v>
      </c>
      <c r="B6" s="23"/>
      <c r="C6" s="11" t="n">
        <f aca="false">Units!$E5*(1+Inputs!$B$7)^(C$2-1)</f>
        <v>1525</v>
      </c>
      <c r="D6" s="11" t="n">
        <f aca="false">Units!$E5*(1+Inputs!$B$7)^(D$2-1)</f>
        <v>1525</v>
      </c>
      <c r="E6" s="11" t="n">
        <f aca="false">Units!$E5*(1+Inputs!$B$7)^(E$2-1)</f>
        <v>1525</v>
      </c>
      <c r="F6" s="11" t="n">
        <f aca="false">Units!$E5*(1+Inputs!$B$7)^(F$2-1)</f>
        <v>1525</v>
      </c>
      <c r="G6" s="11" t="n">
        <f aca="false">Units!$E5*(1+Inputs!$B$7)^(G$2-1)</f>
        <v>1525</v>
      </c>
      <c r="H6" s="11" t="n">
        <f aca="false">Units!$E5*(1+Inputs!$B$7)^(H$2-1)</f>
        <v>1525</v>
      </c>
      <c r="I6" s="11" t="n">
        <f aca="false">Units!$E5*(1+Inputs!$B$7)^(I$2-1)</f>
        <v>1525</v>
      </c>
      <c r="J6" s="11" t="n">
        <f aca="false">Units!$E5*(1+Inputs!$B$7)^(J$2-1)</f>
        <v>1525</v>
      </c>
      <c r="K6" s="11" t="n">
        <f aca="false">Units!$E5*(1+Inputs!$B$7)^(K$2-1)</f>
        <v>1525</v>
      </c>
      <c r="L6" s="11" t="n">
        <f aca="false">Units!$E5*(1+Inputs!$B$7)^(L$2-1)</f>
        <v>1525</v>
      </c>
      <c r="M6" s="11" t="n">
        <f aca="false">Units!$E5*(1+Inputs!$B$7)^(M$2-1)</f>
        <v>1525</v>
      </c>
      <c r="N6" s="11" t="n">
        <f aca="false">Units!$E5*(1+Inputs!$B$7)^(N$2-1)</f>
        <v>1525</v>
      </c>
      <c r="O6" s="11" t="n">
        <f aca="false">Units!$E5*(1+Inputs!$B$7)^(O$2-1)</f>
        <v>1570.75</v>
      </c>
      <c r="P6" s="11" t="n">
        <f aca="false">Units!$E5*(1+Inputs!$B$7)^(P$2-1)</f>
        <v>1570.75</v>
      </c>
      <c r="Q6" s="11" t="n">
        <f aca="false">Units!$E5*(1+Inputs!$B$7)^(Q$2-1)</f>
        <v>1570.75</v>
      </c>
      <c r="R6" s="11" t="n">
        <f aca="false">Units!$E5*(1+Inputs!$B$7)^(R$2-1)</f>
        <v>1570.75</v>
      </c>
      <c r="S6" s="11" t="n">
        <f aca="false">Units!$E5*(1+Inputs!$B$7)^(S$2-1)</f>
        <v>1570.75</v>
      </c>
      <c r="T6" s="11" t="n">
        <f aca="false">Units!$E5*(1+Inputs!$B$7)^(T$2-1)</f>
        <v>1570.75</v>
      </c>
      <c r="U6" s="11" t="n">
        <f aca="false">Units!$E5*(1+Inputs!$B$7)^(U$2-1)</f>
        <v>1570.75</v>
      </c>
      <c r="V6" s="11" t="n">
        <f aca="false">Units!$E5*(1+Inputs!$B$7)^(V$2-1)</f>
        <v>1570.75</v>
      </c>
      <c r="W6" s="11" t="n">
        <f aca="false">Units!$E5*(1+Inputs!$B$7)^(W$2-1)</f>
        <v>1570.75</v>
      </c>
      <c r="X6" s="11" t="n">
        <f aca="false">Units!$E5*(1+Inputs!$B$7)^(X$2-1)</f>
        <v>1570.75</v>
      </c>
      <c r="Y6" s="11" t="n">
        <f aca="false">Units!$E5*(1+Inputs!$B$7)^(Y$2-1)</f>
        <v>1570.75</v>
      </c>
      <c r="Z6" s="11" t="n">
        <f aca="false">Units!$E5*(1+Inputs!$B$7)^(Z$2-1)</f>
        <v>1570.75</v>
      </c>
      <c r="AA6" s="11" t="n">
        <f aca="false">Units!$E5*(1+Inputs!$B$7)^(AA$2-1)</f>
        <v>1617.8725</v>
      </c>
      <c r="AB6" s="11" t="n">
        <f aca="false">Units!$E5*(1+Inputs!$B$7)^(AB$2-1)</f>
        <v>1617.8725</v>
      </c>
      <c r="AC6" s="11" t="n">
        <f aca="false">Units!$E5*(1+Inputs!$B$7)^(AC$2-1)</f>
        <v>1617.8725</v>
      </c>
      <c r="AD6" s="11" t="n">
        <f aca="false">Units!$E5*(1+Inputs!$B$7)^(AD$2-1)</f>
        <v>1617.8725</v>
      </c>
      <c r="AE6" s="11" t="n">
        <f aca="false">Units!$E5*(1+Inputs!$B$7)^(AE$2-1)</f>
        <v>1617.8725</v>
      </c>
      <c r="AF6" s="11" t="n">
        <f aca="false">Units!$E5*(1+Inputs!$B$7)^(AF$2-1)</f>
        <v>1617.8725</v>
      </c>
      <c r="AG6" s="11" t="n">
        <f aca="false">Units!$E5*(1+Inputs!$B$7)^(AG$2-1)</f>
        <v>1617.8725</v>
      </c>
      <c r="AH6" s="11" t="n">
        <f aca="false">Units!$E5*(1+Inputs!$B$7)^(AH$2-1)</f>
        <v>1617.8725</v>
      </c>
      <c r="AI6" s="11" t="n">
        <f aca="false">Units!$E5*(1+Inputs!$B$7)^(AI$2-1)</f>
        <v>1617.8725</v>
      </c>
      <c r="AJ6" s="11" t="n">
        <f aca="false">Units!$E5*(1+Inputs!$B$7)^(AJ$2-1)</f>
        <v>1617.8725</v>
      </c>
      <c r="AK6" s="11" t="n">
        <f aca="false">Units!$E5*(1+Inputs!$B$7)^(AK$2-1)</f>
        <v>1617.8725</v>
      </c>
      <c r="AL6" s="11" t="n">
        <f aca="false">Units!$E5*(1+Inputs!$B$7)^(AL$2-1)</f>
        <v>1617.8725</v>
      </c>
      <c r="AM6" s="11" t="n">
        <f aca="false">Units!$E5*(1+Inputs!$B$7)^(AM$2-1)</f>
        <v>1666.408675</v>
      </c>
      <c r="AN6" s="11" t="n">
        <f aca="false">Units!$E5*(1+Inputs!$B$7)^(AN$2-1)</f>
        <v>1666.408675</v>
      </c>
      <c r="AO6" s="11" t="n">
        <f aca="false">Units!$E5*(1+Inputs!$B$7)^(AO$2-1)</f>
        <v>1666.408675</v>
      </c>
      <c r="AP6" s="11" t="n">
        <f aca="false">Units!$E5*(1+Inputs!$B$7)^(AP$2-1)</f>
        <v>1666.408675</v>
      </c>
      <c r="AQ6" s="11" t="n">
        <f aca="false">Units!$E5*(1+Inputs!$B$7)^(AQ$2-1)</f>
        <v>1666.408675</v>
      </c>
      <c r="AR6" s="11" t="n">
        <f aca="false">Units!$E5*(1+Inputs!$B$7)^(AR$2-1)</f>
        <v>1666.408675</v>
      </c>
      <c r="AS6" s="11" t="n">
        <f aca="false">Units!$E5*(1+Inputs!$B$7)^(AS$2-1)</f>
        <v>1666.408675</v>
      </c>
      <c r="AT6" s="11" t="n">
        <f aca="false">Units!$E5*(1+Inputs!$B$7)^(AT$2-1)</f>
        <v>1666.408675</v>
      </c>
      <c r="AU6" s="11" t="n">
        <f aca="false">Units!$E5*(1+Inputs!$B$7)^(AU$2-1)</f>
        <v>1666.408675</v>
      </c>
      <c r="AV6" s="11" t="n">
        <f aca="false">Units!$E5*(1+Inputs!$B$7)^(AV$2-1)</f>
        <v>1666.408675</v>
      </c>
      <c r="AW6" s="11" t="n">
        <f aca="false">Units!$E5*(1+Inputs!$B$7)^(AW$2-1)</f>
        <v>1666.408675</v>
      </c>
      <c r="AX6" s="11" t="n">
        <f aca="false">Units!$E5*(1+Inputs!$B$7)^(AX$2-1)</f>
        <v>1666.408675</v>
      </c>
      <c r="AY6" s="11" t="n">
        <f aca="false">Units!$E5*(1+Inputs!$B$7)^(AY$2-1)</f>
        <v>1716.40093525</v>
      </c>
      <c r="AZ6" s="11" t="n">
        <f aca="false">Units!$E5*(1+Inputs!$B$7)^(AZ$2-1)</f>
        <v>1716.40093525</v>
      </c>
      <c r="BA6" s="11" t="n">
        <f aca="false">Units!$E5*(1+Inputs!$B$7)^(BA$2-1)</f>
        <v>1716.40093525</v>
      </c>
      <c r="BB6" s="11" t="n">
        <f aca="false">Units!$E5*(1+Inputs!$B$7)^(BB$2-1)</f>
        <v>1716.40093525</v>
      </c>
      <c r="BC6" s="11" t="n">
        <f aca="false">Units!$E5*(1+Inputs!$B$7)^(BC$2-1)</f>
        <v>1716.40093525</v>
      </c>
      <c r="BD6" s="11" t="n">
        <f aca="false">Units!$E5*(1+Inputs!$B$7)^(BD$2-1)</f>
        <v>1716.40093525</v>
      </c>
      <c r="BE6" s="11" t="n">
        <f aca="false">Units!$E5*(1+Inputs!$B$7)^(BE$2-1)</f>
        <v>1716.40093525</v>
      </c>
      <c r="BF6" s="11" t="n">
        <f aca="false">Units!$E5*(1+Inputs!$B$7)^(BF$2-1)</f>
        <v>1716.40093525</v>
      </c>
      <c r="BG6" s="11" t="n">
        <f aca="false">Units!$E5*(1+Inputs!$B$7)^(BG$2-1)</f>
        <v>1716.40093525</v>
      </c>
      <c r="BH6" s="11" t="n">
        <f aca="false">Units!$E5*(1+Inputs!$B$7)^(BH$2-1)</f>
        <v>1716.40093525</v>
      </c>
      <c r="BI6" s="11" t="n">
        <f aca="false">Units!$E5*(1+Inputs!$B$7)^(BI$2-1)</f>
        <v>1716.40093525</v>
      </c>
      <c r="BJ6" s="11" t="n">
        <f aca="false">Units!$E5*(1+Inputs!$B$7)^(BJ$2-1)</f>
        <v>1716.40093525</v>
      </c>
      <c r="BK6" s="11" t="n">
        <f aca="false">Units!$E5*(1+Inputs!$B$7)^(BK$2-1)</f>
        <v>1767.8929633075</v>
      </c>
      <c r="BL6" s="11" t="n">
        <f aca="false">Units!$E5*(1+Inputs!$B$7)^(BL$2-1)</f>
        <v>1767.8929633075</v>
      </c>
      <c r="BM6" s="11" t="n">
        <f aca="false">Units!$E5*(1+Inputs!$B$7)^(BM$2-1)</f>
        <v>1767.8929633075</v>
      </c>
      <c r="BN6" s="11" t="n">
        <f aca="false">Units!$E5*(1+Inputs!$B$7)^(BN$2-1)</f>
        <v>1767.8929633075</v>
      </c>
      <c r="BO6" s="11" t="n">
        <f aca="false">Units!$E5*(1+Inputs!$B$7)^(BO$2-1)</f>
        <v>1767.8929633075</v>
      </c>
      <c r="BP6" s="11" t="n">
        <f aca="false">Units!$E5*(1+Inputs!$B$7)^(BP$2-1)</f>
        <v>1767.8929633075</v>
      </c>
      <c r="BQ6" s="11" t="n">
        <f aca="false">Units!$E5*(1+Inputs!$B$7)^(BQ$2-1)</f>
        <v>1767.8929633075</v>
      </c>
      <c r="BR6" s="11" t="n">
        <f aca="false">Units!$E5*(1+Inputs!$B$7)^(BR$2-1)</f>
        <v>1767.8929633075</v>
      </c>
      <c r="BS6" s="11" t="n">
        <f aca="false">Units!$E5*(1+Inputs!$B$7)^(BS$2-1)</f>
        <v>1767.8929633075</v>
      </c>
      <c r="BT6" s="11" t="n">
        <f aca="false">Units!$E5*(1+Inputs!$B$7)^(BT$2-1)</f>
        <v>1767.8929633075</v>
      </c>
      <c r="BU6" s="11" t="n">
        <f aca="false">Units!$E5*(1+Inputs!$B$7)^(BU$2-1)</f>
        <v>1767.8929633075</v>
      </c>
      <c r="BV6" s="11" t="n">
        <f aca="false">Units!$E5*(1+Inputs!$B$7)^(BV$2-1)</f>
        <v>1767.8929633075</v>
      </c>
      <c r="BW6" s="11" t="n">
        <f aca="false">Units!$E5*(1+Inputs!$B$7)^(BW$2-1)</f>
        <v>1820.92975220673</v>
      </c>
      <c r="BX6" s="11" t="n">
        <f aca="false">Units!$E5*(1+Inputs!$B$7)^(BX$2-1)</f>
        <v>1820.92975220673</v>
      </c>
      <c r="BY6" s="11" t="n">
        <f aca="false">Units!$E5*(1+Inputs!$B$7)^(BY$2-1)</f>
        <v>1820.92975220673</v>
      </c>
      <c r="BZ6" s="11" t="n">
        <f aca="false">Units!$E5*(1+Inputs!$B$7)^(BZ$2-1)</f>
        <v>1820.92975220673</v>
      </c>
      <c r="CA6" s="11" t="n">
        <f aca="false">Units!$E5*(1+Inputs!$B$7)^(CA$2-1)</f>
        <v>1820.92975220673</v>
      </c>
      <c r="CB6" s="11" t="n">
        <f aca="false">Units!$E5*(1+Inputs!$B$7)^(CB$2-1)</f>
        <v>1820.92975220673</v>
      </c>
      <c r="CC6" s="11" t="n">
        <f aca="false">Units!$E5*(1+Inputs!$B$7)^(CC$2-1)</f>
        <v>1820.92975220673</v>
      </c>
      <c r="CD6" s="11" t="n">
        <f aca="false">Units!$E5*(1+Inputs!$B$7)^(CD$2-1)</f>
        <v>1820.92975220673</v>
      </c>
      <c r="CE6" s="11" t="n">
        <f aca="false">Units!$E5*(1+Inputs!$B$7)^(CE$2-1)</f>
        <v>1820.92975220673</v>
      </c>
      <c r="CF6" s="11" t="n">
        <f aca="false">Units!$E5*(1+Inputs!$B$7)^(CF$2-1)</f>
        <v>1820.92975220673</v>
      </c>
      <c r="CG6" s="11" t="n">
        <f aca="false">Units!$E5*(1+Inputs!$B$7)^(CG$2-1)</f>
        <v>1820.92975220673</v>
      </c>
      <c r="CH6" s="11" t="n">
        <f aca="false">Units!$E5*(1+Inputs!$B$7)^(CH$2-1)</f>
        <v>1820.92975220673</v>
      </c>
      <c r="CI6" s="11" t="n">
        <f aca="false">Units!$E5*(1+Inputs!$B$7)^(CI$2-1)</f>
        <v>1875.55764477293</v>
      </c>
      <c r="CJ6" s="11" t="n">
        <f aca="false">Units!$E5*(1+Inputs!$B$7)^(CJ$2-1)</f>
        <v>1875.55764477293</v>
      </c>
      <c r="CK6" s="11" t="n">
        <f aca="false">Units!$E5*(1+Inputs!$B$7)^(CK$2-1)</f>
        <v>1875.55764477293</v>
      </c>
      <c r="CL6" s="11" t="n">
        <f aca="false">Units!$E5*(1+Inputs!$B$7)^(CL$2-1)</f>
        <v>1875.55764477293</v>
      </c>
      <c r="CM6" s="11" t="n">
        <f aca="false">Units!$E5*(1+Inputs!$B$7)^(CM$2-1)</f>
        <v>1875.55764477293</v>
      </c>
      <c r="CN6" s="11" t="n">
        <f aca="false">Units!$E5*(1+Inputs!$B$7)^(CN$2-1)</f>
        <v>1875.55764477293</v>
      </c>
      <c r="CO6" s="11" t="n">
        <f aca="false">Units!$E5*(1+Inputs!$B$7)^(CO$2-1)</f>
        <v>1875.55764477293</v>
      </c>
      <c r="CP6" s="11" t="n">
        <f aca="false">Units!$E5*(1+Inputs!$B$7)^(CP$2-1)</f>
        <v>1875.55764477293</v>
      </c>
      <c r="CQ6" s="11" t="n">
        <f aca="false">Units!$E5*(1+Inputs!$B$7)^(CQ$2-1)</f>
        <v>1875.55764477293</v>
      </c>
      <c r="CR6" s="11" t="n">
        <f aca="false">Units!$E5*(1+Inputs!$B$7)^(CR$2-1)</f>
        <v>1875.55764477293</v>
      </c>
      <c r="CS6" s="11" t="n">
        <f aca="false">Units!$E5*(1+Inputs!$B$7)^(CS$2-1)</f>
        <v>1875.55764477293</v>
      </c>
      <c r="CT6" s="11" t="n">
        <f aca="false">Units!$E5*(1+Inputs!$B$7)^(CT$2-1)</f>
        <v>1875.55764477293</v>
      </c>
      <c r="CU6" s="11" t="n">
        <f aca="false">Units!$E5*(1+Inputs!$B$7)^(CU$2-1)</f>
        <v>1931.82437411612</v>
      </c>
      <c r="CV6" s="11" t="n">
        <f aca="false">Units!$E5*(1+Inputs!$B$7)^(CV$2-1)</f>
        <v>1931.82437411612</v>
      </c>
      <c r="CW6" s="11" t="n">
        <f aca="false">Units!$E5*(1+Inputs!$B$7)^(CW$2-1)</f>
        <v>1931.82437411612</v>
      </c>
      <c r="CX6" s="11" t="n">
        <f aca="false">Units!$E5*(1+Inputs!$B$7)^(CX$2-1)</f>
        <v>1931.82437411612</v>
      </c>
      <c r="CY6" s="11" t="n">
        <f aca="false">Units!$E5*(1+Inputs!$B$7)^(CY$2-1)</f>
        <v>1931.82437411612</v>
      </c>
      <c r="CZ6" s="11" t="n">
        <f aca="false">Units!$E5*(1+Inputs!$B$7)^(CZ$2-1)</f>
        <v>1931.82437411612</v>
      </c>
      <c r="DA6" s="11" t="n">
        <f aca="false">Units!$E5*(1+Inputs!$B$7)^(DA$2-1)</f>
        <v>1931.82437411612</v>
      </c>
      <c r="DB6" s="11" t="n">
        <f aca="false">Units!$E5*(1+Inputs!$B$7)^(DB$2-1)</f>
        <v>1931.82437411612</v>
      </c>
      <c r="DC6" s="11" t="n">
        <f aca="false">Units!$E5*(1+Inputs!$B$7)^(DC$2-1)</f>
        <v>1931.82437411612</v>
      </c>
      <c r="DD6" s="11" t="n">
        <f aca="false">Units!$E5*(1+Inputs!$B$7)^(DD$2-1)</f>
        <v>1931.82437411612</v>
      </c>
      <c r="DE6" s="11" t="n">
        <f aca="false">Units!$E5*(1+Inputs!$B$7)^(DE$2-1)</f>
        <v>1931.82437411612</v>
      </c>
      <c r="DF6" s="11" t="n">
        <f aca="false">Units!$E5*(1+Inputs!$B$7)^(DF$2-1)</f>
        <v>1931.82437411612</v>
      </c>
      <c r="DG6" s="11" t="n">
        <f aca="false">Units!$E5*(1+Inputs!$B$7)^(DG$2-1)</f>
        <v>1989.7791053396</v>
      </c>
      <c r="DH6" s="11" t="n">
        <f aca="false">Units!$E5*(1+Inputs!$B$7)^(DH$2-1)</f>
        <v>1989.7791053396</v>
      </c>
      <c r="DI6" s="11" t="n">
        <f aca="false">Units!$E5*(1+Inputs!$B$7)^(DI$2-1)</f>
        <v>1989.7791053396</v>
      </c>
      <c r="DJ6" s="11" t="n">
        <f aca="false">Units!$E5*(1+Inputs!$B$7)^(DJ$2-1)</f>
        <v>1989.7791053396</v>
      </c>
      <c r="DK6" s="11" t="n">
        <f aca="false">Units!$E5*(1+Inputs!$B$7)^(DK$2-1)</f>
        <v>1989.7791053396</v>
      </c>
      <c r="DL6" s="11" t="n">
        <f aca="false">Units!$E5*(1+Inputs!$B$7)^(DL$2-1)</f>
        <v>1989.7791053396</v>
      </c>
      <c r="DM6" s="11" t="n">
        <f aca="false">Units!$E5*(1+Inputs!$B$7)^(DM$2-1)</f>
        <v>1989.7791053396</v>
      </c>
      <c r="DN6" s="11" t="n">
        <f aca="false">Units!$E5*(1+Inputs!$B$7)^(DN$2-1)</f>
        <v>1989.7791053396</v>
      </c>
      <c r="DO6" s="11" t="n">
        <f aca="false">Units!$E5*(1+Inputs!$B$7)^(DO$2-1)</f>
        <v>1989.7791053396</v>
      </c>
      <c r="DP6" s="11" t="n">
        <f aca="false">Units!$E5*(1+Inputs!$B$7)^(DP$2-1)</f>
        <v>1989.7791053396</v>
      </c>
      <c r="DQ6" s="11" t="n">
        <f aca="false">Units!$E5*(1+Inputs!$B$7)^(DQ$2-1)</f>
        <v>1989.7791053396</v>
      </c>
      <c r="DR6" s="11" t="n">
        <f aca="false">Units!$E5*(1+Inputs!$B$7)^(DR$2-1)</f>
        <v>1989.7791053396</v>
      </c>
      <c r="DS6" s="11" t="n">
        <f aca="false">Units!$E5*(1+Inputs!$B$7)^(DS$2-1)</f>
        <v>2049.47247849979</v>
      </c>
      <c r="DT6" s="11" t="n">
        <f aca="false">Units!$E5*(1+Inputs!$B$7)^(DT$2-1)</f>
        <v>2049.47247849979</v>
      </c>
      <c r="DU6" s="11" t="n">
        <f aca="false">Units!$E5*(1+Inputs!$B$7)^(DU$2-1)</f>
        <v>2049.47247849979</v>
      </c>
      <c r="DV6" s="11" t="n">
        <f aca="false">Units!$E5*(1+Inputs!$B$7)^(DV$2-1)</f>
        <v>2049.47247849979</v>
      </c>
      <c r="DW6" s="11" t="n">
        <f aca="false">Units!$E5*(1+Inputs!$B$7)^(DW$2-1)</f>
        <v>2049.47247849979</v>
      </c>
      <c r="DX6" s="11" t="n">
        <f aca="false">Units!$E5*(1+Inputs!$B$7)^(DX$2-1)</f>
        <v>2049.47247849979</v>
      </c>
      <c r="DY6" s="11" t="n">
        <f aca="false">Units!$E5*(1+Inputs!$B$7)^(DY$2-1)</f>
        <v>2049.47247849979</v>
      </c>
      <c r="DZ6" s="11" t="n">
        <f aca="false">Units!$E5*(1+Inputs!$B$7)^(DZ$2-1)</f>
        <v>2049.47247849979</v>
      </c>
      <c r="EA6" s="11" t="n">
        <f aca="false">Units!$E5*(1+Inputs!$B$7)^(EA$2-1)</f>
        <v>2049.47247849979</v>
      </c>
      <c r="EB6" s="11" t="n">
        <f aca="false">Units!$E5*(1+Inputs!$B$7)^(EB$2-1)</f>
        <v>2049.47247849979</v>
      </c>
      <c r="EC6" s="11" t="n">
        <f aca="false">Units!$E5*(1+Inputs!$B$7)^(EC$2-1)</f>
        <v>2049.47247849979</v>
      </c>
      <c r="ED6" s="11" t="n">
        <f aca="false">Units!$E5*(1+Inputs!$B$7)^(ED$2-1)</f>
        <v>2049.47247849979</v>
      </c>
    </row>
    <row r="7" customFormat="false" ht="15" hidden="false" customHeight="false" outlineLevel="0" collapsed="false">
      <c r="A7" s="22" t="n">
        <f aca="false">Units!A6</f>
        <v>105</v>
      </c>
      <c r="B7" s="23"/>
      <c r="C7" s="11" t="n">
        <f aca="false">Units!$E6*(1+Inputs!$B$7)^(C$2-1)</f>
        <v>1525</v>
      </c>
      <c r="D7" s="11" t="n">
        <f aca="false">Units!$E6*(1+Inputs!$B$7)^(D$2-1)</f>
        <v>1525</v>
      </c>
      <c r="E7" s="11" t="n">
        <f aca="false">Units!$E6*(1+Inputs!$B$7)^(E$2-1)</f>
        <v>1525</v>
      </c>
      <c r="F7" s="11" t="n">
        <f aca="false">Units!$E6*(1+Inputs!$B$7)^(F$2-1)</f>
        <v>1525</v>
      </c>
      <c r="G7" s="11" t="n">
        <f aca="false">Units!$E6*(1+Inputs!$B$7)^(G$2-1)</f>
        <v>1525</v>
      </c>
      <c r="H7" s="11" t="n">
        <f aca="false">Units!$E6*(1+Inputs!$B$7)^(H$2-1)</f>
        <v>1525</v>
      </c>
      <c r="I7" s="11" t="n">
        <f aca="false">Units!$E6*(1+Inputs!$B$7)^(I$2-1)</f>
        <v>1525</v>
      </c>
      <c r="J7" s="11" t="n">
        <f aca="false">Units!$E6*(1+Inputs!$B$7)^(J$2-1)</f>
        <v>1525</v>
      </c>
      <c r="K7" s="11" t="n">
        <f aca="false">Units!$E6*(1+Inputs!$B$7)^(K$2-1)</f>
        <v>1525</v>
      </c>
      <c r="L7" s="11" t="n">
        <f aca="false">Units!$E6*(1+Inputs!$B$7)^(L$2-1)</f>
        <v>1525</v>
      </c>
      <c r="M7" s="11" t="n">
        <f aca="false">Units!$E6*(1+Inputs!$B$7)^(M$2-1)</f>
        <v>1525</v>
      </c>
      <c r="N7" s="11" t="n">
        <f aca="false">Units!$E6*(1+Inputs!$B$7)^(N$2-1)</f>
        <v>1525</v>
      </c>
      <c r="O7" s="11" t="n">
        <f aca="false">Units!$E6*(1+Inputs!$B$7)^(O$2-1)</f>
        <v>1570.75</v>
      </c>
      <c r="P7" s="11" t="n">
        <f aca="false">Units!$E6*(1+Inputs!$B$7)^(P$2-1)</f>
        <v>1570.75</v>
      </c>
      <c r="Q7" s="11" t="n">
        <f aca="false">Units!$E6*(1+Inputs!$B$7)^(Q$2-1)</f>
        <v>1570.75</v>
      </c>
      <c r="R7" s="11" t="n">
        <f aca="false">Units!$E6*(1+Inputs!$B$7)^(R$2-1)</f>
        <v>1570.75</v>
      </c>
      <c r="S7" s="11" t="n">
        <f aca="false">Units!$E6*(1+Inputs!$B$7)^(S$2-1)</f>
        <v>1570.75</v>
      </c>
      <c r="T7" s="11" t="n">
        <f aca="false">Units!$E6*(1+Inputs!$B$7)^(T$2-1)</f>
        <v>1570.75</v>
      </c>
      <c r="U7" s="11" t="n">
        <f aca="false">Units!$E6*(1+Inputs!$B$7)^(U$2-1)</f>
        <v>1570.75</v>
      </c>
      <c r="V7" s="11" t="n">
        <f aca="false">Units!$E6*(1+Inputs!$B$7)^(V$2-1)</f>
        <v>1570.75</v>
      </c>
      <c r="W7" s="11" t="n">
        <f aca="false">Units!$E6*(1+Inputs!$B$7)^(W$2-1)</f>
        <v>1570.75</v>
      </c>
      <c r="X7" s="11" t="n">
        <f aca="false">Units!$E6*(1+Inputs!$B$7)^(X$2-1)</f>
        <v>1570.75</v>
      </c>
      <c r="Y7" s="11" t="n">
        <f aca="false">Units!$E6*(1+Inputs!$B$7)^(Y$2-1)</f>
        <v>1570.75</v>
      </c>
      <c r="Z7" s="11" t="n">
        <f aca="false">Units!$E6*(1+Inputs!$B$7)^(Z$2-1)</f>
        <v>1570.75</v>
      </c>
      <c r="AA7" s="11" t="n">
        <f aca="false">Units!$E6*(1+Inputs!$B$7)^(AA$2-1)</f>
        <v>1617.8725</v>
      </c>
      <c r="AB7" s="11" t="n">
        <f aca="false">Units!$E6*(1+Inputs!$B$7)^(AB$2-1)</f>
        <v>1617.8725</v>
      </c>
      <c r="AC7" s="11" t="n">
        <f aca="false">Units!$E6*(1+Inputs!$B$7)^(AC$2-1)</f>
        <v>1617.8725</v>
      </c>
      <c r="AD7" s="11" t="n">
        <f aca="false">Units!$E6*(1+Inputs!$B$7)^(AD$2-1)</f>
        <v>1617.8725</v>
      </c>
      <c r="AE7" s="11" t="n">
        <f aca="false">Units!$E6*(1+Inputs!$B$7)^(AE$2-1)</f>
        <v>1617.8725</v>
      </c>
      <c r="AF7" s="11" t="n">
        <f aca="false">Units!$E6*(1+Inputs!$B$7)^(AF$2-1)</f>
        <v>1617.8725</v>
      </c>
      <c r="AG7" s="11" t="n">
        <f aca="false">Units!$E6*(1+Inputs!$B$7)^(AG$2-1)</f>
        <v>1617.8725</v>
      </c>
      <c r="AH7" s="11" t="n">
        <f aca="false">Units!$E6*(1+Inputs!$B$7)^(AH$2-1)</f>
        <v>1617.8725</v>
      </c>
      <c r="AI7" s="11" t="n">
        <f aca="false">Units!$E6*(1+Inputs!$B$7)^(AI$2-1)</f>
        <v>1617.8725</v>
      </c>
      <c r="AJ7" s="11" t="n">
        <f aca="false">Units!$E6*(1+Inputs!$B$7)^(AJ$2-1)</f>
        <v>1617.8725</v>
      </c>
      <c r="AK7" s="11" t="n">
        <f aca="false">Units!$E6*(1+Inputs!$B$7)^(AK$2-1)</f>
        <v>1617.8725</v>
      </c>
      <c r="AL7" s="11" t="n">
        <f aca="false">Units!$E6*(1+Inputs!$B$7)^(AL$2-1)</f>
        <v>1617.8725</v>
      </c>
      <c r="AM7" s="11" t="n">
        <f aca="false">Units!$E6*(1+Inputs!$B$7)^(AM$2-1)</f>
        <v>1666.408675</v>
      </c>
      <c r="AN7" s="11" t="n">
        <f aca="false">Units!$E6*(1+Inputs!$B$7)^(AN$2-1)</f>
        <v>1666.408675</v>
      </c>
      <c r="AO7" s="11" t="n">
        <f aca="false">Units!$E6*(1+Inputs!$B$7)^(AO$2-1)</f>
        <v>1666.408675</v>
      </c>
      <c r="AP7" s="11" t="n">
        <f aca="false">Units!$E6*(1+Inputs!$B$7)^(AP$2-1)</f>
        <v>1666.408675</v>
      </c>
      <c r="AQ7" s="11" t="n">
        <f aca="false">Units!$E6*(1+Inputs!$B$7)^(AQ$2-1)</f>
        <v>1666.408675</v>
      </c>
      <c r="AR7" s="11" t="n">
        <f aca="false">Units!$E6*(1+Inputs!$B$7)^(AR$2-1)</f>
        <v>1666.408675</v>
      </c>
      <c r="AS7" s="11" t="n">
        <f aca="false">Units!$E6*(1+Inputs!$B$7)^(AS$2-1)</f>
        <v>1666.408675</v>
      </c>
      <c r="AT7" s="11" t="n">
        <f aca="false">Units!$E6*(1+Inputs!$B$7)^(AT$2-1)</f>
        <v>1666.408675</v>
      </c>
      <c r="AU7" s="11" t="n">
        <f aca="false">Units!$E6*(1+Inputs!$B$7)^(AU$2-1)</f>
        <v>1666.408675</v>
      </c>
      <c r="AV7" s="11" t="n">
        <f aca="false">Units!$E6*(1+Inputs!$B$7)^(AV$2-1)</f>
        <v>1666.408675</v>
      </c>
      <c r="AW7" s="11" t="n">
        <f aca="false">Units!$E6*(1+Inputs!$B$7)^(AW$2-1)</f>
        <v>1666.408675</v>
      </c>
      <c r="AX7" s="11" t="n">
        <f aca="false">Units!$E6*(1+Inputs!$B$7)^(AX$2-1)</f>
        <v>1666.408675</v>
      </c>
      <c r="AY7" s="11" t="n">
        <f aca="false">Units!$E6*(1+Inputs!$B$7)^(AY$2-1)</f>
        <v>1716.40093525</v>
      </c>
      <c r="AZ7" s="11" t="n">
        <f aca="false">Units!$E6*(1+Inputs!$B$7)^(AZ$2-1)</f>
        <v>1716.40093525</v>
      </c>
      <c r="BA7" s="11" t="n">
        <f aca="false">Units!$E6*(1+Inputs!$B$7)^(BA$2-1)</f>
        <v>1716.40093525</v>
      </c>
      <c r="BB7" s="11" t="n">
        <f aca="false">Units!$E6*(1+Inputs!$B$7)^(BB$2-1)</f>
        <v>1716.40093525</v>
      </c>
      <c r="BC7" s="11" t="n">
        <f aca="false">Units!$E6*(1+Inputs!$B$7)^(BC$2-1)</f>
        <v>1716.40093525</v>
      </c>
      <c r="BD7" s="11" t="n">
        <f aca="false">Units!$E6*(1+Inputs!$B$7)^(BD$2-1)</f>
        <v>1716.40093525</v>
      </c>
      <c r="BE7" s="11" t="n">
        <f aca="false">Units!$E6*(1+Inputs!$B$7)^(BE$2-1)</f>
        <v>1716.40093525</v>
      </c>
      <c r="BF7" s="11" t="n">
        <f aca="false">Units!$E6*(1+Inputs!$B$7)^(BF$2-1)</f>
        <v>1716.40093525</v>
      </c>
      <c r="BG7" s="11" t="n">
        <f aca="false">Units!$E6*(1+Inputs!$B$7)^(BG$2-1)</f>
        <v>1716.40093525</v>
      </c>
      <c r="BH7" s="11" t="n">
        <f aca="false">Units!$E6*(1+Inputs!$B$7)^(BH$2-1)</f>
        <v>1716.40093525</v>
      </c>
      <c r="BI7" s="11" t="n">
        <f aca="false">Units!$E6*(1+Inputs!$B$7)^(BI$2-1)</f>
        <v>1716.40093525</v>
      </c>
      <c r="BJ7" s="11" t="n">
        <f aca="false">Units!$E6*(1+Inputs!$B$7)^(BJ$2-1)</f>
        <v>1716.40093525</v>
      </c>
      <c r="BK7" s="11" t="n">
        <f aca="false">Units!$E6*(1+Inputs!$B$7)^(BK$2-1)</f>
        <v>1767.8929633075</v>
      </c>
      <c r="BL7" s="11" t="n">
        <f aca="false">Units!$E6*(1+Inputs!$B$7)^(BL$2-1)</f>
        <v>1767.8929633075</v>
      </c>
      <c r="BM7" s="11" t="n">
        <f aca="false">Units!$E6*(1+Inputs!$B$7)^(BM$2-1)</f>
        <v>1767.8929633075</v>
      </c>
      <c r="BN7" s="11" t="n">
        <f aca="false">Units!$E6*(1+Inputs!$B$7)^(BN$2-1)</f>
        <v>1767.8929633075</v>
      </c>
      <c r="BO7" s="11" t="n">
        <f aca="false">Units!$E6*(1+Inputs!$B$7)^(BO$2-1)</f>
        <v>1767.8929633075</v>
      </c>
      <c r="BP7" s="11" t="n">
        <f aca="false">Units!$E6*(1+Inputs!$B$7)^(BP$2-1)</f>
        <v>1767.8929633075</v>
      </c>
      <c r="BQ7" s="11" t="n">
        <f aca="false">Units!$E6*(1+Inputs!$B$7)^(BQ$2-1)</f>
        <v>1767.8929633075</v>
      </c>
      <c r="BR7" s="11" t="n">
        <f aca="false">Units!$E6*(1+Inputs!$B$7)^(BR$2-1)</f>
        <v>1767.8929633075</v>
      </c>
      <c r="BS7" s="11" t="n">
        <f aca="false">Units!$E6*(1+Inputs!$B$7)^(BS$2-1)</f>
        <v>1767.8929633075</v>
      </c>
      <c r="BT7" s="11" t="n">
        <f aca="false">Units!$E6*(1+Inputs!$B$7)^(BT$2-1)</f>
        <v>1767.8929633075</v>
      </c>
      <c r="BU7" s="11" t="n">
        <f aca="false">Units!$E6*(1+Inputs!$B$7)^(BU$2-1)</f>
        <v>1767.8929633075</v>
      </c>
      <c r="BV7" s="11" t="n">
        <f aca="false">Units!$E6*(1+Inputs!$B$7)^(BV$2-1)</f>
        <v>1767.8929633075</v>
      </c>
      <c r="BW7" s="11" t="n">
        <f aca="false">Units!$E6*(1+Inputs!$B$7)^(BW$2-1)</f>
        <v>1820.92975220673</v>
      </c>
      <c r="BX7" s="11" t="n">
        <f aca="false">Units!$E6*(1+Inputs!$B$7)^(BX$2-1)</f>
        <v>1820.92975220673</v>
      </c>
      <c r="BY7" s="11" t="n">
        <f aca="false">Units!$E6*(1+Inputs!$B$7)^(BY$2-1)</f>
        <v>1820.92975220673</v>
      </c>
      <c r="BZ7" s="11" t="n">
        <f aca="false">Units!$E6*(1+Inputs!$B$7)^(BZ$2-1)</f>
        <v>1820.92975220673</v>
      </c>
      <c r="CA7" s="11" t="n">
        <f aca="false">Units!$E6*(1+Inputs!$B$7)^(CA$2-1)</f>
        <v>1820.92975220673</v>
      </c>
      <c r="CB7" s="11" t="n">
        <f aca="false">Units!$E6*(1+Inputs!$B$7)^(CB$2-1)</f>
        <v>1820.92975220673</v>
      </c>
      <c r="CC7" s="11" t="n">
        <f aca="false">Units!$E6*(1+Inputs!$B$7)^(CC$2-1)</f>
        <v>1820.92975220673</v>
      </c>
      <c r="CD7" s="11" t="n">
        <f aca="false">Units!$E6*(1+Inputs!$B$7)^(CD$2-1)</f>
        <v>1820.92975220673</v>
      </c>
      <c r="CE7" s="11" t="n">
        <f aca="false">Units!$E6*(1+Inputs!$B$7)^(CE$2-1)</f>
        <v>1820.92975220673</v>
      </c>
      <c r="CF7" s="11" t="n">
        <f aca="false">Units!$E6*(1+Inputs!$B$7)^(CF$2-1)</f>
        <v>1820.92975220673</v>
      </c>
      <c r="CG7" s="11" t="n">
        <f aca="false">Units!$E6*(1+Inputs!$B$7)^(CG$2-1)</f>
        <v>1820.92975220673</v>
      </c>
      <c r="CH7" s="11" t="n">
        <f aca="false">Units!$E6*(1+Inputs!$B$7)^(CH$2-1)</f>
        <v>1820.92975220673</v>
      </c>
      <c r="CI7" s="11" t="n">
        <f aca="false">Units!$E6*(1+Inputs!$B$7)^(CI$2-1)</f>
        <v>1875.55764477293</v>
      </c>
      <c r="CJ7" s="11" t="n">
        <f aca="false">Units!$E6*(1+Inputs!$B$7)^(CJ$2-1)</f>
        <v>1875.55764477293</v>
      </c>
      <c r="CK7" s="11" t="n">
        <f aca="false">Units!$E6*(1+Inputs!$B$7)^(CK$2-1)</f>
        <v>1875.55764477293</v>
      </c>
      <c r="CL7" s="11" t="n">
        <f aca="false">Units!$E6*(1+Inputs!$B$7)^(CL$2-1)</f>
        <v>1875.55764477293</v>
      </c>
      <c r="CM7" s="11" t="n">
        <f aca="false">Units!$E6*(1+Inputs!$B$7)^(CM$2-1)</f>
        <v>1875.55764477293</v>
      </c>
      <c r="CN7" s="11" t="n">
        <f aca="false">Units!$E6*(1+Inputs!$B$7)^(CN$2-1)</f>
        <v>1875.55764477293</v>
      </c>
      <c r="CO7" s="11" t="n">
        <f aca="false">Units!$E6*(1+Inputs!$B$7)^(CO$2-1)</f>
        <v>1875.55764477293</v>
      </c>
      <c r="CP7" s="11" t="n">
        <f aca="false">Units!$E6*(1+Inputs!$B$7)^(CP$2-1)</f>
        <v>1875.55764477293</v>
      </c>
      <c r="CQ7" s="11" t="n">
        <f aca="false">Units!$E6*(1+Inputs!$B$7)^(CQ$2-1)</f>
        <v>1875.55764477293</v>
      </c>
      <c r="CR7" s="11" t="n">
        <f aca="false">Units!$E6*(1+Inputs!$B$7)^(CR$2-1)</f>
        <v>1875.55764477293</v>
      </c>
      <c r="CS7" s="11" t="n">
        <f aca="false">Units!$E6*(1+Inputs!$B$7)^(CS$2-1)</f>
        <v>1875.55764477293</v>
      </c>
      <c r="CT7" s="11" t="n">
        <f aca="false">Units!$E6*(1+Inputs!$B$7)^(CT$2-1)</f>
        <v>1875.55764477293</v>
      </c>
      <c r="CU7" s="11" t="n">
        <f aca="false">Units!$E6*(1+Inputs!$B$7)^(CU$2-1)</f>
        <v>1931.82437411612</v>
      </c>
      <c r="CV7" s="11" t="n">
        <f aca="false">Units!$E6*(1+Inputs!$B$7)^(CV$2-1)</f>
        <v>1931.82437411612</v>
      </c>
      <c r="CW7" s="11" t="n">
        <f aca="false">Units!$E6*(1+Inputs!$B$7)^(CW$2-1)</f>
        <v>1931.82437411612</v>
      </c>
      <c r="CX7" s="11" t="n">
        <f aca="false">Units!$E6*(1+Inputs!$B$7)^(CX$2-1)</f>
        <v>1931.82437411612</v>
      </c>
      <c r="CY7" s="11" t="n">
        <f aca="false">Units!$E6*(1+Inputs!$B$7)^(CY$2-1)</f>
        <v>1931.82437411612</v>
      </c>
      <c r="CZ7" s="11" t="n">
        <f aca="false">Units!$E6*(1+Inputs!$B$7)^(CZ$2-1)</f>
        <v>1931.82437411612</v>
      </c>
      <c r="DA7" s="11" t="n">
        <f aca="false">Units!$E6*(1+Inputs!$B$7)^(DA$2-1)</f>
        <v>1931.82437411612</v>
      </c>
      <c r="DB7" s="11" t="n">
        <f aca="false">Units!$E6*(1+Inputs!$B$7)^(DB$2-1)</f>
        <v>1931.82437411612</v>
      </c>
      <c r="DC7" s="11" t="n">
        <f aca="false">Units!$E6*(1+Inputs!$B$7)^(DC$2-1)</f>
        <v>1931.82437411612</v>
      </c>
      <c r="DD7" s="11" t="n">
        <f aca="false">Units!$E6*(1+Inputs!$B$7)^(DD$2-1)</f>
        <v>1931.82437411612</v>
      </c>
      <c r="DE7" s="11" t="n">
        <f aca="false">Units!$E6*(1+Inputs!$B$7)^(DE$2-1)</f>
        <v>1931.82437411612</v>
      </c>
      <c r="DF7" s="11" t="n">
        <f aca="false">Units!$E6*(1+Inputs!$B$7)^(DF$2-1)</f>
        <v>1931.82437411612</v>
      </c>
      <c r="DG7" s="11" t="n">
        <f aca="false">Units!$E6*(1+Inputs!$B$7)^(DG$2-1)</f>
        <v>1989.7791053396</v>
      </c>
      <c r="DH7" s="11" t="n">
        <f aca="false">Units!$E6*(1+Inputs!$B$7)^(DH$2-1)</f>
        <v>1989.7791053396</v>
      </c>
      <c r="DI7" s="11" t="n">
        <f aca="false">Units!$E6*(1+Inputs!$B$7)^(DI$2-1)</f>
        <v>1989.7791053396</v>
      </c>
      <c r="DJ7" s="11" t="n">
        <f aca="false">Units!$E6*(1+Inputs!$B$7)^(DJ$2-1)</f>
        <v>1989.7791053396</v>
      </c>
      <c r="DK7" s="11" t="n">
        <f aca="false">Units!$E6*(1+Inputs!$B$7)^(DK$2-1)</f>
        <v>1989.7791053396</v>
      </c>
      <c r="DL7" s="11" t="n">
        <f aca="false">Units!$E6*(1+Inputs!$B$7)^(DL$2-1)</f>
        <v>1989.7791053396</v>
      </c>
      <c r="DM7" s="11" t="n">
        <f aca="false">Units!$E6*(1+Inputs!$B$7)^(DM$2-1)</f>
        <v>1989.7791053396</v>
      </c>
      <c r="DN7" s="11" t="n">
        <f aca="false">Units!$E6*(1+Inputs!$B$7)^(DN$2-1)</f>
        <v>1989.7791053396</v>
      </c>
      <c r="DO7" s="11" t="n">
        <f aca="false">Units!$E6*(1+Inputs!$B$7)^(DO$2-1)</f>
        <v>1989.7791053396</v>
      </c>
      <c r="DP7" s="11" t="n">
        <f aca="false">Units!$E6*(1+Inputs!$B$7)^(DP$2-1)</f>
        <v>1989.7791053396</v>
      </c>
      <c r="DQ7" s="11" t="n">
        <f aca="false">Units!$E6*(1+Inputs!$B$7)^(DQ$2-1)</f>
        <v>1989.7791053396</v>
      </c>
      <c r="DR7" s="11" t="n">
        <f aca="false">Units!$E6*(1+Inputs!$B$7)^(DR$2-1)</f>
        <v>1989.7791053396</v>
      </c>
      <c r="DS7" s="11" t="n">
        <f aca="false">Units!$E6*(1+Inputs!$B$7)^(DS$2-1)</f>
        <v>2049.47247849979</v>
      </c>
      <c r="DT7" s="11" t="n">
        <f aca="false">Units!$E6*(1+Inputs!$B$7)^(DT$2-1)</f>
        <v>2049.47247849979</v>
      </c>
      <c r="DU7" s="11" t="n">
        <f aca="false">Units!$E6*(1+Inputs!$B$7)^(DU$2-1)</f>
        <v>2049.47247849979</v>
      </c>
      <c r="DV7" s="11" t="n">
        <f aca="false">Units!$E6*(1+Inputs!$B$7)^(DV$2-1)</f>
        <v>2049.47247849979</v>
      </c>
      <c r="DW7" s="11" t="n">
        <f aca="false">Units!$E6*(1+Inputs!$B$7)^(DW$2-1)</f>
        <v>2049.47247849979</v>
      </c>
      <c r="DX7" s="11" t="n">
        <f aca="false">Units!$E6*(1+Inputs!$B$7)^(DX$2-1)</f>
        <v>2049.47247849979</v>
      </c>
      <c r="DY7" s="11" t="n">
        <f aca="false">Units!$E6*(1+Inputs!$B$7)^(DY$2-1)</f>
        <v>2049.47247849979</v>
      </c>
      <c r="DZ7" s="11" t="n">
        <f aca="false">Units!$E6*(1+Inputs!$B$7)^(DZ$2-1)</f>
        <v>2049.47247849979</v>
      </c>
      <c r="EA7" s="11" t="n">
        <f aca="false">Units!$E6*(1+Inputs!$B$7)^(EA$2-1)</f>
        <v>2049.47247849979</v>
      </c>
      <c r="EB7" s="11" t="n">
        <f aca="false">Units!$E6*(1+Inputs!$B$7)^(EB$2-1)</f>
        <v>2049.47247849979</v>
      </c>
      <c r="EC7" s="11" t="n">
        <f aca="false">Units!$E6*(1+Inputs!$B$7)^(EC$2-1)</f>
        <v>2049.47247849979</v>
      </c>
      <c r="ED7" s="11" t="n">
        <f aca="false">Units!$E6*(1+Inputs!$B$7)^(ED$2-1)</f>
        <v>2049.47247849979</v>
      </c>
    </row>
    <row r="8" customFormat="false" ht="15" hidden="false" customHeight="false" outlineLevel="0" collapsed="false">
      <c r="A8" s="22" t="n">
        <f aca="false">Units!A7</f>
        <v>106</v>
      </c>
      <c r="B8" s="23"/>
      <c r="C8" s="11" t="n">
        <f aca="false">Units!$E7*(1+Inputs!$B$7)^(C$2-1)</f>
        <v>1525</v>
      </c>
      <c r="D8" s="11" t="n">
        <f aca="false">Units!$E7*(1+Inputs!$B$7)^(D$2-1)</f>
        <v>1525</v>
      </c>
      <c r="E8" s="11" t="n">
        <f aca="false">Units!$E7*(1+Inputs!$B$7)^(E$2-1)</f>
        <v>1525</v>
      </c>
      <c r="F8" s="11" t="n">
        <f aca="false">Units!$E7*(1+Inputs!$B$7)^(F$2-1)</f>
        <v>1525</v>
      </c>
      <c r="G8" s="11" t="n">
        <f aca="false">Units!$E7*(1+Inputs!$B$7)^(G$2-1)</f>
        <v>1525</v>
      </c>
      <c r="H8" s="11" t="n">
        <f aca="false">Units!$E7*(1+Inputs!$B$7)^(H$2-1)</f>
        <v>1525</v>
      </c>
      <c r="I8" s="11" t="n">
        <f aca="false">Units!$E7*(1+Inputs!$B$7)^(I$2-1)</f>
        <v>1525</v>
      </c>
      <c r="J8" s="11" t="n">
        <f aca="false">Units!$E7*(1+Inputs!$B$7)^(J$2-1)</f>
        <v>1525</v>
      </c>
      <c r="K8" s="11" t="n">
        <f aca="false">Units!$E7*(1+Inputs!$B$7)^(K$2-1)</f>
        <v>1525</v>
      </c>
      <c r="L8" s="11" t="n">
        <f aca="false">Units!$E7*(1+Inputs!$B$7)^(L$2-1)</f>
        <v>1525</v>
      </c>
      <c r="M8" s="11" t="n">
        <f aca="false">Units!$E7*(1+Inputs!$B$7)^(M$2-1)</f>
        <v>1525</v>
      </c>
      <c r="N8" s="11" t="n">
        <f aca="false">Units!$E7*(1+Inputs!$B$7)^(N$2-1)</f>
        <v>1525</v>
      </c>
      <c r="O8" s="11" t="n">
        <f aca="false">Units!$E7*(1+Inputs!$B$7)^(O$2-1)</f>
        <v>1570.75</v>
      </c>
      <c r="P8" s="11" t="n">
        <f aca="false">Units!$E7*(1+Inputs!$B$7)^(P$2-1)</f>
        <v>1570.75</v>
      </c>
      <c r="Q8" s="11" t="n">
        <f aca="false">Units!$E7*(1+Inputs!$B$7)^(Q$2-1)</f>
        <v>1570.75</v>
      </c>
      <c r="R8" s="11" t="n">
        <f aca="false">Units!$E7*(1+Inputs!$B$7)^(R$2-1)</f>
        <v>1570.75</v>
      </c>
      <c r="S8" s="11" t="n">
        <f aca="false">Units!$E7*(1+Inputs!$B$7)^(S$2-1)</f>
        <v>1570.75</v>
      </c>
      <c r="T8" s="11" t="n">
        <f aca="false">Units!$E7*(1+Inputs!$B$7)^(T$2-1)</f>
        <v>1570.75</v>
      </c>
      <c r="U8" s="11" t="n">
        <f aca="false">Units!$E7*(1+Inputs!$B$7)^(U$2-1)</f>
        <v>1570.75</v>
      </c>
      <c r="V8" s="11" t="n">
        <f aca="false">Units!$E7*(1+Inputs!$B$7)^(V$2-1)</f>
        <v>1570.75</v>
      </c>
      <c r="W8" s="11" t="n">
        <f aca="false">Units!$E7*(1+Inputs!$B$7)^(W$2-1)</f>
        <v>1570.75</v>
      </c>
      <c r="X8" s="11" t="n">
        <f aca="false">Units!$E7*(1+Inputs!$B$7)^(X$2-1)</f>
        <v>1570.75</v>
      </c>
      <c r="Y8" s="11" t="n">
        <f aca="false">Units!$E7*(1+Inputs!$B$7)^(Y$2-1)</f>
        <v>1570.75</v>
      </c>
      <c r="Z8" s="11" t="n">
        <f aca="false">Units!$E7*(1+Inputs!$B$7)^(Z$2-1)</f>
        <v>1570.75</v>
      </c>
      <c r="AA8" s="11" t="n">
        <f aca="false">Units!$E7*(1+Inputs!$B$7)^(AA$2-1)</f>
        <v>1617.8725</v>
      </c>
      <c r="AB8" s="11" t="n">
        <f aca="false">Units!$E7*(1+Inputs!$B$7)^(AB$2-1)</f>
        <v>1617.8725</v>
      </c>
      <c r="AC8" s="11" t="n">
        <f aca="false">Units!$E7*(1+Inputs!$B$7)^(AC$2-1)</f>
        <v>1617.8725</v>
      </c>
      <c r="AD8" s="11" t="n">
        <f aca="false">Units!$E7*(1+Inputs!$B$7)^(AD$2-1)</f>
        <v>1617.8725</v>
      </c>
      <c r="AE8" s="11" t="n">
        <f aca="false">Units!$E7*(1+Inputs!$B$7)^(AE$2-1)</f>
        <v>1617.8725</v>
      </c>
      <c r="AF8" s="11" t="n">
        <f aca="false">Units!$E7*(1+Inputs!$B$7)^(AF$2-1)</f>
        <v>1617.8725</v>
      </c>
      <c r="AG8" s="11" t="n">
        <f aca="false">Units!$E7*(1+Inputs!$B$7)^(AG$2-1)</f>
        <v>1617.8725</v>
      </c>
      <c r="AH8" s="11" t="n">
        <f aca="false">Units!$E7*(1+Inputs!$B$7)^(AH$2-1)</f>
        <v>1617.8725</v>
      </c>
      <c r="AI8" s="11" t="n">
        <f aca="false">Units!$E7*(1+Inputs!$B$7)^(AI$2-1)</f>
        <v>1617.8725</v>
      </c>
      <c r="AJ8" s="11" t="n">
        <f aca="false">Units!$E7*(1+Inputs!$B$7)^(AJ$2-1)</f>
        <v>1617.8725</v>
      </c>
      <c r="AK8" s="11" t="n">
        <f aca="false">Units!$E7*(1+Inputs!$B$7)^(AK$2-1)</f>
        <v>1617.8725</v>
      </c>
      <c r="AL8" s="11" t="n">
        <f aca="false">Units!$E7*(1+Inputs!$B$7)^(AL$2-1)</f>
        <v>1617.8725</v>
      </c>
      <c r="AM8" s="11" t="n">
        <f aca="false">Units!$E7*(1+Inputs!$B$7)^(AM$2-1)</f>
        <v>1666.408675</v>
      </c>
      <c r="AN8" s="11" t="n">
        <f aca="false">Units!$E7*(1+Inputs!$B$7)^(AN$2-1)</f>
        <v>1666.408675</v>
      </c>
      <c r="AO8" s="11" t="n">
        <f aca="false">Units!$E7*(1+Inputs!$B$7)^(AO$2-1)</f>
        <v>1666.408675</v>
      </c>
      <c r="AP8" s="11" t="n">
        <f aca="false">Units!$E7*(1+Inputs!$B$7)^(AP$2-1)</f>
        <v>1666.408675</v>
      </c>
      <c r="AQ8" s="11" t="n">
        <f aca="false">Units!$E7*(1+Inputs!$B$7)^(AQ$2-1)</f>
        <v>1666.408675</v>
      </c>
      <c r="AR8" s="11" t="n">
        <f aca="false">Units!$E7*(1+Inputs!$B$7)^(AR$2-1)</f>
        <v>1666.408675</v>
      </c>
      <c r="AS8" s="11" t="n">
        <f aca="false">Units!$E7*(1+Inputs!$B$7)^(AS$2-1)</f>
        <v>1666.408675</v>
      </c>
      <c r="AT8" s="11" t="n">
        <f aca="false">Units!$E7*(1+Inputs!$B$7)^(AT$2-1)</f>
        <v>1666.408675</v>
      </c>
      <c r="AU8" s="11" t="n">
        <f aca="false">Units!$E7*(1+Inputs!$B$7)^(AU$2-1)</f>
        <v>1666.408675</v>
      </c>
      <c r="AV8" s="11" t="n">
        <f aca="false">Units!$E7*(1+Inputs!$B$7)^(AV$2-1)</f>
        <v>1666.408675</v>
      </c>
      <c r="AW8" s="11" t="n">
        <f aca="false">Units!$E7*(1+Inputs!$B$7)^(AW$2-1)</f>
        <v>1666.408675</v>
      </c>
      <c r="AX8" s="11" t="n">
        <f aca="false">Units!$E7*(1+Inputs!$B$7)^(AX$2-1)</f>
        <v>1666.408675</v>
      </c>
      <c r="AY8" s="11" t="n">
        <f aca="false">Units!$E7*(1+Inputs!$B$7)^(AY$2-1)</f>
        <v>1716.40093525</v>
      </c>
      <c r="AZ8" s="11" t="n">
        <f aca="false">Units!$E7*(1+Inputs!$B$7)^(AZ$2-1)</f>
        <v>1716.40093525</v>
      </c>
      <c r="BA8" s="11" t="n">
        <f aca="false">Units!$E7*(1+Inputs!$B$7)^(BA$2-1)</f>
        <v>1716.40093525</v>
      </c>
      <c r="BB8" s="11" t="n">
        <f aca="false">Units!$E7*(1+Inputs!$B$7)^(BB$2-1)</f>
        <v>1716.40093525</v>
      </c>
      <c r="BC8" s="11" t="n">
        <f aca="false">Units!$E7*(1+Inputs!$B$7)^(BC$2-1)</f>
        <v>1716.40093525</v>
      </c>
      <c r="BD8" s="11" t="n">
        <f aca="false">Units!$E7*(1+Inputs!$B$7)^(BD$2-1)</f>
        <v>1716.40093525</v>
      </c>
      <c r="BE8" s="11" t="n">
        <f aca="false">Units!$E7*(1+Inputs!$B$7)^(BE$2-1)</f>
        <v>1716.40093525</v>
      </c>
      <c r="BF8" s="11" t="n">
        <f aca="false">Units!$E7*(1+Inputs!$B$7)^(BF$2-1)</f>
        <v>1716.40093525</v>
      </c>
      <c r="BG8" s="11" t="n">
        <f aca="false">Units!$E7*(1+Inputs!$B$7)^(BG$2-1)</f>
        <v>1716.40093525</v>
      </c>
      <c r="BH8" s="11" t="n">
        <f aca="false">Units!$E7*(1+Inputs!$B$7)^(BH$2-1)</f>
        <v>1716.40093525</v>
      </c>
      <c r="BI8" s="11" t="n">
        <f aca="false">Units!$E7*(1+Inputs!$B$7)^(BI$2-1)</f>
        <v>1716.40093525</v>
      </c>
      <c r="BJ8" s="11" t="n">
        <f aca="false">Units!$E7*(1+Inputs!$B$7)^(BJ$2-1)</f>
        <v>1716.40093525</v>
      </c>
      <c r="BK8" s="11" t="n">
        <f aca="false">Units!$E7*(1+Inputs!$B$7)^(BK$2-1)</f>
        <v>1767.8929633075</v>
      </c>
      <c r="BL8" s="11" t="n">
        <f aca="false">Units!$E7*(1+Inputs!$B$7)^(BL$2-1)</f>
        <v>1767.8929633075</v>
      </c>
      <c r="BM8" s="11" t="n">
        <f aca="false">Units!$E7*(1+Inputs!$B$7)^(BM$2-1)</f>
        <v>1767.8929633075</v>
      </c>
      <c r="BN8" s="11" t="n">
        <f aca="false">Units!$E7*(1+Inputs!$B$7)^(BN$2-1)</f>
        <v>1767.8929633075</v>
      </c>
      <c r="BO8" s="11" t="n">
        <f aca="false">Units!$E7*(1+Inputs!$B$7)^(BO$2-1)</f>
        <v>1767.8929633075</v>
      </c>
      <c r="BP8" s="11" t="n">
        <f aca="false">Units!$E7*(1+Inputs!$B$7)^(BP$2-1)</f>
        <v>1767.8929633075</v>
      </c>
      <c r="BQ8" s="11" t="n">
        <f aca="false">Units!$E7*(1+Inputs!$B$7)^(BQ$2-1)</f>
        <v>1767.8929633075</v>
      </c>
      <c r="BR8" s="11" t="n">
        <f aca="false">Units!$E7*(1+Inputs!$B$7)^(BR$2-1)</f>
        <v>1767.8929633075</v>
      </c>
      <c r="BS8" s="11" t="n">
        <f aca="false">Units!$E7*(1+Inputs!$B$7)^(BS$2-1)</f>
        <v>1767.8929633075</v>
      </c>
      <c r="BT8" s="11" t="n">
        <f aca="false">Units!$E7*(1+Inputs!$B$7)^(BT$2-1)</f>
        <v>1767.8929633075</v>
      </c>
      <c r="BU8" s="11" t="n">
        <f aca="false">Units!$E7*(1+Inputs!$B$7)^(BU$2-1)</f>
        <v>1767.8929633075</v>
      </c>
      <c r="BV8" s="11" t="n">
        <f aca="false">Units!$E7*(1+Inputs!$B$7)^(BV$2-1)</f>
        <v>1767.8929633075</v>
      </c>
      <c r="BW8" s="11" t="n">
        <f aca="false">Units!$E7*(1+Inputs!$B$7)^(BW$2-1)</f>
        <v>1820.92975220673</v>
      </c>
      <c r="BX8" s="11" t="n">
        <f aca="false">Units!$E7*(1+Inputs!$B$7)^(BX$2-1)</f>
        <v>1820.92975220673</v>
      </c>
      <c r="BY8" s="11" t="n">
        <f aca="false">Units!$E7*(1+Inputs!$B$7)^(BY$2-1)</f>
        <v>1820.92975220673</v>
      </c>
      <c r="BZ8" s="11" t="n">
        <f aca="false">Units!$E7*(1+Inputs!$B$7)^(BZ$2-1)</f>
        <v>1820.92975220673</v>
      </c>
      <c r="CA8" s="11" t="n">
        <f aca="false">Units!$E7*(1+Inputs!$B$7)^(CA$2-1)</f>
        <v>1820.92975220673</v>
      </c>
      <c r="CB8" s="11" t="n">
        <f aca="false">Units!$E7*(1+Inputs!$B$7)^(CB$2-1)</f>
        <v>1820.92975220673</v>
      </c>
      <c r="CC8" s="11" t="n">
        <f aca="false">Units!$E7*(1+Inputs!$B$7)^(CC$2-1)</f>
        <v>1820.92975220673</v>
      </c>
      <c r="CD8" s="11" t="n">
        <f aca="false">Units!$E7*(1+Inputs!$B$7)^(CD$2-1)</f>
        <v>1820.92975220673</v>
      </c>
      <c r="CE8" s="11" t="n">
        <f aca="false">Units!$E7*(1+Inputs!$B$7)^(CE$2-1)</f>
        <v>1820.92975220673</v>
      </c>
      <c r="CF8" s="11" t="n">
        <f aca="false">Units!$E7*(1+Inputs!$B$7)^(CF$2-1)</f>
        <v>1820.92975220673</v>
      </c>
      <c r="CG8" s="11" t="n">
        <f aca="false">Units!$E7*(1+Inputs!$B$7)^(CG$2-1)</f>
        <v>1820.92975220673</v>
      </c>
      <c r="CH8" s="11" t="n">
        <f aca="false">Units!$E7*(1+Inputs!$B$7)^(CH$2-1)</f>
        <v>1820.92975220673</v>
      </c>
      <c r="CI8" s="11" t="n">
        <f aca="false">Units!$E7*(1+Inputs!$B$7)^(CI$2-1)</f>
        <v>1875.55764477293</v>
      </c>
      <c r="CJ8" s="11" t="n">
        <f aca="false">Units!$E7*(1+Inputs!$B$7)^(CJ$2-1)</f>
        <v>1875.55764477293</v>
      </c>
      <c r="CK8" s="11" t="n">
        <f aca="false">Units!$E7*(1+Inputs!$B$7)^(CK$2-1)</f>
        <v>1875.55764477293</v>
      </c>
      <c r="CL8" s="11" t="n">
        <f aca="false">Units!$E7*(1+Inputs!$B$7)^(CL$2-1)</f>
        <v>1875.55764477293</v>
      </c>
      <c r="CM8" s="11" t="n">
        <f aca="false">Units!$E7*(1+Inputs!$B$7)^(CM$2-1)</f>
        <v>1875.55764477293</v>
      </c>
      <c r="CN8" s="11" t="n">
        <f aca="false">Units!$E7*(1+Inputs!$B$7)^(CN$2-1)</f>
        <v>1875.55764477293</v>
      </c>
      <c r="CO8" s="11" t="n">
        <f aca="false">Units!$E7*(1+Inputs!$B$7)^(CO$2-1)</f>
        <v>1875.55764477293</v>
      </c>
      <c r="CP8" s="11" t="n">
        <f aca="false">Units!$E7*(1+Inputs!$B$7)^(CP$2-1)</f>
        <v>1875.55764477293</v>
      </c>
      <c r="CQ8" s="11" t="n">
        <f aca="false">Units!$E7*(1+Inputs!$B$7)^(CQ$2-1)</f>
        <v>1875.55764477293</v>
      </c>
      <c r="CR8" s="11" t="n">
        <f aca="false">Units!$E7*(1+Inputs!$B$7)^(CR$2-1)</f>
        <v>1875.55764477293</v>
      </c>
      <c r="CS8" s="11" t="n">
        <f aca="false">Units!$E7*(1+Inputs!$B$7)^(CS$2-1)</f>
        <v>1875.55764477293</v>
      </c>
      <c r="CT8" s="11" t="n">
        <f aca="false">Units!$E7*(1+Inputs!$B$7)^(CT$2-1)</f>
        <v>1875.55764477293</v>
      </c>
      <c r="CU8" s="11" t="n">
        <f aca="false">Units!$E7*(1+Inputs!$B$7)^(CU$2-1)</f>
        <v>1931.82437411612</v>
      </c>
      <c r="CV8" s="11" t="n">
        <f aca="false">Units!$E7*(1+Inputs!$B$7)^(CV$2-1)</f>
        <v>1931.82437411612</v>
      </c>
      <c r="CW8" s="11" t="n">
        <f aca="false">Units!$E7*(1+Inputs!$B$7)^(CW$2-1)</f>
        <v>1931.82437411612</v>
      </c>
      <c r="CX8" s="11" t="n">
        <f aca="false">Units!$E7*(1+Inputs!$B$7)^(CX$2-1)</f>
        <v>1931.82437411612</v>
      </c>
      <c r="CY8" s="11" t="n">
        <f aca="false">Units!$E7*(1+Inputs!$B$7)^(CY$2-1)</f>
        <v>1931.82437411612</v>
      </c>
      <c r="CZ8" s="11" t="n">
        <f aca="false">Units!$E7*(1+Inputs!$B$7)^(CZ$2-1)</f>
        <v>1931.82437411612</v>
      </c>
      <c r="DA8" s="11" t="n">
        <f aca="false">Units!$E7*(1+Inputs!$B$7)^(DA$2-1)</f>
        <v>1931.82437411612</v>
      </c>
      <c r="DB8" s="11" t="n">
        <f aca="false">Units!$E7*(1+Inputs!$B$7)^(DB$2-1)</f>
        <v>1931.82437411612</v>
      </c>
      <c r="DC8" s="11" t="n">
        <f aca="false">Units!$E7*(1+Inputs!$B$7)^(DC$2-1)</f>
        <v>1931.82437411612</v>
      </c>
      <c r="DD8" s="11" t="n">
        <f aca="false">Units!$E7*(1+Inputs!$B$7)^(DD$2-1)</f>
        <v>1931.82437411612</v>
      </c>
      <c r="DE8" s="11" t="n">
        <f aca="false">Units!$E7*(1+Inputs!$B$7)^(DE$2-1)</f>
        <v>1931.82437411612</v>
      </c>
      <c r="DF8" s="11" t="n">
        <f aca="false">Units!$E7*(1+Inputs!$B$7)^(DF$2-1)</f>
        <v>1931.82437411612</v>
      </c>
      <c r="DG8" s="11" t="n">
        <f aca="false">Units!$E7*(1+Inputs!$B$7)^(DG$2-1)</f>
        <v>1989.7791053396</v>
      </c>
      <c r="DH8" s="11" t="n">
        <f aca="false">Units!$E7*(1+Inputs!$B$7)^(DH$2-1)</f>
        <v>1989.7791053396</v>
      </c>
      <c r="DI8" s="11" t="n">
        <f aca="false">Units!$E7*(1+Inputs!$B$7)^(DI$2-1)</f>
        <v>1989.7791053396</v>
      </c>
      <c r="DJ8" s="11" t="n">
        <f aca="false">Units!$E7*(1+Inputs!$B$7)^(DJ$2-1)</f>
        <v>1989.7791053396</v>
      </c>
      <c r="DK8" s="11" t="n">
        <f aca="false">Units!$E7*(1+Inputs!$B$7)^(DK$2-1)</f>
        <v>1989.7791053396</v>
      </c>
      <c r="DL8" s="11" t="n">
        <f aca="false">Units!$E7*(1+Inputs!$B$7)^(DL$2-1)</f>
        <v>1989.7791053396</v>
      </c>
      <c r="DM8" s="11" t="n">
        <f aca="false">Units!$E7*(1+Inputs!$B$7)^(DM$2-1)</f>
        <v>1989.7791053396</v>
      </c>
      <c r="DN8" s="11" t="n">
        <f aca="false">Units!$E7*(1+Inputs!$B$7)^(DN$2-1)</f>
        <v>1989.7791053396</v>
      </c>
      <c r="DO8" s="11" t="n">
        <f aca="false">Units!$E7*(1+Inputs!$B$7)^(DO$2-1)</f>
        <v>1989.7791053396</v>
      </c>
      <c r="DP8" s="11" t="n">
        <f aca="false">Units!$E7*(1+Inputs!$B$7)^(DP$2-1)</f>
        <v>1989.7791053396</v>
      </c>
      <c r="DQ8" s="11" t="n">
        <f aca="false">Units!$E7*(1+Inputs!$B$7)^(DQ$2-1)</f>
        <v>1989.7791053396</v>
      </c>
      <c r="DR8" s="11" t="n">
        <f aca="false">Units!$E7*(1+Inputs!$B$7)^(DR$2-1)</f>
        <v>1989.7791053396</v>
      </c>
      <c r="DS8" s="11" t="n">
        <f aca="false">Units!$E7*(1+Inputs!$B$7)^(DS$2-1)</f>
        <v>2049.47247849979</v>
      </c>
      <c r="DT8" s="11" t="n">
        <f aca="false">Units!$E7*(1+Inputs!$B$7)^(DT$2-1)</f>
        <v>2049.47247849979</v>
      </c>
      <c r="DU8" s="11" t="n">
        <f aca="false">Units!$E7*(1+Inputs!$B$7)^(DU$2-1)</f>
        <v>2049.47247849979</v>
      </c>
      <c r="DV8" s="11" t="n">
        <f aca="false">Units!$E7*(1+Inputs!$B$7)^(DV$2-1)</f>
        <v>2049.47247849979</v>
      </c>
      <c r="DW8" s="11" t="n">
        <f aca="false">Units!$E7*(1+Inputs!$B$7)^(DW$2-1)</f>
        <v>2049.47247849979</v>
      </c>
      <c r="DX8" s="11" t="n">
        <f aca="false">Units!$E7*(1+Inputs!$B$7)^(DX$2-1)</f>
        <v>2049.47247849979</v>
      </c>
      <c r="DY8" s="11" t="n">
        <f aca="false">Units!$E7*(1+Inputs!$B$7)^(DY$2-1)</f>
        <v>2049.47247849979</v>
      </c>
      <c r="DZ8" s="11" t="n">
        <f aca="false">Units!$E7*(1+Inputs!$B$7)^(DZ$2-1)</f>
        <v>2049.47247849979</v>
      </c>
      <c r="EA8" s="11" t="n">
        <f aca="false">Units!$E7*(1+Inputs!$B$7)^(EA$2-1)</f>
        <v>2049.47247849979</v>
      </c>
      <c r="EB8" s="11" t="n">
        <f aca="false">Units!$E7*(1+Inputs!$B$7)^(EB$2-1)</f>
        <v>2049.47247849979</v>
      </c>
      <c r="EC8" s="11" t="n">
        <f aca="false">Units!$E7*(1+Inputs!$B$7)^(EC$2-1)</f>
        <v>2049.47247849979</v>
      </c>
      <c r="ED8" s="11" t="n">
        <f aca="false">Units!$E7*(1+Inputs!$B$7)^(ED$2-1)</f>
        <v>2049.47247849979</v>
      </c>
    </row>
    <row r="9" customFormat="false" ht="15" hidden="false" customHeight="false" outlineLevel="0" collapsed="false">
      <c r="A9" s="22" t="n">
        <f aca="false">Units!A8</f>
        <v>107</v>
      </c>
      <c r="B9" s="23"/>
      <c r="C9" s="11" t="n">
        <f aca="false">Units!$E8*(1+Inputs!$B$7)^(C$2-1)</f>
        <v>1525</v>
      </c>
      <c r="D9" s="11" t="n">
        <f aca="false">Units!$E8*(1+Inputs!$B$7)^(D$2-1)</f>
        <v>1525</v>
      </c>
      <c r="E9" s="11" t="n">
        <f aca="false">Units!$E8*(1+Inputs!$B$7)^(E$2-1)</f>
        <v>1525</v>
      </c>
      <c r="F9" s="11" t="n">
        <f aca="false">Units!$E8*(1+Inputs!$B$7)^(F$2-1)</f>
        <v>1525</v>
      </c>
      <c r="G9" s="11" t="n">
        <f aca="false">Units!$E8*(1+Inputs!$B$7)^(G$2-1)</f>
        <v>1525</v>
      </c>
      <c r="H9" s="11" t="n">
        <f aca="false">Units!$E8*(1+Inputs!$B$7)^(H$2-1)</f>
        <v>1525</v>
      </c>
      <c r="I9" s="11" t="n">
        <f aca="false">Units!$E8*(1+Inputs!$B$7)^(I$2-1)</f>
        <v>1525</v>
      </c>
      <c r="J9" s="11" t="n">
        <f aca="false">Units!$E8*(1+Inputs!$B$7)^(J$2-1)</f>
        <v>1525</v>
      </c>
      <c r="K9" s="11" t="n">
        <f aca="false">Units!$E8*(1+Inputs!$B$7)^(K$2-1)</f>
        <v>1525</v>
      </c>
      <c r="L9" s="11" t="n">
        <f aca="false">Units!$E8*(1+Inputs!$B$7)^(L$2-1)</f>
        <v>1525</v>
      </c>
      <c r="M9" s="11" t="n">
        <f aca="false">Units!$E8*(1+Inputs!$B$7)^(M$2-1)</f>
        <v>1525</v>
      </c>
      <c r="N9" s="11" t="n">
        <f aca="false">Units!$E8*(1+Inputs!$B$7)^(N$2-1)</f>
        <v>1525</v>
      </c>
      <c r="O9" s="11" t="n">
        <f aca="false">Units!$E8*(1+Inputs!$B$7)^(O$2-1)</f>
        <v>1570.75</v>
      </c>
      <c r="P9" s="11" t="n">
        <f aca="false">Units!$E8*(1+Inputs!$B$7)^(P$2-1)</f>
        <v>1570.75</v>
      </c>
      <c r="Q9" s="11" t="n">
        <f aca="false">Units!$E8*(1+Inputs!$B$7)^(Q$2-1)</f>
        <v>1570.75</v>
      </c>
      <c r="R9" s="11" t="n">
        <f aca="false">Units!$E8*(1+Inputs!$B$7)^(R$2-1)</f>
        <v>1570.75</v>
      </c>
      <c r="S9" s="11" t="n">
        <f aca="false">Units!$E8*(1+Inputs!$B$7)^(S$2-1)</f>
        <v>1570.75</v>
      </c>
      <c r="T9" s="11" t="n">
        <f aca="false">Units!$E8*(1+Inputs!$B$7)^(T$2-1)</f>
        <v>1570.75</v>
      </c>
      <c r="U9" s="11" t="n">
        <f aca="false">Units!$E8*(1+Inputs!$B$7)^(U$2-1)</f>
        <v>1570.75</v>
      </c>
      <c r="V9" s="11" t="n">
        <f aca="false">Units!$E8*(1+Inputs!$B$7)^(V$2-1)</f>
        <v>1570.75</v>
      </c>
      <c r="W9" s="11" t="n">
        <f aca="false">Units!$E8*(1+Inputs!$B$7)^(W$2-1)</f>
        <v>1570.75</v>
      </c>
      <c r="X9" s="11" t="n">
        <f aca="false">Units!$E8*(1+Inputs!$B$7)^(X$2-1)</f>
        <v>1570.75</v>
      </c>
      <c r="Y9" s="11" t="n">
        <f aca="false">Units!$E8*(1+Inputs!$B$7)^(Y$2-1)</f>
        <v>1570.75</v>
      </c>
      <c r="Z9" s="11" t="n">
        <f aca="false">Units!$E8*(1+Inputs!$B$7)^(Z$2-1)</f>
        <v>1570.75</v>
      </c>
      <c r="AA9" s="11" t="n">
        <f aca="false">Units!$E8*(1+Inputs!$B$7)^(AA$2-1)</f>
        <v>1617.8725</v>
      </c>
      <c r="AB9" s="11" t="n">
        <f aca="false">Units!$E8*(1+Inputs!$B$7)^(AB$2-1)</f>
        <v>1617.8725</v>
      </c>
      <c r="AC9" s="11" t="n">
        <f aca="false">Units!$E8*(1+Inputs!$B$7)^(AC$2-1)</f>
        <v>1617.8725</v>
      </c>
      <c r="AD9" s="11" t="n">
        <f aca="false">Units!$E8*(1+Inputs!$B$7)^(AD$2-1)</f>
        <v>1617.8725</v>
      </c>
      <c r="AE9" s="11" t="n">
        <f aca="false">Units!$E8*(1+Inputs!$B$7)^(AE$2-1)</f>
        <v>1617.8725</v>
      </c>
      <c r="AF9" s="11" t="n">
        <f aca="false">Units!$E8*(1+Inputs!$B$7)^(AF$2-1)</f>
        <v>1617.8725</v>
      </c>
      <c r="AG9" s="11" t="n">
        <f aca="false">Units!$E8*(1+Inputs!$B$7)^(AG$2-1)</f>
        <v>1617.8725</v>
      </c>
      <c r="AH9" s="11" t="n">
        <f aca="false">Units!$E8*(1+Inputs!$B$7)^(AH$2-1)</f>
        <v>1617.8725</v>
      </c>
      <c r="AI9" s="11" t="n">
        <f aca="false">Units!$E8*(1+Inputs!$B$7)^(AI$2-1)</f>
        <v>1617.8725</v>
      </c>
      <c r="AJ9" s="11" t="n">
        <f aca="false">Units!$E8*(1+Inputs!$B$7)^(AJ$2-1)</f>
        <v>1617.8725</v>
      </c>
      <c r="AK9" s="11" t="n">
        <f aca="false">Units!$E8*(1+Inputs!$B$7)^(AK$2-1)</f>
        <v>1617.8725</v>
      </c>
      <c r="AL9" s="11" t="n">
        <f aca="false">Units!$E8*(1+Inputs!$B$7)^(AL$2-1)</f>
        <v>1617.8725</v>
      </c>
      <c r="AM9" s="11" t="n">
        <f aca="false">Units!$E8*(1+Inputs!$B$7)^(AM$2-1)</f>
        <v>1666.408675</v>
      </c>
      <c r="AN9" s="11" t="n">
        <f aca="false">Units!$E8*(1+Inputs!$B$7)^(AN$2-1)</f>
        <v>1666.408675</v>
      </c>
      <c r="AO9" s="11" t="n">
        <f aca="false">Units!$E8*(1+Inputs!$B$7)^(AO$2-1)</f>
        <v>1666.408675</v>
      </c>
      <c r="AP9" s="11" t="n">
        <f aca="false">Units!$E8*(1+Inputs!$B$7)^(AP$2-1)</f>
        <v>1666.408675</v>
      </c>
      <c r="AQ9" s="11" t="n">
        <f aca="false">Units!$E8*(1+Inputs!$B$7)^(AQ$2-1)</f>
        <v>1666.408675</v>
      </c>
      <c r="AR9" s="11" t="n">
        <f aca="false">Units!$E8*(1+Inputs!$B$7)^(AR$2-1)</f>
        <v>1666.408675</v>
      </c>
      <c r="AS9" s="11" t="n">
        <f aca="false">Units!$E8*(1+Inputs!$B$7)^(AS$2-1)</f>
        <v>1666.408675</v>
      </c>
      <c r="AT9" s="11" t="n">
        <f aca="false">Units!$E8*(1+Inputs!$B$7)^(AT$2-1)</f>
        <v>1666.408675</v>
      </c>
      <c r="AU9" s="11" t="n">
        <f aca="false">Units!$E8*(1+Inputs!$B$7)^(AU$2-1)</f>
        <v>1666.408675</v>
      </c>
      <c r="AV9" s="11" t="n">
        <f aca="false">Units!$E8*(1+Inputs!$B$7)^(AV$2-1)</f>
        <v>1666.408675</v>
      </c>
      <c r="AW9" s="11" t="n">
        <f aca="false">Units!$E8*(1+Inputs!$B$7)^(AW$2-1)</f>
        <v>1666.408675</v>
      </c>
      <c r="AX9" s="11" t="n">
        <f aca="false">Units!$E8*(1+Inputs!$B$7)^(AX$2-1)</f>
        <v>1666.408675</v>
      </c>
      <c r="AY9" s="11" t="n">
        <f aca="false">Units!$E8*(1+Inputs!$B$7)^(AY$2-1)</f>
        <v>1716.40093525</v>
      </c>
      <c r="AZ9" s="11" t="n">
        <f aca="false">Units!$E8*(1+Inputs!$B$7)^(AZ$2-1)</f>
        <v>1716.40093525</v>
      </c>
      <c r="BA9" s="11" t="n">
        <f aca="false">Units!$E8*(1+Inputs!$B$7)^(BA$2-1)</f>
        <v>1716.40093525</v>
      </c>
      <c r="BB9" s="11" t="n">
        <f aca="false">Units!$E8*(1+Inputs!$B$7)^(BB$2-1)</f>
        <v>1716.40093525</v>
      </c>
      <c r="BC9" s="11" t="n">
        <f aca="false">Units!$E8*(1+Inputs!$B$7)^(BC$2-1)</f>
        <v>1716.40093525</v>
      </c>
      <c r="BD9" s="11" t="n">
        <f aca="false">Units!$E8*(1+Inputs!$B$7)^(BD$2-1)</f>
        <v>1716.40093525</v>
      </c>
      <c r="BE9" s="11" t="n">
        <f aca="false">Units!$E8*(1+Inputs!$B$7)^(BE$2-1)</f>
        <v>1716.40093525</v>
      </c>
      <c r="BF9" s="11" t="n">
        <f aca="false">Units!$E8*(1+Inputs!$B$7)^(BF$2-1)</f>
        <v>1716.40093525</v>
      </c>
      <c r="BG9" s="11" t="n">
        <f aca="false">Units!$E8*(1+Inputs!$B$7)^(BG$2-1)</f>
        <v>1716.40093525</v>
      </c>
      <c r="BH9" s="11" t="n">
        <f aca="false">Units!$E8*(1+Inputs!$B$7)^(BH$2-1)</f>
        <v>1716.40093525</v>
      </c>
      <c r="BI9" s="11" t="n">
        <f aca="false">Units!$E8*(1+Inputs!$B$7)^(BI$2-1)</f>
        <v>1716.40093525</v>
      </c>
      <c r="BJ9" s="11" t="n">
        <f aca="false">Units!$E8*(1+Inputs!$B$7)^(BJ$2-1)</f>
        <v>1716.40093525</v>
      </c>
      <c r="BK9" s="11" t="n">
        <f aca="false">Units!$E8*(1+Inputs!$B$7)^(BK$2-1)</f>
        <v>1767.8929633075</v>
      </c>
      <c r="BL9" s="11" t="n">
        <f aca="false">Units!$E8*(1+Inputs!$B$7)^(BL$2-1)</f>
        <v>1767.8929633075</v>
      </c>
      <c r="BM9" s="11" t="n">
        <f aca="false">Units!$E8*(1+Inputs!$B$7)^(BM$2-1)</f>
        <v>1767.8929633075</v>
      </c>
      <c r="BN9" s="11" t="n">
        <f aca="false">Units!$E8*(1+Inputs!$B$7)^(BN$2-1)</f>
        <v>1767.8929633075</v>
      </c>
      <c r="BO9" s="11" t="n">
        <f aca="false">Units!$E8*(1+Inputs!$B$7)^(BO$2-1)</f>
        <v>1767.8929633075</v>
      </c>
      <c r="BP9" s="11" t="n">
        <f aca="false">Units!$E8*(1+Inputs!$B$7)^(BP$2-1)</f>
        <v>1767.8929633075</v>
      </c>
      <c r="BQ9" s="11" t="n">
        <f aca="false">Units!$E8*(1+Inputs!$B$7)^(BQ$2-1)</f>
        <v>1767.8929633075</v>
      </c>
      <c r="BR9" s="11" t="n">
        <f aca="false">Units!$E8*(1+Inputs!$B$7)^(BR$2-1)</f>
        <v>1767.8929633075</v>
      </c>
      <c r="BS9" s="11" t="n">
        <f aca="false">Units!$E8*(1+Inputs!$B$7)^(BS$2-1)</f>
        <v>1767.8929633075</v>
      </c>
      <c r="BT9" s="11" t="n">
        <f aca="false">Units!$E8*(1+Inputs!$B$7)^(BT$2-1)</f>
        <v>1767.8929633075</v>
      </c>
      <c r="BU9" s="11" t="n">
        <f aca="false">Units!$E8*(1+Inputs!$B$7)^(BU$2-1)</f>
        <v>1767.8929633075</v>
      </c>
      <c r="BV9" s="11" t="n">
        <f aca="false">Units!$E8*(1+Inputs!$B$7)^(BV$2-1)</f>
        <v>1767.8929633075</v>
      </c>
      <c r="BW9" s="11" t="n">
        <f aca="false">Units!$E8*(1+Inputs!$B$7)^(BW$2-1)</f>
        <v>1820.92975220673</v>
      </c>
      <c r="BX9" s="11" t="n">
        <f aca="false">Units!$E8*(1+Inputs!$B$7)^(BX$2-1)</f>
        <v>1820.92975220673</v>
      </c>
      <c r="BY9" s="11" t="n">
        <f aca="false">Units!$E8*(1+Inputs!$B$7)^(BY$2-1)</f>
        <v>1820.92975220673</v>
      </c>
      <c r="BZ9" s="11" t="n">
        <f aca="false">Units!$E8*(1+Inputs!$B$7)^(BZ$2-1)</f>
        <v>1820.92975220673</v>
      </c>
      <c r="CA9" s="11" t="n">
        <f aca="false">Units!$E8*(1+Inputs!$B$7)^(CA$2-1)</f>
        <v>1820.92975220673</v>
      </c>
      <c r="CB9" s="11" t="n">
        <f aca="false">Units!$E8*(1+Inputs!$B$7)^(CB$2-1)</f>
        <v>1820.92975220673</v>
      </c>
      <c r="CC9" s="11" t="n">
        <f aca="false">Units!$E8*(1+Inputs!$B$7)^(CC$2-1)</f>
        <v>1820.92975220673</v>
      </c>
      <c r="CD9" s="11" t="n">
        <f aca="false">Units!$E8*(1+Inputs!$B$7)^(CD$2-1)</f>
        <v>1820.92975220673</v>
      </c>
      <c r="CE9" s="11" t="n">
        <f aca="false">Units!$E8*(1+Inputs!$B$7)^(CE$2-1)</f>
        <v>1820.92975220673</v>
      </c>
      <c r="CF9" s="11" t="n">
        <f aca="false">Units!$E8*(1+Inputs!$B$7)^(CF$2-1)</f>
        <v>1820.92975220673</v>
      </c>
      <c r="CG9" s="11" t="n">
        <f aca="false">Units!$E8*(1+Inputs!$B$7)^(CG$2-1)</f>
        <v>1820.92975220673</v>
      </c>
      <c r="CH9" s="11" t="n">
        <f aca="false">Units!$E8*(1+Inputs!$B$7)^(CH$2-1)</f>
        <v>1820.92975220673</v>
      </c>
      <c r="CI9" s="11" t="n">
        <f aca="false">Units!$E8*(1+Inputs!$B$7)^(CI$2-1)</f>
        <v>1875.55764477293</v>
      </c>
      <c r="CJ9" s="11" t="n">
        <f aca="false">Units!$E8*(1+Inputs!$B$7)^(CJ$2-1)</f>
        <v>1875.55764477293</v>
      </c>
      <c r="CK9" s="11" t="n">
        <f aca="false">Units!$E8*(1+Inputs!$B$7)^(CK$2-1)</f>
        <v>1875.55764477293</v>
      </c>
      <c r="CL9" s="11" t="n">
        <f aca="false">Units!$E8*(1+Inputs!$B$7)^(CL$2-1)</f>
        <v>1875.55764477293</v>
      </c>
      <c r="CM9" s="11" t="n">
        <f aca="false">Units!$E8*(1+Inputs!$B$7)^(CM$2-1)</f>
        <v>1875.55764477293</v>
      </c>
      <c r="CN9" s="11" t="n">
        <f aca="false">Units!$E8*(1+Inputs!$B$7)^(CN$2-1)</f>
        <v>1875.55764477293</v>
      </c>
      <c r="CO9" s="11" t="n">
        <f aca="false">Units!$E8*(1+Inputs!$B$7)^(CO$2-1)</f>
        <v>1875.55764477293</v>
      </c>
      <c r="CP9" s="11" t="n">
        <f aca="false">Units!$E8*(1+Inputs!$B$7)^(CP$2-1)</f>
        <v>1875.55764477293</v>
      </c>
      <c r="CQ9" s="11" t="n">
        <f aca="false">Units!$E8*(1+Inputs!$B$7)^(CQ$2-1)</f>
        <v>1875.55764477293</v>
      </c>
      <c r="CR9" s="11" t="n">
        <f aca="false">Units!$E8*(1+Inputs!$B$7)^(CR$2-1)</f>
        <v>1875.55764477293</v>
      </c>
      <c r="CS9" s="11" t="n">
        <f aca="false">Units!$E8*(1+Inputs!$B$7)^(CS$2-1)</f>
        <v>1875.55764477293</v>
      </c>
      <c r="CT9" s="11" t="n">
        <f aca="false">Units!$E8*(1+Inputs!$B$7)^(CT$2-1)</f>
        <v>1875.55764477293</v>
      </c>
      <c r="CU9" s="11" t="n">
        <f aca="false">Units!$E8*(1+Inputs!$B$7)^(CU$2-1)</f>
        <v>1931.82437411612</v>
      </c>
      <c r="CV9" s="11" t="n">
        <f aca="false">Units!$E8*(1+Inputs!$B$7)^(CV$2-1)</f>
        <v>1931.82437411612</v>
      </c>
      <c r="CW9" s="11" t="n">
        <f aca="false">Units!$E8*(1+Inputs!$B$7)^(CW$2-1)</f>
        <v>1931.82437411612</v>
      </c>
      <c r="CX9" s="11" t="n">
        <f aca="false">Units!$E8*(1+Inputs!$B$7)^(CX$2-1)</f>
        <v>1931.82437411612</v>
      </c>
      <c r="CY9" s="11" t="n">
        <f aca="false">Units!$E8*(1+Inputs!$B$7)^(CY$2-1)</f>
        <v>1931.82437411612</v>
      </c>
      <c r="CZ9" s="11" t="n">
        <f aca="false">Units!$E8*(1+Inputs!$B$7)^(CZ$2-1)</f>
        <v>1931.82437411612</v>
      </c>
      <c r="DA9" s="11" t="n">
        <f aca="false">Units!$E8*(1+Inputs!$B$7)^(DA$2-1)</f>
        <v>1931.82437411612</v>
      </c>
      <c r="DB9" s="11" t="n">
        <f aca="false">Units!$E8*(1+Inputs!$B$7)^(DB$2-1)</f>
        <v>1931.82437411612</v>
      </c>
      <c r="DC9" s="11" t="n">
        <f aca="false">Units!$E8*(1+Inputs!$B$7)^(DC$2-1)</f>
        <v>1931.82437411612</v>
      </c>
      <c r="DD9" s="11" t="n">
        <f aca="false">Units!$E8*(1+Inputs!$B$7)^(DD$2-1)</f>
        <v>1931.82437411612</v>
      </c>
      <c r="DE9" s="11" t="n">
        <f aca="false">Units!$E8*(1+Inputs!$B$7)^(DE$2-1)</f>
        <v>1931.82437411612</v>
      </c>
      <c r="DF9" s="11" t="n">
        <f aca="false">Units!$E8*(1+Inputs!$B$7)^(DF$2-1)</f>
        <v>1931.82437411612</v>
      </c>
      <c r="DG9" s="11" t="n">
        <f aca="false">Units!$E8*(1+Inputs!$B$7)^(DG$2-1)</f>
        <v>1989.7791053396</v>
      </c>
      <c r="DH9" s="11" t="n">
        <f aca="false">Units!$E8*(1+Inputs!$B$7)^(DH$2-1)</f>
        <v>1989.7791053396</v>
      </c>
      <c r="DI9" s="11" t="n">
        <f aca="false">Units!$E8*(1+Inputs!$B$7)^(DI$2-1)</f>
        <v>1989.7791053396</v>
      </c>
      <c r="DJ9" s="11" t="n">
        <f aca="false">Units!$E8*(1+Inputs!$B$7)^(DJ$2-1)</f>
        <v>1989.7791053396</v>
      </c>
      <c r="DK9" s="11" t="n">
        <f aca="false">Units!$E8*(1+Inputs!$B$7)^(DK$2-1)</f>
        <v>1989.7791053396</v>
      </c>
      <c r="DL9" s="11" t="n">
        <f aca="false">Units!$E8*(1+Inputs!$B$7)^(DL$2-1)</f>
        <v>1989.7791053396</v>
      </c>
      <c r="DM9" s="11" t="n">
        <f aca="false">Units!$E8*(1+Inputs!$B$7)^(DM$2-1)</f>
        <v>1989.7791053396</v>
      </c>
      <c r="DN9" s="11" t="n">
        <f aca="false">Units!$E8*(1+Inputs!$B$7)^(DN$2-1)</f>
        <v>1989.7791053396</v>
      </c>
      <c r="DO9" s="11" t="n">
        <f aca="false">Units!$E8*(1+Inputs!$B$7)^(DO$2-1)</f>
        <v>1989.7791053396</v>
      </c>
      <c r="DP9" s="11" t="n">
        <f aca="false">Units!$E8*(1+Inputs!$B$7)^(DP$2-1)</f>
        <v>1989.7791053396</v>
      </c>
      <c r="DQ9" s="11" t="n">
        <f aca="false">Units!$E8*(1+Inputs!$B$7)^(DQ$2-1)</f>
        <v>1989.7791053396</v>
      </c>
      <c r="DR9" s="11" t="n">
        <f aca="false">Units!$E8*(1+Inputs!$B$7)^(DR$2-1)</f>
        <v>1989.7791053396</v>
      </c>
      <c r="DS9" s="11" t="n">
        <f aca="false">Units!$E8*(1+Inputs!$B$7)^(DS$2-1)</f>
        <v>2049.47247849979</v>
      </c>
      <c r="DT9" s="11" t="n">
        <f aca="false">Units!$E8*(1+Inputs!$B$7)^(DT$2-1)</f>
        <v>2049.47247849979</v>
      </c>
      <c r="DU9" s="11" t="n">
        <f aca="false">Units!$E8*(1+Inputs!$B$7)^(DU$2-1)</f>
        <v>2049.47247849979</v>
      </c>
      <c r="DV9" s="11" t="n">
        <f aca="false">Units!$E8*(1+Inputs!$B$7)^(DV$2-1)</f>
        <v>2049.47247849979</v>
      </c>
      <c r="DW9" s="11" t="n">
        <f aca="false">Units!$E8*(1+Inputs!$B$7)^(DW$2-1)</f>
        <v>2049.47247849979</v>
      </c>
      <c r="DX9" s="11" t="n">
        <f aca="false">Units!$E8*(1+Inputs!$B$7)^(DX$2-1)</f>
        <v>2049.47247849979</v>
      </c>
      <c r="DY9" s="11" t="n">
        <f aca="false">Units!$E8*(1+Inputs!$B$7)^(DY$2-1)</f>
        <v>2049.47247849979</v>
      </c>
      <c r="DZ9" s="11" t="n">
        <f aca="false">Units!$E8*(1+Inputs!$B$7)^(DZ$2-1)</f>
        <v>2049.47247849979</v>
      </c>
      <c r="EA9" s="11" t="n">
        <f aca="false">Units!$E8*(1+Inputs!$B$7)^(EA$2-1)</f>
        <v>2049.47247849979</v>
      </c>
      <c r="EB9" s="11" t="n">
        <f aca="false">Units!$E8*(1+Inputs!$B$7)^(EB$2-1)</f>
        <v>2049.47247849979</v>
      </c>
      <c r="EC9" s="11" t="n">
        <f aca="false">Units!$E8*(1+Inputs!$B$7)^(EC$2-1)</f>
        <v>2049.47247849979</v>
      </c>
      <c r="ED9" s="11" t="n">
        <f aca="false">Units!$E8*(1+Inputs!$B$7)^(ED$2-1)</f>
        <v>2049.47247849979</v>
      </c>
    </row>
    <row r="10" customFormat="false" ht="15" hidden="false" customHeight="false" outlineLevel="0" collapsed="false">
      <c r="A10" s="22" t="n">
        <f aca="false">Units!A9</f>
        <v>108</v>
      </c>
      <c r="B10" s="23"/>
      <c r="C10" s="11" t="n">
        <f aca="false">Units!$E9*(1+Inputs!$B$7)^(C$2-1)</f>
        <v>1525</v>
      </c>
      <c r="D10" s="11" t="n">
        <f aca="false">Units!$E9*(1+Inputs!$B$7)^(D$2-1)</f>
        <v>1525</v>
      </c>
      <c r="E10" s="11" t="n">
        <f aca="false">Units!$E9*(1+Inputs!$B$7)^(E$2-1)</f>
        <v>1525</v>
      </c>
      <c r="F10" s="11" t="n">
        <f aca="false">Units!$E9*(1+Inputs!$B$7)^(F$2-1)</f>
        <v>1525</v>
      </c>
      <c r="G10" s="11" t="n">
        <f aca="false">Units!$E9*(1+Inputs!$B$7)^(G$2-1)</f>
        <v>1525</v>
      </c>
      <c r="H10" s="11" t="n">
        <f aca="false">Units!$E9*(1+Inputs!$B$7)^(H$2-1)</f>
        <v>1525</v>
      </c>
      <c r="I10" s="11" t="n">
        <f aca="false">Units!$E9*(1+Inputs!$B$7)^(I$2-1)</f>
        <v>1525</v>
      </c>
      <c r="J10" s="11" t="n">
        <f aca="false">Units!$E9*(1+Inputs!$B$7)^(J$2-1)</f>
        <v>1525</v>
      </c>
      <c r="K10" s="11" t="n">
        <f aca="false">Units!$E9*(1+Inputs!$B$7)^(K$2-1)</f>
        <v>1525</v>
      </c>
      <c r="L10" s="11" t="n">
        <f aca="false">Units!$E9*(1+Inputs!$B$7)^(L$2-1)</f>
        <v>1525</v>
      </c>
      <c r="M10" s="11" t="n">
        <f aca="false">Units!$E9*(1+Inputs!$B$7)^(M$2-1)</f>
        <v>1525</v>
      </c>
      <c r="N10" s="11" t="n">
        <f aca="false">Units!$E9*(1+Inputs!$B$7)^(N$2-1)</f>
        <v>1525</v>
      </c>
      <c r="O10" s="11" t="n">
        <f aca="false">Units!$E9*(1+Inputs!$B$7)^(O$2-1)</f>
        <v>1570.75</v>
      </c>
      <c r="P10" s="11" t="n">
        <f aca="false">Units!$E9*(1+Inputs!$B$7)^(P$2-1)</f>
        <v>1570.75</v>
      </c>
      <c r="Q10" s="11" t="n">
        <f aca="false">Units!$E9*(1+Inputs!$B$7)^(Q$2-1)</f>
        <v>1570.75</v>
      </c>
      <c r="R10" s="11" t="n">
        <f aca="false">Units!$E9*(1+Inputs!$B$7)^(R$2-1)</f>
        <v>1570.75</v>
      </c>
      <c r="S10" s="11" t="n">
        <f aca="false">Units!$E9*(1+Inputs!$B$7)^(S$2-1)</f>
        <v>1570.75</v>
      </c>
      <c r="T10" s="11" t="n">
        <f aca="false">Units!$E9*(1+Inputs!$B$7)^(T$2-1)</f>
        <v>1570.75</v>
      </c>
      <c r="U10" s="11" t="n">
        <f aca="false">Units!$E9*(1+Inputs!$B$7)^(U$2-1)</f>
        <v>1570.75</v>
      </c>
      <c r="V10" s="11" t="n">
        <f aca="false">Units!$E9*(1+Inputs!$B$7)^(V$2-1)</f>
        <v>1570.75</v>
      </c>
      <c r="W10" s="11" t="n">
        <f aca="false">Units!$E9*(1+Inputs!$B$7)^(W$2-1)</f>
        <v>1570.75</v>
      </c>
      <c r="X10" s="11" t="n">
        <f aca="false">Units!$E9*(1+Inputs!$B$7)^(X$2-1)</f>
        <v>1570.75</v>
      </c>
      <c r="Y10" s="11" t="n">
        <f aca="false">Units!$E9*(1+Inputs!$B$7)^(Y$2-1)</f>
        <v>1570.75</v>
      </c>
      <c r="Z10" s="11" t="n">
        <f aca="false">Units!$E9*(1+Inputs!$B$7)^(Z$2-1)</f>
        <v>1570.75</v>
      </c>
      <c r="AA10" s="11" t="n">
        <f aca="false">Units!$E9*(1+Inputs!$B$7)^(AA$2-1)</f>
        <v>1617.8725</v>
      </c>
      <c r="AB10" s="11" t="n">
        <f aca="false">Units!$E9*(1+Inputs!$B$7)^(AB$2-1)</f>
        <v>1617.8725</v>
      </c>
      <c r="AC10" s="11" t="n">
        <f aca="false">Units!$E9*(1+Inputs!$B$7)^(AC$2-1)</f>
        <v>1617.8725</v>
      </c>
      <c r="AD10" s="11" t="n">
        <f aca="false">Units!$E9*(1+Inputs!$B$7)^(AD$2-1)</f>
        <v>1617.8725</v>
      </c>
      <c r="AE10" s="11" t="n">
        <f aca="false">Units!$E9*(1+Inputs!$B$7)^(AE$2-1)</f>
        <v>1617.8725</v>
      </c>
      <c r="AF10" s="11" t="n">
        <f aca="false">Units!$E9*(1+Inputs!$B$7)^(AF$2-1)</f>
        <v>1617.8725</v>
      </c>
      <c r="AG10" s="11" t="n">
        <f aca="false">Units!$E9*(1+Inputs!$B$7)^(AG$2-1)</f>
        <v>1617.8725</v>
      </c>
      <c r="AH10" s="11" t="n">
        <f aca="false">Units!$E9*(1+Inputs!$B$7)^(AH$2-1)</f>
        <v>1617.8725</v>
      </c>
      <c r="AI10" s="11" t="n">
        <f aca="false">Units!$E9*(1+Inputs!$B$7)^(AI$2-1)</f>
        <v>1617.8725</v>
      </c>
      <c r="AJ10" s="11" t="n">
        <f aca="false">Units!$E9*(1+Inputs!$B$7)^(AJ$2-1)</f>
        <v>1617.8725</v>
      </c>
      <c r="AK10" s="11" t="n">
        <f aca="false">Units!$E9*(1+Inputs!$B$7)^(AK$2-1)</f>
        <v>1617.8725</v>
      </c>
      <c r="AL10" s="11" t="n">
        <f aca="false">Units!$E9*(1+Inputs!$B$7)^(AL$2-1)</f>
        <v>1617.8725</v>
      </c>
      <c r="AM10" s="11" t="n">
        <f aca="false">Units!$E9*(1+Inputs!$B$7)^(AM$2-1)</f>
        <v>1666.408675</v>
      </c>
      <c r="AN10" s="11" t="n">
        <f aca="false">Units!$E9*(1+Inputs!$B$7)^(AN$2-1)</f>
        <v>1666.408675</v>
      </c>
      <c r="AO10" s="11" t="n">
        <f aca="false">Units!$E9*(1+Inputs!$B$7)^(AO$2-1)</f>
        <v>1666.408675</v>
      </c>
      <c r="AP10" s="11" t="n">
        <f aca="false">Units!$E9*(1+Inputs!$B$7)^(AP$2-1)</f>
        <v>1666.408675</v>
      </c>
      <c r="AQ10" s="11" t="n">
        <f aca="false">Units!$E9*(1+Inputs!$B$7)^(AQ$2-1)</f>
        <v>1666.408675</v>
      </c>
      <c r="AR10" s="11" t="n">
        <f aca="false">Units!$E9*(1+Inputs!$B$7)^(AR$2-1)</f>
        <v>1666.408675</v>
      </c>
      <c r="AS10" s="11" t="n">
        <f aca="false">Units!$E9*(1+Inputs!$B$7)^(AS$2-1)</f>
        <v>1666.408675</v>
      </c>
      <c r="AT10" s="11" t="n">
        <f aca="false">Units!$E9*(1+Inputs!$B$7)^(AT$2-1)</f>
        <v>1666.408675</v>
      </c>
      <c r="AU10" s="11" t="n">
        <f aca="false">Units!$E9*(1+Inputs!$B$7)^(AU$2-1)</f>
        <v>1666.408675</v>
      </c>
      <c r="AV10" s="11" t="n">
        <f aca="false">Units!$E9*(1+Inputs!$B$7)^(AV$2-1)</f>
        <v>1666.408675</v>
      </c>
      <c r="AW10" s="11" t="n">
        <f aca="false">Units!$E9*(1+Inputs!$B$7)^(AW$2-1)</f>
        <v>1666.408675</v>
      </c>
      <c r="AX10" s="11" t="n">
        <f aca="false">Units!$E9*(1+Inputs!$B$7)^(AX$2-1)</f>
        <v>1666.408675</v>
      </c>
      <c r="AY10" s="11" t="n">
        <f aca="false">Units!$E9*(1+Inputs!$B$7)^(AY$2-1)</f>
        <v>1716.40093525</v>
      </c>
      <c r="AZ10" s="11" t="n">
        <f aca="false">Units!$E9*(1+Inputs!$B$7)^(AZ$2-1)</f>
        <v>1716.40093525</v>
      </c>
      <c r="BA10" s="11" t="n">
        <f aca="false">Units!$E9*(1+Inputs!$B$7)^(BA$2-1)</f>
        <v>1716.40093525</v>
      </c>
      <c r="BB10" s="11" t="n">
        <f aca="false">Units!$E9*(1+Inputs!$B$7)^(BB$2-1)</f>
        <v>1716.40093525</v>
      </c>
      <c r="BC10" s="11" t="n">
        <f aca="false">Units!$E9*(1+Inputs!$B$7)^(BC$2-1)</f>
        <v>1716.40093525</v>
      </c>
      <c r="BD10" s="11" t="n">
        <f aca="false">Units!$E9*(1+Inputs!$B$7)^(BD$2-1)</f>
        <v>1716.40093525</v>
      </c>
      <c r="BE10" s="11" t="n">
        <f aca="false">Units!$E9*(1+Inputs!$B$7)^(BE$2-1)</f>
        <v>1716.40093525</v>
      </c>
      <c r="BF10" s="11" t="n">
        <f aca="false">Units!$E9*(1+Inputs!$B$7)^(BF$2-1)</f>
        <v>1716.40093525</v>
      </c>
      <c r="BG10" s="11" t="n">
        <f aca="false">Units!$E9*(1+Inputs!$B$7)^(BG$2-1)</f>
        <v>1716.40093525</v>
      </c>
      <c r="BH10" s="11" t="n">
        <f aca="false">Units!$E9*(1+Inputs!$B$7)^(BH$2-1)</f>
        <v>1716.40093525</v>
      </c>
      <c r="BI10" s="11" t="n">
        <f aca="false">Units!$E9*(1+Inputs!$B$7)^(BI$2-1)</f>
        <v>1716.40093525</v>
      </c>
      <c r="BJ10" s="11" t="n">
        <f aca="false">Units!$E9*(1+Inputs!$B$7)^(BJ$2-1)</f>
        <v>1716.40093525</v>
      </c>
      <c r="BK10" s="11" t="n">
        <f aca="false">Units!$E9*(1+Inputs!$B$7)^(BK$2-1)</f>
        <v>1767.8929633075</v>
      </c>
      <c r="BL10" s="11" t="n">
        <f aca="false">Units!$E9*(1+Inputs!$B$7)^(BL$2-1)</f>
        <v>1767.8929633075</v>
      </c>
      <c r="BM10" s="11" t="n">
        <f aca="false">Units!$E9*(1+Inputs!$B$7)^(BM$2-1)</f>
        <v>1767.8929633075</v>
      </c>
      <c r="BN10" s="11" t="n">
        <f aca="false">Units!$E9*(1+Inputs!$B$7)^(BN$2-1)</f>
        <v>1767.8929633075</v>
      </c>
      <c r="BO10" s="11" t="n">
        <f aca="false">Units!$E9*(1+Inputs!$B$7)^(BO$2-1)</f>
        <v>1767.8929633075</v>
      </c>
      <c r="BP10" s="11" t="n">
        <f aca="false">Units!$E9*(1+Inputs!$B$7)^(BP$2-1)</f>
        <v>1767.8929633075</v>
      </c>
      <c r="BQ10" s="11" t="n">
        <f aca="false">Units!$E9*(1+Inputs!$B$7)^(BQ$2-1)</f>
        <v>1767.8929633075</v>
      </c>
      <c r="BR10" s="11" t="n">
        <f aca="false">Units!$E9*(1+Inputs!$B$7)^(BR$2-1)</f>
        <v>1767.8929633075</v>
      </c>
      <c r="BS10" s="11" t="n">
        <f aca="false">Units!$E9*(1+Inputs!$B$7)^(BS$2-1)</f>
        <v>1767.8929633075</v>
      </c>
      <c r="BT10" s="11" t="n">
        <f aca="false">Units!$E9*(1+Inputs!$B$7)^(BT$2-1)</f>
        <v>1767.8929633075</v>
      </c>
      <c r="BU10" s="11" t="n">
        <f aca="false">Units!$E9*(1+Inputs!$B$7)^(BU$2-1)</f>
        <v>1767.8929633075</v>
      </c>
      <c r="BV10" s="11" t="n">
        <f aca="false">Units!$E9*(1+Inputs!$B$7)^(BV$2-1)</f>
        <v>1767.8929633075</v>
      </c>
      <c r="BW10" s="11" t="n">
        <f aca="false">Units!$E9*(1+Inputs!$B$7)^(BW$2-1)</f>
        <v>1820.92975220673</v>
      </c>
      <c r="BX10" s="11" t="n">
        <f aca="false">Units!$E9*(1+Inputs!$B$7)^(BX$2-1)</f>
        <v>1820.92975220673</v>
      </c>
      <c r="BY10" s="11" t="n">
        <f aca="false">Units!$E9*(1+Inputs!$B$7)^(BY$2-1)</f>
        <v>1820.92975220673</v>
      </c>
      <c r="BZ10" s="11" t="n">
        <f aca="false">Units!$E9*(1+Inputs!$B$7)^(BZ$2-1)</f>
        <v>1820.92975220673</v>
      </c>
      <c r="CA10" s="11" t="n">
        <f aca="false">Units!$E9*(1+Inputs!$B$7)^(CA$2-1)</f>
        <v>1820.92975220673</v>
      </c>
      <c r="CB10" s="11" t="n">
        <f aca="false">Units!$E9*(1+Inputs!$B$7)^(CB$2-1)</f>
        <v>1820.92975220673</v>
      </c>
      <c r="CC10" s="11" t="n">
        <f aca="false">Units!$E9*(1+Inputs!$B$7)^(CC$2-1)</f>
        <v>1820.92975220673</v>
      </c>
      <c r="CD10" s="11" t="n">
        <f aca="false">Units!$E9*(1+Inputs!$B$7)^(CD$2-1)</f>
        <v>1820.92975220673</v>
      </c>
      <c r="CE10" s="11" t="n">
        <f aca="false">Units!$E9*(1+Inputs!$B$7)^(CE$2-1)</f>
        <v>1820.92975220673</v>
      </c>
      <c r="CF10" s="11" t="n">
        <f aca="false">Units!$E9*(1+Inputs!$B$7)^(CF$2-1)</f>
        <v>1820.92975220673</v>
      </c>
      <c r="CG10" s="11" t="n">
        <f aca="false">Units!$E9*(1+Inputs!$B$7)^(CG$2-1)</f>
        <v>1820.92975220673</v>
      </c>
      <c r="CH10" s="11" t="n">
        <f aca="false">Units!$E9*(1+Inputs!$B$7)^(CH$2-1)</f>
        <v>1820.92975220673</v>
      </c>
      <c r="CI10" s="11" t="n">
        <f aca="false">Units!$E9*(1+Inputs!$B$7)^(CI$2-1)</f>
        <v>1875.55764477293</v>
      </c>
      <c r="CJ10" s="11" t="n">
        <f aca="false">Units!$E9*(1+Inputs!$B$7)^(CJ$2-1)</f>
        <v>1875.55764477293</v>
      </c>
      <c r="CK10" s="11" t="n">
        <f aca="false">Units!$E9*(1+Inputs!$B$7)^(CK$2-1)</f>
        <v>1875.55764477293</v>
      </c>
      <c r="CL10" s="11" t="n">
        <f aca="false">Units!$E9*(1+Inputs!$B$7)^(CL$2-1)</f>
        <v>1875.55764477293</v>
      </c>
      <c r="CM10" s="11" t="n">
        <f aca="false">Units!$E9*(1+Inputs!$B$7)^(CM$2-1)</f>
        <v>1875.55764477293</v>
      </c>
      <c r="CN10" s="11" t="n">
        <f aca="false">Units!$E9*(1+Inputs!$B$7)^(CN$2-1)</f>
        <v>1875.55764477293</v>
      </c>
      <c r="CO10" s="11" t="n">
        <f aca="false">Units!$E9*(1+Inputs!$B$7)^(CO$2-1)</f>
        <v>1875.55764477293</v>
      </c>
      <c r="CP10" s="11" t="n">
        <f aca="false">Units!$E9*(1+Inputs!$B$7)^(CP$2-1)</f>
        <v>1875.55764477293</v>
      </c>
      <c r="CQ10" s="11" t="n">
        <f aca="false">Units!$E9*(1+Inputs!$B$7)^(CQ$2-1)</f>
        <v>1875.55764477293</v>
      </c>
      <c r="CR10" s="11" t="n">
        <f aca="false">Units!$E9*(1+Inputs!$B$7)^(CR$2-1)</f>
        <v>1875.55764477293</v>
      </c>
      <c r="CS10" s="11" t="n">
        <f aca="false">Units!$E9*(1+Inputs!$B$7)^(CS$2-1)</f>
        <v>1875.55764477293</v>
      </c>
      <c r="CT10" s="11" t="n">
        <f aca="false">Units!$E9*(1+Inputs!$B$7)^(CT$2-1)</f>
        <v>1875.55764477293</v>
      </c>
      <c r="CU10" s="11" t="n">
        <f aca="false">Units!$E9*(1+Inputs!$B$7)^(CU$2-1)</f>
        <v>1931.82437411612</v>
      </c>
      <c r="CV10" s="11" t="n">
        <f aca="false">Units!$E9*(1+Inputs!$B$7)^(CV$2-1)</f>
        <v>1931.82437411612</v>
      </c>
      <c r="CW10" s="11" t="n">
        <f aca="false">Units!$E9*(1+Inputs!$B$7)^(CW$2-1)</f>
        <v>1931.82437411612</v>
      </c>
      <c r="CX10" s="11" t="n">
        <f aca="false">Units!$E9*(1+Inputs!$B$7)^(CX$2-1)</f>
        <v>1931.82437411612</v>
      </c>
      <c r="CY10" s="11" t="n">
        <f aca="false">Units!$E9*(1+Inputs!$B$7)^(CY$2-1)</f>
        <v>1931.82437411612</v>
      </c>
      <c r="CZ10" s="11" t="n">
        <f aca="false">Units!$E9*(1+Inputs!$B$7)^(CZ$2-1)</f>
        <v>1931.82437411612</v>
      </c>
      <c r="DA10" s="11" t="n">
        <f aca="false">Units!$E9*(1+Inputs!$B$7)^(DA$2-1)</f>
        <v>1931.82437411612</v>
      </c>
      <c r="DB10" s="11" t="n">
        <f aca="false">Units!$E9*(1+Inputs!$B$7)^(DB$2-1)</f>
        <v>1931.82437411612</v>
      </c>
      <c r="DC10" s="11" t="n">
        <f aca="false">Units!$E9*(1+Inputs!$B$7)^(DC$2-1)</f>
        <v>1931.82437411612</v>
      </c>
      <c r="DD10" s="11" t="n">
        <f aca="false">Units!$E9*(1+Inputs!$B$7)^(DD$2-1)</f>
        <v>1931.82437411612</v>
      </c>
      <c r="DE10" s="11" t="n">
        <f aca="false">Units!$E9*(1+Inputs!$B$7)^(DE$2-1)</f>
        <v>1931.82437411612</v>
      </c>
      <c r="DF10" s="11" t="n">
        <f aca="false">Units!$E9*(1+Inputs!$B$7)^(DF$2-1)</f>
        <v>1931.82437411612</v>
      </c>
      <c r="DG10" s="11" t="n">
        <f aca="false">Units!$E9*(1+Inputs!$B$7)^(DG$2-1)</f>
        <v>1989.7791053396</v>
      </c>
      <c r="DH10" s="11" t="n">
        <f aca="false">Units!$E9*(1+Inputs!$B$7)^(DH$2-1)</f>
        <v>1989.7791053396</v>
      </c>
      <c r="DI10" s="11" t="n">
        <f aca="false">Units!$E9*(1+Inputs!$B$7)^(DI$2-1)</f>
        <v>1989.7791053396</v>
      </c>
      <c r="DJ10" s="11" t="n">
        <f aca="false">Units!$E9*(1+Inputs!$B$7)^(DJ$2-1)</f>
        <v>1989.7791053396</v>
      </c>
      <c r="DK10" s="11" t="n">
        <f aca="false">Units!$E9*(1+Inputs!$B$7)^(DK$2-1)</f>
        <v>1989.7791053396</v>
      </c>
      <c r="DL10" s="11" t="n">
        <f aca="false">Units!$E9*(1+Inputs!$B$7)^(DL$2-1)</f>
        <v>1989.7791053396</v>
      </c>
      <c r="DM10" s="11" t="n">
        <f aca="false">Units!$E9*(1+Inputs!$B$7)^(DM$2-1)</f>
        <v>1989.7791053396</v>
      </c>
      <c r="DN10" s="11" t="n">
        <f aca="false">Units!$E9*(1+Inputs!$B$7)^(DN$2-1)</f>
        <v>1989.7791053396</v>
      </c>
      <c r="DO10" s="11" t="n">
        <f aca="false">Units!$E9*(1+Inputs!$B$7)^(DO$2-1)</f>
        <v>1989.7791053396</v>
      </c>
      <c r="DP10" s="11" t="n">
        <f aca="false">Units!$E9*(1+Inputs!$B$7)^(DP$2-1)</f>
        <v>1989.7791053396</v>
      </c>
      <c r="DQ10" s="11" t="n">
        <f aca="false">Units!$E9*(1+Inputs!$B$7)^(DQ$2-1)</f>
        <v>1989.7791053396</v>
      </c>
      <c r="DR10" s="11" t="n">
        <f aca="false">Units!$E9*(1+Inputs!$B$7)^(DR$2-1)</f>
        <v>1989.7791053396</v>
      </c>
      <c r="DS10" s="11" t="n">
        <f aca="false">Units!$E9*(1+Inputs!$B$7)^(DS$2-1)</f>
        <v>2049.47247849979</v>
      </c>
      <c r="DT10" s="11" t="n">
        <f aca="false">Units!$E9*(1+Inputs!$B$7)^(DT$2-1)</f>
        <v>2049.47247849979</v>
      </c>
      <c r="DU10" s="11" t="n">
        <f aca="false">Units!$E9*(1+Inputs!$B$7)^(DU$2-1)</f>
        <v>2049.47247849979</v>
      </c>
      <c r="DV10" s="11" t="n">
        <f aca="false">Units!$E9*(1+Inputs!$B$7)^(DV$2-1)</f>
        <v>2049.47247849979</v>
      </c>
      <c r="DW10" s="11" t="n">
        <f aca="false">Units!$E9*(1+Inputs!$B$7)^(DW$2-1)</f>
        <v>2049.47247849979</v>
      </c>
      <c r="DX10" s="11" t="n">
        <f aca="false">Units!$E9*(1+Inputs!$B$7)^(DX$2-1)</f>
        <v>2049.47247849979</v>
      </c>
      <c r="DY10" s="11" t="n">
        <f aca="false">Units!$E9*(1+Inputs!$B$7)^(DY$2-1)</f>
        <v>2049.47247849979</v>
      </c>
      <c r="DZ10" s="11" t="n">
        <f aca="false">Units!$E9*(1+Inputs!$B$7)^(DZ$2-1)</f>
        <v>2049.47247849979</v>
      </c>
      <c r="EA10" s="11" t="n">
        <f aca="false">Units!$E9*(1+Inputs!$B$7)^(EA$2-1)</f>
        <v>2049.47247849979</v>
      </c>
      <c r="EB10" s="11" t="n">
        <f aca="false">Units!$E9*(1+Inputs!$B$7)^(EB$2-1)</f>
        <v>2049.47247849979</v>
      </c>
      <c r="EC10" s="11" t="n">
        <f aca="false">Units!$E9*(1+Inputs!$B$7)^(EC$2-1)</f>
        <v>2049.47247849979</v>
      </c>
      <c r="ED10" s="11" t="n">
        <f aca="false">Units!$E9*(1+Inputs!$B$7)^(ED$2-1)</f>
        <v>2049.47247849979</v>
      </c>
    </row>
    <row r="11" customFormat="false" ht="15" hidden="false" customHeight="false" outlineLevel="0" collapsed="false">
      <c r="A11" s="22" t="n">
        <f aca="false">Units!A10</f>
        <v>109</v>
      </c>
      <c r="B11" s="23"/>
      <c r="C11" s="11" t="n">
        <f aca="false">Units!$E10*(1+Inputs!$B$7)^(C$2-1)</f>
        <v>1525</v>
      </c>
      <c r="D11" s="11" t="n">
        <f aca="false">Units!$E10*(1+Inputs!$B$7)^(D$2-1)</f>
        <v>1525</v>
      </c>
      <c r="E11" s="11" t="n">
        <f aca="false">Units!$E10*(1+Inputs!$B$7)^(E$2-1)</f>
        <v>1525</v>
      </c>
      <c r="F11" s="11" t="n">
        <f aca="false">Units!$E10*(1+Inputs!$B$7)^(F$2-1)</f>
        <v>1525</v>
      </c>
      <c r="G11" s="11" t="n">
        <f aca="false">Units!$E10*(1+Inputs!$B$7)^(G$2-1)</f>
        <v>1525</v>
      </c>
      <c r="H11" s="11" t="n">
        <f aca="false">Units!$E10*(1+Inputs!$B$7)^(H$2-1)</f>
        <v>1525</v>
      </c>
      <c r="I11" s="11" t="n">
        <f aca="false">Units!$E10*(1+Inputs!$B$7)^(I$2-1)</f>
        <v>1525</v>
      </c>
      <c r="J11" s="11" t="n">
        <f aca="false">Units!$E10*(1+Inputs!$B$7)^(J$2-1)</f>
        <v>1525</v>
      </c>
      <c r="K11" s="11" t="n">
        <f aca="false">Units!$E10*(1+Inputs!$B$7)^(K$2-1)</f>
        <v>1525</v>
      </c>
      <c r="L11" s="11" t="n">
        <f aca="false">Units!$E10*(1+Inputs!$B$7)^(L$2-1)</f>
        <v>1525</v>
      </c>
      <c r="M11" s="11" t="n">
        <f aca="false">Units!$E10*(1+Inputs!$B$7)^(M$2-1)</f>
        <v>1525</v>
      </c>
      <c r="N11" s="11" t="n">
        <f aca="false">Units!$E10*(1+Inputs!$B$7)^(N$2-1)</f>
        <v>1525</v>
      </c>
      <c r="O11" s="11" t="n">
        <f aca="false">Units!$E10*(1+Inputs!$B$7)^(O$2-1)</f>
        <v>1570.75</v>
      </c>
      <c r="P11" s="11" t="n">
        <f aca="false">Units!$E10*(1+Inputs!$B$7)^(P$2-1)</f>
        <v>1570.75</v>
      </c>
      <c r="Q11" s="11" t="n">
        <f aca="false">Units!$E10*(1+Inputs!$B$7)^(Q$2-1)</f>
        <v>1570.75</v>
      </c>
      <c r="R11" s="11" t="n">
        <f aca="false">Units!$E10*(1+Inputs!$B$7)^(R$2-1)</f>
        <v>1570.75</v>
      </c>
      <c r="S11" s="11" t="n">
        <f aca="false">Units!$E10*(1+Inputs!$B$7)^(S$2-1)</f>
        <v>1570.75</v>
      </c>
      <c r="T11" s="11" t="n">
        <f aca="false">Units!$E10*(1+Inputs!$B$7)^(T$2-1)</f>
        <v>1570.75</v>
      </c>
      <c r="U11" s="11" t="n">
        <f aca="false">Units!$E10*(1+Inputs!$B$7)^(U$2-1)</f>
        <v>1570.75</v>
      </c>
      <c r="V11" s="11" t="n">
        <f aca="false">Units!$E10*(1+Inputs!$B$7)^(V$2-1)</f>
        <v>1570.75</v>
      </c>
      <c r="W11" s="11" t="n">
        <f aca="false">Units!$E10*(1+Inputs!$B$7)^(W$2-1)</f>
        <v>1570.75</v>
      </c>
      <c r="X11" s="11" t="n">
        <f aca="false">Units!$E10*(1+Inputs!$B$7)^(X$2-1)</f>
        <v>1570.75</v>
      </c>
      <c r="Y11" s="11" t="n">
        <f aca="false">Units!$E10*(1+Inputs!$B$7)^(Y$2-1)</f>
        <v>1570.75</v>
      </c>
      <c r="Z11" s="11" t="n">
        <f aca="false">Units!$E10*(1+Inputs!$B$7)^(Z$2-1)</f>
        <v>1570.75</v>
      </c>
      <c r="AA11" s="11" t="n">
        <f aca="false">Units!$E10*(1+Inputs!$B$7)^(AA$2-1)</f>
        <v>1617.8725</v>
      </c>
      <c r="AB11" s="11" t="n">
        <f aca="false">Units!$E10*(1+Inputs!$B$7)^(AB$2-1)</f>
        <v>1617.8725</v>
      </c>
      <c r="AC11" s="11" t="n">
        <f aca="false">Units!$E10*(1+Inputs!$B$7)^(AC$2-1)</f>
        <v>1617.8725</v>
      </c>
      <c r="AD11" s="11" t="n">
        <f aca="false">Units!$E10*(1+Inputs!$B$7)^(AD$2-1)</f>
        <v>1617.8725</v>
      </c>
      <c r="AE11" s="11" t="n">
        <f aca="false">Units!$E10*(1+Inputs!$B$7)^(AE$2-1)</f>
        <v>1617.8725</v>
      </c>
      <c r="AF11" s="11" t="n">
        <f aca="false">Units!$E10*(1+Inputs!$B$7)^(AF$2-1)</f>
        <v>1617.8725</v>
      </c>
      <c r="AG11" s="11" t="n">
        <f aca="false">Units!$E10*(1+Inputs!$B$7)^(AG$2-1)</f>
        <v>1617.8725</v>
      </c>
      <c r="AH11" s="11" t="n">
        <f aca="false">Units!$E10*(1+Inputs!$B$7)^(AH$2-1)</f>
        <v>1617.8725</v>
      </c>
      <c r="AI11" s="11" t="n">
        <f aca="false">Units!$E10*(1+Inputs!$B$7)^(AI$2-1)</f>
        <v>1617.8725</v>
      </c>
      <c r="AJ11" s="11" t="n">
        <f aca="false">Units!$E10*(1+Inputs!$B$7)^(AJ$2-1)</f>
        <v>1617.8725</v>
      </c>
      <c r="AK11" s="11" t="n">
        <f aca="false">Units!$E10*(1+Inputs!$B$7)^(AK$2-1)</f>
        <v>1617.8725</v>
      </c>
      <c r="AL11" s="11" t="n">
        <f aca="false">Units!$E10*(1+Inputs!$B$7)^(AL$2-1)</f>
        <v>1617.8725</v>
      </c>
      <c r="AM11" s="11" t="n">
        <f aca="false">Units!$E10*(1+Inputs!$B$7)^(AM$2-1)</f>
        <v>1666.408675</v>
      </c>
      <c r="AN11" s="11" t="n">
        <f aca="false">Units!$E10*(1+Inputs!$B$7)^(AN$2-1)</f>
        <v>1666.408675</v>
      </c>
      <c r="AO11" s="11" t="n">
        <f aca="false">Units!$E10*(1+Inputs!$B$7)^(AO$2-1)</f>
        <v>1666.408675</v>
      </c>
      <c r="AP11" s="11" t="n">
        <f aca="false">Units!$E10*(1+Inputs!$B$7)^(AP$2-1)</f>
        <v>1666.408675</v>
      </c>
      <c r="AQ11" s="11" t="n">
        <f aca="false">Units!$E10*(1+Inputs!$B$7)^(AQ$2-1)</f>
        <v>1666.408675</v>
      </c>
      <c r="AR11" s="11" t="n">
        <f aca="false">Units!$E10*(1+Inputs!$B$7)^(AR$2-1)</f>
        <v>1666.408675</v>
      </c>
      <c r="AS11" s="11" t="n">
        <f aca="false">Units!$E10*(1+Inputs!$B$7)^(AS$2-1)</f>
        <v>1666.408675</v>
      </c>
      <c r="AT11" s="11" t="n">
        <f aca="false">Units!$E10*(1+Inputs!$B$7)^(AT$2-1)</f>
        <v>1666.408675</v>
      </c>
      <c r="AU11" s="11" t="n">
        <f aca="false">Units!$E10*(1+Inputs!$B$7)^(AU$2-1)</f>
        <v>1666.408675</v>
      </c>
      <c r="AV11" s="11" t="n">
        <f aca="false">Units!$E10*(1+Inputs!$B$7)^(AV$2-1)</f>
        <v>1666.408675</v>
      </c>
      <c r="AW11" s="11" t="n">
        <f aca="false">Units!$E10*(1+Inputs!$B$7)^(AW$2-1)</f>
        <v>1666.408675</v>
      </c>
      <c r="AX11" s="11" t="n">
        <f aca="false">Units!$E10*(1+Inputs!$B$7)^(AX$2-1)</f>
        <v>1666.408675</v>
      </c>
      <c r="AY11" s="11" t="n">
        <f aca="false">Units!$E10*(1+Inputs!$B$7)^(AY$2-1)</f>
        <v>1716.40093525</v>
      </c>
      <c r="AZ11" s="11" t="n">
        <f aca="false">Units!$E10*(1+Inputs!$B$7)^(AZ$2-1)</f>
        <v>1716.40093525</v>
      </c>
      <c r="BA11" s="11" t="n">
        <f aca="false">Units!$E10*(1+Inputs!$B$7)^(BA$2-1)</f>
        <v>1716.40093525</v>
      </c>
      <c r="BB11" s="11" t="n">
        <f aca="false">Units!$E10*(1+Inputs!$B$7)^(BB$2-1)</f>
        <v>1716.40093525</v>
      </c>
      <c r="BC11" s="11" t="n">
        <f aca="false">Units!$E10*(1+Inputs!$B$7)^(BC$2-1)</f>
        <v>1716.40093525</v>
      </c>
      <c r="BD11" s="11" t="n">
        <f aca="false">Units!$E10*(1+Inputs!$B$7)^(BD$2-1)</f>
        <v>1716.40093525</v>
      </c>
      <c r="BE11" s="11" t="n">
        <f aca="false">Units!$E10*(1+Inputs!$B$7)^(BE$2-1)</f>
        <v>1716.40093525</v>
      </c>
      <c r="BF11" s="11" t="n">
        <f aca="false">Units!$E10*(1+Inputs!$B$7)^(BF$2-1)</f>
        <v>1716.40093525</v>
      </c>
      <c r="BG11" s="11" t="n">
        <f aca="false">Units!$E10*(1+Inputs!$B$7)^(BG$2-1)</f>
        <v>1716.40093525</v>
      </c>
      <c r="BH11" s="11" t="n">
        <f aca="false">Units!$E10*(1+Inputs!$B$7)^(BH$2-1)</f>
        <v>1716.40093525</v>
      </c>
      <c r="BI11" s="11" t="n">
        <f aca="false">Units!$E10*(1+Inputs!$B$7)^(BI$2-1)</f>
        <v>1716.40093525</v>
      </c>
      <c r="BJ11" s="11" t="n">
        <f aca="false">Units!$E10*(1+Inputs!$B$7)^(BJ$2-1)</f>
        <v>1716.40093525</v>
      </c>
      <c r="BK11" s="11" t="n">
        <f aca="false">Units!$E10*(1+Inputs!$B$7)^(BK$2-1)</f>
        <v>1767.8929633075</v>
      </c>
      <c r="BL11" s="11" t="n">
        <f aca="false">Units!$E10*(1+Inputs!$B$7)^(BL$2-1)</f>
        <v>1767.8929633075</v>
      </c>
      <c r="BM11" s="11" t="n">
        <f aca="false">Units!$E10*(1+Inputs!$B$7)^(BM$2-1)</f>
        <v>1767.8929633075</v>
      </c>
      <c r="BN11" s="11" t="n">
        <f aca="false">Units!$E10*(1+Inputs!$B$7)^(BN$2-1)</f>
        <v>1767.8929633075</v>
      </c>
      <c r="BO11" s="11" t="n">
        <f aca="false">Units!$E10*(1+Inputs!$B$7)^(BO$2-1)</f>
        <v>1767.8929633075</v>
      </c>
      <c r="BP11" s="11" t="n">
        <f aca="false">Units!$E10*(1+Inputs!$B$7)^(BP$2-1)</f>
        <v>1767.8929633075</v>
      </c>
      <c r="BQ11" s="11" t="n">
        <f aca="false">Units!$E10*(1+Inputs!$B$7)^(BQ$2-1)</f>
        <v>1767.8929633075</v>
      </c>
      <c r="BR11" s="11" t="n">
        <f aca="false">Units!$E10*(1+Inputs!$B$7)^(BR$2-1)</f>
        <v>1767.8929633075</v>
      </c>
      <c r="BS11" s="11" t="n">
        <f aca="false">Units!$E10*(1+Inputs!$B$7)^(BS$2-1)</f>
        <v>1767.8929633075</v>
      </c>
      <c r="BT11" s="11" t="n">
        <f aca="false">Units!$E10*(1+Inputs!$B$7)^(BT$2-1)</f>
        <v>1767.8929633075</v>
      </c>
      <c r="BU11" s="11" t="n">
        <f aca="false">Units!$E10*(1+Inputs!$B$7)^(BU$2-1)</f>
        <v>1767.8929633075</v>
      </c>
      <c r="BV11" s="11" t="n">
        <f aca="false">Units!$E10*(1+Inputs!$B$7)^(BV$2-1)</f>
        <v>1767.8929633075</v>
      </c>
      <c r="BW11" s="11" t="n">
        <f aca="false">Units!$E10*(1+Inputs!$B$7)^(BW$2-1)</f>
        <v>1820.92975220673</v>
      </c>
      <c r="BX11" s="11" t="n">
        <f aca="false">Units!$E10*(1+Inputs!$B$7)^(BX$2-1)</f>
        <v>1820.92975220673</v>
      </c>
      <c r="BY11" s="11" t="n">
        <f aca="false">Units!$E10*(1+Inputs!$B$7)^(BY$2-1)</f>
        <v>1820.92975220673</v>
      </c>
      <c r="BZ11" s="11" t="n">
        <f aca="false">Units!$E10*(1+Inputs!$B$7)^(BZ$2-1)</f>
        <v>1820.92975220673</v>
      </c>
      <c r="CA11" s="11" t="n">
        <f aca="false">Units!$E10*(1+Inputs!$B$7)^(CA$2-1)</f>
        <v>1820.92975220673</v>
      </c>
      <c r="CB11" s="11" t="n">
        <f aca="false">Units!$E10*(1+Inputs!$B$7)^(CB$2-1)</f>
        <v>1820.92975220673</v>
      </c>
      <c r="CC11" s="11" t="n">
        <f aca="false">Units!$E10*(1+Inputs!$B$7)^(CC$2-1)</f>
        <v>1820.92975220673</v>
      </c>
      <c r="CD11" s="11" t="n">
        <f aca="false">Units!$E10*(1+Inputs!$B$7)^(CD$2-1)</f>
        <v>1820.92975220673</v>
      </c>
      <c r="CE11" s="11" t="n">
        <f aca="false">Units!$E10*(1+Inputs!$B$7)^(CE$2-1)</f>
        <v>1820.92975220673</v>
      </c>
      <c r="CF11" s="11" t="n">
        <f aca="false">Units!$E10*(1+Inputs!$B$7)^(CF$2-1)</f>
        <v>1820.92975220673</v>
      </c>
      <c r="CG11" s="11" t="n">
        <f aca="false">Units!$E10*(1+Inputs!$B$7)^(CG$2-1)</f>
        <v>1820.92975220673</v>
      </c>
      <c r="CH11" s="11" t="n">
        <f aca="false">Units!$E10*(1+Inputs!$B$7)^(CH$2-1)</f>
        <v>1820.92975220673</v>
      </c>
      <c r="CI11" s="11" t="n">
        <f aca="false">Units!$E10*(1+Inputs!$B$7)^(CI$2-1)</f>
        <v>1875.55764477293</v>
      </c>
      <c r="CJ11" s="11" t="n">
        <f aca="false">Units!$E10*(1+Inputs!$B$7)^(CJ$2-1)</f>
        <v>1875.55764477293</v>
      </c>
      <c r="CK11" s="11" t="n">
        <f aca="false">Units!$E10*(1+Inputs!$B$7)^(CK$2-1)</f>
        <v>1875.55764477293</v>
      </c>
      <c r="CL11" s="11" t="n">
        <f aca="false">Units!$E10*(1+Inputs!$B$7)^(CL$2-1)</f>
        <v>1875.55764477293</v>
      </c>
      <c r="CM11" s="11" t="n">
        <f aca="false">Units!$E10*(1+Inputs!$B$7)^(CM$2-1)</f>
        <v>1875.55764477293</v>
      </c>
      <c r="CN11" s="11" t="n">
        <f aca="false">Units!$E10*(1+Inputs!$B$7)^(CN$2-1)</f>
        <v>1875.55764477293</v>
      </c>
      <c r="CO11" s="11" t="n">
        <f aca="false">Units!$E10*(1+Inputs!$B$7)^(CO$2-1)</f>
        <v>1875.55764477293</v>
      </c>
      <c r="CP11" s="11" t="n">
        <f aca="false">Units!$E10*(1+Inputs!$B$7)^(CP$2-1)</f>
        <v>1875.55764477293</v>
      </c>
      <c r="CQ11" s="11" t="n">
        <f aca="false">Units!$E10*(1+Inputs!$B$7)^(CQ$2-1)</f>
        <v>1875.55764477293</v>
      </c>
      <c r="CR11" s="11" t="n">
        <f aca="false">Units!$E10*(1+Inputs!$B$7)^(CR$2-1)</f>
        <v>1875.55764477293</v>
      </c>
      <c r="CS11" s="11" t="n">
        <f aca="false">Units!$E10*(1+Inputs!$B$7)^(CS$2-1)</f>
        <v>1875.55764477293</v>
      </c>
      <c r="CT11" s="11" t="n">
        <f aca="false">Units!$E10*(1+Inputs!$B$7)^(CT$2-1)</f>
        <v>1875.55764477293</v>
      </c>
      <c r="CU11" s="11" t="n">
        <f aca="false">Units!$E10*(1+Inputs!$B$7)^(CU$2-1)</f>
        <v>1931.82437411612</v>
      </c>
      <c r="CV11" s="11" t="n">
        <f aca="false">Units!$E10*(1+Inputs!$B$7)^(CV$2-1)</f>
        <v>1931.82437411612</v>
      </c>
      <c r="CW11" s="11" t="n">
        <f aca="false">Units!$E10*(1+Inputs!$B$7)^(CW$2-1)</f>
        <v>1931.82437411612</v>
      </c>
      <c r="CX11" s="11" t="n">
        <f aca="false">Units!$E10*(1+Inputs!$B$7)^(CX$2-1)</f>
        <v>1931.82437411612</v>
      </c>
      <c r="CY11" s="11" t="n">
        <f aca="false">Units!$E10*(1+Inputs!$B$7)^(CY$2-1)</f>
        <v>1931.82437411612</v>
      </c>
      <c r="CZ11" s="11" t="n">
        <f aca="false">Units!$E10*(1+Inputs!$B$7)^(CZ$2-1)</f>
        <v>1931.82437411612</v>
      </c>
      <c r="DA11" s="11" t="n">
        <f aca="false">Units!$E10*(1+Inputs!$B$7)^(DA$2-1)</f>
        <v>1931.82437411612</v>
      </c>
      <c r="DB11" s="11" t="n">
        <f aca="false">Units!$E10*(1+Inputs!$B$7)^(DB$2-1)</f>
        <v>1931.82437411612</v>
      </c>
      <c r="DC11" s="11" t="n">
        <f aca="false">Units!$E10*(1+Inputs!$B$7)^(DC$2-1)</f>
        <v>1931.82437411612</v>
      </c>
      <c r="DD11" s="11" t="n">
        <f aca="false">Units!$E10*(1+Inputs!$B$7)^(DD$2-1)</f>
        <v>1931.82437411612</v>
      </c>
      <c r="DE11" s="11" t="n">
        <f aca="false">Units!$E10*(1+Inputs!$B$7)^(DE$2-1)</f>
        <v>1931.82437411612</v>
      </c>
      <c r="DF11" s="11" t="n">
        <f aca="false">Units!$E10*(1+Inputs!$B$7)^(DF$2-1)</f>
        <v>1931.82437411612</v>
      </c>
      <c r="DG11" s="11" t="n">
        <f aca="false">Units!$E10*(1+Inputs!$B$7)^(DG$2-1)</f>
        <v>1989.7791053396</v>
      </c>
      <c r="DH11" s="11" t="n">
        <f aca="false">Units!$E10*(1+Inputs!$B$7)^(DH$2-1)</f>
        <v>1989.7791053396</v>
      </c>
      <c r="DI11" s="11" t="n">
        <f aca="false">Units!$E10*(1+Inputs!$B$7)^(DI$2-1)</f>
        <v>1989.7791053396</v>
      </c>
      <c r="DJ11" s="11" t="n">
        <f aca="false">Units!$E10*(1+Inputs!$B$7)^(DJ$2-1)</f>
        <v>1989.7791053396</v>
      </c>
      <c r="DK11" s="11" t="n">
        <f aca="false">Units!$E10*(1+Inputs!$B$7)^(DK$2-1)</f>
        <v>1989.7791053396</v>
      </c>
      <c r="DL11" s="11" t="n">
        <f aca="false">Units!$E10*(1+Inputs!$B$7)^(DL$2-1)</f>
        <v>1989.7791053396</v>
      </c>
      <c r="DM11" s="11" t="n">
        <f aca="false">Units!$E10*(1+Inputs!$B$7)^(DM$2-1)</f>
        <v>1989.7791053396</v>
      </c>
      <c r="DN11" s="11" t="n">
        <f aca="false">Units!$E10*(1+Inputs!$B$7)^(DN$2-1)</f>
        <v>1989.7791053396</v>
      </c>
      <c r="DO11" s="11" t="n">
        <f aca="false">Units!$E10*(1+Inputs!$B$7)^(DO$2-1)</f>
        <v>1989.7791053396</v>
      </c>
      <c r="DP11" s="11" t="n">
        <f aca="false">Units!$E10*(1+Inputs!$B$7)^(DP$2-1)</f>
        <v>1989.7791053396</v>
      </c>
      <c r="DQ11" s="11" t="n">
        <f aca="false">Units!$E10*(1+Inputs!$B$7)^(DQ$2-1)</f>
        <v>1989.7791053396</v>
      </c>
      <c r="DR11" s="11" t="n">
        <f aca="false">Units!$E10*(1+Inputs!$B$7)^(DR$2-1)</f>
        <v>1989.7791053396</v>
      </c>
      <c r="DS11" s="11" t="n">
        <f aca="false">Units!$E10*(1+Inputs!$B$7)^(DS$2-1)</f>
        <v>2049.47247849979</v>
      </c>
      <c r="DT11" s="11" t="n">
        <f aca="false">Units!$E10*(1+Inputs!$B$7)^(DT$2-1)</f>
        <v>2049.47247849979</v>
      </c>
      <c r="DU11" s="11" t="n">
        <f aca="false">Units!$E10*(1+Inputs!$B$7)^(DU$2-1)</f>
        <v>2049.47247849979</v>
      </c>
      <c r="DV11" s="11" t="n">
        <f aca="false">Units!$E10*(1+Inputs!$B$7)^(DV$2-1)</f>
        <v>2049.47247849979</v>
      </c>
      <c r="DW11" s="11" t="n">
        <f aca="false">Units!$E10*(1+Inputs!$B$7)^(DW$2-1)</f>
        <v>2049.47247849979</v>
      </c>
      <c r="DX11" s="11" t="n">
        <f aca="false">Units!$E10*(1+Inputs!$B$7)^(DX$2-1)</f>
        <v>2049.47247849979</v>
      </c>
      <c r="DY11" s="11" t="n">
        <f aca="false">Units!$E10*(1+Inputs!$B$7)^(DY$2-1)</f>
        <v>2049.47247849979</v>
      </c>
      <c r="DZ11" s="11" t="n">
        <f aca="false">Units!$E10*(1+Inputs!$B$7)^(DZ$2-1)</f>
        <v>2049.47247849979</v>
      </c>
      <c r="EA11" s="11" t="n">
        <f aca="false">Units!$E10*(1+Inputs!$B$7)^(EA$2-1)</f>
        <v>2049.47247849979</v>
      </c>
      <c r="EB11" s="11" t="n">
        <f aca="false">Units!$E10*(1+Inputs!$B$7)^(EB$2-1)</f>
        <v>2049.47247849979</v>
      </c>
      <c r="EC11" s="11" t="n">
        <f aca="false">Units!$E10*(1+Inputs!$B$7)^(EC$2-1)</f>
        <v>2049.47247849979</v>
      </c>
      <c r="ED11" s="11" t="n">
        <f aca="false">Units!$E10*(1+Inputs!$B$7)^(ED$2-1)</f>
        <v>2049.47247849979</v>
      </c>
    </row>
    <row r="12" customFormat="false" ht="15" hidden="false" customHeight="false" outlineLevel="0" collapsed="false">
      <c r="A12" s="22" t="n">
        <f aca="false">Units!A11</f>
        <v>110</v>
      </c>
      <c r="B12" s="23"/>
      <c r="C12" s="11" t="n">
        <f aca="false">Units!$E11*(1+Inputs!$B$7)^(C$2-1)</f>
        <v>1525</v>
      </c>
      <c r="D12" s="11" t="n">
        <f aca="false">Units!$E11*(1+Inputs!$B$7)^(D$2-1)</f>
        <v>1525</v>
      </c>
      <c r="E12" s="11" t="n">
        <f aca="false">Units!$E11*(1+Inputs!$B$7)^(E$2-1)</f>
        <v>1525</v>
      </c>
      <c r="F12" s="11" t="n">
        <f aca="false">Units!$E11*(1+Inputs!$B$7)^(F$2-1)</f>
        <v>1525</v>
      </c>
      <c r="G12" s="11" t="n">
        <f aca="false">Units!$E11*(1+Inputs!$B$7)^(G$2-1)</f>
        <v>1525</v>
      </c>
      <c r="H12" s="11" t="n">
        <f aca="false">Units!$E11*(1+Inputs!$B$7)^(H$2-1)</f>
        <v>1525</v>
      </c>
      <c r="I12" s="11" t="n">
        <f aca="false">Units!$E11*(1+Inputs!$B$7)^(I$2-1)</f>
        <v>1525</v>
      </c>
      <c r="J12" s="11" t="n">
        <f aca="false">Units!$E11*(1+Inputs!$B$7)^(J$2-1)</f>
        <v>1525</v>
      </c>
      <c r="K12" s="11" t="n">
        <f aca="false">Units!$E11*(1+Inputs!$B$7)^(K$2-1)</f>
        <v>1525</v>
      </c>
      <c r="L12" s="11" t="n">
        <f aca="false">Units!$E11*(1+Inputs!$B$7)^(L$2-1)</f>
        <v>1525</v>
      </c>
      <c r="M12" s="11" t="n">
        <f aca="false">Units!$E11*(1+Inputs!$B$7)^(M$2-1)</f>
        <v>1525</v>
      </c>
      <c r="N12" s="11" t="n">
        <f aca="false">Units!$E11*(1+Inputs!$B$7)^(N$2-1)</f>
        <v>1525</v>
      </c>
      <c r="O12" s="11" t="n">
        <f aca="false">Units!$E11*(1+Inputs!$B$7)^(O$2-1)</f>
        <v>1570.75</v>
      </c>
      <c r="P12" s="11" t="n">
        <f aca="false">Units!$E11*(1+Inputs!$B$7)^(P$2-1)</f>
        <v>1570.75</v>
      </c>
      <c r="Q12" s="11" t="n">
        <f aca="false">Units!$E11*(1+Inputs!$B$7)^(Q$2-1)</f>
        <v>1570.75</v>
      </c>
      <c r="R12" s="11" t="n">
        <f aca="false">Units!$E11*(1+Inputs!$B$7)^(R$2-1)</f>
        <v>1570.75</v>
      </c>
      <c r="S12" s="11" t="n">
        <f aca="false">Units!$E11*(1+Inputs!$B$7)^(S$2-1)</f>
        <v>1570.75</v>
      </c>
      <c r="T12" s="11" t="n">
        <f aca="false">Units!$E11*(1+Inputs!$B$7)^(T$2-1)</f>
        <v>1570.75</v>
      </c>
      <c r="U12" s="11" t="n">
        <f aca="false">Units!$E11*(1+Inputs!$B$7)^(U$2-1)</f>
        <v>1570.75</v>
      </c>
      <c r="V12" s="11" t="n">
        <f aca="false">Units!$E11*(1+Inputs!$B$7)^(V$2-1)</f>
        <v>1570.75</v>
      </c>
      <c r="W12" s="11" t="n">
        <f aca="false">Units!$E11*(1+Inputs!$B$7)^(W$2-1)</f>
        <v>1570.75</v>
      </c>
      <c r="X12" s="11" t="n">
        <f aca="false">Units!$E11*(1+Inputs!$B$7)^(X$2-1)</f>
        <v>1570.75</v>
      </c>
      <c r="Y12" s="11" t="n">
        <f aca="false">Units!$E11*(1+Inputs!$B$7)^(Y$2-1)</f>
        <v>1570.75</v>
      </c>
      <c r="Z12" s="11" t="n">
        <f aca="false">Units!$E11*(1+Inputs!$B$7)^(Z$2-1)</f>
        <v>1570.75</v>
      </c>
      <c r="AA12" s="11" t="n">
        <f aca="false">Units!$E11*(1+Inputs!$B$7)^(AA$2-1)</f>
        <v>1617.8725</v>
      </c>
      <c r="AB12" s="11" t="n">
        <f aca="false">Units!$E11*(1+Inputs!$B$7)^(AB$2-1)</f>
        <v>1617.8725</v>
      </c>
      <c r="AC12" s="11" t="n">
        <f aca="false">Units!$E11*(1+Inputs!$B$7)^(AC$2-1)</f>
        <v>1617.8725</v>
      </c>
      <c r="AD12" s="11" t="n">
        <f aca="false">Units!$E11*(1+Inputs!$B$7)^(AD$2-1)</f>
        <v>1617.8725</v>
      </c>
      <c r="AE12" s="11" t="n">
        <f aca="false">Units!$E11*(1+Inputs!$B$7)^(AE$2-1)</f>
        <v>1617.8725</v>
      </c>
      <c r="AF12" s="11" t="n">
        <f aca="false">Units!$E11*(1+Inputs!$B$7)^(AF$2-1)</f>
        <v>1617.8725</v>
      </c>
      <c r="AG12" s="11" t="n">
        <f aca="false">Units!$E11*(1+Inputs!$B$7)^(AG$2-1)</f>
        <v>1617.8725</v>
      </c>
      <c r="AH12" s="11" t="n">
        <f aca="false">Units!$E11*(1+Inputs!$B$7)^(AH$2-1)</f>
        <v>1617.8725</v>
      </c>
      <c r="AI12" s="11" t="n">
        <f aca="false">Units!$E11*(1+Inputs!$B$7)^(AI$2-1)</f>
        <v>1617.8725</v>
      </c>
      <c r="AJ12" s="11" t="n">
        <f aca="false">Units!$E11*(1+Inputs!$B$7)^(AJ$2-1)</f>
        <v>1617.8725</v>
      </c>
      <c r="AK12" s="11" t="n">
        <f aca="false">Units!$E11*(1+Inputs!$B$7)^(AK$2-1)</f>
        <v>1617.8725</v>
      </c>
      <c r="AL12" s="11" t="n">
        <f aca="false">Units!$E11*(1+Inputs!$B$7)^(AL$2-1)</f>
        <v>1617.8725</v>
      </c>
      <c r="AM12" s="11" t="n">
        <f aca="false">Units!$E11*(1+Inputs!$B$7)^(AM$2-1)</f>
        <v>1666.408675</v>
      </c>
      <c r="AN12" s="11" t="n">
        <f aca="false">Units!$E11*(1+Inputs!$B$7)^(AN$2-1)</f>
        <v>1666.408675</v>
      </c>
      <c r="AO12" s="11" t="n">
        <f aca="false">Units!$E11*(1+Inputs!$B$7)^(AO$2-1)</f>
        <v>1666.408675</v>
      </c>
      <c r="AP12" s="11" t="n">
        <f aca="false">Units!$E11*(1+Inputs!$B$7)^(AP$2-1)</f>
        <v>1666.408675</v>
      </c>
      <c r="AQ12" s="11" t="n">
        <f aca="false">Units!$E11*(1+Inputs!$B$7)^(AQ$2-1)</f>
        <v>1666.408675</v>
      </c>
      <c r="AR12" s="11" t="n">
        <f aca="false">Units!$E11*(1+Inputs!$B$7)^(AR$2-1)</f>
        <v>1666.408675</v>
      </c>
      <c r="AS12" s="11" t="n">
        <f aca="false">Units!$E11*(1+Inputs!$B$7)^(AS$2-1)</f>
        <v>1666.408675</v>
      </c>
      <c r="AT12" s="11" t="n">
        <f aca="false">Units!$E11*(1+Inputs!$B$7)^(AT$2-1)</f>
        <v>1666.408675</v>
      </c>
      <c r="AU12" s="11" t="n">
        <f aca="false">Units!$E11*(1+Inputs!$B$7)^(AU$2-1)</f>
        <v>1666.408675</v>
      </c>
      <c r="AV12" s="11" t="n">
        <f aca="false">Units!$E11*(1+Inputs!$B$7)^(AV$2-1)</f>
        <v>1666.408675</v>
      </c>
      <c r="AW12" s="11" t="n">
        <f aca="false">Units!$E11*(1+Inputs!$B$7)^(AW$2-1)</f>
        <v>1666.408675</v>
      </c>
      <c r="AX12" s="11" t="n">
        <f aca="false">Units!$E11*(1+Inputs!$B$7)^(AX$2-1)</f>
        <v>1666.408675</v>
      </c>
      <c r="AY12" s="11" t="n">
        <f aca="false">Units!$E11*(1+Inputs!$B$7)^(AY$2-1)</f>
        <v>1716.40093525</v>
      </c>
      <c r="AZ12" s="11" t="n">
        <f aca="false">Units!$E11*(1+Inputs!$B$7)^(AZ$2-1)</f>
        <v>1716.40093525</v>
      </c>
      <c r="BA12" s="11" t="n">
        <f aca="false">Units!$E11*(1+Inputs!$B$7)^(BA$2-1)</f>
        <v>1716.40093525</v>
      </c>
      <c r="BB12" s="11" t="n">
        <f aca="false">Units!$E11*(1+Inputs!$B$7)^(BB$2-1)</f>
        <v>1716.40093525</v>
      </c>
      <c r="BC12" s="11" t="n">
        <f aca="false">Units!$E11*(1+Inputs!$B$7)^(BC$2-1)</f>
        <v>1716.40093525</v>
      </c>
      <c r="BD12" s="11" t="n">
        <f aca="false">Units!$E11*(1+Inputs!$B$7)^(BD$2-1)</f>
        <v>1716.40093525</v>
      </c>
      <c r="BE12" s="11" t="n">
        <f aca="false">Units!$E11*(1+Inputs!$B$7)^(BE$2-1)</f>
        <v>1716.40093525</v>
      </c>
      <c r="BF12" s="11" t="n">
        <f aca="false">Units!$E11*(1+Inputs!$B$7)^(BF$2-1)</f>
        <v>1716.40093525</v>
      </c>
      <c r="BG12" s="11" t="n">
        <f aca="false">Units!$E11*(1+Inputs!$B$7)^(BG$2-1)</f>
        <v>1716.40093525</v>
      </c>
      <c r="BH12" s="11" t="n">
        <f aca="false">Units!$E11*(1+Inputs!$B$7)^(BH$2-1)</f>
        <v>1716.40093525</v>
      </c>
      <c r="BI12" s="11" t="n">
        <f aca="false">Units!$E11*(1+Inputs!$B$7)^(BI$2-1)</f>
        <v>1716.40093525</v>
      </c>
      <c r="BJ12" s="11" t="n">
        <f aca="false">Units!$E11*(1+Inputs!$B$7)^(BJ$2-1)</f>
        <v>1716.40093525</v>
      </c>
      <c r="BK12" s="11" t="n">
        <f aca="false">Units!$E11*(1+Inputs!$B$7)^(BK$2-1)</f>
        <v>1767.8929633075</v>
      </c>
      <c r="BL12" s="11" t="n">
        <f aca="false">Units!$E11*(1+Inputs!$B$7)^(BL$2-1)</f>
        <v>1767.8929633075</v>
      </c>
      <c r="BM12" s="11" t="n">
        <f aca="false">Units!$E11*(1+Inputs!$B$7)^(BM$2-1)</f>
        <v>1767.8929633075</v>
      </c>
      <c r="BN12" s="11" t="n">
        <f aca="false">Units!$E11*(1+Inputs!$B$7)^(BN$2-1)</f>
        <v>1767.8929633075</v>
      </c>
      <c r="BO12" s="11" t="n">
        <f aca="false">Units!$E11*(1+Inputs!$B$7)^(BO$2-1)</f>
        <v>1767.8929633075</v>
      </c>
      <c r="BP12" s="11" t="n">
        <f aca="false">Units!$E11*(1+Inputs!$B$7)^(BP$2-1)</f>
        <v>1767.8929633075</v>
      </c>
      <c r="BQ12" s="11" t="n">
        <f aca="false">Units!$E11*(1+Inputs!$B$7)^(BQ$2-1)</f>
        <v>1767.8929633075</v>
      </c>
      <c r="BR12" s="11" t="n">
        <f aca="false">Units!$E11*(1+Inputs!$B$7)^(BR$2-1)</f>
        <v>1767.8929633075</v>
      </c>
      <c r="BS12" s="11" t="n">
        <f aca="false">Units!$E11*(1+Inputs!$B$7)^(BS$2-1)</f>
        <v>1767.8929633075</v>
      </c>
      <c r="BT12" s="11" t="n">
        <f aca="false">Units!$E11*(1+Inputs!$B$7)^(BT$2-1)</f>
        <v>1767.8929633075</v>
      </c>
      <c r="BU12" s="11" t="n">
        <f aca="false">Units!$E11*(1+Inputs!$B$7)^(BU$2-1)</f>
        <v>1767.8929633075</v>
      </c>
      <c r="BV12" s="11" t="n">
        <f aca="false">Units!$E11*(1+Inputs!$B$7)^(BV$2-1)</f>
        <v>1767.8929633075</v>
      </c>
      <c r="BW12" s="11" t="n">
        <f aca="false">Units!$E11*(1+Inputs!$B$7)^(BW$2-1)</f>
        <v>1820.92975220673</v>
      </c>
      <c r="BX12" s="11" t="n">
        <f aca="false">Units!$E11*(1+Inputs!$B$7)^(BX$2-1)</f>
        <v>1820.92975220673</v>
      </c>
      <c r="BY12" s="11" t="n">
        <f aca="false">Units!$E11*(1+Inputs!$B$7)^(BY$2-1)</f>
        <v>1820.92975220673</v>
      </c>
      <c r="BZ12" s="11" t="n">
        <f aca="false">Units!$E11*(1+Inputs!$B$7)^(BZ$2-1)</f>
        <v>1820.92975220673</v>
      </c>
      <c r="CA12" s="11" t="n">
        <f aca="false">Units!$E11*(1+Inputs!$B$7)^(CA$2-1)</f>
        <v>1820.92975220673</v>
      </c>
      <c r="CB12" s="11" t="n">
        <f aca="false">Units!$E11*(1+Inputs!$B$7)^(CB$2-1)</f>
        <v>1820.92975220673</v>
      </c>
      <c r="CC12" s="11" t="n">
        <f aca="false">Units!$E11*(1+Inputs!$B$7)^(CC$2-1)</f>
        <v>1820.92975220673</v>
      </c>
      <c r="CD12" s="11" t="n">
        <f aca="false">Units!$E11*(1+Inputs!$B$7)^(CD$2-1)</f>
        <v>1820.92975220673</v>
      </c>
      <c r="CE12" s="11" t="n">
        <f aca="false">Units!$E11*(1+Inputs!$B$7)^(CE$2-1)</f>
        <v>1820.92975220673</v>
      </c>
      <c r="CF12" s="11" t="n">
        <f aca="false">Units!$E11*(1+Inputs!$B$7)^(CF$2-1)</f>
        <v>1820.92975220673</v>
      </c>
      <c r="CG12" s="11" t="n">
        <f aca="false">Units!$E11*(1+Inputs!$B$7)^(CG$2-1)</f>
        <v>1820.92975220673</v>
      </c>
      <c r="CH12" s="11" t="n">
        <f aca="false">Units!$E11*(1+Inputs!$B$7)^(CH$2-1)</f>
        <v>1820.92975220673</v>
      </c>
      <c r="CI12" s="11" t="n">
        <f aca="false">Units!$E11*(1+Inputs!$B$7)^(CI$2-1)</f>
        <v>1875.55764477293</v>
      </c>
      <c r="CJ12" s="11" t="n">
        <f aca="false">Units!$E11*(1+Inputs!$B$7)^(CJ$2-1)</f>
        <v>1875.55764477293</v>
      </c>
      <c r="CK12" s="11" t="n">
        <f aca="false">Units!$E11*(1+Inputs!$B$7)^(CK$2-1)</f>
        <v>1875.55764477293</v>
      </c>
      <c r="CL12" s="11" t="n">
        <f aca="false">Units!$E11*(1+Inputs!$B$7)^(CL$2-1)</f>
        <v>1875.55764477293</v>
      </c>
      <c r="CM12" s="11" t="n">
        <f aca="false">Units!$E11*(1+Inputs!$B$7)^(CM$2-1)</f>
        <v>1875.55764477293</v>
      </c>
      <c r="CN12" s="11" t="n">
        <f aca="false">Units!$E11*(1+Inputs!$B$7)^(CN$2-1)</f>
        <v>1875.55764477293</v>
      </c>
      <c r="CO12" s="11" t="n">
        <f aca="false">Units!$E11*(1+Inputs!$B$7)^(CO$2-1)</f>
        <v>1875.55764477293</v>
      </c>
      <c r="CP12" s="11" t="n">
        <f aca="false">Units!$E11*(1+Inputs!$B$7)^(CP$2-1)</f>
        <v>1875.55764477293</v>
      </c>
      <c r="CQ12" s="11" t="n">
        <f aca="false">Units!$E11*(1+Inputs!$B$7)^(CQ$2-1)</f>
        <v>1875.55764477293</v>
      </c>
      <c r="CR12" s="11" t="n">
        <f aca="false">Units!$E11*(1+Inputs!$B$7)^(CR$2-1)</f>
        <v>1875.55764477293</v>
      </c>
      <c r="CS12" s="11" t="n">
        <f aca="false">Units!$E11*(1+Inputs!$B$7)^(CS$2-1)</f>
        <v>1875.55764477293</v>
      </c>
      <c r="CT12" s="11" t="n">
        <f aca="false">Units!$E11*(1+Inputs!$B$7)^(CT$2-1)</f>
        <v>1875.55764477293</v>
      </c>
      <c r="CU12" s="11" t="n">
        <f aca="false">Units!$E11*(1+Inputs!$B$7)^(CU$2-1)</f>
        <v>1931.82437411612</v>
      </c>
      <c r="CV12" s="11" t="n">
        <f aca="false">Units!$E11*(1+Inputs!$B$7)^(CV$2-1)</f>
        <v>1931.82437411612</v>
      </c>
      <c r="CW12" s="11" t="n">
        <f aca="false">Units!$E11*(1+Inputs!$B$7)^(CW$2-1)</f>
        <v>1931.82437411612</v>
      </c>
      <c r="CX12" s="11" t="n">
        <f aca="false">Units!$E11*(1+Inputs!$B$7)^(CX$2-1)</f>
        <v>1931.82437411612</v>
      </c>
      <c r="CY12" s="11" t="n">
        <f aca="false">Units!$E11*(1+Inputs!$B$7)^(CY$2-1)</f>
        <v>1931.82437411612</v>
      </c>
      <c r="CZ12" s="11" t="n">
        <f aca="false">Units!$E11*(1+Inputs!$B$7)^(CZ$2-1)</f>
        <v>1931.82437411612</v>
      </c>
      <c r="DA12" s="11" t="n">
        <f aca="false">Units!$E11*(1+Inputs!$B$7)^(DA$2-1)</f>
        <v>1931.82437411612</v>
      </c>
      <c r="DB12" s="11" t="n">
        <f aca="false">Units!$E11*(1+Inputs!$B$7)^(DB$2-1)</f>
        <v>1931.82437411612</v>
      </c>
      <c r="DC12" s="11" t="n">
        <f aca="false">Units!$E11*(1+Inputs!$B$7)^(DC$2-1)</f>
        <v>1931.82437411612</v>
      </c>
      <c r="DD12" s="11" t="n">
        <f aca="false">Units!$E11*(1+Inputs!$B$7)^(DD$2-1)</f>
        <v>1931.82437411612</v>
      </c>
      <c r="DE12" s="11" t="n">
        <f aca="false">Units!$E11*(1+Inputs!$B$7)^(DE$2-1)</f>
        <v>1931.82437411612</v>
      </c>
      <c r="DF12" s="11" t="n">
        <f aca="false">Units!$E11*(1+Inputs!$B$7)^(DF$2-1)</f>
        <v>1931.82437411612</v>
      </c>
      <c r="DG12" s="11" t="n">
        <f aca="false">Units!$E11*(1+Inputs!$B$7)^(DG$2-1)</f>
        <v>1989.7791053396</v>
      </c>
      <c r="DH12" s="11" t="n">
        <f aca="false">Units!$E11*(1+Inputs!$B$7)^(DH$2-1)</f>
        <v>1989.7791053396</v>
      </c>
      <c r="DI12" s="11" t="n">
        <f aca="false">Units!$E11*(1+Inputs!$B$7)^(DI$2-1)</f>
        <v>1989.7791053396</v>
      </c>
      <c r="DJ12" s="11" t="n">
        <f aca="false">Units!$E11*(1+Inputs!$B$7)^(DJ$2-1)</f>
        <v>1989.7791053396</v>
      </c>
      <c r="DK12" s="11" t="n">
        <f aca="false">Units!$E11*(1+Inputs!$B$7)^(DK$2-1)</f>
        <v>1989.7791053396</v>
      </c>
      <c r="DL12" s="11" t="n">
        <f aca="false">Units!$E11*(1+Inputs!$B$7)^(DL$2-1)</f>
        <v>1989.7791053396</v>
      </c>
      <c r="DM12" s="11" t="n">
        <f aca="false">Units!$E11*(1+Inputs!$B$7)^(DM$2-1)</f>
        <v>1989.7791053396</v>
      </c>
      <c r="DN12" s="11" t="n">
        <f aca="false">Units!$E11*(1+Inputs!$B$7)^(DN$2-1)</f>
        <v>1989.7791053396</v>
      </c>
      <c r="DO12" s="11" t="n">
        <f aca="false">Units!$E11*(1+Inputs!$B$7)^(DO$2-1)</f>
        <v>1989.7791053396</v>
      </c>
      <c r="DP12" s="11" t="n">
        <f aca="false">Units!$E11*(1+Inputs!$B$7)^(DP$2-1)</f>
        <v>1989.7791053396</v>
      </c>
      <c r="DQ12" s="11" t="n">
        <f aca="false">Units!$E11*(1+Inputs!$B$7)^(DQ$2-1)</f>
        <v>1989.7791053396</v>
      </c>
      <c r="DR12" s="11" t="n">
        <f aca="false">Units!$E11*(1+Inputs!$B$7)^(DR$2-1)</f>
        <v>1989.7791053396</v>
      </c>
      <c r="DS12" s="11" t="n">
        <f aca="false">Units!$E11*(1+Inputs!$B$7)^(DS$2-1)</f>
        <v>2049.47247849979</v>
      </c>
      <c r="DT12" s="11" t="n">
        <f aca="false">Units!$E11*(1+Inputs!$B$7)^(DT$2-1)</f>
        <v>2049.47247849979</v>
      </c>
      <c r="DU12" s="11" t="n">
        <f aca="false">Units!$E11*(1+Inputs!$B$7)^(DU$2-1)</f>
        <v>2049.47247849979</v>
      </c>
      <c r="DV12" s="11" t="n">
        <f aca="false">Units!$E11*(1+Inputs!$B$7)^(DV$2-1)</f>
        <v>2049.47247849979</v>
      </c>
      <c r="DW12" s="11" t="n">
        <f aca="false">Units!$E11*(1+Inputs!$B$7)^(DW$2-1)</f>
        <v>2049.47247849979</v>
      </c>
      <c r="DX12" s="11" t="n">
        <f aca="false">Units!$E11*(1+Inputs!$B$7)^(DX$2-1)</f>
        <v>2049.47247849979</v>
      </c>
      <c r="DY12" s="11" t="n">
        <f aca="false">Units!$E11*(1+Inputs!$B$7)^(DY$2-1)</f>
        <v>2049.47247849979</v>
      </c>
      <c r="DZ12" s="11" t="n">
        <f aca="false">Units!$E11*(1+Inputs!$B$7)^(DZ$2-1)</f>
        <v>2049.47247849979</v>
      </c>
      <c r="EA12" s="11" t="n">
        <f aca="false">Units!$E11*(1+Inputs!$B$7)^(EA$2-1)</f>
        <v>2049.47247849979</v>
      </c>
      <c r="EB12" s="11" t="n">
        <f aca="false">Units!$E11*(1+Inputs!$B$7)^(EB$2-1)</f>
        <v>2049.47247849979</v>
      </c>
      <c r="EC12" s="11" t="n">
        <f aca="false">Units!$E11*(1+Inputs!$B$7)^(EC$2-1)</f>
        <v>2049.47247849979</v>
      </c>
      <c r="ED12" s="11" t="n">
        <f aca="false">Units!$E11*(1+Inputs!$B$7)^(ED$2-1)</f>
        <v>2049.47247849979</v>
      </c>
    </row>
    <row r="13" customFormat="false" ht="15" hidden="false" customHeight="false" outlineLevel="0" collapsed="false">
      <c r="A13" s="22" t="n">
        <f aca="false">Units!A12</f>
        <v>111</v>
      </c>
      <c r="B13" s="23"/>
      <c r="C13" s="11" t="n">
        <f aca="false">Units!$E12*(1+Inputs!$B$7)^(C$2-1)</f>
        <v>1525</v>
      </c>
      <c r="D13" s="11" t="n">
        <f aca="false">Units!$E12*(1+Inputs!$B$7)^(D$2-1)</f>
        <v>1525</v>
      </c>
      <c r="E13" s="11" t="n">
        <f aca="false">Units!$E12*(1+Inputs!$B$7)^(E$2-1)</f>
        <v>1525</v>
      </c>
      <c r="F13" s="11" t="n">
        <f aca="false">Units!$E12*(1+Inputs!$B$7)^(F$2-1)</f>
        <v>1525</v>
      </c>
      <c r="G13" s="11" t="n">
        <f aca="false">Units!$E12*(1+Inputs!$B$7)^(G$2-1)</f>
        <v>1525</v>
      </c>
      <c r="H13" s="11" t="n">
        <f aca="false">Units!$E12*(1+Inputs!$B$7)^(H$2-1)</f>
        <v>1525</v>
      </c>
      <c r="I13" s="11" t="n">
        <f aca="false">Units!$E12*(1+Inputs!$B$7)^(I$2-1)</f>
        <v>1525</v>
      </c>
      <c r="J13" s="11" t="n">
        <f aca="false">Units!$E12*(1+Inputs!$B$7)^(J$2-1)</f>
        <v>1525</v>
      </c>
      <c r="K13" s="11" t="n">
        <f aca="false">Units!$E12*(1+Inputs!$B$7)^(K$2-1)</f>
        <v>1525</v>
      </c>
      <c r="L13" s="11" t="n">
        <f aca="false">Units!$E12*(1+Inputs!$B$7)^(L$2-1)</f>
        <v>1525</v>
      </c>
      <c r="M13" s="11" t="n">
        <f aca="false">Units!$E12*(1+Inputs!$B$7)^(M$2-1)</f>
        <v>1525</v>
      </c>
      <c r="N13" s="11" t="n">
        <f aca="false">Units!$E12*(1+Inputs!$B$7)^(N$2-1)</f>
        <v>1525</v>
      </c>
      <c r="O13" s="11" t="n">
        <f aca="false">Units!$E12*(1+Inputs!$B$7)^(O$2-1)</f>
        <v>1570.75</v>
      </c>
      <c r="P13" s="11" t="n">
        <f aca="false">Units!$E12*(1+Inputs!$B$7)^(P$2-1)</f>
        <v>1570.75</v>
      </c>
      <c r="Q13" s="11" t="n">
        <f aca="false">Units!$E12*(1+Inputs!$B$7)^(Q$2-1)</f>
        <v>1570.75</v>
      </c>
      <c r="R13" s="11" t="n">
        <f aca="false">Units!$E12*(1+Inputs!$B$7)^(R$2-1)</f>
        <v>1570.75</v>
      </c>
      <c r="S13" s="11" t="n">
        <f aca="false">Units!$E12*(1+Inputs!$B$7)^(S$2-1)</f>
        <v>1570.75</v>
      </c>
      <c r="T13" s="11" t="n">
        <f aca="false">Units!$E12*(1+Inputs!$B$7)^(T$2-1)</f>
        <v>1570.75</v>
      </c>
      <c r="U13" s="11" t="n">
        <f aca="false">Units!$E12*(1+Inputs!$B$7)^(U$2-1)</f>
        <v>1570.75</v>
      </c>
      <c r="V13" s="11" t="n">
        <f aca="false">Units!$E12*(1+Inputs!$B$7)^(V$2-1)</f>
        <v>1570.75</v>
      </c>
      <c r="W13" s="11" t="n">
        <f aca="false">Units!$E12*(1+Inputs!$B$7)^(W$2-1)</f>
        <v>1570.75</v>
      </c>
      <c r="X13" s="11" t="n">
        <f aca="false">Units!$E12*(1+Inputs!$B$7)^(X$2-1)</f>
        <v>1570.75</v>
      </c>
      <c r="Y13" s="11" t="n">
        <f aca="false">Units!$E12*(1+Inputs!$B$7)^(Y$2-1)</f>
        <v>1570.75</v>
      </c>
      <c r="Z13" s="11" t="n">
        <f aca="false">Units!$E12*(1+Inputs!$B$7)^(Z$2-1)</f>
        <v>1570.75</v>
      </c>
      <c r="AA13" s="11" t="n">
        <f aca="false">Units!$E12*(1+Inputs!$B$7)^(AA$2-1)</f>
        <v>1617.8725</v>
      </c>
      <c r="AB13" s="11" t="n">
        <f aca="false">Units!$E12*(1+Inputs!$B$7)^(AB$2-1)</f>
        <v>1617.8725</v>
      </c>
      <c r="AC13" s="11" t="n">
        <f aca="false">Units!$E12*(1+Inputs!$B$7)^(AC$2-1)</f>
        <v>1617.8725</v>
      </c>
      <c r="AD13" s="11" t="n">
        <f aca="false">Units!$E12*(1+Inputs!$B$7)^(AD$2-1)</f>
        <v>1617.8725</v>
      </c>
      <c r="AE13" s="11" t="n">
        <f aca="false">Units!$E12*(1+Inputs!$B$7)^(AE$2-1)</f>
        <v>1617.8725</v>
      </c>
      <c r="AF13" s="11" t="n">
        <f aca="false">Units!$E12*(1+Inputs!$B$7)^(AF$2-1)</f>
        <v>1617.8725</v>
      </c>
      <c r="AG13" s="11" t="n">
        <f aca="false">Units!$E12*(1+Inputs!$B$7)^(AG$2-1)</f>
        <v>1617.8725</v>
      </c>
      <c r="AH13" s="11" t="n">
        <f aca="false">Units!$E12*(1+Inputs!$B$7)^(AH$2-1)</f>
        <v>1617.8725</v>
      </c>
      <c r="AI13" s="11" t="n">
        <f aca="false">Units!$E12*(1+Inputs!$B$7)^(AI$2-1)</f>
        <v>1617.8725</v>
      </c>
      <c r="AJ13" s="11" t="n">
        <f aca="false">Units!$E12*(1+Inputs!$B$7)^(AJ$2-1)</f>
        <v>1617.8725</v>
      </c>
      <c r="AK13" s="11" t="n">
        <f aca="false">Units!$E12*(1+Inputs!$B$7)^(AK$2-1)</f>
        <v>1617.8725</v>
      </c>
      <c r="AL13" s="11" t="n">
        <f aca="false">Units!$E12*(1+Inputs!$B$7)^(AL$2-1)</f>
        <v>1617.8725</v>
      </c>
      <c r="AM13" s="11" t="n">
        <f aca="false">Units!$E12*(1+Inputs!$B$7)^(AM$2-1)</f>
        <v>1666.408675</v>
      </c>
      <c r="AN13" s="11" t="n">
        <f aca="false">Units!$E12*(1+Inputs!$B$7)^(AN$2-1)</f>
        <v>1666.408675</v>
      </c>
      <c r="AO13" s="11" t="n">
        <f aca="false">Units!$E12*(1+Inputs!$B$7)^(AO$2-1)</f>
        <v>1666.408675</v>
      </c>
      <c r="AP13" s="11" t="n">
        <f aca="false">Units!$E12*(1+Inputs!$B$7)^(AP$2-1)</f>
        <v>1666.408675</v>
      </c>
      <c r="AQ13" s="11" t="n">
        <f aca="false">Units!$E12*(1+Inputs!$B$7)^(AQ$2-1)</f>
        <v>1666.408675</v>
      </c>
      <c r="AR13" s="11" t="n">
        <f aca="false">Units!$E12*(1+Inputs!$B$7)^(AR$2-1)</f>
        <v>1666.408675</v>
      </c>
      <c r="AS13" s="11" t="n">
        <f aca="false">Units!$E12*(1+Inputs!$B$7)^(AS$2-1)</f>
        <v>1666.408675</v>
      </c>
      <c r="AT13" s="11" t="n">
        <f aca="false">Units!$E12*(1+Inputs!$B$7)^(AT$2-1)</f>
        <v>1666.408675</v>
      </c>
      <c r="AU13" s="11" t="n">
        <f aca="false">Units!$E12*(1+Inputs!$B$7)^(AU$2-1)</f>
        <v>1666.408675</v>
      </c>
      <c r="AV13" s="11" t="n">
        <f aca="false">Units!$E12*(1+Inputs!$B$7)^(AV$2-1)</f>
        <v>1666.408675</v>
      </c>
      <c r="AW13" s="11" t="n">
        <f aca="false">Units!$E12*(1+Inputs!$B$7)^(AW$2-1)</f>
        <v>1666.408675</v>
      </c>
      <c r="AX13" s="11" t="n">
        <f aca="false">Units!$E12*(1+Inputs!$B$7)^(AX$2-1)</f>
        <v>1666.408675</v>
      </c>
      <c r="AY13" s="11" t="n">
        <f aca="false">Units!$E12*(1+Inputs!$B$7)^(AY$2-1)</f>
        <v>1716.40093525</v>
      </c>
      <c r="AZ13" s="11" t="n">
        <f aca="false">Units!$E12*(1+Inputs!$B$7)^(AZ$2-1)</f>
        <v>1716.40093525</v>
      </c>
      <c r="BA13" s="11" t="n">
        <f aca="false">Units!$E12*(1+Inputs!$B$7)^(BA$2-1)</f>
        <v>1716.40093525</v>
      </c>
      <c r="BB13" s="11" t="n">
        <f aca="false">Units!$E12*(1+Inputs!$B$7)^(BB$2-1)</f>
        <v>1716.40093525</v>
      </c>
      <c r="BC13" s="11" t="n">
        <f aca="false">Units!$E12*(1+Inputs!$B$7)^(BC$2-1)</f>
        <v>1716.40093525</v>
      </c>
      <c r="BD13" s="11" t="n">
        <f aca="false">Units!$E12*(1+Inputs!$B$7)^(BD$2-1)</f>
        <v>1716.40093525</v>
      </c>
      <c r="BE13" s="11" t="n">
        <f aca="false">Units!$E12*(1+Inputs!$B$7)^(BE$2-1)</f>
        <v>1716.40093525</v>
      </c>
      <c r="BF13" s="11" t="n">
        <f aca="false">Units!$E12*(1+Inputs!$B$7)^(BF$2-1)</f>
        <v>1716.40093525</v>
      </c>
      <c r="BG13" s="11" t="n">
        <f aca="false">Units!$E12*(1+Inputs!$B$7)^(BG$2-1)</f>
        <v>1716.40093525</v>
      </c>
      <c r="BH13" s="11" t="n">
        <f aca="false">Units!$E12*(1+Inputs!$B$7)^(BH$2-1)</f>
        <v>1716.40093525</v>
      </c>
      <c r="BI13" s="11" t="n">
        <f aca="false">Units!$E12*(1+Inputs!$B$7)^(BI$2-1)</f>
        <v>1716.40093525</v>
      </c>
      <c r="BJ13" s="11" t="n">
        <f aca="false">Units!$E12*(1+Inputs!$B$7)^(BJ$2-1)</f>
        <v>1716.40093525</v>
      </c>
      <c r="BK13" s="11" t="n">
        <f aca="false">Units!$E12*(1+Inputs!$B$7)^(BK$2-1)</f>
        <v>1767.8929633075</v>
      </c>
      <c r="BL13" s="11" t="n">
        <f aca="false">Units!$E12*(1+Inputs!$B$7)^(BL$2-1)</f>
        <v>1767.8929633075</v>
      </c>
      <c r="BM13" s="11" t="n">
        <f aca="false">Units!$E12*(1+Inputs!$B$7)^(BM$2-1)</f>
        <v>1767.8929633075</v>
      </c>
      <c r="BN13" s="11" t="n">
        <f aca="false">Units!$E12*(1+Inputs!$B$7)^(BN$2-1)</f>
        <v>1767.8929633075</v>
      </c>
      <c r="BO13" s="11" t="n">
        <f aca="false">Units!$E12*(1+Inputs!$B$7)^(BO$2-1)</f>
        <v>1767.8929633075</v>
      </c>
      <c r="BP13" s="11" t="n">
        <f aca="false">Units!$E12*(1+Inputs!$B$7)^(BP$2-1)</f>
        <v>1767.8929633075</v>
      </c>
      <c r="BQ13" s="11" t="n">
        <f aca="false">Units!$E12*(1+Inputs!$B$7)^(BQ$2-1)</f>
        <v>1767.8929633075</v>
      </c>
      <c r="BR13" s="11" t="n">
        <f aca="false">Units!$E12*(1+Inputs!$B$7)^(BR$2-1)</f>
        <v>1767.8929633075</v>
      </c>
      <c r="BS13" s="11" t="n">
        <f aca="false">Units!$E12*(1+Inputs!$B$7)^(BS$2-1)</f>
        <v>1767.8929633075</v>
      </c>
      <c r="BT13" s="11" t="n">
        <f aca="false">Units!$E12*(1+Inputs!$B$7)^(BT$2-1)</f>
        <v>1767.8929633075</v>
      </c>
      <c r="BU13" s="11" t="n">
        <f aca="false">Units!$E12*(1+Inputs!$B$7)^(BU$2-1)</f>
        <v>1767.8929633075</v>
      </c>
      <c r="BV13" s="11" t="n">
        <f aca="false">Units!$E12*(1+Inputs!$B$7)^(BV$2-1)</f>
        <v>1767.8929633075</v>
      </c>
      <c r="BW13" s="11" t="n">
        <f aca="false">Units!$E12*(1+Inputs!$B$7)^(BW$2-1)</f>
        <v>1820.92975220673</v>
      </c>
      <c r="BX13" s="11" t="n">
        <f aca="false">Units!$E12*(1+Inputs!$B$7)^(BX$2-1)</f>
        <v>1820.92975220673</v>
      </c>
      <c r="BY13" s="11" t="n">
        <f aca="false">Units!$E12*(1+Inputs!$B$7)^(BY$2-1)</f>
        <v>1820.92975220673</v>
      </c>
      <c r="BZ13" s="11" t="n">
        <f aca="false">Units!$E12*(1+Inputs!$B$7)^(BZ$2-1)</f>
        <v>1820.92975220673</v>
      </c>
      <c r="CA13" s="11" t="n">
        <f aca="false">Units!$E12*(1+Inputs!$B$7)^(CA$2-1)</f>
        <v>1820.92975220673</v>
      </c>
      <c r="CB13" s="11" t="n">
        <f aca="false">Units!$E12*(1+Inputs!$B$7)^(CB$2-1)</f>
        <v>1820.92975220673</v>
      </c>
      <c r="CC13" s="11" t="n">
        <f aca="false">Units!$E12*(1+Inputs!$B$7)^(CC$2-1)</f>
        <v>1820.92975220673</v>
      </c>
      <c r="CD13" s="11" t="n">
        <f aca="false">Units!$E12*(1+Inputs!$B$7)^(CD$2-1)</f>
        <v>1820.92975220673</v>
      </c>
      <c r="CE13" s="11" t="n">
        <f aca="false">Units!$E12*(1+Inputs!$B$7)^(CE$2-1)</f>
        <v>1820.92975220673</v>
      </c>
      <c r="CF13" s="11" t="n">
        <f aca="false">Units!$E12*(1+Inputs!$B$7)^(CF$2-1)</f>
        <v>1820.92975220673</v>
      </c>
      <c r="CG13" s="11" t="n">
        <f aca="false">Units!$E12*(1+Inputs!$B$7)^(CG$2-1)</f>
        <v>1820.92975220673</v>
      </c>
      <c r="CH13" s="11" t="n">
        <f aca="false">Units!$E12*(1+Inputs!$B$7)^(CH$2-1)</f>
        <v>1820.92975220673</v>
      </c>
      <c r="CI13" s="11" t="n">
        <f aca="false">Units!$E12*(1+Inputs!$B$7)^(CI$2-1)</f>
        <v>1875.55764477293</v>
      </c>
      <c r="CJ13" s="11" t="n">
        <f aca="false">Units!$E12*(1+Inputs!$B$7)^(CJ$2-1)</f>
        <v>1875.55764477293</v>
      </c>
      <c r="CK13" s="11" t="n">
        <f aca="false">Units!$E12*(1+Inputs!$B$7)^(CK$2-1)</f>
        <v>1875.55764477293</v>
      </c>
      <c r="CL13" s="11" t="n">
        <f aca="false">Units!$E12*(1+Inputs!$B$7)^(CL$2-1)</f>
        <v>1875.55764477293</v>
      </c>
      <c r="CM13" s="11" t="n">
        <f aca="false">Units!$E12*(1+Inputs!$B$7)^(CM$2-1)</f>
        <v>1875.55764477293</v>
      </c>
      <c r="CN13" s="11" t="n">
        <f aca="false">Units!$E12*(1+Inputs!$B$7)^(CN$2-1)</f>
        <v>1875.55764477293</v>
      </c>
      <c r="CO13" s="11" t="n">
        <f aca="false">Units!$E12*(1+Inputs!$B$7)^(CO$2-1)</f>
        <v>1875.55764477293</v>
      </c>
      <c r="CP13" s="11" t="n">
        <f aca="false">Units!$E12*(1+Inputs!$B$7)^(CP$2-1)</f>
        <v>1875.55764477293</v>
      </c>
      <c r="CQ13" s="11" t="n">
        <f aca="false">Units!$E12*(1+Inputs!$B$7)^(CQ$2-1)</f>
        <v>1875.55764477293</v>
      </c>
      <c r="CR13" s="11" t="n">
        <f aca="false">Units!$E12*(1+Inputs!$B$7)^(CR$2-1)</f>
        <v>1875.55764477293</v>
      </c>
      <c r="CS13" s="11" t="n">
        <f aca="false">Units!$E12*(1+Inputs!$B$7)^(CS$2-1)</f>
        <v>1875.55764477293</v>
      </c>
      <c r="CT13" s="11" t="n">
        <f aca="false">Units!$E12*(1+Inputs!$B$7)^(CT$2-1)</f>
        <v>1875.55764477293</v>
      </c>
      <c r="CU13" s="11" t="n">
        <f aca="false">Units!$E12*(1+Inputs!$B$7)^(CU$2-1)</f>
        <v>1931.82437411612</v>
      </c>
      <c r="CV13" s="11" t="n">
        <f aca="false">Units!$E12*(1+Inputs!$B$7)^(CV$2-1)</f>
        <v>1931.82437411612</v>
      </c>
      <c r="CW13" s="11" t="n">
        <f aca="false">Units!$E12*(1+Inputs!$B$7)^(CW$2-1)</f>
        <v>1931.82437411612</v>
      </c>
      <c r="CX13" s="11" t="n">
        <f aca="false">Units!$E12*(1+Inputs!$B$7)^(CX$2-1)</f>
        <v>1931.82437411612</v>
      </c>
      <c r="CY13" s="11" t="n">
        <f aca="false">Units!$E12*(1+Inputs!$B$7)^(CY$2-1)</f>
        <v>1931.82437411612</v>
      </c>
      <c r="CZ13" s="11" t="n">
        <f aca="false">Units!$E12*(1+Inputs!$B$7)^(CZ$2-1)</f>
        <v>1931.82437411612</v>
      </c>
      <c r="DA13" s="11" t="n">
        <f aca="false">Units!$E12*(1+Inputs!$B$7)^(DA$2-1)</f>
        <v>1931.82437411612</v>
      </c>
      <c r="DB13" s="11" t="n">
        <f aca="false">Units!$E12*(1+Inputs!$B$7)^(DB$2-1)</f>
        <v>1931.82437411612</v>
      </c>
      <c r="DC13" s="11" t="n">
        <f aca="false">Units!$E12*(1+Inputs!$B$7)^(DC$2-1)</f>
        <v>1931.82437411612</v>
      </c>
      <c r="DD13" s="11" t="n">
        <f aca="false">Units!$E12*(1+Inputs!$B$7)^(DD$2-1)</f>
        <v>1931.82437411612</v>
      </c>
      <c r="DE13" s="11" t="n">
        <f aca="false">Units!$E12*(1+Inputs!$B$7)^(DE$2-1)</f>
        <v>1931.82437411612</v>
      </c>
      <c r="DF13" s="11" t="n">
        <f aca="false">Units!$E12*(1+Inputs!$B$7)^(DF$2-1)</f>
        <v>1931.82437411612</v>
      </c>
      <c r="DG13" s="11" t="n">
        <f aca="false">Units!$E12*(1+Inputs!$B$7)^(DG$2-1)</f>
        <v>1989.7791053396</v>
      </c>
      <c r="DH13" s="11" t="n">
        <f aca="false">Units!$E12*(1+Inputs!$B$7)^(DH$2-1)</f>
        <v>1989.7791053396</v>
      </c>
      <c r="DI13" s="11" t="n">
        <f aca="false">Units!$E12*(1+Inputs!$B$7)^(DI$2-1)</f>
        <v>1989.7791053396</v>
      </c>
      <c r="DJ13" s="11" t="n">
        <f aca="false">Units!$E12*(1+Inputs!$B$7)^(DJ$2-1)</f>
        <v>1989.7791053396</v>
      </c>
      <c r="DK13" s="11" t="n">
        <f aca="false">Units!$E12*(1+Inputs!$B$7)^(DK$2-1)</f>
        <v>1989.7791053396</v>
      </c>
      <c r="DL13" s="11" t="n">
        <f aca="false">Units!$E12*(1+Inputs!$B$7)^(DL$2-1)</f>
        <v>1989.7791053396</v>
      </c>
      <c r="DM13" s="11" t="n">
        <f aca="false">Units!$E12*(1+Inputs!$B$7)^(DM$2-1)</f>
        <v>1989.7791053396</v>
      </c>
      <c r="DN13" s="11" t="n">
        <f aca="false">Units!$E12*(1+Inputs!$B$7)^(DN$2-1)</f>
        <v>1989.7791053396</v>
      </c>
      <c r="DO13" s="11" t="n">
        <f aca="false">Units!$E12*(1+Inputs!$B$7)^(DO$2-1)</f>
        <v>1989.7791053396</v>
      </c>
      <c r="DP13" s="11" t="n">
        <f aca="false">Units!$E12*(1+Inputs!$B$7)^(DP$2-1)</f>
        <v>1989.7791053396</v>
      </c>
      <c r="DQ13" s="11" t="n">
        <f aca="false">Units!$E12*(1+Inputs!$B$7)^(DQ$2-1)</f>
        <v>1989.7791053396</v>
      </c>
      <c r="DR13" s="11" t="n">
        <f aca="false">Units!$E12*(1+Inputs!$B$7)^(DR$2-1)</f>
        <v>1989.7791053396</v>
      </c>
      <c r="DS13" s="11" t="n">
        <f aca="false">Units!$E12*(1+Inputs!$B$7)^(DS$2-1)</f>
        <v>2049.47247849979</v>
      </c>
      <c r="DT13" s="11" t="n">
        <f aca="false">Units!$E12*(1+Inputs!$B$7)^(DT$2-1)</f>
        <v>2049.47247849979</v>
      </c>
      <c r="DU13" s="11" t="n">
        <f aca="false">Units!$E12*(1+Inputs!$B$7)^(DU$2-1)</f>
        <v>2049.47247849979</v>
      </c>
      <c r="DV13" s="11" t="n">
        <f aca="false">Units!$E12*(1+Inputs!$B$7)^(DV$2-1)</f>
        <v>2049.47247849979</v>
      </c>
      <c r="DW13" s="11" t="n">
        <f aca="false">Units!$E12*(1+Inputs!$B$7)^(DW$2-1)</f>
        <v>2049.47247849979</v>
      </c>
      <c r="DX13" s="11" t="n">
        <f aca="false">Units!$E12*(1+Inputs!$B$7)^(DX$2-1)</f>
        <v>2049.47247849979</v>
      </c>
      <c r="DY13" s="11" t="n">
        <f aca="false">Units!$E12*(1+Inputs!$B$7)^(DY$2-1)</f>
        <v>2049.47247849979</v>
      </c>
      <c r="DZ13" s="11" t="n">
        <f aca="false">Units!$E12*(1+Inputs!$B$7)^(DZ$2-1)</f>
        <v>2049.47247849979</v>
      </c>
      <c r="EA13" s="11" t="n">
        <f aca="false">Units!$E12*(1+Inputs!$B$7)^(EA$2-1)</f>
        <v>2049.47247849979</v>
      </c>
      <c r="EB13" s="11" t="n">
        <f aca="false">Units!$E12*(1+Inputs!$B$7)^(EB$2-1)</f>
        <v>2049.47247849979</v>
      </c>
      <c r="EC13" s="11" t="n">
        <f aca="false">Units!$E12*(1+Inputs!$B$7)^(EC$2-1)</f>
        <v>2049.47247849979</v>
      </c>
      <c r="ED13" s="11" t="n">
        <f aca="false">Units!$E12*(1+Inputs!$B$7)^(ED$2-1)</f>
        <v>2049.47247849979</v>
      </c>
    </row>
    <row r="14" customFormat="false" ht="15" hidden="false" customHeight="false" outlineLevel="0" collapsed="false">
      <c r="A14" s="22" t="n">
        <f aca="false">Units!A13</f>
        <v>112</v>
      </c>
      <c r="B14" s="23"/>
      <c r="C14" s="11" t="n">
        <f aca="false">Units!$E13*(1+Inputs!$B$7)^(C$2-1)</f>
        <v>1525</v>
      </c>
      <c r="D14" s="11" t="n">
        <f aca="false">Units!$E13*(1+Inputs!$B$7)^(D$2-1)</f>
        <v>1525</v>
      </c>
      <c r="E14" s="11" t="n">
        <f aca="false">Units!$E13*(1+Inputs!$B$7)^(E$2-1)</f>
        <v>1525</v>
      </c>
      <c r="F14" s="11" t="n">
        <f aca="false">Units!$E13*(1+Inputs!$B$7)^(F$2-1)</f>
        <v>1525</v>
      </c>
      <c r="G14" s="11" t="n">
        <f aca="false">Units!$E13*(1+Inputs!$B$7)^(G$2-1)</f>
        <v>1525</v>
      </c>
      <c r="H14" s="11" t="n">
        <f aca="false">Units!$E13*(1+Inputs!$B$7)^(H$2-1)</f>
        <v>1525</v>
      </c>
      <c r="I14" s="11" t="n">
        <f aca="false">Units!$E13*(1+Inputs!$B$7)^(I$2-1)</f>
        <v>1525</v>
      </c>
      <c r="J14" s="11" t="n">
        <f aca="false">Units!$E13*(1+Inputs!$B$7)^(J$2-1)</f>
        <v>1525</v>
      </c>
      <c r="K14" s="11" t="n">
        <f aca="false">Units!$E13*(1+Inputs!$B$7)^(K$2-1)</f>
        <v>1525</v>
      </c>
      <c r="L14" s="11" t="n">
        <f aca="false">Units!$E13*(1+Inputs!$B$7)^(L$2-1)</f>
        <v>1525</v>
      </c>
      <c r="M14" s="11" t="n">
        <f aca="false">Units!$E13*(1+Inputs!$B$7)^(M$2-1)</f>
        <v>1525</v>
      </c>
      <c r="N14" s="11" t="n">
        <f aca="false">Units!$E13*(1+Inputs!$B$7)^(N$2-1)</f>
        <v>1525</v>
      </c>
      <c r="O14" s="11" t="n">
        <f aca="false">Units!$E13*(1+Inputs!$B$7)^(O$2-1)</f>
        <v>1570.75</v>
      </c>
      <c r="P14" s="11" t="n">
        <f aca="false">Units!$E13*(1+Inputs!$B$7)^(P$2-1)</f>
        <v>1570.75</v>
      </c>
      <c r="Q14" s="11" t="n">
        <f aca="false">Units!$E13*(1+Inputs!$B$7)^(Q$2-1)</f>
        <v>1570.75</v>
      </c>
      <c r="R14" s="11" t="n">
        <f aca="false">Units!$E13*(1+Inputs!$B$7)^(R$2-1)</f>
        <v>1570.75</v>
      </c>
      <c r="S14" s="11" t="n">
        <f aca="false">Units!$E13*(1+Inputs!$B$7)^(S$2-1)</f>
        <v>1570.75</v>
      </c>
      <c r="T14" s="11" t="n">
        <f aca="false">Units!$E13*(1+Inputs!$B$7)^(T$2-1)</f>
        <v>1570.75</v>
      </c>
      <c r="U14" s="11" t="n">
        <f aca="false">Units!$E13*(1+Inputs!$B$7)^(U$2-1)</f>
        <v>1570.75</v>
      </c>
      <c r="V14" s="11" t="n">
        <f aca="false">Units!$E13*(1+Inputs!$B$7)^(V$2-1)</f>
        <v>1570.75</v>
      </c>
      <c r="W14" s="11" t="n">
        <f aca="false">Units!$E13*(1+Inputs!$B$7)^(W$2-1)</f>
        <v>1570.75</v>
      </c>
      <c r="X14" s="11" t="n">
        <f aca="false">Units!$E13*(1+Inputs!$B$7)^(X$2-1)</f>
        <v>1570.75</v>
      </c>
      <c r="Y14" s="11" t="n">
        <f aca="false">Units!$E13*(1+Inputs!$B$7)^(Y$2-1)</f>
        <v>1570.75</v>
      </c>
      <c r="Z14" s="11" t="n">
        <f aca="false">Units!$E13*(1+Inputs!$B$7)^(Z$2-1)</f>
        <v>1570.75</v>
      </c>
      <c r="AA14" s="11" t="n">
        <f aca="false">Units!$E13*(1+Inputs!$B$7)^(AA$2-1)</f>
        <v>1617.8725</v>
      </c>
      <c r="AB14" s="11" t="n">
        <f aca="false">Units!$E13*(1+Inputs!$B$7)^(AB$2-1)</f>
        <v>1617.8725</v>
      </c>
      <c r="AC14" s="11" t="n">
        <f aca="false">Units!$E13*(1+Inputs!$B$7)^(AC$2-1)</f>
        <v>1617.8725</v>
      </c>
      <c r="AD14" s="11" t="n">
        <f aca="false">Units!$E13*(1+Inputs!$B$7)^(AD$2-1)</f>
        <v>1617.8725</v>
      </c>
      <c r="AE14" s="11" t="n">
        <f aca="false">Units!$E13*(1+Inputs!$B$7)^(AE$2-1)</f>
        <v>1617.8725</v>
      </c>
      <c r="AF14" s="11" t="n">
        <f aca="false">Units!$E13*(1+Inputs!$B$7)^(AF$2-1)</f>
        <v>1617.8725</v>
      </c>
      <c r="AG14" s="11" t="n">
        <f aca="false">Units!$E13*(1+Inputs!$B$7)^(AG$2-1)</f>
        <v>1617.8725</v>
      </c>
      <c r="AH14" s="11" t="n">
        <f aca="false">Units!$E13*(1+Inputs!$B$7)^(AH$2-1)</f>
        <v>1617.8725</v>
      </c>
      <c r="AI14" s="11" t="n">
        <f aca="false">Units!$E13*(1+Inputs!$B$7)^(AI$2-1)</f>
        <v>1617.8725</v>
      </c>
      <c r="AJ14" s="11" t="n">
        <f aca="false">Units!$E13*(1+Inputs!$B$7)^(AJ$2-1)</f>
        <v>1617.8725</v>
      </c>
      <c r="AK14" s="11" t="n">
        <f aca="false">Units!$E13*(1+Inputs!$B$7)^(AK$2-1)</f>
        <v>1617.8725</v>
      </c>
      <c r="AL14" s="11" t="n">
        <f aca="false">Units!$E13*(1+Inputs!$B$7)^(AL$2-1)</f>
        <v>1617.8725</v>
      </c>
      <c r="AM14" s="11" t="n">
        <f aca="false">Units!$E13*(1+Inputs!$B$7)^(AM$2-1)</f>
        <v>1666.408675</v>
      </c>
      <c r="AN14" s="11" t="n">
        <f aca="false">Units!$E13*(1+Inputs!$B$7)^(AN$2-1)</f>
        <v>1666.408675</v>
      </c>
      <c r="AO14" s="11" t="n">
        <f aca="false">Units!$E13*(1+Inputs!$B$7)^(AO$2-1)</f>
        <v>1666.408675</v>
      </c>
      <c r="AP14" s="11" t="n">
        <f aca="false">Units!$E13*(1+Inputs!$B$7)^(AP$2-1)</f>
        <v>1666.408675</v>
      </c>
      <c r="AQ14" s="11" t="n">
        <f aca="false">Units!$E13*(1+Inputs!$B$7)^(AQ$2-1)</f>
        <v>1666.408675</v>
      </c>
      <c r="AR14" s="11" t="n">
        <f aca="false">Units!$E13*(1+Inputs!$B$7)^(AR$2-1)</f>
        <v>1666.408675</v>
      </c>
      <c r="AS14" s="11" t="n">
        <f aca="false">Units!$E13*(1+Inputs!$B$7)^(AS$2-1)</f>
        <v>1666.408675</v>
      </c>
      <c r="AT14" s="11" t="n">
        <f aca="false">Units!$E13*(1+Inputs!$B$7)^(AT$2-1)</f>
        <v>1666.408675</v>
      </c>
      <c r="AU14" s="11" t="n">
        <f aca="false">Units!$E13*(1+Inputs!$B$7)^(AU$2-1)</f>
        <v>1666.408675</v>
      </c>
      <c r="AV14" s="11" t="n">
        <f aca="false">Units!$E13*(1+Inputs!$B$7)^(AV$2-1)</f>
        <v>1666.408675</v>
      </c>
      <c r="AW14" s="11" t="n">
        <f aca="false">Units!$E13*(1+Inputs!$B$7)^(AW$2-1)</f>
        <v>1666.408675</v>
      </c>
      <c r="AX14" s="11" t="n">
        <f aca="false">Units!$E13*(1+Inputs!$B$7)^(AX$2-1)</f>
        <v>1666.408675</v>
      </c>
      <c r="AY14" s="11" t="n">
        <f aca="false">Units!$E13*(1+Inputs!$B$7)^(AY$2-1)</f>
        <v>1716.40093525</v>
      </c>
      <c r="AZ14" s="11" t="n">
        <f aca="false">Units!$E13*(1+Inputs!$B$7)^(AZ$2-1)</f>
        <v>1716.40093525</v>
      </c>
      <c r="BA14" s="11" t="n">
        <f aca="false">Units!$E13*(1+Inputs!$B$7)^(BA$2-1)</f>
        <v>1716.40093525</v>
      </c>
      <c r="BB14" s="11" t="n">
        <f aca="false">Units!$E13*(1+Inputs!$B$7)^(BB$2-1)</f>
        <v>1716.40093525</v>
      </c>
      <c r="BC14" s="11" t="n">
        <f aca="false">Units!$E13*(1+Inputs!$B$7)^(BC$2-1)</f>
        <v>1716.40093525</v>
      </c>
      <c r="BD14" s="11" t="n">
        <f aca="false">Units!$E13*(1+Inputs!$B$7)^(BD$2-1)</f>
        <v>1716.40093525</v>
      </c>
      <c r="BE14" s="11" t="n">
        <f aca="false">Units!$E13*(1+Inputs!$B$7)^(BE$2-1)</f>
        <v>1716.40093525</v>
      </c>
      <c r="BF14" s="11" t="n">
        <f aca="false">Units!$E13*(1+Inputs!$B$7)^(BF$2-1)</f>
        <v>1716.40093525</v>
      </c>
      <c r="BG14" s="11" t="n">
        <f aca="false">Units!$E13*(1+Inputs!$B$7)^(BG$2-1)</f>
        <v>1716.40093525</v>
      </c>
      <c r="BH14" s="11" t="n">
        <f aca="false">Units!$E13*(1+Inputs!$B$7)^(BH$2-1)</f>
        <v>1716.40093525</v>
      </c>
      <c r="BI14" s="11" t="n">
        <f aca="false">Units!$E13*(1+Inputs!$B$7)^(BI$2-1)</f>
        <v>1716.40093525</v>
      </c>
      <c r="BJ14" s="11" t="n">
        <f aca="false">Units!$E13*(1+Inputs!$B$7)^(BJ$2-1)</f>
        <v>1716.40093525</v>
      </c>
      <c r="BK14" s="11" t="n">
        <f aca="false">Units!$E13*(1+Inputs!$B$7)^(BK$2-1)</f>
        <v>1767.8929633075</v>
      </c>
      <c r="BL14" s="11" t="n">
        <f aca="false">Units!$E13*(1+Inputs!$B$7)^(BL$2-1)</f>
        <v>1767.8929633075</v>
      </c>
      <c r="BM14" s="11" t="n">
        <f aca="false">Units!$E13*(1+Inputs!$B$7)^(BM$2-1)</f>
        <v>1767.8929633075</v>
      </c>
      <c r="BN14" s="11" t="n">
        <f aca="false">Units!$E13*(1+Inputs!$B$7)^(BN$2-1)</f>
        <v>1767.8929633075</v>
      </c>
      <c r="BO14" s="11" t="n">
        <f aca="false">Units!$E13*(1+Inputs!$B$7)^(BO$2-1)</f>
        <v>1767.8929633075</v>
      </c>
      <c r="BP14" s="11" t="n">
        <f aca="false">Units!$E13*(1+Inputs!$B$7)^(BP$2-1)</f>
        <v>1767.8929633075</v>
      </c>
      <c r="BQ14" s="11" t="n">
        <f aca="false">Units!$E13*(1+Inputs!$B$7)^(BQ$2-1)</f>
        <v>1767.8929633075</v>
      </c>
      <c r="BR14" s="11" t="n">
        <f aca="false">Units!$E13*(1+Inputs!$B$7)^(BR$2-1)</f>
        <v>1767.8929633075</v>
      </c>
      <c r="BS14" s="11" t="n">
        <f aca="false">Units!$E13*(1+Inputs!$B$7)^(BS$2-1)</f>
        <v>1767.8929633075</v>
      </c>
      <c r="BT14" s="11" t="n">
        <f aca="false">Units!$E13*(1+Inputs!$B$7)^(BT$2-1)</f>
        <v>1767.8929633075</v>
      </c>
      <c r="BU14" s="11" t="n">
        <f aca="false">Units!$E13*(1+Inputs!$B$7)^(BU$2-1)</f>
        <v>1767.8929633075</v>
      </c>
      <c r="BV14" s="11" t="n">
        <f aca="false">Units!$E13*(1+Inputs!$B$7)^(BV$2-1)</f>
        <v>1767.8929633075</v>
      </c>
      <c r="BW14" s="11" t="n">
        <f aca="false">Units!$E13*(1+Inputs!$B$7)^(BW$2-1)</f>
        <v>1820.92975220673</v>
      </c>
      <c r="BX14" s="11" t="n">
        <f aca="false">Units!$E13*(1+Inputs!$B$7)^(BX$2-1)</f>
        <v>1820.92975220673</v>
      </c>
      <c r="BY14" s="11" t="n">
        <f aca="false">Units!$E13*(1+Inputs!$B$7)^(BY$2-1)</f>
        <v>1820.92975220673</v>
      </c>
      <c r="BZ14" s="11" t="n">
        <f aca="false">Units!$E13*(1+Inputs!$B$7)^(BZ$2-1)</f>
        <v>1820.92975220673</v>
      </c>
      <c r="CA14" s="11" t="n">
        <f aca="false">Units!$E13*(1+Inputs!$B$7)^(CA$2-1)</f>
        <v>1820.92975220673</v>
      </c>
      <c r="CB14" s="11" t="n">
        <f aca="false">Units!$E13*(1+Inputs!$B$7)^(CB$2-1)</f>
        <v>1820.92975220673</v>
      </c>
      <c r="CC14" s="11" t="n">
        <f aca="false">Units!$E13*(1+Inputs!$B$7)^(CC$2-1)</f>
        <v>1820.92975220673</v>
      </c>
      <c r="CD14" s="11" t="n">
        <f aca="false">Units!$E13*(1+Inputs!$B$7)^(CD$2-1)</f>
        <v>1820.92975220673</v>
      </c>
      <c r="CE14" s="11" t="n">
        <f aca="false">Units!$E13*(1+Inputs!$B$7)^(CE$2-1)</f>
        <v>1820.92975220673</v>
      </c>
      <c r="CF14" s="11" t="n">
        <f aca="false">Units!$E13*(1+Inputs!$B$7)^(CF$2-1)</f>
        <v>1820.92975220673</v>
      </c>
      <c r="CG14" s="11" t="n">
        <f aca="false">Units!$E13*(1+Inputs!$B$7)^(CG$2-1)</f>
        <v>1820.92975220673</v>
      </c>
      <c r="CH14" s="11" t="n">
        <f aca="false">Units!$E13*(1+Inputs!$B$7)^(CH$2-1)</f>
        <v>1820.92975220673</v>
      </c>
      <c r="CI14" s="11" t="n">
        <f aca="false">Units!$E13*(1+Inputs!$B$7)^(CI$2-1)</f>
        <v>1875.55764477293</v>
      </c>
      <c r="CJ14" s="11" t="n">
        <f aca="false">Units!$E13*(1+Inputs!$B$7)^(CJ$2-1)</f>
        <v>1875.55764477293</v>
      </c>
      <c r="CK14" s="11" t="n">
        <f aca="false">Units!$E13*(1+Inputs!$B$7)^(CK$2-1)</f>
        <v>1875.55764477293</v>
      </c>
      <c r="CL14" s="11" t="n">
        <f aca="false">Units!$E13*(1+Inputs!$B$7)^(CL$2-1)</f>
        <v>1875.55764477293</v>
      </c>
      <c r="CM14" s="11" t="n">
        <f aca="false">Units!$E13*(1+Inputs!$B$7)^(CM$2-1)</f>
        <v>1875.55764477293</v>
      </c>
      <c r="CN14" s="11" t="n">
        <f aca="false">Units!$E13*(1+Inputs!$B$7)^(CN$2-1)</f>
        <v>1875.55764477293</v>
      </c>
      <c r="CO14" s="11" t="n">
        <f aca="false">Units!$E13*(1+Inputs!$B$7)^(CO$2-1)</f>
        <v>1875.55764477293</v>
      </c>
      <c r="CP14" s="11" t="n">
        <f aca="false">Units!$E13*(1+Inputs!$B$7)^(CP$2-1)</f>
        <v>1875.55764477293</v>
      </c>
      <c r="CQ14" s="11" t="n">
        <f aca="false">Units!$E13*(1+Inputs!$B$7)^(CQ$2-1)</f>
        <v>1875.55764477293</v>
      </c>
      <c r="CR14" s="11" t="n">
        <f aca="false">Units!$E13*(1+Inputs!$B$7)^(CR$2-1)</f>
        <v>1875.55764477293</v>
      </c>
      <c r="CS14" s="11" t="n">
        <f aca="false">Units!$E13*(1+Inputs!$B$7)^(CS$2-1)</f>
        <v>1875.55764477293</v>
      </c>
      <c r="CT14" s="11" t="n">
        <f aca="false">Units!$E13*(1+Inputs!$B$7)^(CT$2-1)</f>
        <v>1875.55764477293</v>
      </c>
      <c r="CU14" s="11" t="n">
        <f aca="false">Units!$E13*(1+Inputs!$B$7)^(CU$2-1)</f>
        <v>1931.82437411612</v>
      </c>
      <c r="CV14" s="11" t="n">
        <f aca="false">Units!$E13*(1+Inputs!$B$7)^(CV$2-1)</f>
        <v>1931.82437411612</v>
      </c>
      <c r="CW14" s="11" t="n">
        <f aca="false">Units!$E13*(1+Inputs!$B$7)^(CW$2-1)</f>
        <v>1931.82437411612</v>
      </c>
      <c r="CX14" s="11" t="n">
        <f aca="false">Units!$E13*(1+Inputs!$B$7)^(CX$2-1)</f>
        <v>1931.82437411612</v>
      </c>
      <c r="CY14" s="11" t="n">
        <f aca="false">Units!$E13*(1+Inputs!$B$7)^(CY$2-1)</f>
        <v>1931.82437411612</v>
      </c>
      <c r="CZ14" s="11" t="n">
        <f aca="false">Units!$E13*(1+Inputs!$B$7)^(CZ$2-1)</f>
        <v>1931.82437411612</v>
      </c>
      <c r="DA14" s="11" t="n">
        <f aca="false">Units!$E13*(1+Inputs!$B$7)^(DA$2-1)</f>
        <v>1931.82437411612</v>
      </c>
      <c r="DB14" s="11" t="n">
        <f aca="false">Units!$E13*(1+Inputs!$B$7)^(DB$2-1)</f>
        <v>1931.82437411612</v>
      </c>
      <c r="DC14" s="11" t="n">
        <f aca="false">Units!$E13*(1+Inputs!$B$7)^(DC$2-1)</f>
        <v>1931.82437411612</v>
      </c>
      <c r="DD14" s="11" t="n">
        <f aca="false">Units!$E13*(1+Inputs!$B$7)^(DD$2-1)</f>
        <v>1931.82437411612</v>
      </c>
      <c r="DE14" s="11" t="n">
        <f aca="false">Units!$E13*(1+Inputs!$B$7)^(DE$2-1)</f>
        <v>1931.82437411612</v>
      </c>
      <c r="DF14" s="11" t="n">
        <f aca="false">Units!$E13*(1+Inputs!$B$7)^(DF$2-1)</f>
        <v>1931.82437411612</v>
      </c>
      <c r="DG14" s="11" t="n">
        <f aca="false">Units!$E13*(1+Inputs!$B$7)^(DG$2-1)</f>
        <v>1989.7791053396</v>
      </c>
      <c r="DH14" s="11" t="n">
        <f aca="false">Units!$E13*(1+Inputs!$B$7)^(DH$2-1)</f>
        <v>1989.7791053396</v>
      </c>
      <c r="DI14" s="11" t="n">
        <f aca="false">Units!$E13*(1+Inputs!$B$7)^(DI$2-1)</f>
        <v>1989.7791053396</v>
      </c>
      <c r="DJ14" s="11" t="n">
        <f aca="false">Units!$E13*(1+Inputs!$B$7)^(DJ$2-1)</f>
        <v>1989.7791053396</v>
      </c>
      <c r="DK14" s="11" t="n">
        <f aca="false">Units!$E13*(1+Inputs!$B$7)^(DK$2-1)</f>
        <v>1989.7791053396</v>
      </c>
      <c r="DL14" s="11" t="n">
        <f aca="false">Units!$E13*(1+Inputs!$B$7)^(DL$2-1)</f>
        <v>1989.7791053396</v>
      </c>
      <c r="DM14" s="11" t="n">
        <f aca="false">Units!$E13*(1+Inputs!$B$7)^(DM$2-1)</f>
        <v>1989.7791053396</v>
      </c>
      <c r="DN14" s="11" t="n">
        <f aca="false">Units!$E13*(1+Inputs!$B$7)^(DN$2-1)</f>
        <v>1989.7791053396</v>
      </c>
      <c r="DO14" s="11" t="n">
        <f aca="false">Units!$E13*(1+Inputs!$B$7)^(DO$2-1)</f>
        <v>1989.7791053396</v>
      </c>
      <c r="DP14" s="11" t="n">
        <f aca="false">Units!$E13*(1+Inputs!$B$7)^(DP$2-1)</f>
        <v>1989.7791053396</v>
      </c>
      <c r="DQ14" s="11" t="n">
        <f aca="false">Units!$E13*(1+Inputs!$B$7)^(DQ$2-1)</f>
        <v>1989.7791053396</v>
      </c>
      <c r="DR14" s="11" t="n">
        <f aca="false">Units!$E13*(1+Inputs!$B$7)^(DR$2-1)</f>
        <v>1989.7791053396</v>
      </c>
      <c r="DS14" s="11" t="n">
        <f aca="false">Units!$E13*(1+Inputs!$B$7)^(DS$2-1)</f>
        <v>2049.47247849979</v>
      </c>
      <c r="DT14" s="11" t="n">
        <f aca="false">Units!$E13*(1+Inputs!$B$7)^(DT$2-1)</f>
        <v>2049.47247849979</v>
      </c>
      <c r="DU14" s="11" t="n">
        <f aca="false">Units!$E13*(1+Inputs!$B$7)^(DU$2-1)</f>
        <v>2049.47247849979</v>
      </c>
      <c r="DV14" s="11" t="n">
        <f aca="false">Units!$E13*(1+Inputs!$B$7)^(DV$2-1)</f>
        <v>2049.47247849979</v>
      </c>
      <c r="DW14" s="11" t="n">
        <f aca="false">Units!$E13*(1+Inputs!$B$7)^(DW$2-1)</f>
        <v>2049.47247849979</v>
      </c>
      <c r="DX14" s="11" t="n">
        <f aca="false">Units!$E13*(1+Inputs!$B$7)^(DX$2-1)</f>
        <v>2049.47247849979</v>
      </c>
      <c r="DY14" s="11" t="n">
        <f aca="false">Units!$E13*(1+Inputs!$B$7)^(DY$2-1)</f>
        <v>2049.47247849979</v>
      </c>
      <c r="DZ14" s="11" t="n">
        <f aca="false">Units!$E13*(1+Inputs!$B$7)^(DZ$2-1)</f>
        <v>2049.47247849979</v>
      </c>
      <c r="EA14" s="11" t="n">
        <f aca="false">Units!$E13*(1+Inputs!$B$7)^(EA$2-1)</f>
        <v>2049.47247849979</v>
      </c>
      <c r="EB14" s="11" t="n">
        <f aca="false">Units!$E13*(1+Inputs!$B$7)^(EB$2-1)</f>
        <v>2049.47247849979</v>
      </c>
      <c r="EC14" s="11" t="n">
        <f aca="false">Units!$E13*(1+Inputs!$B$7)^(EC$2-1)</f>
        <v>2049.47247849979</v>
      </c>
      <c r="ED14" s="11" t="n">
        <f aca="false">Units!$E13*(1+Inputs!$B$7)^(ED$2-1)</f>
        <v>2049.47247849979</v>
      </c>
    </row>
    <row r="15" customFormat="false" ht="15" hidden="false" customHeight="false" outlineLevel="0" collapsed="false">
      <c r="A15" s="22" t="n">
        <f aca="false">Units!A14</f>
        <v>113</v>
      </c>
      <c r="B15" s="23"/>
      <c r="C15" s="11" t="n">
        <f aca="false">Units!$E14*(1+Inputs!$B$7)^(C$2-1)</f>
        <v>1295</v>
      </c>
      <c r="D15" s="11" t="n">
        <f aca="false">Units!$E14*(1+Inputs!$B$7)^(D$2-1)</f>
        <v>1295</v>
      </c>
      <c r="E15" s="11" t="n">
        <f aca="false">Units!$E14*(1+Inputs!$B$7)^(E$2-1)</f>
        <v>1295</v>
      </c>
      <c r="F15" s="11" t="n">
        <f aca="false">Units!$E14*(1+Inputs!$B$7)^(F$2-1)</f>
        <v>1295</v>
      </c>
      <c r="G15" s="11" t="n">
        <f aca="false">Units!$E14*(1+Inputs!$B$7)^(G$2-1)</f>
        <v>1295</v>
      </c>
      <c r="H15" s="11" t="n">
        <f aca="false">Units!$E14*(1+Inputs!$B$7)^(H$2-1)</f>
        <v>1295</v>
      </c>
      <c r="I15" s="11" t="n">
        <f aca="false">Units!$E14*(1+Inputs!$B$7)^(I$2-1)</f>
        <v>1295</v>
      </c>
      <c r="J15" s="11" t="n">
        <f aca="false">Units!$E14*(1+Inputs!$B$7)^(J$2-1)</f>
        <v>1295</v>
      </c>
      <c r="K15" s="11" t="n">
        <f aca="false">Units!$E14*(1+Inputs!$B$7)^(K$2-1)</f>
        <v>1295</v>
      </c>
      <c r="L15" s="11" t="n">
        <f aca="false">Units!$E14*(1+Inputs!$B$7)^(L$2-1)</f>
        <v>1295</v>
      </c>
      <c r="M15" s="11" t="n">
        <f aca="false">Units!$E14*(1+Inputs!$B$7)^(M$2-1)</f>
        <v>1295</v>
      </c>
      <c r="N15" s="11" t="n">
        <f aca="false">Units!$E14*(1+Inputs!$B$7)^(N$2-1)</f>
        <v>1295</v>
      </c>
      <c r="O15" s="11" t="n">
        <f aca="false">Units!$E14*(1+Inputs!$B$7)^(O$2-1)</f>
        <v>1333.85</v>
      </c>
      <c r="P15" s="11" t="n">
        <f aca="false">Units!$E14*(1+Inputs!$B$7)^(P$2-1)</f>
        <v>1333.85</v>
      </c>
      <c r="Q15" s="11" t="n">
        <f aca="false">Units!$E14*(1+Inputs!$B$7)^(Q$2-1)</f>
        <v>1333.85</v>
      </c>
      <c r="R15" s="11" t="n">
        <f aca="false">Units!$E14*(1+Inputs!$B$7)^(R$2-1)</f>
        <v>1333.85</v>
      </c>
      <c r="S15" s="11" t="n">
        <f aca="false">Units!$E14*(1+Inputs!$B$7)^(S$2-1)</f>
        <v>1333.85</v>
      </c>
      <c r="T15" s="11" t="n">
        <f aca="false">Units!$E14*(1+Inputs!$B$7)^(T$2-1)</f>
        <v>1333.85</v>
      </c>
      <c r="U15" s="11" t="n">
        <f aca="false">Units!$E14*(1+Inputs!$B$7)^(U$2-1)</f>
        <v>1333.85</v>
      </c>
      <c r="V15" s="11" t="n">
        <f aca="false">Units!$E14*(1+Inputs!$B$7)^(V$2-1)</f>
        <v>1333.85</v>
      </c>
      <c r="W15" s="11" t="n">
        <f aca="false">Units!$E14*(1+Inputs!$B$7)^(W$2-1)</f>
        <v>1333.85</v>
      </c>
      <c r="X15" s="11" t="n">
        <f aca="false">Units!$E14*(1+Inputs!$B$7)^(X$2-1)</f>
        <v>1333.85</v>
      </c>
      <c r="Y15" s="11" t="n">
        <f aca="false">Units!$E14*(1+Inputs!$B$7)^(Y$2-1)</f>
        <v>1333.85</v>
      </c>
      <c r="Z15" s="11" t="n">
        <f aca="false">Units!$E14*(1+Inputs!$B$7)^(Z$2-1)</f>
        <v>1333.85</v>
      </c>
      <c r="AA15" s="11" t="n">
        <f aca="false">Units!$E14*(1+Inputs!$B$7)^(AA$2-1)</f>
        <v>1373.8655</v>
      </c>
      <c r="AB15" s="11" t="n">
        <f aca="false">Units!$E14*(1+Inputs!$B$7)^(AB$2-1)</f>
        <v>1373.8655</v>
      </c>
      <c r="AC15" s="11" t="n">
        <f aca="false">Units!$E14*(1+Inputs!$B$7)^(AC$2-1)</f>
        <v>1373.8655</v>
      </c>
      <c r="AD15" s="11" t="n">
        <f aca="false">Units!$E14*(1+Inputs!$B$7)^(AD$2-1)</f>
        <v>1373.8655</v>
      </c>
      <c r="AE15" s="11" t="n">
        <f aca="false">Units!$E14*(1+Inputs!$B$7)^(AE$2-1)</f>
        <v>1373.8655</v>
      </c>
      <c r="AF15" s="11" t="n">
        <f aca="false">Units!$E14*(1+Inputs!$B$7)^(AF$2-1)</f>
        <v>1373.8655</v>
      </c>
      <c r="AG15" s="11" t="n">
        <f aca="false">Units!$E14*(1+Inputs!$B$7)^(AG$2-1)</f>
        <v>1373.8655</v>
      </c>
      <c r="AH15" s="11" t="n">
        <f aca="false">Units!$E14*(1+Inputs!$B$7)^(AH$2-1)</f>
        <v>1373.8655</v>
      </c>
      <c r="AI15" s="11" t="n">
        <f aca="false">Units!$E14*(1+Inputs!$B$7)^(AI$2-1)</f>
        <v>1373.8655</v>
      </c>
      <c r="AJ15" s="11" t="n">
        <f aca="false">Units!$E14*(1+Inputs!$B$7)^(AJ$2-1)</f>
        <v>1373.8655</v>
      </c>
      <c r="AK15" s="11" t="n">
        <f aca="false">Units!$E14*(1+Inputs!$B$7)^(AK$2-1)</f>
        <v>1373.8655</v>
      </c>
      <c r="AL15" s="11" t="n">
        <f aca="false">Units!$E14*(1+Inputs!$B$7)^(AL$2-1)</f>
        <v>1373.8655</v>
      </c>
      <c r="AM15" s="11" t="n">
        <f aca="false">Units!$E14*(1+Inputs!$B$7)^(AM$2-1)</f>
        <v>1415.081465</v>
      </c>
      <c r="AN15" s="11" t="n">
        <f aca="false">Units!$E14*(1+Inputs!$B$7)^(AN$2-1)</f>
        <v>1415.081465</v>
      </c>
      <c r="AO15" s="11" t="n">
        <f aca="false">Units!$E14*(1+Inputs!$B$7)^(AO$2-1)</f>
        <v>1415.081465</v>
      </c>
      <c r="AP15" s="11" t="n">
        <f aca="false">Units!$E14*(1+Inputs!$B$7)^(AP$2-1)</f>
        <v>1415.081465</v>
      </c>
      <c r="AQ15" s="11" t="n">
        <f aca="false">Units!$E14*(1+Inputs!$B$7)^(AQ$2-1)</f>
        <v>1415.081465</v>
      </c>
      <c r="AR15" s="11" t="n">
        <f aca="false">Units!$E14*(1+Inputs!$B$7)^(AR$2-1)</f>
        <v>1415.081465</v>
      </c>
      <c r="AS15" s="11" t="n">
        <f aca="false">Units!$E14*(1+Inputs!$B$7)^(AS$2-1)</f>
        <v>1415.081465</v>
      </c>
      <c r="AT15" s="11" t="n">
        <f aca="false">Units!$E14*(1+Inputs!$B$7)^(AT$2-1)</f>
        <v>1415.081465</v>
      </c>
      <c r="AU15" s="11" t="n">
        <f aca="false">Units!$E14*(1+Inputs!$B$7)^(AU$2-1)</f>
        <v>1415.081465</v>
      </c>
      <c r="AV15" s="11" t="n">
        <f aca="false">Units!$E14*(1+Inputs!$B$7)^(AV$2-1)</f>
        <v>1415.081465</v>
      </c>
      <c r="AW15" s="11" t="n">
        <f aca="false">Units!$E14*(1+Inputs!$B$7)^(AW$2-1)</f>
        <v>1415.081465</v>
      </c>
      <c r="AX15" s="11" t="n">
        <f aca="false">Units!$E14*(1+Inputs!$B$7)^(AX$2-1)</f>
        <v>1415.081465</v>
      </c>
      <c r="AY15" s="11" t="n">
        <f aca="false">Units!$E14*(1+Inputs!$B$7)^(AY$2-1)</f>
        <v>1457.53390895</v>
      </c>
      <c r="AZ15" s="11" t="n">
        <f aca="false">Units!$E14*(1+Inputs!$B$7)^(AZ$2-1)</f>
        <v>1457.53390895</v>
      </c>
      <c r="BA15" s="11" t="n">
        <f aca="false">Units!$E14*(1+Inputs!$B$7)^(BA$2-1)</f>
        <v>1457.53390895</v>
      </c>
      <c r="BB15" s="11" t="n">
        <f aca="false">Units!$E14*(1+Inputs!$B$7)^(BB$2-1)</f>
        <v>1457.53390895</v>
      </c>
      <c r="BC15" s="11" t="n">
        <f aca="false">Units!$E14*(1+Inputs!$B$7)^(BC$2-1)</f>
        <v>1457.53390895</v>
      </c>
      <c r="BD15" s="11" t="n">
        <f aca="false">Units!$E14*(1+Inputs!$B$7)^(BD$2-1)</f>
        <v>1457.53390895</v>
      </c>
      <c r="BE15" s="11" t="n">
        <f aca="false">Units!$E14*(1+Inputs!$B$7)^(BE$2-1)</f>
        <v>1457.53390895</v>
      </c>
      <c r="BF15" s="11" t="n">
        <f aca="false">Units!$E14*(1+Inputs!$B$7)^(BF$2-1)</f>
        <v>1457.53390895</v>
      </c>
      <c r="BG15" s="11" t="n">
        <f aca="false">Units!$E14*(1+Inputs!$B$7)^(BG$2-1)</f>
        <v>1457.53390895</v>
      </c>
      <c r="BH15" s="11" t="n">
        <f aca="false">Units!$E14*(1+Inputs!$B$7)^(BH$2-1)</f>
        <v>1457.53390895</v>
      </c>
      <c r="BI15" s="11" t="n">
        <f aca="false">Units!$E14*(1+Inputs!$B$7)^(BI$2-1)</f>
        <v>1457.53390895</v>
      </c>
      <c r="BJ15" s="11" t="n">
        <f aca="false">Units!$E14*(1+Inputs!$B$7)^(BJ$2-1)</f>
        <v>1457.53390895</v>
      </c>
      <c r="BK15" s="11" t="n">
        <f aca="false">Units!$E14*(1+Inputs!$B$7)^(BK$2-1)</f>
        <v>1501.2599262185</v>
      </c>
      <c r="BL15" s="11" t="n">
        <f aca="false">Units!$E14*(1+Inputs!$B$7)^(BL$2-1)</f>
        <v>1501.2599262185</v>
      </c>
      <c r="BM15" s="11" t="n">
        <f aca="false">Units!$E14*(1+Inputs!$B$7)^(BM$2-1)</f>
        <v>1501.2599262185</v>
      </c>
      <c r="BN15" s="11" t="n">
        <f aca="false">Units!$E14*(1+Inputs!$B$7)^(BN$2-1)</f>
        <v>1501.2599262185</v>
      </c>
      <c r="BO15" s="11" t="n">
        <f aca="false">Units!$E14*(1+Inputs!$B$7)^(BO$2-1)</f>
        <v>1501.2599262185</v>
      </c>
      <c r="BP15" s="11" t="n">
        <f aca="false">Units!$E14*(1+Inputs!$B$7)^(BP$2-1)</f>
        <v>1501.2599262185</v>
      </c>
      <c r="BQ15" s="11" t="n">
        <f aca="false">Units!$E14*(1+Inputs!$B$7)^(BQ$2-1)</f>
        <v>1501.2599262185</v>
      </c>
      <c r="BR15" s="11" t="n">
        <f aca="false">Units!$E14*(1+Inputs!$B$7)^(BR$2-1)</f>
        <v>1501.2599262185</v>
      </c>
      <c r="BS15" s="11" t="n">
        <f aca="false">Units!$E14*(1+Inputs!$B$7)^(BS$2-1)</f>
        <v>1501.2599262185</v>
      </c>
      <c r="BT15" s="11" t="n">
        <f aca="false">Units!$E14*(1+Inputs!$B$7)^(BT$2-1)</f>
        <v>1501.2599262185</v>
      </c>
      <c r="BU15" s="11" t="n">
        <f aca="false">Units!$E14*(1+Inputs!$B$7)^(BU$2-1)</f>
        <v>1501.2599262185</v>
      </c>
      <c r="BV15" s="11" t="n">
        <f aca="false">Units!$E14*(1+Inputs!$B$7)^(BV$2-1)</f>
        <v>1501.2599262185</v>
      </c>
      <c r="BW15" s="11" t="n">
        <f aca="false">Units!$E14*(1+Inputs!$B$7)^(BW$2-1)</f>
        <v>1546.29772400506</v>
      </c>
      <c r="BX15" s="11" t="n">
        <f aca="false">Units!$E14*(1+Inputs!$B$7)^(BX$2-1)</f>
        <v>1546.29772400506</v>
      </c>
      <c r="BY15" s="11" t="n">
        <f aca="false">Units!$E14*(1+Inputs!$B$7)^(BY$2-1)</f>
        <v>1546.29772400506</v>
      </c>
      <c r="BZ15" s="11" t="n">
        <f aca="false">Units!$E14*(1+Inputs!$B$7)^(BZ$2-1)</f>
        <v>1546.29772400506</v>
      </c>
      <c r="CA15" s="11" t="n">
        <f aca="false">Units!$E14*(1+Inputs!$B$7)^(CA$2-1)</f>
        <v>1546.29772400506</v>
      </c>
      <c r="CB15" s="11" t="n">
        <f aca="false">Units!$E14*(1+Inputs!$B$7)^(CB$2-1)</f>
        <v>1546.29772400506</v>
      </c>
      <c r="CC15" s="11" t="n">
        <f aca="false">Units!$E14*(1+Inputs!$B$7)^(CC$2-1)</f>
        <v>1546.29772400506</v>
      </c>
      <c r="CD15" s="11" t="n">
        <f aca="false">Units!$E14*(1+Inputs!$B$7)^(CD$2-1)</f>
        <v>1546.29772400506</v>
      </c>
      <c r="CE15" s="11" t="n">
        <f aca="false">Units!$E14*(1+Inputs!$B$7)^(CE$2-1)</f>
        <v>1546.29772400506</v>
      </c>
      <c r="CF15" s="11" t="n">
        <f aca="false">Units!$E14*(1+Inputs!$B$7)^(CF$2-1)</f>
        <v>1546.29772400506</v>
      </c>
      <c r="CG15" s="11" t="n">
        <f aca="false">Units!$E14*(1+Inputs!$B$7)^(CG$2-1)</f>
        <v>1546.29772400506</v>
      </c>
      <c r="CH15" s="11" t="n">
        <f aca="false">Units!$E14*(1+Inputs!$B$7)^(CH$2-1)</f>
        <v>1546.29772400506</v>
      </c>
      <c r="CI15" s="11" t="n">
        <f aca="false">Units!$E14*(1+Inputs!$B$7)^(CI$2-1)</f>
        <v>1592.68665572521</v>
      </c>
      <c r="CJ15" s="11" t="n">
        <f aca="false">Units!$E14*(1+Inputs!$B$7)^(CJ$2-1)</f>
        <v>1592.68665572521</v>
      </c>
      <c r="CK15" s="11" t="n">
        <f aca="false">Units!$E14*(1+Inputs!$B$7)^(CK$2-1)</f>
        <v>1592.68665572521</v>
      </c>
      <c r="CL15" s="11" t="n">
        <f aca="false">Units!$E14*(1+Inputs!$B$7)^(CL$2-1)</f>
        <v>1592.68665572521</v>
      </c>
      <c r="CM15" s="11" t="n">
        <f aca="false">Units!$E14*(1+Inputs!$B$7)^(CM$2-1)</f>
        <v>1592.68665572521</v>
      </c>
      <c r="CN15" s="11" t="n">
        <f aca="false">Units!$E14*(1+Inputs!$B$7)^(CN$2-1)</f>
        <v>1592.68665572521</v>
      </c>
      <c r="CO15" s="11" t="n">
        <f aca="false">Units!$E14*(1+Inputs!$B$7)^(CO$2-1)</f>
        <v>1592.68665572521</v>
      </c>
      <c r="CP15" s="11" t="n">
        <f aca="false">Units!$E14*(1+Inputs!$B$7)^(CP$2-1)</f>
        <v>1592.68665572521</v>
      </c>
      <c r="CQ15" s="11" t="n">
        <f aca="false">Units!$E14*(1+Inputs!$B$7)^(CQ$2-1)</f>
        <v>1592.68665572521</v>
      </c>
      <c r="CR15" s="11" t="n">
        <f aca="false">Units!$E14*(1+Inputs!$B$7)^(CR$2-1)</f>
        <v>1592.68665572521</v>
      </c>
      <c r="CS15" s="11" t="n">
        <f aca="false">Units!$E14*(1+Inputs!$B$7)^(CS$2-1)</f>
        <v>1592.68665572521</v>
      </c>
      <c r="CT15" s="11" t="n">
        <f aca="false">Units!$E14*(1+Inputs!$B$7)^(CT$2-1)</f>
        <v>1592.68665572521</v>
      </c>
      <c r="CU15" s="11" t="n">
        <f aca="false">Units!$E14*(1+Inputs!$B$7)^(CU$2-1)</f>
        <v>1640.46725539696</v>
      </c>
      <c r="CV15" s="11" t="n">
        <f aca="false">Units!$E14*(1+Inputs!$B$7)^(CV$2-1)</f>
        <v>1640.46725539696</v>
      </c>
      <c r="CW15" s="11" t="n">
        <f aca="false">Units!$E14*(1+Inputs!$B$7)^(CW$2-1)</f>
        <v>1640.46725539696</v>
      </c>
      <c r="CX15" s="11" t="n">
        <f aca="false">Units!$E14*(1+Inputs!$B$7)^(CX$2-1)</f>
        <v>1640.46725539696</v>
      </c>
      <c r="CY15" s="11" t="n">
        <f aca="false">Units!$E14*(1+Inputs!$B$7)^(CY$2-1)</f>
        <v>1640.46725539696</v>
      </c>
      <c r="CZ15" s="11" t="n">
        <f aca="false">Units!$E14*(1+Inputs!$B$7)^(CZ$2-1)</f>
        <v>1640.46725539696</v>
      </c>
      <c r="DA15" s="11" t="n">
        <f aca="false">Units!$E14*(1+Inputs!$B$7)^(DA$2-1)</f>
        <v>1640.46725539696</v>
      </c>
      <c r="DB15" s="11" t="n">
        <f aca="false">Units!$E14*(1+Inputs!$B$7)^(DB$2-1)</f>
        <v>1640.46725539696</v>
      </c>
      <c r="DC15" s="11" t="n">
        <f aca="false">Units!$E14*(1+Inputs!$B$7)^(DC$2-1)</f>
        <v>1640.46725539696</v>
      </c>
      <c r="DD15" s="11" t="n">
        <f aca="false">Units!$E14*(1+Inputs!$B$7)^(DD$2-1)</f>
        <v>1640.46725539696</v>
      </c>
      <c r="DE15" s="11" t="n">
        <f aca="false">Units!$E14*(1+Inputs!$B$7)^(DE$2-1)</f>
        <v>1640.46725539696</v>
      </c>
      <c r="DF15" s="11" t="n">
        <f aca="false">Units!$E14*(1+Inputs!$B$7)^(DF$2-1)</f>
        <v>1640.46725539696</v>
      </c>
      <c r="DG15" s="11" t="n">
        <f aca="false">Units!$E14*(1+Inputs!$B$7)^(DG$2-1)</f>
        <v>1689.68127305887</v>
      </c>
      <c r="DH15" s="11" t="n">
        <f aca="false">Units!$E14*(1+Inputs!$B$7)^(DH$2-1)</f>
        <v>1689.68127305887</v>
      </c>
      <c r="DI15" s="11" t="n">
        <f aca="false">Units!$E14*(1+Inputs!$B$7)^(DI$2-1)</f>
        <v>1689.68127305887</v>
      </c>
      <c r="DJ15" s="11" t="n">
        <f aca="false">Units!$E14*(1+Inputs!$B$7)^(DJ$2-1)</f>
        <v>1689.68127305887</v>
      </c>
      <c r="DK15" s="11" t="n">
        <f aca="false">Units!$E14*(1+Inputs!$B$7)^(DK$2-1)</f>
        <v>1689.68127305887</v>
      </c>
      <c r="DL15" s="11" t="n">
        <f aca="false">Units!$E14*(1+Inputs!$B$7)^(DL$2-1)</f>
        <v>1689.68127305887</v>
      </c>
      <c r="DM15" s="11" t="n">
        <f aca="false">Units!$E14*(1+Inputs!$B$7)^(DM$2-1)</f>
        <v>1689.68127305887</v>
      </c>
      <c r="DN15" s="11" t="n">
        <f aca="false">Units!$E14*(1+Inputs!$B$7)^(DN$2-1)</f>
        <v>1689.68127305887</v>
      </c>
      <c r="DO15" s="11" t="n">
        <f aca="false">Units!$E14*(1+Inputs!$B$7)^(DO$2-1)</f>
        <v>1689.68127305887</v>
      </c>
      <c r="DP15" s="11" t="n">
        <f aca="false">Units!$E14*(1+Inputs!$B$7)^(DP$2-1)</f>
        <v>1689.68127305887</v>
      </c>
      <c r="DQ15" s="11" t="n">
        <f aca="false">Units!$E14*(1+Inputs!$B$7)^(DQ$2-1)</f>
        <v>1689.68127305887</v>
      </c>
      <c r="DR15" s="11" t="n">
        <f aca="false">Units!$E14*(1+Inputs!$B$7)^(DR$2-1)</f>
        <v>1689.68127305887</v>
      </c>
      <c r="DS15" s="11" t="n">
        <f aca="false">Units!$E14*(1+Inputs!$B$7)^(DS$2-1)</f>
        <v>1740.37171125064</v>
      </c>
      <c r="DT15" s="11" t="n">
        <f aca="false">Units!$E14*(1+Inputs!$B$7)^(DT$2-1)</f>
        <v>1740.37171125064</v>
      </c>
      <c r="DU15" s="11" t="n">
        <f aca="false">Units!$E14*(1+Inputs!$B$7)^(DU$2-1)</f>
        <v>1740.37171125064</v>
      </c>
      <c r="DV15" s="11" t="n">
        <f aca="false">Units!$E14*(1+Inputs!$B$7)^(DV$2-1)</f>
        <v>1740.37171125064</v>
      </c>
      <c r="DW15" s="11" t="n">
        <f aca="false">Units!$E14*(1+Inputs!$B$7)^(DW$2-1)</f>
        <v>1740.37171125064</v>
      </c>
      <c r="DX15" s="11" t="n">
        <f aca="false">Units!$E14*(1+Inputs!$B$7)^(DX$2-1)</f>
        <v>1740.37171125064</v>
      </c>
      <c r="DY15" s="11" t="n">
        <f aca="false">Units!$E14*(1+Inputs!$B$7)^(DY$2-1)</f>
        <v>1740.37171125064</v>
      </c>
      <c r="DZ15" s="11" t="n">
        <f aca="false">Units!$E14*(1+Inputs!$B$7)^(DZ$2-1)</f>
        <v>1740.37171125064</v>
      </c>
      <c r="EA15" s="11" t="n">
        <f aca="false">Units!$E14*(1+Inputs!$B$7)^(EA$2-1)</f>
        <v>1740.37171125064</v>
      </c>
      <c r="EB15" s="11" t="n">
        <f aca="false">Units!$E14*(1+Inputs!$B$7)^(EB$2-1)</f>
        <v>1740.37171125064</v>
      </c>
      <c r="EC15" s="11" t="n">
        <f aca="false">Units!$E14*(1+Inputs!$B$7)^(EC$2-1)</f>
        <v>1740.37171125064</v>
      </c>
      <c r="ED15" s="11" t="n">
        <f aca="false">Units!$E14*(1+Inputs!$B$7)^(ED$2-1)</f>
        <v>1740.37171125064</v>
      </c>
    </row>
    <row r="16" customFormat="false" ht="15" hidden="false" customHeight="false" outlineLevel="0" collapsed="false">
      <c r="A16" s="22" t="n">
        <f aca="false">Units!A15</f>
        <v>114</v>
      </c>
      <c r="B16" s="23"/>
      <c r="C16" s="11" t="n">
        <f aca="false">Units!$E15*(1+Inputs!$B$7)^(C$2-1)</f>
        <v>1295</v>
      </c>
      <c r="D16" s="11" t="n">
        <f aca="false">Units!$E15*(1+Inputs!$B$7)^(D$2-1)</f>
        <v>1295</v>
      </c>
      <c r="E16" s="11" t="n">
        <f aca="false">Units!$E15*(1+Inputs!$B$7)^(E$2-1)</f>
        <v>1295</v>
      </c>
      <c r="F16" s="11" t="n">
        <f aca="false">Units!$E15*(1+Inputs!$B$7)^(F$2-1)</f>
        <v>1295</v>
      </c>
      <c r="G16" s="11" t="n">
        <f aca="false">Units!$E15*(1+Inputs!$B$7)^(G$2-1)</f>
        <v>1295</v>
      </c>
      <c r="H16" s="11" t="n">
        <f aca="false">Units!$E15*(1+Inputs!$B$7)^(H$2-1)</f>
        <v>1295</v>
      </c>
      <c r="I16" s="11" t="n">
        <f aca="false">Units!$E15*(1+Inputs!$B$7)^(I$2-1)</f>
        <v>1295</v>
      </c>
      <c r="J16" s="11" t="n">
        <f aca="false">Units!$E15*(1+Inputs!$B$7)^(J$2-1)</f>
        <v>1295</v>
      </c>
      <c r="K16" s="11" t="n">
        <f aca="false">Units!$E15*(1+Inputs!$B$7)^(K$2-1)</f>
        <v>1295</v>
      </c>
      <c r="L16" s="11" t="n">
        <f aca="false">Units!$E15*(1+Inputs!$B$7)^(L$2-1)</f>
        <v>1295</v>
      </c>
      <c r="M16" s="11" t="n">
        <f aca="false">Units!$E15*(1+Inputs!$B$7)^(M$2-1)</f>
        <v>1295</v>
      </c>
      <c r="N16" s="11" t="n">
        <f aca="false">Units!$E15*(1+Inputs!$B$7)^(N$2-1)</f>
        <v>1295</v>
      </c>
      <c r="O16" s="11" t="n">
        <f aca="false">Units!$E15*(1+Inputs!$B$7)^(O$2-1)</f>
        <v>1333.85</v>
      </c>
      <c r="P16" s="11" t="n">
        <f aca="false">Units!$E15*(1+Inputs!$B$7)^(P$2-1)</f>
        <v>1333.85</v>
      </c>
      <c r="Q16" s="11" t="n">
        <f aca="false">Units!$E15*(1+Inputs!$B$7)^(Q$2-1)</f>
        <v>1333.85</v>
      </c>
      <c r="R16" s="11" t="n">
        <f aca="false">Units!$E15*(1+Inputs!$B$7)^(R$2-1)</f>
        <v>1333.85</v>
      </c>
      <c r="S16" s="11" t="n">
        <f aca="false">Units!$E15*(1+Inputs!$B$7)^(S$2-1)</f>
        <v>1333.85</v>
      </c>
      <c r="T16" s="11" t="n">
        <f aca="false">Units!$E15*(1+Inputs!$B$7)^(T$2-1)</f>
        <v>1333.85</v>
      </c>
      <c r="U16" s="11" t="n">
        <f aca="false">Units!$E15*(1+Inputs!$B$7)^(U$2-1)</f>
        <v>1333.85</v>
      </c>
      <c r="V16" s="11" t="n">
        <f aca="false">Units!$E15*(1+Inputs!$B$7)^(V$2-1)</f>
        <v>1333.85</v>
      </c>
      <c r="W16" s="11" t="n">
        <f aca="false">Units!$E15*(1+Inputs!$B$7)^(W$2-1)</f>
        <v>1333.85</v>
      </c>
      <c r="X16" s="11" t="n">
        <f aca="false">Units!$E15*(1+Inputs!$B$7)^(X$2-1)</f>
        <v>1333.85</v>
      </c>
      <c r="Y16" s="11" t="n">
        <f aca="false">Units!$E15*(1+Inputs!$B$7)^(Y$2-1)</f>
        <v>1333.85</v>
      </c>
      <c r="Z16" s="11" t="n">
        <f aca="false">Units!$E15*(1+Inputs!$B$7)^(Z$2-1)</f>
        <v>1333.85</v>
      </c>
      <c r="AA16" s="11" t="n">
        <f aca="false">Units!$E15*(1+Inputs!$B$7)^(AA$2-1)</f>
        <v>1373.8655</v>
      </c>
      <c r="AB16" s="11" t="n">
        <f aca="false">Units!$E15*(1+Inputs!$B$7)^(AB$2-1)</f>
        <v>1373.8655</v>
      </c>
      <c r="AC16" s="11" t="n">
        <f aca="false">Units!$E15*(1+Inputs!$B$7)^(AC$2-1)</f>
        <v>1373.8655</v>
      </c>
      <c r="AD16" s="11" t="n">
        <f aca="false">Units!$E15*(1+Inputs!$B$7)^(AD$2-1)</f>
        <v>1373.8655</v>
      </c>
      <c r="AE16" s="11" t="n">
        <f aca="false">Units!$E15*(1+Inputs!$B$7)^(AE$2-1)</f>
        <v>1373.8655</v>
      </c>
      <c r="AF16" s="11" t="n">
        <f aca="false">Units!$E15*(1+Inputs!$B$7)^(AF$2-1)</f>
        <v>1373.8655</v>
      </c>
      <c r="AG16" s="11" t="n">
        <f aca="false">Units!$E15*(1+Inputs!$B$7)^(AG$2-1)</f>
        <v>1373.8655</v>
      </c>
      <c r="AH16" s="11" t="n">
        <f aca="false">Units!$E15*(1+Inputs!$B$7)^(AH$2-1)</f>
        <v>1373.8655</v>
      </c>
      <c r="AI16" s="11" t="n">
        <f aca="false">Units!$E15*(1+Inputs!$B$7)^(AI$2-1)</f>
        <v>1373.8655</v>
      </c>
      <c r="AJ16" s="11" t="n">
        <f aca="false">Units!$E15*(1+Inputs!$B$7)^(AJ$2-1)</f>
        <v>1373.8655</v>
      </c>
      <c r="AK16" s="11" t="n">
        <f aca="false">Units!$E15*(1+Inputs!$B$7)^(AK$2-1)</f>
        <v>1373.8655</v>
      </c>
      <c r="AL16" s="11" t="n">
        <f aca="false">Units!$E15*(1+Inputs!$B$7)^(AL$2-1)</f>
        <v>1373.8655</v>
      </c>
      <c r="AM16" s="11" t="n">
        <f aca="false">Units!$E15*(1+Inputs!$B$7)^(AM$2-1)</f>
        <v>1415.081465</v>
      </c>
      <c r="AN16" s="11" t="n">
        <f aca="false">Units!$E15*(1+Inputs!$B$7)^(AN$2-1)</f>
        <v>1415.081465</v>
      </c>
      <c r="AO16" s="11" t="n">
        <f aca="false">Units!$E15*(1+Inputs!$B$7)^(AO$2-1)</f>
        <v>1415.081465</v>
      </c>
      <c r="AP16" s="11" t="n">
        <f aca="false">Units!$E15*(1+Inputs!$B$7)^(AP$2-1)</f>
        <v>1415.081465</v>
      </c>
      <c r="AQ16" s="11" t="n">
        <f aca="false">Units!$E15*(1+Inputs!$B$7)^(AQ$2-1)</f>
        <v>1415.081465</v>
      </c>
      <c r="AR16" s="11" t="n">
        <f aca="false">Units!$E15*(1+Inputs!$B$7)^(AR$2-1)</f>
        <v>1415.081465</v>
      </c>
      <c r="AS16" s="11" t="n">
        <f aca="false">Units!$E15*(1+Inputs!$B$7)^(AS$2-1)</f>
        <v>1415.081465</v>
      </c>
      <c r="AT16" s="11" t="n">
        <f aca="false">Units!$E15*(1+Inputs!$B$7)^(AT$2-1)</f>
        <v>1415.081465</v>
      </c>
      <c r="AU16" s="11" t="n">
        <f aca="false">Units!$E15*(1+Inputs!$B$7)^(AU$2-1)</f>
        <v>1415.081465</v>
      </c>
      <c r="AV16" s="11" t="n">
        <f aca="false">Units!$E15*(1+Inputs!$B$7)^(AV$2-1)</f>
        <v>1415.081465</v>
      </c>
      <c r="AW16" s="11" t="n">
        <f aca="false">Units!$E15*(1+Inputs!$B$7)^(AW$2-1)</f>
        <v>1415.081465</v>
      </c>
      <c r="AX16" s="11" t="n">
        <f aca="false">Units!$E15*(1+Inputs!$B$7)^(AX$2-1)</f>
        <v>1415.081465</v>
      </c>
      <c r="AY16" s="11" t="n">
        <f aca="false">Units!$E15*(1+Inputs!$B$7)^(AY$2-1)</f>
        <v>1457.53390895</v>
      </c>
      <c r="AZ16" s="11" t="n">
        <f aca="false">Units!$E15*(1+Inputs!$B$7)^(AZ$2-1)</f>
        <v>1457.53390895</v>
      </c>
      <c r="BA16" s="11" t="n">
        <f aca="false">Units!$E15*(1+Inputs!$B$7)^(BA$2-1)</f>
        <v>1457.53390895</v>
      </c>
      <c r="BB16" s="11" t="n">
        <f aca="false">Units!$E15*(1+Inputs!$B$7)^(BB$2-1)</f>
        <v>1457.53390895</v>
      </c>
      <c r="BC16" s="11" t="n">
        <f aca="false">Units!$E15*(1+Inputs!$B$7)^(BC$2-1)</f>
        <v>1457.53390895</v>
      </c>
      <c r="BD16" s="11" t="n">
        <f aca="false">Units!$E15*(1+Inputs!$B$7)^(BD$2-1)</f>
        <v>1457.53390895</v>
      </c>
      <c r="BE16" s="11" t="n">
        <f aca="false">Units!$E15*(1+Inputs!$B$7)^(BE$2-1)</f>
        <v>1457.53390895</v>
      </c>
      <c r="BF16" s="11" t="n">
        <f aca="false">Units!$E15*(1+Inputs!$B$7)^(BF$2-1)</f>
        <v>1457.53390895</v>
      </c>
      <c r="BG16" s="11" t="n">
        <f aca="false">Units!$E15*(1+Inputs!$B$7)^(BG$2-1)</f>
        <v>1457.53390895</v>
      </c>
      <c r="BH16" s="11" t="n">
        <f aca="false">Units!$E15*(1+Inputs!$B$7)^(BH$2-1)</f>
        <v>1457.53390895</v>
      </c>
      <c r="BI16" s="11" t="n">
        <f aca="false">Units!$E15*(1+Inputs!$B$7)^(BI$2-1)</f>
        <v>1457.53390895</v>
      </c>
      <c r="BJ16" s="11" t="n">
        <f aca="false">Units!$E15*(1+Inputs!$B$7)^(BJ$2-1)</f>
        <v>1457.53390895</v>
      </c>
      <c r="BK16" s="11" t="n">
        <f aca="false">Units!$E15*(1+Inputs!$B$7)^(BK$2-1)</f>
        <v>1501.2599262185</v>
      </c>
      <c r="BL16" s="11" t="n">
        <f aca="false">Units!$E15*(1+Inputs!$B$7)^(BL$2-1)</f>
        <v>1501.2599262185</v>
      </c>
      <c r="BM16" s="11" t="n">
        <f aca="false">Units!$E15*(1+Inputs!$B$7)^(BM$2-1)</f>
        <v>1501.2599262185</v>
      </c>
      <c r="BN16" s="11" t="n">
        <f aca="false">Units!$E15*(1+Inputs!$B$7)^(BN$2-1)</f>
        <v>1501.2599262185</v>
      </c>
      <c r="BO16" s="11" t="n">
        <f aca="false">Units!$E15*(1+Inputs!$B$7)^(BO$2-1)</f>
        <v>1501.2599262185</v>
      </c>
      <c r="BP16" s="11" t="n">
        <f aca="false">Units!$E15*(1+Inputs!$B$7)^(BP$2-1)</f>
        <v>1501.2599262185</v>
      </c>
      <c r="BQ16" s="11" t="n">
        <f aca="false">Units!$E15*(1+Inputs!$B$7)^(BQ$2-1)</f>
        <v>1501.2599262185</v>
      </c>
      <c r="BR16" s="11" t="n">
        <f aca="false">Units!$E15*(1+Inputs!$B$7)^(BR$2-1)</f>
        <v>1501.2599262185</v>
      </c>
      <c r="BS16" s="11" t="n">
        <f aca="false">Units!$E15*(1+Inputs!$B$7)^(BS$2-1)</f>
        <v>1501.2599262185</v>
      </c>
      <c r="BT16" s="11" t="n">
        <f aca="false">Units!$E15*(1+Inputs!$B$7)^(BT$2-1)</f>
        <v>1501.2599262185</v>
      </c>
      <c r="BU16" s="11" t="n">
        <f aca="false">Units!$E15*(1+Inputs!$B$7)^(BU$2-1)</f>
        <v>1501.2599262185</v>
      </c>
      <c r="BV16" s="11" t="n">
        <f aca="false">Units!$E15*(1+Inputs!$B$7)^(BV$2-1)</f>
        <v>1501.2599262185</v>
      </c>
      <c r="BW16" s="11" t="n">
        <f aca="false">Units!$E15*(1+Inputs!$B$7)^(BW$2-1)</f>
        <v>1546.29772400506</v>
      </c>
      <c r="BX16" s="11" t="n">
        <f aca="false">Units!$E15*(1+Inputs!$B$7)^(BX$2-1)</f>
        <v>1546.29772400506</v>
      </c>
      <c r="BY16" s="11" t="n">
        <f aca="false">Units!$E15*(1+Inputs!$B$7)^(BY$2-1)</f>
        <v>1546.29772400506</v>
      </c>
      <c r="BZ16" s="11" t="n">
        <f aca="false">Units!$E15*(1+Inputs!$B$7)^(BZ$2-1)</f>
        <v>1546.29772400506</v>
      </c>
      <c r="CA16" s="11" t="n">
        <f aca="false">Units!$E15*(1+Inputs!$B$7)^(CA$2-1)</f>
        <v>1546.29772400506</v>
      </c>
      <c r="CB16" s="11" t="n">
        <f aca="false">Units!$E15*(1+Inputs!$B$7)^(CB$2-1)</f>
        <v>1546.29772400506</v>
      </c>
      <c r="CC16" s="11" t="n">
        <f aca="false">Units!$E15*(1+Inputs!$B$7)^(CC$2-1)</f>
        <v>1546.29772400506</v>
      </c>
      <c r="CD16" s="11" t="n">
        <f aca="false">Units!$E15*(1+Inputs!$B$7)^(CD$2-1)</f>
        <v>1546.29772400506</v>
      </c>
      <c r="CE16" s="11" t="n">
        <f aca="false">Units!$E15*(1+Inputs!$B$7)^(CE$2-1)</f>
        <v>1546.29772400506</v>
      </c>
      <c r="CF16" s="11" t="n">
        <f aca="false">Units!$E15*(1+Inputs!$B$7)^(CF$2-1)</f>
        <v>1546.29772400506</v>
      </c>
      <c r="CG16" s="11" t="n">
        <f aca="false">Units!$E15*(1+Inputs!$B$7)^(CG$2-1)</f>
        <v>1546.29772400506</v>
      </c>
      <c r="CH16" s="11" t="n">
        <f aca="false">Units!$E15*(1+Inputs!$B$7)^(CH$2-1)</f>
        <v>1546.29772400506</v>
      </c>
      <c r="CI16" s="11" t="n">
        <f aca="false">Units!$E15*(1+Inputs!$B$7)^(CI$2-1)</f>
        <v>1592.68665572521</v>
      </c>
      <c r="CJ16" s="11" t="n">
        <f aca="false">Units!$E15*(1+Inputs!$B$7)^(CJ$2-1)</f>
        <v>1592.68665572521</v>
      </c>
      <c r="CK16" s="11" t="n">
        <f aca="false">Units!$E15*(1+Inputs!$B$7)^(CK$2-1)</f>
        <v>1592.68665572521</v>
      </c>
      <c r="CL16" s="11" t="n">
        <f aca="false">Units!$E15*(1+Inputs!$B$7)^(CL$2-1)</f>
        <v>1592.68665572521</v>
      </c>
      <c r="CM16" s="11" t="n">
        <f aca="false">Units!$E15*(1+Inputs!$B$7)^(CM$2-1)</f>
        <v>1592.68665572521</v>
      </c>
      <c r="CN16" s="11" t="n">
        <f aca="false">Units!$E15*(1+Inputs!$B$7)^(CN$2-1)</f>
        <v>1592.68665572521</v>
      </c>
      <c r="CO16" s="11" t="n">
        <f aca="false">Units!$E15*(1+Inputs!$B$7)^(CO$2-1)</f>
        <v>1592.68665572521</v>
      </c>
      <c r="CP16" s="11" t="n">
        <f aca="false">Units!$E15*(1+Inputs!$B$7)^(CP$2-1)</f>
        <v>1592.68665572521</v>
      </c>
      <c r="CQ16" s="11" t="n">
        <f aca="false">Units!$E15*(1+Inputs!$B$7)^(CQ$2-1)</f>
        <v>1592.68665572521</v>
      </c>
      <c r="CR16" s="11" t="n">
        <f aca="false">Units!$E15*(1+Inputs!$B$7)^(CR$2-1)</f>
        <v>1592.68665572521</v>
      </c>
      <c r="CS16" s="11" t="n">
        <f aca="false">Units!$E15*(1+Inputs!$B$7)^(CS$2-1)</f>
        <v>1592.68665572521</v>
      </c>
      <c r="CT16" s="11" t="n">
        <f aca="false">Units!$E15*(1+Inputs!$B$7)^(CT$2-1)</f>
        <v>1592.68665572521</v>
      </c>
      <c r="CU16" s="11" t="n">
        <f aca="false">Units!$E15*(1+Inputs!$B$7)^(CU$2-1)</f>
        <v>1640.46725539696</v>
      </c>
      <c r="CV16" s="11" t="n">
        <f aca="false">Units!$E15*(1+Inputs!$B$7)^(CV$2-1)</f>
        <v>1640.46725539696</v>
      </c>
      <c r="CW16" s="11" t="n">
        <f aca="false">Units!$E15*(1+Inputs!$B$7)^(CW$2-1)</f>
        <v>1640.46725539696</v>
      </c>
      <c r="CX16" s="11" t="n">
        <f aca="false">Units!$E15*(1+Inputs!$B$7)^(CX$2-1)</f>
        <v>1640.46725539696</v>
      </c>
      <c r="CY16" s="11" t="n">
        <f aca="false">Units!$E15*(1+Inputs!$B$7)^(CY$2-1)</f>
        <v>1640.46725539696</v>
      </c>
      <c r="CZ16" s="11" t="n">
        <f aca="false">Units!$E15*(1+Inputs!$B$7)^(CZ$2-1)</f>
        <v>1640.46725539696</v>
      </c>
      <c r="DA16" s="11" t="n">
        <f aca="false">Units!$E15*(1+Inputs!$B$7)^(DA$2-1)</f>
        <v>1640.46725539696</v>
      </c>
      <c r="DB16" s="11" t="n">
        <f aca="false">Units!$E15*(1+Inputs!$B$7)^(DB$2-1)</f>
        <v>1640.46725539696</v>
      </c>
      <c r="DC16" s="11" t="n">
        <f aca="false">Units!$E15*(1+Inputs!$B$7)^(DC$2-1)</f>
        <v>1640.46725539696</v>
      </c>
      <c r="DD16" s="11" t="n">
        <f aca="false">Units!$E15*(1+Inputs!$B$7)^(DD$2-1)</f>
        <v>1640.46725539696</v>
      </c>
      <c r="DE16" s="11" t="n">
        <f aca="false">Units!$E15*(1+Inputs!$B$7)^(DE$2-1)</f>
        <v>1640.46725539696</v>
      </c>
      <c r="DF16" s="11" t="n">
        <f aca="false">Units!$E15*(1+Inputs!$B$7)^(DF$2-1)</f>
        <v>1640.46725539696</v>
      </c>
      <c r="DG16" s="11" t="n">
        <f aca="false">Units!$E15*(1+Inputs!$B$7)^(DG$2-1)</f>
        <v>1689.68127305887</v>
      </c>
      <c r="DH16" s="11" t="n">
        <f aca="false">Units!$E15*(1+Inputs!$B$7)^(DH$2-1)</f>
        <v>1689.68127305887</v>
      </c>
      <c r="DI16" s="11" t="n">
        <f aca="false">Units!$E15*(1+Inputs!$B$7)^(DI$2-1)</f>
        <v>1689.68127305887</v>
      </c>
      <c r="DJ16" s="11" t="n">
        <f aca="false">Units!$E15*(1+Inputs!$B$7)^(DJ$2-1)</f>
        <v>1689.68127305887</v>
      </c>
      <c r="DK16" s="11" t="n">
        <f aca="false">Units!$E15*(1+Inputs!$B$7)^(DK$2-1)</f>
        <v>1689.68127305887</v>
      </c>
      <c r="DL16" s="11" t="n">
        <f aca="false">Units!$E15*(1+Inputs!$B$7)^(DL$2-1)</f>
        <v>1689.68127305887</v>
      </c>
      <c r="DM16" s="11" t="n">
        <f aca="false">Units!$E15*(1+Inputs!$B$7)^(DM$2-1)</f>
        <v>1689.68127305887</v>
      </c>
      <c r="DN16" s="11" t="n">
        <f aca="false">Units!$E15*(1+Inputs!$B$7)^(DN$2-1)</f>
        <v>1689.68127305887</v>
      </c>
      <c r="DO16" s="11" t="n">
        <f aca="false">Units!$E15*(1+Inputs!$B$7)^(DO$2-1)</f>
        <v>1689.68127305887</v>
      </c>
      <c r="DP16" s="11" t="n">
        <f aca="false">Units!$E15*(1+Inputs!$B$7)^(DP$2-1)</f>
        <v>1689.68127305887</v>
      </c>
      <c r="DQ16" s="11" t="n">
        <f aca="false">Units!$E15*(1+Inputs!$B$7)^(DQ$2-1)</f>
        <v>1689.68127305887</v>
      </c>
      <c r="DR16" s="11" t="n">
        <f aca="false">Units!$E15*(1+Inputs!$B$7)^(DR$2-1)</f>
        <v>1689.68127305887</v>
      </c>
      <c r="DS16" s="11" t="n">
        <f aca="false">Units!$E15*(1+Inputs!$B$7)^(DS$2-1)</f>
        <v>1740.37171125064</v>
      </c>
      <c r="DT16" s="11" t="n">
        <f aca="false">Units!$E15*(1+Inputs!$B$7)^(DT$2-1)</f>
        <v>1740.37171125064</v>
      </c>
      <c r="DU16" s="11" t="n">
        <f aca="false">Units!$E15*(1+Inputs!$B$7)^(DU$2-1)</f>
        <v>1740.37171125064</v>
      </c>
      <c r="DV16" s="11" t="n">
        <f aca="false">Units!$E15*(1+Inputs!$B$7)^(DV$2-1)</f>
        <v>1740.37171125064</v>
      </c>
      <c r="DW16" s="11" t="n">
        <f aca="false">Units!$E15*(1+Inputs!$B$7)^(DW$2-1)</f>
        <v>1740.37171125064</v>
      </c>
      <c r="DX16" s="11" t="n">
        <f aca="false">Units!$E15*(1+Inputs!$B$7)^(DX$2-1)</f>
        <v>1740.37171125064</v>
      </c>
      <c r="DY16" s="11" t="n">
        <f aca="false">Units!$E15*(1+Inputs!$B$7)^(DY$2-1)</f>
        <v>1740.37171125064</v>
      </c>
      <c r="DZ16" s="11" t="n">
        <f aca="false">Units!$E15*(1+Inputs!$B$7)^(DZ$2-1)</f>
        <v>1740.37171125064</v>
      </c>
      <c r="EA16" s="11" t="n">
        <f aca="false">Units!$E15*(1+Inputs!$B$7)^(EA$2-1)</f>
        <v>1740.37171125064</v>
      </c>
      <c r="EB16" s="11" t="n">
        <f aca="false">Units!$E15*(1+Inputs!$B$7)^(EB$2-1)</f>
        <v>1740.37171125064</v>
      </c>
      <c r="EC16" s="11" t="n">
        <f aca="false">Units!$E15*(1+Inputs!$B$7)^(EC$2-1)</f>
        <v>1740.37171125064</v>
      </c>
      <c r="ED16" s="11" t="n">
        <f aca="false">Units!$E15*(1+Inputs!$B$7)^(ED$2-1)</f>
        <v>1740.37171125064</v>
      </c>
    </row>
    <row r="17" customFormat="false" ht="15" hidden="false" customHeight="false" outlineLevel="0" collapsed="false">
      <c r="A17" s="22" t="n">
        <f aca="false">Units!A16</f>
        <v>115</v>
      </c>
      <c r="B17" s="23"/>
      <c r="C17" s="11" t="n">
        <f aca="false">Units!$E16*(1+Inputs!$B$7)^(C$2-1)</f>
        <v>1295</v>
      </c>
      <c r="D17" s="11" t="n">
        <f aca="false">Units!$E16*(1+Inputs!$B$7)^(D$2-1)</f>
        <v>1295</v>
      </c>
      <c r="E17" s="11" t="n">
        <f aca="false">Units!$E16*(1+Inputs!$B$7)^(E$2-1)</f>
        <v>1295</v>
      </c>
      <c r="F17" s="11" t="n">
        <f aca="false">Units!$E16*(1+Inputs!$B$7)^(F$2-1)</f>
        <v>1295</v>
      </c>
      <c r="G17" s="11" t="n">
        <f aca="false">Units!$E16*(1+Inputs!$B$7)^(G$2-1)</f>
        <v>1295</v>
      </c>
      <c r="H17" s="11" t="n">
        <f aca="false">Units!$E16*(1+Inputs!$B$7)^(H$2-1)</f>
        <v>1295</v>
      </c>
      <c r="I17" s="11" t="n">
        <f aca="false">Units!$E16*(1+Inputs!$B$7)^(I$2-1)</f>
        <v>1295</v>
      </c>
      <c r="J17" s="11" t="n">
        <f aca="false">Units!$E16*(1+Inputs!$B$7)^(J$2-1)</f>
        <v>1295</v>
      </c>
      <c r="K17" s="11" t="n">
        <f aca="false">Units!$E16*(1+Inputs!$B$7)^(K$2-1)</f>
        <v>1295</v>
      </c>
      <c r="L17" s="11" t="n">
        <f aca="false">Units!$E16*(1+Inputs!$B$7)^(L$2-1)</f>
        <v>1295</v>
      </c>
      <c r="M17" s="11" t="n">
        <f aca="false">Units!$E16*(1+Inputs!$B$7)^(M$2-1)</f>
        <v>1295</v>
      </c>
      <c r="N17" s="11" t="n">
        <f aca="false">Units!$E16*(1+Inputs!$B$7)^(N$2-1)</f>
        <v>1295</v>
      </c>
      <c r="O17" s="11" t="n">
        <f aca="false">Units!$E16*(1+Inputs!$B$7)^(O$2-1)</f>
        <v>1333.85</v>
      </c>
      <c r="P17" s="11" t="n">
        <f aca="false">Units!$E16*(1+Inputs!$B$7)^(P$2-1)</f>
        <v>1333.85</v>
      </c>
      <c r="Q17" s="11" t="n">
        <f aca="false">Units!$E16*(1+Inputs!$B$7)^(Q$2-1)</f>
        <v>1333.85</v>
      </c>
      <c r="R17" s="11" t="n">
        <f aca="false">Units!$E16*(1+Inputs!$B$7)^(R$2-1)</f>
        <v>1333.85</v>
      </c>
      <c r="S17" s="11" t="n">
        <f aca="false">Units!$E16*(1+Inputs!$B$7)^(S$2-1)</f>
        <v>1333.85</v>
      </c>
      <c r="T17" s="11" t="n">
        <f aca="false">Units!$E16*(1+Inputs!$B$7)^(T$2-1)</f>
        <v>1333.85</v>
      </c>
      <c r="U17" s="11" t="n">
        <f aca="false">Units!$E16*(1+Inputs!$B$7)^(U$2-1)</f>
        <v>1333.85</v>
      </c>
      <c r="V17" s="11" t="n">
        <f aca="false">Units!$E16*(1+Inputs!$B$7)^(V$2-1)</f>
        <v>1333.85</v>
      </c>
      <c r="W17" s="11" t="n">
        <f aca="false">Units!$E16*(1+Inputs!$B$7)^(W$2-1)</f>
        <v>1333.85</v>
      </c>
      <c r="X17" s="11" t="n">
        <f aca="false">Units!$E16*(1+Inputs!$B$7)^(X$2-1)</f>
        <v>1333.85</v>
      </c>
      <c r="Y17" s="11" t="n">
        <f aca="false">Units!$E16*(1+Inputs!$B$7)^(Y$2-1)</f>
        <v>1333.85</v>
      </c>
      <c r="Z17" s="11" t="n">
        <f aca="false">Units!$E16*(1+Inputs!$B$7)^(Z$2-1)</f>
        <v>1333.85</v>
      </c>
      <c r="AA17" s="11" t="n">
        <f aca="false">Units!$E16*(1+Inputs!$B$7)^(AA$2-1)</f>
        <v>1373.8655</v>
      </c>
      <c r="AB17" s="11" t="n">
        <f aca="false">Units!$E16*(1+Inputs!$B$7)^(AB$2-1)</f>
        <v>1373.8655</v>
      </c>
      <c r="AC17" s="11" t="n">
        <f aca="false">Units!$E16*(1+Inputs!$B$7)^(AC$2-1)</f>
        <v>1373.8655</v>
      </c>
      <c r="AD17" s="11" t="n">
        <f aca="false">Units!$E16*(1+Inputs!$B$7)^(AD$2-1)</f>
        <v>1373.8655</v>
      </c>
      <c r="AE17" s="11" t="n">
        <f aca="false">Units!$E16*(1+Inputs!$B$7)^(AE$2-1)</f>
        <v>1373.8655</v>
      </c>
      <c r="AF17" s="11" t="n">
        <f aca="false">Units!$E16*(1+Inputs!$B$7)^(AF$2-1)</f>
        <v>1373.8655</v>
      </c>
      <c r="AG17" s="11" t="n">
        <f aca="false">Units!$E16*(1+Inputs!$B$7)^(AG$2-1)</f>
        <v>1373.8655</v>
      </c>
      <c r="AH17" s="11" t="n">
        <f aca="false">Units!$E16*(1+Inputs!$B$7)^(AH$2-1)</f>
        <v>1373.8655</v>
      </c>
      <c r="AI17" s="11" t="n">
        <f aca="false">Units!$E16*(1+Inputs!$B$7)^(AI$2-1)</f>
        <v>1373.8655</v>
      </c>
      <c r="AJ17" s="11" t="n">
        <f aca="false">Units!$E16*(1+Inputs!$B$7)^(AJ$2-1)</f>
        <v>1373.8655</v>
      </c>
      <c r="AK17" s="11" t="n">
        <f aca="false">Units!$E16*(1+Inputs!$B$7)^(AK$2-1)</f>
        <v>1373.8655</v>
      </c>
      <c r="AL17" s="11" t="n">
        <f aca="false">Units!$E16*(1+Inputs!$B$7)^(AL$2-1)</f>
        <v>1373.8655</v>
      </c>
      <c r="AM17" s="11" t="n">
        <f aca="false">Units!$E16*(1+Inputs!$B$7)^(AM$2-1)</f>
        <v>1415.081465</v>
      </c>
      <c r="AN17" s="11" t="n">
        <f aca="false">Units!$E16*(1+Inputs!$B$7)^(AN$2-1)</f>
        <v>1415.081465</v>
      </c>
      <c r="AO17" s="11" t="n">
        <f aca="false">Units!$E16*(1+Inputs!$B$7)^(AO$2-1)</f>
        <v>1415.081465</v>
      </c>
      <c r="AP17" s="11" t="n">
        <f aca="false">Units!$E16*(1+Inputs!$B$7)^(AP$2-1)</f>
        <v>1415.081465</v>
      </c>
      <c r="AQ17" s="11" t="n">
        <f aca="false">Units!$E16*(1+Inputs!$B$7)^(AQ$2-1)</f>
        <v>1415.081465</v>
      </c>
      <c r="AR17" s="11" t="n">
        <f aca="false">Units!$E16*(1+Inputs!$B$7)^(AR$2-1)</f>
        <v>1415.081465</v>
      </c>
      <c r="AS17" s="11" t="n">
        <f aca="false">Units!$E16*(1+Inputs!$B$7)^(AS$2-1)</f>
        <v>1415.081465</v>
      </c>
      <c r="AT17" s="11" t="n">
        <f aca="false">Units!$E16*(1+Inputs!$B$7)^(AT$2-1)</f>
        <v>1415.081465</v>
      </c>
      <c r="AU17" s="11" t="n">
        <f aca="false">Units!$E16*(1+Inputs!$B$7)^(AU$2-1)</f>
        <v>1415.081465</v>
      </c>
      <c r="AV17" s="11" t="n">
        <f aca="false">Units!$E16*(1+Inputs!$B$7)^(AV$2-1)</f>
        <v>1415.081465</v>
      </c>
      <c r="AW17" s="11" t="n">
        <f aca="false">Units!$E16*(1+Inputs!$B$7)^(AW$2-1)</f>
        <v>1415.081465</v>
      </c>
      <c r="AX17" s="11" t="n">
        <f aca="false">Units!$E16*(1+Inputs!$B$7)^(AX$2-1)</f>
        <v>1415.081465</v>
      </c>
      <c r="AY17" s="11" t="n">
        <f aca="false">Units!$E16*(1+Inputs!$B$7)^(AY$2-1)</f>
        <v>1457.53390895</v>
      </c>
      <c r="AZ17" s="11" t="n">
        <f aca="false">Units!$E16*(1+Inputs!$B$7)^(AZ$2-1)</f>
        <v>1457.53390895</v>
      </c>
      <c r="BA17" s="11" t="n">
        <f aca="false">Units!$E16*(1+Inputs!$B$7)^(BA$2-1)</f>
        <v>1457.53390895</v>
      </c>
      <c r="BB17" s="11" t="n">
        <f aca="false">Units!$E16*(1+Inputs!$B$7)^(BB$2-1)</f>
        <v>1457.53390895</v>
      </c>
      <c r="BC17" s="11" t="n">
        <f aca="false">Units!$E16*(1+Inputs!$B$7)^(BC$2-1)</f>
        <v>1457.53390895</v>
      </c>
      <c r="BD17" s="11" t="n">
        <f aca="false">Units!$E16*(1+Inputs!$B$7)^(BD$2-1)</f>
        <v>1457.53390895</v>
      </c>
      <c r="BE17" s="11" t="n">
        <f aca="false">Units!$E16*(1+Inputs!$B$7)^(BE$2-1)</f>
        <v>1457.53390895</v>
      </c>
      <c r="BF17" s="11" t="n">
        <f aca="false">Units!$E16*(1+Inputs!$B$7)^(BF$2-1)</f>
        <v>1457.53390895</v>
      </c>
      <c r="BG17" s="11" t="n">
        <f aca="false">Units!$E16*(1+Inputs!$B$7)^(BG$2-1)</f>
        <v>1457.53390895</v>
      </c>
      <c r="BH17" s="11" t="n">
        <f aca="false">Units!$E16*(1+Inputs!$B$7)^(BH$2-1)</f>
        <v>1457.53390895</v>
      </c>
      <c r="BI17" s="11" t="n">
        <f aca="false">Units!$E16*(1+Inputs!$B$7)^(BI$2-1)</f>
        <v>1457.53390895</v>
      </c>
      <c r="BJ17" s="11" t="n">
        <f aca="false">Units!$E16*(1+Inputs!$B$7)^(BJ$2-1)</f>
        <v>1457.53390895</v>
      </c>
      <c r="BK17" s="11" t="n">
        <f aca="false">Units!$E16*(1+Inputs!$B$7)^(BK$2-1)</f>
        <v>1501.2599262185</v>
      </c>
      <c r="BL17" s="11" t="n">
        <f aca="false">Units!$E16*(1+Inputs!$B$7)^(BL$2-1)</f>
        <v>1501.2599262185</v>
      </c>
      <c r="BM17" s="11" t="n">
        <f aca="false">Units!$E16*(1+Inputs!$B$7)^(BM$2-1)</f>
        <v>1501.2599262185</v>
      </c>
      <c r="BN17" s="11" t="n">
        <f aca="false">Units!$E16*(1+Inputs!$B$7)^(BN$2-1)</f>
        <v>1501.2599262185</v>
      </c>
      <c r="BO17" s="11" t="n">
        <f aca="false">Units!$E16*(1+Inputs!$B$7)^(BO$2-1)</f>
        <v>1501.2599262185</v>
      </c>
      <c r="BP17" s="11" t="n">
        <f aca="false">Units!$E16*(1+Inputs!$B$7)^(BP$2-1)</f>
        <v>1501.2599262185</v>
      </c>
      <c r="BQ17" s="11" t="n">
        <f aca="false">Units!$E16*(1+Inputs!$B$7)^(BQ$2-1)</f>
        <v>1501.2599262185</v>
      </c>
      <c r="BR17" s="11" t="n">
        <f aca="false">Units!$E16*(1+Inputs!$B$7)^(BR$2-1)</f>
        <v>1501.2599262185</v>
      </c>
      <c r="BS17" s="11" t="n">
        <f aca="false">Units!$E16*(1+Inputs!$B$7)^(BS$2-1)</f>
        <v>1501.2599262185</v>
      </c>
      <c r="BT17" s="11" t="n">
        <f aca="false">Units!$E16*(1+Inputs!$B$7)^(BT$2-1)</f>
        <v>1501.2599262185</v>
      </c>
      <c r="BU17" s="11" t="n">
        <f aca="false">Units!$E16*(1+Inputs!$B$7)^(BU$2-1)</f>
        <v>1501.2599262185</v>
      </c>
      <c r="BV17" s="11" t="n">
        <f aca="false">Units!$E16*(1+Inputs!$B$7)^(BV$2-1)</f>
        <v>1501.2599262185</v>
      </c>
      <c r="BW17" s="11" t="n">
        <f aca="false">Units!$E16*(1+Inputs!$B$7)^(BW$2-1)</f>
        <v>1546.29772400506</v>
      </c>
      <c r="BX17" s="11" t="n">
        <f aca="false">Units!$E16*(1+Inputs!$B$7)^(BX$2-1)</f>
        <v>1546.29772400506</v>
      </c>
      <c r="BY17" s="11" t="n">
        <f aca="false">Units!$E16*(1+Inputs!$B$7)^(BY$2-1)</f>
        <v>1546.29772400506</v>
      </c>
      <c r="BZ17" s="11" t="n">
        <f aca="false">Units!$E16*(1+Inputs!$B$7)^(BZ$2-1)</f>
        <v>1546.29772400506</v>
      </c>
      <c r="CA17" s="11" t="n">
        <f aca="false">Units!$E16*(1+Inputs!$B$7)^(CA$2-1)</f>
        <v>1546.29772400506</v>
      </c>
      <c r="CB17" s="11" t="n">
        <f aca="false">Units!$E16*(1+Inputs!$B$7)^(CB$2-1)</f>
        <v>1546.29772400506</v>
      </c>
      <c r="CC17" s="11" t="n">
        <f aca="false">Units!$E16*(1+Inputs!$B$7)^(CC$2-1)</f>
        <v>1546.29772400506</v>
      </c>
      <c r="CD17" s="11" t="n">
        <f aca="false">Units!$E16*(1+Inputs!$B$7)^(CD$2-1)</f>
        <v>1546.29772400506</v>
      </c>
      <c r="CE17" s="11" t="n">
        <f aca="false">Units!$E16*(1+Inputs!$B$7)^(CE$2-1)</f>
        <v>1546.29772400506</v>
      </c>
      <c r="CF17" s="11" t="n">
        <f aca="false">Units!$E16*(1+Inputs!$B$7)^(CF$2-1)</f>
        <v>1546.29772400506</v>
      </c>
      <c r="CG17" s="11" t="n">
        <f aca="false">Units!$E16*(1+Inputs!$B$7)^(CG$2-1)</f>
        <v>1546.29772400506</v>
      </c>
      <c r="CH17" s="11" t="n">
        <f aca="false">Units!$E16*(1+Inputs!$B$7)^(CH$2-1)</f>
        <v>1546.29772400506</v>
      </c>
      <c r="CI17" s="11" t="n">
        <f aca="false">Units!$E16*(1+Inputs!$B$7)^(CI$2-1)</f>
        <v>1592.68665572521</v>
      </c>
      <c r="CJ17" s="11" t="n">
        <f aca="false">Units!$E16*(1+Inputs!$B$7)^(CJ$2-1)</f>
        <v>1592.68665572521</v>
      </c>
      <c r="CK17" s="11" t="n">
        <f aca="false">Units!$E16*(1+Inputs!$B$7)^(CK$2-1)</f>
        <v>1592.68665572521</v>
      </c>
      <c r="CL17" s="11" t="n">
        <f aca="false">Units!$E16*(1+Inputs!$B$7)^(CL$2-1)</f>
        <v>1592.68665572521</v>
      </c>
      <c r="CM17" s="11" t="n">
        <f aca="false">Units!$E16*(1+Inputs!$B$7)^(CM$2-1)</f>
        <v>1592.68665572521</v>
      </c>
      <c r="CN17" s="11" t="n">
        <f aca="false">Units!$E16*(1+Inputs!$B$7)^(CN$2-1)</f>
        <v>1592.68665572521</v>
      </c>
      <c r="CO17" s="11" t="n">
        <f aca="false">Units!$E16*(1+Inputs!$B$7)^(CO$2-1)</f>
        <v>1592.68665572521</v>
      </c>
      <c r="CP17" s="11" t="n">
        <f aca="false">Units!$E16*(1+Inputs!$B$7)^(CP$2-1)</f>
        <v>1592.68665572521</v>
      </c>
      <c r="CQ17" s="11" t="n">
        <f aca="false">Units!$E16*(1+Inputs!$B$7)^(CQ$2-1)</f>
        <v>1592.68665572521</v>
      </c>
      <c r="CR17" s="11" t="n">
        <f aca="false">Units!$E16*(1+Inputs!$B$7)^(CR$2-1)</f>
        <v>1592.68665572521</v>
      </c>
      <c r="CS17" s="11" t="n">
        <f aca="false">Units!$E16*(1+Inputs!$B$7)^(CS$2-1)</f>
        <v>1592.68665572521</v>
      </c>
      <c r="CT17" s="11" t="n">
        <f aca="false">Units!$E16*(1+Inputs!$B$7)^(CT$2-1)</f>
        <v>1592.68665572521</v>
      </c>
      <c r="CU17" s="11" t="n">
        <f aca="false">Units!$E16*(1+Inputs!$B$7)^(CU$2-1)</f>
        <v>1640.46725539696</v>
      </c>
      <c r="CV17" s="11" t="n">
        <f aca="false">Units!$E16*(1+Inputs!$B$7)^(CV$2-1)</f>
        <v>1640.46725539696</v>
      </c>
      <c r="CW17" s="11" t="n">
        <f aca="false">Units!$E16*(1+Inputs!$B$7)^(CW$2-1)</f>
        <v>1640.46725539696</v>
      </c>
      <c r="CX17" s="11" t="n">
        <f aca="false">Units!$E16*(1+Inputs!$B$7)^(CX$2-1)</f>
        <v>1640.46725539696</v>
      </c>
      <c r="CY17" s="11" t="n">
        <f aca="false">Units!$E16*(1+Inputs!$B$7)^(CY$2-1)</f>
        <v>1640.46725539696</v>
      </c>
      <c r="CZ17" s="11" t="n">
        <f aca="false">Units!$E16*(1+Inputs!$B$7)^(CZ$2-1)</f>
        <v>1640.46725539696</v>
      </c>
      <c r="DA17" s="11" t="n">
        <f aca="false">Units!$E16*(1+Inputs!$B$7)^(DA$2-1)</f>
        <v>1640.46725539696</v>
      </c>
      <c r="DB17" s="11" t="n">
        <f aca="false">Units!$E16*(1+Inputs!$B$7)^(DB$2-1)</f>
        <v>1640.46725539696</v>
      </c>
      <c r="DC17" s="11" t="n">
        <f aca="false">Units!$E16*(1+Inputs!$B$7)^(DC$2-1)</f>
        <v>1640.46725539696</v>
      </c>
      <c r="DD17" s="11" t="n">
        <f aca="false">Units!$E16*(1+Inputs!$B$7)^(DD$2-1)</f>
        <v>1640.46725539696</v>
      </c>
      <c r="DE17" s="11" t="n">
        <f aca="false">Units!$E16*(1+Inputs!$B$7)^(DE$2-1)</f>
        <v>1640.46725539696</v>
      </c>
      <c r="DF17" s="11" t="n">
        <f aca="false">Units!$E16*(1+Inputs!$B$7)^(DF$2-1)</f>
        <v>1640.46725539696</v>
      </c>
      <c r="DG17" s="11" t="n">
        <f aca="false">Units!$E16*(1+Inputs!$B$7)^(DG$2-1)</f>
        <v>1689.68127305887</v>
      </c>
      <c r="DH17" s="11" t="n">
        <f aca="false">Units!$E16*(1+Inputs!$B$7)^(DH$2-1)</f>
        <v>1689.68127305887</v>
      </c>
      <c r="DI17" s="11" t="n">
        <f aca="false">Units!$E16*(1+Inputs!$B$7)^(DI$2-1)</f>
        <v>1689.68127305887</v>
      </c>
      <c r="DJ17" s="11" t="n">
        <f aca="false">Units!$E16*(1+Inputs!$B$7)^(DJ$2-1)</f>
        <v>1689.68127305887</v>
      </c>
      <c r="DK17" s="11" t="n">
        <f aca="false">Units!$E16*(1+Inputs!$B$7)^(DK$2-1)</f>
        <v>1689.68127305887</v>
      </c>
      <c r="DL17" s="11" t="n">
        <f aca="false">Units!$E16*(1+Inputs!$B$7)^(DL$2-1)</f>
        <v>1689.68127305887</v>
      </c>
      <c r="DM17" s="11" t="n">
        <f aca="false">Units!$E16*(1+Inputs!$B$7)^(DM$2-1)</f>
        <v>1689.68127305887</v>
      </c>
      <c r="DN17" s="11" t="n">
        <f aca="false">Units!$E16*(1+Inputs!$B$7)^(DN$2-1)</f>
        <v>1689.68127305887</v>
      </c>
      <c r="DO17" s="11" t="n">
        <f aca="false">Units!$E16*(1+Inputs!$B$7)^(DO$2-1)</f>
        <v>1689.68127305887</v>
      </c>
      <c r="DP17" s="11" t="n">
        <f aca="false">Units!$E16*(1+Inputs!$B$7)^(DP$2-1)</f>
        <v>1689.68127305887</v>
      </c>
      <c r="DQ17" s="11" t="n">
        <f aca="false">Units!$E16*(1+Inputs!$B$7)^(DQ$2-1)</f>
        <v>1689.68127305887</v>
      </c>
      <c r="DR17" s="11" t="n">
        <f aca="false">Units!$E16*(1+Inputs!$B$7)^(DR$2-1)</f>
        <v>1689.68127305887</v>
      </c>
      <c r="DS17" s="11" t="n">
        <f aca="false">Units!$E16*(1+Inputs!$B$7)^(DS$2-1)</f>
        <v>1740.37171125064</v>
      </c>
      <c r="DT17" s="11" t="n">
        <f aca="false">Units!$E16*(1+Inputs!$B$7)^(DT$2-1)</f>
        <v>1740.37171125064</v>
      </c>
      <c r="DU17" s="11" t="n">
        <f aca="false">Units!$E16*(1+Inputs!$B$7)^(DU$2-1)</f>
        <v>1740.37171125064</v>
      </c>
      <c r="DV17" s="11" t="n">
        <f aca="false">Units!$E16*(1+Inputs!$B$7)^(DV$2-1)</f>
        <v>1740.37171125064</v>
      </c>
      <c r="DW17" s="11" t="n">
        <f aca="false">Units!$E16*(1+Inputs!$B$7)^(DW$2-1)</f>
        <v>1740.37171125064</v>
      </c>
      <c r="DX17" s="11" t="n">
        <f aca="false">Units!$E16*(1+Inputs!$B$7)^(DX$2-1)</f>
        <v>1740.37171125064</v>
      </c>
      <c r="DY17" s="11" t="n">
        <f aca="false">Units!$E16*(1+Inputs!$B$7)^(DY$2-1)</f>
        <v>1740.37171125064</v>
      </c>
      <c r="DZ17" s="11" t="n">
        <f aca="false">Units!$E16*(1+Inputs!$B$7)^(DZ$2-1)</f>
        <v>1740.37171125064</v>
      </c>
      <c r="EA17" s="11" t="n">
        <f aca="false">Units!$E16*(1+Inputs!$B$7)^(EA$2-1)</f>
        <v>1740.37171125064</v>
      </c>
      <c r="EB17" s="11" t="n">
        <f aca="false">Units!$E16*(1+Inputs!$B$7)^(EB$2-1)</f>
        <v>1740.37171125064</v>
      </c>
      <c r="EC17" s="11" t="n">
        <f aca="false">Units!$E16*(1+Inputs!$B$7)^(EC$2-1)</f>
        <v>1740.37171125064</v>
      </c>
      <c r="ED17" s="11" t="n">
        <f aca="false">Units!$E16*(1+Inputs!$B$7)^(ED$2-1)</f>
        <v>1740.37171125064</v>
      </c>
    </row>
    <row r="18" customFormat="false" ht="15" hidden="false" customHeight="false" outlineLevel="0" collapsed="false">
      <c r="A18" s="22" t="n">
        <f aca="false">Units!A17</f>
        <v>116</v>
      </c>
      <c r="B18" s="23"/>
      <c r="C18" s="11" t="n">
        <f aca="false">Units!$E17*(1+Inputs!$B$7)^(C$2-1)</f>
        <v>1295</v>
      </c>
      <c r="D18" s="11" t="n">
        <f aca="false">Units!$E17*(1+Inputs!$B$7)^(D$2-1)</f>
        <v>1295</v>
      </c>
      <c r="E18" s="11" t="n">
        <f aca="false">Units!$E17*(1+Inputs!$B$7)^(E$2-1)</f>
        <v>1295</v>
      </c>
      <c r="F18" s="11" t="n">
        <f aca="false">Units!$E17*(1+Inputs!$B$7)^(F$2-1)</f>
        <v>1295</v>
      </c>
      <c r="G18" s="11" t="n">
        <f aca="false">Units!$E17*(1+Inputs!$B$7)^(G$2-1)</f>
        <v>1295</v>
      </c>
      <c r="H18" s="11" t="n">
        <f aca="false">Units!$E17*(1+Inputs!$B$7)^(H$2-1)</f>
        <v>1295</v>
      </c>
      <c r="I18" s="11" t="n">
        <f aca="false">Units!$E17*(1+Inputs!$B$7)^(I$2-1)</f>
        <v>1295</v>
      </c>
      <c r="J18" s="11" t="n">
        <f aca="false">Units!$E17*(1+Inputs!$B$7)^(J$2-1)</f>
        <v>1295</v>
      </c>
      <c r="K18" s="11" t="n">
        <f aca="false">Units!$E17*(1+Inputs!$B$7)^(K$2-1)</f>
        <v>1295</v>
      </c>
      <c r="L18" s="11" t="n">
        <f aca="false">Units!$E17*(1+Inputs!$B$7)^(L$2-1)</f>
        <v>1295</v>
      </c>
      <c r="M18" s="11" t="n">
        <f aca="false">Units!$E17*(1+Inputs!$B$7)^(M$2-1)</f>
        <v>1295</v>
      </c>
      <c r="N18" s="11" t="n">
        <f aca="false">Units!$E17*(1+Inputs!$B$7)^(N$2-1)</f>
        <v>1295</v>
      </c>
      <c r="O18" s="11" t="n">
        <f aca="false">Units!$E17*(1+Inputs!$B$7)^(O$2-1)</f>
        <v>1333.85</v>
      </c>
      <c r="P18" s="11" t="n">
        <f aca="false">Units!$E17*(1+Inputs!$B$7)^(P$2-1)</f>
        <v>1333.85</v>
      </c>
      <c r="Q18" s="11" t="n">
        <f aca="false">Units!$E17*(1+Inputs!$B$7)^(Q$2-1)</f>
        <v>1333.85</v>
      </c>
      <c r="R18" s="11" t="n">
        <f aca="false">Units!$E17*(1+Inputs!$B$7)^(R$2-1)</f>
        <v>1333.85</v>
      </c>
      <c r="S18" s="11" t="n">
        <f aca="false">Units!$E17*(1+Inputs!$B$7)^(S$2-1)</f>
        <v>1333.85</v>
      </c>
      <c r="T18" s="11" t="n">
        <f aca="false">Units!$E17*(1+Inputs!$B$7)^(T$2-1)</f>
        <v>1333.85</v>
      </c>
      <c r="U18" s="11" t="n">
        <f aca="false">Units!$E17*(1+Inputs!$B$7)^(U$2-1)</f>
        <v>1333.85</v>
      </c>
      <c r="V18" s="11" t="n">
        <f aca="false">Units!$E17*(1+Inputs!$B$7)^(V$2-1)</f>
        <v>1333.85</v>
      </c>
      <c r="W18" s="11" t="n">
        <f aca="false">Units!$E17*(1+Inputs!$B$7)^(W$2-1)</f>
        <v>1333.85</v>
      </c>
      <c r="X18" s="11" t="n">
        <f aca="false">Units!$E17*(1+Inputs!$B$7)^(X$2-1)</f>
        <v>1333.85</v>
      </c>
      <c r="Y18" s="11" t="n">
        <f aca="false">Units!$E17*(1+Inputs!$B$7)^(Y$2-1)</f>
        <v>1333.85</v>
      </c>
      <c r="Z18" s="11" t="n">
        <f aca="false">Units!$E17*(1+Inputs!$B$7)^(Z$2-1)</f>
        <v>1333.85</v>
      </c>
      <c r="AA18" s="11" t="n">
        <f aca="false">Units!$E17*(1+Inputs!$B$7)^(AA$2-1)</f>
        <v>1373.8655</v>
      </c>
      <c r="AB18" s="11" t="n">
        <f aca="false">Units!$E17*(1+Inputs!$B$7)^(AB$2-1)</f>
        <v>1373.8655</v>
      </c>
      <c r="AC18" s="11" t="n">
        <f aca="false">Units!$E17*(1+Inputs!$B$7)^(AC$2-1)</f>
        <v>1373.8655</v>
      </c>
      <c r="AD18" s="11" t="n">
        <f aca="false">Units!$E17*(1+Inputs!$B$7)^(AD$2-1)</f>
        <v>1373.8655</v>
      </c>
      <c r="AE18" s="11" t="n">
        <f aca="false">Units!$E17*(1+Inputs!$B$7)^(AE$2-1)</f>
        <v>1373.8655</v>
      </c>
      <c r="AF18" s="11" t="n">
        <f aca="false">Units!$E17*(1+Inputs!$B$7)^(AF$2-1)</f>
        <v>1373.8655</v>
      </c>
      <c r="AG18" s="11" t="n">
        <f aca="false">Units!$E17*(1+Inputs!$B$7)^(AG$2-1)</f>
        <v>1373.8655</v>
      </c>
      <c r="AH18" s="11" t="n">
        <f aca="false">Units!$E17*(1+Inputs!$B$7)^(AH$2-1)</f>
        <v>1373.8655</v>
      </c>
      <c r="AI18" s="11" t="n">
        <f aca="false">Units!$E17*(1+Inputs!$B$7)^(AI$2-1)</f>
        <v>1373.8655</v>
      </c>
      <c r="AJ18" s="11" t="n">
        <f aca="false">Units!$E17*(1+Inputs!$B$7)^(AJ$2-1)</f>
        <v>1373.8655</v>
      </c>
      <c r="AK18" s="11" t="n">
        <f aca="false">Units!$E17*(1+Inputs!$B$7)^(AK$2-1)</f>
        <v>1373.8655</v>
      </c>
      <c r="AL18" s="11" t="n">
        <f aca="false">Units!$E17*(1+Inputs!$B$7)^(AL$2-1)</f>
        <v>1373.8655</v>
      </c>
      <c r="AM18" s="11" t="n">
        <f aca="false">Units!$E17*(1+Inputs!$B$7)^(AM$2-1)</f>
        <v>1415.081465</v>
      </c>
      <c r="AN18" s="11" t="n">
        <f aca="false">Units!$E17*(1+Inputs!$B$7)^(AN$2-1)</f>
        <v>1415.081465</v>
      </c>
      <c r="AO18" s="11" t="n">
        <f aca="false">Units!$E17*(1+Inputs!$B$7)^(AO$2-1)</f>
        <v>1415.081465</v>
      </c>
      <c r="AP18" s="11" t="n">
        <f aca="false">Units!$E17*(1+Inputs!$B$7)^(AP$2-1)</f>
        <v>1415.081465</v>
      </c>
      <c r="AQ18" s="11" t="n">
        <f aca="false">Units!$E17*(1+Inputs!$B$7)^(AQ$2-1)</f>
        <v>1415.081465</v>
      </c>
      <c r="AR18" s="11" t="n">
        <f aca="false">Units!$E17*(1+Inputs!$B$7)^(AR$2-1)</f>
        <v>1415.081465</v>
      </c>
      <c r="AS18" s="11" t="n">
        <f aca="false">Units!$E17*(1+Inputs!$B$7)^(AS$2-1)</f>
        <v>1415.081465</v>
      </c>
      <c r="AT18" s="11" t="n">
        <f aca="false">Units!$E17*(1+Inputs!$B$7)^(AT$2-1)</f>
        <v>1415.081465</v>
      </c>
      <c r="AU18" s="11" t="n">
        <f aca="false">Units!$E17*(1+Inputs!$B$7)^(AU$2-1)</f>
        <v>1415.081465</v>
      </c>
      <c r="AV18" s="11" t="n">
        <f aca="false">Units!$E17*(1+Inputs!$B$7)^(AV$2-1)</f>
        <v>1415.081465</v>
      </c>
      <c r="AW18" s="11" t="n">
        <f aca="false">Units!$E17*(1+Inputs!$B$7)^(AW$2-1)</f>
        <v>1415.081465</v>
      </c>
      <c r="AX18" s="11" t="n">
        <f aca="false">Units!$E17*(1+Inputs!$B$7)^(AX$2-1)</f>
        <v>1415.081465</v>
      </c>
      <c r="AY18" s="11" t="n">
        <f aca="false">Units!$E17*(1+Inputs!$B$7)^(AY$2-1)</f>
        <v>1457.53390895</v>
      </c>
      <c r="AZ18" s="11" t="n">
        <f aca="false">Units!$E17*(1+Inputs!$B$7)^(AZ$2-1)</f>
        <v>1457.53390895</v>
      </c>
      <c r="BA18" s="11" t="n">
        <f aca="false">Units!$E17*(1+Inputs!$B$7)^(BA$2-1)</f>
        <v>1457.53390895</v>
      </c>
      <c r="BB18" s="11" t="n">
        <f aca="false">Units!$E17*(1+Inputs!$B$7)^(BB$2-1)</f>
        <v>1457.53390895</v>
      </c>
      <c r="BC18" s="11" t="n">
        <f aca="false">Units!$E17*(1+Inputs!$B$7)^(BC$2-1)</f>
        <v>1457.53390895</v>
      </c>
      <c r="BD18" s="11" t="n">
        <f aca="false">Units!$E17*(1+Inputs!$B$7)^(BD$2-1)</f>
        <v>1457.53390895</v>
      </c>
      <c r="BE18" s="11" t="n">
        <f aca="false">Units!$E17*(1+Inputs!$B$7)^(BE$2-1)</f>
        <v>1457.53390895</v>
      </c>
      <c r="BF18" s="11" t="n">
        <f aca="false">Units!$E17*(1+Inputs!$B$7)^(BF$2-1)</f>
        <v>1457.53390895</v>
      </c>
      <c r="BG18" s="11" t="n">
        <f aca="false">Units!$E17*(1+Inputs!$B$7)^(BG$2-1)</f>
        <v>1457.53390895</v>
      </c>
      <c r="BH18" s="11" t="n">
        <f aca="false">Units!$E17*(1+Inputs!$B$7)^(BH$2-1)</f>
        <v>1457.53390895</v>
      </c>
      <c r="BI18" s="11" t="n">
        <f aca="false">Units!$E17*(1+Inputs!$B$7)^(BI$2-1)</f>
        <v>1457.53390895</v>
      </c>
      <c r="BJ18" s="11" t="n">
        <f aca="false">Units!$E17*(1+Inputs!$B$7)^(BJ$2-1)</f>
        <v>1457.53390895</v>
      </c>
      <c r="BK18" s="11" t="n">
        <f aca="false">Units!$E17*(1+Inputs!$B$7)^(BK$2-1)</f>
        <v>1501.2599262185</v>
      </c>
      <c r="BL18" s="11" t="n">
        <f aca="false">Units!$E17*(1+Inputs!$B$7)^(BL$2-1)</f>
        <v>1501.2599262185</v>
      </c>
      <c r="BM18" s="11" t="n">
        <f aca="false">Units!$E17*(1+Inputs!$B$7)^(BM$2-1)</f>
        <v>1501.2599262185</v>
      </c>
      <c r="BN18" s="11" t="n">
        <f aca="false">Units!$E17*(1+Inputs!$B$7)^(BN$2-1)</f>
        <v>1501.2599262185</v>
      </c>
      <c r="BO18" s="11" t="n">
        <f aca="false">Units!$E17*(1+Inputs!$B$7)^(BO$2-1)</f>
        <v>1501.2599262185</v>
      </c>
      <c r="BP18" s="11" t="n">
        <f aca="false">Units!$E17*(1+Inputs!$B$7)^(BP$2-1)</f>
        <v>1501.2599262185</v>
      </c>
      <c r="BQ18" s="11" t="n">
        <f aca="false">Units!$E17*(1+Inputs!$B$7)^(BQ$2-1)</f>
        <v>1501.2599262185</v>
      </c>
      <c r="BR18" s="11" t="n">
        <f aca="false">Units!$E17*(1+Inputs!$B$7)^(BR$2-1)</f>
        <v>1501.2599262185</v>
      </c>
      <c r="BS18" s="11" t="n">
        <f aca="false">Units!$E17*(1+Inputs!$B$7)^(BS$2-1)</f>
        <v>1501.2599262185</v>
      </c>
      <c r="BT18" s="11" t="n">
        <f aca="false">Units!$E17*(1+Inputs!$B$7)^(BT$2-1)</f>
        <v>1501.2599262185</v>
      </c>
      <c r="BU18" s="11" t="n">
        <f aca="false">Units!$E17*(1+Inputs!$B$7)^(BU$2-1)</f>
        <v>1501.2599262185</v>
      </c>
      <c r="BV18" s="11" t="n">
        <f aca="false">Units!$E17*(1+Inputs!$B$7)^(BV$2-1)</f>
        <v>1501.2599262185</v>
      </c>
      <c r="BW18" s="11" t="n">
        <f aca="false">Units!$E17*(1+Inputs!$B$7)^(BW$2-1)</f>
        <v>1546.29772400506</v>
      </c>
      <c r="BX18" s="11" t="n">
        <f aca="false">Units!$E17*(1+Inputs!$B$7)^(BX$2-1)</f>
        <v>1546.29772400506</v>
      </c>
      <c r="BY18" s="11" t="n">
        <f aca="false">Units!$E17*(1+Inputs!$B$7)^(BY$2-1)</f>
        <v>1546.29772400506</v>
      </c>
      <c r="BZ18" s="11" t="n">
        <f aca="false">Units!$E17*(1+Inputs!$B$7)^(BZ$2-1)</f>
        <v>1546.29772400506</v>
      </c>
      <c r="CA18" s="11" t="n">
        <f aca="false">Units!$E17*(1+Inputs!$B$7)^(CA$2-1)</f>
        <v>1546.29772400506</v>
      </c>
      <c r="CB18" s="11" t="n">
        <f aca="false">Units!$E17*(1+Inputs!$B$7)^(CB$2-1)</f>
        <v>1546.29772400506</v>
      </c>
      <c r="CC18" s="11" t="n">
        <f aca="false">Units!$E17*(1+Inputs!$B$7)^(CC$2-1)</f>
        <v>1546.29772400506</v>
      </c>
      <c r="CD18" s="11" t="n">
        <f aca="false">Units!$E17*(1+Inputs!$B$7)^(CD$2-1)</f>
        <v>1546.29772400506</v>
      </c>
      <c r="CE18" s="11" t="n">
        <f aca="false">Units!$E17*(1+Inputs!$B$7)^(CE$2-1)</f>
        <v>1546.29772400506</v>
      </c>
      <c r="CF18" s="11" t="n">
        <f aca="false">Units!$E17*(1+Inputs!$B$7)^(CF$2-1)</f>
        <v>1546.29772400506</v>
      </c>
      <c r="CG18" s="11" t="n">
        <f aca="false">Units!$E17*(1+Inputs!$B$7)^(CG$2-1)</f>
        <v>1546.29772400506</v>
      </c>
      <c r="CH18" s="11" t="n">
        <f aca="false">Units!$E17*(1+Inputs!$B$7)^(CH$2-1)</f>
        <v>1546.29772400506</v>
      </c>
      <c r="CI18" s="11" t="n">
        <f aca="false">Units!$E17*(1+Inputs!$B$7)^(CI$2-1)</f>
        <v>1592.68665572521</v>
      </c>
      <c r="CJ18" s="11" t="n">
        <f aca="false">Units!$E17*(1+Inputs!$B$7)^(CJ$2-1)</f>
        <v>1592.68665572521</v>
      </c>
      <c r="CK18" s="11" t="n">
        <f aca="false">Units!$E17*(1+Inputs!$B$7)^(CK$2-1)</f>
        <v>1592.68665572521</v>
      </c>
      <c r="CL18" s="11" t="n">
        <f aca="false">Units!$E17*(1+Inputs!$B$7)^(CL$2-1)</f>
        <v>1592.68665572521</v>
      </c>
      <c r="CM18" s="11" t="n">
        <f aca="false">Units!$E17*(1+Inputs!$B$7)^(CM$2-1)</f>
        <v>1592.68665572521</v>
      </c>
      <c r="CN18" s="11" t="n">
        <f aca="false">Units!$E17*(1+Inputs!$B$7)^(CN$2-1)</f>
        <v>1592.68665572521</v>
      </c>
      <c r="CO18" s="11" t="n">
        <f aca="false">Units!$E17*(1+Inputs!$B$7)^(CO$2-1)</f>
        <v>1592.68665572521</v>
      </c>
      <c r="CP18" s="11" t="n">
        <f aca="false">Units!$E17*(1+Inputs!$B$7)^(CP$2-1)</f>
        <v>1592.68665572521</v>
      </c>
      <c r="CQ18" s="11" t="n">
        <f aca="false">Units!$E17*(1+Inputs!$B$7)^(CQ$2-1)</f>
        <v>1592.68665572521</v>
      </c>
      <c r="CR18" s="11" t="n">
        <f aca="false">Units!$E17*(1+Inputs!$B$7)^(CR$2-1)</f>
        <v>1592.68665572521</v>
      </c>
      <c r="CS18" s="11" t="n">
        <f aca="false">Units!$E17*(1+Inputs!$B$7)^(CS$2-1)</f>
        <v>1592.68665572521</v>
      </c>
      <c r="CT18" s="11" t="n">
        <f aca="false">Units!$E17*(1+Inputs!$B$7)^(CT$2-1)</f>
        <v>1592.68665572521</v>
      </c>
      <c r="CU18" s="11" t="n">
        <f aca="false">Units!$E17*(1+Inputs!$B$7)^(CU$2-1)</f>
        <v>1640.46725539696</v>
      </c>
      <c r="CV18" s="11" t="n">
        <f aca="false">Units!$E17*(1+Inputs!$B$7)^(CV$2-1)</f>
        <v>1640.46725539696</v>
      </c>
      <c r="CW18" s="11" t="n">
        <f aca="false">Units!$E17*(1+Inputs!$B$7)^(CW$2-1)</f>
        <v>1640.46725539696</v>
      </c>
      <c r="CX18" s="11" t="n">
        <f aca="false">Units!$E17*(1+Inputs!$B$7)^(CX$2-1)</f>
        <v>1640.46725539696</v>
      </c>
      <c r="CY18" s="11" t="n">
        <f aca="false">Units!$E17*(1+Inputs!$B$7)^(CY$2-1)</f>
        <v>1640.46725539696</v>
      </c>
      <c r="CZ18" s="11" t="n">
        <f aca="false">Units!$E17*(1+Inputs!$B$7)^(CZ$2-1)</f>
        <v>1640.46725539696</v>
      </c>
      <c r="DA18" s="11" t="n">
        <f aca="false">Units!$E17*(1+Inputs!$B$7)^(DA$2-1)</f>
        <v>1640.46725539696</v>
      </c>
      <c r="DB18" s="11" t="n">
        <f aca="false">Units!$E17*(1+Inputs!$B$7)^(DB$2-1)</f>
        <v>1640.46725539696</v>
      </c>
      <c r="DC18" s="11" t="n">
        <f aca="false">Units!$E17*(1+Inputs!$B$7)^(DC$2-1)</f>
        <v>1640.46725539696</v>
      </c>
      <c r="DD18" s="11" t="n">
        <f aca="false">Units!$E17*(1+Inputs!$B$7)^(DD$2-1)</f>
        <v>1640.46725539696</v>
      </c>
      <c r="DE18" s="11" t="n">
        <f aca="false">Units!$E17*(1+Inputs!$B$7)^(DE$2-1)</f>
        <v>1640.46725539696</v>
      </c>
      <c r="DF18" s="11" t="n">
        <f aca="false">Units!$E17*(1+Inputs!$B$7)^(DF$2-1)</f>
        <v>1640.46725539696</v>
      </c>
      <c r="DG18" s="11" t="n">
        <f aca="false">Units!$E17*(1+Inputs!$B$7)^(DG$2-1)</f>
        <v>1689.68127305887</v>
      </c>
      <c r="DH18" s="11" t="n">
        <f aca="false">Units!$E17*(1+Inputs!$B$7)^(DH$2-1)</f>
        <v>1689.68127305887</v>
      </c>
      <c r="DI18" s="11" t="n">
        <f aca="false">Units!$E17*(1+Inputs!$B$7)^(DI$2-1)</f>
        <v>1689.68127305887</v>
      </c>
      <c r="DJ18" s="11" t="n">
        <f aca="false">Units!$E17*(1+Inputs!$B$7)^(DJ$2-1)</f>
        <v>1689.68127305887</v>
      </c>
      <c r="DK18" s="11" t="n">
        <f aca="false">Units!$E17*(1+Inputs!$B$7)^(DK$2-1)</f>
        <v>1689.68127305887</v>
      </c>
      <c r="DL18" s="11" t="n">
        <f aca="false">Units!$E17*(1+Inputs!$B$7)^(DL$2-1)</f>
        <v>1689.68127305887</v>
      </c>
      <c r="DM18" s="11" t="n">
        <f aca="false">Units!$E17*(1+Inputs!$B$7)^(DM$2-1)</f>
        <v>1689.68127305887</v>
      </c>
      <c r="DN18" s="11" t="n">
        <f aca="false">Units!$E17*(1+Inputs!$B$7)^(DN$2-1)</f>
        <v>1689.68127305887</v>
      </c>
      <c r="DO18" s="11" t="n">
        <f aca="false">Units!$E17*(1+Inputs!$B$7)^(DO$2-1)</f>
        <v>1689.68127305887</v>
      </c>
      <c r="DP18" s="11" t="n">
        <f aca="false">Units!$E17*(1+Inputs!$B$7)^(DP$2-1)</f>
        <v>1689.68127305887</v>
      </c>
      <c r="DQ18" s="11" t="n">
        <f aca="false">Units!$E17*(1+Inputs!$B$7)^(DQ$2-1)</f>
        <v>1689.68127305887</v>
      </c>
      <c r="DR18" s="11" t="n">
        <f aca="false">Units!$E17*(1+Inputs!$B$7)^(DR$2-1)</f>
        <v>1689.68127305887</v>
      </c>
      <c r="DS18" s="11" t="n">
        <f aca="false">Units!$E17*(1+Inputs!$B$7)^(DS$2-1)</f>
        <v>1740.37171125064</v>
      </c>
      <c r="DT18" s="11" t="n">
        <f aca="false">Units!$E17*(1+Inputs!$B$7)^(DT$2-1)</f>
        <v>1740.37171125064</v>
      </c>
      <c r="DU18" s="11" t="n">
        <f aca="false">Units!$E17*(1+Inputs!$B$7)^(DU$2-1)</f>
        <v>1740.37171125064</v>
      </c>
      <c r="DV18" s="11" t="n">
        <f aca="false">Units!$E17*(1+Inputs!$B$7)^(DV$2-1)</f>
        <v>1740.37171125064</v>
      </c>
      <c r="DW18" s="11" t="n">
        <f aca="false">Units!$E17*(1+Inputs!$B$7)^(DW$2-1)</f>
        <v>1740.37171125064</v>
      </c>
      <c r="DX18" s="11" t="n">
        <f aca="false">Units!$E17*(1+Inputs!$B$7)^(DX$2-1)</f>
        <v>1740.37171125064</v>
      </c>
      <c r="DY18" s="11" t="n">
        <f aca="false">Units!$E17*(1+Inputs!$B$7)^(DY$2-1)</f>
        <v>1740.37171125064</v>
      </c>
      <c r="DZ18" s="11" t="n">
        <f aca="false">Units!$E17*(1+Inputs!$B$7)^(DZ$2-1)</f>
        <v>1740.37171125064</v>
      </c>
      <c r="EA18" s="11" t="n">
        <f aca="false">Units!$E17*(1+Inputs!$B$7)^(EA$2-1)</f>
        <v>1740.37171125064</v>
      </c>
      <c r="EB18" s="11" t="n">
        <f aca="false">Units!$E17*(1+Inputs!$B$7)^(EB$2-1)</f>
        <v>1740.37171125064</v>
      </c>
      <c r="EC18" s="11" t="n">
        <f aca="false">Units!$E17*(1+Inputs!$B$7)^(EC$2-1)</f>
        <v>1740.37171125064</v>
      </c>
      <c r="ED18" s="11" t="n">
        <f aca="false">Units!$E17*(1+Inputs!$B$7)^(ED$2-1)</f>
        <v>1740.37171125064</v>
      </c>
    </row>
    <row r="19" customFormat="false" ht="15" hidden="false" customHeight="false" outlineLevel="0" collapsed="false">
      <c r="A19" s="22" t="n">
        <f aca="false">Units!A18</f>
        <v>117</v>
      </c>
      <c r="B19" s="23"/>
      <c r="C19" s="11" t="n">
        <f aca="false">Units!$E18*(1+Inputs!$B$7)^(C$2-1)</f>
        <v>1295</v>
      </c>
      <c r="D19" s="11" t="n">
        <f aca="false">Units!$E18*(1+Inputs!$B$7)^(D$2-1)</f>
        <v>1295</v>
      </c>
      <c r="E19" s="11" t="n">
        <f aca="false">Units!$E18*(1+Inputs!$B$7)^(E$2-1)</f>
        <v>1295</v>
      </c>
      <c r="F19" s="11" t="n">
        <f aca="false">Units!$E18*(1+Inputs!$B$7)^(F$2-1)</f>
        <v>1295</v>
      </c>
      <c r="G19" s="11" t="n">
        <f aca="false">Units!$E18*(1+Inputs!$B$7)^(G$2-1)</f>
        <v>1295</v>
      </c>
      <c r="H19" s="11" t="n">
        <f aca="false">Units!$E18*(1+Inputs!$B$7)^(H$2-1)</f>
        <v>1295</v>
      </c>
      <c r="I19" s="11" t="n">
        <f aca="false">Units!$E18*(1+Inputs!$B$7)^(I$2-1)</f>
        <v>1295</v>
      </c>
      <c r="J19" s="11" t="n">
        <f aca="false">Units!$E18*(1+Inputs!$B$7)^(J$2-1)</f>
        <v>1295</v>
      </c>
      <c r="K19" s="11" t="n">
        <f aca="false">Units!$E18*(1+Inputs!$B$7)^(K$2-1)</f>
        <v>1295</v>
      </c>
      <c r="L19" s="11" t="n">
        <f aca="false">Units!$E18*(1+Inputs!$B$7)^(L$2-1)</f>
        <v>1295</v>
      </c>
      <c r="M19" s="11" t="n">
        <f aca="false">Units!$E18*(1+Inputs!$B$7)^(M$2-1)</f>
        <v>1295</v>
      </c>
      <c r="N19" s="11" t="n">
        <f aca="false">Units!$E18*(1+Inputs!$B$7)^(N$2-1)</f>
        <v>1295</v>
      </c>
      <c r="O19" s="11" t="n">
        <f aca="false">Units!$E18*(1+Inputs!$B$7)^(O$2-1)</f>
        <v>1333.85</v>
      </c>
      <c r="P19" s="11" t="n">
        <f aca="false">Units!$E18*(1+Inputs!$B$7)^(P$2-1)</f>
        <v>1333.85</v>
      </c>
      <c r="Q19" s="11" t="n">
        <f aca="false">Units!$E18*(1+Inputs!$B$7)^(Q$2-1)</f>
        <v>1333.85</v>
      </c>
      <c r="R19" s="11" t="n">
        <f aca="false">Units!$E18*(1+Inputs!$B$7)^(R$2-1)</f>
        <v>1333.85</v>
      </c>
      <c r="S19" s="11" t="n">
        <f aca="false">Units!$E18*(1+Inputs!$B$7)^(S$2-1)</f>
        <v>1333.85</v>
      </c>
      <c r="T19" s="11" t="n">
        <f aca="false">Units!$E18*(1+Inputs!$B$7)^(T$2-1)</f>
        <v>1333.85</v>
      </c>
      <c r="U19" s="11" t="n">
        <f aca="false">Units!$E18*(1+Inputs!$B$7)^(U$2-1)</f>
        <v>1333.85</v>
      </c>
      <c r="V19" s="11" t="n">
        <f aca="false">Units!$E18*(1+Inputs!$B$7)^(V$2-1)</f>
        <v>1333.85</v>
      </c>
      <c r="W19" s="11" t="n">
        <f aca="false">Units!$E18*(1+Inputs!$B$7)^(W$2-1)</f>
        <v>1333.85</v>
      </c>
      <c r="X19" s="11" t="n">
        <f aca="false">Units!$E18*(1+Inputs!$B$7)^(X$2-1)</f>
        <v>1333.85</v>
      </c>
      <c r="Y19" s="11" t="n">
        <f aca="false">Units!$E18*(1+Inputs!$B$7)^(Y$2-1)</f>
        <v>1333.85</v>
      </c>
      <c r="Z19" s="11" t="n">
        <f aca="false">Units!$E18*(1+Inputs!$B$7)^(Z$2-1)</f>
        <v>1333.85</v>
      </c>
      <c r="AA19" s="11" t="n">
        <f aca="false">Units!$E18*(1+Inputs!$B$7)^(AA$2-1)</f>
        <v>1373.8655</v>
      </c>
      <c r="AB19" s="11" t="n">
        <f aca="false">Units!$E18*(1+Inputs!$B$7)^(AB$2-1)</f>
        <v>1373.8655</v>
      </c>
      <c r="AC19" s="11" t="n">
        <f aca="false">Units!$E18*(1+Inputs!$B$7)^(AC$2-1)</f>
        <v>1373.8655</v>
      </c>
      <c r="AD19" s="11" t="n">
        <f aca="false">Units!$E18*(1+Inputs!$B$7)^(AD$2-1)</f>
        <v>1373.8655</v>
      </c>
      <c r="AE19" s="11" t="n">
        <f aca="false">Units!$E18*(1+Inputs!$B$7)^(AE$2-1)</f>
        <v>1373.8655</v>
      </c>
      <c r="AF19" s="11" t="n">
        <f aca="false">Units!$E18*(1+Inputs!$B$7)^(AF$2-1)</f>
        <v>1373.8655</v>
      </c>
      <c r="AG19" s="11" t="n">
        <f aca="false">Units!$E18*(1+Inputs!$B$7)^(AG$2-1)</f>
        <v>1373.8655</v>
      </c>
      <c r="AH19" s="11" t="n">
        <f aca="false">Units!$E18*(1+Inputs!$B$7)^(AH$2-1)</f>
        <v>1373.8655</v>
      </c>
      <c r="AI19" s="11" t="n">
        <f aca="false">Units!$E18*(1+Inputs!$B$7)^(AI$2-1)</f>
        <v>1373.8655</v>
      </c>
      <c r="AJ19" s="11" t="n">
        <f aca="false">Units!$E18*(1+Inputs!$B$7)^(AJ$2-1)</f>
        <v>1373.8655</v>
      </c>
      <c r="AK19" s="11" t="n">
        <f aca="false">Units!$E18*(1+Inputs!$B$7)^(AK$2-1)</f>
        <v>1373.8655</v>
      </c>
      <c r="AL19" s="11" t="n">
        <f aca="false">Units!$E18*(1+Inputs!$B$7)^(AL$2-1)</f>
        <v>1373.8655</v>
      </c>
      <c r="AM19" s="11" t="n">
        <f aca="false">Units!$E18*(1+Inputs!$B$7)^(AM$2-1)</f>
        <v>1415.081465</v>
      </c>
      <c r="AN19" s="11" t="n">
        <f aca="false">Units!$E18*(1+Inputs!$B$7)^(AN$2-1)</f>
        <v>1415.081465</v>
      </c>
      <c r="AO19" s="11" t="n">
        <f aca="false">Units!$E18*(1+Inputs!$B$7)^(AO$2-1)</f>
        <v>1415.081465</v>
      </c>
      <c r="AP19" s="11" t="n">
        <f aca="false">Units!$E18*(1+Inputs!$B$7)^(AP$2-1)</f>
        <v>1415.081465</v>
      </c>
      <c r="AQ19" s="11" t="n">
        <f aca="false">Units!$E18*(1+Inputs!$B$7)^(AQ$2-1)</f>
        <v>1415.081465</v>
      </c>
      <c r="AR19" s="11" t="n">
        <f aca="false">Units!$E18*(1+Inputs!$B$7)^(AR$2-1)</f>
        <v>1415.081465</v>
      </c>
      <c r="AS19" s="11" t="n">
        <f aca="false">Units!$E18*(1+Inputs!$B$7)^(AS$2-1)</f>
        <v>1415.081465</v>
      </c>
      <c r="AT19" s="11" t="n">
        <f aca="false">Units!$E18*(1+Inputs!$B$7)^(AT$2-1)</f>
        <v>1415.081465</v>
      </c>
      <c r="AU19" s="11" t="n">
        <f aca="false">Units!$E18*(1+Inputs!$B$7)^(AU$2-1)</f>
        <v>1415.081465</v>
      </c>
      <c r="AV19" s="11" t="n">
        <f aca="false">Units!$E18*(1+Inputs!$B$7)^(AV$2-1)</f>
        <v>1415.081465</v>
      </c>
      <c r="AW19" s="11" t="n">
        <f aca="false">Units!$E18*(1+Inputs!$B$7)^(AW$2-1)</f>
        <v>1415.081465</v>
      </c>
      <c r="AX19" s="11" t="n">
        <f aca="false">Units!$E18*(1+Inputs!$B$7)^(AX$2-1)</f>
        <v>1415.081465</v>
      </c>
      <c r="AY19" s="11" t="n">
        <f aca="false">Units!$E18*(1+Inputs!$B$7)^(AY$2-1)</f>
        <v>1457.53390895</v>
      </c>
      <c r="AZ19" s="11" t="n">
        <f aca="false">Units!$E18*(1+Inputs!$B$7)^(AZ$2-1)</f>
        <v>1457.53390895</v>
      </c>
      <c r="BA19" s="11" t="n">
        <f aca="false">Units!$E18*(1+Inputs!$B$7)^(BA$2-1)</f>
        <v>1457.53390895</v>
      </c>
      <c r="BB19" s="11" t="n">
        <f aca="false">Units!$E18*(1+Inputs!$B$7)^(BB$2-1)</f>
        <v>1457.53390895</v>
      </c>
      <c r="BC19" s="11" t="n">
        <f aca="false">Units!$E18*(1+Inputs!$B$7)^(BC$2-1)</f>
        <v>1457.53390895</v>
      </c>
      <c r="BD19" s="11" t="n">
        <f aca="false">Units!$E18*(1+Inputs!$B$7)^(BD$2-1)</f>
        <v>1457.53390895</v>
      </c>
      <c r="BE19" s="11" t="n">
        <f aca="false">Units!$E18*(1+Inputs!$B$7)^(BE$2-1)</f>
        <v>1457.53390895</v>
      </c>
      <c r="BF19" s="11" t="n">
        <f aca="false">Units!$E18*(1+Inputs!$B$7)^(BF$2-1)</f>
        <v>1457.53390895</v>
      </c>
      <c r="BG19" s="11" t="n">
        <f aca="false">Units!$E18*(1+Inputs!$B$7)^(BG$2-1)</f>
        <v>1457.53390895</v>
      </c>
      <c r="BH19" s="11" t="n">
        <f aca="false">Units!$E18*(1+Inputs!$B$7)^(BH$2-1)</f>
        <v>1457.53390895</v>
      </c>
      <c r="BI19" s="11" t="n">
        <f aca="false">Units!$E18*(1+Inputs!$B$7)^(BI$2-1)</f>
        <v>1457.53390895</v>
      </c>
      <c r="BJ19" s="11" t="n">
        <f aca="false">Units!$E18*(1+Inputs!$B$7)^(BJ$2-1)</f>
        <v>1457.53390895</v>
      </c>
      <c r="BK19" s="11" t="n">
        <f aca="false">Units!$E18*(1+Inputs!$B$7)^(BK$2-1)</f>
        <v>1501.2599262185</v>
      </c>
      <c r="BL19" s="11" t="n">
        <f aca="false">Units!$E18*(1+Inputs!$B$7)^(BL$2-1)</f>
        <v>1501.2599262185</v>
      </c>
      <c r="BM19" s="11" t="n">
        <f aca="false">Units!$E18*(1+Inputs!$B$7)^(BM$2-1)</f>
        <v>1501.2599262185</v>
      </c>
      <c r="BN19" s="11" t="n">
        <f aca="false">Units!$E18*(1+Inputs!$B$7)^(BN$2-1)</f>
        <v>1501.2599262185</v>
      </c>
      <c r="BO19" s="11" t="n">
        <f aca="false">Units!$E18*(1+Inputs!$B$7)^(BO$2-1)</f>
        <v>1501.2599262185</v>
      </c>
      <c r="BP19" s="11" t="n">
        <f aca="false">Units!$E18*(1+Inputs!$B$7)^(BP$2-1)</f>
        <v>1501.2599262185</v>
      </c>
      <c r="BQ19" s="11" t="n">
        <f aca="false">Units!$E18*(1+Inputs!$B$7)^(BQ$2-1)</f>
        <v>1501.2599262185</v>
      </c>
      <c r="BR19" s="11" t="n">
        <f aca="false">Units!$E18*(1+Inputs!$B$7)^(BR$2-1)</f>
        <v>1501.2599262185</v>
      </c>
      <c r="BS19" s="11" t="n">
        <f aca="false">Units!$E18*(1+Inputs!$B$7)^(BS$2-1)</f>
        <v>1501.2599262185</v>
      </c>
      <c r="BT19" s="11" t="n">
        <f aca="false">Units!$E18*(1+Inputs!$B$7)^(BT$2-1)</f>
        <v>1501.2599262185</v>
      </c>
      <c r="BU19" s="11" t="n">
        <f aca="false">Units!$E18*(1+Inputs!$B$7)^(BU$2-1)</f>
        <v>1501.2599262185</v>
      </c>
      <c r="BV19" s="11" t="n">
        <f aca="false">Units!$E18*(1+Inputs!$B$7)^(BV$2-1)</f>
        <v>1501.2599262185</v>
      </c>
      <c r="BW19" s="11" t="n">
        <f aca="false">Units!$E18*(1+Inputs!$B$7)^(BW$2-1)</f>
        <v>1546.29772400506</v>
      </c>
      <c r="BX19" s="11" t="n">
        <f aca="false">Units!$E18*(1+Inputs!$B$7)^(BX$2-1)</f>
        <v>1546.29772400506</v>
      </c>
      <c r="BY19" s="11" t="n">
        <f aca="false">Units!$E18*(1+Inputs!$B$7)^(BY$2-1)</f>
        <v>1546.29772400506</v>
      </c>
      <c r="BZ19" s="11" t="n">
        <f aca="false">Units!$E18*(1+Inputs!$B$7)^(BZ$2-1)</f>
        <v>1546.29772400506</v>
      </c>
      <c r="CA19" s="11" t="n">
        <f aca="false">Units!$E18*(1+Inputs!$B$7)^(CA$2-1)</f>
        <v>1546.29772400506</v>
      </c>
      <c r="CB19" s="11" t="n">
        <f aca="false">Units!$E18*(1+Inputs!$B$7)^(CB$2-1)</f>
        <v>1546.29772400506</v>
      </c>
      <c r="CC19" s="11" t="n">
        <f aca="false">Units!$E18*(1+Inputs!$B$7)^(CC$2-1)</f>
        <v>1546.29772400506</v>
      </c>
      <c r="CD19" s="11" t="n">
        <f aca="false">Units!$E18*(1+Inputs!$B$7)^(CD$2-1)</f>
        <v>1546.29772400506</v>
      </c>
      <c r="CE19" s="11" t="n">
        <f aca="false">Units!$E18*(1+Inputs!$B$7)^(CE$2-1)</f>
        <v>1546.29772400506</v>
      </c>
      <c r="CF19" s="11" t="n">
        <f aca="false">Units!$E18*(1+Inputs!$B$7)^(CF$2-1)</f>
        <v>1546.29772400506</v>
      </c>
      <c r="CG19" s="11" t="n">
        <f aca="false">Units!$E18*(1+Inputs!$B$7)^(CG$2-1)</f>
        <v>1546.29772400506</v>
      </c>
      <c r="CH19" s="11" t="n">
        <f aca="false">Units!$E18*(1+Inputs!$B$7)^(CH$2-1)</f>
        <v>1546.29772400506</v>
      </c>
      <c r="CI19" s="11" t="n">
        <f aca="false">Units!$E18*(1+Inputs!$B$7)^(CI$2-1)</f>
        <v>1592.68665572521</v>
      </c>
      <c r="CJ19" s="11" t="n">
        <f aca="false">Units!$E18*(1+Inputs!$B$7)^(CJ$2-1)</f>
        <v>1592.68665572521</v>
      </c>
      <c r="CK19" s="11" t="n">
        <f aca="false">Units!$E18*(1+Inputs!$B$7)^(CK$2-1)</f>
        <v>1592.68665572521</v>
      </c>
      <c r="CL19" s="11" t="n">
        <f aca="false">Units!$E18*(1+Inputs!$B$7)^(CL$2-1)</f>
        <v>1592.68665572521</v>
      </c>
      <c r="CM19" s="11" t="n">
        <f aca="false">Units!$E18*(1+Inputs!$B$7)^(CM$2-1)</f>
        <v>1592.68665572521</v>
      </c>
      <c r="CN19" s="11" t="n">
        <f aca="false">Units!$E18*(1+Inputs!$B$7)^(CN$2-1)</f>
        <v>1592.68665572521</v>
      </c>
      <c r="CO19" s="11" t="n">
        <f aca="false">Units!$E18*(1+Inputs!$B$7)^(CO$2-1)</f>
        <v>1592.68665572521</v>
      </c>
      <c r="CP19" s="11" t="n">
        <f aca="false">Units!$E18*(1+Inputs!$B$7)^(CP$2-1)</f>
        <v>1592.68665572521</v>
      </c>
      <c r="CQ19" s="11" t="n">
        <f aca="false">Units!$E18*(1+Inputs!$B$7)^(CQ$2-1)</f>
        <v>1592.68665572521</v>
      </c>
      <c r="CR19" s="11" t="n">
        <f aca="false">Units!$E18*(1+Inputs!$B$7)^(CR$2-1)</f>
        <v>1592.68665572521</v>
      </c>
      <c r="CS19" s="11" t="n">
        <f aca="false">Units!$E18*(1+Inputs!$B$7)^(CS$2-1)</f>
        <v>1592.68665572521</v>
      </c>
      <c r="CT19" s="11" t="n">
        <f aca="false">Units!$E18*(1+Inputs!$B$7)^(CT$2-1)</f>
        <v>1592.68665572521</v>
      </c>
      <c r="CU19" s="11" t="n">
        <f aca="false">Units!$E18*(1+Inputs!$B$7)^(CU$2-1)</f>
        <v>1640.46725539696</v>
      </c>
      <c r="CV19" s="11" t="n">
        <f aca="false">Units!$E18*(1+Inputs!$B$7)^(CV$2-1)</f>
        <v>1640.46725539696</v>
      </c>
      <c r="CW19" s="11" t="n">
        <f aca="false">Units!$E18*(1+Inputs!$B$7)^(CW$2-1)</f>
        <v>1640.46725539696</v>
      </c>
      <c r="CX19" s="11" t="n">
        <f aca="false">Units!$E18*(1+Inputs!$B$7)^(CX$2-1)</f>
        <v>1640.46725539696</v>
      </c>
      <c r="CY19" s="11" t="n">
        <f aca="false">Units!$E18*(1+Inputs!$B$7)^(CY$2-1)</f>
        <v>1640.46725539696</v>
      </c>
      <c r="CZ19" s="11" t="n">
        <f aca="false">Units!$E18*(1+Inputs!$B$7)^(CZ$2-1)</f>
        <v>1640.46725539696</v>
      </c>
      <c r="DA19" s="11" t="n">
        <f aca="false">Units!$E18*(1+Inputs!$B$7)^(DA$2-1)</f>
        <v>1640.46725539696</v>
      </c>
      <c r="DB19" s="11" t="n">
        <f aca="false">Units!$E18*(1+Inputs!$B$7)^(DB$2-1)</f>
        <v>1640.46725539696</v>
      </c>
      <c r="DC19" s="11" t="n">
        <f aca="false">Units!$E18*(1+Inputs!$B$7)^(DC$2-1)</f>
        <v>1640.46725539696</v>
      </c>
      <c r="DD19" s="11" t="n">
        <f aca="false">Units!$E18*(1+Inputs!$B$7)^(DD$2-1)</f>
        <v>1640.46725539696</v>
      </c>
      <c r="DE19" s="11" t="n">
        <f aca="false">Units!$E18*(1+Inputs!$B$7)^(DE$2-1)</f>
        <v>1640.46725539696</v>
      </c>
      <c r="DF19" s="11" t="n">
        <f aca="false">Units!$E18*(1+Inputs!$B$7)^(DF$2-1)</f>
        <v>1640.46725539696</v>
      </c>
      <c r="DG19" s="11" t="n">
        <f aca="false">Units!$E18*(1+Inputs!$B$7)^(DG$2-1)</f>
        <v>1689.68127305887</v>
      </c>
      <c r="DH19" s="11" t="n">
        <f aca="false">Units!$E18*(1+Inputs!$B$7)^(DH$2-1)</f>
        <v>1689.68127305887</v>
      </c>
      <c r="DI19" s="11" t="n">
        <f aca="false">Units!$E18*(1+Inputs!$B$7)^(DI$2-1)</f>
        <v>1689.68127305887</v>
      </c>
      <c r="DJ19" s="11" t="n">
        <f aca="false">Units!$E18*(1+Inputs!$B$7)^(DJ$2-1)</f>
        <v>1689.68127305887</v>
      </c>
      <c r="DK19" s="11" t="n">
        <f aca="false">Units!$E18*(1+Inputs!$B$7)^(DK$2-1)</f>
        <v>1689.68127305887</v>
      </c>
      <c r="DL19" s="11" t="n">
        <f aca="false">Units!$E18*(1+Inputs!$B$7)^(DL$2-1)</f>
        <v>1689.68127305887</v>
      </c>
      <c r="DM19" s="11" t="n">
        <f aca="false">Units!$E18*(1+Inputs!$B$7)^(DM$2-1)</f>
        <v>1689.68127305887</v>
      </c>
      <c r="DN19" s="11" t="n">
        <f aca="false">Units!$E18*(1+Inputs!$B$7)^(DN$2-1)</f>
        <v>1689.68127305887</v>
      </c>
      <c r="DO19" s="11" t="n">
        <f aca="false">Units!$E18*(1+Inputs!$B$7)^(DO$2-1)</f>
        <v>1689.68127305887</v>
      </c>
      <c r="DP19" s="11" t="n">
        <f aca="false">Units!$E18*(1+Inputs!$B$7)^(DP$2-1)</f>
        <v>1689.68127305887</v>
      </c>
      <c r="DQ19" s="11" t="n">
        <f aca="false">Units!$E18*(1+Inputs!$B$7)^(DQ$2-1)</f>
        <v>1689.68127305887</v>
      </c>
      <c r="DR19" s="11" t="n">
        <f aca="false">Units!$E18*(1+Inputs!$B$7)^(DR$2-1)</f>
        <v>1689.68127305887</v>
      </c>
      <c r="DS19" s="11" t="n">
        <f aca="false">Units!$E18*(1+Inputs!$B$7)^(DS$2-1)</f>
        <v>1740.37171125064</v>
      </c>
      <c r="DT19" s="11" t="n">
        <f aca="false">Units!$E18*(1+Inputs!$B$7)^(DT$2-1)</f>
        <v>1740.37171125064</v>
      </c>
      <c r="DU19" s="11" t="n">
        <f aca="false">Units!$E18*(1+Inputs!$B$7)^(DU$2-1)</f>
        <v>1740.37171125064</v>
      </c>
      <c r="DV19" s="11" t="n">
        <f aca="false">Units!$E18*(1+Inputs!$B$7)^(DV$2-1)</f>
        <v>1740.37171125064</v>
      </c>
      <c r="DW19" s="11" t="n">
        <f aca="false">Units!$E18*(1+Inputs!$B$7)^(DW$2-1)</f>
        <v>1740.37171125064</v>
      </c>
      <c r="DX19" s="11" t="n">
        <f aca="false">Units!$E18*(1+Inputs!$B$7)^(DX$2-1)</f>
        <v>1740.37171125064</v>
      </c>
      <c r="DY19" s="11" t="n">
        <f aca="false">Units!$E18*(1+Inputs!$B$7)^(DY$2-1)</f>
        <v>1740.37171125064</v>
      </c>
      <c r="DZ19" s="11" t="n">
        <f aca="false">Units!$E18*(1+Inputs!$B$7)^(DZ$2-1)</f>
        <v>1740.37171125064</v>
      </c>
      <c r="EA19" s="11" t="n">
        <f aca="false">Units!$E18*(1+Inputs!$B$7)^(EA$2-1)</f>
        <v>1740.37171125064</v>
      </c>
      <c r="EB19" s="11" t="n">
        <f aca="false">Units!$E18*(1+Inputs!$B$7)^(EB$2-1)</f>
        <v>1740.37171125064</v>
      </c>
      <c r="EC19" s="11" t="n">
        <f aca="false">Units!$E18*(1+Inputs!$B$7)^(EC$2-1)</f>
        <v>1740.37171125064</v>
      </c>
      <c r="ED19" s="11" t="n">
        <f aca="false">Units!$E18*(1+Inputs!$B$7)^(ED$2-1)</f>
        <v>1740.37171125064</v>
      </c>
    </row>
    <row r="20" customFormat="false" ht="15" hidden="false" customHeight="false" outlineLevel="0" collapsed="false">
      <c r="A20" s="22" t="n">
        <f aca="false">Units!A19</f>
        <v>118</v>
      </c>
      <c r="B20" s="23"/>
      <c r="C20" s="11" t="n">
        <f aca="false">Units!$E19*(1+Inputs!$B$7)^(C$2-1)</f>
        <v>1295</v>
      </c>
      <c r="D20" s="11" t="n">
        <f aca="false">Units!$E19*(1+Inputs!$B$7)^(D$2-1)</f>
        <v>1295</v>
      </c>
      <c r="E20" s="11" t="n">
        <f aca="false">Units!$E19*(1+Inputs!$B$7)^(E$2-1)</f>
        <v>1295</v>
      </c>
      <c r="F20" s="11" t="n">
        <f aca="false">Units!$E19*(1+Inputs!$B$7)^(F$2-1)</f>
        <v>1295</v>
      </c>
      <c r="G20" s="11" t="n">
        <f aca="false">Units!$E19*(1+Inputs!$B$7)^(G$2-1)</f>
        <v>1295</v>
      </c>
      <c r="H20" s="11" t="n">
        <f aca="false">Units!$E19*(1+Inputs!$B$7)^(H$2-1)</f>
        <v>1295</v>
      </c>
      <c r="I20" s="11" t="n">
        <f aca="false">Units!$E19*(1+Inputs!$B$7)^(I$2-1)</f>
        <v>1295</v>
      </c>
      <c r="J20" s="11" t="n">
        <f aca="false">Units!$E19*(1+Inputs!$B$7)^(J$2-1)</f>
        <v>1295</v>
      </c>
      <c r="K20" s="11" t="n">
        <f aca="false">Units!$E19*(1+Inputs!$B$7)^(K$2-1)</f>
        <v>1295</v>
      </c>
      <c r="L20" s="11" t="n">
        <f aca="false">Units!$E19*(1+Inputs!$B$7)^(L$2-1)</f>
        <v>1295</v>
      </c>
      <c r="M20" s="11" t="n">
        <f aca="false">Units!$E19*(1+Inputs!$B$7)^(M$2-1)</f>
        <v>1295</v>
      </c>
      <c r="N20" s="11" t="n">
        <f aca="false">Units!$E19*(1+Inputs!$B$7)^(N$2-1)</f>
        <v>1295</v>
      </c>
      <c r="O20" s="11" t="n">
        <f aca="false">Units!$E19*(1+Inputs!$B$7)^(O$2-1)</f>
        <v>1333.85</v>
      </c>
      <c r="P20" s="11" t="n">
        <f aca="false">Units!$E19*(1+Inputs!$B$7)^(P$2-1)</f>
        <v>1333.85</v>
      </c>
      <c r="Q20" s="11" t="n">
        <f aca="false">Units!$E19*(1+Inputs!$B$7)^(Q$2-1)</f>
        <v>1333.85</v>
      </c>
      <c r="R20" s="11" t="n">
        <f aca="false">Units!$E19*(1+Inputs!$B$7)^(R$2-1)</f>
        <v>1333.85</v>
      </c>
      <c r="S20" s="11" t="n">
        <f aca="false">Units!$E19*(1+Inputs!$B$7)^(S$2-1)</f>
        <v>1333.85</v>
      </c>
      <c r="T20" s="11" t="n">
        <f aca="false">Units!$E19*(1+Inputs!$B$7)^(T$2-1)</f>
        <v>1333.85</v>
      </c>
      <c r="U20" s="11" t="n">
        <f aca="false">Units!$E19*(1+Inputs!$B$7)^(U$2-1)</f>
        <v>1333.85</v>
      </c>
      <c r="V20" s="11" t="n">
        <f aca="false">Units!$E19*(1+Inputs!$B$7)^(V$2-1)</f>
        <v>1333.85</v>
      </c>
      <c r="W20" s="11" t="n">
        <f aca="false">Units!$E19*(1+Inputs!$B$7)^(W$2-1)</f>
        <v>1333.85</v>
      </c>
      <c r="X20" s="11" t="n">
        <f aca="false">Units!$E19*(1+Inputs!$B$7)^(X$2-1)</f>
        <v>1333.85</v>
      </c>
      <c r="Y20" s="11" t="n">
        <f aca="false">Units!$E19*(1+Inputs!$B$7)^(Y$2-1)</f>
        <v>1333.85</v>
      </c>
      <c r="Z20" s="11" t="n">
        <f aca="false">Units!$E19*(1+Inputs!$B$7)^(Z$2-1)</f>
        <v>1333.85</v>
      </c>
      <c r="AA20" s="11" t="n">
        <f aca="false">Units!$E19*(1+Inputs!$B$7)^(AA$2-1)</f>
        <v>1373.8655</v>
      </c>
      <c r="AB20" s="11" t="n">
        <f aca="false">Units!$E19*(1+Inputs!$B$7)^(AB$2-1)</f>
        <v>1373.8655</v>
      </c>
      <c r="AC20" s="11" t="n">
        <f aca="false">Units!$E19*(1+Inputs!$B$7)^(AC$2-1)</f>
        <v>1373.8655</v>
      </c>
      <c r="AD20" s="11" t="n">
        <f aca="false">Units!$E19*(1+Inputs!$B$7)^(AD$2-1)</f>
        <v>1373.8655</v>
      </c>
      <c r="AE20" s="11" t="n">
        <f aca="false">Units!$E19*(1+Inputs!$B$7)^(AE$2-1)</f>
        <v>1373.8655</v>
      </c>
      <c r="AF20" s="11" t="n">
        <f aca="false">Units!$E19*(1+Inputs!$B$7)^(AF$2-1)</f>
        <v>1373.8655</v>
      </c>
      <c r="AG20" s="11" t="n">
        <f aca="false">Units!$E19*(1+Inputs!$B$7)^(AG$2-1)</f>
        <v>1373.8655</v>
      </c>
      <c r="AH20" s="11" t="n">
        <f aca="false">Units!$E19*(1+Inputs!$B$7)^(AH$2-1)</f>
        <v>1373.8655</v>
      </c>
      <c r="AI20" s="11" t="n">
        <f aca="false">Units!$E19*(1+Inputs!$B$7)^(AI$2-1)</f>
        <v>1373.8655</v>
      </c>
      <c r="AJ20" s="11" t="n">
        <f aca="false">Units!$E19*(1+Inputs!$B$7)^(AJ$2-1)</f>
        <v>1373.8655</v>
      </c>
      <c r="AK20" s="11" t="n">
        <f aca="false">Units!$E19*(1+Inputs!$B$7)^(AK$2-1)</f>
        <v>1373.8655</v>
      </c>
      <c r="AL20" s="11" t="n">
        <f aca="false">Units!$E19*(1+Inputs!$B$7)^(AL$2-1)</f>
        <v>1373.8655</v>
      </c>
      <c r="AM20" s="11" t="n">
        <f aca="false">Units!$E19*(1+Inputs!$B$7)^(AM$2-1)</f>
        <v>1415.081465</v>
      </c>
      <c r="AN20" s="11" t="n">
        <f aca="false">Units!$E19*(1+Inputs!$B$7)^(AN$2-1)</f>
        <v>1415.081465</v>
      </c>
      <c r="AO20" s="11" t="n">
        <f aca="false">Units!$E19*(1+Inputs!$B$7)^(AO$2-1)</f>
        <v>1415.081465</v>
      </c>
      <c r="AP20" s="11" t="n">
        <f aca="false">Units!$E19*(1+Inputs!$B$7)^(AP$2-1)</f>
        <v>1415.081465</v>
      </c>
      <c r="AQ20" s="11" t="n">
        <f aca="false">Units!$E19*(1+Inputs!$B$7)^(AQ$2-1)</f>
        <v>1415.081465</v>
      </c>
      <c r="AR20" s="11" t="n">
        <f aca="false">Units!$E19*(1+Inputs!$B$7)^(AR$2-1)</f>
        <v>1415.081465</v>
      </c>
      <c r="AS20" s="11" t="n">
        <f aca="false">Units!$E19*(1+Inputs!$B$7)^(AS$2-1)</f>
        <v>1415.081465</v>
      </c>
      <c r="AT20" s="11" t="n">
        <f aca="false">Units!$E19*(1+Inputs!$B$7)^(AT$2-1)</f>
        <v>1415.081465</v>
      </c>
      <c r="AU20" s="11" t="n">
        <f aca="false">Units!$E19*(1+Inputs!$B$7)^(AU$2-1)</f>
        <v>1415.081465</v>
      </c>
      <c r="AV20" s="11" t="n">
        <f aca="false">Units!$E19*(1+Inputs!$B$7)^(AV$2-1)</f>
        <v>1415.081465</v>
      </c>
      <c r="AW20" s="11" t="n">
        <f aca="false">Units!$E19*(1+Inputs!$B$7)^(AW$2-1)</f>
        <v>1415.081465</v>
      </c>
      <c r="AX20" s="11" t="n">
        <f aca="false">Units!$E19*(1+Inputs!$B$7)^(AX$2-1)</f>
        <v>1415.081465</v>
      </c>
      <c r="AY20" s="11" t="n">
        <f aca="false">Units!$E19*(1+Inputs!$B$7)^(AY$2-1)</f>
        <v>1457.53390895</v>
      </c>
      <c r="AZ20" s="11" t="n">
        <f aca="false">Units!$E19*(1+Inputs!$B$7)^(AZ$2-1)</f>
        <v>1457.53390895</v>
      </c>
      <c r="BA20" s="11" t="n">
        <f aca="false">Units!$E19*(1+Inputs!$B$7)^(BA$2-1)</f>
        <v>1457.53390895</v>
      </c>
      <c r="BB20" s="11" t="n">
        <f aca="false">Units!$E19*(1+Inputs!$B$7)^(BB$2-1)</f>
        <v>1457.53390895</v>
      </c>
      <c r="BC20" s="11" t="n">
        <f aca="false">Units!$E19*(1+Inputs!$B$7)^(BC$2-1)</f>
        <v>1457.53390895</v>
      </c>
      <c r="BD20" s="11" t="n">
        <f aca="false">Units!$E19*(1+Inputs!$B$7)^(BD$2-1)</f>
        <v>1457.53390895</v>
      </c>
      <c r="BE20" s="11" t="n">
        <f aca="false">Units!$E19*(1+Inputs!$B$7)^(BE$2-1)</f>
        <v>1457.53390895</v>
      </c>
      <c r="BF20" s="11" t="n">
        <f aca="false">Units!$E19*(1+Inputs!$B$7)^(BF$2-1)</f>
        <v>1457.53390895</v>
      </c>
      <c r="BG20" s="11" t="n">
        <f aca="false">Units!$E19*(1+Inputs!$B$7)^(BG$2-1)</f>
        <v>1457.53390895</v>
      </c>
      <c r="BH20" s="11" t="n">
        <f aca="false">Units!$E19*(1+Inputs!$B$7)^(BH$2-1)</f>
        <v>1457.53390895</v>
      </c>
      <c r="BI20" s="11" t="n">
        <f aca="false">Units!$E19*(1+Inputs!$B$7)^(BI$2-1)</f>
        <v>1457.53390895</v>
      </c>
      <c r="BJ20" s="11" t="n">
        <f aca="false">Units!$E19*(1+Inputs!$B$7)^(BJ$2-1)</f>
        <v>1457.53390895</v>
      </c>
      <c r="BK20" s="11" t="n">
        <f aca="false">Units!$E19*(1+Inputs!$B$7)^(BK$2-1)</f>
        <v>1501.2599262185</v>
      </c>
      <c r="BL20" s="11" t="n">
        <f aca="false">Units!$E19*(1+Inputs!$B$7)^(BL$2-1)</f>
        <v>1501.2599262185</v>
      </c>
      <c r="BM20" s="11" t="n">
        <f aca="false">Units!$E19*(1+Inputs!$B$7)^(BM$2-1)</f>
        <v>1501.2599262185</v>
      </c>
      <c r="BN20" s="11" t="n">
        <f aca="false">Units!$E19*(1+Inputs!$B$7)^(BN$2-1)</f>
        <v>1501.2599262185</v>
      </c>
      <c r="BO20" s="11" t="n">
        <f aca="false">Units!$E19*(1+Inputs!$B$7)^(BO$2-1)</f>
        <v>1501.2599262185</v>
      </c>
      <c r="BP20" s="11" t="n">
        <f aca="false">Units!$E19*(1+Inputs!$B$7)^(BP$2-1)</f>
        <v>1501.2599262185</v>
      </c>
      <c r="BQ20" s="11" t="n">
        <f aca="false">Units!$E19*(1+Inputs!$B$7)^(BQ$2-1)</f>
        <v>1501.2599262185</v>
      </c>
      <c r="BR20" s="11" t="n">
        <f aca="false">Units!$E19*(1+Inputs!$B$7)^(BR$2-1)</f>
        <v>1501.2599262185</v>
      </c>
      <c r="BS20" s="11" t="n">
        <f aca="false">Units!$E19*(1+Inputs!$B$7)^(BS$2-1)</f>
        <v>1501.2599262185</v>
      </c>
      <c r="BT20" s="11" t="n">
        <f aca="false">Units!$E19*(1+Inputs!$B$7)^(BT$2-1)</f>
        <v>1501.2599262185</v>
      </c>
      <c r="BU20" s="11" t="n">
        <f aca="false">Units!$E19*(1+Inputs!$B$7)^(BU$2-1)</f>
        <v>1501.2599262185</v>
      </c>
      <c r="BV20" s="11" t="n">
        <f aca="false">Units!$E19*(1+Inputs!$B$7)^(BV$2-1)</f>
        <v>1501.2599262185</v>
      </c>
      <c r="BW20" s="11" t="n">
        <f aca="false">Units!$E19*(1+Inputs!$B$7)^(BW$2-1)</f>
        <v>1546.29772400506</v>
      </c>
      <c r="BX20" s="11" t="n">
        <f aca="false">Units!$E19*(1+Inputs!$B$7)^(BX$2-1)</f>
        <v>1546.29772400506</v>
      </c>
      <c r="BY20" s="11" t="n">
        <f aca="false">Units!$E19*(1+Inputs!$B$7)^(BY$2-1)</f>
        <v>1546.29772400506</v>
      </c>
      <c r="BZ20" s="11" t="n">
        <f aca="false">Units!$E19*(1+Inputs!$B$7)^(BZ$2-1)</f>
        <v>1546.29772400506</v>
      </c>
      <c r="CA20" s="11" t="n">
        <f aca="false">Units!$E19*(1+Inputs!$B$7)^(CA$2-1)</f>
        <v>1546.29772400506</v>
      </c>
      <c r="CB20" s="11" t="n">
        <f aca="false">Units!$E19*(1+Inputs!$B$7)^(CB$2-1)</f>
        <v>1546.29772400506</v>
      </c>
      <c r="CC20" s="11" t="n">
        <f aca="false">Units!$E19*(1+Inputs!$B$7)^(CC$2-1)</f>
        <v>1546.29772400506</v>
      </c>
      <c r="CD20" s="11" t="n">
        <f aca="false">Units!$E19*(1+Inputs!$B$7)^(CD$2-1)</f>
        <v>1546.29772400506</v>
      </c>
      <c r="CE20" s="11" t="n">
        <f aca="false">Units!$E19*(1+Inputs!$B$7)^(CE$2-1)</f>
        <v>1546.29772400506</v>
      </c>
      <c r="CF20" s="11" t="n">
        <f aca="false">Units!$E19*(1+Inputs!$B$7)^(CF$2-1)</f>
        <v>1546.29772400506</v>
      </c>
      <c r="CG20" s="11" t="n">
        <f aca="false">Units!$E19*(1+Inputs!$B$7)^(CG$2-1)</f>
        <v>1546.29772400506</v>
      </c>
      <c r="CH20" s="11" t="n">
        <f aca="false">Units!$E19*(1+Inputs!$B$7)^(CH$2-1)</f>
        <v>1546.29772400506</v>
      </c>
      <c r="CI20" s="11" t="n">
        <f aca="false">Units!$E19*(1+Inputs!$B$7)^(CI$2-1)</f>
        <v>1592.68665572521</v>
      </c>
      <c r="CJ20" s="11" t="n">
        <f aca="false">Units!$E19*(1+Inputs!$B$7)^(CJ$2-1)</f>
        <v>1592.68665572521</v>
      </c>
      <c r="CK20" s="11" t="n">
        <f aca="false">Units!$E19*(1+Inputs!$B$7)^(CK$2-1)</f>
        <v>1592.68665572521</v>
      </c>
      <c r="CL20" s="11" t="n">
        <f aca="false">Units!$E19*(1+Inputs!$B$7)^(CL$2-1)</f>
        <v>1592.68665572521</v>
      </c>
      <c r="CM20" s="11" t="n">
        <f aca="false">Units!$E19*(1+Inputs!$B$7)^(CM$2-1)</f>
        <v>1592.68665572521</v>
      </c>
      <c r="CN20" s="11" t="n">
        <f aca="false">Units!$E19*(1+Inputs!$B$7)^(CN$2-1)</f>
        <v>1592.68665572521</v>
      </c>
      <c r="CO20" s="11" t="n">
        <f aca="false">Units!$E19*(1+Inputs!$B$7)^(CO$2-1)</f>
        <v>1592.68665572521</v>
      </c>
      <c r="CP20" s="11" t="n">
        <f aca="false">Units!$E19*(1+Inputs!$B$7)^(CP$2-1)</f>
        <v>1592.68665572521</v>
      </c>
      <c r="CQ20" s="11" t="n">
        <f aca="false">Units!$E19*(1+Inputs!$B$7)^(CQ$2-1)</f>
        <v>1592.68665572521</v>
      </c>
      <c r="CR20" s="11" t="n">
        <f aca="false">Units!$E19*(1+Inputs!$B$7)^(CR$2-1)</f>
        <v>1592.68665572521</v>
      </c>
      <c r="CS20" s="11" t="n">
        <f aca="false">Units!$E19*(1+Inputs!$B$7)^(CS$2-1)</f>
        <v>1592.68665572521</v>
      </c>
      <c r="CT20" s="11" t="n">
        <f aca="false">Units!$E19*(1+Inputs!$B$7)^(CT$2-1)</f>
        <v>1592.68665572521</v>
      </c>
      <c r="CU20" s="11" t="n">
        <f aca="false">Units!$E19*(1+Inputs!$B$7)^(CU$2-1)</f>
        <v>1640.46725539696</v>
      </c>
      <c r="CV20" s="11" t="n">
        <f aca="false">Units!$E19*(1+Inputs!$B$7)^(CV$2-1)</f>
        <v>1640.46725539696</v>
      </c>
      <c r="CW20" s="11" t="n">
        <f aca="false">Units!$E19*(1+Inputs!$B$7)^(CW$2-1)</f>
        <v>1640.46725539696</v>
      </c>
      <c r="CX20" s="11" t="n">
        <f aca="false">Units!$E19*(1+Inputs!$B$7)^(CX$2-1)</f>
        <v>1640.46725539696</v>
      </c>
      <c r="CY20" s="11" t="n">
        <f aca="false">Units!$E19*(1+Inputs!$B$7)^(CY$2-1)</f>
        <v>1640.46725539696</v>
      </c>
      <c r="CZ20" s="11" t="n">
        <f aca="false">Units!$E19*(1+Inputs!$B$7)^(CZ$2-1)</f>
        <v>1640.46725539696</v>
      </c>
      <c r="DA20" s="11" t="n">
        <f aca="false">Units!$E19*(1+Inputs!$B$7)^(DA$2-1)</f>
        <v>1640.46725539696</v>
      </c>
      <c r="DB20" s="11" t="n">
        <f aca="false">Units!$E19*(1+Inputs!$B$7)^(DB$2-1)</f>
        <v>1640.46725539696</v>
      </c>
      <c r="DC20" s="11" t="n">
        <f aca="false">Units!$E19*(1+Inputs!$B$7)^(DC$2-1)</f>
        <v>1640.46725539696</v>
      </c>
      <c r="DD20" s="11" t="n">
        <f aca="false">Units!$E19*(1+Inputs!$B$7)^(DD$2-1)</f>
        <v>1640.46725539696</v>
      </c>
      <c r="DE20" s="11" t="n">
        <f aca="false">Units!$E19*(1+Inputs!$B$7)^(DE$2-1)</f>
        <v>1640.46725539696</v>
      </c>
      <c r="DF20" s="11" t="n">
        <f aca="false">Units!$E19*(1+Inputs!$B$7)^(DF$2-1)</f>
        <v>1640.46725539696</v>
      </c>
      <c r="DG20" s="11" t="n">
        <f aca="false">Units!$E19*(1+Inputs!$B$7)^(DG$2-1)</f>
        <v>1689.68127305887</v>
      </c>
      <c r="DH20" s="11" t="n">
        <f aca="false">Units!$E19*(1+Inputs!$B$7)^(DH$2-1)</f>
        <v>1689.68127305887</v>
      </c>
      <c r="DI20" s="11" t="n">
        <f aca="false">Units!$E19*(1+Inputs!$B$7)^(DI$2-1)</f>
        <v>1689.68127305887</v>
      </c>
      <c r="DJ20" s="11" t="n">
        <f aca="false">Units!$E19*(1+Inputs!$B$7)^(DJ$2-1)</f>
        <v>1689.68127305887</v>
      </c>
      <c r="DK20" s="11" t="n">
        <f aca="false">Units!$E19*(1+Inputs!$B$7)^(DK$2-1)</f>
        <v>1689.68127305887</v>
      </c>
      <c r="DL20" s="11" t="n">
        <f aca="false">Units!$E19*(1+Inputs!$B$7)^(DL$2-1)</f>
        <v>1689.68127305887</v>
      </c>
      <c r="DM20" s="11" t="n">
        <f aca="false">Units!$E19*(1+Inputs!$B$7)^(DM$2-1)</f>
        <v>1689.68127305887</v>
      </c>
      <c r="DN20" s="11" t="n">
        <f aca="false">Units!$E19*(1+Inputs!$B$7)^(DN$2-1)</f>
        <v>1689.68127305887</v>
      </c>
      <c r="DO20" s="11" t="n">
        <f aca="false">Units!$E19*(1+Inputs!$B$7)^(DO$2-1)</f>
        <v>1689.68127305887</v>
      </c>
      <c r="DP20" s="11" t="n">
        <f aca="false">Units!$E19*(1+Inputs!$B$7)^(DP$2-1)</f>
        <v>1689.68127305887</v>
      </c>
      <c r="DQ20" s="11" t="n">
        <f aca="false">Units!$E19*(1+Inputs!$B$7)^(DQ$2-1)</f>
        <v>1689.68127305887</v>
      </c>
      <c r="DR20" s="11" t="n">
        <f aca="false">Units!$E19*(1+Inputs!$B$7)^(DR$2-1)</f>
        <v>1689.68127305887</v>
      </c>
      <c r="DS20" s="11" t="n">
        <f aca="false">Units!$E19*(1+Inputs!$B$7)^(DS$2-1)</f>
        <v>1740.37171125064</v>
      </c>
      <c r="DT20" s="11" t="n">
        <f aca="false">Units!$E19*(1+Inputs!$B$7)^(DT$2-1)</f>
        <v>1740.37171125064</v>
      </c>
      <c r="DU20" s="11" t="n">
        <f aca="false">Units!$E19*(1+Inputs!$B$7)^(DU$2-1)</f>
        <v>1740.37171125064</v>
      </c>
      <c r="DV20" s="11" t="n">
        <f aca="false">Units!$E19*(1+Inputs!$B$7)^(DV$2-1)</f>
        <v>1740.37171125064</v>
      </c>
      <c r="DW20" s="11" t="n">
        <f aca="false">Units!$E19*(1+Inputs!$B$7)^(DW$2-1)</f>
        <v>1740.37171125064</v>
      </c>
      <c r="DX20" s="11" t="n">
        <f aca="false">Units!$E19*(1+Inputs!$B$7)^(DX$2-1)</f>
        <v>1740.37171125064</v>
      </c>
      <c r="DY20" s="11" t="n">
        <f aca="false">Units!$E19*(1+Inputs!$B$7)^(DY$2-1)</f>
        <v>1740.37171125064</v>
      </c>
      <c r="DZ20" s="11" t="n">
        <f aca="false">Units!$E19*(1+Inputs!$B$7)^(DZ$2-1)</f>
        <v>1740.37171125064</v>
      </c>
      <c r="EA20" s="11" t="n">
        <f aca="false">Units!$E19*(1+Inputs!$B$7)^(EA$2-1)</f>
        <v>1740.37171125064</v>
      </c>
      <c r="EB20" s="11" t="n">
        <f aca="false">Units!$E19*(1+Inputs!$B$7)^(EB$2-1)</f>
        <v>1740.37171125064</v>
      </c>
      <c r="EC20" s="11" t="n">
        <f aca="false">Units!$E19*(1+Inputs!$B$7)^(EC$2-1)</f>
        <v>1740.37171125064</v>
      </c>
      <c r="ED20" s="11" t="n">
        <f aca="false">Units!$E19*(1+Inputs!$B$7)^(ED$2-1)</f>
        <v>1740.37171125064</v>
      </c>
    </row>
    <row r="21" customFormat="false" ht="15" hidden="false" customHeight="false" outlineLevel="0" collapsed="false">
      <c r="A21" s="22" t="n">
        <f aca="false">Units!A20</f>
        <v>119</v>
      </c>
      <c r="B21" s="23"/>
      <c r="C21" s="11" t="n">
        <f aca="false">Units!$E20*(1+Inputs!$B$7)^(C$2-1)</f>
        <v>1295</v>
      </c>
      <c r="D21" s="11" t="n">
        <f aca="false">Units!$E20*(1+Inputs!$B$7)^(D$2-1)</f>
        <v>1295</v>
      </c>
      <c r="E21" s="11" t="n">
        <f aca="false">Units!$E20*(1+Inputs!$B$7)^(E$2-1)</f>
        <v>1295</v>
      </c>
      <c r="F21" s="11" t="n">
        <f aca="false">Units!$E20*(1+Inputs!$B$7)^(F$2-1)</f>
        <v>1295</v>
      </c>
      <c r="G21" s="11" t="n">
        <f aca="false">Units!$E20*(1+Inputs!$B$7)^(G$2-1)</f>
        <v>1295</v>
      </c>
      <c r="H21" s="11" t="n">
        <f aca="false">Units!$E20*(1+Inputs!$B$7)^(H$2-1)</f>
        <v>1295</v>
      </c>
      <c r="I21" s="11" t="n">
        <f aca="false">Units!$E20*(1+Inputs!$B$7)^(I$2-1)</f>
        <v>1295</v>
      </c>
      <c r="J21" s="11" t="n">
        <f aca="false">Units!$E20*(1+Inputs!$B$7)^(J$2-1)</f>
        <v>1295</v>
      </c>
      <c r="K21" s="11" t="n">
        <f aca="false">Units!$E20*(1+Inputs!$B$7)^(K$2-1)</f>
        <v>1295</v>
      </c>
      <c r="L21" s="11" t="n">
        <f aca="false">Units!$E20*(1+Inputs!$B$7)^(L$2-1)</f>
        <v>1295</v>
      </c>
      <c r="M21" s="11" t="n">
        <f aca="false">Units!$E20*(1+Inputs!$B$7)^(M$2-1)</f>
        <v>1295</v>
      </c>
      <c r="N21" s="11" t="n">
        <f aca="false">Units!$E20*(1+Inputs!$B$7)^(N$2-1)</f>
        <v>1295</v>
      </c>
      <c r="O21" s="11" t="n">
        <f aca="false">Units!$E20*(1+Inputs!$B$7)^(O$2-1)</f>
        <v>1333.85</v>
      </c>
      <c r="P21" s="11" t="n">
        <f aca="false">Units!$E20*(1+Inputs!$B$7)^(P$2-1)</f>
        <v>1333.85</v>
      </c>
      <c r="Q21" s="11" t="n">
        <f aca="false">Units!$E20*(1+Inputs!$B$7)^(Q$2-1)</f>
        <v>1333.85</v>
      </c>
      <c r="R21" s="11" t="n">
        <f aca="false">Units!$E20*(1+Inputs!$B$7)^(R$2-1)</f>
        <v>1333.85</v>
      </c>
      <c r="S21" s="11" t="n">
        <f aca="false">Units!$E20*(1+Inputs!$B$7)^(S$2-1)</f>
        <v>1333.85</v>
      </c>
      <c r="T21" s="11" t="n">
        <f aca="false">Units!$E20*(1+Inputs!$B$7)^(T$2-1)</f>
        <v>1333.85</v>
      </c>
      <c r="U21" s="11" t="n">
        <f aca="false">Units!$E20*(1+Inputs!$B$7)^(U$2-1)</f>
        <v>1333.85</v>
      </c>
      <c r="V21" s="11" t="n">
        <f aca="false">Units!$E20*(1+Inputs!$B$7)^(V$2-1)</f>
        <v>1333.85</v>
      </c>
      <c r="W21" s="11" t="n">
        <f aca="false">Units!$E20*(1+Inputs!$B$7)^(W$2-1)</f>
        <v>1333.85</v>
      </c>
      <c r="X21" s="11" t="n">
        <f aca="false">Units!$E20*(1+Inputs!$B$7)^(X$2-1)</f>
        <v>1333.85</v>
      </c>
      <c r="Y21" s="11" t="n">
        <f aca="false">Units!$E20*(1+Inputs!$B$7)^(Y$2-1)</f>
        <v>1333.85</v>
      </c>
      <c r="Z21" s="11" t="n">
        <f aca="false">Units!$E20*(1+Inputs!$B$7)^(Z$2-1)</f>
        <v>1333.85</v>
      </c>
      <c r="AA21" s="11" t="n">
        <f aca="false">Units!$E20*(1+Inputs!$B$7)^(AA$2-1)</f>
        <v>1373.8655</v>
      </c>
      <c r="AB21" s="11" t="n">
        <f aca="false">Units!$E20*(1+Inputs!$B$7)^(AB$2-1)</f>
        <v>1373.8655</v>
      </c>
      <c r="AC21" s="11" t="n">
        <f aca="false">Units!$E20*(1+Inputs!$B$7)^(AC$2-1)</f>
        <v>1373.8655</v>
      </c>
      <c r="AD21" s="11" t="n">
        <f aca="false">Units!$E20*(1+Inputs!$B$7)^(AD$2-1)</f>
        <v>1373.8655</v>
      </c>
      <c r="AE21" s="11" t="n">
        <f aca="false">Units!$E20*(1+Inputs!$B$7)^(AE$2-1)</f>
        <v>1373.8655</v>
      </c>
      <c r="AF21" s="11" t="n">
        <f aca="false">Units!$E20*(1+Inputs!$B$7)^(AF$2-1)</f>
        <v>1373.8655</v>
      </c>
      <c r="AG21" s="11" t="n">
        <f aca="false">Units!$E20*(1+Inputs!$B$7)^(AG$2-1)</f>
        <v>1373.8655</v>
      </c>
      <c r="AH21" s="11" t="n">
        <f aca="false">Units!$E20*(1+Inputs!$B$7)^(AH$2-1)</f>
        <v>1373.8655</v>
      </c>
      <c r="AI21" s="11" t="n">
        <f aca="false">Units!$E20*(1+Inputs!$B$7)^(AI$2-1)</f>
        <v>1373.8655</v>
      </c>
      <c r="AJ21" s="11" t="n">
        <f aca="false">Units!$E20*(1+Inputs!$B$7)^(AJ$2-1)</f>
        <v>1373.8655</v>
      </c>
      <c r="AK21" s="11" t="n">
        <f aca="false">Units!$E20*(1+Inputs!$B$7)^(AK$2-1)</f>
        <v>1373.8655</v>
      </c>
      <c r="AL21" s="11" t="n">
        <f aca="false">Units!$E20*(1+Inputs!$B$7)^(AL$2-1)</f>
        <v>1373.8655</v>
      </c>
      <c r="AM21" s="11" t="n">
        <f aca="false">Units!$E20*(1+Inputs!$B$7)^(AM$2-1)</f>
        <v>1415.081465</v>
      </c>
      <c r="AN21" s="11" t="n">
        <f aca="false">Units!$E20*(1+Inputs!$B$7)^(AN$2-1)</f>
        <v>1415.081465</v>
      </c>
      <c r="AO21" s="11" t="n">
        <f aca="false">Units!$E20*(1+Inputs!$B$7)^(AO$2-1)</f>
        <v>1415.081465</v>
      </c>
      <c r="AP21" s="11" t="n">
        <f aca="false">Units!$E20*(1+Inputs!$B$7)^(AP$2-1)</f>
        <v>1415.081465</v>
      </c>
      <c r="AQ21" s="11" t="n">
        <f aca="false">Units!$E20*(1+Inputs!$B$7)^(AQ$2-1)</f>
        <v>1415.081465</v>
      </c>
      <c r="AR21" s="11" t="n">
        <f aca="false">Units!$E20*(1+Inputs!$B$7)^(AR$2-1)</f>
        <v>1415.081465</v>
      </c>
      <c r="AS21" s="11" t="n">
        <f aca="false">Units!$E20*(1+Inputs!$B$7)^(AS$2-1)</f>
        <v>1415.081465</v>
      </c>
      <c r="AT21" s="11" t="n">
        <f aca="false">Units!$E20*(1+Inputs!$B$7)^(AT$2-1)</f>
        <v>1415.081465</v>
      </c>
      <c r="AU21" s="11" t="n">
        <f aca="false">Units!$E20*(1+Inputs!$B$7)^(AU$2-1)</f>
        <v>1415.081465</v>
      </c>
      <c r="AV21" s="11" t="n">
        <f aca="false">Units!$E20*(1+Inputs!$B$7)^(AV$2-1)</f>
        <v>1415.081465</v>
      </c>
      <c r="AW21" s="11" t="n">
        <f aca="false">Units!$E20*(1+Inputs!$B$7)^(AW$2-1)</f>
        <v>1415.081465</v>
      </c>
      <c r="AX21" s="11" t="n">
        <f aca="false">Units!$E20*(1+Inputs!$B$7)^(AX$2-1)</f>
        <v>1415.081465</v>
      </c>
      <c r="AY21" s="11" t="n">
        <f aca="false">Units!$E20*(1+Inputs!$B$7)^(AY$2-1)</f>
        <v>1457.53390895</v>
      </c>
      <c r="AZ21" s="11" t="n">
        <f aca="false">Units!$E20*(1+Inputs!$B$7)^(AZ$2-1)</f>
        <v>1457.53390895</v>
      </c>
      <c r="BA21" s="11" t="n">
        <f aca="false">Units!$E20*(1+Inputs!$B$7)^(BA$2-1)</f>
        <v>1457.53390895</v>
      </c>
      <c r="BB21" s="11" t="n">
        <f aca="false">Units!$E20*(1+Inputs!$B$7)^(BB$2-1)</f>
        <v>1457.53390895</v>
      </c>
      <c r="BC21" s="11" t="n">
        <f aca="false">Units!$E20*(1+Inputs!$B$7)^(BC$2-1)</f>
        <v>1457.53390895</v>
      </c>
      <c r="BD21" s="11" t="n">
        <f aca="false">Units!$E20*(1+Inputs!$B$7)^(BD$2-1)</f>
        <v>1457.53390895</v>
      </c>
      <c r="BE21" s="11" t="n">
        <f aca="false">Units!$E20*(1+Inputs!$B$7)^(BE$2-1)</f>
        <v>1457.53390895</v>
      </c>
      <c r="BF21" s="11" t="n">
        <f aca="false">Units!$E20*(1+Inputs!$B$7)^(BF$2-1)</f>
        <v>1457.53390895</v>
      </c>
      <c r="BG21" s="11" t="n">
        <f aca="false">Units!$E20*(1+Inputs!$B$7)^(BG$2-1)</f>
        <v>1457.53390895</v>
      </c>
      <c r="BH21" s="11" t="n">
        <f aca="false">Units!$E20*(1+Inputs!$B$7)^(BH$2-1)</f>
        <v>1457.53390895</v>
      </c>
      <c r="BI21" s="11" t="n">
        <f aca="false">Units!$E20*(1+Inputs!$B$7)^(BI$2-1)</f>
        <v>1457.53390895</v>
      </c>
      <c r="BJ21" s="11" t="n">
        <f aca="false">Units!$E20*(1+Inputs!$B$7)^(BJ$2-1)</f>
        <v>1457.53390895</v>
      </c>
      <c r="BK21" s="11" t="n">
        <f aca="false">Units!$E20*(1+Inputs!$B$7)^(BK$2-1)</f>
        <v>1501.2599262185</v>
      </c>
      <c r="BL21" s="11" t="n">
        <f aca="false">Units!$E20*(1+Inputs!$B$7)^(BL$2-1)</f>
        <v>1501.2599262185</v>
      </c>
      <c r="BM21" s="11" t="n">
        <f aca="false">Units!$E20*(1+Inputs!$B$7)^(BM$2-1)</f>
        <v>1501.2599262185</v>
      </c>
      <c r="BN21" s="11" t="n">
        <f aca="false">Units!$E20*(1+Inputs!$B$7)^(BN$2-1)</f>
        <v>1501.2599262185</v>
      </c>
      <c r="BO21" s="11" t="n">
        <f aca="false">Units!$E20*(1+Inputs!$B$7)^(BO$2-1)</f>
        <v>1501.2599262185</v>
      </c>
      <c r="BP21" s="11" t="n">
        <f aca="false">Units!$E20*(1+Inputs!$B$7)^(BP$2-1)</f>
        <v>1501.2599262185</v>
      </c>
      <c r="BQ21" s="11" t="n">
        <f aca="false">Units!$E20*(1+Inputs!$B$7)^(BQ$2-1)</f>
        <v>1501.2599262185</v>
      </c>
      <c r="BR21" s="11" t="n">
        <f aca="false">Units!$E20*(1+Inputs!$B$7)^(BR$2-1)</f>
        <v>1501.2599262185</v>
      </c>
      <c r="BS21" s="11" t="n">
        <f aca="false">Units!$E20*(1+Inputs!$B$7)^(BS$2-1)</f>
        <v>1501.2599262185</v>
      </c>
      <c r="BT21" s="11" t="n">
        <f aca="false">Units!$E20*(1+Inputs!$B$7)^(BT$2-1)</f>
        <v>1501.2599262185</v>
      </c>
      <c r="BU21" s="11" t="n">
        <f aca="false">Units!$E20*(1+Inputs!$B$7)^(BU$2-1)</f>
        <v>1501.2599262185</v>
      </c>
      <c r="BV21" s="11" t="n">
        <f aca="false">Units!$E20*(1+Inputs!$B$7)^(BV$2-1)</f>
        <v>1501.2599262185</v>
      </c>
      <c r="BW21" s="11" t="n">
        <f aca="false">Units!$E20*(1+Inputs!$B$7)^(BW$2-1)</f>
        <v>1546.29772400506</v>
      </c>
      <c r="BX21" s="11" t="n">
        <f aca="false">Units!$E20*(1+Inputs!$B$7)^(BX$2-1)</f>
        <v>1546.29772400506</v>
      </c>
      <c r="BY21" s="11" t="n">
        <f aca="false">Units!$E20*(1+Inputs!$B$7)^(BY$2-1)</f>
        <v>1546.29772400506</v>
      </c>
      <c r="BZ21" s="11" t="n">
        <f aca="false">Units!$E20*(1+Inputs!$B$7)^(BZ$2-1)</f>
        <v>1546.29772400506</v>
      </c>
      <c r="CA21" s="11" t="n">
        <f aca="false">Units!$E20*(1+Inputs!$B$7)^(CA$2-1)</f>
        <v>1546.29772400506</v>
      </c>
      <c r="CB21" s="11" t="n">
        <f aca="false">Units!$E20*(1+Inputs!$B$7)^(CB$2-1)</f>
        <v>1546.29772400506</v>
      </c>
      <c r="CC21" s="11" t="n">
        <f aca="false">Units!$E20*(1+Inputs!$B$7)^(CC$2-1)</f>
        <v>1546.29772400506</v>
      </c>
      <c r="CD21" s="11" t="n">
        <f aca="false">Units!$E20*(1+Inputs!$B$7)^(CD$2-1)</f>
        <v>1546.29772400506</v>
      </c>
      <c r="CE21" s="11" t="n">
        <f aca="false">Units!$E20*(1+Inputs!$B$7)^(CE$2-1)</f>
        <v>1546.29772400506</v>
      </c>
      <c r="CF21" s="11" t="n">
        <f aca="false">Units!$E20*(1+Inputs!$B$7)^(CF$2-1)</f>
        <v>1546.29772400506</v>
      </c>
      <c r="CG21" s="11" t="n">
        <f aca="false">Units!$E20*(1+Inputs!$B$7)^(CG$2-1)</f>
        <v>1546.29772400506</v>
      </c>
      <c r="CH21" s="11" t="n">
        <f aca="false">Units!$E20*(1+Inputs!$B$7)^(CH$2-1)</f>
        <v>1546.29772400506</v>
      </c>
      <c r="CI21" s="11" t="n">
        <f aca="false">Units!$E20*(1+Inputs!$B$7)^(CI$2-1)</f>
        <v>1592.68665572521</v>
      </c>
      <c r="CJ21" s="11" t="n">
        <f aca="false">Units!$E20*(1+Inputs!$B$7)^(CJ$2-1)</f>
        <v>1592.68665572521</v>
      </c>
      <c r="CK21" s="11" t="n">
        <f aca="false">Units!$E20*(1+Inputs!$B$7)^(CK$2-1)</f>
        <v>1592.68665572521</v>
      </c>
      <c r="CL21" s="11" t="n">
        <f aca="false">Units!$E20*(1+Inputs!$B$7)^(CL$2-1)</f>
        <v>1592.68665572521</v>
      </c>
      <c r="CM21" s="11" t="n">
        <f aca="false">Units!$E20*(1+Inputs!$B$7)^(CM$2-1)</f>
        <v>1592.68665572521</v>
      </c>
      <c r="CN21" s="11" t="n">
        <f aca="false">Units!$E20*(1+Inputs!$B$7)^(CN$2-1)</f>
        <v>1592.68665572521</v>
      </c>
      <c r="CO21" s="11" t="n">
        <f aca="false">Units!$E20*(1+Inputs!$B$7)^(CO$2-1)</f>
        <v>1592.68665572521</v>
      </c>
      <c r="CP21" s="11" t="n">
        <f aca="false">Units!$E20*(1+Inputs!$B$7)^(CP$2-1)</f>
        <v>1592.68665572521</v>
      </c>
      <c r="CQ21" s="11" t="n">
        <f aca="false">Units!$E20*(1+Inputs!$B$7)^(CQ$2-1)</f>
        <v>1592.68665572521</v>
      </c>
      <c r="CR21" s="11" t="n">
        <f aca="false">Units!$E20*(1+Inputs!$B$7)^(CR$2-1)</f>
        <v>1592.68665572521</v>
      </c>
      <c r="CS21" s="11" t="n">
        <f aca="false">Units!$E20*(1+Inputs!$B$7)^(CS$2-1)</f>
        <v>1592.68665572521</v>
      </c>
      <c r="CT21" s="11" t="n">
        <f aca="false">Units!$E20*(1+Inputs!$B$7)^(CT$2-1)</f>
        <v>1592.68665572521</v>
      </c>
      <c r="CU21" s="11" t="n">
        <f aca="false">Units!$E20*(1+Inputs!$B$7)^(CU$2-1)</f>
        <v>1640.46725539696</v>
      </c>
      <c r="CV21" s="11" t="n">
        <f aca="false">Units!$E20*(1+Inputs!$B$7)^(CV$2-1)</f>
        <v>1640.46725539696</v>
      </c>
      <c r="CW21" s="11" t="n">
        <f aca="false">Units!$E20*(1+Inputs!$B$7)^(CW$2-1)</f>
        <v>1640.46725539696</v>
      </c>
      <c r="CX21" s="11" t="n">
        <f aca="false">Units!$E20*(1+Inputs!$B$7)^(CX$2-1)</f>
        <v>1640.46725539696</v>
      </c>
      <c r="CY21" s="11" t="n">
        <f aca="false">Units!$E20*(1+Inputs!$B$7)^(CY$2-1)</f>
        <v>1640.46725539696</v>
      </c>
      <c r="CZ21" s="11" t="n">
        <f aca="false">Units!$E20*(1+Inputs!$B$7)^(CZ$2-1)</f>
        <v>1640.46725539696</v>
      </c>
      <c r="DA21" s="11" t="n">
        <f aca="false">Units!$E20*(1+Inputs!$B$7)^(DA$2-1)</f>
        <v>1640.46725539696</v>
      </c>
      <c r="DB21" s="11" t="n">
        <f aca="false">Units!$E20*(1+Inputs!$B$7)^(DB$2-1)</f>
        <v>1640.46725539696</v>
      </c>
      <c r="DC21" s="11" t="n">
        <f aca="false">Units!$E20*(1+Inputs!$B$7)^(DC$2-1)</f>
        <v>1640.46725539696</v>
      </c>
      <c r="DD21" s="11" t="n">
        <f aca="false">Units!$E20*(1+Inputs!$B$7)^(DD$2-1)</f>
        <v>1640.46725539696</v>
      </c>
      <c r="DE21" s="11" t="n">
        <f aca="false">Units!$E20*(1+Inputs!$B$7)^(DE$2-1)</f>
        <v>1640.46725539696</v>
      </c>
      <c r="DF21" s="11" t="n">
        <f aca="false">Units!$E20*(1+Inputs!$B$7)^(DF$2-1)</f>
        <v>1640.46725539696</v>
      </c>
      <c r="DG21" s="11" t="n">
        <f aca="false">Units!$E20*(1+Inputs!$B$7)^(DG$2-1)</f>
        <v>1689.68127305887</v>
      </c>
      <c r="DH21" s="11" t="n">
        <f aca="false">Units!$E20*(1+Inputs!$B$7)^(DH$2-1)</f>
        <v>1689.68127305887</v>
      </c>
      <c r="DI21" s="11" t="n">
        <f aca="false">Units!$E20*(1+Inputs!$B$7)^(DI$2-1)</f>
        <v>1689.68127305887</v>
      </c>
      <c r="DJ21" s="11" t="n">
        <f aca="false">Units!$E20*(1+Inputs!$B$7)^(DJ$2-1)</f>
        <v>1689.68127305887</v>
      </c>
      <c r="DK21" s="11" t="n">
        <f aca="false">Units!$E20*(1+Inputs!$B$7)^(DK$2-1)</f>
        <v>1689.68127305887</v>
      </c>
      <c r="DL21" s="11" t="n">
        <f aca="false">Units!$E20*(1+Inputs!$B$7)^(DL$2-1)</f>
        <v>1689.68127305887</v>
      </c>
      <c r="DM21" s="11" t="n">
        <f aca="false">Units!$E20*(1+Inputs!$B$7)^(DM$2-1)</f>
        <v>1689.68127305887</v>
      </c>
      <c r="DN21" s="11" t="n">
        <f aca="false">Units!$E20*(1+Inputs!$B$7)^(DN$2-1)</f>
        <v>1689.68127305887</v>
      </c>
      <c r="DO21" s="11" t="n">
        <f aca="false">Units!$E20*(1+Inputs!$B$7)^(DO$2-1)</f>
        <v>1689.68127305887</v>
      </c>
      <c r="DP21" s="11" t="n">
        <f aca="false">Units!$E20*(1+Inputs!$B$7)^(DP$2-1)</f>
        <v>1689.68127305887</v>
      </c>
      <c r="DQ21" s="11" t="n">
        <f aca="false">Units!$E20*(1+Inputs!$B$7)^(DQ$2-1)</f>
        <v>1689.68127305887</v>
      </c>
      <c r="DR21" s="11" t="n">
        <f aca="false">Units!$E20*(1+Inputs!$B$7)^(DR$2-1)</f>
        <v>1689.68127305887</v>
      </c>
      <c r="DS21" s="11" t="n">
        <f aca="false">Units!$E20*(1+Inputs!$B$7)^(DS$2-1)</f>
        <v>1740.37171125064</v>
      </c>
      <c r="DT21" s="11" t="n">
        <f aca="false">Units!$E20*(1+Inputs!$B$7)^(DT$2-1)</f>
        <v>1740.37171125064</v>
      </c>
      <c r="DU21" s="11" t="n">
        <f aca="false">Units!$E20*(1+Inputs!$B$7)^(DU$2-1)</f>
        <v>1740.37171125064</v>
      </c>
      <c r="DV21" s="11" t="n">
        <f aca="false">Units!$E20*(1+Inputs!$B$7)^(DV$2-1)</f>
        <v>1740.37171125064</v>
      </c>
      <c r="DW21" s="11" t="n">
        <f aca="false">Units!$E20*(1+Inputs!$B$7)^(DW$2-1)</f>
        <v>1740.37171125064</v>
      </c>
      <c r="DX21" s="11" t="n">
        <f aca="false">Units!$E20*(1+Inputs!$B$7)^(DX$2-1)</f>
        <v>1740.37171125064</v>
      </c>
      <c r="DY21" s="11" t="n">
        <f aca="false">Units!$E20*(1+Inputs!$B$7)^(DY$2-1)</f>
        <v>1740.37171125064</v>
      </c>
      <c r="DZ21" s="11" t="n">
        <f aca="false">Units!$E20*(1+Inputs!$B$7)^(DZ$2-1)</f>
        <v>1740.37171125064</v>
      </c>
      <c r="EA21" s="11" t="n">
        <f aca="false">Units!$E20*(1+Inputs!$B$7)^(EA$2-1)</f>
        <v>1740.37171125064</v>
      </c>
      <c r="EB21" s="11" t="n">
        <f aca="false">Units!$E20*(1+Inputs!$B$7)^(EB$2-1)</f>
        <v>1740.37171125064</v>
      </c>
      <c r="EC21" s="11" t="n">
        <f aca="false">Units!$E20*(1+Inputs!$B$7)^(EC$2-1)</f>
        <v>1740.37171125064</v>
      </c>
      <c r="ED21" s="11" t="n">
        <f aca="false">Units!$E20*(1+Inputs!$B$7)^(ED$2-1)</f>
        <v>1740.37171125064</v>
      </c>
    </row>
    <row r="22" customFormat="false" ht="15" hidden="false" customHeight="false" outlineLevel="0" collapsed="false">
      <c r="A22" s="22" t="n">
        <f aca="false">Units!A21</f>
        <v>120</v>
      </c>
      <c r="B22" s="23"/>
      <c r="C22" s="11" t="n">
        <f aca="false">Units!$E21*(1+Inputs!$B$7)^(C$2-1)</f>
        <v>1295</v>
      </c>
      <c r="D22" s="11" t="n">
        <f aca="false">Units!$E21*(1+Inputs!$B$7)^(D$2-1)</f>
        <v>1295</v>
      </c>
      <c r="E22" s="11" t="n">
        <f aca="false">Units!$E21*(1+Inputs!$B$7)^(E$2-1)</f>
        <v>1295</v>
      </c>
      <c r="F22" s="11" t="n">
        <f aca="false">Units!$E21*(1+Inputs!$B$7)^(F$2-1)</f>
        <v>1295</v>
      </c>
      <c r="G22" s="11" t="n">
        <f aca="false">Units!$E21*(1+Inputs!$B$7)^(G$2-1)</f>
        <v>1295</v>
      </c>
      <c r="H22" s="11" t="n">
        <f aca="false">Units!$E21*(1+Inputs!$B$7)^(H$2-1)</f>
        <v>1295</v>
      </c>
      <c r="I22" s="11" t="n">
        <f aca="false">Units!$E21*(1+Inputs!$B$7)^(I$2-1)</f>
        <v>1295</v>
      </c>
      <c r="J22" s="11" t="n">
        <f aca="false">Units!$E21*(1+Inputs!$B$7)^(J$2-1)</f>
        <v>1295</v>
      </c>
      <c r="K22" s="11" t="n">
        <f aca="false">Units!$E21*(1+Inputs!$B$7)^(K$2-1)</f>
        <v>1295</v>
      </c>
      <c r="L22" s="11" t="n">
        <f aca="false">Units!$E21*(1+Inputs!$B$7)^(L$2-1)</f>
        <v>1295</v>
      </c>
      <c r="M22" s="11" t="n">
        <f aca="false">Units!$E21*(1+Inputs!$B$7)^(M$2-1)</f>
        <v>1295</v>
      </c>
      <c r="N22" s="11" t="n">
        <f aca="false">Units!$E21*(1+Inputs!$B$7)^(N$2-1)</f>
        <v>1295</v>
      </c>
      <c r="O22" s="11" t="n">
        <f aca="false">Units!$E21*(1+Inputs!$B$7)^(O$2-1)</f>
        <v>1333.85</v>
      </c>
      <c r="P22" s="11" t="n">
        <f aca="false">Units!$E21*(1+Inputs!$B$7)^(P$2-1)</f>
        <v>1333.85</v>
      </c>
      <c r="Q22" s="11" t="n">
        <f aca="false">Units!$E21*(1+Inputs!$B$7)^(Q$2-1)</f>
        <v>1333.85</v>
      </c>
      <c r="R22" s="11" t="n">
        <f aca="false">Units!$E21*(1+Inputs!$B$7)^(R$2-1)</f>
        <v>1333.85</v>
      </c>
      <c r="S22" s="11" t="n">
        <f aca="false">Units!$E21*(1+Inputs!$B$7)^(S$2-1)</f>
        <v>1333.85</v>
      </c>
      <c r="T22" s="11" t="n">
        <f aca="false">Units!$E21*(1+Inputs!$B$7)^(T$2-1)</f>
        <v>1333.85</v>
      </c>
      <c r="U22" s="11" t="n">
        <f aca="false">Units!$E21*(1+Inputs!$B$7)^(U$2-1)</f>
        <v>1333.85</v>
      </c>
      <c r="V22" s="11" t="n">
        <f aca="false">Units!$E21*(1+Inputs!$B$7)^(V$2-1)</f>
        <v>1333.85</v>
      </c>
      <c r="W22" s="11" t="n">
        <f aca="false">Units!$E21*(1+Inputs!$B$7)^(W$2-1)</f>
        <v>1333.85</v>
      </c>
      <c r="X22" s="11" t="n">
        <f aca="false">Units!$E21*(1+Inputs!$B$7)^(X$2-1)</f>
        <v>1333.85</v>
      </c>
      <c r="Y22" s="11" t="n">
        <f aca="false">Units!$E21*(1+Inputs!$B$7)^(Y$2-1)</f>
        <v>1333.85</v>
      </c>
      <c r="Z22" s="11" t="n">
        <f aca="false">Units!$E21*(1+Inputs!$B$7)^(Z$2-1)</f>
        <v>1333.85</v>
      </c>
      <c r="AA22" s="11" t="n">
        <f aca="false">Units!$E21*(1+Inputs!$B$7)^(AA$2-1)</f>
        <v>1373.8655</v>
      </c>
      <c r="AB22" s="11" t="n">
        <f aca="false">Units!$E21*(1+Inputs!$B$7)^(AB$2-1)</f>
        <v>1373.8655</v>
      </c>
      <c r="AC22" s="11" t="n">
        <f aca="false">Units!$E21*(1+Inputs!$B$7)^(AC$2-1)</f>
        <v>1373.8655</v>
      </c>
      <c r="AD22" s="11" t="n">
        <f aca="false">Units!$E21*(1+Inputs!$B$7)^(AD$2-1)</f>
        <v>1373.8655</v>
      </c>
      <c r="AE22" s="11" t="n">
        <f aca="false">Units!$E21*(1+Inputs!$B$7)^(AE$2-1)</f>
        <v>1373.8655</v>
      </c>
      <c r="AF22" s="11" t="n">
        <f aca="false">Units!$E21*(1+Inputs!$B$7)^(AF$2-1)</f>
        <v>1373.8655</v>
      </c>
      <c r="AG22" s="11" t="n">
        <f aca="false">Units!$E21*(1+Inputs!$B$7)^(AG$2-1)</f>
        <v>1373.8655</v>
      </c>
      <c r="AH22" s="11" t="n">
        <f aca="false">Units!$E21*(1+Inputs!$B$7)^(AH$2-1)</f>
        <v>1373.8655</v>
      </c>
      <c r="AI22" s="11" t="n">
        <f aca="false">Units!$E21*(1+Inputs!$B$7)^(AI$2-1)</f>
        <v>1373.8655</v>
      </c>
      <c r="AJ22" s="11" t="n">
        <f aca="false">Units!$E21*(1+Inputs!$B$7)^(AJ$2-1)</f>
        <v>1373.8655</v>
      </c>
      <c r="AK22" s="11" t="n">
        <f aca="false">Units!$E21*(1+Inputs!$B$7)^(AK$2-1)</f>
        <v>1373.8655</v>
      </c>
      <c r="AL22" s="11" t="n">
        <f aca="false">Units!$E21*(1+Inputs!$B$7)^(AL$2-1)</f>
        <v>1373.8655</v>
      </c>
      <c r="AM22" s="11" t="n">
        <f aca="false">Units!$E21*(1+Inputs!$B$7)^(AM$2-1)</f>
        <v>1415.081465</v>
      </c>
      <c r="AN22" s="11" t="n">
        <f aca="false">Units!$E21*(1+Inputs!$B$7)^(AN$2-1)</f>
        <v>1415.081465</v>
      </c>
      <c r="AO22" s="11" t="n">
        <f aca="false">Units!$E21*(1+Inputs!$B$7)^(AO$2-1)</f>
        <v>1415.081465</v>
      </c>
      <c r="AP22" s="11" t="n">
        <f aca="false">Units!$E21*(1+Inputs!$B$7)^(AP$2-1)</f>
        <v>1415.081465</v>
      </c>
      <c r="AQ22" s="11" t="n">
        <f aca="false">Units!$E21*(1+Inputs!$B$7)^(AQ$2-1)</f>
        <v>1415.081465</v>
      </c>
      <c r="AR22" s="11" t="n">
        <f aca="false">Units!$E21*(1+Inputs!$B$7)^(AR$2-1)</f>
        <v>1415.081465</v>
      </c>
      <c r="AS22" s="11" t="n">
        <f aca="false">Units!$E21*(1+Inputs!$B$7)^(AS$2-1)</f>
        <v>1415.081465</v>
      </c>
      <c r="AT22" s="11" t="n">
        <f aca="false">Units!$E21*(1+Inputs!$B$7)^(AT$2-1)</f>
        <v>1415.081465</v>
      </c>
      <c r="AU22" s="11" t="n">
        <f aca="false">Units!$E21*(1+Inputs!$B$7)^(AU$2-1)</f>
        <v>1415.081465</v>
      </c>
      <c r="AV22" s="11" t="n">
        <f aca="false">Units!$E21*(1+Inputs!$B$7)^(AV$2-1)</f>
        <v>1415.081465</v>
      </c>
      <c r="AW22" s="11" t="n">
        <f aca="false">Units!$E21*(1+Inputs!$B$7)^(AW$2-1)</f>
        <v>1415.081465</v>
      </c>
      <c r="AX22" s="11" t="n">
        <f aca="false">Units!$E21*(1+Inputs!$B$7)^(AX$2-1)</f>
        <v>1415.081465</v>
      </c>
      <c r="AY22" s="11" t="n">
        <f aca="false">Units!$E21*(1+Inputs!$B$7)^(AY$2-1)</f>
        <v>1457.53390895</v>
      </c>
      <c r="AZ22" s="11" t="n">
        <f aca="false">Units!$E21*(1+Inputs!$B$7)^(AZ$2-1)</f>
        <v>1457.53390895</v>
      </c>
      <c r="BA22" s="11" t="n">
        <f aca="false">Units!$E21*(1+Inputs!$B$7)^(BA$2-1)</f>
        <v>1457.53390895</v>
      </c>
      <c r="BB22" s="11" t="n">
        <f aca="false">Units!$E21*(1+Inputs!$B$7)^(BB$2-1)</f>
        <v>1457.53390895</v>
      </c>
      <c r="BC22" s="11" t="n">
        <f aca="false">Units!$E21*(1+Inputs!$B$7)^(BC$2-1)</f>
        <v>1457.53390895</v>
      </c>
      <c r="BD22" s="11" t="n">
        <f aca="false">Units!$E21*(1+Inputs!$B$7)^(BD$2-1)</f>
        <v>1457.53390895</v>
      </c>
      <c r="BE22" s="11" t="n">
        <f aca="false">Units!$E21*(1+Inputs!$B$7)^(BE$2-1)</f>
        <v>1457.53390895</v>
      </c>
      <c r="BF22" s="11" t="n">
        <f aca="false">Units!$E21*(1+Inputs!$B$7)^(BF$2-1)</f>
        <v>1457.53390895</v>
      </c>
      <c r="BG22" s="11" t="n">
        <f aca="false">Units!$E21*(1+Inputs!$B$7)^(BG$2-1)</f>
        <v>1457.53390895</v>
      </c>
      <c r="BH22" s="11" t="n">
        <f aca="false">Units!$E21*(1+Inputs!$B$7)^(BH$2-1)</f>
        <v>1457.53390895</v>
      </c>
      <c r="BI22" s="11" t="n">
        <f aca="false">Units!$E21*(1+Inputs!$B$7)^(BI$2-1)</f>
        <v>1457.53390895</v>
      </c>
      <c r="BJ22" s="11" t="n">
        <f aca="false">Units!$E21*(1+Inputs!$B$7)^(BJ$2-1)</f>
        <v>1457.53390895</v>
      </c>
      <c r="BK22" s="11" t="n">
        <f aca="false">Units!$E21*(1+Inputs!$B$7)^(BK$2-1)</f>
        <v>1501.2599262185</v>
      </c>
      <c r="BL22" s="11" t="n">
        <f aca="false">Units!$E21*(1+Inputs!$B$7)^(BL$2-1)</f>
        <v>1501.2599262185</v>
      </c>
      <c r="BM22" s="11" t="n">
        <f aca="false">Units!$E21*(1+Inputs!$B$7)^(BM$2-1)</f>
        <v>1501.2599262185</v>
      </c>
      <c r="BN22" s="11" t="n">
        <f aca="false">Units!$E21*(1+Inputs!$B$7)^(BN$2-1)</f>
        <v>1501.2599262185</v>
      </c>
      <c r="BO22" s="11" t="n">
        <f aca="false">Units!$E21*(1+Inputs!$B$7)^(BO$2-1)</f>
        <v>1501.2599262185</v>
      </c>
      <c r="BP22" s="11" t="n">
        <f aca="false">Units!$E21*(1+Inputs!$B$7)^(BP$2-1)</f>
        <v>1501.2599262185</v>
      </c>
      <c r="BQ22" s="11" t="n">
        <f aca="false">Units!$E21*(1+Inputs!$B$7)^(BQ$2-1)</f>
        <v>1501.2599262185</v>
      </c>
      <c r="BR22" s="11" t="n">
        <f aca="false">Units!$E21*(1+Inputs!$B$7)^(BR$2-1)</f>
        <v>1501.2599262185</v>
      </c>
      <c r="BS22" s="11" t="n">
        <f aca="false">Units!$E21*(1+Inputs!$B$7)^(BS$2-1)</f>
        <v>1501.2599262185</v>
      </c>
      <c r="BT22" s="11" t="n">
        <f aca="false">Units!$E21*(1+Inputs!$B$7)^(BT$2-1)</f>
        <v>1501.2599262185</v>
      </c>
      <c r="BU22" s="11" t="n">
        <f aca="false">Units!$E21*(1+Inputs!$B$7)^(BU$2-1)</f>
        <v>1501.2599262185</v>
      </c>
      <c r="BV22" s="11" t="n">
        <f aca="false">Units!$E21*(1+Inputs!$B$7)^(BV$2-1)</f>
        <v>1501.2599262185</v>
      </c>
      <c r="BW22" s="11" t="n">
        <f aca="false">Units!$E21*(1+Inputs!$B$7)^(BW$2-1)</f>
        <v>1546.29772400506</v>
      </c>
      <c r="BX22" s="11" t="n">
        <f aca="false">Units!$E21*(1+Inputs!$B$7)^(BX$2-1)</f>
        <v>1546.29772400506</v>
      </c>
      <c r="BY22" s="11" t="n">
        <f aca="false">Units!$E21*(1+Inputs!$B$7)^(BY$2-1)</f>
        <v>1546.29772400506</v>
      </c>
      <c r="BZ22" s="11" t="n">
        <f aca="false">Units!$E21*(1+Inputs!$B$7)^(BZ$2-1)</f>
        <v>1546.29772400506</v>
      </c>
      <c r="CA22" s="11" t="n">
        <f aca="false">Units!$E21*(1+Inputs!$B$7)^(CA$2-1)</f>
        <v>1546.29772400506</v>
      </c>
      <c r="CB22" s="11" t="n">
        <f aca="false">Units!$E21*(1+Inputs!$B$7)^(CB$2-1)</f>
        <v>1546.29772400506</v>
      </c>
      <c r="CC22" s="11" t="n">
        <f aca="false">Units!$E21*(1+Inputs!$B$7)^(CC$2-1)</f>
        <v>1546.29772400506</v>
      </c>
      <c r="CD22" s="11" t="n">
        <f aca="false">Units!$E21*(1+Inputs!$B$7)^(CD$2-1)</f>
        <v>1546.29772400506</v>
      </c>
      <c r="CE22" s="11" t="n">
        <f aca="false">Units!$E21*(1+Inputs!$B$7)^(CE$2-1)</f>
        <v>1546.29772400506</v>
      </c>
      <c r="CF22" s="11" t="n">
        <f aca="false">Units!$E21*(1+Inputs!$B$7)^(CF$2-1)</f>
        <v>1546.29772400506</v>
      </c>
      <c r="CG22" s="11" t="n">
        <f aca="false">Units!$E21*(1+Inputs!$B$7)^(CG$2-1)</f>
        <v>1546.29772400506</v>
      </c>
      <c r="CH22" s="11" t="n">
        <f aca="false">Units!$E21*(1+Inputs!$B$7)^(CH$2-1)</f>
        <v>1546.29772400506</v>
      </c>
      <c r="CI22" s="11" t="n">
        <f aca="false">Units!$E21*(1+Inputs!$B$7)^(CI$2-1)</f>
        <v>1592.68665572521</v>
      </c>
      <c r="CJ22" s="11" t="n">
        <f aca="false">Units!$E21*(1+Inputs!$B$7)^(CJ$2-1)</f>
        <v>1592.68665572521</v>
      </c>
      <c r="CK22" s="11" t="n">
        <f aca="false">Units!$E21*(1+Inputs!$B$7)^(CK$2-1)</f>
        <v>1592.68665572521</v>
      </c>
      <c r="CL22" s="11" t="n">
        <f aca="false">Units!$E21*(1+Inputs!$B$7)^(CL$2-1)</f>
        <v>1592.68665572521</v>
      </c>
      <c r="CM22" s="11" t="n">
        <f aca="false">Units!$E21*(1+Inputs!$B$7)^(CM$2-1)</f>
        <v>1592.68665572521</v>
      </c>
      <c r="CN22" s="11" t="n">
        <f aca="false">Units!$E21*(1+Inputs!$B$7)^(CN$2-1)</f>
        <v>1592.68665572521</v>
      </c>
      <c r="CO22" s="11" t="n">
        <f aca="false">Units!$E21*(1+Inputs!$B$7)^(CO$2-1)</f>
        <v>1592.68665572521</v>
      </c>
      <c r="CP22" s="11" t="n">
        <f aca="false">Units!$E21*(1+Inputs!$B$7)^(CP$2-1)</f>
        <v>1592.68665572521</v>
      </c>
      <c r="CQ22" s="11" t="n">
        <f aca="false">Units!$E21*(1+Inputs!$B$7)^(CQ$2-1)</f>
        <v>1592.68665572521</v>
      </c>
      <c r="CR22" s="11" t="n">
        <f aca="false">Units!$E21*(1+Inputs!$B$7)^(CR$2-1)</f>
        <v>1592.68665572521</v>
      </c>
      <c r="CS22" s="11" t="n">
        <f aca="false">Units!$E21*(1+Inputs!$B$7)^(CS$2-1)</f>
        <v>1592.68665572521</v>
      </c>
      <c r="CT22" s="11" t="n">
        <f aca="false">Units!$E21*(1+Inputs!$B$7)^(CT$2-1)</f>
        <v>1592.68665572521</v>
      </c>
      <c r="CU22" s="11" t="n">
        <f aca="false">Units!$E21*(1+Inputs!$B$7)^(CU$2-1)</f>
        <v>1640.46725539696</v>
      </c>
      <c r="CV22" s="11" t="n">
        <f aca="false">Units!$E21*(1+Inputs!$B$7)^(CV$2-1)</f>
        <v>1640.46725539696</v>
      </c>
      <c r="CW22" s="11" t="n">
        <f aca="false">Units!$E21*(1+Inputs!$B$7)^(CW$2-1)</f>
        <v>1640.46725539696</v>
      </c>
      <c r="CX22" s="11" t="n">
        <f aca="false">Units!$E21*(1+Inputs!$B$7)^(CX$2-1)</f>
        <v>1640.46725539696</v>
      </c>
      <c r="CY22" s="11" t="n">
        <f aca="false">Units!$E21*(1+Inputs!$B$7)^(CY$2-1)</f>
        <v>1640.46725539696</v>
      </c>
      <c r="CZ22" s="11" t="n">
        <f aca="false">Units!$E21*(1+Inputs!$B$7)^(CZ$2-1)</f>
        <v>1640.46725539696</v>
      </c>
      <c r="DA22" s="11" t="n">
        <f aca="false">Units!$E21*(1+Inputs!$B$7)^(DA$2-1)</f>
        <v>1640.46725539696</v>
      </c>
      <c r="DB22" s="11" t="n">
        <f aca="false">Units!$E21*(1+Inputs!$B$7)^(DB$2-1)</f>
        <v>1640.46725539696</v>
      </c>
      <c r="DC22" s="11" t="n">
        <f aca="false">Units!$E21*(1+Inputs!$B$7)^(DC$2-1)</f>
        <v>1640.46725539696</v>
      </c>
      <c r="DD22" s="11" t="n">
        <f aca="false">Units!$E21*(1+Inputs!$B$7)^(DD$2-1)</f>
        <v>1640.46725539696</v>
      </c>
      <c r="DE22" s="11" t="n">
        <f aca="false">Units!$E21*(1+Inputs!$B$7)^(DE$2-1)</f>
        <v>1640.46725539696</v>
      </c>
      <c r="DF22" s="11" t="n">
        <f aca="false">Units!$E21*(1+Inputs!$B$7)^(DF$2-1)</f>
        <v>1640.46725539696</v>
      </c>
      <c r="DG22" s="11" t="n">
        <f aca="false">Units!$E21*(1+Inputs!$B$7)^(DG$2-1)</f>
        <v>1689.68127305887</v>
      </c>
      <c r="DH22" s="11" t="n">
        <f aca="false">Units!$E21*(1+Inputs!$B$7)^(DH$2-1)</f>
        <v>1689.68127305887</v>
      </c>
      <c r="DI22" s="11" t="n">
        <f aca="false">Units!$E21*(1+Inputs!$B$7)^(DI$2-1)</f>
        <v>1689.68127305887</v>
      </c>
      <c r="DJ22" s="11" t="n">
        <f aca="false">Units!$E21*(1+Inputs!$B$7)^(DJ$2-1)</f>
        <v>1689.68127305887</v>
      </c>
      <c r="DK22" s="11" t="n">
        <f aca="false">Units!$E21*(1+Inputs!$B$7)^(DK$2-1)</f>
        <v>1689.68127305887</v>
      </c>
      <c r="DL22" s="11" t="n">
        <f aca="false">Units!$E21*(1+Inputs!$B$7)^(DL$2-1)</f>
        <v>1689.68127305887</v>
      </c>
      <c r="DM22" s="11" t="n">
        <f aca="false">Units!$E21*(1+Inputs!$B$7)^(DM$2-1)</f>
        <v>1689.68127305887</v>
      </c>
      <c r="DN22" s="11" t="n">
        <f aca="false">Units!$E21*(1+Inputs!$B$7)^(DN$2-1)</f>
        <v>1689.68127305887</v>
      </c>
      <c r="DO22" s="11" t="n">
        <f aca="false">Units!$E21*(1+Inputs!$B$7)^(DO$2-1)</f>
        <v>1689.68127305887</v>
      </c>
      <c r="DP22" s="11" t="n">
        <f aca="false">Units!$E21*(1+Inputs!$B$7)^(DP$2-1)</f>
        <v>1689.68127305887</v>
      </c>
      <c r="DQ22" s="11" t="n">
        <f aca="false">Units!$E21*(1+Inputs!$B$7)^(DQ$2-1)</f>
        <v>1689.68127305887</v>
      </c>
      <c r="DR22" s="11" t="n">
        <f aca="false">Units!$E21*(1+Inputs!$B$7)^(DR$2-1)</f>
        <v>1689.68127305887</v>
      </c>
      <c r="DS22" s="11" t="n">
        <f aca="false">Units!$E21*(1+Inputs!$B$7)^(DS$2-1)</f>
        <v>1740.37171125064</v>
      </c>
      <c r="DT22" s="11" t="n">
        <f aca="false">Units!$E21*(1+Inputs!$B$7)^(DT$2-1)</f>
        <v>1740.37171125064</v>
      </c>
      <c r="DU22" s="11" t="n">
        <f aca="false">Units!$E21*(1+Inputs!$B$7)^(DU$2-1)</f>
        <v>1740.37171125064</v>
      </c>
      <c r="DV22" s="11" t="n">
        <f aca="false">Units!$E21*(1+Inputs!$B$7)^(DV$2-1)</f>
        <v>1740.37171125064</v>
      </c>
      <c r="DW22" s="11" t="n">
        <f aca="false">Units!$E21*(1+Inputs!$B$7)^(DW$2-1)</f>
        <v>1740.37171125064</v>
      </c>
      <c r="DX22" s="11" t="n">
        <f aca="false">Units!$E21*(1+Inputs!$B$7)^(DX$2-1)</f>
        <v>1740.37171125064</v>
      </c>
      <c r="DY22" s="11" t="n">
        <f aca="false">Units!$E21*(1+Inputs!$B$7)^(DY$2-1)</f>
        <v>1740.37171125064</v>
      </c>
      <c r="DZ22" s="11" t="n">
        <f aca="false">Units!$E21*(1+Inputs!$B$7)^(DZ$2-1)</f>
        <v>1740.37171125064</v>
      </c>
      <c r="EA22" s="11" t="n">
        <f aca="false">Units!$E21*(1+Inputs!$B$7)^(EA$2-1)</f>
        <v>1740.37171125064</v>
      </c>
      <c r="EB22" s="11" t="n">
        <f aca="false">Units!$E21*(1+Inputs!$B$7)^(EB$2-1)</f>
        <v>1740.37171125064</v>
      </c>
      <c r="EC22" s="11" t="n">
        <f aca="false">Units!$E21*(1+Inputs!$B$7)^(EC$2-1)</f>
        <v>1740.37171125064</v>
      </c>
      <c r="ED22" s="11" t="n">
        <f aca="false">Units!$E21*(1+Inputs!$B$7)^(ED$2-1)</f>
        <v>1740.37171125064</v>
      </c>
    </row>
    <row r="23" customFormat="false" ht="15" hidden="false" customHeight="false" outlineLevel="0" collapsed="false">
      <c r="A23" s="22" t="n">
        <f aca="false">Units!A22</f>
        <v>121</v>
      </c>
      <c r="B23" s="23"/>
      <c r="C23" s="11" t="n">
        <f aca="false">Units!$E22*(1+Inputs!$B$7)^(C$2-1)</f>
        <v>1850</v>
      </c>
      <c r="D23" s="11" t="n">
        <f aca="false">Units!$E22*(1+Inputs!$B$7)^(D$2-1)</f>
        <v>1850</v>
      </c>
      <c r="E23" s="11" t="n">
        <f aca="false">Units!$E22*(1+Inputs!$B$7)^(E$2-1)</f>
        <v>1850</v>
      </c>
      <c r="F23" s="11" t="n">
        <f aca="false">Units!$E22*(1+Inputs!$B$7)^(F$2-1)</f>
        <v>1850</v>
      </c>
      <c r="G23" s="11" t="n">
        <f aca="false">Units!$E22*(1+Inputs!$B$7)^(G$2-1)</f>
        <v>1850</v>
      </c>
      <c r="H23" s="11" t="n">
        <f aca="false">Units!$E22*(1+Inputs!$B$7)^(H$2-1)</f>
        <v>1850</v>
      </c>
      <c r="I23" s="11" t="n">
        <f aca="false">Units!$E22*(1+Inputs!$B$7)^(I$2-1)</f>
        <v>1850</v>
      </c>
      <c r="J23" s="11" t="n">
        <f aca="false">Units!$E22*(1+Inputs!$B$7)^(J$2-1)</f>
        <v>1850</v>
      </c>
      <c r="K23" s="11" t="n">
        <f aca="false">Units!$E22*(1+Inputs!$B$7)^(K$2-1)</f>
        <v>1850</v>
      </c>
      <c r="L23" s="11" t="n">
        <f aca="false">Units!$E22*(1+Inputs!$B$7)^(L$2-1)</f>
        <v>1850</v>
      </c>
      <c r="M23" s="11" t="n">
        <f aca="false">Units!$E22*(1+Inputs!$B$7)^(M$2-1)</f>
        <v>1850</v>
      </c>
      <c r="N23" s="11" t="n">
        <f aca="false">Units!$E22*(1+Inputs!$B$7)^(N$2-1)</f>
        <v>1850</v>
      </c>
      <c r="O23" s="11" t="n">
        <f aca="false">Units!$E22*(1+Inputs!$B$7)^(O$2-1)</f>
        <v>1905.5</v>
      </c>
      <c r="P23" s="11" t="n">
        <f aca="false">Units!$E22*(1+Inputs!$B$7)^(P$2-1)</f>
        <v>1905.5</v>
      </c>
      <c r="Q23" s="11" t="n">
        <f aca="false">Units!$E22*(1+Inputs!$B$7)^(Q$2-1)</f>
        <v>1905.5</v>
      </c>
      <c r="R23" s="11" t="n">
        <f aca="false">Units!$E22*(1+Inputs!$B$7)^(R$2-1)</f>
        <v>1905.5</v>
      </c>
      <c r="S23" s="11" t="n">
        <f aca="false">Units!$E22*(1+Inputs!$B$7)^(S$2-1)</f>
        <v>1905.5</v>
      </c>
      <c r="T23" s="11" t="n">
        <f aca="false">Units!$E22*(1+Inputs!$B$7)^(T$2-1)</f>
        <v>1905.5</v>
      </c>
      <c r="U23" s="11" t="n">
        <f aca="false">Units!$E22*(1+Inputs!$B$7)^(U$2-1)</f>
        <v>1905.5</v>
      </c>
      <c r="V23" s="11" t="n">
        <f aca="false">Units!$E22*(1+Inputs!$B$7)^(V$2-1)</f>
        <v>1905.5</v>
      </c>
      <c r="W23" s="11" t="n">
        <f aca="false">Units!$E22*(1+Inputs!$B$7)^(W$2-1)</f>
        <v>1905.5</v>
      </c>
      <c r="X23" s="11" t="n">
        <f aca="false">Units!$E22*(1+Inputs!$B$7)^(X$2-1)</f>
        <v>1905.5</v>
      </c>
      <c r="Y23" s="11" t="n">
        <f aca="false">Units!$E22*(1+Inputs!$B$7)^(Y$2-1)</f>
        <v>1905.5</v>
      </c>
      <c r="Z23" s="11" t="n">
        <f aca="false">Units!$E22*(1+Inputs!$B$7)^(Z$2-1)</f>
        <v>1905.5</v>
      </c>
      <c r="AA23" s="11" t="n">
        <f aca="false">Units!$E22*(1+Inputs!$B$7)^(AA$2-1)</f>
        <v>1962.665</v>
      </c>
      <c r="AB23" s="11" t="n">
        <f aca="false">Units!$E22*(1+Inputs!$B$7)^(AB$2-1)</f>
        <v>1962.665</v>
      </c>
      <c r="AC23" s="11" t="n">
        <f aca="false">Units!$E22*(1+Inputs!$B$7)^(AC$2-1)</f>
        <v>1962.665</v>
      </c>
      <c r="AD23" s="11" t="n">
        <f aca="false">Units!$E22*(1+Inputs!$B$7)^(AD$2-1)</f>
        <v>1962.665</v>
      </c>
      <c r="AE23" s="11" t="n">
        <f aca="false">Units!$E22*(1+Inputs!$B$7)^(AE$2-1)</f>
        <v>1962.665</v>
      </c>
      <c r="AF23" s="11" t="n">
        <f aca="false">Units!$E22*(1+Inputs!$B$7)^(AF$2-1)</f>
        <v>1962.665</v>
      </c>
      <c r="AG23" s="11" t="n">
        <f aca="false">Units!$E22*(1+Inputs!$B$7)^(AG$2-1)</f>
        <v>1962.665</v>
      </c>
      <c r="AH23" s="11" t="n">
        <f aca="false">Units!$E22*(1+Inputs!$B$7)^(AH$2-1)</f>
        <v>1962.665</v>
      </c>
      <c r="AI23" s="11" t="n">
        <f aca="false">Units!$E22*(1+Inputs!$B$7)^(AI$2-1)</f>
        <v>1962.665</v>
      </c>
      <c r="AJ23" s="11" t="n">
        <f aca="false">Units!$E22*(1+Inputs!$B$7)^(AJ$2-1)</f>
        <v>1962.665</v>
      </c>
      <c r="AK23" s="11" t="n">
        <f aca="false">Units!$E22*(1+Inputs!$B$7)^(AK$2-1)</f>
        <v>1962.665</v>
      </c>
      <c r="AL23" s="11" t="n">
        <f aca="false">Units!$E22*(1+Inputs!$B$7)^(AL$2-1)</f>
        <v>1962.665</v>
      </c>
      <c r="AM23" s="11" t="n">
        <f aca="false">Units!$E22*(1+Inputs!$B$7)^(AM$2-1)</f>
        <v>2021.54495</v>
      </c>
      <c r="AN23" s="11" t="n">
        <f aca="false">Units!$E22*(1+Inputs!$B$7)^(AN$2-1)</f>
        <v>2021.54495</v>
      </c>
      <c r="AO23" s="11" t="n">
        <f aca="false">Units!$E22*(1+Inputs!$B$7)^(AO$2-1)</f>
        <v>2021.54495</v>
      </c>
      <c r="AP23" s="11" t="n">
        <f aca="false">Units!$E22*(1+Inputs!$B$7)^(AP$2-1)</f>
        <v>2021.54495</v>
      </c>
      <c r="AQ23" s="11" t="n">
        <f aca="false">Units!$E22*(1+Inputs!$B$7)^(AQ$2-1)</f>
        <v>2021.54495</v>
      </c>
      <c r="AR23" s="11" t="n">
        <f aca="false">Units!$E22*(1+Inputs!$B$7)^(AR$2-1)</f>
        <v>2021.54495</v>
      </c>
      <c r="AS23" s="11" t="n">
        <f aca="false">Units!$E22*(1+Inputs!$B$7)^(AS$2-1)</f>
        <v>2021.54495</v>
      </c>
      <c r="AT23" s="11" t="n">
        <f aca="false">Units!$E22*(1+Inputs!$B$7)^(AT$2-1)</f>
        <v>2021.54495</v>
      </c>
      <c r="AU23" s="11" t="n">
        <f aca="false">Units!$E22*(1+Inputs!$B$7)^(AU$2-1)</f>
        <v>2021.54495</v>
      </c>
      <c r="AV23" s="11" t="n">
        <f aca="false">Units!$E22*(1+Inputs!$B$7)^(AV$2-1)</f>
        <v>2021.54495</v>
      </c>
      <c r="AW23" s="11" t="n">
        <f aca="false">Units!$E22*(1+Inputs!$B$7)^(AW$2-1)</f>
        <v>2021.54495</v>
      </c>
      <c r="AX23" s="11" t="n">
        <f aca="false">Units!$E22*(1+Inputs!$B$7)^(AX$2-1)</f>
        <v>2021.54495</v>
      </c>
      <c r="AY23" s="11" t="n">
        <f aca="false">Units!$E22*(1+Inputs!$B$7)^(AY$2-1)</f>
        <v>2082.1912985</v>
      </c>
      <c r="AZ23" s="11" t="n">
        <f aca="false">Units!$E22*(1+Inputs!$B$7)^(AZ$2-1)</f>
        <v>2082.1912985</v>
      </c>
      <c r="BA23" s="11" t="n">
        <f aca="false">Units!$E22*(1+Inputs!$B$7)^(BA$2-1)</f>
        <v>2082.1912985</v>
      </c>
      <c r="BB23" s="11" t="n">
        <f aca="false">Units!$E22*(1+Inputs!$B$7)^(BB$2-1)</f>
        <v>2082.1912985</v>
      </c>
      <c r="BC23" s="11" t="n">
        <f aca="false">Units!$E22*(1+Inputs!$B$7)^(BC$2-1)</f>
        <v>2082.1912985</v>
      </c>
      <c r="BD23" s="11" t="n">
        <f aca="false">Units!$E22*(1+Inputs!$B$7)^(BD$2-1)</f>
        <v>2082.1912985</v>
      </c>
      <c r="BE23" s="11" t="n">
        <f aca="false">Units!$E22*(1+Inputs!$B$7)^(BE$2-1)</f>
        <v>2082.1912985</v>
      </c>
      <c r="BF23" s="11" t="n">
        <f aca="false">Units!$E22*(1+Inputs!$B$7)^(BF$2-1)</f>
        <v>2082.1912985</v>
      </c>
      <c r="BG23" s="11" t="n">
        <f aca="false">Units!$E22*(1+Inputs!$B$7)^(BG$2-1)</f>
        <v>2082.1912985</v>
      </c>
      <c r="BH23" s="11" t="n">
        <f aca="false">Units!$E22*(1+Inputs!$B$7)^(BH$2-1)</f>
        <v>2082.1912985</v>
      </c>
      <c r="BI23" s="11" t="n">
        <f aca="false">Units!$E22*(1+Inputs!$B$7)^(BI$2-1)</f>
        <v>2082.1912985</v>
      </c>
      <c r="BJ23" s="11" t="n">
        <f aca="false">Units!$E22*(1+Inputs!$B$7)^(BJ$2-1)</f>
        <v>2082.1912985</v>
      </c>
      <c r="BK23" s="11" t="n">
        <f aca="false">Units!$E22*(1+Inputs!$B$7)^(BK$2-1)</f>
        <v>2144.657037455</v>
      </c>
      <c r="BL23" s="11" t="n">
        <f aca="false">Units!$E22*(1+Inputs!$B$7)^(BL$2-1)</f>
        <v>2144.657037455</v>
      </c>
      <c r="BM23" s="11" t="n">
        <f aca="false">Units!$E22*(1+Inputs!$B$7)^(BM$2-1)</f>
        <v>2144.657037455</v>
      </c>
      <c r="BN23" s="11" t="n">
        <f aca="false">Units!$E22*(1+Inputs!$B$7)^(BN$2-1)</f>
        <v>2144.657037455</v>
      </c>
      <c r="BO23" s="11" t="n">
        <f aca="false">Units!$E22*(1+Inputs!$B$7)^(BO$2-1)</f>
        <v>2144.657037455</v>
      </c>
      <c r="BP23" s="11" t="n">
        <f aca="false">Units!$E22*(1+Inputs!$B$7)^(BP$2-1)</f>
        <v>2144.657037455</v>
      </c>
      <c r="BQ23" s="11" t="n">
        <f aca="false">Units!$E22*(1+Inputs!$B$7)^(BQ$2-1)</f>
        <v>2144.657037455</v>
      </c>
      <c r="BR23" s="11" t="n">
        <f aca="false">Units!$E22*(1+Inputs!$B$7)^(BR$2-1)</f>
        <v>2144.657037455</v>
      </c>
      <c r="BS23" s="11" t="n">
        <f aca="false">Units!$E22*(1+Inputs!$B$7)^(BS$2-1)</f>
        <v>2144.657037455</v>
      </c>
      <c r="BT23" s="11" t="n">
        <f aca="false">Units!$E22*(1+Inputs!$B$7)^(BT$2-1)</f>
        <v>2144.657037455</v>
      </c>
      <c r="BU23" s="11" t="n">
        <f aca="false">Units!$E22*(1+Inputs!$B$7)^(BU$2-1)</f>
        <v>2144.657037455</v>
      </c>
      <c r="BV23" s="11" t="n">
        <f aca="false">Units!$E22*(1+Inputs!$B$7)^(BV$2-1)</f>
        <v>2144.657037455</v>
      </c>
      <c r="BW23" s="11" t="n">
        <f aca="false">Units!$E22*(1+Inputs!$B$7)^(BW$2-1)</f>
        <v>2208.99674857865</v>
      </c>
      <c r="BX23" s="11" t="n">
        <f aca="false">Units!$E22*(1+Inputs!$B$7)^(BX$2-1)</f>
        <v>2208.99674857865</v>
      </c>
      <c r="BY23" s="11" t="n">
        <f aca="false">Units!$E22*(1+Inputs!$B$7)^(BY$2-1)</f>
        <v>2208.99674857865</v>
      </c>
      <c r="BZ23" s="11" t="n">
        <f aca="false">Units!$E22*(1+Inputs!$B$7)^(BZ$2-1)</f>
        <v>2208.99674857865</v>
      </c>
      <c r="CA23" s="11" t="n">
        <f aca="false">Units!$E22*(1+Inputs!$B$7)^(CA$2-1)</f>
        <v>2208.99674857865</v>
      </c>
      <c r="CB23" s="11" t="n">
        <f aca="false">Units!$E22*(1+Inputs!$B$7)^(CB$2-1)</f>
        <v>2208.99674857865</v>
      </c>
      <c r="CC23" s="11" t="n">
        <f aca="false">Units!$E22*(1+Inputs!$B$7)^(CC$2-1)</f>
        <v>2208.99674857865</v>
      </c>
      <c r="CD23" s="11" t="n">
        <f aca="false">Units!$E22*(1+Inputs!$B$7)^(CD$2-1)</f>
        <v>2208.99674857865</v>
      </c>
      <c r="CE23" s="11" t="n">
        <f aca="false">Units!$E22*(1+Inputs!$B$7)^(CE$2-1)</f>
        <v>2208.99674857865</v>
      </c>
      <c r="CF23" s="11" t="n">
        <f aca="false">Units!$E22*(1+Inputs!$B$7)^(CF$2-1)</f>
        <v>2208.99674857865</v>
      </c>
      <c r="CG23" s="11" t="n">
        <f aca="false">Units!$E22*(1+Inputs!$B$7)^(CG$2-1)</f>
        <v>2208.99674857865</v>
      </c>
      <c r="CH23" s="11" t="n">
        <f aca="false">Units!$E22*(1+Inputs!$B$7)^(CH$2-1)</f>
        <v>2208.99674857865</v>
      </c>
      <c r="CI23" s="11" t="n">
        <f aca="false">Units!$E22*(1+Inputs!$B$7)^(CI$2-1)</f>
        <v>2275.26665103601</v>
      </c>
      <c r="CJ23" s="11" t="n">
        <f aca="false">Units!$E22*(1+Inputs!$B$7)^(CJ$2-1)</f>
        <v>2275.26665103601</v>
      </c>
      <c r="CK23" s="11" t="n">
        <f aca="false">Units!$E22*(1+Inputs!$B$7)^(CK$2-1)</f>
        <v>2275.26665103601</v>
      </c>
      <c r="CL23" s="11" t="n">
        <f aca="false">Units!$E22*(1+Inputs!$B$7)^(CL$2-1)</f>
        <v>2275.26665103601</v>
      </c>
      <c r="CM23" s="11" t="n">
        <f aca="false">Units!$E22*(1+Inputs!$B$7)^(CM$2-1)</f>
        <v>2275.26665103601</v>
      </c>
      <c r="CN23" s="11" t="n">
        <f aca="false">Units!$E22*(1+Inputs!$B$7)^(CN$2-1)</f>
        <v>2275.26665103601</v>
      </c>
      <c r="CO23" s="11" t="n">
        <f aca="false">Units!$E22*(1+Inputs!$B$7)^(CO$2-1)</f>
        <v>2275.26665103601</v>
      </c>
      <c r="CP23" s="11" t="n">
        <f aca="false">Units!$E22*(1+Inputs!$B$7)^(CP$2-1)</f>
        <v>2275.26665103601</v>
      </c>
      <c r="CQ23" s="11" t="n">
        <f aca="false">Units!$E22*(1+Inputs!$B$7)^(CQ$2-1)</f>
        <v>2275.26665103601</v>
      </c>
      <c r="CR23" s="11" t="n">
        <f aca="false">Units!$E22*(1+Inputs!$B$7)^(CR$2-1)</f>
        <v>2275.26665103601</v>
      </c>
      <c r="CS23" s="11" t="n">
        <f aca="false">Units!$E22*(1+Inputs!$B$7)^(CS$2-1)</f>
        <v>2275.26665103601</v>
      </c>
      <c r="CT23" s="11" t="n">
        <f aca="false">Units!$E22*(1+Inputs!$B$7)^(CT$2-1)</f>
        <v>2275.26665103601</v>
      </c>
      <c r="CU23" s="11" t="n">
        <f aca="false">Units!$E22*(1+Inputs!$B$7)^(CU$2-1)</f>
        <v>2343.52465056709</v>
      </c>
      <c r="CV23" s="11" t="n">
        <f aca="false">Units!$E22*(1+Inputs!$B$7)^(CV$2-1)</f>
        <v>2343.52465056709</v>
      </c>
      <c r="CW23" s="11" t="n">
        <f aca="false">Units!$E22*(1+Inputs!$B$7)^(CW$2-1)</f>
        <v>2343.52465056709</v>
      </c>
      <c r="CX23" s="11" t="n">
        <f aca="false">Units!$E22*(1+Inputs!$B$7)^(CX$2-1)</f>
        <v>2343.52465056709</v>
      </c>
      <c r="CY23" s="11" t="n">
        <f aca="false">Units!$E22*(1+Inputs!$B$7)^(CY$2-1)</f>
        <v>2343.52465056709</v>
      </c>
      <c r="CZ23" s="11" t="n">
        <f aca="false">Units!$E22*(1+Inputs!$B$7)^(CZ$2-1)</f>
        <v>2343.52465056709</v>
      </c>
      <c r="DA23" s="11" t="n">
        <f aca="false">Units!$E22*(1+Inputs!$B$7)^(DA$2-1)</f>
        <v>2343.52465056709</v>
      </c>
      <c r="DB23" s="11" t="n">
        <f aca="false">Units!$E22*(1+Inputs!$B$7)^(DB$2-1)</f>
        <v>2343.52465056709</v>
      </c>
      <c r="DC23" s="11" t="n">
        <f aca="false">Units!$E22*(1+Inputs!$B$7)^(DC$2-1)</f>
        <v>2343.52465056709</v>
      </c>
      <c r="DD23" s="11" t="n">
        <f aca="false">Units!$E22*(1+Inputs!$B$7)^(DD$2-1)</f>
        <v>2343.52465056709</v>
      </c>
      <c r="DE23" s="11" t="n">
        <f aca="false">Units!$E22*(1+Inputs!$B$7)^(DE$2-1)</f>
        <v>2343.52465056709</v>
      </c>
      <c r="DF23" s="11" t="n">
        <f aca="false">Units!$E22*(1+Inputs!$B$7)^(DF$2-1)</f>
        <v>2343.52465056709</v>
      </c>
      <c r="DG23" s="11" t="n">
        <f aca="false">Units!$E22*(1+Inputs!$B$7)^(DG$2-1)</f>
        <v>2413.8303900841</v>
      </c>
      <c r="DH23" s="11" t="n">
        <f aca="false">Units!$E22*(1+Inputs!$B$7)^(DH$2-1)</f>
        <v>2413.8303900841</v>
      </c>
      <c r="DI23" s="11" t="n">
        <f aca="false">Units!$E22*(1+Inputs!$B$7)^(DI$2-1)</f>
        <v>2413.8303900841</v>
      </c>
      <c r="DJ23" s="11" t="n">
        <f aca="false">Units!$E22*(1+Inputs!$B$7)^(DJ$2-1)</f>
        <v>2413.8303900841</v>
      </c>
      <c r="DK23" s="11" t="n">
        <f aca="false">Units!$E22*(1+Inputs!$B$7)^(DK$2-1)</f>
        <v>2413.8303900841</v>
      </c>
      <c r="DL23" s="11" t="n">
        <f aca="false">Units!$E22*(1+Inputs!$B$7)^(DL$2-1)</f>
        <v>2413.8303900841</v>
      </c>
      <c r="DM23" s="11" t="n">
        <f aca="false">Units!$E22*(1+Inputs!$B$7)^(DM$2-1)</f>
        <v>2413.8303900841</v>
      </c>
      <c r="DN23" s="11" t="n">
        <f aca="false">Units!$E22*(1+Inputs!$B$7)^(DN$2-1)</f>
        <v>2413.8303900841</v>
      </c>
      <c r="DO23" s="11" t="n">
        <f aca="false">Units!$E22*(1+Inputs!$B$7)^(DO$2-1)</f>
        <v>2413.8303900841</v>
      </c>
      <c r="DP23" s="11" t="n">
        <f aca="false">Units!$E22*(1+Inputs!$B$7)^(DP$2-1)</f>
        <v>2413.8303900841</v>
      </c>
      <c r="DQ23" s="11" t="n">
        <f aca="false">Units!$E22*(1+Inputs!$B$7)^(DQ$2-1)</f>
        <v>2413.8303900841</v>
      </c>
      <c r="DR23" s="11" t="n">
        <f aca="false">Units!$E22*(1+Inputs!$B$7)^(DR$2-1)</f>
        <v>2413.8303900841</v>
      </c>
      <c r="DS23" s="11" t="n">
        <f aca="false">Units!$E22*(1+Inputs!$B$7)^(DS$2-1)</f>
        <v>2486.24530178663</v>
      </c>
      <c r="DT23" s="11" t="n">
        <f aca="false">Units!$E22*(1+Inputs!$B$7)^(DT$2-1)</f>
        <v>2486.24530178663</v>
      </c>
      <c r="DU23" s="11" t="n">
        <f aca="false">Units!$E22*(1+Inputs!$B$7)^(DU$2-1)</f>
        <v>2486.24530178663</v>
      </c>
      <c r="DV23" s="11" t="n">
        <f aca="false">Units!$E22*(1+Inputs!$B$7)^(DV$2-1)</f>
        <v>2486.24530178663</v>
      </c>
      <c r="DW23" s="11" t="n">
        <f aca="false">Units!$E22*(1+Inputs!$B$7)^(DW$2-1)</f>
        <v>2486.24530178663</v>
      </c>
      <c r="DX23" s="11" t="n">
        <f aca="false">Units!$E22*(1+Inputs!$B$7)^(DX$2-1)</f>
        <v>2486.24530178663</v>
      </c>
      <c r="DY23" s="11" t="n">
        <f aca="false">Units!$E22*(1+Inputs!$B$7)^(DY$2-1)</f>
        <v>2486.24530178663</v>
      </c>
      <c r="DZ23" s="11" t="n">
        <f aca="false">Units!$E22*(1+Inputs!$B$7)^(DZ$2-1)</f>
        <v>2486.24530178663</v>
      </c>
      <c r="EA23" s="11" t="n">
        <f aca="false">Units!$E22*(1+Inputs!$B$7)^(EA$2-1)</f>
        <v>2486.24530178663</v>
      </c>
      <c r="EB23" s="11" t="n">
        <f aca="false">Units!$E22*(1+Inputs!$B$7)^(EB$2-1)</f>
        <v>2486.24530178663</v>
      </c>
      <c r="EC23" s="11" t="n">
        <f aca="false">Units!$E22*(1+Inputs!$B$7)^(EC$2-1)</f>
        <v>2486.24530178663</v>
      </c>
      <c r="ED23" s="11" t="n">
        <f aca="false">Units!$E22*(1+Inputs!$B$7)^(ED$2-1)</f>
        <v>2486.24530178663</v>
      </c>
    </row>
    <row r="24" customFormat="false" ht="15" hidden="false" customHeight="false" outlineLevel="0" collapsed="false">
      <c r="A24" s="22" t="n">
        <f aca="false">Units!A23</f>
        <v>122</v>
      </c>
      <c r="B24" s="23"/>
      <c r="C24" s="11" t="n">
        <f aca="false">Units!$E23*(1+Inputs!$B$7)^(C$2-1)</f>
        <v>1850</v>
      </c>
      <c r="D24" s="11" t="n">
        <f aca="false">Units!$E23*(1+Inputs!$B$7)^(D$2-1)</f>
        <v>1850</v>
      </c>
      <c r="E24" s="11" t="n">
        <f aca="false">Units!$E23*(1+Inputs!$B$7)^(E$2-1)</f>
        <v>1850</v>
      </c>
      <c r="F24" s="11" t="n">
        <f aca="false">Units!$E23*(1+Inputs!$B$7)^(F$2-1)</f>
        <v>1850</v>
      </c>
      <c r="G24" s="11" t="n">
        <f aca="false">Units!$E23*(1+Inputs!$B$7)^(G$2-1)</f>
        <v>1850</v>
      </c>
      <c r="H24" s="11" t="n">
        <f aca="false">Units!$E23*(1+Inputs!$B$7)^(H$2-1)</f>
        <v>1850</v>
      </c>
      <c r="I24" s="11" t="n">
        <f aca="false">Units!$E23*(1+Inputs!$B$7)^(I$2-1)</f>
        <v>1850</v>
      </c>
      <c r="J24" s="11" t="n">
        <f aca="false">Units!$E23*(1+Inputs!$B$7)^(J$2-1)</f>
        <v>1850</v>
      </c>
      <c r="K24" s="11" t="n">
        <f aca="false">Units!$E23*(1+Inputs!$B$7)^(K$2-1)</f>
        <v>1850</v>
      </c>
      <c r="L24" s="11" t="n">
        <f aca="false">Units!$E23*(1+Inputs!$B$7)^(L$2-1)</f>
        <v>1850</v>
      </c>
      <c r="M24" s="11" t="n">
        <f aca="false">Units!$E23*(1+Inputs!$B$7)^(M$2-1)</f>
        <v>1850</v>
      </c>
      <c r="N24" s="11" t="n">
        <f aca="false">Units!$E23*(1+Inputs!$B$7)^(N$2-1)</f>
        <v>1850</v>
      </c>
      <c r="O24" s="11" t="n">
        <f aca="false">Units!$E23*(1+Inputs!$B$7)^(O$2-1)</f>
        <v>1905.5</v>
      </c>
      <c r="P24" s="11" t="n">
        <f aca="false">Units!$E23*(1+Inputs!$B$7)^(P$2-1)</f>
        <v>1905.5</v>
      </c>
      <c r="Q24" s="11" t="n">
        <f aca="false">Units!$E23*(1+Inputs!$B$7)^(Q$2-1)</f>
        <v>1905.5</v>
      </c>
      <c r="R24" s="11" t="n">
        <f aca="false">Units!$E23*(1+Inputs!$B$7)^(R$2-1)</f>
        <v>1905.5</v>
      </c>
      <c r="S24" s="11" t="n">
        <f aca="false">Units!$E23*(1+Inputs!$B$7)^(S$2-1)</f>
        <v>1905.5</v>
      </c>
      <c r="T24" s="11" t="n">
        <f aca="false">Units!$E23*(1+Inputs!$B$7)^(T$2-1)</f>
        <v>1905.5</v>
      </c>
      <c r="U24" s="11" t="n">
        <f aca="false">Units!$E23*(1+Inputs!$B$7)^(U$2-1)</f>
        <v>1905.5</v>
      </c>
      <c r="V24" s="11" t="n">
        <f aca="false">Units!$E23*(1+Inputs!$B$7)^(V$2-1)</f>
        <v>1905.5</v>
      </c>
      <c r="W24" s="11" t="n">
        <f aca="false">Units!$E23*(1+Inputs!$B$7)^(W$2-1)</f>
        <v>1905.5</v>
      </c>
      <c r="X24" s="11" t="n">
        <f aca="false">Units!$E23*(1+Inputs!$B$7)^(X$2-1)</f>
        <v>1905.5</v>
      </c>
      <c r="Y24" s="11" t="n">
        <f aca="false">Units!$E23*(1+Inputs!$B$7)^(Y$2-1)</f>
        <v>1905.5</v>
      </c>
      <c r="Z24" s="11" t="n">
        <f aca="false">Units!$E23*(1+Inputs!$B$7)^(Z$2-1)</f>
        <v>1905.5</v>
      </c>
      <c r="AA24" s="11" t="n">
        <f aca="false">Units!$E23*(1+Inputs!$B$7)^(AA$2-1)</f>
        <v>1962.665</v>
      </c>
      <c r="AB24" s="11" t="n">
        <f aca="false">Units!$E23*(1+Inputs!$B$7)^(AB$2-1)</f>
        <v>1962.665</v>
      </c>
      <c r="AC24" s="11" t="n">
        <f aca="false">Units!$E23*(1+Inputs!$B$7)^(AC$2-1)</f>
        <v>1962.665</v>
      </c>
      <c r="AD24" s="11" t="n">
        <f aca="false">Units!$E23*(1+Inputs!$B$7)^(AD$2-1)</f>
        <v>1962.665</v>
      </c>
      <c r="AE24" s="11" t="n">
        <f aca="false">Units!$E23*(1+Inputs!$B$7)^(AE$2-1)</f>
        <v>1962.665</v>
      </c>
      <c r="AF24" s="11" t="n">
        <f aca="false">Units!$E23*(1+Inputs!$B$7)^(AF$2-1)</f>
        <v>1962.665</v>
      </c>
      <c r="AG24" s="11" t="n">
        <f aca="false">Units!$E23*(1+Inputs!$B$7)^(AG$2-1)</f>
        <v>1962.665</v>
      </c>
      <c r="AH24" s="11" t="n">
        <f aca="false">Units!$E23*(1+Inputs!$B$7)^(AH$2-1)</f>
        <v>1962.665</v>
      </c>
      <c r="AI24" s="11" t="n">
        <f aca="false">Units!$E23*(1+Inputs!$B$7)^(AI$2-1)</f>
        <v>1962.665</v>
      </c>
      <c r="AJ24" s="11" t="n">
        <f aca="false">Units!$E23*(1+Inputs!$B$7)^(AJ$2-1)</f>
        <v>1962.665</v>
      </c>
      <c r="AK24" s="11" t="n">
        <f aca="false">Units!$E23*(1+Inputs!$B$7)^(AK$2-1)</f>
        <v>1962.665</v>
      </c>
      <c r="AL24" s="11" t="n">
        <f aca="false">Units!$E23*(1+Inputs!$B$7)^(AL$2-1)</f>
        <v>1962.665</v>
      </c>
      <c r="AM24" s="11" t="n">
        <f aca="false">Units!$E23*(1+Inputs!$B$7)^(AM$2-1)</f>
        <v>2021.54495</v>
      </c>
      <c r="AN24" s="11" t="n">
        <f aca="false">Units!$E23*(1+Inputs!$B$7)^(AN$2-1)</f>
        <v>2021.54495</v>
      </c>
      <c r="AO24" s="11" t="n">
        <f aca="false">Units!$E23*(1+Inputs!$B$7)^(AO$2-1)</f>
        <v>2021.54495</v>
      </c>
      <c r="AP24" s="11" t="n">
        <f aca="false">Units!$E23*(1+Inputs!$B$7)^(AP$2-1)</f>
        <v>2021.54495</v>
      </c>
      <c r="AQ24" s="11" t="n">
        <f aca="false">Units!$E23*(1+Inputs!$B$7)^(AQ$2-1)</f>
        <v>2021.54495</v>
      </c>
      <c r="AR24" s="11" t="n">
        <f aca="false">Units!$E23*(1+Inputs!$B$7)^(AR$2-1)</f>
        <v>2021.54495</v>
      </c>
      <c r="AS24" s="11" t="n">
        <f aca="false">Units!$E23*(1+Inputs!$B$7)^(AS$2-1)</f>
        <v>2021.54495</v>
      </c>
      <c r="AT24" s="11" t="n">
        <f aca="false">Units!$E23*(1+Inputs!$B$7)^(AT$2-1)</f>
        <v>2021.54495</v>
      </c>
      <c r="AU24" s="11" t="n">
        <f aca="false">Units!$E23*(1+Inputs!$B$7)^(AU$2-1)</f>
        <v>2021.54495</v>
      </c>
      <c r="AV24" s="11" t="n">
        <f aca="false">Units!$E23*(1+Inputs!$B$7)^(AV$2-1)</f>
        <v>2021.54495</v>
      </c>
      <c r="AW24" s="11" t="n">
        <f aca="false">Units!$E23*(1+Inputs!$B$7)^(AW$2-1)</f>
        <v>2021.54495</v>
      </c>
      <c r="AX24" s="11" t="n">
        <f aca="false">Units!$E23*(1+Inputs!$B$7)^(AX$2-1)</f>
        <v>2021.54495</v>
      </c>
      <c r="AY24" s="11" t="n">
        <f aca="false">Units!$E23*(1+Inputs!$B$7)^(AY$2-1)</f>
        <v>2082.1912985</v>
      </c>
      <c r="AZ24" s="11" t="n">
        <f aca="false">Units!$E23*(1+Inputs!$B$7)^(AZ$2-1)</f>
        <v>2082.1912985</v>
      </c>
      <c r="BA24" s="11" t="n">
        <f aca="false">Units!$E23*(1+Inputs!$B$7)^(BA$2-1)</f>
        <v>2082.1912985</v>
      </c>
      <c r="BB24" s="11" t="n">
        <f aca="false">Units!$E23*(1+Inputs!$B$7)^(BB$2-1)</f>
        <v>2082.1912985</v>
      </c>
      <c r="BC24" s="11" t="n">
        <f aca="false">Units!$E23*(1+Inputs!$B$7)^(BC$2-1)</f>
        <v>2082.1912985</v>
      </c>
      <c r="BD24" s="11" t="n">
        <f aca="false">Units!$E23*(1+Inputs!$B$7)^(BD$2-1)</f>
        <v>2082.1912985</v>
      </c>
      <c r="BE24" s="11" t="n">
        <f aca="false">Units!$E23*(1+Inputs!$B$7)^(BE$2-1)</f>
        <v>2082.1912985</v>
      </c>
      <c r="BF24" s="11" t="n">
        <f aca="false">Units!$E23*(1+Inputs!$B$7)^(BF$2-1)</f>
        <v>2082.1912985</v>
      </c>
      <c r="BG24" s="11" t="n">
        <f aca="false">Units!$E23*(1+Inputs!$B$7)^(BG$2-1)</f>
        <v>2082.1912985</v>
      </c>
      <c r="BH24" s="11" t="n">
        <f aca="false">Units!$E23*(1+Inputs!$B$7)^(BH$2-1)</f>
        <v>2082.1912985</v>
      </c>
      <c r="BI24" s="11" t="n">
        <f aca="false">Units!$E23*(1+Inputs!$B$7)^(BI$2-1)</f>
        <v>2082.1912985</v>
      </c>
      <c r="BJ24" s="11" t="n">
        <f aca="false">Units!$E23*(1+Inputs!$B$7)^(BJ$2-1)</f>
        <v>2082.1912985</v>
      </c>
      <c r="BK24" s="11" t="n">
        <f aca="false">Units!$E23*(1+Inputs!$B$7)^(BK$2-1)</f>
        <v>2144.657037455</v>
      </c>
      <c r="BL24" s="11" t="n">
        <f aca="false">Units!$E23*(1+Inputs!$B$7)^(BL$2-1)</f>
        <v>2144.657037455</v>
      </c>
      <c r="BM24" s="11" t="n">
        <f aca="false">Units!$E23*(1+Inputs!$B$7)^(BM$2-1)</f>
        <v>2144.657037455</v>
      </c>
      <c r="BN24" s="11" t="n">
        <f aca="false">Units!$E23*(1+Inputs!$B$7)^(BN$2-1)</f>
        <v>2144.657037455</v>
      </c>
      <c r="BO24" s="11" t="n">
        <f aca="false">Units!$E23*(1+Inputs!$B$7)^(BO$2-1)</f>
        <v>2144.657037455</v>
      </c>
      <c r="BP24" s="11" t="n">
        <f aca="false">Units!$E23*(1+Inputs!$B$7)^(BP$2-1)</f>
        <v>2144.657037455</v>
      </c>
      <c r="BQ24" s="11" t="n">
        <f aca="false">Units!$E23*(1+Inputs!$B$7)^(BQ$2-1)</f>
        <v>2144.657037455</v>
      </c>
      <c r="BR24" s="11" t="n">
        <f aca="false">Units!$E23*(1+Inputs!$B$7)^(BR$2-1)</f>
        <v>2144.657037455</v>
      </c>
      <c r="BS24" s="11" t="n">
        <f aca="false">Units!$E23*(1+Inputs!$B$7)^(BS$2-1)</f>
        <v>2144.657037455</v>
      </c>
      <c r="BT24" s="11" t="n">
        <f aca="false">Units!$E23*(1+Inputs!$B$7)^(BT$2-1)</f>
        <v>2144.657037455</v>
      </c>
      <c r="BU24" s="11" t="n">
        <f aca="false">Units!$E23*(1+Inputs!$B$7)^(BU$2-1)</f>
        <v>2144.657037455</v>
      </c>
      <c r="BV24" s="11" t="n">
        <f aca="false">Units!$E23*(1+Inputs!$B$7)^(BV$2-1)</f>
        <v>2144.657037455</v>
      </c>
      <c r="BW24" s="11" t="n">
        <f aca="false">Units!$E23*(1+Inputs!$B$7)^(BW$2-1)</f>
        <v>2208.99674857865</v>
      </c>
      <c r="BX24" s="11" t="n">
        <f aca="false">Units!$E23*(1+Inputs!$B$7)^(BX$2-1)</f>
        <v>2208.99674857865</v>
      </c>
      <c r="BY24" s="11" t="n">
        <f aca="false">Units!$E23*(1+Inputs!$B$7)^(BY$2-1)</f>
        <v>2208.99674857865</v>
      </c>
      <c r="BZ24" s="11" t="n">
        <f aca="false">Units!$E23*(1+Inputs!$B$7)^(BZ$2-1)</f>
        <v>2208.99674857865</v>
      </c>
      <c r="CA24" s="11" t="n">
        <f aca="false">Units!$E23*(1+Inputs!$B$7)^(CA$2-1)</f>
        <v>2208.99674857865</v>
      </c>
      <c r="CB24" s="11" t="n">
        <f aca="false">Units!$E23*(1+Inputs!$B$7)^(CB$2-1)</f>
        <v>2208.99674857865</v>
      </c>
      <c r="CC24" s="11" t="n">
        <f aca="false">Units!$E23*(1+Inputs!$B$7)^(CC$2-1)</f>
        <v>2208.99674857865</v>
      </c>
      <c r="CD24" s="11" t="n">
        <f aca="false">Units!$E23*(1+Inputs!$B$7)^(CD$2-1)</f>
        <v>2208.99674857865</v>
      </c>
      <c r="CE24" s="11" t="n">
        <f aca="false">Units!$E23*(1+Inputs!$B$7)^(CE$2-1)</f>
        <v>2208.99674857865</v>
      </c>
      <c r="CF24" s="11" t="n">
        <f aca="false">Units!$E23*(1+Inputs!$B$7)^(CF$2-1)</f>
        <v>2208.99674857865</v>
      </c>
      <c r="CG24" s="11" t="n">
        <f aca="false">Units!$E23*(1+Inputs!$B$7)^(CG$2-1)</f>
        <v>2208.99674857865</v>
      </c>
      <c r="CH24" s="11" t="n">
        <f aca="false">Units!$E23*(1+Inputs!$B$7)^(CH$2-1)</f>
        <v>2208.99674857865</v>
      </c>
      <c r="CI24" s="11" t="n">
        <f aca="false">Units!$E23*(1+Inputs!$B$7)^(CI$2-1)</f>
        <v>2275.26665103601</v>
      </c>
      <c r="CJ24" s="11" t="n">
        <f aca="false">Units!$E23*(1+Inputs!$B$7)^(CJ$2-1)</f>
        <v>2275.26665103601</v>
      </c>
      <c r="CK24" s="11" t="n">
        <f aca="false">Units!$E23*(1+Inputs!$B$7)^(CK$2-1)</f>
        <v>2275.26665103601</v>
      </c>
      <c r="CL24" s="11" t="n">
        <f aca="false">Units!$E23*(1+Inputs!$B$7)^(CL$2-1)</f>
        <v>2275.26665103601</v>
      </c>
      <c r="CM24" s="11" t="n">
        <f aca="false">Units!$E23*(1+Inputs!$B$7)^(CM$2-1)</f>
        <v>2275.26665103601</v>
      </c>
      <c r="CN24" s="11" t="n">
        <f aca="false">Units!$E23*(1+Inputs!$B$7)^(CN$2-1)</f>
        <v>2275.26665103601</v>
      </c>
      <c r="CO24" s="11" t="n">
        <f aca="false">Units!$E23*(1+Inputs!$B$7)^(CO$2-1)</f>
        <v>2275.26665103601</v>
      </c>
      <c r="CP24" s="11" t="n">
        <f aca="false">Units!$E23*(1+Inputs!$B$7)^(CP$2-1)</f>
        <v>2275.26665103601</v>
      </c>
      <c r="CQ24" s="11" t="n">
        <f aca="false">Units!$E23*(1+Inputs!$B$7)^(CQ$2-1)</f>
        <v>2275.26665103601</v>
      </c>
      <c r="CR24" s="11" t="n">
        <f aca="false">Units!$E23*(1+Inputs!$B$7)^(CR$2-1)</f>
        <v>2275.26665103601</v>
      </c>
      <c r="CS24" s="11" t="n">
        <f aca="false">Units!$E23*(1+Inputs!$B$7)^(CS$2-1)</f>
        <v>2275.26665103601</v>
      </c>
      <c r="CT24" s="11" t="n">
        <f aca="false">Units!$E23*(1+Inputs!$B$7)^(CT$2-1)</f>
        <v>2275.26665103601</v>
      </c>
      <c r="CU24" s="11" t="n">
        <f aca="false">Units!$E23*(1+Inputs!$B$7)^(CU$2-1)</f>
        <v>2343.52465056709</v>
      </c>
      <c r="CV24" s="11" t="n">
        <f aca="false">Units!$E23*(1+Inputs!$B$7)^(CV$2-1)</f>
        <v>2343.52465056709</v>
      </c>
      <c r="CW24" s="11" t="n">
        <f aca="false">Units!$E23*(1+Inputs!$B$7)^(CW$2-1)</f>
        <v>2343.52465056709</v>
      </c>
      <c r="CX24" s="11" t="n">
        <f aca="false">Units!$E23*(1+Inputs!$B$7)^(CX$2-1)</f>
        <v>2343.52465056709</v>
      </c>
      <c r="CY24" s="11" t="n">
        <f aca="false">Units!$E23*(1+Inputs!$B$7)^(CY$2-1)</f>
        <v>2343.52465056709</v>
      </c>
      <c r="CZ24" s="11" t="n">
        <f aca="false">Units!$E23*(1+Inputs!$B$7)^(CZ$2-1)</f>
        <v>2343.52465056709</v>
      </c>
      <c r="DA24" s="11" t="n">
        <f aca="false">Units!$E23*(1+Inputs!$B$7)^(DA$2-1)</f>
        <v>2343.52465056709</v>
      </c>
      <c r="DB24" s="11" t="n">
        <f aca="false">Units!$E23*(1+Inputs!$B$7)^(DB$2-1)</f>
        <v>2343.52465056709</v>
      </c>
      <c r="DC24" s="11" t="n">
        <f aca="false">Units!$E23*(1+Inputs!$B$7)^(DC$2-1)</f>
        <v>2343.52465056709</v>
      </c>
      <c r="DD24" s="11" t="n">
        <f aca="false">Units!$E23*(1+Inputs!$B$7)^(DD$2-1)</f>
        <v>2343.52465056709</v>
      </c>
      <c r="DE24" s="11" t="n">
        <f aca="false">Units!$E23*(1+Inputs!$B$7)^(DE$2-1)</f>
        <v>2343.52465056709</v>
      </c>
      <c r="DF24" s="11" t="n">
        <f aca="false">Units!$E23*(1+Inputs!$B$7)^(DF$2-1)</f>
        <v>2343.52465056709</v>
      </c>
      <c r="DG24" s="11" t="n">
        <f aca="false">Units!$E23*(1+Inputs!$B$7)^(DG$2-1)</f>
        <v>2413.8303900841</v>
      </c>
      <c r="DH24" s="11" t="n">
        <f aca="false">Units!$E23*(1+Inputs!$B$7)^(DH$2-1)</f>
        <v>2413.8303900841</v>
      </c>
      <c r="DI24" s="11" t="n">
        <f aca="false">Units!$E23*(1+Inputs!$B$7)^(DI$2-1)</f>
        <v>2413.8303900841</v>
      </c>
      <c r="DJ24" s="11" t="n">
        <f aca="false">Units!$E23*(1+Inputs!$B$7)^(DJ$2-1)</f>
        <v>2413.8303900841</v>
      </c>
      <c r="DK24" s="11" t="n">
        <f aca="false">Units!$E23*(1+Inputs!$B$7)^(DK$2-1)</f>
        <v>2413.8303900841</v>
      </c>
      <c r="DL24" s="11" t="n">
        <f aca="false">Units!$E23*(1+Inputs!$B$7)^(DL$2-1)</f>
        <v>2413.8303900841</v>
      </c>
      <c r="DM24" s="11" t="n">
        <f aca="false">Units!$E23*(1+Inputs!$B$7)^(DM$2-1)</f>
        <v>2413.8303900841</v>
      </c>
      <c r="DN24" s="11" t="n">
        <f aca="false">Units!$E23*(1+Inputs!$B$7)^(DN$2-1)</f>
        <v>2413.8303900841</v>
      </c>
      <c r="DO24" s="11" t="n">
        <f aca="false">Units!$E23*(1+Inputs!$B$7)^(DO$2-1)</f>
        <v>2413.8303900841</v>
      </c>
      <c r="DP24" s="11" t="n">
        <f aca="false">Units!$E23*(1+Inputs!$B$7)^(DP$2-1)</f>
        <v>2413.8303900841</v>
      </c>
      <c r="DQ24" s="11" t="n">
        <f aca="false">Units!$E23*(1+Inputs!$B$7)^(DQ$2-1)</f>
        <v>2413.8303900841</v>
      </c>
      <c r="DR24" s="11" t="n">
        <f aca="false">Units!$E23*(1+Inputs!$B$7)^(DR$2-1)</f>
        <v>2413.8303900841</v>
      </c>
      <c r="DS24" s="11" t="n">
        <f aca="false">Units!$E23*(1+Inputs!$B$7)^(DS$2-1)</f>
        <v>2486.24530178663</v>
      </c>
      <c r="DT24" s="11" t="n">
        <f aca="false">Units!$E23*(1+Inputs!$B$7)^(DT$2-1)</f>
        <v>2486.24530178663</v>
      </c>
      <c r="DU24" s="11" t="n">
        <f aca="false">Units!$E23*(1+Inputs!$B$7)^(DU$2-1)</f>
        <v>2486.24530178663</v>
      </c>
      <c r="DV24" s="11" t="n">
        <f aca="false">Units!$E23*(1+Inputs!$B$7)^(DV$2-1)</f>
        <v>2486.24530178663</v>
      </c>
      <c r="DW24" s="11" t="n">
        <f aca="false">Units!$E23*(1+Inputs!$B$7)^(DW$2-1)</f>
        <v>2486.24530178663</v>
      </c>
      <c r="DX24" s="11" t="n">
        <f aca="false">Units!$E23*(1+Inputs!$B$7)^(DX$2-1)</f>
        <v>2486.24530178663</v>
      </c>
      <c r="DY24" s="11" t="n">
        <f aca="false">Units!$E23*(1+Inputs!$B$7)^(DY$2-1)</f>
        <v>2486.24530178663</v>
      </c>
      <c r="DZ24" s="11" t="n">
        <f aca="false">Units!$E23*(1+Inputs!$B$7)^(DZ$2-1)</f>
        <v>2486.24530178663</v>
      </c>
      <c r="EA24" s="11" t="n">
        <f aca="false">Units!$E23*(1+Inputs!$B$7)^(EA$2-1)</f>
        <v>2486.24530178663</v>
      </c>
      <c r="EB24" s="11" t="n">
        <f aca="false">Units!$E23*(1+Inputs!$B$7)^(EB$2-1)</f>
        <v>2486.24530178663</v>
      </c>
      <c r="EC24" s="11" t="n">
        <f aca="false">Units!$E23*(1+Inputs!$B$7)^(EC$2-1)</f>
        <v>2486.24530178663</v>
      </c>
      <c r="ED24" s="11" t="n">
        <f aca="false">Units!$E23*(1+Inputs!$B$7)^(ED$2-1)</f>
        <v>2486.24530178663</v>
      </c>
    </row>
    <row r="25" customFormat="false" ht="15" hidden="false" customHeight="false" outlineLevel="0" collapsed="false">
      <c r="A25" s="22" t="n">
        <f aca="false">Units!A24</f>
        <v>123</v>
      </c>
      <c r="B25" s="23"/>
      <c r="C25" s="11" t="n">
        <f aca="false">Units!$E24*(1+Inputs!$B$7)^(C$2-1)</f>
        <v>1850</v>
      </c>
      <c r="D25" s="11" t="n">
        <f aca="false">Units!$E24*(1+Inputs!$B$7)^(D$2-1)</f>
        <v>1850</v>
      </c>
      <c r="E25" s="11" t="n">
        <f aca="false">Units!$E24*(1+Inputs!$B$7)^(E$2-1)</f>
        <v>1850</v>
      </c>
      <c r="F25" s="11" t="n">
        <f aca="false">Units!$E24*(1+Inputs!$B$7)^(F$2-1)</f>
        <v>1850</v>
      </c>
      <c r="G25" s="11" t="n">
        <f aca="false">Units!$E24*(1+Inputs!$B$7)^(G$2-1)</f>
        <v>1850</v>
      </c>
      <c r="H25" s="11" t="n">
        <f aca="false">Units!$E24*(1+Inputs!$B$7)^(H$2-1)</f>
        <v>1850</v>
      </c>
      <c r="I25" s="11" t="n">
        <f aca="false">Units!$E24*(1+Inputs!$B$7)^(I$2-1)</f>
        <v>1850</v>
      </c>
      <c r="J25" s="11" t="n">
        <f aca="false">Units!$E24*(1+Inputs!$B$7)^(J$2-1)</f>
        <v>1850</v>
      </c>
      <c r="K25" s="11" t="n">
        <f aca="false">Units!$E24*(1+Inputs!$B$7)^(K$2-1)</f>
        <v>1850</v>
      </c>
      <c r="L25" s="11" t="n">
        <f aca="false">Units!$E24*(1+Inputs!$B$7)^(L$2-1)</f>
        <v>1850</v>
      </c>
      <c r="M25" s="11" t="n">
        <f aca="false">Units!$E24*(1+Inputs!$B$7)^(M$2-1)</f>
        <v>1850</v>
      </c>
      <c r="N25" s="11" t="n">
        <f aca="false">Units!$E24*(1+Inputs!$B$7)^(N$2-1)</f>
        <v>1850</v>
      </c>
      <c r="O25" s="11" t="n">
        <f aca="false">Units!$E24*(1+Inputs!$B$7)^(O$2-1)</f>
        <v>1905.5</v>
      </c>
      <c r="P25" s="11" t="n">
        <f aca="false">Units!$E24*(1+Inputs!$B$7)^(P$2-1)</f>
        <v>1905.5</v>
      </c>
      <c r="Q25" s="11" t="n">
        <f aca="false">Units!$E24*(1+Inputs!$B$7)^(Q$2-1)</f>
        <v>1905.5</v>
      </c>
      <c r="R25" s="11" t="n">
        <f aca="false">Units!$E24*(1+Inputs!$B$7)^(R$2-1)</f>
        <v>1905.5</v>
      </c>
      <c r="S25" s="11" t="n">
        <f aca="false">Units!$E24*(1+Inputs!$B$7)^(S$2-1)</f>
        <v>1905.5</v>
      </c>
      <c r="T25" s="11" t="n">
        <f aca="false">Units!$E24*(1+Inputs!$B$7)^(T$2-1)</f>
        <v>1905.5</v>
      </c>
      <c r="U25" s="11" t="n">
        <f aca="false">Units!$E24*(1+Inputs!$B$7)^(U$2-1)</f>
        <v>1905.5</v>
      </c>
      <c r="V25" s="11" t="n">
        <f aca="false">Units!$E24*(1+Inputs!$B$7)^(V$2-1)</f>
        <v>1905.5</v>
      </c>
      <c r="W25" s="11" t="n">
        <f aca="false">Units!$E24*(1+Inputs!$B$7)^(W$2-1)</f>
        <v>1905.5</v>
      </c>
      <c r="X25" s="11" t="n">
        <f aca="false">Units!$E24*(1+Inputs!$B$7)^(X$2-1)</f>
        <v>1905.5</v>
      </c>
      <c r="Y25" s="11" t="n">
        <f aca="false">Units!$E24*(1+Inputs!$B$7)^(Y$2-1)</f>
        <v>1905.5</v>
      </c>
      <c r="Z25" s="11" t="n">
        <f aca="false">Units!$E24*(1+Inputs!$B$7)^(Z$2-1)</f>
        <v>1905.5</v>
      </c>
      <c r="AA25" s="11" t="n">
        <f aca="false">Units!$E24*(1+Inputs!$B$7)^(AA$2-1)</f>
        <v>1962.665</v>
      </c>
      <c r="AB25" s="11" t="n">
        <f aca="false">Units!$E24*(1+Inputs!$B$7)^(AB$2-1)</f>
        <v>1962.665</v>
      </c>
      <c r="AC25" s="11" t="n">
        <f aca="false">Units!$E24*(1+Inputs!$B$7)^(AC$2-1)</f>
        <v>1962.665</v>
      </c>
      <c r="AD25" s="11" t="n">
        <f aca="false">Units!$E24*(1+Inputs!$B$7)^(AD$2-1)</f>
        <v>1962.665</v>
      </c>
      <c r="AE25" s="11" t="n">
        <f aca="false">Units!$E24*(1+Inputs!$B$7)^(AE$2-1)</f>
        <v>1962.665</v>
      </c>
      <c r="AF25" s="11" t="n">
        <f aca="false">Units!$E24*(1+Inputs!$B$7)^(AF$2-1)</f>
        <v>1962.665</v>
      </c>
      <c r="AG25" s="11" t="n">
        <f aca="false">Units!$E24*(1+Inputs!$B$7)^(AG$2-1)</f>
        <v>1962.665</v>
      </c>
      <c r="AH25" s="11" t="n">
        <f aca="false">Units!$E24*(1+Inputs!$B$7)^(AH$2-1)</f>
        <v>1962.665</v>
      </c>
      <c r="AI25" s="11" t="n">
        <f aca="false">Units!$E24*(1+Inputs!$B$7)^(AI$2-1)</f>
        <v>1962.665</v>
      </c>
      <c r="AJ25" s="11" t="n">
        <f aca="false">Units!$E24*(1+Inputs!$B$7)^(AJ$2-1)</f>
        <v>1962.665</v>
      </c>
      <c r="AK25" s="11" t="n">
        <f aca="false">Units!$E24*(1+Inputs!$B$7)^(AK$2-1)</f>
        <v>1962.665</v>
      </c>
      <c r="AL25" s="11" t="n">
        <f aca="false">Units!$E24*(1+Inputs!$B$7)^(AL$2-1)</f>
        <v>1962.665</v>
      </c>
      <c r="AM25" s="11" t="n">
        <f aca="false">Units!$E24*(1+Inputs!$B$7)^(AM$2-1)</f>
        <v>2021.54495</v>
      </c>
      <c r="AN25" s="11" t="n">
        <f aca="false">Units!$E24*(1+Inputs!$B$7)^(AN$2-1)</f>
        <v>2021.54495</v>
      </c>
      <c r="AO25" s="11" t="n">
        <f aca="false">Units!$E24*(1+Inputs!$B$7)^(AO$2-1)</f>
        <v>2021.54495</v>
      </c>
      <c r="AP25" s="11" t="n">
        <f aca="false">Units!$E24*(1+Inputs!$B$7)^(AP$2-1)</f>
        <v>2021.54495</v>
      </c>
      <c r="AQ25" s="11" t="n">
        <f aca="false">Units!$E24*(1+Inputs!$B$7)^(AQ$2-1)</f>
        <v>2021.54495</v>
      </c>
      <c r="AR25" s="11" t="n">
        <f aca="false">Units!$E24*(1+Inputs!$B$7)^(AR$2-1)</f>
        <v>2021.54495</v>
      </c>
      <c r="AS25" s="11" t="n">
        <f aca="false">Units!$E24*(1+Inputs!$B$7)^(AS$2-1)</f>
        <v>2021.54495</v>
      </c>
      <c r="AT25" s="11" t="n">
        <f aca="false">Units!$E24*(1+Inputs!$B$7)^(AT$2-1)</f>
        <v>2021.54495</v>
      </c>
      <c r="AU25" s="11" t="n">
        <f aca="false">Units!$E24*(1+Inputs!$B$7)^(AU$2-1)</f>
        <v>2021.54495</v>
      </c>
      <c r="AV25" s="11" t="n">
        <f aca="false">Units!$E24*(1+Inputs!$B$7)^(AV$2-1)</f>
        <v>2021.54495</v>
      </c>
      <c r="AW25" s="11" t="n">
        <f aca="false">Units!$E24*(1+Inputs!$B$7)^(AW$2-1)</f>
        <v>2021.54495</v>
      </c>
      <c r="AX25" s="11" t="n">
        <f aca="false">Units!$E24*(1+Inputs!$B$7)^(AX$2-1)</f>
        <v>2021.54495</v>
      </c>
      <c r="AY25" s="11" t="n">
        <f aca="false">Units!$E24*(1+Inputs!$B$7)^(AY$2-1)</f>
        <v>2082.1912985</v>
      </c>
      <c r="AZ25" s="11" t="n">
        <f aca="false">Units!$E24*(1+Inputs!$B$7)^(AZ$2-1)</f>
        <v>2082.1912985</v>
      </c>
      <c r="BA25" s="11" t="n">
        <f aca="false">Units!$E24*(1+Inputs!$B$7)^(BA$2-1)</f>
        <v>2082.1912985</v>
      </c>
      <c r="BB25" s="11" t="n">
        <f aca="false">Units!$E24*(1+Inputs!$B$7)^(BB$2-1)</f>
        <v>2082.1912985</v>
      </c>
      <c r="BC25" s="11" t="n">
        <f aca="false">Units!$E24*(1+Inputs!$B$7)^(BC$2-1)</f>
        <v>2082.1912985</v>
      </c>
      <c r="BD25" s="11" t="n">
        <f aca="false">Units!$E24*(1+Inputs!$B$7)^(BD$2-1)</f>
        <v>2082.1912985</v>
      </c>
      <c r="BE25" s="11" t="n">
        <f aca="false">Units!$E24*(1+Inputs!$B$7)^(BE$2-1)</f>
        <v>2082.1912985</v>
      </c>
      <c r="BF25" s="11" t="n">
        <f aca="false">Units!$E24*(1+Inputs!$B$7)^(BF$2-1)</f>
        <v>2082.1912985</v>
      </c>
      <c r="BG25" s="11" t="n">
        <f aca="false">Units!$E24*(1+Inputs!$B$7)^(BG$2-1)</f>
        <v>2082.1912985</v>
      </c>
      <c r="BH25" s="11" t="n">
        <f aca="false">Units!$E24*(1+Inputs!$B$7)^(BH$2-1)</f>
        <v>2082.1912985</v>
      </c>
      <c r="BI25" s="11" t="n">
        <f aca="false">Units!$E24*(1+Inputs!$B$7)^(BI$2-1)</f>
        <v>2082.1912985</v>
      </c>
      <c r="BJ25" s="11" t="n">
        <f aca="false">Units!$E24*(1+Inputs!$B$7)^(BJ$2-1)</f>
        <v>2082.1912985</v>
      </c>
      <c r="BK25" s="11" t="n">
        <f aca="false">Units!$E24*(1+Inputs!$B$7)^(BK$2-1)</f>
        <v>2144.657037455</v>
      </c>
      <c r="BL25" s="11" t="n">
        <f aca="false">Units!$E24*(1+Inputs!$B$7)^(BL$2-1)</f>
        <v>2144.657037455</v>
      </c>
      <c r="BM25" s="11" t="n">
        <f aca="false">Units!$E24*(1+Inputs!$B$7)^(BM$2-1)</f>
        <v>2144.657037455</v>
      </c>
      <c r="BN25" s="11" t="n">
        <f aca="false">Units!$E24*(1+Inputs!$B$7)^(BN$2-1)</f>
        <v>2144.657037455</v>
      </c>
      <c r="BO25" s="11" t="n">
        <f aca="false">Units!$E24*(1+Inputs!$B$7)^(BO$2-1)</f>
        <v>2144.657037455</v>
      </c>
      <c r="BP25" s="11" t="n">
        <f aca="false">Units!$E24*(1+Inputs!$B$7)^(BP$2-1)</f>
        <v>2144.657037455</v>
      </c>
      <c r="BQ25" s="11" t="n">
        <f aca="false">Units!$E24*(1+Inputs!$B$7)^(BQ$2-1)</f>
        <v>2144.657037455</v>
      </c>
      <c r="BR25" s="11" t="n">
        <f aca="false">Units!$E24*(1+Inputs!$B$7)^(BR$2-1)</f>
        <v>2144.657037455</v>
      </c>
      <c r="BS25" s="11" t="n">
        <f aca="false">Units!$E24*(1+Inputs!$B$7)^(BS$2-1)</f>
        <v>2144.657037455</v>
      </c>
      <c r="BT25" s="11" t="n">
        <f aca="false">Units!$E24*(1+Inputs!$B$7)^(BT$2-1)</f>
        <v>2144.657037455</v>
      </c>
      <c r="BU25" s="11" t="n">
        <f aca="false">Units!$E24*(1+Inputs!$B$7)^(BU$2-1)</f>
        <v>2144.657037455</v>
      </c>
      <c r="BV25" s="11" t="n">
        <f aca="false">Units!$E24*(1+Inputs!$B$7)^(BV$2-1)</f>
        <v>2144.657037455</v>
      </c>
      <c r="BW25" s="11" t="n">
        <f aca="false">Units!$E24*(1+Inputs!$B$7)^(BW$2-1)</f>
        <v>2208.99674857865</v>
      </c>
      <c r="BX25" s="11" t="n">
        <f aca="false">Units!$E24*(1+Inputs!$B$7)^(BX$2-1)</f>
        <v>2208.99674857865</v>
      </c>
      <c r="BY25" s="11" t="n">
        <f aca="false">Units!$E24*(1+Inputs!$B$7)^(BY$2-1)</f>
        <v>2208.99674857865</v>
      </c>
      <c r="BZ25" s="11" t="n">
        <f aca="false">Units!$E24*(1+Inputs!$B$7)^(BZ$2-1)</f>
        <v>2208.99674857865</v>
      </c>
      <c r="CA25" s="11" t="n">
        <f aca="false">Units!$E24*(1+Inputs!$B$7)^(CA$2-1)</f>
        <v>2208.99674857865</v>
      </c>
      <c r="CB25" s="11" t="n">
        <f aca="false">Units!$E24*(1+Inputs!$B$7)^(CB$2-1)</f>
        <v>2208.99674857865</v>
      </c>
      <c r="CC25" s="11" t="n">
        <f aca="false">Units!$E24*(1+Inputs!$B$7)^(CC$2-1)</f>
        <v>2208.99674857865</v>
      </c>
      <c r="CD25" s="11" t="n">
        <f aca="false">Units!$E24*(1+Inputs!$B$7)^(CD$2-1)</f>
        <v>2208.99674857865</v>
      </c>
      <c r="CE25" s="11" t="n">
        <f aca="false">Units!$E24*(1+Inputs!$B$7)^(CE$2-1)</f>
        <v>2208.99674857865</v>
      </c>
      <c r="CF25" s="11" t="n">
        <f aca="false">Units!$E24*(1+Inputs!$B$7)^(CF$2-1)</f>
        <v>2208.99674857865</v>
      </c>
      <c r="CG25" s="11" t="n">
        <f aca="false">Units!$E24*(1+Inputs!$B$7)^(CG$2-1)</f>
        <v>2208.99674857865</v>
      </c>
      <c r="CH25" s="11" t="n">
        <f aca="false">Units!$E24*(1+Inputs!$B$7)^(CH$2-1)</f>
        <v>2208.99674857865</v>
      </c>
      <c r="CI25" s="11" t="n">
        <f aca="false">Units!$E24*(1+Inputs!$B$7)^(CI$2-1)</f>
        <v>2275.26665103601</v>
      </c>
      <c r="CJ25" s="11" t="n">
        <f aca="false">Units!$E24*(1+Inputs!$B$7)^(CJ$2-1)</f>
        <v>2275.26665103601</v>
      </c>
      <c r="CK25" s="11" t="n">
        <f aca="false">Units!$E24*(1+Inputs!$B$7)^(CK$2-1)</f>
        <v>2275.26665103601</v>
      </c>
      <c r="CL25" s="11" t="n">
        <f aca="false">Units!$E24*(1+Inputs!$B$7)^(CL$2-1)</f>
        <v>2275.26665103601</v>
      </c>
      <c r="CM25" s="11" t="n">
        <f aca="false">Units!$E24*(1+Inputs!$B$7)^(CM$2-1)</f>
        <v>2275.26665103601</v>
      </c>
      <c r="CN25" s="11" t="n">
        <f aca="false">Units!$E24*(1+Inputs!$B$7)^(CN$2-1)</f>
        <v>2275.26665103601</v>
      </c>
      <c r="CO25" s="11" t="n">
        <f aca="false">Units!$E24*(1+Inputs!$B$7)^(CO$2-1)</f>
        <v>2275.26665103601</v>
      </c>
      <c r="CP25" s="11" t="n">
        <f aca="false">Units!$E24*(1+Inputs!$B$7)^(CP$2-1)</f>
        <v>2275.26665103601</v>
      </c>
      <c r="CQ25" s="11" t="n">
        <f aca="false">Units!$E24*(1+Inputs!$B$7)^(CQ$2-1)</f>
        <v>2275.26665103601</v>
      </c>
      <c r="CR25" s="11" t="n">
        <f aca="false">Units!$E24*(1+Inputs!$B$7)^(CR$2-1)</f>
        <v>2275.26665103601</v>
      </c>
      <c r="CS25" s="11" t="n">
        <f aca="false">Units!$E24*(1+Inputs!$B$7)^(CS$2-1)</f>
        <v>2275.26665103601</v>
      </c>
      <c r="CT25" s="11" t="n">
        <f aca="false">Units!$E24*(1+Inputs!$B$7)^(CT$2-1)</f>
        <v>2275.26665103601</v>
      </c>
      <c r="CU25" s="11" t="n">
        <f aca="false">Units!$E24*(1+Inputs!$B$7)^(CU$2-1)</f>
        <v>2343.52465056709</v>
      </c>
      <c r="CV25" s="11" t="n">
        <f aca="false">Units!$E24*(1+Inputs!$B$7)^(CV$2-1)</f>
        <v>2343.52465056709</v>
      </c>
      <c r="CW25" s="11" t="n">
        <f aca="false">Units!$E24*(1+Inputs!$B$7)^(CW$2-1)</f>
        <v>2343.52465056709</v>
      </c>
      <c r="CX25" s="11" t="n">
        <f aca="false">Units!$E24*(1+Inputs!$B$7)^(CX$2-1)</f>
        <v>2343.52465056709</v>
      </c>
      <c r="CY25" s="11" t="n">
        <f aca="false">Units!$E24*(1+Inputs!$B$7)^(CY$2-1)</f>
        <v>2343.52465056709</v>
      </c>
      <c r="CZ25" s="11" t="n">
        <f aca="false">Units!$E24*(1+Inputs!$B$7)^(CZ$2-1)</f>
        <v>2343.52465056709</v>
      </c>
      <c r="DA25" s="11" t="n">
        <f aca="false">Units!$E24*(1+Inputs!$B$7)^(DA$2-1)</f>
        <v>2343.52465056709</v>
      </c>
      <c r="DB25" s="11" t="n">
        <f aca="false">Units!$E24*(1+Inputs!$B$7)^(DB$2-1)</f>
        <v>2343.52465056709</v>
      </c>
      <c r="DC25" s="11" t="n">
        <f aca="false">Units!$E24*(1+Inputs!$B$7)^(DC$2-1)</f>
        <v>2343.52465056709</v>
      </c>
      <c r="DD25" s="11" t="n">
        <f aca="false">Units!$E24*(1+Inputs!$B$7)^(DD$2-1)</f>
        <v>2343.52465056709</v>
      </c>
      <c r="DE25" s="11" t="n">
        <f aca="false">Units!$E24*(1+Inputs!$B$7)^(DE$2-1)</f>
        <v>2343.52465056709</v>
      </c>
      <c r="DF25" s="11" t="n">
        <f aca="false">Units!$E24*(1+Inputs!$B$7)^(DF$2-1)</f>
        <v>2343.52465056709</v>
      </c>
      <c r="DG25" s="11" t="n">
        <f aca="false">Units!$E24*(1+Inputs!$B$7)^(DG$2-1)</f>
        <v>2413.8303900841</v>
      </c>
      <c r="DH25" s="11" t="n">
        <f aca="false">Units!$E24*(1+Inputs!$B$7)^(DH$2-1)</f>
        <v>2413.8303900841</v>
      </c>
      <c r="DI25" s="11" t="n">
        <f aca="false">Units!$E24*(1+Inputs!$B$7)^(DI$2-1)</f>
        <v>2413.8303900841</v>
      </c>
      <c r="DJ25" s="11" t="n">
        <f aca="false">Units!$E24*(1+Inputs!$B$7)^(DJ$2-1)</f>
        <v>2413.8303900841</v>
      </c>
      <c r="DK25" s="11" t="n">
        <f aca="false">Units!$E24*(1+Inputs!$B$7)^(DK$2-1)</f>
        <v>2413.8303900841</v>
      </c>
      <c r="DL25" s="11" t="n">
        <f aca="false">Units!$E24*(1+Inputs!$B$7)^(DL$2-1)</f>
        <v>2413.8303900841</v>
      </c>
      <c r="DM25" s="11" t="n">
        <f aca="false">Units!$E24*(1+Inputs!$B$7)^(DM$2-1)</f>
        <v>2413.8303900841</v>
      </c>
      <c r="DN25" s="11" t="n">
        <f aca="false">Units!$E24*(1+Inputs!$B$7)^(DN$2-1)</f>
        <v>2413.8303900841</v>
      </c>
      <c r="DO25" s="11" t="n">
        <f aca="false">Units!$E24*(1+Inputs!$B$7)^(DO$2-1)</f>
        <v>2413.8303900841</v>
      </c>
      <c r="DP25" s="11" t="n">
        <f aca="false">Units!$E24*(1+Inputs!$B$7)^(DP$2-1)</f>
        <v>2413.8303900841</v>
      </c>
      <c r="DQ25" s="11" t="n">
        <f aca="false">Units!$E24*(1+Inputs!$B$7)^(DQ$2-1)</f>
        <v>2413.8303900841</v>
      </c>
      <c r="DR25" s="11" t="n">
        <f aca="false">Units!$E24*(1+Inputs!$B$7)^(DR$2-1)</f>
        <v>2413.8303900841</v>
      </c>
      <c r="DS25" s="11" t="n">
        <f aca="false">Units!$E24*(1+Inputs!$B$7)^(DS$2-1)</f>
        <v>2486.24530178663</v>
      </c>
      <c r="DT25" s="11" t="n">
        <f aca="false">Units!$E24*(1+Inputs!$B$7)^(DT$2-1)</f>
        <v>2486.24530178663</v>
      </c>
      <c r="DU25" s="11" t="n">
        <f aca="false">Units!$E24*(1+Inputs!$B$7)^(DU$2-1)</f>
        <v>2486.24530178663</v>
      </c>
      <c r="DV25" s="11" t="n">
        <f aca="false">Units!$E24*(1+Inputs!$B$7)^(DV$2-1)</f>
        <v>2486.24530178663</v>
      </c>
      <c r="DW25" s="11" t="n">
        <f aca="false">Units!$E24*(1+Inputs!$B$7)^(DW$2-1)</f>
        <v>2486.24530178663</v>
      </c>
      <c r="DX25" s="11" t="n">
        <f aca="false">Units!$E24*(1+Inputs!$B$7)^(DX$2-1)</f>
        <v>2486.24530178663</v>
      </c>
      <c r="DY25" s="11" t="n">
        <f aca="false">Units!$E24*(1+Inputs!$B$7)^(DY$2-1)</f>
        <v>2486.24530178663</v>
      </c>
      <c r="DZ25" s="11" t="n">
        <f aca="false">Units!$E24*(1+Inputs!$B$7)^(DZ$2-1)</f>
        <v>2486.24530178663</v>
      </c>
      <c r="EA25" s="11" t="n">
        <f aca="false">Units!$E24*(1+Inputs!$B$7)^(EA$2-1)</f>
        <v>2486.24530178663</v>
      </c>
      <c r="EB25" s="11" t="n">
        <f aca="false">Units!$E24*(1+Inputs!$B$7)^(EB$2-1)</f>
        <v>2486.24530178663</v>
      </c>
      <c r="EC25" s="11" t="n">
        <f aca="false">Units!$E24*(1+Inputs!$B$7)^(EC$2-1)</f>
        <v>2486.24530178663</v>
      </c>
      <c r="ED25" s="11" t="n">
        <f aca="false">Units!$E24*(1+Inputs!$B$7)^(ED$2-1)</f>
        <v>2486.24530178663</v>
      </c>
    </row>
    <row r="26" customFormat="false" ht="15" hidden="false" customHeight="false" outlineLevel="0" collapsed="false">
      <c r="A26" s="22" t="n">
        <f aca="false">Units!A25</f>
        <v>124</v>
      </c>
      <c r="B26" s="23"/>
      <c r="C26" s="11" t="n">
        <f aca="false">Units!$E25*(1+Inputs!$B$7)^(C$2-1)</f>
        <v>1850</v>
      </c>
      <c r="D26" s="11" t="n">
        <f aca="false">Units!$E25*(1+Inputs!$B$7)^(D$2-1)</f>
        <v>1850</v>
      </c>
      <c r="E26" s="11" t="n">
        <f aca="false">Units!$E25*(1+Inputs!$B$7)^(E$2-1)</f>
        <v>1850</v>
      </c>
      <c r="F26" s="11" t="n">
        <f aca="false">Units!$E25*(1+Inputs!$B$7)^(F$2-1)</f>
        <v>1850</v>
      </c>
      <c r="G26" s="11" t="n">
        <f aca="false">Units!$E25*(1+Inputs!$B$7)^(G$2-1)</f>
        <v>1850</v>
      </c>
      <c r="H26" s="11" t="n">
        <f aca="false">Units!$E25*(1+Inputs!$B$7)^(H$2-1)</f>
        <v>1850</v>
      </c>
      <c r="I26" s="11" t="n">
        <f aca="false">Units!$E25*(1+Inputs!$B$7)^(I$2-1)</f>
        <v>1850</v>
      </c>
      <c r="J26" s="11" t="n">
        <f aca="false">Units!$E25*(1+Inputs!$B$7)^(J$2-1)</f>
        <v>1850</v>
      </c>
      <c r="K26" s="11" t="n">
        <f aca="false">Units!$E25*(1+Inputs!$B$7)^(K$2-1)</f>
        <v>1850</v>
      </c>
      <c r="L26" s="11" t="n">
        <f aca="false">Units!$E25*(1+Inputs!$B$7)^(L$2-1)</f>
        <v>1850</v>
      </c>
      <c r="M26" s="11" t="n">
        <f aca="false">Units!$E25*(1+Inputs!$B$7)^(M$2-1)</f>
        <v>1850</v>
      </c>
      <c r="N26" s="11" t="n">
        <f aca="false">Units!$E25*(1+Inputs!$B$7)^(N$2-1)</f>
        <v>1850</v>
      </c>
      <c r="O26" s="11" t="n">
        <f aca="false">Units!$E25*(1+Inputs!$B$7)^(O$2-1)</f>
        <v>1905.5</v>
      </c>
      <c r="P26" s="11" t="n">
        <f aca="false">Units!$E25*(1+Inputs!$B$7)^(P$2-1)</f>
        <v>1905.5</v>
      </c>
      <c r="Q26" s="11" t="n">
        <f aca="false">Units!$E25*(1+Inputs!$B$7)^(Q$2-1)</f>
        <v>1905.5</v>
      </c>
      <c r="R26" s="11" t="n">
        <f aca="false">Units!$E25*(1+Inputs!$B$7)^(R$2-1)</f>
        <v>1905.5</v>
      </c>
      <c r="S26" s="11" t="n">
        <f aca="false">Units!$E25*(1+Inputs!$B$7)^(S$2-1)</f>
        <v>1905.5</v>
      </c>
      <c r="T26" s="11" t="n">
        <f aca="false">Units!$E25*(1+Inputs!$B$7)^(T$2-1)</f>
        <v>1905.5</v>
      </c>
      <c r="U26" s="11" t="n">
        <f aca="false">Units!$E25*(1+Inputs!$B$7)^(U$2-1)</f>
        <v>1905.5</v>
      </c>
      <c r="V26" s="11" t="n">
        <f aca="false">Units!$E25*(1+Inputs!$B$7)^(V$2-1)</f>
        <v>1905.5</v>
      </c>
      <c r="W26" s="11" t="n">
        <f aca="false">Units!$E25*(1+Inputs!$B$7)^(W$2-1)</f>
        <v>1905.5</v>
      </c>
      <c r="X26" s="11" t="n">
        <f aca="false">Units!$E25*(1+Inputs!$B$7)^(X$2-1)</f>
        <v>1905.5</v>
      </c>
      <c r="Y26" s="11" t="n">
        <f aca="false">Units!$E25*(1+Inputs!$B$7)^(Y$2-1)</f>
        <v>1905.5</v>
      </c>
      <c r="Z26" s="11" t="n">
        <f aca="false">Units!$E25*(1+Inputs!$B$7)^(Z$2-1)</f>
        <v>1905.5</v>
      </c>
      <c r="AA26" s="11" t="n">
        <f aca="false">Units!$E25*(1+Inputs!$B$7)^(AA$2-1)</f>
        <v>1962.665</v>
      </c>
      <c r="AB26" s="11" t="n">
        <f aca="false">Units!$E25*(1+Inputs!$B$7)^(AB$2-1)</f>
        <v>1962.665</v>
      </c>
      <c r="AC26" s="11" t="n">
        <f aca="false">Units!$E25*(1+Inputs!$B$7)^(AC$2-1)</f>
        <v>1962.665</v>
      </c>
      <c r="AD26" s="11" t="n">
        <f aca="false">Units!$E25*(1+Inputs!$B$7)^(AD$2-1)</f>
        <v>1962.665</v>
      </c>
      <c r="AE26" s="11" t="n">
        <f aca="false">Units!$E25*(1+Inputs!$B$7)^(AE$2-1)</f>
        <v>1962.665</v>
      </c>
      <c r="AF26" s="11" t="n">
        <f aca="false">Units!$E25*(1+Inputs!$B$7)^(AF$2-1)</f>
        <v>1962.665</v>
      </c>
      <c r="AG26" s="11" t="n">
        <f aca="false">Units!$E25*(1+Inputs!$B$7)^(AG$2-1)</f>
        <v>1962.665</v>
      </c>
      <c r="AH26" s="11" t="n">
        <f aca="false">Units!$E25*(1+Inputs!$B$7)^(AH$2-1)</f>
        <v>1962.665</v>
      </c>
      <c r="AI26" s="11" t="n">
        <f aca="false">Units!$E25*(1+Inputs!$B$7)^(AI$2-1)</f>
        <v>1962.665</v>
      </c>
      <c r="AJ26" s="11" t="n">
        <f aca="false">Units!$E25*(1+Inputs!$B$7)^(AJ$2-1)</f>
        <v>1962.665</v>
      </c>
      <c r="AK26" s="11" t="n">
        <f aca="false">Units!$E25*(1+Inputs!$B$7)^(AK$2-1)</f>
        <v>1962.665</v>
      </c>
      <c r="AL26" s="11" t="n">
        <f aca="false">Units!$E25*(1+Inputs!$B$7)^(AL$2-1)</f>
        <v>1962.665</v>
      </c>
      <c r="AM26" s="11" t="n">
        <f aca="false">Units!$E25*(1+Inputs!$B$7)^(AM$2-1)</f>
        <v>2021.54495</v>
      </c>
      <c r="AN26" s="11" t="n">
        <f aca="false">Units!$E25*(1+Inputs!$B$7)^(AN$2-1)</f>
        <v>2021.54495</v>
      </c>
      <c r="AO26" s="11" t="n">
        <f aca="false">Units!$E25*(1+Inputs!$B$7)^(AO$2-1)</f>
        <v>2021.54495</v>
      </c>
      <c r="AP26" s="11" t="n">
        <f aca="false">Units!$E25*(1+Inputs!$B$7)^(AP$2-1)</f>
        <v>2021.54495</v>
      </c>
      <c r="AQ26" s="11" t="n">
        <f aca="false">Units!$E25*(1+Inputs!$B$7)^(AQ$2-1)</f>
        <v>2021.54495</v>
      </c>
      <c r="AR26" s="11" t="n">
        <f aca="false">Units!$E25*(1+Inputs!$B$7)^(AR$2-1)</f>
        <v>2021.54495</v>
      </c>
      <c r="AS26" s="11" t="n">
        <f aca="false">Units!$E25*(1+Inputs!$B$7)^(AS$2-1)</f>
        <v>2021.54495</v>
      </c>
      <c r="AT26" s="11" t="n">
        <f aca="false">Units!$E25*(1+Inputs!$B$7)^(AT$2-1)</f>
        <v>2021.54495</v>
      </c>
      <c r="AU26" s="11" t="n">
        <f aca="false">Units!$E25*(1+Inputs!$B$7)^(AU$2-1)</f>
        <v>2021.54495</v>
      </c>
      <c r="AV26" s="11" t="n">
        <f aca="false">Units!$E25*(1+Inputs!$B$7)^(AV$2-1)</f>
        <v>2021.54495</v>
      </c>
      <c r="AW26" s="11" t="n">
        <f aca="false">Units!$E25*(1+Inputs!$B$7)^(AW$2-1)</f>
        <v>2021.54495</v>
      </c>
      <c r="AX26" s="11" t="n">
        <f aca="false">Units!$E25*(1+Inputs!$B$7)^(AX$2-1)</f>
        <v>2021.54495</v>
      </c>
      <c r="AY26" s="11" t="n">
        <f aca="false">Units!$E25*(1+Inputs!$B$7)^(AY$2-1)</f>
        <v>2082.1912985</v>
      </c>
      <c r="AZ26" s="11" t="n">
        <f aca="false">Units!$E25*(1+Inputs!$B$7)^(AZ$2-1)</f>
        <v>2082.1912985</v>
      </c>
      <c r="BA26" s="11" t="n">
        <f aca="false">Units!$E25*(1+Inputs!$B$7)^(BA$2-1)</f>
        <v>2082.1912985</v>
      </c>
      <c r="BB26" s="11" t="n">
        <f aca="false">Units!$E25*(1+Inputs!$B$7)^(BB$2-1)</f>
        <v>2082.1912985</v>
      </c>
      <c r="BC26" s="11" t="n">
        <f aca="false">Units!$E25*(1+Inputs!$B$7)^(BC$2-1)</f>
        <v>2082.1912985</v>
      </c>
      <c r="BD26" s="11" t="n">
        <f aca="false">Units!$E25*(1+Inputs!$B$7)^(BD$2-1)</f>
        <v>2082.1912985</v>
      </c>
      <c r="BE26" s="11" t="n">
        <f aca="false">Units!$E25*(1+Inputs!$B$7)^(BE$2-1)</f>
        <v>2082.1912985</v>
      </c>
      <c r="BF26" s="11" t="n">
        <f aca="false">Units!$E25*(1+Inputs!$B$7)^(BF$2-1)</f>
        <v>2082.1912985</v>
      </c>
      <c r="BG26" s="11" t="n">
        <f aca="false">Units!$E25*(1+Inputs!$B$7)^(BG$2-1)</f>
        <v>2082.1912985</v>
      </c>
      <c r="BH26" s="11" t="n">
        <f aca="false">Units!$E25*(1+Inputs!$B$7)^(BH$2-1)</f>
        <v>2082.1912985</v>
      </c>
      <c r="BI26" s="11" t="n">
        <f aca="false">Units!$E25*(1+Inputs!$B$7)^(BI$2-1)</f>
        <v>2082.1912985</v>
      </c>
      <c r="BJ26" s="11" t="n">
        <f aca="false">Units!$E25*(1+Inputs!$B$7)^(BJ$2-1)</f>
        <v>2082.1912985</v>
      </c>
      <c r="BK26" s="11" t="n">
        <f aca="false">Units!$E25*(1+Inputs!$B$7)^(BK$2-1)</f>
        <v>2144.657037455</v>
      </c>
      <c r="BL26" s="11" t="n">
        <f aca="false">Units!$E25*(1+Inputs!$B$7)^(BL$2-1)</f>
        <v>2144.657037455</v>
      </c>
      <c r="BM26" s="11" t="n">
        <f aca="false">Units!$E25*(1+Inputs!$B$7)^(BM$2-1)</f>
        <v>2144.657037455</v>
      </c>
      <c r="BN26" s="11" t="n">
        <f aca="false">Units!$E25*(1+Inputs!$B$7)^(BN$2-1)</f>
        <v>2144.657037455</v>
      </c>
      <c r="BO26" s="11" t="n">
        <f aca="false">Units!$E25*(1+Inputs!$B$7)^(BO$2-1)</f>
        <v>2144.657037455</v>
      </c>
      <c r="BP26" s="11" t="n">
        <f aca="false">Units!$E25*(1+Inputs!$B$7)^(BP$2-1)</f>
        <v>2144.657037455</v>
      </c>
      <c r="BQ26" s="11" t="n">
        <f aca="false">Units!$E25*(1+Inputs!$B$7)^(BQ$2-1)</f>
        <v>2144.657037455</v>
      </c>
      <c r="BR26" s="11" t="n">
        <f aca="false">Units!$E25*(1+Inputs!$B$7)^(BR$2-1)</f>
        <v>2144.657037455</v>
      </c>
      <c r="BS26" s="11" t="n">
        <f aca="false">Units!$E25*(1+Inputs!$B$7)^(BS$2-1)</f>
        <v>2144.657037455</v>
      </c>
      <c r="BT26" s="11" t="n">
        <f aca="false">Units!$E25*(1+Inputs!$B$7)^(BT$2-1)</f>
        <v>2144.657037455</v>
      </c>
      <c r="BU26" s="11" t="n">
        <f aca="false">Units!$E25*(1+Inputs!$B$7)^(BU$2-1)</f>
        <v>2144.657037455</v>
      </c>
      <c r="BV26" s="11" t="n">
        <f aca="false">Units!$E25*(1+Inputs!$B$7)^(BV$2-1)</f>
        <v>2144.657037455</v>
      </c>
      <c r="BW26" s="11" t="n">
        <f aca="false">Units!$E25*(1+Inputs!$B$7)^(BW$2-1)</f>
        <v>2208.99674857865</v>
      </c>
      <c r="BX26" s="11" t="n">
        <f aca="false">Units!$E25*(1+Inputs!$B$7)^(BX$2-1)</f>
        <v>2208.99674857865</v>
      </c>
      <c r="BY26" s="11" t="n">
        <f aca="false">Units!$E25*(1+Inputs!$B$7)^(BY$2-1)</f>
        <v>2208.99674857865</v>
      </c>
      <c r="BZ26" s="11" t="n">
        <f aca="false">Units!$E25*(1+Inputs!$B$7)^(BZ$2-1)</f>
        <v>2208.99674857865</v>
      </c>
      <c r="CA26" s="11" t="n">
        <f aca="false">Units!$E25*(1+Inputs!$B$7)^(CA$2-1)</f>
        <v>2208.99674857865</v>
      </c>
      <c r="CB26" s="11" t="n">
        <f aca="false">Units!$E25*(1+Inputs!$B$7)^(CB$2-1)</f>
        <v>2208.99674857865</v>
      </c>
      <c r="CC26" s="11" t="n">
        <f aca="false">Units!$E25*(1+Inputs!$B$7)^(CC$2-1)</f>
        <v>2208.99674857865</v>
      </c>
      <c r="CD26" s="11" t="n">
        <f aca="false">Units!$E25*(1+Inputs!$B$7)^(CD$2-1)</f>
        <v>2208.99674857865</v>
      </c>
      <c r="CE26" s="11" t="n">
        <f aca="false">Units!$E25*(1+Inputs!$B$7)^(CE$2-1)</f>
        <v>2208.99674857865</v>
      </c>
      <c r="CF26" s="11" t="n">
        <f aca="false">Units!$E25*(1+Inputs!$B$7)^(CF$2-1)</f>
        <v>2208.99674857865</v>
      </c>
      <c r="CG26" s="11" t="n">
        <f aca="false">Units!$E25*(1+Inputs!$B$7)^(CG$2-1)</f>
        <v>2208.99674857865</v>
      </c>
      <c r="CH26" s="11" t="n">
        <f aca="false">Units!$E25*(1+Inputs!$B$7)^(CH$2-1)</f>
        <v>2208.99674857865</v>
      </c>
      <c r="CI26" s="11" t="n">
        <f aca="false">Units!$E25*(1+Inputs!$B$7)^(CI$2-1)</f>
        <v>2275.26665103601</v>
      </c>
      <c r="CJ26" s="11" t="n">
        <f aca="false">Units!$E25*(1+Inputs!$B$7)^(CJ$2-1)</f>
        <v>2275.26665103601</v>
      </c>
      <c r="CK26" s="11" t="n">
        <f aca="false">Units!$E25*(1+Inputs!$B$7)^(CK$2-1)</f>
        <v>2275.26665103601</v>
      </c>
      <c r="CL26" s="11" t="n">
        <f aca="false">Units!$E25*(1+Inputs!$B$7)^(CL$2-1)</f>
        <v>2275.26665103601</v>
      </c>
      <c r="CM26" s="11" t="n">
        <f aca="false">Units!$E25*(1+Inputs!$B$7)^(CM$2-1)</f>
        <v>2275.26665103601</v>
      </c>
      <c r="CN26" s="11" t="n">
        <f aca="false">Units!$E25*(1+Inputs!$B$7)^(CN$2-1)</f>
        <v>2275.26665103601</v>
      </c>
      <c r="CO26" s="11" t="n">
        <f aca="false">Units!$E25*(1+Inputs!$B$7)^(CO$2-1)</f>
        <v>2275.26665103601</v>
      </c>
      <c r="CP26" s="11" t="n">
        <f aca="false">Units!$E25*(1+Inputs!$B$7)^(CP$2-1)</f>
        <v>2275.26665103601</v>
      </c>
      <c r="CQ26" s="11" t="n">
        <f aca="false">Units!$E25*(1+Inputs!$B$7)^(CQ$2-1)</f>
        <v>2275.26665103601</v>
      </c>
      <c r="CR26" s="11" t="n">
        <f aca="false">Units!$E25*(1+Inputs!$B$7)^(CR$2-1)</f>
        <v>2275.26665103601</v>
      </c>
      <c r="CS26" s="11" t="n">
        <f aca="false">Units!$E25*(1+Inputs!$B$7)^(CS$2-1)</f>
        <v>2275.26665103601</v>
      </c>
      <c r="CT26" s="11" t="n">
        <f aca="false">Units!$E25*(1+Inputs!$B$7)^(CT$2-1)</f>
        <v>2275.26665103601</v>
      </c>
      <c r="CU26" s="11" t="n">
        <f aca="false">Units!$E25*(1+Inputs!$B$7)^(CU$2-1)</f>
        <v>2343.52465056709</v>
      </c>
      <c r="CV26" s="11" t="n">
        <f aca="false">Units!$E25*(1+Inputs!$B$7)^(CV$2-1)</f>
        <v>2343.52465056709</v>
      </c>
      <c r="CW26" s="11" t="n">
        <f aca="false">Units!$E25*(1+Inputs!$B$7)^(CW$2-1)</f>
        <v>2343.52465056709</v>
      </c>
      <c r="CX26" s="11" t="n">
        <f aca="false">Units!$E25*(1+Inputs!$B$7)^(CX$2-1)</f>
        <v>2343.52465056709</v>
      </c>
      <c r="CY26" s="11" t="n">
        <f aca="false">Units!$E25*(1+Inputs!$B$7)^(CY$2-1)</f>
        <v>2343.52465056709</v>
      </c>
      <c r="CZ26" s="11" t="n">
        <f aca="false">Units!$E25*(1+Inputs!$B$7)^(CZ$2-1)</f>
        <v>2343.52465056709</v>
      </c>
      <c r="DA26" s="11" t="n">
        <f aca="false">Units!$E25*(1+Inputs!$B$7)^(DA$2-1)</f>
        <v>2343.52465056709</v>
      </c>
      <c r="DB26" s="11" t="n">
        <f aca="false">Units!$E25*(1+Inputs!$B$7)^(DB$2-1)</f>
        <v>2343.52465056709</v>
      </c>
      <c r="DC26" s="11" t="n">
        <f aca="false">Units!$E25*(1+Inputs!$B$7)^(DC$2-1)</f>
        <v>2343.52465056709</v>
      </c>
      <c r="DD26" s="11" t="n">
        <f aca="false">Units!$E25*(1+Inputs!$B$7)^(DD$2-1)</f>
        <v>2343.52465056709</v>
      </c>
      <c r="DE26" s="11" t="n">
        <f aca="false">Units!$E25*(1+Inputs!$B$7)^(DE$2-1)</f>
        <v>2343.52465056709</v>
      </c>
      <c r="DF26" s="11" t="n">
        <f aca="false">Units!$E25*(1+Inputs!$B$7)^(DF$2-1)</f>
        <v>2343.52465056709</v>
      </c>
      <c r="DG26" s="11" t="n">
        <f aca="false">Units!$E25*(1+Inputs!$B$7)^(DG$2-1)</f>
        <v>2413.8303900841</v>
      </c>
      <c r="DH26" s="11" t="n">
        <f aca="false">Units!$E25*(1+Inputs!$B$7)^(DH$2-1)</f>
        <v>2413.8303900841</v>
      </c>
      <c r="DI26" s="11" t="n">
        <f aca="false">Units!$E25*(1+Inputs!$B$7)^(DI$2-1)</f>
        <v>2413.8303900841</v>
      </c>
      <c r="DJ26" s="11" t="n">
        <f aca="false">Units!$E25*(1+Inputs!$B$7)^(DJ$2-1)</f>
        <v>2413.8303900841</v>
      </c>
      <c r="DK26" s="11" t="n">
        <f aca="false">Units!$E25*(1+Inputs!$B$7)^(DK$2-1)</f>
        <v>2413.8303900841</v>
      </c>
      <c r="DL26" s="11" t="n">
        <f aca="false">Units!$E25*(1+Inputs!$B$7)^(DL$2-1)</f>
        <v>2413.8303900841</v>
      </c>
      <c r="DM26" s="11" t="n">
        <f aca="false">Units!$E25*(1+Inputs!$B$7)^(DM$2-1)</f>
        <v>2413.8303900841</v>
      </c>
      <c r="DN26" s="11" t="n">
        <f aca="false">Units!$E25*(1+Inputs!$B$7)^(DN$2-1)</f>
        <v>2413.8303900841</v>
      </c>
      <c r="DO26" s="11" t="n">
        <f aca="false">Units!$E25*(1+Inputs!$B$7)^(DO$2-1)</f>
        <v>2413.8303900841</v>
      </c>
      <c r="DP26" s="11" t="n">
        <f aca="false">Units!$E25*(1+Inputs!$B$7)^(DP$2-1)</f>
        <v>2413.8303900841</v>
      </c>
      <c r="DQ26" s="11" t="n">
        <f aca="false">Units!$E25*(1+Inputs!$B$7)^(DQ$2-1)</f>
        <v>2413.8303900841</v>
      </c>
      <c r="DR26" s="11" t="n">
        <f aca="false">Units!$E25*(1+Inputs!$B$7)^(DR$2-1)</f>
        <v>2413.8303900841</v>
      </c>
      <c r="DS26" s="11" t="n">
        <f aca="false">Units!$E25*(1+Inputs!$B$7)^(DS$2-1)</f>
        <v>2486.24530178663</v>
      </c>
      <c r="DT26" s="11" t="n">
        <f aca="false">Units!$E25*(1+Inputs!$B$7)^(DT$2-1)</f>
        <v>2486.24530178663</v>
      </c>
      <c r="DU26" s="11" t="n">
        <f aca="false">Units!$E25*(1+Inputs!$B$7)^(DU$2-1)</f>
        <v>2486.24530178663</v>
      </c>
      <c r="DV26" s="11" t="n">
        <f aca="false">Units!$E25*(1+Inputs!$B$7)^(DV$2-1)</f>
        <v>2486.24530178663</v>
      </c>
      <c r="DW26" s="11" t="n">
        <f aca="false">Units!$E25*(1+Inputs!$B$7)^(DW$2-1)</f>
        <v>2486.24530178663</v>
      </c>
      <c r="DX26" s="11" t="n">
        <f aca="false">Units!$E25*(1+Inputs!$B$7)^(DX$2-1)</f>
        <v>2486.24530178663</v>
      </c>
      <c r="DY26" s="11" t="n">
        <f aca="false">Units!$E25*(1+Inputs!$B$7)^(DY$2-1)</f>
        <v>2486.24530178663</v>
      </c>
      <c r="DZ26" s="11" t="n">
        <f aca="false">Units!$E25*(1+Inputs!$B$7)^(DZ$2-1)</f>
        <v>2486.24530178663</v>
      </c>
      <c r="EA26" s="11" t="n">
        <f aca="false">Units!$E25*(1+Inputs!$B$7)^(EA$2-1)</f>
        <v>2486.24530178663</v>
      </c>
      <c r="EB26" s="11" t="n">
        <f aca="false">Units!$E25*(1+Inputs!$B$7)^(EB$2-1)</f>
        <v>2486.24530178663</v>
      </c>
      <c r="EC26" s="11" t="n">
        <f aca="false">Units!$E25*(1+Inputs!$B$7)^(EC$2-1)</f>
        <v>2486.24530178663</v>
      </c>
      <c r="ED26" s="11" t="n">
        <f aca="false">Units!$E25*(1+Inputs!$B$7)^(ED$2-1)</f>
        <v>2486.24530178663</v>
      </c>
    </row>
    <row r="27" customFormat="false" ht="15" hidden="false" customHeight="false" outlineLevel="0" collapsed="false">
      <c r="A27" s="22" t="n">
        <f aca="false">Units!A26</f>
        <v>125</v>
      </c>
      <c r="B27" s="23"/>
      <c r="C27" s="11" t="n">
        <f aca="false">Units!$E26*(1+Inputs!$B$7)^(C$2-1)</f>
        <v>1850</v>
      </c>
      <c r="D27" s="11" t="n">
        <f aca="false">Units!$E26*(1+Inputs!$B$7)^(D$2-1)</f>
        <v>1850</v>
      </c>
      <c r="E27" s="11" t="n">
        <f aca="false">Units!$E26*(1+Inputs!$B$7)^(E$2-1)</f>
        <v>1850</v>
      </c>
      <c r="F27" s="11" t="n">
        <f aca="false">Units!$E26*(1+Inputs!$B$7)^(F$2-1)</f>
        <v>1850</v>
      </c>
      <c r="G27" s="11" t="n">
        <f aca="false">Units!$E26*(1+Inputs!$B$7)^(G$2-1)</f>
        <v>1850</v>
      </c>
      <c r="H27" s="11" t="n">
        <f aca="false">Units!$E26*(1+Inputs!$B$7)^(H$2-1)</f>
        <v>1850</v>
      </c>
      <c r="I27" s="11" t="n">
        <f aca="false">Units!$E26*(1+Inputs!$B$7)^(I$2-1)</f>
        <v>1850</v>
      </c>
      <c r="J27" s="11" t="n">
        <f aca="false">Units!$E26*(1+Inputs!$B$7)^(J$2-1)</f>
        <v>1850</v>
      </c>
      <c r="K27" s="11" t="n">
        <f aca="false">Units!$E26*(1+Inputs!$B$7)^(K$2-1)</f>
        <v>1850</v>
      </c>
      <c r="L27" s="11" t="n">
        <f aca="false">Units!$E26*(1+Inputs!$B$7)^(L$2-1)</f>
        <v>1850</v>
      </c>
      <c r="M27" s="11" t="n">
        <f aca="false">Units!$E26*(1+Inputs!$B$7)^(M$2-1)</f>
        <v>1850</v>
      </c>
      <c r="N27" s="11" t="n">
        <f aca="false">Units!$E26*(1+Inputs!$B$7)^(N$2-1)</f>
        <v>1850</v>
      </c>
      <c r="O27" s="11" t="n">
        <f aca="false">Units!$E26*(1+Inputs!$B$7)^(O$2-1)</f>
        <v>1905.5</v>
      </c>
      <c r="P27" s="11" t="n">
        <f aca="false">Units!$E26*(1+Inputs!$B$7)^(P$2-1)</f>
        <v>1905.5</v>
      </c>
      <c r="Q27" s="11" t="n">
        <f aca="false">Units!$E26*(1+Inputs!$B$7)^(Q$2-1)</f>
        <v>1905.5</v>
      </c>
      <c r="R27" s="11" t="n">
        <f aca="false">Units!$E26*(1+Inputs!$B$7)^(R$2-1)</f>
        <v>1905.5</v>
      </c>
      <c r="S27" s="11" t="n">
        <f aca="false">Units!$E26*(1+Inputs!$B$7)^(S$2-1)</f>
        <v>1905.5</v>
      </c>
      <c r="T27" s="11" t="n">
        <f aca="false">Units!$E26*(1+Inputs!$B$7)^(T$2-1)</f>
        <v>1905.5</v>
      </c>
      <c r="U27" s="11" t="n">
        <f aca="false">Units!$E26*(1+Inputs!$B$7)^(U$2-1)</f>
        <v>1905.5</v>
      </c>
      <c r="V27" s="11" t="n">
        <f aca="false">Units!$E26*(1+Inputs!$B$7)^(V$2-1)</f>
        <v>1905.5</v>
      </c>
      <c r="W27" s="11" t="n">
        <f aca="false">Units!$E26*(1+Inputs!$B$7)^(W$2-1)</f>
        <v>1905.5</v>
      </c>
      <c r="X27" s="11" t="n">
        <f aca="false">Units!$E26*(1+Inputs!$B$7)^(X$2-1)</f>
        <v>1905.5</v>
      </c>
      <c r="Y27" s="11" t="n">
        <f aca="false">Units!$E26*(1+Inputs!$B$7)^(Y$2-1)</f>
        <v>1905.5</v>
      </c>
      <c r="Z27" s="11" t="n">
        <f aca="false">Units!$E26*(1+Inputs!$B$7)^(Z$2-1)</f>
        <v>1905.5</v>
      </c>
      <c r="AA27" s="11" t="n">
        <f aca="false">Units!$E26*(1+Inputs!$B$7)^(AA$2-1)</f>
        <v>1962.665</v>
      </c>
      <c r="AB27" s="11" t="n">
        <f aca="false">Units!$E26*(1+Inputs!$B$7)^(AB$2-1)</f>
        <v>1962.665</v>
      </c>
      <c r="AC27" s="11" t="n">
        <f aca="false">Units!$E26*(1+Inputs!$B$7)^(AC$2-1)</f>
        <v>1962.665</v>
      </c>
      <c r="AD27" s="11" t="n">
        <f aca="false">Units!$E26*(1+Inputs!$B$7)^(AD$2-1)</f>
        <v>1962.665</v>
      </c>
      <c r="AE27" s="11" t="n">
        <f aca="false">Units!$E26*(1+Inputs!$B$7)^(AE$2-1)</f>
        <v>1962.665</v>
      </c>
      <c r="AF27" s="11" t="n">
        <f aca="false">Units!$E26*(1+Inputs!$B$7)^(AF$2-1)</f>
        <v>1962.665</v>
      </c>
      <c r="AG27" s="11" t="n">
        <f aca="false">Units!$E26*(1+Inputs!$B$7)^(AG$2-1)</f>
        <v>1962.665</v>
      </c>
      <c r="AH27" s="11" t="n">
        <f aca="false">Units!$E26*(1+Inputs!$B$7)^(AH$2-1)</f>
        <v>1962.665</v>
      </c>
      <c r="AI27" s="11" t="n">
        <f aca="false">Units!$E26*(1+Inputs!$B$7)^(AI$2-1)</f>
        <v>1962.665</v>
      </c>
      <c r="AJ27" s="11" t="n">
        <f aca="false">Units!$E26*(1+Inputs!$B$7)^(AJ$2-1)</f>
        <v>1962.665</v>
      </c>
      <c r="AK27" s="11" t="n">
        <f aca="false">Units!$E26*(1+Inputs!$B$7)^(AK$2-1)</f>
        <v>1962.665</v>
      </c>
      <c r="AL27" s="11" t="n">
        <f aca="false">Units!$E26*(1+Inputs!$B$7)^(AL$2-1)</f>
        <v>1962.665</v>
      </c>
      <c r="AM27" s="11" t="n">
        <f aca="false">Units!$E26*(1+Inputs!$B$7)^(AM$2-1)</f>
        <v>2021.54495</v>
      </c>
      <c r="AN27" s="11" t="n">
        <f aca="false">Units!$E26*(1+Inputs!$B$7)^(AN$2-1)</f>
        <v>2021.54495</v>
      </c>
      <c r="AO27" s="11" t="n">
        <f aca="false">Units!$E26*(1+Inputs!$B$7)^(AO$2-1)</f>
        <v>2021.54495</v>
      </c>
      <c r="AP27" s="11" t="n">
        <f aca="false">Units!$E26*(1+Inputs!$B$7)^(AP$2-1)</f>
        <v>2021.54495</v>
      </c>
      <c r="AQ27" s="11" t="n">
        <f aca="false">Units!$E26*(1+Inputs!$B$7)^(AQ$2-1)</f>
        <v>2021.54495</v>
      </c>
      <c r="AR27" s="11" t="n">
        <f aca="false">Units!$E26*(1+Inputs!$B$7)^(AR$2-1)</f>
        <v>2021.54495</v>
      </c>
      <c r="AS27" s="11" t="n">
        <f aca="false">Units!$E26*(1+Inputs!$B$7)^(AS$2-1)</f>
        <v>2021.54495</v>
      </c>
      <c r="AT27" s="11" t="n">
        <f aca="false">Units!$E26*(1+Inputs!$B$7)^(AT$2-1)</f>
        <v>2021.54495</v>
      </c>
      <c r="AU27" s="11" t="n">
        <f aca="false">Units!$E26*(1+Inputs!$B$7)^(AU$2-1)</f>
        <v>2021.54495</v>
      </c>
      <c r="AV27" s="11" t="n">
        <f aca="false">Units!$E26*(1+Inputs!$B$7)^(AV$2-1)</f>
        <v>2021.54495</v>
      </c>
      <c r="AW27" s="11" t="n">
        <f aca="false">Units!$E26*(1+Inputs!$B$7)^(AW$2-1)</f>
        <v>2021.54495</v>
      </c>
      <c r="AX27" s="11" t="n">
        <f aca="false">Units!$E26*(1+Inputs!$B$7)^(AX$2-1)</f>
        <v>2021.54495</v>
      </c>
      <c r="AY27" s="11" t="n">
        <f aca="false">Units!$E26*(1+Inputs!$B$7)^(AY$2-1)</f>
        <v>2082.1912985</v>
      </c>
      <c r="AZ27" s="11" t="n">
        <f aca="false">Units!$E26*(1+Inputs!$B$7)^(AZ$2-1)</f>
        <v>2082.1912985</v>
      </c>
      <c r="BA27" s="11" t="n">
        <f aca="false">Units!$E26*(1+Inputs!$B$7)^(BA$2-1)</f>
        <v>2082.1912985</v>
      </c>
      <c r="BB27" s="11" t="n">
        <f aca="false">Units!$E26*(1+Inputs!$B$7)^(BB$2-1)</f>
        <v>2082.1912985</v>
      </c>
      <c r="BC27" s="11" t="n">
        <f aca="false">Units!$E26*(1+Inputs!$B$7)^(BC$2-1)</f>
        <v>2082.1912985</v>
      </c>
      <c r="BD27" s="11" t="n">
        <f aca="false">Units!$E26*(1+Inputs!$B$7)^(BD$2-1)</f>
        <v>2082.1912985</v>
      </c>
      <c r="BE27" s="11" t="n">
        <f aca="false">Units!$E26*(1+Inputs!$B$7)^(BE$2-1)</f>
        <v>2082.1912985</v>
      </c>
      <c r="BF27" s="11" t="n">
        <f aca="false">Units!$E26*(1+Inputs!$B$7)^(BF$2-1)</f>
        <v>2082.1912985</v>
      </c>
      <c r="BG27" s="11" t="n">
        <f aca="false">Units!$E26*(1+Inputs!$B$7)^(BG$2-1)</f>
        <v>2082.1912985</v>
      </c>
      <c r="BH27" s="11" t="n">
        <f aca="false">Units!$E26*(1+Inputs!$B$7)^(BH$2-1)</f>
        <v>2082.1912985</v>
      </c>
      <c r="BI27" s="11" t="n">
        <f aca="false">Units!$E26*(1+Inputs!$B$7)^(BI$2-1)</f>
        <v>2082.1912985</v>
      </c>
      <c r="BJ27" s="11" t="n">
        <f aca="false">Units!$E26*(1+Inputs!$B$7)^(BJ$2-1)</f>
        <v>2082.1912985</v>
      </c>
      <c r="BK27" s="11" t="n">
        <f aca="false">Units!$E26*(1+Inputs!$B$7)^(BK$2-1)</f>
        <v>2144.657037455</v>
      </c>
      <c r="BL27" s="11" t="n">
        <f aca="false">Units!$E26*(1+Inputs!$B$7)^(BL$2-1)</f>
        <v>2144.657037455</v>
      </c>
      <c r="BM27" s="11" t="n">
        <f aca="false">Units!$E26*(1+Inputs!$B$7)^(BM$2-1)</f>
        <v>2144.657037455</v>
      </c>
      <c r="BN27" s="11" t="n">
        <f aca="false">Units!$E26*(1+Inputs!$B$7)^(BN$2-1)</f>
        <v>2144.657037455</v>
      </c>
      <c r="BO27" s="11" t="n">
        <f aca="false">Units!$E26*(1+Inputs!$B$7)^(BO$2-1)</f>
        <v>2144.657037455</v>
      </c>
      <c r="BP27" s="11" t="n">
        <f aca="false">Units!$E26*(1+Inputs!$B$7)^(BP$2-1)</f>
        <v>2144.657037455</v>
      </c>
      <c r="BQ27" s="11" t="n">
        <f aca="false">Units!$E26*(1+Inputs!$B$7)^(BQ$2-1)</f>
        <v>2144.657037455</v>
      </c>
      <c r="BR27" s="11" t="n">
        <f aca="false">Units!$E26*(1+Inputs!$B$7)^(BR$2-1)</f>
        <v>2144.657037455</v>
      </c>
      <c r="BS27" s="11" t="n">
        <f aca="false">Units!$E26*(1+Inputs!$B$7)^(BS$2-1)</f>
        <v>2144.657037455</v>
      </c>
      <c r="BT27" s="11" t="n">
        <f aca="false">Units!$E26*(1+Inputs!$B$7)^(BT$2-1)</f>
        <v>2144.657037455</v>
      </c>
      <c r="BU27" s="11" t="n">
        <f aca="false">Units!$E26*(1+Inputs!$B$7)^(BU$2-1)</f>
        <v>2144.657037455</v>
      </c>
      <c r="BV27" s="11" t="n">
        <f aca="false">Units!$E26*(1+Inputs!$B$7)^(BV$2-1)</f>
        <v>2144.657037455</v>
      </c>
      <c r="BW27" s="11" t="n">
        <f aca="false">Units!$E26*(1+Inputs!$B$7)^(BW$2-1)</f>
        <v>2208.99674857865</v>
      </c>
      <c r="BX27" s="11" t="n">
        <f aca="false">Units!$E26*(1+Inputs!$B$7)^(BX$2-1)</f>
        <v>2208.99674857865</v>
      </c>
      <c r="BY27" s="11" t="n">
        <f aca="false">Units!$E26*(1+Inputs!$B$7)^(BY$2-1)</f>
        <v>2208.99674857865</v>
      </c>
      <c r="BZ27" s="11" t="n">
        <f aca="false">Units!$E26*(1+Inputs!$B$7)^(BZ$2-1)</f>
        <v>2208.99674857865</v>
      </c>
      <c r="CA27" s="11" t="n">
        <f aca="false">Units!$E26*(1+Inputs!$B$7)^(CA$2-1)</f>
        <v>2208.99674857865</v>
      </c>
      <c r="CB27" s="11" t="n">
        <f aca="false">Units!$E26*(1+Inputs!$B$7)^(CB$2-1)</f>
        <v>2208.99674857865</v>
      </c>
      <c r="CC27" s="11" t="n">
        <f aca="false">Units!$E26*(1+Inputs!$B$7)^(CC$2-1)</f>
        <v>2208.99674857865</v>
      </c>
      <c r="CD27" s="11" t="n">
        <f aca="false">Units!$E26*(1+Inputs!$B$7)^(CD$2-1)</f>
        <v>2208.99674857865</v>
      </c>
      <c r="CE27" s="11" t="n">
        <f aca="false">Units!$E26*(1+Inputs!$B$7)^(CE$2-1)</f>
        <v>2208.99674857865</v>
      </c>
      <c r="CF27" s="11" t="n">
        <f aca="false">Units!$E26*(1+Inputs!$B$7)^(CF$2-1)</f>
        <v>2208.99674857865</v>
      </c>
      <c r="CG27" s="11" t="n">
        <f aca="false">Units!$E26*(1+Inputs!$B$7)^(CG$2-1)</f>
        <v>2208.99674857865</v>
      </c>
      <c r="CH27" s="11" t="n">
        <f aca="false">Units!$E26*(1+Inputs!$B$7)^(CH$2-1)</f>
        <v>2208.99674857865</v>
      </c>
      <c r="CI27" s="11" t="n">
        <f aca="false">Units!$E26*(1+Inputs!$B$7)^(CI$2-1)</f>
        <v>2275.26665103601</v>
      </c>
      <c r="CJ27" s="11" t="n">
        <f aca="false">Units!$E26*(1+Inputs!$B$7)^(CJ$2-1)</f>
        <v>2275.26665103601</v>
      </c>
      <c r="CK27" s="11" t="n">
        <f aca="false">Units!$E26*(1+Inputs!$B$7)^(CK$2-1)</f>
        <v>2275.26665103601</v>
      </c>
      <c r="CL27" s="11" t="n">
        <f aca="false">Units!$E26*(1+Inputs!$B$7)^(CL$2-1)</f>
        <v>2275.26665103601</v>
      </c>
      <c r="CM27" s="11" t="n">
        <f aca="false">Units!$E26*(1+Inputs!$B$7)^(CM$2-1)</f>
        <v>2275.26665103601</v>
      </c>
      <c r="CN27" s="11" t="n">
        <f aca="false">Units!$E26*(1+Inputs!$B$7)^(CN$2-1)</f>
        <v>2275.26665103601</v>
      </c>
      <c r="CO27" s="11" t="n">
        <f aca="false">Units!$E26*(1+Inputs!$B$7)^(CO$2-1)</f>
        <v>2275.26665103601</v>
      </c>
      <c r="CP27" s="11" t="n">
        <f aca="false">Units!$E26*(1+Inputs!$B$7)^(CP$2-1)</f>
        <v>2275.26665103601</v>
      </c>
      <c r="CQ27" s="11" t="n">
        <f aca="false">Units!$E26*(1+Inputs!$B$7)^(CQ$2-1)</f>
        <v>2275.26665103601</v>
      </c>
      <c r="CR27" s="11" t="n">
        <f aca="false">Units!$E26*(1+Inputs!$B$7)^(CR$2-1)</f>
        <v>2275.26665103601</v>
      </c>
      <c r="CS27" s="11" t="n">
        <f aca="false">Units!$E26*(1+Inputs!$B$7)^(CS$2-1)</f>
        <v>2275.26665103601</v>
      </c>
      <c r="CT27" s="11" t="n">
        <f aca="false">Units!$E26*(1+Inputs!$B$7)^(CT$2-1)</f>
        <v>2275.26665103601</v>
      </c>
      <c r="CU27" s="11" t="n">
        <f aca="false">Units!$E26*(1+Inputs!$B$7)^(CU$2-1)</f>
        <v>2343.52465056709</v>
      </c>
      <c r="CV27" s="11" t="n">
        <f aca="false">Units!$E26*(1+Inputs!$B$7)^(CV$2-1)</f>
        <v>2343.52465056709</v>
      </c>
      <c r="CW27" s="11" t="n">
        <f aca="false">Units!$E26*(1+Inputs!$B$7)^(CW$2-1)</f>
        <v>2343.52465056709</v>
      </c>
      <c r="CX27" s="11" t="n">
        <f aca="false">Units!$E26*(1+Inputs!$B$7)^(CX$2-1)</f>
        <v>2343.52465056709</v>
      </c>
      <c r="CY27" s="11" t="n">
        <f aca="false">Units!$E26*(1+Inputs!$B$7)^(CY$2-1)</f>
        <v>2343.52465056709</v>
      </c>
      <c r="CZ27" s="11" t="n">
        <f aca="false">Units!$E26*(1+Inputs!$B$7)^(CZ$2-1)</f>
        <v>2343.52465056709</v>
      </c>
      <c r="DA27" s="11" t="n">
        <f aca="false">Units!$E26*(1+Inputs!$B$7)^(DA$2-1)</f>
        <v>2343.52465056709</v>
      </c>
      <c r="DB27" s="11" t="n">
        <f aca="false">Units!$E26*(1+Inputs!$B$7)^(DB$2-1)</f>
        <v>2343.52465056709</v>
      </c>
      <c r="DC27" s="11" t="n">
        <f aca="false">Units!$E26*(1+Inputs!$B$7)^(DC$2-1)</f>
        <v>2343.52465056709</v>
      </c>
      <c r="DD27" s="11" t="n">
        <f aca="false">Units!$E26*(1+Inputs!$B$7)^(DD$2-1)</f>
        <v>2343.52465056709</v>
      </c>
      <c r="DE27" s="11" t="n">
        <f aca="false">Units!$E26*(1+Inputs!$B$7)^(DE$2-1)</f>
        <v>2343.52465056709</v>
      </c>
      <c r="DF27" s="11" t="n">
        <f aca="false">Units!$E26*(1+Inputs!$B$7)^(DF$2-1)</f>
        <v>2343.52465056709</v>
      </c>
      <c r="DG27" s="11" t="n">
        <f aca="false">Units!$E26*(1+Inputs!$B$7)^(DG$2-1)</f>
        <v>2413.8303900841</v>
      </c>
      <c r="DH27" s="11" t="n">
        <f aca="false">Units!$E26*(1+Inputs!$B$7)^(DH$2-1)</f>
        <v>2413.8303900841</v>
      </c>
      <c r="DI27" s="11" t="n">
        <f aca="false">Units!$E26*(1+Inputs!$B$7)^(DI$2-1)</f>
        <v>2413.8303900841</v>
      </c>
      <c r="DJ27" s="11" t="n">
        <f aca="false">Units!$E26*(1+Inputs!$B$7)^(DJ$2-1)</f>
        <v>2413.8303900841</v>
      </c>
      <c r="DK27" s="11" t="n">
        <f aca="false">Units!$E26*(1+Inputs!$B$7)^(DK$2-1)</f>
        <v>2413.8303900841</v>
      </c>
      <c r="DL27" s="11" t="n">
        <f aca="false">Units!$E26*(1+Inputs!$B$7)^(DL$2-1)</f>
        <v>2413.8303900841</v>
      </c>
      <c r="DM27" s="11" t="n">
        <f aca="false">Units!$E26*(1+Inputs!$B$7)^(DM$2-1)</f>
        <v>2413.8303900841</v>
      </c>
      <c r="DN27" s="11" t="n">
        <f aca="false">Units!$E26*(1+Inputs!$B$7)^(DN$2-1)</f>
        <v>2413.8303900841</v>
      </c>
      <c r="DO27" s="11" t="n">
        <f aca="false">Units!$E26*(1+Inputs!$B$7)^(DO$2-1)</f>
        <v>2413.8303900841</v>
      </c>
      <c r="DP27" s="11" t="n">
        <f aca="false">Units!$E26*(1+Inputs!$B$7)^(DP$2-1)</f>
        <v>2413.8303900841</v>
      </c>
      <c r="DQ27" s="11" t="n">
        <f aca="false">Units!$E26*(1+Inputs!$B$7)^(DQ$2-1)</f>
        <v>2413.8303900841</v>
      </c>
      <c r="DR27" s="11" t="n">
        <f aca="false">Units!$E26*(1+Inputs!$B$7)^(DR$2-1)</f>
        <v>2413.8303900841</v>
      </c>
      <c r="DS27" s="11" t="n">
        <f aca="false">Units!$E26*(1+Inputs!$B$7)^(DS$2-1)</f>
        <v>2486.24530178663</v>
      </c>
      <c r="DT27" s="11" t="n">
        <f aca="false">Units!$E26*(1+Inputs!$B$7)^(DT$2-1)</f>
        <v>2486.24530178663</v>
      </c>
      <c r="DU27" s="11" t="n">
        <f aca="false">Units!$E26*(1+Inputs!$B$7)^(DU$2-1)</f>
        <v>2486.24530178663</v>
      </c>
      <c r="DV27" s="11" t="n">
        <f aca="false">Units!$E26*(1+Inputs!$B$7)^(DV$2-1)</f>
        <v>2486.24530178663</v>
      </c>
      <c r="DW27" s="11" t="n">
        <f aca="false">Units!$E26*(1+Inputs!$B$7)^(DW$2-1)</f>
        <v>2486.24530178663</v>
      </c>
      <c r="DX27" s="11" t="n">
        <f aca="false">Units!$E26*(1+Inputs!$B$7)^(DX$2-1)</f>
        <v>2486.24530178663</v>
      </c>
      <c r="DY27" s="11" t="n">
        <f aca="false">Units!$E26*(1+Inputs!$B$7)^(DY$2-1)</f>
        <v>2486.24530178663</v>
      </c>
      <c r="DZ27" s="11" t="n">
        <f aca="false">Units!$E26*(1+Inputs!$B$7)^(DZ$2-1)</f>
        <v>2486.24530178663</v>
      </c>
      <c r="EA27" s="11" t="n">
        <f aca="false">Units!$E26*(1+Inputs!$B$7)^(EA$2-1)</f>
        <v>2486.24530178663</v>
      </c>
      <c r="EB27" s="11" t="n">
        <f aca="false">Units!$E26*(1+Inputs!$B$7)^(EB$2-1)</f>
        <v>2486.24530178663</v>
      </c>
      <c r="EC27" s="11" t="n">
        <f aca="false">Units!$E26*(1+Inputs!$B$7)^(EC$2-1)</f>
        <v>2486.24530178663</v>
      </c>
      <c r="ED27" s="11" t="n">
        <f aca="false">Units!$E26*(1+Inputs!$B$7)^(ED$2-1)</f>
        <v>2486.24530178663</v>
      </c>
    </row>
    <row r="28" customFormat="false" ht="15" hidden="false" customHeight="false" outlineLevel="0" collapsed="false">
      <c r="A28" s="22" t="n">
        <f aca="false">Units!A27</f>
        <v>126</v>
      </c>
      <c r="B28" s="23"/>
      <c r="C28" s="11" t="n">
        <f aca="false">Units!$E27*(1+Inputs!$B$7)^(C$2-1)</f>
        <v>1850</v>
      </c>
      <c r="D28" s="11" t="n">
        <f aca="false">Units!$E27*(1+Inputs!$B$7)^(D$2-1)</f>
        <v>1850</v>
      </c>
      <c r="E28" s="11" t="n">
        <f aca="false">Units!$E27*(1+Inputs!$B$7)^(E$2-1)</f>
        <v>1850</v>
      </c>
      <c r="F28" s="11" t="n">
        <f aca="false">Units!$E27*(1+Inputs!$B$7)^(F$2-1)</f>
        <v>1850</v>
      </c>
      <c r="G28" s="11" t="n">
        <f aca="false">Units!$E27*(1+Inputs!$B$7)^(G$2-1)</f>
        <v>1850</v>
      </c>
      <c r="H28" s="11" t="n">
        <f aca="false">Units!$E27*(1+Inputs!$B$7)^(H$2-1)</f>
        <v>1850</v>
      </c>
      <c r="I28" s="11" t="n">
        <f aca="false">Units!$E27*(1+Inputs!$B$7)^(I$2-1)</f>
        <v>1850</v>
      </c>
      <c r="J28" s="11" t="n">
        <f aca="false">Units!$E27*(1+Inputs!$B$7)^(J$2-1)</f>
        <v>1850</v>
      </c>
      <c r="K28" s="11" t="n">
        <f aca="false">Units!$E27*(1+Inputs!$B$7)^(K$2-1)</f>
        <v>1850</v>
      </c>
      <c r="L28" s="11" t="n">
        <f aca="false">Units!$E27*(1+Inputs!$B$7)^(L$2-1)</f>
        <v>1850</v>
      </c>
      <c r="M28" s="11" t="n">
        <f aca="false">Units!$E27*(1+Inputs!$B$7)^(M$2-1)</f>
        <v>1850</v>
      </c>
      <c r="N28" s="11" t="n">
        <f aca="false">Units!$E27*(1+Inputs!$B$7)^(N$2-1)</f>
        <v>1850</v>
      </c>
      <c r="O28" s="11" t="n">
        <f aca="false">Units!$E27*(1+Inputs!$B$7)^(O$2-1)</f>
        <v>1905.5</v>
      </c>
      <c r="P28" s="11" t="n">
        <f aca="false">Units!$E27*(1+Inputs!$B$7)^(P$2-1)</f>
        <v>1905.5</v>
      </c>
      <c r="Q28" s="11" t="n">
        <f aca="false">Units!$E27*(1+Inputs!$B$7)^(Q$2-1)</f>
        <v>1905.5</v>
      </c>
      <c r="R28" s="11" t="n">
        <f aca="false">Units!$E27*(1+Inputs!$B$7)^(R$2-1)</f>
        <v>1905.5</v>
      </c>
      <c r="S28" s="11" t="n">
        <f aca="false">Units!$E27*(1+Inputs!$B$7)^(S$2-1)</f>
        <v>1905.5</v>
      </c>
      <c r="T28" s="11" t="n">
        <f aca="false">Units!$E27*(1+Inputs!$B$7)^(T$2-1)</f>
        <v>1905.5</v>
      </c>
      <c r="U28" s="11" t="n">
        <f aca="false">Units!$E27*(1+Inputs!$B$7)^(U$2-1)</f>
        <v>1905.5</v>
      </c>
      <c r="V28" s="11" t="n">
        <f aca="false">Units!$E27*(1+Inputs!$B$7)^(V$2-1)</f>
        <v>1905.5</v>
      </c>
      <c r="W28" s="11" t="n">
        <f aca="false">Units!$E27*(1+Inputs!$B$7)^(W$2-1)</f>
        <v>1905.5</v>
      </c>
      <c r="X28" s="11" t="n">
        <f aca="false">Units!$E27*(1+Inputs!$B$7)^(X$2-1)</f>
        <v>1905.5</v>
      </c>
      <c r="Y28" s="11" t="n">
        <f aca="false">Units!$E27*(1+Inputs!$B$7)^(Y$2-1)</f>
        <v>1905.5</v>
      </c>
      <c r="Z28" s="11" t="n">
        <f aca="false">Units!$E27*(1+Inputs!$B$7)^(Z$2-1)</f>
        <v>1905.5</v>
      </c>
      <c r="AA28" s="11" t="n">
        <f aca="false">Units!$E27*(1+Inputs!$B$7)^(AA$2-1)</f>
        <v>1962.665</v>
      </c>
      <c r="AB28" s="11" t="n">
        <f aca="false">Units!$E27*(1+Inputs!$B$7)^(AB$2-1)</f>
        <v>1962.665</v>
      </c>
      <c r="AC28" s="11" t="n">
        <f aca="false">Units!$E27*(1+Inputs!$B$7)^(AC$2-1)</f>
        <v>1962.665</v>
      </c>
      <c r="AD28" s="11" t="n">
        <f aca="false">Units!$E27*(1+Inputs!$B$7)^(AD$2-1)</f>
        <v>1962.665</v>
      </c>
      <c r="AE28" s="11" t="n">
        <f aca="false">Units!$E27*(1+Inputs!$B$7)^(AE$2-1)</f>
        <v>1962.665</v>
      </c>
      <c r="AF28" s="11" t="n">
        <f aca="false">Units!$E27*(1+Inputs!$B$7)^(AF$2-1)</f>
        <v>1962.665</v>
      </c>
      <c r="AG28" s="11" t="n">
        <f aca="false">Units!$E27*(1+Inputs!$B$7)^(AG$2-1)</f>
        <v>1962.665</v>
      </c>
      <c r="AH28" s="11" t="n">
        <f aca="false">Units!$E27*(1+Inputs!$B$7)^(AH$2-1)</f>
        <v>1962.665</v>
      </c>
      <c r="AI28" s="11" t="n">
        <f aca="false">Units!$E27*(1+Inputs!$B$7)^(AI$2-1)</f>
        <v>1962.665</v>
      </c>
      <c r="AJ28" s="11" t="n">
        <f aca="false">Units!$E27*(1+Inputs!$B$7)^(AJ$2-1)</f>
        <v>1962.665</v>
      </c>
      <c r="AK28" s="11" t="n">
        <f aca="false">Units!$E27*(1+Inputs!$B$7)^(AK$2-1)</f>
        <v>1962.665</v>
      </c>
      <c r="AL28" s="11" t="n">
        <f aca="false">Units!$E27*(1+Inputs!$B$7)^(AL$2-1)</f>
        <v>1962.665</v>
      </c>
      <c r="AM28" s="11" t="n">
        <f aca="false">Units!$E27*(1+Inputs!$B$7)^(AM$2-1)</f>
        <v>2021.54495</v>
      </c>
      <c r="AN28" s="11" t="n">
        <f aca="false">Units!$E27*(1+Inputs!$B$7)^(AN$2-1)</f>
        <v>2021.54495</v>
      </c>
      <c r="AO28" s="11" t="n">
        <f aca="false">Units!$E27*(1+Inputs!$B$7)^(AO$2-1)</f>
        <v>2021.54495</v>
      </c>
      <c r="AP28" s="11" t="n">
        <f aca="false">Units!$E27*(1+Inputs!$B$7)^(AP$2-1)</f>
        <v>2021.54495</v>
      </c>
      <c r="AQ28" s="11" t="n">
        <f aca="false">Units!$E27*(1+Inputs!$B$7)^(AQ$2-1)</f>
        <v>2021.54495</v>
      </c>
      <c r="AR28" s="11" t="n">
        <f aca="false">Units!$E27*(1+Inputs!$B$7)^(AR$2-1)</f>
        <v>2021.54495</v>
      </c>
      <c r="AS28" s="11" t="n">
        <f aca="false">Units!$E27*(1+Inputs!$B$7)^(AS$2-1)</f>
        <v>2021.54495</v>
      </c>
      <c r="AT28" s="11" t="n">
        <f aca="false">Units!$E27*(1+Inputs!$B$7)^(AT$2-1)</f>
        <v>2021.54495</v>
      </c>
      <c r="AU28" s="11" t="n">
        <f aca="false">Units!$E27*(1+Inputs!$B$7)^(AU$2-1)</f>
        <v>2021.54495</v>
      </c>
      <c r="AV28" s="11" t="n">
        <f aca="false">Units!$E27*(1+Inputs!$B$7)^(AV$2-1)</f>
        <v>2021.54495</v>
      </c>
      <c r="AW28" s="11" t="n">
        <f aca="false">Units!$E27*(1+Inputs!$B$7)^(AW$2-1)</f>
        <v>2021.54495</v>
      </c>
      <c r="AX28" s="11" t="n">
        <f aca="false">Units!$E27*(1+Inputs!$B$7)^(AX$2-1)</f>
        <v>2021.54495</v>
      </c>
      <c r="AY28" s="11" t="n">
        <f aca="false">Units!$E27*(1+Inputs!$B$7)^(AY$2-1)</f>
        <v>2082.1912985</v>
      </c>
      <c r="AZ28" s="11" t="n">
        <f aca="false">Units!$E27*(1+Inputs!$B$7)^(AZ$2-1)</f>
        <v>2082.1912985</v>
      </c>
      <c r="BA28" s="11" t="n">
        <f aca="false">Units!$E27*(1+Inputs!$B$7)^(BA$2-1)</f>
        <v>2082.1912985</v>
      </c>
      <c r="BB28" s="11" t="n">
        <f aca="false">Units!$E27*(1+Inputs!$B$7)^(BB$2-1)</f>
        <v>2082.1912985</v>
      </c>
      <c r="BC28" s="11" t="n">
        <f aca="false">Units!$E27*(1+Inputs!$B$7)^(BC$2-1)</f>
        <v>2082.1912985</v>
      </c>
      <c r="BD28" s="11" t="n">
        <f aca="false">Units!$E27*(1+Inputs!$B$7)^(BD$2-1)</f>
        <v>2082.1912985</v>
      </c>
      <c r="BE28" s="11" t="n">
        <f aca="false">Units!$E27*(1+Inputs!$B$7)^(BE$2-1)</f>
        <v>2082.1912985</v>
      </c>
      <c r="BF28" s="11" t="n">
        <f aca="false">Units!$E27*(1+Inputs!$B$7)^(BF$2-1)</f>
        <v>2082.1912985</v>
      </c>
      <c r="BG28" s="11" t="n">
        <f aca="false">Units!$E27*(1+Inputs!$B$7)^(BG$2-1)</f>
        <v>2082.1912985</v>
      </c>
      <c r="BH28" s="11" t="n">
        <f aca="false">Units!$E27*(1+Inputs!$B$7)^(BH$2-1)</f>
        <v>2082.1912985</v>
      </c>
      <c r="BI28" s="11" t="n">
        <f aca="false">Units!$E27*(1+Inputs!$B$7)^(BI$2-1)</f>
        <v>2082.1912985</v>
      </c>
      <c r="BJ28" s="11" t="n">
        <f aca="false">Units!$E27*(1+Inputs!$B$7)^(BJ$2-1)</f>
        <v>2082.1912985</v>
      </c>
      <c r="BK28" s="11" t="n">
        <f aca="false">Units!$E27*(1+Inputs!$B$7)^(BK$2-1)</f>
        <v>2144.657037455</v>
      </c>
      <c r="BL28" s="11" t="n">
        <f aca="false">Units!$E27*(1+Inputs!$B$7)^(BL$2-1)</f>
        <v>2144.657037455</v>
      </c>
      <c r="BM28" s="11" t="n">
        <f aca="false">Units!$E27*(1+Inputs!$B$7)^(BM$2-1)</f>
        <v>2144.657037455</v>
      </c>
      <c r="BN28" s="11" t="n">
        <f aca="false">Units!$E27*(1+Inputs!$B$7)^(BN$2-1)</f>
        <v>2144.657037455</v>
      </c>
      <c r="BO28" s="11" t="n">
        <f aca="false">Units!$E27*(1+Inputs!$B$7)^(BO$2-1)</f>
        <v>2144.657037455</v>
      </c>
      <c r="BP28" s="11" t="n">
        <f aca="false">Units!$E27*(1+Inputs!$B$7)^(BP$2-1)</f>
        <v>2144.657037455</v>
      </c>
      <c r="BQ28" s="11" t="n">
        <f aca="false">Units!$E27*(1+Inputs!$B$7)^(BQ$2-1)</f>
        <v>2144.657037455</v>
      </c>
      <c r="BR28" s="11" t="n">
        <f aca="false">Units!$E27*(1+Inputs!$B$7)^(BR$2-1)</f>
        <v>2144.657037455</v>
      </c>
      <c r="BS28" s="11" t="n">
        <f aca="false">Units!$E27*(1+Inputs!$B$7)^(BS$2-1)</f>
        <v>2144.657037455</v>
      </c>
      <c r="BT28" s="11" t="n">
        <f aca="false">Units!$E27*(1+Inputs!$B$7)^(BT$2-1)</f>
        <v>2144.657037455</v>
      </c>
      <c r="BU28" s="11" t="n">
        <f aca="false">Units!$E27*(1+Inputs!$B$7)^(BU$2-1)</f>
        <v>2144.657037455</v>
      </c>
      <c r="BV28" s="11" t="n">
        <f aca="false">Units!$E27*(1+Inputs!$B$7)^(BV$2-1)</f>
        <v>2144.657037455</v>
      </c>
      <c r="BW28" s="11" t="n">
        <f aca="false">Units!$E27*(1+Inputs!$B$7)^(BW$2-1)</f>
        <v>2208.99674857865</v>
      </c>
      <c r="BX28" s="11" t="n">
        <f aca="false">Units!$E27*(1+Inputs!$B$7)^(BX$2-1)</f>
        <v>2208.99674857865</v>
      </c>
      <c r="BY28" s="11" t="n">
        <f aca="false">Units!$E27*(1+Inputs!$B$7)^(BY$2-1)</f>
        <v>2208.99674857865</v>
      </c>
      <c r="BZ28" s="11" t="n">
        <f aca="false">Units!$E27*(1+Inputs!$B$7)^(BZ$2-1)</f>
        <v>2208.99674857865</v>
      </c>
      <c r="CA28" s="11" t="n">
        <f aca="false">Units!$E27*(1+Inputs!$B$7)^(CA$2-1)</f>
        <v>2208.99674857865</v>
      </c>
      <c r="CB28" s="11" t="n">
        <f aca="false">Units!$E27*(1+Inputs!$B$7)^(CB$2-1)</f>
        <v>2208.99674857865</v>
      </c>
      <c r="CC28" s="11" t="n">
        <f aca="false">Units!$E27*(1+Inputs!$B$7)^(CC$2-1)</f>
        <v>2208.99674857865</v>
      </c>
      <c r="CD28" s="11" t="n">
        <f aca="false">Units!$E27*(1+Inputs!$B$7)^(CD$2-1)</f>
        <v>2208.99674857865</v>
      </c>
      <c r="CE28" s="11" t="n">
        <f aca="false">Units!$E27*(1+Inputs!$B$7)^(CE$2-1)</f>
        <v>2208.99674857865</v>
      </c>
      <c r="CF28" s="11" t="n">
        <f aca="false">Units!$E27*(1+Inputs!$B$7)^(CF$2-1)</f>
        <v>2208.99674857865</v>
      </c>
      <c r="CG28" s="11" t="n">
        <f aca="false">Units!$E27*(1+Inputs!$B$7)^(CG$2-1)</f>
        <v>2208.99674857865</v>
      </c>
      <c r="CH28" s="11" t="n">
        <f aca="false">Units!$E27*(1+Inputs!$B$7)^(CH$2-1)</f>
        <v>2208.99674857865</v>
      </c>
      <c r="CI28" s="11" t="n">
        <f aca="false">Units!$E27*(1+Inputs!$B$7)^(CI$2-1)</f>
        <v>2275.26665103601</v>
      </c>
      <c r="CJ28" s="11" t="n">
        <f aca="false">Units!$E27*(1+Inputs!$B$7)^(CJ$2-1)</f>
        <v>2275.26665103601</v>
      </c>
      <c r="CK28" s="11" t="n">
        <f aca="false">Units!$E27*(1+Inputs!$B$7)^(CK$2-1)</f>
        <v>2275.26665103601</v>
      </c>
      <c r="CL28" s="11" t="n">
        <f aca="false">Units!$E27*(1+Inputs!$B$7)^(CL$2-1)</f>
        <v>2275.26665103601</v>
      </c>
      <c r="CM28" s="11" t="n">
        <f aca="false">Units!$E27*(1+Inputs!$B$7)^(CM$2-1)</f>
        <v>2275.26665103601</v>
      </c>
      <c r="CN28" s="11" t="n">
        <f aca="false">Units!$E27*(1+Inputs!$B$7)^(CN$2-1)</f>
        <v>2275.26665103601</v>
      </c>
      <c r="CO28" s="11" t="n">
        <f aca="false">Units!$E27*(1+Inputs!$B$7)^(CO$2-1)</f>
        <v>2275.26665103601</v>
      </c>
      <c r="CP28" s="11" t="n">
        <f aca="false">Units!$E27*(1+Inputs!$B$7)^(CP$2-1)</f>
        <v>2275.26665103601</v>
      </c>
      <c r="CQ28" s="11" t="n">
        <f aca="false">Units!$E27*(1+Inputs!$B$7)^(CQ$2-1)</f>
        <v>2275.26665103601</v>
      </c>
      <c r="CR28" s="11" t="n">
        <f aca="false">Units!$E27*(1+Inputs!$B$7)^(CR$2-1)</f>
        <v>2275.26665103601</v>
      </c>
      <c r="CS28" s="11" t="n">
        <f aca="false">Units!$E27*(1+Inputs!$B$7)^(CS$2-1)</f>
        <v>2275.26665103601</v>
      </c>
      <c r="CT28" s="11" t="n">
        <f aca="false">Units!$E27*(1+Inputs!$B$7)^(CT$2-1)</f>
        <v>2275.26665103601</v>
      </c>
      <c r="CU28" s="11" t="n">
        <f aca="false">Units!$E27*(1+Inputs!$B$7)^(CU$2-1)</f>
        <v>2343.52465056709</v>
      </c>
      <c r="CV28" s="11" t="n">
        <f aca="false">Units!$E27*(1+Inputs!$B$7)^(CV$2-1)</f>
        <v>2343.52465056709</v>
      </c>
      <c r="CW28" s="11" t="n">
        <f aca="false">Units!$E27*(1+Inputs!$B$7)^(CW$2-1)</f>
        <v>2343.52465056709</v>
      </c>
      <c r="CX28" s="11" t="n">
        <f aca="false">Units!$E27*(1+Inputs!$B$7)^(CX$2-1)</f>
        <v>2343.52465056709</v>
      </c>
      <c r="CY28" s="11" t="n">
        <f aca="false">Units!$E27*(1+Inputs!$B$7)^(CY$2-1)</f>
        <v>2343.52465056709</v>
      </c>
      <c r="CZ28" s="11" t="n">
        <f aca="false">Units!$E27*(1+Inputs!$B$7)^(CZ$2-1)</f>
        <v>2343.52465056709</v>
      </c>
      <c r="DA28" s="11" t="n">
        <f aca="false">Units!$E27*(1+Inputs!$B$7)^(DA$2-1)</f>
        <v>2343.52465056709</v>
      </c>
      <c r="DB28" s="11" t="n">
        <f aca="false">Units!$E27*(1+Inputs!$B$7)^(DB$2-1)</f>
        <v>2343.52465056709</v>
      </c>
      <c r="DC28" s="11" t="n">
        <f aca="false">Units!$E27*(1+Inputs!$B$7)^(DC$2-1)</f>
        <v>2343.52465056709</v>
      </c>
      <c r="DD28" s="11" t="n">
        <f aca="false">Units!$E27*(1+Inputs!$B$7)^(DD$2-1)</f>
        <v>2343.52465056709</v>
      </c>
      <c r="DE28" s="11" t="n">
        <f aca="false">Units!$E27*(1+Inputs!$B$7)^(DE$2-1)</f>
        <v>2343.52465056709</v>
      </c>
      <c r="DF28" s="11" t="n">
        <f aca="false">Units!$E27*(1+Inputs!$B$7)^(DF$2-1)</f>
        <v>2343.52465056709</v>
      </c>
      <c r="DG28" s="11" t="n">
        <f aca="false">Units!$E27*(1+Inputs!$B$7)^(DG$2-1)</f>
        <v>2413.8303900841</v>
      </c>
      <c r="DH28" s="11" t="n">
        <f aca="false">Units!$E27*(1+Inputs!$B$7)^(DH$2-1)</f>
        <v>2413.8303900841</v>
      </c>
      <c r="DI28" s="11" t="n">
        <f aca="false">Units!$E27*(1+Inputs!$B$7)^(DI$2-1)</f>
        <v>2413.8303900841</v>
      </c>
      <c r="DJ28" s="11" t="n">
        <f aca="false">Units!$E27*(1+Inputs!$B$7)^(DJ$2-1)</f>
        <v>2413.8303900841</v>
      </c>
      <c r="DK28" s="11" t="n">
        <f aca="false">Units!$E27*(1+Inputs!$B$7)^(DK$2-1)</f>
        <v>2413.8303900841</v>
      </c>
      <c r="DL28" s="11" t="n">
        <f aca="false">Units!$E27*(1+Inputs!$B$7)^(DL$2-1)</f>
        <v>2413.8303900841</v>
      </c>
      <c r="DM28" s="11" t="n">
        <f aca="false">Units!$E27*(1+Inputs!$B$7)^(DM$2-1)</f>
        <v>2413.8303900841</v>
      </c>
      <c r="DN28" s="11" t="n">
        <f aca="false">Units!$E27*(1+Inputs!$B$7)^(DN$2-1)</f>
        <v>2413.8303900841</v>
      </c>
      <c r="DO28" s="11" t="n">
        <f aca="false">Units!$E27*(1+Inputs!$B$7)^(DO$2-1)</f>
        <v>2413.8303900841</v>
      </c>
      <c r="DP28" s="11" t="n">
        <f aca="false">Units!$E27*(1+Inputs!$B$7)^(DP$2-1)</f>
        <v>2413.8303900841</v>
      </c>
      <c r="DQ28" s="11" t="n">
        <f aca="false">Units!$E27*(1+Inputs!$B$7)^(DQ$2-1)</f>
        <v>2413.8303900841</v>
      </c>
      <c r="DR28" s="11" t="n">
        <f aca="false">Units!$E27*(1+Inputs!$B$7)^(DR$2-1)</f>
        <v>2413.8303900841</v>
      </c>
      <c r="DS28" s="11" t="n">
        <f aca="false">Units!$E27*(1+Inputs!$B$7)^(DS$2-1)</f>
        <v>2486.24530178663</v>
      </c>
      <c r="DT28" s="11" t="n">
        <f aca="false">Units!$E27*(1+Inputs!$B$7)^(DT$2-1)</f>
        <v>2486.24530178663</v>
      </c>
      <c r="DU28" s="11" t="n">
        <f aca="false">Units!$E27*(1+Inputs!$B$7)^(DU$2-1)</f>
        <v>2486.24530178663</v>
      </c>
      <c r="DV28" s="11" t="n">
        <f aca="false">Units!$E27*(1+Inputs!$B$7)^(DV$2-1)</f>
        <v>2486.24530178663</v>
      </c>
      <c r="DW28" s="11" t="n">
        <f aca="false">Units!$E27*(1+Inputs!$B$7)^(DW$2-1)</f>
        <v>2486.24530178663</v>
      </c>
      <c r="DX28" s="11" t="n">
        <f aca="false">Units!$E27*(1+Inputs!$B$7)^(DX$2-1)</f>
        <v>2486.24530178663</v>
      </c>
      <c r="DY28" s="11" t="n">
        <f aca="false">Units!$E27*(1+Inputs!$B$7)^(DY$2-1)</f>
        <v>2486.24530178663</v>
      </c>
      <c r="DZ28" s="11" t="n">
        <f aca="false">Units!$E27*(1+Inputs!$B$7)^(DZ$2-1)</f>
        <v>2486.24530178663</v>
      </c>
      <c r="EA28" s="11" t="n">
        <f aca="false">Units!$E27*(1+Inputs!$B$7)^(EA$2-1)</f>
        <v>2486.24530178663</v>
      </c>
      <c r="EB28" s="11" t="n">
        <f aca="false">Units!$E27*(1+Inputs!$B$7)^(EB$2-1)</f>
        <v>2486.24530178663</v>
      </c>
      <c r="EC28" s="11" t="n">
        <f aca="false">Units!$E27*(1+Inputs!$B$7)^(EC$2-1)</f>
        <v>2486.24530178663</v>
      </c>
      <c r="ED28" s="11" t="n">
        <f aca="false">Units!$E27*(1+Inputs!$B$7)^(ED$2-1)</f>
        <v>2486.24530178663</v>
      </c>
    </row>
    <row r="29" customFormat="false" ht="15" hidden="false" customHeight="false" outlineLevel="0" collapsed="false">
      <c r="A29" s="22" t="n">
        <f aca="false">Units!A28</f>
        <v>127</v>
      </c>
      <c r="B29" s="23"/>
      <c r="C29" s="11" t="n">
        <f aca="false">Units!$E28*(1+Inputs!$B$7)^(C$2-1)</f>
        <v>1850</v>
      </c>
      <c r="D29" s="11" t="n">
        <f aca="false">Units!$E28*(1+Inputs!$B$7)^(D$2-1)</f>
        <v>1850</v>
      </c>
      <c r="E29" s="11" t="n">
        <f aca="false">Units!$E28*(1+Inputs!$B$7)^(E$2-1)</f>
        <v>1850</v>
      </c>
      <c r="F29" s="11" t="n">
        <f aca="false">Units!$E28*(1+Inputs!$B$7)^(F$2-1)</f>
        <v>1850</v>
      </c>
      <c r="G29" s="11" t="n">
        <f aca="false">Units!$E28*(1+Inputs!$B$7)^(G$2-1)</f>
        <v>1850</v>
      </c>
      <c r="H29" s="11" t="n">
        <f aca="false">Units!$E28*(1+Inputs!$B$7)^(H$2-1)</f>
        <v>1850</v>
      </c>
      <c r="I29" s="11" t="n">
        <f aca="false">Units!$E28*(1+Inputs!$B$7)^(I$2-1)</f>
        <v>1850</v>
      </c>
      <c r="J29" s="11" t="n">
        <f aca="false">Units!$E28*(1+Inputs!$B$7)^(J$2-1)</f>
        <v>1850</v>
      </c>
      <c r="K29" s="11" t="n">
        <f aca="false">Units!$E28*(1+Inputs!$B$7)^(K$2-1)</f>
        <v>1850</v>
      </c>
      <c r="L29" s="11" t="n">
        <f aca="false">Units!$E28*(1+Inputs!$B$7)^(L$2-1)</f>
        <v>1850</v>
      </c>
      <c r="M29" s="11" t="n">
        <f aca="false">Units!$E28*(1+Inputs!$B$7)^(M$2-1)</f>
        <v>1850</v>
      </c>
      <c r="N29" s="11" t="n">
        <f aca="false">Units!$E28*(1+Inputs!$B$7)^(N$2-1)</f>
        <v>1850</v>
      </c>
      <c r="O29" s="11" t="n">
        <f aca="false">Units!$E28*(1+Inputs!$B$7)^(O$2-1)</f>
        <v>1905.5</v>
      </c>
      <c r="P29" s="11" t="n">
        <f aca="false">Units!$E28*(1+Inputs!$B$7)^(P$2-1)</f>
        <v>1905.5</v>
      </c>
      <c r="Q29" s="11" t="n">
        <f aca="false">Units!$E28*(1+Inputs!$B$7)^(Q$2-1)</f>
        <v>1905.5</v>
      </c>
      <c r="R29" s="11" t="n">
        <f aca="false">Units!$E28*(1+Inputs!$B$7)^(R$2-1)</f>
        <v>1905.5</v>
      </c>
      <c r="S29" s="11" t="n">
        <f aca="false">Units!$E28*(1+Inputs!$B$7)^(S$2-1)</f>
        <v>1905.5</v>
      </c>
      <c r="T29" s="11" t="n">
        <f aca="false">Units!$E28*(1+Inputs!$B$7)^(T$2-1)</f>
        <v>1905.5</v>
      </c>
      <c r="U29" s="11" t="n">
        <f aca="false">Units!$E28*(1+Inputs!$B$7)^(U$2-1)</f>
        <v>1905.5</v>
      </c>
      <c r="V29" s="11" t="n">
        <f aca="false">Units!$E28*(1+Inputs!$B$7)^(V$2-1)</f>
        <v>1905.5</v>
      </c>
      <c r="W29" s="11" t="n">
        <f aca="false">Units!$E28*(1+Inputs!$B$7)^(W$2-1)</f>
        <v>1905.5</v>
      </c>
      <c r="X29" s="11" t="n">
        <f aca="false">Units!$E28*(1+Inputs!$B$7)^(X$2-1)</f>
        <v>1905.5</v>
      </c>
      <c r="Y29" s="11" t="n">
        <f aca="false">Units!$E28*(1+Inputs!$B$7)^(Y$2-1)</f>
        <v>1905.5</v>
      </c>
      <c r="Z29" s="11" t="n">
        <f aca="false">Units!$E28*(1+Inputs!$B$7)^(Z$2-1)</f>
        <v>1905.5</v>
      </c>
      <c r="AA29" s="11" t="n">
        <f aca="false">Units!$E28*(1+Inputs!$B$7)^(AA$2-1)</f>
        <v>1962.665</v>
      </c>
      <c r="AB29" s="11" t="n">
        <f aca="false">Units!$E28*(1+Inputs!$B$7)^(AB$2-1)</f>
        <v>1962.665</v>
      </c>
      <c r="AC29" s="11" t="n">
        <f aca="false">Units!$E28*(1+Inputs!$B$7)^(AC$2-1)</f>
        <v>1962.665</v>
      </c>
      <c r="AD29" s="11" t="n">
        <f aca="false">Units!$E28*(1+Inputs!$B$7)^(AD$2-1)</f>
        <v>1962.665</v>
      </c>
      <c r="AE29" s="11" t="n">
        <f aca="false">Units!$E28*(1+Inputs!$B$7)^(AE$2-1)</f>
        <v>1962.665</v>
      </c>
      <c r="AF29" s="11" t="n">
        <f aca="false">Units!$E28*(1+Inputs!$B$7)^(AF$2-1)</f>
        <v>1962.665</v>
      </c>
      <c r="AG29" s="11" t="n">
        <f aca="false">Units!$E28*(1+Inputs!$B$7)^(AG$2-1)</f>
        <v>1962.665</v>
      </c>
      <c r="AH29" s="11" t="n">
        <f aca="false">Units!$E28*(1+Inputs!$B$7)^(AH$2-1)</f>
        <v>1962.665</v>
      </c>
      <c r="AI29" s="11" t="n">
        <f aca="false">Units!$E28*(1+Inputs!$B$7)^(AI$2-1)</f>
        <v>1962.665</v>
      </c>
      <c r="AJ29" s="11" t="n">
        <f aca="false">Units!$E28*(1+Inputs!$B$7)^(AJ$2-1)</f>
        <v>1962.665</v>
      </c>
      <c r="AK29" s="11" t="n">
        <f aca="false">Units!$E28*(1+Inputs!$B$7)^(AK$2-1)</f>
        <v>1962.665</v>
      </c>
      <c r="AL29" s="11" t="n">
        <f aca="false">Units!$E28*(1+Inputs!$B$7)^(AL$2-1)</f>
        <v>1962.665</v>
      </c>
      <c r="AM29" s="11" t="n">
        <f aca="false">Units!$E28*(1+Inputs!$B$7)^(AM$2-1)</f>
        <v>2021.54495</v>
      </c>
      <c r="AN29" s="11" t="n">
        <f aca="false">Units!$E28*(1+Inputs!$B$7)^(AN$2-1)</f>
        <v>2021.54495</v>
      </c>
      <c r="AO29" s="11" t="n">
        <f aca="false">Units!$E28*(1+Inputs!$B$7)^(AO$2-1)</f>
        <v>2021.54495</v>
      </c>
      <c r="AP29" s="11" t="n">
        <f aca="false">Units!$E28*(1+Inputs!$B$7)^(AP$2-1)</f>
        <v>2021.54495</v>
      </c>
      <c r="AQ29" s="11" t="n">
        <f aca="false">Units!$E28*(1+Inputs!$B$7)^(AQ$2-1)</f>
        <v>2021.54495</v>
      </c>
      <c r="AR29" s="11" t="n">
        <f aca="false">Units!$E28*(1+Inputs!$B$7)^(AR$2-1)</f>
        <v>2021.54495</v>
      </c>
      <c r="AS29" s="11" t="n">
        <f aca="false">Units!$E28*(1+Inputs!$B$7)^(AS$2-1)</f>
        <v>2021.54495</v>
      </c>
      <c r="AT29" s="11" t="n">
        <f aca="false">Units!$E28*(1+Inputs!$B$7)^(AT$2-1)</f>
        <v>2021.54495</v>
      </c>
      <c r="AU29" s="11" t="n">
        <f aca="false">Units!$E28*(1+Inputs!$B$7)^(AU$2-1)</f>
        <v>2021.54495</v>
      </c>
      <c r="AV29" s="11" t="n">
        <f aca="false">Units!$E28*(1+Inputs!$B$7)^(AV$2-1)</f>
        <v>2021.54495</v>
      </c>
      <c r="AW29" s="11" t="n">
        <f aca="false">Units!$E28*(1+Inputs!$B$7)^(AW$2-1)</f>
        <v>2021.54495</v>
      </c>
      <c r="AX29" s="11" t="n">
        <f aca="false">Units!$E28*(1+Inputs!$B$7)^(AX$2-1)</f>
        <v>2021.54495</v>
      </c>
      <c r="AY29" s="11" t="n">
        <f aca="false">Units!$E28*(1+Inputs!$B$7)^(AY$2-1)</f>
        <v>2082.1912985</v>
      </c>
      <c r="AZ29" s="11" t="n">
        <f aca="false">Units!$E28*(1+Inputs!$B$7)^(AZ$2-1)</f>
        <v>2082.1912985</v>
      </c>
      <c r="BA29" s="11" t="n">
        <f aca="false">Units!$E28*(1+Inputs!$B$7)^(BA$2-1)</f>
        <v>2082.1912985</v>
      </c>
      <c r="BB29" s="11" t="n">
        <f aca="false">Units!$E28*(1+Inputs!$B$7)^(BB$2-1)</f>
        <v>2082.1912985</v>
      </c>
      <c r="BC29" s="11" t="n">
        <f aca="false">Units!$E28*(1+Inputs!$B$7)^(BC$2-1)</f>
        <v>2082.1912985</v>
      </c>
      <c r="BD29" s="11" t="n">
        <f aca="false">Units!$E28*(1+Inputs!$B$7)^(BD$2-1)</f>
        <v>2082.1912985</v>
      </c>
      <c r="BE29" s="11" t="n">
        <f aca="false">Units!$E28*(1+Inputs!$B$7)^(BE$2-1)</f>
        <v>2082.1912985</v>
      </c>
      <c r="BF29" s="11" t="n">
        <f aca="false">Units!$E28*(1+Inputs!$B$7)^(BF$2-1)</f>
        <v>2082.1912985</v>
      </c>
      <c r="BG29" s="11" t="n">
        <f aca="false">Units!$E28*(1+Inputs!$B$7)^(BG$2-1)</f>
        <v>2082.1912985</v>
      </c>
      <c r="BH29" s="11" t="n">
        <f aca="false">Units!$E28*(1+Inputs!$B$7)^(BH$2-1)</f>
        <v>2082.1912985</v>
      </c>
      <c r="BI29" s="11" t="n">
        <f aca="false">Units!$E28*(1+Inputs!$B$7)^(BI$2-1)</f>
        <v>2082.1912985</v>
      </c>
      <c r="BJ29" s="11" t="n">
        <f aca="false">Units!$E28*(1+Inputs!$B$7)^(BJ$2-1)</f>
        <v>2082.1912985</v>
      </c>
      <c r="BK29" s="11" t="n">
        <f aca="false">Units!$E28*(1+Inputs!$B$7)^(BK$2-1)</f>
        <v>2144.657037455</v>
      </c>
      <c r="BL29" s="11" t="n">
        <f aca="false">Units!$E28*(1+Inputs!$B$7)^(BL$2-1)</f>
        <v>2144.657037455</v>
      </c>
      <c r="BM29" s="11" t="n">
        <f aca="false">Units!$E28*(1+Inputs!$B$7)^(BM$2-1)</f>
        <v>2144.657037455</v>
      </c>
      <c r="BN29" s="11" t="n">
        <f aca="false">Units!$E28*(1+Inputs!$B$7)^(BN$2-1)</f>
        <v>2144.657037455</v>
      </c>
      <c r="BO29" s="11" t="n">
        <f aca="false">Units!$E28*(1+Inputs!$B$7)^(BO$2-1)</f>
        <v>2144.657037455</v>
      </c>
      <c r="BP29" s="11" t="n">
        <f aca="false">Units!$E28*(1+Inputs!$B$7)^(BP$2-1)</f>
        <v>2144.657037455</v>
      </c>
      <c r="BQ29" s="11" t="n">
        <f aca="false">Units!$E28*(1+Inputs!$B$7)^(BQ$2-1)</f>
        <v>2144.657037455</v>
      </c>
      <c r="BR29" s="11" t="n">
        <f aca="false">Units!$E28*(1+Inputs!$B$7)^(BR$2-1)</f>
        <v>2144.657037455</v>
      </c>
      <c r="BS29" s="11" t="n">
        <f aca="false">Units!$E28*(1+Inputs!$B$7)^(BS$2-1)</f>
        <v>2144.657037455</v>
      </c>
      <c r="BT29" s="11" t="n">
        <f aca="false">Units!$E28*(1+Inputs!$B$7)^(BT$2-1)</f>
        <v>2144.657037455</v>
      </c>
      <c r="BU29" s="11" t="n">
        <f aca="false">Units!$E28*(1+Inputs!$B$7)^(BU$2-1)</f>
        <v>2144.657037455</v>
      </c>
      <c r="BV29" s="11" t="n">
        <f aca="false">Units!$E28*(1+Inputs!$B$7)^(BV$2-1)</f>
        <v>2144.657037455</v>
      </c>
      <c r="BW29" s="11" t="n">
        <f aca="false">Units!$E28*(1+Inputs!$B$7)^(BW$2-1)</f>
        <v>2208.99674857865</v>
      </c>
      <c r="BX29" s="11" t="n">
        <f aca="false">Units!$E28*(1+Inputs!$B$7)^(BX$2-1)</f>
        <v>2208.99674857865</v>
      </c>
      <c r="BY29" s="11" t="n">
        <f aca="false">Units!$E28*(1+Inputs!$B$7)^(BY$2-1)</f>
        <v>2208.99674857865</v>
      </c>
      <c r="BZ29" s="11" t="n">
        <f aca="false">Units!$E28*(1+Inputs!$B$7)^(BZ$2-1)</f>
        <v>2208.99674857865</v>
      </c>
      <c r="CA29" s="11" t="n">
        <f aca="false">Units!$E28*(1+Inputs!$B$7)^(CA$2-1)</f>
        <v>2208.99674857865</v>
      </c>
      <c r="CB29" s="11" t="n">
        <f aca="false">Units!$E28*(1+Inputs!$B$7)^(CB$2-1)</f>
        <v>2208.99674857865</v>
      </c>
      <c r="CC29" s="11" t="n">
        <f aca="false">Units!$E28*(1+Inputs!$B$7)^(CC$2-1)</f>
        <v>2208.99674857865</v>
      </c>
      <c r="CD29" s="11" t="n">
        <f aca="false">Units!$E28*(1+Inputs!$B$7)^(CD$2-1)</f>
        <v>2208.99674857865</v>
      </c>
      <c r="CE29" s="11" t="n">
        <f aca="false">Units!$E28*(1+Inputs!$B$7)^(CE$2-1)</f>
        <v>2208.99674857865</v>
      </c>
      <c r="CF29" s="11" t="n">
        <f aca="false">Units!$E28*(1+Inputs!$B$7)^(CF$2-1)</f>
        <v>2208.99674857865</v>
      </c>
      <c r="CG29" s="11" t="n">
        <f aca="false">Units!$E28*(1+Inputs!$B$7)^(CG$2-1)</f>
        <v>2208.99674857865</v>
      </c>
      <c r="CH29" s="11" t="n">
        <f aca="false">Units!$E28*(1+Inputs!$B$7)^(CH$2-1)</f>
        <v>2208.99674857865</v>
      </c>
      <c r="CI29" s="11" t="n">
        <f aca="false">Units!$E28*(1+Inputs!$B$7)^(CI$2-1)</f>
        <v>2275.26665103601</v>
      </c>
      <c r="CJ29" s="11" t="n">
        <f aca="false">Units!$E28*(1+Inputs!$B$7)^(CJ$2-1)</f>
        <v>2275.26665103601</v>
      </c>
      <c r="CK29" s="11" t="n">
        <f aca="false">Units!$E28*(1+Inputs!$B$7)^(CK$2-1)</f>
        <v>2275.26665103601</v>
      </c>
      <c r="CL29" s="11" t="n">
        <f aca="false">Units!$E28*(1+Inputs!$B$7)^(CL$2-1)</f>
        <v>2275.26665103601</v>
      </c>
      <c r="CM29" s="11" t="n">
        <f aca="false">Units!$E28*(1+Inputs!$B$7)^(CM$2-1)</f>
        <v>2275.26665103601</v>
      </c>
      <c r="CN29" s="11" t="n">
        <f aca="false">Units!$E28*(1+Inputs!$B$7)^(CN$2-1)</f>
        <v>2275.26665103601</v>
      </c>
      <c r="CO29" s="11" t="n">
        <f aca="false">Units!$E28*(1+Inputs!$B$7)^(CO$2-1)</f>
        <v>2275.26665103601</v>
      </c>
      <c r="CP29" s="11" t="n">
        <f aca="false">Units!$E28*(1+Inputs!$B$7)^(CP$2-1)</f>
        <v>2275.26665103601</v>
      </c>
      <c r="CQ29" s="11" t="n">
        <f aca="false">Units!$E28*(1+Inputs!$B$7)^(CQ$2-1)</f>
        <v>2275.26665103601</v>
      </c>
      <c r="CR29" s="11" t="n">
        <f aca="false">Units!$E28*(1+Inputs!$B$7)^(CR$2-1)</f>
        <v>2275.26665103601</v>
      </c>
      <c r="CS29" s="11" t="n">
        <f aca="false">Units!$E28*(1+Inputs!$B$7)^(CS$2-1)</f>
        <v>2275.26665103601</v>
      </c>
      <c r="CT29" s="11" t="n">
        <f aca="false">Units!$E28*(1+Inputs!$B$7)^(CT$2-1)</f>
        <v>2275.26665103601</v>
      </c>
      <c r="CU29" s="11" t="n">
        <f aca="false">Units!$E28*(1+Inputs!$B$7)^(CU$2-1)</f>
        <v>2343.52465056709</v>
      </c>
      <c r="CV29" s="11" t="n">
        <f aca="false">Units!$E28*(1+Inputs!$B$7)^(CV$2-1)</f>
        <v>2343.52465056709</v>
      </c>
      <c r="CW29" s="11" t="n">
        <f aca="false">Units!$E28*(1+Inputs!$B$7)^(CW$2-1)</f>
        <v>2343.52465056709</v>
      </c>
      <c r="CX29" s="11" t="n">
        <f aca="false">Units!$E28*(1+Inputs!$B$7)^(CX$2-1)</f>
        <v>2343.52465056709</v>
      </c>
      <c r="CY29" s="11" t="n">
        <f aca="false">Units!$E28*(1+Inputs!$B$7)^(CY$2-1)</f>
        <v>2343.52465056709</v>
      </c>
      <c r="CZ29" s="11" t="n">
        <f aca="false">Units!$E28*(1+Inputs!$B$7)^(CZ$2-1)</f>
        <v>2343.52465056709</v>
      </c>
      <c r="DA29" s="11" t="n">
        <f aca="false">Units!$E28*(1+Inputs!$B$7)^(DA$2-1)</f>
        <v>2343.52465056709</v>
      </c>
      <c r="DB29" s="11" t="n">
        <f aca="false">Units!$E28*(1+Inputs!$B$7)^(DB$2-1)</f>
        <v>2343.52465056709</v>
      </c>
      <c r="DC29" s="11" t="n">
        <f aca="false">Units!$E28*(1+Inputs!$B$7)^(DC$2-1)</f>
        <v>2343.52465056709</v>
      </c>
      <c r="DD29" s="11" t="n">
        <f aca="false">Units!$E28*(1+Inputs!$B$7)^(DD$2-1)</f>
        <v>2343.52465056709</v>
      </c>
      <c r="DE29" s="11" t="n">
        <f aca="false">Units!$E28*(1+Inputs!$B$7)^(DE$2-1)</f>
        <v>2343.52465056709</v>
      </c>
      <c r="DF29" s="11" t="n">
        <f aca="false">Units!$E28*(1+Inputs!$B$7)^(DF$2-1)</f>
        <v>2343.52465056709</v>
      </c>
      <c r="DG29" s="11" t="n">
        <f aca="false">Units!$E28*(1+Inputs!$B$7)^(DG$2-1)</f>
        <v>2413.8303900841</v>
      </c>
      <c r="DH29" s="11" t="n">
        <f aca="false">Units!$E28*(1+Inputs!$B$7)^(DH$2-1)</f>
        <v>2413.8303900841</v>
      </c>
      <c r="DI29" s="11" t="n">
        <f aca="false">Units!$E28*(1+Inputs!$B$7)^(DI$2-1)</f>
        <v>2413.8303900841</v>
      </c>
      <c r="DJ29" s="11" t="n">
        <f aca="false">Units!$E28*(1+Inputs!$B$7)^(DJ$2-1)</f>
        <v>2413.8303900841</v>
      </c>
      <c r="DK29" s="11" t="n">
        <f aca="false">Units!$E28*(1+Inputs!$B$7)^(DK$2-1)</f>
        <v>2413.8303900841</v>
      </c>
      <c r="DL29" s="11" t="n">
        <f aca="false">Units!$E28*(1+Inputs!$B$7)^(DL$2-1)</f>
        <v>2413.8303900841</v>
      </c>
      <c r="DM29" s="11" t="n">
        <f aca="false">Units!$E28*(1+Inputs!$B$7)^(DM$2-1)</f>
        <v>2413.8303900841</v>
      </c>
      <c r="DN29" s="11" t="n">
        <f aca="false">Units!$E28*(1+Inputs!$B$7)^(DN$2-1)</f>
        <v>2413.8303900841</v>
      </c>
      <c r="DO29" s="11" t="n">
        <f aca="false">Units!$E28*(1+Inputs!$B$7)^(DO$2-1)</f>
        <v>2413.8303900841</v>
      </c>
      <c r="DP29" s="11" t="n">
        <f aca="false">Units!$E28*(1+Inputs!$B$7)^(DP$2-1)</f>
        <v>2413.8303900841</v>
      </c>
      <c r="DQ29" s="11" t="n">
        <f aca="false">Units!$E28*(1+Inputs!$B$7)^(DQ$2-1)</f>
        <v>2413.8303900841</v>
      </c>
      <c r="DR29" s="11" t="n">
        <f aca="false">Units!$E28*(1+Inputs!$B$7)^(DR$2-1)</f>
        <v>2413.8303900841</v>
      </c>
      <c r="DS29" s="11" t="n">
        <f aca="false">Units!$E28*(1+Inputs!$B$7)^(DS$2-1)</f>
        <v>2486.24530178663</v>
      </c>
      <c r="DT29" s="11" t="n">
        <f aca="false">Units!$E28*(1+Inputs!$B$7)^(DT$2-1)</f>
        <v>2486.24530178663</v>
      </c>
      <c r="DU29" s="11" t="n">
        <f aca="false">Units!$E28*(1+Inputs!$B$7)^(DU$2-1)</f>
        <v>2486.24530178663</v>
      </c>
      <c r="DV29" s="11" t="n">
        <f aca="false">Units!$E28*(1+Inputs!$B$7)^(DV$2-1)</f>
        <v>2486.24530178663</v>
      </c>
      <c r="DW29" s="11" t="n">
        <f aca="false">Units!$E28*(1+Inputs!$B$7)^(DW$2-1)</f>
        <v>2486.24530178663</v>
      </c>
      <c r="DX29" s="11" t="n">
        <f aca="false">Units!$E28*(1+Inputs!$B$7)^(DX$2-1)</f>
        <v>2486.24530178663</v>
      </c>
      <c r="DY29" s="11" t="n">
        <f aca="false">Units!$E28*(1+Inputs!$B$7)^(DY$2-1)</f>
        <v>2486.24530178663</v>
      </c>
      <c r="DZ29" s="11" t="n">
        <f aca="false">Units!$E28*(1+Inputs!$B$7)^(DZ$2-1)</f>
        <v>2486.24530178663</v>
      </c>
      <c r="EA29" s="11" t="n">
        <f aca="false">Units!$E28*(1+Inputs!$B$7)^(EA$2-1)</f>
        <v>2486.24530178663</v>
      </c>
      <c r="EB29" s="11" t="n">
        <f aca="false">Units!$E28*(1+Inputs!$B$7)^(EB$2-1)</f>
        <v>2486.24530178663</v>
      </c>
      <c r="EC29" s="11" t="n">
        <f aca="false">Units!$E28*(1+Inputs!$B$7)^(EC$2-1)</f>
        <v>2486.24530178663</v>
      </c>
      <c r="ED29" s="11" t="n">
        <f aca="false">Units!$E28*(1+Inputs!$B$7)^(ED$2-1)</f>
        <v>2486.24530178663</v>
      </c>
    </row>
    <row r="30" customFormat="false" ht="15" hidden="false" customHeight="false" outlineLevel="0" collapsed="false">
      <c r="A30" s="22" t="n">
        <f aca="false">Units!A29</f>
        <v>128</v>
      </c>
      <c r="B30" s="23"/>
      <c r="C30" s="11" t="n">
        <f aca="false">Units!$E29*(1+Inputs!$B$7)^(C$2-1)</f>
        <v>2240</v>
      </c>
      <c r="D30" s="11" t="n">
        <f aca="false">Units!$E29*(1+Inputs!$B$7)^(D$2-1)</f>
        <v>2240</v>
      </c>
      <c r="E30" s="11" t="n">
        <f aca="false">Units!$E29*(1+Inputs!$B$7)^(E$2-1)</f>
        <v>2240</v>
      </c>
      <c r="F30" s="11" t="n">
        <f aca="false">Units!$E29*(1+Inputs!$B$7)^(F$2-1)</f>
        <v>2240</v>
      </c>
      <c r="G30" s="11" t="n">
        <f aca="false">Units!$E29*(1+Inputs!$B$7)^(G$2-1)</f>
        <v>2240</v>
      </c>
      <c r="H30" s="11" t="n">
        <f aca="false">Units!$E29*(1+Inputs!$B$7)^(H$2-1)</f>
        <v>2240</v>
      </c>
      <c r="I30" s="11" t="n">
        <f aca="false">Units!$E29*(1+Inputs!$B$7)^(I$2-1)</f>
        <v>2240</v>
      </c>
      <c r="J30" s="11" t="n">
        <f aca="false">Units!$E29*(1+Inputs!$B$7)^(J$2-1)</f>
        <v>2240</v>
      </c>
      <c r="K30" s="11" t="n">
        <f aca="false">Units!$E29*(1+Inputs!$B$7)^(K$2-1)</f>
        <v>2240</v>
      </c>
      <c r="L30" s="11" t="n">
        <f aca="false">Units!$E29*(1+Inputs!$B$7)^(L$2-1)</f>
        <v>2240</v>
      </c>
      <c r="M30" s="11" t="n">
        <f aca="false">Units!$E29*(1+Inputs!$B$7)^(M$2-1)</f>
        <v>2240</v>
      </c>
      <c r="N30" s="11" t="n">
        <f aca="false">Units!$E29*(1+Inputs!$B$7)^(N$2-1)</f>
        <v>2240</v>
      </c>
      <c r="O30" s="11" t="n">
        <f aca="false">Units!$E29*(1+Inputs!$B$7)^(O$2-1)</f>
        <v>2307.2</v>
      </c>
      <c r="P30" s="11" t="n">
        <f aca="false">Units!$E29*(1+Inputs!$B$7)^(P$2-1)</f>
        <v>2307.2</v>
      </c>
      <c r="Q30" s="11" t="n">
        <f aca="false">Units!$E29*(1+Inputs!$B$7)^(Q$2-1)</f>
        <v>2307.2</v>
      </c>
      <c r="R30" s="11" t="n">
        <f aca="false">Units!$E29*(1+Inputs!$B$7)^(R$2-1)</f>
        <v>2307.2</v>
      </c>
      <c r="S30" s="11" t="n">
        <f aca="false">Units!$E29*(1+Inputs!$B$7)^(S$2-1)</f>
        <v>2307.2</v>
      </c>
      <c r="T30" s="11" t="n">
        <f aca="false">Units!$E29*(1+Inputs!$B$7)^(T$2-1)</f>
        <v>2307.2</v>
      </c>
      <c r="U30" s="11" t="n">
        <f aca="false">Units!$E29*(1+Inputs!$B$7)^(U$2-1)</f>
        <v>2307.2</v>
      </c>
      <c r="V30" s="11" t="n">
        <f aca="false">Units!$E29*(1+Inputs!$B$7)^(V$2-1)</f>
        <v>2307.2</v>
      </c>
      <c r="W30" s="11" t="n">
        <f aca="false">Units!$E29*(1+Inputs!$B$7)^(W$2-1)</f>
        <v>2307.2</v>
      </c>
      <c r="X30" s="11" t="n">
        <f aca="false">Units!$E29*(1+Inputs!$B$7)^(X$2-1)</f>
        <v>2307.2</v>
      </c>
      <c r="Y30" s="11" t="n">
        <f aca="false">Units!$E29*(1+Inputs!$B$7)^(Y$2-1)</f>
        <v>2307.2</v>
      </c>
      <c r="Z30" s="11" t="n">
        <f aca="false">Units!$E29*(1+Inputs!$B$7)^(Z$2-1)</f>
        <v>2307.2</v>
      </c>
      <c r="AA30" s="11" t="n">
        <f aca="false">Units!$E29*(1+Inputs!$B$7)^(AA$2-1)</f>
        <v>2376.416</v>
      </c>
      <c r="AB30" s="11" t="n">
        <f aca="false">Units!$E29*(1+Inputs!$B$7)^(AB$2-1)</f>
        <v>2376.416</v>
      </c>
      <c r="AC30" s="11" t="n">
        <f aca="false">Units!$E29*(1+Inputs!$B$7)^(AC$2-1)</f>
        <v>2376.416</v>
      </c>
      <c r="AD30" s="11" t="n">
        <f aca="false">Units!$E29*(1+Inputs!$B$7)^(AD$2-1)</f>
        <v>2376.416</v>
      </c>
      <c r="AE30" s="11" t="n">
        <f aca="false">Units!$E29*(1+Inputs!$B$7)^(AE$2-1)</f>
        <v>2376.416</v>
      </c>
      <c r="AF30" s="11" t="n">
        <f aca="false">Units!$E29*(1+Inputs!$B$7)^(AF$2-1)</f>
        <v>2376.416</v>
      </c>
      <c r="AG30" s="11" t="n">
        <f aca="false">Units!$E29*(1+Inputs!$B$7)^(AG$2-1)</f>
        <v>2376.416</v>
      </c>
      <c r="AH30" s="11" t="n">
        <f aca="false">Units!$E29*(1+Inputs!$B$7)^(AH$2-1)</f>
        <v>2376.416</v>
      </c>
      <c r="AI30" s="11" t="n">
        <f aca="false">Units!$E29*(1+Inputs!$B$7)^(AI$2-1)</f>
        <v>2376.416</v>
      </c>
      <c r="AJ30" s="11" t="n">
        <f aca="false">Units!$E29*(1+Inputs!$B$7)^(AJ$2-1)</f>
        <v>2376.416</v>
      </c>
      <c r="AK30" s="11" t="n">
        <f aca="false">Units!$E29*(1+Inputs!$B$7)^(AK$2-1)</f>
        <v>2376.416</v>
      </c>
      <c r="AL30" s="11" t="n">
        <f aca="false">Units!$E29*(1+Inputs!$B$7)^(AL$2-1)</f>
        <v>2376.416</v>
      </c>
      <c r="AM30" s="11" t="n">
        <f aca="false">Units!$E29*(1+Inputs!$B$7)^(AM$2-1)</f>
        <v>2447.70848</v>
      </c>
      <c r="AN30" s="11" t="n">
        <f aca="false">Units!$E29*(1+Inputs!$B$7)^(AN$2-1)</f>
        <v>2447.70848</v>
      </c>
      <c r="AO30" s="11" t="n">
        <f aca="false">Units!$E29*(1+Inputs!$B$7)^(AO$2-1)</f>
        <v>2447.70848</v>
      </c>
      <c r="AP30" s="11" t="n">
        <f aca="false">Units!$E29*(1+Inputs!$B$7)^(AP$2-1)</f>
        <v>2447.70848</v>
      </c>
      <c r="AQ30" s="11" t="n">
        <f aca="false">Units!$E29*(1+Inputs!$B$7)^(AQ$2-1)</f>
        <v>2447.70848</v>
      </c>
      <c r="AR30" s="11" t="n">
        <f aca="false">Units!$E29*(1+Inputs!$B$7)^(AR$2-1)</f>
        <v>2447.70848</v>
      </c>
      <c r="AS30" s="11" t="n">
        <f aca="false">Units!$E29*(1+Inputs!$B$7)^(AS$2-1)</f>
        <v>2447.70848</v>
      </c>
      <c r="AT30" s="11" t="n">
        <f aca="false">Units!$E29*(1+Inputs!$B$7)^(AT$2-1)</f>
        <v>2447.70848</v>
      </c>
      <c r="AU30" s="11" t="n">
        <f aca="false">Units!$E29*(1+Inputs!$B$7)^(AU$2-1)</f>
        <v>2447.70848</v>
      </c>
      <c r="AV30" s="11" t="n">
        <f aca="false">Units!$E29*(1+Inputs!$B$7)^(AV$2-1)</f>
        <v>2447.70848</v>
      </c>
      <c r="AW30" s="11" t="n">
        <f aca="false">Units!$E29*(1+Inputs!$B$7)^(AW$2-1)</f>
        <v>2447.70848</v>
      </c>
      <c r="AX30" s="11" t="n">
        <f aca="false">Units!$E29*(1+Inputs!$B$7)^(AX$2-1)</f>
        <v>2447.70848</v>
      </c>
      <c r="AY30" s="11" t="n">
        <f aca="false">Units!$E29*(1+Inputs!$B$7)^(AY$2-1)</f>
        <v>2521.1397344</v>
      </c>
      <c r="AZ30" s="11" t="n">
        <f aca="false">Units!$E29*(1+Inputs!$B$7)^(AZ$2-1)</f>
        <v>2521.1397344</v>
      </c>
      <c r="BA30" s="11" t="n">
        <f aca="false">Units!$E29*(1+Inputs!$B$7)^(BA$2-1)</f>
        <v>2521.1397344</v>
      </c>
      <c r="BB30" s="11" t="n">
        <f aca="false">Units!$E29*(1+Inputs!$B$7)^(BB$2-1)</f>
        <v>2521.1397344</v>
      </c>
      <c r="BC30" s="11" t="n">
        <f aca="false">Units!$E29*(1+Inputs!$B$7)^(BC$2-1)</f>
        <v>2521.1397344</v>
      </c>
      <c r="BD30" s="11" t="n">
        <f aca="false">Units!$E29*(1+Inputs!$B$7)^(BD$2-1)</f>
        <v>2521.1397344</v>
      </c>
      <c r="BE30" s="11" t="n">
        <f aca="false">Units!$E29*(1+Inputs!$B$7)^(BE$2-1)</f>
        <v>2521.1397344</v>
      </c>
      <c r="BF30" s="11" t="n">
        <f aca="false">Units!$E29*(1+Inputs!$B$7)^(BF$2-1)</f>
        <v>2521.1397344</v>
      </c>
      <c r="BG30" s="11" t="n">
        <f aca="false">Units!$E29*(1+Inputs!$B$7)^(BG$2-1)</f>
        <v>2521.1397344</v>
      </c>
      <c r="BH30" s="11" t="n">
        <f aca="false">Units!$E29*(1+Inputs!$B$7)^(BH$2-1)</f>
        <v>2521.1397344</v>
      </c>
      <c r="BI30" s="11" t="n">
        <f aca="false">Units!$E29*(1+Inputs!$B$7)^(BI$2-1)</f>
        <v>2521.1397344</v>
      </c>
      <c r="BJ30" s="11" t="n">
        <f aca="false">Units!$E29*(1+Inputs!$B$7)^(BJ$2-1)</f>
        <v>2521.1397344</v>
      </c>
      <c r="BK30" s="11" t="n">
        <f aca="false">Units!$E29*(1+Inputs!$B$7)^(BK$2-1)</f>
        <v>2596.773926432</v>
      </c>
      <c r="BL30" s="11" t="n">
        <f aca="false">Units!$E29*(1+Inputs!$B$7)^(BL$2-1)</f>
        <v>2596.773926432</v>
      </c>
      <c r="BM30" s="11" t="n">
        <f aca="false">Units!$E29*(1+Inputs!$B$7)^(BM$2-1)</f>
        <v>2596.773926432</v>
      </c>
      <c r="BN30" s="11" t="n">
        <f aca="false">Units!$E29*(1+Inputs!$B$7)^(BN$2-1)</f>
        <v>2596.773926432</v>
      </c>
      <c r="BO30" s="11" t="n">
        <f aca="false">Units!$E29*(1+Inputs!$B$7)^(BO$2-1)</f>
        <v>2596.773926432</v>
      </c>
      <c r="BP30" s="11" t="n">
        <f aca="false">Units!$E29*(1+Inputs!$B$7)^(BP$2-1)</f>
        <v>2596.773926432</v>
      </c>
      <c r="BQ30" s="11" t="n">
        <f aca="false">Units!$E29*(1+Inputs!$B$7)^(BQ$2-1)</f>
        <v>2596.773926432</v>
      </c>
      <c r="BR30" s="11" t="n">
        <f aca="false">Units!$E29*(1+Inputs!$B$7)^(BR$2-1)</f>
        <v>2596.773926432</v>
      </c>
      <c r="BS30" s="11" t="n">
        <f aca="false">Units!$E29*(1+Inputs!$B$7)^(BS$2-1)</f>
        <v>2596.773926432</v>
      </c>
      <c r="BT30" s="11" t="n">
        <f aca="false">Units!$E29*(1+Inputs!$B$7)^(BT$2-1)</f>
        <v>2596.773926432</v>
      </c>
      <c r="BU30" s="11" t="n">
        <f aca="false">Units!$E29*(1+Inputs!$B$7)^(BU$2-1)</f>
        <v>2596.773926432</v>
      </c>
      <c r="BV30" s="11" t="n">
        <f aca="false">Units!$E29*(1+Inputs!$B$7)^(BV$2-1)</f>
        <v>2596.773926432</v>
      </c>
      <c r="BW30" s="11" t="n">
        <f aca="false">Units!$E29*(1+Inputs!$B$7)^(BW$2-1)</f>
        <v>2674.67714422496</v>
      </c>
      <c r="BX30" s="11" t="n">
        <f aca="false">Units!$E29*(1+Inputs!$B$7)^(BX$2-1)</f>
        <v>2674.67714422496</v>
      </c>
      <c r="BY30" s="11" t="n">
        <f aca="false">Units!$E29*(1+Inputs!$B$7)^(BY$2-1)</f>
        <v>2674.67714422496</v>
      </c>
      <c r="BZ30" s="11" t="n">
        <f aca="false">Units!$E29*(1+Inputs!$B$7)^(BZ$2-1)</f>
        <v>2674.67714422496</v>
      </c>
      <c r="CA30" s="11" t="n">
        <f aca="false">Units!$E29*(1+Inputs!$B$7)^(CA$2-1)</f>
        <v>2674.67714422496</v>
      </c>
      <c r="CB30" s="11" t="n">
        <f aca="false">Units!$E29*(1+Inputs!$B$7)^(CB$2-1)</f>
        <v>2674.67714422496</v>
      </c>
      <c r="CC30" s="11" t="n">
        <f aca="false">Units!$E29*(1+Inputs!$B$7)^(CC$2-1)</f>
        <v>2674.67714422496</v>
      </c>
      <c r="CD30" s="11" t="n">
        <f aca="false">Units!$E29*(1+Inputs!$B$7)^(CD$2-1)</f>
        <v>2674.67714422496</v>
      </c>
      <c r="CE30" s="11" t="n">
        <f aca="false">Units!$E29*(1+Inputs!$B$7)^(CE$2-1)</f>
        <v>2674.67714422496</v>
      </c>
      <c r="CF30" s="11" t="n">
        <f aca="false">Units!$E29*(1+Inputs!$B$7)^(CF$2-1)</f>
        <v>2674.67714422496</v>
      </c>
      <c r="CG30" s="11" t="n">
        <f aca="false">Units!$E29*(1+Inputs!$B$7)^(CG$2-1)</f>
        <v>2674.67714422496</v>
      </c>
      <c r="CH30" s="11" t="n">
        <f aca="false">Units!$E29*(1+Inputs!$B$7)^(CH$2-1)</f>
        <v>2674.67714422496</v>
      </c>
      <c r="CI30" s="11" t="n">
        <f aca="false">Units!$E29*(1+Inputs!$B$7)^(CI$2-1)</f>
        <v>2754.91745855171</v>
      </c>
      <c r="CJ30" s="11" t="n">
        <f aca="false">Units!$E29*(1+Inputs!$B$7)^(CJ$2-1)</f>
        <v>2754.91745855171</v>
      </c>
      <c r="CK30" s="11" t="n">
        <f aca="false">Units!$E29*(1+Inputs!$B$7)^(CK$2-1)</f>
        <v>2754.91745855171</v>
      </c>
      <c r="CL30" s="11" t="n">
        <f aca="false">Units!$E29*(1+Inputs!$B$7)^(CL$2-1)</f>
        <v>2754.91745855171</v>
      </c>
      <c r="CM30" s="11" t="n">
        <f aca="false">Units!$E29*(1+Inputs!$B$7)^(CM$2-1)</f>
        <v>2754.91745855171</v>
      </c>
      <c r="CN30" s="11" t="n">
        <f aca="false">Units!$E29*(1+Inputs!$B$7)^(CN$2-1)</f>
        <v>2754.91745855171</v>
      </c>
      <c r="CO30" s="11" t="n">
        <f aca="false">Units!$E29*(1+Inputs!$B$7)^(CO$2-1)</f>
        <v>2754.91745855171</v>
      </c>
      <c r="CP30" s="11" t="n">
        <f aca="false">Units!$E29*(1+Inputs!$B$7)^(CP$2-1)</f>
        <v>2754.91745855171</v>
      </c>
      <c r="CQ30" s="11" t="n">
        <f aca="false">Units!$E29*(1+Inputs!$B$7)^(CQ$2-1)</f>
        <v>2754.91745855171</v>
      </c>
      <c r="CR30" s="11" t="n">
        <f aca="false">Units!$E29*(1+Inputs!$B$7)^(CR$2-1)</f>
        <v>2754.91745855171</v>
      </c>
      <c r="CS30" s="11" t="n">
        <f aca="false">Units!$E29*(1+Inputs!$B$7)^(CS$2-1)</f>
        <v>2754.91745855171</v>
      </c>
      <c r="CT30" s="11" t="n">
        <f aca="false">Units!$E29*(1+Inputs!$B$7)^(CT$2-1)</f>
        <v>2754.91745855171</v>
      </c>
      <c r="CU30" s="11" t="n">
        <f aca="false">Units!$E29*(1+Inputs!$B$7)^(CU$2-1)</f>
        <v>2837.56498230826</v>
      </c>
      <c r="CV30" s="11" t="n">
        <f aca="false">Units!$E29*(1+Inputs!$B$7)^(CV$2-1)</f>
        <v>2837.56498230826</v>
      </c>
      <c r="CW30" s="11" t="n">
        <f aca="false">Units!$E29*(1+Inputs!$B$7)^(CW$2-1)</f>
        <v>2837.56498230826</v>
      </c>
      <c r="CX30" s="11" t="n">
        <f aca="false">Units!$E29*(1+Inputs!$B$7)^(CX$2-1)</f>
        <v>2837.56498230826</v>
      </c>
      <c r="CY30" s="11" t="n">
        <f aca="false">Units!$E29*(1+Inputs!$B$7)^(CY$2-1)</f>
        <v>2837.56498230826</v>
      </c>
      <c r="CZ30" s="11" t="n">
        <f aca="false">Units!$E29*(1+Inputs!$B$7)^(CZ$2-1)</f>
        <v>2837.56498230826</v>
      </c>
      <c r="DA30" s="11" t="n">
        <f aca="false">Units!$E29*(1+Inputs!$B$7)^(DA$2-1)</f>
        <v>2837.56498230826</v>
      </c>
      <c r="DB30" s="11" t="n">
        <f aca="false">Units!$E29*(1+Inputs!$B$7)^(DB$2-1)</f>
        <v>2837.56498230826</v>
      </c>
      <c r="DC30" s="11" t="n">
        <f aca="false">Units!$E29*(1+Inputs!$B$7)^(DC$2-1)</f>
        <v>2837.56498230826</v>
      </c>
      <c r="DD30" s="11" t="n">
        <f aca="false">Units!$E29*(1+Inputs!$B$7)^(DD$2-1)</f>
        <v>2837.56498230826</v>
      </c>
      <c r="DE30" s="11" t="n">
        <f aca="false">Units!$E29*(1+Inputs!$B$7)^(DE$2-1)</f>
        <v>2837.56498230826</v>
      </c>
      <c r="DF30" s="11" t="n">
        <f aca="false">Units!$E29*(1+Inputs!$B$7)^(DF$2-1)</f>
        <v>2837.56498230826</v>
      </c>
      <c r="DG30" s="11" t="n">
        <f aca="false">Units!$E29*(1+Inputs!$B$7)^(DG$2-1)</f>
        <v>2922.69193177751</v>
      </c>
      <c r="DH30" s="11" t="n">
        <f aca="false">Units!$E29*(1+Inputs!$B$7)^(DH$2-1)</f>
        <v>2922.69193177751</v>
      </c>
      <c r="DI30" s="11" t="n">
        <f aca="false">Units!$E29*(1+Inputs!$B$7)^(DI$2-1)</f>
        <v>2922.69193177751</v>
      </c>
      <c r="DJ30" s="11" t="n">
        <f aca="false">Units!$E29*(1+Inputs!$B$7)^(DJ$2-1)</f>
        <v>2922.69193177751</v>
      </c>
      <c r="DK30" s="11" t="n">
        <f aca="false">Units!$E29*(1+Inputs!$B$7)^(DK$2-1)</f>
        <v>2922.69193177751</v>
      </c>
      <c r="DL30" s="11" t="n">
        <f aca="false">Units!$E29*(1+Inputs!$B$7)^(DL$2-1)</f>
        <v>2922.69193177751</v>
      </c>
      <c r="DM30" s="11" t="n">
        <f aca="false">Units!$E29*(1+Inputs!$B$7)^(DM$2-1)</f>
        <v>2922.69193177751</v>
      </c>
      <c r="DN30" s="11" t="n">
        <f aca="false">Units!$E29*(1+Inputs!$B$7)^(DN$2-1)</f>
        <v>2922.69193177751</v>
      </c>
      <c r="DO30" s="11" t="n">
        <f aca="false">Units!$E29*(1+Inputs!$B$7)^(DO$2-1)</f>
        <v>2922.69193177751</v>
      </c>
      <c r="DP30" s="11" t="n">
        <f aca="false">Units!$E29*(1+Inputs!$B$7)^(DP$2-1)</f>
        <v>2922.69193177751</v>
      </c>
      <c r="DQ30" s="11" t="n">
        <f aca="false">Units!$E29*(1+Inputs!$B$7)^(DQ$2-1)</f>
        <v>2922.69193177751</v>
      </c>
      <c r="DR30" s="11" t="n">
        <f aca="false">Units!$E29*(1+Inputs!$B$7)^(DR$2-1)</f>
        <v>2922.69193177751</v>
      </c>
      <c r="DS30" s="11" t="n">
        <f aca="false">Units!$E29*(1+Inputs!$B$7)^(DS$2-1)</f>
        <v>3010.37268973083</v>
      </c>
      <c r="DT30" s="11" t="n">
        <f aca="false">Units!$E29*(1+Inputs!$B$7)^(DT$2-1)</f>
        <v>3010.37268973083</v>
      </c>
      <c r="DU30" s="11" t="n">
        <f aca="false">Units!$E29*(1+Inputs!$B$7)^(DU$2-1)</f>
        <v>3010.37268973083</v>
      </c>
      <c r="DV30" s="11" t="n">
        <f aca="false">Units!$E29*(1+Inputs!$B$7)^(DV$2-1)</f>
        <v>3010.37268973083</v>
      </c>
      <c r="DW30" s="11" t="n">
        <f aca="false">Units!$E29*(1+Inputs!$B$7)^(DW$2-1)</f>
        <v>3010.37268973083</v>
      </c>
      <c r="DX30" s="11" t="n">
        <f aca="false">Units!$E29*(1+Inputs!$B$7)^(DX$2-1)</f>
        <v>3010.37268973083</v>
      </c>
      <c r="DY30" s="11" t="n">
        <f aca="false">Units!$E29*(1+Inputs!$B$7)^(DY$2-1)</f>
        <v>3010.37268973083</v>
      </c>
      <c r="DZ30" s="11" t="n">
        <f aca="false">Units!$E29*(1+Inputs!$B$7)^(DZ$2-1)</f>
        <v>3010.37268973083</v>
      </c>
      <c r="EA30" s="11" t="n">
        <f aca="false">Units!$E29*(1+Inputs!$B$7)^(EA$2-1)</f>
        <v>3010.37268973083</v>
      </c>
      <c r="EB30" s="11" t="n">
        <f aca="false">Units!$E29*(1+Inputs!$B$7)^(EB$2-1)</f>
        <v>3010.37268973083</v>
      </c>
      <c r="EC30" s="11" t="n">
        <f aca="false">Units!$E29*(1+Inputs!$B$7)^(EC$2-1)</f>
        <v>3010.37268973083</v>
      </c>
      <c r="ED30" s="11" t="n">
        <f aca="false">Units!$E29*(1+Inputs!$B$7)^(ED$2-1)</f>
        <v>3010.37268973083</v>
      </c>
    </row>
    <row r="31" customFormat="false" ht="15" hidden="false" customHeight="false" outlineLevel="0" collapsed="false">
      <c r="A31" s="22" t="n">
        <f aca="false">Units!A30</f>
        <v>129</v>
      </c>
      <c r="B31" s="23"/>
      <c r="C31" s="11" t="n">
        <f aca="false">Units!$E30*(1+Inputs!$B$7)^(C$2-1)</f>
        <v>2240</v>
      </c>
      <c r="D31" s="11" t="n">
        <f aca="false">Units!$E30*(1+Inputs!$B$7)^(D$2-1)</f>
        <v>2240</v>
      </c>
      <c r="E31" s="11" t="n">
        <f aca="false">Units!$E30*(1+Inputs!$B$7)^(E$2-1)</f>
        <v>2240</v>
      </c>
      <c r="F31" s="11" t="n">
        <f aca="false">Units!$E30*(1+Inputs!$B$7)^(F$2-1)</f>
        <v>2240</v>
      </c>
      <c r="G31" s="11" t="n">
        <f aca="false">Units!$E30*(1+Inputs!$B$7)^(G$2-1)</f>
        <v>2240</v>
      </c>
      <c r="H31" s="11" t="n">
        <f aca="false">Units!$E30*(1+Inputs!$B$7)^(H$2-1)</f>
        <v>2240</v>
      </c>
      <c r="I31" s="11" t="n">
        <f aca="false">Units!$E30*(1+Inputs!$B$7)^(I$2-1)</f>
        <v>2240</v>
      </c>
      <c r="J31" s="11" t="n">
        <f aca="false">Units!$E30*(1+Inputs!$B$7)^(J$2-1)</f>
        <v>2240</v>
      </c>
      <c r="K31" s="11" t="n">
        <f aca="false">Units!$E30*(1+Inputs!$B$7)^(K$2-1)</f>
        <v>2240</v>
      </c>
      <c r="L31" s="11" t="n">
        <f aca="false">Units!$E30*(1+Inputs!$B$7)^(L$2-1)</f>
        <v>2240</v>
      </c>
      <c r="M31" s="11" t="n">
        <f aca="false">Units!$E30*(1+Inputs!$B$7)^(M$2-1)</f>
        <v>2240</v>
      </c>
      <c r="N31" s="11" t="n">
        <f aca="false">Units!$E30*(1+Inputs!$B$7)^(N$2-1)</f>
        <v>2240</v>
      </c>
      <c r="O31" s="11" t="n">
        <f aca="false">Units!$E30*(1+Inputs!$B$7)^(O$2-1)</f>
        <v>2307.2</v>
      </c>
      <c r="P31" s="11" t="n">
        <f aca="false">Units!$E30*(1+Inputs!$B$7)^(P$2-1)</f>
        <v>2307.2</v>
      </c>
      <c r="Q31" s="11" t="n">
        <f aca="false">Units!$E30*(1+Inputs!$B$7)^(Q$2-1)</f>
        <v>2307.2</v>
      </c>
      <c r="R31" s="11" t="n">
        <f aca="false">Units!$E30*(1+Inputs!$B$7)^(R$2-1)</f>
        <v>2307.2</v>
      </c>
      <c r="S31" s="11" t="n">
        <f aca="false">Units!$E30*(1+Inputs!$B$7)^(S$2-1)</f>
        <v>2307.2</v>
      </c>
      <c r="T31" s="11" t="n">
        <f aca="false">Units!$E30*(1+Inputs!$B$7)^(T$2-1)</f>
        <v>2307.2</v>
      </c>
      <c r="U31" s="11" t="n">
        <f aca="false">Units!$E30*(1+Inputs!$B$7)^(U$2-1)</f>
        <v>2307.2</v>
      </c>
      <c r="V31" s="11" t="n">
        <f aca="false">Units!$E30*(1+Inputs!$B$7)^(V$2-1)</f>
        <v>2307.2</v>
      </c>
      <c r="W31" s="11" t="n">
        <f aca="false">Units!$E30*(1+Inputs!$B$7)^(W$2-1)</f>
        <v>2307.2</v>
      </c>
      <c r="X31" s="11" t="n">
        <f aca="false">Units!$E30*(1+Inputs!$B$7)^(X$2-1)</f>
        <v>2307.2</v>
      </c>
      <c r="Y31" s="11" t="n">
        <f aca="false">Units!$E30*(1+Inputs!$B$7)^(Y$2-1)</f>
        <v>2307.2</v>
      </c>
      <c r="Z31" s="11" t="n">
        <f aca="false">Units!$E30*(1+Inputs!$B$7)^(Z$2-1)</f>
        <v>2307.2</v>
      </c>
      <c r="AA31" s="11" t="n">
        <f aca="false">Units!$E30*(1+Inputs!$B$7)^(AA$2-1)</f>
        <v>2376.416</v>
      </c>
      <c r="AB31" s="11" t="n">
        <f aca="false">Units!$E30*(1+Inputs!$B$7)^(AB$2-1)</f>
        <v>2376.416</v>
      </c>
      <c r="AC31" s="11" t="n">
        <f aca="false">Units!$E30*(1+Inputs!$B$7)^(AC$2-1)</f>
        <v>2376.416</v>
      </c>
      <c r="AD31" s="11" t="n">
        <f aca="false">Units!$E30*(1+Inputs!$B$7)^(AD$2-1)</f>
        <v>2376.416</v>
      </c>
      <c r="AE31" s="11" t="n">
        <f aca="false">Units!$E30*(1+Inputs!$B$7)^(AE$2-1)</f>
        <v>2376.416</v>
      </c>
      <c r="AF31" s="11" t="n">
        <f aca="false">Units!$E30*(1+Inputs!$B$7)^(AF$2-1)</f>
        <v>2376.416</v>
      </c>
      <c r="AG31" s="11" t="n">
        <f aca="false">Units!$E30*(1+Inputs!$B$7)^(AG$2-1)</f>
        <v>2376.416</v>
      </c>
      <c r="AH31" s="11" t="n">
        <f aca="false">Units!$E30*(1+Inputs!$B$7)^(AH$2-1)</f>
        <v>2376.416</v>
      </c>
      <c r="AI31" s="11" t="n">
        <f aca="false">Units!$E30*(1+Inputs!$B$7)^(AI$2-1)</f>
        <v>2376.416</v>
      </c>
      <c r="AJ31" s="11" t="n">
        <f aca="false">Units!$E30*(1+Inputs!$B$7)^(AJ$2-1)</f>
        <v>2376.416</v>
      </c>
      <c r="AK31" s="11" t="n">
        <f aca="false">Units!$E30*(1+Inputs!$B$7)^(AK$2-1)</f>
        <v>2376.416</v>
      </c>
      <c r="AL31" s="11" t="n">
        <f aca="false">Units!$E30*(1+Inputs!$B$7)^(AL$2-1)</f>
        <v>2376.416</v>
      </c>
      <c r="AM31" s="11" t="n">
        <f aca="false">Units!$E30*(1+Inputs!$B$7)^(AM$2-1)</f>
        <v>2447.70848</v>
      </c>
      <c r="AN31" s="11" t="n">
        <f aca="false">Units!$E30*(1+Inputs!$B$7)^(AN$2-1)</f>
        <v>2447.70848</v>
      </c>
      <c r="AO31" s="11" t="n">
        <f aca="false">Units!$E30*(1+Inputs!$B$7)^(AO$2-1)</f>
        <v>2447.70848</v>
      </c>
      <c r="AP31" s="11" t="n">
        <f aca="false">Units!$E30*(1+Inputs!$B$7)^(AP$2-1)</f>
        <v>2447.70848</v>
      </c>
      <c r="AQ31" s="11" t="n">
        <f aca="false">Units!$E30*(1+Inputs!$B$7)^(AQ$2-1)</f>
        <v>2447.70848</v>
      </c>
      <c r="AR31" s="11" t="n">
        <f aca="false">Units!$E30*(1+Inputs!$B$7)^(AR$2-1)</f>
        <v>2447.70848</v>
      </c>
      <c r="AS31" s="11" t="n">
        <f aca="false">Units!$E30*(1+Inputs!$B$7)^(AS$2-1)</f>
        <v>2447.70848</v>
      </c>
      <c r="AT31" s="11" t="n">
        <f aca="false">Units!$E30*(1+Inputs!$B$7)^(AT$2-1)</f>
        <v>2447.70848</v>
      </c>
      <c r="AU31" s="11" t="n">
        <f aca="false">Units!$E30*(1+Inputs!$B$7)^(AU$2-1)</f>
        <v>2447.70848</v>
      </c>
      <c r="AV31" s="11" t="n">
        <f aca="false">Units!$E30*(1+Inputs!$B$7)^(AV$2-1)</f>
        <v>2447.70848</v>
      </c>
      <c r="AW31" s="11" t="n">
        <f aca="false">Units!$E30*(1+Inputs!$B$7)^(AW$2-1)</f>
        <v>2447.70848</v>
      </c>
      <c r="AX31" s="11" t="n">
        <f aca="false">Units!$E30*(1+Inputs!$B$7)^(AX$2-1)</f>
        <v>2447.70848</v>
      </c>
      <c r="AY31" s="11" t="n">
        <f aca="false">Units!$E30*(1+Inputs!$B$7)^(AY$2-1)</f>
        <v>2521.1397344</v>
      </c>
      <c r="AZ31" s="11" t="n">
        <f aca="false">Units!$E30*(1+Inputs!$B$7)^(AZ$2-1)</f>
        <v>2521.1397344</v>
      </c>
      <c r="BA31" s="11" t="n">
        <f aca="false">Units!$E30*(1+Inputs!$B$7)^(BA$2-1)</f>
        <v>2521.1397344</v>
      </c>
      <c r="BB31" s="11" t="n">
        <f aca="false">Units!$E30*(1+Inputs!$B$7)^(BB$2-1)</f>
        <v>2521.1397344</v>
      </c>
      <c r="BC31" s="11" t="n">
        <f aca="false">Units!$E30*(1+Inputs!$B$7)^(BC$2-1)</f>
        <v>2521.1397344</v>
      </c>
      <c r="BD31" s="11" t="n">
        <f aca="false">Units!$E30*(1+Inputs!$B$7)^(BD$2-1)</f>
        <v>2521.1397344</v>
      </c>
      <c r="BE31" s="11" t="n">
        <f aca="false">Units!$E30*(1+Inputs!$B$7)^(BE$2-1)</f>
        <v>2521.1397344</v>
      </c>
      <c r="BF31" s="11" t="n">
        <f aca="false">Units!$E30*(1+Inputs!$B$7)^(BF$2-1)</f>
        <v>2521.1397344</v>
      </c>
      <c r="BG31" s="11" t="n">
        <f aca="false">Units!$E30*(1+Inputs!$B$7)^(BG$2-1)</f>
        <v>2521.1397344</v>
      </c>
      <c r="BH31" s="11" t="n">
        <f aca="false">Units!$E30*(1+Inputs!$B$7)^(BH$2-1)</f>
        <v>2521.1397344</v>
      </c>
      <c r="BI31" s="11" t="n">
        <f aca="false">Units!$E30*(1+Inputs!$B$7)^(BI$2-1)</f>
        <v>2521.1397344</v>
      </c>
      <c r="BJ31" s="11" t="n">
        <f aca="false">Units!$E30*(1+Inputs!$B$7)^(BJ$2-1)</f>
        <v>2521.1397344</v>
      </c>
      <c r="BK31" s="11" t="n">
        <f aca="false">Units!$E30*(1+Inputs!$B$7)^(BK$2-1)</f>
        <v>2596.773926432</v>
      </c>
      <c r="BL31" s="11" t="n">
        <f aca="false">Units!$E30*(1+Inputs!$B$7)^(BL$2-1)</f>
        <v>2596.773926432</v>
      </c>
      <c r="BM31" s="11" t="n">
        <f aca="false">Units!$E30*(1+Inputs!$B$7)^(BM$2-1)</f>
        <v>2596.773926432</v>
      </c>
      <c r="BN31" s="11" t="n">
        <f aca="false">Units!$E30*(1+Inputs!$B$7)^(BN$2-1)</f>
        <v>2596.773926432</v>
      </c>
      <c r="BO31" s="11" t="n">
        <f aca="false">Units!$E30*(1+Inputs!$B$7)^(BO$2-1)</f>
        <v>2596.773926432</v>
      </c>
      <c r="BP31" s="11" t="n">
        <f aca="false">Units!$E30*(1+Inputs!$B$7)^(BP$2-1)</f>
        <v>2596.773926432</v>
      </c>
      <c r="BQ31" s="11" t="n">
        <f aca="false">Units!$E30*(1+Inputs!$B$7)^(BQ$2-1)</f>
        <v>2596.773926432</v>
      </c>
      <c r="BR31" s="11" t="n">
        <f aca="false">Units!$E30*(1+Inputs!$B$7)^(BR$2-1)</f>
        <v>2596.773926432</v>
      </c>
      <c r="BS31" s="11" t="n">
        <f aca="false">Units!$E30*(1+Inputs!$B$7)^(BS$2-1)</f>
        <v>2596.773926432</v>
      </c>
      <c r="BT31" s="11" t="n">
        <f aca="false">Units!$E30*(1+Inputs!$B$7)^(BT$2-1)</f>
        <v>2596.773926432</v>
      </c>
      <c r="BU31" s="11" t="n">
        <f aca="false">Units!$E30*(1+Inputs!$B$7)^(BU$2-1)</f>
        <v>2596.773926432</v>
      </c>
      <c r="BV31" s="11" t="n">
        <f aca="false">Units!$E30*(1+Inputs!$B$7)^(BV$2-1)</f>
        <v>2596.773926432</v>
      </c>
      <c r="BW31" s="11" t="n">
        <f aca="false">Units!$E30*(1+Inputs!$B$7)^(BW$2-1)</f>
        <v>2674.67714422496</v>
      </c>
      <c r="BX31" s="11" t="n">
        <f aca="false">Units!$E30*(1+Inputs!$B$7)^(BX$2-1)</f>
        <v>2674.67714422496</v>
      </c>
      <c r="BY31" s="11" t="n">
        <f aca="false">Units!$E30*(1+Inputs!$B$7)^(BY$2-1)</f>
        <v>2674.67714422496</v>
      </c>
      <c r="BZ31" s="11" t="n">
        <f aca="false">Units!$E30*(1+Inputs!$B$7)^(BZ$2-1)</f>
        <v>2674.67714422496</v>
      </c>
      <c r="CA31" s="11" t="n">
        <f aca="false">Units!$E30*(1+Inputs!$B$7)^(CA$2-1)</f>
        <v>2674.67714422496</v>
      </c>
      <c r="CB31" s="11" t="n">
        <f aca="false">Units!$E30*(1+Inputs!$B$7)^(CB$2-1)</f>
        <v>2674.67714422496</v>
      </c>
      <c r="CC31" s="11" t="n">
        <f aca="false">Units!$E30*(1+Inputs!$B$7)^(CC$2-1)</f>
        <v>2674.67714422496</v>
      </c>
      <c r="CD31" s="11" t="n">
        <f aca="false">Units!$E30*(1+Inputs!$B$7)^(CD$2-1)</f>
        <v>2674.67714422496</v>
      </c>
      <c r="CE31" s="11" t="n">
        <f aca="false">Units!$E30*(1+Inputs!$B$7)^(CE$2-1)</f>
        <v>2674.67714422496</v>
      </c>
      <c r="CF31" s="11" t="n">
        <f aca="false">Units!$E30*(1+Inputs!$B$7)^(CF$2-1)</f>
        <v>2674.67714422496</v>
      </c>
      <c r="CG31" s="11" t="n">
        <f aca="false">Units!$E30*(1+Inputs!$B$7)^(CG$2-1)</f>
        <v>2674.67714422496</v>
      </c>
      <c r="CH31" s="11" t="n">
        <f aca="false">Units!$E30*(1+Inputs!$B$7)^(CH$2-1)</f>
        <v>2674.67714422496</v>
      </c>
      <c r="CI31" s="11" t="n">
        <f aca="false">Units!$E30*(1+Inputs!$B$7)^(CI$2-1)</f>
        <v>2754.91745855171</v>
      </c>
      <c r="CJ31" s="11" t="n">
        <f aca="false">Units!$E30*(1+Inputs!$B$7)^(CJ$2-1)</f>
        <v>2754.91745855171</v>
      </c>
      <c r="CK31" s="11" t="n">
        <f aca="false">Units!$E30*(1+Inputs!$B$7)^(CK$2-1)</f>
        <v>2754.91745855171</v>
      </c>
      <c r="CL31" s="11" t="n">
        <f aca="false">Units!$E30*(1+Inputs!$B$7)^(CL$2-1)</f>
        <v>2754.91745855171</v>
      </c>
      <c r="CM31" s="11" t="n">
        <f aca="false">Units!$E30*(1+Inputs!$B$7)^(CM$2-1)</f>
        <v>2754.91745855171</v>
      </c>
      <c r="CN31" s="11" t="n">
        <f aca="false">Units!$E30*(1+Inputs!$B$7)^(CN$2-1)</f>
        <v>2754.91745855171</v>
      </c>
      <c r="CO31" s="11" t="n">
        <f aca="false">Units!$E30*(1+Inputs!$B$7)^(CO$2-1)</f>
        <v>2754.91745855171</v>
      </c>
      <c r="CP31" s="11" t="n">
        <f aca="false">Units!$E30*(1+Inputs!$B$7)^(CP$2-1)</f>
        <v>2754.91745855171</v>
      </c>
      <c r="CQ31" s="11" t="n">
        <f aca="false">Units!$E30*(1+Inputs!$B$7)^(CQ$2-1)</f>
        <v>2754.91745855171</v>
      </c>
      <c r="CR31" s="11" t="n">
        <f aca="false">Units!$E30*(1+Inputs!$B$7)^(CR$2-1)</f>
        <v>2754.91745855171</v>
      </c>
      <c r="CS31" s="11" t="n">
        <f aca="false">Units!$E30*(1+Inputs!$B$7)^(CS$2-1)</f>
        <v>2754.91745855171</v>
      </c>
      <c r="CT31" s="11" t="n">
        <f aca="false">Units!$E30*(1+Inputs!$B$7)^(CT$2-1)</f>
        <v>2754.91745855171</v>
      </c>
      <c r="CU31" s="11" t="n">
        <f aca="false">Units!$E30*(1+Inputs!$B$7)^(CU$2-1)</f>
        <v>2837.56498230826</v>
      </c>
      <c r="CV31" s="11" t="n">
        <f aca="false">Units!$E30*(1+Inputs!$B$7)^(CV$2-1)</f>
        <v>2837.56498230826</v>
      </c>
      <c r="CW31" s="11" t="n">
        <f aca="false">Units!$E30*(1+Inputs!$B$7)^(CW$2-1)</f>
        <v>2837.56498230826</v>
      </c>
      <c r="CX31" s="11" t="n">
        <f aca="false">Units!$E30*(1+Inputs!$B$7)^(CX$2-1)</f>
        <v>2837.56498230826</v>
      </c>
      <c r="CY31" s="11" t="n">
        <f aca="false">Units!$E30*(1+Inputs!$B$7)^(CY$2-1)</f>
        <v>2837.56498230826</v>
      </c>
      <c r="CZ31" s="11" t="n">
        <f aca="false">Units!$E30*(1+Inputs!$B$7)^(CZ$2-1)</f>
        <v>2837.56498230826</v>
      </c>
      <c r="DA31" s="11" t="n">
        <f aca="false">Units!$E30*(1+Inputs!$B$7)^(DA$2-1)</f>
        <v>2837.56498230826</v>
      </c>
      <c r="DB31" s="11" t="n">
        <f aca="false">Units!$E30*(1+Inputs!$B$7)^(DB$2-1)</f>
        <v>2837.56498230826</v>
      </c>
      <c r="DC31" s="11" t="n">
        <f aca="false">Units!$E30*(1+Inputs!$B$7)^(DC$2-1)</f>
        <v>2837.56498230826</v>
      </c>
      <c r="DD31" s="11" t="n">
        <f aca="false">Units!$E30*(1+Inputs!$B$7)^(DD$2-1)</f>
        <v>2837.56498230826</v>
      </c>
      <c r="DE31" s="11" t="n">
        <f aca="false">Units!$E30*(1+Inputs!$B$7)^(DE$2-1)</f>
        <v>2837.56498230826</v>
      </c>
      <c r="DF31" s="11" t="n">
        <f aca="false">Units!$E30*(1+Inputs!$B$7)^(DF$2-1)</f>
        <v>2837.56498230826</v>
      </c>
      <c r="DG31" s="11" t="n">
        <f aca="false">Units!$E30*(1+Inputs!$B$7)^(DG$2-1)</f>
        <v>2922.69193177751</v>
      </c>
      <c r="DH31" s="11" t="n">
        <f aca="false">Units!$E30*(1+Inputs!$B$7)^(DH$2-1)</f>
        <v>2922.69193177751</v>
      </c>
      <c r="DI31" s="11" t="n">
        <f aca="false">Units!$E30*(1+Inputs!$B$7)^(DI$2-1)</f>
        <v>2922.69193177751</v>
      </c>
      <c r="DJ31" s="11" t="n">
        <f aca="false">Units!$E30*(1+Inputs!$B$7)^(DJ$2-1)</f>
        <v>2922.69193177751</v>
      </c>
      <c r="DK31" s="11" t="n">
        <f aca="false">Units!$E30*(1+Inputs!$B$7)^(DK$2-1)</f>
        <v>2922.69193177751</v>
      </c>
      <c r="DL31" s="11" t="n">
        <f aca="false">Units!$E30*(1+Inputs!$B$7)^(DL$2-1)</f>
        <v>2922.69193177751</v>
      </c>
      <c r="DM31" s="11" t="n">
        <f aca="false">Units!$E30*(1+Inputs!$B$7)^(DM$2-1)</f>
        <v>2922.69193177751</v>
      </c>
      <c r="DN31" s="11" t="n">
        <f aca="false">Units!$E30*(1+Inputs!$B$7)^(DN$2-1)</f>
        <v>2922.69193177751</v>
      </c>
      <c r="DO31" s="11" t="n">
        <f aca="false">Units!$E30*(1+Inputs!$B$7)^(DO$2-1)</f>
        <v>2922.69193177751</v>
      </c>
      <c r="DP31" s="11" t="n">
        <f aca="false">Units!$E30*(1+Inputs!$B$7)^(DP$2-1)</f>
        <v>2922.69193177751</v>
      </c>
      <c r="DQ31" s="11" t="n">
        <f aca="false">Units!$E30*(1+Inputs!$B$7)^(DQ$2-1)</f>
        <v>2922.69193177751</v>
      </c>
      <c r="DR31" s="11" t="n">
        <f aca="false">Units!$E30*(1+Inputs!$B$7)^(DR$2-1)</f>
        <v>2922.69193177751</v>
      </c>
      <c r="DS31" s="11" t="n">
        <f aca="false">Units!$E30*(1+Inputs!$B$7)^(DS$2-1)</f>
        <v>3010.37268973083</v>
      </c>
      <c r="DT31" s="11" t="n">
        <f aca="false">Units!$E30*(1+Inputs!$B$7)^(DT$2-1)</f>
        <v>3010.37268973083</v>
      </c>
      <c r="DU31" s="11" t="n">
        <f aca="false">Units!$E30*(1+Inputs!$B$7)^(DU$2-1)</f>
        <v>3010.37268973083</v>
      </c>
      <c r="DV31" s="11" t="n">
        <f aca="false">Units!$E30*(1+Inputs!$B$7)^(DV$2-1)</f>
        <v>3010.37268973083</v>
      </c>
      <c r="DW31" s="11" t="n">
        <f aca="false">Units!$E30*(1+Inputs!$B$7)^(DW$2-1)</f>
        <v>3010.37268973083</v>
      </c>
      <c r="DX31" s="11" t="n">
        <f aca="false">Units!$E30*(1+Inputs!$B$7)^(DX$2-1)</f>
        <v>3010.37268973083</v>
      </c>
      <c r="DY31" s="11" t="n">
        <f aca="false">Units!$E30*(1+Inputs!$B$7)^(DY$2-1)</f>
        <v>3010.37268973083</v>
      </c>
      <c r="DZ31" s="11" t="n">
        <f aca="false">Units!$E30*(1+Inputs!$B$7)^(DZ$2-1)</f>
        <v>3010.37268973083</v>
      </c>
      <c r="EA31" s="11" t="n">
        <f aca="false">Units!$E30*(1+Inputs!$B$7)^(EA$2-1)</f>
        <v>3010.37268973083</v>
      </c>
      <c r="EB31" s="11" t="n">
        <f aca="false">Units!$E30*(1+Inputs!$B$7)^(EB$2-1)</f>
        <v>3010.37268973083</v>
      </c>
      <c r="EC31" s="11" t="n">
        <f aca="false">Units!$E30*(1+Inputs!$B$7)^(EC$2-1)</f>
        <v>3010.37268973083</v>
      </c>
      <c r="ED31" s="11" t="n">
        <f aca="false">Units!$E30*(1+Inputs!$B$7)^(ED$2-1)</f>
        <v>3010.37268973083</v>
      </c>
    </row>
    <row r="32" customFormat="false" ht="15" hidden="false" customHeight="false" outlineLevel="0" collapsed="false">
      <c r="A32" s="22" t="n">
        <f aca="false">Units!A31</f>
        <v>130</v>
      </c>
      <c r="B32" s="23"/>
      <c r="C32" s="11" t="n">
        <f aca="false">Units!$E31*(1+Inputs!$B$7)^(C$2-1)</f>
        <v>2240</v>
      </c>
      <c r="D32" s="11" t="n">
        <f aca="false">Units!$E31*(1+Inputs!$B$7)^(D$2-1)</f>
        <v>2240</v>
      </c>
      <c r="E32" s="11" t="n">
        <f aca="false">Units!$E31*(1+Inputs!$B$7)^(E$2-1)</f>
        <v>2240</v>
      </c>
      <c r="F32" s="11" t="n">
        <f aca="false">Units!$E31*(1+Inputs!$B$7)^(F$2-1)</f>
        <v>2240</v>
      </c>
      <c r="G32" s="11" t="n">
        <f aca="false">Units!$E31*(1+Inputs!$B$7)^(G$2-1)</f>
        <v>2240</v>
      </c>
      <c r="H32" s="11" t="n">
        <f aca="false">Units!$E31*(1+Inputs!$B$7)^(H$2-1)</f>
        <v>2240</v>
      </c>
      <c r="I32" s="11" t="n">
        <f aca="false">Units!$E31*(1+Inputs!$B$7)^(I$2-1)</f>
        <v>2240</v>
      </c>
      <c r="J32" s="11" t="n">
        <f aca="false">Units!$E31*(1+Inputs!$B$7)^(J$2-1)</f>
        <v>2240</v>
      </c>
      <c r="K32" s="11" t="n">
        <f aca="false">Units!$E31*(1+Inputs!$B$7)^(K$2-1)</f>
        <v>2240</v>
      </c>
      <c r="L32" s="11" t="n">
        <f aca="false">Units!$E31*(1+Inputs!$B$7)^(L$2-1)</f>
        <v>2240</v>
      </c>
      <c r="M32" s="11" t="n">
        <f aca="false">Units!$E31*(1+Inputs!$B$7)^(M$2-1)</f>
        <v>2240</v>
      </c>
      <c r="N32" s="11" t="n">
        <f aca="false">Units!$E31*(1+Inputs!$B$7)^(N$2-1)</f>
        <v>2240</v>
      </c>
      <c r="O32" s="11" t="n">
        <f aca="false">Units!$E31*(1+Inputs!$B$7)^(O$2-1)</f>
        <v>2307.2</v>
      </c>
      <c r="P32" s="11" t="n">
        <f aca="false">Units!$E31*(1+Inputs!$B$7)^(P$2-1)</f>
        <v>2307.2</v>
      </c>
      <c r="Q32" s="11" t="n">
        <f aca="false">Units!$E31*(1+Inputs!$B$7)^(Q$2-1)</f>
        <v>2307.2</v>
      </c>
      <c r="R32" s="11" t="n">
        <f aca="false">Units!$E31*(1+Inputs!$B$7)^(R$2-1)</f>
        <v>2307.2</v>
      </c>
      <c r="S32" s="11" t="n">
        <f aca="false">Units!$E31*(1+Inputs!$B$7)^(S$2-1)</f>
        <v>2307.2</v>
      </c>
      <c r="T32" s="11" t="n">
        <f aca="false">Units!$E31*(1+Inputs!$B$7)^(T$2-1)</f>
        <v>2307.2</v>
      </c>
      <c r="U32" s="11" t="n">
        <f aca="false">Units!$E31*(1+Inputs!$B$7)^(U$2-1)</f>
        <v>2307.2</v>
      </c>
      <c r="V32" s="11" t="n">
        <f aca="false">Units!$E31*(1+Inputs!$B$7)^(V$2-1)</f>
        <v>2307.2</v>
      </c>
      <c r="W32" s="11" t="n">
        <f aca="false">Units!$E31*(1+Inputs!$B$7)^(W$2-1)</f>
        <v>2307.2</v>
      </c>
      <c r="X32" s="11" t="n">
        <f aca="false">Units!$E31*(1+Inputs!$B$7)^(X$2-1)</f>
        <v>2307.2</v>
      </c>
      <c r="Y32" s="11" t="n">
        <f aca="false">Units!$E31*(1+Inputs!$B$7)^(Y$2-1)</f>
        <v>2307.2</v>
      </c>
      <c r="Z32" s="11" t="n">
        <f aca="false">Units!$E31*(1+Inputs!$B$7)^(Z$2-1)</f>
        <v>2307.2</v>
      </c>
      <c r="AA32" s="11" t="n">
        <f aca="false">Units!$E31*(1+Inputs!$B$7)^(AA$2-1)</f>
        <v>2376.416</v>
      </c>
      <c r="AB32" s="11" t="n">
        <f aca="false">Units!$E31*(1+Inputs!$B$7)^(AB$2-1)</f>
        <v>2376.416</v>
      </c>
      <c r="AC32" s="11" t="n">
        <f aca="false">Units!$E31*(1+Inputs!$B$7)^(AC$2-1)</f>
        <v>2376.416</v>
      </c>
      <c r="AD32" s="11" t="n">
        <f aca="false">Units!$E31*(1+Inputs!$B$7)^(AD$2-1)</f>
        <v>2376.416</v>
      </c>
      <c r="AE32" s="11" t="n">
        <f aca="false">Units!$E31*(1+Inputs!$B$7)^(AE$2-1)</f>
        <v>2376.416</v>
      </c>
      <c r="AF32" s="11" t="n">
        <f aca="false">Units!$E31*(1+Inputs!$B$7)^(AF$2-1)</f>
        <v>2376.416</v>
      </c>
      <c r="AG32" s="11" t="n">
        <f aca="false">Units!$E31*(1+Inputs!$B$7)^(AG$2-1)</f>
        <v>2376.416</v>
      </c>
      <c r="AH32" s="11" t="n">
        <f aca="false">Units!$E31*(1+Inputs!$B$7)^(AH$2-1)</f>
        <v>2376.416</v>
      </c>
      <c r="AI32" s="11" t="n">
        <f aca="false">Units!$E31*(1+Inputs!$B$7)^(AI$2-1)</f>
        <v>2376.416</v>
      </c>
      <c r="AJ32" s="11" t="n">
        <f aca="false">Units!$E31*(1+Inputs!$B$7)^(AJ$2-1)</f>
        <v>2376.416</v>
      </c>
      <c r="AK32" s="11" t="n">
        <f aca="false">Units!$E31*(1+Inputs!$B$7)^(AK$2-1)</f>
        <v>2376.416</v>
      </c>
      <c r="AL32" s="11" t="n">
        <f aca="false">Units!$E31*(1+Inputs!$B$7)^(AL$2-1)</f>
        <v>2376.416</v>
      </c>
      <c r="AM32" s="11" t="n">
        <f aca="false">Units!$E31*(1+Inputs!$B$7)^(AM$2-1)</f>
        <v>2447.70848</v>
      </c>
      <c r="AN32" s="11" t="n">
        <f aca="false">Units!$E31*(1+Inputs!$B$7)^(AN$2-1)</f>
        <v>2447.70848</v>
      </c>
      <c r="AO32" s="11" t="n">
        <f aca="false">Units!$E31*(1+Inputs!$B$7)^(AO$2-1)</f>
        <v>2447.70848</v>
      </c>
      <c r="AP32" s="11" t="n">
        <f aca="false">Units!$E31*(1+Inputs!$B$7)^(AP$2-1)</f>
        <v>2447.70848</v>
      </c>
      <c r="AQ32" s="11" t="n">
        <f aca="false">Units!$E31*(1+Inputs!$B$7)^(AQ$2-1)</f>
        <v>2447.70848</v>
      </c>
      <c r="AR32" s="11" t="n">
        <f aca="false">Units!$E31*(1+Inputs!$B$7)^(AR$2-1)</f>
        <v>2447.70848</v>
      </c>
      <c r="AS32" s="11" t="n">
        <f aca="false">Units!$E31*(1+Inputs!$B$7)^(AS$2-1)</f>
        <v>2447.70848</v>
      </c>
      <c r="AT32" s="11" t="n">
        <f aca="false">Units!$E31*(1+Inputs!$B$7)^(AT$2-1)</f>
        <v>2447.70848</v>
      </c>
      <c r="AU32" s="11" t="n">
        <f aca="false">Units!$E31*(1+Inputs!$B$7)^(AU$2-1)</f>
        <v>2447.70848</v>
      </c>
      <c r="AV32" s="11" t="n">
        <f aca="false">Units!$E31*(1+Inputs!$B$7)^(AV$2-1)</f>
        <v>2447.70848</v>
      </c>
      <c r="AW32" s="11" t="n">
        <f aca="false">Units!$E31*(1+Inputs!$B$7)^(AW$2-1)</f>
        <v>2447.70848</v>
      </c>
      <c r="AX32" s="11" t="n">
        <f aca="false">Units!$E31*(1+Inputs!$B$7)^(AX$2-1)</f>
        <v>2447.70848</v>
      </c>
      <c r="AY32" s="11" t="n">
        <f aca="false">Units!$E31*(1+Inputs!$B$7)^(AY$2-1)</f>
        <v>2521.1397344</v>
      </c>
      <c r="AZ32" s="11" t="n">
        <f aca="false">Units!$E31*(1+Inputs!$B$7)^(AZ$2-1)</f>
        <v>2521.1397344</v>
      </c>
      <c r="BA32" s="11" t="n">
        <f aca="false">Units!$E31*(1+Inputs!$B$7)^(BA$2-1)</f>
        <v>2521.1397344</v>
      </c>
      <c r="BB32" s="11" t="n">
        <f aca="false">Units!$E31*(1+Inputs!$B$7)^(BB$2-1)</f>
        <v>2521.1397344</v>
      </c>
      <c r="BC32" s="11" t="n">
        <f aca="false">Units!$E31*(1+Inputs!$B$7)^(BC$2-1)</f>
        <v>2521.1397344</v>
      </c>
      <c r="BD32" s="11" t="n">
        <f aca="false">Units!$E31*(1+Inputs!$B$7)^(BD$2-1)</f>
        <v>2521.1397344</v>
      </c>
      <c r="BE32" s="11" t="n">
        <f aca="false">Units!$E31*(1+Inputs!$B$7)^(BE$2-1)</f>
        <v>2521.1397344</v>
      </c>
      <c r="BF32" s="11" t="n">
        <f aca="false">Units!$E31*(1+Inputs!$B$7)^(BF$2-1)</f>
        <v>2521.1397344</v>
      </c>
      <c r="BG32" s="11" t="n">
        <f aca="false">Units!$E31*(1+Inputs!$B$7)^(BG$2-1)</f>
        <v>2521.1397344</v>
      </c>
      <c r="BH32" s="11" t="n">
        <f aca="false">Units!$E31*(1+Inputs!$B$7)^(BH$2-1)</f>
        <v>2521.1397344</v>
      </c>
      <c r="BI32" s="11" t="n">
        <f aca="false">Units!$E31*(1+Inputs!$B$7)^(BI$2-1)</f>
        <v>2521.1397344</v>
      </c>
      <c r="BJ32" s="11" t="n">
        <f aca="false">Units!$E31*(1+Inputs!$B$7)^(BJ$2-1)</f>
        <v>2521.1397344</v>
      </c>
      <c r="BK32" s="11" t="n">
        <f aca="false">Units!$E31*(1+Inputs!$B$7)^(BK$2-1)</f>
        <v>2596.773926432</v>
      </c>
      <c r="BL32" s="11" t="n">
        <f aca="false">Units!$E31*(1+Inputs!$B$7)^(BL$2-1)</f>
        <v>2596.773926432</v>
      </c>
      <c r="BM32" s="11" t="n">
        <f aca="false">Units!$E31*(1+Inputs!$B$7)^(BM$2-1)</f>
        <v>2596.773926432</v>
      </c>
      <c r="BN32" s="11" t="n">
        <f aca="false">Units!$E31*(1+Inputs!$B$7)^(BN$2-1)</f>
        <v>2596.773926432</v>
      </c>
      <c r="BO32" s="11" t="n">
        <f aca="false">Units!$E31*(1+Inputs!$B$7)^(BO$2-1)</f>
        <v>2596.773926432</v>
      </c>
      <c r="BP32" s="11" t="n">
        <f aca="false">Units!$E31*(1+Inputs!$B$7)^(BP$2-1)</f>
        <v>2596.773926432</v>
      </c>
      <c r="BQ32" s="11" t="n">
        <f aca="false">Units!$E31*(1+Inputs!$B$7)^(BQ$2-1)</f>
        <v>2596.773926432</v>
      </c>
      <c r="BR32" s="11" t="n">
        <f aca="false">Units!$E31*(1+Inputs!$B$7)^(BR$2-1)</f>
        <v>2596.773926432</v>
      </c>
      <c r="BS32" s="11" t="n">
        <f aca="false">Units!$E31*(1+Inputs!$B$7)^(BS$2-1)</f>
        <v>2596.773926432</v>
      </c>
      <c r="BT32" s="11" t="n">
        <f aca="false">Units!$E31*(1+Inputs!$B$7)^(BT$2-1)</f>
        <v>2596.773926432</v>
      </c>
      <c r="BU32" s="11" t="n">
        <f aca="false">Units!$E31*(1+Inputs!$B$7)^(BU$2-1)</f>
        <v>2596.773926432</v>
      </c>
      <c r="BV32" s="11" t="n">
        <f aca="false">Units!$E31*(1+Inputs!$B$7)^(BV$2-1)</f>
        <v>2596.773926432</v>
      </c>
      <c r="BW32" s="11" t="n">
        <f aca="false">Units!$E31*(1+Inputs!$B$7)^(BW$2-1)</f>
        <v>2674.67714422496</v>
      </c>
      <c r="BX32" s="11" t="n">
        <f aca="false">Units!$E31*(1+Inputs!$B$7)^(BX$2-1)</f>
        <v>2674.67714422496</v>
      </c>
      <c r="BY32" s="11" t="n">
        <f aca="false">Units!$E31*(1+Inputs!$B$7)^(BY$2-1)</f>
        <v>2674.67714422496</v>
      </c>
      <c r="BZ32" s="11" t="n">
        <f aca="false">Units!$E31*(1+Inputs!$B$7)^(BZ$2-1)</f>
        <v>2674.67714422496</v>
      </c>
      <c r="CA32" s="11" t="n">
        <f aca="false">Units!$E31*(1+Inputs!$B$7)^(CA$2-1)</f>
        <v>2674.67714422496</v>
      </c>
      <c r="CB32" s="11" t="n">
        <f aca="false">Units!$E31*(1+Inputs!$B$7)^(CB$2-1)</f>
        <v>2674.67714422496</v>
      </c>
      <c r="CC32" s="11" t="n">
        <f aca="false">Units!$E31*(1+Inputs!$B$7)^(CC$2-1)</f>
        <v>2674.67714422496</v>
      </c>
      <c r="CD32" s="11" t="n">
        <f aca="false">Units!$E31*(1+Inputs!$B$7)^(CD$2-1)</f>
        <v>2674.67714422496</v>
      </c>
      <c r="CE32" s="11" t="n">
        <f aca="false">Units!$E31*(1+Inputs!$B$7)^(CE$2-1)</f>
        <v>2674.67714422496</v>
      </c>
      <c r="CF32" s="11" t="n">
        <f aca="false">Units!$E31*(1+Inputs!$B$7)^(CF$2-1)</f>
        <v>2674.67714422496</v>
      </c>
      <c r="CG32" s="11" t="n">
        <f aca="false">Units!$E31*(1+Inputs!$B$7)^(CG$2-1)</f>
        <v>2674.67714422496</v>
      </c>
      <c r="CH32" s="11" t="n">
        <f aca="false">Units!$E31*(1+Inputs!$B$7)^(CH$2-1)</f>
        <v>2674.67714422496</v>
      </c>
      <c r="CI32" s="11" t="n">
        <f aca="false">Units!$E31*(1+Inputs!$B$7)^(CI$2-1)</f>
        <v>2754.91745855171</v>
      </c>
      <c r="CJ32" s="11" t="n">
        <f aca="false">Units!$E31*(1+Inputs!$B$7)^(CJ$2-1)</f>
        <v>2754.91745855171</v>
      </c>
      <c r="CK32" s="11" t="n">
        <f aca="false">Units!$E31*(1+Inputs!$B$7)^(CK$2-1)</f>
        <v>2754.91745855171</v>
      </c>
      <c r="CL32" s="11" t="n">
        <f aca="false">Units!$E31*(1+Inputs!$B$7)^(CL$2-1)</f>
        <v>2754.91745855171</v>
      </c>
      <c r="CM32" s="11" t="n">
        <f aca="false">Units!$E31*(1+Inputs!$B$7)^(CM$2-1)</f>
        <v>2754.91745855171</v>
      </c>
      <c r="CN32" s="11" t="n">
        <f aca="false">Units!$E31*(1+Inputs!$B$7)^(CN$2-1)</f>
        <v>2754.91745855171</v>
      </c>
      <c r="CO32" s="11" t="n">
        <f aca="false">Units!$E31*(1+Inputs!$B$7)^(CO$2-1)</f>
        <v>2754.91745855171</v>
      </c>
      <c r="CP32" s="11" t="n">
        <f aca="false">Units!$E31*(1+Inputs!$B$7)^(CP$2-1)</f>
        <v>2754.91745855171</v>
      </c>
      <c r="CQ32" s="11" t="n">
        <f aca="false">Units!$E31*(1+Inputs!$B$7)^(CQ$2-1)</f>
        <v>2754.91745855171</v>
      </c>
      <c r="CR32" s="11" t="n">
        <f aca="false">Units!$E31*(1+Inputs!$B$7)^(CR$2-1)</f>
        <v>2754.91745855171</v>
      </c>
      <c r="CS32" s="11" t="n">
        <f aca="false">Units!$E31*(1+Inputs!$B$7)^(CS$2-1)</f>
        <v>2754.91745855171</v>
      </c>
      <c r="CT32" s="11" t="n">
        <f aca="false">Units!$E31*(1+Inputs!$B$7)^(CT$2-1)</f>
        <v>2754.91745855171</v>
      </c>
      <c r="CU32" s="11" t="n">
        <f aca="false">Units!$E31*(1+Inputs!$B$7)^(CU$2-1)</f>
        <v>2837.56498230826</v>
      </c>
      <c r="CV32" s="11" t="n">
        <f aca="false">Units!$E31*(1+Inputs!$B$7)^(CV$2-1)</f>
        <v>2837.56498230826</v>
      </c>
      <c r="CW32" s="11" t="n">
        <f aca="false">Units!$E31*(1+Inputs!$B$7)^(CW$2-1)</f>
        <v>2837.56498230826</v>
      </c>
      <c r="CX32" s="11" t="n">
        <f aca="false">Units!$E31*(1+Inputs!$B$7)^(CX$2-1)</f>
        <v>2837.56498230826</v>
      </c>
      <c r="CY32" s="11" t="n">
        <f aca="false">Units!$E31*(1+Inputs!$B$7)^(CY$2-1)</f>
        <v>2837.56498230826</v>
      </c>
      <c r="CZ32" s="11" t="n">
        <f aca="false">Units!$E31*(1+Inputs!$B$7)^(CZ$2-1)</f>
        <v>2837.56498230826</v>
      </c>
      <c r="DA32" s="11" t="n">
        <f aca="false">Units!$E31*(1+Inputs!$B$7)^(DA$2-1)</f>
        <v>2837.56498230826</v>
      </c>
      <c r="DB32" s="11" t="n">
        <f aca="false">Units!$E31*(1+Inputs!$B$7)^(DB$2-1)</f>
        <v>2837.56498230826</v>
      </c>
      <c r="DC32" s="11" t="n">
        <f aca="false">Units!$E31*(1+Inputs!$B$7)^(DC$2-1)</f>
        <v>2837.56498230826</v>
      </c>
      <c r="DD32" s="11" t="n">
        <f aca="false">Units!$E31*(1+Inputs!$B$7)^(DD$2-1)</f>
        <v>2837.56498230826</v>
      </c>
      <c r="DE32" s="11" t="n">
        <f aca="false">Units!$E31*(1+Inputs!$B$7)^(DE$2-1)</f>
        <v>2837.56498230826</v>
      </c>
      <c r="DF32" s="11" t="n">
        <f aca="false">Units!$E31*(1+Inputs!$B$7)^(DF$2-1)</f>
        <v>2837.56498230826</v>
      </c>
      <c r="DG32" s="11" t="n">
        <f aca="false">Units!$E31*(1+Inputs!$B$7)^(DG$2-1)</f>
        <v>2922.69193177751</v>
      </c>
      <c r="DH32" s="11" t="n">
        <f aca="false">Units!$E31*(1+Inputs!$B$7)^(DH$2-1)</f>
        <v>2922.69193177751</v>
      </c>
      <c r="DI32" s="11" t="n">
        <f aca="false">Units!$E31*(1+Inputs!$B$7)^(DI$2-1)</f>
        <v>2922.69193177751</v>
      </c>
      <c r="DJ32" s="11" t="n">
        <f aca="false">Units!$E31*(1+Inputs!$B$7)^(DJ$2-1)</f>
        <v>2922.69193177751</v>
      </c>
      <c r="DK32" s="11" t="n">
        <f aca="false">Units!$E31*(1+Inputs!$B$7)^(DK$2-1)</f>
        <v>2922.69193177751</v>
      </c>
      <c r="DL32" s="11" t="n">
        <f aca="false">Units!$E31*(1+Inputs!$B$7)^(DL$2-1)</f>
        <v>2922.69193177751</v>
      </c>
      <c r="DM32" s="11" t="n">
        <f aca="false">Units!$E31*(1+Inputs!$B$7)^(DM$2-1)</f>
        <v>2922.69193177751</v>
      </c>
      <c r="DN32" s="11" t="n">
        <f aca="false">Units!$E31*(1+Inputs!$B$7)^(DN$2-1)</f>
        <v>2922.69193177751</v>
      </c>
      <c r="DO32" s="11" t="n">
        <f aca="false">Units!$E31*(1+Inputs!$B$7)^(DO$2-1)</f>
        <v>2922.69193177751</v>
      </c>
      <c r="DP32" s="11" t="n">
        <f aca="false">Units!$E31*(1+Inputs!$B$7)^(DP$2-1)</f>
        <v>2922.69193177751</v>
      </c>
      <c r="DQ32" s="11" t="n">
        <f aca="false">Units!$E31*(1+Inputs!$B$7)^(DQ$2-1)</f>
        <v>2922.69193177751</v>
      </c>
      <c r="DR32" s="11" t="n">
        <f aca="false">Units!$E31*(1+Inputs!$B$7)^(DR$2-1)</f>
        <v>2922.69193177751</v>
      </c>
      <c r="DS32" s="11" t="n">
        <f aca="false">Units!$E31*(1+Inputs!$B$7)^(DS$2-1)</f>
        <v>3010.37268973083</v>
      </c>
      <c r="DT32" s="11" t="n">
        <f aca="false">Units!$E31*(1+Inputs!$B$7)^(DT$2-1)</f>
        <v>3010.37268973083</v>
      </c>
      <c r="DU32" s="11" t="n">
        <f aca="false">Units!$E31*(1+Inputs!$B$7)^(DU$2-1)</f>
        <v>3010.37268973083</v>
      </c>
      <c r="DV32" s="11" t="n">
        <f aca="false">Units!$E31*(1+Inputs!$B$7)^(DV$2-1)</f>
        <v>3010.37268973083</v>
      </c>
      <c r="DW32" s="11" t="n">
        <f aca="false">Units!$E31*(1+Inputs!$B$7)^(DW$2-1)</f>
        <v>3010.37268973083</v>
      </c>
      <c r="DX32" s="11" t="n">
        <f aca="false">Units!$E31*(1+Inputs!$B$7)^(DX$2-1)</f>
        <v>3010.37268973083</v>
      </c>
      <c r="DY32" s="11" t="n">
        <f aca="false">Units!$E31*(1+Inputs!$B$7)^(DY$2-1)</f>
        <v>3010.37268973083</v>
      </c>
      <c r="DZ32" s="11" t="n">
        <f aca="false">Units!$E31*(1+Inputs!$B$7)^(DZ$2-1)</f>
        <v>3010.37268973083</v>
      </c>
      <c r="EA32" s="11" t="n">
        <f aca="false">Units!$E31*(1+Inputs!$B$7)^(EA$2-1)</f>
        <v>3010.37268973083</v>
      </c>
      <c r="EB32" s="11" t="n">
        <f aca="false">Units!$E31*(1+Inputs!$B$7)^(EB$2-1)</f>
        <v>3010.37268973083</v>
      </c>
      <c r="EC32" s="11" t="n">
        <f aca="false">Units!$E31*(1+Inputs!$B$7)^(EC$2-1)</f>
        <v>3010.37268973083</v>
      </c>
      <c r="ED32" s="11" t="n">
        <f aca="false">Units!$E31*(1+Inputs!$B$7)^(ED$2-1)</f>
        <v>3010.37268973083</v>
      </c>
    </row>
    <row r="33" customFormat="false" ht="15" hidden="false" customHeight="false" outlineLevel="0" collapsed="false">
      <c r="A33" s="22" t="n">
        <f aca="false">Units!A32</f>
        <v>201</v>
      </c>
      <c r="B33" s="23"/>
      <c r="C33" s="11" t="n">
        <f aca="false">Units!$E32*(1+Inputs!$B$7)^(C$2-1)</f>
        <v>1525</v>
      </c>
      <c r="D33" s="11" t="n">
        <f aca="false">Units!$E32*(1+Inputs!$B$7)^(D$2-1)</f>
        <v>1525</v>
      </c>
      <c r="E33" s="11" t="n">
        <f aca="false">Units!$E32*(1+Inputs!$B$7)^(E$2-1)</f>
        <v>1525</v>
      </c>
      <c r="F33" s="11" t="n">
        <f aca="false">Units!$E32*(1+Inputs!$B$7)^(F$2-1)</f>
        <v>1525</v>
      </c>
      <c r="G33" s="11" t="n">
        <f aca="false">Units!$E32*(1+Inputs!$B$7)^(G$2-1)</f>
        <v>1525</v>
      </c>
      <c r="H33" s="11" t="n">
        <f aca="false">Units!$E32*(1+Inputs!$B$7)^(H$2-1)</f>
        <v>1525</v>
      </c>
      <c r="I33" s="11" t="n">
        <f aca="false">Units!$E32*(1+Inputs!$B$7)^(I$2-1)</f>
        <v>1525</v>
      </c>
      <c r="J33" s="11" t="n">
        <f aca="false">Units!$E32*(1+Inputs!$B$7)^(J$2-1)</f>
        <v>1525</v>
      </c>
      <c r="K33" s="11" t="n">
        <f aca="false">Units!$E32*(1+Inputs!$B$7)^(K$2-1)</f>
        <v>1525</v>
      </c>
      <c r="L33" s="11" t="n">
        <f aca="false">Units!$E32*(1+Inputs!$B$7)^(L$2-1)</f>
        <v>1525</v>
      </c>
      <c r="M33" s="11" t="n">
        <f aca="false">Units!$E32*(1+Inputs!$B$7)^(M$2-1)</f>
        <v>1525</v>
      </c>
      <c r="N33" s="11" t="n">
        <f aca="false">Units!$E32*(1+Inputs!$B$7)^(N$2-1)</f>
        <v>1525</v>
      </c>
      <c r="O33" s="11" t="n">
        <f aca="false">Units!$E32*(1+Inputs!$B$7)^(O$2-1)</f>
        <v>1570.75</v>
      </c>
      <c r="P33" s="11" t="n">
        <f aca="false">Units!$E32*(1+Inputs!$B$7)^(P$2-1)</f>
        <v>1570.75</v>
      </c>
      <c r="Q33" s="11" t="n">
        <f aca="false">Units!$E32*(1+Inputs!$B$7)^(Q$2-1)</f>
        <v>1570.75</v>
      </c>
      <c r="R33" s="11" t="n">
        <f aca="false">Units!$E32*(1+Inputs!$B$7)^(R$2-1)</f>
        <v>1570.75</v>
      </c>
      <c r="S33" s="11" t="n">
        <f aca="false">Units!$E32*(1+Inputs!$B$7)^(S$2-1)</f>
        <v>1570.75</v>
      </c>
      <c r="T33" s="11" t="n">
        <f aca="false">Units!$E32*(1+Inputs!$B$7)^(T$2-1)</f>
        <v>1570.75</v>
      </c>
      <c r="U33" s="11" t="n">
        <f aca="false">Units!$E32*(1+Inputs!$B$7)^(U$2-1)</f>
        <v>1570.75</v>
      </c>
      <c r="V33" s="11" t="n">
        <f aca="false">Units!$E32*(1+Inputs!$B$7)^(V$2-1)</f>
        <v>1570.75</v>
      </c>
      <c r="W33" s="11" t="n">
        <f aca="false">Units!$E32*(1+Inputs!$B$7)^(W$2-1)</f>
        <v>1570.75</v>
      </c>
      <c r="X33" s="11" t="n">
        <f aca="false">Units!$E32*(1+Inputs!$B$7)^(X$2-1)</f>
        <v>1570.75</v>
      </c>
      <c r="Y33" s="11" t="n">
        <f aca="false">Units!$E32*(1+Inputs!$B$7)^(Y$2-1)</f>
        <v>1570.75</v>
      </c>
      <c r="Z33" s="11" t="n">
        <f aca="false">Units!$E32*(1+Inputs!$B$7)^(Z$2-1)</f>
        <v>1570.75</v>
      </c>
      <c r="AA33" s="11" t="n">
        <f aca="false">Units!$E32*(1+Inputs!$B$7)^(AA$2-1)</f>
        <v>1617.8725</v>
      </c>
      <c r="AB33" s="11" t="n">
        <f aca="false">Units!$E32*(1+Inputs!$B$7)^(AB$2-1)</f>
        <v>1617.8725</v>
      </c>
      <c r="AC33" s="11" t="n">
        <f aca="false">Units!$E32*(1+Inputs!$B$7)^(AC$2-1)</f>
        <v>1617.8725</v>
      </c>
      <c r="AD33" s="11" t="n">
        <f aca="false">Units!$E32*(1+Inputs!$B$7)^(AD$2-1)</f>
        <v>1617.8725</v>
      </c>
      <c r="AE33" s="11" t="n">
        <f aca="false">Units!$E32*(1+Inputs!$B$7)^(AE$2-1)</f>
        <v>1617.8725</v>
      </c>
      <c r="AF33" s="11" t="n">
        <f aca="false">Units!$E32*(1+Inputs!$B$7)^(AF$2-1)</f>
        <v>1617.8725</v>
      </c>
      <c r="AG33" s="11" t="n">
        <f aca="false">Units!$E32*(1+Inputs!$B$7)^(AG$2-1)</f>
        <v>1617.8725</v>
      </c>
      <c r="AH33" s="11" t="n">
        <f aca="false">Units!$E32*(1+Inputs!$B$7)^(AH$2-1)</f>
        <v>1617.8725</v>
      </c>
      <c r="AI33" s="11" t="n">
        <f aca="false">Units!$E32*(1+Inputs!$B$7)^(AI$2-1)</f>
        <v>1617.8725</v>
      </c>
      <c r="AJ33" s="11" t="n">
        <f aca="false">Units!$E32*(1+Inputs!$B$7)^(AJ$2-1)</f>
        <v>1617.8725</v>
      </c>
      <c r="AK33" s="11" t="n">
        <f aca="false">Units!$E32*(1+Inputs!$B$7)^(AK$2-1)</f>
        <v>1617.8725</v>
      </c>
      <c r="AL33" s="11" t="n">
        <f aca="false">Units!$E32*(1+Inputs!$B$7)^(AL$2-1)</f>
        <v>1617.8725</v>
      </c>
      <c r="AM33" s="11" t="n">
        <f aca="false">Units!$E32*(1+Inputs!$B$7)^(AM$2-1)</f>
        <v>1666.408675</v>
      </c>
      <c r="AN33" s="11" t="n">
        <f aca="false">Units!$E32*(1+Inputs!$B$7)^(AN$2-1)</f>
        <v>1666.408675</v>
      </c>
      <c r="AO33" s="11" t="n">
        <f aca="false">Units!$E32*(1+Inputs!$B$7)^(AO$2-1)</f>
        <v>1666.408675</v>
      </c>
      <c r="AP33" s="11" t="n">
        <f aca="false">Units!$E32*(1+Inputs!$B$7)^(AP$2-1)</f>
        <v>1666.408675</v>
      </c>
      <c r="AQ33" s="11" t="n">
        <f aca="false">Units!$E32*(1+Inputs!$B$7)^(AQ$2-1)</f>
        <v>1666.408675</v>
      </c>
      <c r="AR33" s="11" t="n">
        <f aca="false">Units!$E32*(1+Inputs!$B$7)^(AR$2-1)</f>
        <v>1666.408675</v>
      </c>
      <c r="AS33" s="11" t="n">
        <f aca="false">Units!$E32*(1+Inputs!$B$7)^(AS$2-1)</f>
        <v>1666.408675</v>
      </c>
      <c r="AT33" s="11" t="n">
        <f aca="false">Units!$E32*(1+Inputs!$B$7)^(AT$2-1)</f>
        <v>1666.408675</v>
      </c>
      <c r="AU33" s="11" t="n">
        <f aca="false">Units!$E32*(1+Inputs!$B$7)^(AU$2-1)</f>
        <v>1666.408675</v>
      </c>
      <c r="AV33" s="11" t="n">
        <f aca="false">Units!$E32*(1+Inputs!$B$7)^(AV$2-1)</f>
        <v>1666.408675</v>
      </c>
      <c r="AW33" s="11" t="n">
        <f aca="false">Units!$E32*(1+Inputs!$B$7)^(AW$2-1)</f>
        <v>1666.408675</v>
      </c>
      <c r="AX33" s="11" t="n">
        <f aca="false">Units!$E32*(1+Inputs!$B$7)^(AX$2-1)</f>
        <v>1666.408675</v>
      </c>
      <c r="AY33" s="11" t="n">
        <f aca="false">Units!$E32*(1+Inputs!$B$7)^(AY$2-1)</f>
        <v>1716.40093525</v>
      </c>
      <c r="AZ33" s="11" t="n">
        <f aca="false">Units!$E32*(1+Inputs!$B$7)^(AZ$2-1)</f>
        <v>1716.40093525</v>
      </c>
      <c r="BA33" s="11" t="n">
        <f aca="false">Units!$E32*(1+Inputs!$B$7)^(BA$2-1)</f>
        <v>1716.40093525</v>
      </c>
      <c r="BB33" s="11" t="n">
        <f aca="false">Units!$E32*(1+Inputs!$B$7)^(BB$2-1)</f>
        <v>1716.40093525</v>
      </c>
      <c r="BC33" s="11" t="n">
        <f aca="false">Units!$E32*(1+Inputs!$B$7)^(BC$2-1)</f>
        <v>1716.40093525</v>
      </c>
      <c r="BD33" s="11" t="n">
        <f aca="false">Units!$E32*(1+Inputs!$B$7)^(BD$2-1)</f>
        <v>1716.40093525</v>
      </c>
      <c r="BE33" s="11" t="n">
        <f aca="false">Units!$E32*(1+Inputs!$B$7)^(BE$2-1)</f>
        <v>1716.40093525</v>
      </c>
      <c r="BF33" s="11" t="n">
        <f aca="false">Units!$E32*(1+Inputs!$B$7)^(BF$2-1)</f>
        <v>1716.40093525</v>
      </c>
      <c r="BG33" s="11" t="n">
        <f aca="false">Units!$E32*(1+Inputs!$B$7)^(BG$2-1)</f>
        <v>1716.40093525</v>
      </c>
      <c r="BH33" s="11" t="n">
        <f aca="false">Units!$E32*(1+Inputs!$B$7)^(BH$2-1)</f>
        <v>1716.40093525</v>
      </c>
      <c r="BI33" s="11" t="n">
        <f aca="false">Units!$E32*(1+Inputs!$B$7)^(BI$2-1)</f>
        <v>1716.40093525</v>
      </c>
      <c r="BJ33" s="11" t="n">
        <f aca="false">Units!$E32*(1+Inputs!$B$7)^(BJ$2-1)</f>
        <v>1716.40093525</v>
      </c>
      <c r="BK33" s="11" t="n">
        <f aca="false">Units!$E32*(1+Inputs!$B$7)^(BK$2-1)</f>
        <v>1767.8929633075</v>
      </c>
      <c r="BL33" s="11" t="n">
        <f aca="false">Units!$E32*(1+Inputs!$B$7)^(BL$2-1)</f>
        <v>1767.8929633075</v>
      </c>
      <c r="BM33" s="11" t="n">
        <f aca="false">Units!$E32*(1+Inputs!$B$7)^(BM$2-1)</f>
        <v>1767.8929633075</v>
      </c>
      <c r="BN33" s="11" t="n">
        <f aca="false">Units!$E32*(1+Inputs!$B$7)^(BN$2-1)</f>
        <v>1767.8929633075</v>
      </c>
      <c r="BO33" s="11" t="n">
        <f aca="false">Units!$E32*(1+Inputs!$B$7)^(BO$2-1)</f>
        <v>1767.8929633075</v>
      </c>
      <c r="BP33" s="11" t="n">
        <f aca="false">Units!$E32*(1+Inputs!$B$7)^(BP$2-1)</f>
        <v>1767.8929633075</v>
      </c>
      <c r="BQ33" s="11" t="n">
        <f aca="false">Units!$E32*(1+Inputs!$B$7)^(BQ$2-1)</f>
        <v>1767.8929633075</v>
      </c>
      <c r="BR33" s="11" t="n">
        <f aca="false">Units!$E32*(1+Inputs!$B$7)^(BR$2-1)</f>
        <v>1767.8929633075</v>
      </c>
      <c r="BS33" s="11" t="n">
        <f aca="false">Units!$E32*(1+Inputs!$B$7)^(BS$2-1)</f>
        <v>1767.8929633075</v>
      </c>
      <c r="BT33" s="11" t="n">
        <f aca="false">Units!$E32*(1+Inputs!$B$7)^(BT$2-1)</f>
        <v>1767.8929633075</v>
      </c>
      <c r="BU33" s="11" t="n">
        <f aca="false">Units!$E32*(1+Inputs!$B$7)^(BU$2-1)</f>
        <v>1767.8929633075</v>
      </c>
      <c r="BV33" s="11" t="n">
        <f aca="false">Units!$E32*(1+Inputs!$B$7)^(BV$2-1)</f>
        <v>1767.8929633075</v>
      </c>
      <c r="BW33" s="11" t="n">
        <f aca="false">Units!$E32*(1+Inputs!$B$7)^(BW$2-1)</f>
        <v>1820.92975220673</v>
      </c>
      <c r="BX33" s="11" t="n">
        <f aca="false">Units!$E32*(1+Inputs!$B$7)^(BX$2-1)</f>
        <v>1820.92975220673</v>
      </c>
      <c r="BY33" s="11" t="n">
        <f aca="false">Units!$E32*(1+Inputs!$B$7)^(BY$2-1)</f>
        <v>1820.92975220673</v>
      </c>
      <c r="BZ33" s="11" t="n">
        <f aca="false">Units!$E32*(1+Inputs!$B$7)^(BZ$2-1)</f>
        <v>1820.92975220673</v>
      </c>
      <c r="CA33" s="11" t="n">
        <f aca="false">Units!$E32*(1+Inputs!$B$7)^(CA$2-1)</f>
        <v>1820.92975220673</v>
      </c>
      <c r="CB33" s="11" t="n">
        <f aca="false">Units!$E32*(1+Inputs!$B$7)^(CB$2-1)</f>
        <v>1820.92975220673</v>
      </c>
      <c r="CC33" s="11" t="n">
        <f aca="false">Units!$E32*(1+Inputs!$B$7)^(CC$2-1)</f>
        <v>1820.92975220673</v>
      </c>
      <c r="CD33" s="11" t="n">
        <f aca="false">Units!$E32*(1+Inputs!$B$7)^(CD$2-1)</f>
        <v>1820.92975220673</v>
      </c>
      <c r="CE33" s="11" t="n">
        <f aca="false">Units!$E32*(1+Inputs!$B$7)^(CE$2-1)</f>
        <v>1820.92975220673</v>
      </c>
      <c r="CF33" s="11" t="n">
        <f aca="false">Units!$E32*(1+Inputs!$B$7)^(CF$2-1)</f>
        <v>1820.92975220673</v>
      </c>
      <c r="CG33" s="11" t="n">
        <f aca="false">Units!$E32*(1+Inputs!$B$7)^(CG$2-1)</f>
        <v>1820.92975220673</v>
      </c>
      <c r="CH33" s="11" t="n">
        <f aca="false">Units!$E32*(1+Inputs!$B$7)^(CH$2-1)</f>
        <v>1820.92975220673</v>
      </c>
      <c r="CI33" s="11" t="n">
        <f aca="false">Units!$E32*(1+Inputs!$B$7)^(CI$2-1)</f>
        <v>1875.55764477293</v>
      </c>
      <c r="CJ33" s="11" t="n">
        <f aca="false">Units!$E32*(1+Inputs!$B$7)^(CJ$2-1)</f>
        <v>1875.55764477293</v>
      </c>
      <c r="CK33" s="11" t="n">
        <f aca="false">Units!$E32*(1+Inputs!$B$7)^(CK$2-1)</f>
        <v>1875.55764477293</v>
      </c>
      <c r="CL33" s="11" t="n">
        <f aca="false">Units!$E32*(1+Inputs!$B$7)^(CL$2-1)</f>
        <v>1875.55764477293</v>
      </c>
      <c r="CM33" s="11" t="n">
        <f aca="false">Units!$E32*(1+Inputs!$B$7)^(CM$2-1)</f>
        <v>1875.55764477293</v>
      </c>
      <c r="CN33" s="11" t="n">
        <f aca="false">Units!$E32*(1+Inputs!$B$7)^(CN$2-1)</f>
        <v>1875.55764477293</v>
      </c>
      <c r="CO33" s="11" t="n">
        <f aca="false">Units!$E32*(1+Inputs!$B$7)^(CO$2-1)</f>
        <v>1875.55764477293</v>
      </c>
      <c r="CP33" s="11" t="n">
        <f aca="false">Units!$E32*(1+Inputs!$B$7)^(CP$2-1)</f>
        <v>1875.55764477293</v>
      </c>
      <c r="CQ33" s="11" t="n">
        <f aca="false">Units!$E32*(1+Inputs!$B$7)^(CQ$2-1)</f>
        <v>1875.55764477293</v>
      </c>
      <c r="CR33" s="11" t="n">
        <f aca="false">Units!$E32*(1+Inputs!$B$7)^(CR$2-1)</f>
        <v>1875.55764477293</v>
      </c>
      <c r="CS33" s="11" t="n">
        <f aca="false">Units!$E32*(1+Inputs!$B$7)^(CS$2-1)</f>
        <v>1875.55764477293</v>
      </c>
      <c r="CT33" s="11" t="n">
        <f aca="false">Units!$E32*(1+Inputs!$B$7)^(CT$2-1)</f>
        <v>1875.55764477293</v>
      </c>
      <c r="CU33" s="11" t="n">
        <f aca="false">Units!$E32*(1+Inputs!$B$7)^(CU$2-1)</f>
        <v>1931.82437411612</v>
      </c>
      <c r="CV33" s="11" t="n">
        <f aca="false">Units!$E32*(1+Inputs!$B$7)^(CV$2-1)</f>
        <v>1931.82437411612</v>
      </c>
      <c r="CW33" s="11" t="n">
        <f aca="false">Units!$E32*(1+Inputs!$B$7)^(CW$2-1)</f>
        <v>1931.82437411612</v>
      </c>
      <c r="CX33" s="11" t="n">
        <f aca="false">Units!$E32*(1+Inputs!$B$7)^(CX$2-1)</f>
        <v>1931.82437411612</v>
      </c>
      <c r="CY33" s="11" t="n">
        <f aca="false">Units!$E32*(1+Inputs!$B$7)^(CY$2-1)</f>
        <v>1931.82437411612</v>
      </c>
      <c r="CZ33" s="11" t="n">
        <f aca="false">Units!$E32*(1+Inputs!$B$7)^(CZ$2-1)</f>
        <v>1931.82437411612</v>
      </c>
      <c r="DA33" s="11" t="n">
        <f aca="false">Units!$E32*(1+Inputs!$B$7)^(DA$2-1)</f>
        <v>1931.82437411612</v>
      </c>
      <c r="DB33" s="11" t="n">
        <f aca="false">Units!$E32*(1+Inputs!$B$7)^(DB$2-1)</f>
        <v>1931.82437411612</v>
      </c>
      <c r="DC33" s="11" t="n">
        <f aca="false">Units!$E32*(1+Inputs!$B$7)^(DC$2-1)</f>
        <v>1931.82437411612</v>
      </c>
      <c r="DD33" s="11" t="n">
        <f aca="false">Units!$E32*(1+Inputs!$B$7)^(DD$2-1)</f>
        <v>1931.82437411612</v>
      </c>
      <c r="DE33" s="11" t="n">
        <f aca="false">Units!$E32*(1+Inputs!$B$7)^(DE$2-1)</f>
        <v>1931.82437411612</v>
      </c>
      <c r="DF33" s="11" t="n">
        <f aca="false">Units!$E32*(1+Inputs!$B$7)^(DF$2-1)</f>
        <v>1931.82437411612</v>
      </c>
      <c r="DG33" s="11" t="n">
        <f aca="false">Units!$E32*(1+Inputs!$B$7)^(DG$2-1)</f>
        <v>1989.7791053396</v>
      </c>
      <c r="DH33" s="11" t="n">
        <f aca="false">Units!$E32*(1+Inputs!$B$7)^(DH$2-1)</f>
        <v>1989.7791053396</v>
      </c>
      <c r="DI33" s="11" t="n">
        <f aca="false">Units!$E32*(1+Inputs!$B$7)^(DI$2-1)</f>
        <v>1989.7791053396</v>
      </c>
      <c r="DJ33" s="11" t="n">
        <f aca="false">Units!$E32*(1+Inputs!$B$7)^(DJ$2-1)</f>
        <v>1989.7791053396</v>
      </c>
      <c r="DK33" s="11" t="n">
        <f aca="false">Units!$E32*(1+Inputs!$B$7)^(DK$2-1)</f>
        <v>1989.7791053396</v>
      </c>
      <c r="DL33" s="11" t="n">
        <f aca="false">Units!$E32*(1+Inputs!$B$7)^(DL$2-1)</f>
        <v>1989.7791053396</v>
      </c>
      <c r="DM33" s="11" t="n">
        <f aca="false">Units!$E32*(1+Inputs!$B$7)^(DM$2-1)</f>
        <v>1989.7791053396</v>
      </c>
      <c r="DN33" s="11" t="n">
        <f aca="false">Units!$E32*(1+Inputs!$B$7)^(DN$2-1)</f>
        <v>1989.7791053396</v>
      </c>
      <c r="DO33" s="11" t="n">
        <f aca="false">Units!$E32*(1+Inputs!$B$7)^(DO$2-1)</f>
        <v>1989.7791053396</v>
      </c>
      <c r="DP33" s="11" t="n">
        <f aca="false">Units!$E32*(1+Inputs!$B$7)^(DP$2-1)</f>
        <v>1989.7791053396</v>
      </c>
      <c r="DQ33" s="11" t="n">
        <f aca="false">Units!$E32*(1+Inputs!$B$7)^(DQ$2-1)</f>
        <v>1989.7791053396</v>
      </c>
      <c r="DR33" s="11" t="n">
        <f aca="false">Units!$E32*(1+Inputs!$B$7)^(DR$2-1)</f>
        <v>1989.7791053396</v>
      </c>
      <c r="DS33" s="11" t="n">
        <f aca="false">Units!$E32*(1+Inputs!$B$7)^(DS$2-1)</f>
        <v>2049.47247849979</v>
      </c>
      <c r="DT33" s="11" t="n">
        <f aca="false">Units!$E32*(1+Inputs!$B$7)^(DT$2-1)</f>
        <v>2049.47247849979</v>
      </c>
      <c r="DU33" s="11" t="n">
        <f aca="false">Units!$E32*(1+Inputs!$B$7)^(DU$2-1)</f>
        <v>2049.47247849979</v>
      </c>
      <c r="DV33" s="11" t="n">
        <f aca="false">Units!$E32*(1+Inputs!$B$7)^(DV$2-1)</f>
        <v>2049.47247849979</v>
      </c>
      <c r="DW33" s="11" t="n">
        <f aca="false">Units!$E32*(1+Inputs!$B$7)^(DW$2-1)</f>
        <v>2049.47247849979</v>
      </c>
      <c r="DX33" s="11" t="n">
        <f aca="false">Units!$E32*(1+Inputs!$B$7)^(DX$2-1)</f>
        <v>2049.47247849979</v>
      </c>
      <c r="DY33" s="11" t="n">
        <f aca="false">Units!$E32*(1+Inputs!$B$7)^(DY$2-1)</f>
        <v>2049.47247849979</v>
      </c>
      <c r="DZ33" s="11" t="n">
        <f aca="false">Units!$E32*(1+Inputs!$B$7)^(DZ$2-1)</f>
        <v>2049.47247849979</v>
      </c>
      <c r="EA33" s="11" t="n">
        <f aca="false">Units!$E32*(1+Inputs!$B$7)^(EA$2-1)</f>
        <v>2049.47247849979</v>
      </c>
      <c r="EB33" s="11" t="n">
        <f aca="false">Units!$E32*(1+Inputs!$B$7)^(EB$2-1)</f>
        <v>2049.47247849979</v>
      </c>
      <c r="EC33" s="11" t="n">
        <f aca="false">Units!$E32*(1+Inputs!$B$7)^(EC$2-1)</f>
        <v>2049.47247849979</v>
      </c>
      <c r="ED33" s="11" t="n">
        <f aca="false">Units!$E32*(1+Inputs!$B$7)^(ED$2-1)</f>
        <v>2049.47247849979</v>
      </c>
    </row>
    <row r="34" customFormat="false" ht="15" hidden="false" customHeight="false" outlineLevel="0" collapsed="false">
      <c r="A34" s="22" t="n">
        <f aca="false">Units!A33</f>
        <v>202</v>
      </c>
      <c r="B34" s="23"/>
      <c r="C34" s="11" t="n">
        <f aca="false">Units!$E33*(1+Inputs!$B$7)^(C$2-1)</f>
        <v>1525</v>
      </c>
      <c r="D34" s="11" t="n">
        <f aca="false">Units!$E33*(1+Inputs!$B$7)^(D$2-1)</f>
        <v>1525</v>
      </c>
      <c r="E34" s="11" t="n">
        <f aca="false">Units!$E33*(1+Inputs!$B$7)^(E$2-1)</f>
        <v>1525</v>
      </c>
      <c r="F34" s="11" t="n">
        <f aca="false">Units!$E33*(1+Inputs!$B$7)^(F$2-1)</f>
        <v>1525</v>
      </c>
      <c r="G34" s="11" t="n">
        <f aca="false">Units!$E33*(1+Inputs!$B$7)^(G$2-1)</f>
        <v>1525</v>
      </c>
      <c r="H34" s="11" t="n">
        <f aca="false">Units!$E33*(1+Inputs!$B$7)^(H$2-1)</f>
        <v>1525</v>
      </c>
      <c r="I34" s="11" t="n">
        <f aca="false">Units!$E33*(1+Inputs!$B$7)^(I$2-1)</f>
        <v>1525</v>
      </c>
      <c r="J34" s="11" t="n">
        <f aca="false">Units!$E33*(1+Inputs!$B$7)^(J$2-1)</f>
        <v>1525</v>
      </c>
      <c r="K34" s="11" t="n">
        <f aca="false">Units!$E33*(1+Inputs!$B$7)^(K$2-1)</f>
        <v>1525</v>
      </c>
      <c r="L34" s="11" t="n">
        <f aca="false">Units!$E33*(1+Inputs!$B$7)^(L$2-1)</f>
        <v>1525</v>
      </c>
      <c r="M34" s="11" t="n">
        <f aca="false">Units!$E33*(1+Inputs!$B$7)^(M$2-1)</f>
        <v>1525</v>
      </c>
      <c r="N34" s="11" t="n">
        <f aca="false">Units!$E33*(1+Inputs!$B$7)^(N$2-1)</f>
        <v>1525</v>
      </c>
      <c r="O34" s="11" t="n">
        <f aca="false">Units!$E33*(1+Inputs!$B$7)^(O$2-1)</f>
        <v>1570.75</v>
      </c>
      <c r="P34" s="11" t="n">
        <f aca="false">Units!$E33*(1+Inputs!$B$7)^(P$2-1)</f>
        <v>1570.75</v>
      </c>
      <c r="Q34" s="11" t="n">
        <f aca="false">Units!$E33*(1+Inputs!$B$7)^(Q$2-1)</f>
        <v>1570.75</v>
      </c>
      <c r="R34" s="11" t="n">
        <f aca="false">Units!$E33*(1+Inputs!$B$7)^(R$2-1)</f>
        <v>1570.75</v>
      </c>
      <c r="S34" s="11" t="n">
        <f aca="false">Units!$E33*(1+Inputs!$B$7)^(S$2-1)</f>
        <v>1570.75</v>
      </c>
      <c r="T34" s="11" t="n">
        <f aca="false">Units!$E33*(1+Inputs!$B$7)^(T$2-1)</f>
        <v>1570.75</v>
      </c>
      <c r="U34" s="11" t="n">
        <f aca="false">Units!$E33*(1+Inputs!$B$7)^(U$2-1)</f>
        <v>1570.75</v>
      </c>
      <c r="V34" s="11" t="n">
        <f aca="false">Units!$E33*(1+Inputs!$B$7)^(V$2-1)</f>
        <v>1570.75</v>
      </c>
      <c r="W34" s="11" t="n">
        <f aca="false">Units!$E33*(1+Inputs!$B$7)^(W$2-1)</f>
        <v>1570.75</v>
      </c>
      <c r="X34" s="11" t="n">
        <f aca="false">Units!$E33*(1+Inputs!$B$7)^(X$2-1)</f>
        <v>1570.75</v>
      </c>
      <c r="Y34" s="11" t="n">
        <f aca="false">Units!$E33*(1+Inputs!$B$7)^(Y$2-1)</f>
        <v>1570.75</v>
      </c>
      <c r="Z34" s="11" t="n">
        <f aca="false">Units!$E33*(1+Inputs!$B$7)^(Z$2-1)</f>
        <v>1570.75</v>
      </c>
      <c r="AA34" s="11" t="n">
        <f aca="false">Units!$E33*(1+Inputs!$B$7)^(AA$2-1)</f>
        <v>1617.8725</v>
      </c>
      <c r="AB34" s="11" t="n">
        <f aca="false">Units!$E33*(1+Inputs!$B$7)^(AB$2-1)</f>
        <v>1617.8725</v>
      </c>
      <c r="AC34" s="11" t="n">
        <f aca="false">Units!$E33*(1+Inputs!$B$7)^(AC$2-1)</f>
        <v>1617.8725</v>
      </c>
      <c r="AD34" s="11" t="n">
        <f aca="false">Units!$E33*(1+Inputs!$B$7)^(AD$2-1)</f>
        <v>1617.8725</v>
      </c>
      <c r="AE34" s="11" t="n">
        <f aca="false">Units!$E33*(1+Inputs!$B$7)^(AE$2-1)</f>
        <v>1617.8725</v>
      </c>
      <c r="AF34" s="11" t="n">
        <f aca="false">Units!$E33*(1+Inputs!$B$7)^(AF$2-1)</f>
        <v>1617.8725</v>
      </c>
      <c r="AG34" s="11" t="n">
        <f aca="false">Units!$E33*(1+Inputs!$B$7)^(AG$2-1)</f>
        <v>1617.8725</v>
      </c>
      <c r="AH34" s="11" t="n">
        <f aca="false">Units!$E33*(1+Inputs!$B$7)^(AH$2-1)</f>
        <v>1617.8725</v>
      </c>
      <c r="AI34" s="11" t="n">
        <f aca="false">Units!$E33*(1+Inputs!$B$7)^(AI$2-1)</f>
        <v>1617.8725</v>
      </c>
      <c r="AJ34" s="11" t="n">
        <f aca="false">Units!$E33*(1+Inputs!$B$7)^(AJ$2-1)</f>
        <v>1617.8725</v>
      </c>
      <c r="AK34" s="11" t="n">
        <f aca="false">Units!$E33*(1+Inputs!$B$7)^(AK$2-1)</f>
        <v>1617.8725</v>
      </c>
      <c r="AL34" s="11" t="n">
        <f aca="false">Units!$E33*(1+Inputs!$B$7)^(AL$2-1)</f>
        <v>1617.8725</v>
      </c>
      <c r="AM34" s="11" t="n">
        <f aca="false">Units!$E33*(1+Inputs!$B$7)^(AM$2-1)</f>
        <v>1666.408675</v>
      </c>
      <c r="AN34" s="11" t="n">
        <f aca="false">Units!$E33*(1+Inputs!$B$7)^(AN$2-1)</f>
        <v>1666.408675</v>
      </c>
      <c r="AO34" s="11" t="n">
        <f aca="false">Units!$E33*(1+Inputs!$B$7)^(AO$2-1)</f>
        <v>1666.408675</v>
      </c>
      <c r="AP34" s="11" t="n">
        <f aca="false">Units!$E33*(1+Inputs!$B$7)^(AP$2-1)</f>
        <v>1666.408675</v>
      </c>
      <c r="AQ34" s="11" t="n">
        <f aca="false">Units!$E33*(1+Inputs!$B$7)^(AQ$2-1)</f>
        <v>1666.408675</v>
      </c>
      <c r="AR34" s="11" t="n">
        <f aca="false">Units!$E33*(1+Inputs!$B$7)^(AR$2-1)</f>
        <v>1666.408675</v>
      </c>
      <c r="AS34" s="11" t="n">
        <f aca="false">Units!$E33*(1+Inputs!$B$7)^(AS$2-1)</f>
        <v>1666.408675</v>
      </c>
      <c r="AT34" s="11" t="n">
        <f aca="false">Units!$E33*(1+Inputs!$B$7)^(AT$2-1)</f>
        <v>1666.408675</v>
      </c>
      <c r="AU34" s="11" t="n">
        <f aca="false">Units!$E33*(1+Inputs!$B$7)^(AU$2-1)</f>
        <v>1666.408675</v>
      </c>
      <c r="AV34" s="11" t="n">
        <f aca="false">Units!$E33*(1+Inputs!$B$7)^(AV$2-1)</f>
        <v>1666.408675</v>
      </c>
      <c r="AW34" s="11" t="n">
        <f aca="false">Units!$E33*(1+Inputs!$B$7)^(AW$2-1)</f>
        <v>1666.408675</v>
      </c>
      <c r="AX34" s="11" t="n">
        <f aca="false">Units!$E33*(1+Inputs!$B$7)^(AX$2-1)</f>
        <v>1666.408675</v>
      </c>
      <c r="AY34" s="11" t="n">
        <f aca="false">Units!$E33*(1+Inputs!$B$7)^(AY$2-1)</f>
        <v>1716.40093525</v>
      </c>
      <c r="AZ34" s="11" t="n">
        <f aca="false">Units!$E33*(1+Inputs!$B$7)^(AZ$2-1)</f>
        <v>1716.40093525</v>
      </c>
      <c r="BA34" s="11" t="n">
        <f aca="false">Units!$E33*(1+Inputs!$B$7)^(BA$2-1)</f>
        <v>1716.40093525</v>
      </c>
      <c r="BB34" s="11" t="n">
        <f aca="false">Units!$E33*(1+Inputs!$B$7)^(BB$2-1)</f>
        <v>1716.40093525</v>
      </c>
      <c r="BC34" s="11" t="n">
        <f aca="false">Units!$E33*(1+Inputs!$B$7)^(BC$2-1)</f>
        <v>1716.40093525</v>
      </c>
      <c r="BD34" s="11" t="n">
        <f aca="false">Units!$E33*(1+Inputs!$B$7)^(BD$2-1)</f>
        <v>1716.40093525</v>
      </c>
      <c r="BE34" s="11" t="n">
        <f aca="false">Units!$E33*(1+Inputs!$B$7)^(BE$2-1)</f>
        <v>1716.40093525</v>
      </c>
      <c r="BF34" s="11" t="n">
        <f aca="false">Units!$E33*(1+Inputs!$B$7)^(BF$2-1)</f>
        <v>1716.40093525</v>
      </c>
      <c r="BG34" s="11" t="n">
        <f aca="false">Units!$E33*(1+Inputs!$B$7)^(BG$2-1)</f>
        <v>1716.40093525</v>
      </c>
      <c r="BH34" s="11" t="n">
        <f aca="false">Units!$E33*(1+Inputs!$B$7)^(BH$2-1)</f>
        <v>1716.40093525</v>
      </c>
      <c r="BI34" s="11" t="n">
        <f aca="false">Units!$E33*(1+Inputs!$B$7)^(BI$2-1)</f>
        <v>1716.40093525</v>
      </c>
      <c r="BJ34" s="11" t="n">
        <f aca="false">Units!$E33*(1+Inputs!$B$7)^(BJ$2-1)</f>
        <v>1716.40093525</v>
      </c>
      <c r="BK34" s="11" t="n">
        <f aca="false">Units!$E33*(1+Inputs!$B$7)^(BK$2-1)</f>
        <v>1767.8929633075</v>
      </c>
      <c r="BL34" s="11" t="n">
        <f aca="false">Units!$E33*(1+Inputs!$B$7)^(BL$2-1)</f>
        <v>1767.8929633075</v>
      </c>
      <c r="BM34" s="11" t="n">
        <f aca="false">Units!$E33*(1+Inputs!$B$7)^(BM$2-1)</f>
        <v>1767.8929633075</v>
      </c>
      <c r="BN34" s="11" t="n">
        <f aca="false">Units!$E33*(1+Inputs!$B$7)^(BN$2-1)</f>
        <v>1767.8929633075</v>
      </c>
      <c r="BO34" s="11" t="n">
        <f aca="false">Units!$E33*(1+Inputs!$B$7)^(BO$2-1)</f>
        <v>1767.8929633075</v>
      </c>
      <c r="BP34" s="11" t="n">
        <f aca="false">Units!$E33*(1+Inputs!$B$7)^(BP$2-1)</f>
        <v>1767.8929633075</v>
      </c>
      <c r="BQ34" s="11" t="n">
        <f aca="false">Units!$E33*(1+Inputs!$B$7)^(BQ$2-1)</f>
        <v>1767.8929633075</v>
      </c>
      <c r="BR34" s="11" t="n">
        <f aca="false">Units!$E33*(1+Inputs!$B$7)^(BR$2-1)</f>
        <v>1767.8929633075</v>
      </c>
      <c r="BS34" s="11" t="n">
        <f aca="false">Units!$E33*(1+Inputs!$B$7)^(BS$2-1)</f>
        <v>1767.8929633075</v>
      </c>
      <c r="BT34" s="11" t="n">
        <f aca="false">Units!$E33*(1+Inputs!$B$7)^(BT$2-1)</f>
        <v>1767.8929633075</v>
      </c>
      <c r="BU34" s="11" t="n">
        <f aca="false">Units!$E33*(1+Inputs!$B$7)^(BU$2-1)</f>
        <v>1767.8929633075</v>
      </c>
      <c r="BV34" s="11" t="n">
        <f aca="false">Units!$E33*(1+Inputs!$B$7)^(BV$2-1)</f>
        <v>1767.8929633075</v>
      </c>
      <c r="BW34" s="11" t="n">
        <f aca="false">Units!$E33*(1+Inputs!$B$7)^(BW$2-1)</f>
        <v>1820.92975220673</v>
      </c>
      <c r="BX34" s="11" t="n">
        <f aca="false">Units!$E33*(1+Inputs!$B$7)^(BX$2-1)</f>
        <v>1820.92975220673</v>
      </c>
      <c r="BY34" s="11" t="n">
        <f aca="false">Units!$E33*(1+Inputs!$B$7)^(BY$2-1)</f>
        <v>1820.92975220673</v>
      </c>
      <c r="BZ34" s="11" t="n">
        <f aca="false">Units!$E33*(1+Inputs!$B$7)^(BZ$2-1)</f>
        <v>1820.92975220673</v>
      </c>
      <c r="CA34" s="11" t="n">
        <f aca="false">Units!$E33*(1+Inputs!$B$7)^(CA$2-1)</f>
        <v>1820.92975220673</v>
      </c>
      <c r="CB34" s="11" t="n">
        <f aca="false">Units!$E33*(1+Inputs!$B$7)^(CB$2-1)</f>
        <v>1820.92975220673</v>
      </c>
      <c r="CC34" s="11" t="n">
        <f aca="false">Units!$E33*(1+Inputs!$B$7)^(CC$2-1)</f>
        <v>1820.92975220673</v>
      </c>
      <c r="CD34" s="11" t="n">
        <f aca="false">Units!$E33*(1+Inputs!$B$7)^(CD$2-1)</f>
        <v>1820.92975220673</v>
      </c>
      <c r="CE34" s="11" t="n">
        <f aca="false">Units!$E33*(1+Inputs!$B$7)^(CE$2-1)</f>
        <v>1820.92975220673</v>
      </c>
      <c r="CF34" s="11" t="n">
        <f aca="false">Units!$E33*(1+Inputs!$B$7)^(CF$2-1)</f>
        <v>1820.92975220673</v>
      </c>
      <c r="CG34" s="11" t="n">
        <f aca="false">Units!$E33*(1+Inputs!$B$7)^(CG$2-1)</f>
        <v>1820.92975220673</v>
      </c>
      <c r="CH34" s="11" t="n">
        <f aca="false">Units!$E33*(1+Inputs!$B$7)^(CH$2-1)</f>
        <v>1820.92975220673</v>
      </c>
      <c r="CI34" s="11" t="n">
        <f aca="false">Units!$E33*(1+Inputs!$B$7)^(CI$2-1)</f>
        <v>1875.55764477293</v>
      </c>
      <c r="CJ34" s="11" t="n">
        <f aca="false">Units!$E33*(1+Inputs!$B$7)^(CJ$2-1)</f>
        <v>1875.55764477293</v>
      </c>
      <c r="CK34" s="11" t="n">
        <f aca="false">Units!$E33*(1+Inputs!$B$7)^(CK$2-1)</f>
        <v>1875.55764477293</v>
      </c>
      <c r="CL34" s="11" t="n">
        <f aca="false">Units!$E33*(1+Inputs!$B$7)^(CL$2-1)</f>
        <v>1875.55764477293</v>
      </c>
      <c r="CM34" s="11" t="n">
        <f aca="false">Units!$E33*(1+Inputs!$B$7)^(CM$2-1)</f>
        <v>1875.55764477293</v>
      </c>
      <c r="CN34" s="11" t="n">
        <f aca="false">Units!$E33*(1+Inputs!$B$7)^(CN$2-1)</f>
        <v>1875.55764477293</v>
      </c>
      <c r="CO34" s="11" t="n">
        <f aca="false">Units!$E33*(1+Inputs!$B$7)^(CO$2-1)</f>
        <v>1875.55764477293</v>
      </c>
      <c r="CP34" s="11" t="n">
        <f aca="false">Units!$E33*(1+Inputs!$B$7)^(CP$2-1)</f>
        <v>1875.55764477293</v>
      </c>
      <c r="CQ34" s="11" t="n">
        <f aca="false">Units!$E33*(1+Inputs!$B$7)^(CQ$2-1)</f>
        <v>1875.55764477293</v>
      </c>
      <c r="CR34" s="11" t="n">
        <f aca="false">Units!$E33*(1+Inputs!$B$7)^(CR$2-1)</f>
        <v>1875.55764477293</v>
      </c>
      <c r="CS34" s="11" t="n">
        <f aca="false">Units!$E33*(1+Inputs!$B$7)^(CS$2-1)</f>
        <v>1875.55764477293</v>
      </c>
      <c r="CT34" s="11" t="n">
        <f aca="false">Units!$E33*(1+Inputs!$B$7)^(CT$2-1)</f>
        <v>1875.55764477293</v>
      </c>
      <c r="CU34" s="11" t="n">
        <f aca="false">Units!$E33*(1+Inputs!$B$7)^(CU$2-1)</f>
        <v>1931.82437411612</v>
      </c>
      <c r="CV34" s="11" t="n">
        <f aca="false">Units!$E33*(1+Inputs!$B$7)^(CV$2-1)</f>
        <v>1931.82437411612</v>
      </c>
      <c r="CW34" s="11" t="n">
        <f aca="false">Units!$E33*(1+Inputs!$B$7)^(CW$2-1)</f>
        <v>1931.82437411612</v>
      </c>
      <c r="CX34" s="11" t="n">
        <f aca="false">Units!$E33*(1+Inputs!$B$7)^(CX$2-1)</f>
        <v>1931.82437411612</v>
      </c>
      <c r="CY34" s="11" t="n">
        <f aca="false">Units!$E33*(1+Inputs!$B$7)^(CY$2-1)</f>
        <v>1931.82437411612</v>
      </c>
      <c r="CZ34" s="11" t="n">
        <f aca="false">Units!$E33*(1+Inputs!$B$7)^(CZ$2-1)</f>
        <v>1931.82437411612</v>
      </c>
      <c r="DA34" s="11" t="n">
        <f aca="false">Units!$E33*(1+Inputs!$B$7)^(DA$2-1)</f>
        <v>1931.82437411612</v>
      </c>
      <c r="DB34" s="11" t="n">
        <f aca="false">Units!$E33*(1+Inputs!$B$7)^(DB$2-1)</f>
        <v>1931.82437411612</v>
      </c>
      <c r="DC34" s="11" t="n">
        <f aca="false">Units!$E33*(1+Inputs!$B$7)^(DC$2-1)</f>
        <v>1931.82437411612</v>
      </c>
      <c r="DD34" s="11" t="n">
        <f aca="false">Units!$E33*(1+Inputs!$B$7)^(DD$2-1)</f>
        <v>1931.82437411612</v>
      </c>
      <c r="DE34" s="11" t="n">
        <f aca="false">Units!$E33*(1+Inputs!$B$7)^(DE$2-1)</f>
        <v>1931.82437411612</v>
      </c>
      <c r="DF34" s="11" t="n">
        <f aca="false">Units!$E33*(1+Inputs!$B$7)^(DF$2-1)</f>
        <v>1931.82437411612</v>
      </c>
      <c r="DG34" s="11" t="n">
        <f aca="false">Units!$E33*(1+Inputs!$B$7)^(DG$2-1)</f>
        <v>1989.7791053396</v>
      </c>
      <c r="DH34" s="11" t="n">
        <f aca="false">Units!$E33*(1+Inputs!$B$7)^(DH$2-1)</f>
        <v>1989.7791053396</v>
      </c>
      <c r="DI34" s="11" t="n">
        <f aca="false">Units!$E33*(1+Inputs!$B$7)^(DI$2-1)</f>
        <v>1989.7791053396</v>
      </c>
      <c r="DJ34" s="11" t="n">
        <f aca="false">Units!$E33*(1+Inputs!$B$7)^(DJ$2-1)</f>
        <v>1989.7791053396</v>
      </c>
      <c r="DK34" s="11" t="n">
        <f aca="false">Units!$E33*(1+Inputs!$B$7)^(DK$2-1)</f>
        <v>1989.7791053396</v>
      </c>
      <c r="DL34" s="11" t="n">
        <f aca="false">Units!$E33*(1+Inputs!$B$7)^(DL$2-1)</f>
        <v>1989.7791053396</v>
      </c>
      <c r="DM34" s="11" t="n">
        <f aca="false">Units!$E33*(1+Inputs!$B$7)^(DM$2-1)</f>
        <v>1989.7791053396</v>
      </c>
      <c r="DN34" s="11" t="n">
        <f aca="false">Units!$E33*(1+Inputs!$B$7)^(DN$2-1)</f>
        <v>1989.7791053396</v>
      </c>
      <c r="DO34" s="11" t="n">
        <f aca="false">Units!$E33*(1+Inputs!$B$7)^(DO$2-1)</f>
        <v>1989.7791053396</v>
      </c>
      <c r="DP34" s="11" t="n">
        <f aca="false">Units!$E33*(1+Inputs!$B$7)^(DP$2-1)</f>
        <v>1989.7791053396</v>
      </c>
      <c r="DQ34" s="11" t="n">
        <f aca="false">Units!$E33*(1+Inputs!$B$7)^(DQ$2-1)</f>
        <v>1989.7791053396</v>
      </c>
      <c r="DR34" s="11" t="n">
        <f aca="false">Units!$E33*(1+Inputs!$B$7)^(DR$2-1)</f>
        <v>1989.7791053396</v>
      </c>
      <c r="DS34" s="11" t="n">
        <f aca="false">Units!$E33*(1+Inputs!$B$7)^(DS$2-1)</f>
        <v>2049.47247849979</v>
      </c>
      <c r="DT34" s="11" t="n">
        <f aca="false">Units!$E33*(1+Inputs!$B$7)^(DT$2-1)</f>
        <v>2049.47247849979</v>
      </c>
      <c r="DU34" s="11" t="n">
        <f aca="false">Units!$E33*(1+Inputs!$B$7)^(DU$2-1)</f>
        <v>2049.47247849979</v>
      </c>
      <c r="DV34" s="11" t="n">
        <f aca="false">Units!$E33*(1+Inputs!$B$7)^(DV$2-1)</f>
        <v>2049.47247849979</v>
      </c>
      <c r="DW34" s="11" t="n">
        <f aca="false">Units!$E33*(1+Inputs!$B$7)^(DW$2-1)</f>
        <v>2049.47247849979</v>
      </c>
      <c r="DX34" s="11" t="n">
        <f aca="false">Units!$E33*(1+Inputs!$B$7)^(DX$2-1)</f>
        <v>2049.47247849979</v>
      </c>
      <c r="DY34" s="11" t="n">
        <f aca="false">Units!$E33*(1+Inputs!$B$7)^(DY$2-1)</f>
        <v>2049.47247849979</v>
      </c>
      <c r="DZ34" s="11" t="n">
        <f aca="false">Units!$E33*(1+Inputs!$B$7)^(DZ$2-1)</f>
        <v>2049.47247849979</v>
      </c>
      <c r="EA34" s="11" t="n">
        <f aca="false">Units!$E33*(1+Inputs!$B$7)^(EA$2-1)</f>
        <v>2049.47247849979</v>
      </c>
      <c r="EB34" s="11" t="n">
        <f aca="false">Units!$E33*(1+Inputs!$B$7)^(EB$2-1)</f>
        <v>2049.47247849979</v>
      </c>
      <c r="EC34" s="11" t="n">
        <f aca="false">Units!$E33*(1+Inputs!$B$7)^(EC$2-1)</f>
        <v>2049.47247849979</v>
      </c>
      <c r="ED34" s="11" t="n">
        <f aca="false">Units!$E33*(1+Inputs!$B$7)^(ED$2-1)</f>
        <v>2049.47247849979</v>
      </c>
    </row>
    <row r="35" customFormat="false" ht="15" hidden="false" customHeight="false" outlineLevel="0" collapsed="false">
      <c r="A35" s="22" t="n">
        <f aca="false">Units!A34</f>
        <v>203</v>
      </c>
      <c r="B35" s="23"/>
      <c r="C35" s="11" t="n">
        <f aca="false">Units!$E34*(1+Inputs!$B$7)^(C$2-1)</f>
        <v>1525</v>
      </c>
      <c r="D35" s="11" t="n">
        <f aca="false">Units!$E34*(1+Inputs!$B$7)^(D$2-1)</f>
        <v>1525</v>
      </c>
      <c r="E35" s="11" t="n">
        <f aca="false">Units!$E34*(1+Inputs!$B$7)^(E$2-1)</f>
        <v>1525</v>
      </c>
      <c r="F35" s="11" t="n">
        <f aca="false">Units!$E34*(1+Inputs!$B$7)^(F$2-1)</f>
        <v>1525</v>
      </c>
      <c r="G35" s="11" t="n">
        <f aca="false">Units!$E34*(1+Inputs!$B$7)^(G$2-1)</f>
        <v>1525</v>
      </c>
      <c r="H35" s="11" t="n">
        <f aca="false">Units!$E34*(1+Inputs!$B$7)^(H$2-1)</f>
        <v>1525</v>
      </c>
      <c r="I35" s="11" t="n">
        <f aca="false">Units!$E34*(1+Inputs!$B$7)^(I$2-1)</f>
        <v>1525</v>
      </c>
      <c r="J35" s="11" t="n">
        <f aca="false">Units!$E34*(1+Inputs!$B$7)^(J$2-1)</f>
        <v>1525</v>
      </c>
      <c r="K35" s="11" t="n">
        <f aca="false">Units!$E34*(1+Inputs!$B$7)^(K$2-1)</f>
        <v>1525</v>
      </c>
      <c r="L35" s="11" t="n">
        <f aca="false">Units!$E34*(1+Inputs!$B$7)^(L$2-1)</f>
        <v>1525</v>
      </c>
      <c r="M35" s="11" t="n">
        <f aca="false">Units!$E34*(1+Inputs!$B$7)^(M$2-1)</f>
        <v>1525</v>
      </c>
      <c r="N35" s="11" t="n">
        <f aca="false">Units!$E34*(1+Inputs!$B$7)^(N$2-1)</f>
        <v>1525</v>
      </c>
      <c r="O35" s="11" t="n">
        <f aca="false">Units!$E34*(1+Inputs!$B$7)^(O$2-1)</f>
        <v>1570.75</v>
      </c>
      <c r="P35" s="11" t="n">
        <f aca="false">Units!$E34*(1+Inputs!$B$7)^(P$2-1)</f>
        <v>1570.75</v>
      </c>
      <c r="Q35" s="11" t="n">
        <f aca="false">Units!$E34*(1+Inputs!$B$7)^(Q$2-1)</f>
        <v>1570.75</v>
      </c>
      <c r="R35" s="11" t="n">
        <f aca="false">Units!$E34*(1+Inputs!$B$7)^(R$2-1)</f>
        <v>1570.75</v>
      </c>
      <c r="S35" s="11" t="n">
        <f aca="false">Units!$E34*(1+Inputs!$B$7)^(S$2-1)</f>
        <v>1570.75</v>
      </c>
      <c r="T35" s="11" t="n">
        <f aca="false">Units!$E34*(1+Inputs!$B$7)^(T$2-1)</f>
        <v>1570.75</v>
      </c>
      <c r="U35" s="11" t="n">
        <f aca="false">Units!$E34*(1+Inputs!$B$7)^(U$2-1)</f>
        <v>1570.75</v>
      </c>
      <c r="V35" s="11" t="n">
        <f aca="false">Units!$E34*(1+Inputs!$B$7)^(V$2-1)</f>
        <v>1570.75</v>
      </c>
      <c r="W35" s="11" t="n">
        <f aca="false">Units!$E34*(1+Inputs!$B$7)^(W$2-1)</f>
        <v>1570.75</v>
      </c>
      <c r="X35" s="11" t="n">
        <f aca="false">Units!$E34*(1+Inputs!$B$7)^(X$2-1)</f>
        <v>1570.75</v>
      </c>
      <c r="Y35" s="11" t="n">
        <f aca="false">Units!$E34*(1+Inputs!$B$7)^(Y$2-1)</f>
        <v>1570.75</v>
      </c>
      <c r="Z35" s="11" t="n">
        <f aca="false">Units!$E34*(1+Inputs!$B$7)^(Z$2-1)</f>
        <v>1570.75</v>
      </c>
      <c r="AA35" s="11" t="n">
        <f aca="false">Units!$E34*(1+Inputs!$B$7)^(AA$2-1)</f>
        <v>1617.8725</v>
      </c>
      <c r="AB35" s="11" t="n">
        <f aca="false">Units!$E34*(1+Inputs!$B$7)^(AB$2-1)</f>
        <v>1617.8725</v>
      </c>
      <c r="AC35" s="11" t="n">
        <f aca="false">Units!$E34*(1+Inputs!$B$7)^(AC$2-1)</f>
        <v>1617.8725</v>
      </c>
      <c r="AD35" s="11" t="n">
        <f aca="false">Units!$E34*(1+Inputs!$B$7)^(AD$2-1)</f>
        <v>1617.8725</v>
      </c>
      <c r="AE35" s="11" t="n">
        <f aca="false">Units!$E34*(1+Inputs!$B$7)^(AE$2-1)</f>
        <v>1617.8725</v>
      </c>
      <c r="AF35" s="11" t="n">
        <f aca="false">Units!$E34*(1+Inputs!$B$7)^(AF$2-1)</f>
        <v>1617.8725</v>
      </c>
      <c r="AG35" s="11" t="n">
        <f aca="false">Units!$E34*(1+Inputs!$B$7)^(AG$2-1)</f>
        <v>1617.8725</v>
      </c>
      <c r="AH35" s="11" t="n">
        <f aca="false">Units!$E34*(1+Inputs!$B$7)^(AH$2-1)</f>
        <v>1617.8725</v>
      </c>
      <c r="AI35" s="11" t="n">
        <f aca="false">Units!$E34*(1+Inputs!$B$7)^(AI$2-1)</f>
        <v>1617.8725</v>
      </c>
      <c r="AJ35" s="11" t="n">
        <f aca="false">Units!$E34*(1+Inputs!$B$7)^(AJ$2-1)</f>
        <v>1617.8725</v>
      </c>
      <c r="AK35" s="11" t="n">
        <f aca="false">Units!$E34*(1+Inputs!$B$7)^(AK$2-1)</f>
        <v>1617.8725</v>
      </c>
      <c r="AL35" s="11" t="n">
        <f aca="false">Units!$E34*(1+Inputs!$B$7)^(AL$2-1)</f>
        <v>1617.8725</v>
      </c>
      <c r="AM35" s="11" t="n">
        <f aca="false">Units!$E34*(1+Inputs!$B$7)^(AM$2-1)</f>
        <v>1666.408675</v>
      </c>
      <c r="AN35" s="11" t="n">
        <f aca="false">Units!$E34*(1+Inputs!$B$7)^(AN$2-1)</f>
        <v>1666.408675</v>
      </c>
      <c r="AO35" s="11" t="n">
        <f aca="false">Units!$E34*(1+Inputs!$B$7)^(AO$2-1)</f>
        <v>1666.408675</v>
      </c>
      <c r="AP35" s="11" t="n">
        <f aca="false">Units!$E34*(1+Inputs!$B$7)^(AP$2-1)</f>
        <v>1666.408675</v>
      </c>
      <c r="AQ35" s="11" t="n">
        <f aca="false">Units!$E34*(1+Inputs!$B$7)^(AQ$2-1)</f>
        <v>1666.408675</v>
      </c>
      <c r="AR35" s="11" t="n">
        <f aca="false">Units!$E34*(1+Inputs!$B$7)^(AR$2-1)</f>
        <v>1666.408675</v>
      </c>
      <c r="AS35" s="11" t="n">
        <f aca="false">Units!$E34*(1+Inputs!$B$7)^(AS$2-1)</f>
        <v>1666.408675</v>
      </c>
      <c r="AT35" s="11" t="n">
        <f aca="false">Units!$E34*(1+Inputs!$B$7)^(AT$2-1)</f>
        <v>1666.408675</v>
      </c>
      <c r="AU35" s="11" t="n">
        <f aca="false">Units!$E34*(1+Inputs!$B$7)^(AU$2-1)</f>
        <v>1666.408675</v>
      </c>
      <c r="AV35" s="11" t="n">
        <f aca="false">Units!$E34*(1+Inputs!$B$7)^(AV$2-1)</f>
        <v>1666.408675</v>
      </c>
      <c r="AW35" s="11" t="n">
        <f aca="false">Units!$E34*(1+Inputs!$B$7)^(AW$2-1)</f>
        <v>1666.408675</v>
      </c>
      <c r="AX35" s="11" t="n">
        <f aca="false">Units!$E34*(1+Inputs!$B$7)^(AX$2-1)</f>
        <v>1666.408675</v>
      </c>
      <c r="AY35" s="11" t="n">
        <f aca="false">Units!$E34*(1+Inputs!$B$7)^(AY$2-1)</f>
        <v>1716.40093525</v>
      </c>
      <c r="AZ35" s="11" t="n">
        <f aca="false">Units!$E34*(1+Inputs!$B$7)^(AZ$2-1)</f>
        <v>1716.40093525</v>
      </c>
      <c r="BA35" s="11" t="n">
        <f aca="false">Units!$E34*(1+Inputs!$B$7)^(BA$2-1)</f>
        <v>1716.40093525</v>
      </c>
      <c r="BB35" s="11" t="n">
        <f aca="false">Units!$E34*(1+Inputs!$B$7)^(BB$2-1)</f>
        <v>1716.40093525</v>
      </c>
      <c r="BC35" s="11" t="n">
        <f aca="false">Units!$E34*(1+Inputs!$B$7)^(BC$2-1)</f>
        <v>1716.40093525</v>
      </c>
      <c r="BD35" s="11" t="n">
        <f aca="false">Units!$E34*(1+Inputs!$B$7)^(BD$2-1)</f>
        <v>1716.40093525</v>
      </c>
      <c r="BE35" s="11" t="n">
        <f aca="false">Units!$E34*(1+Inputs!$B$7)^(BE$2-1)</f>
        <v>1716.40093525</v>
      </c>
      <c r="BF35" s="11" t="n">
        <f aca="false">Units!$E34*(1+Inputs!$B$7)^(BF$2-1)</f>
        <v>1716.40093525</v>
      </c>
      <c r="BG35" s="11" t="n">
        <f aca="false">Units!$E34*(1+Inputs!$B$7)^(BG$2-1)</f>
        <v>1716.40093525</v>
      </c>
      <c r="BH35" s="11" t="n">
        <f aca="false">Units!$E34*(1+Inputs!$B$7)^(BH$2-1)</f>
        <v>1716.40093525</v>
      </c>
      <c r="BI35" s="11" t="n">
        <f aca="false">Units!$E34*(1+Inputs!$B$7)^(BI$2-1)</f>
        <v>1716.40093525</v>
      </c>
      <c r="BJ35" s="11" t="n">
        <f aca="false">Units!$E34*(1+Inputs!$B$7)^(BJ$2-1)</f>
        <v>1716.40093525</v>
      </c>
      <c r="BK35" s="11" t="n">
        <f aca="false">Units!$E34*(1+Inputs!$B$7)^(BK$2-1)</f>
        <v>1767.8929633075</v>
      </c>
      <c r="BL35" s="11" t="n">
        <f aca="false">Units!$E34*(1+Inputs!$B$7)^(BL$2-1)</f>
        <v>1767.8929633075</v>
      </c>
      <c r="BM35" s="11" t="n">
        <f aca="false">Units!$E34*(1+Inputs!$B$7)^(BM$2-1)</f>
        <v>1767.8929633075</v>
      </c>
      <c r="BN35" s="11" t="n">
        <f aca="false">Units!$E34*(1+Inputs!$B$7)^(BN$2-1)</f>
        <v>1767.8929633075</v>
      </c>
      <c r="BO35" s="11" t="n">
        <f aca="false">Units!$E34*(1+Inputs!$B$7)^(BO$2-1)</f>
        <v>1767.8929633075</v>
      </c>
      <c r="BP35" s="11" t="n">
        <f aca="false">Units!$E34*(1+Inputs!$B$7)^(BP$2-1)</f>
        <v>1767.8929633075</v>
      </c>
      <c r="BQ35" s="11" t="n">
        <f aca="false">Units!$E34*(1+Inputs!$B$7)^(BQ$2-1)</f>
        <v>1767.8929633075</v>
      </c>
      <c r="BR35" s="11" t="n">
        <f aca="false">Units!$E34*(1+Inputs!$B$7)^(BR$2-1)</f>
        <v>1767.8929633075</v>
      </c>
      <c r="BS35" s="11" t="n">
        <f aca="false">Units!$E34*(1+Inputs!$B$7)^(BS$2-1)</f>
        <v>1767.8929633075</v>
      </c>
      <c r="BT35" s="11" t="n">
        <f aca="false">Units!$E34*(1+Inputs!$B$7)^(BT$2-1)</f>
        <v>1767.8929633075</v>
      </c>
      <c r="BU35" s="11" t="n">
        <f aca="false">Units!$E34*(1+Inputs!$B$7)^(BU$2-1)</f>
        <v>1767.8929633075</v>
      </c>
      <c r="BV35" s="11" t="n">
        <f aca="false">Units!$E34*(1+Inputs!$B$7)^(BV$2-1)</f>
        <v>1767.8929633075</v>
      </c>
      <c r="BW35" s="11" t="n">
        <f aca="false">Units!$E34*(1+Inputs!$B$7)^(BW$2-1)</f>
        <v>1820.92975220673</v>
      </c>
      <c r="BX35" s="11" t="n">
        <f aca="false">Units!$E34*(1+Inputs!$B$7)^(BX$2-1)</f>
        <v>1820.92975220673</v>
      </c>
      <c r="BY35" s="11" t="n">
        <f aca="false">Units!$E34*(1+Inputs!$B$7)^(BY$2-1)</f>
        <v>1820.92975220673</v>
      </c>
      <c r="BZ35" s="11" t="n">
        <f aca="false">Units!$E34*(1+Inputs!$B$7)^(BZ$2-1)</f>
        <v>1820.92975220673</v>
      </c>
      <c r="CA35" s="11" t="n">
        <f aca="false">Units!$E34*(1+Inputs!$B$7)^(CA$2-1)</f>
        <v>1820.92975220673</v>
      </c>
      <c r="CB35" s="11" t="n">
        <f aca="false">Units!$E34*(1+Inputs!$B$7)^(CB$2-1)</f>
        <v>1820.92975220673</v>
      </c>
      <c r="CC35" s="11" t="n">
        <f aca="false">Units!$E34*(1+Inputs!$B$7)^(CC$2-1)</f>
        <v>1820.92975220673</v>
      </c>
      <c r="CD35" s="11" t="n">
        <f aca="false">Units!$E34*(1+Inputs!$B$7)^(CD$2-1)</f>
        <v>1820.92975220673</v>
      </c>
      <c r="CE35" s="11" t="n">
        <f aca="false">Units!$E34*(1+Inputs!$B$7)^(CE$2-1)</f>
        <v>1820.92975220673</v>
      </c>
      <c r="CF35" s="11" t="n">
        <f aca="false">Units!$E34*(1+Inputs!$B$7)^(CF$2-1)</f>
        <v>1820.92975220673</v>
      </c>
      <c r="CG35" s="11" t="n">
        <f aca="false">Units!$E34*(1+Inputs!$B$7)^(CG$2-1)</f>
        <v>1820.92975220673</v>
      </c>
      <c r="CH35" s="11" t="n">
        <f aca="false">Units!$E34*(1+Inputs!$B$7)^(CH$2-1)</f>
        <v>1820.92975220673</v>
      </c>
      <c r="CI35" s="11" t="n">
        <f aca="false">Units!$E34*(1+Inputs!$B$7)^(CI$2-1)</f>
        <v>1875.55764477293</v>
      </c>
      <c r="CJ35" s="11" t="n">
        <f aca="false">Units!$E34*(1+Inputs!$B$7)^(CJ$2-1)</f>
        <v>1875.55764477293</v>
      </c>
      <c r="CK35" s="11" t="n">
        <f aca="false">Units!$E34*(1+Inputs!$B$7)^(CK$2-1)</f>
        <v>1875.55764477293</v>
      </c>
      <c r="CL35" s="11" t="n">
        <f aca="false">Units!$E34*(1+Inputs!$B$7)^(CL$2-1)</f>
        <v>1875.55764477293</v>
      </c>
      <c r="CM35" s="11" t="n">
        <f aca="false">Units!$E34*(1+Inputs!$B$7)^(CM$2-1)</f>
        <v>1875.55764477293</v>
      </c>
      <c r="CN35" s="11" t="n">
        <f aca="false">Units!$E34*(1+Inputs!$B$7)^(CN$2-1)</f>
        <v>1875.55764477293</v>
      </c>
      <c r="CO35" s="11" t="n">
        <f aca="false">Units!$E34*(1+Inputs!$B$7)^(CO$2-1)</f>
        <v>1875.55764477293</v>
      </c>
      <c r="CP35" s="11" t="n">
        <f aca="false">Units!$E34*(1+Inputs!$B$7)^(CP$2-1)</f>
        <v>1875.55764477293</v>
      </c>
      <c r="CQ35" s="11" t="n">
        <f aca="false">Units!$E34*(1+Inputs!$B$7)^(CQ$2-1)</f>
        <v>1875.55764477293</v>
      </c>
      <c r="CR35" s="11" t="n">
        <f aca="false">Units!$E34*(1+Inputs!$B$7)^(CR$2-1)</f>
        <v>1875.55764477293</v>
      </c>
      <c r="CS35" s="11" t="n">
        <f aca="false">Units!$E34*(1+Inputs!$B$7)^(CS$2-1)</f>
        <v>1875.55764477293</v>
      </c>
      <c r="CT35" s="11" t="n">
        <f aca="false">Units!$E34*(1+Inputs!$B$7)^(CT$2-1)</f>
        <v>1875.55764477293</v>
      </c>
      <c r="CU35" s="11" t="n">
        <f aca="false">Units!$E34*(1+Inputs!$B$7)^(CU$2-1)</f>
        <v>1931.82437411612</v>
      </c>
      <c r="CV35" s="11" t="n">
        <f aca="false">Units!$E34*(1+Inputs!$B$7)^(CV$2-1)</f>
        <v>1931.82437411612</v>
      </c>
      <c r="CW35" s="11" t="n">
        <f aca="false">Units!$E34*(1+Inputs!$B$7)^(CW$2-1)</f>
        <v>1931.82437411612</v>
      </c>
      <c r="CX35" s="11" t="n">
        <f aca="false">Units!$E34*(1+Inputs!$B$7)^(CX$2-1)</f>
        <v>1931.82437411612</v>
      </c>
      <c r="CY35" s="11" t="n">
        <f aca="false">Units!$E34*(1+Inputs!$B$7)^(CY$2-1)</f>
        <v>1931.82437411612</v>
      </c>
      <c r="CZ35" s="11" t="n">
        <f aca="false">Units!$E34*(1+Inputs!$B$7)^(CZ$2-1)</f>
        <v>1931.82437411612</v>
      </c>
      <c r="DA35" s="11" t="n">
        <f aca="false">Units!$E34*(1+Inputs!$B$7)^(DA$2-1)</f>
        <v>1931.82437411612</v>
      </c>
      <c r="DB35" s="11" t="n">
        <f aca="false">Units!$E34*(1+Inputs!$B$7)^(DB$2-1)</f>
        <v>1931.82437411612</v>
      </c>
      <c r="DC35" s="11" t="n">
        <f aca="false">Units!$E34*(1+Inputs!$B$7)^(DC$2-1)</f>
        <v>1931.82437411612</v>
      </c>
      <c r="DD35" s="11" t="n">
        <f aca="false">Units!$E34*(1+Inputs!$B$7)^(DD$2-1)</f>
        <v>1931.82437411612</v>
      </c>
      <c r="DE35" s="11" t="n">
        <f aca="false">Units!$E34*(1+Inputs!$B$7)^(DE$2-1)</f>
        <v>1931.82437411612</v>
      </c>
      <c r="DF35" s="11" t="n">
        <f aca="false">Units!$E34*(1+Inputs!$B$7)^(DF$2-1)</f>
        <v>1931.82437411612</v>
      </c>
      <c r="DG35" s="11" t="n">
        <f aca="false">Units!$E34*(1+Inputs!$B$7)^(DG$2-1)</f>
        <v>1989.7791053396</v>
      </c>
      <c r="DH35" s="11" t="n">
        <f aca="false">Units!$E34*(1+Inputs!$B$7)^(DH$2-1)</f>
        <v>1989.7791053396</v>
      </c>
      <c r="DI35" s="11" t="n">
        <f aca="false">Units!$E34*(1+Inputs!$B$7)^(DI$2-1)</f>
        <v>1989.7791053396</v>
      </c>
      <c r="DJ35" s="11" t="n">
        <f aca="false">Units!$E34*(1+Inputs!$B$7)^(DJ$2-1)</f>
        <v>1989.7791053396</v>
      </c>
      <c r="DK35" s="11" t="n">
        <f aca="false">Units!$E34*(1+Inputs!$B$7)^(DK$2-1)</f>
        <v>1989.7791053396</v>
      </c>
      <c r="DL35" s="11" t="n">
        <f aca="false">Units!$E34*(1+Inputs!$B$7)^(DL$2-1)</f>
        <v>1989.7791053396</v>
      </c>
      <c r="DM35" s="11" t="n">
        <f aca="false">Units!$E34*(1+Inputs!$B$7)^(DM$2-1)</f>
        <v>1989.7791053396</v>
      </c>
      <c r="DN35" s="11" t="n">
        <f aca="false">Units!$E34*(1+Inputs!$B$7)^(DN$2-1)</f>
        <v>1989.7791053396</v>
      </c>
      <c r="DO35" s="11" t="n">
        <f aca="false">Units!$E34*(1+Inputs!$B$7)^(DO$2-1)</f>
        <v>1989.7791053396</v>
      </c>
      <c r="DP35" s="11" t="n">
        <f aca="false">Units!$E34*(1+Inputs!$B$7)^(DP$2-1)</f>
        <v>1989.7791053396</v>
      </c>
      <c r="DQ35" s="11" t="n">
        <f aca="false">Units!$E34*(1+Inputs!$B$7)^(DQ$2-1)</f>
        <v>1989.7791053396</v>
      </c>
      <c r="DR35" s="11" t="n">
        <f aca="false">Units!$E34*(1+Inputs!$B$7)^(DR$2-1)</f>
        <v>1989.7791053396</v>
      </c>
      <c r="DS35" s="11" t="n">
        <f aca="false">Units!$E34*(1+Inputs!$B$7)^(DS$2-1)</f>
        <v>2049.47247849979</v>
      </c>
      <c r="DT35" s="11" t="n">
        <f aca="false">Units!$E34*(1+Inputs!$B$7)^(DT$2-1)</f>
        <v>2049.47247849979</v>
      </c>
      <c r="DU35" s="11" t="n">
        <f aca="false">Units!$E34*(1+Inputs!$B$7)^(DU$2-1)</f>
        <v>2049.47247849979</v>
      </c>
      <c r="DV35" s="11" t="n">
        <f aca="false">Units!$E34*(1+Inputs!$B$7)^(DV$2-1)</f>
        <v>2049.47247849979</v>
      </c>
      <c r="DW35" s="11" t="n">
        <f aca="false">Units!$E34*(1+Inputs!$B$7)^(DW$2-1)</f>
        <v>2049.47247849979</v>
      </c>
      <c r="DX35" s="11" t="n">
        <f aca="false">Units!$E34*(1+Inputs!$B$7)^(DX$2-1)</f>
        <v>2049.47247849979</v>
      </c>
      <c r="DY35" s="11" t="n">
        <f aca="false">Units!$E34*(1+Inputs!$B$7)^(DY$2-1)</f>
        <v>2049.47247849979</v>
      </c>
      <c r="DZ35" s="11" t="n">
        <f aca="false">Units!$E34*(1+Inputs!$B$7)^(DZ$2-1)</f>
        <v>2049.47247849979</v>
      </c>
      <c r="EA35" s="11" t="n">
        <f aca="false">Units!$E34*(1+Inputs!$B$7)^(EA$2-1)</f>
        <v>2049.47247849979</v>
      </c>
      <c r="EB35" s="11" t="n">
        <f aca="false">Units!$E34*(1+Inputs!$B$7)^(EB$2-1)</f>
        <v>2049.47247849979</v>
      </c>
      <c r="EC35" s="11" t="n">
        <f aca="false">Units!$E34*(1+Inputs!$B$7)^(EC$2-1)</f>
        <v>2049.47247849979</v>
      </c>
      <c r="ED35" s="11" t="n">
        <f aca="false">Units!$E34*(1+Inputs!$B$7)^(ED$2-1)</f>
        <v>2049.47247849979</v>
      </c>
    </row>
    <row r="36" customFormat="false" ht="15" hidden="false" customHeight="false" outlineLevel="0" collapsed="false">
      <c r="A36" s="22" t="n">
        <f aca="false">Units!A35</f>
        <v>204</v>
      </c>
      <c r="B36" s="23"/>
      <c r="C36" s="11" t="n">
        <f aca="false">Units!$E35*(1+Inputs!$B$7)^(C$2-1)</f>
        <v>1525</v>
      </c>
      <c r="D36" s="11" t="n">
        <f aca="false">Units!$E35*(1+Inputs!$B$7)^(D$2-1)</f>
        <v>1525</v>
      </c>
      <c r="E36" s="11" t="n">
        <f aca="false">Units!$E35*(1+Inputs!$B$7)^(E$2-1)</f>
        <v>1525</v>
      </c>
      <c r="F36" s="11" t="n">
        <f aca="false">Units!$E35*(1+Inputs!$B$7)^(F$2-1)</f>
        <v>1525</v>
      </c>
      <c r="G36" s="11" t="n">
        <f aca="false">Units!$E35*(1+Inputs!$B$7)^(G$2-1)</f>
        <v>1525</v>
      </c>
      <c r="H36" s="11" t="n">
        <f aca="false">Units!$E35*(1+Inputs!$B$7)^(H$2-1)</f>
        <v>1525</v>
      </c>
      <c r="I36" s="11" t="n">
        <f aca="false">Units!$E35*(1+Inputs!$B$7)^(I$2-1)</f>
        <v>1525</v>
      </c>
      <c r="J36" s="11" t="n">
        <f aca="false">Units!$E35*(1+Inputs!$B$7)^(J$2-1)</f>
        <v>1525</v>
      </c>
      <c r="K36" s="11" t="n">
        <f aca="false">Units!$E35*(1+Inputs!$B$7)^(K$2-1)</f>
        <v>1525</v>
      </c>
      <c r="L36" s="11" t="n">
        <f aca="false">Units!$E35*(1+Inputs!$B$7)^(L$2-1)</f>
        <v>1525</v>
      </c>
      <c r="M36" s="11" t="n">
        <f aca="false">Units!$E35*(1+Inputs!$B$7)^(M$2-1)</f>
        <v>1525</v>
      </c>
      <c r="N36" s="11" t="n">
        <f aca="false">Units!$E35*(1+Inputs!$B$7)^(N$2-1)</f>
        <v>1525</v>
      </c>
      <c r="O36" s="11" t="n">
        <f aca="false">Units!$E35*(1+Inputs!$B$7)^(O$2-1)</f>
        <v>1570.75</v>
      </c>
      <c r="P36" s="11" t="n">
        <f aca="false">Units!$E35*(1+Inputs!$B$7)^(P$2-1)</f>
        <v>1570.75</v>
      </c>
      <c r="Q36" s="11" t="n">
        <f aca="false">Units!$E35*(1+Inputs!$B$7)^(Q$2-1)</f>
        <v>1570.75</v>
      </c>
      <c r="R36" s="11" t="n">
        <f aca="false">Units!$E35*(1+Inputs!$B$7)^(R$2-1)</f>
        <v>1570.75</v>
      </c>
      <c r="S36" s="11" t="n">
        <f aca="false">Units!$E35*(1+Inputs!$B$7)^(S$2-1)</f>
        <v>1570.75</v>
      </c>
      <c r="T36" s="11" t="n">
        <f aca="false">Units!$E35*(1+Inputs!$B$7)^(T$2-1)</f>
        <v>1570.75</v>
      </c>
      <c r="U36" s="11" t="n">
        <f aca="false">Units!$E35*(1+Inputs!$B$7)^(U$2-1)</f>
        <v>1570.75</v>
      </c>
      <c r="V36" s="11" t="n">
        <f aca="false">Units!$E35*(1+Inputs!$B$7)^(V$2-1)</f>
        <v>1570.75</v>
      </c>
      <c r="W36" s="11" t="n">
        <f aca="false">Units!$E35*(1+Inputs!$B$7)^(W$2-1)</f>
        <v>1570.75</v>
      </c>
      <c r="X36" s="11" t="n">
        <f aca="false">Units!$E35*(1+Inputs!$B$7)^(X$2-1)</f>
        <v>1570.75</v>
      </c>
      <c r="Y36" s="11" t="n">
        <f aca="false">Units!$E35*(1+Inputs!$B$7)^(Y$2-1)</f>
        <v>1570.75</v>
      </c>
      <c r="Z36" s="11" t="n">
        <f aca="false">Units!$E35*(1+Inputs!$B$7)^(Z$2-1)</f>
        <v>1570.75</v>
      </c>
      <c r="AA36" s="11" t="n">
        <f aca="false">Units!$E35*(1+Inputs!$B$7)^(AA$2-1)</f>
        <v>1617.8725</v>
      </c>
      <c r="AB36" s="11" t="n">
        <f aca="false">Units!$E35*(1+Inputs!$B$7)^(AB$2-1)</f>
        <v>1617.8725</v>
      </c>
      <c r="AC36" s="11" t="n">
        <f aca="false">Units!$E35*(1+Inputs!$B$7)^(AC$2-1)</f>
        <v>1617.8725</v>
      </c>
      <c r="AD36" s="11" t="n">
        <f aca="false">Units!$E35*(1+Inputs!$B$7)^(AD$2-1)</f>
        <v>1617.8725</v>
      </c>
      <c r="AE36" s="11" t="n">
        <f aca="false">Units!$E35*(1+Inputs!$B$7)^(AE$2-1)</f>
        <v>1617.8725</v>
      </c>
      <c r="AF36" s="11" t="n">
        <f aca="false">Units!$E35*(1+Inputs!$B$7)^(AF$2-1)</f>
        <v>1617.8725</v>
      </c>
      <c r="AG36" s="11" t="n">
        <f aca="false">Units!$E35*(1+Inputs!$B$7)^(AG$2-1)</f>
        <v>1617.8725</v>
      </c>
      <c r="AH36" s="11" t="n">
        <f aca="false">Units!$E35*(1+Inputs!$B$7)^(AH$2-1)</f>
        <v>1617.8725</v>
      </c>
      <c r="AI36" s="11" t="n">
        <f aca="false">Units!$E35*(1+Inputs!$B$7)^(AI$2-1)</f>
        <v>1617.8725</v>
      </c>
      <c r="AJ36" s="11" t="n">
        <f aca="false">Units!$E35*(1+Inputs!$B$7)^(AJ$2-1)</f>
        <v>1617.8725</v>
      </c>
      <c r="AK36" s="11" t="n">
        <f aca="false">Units!$E35*(1+Inputs!$B$7)^(AK$2-1)</f>
        <v>1617.8725</v>
      </c>
      <c r="AL36" s="11" t="n">
        <f aca="false">Units!$E35*(1+Inputs!$B$7)^(AL$2-1)</f>
        <v>1617.8725</v>
      </c>
      <c r="AM36" s="11" t="n">
        <f aca="false">Units!$E35*(1+Inputs!$B$7)^(AM$2-1)</f>
        <v>1666.408675</v>
      </c>
      <c r="AN36" s="11" t="n">
        <f aca="false">Units!$E35*(1+Inputs!$B$7)^(AN$2-1)</f>
        <v>1666.408675</v>
      </c>
      <c r="AO36" s="11" t="n">
        <f aca="false">Units!$E35*(1+Inputs!$B$7)^(AO$2-1)</f>
        <v>1666.408675</v>
      </c>
      <c r="AP36" s="11" t="n">
        <f aca="false">Units!$E35*(1+Inputs!$B$7)^(AP$2-1)</f>
        <v>1666.408675</v>
      </c>
      <c r="AQ36" s="11" t="n">
        <f aca="false">Units!$E35*(1+Inputs!$B$7)^(AQ$2-1)</f>
        <v>1666.408675</v>
      </c>
      <c r="AR36" s="11" t="n">
        <f aca="false">Units!$E35*(1+Inputs!$B$7)^(AR$2-1)</f>
        <v>1666.408675</v>
      </c>
      <c r="AS36" s="11" t="n">
        <f aca="false">Units!$E35*(1+Inputs!$B$7)^(AS$2-1)</f>
        <v>1666.408675</v>
      </c>
      <c r="AT36" s="11" t="n">
        <f aca="false">Units!$E35*(1+Inputs!$B$7)^(AT$2-1)</f>
        <v>1666.408675</v>
      </c>
      <c r="AU36" s="11" t="n">
        <f aca="false">Units!$E35*(1+Inputs!$B$7)^(AU$2-1)</f>
        <v>1666.408675</v>
      </c>
      <c r="AV36" s="11" t="n">
        <f aca="false">Units!$E35*(1+Inputs!$B$7)^(AV$2-1)</f>
        <v>1666.408675</v>
      </c>
      <c r="AW36" s="11" t="n">
        <f aca="false">Units!$E35*(1+Inputs!$B$7)^(AW$2-1)</f>
        <v>1666.408675</v>
      </c>
      <c r="AX36" s="11" t="n">
        <f aca="false">Units!$E35*(1+Inputs!$B$7)^(AX$2-1)</f>
        <v>1666.408675</v>
      </c>
      <c r="AY36" s="11" t="n">
        <f aca="false">Units!$E35*(1+Inputs!$B$7)^(AY$2-1)</f>
        <v>1716.40093525</v>
      </c>
      <c r="AZ36" s="11" t="n">
        <f aca="false">Units!$E35*(1+Inputs!$B$7)^(AZ$2-1)</f>
        <v>1716.40093525</v>
      </c>
      <c r="BA36" s="11" t="n">
        <f aca="false">Units!$E35*(1+Inputs!$B$7)^(BA$2-1)</f>
        <v>1716.40093525</v>
      </c>
      <c r="BB36" s="11" t="n">
        <f aca="false">Units!$E35*(1+Inputs!$B$7)^(BB$2-1)</f>
        <v>1716.40093525</v>
      </c>
      <c r="BC36" s="11" t="n">
        <f aca="false">Units!$E35*(1+Inputs!$B$7)^(BC$2-1)</f>
        <v>1716.40093525</v>
      </c>
      <c r="BD36" s="11" t="n">
        <f aca="false">Units!$E35*(1+Inputs!$B$7)^(BD$2-1)</f>
        <v>1716.40093525</v>
      </c>
      <c r="BE36" s="11" t="n">
        <f aca="false">Units!$E35*(1+Inputs!$B$7)^(BE$2-1)</f>
        <v>1716.40093525</v>
      </c>
      <c r="BF36" s="11" t="n">
        <f aca="false">Units!$E35*(1+Inputs!$B$7)^(BF$2-1)</f>
        <v>1716.40093525</v>
      </c>
      <c r="BG36" s="11" t="n">
        <f aca="false">Units!$E35*(1+Inputs!$B$7)^(BG$2-1)</f>
        <v>1716.40093525</v>
      </c>
      <c r="BH36" s="11" t="n">
        <f aca="false">Units!$E35*(1+Inputs!$B$7)^(BH$2-1)</f>
        <v>1716.40093525</v>
      </c>
      <c r="BI36" s="11" t="n">
        <f aca="false">Units!$E35*(1+Inputs!$B$7)^(BI$2-1)</f>
        <v>1716.40093525</v>
      </c>
      <c r="BJ36" s="11" t="n">
        <f aca="false">Units!$E35*(1+Inputs!$B$7)^(BJ$2-1)</f>
        <v>1716.40093525</v>
      </c>
      <c r="BK36" s="11" t="n">
        <f aca="false">Units!$E35*(1+Inputs!$B$7)^(BK$2-1)</f>
        <v>1767.8929633075</v>
      </c>
      <c r="BL36" s="11" t="n">
        <f aca="false">Units!$E35*(1+Inputs!$B$7)^(BL$2-1)</f>
        <v>1767.8929633075</v>
      </c>
      <c r="BM36" s="11" t="n">
        <f aca="false">Units!$E35*(1+Inputs!$B$7)^(BM$2-1)</f>
        <v>1767.8929633075</v>
      </c>
      <c r="BN36" s="11" t="n">
        <f aca="false">Units!$E35*(1+Inputs!$B$7)^(BN$2-1)</f>
        <v>1767.8929633075</v>
      </c>
      <c r="BO36" s="11" t="n">
        <f aca="false">Units!$E35*(1+Inputs!$B$7)^(BO$2-1)</f>
        <v>1767.8929633075</v>
      </c>
      <c r="BP36" s="11" t="n">
        <f aca="false">Units!$E35*(1+Inputs!$B$7)^(BP$2-1)</f>
        <v>1767.8929633075</v>
      </c>
      <c r="BQ36" s="11" t="n">
        <f aca="false">Units!$E35*(1+Inputs!$B$7)^(BQ$2-1)</f>
        <v>1767.8929633075</v>
      </c>
      <c r="BR36" s="11" t="n">
        <f aca="false">Units!$E35*(1+Inputs!$B$7)^(BR$2-1)</f>
        <v>1767.8929633075</v>
      </c>
      <c r="BS36" s="11" t="n">
        <f aca="false">Units!$E35*(1+Inputs!$B$7)^(BS$2-1)</f>
        <v>1767.8929633075</v>
      </c>
      <c r="BT36" s="11" t="n">
        <f aca="false">Units!$E35*(1+Inputs!$B$7)^(BT$2-1)</f>
        <v>1767.8929633075</v>
      </c>
      <c r="BU36" s="11" t="n">
        <f aca="false">Units!$E35*(1+Inputs!$B$7)^(BU$2-1)</f>
        <v>1767.8929633075</v>
      </c>
      <c r="BV36" s="11" t="n">
        <f aca="false">Units!$E35*(1+Inputs!$B$7)^(BV$2-1)</f>
        <v>1767.8929633075</v>
      </c>
      <c r="BW36" s="11" t="n">
        <f aca="false">Units!$E35*(1+Inputs!$B$7)^(BW$2-1)</f>
        <v>1820.92975220673</v>
      </c>
      <c r="BX36" s="11" t="n">
        <f aca="false">Units!$E35*(1+Inputs!$B$7)^(BX$2-1)</f>
        <v>1820.92975220673</v>
      </c>
      <c r="BY36" s="11" t="n">
        <f aca="false">Units!$E35*(1+Inputs!$B$7)^(BY$2-1)</f>
        <v>1820.92975220673</v>
      </c>
      <c r="BZ36" s="11" t="n">
        <f aca="false">Units!$E35*(1+Inputs!$B$7)^(BZ$2-1)</f>
        <v>1820.92975220673</v>
      </c>
      <c r="CA36" s="11" t="n">
        <f aca="false">Units!$E35*(1+Inputs!$B$7)^(CA$2-1)</f>
        <v>1820.92975220673</v>
      </c>
      <c r="CB36" s="11" t="n">
        <f aca="false">Units!$E35*(1+Inputs!$B$7)^(CB$2-1)</f>
        <v>1820.92975220673</v>
      </c>
      <c r="CC36" s="11" t="n">
        <f aca="false">Units!$E35*(1+Inputs!$B$7)^(CC$2-1)</f>
        <v>1820.92975220673</v>
      </c>
      <c r="CD36" s="11" t="n">
        <f aca="false">Units!$E35*(1+Inputs!$B$7)^(CD$2-1)</f>
        <v>1820.92975220673</v>
      </c>
      <c r="CE36" s="11" t="n">
        <f aca="false">Units!$E35*(1+Inputs!$B$7)^(CE$2-1)</f>
        <v>1820.92975220673</v>
      </c>
      <c r="CF36" s="11" t="n">
        <f aca="false">Units!$E35*(1+Inputs!$B$7)^(CF$2-1)</f>
        <v>1820.92975220673</v>
      </c>
      <c r="CG36" s="11" t="n">
        <f aca="false">Units!$E35*(1+Inputs!$B$7)^(CG$2-1)</f>
        <v>1820.92975220673</v>
      </c>
      <c r="CH36" s="11" t="n">
        <f aca="false">Units!$E35*(1+Inputs!$B$7)^(CH$2-1)</f>
        <v>1820.92975220673</v>
      </c>
      <c r="CI36" s="11" t="n">
        <f aca="false">Units!$E35*(1+Inputs!$B$7)^(CI$2-1)</f>
        <v>1875.55764477293</v>
      </c>
      <c r="CJ36" s="11" t="n">
        <f aca="false">Units!$E35*(1+Inputs!$B$7)^(CJ$2-1)</f>
        <v>1875.55764477293</v>
      </c>
      <c r="CK36" s="11" t="n">
        <f aca="false">Units!$E35*(1+Inputs!$B$7)^(CK$2-1)</f>
        <v>1875.55764477293</v>
      </c>
      <c r="CL36" s="11" t="n">
        <f aca="false">Units!$E35*(1+Inputs!$B$7)^(CL$2-1)</f>
        <v>1875.55764477293</v>
      </c>
      <c r="CM36" s="11" t="n">
        <f aca="false">Units!$E35*(1+Inputs!$B$7)^(CM$2-1)</f>
        <v>1875.55764477293</v>
      </c>
      <c r="CN36" s="11" t="n">
        <f aca="false">Units!$E35*(1+Inputs!$B$7)^(CN$2-1)</f>
        <v>1875.55764477293</v>
      </c>
      <c r="CO36" s="11" t="n">
        <f aca="false">Units!$E35*(1+Inputs!$B$7)^(CO$2-1)</f>
        <v>1875.55764477293</v>
      </c>
      <c r="CP36" s="11" t="n">
        <f aca="false">Units!$E35*(1+Inputs!$B$7)^(CP$2-1)</f>
        <v>1875.55764477293</v>
      </c>
      <c r="CQ36" s="11" t="n">
        <f aca="false">Units!$E35*(1+Inputs!$B$7)^(CQ$2-1)</f>
        <v>1875.55764477293</v>
      </c>
      <c r="CR36" s="11" t="n">
        <f aca="false">Units!$E35*(1+Inputs!$B$7)^(CR$2-1)</f>
        <v>1875.55764477293</v>
      </c>
      <c r="CS36" s="11" t="n">
        <f aca="false">Units!$E35*(1+Inputs!$B$7)^(CS$2-1)</f>
        <v>1875.55764477293</v>
      </c>
      <c r="CT36" s="11" t="n">
        <f aca="false">Units!$E35*(1+Inputs!$B$7)^(CT$2-1)</f>
        <v>1875.55764477293</v>
      </c>
      <c r="CU36" s="11" t="n">
        <f aca="false">Units!$E35*(1+Inputs!$B$7)^(CU$2-1)</f>
        <v>1931.82437411612</v>
      </c>
      <c r="CV36" s="11" t="n">
        <f aca="false">Units!$E35*(1+Inputs!$B$7)^(CV$2-1)</f>
        <v>1931.82437411612</v>
      </c>
      <c r="CW36" s="11" t="n">
        <f aca="false">Units!$E35*(1+Inputs!$B$7)^(CW$2-1)</f>
        <v>1931.82437411612</v>
      </c>
      <c r="CX36" s="11" t="n">
        <f aca="false">Units!$E35*(1+Inputs!$B$7)^(CX$2-1)</f>
        <v>1931.82437411612</v>
      </c>
      <c r="CY36" s="11" t="n">
        <f aca="false">Units!$E35*(1+Inputs!$B$7)^(CY$2-1)</f>
        <v>1931.82437411612</v>
      </c>
      <c r="CZ36" s="11" t="n">
        <f aca="false">Units!$E35*(1+Inputs!$B$7)^(CZ$2-1)</f>
        <v>1931.82437411612</v>
      </c>
      <c r="DA36" s="11" t="n">
        <f aca="false">Units!$E35*(1+Inputs!$B$7)^(DA$2-1)</f>
        <v>1931.82437411612</v>
      </c>
      <c r="DB36" s="11" t="n">
        <f aca="false">Units!$E35*(1+Inputs!$B$7)^(DB$2-1)</f>
        <v>1931.82437411612</v>
      </c>
      <c r="DC36" s="11" t="n">
        <f aca="false">Units!$E35*(1+Inputs!$B$7)^(DC$2-1)</f>
        <v>1931.82437411612</v>
      </c>
      <c r="DD36" s="11" t="n">
        <f aca="false">Units!$E35*(1+Inputs!$B$7)^(DD$2-1)</f>
        <v>1931.82437411612</v>
      </c>
      <c r="DE36" s="11" t="n">
        <f aca="false">Units!$E35*(1+Inputs!$B$7)^(DE$2-1)</f>
        <v>1931.82437411612</v>
      </c>
      <c r="DF36" s="11" t="n">
        <f aca="false">Units!$E35*(1+Inputs!$B$7)^(DF$2-1)</f>
        <v>1931.82437411612</v>
      </c>
      <c r="DG36" s="11" t="n">
        <f aca="false">Units!$E35*(1+Inputs!$B$7)^(DG$2-1)</f>
        <v>1989.7791053396</v>
      </c>
      <c r="DH36" s="11" t="n">
        <f aca="false">Units!$E35*(1+Inputs!$B$7)^(DH$2-1)</f>
        <v>1989.7791053396</v>
      </c>
      <c r="DI36" s="11" t="n">
        <f aca="false">Units!$E35*(1+Inputs!$B$7)^(DI$2-1)</f>
        <v>1989.7791053396</v>
      </c>
      <c r="DJ36" s="11" t="n">
        <f aca="false">Units!$E35*(1+Inputs!$B$7)^(DJ$2-1)</f>
        <v>1989.7791053396</v>
      </c>
      <c r="DK36" s="11" t="n">
        <f aca="false">Units!$E35*(1+Inputs!$B$7)^(DK$2-1)</f>
        <v>1989.7791053396</v>
      </c>
      <c r="DL36" s="11" t="n">
        <f aca="false">Units!$E35*(1+Inputs!$B$7)^(DL$2-1)</f>
        <v>1989.7791053396</v>
      </c>
      <c r="DM36" s="11" t="n">
        <f aca="false">Units!$E35*(1+Inputs!$B$7)^(DM$2-1)</f>
        <v>1989.7791053396</v>
      </c>
      <c r="DN36" s="11" t="n">
        <f aca="false">Units!$E35*(1+Inputs!$B$7)^(DN$2-1)</f>
        <v>1989.7791053396</v>
      </c>
      <c r="DO36" s="11" t="n">
        <f aca="false">Units!$E35*(1+Inputs!$B$7)^(DO$2-1)</f>
        <v>1989.7791053396</v>
      </c>
      <c r="DP36" s="11" t="n">
        <f aca="false">Units!$E35*(1+Inputs!$B$7)^(DP$2-1)</f>
        <v>1989.7791053396</v>
      </c>
      <c r="DQ36" s="11" t="n">
        <f aca="false">Units!$E35*(1+Inputs!$B$7)^(DQ$2-1)</f>
        <v>1989.7791053396</v>
      </c>
      <c r="DR36" s="11" t="n">
        <f aca="false">Units!$E35*(1+Inputs!$B$7)^(DR$2-1)</f>
        <v>1989.7791053396</v>
      </c>
      <c r="DS36" s="11" t="n">
        <f aca="false">Units!$E35*(1+Inputs!$B$7)^(DS$2-1)</f>
        <v>2049.47247849979</v>
      </c>
      <c r="DT36" s="11" t="n">
        <f aca="false">Units!$E35*(1+Inputs!$B$7)^(DT$2-1)</f>
        <v>2049.47247849979</v>
      </c>
      <c r="DU36" s="11" t="n">
        <f aca="false">Units!$E35*(1+Inputs!$B$7)^(DU$2-1)</f>
        <v>2049.47247849979</v>
      </c>
      <c r="DV36" s="11" t="n">
        <f aca="false">Units!$E35*(1+Inputs!$B$7)^(DV$2-1)</f>
        <v>2049.47247849979</v>
      </c>
      <c r="DW36" s="11" t="n">
        <f aca="false">Units!$E35*(1+Inputs!$B$7)^(DW$2-1)</f>
        <v>2049.47247849979</v>
      </c>
      <c r="DX36" s="11" t="n">
        <f aca="false">Units!$E35*(1+Inputs!$B$7)^(DX$2-1)</f>
        <v>2049.47247849979</v>
      </c>
      <c r="DY36" s="11" t="n">
        <f aca="false">Units!$E35*(1+Inputs!$B$7)^(DY$2-1)</f>
        <v>2049.47247849979</v>
      </c>
      <c r="DZ36" s="11" t="n">
        <f aca="false">Units!$E35*(1+Inputs!$B$7)^(DZ$2-1)</f>
        <v>2049.47247849979</v>
      </c>
      <c r="EA36" s="11" t="n">
        <f aca="false">Units!$E35*(1+Inputs!$B$7)^(EA$2-1)</f>
        <v>2049.47247849979</v>
      </c>
      <c r="EB36" s="11" t="n">
        <f aca="false">Units!$E35*(1+Inputs!$B$7)^(EB$2-1)</f>
        <v>2049.47247849979</v>
      </c>
      <c r="EC36" s="11" t="n">
        <f aca="false">Units!$E35*(1+Inputs!$B$7)^(EC$2-1)</f>
        <v>2049.47247849979</v>
      </c>
      <c r="ED36" s="11" t="n">
        <f aca="false">Units!$E35*(1+Inputs!$B$7)^(ED$2-1)</f>
        <v>2049.47247849979</v>
      </c>
    </row>
    <row r="37" customFormat="false" ht="15" hidden="false" customHeight="false" outlineLevel="0" collapsed="false">
      <c r="A37" s="22" t="n">
        <f aca="false">Units!A36</f>
        <v>205</v>
      </c>
      <c r="B37" s="23"/>
      <c r="C37" s="11" t="n">
        <f aca="false">Units!$E36*(1+Inputs!$B$7)^(C$2-1)</f>
        <v>1525</v>
      </c>
      <c r="D37" s="11" t="n">
        <f aca="false">Units!$E36*(1+Inputs!$B$7)^(D$2-1)</f>
        <v>1525</v>
      </c>
      <c r="E37" s="11" t="n">
        <f aca="false">Units!$E36*(1+Inputs!$B$7)^(E$2-1)</f>
        <v>1525</v>
      </c>
      <c r="F37" s="11" t="n">
        <f aca="false">Units!$E36*(1+Inputs!$B$7)^(F$2-1)</f>
        <v>1525</v>
      </c>
      <c r="G37" s="11" t="n">
        <f aca="false">Units!$E36*(1+Inputs!$B$7)^(G$2-1)</f>
        <v>1525</v>
      </c>
      <c r="H37" s="11" t="n">
        <f aca="false">Units!$E36*(1+Inputs!$B$7)^(H$2-1)</f>
        <v>1525</v>
      </c>
      <c r="I37" s="11" t="n">
        <f aca="false">Units!$E36*(1+Inputs!$B$7)^(I$2-1)</f>
        <v>1525</v>
      </c>
      <c r="J37" s="11" t="n">
        <f aca="false">Units!$E36*(1+Inputs!$B$7)^(J$2-1)</f>
        <v>1525</v>
      </c>
      <c r="K37" s="11" t="n">
        <f aca="false">Units!$E36*(1+Inputs!$B$7)^(K$2-1)</f>
        <v>1525</v>
      </c>
      <c r="L37" s="11" t="n">
        <f aca="false">Units!$E36*(1+Inputs!$B$7)^(L$2-1)</f>
        <v>1525</v>
      </c>
      <c r="M37" s="11" t="n">
        <f aca="false">Units!$E36*(1+Inputs!$B$7)^(M$2-1)</f>
        <v>1525</v>
      </c>
      <c r="N37" s="11" t="n">
        <f aca="false">Units!$E36*(1+Inputs!$B$7)^(N$2-1)</f>
        <v>1525</v>
      </c>
      <c r="O37" s="11" t="n">
        <f aca="false">Units!$E36*(1+Inputs!$B$7)^(O$2-1)</f>
        <v>1570.75</v>
      </c>
      <c r="P37" s="11" t="n">
        <f aca="false">Units!$E36*(1+Inputs!$B$7)^(P$2-1)</f>
        <v>1570.75</v>
      </c>
      <c r="Q37" s="11" t="n">
        <f aca="false">Units!$E36*(1+Inputs!$B$7)^(Q$2-1)</f>
        <v>1570.75</v>
      </c>
      <c r="R37" s="11" t="n">
        <f aca="false">Units!$E36*(1+Inputs!$B$7)^(R$2-1)</f>
        <v>1570.75</v>
      </c>
      <c r="S37" s="11" t="n">
        <f aca="false">Units!$E36*(1+Inputs!$B$7)^(S$2-1)</f>
        <v>1570.75</v>
      </c>
      <c r="T37" s="11" t="n">
        <f aca="false">Units!$E36*(1+Inputs!$B$7)^(T$2-1)</f>
        <v>1570.75</v>
      </c>
      <c r="U37" s="11" t="n">
        <f aca="false">Units!$E36*(1+Inputs!$B$7)^(U$2-1)</f>
        <v>1570.75</v>
      </c>
      <c r="V37" s="11" t="n">
        <f aca="false">Units!$E36*(1+Inputs!$B$7)^(V$2-1)</f>
        <v>1570.75</v>
      </c>
      <c r="W37" s="11" t="n">
        <f aca="false">Units!$E36*(1+Inputs!$B$7)^(W$2-1)</f>
        <v>1570.75</v>
      </c>
      <c r="X37" s="11" t="n">
        <f aca="false">Units!$E36*(1+Inputs!$B$7)^(X$2-1)</f>
        <v>1570.75</v>
      </c>
      <c r="Y37" s="11" t="n">
        <f aca="false">Units!$E36*(1+Inputs!$B$7)^(Y$2-1)</f>
        <v>1570.75</v>
      </c>
      <c r="Z37" s="11" t="n">
        <f aca="false">Units!$E36*(1+Inputs!$B$7)^(Z$2-1)</f>
        <v>1570.75</v>
      </c>
      <c r="AA37" s="11" t="n">
        <f aca="false">Units!$E36*(1+Inputs!$B$7)^(AA$2-1)</f>
        <v>1617.8725</v>
      </c>
      <c r="AB37" s="11" t="n">
        <f aca="false">Units!$E36*(1+Inputs!$B$7)^(AB$2-1)</f>
        <v>1617.8725</v>
      </c>
      <c r="AC37" s="11" t="n">
        <f aca="false">Units!$E36*(1+Inputs!$B$7)^(AC$2-1)</f>
        <v>1617.8725</v>
      </c>
      <c r="AD37" s="11" t="n">
        <f aca="false">Units!$E36*(1+Inputs!$B$7)^(AD$2-1)</f>
        <v>1617.8725</v>
      </c>
      <c r="AE37" s="11" t="n">
        <f aca="false">Units!$E36*(1+Inputs!$B$7)^(AE$2-1)</f>
        <v>1617.8725</v>
      </c>
      <c r="AF37" s="11" t="n">
        <f aca="false">Units!$E36*(1+Inputs!$B$7)^(AF$2-1)</f>
        <v>1617.8725</v>
      </c>
      <c r="AG37" s="11" t="n">
        <f aca="false">Units!$E36*(1+Inputs!$B$7)^(AG$2-1)</f>
        <v>1617.8725</v>
      </c>
      <c r="AH37" s="11" t="n">
        <f aca="false">Units!$E36*(1+Inputs!$B$7)^(AH$2-1)</f>
        <v>1617.8725</v>
      </c>
      <c r="AI37" s="11" t="n">
        <f aca="false">Units!$E36*(1+Inputs!$B$7)^(AI$2-1)</f>
        <v>1617.8725</v>
      </c>
      <c r="AJ37" s="11" t="n">
        <f aca="false">Units!$E36*(1+Inputs!$B$7)^(AJ$2-1)</f>
        <v>1617.8725</v>
      </c>
      <c r="AK37" s="11" t="n">
        <f aca="false">Units!$E36*(1+Inputs!$B$7)^(AK$2-1)</f>
        <v>1617.8725</v>
      </c>
      <c r="AL37" s="11" t="n">
        <f aca="false">Units!$E36*(1+Inputs!$B$7)^(AL$2-1)</f>
        <v>1617.8725</v>
      </c>
      <c r="AM37" s="11" t="n">
        <f aca="false">Units!$E36*(1+Inputs!$B$7)^(AM$2-1)</f>
        <v>1666.408675</v>
      </c>
      <c r="AN37" s="11" t="n">
        <f aca="false">Units!$E36*(1+Inputs!$B$7)^(AN$2-1)</f>
        <v>1666.408675</v>
      </c>
      <c r="AO37" s="11" t="n">
        <f aca="false">Units!$E36*(1+Inputs!$B$7)^(AO$2-1)</f>
        <v>1666.408675</v>
      </c>
      <c r="AP37" s="11" t="n">
        <f aca="false">Units!$E36*(1+Inputs!$B$7)^(AP$2-1)</f>
        <v>1666.408675</v>
      </c>
      <c r="AQ37" s="11" t="n">
        <f aca="false">Units!$E36*(1+Inputs!$B$7)^(AQ$2-1)</f>
        <v>1666.408675</v>
      </c>
      <c r="AR37" s="11" t="n">
        <f aca="false">Units!$E36*(1+Inputs!$B$7)^(AR$2-1)</f>
        <v>1666.408675</v>
      </c>
      <c r="AS37" s="11" t="n">
        <f aca="false">Units!$E36*(1+Inputs!$B$7)^(AS$2-1)</f>
        <v>1666.408675</v>
      </c>
      <c r="AT37" s="11" t="n">
        <f aca="false">Units!$E36*(1+Inputs!$B$7)^(AT$2-1)</f>
        <v>1666.408675</v>
      </c>
      <c r="AU37" s="11" t="n">
        <f aca="false">Units!$E36*(1+Inputs!$B$7)^(AU$2-1)</f>
        <v>1666.408675</v>
      </c>
      <c r="AV37" s="11" t="n">
        <f aca="false">Units!$E36*(1+Inputs!$B$7)^(AV$2-1)</f>
        <v>1666.408675</v>
      </c>
      <c r="AW37" s="11" t="n">
        <f aca="false">Units!$E36*(1+Inputs!$B$7)^(AW$2-1)</f>
        <v>1666.408675</v>
      </c>
      <c r="AX37" s="11" t="n">
        <f aca="false">Units!$E36*(1+Inputs!$B$7)^(AX$2-1)</f>
        <v>1666.408675</v>
      </c>
      <c r="AY37" s="11" t="n">
        <f aca="false">Units!$E36*(1+Inputs!$B$7)^(AY$2-1)</f>
        <v>1716.40093525</v>
      </c>
      <c r="AZ37" s="11" t="n">
        <f aca="false">Units!$E36*(1+Inputs!$B$7)^(AZ$2-1)</f>
        <v>1716.40093525</v>
      </c>
      <c r="BA37" s="11" t="n">
        <f aca="false">Units!$E36*(1+Inputs!$B$7)^(BA$2-1)</f>
        <v>1716.40093525</v>
      </c>
      <c r="BB37" s="11" t="n">
        <f aca="false">Units!$E36*(1+Inputs!$B$7)^(BB$2-1)</f>
        <v>1716.40093525</v>
      </c>
      <c r="BC37" s="11" t="n">
        <f aca="false">Units!$E36*(1+Inputs!$B$7)^(BC$2-1)</f>
        <v>1716.40093525</v>
      </c>
      <c r="BD37" s="11" t="n">
        <f aca="false">Units!$E36*(1+Inputs!$B$7)^(BD$2-1)</f>
        <v>1716.40093525</v>
      </c>
      <c r="BE37" s="11" t="n">
        <f aca="false">Units!$E36*(1+Inputs!$B$7)^(BE$2-1)</f>
        <v>1716.40093525</v>
      </c>
      <c r="BF37" s="11" t="n">
        <f aca="false">Units!$E36*(1+Inputs!$B$7)^(BF$2-1)</f>
        <v>1716.40093525</v>
      </c>
      <c r="BG37" s="11" t="n">
        <f aca="false">Units!$E36*(1+Inputs!$B$7)^(BG$2-1)</f>
        <v>1716.40093525</v>
      </c>
      <c r="BH37" s="11" t="n">
        <f aca="false">Units!$E36*(1+Inputs!$B$7)^(BH$2-1)</f>
        <v>1716.40093525</v>
      </c>
      <c r="BI37" s="11" t="n">
        <f aca="false">Units!$E36*(1+Inputs!$B$7)^(BI$2-1)</f>
        <v>1716.40093525</v>
      </c>
      <c r="BJ37" s="11" t="n">
        <f aca="false">Units!$E36*(1+Inputs!$B$7)^(BJ$2-1)</f>
        <v>1716.40093525</v>
      </c>
      <c r="BK37" s="11" t="n">
        <f aca="false">Units!$E36*(1+Inputs!$B$7)^(BK$2-1)</f>
        <v>1767.8929633075</v>
      </c>
      <c r="BL37" s="11" t="n">
        <f aca="false">Units!$E36*(1+Inputs!$B$7)^(BL$2-1)</f>
        <v>1767.8929633075</v>
      </c>
      <c r="BM37" s="11" t="n">
        <f aca="false">Units!$E36*(1+Inputs!$B$7)^(BM$2-1)</f>
        <v>1767.8929633075</v>
      </c>
      <c r="BN37" s="11" t="n">
        <f aca="false">Units!$E36*(1+Inputs!$B$7)^(BN$2-1)</f>
        <v>1767.8929633075</v>
      </c>
      <c r="BO37" s="11" t="n">
        <f aca="false">Units!$E36*(1+Inputs!$B$7)^(BO$2-1)</f>
        <v>1767.8929633075</v>
      </c>
      <c r="BP37" s="11" t="n">
        <f aca="false">Units!$E36*(1+Inputs!$B$7)^(BP$2-1)</f>
        <v>1767.8929633075</v>
      </c>
      <c r="BQ37" s="11" t="n">
        <f aca="false">Units!$E36*(1+Inputs!$B$7)^(BQ$2-1)</f>
        <v>1767.8929633075</v>
      </c>
      <c r="BR37" s="11" t="n">
        <f aca="false">Units!$E36*(1+Inputs!$B$7)^(BR$2-1)</f>
        <v>1767.8929633075</v>
      </c>
      <c r="BS37" s="11" t="n">
        <f aca="false">Units!$E36*(1+Inputs!$B$7)^(BS$2-1)</f>
        <v>1767.8929633075</v>
      </c>
      <c r="BT37" s="11" t="n">
        <f aca="false">Units!$E36*(1+Inputs!$B$7)^(BT$2-1)</f>
        <v>1767.8929633075</v>
      </c>
      <c r="BU37" s="11" t="n">
        <f aca="false">Units!$E36*(1+Inputs!$B$7)^(BU$2-1)</f>
        <v>1767.8929633075</v>
      </c>
      <c r="BV37" s="11" t="n">
        <f aca="false">Units!$E36*(1+Inputs!$B$7)^(BV$2-1)</f>
        <v>1767.8929633075</v>
      </c>
      <c r="BW37" s="11" t="n">
        <f aca="false">Units!$E36*(1+Inputs!$B$7)^(BW$2-1)</f>
        <v>1820.92975220673</v>
      </c>
      <c r="BX37" s="11" t="n">
        <f aca="false">Units!$E36*(1+Inputs!$B$7)^(BX$2-1)</f>
        <v>1820.92975220673</v>
      </c>
      <c r="BY37" s="11" t="n">
        <f aca="false">Units!$E36*(1+Inputs!$B$7)^(BY$2-1)</f>
        <v>1820.92975220673</v>
      </c>
      <c r="BZ37" s="11" t="n">
        <f aca="false">Units!$E36*(1+Inputs!$B$7)^(BZ$2-1)</f>
        <v>1820.92975220673</v>
      </c>
      <c r="CA37" s="11" t="n">
        <f aca="false">Units!$E36*(1+Inputs!$B$7)^(CA$2-1)</f>
        <v>1820.92975220673</v>
      </c>
      <c r="CB37" s="11" t="n">
        <f aca="false">Units!$E36*(1+Inputs!$B$7)^(CB$2-1)</f>
        <v>1820.92975220673</v>
      </c>
      <c r="CC37" s="11" t="n">
        <f aca="false">Units!$E36*(1+Inputs!$B$7)^(CC$2-1)</f>
        <v>1820.92975220673</v>
      </c>
      <c r="CD37" s="11" t="n">
        <f aca="false">Units!$E36*(1+Inputs!$B$7)^(CD$2-1)</f>
        <v>1820.92975220673</v>
      </c>
      <c r="CE37" s="11" t="n">
        <f aca="false">Units!$E36*(1+Inputs!$B$7)^(CE$2-1)</f>
        <v>1820.92975220673</v>
      </c>
      <c r="CF37" s="11" t="n">
        <f aca="false">Units!$E36*(1+Inputs!$B$7)^(CF$2-1)</f>
        <v>1820.92975220673</v>
      </c>
      <c r="CG37" s="11" t="n">
        <f aca="false">Units!$E36*(1+Inputs!$B$7)^(CG$2-1)</f>
        <v>1820.92975220673</v>
      </c>
      <c r="CH37" s="11" t="n">
        <f aca="false">Units!$E36*(1+Inputs!$B$7)^(CH$2-1)</f>
        <v>1820.92975220673</v>
      </c>
      <c r="CI37" s="11" t="n">
        <f aca="false">Units!$E36*(1+Inputs!$B$7)^(CI$2-1)</f>
        <v>1875.55764477293</v>
      </c>
      <c r="CJ37" s="11" t="n">
        <f aca="false">Units!$E36*(1+Inputs!$B$7)^(CJ$2-1)</f>
        <v>1875.55764477293</v>
      </c>
      <c r="CK37" s="11" t="n">
        <f aca="false">Units!$E36*(1+Inputs!$B$7)^(CK$2-1)</f>
        <v>1875.55764477293</v>
      </c>
      <c r="CL37" s="11" t="n">
        <f aca="false">Units!$E36*(1+Inputs!$B$7)^(CL$2-1)</f>
        <v>1875.55764477293</v>
      </c>
      <c r="CM37" s="11" t="n">
        <f aca="false">Units!$E36*(1+Inputs!$B$7)^(CM$2-1)</f>
        <v>1875.55764477293</v>
      </c>
      <c r="CN37" s="11" t="n">
        <f aca="false">Units!$E36*(1+Inputs!$B$7)^(CN$2-1)</f>
        <v>1875.55764477293</v>
      </c>
      <c r="CO37" s="11" t="n">
        <f aca="false">Units!$E36*(1+Inputs!$B$7)^(CO$2-1)</f>
        <v>1875.55764477293</v>
      </c>
      <c r="CP37" s="11" t="n">
        <f aca="false">Units!$E36*(1+Inputs!$B$7)^(CP$2-1)</f>
        <v>1875.55764477293</v>
      </c>
      <c r="CQ37" s="11" t="n">
        <f aca="false">Units!$E36*(1+Inputs!$B$7)^(CQ$2-1)</f>
        <v>1875.55764477293</v>
      </c>
      <c r="CR37" s="11" t="n">
        <f aca="false">Units!$E36*(1+Inputs!$B$7)^(CR$2-1)</f>
        <v>1875.55764477293</v>
      </c>
      <c r="CS37" s="11" t="n">
        <f aca="false">Units!$E36*(1+Inputs!$B$7)^(CS$2-1)</f>
        <v>1875.55764477293</v>
      </c>
      <c r="CT37" s="11" t="n">
        <f aca="false">Units!$E36*(1+Inputs!$B$7)^(CT$2-1)</f>
        <v>1875.55764477293</v>
      </c>
      <c r="CU37" s="11" t="n">
        <f aca="false">Units!$E36*(1+Inputs!$B$7)^(CU$2-1)</f>
        <v>1931.82437411612</v>
      </c>
      <c r="CV37" s="11" t="n">
        <f aca="false">Units!$E36*(1+Inputs!$B$7)^(CV$2-1)</f>
        <v>1931.82437411612</v>
      </c>
      <c r="CW37" s="11" t="n">
        <f aca="false">Units!$E36*(1+Inputs!$B$7)^(CW$2-1)</f>
        <v>1931.82437411612</v>
      </c>
      <c r="CX37" s="11" t="n">
        <f aca="false">Units!$E36*(1+Inputs!$B$7)^(CX$2-1)</f>
        <v>1931.82437411612</v>
      </c>
      <c r="CY37" s="11" t="n">
        <f aca="false">Units!$E36*(1+Inputs!$B$7)^(CY$2-1)</f>
        <v>1931.82437411612</v>
      </c>
      <c r="CZ37" s="11" t="n">
        <f aca="false">Units!$E36*(1+Inputs!$B$7)^(CZ$2-1)</f>
        <v>1931.82437411612</v>
      </c>
      <c r="DA37" s="11" t="n">
        <f aca="false">Units!$E36*(1+Inputs!$B$7)^(DA$2-1)</f>
        <v>1931.82437411612</v>
      </c>
      <c r="DB37" s="11" t="n">
        <f aca="false">Units!$E36*(1+Inputs!$B$7)^(DB$2-1)</f>
        <v>1931.82437411612</v>
      </c>
      <c r="DC37" s="11" t="n">
        <f aca="false">Units!$E36*(1+Inputs!$B$7)^(DC$2-1)</f>
        <v>1931.82437411612</v>
      </c>
      <c r="DD37" s="11" t="n">
        <f aca="false">Units!$E36*(1+Inputs!$B$7)^(DD$2-1)</f>
        <v>1931.82437411612</v>
      </c>
      <c r="DE37" s="11" t="n">
        <f aca="false">Units!$E36*(1+Inputs!$B$7)^(DE$2-1)</f>
        <v>1931.82437411612</v>
      </c>
      <c r="DF37" s="11" t="n">
        <f aca="false">Units!$E36*(1+Inputs!$B$7)^(DF$2-1)</f>
        <v>1931.82437411612</v>
      </c>
      <c r="DG37" s="11" t="n">
        <f aca="false">Units!$E36*(1+Inputs!$B$7)^(DG$2-1)</f>
        <v>1989.7791053396</v>
      </c>
      <c r="DH37" s="11" t="n">
        <f aca="false">Units!$E36*(1+Inputs!$B$7)^(DH$2-1)</f>
        <v>1989.7791053396</v>
      </c>
      <c r="DI37" s="11" t="n">
        <f aca="false">Units!$E36*(1+Inputs!$B$7)^(DI$2-1)</f>
        <v>1989.7791053396</v>
      </c>
      <c r="DJ37" s="11" t="n">
        <f aca="false">Units!$E36*(1+Inputs!$B$7)^(DJ$2-1)</f>
        <v>1989.7791053396</v>
      </c>
      <c r="DK37" s="11" t="n">
        <f aca="false">Units!$E36*(1+Inputs!$B$7)^(DK$2-1)</f>
        <v>1989.7791053396</v>
      </c>
      <c r="DL37" s="11" t="n">
        <f aca="false">Units!$E36*(1+Inputs!$B$7)^(DL$2-1)</f>
        <v>1989.7791053396</v>
      </c>
      <c r="DM37" s="11" t="n">
        <f aca="false">Units!$E36*(1+Inputs!$B$7)^(DM$2-1)</f>
        <v>1989.7791053396</v>
      </c>
      <c r="DN37" s="11" t="n">
        <f aca="false">Units!$E36*(1+Inputs!$B$7)^(DN$2-1)</f>
        <v>1989.7791053396</v>
      </c>
      <c r="DO37" s="11" t="n">
        <f aca="false">Units!$E36*(1+Inputs!$B$7)^(DO$2-1)</f>
        <v>1989.7791053396</v>
      </c>
      <c r="DP37" s="11" t="n">
        <f aca="false">Units!$E36*(1+Inputs!$B$7)^(DP$2-1)</f>
        <v>1989.7791053396</v>
      </c>
      <c r="DQ37" s="11" t="n">
        <f aca="false">Units!$E36*(1+Inputs!$B$7)^(DQ$2-1)</f>
        <v>1989.7791053396</v>
      </c>
      <c r="DR37" s="11" t="n">
        <f aca="false">Units!$E36*(1+Inputs!$B$7)^(DR$2-1)</f>
        <v>1989.7791053396</v>
      </c>
      <c r="DS37" s="11" t="n">
        <f aca="false">Units!$E36*(1+Inputs!$B$7)^(DS$2-1)</f>
        <v>2049.47247849979</v>
      </c>
      <c r="DT37" s="11" t="n">
        <f aca="false">Units!$E36*(1+Inputs!$B$7)^(DT$2-1)</f>
        <v>2049.47247849979</v>
      </c>
      <c r="DU37" s="11" t="n">
        <f aca="false">Units!$E36*(1+Inputs!$B$7)^(DU$2-1)</f>
        <v>2049.47247849979</v>
      </c>
      <c r="DV37" s="11" t="n">
        <f aca="false">Units!$E36*(1+Inputs!$B$7)^(DV$2-1)</f>
        <v>2049.47247849979</v>
      </c>
      <c r="DW37" s="11" t="n">
        <f aca="false">Units!$E36*(1+Inputs!$B$7)^(DW$2-1)</f>
        <v>2049.47247849979</v>
      </c>
      <c r="DX37" s="11" t="n">
        <f aca="false">Units!$E36*(1+Inputs!$B$7)^(DX$2-1)</f>
        <v>2049.47247849979</v>
      </c>
      <c r="DY37" s="11" t="n">
        <f aca="false">Units!$E36*(1+Inputs!$B$7)^(DY$2-1)</f>
        <v>2049.47247849979</v>
      </c>
      <c r="DZ37" s="11" t="n">
        <f aca="false">Units!$E36*(1+Inputs!$B$7)^(DZ$2-1)</f>
        <v>2049.47247849979</v>
      </c>
      <c r="EA37" s="11" t="n">
        <f aca="false">Units!$E36*(1+Inputs!$B$7)^(EA$2-1)</f>
        <v>2049.47247849979</v>
      </c>
      <c r="EB37" s="11" t="n">
        <f aca="false">Units!$E36*(1+Inputs!$B$7)^(EB$2-1)</f>
        <v>2049.47247849979</v>
      </c>
      <c r="EC37" s="11" t="n">
        <f aca="false">Units!$E36*(1+Inputs!$B$7)^(EC$2-1)</f>
        <v>2049.47247849979</v>
      </c>
      <c r="ED37" s="11" t="n">
        <f aca="false">Units!$E36*(1+Inputs!$B$7)^(ED$2-1)</f>
        <v>2049.47247849979</v>
      </c>
    </row>
    <row r="38" customFormat="false" ht="15" hidden="false" customHeight="false" outlineLevel="0" collapsed="false">
      <c r="A38" s="22" t="n">
        <f aca="false">Units!A37</f>
        <v>206</v>
      </c>
      <c r="B38" s="23"/>
      <c r="C38" s="11" t="n">
        <f aca="false">Units!$E37*(1+Inputs!$B$7)^(C$2-1)</f>
        <v>1525</v>
      </c>
      <c r="D38" s="11" t="n">
        <f aca="false">Units!$E37*(1+Inputs!$B$7)^(D$2-1)</f>
        <v>1525</v>
      </c>
      <c r="E38" s="11" t="n">
        <f aca="false">Units!$E37*(1+Inputs!$B$7)^(E$2-1)</f>
        <v>1525</v>
      </c>
      <c r="F38" s="11" t="n">
        <f aca="false">Units!$E37*(1+Inputs!$B$7)^(F$2-1)</f>
        <v>1525</v>
      </c>
      <c r="G38" s="11" t="n">
        <f aca="false">Units!$E37*(1+Inputs!$B$7)^(G$2-1)</f>
        <v>1525</v>
      </c>
      <c r="H38" s="11" t="n">
        <f aca="false">Units!$E37*(1+Inputs!$B$7)^(H$2-1)</f>
        <v>1525</v>
      </c>
      <c r="I38" s="11" t="n">
        <f aca="false">Units!$E37*(1+Inputs!$B$7)^(I$2-1)</f>
        <v>1525</v>
      </c>
      <c r="J38" s="11" t="n">
        <f aca="false">Units!$E37*(1+Inputs!$B$7)^(J$2-1)</f>
        <v>1525</v>
      </c>
      <c r="K38" s="11" t="n">
        <f aca="false">Units!$E37*(1+Inputs!$B$7)^(K$2-1)</f>
        <v>1525</v>
      </c>
      <c r="L38" s="11" t="n">
        <f aca="false">Units!$E37*(1+Inputs!$B$7)^(L$2-1)</f>
        <v>1525</v>
      </c>
      <c r="M38" s="11" t="n">
        <f aca="false">Units!$E37*(1+Inputs!$B$7)^(M$2-1)</f>
        <v>1525</v>
      </c>
      <c r="N38" s="11" t="n">
        <f aca="false">Units!$E37*(1+Inputs!$B$7)^(N$2-1)</f>
        <v>1525</v>
      </c>
      <c r="O38" s="11" t="n">
        <f aca="false">Units!$E37*(1+Inputs!$B$7)^(O$2-1)</f>
        <v>1570.75</v>
      </c>
      <c r="P38" s="11" t="n">
        <f aca="false">Units!$E37*(1+Inputs!$B$7)^(P$2-1)</f>
        <v>1570.75</v>
      </c>
      <c r="Q38" s="11" t="n">
        <f aca="false">Units!$E37*(1+Inputs!$B$7)^(Q$2-1)</f>
        <v>1570.75</v>
      </c>
      <c r="R38" s="11" t="n">
        <f aca="false">Units!$E37*(1+Inputs!$B$7)^(R$2-1)</f>
        <v>1570.75</v>
      </c>
      <c r="S38" s="11" t="n">
        <f aca="false">Units!$E37*(1+Inputs!$B$7)^(S$2-1)</f>
        <v>1570.75</v>
      </c>
      <c r="T38" s="11" t="n">
        <f aca="false">Units!$E37*(1+Inputs!$B$7)^(T$2-1)</f>
        <v>1570.75</v>
      </c>
      <c r="U38" s="11" t="n">
        <f aca="false">Units!$E37*(1+Inputs!$B$7)^(U$2-1)</f>
        <v>1570.75</v>
      </c>
      <c r="V38" s="11" t="n">
        <f aca="false">Units!$E37*(1+Inputs!$B$7)^(V$2-1)</f>
        <v>1570.75</v>
      </c>
      <c r="W38" s="11" t="n">
        <f aca="false">Units!$E37*(1+Inputs!$B$7)^(W$2-1)</f>
        <v>1570.75</v>
      </c>
      <c r="X38" s="11" t="n">
        <f aca="false">Units!$E37*(1+Inputs!$B$7)^(X$2-1)</f>
        <v>1570.75</v>
      </c>
      <c r="Y38" s="11" t="n">
        <f aca="false">Units!$E37*(1+Inputs!$B$7)^(Y$2-1)</f>
        <v>1570.75</v>
      </c>
      <c r="Z38" s="11" t="n">
        <f aca="false">Units!$E37*(1+Inputs!$B$7)^(Z$2-1)</f>
        <v>1570.75</v>
      </c>
      <c r="AA38" s="11" t="n">
        <f aca="false">Units!$E37*(1+Inputs!$B$7)^(AA$2-1)</f>
        <v>1617.8725</v>
      </c>
      <c r="AB38" s="11" t="n">
        <f aca="false">Units!$E37*(1+Inputs!$B$7)^(AB$2-1)</f>
        <v>1617.8725</v>
      </c>
      <c r="AC38" s="11" t="n">
        <f aca="false">Units!$E37*(1+Inputs!$B$7)^(AC$2-1)</f>
        <v>1617.8725</v>
      </c>
      <c r="AD38" s="11" t="n">
        <f aca="false">Units!$E37*(1+Inputs!$B$7)^(AD$2-1)</f>
        <v>1617.8725</v>
      </c>
      <c r="AE38" s="11" t="n">
        <f aca="false">Units!$E37*(1+Inputs!$B$7)^(AE$2-1)</f>
        <v>1617.8725</v>
      </c>
      <c r="AF38" s="11" t="n">
        <f aca="false">Units!$E37*(1+Inputs!$B$7)^(AF$2-1)</f>
        <v>1617.8725</v>
      </c>
      <c r="AG38" s="11" t="n">
        <f aca="false">Units!$E37*(1+Inputs!$B$7)^(AG$2-1)</f>
        <v>1617.8725</v>
      </c>
      <c r="AH38" s="11" t="n">
        <f aca="false">Units!$E37*(1+Inputs!$B$7)^(AH$2-1)</f>
        <v>1617.8725</v>
      </c>
      <c r="AI38" s="11" t="n">
        <f aca="false">Units!$E37*(1+Inputs!$B$7)^(AI$2-1)</f>
        <v>1617.8725</v>
      </c>
      <c r="AJ38" s="11" t="n">
        <f aca="false">Units!$E37*(1+Inputs!$B$7)^(AJ$2-1)</f>
        <v>1617.8725</v>
      </c>
      <c r="AK38" s="11" t="n">
        <f aca="false">Units!$E37*(1+Inputs!$B$7)^(AK$2-1)</f>
        <v>1617.8725</v>
      </c>
      <c r="AL38" s="11" t="n">
        <f aca="false">Units!$E37*(1+Inputs!$B$7)^(AL$2-1)</f>
        <v>1617.8725</v>
      </c>
      <c r="AM38" s="11" t="n">
        <f aca="false">Units!$E37*(1+Inputs!$B$7)^(AM$2-1)</f>
        <v>1666.408675</v>
      </c>
      <c r="AN38" s="11" t="n">
        <f aca="false">Units!$E37*(1+Inputs!$B$7)^(AN$2-1)</f>
        <v>1666.408675</v>
      </c>
      <c r="AO38" s="11" t="n">
        <f aca="false">Units!$E37*(1+Inputs!$B$7)^(AO$2-1)</f>
        <v>1666.408675</v>
      </c>
      <c r="AP38" s="11" t="n">
        <f aca="false">Units!$E37*(1+Inputs!$B$7)^(AP$2-1)</f>
        <v>1666.408675</v>
      </c>
      <c r="AQ38" s="11" t="n">
        <f aca="false">Units!$E37*(1+Inputs!$B$7)^(AQ$2-1)</f>
        <v>1666.408675</v>
      </c>
      <c r="AR38" s="11" t="n">
        <f aca="false">Units!$E37*(1+Inputs!$B$7)^(AR$2-1)</f>
        <v>1666.408675</v>
      </c>
      <c r="AS38" s="11" t="n">
        <f aca="false">Units!$E37*(1+Inputs!$B$7)^(AS$2-1)</f>
        <v>1666.408675</v>
      </c>
      <c r="AT38" s="11" t="n">
        <f aca="false">Units!$E37*(1+Inputs!$B$7)^(AT$2-1)</f>
        <v>1666.408675</v>
      </c>
      <c r="AU38" s="11" t="n">
        <f aca="false">Units!$E37*(1+Inputs!$B$7)^(AU$2-1)</f>
        <v>1666.408675</v>
      </c>
      <c r="AV38" s="11" t="n">
        <f aca="false">Units!$E37*(1+Inputs!$B$7)^(AV$2-1)</f>
        <v>1666.408675</v>
      </c>
      <c r="AW38" s="11" t="n">
        <f aca="false">Units!$E37*(1+Inputs!$B$7)^(AW$2-1)</f>
        <v>1666.408675</v>
      </c>
      <c r="AX38" s="11" t="n">
        <f aca="false">Units!$E37*(1+Inputs!$B$7)^(AX$2-1)</f>
        <v>1666.408675</v>
      </c>
      <c r="AY38" s="11" t="n">
        <f aca="false">Units!$E37*(1+Inputs!$B$7)^(AY$2-1)</f>
        <v>1716.40093525</v>
      </c>
      <c r="AZ38" s="11" t="n">
        <f aca="false">Units!$E37*(1+Inputs!$B$7)^(AZ$2-1)</f>
        <v>1716.40093525</v>
      </c>
      <c r="BA38" s="11" t="n">
        <f aca="false">Units!$E37*(1+Inputs!$B$7)^(BA$2-1)</f>
        <v>1716.40093525</v>
      </c>
      <c r="BB38" s="11" t="n">
        <f aca="false">Units!$E37*(1+Inputs!$B$7)^(BB$2-1)</f>
        <v>1716.40093525</v>
      </c>
      <c r="BC38" s="11" t="n">
        <f aca="false">Units!$E37*(1+Inputs!$B$7)^(BC$2-1)</f>
        <v>1716.40093525</v>
      </c>
      <c r="BD38" s="11" t="n">
        <f aca="false">Units!$E37*(1+Inputs!$B$7)^(BD$2-1)</f>
        <v>1716.40093525</v>
      </c>
      <c r="BE38" s="11" t="n">
        <f aca="false">Units!$E37*(1+Inputs!$B$7)^(BE$2-1)</f>
        <v>1716.40093525</v>
      </c>
      <c r="BF38" s="11" t="n">
        <f aca="false">Units!$E37*(1+Inputs!$B$7)^(BF$2-1)</f>
        <v>1716.40093525</v>
      </c>
      <c r="BG38" s="11" t="n">
        <f aca="false">Units!$E37*(1+Inputs!$B$7)^(BG$2-1)</f>
        <v>1716.40093525</v>
      </c>
      <c r="BH38" s="11" t="n">
        <f aca="false">Units!$E37*(1+Inputs!$B$7)^(BH$2-1)</f>
        <v>1716.40093525</v>
      </c>
      <c r="BI38" s="11" t="n">
        <f aca="false">Units!$E37*(1+Inputs!$B$7)^(BI$2-1)</f>
        <v>1716.40093525</v>
      </c>
      <c r="BJ38" s="11" t="n">
        <f aca="false">Units!$E37*(1+Inputs!$B$7)^(BJ$2-1)</f>
        <v>1716.40093525</v>
      </c>
      <c r="BK38" s="11" t="n">
        <f aca="false">Units!$E37*(1+Inputs!$B$7)^(BK$2-1)</f>
        <v>1767.8929633075</v>
      </c>
      <c r="BL38" s="11" t="n">
        <f aca="false">Units!$E37*(1+Inputs!$B$7)^(BL$2-1)</f>
        <v>1767.8929633075</v>
      </c>
      <c r="BM38" s="11" t="n">
        <f aca="false">Units!$E37*(1+Inputs!$B$7)^(BM$2-1)</f>
        <v>1767.8929633075</v>
      </c>
      <c r="BN38" s="11" t="n">
        <f aca="false">Units!$E37*(1+Inputs!$B$7)^(BN$2-1)</f>
        <v>1767.8929633075</v>
      </c>
      <c r="BO38" s="11" t="n">
        <f aca="false">Units!$E37*(1+Inputs!$B$7)^(BO$2-1)</f>
        <v>1767.8929633075</v>
      </c>
      <c r="BP38" s="11" t="n">
        <f aca="false">Units!$E37*(1+Inputs!$B$7)^(BP$2-1)</f>
        <v>1767.8929633075</v>
      </c>
      <c r="BQ38" s="11" t="n">
        <f aca="false">Units!$E37*(1+Inputs!$B$7)^(BQ$2-1)</f>
        <v>1767.8929633075</v>
      </c>
      <c r="BR38" s="11" t="n">
        <f aca="false">Units!$E37*(1+Inputs!$B$7)^(BR$2-1)</f>
        <v>1767.8929633075</v>
      </c>
      <c r="BS38" s="11" t="n">
        <f aca="false">Units!$E37*(1+Inputs!$B$7)^(BS$2-1)</f>
        <v>1767.8929633075</v>
      </c>
      <c r="BT38" s="11" t="n">
        <f aca="false">Units!$E37*(1+Inputs!$B$7)^(BT$2-1)</f>
        <v>1767.8929633075</v>
      </c>
      <c r="BU38" s="11" t="n">
        <f aca="false">Units!$E37*(1+Inputs!$B$7)^(BU$2-1)</f>
        <v>1767.8929633075</v>
      </c>
      <c r="BV38" s="11" t="n">
        <f aca="false">Units!$E37*(1+Inputs!$B$7)^(BV$2-1)</f>
        <v>1767.8929633075</v>
      </c>
      <c r="BW38" s="11" t="n">
        <f aca="false">Units!$E37*(1+Inputs!$B$7)^(BW$2-1)</f>
        <v>1820.92975220673</v>
      </c>
      <c r="BX38" s="11" t="n">
        <f aca="false">Units!$E37*(1+Inputs!$B$7)^(BX$2-1)</f>
        <v>1820.92975220673</v>
      </c>
      <c r="BY38" s="11" t="n">
        <f aca="false">Units!$E37*(1+Inputs!$B$7)^(BY$2-1)</f>
        <v>1820.92975220673</v>
      </c>
      <c r="BZ38" s="11" t="n">
        <f aca="false">Units!$E37*(1+Inputs!$B$7)^(BZ$2-1)</f>
        <v>1820.92975220673</v>
      </c>
      <c r="CA38" s="11" t="n">
        <f aca="false">Units!$E37*(1+Inputs!$B$7)^(CA$2-1)</f>
        <v>1820.92975220673</v>
      </c>
      <c r="CB38" s="11" t="n">
        <f aca="false">Units!$E37*(1+Inputs!$B$7)^(CB$2-1)</f>
        <v>1820.92975220673</v>
      </c>
      <c r="CC38" s="11" t="n">
        <f aca="false">Units!$E37*(1+Inputs!$B$7)^(CC$2-1)</f>
        <v>1820.92975220673</v>
      </c>
      <c r="CD38" s="11" t="n">
        <f aca="false">Units!$E37*(1+Inputs!$B$7)^(CD$2-1)</f>
        <v>1820.92975220673</v>
      </c>
      <c r="CE38" s="11" t="n">
        <f aca="false">Units!$E37*(1+Inputs!$B$7)^(CE$2-1)</f>
        <v>1820.92975220673</v>
      </c>
      <c r="CF38" s="11" t="n">
        <f aca="false">Units!$E37*(1+Inputs!$B$7)^(CF$2-1)</f>
        <v>1820.92975220673</v>
      </c>
      <c r="CG38" s="11" t="n">
        <f aca="false">Units!$E37*(1+Inputs!$B$7)^(CG$2-1)</f>
        <v>1820.92975220673</v>
      </c>
      <c r="CH38" s="11" t="n">
        <f aca="false">Units!$E37*(1+Inputs!$B$7)^(CH$2-1)</f>
        <v>1820.92975220673</v>
      </c>
      <c r="CI38" s="11" t="n">
        <f aca="false">Units!$E37*(1+Inputs!$B$7)^(CI$2-1)</f>
        <v>1875.55764477293</v>
      </c>
      <c r="CJ38" s="11" t="n">
        <f aca="false">Units!$E37*(1+Inputs!$B$7)^(CJ$2-1)</f>
        <v>1875.55764477293</v>
      </c>
      <c r="CK38" s="11" t="n">
        <f aca="false">Units!$E37*(1+Inputs!$B$7)^(CK$2-1)</f>
        <v>1875.55764477293</v>
      </c>
      <c r="CL38" s="11" t="n">
        <f aca="false">Units!$E37*(1+Inputs!$B$7)^(CL$2-1)</f>
        <v>1875.55764477293</v>
      </c>
      <c r="CM38" s="11" t="n">
        <f aca="false">Units!$E37*(1+Inputs!$B$7)^(CM$2-1)</f>
        <v>1875.55764477293</v>
      </c>
      <c r="CN38" s="11" t="n">
        <f aca="false">Units!$E37*(1+Inputs!$B$7)^(CN$2-1)</f>
        <v>1875.55764477293</v>
      </c>
      <c r="CO38" s="11" t="n">
        <f aca="false">Units!$E37*(1+Inputs!$B$7)^(CO$2-1)</f>
        <v>1875.55764477293</v>
      </c>
      <c r="CP38" s="11" t="n">
        <f aca="false">Units!$E37*(1+Inputs!$B$7)^(CP$2-1)</f>
        <v>1875.55764477293</v>
      </c>
      <c r="CQ38" s="11" t="n">
        <f aca="false">Units!$E37*(1+Inputs!$B$7)^(CQ$2-1)</f>
        <v>1875.55764477293</v>
      </c>
      <c r="CR38" s="11" t="n">
        <f aca="false">Units!$E37*(1+Inputs!$B$7)^(CR$2-1)</f>
        <v>1875.55764477293</v>
      </c>
      <c r="CS38" s="11" t="n">
        <f aca="false">Units!$E37*(1+Inputs!$B$7)^(CS$2-1)</f>
        <v>1875.55764477293</v>
      </c>
      <c r="CT38" s="11" t="n">
        <f aca="false">Units!$E37*(1+Inputs!$B$7)^(CT$2-1)</f>
        <v>1875.55764477293</v>
      </c>
      <c r="CU38" s="11" t="n">
        <f aca="false">Units!$E37*(1+Inputs!$B$7)^(CU$2-1)</f>
        <v>1931.82437411612</v>
      </c>
      <c r="CV38" s="11" t="n">
        <f aca="false">Units!$E37*(1+Inputs!$B$7)^(CV$2-1)</f>
        <v>1931.82437411612</v>
      </c>
      <c r="CW38" s="11" t="n">
        <f aca="false">Units!$E37*(1+Inputs!$B$7)^(CW$2-1)</f>
        <v>1931.82437411612</v>
      </c>
      <c r="CX38" s="11" t="n">
        <f aca="false">Units!$E37*(1+Inputs!$B$7)^(CX$2-1)</f>
        <v>1931.82437411612</v>
      </c>
      <c r="CY38" s="11" t="n">
        <f aca="false">Units!$E37*(1+Inputs!$B$7)^(CY$2-1)</f>
        <v>1931.82437411612</v>
      </c>
      <c r="CZ38" s="11" t="n">
        <f aca="false">Units!$E37*(1+Inputs!$B$7)^(CZ$2-1)</f>
        <v>1931.82437411612</v>
      </c>
      <c r="DA38" s="11" t="n">
        <f aca="false">Units!$E37*(1+Inputs!$B$7)^(DA$2-1)</f>
        <v>1931.82437411612</v>
      </c>
      <c r="DB38" s="11" t="n">
        <f aca="false">Units!$E37*(1+Inputs!$B$7)^(DB$2-1)</f>
        <v>1931.82437411612</v>
      </c>
      <c r="DC38" s="11" t="n">
        <f aca="false">Units!$E37*(1+Inputs!$B$7)^(DC$2-1)</f>
        <v>1931.82437411612</v>
      </c>
      <c r="DD38" s="11" t="n">
        <f aca="false">Units!$E37*(1+Inputs!$B$7)^(DD$2-1)</f>
        <v>1931.82437411612</v>
      </c>
      <c r="DE38" s="11" t="n">
        <f aca="false">Units!$E37*(1+Inputs!$B$7)^(DE$2-1)</f>
        <v>1931.82437411612</v>
      </c>
      <c r="DF38" s="11" t="n">
        <f aca="false">Units!$E37*(1+Inputs!$B$7)^(DF$2-1)</f>
        <v>1931.82437411612</v>
      </c>
      <c r="DG38" s="11" t="n">
        <f aca="false">Units!$E37*(1+Inputs!$B$7)^(DG$2-1)</f>
        <v>1989.7791053396</v>
      </c>
      <c r="DH38" s="11" t="n">
        <f aca="false">Units!$E37*(1+Inputs!$B$7)^(DH$2-1)</f>
        <v>1989.7791053396</v>
      </c>
      <c r="DI38" s="11" t="n">
        <f aca="false">Units!$E37*(1+Inputs!$B$7)^(DI$2-1)</f>
        <v>1989.7791053396</v>
      </c>
      <c r="DJ38" s="11" t="n">
        <f aca="false">Units!$E37*(1+Inputs!$B$7)^(DJ$2-1)</f>
        <v>1989.7791053396</v>
      </c>
      <c r="DK38" s="11" t="n">
        <f aca="false">Units!$E37*(1+Inputs!$B$7)^(DK$2-1)</f>
        <v>1989.7791053396</v>
      </c>
      <c r="DL38" s="11" t="n">
        <f aca="false">Units!$E37*(1+Inputs!$B$7)^(DL$2-1)</f>
        <v>1989.7791053396</v>
      </c>
      <c r="DM38" s="11" t="n">
        <f aca="false">Units!$E37*(1+Inputs!$B$7)^(DM$2-1)</f>
        <v>1989.7791053396</v>
      </c>
      <c r="DN38" s="11" t="n">
        <f aca="false">Units!$E37*(1+Inputs!$B$7)^(DN$2-1)</f>
        <v>1989.7791053396</v>
      </c>
      <c r="DO38" s="11" t="n">
        <f aca="false">Units!$E37*(1+Inputs!$B$7)^(DO$2-1)</f>
        <v>1989.7791053396</v>
      </c>
      <c r="DP38" s="11" t="n">
        <f aca="false">Units!$E37*(1+Inputs!$B$7)^(DP$2-1)</f>
        <v>1989.7791053396</v>
      </c>
      <c r="DQ38" s="11" t="n">
        <f aca="false">Units!$E37*(1+Inputs!$B$7)^(DQ$2-1)</f>
        <v>1989.7791053396</v>
      </c>
      <c r="DR38" s="11" t="n">
        <f aca="false">Units!$E37*(1+Inputs!$B$7)^(DR$2-1)</f>
        <v>1989.7791053396</v>
      </c>
      <c r="DS38" s="11" t="n">
        <f aca="false">Units!$E37*(1+Inputs!$B$7)^(DS$2-1)</f>
        <v>2049.47247849979</v>
      </c>
      <c r="DT38" s="11" t="n">
        <f aca="false">Units!$E37*(1+Inputs!$B$7)^(DT$2-1)</f>
        <v>2049.47247849979</v>
      </c>
      <c r="DU38" s="11" t="n">
        <f aca="false">Units!$E37*(1+Inputs!$B$7)^(DU$2-1)</f>
        <v>2049.47247849979</v>
      </c>
      <c r="DV38" s="11" t="n">
        <f aca="false">Units!$E37*(1+Inputs!$B$7)^(DV$2-1)</f>
        <v>2049.47247849979</v>
      </c>
      <c r="DW38" s="11" t="n">
        <f aca="false">Units!$E37*(1+Inputs!$B$7)^(DW$2-1)</f>
        <v>2049.47247849979</v>
      </c>
      <c r="DX38" s="11" t="n">
        <f aca="false">Units!$E37*(1+Inputs!$B$7)^(DX$2-1)</f>
        <v>2049.47247849979</v>
      </c>
      <c r="DY38" s="11" t="n">
        <f aca="false">Units!$E37*(1+Inputs!$B$7)^(DY$2-1)</f>
        <v>2049.47247849979</v>
      </c>
      <c r="DZ38" s="11" t="n">
        <f aca="false">Units!$E37*(1+Inputs!$B$7)^(DZ$2-1)</f>
        <v>2049.47247849979</v>
      </c>
      <c r="EA38" s="11" t="n">
        <f aca="false">Units!$E37*(1+Inputs!$B$7)^(EA$2-1)</f>
        <v>2049.47247849979</v>
      </c>
      <c r="EB38" s="11" t="n">
        <f aca="false">Units!$E37*(1+Inputs!$B$7)^(EB$2-1)</f>
        <v>2049.47247849979</v>
      </c>
      <c r="EC38" s="11" t="n">
        <f aca="false">Units!$E37*(1+Inputs!$B$7)^(EC$2-1)</f>
        <v>2049.47247849979</v>
      </c>
      <c r="ED38" s="11" t="n">
        <f aca="false">Units!$E37*(1+Inputs!$B$7)^(ED$2-1)</f>
        <v>2049.47247849979</v>
      </c>
    </row>
    <row r="39" customFormat="false" ht="15" hidden="false" customHeight="false" outlineLevel="0" collapsed="false">
      <c r="A39" s="22" t="n">
        <f aca="false">Units!A38</f>
        <v>207</v>
      </c>
      <c r="B39" s="23"/>
      <c r="C39" s="11" t="n">
        <f aca="false">Units!$E38*(1+Inputs!$B$7)^(C$2-1)</f>
        <v>1525</v>
      </c>
      <c r="D39" s="11" t="n">
        <f aca="false">Units!$E38*(1+Inputs!$B$7)^(D$2-1)</f>
        <v>1525</v>
      </c>
      <c r="E39" s="11" t="n">
        <f aca="false">Units!$E38*(1+Inputs!$B$7)^(E$2-1)</f>
        <v>1525</v>
      </c>
      <c r="F39" s="11" t="n">
        <f aca="false">Units!$E38*(1+Inputs!$B$7)^(F$2-1)</f>
        <v>1525</v>
      </c>
      <c r="G39" s="11" t="n">
        <f aca="false">Units!$E38*(1+Inputs!$B$7)^(G$2-1)</f>
        <v>1525</v>
      </c>
      <c r="H39" s="11" t="n">
        <f aca="false">Units!$E38*(1+Inputs!$B$7)^(H$2-1)</f>
        <v>1525</v>
      </c>
      <c r="I39" s="11" t="n">
        <f aca="false">Units!$E38*(1+Inputs!$B$7)^(I$2-1)</f>
        <v>1525</v>
      </c>
      <c r="J39" s="11" t="n">
        <f aca="false">Units!$E38*(1+Inputs!$B$7)^(J$2-1)</f>
        <v>1525</v>
      </c>
      <c r="K39" s="11" t="n">
        <f aca="false">Units!$E38*(1+Inputs!$B$7)^(K$2-1)</f>
        <v>1525</v>
      </c>
      <c r="L39" s="11" t="n">
        <f aca="false">Units!$E38*(1+Inputs!$B$7)^(L$2-1)</f>
        <v>1525</v>
      </c>
      <c r="M39" s="11" t="n">
        <f aca="false">Units!$E38*(1+Inputs!$B$7)^(M$2-1)</f>
        <v>1525</v>
      </c>
      <c r="N39" s="11" t="n">
        <f aca="false">Units!$E38*(1+Inputs!$B$7)^(N$2-1)</f>
        <v>1525</v>
      </c>
      <c r="O39" s="11" t="n">
        <f aca="false">Units!$E38*(1+Inputs!$B$7)^(O$2-1)</f>
        <v>1570.75</v>
      </c>
      <c r="P39" s="11" t="n">
        <f aca="false">Units!$E38*(1+Inputs!$B$7)^(P$2-1)</f>
        <v>1570.75</v>
      </c>
      <c r="Q39" s="11" t="n">
        <f aca="false">Units!$E38*(1+Inputs!$B$7)^(Q$2-1)</f>
        <v>1570.75</v>
      </c>
      <c r="R39" s="11" t="n">
        <f aca="false">Units!$E38*(1+Inputs!$B$7)^(R$2-1)</f>
        <v>1570.75</v>
      </c>
      <c r="S39" s="11" t="n">
        <f aca="false">Units!$E38*(1+Inputs!$B$7)^(S$2-1)</f>
        <v>1570.75</v>
      </c>
      <c r="T39" s="11" t="n">
        <f aca="false">Units!$E38*(1+Inputs!$B$7)^(T$2-1)</f>
        <v>1570.75</v>
      </c>
      <c r="U39" s="11" t="n">
        <f aca="false">Units!$E38*(1+Inputs!$B$7)^(U$2-1)</f>
        <v>1570.75</v>
      </c>
      <c r="V39" s="11" t="n">
        <f aca="false">Units!$E38*(1+Inputs!$B$7)^(V$2-1)</f>
        <v>1570.75</v>
      </c>
      <c r="W39" s="11" t="n">
        <f aca="false">Units!$E38*(1+Inputs!$B$7)^(W$2-1)</f>
        <v>1570.75</v>
      </c>
      <c r="X39" s="11" t="n">
        <f aca="false">Units!$E38*(1+Inputs!$B$7)^(X$2-1)</f>
        <v>1570.75</v>
      </c>
      <c r="Y39" s="11" t="n">
        <f aca="false">Units!$E38*(1+Inputs!$B$7)^(Y$2-1)</f>
        <v>1570.75</v>
      </c>
      <c r="Z39" s="11" t="n">
        <f aca="false">Units!$E38*(1+Inputs!$B$7)^(Z$2-1)</f>
        <v>1570.75</v>
      </c>
      <c r="AA39" s="11" t="n">
        <f aca="false">Units!$E38*(1+Inputs!$B$7)^(AA$2-1)</f>
        <v>1617.8725</v>
      </c>
      <c r="AB39" s="11" t="n">
        <f aca="false">Units!$E38*(1+Inputs!$B$7)^(AB$2-1)</f>
        <v>1617.8725</v>
      </c>
      <c r="AC39" s="11" t="n">
        <f aca="false">Units!$E38*(1+Inputs!$B$7)^(AC$2-1)</f>
        <v>1617.8725</v>
      </c>
      <c r="AD39" s="11" t="n">
        <f aca="false">Units!$E38*(1+Inputs!$B$7)^(AD$2-1)</f>
        <v>1617.8725</v>
      </c>
      <c r="AE39" s="11" t="n">
        <f aca="false">Units!$E38*(1+Inputs!$B$7)^(AE$2-1)</f>
        <v>1617.8725</v>
      </c>
      <c r="AF39" s="11" t="n">
        <f aca="false">Units!$E38*(1+Inputs!$B$7)^(AF$2-1)</f>
        <v>1617.8725</v>
      </c>
      <c r="AG39" s="11" t="n">
        <f aca="false">Units!$E38*(1+Inputs!$B$7)^(AG$2-1)</f>
        <v>1617.8725</v>
      </c>
      <c r="AH39" s="11" t="n">
        <f aca="false">Units!$E38*(1+Inputs!$B$7)^(AH$2-1)</f>
        <v>1617.8725</v>
      </c>
      <c r="AI39" s="11" t="n">
        <f aca="false">Units!$E38*(1+Inputs!$B$7)^(AI$2-1)</f>
        <v>1617.8725</v>
      </c>
      <c r="AJ39" s="11" t="n">
        <f aca="false">Units!$E38*(1+Inputs!$B$7)^(AJ$2-1)</f>
        <v>1617.8725</v>
      </c>
      <c r="AK39" s="11" t="n">
        <f aca="false">Units!$E38*(1+Inputs!$B$7)^(AK$2-1)</f>
        <v>1617.8725</v>
      </c>
      <c r="AL39" s="11" t="n">
        <f aca="false">Units!$E38*(1+Inputs!$B$7)^(AL$2-1)</f>
        <v>1617.8725</v>
      </c>
      <c r="AM39" s="11" t="n">
        <f aca="false">Units!$E38*(1+Inputs!$B$7)^(AM$2-1)</f>
        <v>1666.408675</v>
      </c>
      <c r="AN39" s="11" t="n">
        <f aca="false">Units!$E38*(1+Inputs!$B$7)^(AN$2-1)</f>
        <v>1666.408675</v>
      </c>
      <c r="AO39" s="11" t="n">
        <f aca="false">Units!$E38*(1+Inputs!$B$7)^(AO$2-1)</f>
        <v>1666.408675</v>
      </c>
      <c r="AP39" s="11" t="n">
        <f aca="false">Units!$E38*(1+Inputs!$B$7)^(AP$2-1)</f>
        <v>1666.408675</v>
      </c>
      <c r="AQ39" s="11" t="n">
        <f aca="false">Units!$E38*(1+Inputs!$B$7)^(AQ$2-1)</f>
        <v>1666.408675</v>
      </c>
      <c r="AR39" s="11" t="n">
        <f aca="false">Units!$E38*(1+Inputs!$B$7)^(AR$2-1)</f>
        <v>1666.408675</v>
      </c>
      <c r="AS39" s="11" t="n">
        <f aca="false">Units!$E38*(1+Inputs!$B$7)^(AS$2-1)</f>
        <v>1666.408675</v>
      </c>
      <c r="AT39" s="11" t="n">
        <f aca="false">Units!$E38*(1+Inputs!$B$7)^(AT$2-1)</f>
        <v>1666.408675</v>
      </c>
      <c r="AU39" s="11" t="n">
        <f aca="false">Units!$E38*(1+Inputs!$B$7)^(AU$2-1)</f>
        <v>1666.408675</v>
      </c>
      <c r="AV39" s="11" t="n">
        <f aca="false">Units!$E38*(1+Inputs!$B$7)^(AV$2-1)</f>
        <v>1666.408675</v>
      </c>
      <c r="AW39" s="11" t="n">
        <f aca="false">Units!$E38*(1+Inputs!$B$7)^(AW$2-1)</f>
        <v>1666.408675</v>
      </c>
      <c r="AX39" s="11" t="n">
        <f aca="false">Units!$E38*(1+Inputs!$B$7)^(AX$2-1)</f>
        <v>1666.408675</v>
      </c>
      <c r="AY39" s="11" t="n">
        <f aca="false">Units!$E38*(1+Inputs!$B$7)^(AY$2-1)</f>
        <v>1716.40093525</v>
      </c>
      <c r="AZ39" s="11" t="n">
        <f aca="false">Units!$E38*(1+Inputs!$B$7)^(AZ$2-1)</f>
        <v>1716.40093525</v>
      </c>
      <c r="BA39" s="11" t="n">
        <f aca="false">Units!$E38*(1+Inputs!$B$7)^(BA$2-1)</f>
        <v>1716.40093525</v>
      </c>
      <c r="BB39" s="11" t="n">
        <f aca="false">Units!$E38*(1+Inputs!$B$7)^(BB$2-1)</f>
        <v>1716.40093525</v>
      </c>
      <c r="BC39" s="11" t="n">
        <f aca="false">Units!$E38*(1+Inputs!$B$7)^(BC$2-1)</f>
        <v>1716.40093525</v>
      </c>
      <c r="BD39" s="11" t="n">
        <f aca="false">Units!$E38*(1+Inputs!$B$7)^(BD$2-1)</f>
        <v>1716.40093525</v>
      </c>
      <c r="BE39" s="11" t="n">
        <f aca="false">Units!$E38*(1+Inputs!$B$7)^(BE$2-1)</f>
        <v>1716.40093525</v>
      </c>
      <c r="BF39" s="11" t="n">
        <f aca="false">Units!$E38*(1+Inputs!$B$7)^(BF$2-1)</f>
        <v>1716.40093525</v>
      </c>
      <c r="BG39" s="11" t="n">
        <f aca="false">Units!$E38*(1+Inputs!$B$7)^(BG$2-1)</f>
        <v>1716.40093525</v>
      </c>
      <c r="BH39" s="11" t="n">
        <f aca="false">Units!$E38*(1+Inputs!$B$7)^(BH$2-1)</f>
        <v>1716.40093525</v>
      </c>
      <c r="BI39" s="11" t="n">
        <f aca="false">Units!$E38*(1+Inputs!$B$7)^(BI$2-1)</f>
        <v>1716.40093525</v>
      </c>
      <c r="BJ39" s="11" t="n">
        <f aca="false">Units!$E38*(1+Inputs!$B$7)^(BJ$2-1)</f>
        <v>1716.40093525</v>
      </c>
      <c r="BK39" s="11" t="n">
        <f aca="false">Units!$E38*(1+Inputs!$B$7)^(BK$2-1)</f>
        <v>1767.8929633075</v>
      </c>
      <c r="BL39" s="11" t="n">
        <f aca="false">Units!$E38*(1+Inputs!$B$7)^(BL$2-1)</f>
        <v>1767.8929633075</v>
      </c>
      <c r="BM39" s="11" t="n">
        <f aca="false">Units!$E38*(1+Inputs!$B$7)^(BM$2-1)</f>
        <v>1767.8929633075</v>
      </c>
      <c r="BN39" s="11" t="n">
        <f aca="false">Units!$E38*(1+Inputs!$B$7)^(BN$2-1)</f>
        <v>1767.8929633075</v>
      </c>
      <c r="BO39" s="11" t="n">
        <f aca="false">Units!$E38*(1+Inputs!$B$7)^(BO$2-1)</f>
        <v>1767.8929633075</v>
      </c>
      <c r="BP39" s="11" t="n">
        <f aca="false">Units!$E38*(1+Inputs!$B$7)^(BP$2-1)</f>
        <v>1767.8929633075</v>
      </c>
      <c r="BQ39" s="11" t="n">
        <f aca="false">Units!$E38*(1+Inputs!$B$7)^(BQ$2-1)</f>
        <v>1767.8929633075</v>
      </c>
      <c r="BR39" s="11" t="n">
        <f aca="false">Units!$E38*(1+Inputs!$B$7)^(BR$2-1)</f>
        <v>1767.8929633075</v>
      </c>
      <c r="BS39" s="11" t="n">
        <f aca="false">Units!$E38*(1+Inputs!$B$7)^(BS$2-1)</f>
        <v>1767.8929633075</v>
      </c>
      <c r="BT39" s="11" t="n">
        <f aca="false">Units!$E38*(1+Inputs!$B$7)^(BT$2-1)</f>
        <v>1767.8929633075</v>
      </c>
      <c r="BU39" s="11" t="n">
        <f aca="false">Units!$E38*(1+Inputs!$B$7)^(BU$2-1)</f>
        <v>1767.8929633075</v>
      </c>
      <c r="BV39" s="11" t="n">
        <f aca="false">Units!$E38*(1+Inputs!$B$7)^(BV$2-1)</f>
        <v>1767.8929633075</v>
      </c>
      <c r="BW39" s="11" t="n">
        <f aca="false">Units!$E38*(1+Inputs!$B$7)^(BW$2-1)</f>
        <v>1820.92975220673</v>
      </c>
      <c r="BX39" s="11" t="n">
        <f aca="false">Units!$E38*(1+Inputs!$B$7)^(BX$2-1)</f>
        <v>1820.92975220673</v>
      </c>
      <c r="BY39" s="11" t="n">
        <f aca="false">Units!$E38*(1+Inputs!$B$7)^(BY$2-1)</f>
        <v>1820.92975220673</v>
      </c>
      <c r="BZ39" s="11" t="n">
        <f aca="false">Units!$E38*(1+Inputs!$B$7)^(BZ$2-1)</f>
        <v>1820.92975220673</v>
      </c>
      <c r="CA39" s="11" t="n">
        <f aca="false">Units!$E38*(1+Inputs!$B$7)^(CA$2-1)</f>
        <v>1820.92975220673</v>
      </c>
      <c r="CB39" s="11" t="n">
        <f aca="false">Units!$E38*(1+Inputs!$B$7)^(CB$2-1)</f>
        <v>1820.92975220673</v>
      </c>
      <c r="CC39" s="11" t="n">
        <f aca="false">Units!$E38*(1+Inputs!$B$7)^(CC$2-1)</f>
        <v>1820.92975220673</v>
      </c>
      <c r="CD39" s="11" t="n">
        <f aca="false">Units!$E38*(1+Inputs!$B$7)^(CD$2-1)</f>
        <v>1820.92975220673</v>
      </c>
      <c r="CE39" s="11" t="n">
        <f aca="false">Units!$E38*(1+Inputs!$B$7)^(CE$2-1)</f>
        <v>1820.92975220673</v>
      </c>
      <c r="CF39" s="11" t="n">
        <f aca="false">Units!$E38*(1+Inputs!$B$7)^(CF$2-1)</f>
        <v>1820.92975220673</v>
      </c>
      <c r="CG39" s="11" t="n">
        <f aca="false">Units!$E38*(1+Inputs!$B$7)^(CG$2-1)</f>
        <v>1820.92975220673</v>
      </c>
      <c r="CH39" s="11" t="n">
        <f aca="false">Units!$E38*(1+Inputs!$B$7)^(CH$2-1)</f>
        <v>1820.92975220673</v>
      </c>
      <c r="CI39" s="11" t="n">
        <f aca="false">Units!$E38*(1+Inputs!$B$7)^(CI$2-1)</f>
        <v>1875.55764477293</v>
      </c>
      <c r="CJ39" s="11" t="n">
        <f aca="false">Units!$E38*(1+Inputs!$B$7)^(CJ$2-1)</f>
        <v>1875.55764477293</v>
      </c>
      <c r="CK39" s="11" t="n">
        <f aca="false">Units!$E38*(1+Inputs!$B$7)^(CK$2-1)</f>
        <v>1875.55764477293</v>
      </c>
      <c r="CL39" s="11" t="n">
        <f aca="false">Units!$E38*(1+Inputs!$B$7)^(CL$2-1)</f>
        <v>1875.55764477293</v>
      </c>
      <c r="CM39" s="11" t="n">
        <f aca="false">Units!$E38*(1+Inputs!$B$7)^(CM$2-1)</f>
        <v>1875.55764477293</v>
      </c>
      <c r="CN39" s="11" t="n">
        <f aca="false">Units!$E38*(1+Inputs!$B$7)^(CN$2-1)</f>
        <v>1875.55764477293</v>
      </c>
      <c r="CO39" s="11" t="n">
        <f aca="false">Units!$E38*(1+Inputs!$B$7)^(CO$2-1)</f>
        <v>1875.55764477293</v>
      </c>
      <c r="CP39" s="11" t="n">
        <f aca="false">Units!$E38*(1+Inputs!$B$7)^(CP$2-1)</f>
        <v>1875.55764477293</v>
      </c>
      <c r="CQ39" s="11" t="n">
        <f aca="false">Units!$E38*(1+Inputs!$B$7)^(CQ$2-1)</f>
        <v>1875.55764477293</v>
      </c>
      <c r="CR39" s="11" t="n">
        <f aca="false">Units!$E38*(1+Inputs!$B$7)^(CR$2-1)</f>
        <v>1875.55764477293</v>
      </c>
      <c r="CS39" s="11" t="n">
        <f aca="false">Units!$E38*(1+Inputs!$B$7)^(CS$2-1)</f>
        <v>1875.55764477293</v>
      </c>
      <c r="CT39" s="11" t="n">
        <f aca="false">Units!$E38*(1+Inputs!$B$7)^(CT$2-1)</f>
        <v>1875.55764477293</v>
      </c>
      <c r="CU39" s="11" t="n">
        <f aca="false">Units!$E38*(1+Inputs!$B$7)^(CU$2-1)</f>
        <v>1931.82437411612</v>
      </c>
      <c r="CV39" s="11" t="n">
        <f aca="false">Units!$E38*(1+Inputs!$B$7)^(CV$2-1)</f>
        <v>1931.82437411612</v>
      </c>
      <c r="CW39" s="11" t="n">
        <f aca="false">Units!$E38*(1+Inputs!$B$7)^(CW$2-1)</f>
        <v>1931.82437411612</v>
      </c>
      <c r="CX39" s="11" t="n">
        <f aca="false">Units!$E38*(1+Inputs!$B$7)^(CX$2-1)</f>
        <v>1931.82437411612</v>
      </c>
      <c r="CY39" s="11" t="n">
        <f aca="false">Units!$E38*(1+Inputs!$B$7)^(CY$2-1)</f>
        <v>1931.82437411612</v>
      </c>
      <c r="CZ39" s="11" t="n">
        <f aca="false">Units!$E38*(1+Inputs!$B$7)^(CZ$2-1)</f>
        <v>1931.82437411612</v>
      </c>
      <c r="DA39" s="11" t="n">
        <f aca="false">Units!$E38*(1+Inputs!$B$7)^(DA$2-1)</f>
        <v>1931.82437411612</v>
      </c>
      <c r="DB39" s="11" t="n">
        <f aca="false">Units!$E38*(1+Inputs!$B$7)^(DB$2-1)</f>
        <v>1931.82437411612</v>
      </c>
      <c r="DC39" s="11" t="n">
        <f aca="false">Units!$E38*(1+Inputs!$B$7)^(DC$2-1)</f>
        <v>1931.82437411612</v>
      </c>
      <c r="DD39" s="11" t="n">
        <f aca="false">Units!$E38*(1+Inputs!$B$7)^(DD$2-1)</f>
        <v>1931.82437411612</v>
      </c>
      <c r="DE39" s="11" t="n">
        <f aca="false">Units!$E38*(1+Inputs!$B$7)^(DE$2-1)</f>
        <v>1931.82437411612</v>
      </c>
      <c r="DF39" s="11" t="n">
        <f aca="false">Units!$E38*(1+Inputs!$B$7)^(DF$2-1)</f>
        <v>1931.82437411612</v>
      </c>
      <c r="DG39" s="11" t="n">
        <f aca="false">Units!$E38*(1+Inputs!$B$7)^(DG$2-1)</f>
        <v>1989.7791053396</v>
      </c>
      <c r="DH39" s="11" t="n">
        <f aca="false">Units!$E38*(1+Inputs!$B$7)^(DH$2-1)</f>
        <v>1989.7791053396</v>
      </c>
      <c r="DI39" s="11" t="n">
        <f aca="false">Units!$E38*(1+Inputs!$B$7)^(DI$2-1)</f>
        <v>1989.7791053396</v>
      </c>
      <c r="DJ39" s="11" t="n">
        <f aca="false">Units!$E38*(1+Inputs!$B$7)^(DJ$2-1)</f>
        <v>1989.7791053396</v>
      </c>
      <c r="DK39" s="11" t="n">
        <f aca="false">Units!$E38*(1+Inputs!$B$7)^(DK$2-1)</f>
        <v>1989.7791053396</v>
      </c>
      <c r="DL39" s="11" t="n">
        <f aca="false">Units!$E38*(1+Inputs!$B$7)^(DL$2-1)</f>
        <v>1989.7791053396</v>
      </c>
      <c r="DM39" s="11" t="n">
        <f aca="false">Units!$E38*(1+Inputs!$B$7)^(DM$2-1)</f>
        <v>1989.7791053396</v>
      </c>
      <c r="DN39" s="11" t="n">
        <f aca="false">Units!$E38*(1+Inputs!$B$7)^(DN$2-1)</f>
        <v>1989.7791053396</v>
      </c>
      <c r="DO39" s="11" t="n">
        <f aca="false">Units!$E38*(1+Inputs!$B$7)^(DO$2-1)</f>
        <v>1989.7791053396</v>
      </c>
      <c r="DP39" s="11" t="n">
        <f aca="false">Units!$E38*(1+Inputs!$B$7)^(DP$2-1)</f>
        <v>1989.7791053396</v>
      </c>
      <c r="DQ39" s="11" t="n">
        <f aca="false">Units!$E38*(1+Inputs!$B$7)^(DQ$2-1)</f>
        <v>1989.7791053396</v>
      </c>
      <c r="DR39" s="11" t="n">
        <f aca="false">Units!$E38*(1+Inputs!$B$7)^(DR$2-1)</f>
        <v>1989.7791053396</v>
      </c>
      <c r="DS39" s="11" t="n">
        <f aca="false">Units!$E38*(1+Inputs!$B$7)^(DS$2-1)</f>
        <v>2049.47247849979</v>
      </c>
      <c r="DT39" s="11" t="n">
        <f aca="false">Units!$E38*(1+Inputs!$B$7)^(DT$2-1)</f>
        <v>2049.47247849979</v>
      </c>
      <c r="DU39" s="11" t="n">
        <f aca="false">Units!$E38*(1+Inputs!$B$7)^(DU$2-1)</f>
        <v>2049.47247849979</v>
      </c>
      <c r="DV39" s="11" t="n">
        <f aca="false">Units!$E38*(1+Inputs!$B$7)^(DV$2-1)</f>
        <v>2049.47247849979</v>
      </c>
      <c r="DW39" s="11" t="n">
        <f aca="false">Units!$E38*(1+Inputs!$B$7)^(DW$2-1)</f>
        <v>2049.47247849979</v>
      </c>
      <c r="DX39" s="11" t="n">
        <f aca="false">Units!$E38*(1+Inputs!$B$7)^(DX$2-1)</f>
        <v>2049.47247849979</v>
      </c>
      <c r="DY39" s="11" t="n">
        <f aca="false">Units!$E38*(1+Inputs!$B$7)^(DY$2-1)</f>
        <v>2049.47247849979</v>
      </c>
      <c r="DZ39" s="11" t="n">
        <f aca="false">Units!$E38*(1+Inputs!$B$7)^(DZ$2-1)</f>
        <v>2049.47247849979</v>
      </c>
      <c r="EA39" s="11" t="n">
        <f aca="false">Units!$E38*(1+Inputs!$B$7)^(EA$2-1)</f>
        <v>2049.47247849979</v>
      </c>
      <c r="EB39" s="11" t="n">
        <f aca="false">Units!$E38*(1+Inputs!$B$7)^(EB$2-1)</f>
        <v>2049.47247849979</v>
      </c>
      <c r="EC39" s="11" t="n">
        <f aca="false">Units!$E38*(1+Inputs!$B$7)^(EC$2-1)</f>
        <v>2049.47247849979</v>
      </c>
      <c r="ED39" s="11" t="n">
        <f aca="false">Units!$E38*(1+Inputs!$B$7)^(ED$2-1)</f>
        <v>2049.47247849979</v>
      </c>
    </row>
    <row r="40" customFormat="false" ht="15" hidden="false" customHeight="false" outlineLevel="0" collapsed="false">
      <c r="A40" s="22" t="n">
        <f aca="false">Units!A39</f>
        <v>208</v>
      </c>
      <c r="B40" s="23"/>
      <c r="C40" s="11" t="n">
        <f aca="false">Units!$E39*(1+Inputs!$B$7)^(C$2-1)</f>
        <v>1525</v>
      </c>
      <c r="D40" s="11" t="n">
        <f aca="false">Units!$E39*(1+Inputs!$B$7)^(D$2-1)</f>
        <v>1525</v>
      </c>
      <c r="E40" s="11" t="n">
        <f aca="false">Units!$E39*(1+Inputs!$B$7)^(E$2-1)</f>
        <v>1525</v>
      </c>
      <c r="F40" s="11" t="n">
        <f aca="false">Units!$E39*(1+Inputs!$B$7)^(F$2-1)</f>
        <v>1525</v>
      </c>
      <c r="G40" s="11" t="n">
        <f aca="false">Units!$E39*(1+Inputs!$B$7)^(G$2-1)</f>
        <v>1525</v>
      </c>
      <c r="H40" s="11" t="n">
        <f aca="false">Units!$E39*(1+Inputs!$B$7)^(H$2-1)</f>
        <v>1525</v>
      </c>
      <c r="I40" s="11" t="n">
        <f aca="false">Units!$E39*(1+Inputs!$B$7)^(I$2-1)</f>
        <v>1525</v>
      </c>
      <c r="J40" s="11" t="n">
        <f aca="false">Units!$E39*(1+Inputs!$B$7)^(J$2-1)</f>
        <v>1525</v>
      </c>
      <c r="K40" s="11" t="n">
        <f aca="false">Units!$E39*(1+Inputs!$B$7)^(K$2-1)</f>
        <v>1525</v>
      </c>
      <c r="L40" s="11" t="n">
        <f aca="false">Units!$E39*(1+Inputs!$B$7)^(L$2-1)</f>
        <v>1525</v>
      </c>
      <c r="M40" s="11" t="n">
        <f aca="false">Units!$E39*(1+Inputs!$B$7)^(M$2-1)</f>
        <v>1525</v>
      </c>
      <c r="N40" s="11" t="n">
        <f aca="false">Units!$E39*(1+Inputs!$B$7)^(N$2-1)</f>
        <v>1525</v>
      </c>
      <c r="O40" s="11" t="n">
        <f aca="false">Units!$E39*(1+Inputs!$B$7)^(O$2-1)</f>
        <v>1570.75</v>
      </c>
      <c r="P40" s="11" t="n">
        <f aca="false">Units!$E39*(1+Inputs!$B$7)^(P$2-1)</f>
        <v>1570.75</v>
      </c>
      <c r="Q40" s="11" t="n">
        <f aca="false">Units!$E39*(1+Inputs!$B$7)^(Q$2-1)</f>
        <v>1570.75</v>
      </c>
      <c r="R40" s="11" t="n">
        <f aca="false">Units!$E39*(1+Inputs!$B$7)^(R$2-1)</f>
        <v>1570.75</v>
      </c>
      <c r="S40" s="11" t="n">
        <f aca="false">Units!$E39*(1+Inputs!$B$7)^(S$2-1)</f>
        <v>1570.75</v>
      </c>
      <c r="T40" s="11" t="n">
        <f aca="false">Units!$E39*(1+Inputs!$B$7)^(T$2-1)</f>
        <v>1570.75</v>
      </c>
      <c r="U40" s="11" t="n">
        <f aca="false">Units!$E39*(1+Inputs!$B$7)^(U$2-1)</f>
        <v>1570.75</v>
      </c>
      <c r="V40" s="11" t="n">
        <f aca="false">Units!$E39*(1+Inputs!$B$7)^(V$2-1)</f>
        <v>1570.75</v>
      </c>
      <c r="W40" s="11" t="n">
        <f aca="false">Units!$E39*(1+Inputs!$B$7)^(W$2-1)</f>
        <v>1570.75</v>
      </c>
      <c r="X40" s="11" t="n">
        <f aca="false">Units!$E39*(1+Inputs!$B$7)^(X$2-1)</f>
        <v>1570.75</v>
      </c>
      <c r="Y40" s="11" t="n">
        <f aca="false">Units!$E39*(1+Inputs!$B$7)^(Y$2-1)</f>
        <v>1570.75</v>
      </c>
      <c r="Z40" s="11" t="n">
        <f aca="false">Units!$E39*(1+Inputs!$B$7)^(Z$2-1)</f>
        <v>1570.75</v>
      </c>
      <c r="AA40" s="11" t="n">
        <f aca="false">Units!$E39*(1+Inputs!$B$7)^(AA$2-1)</f>
        <v>1617.8725</v>
      </c>
      <c r="AB40" s="11" t="n">
        <f aca="false">Units!$E39*(1+Inputs!$B$7)^(AB$2-1)</f>
        <v>1617.8725</v>
      </c>
      <c r="AC40" s="11" t="n">
        <f aca="false">Units!$E39*(1+Inputs!$B$7)^(AC$2-1)</f>
        <v>1617.8725</v>
      </c>
      <c r="AD40" s="11" t="n">
        <f aca="false">Units!$E39*(1+Inputs!$B$7)^(AD$2-1)</f>
        <v>1617.8725</v>
      </c>
      <c r="AE40" s="11" t="n">
        <f aca="false">Units!$E39*(1+Inputs!$B$7)^(AE$2-1)</f>
        <v>1617.8725</v>
      </c>
      <c r="AF40" s="11" t="n">
        <f aca="false">Units!$E39*(1+Inputs!$B$7)^(AF$2-1)</f>
        <v>1617.8725</v>
      </c>
      <c r="AG40" s="11" t="n">
        <f aca="false">Units!$E39*(1+Inputs!$B$7)^(AG$2-1)</f>
        <v>1617.8725</v>
      </c>
      <c r="AH40" s="11" t="n">
        <f aca="false">Units!$E39*(1+Inputs!$B$7)^(AH$2-1)</f>
        <v>1617.8725</v>
      </c>
      <c r="AI40" s="11" t="n">
        <f aca="false">Units!$E39*(1+Inputs!$B$7)^(AI$2-1)</f>
        <v>1617.8725</v>
      </c>
      <c r="AJ40" s="11" t="n">
        <f aca="false">Units!$E39*(1+Inputs!$B$7)^(AJ$2-1)</f>
        <v>1617.8725</v>
      </c>
      <c r="AK40" s="11" t="n">
        <f aca="false">Units!$E39*(1+Inputs!$B$7)^(AK$2-1)</f>
        <v>1617.8725</v>
      </c>
      <c r="AL40" s="11" t="n">
        <f aca="false">Units!$E39*(1+Inputs!$B$7)^(AL$2-1)</f>
        <v>1617.8725</v>
      </c>
      <c r="AM40" s="11" t="n">
        <f aca="false">Units!$E39*(1+Inputs!$B$7)^(AM$2-1)</f>
        <v>1666.408675</v>
      </c>
      <c r="AN40" s="11" t="n">
        <f aca="false">Units!$E39*(1+Inputs!$B$7)^(AN$2-1)</f>
        <v>1666.408675</v>
      </c>
      <c r="AO40" s="11" t="n">
        <f aca="false">Units!$E39*(1+Inputs!$B$7)^(AO$2-1)</f>
        <v>1666.408675</v>
      </c>
      <c r="AP40" s="11" t="n">
        <f aca="false">Units!$E39*(1+Inputs!$B$7)^(AP$2-1)</f>
        <v>1666.408675</v>
      </c>
      <c r="AQ40" s="11" t="n">
        <f aca="false">Units!$E39*(1+Inputs!$B$7)^(AQ$2-1)</f>
        <v>1666.408675</v>
      </c>
      <c r="AR40" s="11" t="n">
        <f aca="false">Units!$E39*(1+Inputs!$B$7)^(AR$2-1)</f>
        <v>1666.408675</v>
      </c>
      <c r="AS40" s="11" t="n">
        <f aca="false">Units!$E39*(1+Inputs!$B$7)^(AS$2-1)</f>
        <v>1666.408675</v>
      </c>
      <c r="AT40" s="11" t="n">
        <f aca="false">Units!$E39*(1+Inputs!$B$7)^(AT$2-1)</f>
        <v>1666.408675</v>
      </c>
      <c r="AU40" s="11" t="n">
        <f aca="false">Units!$E39*(1+Inputs!$B$7)^(AU$2-1)</f>
        <v>1666.408675</v>
      </c>
      <c r="AV40" s="11" t="n">
        <f aca="false">Units!$E39*(1+Inputs!$B$7)^(AV$2-1)</f>
        <v>1666.408675</v>
      </c>
      <c r="AW40" s="11" t="n">
        <f aca="false">Units!$E39*(1+Inputs!$B$7)^(AW$2-1)</f>
        <v>1666.408675</v>
      </c>
      <c r="AX40" s="11" t="n">
        <f aca="false">Units!$E39*(1+Inputs!$B$7)^(AX$2-1)</f>
        <v>1666.408675</v>
      </c>
      <c r="AY40" s="11" t="n">
        <f aca="false">Units!$E39*(1+Inputs!$B$7)^(AY$2-1)</f>
        <v>1716.40093525</v>
      </c>
      <c r="AZ40" s="11" t="n">
        <f aca="false">Units!$E39*(1+Inputs!$B$7)^(AZ$2-1)</f>
        <v>1716.40093525</v>
      </c>
      <c r="BA40" s="11" t="n">
        <f aca="false">Units!$E39*(1+Inputs!$B$7)^(BA$2-1)</f>
        <v>1716.40093525</v>
      </c>
      <c r="BB40" s="11" t="n">
        <f aca="false">Units!$E39*(1+Inputs!$B$7)^(BB$2-1)</f>
        <v>1716.40093525</v>
      </c>
      <c r="BC40" s="11" t="n">
        <f aca="false">Units!$E39*(1+Inputs!$B$7)^(BC$2-1)</f>
        <v>1716.40093525</v>
      </c>
      <c r="BD40" s="11" t="n">
        <f aca="false">Units!$E39*(1+Inputs!$B$7)^(BD$2-1)</f>
        <v>1716.40093525</v>
      </c>
      <c r="BE40" s="11" t="n">
        <f aca="false">Units!$E39*(1+Inputs!$B$7)^(BE$2-1)</f>
        <v>1716.40093525</v>
      </c>
      <c r="BF40" s="11" t="n">
        <f aca="false">Units!$E39*(1+Inputs!$B$7)^(BF$2-1)</f>
        <v>1716.40093525</v>
      </c>
      <c r="BG40" s="11" t="n">
        <f aca="false">Units!$E39*(1+Inputs!$B$7)^(BG$2-1)</f>
        <v>1716.40093525</v>
      </c>
      <c r="BH40" s="11" t="n">
        <f aca="false">Units!$E39*(1+Inputs!$B$7)^(BH$2-1)</f>
        <v>1716.40093525</v>
      </c>
      <c r="BI40" s="11" t="n">
        <f aca="false">Units!$E39*(1+Inputs!$B$7)^(BI$2-1)</f>
        <v>1716.40093525</v>
      </c>
      <c r="BJ40" s="11" t="n">
        <f aca="false">Units!$E39*(1+Inputs!$B$7)^(BJ$2-1)</f>
        <v>1716.40093525</v>
      </c>
      <c r="BK40" s="11" t="n">
        <f aca="false">Units!$E39*(1+Inputs!$B$7)^(BK$2-1)</f>
        <v>1767.8929633075</v>
      </c>
      <c r="BL40" s="11" t="n">
        <f aca="false">Units!$E39*(1+Inputs!$B$7)^(BL$2-1)</f>
        <v>1767.8929633075</v>
      </c>
      <c r="BM40" s="11" t="n">
        <f aca="false">Units!$E39*(1+Inputs!$B$7)^(BM$2-1)</f>
        <v>1767.8929633075</v>
      </c>
      <c r="BN40" s="11" t="n">
        <f aca="false">Units!$E39*(1+Inputs!$B$7)^(BN$2-1)</f>
        <v>1767.8929633075</v>
      </c>
      <c r="BO40" s="11" t="n">
        <f aca="false">Units!$E39*(1+Inputs!$B$7)^(BO$2-1)</f>
        <v>1767.8929633075</v>
      </c>
      <c r="BP40" s="11" t="n">
        <f aca="false">Units!$E39*(1+Inputs!$B$7)^(BP$2-1)</f>
        <v>1767.8929633075</v>
      </c>
      <c r="BQ40" s="11" t="n">
        <f aca="false">Units!$E39*(1+Inputs!$B$7)^(BQ$2-1)</f>
        <v>1767.8929633075</v>
      </c>
      <c r="BR40" s="11" t="n">
        <f aca="false">Units!$E39*(1+Inputs!$B$7)^(BR$2-1)</f>
        <v>1767.8929633075</v>
      </c>
      <c r="BS40" s="11" t="n">
        <f aca="false">Units!$E39*(1+Inputs!$B$7)^(BS$2-1)</f>
        <v>1767.8929633075</v>
      </c>
      <c r="BT40" s="11" t="n">
        <f aca="false">Units!$E39*(1+Inputs!$B$7)^(BT$2-1)</f>
        <v>1767.8929633075</v>
      </c>
      <c r="BU40" s="11" t="n">
        <f aca="false">Units!$E39*(1+Inputs!$B$7)^(BU$2-1)</f>
        <v>1767.8929633075</v>
      </c>
      <c r="BV40" s="11" t="n">
        <f aca="false">Units!$E39*(1+Inputs!$B$7)^(BV$2-1)</f>
        <v>1767.8929633075</v>
      </c>
      <c r="BW40" s="11" t="n">
        <f aca="false">Units!$E39*(1+Inputs!$B$7)^(BW$2-1)</f>
        <v>1820.92975220673</v>
      </c>
      <c r="BX40" s="11" t="n">
        <f aca="false">Units!$E39*(1+Inputs!$B$7)^(BX$2-1)</f>
        <v>1820.92975220673</v>
      </c>
      <c r="BY40" s="11" t="n">
        <f aca="false">Units!$E39*(1+Inputs!$B$7)^(BY$2-1)</f>
        <v>1820.92975220673</v>
      </c>
      <c r="BZ40" s="11" t="n">
        <f aca="false">Units!$E39*(1+Inputs!$B$7)^(BZ$2-1)</f>
        <v>1820.92975220673</v>
      </c>
      <c r="CA40" s="11" t="n">
        <f aca="false">Units!$E39*(1+Inputs!$B$7)^(CA$2-1)</f>
        <v>1820.92975220673</v>
      </c>
      <c r="CB40" s="11" t="n">
        <f aca="false">Units!$E39*(1+Inputs!$B$7)^(CB$2-1)</f>
        <v>1820.92975220673</v>
      </c>
      <c r="CC40" s="11" t="n">
        <f aca="false">Units!$E39*(1+Inputs!$B$7)^(CC$2-1)</f>
        <v>1820.92975220673</v>
      </c>
      <c r="CD40" s="11" t="n">
        <f aca="false">Units!$E39*(1+Inputs!$B$7)^(CD$2-1)</f>
        <v>1820.92975220673</v>
      </c>
      <c r="CE40" s="11" t="n">
        <f aca="false">Units!$E39*(1+Inputs!$B$7)^(CE$2-1)</f>
        <v>1820.92975220673</v>
      </c>
      <c r="CF40" s="11" t="n">
        <f aca="false">Units!$E39*(1+Inputs!$B$7)^(CF$2-1)</f>
        <v>1820.92975220673</v>
      </c>
      <c r="CG40" s="11" t="n">
        <f aca="false">Units!$E39*(1+Inputs!$B$7)^(CG$2-1)</f>
        <v>1820.92975220673</v>
      </c>
      <c r="CH40" s="11" t="n">
        <f aca="false">Units!$E39*(1+Inputs!$B$7)^(CH$2-1)</f>
        <v>1820.92975220673</v>
      </c>
      <c r="CI40" s="11" t="n">
        <f aca="false">Units!$E39*(1+Inputs!$B$7)^(CI$2-1)</f>
        <v>1875.55764477293</v>
      </c>
      <c r="CJ40" s="11" t="n">
        <f aca="false">Units!$E39*(1+Inputs!$B$7)^(CJ$2-1)</f>
        <v>1875.55764477293</v>
      </c>
      <c r="CK40" s="11" t="n">
        <f aca="false">Units!$E39*(1+Inputs!$B$7)^(CK$2-1)</f>
        <v>1875.55764477293</v>
      </c>
      <c r="CL40" s="11" t="n">
        <f aca="false">Units!$E39*(1+Inputs!$B$7)^(CL$2-1)</f>
        <v>1875.55764477293</v>
      </c>
      <c r="CM40" s="11" t="n">
        <f aca="false">Units!$E39*(1+Inputs!$B$7)^(CM$2-1)</f>
        <v>1875.55764477293</v>
      </c>
      <c r="CN40" s="11" t="n">
        <f aca="false">Units!$E39*(1+Inputs!$B$7)^(CN$2-1)</f>
        <v>1875.55764477293</v>
      </c>
      <c r="CO40" s="11" t="n">
        <f aca="false">Units!$E39*(1+Inputs!$B$7)^(CO$2-1)</f>
        <v>1875.55764477293</v>
      </c>
      <c r="CP40" s="11" t="n">
        <f aca="false">Units!$E39*(1+Inputs!$B$7)^(CP$2-1)</f>
        <v>1875.55764477293</v>
      </c>
      <c r="CQ40" s="11" t="n">
        <f aca="false">Units!$E39*(1+Inputs!$B$7)^(CQ$2-1)</f>
        <v>1875.55764477293</v>
      </c>
      <c r="CR40" s="11" t="n">
        <f aca="false">Units!$E39*(1+Inputs!$B$7)^(CR$2-1)</f>
        <v>1875.55764477293</v>
      </c>
      <c r="CS40" s="11" t="n">
        <f aca="false">Units!$E39*(1+Inputs!$B$7)^(CS$2-1)</f>
        <v>1875.55764477293</v>
      </c>
      <c r="CT40" s="11" t="n">
        <f aca="false">Units!$E39*(1+Inputs!$B$7)^(CT$2-1)</f>
        <v>1875.55764477293</v>
      </c>
      <c r="CU40" s="11" t="n">
        <f aca="false">Units!$E39*(1+Inputs!$B$7)^(CU$2-1)</f>
        <v>1931.82437411612</v>
      </c>
      <c r="CV40" s="11" t="n">
        <f aca="false">Units!$E39*(1+Inputs!$B$7)^(CV$2-1)</f>
        <v>1931.82437411612</v>
      </c>
      <c r="CW40" s="11" t="n">
        <f aca="false">Units!$E39*(1+Inputs!$B$7)^(CW$2-1)</f>
        <v>1931.82437411612</v>
      </c>
      <c r="CX40" s="11" t="n">
        <f aca="false">Units!$E39*(1+Inputs!$B$7)^(CX$2-1)</f>
        <v>1931.82437411612</v>
      </c>
      <c r="CY40" s="11" t="n">
        <f aca="false">Units!$E39*(1+Inputs!$B$7)^(CY$2-1)</f>
        <v>1931.82437411612</v>
      </c>
      <c r="CZ40" s="11" t="n">
        <f aca="false">Units!$E39*(1+Inputs!$B$7)^(CZ$2-1)</f>
        <v>1931.82437411612</v>
      </c>
      <c r="DA40" s="11" t="n">
        <f aca="false">Units!$E39*(1+Inputs!$B$7)^(DA$2-1)</f>
        <v>1931.82437411612</v>
      </c>
      <c r="DB40" s="11" t="n">
        <f aca="false">Units!$E39*(1+Inputs!$B$7)^(DB$2-1)</f>
        <v>1931.82437411612</v>
      </c>
      <c r="DC40" s="11" t="n">
        <f aca="false">Units!$E39*(1+Inputs!$B$7)^(DC$2-1)</f>
        <v>1931.82437411612</v>
      </c>
      <c r="DD40" s="11" t="n">
        <f aca="false">Units!$E39*(1+Inputs!$B$7)^(DD$2-1)</f>
        <v>1931.82437411612</v>
      </c>
      <c r="DE40" s="11" t="n">
        <f aca="false">Units!$E39*(1+Inputs!$B$7)^(DE$2-1)</f>
        <v>1931.82437411612</v>
      </c>
      <c r="DF40" s="11" t="n">
        <f aca="false">Units!$E39*(1+Inputs!$B$7)^(DF$2-1)</f>
        <v>1931.82437411612</v>
      </c>
      <c r="DG40" s="11" t="n">
        <f aca="false">Units!$E39*(1+Inputs!$B$7)^(DG$2-1)</f>
        <v>1989.7791053396</v>
      </c>
      <c r="DH40" s="11" t="n">
        <f aca="false">Units!$E39*(1+Inputs!$B$7)^(DH$2-1)</f>
        <v>1989.7791053396</v>
      </c>
      <c r="DI40" s="11" t="n">
        <f aca="false">Units!$E39*(1+Inputs!$B$7)^(DI$2-1)</f>
        <v>1989.7791053396</v>
      </c>
      <c r="DJ40" s="11" t="n">
        <f aca="false">Units!$E39*(1+Inputs!$B$7)^(DJ$2-1)</f>
        <v>1989.7791053396</v>
      </c>
      <c r="DK40" s="11" t="n">
        <f aca="false">Units!$E39*(1+Inputs!$B$7)^(DK$2-1)</f>
        <v>1989.7791053396</v>
      </c>
      <c r="DL40" s="11" t="n">
        <f aca="false">Units!$E39*(1+Inputs!$B$7)^(DL$2-1)</f>
        <v>1989.7791053396</v>
      </c>
      <c r="DM40" s="11" t="n">
        <f aca="false">Units!$E39*(1+Inputs!$B$7)^(DM$2-1)</f>
        <v>1989.7791053396</v>
      </c>
      <c r="DN40" s="11" t="n">
        <f aca="false">Units!$E39*(1+Inputs!$B$7)^(DN$2-1)</f>
        <v>1989.7791053396</v>
      </c>
      <c r="DO40" s="11" t="n">
        <f aca="false">Units!$E39*(1+Inputs!$B$7)^(DO$2-1)</f>
        <v>1989.7791053396</v>
      </c>
      <c r="DP40" s="11" t="n">
        <f aca="false">Units!$E39*(1+Inputs!$B$7)^(DP$2-1)</f>
        <v>1989.7791053396</v>
      </c>
      <c r="DQ40" s="11" t="n">
        <f aca="false">Units!$E39*(1+Inputs!$B$7)^(DQ$2-1)</f>
        <v>1989.7791053396</v>
      </c>
      <c r="DR40" s="11" t="n">
        <f aca="false">Units!$E39*(1+Inputs!$B$7)^(DR$2-1)</f>
        <v>1989.7791053396</v>
      </c>
      <c r="DS40" s="11" t="n">
        <f aca="false">Units!$E39*(1+Inputs!$B$7)^(DS$2-1)</f>
        <v>2049.47247849979</v>
      </c>
      <c r="DT40" s="11" t="n">
        <f aca="false">Units!$E39*(1+Inputs!$B$7)^(DT$2-1)</f>
        <v>2049.47247849979</v>
      </c>
      <c r="DU40" s="11" t="n">
        <f aca="false">Units!$E39*(1+Inputs!$B$7)^(DU$2-1)</f>
        <v>2049.47247849979</v>
      </c>
      <c r="DV40" s="11" t="n">
        <f aca="false">Units!$E39*(1+Inputs!$B$7)^(DV$2-1)</f>
        <v>2049.47247849979</v>
      </c>
      <c r="DW40" s="11" t="n">
        <f aca="false">Units!$E39*(1+Inputs!$B$7)^(DW$2-1)</f>
        <v>2049.47247849979</v>
      </c>
      <c r="DX40" s="11" t="n">
        <f aca="false">Units!$E39*(1+Inputs!$B$7)^(DX$2-1)</f>
        <v>2049.47247849979</v>
      </c>
      <c r="DY40" s="11" t="n">
        <f aca="false">Units!$E39*(1+Inputs!$B$7)^(DY$2-1)</f>
        <v>2049.47247849979</v>
      </c>
      <c r="DZ40" s="11" t="n">
        <f aca="false">Units!$E39*(1+Inputs!$B$7)^(DZ$2-1)</f>
        <v>2049.47247849979</v>
      </c>
      <c r="EA40" s="11" t="n">
        <f aca="false">Units!$E39*(1+Inputs!$B$7)^(EA$2-1)</f>
        <v>2049.47247849979</v>
      </c>
      <c r="EB40" s="11" t="n">
        <f aca="false">Units!$E39*(1+Inputs!$B$7)^(EB$2-1)</f>
        <v>2049.47247849979</v>
      </c>
      <c r="EC40" s="11" t="n">
        <f aca="false">Units!$E39*(1+Inputs!$B$7)^(EC$2-1)</f>
        <v>2049.47247849979</v>
      </c>
      <c r="ED40" s="11" t="n">
        <f aca="false">Units!$E39*(1+Inputs!$B$7)^(ED$2-1)</f>
        <v>2049.47247849979</v>
      </c>
    </row>
    <row r="41" customFormat="false" ht="15" hidden="false" customHeight="false" outlineLevel="0" collapsed="false">
      <c r="A41" s="22" t="n">
        <f aca="false">Units!A40</f>
        <v>209</v>
      </c>
      <c r="B41" s="23"/>
      <c r="C41" s="11" t="n">
        <f aca="false">Units!$E40*(1+Inputs!$B$7)^(C$2-1)</f>
        <v>1525</v>
      </c>
      <c r="D41" s="11" t="n">
        <f aca="false">Units!$E40*(1+Inputs!$B$7)^(D$2-1)</f>
        <v>1525</v>
      </c>
      <c r="E41" s="11" t="n">
        <f aca="false">Units!$E40*(1+Inputs!$B$7)^(E$2-1)</f>
        <v>1525</v>
      </c>
      <c r="F41" s="11" t="n">
        <f aca="false">Units!$E40*(1+Inputs!$B$7)^(F$2-1)</f>
        <v>1525</v>
      </c>
      <c r="G41" s="11" t="n">
        <f aca="false">Units!$E40*(1+Inputs!$B$7)^(G$2-1)</f>
        <v>1525</v>
      </c>
      <c r="H41" s="11" t="n">
        <f aca="false">Units!$E40*(1+Inputs!$B$7)^(H$2-1)</f>
        <v>1525</v>
      </c>
      <c r="I41" s="11" t="n">
        <f aca="false">Units!$E40*(1+Inputs!$B$7)^(I$2-1)</f>
        <v>1525</v>
      </c>
      <c r="J41" s="11" t="n">
        <f aca="false">Units!$E40*(1+Inputs!$B$7)^(J$2-1)</f>
        <v>1525</v>
      </c>
      <c r="K41" s="11" t="n">
        <f aca="false">Units!$E40*(1+Inputs!$B$7)^(K$2-1)</f>
        <v>1525</v>
      </c>
      <c r="L41" s="11" t="n">
        <f aca="false">Units!$E40*(1+Inputs!$B$7)^(L$2-1)</f>
        <v>1525</v>
      </c>
      <c r="M41" s="11" t="n">
        <f aca="false">Units!$E40*(1+Inputs!$B$7)^(M$2-1)</f>
        <v>1525</v>
      </c>
      <c r="N41" s="11" t="n">
        <f aca="false">Units!$E40*(1+Inputs!$B$7)^(N$2-1)</f>
        <v>1525</v>
      </c>
      <c r="O41" s="11" t="n">
        <f aca="false">Units!$E40*(1+Inputs!$B$7)^(O$2-1)</f>
        <v>1570.75</v>
      </c>
      <c r="P41" s="11" t="n">
        <f aca="false">Units!$E40*(1+Inputs!$B$7)^(P$2-1)</f>
        <v>1570.75</v>
      </c>
      <c r="Q41" s="11" t="n">
        <f aca="false">Units!$E40*(1+Inputs!$B$7)^(Q$2-1)</f>
        <v>1570.75</v>
      </c>
      <c r="R41" s="11" t="n">
        <f aca="false">Units!$E40*(1+Inputs!$B$7)^(R$2-1)</f>
        <v>1570.75</v>
      </c>
      <c r="S41" s="11" t="n">
        <f aca="false">Units!$E40*(1+Inputs!$B$7)^(S$2-1)</f>
        <v>1570.75</v>
      </c>
      <c r="T41" s="11" t="n">
        <f aca="false">Units!$E40*(1+Inputs!$B$7)^(T$2-1)</f>
        <v>1570.75</v>
      </c>
      <c r="U41" s="11" t="n">
        <f aca="false">Units!$E40*(1+Inputs!$B$7)^(U$2-1)</f>
        <v>1570.75</v>
      </c>
      <c r="V41" s="11" t="n">
        <f aca="false">Units!$E40*(1+Inputs!$B$7)^(V$2-1)</f>
        <v>1570.75</v>
      </c>
      <c r="W41" s="11" t="n">
        <f aca="false">Units!$E40*(1+Inputs!$B$7)^(W$2-1)</f>
        <v>1570.75</v>
      </c>
      <c r="X41" s="11" t="n">
        <f aca="false">Units!$E40*(1+Inputs!$B$7)^(X$2-1)</f>
        <v>1570.75</v>
      </c>
      <c r="Y41" s="11" t="n">
        <f aca="false">Units!$E40*(1+Inputs!$B$7)^(Y$2-1)</f>
        <v>1570.75</v>
      </c>
      <c r="Z41" s="11" t="n">
        <f aca="false">Units!$E40*(1+Inputs!$B$7)^(Z$2-1)</f>
        <v>1570.75</v>
      </c>
      <c r="AA41" s="11" t="n">
        <f aca="false">Units!$E40*(1+Inputs!$B$7)^(AA$2-1)</f>
        <v>1617.8725</v>
      </c>
      <c r="AB41" s="11" t="n">
        <f aca="false">Units!$E40*(1+Inputs!$B$7)^(AB$2-1)</f>
        <v>1617.8725</v>
      </c>
      <c r="AC41" s="11" t="n">
        <f aca="false">Units!$E40*(1+Inputs!$B$7)^(AC$2-1)</f>
        <v>1617.8725</v>
      </c>
      <c r="AD41" s="11" t="n">
        <f aca="false">Units!$E40*(1+Inputs!$B$7)^(AD$2-1)</f>
        <v>1617.8725</v>
      </c>
      <c r="AE41" s="11" t="n">
        <f aca="false">Units!$E40*(1+Inputs!$B$7)^(AE$2-1)</f>
        <v>1617.8725</v>
      </c>
      <c r="AF41" s="11" t="n">
        <f aca="false">Units!$E40*(1+Inputs!$B$7)^(AF$2-1)</f>
        <v>1617.8725</v>
      </c>
      <c r="AG41" s="11" t="n">
        <f aca="false">Units!$E40*(1+Inputs!$B$7)^(AG$2-1)</f>
        <v>1617.8725</v>
      </c>
      <c r="AH41" s="11" t="n">
        <f aca="false">Units!$E40*(1+Inputs!$B$7)^(AH$2-1)</f>
        <v>1617.8725</v>
      </c>
      <c r="AI41" s="11" t="n">
        <f aca="false">Units!$E40*(1+Inputs!$B$7)^(AI$2-1)</f>
        <v>1617.8725</v>
      </c>
      <c r="AJ41" s="11" t="n">
        <f aca="false">Units!$E40*(1+Inputs!$B$7)^(AJ$2-1)</f>
        <v>1617.8725</v>
      </c>
      <c r="AK41" s="11" t="n">
        <f aca="false">Units!$E40*(1+Inputs!$B$7)^(AK$2-1)</f>
        <v>1617.8725</v>
      </c>
      <c r="AL41" s="11" t="n">
        <f aca="false">Units!$E40*(1+Inputs!$B$7)^(AL$2-1)</f>
        <v>1617.8725</v>
      </c>
      <c r="AM41" s="11" t="n">
        <f aca="false">Units!$E40*(1+Inputs!$B$7)^(AM$2-1)</f>
        <v>1666.408675</v>
      </c>
      <c r="AN41" s="11" t="n">
        <f aca="false">Units!$E40*(1+Inputs!$B$7)^(AN$2-1)</f>
        <v>1666.408675</v>
      </c>
      <c r="AO41" s="11" t="n">
        <f aca="false">Units!$E40*(1+Inputs!$B$7)^(AO$2-1)</f>
        <v>1666.408675</v>
      </c>
      <c r="AP41" s="11" t="n">
        <f aca="false">Units!$E40*(1+Inputs!$B$7)^(AP$2-1)</f>
        <v>1666.408675</v>
      </c>
      <c r="AQ41" s="11" t="n">
        <f aca="false">Units!$E40*(1+Inputs!$B$7)^(AQ$2-1)</f>
        <v>1666.408675</v>
      </c>
      <c r="AR41" s="11" t="n">
        <f aca="false">Units!$E40*(1+Inputs!$B$7)^(AR$2-1)</f>
        <v>1666.408675</v>
      </c>
      <c r="AS41" s="11" t="n">
        <f aca="false">Units!$E40*(1+Inputs!$B$7)^(AS$2-1)</f>
        <v>1666.408675</v>
      </c>
      <c r="AT41" s="11" t="n">
        <f aca="false">Units!$E40*(1+Inputs!$B$7)^(AT$2-1)</f>
        <v>1666.408675</v>
      </c>
      <c r="AU41" s="11" t="n">
        <f aca="false">Units!$E40*(1+Inputs!$B$7)^(AU$2-1)</f>
        <v>1666.408675</v>
      </c>
      <c r="AV41" s="11" t="n">
        <f aca="false">Units!$E40*(1+Inputs!$B$7)^(AV$2-1)</f>
        <v>1666.408675</v>
      </c>
      <c r="AW41" s="11" t="n">
        <f aca="false">Units!$E40*(1+Inputs!$B$7)^(AW$2-1)</f>
        <v>1666.408675</v>
      </c>
      <c r="AX41" s="11" t="n">
        <f aca="false">Units!$E40*(1+Inputs!$B$7)^(AX$2-1)</f>
        <v>1666.408675</v>
      </c>
      <c r="AY41" s="11" t="n">
        <f aca="false">Units!$E40*(1+Inputs!$B$7)^(AY$2-1)</f>
        <v>1716.40093525</v>
      </c>
      <c r="AZ41" s="11" t="n">
        <f aca="false">Units!$E40*(1+Inputs!$B$7)^(AZ$2-1)</f>
        <v>1716.40093525</v>
      </c>
      <c r="BA41" s="11" t="n">
        <f aca="false">Units!$E40*(1+Inputs!$B$7)^(BA$2-1)</f>
        <v>1716.40093525</v>
      </c>
      <c r="BB41" s="11" t="n">
        <f aca="false">Units!$E40*(1+Inputs!$B$7)^(BB$2-1)</f>
        <v>1716.40093525</v>
      </c>
      <c r="BC41" s="11" t="n">
        <f aca="false">Units!$E40*(1+Inputs!$B$7)^(BC$2-1)</f>
        <v>1716.40093525</v>
      </c>
      <c r="BD41" s="11" t="n">
        <f aca="false">Units!$E40*(1+Inputs!$B$7)^(BD$2-1)</f>
        <v>1716.40093525</v>
      </c>
      <c r="BE41" s="11" t="n">
        <f aca="false">Units!$E40*(1+Inputs!$B$7)^(BE$2-1)</f>
        <v>1716.40093525</v>
      </c>
      <c r="BF41" s="11" t="n">
        <f aca="false">Units!$E40*(1+Inputs!$B$7)^(BF$2-1)</f>
        <v>1716.40093525</v>
      </c>
      <c r="BG41" s="11" t="n">
        <f aca="false">Units!$E40*(1+Inputs!$B$7)^(BG$2-1)</f>
        <v>1716.40093525</v>
      </c>
      <c r="BH41" s="11" t="n">
        <f aca="false">Units!$E40*(1+Inputs!$B$7)^(BH$2-1)</f>
        <v>1716.40093525</v>
      </c>
      <c r="BI41" s="11" t="n">
        <f aca="false">Units!$E40*(1+Inputs!$B$7)^(BI$2-1)</f>
        <v>1716.40093525</v>
      </c>
      <c r="BJ41" s="11" t="n">
        <f aca="false">Units!$E40*(1+Inputs!$B$7)^(BJ$2-1)</f>
        <v>1716.40093525</v>
      </c>
      <c r="BK41" s="11" t="n">
        <f aca="false">Units!$E40*(1+Inputs!$B$7)^(BK$2-1)</f>
        <v>1767.8929633075</v>
      </c>
      <c r="BL41" s="11" t="n">
        <f aca="false">Units!$E40*(1+Inputs!$B$7)^(BL$2-1)</f>
        <v>1767.8929633075</v>
      </c>
      <c r="BM41" s="11" t="n">
        <f aca="false">Units!$E40*(1+Inputs!$B$7)^(BM$2-1)</f>
        <v>1767.8929633075</v>
      </c>
      <c r="BN41" s="11" t="n">
        <f aca="false">Units!$E40*(1+Inputs!$B$7)^(BN$2-1)</f>
        <v>1767.8929633075</v>
      </c>
      <c r="BO41" s="11" t="n">
        <f aca="false">Units!$E40*(1+Inputs!$B$7)^(BO$2-1)</f>
        <v>1767.8929633075</v>
      </c>
      <c r="BP41" s="11" t="n">
        <f aca="false">Units!$E40*(1+Inputs!$B$7)^(BP$2-1)</f>
        <v>1767.8929633075</v>
      </c>
      <c r="BQ41" s="11" t="n">
        <f aca="false">Units!$E40*(1+Inputs!$B$7)^(BQ$2-1)</f>
        <v>1767.8929633075</v>
      </c>
      <c r="BR41" s="11" t="n">
        <f aca="false">Units!$E40*(1+Inputs!$B$7)^(BR$2-1)</f>
        <v>1767.8929633075</v>
      </c>
      <c r="BS41" s="11" t="n">
        <f aca="false">Units!$E40*(1+Inputs!$B$7)^(BS$2-1)</f>
        <v>1767.8929633075</v>
      </c>
      <c r="BT41" s="11" t="n">
        <f aca="false">Units!$E40*(1+Inputs!$B$7)^(BT$2-1)</f>
        <v>1767.8929633075</v>
      </c>
      <c r="BU41" s="11" t="n">
        <f aca="false">Units!$E40*(1+Inputs!$B$7)^(BU$2-1)</f>
        <v>1767.8929633075</v>
      </c>
      <c r="BV41" s="11" t="n">
        <f aca="false">Units!$E40*(1+Inputs!$B$7)^(BV$2-1)</f>
        <v>1767.8929633075</v>
      </c>
      <c r="BW41" s="11" t="n">
        <f aca="false">Units!$E40*(1+Inputs!$B$7)^(BW$2-1)</f>
        <v>1820.92975220673</v>
      </c>
      <c r="BX41" s="11" t="n">
        <f aca="false">Units!$E40*(1+Inputs!$B$7)^(BX$2-1)</f>
        <v>1820.92975220673</v>
      </c>
      <c r="BY41" s="11" t="n">
        <f aca="false">Units!$E40*(1+Inputs!$B$7)^(BY$2-1)</f>
        <v>1820.92975220673</v>
      </c>
      <c r="BZ41" s="11" t="n">
        <f aca="false">Units!$E40*(1+Inputs!$B$7)^(BZ$2-1)</f>
        <v>1820.92975220673</v>
      </c>
      <c r="CA41" s="11" t="n">
        <f aca="false">Units!$E40*(1+Inputs!$B$7)^(CA$2-1)</f>
        <v>1820.92975220673</v>
      </c>
      <c r="CB41" s="11" t="n">
        <f aca="false">Units!$E40*(1+Inputs!$B$7)^(CB$2-1)</f>
        <v>1820.92975220673</v>
      </c>
      <c r="CC41" s="11" t="n">
        <f aca="false">Units!$E40*(1+Inputs!$B$7)^(CC$2-1)</f>
        <v>1820.92975220673</v>
      </c>
      <c r="CD41" s="11" t="n">
        <f aca="false">Units!$E40*(1+Inputs!$B$7)^(CD$2-1)</f>
        <v>1820.92975220673</v>
      </c>
      <c r="CE41" s="11" t="n">
        <f aca="false">Units!$E40*(1+Inputs!$B$7)^(CE$2-1)</f>
        <v>1820.92975220673</v>
      </c>
      <c r="CF41" s="11" t="n">
        <f aca="false">Units!$E40*(1+Inputs!$B$7)^(CF$2-1)</f>
        <v>1820.92975220673</v>
      </c>
      <c r="CG41" s="11" t="n">
        <f aca="false">Units!$E40*(1+Inputs!$B$7)^(CG$2-1)</f>
        <v>1820.92975220673</v>
      </c>
      <c r="CH41" s="11" t="n">
        <f aca="false">Units!$E40*(1+Inputs!$B$7)^(CH$2-1)</f>
        <v>1820.92975220673</v>
      </c>
      <c r="CI41" s="11" t="n">
        <f aca="false">Units!$E40*(1+Inputs!$B$7)^(CI$2-1)</f>
        <v>1875.55764477293</v>
      </c>
      <c r="CJ41" s="11" t="n">
        <f aca="false">Units!$E40*(1+Inputs!$B$7)^(CJ$2-1)</f>
        <v>1875.55764477293</v>
      </c>
      <c r="CK41" s="11" t="n">
        <f aca="false">Units!$E40*(1+Inputs!$B$7)^(CK$2-1)</f>
        <v>1875.55764477293</v>
      </c>
      <c r="CL41" s="11" t="n">
        <f aca="false">Units!$E40*(1+Inputs!$B$7)^(CL$2-1)</f>
        <v>1875.55764477293</v>
      </c>
      <c r="CM41" s="11" t="n">
        <f aca="false">Units!$E40*(1+Inputs!$B$7)^(CM$2-1)</f>
        <v>1875.55764477293</v>
      </c>
      <c r="CN41" s="11" t="n">
        <f aca="false">Units!$E40*(1+Inputs!$B$7)^(CN$2-1)</f>
        <v>1875.55764477293</v>
      </c>
      <c r="CO41" s="11" t="n">
        <f aca="false">Units!$E40*(1+Inputs!$B$7)^(CO$2-1)</f>
        <v>1875.55764477293</v>
      </c>
      <c r="CP41" s="11" t="n">
        <f aca="false">Units!$E40*(1+Inputs!$B$7)^(CP$2-1)</f>
        <v>1875.55764477293</v>
      </c>
      <c r="CQ41" s="11" t="n">
        <f aca="false">Units!$E40*(1+Inputs!$B$7)^(CQ$2-1)</f>
        <v>1875.55764477293</v>
      </c>
      <c r="CR41" s="11" t="n">
        <f aca="false">Units!$E40*(1+Inputs!$B$7)^(CR$2-1)</f>
        <v>1875.55764477293</v>
      </c>
      <c r="CS41" s="11" t="n">
        <f aca="false">Units!$E40*(1+Inputs!$B$7)^(CS$2-1)</f>
        <v>1875.55764477293</v>
      </c>
      <c r="CT41" s="11" t="n">
        <f aca="false">Units!$E40*(1+Inputs!$B$7)^(CT$2-1)</f>
        <v>1875.55764477293</v>
      </c>
      <c r="CU41" s="11" t="n">
        <f aca="false">Units!$E40*(1+Inputs!$B$7)^(CU$2-1)</f>
        <v>1931.82437411612</v>
      </c>
      <c r="CV41" s="11" t="n">
        <f aca="false">Units!$E40*(1+Inputs!$B$7)^(CV$2-1)</f>
        <v>1931.82437411612</v>
      </c>
      <c r="CW41" s="11" t="n">
        <f aca="false">Units!$E40*(1+Inputs!$B$7)^(CW$2-1)</f>
        <v>1931.82437411612</v>
      </c>
      <c r="CX41" s="11" t="n">
        <f aca="false">Units!$E40*(1+Inputs!$B$7)^(CX$2-1)</f>
        <v>1931.82437411612</v>
      </c>
      <c r="CY41" s="11" t="n">
        <f aca="false">Units!$E40*(1+Inputs!$B$7)^(CY$2-1)</f>
        <v>1931.82437411612</v>
      </c>
      <c r="CZ41" s="11" t="n">
        <f aca="false">Units!$E40*(1+Inputs!$B$7)^(CZ$2-1)</f>
        <v>1931.82437411612</v>
      </c>
      <c r="DA41" s="11" t="n">
        <f aca="false">Units!$E40*(1+Inputs!$B$7)^(DA$2-1)</f>
        <v>1931.82437411612</v>
      </c>
      <c r="DB41" s="11" t="n">
        <f aca="false">Units!$E40*(1+Inputs!$B$7)^(DB$2-1)</f>
        <v>1931.82437411612</v>
      </c>
      <c r="DC41" s="11" t="n">
        <f aca="false">Units!$E40*(1+Inputs!$B$7)^(DC$2-1)</f>
        <v>1931.82437411612</v>
      </c>
      <c r="DD41" s="11" t="n">
        <f aca="false">Units!$E40*(1+Inputs!$B$7)^(DD$2-1)</f>
        <v>1931.82437411612</v>
      </c>
      <c r="DE41" s="11" t="n">
        <f aca="false">Units!$E40*(1+Inputs!$B$7)^(DE$2-1)</f>
        <v>1931.82437411612</v>
      </c>
      <c r="DF41" s="11" t="n">
        <f aca="false">Units!$E40*(1+Inputs!$B$7)^(DF$2-1)</f>
        <v>1931.82437411612</v>
      </c>
      <c r="DG41" s="11" t="n">
        <f aca="false">Units!$E40*(1+Inputs!$B$7)^(DG$2-1)</f>
        <v>1989.7791053396</v>
      </c>
      <c r="DH41" s="11" t="n">
        <f aca="false">Units!$E40*(1+Inputs!$B$7)^(DH$2-1)</f>
        <v>1989.7791053396</v>
      </c>
      <c r="DI41" s="11" t="n">
        <f aca="false">Units!$E40*(1+Inputs!$B$7)^(DI$2-1)</f>
        <v>1989.7791053396</v>
      </c>
      <c r="DJ41" s="11" t="n">
        <f aca="false">Units!$E40*(1+Inputs!$B$7)^(DJ$2-1)</f>
        <v>1989.7791053396</v>
      </c>
      <c r="DK41" s="11" t="n">
        <f aca="false">Units!$E40*(1+Inputs!$B$7)^(DK$2-1)</f>
        <v>1989.7791053396</v>
      </c>
      <c r="DL41" s="11" t="n">
        <f aca="false">Units!$E40*(1+Inputs!$B$7)^(DL$2-1)</f>
        <v>1989.7791053396</v>
      </c>
      <c r="DM41" s="11" t="n">
        <f aca="false">Units!$E40*(1+Inputs!$B$7)^(DM$2-1)</f>
        <v>1989.7791053396</v>
      </c>
      <c r="DN41" s="11" t="n">
        <f aca="false">Units!$E40*(1+Inputs!$B$7)^(DN$2-1)</f>
        <v>1989.7791053396</v>
      </c>
      <c r="DO41" s="11" t="n">
        <f aca="false">Units!$E40*(1+Inputs!$B$7)^(DO$2-1)</f>
        <v>1989.7791053396</v>
      </c>
      <c r="DP41" s="11" t="n">
        <f aca="false">Units!$E40*(1+Inputs!$B$7)^(DP$2-1)</f>
        <v>1989.7791053396</v>
      </c>
      <c r="DQ41" s="11" t="n">
        <f aca="false">Units!$E40*(1+Inputs!$B$7)^(DQ$2-1)</f>
        <v>1989.7791053396</v>
      </c>
      <c r="DR41" s="11" t="n">
        <f aca="false">Units!$E40*(1+Inputs!$B$7)^(DR$2-1)</f>
        <v>1989.7791053396</v>
      </c>
      <c r="DS41" s="11" t="n">
        <f aca="false">Units!$E40*(1+Inputs!$B$7)^(DS$2-1)</f>
        <v>2049.47247849979</v>
      </c>
      <c r="DT41" s="11" t="n">
        <f aca="false">Units!$E40*(1+Inputs!$B$7)^(DT$2-1)</f>
        <v>2049.47247849979</v>
      </c>
      <c r="DU41" s="11" t="n">
        <f aca="false">Units!$E40*(1+Inputs!$B$7)^(DU$2-1)</f>
        <v>2049.47247849979</v>
      </c>
      <c r="DV41" s="11" t="n">
        <f aca="false">Units!$E40*(1+Inputs!$B$7)^(DV$2-1)</f>
        <v>2049.47247849979</v>
      </c>
      <c r="DW41" s="11" t="n">
        <f aca="false">Units!$E40*(1+Inputs!$B$7)^(DW$2-1)</f>
        <v>2049.47247849979</v>
      </c>
      <c r="DX41" s="11" t="n">
        <f aca="false">Units!$E40*(1+Inputs!$B$7)^(DX$2-1)</f>
        <v>2049.47247849979</v>
      </c>
      <c r="DY41" s="11" t="n">
        <f aca="false">Units!$E40*(1+Inputs!$B$7)^(DY$2-1)</f>
        <v>2049.47247849979</v>
      </c>
      <c r="DZ41" s="11" t="n">
        <f aca="false">Units!$E40*(1+Inputs!$B$7)^(DZ$2-1)</f>
        <v>2049.47247849979</v>
      </c>
      <c r="EA41" s="11" t="n">
        <f aca="false">Units!$E40*(1+Inputs!$B$7)^(EA$2-1)</f>
        <v>2049.47247849979</v>
      </c>
      <c r="EB41" s="11" t="n">
        <f aca="false">Units!$E40*(1+Inputs!$B$7)^(EB$2-1)</f>
        <v>2049.47247849979</v>
      </c>
      <c r="EC41" s="11" t="n">
        <f aca="false">Units!$E40*(1+Inputs!$B$7)^(EC$2-1)</f>
        <v>2049.47247849979</v>
      </c>
      <c r="ED41" s="11" t="n">
        <f aca="false">Units!$E40*(1+Inputs!$B$7)^(ED$2-1)</f>
        <v>2049.47247849979</v>
      </c>
    </row>
    <row r="42" customFormat="false" ht="15" hidden="false" customHeight="false" outlineLevel="0" collapsed="false">
      <c r="A42" s="22" t="n">
        <f aca="false">Units!A41</f>
        <v>210</v>
      </c>
      <c r="B42" s="23"/>
      <c r="C42" s="11" t="n">
        <f aca="false">Units!$E41*(1+Inputs!$B$7)^(C$2-1)</f>
        <v>1525</v>
      </c>
      <c r="D42" s="11" t="n">
        <f aca="false">Units!$E41*(1+Inputs!$B$7)^(D$2-1)</f>
        <v>1525</v>
      </c>
      <c r="E42" s="11" t="n">
        <f aca="false">Units!$E41*(1+Inputs!$B$7)^(E$2-1)</f>
        <v>1525</v>
      </c>
      <c r="F42" s="11" t="n">
        <f aca="false">Units!$E41*(1+Inputs!$B$7)^(F$2-1)</f>
        <v>1525</v>
      </c>
      <c r="G42" s="11" t="n">
        <f aca="false">Units!$E41*(1+Inputs!$B$7)^(G$2-1)</f>
        <v>1525</v>
      </c>
      <c r="H42" s="11" t="n">
        <f aca="false">Units!$E41*(1+Inputs!$B$7)^(H$2-1)</f>
        <v>1525</v>
      </c>
      <c r="I42" s="11" t="n">
        <f aca="false">Units!$E41*(1+Inputs!$B$7)^(I$2-1)</f>
        <v>1525</v>
      </c>
      <c r="J42" s="11" t="n">
        <f aca="false">Units!$E41*(1+Inputs!$B$7)^(J$2-1)</f>
        <v>1525</v>
      </c>
      <c r="K42" s="11" t="n">
        <f aca="false">Units!$E41*(1+Inputs!$B$7)^(K$2-1)</f>
        <v>1525</v>
      </c>
      <c r="L42" s="11" t="n">
        <f aca="false">Units!$E41*(1+Inputs!$B$7)^(L$2-1)</f>
        <v>1525</v>
      </c>
      <c r="M42" s="11" t="n">
        <f aca="false">Units!$E41*(1+Inputs!$B$7)^(M$2-1)</f>
        <v>1525</v>
      </c>
      <c r="N42" s="11" t="n">
        <f aca="false">Units!$E41*(1+Inputs!$B$7)^(N$2-1)</f>
        <v>1525</v>
      </c>
      <c r="O42" s="11" t="n">
        <f aca="false">Units!$E41*(1+Inputs!$B$7)^(O$2-1)</f>
        <v>1570.75</v>
      </c>
      <c r="P42" s="11" t="n">
        <f aca="false">Units!$E41*(1+Inputs!$B$7)^(P$2-1)</f>
        <v>1570.75</v>
      </c>
      <c r="Q42" s="11" t="n">
        <f aca="false">Units!$E41*(1+Inputs!$B$7)^(Q$2-1)</f>
        <v>1570.75</v>
      </c>
      <c r="R42" s="11" t="n">
        <f aca="false">Units!$E41*(1+Inputs!$B$7)^(R$2-1)</f>
        <v>1570.75</v>
      </c>
      <c r="S42" s="11" t="n">
        <f aca="false">Units!$E41*(1+Inputs!$B$7)^(S$2-1)</f>
        <v>1570.75</v>
      </c>
      <c r="T42" s="11" t="n">
        <f aca="false">Units!$E41*(1+Inputs!$B$7)^(T$2-1)</f>
        <v>1570.75</v>
      </c>
      <c r="U42" s="11" t="n">
        <f aca="false">Units!$E41*(1+Inputs!$B$7)^(U$2-1)</f>
        <v>1570.75</v>
      </c>
      <c r="V42" s="11" t="n">
        <f aca="false">Units!$E41*(1+Inputs!$B$7)^(V$2-1)</f>
        <v>1570.75</v>
      </c>
      <c r="W42" s="11" t="n">
        <f aca="false">Units!$E41*(1+Inputs!$B$7)^(W$2-1)</f>
        <v>1570.75</v>
      </c>
      <c r="X42" s="11" t="n">
        <f aca="false">Units!$E41*(1+Inputs!$B$7)^(X$2-1)</f>
        <v>1570.75</v>
      </c>
      <c r="Y42" s="11" t="n">
        <f aca="false">Units!$E41*(1+Inputs!$B$7)^(Y$2-1)</f>
        <v>1570.75</v>
      </c>
      <c r="Z42" s="11" t="n">
        <f aca="false">Units!$E41*(1+Inputs!$B$7)^(Z$2-1)</f>
        <v>1570.75</v>
      </c>
      <c r="AA42" s="11" t="n">
        <f aca="false">Units!$E41*(1+Inputs!$B$7)^(AA$2-1)</f>
        <v>1617.8725</v>
      </c>
      <c r="AB42" s="11" t="n">
        <f aca="false">Units!$E41*(1+Inputs!$B$7)^(AB$2-1)</f>
        <v>1617.8725</v>
      </c>
      <c r="AC42" s="11" t="n">
        <f aca="false">Units!$E41*(1+Inputs!$B$7)^(AC$2-1)</f>
        <v>1617.8725</v>
      </c>
      <c r="AD42" s="11" t="n">
        <f aca="false">Units!$E41*(1+Inputs!$B$7)^(AD$2-1)</f>
        <v>1617.8725</v>
      </c>
      <c r="AE42" s="11" t="n">
        <f aca="false">Units!$E41*(1+Inputs!$B$7)^(AE$2-1)</f>
        <v>1617.8725</v>
      </c>
      <c r="AF42" s="11" t="n">
        <f aca="false">Units!$E41*(1+Inputs!$B$7)^(AF$2-1)</f>
        <v>1617.8725</v>
      </c>
      <c r="AG42" s="11" t="n">
        <f aca="false">Units!$E41*(1+Inputs!$B$7)^(AG$2-1)</f>
        <v>1617.8725</v>
      </c>
      <c r="AH42" s="11" t="n">
        <f aca="false">Units!$E41*(1+Inputs!$B$7)^(AH$2-1)</f>
        <v>1617.8725</v>
      </c>
      <c r="AI42" s="11" t="n">
        <f aca="false">Units!$E41*(1+Inputs!$B$7)^(AI$2-1)</f>
        <v>1617.8725</v>
      </c>
      <c r="AJ42" s="11" t="n">
        <f aca="false">Units!$E41*(1+Inputs!$B$7)^(AJ$2-1)</f>
        <v>1617.8725</v>
      </c>
      <c r="AK42" s="11" t="n">
        <f aca="false">Units!$E41*(1+Inputs!$B$7)^(AK$2-1)</f>
        <v>1617.8725</v>
      </c>
      <c r="AL42" s="11" t="n">
        <f aca="false">Units!$E41*(1+Inputs!$B$7)^(AL$2-1)</f>
        <v>1617.8725</v>
      </c>
      <c r="AM42" s="11" t="n">
        <f aca="false">Units!$E41*(1+Inputs!$B$7)^(AM$2-1)</f>
        <v>1666.408675</v>
      </c>
      <c r="AN42" s="11" t="n">
        <f aca="false">Units!$E41*(1+Inputs!$B$7)^(AN$2-1)</f>
        <v>1666.408675</v>
      </c>
      <c r="AO42" s="11" t="n">
        <f aca="false">Units!$E41*(1+Inputs!$B$7)^(AO$2-1)</f>
        <v>1666.408675</v>
      </c>
      <c r="AP42" s="11" t="n">
        <f aca="false">Units!$E41*(1+Inputs!$B$7)^(AP$2-1)</f>
        <v>1666.408675</v>
      </c>
      <c r="AQ42" s="11" t="n">
        <f aca="false">Units!$E41*(1+Inputs!$B$7)^(AQ$2-1)</f>
        <v>1666.408675</v>
      </c>
      <c r="AR42" s="11" t="n">
        <f aca="false">Units!$E41*(1+Inputs!$B$7)^(AR$2-1)</f>
        <v>1666.408675</v>
      </c>
      <c r="AS42" s="11" t="n">
        <f aca="false">Units!$E41*(1+Inputs!$B$7)^(AS$2-1)</f>
        <v>1666.408675</v>
      </c>
      <c r="AT42" s="11" t="n">
        <f aca="false">Units!$E41*(1+Inputs!$B$7)^(AT$2-1)</f>
        <v>1666.408675</v>
      </c>
      <c r="AU42" s="11" t="n">
        <f aca="false">Units!$E41*(1+Inputs!$B$7)^(AU$2-1)</f>
        <v>1666.408675</v>
      </c>
      <c r="AV42" s="11" t="n">
        <f aca="false">Units!$E41*(1+Inputs!$B$7)^(AV$2-1)</f>
        <v>1666.408675</v>
      </c>
      <c r="AW42" s="11" t="n">
        <f aca="false">Units!$E41*(1+Inputs!$B$7)^(AW$2-1)</f>
        <v>1666.408675</v>
      </c>
      <c r="AX42" s="11" t="n">
        <f aca="false">Units!$E41*(1+Inputs!$B$7)^(AX$2-1)</f>
        <v>1666.408675</v>
      </c>
      <c r="AY42" s="11" t="n">
        <f aca="false">Units!$E41*(1+Inputs!$B$7)^(AY$2-1)</f>
        <v>1716.40093525</v>
      </c>
      <c r="AZ42" s="11" t="n">
        <f aca="false">Units!$E41*(1+Inputs!$B$7)^(AZ$2-1)</f>
        <v>1716.40093525</v>
      </c>
      <c r="BA42" s="11" t="n">
        <f aca="false">Units!$E41*(1+Inputs!$B$7)^(BA$2-1)</f>
        <v>1716.40093525</v>
      </c>
      <c r="BB42" s="11" t="n">
        <f aca="false">Units!$E41*(1+Inputs!$B$7)^(BB$2-1)</f>
        <v>1716.40093525</v>
      </c>
      <c r="BC42" s="11" t="n">
        <f aca="false">Units!$E41*(1+Inputs!$B$7)^(BC$2-1)</f>
        <v>1716.40093525</v>
      </c>
      <c r="BD42" s="11" t="n">
        <f aca="false">Units!$E41*(1+Inputs!$B$7)^(BD$2-1)</f>
        <v>1716.40093525</v>
      </c>
      <c r="BE42" s="11" t="n">
        <f aca="false">Units!$E41*(1+Inputs!$B$7)^(BE$2-1)</f>
        <v>1716.40093525</v>
      </c>
      <c r="BF42" s="11" t="n">
        <f aca="false">Units!$E41*(1+Inputs!$B$7)^(BF$2-1)</f>
        <v>1716.40093525</v>
      </c>
      <c r="BG42" s="11" t="n">
        <f aca="false">Units!$E41*(1+Inputs!$B$7)^(BG$2-1)</f>
        <v>1716.40093525</v>
      </c>
      <c r="BH42" s="11" t="n">
        <f aca="false">Units!$E41*(1+Inputs!$B$7)^(BH$2-1)</f>
        <v>1716.40093525</v>
      </c>
      <c r="BI42" s="11" t="n">
        <f aca="false">Units!$E41*(1+Inputs!$B$7)^(BI$2-1)</f>
        <v>1716.40093525</v>
      </c>
      <c r="BJ42" s="11" t="n">
        <f aca="false">Units!$E41*(1+Inputs!$B$7)^(BJ$2-1)</f>
        <v>1716.40093525</v>
      </c>
      <c r="BK42" s="11" t="n">
        <f aca="false">Units!$E41*(1+Inputs!$B$7)^(BK$2-1)</f>
        <v>1767.8929633075</v>
      </c>
      <c r="BL42" s="11" t="n">
        <f aca="false">Units!$E41*(1+Inputs!$B$7)^(BL$2-1)</f>
        <v>1767.8929633075</v>
      </c>
      <c r="BM42" s="11" t="n">
        <f aca="false">Units!$E41*(1+Inputs!$B$7)^(BM$2-1)</f>
        <v>1767.8929633075</v>
      </c>
      <c r="BN42" s="11" t="n">
        <f aca="false">Units!$E41*(1+Inputs!$B$7)^(BN$2-1)</f>
        <v>1767.8929633075</v>
      </c>
      <c r="BO42" s="11" t="n">
        <f aca="false">Units!$E41*(1+Inputs!$B$7)^(BO$2-1)</f>
        <v>1767.8929633075</v>
      </c>
      <c r="BP42" s="11" t="n">
        <f aca="false">Units!$E41*(1+Inputs!$B$7)^(BP$2-1)</f>
        <v>1767.8929633075</v>
      </c>
      <c r="BQ42" s="11" t="n">
        <f aca="false">Units!$E41*(1+Inputs!$B$7)^(BQ$2-1)</f>
        <v>1767.8929633075</v>
      </c>
      <c r="BR42" s="11" t="n">
        <f aca="false">Units!$E41*(1+Inputs!$B$7)^(BR$2-1)</f>
        <v>1767.8929633075</v>
      </c>
      <c r="BS42" s="11" t="n">
        <f aca="false">Units!$E41*(1+Inputs!$B$7)^(BS$2-1)</f>
        <v>1767.8929633075</v>
      </c>
      <c r="BT42" s="11" t="n">
        <f aca="false">Units!$E41*(1+Inputs!$B$7)^(BT$2-1)</f>
        <v>1767.8929633075</v>
      </c>
      <c r="BU42" s="11" t="n">
        <f aca="false">Units!$E41*(1+Inputs!$B$7)^(BU$2-1)</f>
        <v>1767.8929633075</v>
      </c>
      <c r="BV42" s="11" t="n">
        <f aca="false">Units!$E41*(1+Inputs!$B$7)^(BV$2-1)</f>
        <v>1767.8929633075</v>
      </c>
      <c r="BW42" s="11" t="n">
        <f aca="false">Units!$E41*(1+Inputs!$B$7)^(BW$2-1)</f>
        <v>1820.92975220673</v>
      </c>
      <c r="BX42" s="11" t="n">
        <f aca="false">Units!$E41*(1+Inputs!$B$7)^(BX$2-1)</f>
        <v>1820.92975220673</v>
      </c>
      <c r="BY42" s="11" t="n">
        <f aca="false">Units!$E41*(1+Inputs!$B$7)^(BY$2-1)</f>
        <v>1820.92975220673</v>
      </c>
      <c r="BZ42" s="11" t="n">
        <f aca="false">Units!$E41*(1+Inputs!$B$7)^(BZ$2-1)</f>
        <v>1820.92975220673</v>
      </c>
      <c r="CA42" s="11" t="n">
        <f aca="false">Units!$E41*(1+Inputs!$B$7)^(CA$2-1)</f>
        <v>1820.92975220673</v>
      </c>
      <c r="CB42" s="11" t="n">
        <f aca="false">Units!$E41*(1+Inputs!$B$7)^(CB$2-1)</f>
        <v>1820.92975220673</v>
      </c>
      <c r="CC42" s="11" t="n">
        <f aca="false">Units!$E41*(1+Inputs!$B$7)^(CC$2-1)</f>
        <v>1820.92975220673</v>
      </c>
      <c r="CD42" s="11" t="n">
        <f aca="false">Units!$E41*(1+Inputs!$B$7)^(CD$2-1)</f>
        <v>1820.92975220673</v>
      </c>
      <c r="CE42" s="11" t="n">
        <f aca="false">Units!$E41*(1+Inputs!$B$7)^(CE$2-1)</f>
        <v>1820.92975220673</v>
      </c>
      <c r="CF42" s="11" t="n">
        <f aca="false">Units!$E41*(1+Inputs!$B$7)^(CF$2-1)</f>
        <v>1820.92975220673</v>
      </c>
      <c r="CG42" s="11" t="n">
        <f aca="false">Units!$E41*(1+Inputs!$B$7)^(CG$2-1)</f>
        <v>1820.92975220673</v>
      </c>
      <c r="CH42" s="11" t="n">
        <f aca="false">Units!$E41*(1+Inputs!$B$7)^(CH$2-1)</f>
        <v>1820.92975220673</v>
      </c>
      <c r="CI42" s="11" t="n">
        <f aca="false">Units!$E41*(1+Inputs!$B$7)^(CI$2-1)</f>
        <v>1875.55764477293</v>
      </c>
      <c r="CJ42" s="11" t="n">
        <f aca="false">Units!$E41*(1+Inputs!$B$7)^(CJ$2-1)</f>
        <v>1875.55764477293</v>
      </c>
      <c r="CK42" s="11" t="n">
        <f aca="false">Units!$E41*(1+Inputs!$B$7)^(CK$2-1)</f>
        <v>1875.55764477293</v>
      </c>
      <c r="CL42" s="11" t="n">
        <f aca="false">Units!$E41*(1+Inputs!$B$7)^(CL$2-1)</f>
        <v>1875.55764477293</v>
      </c>
      <c r="CM42" s="11" t="n">
        <f aca="false">Units!$E41*(1+Inputs!$B$7)^(CM$2-1)</f>
        <v>1875.55764477293</v>
      </c>
      <c r="CN42" s="11" t="n">
        <f aca="false">Units!$E41*(1+Inputs!$B$7)^(CN$2-1)</f>
        <v>1875.55764477293</v>
      </c>
      <c r="CO42" s="11" t="n">
        <f aca="false">Units!$E41*(1+Inputs!$B$7)^(CO$2-1)</f>
        <v>1875.55764477293</v>
      </c>
      <c r="CP42" s="11" t="n">
        <f aca="false">Units!$E41*(1+Inputs!$B$7)^(CP$2-1)</f>
        <v>1875.55764477293</v>
      </c>
      <c r="CQ42" s="11" t="n">
        <f aca="false">Units!$E41*(1+Inputs!$B$7)^(CQ$2-1)</f>
        <v>1875.55764477293</v>
      </c>
      <c r="CR42" s="11" t="n">
        <f aca="false">Units!$E41*(1+Inputs!$B$7)^(CR$2-1)</f>
        <v>1875.55764477293</v>
      </c>
      <c r="CS42" s="11" t="n">
        <f aca="false">Units!$E41*(1+Inputs!$B$7)^(CS$2-1)</f>
        <v>1875.55764477293</v>
      </c>
      <c r="CT42" s="11" t="n">
        <f aca="false">Units!$E41*(1+Inputs!$B$7)^(CT$2-1)</f>
        <v>1875.55764477293</v>
      </c>
      <c r="CU42" s="11" t="n">
        <f aca="false">Units!$E41*(1+Inputs!$B$7)^(CU$2-1)</f>
        <v>1931.82437411612</v>
      </c>
      <c r="CV42" s="11" t="n">
        <f aca="false">Units!$E41*(1+Inputs!$B$7)^(CV$2-1)</f>
        <v>1931.82437411612</v>
      </c>
      <c r="CW42" s="11" t="n">
        <f aca="false">Units!$E41*(1+Inputs!$B$7)^(CW$2-1)</f>
        <v>1931.82437411612</v>
      </c>
      <c r="CX42" s="11" t="n">
        <f aca="false">Units!$E41*(1+Inputs!$B$7)^(CX$2-1)</f>
        <v>1931.82437411612</v>
      </c>
      <c r="CY42" s="11" t="n">
        <f aca="false">Units!$E41*(1+Inputs!$B$7)^(CY$2-1)</f>
        <v>1931.82437411612</v>
      </c>
      <c r="CZ42" s="11" t="n">
        <f aca="false">Units!$E41*(1+Inputs!$B$7)^(CZ$2-1)</f>
        <v>1931.82437411612</v>
      </c>
      <c r="DA42" s="11" t="n">
        <f aca="false">Units!$E41*(1+Inputs!$B$7)^(DA$2-1)</f>
        <v>1931.82437411612</v>
      </c>
      <c r="DB42" s="11" t="n">
        <f aca="false">Units!$E41*(1+Inputs!$B$7)^(DB$2-1)</f>
        <v>1931.82437411612</v>
      </c>
      <c r="DC42" s="11" t="n">
        <f aca="false">Units!$E41*(1+Inputs!$B$7)^(DC$2-1)</f>
        <v>1931.82437411612</v>
      </c>
      <c r="DD42" s="11" t="n">
        <f aca="false">Units!$E41*(1+Inputs!$B$7)^(DD$2-1)</f>
        <v>1931.82437411612</v>
      </c>
      <c r="DE42" s="11" t="n">
        <f aca="false">Units!$E41*(1+Inputs!$B$7)^(DE$2-1)</f>
        <v>1931.82437411612</v>
      </c>
      <c r="DF42" s="11" t="n">
        <f aca="false">Units!$E41*(1+Inputs!$B$7)^(DF$2-1)</f>
        <v>1931.82437411612</v>
      </c>
      <c r="DG42" s="11" t="n">
        <f aca="false">Units!$E41*(1+Inputs!$B$7)^(DG$2-1)</f>
        <v>1989.7791053396</v>
      </c>
      <c r="DH42" s="11" t="n">
        <f aca="false">Units!$E41*(1+Inputs!$B$7)^(DH$2-1)</f>
        <v>1989.7791053396</v>
      </c>
      <c r="DI42" s="11" t="n">
        <f aca="false">Units!$E41*(1+Inputs!$B$7)^(DI$2-1)</f>
        <v>1989.7791053396</v>
      </c>
      <c r="DJ42" s="11" t="n">
        <f aca="false">Units!$E41*(1+Inputs!$B$7)^(DJ$2-1)</f>
        <v>1989.7791053396</v>
      </c>
      <c r="DK42" s="11" t="n">
        <f aca="false">Units!$E41*(1+Inputs!$B$7)^(DK$2-1)</f>
        <v>1989.7791053396</v>
      </c>
      <c r="DL42" s="11" t="n">
        <f aca="false">Units!$E41*(1+Inputs!$B$7)^(DL$2-1)</f>
        <v>1989.7791053396</v>
      </c>
      <c r="DM42" s="11" t="n">
        <f aca="false">Units!$E41*(1+Inputs!$B$7)^(DM$2-1)</f>
        <v>1989.7791053396</v>
      </c>
      <c r="DN42" s="11" t="n">
        <f aca="false">Units!$E41*(1+Inputs!$B$7)^(DN$2-1)</f>
        <v>1989.7791053396</v>
      </c>
      <c r="DO42" s="11" t="n">
        <f aca="false">Units!$E41*(1+Inputs!$B$7)^(DO$2-1)</f>
        <v>1989.7791053396</v>
      </c>
      <c r="DP42" s="11" t="n">
        <f aca="false">Units!$E41*(1+Inputs!$B$7)^(DP$2-1)</f>
        <v>1989.7791053396</v>
      </c>
      <c r="DQ42" s="11" t="n">
        <f aca="false">Units!$E41*(1+Inputs!$B$7)^(DQ$2-1)</f>
        <v>1989.7791053396</v>
      </c>
      <c r="DR42" s="11" t="n">
        <f aca="false">Units!$E41*(1+Inputs!$B$7)^(DR$2-1)</f>
        <v>1989.7791053396</v>
      </c>
      <c r="DS42" s="11" t="n">
        <f aca="false">Units!$E41*(1+Inputs!$B$7)^(DS$2-1)</f>
        <v>2049.47247849979</v>
      </c>
      <c r="DT42" s="11" t="n">
        <f aca="false">Units!$E41*(1+Inputs!$B$7)^(DT$2-1)</f>
        <v>2049.47247849979</v>
      </c>
      <c r="DU42" s="11" t="n">
        <f aca="false">Units!$E41*(1+Inputs!$B$7)^(DU$2-1)</f>
        <v>2049.47247849979</v>
      </c>
      <c r="DV42" s="11" t="n">
        <f aca="false">Units!$E41*(1+Inputs!$B$7)^(DV$2-1)</f>
        <v>2049.47247849979</v>
      </c>
      <c r="DW42" s="11" t="n">
        <f aca="false">Units!$E41*(1+Inputs!$B$7)^(DW$2-1)</f>
        <v>2049.47247849979</v>
      </c>
      <c r="DX42" s="11" t="n">
        <f aca="false">Units!$E41*(1+Inputs!$B$7)^(DX$2-1)</f>
        <v>2049.47247849979</v>
      </c>
      <c r="DY42" s="11" t="n">
        <f aca="false">Units!$E41*(1+Inputs!$B$7)^(DY$2-1)</f>
        <v>2049.47247849979</v>
      </c>
      <c r="DZ42" s="11" t="n">
        <f aca="false">Units!$E41*(1+Inputs!$B$7)^(DZ$2-1)</f>
        <v>2049.47247849979</v>
      </c>
      <c r="EA42" s="11" t="n">
        <f aca="false">Units!$E41*(1+Inputs!$B$7)^(EA$2-1)</f>
        <v>2049.47247849979</v>
      </c>
      <c r="EB42" s="11" t="n">
        <f aca="false">Units!$E41*(1+Inputs!$B$7)^(EB$2-1)</f>
        <v>2049.47247849979</v>
      </c>
      <c r="EC42" s="11" t="n">
        <f aca="false">Units!$E41*(1+Inputs!$B$7)^(EC$2-1)</f>
        <v>2049.47247849979</v>
      </c>
      <c r="ED42" s="11" t="n">
        <f aca="false">Units!$E41*(1+Inputs!$B$7)^(ED$2-1)</f>
        <v>2049.47247849979</v>
      </c>
    </row>
    <row r="43" customFormat="false" ht="15" hidden="false" customHeight="false" outlineLevel="0" collapsed="false">
      <c r="A43" s="22" t="n">
        <f aca="false">Units!A42</f>
        <v>211</v>
      </c>
      <c r="B43" s="23"/>
      <c r="C43" s="11" t="n">
        <f aca="false">Units!$E42*(1+Inputs!$B$7)^(C$2-1)</f>
        <v>1525</v>
      </c>
      <c r="D43" s="11" t="n">
        <f aca="false">Units!$E42*(1+Inputs!$B$7)^(D$2-1)</f>
        <v>1525</v>
      </c>
      <c r="E43" s="11" t="n">
        <f aca="false">Units!$E42*(1+Inputs!$B$7)^(E$2-1)</f>
        <v>1525</v>
      </c>
      <c r="F43" s="11" t="n">
        <f aca="false">Units!$E42*(1+Inputs!$B$7)^(F$2-1)</f>
        <v>1525</v>
      </c>
      <c r="G43" s="11" t="n">
        <f aca="false">Units!$E42*(1+Inputs!$B$7)^(G$2-1)</f>
        <v>1525</v>
      </c>
      <c r="H43" s="11" t="n">
        <f aca="false">Units!$E42*(1+Inputs!$B$7)^(H$2-1)</f>
        <v>1525</v>
      </c>
      <c r="I43" s="11" t="n">
        <f aca="false">Units!$E42*(1+Inputs!$B$7)^(I$2-1)</f>
        <v>1525</v>
      </c>
      <c r="J43" s="11" t="n">
        <f aca="false">Units!$E42*(1+Inputs!$B$7)^(J$2-1)</f>
        <v>1525</v>
      </c>
      <c r="K43" s="11" t="n">
        <f aca="false">Units!$E42*(1+Inputs!$B$7)^(K$2-1)</f>
        <v>1525</v>
      </c>
      <c r="L43" s="11" t="n">
        <f aca="false">Units!$E42*(1+Inputs!$B$7)^(L$2-1)</f>
        <v>1525</v>
      </c>
      <c r="M43" s="11" t="n">
        <f aca="false">Units!$E42*(1+Inputs!$B$7)^(M$2-1)</f>
        <v>1525</v>
      </c>
      <c r="N43" s="11" t="n">
        <f aca="false">Units!$E42*(1+Inputs!$B$7)^(N$2-1)</f>
        <v>1525</v>
      </c>
      <c r="O43" s="11" t="n">
        <f aca="false">Units!$E42*(1+Inputs!$B$7)^(O$2-1)</f>
        <v>1570.75</v>
      </c>
      <c r="P43" s="11" t="n">
        <f aca="false">Units!$E42*(1+Inputs!$B$7)^(P$2-1)</f>
        <v>1570.75</v>
      </c>
      <c r="Q43" s="11" t="n">
        <f aca="false">Units!$E42*(1+Inputs!$B$7)^(Q$2-1)</f>
        <v>1570.75</v>
      </c>
      <c r="R43" s="11" t="n">
        <f aca="false">Units!$E42*(1+Inputs!$B$7)^(R$2-1)</f>
        <v>1570.75</v>
      </c>
      <c r="S43" s="11" t="n">
        <f aca="false">Units!$E42*(1+Inputs!$B$7)^(S$2-1)</f>
        <v>1570.75</v>
      </c>
      <c r="T43" s="11" t="n">
        <f aca="false">Units!$E42*(1+Inputs!$B$7)^(T$2-1)</f>
        <v>1570.75</v>
      </c>
      <c r="U43" s="11" t="n">
        <f aca="false">Units!$E42*(1+Inputs!$B$7)^(U$2-1)</f>
        <v>1570.75</v>
      </c>
      <c r="V43" s="11" t="n">
        <f aca="false">Units!$E42*(1+Inputs!$B$7)^(V$2-1)</f>
        <v>1570.75</v>
      </c>
      <c r="W43" s="11" t="n">
        <f aca="false">Units!$E42*(1+Inputs!$B$7)^(W$2-1)</f>
        <v>1570.75</v>
      </c>
      <c r="X43" s="11" t="n">
        <f aca="false">Units!$E42*(1+Inputs!$B$7)^(X$2-1)</f>
        <v>1570.75</v>
      </c>
      <c r="Y43" s="11" t="n">
        <f aca="false">Units!$E42*(1+Inputs!$B$7)^(Y$2-1)</f>
        <v>1570.75</v>
      </c>
      <c r="Z43" s="11" t="n">
        <f aca="false">Units!$E42*(1+Inputs!$B$7)^(Z$2-1)</f>
        <v>1570.75</v>
      </c>
      <c r="AA43" s="11" t="n">
        <f aca="false">Units!$E42*(1+Inputs!$B$7)^(AA$2-1)</f>
        <v>1617.8725</v>
      </c>
      <c r="AB43" s="11" t="n">
        <f aca="false">Units!$E42*(1+Inputs!$B$7)^(AB$2-1)</f>
        <v>1617.8725</v>
      </c>
      <c r="AC43" s="11" t="n">
        <f aca="false">Units!$E42*(1+Inputs!$B$7)^(AC$2-1)</f>
        <v>1617.8725</v>
      </c>
      <c r="AD43" s="11" t="n">
        <f aca="false">Units!$E42*(1+Inputs!$B$7)^(AD$2-1)</f>
        <v>1617.8725</v>
      </c>
      <c r="AE43" s="11" t="n">
        <f aca="false">Units!$E42*(1+Inputs!$B$7)^(AE$2-1)</f>
        <v>1617.8725</v>
      </c>
      <c r="AF43" s="11" t="n">
        <f aca="false">Units!$E42*(1+Inputs!$B$7)^(AF$2-1)</f>
        <v>1617.8725</v>
      </c>
      <c r="AG43" s="11" t="n">
        <f aca="false">Units!$E42*(1+Inputs!$B$7)^(AG$2-1)</f>
        <v>1617.8725</v>
      </c>
      <c r="AH43" s="11" t="n">
        <f aca="false">Units!$E42*(1+Inputs!$B$7)^(AH$2-1)</f>
        <v>1617.8725</v>
      </c>
      <c r="AI43" s="11" t="n">
        <f aca="false">Units!$E42*(1+Inputs!$B$7)^(AI$2-1)</f>
        <v>1617.8725</v>
      </c>
      <c r="AJ43" s="11" t="n">
        <f aca="false">Units!$E42*(1+Inputs!$B$7)^(AJ$2-1)</f>
        <v>1617.8725</v>
      </c>
      <c r="AK43" s="11" t="n">
        <f aca="false">Units!$E42*(1+Inputs!$B$7)^(AK$2-1)</f>
        <v>1617.8725</v>
      </c>
      <c r="AL43" s="11" t="n">
        <f aca="false">Units!$E42*(1+Inputs!$B$7)^(AL$2-1)</f>
        <v>1617.8725</v>
      </c>
      <c r="AM43" s="11" t="n">
        <f aca="false">Units!$E42*(1+Inputs!$B$7)^(AM$2-1)</f>
        <v>1666.408675</v>
      </c>
      <c r="AN43" s="11" t="n">
        <f aca="false">Units!$E42*(1+Inputs!$B$7)^(AN$2-1)</f>
        <v>1666.408675</v>
      </c>
      <c r="AO43" s="11" t="n">
        <f aca="false">Units!$E42*(1+Inputs!$B$7)^(AO$2-1)</f>
        <v>1666.408675</v>
      </c>
      <c r="AP43" s="11" t="n">
        <f aca="false">Units!$E42*(1+Inputs!$B$7)^(AP$2-1)</f>
        <v>1666.408675</v>
      </c>
      <c r="AQ43" s="11" t="n">
        <f aca="false">Units!$E42*(1+Inputs!$B$7)^(AQ$2-1)</f>
        <v>1666.408675</v>
      </c>
      <c r="AR43" s="11" t="n">
        <f aca="false">Units!$E42*(1+Inputs!$B$7)^(AR$2-1)</f>
        <v>1666.408675</v>
      </c>
      <c r="AS43" s="11" t="n">
        <f aca="false">Units!$E42*(1+Inputs!$B$7)^(AS$2-1)</f>
        <v>1666.408675</v>
      </c>
      <c r="AT43" s="11" t="n">
        <f aca="false">Units!$E42*(1+Inputs!$B$7)^(AT$2-1)</f>
        <v>1666.408675</v>
      </c>
      <c r="AU43" s="11" t="n">
        <f aca="false">Units!$E42*(1+Inputs!$B$7)^(AU$2-1)</f>
        <v>1666.408675</v>
      </c>
      <c r="AV43" s="11" t="n">
        <f aca="false">Units!$E42*(1+Inputs!$B$7)^(AV$2-1)</f>
        <v>1666.408675</v>
      </c>
      <c r="AW43" s="11" t="n">
        <f aca="false">Units!$E42*(1+Inputs!$B$7)^(AW$2-1)</f>
        <v>1666.408675</v>
      </c>
      <c r="AX43" s="11" t="n">
        <f aca="false">Units!$E42*(1+Inputs!$B$7)^(AX$2-1)</f>
        <v>1666.408675</v>
      </c>
      <c r="AY43" s="11" t="n">
        <f aca="false">Units!$E42*(1+Inputs!$B$7)^(AY$2-1)</f>
        <v>1716.40093525</v>
      </c>
      <c r="AZ43" s="11" t="n">
        <f aca="false">Units!$E42*(1+Inputs!$B$7)^(AZ$2-1)</f>
        <v>1716.40093525</v>
      </c>
      <c r="BA43" s="11" t="n">
        <f aca="false">Units!$E42*(1+Inputs!$B$7)^(BA$2-1)</f>
        <v>1716.40093525</v>
      </c>
      <c r="BB43" s="11" t="n">
        <f aca="false">Units!$E42*(1+Inputs!$B$7)^(BB$2-1)</f>
        <v>1716.40093525</v>
      </c>
      <c r="BC43" s="11" t="n">
        <f aca="false">Units!$E42*(1+Inputs!$B$7)^(BC$2-1)</f>
        <v>1716.40093525</v>
      </c>
      <c r="BD43" s="11" t="n">
        <f aca="false">Units!$E42*(1+Inputs!$B$7)^(BD$2-1)</f>
        <v>1716.40093525</v>
      </c>
      <c r="BE43" s="11" t="n">
        <f aca="false">Units!$E42*(1+Inputs!$B$7)^(BE$2-1)</f>
        <v>1716.40093525</v>
      </c>
      <c r="BF43" s="11" t="n">
        <f aca="false">Units!$E42*(1+Inputs!$B$7)^(BF$2-1)</f>
        <v>1716.40093525</v>
      </c>
      <c r="BG43" s="11" t="n">
        <f aca="false">Units!$E42*(1+Inputs!$B$7)^(BG$2-1)</f>
        <v>1716.40093525</v>
      </c>
      <c r="BH43" s="11" t="n">
        <f aca="false">Units!$E42*(1+Inputs!$B$7)^(BH$2-1)</f>
        <v>1716.40093525</v>
      </c>
      <c r="BI43" s="11" t="n">
        <f aca="false">Units!$E42*(1+Inputs!$B$7)^(BI$2-1)</f>
        <v>1716.40093525</v>
      </c>
      <c r="BJ43" s="11" t="n">
        <f aca="false">Units!$E42*(1+Inputs!$B$7)^(BJ$2-1)</f>
        <v>1716.40093525</v>
      </c>
      <c r="BK43" s="11" t="n">
        <f aca="false">Units!$E42*(1+Inputs!$B$7)^(BK$2-1)</f>
        <v>1767.8929633075</v>
      </c>
      <c r="BL43" s="11" t="n">
        <f aca="false">Units!$E42*(1+Inputs!$B$7)^(BL$2-1)</f>
        <v>1767.8929633075</v>
      </c>
      <c r="BM43" s="11" t="n">
        <f aca="false">Units!$E42*(1+Inputs!$B$7)^(BM$2-1)</f>
        <v>1767.8929633075</v>
      </c>
      <c r="BN43" s="11" t="n">
        <f aca="false">Units!$E42*(1+Inputs!$B$7)^(BN$2-1)</f>
        <v>1767.8929633075</v>
      </c>
      <c r="BO43" s="11" t="n">
        <f aca="false">Units!$E42*(1+Inputs!$B$7)^(BO$2-1)</f>
        <v>1767.8929633075</v>
      </c>
      <c r="BP43" s="11" t="n">
        <f aca="false">Units!$E42*(1+Inputs!$B$7)^(BP$2-1)</f>
        <v>1767.8929633075</v>
      </c>
      <c r="BQ43" s="11" t="n">
        <f aca="false">Units!$E42*(1+Inputs!$B$7)^(BQ$2-1)</f>
        <v>1767.8929633075</v>
      </c>
      <c r="BR43" s="11" t="n">
        <f aca="false">Units!$E42*(1+Inputs!$B$7)^(BR$2-1)</f>
        <v>1767.8929633075</v>
      </c>
      <c r="BS43" s="11" t="n">
        <f aca="false">Units!$E42*(1+Inputs!$B$7)^(BS$2-1)</f>
        <v>1767.8929633075</v>
      </c>
      <c r="BT43" s="11" t="n">
        <f aca="false">Units!$E42*(1+Inputs!$B$7)^(BT$2-1)</f>
        <v>1767.8929633075</v>
      </c>
      <c r="BU43" s="11" t="n">
        <f aca="false">Units!$E42*(1+Inputs!$B$7)^(BU$2-1)</f>
        <v>1767.8929633075</v>
      </c>
      <c r="BV43" s="11" t="n">
        <f aca="false">Units!$E42*(1+Inputs!$B$7)^(BV$2-1)</f>
        <v>1767.8929633075</v>
      </c>
      <c r="BW43" s="11" t="n">
        <f aca="false">Units!$E42*(1+Inputs!$B$7)^(BW$2-1)</f>
        <v>1820.92975220673</v>
      </c>
      <c r="BX43" s="11" t="n">
        <f aca="false">Units!$E42*(1+Inputs!$B$7)^(BX$2-1)</f>
        <v>1820.92975220673</v>
      </c>
      <c r="BY43" s="11" t="n">
        <f aca="false">Units!$E42*(1+Inputs!$B$7)^(BY$2-1)</f>
        <v>1820.92975220673</v>
      </c>
      <c r="BZ43" s="11" t="n">
        <f aca="false">Units!$E42*(1+Inputs!$B$7)^(BZ$2-1)</f>
        <v>1820.92975220673</v>
      </c>
      <c r="CA43" s="11" t="n">
        <f aca="false">Units!$E42*(1+Inputs!$B$7)^(CA$2-1)</f>
        <v>1820.92975220673</v>
      </c>
      <c r="CB43" s="11" t="n">
        <f aca="false">Units!$E42*(1+Inputs!$B$7)^(CB$2-1)</f>
        <v>1820.92975220673</v>
      </c>
      <c r="CC43" s="11" t="n">
        <f aca="false">Units!$E42*(1+Inputs!$B$7)^(CC$2-1)</f>
        <v>1820.92975220673</v>
      </c>
      <c r="CD43" s="11" t="n">
        <f aca="false">Units!$E42*(1+Inputs!$B$7)^(CD$2-1)</f>
        <v>1820.92975220673</v>
      </c>
      <c r="CE43" s="11" t="n">
        <f aca="false">Units!$E42*(1+Inputs!$B$7)^(CE$2-1)</f>
        <v>1820.92975220673</v>
      </c>
      <c r="CF43" s="11" t="n">
        <f aca="false">Units!$E42*(1+Inputs!$B$7)^(CF$2-1)</f>
        <v>1820.92975220673</v>
      </c>
      <c r="CG43" s="11" t="n">
        <f aca="false">Units!$E42*(1+Inputs!$B$7)^(CG$2-1)</f>
        <v>1820.92975220673</v>
      </c>
      <c r="CH43" s="11" t="n">
        <f aca="false">Units!$E42*(1+Inputs!$B$7)^(CH$2-1)</f>
        <v>1820.92975220673</v>
      </c>
      <c r="CI43" s="11" t="n">
        <f aca="false">Units!$E42*(1+Inputs!$B$7)^(CI$2-1)</f>
        <v>1875.55764477293</v>
      </c>
      <c r="CJ43" s="11" t="n">
        <f aca="false">Units!$E42*(1+Inputs!$B$7)^(CJ$2-1)</f>
        <v>1875.55764477293</v>
      </c>
      <c r="CK43" s="11" t="n">
        <f aca="false">Units!$E42*(1+Inputs!$B$7)^(CK$2-1)</f>
        <v>1875.55764477293</v>
      </c>
      <c r="CL43" s="11" t="n">
        <f aca="false">Units!$E42*(1+Inputs!$B$7)^(CL$2-1)</f>
        <v>1875.55764477293</v>
      </c>
      <c r="CM43" s="11" t="n">
        <f aca="false">Units!$E42*(1+Inputs!$B$7)^(CM$2-1)</f>
        <v>1875.55764477293</v>
      </c>
      <c r="CN43" s="11" t="n">
        <f aca="false">Units!$E42*(1+Inputs!$B$7)^(CN$2-1)</f>
        <v>1875.55764477293</v>
      </c>
      <c r="CO43" s="11" t="n">
        <f aca="false">Units!$E42*(1+Inputs!$B$7)^(CO$2-1)</f>
        <v>1875.55764477293</v>
      </c>
      <c r="CP43" s="11" t="n">
        <f aca="false">Units!$E42*(1+Inputs!$B$7)^(CP$2-1)</f>
        <v>1875.55764477293</v>
      </c>
      <c r="CQ43" s="11" t="n">
        <f aca="false">Units!$E42*(1+Inputs!$B$7)^(CQ$2-1)</f>
        <v>1875.55764477293</v>
      </c>
      <c r="CR43" s="11" t="n">
        <f aca="false">Units!$E42*(1+Inputs!$B$7)^(CR$2-1)</f>
        <v>1875.55764477293</v>
      </c>
      <c r="CS43" s="11" t="n">
        <f aca="false">Units!$E42*(1+Inputs!$B$7)^(CS$2-1)</f>
        <v>1875.55764477293</v>
      </c>
      <c r="CT43" s="11" t="n">
        <f aca="false">Units!$E42*(1+Inputs!$B$7)^(CT$2-1)</f>
        <v>1875.55764477293</v>
      </c>
      <c r="CU43" s="11" t="n">
        <f aca="false">Units!$E42*(1+Inputs!$B$7)^(CU$2-1)</f>
        <v>1931.82437411612</v>
      </c>
      <c r="CV43" s="11" t="n">
        <f aca="false">Units!$E42*(1+Inputs!$B$7)^(CV$2-1)</f>
        <v>1931.82437411612</v>
      </c>
      <c r="CW43" s="11" t="n">
        <f aca="false">Units!$E42*(1+Inputs!$B$7)^(CW$2-1)</f>
        <v>1931.82437411612</v>
      </c>
      <c r="CX43" s="11" t="n">
        <f aca="false">Units!$E42*(1+Inputs!$B$7)^(CX$2-1)</f>
        <v>1931.82437411612</v>
      </c>
      <c r="CY43" s="11" t="n">
        <f aca="false">Units!$E42*(1+Inputs!$B$7)^(CY$2-1)</f>
        <v>1931.82437411612</v>
      </c>
      <c r="CZ43" s="11" t="n">
        <f aca="false">Units!$E42*(1+Inputs!$B$7)^(CZ$2-1)</f>
        <v>1931.82437411612</v>
      </c>
      <c r="DA43" s="11" t="n">
        <f aca="false">Units!$E42*(1+Inputs!$B$7)^(DA$2-1)</f>
        <v>1931.82437411612</v>
      </c>
      <c r="DB43" s="11" t="n">
        <f aca="false">Units!$E42*(1+Inputs!$B$7)^(DB$2-1)</f>
        <v>1931.82437411612</v>
      </c>
      <c r="DC43" s="11" t="n">
        <f aca="false">Units!$E42*(1+Inputs!$B$7)^(DC$2-1)</f>
        <v>1931.82437411612</v>
      </c>
      <c r="DD43" s="11" t="n">
        <f aca="false">Units!$E42*(1+Inputs!$B$7)^(DD$2-1)</f>
        <v>1931.82437411612</v>
      </c>
      <c r="DE43" s="11" t="n">
        <f aca="false">Units!$E42*(1+Inputs!$B$7)^(DE$2-1)</f>
        <v>1931.82437411612</v>
      </c>
      <c r="DF43" s="11" t="n">
        <f aca="false">Units!$E42*(1+Inputs!$B$7)^(DF$2-1)</f>
        <v>1931.82437411612</v>
      </c>
      <c r="DG43" s="11" t="n">
        <f aca="false">Units!$E42*(1+Inputs!$B$7)^(DG$2-1)</f>
        <v>1989.7791053396</v>
      </c>
      <c r="DH43" s="11" t="n">
        <f aca="false">Units!$E42*(1+Inputs!$B$7)^(DH$2-1)</f>
        <v>1989.7791053396</v>
      </c>
      <c r="DI43" s="11" t="n">
        <f aca="false">Units!$E42*(1+Inputs!$B$7)^(DI$2-1)</f>
        <v>1989.7791053396</v>
      </c>
      <c r="DJ43" s="11" t="n">
        <f aca="false">Units!$E42*(1+Inputs!$B$7)^(DJ$2-1)</f>
        <v>1989.7791053396</v>
      </c>
      <c r="DK43" s="11" t="n">
        <f aca="false">Units!$E42*(1+Inputs!$B$7)^(DK$2-1)</f>
        <v>1989.7791053396</v>
      </c>
      <c r="DL43" s="11" t="n">
        <f aca="false">Units!$E42*(1+Inputs!$B$7)^(DL$2-1)</f>
        <v>1989.7791053396</v>
      </c>
      <c r="DM43" s="11" t="n">
        <f aca="false">Units!$E42*(1+Inputs!$B$7)^(DM$2-1)</f>
        <v>1989.7791053396</v>
      </c>
      <c r="DN43" s="11" t="n">
        <f aca="false">Units!$E42*(1+Inputs!$B$7)^(DN$2-1)</f>
        <v>1989.7791053396</v>
      </c>
      <c r="DO43" s="11" t="n">
        <f aca="false">Units!$E42*(1+Inputs!$B$7)^(DO$2-1)</f>
        <v>1989.7791053396</v>
      </c>
      <c r="DP43" s="11" t="n">
        <f aca="false">Units!$E42*(1+Inputs!$B$7)^(DP$2-1)</f>
        <v>1989.7791053396</v>
      </c>
      <c r="DQ43" s="11" t="n">
        <f aca="false">Units!$E42*(1+Inputs!$B$7)^(DQ$2-1)</f>
        <v>1989.7791053396</v>
      </c>
      <c r="DR43" s="11" t="n">
        <f aca="false">Units!$E42*(1+Inputs!$B$7)^(DR$2-1)</f>
        <v>1989.7791053396</v>
      </c>
      <c r="DS43" s="11" t="n">
        <f aca="false">Units!$E42*(1+Inputs!$B$7)^(DS$2-1)</f>
        <v>2049.47247849979</v>
      </c>
      <c r="DT43" s="11" t="n">
        <f aca="false">Units!$E42*(1+Inputs!$B$7)^(DT$2-1)</f>
        <v>2049.47247849979</v>
      </c>
      <c r="DU43" s="11" t="n">
        <f aca="false">Units!$E42*(1+Inputs!$B$7)^(DU$2-1)</f>
        <v>2049.47247849979</v>
      </c>
      <c r="DV43" s="11" t="n">
        <f aca="false">Units!$E42*(1+Inputs!$B$7)^(DV$2-1)</f>
        <v>2049.47247849979</v>
      </c>
      <c r="DW43" s="11" t="n">
        <f aca="false">Units!$E42*(1+Inputs!$B$7)^(DW$2-1)</f>
        <v>2049.47247849979</v>
      </c>
      <c r="DX43" s="11" t="n">
        <f aca="false">Units!$E42*(1+Inputs!$B$7)^(DX$2-1)</f>
        <v>2049.47247849979</v>
      </c>
      <c r="DY43" s="11" t="n">
        <f aca="false">Units!$E42*(1+Inputs!$B$7)^(DY$2-1)</f>
        <v>2049.47247849979</v>
      </c>
      <c r="DZ43" s="11" t="n">
        <f aca="false">Units!$E42*(1+Inputs!$B$7)^(DZ$2-1)</f>
        <v>2049.47247849979</v>
      </c>
      <c r="EA43" s="11" t="n">
        <f aca="false">Units!$E42*(1+Inputs!$B$7)^(EA$2-1)</f>
        <v>2049.47247849979</v>
      </c>
      <c r="EB43" s="11" t="n">
        <f aca="false">Units!$E42*(1+Inputs!$B$7)^(EB$2-1)</f>
        <v>2049.47247849979</v>
      </c>
      <c r="EC43" s="11" t="n">
        <f aca="false">Units!$E42*(1+Inputs!$B$7)^(EC$2-1)</f>
        <v>2049.47247849979</v>
      </c>
      <c r="ED43" s="11" t="n">
        <f aca="false">Units!$E42*(1+Inputs!$B$7)^(ED$2-1)</f>
        <v>2049.47247849979</v>
      </c>
    </row>
    <row r="44" customFormat="false" ht="15" hidden="false" customHeight="false" outlineLevel="0" collapsed="false">
      <c r="A44" s="22" t="n">
        <f aca="false">Units!A43</f>
        <v>212</v>
      </c>
      <c r="B44" s="23"/>
      <c r="C44" s="11" t="n">
        <f aca="false">Units!$E43*(1+Inputs!$B$7)^(C$2-1)</f>
        <v>1525</v>
      </c>
      <c r="D44" s="11" t="n">
        <f aca="false">Units!$E43*(1+Inputs!$B$7)^(D$2-1)</f>
        <v>1525</v>
      </c>
      <c r="E44" s="11" t="n">
        <f aca="false">Units!$E43*(1+Inputs!$B$7)^(E$2-1)</f>
        <v>1525</v>
      </c>
      <c r="F44" s="11" t="n">
        <f aca="false">Units!$E43*(1+Inputs!$B$7)^(F$2-1)</f>
        <v>1525</v>
      </c>
      <c r="G44" s="11" t="n">
        <f aca="false">Units!$E43*(1+Inputs!$B$7)^(G$2-1)</f>
        <v>1525</v>
      </c>
      <c r="H44" s="11" t="n">
        <f aca="false">Units!$E43*(1+Inputs!$B$7)^(H$2-1)</f>
        <v>1525</v>
      </c>
      <c r="I44" s="11" t="n">
        <f aca="false">Units!$E43*(1+Inputs!$B$7)^(I$2-1)</f>
        <v>1525</v>
      </c>
      <c r="J44" s="11" t="n">
        <f aca="false">Units!$E43*(1+Inputs!$B$7)^(J$2-1)</f>
        <v>1525</v>
      </c>
      <c r="K44" s="11" t="n">
        <f aca="false">Units!$E43*(1+Inputs!$B$7)^(K$2-1)</f>
        <v>1525</v>
      </c>
      <c r="L44" s="11" t="n">
        <f aca="false">Units!$E43*(1+Inputs!$B$7)^(L$2-1)</f>
        <v>1525</v>
      </c>
      <c r="M44" s="11" t="n">
        <f aca="false">Units!$E43*(1+Inputs!$B$7)^(M$2-1)</f>
        <v>1525</v>
      </c>
      <c r="N44" s="11" t="n">
        <f aca="false">Units!$E43*(1+Inputs!$B$7)^(N$2-1)</f>
        <v>1525</v>
      </c>
      <c r="O44" s="11" t="n">
        <f aca="false">Units!$E43*(1+Inputs!$B$7)^(O$2-1)</f>
        <v>1570.75</v>
      </c>
      <c r="P44" s="11" t="n">
        <f aca="false">Units!$E43*(1+Inputs!$B$7)^(P$2-1)</f>
        <v>1570.75</v>
      </c>
      <c r="Q44" s="11" t="n">
        <f aca="false">Units!$E43*(1+Inputs!$B$7)^(Q$2-1)</f>
        <v>1570.75</v>
      </c>
      <c r="R44" s="11" t="n">
        <f aca="false">Units!$E43*(1+Inputs!$B$7)^(R$2-1)</f>
        <v>1570.75</v>
      </c>
      <c r="S44" s="11" t="n">
        <f aca="false">Units!$E43*(1+Inputs!$B$7)^(S$2-1)</f>
        <v>1570.75</v>
      </c>
      <c r="T44" s="11" t="n">
        <f aca="false">Units!$E43*(1+Inputs!$B$7)^(T$2-1)</f>
        <v>1570.75</v>
      </c>
      <c r="U44" s="11" t="n">
        <f aca="false">Units!$E43*(1+Inputs!$B$7)^(U$2-1)</f>
        <v>1570.75</v>
      </c>
      <c r="V44" s="11" t="n">
        <f aca="false">Units!$E43*(1+Inputs!$B$7)^(V$2-1)</f>
        <v>1570.75</v>
      </c>
      <c r="W44" s="11" t="n">
        <f aca="false">Units!$E43*(1+Inputs!$B$7)^(W$2-1)</f>
        <v>1570.75</v>
      </c>
      <c r="X44" s="11" t="n">
        <f aca="false">Units!$E43*(1+Inputs!$B$7)^(X$2-1)</f>
        <v>1570.75</v>
      </c>
      <c r="Y44" s="11" t="n">
        <f aca="false">Units!$E43*(1+Inputs!$B$7)^(Y$2-1)</f>
        <v>1570.75</v>
      </c>
      <c r="Z44" s="11" t="n">
        <f aca="false">Units!$E43*(1+Inputs!$B$7)^(Z$2-1)</f>
        <v>1570.75</v>
      </c>
      <c r="AA44" s="11" t="n">
        <f aca="false">Units!$E43*(1+Inputs!$B$7)^(AA$2-1)</f>
        <v>1617.8725</v>
      </c>
      <c r="AB44" s="11" t="n">
        <f aca="false">Units!$E43*(1+Inputs!$B$7)^(AB$2-1)</f>
        <v>1617.8725</v>
      </c>
      <c r="AC44" s="11" t="n">
        <f aca="false">Units!$E43*(1+Inputs!$B$7)^(AC$2-1)</f>
        <v>1617.8725</v>
      </c>
      <c r="AD44" s="11" t="n">
        <f aca="false">Units!$E43*(1+Inputs!$B$7)^(AD$2-1)</f>
        <v>1617.8725</v>
      </c>
      <c r="AE44" s="11" t="n">
        <f aca="false">Units!$E43*(1+Inputs!$B$7)^(AE$2-1)</f>
        <v>1617.8725</v>
      </c>
      <c r="AF44" s="11" t="n">
        <f aca="false">Units!$E43*(1+Inputs!$B$7)^(AF$2-1)</f>
        <v>1617.8725</v>
      </c>
      <c r="AG44" s="11" t="n">
        <f aca="false">Units!$E43*(1+Inputs!$B$7)^(AG$2-1)</f>
        <v>1617.8725</v>
      </c>
      <c r="AH44" s="11" t="n">
        <f aca="false">Units!$E43*(1+Inputs!$B$7)^(AH$2-1)</f>
        <v>1617.8725</v>
      </c>
      <c r="AI44" s="11" t="n">
        <f aca="false">Units!$E43*(1+Inputs!$B$7)^(AI$2-1)</f>
        <v>1617.8725</v>
      </c>
      <c r="AJ44" s="11" t="n">
        <f aca="false">Units!$E43*(1+Inputs!$B$7)^(AJ$2-1)</f>
        <v>1617.8725</v>
      </c>
      <c r="AK44" s="11" t="n">
        <f aca="false">Units!$E43*(1+Inputs!$B$7)^(AK$2-1)</f>
        <v>1617.8725</v>
      </c>
      <c r="AL44" s="11" t="n">
        <f aca="false">Units!$E43*(1+Inputs!$B$7)^(AL$2-1)</f>
        <v>1617.8725</v>
      </c>
      <c r="AM44" s="11" t="n">
        <f aca="false">Units!$E43*(1+Inputs!$B$7)^(AM$2-1)</f>
        <v>1666.408675</v>
      </c>
      <c r="AN44" s="11" t="n">
        <f aca="false">Units!$E43*(1+Inputs!$B$7)^(AN$2-1)</f>
        <v>1666.408675</v>
      </c>
      <c r="AO44" s="11" t="n">
        <f aca="false">Units!$E43*(1+Inputs!$B$7)^(AO$2-1)</f>
        <v>1666.408675</v>
      </c>
      <c r="AP44" s="11" t="n">
        <f aca="false">Units!$E43*(1+Inputs!$B$7)^(AP$2-1)</f>
        <v>1666.408675</v>
      </c>
      <c r="AQ44" s="11" t="n">
        <f aca="false">Units!$E43*(1+Inputs!$B$7)^(AQ$2-1)</f>
        <v>1666.408675</v>
      </c>
      <c r="AR44" s="11" t="n">
        <f aca="false">Units!$E43*(1+Inputs!$B$7)^(AR$2-1)</f>
        <v>1666.408675</v>
      </c>
      <c r="AS44" s="11" t="n">
        <f aca="false">Units!$E43*(1+Inputs!$B$7)^(AS$2-1)</f>
        <v>1666.408675</v>
      </c>
      <c r="AT44" s="11" t="n">
        <f aca="false">Units!$E43*(1+Inputs!$B$7)^(AT$2-1)</f>
        <v>1666.408675</v>
      </c>
      <c r="AU44" s="11" t="n">
        <f aca="false">Units!$E43*(1+Inputs!$B$7)^(AU$2-1)</f>
        <v>1666.408675</v>
      </c>
      <c r="AV44" s="11" t="n">
        <f aca="false">Units!$E43*(1+Inputs!$B$7)^(AV$2-1)</f>
        <v>1666.408675</v>
      </c>
      <c r="AW44" s="11" t="n">
        <f aca="false">Units!$E43*(1+Inputs!$B$7)^(AW$2-1)</f>
        <v>1666.408675</v>
      </c>
      <c r="AX44" s="11" t="n">
        <f aca="false">Units!$E43*(1+Inputs!$B$7)^(AX$2-1)</f>
        <v>1666.408675</v>
      </c>
      <c r="AY44" s="11" t="n">
        <f aca="false">Units!$E43*(1+Inputs!$B$7)^(AY$2-1)</f>
        <v>1716.40093525</v>
      </c>
      <c r="AZ44" s="11" t="n">
        <f aca="false">Units!$E43*(1+Inputs!$B$7)^(AZ$2-1)</f>
        <v>1716.40093525</v>
      </c>
      <c r="BA44" s="11" t="n">
        <f aca="false">Units!$E43*(1+Inputs!$B$7)^(BA$2-1)</f>
        <v>1716.40093525</v>
      </c>
      <c r="BB44" s="11" t="n">
        <f aca="false">Units!$E43*(1+Inputs!$B$7)^(BB$2-1)</f>
        <v>1716.40093525</v>
      </c>
      <c r="BC44" s="11" t="n">
        <f aca="false">Units!$E43*(1+Inputs!$B$7)^(BC$2-1)</f>
        <v>1716.40093525</v>
      </c>
      <c r="BD44" s="11" t="n">
        <f aca="false">Units!$E43*(1+Inputs!$B$7)^(BD$2-1)</f>
        <v>1716.40093525</v>
      </c>
      <c r="BE44" s="11" t="n">
        <f aca="false">Units!$E43*(1+Inputs!$B$7)^(BE$2-1)</f>
        <v>1716.40093525</v>
      </c>
      <c r="BF44" s="11" t="n">
        <f aca="false">Units!$E43*(1+Inputs!$B$7)^(BF$2-1)</f>
        <v>1716.40093525</v>
      </c>
      <c r="BG44" s="11" t="n">
        <f aca="false">Units!$E43*(1+Inputs!$B$7)^(BG$2-1)</f>
        <v>1716.40093525</v>
      </c>
      <c r="BH44" s="11" t="n">
        <f aca="false">Units!$E43*(1+Inputs!$B$7)^(BH$2-1)</f>
        <v>1716.40093525</v>
      </c>
      <c r="BI44" s="11" t="n">
        <f aca="false">Units!$E43*(1+Inputs!$B$7)^(BI$2-1)</f>
        <v>1716.40093525</v>
      </c>
      <c r="BJ44" s="11" t="n">
        <f aca="false">Units!$E43*(1+Inputs!$B$7)^(BJ$2-1)</f>
        <v>1716.40093525</v>
      </c>
      <c r="BK44" s="11" t="n">
        <f aca="false">Units!$E43*(1+Inputs!$B$7)^(BK$2-1)</f>
        <v>1767.8929633075</v>
      </c>
      <c r="BL44" s="11" t="n">
        <f aca="false">Units!$E43*(1+Inputs!$B$7)^(BL$2-1)</f>
        <v>1767.8929633075</v>
      </c>
      <c r="BM44" s="11" t="n">
        <f aca="false">Units!$E43*(1+Inputs!$B$7)^(BM$2-1)</f>
        <v>1767.8929633075</v>
      </c>
      <c r="BN44" s="11" t="n">
        <f aca="false">Units!$E43*(1+Inputs!$B$7)^(BN$2-1)</f>
        <v>1767.8929633075</v>
      </c>
      <c r="BO44" s="11" t="n">
        <f aca="false">Units!$E43*(1+Inputs!$B$7)^(BO$2-1)</f>
        <v>1767.8929633075</v>
      </c>
      <c r="BP44" s="11" t="n">
        <f aca="false">Units!$E43*(1+Inputs!$B$7)^(BP$2-1)</f>
        <v>1767.8929633075</v>
      </c>
      <c r="BQ44" s="11" t="n">
        <f aca="false">Units!$E43*(1+Inputs!$B$7)^(BQ$2-1)</f>
        <v>1767.8929633075</v>
      </c>
      <c r="BR44" s="11" t="n">
        <f aca="false">Units!$E43*(1+Inputs!$B$7)^(BR$2-1)</f>
        <v>1767.8929633075</v>
      </c>
      <c r="BS44" s="11" t="n">
        <f aca="false">Units!$E43*(1+Inputs!$B$7)^(BS$2-1)</f>
        <v>1767.8929633075</v>
      </c>
      <c r="BT44" s="11" t="n">
        <f aca="false">Units!$E43*(1+Inputs!$B$7)^(BT$2-1)</f>
        <v>1767.8929633075</v>
      </c>
      <c r="BU44" s="11" t="n">
        <f aca="false">Units!$E43*(1+Inputs!$B$7)^(BU$2-1)</f>
        <v>1767.8929633075</v>
      </c>
      <c r="BV44" s="11" t="n">
        <f aca="false">Units!$E43*(1+Inputs!$B$7)^(BV$2-1)</f>
        <v>1767.8929633075</v>
      </c>
      <c r="BW44" s="11" t="n">
        <f aca="false">Units!$E43*(1+Inputs!$B$7)^(BW$2-1)</f>
        <v>1820.92975220673</v>
      </c>
      <c r="BX44" s="11" t="n">
        <f aca="false">Units!$E43*(1+Inputs!$B$7)^(BX$2-1)</f>
        <v>1820.92975220673</v>
      </c>
      <c r="BY44" s="11" t="n">
        <f aca="false">Units!$E43*(1+Inputs!$B$7)^(BY$2-1)</f>
        <v>1820.92975220673</v>
      </c>
      <c r="BZ44" s="11" t="n">
        <f aca="false">Units!$E43*(1+Inputs!$B$7)^(BZ$2-1)</f>
        <v>1820.92975220673</v>
      </c>
      <c r="CA44" s="11" t="n">
        <f aca="false">Units!$E43*(1+Inputs!$B$7)^(CA$2-1)</f>
        <v>1820.92975220673</v>
      </c>
      <c r="CB44" s="11" t="n">
        <f aca="false">Units!$E43*(1+Inputs!$B$7)^(CB$2-1)</f>
        <v>1820.92975220673</v>
      </c>
      <c r="CC44" s="11" t="n">
        <f aca="false">Units!$E43*(1+Inputs!$B$7)^(CC$2-1)</f>
        <v>1820.92975220673</v>
      </c>
      <c r="CD44" s="11" t="n">
        <f aca="false">Units!$E43*(1+Inputs!$B$7)^(CD$2-1)</f>
        <v>1820.92975220673</v>
      </c>
      <c r="CE44" s="11" t="n">
        <f aca="false">Units!$E43*(1+Inputs!$B$7)^(CE$2-1)</f>
        <v>1820.92975220673</v>
      </c>
      <c r="CF44" s="11" t="n">
        <f aca="false">Units!$E43*(1+Inputs!$B$7)^(CF$2-1)</f>
        <v>1820.92975220673</v>
      </c>
      <c r="CG44" s="11" t="n">
        <f aca="false">Units!$E43*(1+Inputs!$B$7)^(CG$2-1)</f>
        <v>1820.92975220673</v>
      </c>
      <c r="CH44" s="11" t="n">
        <f aca="false">Units!$E43*(1+Inputs!$B$7)^(CH$2-1)</f>
        <v>1820.92975220673</v>
      </c>
      <c r="CI44" s="11" t="n">
        <f aca="false">Units!$E43*(1+Inputs!$B$7)^(CI$2-1)</f>
        <v>1875.55764477293</v>
      </c>
      <c r="CJ44" s="11" t="n">
        <f aca="false">Units!$E43*(1+Inputs!$B$7)^(CJ$2-1)</f>
        <v>1875.55764477293</v>
      </c>
      <c r="CK44" s="11" t="n">
        <f aca="false">Units!$E43*(1+Inputs!$B$7)^(CK$2-1)</f>
        <v>1875.55764477293</v>
      </c>
      <c r="CL44" s="11" t="n">
        <f aca="false">Units!$E43*(1+Inputs!$B$7)^(CL$2-1)</f>
        <v>1875.55764477293</v>
      </c>
      <c r="CM44" s="11" t="n">
        <f aca="false">Units!$E43*(1+Inputs!$B$7)^(CM$2-1)</f>
        <v>1875.55764477293</v>
      </c>
      <c r="CN44" s="11" t="n">
        <f aca="false">Units!$E43*(1+Inputs!$B$7)^(CN$2-1)</f>
        <v>1875.55764477293</v>
      </c>
      <c r="CO44" s="11" t="n">
        <f aca="false">Units!$E43*(1+Inputs!$B$7)^(CO$2-1)</f>
        <v>1875.55764477293</v>
      </c>
      <c r="CP44" s="11" t="n">
        <f aca="false">Units!$E43*(1+Inputs!$B$7)^(CP$2-1)</f>
        <v>1875.55764477293</v>
      </c>
      <c r="CQ44" s="11" t="n">
        <f aca="false">Units!$E43*(1+Inputs!$B$7)^(CQ$2-1)</f>
        <v>1875.55764477293</v>
      </c>
      <c r="CR44" s="11" t="n">
        <f aca="false">Units!$E43*(1+Inputs!$B$7)^(CR$2-1)</f>
        <v>1875.55764477293</v>
      </c>
      <c r="CS44" s="11" t="n">
        <f aca="false">Units!$E43*(1+Inputs!$B$7)^(CS$2-1)</f>
        <v>1875.55764477293</v>
      </c>
      <c r="CT44" s="11" t="n">
        <f aca="false">Units!$E43*(1+Inputs!$B$7)^(CT$2-1)</f>
        <v>1875.55764477293</v>
      </c>
      <c r="CU44" s="11" t="n">
        <f aca="false">Units!$E43*(1+Inputs!$B$7)^(CU$2-1)</f>
        <v>1931.82437411612</v>
      </c>
      <c r="CV44" s="11" t="n">
        <f aca="false">Units!$E43*(1+Inputs!$B$7)^(CV$2-1)</f>
        <v>1931.82437411612</v>
      </c>
      <c r="CW44" s="11" t="n">
        <f aca="false">Units!$E43*(1+Inputs!$B$7)^(CW$2-1)</f>
        <v>1931.82437411612</v>
      </c>
      <c r="CX44" s="11" t="n">
        <f aca="false">Units!$E43*(1+Inputs!$B$7)^(CX$2-1)</f>
        <v>1931.82437411612</v>
      </c>
      <c r="CY44" s="11" t="n">
        <f aca="false">Units!$E43*(1+Inputs!$B$7)^(CY$2-1)</f>
        <v>1931.82437411612</v>
      </c>
      <c r="CZ44" s="11" t="n">
        <f aca="false">Units!$E43*(1+Inputs!$B$7)^(CZ$2-1)</f>
        <v>1931.82437411612</v>
      </c>
      <c r="DA44" s="11" t="n">
        <f aca="false">Units!$E43*(1+Inputs!$B$7)^(DA$2-1)</f>
        <v>1931.82437411612</v>
      </c>
      <c r="DB44" s="11" t="n">
        <f aca="false">Units!$E43*(1+Inputs!$B$7)^(DB$2-1)</f>
        <v>1931.82437411612</v>
      </c>
      <c r="DC44" s="11" t="n">
        <f aca="false">Units!$E43*(1+Inputs!$B$7)^(DC$2-1)</f>
        <v>1931.82437411612</v>
      </c>
      <c r="DD44" s="11" t="n">
        <f aca="false">Units!$E43*(1+Inputs!$B$7)^(DD$2-1)</f>
        <v>1931.82437411612</v>
      </c>
      <c r="DE44" s="11" t="n">
        <f aca="false">Units!$E43*(1+Inputs!$B$7)^(DE$2-1)</f>
        <v>1931.82437411612</v>
      </c>
      <c r="DF44" s="11" t="n">
        <f aca="false">Units!$E43*(1+Inputs!$B$7)^(DF$2-1)</f>
        <v>1931.82437411612</v>
      </c>
      <c r="DG44" s="11" t="n">
        <f aca="false">Units!$E43*(1+Inputs!$B$7)^(DG$2-1)</f>
        <v>1989.7791053396</v>
      </c>
      <c r="DH44" s="11" t="n">
        <f aca="false">Units!$E43*(1+Inputs!$B$7)^(DH$2-1)</f>
        <v>1989.7791053396</v>
      </c>
      <c r="DI44" s="11" t="n">
        <f aca="false">Units!$E43*(1+Inputs!$B$7)^(DI$2-1)</f>
        <v>1989.7791053396</v>
      </c>
      <c r="DJ44" s="11" t="n">
        <f aca="false">Units!$E43*(1+Inputs!$B$7)^(DJ$2-1)</f>
        <v>1989.7791053396</v>
      </c>
      <c r="DK44" s="11" t="n">
        <f aca="false">Units!$E43*(1+Inputs!$B$7)^(DK$2-1)</f>
        <v>1989.7791053396</v>
      </c>
      <c r="DL44" s="11" t="n">
        <f aca="false">Units!$E43*(1+Inputs!$B$7)^(DL$2-1)</f>
        <v>1989.7791053396</v>
      </c>
      <c r="DM44" s="11" t="n">
        <f aca="false">Units!$E43*(1+Inputs!$B$7)^(DM$2-1)</f>
        <v>1989.7791053396</v>
      </c>
      <c r="DN44" s="11" t="n">
        <f aca="false">Units!$E43*(1+Inputs!$B$7)^(DN$2-1)</f>
        <v>1989.7791053396</v>
      </c>
      <c r="DO44" s="11" t="n">
        <f aca="false">Units!$E43*(1+Inputs!$B$7)^(DO$2-1)</f>
        <v>1989.7791053396</v>
      </c>
      <c r="DP44" s="11" t="n">
        <f aca="false">Units!$E43*(1+Inputs!$B$7)^(DP$2-1)</f>
        <v>1989.7791053396</v>
      </c>
      <c r="DQ44" s="11" t="n">
        <f aca="false">Units!$E43*(1+Inputs!$B$7)^(DQ$2-1)</f>
        <v>1989.7791053396</v>
      </c>
      <c r="DR44" s="11" t="n">
        <f aca="false">Units!$E43*(1+Inputs!$B$7)^(DR$2-1)</f>
        <v>1989.7791053396</v>
      </c>
      <c r="DS44" s="11" t="n">
        <f aca="false">Units!$E43*(1+Inputs!$B$7)^(DS$2-1)</f>
        <v>2049.47247849979</v>
      </c>
      <c r="DT44" s="11" t="n">
        <f aca="false">Units!$E43*(1+Inputs!$B$7)^(DT$2-1)</f>
        <v>2049.47247849979</v>
      </c>
      <c r="DU44" s="11" t="n">
        <f aca="false">Units!$E43*(1+Inputs!$B$7)^(DU$2-1)</f>
        <v>2049.47247849979</v>
      </c>
      <c r="DV44" s="11" t="n">
        <f aca="false">Units!$E43*(1+Inputs!$B$7)^(DV$2-1)</f>
        <v>2049.47247849979</v>
      </c>
      <c r="DW44" s="11" t="n">
        <f aca="false">Units!$E43*(1+Inputs!$B$7)^(DW$2-1)</f>
        <v>2049.47247849979</v>
      </c>
      <c r="DX44" s="11" t="n">
        <f aca="false">Units!$E43*(1+Inputs!$B$7)^(DX$2-1)</f>
        <v>2049.47247849979</v>
      </c>
      <c r="DY44" s="11" t="n">
        <f aca="false">Units!$E43*(1+Inputs!$B$7)^(DY$2-1)</f>
        <v>2049.47247849979</v>
      </c>
      <c r="DZ44" s="11" t="n">
        <f aca="false">Units!$E43*(1+Inputs!$B$7)^(DZ$2-1)</f>
        <v>2049.47247849979</v>
      </c>
      <c r="EA44" s="11" t="n">
        <f aca="false">Units!$E43*(1+Inputs!$B$7)^(EA$2-1)</f>
        <v>2049.47247849979</v>
      </c>
      <c r="EB44" s="11" t="n">
        <f aca="false">Units!$E43*(1+Inputs!$B$7)^(EB$2-1)</f>
        <v>2049.47247849979</v>
      </c>
      <c r="EC44" s="11" t="n">
        <f aca="false">Units!$E43*(1+Inputs!$B$7)^(EC$2-1)</f>
        <v>2049.47247849979</v>
      </c>
      <c r="ED44" s="11" t="n">
        <f aca="false">Units!$E43*(1+Inputs!$B$7)^(ED$2-1)</f>
        <v>2049.47247849979</v>
      </c>
    </row>
    <row r="45" customFormat="false" ht="15" hidden="false" customHeight="false" outlineLevel="0" collapsed="false">
      <c r="A45" s="22" t="n">
        <f aca="false">Units!A44</f>
        <v>213</v>
      </c>
      <c r="B45" s="23"/>
      <c r="C45" s="11" t="n">
        <f aca="false">Units!$E44*(1+Inputs!$B$7)^(C$2-1)</f>
        <v>1295</v>
      </c>
      <c r="D45" s="11" t="n">
        <f aca="false">Units!$E44*(1+Inputs!$B$7)^(D$2-1)</f>
        <v>1295</v>
      </c>
      <c r="E45" s="11" t="n">
        <f aca="false">Units!$E44*(1+Inputs!$B$7)^(E$2-1)</f>
        <v>1295</v>
      </c>
      <c r="F45" s="11" t="n">
        <f aca="false">Units!$E44*(1+Inputs!$B$7)^(F$2-1)</f>
        <v>1295</v>
      </c>
      <c r="G45" s="11" t="n">
        <f aca="false">Units!$E44*(1+Inputs!$B$7)^(G$2-1)</f>
        <v>1295</v>
      </c>
      <c r="H45" s="11" t="n">
        <f aca="false">Units!$E44*(1+Inputs!$B$7)^(H$2-1)</f>
        <v>1295</v>
      </c>
      <c r="I45" s="11" t="n">
        <f aca="false">Units!$E44*(1+Inputs!$B$7)^(I$2-1)</f>
        <v>1295</v>
      </c>
      <c r="J45" s="11" t="n">
        <f aca="false">Units!$E44*(1+Inputs!$B$7)^(J$2-1)</f>
        <v>1295</v>
      </c>
      <c r="K45" s="11" t="n">
        <f aca="false">Units!$E44*(1+Inputs!$B$7)^(K$2-1)</f>
        <v>1295</v>
      </c>
      <c r="L45" s="11" t="n">
        <f aca="false">Units!$E44*(1+Inputs!$B$7)^(L$2-1)</f>
        <v>1295</v>
      </c>
      <c r="M45" s="11" t="n">
        <f aca="false">Units!$E44*(1+Inputs!$B$7)^(M$2-1)</f>
        <v>1295</v>
      </c>
      <c r="N45" s="11" t="n">
        <f aca="false">Units!$E44*(1+Inputs!$B$7)^(N$2-1)</f>
        <v>1295</v>
      </c>
      <c r="O45" s="11" t="n">
        <f aca="false">Units!$E44*(1+Inputs!$B$7)^(O$2-1)</f>
        <v>1333.85</v>
      </c>
      <c r="P45" s="11" t="n">
        <f aca="false">Units!$E44*(1+Inputs!$B$7)^(P$2-1)</f>
        <v>1333.85</v>
      </c>
      <c r="Q45" s="11" t="n">
        <f aca="false">Units!$E44*(1+Inputs!$B$7)^(Q$2-1)</f>
        <v>1333.85</v>
      </c>
      <c r="R45" s="11" t="n">
        <f aca="false">Units!$E44*(1+Inputs!$B$7)^(R$2-1)</f>
        <v>1333.85</v>
      </c>
      <c r="S45" s="11" t="n">
        <f aca="false">Units!$E44*(1+Inputs!$B$7)^(S$2-1)</f>
        <v>1333.85</v>
      </c>
      <c r="T45" s="11" t="n">
        <f aca="false">Units!$E44*(1+Inputs!$B$7)^(T$2-1)</f>
        <v>1333.85</v>
      </c>
      <c r="U45" s="11" t="n">
        <f aca="false">Units!$E44*(1+Inputs!$B$7)^(U$2-1)</f>
        <v>1333.85</v>
      </c>
      <c r="V45" s="11" t="n">
        <f aca="false">Units!$E44*(1+Inputs!$B$7)^(V$2-1)</f>
        <v>1333.85</v>
      </c>
      <c r="W45" s="11" t="n">
        <f aca="false">Units!$E44*(1+Inputs!$B$7)^(W$2-1)</f>
        <v>1333.85</v>
      </c>
      <c r="X45" s="11" t="n">
        <f aca="false">Units!$E44*(1+Inputs!$B$7)^(X$2-1)</f>
        <v>1333.85</v>
      </c>
      <c r="Y45" s="11" t="n">
        <f aca="false">Units!$E44*(1+Inputs!$B$7)^(Y$2-1)</f>
        <v>1333.85</v>
      </c>
      <c r="Z45" s="11" t="n">
        <f aca="false">Units!$E44*(1+Inputs!$B$7)^(Z$2-1)</f>
        <v>1333.85</v>
      </c>
      <c r="AA45" s="11" t="n">
        <f aca="false">Units!$E44*(1+Inputs!$B$7)^(AA$2-1)</f>
        <v>1373.8655</v>
      </c>
      <c r="AB45" s="11" t="n">
        <f aca="false">Units!$E44*(1+Inputs!$B$7)^(AB$2-1)</f>
        <v>1373.8655</v>
      </c>
      <c r="AC45" s="11" t="n">
        <f aca="false">Units!$E44*(1+Inputs!$B$7)^(AC$2-1)</f>
        <v>1373.8655</v>
      </c>
      <c r="AD45" s="11" t="n">
        <f aca="false">Units!$E44*(1+Inputs!$B$7)^(AD$2-1)</f>
        <v>1373.8655</v>
      </c>
      <c r="AE45" s="11" t="n">
        <f aca="false">Units!$E44*(1+Inputs!$B$7)^(AE$2-1)</f>
        <v>1373.8655</v>
      </c>
      <c r="AF45" s="11" t="n">
        <f aca="false">Units!$E44*(1+Inputs!$B$7)^(AF$2-1)</f>
        <v>1373.8655</v>
      </c>
      <c r="AG45" s="11" t="n">
        <f aca="false">Units!$E44*(1+Inputs!$B$7)^(AG$2-1)</f>
        <v>1373.8655</v>
      </c>
      <c r="AH45" s="11" t="n">
        <f aca="false">Units!$E44*(1+Inputs!$B$7)^(AH$2-1)</f>
        <v>1373.8655</v>
      </c>
      <c r="AI45" s="11" t="n">
        <f aca="false">Units!$E44*(1+Inputs!$B$7)^(AI$2-1)</f>
        <v>1373.8655</v>
      </c>
      <c r="AJ45" s="11" t="n">
        <f aca="false">Units!$E44*(1+Inputs!$B$7)^(AJ$2-1)</f>
        <v>1373.8655</v>
      </c>
      <c r="AK45" s="11" t="n">
        <f aca="false">Units!$E44*(1+Inputs!$B$7)^(AK$2-1)</f>
        <v>1373.8655</v>
      </c>
      <c r="AL45" s="11" t="n">
        <f aca="false">Units!$E44*(1+Inputs!$B$7)^(AL$2-1)</f>
        <v>1373.8655</v>
      </c>
      <c r="AM45" s="11" t="n">
        <f aca="false">Units!$E44*(1+Inputs!$B$7)^(AM$2-1)</f>
        <v>1415.081465</v>
      </c>
      <c r="AN45" s="11" t="n">
        <f aca="false">Units!$E44*(1+Inputs!$B$7)^(AN$2-1)</f>
        <v>1415.081465</v>
      </c>
      <c r="AO45" s="11" t="n">
        <f aca="false">Units!$E44*(1+Inputs!$B$7)^(AO$2-1)</f>
        <v>1415.081465</v>
      </c>
      <c r="AP45" s="11" t="n">
        <f aca="false">Units!$E44*(1+Inputs!$B$7)^(AP$2-1)</f>
        <v>1415.081465</v>
      </c>
      <c r="AQ45" s="11" t="n">
        <f aca="false">Units!$E44*(1+Inputs!$B$7)^(AQ$2-1)</f>
        <v>1415.081465</v>
      </c>
      <c r="AR45" s="11" t="n">
        <f aca="false">Units!$E44*(1+Inputs!$B$7)^(AR$2-1)</f>
        <v>1415.081465</v>
      </c>
      <c r="AS45" s="11" t="n">
        <f aca="false">Units!$E44*(1+Inputs!$B$7)^(AS$2-1)</f>
        <v>1415.081465</v>
      </c>
      <c r="AT45" s="11" t="n">
        <f aca="false">Units!$E44*(1+Inputs!$B$7)^(AT$2-1)</f>
        <v>1415.081465</v>
      </c>
      <c r="AU45" s="11" t="n">
        <f aca="false">Units!$E44*(1+Inputs!$B$7)^(AU$2-1)</f>
        <v>1415.081465</v>
      </c>
      <c r="AV45" s="11" t="n">
        <f aca="false">Units!$E44*(1+Inputs!$B$7)^(AV$2-1)</f>
        <v>1415.081465</v>
      </c>
      <c r="AW45" s="11" t="n">
        <f aca="false">Units!$E44*(1+Inputs!$B$7)^(AW$2-1)</f>
        <v>1415.081465</v>
      </c>
      <c r="AX45" s="11" t="n">
        <f aca="false">Units!$E44*(1+Inputs!$B$7)^(AX$2-1)</f>
        <v>1415.081465</v>
      </c>
      <c r="AY45" s="11" t="n">
        <f aca="false">Units!$E44*(1+Inputs!$B$7)^(AY$2-1)</f>
        <v>1457.53390895</v>
      </c>
      <c r="AZ45" s="11" t="n">
        <f aca="false">Units!$E44*(1+Inputs!$B$7)^(AZ$2-1)</f>
        <v>1457.53390895</v>
      </c>
      <c r="BA45" s="11" t="n">
        <f aca="false">Units!$E44*(1+Inputs!$B$7)^(BA$2-1)</f>
        <v>1457.53390895</v>
      </c>
      <c r="BB45" s="11" t="n">
        <f aca="false">Units!$E44*(1+Inputs!$B$7)^(BB$2-1)</f>
        <v>1457.53390895</v>
      </c>
      <c r="BC45" s="11" t="n">
        <f aca="false">Units!$E44*(1+Inputs!$B$7)^(BC$2-1)</f>
        <v>1457.53390895</v>
      </c>
      <c r="BD45" s="11" t="n">
        <f aca="false">Units!$E44*(1+Inputs!$B$7)^(BD$2-1)</f>
        <v>1457.53390895</v>
      </c>
      <c r="BE45" s="11" t="n">
        <f aca="false">Units!$E44*(1+Inputs!$B$7)^(BE$2-1)</f>
        <v>1457.53390895</v>
      </c>
      <c r="BF45" s="11" t="n">
        <f aca="false">Units!$E44*(1+Inputs!$B$7)^(BF$2-1)</f>
        <v>1457.53390895</v>
      </c>
      <c r="BG45" s="11" t="n">
        <f aca="false">Units!$E44*(1+Inputs!$B$7)^(BG$2-1)</f>
        <v>1457.53390895</v>
      </c>
      <c r="BH45" s="11" t="n">
        <f aca="false">Units!$E44*(1+Inputs!$B$7)^(BH$2-1)</f>
        <v>1457.53390895</v>
      </c>
      <c r="BI45" s="11" t="n">
        <f aca="false">Units!$E44*(1+Inputs!$B$7)^(BI$2-1)</f>
        <v>1457.53390895</v>
      </c>
      <c r="BJ45" s="11" t="n">
        <f aca="false">Units!$E44*(1+Inputs!$B$7)^(BJ$2-1)</f>
        <v>1457.53390895</v>
      </c>
      <c r="BK45" s="11" t="n">
        <f aca="false">Units!$E44*(1+Inputs!$B$7)^(BK$2-1)</f>
        <v>1501.2599262185</v>
      </c>
      <c r="BL45" s="11" t="n">
        <f aca="false">Units!$E44*(1+Inputs!$B$7)^(BL$2-1)</f>
        <v>1501.2599262185</v>
      </c>
      <c r="BM45" s="11" t="n">
        <f aca="false">Units!$E44*(1+Inputs!$B$7)^(BM$2-1)</f>
        <v>1501.2599262185</v>
      </c>
      <c r="BN45" s="11" t="n">
        <f aca="false">Units!$E44*(1+Inputs!$B$7)^(BN$2-1)</f>
        <v>1501.2599262185</v>
      </c>
      <c r="BO45" s="11" t="n">
        <f aca="false">Units!$E44*(1+Inputs!$B$7)^(BO$2-1)</f>
        <v>1501.2599262185</v>
      </c>
      <c r="BP45" s="11" t="n">
        <f aca="false">Units!$E44*(1+Inputs!$B$7)^(BP$2-1)</f>
        <v>1501.2599262185</v>
      </c>
      <c r="BQ45" s="11" t="n">
        <f aca="false">Units!$E44*(1+Inputs!$B$7)^(BQ$2-1)</f>
        <v>1501.2599262185</v>
      </c>
      <c r="BR45" s="11" t="n">
        <f aca="false">Units!$E44*(1+Inputs!$B$7)^(BR$2-1)</f>
        <v>1501.2599262185</v>
      </c>
      <c r="BS45" s="11" t="n">
        <f aca="false">Units!$E44*(1+Inputs!$B$7)^(BS$2-1)</f>
        <v>1501.2599262185</v>
      </c>
      <c r="BT45" s="11" t="n">
        <f aca="false">Units!$E44*(1+Inputs!$B$7)^(BT$2-1)</f>
        <v>1501.2599262185</v>
      </c>
      <c r="BU45" s="11" t="n">
        <f aca="false">Units!$E44*(1+Inputs!$B$7)^(BU$2-1)</f>
        <v>1501.2599262185</v>
      </c>
      <c r="BV45" s="11" t="n">
        <f aca="false">Units!$E44*(1+Inputs!$B$7)^(BV$2-1)</f>
        <v>1501.2599262185</v>
      </c>
      <c r="BW45" s="11" t="n">
        <f aca="false">Units!$E44*(1+Inputs!$B$7)^(BW$2-1)</f>
        <v>1546.29772400506</v>
      </c>
      <c r="BX45" s="11" t="n">
        <f aca="false">Units!$E44*(1+Inputs!$B$7)^(BX$2-1)</f>
        <v>1546.29772400506</v>
      </c>
      <c r="BY45" s="11" t="n">
        <f aca="false">Units!$E44*(1+Inputs!$B$7)^(BY$2-1)</f>
        <v>1546.29772400506</v>
      </c>
      <c r="BZ45" s="11" t="n">
        <f aca="false">Units!$E44*(1+Inputs!$B$7)^(BZ$2-1)</f>
        <v>1546.29772400506</v>
      </c>
      <c r="CA45" s="11" t="n">
        <f aca="false">Units!$E44*(1+Inputs!$B$7)^(CA$2-1)</f>
        <v>1546.29772400506</v>
      </c>
      <c r="CB45" s="11" t="n">
        <f aca="false">Units!$E44*(1+Inputs!$B$7)^(CB$2-1)</f>
        <v>1546.29772400506</v>
      </c>
      <c r="CC45" s="11" t="n">
        <f aca="false">Units!$E44*(1+Inputs!$B$7)^(CC$2-1)</f>
        <v>1546.29772400506</v>
      </c>
      <c r="CD45" s="11" t="n">
        <f aca="false">Units!$E44*(1+Inputs!$B$7)^(CD$2-1)</f>
        <v>1546.29772400506</v>
      </c>
      <c r="CE45" s="11" t="n">
        <f aca="false">Units!$E44*(1+Inputs!$B$7)^(CE$2-1)</f>
        <v>1546.29772400506</v>
      </c>
      <c r="CF45" s="11" t="n">
        <f aca="false">Units!$E44*(1+Inputs!$B$7)^(CF$2-1)</f>
        <v>1546.29772400506</v>
      </c>
      <c r="CG45" s="11" t="n">
        <f aca="false">Units!$E44*(1+Inputs!$B$7)^(CG$2-1)</f>
        <v>1546.29772400506</v>
      </c>
      <c r="CH45" s="11" t="n">
        <f aca="false">Units!$E44*(1+Inputs!$B$7)^(CH$2-1)</f>
        <v>1546.29772400506</v>
      </c>
      <c r="CI45" s="11" t="n">
        <f aca="false">Units!$E44*(1+Inputs!$B$7)^(CI$2-1)</f>
        <v>1592.68665572521</v>
      </c>
      <c r="CJ45" s="11" t="n">
        <f aca="false">Units!$E44*(1+Inputs!$B$7)^(CJ$2-1)</f>
        <v>1592.68665572521</v>
      </c>
      <c r="CK45" s="11" t="n">
        <f aca="false">Units!$E44*(1+Inputs!$B$7)^(CK$2-1)</f>
        <v>1592.68665572521</v>
      </c>
      <c r="CL45" s="11" t="n">
        <f aca="false">Units!$E44*(1+Inputs!$B$7)^(CL$2-1)</f>
        <v>1592.68665572521</v>
      </c>
      <c r="CM45" s="11" t="n">
        <f aca="false">Units!$E44*(1+Inputs!$B$7)^(CM$2-1)</f>
        <v>1592.68665572521</v>
      </c>
      <c r="CN45" s="11" t="n">
        <f aca="false">Units!$E44*(1+Inputs!$B$7)^(CN$2-1)</f>
        <v>1592.68665572521</v>
      </c>
      <c r="CO45" s="11" t="n">
        <f aca="false">Units!$E44*(1+Inputs!$B$7)^(CO$2-1)</f>
        <v>1592.68665572521</v>
      </c>
      <c r="CP45" s="11" t="n">
        <f aca="false">Units!$E44*(1+Inputs!$B$7)^(CP$2-1)</f>
        <v>1592.68665572521</v>
      </c>
      <c r="CQ45" s="11" t="n">
        <f aca="false">Units!$E44*(1+Inputs!$B$7)^(CQ$2-1)</f>
        <v>1592.68665572521</v>
      </c>
      <c r="CR45" s="11" t="n">
        <f aca="false">Units!$E44*(1+Inputs!$B$7)^(CR$2-1)</f>
        <v>1592.68665572521</v>
      </c>
      <c r="CS45" s="11" t="n">
        <f aca="false">Units!$E44*(1+Inputs!$B$7)^(CS$2-1)</f>
        <v>1592.68665572521</v>
      </c>
      <c r="CT45" s="11" t="n">
        <f aca="false">Units!$E44*(1+Inputs!$B$7)^(CT$2-1)</f>
        <v>1592.68665572521</v>
      </c>
      <c r="CU45" s="11" t="n">
        <f aca="false">Units!$E44*(1+Inputs!$B$7)^(CU$2-1)</f>
        <v>1640.46725539696</v>
      </c>
      <c r="CV45" s="11" t="n">
        <f aca="false">Units!$E44*(1+Inputs!$B$7)^(CV$2-1)</f>
        <v>1640.46725539696</v>
      </c>
      <c r="CW45" s="11" t="n">
        <f aca="false">Units!$E44*(1+Inputs!$B$7)^(CW$2-1)</f>
        <v>1640.46725539696</v>
      </c>
      <c r="CX45" s="11" t="n">
        <f aca="false">Units!$E44*(1+Inputs!$B$7)^(CX$2-1)</f>
        <v>1640.46725539696</v>
      </c>
      <c r="CY45" s="11" t="n">
        <f aca="false">Units!$E44*(1+Inputs!$B$7)^(CY$2-1)</f>
        <v>1640.46725539696</v>
      </c>
      <c r="CZ45" s="11" t="n">
        <f aca="false">Units!$E44*(1+Inputs!$B$7)^(CZ$2-1)</f>
        <v>1640.46725539696</v>
      </c>
      <c r="DA45" s="11" t="n">
        <f aca="false">Units!$E44*(1+Inputs!$B$7)^(DA$2-1)</f>
        <v>1640.46725539696</v>
      </c>
      <c r="DB45" s="11" t="n">
        <f aca="false">Units!$E44*(1+Inputs!$B$7)^(DB$2-1)</f>
        <v>1640.46725539696</v>
      </c>
      <c r="DC45" s="11" t="n">
        <f aca="false">Units!$E44*(1+Inputs!$B$7)^(DC$2-1)</f>
        <v>1640.46725539696</v>
      </c>
      <c r="DD45" s="11" t="n">
        <f aca="false">Units!$E44*(1+Inputs!$B$7)^(DD$2-1)</f>
        <v>1640.46725539696</v>
      </c>
      <c r="DE45" s="11" t="n">
        <f aca="false">Units!$E44*(1+Inputs!$B$7)^(DE$2-1)</f>
        <v>1640.46725539696</v>
      </c>
      <c r="DF45" s="11" t="n">
        <f aca="false">Units!$E44*(1+Inputs!$B$7)^(DF$2-1)</f>
        <v>1640.46725539696</v>
      </c>
      <c r="DG45" s="11" t="n">
        <f aca="false">Units!$E44*(1+Inputs!$B$7)^(DG$2-1)</f>
        <v>1689.68127305887</v>
      </c>
      <c r="DH45" s="11" t="n">
        <f aca="false">Units!$E44*(1+Inputs!$B$7)^(DH$2-1)</f>
        <v>1689.68127305887</v>
      </c>
      <c r="DI45" s="11" t="n">
        <f aca="false">Units!$E44*(1+Inputs!$B$7)^(DI$2-1)</f>
        <v>1689.68127305887</v>
      </c>
      <c r="DJ45" s="11" t="n">
        <f aca="false">Units!$E44*(1+Inputs!$B$7)^(DJ$2-1)</f>
        <v>1689.68127305887</v>
      </c>
      <c r="DK45" s="11" t="n">
        <f aca="false">Units!$E44*(1+Inputs!$B$7)^(DK$2-1)</f>
        <v>1689.68127305887</v>
      </c>
      <c r="DL45" s="11" t="n">
        <f aca="false">Units!$E44*(1+Inputs!$B$7)^(DL$2-1)</f>
        <v>1689.68127305887</v>
      </c>
      <c r="DM45" s="11" t="n">
        <f aca="false">Units!$E44*(1+Inputs!$B$7)^(DM$2-1)</f>
        <v>1689.68127305887</v>
      </c>
      <c r="DN45" s="11" t="n">
        <f aca="false">Units!$E44*(1+Inputs!$B$7)^(DN$2-1)</f>
        <v>1689.68127305887</v>
      </c>
      <c r="DO45" s="11" t="n">
        <f aca="false">Units!$E44*(1+Inputs!$B$7)^(DO$2-1)</f>
        <v>1689.68127305887</v>
      </c>
      <c r="DP45" s="11" t="n">
        <f aca="false">Units!$E44*(1+Inputs!$B$7)^(DP$2-1)</f>
        <v>1689.68127305887</v>
      </c>
      <c r="DQ45" s="11" t="n">
        <f aca="false">Units!$E44*(1+Inputs!$B$7)^(DQ$2-1)</f>
        <v>1689.68127305887</v>
      </c>
      <c r="DR45" s="11" t="n">
        <f aca="false">Units!$E44*(1+Inputs!$B$7)^(DR$2-1)</f>
        <v>1689.68127305887</v>
      </c>
      <c r="DS45" s="11" t="n">
        <f aca="false">Units!$E44*(1+Inputs!$B$7)^(DS$2-1)</f>
        <v>1740.37171125064</v>
      </c>
      <c r="DT45" s="11" t="n">
        <f aca="false">Units!$E44*(1+Inputs!$B$7)^(DT$2-1)</f>
        <v>1740.37171125064</v>
      </c>
      <c r="DU45" s="11" t="n">
        <f aca="false">Units!$E44*(1+Inputs!$B$7)^(DU$2-1)</f>
        <v>1740.37171125064</v>
      </c>
      <c r="DV45" s="11" t="n">
        <f aca="false">Units!$E44*(1+Inputs!$B$7)^(DV$2-1)</f>
        <v>1740.37171125064</v>
      </c>
      <c r="DW45" s="11" t="n">
        <f aca="false">Units!$E44*(1+Inputs!$B$7)^(DW$2-1)</f>
        <v>1740.37171125064</v>
      </c>
      <c r="DX45" s="11" t="n">
        <f aca="false">Units!$E44*(1+Inputs!$B$7)^(DX$2-1)</f>
        <v>1740.37171125064</v>
      </c>
      <c r="DY45" s="11" t="n">
        <f aca="false">Units!$E44*(1+Inputs!$B$7)^(DY$2-1)</f>
        <v>1740.37171125064</v>
      </c>
      <c r="DZ45" s="11" t="n">
        <f aca="false">Units!$E44*(1+Inputs!$B$7)^(DZ$2-1)</f>
        <v>1740.37171125064</v>
      </c>
      <c r="EA45" s="11" t="n">
        <f aca="false">Units!$E44*(1+Inputs!$B$7)^(EA$2-1)</f>
        <v>1740.37171125064</v>
      </c>
      <c r="EB45" s="11" t="n">
        <f aca="false">Units!$E44*(1+Inputs!$B$7)^(EB$2-1)</f>
        <v>1740.37171125064</v>
      </c>
      <c r="EC45" s="11" t="n">
        <f aca="false">Units!$E44*(1+Inputs!$B$7)^(EC$2-1)</f>
        <v>1740.37171125064</v>
      </c>
      <c r="ED45" s="11" t="n">
        <f aca="false">Units!$E44*(1+Inputs!$B$7)^(ED$2-1)</f>
        <v>1740.37171125064</v>
      </c>
    </row>
    <row r="46" customFormat="false" ht="15" hidden="false" customHeight="false" outlineLevel="0" collapsed="false">
      <c r="A46" s="22" t="n">
        <f aca="false">Units!A45</f>
        <v>214</v>
      </c>
      <c r="B46" s="23"/>
      <c r="C46" s="11" t="n">
        <f aca="false">Units!$E45*(1+Inputs!$B$7)^(C$2-1)</f>
        <v>1295</v>
      </c>
      <c r="D46" s="11" t="n">
        <f aca="false">Units!$E45*(1+Inputs!$B$7)^(D$2-1)</f>
        <v>1295</v>
      </c>
      <c r="E46" s="11" t="n">
        <f aca="false">Units!$E45*(1+Inputs!$B$7)^(E$2-1)</f>
        <v>1295</v>
      </c>
      <c r="F46" s="11" t="n">
        <f aca="false">Units!$E45*(1+Inputs!$B$7)^(F$2-1)</f>
        <v>1295</v>
      </c>
      <c r="G46" s="11" t="n">
        <f aca="false">Units!$E45*(1+Inputs!$B$7)^(G$2-1)</f>
        <v>1295</v>
      </c>
      <c r="H46" s="11" t="n">
        <f aca="false">Units!$E45*(1+Inputs!$B$7)^(H$2-1)</f>
        <v>1295</v>
      </c>
      <c r="I46" s="11" t="n">
        <f aca="false">Units!$E45*(1+Inputs!$B$7)^(I$2-1)</f>
        <v>1295</v>
      </c>
      <c r="J46" s="11" t="n">
        <f aca="false">Units!$E45*(1+Inputs!$B$7)^(J$2-1)</f>
        <v>1295</v>
      </c>
      <c r="K46" s="11" t="n">
        <f aca="false">Units!$E45*(1+Inputs!$B$7)^(K$2-1)</f>
        <v>1295</v>
      </c>
      <c r="L46" s="11" t="n">
        <f aca="false">Units!$E45*(1+Inputs!$B$7)^(L$2-1)</f>
        <v>1295</v>
      </c>
      <c r="M46" s="11" t="n">
        <f aca="false">Units!$E45*(1+Inputs!$B$7)^(M$2-1)</f>
        <v>1295</v>
      </c>
      <c r="N46" s="11" t="n">
        <f aca="false">Units!$E45*(1+Inputs!$B$7)^(N$2-1)</f>
        <v>1295</v>
      </c>
      <c r="O46" s="11" t="n">
        <f aca="false">Units!$E45*(1+Inputs!$B$7)^(O$2-1)</f>
        <v>1333.85</v>
      </c>
      <c r="P46" s="11" t="n">
        <f aca="false">Units!$E45*(1+Inputs!$B$7)^(P$2-1)</f>
        <v>1333.85</v>
      </c>
      <c r="Q46" s="11" t="n">
        <f aca="false">Units!$E45*(1+Inputs!$B$7)^(Q$2-1)</f>
        <v>1333.85</v>
      </c>
      <c r="R46" s="11" t="n">
        <f aca="false">Units!$E45*(1+Inputs!$B$7)^(R$2-1)</f>
        <v>1333.85</v>
      </c>
      <c r="S46" s="11" t="n">
        <f aca="false">Units!$E45*(1+Inputs!$B$7)^(S$2-1)</f>
        <v>1333.85</v>
      </c>
      <c r="T46" s="11" t="n">
        <f aca="false">Units!$E45*(1+Inputs!$B$7)^(T$2-1)</f>
        <v>1333.85</v>
      </c>
      <c r="U46" s="11" t="n">
        <f aca="false">Units!$E45*(1+Inputs!$B$7)^(U$2-1)</f>
        <v>1333.85</v>
      </c>
      <c r="V46" s="11" t="n">
        <f aca="false">Units!$E45*(1+Inputs!$B$7)^(V$2-1)</f>
        <v>1333.85</v>
      </c>
      <c r="W46" s="11" t="n">
        <f aca="false">Units!$E45*(1+Inputs!$B$7)^(W$2-1)</f>
        <v>1333.85</v>
      </c>
      <c r="X46" s="11" t="n">
        <f aca="false">Units!$E45*(1+Inputs!$B$7)^(X$2-1)</f>
        <v>1333.85</v>
      </c>
      <c r="Y46" s="11" t="n">
        <f aca="false">Units!$E45*(1+Inputs!$B$7)^(Y$2-1)</f>
        <v>1333.85</v>
      </c>
      <c r="Z46" s="11" t="n">
        <f aca="false">Units!$E45*(1+Inputs!$B$7)^(Z$2-1)</f>
        <v>1333.85</v>
      </c>
      <c r="AA46" s="11" t="n">
        <f aca="false">Units!$E45*(1+Inputs!$B$7)^(AA$2-1)</f>
        <v>1373.8655</v>
      </c>
      <c r="AB46" s="11" t="n">
        <f aca="false">Units!$E45*(1+Inputs!$B$7)^(AB$2-1)</f>
        <v>1373.8655</v>
      </c>
      <c r="AC46" s="11" t="n">
        <f aca="false">Units!$E45*(1+Inputs!$B$7)^(AC$2-1)</f>
        <v>1373.8655</v>
      </c>
      <c r="AD46" s="11" t="n">
        <f aca="false">Units!$E45*(1+Inputs!$B$7)^(AD$2-1)</f>
        <v>1373.8655</v>
      </c>
      <c r="AE46" s="11" t="n">
        <f aca="false">Units!$E45*(1+Inputs!$B$7)^(AE$2-1)</f>
        <v>1373.8655</v>
      </c>
      <c r="AF46" s="11" t="n">
        <f aca="false">Units!$E45*(1+Inputs!$B$7)^(AF$2-1)</f>
        <v>1373.8655</v>
      </c>
      <c r="AG46" s="11" t="n">
        <f aca="false">Units!$E45*(1+Inputs!$B$7)^(AG$2-1)</f>
        <v>1373.8655</v>
      </c>
      <c r="AH46" s="11" t="n">
        <f aca="false">Units!$E45*(1+Inputs!$B$7)^(AH$2-1)</f>
        <v>1373.8655</v>
      </c>
      <c r="AI46" s="11" t="n">
        <f aca="false">Units!$E45*(1+Inputs!$B$7)^(AI$2-1)</f>
        <v>1373.8655</v>
      </c>
      <c r="AJ46" s="11" t="n">
        <f aca="false">Units!$E45*(1+Inputs!$B$7)^(AJ$2-1)</f>
        <v>1373.8655</v>
      </c>
      <c r="AK46" s="11" t="n">
        <f aca="false">Units!$E45*(1+Inputs!$B$7)^(AK$2-1)</f>
        <v>1373.8655</v>
      </c>
      <c r="AL46" s="11" t="n">
        <f aca="false">Units!$E45*(1+Inputs!$B$7)^(AL$2-1)</f>
        <v>1373.8655</v>
      </c>
      <c r="AM46" s="11" t="n">
        <f aca="false">Units!$E45*(1+Inputs!$B$7)^(AM$2-1)</f>
        <v>1415.081465</v>
      </c>
      <c r="AN46" s="11" t="n">
        <f aca="false">Units!$E45*(1+Inputs!$B$7)^(AN$2-1)</f>
        <v>1415.081465</v>
      </c>
      <c r="AO46" s="11" t="n">
        <f aca="false">Units!$E45*(1+Inputs!$B$7)^(AO$2-1)</f>
        <v>1415.081465</v>
      </c>
      <c r="AP46" s="11" t="n">
        <f aca="false">Units!$E45*(1+Inputs!$B$7)^(AP$2-1)</f>
        <v>1415.081465</v>
      </c>
      <c r="AQ46" s="11" t="n">
        <f aca="false">Units!$E45*(1+Inputs!$B$7)^(AQ$2-1)</f>
        <v>1415.081465</v>
      </c>
      <c r="AR46" s="11" t="n">
        <f aca="false">Units!$E45*(1+Inputs!$B$7)^(AR$2-1)</f>
        <v>1415.081465</v>
      </c>
      <c r="AS46" s="11" t="n">
        <f aca="false">Units!$E45*(1+Inputs!$B$7)^(AS$2-1)</f>
        <v>1415.081465</v>
      </c>
      <c r="AT46" s="11" t="n">
        <f aca="false">Units!$E45*(1+Inputs!$B$7)^(AT$2-1)</f>
        <v>1415.081465</v>
      </c>
      <c r="AU46" s="11" t="n">
        <f aca="false">Units!$E45*(1+Inputs!$B$7)^(AU$2-1)</f>
        <v>1415.081465</v>
      </c>
      <c r="AV46" s="11" t="n">
        <f aca="false">Units!$E45*(1+Inputs!$B$7)^(AV$2-1)</f>
        <v>1415.081465</v>
      </c>
      <c r="AW46" s="11" t="n">
        <f aca="false">Units!$E45*(1+Inputs!$B$7)^(AW$2-1)</f>
        <v>1415.081465</v>
      </c>
      <c r="AX46" s="11" t="n">
        <f aca="false">Units!$E45*(1+Inputs!$B$7)^(AX$2-1)</f>
        <v>1415.081465</v>
      </c>
      <c r="AY46" s="11" t="n">
        <f aca="false">Units!$E45*(1+Inputs!$B$7)^(AY$2-1)</f>
        <v>1457.53390895</v>
      </c>
      <c r="AZ46" s="11" t="n">
        <f aca="false">Units!$E45*(1+Inputs!$B$7)^(AZ$2-1)</f>
        <v>1457.53390895</v>
      </c>
      <c r="BA46" s="11" t="n">
        <f aca="false">Units!$E45*(1+Inputs!$B$7)^(BA$2-1)</f>
        <v>1457.53390895</v>
      </c>
      <c r="BB46" s="11" t="n">
        <f aca="false">Units!$E45*(1+Inputs!$B$7)^(BB$2-1)</f>
        <v>1457.53390895</v>
      </c>
      <c r="BC46" s="11" t="n">
        <f aca="false">Units!$E45*(1+Inputs!$B$7)^(BC$2-1)</f>
        <v>1457.53390895</v>
      </c>
      <c r="BD46" s="11" t="n">
        <f aca="false">Units!$E45*(1+Inputs!$B$7)^(BD$2-1)</f>
        <v>1457.53390895</v>
      </c>
      <c r="BE46" s="11" t="n">
        <f aca="false">Units!$E45*(1+Inputs!$B$7)^(BE$2-1)</f>
        <v>1457.53390895</v>
      </c>
      <c r="BF46" s="11" t="n">
        <f aca="false">Units!$E45*(1+Inputs!$B$7)^(BF$2-1)</f>
        <v>1457.53390895</v>
      </c>
      <c r="BG46" s="11" t="n">
        <f aca="false">Units!$E45*(1+Inputs!$B$7)^(BG$2-1)</f>
        <v>1457.53390895</v>
      </c>
      <c r="BH46" s="11" t="n">
        <f aca="false">Units!$E45*(1+Inputs!$B$7)^(BH$2-1)</f>
        <v>1457.53390895</v>
      </c>
      <c r="BI46" s="11" t="n">
        <f aca="false">Units!$E45*(1+Inputs!$B$7)^(BI$2-1)</f>
        <v>1457.53390895</v>
      </c>
      <c r="BJ46" s="11" t="n">
        <f aca="false">Units!$E45*(1+Inputs!$B$7)^(BJ$2-1)</f>
        <v>1457.53390895</v>
      </c>
      <c r="BK46" s="11" t="n">
        <f aca="false">Units!$E45*(1+Inputs!$B$7)^(BK$2-1)</f>
        <v>1501.2599262185</v>
      </c>
      <c r="BL46" s="11" t="n">
        <f aca="false">Units!$E45*(1+Inputs!$B$7)^(BL$2-1)</f>
        <v>1501.2599262185</v>
      </c>
      <c r="BM46" s="11" t="n">
        <f aca="false">Units!$E45*(1+Inputs!$B$7)^(BM$2-1)</f>
        <v>1501.2599262185</v>
      </c>
      <c r="BN46" s="11" t="n">
        <f aca="false">Units!$E45*(1+Inputs!$B$7)^(BN$2-1)</f>
        <v>1501.2599262185</v>
      </c>
      <c r="BO46" s="11" t="n">
        <f aca="false">Units!$E45*(1+Inputs!$B$7)^(BO$2-1)</f>
        <v>1501.2599262185</v>
      </c>
      <c r="BP46" s="11" t="n">
        <f aca="false">Units!$E45*(1+Inputs!$B$7)^(BP$2-1)</f>
        <v>1501.2599262185</v>
      </c>
      <c r="BQ46" s="11" t="n">
        <f aca="false">Units!$E45*(1+Inputs!$B$7)^(BQ$2-1)</f>
        <v>1501.2599262185</v>
      </c>
      <c r="BR46" s="11" t="n">
        <f aca="false">Units!$E45*(1+Inputs!$B$7)^(BR$2-1)</f>
        <v>1501.2599262185</v>
      </c>
      <c r="BS46" s="11" t="n">
        <f aca="false">Units!$E45*(1+Inputs!$B$7)^(BS$2-1)</f>
        <v>1501.2599262185</v>
      </c>
      <c r="BT46" s="11" t="n">
        <f aca="false">Units!$E45*(1+Inputs!$B$7)^(BT$2-1)</f>
        <v>1501.2599262185</v>
      </c>
      <c r="BU46" s="11" t="n">
        <f aca="false">Units!$E45*(1+Inputs!$B$7)^(BU$2-1)</f>
        <v>1501.2599262185</v>
      </c>
      <c r="BV46" s="11" t="n">
        <f aca="false">Units!$E45*(1+Inputs!$B$7)^(BV$2-1)</f>
        <v>1501.2599262185</v>
      </c>
      <c r="BW46" s="11" t="n">
        <f aca="false">Units!$E45*(1+Inputs!$B$7)^(BW$2-1)</f>
        <v>1546.29772400506</v>
      </c>
      <c r="BX46" s="11" t="n">
        <f aca="false">Units!$E45*(1+Inputs!$B$7)^(BX$2-1)</f>
        <v>1546.29772400506</v>
      </c>
      <c r="BY46" s="11" t="n">
        <f aca="false">Units!$E45*(1+Inputs!$B$7)^(BY$2-1)</f>
        <v>1546.29772400506</v>
      </c>
      <c r="BZ46" s="11" t="n">
        <f aca="false">Units!$E45*(1+Inputs!$B$7)^(BZ$2-1)</f>
        <v>1546.29772400506</v>
      </c>
      <c r="CA46" s="11" t="n">
        <f aca="false">Units!$E45*(1+Inputs!$B$7)^(CA$2-1)</f>
        <v>1546.29772400506</v>
      </c>
      <c r="CB46" s="11" t="n">
        <f aca="false">Units!$E45*(1+Inputs!$B$7)^(CB$2-1)</f>
        <v>1546.29772400506</v>
      </c>
      <c r="CC46" s="11" t="n">
        <f aca="false">Units!$E45*(1+Inputs!$B$7)^(CC$2-1)</f>
        <v>1546.29772400506</v>
      </c>
      <c r="CD46" s="11" t="n">
        <f aca="false">Units!$E45*(1+Inputs!$B$7)^(CD$2-1)</f>
        <v>1546.29772400506</v>
      </c>
      <c r="CE46" s="11" t="n">
        <f aca="false">Units!$E45*(1+Inputs!$B$7)^(CE$2-1)</f>
        <v>1546.29772400506</v>
      </c>
      <c r="CF46" s="11" t="n">
        <f aca="false">Units!$E45*(1+Inputs!$B$7)^(CF$2-1)</f>
        <v>1546.29772400506</v>
      </c>
      <c r="CG46" s="11" t="n">
        <f aca="false">Units!$E45*(1+Inputs!$B$7)^(CG$2-1)</f>
        <v>1546.29772400506</v>
      </c>
      <c r="CH46" s="11" t="n">
        <f aca="false">Units!$E45*(1+Inputs!$B$7)^(CH$2-1)</f>
        <v>1546.29772400506</v>
      </c>
      <c r="CI46" s="11" t="n">
        <f aca="false">Units!$E45*(1+Inputs!$B$7)^(CI$2-1)</f>
        <v>1592.68665572521</v>
      </c>
      <c r="CJ46" s="11" t="n">
        <f aca="false">Units!$E45*(1+Inputs!$B$7)^(CJ$2-1)</f>
        <v>1592.68665572521</v>
      </c>
      <c r="CK46" s="11" t="n">
        <f aca="false">Units!$E45*(1+Inputs!$B$7)^(CK$2-1)</f>
        <v>1592.68665572521</v>
      </c>
      <c r="CL46" s="11" t="n">
        <f aca="false">Units!$E45*(1+Inputs!$B$7)^(CL$2-1)</f>
        <v>1592.68665572521</v>
      </c>
      <c r="CM46" s="11" t="n">
        <f aca="false">Units!$E45*(1+Inputs!$B$7)^(CM$2-1)</f>
        <v>1592.68665572521</v>
      </c>
      <c r="CN46" s="11" t="n">
        <f aca="false">Units!$E45*(1+Inputs!$B$7)^(CN$2-1)</f>
        <v>1592.68665572521</v>
      </c>
      <c r="CO46" s="11" t="n">
        <f aca="false">Units!$E45*(1+Inputs!$B$7)^(CO$2-1)</f>
        <v>1592.68665572521</v>
      </c>
      <c r="CP46" s="11" t="n">
        <f aca="false">Units!$E45*(1+Inputs!$B$7)^(CP$2-1)</f>
        <v>1592.68665572521</v>
      </c>
      <c r="CQ46" s="11" t="n">
        <f aca="false">Units!$E45*(1+Inputs!$B$7)^(CQ$2-1)</f>
        <v>1592.68665572521</v>
      </c>
      <c r="CR46" s="11" t="n">
        <f aca="false">Units!$E45*(1+Inputs!$B$7)^(CR$2-1)</f>
        <v>1592.68665572521</v>
      </c>
      <c r="CS46" s="11" t="n">
        <f aca="false">Units!$E45*(1+Inputs!$B$7)^(CS$2-1)</f>
        <v>1592.68665572521</v>
      </c>
      <c r="CT46" s="11" t="n">
        <f aca="false">Units!$E45*(1+Inputs!$B$7)^(CT$2-1)</f>
        <v>1592.68665572521</v>
      </c>
      <c r="CU46" s="11" t="n">
        <f aca="false">Units!$E45*(1+Inputs!$B$7)^(CU$2-1)</f>
        <v>1640.46725539696</v>
      </c>
      <c r="CV46" s="11" t="n">
        <f aca="false">Units!$E45*(1+Inputs!$B$7)^(CV$2-1)</f>
        <v>1640.46725539696</v>
      </c>
      <c r="CW46" s="11" t="n">
        <f aca="false">Units!$E45*(1+Inputs!$B$7)^(CW$2-1)</f>
        <v>1640.46725539696</v>
      </c>
      <c r="CX46" s="11" t="n">
        <f aca="false">Units!$E45*(1+Inputs!$B$7)^(CX$2-1)</f>
        <v>1640.46725539696</v>
      </c>
      <c r="CY46" s="11" t="n">
        <f aca="false">Units!$E45*(1+Inputs!$B$7)^(CY$2-1)</f>
        <v>1640.46725539696</v>
      </c>
      <c r="CZ46" s="11" t="n">
        <f aca="false">Units!$E45*(1+Inputs!$B$7)^(CZ$2-1)</f>
        <v>1640.46725539696</v>
      </c>
      <c r="DA46" s="11" t="n">
        <f aca="false">Units!$E45*(1+Inputs!$B$7)^(DA$2-1)</f>
        <v>1640.46725539696</v>
      </c>
      <c r="DB46" s="11" t="n">
        <f aca="false">Units!$E45*(1+Inputs!$B$7)^(DB$2-1)</f>
        <v>1640.46725539696</v>
      </c>
      <c r="DC46" s="11" t="n">
        <f aca="false">Units!$E45*(1+Inputs!$B$7)^(DC$2-1)</f>
        <v>1640.46725539696</v>
      </c>
      <c r="DD46" s="11" t="n">
        <f aca="false">Units!$E45*(1+Inputs!$B$7)^(DD$2-1)</f>
        <v>1640.46725539696</v>
      </c>
      <c r="DE46" s="11" t="n">
        <f aca="false">Units!$E45*(1+Inputs!$B$7)^(DE$2-1)</f>
        <v>1640.46725539696</v>
      </c>
      <c r="DF46" s="11" t="n">
        <f aca="false">Units!$E45*(1+Inputs!$B$7)^(DF$2-1)</f>
        <v>1640.46725539696</v>
      </c>
      <c r="DG46" s="11" t="n">
        <f aca="false">Units!$E45*(1+Inputs!$B$7)^(DG$2-1)</f>
        <v>1689.68127305887</v>
      </c>
      <c r="DH46" s="11" t="n">
        <f aca="false">Units!$E45*(1+Inputs!$B$7)^(DH$2-1)</f>
        <v>1689.68127305887</v>
      </c>
      <c r="DI46" s="11" t="n">
        <f aca="false">Units!$E45*(1+Inputs!$B$7)^(DI$2-1)</f>
        <v>1689.68127305887</v>
      </c>
      <c r="DJ46" s="11" t="n">
        <f aca="false">Units!$E45*(1+Inputs!$B$7)^(DJ$2-1)</f>
        <v>1689.68127305887</v>
      </c>
      <c r="DK46" s="11" t="n">
        <f aca="false">Units!$E45*(1+Inputs!$B$7)^(DK$2-1)</f>
        <v>1689.68127305887</v>
      </c>
      <c r="DL46" s="11" t="n">
        <f aca="false">Units!$E45*(1+Inputs!$B$7)^(DL$2-1)</f>
        <v>1689.68127305887</v>
      </c>
      <c r="DM46" s="11" t="n">
        <f aca="false">Units!$E45*(1+Inputs!$B$7)^(DM$2-1)</f>
        <v>1689.68127305887</v>
      </c>
      <c r="DN46" s="11" t="n">
        <f aca="false">Units!$E45*(1+Inputs!$B$7)^(DN$2-1)</f>
        <v>1689.68127305887</v>
      </c>
      <c r="DO46" s="11" t="n">
        <f aca="false">Units!$E45*(1+Inputs!$B$7)^(DO$2-1)</f>
        <v>1689.68127305887</v>
      </c>
      <c r="DP46" s="11" t="n">
        <f aca="false">Units!$E45*(1+Inputs!$B$7)^(DP$2-1)</f>
        <v>1689.68127305887</v>
      </c>
      <c r="DQ46" s="11" t="n">
        <f aca="false">Units!$E45*(1+Inputs!$B$7)^(DQ$2-1)</f>
        <v>1689.68127305887</v>
      </c>
      <c r="DR46" s="11" t="n">
        <f aca="false">Units!$E45*(1+Inputs!$B$7)^(DR$2-1)</f>
        <v>1689.68127305887</v>
      </c>
      <c r="DS46" s="11" t="n">
        <f aca="false">Units!$E45*(1+Inputs!$B$7)^(DS$2-1)</f>
        <v>1740.37171125064</v>
      </c>
      <c r="DT46" s="11" t="n">
        <f aca="false">Units!$E45*(1+Inputs!$B$7)^(DT$2-1)</f>
        <v>1740.37171125064</v>
      </c>
      <c r="DU46" s="11" t="n">
        <f aca="false">Units!$E45*(1+Inputs!$B$7)^(DU$2-1)</f>
        <v>1740.37171125064</v>
      </c>
      <c r="DV46" s="11" t="n">
        <f aca="false">Units!$E45*(1+Inputs!$B$7)^(DV$2-1)</f>
        <v>1740.37171125064</v>
      </c>
      <c r="DW46" s="11" t="n">
        <f aca="false">Units!$E45*(1+Inputs!$B$7)^(DW$2-1)</f>
        <v>1740.37171125064</v>
      </c>
      <c r="DX46" s="11" t="n">
        <f aca="false">Units!$E45*(1+Inputs!$B$7)^(DX$2-1)</f>
        <v>1740.37171125064</v>
      </c>
      <c r="DY46" s="11" t="n">
        <f aca="false">Units!$E45*(1+Inputs!$B$7)^(DY$2-1)</f>
        <v>1740.37171125064</v>
      </c>
      <c r="DZ46" s="11" t="n">
        <f aca="false">Units!$E45*(1+Inputs!$B$7)^(DZ$2-1)</f>
        <v>1740.37171125064</v>
      </c>
      <c r="EA46" s="11" t="n">
        <f aca="false">Units!$E45*(1+Inputs!$B$7)^(EA$2-1)</f>
        <v>1740.37171125064</v>
      </c>
      <c r="EB46" s="11" t="n">
        <f aca="false">Units!$E45*(1+Inputs!$B$7)^(EB$2-1)</f>
        <v>1740.37171125064</v>
      </c>
      <c r="EC46" s="11" t="n">
        <f aca="false">Units!$E45*(1+Inputs!$B$7)^(EC$2-1)</f>
        <v>1740.37171125064</v>
      </c>
      <c r="ED46" s="11" t="n">
        <f aca="false">Units!$E45*(1+Inputs!$B$7)^(ED$2-1)</f>
        <v>1740.37171125064</v>
      </c>
    </row>
    <row r="47" customFormat="false" ht="15" hidden="false" customHeight="false" outlineLevel="0" collapsed="false">
      <c r="A47" s="22" t="n">
        <f aca="false">Units!A46</f>
        <v>215</v>
      </c>
      <c r="B47" s="23"/>
      <c r="C47" s="11" t="n">
        <f aca="false">Units!$E46*(1+Inputs!$B$7)^(C$2-1)</f>
        <v>1295</v>
      </c>
      <c r="D47" s="11" t="n">
        <f aca="false">Units!$E46*(1+Inputs!$B$7)^(D$2-1)</f>
        <v>1295</v>
      </c>
      <c r="E47" s="11" t="n">
        <f aca="false">Units!$E46*(1+Inputs!$B$7)^(E$2-1)</f>
        <v>1295</v>
      </c>
      <c r="F47" s="11" t="n">
        <f aca="false">Units!$E46*(1+Inputs!$B$7)^(F$2-1)</f>
        <v>1295</v>
      </c>
      <c r="G47" s="11" t="n">
        <f aca="false">Units!$E46*(1+Inputs!$B$7)^(G$2-1)</f>
        <v>1295</v>
      </c>
      <c r="H47" s="11" t="n">
        <f aca="false">Units!$E46*(1+Inputs!$B$7)^(H$2-1)</f>
        <v>1295</v>
      </c>
      <c r="I47" s="11" t="n">
        <f aca="false">Units!$E46*(1+Inputs!$B$7)^(I$2-1)</f>
        <v>1295</v>
      </c>
      <c r="J47" s="11" t="n">
        <f aca="false">Units!$E46*(1+Inputs!$B$7)^(J$2-1)</f>
        <v>1295</v>
      </c>
      <c r="K47" s="11" t="n">
        <f aca="false">Units!$E46*(1+Inputs!$B$7)^(K$2-1)</f>
        <v>1295</v>
      </c>
      <c r="L47" s="11" t="n">
        <f aca="false">Units!$E46*(1+Inputs!$B$7)^(L$2-1)</f>
        <v>1295</v>
      </c>
      <c r="M47" s="11" t="n">
        <f aca="false">Units!$E46*(1+Inputs!$B$7)^(M$2-1)</f>
        <v>1295</v>
      </c>
      <c r="N47" s="11" t="n">
        <f aca="false">Units!$E46*(1+Inputs!$B$7)^(N$2-1)</f>
        <v>1295</v>
      </c>
      <c r="O47" s="11" t="n">
        <f aca="false">Units!$E46*(1+Inputs!$B$7)^(O$2-1)</f>
        <v>1333.85</v>
      </c>
      <c r="P47" s="11" t="n">
        <f aca="false">Units!$E46*(1+Inputs!$B$7)^(P$2-1)</f>
        <v>1333.85</v>
      </c>
      <c r="Q47" s="11" t="n">
        <f aca="false">Units!$E46*(1+Inputs!$B$7)^(Q$2-1)</f>
        <v>1333.85</v>
      </c>
      <c r="R47" s="11" t="n">
        <f aca="false">Units!$E46*(1+Inputs!$B$7)^(R$2-1)</f>
        <v>1333.85</v>
      </c>
      <c r="S47" s="11" t="n">
        <f aca="false">Units!$E46*(1+Inputs!$B$7)^(S$2-1)</f>
        <v>1333.85</v>
      </c>
      <c r="T47" s="11" t="n">
        <f aca="false">Units!$E46*(1+Inputs!$B$7)^(T$2-1)</f>
        <v>1333.85</v>
      </c>
      <c r="U47" s="11" t="n">
        <f aca="false">Units!$E46*(1+Inputs!$B$7)^(U$2-1)</f>
        <v>1333.85</v>
      </c>
      <c r="V47" s="11" t="n">
        <f aca="false">Units!$E46*(1+Inputs!$B$7)^(V$2-1)</f>
        <v>1333.85</v>
      </c>
      <c r="W47" s="11" t="n">
        <f aca="false">Units!$E46*(1+Inputs!$B$7)^(W$2-1)</f>
        <v>1333.85</v>
      </c>
      <c r="X47" s="11" t="n">
        <f aca="false">Units!$E46*(1+Inputs!$B$7)^(X$2-1)</f>
        <v>1333.85</v>
      </c>
      <c r="Y47" s="11" t="n">
        <f aca="false">Units!$E46*(1+Inputs!$B$7)^(Y$2-1)</f>
        <v>1333.85</v>
      </c>
      <c r="Z47" s="11" t="n">
        <f aca="false">Units!$E46*(1+Inputs!$B$7)^(Z$2-1)</f>
        <v>1333.85</v>
      </c>
      <c r="AA47" s="11" t="n">
        <f aca="false">Units!$E46*(1+Inputs!$B$7)^(AA$2-1)</f>
        <v>1373.8655</v>
      </c>
      <c r="AB47" s="11" t="n">
        <f aca="false">Units!$E46*(1+Inputs!$B$7)^(AB$2-1)</f>
        <v>1373.8655</v>
      </c>
      <c r="AC47" s="11" t="n">
        <f aca="false">Units!$E46*(1+Inputs!$B$7)^(AC$2-1)</f>
        <v>1373.8655</v>
      </c>
      <c r="AD47" s="11" t="n">
        <f aca="false">Units!$E46*(1+Inputs!$B$7)^(AD$2-1)</f>
        <v>1373.8655</v>
      </c>
      <c r="AE47" s="11" t="n">
        <f aca="false">Units!$E46*(1+Inputs!$B$7)^(AE$2-1)</f>
        <v>1373.8655</v>
      </c>
      <c r="AF47" s="11" t="n">
        <f aca="false">Units!$E46*(1+Inputs!$B$7)^(AF$2-1)</f>
        <v>1373.8655</v>
      </c>
      <c r="AG47" s="11" t="n">
        <f aca="false">Units!$E46*(1+Inputs!$B$7)^(AG$2-1)</f>
        <v>1373.8655</v>
      </c>
      <c r="AH47" s="11" t="n">
        <f aca="false">Units!$E46*(1+Inputs!$B$7)^(AH$2-1)</f>
        <v>1373.8655</v>
      </c>
      <c r="AI47" s="11" t="n">
        <f aca="false">Units!$E46*(1+Inputs!$B$7)^(AI$2-1)</f>
        <v>1373.8655</v>
      </c>
      <c r="AJ47" s="11" t="n">
        <f aca="false">Units!$E46*(1+Inputs!$B$7)^(AJ$2-1)</f>
        <v>1373.8655</v>
      </c>
      <c r="AK47" s="11" t="n">
        <f aca="false">Units!$E46*(1+Inputs!$B$7)^(AK$2-1)</f>
        <v>1373.8655</v>
      </c>
      <c r="AL47" s="11" t="n">
        <f aca="false">Units!$E46*(1+Inputs!$B$7)^(AL$2-1)</f>
        <v>1373.8655</v>
      </c>
      <c r="AM47" s="11" t="n">
        <f aca="false">Units!$E46*(1+Inputs!$B$7)^(AM$2-1)</f>
        <v>1415.081465</v>
      </c>
      <c r="AN47" s="11" t="n">
        <f aca="false">Units!$E46*(1+Inputs!$B$7)^(AN$2-1)</f>
        <v>1415.081465</v>
      </c>
      <c r="AO47" s="11" t="n">
        <f aca="false">Units!$E46*(1+Inputs!$B$7)^(AO$2-1)</f>
        <v>1415.081465</v>
      </c>
      <c r="AP47" s="11" t="n">
        <f aca="false">Units!$E46*(1+Inputs!$B$7)^(AP$2-1)</f>
        <v>1415.081465</v>
      </c>
      <c r="AQ47" s="11" t="n">
        <f aca="false">Units!$E46*(1+Inputs!$B$7)^(AQ$2-1)</f>
        <v>1415.081465</v>
      </c>
      <c r="AR47" s="11" t="n">
        <f aca="false">Units!$E46*(1+Inputs!$B$7)^(AR$2-1)</f>
        <v>1415.081465</v>
      </c>
      <c r="AS47" s="11" t="n">
        <f aca="false">Units!$E46*(1+Inputs!$B$7)^(AS$2-1)</f>
        <v>1415.081465</v>
      </c>
      <c r="AT47" s="11" t="n">
        <f aca="false">Units!$E46*(1+Inputs!$B$7)^(AT$2-1)</f>
        <v>1415.081465</v>
      </c>
      <c r="AU47" s="11" t="n">
        <f aca="false">Units!$E46*(1+Inputs!$B$7)^(AU$2-1)</f>
        <v>1415.081465</v>
      </c>
      <c r="AV47" s="11" t="n">
        <f aca="false">Units!$E46*(1+Inputs!$B$7)^(AV$2-1)</f>
        <v>1415.081465</v>
      </c>
      <c r="AW47" s="11" t="n">
        <f aca="false">Units!$E46*(1+Inputs!$B$7)^(AW$2-1)</f>
        <v>1415.081465</v>
      </c>
      <c r="AX47" s="11" t="n">
        <f aca="false">Units!$E46*(1+Inputs!$B$7)^(AX$2-1)</f>
        <v>1415.081465</v>
      </c>
      <c r="AY47" s="11" t="n">
        <f aca="false">Units!$E46*(1+Inputs!$B$7)^(AY$2-1)</f>
        <v>1457.53390895</v>
      </c>
      <c r="AZ47" s="11" t="n">
        <f aca="false">Units!$E46*(1+Inputs!$B$7)^(AZ$2-1)</f>
        <v>1457.53390895</v>
      </c>
      <c r="BA47" s="11" t="n">
        <f aca="false">Units!$E46*(1+Inputs!$B$7)^(BA$2-1)</f>
        <v>1457.53390895</v>
      </c>
      <c r="BB47" s="11" t="n">
        <f aca="false">Units!$E46*(1+Inputs!$B$7)^(BB$2-1)</f>
        <v>1457.53390895</v>
      </c>
      <c r="BC47" s="11" t="n">
        <f aca="false">Units!$E46*(1+Inputs!$B$7)^(BC$2-1)</f>
        <v>1457.53390895</v>
      </c>
      <c r="BD47" s="11" t="n">
        <f aca="false">Units!$E46*(1+Inputs!$B$7)^(BD$2-1)</f>
        <v>1457.53390895</v>
      </c>
      <c r="BE47" s="11" t="n">
        <f aca="false">Units!$E46*(1+Inputs!$B$7)^(BE$2-1)</f>
        <v>1457.53390895</v>
      </c>
      <c r="BF47" s="11" t="n">
        <f aca="false">Units!$E46*(1+Inputs!$B$7)^(BF$2-1)</f>
        <v>1457.53390895</v>
      </c>
      <c r="BG47" s="11" t="n">
        <f aca="false">Units!$E46*(1+Inputs!$B$7)^(BG$2-1)</f>
        <v>1457.53390895</v>
      </c>
      <c r="BH47" s="11" t="n">
        <f aca="false">Units!$E46*(1+Inputs!$B$7)^(BH$2-1)</f>
        <v>1457.53390895</v>
      </c>
      <c r="BI47" s="11" t="n">
        <f aca="false">Units!$E46*(1+Inputs!$B$7)^(BI$2-1)</f>
        <v>1457.53390895</v>
      </c>
      <c r="BJ47" s="11" t="n">
        <f aca="false">Units!$E46*(1+Inputs!$B$7)^(BJ$2-1)</f>
        <v>1457.53390895</v>
      </c>
      <c r="BK47" s="11" t="n">
        <f aca="false">Units!$E46*(1+Inputs!$B$7)^(BK$2-1)</f>
        <v>1501.2599262185</v>
      </c>
      <c r="BL47" s="11" t="n">
        <f aca="false">Units!$E46*(1+Inputs!$B$7)^(BL$2-1)</f>
        <v>1501.2599262185</v>
      </c>
      <c r="BM47" s="11" t="n">
        <f aca="false">Units!$E46*(1+Inputs!$B$7)^(BM$2-1)</f>
        <v>1501.2599262185</v>
      </c>
      <c r="BN47" s="11" t="n">
        <f aca="false">Units!$E46*(1+Inputs!$B$7)^(BN$2-1)</f>
        <v>1501.2599262185</v>
      </c>
      <c r="BO47" s="11" t="n">
        <f aca="false">Units!$E46*(1+Inputs!$B$7)^(BO$2-1)</f>
        <v>1501.2599262185</v>
      </c>
      <c r="BP47" s="11" t="n">
        <f aca="false">Units!$E46*(1+Inputs!$B$7)^(BP$2-1)</f>
        <v>1501.2599262185</v>
      </c>
      <c r="BQ47" s="11" t="n">
        <f aca="false">Units!$E46*(1+Inputs!$B$7)^(BQ$2-1)</f>
        <v>1501.2599262185</v>
      </c>
      <c r="BR47" s="11" t="n">
        <f aca="false">Units!$E46*(1+Inputs!$B$7)^(BR$2-1)</f>
        <v>1501.2599262185</v>
      </c>
      <c r="BS47" s="11" t="n">
        <f aca="false">Units!$E46*(1+Inputs!$B$7)^(BS$2-1)</f>
        <v>1501.2599262185</v>
      </c>
      <c r="BT47" s="11" t="n">
        <f aca="false">Units!$E46*(1+Inputs!$B$7)^(BT$2-1)</f>
        <v>1501.2599262185</v>
      </c>
      <c r="BU47" s="11" t="n">
        <f aca="false">Units!$E46*(1+Inputs!$B$7)^(BU$2-1)</f>
        <v>1501.2599262185</v>
      </c>
      <c r="BV47" s="11" t="n">
        <f aca="false">Units!$E46*(1+Inputs!$B$7)^(BV$2-1)</f>
        <v>1501.2599262185</v>
      </c>
      <c r="BW47" s="11" t="n">
        <f aca="false">Units!$E46*(1+Inputs!$B$7)^(BW$2-1)</f>
        <v>1546.29772400506</v>
      </c>
      <c r="BX47" s="11" t="n">
        <f aca="false">Units!$E46*(1+Inputs!$B$7)^(BX$2-1)</f>
        <v>1546.29772400506</v>
      </c>
      <c r="BY47" s="11" t="n">
        <f aca="false">Units!$E46*(1+Inputs!$B$7)^(BY$2-1)</f>
        <v>1546.29772400506</v>
      </c>
      <c r="BZ47" s="11" t="n">
        <f aca="false">Units!$E46*(1+Inputs!$B$7)^(BZ$2-1)</f>
        <v>1546.29772400506</v>
      </c>
      <c r="CA47" s="11" t="n">
        <f aca="false">Units!$E46*(1+Inputs!$B$7)^(CA$2-1)</f>
        <v>1546.29772400506</v>
      </c>
      <c r="CB47" s="11" t="n">
        <f aca="false">Units!$E46*(1+Inputs!$B$7)^(CB$2-1)</f>
        <v>1546.29772400506</v>
      </c>
      <c r="CC47" s="11" t="n">
        <f aca="false">Units!$E46*(1+Inputs!$B$7)^(CC$2-1)</f>
        <v>1546.29772400506</v>
      </c>
      <c r="CD47" s="11" t="n">
        <f aca="false">Units!$E46*(1+Inputs!$B$7)^(CD$2-1)</f>
        <v>1546.29772400506</v>
      </c>
      <c r="CE47" s="11" t="n">
        <f aca="false">Units!$E46*(1+Inputs!$B$7)^(CE$2-1)</f>
        <v>1546.29772400506</v>
      </c>
      <c r="CF47" s="11" t="n">
        <f aca="false">Units!$E46*(1+Inputs!$B$7)^(CF$2-1)</f>
        <v>1546.29772400506</v>
      </c>
      <c r="CG47" s="11" t="n">
        <f aca="false">Units!$E46*(1+Inputs!$B$7)^(CG$2-1)</f>
        <v>1546.29772400506</v>
      </c>
      <c r="CH47" s="11" t="n">
        <f aca="false">Units!$E46*(1+Inputs!$B$7)^(CH$2-1)</f>
        <v>1546.29772400506</v>
      </c>
      <c r="CI47" s="11" t="n">
        <f aca="false">Units!$E46*(1+Inputs!$B$7)^(CI$2-1)</f>
        <v>1592.68665572521</v>
      </c>
      <c r="CJ47" s="11" t="n">
        <f aca="false">Units!$E46*(1+Inputs!$B$7)^(CJ$2-1)</f>
        <v>1592.68665572521</v>
      </c>
      <c r="CK47" s="11" t="n">
        <f aca="false">Units!$E46*(1+Inputs!$B$7)^(CK$2-1)</f>
        <v>1592.68665572521</v>
      </c>
      <c r="CL47" s="11" t="n">
        <f aca="false">Units!$E46*(1+Inputs!$B$7)^(CL$2-1)</f>
        <v>1592.68665572521</v>
      </c>
      <c r="CM47" s="11" t="n">
        <f aca="false">Units!$E46*(1+Inputs!$B$7)^(CM$2-1)</f>
        <v>1592.68665572521</v>
      </c>
      <c r="CN47" s="11" t="n">
        <f aca="false">Units!$E46*(1+Inputs!$B$7)^(CN$2-1)</f>
        <v>1592.68665572521</v>
      </c>
      <c r="CO47" s="11" t="n">
        <f aca="false">Units!$E46*(1+Inputs!$B$7)^(CO$2-1)</f>
        <v>1592.68665572521</v>
      </c>
      <c r="CP47" s="11" t="n">
        <f aca="false">Units!$E46*(1+Inputs!$B$7)^(CP$2-1)</f>
        <v>1592.68665572521</v>
      </c>
      <c r="CQ47" s="11" t="n">
        <f aca="false">Units!$E46*(1+Inputs!$B$7)^(CQ$2-1)</f>
        <v>1592.68665572521</v>
      </c>
      <c r="CR47" s="11" t="n">
        <f aca="false">Units!$E46*(1+Inputs!$B$7)^(CR$2-1)</f>
        <v>1592.68665572521</v>
      </c>
      <c r="CS47" s="11" t="n">
        <f aca="false">Units!$E46*(1+Inputs!$B$7)^(CS$2-1)</f>
        <v>1592.68665572521</v>
      </c>
      <c r="CT47" s="11" t="n">
        <f aca="false">Units!$E46*(1+Inputs!$B$7)^(CT$2-1)</f>
        <v>1592.68665572521</v>
      </c>
      <c r="CU47" s="11" t="n">
        <f aca="false">Units!$E46*(1+Inputs!$B$7)^(CU$2-1)</f>
        <v>1640.46725539696</v>
      </c>
      <c r="CV47" s="11" t="n">
        <f aca="false">Units!$E46*(1+Inputs!$B$7)^(CV$2-1)</f>
        <v>1640.46725539696</v>
      </c>
      <c r="CW47" s="11" t="n">
        <f aca="false">Units!$E46*(1+Inputs!$B$7)^(CW$2-1)</f>
        <v>1640.46725539696</v>
      </c>
      <c r="CX47" s="11" t="n">
        <f aca="false">Units!$E46*(1+Inputs!$B$7)^(CX$2-1)</f>
        <v>1640.46725539696</v>
      </c>
      <c r="CY47" s="11" t="n">
        <f aca="false">Units!$E46*(1+Inputs!$B$7)^(CY$2-1)</f>
        <v>1640.46725539696</v>
      </c>
      <c r="CZ47" s="11" t="n">
        <f aca="false">Units!$E46*(1+Inputs!$B$7)^(CZ$2-1)</f>
        <v>1640.46725539696</v>
      </c>
      <c r="DA47" s="11" t="n">
        <f aca="false">Units!$E46*(1+Inputs!$B$7)^(DA$2-1)</f>
        <v>1640.46725539696</v>
      </c>
      <c r="DB47" s="11" t="n">
        <f aca="false">Units!$E46*(1+Inputs!$B$7)^(DB$2-1)</f>
        <v>1640.46725539696</v>
      </c>
      <c r="DC47" s="11" t="n">
        <f aca="false">Units!$E46*(1+Inputs!$B$7)^(DC$2-1)</f>
        <v>1640.46725539696</v>
      </c>
      <c r="DD47" s="11" t="n">
        <f aca="false">Units!$E46*(1+Inputs!$B$7)^(DD$2-1)</f>
        <v>1640.46725539696</v>
      </c>
      <c r="DE47" s="11" t="n">
        <f aca="false">Units!$E46*(1+Inputs!$B$7)^(DE$2-1)</f>
        <v>1640.46725539696</v>
      </c>
      <c r="DF47" s="11" t="n">
        <f aca="false">Units!$E46*(1+Inputs!$B$7)^(DF$2-1)</f>
        <v>1640.46725539696</v>
      </c>
      <c r="DG47" s="11" t="n">
        <f aca="false">Units!$E46*(1+Inputs!$B$7)^(DG$2-1)</f>
        <v>1689.68127305887</v>
      </c>
      <c r="DH47" s="11" t="n">
        <f aca="false">Units!$E46*(1+Inputs!$B$7)^(DH$2-1)</f>
        <v>1689.68127305887</v>
      </c>
      <c r="DI47" s="11" t="n">
        <f aca="false">Units!$E46*(1+Inputs!$B$7)^(DI$2-1)</f>
        <v>1689.68127305887</v>
      </c>
      <c r="DJ47" s="11" t="n">
        <f aca="false">Units!$E46*(1+Inputs!$B$7)^(DJ$2-1)</f>
        <v>1689.68127305887</v>
      </c>
      <c r="DK47" s="11" t="n">
        <f aca="false">Units!$E46*(1+Inputs!$B$7)^(DK$2-1)</f>
        <v>1689.68127305887</v>
      </c>
      <c r="DL47" s="11" t="n">
        <f aca="false">Units!$E46*(1+Inputs!$B$7)^(DL$2-1)</f>
        <v>1689.68127305887</v>
      </c>
      <c r="DM47" s="11" t="n">
        <f aca="false">Units!$E46*(1+Inputs!$B$7)^(DM$2-1)</f>
        <v>1689.68127305887</v>
      </c>
      <c r="DN47" s="11" t="n">
        <f aca="false">Units!$E46*(1+Inputs!$B$7)^(DN$2-1)</f>
        <v>1689.68127305887</v>
      </c>
      <c r="DO47" s="11" t="n">
        <f aca="false">Units!$E46*(1+Inputs!$B$7)^(DO$2-1)</f>
        <v>1689.68127305887</v>
      </c>
      <c r="DP47" s="11" t="n">
        <f aca="false">Units!$E46*(1+Inputs!$B$7)^(DP$2-1)</f>
        <v>1689.68127305887</v>
      </c>
      <c r="DQ47" s="11" t="n">
        <f aca="false">Units!$E46*(1+Inputs!$B$7)^(DQ$2-1)</f>
        <v>1689.68127305887</v>
      </c>
      <c r="DR47" s="11" t="n">
        <f aca="false">Units!$E46*(1+Inputs!$B$7)^(DR$2-1)</f>
        <v>1689.68127305887</v>
      </c>
      <c r="DS47" s="11" t="n">
        <f aca="false">Units!$E46*(1+Inputs!$B$7)^(DS$2-1)</f>
        <v>1740.37171125064</v>
      </c>
      <c r="DT47" s="11" t="n">
        <f aca="false">Units!$E46*(1+Inputs!$B$7)^(DT$2-1)</f>
        <v>1740.37171125064</v>
      </c>
      <c r="DU47" s="11" t="n">
        <f aca="false">Units!$E46*(1+Inputs!$B$7)^(DU$2-1)</f>
        <v>1740.37171125064</v>
      </c>
      <c r="DV47" s="11" t="n">
        <f aca="false">Units!$E46*(1+Inputs!$B$7)^(DV$2-1)</f>
        <v>1740.37171125064</v>
      </c>
      <c r="DW47" s="11" t="n">
        <f aca="false">Units!$E46*(1+Inputs!$B$7)^(DW$2-1)</f>
        <v>1740.37171125064</v>
      </c>
      <c r="DX47" s="11" t="n">
        <f aca="false">Units!$E46*(1+Inputs!$B$7)^(DX$2-1)</f>
        <v>1740.37171125064</v>
      </c>
      <c r="DY47" s="11" t="n">
        <f aca="false">Units!$E46*(1+Inputs!$B$7)^(DY$2-1)</f>
        <v>1740.37171125064</v>
      </c>
      <c r="DZ47" s="11" t="n">
        <f aca="false">Units!$E46*(1+Inputs!$B$7)^(DZ$2-1)</f>
        <v>1740.37171125064</v>
      </c>
      <c r="EA47" s="11" t="n">
        <f aca="false">Units!$E46*(1+Inputs!$B$7)^(EA$2-1)</f>
        <v>1740.37171125064</v>
      </c>
      <c r="EB47" s="11" t="n">
        <f aca="false">Units!$E46*(1+Inputs!$B$7)^(EB$2-1)</f>
        <v>1740.37171125064</v>
      </c>
      <c r="EC47" s="11" t="n">
        <f aca="false">Units!$E46*(1+Inputs!$B$7)^(EC$2-1)</f>
        <v>1740.37171125064</v>
      </c>
      <c r="ED47" s="11" t="n">
        <f aca="false">Units!$E46*(1+Inputs!$B$7)^(ED$2-1)</f>
        <v>1740.37171125064</v>
      </c>
    </row>
    <row r="48" customFormat="false" ht="15" hidden="false" customHeight="false" outlineLevel="0" collapsed="false">
      <c r="A48" s="22" t="n">
        <f aca="false">Units!A47</f>
        <v>216</v>
      </c>
      <c r="B48" s="23"/>
      <c r="C48" s="11" t="n">
        <f aca="false">Units!$E47*(1+Inputs!$B$7)^(C$2-1)</f>
        <v>1295</v>
      </c>
      <c r="D48" s="11" t="n">
        <f aca="false">Units!$E47*(1+Inputs!$B$7)^(D$2-1)</f>
        <v>1295</v>
      </c>
      <c r="E48" s="11" t="n">
        <f aca="false">Units!$E47*(1+Inputs!$B$7)^(E$2-1)</f>
        <v>1295</v>
      </c>
      <c r="F48" s="11" t="n">
        <f aca="false">Units!$E47*(1+Inputs!$B$7)^(F$2-1)</f>
        <v>1295</v>
      </c>
      <c r="G48" s="11" t="n">
        <f aca="false">Units!$E47*(1+Inputs!$B$7)^(G$2-1)</f>
        <v>1295</v>
      </c>
      <c r="H48" s="11" t="n">
        <f aca="false">Units!$E47*(1+Inputs!$B$7)^(H$2-1)</f>
        <v>1295</v>
      </c>
      <c r="I48" s="11" t="n">
        <f aca="false">Units!$E47*(1+Inputs!$B$7)^(I$2-1)</f>
        <v>1295</v>
      </c>
      <c r="J48" s="11" t="n">
        <f aca="false">Units!$E47*(1+Inputs!$B$7)^(J$2-1)</f>
        <v>1295</v>
      </c>
      <c r="K48" s="11" t="n">
        <f aca="false">Units!$E47*(1+Inputs!$B$7)^(K$2-1)</f>
        <v>1295</v>
      </c>
      <c r="L48" s="11" t="n">
        <f aca="false">Units!$E47*(1+Inputs!$B$7)^(L$2-1)</f>
        <v>1295</v>
      </c>
      <c r="M48" s="11" t="n">
        <f aca="false">Units!$E47*(1+Inputs!$B$7)^(M$2-1)</f>
        <v>1295</v>
      </c>
      <c r="N48" s="11" t="n">
        <f aca="false">Units!$E47*(1+Inputs!$B$7)^(N$2-1)</f>
        <v>1295</v>
      </c>
      <c r="O48" s="11" t="n">
        <f aca="false">Units!$E47*(1+Inputs!$B$7)^(O$2-1)</f>
        <v>1333.85</v>
      </c>
      <c r="P48" s="11" t="n">
        <f aca="false">Units!$E47*(1+Inputs!$B$7)^(P$2-1)</f>
        <v>1333.85</v>
      </c>
      <c r="Q48" s="11" t="n">
        <f aca="false">Units!$E47*(1+Inputs!$B$7)^(Q$2-1)</f>
        <v>1333.85</v>
      </c>
      <c r="R48" s="11" t="n">
        <f aca="false">Units!$E47*(1+Inputs!$B$7)^(R$2-1)</f>
        <v>1333.85</v>
      </c>
      <c r="S48" s="11" t="n">
        <f aca="false">Units!$E47*(1+Inputs!$B$7)^(S$2-1)</f>
        <v>1333.85</v>
      </c>
      <c r="T48" s="11" t="n">
        <f aca="false">Units!$E47*(1+Inputs!$B$7)^(T$2-1)</f>
        <v>1333.85</v>
      </c>
      <c r="U48" s="11" t="n">
        <f aca="false">Units!$E47*(1+Inputs!$B$7)^(U$2-1)</f>
        <v>1333.85</v>
      </c>
      <c r="V48" s="11" t="n">
        <f aca="false">Units!$E47*(1+Inputs!$B$7)^(V$2-1)</f>
        <v>1333.85</v>
      </c>
      <c r="W48" s="11" t="n">
        <f aca="false">Units!$E47*(1+Inputs!$B$7)^(W$2-1)</f>
        <v>1333.85</v>
      </c>
      <c r="X48" s="11" t="n">
        <f aca="false">Units!$E47*(1+Inputs!$B$7)^(X$2-1)</f>
        <v>1333.85</v>
      </c>
      <c r="Y48" s="11" t="n">
        <f aca="false">Units!$E47*(1+Inputs!$B$7)^(Y$2-1)</f>
        <v>1333.85</v>
      </c>
      <c r="Z48" s="11" t="n">
        <f aca="false">Units!$E47*(1+Inputs!$B$7)^(Z$2-1)</f>
        <v>1333.85</v>
      </c>
      <c r="AA48" s="11" t="n">
        <f aca="false">Units!$E47*(1+Inputs!$B$7)^(AA$2-1)</f>
        <v>1373.8655</v>
      </c>
      <c r="AB48" s="11" t="n">
        <f aca="false">Units!$E47*(1+Inputs!$B$7)^(AB$2-1)</f>
        <v>1373.8655</v>
      </c>
      <c r="AC48" s="11" t="n">
        <f aca="false">Units!$E47*(1+Inputs!$B$7)^(AC$2-1)</f>
        <v>1373.8655</v>
      </c>
      <c r="AD48" s="11" t="n">
        <f aca="false">Units!$E47*(1+Inputs!$B$7)^(AD$2-1)</f>
        <v>1373.8655</v>
      </c>
      <c r="AE48" s="11" t="n">
        <f aca="false">Units!$E47*(1+Inputs!$B$7)^(AE$2-1)</f>
        <v>1373.8655</v>
      </c>
      <c r="AF48" s="11" t="n">
        <f aca="false">Units!$E47*(1+Inputs!$B$7)^(AF$2-1)</f>
        <v>1373.8655</v>
      </c>
      <c r="AG48" s="11" t="n">
        <f aca="false">Units!$E47*(1+Inputs!$B$7)^(AG$2-1)</f>
        <v>1373.8655</v>
      </c>
      <c r="AH48" s="11" t="n">
        <f aca="false">Units!$E47*(1+Inputs!$B$7)^(AH$2-1)</f>
        <v>1373.8655</v>
      </c>
      <c r="AI48" s="11" t="n">
        <f aca="false">Units!$E47*(1+Inputs!$B$7)^(AI$2-1)</f>
        <v>1373.8655</v>
      </c>
      <c r="AJ48" s="11" t="n">
        <f aca="false">Units!$E47*(1+Inputs!$B$7)^(AJ$2-1)</f>
        <v>1373.8655</v>
      </c>
      <c r="AK48" s="11" t="n">
        <f aca="false">Units!$E47*(1+Inputs!$B$7)^(AK$2-1)</f>
        <v>1373.8655</v>
      </c>
      <c r="AL48" s="11" t="n">
        <f aca="false">Units!$E47*(1+Inputs!$B$7)^(AL$2-1)</f>
        <v>1373.8655</v>
      </c>
      <c r="AM48" s="11" t="n">
        <f aca="false">Units!$E47*(1+Inputs!$B$7)^(AM$2-1)</f>
        <v>1415.081465</v>
      </c>
      <c r="AN48" s="11" t="n">
        <f aca="false">Units!$E47*(1+Inputs!$B$7)^(AN$2-1)</f>
        <v>1415.081465</v>
      </c>
      <c r="AO48" s="11" t="n">
        <f aca="false">Units!$E47*(1+Inputs!$B$7)^(AO$2-1)</f>
        <v>1415.081465</v>
      </c>
      <c r="AP48" s="11" t="n">
        <f aca="false">Units!$E47*(1+Inputs!$B$7)^(AP$2-1)</f>
        <v>1415.081465</v>
      </c>
      <c r="AQ48" s="11" t="n">
        <f aca="false">Units!$E47*(1+Inputs!$B$7)^(AQ$2-1)</f>
        <v>1415.081465</v>
      </c>
      <c r="AR48" s="11" t="n">
        <f aca="false">Units!$E47*(1+Inputs!$B$7)^(AR$2-1)</f>
        <v>1415.081465</v>
      </c>
      <c r="AS48" s="11" t="n">
        <f aca="false">Units!$E47*(1+Inputs!$B$7)^(AS$2-1)</f>
        <v>1415.081465</v>
      </c>
      <c r="AT48" s="11" t="n">
        <f aca="false">Units!$E47*(1+Inputs!$B$7)^(AT$2-1)</f>
        <v>1415.081465</v>
      </c>
      <c r="AU48" s="11" t="n">
        <f aca="false">Units!$E47*(1+Inputs!$B$7)^(AU$2-1)</f>
        <v>1415.081465</v>
      </c>
      <c r="AV48" s="11" t="n">
        <f aca="false">Units!$E47*(1+Inputs!$B$7)^(AV$2-1)</f>
        <v>1415.081465</v>
      </c>
      <c r="AW48" s="11" t="n">
        <f aca="false">Units!$E47*(1+Inputs!$B$7)^(AW$2-1)</f>
        <v>1415.081465</v>
      </c>
      <c r="AX48" s="11" t="n">
        <f aca="false">Units!$E47*(1+Inputs!$B$7)^(AX$2-1)</f>
        <v>1415.081465</v>
      </c>
      <c r="AY48" s="11" t="n">
        <f aca="false">Units!$E47*(1+Inputs!$B$7)^(AY$2-1)</f>
        <v>1457.53390895</v>
      </c>
      <c r="AZ48" s="11" t="n">
        <f aca="false">Units!$E47*(1+Inputs!$B$7)^(AZ$2-1)</f>
        <v>1457.53390895</v>
      </c>
      <c r="BA48" s="11" t="n">
        <f aca="false">Units!$E47*(1+Inputs!$B$7)^(BA$2-1)</f>
        <v>1457.53390895</v>
      </c>
      <c r="BB48" s="11" t="n">
        <f aca="false">Units!$E47*(1+Inputs!$B$7)^(BB$2-1)</f>
        <v>1457.53390895</v>
      </c>
      <c r="BC48" s="11" t="n">
        <f aca="false">Units!$E47*(1+Inputs!$B$7)^(BC$2-1)</f>
        <v>1457.53390895</v>
      </c>
      <c r="BD48" s="11" t="n">
        <f aca="false">Units!$E47*(1+Inputs!$B$7)^(BD$2-1)</f>
        <v>1457.53390895</v>
      </c>
      <c r="BE48" s="11" t="n">
        <f aca="false">Units!$E47*(1+Inputs!$B$7)^(BE$2-1)</f>
        <v>1457.53390895</v>
      </c>
      <c r="BF48" s="11" t="n">
        <f aca="false">Units!$E47*(1+Inputs!$B$7)^(BF$2-1)</f>
        <v>1457.53390895</v>
      </c>
      <c r="BG48" s="11" t="n">
        <f aca="false">Units!$E47*(1+Inputs!$B$7)^(BG$2-1)</f>
        <v>1457.53390895</v>
      </c>
      <c r="BH48" s="11" t="n">
        <f aca="false">Units!$E47*(1+Inputs!$B$7)^(BH$2-1)</f>
        <v>1457.53390895</v>
      </c>
      <c r="BI48" s="11" t="n">
        <f aca="false">Units!$E47*(1+Inputs!$B$7)^(BI$2-1)</f>
        <v>1457.53390895</v>
      </c>
      <c r="BJ48" s="11" t="n">
        <f aca="false">Units!$E47*(1+Inputs!$B$7)^(BJ$2-1)</f>
        <v>1457.53390895</v>
      </c>
      <c r="BK48" s="11" t="n">
        <f aca="false">Units!$E47*(1+Inputs!$B$7)^(BK$2-1)</f>
        <v>1501.2599262185</v>
      </c>
      <c r="BL48" s="11" t="n">
        <f aca="false">Units!$E47*(1+Inputs!$B$7)^(BL$2-1)</f>
        <v>1501.2599262185</v>
      </c>
      <c r="BM48" s="11" t="n">
        <f aca="false">Units!$E47*(1+Inputs!$B$7)^(BM$2-1)</f>
        <v>1501.2599262185</v>
      </c>
      <c r="BN48" s="11" t="n">
        <f aca="false">Units!$E47*(1+Inputs!$B$7)^(BN$2-1)</f>
        <v>1501.2599262185</v>
      </c>
      <c r="BO48" s="11" t="n">
        <f aca="false">Units!$E47*(1+Inputs!$B$7)^(BO$2-1)</f>
        <v>1501.2599262185</v>
      </c>
      <c r="BP48" s="11" t="n">
        <f aca="false">Units!$E47*(1+Inputs!$B$7)^(BP$2-1)</f>
        <v>1501.2599262185</v>
      </c>
      <c r="BQ48" s="11" t="n">
        <f aca="false">Units!$E47*(1+Inputs!$B$7)^(BQ$2-1)</f>
        <v>1501.2599262185</v>
      </c>
      <c r="BR48" s="11" t="n">
        <f aca="false">Units!$E47*(1+Inputs!$B$7)^(BR$2-1)</f>
        <v>1501.2599262185</v>
      </c>
      <c r="BS48" s="11" t="n">
        <f aca="false">Units!$E47*(1+Inputs!$B$7)^(BS$2-1)</f>
        <v>1501.2599262185</v>
      </c>
      <c r="BT48" s="11" t="n">
        <f aca="false">Units!$E47*(1+Inputs!$B$7)^(BT$2-1)</f>
        <v>1501.2599262185</v>
      </c>
      <c r="BU48" s="11" t="n">
        <f aca="false">Units!$E47*(1+Inputs!$B$7)^(BU$2-1)</f>
        <v>1501.2599262185</v>
      </c>
      <c r="BV48" s="11" t="n">
        <f aca="false">Units!$E47*(1+Inputs!$B$7)^(BV$2-1)</f>
        <v>1501.2599262185</v>
      </c>
      <c r="BW48" s="11" t="n">
        <f aca="false">Units!$E47*(1+Inputs!$B$7)^(BW$2-1)</f>
        <v>1546.29772400506</v>
      </c>
      <c r="BX48" s="11" t="n">
        <f aca="false">Units!$E47*(1+Inputs!$B$7)^(BX$2-1)</f>
        <v>1546.29772400506</v>
      </c>
      <c r="BY48" s="11" t="n">
        <f aca="false">Units!$E47*(1+Inputs!$B$7)^(BY$2-1)</f>
        <v>1546.29772400506</v>
      </c>
      <c r="BZ48" s="11" t="n">
        <f aca="false">Units!$E47*(1+Inputs!$B$7)^(BZ$2-1)</f>
        <v>1546.29772400506</v>
      </c>
      <c r="CA48" s="11" t="n">
        <f aca="false">Units!$E47*(1+Inputs!$B$7)^(CA$2-1)</f>
        <v>1546.29772400506</v>
      </c>
      <c r="CB48" s="11" t="n">
        <f aca="false">Units!$E47*(1+Inputs!$B$7)^(CB$2-1)</f>
        <v>1546.29772400506</v>
      </c>
      <c r="CC48" s="11" t="n">
        <f aca="false">Units!$E47*(1+Inputs!$B$7)^(CC$2-1)</f>
        <v>1546.29772400506</v>
      </c>
      <c r="CD48" s="11" t="n">
        <f aca="false">Units!$E47*(1+Inputs!$B$7)^(CD$2-1)</f>
        <v>1546.29772400506</v>
      </c>
      <c r="CE48" s="11" t="n">
        <f aca="false">Units!$E47*(1+Inputs!$B$7)^(CE$2-1)</f>
        <v>1546.29772400506</v>
      </c>
      <c r="CF48" s="11" t="n">
        <f aca="false">Units!$E47*(1+Inputs!$B$7)^(CF$2-1)</f>
        <v>1546.29772400506</v>
      </c>
      <c r="CG48" s="11" t="n">
        <f aca="false">Units!$E47*(1+Inputs!$B$7)^(CG$2-1)</f>
        <v>1546.29772400506</v>
      </c>
      <c r="CH48" s="11" t="n">
        <f aca="false">Units!$E47*(1+Inputs!$B$7)^(CH$2-1)</f>
        <v>1546.29772400506</v>
      </c>
      <c r="CI48" s="11" t="n">
        <f aca="false">Units!$E47*(1+Inputs!$B$7)^(CI$2-1)</f>
        <v>1592.68665572521</v>
      </c>
      <c r="CJ48" s="11" t="n">
        <f aca="false">Units!$E47*(1+Inputs!$B$7)^(CJ$2-1)</f>
        <v>1592.68665572521</v>
      </c>
      <c r="CK48" s="11" t="n">
        <f aca="false">Units!$E47*(1+Inputs!$B$7)^(CK$2-1)</f>
        <v>1592.68665572521</v>
      </c>
      <c r="CL48" s="11" t="n">
        <f aca="false">Units!$E47*(1+Inputs!$B$7)^(CL$2-1)</f>
        <v>1592.68665572521</v>
      </c>
      <c r="CM48" s="11" t="n">
        <f aca="false">Units!$E47*(1+Inputs!$B$7)^(CM$2-1)</f>
        <v>1592.68665572521</v>
      </c>
      <c r="CN48" s="11" t="n">
        <f aca="false">Units!$E47*(1+Inputs!$B$7)^(CN$2-1)</f>
        <v>1592.68665572521</v>
      </c>
      <c r="CO48" s="11" t="n">
        <f aca="false">Units!$E47*(1+Inputs!$B$7)^(CO$2-1)</f>
        <v>1592.68665572521</v>
      </c>
      <c r="CP48" s="11" t="n">
        <f aca="false">Units!$E47*(1+Inputs!$B$7)^(CP$2-1)</f>
        <v>1592.68665572521</v>
      </c>
      <c r="CQ48" s="11" t="n">
        <f aca="false">Units!$E47*(1+Inputs!$B$7)^(CQ$2-1)</f>
        <v>1592.68665572521</v>
      </c>
      <c r="CR48" s="11" t="n">
        <f aca="false">Units!$E47*(1+Inputs!$B$7)^(CR$2-1)</f>
        <v>1592.68665572521</v>
      </c>
      <c r="CS48" s="11" t="n">
        <f aca="false">Units!$E47*(1+Inputs!$B$7)^(CS$2-1)</f>
        <v>1592.68665572521</v>
      </c>
      <c r="CT48" s="11" t="n">
        <f aca="false">Units!$E47*(1+Inputs!$B$7)^(CT$2-1)</f>
        <v>1592.68665572521</v>
      </c>
      <c r="CU48" s="11" t="n">
        <f aca="false">Units!$E47*(1+Inputs!$B$7)^(CU$2-1)</f>
        <v>1640.46725539696</v>
      </c>
      <c r="CV48" s="11" t="n">
        <f aca="false">Units!$E47*(1+Inputs!$B$7)^(CV$2-1)</f>
        <v>1640.46725539696</v>
      </c>
      <c r="CW48" s="11" t="n">
        <f aca="false">Units!$E47*(1+Inputs!$B$7)^(CW$2-1)</f>
        <v>1640.46725539696</v>
      </c>
      <c r="CX48" s="11" t="n">
        <f aca="false">Units!$E47*(1+Inputs!$B$7)^(CX$2-1)</f>
        <v>1640.46725539696</v>
      </c>
      <c r="CY48" s="11" t="n">
        <f aca="false">Units!$E47*(1+Inputs!$B$7)^(CY$2-1)</f>
        <v>1640.46725539696</v>
      </c>
      <c r="CZ48" s="11" t="n">
        <f aca="false">Units!$E47*(1+Inputs!$B$7)^(CZ$2-1)</f>
        <v>1640.46725539696</v>
      </c>
      <c r="DA48" s="11" t="n">
        <f aca="false">Units!$E47*(1+Inputs!$B$7)^(DA$2-1)</f>
        <v>1640.46725539696</v>
      </c>
      <c r="DB48" s="11" t="n">
        <f aca="false">Units!$E47*(1+Inputs!$B$7)^(DB$2-1)</f>
        <v>1640.46725539696</v>
      </c>
      <c r="DC48" s="11" t="n">
        <f aca="false">Units!$E47*(1+Inputs!$B$7)^(DC$2-1)</f>
        <v>1640.46725539696</v>
      </c>
      <c r="DD48" s="11" t="n">
        <f aca="false">Units!$E47*(1+Inputs!$B$7)^(DD$2-1)</f>
        <v>1640.46725539696</v>
      </c>
      <c r="DE48" s="11" t="n">
        <f aca="false">Units!$E47*(1+Inputs!$B$7)^(DE$2-1)</f>
        <v>1640.46725539696</v>
      </c>
      <c r="DF48" s="11" t="n">
        <f aca="false">Units!$E47*(1+Inputs!$B$7)^(DF$2-1)</f>
        <v>1640.46725539696</v>
      </c>
      <c r="DG48" s="11" t="n">
        <f aca="false">Units!$E47*(1+Inputs!$B$7)^(DG$2-1)</f>
        <v>1689.68127305887</v>
      </c>
      <c r="DH48" s="11" t="n">
        <f aca="false">Units!$E47*(1+Inputs!$B$7)^(DH$2-1)</f>
        <v>1689.68127305887</v>
      </c>
      <c r="DI48" s="11" t="n">
        <f aca="false">Units!$E47*(1+Inputs!$B$7)^(DI$2-1)</f>
        <v>1689.68127305887</v>
      </c>
      <c r="DJ48" s="11" t="n">
        <f aca="false">Units!$E47*(1+Inputs!$B$7)^(DJ$2-1)</f>
        <v>1689.68127305887</v>
      </c>
      <c r="DK48" s="11" t="n">
        <f aca="false">Units!$E47*(1+Inputs!$B$7)^(DK$2-1)</f>
        <v>1689.68127305887</v>
      </c>
      <c r="DL48" s="11" t="n">
        <f aca="false">Units!$E47*(1+Inputs!$B$7)^(DL$2-1)</f>
        <v>1689.68127305887</v>
      </c>
      <c r="DM48" s="11" t="n">
        <f aca="false">Units!$E47*(1+Inputs!$B$7)^(DM$2-1)</f>
        <v>1689.68127305887</v>
      </c>
      <c r="DN48" s="11" t="n">
        <f aca="false">Units!$E47*(1+Inputs!$B$7)^(DN$2-1)</f>
        <v>1689.68127305887</v>
      </c>
      <c r="DO48" s="11" t="n">
        <f aca="false">Units!$E47*(1+Inputs!$B$7)^(DO$2-1)</f>
        <v>1689.68127305887</v>
      </c>
      <c r="DP48" s="11" t="n">
        <f aca="false">Units!$E47*(1+Inputs!$B$7)^(DP$2-1)</f>
        <v>1689.68127305887</v>
      </c>
      <c r="DQ48" s="11" t="n">
        <f aca="false">Units!$E47*(1+Inputs!$B$7)^(DQ$2-1)</f>
        <v>1689.68127305887</v>
      </c>
      <c r="DR48" s="11" t="n">
        <f aca="false">Units!$E47*(1+Inputs!$B$7)^(DR$2-1)</f>
        <v>1689.68127305887</v>
      </c>
      <c r="DS48" s="11" t="n">
        <f aca="false">Units!$E47*(1+Inputs!$B$7)^(DS$2-1)</f>
        <v>1740.37171125064</v>
      </c>
      <c r="DT48" s="11" t="n">
        <f aca="false">Units!$E47*(1+Inputs!$B$7)^(DT$2-1)</f>
        <v>1740.37171125064</v>
      </c>
      <c r="DU48" s="11" t="n">
        <f aca="false">Units!$E47*(1+Inputs!$B$7)^(DU$2-1)</f>
        <v>1740.37171125064</v>
      </c>
      <c r="DV48" s="11" t="n">
        <f aca="false">Units!$E47*(1+Inputs!$B$7)^(DV$2-1)</f>
        <v>1740.37171125064</v>
      </c>
      <c r="DW48" s="11" t="n">
        <f aca="false">Units!$E47*(1+Inputs!$B$7)^(DW$2-1)</f>
        <v>1740.37171125064</v>
      </c>
      <c r="DX48" s="11" t="n">
        <f aca="false">Units!$E47*(1+Inputs!$B$7)^(DX$2-1)</f>
        <v>1740.37171125064</v>
      </c>
      <c r="DY48" s="11" t="n">
        <f aca="false">Units!$E47*(1+Inputs!$B$7)^(DY$2-1)</f>
        <v>1740.37171125064</v>
      </c>
      <c r="DZ48" s="11" t="n">
        <f aca="false">Units!$E47*(1+Inputs!$B$7)^(DZ$2-1)</f>
        <v>1740.37171125064</v>
      </c>
      <c r="EA48" s="11" t="n">
        <f aca="false">Units!$E47*(1+Inputs!$B$7)^(EA$2-1)</f>
        <v>1740.37171125064</v>
      </c>
      <c r="EB48" s="11" t="n">
        <f aca="false">Units!$E47*(1+Inputs!$B$7)^(EB$2-1)</f>
        <v>1740.37171125064</v>
      </c>
      <c r="EC48" s="11" t="n">
        <f aca="false">Units!$E47*(1+Inputs!$B$7)^(EC$2-1)</f>
        <v>1740.37171125064</v>
      </c>
      <c r="ED48" s="11" t="n">
        <f aca="false">Units!$E47*(1+Inputs!$B$7)^(ED$2-1)</f>
        <v>1740.37171125064</v>
      </c>
    </row>
    <row r="49" customFormat="false" ht="15" hidden="false" customHeight="false" outlineLevel="0" collapsed="false">
      <c r="A49" s="22" t="n">
        <f aca="false">Units!A48</f>
        <v>217</v>
      </c>
      <c r="B49" s="23"/>
      <c r="C49" s="11" t="n">
        <f aca="false">Units!$E48*(1+Inputs!$B$7)^(C$2-1)</f>
        <v>1295</v>
      </c>
      <c r="D49" s="11" t="n">
        <f aca="false">Units!$E48*(1+Inputs!$B$7)^(D$2-1)</f>
        <v>1295</v>
      </c>
      <c r="E49" s="11" t="n">
        <f aca="false">Units!$E48*(1+Inputs!$B$7)^(E$2-1)</f>
        <v>1295</v>
      </c>
      <c r="F49" s="11" t="n">
        <f aca="false">Units!$E48*(1+Inputs!$B$7)^(F$2-1)</f>
        <v>1295</v>
      </c>
      <c r="G49" s="11" t="n">
        <f aca="false">Units!$E48*(1+Inputs!$B$7)^(G$2-1)</f>
        <v>1295</v>
      </c>
      <c r="H49" s="11" t="n">
        <f aca="false">Units!$E48*(1+Inputs!$B$7)^(H$2-1)</f>
        <v>1295</v>
      </c>
      <c r="I49" s="11" t="n">
        <f aca="false">Units!$E48*(1+Inputs!$B$7)^(I$2-1)</f>
        <v>1295</v>
      </c>
      <c r="J49" s="11" t="n">
        <f aca="false">Units!$E48*(1+Inputs!$B$7)^(J$2-1)</f>
        <v>1295</v>
      </c>
      <c r="K49" s="11" t="n">
        <f aca="false">Units!$E48*(1+Inputs!$B$7)^(K$2-1)</f>
        <v>1295</v>
      </c>
      <c r="L49" s="11" t="n">
        <f aca="false">Units!$E48*(1+Inputs!$B$7)^(L$2-1)</f>
        <v>1295</v>
      </c>
      <c r="M49" s="11" t="n">
        <f aca="false">Units!$E48*(1+Inputs!$B$7)^(M$2-1)</f>
        <v>1295</v>
      </c>
      <c r="N49" s="11" t="n">
        <f aca="false">Units!$E48*(1+Inputs!$B$7)^(N$2-1)</f>
        <v>1295</v>
      </c>
      <c r="O49" s="11" t="n">
        <f aca="false">Units!$E48*(1+Inputs!$B$7)^(O$2-1)</f>
        <v>1333.85</v>
      </c>
      <c r="P49" s="11" t="n">
        <f aca="false">Units!$E48*(1+Inputs!$B$7)^(P$2-1)</f>
        <v>1333.85</v>
      </c>
      <c r="Q49" s="11" t="n">
        <f aca="false">Units!$E48*(1+Inputs!$B$7)^(Q$2-1)</f>
        <v>1333.85</v>
      </c>
      <c r="R49" s="11" t="n">
        <f aca="false">Units!$E48*(1+Inputs!$B$7)^(R$2-1)</f>
        <v>1333.85</v>
      </c>
      <c r="S49" s="11" t="n">
        <f aca="false">Units!$E48*(1+Inputs!$B$7)^(S$2-1)</f>
        <v>1333.85</v>
      </c>
      <c r="T49" s="11" t="n">
        <f aca="false">Units!$E48*(1+Inputs!$B$7)^(T$2-1)</f>
        <v>1333.85</v>
      </c>
      <c r="U49" s="11" t="n">
        <f aca="false">Units!$E48*(1+Inputs!$B$7)^(U$2-1)</f>
        <v>1333.85</v>
      </c>
      <c r="V49" s="11" t="n">
        <f aca="false">Units!$E48*(1+Inputs!$B$7)^(V$2-1)</f>
        <v>1333.85</v>
      </c>
      <c r="W49" s="11" t="n">
        <f aca="false">Units!$E48*(1+Inputs!$B$7)^(W$2-1)</f>
        <v>1333.85</v>
      </c>
      <c r="X49" s="11" t="n">
        <f aca="false">Units!$E48*(1+Inputs!$B$7)^(X$2-1)</f>
        <v>1333.85</v>
      </c>
      <c r="Y49" s="11" t="n">
        <f aca="false">Units!$E48*(1+Inputs!$B$7)^(Y$2-1)</f>
        <v>1333.85</v>
      </c>
      <c r="Z49" s="11" t="n">
        <f aca="false">Units!$E48*(1+Inputs!$B$7)^(Z$2-1)</f>
        <v>1333.85</v>
      </c>
      <c r="AA49" s="11" t="n">
        <f aca="false">Units!$E48*(1+Inputs!$B$7)^(AA$2-1)</f>
        <v>1373.8655</v>
      </c>
      <c r="AB49" s="11" t="n">
        <f aca="false">Units!$E48*(1+Inputs!$B$7)^(AB$2-1)</f>
        <v>1373.8655</v>
      </c>
      <c r="AC49" s="11" t="n">
        <f aca="false">Units!$E48*(1+Inputs!$B$7)^(AC$2-1)</f>
        <v>1373.8655</v>
      </c>
      <c r="AD49" s="11" t="n">
        <f aca="false">Units!$E48*(1+Inputs!$B$7)^(AD$2-1)</f>
        <v>1373.8655</v>
      </c>
      <c r="AE49" s="11" t="n">
        <f aca="false">Units!$E48*(1+Inputs!$B$7)^(AE$2-1)</f>
        <v>1373.8655</v>
      </c>
      <c r="AF49" s="11" t="n">
        <f aca="false">Units!$E48*(1+Inputs!$B$7)^(AF$2-1)</f>
        <v>1373.8655</v>
      </c>
      <c r="AG49" s="11" t="n">
        <f aca="false">Units!$E48*(1+Inputs!$B$7)^(AG$2-1)</f>
        <v>1373.8655</v>
      </c>
      <c r="AH49" s="11" t="n">
        <f aca="false">Units!$E48*(1+Inputs!$B$7)^(AH$2-1)</f>
        <v>1373.8655</v>
      </c>
      <c r="AI49" s="11" t="n">
        <f aca="false">Units!$E48*(1+Inputs!$B$7)^(AI$2-1)</f>
        <v>1373.8655</v>
      </c>
      <c r="AJ49" s="11" t="n">
        <f aca="false">Units!$E48*(1+Inputs!$B$7)^(AJ$2-1)</f>
        <v>1373.8655</v>
      </c>
      <c r="AK49" s="11" t="n">
        <f aca="false">Units!$E48*(1+Inputs!$B$7)^(AK$2-1)</f>
        <v>1373.8655</v>
      </c>
      <c r="AL49" s="11" t="n">
        <f aca="false">Units!$E48*(1+Inputs!$B$7)^(AL$2-1)</f>
        <v>1373.8655</v>
      </c>
      <c r="AM49" s="11" t="n">
        <f aca="false">Units!$E48*(1+Inputs!$B$7)^(AM$2-1)</f>
        <v>1415.081465</v>
      </c>
      <c r="AN49" s="11" t="n">
        <f aca="false">Units!$E48*(1+Inputs!$B$7)^(AN$2-1)</f>
        <v>1415.081465</v>
      </c>
      <c r="AO49" s="11" t="n">
        <f aca="false">Units!$E48*(1+Inputs!$B$7)^(AO$2-1)</f>
        <v>1415.081465</v>
      </c>
      <c r="AP49" s="11" t="n">
        <f aca="false">Units!$E48*(1+Inputs!$B$7)^(AP$2-1)</f>
        <v>1415.081465</v>
      </c>
      <c r="AQ49" s="11" t="n">
        <f aca="false">Units!$E48*(1+Inputs!$B$7)^(AQ$2-1)</f>
        <v>1415.081465</v>
      </c>
      <c r="AR49" s="11" t="n">
        <f aca="false">Units!$E48*(1+Inputs!$B$7)^(AR$2-1)</f>
        <v>1415.081465</v>
      </c>
      <c r="AS49" s="11" t="n">
        <f aca="false">Units!$E48*(1+Inputs!$B$7)^(AS$2-1)</f>
        <v>1415.081465</v>
      </c>
      <c r="AT49" s="11" t="n">
        <f aca="false">Units!$E48*(1+Inputs!$B$7)^(AT$2-1)</f>
        <v>1415.081465</v>
      </c>
      <c r="AU49" s="11" t="n">
        <f aca="false">Units!$E48*(1+Inputs!$B$7)^(AU$2-1)</f>
        <v>1415.081465</v>
      </c>
      <c r="AV49" s="11" t="n">
        <f aca="false">Units!$E48*(1+Inputs!$B$7)^(AV$2-1)</f>
        <v>1415.081465</v>
      </c>
      <c r="AW49" s="11" t="n">
        <f aca="false">Units!$E48*(1+Inputs!$B$7)^(AW$2-1)</f>
        <v>1415.081465</v>
      </c>
      <c r="AX49" s="11" t="n">
        <f aca="false">Units!$E48*(1+Inputs!$B$7)^(AX$2-1)</f>
        <v>1415.081465</v>
      </c>
      <c r="AY49" s="11" t="n">
        <f aca="false">Units!$E48*(1+Inputs!$B$7)^(AY$2-1)</f>
        <v>1457.53390895</v>
      </c>
      <c r="AZ49" s="11" t="n">
        <f aca="false">Units!$E48*(1+Inputs!$B$7)^(AZ$2-1)</f>
        <v>1457.53390895</v>
      </c>
      <c r="BA49" s="11" t="n">
        <f aca="false">Units!$E48*(1+Inputs!$B$7)^(BA$2-1)</f>
        <v>1457.53390895</v>
      </c>
      <c r="BB49" s="11" t="n">
        <f aca="false">Units!$E48*(1+Inputs!$B$7)^(BB$2-1)</f>
        <v>1457.53390895</v>
      </c>
      <c r="BC49" s="11" t="n">
        <f aca="false">Units!$E48*(1+Inputs!$B$7)^(BC$2-1)</f>
        <v>1457.53390895</v>
      </c>
      <c r="BD49" s="11" t="n">
        <f aca="false">Units!$E48*(1+Inputs!$B$7)^(BD$2-1)</f>
        <v>1457.53390895</v>
      </c>
      <c r="BE49" s="11" t="n">
        <f aca="false">Units!$E48*(1+Inputs!$B$7)^(BE$2-1)</f>
        <v>1457.53390895</v>
      </c>
      <c r="BF49" s="11" t="n">
        <f aca="false">Units!$E48*(1+Inputs!$B$7)^(BF$2-1)</f>
        <v>1457.53390895</v>
      </c>
      <c r="BG49" s="11" t="n">
        <f aca="false">Units!$E48*(1+Inputs!$B$7)^(BG$2-1)</f>
        <v>1457.53390895</v>
      </c>
      <c r="BH49" s="11" t="n">
        <f aca="false">Units!$E48*(1+Inputs!$B$7)^(BH$2-1)</f>
        <v>1457.53390895</v>
      </c>
      <c r="BI49" s="11" t="n">
        <f aca="false">Units!$E48*(1+Inputs!$B$7)^(BI$2-1)</f>
        <v>1457.53390895</v>
      </c>
      <c r="BJ49" s="11" t="n">
        <f aca="false">Units!$E48*(1+Inputs!$B$7)^(BJ$2-1)</f>
        <v>1457.53390895</v>
      </c>
      <c r="BK49" s="11" t="n">
        <f aca="false">Units!$E48*(1+Inputs!$B$7)^(BK$2-1)</f>
        <v>1501.2599262185</v>
      </c>
      <c r="BL49" s="11" t="n">
        <f aca="false">Units!$E48*(1+Inputs!$B$7)^(BL$2-1)</f>
        <v>1501.2599262185</v>
      </c>
      <c r="BM49" s="11" t="n">
        <f aca="false">Units!$E48*(1+Inputs!$B$7)^(BM$2-1)</f>
        <v>1501.2599262185</v>
      </c>
      <c r="BN49" s="11" t="n">
        <f aca="false">Units!$E48*(1+Inputs!$B$7)^(BN$2-1)</f>
        <v>1501.2599262185</v>
      </c>
      <c r="BO49" s="11" t="n">
        <f aca="false">Units!$E48*(1+Inputs!$B$7)^(BO$2-1)</f>
        <v>1501.2599262185</v>
      </c>
      <c r="BP49" s="11" t="n">
        <f aca="false">Units!$E48*(1+Inputs!$B$7)^(BP$2-1)</f>
        <v>1501.2599262185</v>
      </c>
      <c r="BQ49" s="11" t="n">
        <f aca="false">Units!$E48*(1+Inputs!$B$7)^(BQ$2-1)</f>
        <v>1501.2599262185</v>
      </c>
      <c r="BR49" s="11" t="n">
        <f aca="false">Units!$E48*(1+Inputs!$B$7)^(BR$2-1)</f>
        <v>1501.2599262185</v>
      </c>
      <c r="BS49" s="11" t="n">
        <f aca="false">Units!$E48*(1+Inputs!$B$7)^(BS$2-1)</f>
        <v>1501.2599262185</v>
      </c>
      <c r="BT49" s="11" t="n">
        <f aca="false">Units!$E48*(1+Inputs!$B$7)^(BT$2-1)</f>
        <v>1501.2599262185</v>
      </c>
      <c r="BU49" s="11" t="n">
        <f aca="false">Units!$E48*(1+Inputs!$B$7)^(BU$2-1)</f>
        <v>1501.2599262185</v>
      </c>
      <c r="BV49" s="11" t="n">
        <f aca="false">Units!$E48*(1+Inputs!$B$7)^(BV$2-1)</f>
        <v>1501.2599262185</v>
      </c>
      <c r="BW49" s="11" t="n">
        <f aca="false">Units!$E48*(1+Inputs!$B$7)^(BW$2-1)</f>
        <v>1546.29772400506</v>
      </c>
      <c r="BX49" s="11" t="n">
        <f aca="false">Units!$E48*(1+Inputs!$B$7)^(BX$2-1)</f>
        <v>1546.29772400506</v>
      </c>
      <c r="BY49" s="11" t="n">
        <f aca="false">Units!$E48*(1+Inputs!$B$7)^(BY$2-1)</f>
        <v>1546.29772400506</v>
      </c>
      <c r="BZ49" s="11" t="n">
        <f aca="false">Units!$E48*(1+Inputs!$B$7)^(BZ$2-1)</f>
        <v>1546.29772400506</v>
      </c>
      <c r="CA49" s="11" t="n">
        <f aca="false">Units!$E48*(1+Inputs!$B$7)^(CA$2-1)</f>
        <v>1546.29772400506</v>
      </c>
      <c r="CB49" s="11" t="n">
        <f aca="false">Units!$E48*(1+Inputs!$B$7)^(CB$2-1)</f>
        <v>1546.29772400506</v>
      </c>
      <c r="CC49" s="11" t="n">
        <f aca="false">Units!$E48*(1+Inputs!$B$7)^(CC$2-1)</f>
        <v>1546.29772400506</v>
      </c>
      <c r="CD49" s="11" t="n">
        <f aca="false">Units!$E48*(1+Inputs!$B$7)^(CD$2-1)</f>
        <v>1546.29772400506</v>
      </c>
      <c r="CE49" s="11" t="n">
        <f aca="false">Units!$E48*(1+Inputs!$B$7)^(CE$2-1)</f>
        <v>1546.29772400506</v>
      </c>
      <c r="CF49" s="11" t="n">
        <f aca="false">Units!$E48*(1+Inputs!$B$7)^(CF$2-1)</f>
        <v>1546.29772400506</v>
      </c>
      <c r="CG49" s="11" t="n">
        <f aca="false">Units!$E48*(1+Inputs!$B$7)^(CG$2-1)</f>
        <v>1546.29772400506</v>
      </c>
      <c r="CH49" s="11" t="n">
        <f aca="false">Units!$E48*(1+Inputs!$B$7)^(CH$2-1)</f>
        <v>1546.29772400506</v>
      </c>
      <c r="CI49" s="11" t="n">
        <f aca="false">Units!$E48*(1+Inputs!$B$7)^(CI$2-1)</f>
        <v>1592.68665572521</v>
      </c>
      <c r="CJ49" s="11" t="n">
        <f aca="false">Units!$E48*(1+Inputs!$B$7)^(CJ$2-1)</f>
        <v>1592.68665572521</v>
      </c>
      <c r="CK49" s="11" t="n">
        <f aca="false">Units!$E48*(1+Inputs!$B$7)^(CK$2-1)</f>
        <v>1592.68665572521</v>
      </c>
      <c r="CL49" s="11" t="n">
        <f aca="false">Units!$E48*(1+Inputs!$B$7)^(CL$2-1)</f>
        <v>1592.68665572521</v>
      </c>
      <c r="CM49" s="11" t="n">
        <f aca="false">Units!$E48*(1+Inputs!$B$7)^(CM$2-1)</f>
        <v>1592.68665572521</v>
      </c>
      <c r="CN49" s="11" t="n">
        <f aca="false">Units!$E48*(1+Inputs!$B$7)^(CN$2-1)</f>
        <v>1592.68665572521</v>
      </c>
      <c r="CO49" s="11" t="n">
        <f aca="false">Units!$E48*(1+Inputs!$B$7)^(CO$2-1)</f>
        <v>1592.68665572521</v>
      </c>
      <c r="CP49" s="11" t="n">
        <f aca="false">Units!$E48*(1+Inputs!$B$7)^(CP$2-1)</f>
        <v>1592.68665572521</v>
      </c>
      <c r="CQ49" s="11" t="n">
        <f aca="false">Units!$E48*(1+Inputs!$B$7)^(CQ$2-1)</f>
        <v>1592.68665572521</v>
      </c>
      <c r="CR49" s="11" t="n">
        <f aca="false">Units!$E48*(1+Inputs!$B$7)^(CR$2-1)</f>
        <v>1592.68665572521</v>
      </c>
      <c r="CS49" s="11" t="n">
        <f aca="false">Units!$E48*(1+Inputs!$B$7)^(CS$2-1)</f>
        <v>1592.68665572521</v>
      </c>
      <c r="CT49" s="11" t="n">
        <f aca="false">Units!$E48*(1+Inputs!$B$7)^(CT$2-1)</f>
        <v>1592.68665572521</v>
      </c>
      <c r="CU49" s="11" t="n">
        <f aca="false">Units!$E48*(1+Inputs!$B$7)^(CU$2-1)</f>
        <v>1640.46725539696</v>
      </c>
      <c r="CV49" s="11" t="n">
        <f aca="false">Units!$E48*(1+Inputs!$B$7)^(CV$2-1)</f>
        <v>1640.46725539696</v>
      </c>
      <c r="CW49" s="11" t="n">
        <f aca="false">Units!$E48*(1+Inputs!$B$7)^(CW$2-1)</f>
        <v>1640.46725539696</v>
      </c>
      <c r="CX49" s="11" t="n">
        <f aca="false">Units!$E48*(1+Inputs!$B$7)^(CX$2-1)</f>
        <v>1640.46725539696</v>
      </c>
      <c r="CY49" s="11" t="n">
        <f aca="false">Units!$E48*(1+Inputs!$B$7)^(CY$2-1)</f>
        <v>1640.46725539696</v>
      </c>
      <c r="CZ49" s="11" t="n">
        <f aca="false">Units!$E48*(1+Inputs!$B$7)^(CZ$2-1)</f>
        <v>1640.46725539696</v>
      </c>
      <c r="DA49" s="11" t="n">
        <f aca="false">Units!$E48*(1+Inputs!$B$7)^(DA$2-1)</f>
        <v>1640.46725539696</v>
      </c>
      <c r="DB49" s="11" t="n">
        <f aca="false">Units!$E48*(1+Inputs!$B$7)^(DB$2-1)</f>
        <v>1640.46725539696</v>
      </c>
      <c r="DC49" s="11" t="n">
        <f aca="false">Units!$E48*(1+Inputs!$B$7)^(DC$2-1)</f>
        <v>1640.46725539696</v>
      </c>
      <c r="DD49" s="11" t="n">
        <f aca="false">Units!$E48*(1+Inputs!$B$7)^(DD$2-1)</f>
        <v>1640.46725539696</v>
      </c>
      <c r="DE49" s="11" t="n">
        <f aca="false">Units!$E48*(1+Inputs!$B$7)^(DE$2-1)</f>
        <v>1640.46725539696</v>
      </c>
      <c r="DF49" s="11" t="n">
        <f aca="false">Units!$E48*(1+Inputs!$B$7)^(DF$2-1)</f>
        <v>1640.46725539696</v>
      </c>
      <c r="DG49" s="11" t="n">
        <f aca="false">Units!$E48*(1+Inputs!$B$7)^(DG$2-1)</f>
        <v>1689.68127305887</v>
      </c>
      <c r="DH49" s="11" t="n">
        <f aca="false">Units!$E48*(1+Inputs!$B$7)^(DH$2-1)</f>
        <v>1689.68127305887</v>
      </c>
      <c r="DI49" s="11" t="n">
        <f aca="false">Units!$E48*(1+Inputs!$B$7)^(DI$2-1)</f>
        <v>1689.68127305887</v>
      </c>
      <c r="DJ49" s="11" t="n">
        <f aca="false">Units!$E48*(1+Inputs!$B$7)^(DJ$2-1)</f>
        <v>1689.68127305887</v>
      </c>
      <c r="DK49" s="11" t="n">
        <f aca="false">Units!$E48*(1+Inputs!$B$7)^(DK$2-1)</f>
        <v>1689.68127305887</v>
      </c>
      <c r="DL49" s="11" t="n">
        <f aca="false">Units!$E48*(1+Inputs!$B$7)^(DL$2-1)</f>
        <v>1689.68127305887</v>
      </c>
      <c r="DM49" s="11" t="n">
        <f aca="false">Units!$E48*(1+Inputs!$B$7)^(DM$2-1)</f>
        <v>1689.68127305887</v>
      </c>
      <c r="DN49" s="11" t="n">
        <f aca="false">Units!$E48*(1+Inputs!$B$7)^(DN$2-1)</f>
        <v>1689.68127305887</v>
      </c>
      <c r="DO49" s="11" t="n">
        <f aca="false">Units!$E48*(1+Inputs!$B$7)^(DO$2-1)</f>
        <v>1689.68127305887</v>
      </c>
      <c r="DP49" s="11" t="n">
        <f aca="false">Units!$E48*(1+Inputs!$B$7)^(DP$2-1)</f>
        <v>1689.68127305887</v>
      </c>
      <c r="DQ49" s="11" t="n">
        <f aca="false">Units!$E48*(1+Inputs!$B$7)^(DQ$2-1)</f>
        <v>1689.68127305887</v>
      </c>
      <c r="DR49" s="11" t="n">
        <f aca="false">Units!$E48*(1+Inputs!$B$7)^(DR$2-1)</f>
        <v>1689.68127305887</v>
      </c>
      <c r="DS49" s="11" t="n">
        <f aca="false">Units!$E48*(1+Inputs!$B$7)^(DS$2-1)</f>
        <v>1740.37171125064</v>
      </c>
      <c r="DT49" s="11" t="n">
        <f aca="false">Units!$E48*(1+Inputs!$B$7)^(DT$2-1)</f>
        <v>1740.37171125064</v>
      </c>
      <c r="DU49" s="11" t="n">
        <f aca="false">Units!$E48*(1+Inputs!$B$7)^(DU$2-1)</f>
        <v>1740.37171125064</v>
      </c>
      <c r="DV49" s="11" t="n">
        <f aca="false">Units!$E48*(1+Inputs!$B$7)^(DV$2-1)</f>
        <v>1740.37171125064</v>
      </c>
      <c r="DW49" s="11" t="n">
        <f aca="false">Units!$E48*(1+Inputs!$B$7)^(DW$2-1)</f>
        <v>1740.37171125064</v>
      </c>
      <c r="DX49" s="11" t="n">
        <f aca="false">Units!$E48*(1+Inputs!$B$7)^(DX$2-1)</f>
        <v>1740.37171125064</v>
      </c>
      <c r="DY49" s="11" t="n">
        <f aca="false">Units!$E48*(1+Inputs!$B$7)^(DY$2-1)</f>
        <v>1740.37171125064</v>
      </c>
      <c r="DZ49" s="11" t="n">
        <f aca="false">Units!$E48*(1+Inputs!$B$7)^(DZ$2-1)</f>
        <v>1740.37171125064</v>
      </c>
      <c r="EA49" s="11" t="n">
        <f aca="false">Units!$E48*(1+Inputs!$B$7)^(EA$2-1)</f>
        <v>1740.37171125064</v>
      </c>
      <c r="EB49" s="11" t="n">
        <f aca="false">Units!$E48*(1+Inputs!$B$7)^(EB$2-1)</f>
        <v>1740.37171125064</v>
      </c>
      <c r="EC49" s="11" t="n">
        <f aca="false">Units!$E48*(1+Inputs!$B$7)^(EC$2-1)</f>
        <v>1740.37171125064</v>
      </c>
      <c r="ED49" s="11" t="n">
        <f aca="false">Units!$E48*(1+Inputs!$B$7)^(ED$2-1)</f>
        <v>1740.37171125064</v>
      </c>
    </row>
    <row r="50" customFormat="false" ht="15" hidden="false" customHeight="false" outlineLevel="0" collapsed="false">
      <c r="A50" s="22" t="n">
        <f aca="false">Units!A49</f>
        <v>218</v>
      </c>
      <c r="B50" s="23"/>
      <c r="C50" s="11" t="n">
        <f aca="false">Units!$E49*(1+Inputs!$B$7)^(C$2-1)</f>
        <v>1295</v>
      </c>
      <c r="D50" s="11" t="n">
        <f aca="false">Units!$E49*(1+Inputs!$B$7)^(D$2-1)</f>
        <v>1295</v>
      </c>
      <c r="E50" s="11" t="n">
        <f aca="false">Units!$E49*(1+Inputs!$B$7)^(E$2-1)</f>
        <v>1295</v>
      </c>
      <c r="F50" s="11" t="n">
        <f aca="false">Units!$E49*(1+Inputs!$B$7)^(F$2-1)</f>
        <v>1295</v>
      </c>
      <c r="G50" s="11" t="n">
        <f aca="false">Units!$E49*(1+Inputs!$B$7)^(G$2-1)</f>
        <v>1295</v>
      </c>
      <c r="H50" s="11" t="n">
        <f aca="false">Units!$E49*(1+Inputs!$B$7)^(H$2-1)</f>
        <v>1295</v>
      </c>
      <c r="I50" s="11" t="n">
        <f aca="false">Units!$E49*(1+Inputs!$B$7)^(I$2-1)</f>
        <v>1295</v>
      </c>
      <c r="J50" s="11" t="n">
        <f aca="false">Units!$E49*(1+Inputs!$B$7)^(J$2-1)</f>
        <v>1295</v>
      </c>
      <c r="K50" s="11" t="n">
        <f aca="false">Units!$E49*(1+Inputs!$B$7)^(K$2-1)</f>
        <v>1295</v>
      </c>
      <c r="L50" s="11" t="n">
        <f aca="false">Units!$E49*(1+Inputs!$B$7)^(L$2-1)</f>
        <v>1295</v>
      </c>
      <c r="M50" s="11" t="n">
        <f aca="false">Units!$E49*(1+Inputs!$B$7)^(M$2-1)</f>
        <v>1295</v>
      </c>
      <c r="N50" s="11" t="n">
        <f aca="false">Units!$E49*(1+Inputs!$B$7)^(N$2-1)</f>
        <v>1295</v>
      </c>
      <c r="O50" s="11" t="n">
        <f aca="false">Units!$E49*(1+Inputs!$B$7)^(O$2-1)</f>
        <v>1333.85</v>
      </c>
      <c r="P50" s="11" t="n">
        <f aca="false">Units!$E49*(1+Inputs!$B$7)^(P$2-1)</f>
        <v>1333.85</v>
      </c>
      <c r="Q50" s="11" t="n">
        <f aca="false">Units!$E49*(1+Inputs!$B$7)^(Q$2-1)</f>
        <v>1333.85</v>
      </c>
      <c r="R50" s="11" t="n">
        <f aca="false">Units!$E49*(1+Inputs!$B$7)^(R$2-1)</f>
        <v>1333.85</v>
      </c>
      <c r="S50" s="11" t="n">
        <f aca="false">Units!$E49*(1+Inputs!$B$7)^(S$2-1)</f>
        <v>1333.85</v>
      </c>
      <c r="T50" s="11" t="n">
        <f aca="false">Units!$E49*(1+Inputs!$B$7)^(T$2-1)</f>
        <v>1333.85</v>
      </c>
      <c r="U50" s="11" t="n">
        <f aca="false">Units!$E49*(1+Inputs!$B$7)^(U$2-1)</f>
        <v>1333.85</v>
      </c>
      <c r="V50" s="11" t="n">
        <f aca="false">Units!$E49*(1+Inputs!$B$7)^(V$2-1)</f>
        <v>1333.85</v>
      </c>
      <c r="W50" s="11" t="n">
        <f aca="false">Units!$E49*(1+Inputs!$B$7)^(W$2-1)</f>
        <v>1333.85</v>
      </c>
      <c r="X50" s="11" t="n">
        <f aca="false">Units!$E49*(1+Inputs!$B$7)^(X$2-1)</f>
        <v>1333.85</v>
      </c>
      <c r="Y50" s="11" t="n">
        <f aca="false">Units!$E49*(1+Inputs!$B$7)^(Y$2-1)</f>
        <v>1333.85</v>
      </c>
      <c r="Z50" s="11" t="n">
        <f aca="false">Units!$E49*(1+Inputs!$B$7)^(Z$2-1)</f>
        <v>1333.85</v>
      </c>
      <c r="AA50" s="11" t="n">
        <f aca="false">Units!$E49*(1+Inputs!$B$7)^(AA$2-1)</f>
        <v>1373.8655</v>
      </c>
      <c r="AB50" s="11" t="n">
        <f aca="false">Units!$E49*(1+Inputs!$B$7)^(AB$2-1)</f>
        <v>1373.8655</v>
      </c>
      <c r="AC50" s="11" t="n">
        <f aca="false">Units!$E49*(1+Inputs!$B$7)^(AC$2-1)</f>
        <v>1373.8655</v>
      </c>
      <c r="AD50" s="11" t="n">
        <f aca="false">Units!$E49*(1+Inputs!$B$7)^(AD$2-1)</f>
        <v>1373.8655</v>
      </c>
      <c r="AE50" s="11" t="n">
        <f aca="false">Units!$E49*(1+Inputs!$B$7)^(AE$2-1)</f>
        <v>1373.8655</v>
      </c>
      <c r="AF50" s="11" t="n">
        <f aca="false">Units!$E49*(1+Inputs!$B$7)^(AF$2-1)</f>
        <v>1373.8655</v>
      </c>
      <c r="AG50" s="11" t="n">
        <f aca="false">Units!$E49*(1+Inputs!$B$7)^(AG$2-1)</f>
        <v>1373.8655</v>
      </c>
      <c r="AH50" s="11" t="n">
        <f aca="false">Units!$E49*(1+Inputs!$B$7)^(AH$2-1)</f>
        <v>1373.8655</v>
      </c>
      <c r="AI50" s="11" t="n">
        <f aca="false">Units!$E49*(1+Inputs!$B$7)^(AI$2-1)</f>
        <v>1373.8655</v>
      </c>
      <c r="AJ50" s="11" t="n">
        <f aca="false">Units!$E49*(1+Inputs!$B$7)^(AJ$2-1)</f>
        <v>1373.8655</v>
      </c>
      <c r="AK50" s="11" t="n">
        <f aca="false">Units!$E49*(1+Inputs!$B$7)^(AK$2-1)</f>
        <v>1373.8655</v>
      </c>
      <c r="AL50" s="11" t="n">
        <f aca="false">Units!$E49*(1+Inputs!$B$7)^(AL$2-1)</f>
        <v>1373.8655</v>
      </c>
      <c r="AM50" s="11" t="n">
        <f aca="false">Units!$E49*(1+Inputs!$B$7)^(AM$2-1)</f>
        <v>1415.081465</v>
      </c>
      <c r="AN50" s="11" t="n">
        <f aca="false">Units!$E49*(1+Inputs!$B$7)^(AN$2-1)</f>
        <v>1415.081465</v>
      </c>
      <c r="AO50" s="11" t="n">
        <f aca="false">Units!$E49*(1+Inputs!$B$7)^(AO$2-1)</f>
        <v>1415.081465</v>
      </c>
      <c r="AP50" s="11" t="n">
        <f aca="false">Units!$E49*(1+Inputs!$B$7)^(AP$2-1)</f>
        <v>1415.081465</v>
      </c>
      <c r="AQ50" s="11" t="n">
        <f aca="false">Units!$E49*(1+Inputs!$B$7)^(AQ$2-1)</f>
        <v>1415.081465</v>
      </c>
      <c r="AR50" s="11" t="n">
        <f aca="false">Units!$E49*(1+Inputs!$B$7)^(AR$2-1)</f>
        <v>1415.081465</v>
      </c>
      <c r="AS50" s="11" t="n">
        <f aca="false">Units!$E49*(1+Inputs!$B$7)^(AS$2-1)</f>
        <v>1415.081465</v>
      </c>
      <c r="AT50" s="11" t="n">
        <f aca="false">Units!$E49*(1+Inputs!$B$7)^(AT$2-1)</f>
        <v>1415.081465</v>
      </c>
      <c r="AU50" s="11" t="n">
        <f aca="false">Units!$E49*(1+Inputs!$B$7)^(AU$2-1)</f>
        <v>1415.081465</v>
      </c>
      <c r="AV50" s="11" t="n">
        <f aca="false">Units!$E49*(1+Inputs!$B$7)^(AV$2-1)</f>
        <v>1415.081465</v>
      </c>
      <c r="AW50" s="11" t="n">
        <f aca="false">Units!$E49*(1+Inputs!$B$7)^(AW$2-1)</f>
        <v>1415.081465</v>
      </c>
      <c r="AX50" s="11" t="n">
        <f aca="false">Units!$E49*(1+Inputs!$B$7)^(AX$2-1)</f>
        <v>1415.081465</v>
      </c>
      <c r="AY50" s="11" t="n">
        <f aca="false">Units!$E49*(1+Inputs!$B$7)^(AY$2-1)</f>
        <v>1457.53390895</v>
      </c>
      <c r="AZ50" s="11" t="n">
        <f aca="false">Units!$E49*(1+Inputs!$B$7)^(AZ$2-1)</f>
        <v>1457.53390895</v>
      </c>
      <c r="BA50" s="11" t="n">
        <f aca="false">Units!$E49*(1+Inputs!$B$7)^(BA$2-1)</f>
        <v>1457.53390895</v>
      </c>
      <c r="BB50" s="11" t="n">
        <f aca="false">Units!$E49*(1+Inputs!$B$7)^(BB$2-1)</f>
        <v>1457.53390895</v>
      </c>
      <c r="BC50" s="11" t="n">
        <f aca="false">Units!$E49*(1+Inputs!$B$7)^(BC$2-1)</f>
        <v>1457.53390895</v>
      </c>
      <c r="BD50" s="11" t="n">
        <f aca="false">Units!$E49*(1+Inputs!$B$7)^(BD$2-1)</f>
        <v>1457.53390895</v>
      </c>
      <c r="BE50" s="11" t="n">
        <f aca="false">Units!$E49*(1+Inputs!$B$7)^(BE$2-1)</f>
        <v>1457.53390895</v>
      </c>
      <c r="BF50" s="11" t="n">
        <f aca="false">Units!$E49*(1+Inputs!$B$7)^(BF$2-1)</f>
        <v>1457.53390895</v>
      </c>
      <c r="BG50" s="11" t="n">
        <f aca="false">Units!$E49*(1+Inputs!$B$7)^(BG$2-1)</f>
        <v>1457.53390895</v>
      </c>
      <c r="BH50" s="11" t="n">
        <f aca="false">Units!$E49*(1+Inputs!$B$7)^(BH$2-1)</f>
        <v>1457.53390895</v>
      </c>
      <c r="BI50" s="11" t="n">
        <f aca="false">Units!$E49*(1+Inputs!$B$7)^(BI$2-1)</f>
        <v>1457.53390895</v>
      </c>
      <c r="BJ50" s="11" t="n">
        <f aca="false">Units!$E49*(1+Inputs!$B$7)^(BJ$2-1)</f>
        <v>1457.53390895</v>
      </c>
      <c r="BK50" s="11" t="n">
        <f aca="false">Units!$E49*(1+Inputs!$B$7)^(BK$2-1)</f>
        <v>1501.2599262185</v>
      </c>
      <c r="BL50" s="11" t="n">
        <f aca="false">Units!$E49*(1+Inputs!$B$7)^(BL$2-1)</f>
        <v>1501.2599262185</v>
      </c>
      <c r="BM50" s="11" t="n">
        <f aca="false">Units!$E49*(1+Inputs!$B$7)^(BM$2-1)</f>
        <v>1501.2599262185</v>
      </c>
      <c r="BN50" s="11" t="n">
        <f aca="false">Units!$E49*(1+Inputs!$B$7)^(BN$2-1)</f>
        <v>1501.2599262185</v>
      </c>
      <c r="BO50" s="11" t="n">
        <f aca="false">Units!$E49*(1+Inputs!$B$7)^(BO$2-1)</f>
        <v>1501.2599262185</v>
      </c>
      <c r="BP50" s="11" t="n">
        <f aca="false">Units!$E49*(1+Inputs!$B$7)^(BP$2-1)</f>
        <v>1501.2599262185</v>
      </c>
      <c r="BQ50" s="11" t="n">
        <f aca="false">Units!$E49*(1+Inputs!$B$7)^(BQ$2-1)</f>
        <v>1501.2599262185</v>
      </c>
      <c r="BR50" s="11" t="n">
        <f aca="false">Units!$E49*(1+Inputs!$B$7)^(BR$2-1)</f>
        <v>1501.2599262185</v>
      </c>
      <c r="BS50" s="11" t="n">
        <f aca="false">Units!$E49*(1+Inputs!$B$7)^(BS$2-1)</f>
        <v>1501.2599262185</v>
      </c>
      <c r="BT50" s="11" t="n">
        <f aca="false">Units!$E49*(1+Inputs!$B$7)^(BT$2-1)</f>
        <v>1501.2599262185</v>
      </c>
      <c r="BU50" s="11" t="n">
        <f aca="false">Units!$E49*(1+Inputs!$B$7)^(BU$2-1)</f>
        <v>1501.2599262185</v>
      </c>
      <c r="BV50" s="11" t="n">
        <f aca="false">Units!$E49*(1+Inputs!$B$7)^(BV$2-1)</f>
        <v>1501.2599262185</v>
      </c>
      <c r="BW50" s="11" t="n">
        <f aca="false">Units!$E49*(1+Inputs!$B$7)^(BW$2-1)</f>
        <v>1546.29772400506</v>
      </c>
      <c r="BX50" s="11" t="n">
        <f aca="false">Units!$E49*(1+Inputs!$B$7)^(BX$2-1)</f>
        <v>1546.29772400506</v>
      </c>
      <c r="BY50" s="11" t="n">
        <f aca="false">Units!$E49*(1+Inputs!$B$7)^(BY$2-1)</f>
        <v>1546.29772400506</v>
      </c>
      <c r="BZ50" s="11" t="n">
        <f aca="false">Units!$E49*(1+Inputs!$B$7)^(BZ$2-1)</f>
        <v>1546.29772400506</v>
      </c>
      <c r="CA50" s="11" t="n">
        <f aca="false">Units!$E49*(1+Inputs!$B$7)^(CA$2-1)</f>
        <v>1546.29772400506</v>
      </c>
      <c r="CB50" s="11" t="n">
        <f aca="false">Units!$E49*(1+Inputs!$B$7)^(CB$2-1)</f>
        <v>1546.29772400506</v>
      </c>
      <c r="CC50" s="11" t="n">
        <f aca="false">Units!$E49*(1+Inputs!$B$7)^(CC$2-1)</f>
        <v>1546.29772400506</v>
      </c>
      <c r="CD50" s="11" t="n">
        <f aca="false">Units!$E49*(1+Inputs!$B$7)^(CD$2-1)</f>
        <v>1546.29772400506</v>
      </c>
      <c r="CE50" s="11" t="n">
        <f aca="false">Units!$E49*(1+Inputs!$B$7)^(CE$2-1)</f>
        <v>1546.29772400506</v>
      </c>
      <c r="CF50" s="11" t="n">
        <f aca="false">Units!$E49*(1+Inputs!$B$7)^(CF$2-1)</f>
        <v>1546.29772400506</v>
      </c>
      <c r="CG50" s="11" t="n">
        <f aca="false">Units!$E49*(1+Inputs!$B$7)^(CG$2-1)</f>
        <v>1546.29772400506</v>
      </c>
      <c r="CH50" s="11" t="n">
        <f aca="false">Units!$E49*(1+Inputs!$B$7)^(CH$2-1)</f>
        <v>1546.29772400506</v>
      </c>
      <c r="CI50" s="11" t="n">
        <f aca="false">Units!$E49*(1+Inputs!$B$7)^(CI$2-1)</f>
        <v>1592.68665572521</v>
      </c>
      <c r="CJ50" s="11" t="n">
        <f aca="false">Units!$E49*(1+Inputs!$B$7)^(CJ$2-1)</f>
        <v>1592.68665572521</v>
      </c>
      <c r="CK50" s="11" t="n">
        <f aca="false">Units!$E49*(1+Inputs!$B$7)^(CK$2-1)</f>
        <v>1592.68665572521</v>
      </c>
      <c r="CL50" s="11" t="n">
        <f aca="false">Units!$E49*(1+Inputs!$B$7)^(CL$2-1)</f>
        <v>1592.68665572521</v>
      </c>
      <c r="CM50" s="11" t="n">
        <f aca="false">Units!$E49*(1+Inputs!$B$7)^(CM$2-1)</f>
        <v>1592.68665572521</v>
      </c>
      <c r="CN50" s="11" t="n">
        <f aca="false">Units!$E49*(1+Inputs!$B$7)^(CN$2-1)</f>
        <v>1592.68665572521</v>
      </c>
      <c r="CO50" s="11" t="n">
        <f aca="false">Units!$E49*(1+Inputs!$B$7)^(CO$2-1)</f>
        <v>1592.68665572521</v>
      </c>
      <c r="CP50" s="11" t="n">
        <f aca="false">Units!$E49*(1+Inputs!$B$7)^(CP$2-1)</f>
        <v>1592.68665572521</v>
      </c>
      <c r="CQ50" s="11" t="n">
        <f aca="false">Units!$E49*(1+Inputs!$B$7)^(CQ$2-1)</f>
        <v>1592.68665572521</v>
      </c>
      <c r="CR50" s="11" t="n">
        <f aca="false">Units!$E49*(1+Inputs!$B$7)^(CR$2-1)</f>
        <v>1592.68665572521</v>
      </c>
      <c r="CS50" s="11" t="n">
        <f aca="false">Units!$E49*(1+Inputs!$B$7)^(CS$2-1)</f>
        <v>1592.68665572521</v>
      </c>
      <c r="CT50" s="11" t="n">
        <f aca="false">Units!$E49*(1+Inputs!$B$7)^(CT$2-1)</f>
        <v>1592.68665572521</v>
      </c>
      <c r="CU50" s="11" t="n">
        <f aca="false">Units!$E49*(1+Inputs!$B$7)^(CU$2-1)</f>
        <v>1640.46725539696</v>
      </c>
      <c r="CV50" s="11" t="n">
        <f aca="false">Units!$E49*(1+Inputs!$B$7)^(CV$2-1)</f>
        <v>1640.46725539696</v>
      </c>
      <c r="CW50" s="11" t="n">
        <f aca="false">Units!$E49*(1+Inputs!$B$7)^(CW$2-1)</f>
        <v>1640.46725539696</v>
      </c>
      <c r="CX50" s="11" t="n">
        <f aca="false">Units!$E49*(1+Inputs!$B$7)^(CX$2-1)</f>
        <v>1640.46725539696</v>
      </c>
      <c r="CY50" s="11" t="n">
        <f aca="false">Units!$E49*(1+Inputs!$B$7)^(CY$2-1)</f>
        <v>1640.46725539696</v>
      </c>
      <c r="CZ50" s="11" t="n">
        <f aca="false">Units!$E49*(1+Inputs!$B$7)^(CZ$2-1)</f>
        <v>1640.46725539696</v>
      </c>
      <c r="DA50" s="11" t="n">
        <f aca="false">Units!$E49*(1+Inputs!$B$7)^(DA$2-1)</f>
        <v>1640.46725539696</v>
      </c>
      <c r="DB50" s="11" t="n">
        <f aca="false">Units!$E49*(1+Inputs!$B$7)^(DB$2-1)</f>
        <v>1640.46725539696</v>
      </c>
      <c r="DC50" s="11" t="n">
        <f aca="false">Units!$E49*(1+Inputs!$B$7)^(DC$2-1)</f>
        <v>1640.46725539696</v>
      </c>
      <c r="DD50" s="11" t="n">
        <f aca="false">Units!$E49*(1+Inputs!$B$7)^(DD$2-1)</f>
        <v>1640.46725539696</v>
      </c>
      <c r="DE50" s="11" t="n">
        <f aca="false">Units!$E49*(1+Inputs!$B$7)^(DE$2-1)</f>
        <v>1640.46725539696</v>
      </c>
      <c r="DF50" s="11" t="n">
        <f aca="false">Units!$E49*(1+Inputs!$B$7)^(DF$2-1)</f>
        <v>1640.46725539696</v>
      </c>
      <c r="DG50" s="11" t="n">
        <f aca="false">Units!$E49*(1+Inputs!$B$7)^(DG$2-1)</f>
        <v>1689.68127305887</v>
      </c>
      <c r="DH50" s="11" t="n">
        <f aca="false">Units!$E49*(1+Inputs!$B$7)^(DH$2-1)</f>
        <v>1689.68127305887</v>
      </c>
      <c r="DI50" s="11" t="n">
        <f aca="false">Units!$E49*(1+Inputs!$B$7)^(DI$2-1)</f>
        <v>1689.68127305887</v>
      </c>
      <c r="DJ50" s="11" t="n">
        <f aca="false">Units!$E49*(1+Inputs!$B$7)^(DJ$2-1)</f>
        <v>1689.68127305887</v>
      </c>
      <c r="DK50" s="11" t="n">
        <f aca="false">Units!$E49*(1+Inputs!$B$7)^(DK$2-1)</f>
        <v>1689.68127305887</v>
      </c>
      <c r="DL50" s="11" t="n">
        <f aca="false">Units!$E49*(1+Inputs!$B$7)^(DL$2-1)</f>
        <v>1689.68127305887</v>
      </c>
      <c r="DM50" s="11" t="n">
        <f aca="false">Units!$E49*(1+Inputs!$B$7)^(DM$2-1)</f>
        <v>1689.68127305887</v>
      </c>
      <c r="DN50" s="11" t="n">
        <f aca="false">Units!$E49*(1+Inputs!$B$7)^(DN$2-1)</f>
        <v>1689.68127305887</v>
      </c>
      <c r="DO50" s="11" t="n">
        <f aca="false">Units!$E49*(1+Inputs!$B$7)^(DO$2-1)</f>
        <v>1689.68127305887</v>
      </c>
      <c r="DP50" s="11" t="n">
        <f aca="false">Units!$E49*(1+Inputs!$B$7)^(DP$2-1)</f>
        <v>1689.68127305887</v>
      </c>
      <c r="DQ50" s="11" t="n">
        <f aca="false">Units!$E49*(1+Inputs!$B$7)^(DQ$2-1)</f>
        <v>1689.68127305887</v>
      </c>
      <c r="DR50" s="11" t="n">
        <f aca="false">Units!$E49*(1+Inputs!$B$7)^(DR$2-1)</f>
        <v>1689.68127305887</v>
      </c>
      <c r="DS50" s="11" t="n">
        <f aca="false">Units!$E49*(1+Inputs!$B$7)^(DS$2-1)</f>
        <v>1740.37171125064</v>
      </c>
      <c r="DT50" s="11" t="n">
        <f aca="false">Units!$E49*(1+Inputs!$B$7)^(DT$2-1)</f>
        <v>1740.37171125064</v>
      </c>
      <c r="DU50" s="11" t="n">
        <f aca="false">Units!$E49*(1+Inputs!$B$7)^(DU$2-1)</f>
        <v>1740.37171125064</v>
      </c>
      <c r="DV50" s="11" t="n">
        <f aca="false">Units!$E49*(1+Inputs!$B$7)^(DV$2-1)</f>
        <v>1740.37171125064</v>
      </c>
      <c r="DW50" s="11" t="n">
        <f aca="false">Units!$E49*(1+Inputs!$B$7)^(DW$2-1)</f>
        <v>1740.37171125064</v>
      </c>
      <c r="DX50" s="11" t="n">
        <f aca="false">Units!$E49*(1+Inputs!$B$7)^(DX$2-1)</f>
        <v>1740.37171125064</v>
      </c>
      <c r="DY50" s="11" t="n">
        <f aca="false">Units!$E49*(1+Inputs!$B$7)^(DY$2-1)</f>
        <v>1740.37171125064</v>
      </c>
      <c r="DZ50" s="11" t="n">
        <f aca="false">Units!$E49*(1+Inputs!$B$7)^(DZ$2-1)</f>
        <v>1740.37171125064</v>
      </c>
      <c r="EA50" s="11" t="n">
        <f aca="false">Units!$E49*(1+Inputs!$B$7)^(EA$2-1)</f>
        <v>1740.37171125064</v>
      </c>
      <c r="EB50" s="11" t="n">
        <f aca="false">Units!$E49*(1+Inputs!$B$7)^(EB$2-1)</f>
        <v>1740.37171125064</v>
      </c>
      <c r="EC50" s="11" t="n">
        <f aca="false">Units!$E49*(1+Inputs!$B$7)^(EC$2-1)</f>
        <v>1740.37171125064</v>
      </c>
      <c r="ED50" s="11" t="n">
        <f aca="false">Units!$E49*(1+Inputs!$B$7)^(ED$2-1)</f>
        <v>1740.37171125064</v>
      </c>
    </row>
    <row r="51" customFormat="false" ht="15" hidden="false" customHeight="false" outlineLevel="0" collapsed="false">
      <c r="A51" s="22" t="n">
        <f aca="false">Units!A50</f>
        <v>219</v>
      </c>
      <c r="B51" s="23"/>
      <c r="C51" s="11" t="n">
        <f aca="false">Units!$E50*(1+Inputs!$B$7)^(C$2-1)</f>
        <v>1295</v>
      </c>
      <c r="D51" s="11" t="n">
        <f aca="false">Units!$E50*(1+Inputs!$B$7)^(D$2-1)</f>
        <v>1295</v>
      </c>
      <c r="E51" s="11" t="n">
        <f aca="false">Units!$E50*(1+Inputs!$B$7)^(E$2-1)</f>
        <v>1295</v>
      </c>
      <c r="F51" s="11" t="n">
        <f aca="false">Units!$E50*(1+Inputs!$B$7)^(F$2-1)</f>
        <v>1295</v>
      </c>
      <c r="G51" s="11" t="n">
        <f aca="false">Units!$E50*(1+Inputs!$B$7)^(G$2-1)</f>
        <v>1295</v>
      </c>
      <c r="H51" s="11" t="n">
        <f aca="false">Units!$E50*(1+Inputs!$B$7)^(H$2-1)</f>
        <v>1295</v>
      </c>
      <c r="I51" s="11" t="n">
        <f aca="false">Units!$E50*(1+Inputs!$B$7)^(I$2-1)</f>
        <v>1295</v>
      </c>
      <c r="J51" s="11" t="n">
        <f aca="false">Units!$E50*(1+Inputs!$B$7)^(J$2-1)</f>
        <v>1295</v>
      </c>
      <c r="K51" s="11" t="n">
        <f aca="false">Units!$E50*(1+Inputs!$B$7)^(K$2-1)</f>
        <v>1295</v>
      </c>
      <c r="L51" s="11" t="n">
        <f aca="false">Units!$E50*(1+Inputs!$B$7)^(L$2-1)</f>
        <v>1295</v>
      </c>
      <c r="M51" s="11" t="n">
        <f aca="false">Units!$E50*(1+Inputs!$B$7)^(M$2-1)</f>
        <v>1295</v>
      </c>
      <c r="N51" s="11" t="n">
        <f aca="false">Units!$E50*(1+Inputs!$B$7)^(N$2-1)</f>
        <v>1295</v>
      </c>
      <c r="O51" s="11" t="n">
        <f aca="false">Units!$E50*(1+Inputs!$B$7)^(O$2-1)</f>
        <v>1333.85</v>
      </c>
      <c r="P51" s="11" t="n">
        <f aca="false">Units!$E50*(1+Inputs!$B$7)^(P$2-1)</f>
        <v>1333.85</v>
      </c>
      <c r="Q51" s="11" t="n">
        <f aca="false">Units!$E50*(1+Inputs!$B$7)^(Q$2-1)</f>
        <v>1333.85</v>
      </c>
      <c r="R51" s="11" t="n">
        <f aca="false">Units!$E50*(1+Inputs!$B$7)^(R$2-1)</f>
        <v>1333.85</v>
      </c>
      <c r="S51" s="11" t="n">
        <f aca="false">Units!$E50*(1+Inputs!$B$7)^(S$2-1)</f>
        <v>1333.85</v>
      </c>
      <c r="T51" s="11" t="n">
        <f aca="false">Units!$E50*(1+Inputs!$B$7)^(T$2-1)</f>
        <v>1333.85</v>
      </c>
      <c r="U51" s="11" t="n">
        <f aca="false">Units!$E50*(1+Inputs!$B$7)^(U$2-1)</f>
        <v>1333.85</v>
      </c>
      <c r="V51" s="11" t="n">
        <f aca="false">Units!$E50*(1+Inputs!$B$7)^(V$2-1)</f>
        <v>1333.85</v>
      </c>
      <c r="W51" s="11" t="n">
        <f aca="false">Units!$E50*(1+Inputs!$B$7)^(W$2-1)</f>
        <v>1333.85</v>
      </c>
      <c r="X51" s="11" t="n">
        <f aca="false">Units!$E50*(1+Inputs!$B$7)^(X$2-1)</f>
        <v>1333.85</v>
      </c>
      <c r="Y51" s="11" t="n">
        <f aca="false">Units!$E50*(1+Inputs!$B$7)^(Y$2-1)</f>
        <v>1333.85</v>
      </c>
      <c r="Z51" s="11" t="n">
        <f aca="false">Units!$E50*(1+Inputs!$B$7)^(Z$2-1)</f>
        <v>1333.85</v>
      </c>
      <c r="AA51" s="11" t="n">
        <f aca="false">Units!$E50*(1+Inputs!$B$7)^(AA$2-1)</f>
        <v>1373.8655</v>
      </c>
      <c r="AB51" s="11" t="n">
        <f aca="false">Units!$E50*(1+Inputs!$B$7)^(AB$2-1)</f>
        <v>1373.8655</v>
      </c>
      <c r="AC51" s="11" t="n">
        <f aca="false">Units!$E50*(1+Inputs!$B$7)^(AC$2-1)</f>
        <v>1373.8655</v>
      </c>
      <c r="AD51" s="11" t="n">
        <f aca="false">Units!$E50*(1+Inputs!$B$7)^(AD$2-1)</f>
        <v>1373.8655</v>
      </c>
      <c r="AE51" s="11" t="n">
        <f aca="false">Units!$E50*(1+Inputs!$B$7)^(AE$2-1)</f>
        <v>1373.8655</v>
      </c>
      <c r="AF51" s="11" t="n">
        <f aca="false">Units!$E50*(1+Inputs!$B$7)^(AF$2-1)</f>
        <v>1373.8655</v>
      </c>
      <c r="AG51" s="11" t="n">
        <f aca="false">Units!$E50*(1+Inputs!$B$7)^(AG$2-1)</f>
        <v>1373.8655</v>
      </c>
      <c r="AH51" s="11" t="n">
        <f aca="false">Units!$E50*(1+Inputs!$B$7)^(AH$2-1)</f>
        <v>1373.8655</v>
      </c>
      <c r="AI51" s="11" t="n">
        <f aca="false">Units!$E50*(1+Inputs!$B$7)^(AI$2-1)</f>
        <v>1373.8655</v>
      </c>
      <c r="AJ51" s="11" t="n">
        <f aca="false">Units!$E50*(1+Inputs!$B$7)^(AJ$2-1)</f>
        <v>1373.8655</v>
      </c>
      <c r="AK51" s="11" t="n">
        <f aca="false">Units!$E50*(1+Inputs!$B$7)^(AK$2-1)</f>
        <v>1373.8655</v>
      </c>
      <c r="AL51" s="11" t="n">
        <f aca="false">Units!$E50*(1+Inputs!$B$7)^(AL$2-1)</f>
        <v>1373.8655</v>
      </c>
      <c r="AM51" s="11" t="n">
        <f aca="false">Units!$E50*(1+Inputs!$B$7)^(AM$2-1)</f>
        <v>1415.081465</v>
      </c>
      <c r="AN51" s="11" t="n">
        <f aca="false">Units!$E50*(1+Inputs!$B$7)^(AN$2-1)</f>
        <v>1415.081465</v>
      </c>
      <c r="AO51" s="11" t="n">
        <f aca="false">Units!$E50*(1+Inputs!$B$7)^(AO$2-1)</f>
        <v>1415.081465</v>
      </c>
      <c r="AP51" s="11" t="n">
        <f aca="false">Units!$E50*(1+Inputs!$B$7)^(AP$2-1)</f>
        <v>1415.081465</v>
      </c>
      <c r="AQ51" s="11" t="n">
        <f aca="false">Units!$E50*(1+Inputs!$B$7)^(AQ$2-1)</f>
        <v>1415.081465</v>
      </c>
      <c r="AR51" s="11" t="n">
        <f aca="false">Units!$E50*(1+Inputs!$B$7)^(AR$2-1)</f>
        <v>1415.081465</v>
      </c>
      <c r="AS51" s="11" t="n">
        <f aca="false">Units!$E50*(1+Inputs!$B$7)^(AS$2-1)</f>
        <v>1415.081465</v>
      </c>
      <c r="AT51" s="11" t="n">
        <f aca="false">Units!$E50*(1+Inputs!$B$7)^(AT$2-1)</f>
        <v>1415.081465</v>
      </c>
      <c r="AU51" s="11" t="n">
        <f aca="false">Units!$E50*(1+Inputs!$B$7)^(AU$2-1)</f>
        <v>1415.081465</v>
      </c>
      <c r="AV51" s="11" t="n">
        <f aca="false">Units!$E50*(1+Inputs!$B$7)^(AV$2-1)</f>
        <v>1415.081465</v>
      </c>
      <c r="AW51" s="11" t="n">
        <f aca="false">Units!$E50*(1+Inputs!$B$7)^(AW$2-1)</f>
        <v>1415.081465</v>
      </c>
      <c r="AX51" s="11" t="n">
        <f aca="false">Units!$E50*(1+Inputs!$B$7)^(AX$2-1)</f>
        <v>1415.081465</v>
      </c>
      <c r="AY51" s="11" t="n">
        <f aca="false">Units!$E50*(1+Inputs!$B$7)^(AY$2-1)</f>
        <v>1457.53390895</v>
      </c>
      <c r="AZ51" s="11" t="n">
        <f aca="false">Units!$E50*(1+Inputs!$B$7)^(AZ$2-1)</f>
        <v>1457.53390895</v>
      </c>
      <c r="BA51" s="11" t="n">
        <f aca="false">Units!$E50*(1+Inputs!$B$7)^(BA$2-1)</f>
        <v>1457.53390895</v>
      </c>
      <c r="BB51" s="11" t="n">
        <f aca="false">Units!$E50*(1+Inputs!$B$7)^(BB$2-1)</f>
        <v>1457.53390895</v>
      </c>
      <c r="BC51" s="11" t="n">
        <f aca="false">Units!$E50*(1+Inputs!$B$7)^(BC$2-1)</f>
        <v>1457.53390895</v>
      </c>
      <c r="BD51" s="11" t="n">
        <f aca="false">Units!$E50*(1+Inputs!$B$7)^(BD$2-1)</f>
        <v>1457.53390895</v>
      </c>
      <c r="BE51" s="11" t="n">
        <f aca="false">Units!$E50*(1+Inputs!$B$7)^(BE$2-1)</f>
        <v>1457.53390895</v>
      </c>
      <c r="BF51" s="11" t="n">
        <f aca="false">Units!$E50*(1+Inputs!$B$7)^(BF$2-1)</f>
        <v>1457.53390895</v>
      </c>
      <c r="BG51" s="11" t="n">
        <f aca="false">Units!$E50*(1+Inputs!$B$7)^(BG$2-1)</f>
        <v>1457.53390895</v>
      </c>
      <c r="BH51" s="11" t="n">
        <f aca="false">Units!$E50*(1+Inputs!$B$7)^(BH$2-1)</f>
        <v>1457.53390895</v>
      </c>
      <c r="BI51" s="11" t="n">
        <f aca="false">Units!$E50*(1+Inputs!$B$7)^(BI$2-1)</f>
        <v>1457.53390895</v>
      </c>
      <c r="BJ51" s="11" t="n">
        <f aca="false">Units!$E50*(1+Inputs!$B$7)^(BJ$2-1)</f>
        <v>1457.53390895</v>
      </c>
      <c r="BK51" s="11" t="n">
        <f aca="false">Units!$E50*(1+Inputs!$B$7)^(BK$2-1)</f>
        <v>1501.2599262185</v>
      </c>
      <c r="BL51" s="11" t="n">
        <f aca="false">Units!$E50*(1+Inputs!$B$7)^(BL$2-1)</f>
        <v>1501.2599262185</v>
      </c>
      <c r="BM51" s="11" t="n">
        <f aca="false">Units!$E50*(1+Inputs!$B$7)^(BM$2-1)</f>
        <v>1501.2599262185</v>
      </c>
      <c r="BN51" s="11" t="n">
        <f aca="false">Units!$E50*(1+Inputs!$B$7)^(BN$2-1)</f>
        <v>1501.2599262185</v>
      </c>
      <c r="BO51" s="11" t="n">
        <f aca="false">Units!$E50*(1+Inputs!$B$7)^(BO$2-1)</f>
        <v>1501.2599262185</v>
      </c>
      <c r="BP51" s="11" t="n">
        <f aca="false">Units!$E50*(1+Inputs!$B$7)^(BP$2-1)</f>
        <v>1501.2599262185</v>
      </c>
      <c r="BQ51" s="11" t="n">
        <f aca="false">Units!$E50*(1+Inputs!$B$7)^(BQ$2-1)</f>
        <v>1501.2599262185</v>
      </c>
      <c r="BR51" s="11" t="n">
        <f aca="false">Units!$E50*(1+Inputs!$B$7)^(BR$2-1)</f>
        <v>1501.2599262185</v>
      </c>
      <c r="BS51" s="11" t="n">
        <f aca="false">Units!$E50*(1+Inputs!$B$7)^(BS$2-1)</f>
        <v>1501.2599262185</v>
      </c>
      <c r="BT51" s="11" t="n">
        <f aca="false">Units!$E50*(1+Inputs!$B$7)^(BT$2-1)</f>
        <v>1501.2599262185</v>
      </c>
      <c r="BU51" s="11" t="n">
        <f aca="false">Units!$E50*(1+Inputs!$B$7)^(BU$2-1)</f>
        <v>1501.2599262185</v>
      </c>
      <c r="BV51" s="11" t="n">
        <f aca="false">Units!$E50*(1+Inputs!$B$7)^(BV$2-1)</f>
        <v>1501.2599262185</v>
      </c>
      <c r="BW51" s="11" t="n">
        <f aca="false">Units!$E50*(1+Inputs!$B$7)^(BW$2-1)</f>
        <v>1546.29772400506</v>
      </c>
      <c r="BX51" s="11" t="n">
        <f aca="false">Units!$E50*(1+Inputs!$B$7)^(BX$2-1)</f>
        <v>1546.29772400506</v>
      </c>
      <c r="BY51" s="11" t="n">
        <f aca="false">Units!$E50*(1+Inputs!$B$7)^(BY$2-1)</f>
        <v>1546.29772400506</v>
      </c>
      <c r="BZ51" s="11" t="n">
        <f aca="false">Units!$E50*(1+Inputs!$B$7)^(BZ$2-1)</f>
        <v>1546.29772400506</v>
      </c>
      <c r="CA51" s="11" t="n">
        <f aca="false">Units!$E50*(1+Inputs!$B$7)^(CA$2-1)</f>
        <v>1546.29772400506</v>
      </c>
      <c r="CB51" s="11" t="n">
        <f aca="false">Units!$E50*(1+Inputs!$B$7)^(CB$2-1)</f>
        <v>1546.29772400506</v>
      </c>
      <c r="CC51" s="11" t="n">
        <f aca="false">Units!$E50*(1+Inputs!$B$7)^(CC$2-1)</f>
        <v>1546.29772400506</v>
      </c>
      <c r="CD51" s="11" t="n">
        <f aca="false">Units!$E50*(1+Inputs!$B$7)^(CD$2-1)</f>
        <v>1546.29772400506</v>
      </c>
      <c r="CE51" s="11" t="n">
        <f aca="false">Units!$E50*(1+Inputs!$B$7)^(CE$2-1)</f>
        <v>1546.29772400506</v>
      </c>
      <c r="CF51" s="11" t="n">
        <f aca="false">Units!$E50*(1+Inputs!$B$7)^(CF$2-1)</f>
        <v>1546.29772400506</v>
      </c>
      <c r="CG51" s="11" t="n">
        <f aca="false">Units!$E50*(1+Inputs!$B$7)^(CG$2-1)</f>
        <v>1546.29772400506</v>
      </c>
      <c r="CH51" s="11" t="n">
        <f aca="false">Units!$E50*(1+Inputs!$B$7)^(CH$2-1)</f>
        <v>1546.29772400506</v>
      </c>
      <c r="CI51" s="11" t="n">
        <f aca="false">Units!$E50*(1+Inputs!$B$7)^(CI$2-1)</f>
        <v>1592.68665572521</v>
      </c>
      <c r="CJ51" s="11" t="n">
        <f aca="false">Units!$E50*(1+Inputs!$B$7)^(CJ$2-1)</f>
        <v>1592.68665572521</v>
      </c>
      <c r="CK51" s="11" t="n">
        <f aca="false">Units!$E50*(1+Inputs!$B$7)^(CK$2-1)</f>
        <v>1592.68665572521</v>
      </c>
      <c r="CL51" s="11" t="n">
        <f aca="false">Units!$E50*(1+Inputs!$B$7)^(CL$2-1)</f>
        <v>1592.68665572521</v>
      </c>
      <c r="CM51" s="11" t="n">
        <f aca="false">Units!$E50*(1+Inputs!$B$7)^(CM$2-1)</f>
        <v>1592.68665572521</v>
      </c>
      <c r="CN51" s="11" t="n">
        <f aca="false">Units!$E50*(1+Inputs!$B$7)^(CN$2-1)</f>
        <v>1592.68665572521</v>
      </c>
      <c r="CO51" s="11" t="n">
        <f aca="false">Units!$E50*(1+Inputs!$B$7)^(CO$2-1)</f>
        <v>1592.68665572521</v>
      </c>
      <c r="CP51" s="11" t="n">
        <f aca="false">Units!$E50*(1+Inputs!$B$7)^(CP$2-1)</f>
        <v>1592.68665572521</v>
      </c>
      <c r="CQ51" s="11" t="n">
        <f aca="false">Units!$E50*(1+Inputs!$B$7)^(CQ$2-1)</f>
        <v>1592.68665572521</v>
      </c>
      <c r="CR51" s="11" t="n">
        <f aca="false">Units!$E50*(1+Inputs!$B$7)^(CR$2-1)</f>
        <v>1592.68665572521</v>
      </c>
      <c r="CS51" s="11" t="n">
        <f aca="false">Units!$E50*(1+Inputs!$B$7)^(CS$2-1)</f>
        <v>1592.68665572521</v>
      </c>
      <c r="CT51" s="11" t="n">
        <f aca="false">Units!$E50*(1+Inputs!$B$7)^(CT$2-1)</f>
        <v>1592.68665572521</v>
      </c>
      <c r="CU51" s="11" t="n">
        <f aca="false">Units!$E50*(1+Inputs!$B$7)^(CU$2-1)</f>
        <v>1640.46725539696</v>
      </c>
      <c r="CV51" s="11" t="n">
        <f aca="false">Units!$E50*(1+Inputs!$B$7)^(CV$2-1)</f>
        <v>1640.46725539696</v>
      </c>
      <c r="CW51" s="11" t="n">
        <f aca="false">Units!$E50*(1+Inputs!$B$7)^(CW$2-1)</f>
        <v>1640.46725539696</v>
      </c>
      <c r="CX51" s="11" t="n">
        <f aca="false">Units!$E50*(1+Inputs!$B$7)^(CX$2-1)</f>
        <v>1640.46725539696</v>
      </c>
      <c r="CY51" s="11" t="n">
        <f aca="false">Units!$E50*(1+Inputs!$B$7)^(CY$2-1)</f>
        <v>1640.46725539696</v>
      </c>
      <c r="CZ51" s="11" t="n">
        <f aca="false">Units!$E50*(1+Inputs!$B$7)^(CZ$2-1)</f>
        <v>1640.46725539696</v>
      </c>
      <c r="DA51" s="11" t="n">
        <f aca="false">Units!$E50*(1+Inputs!$B$7)^(DA$2-1)</f>
        <v>1640.46725539696</v>
      </c>
      <c r="DB51" s="11" t="n">
        <f aca="false">Units!$E50*(1+Inputs!$B$7)^(DB$2-1)</f>
        <v>1640.46725539696</v>
      </c>
      <c r="DC51" s="11" t="n">
        <f aca="false">Units!$E50*(1+Inputs!$B$7)^(DC$2-1)</f>
        <v>1640.46725539696</v>
      </c>
      <c r="DD51" s="11" t="n">
        <f aca="false">Units!$E50*(1+Inputs!$B$7)^(DD$2-1)</f>
        <v>1640.46725539696</v>
      </c>
      <c r="DE51" s="11" t="n">
        <f aca="false">Units!$E50*(1+Inputs!$B$7)^(DE$2-1)</f>
        <v>1640.46725539696</v>
      </c>
      <c r="DF51" s="11" t="n">
        <f aca="false">Units!$E50*(1+Inputs!$B$7)^(DF$2-1)</f>
        <v>1640.46725539696</v>
      </c>
      <c r="DG51" s="11" t="n">
        <f aca="false">Units!$E50*(1+Inputs!$B$7)^(DG$2-1)</f>
        <v>1689.68127305887</v>
      </c>
      <c r="DH51" s="11" t="n">
        <f aca="false">Units!$E50*(1+Inputs!$B$7)^(DH$2-1)</f>
        <v>1689.68127305887</v>
      </c>
      <c r="DI51" s="11" t="n">
        <f aca="false">Units!$E50*(1+Inputs!$B$7)^(DI$2-1)</f>
        <v>1689.68127305887</v>
      </c>
      <c r="DJ51" s="11" t="n">
        <f aca="false">Units!$E50*(1+Inputs!$B$7)^(DJ$2-1)</f>
        <v>1689.68127305887</v>
      </c>
      <c r="DK51" s="11" t="n">
        <f aca="false">Units!$E50*(1+Inputs!$B$7)^(DK$2-1)</f>
        <v>1689.68127305887</v>
      </c>
      <c r="DL51" s="11" t="n">
        <f aca="false">Units!$E50*(1+Inputs!$B$7)^(DL$2-1)</f>
        <v>1689.68127305887</v>
      </c>
      <c r="DM51" s="11" t="n">
        <f aca="false">Units!$E50*(1+Inputs!$B$7)^(DM$2-1)</f>
        <v>1689.68127305887</v>
      </c>
      <c r="DN51" s="11" t="n">
        <f aca="false">Units!$E50*(1+Inputs!$B$7)^(DN$2-1)</f>
        <v>1689.68127305887</v>
      </c>
      <c r="DO51" s="11" t="n">
        <f aca="false">Units!$E50*(1+Inputs!$B$7)^(DO$2-1)</f>
        <v>1689.68127305887</v>
      </c>
      <c r="DP51" s="11" t="n">
        <f aca="false">Units!$E50*(1+Inputs!$B$7)^(DP$2-1)</f>
        <v>1689.68127305887</v>
      </c>
      <c r="DQ51" s="11" t="n">
        <f aca="false">Units!$E50*(1+Inputs!$B$7)^(DQ$2-1)</f>
        <v>1689.68127305887</v>
      </c>
      <c r="DR51" s="11" t="n">
        <f aca="false">Units!$E50*(1+Inputs!$B$7)^(DR$2-1)</f>
        <v>1689.68127305887</v>
      </c>
      <c r="DS51" s="11" t="n">
        <f aca="false">Units!$E50*(1+Inputs!$B$7)^(DS$2-1)</f>
        <v>1740.37171125064</v>
      </c>
      <c r="DT51" s="11" t="n">
        <f aca="false">Units!$E50*(1+Inputs!$B$7)^(DT$2-1)</f>
        <v>1740.37171125064</v>
      </c>
      <c r="DU51" s="11" t="n">
        <f aca="false">Units!$E50*(1+Inputs!$B$7)^(DU$2-1)</f>
        <v>1740.37171125064</v>
      </c>
      <c r="DV51" s="11" t="n">
        <f aca="false">Units!$E50*(1+Inputs!$B$7)^(DV$2-1)</f>
        <v>1740.37171125064</v>
      </c>
      <c r="DW51" s="11" t="n">
        <f aca="false">Units!$E50*(1+Inputs!$B$7)^(DW$2-1)</f>
        <v>1740.37171125064</v>
      </c>
      <c r="DX51" s="11" t="n">
        <f aca="false">Units!$E50*(1+Inputs!$B$7)^(DX$2-1)</f>
        <v>1740.37171125064</v>
      </c>
      <c r="DY51" s="11" t="n">
        <f aca="false">Units!$E50*(1+Inputs!$B$7)^(DY$2-1)</f>
        <v>1740.37171125064</v>
      </c>
      <c r="DZ51" s="11" t="n">
        <f aca="false">Units!$E50*(1+Inputs!$B$7)^(DZ$2-1)</f>
        <v>1740.37171125064</v>
      </c>
      <c r="EA51" s="11" t="n">
        <f aca="false">Units!$E50*(1+Inputs!$B$7)^(EA$2-1)</f>
        <v>1740.37171125064</v>
      </c>
      <c r="EB51" s="11" t="n">
        <f aca="false">Units!$E50*(1+Inputs!$B$7)^(EB$2-1)</f>
        <v>1740.37171125064</v>
      </c>
      <c r="EC51" s="11" t="n">
        <f aca="false">Units!$E50*(1+Inputs!$B$7)^(EC$2-1)</f>
        <v>1740.37171125064</v>
      </c>
      <c r="ED51" s="11" t="n">
        <f aca="false">Units!$E50*(1+Inputs!$B$7)^(ED$2-1)</f>
        <v>1740.37171125064</v>
      </c>
    </row>
    <row r="52" customFormat="false" ht="15" hidden="false" customHeight="false" outlineLevel="0" collapsed="false">
      <c r="A52" s="22" t="n">
        <f aca="false">Units!A51</f>
        <v>220</v>
      </c>
      <c r="B52" s="23"/>
      <c r="C52" s="11" t="n">
        <f aca="false">Units!$E51*(1+Inputs!$B$7)^(C$2-1)</f>
        <v>1295</v>
      </c>
      <c r="D52" s="11" t="n">
        <f aca="false">Units!$E51*(1+Inputs!$B$7)^(D$2-1)</f>
        <v>1295</v>
      </c>
      <c r="E52" s="11" t="n">
        <f aca="false">Units!$E51*(1+Inputs!$B$7)^(E$2-1)</f>
        <v>1295</v>
      </c>
      <c r="F52" s="11" t="n">
        <f aca="false">Units!$E51*(1+Inputs!$B$7)^(F$2-1)</f>
        <v>1295</v>
      </c>
      <c r="G52" s="11" t="n">
        <f aca="false">Units!$E51*(1+Inputs!$B$7)^(G$2-1)</f>
        <v>1295</v>
      </c>
      <c r="H52" s="11" t="n">
        <f aca="false">Units!$E51*(1+Inputs!$B$7)^(H$2-1)</f>
        <v>1295</v>
      </c>
      <c r="I52" s="11" t="n">
        <f aca="false">Units!$E51*(1+Inputs!$B$7)^(I$2-1)</f>
        <v>1295</v>
      </c>
      <c r="J52" s="11" t="n">
        <f aca="false">Units!$E51*(1+Inputs!$B$7)^(J$2-1)</f>
        <v>1295</v>
      </c>
      <c r="K52" s="11" t="n">
        <f aca="false">Units!$E51*(1+Inputs!$B$7)^(K$2-1)</f>
        <v>1295</v>
      </c>
      <c r="L52" s="11" t="n">
        <f aca="false">Units!$E51*(1+Inputs!$B$7)^(L$2-1)</f>
        <v>1295</v>
      </c>
      <c r="M52" s="11" t="n">
        <f aca="false">Units!$E51*(1+Inputs!$B$7)^(M$2-1)</f>
        <v>1295</v>
      </c>
      <c r="N52" s="11" t="n">
        <f aca="false">Units!$E51*(1+Inputs!$B$7)^(N$2-1)</f>
        <v>1295</v>
      </c>
      <c r="O52" s="11" t="n">
        <f aca="false">Units!$E51*(1+Inputs!$B$7)^(O$2-1)</f>
        <v>1333.85</v>
      </c>
      <c r="P52" s="11" t="n">
        <f aca="false">Units!$E51*(1+Inputs!$B$7)^(P$2-1)</f>
        <v>1333.85</v>
      </c>
      <c r="Q52" s="11" t="n">
        <f aca="false">Units!$E51*(1+Inputs!$B$7)^(Q$2-1)</f>
        <v>1333.85</v>
      </c>
      <c r="R52" s="11" t="n">
        <f aca="false">Units!$E51*(1+Inputs!$B$7)^(R$2-1)</f>
        <v>1333.85</v>
      </c>
      <c r="S52" s="11" t="n">
        <f aca="false">Units!$E51*(1+Inputs!$B$7)^(S$2-1)</f>
        <v>1333.85</v>
      </c>
      <c r="T52" s="11" t="n">
        <f aca="false">Units!$E51*(1+Inputs!$B$7)^(T$2-1)</f>
        <v>1333.85</v>
      </c>
      <c r="U52" s="11" t="n">
        <f aca="false">Units!$E51*(1+Inputs!$B$7)^(U$2-1)</f>
        <v>1333.85</v>
      </c>
      <c r="V52" s="11" t="n">
        <f aca="false">Units!$E51*(1+Inputs!$B$7)^(V$2-1)</f>
        <v>1333.85</v>
      </c>
      <c r="W52" s="11" t="n">
        <f aca="false">Units!$E51*(1+Inputs!$B$7)^(W$2-1)</f>
        <v>1333.85</v>
      </c>
      <c r="X52" s="11" t="n">
        <f aca="false">Units!$E51*(1+Inputs!$B$7)^(X$2-1)</f>
        <v>1333.85</v>
      </c>
      <c r="Y52" s="11" t="n">
        <f aca="false">Units!$E51*(1+Inputs!$B$7)^(Y$2-1)</f>
        <v>1333.85</v>
      </c>
      <c r="Z52" s="11" t="n">
        <f aca="false">Units!$E51*(1+Inputs!$B$7)^(Z$2-1)</f>
        <v>1333.85</v>
      </c>
      <c r="AA52" s="11" t="n">
        <f aca="false">Units!$E51*(1+Inputs!$B$7)^(AA$2-1)</f>
        <v>1373.8655</v>
      </c>
      <c r="AB52" s="11" t="n">
        <f aca="false">Units!$E51*(1+Inputs!$B$7)^(AB$2-1)</f>
        <v>1373.8655</v>
      </c>
      <c r="AC52" s="11" t="n">
        <f aca="false">Units!$E51*(1+Inputs!$B$7)^(AC$2-1)</f>
        <v>1373.8655</v>
      </c>
      <c r="AD52" s="11" t="n">
        <f aca="false">Units!$E51*(1+Inputs!$B$7)^(AD$2-1)</f>
        <v>1373.8655</v>
      </c>
      <c r="AE52" s="11" t="n">
        <f aca="false">Units!$E51*(1+Inputs!$B$7)^(AE$2-1)</f>
        <v>1373.8655</v>
      </c>
      <c r="AF52" s="11" t="n">
        <f aca="false">Units!$E51*(1+Inputs!$B$7)^(AF$2-1)</f>
        <v>1373.8655</v>
      </c>
      <c r="AG52" s="11" t="n">
        <f aca="false">Units!$E51*(1+Inputs!$B$7)^(AG$2-1)</f>
        <v>1373.8655</v>
      </c>
      <c r="AH52" s="11" t="n">
        <f aca="false">Units!$E51*(1+Inputs!$B$7)^(AH$2-1)</f>
        <v>1373.8655</v>
      </c>
      <c r="AI52" s="11" t="n">
        <f aca="false">Units!$E51*(1+Inputs!$B$7)^(AI$2-1)</f>
        <v>1373.8655</v>
      </c>
      <c r="AJ52" s="11" t="n">
        <f aca="false">Units!$E51*(1+Inputs!$B$7)^(AJ$2-1)</f>
        <v>1373.8655</v>
      </c>
      <c r="AK52" s="11" t="n">
        <f aca="false">Units!$E51*(1+Inputs!$B$7)^(AK$2-1)</f>
        <v>1373.8655</v>
      </c>
      <c r="AL52" s="11" t="n">
        <f aca="false">Units!$E51*(1+Inputs!$B$7)^(AL$2-1)</f>
        <v>1373.8655</v>
      </c>
      <c r="AM52" s="11" t="n">
        <f aca="false">Units!$E51*(1+Inputs!$B$7)^(AM$2-1)</f>
        <v>1415.081465</v>
      </c>
      <c r="AN52" s="11" t="n">
        <f aca="false">Units!$E51*(1+Inputs!$B$7)^(AN$2-1)</f>
        <v>1415.081465</v>
      </c>
      <c r="AO52" s="11" t="n">
        <f aca="false">Units!$E51*(1+Inputs!$B$7)^(AO$2-1)</f>
        <v>1415.081465</v>
      </c>
      <c r="AP52" s="11" t="n">
        <f aca="false">Units!$E51*(1+Inputs!$B$7)^(AP$2-1)</f>
        <v>1415.081465</v>
      </c>
      <c r="AQ52" s="11" t="n">
        <f aca="false">Units!$E51*(1+Inputs!$B$7)^(AQ$2-1)</f>
        <v>1415.081465</v>
      </c>
      <c r="AR52" s="11" t="n">
        <f aca="false">Units!$E51*(1+Inputs!$B$7)^(AR$2-1)</f>
        <v>1415.081465</v>
      </c>
      <c r="AS52" s="11" t="n">
        <f aca="false">Units!$E51*(1+Inputs!$B$7)^(AS$2-1)</f>
        <v>1415.081465</v>
      </c>
      <c r="AT52" s="11" t="n">
        <f aca="false">Units!$E51*(1+Inputs!$B$7)^(AT$2-1)</f>
        <v>1415.081465</v>
      </c>
      <c r="AU52" s="11" t="n">
        <f aca="false">Units!$E51*(1+Inputs!$B$7)^(AU$2-1)</f>
        <v>1415.081465</v>
      </c>
      <c r="AV52" s="11" t="n">
        <f aca="false">Units!$E51*(1+Inputs!$B$7)^(AV$2-1)</f>
        <v>1415.081465</v>
      </c>
      <c r="AW52" s="11" t="n">
        <f aca="false">Units!$E51*(1+Inputs!$B$7)^(AW$2-1)</f>
        <v>1415.081465</v>
      </c>
      <c r="AX52" s="11" t="n">
        <f aca="false">Units!$E51*(1+Inputs!$B$7)^(AX$2-1)</f>
        <v>1415.081465</v>
      </c>
      <c r="AY52" s="11" t="n">
        <f aca="false">Units!$E51*(1+Inputs!$B$7)^(AY$2-1)</f>
        <v>1457.53390895</v>
      </c>
      <c r="AZ52" s="11" t="n">
        <f aca="false">Units!$E51*(1+Inputs!$B$7)^(AZ$2-1)</f>
        <v>1457.53390895</v>
      </c>
      <c r="BA52" s="11" t="n">
        <f aca="false">Units!$E51*(1+Inputs!$B$7)^(BA$2-1)</f>
        <v>1457.53390895</v>
      </c>
      <c r="BB52" s="11" t="n">
        <f aca="false">Units!$E51*(1+Inputs!$B$7)^(BB$2-1)</f>
        <v>1457.53390895</v>
      </c>
      <c r="BC52" s="11" t="n">
        <f aca="false">Units!$E51*(1+Inputs!$B$7)^(BC$2-1)</f>
        <v>1457.53390895</v>
      </c>
      <c r="BD52" s="11" t="n">
        <f aca="false">Units!$E51*(1+Inputs!$B$7)^(BD$2-1)</f>
        <v>1457.53390895</v>
      </c>
      <c r="BE52" s="11" t="n">
        <f aca="false">Units!$E51*(1+Inputs!$B$7)^(BE$2-1)</f>
        <v>1457.53390895</v>
      </c>
      <c r="BF52" s="11" t="n">
        <f aca="false">Units!$E51*(1+Inputs!$B$7)^(BF$2-1)</f>
        <v>1457.53390895</v>
      </c>
      <c r="BG52" s="11" t="n">
        <f aca="false">Units!$E51*(1+Inputs!$B$7)^(BG$2-1)</f>
        <v>1457.53390895</v>
      </c>
      <c r="BH52" s="11" t="n">
        <f aca="false">Units!$E51*(1+Inputs!$B$7)^(BH$2-1)</f>
        <v>1457.53390895</v>
      </c>
      <c r="BI52" s="11" t="n">
        <f aca="false">Units!$E51*(1+Inputs!$B$7)^(BI$2-1)</f>
        <v>1457.53390895</v>
      </c>
      <c r="BJ52" s="11" t="n">
        <f aca="false">Units!$E51*(1+Inputs!$B$7)^(BJ$2-1)</f>
        <v>1457.53390895</v>
      </c>
      <c r="BK52" s="11" t="n">
        <f aca="false">Units!$E51*(1+Inputs!$B$7)^(BK$2-1)</f>
        <v>1501.2599262185</v>
      </c>
      <c r="BL52" s="11" t="n">
        <f aca="false">Units!$E51*(1+Inputs!$B$7)^(BL$2-1)</f>
        <v>1501.2599262185</v>
      </c>
      <c r="BM52" s="11" t="n">
        <f aca="false">Units!$E51*(1+Inputs!$B$7)^(BM$2-1)</f>
        <v>1501.2599262185</v>
      </c>
      <c r="BN52" s="11" t="n">
        <f aca="false">Units!$E51*(1+Inputs!$B$7)^(BN$2-1)</f>
        <v>1501.2599262185</v>
      </c>
      <c r="BO52" s="11" t="n">
        <f aca="false">Units!$E51*(1+Inputs!$B$7)^(BO$2-1)</f>
        <v>1501.2599262185</v>
      </c>
      <c r="BP52" s="11" t="n">
        <f aca="false">Units!$E51*(1+Inputs!$B$7)^(BP$2-1)</f>
        <v>1501.2599262185</v>
      </c>
      <c r="BQ52" s="11" t="n">
        <f aca="false">Units!$E51*(1+Inputs!$B$7)^(BQ$2-1)</f>
        <v>1501.2599262185</v>
      </c>
      <c r="BR52" s="11" t="n">
        <f aca="false">Units!$E51*(1+Inputs!$B$7)^(BR$2-1)</f>
        <v>1501.2599262185</v>
      </c>
      <c r="BS52" s="11" t="n">
        <f aca="false">Units!$E51*(1+Inputs!$B$7)^(BS$2-1)</f>
        <v>1501.2599262185</v>
      </c>
      <c r="BT52" s="11" t="n">
        <f aca="false">Units!$E51*(1+Inputs!$B$7)^(BT$2-1)</f>
        <v>1501.2599262185</v>
      </c>
      <c r="BU52" s="11" t="n">
        <f aca="false">Units!$E51*(1+Inputs!$B$7)^(BU$2-1)</f>
        <v>1501.2599262185</v>
      </c>
      <c r="BV52" s="11" t="n">
        <f aca="false">Units!$E51*(1+Inputs!$B$7)^(BV$2-1)</f>
        <v>1501.2599262185</v>
      </c>
      <c r="BW52" s="11" t="n">
        <f aca="false">Units!$E51*(1+Inputs!$B$7)^(BW$2-1)</f>
        <v>1546.29772400506</v>
      </c>
      <c r="BX52" s="11" t="n">
        <f aca="false">Units!$E51*(1+Inputs!$B$7)^(BX$2-1)</f>
        <v>1546.29772400506</v>
      </c>
      <c r="BY52" s="11" t="n">
        <f aca="false">Units!$E51*(1+Inputs!$B$7)^(BY$2-1)</f>
        <v>1546.29772400506</v>
      </c>
      <c r="BZ52" s="11" t="n">
        <f aca="false">Units!$E51*(1+Inputs!$B$7)^(BZ$2-1)</f>
        <v>1546.29772400506</v>
      </c>
      <c r="CA52" s="11" t="n">
        <f aca="false">Units!$E51*(1+Inputs!$B$7)^(CA$2-1)</f>
        <v>1546.29772400506</v>
      </c>
      <c r="CB52" s="11" t="n">
        <f aca="false">Units!$E51*(1+Inputs!$B$7)^(CB$2-1)</f>
        <v>1546.29772400506</v>
      </c>
      <c r="CC52" s="11" t="n">
        <f aca="false">Units!$E51*(1+Inputs!$B$7)^(CC$2-1)</f>
        <v>1546.29772400506</v>
      </c>
      <c r="CD52" s="11" t="n">
        <f aca="false">Units!$E51*(1+Inputs!$B$7)^(CD$2-1)</f>
        <v>1546.29772400506</v>
      </c>
      <c r="CE52" s="11" t="n">
        <f aca="false">Units!$E51*(1+Inputs!$B$7)^(CE$2-1)</f>
        <v>1546.29772400506</v>
      </c>
      <c r="CF52" s="11" t="n">
        <f aca="false">Units!$E51*(1+Inputs!$B$7)^(CF$2-1)</f>
        <v>1546.29772400506</v>
      </c>
      <c r="CG52" s="11" t="n">
        <f aca="false">Units!$E51*(1+Inputs!$B$7)^(CG$2-1)</f>
        <v>1546.29772400506</v>
      </c>
      <c r="CH52" s="11" t="n">
        <f aca="false">Units!$E51*(1+Inputs!$B$7)^(CH$2-1)</f>
        <v>1546.29772400506</v>
      </c>
      <c r="CI52" s="11" t="n">
        <f aca="false">Units!$E51*(1+Inputs!$B$7)^(CI$2-1)</f>
        <v>1592.68665572521</v>
      </c>
      <c r="CJ52" s="11" t="n">
        <f aca="false">Units!$E51*(1+Inputs!$B$7)^(CJ$2-1)</f>
        <v>1592.68665572521</v>
      </c>
      <c r="CK52" s="11" t="n">
        <f aca="false">Units!$E51*(1+Inputs!$B$7)^(CK$2-1)</f>
        <v>1592.68665572521</v>
      </c>
      <c r="CL52" s="11" t="n">
        <f aca="false">Units!$E51*(1+Inputs!$B$7)^(CL$2-1)</f>
        <v>1592.68665572521</v>
      </c>
      <c r="CM52" s="11" t="n">
        <f aca="false">Units!$E51*(1+Inputs!$B$7)^(CM$2-1)</f>
        <v>1592.68665572521</v>
      </c>
      <c r="CN52" s="11" t="n">
        <f aca="false">Units!$E51*(1+Inputs!$B$7)^(CN$2-1)</f>
        <v>1592.68665572521</v>
      </c>
      <c r="CO52" s="11" t="n">
        <f aca="false">Units!$E51*(1+Inputs!$B$7)^(CO$2-1)</f>
        <v>1592.68665572521</v>
      </c>
      <c r="CP52" s="11" t="n">
        <f aca="false">Units!$E51*(1+Inputs!$B$7)^(CP$2-1)</f>
        <v>1592.68665572521</v>
      </c>
      <c r="CQ52" s="11" t="n">
        <f aca="false">Units!$E51*(1+Inputs!$B$7)^(CQ$2-1)</f>
        <v>1592.68665572521</v>
      </c>
      <c r="CR52" s="11" t="n">
        <f aca="false">Units!$E51*(1+Inputs!$B$7)^(CR$2-1)</f>
        <v>1592.68665572521</v>
      </c>
      <c r="CS52" s="11" t="n">
        <f aca="false">Units!$E51*(1+Inputs!$B$7)^(CS$2-1)</f>
        <v>1592.68665572521</v>
      </c>
      <c r="CT52" s="11" t="n">
        <f aca="false">Units!$E51*(1+Inputs!$B$7)^(CT$2-1)</f>
        <v>1592.68665572521</v>
      </c>
      <c r="CU52" s="11" t="n">
        <f aca="false">Units!$E51*(1+Inputs!$B$7)^(CU$2-1)</f>
        <v>1640.46725539696</v>
      </c>
      <c r="CV52" s="11" t="n">
        <f aca="false">Units!$E51*(1+Inputs!$B$7)^(CV$2-1)</f>
        <v>1640.46725539696</v>
      </c>
      <c r="CW52" s="11" t="n">
        <f aca="false">Units!$E51*(1+Inputs!$B$7)^(CW$2-1)</f>
        <v>1640.46725539696</v>
      </c>
      <c r="CX52" s="11" t="n">
        <f aca="false">Units!$E51*(1+Inputs!$B$7)^(CX$2-1)</f>
        <v>1640.46725539696</v>
      </c>
      <c r="CY52" s="11" t="n">
        <f aca="false">Units!$E51*(1+Inputs!$B$7)^(CY$2-1)</f>
        <v>1640.46725539696</v>
      </c>
      <c r="CZ52" s="11" t="n">
        <f aca="false">Units!$E51*(1+Inputs!$B$7)^(CZ$2-1)</f>
        <v>1640.46725539696</v>
      </c>
      <c r="DA52" s="11" t="n">
        <f aca="false">Units!$E51*(1+Inputs!$B$7)^(DA$2-1)</f>
        <v>1640.46725539696</v>
      </c>
      <c r="DB52" s="11" t="n">
        <f aca="false">Units!$E51*(1+Inputs!$B$7)^(DB$2-1)</f>
        <v>1640.46725539696</v>
      </c>
      <c r="DC52" s="11" t="n">
        <f aca="false">Units!$E51*(1+Inputs!$B$7)^(DC$2-1)</f>
        <v>1640.46725539696</v>
      </c>
      <c r="DD52" s="11" t="n">
        <f aca="false">Units!$E51*(1+Inputs!$B$7)^(DD$2-1)</f>
        <v>1640.46725539696</v>
      </c>
      <c r="DE52" s="11" t="n">
        <f aca="false">Units!$E51*(1+Inputs!$B$7)^(DE$2-1)</f>
        <v>1640.46725539696</v>
      </c>
      <c r="DF52" s="11" t="n">
        <f aca="false">Units!$E51*(1+Inputs!$B$7)^(DF$2-1)</f>
        <v>1640.46725539696</v>
      </c>
      <c r="DG52" s="11" t="n">
        <f aca="false">Units!$E51*(1+Inputs!$B$7)^(DG$2-1)</f>
        <v>1689.68127305887</v>
      </c>
      <c r="DH52" s="11" t="n">
        <f aca="false">Units!$E51*(1+Inputs!$B$7)^(DH$2-1)</f>
        <v>1689.68127305887</v>
      </c>
      <c r="DI52" s="11" t="n">
        <f aca="false">Units!$E51*(1+Inputs!$B$7)^(DI$2-1)</f>
        <v>1689.68127305887</v>
      </c>
      <c r="DJ52" s="11" t="n">
        <f aca="false">Units!$E51*(1+Inputs!$B$7)^(DJ$2-1)</f>
        <v>1689.68127305887</v>
      </c>
      <c r="DK52" s="11" t="n">
        <f aca="false">Units!$E51*(1+Inputs!$B$7)^(DK$2-1)</f>
        <v>1689.68127305887</v>
      </c>
      <c r="DL52" s="11" t="n">
        <f aca="false">Units!$E51*(1+Inputs!$B$7)^(DL$2-1)</f>
        <v>1689.68127305887</v>
      </c>
      <c r="DM52" s="11" t="n">
        <f aca="false">Units!$E51*(1+Inputs!$B$7)^(DM$2-1)</f>
        <v>1689.68127305887</v>
      </c>
      <c r="DN52" s="11" t="n">
        <f aca="false">Units!$E51*(1+Inputs!$B$7)^(DN$2-1)</f>
        <v>1689.68127305887</v>
      </c>
      <c r="DO52" s="11" t="n">
        <f aca="false">Units!$E51*(1+Inputs!$B$7)^(DO$2-1)</f>
        <v>1689.68127305887</v>
      </c>
      <c r="DP52" s="11" t="n">
        <f aca="false">Units!$E51*(1+Inputs!$B$7)^(DP$2-1)</f>
        <v>1689.68127305887</v>
      </c>
      <c r="DQ52" s="11" t="n">
        <f aca="false">Units!$E51*(1+Inputs!$B$7)^(DQ$2-1)</f>
        <v>1689.68127305887</v>
      </c>
      <c r="DR52" s="11" t="n">
        <f aca="false">Units!$E51*(1+Inputs!$B$7)^(DR$2-1)</f>
        <v>1689.68127305887</v>
      </c>
      <c r="DS52" s="11" t="n">
        <f aca="false">Units!$E51*(1+Inputs!$B$7)^(DS$2-1)</f>
        <v>1740.37171125064</v>
      </c>
      <c r="DT52" s="11" t="n">
        <f aca="false">Units!$E51*(1+Inputs!$B$7)^(DT$2-1)</f>
        <v>1740.37171125064</v>
      </c>
      <c r="DU52" s="11" t="n">
        <f aca="false">Units!$E51*(1+Inputs!$B$7)^(DU$2-1)</f>
        <v>1740.37171125064</v>
      </c>
      <c r="DV52" s="11" t="n">
        <f aca="false">Units!$E51*(1+Inputs!$B$7)^(DV$2-1)</f>
        <v>1740.37171125064</v>
      </c>
      <c r="DW52" s="11" t="n">
        <f aca="false">Units!$E51*(1+Inputs!$B$7)^(DW$2-1)</f>
        <v>1740.37171125064</v>
      </c>
      <c r="DX52" s="11" t="n">
        <f aca="false">Units!$E51*(1+Inputs!$B$7)^(DX$2-1)</f>
        <v>1740.37171125064</v>
      </c>
      <c r="DY52" s="11" t="n">
        <f aca="false">Units!$E51*(1+Inputs!$B$7)^(DY$2-1)</f>
        <v>1740.37171125064</v>
      </c>
      <c r="DZ52" s="11" t="n">
        <f aca="false">Units!$E51*(1+Inputs!$B$7)^(DZ$2-1)</f>
        <v>1740.37171125064</v>
      </c>
      <c r="EA52" s="11" t="n">
        <f aca="false">Units!$E51*(1+Inputs!$B$7)^(EA$2-1)</f>
        <v>1740.37171125064</v>
      </c>
      <c r="EB52" s="11" t="n">
        <f aca="false">Units!$E51*(1+Inputs!$B$7)^(EB$2-1)</f>
        <v>1740.37171125064</v>
      </c>
      <c r="EC52" s="11" t="n">
        <f aca="false">Units!$E51*(1+Inputs!$B$7)^(EC$2-1)</f>
        <v>1740.37171125064</v>
      </c>
      <c r="ED52" s="11" t="n">
        <f aca="false">Units!$E51*(1+Inputs!$B$7)^(ED$2-1)</f>
        <v>1740.37171125064</v>
      </c>
    </row>
    <row r="53" customFormat="false" ht="15" hidden="false" customHeight="false" outlineLevel="0" collapsed="false">
      <c r="A53" s="22" t="n">
        <f aca="false">Units!A52</f>
        <v>221</v>
      </c>
      <c r="B53" s="23"/>
      <c r="C53" s="11" t="n">
        <f aca="false">Units!$E52*(1+Inputs!$B$7)^(C$2-1)</f>
        <v>1850</v>
      </c>
      <c r="D53" s="11" t="n">
        <f aca="false">Units!$E52*(1+Inputs!$B$7)^(D$2-1)</f>
        <v>1850</v>
      </c>
      <c r="E53" s="11" t="n">
        <f aca="false">Units!$E52*(1+Inputs!$B$7)^(E$2-1)</f>
        <v>1850</v>
      </c>
      <c r="F53" s="11" t="n">
        <f aca="false">Units!$E52*(1+Inputs!$B$7)^(F$2-1)</f>
        <v>1850</v>
      </c>
      <c r="G53" s="11" t="n">
        <f aca="false">Units!$E52*(1+Inputs!$B$7)^(G$2-1)</f>
        <v>1850</v>
      </c>
      <c r="H53" s="11" t="n">
        <f aca="false">Units!$E52*(1+Inputs!$B$7)^(H$2-1)</f>
        <v>1850</v>
      </c>
      <c r="I53" s="11" t="n">
        <f aca="false">Units!$E52*(1+Inputs!$B$7)^(I$2-1)</f>
        <v>1850</v>
      </c>
      <c r="J53" s="11" t="n">
        <f aca="false">Units!$E52*(1+Inputs!$B$7)^(J$2-1)</f>
        <v>1850</v>
      </c>
      <c r="K53" s="11" t="n">
        <f aca="false">Units!$E52*(1+Inputs!$B$7)^(K$2-1)</f>
        <v>1850</v>
      </c>
      <c r="L53" s="11" t="n">
        <f aca="false">Units!$E52*(1+Inputs!$B$7)^(L$2-1)</f>
        <v>1850</v>
      </c>
      <c r="M53" s="11" t="n">
        <f aca="false">Units!$E52*(1+Inputs!$B$7)^(M$2-1)</f>
        <v>1850</v>
      </c>
      <c r="N53" s="11" t="n">
        <f aca="false">Units!$E52*(1+Inputs!$B$7)^(N$2-1)</f>
        <v>1850</v>
      </c>
      <c r="O53" s="11" t="n">
        <f aca="false">Units!$E52*(1+Inputs!$B$7)^(O$2-1)</f>
        <v>1905.5</v>
      </c>
      <c r="P53" s="11" t="n">
        <f aca="false">Units!$E52*(1+Inputs!$B$7)^(P$2-1)</f>
        <v>1905.5</v>
      </c>
      <c r="Q53" s="11" t="n">
        <f aca="false">Units!$E52*(1+Inputs!$B$7)^(Q$2-1)</f>
        <v>1905.5</v>
      </c>
      <c r="R53" s="11" t="n">
        <f aca="false">Units!$E52*(1+Inputs!$B$7)^(R$2-1)</f>
        <v>1905.5</v>
      </c>
      <c r="S53" s="11" t="n">
        <f aca="false">Units!$E52*(1+Inputs!$B$7)^(S$2-1)</f>
        <v>1905.5</v>
      </c>
      <c r="T53" s="11" t="n">
        <f aca="false">Units!$E52*(1+Inputs!$B$7)^(T$2-1)</f>
        <v>1905.5</v>
      </c>
      <c r="U53" s="11" t="n">
        <f aca="false">Units!$E52*(1+Inputs!$B$7)^(U$2-1)</f>
        <v>1905.5</v>
      </c>
      <c r="V53" s="11" t="n">
        <f aca="false">Units!$E52*(1+Inputs!$B$7)^(V$2-1)</f>
        <v>1905.5</v>
      </c>
      <c r="W53" s="11" t="n">
        <f aca="false">Units!$E52*(1+Inputs!$B$7)^(W$2-1)</f>
        <v>1905.5</v>
      </c>
      <c r="X53" s="11" t="n">
        <f aca="false">Units!$E52*(1+Inputs!$B$7)^(X$2-1)</f>
        <v>1905.5</v>
      </c>
      <c r="Y53" s="11" t="n">
        <f aca="false">Units!$E52*(1+Inputs!$B$7)^(Y$2-1)</f>
        <v>1905.5</v>
      </c>
      <c r="Z53" s="11" t="n">
        <f aca="false">Units!$E52*(1+Inputs!$B$7)^(Z$2-1)</f>
        <v>1905.5</v>
      </c>
      <c r="AA53" s="11" t="n">
        <f aca="false">Units!$E52*(1+Inputs!$B$7)^(AA$2-1)</f>
        <v>1962.665</v>
      </c>
      <c r="AB53" s="11" t="n">
        <f aca="false">Units!$E52*(1+Inputs!$B$7)^(AB$2-1)</f>
        <v>1962.665</v>
      </c>
      <c r="AC53" s="11" t="n">
        <f aca="false">Units!$E52*(1+Inputs!$B$7)^(AC$2-1)</f>
        <v>1962.665</v>
      </c>
      <c r="AD53" s="11" t="n">
        <f aca="false">Units!$E52*(1+Inputs!$B$7)^(AD$2-1)</f>
        <v>1962.665</v>
      </c>
      <c r="AE53" s="11" t="n">
        <f aca="false">Units!$E52*(1+Inputs!$B$7)^(AE$2-1)</f>
        <v>1962.665</v>
      </c>
      <c r="AF53" s="11" t="n">
        <f aca="false">Units!$E52*(1+Inputs!$B$7)^(AF$2-1)</f>
        <v>1962.665</v>
      </c>
      <c r="AG53" s="11" t="n">
        <f aca="false">Units!$E52*(1+Inputs!$B$7)^(AG$2-1)</f>
        <v>1962.665</v>
      </c>
      <c r="AH53" s="11" t="n">
        <f aca="false">Units!$E52*(1+Inputs!$B$7)^(AH$2-1)</f>
        <v>1962.665</v>
      </c>
      <c r="AI53" s="11" t="n">
        <f aca="false">Units!$E52*(1+Inputs!$B$7)^(AI$2-1)</f>
        <v>1962.665</v>
      </c>
      <c r="AJ53" s="11" t="n">
        <f aca="false">Units!$E52*(1+Inputs!$B$7)^(AJ$2-1)</f>
        <v>1962.665</v>
      </c>
      <c r="AK53" s="11" t="n">
        <f aca="false">Units!$E52*(1+Inputs!$B$7)^(AK$2-1)</f>
        <v>1962.665</v>
      </c>
      <c r="AL53" s="11" t="n">
        <f aca="false">Units!$E52*(1+Inputs!$B$7)^(AL$2-1)</f>
        <v>1962.665</v>
      </c>
      <c r="AM53" s="11" t="n">
        <f aca="false">Units!$E52*(1+Inputs!$B$7)^(AM$2-1)</f>
        <v>2021.54495</v>
      </c>
      <c r="AN53" s="11" t="n">
        <f aca="false">Units!$E52*(1+Inputs!$B$7)^(AN$2-1)</f>
        <v>2021.54495</v>
      </c>
      <c r="AO53" s="11" t="n">
        <f aca="false">Units!$E52*(1+Inputs!$B$7)^(AO$2-1)</f>
        <v>2021.54495</v>
      </c>
      <c r="AP53" s="11" t="n">
        <f aca="false">Units!$E52*(1+Inputs!$B$7)^(AP$2-1)</f>
        <v>2021.54495</v>
      </c>
      <c r="AQ53" s="11" t="n">
        <f aca="false">Units!$E52*(1+Inputs!$B$7)^(AQ$2-1)</f>
        <v>2021.54495</v>
      </c>
      <c r="AR53" s="11" t="n">
        <f aca="false">Units!$E52*(1+Inputs!$B$7)^(AR$2-1)</f>
        <v>2021.54495</v>
      </c>
      <c r="AS53" s="11" t="n">
        <f aca="false">Units!$E52*(1+Inputs!$B$7)^(AS$2-1)</f>
        <v>2021.54495</v>
      </c>
      <c r="AT53" s="11" t="n">
        <f aca="false">Units!$E52*(1+Inputs!$B$7)^(AT$2-1)</f>
        <v>2021.54495</v>
      </c>
      <c r="AU53" s="11" t="n">
        <f aca="false">Units!$E52*(1+Inputs!$B$7)^(AU$2-1)</f>
        <v>2021.54495</v>
      </c>
      <c r="AV53" s="11" t="n">
        <f aca="false">Units!$E52*(1+Inputs!$B$7)^(AV$2-1)</f>
        <v>2021.54495</v>
      </c>
      <c r="AW53" s="11" t="n">
        <f aca="false">Units!$E52*(1+Inputs!$B$7)^(AW$2-1)</f>
        <v>2021.54495</v>
      </c>
      <c r="AX53" s="11" t="n">
        <f aca="false">Units!$E52*(1+Inputs!$B$7)^(AX$2-1)</f>
        <v>2021.54495</v>
      </c>
      <c r="AY53" s="11" t="n">
        <f aca="false">Units!$E52*(1+Inputs!$B$7)^(AY$2-1)</f>
        <v>2082.1912985</v>
      </c>
      <c r="AZ53" s="11" t="n">
        <f aca="false">Units!$E52*(1+Inputs!$B$7)^(AZ$2-1)</f>
        <v>2082.1912985</v>
      </c>
      <c r="BA53" s="11" t="n">
        <f aca="false">Units!$E52*(1+Inputs!$B$7)^(BA$2-1)</f>
        <v>2082.1912985</v>
      </c>
      <c r="BB53" s="11" t="n">
        <f aca="false">Units!$E52*(1+Inputs!$B$7)^(BB$2-1)</f>
        <v>2082.1912985</v>
      </c>
      <c r="BC53" s="11" t="n">
        <f aca="false">Units!$E52*(1+Inputs!$B$7)^(BC$2-1)</f>
        <v>2082.1912985</v>
      </c>
      <c r="BD53" s="11" t="n">
        <f aca="false">Units!$E52*(1+Inputs!$B$7)^(BD$2-1)</f>
        <v>2082.1912985</v>
      </c>
      <c r="BE53" s="11" t="n">
        <f aca="false">Units!$E52*(1+Inputs!$B$7)^(BE$2-1)</f>
        <v>2082.1912985</v>
      </c>
      <c r="BF53" s="11" t="n">
        <f aca="false">Units!$E52*(1+Inputs!$B$7)^(BF$2-1)</f>
        <v>2082.1912985</v>
      </c>
      <c r="BG53" s="11" t="n">
        <f aca="false">Units!$E52*(1+Inputs!$B$7)^(BG$2-1)</f>
        <v>2082.1912985</v>
      </c>
      <c r="BH53" s="11" t="n">
        <f aca="false">Units!$E52*(1+Inputs!$B$7)^(BH$2-1)</f>
        <v>2082.1912985</v>
      </c>
      <c r="BI53" s="11" t="n">
        <f aca="false">Units!$E52*(1+Inputs!$B$7)^(BI$2-1)</f>
        <v>2082.1912985</v>
      </c>
      <c r="BJ53" s="11" t="n">
        <f aca="false">Units!$E52*(1+Inputs!$B$7)^(BJ$2-1)</f>
        <v>2082.1912985</v>
      </c>
      <c r="BK53" s="11" t="n">
        <f aca="false">Units!$E52*(1+Inputs!$B$7)^(BK$2-1)</f>
        <v>2144.657037455</v>
      </c>
      <c r="BL53" s="11" t="n">
        <f aca="false">Units!$E52*(1+Inputs!$B$7)^(BL$2-1)</f>
        <v>2144.657037455</v>
      </c>
      <c r="BM53" s="11" t="n">
        <f aca="false">Units!$E52*(1+Inputs!$B$7)^(BM$2-1)</f>
        <v>2144.657037455</v>
      </c>
      <c r="BN53" s="11" t="n">
        <f aca="false">Units!$E52*(1+Inputs!$B$7)^(BN$2-1)</f>
        <v>2144.657037455</v>
      </c>
      <c r="BO53" s="11" t="n">
        <f aca="false">Units!$E52*(1+Inputs!$B$7)^(BO$2-1)</f>
        <v>2144.657037455</v>
      </c>
      <c r="BP53" s="11" t="n">
        <f aca="false">Units!$E52*(1+Inputs!$B$7)^(BP$2-1)</f>
        <v>2144.657037455</v>
      </c>
      <c r="BQ53" s="11" t="n">
        <f aca="false">Units!$E52*(1+Inputs!$B$7)^(BQ$2-1)</f>
        <v>2144.657037455</v>
      </c>
      <c r="BR53" s="11" t="n">
        <f aca="false">Units!$E52*(1+Inputs!$B$7)^(BR$2-1)</f>
        <v>2144.657037455</v>
      </c>
      <c r="BS53" s="11" t="n">
        <f aca="false">Units!$E52*(1+Inputs!$B$7)^(BS$2-1)</f>
        <v>2144.657037455</v>
      </c>
      <c r="BT53" s="11" t="n">
        <f aca="false">Units!$E52*(1+Inputs!$B$7)^(BT$2-1)</f>
        <v>2144.657037455</v>
      </c>
      <c r="BU53" s="11" t="n">
        <f aca="false">Units!$E52*(1+Inputs!$B$7)^(BU$2-1)</f>
        <v>2144.657037455</v>
      </c>
      <c r="BV53" s="11" t="n">
        <f aca="false">Units!$E52*(1+Inputs!$B$7)^(BV$2-1)</f>
        <v>2144.657037455</v>
      </c>
      <c r="BW53" s="11" t="n">
        <f aca="false">Units!$E52*(1+Inputs!$B$7)^(BW$2-1)</f>
        <v>2208.99674857865</v>
      </c>
      <c r="BX53" s="11" t="n">
        <f aca="false">Units!$E52*(1+Inputs!$B$7)^(BX$2-1)</f>
        <v>2208.99674857865</v>
      </c>
      <c r="BY53" s="11" t="n">
        <f aca="false">Units!$E52*(1+Inputs!$B$7)^(BY$2-1)</f>
        <v>2208.99674857865</v>
      </c>
      <c r="BZ53" s="11" t="n">
        <f aca="false">Units!$E52*(1+Inputs!$B$7)^(BZ$2-1)</f>
        <v>2208.99674857865</v>
      </c>
      <c r="CA53" s="11" t="n">
        <f aca="false">Units!$E52*(1+Inputs!$B$7)^(CA$2-1)</f>
        <v>2208.99674857865</v>
      </c>
      <c r="CB53" s="11" t="n">
        <f aca="false">Units!$E52*(1+Inputs!$B$7)^(CB$2-1)</f>
        <v>2208.99674857865</v>
      </c>
      <c r="CC53" s="11" t="n">
        <f aca="false">Units!$E52*(1+Inputs!$B$7)^(CC$2-1)</f>
        <v>2208.99674857865</v>
      </c>
      <c r="CD53" s="11" t="n">
        <f aca="false">Units!$E52*(1+Inputs!$B$7)^(CD$2-1)</f>
        <v>2208.99674857865</v>
      </c>
      <c r="CE53" s="11" t="n">
        <f aca="false">Units!$E52*(1+Inputs!$B$7)^(CE$2-1)</f>
        <v>2208.99674857865</v>
      </c>
      <c r="CF53" s="11" t="n">
        <f aca="false">Units!$E52*(1+Inputs!$B$7)^(CF$2-1)</f>
        <v>2208.99674857865</v>
      </c>
      <c r="CG53" s="11" t="n">
        <f aca="false">Units!$E52*(1+Inputs!$B$7)^(CG$2-1)</f>
        <v>2208.99674857865</v>
      </c>
      <c r="CH53" s="11" t="n">
        <f aca="false">Units!$E52*(1+Inputs!$B$7)^(CH$2-1)</f>
        <v>2208.99674857865</v>
      </c>
      <c r="CI53" s="11" t="n">
        <f aca="false">Units!$E52*(1+Inputs!$B$7)^(CI$2-1)</f>
        <v>2275.26665103601</v>
      </c>
      <c r="CJ53" s="11" t="n">
        <f aca="false">Units!$E52*(1+Inputs!$B$7)^(CJ$2-1)</f>
        <v>2275.26665103601</v>
      </c>
      <c r="CK53" s="11" t="n">
        <f aca="false">Units!$E52*(1+Inputs!$B$7)^(CK$2-1)</f>
        <v>2275.26665103601</v>
      </c>
      <c r="CL53" s="11" t="n">
        <f aca="false">Units!$E52*(1+Inputs!$B$7)^(CL$2-1)</f>
        <v>2275.26665103601</v>
      </c>
      <c r="CM53" s="11" t="n">
        <f aca="false">Units!$E52*(1+Inputs!$B$7)^(CM$2-1)</f>
        <v>2275.26665103601</v>
      </c>
      <c r="CN53" s="11" t="n">
        <f aca="false">Units!$E52*(1+Inputs!$B$7)^(CN$2-1)</f>
        <v>2275.26665103601</v>
      </c>
      <c r="CO53" s="11" t="n">
        <f aca="false">Units!$E52*(1+Inputs!$B$7)^(CO$2-1)</f>
        <v>2275.26665103601</v>
      </c>
      <c r="CP53" s="11" t="n">
        <f aca="false">Units!$E52*(1+Inputs!$B$7)^(CP$2-1)</f>
        <v>2275.26665103601</v>
      </c>
      <c r="CQ53" s="11" t="n">
        <f aca="false">Units!$E52*(1+Inputs!$B$7)^(CQ$2-1)</f>
        <v>2275.26665103601</v>
      </c>
      <c r="CR53" s="11" t="n">
        <f aca="false">Units!$E52*(1+Inputs!$B$7)^(CR$2-1)</f>
        <v>2275.26665103601</v>
      </c>
      <c r="CS53" s="11" t="n">
        <f aca="false">Units!$E52*(1+Inputs!$B$7)^(CS$2-1)</f>
        <v>2275.26665103601</v>
      </c>
      <c r="CT53" s="11" t="n">
        <f aca="false">Units!$E52*(1+Inputs!$B$7)^(CT$2-1)</f>
        <v>2275.26665103601</v>
      </c>
      <c r="CU53" s="11" t="n">
        <f aca="false">Units!$E52*(1+Inputs!$B$7)^(CU$2-1)</f>
        <v>2343.52465056709</v>
      </c>
      <c r="CV53" s="11" t="n">
        <f aca="false">Units!$E52*(1+Inputs!$B$7)^(CV$2-1)</f>
        <v>2343.52465056709</v>
      </c>
      <c r="CW53" s="11" t="n">
        <f aca="false">Units!$E52*(1+Inputs!$B$7)^(CW$2-1)</f>
        <v>2343.52465056709</v>
      </c>
      <c r="CX53" s="11" t="n">
        <f aca="false">Units!$E52*(1+Inputs!$B$7)^(CX$2-1)</f>
        <v>2343.52465056709</v>
      </c>
      <c r="CY53" s="11" t="n">
        <f aca="false">Units!$E52*(1+Inputs!$B$7)^(CY$2-1)</f>
        <v>2343.52465056709</v>
      </c>
      <c r="CZ53" s="11" t="n">
        <f aca="false">Units!$E52*(1+Inputs!$B$7)^(CZ$2-1)</f>
        <v>2343.52465056709</v>
      </c>
      <c r="DA53" s="11" t="n">
        <f aca="false">Units!$E52*(1+Inputs!$B$7)^(DA$2-1)</f>
        <v>2343.52465056709</v>
      </c>
      <c r="DB53" s="11" t="n">
        <f aca="false">Units!$E52*(1+Inputs!$B$7)^(DB$2-1)</f>
        <v>2343.52465056709</v>
      </c>
      <c r="DC53" s="11" t="n">
        <f aca="false">Units!$E52*(1+Inputs!$B$7)^(DC$2-1)</f>
        <v>2343.52465056709</v>
      </c>
      <c r="DD53" s="11" t="n">
        <f aca="false">Units!$E52*(1+Inputs!$B$7)^(DD$2-1)</f>
        <v>2343.52465056709</v>
      </c>
      <c r="DE53" s="11" t="n">
        <f aca="false">Units!$E52*(1+Inputs!$B$7)^(DE$2-1)</f>
        <v>2343.52465056709</v>
      </c>
      <c r="DF53" s="11" t="n">
        <f aca="false">Units!$E52*(1+Inputs!$B$7)^(DF$2-1)</f>
        <v>2343.52465056709</v>
      </c>
      <c r="DG53" s="11" t="n">
        <f aca="false">Units!$E52*(1+Inputs!$B$7)^(DG$2-1)</f>
        <v>2413.8303900841</v>
      </c>
      <c r="DH53" s="11" t="n">
        <f aca="false">Units!$E52*(1+Inputs!$B$7)^(DH$2-1)</f>
        <v>2413.8303900841</v>
      </c>
      <c r="DI53" s="11" t="n">
        <f aca="false">Units!$E52*(1+Inputs!$B$7)^(DI$2-1)</f>
        <v>2413.8303900841</v>
      </c>
      <c r="DJ53" s="11" t="n">
        <f aca="false">Units!$E52*(1+Inputs!$B$7)^(DJ$2-1)</f>
        <v>2413.8303900841</v>
      </c>
      <c r="DK53" s="11" t="n">
        <f aca="false">Units!$E52*(1+Inputs!$B$7)^(DK$2-1)</f>
        <v>2413.8303900841</v>
      </c>
      <c r="DL53" s="11" t="n">
        <f aca="false">Units!$E52*(1+Inputs!$B$7)^(DL$2-1)</f>
        <v>2413.8303900841</v>
      </c>
      <c r="DM53" s="11" t="n">
        <f aca="false">Units!$E52*(1+Inputs!$B$7)^(DM$2-1)</f>
        <v>2413.8303900841</v>
      </c>
      <c r="DN53" s="11" t="n">
        <f aca="false">Units!$E52*(1+Inputs!$B$7)^(DN$2-1)</f>
        <v>2413.8303900841</v>
      </c>
      <c r="DO53" s="11" t="n">
        <f aca="false">Units!$E52*(1+Inputs!$B$7)^(DO$2-1)</f>
        <v>2413.8303900841</v>
      </c>
      <c r="DP53" s="11" t="n">
        <f aca="false">Units!$E52*(1+Inputs!$B$7)^(DP$2-1)</f>
        <v>2413.8303900841</v>
      </c>
      <c r="DQ53" s="11" t="n">
        <f aca="false">Units!$E52*(1+Inputs!$B$7)^(DQ$2-1)</f>
        <v>2413.8303900841</v>
      </c>
      <c r="DR53" s="11" t="n">
        <f aca="false">Units!$E52*(1+Inputs!$B$7)^(DR$2-1)</f>
        <v>2413.8303900841</v>
      </c>
      <c r="DS53" s="11" t="n">
        <f aca="false">Units!$E52*(1+Inputs!$B$7)^(DS$2-1)</f>
        <v>2486.24530178663</v>
      </c>
      <c r="DT53" s="11" t="n">
        <f aca="false">Units!$E52*(1+Inputs!$B$7)^(DT$2-1)</f>
        <v>2486.24530178663</v>
      </c>
      <c r="DU53" s="11" t="n">
        <f aca="false">Units!$E52*(1+Inputs!$B$7)^(DU$2-1)</f>
        <v>2486.24530178663</v>
      </c>
      <c r="DV53" s="11" t="n">
        <f aca="false">Units!$E52*(1+Inputs!$B$7)^(DV$2-1)</f>
        <v>2486.24530178663</v>
      </c>
      <c r="DW53" s="11" t="n">
        <f aca="false">Units!$E52*(1+Inputs!$B$7)^(DW$2-1)</f>
        <v>2486.24530178663</v>
      </c>
      <c r="DX53" s="11" t="n">
        <f aca="false">Units!$E52*(1+Inputs!$B$7)^(DX$2-1)</f>
        <v>2486.24530178663</v>
      </c>
      <c r="DY53" s="11" t="n">
        <f aca="false">Units!$E52*(1+Inputs!$B$7)^(DY$2-1)</f>
        <v>2486.24530178663</v>
      </c>
      <c r="DZ53" s="11" t="n">
        <f aca="false">Units!$E52*(1+Inputs!$B$7)^(DZ$2-1)</f>
        <v>2486.24530178663</v>
      </c>
      <c r="EA53" s="11" t="n">
        <f aca="false">Units!$E52*(1+Inputs!$B$7)^(EA$2-1)</f>
        <v>2486.24530178663</v>
      </c>
      <c r="EB53" s="11" t="n">
        <f aca="false">Units!$E52*(1+Inputs!$B$7)^(EB$2-1)</f>
        <v>2486.24530178663</v>
      </c>
      <c r="EC53" s="11" t="n">
        <f aca="false">Units!$E52*(1+Inputs!$B$7)^(EC$2-1)</f>
        <v>2486.24530178663</v>
      </c>
      <c r="ED53" s="11" t="n">
        <f aca="false">Units!$E52*(1+Inputs!$B$7)^(ED$2-1)</f>
        <v>2486.24530178663</v>
      </c>
    </row>
    <row r="54" customFormat="false" ht="15" hidden="false" customHeight="false" outlineLevel="0" collapsed="false">
      <c r="A54" s="22" t="n">
        <f aca="false">Units!A53</f>
        <v>222</v>
      </c>
      <c r="B54" s="23"/>
      <c r="C54" s="11" t="n">
        <f aca="false">Units!$E53*(1+Inputs!$B$7)^(C$2-1)</f>
        <v>1850</v>
      </c>
      <c r="D54" s="11" t="n">
        <f aca="false">Units!$E53*(1+Inputs!$B$7)^(D$2-1)</f>
        <v>1850</v>
      </c>
      <c r="E54" s="11" t="n">
        <f aca="false">Units!$E53*(1+Inputs!$B$7)^(E$2-1)</f>
        <v>1850</v>
      </c>
      <c r="F54" s="11" t="n">
        <f aca="false">Units!$E53*(1+Inputs!$B$7)^(F$2-1)</f>
        <v>1850</v>
      </c>
      <c r="G54" s="11" t="n">
        <f aca="false">Units!$E53*(1+Inputs!$B$7)^(G$2-1)</f>
        <v>1850</v>
      </c>
      <c r="H54" s="11" t="n">
        <f aca="false">Units!$E53*(1+Inputs!$B$7)^(H$2-1)</f>
        <v>1850</v>
      </c>
      <c r="I54" s="11" t="n">
        <f aca="false">Units!$E53*(1+Inputs!$B$7)^(I$2-1)</f>
        <v>1850</v>
      </c>
      <c r="J54" s="11" t="n">
        <f aca="false">Units!$E53*(1+Inputs!$B$7)^(J$2-1)</f>
        <v>1850</v>
      </c>
      <c r="K54" s="11" t="n">
        <f aca="false">Units!$E53*(1+Inputs!$B$7)^(K$2-1)</f>
        <v>1850</v>
      </c>
      <c r="L54" s="11" t="n">
        <f aca="false">Units!$E53*(1+Inputs!$B$7)^(L$2-1)</f>
        <v>1850</v>
      </c>
      <c r="M54" s="11" t="n">
        <f aca="false">Units!$E53*(1+Inputs!$B$7)^(M$2-1)</f>
        <v>1850</v>
      </c>
      <c r="N54" s="11" t="n">
        <f aca="false">Units!$E53*(1+Inputs!$B$7)^(N$2-1)</f>
        <v>1850</v>
      </c>
      <c r="O54" s="11" t="n">
        <f aca="false">Units!$E53*(1+Inputs!$B$7)^(O$2-1)</f>
        <v>1905.5</v>
      </c>
      <c r="P54" s="11" t="n">
        <f aca="false">Units!$E53*(1+Inputs!$B$7)^(P$2-1)</f>
        <v>1905.5</v>
      </c>
      <c r="Q54" s="11" t="n">
        <f aca="false">Units!$E53*(1+Inputs!$B$7)^(Q$2-1)</f>
        <v>1905.5</v>
      </c>
      <c r="R54" s="11" t="n">
        <f aca="false">Units!$E53*(1+Inputs!$B$7)^(R$2-1)</f>
        <v>1905.5</v>
      </c>
      <c r="S54" s="11" t="n">
        <f aca="false">Units!$E53*(1+Inputs!$B$7)^(S$2-1)</f>
        <v>1905.5</v>
      </c>
      <c r="T54" s="11" t="n">
        <f aca="false">Units!$E53*(1+Inputs!$B$7)^(T$2-1)</f>
        <v>1905.5</v>
      </c>
      <c r="U54" s="11" t="n">
        <f aca="false">Units!$E53*(1+Inputs!$B$7)^(U$2-1)</f>
        <v>1905.5</v>
      </c>
      <c r="V54" s="11" t="n">
        <f aca="false">Units!$E53*(1+Inputs!$B$7)^(V$2-1)</f>
        <v>1905.5</v>
      </c>
      <c r="W54" s="11" t="n">
        <f aca="false">Units!$E53*(1+Inputs!$B$7)^(W$2-1)</f>
        <v>1905.5</v>
      </c>
      <c r="X54" s="11" t="n">
        <f aca="false">Units!$E53*(1+Inputs!$B$7)^(X$2-1)</f>
        <v>1905.5</v>
      </c>
      <c r="Y54" s="11" t="n">
        <f aca="false">Units!$E53*(1+Inputs!$B$7)^(Y$2-1)</f>
        <v>1905.5</v>
      </c>
      <c r="Z54" s="11" t="n">
        <f aca="false">Units!$E53*(1+Inputs!$B$7)^(Z$2-1)</f>
        <v>1905.5</v>
      </c>
      <c r="AA54" s="11" t="n">
        <f aca="false">Units!$E53*(1+Inputs!$B$7)^(AA$2-1)</f>
        <v>1962.665</v>
      </c>
      <c r="AB54" s="11" t="n">
        <f aca="false">Units!$E53*(1+Inputs!$B$7)^(AB$2-1)</f>
        <v>1962.665</v>
      </c>
      <c r="AC54" s="11" t="n">
        <f aca="false">Units!$E53*(1+Inputs!$B$7)^(AC$2-1)</f>
        <v>1962.665</v>
      </c>
      <c r="AD54" s="11" t="n">
        <f aca="false">Units!$E53*(1+Inputs!$B$7)^(AD$2-1)</f>
        <v>1962.665</v>
      </c>
      <c r="AE54" s="11" t="n">
        <f aca="false">Units!$E53*(1+Inputs!$B$7)^(AE$2-1)</f>
        <v>1962.665</v>
      </c>
      <c r="AF54" s="11" t="n">
        <f aca="false">Units!$E53*(1+Inputs!$B$7)^(AF$2-1)</f>
        <v>1962.665</v>
      </c>
      <c r="AG54" s="11" t="n">
        <f aca="false">Units!$E53*(1+Inputs!$B$7)^(AG$2-1)</f>
        <v>1962.665</v>
      </c>
      <c r="AH54" s="11" t="n">
        <f aca="false">Units!$E53*(1+Inputs!$B$7)^(AH$2-1)</f>
        <v>1962.665</v>
      </c>
      <c r="AI54" s="11" t="n">
        <f aca="false">Units!$E53*(1+Inputs!$B$7)^(AI$2-1)</f>
        <v>1962.665</v>
      </c>
      <c r="AJ54" s="11" t="n">
        <f aca="false">Units!$E53*(1+Inputs!$B$7)^(AJ$2-1)</f>
        <v>1962.665</v>
      </c>
      <c r="AK54" s="11" t="n">
        <f aca="false">Units!$E53*(1+Inputs!$B$7)^(AK$2-1)</f>
        <v>1962.665</v>
      </c>
      <c r="AL54" s="11" t="n">
        <f aca="false">Units!$E53*(1+Inputs!$B$7)^(AL$2-1)</f>
        <v>1962.665</v>
      </c>
      <c r="AM54" s="11" t="n">
        <f aca="false">Units!$E53*(1+Inputs!$B$7)^(AM$2-1)</f>
        <v>2021.54495</v>
      </c>
      <c r="AN54" s="11" t="n">
        <f aca="false">Units!$E53*(1+Inputs!$B$7)^(AN$2-1)</f>
        <v>2021.54495</v>
      </c>
      <c r="AO54" s="11" t="n">
        <f aca="false">Units!$E53*(1+Inputs!$B$7)^(AO$2-1)</f>
        <v>2021.54495</v>
      </c>
      <c r="AP54" s="11" t="n">
        <f aca="false">Units!$E53*(1+Inputs!$B$7)^(AP$2-1)</f>
        <v>2021.54495</v>
      </c>
      <c r="AQ54" s="11" t="n">
        <f aca="false">Units!$E53*(1+Inputs!$B$7)^(AQ$2-1)</f>
        <v>2021.54495</v>
      </c>
      <c r="AR54" s="11" t="n">
        <f aca="false">Units!$E53*(1+Inputs!$B$7)^(AR$2-1)</f>
        <v>2021.54495</v>
      </c>
      <c r="AS54" s="11" t="n">
        <f aca="false">Units!$E53*(1+Inputs!$B$7)^(AS$2-1)</f>
        <v>2021.54495</v>
      </c>
      <c r="AT54" s="11" t="n">
        <f aca="false">Units!$E53*(1+Inputs!$B$7)^(AT$2-1)</f>
        <v>2021.54495</v>
      </c>
      <c r="AU54" s="11" t="n">
        <f aca="false">Units!$E53*(1+Inputs!$B$7)^(AU$2-1)</f>
        <v>2021.54495</v>
      </c>
      <c r="AV54" s="11" t="n">
        <f aca="false">Units!$E53*(1+Inputs!$B$7)^(AV$2-1)</f>
        <v>2021.54495</v>
      </c>
      <c r="AW54" s="11" t="n">
        <f aca="false">Units!$E53*(1+Inputs!$B$7)^(AW$2-1)</f>
        <v>2021.54495</v>
      </c>
      <c r="AX54" s="11" t="n">
        <f aca="false">Units!$E53*(1+Inputs!$B$7)^(AX$2-1)</f>
        <v>2021.54495</v>
      </c>
      <c r="AY54" s="11" t="n">
        <f aca="false">Units!$E53*(1+Inputs!$B$7)^(AY$2-1)</f>
        <v>2082.1912985</v>
      </c>
      <c r="AZ54" s="11" t="n">
        <f aca="false">Units!$E53*(1+Inputs!$B$7)^(AZ$2-1)</f>
        <v>2082.1912985</v>
      </c>
      <c r="BA54" s="11" t="n">
        <f aca="false">Units!$E53*(1+Inputs!$B$7)^(BA$2-1)</f>
        <v>2082.1912985</v>
      </c>
      <c r="BB54" s="11" t="n">
        <f aca="false">Units!$E53*(1+Inputs!$B$7)^(BB$2-1)</f>
        <v>2082.1912985</v>
      </c>
      <c r="BC54" s="11" t="n">
        <f aca="false">Units!$E53*(1+Inputs!$B$7)^(BC$2-1)</f>
        <v>2082.1912985</v>
      </c>
      <c r="BD54" s="11" t="n">
        <f aca="false">Units!$E53*(1+Inputs!$B$7)^(BD$2-1)</f>
        <v>2082.1912985</v>
      </c>
      <c r="BE54" s="11" t="n">
        <f aca="false">Units!$E53*(1+Inputs!$B$7)^(BE$2-1)</f>
        <v>2082.1912985</v>
      </c>
      <c r="BF54" s="11" t="n">
        <f aca="false">Units!$E53*(1+Inputs!$B$7)^(BF$2-1)</f>
        <v>2082.1912985</v>
      </c>
      <c r="BG54" s="11" t="n">
        <f aca="false">Units!$E53*(1+Inputs!$B$7)^(BG$2-1)</f>
        <v>2082.1912985</v>
      </c>
      <c r="BH54" s="11" t="n">
        <f aca="false">Units!$E53*(1+Inputs!$B$7)^(BH$2-1)</f>
        <v>2082.1912985</v>
      </c>
      <c r="BI54" s="11" t="n">
        <f aca="false">Units!$E53*(1+Inputs!$B$7)^(BI$2-1)</f>
        <v>2082.1912985</v>
      </c>
      <c r="BJ54" s="11" t="n">
        <f aca="false">Units!$E53*(1+Inputs!$B$7)^(BJ$2-1)</f>
        <v>2082.1912985</v>
      </c>
      <c r="BK54" s="11" t="n">
        <f aca="false">Units!$E53*(1+Inputs!$B$7)^(BK$2-1)</f>
        <v>2144.657037455</v>
      </c>
      <c r="BL54" s="11" t="n">
        <f aca="false">Units!$E53*(1+Inputs!$B$7)^(BL$2-1)</f>
        <v>2144.657037455</v>
      </c>
      <c r="BM54" s="11" t="n">
        <f aca="false">Units!$E53*(1+Inputs!$B$7)^(BM$2-1)</f>
        <v>2144.657037455</v>
      </c>
      <c r="BN54" s="11" t="n">
        <f aca="false">Units!$E53*(1+Inputs!$B$7)^(BN$2-1)</f>
        <v>2144.657037455</v>
      </c>
      <c r="BO54" s="11" t="n">
        <f aca="false">Units!$E53*(1+Inputs!$B$7)^(BO$2-1)</f>
        <v>2144.657037455</v>
      </c>
      <c r="BP54" s="11" t="n">
        <f aca="false">Units!$E53*(1+Inputs!$B$7)^(BP$2-1)</f>
        <v>2144.657037455</v>
      </c>
      <c r="BQ54" s="11" t="n">
        <f aca="false">Units!$E53*(1+Inputs!$B$7)^(BQ$2-1)</f>
        <v>2144.657037455</v>
      </c>
      <c r="BR54" s="11" t="n">
        <f aca="false">Units!$E53*(1+Inputs!$B$7)^(BR$2-1)</f>
        <v>2144.657037455</v>
      </c>
      <c r="BS54" s="11" t="n">
        <f aca="false">Units!$E53*(1+Inputs!$B$7)^(BS$2-1)</f>
        <v>2144.657037455</v>
      </c>
      <c r="BT54" s="11" t="n">
        <f aca="false">Units!$E53*(1+Inputs!$B$7)^(BT$2-1)</f>
        <v>2144.657037455</v>
      </c>
      <c r="BU54" s="11" t="n">
        <f aca="false">Units!$E53*(1+Inputs!$B$7)^(BU$2-1)</f>
        <v>2144.657037455</v>
      </c>
      <c r="BV54" s="11" t="n">
        <f aca="false">Units!$E53*(1+Inputs!$B$7)^(BV$2-1)</f>
        <v>2144.657037455</v>
      </c>
      <c r="BW54" s="11" t="n">
        <f aca="false">Units!$E53*(1+Inputs!$B$7)^(BW$2-1)</f>
        <v>2208.99674857865</v>
      </c>
      <c r="BX54" s="11" t="n">
        <f aca="false">Units!$E53*(1+Inputs!$B$7)^(BX$2-1)</f>
        <v>2208.99674857865</v>
      </c>
      <c r="BY54" s="11" t="n">
        <f aca="false">Units!$E53*(1+Inputs!$B$7)^(BY$2-1)</f>
        <v>2208.99674857865</v>
      </c>
      <c r="BZ54" s="11" t="n">
        <f aca="false">Units!$E53*(1+Inputs!$B$7)^(BZ$2-1)</f>
        <v>2208.99674857865</v>
      </c>
      <c r="CA54" s="11" t="n">
        <f aca="false">Units!$E53*(1+Inputs!$B$7)^(CA$2-1)</f>
        <v>2208.99674857865</v>
      </c>
      <c r="CB54" s="11" t="n">
        <f aca="false">Units!$E53*(1+Inputs!$B$7)^(CB$2-1)</f>
        <v>2208.99674857865</v>
      </c>
      <c r="CC54" s="11" t="n">
        <f aca="false">Units!$E53*(1+Inputs!$B$7)^(CC$2-1)</f>
        <v>2208.99674857865</v>
      </c>
      <c r="CD54" s="11" t="n">
        <f aca="false">Units!$E53*(1+Inputs!$B$7)^(CD$2-1)</f>
        <v>2208.99674857865</v>
      </c>
      <c r="CE54" s="11" t="n">
        <f aca="false">Units!$E53*(1+Inputs!$B$7)^(CE$2-1)</f>
        <v>2208.99674857865</v>
      </c>
      <c r="CF54" s="11" t="n">
        <f aca="false">Units!$E53*(1+Inputs!$B$7)^(CF$2-1)</f>
        <v>2208.99674857865</v>
      </c>
      <c r="CG54" s="11" t="n">
        <f aca="false">Units!$E53*(1+Inputs!$B$7)^(CG$2-1)</f>
        <v>2208.99674857865</v>
      </c>
      <c r="CH54" s="11" t="n">
        <f aca="false">Units!$E53*(1+Inputs!$B$7)^(CH$2-1)</f>
        <v>2208.99674857865</v>
      </c>
      <c r="CI54" s="11" t="n">
        <f aca="false">Units!$E53*(1+Inputs!$B$7)^(CI$2-1)</f>
        <v>2275.26665103601</v>
      </c>
      <c r="CJ54" s="11" t="n">
        <f aca="false">Units!$E53*(1+Inputs!$B$7)^(CJ$2-1)</f>
        <v>2275.26665103601</v>
      </c>
      <c r="CK54" s="11" t="n">
        <f aca="false">Units!$E53*(1+Inputs!$B$7)^(CK$2-1)</f>
        <v>2275.26665103601</v>
      </c>
      <c r="CL54" s="11" t="n">
        <f aca="false">Units!$E53*(1+Inputs!$B$7)^(CL$2-1)</f>
        <v>2275.26665103601</v>
      </c>
      <c r="CM54" s="11" t="n">
        <f aca="false">Units!$E53*(1+Inputs!$B$7)^(CM$2-1)</f>
        <v>2275.26665103601</v>
      </c>
      <c r="CN54" s="11" t="n">
        <f aca="false">Units!$E53*(1+Inputs!$B$7)^(CN$2-1)</f>
        <v>2275.26665103601</v>
      </c>
      <c r="CO54" s="11" t="n">
        <f aca="false">Units!$E53*(1+Inputs!$B$7)^(CO$2-1)</f>
        <v>2275.26665103601</v>
      </c>
      <c r="CP54" s="11" t="n">
        <f aca="false">Units!$E53*(1+Inputs!$B$7)^(CP$2-1)</f>
        <v>2275.26665103601</v>
      </c>
      <c r="CQ54" s="11" t="n">
        <f aca="false">Units!$E53*(1+Inputs!$B$7)^(CQ$2-1)</f>
        <v>2275.26665103601</v>
      </c>
      <c r="CR54" s="11" t="n">
        <f aca="false">Units!$E53*(1+Inputs!$B$7)^(CR$2-1)</f>
        <v>2275.26665103601</v>
      </c>
      <c r="CS54" s="11" t="n">
        <f aca="false">Units!$E53*(1+Inputs!$B$7)^(CS$2-1)</f>
        <v>2275.26665103601</v>
      </c>
      <c r="CT54" s="11" t="n">
        <f aca="false">Units!$E53*(1+Inputs!$B$7)^(CT$2-1)</f>
        <v>2275.26665103601</v>
      </c>
      <c r="CU54" s="11" t="n">
        <f aca="false">Units!$E53*(1+Inputs!$B$7)^(CU$2-1)</f>
        <v>2343.52465056709</v>
      </c>
      <c r="CV54" s="11" t="n">
        <f aca="false">Units!$E53*(1+Inputs!$B$7)^(CV$2-1)</f>
        <v>2343.52465056709</v>
      </c>
      <c r="CW54" s="11" t="n">
        <f aca="false">Units!$E53*(1+Inputs!$B$7)^(CW$2-1)</f>
        <v>2343.52465056709</v>
      </c>
      <c r="CX54" s="11" t="n">
        <f aca="false">Units!$E53*(1+Inputs!$B$7)^(CX$2-1)</f>
        <v>2343.52465056709</v>
      </c>
      <c r="CY54" s="11" t="n">
        <f aca="false">Units!$E53*(1+Inputs!$B$7)^(CY$2-1)</f>
        <v>2343.52465056709</v>
      </c>
      <c r="CZ54" s="11" t="n">
        <f aca="false">Units!$E53*(1+Inputs!$B$7)^(CZ$2-1)</f>
        <v>2343.52465056709</v>
      </c>
      <c r="DA54" s="11" t="n">
        <f aca="false">Units!$E53*(1+Inputs!$B$7)^(DA$2-1)</f>
        <v>2343.52465056709</v>
      </c>
      <c r="DB54" s="11" t="n">
        <f aca="false">Units!$E53*(1+Inputs!$B$7)^(DB$2-1)</f>
        <v>2343.52465056709</v>
      </c>
      <c r="DC54" s="11" t="n">
        <f aca="false">Units!$E53*(1+Inputs!$B$7)^(DC$2-1)</f>
        <v>2343.52465056709</v>
      </c>
      <c r="DD54" s="11" t="n">
        <f aca="false">Units!$E53*(1+Inputs!$B$7)^(DD$2-1)</f>
        <v>2343.52465056709</v>
      </c>
      <c r="DE54" s="11" t="n">
        <f aca="false">Units!$E53*(1+Inputs!$B$7)^(DE$2-1)</f>
        <v>2343.52465056709</v>
      </c>
      <c r="DF54" s="11" t="n">
        <f aca="false">Units!$E53*(1+Inputs!$B$7)^(DF$2-1)</f>
        <v>2343.52465056709</v>
      </c>
      <c r="DG54" s="11" t="n">
        <f aca="false">Units!$E53*(1+Inputs!$B$7)^(DG$2-1)</f>
        <v>2413.8303900841</v>
      </c>
      <c r="DH54" s="11" t="n">
        <f aca="false">Units!$E53*(1+Inputs!$B$7)^(DH$2-1)</f>
        <v>2413.8303900841</v>
      </c>
      <c r="DI54" s="11" t="n">
        <f aca="false">Units!$E53*(1+Inputs!$B$7)^(DI$2-1)</f>
        <v>2413.8303900841</v>
      </c>
      <c r="DJ54" s="11" t="n">
        <f aca="false">Units!$E53*(1+Inputs!$B$7)^(DJ$2-1)</f>
        <v>2413.8303900841</v>
      </c>
      <c r="DK54" s="11" t="n">
        <f aca="false">Units!$E53*(1+Inputs!$B$7)^(DK$2-1)</f>
        <v>2413.8303900841</v>
      </c>
      <c r="DL54" s="11" t="n">
        <f aca="false">Units!$E53*(1+Inputs!$B$7)^(DL$2-1)</f>
        <v>2413.8303900841</v>
      </c>
      <c r="DM54" s="11" t="n">
        <f aca="false">Units!$E53*(1+Inputs!$B$7)^(DM$2-1)</f>
        <v>2413.8303900841</v>
      </c>
      <c r="DN54" s="11" t="n">
        <f aca="false">Units!$E53*(1+Inputs!$B$7)^(DN$2-1)</f>
        <v>2413.8303900841</v>
      </c>
      <c r="DO54" s="11" t="n">
        <f aca="false">Units!$E53*(1+Inputs!$B$7)^(DO$2-1)</f>
        <v>2413.8303900841</v>
      </c>
      <c r="DP54" s="11" t="n">
        <f aca="false">Units!$E53*(1+Inputs!$B$7)^(DP$2-1)</f>
        <v>2413.8303900841</v>
      </c>
      <c r="DQ54" s="11" t="n">
        <f aca="false">Units!$E53*(1+Inputs!$B$7)^(DQ$2-1)</f>
        <v>2413.8303900841</v>
      </c>
      <c r="DR54" s="11" t="n">
        <f aca="false">Units!$E53*(1+Inputs!$B$7)^(DR$2-1)</f>
        <v>2413.8303900841</v>
      </c>
      <c r="DS54" s="11" t="n">
        <f aca="false">Units!$E53*(1+Inputs!$B$7)^(DS$2-1)</f>
        <v>2486.24530178663</v>
      </c>
      <c r="DT54" s="11" t="n">
        <f aca="false">Units!$E53*(1+Inputs!$B$7)^(DT$2-1)</f>
        <v>2486.24530178663</v>
      </c>
      <c r="DU54" s="11" t="n">
        <f aca="false">Units!$E53*(1+Inputs!$B$7)^(DU$2-1)</f>
        <v>2486.24530178663</v>
      </c>
      <c r="DV54" s="11" t="n">
        <f aca="false">Units!$E53*(1+Inputs!$B$7)^(DV$2-1)</f>
        <v>2486.24530178663</v>
      </c>
      <c r="DW54" s="11" t="n">
        <f aca="false">Units!$E53*(1+Inputs!$B$7)^(DW$2-1)</f>
        <v>2486.24530178663</v>
      </c>
      <c r="DX54" s="11" t="n">
        <f aca="false">Units!$E53*(1+Inputs!$B$7)^(DX$2-1)</f>
        <v>2486.24530178663</v>
      </c>
      <c r="DY54" s="11" t="n">
        <f aca="false">Units!$E53*(1+Inputs!$B$7)^(DY$2-1)</f>
        <v>2486.24530178663</v>
      </c>
      <c r="DZ54" s="11" t="n">
        <f aca="false">Units!$E53*(1+Inputs!$B$7)^(DZ$2-1)</f>
        <v>2486.24530178663</v>
      </c>
      <c r="EA54" s="11" t="n">
        <f aca="false">Units!$E53*(1+Inputs!$B$7)^(EA$2-1)</f>
        <v>2486.24530178663</v>
      </c>
      <c r="EB54" s="11" t="n">
        <f aca="false">Units!$E53*(1+Inputs!$B$7)^(EB$2-1)</f>
        <v>2486.24530178663</v>
      </c>
      <c r="EC54" s="11" t="n">
        <f aca="false">Units!$E53*(1+Inputs!$B$7)^(EC$2-1)</f>
        <v>2486.24530178663</v>
      </c>
      <c r="ED54" s="11" t="n">
        <f aca="false">Units!$E53*(1+Inputs!$B$7)^(ED$2-1)</f>
        <v>2486.24530178663</v>
      </c>
    </row>
    <row r="55" customFormat="false" ht="15" hidden="false" customHeight="false" outlineLevel="0" collapsed="false">
      <c r="A55" s="22" t="n">
        <f aca="false">Units!A54</f>
        <v>223</v>
      </c>
      <c r="B55" s="23"/>
      <c r="C55" s="11" t="n">
        <f aca="false">Units!$E54*(1+Inputs!$B$7)^(C$2-1)</f>
        <v>1850</v>
      </c>
      <c r="D55" s="11" t="n">
        <f aca="false">Units!$E54*(1+Inputs!$B$7)^(D$2-1)</f>
        <v>1850</v>
      </c>
      <c r="E55" s="11" t="n">
        <f aca="false">Units!$E54*(1+Inputs!$B$7)^(E$2-1)</f>
        <v>1850</v>
      </c>
      <c r="F55" s="11" t="n">
        <f aca="false">Units!$E54*(1+Inputs!$B$7)^(F$2-1)</f>
        <v>1850</v>
      </c>
      <c r="G55" s="11" t="n">
        <f aca="false">Units!$E54*(1+Inputs!$B$7)^(G$2-1)</f>
        <v>1850</v>
      </c>
      <c r="H55" s="11" t="n">
        <f aca="false">Units!$E54*(1+Inputs!$B$7)^(H$2-1)</f>
        <v>1850</v>
      </c>
      <c r="I55" s="11" t="n">
        <f aca="false">Units!$E54*(1+Inputs!$B$7)^(I$2-1)</f>
        <v>1850</v>
      </c>
      <c r="J55" s="11" t="n">
        <f aca="false">Units!$E54*(1+Inputs!$B$7)^(J$2-1)</f>
        <v>1850</v>
      </c>
      <c r="K55" s="11" t="n">
        <f aca="false">Units!$E54*(1+Inputs!$B$7)^(K$2-1)</f>
        <v>1850</v>
      </c>
      <c r="L55" s="11" t="n">
        <f aca="false">Units!$E54*(1+Inputs!$B$7)^(L$2-1)</f>
        <v>1850</v>
      </c>
      <c r="M55" s="11" t="n">
        <f aca="false">Units!$E54*(1+Inputs!$B$7)^(M$2-1)</f>
        <v>1850</v>
      </c>
      <c r="N55" s="11" t="n">
        <f aca="false">Units!$E54*(1+Inputs!$B$7)^(N$2-1)</f>
        <v>1850</v>
      </c>
      <c r="O55" s="11" t="n">
        <f aca="false">Units!$E54*(1+Inputs!$B$7)^(O$2-1)</f>
        <v>1905.5</v>
      </c>
      <c r="P55" s="11" t="n">
        <f aca="false">Units!$E54*(1+Inputs!$B$7)^(P$2-1)</f>
        <v>1905.5</v>
      </c>
      <c r="Q55" s="11" t="n">
        <f aca="false">Units!$E54*(1+Inputs!$B$7)^(Q$2-1)</f>
        <v>1905.5</v>
      </c>
      <c r="R55" s="11" t="n">
        <f aca="false">Units!$E54*(1+Inputs!$B$7)^(R$2-1)</f>
        <v>1905.5</v>
      </c>
      <c r="S55" s="11" t="n">
        <f aca="false">Units!$E54*(1+Inputs!$B$7)^(S$2-1)</f>
        <v>1905.5</v>
      </c>
      <c r="T55" s="11" t="n">
        <f aca="false">Units!$E54*(1+Inputs!$B$7)^(T$2-1)</f>
        <v>1905.5</v>
      </c>
      <c r="U55" s="11" t="n">
        <f aca="false">Units!$E54*(1+Inputs!$B$7)^(U$2-1)</f>
        <v>1905.5</v>
      </c>
      <c r="V55" s="11" t="n">
        <f aca="false">Units!$E54*(1+Inputs!$B$7)^(V$2-1)</f>
        <v>1905.5</v>
      </c>
      <c r="W55" s="11" t="n">
        <f aca="false">Units!$E54*(1+Inputs!$B$7)^(W$2-1)</f>
        <v>1905.5</v>
      </c>
      <c r="X55" s="11" t="n">
        <f aca="false">Units!$E54*(1+Inputs!$B$7)^(X$2-1)</f>
        <v>1905.5</v>
      </c>
      <c r="Y55" s="11" t="n">
        <f aca="false">Units!$E54*(1+Inputs!$B$7)^(Y$2-1)</f>
        <v>1905.5</v>
      </c>
      <c r="Z55" s="11" t="n">
        <f aca="false">Units!$E54*(1+Inputs!$B$7)^(Z$2-1)</f>
        <v>1905.5</v>
      </c>
      <c r="AA55" s="11" t="n">
        <f aca="false">Units!$E54*(1+Inputs!$B$7)^(AA$2-1)</f>
        <v>1962.665</v>
      </c>
      <c r="AB55" s="11" t="n">
        <f aca="false">Units!$E54*(1+Inputs!$B$7)^(AB$2-1)</f>
        <v>1962.665</v>
      </c>
      <c r="AC55" s="11" t="n">
        <f aca="false">Units!$E54*(1+Inputs!$B$7)^(AC$2-1)</f>
        <v>1962.665</v>
      </c>
      <c r="AD55" s="11" t="n">
        <f aca="false">Units!$E54*(1+Inputs!$B$7)^(AD$2-1)</f>
        <v>1962.665</v>
      </c>
      <c r="AE55" s="11" t="n">
        <f aca="false">Units!$E54*(1+Inputs!$B$7)^(AE$2-1)</f>
        <v>1962.665</v>
      </c>
      <c r="AF55" s="11" t="n">
        <f aca="false">Units!$E54*(1+Inputs!$B$7)^(AF$2-1)</f>
        <v>1962.665</v>
      </c>
      <c r="AG55" s="11" t="n">
        <f aca="false">Units!$E54*(1+Inputs!$B$7)^(AG$2-1)</f>
        <v>1962.665</v>
      </c>
      <c r="AH55" s="11" t="n">
        <f aca="false">Units!$E54*(1+Inputs!$B$7)^(AH$2-1)</f>
        <v>1962.665</v>
      </c>
      <c r="AI55" s="11" t="n">
        <f aca="false">Units!$E54*(1+Inputs!$B$7)^(AI$2-1)</f>
        <v>1962.665</v>
      </c>
      <c r="AJ55" s="11" t="n">
        <f aca="false">Units!$E54*(1+Inputs!$B$7)^(AJ$2-1)</f>
        <v>1962.665</v>
      </c>
      <c r="AK55" s="11" t="n">
        <f aca="false">Units!$E54*(1+Inputs!$B$7)^(AK$2-1)</f>
        <v>1962.665</v>
      </c>
      <c r="AL55" s="11" t="n">
        <f aca="false">Units!$E54*(1+Inputs!$B$7)^(AL$2-1)</f>
        <v>1962.665</v>
      </c>
      <c r="AM55" s="11" t="n">
        <f aca="false">Units!$E54*(1+Inputs!$B$7)^(AM$2-1)</f>
        <v>2021.54495</v>
      </c>
      <c r="AN55" s="11" t="n">
        <f aca="false">Units!$E54*(1+Inputs!$B$7)^(AN$2-1)</f>
        <v>2021.54495</v>
      </c>
      <c r="AO55" s="11" t="n">
        <f aca="false">Units!$E54*(1+Inputs!$B$7)^(AO$2-1)</f>
        <v>2021.54495</v>
      </c>
      <c r="AP55" s="11" t="n">
        <f aca="false">Units!$E54*(1+Inputs!$B$7)^(AP$2-1)</f>
        <v>2021.54495</v>
      </c>
      <c r="AQ55" s="11" t="n">
        <f aca="false">Units!$E54*(1+Inputs!$B$7)^(AQ$2-1)</f>
        <v>2021.54495</v>
      </c>
      <c r="AR55" s="11" t="n">
        <f aca="false">Units!$E54*(1+Inputs!$B$7)^(AR$2-1)</f>
        <v>2021.54495</v>
      </c>
      <c r="AS55" s="11" t="n">
        <f aca="false">Units!$E54*(1+Inputs!$B$7)^(AS$2-1)</f>
        <v>2021.54495</v>
      </c>
      <c r="AT55" s="11" t="n">
        <f aca="false">Units!$E54*(1+Inputs!$B$7)^(AT$2-1)</f>
        <v>2021.54495</v>
      </c>
      <c r="AU55" s="11" t="n">
        <f aca="false">Units!$E54*(1+Inputs!$B$7)^(AU$2-1)</f>
        <v>2021.54495</v>
      </c>
      <c r="AV55" s="11" t="n">
        <f aca="false">Units!$E54*(1+Inputs!$B$7)^(AV$2-1)</f>
        <v>2021.54495</v>
      </c>
      <c r="AW55" s="11" t="n">
        <f aca="false">Units!$E54*(1+Inputs!$B$7)^(AW$2-1)</f>
        <v>2021.54495</v>
      </c>
      <c r="AX55" s="11" t="n">
        <f aca="false">Units!$E54*(1+Inputs!$B$7)^(AX$2-1)</f>
        <v>2021.54495</v>
      </c>
      <c r="AY55" s="11" t="n">
        <f aca="false">Units!$E54*(1+Inputs!$B$7)^(AY$2-1)</f>
        <v>2082.1912985</v>
      </c>
      <c r="AZ55" s="11" t="n">
        <f aca="false">Units!$E54*(1+Inputs!$B$7)^(AZ$2-1)</f>
        <v>2082.1912985</v>
      </c>
      <c r="BA55" s="11" t="n">
        <f aca="false">Units!$E54*(1+Inputs!$B$7)^(BA$2-1)</f>
        <v>2082.1912985</v>
      </c>
      <c r="BB55" s="11" t="n">
        <f aca="false">Units!$E54*(1+Inputs!$B$7)^(BB$2-1)</f>
        <v>2082.1912985</v>
      </c>
      <c r="BC55" s="11" t="n">
        <f aca="false">Units!$E54*(1+Inputs!$B$7)^(BC$2-1)</f>
        <v>2082.1912985</v>
      </c>
      <c r="BD55" s="11" t="n">
        <f aca="false">Units!$E54*(1+Inputs!$B$7)^(BD$2-1)</f>
        <v>2082.1912985</v>
      </c>
      <c r="BE55" s="11" t="n">
        <f aca="false">Units!$E54*(1+Inputs!$B$7)^(BE$2-1)</f>
        <v>2082.1912985</v>
      </c>
      <c r="BF55" s="11" t="n">
        <f aca="false">Units!$E54*(1+Inputs!$B$7)^(BF$2-1)</f>
        <v>2082.1912985</v>
      </c>
      <c r="BG55" s="11" t="n">
        <f aca="false">Units!$E54*(1+Inputs!$B$7)^(BG$2-1)</f>
        <v>2082.1912985</v>
      </c>
      <c r="BH55" s="11" t="n">
        <f aca="false">Units!$E54*(1+Inputs!$B$7)^(BH$2-1)</f>
        <v>2082.1912985</v>
      </c>
      <c r="BI55" s="11" t="n">
        <f aca="false">Units!$E54*(1+Inputs!$B$7)^(BI$2-1)</f>
        <v>2082.1912985</v>
      </c>
      <c r="BJ55" s="11" t="n">
        <f aca="false">Units!$E54*(1+Inputs!$B$7)^(BJ$2-1)</f>
        <v>2082.1912985</v>
      </c>
      <c r="BK55" s="11" t="n">
        <f aca="false">Units!$E54*(1+Inputs!$B$7)^(BK$2-1)</f>
        <v>2144.657037455</v>
      </c>
      <c r="BL55" s="11" t="n">
        <f aca="false">Units!$E54*(1+Inputs!$B$7)^(BL$2-1)</f>
        <v>2144.657037455</v>
      </c>
      <c r="BM55" s="11" t="n">
        <f aca="false">Units!$E54*(1+Inputs!$B$7)^(BM$2-1)</f>
        <v>2144.657037455</v>
      </c>
      <c r="BN55" s="11" t="n">
        <f aca="false">Units!$E54*(1+Inputs!$B$7)^(BN$2-1)</f>
        <v>2144.657037455</v>
      </c>
      <c r="BO55" s="11" t="n">
        <f aca="false">Units!$E54*(1+Inputs!$B$7)^(BO$2-1)</f>
        <v>2144.657037455</v>
      </c>
      <c r="BP55" s="11" t="n">
        <f aca="false">Units!$E54*(1+Inputs!$B$7)^(BP$2-1)</f>
        <v>2144.657037455</v>
      </c>
      <c r="BQ55" s="11" t="n">
        <f aca="false">Units!$E54*(1+Inputs!$B$7)^(BQ$2-1)</f>
        <v>2144.657037455</v>
      </c>
      <c r="BR55" s="11" t="n">
        <f aca="false">Units!$E54*(1+Inputs!$B$7)^(BR$2-1)</f>
        <v>2144.657037455</v>
      </c>
      <c r="BS55" s="11" t="n">
        <f aca="false">Units!$E54*(1+Inputs!$B$7)^(BS$2-1)</f>
        <v>2144.657037455</v>
      </c>
      <c r="BT55" s="11" t="n">
        <f aca="false">Units!$E54*(1+Inputs!$B$7)^(BT$2-1)</f>
        <v>2144.657037455</v>
      </c>
      <c r="BU55" s="11" t="n">
        <f aca="false">Units!$E54*(1+Inputs!$B$7)^(BU$2-1)</f>
        <v>2144.657037455</v>
      </c>
      <c r="BV55" s="11" t="n">
        <f aca="false">Units!$E54*(1+Inputs!$B$7)^(BV$2-1)</f>
        <v>2144.657037455</v>
      </c>
      <c r="BW55" s="11" t="n">
        <f aca="false">Units!$E54*(1+Inputs!$B$7)^(BW$2-1)</f>
        <v>2208.99674857865</v>
      </c>
      <c r="BX55" s="11" t="n">
        <f aca="false">Units!$E54*(1+Inputs!$B$7)^(BX$2-1)</f>
        <v>2208.99674857865</v>
      </c>
      <c r="BY55" s="11" t="n">
        <f aca="false">Units!$E54*(1+Inputs!$B$7)^(BY$2-1)</f>
        <v>2208.99674857865</v>
      </c>
      <c r="BZ55" s="11" t="n">
        <f aca="false">Units!$E54*(1+Inputs!$B$7)^(BZ$2-1)</f>
        <v>2208.99674857865</v>
      </c>
      <c r="CA55" s="11" t="n">
        <f aca="false">Units!$E54*(1+Inputs!$B$7)^(CA$2-1)</f>
        <v>2208.99674857865</v>
      </c>
      <c r="CB55" s="11" t="n">
        <f aca="false">Units!$E54*(1+Inputs!$B$7)^(CB$2-1)</f>
        <v>2208.99674857865</v>
      </c>
      <c r="CC55" s="11" t="n">
        <f aca="false">Units!$E54*(1+Inputs!$B$7)^(CC$2-1)</f>
        <v>2208.99674857865</v>
      </c>
      <c r="CD55" s="11" t="n">
        <f aca="false">Units!$E54*(1+Inputs!$B$7)^(CD$2-1)</f>
        <v>2208.99674857865</v>
      </c>
      <c r="CE55" s="11" t="n">
        <f aca="false">Units!$E54*(1+Inputs!$B$7)^(CE$2-1)</f>
        <v>2208.99674857865</v>
      </c>
      <c r="CF55" s="11" t="n">
        <f aca="false">Units!$E54*(1+Inputs!$B$7)^(CF$2-1)</f>
        <v>2208.99674857865</v>
      </c>
      <c r="CG55" s="11" t="n">
        <f aca="false">Units!$E54*(1+Inputs!$B$7)^(CG$2-1)</f>
        <v>2208.99674857865</v>
      </c>
      <c r="CH55" s="11" t="n">
        <f aca="false">Units!$E54*(1+Inputs!$B$7)^(CH$2-1)</f>
        <v>2208.99674857865</v>
      </c>
      <c r="CI55" s="11" t="n">
        <f aca="false">Units!$E54*(1+Inputs!$B$7)^(CI$2-1)</f>
        <v>2275.26665103601</v>
      </c>
      <c r="CJ55" s="11" t="n">
        <f aca="false">Units!$E54*(1+Inputs!$B$7)^(CJ$2-1)</f>
        <v>2275.26665103601</v>
      </c>
      <c r="CK55" s="11" t="n">
        <f aca="false">Units!$E54*(1+Inputs!$B$7)^(CK$2-1)</f>
        <v>2275.26665103601</v>
      </c>
      <c r="CL55" s="11" t="n">
        <f aca="false">Units!$E54*(1+Inputs!$B$7)^(CL$2-1)</f>
        <v>2275.26665103601</v>
      </c>
      <c r="CM55" s="11" t="n">
        <f aca="false">Units!$E54*(1+Inputs!$B$7)^(CM$2-1)</f>
        <v>2275.26665103601</v>
      </c>
      <c r="CN55" s="11" t="n">
        <f aca="false">Units!$E54*(1+Inputs!$B$7)^(CN$2-1)</f>
        <v>2275.26665103601</v>
      </c>
      <c r="CO55" s="11" t="n">
        <f aca="false">Units!$E54*(1+Inputs!$B$7)^(CO$2-1)</f>
        <v>2275.26665103601</v>
      </c>
      <c r="CP55" s="11" t="n">
        <f aca="false">Units!$E54*(1+Inputs!$B$7)^(CP$2-1)</f>
        <v>2275.26665103601</v>
      </c>
      <c r="CQ55" s="11" t="n">
        <f aca="false">Units!$E54*(1+Inputs!$B$7)^(CQ$2-1)</f>
        <v>2275.26665103601</v>
      </c>
      <c r="CR55" s="11" t="n">
        <f aca="false">Units!$E54*(1+Inputs!$B$7)^(CR$2-1)</f>
        <v>2275.26665103601</v>
      </c>
      <c r="CS55" s="11" t="n">
        <f aca="false">Units!$E54*(1+Inputs!$B$7)^(CS$2-1)</f>
        <v>2275.26665103601</v>
      </c>
      <c r="CT55" s="11" t="n">
        <f aca="false">Units!$E54*(1+Inputs!$B$7)^(CT$2-1)</f>
        <v>2275.26665103601</v>
      </c>
      <c r="CU55" s="11" t="n">
        <f aca="false">Units!$E54*(1+Inputs!$B$7)^(CU$2-1)</f>
        <v>2343.52465056709</v>
      </c>
      <c r="CV55" s="11" t="n">
        <f aca="false">Units!$E54*(1+Inputs!$B$7)^(CV$2-1)</f>
        <v>2343.52465056709</v>
      </c>
      <c r="CW55" s="11" t="n">
        <f aca="false">Units!$E54*(1+Inputs!$B$7)^(CW$2-1)</f>
        <v>2343.52465056709</v>
      </c>
      <c r="CX55" s="11" t="n">
        <f aca="false">Units!$E54*(1+Inputs!$B$7)^(CX$2-1)</f>
        <v>2343.52465056709</v>
      </c>
      <c r="CY55" s="11" t="n">
        <f aca="false">Units!$E54*(1+Inputs!$B$7)^(CY$2-1)</f>
        <v>2343.52465056709</v>
      </c>
      <c r="CZ55" s="11" t="n">
        <f aca="false">Units!$E54*(1+Inputs!$B$7)^(CZ$2-1)</f>
        <v>2343.52465056709</v>
      </c>
      <c r="DA55" s="11" t="n">
        <f aca="false">Units!$E54*(1+Inputs!$B$7)^(DA$2-1)</f>
        <v>2343.52465056709</v>
      </c>
      <c r="DB55" s="11" t="n">
        <f aca="false">Units!$E54*(1+Inputs!$B$7)^(DB$2-1)</f>
        <v>2343.52465056709</v>
      </c>
      <c r="DC55" s="11" t="n">
        <f aca="false">Units!$E54*(1+Inputs!$B$7)^(DC$2-1)</f>
        <v>2343.52465056709</v>
      </c>
      <c r="DD55" s="11" t="n">
        <f aca="false">Units!$E54*(1+Inputs!$B$7)^(DD$2-1)</f>
        <v>2343.52465056709</v>
      </c>
      <c r="DE55" s="11" t="n">
        <f aca="false">Units!$E54*(1+Inputs!$B$7)^(DE$2-1)</f>
        <v>2343.52465056709</v>
      </c>
      <c r="DF55" s="11" t="n">
        <f aca="false">Units!$E54*(1+Inputs!$B$7)^(DF$2-1)</f>
        <v>2343.52465056709</v>
      </c>
      <c r="DG55" s="11" t="n">
        <f aca="false">Units!$E54*(1+Inputs!$B$7)^(DG$2-1)</f>
        <v>2413.8303900841</v>
      </c>
      <c r="DH55" s="11" t="n">
        <f aca="false">Units!$E54*(1+Inputs!$B$7)^(DH$2-1)</f>
        <v>2413.8303900841</v>
      </c>
      <c r="DI55" s="11" t="n">
        <f aca="false">Units!$E54*(1+Inputs!$B$7)^(DI$2-1)</f>
        <v>2413.8303900841</v>
      </c>
      <c r="DJ55" s="11" t="n">
        <f aca="false">Units!$E54*(1+Inputs!$B$7)^(DJ$2-1)</f>
        <v>2413.8303900841</v>
      </c>
      <c r="DK55" s="11" t="n">
        <f aca="false">Units!$E54*(1+Inputs!$B$7)^(DK$2-1)</f>
        <v>2413.8303900841</v>
      </c>
      <c r="DL55" s="11" t="n">
        <f aca="false">Units!$E54*(1+Inputs!$B$7)^(DL$2-1)</f>
        <v>2413.8303900841</v>
      </c>
      <c r="DM55" s="11" t="n">
        <f aca="false">Units!$E54*(1+Inputs!$B$7)^(DM$2-1)</f>
        <v>2413.8303900841</v>
      </c>
      <c r="DN55" s="11" t="n">
        <f aca="false">Units!$E54*(1+Inputs!$B$7)^(DN$2-1)</f>
        <v>2413.8303900841</v>
      </c>
      <c r="DO55" s="11" t="n">
        <f aca="false">Units!$E54*(1+Inputs!$B$7)^(DO$2-1)</f>
        <v>2413.8303900841</v>
      </c>
      <c r="DP55" s="11" t="n">
        <f aca="false">Units!$E54*(1+Inputs!$B$7)^(DP$2-1)</f>
        <v>2413.8303900841</v>
      </c>
      <c r="DQ55" s="11" t="n">
        <f aca="false">Units!$E54*(1+Inputs!$B$7)^(DQ$2-1)</f>
        <v>2413.8303900841</v>
      </c>
      <c r="DR55" s="11" t="n">
        <f aca="false">Units!$E54*(1+Inputs!$B$7)^(DR$2-1)</f>
        <v>2413.8303900841</v>
      </c>
      <c r="DS55" s="11" t="n">
        <f aca="false">Units!$E54*(1+Inputs!$B$7)^(DS$2-1)</f>
        <v>2486.24530178663</v>
      </c>
      <c r="DT55" s="11" t="n">
        <f aca="false">Units!$E54*(1+Inputs!$B$7)^(DT$2-1)</f>
        <v>2486.24530178663</v>
      </c>
      <c r="DU55" s="11" t="n">
        <f aca="false">Units!$E54*(1+Inputs!$B$7)^(DU$2-1)</f>
        <v>2486.24530178663</v>
      </c>
      <c r="DV55" s="11" t="n">
        <f aca="false">Units!$E54*(1+Inputs!$B$7)^(DV$2-1)</f>
        <v>2486.24530178663</v>
      </c>
      <c r="DW55" s="11" t="n">
        <f aca="false">Units!$E54*(1+Inputs!$B$7)^(DW$2-1)</f>
        <v>2486.24530178663</v>
      </c>
      <c r="DX55" s="11" t="n">
        <f aca="false">Units!$E54*(1+Inputs!$B$7)^(DX$2-1)</f>
        <v>2486.24530178663</v>
      </c>
      <c r="DY55" s="11" t="n">
        <f aca="false">Units!$E54*(1+Inputs!$B$7)^(DY$2-1)</f>
        <v>2486.24530178663</v>
      </c>
      <c r="DZ55" s="11" t="n">
        <f aca="false">Units!$E54*(1+Inputs!$B$7)^(DZ$2-1)</f>
        <v>2486.24530178663</v>
      </c>
      <c r="EA55" s="11" t="n">
        <f aca="false">Units!$E54*(1+Inputs!$B$7)^(EA$2-1)</f>
        <v>2486.24530178663</v>
      </c>
      <c r="EB55" s="11" t="n">
        <f aca="false">Units!$E54*(1+Inputs!$B$7)^(EB$2-1)</f>
        <v>2486.24530178663</v>
      </c>
      <c r="EC55" s="11" t="n">
        <f aca="false">Units!$E54*(1+Inputs!$B$7)^(EC$2-1)</f>
        <v>2486.24530178663</v>
      </c>
      <c r="ED55" s="11" t="n">
        <f aca="false">Units!$E54*(1+Inputs!$B$7)^(ED$2-1)</f>
        <v>2486.24530178663</v>
      </c>
    </row>
    <row r="56" customFormat="false" ht="15" hidden="false" customHeight="false" outlineLevel="0" collapsed="false">
      <c r="A56" s="22" t="n">
        <f aca="false">Units!A55</f>
        <v>224</v>
      </c>
      <c r="B56" s="23"/>
      <c r="C56" s="11" t="n">
        <f aca="false">Units!$E55*(1+Inputs!$B$7)^(C$2-1)</f>
        <v>1850</v>
      </c>
      <c r="D56" s="11" t="n">
        <f aca="false">Units!$E55*(1+Inputs!$B$7)^(D$2-1)</f>
        <v>1850</v>
      </c>
      <c r="E56" s="11" t="n">
        <f aca="false">Units!$E55*(1+Inputs!$B$7)^(E$2-1)</f>
        <v>1850</v>
      </c>
      <c r="F56" s="11" t="n">
        <f aca="false">Units!$E55*(1+Inputs!$B$7)^(F$2-1)</f>
        <v>1850</v>
      </c>
      <c r="G56" s="11" t="n">
        <f aca="false">Units!$E55*(1+Inputs!$B$7)^(G$2-1)</f>
        <v>1850</v>
      </c>
      <c r="H56" s="11" t="n">
        <f aca="false">Units!$E55*(1+Inputs!$B$7)^(H$2-1)</f>
        <v>1850</v>
      </c>
      <c r="I56" s="11" t="n">
        <f aca="false">Units!$E55*(1+Inputs!$B$7)^(I$2-1)</f>
        <v>1850</v>
      </c>
      <c r="J56" s="11" t="n">
        <f aca="false">Units!$E55*(1+Inputs!$B$7)^(J$2-1)</f>
        <v>1850</v>
      </c>
      <c r="K56" s="11" t="n">
        <f aca="false">Units!$E55*(1+Inputs!$B$7)^(K$2-1)</f>
        <v>1850</v>
      </c>
      <c r="L56" s="11" t="n">
        <f aca="false">Units!$E55*(1+Inputs!$B$7)^(L$2-1)</f>
        <v>1850</v>
      </c>
      <c r="M56" s="11" t="n">
        <f aca="false">Units!$E55*(1+Inputs!$B$7)^(M$2-1)</f>
        <v>1850</v>
      </c>
      <c r="N56" s="11" t="n">
        <f aca="false">Units!$E55*(1+Inputs!$B$7)^(N$2-1)</f>
        <v>1850</v>
      </c>
      <c r="O56" s="11" t="n">
        <f aca="false">Units!$E55*(1+Inputs!$B$7)^(O$2-1)</f>
        <v>1905.5</v>
      </c>
      <c r="P56" s="11" t="n">
        <f aca="false">Units!$E55*(1+Inputs!$B$7)^(P$2-1)</f>
        <v>1905.5</v>
      </c>
      <c r="Q56" s="11" t="n">
        <f aca="false">Units!$E55*(1+Inputs!$B$7)^(Q$2-1)</f>
        <v>1905.5</v>
      </c>
      <c r="R56" s="11" t="n">
        <f aca="false">Units!$E55*(1+Inputs!$B$7)^(R$2-1)</f>
        <v>1905.5</v>
      </c>
      <c r="S56" s="11" t="n">
        <f aca="false">Units!$E55*(1+Inputs!$B$7)^(S$2-1)</f>
        <v>1905.5</v>
      </c>
      <c r="T56" s="11" t="n">
        <f aca="false">Units!$E55*(1+Inputs!$B$7)^(T$2-1)</f>
        <v>1905.5</v>
      </c>
      <c r="U56" s="11" t="n">
        <f aca="false">Units!$E55*(1+Inputs!$B$7)^(U$2-1)</f>
        <v>1905.5</v>
      </c>
      <c r="V56" s="11" t="n">
        <f aca="false">Units!$E55*(1+Inputs!$B$7)^(V$2-1)</f>
        <v>1905.5</v>
      </c>
      <c r="W56" s="11" t="n">
        <f aca="false">Units!$E55*(1+Inputs!$B$7)^(W$2-1)</f>
        <v>1905.5</v>
      </c>
      <c r="X56" s="11" t="n">
        <f aca="false">Units!$E55*(1+Inputs!$B$7)^(X$2-1)</f>
        <v>1905.5</v>
      </c>
      <c r="Y56" s="11" t="n">
        <f aca="false">Units!$E55*(1+Inputs!$B$7)^(Y$2-1)</f>
        <v>1905.5</v>
      </c>
      <c r="Z56" s="11" t="n">
        <f aca="false">Units!$E55*(1+Inputs!$B$7)^(Z$2-1)</f>
        <v>1905.5</v>
      </c>
      <c r="AA56" s="11" t="n">
        <f aca="false">Units!$E55*(1+Inputs!$B$7)^(AA$2-1)</f>
        <v>1962.665</v>
      </c>
      <c r="AB56" s="11" t="n">
        <f aca="false">Units!$E55*(1+Inputs!$B$7)^(AB$2-1)</f>
        <v>1962.665</v>
      </c>
      <c r="AC56" s="11" t="n">
        <f aca="false">Units!$E55*(1+Inputs!$B$7)^(AC$2-1)</f>
        <v>1962.665</v>
      </c>
      <c r="AD56" s="11" t="n">
        <f aca="false">Units!$E55*(1+Inputs!$B$7)^(AD$2-1)</f>
        <v>1962.665</v>
      </c>
      <c r="AE56" s="11" t="n">
        <f aca="false">Units!$E55*(1+Inputs!$B$7)^(AE$2-1)</f>
        <v>1962.665</v>
      </c>
      <c r="AF56" s="11" t="n">
        <f aca="false">Units!$E55*(1+Inputs!$B$7)^(AF$2-1)</f>
        <v>1962.665</v>
      </c>
      <c r="AG56" s="11" t="n">
        <f aca="false">Units!$E55*(1+Inputs!$B$7)^(AG$2-1)</f>
        <v>1962.665</v>
      </c>
      <c r="AH56" s="11" t="n">
        <f aca="false">Units!$E55*(1+Inputs!$B$7)^(AH$2-1)</f>
        <v>1962.665</v>
      </c>
      <c r="AI56" s="11" t="n">
        <f aca="false">Units!$E55*(1+Inputs!$B$7)^(AI$2-1)</f>
        <v>1962.665</v>
      </c>
      <c r="AJ56" s="11" t="n">
        <f aca="false">Units!$E55*(1+Inputs!$B$7)^(AJ$2-1)</f>
        <v>1962.665</v>
      </c>
      <c r="AK56" s="11" t="n">
        <f aca="false">Units!$E55*(1+Inputs!$B$7)^(AK$2-1)</f>
        <v>1962.665</v>
      </c>
      <c r="AL56" s="11" t="n">
        <f aca="false">Units!$E55*(1+Inputs!$B$7)^(AL$2-1)</f>
        <v>1962.665</v>
      </c>
      <c r="AM56" s="11" t="n">
        <f aca="false">Units!$E55*(1+Inputs!$B$7)^(AM$2-1)</f>
        <v>2021.54495</v>
      </c>
      <c r="AN56" s="11" t="n">
        <f aca="false">Units!$E55*(1+Inputs!$B$7)^(AN$2-1)</f>
        <v>2021.54495</v>
      </c>
      <c r="AO56" s="11" t="n">
        <f aca="false">Units!$E55*(1+Inputs!$B$7)^(AO$2-1)</f>
        <v>2021.54495</v>
      </c>
      <c r="AP56" s="11" t="n">
        <f aca="false">Units!$E55*(1+Inputs!$B$7)^(AP$2-1)</f>
        <v>2021.54495</v>
      </c>
      <c r="AQ56" s="11" t="n">
        <f aca="false">Units!$E55*(1+Inputs!$B$7)^(AQ$2-1)</f>
        <v>2021.54495</v>
      </c>
      <c r="AR56" s="11" t="n">
        <f aca="false">Units!$E55*(1+Inputs!$B$7)^(AR$2-1)</f>
        <v>2021.54495</v>
      </c>
      <c r="AS56" s="11" t="n">
        <f aca="false">Units!$E55*(1+Inputs!$B$7)^(AS$2-1)</f>
        <v>2021.54495</v>
      </c>
      <c r="AT56" s="11" t="n">
        <f aca="false">Units!$E55*(1+Inputs!$B$7)^(AT$2-1)</f>
        <v>2021.54495</v>
      </c>
      <c r="AU56" s="11" t="n">
        <f aca="false">Units!$E55*(1+Inputs!$B$7)^(AU$2-1)</f>
        <v>2021.54495</v>
      </c>
      <c r="AV56" s="11" t="n">
        <f aca="false">Units!$E55*(1+Inputs!$B$7)^(AV$2-1)</f>
        <v>2021.54495</v>
      </c>
      <c r="AW56" s="11" t="n">
        <f aca="false">Units!$E55*(1+Inputs!$B$7)^(AW$2-1)</f>
        <v>2021.54495</v>
      </c>
      <c r="AX56" s="11" t="n">
        <f aca="false">Units!$E55*(1+Inputs!$B$7)^(AX$2-1)</f>
        <v>2021.54495</v>
      </c>
      <c r="AY56" s="11" t="n">
        <f aca="false">Units!$E55*(1+Inputs!$B$7)^(AY$2-1)</f>
        <v>2082.1912985</v>
      </c>
      <c r="AZ56" s="11" t="n">
        <f aca="false">Units!$E55*(1+Inputs!$B$7)^(AZ$2-1)</f>
        <v>2082.1912985</v>
      </c>
      <c r="BA56" s="11" t="n">
        <f aca="false">Units!$E55*(1+Inputs!$B$7)^(BA$2-1)</f>
        <v>2082.1912985</v>
      </c>
      <c r="BB56" s="11" t="n">
        <f aca="false">Units!$E55*(1+Inputs!$B$7)^(BB$2-1)</f>
        <v>2082.1912985</v>
      </c>
      <c r="BC56" s="11" t="n">
        <f aca="false">Units!$E55*(1+Inputs!$B$7)^(BC$2-1)</f>
        <v>2082.1912985</v>
      </c>
      <c r="BD56" s="11" t="n">
        <f aca="false">Units!$E55*(1+Inputs!$B$7)^(BD$2-1)</f>
        <v>2082.1912985</v>
      </c>
      <c r="BE56" s="11" t="n">
        <f aca="false">Units!$E55*(1+Inputs!$B$7)^(BE$2-1)</f>
        <v>2082.1912985</v>
      </c>
      <c r="BF56" s="11" t="n">
        <f aca="false">Units!$E55*(1+Inputs!$B$7)^(BF$2-1)</f>
        <v>2082.1912985</v>
      </c>
      <c r="BG56" s="11" t="n">
        <f aca="false">Units!$E55*(1+Inputs!$B$7)^(BG$2-1)</f>
        <v>2082.1912985</v>
      </c>
      <c r="BH56" s="11" t="n">
        <f aca="false">Units!$E55*(1+Inputs!$B$7)^(BH$2-1)</f>
        <v>2082.1912985</v>
      </c>
      <c r="BI56" s="11" t="n">
        <f aca="false">Units!$E55*(1+Inputs!$B$7)^(BI$2-1)</f>
        <v>2082.1912985</v>
      </c>
      <c r="BJ56" s="11" t="n">
        <f aca="false">Units!$E55*(1+Inputs!$B$7)^(BJ$2-1)</f>
        <v>2082.1912985</v>
      </c>
      <c r="BK56" s="11" t="n">
        <f aca="false">Units!$E55*(1+Inputs!$B$7)^(BK$2-1)</f>
        <v>2144.657037455</v>
      </c>
      <c r="BL56" s="11" t="n">
        <f aca="false">Units!$E55*(1+Inputs!$B$7)^(BL$2-1)</f>
        <v>2144.657037455</v>
      </c>
      <c r="BM56" s="11" t="n">
        <f aca="false">Units!$E55*(1+Inputs!$B$7)^(BM$2-1)</f>
        <v>2144.657037455</v>
      </c>
      <c r="BN56" s="11" t="n">
        <f aca="false">Units!$E55*(1+Inputs!$B$7)^(BN$2-1)</f>
        <v>2144.657037455</v>
      </c>
      <c r="BO56" s="11" t="n">
        <f aca="false">Units!$E55*(1+Inputs!$B$7)^(BO$2-1)</f>
        <v>2144.657037455</v>
      </c>
      <c r="BP56" s="11" t="n">
        <f aca="false">Units!$E55*(1+Inputs!$B$7)^(BP$2-1)</f>
        <v>2144.657037455</v>
      </c>
      <c r="BQ56" s="11" t="n">
        <f aca="false">Units!$E55*(1+Inputs!$B$7)^(BQ$2-1)</f>
        <v>2144.657037455</v>
      </c>
      <c r="BR56" s="11" t="n">
        <f aca="false">Units!$E55*(1+Inputs!$B$7)^(BR$2-1)</f>
        <v>2144.657037455</v>
      </c>
      <c r="BS56" s="11" t="n">
        <f aca="false">Units!$E55*(1+Inputs!$B$7)^(BS$2-1)</f>
        <v>2144.657037455</v>
      </c>
      <c r="BT56" s="11" t="n">
        <f aca="false">Units!$E55*(1+Inputs!$B$7)^(BT$2-1)</f>
        <v>2144.657037455</v>
      </c>
      <c r="BU56" s="11" t="n">
        <f aca="false">Units!$E55*(1+Inputs!$B$7)^(BU$2-1)</f>
        <v>2144.657037455</v>
      </c>
      <c r="BV56" s="11" t="n">
        <f aca="false">Units!$E55*(1+Inputs!$B$7)^(BV$2-1)</f>
        <v>2144.657037455</v>
      </c>
      <c r="BW56" s="11" t="n">
        <f aca="false">Units!$E55*(1+Inputs!$B$7)^(BW$2-1)</f>
        <v>2208.99674857865</v>
      </c>
      <c r="BX56" s="11" t="n">
        <f aca="false">Units!$E55*(1+Inputs!$B$7)^(BX$2-1)</f>
        <v>2208.99674857865</v>
      </c>
      <c r="BY56" s="11" t="n">
        <f aca="false">Units!$E55*(1+Inputs!$B$7)^(BY$2-1)</f>
        <v>2208.99674857865</v>
      </c>
      <c r="BZ56" s="11" t="n">
        <f aca="false">Units!$E55*(1+Inputs!$B$7)^(BZ$2-1)</f>
        <v>2208.99674857865</v>
      </c>
      <c r="CA56" s="11" t="n">
        <f aca="false">Units!$E55*(1+Inputs!$B$7)^(CA$2-1)</f>
        <v>2208.99674857865</v>
      </c>
      <c r="CB56" s="11" t="n">
        <f aca="false">Units!$E55*(1+Inputs!$B$7)^(CB$2-1)</f>
        <v>2208.99674857865</v>
      </c>
      <c r="CC56" s="11" t="n">
        <f aca="false">Units!$E55*(1+Inputs!$B$7)^(CC$2-1)</f>
        <v>2208.99674857865</v>
      </c>
      <c r="CD56" s="11" t="n">
        <f aca="false">Units!$E55*(1+Inputs!$B$7)^(CD$2-1)</f>
        <v>2208.99674857865</v>
      </c>
      <c r="CE56" s="11" t="n">
        <f aca="false">Units!$E55*(1+Inputs!$B$7)^(CE$2-1)</f>
        <v>2208.99674857865</v>
      </c>
      <c r="CF56" s="11" t="n">
        <f aca="false">Units!$E55*(1+Inputs!$B$7)^(CF$2-1)</f>
        <v>2208.99674857865</v>
      </c>
      <c r="CG56" s="11" t="n">
        <f aca="false">Units!$E55*(1+Inputs!$B$7)^(CG$2-1)</f>
        <v>2208.99674857865</v>
      </c>
      <c r="CH56" s="11" t="n">
        <f aca="false">Units!$E55*(1+Inputs!$B$7)^(CH$2-1)</f>
        <v>2208.99674857865</v>
      </c>
      <c r="CI56" s="11" t="n">
        <f aca="false">Units!$E55*(1+Inputs!$B$7)^(CI$2-1)</f>
        <v>2275.26665103601</v>
      </c>
      <c r="CJ56" s="11" t="n">
        <f aca="false">Units!$E55*(1+Inputs!$B$7)^(CJ$2-1)</f>
        <v>2275.26665103601</v>
      </c>
      <c r="CK56" s="11" t="n">
        <f aca="false">Units!$E55*(1+Inputs!$B$7)^(CK$2-1)</f>
        <v>2275.26665103601</v>
      </c>
      <c r="CL56" s="11" t="n">
        <f aca="false">Units!$E55*(1+Inputs!$B$7)^(CL$2-1)</f>
        <v>2275.26665103601</v>
      </c>
      <c r="CM56" s="11" t="n">
        <f aca="false">Units!$E55*(1+Inputs!$B$7)^(CM$2-1)</f>
        <v>2275.26665103601</v>
      </c>
      <c r="CN56" s="11" t="n">
        <f aca="false">Units!$E55*(1+Inputs!$B$7)^(CN$2-1)</f>
        <v>2275.26665103601</v>
      </c>
      <c r="CO56" s="11" t="n">
        <f aca="false">Units!$E55*(1+Inputs!$B$7)^(CO$2-1)</f>
        <v>2275.26665103601</v>
      </c>
      <c r="CP56" s="11" t="n">
        <f aca="false">Units!$E55*(1+Inputs!$B$7)^(CP$2-1)</f>
        <v>2275.26665103601</v>
      </c>
      <c r="CQ56" s="11" t="n">
        <f aca="false">Units!$E55*(1+Inputs!$B$7)^(CQ$2-1)</f>
        <v>2275.26665103601</v>
      </c>
      <c r="CR56" s="11" t="n">
        <f aca="false">Units!$E55*(1+Inputs!$B$7)^(CR$2-1)</f>
        <v>2275.26665103601</v>
      </c>
      <c r="CS56" s="11" t="n">
        <f aca="false">Units!$E55*(1+Inputs!$B$7)^(CS$2-1)</f>
        <v>2275.26665103601</v>
      </c>
      <c r="CT56" s="11" t="n">
        <f aca="false">Units!$E55*(1+Inputs!$B$7)^(CT$2-1)</f>
        <v>2275.26665103601</v>
      </c>
      <c r="CU56" s="11" t="n">
        <f aca="false">Units!$E55*(1+Inputs!$B$7)^(CU$2-1)</f>
        <v>2343.52465056709</v>
      </c>
      <c r="CV56" s="11" t="n">
        <f aca="false">Units!$E55*(1+Inputs!$B$7)^(CV$2-1)</f>
        <v>2343.52465056709</v>
      </c>
      <c r="CW56" s="11" t="n">
        <f aca="false">Units!$E55*(1+Inputs!$B$7)^(CW$2-1)</f>
        <v>2343.52465056709</v>
      </c>
      <c r="CX56" s="11" t="n">
        <f aca="false">Units!$E55*(1+Inputs!$B$7)^(CX$2-1)</f>
        <v>2343.52465056709</v>
      </c>
      <c r="CY56" s="11" t="n">
        <f aca="false">Units!$E55*(1+Inputs!$B$7)^(CY$2-1)</f>
        <v>2343.52465056709</v>
      </c>
      <c r="CZ56" s="11" t="n">
        <f aca="false">Units!$E55*(1+Inputs!$B$7)^(CZ$2-1)</f>
        <v>2343.52465056709</v>
      </c>
      <c r="DA56" s="11" t="n">
        <f aca="false">Units!$E55*(1+Inputs!$B$7)^(DA$2-1)</f>
        <v>2343.52465056709</v>
      </c>
      <c r="DB56" s="11" t="n">
        <f aca="false">Units!$E55*(1+Inputs!$B$7)^(DB$2-1)</f>
        <v>2343.52465056709</v>
      </c>
      <c r="DC56" s="11" t="n">
        <f aca="false">Units!$E55*(1+Inputs!$B$7)^(DC$2-1)</f>
        <v>2343.52465056709</v>
      </c>
      <c r="DD56" s="11" t="n">
        <f aca="false">Units!$E55*(1+Inputs!$B$7)^(DD$2-1)</f>
        <v>2343.52465056709</v>
      </c>
      <c r="DE56" s="11" t="n">
        <f aca="false">Units!$E55*(1+Inputs!$B$7)^(DE$2-1)</f>
        <v>2343.52465056709</v>
      </c>
      <c r="DF56" s="11" t="n">
        <f aca="false">Units!$E55*(1+Inputs!$B$7)^(DF$2-1)</f>
        <v>2343.52465056709</v>
      </c>
      <c r="DG56" s="11" t="n">
        <f aca="false">Units!$E55*(1+Inputs!$B$7)^(DG$2-1)</f>
        <v>2413.8303900841</v>
      </c>
      <c r="DH56" s="11" t="n">
        <f aca="false">Units!$E55*(1+Inputs!$B$7)^(DH$2-1)</f>
        <v>2413.8303900841</v>
      </c>
      <c r="DI56" s="11" t="n">
        <f aca="false">Units!$E55*(1+Inputs!$B$7)^(DI$2-1)</f>
        <v>2413.8303900841</v>
      </c>
      <c r="DJ56" s="11" t="n">
        <f aca="false">Units!$E55*(1+Inputs!$B$7)^(DJ$2-1)</f>
        <v>2413.8303900841</v>
      </c>
      <c r="DK56" s="11" t="n">
        <f aca="false">Units!$E55*(1+Inputs!$B$7)^(DK$2-1)</f>
        <v>2413.8303900841</v>
      </c>
      <c r="DL56" s="11" t="n">
        <f aca="false">Units!$E55*(1+Inputs!$B$7)^(DL$2-1)</f>
        <v>2413.8303900841</v>
      </c>
      <c r="DM56" s="11" t="n">
        <f aca="false">Units!$E55*(1+Inputs!$B$7)^(DM$2-1)</f>
        <v>2413.8303900841</v>
      </c>
      <c r="DN56" s="11" t="n">
        <f aca="false">Units!$E55*(1+Inputs!$B$7)^(DN$2-1)</f>
        <v>2413.8303900841</v>
      </c>
      <c r="DO56" s="11" t="n">
        <f aca="false">Units!$E55*(1+Inputs!$B$7)^(DO$2-1)</f>
        <v>2413.8303900841</v>
      </c>
      <c r="DP56" s="11" t="n">
        <f aca="false">Units!$E55*(1+Inputs!$B$7)^(DP$2-1)</f>
        <v>2413.8303900841</v>
      </c>
      <c r="DQ56" s="11" t="n">
        <f aca="false">Units!$E55*(1+Inputs!$B$7)^(DQ$2-1)</f>
        <v>2413.8303900841</v>
      </c>
      <c r="DR56" s="11" t="n">
        <f aca="false">Units!$E55*(1+Inputs!$B$7)^(DR$2-1)</f>
        <v>2413.8303900841</v>
      </c>
      <c r="DS56" s="11" t="n">
        <f aca="false">Units!$E55*(1+Inputs!$B$7)^(DS$2-1)</f>
        <v>2486.24530178663</v>
      </c>
      <c r="DT56" s="11" t="n">
        <f aca="false">Units!$E55*(1+Inputs!$B$7)^(DT$2-1)</f>
        <v>2486.24530178663</v>
      </c>
      <c r="DU56" s="11" t="n">
        <f aca="false">Units!$E55*(1+Inputs!$B$7)^(DU$2-1)</f>
        <v>2486.24530178663</v>
      </c>
      <c r="DV56" s="11" t="n">
        <f aca="false">Units!$E55*(1+Inputs!$B$7)^(DV$2-1)</f>
        <v>2486.24530178663</v>
      </c>
      <c r="DW56" s="11" t="n">
        <f aca="false">Units!$E55*(1+Inputs!$B$7)^(DW$2-1)</f>
        <v>2486.24530178663</v>
      </c>
      <c r="DX56" s="11" t="n">
        <f aca="false">Units!$E55*(1+Inputs!$B$7)^(DX$2-1)</f>
        <v>2486.24530178663</v>
      </c>
      <c r="DY56" s="11" t="n">
        <f aca="false">Units!$E55*(1+Inputs!$B$7)^(DY$2-1)</f>
        <v>2486.24530178663</v>
      </c>
      <c r="DZ56" s="11" t="n">
        <f aca="false">Units!$E55*(1+Inputs!$B$7)^(DZ$2-1)</f>
        <v>2486.24530178663</v>
      </c>
      <c r="EA56" s="11" t="n">
        <f aca="false">Units!$E55*(1+Inputs!$B$7)^(EA$2-1)</f>
        <v>2486.24530178663</v>
      </c>
      <c r="EB56" s="11" t="n">
        <f aca="false">Units!$E55*(1+Inputs!$B$7)^(EB$2-1)</f>
        <v>2486.24530178663</v>
      </c>
      <c r="EC56" s="11" t="n">
        <f aca="false">Units!$E55*(1+Inputs!$B$7)^(EC$2-1)</f>
        <v>2486.24530178663</v>
      </c>
      <c r="ED56" s="11" t="n">
        <f aca="false">Units!$E55*(1+Inputs!$B$7)^(ED$2-1)</f>
        <v>2486.24530178663</v>
      </c>
    </row>
    <row r="57" customFormat="false" ht="15" hidden="false" customHeight="false" outlineLevel="0" collapsed="false">
      <c r="A57" s="22" t="n">
        <f aca="false">Units!A56</f>
        <v>225</v>
      </c>
      <c r="B57" s="23"/>
      <c r="C57" s="11" t="n">
        <f aca="false">Units!$E56*(1+Inputs!$B$7)^(C$2-1)</f>
        <v>1850</v>
      </c>
      <c r="D57" s="11" t="n">
        <f aca="false">Units!$E56*(1+Inputs!$B$7)^(D$2-1)</f>
        <v>1850</v>
      </c>
      <c r="E57" s="11" t="n">
        <f aca="false">Units!$E56*(1+Inputs!$B$7)^(E$2-1)</f>
        <v>1850</v>
      </c>
      <c r="F57" s="11" t="n">
        <f aca="false">Units!$E56*(1+Inputs!$B$7)^(F$2-1)</f>
        <v>1850</v>
      </c>
      <c r="G57" s="11" t="n">
        <f aca="false">Units!$E56*(1+Inputs!$B$7)^(G$2-1)</f>
        <v>1850</v>
      </c>
      <c r="H57" s="11" t="n">
        <f aca="false">Units!$E56*(1+Inputs!$B$7)^(H$2-1)</f>
        <v>1850</v>
      </c>
      <c r="I57" s="11" t="n">
        <f aca="false">Units!$E56*(1+Inputs!$B$7)^(I$2-1)</f>
        <v>1850</v>
      </c>
      <c r="J57" s="11" t="n">
        <f aca="false">Units!$E56*(1+Inputs!$B$7)^(J$2-1)</f>
        <v>1850</v>
      </c>
      <c r="K57" s="11" t="n">
        <f aca="false">Units!$E56*(1+Inputs!$B$7)^(K$2-1)</f>
        <v>1850</v>
      </c>
      <c r="L57" s="11" t="n">
        <f aca="false">Units!$E56*(1+Inputs!$B$7)^(L$2-1)</f>
        <v>1850</v>
      </c>
      <c r="M57" s="11" t="n">
        <f aca="false">Units!$E56*(1+Inputs!$B$7)^(M$2-1)</f>
        <v>1850</v>
      </c>
      <c r="N57" s="11" t="n">
        <f aca="false">Units!$E56*(1+Inputs!$B$7)^(N$2-1)</f>
        <v>1850</v>
      </c>
      <c r="O57" s="11" t="n">
        <f aca="false">Units!$E56*(1+Inputs!$B$7)^(O$2-1)</f>
        <v>1905.5</v>
      </c>
      <c r="P57" s="11" t="n">
        <f aca="false">Units!$E56*(1+Inputs!$B$7)^(P$2-1)</f>
        <v>1905.5</v>
      </c>
      <c r="Q57" s="11" t="n">
        <f aca="false">Units!$E56*(1+Inputs!$B$7)^(Q$2-1)</f>
        <v>1905.5</v>
      </c>
      <c r="R57" s="11" t="n">
        <f aca="false">Units!$E56*(1+Inputs!$B$7)^(R$2-1)</f>
        <v>1905.5</v>
      </c>
      <c r="S57" s="11" t="n">
        <f aca="false">Units!$E56*(1+Inputs!$B$7)^(S$2-1)</f>
        <v>1905.5</v>
      </c>
      <c r="T57" s="11" t="n">
        <f aca="false">Units!$E56*(1+Inputs!$B$7)^(T$2-1)</f>
        <v>1905.5</v>
      </c>
      <c r="U57" s="11" t="n">
        <f aca="false">Units!$E56*(1+Inputs!$B$7)^(U$2-1)</f>
        <v>1905.5</v>
      </c>
      <c r="V57" s="11" t="n">
        <f aca="false">Units!$E56*(1+Inputs!$B$7)^(V$2-1)</f>
        <v>1905.5</v>
      </c>
      <c r="W57" s="11" t="n">
        <f aca="false">Units!$E56*(1+Inputs!$B$7)^(W$2-1)</f>
        <v>1905.5</v>
      </c>
      <c r="X57" s="11" t="n">
        <f aca="false">Units!$E56*(1+Inputs!$B$7)^(X$2-1)</f>
        <v>1905.5</v>
      </c>
      <c r="Y57" s="11" t="n">
        <f aca="false">Units!$E56*(1+Inputs!$B$7)^(Y$2-1)</f>
        <v>1905.5</v>
      </c>
      <c r="Z57" s="11" t="n">
        <f aca="false">Units!$E56*(1+Inputs!$B$7)^(Z$2-1)</f>
        <v>1905.5</v>
      </c>
      <c r="AA57" s="11" t="n">
        <f aca="false">Units!$E56*(1+Inputs!$B$7)^(AA$2-1)</f>
        <v>1962.665</v>
      </c>
      <c r="AB57" s="11" t="n">
        <f aca="false">Units!$E56*(1+Inputs!$B$7)^(AB$2-1)</f>
        <v>1962.665</v>
      </c>
      <c r="AC57" s="11" t="n">
        <f aca="false">Units!$E56*(1+Inputs!$B$7)^(AC$2-1)</f>
        <v>1962.665</v>
      </c>
      <c r="AD57" s="11" t="n">
        <f aca="false">Units!$E56*(1+Inputs!$B$7)^(AD$2-1)</f>
        <v>1962.665</v>
      </c>
      <c r="AE57" s="11" t="n">
        <f aca="false">Units!$E56*(1+Inputs!$B$7)^(AE$2-1)</f>
        <v>1962.665</v>
      </c>
      <c r="AF57" s="11" t="n">
        <f aca="false">Units!$E56*(1+Inputs!$B$7)^(AF$2-1)</f>
        <v>1962.665</v>
      </c>
      <c r="AG57" s="11" t="n">
        <f aca="false">Units!$E56*(1+Inputs!$B$7)^(AG$2-1)</f>
        <v>1962.665</v>
      </c>
      <c r="AH57" s="11" t="n">
        <f aca="false">Units!$E56*(1+Inputs!$B$7)^(AH$2-1)</f>
        <v>1962.665</v>
      </c>
      <c r="AI57" s="11" t="n">
        <f aca="false">Units!$E56*(1+Inputs!$B$7)^(AI$2-1)</f>
        <v>1962.665</v>
      </c>
      <c r="AJ57" s="11" t="n">
        <f aca="false">Units!$E56*(1+Inputs!$B$7)^(AJ$2-1)</f>
        <v>1962.665</v>
      </c>
      <c r="AK57" s="11" t="n">
        <f aca="false">Units!$E56*(1+Inputs!$B$7)^(AK$2-1)</f>
        <v>1962.665</v>
      </c>
      <c r="AL57" s="11" t="n">
        <f aca="false">Units!$E56*(1+Inputs!$B$7)^(AL$2-1)</f>
        <v>1962.665</v>
      </c>
      <c r="AM57" s="11" t="n">
        <f aca="false">Units!$E56*(1+Inputs!$B$7)^(AM$2-1)</f>
        <v>2021.54495</v>
      </c>
      <c r="AN57" s="11" t="n">
        <f aca="false">Units!$E56*(1+Inputs!$B$7)^(AN$2-1)</f>
        <v>2021.54495</v>
      </c>
      <c r="AO57" s="11" t="n">
        <f aca="false">Units!$E56*(1+Inputs!$B$7)^(AO$2-1)</f>
        <v>2021.54495</v>
      </c>
      <c r="AP57" s="11" t="n">
        <f aca="false">Units!$E56*(1+Inputs!$B$7)^(AP$2-1)</f>
        <v>2021.54495</v>
      </c>
      <c r="AQ57" s="11" t="n">
        <f aca="false">Units!$E56*(1+Inputs!$B$7)^(AQ$2-1)</f>
        <v>2021.54495</v>
      </c>
      <c r="AR57" s="11" t="n">
        <f aca="false">Units!$E56*(1+Inputs!$B$7)^(AR$2-1)</f>
        <v>2021.54495</v>
      </c>
      <c r="AS57" s="11" t="n">
        <f aca="false">Units!$E56*(1+Inputs!$B$7)^(AS$2-1)</f>
        <v>2021.54495</v>
      </c>
      <c r="AT57" s="11" t="n">
        <f aca="false">Units!$E56*(1+Inputs!$B$7)^(AT$2-1)</f>
        <v>2021.54495</v>
      </c>
      <c r="AU57" s="11" t="n">
        <f aca="false">Units!$E56*(1+Inputs!$B$7)^(AU$2-1)</f>
        <v>2021.54495</v>
      </c>
      <c r="AV57" s="11" t="n">
        <f aca="false">Units!$E56*(1+Inputs!$B$7)^(AV$2-1)</f>
        <v>2021.54495</v>
      </c>
      <c r="AW57" s="11" t="n">
        <f aca="false">Units!$E56*(1+Inputs!$B$7)^(AW$2-1)</f>
        <v>2021.54495</v>
      </c>
      <c r="AX57" s="11" t="n">
        <f aca="false">Units!$E56*(1+Inputs!$B$7)^(AX$2-1)</f>
        <v>2021.54495</v>
      </c>
      <c r="AY57" s="11" t="n">
        <f aca="false">Units!$E56*(1+Inputs!$B$7)^(AY$2-1)</f>
        <v>2082.1912985</v>
      </c>
      <c r="AZ57" s="11" t="n">
        <f aca="false">Units!$E56*(1+Inputs!$B$7)^(AZ$2-1)</f>
        <v>2082.1912985</v>
      </c>
      <c r="BA57" s="11" t="n">
        <f aca="false">Units!$E56*(1+Inputs!$B$7)^(BA$2-1)</f>
        <v>2082.1912985</v>
      </c>
      <c r="BB57" s="11" t="n">
        <f aca="false">Units!$E56*(1+Inputs!$B$7)^(BB$2-1)</f>
        <v>2082.1912985</v>
      </c>
      <c r="BC57" s="11" t="n">
        <f aca="false">Units!$E56*(1+Inputs!$B$7)^(BC$2-1)</f>
        <v>2082.1912985</v>
      </c>
      <c r="BD57" s="11" t="n">
        <f aca="false">Units!$E56*(1+Inputs!$B$7)^(BD$2-1)</f>
        <v>2082.1912985</v>
      </c>
      <c r="BE57" s="11" t="n">
        <f aca="false">Units!$E56*(1+Inputs!$B$7)^(BE$2-1)</f>
        <v>2082.1912985</v>
      </c>
      <c r="BF57" s="11" t="n">
        <f aca="false">Units!$E56*(1+Inputs!$B$7)^(BF$2-1)</f>
        <v>2082.1912985</v>
      </c>
      <c r="BG57" s="11" t="n">
        <f aca="false">Units!$E56*(1+Inputs!$B$7)^(BG$2-1)</f>
        <v>2082.1912985</v>
      </c>
      <c r="BH57" s="11" t="n">
        <f aca="false">Units!$E56*(1+Inputs!$B$7)^(BH$2-1)</f>
        <v>2082.1912985</v>
      </c>
      <c r="BI57" s="11" t="n">
        <f aca="false">Units!$E56*(1+Inputs!$B$7)^(BI$2-1)</f>
        <v>2082.1912985</v>
      </c>
      <c r="BJ57" s="11" t="n">
        <f aca="false">Units!$E56*(1+Inputs!$B$7)^(BJ$2-1)</f>
        <v>2082.1912985</v>
      </c>
      <c r="BK57" s="11" t="n">
        <f aca="false">Units!$E56*(1+Inputs!$B$7)^(BK$2-1)</f>
        <v>2144.657037455</v>
      </c>
      <c r="BL57" s="11" t="n">
        <f aca="false">Units!$E56*(1+Inputs!$B$7)^(BL$2-1)</f>
        <v>2144.657037455</v>
      </c>
      <c r="BM57" s="11" t="n">
        <f aca="false">Units!$E56*(1+Inputs!$B$7)^(BM$2-1)</f>
        <v>2144.657037455</v>
      </c>
      <c r="BN57" s="11" t="n">
        <f aca="false">Units!$E56*(1+Inputs!$B$7)^(BN$2-1)</f>
        <v>2144.657037455</v>
      </c>
      <c r="BO57" s="11" t="n">
        <f aca="false">Units!$E56*(1+Inputs!$B$7)^(BO$2-1)</f>
        <v>2144.657037455</v>
      </c>
      <c r="BP57" s="11" t="n">
        <f aca="false">Units!$E56*(1+Inputs!$B$7)^(BP$2-1)</f>
        <v>2144.657037455</v>
      </c>
      <c r="BQ57" s="11" t="n">
        <f aca="false">Units!$E56*(1+Inputs!$B$7)^(BQ$2-1)</f>
        <v>2144.657037455</v>
      </c>
      <c r="BR57" s="11" t="n">
        <f aca="false">Units!$E56*(1+Inputs!$B$7)^(BR$2-1)</f>
        <v>2144.657037455</v>
      </c>
      <c r="BS57" s="11" t="n">
        <f aca="false">Units!$E56*(1+Inputs!$B$7)^(BS$2-1)</f>
        <v>2144.657037455</v>
      </c>
      <c r="BT57" s="11" t="n">
        <f aca="false">Units!$E56*(1+Inputs!$B$7)^(BT$2-1)</f>
        <v>2144.657037455</v>
      </c>
      <c r="BU57" s="11" t="n">
        <f aca="false">Units!$E56*(1+Inputs!$B$7)^(BU$2-1)</f>
        <v>2144.657037455</v>
      </c>
      <c r="BV57" s="11" t="n">
        <f aca="false">Units!$E56*(1+Inputs!$B$7)^(BV$2-1)</f>
        <v>2144.657037455</v>
      </c>
      <c r="BW57" s="11" t="n">
        <f aca="false">Units!$E56*(1+Inputs!$B$7)^(BW$2-1)</f>
        <v>2208.99674857865</v>
      </c>
      <c r="BX57" s="11" t="n">
        <f aca="false">Units!$E56*(1+Inputs!$B$7)^(BX$2-1)</f>
        <v>2208.99674857865</v>
      </c>
      <c r="BY57" s="11" t="n">
        <f aca="false">Units!$E56*(1+Inputs!$B$7)^(BY$2-1)</f>
        <v>2208.99674857865</v>
      </c>
      <c r="BZ57" s="11" t="n">
        <f aca="false">Units!$E56*(1+Inputs!$B$7)^(BZ$2-1)</f>
        <v>2208.99674857865</v>
      </c>
      <c r="CA57" s="11" t="n">
        <f aca="false">Units!$E56*(1+Inputs!$B$7)^(CA$2-1)</f>
        <v>2208.99674857865</v>
      </c>
      <c r="CB57" s="11" t="n">
        <f aca="false">Units!$E56*(1+Inputs!$B$7)^(CB$2-1)</f>
        <v>2208.99674857865</v>
      </c>
      <c r="CC57" s="11" t="n">
        <f aca="false">Units!$E56*(1+Inputs!$B$7)^(CC$2-1)</f>
        <v>2208.99674857865</v>
      </c>
      <c r="CD57" s="11" t="n">
        <f aca="false">Units!$E56*(1+Inputs!$B$7)^(CD$2-1)</f>
        <v>2208.99674857865</v>
      </c>
      <c r="CE57" s="11" t="n">
        <f aca="false">Units!$E56*(1+Inputs!$B$7)^(CE$2-1)</f>
        <v>2208.99674857865</v>
      </c>
      <c r="CF57" s="11" t="n">
        <f aca="false">Units!$E56*(1+Inputs!$B$7)^(CF$2-1)</f>
        <v>2208.99674857865</v>
      </c>
      <c r="CG57" s="11" t="n">
        <f aca="false">Units!$E56*(1+Inputs!$B$7)^(CG$2-1)</f>
        <v>2208.99674857865</v>
      </c>
      <c r="CH57" s="11" t="n">
        <f aca="false">Units!$E56*(1+Inputs!$B$7)^(CH$2-1)</f>
        <v>2208.99674857865</v>
      </c>
      <c r="CI57" s="11" t="n">
        <f aca="false">Units!$E56*(1+Inputs!$B$7)^(CI$2-1)</f>
        <v>2275.26665103601</v>
      </c>
      <c r="CJ57" s="11" t="n">
        <f aca="false">Units!$E56*(1+Inputs!$B$7)^(CJ$2-1)</f>
        <v>2275.26665103601</v>
      </c>
      <c r="CK57" s="11" t="n">
        <f aca="false">Units!$E56*(1+Inputs!$B$7)^(CK$2-1)</f>
        <v>2275.26665103601</v>
      </c>
      <c r="CL57" s="11" t="n">
        <f aca="false">Units!$E56*(1+Inputs!$B$7)^(CL$2-1)</f>
        <v>2275.26665103601</v>
      </c>
      <c r="CM57" s="11" t="n">
        <f aca="false">Units!$E56*(1+Inputs!$B$7)^(CM$2-1)</f>
        <v>2275.26665103601</v>
      </c>
      <c r="CN57" s="11" t="n">
        <f aca="false">Units!$E56*(1+Inputs!$B$7)^(CN$2-1)</f>
        <v>2275.26665103601</v>
      </c>
      <c r="CO57" s="11" t="n">
        <f aca="false">Units!$E56*(1+Inputs!$B$7)^(CO$2-1)</f>
        <v>2275.26665103601</v>
      </c>
      <c r="CP57" s="11" t="n">
        <f aca="false">Units!$E56*(1+Inputs!$B$7)^(CP$2-1)</f>
        <v>2275.26665103601</v>
      </c>
      <c r="CQ57" s="11" t="n">
        <f aca="false">Units!$E56*(1+Inputs!$B$7)^(CQ$2-1)</f>
        <v>2275.26665103601</v>
      </c>
      <c r="CR57" s="11" t="n">
        <f aca="false">Units!$E56*(1+Inputs!$B$7)^(CR$2-1)</f>
        <v>2275.26665103601</v>
      </c>
      <c r="CS57" s="11" t="n">
        <f aca="false">Units!$E56*(1+Inputs!$B$7)^(CS$2-1)</f>
        <v>2275.26665103601</v>
      </c>
      <c r="CT57" s="11" t="n">
        <f aca="false">Units!$E56*(1+Inputs!$B$7)^(CT$2-1)</f>
        <v>2275.26665103601</v>
      </c>
      <c r="CU57" s="11" t="n">
        <f aca="false">Units!$E56*(1+Inputs!$B$7)^(CU$2-1)</f>
        <v>2343.52465056709</v>
      </c>
      <c r="CV57" s="11" t="n">
        <f aca="false">Units!$E56*(1+Inputs!$B$7)^(CV$2-1)</f>
        <v>2343.52465056709</v>
      </c>
      <c r="CW57" s="11" t="n">
        <f aca="false">Units!$E56*(1+Inputs!$B$7)^(CW$2-1)</f>
        <v>2343.52465056709</v>
      </c>
      <c r="CX57" s="11" t="n">
        <f aca="false">Units!$E56*(1+Inputs!$B$7)^(CX$2-1)</f>
        <v>2343.52465056709</v>
      </c>
      <c r="CY57" s="11" t="n">
        <f aca="false">Units!$E56*(1+Inputs!$B$7)^(CY$2-1)</f>
        <v>2343.52465056709</v>
      </c>
      <c r="CZ57" s="11" t="n">
        <f aca="false">Units!$E56*(1+Inputs!$B$7)^(CZ$2-1)</f>
        <v>2343.52465056709</v>
      </c>
      <c r="DA57" s="11" t="n">
        <f aca="false">Units!$E56*(1+Inputs!$B$7)^(DA$2-1)</f>
        <v>2343.52465056709</v>
      </c>
      <c r="DB57" s="11" t="n">
        <f aca="false">Units!$E56*(1+Inputs!$B$7)^(DB$2-1)</f>
        <v>2343.52465056709</v>
      </c>
      <c r="DC57" s="11" t="n">
        <f aca="false">Units!$E56*(1+Inputs!$B$7)^(DC$2-1)</f>
        <v>2343.52465056709</v>
      </c>
      <c r="DD57" s="11" t="n">
        <f aca="false">Units!$E56*(1+Inputs!$B$7)^(DD$2-1)</f>
        <v>2343.52465056709</v>
      </c>
      <c r="DE57" s="11" t="n">
        <f aca="false">Units!$E56*(1+Inputs!$B$7)^(DE$2-1)</f>
        <v>2343.52465056709</v>
      </c>
      <c r="DF57" s="11" t="n">
        <f aca="false">Units!$E56*(1+Inputs!$B$7)^(DF$2-1)</f>
        <v>2343.52465056709</v>
      </c>
      <c r="DG57" s="11" t="n">
        <f aca="false">Units!$E56*(1+Inputs!$B$7)^(DG$2-1)</f>
        <v>2413.8303900841</v>
      </c>
      <c r="DH57" s="11" t="n">
        <f aca="false">Units!$E56*(1+Inputs!$B$7)^(DH$2-1)</f>
        <v>2413.8303900841</v>
      </c>
      <c r="DI57" s="11" t="n">
        <f aca="false">Units!$E56*(1+Inputs!$B$7)^(DI$2-1)</f>
        <v>2413.8303900841</v>
      </c>
      <c r="DJ57" s="11" t="n">
        <f aca="false">Units!$E56*(1+Inputs!$B$7)^(DJ$2-1)</f>
        <v>2413.8303900841</v>
      </c>
      <c r="DK57" s="11" t="n">
        <f aca="false">Units!$E56*(1+Inputs!$B$7)^(DK$2-1)</f>
        <v>2413.8303900841</v>
      </c>
      <c r="DL57" s="11" t="n">
        <f aca="false">Units!$E56*(1+Inputs!$B$7)^(DL$2-1)</f>
        <v>2413.8303900841</v>
      </c>
      <c r="DM57" s="11" t="n">
        <f aca="false">Units!$E56*(1+Inputs!$B$7)^(DM$2-1)</f>
        <v>2413.8303900841</v>
      </c>
      <c r="DN57" s="11" t="n">
        <f aca="false">Units!$E56*(1+Inputs!$B$7)^(DN$2-1)</f>
        <v>2413.8303900841</v>
      </c>
      <c r="DO57" s="11" t="n">
        <f aca="false">Units!$E56*(1+Inputs!$B$7)^(DO$2-1)</f>
        <v>2413.8303900841</v>
      </c>
      <c r="DP57" s="11" t="n">
        <f aca="false">Units!$E56*(1+Inputs!$B$7)^(DP$2-1)</f>
        <v>2413.8303900841</v>
      </c>
      <c r="DQ57" s="11" t="n">
        <f aca="false">Units!$E56*(1+Inputs!$B$7)^(DQ$2-1)</f>
        <v>2413.8303900841</v>
      </c>
      <c r="DR57" s="11" t="n">
        <f aca="false">Units!$E56*(1+Inputs!$B$7)^(DR$2-1)</f>
        <v>2413.8303900841</v>
      </c>
      <c r="DS57" s="11" t="n">
        <f aca="false">Units!$E56*(1+Inputs!$B$7)^(DS$2-1)</f>
        <v>2486.24530178663</v>
      </c>
      <c r="DT57" s="11" t="n">
        <f aca="false">Units!$E56*(1+Inputs!$B$7)^(DT$2-1)</f>
        <v>2486.24530178663</v>
      </c>
      <c r="DU57" s="11" t="n">
        <f aca="false">Units!$E56*(1+Inputs!$B$7)^(DU$2-1)</f>
        <v>2486.24530178663</v>
      </c>
      <c r="DV57" s="11" t="n">
        <f aca="false">Units!$E56*(1+Inputs!$B$7)^(DV$2-1)</f>
        <v>2486.24530178663</v>
      </c>
      <c r="DW57" s="11" t="n">
        <f aca="false">Units!$E56*(1+Inputs!$B$7)^(DW$2-1)</f>
        <v>2486.24530178663</v>
      </c>
      <c r="DX57" s="11" t="n">
        <f aca="false">Units!$E56*(1+Inputs!$B$7)^(DX$2-1)</f>
        <v>2486.24530178663</v>
      </c>
      <c r="DY57" s="11" t="n">
        <f aca="false">Units!$E56*(1+Inputs!$B$7)^(DY$2-1)</f>
        <v>2486.24530178663</v>
      </c>
      <c r="DZ57" s="11" t="n">
        <f aca="false">Units!$E56*(1+Inputs!$B$7)^(DZ$2-1)</f>
        <v>2486.24530178663</v>
      </c>
      <c r="EA57" s="11" t="n">
        <f aca="false">Units!$E56*(1+Inputs!$B$7)^(EA$2-1)</f>
        <v>2486.24530178663</v>
      </c>
      <c r="EB57" s="11" t="n">
        <f aca="false">Units!$E56*(1+Inputs!$B$7)^(EB$2-1)</f>
        <v>2486.24530178663</v>
      </c>
      <c r="EC57" s="11" t="n">
        <f aca="false">Units!$E56*(1+Inputs!$B$7)^(EC$2-1)</f>
        <v>2486.24530178663</v>
      </c>
      <c r="ED57" s="11" t="n">
        <f aca="false">Units!$E56*(1+Inputs!$B$7)^(ED$2-1)</f>
        <v>2486.24530178663</v>
      </c>
    </row>
    <row r="58" customFormat="false" ht="15" hidden="false" customHeight="false" outlineLevel="0" collapsed="false">
      <c r="A58" s="22" t="n">
        <f aca="false">Units!A57</f>
        <v>226</v>
      </c>
      <c r="B58" s="23"/>
      <c r="C58" s="11" t="n">
        <f aca="false">Units!$E57*(1+Inputs!$B$7)^(C$2-1)</f>
        <v>1850</v>
      </c>
      <c r="D58" s="11" t="n">
        <f aca="false">Units!$E57*(1+Inputs!$B$7)^(D$2-1)</f>
        <v>1850</v>
      </c>
      <c r="E58" s="11" t="n">
        <f aca="false">Units!$E57*(1+Inputs!$B$7)^(E$2-1)</f>
        <v>1850</v>
      </c>
      <c r="F58" s="11" t="n">
        <f aca="false">Units!$E57*(1+Inputs!$B$7)^(F$2-1)</f>
        <v>1850</v>
      </c>
      <c r="G58" s="11" t="n">
        <f aca="false">Units!$E57*(1+Inputs!$B$7)^(G$2-1)</f>
        <v>1850</v>
      </c>
      <c r="H58" s="11" t="n">
        <f aca="false">Units!$E57*(1+Inputs!$B$7)^(H$2-1)</f>
        <v>1850</v>
      </c>
      <c r="I58" s="11" t="n">
        <f aca="false">Units!$E57*(1+Inputs!$B$7)^(I$2-1)</f>
        <v>1850</v>
      </c>
      <c r="J58" s="11" t="n">
        <f aca="false">Units!$E57*(1+Inputs!$B$7)^(J$2-1)</f>
        <v>1850</v>
      </c>
      <c r="K58" s="11" t="n">
        <f aca="false">Units!$E57*(1+Inputs!$B$7)^(K$2-1)</f>
        <v>1850</v>
      </c>
      <c r="L58" s="11" t="n">
        <f aca="false">Units!$E57*(1+Inputs!$B$7)^(L$2-1)</f>
        <v>1850</v>
      </c>
      <c r="M58" s="11" t="n">
        <f aca="false">Units!$E57*(1+Inputs!$B$7)^(M$2-1)</f>
        <v>1850</v>
      </c>
      <c r="N58" s="11" t="n">
        <f aca="false">Units!$E57*(1+Inputs!$B$7)^(N$2-1)</f>
        <v>1850</v>
      </c>
      <c r="O58" s="11" t="n">
        <f aca="false">Units!$E57*(1+Inputs!$B$7)^(O$2-1)</f>
        <v>1905.5</v>
      </c>
      <c r="P58" s="11" t="n">
        <f aca="false">Units!$E57*(1+Inputs!$B$7)^(P$2-1)</f>
        <v>1905.5</v>
      </c>
      <c r="Q58" s="11" t="n">
        <f aca="false">Units!$E57*(1+Inputs!$B$7)^(Q$2-1)</f>
        <v>1905.5</v>
      </c>
      <c r="R58" s="11" t="n">
        <f aca="false">Units!$E57*(1+Inputs!$B$7)^(R$2-1)</f>
        <v>1905.5</v>
      </c>
      <c r="S58" s="11" t="n">
        <f aca="false">Units!$E57*(1+Inputs!$B$7)^(S$2-1)</f>
        <v>1905.5</v>
      </c>
      <c r="T58" s="11" t="n">
        <f aca="false">Units!$E57*(1+Inputs!$B$7)^(T$2-1)</f>
        <v>1905.5</v>
      </c>
      <c r="U58" s="11" t="n">
        <f aca="false">Units!$E57*(1+Inputs!$B$7)^(U$2-1)</f>
        <v>1905.5</v>
      </c>
      <c r="V58" s="11" t="n">
        <f aca="false">Units!$E57*(1+Inputs!$B$7)^(V$2-1)</f>
        <v>1905.5</v>
      </c>
      <c r="W58" s="11" t="n">
        <f aca="false">Units!$E57*(1+Inputs!$B$7)^(W$2-1)</f>
        <v>1905.5</v>
      </c>
      <c r="X58" s="11" t="n">
        <f aca="false">Units!$E57*(1+Inputs!$B$7)^(X$2-1)</f>
        <v>1905.5</v>
      </c>
      <c r="Y58" s="11" t="n">
        <f aca="false">Units!$E57*(1+Inputs!$B$7)^(Y$2-1)</f>
        <v>1905.5</v>
      </c>
      <c r="Z58" s="11" t="n">
        <f aca="false">Units!$E57*(1+Inputs!$B$7)^(Z$2-1)</f>
        <v>1905.5</v>
      </c>
      <c r="AA58" s="11" t="n">
        <f aca="false">Units!$E57*(1+Inputs!$B$7)^(AA$2-1)</f>
        <v>1962.665</v>
      </c>
      <c r="AB58" s="11" t="n">
        <f aca="false">Units!$E57*(1+Inputs!$B$7)^(AB$2-1)</f>
        <v>1962.665</v>
      </c>
      <c r="AC58" s="11" t="n">
        <f aca="false">Units!$E57*(1+Inputs!$B$7)^(AC$2-1)</f>
        <v>1962.665</v>
      </c>
      <c r="AD58" s="11" t="n">
        <f aca="false">Units!$E57*(1+Inputs!$B$7)^(AD$2-1)</f>
        <v>1962.665</v>
      </c>
      <c r="AE58" s="11" t="n">
        <f aca="false">Units!$E57*(1+Inputs!$B$7)^(AE$2-1)</f>
        <v>1962.665</v>
      </c>
      <c r="AF58" s="11" t="n">
        <f aca="false">Units!$E57*(1+Inputs!$B$7)^(AF$2-1)</f>
        <v>1962.665</v>
      </c>
      <c r="AG58" s="11" t="n">
        <f aca="false">Units!$E57*(1+Inputs!$B$7)^(AG$2-1)</f>
        <v>1962.665</v>
      </c>
      <c r="AH58" s="11" t="n">
        <f aca="false">Units!$E57*(1+Inputs!$B$7)^(AH$2-1)</f>
        <v>1962.665</v>
      </c>
      <c r="AI58" s="11" t="n">
        <f aca="false">Units!$E57*(1+Inputs!$B$7)^(AI$2-1)</f>
        <v>1962.665</v>
      </c>
      <c r="AJ58" s="11" t="n">
        <f aca="false">Units!$E57*(1+Inputs!$B$7)^(AJ$2-1)</f>
        <v>1962.665</v>
      </c>
      <c r="AK58" s="11" t="n">
        <f aca="false">Units!$E57*(1+Inputs!$B$7)^(AK$2-1)</f>
        <v>1962.665</v>
      </c>
      <c r="AL58" s="11" t="n">
        <f aca="false">Units!$E57*(1+Inputs!$B$7)^(AL$2-1)</f>
        <v>1962.665</v>
      </c>
      <c r="AM58" s="11" t="n">
        <f aca="false">Units!$E57*(1+Inputs!$B$7)^(AM$2-1)</f>
        <v>2021.54495</v>
      </c>
      <c r="AN58" s="11" t="n">
        <f aca="false">Units!$E57*(1+Inputs!$B$7)^(AN$2-1)</f>
        <v>2021.54495</v>
      </c>
      <c r="AO58" s="11" t="n">
        <f aca="false">Units!$E57*(1+Inputs!$B$7)^(AO$2-1)</f>
        <v>2021.54495</v>
      </c>
      <c r="AP58" s="11" t="n">
        <f aca="false">Units!$E57*(1+Inputs!$B$7)^(AP$2-1)</f>
        <v>2021.54495</v>
      </c>
      <c r="AQ58" s="11" t="n">
        <f aca="false">Units!$E57*(1+Inputs!$B$7)^(AQ$2-1)</f>
        <v>2021.54495</v>
      </c>
      <c r="AR58" s="11" t="n">
        <f aca="false">Units!$E57*(1+Inputs!$B$7)^(AR$2-1)</f>
        <v>2021.54495</v>
      </c>
      <c r="AS58" s="11" t="n">
        <f aca="false">Units!$E57*(1+Inputs!$B$7)^(AS$2-1)</f>
        <v>2021.54495</v>
      </c>
      <c r="AT58" s="11" t="n">
        <f aca="false">Units!$E57*(1+Inputs!$B$7)^(AT$2-1)</f>
        <v>2021.54495</v>
      </c>
      <c r="AU58" s="11" t="n">
        <f aca="false">Units!$E57*(1+Inputs!$B$7)^(AU$2-1)</f>
        <v>2021.54495</v>
      </c>
      <c r="AV58" s="11" t="n">
        <f aca="false">Units!$E57*(1+Inputs!$B$7)^(AV$2-1)</f>
        <v>2021.54495</v>
      </c>
      <c r="AW58" s="11" t="n">
        <f aca="false">Units!$E57*(1+Inputs!$B$7)^(AW$2-1)</f>
        <v>2021.54495</v>
      </c>
      <c r="AX58" s="11" t="n">
        <f aca="false">Units!$E57*(1+Inputs!$B$7)^(AX$2-1)</f>
        <v>2021.54495</v>
      </c>
      <c r="AY58" s="11" t="n">
        <f aca="false">Units!$E57*(1+Inputs!$B$7)^(AY$2-1)</f>
        <v>2082.1912985</v>
      </c>
      <c r="AZ58" s="11" t="n">
        <f aca="false">Units!$E57*(1+Inputs!$B$7)^(AZ$2-1)</f>
        <v>2082.1912985</v>
      </c>
      <c r="BA58" s="11" t="n">
        <f aca="false">Units!$E57*(1+Inputs!$B$7)^(BA$2-1)</f>
        <v>2082.1912985</v>
      </c>
      <c r="BB58" s="11" t="n">
        <f aca="false">Units!$E57*(1+Inputs!$B$7)^(BB$2-1)</f>
        <v>2082.1912985</v>
      </c>
      <c r="BC58" s="11" t="n">
        <f aca="false">Units!$E57*(1+Inputs!$B$7)^(BC$2-1)</f>
        <v>2082.1912985</v>
      </c>
      <c r="BD58" s="11" t="n">
        <f aca="false">Units!$E57*(1+Inputs!$B$7)^(BD$2-1)</f>
        <v>2082.1912985</v>
      </c>
      <c r="BE58" s="11" t="n">
        <f aca="false">Units!$E57*(1+Inputs!$B$7)^(BE$2-1)</f>
        <v>2082.1912985</v>
      </c>
      <c r="BF58" s="11" t="n">
        <f aca="false">Units!$E57*(1+Inputs!$B$7)^(BF$2-1)</f>
        <v>2082.1912985</v>
      </c>
      <c r="BG58" s="11" t="n">
        <f aca="false">Units!$E57*(1+Inputs!$B$7)^(BG$2-1)</f>
        <v>2082.1912985</v>
      </c>
      <c r="BH58" s="11" t="n">
        <f aca="false">Units!$E57*(1+Inputs!$B$7)^(BH$2-1)</f>
        <v>2082.1912985</v>
      </c>
      <c r="BI58" s="11" t="n">
        <f aca="false">Units!$E57*(1+Inputs!$B$7)^(BI$2-1)</f>
        <v>2082.1912985</v>
      </c>
      <c r="BJ58" s="11" t="n">
        <f aca="false">Units!$E57*(1+Inputs!$B$7)^(BJ$2-1)</f>
        <v>2082.1912985</v>
      </c>
      <c r="BK58" s="11" t="n">
        <f aca="false">Units!$E57*(1+Inputs!$B$7)^(BK$2-1)</f>
        <v>2144.657037455</v>
      </c>
      <c r="BL58" s="11" t="n">
        <f aca="false">Units!$E57*(1+Inputs!$B$7)^(BL$2-1)</f>
        <v>2144.657037455</v>
      </c>
      <c r="BM58" s="11" t="n">
        <f aca="false">Units!$E57*(1+Inputs!$B$7)^(BM$2-1)</f>
        <v>2144.657037455</v>
      </c>
      <c r="BN58" s="11" t="n">
        <f aca="false">Units!$E57*(1+Inputs!$B$7)^(BN$2-1)</f>
        <v>2144.657037455</v>
      </c>
      <c r="BO58" s="11" t="n">
        <f aca="false">Units!$E57*(1+Inputs!$B$7)^(BO$2-1)</f>
        <v>2144.657037455</v>
      </c>
      <c r="BP58" s="11" t="n">
        <f aca="false">Units!$E57*(1+Inputs!$B$7)^(BP$2-1)</f>
        <v>2144.657037455</v>
      </c>
      <c r="BQ58" s="11" t="n">
        <f aca="false">Units!$E57*(1+Inputs!$B$7)^(BQ$2-1)</f>
        <v>2144.657037455</v>
      </c>
      <c r="BR58" s="11" t="n">
        <f aca="false">Units!$E57*(1+Inputs!$B$7)^(BR$2-1)</f>
        <v>2144.657037455</v>
      </c>
      <c r="BS58" s="11" t="n">
        <f aca="false">Units!$E57*(1+Inputs!$B$7)^(BS$2-1)</f>
        <v>2144.657037455</v>
      </c>
      <c r="BT58" s="11" t="n">
        <f aca="false">Units!$E57*(1+Inputs!$B$7)^(BT$2-1)</f>
        <v>2144.657037455</v>
      </c>
      <c r="BU58" s="11" t="n">
        <f aca="false">Units!$E57*(1+Inputs!$B$7)^(BU$2-1)</f>
        <v>2144.657037455</v>
      </c>
      <c r="BV58" s="11" t="n">
        <f aca="false">Units!$E57*(1+Inputs!$B$7)^(BV$2-1)</f>
        <v>2144.657037455</v>
      </c>
      <c r="BW58" s="11" t="n">
        <f aca="false">Units!$E57*(1+Inputs!$B$7)^(BW$2-1)</f>
        <v>2208.99674857865</v>
      </c>
      <c r="BX58" s="11" t="n">
        <f aca="false">Units!$E57*(1+Inputs!$B$7)^(BX$2-1)</f>
        <v>2208.99674857865</v>
      </c>
      <c r="BY58" s="11" t="n">
        <f aca="false">Units!$E57*(1+Inputs!$B$7)^(BY$2-1)</f>
        <v>2208.99674857865</v>
      </c>
      <c r="BZ58" s="11" t="n">
        <f aca="false">Units!$E57*(1+Inputs!$B$7)^(BZ$2-1)</f>
        <v>2208.99674857865</v>
      </c>
      <c r="CA58" s="11" t="n">
        <f aca="false">Units!$E57*(1+Inputs!$B$7)^(CA$2-1)</f>
        <v>2208.99674857865</v>
      </c>
      <c r="CB58" s="11" t="n">
        <f aca="false">Units!$E57*(1+Inputs!$B$7)^(CB$2-1)</f>
        <v>2208.99674857865</v>
      </c>
      <c r="CC58" s="11" t="n">
        <f aca="false">Units!$E57*(1+Inputs!$B$7)^(CC$2-1)</f>
        <v>2208.99674857865</v>
      </c>
      <c r="CD58" s="11" t="n">
        <f aca="false">Units!$E57*(1+Inputs!$B$7)^(CD$2-1)</f>
        <v>2208.99674857865</v>
      </c>
      <c r="CE58" s="11" t="n">
        <f aca="false">Units!$E57*(1+Inputs!$B$7)^(CE$2-1)</f>
        <v>2208.99674857865</v>
      </c>
      <c r="CF58" s="11" t="n">
        <f aca="false">Units!$E57*(1+Inputs!$B$7)^(CF$2-1)</f>
        <v>2208.99674857865</v>
      </c>
      <c r="CG58" s="11" t="n">
        <f aca="false">Units!$E57*(1+Inputs!$B$7)^(CG$2-1)</f>
        <v>2208.99674857865</v>
      </c>
      <c r="CH58" s="11" t="n">
        <f aca="false">Units!$E57*(1+Inputs!$B$7)^(CH$2-1)</f>
        <v>2208.99674857865</v>
      </c>
      <c r="CI58" s="11" t="n">
        <f aca="false">Units!$E57*(1+Inputs!$B$7)^(CI$2-1)</f>
        <v>2275.26665103601</v>
      </c>
      <c r="CJ58" s="11" t="n">
        <f aca="false">Units!$E57*(1+Inputs!$B$7)^(CJ$2-1)</f>
        <v>2275.26665103601</v>
      </c>
      <c r="CK58" s="11" t="n">
        <f aca="false">Units!$E57*(1+Inputs!$B$7)^(CK$2-1)</f>
        <v>2275.26665103601</v>
      </c>
      <c r="CL58" s="11" t="n">
        <f aca="false">Units!$E57*(1+Inputs!$B$7)^(CL$2-1)</f>
        <v>2275.26665103601</v>
      </c>
      <c r="CM58" s="11" t="n">
        <f aca="false">Units!$E57*(1+Inputs!$B$7)^(CM$2-1)</f>
        <v>2275.26665103601</v>
      </c>
      <c r="CN58" s="11" t="n">
        <f aca="false">Units!$E57*(1+Inputs!$B$7)^(CN$2-1)</f>
        <v>2275.26665103601</v>
      </c>
      <c r="CO58" s="11" t="n">
        <f aca="false">Units!$E57*(1+Inputs!$B$7)^(CO$2-1)</f>
        <v>2275.26665103601</v>
      </c>
      <c r="CP58" s="11" t="n">
        <f aca="false">Units!$E57*(1+Inputs!$B$7)^(CP$2-1)</f>
        <v>2275.26665103601</v>
      </c>
      <c r="CQ58" s="11" t="n">
        <f aca="false">Units!$E57*(1+Inputs!$B$7)^(CQ$2-1)</f>
        <v>2275.26665103601</v>
      </c>
      <c r="CR58" s="11" t="n">
        <f aca="false">Units!$E57*(1+Inputs!$B$7)^(CR$2-1)</f>
        <v>2275.26665103601</v>
      </c>
      <c r="CS58" s="11" t="n">
        <f aca="false">Units!$E57*(1+Inputs!$B$7)^(CS$2-1)</f>
        <v>2275.26665103601</v>
      </c>
      <c r="CT58" s="11" t="n">
        <f aca="false">Units!$E57*(1+Inputs!$B$7)^(CT$2-1)</f>
        <v>2275.26665103601</v>
      </c>
      <c r="CU58" s="11" t="n">
        <f aca="false">Units!$E57*(1+Inputs!$B$7)^(CU$2-1)</f>
        <v>2343.52465056709</v>
      </c>
      <c r="CV58" s="11" t="n">
        <f aca="false">Units!$E57*(1+Inputs!$B$7)^(CV$2-1)</f>
        <v>2343.52465056709</v>
      </c>
      <c r="CW58" s="11" t="n">
        <f aca="false">Units!$E57*(1+Inputs!$B$7)^(CW$2-1)</f>
        <v>2343.52465056709</v>
      </c>
      <c r="CX58" s="11" t="n">
        <f aca="false">Units!$E57*(1+Inputs!$B$7)^(CX$2-1)</f>
        <v>2343.52465056709</v>
      </c>
      <c r="CY58" s="11" t="n">
        <f aca="false">Units!$E57*(1+Inputs!$B$7)^(CY$2-1)</f>
        <v>2343.52465056709</v>
      </c>
      <c r="CZ58" s="11" t="n">
        <f aca="false">Units!$E57*(1+Inputs!$B$7)^(CZ$2-1)</f>
        <v>2343.52465056709</v>
      </c>
      <c r="DA58" s="11" t="n">
        <f aca="false">Units!$E57*(1+Inputs!$B$7)^(DA$2-1)</f>
        <v>2343.52465056709</v>
      </c>
      <c r="DB58" s="11" t="n">
        <f aca="false">Units!$E57*(1+Inputs!$B$7)^(DB$2-1)</f>
        <v>2343.52465056709</v>
      </c>
      <c r="DC58" s="11" t="n">
        <f aca="false">Units!$E57*(1+Inputs!$B$7)^(DC$2-1)</f>
        <v>2343.52465056709</v>
      </c>
      <c r="DD58" s="11" t="n">
        <f aca="false">Units!$E57*(1+Inputs!$B$7)^(DD$2-1)</f>
        <v>2343.52465056709</v>
      </c>
      <c r="DE58" s="11" t="n">
        <f aca="false">Units!$E57*(1+Inputs!$B$7)^(DE$2-1)</f>
        <v>2343.52465056709</v>
      </c>
      <c r="DF58" s="11" t="n">
        <f aca="false">Units!$E57*(1+Inputs!$B$7)^(DF$2-1)</f>
        <v>2343.52465056709</v>
      </c>
      <c r="DG58" s="11" t="n">
        <f aca="false">Units!$E57*(1+Inputs!$B$7)^(DG$2-1)</f>
        <v>2413.8303900841</v>
      </c>
      <c r="DH58" s="11" t="n">
        <f aca="false">Units!$E57*(1+Inputs!$B$7)^(DH$2-1)</f>
        <v>2413.8303900841</v>
      </c>
      <c r="DI58" s="11" t="n">
        <f aca="false">Units!$E57*(1+Inputs!$B$7)^(DI$2-1)</f>
        <v>2413.8303900841</v>
      </c>
      <c r="DJ58" s="11" t="n">
        <f aca="false">Units!$E57*(1+Inputs!$B$7)^(DJ$2-1)</f>
        <v>2413.8303900841</v>
      </c>
      <c r="DK58" s="11" t="n">
        <f aca="false">Units!$E57*(1+Inputs!$B$7)^(DK$2-1)</f>
        <v>2413.8303900841</v>
      </c>
      <c r="DL58" s="11" t="n">
        <f aca="false">Units!$E57*(1+Inputs!$B$7)^(DL$2-1)</f>
        <v>2413.8303900841</v>
      </c>
      <c r="DM58" s="11" t="n">
        <f aca="false">Units!$E57*(1+Inputs!$B$7)^(DM$2-1)</f>
        <v>2413.8303900841</v>
      </c>
      <c r="DN58" s="11" t="n">
        <f aca="false">Units!$E57*(1+Inputs!$B$7)^(DN$2-1)</f>
        <v>2413.8303900841</v>
      </c>
      <c r="DO58" s="11" t="n">
        <f aca="false">Units!$E57*(1+Inputs!$B$7)^(DO$2-1)</f>
        <v>2413.8303900841</v>
      </c>
      <c r="DP58" s="11" t="n">
        <f aca="false">Units!$E57*(1+Inputs!$B$7)^(DP$2-1)</f>
        <v>2413.8303900841</v>
      </c>
      <c r="DQ58" s="11" t="n">
        <f aca="false">Units!$E57*(1+Inputs!$B$7)^(DQ$2-1)</f>
        <v>2413.8303900841</v>
      </c>
      <c r="DR58" s="11" t="n">
        <f aca="false">Units!$E57*(1+Inputs!$B$7)^(DR$2-1)</f>
        <v>2413.8303900841</v>
      </c>
      <c r="DS58" s="11" t="n">
        <f aca="false">Units!$E57*(1+Inputs!$B$7)^(DS$2-1)</f>
        <v>2486.24530178663</v>
      </c>
      <c r="DT58" s="11" t="n">
        <f aca="false">Units!$E57*(1+Inputs!$B$7)^(DT$2-1)</f>
        <v>2486.24530178663</v>
      </c>
      <c r="DU58" s="11" t="n">
        <f aca="false">Units!$E57*(1+Inputs!$B$7)^(DU$2-1)</f>
        <v>2486.24530178663</v>
      </c>
      <c r="DV58" s="11" t="n">
        <f aca="false">Units!$E57*(1+Inputs!$B$7)^(DV$2-1)</f>
        <v>2486.24530178663</v>
      </c>
      <c r="DW58" s="11" t="n">
        <f aca="false">Units!$E57*(1+Inputs!$B$7)^(DW$2-1)</f>
        <v>2486.24530178663</v>
      </c>
      <c r="DX58" s="11" t="n">
        <f aca="false">Units!$E57*(1+Inputs!$B$7)^(DX$2-1)</f>
        <v>2486.24530178663</v>
      </c>
      <c r="DY58" s="11" t="n">
        <f aca="false">Units!$E57*(1+Inputs!$B$7)^(DY$2-1)</f>
        <v>2486.24530178663</v>
      </c>
      <c r="DZ58" s="11" t="n">
        <f aca="false">Units!$E57*(1+Inputs!$B$7)^(DZ$2-1)</f>
        <v>2486.24530178663</v>
      </c>
      <c r="EA58" s="11" t="n">
        <f aca="false">Units!$E57*(1+Inputs!$B$7)^(EA$2-1)</f>
        <v>2486.24530178663</v>
      </c>
      <c r="EB58" s="11" t="n">
        <f aca="false">Units!$E57*(1+Inputs!$B$7)^(EB$2-1)</f>
        <v>2486.24530178663</v>
      </c>
      <c r="EC58" s="11" t="n">
        <f aca="false">Units!$E57*(1+Inputs!$B$7)^(EC$2-1)</f>
        <v>2486.24530178663</v>
      </c>
      <c r="ED58" s="11" t="n">
        <f aca="false">Units!$E57*(1+Inputs!$B$7)^(ED$2-1)</f>
        <v>2486.24530178663</v>
      </c>
    </row>
    <row r="59" customFormat="false" ht="15" hidden="false" customHeight="false" outlineLevel="0" collapsed="false">
      <c r="A59" s="22" t="n">
        <f aca="false">Units!A58</f>
        <v>227</v>
      </c>
      <c r="B59" s="23"/>
      <c r="C59" s="11" t="n">
        <f aca="false">Units!$E58*(1+Inputs!$B$7)^(C$2-1)</f>
        <v>1850</v>
      </c>
      <c r="D59" s="11" t="n">
        <f aca="false">Units!$E58*(1+Inputs!$B$7)^(D$2-1)</f>
        <v>1850</v>
      </c>
      <c r="E59" s="11" t="n">
        <f aca="false">Units!$E58*(1+Inputs!$B$7)^(E$2-1)</f>
        <v>1850</v>
      </c>
      <c r="F59" s="11" t="n">
        <f aca="false">Units!$E58*(1+Inputs!$B$7)^(F$2-1)</f>
        <v>1850</v>
      </c>
      <c r="G59" s="11" t="n">
        <f aca="false">Units!$E58*(1+Inputs!$B$7)^(G$2-1)</f>
        <v>1850</v>
      </c>
      <c r="H59" s="11" t="n">
        <f aca="false">Units!$E58*(1+Inputs!$B$7)^(H$2-1)</f>
        <v>1850</v>
      </c>
      <c r="I59" s="11" t="n">
        <f aca="false">Units!$E58*(1+Inputs!$B$7)^(I$2-1)</f>
        <v>1850</v>
      </c>
      <c r="J59" s="11" t="n">
        <f aca="false">Units!$E58*(1+Inputs!$B$7)^(J$2-1)</f>
        <v>1850</v>
      </c>
      <c r="K59" s="11" t="n">
        <f aca="false">Units!$E58*(1+Inputs!$B$7)^(K$2-1)</f>
        <v>1850</v>
      </c>
      <c r="L59" s="11" t="n">
        <f aca="false">Units!$E58*(1+Inputs!$B$7)^(L$2-1)</f>
        <v>1850</v>
      </c>
      <c r="M59" s="11" t="n">
        <f aca="false">Units!$E58*(1+Inputs!$B$7)^(M$2-1)</f>
        <v>1850</v>
      </c>
      <c r="N59" s="11" t="n">
        <f aca="false">Units!$E58*(1+Inputs!$B$7)^(N$2-1)</f>
        <v>1850</v>
      </c>
      <c r="O59" s="11" t="n">
        <f aca="false">Units!$E58*(1+Inputs!$B$7)^(O$2-1)</f>
        <v>1905.5</v>
      </c>
      <c r="P59" s="11" t="n">
        <f aca="false">Units!$E58*(1+Inputs!$B$7)^(P$2-1)</f>
        <v>1905.5</v>
      </c>
      <c r="Q59" s="11" t="n">
        <f aca="false">Units!$E58*(1+Inputs!$B$7)^(Q$2-1)</f>
        <v>1905.5</v>
      </c>
      <c r="R59" s="11" t="n">
        <f aca="false">Units!$E58*(1+Inputs!$B$7)^(R$2-1)</f>
        <v>1905.5</v>
      </c>
      <c r="S59" s="11" t="n">
        <f aca="false">Units!$E58*(1+Inputs!$B$7)^(S$2-1)</f>
        <v>1905.5</v>
      </c>
      <c r="T59" s="11" t="n">
        <f aca="false">Units!$E58*(1+Inputs!$B$7)^(T$2-1)</f>
        <v>1905.5</v>
      </c>
      <c r="U59" s="11" t="n">
        <f aca="false">Units!$E58*(1+Inputs!$B$7)^(U$2-1)</f>
        <v>1905.5</v>
      </c>
      <c r="V59" s="11" t="n">
        <f aca="false">Units!$E58*(1+Inputs!$B$7)^(V$2-1)</f>
        <v>1905.5</v>
      </c>
      <c r="W59" s="11" t="n">
        <f aca="false">Units!$E58*(1+Inputs!$B$7)^(W$2-1)</f>
        <v>1905.5</v>
      </c>
      <c r="X59" s="11" t="n">
        <f aca="false">Units!$E58*(1+Inputs!$B$7)^(X$2-1)</f>
        <v>1905.5</v>
      </c>
      <c r="Y59" s="11" t="n">
        <f aca="false">Units!$E58*(1+Inputs!$B$7)^(Y$2-1)</f>
        <v>1905.5</v>
      </c>
      <c r="Z59" s="11" t="n">
        <f aca="false">Units!$E58*(1+Inputs!$B$7)^(Z$2-1)</f>
        <v>1905.5</v>
      </c>
      <c r="AA59" s="11" t="n">
        <f aca="false">Units!$E58*(1+Inputs!$B$7)^(AA$2-1)</f>
        <v>1962.665</v>
      </c>
      <c r="AB59" s="11" t="n">
        <f aca="false">Units!$E58*(1+Inputs!$B$7)^(AB$2-1)</f>
        <v>1962.665</v>
      </c>
      <c r="AC59" s="11" t="n">
        <f aca="false">Units!$E58*(1+Inputs!$B$7)^(AC$2-1)</f>
        <v>1962.665</v>
      </c>
      <c r="AD59" s="11" t="n">
        <f aca="false">Units!$E58*(1+Inputs!$B$7)^(AD$2-1)</f>
        <v>1962.665</v>
      </c>
      <c r="AE59" s="11" t="n">
        <f aca="false">Units!$E58*(1+Inputs!$B$7)^(AE$2-1)</f>
        <v>1962.665</v>
      </c>
      <c r="AF59" s="11" t="n">
        <f aca="false">Units!$E58*(1+Inputs!$B$7)^(AF$2-1)</f>
        <v>1962.665</v>
      </c>
      <c r="AG59" s="11" t="n">
        <f aca="false">Units!$E58*(1+Inputs!$B$7)^(AG$2-1)</f>
        <v>1962.665</v>
      </c>
      <c r="AH59" s="11" t="n">
        <f aca="false">Units!$E58*(1+Inputs!$B$7)^(AH$2-1)</f>
        <v>1962.665</v>
      </c>
      <c r="AI59" s="11" t="n">
        <f aca="false">Units!$E58*(1+Inputs!$B$7)^(AI$2-1)</f>
        <v>1962.665</v>
      </c>
      <c r="AJ59" s="11" t="n">
        <f aca="false">Units!$E58*(1+Inputs!$B$7)^(AJ$2-1)</f>
        <v>1962.665</v>
      </c>
      <c r="AK59" s="11" t="n">
        <f aca="false">Units!$E58*(1+Inputs!$B$7)^(AK$2-1)</f>
        <v>1962.665</v>
      </c>
      <c r="AL59" s="11" t="n">
        <f aca="false">Units!$E58*(1+Inputs!$B$7)^(AL$2-1)</f>
        <v>1962.665</v>
      </c>
      <c r="AM59" s="11" t="n">
        <f aca="false">Units!$E58*(1+Inputs!$B$7)^(AM$2-1)</f>
        <v>2021.54495</v>
      </c>
      <c r="AN59" s="11" t="n">
        <f aca="false">Units!$E58*(1+Inputs!$B$7)^(AN$2-1)</f>
        <v>2021.54495</v>
      </c>
      <c r="AO59" s="11" t="n">
        <f aca="false">Units!$E58*(1+Inputs!$B$7)^(AO$2-1)</f>
        <v>2021.54495</v>
      </c>
      <c r="AP59" s="11" t="n">
        <f aca="false">Units!$E58*(1+Inputs!$B$7)^(AP$2-1)</f>
        <v>2021.54495</v>
      </c>
      <c r="AQ59" s="11" t="n">
        <f aca="false">Units!$E58*(1+Inputs!$B$7)^(AQ$2-1)</f>
        <v>2021.54495</v>
      </c>
      <c r="AR59" s="11" t="n">
        <f aca="false">Units!$E58*(1+Inputs!$B$7)^(AR$2-1)</f>
        <v>2021.54495</v>
      </c>
      <c r="AS59" s="11" t="n">
        <f aca="false">Units!$E58*(1+Inputs!$B$7)^(AS$2-1)</f>
        <v>2021.54495</v>
      </c>
      <c r="AT59" s="11" t="n">
        <f aca="false">Units!$E58*(1+Inputs!$B$7)^(AT$2-1)</f>
        <v>2021.54495</v>
      </c>
      <c r="AU59" s="11" t="n">
        <f aca="false">Units!$E58*(1+Inputs!$B$7)^(AU$2-1)</f>
        <v>2021.54495</v>
      </c>
      <c r="AV59" s="11" t="n">
        <f aca="false">Units!$E58*(1+Inputs!$B$7)^(AV$2-1)</f>
        <v>2021.54495</v>
      </c>
      <c r="AW59" s="11" t="n">
        <f aca="false">Units!$E58*(1+Inputs!$B$7)^(AW$2-1)</f>
        <v>2021.54495</v>
      </c>
      <c r="AX59" s="11" t="n">
        <f aca="false">Units!$E58*(1+Inputs!$B$7)^(AX$2-1)</f>
        <v>2021.54495</v>
      </c>
      <c r="AY59" s="11" t="n">
        <f aca="false">Units!$E58*(1+Inputs!$B$7)^(AY$2-1)</f>
        <v>2082.1912985</v>
      </c>
      <c r="AZ59" s="11" t="n">
        <f aca="false">Units!$E58*(1+Inputs!$B$7)^(AZ$2-1)</f>
        <v>2082.1912985</v>
      </c>
      <c r="BA59" s="11" t="n">
        <f aca="false">Units!$E58*(1+Inputs!$B$7)^(BA$2-1)</f>
        <v>2082.1912985</v>
      </c>
      <c r="BB59" s="11" t="n">
        <f aca="false">Units!$E58*(1+Inputs!$B$7)^(BB$2-1)</f>
        <v>2082.1912985</v>
      </c>
      <c r="BC59" s="11" t="n">
        <f aca="false">Units!$E58*(1+Inputs!$B$7)^(BC$2-1)</f>
        <v>2082.1912985</v>
      </c>
      <c r="BD59" s="11" t="n">
        <f aca="false">Units!$E58*(1+Inputs!$B$7)^(BD$2-1)</f>
        <v>2082.1912985</v>
      </c>
      <c r="BE59" s="11" t="n">
        <f aca="false">Units!$E58*(1+Inputs!$B$7)^(BE$2-1)</f>
        <v>2082.1912985</v>
      </c>
      <c r="BF59" s="11" t="n">
        <f aca="false">Units!$E58*(1+Inputs!$B$7)^(BF$2-1)</f>
        <v>2082.1912985</v>
      </c>
      <c r="BG59" s="11" t="n">
        <f aca="false">Units!$E58*(1+Inputs!$B$7)^(BG$2-1)</f>
        <v>2082.1912985</v>
      </c>
      <c r="BH59" s="11" t="n">
        <f aca="false">Units!$E58*(1+Inputs!$B$7)^(BH$2-1)</f>
        <v>2082.1912985</v>
      </c>
      <c r="BI59" s="11" t="n">
        <f aca="false">Units!$E58*(1+Inputs!$B$7)^(BI$2-1)</f>
        <v>2082.1912985</v>
      </c>
      <c r="BJ59" s="11" t="n">
        <f aca="false">Units!$E58*(1+Inputs!$B$7)^(BJ$2-1)</f>
        <v>2082.1912985</v>
      </c>
      <c r="BK59" s="11" t="n">
        <f aca="false">Units!$E58*(1+Inputs!$B$7)^(BK$2-1)</f>
        <v>2144.657037455</v>
      </c>
      <c r="BL59" s="11" t="n">
        <f aca="false">Units!$E58*(1+Inputs!$B$7)^(BL$2-1)</f>
        <v>2144.657037455</v>
      </c>
      <c r="BM59" s="11" t="n">
        <f aca="false">Units!$E58*(1+Inputs!$B$7)^(BM$2-1)</f>
        <v>2144.657037455</v>
      </c>
      <c r="BN59" s="11" t="n">
        <f aca="false">Units!$E58*(1+Inputs!$B$7)^(BN$2-1)</f>
        <v>2144.657037455</v>
      </c>
      <c r="BO59" s="11" t="n">
        <f aca="false">Units!$E58*(1+Inputs!$B$7)^(BO$2-1)</f>
        <v>2144.657037455</v>
      </c>
      <c r="BP59" s="11" t="n">
        <f aca="false">Units!$E58*(1+Inputs!$B$7)^(BP$2-1)</f>
        <v>2144.657037455</v>
      </c>
      <c r="BQ59" s="11" t="n">
        <f aca="false">Units!$E58*(1+Inputs!$B$7)^(BQ$2-1)</f>
        <v>2144.657037455</v>
      </c>
      <c r="BR59" s="11" t="n">
        <f aca="false">Units!$E58*(1+Inputs!$B$7)^(BR$2-1)</f>
        <v>2144.657037455</v>
      </c>
      <c r="BS59" s="11" t="n">
        <f aca="false">Units!$E58*(1+Inputs!$B$7)^(BS$2-1)</f>
        <v>2144.657037455</v>
      </c>
      <c r="BT59" s="11" t="n">
        <f aca="false">Units!$E58*(1+Inputs!$B$7)^(BT$2-1)</f>
        <v>2144.657037455</v>
      </c>
      <c r="BU59" s="11" t="n">
        <f aca="false">Units!$E58*(1+Inputs!$B$7)^(BU$2-1)</f>
        <v>2144.657037455</v>
      </c>
      <c r="BV59" s="11" t="n">
        <f aca="false">Units!$E58*(1+Inputs!$B$7)^(BV$2-1)</f>
        <v>2144.657037455</v>
      </c>
      <c r="BW59" s="11" t="n">
        <f aca="false">Units!$E58*(1+Inputs!$B$7)^(BW$2-1)</f>
        <v>2208.99674857865</v>
      </c>
      <c r="BX59" s="11" t="n">
        <f aca="false">Units!$E58*(1+Inputs!$B$7)^(BX$2-1)</f>
        <v>2208.99674857865</v>
      </c>
      <c r="BY59" s="11" t="n">
        <f aca="false">Units!$E58*(1+Inputs!$B$7)^(BY$2-1)</f>
        <v>2208.99674857865</v>
      </c>
      <c r="BZ59" s="11" t="n">
        <f aca="false">Units!$E58*(1+Inputs!$B$7)^(BZ$2-1)</f>
        <v>2208.99674857865</v>
      </c>
      <c r="CA59" s="11" t="n">
        <f aca="false">Units!$E58*(1+Inputs!$B$7)^(CA$2-1)</f>
        <v>2208.99674857865</v>
      </c>
      <c r="CB59" s="11" t="n">
        <f aca="false">Units!$E58*(1+Inputs!$B$7)^(CB$2-1)</f>
        <v>2208.99674857865</v>
      </c>
      <c r="CC59" s="11" t="n">
        <f aca="false">Units!$E58*(1+Inputs!$B$7)^(CC$2-1)</f>
        <v>2208.99674857865</v>
      </c>
      <c r="CD59" s="11" t="n">
        <f aca="false">Units!$E58*(1+Inputs!$B$7)^(CD$2-1)</f>
        <v>2208.99674857865</v>
      </c>
      <c r="CE59" s="11" t="n">
        <f aca="false">Units!$E58*(1+Inputs!$B$7)^(CE$2-1)</f>
        <v>2208.99674857865</v>
      </c>
      <c r="CF59" s="11" t="n">
        <f aca="false">Units!$E58*(1+Inputs!$B$7)^(CF$2-1)</f>
        <v>2208.99674857865</v>
      </c>
      <c r="CG59" s="11" t="n">
        <f aca="false">Units!$E58*(1+Inputs!$B$7)^(CG$2-1)</f>
        <v>2208.99674857865</v>
      </c>
      <c r="CH59" s="11" t="n">
        <f aca="false">Units!$E58*(1+Inputs!$B$7)^(CH$2-1)</f>
        <v>2208.99674857865</v>
      </c>
      <c r="CI59" s="11" t="n">
        <f aca="false">Units!$E58*(1+Inputs!$B$7)^(CI$2-1)</f>
        <v>2275.26665103601</v>
      </c>
      <c r="CJ59" s="11" t="n">
        <f aca="false">Units!$E58*(1+Inputs!$B$7)^(CJ$2-1)</f>
        <v>2275.26665103601</v>
      </c>
      <c r="CK59" s="11" t="n">
        <f aca="false">Units!$E58*(1+Inputs!$B$7)^(CK$2-1)</f>
        <v>2275.26665103601</v>
      </c>
      <c r="CL59" s="11" t="n">
        <f aca="false">Units!$E58*(1+Inputs!$B$7)^(CL$2-1)</f>
        <v>2275.26665103601</v>
      </c>
      <c r="CM59" s="11" t="n">
        <f aca="false">Units!$E58*(1+Inputs!$B$7)^(CM$2-1)</f>
        <v>2275.26665103601</v>
      </c>
      <c r="CN59" s="11" t="n">
        <f aca="false">Units!$E58*(1+Inputs!$B$7)^(CN$2-1)</f>
        <v>2275.26665103601</v>
      </c>
      <c r="CO59" s="11" t="n">
        <f aca="false">Units!$E58*(1+Inputs!$B$7)^(CO$2-1)</f>
        <v>2275.26665103601</v>
      </c>
      <c r="CP59" s="11" t="n">
        <f aca="false">Units!$E58*(1+Inputs!$B$7)^(CP$2-1)</f>
        <v>2275.26665103601</v>
      </c>
      <c r="CQ59" s="11" t="n">
        <f aca="false">Units!$E58*(1+Inputs!$B$7)^(CQ$2-1)</f>
        <v>2275.26665103601</v>
      </c>
      <c r="CR59" s="11" t="n">
        <f aca="false">Units!$E58*(1+Inputs!$B$7)^(CR$2-1)</f>
        <v>2275.26665103601</v>
      </c>
      <c r="CS59" s="11" t="n">
        <f aca="false">Units!$E58*(1+Inputs!$B$7)^(CS$2-1)</f>
        <v>2275.26665103601</v>
      </c>
      <c r="CT59" s="11" t="n">
        <f aca="false">Units!$E58*(1+Inputs!$B$7)^(CT$2-1)</f>
        <v>2275.26665103601</v>
      </c>
      <c r="CU59" s="11" t="n">
        <f aca="false">Units!$E58*(1+Inputs!$B$7)^(CU$2-1)</f>
        <v>2343.52465056709</v>
      </c>
      <c r="CV59" s="11" t="n">
        <f aca="false">Units!$E58*(1+Inputs!$B$7)^(CV$2-1)</f>
        <v>2343.52465056709</v>
      </c>
      <c r="CW59" s="11" t="n">
        <f aca="false">Units!$E58*(1+Inputs!$B$7)^(CW$2-1)</f>
        <v>2343.52465056709</v>
      </c>
      <c r="CX59" s="11" t="n">
        <f aca="false">Units!$E58*(1+Inputs!$B$7)^(CX$2-1)</f>
        <v>2343.52465056709</v>
      </c>
      <c r="CY59" s="11" t="n">
        <f aca="false">Units!$E58*(1+Inputs!$B$7)^(CY$2-1)</f>
        <v>2343.52465056709</v>
      </c>
      <c r="CZ59" s="11" t="n">
        <f aca="false">Units!$E58*(1+Inputs!$B$7)^(CZ$2-1)</f>
        <v>2343.52465056709</v>
      </c>
      <c r="DA59" s="11" t="n">
        <f aca="false">Units!$E58*(1+Inputs!$B$7)^(DA$2-1)</f>
        <v>2343.52465056709</v>
      </c>
      <c r="DB59" s="11" t="n">
        <f aca="false">Units!$E58*(1+Inputs!$B$7)^(DB$2-1)</f>
        <v>2343.52465056709</v>
      </c>
      <c r="DC59" s="11" t="n">
        <f aca="false">Units!$E58*(1+Inputs!$B$7)^(DC$2-1)</f>
        <v>2343.52465056709</v>
      </c>
      <c r="DD59" s="11" t="n">
        <f aca="false">Units!$E58*(1+Inputs!$B$7)^(DD$2-1)</f>
        <v>2343.52465056709</v>
      </c>
      <c r="DE59" s="11" t="n">
        <f aca="false">Units!$E58*(1+Inputs!$B$7)^(DE$2-1)</f>
        <v>2343.52465056709</v>
      </c>
      <c r="DF59" s="11" t="n">
        <f aca="false">Units!$E58*(1+Inputs!$B$7)^(DF$2-1)</f>
        <v>2343.52465056709</v>
      </c>
      <c r="DG59" s="11" t="n">
        <f aca="false">Units!$E58*(1+Inputs!$B$7)^(DG$2-1)</f>
        <v>2413.8303900841</v>
      </c>
      <c r="DH59" s="11" t="n">
        <f aca="false">Units!$E58*(1+Inputs!$B$7)^(DH$2-1)</f>
        <v>2413.8303900841</v>
      </c>
      <c r="DI59" s="11" t="n">
        <f aca="false">Units!$E58*(1+Inputs!$B$7)^(DI$2-1)</f>
        <v>2413.8303900841</v>
      </c>
      <c r="DJ59" s="11" t="n">
        <f aca="false">Units!$E58*(1+Inputs!$B$7)^(DJ$2-1)</f>
        <v>2413.8303900841</v>
      </c>
      <c r="DK59" s="11" t="n">
        <f aca="false">Units!$E58*(1+Inputs!$B$7)^(DK$2-1)</f>
        <v>2413.8303900841</v>
      </c>
      <c r="DL59" s="11" t="n">
        <f aca="false">Units!$E58*(1+Inputs!$B$7)^(DL$2-1)</f>
        <v>2413.8303900841</v>
      </c>
      <c r="DM59" s="11" t="n">
        <f aca="false">Units!$E58*(1+Inputs!$B$7)^(DM$2-1)</f>
        <v>2413.8303900841</v>
      </c>
      <c r="DN59" s="11" t="n">
        <f aca="false">Units!$E58*(1+Inputs!$B$7)^(DN$2-1)</f>
        <v>2413.8303900841</v>
      </c>
      <c r="DO59" s="11" t="n">
        <f aca="false">Units!$E58*(1+Inputs!$B$7)^(DO$2-1)</f>
        <v>2413.8303900841</v>
      </c>
      <c r="DP59" s="11" t="n">
        <f aca="false">Units!$E58*(1+Inputs!$B$7)^(DP$2-1)</f>
        <v>2413.8303900841</v>
      </c>
      <c r="DQ59" s="11" t="n">
        <f aca="false">Units!$E58*(1+Inputs!$B$7)^(DQ$2-1)</f>
        <v>2413.8303900841</v>
      </c>
      <c r="DR59" s="11" t="n">
        <f aca="false">Units!$E58*(1+Inputs!$B$7)^(DR$2-1)</f>
        <v>2413.8303900841</v>
      </c>
      <c r="DS59" s="11" t="n">
        <f aca="false">Units!$E58*(1+Inputs!$B$7)^(DS$2-1)</f>
        <v>2486.24530178663</v>
      </c>
      <c r="DT59" s="11" t="n">
        <f aca="false">Units!$E58*(1+Inputs!$B$7)^(DT$2-1)</f>
        <v>2486.24530178663</v>
      </c>
      <c r="DU59" s="11" t="n">
        <f aca="false">Units!$E58*(1+Inputs!$B$7)^(DU$2-1)</f>
        <v>2486.24530178663</v>
      </c>
      <c r="DV59" s="11" t="n">
        <f aca="false">Units!$E58*(1+Inputs!$B$7)^(DV$2-1)</f>
        <v>2486.24530178663</v>
      </c>
      <c r="DW59" s="11" t="n">
        <f aca="false">Units!$E58*(1+Inputs!$B$7)^(DW$2-1)</f>
        <v>2486.24530178663</v>
      </c>
      <c r="DX59" s="11" t="n">
        <f aca="false">Units!$E58*(1+Inputs!$B$7)^(DX$2-1)</f>
        <v>2486.24530178663</v>
      </c>
      <c r="DY59" s="11" t="n">
        <f aca="false">Units!$E58*(1+Inputs!$B$7)^(DY$2-1)</f>
        <v>2486.24530178663</v>
      </c>
      <c r="DZ59" s="11" t="n">
        <f aca="false">Units!$E58*(1+Inputs!$B$7)^(DZ$2-1)</f>
        <v>2486.24530178663</v>
      </c>
      <c r="EA59" s="11" t="n">
        <f aca="false">Units!$E58*(1+Inputs!$B$7)^(EA$2-1)</f>
        <v>2486.24530178663</v>
      </c>
      <c r="EB59" s="11" t="n">
        <f aca="false">Units!$E58*(1+Inputs!$B$7)^(EB$2-1)</f>
        <v>2486.24530178663</v>
      </c>
      <c r="EC59" s="11" t="n">
        <f aca="false">Units!$E58*(1+Inputs!$B$7)^(EC$2-1)</f>
        <v>2486.24530178663</v>
      </c>
      <c r="ED59" s="11" t="n">
        <f aca="false">Units!$E58*(1+Inputs!$B$7)^(ED$2-1)</f>
        <v>2486.24530178663</v>
      </c>
    </row>
    <row r="60" customFormat="false" ht="15" hidden="false" customHeight="false" outlineLevel="0" collapsed="false">
      <c r="A60" s="22" t="n">
        <f aca="false">Units!A59</f>
        <v>228</v>
      </c>
      <c r="B60" s="23"/>
      <c r="C60" s="11" t="n">
        <f aca="false">Units!$E59*(1+Inputs!$B$7)^(C$2-1)</f>
        <v>2240</v>
      </c>
      <c r="D60" s="11" t="n">
        <f aca="false">Units!$E59*(1+Inputs!$B$7)^(D$2-1)</f>
        <v>2240</v>
      </c>
      <c r="E60" s="11" t="n">
        <f aca="false">Units!$E59*(1+Inputs!$B$7)^(E$2-1)</f>
        <v>2240</v>
      </c>
      <c r="F60" s="11" t="n">
        <f aca="false">Units!$E59*(1+Inputs!$B$7)^(F$2-1)</f>
        <v>2240</v>
      </c>
      <c r="G60" s="11" t="n">
        <f aca="false">Units!$E59*(1+Inputs!$B$7)^(G$2-1)</f>
        <v>2240</v>
      </c>
      <c r="H60" s="11" t="n">
        <f aca="false">Units!$E59*(1+Inputs!$B$7)^(H$2-1)</f>
        <v>2240</v>
      </c>
      <c r="I60" s="11" t="n">
        <f aca="false">Units!$E59*(1+Inputs!$B$7)^(I$2-1)</f>
        <v>2240</v>
      </c>
      <c r="J60" s="11" t="n">
        <f aca="false">Units!$E59*(1+Inputs!$B$7)^(J$2-1)</f>
        <v>2240</v>
      </c>
      <c r="K60" s="11" t="n">
        <f aca="false">Units!$E59*(1+Inputs!$B$7)^(K$2-1)</f>
        <v>2240</v>
      </c>
      <c r="L60" s="11" t="n">
        <f aca="false">Units!$E59*(1+Inputs!$B$7)^(L$2-1)</f>
        <v>2240</v>
      </c>
      <c r="M60" s="11" t="n">
        <f aca="false">Units!$E59*(1+Inputs!$B$7)^(M$2-1)</f>
        <v>2240</v>
      </c>
      <c r="N60" s="11" t="n">
        <f aca="false">Units!$E59*(1+Inputs!$B$7)^(N$2-1)</f>
        <v>2240</v>
      </c>
      <c r="O60" s="11" t="n">
        <f aca="false">Units!$E59*(1+Inputs!$B$7)^(O$2-1)</f>
        <v>2307.2</v>
      </c>
      <c r="P60" s="11" t="n">
        <f aca="false">Units!$E59*(1+Inputs!$B$7)^(P$2-1)</f>
        <v>2307.2</v>
      </c>
      <c r="Q60" s="11" t="n">
        <f aca="false">Units!$E59*(1+Inputs!$B$7)^(Q$2-1)</f>
        <v>2307.2</v>
      </c>
      <c r="R60" s="11" t="n">
        <f aca="false">Units!$E59*(1+Inputs!$B$7)^(R$2-1)</f>
        <v>2307.2</v>
      </c>
      <c r="S60" s="11" t="n">
        <f aca="false">Units!$E59*(1+Inputs!$B$7)^(S$2-1)</f>
        <v>2307.2</v>
      </c>
      <c r="T60" s="11" t="n">
        <f aca="false">Units!$E59*(1+Inputs!$B$7)^(T$2-1)</f>
        <v>2307.2</v>
      </c>
      <c r="U60" s="11" t="n">
        <f aca="false">Units!$E59*(1+Inputs!$B$7)^(U$2-1)</f>
        <v>2307.2</v>
      </c>
      <c r="V60" s="11" t="n">
        <f aca="false">Units!$E59*(1+Inputs!$B$7)^(V$2-1)</f>
        <v>2307.2</v>
      </c>
      <c r="W60" s="11" t="n">
        <f aca="false">Units!$E59*(1+Inputs!$B$7)^(W$2-1)</f>
        <v>2307.2</v>
      </c>
      <c r="X60" s="11" t="n">
        <f aca="false">Units!$E59*(1+Inputs!$B$7)^(X$2-1)</f>
        <v>2307.2</v>
      </c>
      <c r="Y60" s="11" t="n">
        <f aca="false">Units!$E59*(1+Inputs!$B$7)^(Y$2-1)</f>
        <v>2307.2</v>
      </c>
      <c r="Z60" s="11" t="n">
        <f aca="false">Units!$E59*(1+Inputs!$B$7)^(Z$2-1)</f>
        <v>2307.2</v>
      </c>
      <c r="AA60" s="11" t="n">
        <f aca="false">Units!$E59*(1+Inputs!$B$7)^(AA$2-1)</f>
        <v>2376.416</v>
      </c>
      <c r="AB60" s="11" t="n">
        <f aca="false">Units!$E59*(1+Inputs!$B$7)^(AB$2-1)</f>
        <v>2376.416</v>
      </c>
      <c r="AC60" s="11" t="n">
        <f aca="false">Units!$E59*(1+Inputs!$B$7)^(AC$2-1)</f>
        <v>2376.416</v>
      </c>
      <c r="AD60" s="11" t="n">
        <f aca="false">Units!$E59*(1+Inputs!$B$7)^(AD$2-1)</f>
        <v>2376.416</v>
      </c>
      <c r="AE60" s="11" t="n">
        <f aca="false">Units!$E59*(1+Inputs!$B$7)^(AE$2-1)</f>
        <v>2376.416</v>
      </c>
      <c r="AF60" s="11" t="n">
        <f aca="false">Units!$E59*(1+Inputs!$B$7)^(AF$2-1)</f>
        <v>2376.416</v>
      </c>
      <c r="AG60" s="11" t="n">
        <f aca="false">Units!$E59*(1+Inputs!$B$7)^(AG$2-1)</f>
        <v>2376.416</v>
      </c>
      <c r="AH60" s="11" t="n">
        <f aca="false">Units!$E59*(1+Inputs!$B$7)^(AH$2-1)</f>
        <v>2376.416</v>
      </c>
      <c r="AI60" s="11" t="n">
        <f aca="false">Units!$E59*(1+Inputs!$B$7)^(AI$2-1)</f>
        <v>2376.416</v>
      </c>
      <c r="AJ60" s="11" t="n">
        <f aca="false">Units!$E59*(1+Inputs!$B$7)^(AJ$2-1)</f>
        <v>2376.416</v>
      </c>
      <c r="AK60" s="11" t="n">
        <f aca="false">Units!$E59*(1+Inputs!$B$7)^(AK$2-1)</f>
        <v>2376.416</v>
      </c>
      <c r="AL60" s="11" t="n">
        <f aca="false">Units!$E59*(1+Inputs!$B$7)^(AL$2-1)</f>
        <v>2376.416</v>
      </c>
      <c r="AM60" s="11" t="n">
        <f aca="false">Units!$E59*(1+Inputs!$B$7)^(AM$2-1)</f>
        <v>2447.70848</v>
      </c>
      <c r="AN60" s="11" t="n">
        <f aca="false">Units!$E59*(1+Inputs!$B$7)^(AN$2-1)</f>
        <v>2447.70848</v>
      </c>
      <c r="AO60" s="11" t="n">
        <f aca="false">Units!$E59*(1+Inputs!$B$7)^(AO$2-1)</f>
        <v>2447.70848</v>
      </c>
      <c r="AP60" s="11" t="n">
        <f aca="false">Units!$E59*(1+Inputs!$B$7)^(AP$2-1)</f>
        <v>2447.70848</v>
      </c>
      <c r="AQ60" s="11" t="n">
        <f aca="false">Units!$E59*(1+Inputs!$B$7)^(AQ$2-1)</f>
        <v>2447.70848</v>
      </c>
      <c r="AR60" s="11" t="n">
        <f aca="false">Units!$E59*(1+Inputs!$B$7)^(AR$2-1)</f>
        <v>2447.70848</v>
      </c>
      <c r="AS60" s="11" t="n">
        <f aca="false">Units!$E59*(1+Inputs!$B$7)^(AS$2-1)</f>
        <v>2447.70848</v>
      </c>
      <c r="AT60" s="11" t="n">
        <f aca="false">Units!$E59*(1+Inputs!$B$7)^(AT$2-1)</f>
        <v>2447.70848</v>
      </c>
      <c r="AU60" s="11" t="n">
        <f aca="false">Units!$E59*(1+Inputs!$B$7)^(AU$2-1)</f>
        <v>2447.70848</v>
      </c>
      <c r="AV60" s="11" t="n">
        <f aca="false">Units!$E59*(1+Inputs!$B$7)^(AV$2-1)</f>
        <v>2447.70848</v>
      </c>
      <c r="AW60" s="11" t="n">
        <f aca="false">Units!$E59*(1+Inputs!$B$7)^(AW$2-1)</f>
        <v>2447.70848</v>
      </c>
      <c r="AX60" s="11" t="n">
        <f aca="false">Units!$E59*(1+Inputs!$B$7)^(AX$2-1)</f>
        <v>2447.70848</v>
      </c>
      <c r="AY60" s="11" t="n">
        <f aca="false">Units!$E59*(1+Inputs!$B$7)^(AY$2-1)</f>
        <v>2521.1397344</v>
      </c>
      <c r="AZ60" s="11" t="n">
        <f aca="false">Units!$E59*(1+Inputs!$B$7)^(AZ$2-1)</f>
        <v>2521.1397344</v>
      </c>
      <c r="BA60" s="11" t="n">
        <f aca="false">Units!$E59*(1+Inputs!$B$7)^(BA$2-1)</f>
        <v>2521.1397344</v>
      </c>
      <c r="BB60" s="11" t="n">
        <f aca="false">Units!$E59*(1+Inputs!$B$7)^(BB$2-1)</f>
        <v>2521.1397344</v>
      </c>
      <c r="BC60" s="11" t="n">
        <f aca="false">Units!$E59*(1+Inputs!$B$7)^(BC$2-1)</f>
        <v>2521.1397344</v>
      </c>
      <c r="BD60" s="11" t="n">
        <f aca="false">Units!$E59*(1+Inputs!$B$7)^(BD$2-1)</f>
        <v>2521.1397344</v>
      </c>
      <c r="BE60" s="11" t="n">
        <f aca="false">Units!$E59*(1+Inputs!$B$7)^(BE$2-1)</f>
        <v>2521.1397344</v>
      </c>
      <c r="BF60" s="11" t="n">
        <f aca="false">Units!$E59*(1+Inputs!$B$7)^(BF$2-1)</f>
        <v>2521.1397344</v>
      </c>
      <c r="BG60" s="11" t="n">
        <f aca="false">Units!$E59*(1+Inputs!$B$7)^(BG$2-1)</f>
        <v>2521.1397344</v>
      </c>
      <c r="BH60" s="11" t="n">
        <f aca="false">Units!$E59*(1+Inputs!$B$7)^(BH$2-1)</f>
        <v>2521.1397344</v>
      </c>
      <c r="BI60" s="11" t="n">
        <f aca="false">Units!$E59*(1+Inputs!$B$7)^(BI$2-1)</f>
        <v>2521.1397344</v>
      </c>
      <c r="BJ60" s="11" t="n">
        <f aca="false">Units!$E59*(1+Inputs!$B$7)^(BJ$2-1)</f>
        <v>2521.1397344</v>
      </c>
      <c r="BK60" s="11" t="n">
        <f aca="false">Units!$E59*(1+Inputs!$B$7)^(BK$2-1)</f>
        <v>2596.773926432</v>
      </c>
      <c r="BL60" s="11" t="n">
        <f aca="false">Units!$E59*(1+Inputs!$B$7)^(BL$2-1)</f>
        <v>2596.773926432</v>
      </c>
      <c r="BM60" s="11" t="n">
        <f aca="false">Units!$E59*(1+Inputs!$B$7)^(BM$2-1)</f>
        <v>2596.773926432</v>
      </c>
      <c r="BN60" s="11" t="n">
        <f aca="false">Units!$E59*(1+Inputs!$B$7)^(BN$2-1)</f>
        <v>2596.773926432</v>
      </c>
      <c r="BO60" s="11" t="n">
        <f aca="false">Units!$E59*(1+Inputs!$B$7)^(BO$2-1)</f>
        <v>2596.773926432</v>
      </c>
      <c r="BP60" s="11" t="n">
        <f aca="false">Units!$E59*(1+Inputs!$B$7)^(BP$2-1)</f>
        <v>2596.773926432</v>
      </c>
      <c r="BQ60" s="11" t="n">
        <f aca="false">Units!$E59*(1+Inputs!$B$7)^(BQ$2-1)</f>
        <v>2596.773926432</v>
      </c>
      <c r="BR60" s="11" t="n">
        <f aca="false">Units!$E59*(1+Inputs!$B$7)^(BR$2-1)</f>
        <v>2596.773926432</v>
      </c>
      <c r="BS60" s="11" t="n">
        <f aca="false">Units!$E59*(1+Inputs!$B$7)^(BS$2-1)</f>
        <v>2596.773926432</v>
      </c>
      <c r="BT60" s="11" t="n">
        <f aca="false">Units!$E59*(1+Inputs!$B$7)^(BT$2-1)</f>
        <v>2596.773926432</v>
      </c>
      <c r="BU60" s="11" t="n">
        <f aca="false">Units!$E59*(1+Inputs!$B$7)^(BU$2-1)</f>
        <v>2596.773926432</v>
      </c>
      <c r="BV60" s="11" t="n">
        <f aca="false">Units!$E59*(1+Inputs!$B$7)^(BV$2-1)</f>
        <v>2596.773926432</v>
      </c>
      <c r="BW60" s="11" t="n">
        <f aca="false">Units!$E59*(1+Inputs!$B$7)^(BW$2-1)</f>
        <v>2674.67714422496</v>
      </c>
      <c r="BX60" s="11" t="n">
        <f aca="false">Units!$E59*(1+Inputs!$B$7)^(BX$2-1)</f>
        <v>2674.67714422496</v>
      </c>
      <c r="BY60" s="11" t="n">
        <f aca="false">Units!$E59*(1+Inputs!$B$7)^(BY$2-1)</f>
        <v>2674.67714422496</v>
      </c>
      <c r="BZ60" s="11" t="n">
        <f aca="false">Units!$E59*(1+Inputs!$B$7)^(BZ$2-1)</f>
        <v>2674.67714422496</v>
      </c>
      <c r="CA60" s="11" t="n">
        <f aca="false">Units!$E59*(1+Inputs!$B$7)^(CA$2-1)</f>
        <v>2674.67714422496</v>
      </c>
      <c r="CB60" s="11" t="n">
        <f aca="false">Units!$E59*(1+Inputs!$B$7)^(CB$2-1)</f>
        <v>2674.67714422496</v>
      </c>
      <c r="CC60" s="11" t="n">
        <f aca="false">Units!$E59*(1+Inputs!$B$7)^(CC$2-1)</f>
        <v>2674.67714422496</v>
      </c>
      <c r="CD60" s="11" t="n">
        <f aca="false">Units!$E59*(1+Inputs!$B$7)^(CD$2-1)</f>
        <v>2674.67714422496</v>
      </c>
      <c r="CE60" s="11" t="n">
        <f aca="false">Units!$E59*(1+Inputs!$B$7)^(CE$2-1)</f>
        <v>2674.67714422496</v>
      </c>
      <c r="CF60" s="11" t="n">
        <f aca="false">Units!$E59*(1+Inputs!$B$7)^(CF$2-1)</f>
        <v>2674.67714422496</v>
      </c>
      <c r="CG60" s="11" t="n">
        <f aca="false">Units!$E59*(1+Inputs!$B$7)^(CG$2-1)</f>
        <v>2674.67714422496</v>
      </c>
      <c r="CH60" s="11" t="n">
        <f aca="false">Units!$E59*(1+Inputs!$B$7)^(CH$2-1)</f>
        <v>2674.67714422496</v>
      </c>
      <c r="CI60" s="11" t="n">
        <f aca="false">Units!$E59*(1+Inputs!$B$7)^(CI$2-1)</f>
        <v>2754.91745855171</v>
      </c>
      <c r="CJ60" s="11" t="n">
        <f aca="false">Units!$E59*(1+Inputs!$B$7)^(CJ$2-1)</f>
        <v>2754.91745855171</v>
      </c>
      <c r="CK60" s="11" t="n">
        <f aca="false">Units!$E59*(1+Inputs!$B$7)^(CK$2-1)</f>
        <v>2754.91745855171</v>
      </c>
      <c r="CL60" s="11" t="n">
        <f aca="false">Units!$E59*(1+Inputs!$B$7)^(CL$2-1)</f>
        <v>2754.91745855171</v>
      </c>
      <c r="CM60" s="11" t="n">
        <f aca="false">Units!$E59*(1+Inputs!$B$7)^(CM$2-1)</f>
        <v>2754.91745855171</v>
      </c>
      <c r="CN60" s="11" t="n">
        <f aca="false">Units!$E59*(1+Inputs!$B$7)^(CN$2-1)</f>
        <v>2754.91745855171</v>
      </c>
      <c r="CO60" s="11" t="n">
        <f aca="false">Units!$E59*(1+Inputs!$B$7)^(CO$2-1)</f>
        <v>2754.91745855171</v>
      </c>
      <c r="CP60" s="11" t="n">
        <f aca="false">Units!$E59*(1+Inputs!$B$7)^(CP$2-1)</f>
        <v>2754.91745855171</v>
      </c>
      <c r="CQ60" s="11" t="n">
        <f aca="false">Units!$E59*(1+Inputs!$B$7)^(CQ$2-1)</f>
        <v>2754.91745855171</v>
      </c>
      <c r="CR60" s="11" t="n">
        <f aca="false">Units!$E59*(1+Inputs!$B$7)^(CR$2-1)</f>
        <v>2754.91745855171</v>
      </c>
      <c r="CS60" s="11" t="n">
        <f aca="false">Units!$E59*(1+Inputs!$B$7)^(CS$2-1)</f>
        <v>2754.91745855171</v>
      </c>
      <c r="CT60" s="11" t="n">
        <f aca="false">Units!$E59*(1+Inputs!$B$7)^(CT$2-1)</f>
        <v>2754.91745855171</v>
      </c>
      <c r="CU60" s="11" t="n">
        <f aca="false">Units!$E59*(1+Inputs!$B$7)^(CU$2-1)</f>
        <v>2837.56498230826</v>
      </c>
      <c r="CV60" s="11" t="n">
        <f aca="false">Units!$E59*(1+Inputs!$B$7)^(CV$2-1)</f>
        <v>2837.56498230826</v>
      </c>
      <c r="CW60" s="11" t="n">
        <f aca="false">Units!$E59*(1+Inputs!$B$7)^(CW$2-1)</f>
        <v>2837.56498230826</v>
      </c>
      <c r="CX60" s="11" t="n">
        <f aca="false">Units!$E59*(1+Inputs!$B$7)^(CX$2-1)</f>
        <v>2837.56498230826</v>
      </c>
      <c r="CY60" s="11" t="n">
        <f aca="false">Units!$E59*(1+Inputs!$B$7)^(CY$2-1)</f>
        <v>2837.56498230826</v>
      </c>
      <c r="CZ60" s="11" t="n">
        <f aca="false">Units!$E59*(1+Inputs!$B$7)^(CZ$2-1)</f>
        <v>2837.56498230826</v>
      </c>
      <c r="DA60" s="11" t="n">
        <f aca="false">Units!$E59*(1+Inputs!$B$7)^(DA$2-1)</f>
        <v>2837.56498230826</v>
      </c>
      <c r="DB60" s="11" t="n">
        <f aca="false">Units!$E59*(1+Inputs!$B$7)^(DB$2-1)</f>
        <v>2837.56498230826</v>
      </c>
      <c r="DC60" s="11" t="n">
        <f aca="false">Units!$E59*(1+Inputs!$B$7)^(DC$2-1)</f>
        <v>2837.56498230826</v>
      </c>
      <c r="DD60" s="11" t="n">
        <f aca="false">Units!$E59*(1+Inputs!$B$7)^(DD$2-1)</f>
        <v>2837.56498230826</v>
      </c>
      <c r="DE60" s="11" t="n">
        <f aca="false">Units!$E59*(1+Inputs!$B$7)^(DE$2-1)</f>
        <v>2837.56498230826</v>
      </c>
      <c r="DF60" s="11" t="n">
        <f aca="false">Units!$E59*(1+Inputs!$B$7)^(DF$2-1)</f>
        <v>2837.56498230826</v>
      </c>
      <c r="DG60" s="11" t="n">
        <f aca="false">Units!$E59*(1+Inputs!$B$7)^(DG$2-1)</f>
        <v>2922.69193177751</v>
      </c>
      <c r="DH60" s="11" t="n">
        <f aca="false">Units!$E59*(1+Inputs!$B$7)^(DH$2-1)</f>
        <v>2922.69193177751</v>
      </c>
      <c r="DI60" s="11" t="n">
        <f aca="false">Units!$E59*(1+Inputs!$B$7)^(DI$2-1)</f>
        <v>2922.69193177751</v>
      </c>
      <c r="DJ60" s="11" t="n">
        <f aca="false">Units!$E59*(1+Inputs!$B$7)^(DJ$2-1)</f>
        <v>2922.69193177751</v>
      </c>
      <c r="DK60" s="11" t="n">
        <f aca="false">Units!$E59*(1+Inputs!$B$7)^(DK$2-1)</f>
        <v>2922.69193177751</v>
      </c>
      <c r="DL60" s="11" t="n">
        <f aca="false">Units!$E59*(1+Inputs!$B$7)^(DL$2-1)</f>
        <v>2922.69193177751</v>
      </c>
      <c r="DM60" s="11" t="n">
        <f aca="false">Units!$E59*(1+Inputs!$B$7)^(DM$2-1)</f>
        <v>2922.69193177751</v>
      </c>
      <c r="DN60" s="11" t="n">
        <f aca="false">Units!$E59*(1+Inputs!$B$7)^(DN$2-1)</f>
        <v>2922.69193177751</v>
      </c>
      <c r="DO60" s="11" t="n">
        <f aca="false">Units!$E59*(1+Inputs!$B$7)^(DO$2-1)</f>
        <v>2922.69193177751</v>
      </c>
      <c r="DP60" s="11" t="n">
        <f aca="false">Units!$E59*(1+Inputs!$B$7)^(DP$2-1)</f>
        <v>2922.69193177751</v>
      </c>
      <c r="DQ60" s="11" t="n">
        <f aca="false">Units!$E59*(1+Inputs!$B$7)^(DQ$2-1)</f>
        <v>2922.69193177751</v>
      </c>
      <c r="DR60" s="11" t="n">
        <f aca="false">Units!$E59*(1+Inputs!$B$7)^(DR$2-1)</f>
        <v>2922.69193177751</v>
      </c>
      <c r="DS60" s="11" t="n">
        <f aca="false">Units!$E59*(1+Inputs!$B$7)^(DS$2-1)</f>
        <v>3010.37268973083</v>
      </c>
      <c r="DT60" s="11" t="n">
        <f aca="false">Units!$E59*(1+Inputs!$B$7)^(DT$2-1)</f>
        <v>3010.37268973083</v>
      </c>
      <c r="DU60" s="11" t="n">
        <f aca="false">Units!$E59*(1+Inputs!$B$7)^(DU$2-1)</f>
        <v>3010.37268973083</v>
      </c>
      <c r="DV60" s="11" t="n">
        <f aca="false">Units!$E59*(1+Inputs!$B$7)^(DV$2-1)</f>
        <v>3010.37268973083</v>
      </c>
      <c r="DW60" s="11" t="n">
        <f aca="false">Units!$E59*(1+Inputs!$B$7)^(DW$2-1)</f>
        <v>3010.37268973083</v>
      </c>
      <c r="DX60" s="11" t="n">
        <f aca="false">Units!$E59*(1+Inputs!$B$7)^(DX$2-1)</f>
        <v>3010.37268973083</v>
      </c>
      <c r="DY60" s="11" t="n">
        <f aca="false">Units!$E59*(1+Inputs!$B$7)^(DY$2-1)</f>
        <v>3010.37268973083</v>
      </c>
      <c r="DZ60" s="11" t="n">
        <f aca="false">Units!$E59*(1+Inputs!$B$7)^(DZ$2-1)</f>
        <v>3010.37268973083</v>
      </c>
      <c r="EA60" s="11" t="n">
        <f aca="false">Units!$E59*(1+Inputs!$B$7)^(EA$2-1)</f>
        <v>3010.37268973083</v>
      </c>
      <c r="EB60" s="11" t="n">
        <f aca="false">Units!$E59*(1+Inputs!$B$7)^(EB$2-1)</f>
        <v>3010.37268973083</v>
      </c>
      <c r="EC60" s="11" t="n">
        <f aca="false">Units!$E59*(1+Inputs!$B$7)^(EC$2-1)</f>
        <v>3010.37268973083</v>
      </c>
      <c r="ED60" s="11" t="n">
        <f aca="false">Units!$E59*(1+Inputs!$B$7)^(ED$2-1)</f>
        <v>3010.37268973083</v>
      </c>
    </row>
    <row r="61" customFormat="false" ht="15" hidden="false" customHeight="false" outlineLevel="0" collapsed="false">
      <c r="A61" s="22" t="n">
        <f aca="false">Units!A60</f>
        <v>229</v>
      </c>
      <c r="B61" s="23"/>
      <c r="C61" s="11" t="n">
        <f aca="false">Units!$E60*(1+Inputs!$B$7)^(C$2-1)</f>
        <v>2240</v>
      </c>
      <c r="D61" s="11" t="n">
        <f aca="false">Units!$E60*(1+Inputs!$B$7)^(D$2-1)</f>
        <v>2240</v>
      </c>
      <c r="E61" s="11" t="n">
        <f aca="false">Units!$E60*(1+Inputs!$B$7)^(E$2-1)</f>
        <v>2240</v>
      </c>
      <c r="F61" s="11" t="n">
        <f aca="false">Units!$E60*(1+Inputs!$B$7)^(F$2-1)</f>
        <v>2240</v>
      </c>
      <c r="G61" s="11" t="n">
        <f aca="false">Units!$E60*(1+Inputs!$B$7)^(G$2-1)</f>
        <v>2240</v>
      </c>
      <c r="H61" s="11" t="n">
        <f aca="false">Units!$E60*(1+Inputs!$B$7)^(H$2-1)</f>
        <v>2240</v>
      </c>
      <c r="I61" s="11" t="n">
        <f aca="false">Units!$E60*(1+Inputs!$B$7)^(I$2-1)</f>
        <v>2240</v>
      </c>
      <c r="J61" s="11" t="n">
        <f aca="false">Units!$E60*(1+Inputs!$B$7)^(J$2-1)</f>
        <v>2240</v>
      </c>
      <c r="K61" s="11" t="n">
        <f aca="false">Units!$E60*(1+Inputs!$B$7)^(K$2-1)</f>
        <v>2240</v>
      </c>
      <c r="L61" s="11" t="n">
        <f aca="false">Units!$E60*(1+Inputs!$B$7)^(L$2-1)</f>
        <v>2240</v>
      </c>
      <c r="M61" s="11" t="n">
        <f aca="false">Units!$E60*(1+Inputs!$B$7)^(M$2-1)</f>
        <v>2240</v>
      </c>
      <c r="N61" s="11" t="n">
        <f aca="false">Units!$E60*(1+Inputs!$B$7)^(N$2-1)</f>
        <v>2240</v>
      </c>
      <c r="O61" s="11" t="n">
        <f aca="false">Units!$E60*(1+Inputs!$B$7)^(O$2-1)</f>
        <v>2307.2</v>
      </c>
      <c r="P61" s="11" t="n">
        <f aca="false">Units!$E60*(1+Inputs!$B$7)^(P$2-1)</f>
        <v>2307.2</v>
      </c>
      <c r="Q61" s="11" t="n">
        <f aca="false">Units!$E60*(1+Inputs!$B$7)^(Q$2-1)</f>
        <v>2307.2</v>
      </c>
      <c r="R61" s="11" t="n">
        <f aca="false">Units!$E60*(1+Inputs!$B$7)^(R$2-1)</f>
        <v>2307.2</v>
      </c>
      <c r="S61" s="11" t="n">
        <f aca="false">Units!$E60*(1+Inputs!$B$7)^(S$2-1)</f>
        <v>2307.2</v>
      </c>
      <c r="T61" s="11" t="n">
        <f aca="false">Units!$E60*(1+Inputs!$B$7)^(T$2-1)</f>
        <v>2307.2</v>
      </c>
      <c r="U61" s="11" t="n">
        <f aca="false">Units!$E60*(1+Inputs!$B$7)^(U$2-1)</f>
        <v>2307.2</v>
      </c>
      <c r="V61" s="11" t="n">
        <f aca="false">Units!$E60*(1+Inputs!$B$7)^(V$2-1)</f>
        <v>2307.2</v>
      </c>
      <c r="W61" s="11" t="n">
        <f aca="false">Units!$E60*(1+Inputs!$B$7)^(W$2-1)</f>
        <v>2307.2</v>
      </c>
      <c r="X61" s="11" t="n">
        <f aca="false">Units!$E60*(1+Inputs!$B$7)^(X$2-1)</f>
        <v>2307.2</v>
      </c>
      <c r="Y61" s="11" t="n">
        <f aca="false">Units!$E60*(1+Inputs!$B$7)^(Y$2-1)</f>
        <v>2307.2</v>
      </c>
      <c r="Z61" s="11" t="n">
        <f aca="false">Units!$E60*(1+Inputs!$B$7)^(Z$2-1)</f>
        <v>2307.2</v>
      </c>
      <c r="AA61" s="11" t="n">
        <f aca="false">Units!$E60*(1+Inputs!$B$7)^(AA$2-1)</f>
        <v>2376.416</v>
      </c>
      <c r="AB61" s="11" t="n">
        <f aca="false">Units!$E60*(1+Inputs!$B$7)^(AB$2-1)</f>
        <v>2376.416</v>
      </c>
      <c r="AC61" s="11" t="n">
        <f aca="false">Units!$E60*(1+Inputs!$B$7)^(AC$2-1)</f>
        <v>2376.416</v>
      </c>
      <c r="AD61" s="11" t="n">
        <f aca="false">Units!$E60*(1+Inputs!$B$7)^(AD$2-1)</f>
        <v>2376.416</v>
      </c>
      <c r="AE61" s="11" t="n">
        <f aca="false">Units!$E60*(1+Inputs!$B$7)^(AE$2-1)</f>
        <v>2376.416</v>
      </c>
      <c r="AF61" s="11" t="n">
        <f aca="false">Units!$E60*(1+Inputs!$B$7)^(AF$2-1)</f>
        <v>2376.416</v>
      </c>
      <c r="AG61" s="11" t="n">
        <f aca="false">Units!$E60*(1+Inputs!$B$7)^(AG$2-1)</f>
        <v>2376.416</v>
      </c>
      <c r="AH61" s="11" t="n">
        <f aca="false">Units!$E60*(1+Inputs!$B$7)^(AH$2-1)</f>
        <v>2376.416</v>
      </c>
      <c r="AI61" s="11" t="n">
        <f aca="false">Units!$E60*(1+Inputs!$B$7)^(AI$2-1)</f>
        <v>2376.416</v>
      </c>
      <c r="AJ61" s="11" t="n">
        <f aca="false">Units!$E60*(1+Inputs!$B$7)^(AJ$2-1)</f>
        <v>2376.416</v>
      </c>
      <c r="AK61" s="11" t="n">
        <f aca="false">Units!$E60*(1+Inputs!$B$7)^(AK$2-1)</f>
        <v>2376.416</v>
      </c>
      <c r="AL61" s="11" t="n">
        <f aca="false">Units!$E60*(1+Inputs!$B$7)^(AL$2-1)</f>
        <v>2376.416</v>
      </c>
      <c r="AM61" s="11" t="n">
        <f aca="false">Units!$E60*(1+Inputs!$B$7)^(AM$2-1)</f>
        <v>2447.70848</v>
      </c>
      <c r="AN61" s="11" t="n">
        <f aca="false">Units!$E60*(1+Inputs!$B$7)^(AN$2-1)</f>
        <v>2447.70848</v>
      </c>
      <c r="AO61" s="11" t="n">
        <f aca="false">Units!$E60*(1+Inputs!$B$7)^(AO$2-1)</f>
        <v>2447.70848</v>
      </c>
      <c r="AP61" s="11" t="n">
        <f aca="false">Units!$E60*(1+Inputs!$B$7)^(AP$2-1)</f>
        <v>2447.70848</v>
      </c>
      <c r="AQ61" s="11" t="n">
        <f aca="false">Units!$E60*(1+Inputs!$B$7)^(AQ$2-1)</f>
        <v>2447.70848</v>
      </c>
      <c r="AR61" s="11" t="n">
        <f aca="false">Units!$E60*(1+Inputs!$B$7)^(AR$2-1)</f>
        <v>2447.70848</v>
      </c>
      <c r="AS61" s="11" t="n">
        <f aca="false">Units!$E60*(1+Inputs!$B$7)^(AS$2-1)</f>
        <v>2447.70848</v>
      </c>
      <c r="AT61" s="11" t="n">
        <f aca="false">Units!$E60*(1+Inputs!$B$7)^(AT$2-1)</f>
        <v>2447.70848</v>
      </c>
      <c r="AU61" s="11" t="n">
        <f aca="false">Units!$E60*(1+Inputs!$B$7)^(AU$2-1)</f>
        <v>2447.70848</v>
      </c>
      <c r="AV61" s="11" t="n">
        <f aca="false">Units!$E60*(1+Inputs!$B$7)^(AV$2-1)</f>
        <v>2447.70848</v>
      </c>
      <c r="AW61" s="11" t="n">
        <f aca="false">Units!$E60*(1+Inputs!$B$7)^(AW$2-1)</f>
        <v>2447.70848</v>
      </c>
      <c r="AX61" s="11" t="n">
        <f aca="false">Units!$E60*(1+Inputs!$B$7)^(AX$2-1)</f>
        <v>2447.70848</v>
      </c>
      <c r="AY61" s="11" t="n">
        <f aca="false">Units!$E60*(1+Inputs!$B$7)^(AY$2-1)</f>
        <v>2521.1397344</v>
      </c>
      <c r="AZ61" s="11" t="n">
        <f aca="false">Units!$E60*(1+Inputs!$B$7)^(AZ$2-1)</f>
        <v>2521.1397344</v>
      </c>
      <c r="BA61" s="11" t="n">
        <f aca="false">Units!$E60*(1+Inputs!$B$7)^(BA$2-1)</f>
        <v>2521.1397344</v>
      </c>
      <c r="BB61" s="11" t="n">
        <f aca="false">Units!$E60*(1+Inputs!$B$7)^(BB$2-1)</f>
        <v>2521.1397344</v>
      </c>
      <c r="BC61" s="11" t="n">
        <f aca="false">Units!$E60*(1+Inputs!$B$7)^(BC$2-1)</f>
        <v>2521.1397344</v>
      </c>
      <c r="BD61" s="11" t="n">
        <f aca="false">Units!$E60*(1+Inputs!$B$7)^(BD$2-1)</f>
        <v>2521.1397344</v>
      </c>
      <c r="BE61" s="11" t="n">
        <f aca="false">Units!$E60*(1+Inputs!$B$7)^(BE$2-1)</f>
        <v>2521.1397344</v>
      </c>
      <c r="BF61" s="11" t="n">
        <f aca="false">Units!$E60*(1+Inputs!$B$7)^(BF$2-1)</f>
        <v>2521.1397344</v>
      </c>
      <c r="BG61" s="11" t="n">
        <f aca="false">Units!$E60*(1+Inputs!$B$7)^(BG$2-1)</f>
        <v>2521.1397344</v>
      </c>
      <c r="BH61" s="11" t="n">
        <f aca="false">Units!$E60*(1+Inputs!$B$7)^(BH$2-1)</f>
        <v>2521.1397344</v>
      </c>
      <c r="BI61" s="11" t="n">
        <f aca="false">Units!$E60*(1+Inputs!$B$7)^(BI$2-1)</f>
        <v>2521.1397344</v>
      </c>
      <c r="BJ61" s="11" t="n">
        <f aca="false">Units!$E60*(1+Inputs!$B$7)^(BJ$2-1)</f>
        <v>2521.1397344</v>
      </c>
      <c r="BK61" s="11" t="n">
        <f aca="false">Units!$E60*(1+Inputs!$B$7)^(BK$2-1)</f>
        <v>2596.773926432</v>
      </c>
      <c r="BL61" s="11" t="n">
        <f aca="false">Units!$E60*(1+Inputs!$B$7)^(BL$2-1)</f>
        <v>2596.773926432</v>
      </c>
      <c r="BM61" s="11" t="n">
        <f aca="false">Units!$E60*(1+Inputs!$B$7)^(BM$2-1)</f>
        <v>2596.773926432</v>
      </c>
      <c r="BN61" s="11" t="n">
        <f aca="false">Units!$E60*(1+Inputs!$B$7)^(BN$2-1)</f>
        <v>2596.773926432</v>
      </c>
      <c r="BO61" s="11" t="n">
        <f aca="false">Units!$E60*(1+Inputs!$B$7)^(BO$2-1)</f>
        <v>2596.773926432</v>
      </c>
      <c r="BP61" s="11" t="n">
        <f aca="false">Units!$E60*(1+Inputs!$B$7)^(BP$2-1)</f>
        <v>2596.773926432</v>
      </c>
      <c r="BQ61" s="11" t="n">
        <f aca="false">Units!$E60*(1+Inputs!$B$7)^(BQ$2-1)</f>
        <v>2596.773926432</v>
      </c>
      <c r="BR61" s="11" t="n">
        <f aca="false">Units!$E60*(1+Inputs!$B$7)^(BR$2-1)</f>
        <v>2596.773926432</v>
      </c>
      <c r="BS61" s="11" t="n">
        <f aca="false">Units!$E60*(1+Inputs!$B$7)^(BS$2-1)</f>
        <v>2596.773926432</v>
      </c>
      <c r="BT61" s="11" t="n">
        <f aca="false">Units!$E60*(1+Inputs!$B$7)^(BT$2-1)</f>
        <v>2596.773926432</v>
      </c>
      <c r="BU61" s="11" t="n">
        <f aca="false">Units!$E60*(1+Inputs!$B$7)^(BU$2-1)</f>
        <v>2596.773926432</v>
      </c>
      <c r="BV61" s="11" t="n">
        <f aca="false">Units!$E60*(1+Inputs!$B$7)^(BV$2-1)</f>
        <v>2596.773926432</v>
      </c>
      <c r="BW61" s="11" t="n">
        <f aca="false">Units!$E60*(1+Inputs!$B$7)^(BW$2-1)</f>
        <v>2674.67714422496</v>
      </c>
      <c r="BX61" s="11" t="n">
        <f aca="false">Units!$E60*(1+Inputs!$B$7)^(BX$2-1)</f>
        <v>2674.67714422496</v>
      </c>
      <c r="BY61" s="11" t="n">
        <f aca="false">Units!$E60*(1+Inputs!$B$7)^(BY$2-1)</f>
        <v>2674.67714422496</v>
      </c>
      <c r="BZ61" s="11" t="n">
        <f aca="false">Units!$E60*(1+Inputs!$B$7)^(BZ$2-1)</f>
        <v>2674.67714422496</v>
      </c>
      <c r="CA61" s="11" t="n">
        <f aca="false">Units!$E60*(1+Inputs!$B$7)^(CA$2-1)</f>
        <v>2674.67714422496</v>
      </c>
      <c r="CB61" s="11" t="n">
        <f aca="false">Units!$E60*(1+Inputs!$B$7)^(CB$2-1)</f>
        <v>2674.67714422496</v>
      </c>
      <c r="CC61" s="11" t="n">
        <f aca="false">Units!$E60*(1+Inputs!$B$7)^(CC$2-1)</f>
        <v>2674.67714422496</v>
      </c>
      <c r="CD61" s="11" t="n">
        <f aca="false">Units!$E60*(1+Inputs!$B$7)^(CD$2-1)</f>
        <v>2674.67714422496</v>
      </c>
      <c r="CE61" s="11" t="n">
        <f aca="false">Units!$E60*(1+Inputs!$B$7)^(CE$2-1)</f>
        <v>2674.67714422496</v>
      </c>
      <c r="CF61" s="11" t="n">
        <f aca="false">Units!$E60*(1+Inputs!$B$7)^(CF$2-1)</f>
        <v>2674.67714422496</v>
      </c>
      <c r="CG61" s="11" t="n">
        <f aca="false">Units!$E60*(1+Inputs!$B$7)^(CG$2-1)</f>
        <v>2674.67714422496</v>
      </c>
      <c r="CH61" s="11" t="n">
        <f aca="false">Units!$E60*(1+Inputs!$B$7)^(CH$2-1)</f>
        <v>2674.67714422496</v>
      </c>
      <c r="CI61" s="11" t="n">
        <f aca="false">Units!$E60*(1+Inputs!$B$7)^(CI$2-1)</f>
        <v>2754.91745855171</v>
      </c>
      <c r="CJ61" s="11" t="n">
        <f aca="false">Units!$E60*(1+Inputs!$B$7)^(CJ$2-1)</f>
        <v>2754.91745855171</v>
      </c>
      <c r="CK61" s="11" t="n">
        <f aca="false">Units!$E60*(1+Inputs!$B$7)^(CK$2-1)</f>
        <v>2754.91745855171</v>
      </c>
      <c r="CL61" s="11" t="n">
        <f aca="false">Units!$E60*(1+Inputs!$B$7)^(CL$2-1)</f>
        <v>2754.91745855171</v>
      </c>
      <c r="CM61" s="11" t="n">
        <f aca="false">Units!$E60*(1+Inputs!$B$7)^(CM$2-1)</f>
        <v>2754.91745855171</v>
      </c>
      <c r="CN61" s="11" t="n">
        <f aca="false">Units!$E60*(1+Inputs!$B$7)^(CN$2-1)</f>
        <v>2754.91745855171</v>
      </c>
      <c r="CO61" s="11" t="n">
        <f aca="false">Units!$E60*(1+Inputs!$B$7)^(CO$2-1)</f>
        <v>2754.91745855171</v>
      </c>
      <c r="CP61" s="11" t="n">
        <f aca="false">Units!$E60*(1+Inputs!$B$7)^(CP$2-1)</f>
        <v>2754.91745855171</v>
      </c>
      <c r="CQ61" s="11" t="n">
        <f aca="false">Units!$E60*(1+Inputs!$B$7)^(CQ$2-1)</f>
        <v>2754.91745855171</v>
      </c>
      <c r="CR61" s="11" t="n">
        <f aca="false">Units!$E60*(1+Inputs!$B$7)^(CR$2-1)</f>
        <v>2754.91745855171</v>
      </c>
      <c r="CS61" s="11" t="n">
        <f aca="false">Units!$E60*(1+Inputs!$B$7)^(CS$2-1)</f>
        <v>2754.91745855171</v>
      </c>
      <c r="CT61" s="11" t="n">
        <f aca="false">Units!$E60*(1+Inputs!$B$7)^(CT$2-1)</f>
        <v>2754.91745855171</v>
      </c>
      <c r="CU61" s="11" t="n">
        <f aca="false">Units!$E60*(1+Inputs!$B$7)^(CU$2-1)</f>
        <v>2837.56498230826</v>
      </c>
      <c r="CV61" s="11" t="n">
        <f aca="false">Units!$E60*(1+Inputs!$B$7)^(CV$2-1)</f>
        <v>2837.56498230826</v>
      </c>
      <c r="CW61" s="11" t="n">
        <f aca="false">Units!$E60*(1+Inputs!$B$7)^(CW$2-1)</f>
        <v>2837.56498230826</v>
      </c>
      <c r="CX61" s="11" t="n">
        <f aca="false">Units!$E60*(1+Inputs!$B$7)^(CX$2-1)</f>
        <v>2837.56498230826</v>
      </c>
      <c r="CY61" s="11" t="n">
        <f aca="false">Units!$E60*(1+Inputs!$B$7)^(CY$2-1)</f>
        <v>2837.56498230826</v>
      </c>
      <c r="CZ61" s="11" t="n">
        <f aca="false">Units!$E60*(1+Inputs!$B$7)^(CZ$2-1)</f>
        <v>2837.56498230826</v>
      </c>
      <c r="DA61" s="11" t="n">
        <f aca="false">Units!$E60*(1+Inputs!$B$7)^(DA$2-1)</f>
        <v>2837.56498230826</v>
      </c>
      <c r="DB61" s="11" t="n">
        <f aca="false">Units!$E60*(1+Inputs!$B$7)^(DB$2-1)</f>
        <v>2837.56498230826</v>
      </c>
      <c r="DC61" s="11" t="n">
        <f aca="false">Units!$E60*(1+Inputs!$B$7)^(DC$2-1)</f>
        <v>2837.56498230826</v>
      </c>
      <c r="DD61" s="11" t="n">
        <f aca="false">Units!$E60*(1+Inputs!$B$7)^(DD$2-1)</f>
        <v>2837.56498230826</v>
      </c>
      <c r="DE61" s="11" t="n">
        <f aca="false">Units!$E60*(1+Inputs!$B$7)^(DE$2-1)</f>
        <v>2837.56498230826</v>
      </c>
      <c r="DF61" s="11" t="n">
        <f aca="false">Units!$E60*(1+Inputs!$B$7)^(DF$2-1)</f>
        <v>2837.56498230826</v>
      </c>
      <c r="DG61" s="11" t="n">
        <f aca="false">Units!$E60*(1+Inputs!$B$7)^(DG$2-1)</f>
        <v>2922.69193177751</v>
      </c>
      <c r="DH61" s="11" t="n">
        <f aca="false">Units!$E60*(1+Inputs!$B$7)^(DH$2-1)</f>
        <v>2922.69193177751</v>
      </c>
      <c r="DI61" s="11" t="n">
        <f aca="false">Units!$E60*(1+Inputs!$B$7)^(DI$2-1)</f>
        <v>2922.69193177751</v>
      </c>
      <c r="DJ61" s="11" t="n">
        <f aca="false">Units!$E60*(1+Inputs!$B$7)^(DJ$2-1)</f>
        <v>2922.69193177751</v>
      </c>
      <c r="DK61" s="11" t="n">
        <f aca="false">Units!$E60*(1+Inputs!$B$7)^(DK$2-1)</f>
        <v>2922.69193177751</v>
      </c>
      <c r="DL61" s="11" t="n">
        <f aca="false">Units!$E60*(1+Inputs!$B$7)^(DL$2-1)</f>
        <v>2922.69193177751</v>
      </c>
      <c r="DM61" s="11" t="n">
        <f aca="false">Units!$E60*(1+Inputs!$B$7)^(DM$2-1)</f>
        <v>2922.69193177751</v>
      </c>
      <c r="DN61" s="11" t="n">
        <f aca="false">Units!$E60*(1+Inputs!$B$7)^(DN$2-1)</f>
        <v>2922.69193177751</v>
      </c>
      <c r="DO61" s="11" t="n">
        <f aca="false">Units!$E60*(1+Inputs!$B$7)^(DO$2-1)</f>
        <v>2922.69193177751</v>
      </c>
      <c r="DP61" s="11" t="n">
        <f aca="false">Units!$E60*(1+Inputs!$B$7)^(DP$2-1)</f>
        <v>2922.69193177751</v>
      </c>
      <c r="DQ61" s="11" t="n">
        <f aca="false">Units!$E60*(1+Inputs!$B$7)^(DQ$2-1)</f>
        <v>2922.69193177751</v>
      </c>
      <c r="DR61" s="11" t="n">
        <f aca="false">Units!$E60*(1+Inputs!$B$7)^(DR$2-1)</f>
        <v>2922.69193177751</v>
      </c>
      <c r="DS61" s="11" t="n">
        <f aca="false">Units!$E60*(1+Inputs!$B$7)^(DS$2-1)</f>
        <v>3010.37268973083</v>
      </c>
      <c r="DT61" s="11" t="n">
        <f aca="false">Units!$E60*(1+Inputs!$B$7)^(DT$2-1)</f>
        <v>3010.37268973083</v>
      </c>
      <c r="DU61" s="11" t="n">
        <f aca="false">Units!$E60*(1+Inputs!$B$7)^(DU$2-1)</f>
        <v>3010.37268973083</v>
      </c>
      <c r="DV61" s="11" t="n">
        <f aca="false">Units!$E60*(1+Inputs!$B$7)^(DV$2-1)</f>
        <v>3010.37268973083</v>
      </c>
      <c r="DW61" s="11" t="n">
        <f aca="false">Units!$E60*(1+Inputs!$B$7)^(DW$2-1)</f>
        <v>3010.37268973083</v>
      </c>
      <c r="DX61" s="11" t="n">
        <f aca="false">Units!$E60*(1+Inputs!$B$7)^(DX$2-1)</f>
        <v>3010.37268973083</v>
      </c>
      <c r="DY61" s="11" t="n">
        <f aca="false">Units!$E60*(1+Inputs!$B$7)^(DY$2-1)</f>
        <v>3010.37268973083</v>
      </c>
      <c r="DZ61" s="11" t="n">
        <f aca="false">Units!$E60*(1+Inputs!$B$7)^(DZ$2-1)</f>
        <v>3010.37268973083</v>
      </c>
      <c r="EA61" s="11" t="n">
        <f aca="false">Units!$E60*(1+Inputs!$B$7)^(EA$2-1)</f>
        <v>3010.37268973083</v>
      </c>
      <c r="EB61" s="11" t="n">
        <f aca="false">Units!$E60*(1+Inputs!$B$7)^(EB$2-1)</f>
        <v>3010.37268973083</v>
      </c>
      <c r="EC61" s="11" t="n">
        <f aca="false">Units!$E60*(1+Inputs!$B$7)^(EC$2-1)</f>
        <v>3010.37268973083</v>
      </c>
      <c r="ED61" s="11" t="n">
        <f aca="false">Units!$E60*(1+Inputs!$B$7)^(ED$2-1)</f>
        <v>3010.37268973083</v>
      </c>
    </row>
    <row r="62" customFormat="false" ht="15" hidden="false" customHeight="false" outlineLevel="0" collapsed="false">
      <c r="A62" s="22" t="n">
        <f aca="false">Units!A61</f>
        <v>230</v>
      </c>
      <c r="B62" s="23"/>
      <c r="C62" s="11" t="n">
        <f aca="false">Units!$E61*(1+Inputs!$B$7)^(C$2-1)</f>
        <v>2240</v>
      </c>
      <c r="D62" s="11" t="n">
        <f aca="false">Units!$E61*(1+Inputs!$B$7)^(D$2-1)</f>
        <v>2240</v>
      </c>
      <c r="E62" s="11" t="n">
        <f aca="false">Units!$E61*(1+Inputs!$B$7)^(E$2-1)</f>
        <v>2240</v>
      </c>
      <c r="F62" s="11" t="n">
        <f aca="false">Units!$E61*(1+Inputs!$B$7)^(F$2-1)</f>
        <v>2240</v>
      </c>
      <c r="G62" s="11" t="n">
        <f aca="false">Units!$E61*(1+Inputs!$B$7)^(G$2-1)</f>
        <v>2240</v>
      </c>
      <c r="H62" s="11" t="n">
        <f aca="false">Units!$E61*(1+Inputs!$B$7)^(H$2-1)</f>
        <v>2240</v>
      </c>
      <c r="I62" s="11" t="n">
        <f aca="false">Units!$E61*(1+Inputs!$B$7)^(I$2-1)</f>
        <v>2240</v>
      </c>
      <c r="J62" s="11" t="n">
        <f aca="false">Units!$E61*(1+Inputs!$B$7)^(J$2-1)</f>
        <v>2240</v>
      </c>
      <c r="K62" s="11" t="n">
        <f aca="false">Units!$E61*(1+Inputs!$B$7)^(K$2-1)</f>
        <v>2240</v>
      </c>
      <c r="L62" s="11" t="n">
        <f aca="false">Units!$E61*(1+Inputs!$B$7)^(L$2-1)</f>
        <v>2240</v>
      </c>
      <c r="M62" s="11" t="n">
        <f aca="false">Units!$E61*(1+Inputs!$B$7)^(M$2-1)</f>
        <v>2240</v>
      </c>
      <c r="N62" s="11" t="n">
        <f aca="false">Units!$E61*(1+Inputs!$B$7)^(N$2-1)</f>
        <v>2240</v>
      </c>
      <c r="O62" s="11" t="n">
        <f aca="false">Units!$E61*(1+Inputs!$B$7)^(O$2-1)</f>
        <v>2307.2</v>
      </c>
      <c r="P62" s="11" t="n">
        <f aca="false">Units!$E61*(1+Inputs!$B$7)^(P$2-1)</f>
        <v>2307.2</v>
      </c>
      <c r="Q62" s="11" t="n">
        <f aca="false">Units!$E61*(1+Inputs!$B$7)^(Q$2-1)</f>
        <v>2307.2</v>
      </c>
      <c r="R62" s="11" t="n">
        <f aca="false">Units!$E61*(1+Inputs!$B$7)^(R$2-1)</f>
        <v>2307.2</v>
      </c>
      <c r="S62" s="11" t="n">
        <f aca="false">Units!$E61*(1+Inputs!$B$7)^(S$2-1)</f>
        <v>2307.2</v>
      </c>
      <c r="T62" s="11" t="n">
        <f aca="false">Units!$E61*(1+Inputs!$B$7)^(T$2-1)</f>
        <v>2307.2</v>
      </c>
      <c r="U62" s="11" t="n">
        <f aca="false">Units!$E61*(1+Inputs!$B$7)^(U$2-1)</f>
        <v>2307.2</v>
      </c>
      <c r="V62" s="11" t="n">
        <f aca="false">Units!$E61*(1+Inputs!$B$7)^(V$2-1)</f>
        <v>2307.2</v>
      </c>
      <c r="W62" s="11" t="n">
        <f aca="false">Units!$E61*(1+Inputs!$B$7)^(W$2-1)</f>
        <v>2307.2</v>
      </c>
      <c r="X62" s="11" t="n">
        <f aca="false">Units!$E61*(1+Inputs!$B$7)^(X$2-1)</f>
        <v>2307.2</v>
      </c>
      <c r="Y62" s="11" t="n">
        <f aca="false">Units!$E61*(1+Inputs!$B$7)^(Y$2-1)</f>
        <v>2307.2</v>
      </c>
      <c r="Z62" s="11" t="n">
        <f aca="false">Units!$E61*(1+Inputs!$B$7)^(Z$2-1)</f>
        <v>2307.2</v>
      </c>
      <c r="AA62" s="11" t="n">
        <f aca="false">Units!$E61*(1+Inputs!$B$7)^(AA$2-1)</f>
        <v>2376.416</v>
      </c>
      <c r="AB62" s="11" t="n">
        <f aca="false">Units!$E61*(1+Inputs!$B$7)^(AB$2-1)</f>
        <v>2376.416</v>
      </c>
      <c r="AC62" s="11" t="n">
        <f aca="false">Units!$E61*(1+Inputs!$B$7)^(AC$2-1)</f>
        <v>2376.416</v>
      </c>
      <c r="AD62" s="11" t="n">
        <f aca="false">Units!$E61*(1+Inputs!$B$7)^(AD$2-1)</f>
        <v>2376.416</v>
      </c>
      <c r="AE62" s="11" t="n">
        <f aca="false">Units!$E61*(1+Inputs!$B$7)^(AE$2-1)</f>
        <v>2376.416</v>
      </c>
      <c r="AF62" s="11" t="n">
        <f aca="false">Units!$E61*(1+Inputs!$B$7)^(AF$2-1)</f>
        <v>2376.416</v>
      </c>
      <c r="AG62" s="11" t="n">
        <f aca="false">Units!$E61*(1+Inputs!$B$7)^(AG$2-1)</f>
        <v>2376.416</v>
      </c>
      <c r="AH62" s="11" t="n">
        <f aca="false">Units!$E61*(1+Inputs!$B$7)^(AH$2-1)</f>
        <v>2376.416</v>
      </c>
      <c r="AI62" s="11" t="n">
        <f aca="false">Units!$E61*(1+Inputs!$B$7)^(AI$2-1)</f>
        <v>2376.416</v>
      </c>
      <c r="AJ62" s="11" t="n">
        <f aca="false">Units!$E61*(1+Inputs!$B$7)^(AJ$2-1)</f>
        <v>2376.416</v>
      </c>
      <c r="AK62" s="11" t="n">
        <f aca="false">Units!$E61*(1+Inputs!$B$7)^(AK$2-1)</f>
        <v>2376.416</v>
      </c>
      <c r="AL62" s="11" t="n">
        <f aca="false">Units!$E61*(1+Inputs!$B$7)^(AL$2-1)</f>
        <v>2376.416</v>
      </c>
      <c r="AM62" s="11" t="n">
        <f aca="false">Units!$E61*(1+Inputs!$B$7)^(AM$2-1)</f>
        <v>2447.70848</v>
      </c>
      <c r="AN62" s="11" t="n">
        <f aca="false">Units!$E61*(1+Inputs!$B$7)^(AN$2-1)</f>
        <v>2447.70848</v>
      </c>
      <c r="AO62" s="11" t="n">
        <f aca="false">Units!$E61*(1+Inputs!$B$7)^(AO$2-1)</f>
        <v>2447.70848</v>
      </c>
      <c r="AP62" s="11" t="n">
        <f aca="false">Units!$E61*(1+Inputs!$B$7)^(AP$2-1)</f>
        <v>2447.70848</v>
      </c>
      <c r="AQ62" s="11" t="n">
        <f aca="false">Units!$E61*(1+Inputs!$B$7)^(AQ$2-1)</f>
        <v>2447.70848</v>
      </c>
      <c r="AR62" s="11" t="n">
        <f aca="false">Units!$E61*(1+Inputs!$B$7)^(AR$2-1)</f>
        <v>2447.70848</v>
      </c>
      <c r="AS62" s="11" t="n">
        <f aca="false">Units!$E61*(1+Inputs!$B$7)^(AS$2-1)</f>
        <v>2447.70848</v>
      </c>
      <c r="AT62" s="11" t="n">
        <f aca="false">Units!$E61*(1+Inputs!$B$7)^(AT$2-1)</f>
        <v>2447.70848</v>
      </c>
      <c r="AU62" s="11" t="n">
        <f aca="false">Units!$E61*(1+Inputs!$B$7)^(AU$2-1)</f>
        <v>2447.70848</v>
      </c>
      <c r="AV62" s="11" t="n">
        <f aca="false">Units!$E61*(1+Inputs!$B$7)^(AV$2-1)</f>
        <v>2447.70848</v>
      </c>
      <c r="AW62" s="11" t="n">
        <f aca="false">Units!$E61*(1+Inputs!$B$7)^(AW$2-1)</f>
        <v>2447.70848</v>
      </c>
      <c r="AX62" s="11" t="n">
        <f aca="false">Units!$E61*(1+Inputs!$B$7)^(AX$2-1)</f>
        <v>2447.70848</v>
      </c>
      <c r="AY62" s="11" t="n">
        <f aca="false">Units!$E61*(1+Inputs!$B$7)^(AY$2-1)</f>
        <v>2521.1397344</v>
      </c>
      <c r="AZ62" s="11" t="n">
        <f aca="false">Units!$E61*(1+Inputs!$B$7)^(AZ$2-1)</f>
        <v>2521.1397344</v>
      </c>
      <c r="BA62" s="11" t="n">
        <f aca="false">Units!$E61*(1+Inputs!$B$7)^(BA$2-1)</f>
        <v>2521.1397344</v>
      </c>
      <c r="BB62" s="11" t="n">
        <f aca="false">Units!$E61*(1+Inputs!$B$7)^(BB$2-1)</f>
        <v>2521.1397344</v>
      </c>
      <c r="BC62" s="11" t="n">
        <f aca="false">Units!$E61*(1+Inputs!$B$7)^(BC$2-1)</f>
        <v>2521.1397344</v>
      </c>
      <c r="BD62" s="11" t="n">
        <f aca="false">Units!$E61*(1+Inputs!$B$7)^(BD$2-1)</f>
        <v>2521.1397344</v>
      </c>
      <c r="BE62" s="11" t="n">
        <f aca="false">Units!$E61*(1+Inputs!$B$7)^(BE$2-1)</f>
        <v>2521.1397344</v>
      </c>
      <c r="BF62" s="11" t="n">
        <f aca="false">Units!$E61*(1+Inputs!$B$7)^(BF$2-1)</f>
        <v>2521.1397344</v>
      </c>
      <c r="BG62" s="11" t="n">
        <f aca="false">Units!$E61*(1+Inputs!$B$7)^(BG$2-1)</f>
        <v>2521.1397344</v>
      </c>
      <c r="BH62" s="11" t="n">
        <f aca="false">Units!$E61*(1+Inputs!$B$7)^(BH$2-1)</f>
        <v>2521.1397344</v>
      </c>
      <c r="BI62" s="11" t="n">
        <f aca="false">Units!$E61*(1+Inputs!$B$7)^(BI$2-1)</f>
        <v>2521.1397344</v>
      </c>
      <c r="BJ62" s="11" t="n">
        <f aca="false">Units!$E61*(1+Inputs!$B$7)^(BJ$2-1)</f>
        <v>2521.1397344</v>
      </c>
      <c r="BK62" s="11" t="n">
        <f aca="false">Units!$E61*(1+Inputs!$B$7)^(BK$2-1)</f>
        <v>2596.773926432</v>
      </c>
      <c r="BL62" s="11" t="n">
        <f aca="false">Units!$E61*(1+Inputs!$B$7)^(BL$2-1)</f>
        <v>2596.773926432</v>
      </c>
      <c r="BM62" s="11" t="n">
        <f aca="false">Units!$E61*(1+Inputs!$B$7)^(BM$2-1)</f>
        <v>2596.773926432</v>
      </c>
      <c r="BN62" s="11" t="n">
        <f aca="false">Units!$E61*(1+Inputs!$B$7)^(BN$2-1)</f>
        <v>2596.773926432</v>
      </c>
      <c r="BO62" s="11" t="n">
        <f aca="false">Units!$E61*(1+Inputs!$B$7)^(BO$2-1)</f>
        <v>2596.773926432</v>
      </c>
      <c r="BP62" s="11" t="n">
        <f aca="false">Units!$E61*(1+Inputs!$B$7)^(BP$2-1)</f>
        <v>2596.773926432</v>
      </c>
      <c r="BQ62" s="11" t="n">
        <f aca="false">Units!$E61*(1+Inputs!$B$7)^(BQ$2-1)</f>
        <v>2596.773926432</v>
      </c>
      <c r="BR62" s="11" t="n">
        <f aca="false">Units!$E61*(1+Inputs!$B$7)^(BR$2-1)</f>
        <v>2596.773926432</v>
      </c>
      <c r="BS62" s="11" t="n">
        <f aca="false">Units!$E61*(1+Inputs!$B$7)^(BS$2-1)</f>
        <v>2596.773926432</v>
      </c>
      <c r="BT62" s="11" t="n">
        <f aca="false">Units!$E61*(1+Inputs!$B$7)^(BT$2-1)</f>
        <v>2596.773926432</v>
      </c>
      <c r="BU62" s="11" t="n">
        <f aca="false">Units!$E61*(1+Inputs!$B$7)^(BU$2-1)</f>
        <v>2596.773926432</v>
      </c>
      <c r="BV62" s="11" t="n">
        <f aca="false">Units!$E61*(1+Inputs!$B$7)^(BV$2-1)</f>
        <v>2596.773926432</v>
      </c>
      <c r="BW62" s="11" t="n">
        <f aca="false">Units!$E61*(1+Inputs!$B$7)^(BW$2-1)</f>
        <v>2674.67714422496</v>
      </c>
      <c r="BX62" s="11" t="n">
        <f aca="false">Units!$E61*(1+Inputs!$B$7)^(BX$2-1)</f>
        <v>2674.67714422496</v>
      </c>
      <c r="BY62" s="11" t="n">
        <f aca="false">Units!$E61*(1+Inputs!$B$7)^(BY$2-1)</f>
        <v>2674.67714422496</v>
      </c>
      <c r="BZ62" s="11" t="n">
        <f aca="false">Units!$E61*(1+Inputs!$B$7)^(BZ$2-1)</f>
        <v>2674.67714422496</v>
      </c>
      <c r="CA62" s="11" t="n">
        <f aca="false">Units!$E61*(1+Inputs!$B$7)^(CA$2-1)</f>
        <v>2674.67714422496</v>
      </c>
      <c r="CB62" s="11" t="n">
        <f aca="false">Units!$E61*(1+Inputs!$B$7)^(CB$2-1)</f>
        <v>2674.67714422496</v>
      </c>
      <c r="CC62" s="11" t="n">
        <f aca="false">Units!$E61*(1+Inputs!$B$7)^(CC$2-1)</f>
        <v>2674.67714422496</v>
      </c>
      <c r="CD62" s="11" t="n">
        <f aca="false">Units!$E61*(1+Inputs!$B$7)^(CD$2-1)</f>
        <v>2674.67714422496</v>
      </c>
      <c r="CE62" s="11" t="n">
        <f aca="false">Units!$E61*(1+Inputs!$B$7)^(CE$2-1)</f>
        <v>2674.67714422496</v>
      </c>
      <c r="CF62" s="11" t="n">
        <f aca="false">Units!$E61*(1+Inputs!$B$7)^(CF$2-1)</f>
        <v>2674.67714422496</v>
      </c>
      <c r="CG62" s="11" t="n">
        <f aca="false">Units!$E61*(1+Inputs!$B$7)^(CG$2-1)</f>
        <v>2674.67714422496</v>
      </c>
      <c r="CH62" s="11" t="n">
        <f aca="false">Units!$E61*(1+Inputs!$B$7)^(CH$2-1)</f>
        <v>2674.67714422496</v>
      </c>
      <c r="CI62" s="11" t="n">
        <f aca="false">Units!$E61*(1+Inputs!$B$7)^(CI$2-1)</f>
        <v>2754.91745855171</v>
      </c>
      <c r="CJ62" s="11" t="n">
        <f aca="false">Units!$E61*(1+Inputs!$B$7)^(CJ$2-1)</f>
        <v>2754.91745855171</v>
      </c>
      <c r="CK62" s="11" t="n">
        <f aca="false">Units!$E61*(1+Inputs!$B$7)^(CK$2-1)</f>
        <v>2754.91745855171</v>
      </c>
      <c r="CL62" s="11" t="n">
        <f aca="false">Units!$E61*(1+Inputs!$B$7)^(CL$2-1)</f>
        <v>2754.91745855171</v>
      </c>
      <c r="CM62" s="11" t="n">
        <f aca="false">Units!$E61*(1+Inputs!$B$7)^(CM$2-1)</f>
        <v>2754.91745855171</v>
      </c>
      <c r="CN62" s="11" t="n">
        <f aca="false">Units!$E61*(1+Inputs!$B$7)^(CN$2-1)</f>
        <v>2754.91745855171</v>
      </c>
      <c r="CO62" s="11" t="n">
        <f aca="false">Units!$E61*(1+Inputs!$B$7)^(CO$2-1)</f>
        <v>2754.91745855171</v>
      </c>
      <c r="CP62" s="11" t="n">
        <f aca="false">Units!$E61*(1+Inputs!$B$7)^(CP$2-1)</f>
        <v>2754.91745855171</v>
      </c>
      <c r="CQ62" s="11" t="n">
        <f aca="false">Units!$E61*(1+Inputs!$B$7)^(CQ$2-1)</f>
        <v>2754.91745855171</v>
      </c>
      <c r="CR62" s="11" t="n">
        <f aca="false">Units!$E61*(1+Inputs!$B$7)^(CR$2-1)</f>
        <v>2754.91745855171</v>
      </c>
      <c r="CS62" s="11" t="n">
        <f aca="false">Units!$E61*(1+Inputs!$B$7)^(CS$2-1)</f>
        <v>2754.91745855171</v>
      </c>
      <c r="CT62" s="11" t="n">
        <f aca="false">Units!$E61*(1+Inputs!$B$7)^(CT$2-1)</f>
        <v>2754.91745855171</v>
      </c>
      <c r="CU62" s="11" t="n">
        <f aca="false">Units!$E61*(1+Inputs!$B$7)^(CU$2-1)</f>
        <v>2837.56498230826</v>
      </c>
      <c r="CV62" s="11" t="n">
        <f aca="false">Units!$E61*(1+Inputs!$B$7)^(CV$2-1)</f>
        <v>2837.56498230826</v>
      </c>
      <c r="CW62" s="11" t="n">
        <f aca="false">Units!$E61*(1+Inputs!$B$7)^(CW$2-1)</f>
        <v>2837.56498230826</v>
      </c>
      <c r="CX62" s="11" t="n">
        <f aca="false">Units!$E61*(1+Inputs!$B$7)^(CX$2-1)</f>
        <v>2837.56498230826</v>
      </c>
      <c r="CY62" s="11" t="n">
        <f aca="false">Units!$E61*(1+Inputs!$B$7)^(CY$2-1)</f>
        <v>2837.56498230826</v>
      </c>
      <c r="CZ62" s="11" t="n">
        <f aca="false">Units!$E61*(1+Inputs!$B$7)^(CZ$2-1)</f>
        <v>2837.56498230826</v>
      </c>
      <c r="DA62" s="11" t="n">
        <f aca="false">Units!$E61*(1+Inputs!$B$7)^(DA$2-1)</f>
        <v>2837.56498230826</v>
      </c>
      <c r="DB62" s="11" t="n">
        <f aca="false">Units!$E61*(1+Inputs!$B$7)^(DB$2-1)</f>
        <v>2837.56498230826</v>
      </c>
      <c r="DC62" s="11" t="n">
        <f aca="false">Units!$E61*(1+Inputs!$B$7)^(DC$2-1)</f>
        <v>2837.56498230826</v>
      </c>
      <c r="DD62" s="11" t="n">
        <f aca="false">Units!$E61*(1+Inputs!$B$7)^(DD$2-1)</f>
        <v>2837.56498230826</v>
      </c>
      <c r="DE62" s="11" t="n">
        <f aca="false">Units!$E61*(1+Inputs!$B$7)^(DE$2-1)</f>
        <v>2837.56498230826</v>
      </c>
      <c r="DF62" s="11" t="n">
        <f aca="false">Units!$E61*(1+Inputs!$B$7)^(DF$2-1)</f>
        <v>2837.56498230826</v>
      </c>
      <c r="DG62" s="11" t="n">
        <f aca="false">Units!$E61*(1+Inputs!$B$7)^(DG$2-1)</f>
        <v>2922.69193177751</v>
      </c>
      <c r="DH62" s="11" t="n">
        <f aca="false">Units!$E61*(1+Inputs!$B$7)^(DH$2-1)</f>
        <v>2922.69193177751</v>
      </c>
      <c r="DI62" s="11" t="n">
        <f aca="false">Units!$E61*(1+Inputs!$B$7)^(DI$2-1)</f>
        <v>2922.69193177751</v>
      </c>
      <c r="DJ62" s="11" t="n">
        <f aca="false">Units!$E61*(1+Inputs!$B$7)^(DJ$2-1)</f>
        <v>2922.69193177751</v>
      </c>
      <c r="DK62" s="11" t="n">
        <f aca="false">Units!$E61*(1+Inputs!$B$7)^(DK$2-1)</f>
        <v>2922.69193177751</v>
      </c>
      <c r="DL62" s="11" t="n">
        <f aca="false">Units!$E61*(1+Inputs!$B$7)^(DL$2-1)</f>
        <v>2922.69193177751</v>
      </c>
      <c r="DM62" s="11" t="n">
        <f aca="false">Units!$E61*(1+Inputs!$B$7)^(DM$2-1)</f>
        <v>2922.69193177751</v>
      </c>
      <c r="DN62" s="11" t="n">
        <f aca="false">Units!$E61*(1+Inputs!$B$7)^(DN$2-1)</f>
        <v>2922.69193177751</v>
      </c>
      <c r="DO62" s="11" t="n">
        <f aca="false">Units!$E61*(1+Inputs!$B$7)^(DO$2-1)</f>
        <v>2922.69193177751</v>
      </c>
      <c r="DP62" s="11" t="n">
        <f aca="false">Units!$E61*(1+Inputs!$B$7)^(DP$2-1)</f>
        <v>2922.69193177751</v>
      </c>
      <c r="DQ62" s="11" t="n">
        <f aca="false">Units!$E61*(1+Inputs!$B$7)^(DQ$2-1)</f>
        <v>2922.69193177751</v>
      </c>
      <c r="DR62" s="11" t="n">
        <f aca="false">Units!$E61*(1+Inputs!$B$7)^(DR$2-1)</f>
        <v>2922.69193177751</v>
      </c>
      <c r="DS62" s="11" t="n">
        <f aca="false">Units!$E61*(1+Inputs!$B$7)^(DS$2-1)</f>
        <v>3010.37268973083</v>
      </c>
      <c r="DT62" s="11" t="n">
        <f aca="false">Units!$E61*(1+Inputs!$B$7)^(DT$2-1)</f>
        <v>3010.37268973083</v>
      </c>
      <c r="DU62" s="11" t="n">
        <f aca="false">Units!$E61*(1+Inputs!$B$7)^(DU$2-1)</f>
        <v>3010.37268973083</v>
      </c>
      <c r="DV62" s="11" t="n">
        <f aca="false">Units!$E61*(1+Inputs!$B$7)^(DV$2-1)</f>
        <v>3010.37268973083</v>
      </c>
      <c r="DW62" s="11" t="n">
        <f aca="false">Units!$E61*(1+Inputs!$B$7)^(DW$2-1)</f>
        <v>3010.37268973083</v>
      </c>
      <c r="DX62" s="11" t="n">
        <f aca="false">Units!$E61*(1+Inputs!$B$7)^(DX$2-1)</f>
        <v>3010.37268973083</v>
      </c>
      <c r="DY62" s="11" t="n">
        <f aca="false">Units!$E61*(1+Inputs!$B$7)^(DY$2-1)</f>
        <v>3010.37268973083</v>
      </c>
      <c r="DZ62" s="11" t="n">
        <f aca="false">Units!$E61*(1+Inputs!$B$7)^(DZ$2-1)</f>
        <v>3010.37268973083</v>
      </c>
      <c r="EA62" s="11" t="n">
        <f aca="false">Units!$E61*(1+Inputs!$B$7)^(EA$2-1)</f>
        <v>3010.37268973083</v>
      </c>
      <c r="EB62" s="11" t="n">
        <f aca="false">Units!$E61*(1+Inputs!$B$7)^(EB$2-1)</f>
        <v>3010.37268973083</v>
      </c>
      <c r="EC62" s="11" t="n">
        <f aca="false">Units!$E61*(1+Inputs!$B$7)^(EC$2-1)</f>
        <v>3010.37268973083</v>
      </c>
      <c r="ED62" s="11" t="n">
        <f aca="false">Units!$E61*(1+Inputs!$B$7)^(ED$2-1)</f>
        <v>3010.37268973083</v>
      </c>
    </row>
    <row r="63" customFormat="false" ht="15" hidden="false" customHeight="false" outlineLevel="0" collapsed="false">
      <c r="A63" s="22" t="n">
        <f aca="false">Units!A62</f>
        <v>301</v>
      </c>
      <c r="B63" s="23"/>
      <c r="C63" s="11" t="n">
        <f aca="false">Units!$E62*(1+Inputs!$B$7)^(C$2-1)</f>
        <v>1525</v>
      </c>
      <c r="D63" s="11" t="n">
        <f aca="false">Units!$E62*(1+Inputs!$B$7)^(D$2-1)</f>
        <v>1525</v>
      </c>
      <c r="E63" s="11" t="n">
        <f aca="false">Units!$E62*(1+Inputs!$B$7)^(E$2-1)</f>
        <v>1525</v>
      </c>
      <c r="F63" s="11" t="n">
        <f aca="false">Units!$E62*(1+Inputs!$B$7)^(F$2-1)</f>
        <v>1525</v>
      </c>
      <c r="G63" s="11" t="n">
        <f aca="false">Units!$E62*(1+Inputs!$B$7)^(G$2-1)</f>
        <v>1525</v>
      </c>
      <c r="H63" s="11" t="n">
        <f aca="false">Units!$E62*(1+Inputs!$B$7)^(H$2-1)</f>
        <v>1525</v>
      </c>
      <c r="I63" s="11" t="n">
        <f aca="false">Units!$E62*(1+Inputs!$B$7)^(I$2-1)</f>
        <v>1525</v>
      </c>
      <c r="J63" s="11" t="n">
        <f aca="false">Units!$E62*(1+Inputs!$B$7)^(J$2-1)</f>
        <v>1525</v>
      </c>
      <c r="K63" s="11" t="n">
        <f aca="false">Units!$E62*(1+Inputs!$B$7)^(K$2-1)</f>
        <v>1525</v>
      </c>
      <c r="L63" s="11" t="n">
        <f aca="false">Units!$E62*(1+Inputs!$B$7)^(L$2-1)</f>
        <v>1525</v>
      </c>
      <c r="M63" s="11" t="n">
        <f aca="false">Units!$E62*(1+Inputs!$B$7)^(M$2-1)</f>
        <v>1525</v>
      </c>
      <c r="N63" s="11" t="n">
        <f aca="false">Units!$E62*(1+Inputs!$B$7)^(N$2-1)</f>
        <v>1525</v>
      </c>
      <c r="O63" s="11" t="n">
        <f aca="false">Units!$E62*(1+Inputs!$B$7)^(O$2-1)</f>
        <v>1570.75</v>
      </c>
      <c r="P63" s="11" t="n">
        <f aca="false">Units!$E62*(1+Inputs!$B$7)^(P$2-1)</f>
        <v>1570.75</v>
      </c>
      <c r="Q63" s="11" t="n">
        <f aca="false">Units!$E62*(1+Inputs!$B$7)^(Q$2-1)</f>
        <v>1570.75</v>
      </c>
      <c r="R63" s="11" t="n">
        <f aca="false">Units!$E62*(1+Inputs!$B$7)^(R$2-1)</f>
        <v>1570.75</v>
      </c>
      <c r="S63" s="11" t="n">
        <f aca="false">Units!$E62*(1+Inputs!$B$7)^(S$2-1)</f>
        <v>1570.75</v>
      </c>
      <c r="T63" s="11" t="n">
        <f aca="false">Units!$E62*(1+Inputs!$B$7)^(T$2-1)</f>
        <v>1570.75</v>
      </c>
      <c r="U63" s="11" t="n">
        <f aca="false">Units!$E62*(1+Inputs!$B$7)^(U$2-1)</f>
        <v>1570.75</v>
      </c>
      <c r="V63" s="11" t="n">
        <f aca="false">Units!$E62*(1+Inputs!$B$7)^(V$2-1)</f>
        <v>1570.75</v>
      </c>
      <c r="W63" s="11" t="n">
        <f aca="false">Units!$E62*(1+Inputs!$B$7)^(W$2-1)</f>
        <v>1570.75</v>
      </c>
      <c r="X63" s="11" t="n">
        <f aca="false">Units!$E62*(1+Inputs!$B$7)^(X$2-1)</f>
        <v>1570.75</v>
      </c>
      <c r="Y63" s="11" t="n">
        <f aca="false">Units!$E62*(1+Inputs!$B$7)^(Y$2-1)</f>
        <v>1570.75</v>
      </c>
      <c r="Z63" s="11" t="n">
        <f aca="false">Units!$E62*(1+Inputs!$B$7)^(Z$2-1)</f>
        <v>1570.75</v>
      </c>
      <c r="AA63" s="11" t="n">
        <f aca="false">Units!$E62*(1+Inputs!$B$7)^(AA$2-1)</f>
        <v>1617.8725</v>
      </c>
      <c r="AB63" s="11" t="n">
        <f aca="false">Units!$E62*(1+Inputs!$B$7)^(AB$2-1)</f>
        <v>1617.8725</v>
      </c>
      <c r="AC63" s="11" t="n">
        <f aca="false">Units!$E62*(1+Inputs!$B$7)^(AC$2-1)</f>
        <v>1617.8725</v>
      </c>
      <c r="AD63" s="11" t="n">
        <f aca="false">Units!$E62*(1+Inputs!$B$7)^(AD$2-1)</f>
        <v>1617.8725</v>
      </c>
      <c r="AE63" s="11" t="n">
        <f aca="false">Units!$E62*(1+Inputs!$B$7)^(AE$2-1)</f>
        <v>1617.8725</v>
      </c>
      <c r="AF63" s="11" t="n">
        <f aca="false">Units!$E62*(1+Inputs!$B$7)^(AF$2-1)</f>
        <v>1617.8725</v>
      </c>
      <c r="AG63" s="11" t="n">
        <f aca="false">Units!$E62*(1+Inputs!$B$7)^(AG$2-1)</f>
        <v>1617.8725</v>
      </c>
      <c r="AH63" s="11" t="n">
        <f aca="false">Units!$E62*(1+Inputs!$B$7)^(AH$2-1)</f>
        <v>1617.8725</v>
      </c>
      <c r="AI63" s="11" t="n">
        <f aca="false">Units!$E62*(1+Inputs!$B$7)^(AI$2-1)</f>
        <v>1617.8725</v>
      </c>
      <c r="AJ63" s="11" t="n">
        <f aca="false">Units!$E62*(1+Inputs!$B$7)^(AJ$2-1)</f>
        <v>1617.8725</v>
      </c>
      <c r="AK63" s="11" t="n">
        <f aca="false">Units!$E62*(1+Inputs!$B$7)^(AK$2-1)</f>
        <v>1617.8725</v>
      </c>
      <c r="AL63" s="11" t="n">
        <f aca="false">Units!$E62*(1+Inputs!$B$7)^(AL$2-1)</f>
        <v>1617.8725</v>
      </c>
      <c r="AM63" s="11" t="n">
        <f aca="false">Units!$E62*(1+Inputs!$B$7)^(AM$2-1)</f>
        <v>1666.408675</v>
      </c>
      <c r="AN63" s="11" t="n">
        <f aca="false">Units!$E62*(1+Inputs!$B$7)^(AN$2-1)</f>
        <v>1666.408675</v>
      </c>
      <c r="AO63" s="11" t="n">
        <f aca="false">Units!$E62*(1+Inputs!$B$7)^(AO$2-1)</f>
        <v>1666.408675</v>
      </c>
      <c r="AP63" s="11" t="n">
        <f aca="false">Units!$E62*(1+Inputs!$B$7)^(AP$2-1)</f>
        <v>1666.408675</v>
      </c>
      <c r="AQ63" s="11" t="n">
        <f aca="false">Units!$E62*(1+Inputs!$B$7)^(AQ$2-1)</f>
        <v>1666.408675</v>
      </c>
      <c r="AR63" s="11" t="n">
        <f aca="false">Units!$E62*(1+Inputs!$B$7)^(AR$2-1)</f>
        <v>1666.408675</v>
      </c>
      <c r="AS63" s="11" t="n">
        <f aca="false">Units!$E62*(1+Inputs!$B$7)^(AS$2-1)</f>
        <v>1666.408675</v>
      </c>
      <c r="AT63" s="11" t="n">
        <f aca="false">Units!$E62*(1+Inputs!$B$7)^(AT$2-1)</f>
        <v>1666.408675</v>
      </c>
      <c r="AU63" s="11" t="n">
        <f aca="false">Units!$E62*(1+Inputs!$B$7)^(AU$2-1)</f>
        <v>1666.408675</v>
      </c>
      <c r="AV63" s="11" t="n">
        <f aca="false">Units!$E62*(1+Inputs!$B$7)^(AV$2-1)</f>
        <v>1666.408675</v>
      </c>
      <c r="AW63" s="11" t="n">
        <f aca="false">Units!$E62*(1+Inputs!$B$7)^(AW$2-1)</f>
        <v>1666.408675</v>
      </c>
      <c r="AX63" s="11" t="n">
        <f aca="false">Units!$E62*(1+Inputs!$B$7)^(AX$2-1)</f>
        <v>1666.408675</v>
      </c>
      <c r="AY63" s="11" t="n">
        <f aca="false">Units!$E62*(1+Inputs!$B$7)^(AY$2-1)</f>
        <v>1716.40093525</v>
      </c>
      <c r="AZ63" s="11" t="n">
        <f aca="false">Units!$E62*(1+Inputs!$B$7)^(AZ$2-1)</f>
        <v>1716.40093525</v>
      </c>
      <c r="BA63" s="11" t="n">
        <f aca="false">Units!$E62*(1+Inputs!$B$7)^(BA$2-1)</f>
        <v>1716.40093525</v>
      </c>
      <c r="BB63" s="11" t="n">
        <f aca="false">Units!$E62*(1+Inputs!$B$7)^(BB$2-1)</f>
        <v>1716.40093525</v>
      </c>
      <c r="BC63" s="11" t="n">
        <f aca="false">Units!$E62*(1+Inputs!$B$7)^(BC$2-1)</f>
        <v>1716.40093525</v>
      </c>
      <c r="BD63" s="11" t="n">
        <f aca="false">Units!$E62*(1+Inputs!$B$7)^(BD$2-1)</f>
        <v>1716.40093525</v>
      </c>
      <c r="BE63" s="11" t="n">
        <f aca="false">Units!$E62*(1+Inputs!$B$7)^(BE$2-1)</f>
        <v>1716.40093525</v>
      </c>
      <c r="BF63" s="11" t="n">
        <f aca="false">Units!$E62*(1+Inputs!$B$7)^(BF$2-1)</f>
        <v>1716.40093525</v>
      </c>
      <c r="BG63" s="11" t="n">
        <f aca="false">Units!$E62*(1+Inputs!$B$7)^(BG$2-1)</f>
        <v>1716.40093525</v>
      </c>
      <c r="BH63" s="11" t="n">
        <f aca="false">Units!$E62*(1+Inputs!$B$7)^(BH$2-1)</f>
        <v>1716.40093525</v>
      </c>
      <c r="BI63" s="11" t="n">
        <f aca="false">Units!$E62*(1+Inputs!$B$7)^(BI$2-1)</f>
        <v>1716.40093525</v>
      </c>
      <c r="BJ63" s="11" t="n">
        <f aca="false">Units!$E62*(1+Inputs!$B$7)^(BJ$2-1)</f>
        <v>1716.40093525</v>
      </c>
      <c r="BK63" s="11" t="n">
        <f aca="false">Units!$E62*(1+Inputs!$B$7)^(BK$2-1)</f>
        <v>1767.8929633075</v>
      </c>
      <c r="BL63" s="11" t="n">
        <f aca="false">Units!$E62*(1+Inputs!$B$7)^(BL$2-1)</f>
        <v>1767.8929633075</v>
      </c>
      <c r="BM63" s="11" t="n">
        <f aca="false">Units!$E62*(1+Inputs!$B$7)^(BM$2-1)</f>
        <v>1767.8929633075</v>
      </c>
      <c r="BN63" s="11" t="n">
        <f aca="false">Units!$E62*(1+Inputs!$B$7)^(BN$2-1)</f>
        <v>1767.8929633075</v>
      </c>
      <c r="BO63" s="11" t="n">
        <f aca="false">Units!$E62*(1+Inputs!$B$7)^(BO$2-1)</f>
        <v>1767.8929633075</v>
      </c>
      <c r="BP63" s="11" t="n">
        <f aca="false">Units!$E62*(1+Inputs!$B$7)^(BP$2-1)</f>
        <v>1767.8929633075</v>
      </c>
      <c r="BQ63" s="11" t="n">
        <f aca="false">Units!$E62*(1+Inputs!$B$7)^(BQ$2-1)</f>
        <v>1767.8929633075</v>
      </c>
      <c r="BR63" s="11" t="n">
        <f aca="false">Units!$E62*(1+Inputs!$B$7)^(BR$2-1)</f>
        <v>1767.8929633075</v>
      </c>
      <c r="BS63" s="11" t="n">
        <f aca="false">Units!$E62*(1+Inputs!$B$7)^(BS$2-1)</f>
        <v>1767.8929633075</v>
      </c>
      <c r="BT63" s="11" t="n">
        <f aca="false">Units!$E62*(1+Inputs!$B$7)^(BT$2-1)</f>
        <v>1767.8929633075</v>
      </c>
      <c r="BU63" s="11" t="n">
        <f aca="false">Units!$E62*(1+Inputs!$B$7)^(BU$2-1)</f>
        <v>1767.8929633075</v>
      </c>
      <c r="BV63" s="11" t="n">
        <f aca="false">Units!$E62*(1+Inputs!$B$7)^(BV$2-1)</f>
        <v>1767.8929633075</v>
      </c>
      <c r="BW63" s="11" t="n">
        <f aca="false">Units!$E62*(1+Inputs!$B$7)^(BW$2-1)</f>
        <v>1820.92975220673</v>
      </c>
      <c r="BX63" s="11" t="n">
        <f aca="false">Units!$E62*(1+Inputs!$B$7)^(BX$2-1)</f>
        <v>1820.92975220673</v>
      </c>
      <c r="BY63" s="11" t="n">
        <f aca="false">Units!$E62*(1+Inputs!$B$7)^(BY$2-1)</f>
        <v>1820.92975220673</v>
      </c>
      <c r="BZ63" s="11" t="n">
        <f aca="false">Units!$E62*(1+Inputs!$B$7)^(BZ$2-1)</f>
        <v>1820.92975220673</v>
      </c>
      <c r="CA63" s="11" t="n">
        <f aca="false">Units!$E62*(1+Inputs!$B$7)^(CA$2-1)</f>
        <v>1820.92975220673</v>
      </c>
      <c r="CB63" s="11" t="n">
        <f aca="false">Units!$E62*(1+Inputs!$B$7)^(CB$2-1)</f>
        <v>1820.92975220673</v>
      </c>
      <c r="CC63" s="11" t="n">
        <f aca="false">Units!$E62*(1+Inputs!$B$7)^(CC$2-1)</f>
        <v>1820.92975220673</v>
      </c>
      <c r="CD63" s="11" t="n">
        <f aca="false">Units!$E62*(1+Inputs!$B$7)^(CD$2-1)</f>
        <v>1820.92975220673</v>
      </c>
      <c r="CE63" s="11" t="n">
        <f aca="false">Units!$E62*(1+Inputs!$B$7)^(CE$2-1)</f>
        <v>1820.92975220673</v>
      </c>
      <c r="CF63" s="11" t="n">
        <f aca="false">Units!$E62*(1+Inputs!$B$7)^(CF$2-1)</f>
        <v>1820.92975220673</v>
      </c>
      <c r="CG63" s="11" t="n">
        <f aca="false">Units!$E62*(1+Inputs!$B$7)^(CG$2-1)</f>
        <v>1820.92975220673</v>
      </c>
      <c r="CH63" s="11" t="n">
        <f aca="false">Units!$E62*(1+Inputs!$B$7)^(CH$2-1)</f>
        <v>1820.92975220673</v>
      </c>
      <c r="CI63" s="11" t="n">
        <f aca="false">Units!$E62*(1+Inputs!$B$7)^(CI$2-1)</f>
        <v>1875.55764477293</v>
      </c>
      <c r="CJ63" s="11" t="n">
        <f aca="false">Units!$E62*(1+Inputs!$B$7)^(CJ$2-1)</f>
        <v>1875.55764477293</v>
      </c>
      <c r="CK63" s="11" t="n">
        <f aca="false">Units!$E62*(1+Inputs!$B$7)^(CK$2-1)</f>
        <v>1875.55764477293</v>
      </c>
      <c r="CL63" s="11" t="n">
        <f aca="false">Units!$E62*(1+Inputs!$B$7)^(CL$2-1)</f>
        <v>1875.55764477293</v>
      </c>
      <c r="CM63" s="11" t="n">
        <f aca="false">Units!$E62*(1+Inputs!$B$7)^(CM$2-1)</f>
        <v>1875.55764477293</v>
      </c>
      <c r="CN63" s="11" t="n">
        <f aca="false">Units!$E62*(1+Inputs!$B$7)^(CN$2-1)</f>
        <v>1875.55764477293</v>
      </c>
      <c r="CO63" s="11" t="n">
        <f aca="false">Units!$E62*(1+Inputs!$B$7)^(CO$2-1)</f>
        <v>1875.55764477293</v>
      </c>
      <c r="CP63" s="11" t="n">
        <f aca="false">Units!$E62*(1+Inputs!$B$7)^(CP$2-1)</f>
        <v>1875.55764477293</v>
      </c>
      <c r="CQ63" s="11" t="n">
        <f aca="false">Units!$E62*(1+Inputs!$B$7)^(CQ$2-1)</f>
        <v>1875.55764477293</v>
      </c>
      <c r="CR63" s="11" t="n">
        <f aca="false">Units!$E62*(1+Inputs!$B$7)^(CR$2-1)</f>
        <v>1875.55764477293</v>
      </c>
      <c r="CS63" s="11" t="n">
        <f aca="false">Units!$E62*(1+Inputs!$B$7)^(CS$2-1)</f>
        <v>1875.55764477293</v>
      </c>
      <c r="CT63" s="11" t="n">
        <f aca="false">Units!$E62*(1+Inputs!$B$7)^(CT$2-1)</f>
        <v>1875.55764477293</v>
      </c>
      <c r="CU63" s="11" t="n">
        <f aca="false">Units!$E62*(1+Inputs!$B$7)^(CU$2-1)</f>
        <v>1931.82437411612</v>
      </c>
      <c r="CV63" s="11" t="n">
        <f aca="false">Units!$E62*(1+Inputs!$B$7)^(CV$2-1)</f>
        <v>1931.82437411612</v>
      </c>
      <c r="CW63" s="11" t="n">
        <f aca="false">Units!$E62*(1+Inputs!$B$7)^(CW$2-1)</f>
        <v>1931.82437411612</v>
      </c>
      <c r="CX63" s="11" t="n">
        <f aca="false">Units!$E62*(1+Inputs!$B$7)^(CX$2-1)</f>
        <v>1931.82437411612</v>
      </c>
      <c r="CY63" s="11" t="n">
        <f aca="false">Units!$E62*(1+Inputs!$B$7)^(CY$2-1)</f>
        <v>1931.82437411612</v>
      </c>
      <c r="CZ63" s="11" t="n">
        <f aca="false">Units!$E62*(1+Inputs!$B$7)^(CZ$2-1)</f>
        <v>1931.82437411612</v>
      </c>
      <c r="DA63" s="11" t="n">
        <f aca="false">Units!$E62*(1+Inputs!$B$7)^(DA$2-1)</f>
        <v>1931.82437411612</v>
      </c>
      <c r="DB63" s="11" t="n">
        <f aca="false">Units!$E62*(1+Inputs!$B$7)^(DB$2-1)</f>
        <v>1931.82437411612</v>
      </c>
      <c r="DC63" s="11" t="n">
        <f aca="false">Units!$E62*(1+Inputs!$B$7)^(DC$2-1)</f>
        <v>1931.82437411612</v>
      </c>
      <c r="DD63" s="11" t="n">
        <f aca="false">Units!$E62*(1+Inputs!$B$7)^(DD$2-1)</f>
        <v>1931.82437411612</v>
      </c>
      <c r="DE63" s="11" t="n">
        <f aca="false">Units!$E62*(1+Inputs!$B$7)^(DE$2-1)</f>
        <v>1931.82437411612</v>
      </c>
      <c r="DF63" s="11" t="n">
        <f aca="false">Units!$E62*(1+Inputs!$B$7)^(DF$2-1)</f>
        <v>1931.82437411612</v>
      </c>
      <c r="DG63" s="11" t="n">
        <f aca="false">Units!$E62*(1+Inputs!$B$7)^(DG$2-1)</f>
        <v>1989.7791053396</v>
      </c>
      <c r="DH63" s="11" t="n">
        <f aca="false">Units!$E62*(1+Inputs!$B$7)^(DH$2-1)</f>
        <v>1989.7791053396</v>
      </c>
      <c r="DI63" s="11" t="n">
        <f aca="false">Units!$E62*(1+Inputs!$B$7)^(DI$2-1)</f>
        <v>1989.7791053396</v>
      </c>
      <c r="DJ63" s="11" t="n">
        <f aca="false">Units!$E62*(1+Inputs!$B$7)^(DJ$2-1)</f>
        <v>1989.7791053396</v>
      </c>
      <c r="DK63" s="11" t="n">
        <f aca="false">Units!$E62*(1+Inputs!$B$7)^(DK$2-1)</f>
        <v>1989.7791053396</v>
      </c>
      <c r="DL63" s="11" t="n">
        <f aca="false">Units!$E62*(1+Inputs!$B$7)^(DL$2-1)</f>
        <v>1989.7791053396</v>
      </c>
      <c r="DM63" s="11" t="n">
        <f aca="false">Units!$E62*(1+Inputs!$B$7)^(DM$2-1)</f>
        <v>1989.7791053396</v>
      </c>
      <c r="DN63" s="11" t="n">
        <f aca="false">Units!$E62*(1+Inputs!$B$7)^(DN$2-1)</f>
        <v>1989.7791053396</v>
      </c>
      <c r="DO63" s="11" t="n">
        <f aca="false">Units!$E62*(1+Inputs!$B$7)^(DO$2-1)</f>
        <v>1989.7791053396</v>
      </c>
      <c r="DP63" s="11" t="n">
        <f aca="false">Units!$E62*(1+Inputs!$B$7)^(DP$2-1)</f>
        <v>1989.7791053396</v>
      </c>
      <c r="DQ63" s="11" t="n">
        <f aca="false">Units!$E62*(1+Inputs!$B$7)^(DQ$2-1)</f>
        <v>1989.7791053396</v>
      </c>
      <c r="DR63" s="11" t="n">
        <f aca="false">Units!$E62*(1+Inputs!$B$7)^(DR$2-1)</f>
        <v>1989.7791053396</v>
      </c>
      <c r="DS63" s="11" t="n">
        <f aca="false">Units!$E62*(1+Inputs!$B$7)^(DS$2-1)</f>
        <v>2049.47247849979</v>
      </c>
      <c r="DT63" s="11" t="n">
        <f aca="false">Units!$E62*(1+Inputs!$B$7)^(DT$2-1)</f>
        <v>2049.47247849979</v>
      </c>
      <c r="DU63" s="11" t="n">
        <f aca="false">Units!$E62*(1+Inputs!$B$7)^(DU$2-1)</f>
        <v>2049.47247849979</v>
      </c>
      <c r="DV63" s="11" t="n">
        <f aca="false">Units!$E62*(1+Inputs!$B$7)^(DV$2-1)</f>
        <v>2049.47247849979</v>
      </c>
      <c r="DW63" s="11" t="n">
        <f aca="false">Units!$E62*(1+Inputs!$B$7)^(DW$2-1)</f>
        <v>2049.47247849979</v>
      </c>
      <c r="DX63" s="11" t="n">
        <f aca="false">Units!$E62*(1+Inputs!$B$7)^(DX$2-1)</f>
        <v>2049.47247849979</v>
      </c>
      <c r="DY63" s="11" t="n">
        <f aca="false">Units!$E62*(1+Inputs!$B$7)^(DY$2-1)</f>
        <v>2049.47247849979</v>
      </c>
      <c r="DZ63" s="11" t="n">
        <f aca="false">Units!$E62*(1+Inputs!$B$7)^(DZ$2-1)</f>
        <v>2049.47247849979</v>
      </c>
      <c r="EA63" s="11" t="n">
        <f aca="false">Units!$E62*(1+Inputs!$B$7)^(EA$2-1)</f>
        <v>2049.47247849979</v>
      </c>
      <c r="EB63" s="11" t="n">
        <f aca="false">Units!$E62*(1+Inputs!$B$7)^(EB$2-1)</f>
        <v>2049.47247849979</v>
      </c>
      <c r="EC63" s="11" t="n">
        <f aca="false">Units!$E62*(1+Inputs!$B$7)^(EC$2-1)</f>
        <v>2049.47247849979</v>
      </c>
      <c r="ED63" s="11" t="n">
        <f aca="false">Units!$E62*(1+Inputs!$B$7)^(ED$2-1)</f>
        <v>2049.47247849979</v>
      </c>
    </row>
    <row r="64" customFormat="false" ht="15" hidden="false" customHeight="false" outlineLevel="0" collapsed="false">
      <c r="A64" s="22" t="n">
        <f aca="false">Units!A63</f>
        <v>302</v>
      </c>
      <c r="B64" s="23"/>
      <c r="C64" s="11" t="n">
        <f aca="false">Units!$E63*(1+Inputs!$B$7)^(C$2-1)</f>
        <v>1525</v>
      </c>
      <c r="D64" s="11" t="n">
        <f aca="false">Units!$E63*(1+Inputs!$B$7)^(D$2-1)</f>
        <v>1525</v>
      </c>
      <c r="E64" s="11" t="n">
        <f aca="false">Units!$E63*(1+Inputs!$B$7)^(E$2-1)</f>
        <v>1525</v>
      </c>
      <c r="F64" s="11" t="n">
        <f aca="false">Units!$E63*(1+Inputs!$B$7)^(F$2-1)</f>
        <v>1525</v>
      </c>
      <c r="G64" s="11" t="n">
        <f aca="false">Units!$E63*(1+Inputs!$B$7)^(G$2-1)</f>
        <v>1525</v>
      </c>
      <c r="H64" s="11" t="n">
        <f aca="false">Units!$E63*(1+Inputs!$B$7)^(H$2-1)</f>
        <v>1525</v>
      </c>
      <c r="I64" s="11" t="n">
        <f aca="false">Units!$E63*(1+Inputs!$B$7)^(I$2-1)</f>
        <v>1525</v>
      </c>
      <c r="J64" s="11" t="n">
        <f aca="false">Units!$E63*(1+Inputs!$B$7)^(J$2-1)</f>
        <v>1525</v>
      </c>
      <c r="K64" s="11" t="n">
        <f aca="false">Units!$E63*(1+Inputs!$B$7)^(K$2-1)</f>
        <v>1525</v>
      </c>
      <c r="L64" s="11" t="n">
        <f aca="false">Units!$E63*(1+Inputs!$B$7)^(L$2-1)</f>
        <v>1525</v>
      </c>
      <c r="M64" s="11" t="n">
        <f aca="false">Units!$E63*(1+Inputs!$B$7)^(M$2-1)</f>
        <v>1525</v>
      </c>
      <c r="N64" s="11" t="n">
        <f aca="false">Units!$E63*(1+Inputs!$B$7)^(N$2-1)</f>
        <v>1525</v>
      </c>
      <c r="O64" s="11" t="n">
        <f aca="false">Units!$E63*(1+Inputs!$B$7)^(O$2-1)</f>
        <v>1570.75</v>
      </c>
      <c r="P64" s="11" t="n">
        <f aca="false">Units!$E63*(1+Inputs!$B$7)^(P$2-1)</f>
        <v>1570.75</v>
      </c>
      <c r="Q64" s="11" t="n">
        <f aca="false">Units!$E63*(1+Inputs!$B$7)^(Q$2-1)</f>
        <v>1570.75</v>
      </c>
      <c r="R64" s="11" t="n">
        <f aca="false">Units!$E63*(1+Inputs!$B$7)^(R$2-1)</f>
        <v>1570.75</v>
      </c>
      <c r="S64" s="11" t="n">
        <f aca="false">Units!$E63*(1+Inputs!$B$7)^(S$2-1)</f>
        <v>1570.75</v>
      </c>
      <c r="T64" s="11" t="n">
        <f aca="false">Units!$E63*(1+Inputs!$B$7)^(T$2-1)</f>
        <v>1570.75</v>
      </c>
      <c r="U64" s="11" t="n">
        <f aca="false">Units!$E63*(1+Inputs!$B$7)^(U$2-1)</f>
        <v>1570.75</v>
      </c>
      <c r="V64" s="11" t="n">
        <f aca="false">Units!$E63*(1+Inputs!$B$7)^(V$2-1)</f>
        <v>1570.75</v>
      </c>
      <c r="W64" s="11" t="n">
        <f aca="false">Units!$E63*(1+Inputs!$B$7)^(W$2-1)</f>
        <v>1570.75</v>
      </c>
      <c r="X64" s="11" t="n">
        <f aca="false">Units!$E63*(1+Inputs!$B$7)^(X$2-1)</f>
        <v>1570.75</v>
      </c>
      <c r="Y64" s="11" t="n">
        <f aca="false">Units!$E63*(1+Inputs!$B$7)^(Y$2-1)</f>
        <v>1570.75</v>
      </c>
      <c r="Z64" s="11" t="n">
        <f aca="false">Units!$E63*(1+Inputs!$B$7)^(Z$2-1)</f>
        <v>1570.75</v>
      </c>
      <c r="AA64" s="11" t="n">
        <f aca="false">Units!$E63*(1+Inputs!$B$7)^(AA$2-1)</f>
        <v>1617.8725</v>
      </c>
      <c r="AB64" s="11" t="n">
        <f aca="false">Units!$E63*(1+Inputs!$B$7)^(AB$2-1)</f>
        <v>1617.8725</v>
      </c>
      <c r="AC64" s="11" t="n">
        <f aca="false">Units!$E63*(1+Inputs!$B$7)^(AC$2-1)</f>
        <v>1617.8725</v>
      </c>
      <c r="AD64" s="11" t="n">
        <f aca="false">Units!$E63*(1+Inputs!$B$7)^(AD$2-1)</f>
        <v>1617.8725</v>
      </c>
      <c r="AE64" s="11" t="n">
        <f aca="false">Units!$E63*(1+Inputs!$B$7)^(AE$2-1)</f>
        <v>1617.8725</v>
      </c>
      <c r="AF64" s="11" t="n">
        <f aca="false">Units!$E63*(1+Inputs!$B$7)^(AF$2-1)</f>
        <v>1617.8725</v>
      </c>
      <c r="AG64" s="11" t="n">
        <f aca="false">Units!$E63*(1+Inputs!$B$7)^(AG$2-1)</f>
        <v>1617.8725</v>
      </c>
      <c r="AH64" s="11" t="n">
        <f aca="false">Units!$E63*(1+Inputs!$B$7)^(AH$2-1)</f>
        <v>1617.8725</v>
      </c>
      <c r="AI64" s="11" t="n">
        <f aca="false">Units!$E63*(1+Inputs!$B$7)^(AI$2-1)</f>
        <v>1617.8725</v>
      </c>
      <c r="AJ64" s="11" t="n">
        <f aca="false">Units!$E63*(1+Inputs!$B$7)^(AJ$2-1)</f>
        <v>1617.8725</v>
      </c>
      <c r="AK64" s="11" t="n">
        <f aca="false">Units!$E63*(1+Inputs!$B$7)^(AK$2-1)</f>
        <v>1617.8725</v>
      </c>
      <c r="AL64" s="11" t="n">
        <f aca="false">Units!$E63*(1+Inputs!$B$7)^(AL$2-1)</f>
        <v>1617.8725</v>
      </c>
      <c r="AM64" s="11" t="n">
        <f aca="false">Units!$E63*(1+Inputs!$B$7)^(AM$2-1)</f>
        <v>1666.408675</v>
      </c>
      <c r="AN64" s="11" t="n">
        <f aca="false">Units!$E63*(1+Inputs!$B$7)^(AN$2-1)</f>
        <v>1666.408675</v>
      </c>
      <c r="AO64" s="11" t="n">
        <f aca="false">Units!$E63*(1+Inputs!$B$7)^(AO$2-1)</f>
        <v>1666.408675</v>
      </c>
      <c r="AP64" s="11" t="n">
        <f aca="false">Units!$E63*(1+Inputs!$B$7)^(AP$2-1)</f>
        <v>1666.408675</v>
      </c>
      <c r="AQ64" s="11" t="n">
        <f aca="false">Units!$E63*(1+Inputs!$B$7)^(AQ$2-1)</f>
        <v>1666.408675</v>
      </c>
      <c r="AR64" s="11" t="n">
        <f aca="false">Units!$E63*(1+Inputs!$B$7)^(AR$2-1)</f>
        <v>1666.408675</v>
      </c>
      <c r="AS64" s="11" t="n">
        <f aca="false">Units!$E63*(1+Inputs!$B$7)^(AS$2-1)</f>
        <v>1666.408675</v>
      </c>
      <c r="AT64" s="11" t="n">
        <f aca="false">Units!$E63*(1+Inputs!$B$7)^(AT$2-1)</f>
        <v>1666.408675</v>
      </c>
      <c r="AU64" s="11" t="n">
        <f aca="false">Units!$E63*(1+Inputs!$B$7)^(AU$2-1)</f>
        <v>1666.408675</v>
      </c>
      <c r="AV64" s="11" t="n">
        <f aca="false">Units!$E63*(1+Inputs!$B$7)^(AV$2-1)</f>
        <v>1666.408675</v>
      </c>
      <c r="AW64" s="11" t="n">
        <f aca="false">Units!$E63*(1+Inputs!$B$7)^(AW$2-1)</f>
        <v>1666.408675</v>
      </c>
      <c r="AX64" s="11" t="n">
        <f aca="false">Units!$E63*(1+Inputs!$B$7)^(AX$2-1)</f>
        <v>1666.408675</v>
      </c>
      <c r="AY64" s="11" t="n">
        <f aca="false">Units!$E63*(1+Inputs!$B$7)^(AY$2-1)</f>
        <v>1716.40093525</v>
      </c>
      <c r="AZ64" s="11" t="n">
        <f aca="false">Units!$E63*(1+Inputs!$B$7)^(AZ$2-1)</f>
        <v>1716.40093525</v>
      </c>
      <c r="BA64" s="11" t="n">
        <f aca="false">Units!$E63*(1+Inputs!$B$7)^(BA$2-1)</f>
        <v>1716.40093525</v>
      </c>
      <c r="BB64" s="11" t="n">
        <f aca="false">Units!$E63*(1+Inputs!$B$7)^(BB$2-1)</f>
        <v>1716.40093525</v>
      </c>
      <c r="BC64" s="11" t="n">
        <f aca="false">Units!$E63*(1+Inputs!$B$7)^(BC$2-1)</f>
        <v>1716.40093525</v>
      </c>
      <c r="BD64" s="11" t="n">
        <f aca="false">Units!$E63*(1+Inputs!$B$7)^(BD$2-1)</f>
        <v>1716.40093525</v>
      </c>
      <c r="BE64" s="11" t="n">
        <f aca="false">Units!$E63*(1+Inputs!$B$7)^(BE$2-1)</f>
        <v>1716.40093525</v>
      </c>
      <c r="BF64" s="11" t="n">
        <f aca="false">Units!$E63*(1+Inputs!$B$7)^(BF$2-1)</f>
        <v>1716.40093525</v>
      </c>
      <c r="BG64" s="11" t="n">
        <f aca="false">Units!$E63*(1+Inputs!$B$7)^(BG$2-1)</f>
        <v>1716.40093525</v>
      </c>
      <c r="BH64" s="11" t="n">
        <f aca="false">Units!$E63*(1+Inputs!$B$7)^(BH$2-1)</f>
        <v>1716.40093525</v>
      </c>
      <c r="BI64" s="11" t="n">
        <f aca="false">Units!$E63*(1+Inputs!$B$7)^(BI$2-1)</f>
        <v>1716.40093525</v>
      </c>
      <c r="BJ64" s="11" t="n">
        <f aca="false">Units!$E63*(1+Inputs!$B$7)^(BJ$2-1)</f>
        <v>1716.40093525</v>
      </c>
      <c r="BK64" s="11" t="n">
        <f aca="false">Units!$E63*(1+Inputs!$B$7)^(BK$2-1)</f>
        <v>1767.8929633075</v>
      </c>
      <c r="BL64" s="11" t="n">
        <f aca="false">Units!$E63*(1+Inputs!$B$7)^(BL$2-1)</f>
        <v>1767.8929633075</v>
      </c>
      <c r="BM64" s="11" t="n">
        <f aca="false">Units!$E63*(1+Inputs!$B$7)^(BM$2-1)</f>
        <v>1767.8929633075</v>
      </c>
      <c r="BN64" s="11" t="n">
        <f aca="false">Units!$E63*(1+Inputs!$B$7)^(BN$2-1)</f>
        <v>1767.8929633075</v>
      </c>
      <c r="BO64" s="11" t="n">
        <f aca="false">Units!$E63*(1+Inputs!$B$7)^(BO$2-1)</f>
        <v>1767.8929633075</v>
      </c>
      <c r="BP64" s="11" t="n">
        <f aca="false">Units!$E63*(1+Inputs!$B$7)^(BP$2-1)</f>
        <v>1767.8929633075</v>
      </c>
      <c r="BQ64" s="11" t="n">
        <f aca="false">Units!$E63*(1+Inputs!$B$7)^(BQ$2-1)</f>
        <v>1767.8929633075</v>
      </c>
      <c r="BR64" s="11" t="n">
        <f aca="false">Units!$E63*(1+Inputs!$B$7)^(BR$2-1)</f>
        <v>1767.8929633075</v>
      </c>
      <c r="BS64" s="11" t="n">
        <f aca="false">Units!$E63*(1+Inputs!$B$7)^(BS$2-1)</f>
        <v>1767.8929633075</v>
      </c>
      <c r="BT64" s="11" t="n">
        <f aca="false">Units!$E63*(1+Inputs!$B$7)^(BT$2-1)</f>
        <v>1767.8929633075</v>
      </c>
      <c r="BU64" s="11" t="n">
        <f aca="false">Units!$E63*(1+Inputs!$B$7)^(BU$2-1)</f>
        <v>1767.8929633075</v>
      </c>
      <c r="BV64" s="11" t="n">
        <f aca="false">Units!$E63*(1+Inputs!$B$7)^(BV$2-1)</f>
        <v>1767.8929633075</v>
      </c>
      <c r="BW64" s="11" t="n">
        <f aca="false">Units!$E63*(1+Inputs!$B$7)^(BW$2-1)</f>
        <v>1820.92975220673</v>
      </c>
      <c r="BX64" s="11" t="n">
        <f aca="false">Units!$E63*(1+Inputs!$B$7)^(BX$2-1)</f>
        <v>1820.92975220673</v>
      </c>
      <c r="BY64" s="11" t="n">
        <f aca="false">Units!$E63*(1+Inputs!$B$7)^(BY$2-1)</f>
        <v>1820.92975220673</v>
      </c>
      <c r="BZ64" s="11" t="n">
        <f aca="false">Units!$E63*(1+Inputs!$B$7)^(BZ$2-1)</f>
        <v>1820.92975220673</v>
      </c>
      <c r="CA64" s="11" t="n">
        <f aca="false">Units!$E63*(1+Inputs!$B$7)^(CA$2-1)</f>
        <v>1820.92975220673</v>
      </c>
      <c r="CB64" s="11" t="n">
        <f aca="false">Units!$E63*(1+Inputs!$B$7)^(CB$2-1)</f>
        <v>1820.92975220673</v>
      </c>
      <c r="CC64" s="11" t="n">
        <f aca="false">Units!$E63*(1+Inputs!$B$7)^(CC$2-1)</f>
        <v>1820.92975220673</v>
      </c>
      <c r="CD64" s="11" t="n">
        <f aca="false">Units!$E63*(1+Inputs!$B$7)^(CD$2-1)</f>
        <v>1820.92975220673</v>
      </c>
      <c r="CE64" s="11" t="n">
        <f aca="false">Units!$E63*(1+Inputs!$B$7)^(CE$2-1)</f>
        <v>1820.92975220673</v>
      </c>
      <c r="CF64" s="11" t="n">
        <f aca="false">Units!$E63*(1+Inputs!$B$7)^(CF$2-1)</f>
        <v>1820.92975220673</v>
      </c>
      <c r="CG64" s="11" t="n">
        <f aca="false">Units!$E63*(1+Inputs!$B$7)^(CG$2-1)</f>
        <v>1820.92975220673</v>
      </c>
      <c r="CH64" s="11" t="n">
        <f aca="false">Units!$E63*(1+Inputs!$B$7)^(CH$2-1)</f>
        <v>1820.92975220673</v>
      </c>
      <c r="CI64" s="11" t="n">
        <f aca="false">Units!$E63*(1+Inputs!$B$7)^(CI$2-1)</f>
        <v>1875.55764477293</v>
      </c>
      <c r="CJ64" s="11" t="n">
        <f aca="false">Units!$E63*(1+Inputs!$B$7)^(CJ$2-1)</f>
        <v>1875.55764477293</v>
      </c>
      <c r="CK64" s="11" t="n">
        <f aca="false">Units!$E63*(1+Inputs!$B$7)^(CK$2-1)</f>
        <v>1875.55764477293</v>
      </c>
      <c r="CL64" s="11" t="n">
        <f aca="false">Units!$E63*(1+Inputs!$B$7)^(CL$2-1)</f>
        <v>1875.55764477293</v>
      </c>
      <c r="CM64" s="11" t="n">
        <f aca="false">Units!$E63*(1+Inputs!$B$7)^(CM$2-1)</f>
        <v>1875.55764477293</v>
      </c>
      <c r="CN64" s="11" t="n">
        <f aca="false">Units!$E63*(1+Inputs!$B$7)^(CN$2-1)</f>
        <v>1875.55764477293</v>
      </c>
      <c r="CO64" s="11" t="n">
        <f aca="false">Units!$E63*(1+Inputs!$B$7)^(CO$2-1)</f>
        <v>1875.55764477293</v>
      </c>
      <c r="CP64" s="11" t="n">
        <f aca="false">Units!$E63*(1+Inputs!$B$7)^(CP$2-1)</f>
        <v>1875.55764477293</v>
      </c>
      <c r="CQ64" s="11" t="n">
        <f aca="false">Units!$E63*(1+Inputs!$B$7)^(CQ$2-1)</f>
        <v>1875.55764477293</v>
      </c>
      <c r="CR64" s="11" t="n">
        <f aca="false">Units!$E63*(1+Inputs!$B$7)^(CR$2-1)</f>
        <v>1875.55764477293</v>
      </c>
      <c r="CS64" s="11" t="n">
        <f aca="false">Units!$E63*(1+Inputs!$B$7)^(CS$2-1)</f>
        <v>1875.55764477293</v>
      </c>
      <c r="CT64" s="11" t="n">
        <f aca="false">Units!$E63*(1+Inputs!$B$7)^(CT$2-1)</f>
        <v>1875.55764477293</v>
      </c>
      <c r="CU64" s="11" t="n">
        <f aca="false">Units!$E63*(1+Inputs!$B$7)^(CU$2-1)</f>
        <v>1931.82437411612</v>
      </c>
      <c r="CV64" s="11" t="n">
        <f aca="false">Units!$E63*(1+Inputs!$B$7)^(CV$2-1)</f>
        <v>1931.82437411612</v>
      </c>
      <c r="CW64" s="11" t="n">
        <f aca="false">Units!$E63*(1+Inputs!$B$7)^(CW$2-1)</f>
        <v>1931.82437411612</v>
      </c>
      <c r="CX64" s="11" t="n">
        <f aca="false">Units!$E63*(1+Inputs!$B$7)^(CX$2-1)</f>
        <v>1931.82437411612</v>
      </c>
      <c r="CY64" s="11" t="n">
        <f aca="false">Units!$E63*(1+Inputs!$B$7)^(CY$2-1)</f>
        <v>1931.82437411612</v>
      </c>
      <c r="CZ64" s="11" t="n">
        <f aca="false">Units!$E63*(1+Inputs!$B$7)^(CZ$2-1)</f>
        <v>1931.82437411612</v>
      </c>
      <c r="DA64" s="11" t="n">
        <f aca="false">Units!$E63*(1+Inputs!$B$7)^(DA$2-1)</f>
        <v>1931.82437411612</v>
      </c>
      <c r="DB64" s="11" t="n">
        <f aca="false">Units!$E63*(1+Inputs!$B$7)^(DB$2-1)</f>
        <v>1931.82437411612</v>
      </c>
      <c r="DC64" s="11" t="n">
        <f aca="false">Units!$E63*(1+Inputs!$B$7)^(DC$2-1)</f>
        <v>1931.82437411612</v>
      </c>
      <c r="DD64" s="11" t="n">
        <f aca="false">Units!$E63*(1+Inputs!$B$7)^(DD$2-1)</f>
        <v>1931.82437411612</v>
      </c>
      <c r="DE64" s="11" t="n">
        <f aca="false">Units!$E63*(1+Inputs!$B$7)^(DE$2-1)</f>
        <v>1931.82437411612</v>
      </c>
      <c r="DF64" s="11" t="n">
        <f aca="false">Units!$E63*(1+Inputs!$B$7)^(DF$2-1)</f>
        <v>1931.82437411612</v>
      </c>
      <c r="DG64" s="11" t="n">
        <f aca="false">Units!$E63*(1+Inputs!$B$7)^(DG$2-1)</f>
        <v>1989.7791053396</v>
      </c>
      <c r="DH64" s="11" t="n">
        <f aca="false">Units!$E63*(1+Inputs!$B$7)^(DH$2-1)</f>
        <v>1989.7791053396</v>
      </c>
      <c r="DI64" s="11" t="n">
        <f aca="false">Units!$E63*(1+Inputs!$B$7)^(DI$2-1)</f>
        <v>1989.7791053396</v>
      </c>
      <c r="DJ64" s="11" t="n">
        <f aca="false">Units!$E63*(1+Inputs!$B$7)^(DJ$2-1)</f>
        <v>1989.7791053396</v>
      </c>
      <c r="DK64" s="11" t="n">
        <f aca="false">Units!$E63*(1+Inputs!$B$7)^(DK$2-1)</f>
        <v>1989.7791053396</v>
      </c>
      <c r="DL64" s="11" t="n">
        <f aca="false">Units!$E63*(1+Inputs!$B$7)^(DL$2-1)</f>
        <v>1989.7791053396</v>
      </c>
      <c r="DM64" s="11" t="n">
        <f aca="false">Units!$E63*(1+Inputs!$B$7)^(DM$2-1)</f>
        <v>1989.7791053396</v>
      </c>
      <c r="DN64" s="11" t="n">
        <f aca="false">Units!$E63*(1+Inputs!$B$7)^(DN$2-1)</f>
        <v>1989.7791053396</v>
      </c>
      <c r="DO64" s="11" t="n">
        <f aca="false">Units!$E63*(1+Inputs!$B$7)^(DO$2-1)</f>
        <v>1989.7791053396</v>
      </c>
      <c r="DP64" s="11" t="n">
        <f aca="false">Units!$E63*(1+Inputs!$B$7)^(DP$2-1)</f>
        <v>1989.7791053396</v>
      </c>
      <c r="DQ64" s="11" t="n">
        <f aca="false">Units!$E63*(1+Inputs!$B$7)^(DQ$2-1)</f>
        <v>1989.7791053396</v>
      </c>
      <c r="DR64" s="11" t="n">
        <f aca="false">Units!$E63*(1+Inputs!$B$7)^(DR$2-1)</f>
        <v>1989.7791053396</v>
      </c>
      <c r="DS64" s="11" t="n">
        <f aca="false">Units!$E63*(1+Inputs!$B$7)^(DS$2-1)</f>
        <v>2049.47247849979</v>
      </c>
      <c r="DT64" s="11" t="n">
        <f aca="false">Units!$E63*(1+Inputs!$B$7)^(DT$2-1)</f>
        <v>2049.47247849979</v>
      </c>
      <c r="DU64" s="11" t="n">
        <f aca="false">Units!$E63*(1+Inputs!$B$7)^(DU$2-1)</f>
        <v>2049.47247849979</v>
      </c>
      <c r="DV64" s="11" t="n">
        <f aca="false">Units!$E63*(1+Inputs!$B$7)^(DV$2-1)</f>
        <v>2049.47247849979</v>
      </c>
      <c r="DW64" s="11" t="n">
        <f aca="false">Units!$E63*(1+Inputs!$B$7)^(DW$2-1)</f>
        <v>2049.47247849979</v>
      </c>
      <c r="DX64" s="11" t="n">
        <f aca="false">Units!$E63*(1+Inputs!$B$7)^(DX$2-1)</f>
        <v>2049.47247849979</v>
      </c>
      <c r="DY64" s="11" t="n">
        <f aca="false">Units!$E63*(1+Inputs!$B$7)^(DY$2-1)</f>
        <v>2049.47247849979</v>
      </c>
      <c r="DZ64" s="11" t="n">
        <f aca="false">Units!$E63*(1+Inputs!$B$7)^(DZ$2-1)</f>
        <v>2049.47247849979</v>
      </c>
      <c r="EA64" s="11" t="n">
        <f aca="false">Units!$E63*(1+Inputs!$B$7)^(EA$2-1)</f>
        <v>2049.47247849979</v>
      </c>
      <c r="EB64" s="11" t="n">
        <f aca="false">Units!$E63*(1+Inputs!$B$7)^(EB$2-1)</f>
        <v>2049.47247849979</v>
      </c>
      <c r="EC64" s="11" t="n">
        <f aca="false">Units!$E63*(1+Inputs!$B$7)^(EC$2-1)</f>
        <v>2049.47247849979</v>
      </c>
      <c r="ED64" s="11" t="n">
        <f aca="false">Units!$E63*(1+Inputs!$B$7)^(ED$2-1)</f>
        <v>2049.47247849979</v>
      </c>
    </row>
    <row r="65" customFormat="false" ht="15" hidden="false" customHeight="false" outlineLevel="0" collapsed="false">
      <c r="A65" s="22" t="n">
        <f aca="false">Units!A64</f>
        <v>303</v>
      </c>
      <c r="B65" s="23"/>
      <c r="C65" s="11" t="n">
        <f aca="false">Units!$E64*(1+Inputs!$B$7)^(C$2-1)</f>
        <v>1525</v>
      </c>
      <c r="D65" s="11" t="n">
        <f aca="false">Units!$E64*(1+Inputs!$B$7)^(D$2-1)</f>
        <v>1525</v>
      </c>
      <c r="E65" s="11" t="n">
        <f aca="false">Units!$E64*(1+Inputs!$B$7)^(E$2-1)</f>
        <v>1525</v>
      </c>
      <c r="F65" s="11" t="n">
        <f aca="false">Units!$E64*(1+Inputs!$B$7)^(F$2-1)</f>
        <v>1525</v>
      </c>
      <c r="G65" s="11" t="n">
        <f aca="false">Units!$E64*(1+Inputs!$B$7)^(G$2-1)</f>
        <v>1525</v>
      </c>
      <c r="H65" s="11" t="n">
        <f aca="false">Units!$E64*(1+Inputs!$B$7)^(H$2-1)</f>
        <v>1525</v>
      </c>
      <c r="I65" s="11" t="n">
        <f aca="false">Units!$E64*(1+Inputs!$B$7)^(I$2-1)</f>
        <v>1525</v>
      </c>
      <c r="J65" s="11" t="n">
        <f aca="false">Units!$E64*(1+Inputs!$B$7)^(J$2-1)</f>
        <v>1525</v>
      </c>
      <c r="K65" s="11" t="n">
        <f aca="false">Units!$E64*(1+Inputs!$B$7)^(K$2-1)</f>
        <v>1525</v>
      </c>
      <c r="L65" s="11" t="n">
        <f aca="false">Units!$E64*(1+Inputs!$B$7)^(L$2-1)</f>
        <v>1525</v>
      </c>
      <c r="M65" s="11" t="n">
        <f aca="false">Units!$E64*(1+Inputs!$B$7)^(M$2-1)</f>
        <v>1525</v>
      </c>
      <c r="N65" s="11" t="n">
        <f aca="false">Units!$E64*(1+Inputs!$B$7)^(N$2-1)</f>
        <v>1525</v>
      </c>
      <c r="O65" s="11" t="n">
        <f aca="false">Units!$E64*(1+Inputs!$B$7)^(O$2-1)</f>
        <v>1570.75</v>
      </c>
      <c r="P65" s="11" t="n">
        <f aca="false">Units!$E64*(1+Inputs!$B$7)^(P$2-1)</f>
        <v>1570.75</v>
      </c>
      <c r="Q65" s="11" t="n">
        <f aca="false">Units!$E64*(1+Inputs!$B$7)^(Q$2-1)</f>
        <v>1570.75</v>
      </c>
      <c r="R65" s="11" t="n">
        <f aca="false">Units!$E64*(1+Inputs!$B$7)^(R$2-1)</f>
        <v>1570.75</v>
      </c>
      <c r="S65" s="11" t="n">
        <f aca="false">Units!$E64*(1+Inputs!$B$7)^(S$2-1)</f>
        <v>1570.75</v>
      </c>
      <c r="T65" s="11" t="n">
        <f aca="false">Units!$E64*(1+Inputs!$B$7)^(T$2-1)</f>
        <v>1570.75</v>
      </c>
      <c r="U65" s="11" t="n">
        <f aca="false">Units!$E64*(1+Inputs!$B$7)^(U$2-1)</f>
        <v>1570.75</v>
      </c>
      <c r="V65" s="11" t="n">
        <f aca="false">Units!$E64*(1+Inputs!$B$7)^(V$2-1)</f>
        <v>1570.75</v>
      </c>
      <c r="W65" s="11" t="n">
        <f aca="false">Units!$E64*(1+Inputs!$B$7)^(W$2-1)</f>
        <v>1570.75</v>
      </c>
      <c r="X65" s="11" t="n">
        <f aca="false">Units!$E64*(1+Inputs!$B$7)^(X$2-1)</f>
        <v>1570.75</v>
      </c>
      <c r="Y65" s="11" t="n">
        <f aca="false">Units!$E64*(1+Inputs!$B$7)^(Y$2-1)</f>
        <v>1570.75</v>
      </c>
      <c r="Z65" s="11" t="n">
        <f aca="false">Units!$E64*(1+Inputs!$B$7)^(Z$2-1)</f>
        <v>1570.75</v>
      </c>
      <c r="AA65" s="11" t="n">
        <f aca="false">Units!$E64*(1+Inputs!$B$7)^(AA$2-1)</f>
        <v>1617.8725</v>
      </c>
      <c r="AB65" s="11" t="n">
        <f aca="false">Units!$E64*(1+Inputs!$B$7)^(AB$2-1)</f>
        <v>1617.8725</v>
      </c>
      <c r="AC65" s="11" t="n">
        <f aca="false">Units!$E64*(1+Inputs!$B$7)^(AC$2-1)</f>
        <v>1617.8725</v>
      </c>
      <c r="AD65" s="11" t="n">
        <f aca="false">Units!$E64*(1+Inputs!$B$7)^(AD$2-1)</f>
        <v>1617.8725</v>
      </c>
      <c r="AE65" s="11" t="n">
        <f aca="false">Units!$E64*(1+Inputs!$B$7)^(AE$2-1)</f>
        <v>1617.8725</v>
      </c>
      <c r="AF65" s="11" t="n">
        <f aca="false">Units!$E64*(1+Inputs!$B$7)^(AF$2-1)</f>
        <v>1617.8725</v>
      </c>
      <c r="AG65" s="11" t="n">
        <f aca="false">Units!$E64*(1+Inputs!$B$7)^(AG$2-1)</f>
        <v>1617.8725</v>
      </c>
      <c r="AH65" s="11" t="n">
        <f aca="false">Units!$E64*(1+Inputs!$B$7)^(AH$2-1)</f>
        <v>1617.8725</v>
      </c>
      <c r="AI65" s="11" t="n">
        <f aca="false">Units!$E64*(1+Inputs!$B$7)^(AI$2-1)</f>
        <v>1617.8725</v>
      </c>
      <c r="AJ65" s="11" t="n">
        <f aca="false">Units!$E64*(1+Inputs!$B$7)^(AJ$2-1)</f>
        <v>1617.8725</v>
      </c>
      <c r="AK65" s="11" t="n">
        <f aca="false">Units!$E64*(1+Inputs!$B$7)^(AK$2-1)</f>
        <v>1617.8725</v>
      </c>
      <c r="AL65" s="11" t="n">
        <f aca="false">Units!$E64*(1+Inputs!$B$7)^(AL$2-1)</f>
        <v>1617.8725</v>
      </c>
      <c r="AM65" s="11" t="n">
        <f aca="false">Units!$E64*(1+Inputs!$B$7)^(AM$2-1)</f>
        <v>1666.408675</v>
      </c>
      <c r="AN65" s="11" t="n">
        <f aca="false">Units!$E64*(1+Inputs!$B$7)^(AN$2-1)</f>
        <v>1666.408675</v>
      </c>
      <c r="AO65" s="11" t="n">
        <f aca="false">Units!$E64*(1+Inputs!$B$7)^(AO$2-1)</f>
        <v>1666.408675</v>
      </c>
      <c r="AP65" s="11" t="n">
        <f aca="false">Units!$E64*(1+Inputs!$B$7)^(AP$2-1)</f>
        <v>1666.408675</v>
      </c>
      <c r="AQ65" s="11" t="n">
        <f aca="false">Units!$E64*(1+Inputs!$B$7)^(AQ$2-1)</f>
        <v>1666.408675</v>
      </c>
      <c r="AR65" s="11" t="n">
        <f aca="false">Units!$E64*(1+Inputs!$B$7)^(AR$2-1)</f>
        <v>1666.408675</v>
      </c>
      <c r="AS65" s="11" t="n">
        <f aca="false">Units!$E64*(1+Inputs!$B$7)^(AS$2-1)</f>
        <v>1666.408675</v>
      </c>
      <c r="AT65" s="11" t="n">
        <f aca="false">Units!$E64*(1+Inputs!$B$7)^(AT$2-1)</f>
        <v>1666.408675</v>
      </c>
      <c r="AU65" s="11" t="n">
        <f aca="false">Units!$E64*(1+Inputs!$B$7)^(AU$2-1)</f>
        <v>1666.408675</v>
      </c>
      <c r="AV65" s="11" t="n">
        <f aca="false">Units!$E64*(1+Inputs!$B$7)^(AV$2-1)</f>
        <v>1666.408675</v>
      </c>
      <c r="AW65" s="11" t="n">
        <f aca="false">Units!$E64*(1+Inputs!$B$7)^(AW$2-1)</f>
        <v>1666.408675</v>
      </c>
      <c r="AX65" s="11" t="n">
        <f aca="false">Units!$E64*(1+Inputs!$B$7)^(AX$2-1)</f>
        <v>1666.408675</v>
      </c>
      <c r="AY65" s="11" t="n">
        <f aca="false">Units!$E64*(1+Inputs!$B$7)^(AY$2-1)</f>
        <v>1716.40093525</v>
      </c>
      <c r="AZ65" s="11" t="n">
        <f aca="false">Units!$E64*(1+Inputs!$B$7)^(AZ$2-1)</f>
        <v>1716.40093525</v>
      </c>
      <c r="BA65" s="11" t="n">
        <f aca="false">Units!$E64*(1+Inputs!$B$7)^(BA$2-1)</f>
        <v>1716.40093525</v>
      </c>
      <c r="BB65" s="11" t="n">
        <f aca="false">Units!$E64*(1+Inputs!$B$7)^(BB$2-1)</f>
        <v>1716.40093525</v>
      </c>
      <c r="BC65" s="11" t="n">
        <f aca="false">Units!$E64*(1+Inputs!$B$7)^(BC$2-1)</f>
        <v>1716.40093525</v>
      </c>
      <c r="BD65" s="11" t="n">
        <f aca="false">Units!$E64*(1+Inputs!$B$7)^(BD$2-1)</f>
        <v>1716.40093525</v>
      </c>
      <c r="BE65" s="11" t="n">
        <f aca="false">Units!$E64*(1+Inputs!$B$7)^(BE$2-1)</f>
        <v>1716.40093525</v>
      </c>
      <c r="BF65" s="11" t="n">
        <f aca="false">Units!$E64*(1+Inputs!$B$7)^(BF$2-1)</f>
        <v>1716.40093525</v>
      </c>
      <c r="BG65" s="11" t="n">
        <f aca="false">Units!$E64*(1+Inputs!$B$7)^(BG$2-1)</f>
        <v>1716.40093525</v>
      </c>
      <c r="BH65" s="11" t="n">
        <f aca="false">Units!$E64*(1+Inputs!$B$7)^(BH$2-1)</f>
        <v>1716.40093525</v>
      </c>
      <c r="BI65" s="11" t="n">
        <f aca="false">Units!$E64*(1+Inputs!$B$7)^(BI$2-1)</f>
        <v>1716.40093525</v>
      </c>
      <c r="BJ65" s="11" t="n">
        <f aca="false">Units!$E64*(1+Inputs!$B$7)^(BJ$2-1)</f>
        <v>1716.40093525</v>
      </c>
      <c r="BK65" s="11" t="n">
        <f aca="false">Units!$E64*(1+Inputs!$B$7)^(BK$2-1)</f>
        <v>1767.8929633075</v>
      </c>
      <c r="BL65" s="11" t="n">
        <f aca="false">Units!$E64*(1+Inputs!$B$7)^(BL$2-1)</f>
        <v>1767.8929633075</v>
      </c>
      <c r="BM65" s="11" t="n">
        <f aca="false">Units!$E64*(1+Inputs!$B$7)^(BM$2-1)</f>
        <v>1767.8929633075</v>
      </c>
      <c r="BN65" s="11" t="n">
        <f aca="false">Units!$E64*(1+Inputs!$B$7)^(BN$2-1)</f>
        <v>1767.8929633075</v>
      </c>
      <c r="BO65" s="11" t="n">
        <f aca="false">Units!$E64*(1+Inputs!$B$7)^(BO$2-1)</f>
        <v>1767.8929633075</v>
      </c>
      <c r="BP65" s="11" t="n">
        <f aca="false">Units!$E64*(1+Inputs!$B$7)^(BP$2-1)</f>
        <v>1767.8929633075</v>
      </c>
      <c r="BQ65" s="11" t="n">
        <f aca="false">Units!$E64*(1+Inputs!$B$7)^(BQ$2-1)</f>
        <v>1767.8929633075</v>
      </c>
      <c r="BR65" s="11" t="n">
        <f aca="false">Units!$E64*(1+Inputs!$B$7)^(BR$2-1)</f>
        <v>1767.8929633075</v>
      </c>
      <c r="BS65" s="11" t="n">
        <f aca="false">Units!$E64*(1+Inputs!$B$7)^(BS$2-1)</f>
        <v>1767.8929633075</v>
      </c>
      <c r="BT65" s="11" t="n">
        <f aca="false">Units!$E64*(1+Inputs!$B$7)^(BT$2-1)</f>
        <v>1767.8929633075</v>
      </c>
      <c r="BU65" s="11" t="n">
        <f aca="false">Units!$E64*(1+Inputs!$B$7)^(BU$2-1)</f>
        <v>1767.8929633075</v>
      </c>
      <c r="BV65" s="11" t="n">
        <f aca="false">Units!$E64*(1+Inputs!$B$7)^(BV$2-1)</f>
        <v>1767.8929633075</v>
      </c>
      <c r="BW65" s="11" t="n">
        <f aca="false">Units!$E64*(1+Inputs!$B$7)^(BW$2-1)</f>
        <v>1820.92975220673</v>
      </c>
      <c r="BX65" s="11" t="n">
        <f aca="false">Units!$E64*(1+Inputs!$B$7)^(BX$2-1)</f>
        <v>1820.92975220673</v>
      </c>
      <c r="BY65" s="11" t="n">
        <f aca="false">Units!$E64*(1+Inputs!$B$7)^(BY$2-1)</f>
        <v>1820.92975220673</v>
      </c>
      <c r="BZ65" s="11" t="n">
        <f aca="false">Units!$E64*(1+Inputs!$B$7)^(BZ$2-1)</f>
        <v>1820.92975220673</v>
      </c>
      <c r="CA65" s="11" t="n">
        <f aca="false">Units!$E64*(1+Inputs!$B$7)^(CA$2-1)</f>
        <v>1820.92975220673</v>
      </c>
      <c r="CB65" s="11" t="n">
        <f aca="false">Units!$E64*(1+Inputs!$B$7)^(CB$2-1)</f>
        <v>1820.92975220673</v>
      </c>
      <c r="CC65" s="11" t="n">
        <f aca="false">Units!$E64*(1+Inputs!$B$7)^(CC$2-1)</f>
        <v>1820.92975220673</v>
      </c>
      <c r="CD65" s="11" t="n">
        <f aca="false">Units!$E64*(1+Inputs!$B$7)^(CD$2-1)</f>
        <v>1820.92975220673</v>
      </c>
      <c r="CE65" s="11" t="n">
        <f aca="false">Units!$E64*(1+Inputs!$B$7)^(CE$2-1)</f>
        <v>1820.92975220673</v>
      </c>
      <c r="CF65" s="11" t="n">
        <f aca="false">Units!$E64*(1+Inputs!$B$7)^(CF$2-1)</f>
        <v>1820.92975220673</v>
      </c>
      <c r="CG65" s="11" t="n">
        <f aca="false">Units!$E64*(1+Inputs!$B$7)^(CG$2-1)</f>
        <v>1820.92975220673</v>
      </c>
      <c r="CH65" s="11" t="n">
        <f aca="false">Units!$E64*(1+Inputs!$B$7)^(CH$2-1)</f>
        <v>1820.92975220673</v>
      </c>
      <c r="CI65" s="11" t="n">
        <f aca="false">Units!$E64*(1+Inputs!$B$7)^(CI$2-1)</f>
        <v>1875.55764477293</v>
      </c>
      <c r="CJ65" s="11" t="n">
        <f aca="false">Units!$E64*(1+Inputs!$B$7)^(CJ$2-1)</f>
        <v>1875.55764477293</v>
      </c>
      <c r="CK65" s="11" t="n">
        <f aca="false">Units!$E64*(1+Inputs!$B$7)^(CK$2-1)</f>
        <v>1875.55764477293</v>
      </c>
      <c r="CL65" s="11" t="n">
        <f aca="false">Units!$E64*(1+Inputs!$B$7)^(CL$2-1)</f>
        <v>1875.55764477293</v>
      </c>
      <c r="CM65" s="11" t="n">
        <f aca="false">Units!$E64*(1+Inputs!$B$7)^(CM$2-1)</f>
        <v>1875.55764477293</v>
      </c>
      <c r="CN65" s="11" t="n">
        <f aca="false">Units!$E64*(1+Inputs!$B$7)^(CN$2-1)</f>
        <v>1875.55764477293</v>
      </c>
      <c r="CO65" s="11" t="n">
        <f aca="false">Units!$E64*(1+Inputs!$B$7)^(CO$2-1)</f>
        <v>1875.55764477293</v>
      </c>
      <c r="CP65" s="11" t="n">
        <f aca="false">Units!$E64*(1+Inputs!$B$7)^(CP$2-1)</f>
        <v>1875.55764477293</v>
      </c>
      <c r="CQ65" s="11" t="n">
        <f aca="false">Units!$E64*(1+Inputs!$B$7)^(CQ$2-1)</f>
        <v>1875.55764477293</v>
      </c>
      <c r="CR65" s="11" t="n">
        <f aca="false">Units!$E64*(1+Inputs!$B$7)^(CR$2-1)</f>
        <v>1875.55764477293</v>
      </c>
      <c r="CS65" s="11" t="n">
        <f aca="false">Units!$E64*(1+Inputs!$B$7)^(CS$2-1)</f>
        <v>1875.55764477293</v>
      </c>
      <c r="CT65" s="11" t="n">
        <f aca="false">Units!$E64*(1+Inputs!$B$7)^(CT$2-1)</f>
        <v>1875.55764477293</v>
      </c>
      <c r="CU65" s="11" t="n">
        <f aca="false">Units!$E64*(1+Inputs!$B$7)^(CU$2-1)</f>
        <v>1931.82437411612</v>
      </c>
      <c r="CV65" s="11" t="n">
        <f aca="false">Units!$E64*(1+Inputs!$B$7)^(CV$2-1)</f>
        <v>1931.82437411612</v>
      </c>
      <c r="CW65" s="11" t="n">
        <f aca="false">Units!$E64*(1+Inputs!$B$7)^(CW$2-1)</f>
        <v>1931.82437411612</v>
      </c>
      <c r="CX65" s="11" t="n">
        <f aca="false">Units!$E64*(1+Inputs!$B$7)^(CX$2-1)</f>
        <v>1931.82437411612</v>
      </c>
      <c r="CY65" s="11" t="n">
        <f aca="false">Units!$E64*(1+Inputs!$B$7)^(CY$2-1)</f>
        <v>1931.82437411612</v>
      </c>
      <c r="CZ65" s="11" t="n">
        <f aca="false">Units!$E64*(1+Inputs!$B$7)^(CZ$2-1)</f>
        <v>1931.82437411612</v>
      </c>
      <c r="DA65" s="11" t="n">
        <f aca="false">Units!$E64*(1+Inputs!$B$7)^(DA$2-1)</f>
        <v>1931.82437411612</v>
      </c>
      <c r="DB65" s="11" t="n">
        <f aca="false">Units!$E64*(1+Inputs!$B$7)^(DB$2-1)</f>
        <v>1931.82437411612</v>
      </c>
      <c r="DC65" s="11" t="n">
        <f aca="false">Units!$E64*(1+Inputs!$B$7)^(DC$2-1)</f>
        <v>1931.82437411612</v>
      </c>
      <c r="DD65" s="11" t="n">
        <f aca="false">Units!$E64*(1+Inputs!$B$7)^(DD$2-1)</f>
        <v>1931.82437411612</v>
      </c>
      <c r="DE65" s="11" t="n">
        <f aca="false">Units!$E64*(1+Inputs!$B$7)^(DE$2-1)</f>
        <v>1931.82437411612</v>
      </c>
      <c r="DF65" s="11" t="n">
        <f aca="false">Units!$E64*(1+Inputs!$B$7)^(DF$2-1)</f>
        <v>1931.82437411612</v>
      </c>
      <c r="DG65" s="11" t="n">
        <f aca="false">Units!$E64*(1+Inputs!$B$7)^(DG$2-1)</f>
        <v>1989.7791053396</v>
      </c>
      <c r="DH65" s="11" t="n">
        <f aca="false">Units!$E64*(1+Inputs!$B$7)^(DH$2-1)</f>
        <v>1989.7791053396</v>
      </c>
      <c r="DI65" s="11" t="n">
        <f aca="false">Units!$E64*(1+Inputs!$B$7)^(DI$2-1)</f>
        <v>1989.7791053396</v>
      </c>
      <c r="DJ65" s="11" t="n">
        <f aca="false">Units!$E64*(1+Inputs!$B$7)^(DJ$2-1)</f>
        <v>1989.7791053396</v>
      </c>
      <c r="DK65" s="11" t="n">
        <f aca="false">Units!$E64*(1+Inputs!$B$7)^(DK$2-1)</f>
        <v>1989.7791053396</v>
      </c>
      <c r="DL65" s="11" t="n">
        <f aca="false">Units!$E64*(1+Inputs!$B$7)^(DL$2-1)</f>
        <v>1989.7791053396</v>
      </c>
      <c r="DM65" s="11" t="n">
        <f aca="false">Units!$E64*(1+Inputs!$B$7)^(DM$2-1)</f>
        <v>1989.7791053396</v>
      </c>
      <c r="DN65" s="11" t="n">
        <f aca="false">Units!$E64*(1+Inputs!$B$7)^(DN$2-1)</f>
        <v>1989.7791053396</v>
      </c>
      <c r="DO65" s="11" t="n">
        <f aca="false">Units!$E64*(1+Inputs!$B$7)^(DO$2-1)</f>
        <v>1989.7791053396</v>
      </c>
      <c r="DP65" s="11" t="n">
        <f aca="false">Units!$E64*(1+Inputs!$B$7)^(DP$2-1)</f>
        <v>1989.7791053396</v>
      </c>
      <c r="DQ65" s="11" t="n">
        <f aca="false">Units!$E64*(1+Inputs!$B$7)^(DQ$2-1)</f>
        <v>1989.7791053396</v>
      </c>
      <c r="DR65" s="11" t="n">
        <f aca="false">Units!$E64*(1+Inputs!$B$7)^(DR$2-1)</f>
        <v>1989.7791053396</v>
      </c>
      <c r="DS65" s="11" t="n">
        <f aca="false">Units!$E64*(1+Inputs!$B$7)^(DS$2-1)</f>
        <v>2049.47247849979</v>
      </c>
      <c r="DT65" s="11" t="n">
        <f aca="false">Units!$E64*(1+Inputs!$B$7)^(DT$2-1)</f>
        <v>2049.47247849979</v>
      </c>
      <c r="DU65" s="11" t="n">
        <f aca="false">Units!$E64*(1+Inputs!$B$7)^(DU$2-1)</f>
        <v>2049.47247849979</v>
      </c>
      <c r="DV65" s="11" t="n">
        <f aca="false">Units!$E64*(1+Inputs!$B$7)^(DV$2-1)</f>
        <v>2049.47247849979</v>
      </c>
      <c r="DW65" s="11" t="n">
        <f aca="false">Units!$E64*(1+Inputs!$B$7)^(DW$2-1)</f>
        <v>2049.47247849979</v>
      </c>
      <c r="DX65" s="11" t="n">
        <f aca="false">Units!$E64*(1+Inputs!$B$7)^(DX$2-1)</f>
        <v>2049.47247849979</v>
      </c>
      <c r="DY65" s="11" t="n">
        <f aca="false">Units!$E64*(1+Inputs!$B$7)^(DY$2-1)</f>
        <v>2049.47247849979</v>
      </c>
      <c r="DZ65" s="11" t="n">
        <f aca="false">Units!$E64*(1+Inputs!$B$7)^(DZ$2-1)</f>
        <v>2049.47247849979</v>
      </c>
      <c r="EA65" s="11" t="n">
        <f aca="false">Units!$E64*(1+Inputs!$B$7)^(EA$2-1)</f>
        <v>2049.47247849979</v>
      </c>
      <c r="EB65" s="11" t="n">
        <f aca="false">Units!$E64*(1+Inputs!$B$7)^(EB$2-1)</f>
        <v>2049.47247849979</v>
      </c>
      <c r="EC65" s="11" t="n">
        <f aca="false">Units!$E64*(1+Inputs!$B$7)^(EC$2-1)</f>
        <v>2049.47247849979</v>
      </c>
      <c r="ED65" s="11" t="n">
        <f aca="false">Units!$E64*(1+Inputs!$B$7)^(ED$2-1)</f>
        <v>2049.47247849979</v>
      </c>
    </row>
    <row r="66" customFormat="false" ht="15" hidden="false" customHeight="false" outlineLevel="0" collapsed="false">
      <c r="A66" s="22" t="n">
        <f aca="false">Units!A65</f>
        <v>304</v>
      </c>
      <c r="B66" s="23"/>
      <c r="C66" s="11" t="n">
        <f aca="false">Units!$E65*(1+Inputs!$B$7)^(C$2-1)</f>
        <v>1525</v>
      </c>
      <c r="D66" s="11" t="n">
        <f aca="false">Units!$E65*(1+Inputs!$B$7)^(D$2-1)</f>
        <v>1525</v>
      </c>
      <c r="E66" s="11" t="n">
        <f aca="false">Units!$E65*(1+Inputs!$B$7)^(E$2-1)</f>
        <v>1525</v>
      </c>
      <c r="F66" s="11" t="n">
        <f aca="false">Units!$E65*(1+Inputs!$B$7)^(F$2-1)</f>
        <v>1525</v>
      </c>
      <c r="G66" s="11" t="n">
        <f aca="false">Units!$E65*(1+Inputs!$B$7)^(G$2-1)</f>
        <v>1525</v>
      </c>
      <c r="H66" s="11" t="n">
        <f aca="false">Units!$E65*(1+Inputs!$B$7)^(H$2-1)</f>
        <v>1525</v>
      </c>
      <c r="I66" s="11" t="n">
        <f aca="false">Units!$E65*(1+Inputs!$B$7)^(I$2-1)</f>
        <v>1525</v>
      </c>
      <c r="J66" s="11" t="n">
        <f aca="false">Units!$E65*(1+Inputs!$B$7)^(J$2-1)</f>
        <v>1525</v>
      </c>
      <c r="K66" s="11" t="n">
        <f aca="false">Units!$E65*(1+Inputs!$B$7)^(K$2-1)</f>
        <v>1525</v>
      </c>
      <c r="L66" s="11" t="n">
        <f aca="false">Units!$E65*(1+Inputs!$B$7)^(L$2-1)</f>
        <v>1525</v>
      </c>
      <c r="M66" s="11" t="n">
        <f aca="false">Units!$E65*(1+Inputs!$B$7)^(M$2-1)</f>
        <v>1525</v>
      </c>
      <c r="N66" s="11" t="n">
        <f aca="false">Units!$E65*(1+Inputs!$B$7)^(N$2-1)</f>
        <v>1525</v>
      </c>
      <c r="O66" s="11" t="n">
        <f aca="false">Units!$E65*(1+Inputs!$B$7)^(O$2-1)</f>
        <v>1570.75</v>
      </c>
      <c r="P66" s="11" t="n">
        <f aca="false">Units!$E65*(1+Inputs!$B$7)^(P$2-1)</f>
        <v>1570.75</v>
      </c>
      <c r="Q66" s="11" t="n">
        <f aca="false">Units!$E65*(1+Inputs!$B$7)^(Q$2-1)</f>
        <v>1570.75</v>
      </c>
      <c r="R66" s="11" t="n">
        <f aca="false">Units!$E65*(1+Inputs!$B$7)^(R$2-1)</f>
        <v>1570.75</v>
      </c>
      <c r="S66" s="11" t="n">
        <f aca="false">Units!$E65*(1+Inputs!$B$7)^(S$2-1)</f>
        <v>1570.75</v>
      </c>
      <c r="T66" s="11" t="n">
        <f aca="false">Units!$E65*(1+Inputs!$B$7)^(T$2-1)</f>
        <v>1570.75</v>
      </c>
      <c r="U66" s="11" t="n">
        <f aca="false">Units!$E65*(1+Inputs!$B$7)^(U$2-1)</f>
        <v>1570.75</v>
      </c>
      <c r="V66" s="11" t="n">
        <f aca="false">Units!$E65*(1+Inputs!$B$7)^(V$2-1)</f>
        <v>1570.75</v>
      </c>
      <c r="W66" s="11" t="n">
        <f aca="false">Units!$E65*(1+Inputs!$B$7)^(W$2-1)</f>
        <v>1570.75</v>
      </c>
      <c r="X66" s="11" t="n">
        <f aca="false">Units!$E65*(1+Inputs!$B$7)^(X$2-1)</f>
        <v>1570.75</v>
      </c>
      <c r="Y66" s="11" t="n">
        <f aca="false">Units!$E65*(1+Inputs!$B$7)^(Y$2-1)</f>
        <v>1570.75</v>
      </c>
      <c r="Z66" s="11" t="n">
        <f aca="false">Units!$E65*(1+Inputs!$B$7)^(Z$2-1)</f>
        <v>1570.75</v>
      </c>
      <c r="AA66" s="11" t="n">
        <f aca="false">Units!$E65*(1+Inputs!$B$7)^(AA$2-1)</f>
        <v>1617.8725</v>
      </c>
      <c r="AB66" s="11" t="n">
        <f aca="false">Units!$E65*(1+Inputs!$B$7)^(AB$2-1)</f>
        <v>1617.8725</v>
      </c>
      <c r="AC66" s="11" t="n">
        <f aca="false">Units!$E65*(1+Inputs!$B$7)^(AC$2-1)</f>
        <v>1617.8725</v>
      </c>
      <c r="AD66" s="11" t="n">
        <f aca="false">Units!$E65*(1+Inputs!$B$7)^(AD$2-1)</f>
        <v>1617.8725</v>
      </c>
      <c r="AE66" s="11" t="n">
        <f aca="false">Units!$E65*(1+Inputs!$B$7)^(AE$2-1)</f>
        <v>1617.8725</v>
      </c>
      <c r="AF66" s="11" t="n">
        <f aca="false">Units!$E65*(1+Inputs!$B$7)^(AF$2-1)</f>
        <v>1617.8725</v>
      </c>
      <c r="AG66" s="11" t="n">
        <f aca="false">Units!$E65*(1+Inputs!$B$7)^(AG$2-1)</f>
        <v>1617.8725</v>
      </c>
      <c r="AH66" s="11" t="n">
        <f aca="false">Units!$E65*(1+Inputs!$B$7)^(AH$2-1)</f>
        <v>1617.8725</v>
      </c>
      <c r="AI66" s="11" t="n">
        <f aca="false">Units!$E65*(1+Inputs!$B$7)^(AI$2-1)</f>
        <v>1617.8725</v>
      </c>
      <c r="AJ66" s="11" t="n">
        <f aca="false">Units!$E65*(1+Inputs!$B$7)^(AJ$2-1)</f>
        <v>1617.8725</v>
      </c>
      <c r="AK66" s="11" t="n">
        <f aca="false">Units!$E65*(1+Inputs!$B$7)^(AK$2-1)</f>
        <v>1617.8725</v>
      </c>
      <c r="AL66" s="11" t="n">
        <f aca="false">Units!$E65*(1+Inputs!$B$7)^(AL$2-1)</f>
        <v>1617.8725</v>
      </c>
      <c r="AM66" s="11" t="n">
        <f aca="false">Units!$E65*(1+Inputs!$B$7)^(AM$2-1)</f>
        <v>1666.408675</v>
      </c>
      <c r="AN66" s="11" t="n">
        <f aca="false">Units!$E65*(1+Inputs!$B$7)^(AN$2-1)</f>
        <v>1666.408675</v>
      </c>
      <c r="AO66" s="11" t="n">
        <f aca="false">Units!$E65*(1+Inputs!$B$7)^(AO$2-1)</f>
        <v>1666.408675</v>
      </c>
      <c r="AP66" s="11" t="n">
        <f aca="false">Units!$E65*(1+Inputs!$B$7)^(AP$2-1)</f>
        <v>1666.408675</v>
      </c>
      <c r="AQ66" s="11" t="n">
        <f aca="false">Units!$E65*(1+Inputs!$B$7)^(AQ$2-1)</f>
        <v>1666.408675</v>
      </c>
      <c r="AR66" s="11" t="n">
        <f aca="false">Units!$E65*(1+Inputs!$B$7)^(AR$2-1)</f>
        <v>1666.408675</v>
      </c>
      <c r="AS66" s="11" t="n">
        <f aca="false">Units!$E65*(1+Inputs!$B$7)^(AS$2-1)</f>
        <v>1666.408675</v>
      </c>
      <c r="AT66" s="11" t="n">
        <f aca="false">Units!$E65*(1+Inputs!$B$7)^(AT$2-1)</f>
        <v>1666.408675</v>
      </c>
      <c r="AU66" s="11" t="n">
        <f aca="false">Units!$E65*(1+Inputs!$B$7)^(AU$2-1)</f>
        <v>1666.408675</v>
      </c>
      <c r="AV66" s="11" t="n">
        <f aca="false">Units!$E65*(1+Inputs!$B$7)^(AV$2-1)</f>
        <v>1666.408675</v>
      </c>
      <c r="AW66" s="11" t="n">
        <f aca="false">Units!$E65*(1+Inputs!$B$7)^(AW$2-1)</f>
        <v>1666.408675</v>
      </c>
      <c r="AX66" s="11" t="n">
        <f aca="false">Units!$E65*(1+Inputs!$B$7)^(AX$2-1)</f>
        <v>1666.408675</v>
      </c>
      <c r="AY66" s="11" t="n">
        <f aca="false">Units!$E65*(1+Inputs!$B$7)^(AY$2-1)</f>
        <v>1716.40093525</v>
      </c>
      <c r="AZ66" s="11" t="n">
        <f aca="false">Units!$E65*(1+Inputs!$B$7)^(AZ$2-1)</f>
        <v>1716.40093525</v>
      </c>
      <c r="BA66" s="11" t="n">
        <f aca="false">Units!$E65*(1+Inputs!$B$7)^(BA$2-1)</f>
        <v>1716.40093525</v>
      </c>
      <c r="BB66" s="11" t="n">
        <f aca="false">Units!$E65*(1+Inputs!$B$7)^(BB$2-1)</f>
        <v>1716.40093525</v>
      </c>
      <c r="BC66" s="11" t="n">
        <f aca="false">Units!$E65*(1+Inputs!$B$7)^(BC$2-1)</f>
        <v>1716.40093525</v>
      </c>
      <c r="BD66" s="11" t="n">
        <f aca="false">Units!$E65*(1+Inputs!$B$7)^(BD$2-1)</f>
        <v>1716.40093525</v>
      </c>
      <c r="BE66" s="11" t="n">
        <f aca="false">Units!$E65*(1+Inputs!$B$7)^(BE$2-1)</f>
        <v>1716.40093525</v>
      </c>
      <c r="BF66" s="11" t="n">
        <f aca="false">Units!$E65*(1+Inputs!$B$7)^(BF$2-1)</f>
        <v>1716.40093525</v>
      </c>
      <c r="BG66" s="11" t="n">
        <f aca="false">Units!$E65*(1+Inputs!$B$7)^(BG$2-1)</f>
        <v>1716.40093525</v>
      </c>
      <c r="BH66" s="11" t="n">
        <f aca="false">Units!$E65*(1+Inputs!$B$7)^(BH$2-1)</f>
        <v>1716.40093525</v>
      </c>
      <c r="BI66" s="11" t="n">
        <f aca="false">Units!$E65*(1+Inputs!$B$7)^(BI$2-1)</f>
        <v>1716.40093525</v>
      </c>
      <c r="BJ66" s="11" t="n">
        <f aca="false">Units!$E65*(1+Inputs!$B$7)^(BJ$2-1)</f>
        <v>1716.40093525</v>
      </c>
      <c r="BK66" s="11" t="n">
        <f aca="false">Units!$E65*(1+Inputs!$B$7)^(BK$2-1)</f>
        <v>1767.8929633075</v>
      </c>
      <c r="BL66" s="11" t="n">
        <f aca="false">Units!$E65*(1+Inputs!$B$7)^(BL$2-1)</f>
        <v>1767.8929633075</v>
      </c>
      <c r="BM66" s="11" t="n">
        <f aca="false">Units!$E65*(1+Inputs!$B$7)^(BM$2-1)</f>
        <v>1767.8929633075</v>
      </c>
      <c r="BN66" s="11" t="n">
        <f aca="false">Units!$E65*(1+Inputs!$B$7)^(BN$2-1)</f>
        <v>1767.8929633075</v>
      </c>
      <c r="BO66" s="11" t="n">
        <f aca="false">Units!$E65*(1+Inputs!$B$7)^(BO$2-1)</f>
        <v>1767.8929633075</v>
      </c>
      <c r="BP66" s="11" t="n">
        <f aca="false">Units!$E65*(1+Inputs!$B$7)^(BP$2-1)</f>
        <v>1767.8929633075</v>
      </c>
      <c r="BQ66" s="11" t="n">
        <f aca="false">Units!$E65*(1+Inputs!$B$7)^(BQ$2-1)</f>
        <v>1767.8929633075</v>
      </c>
      <c r="BR66" s="11" t="n">
        <f aca="false">Units!$E65*(1+Inputs!$B$7)^(BR$2-1)</f>
        <v>1767.8929633075</v>
      </c>
      <c r="BS66" s="11" t="n">
        <f aca="false">Units!$E65*(1+Inputs!$B$7)^(BS$2-1)</f>
        <v>1767.8929633075</v>
      </c>
      <c r="BT66" s="11" t="n">
        <f aca="false">Units!$E65*(1+Inputs!$B$7)^(BT$2-1)</f>
        <v>1767.8929633075</v>
      </c>
      <c r="BU66" s="11" t="n">
        <f aca="false">Units!$E65*(1+Inputs!$B$7)^(BU$2-1)</f>
        <v>1767.8929633075</v>
      </c>
      <c r="BV66" s="11" t="n">
        <f aca="false">Units!$E65*(1+Inputs!$B$7)^(BV$2-1)</f>
        <v>1767.8929633075</v>
      </c>
      <c r="BW66" s="11" t="n">
        <f aca="false">Units!$E65*(1+Inputs!$B$7)^(BW$2-1)</f>
        <v>1820.92975220673</v>
      </c>
      <c r="BX66" s="11" t="n">
        <f aca="false">Units!$E65*(1+Inputs!$B$7)^(BX$2-1)</f>
        <v>1820.92975220673</v>
      </c>
      <c r="BY66" s="11" t="n">
        <f aca="false">Units!$E65*(1+Inputs!$B$7)^(BY$2-1)</f>
        <v>1820.92975220673</v>
      </c>
      <c r="BZ66" s="11" t="n">
        <f aca="false">Units!$E65*(1+Inputs!$B$7)^(BZ$2-1)</f>
        <v>1820.92975220673</v>
      </c>
      <c r="CA66" s="11" t="n">
        <f aca="false">Units!$E65*(1+Inputs!$B$7)^(CA$2-1)</f>
        <v>1820.92975220673</v>
      </c>
      <c r="CB66" s="11" t="n">
        <f aca="false">Units!$E65*(1+Inputs!$B$7)^(CB$2-1)</f>
        <v>1820.92975220673</v>
      </c>
      <c r="CC66" s="11" t="n">
        <f aca="false">Units!$E65*(1+Inputs!$B$7)^(CC$2-1)</f>
        <v>1820.92975220673</v>
      </c>
      <c r="CD66" s="11" t="n">
        <f aca="false">Units!$E65*(1+Inputs!$B$7)^(CD$2-1)</f>
        <v>1820.92975220673</v>
      </c>
      <c r="CE66" s="11" t="n">
        <f aca="false">Units!$E65*(1+Inputs!$B$7)^(CE$2-1)</f>
        <v>1820.92975220673</v>
      </c>
      <c r="CF66" s="11" t="n">
        <f aca="false">Units!$E65*(1+Inputs!$B$7)^(CF$2-1)</f>
        <v>1820.92975220673</v>
      </c>
      <c r="CG66" s="11" t="n">
        <f aca="false">Units!$E65*(1+Inputs!$B$7)^(CG$2-1)</f>
        <v>1820.92975220673</v>
      </c>
      <c r="CH66" s="11" t="n">
        <f aca="false">Units!$E65*(1+Inputs!$B$7)^(CH$2-1)</f>
        <v>1820.92975220673</v>
      </c>
      <c r="CI66" s="11" t="n">
        <f aca="false">Units!$E65*(1+Inputs!$B$7)^(CI$2-1)</f>
        <v>1875.55764477293</v>
      </c>
      <c r="CJ66" s="11" t="n">
        <f aca="false">Units!$E65*(1+Inputs!$B$7)^(CJ$2-1)</f>
        <v>1875.55764477293</v>
      </c>
      <c r="CK66" s="11" t="n">
        <f aca="false">Units!$E65*(1+Inputs!$B$7)^(CK$2-1)</f>
        <v>1875.55764477293</v>
      </c>
      <c r="CL66" s="11" t="n">
        <f aca="false">Units!$E65*(1+Inputs!$B$7)^(CL$2-1)</f>
        <v>1875.55764477293</v>
      </c>
      <c r="CM66" s="11" t="n">
        <f aca="false">Units!$E65*(1+Inputs!$B$7)^(CM$2-1)</f>
        <v>1875.55764477293</v>
      </c>
      <c r="CN66" s="11" t="n">
        <f aca="false">Units!$E65*(1+Inputs!$B$7)^(CN$2-1)</f>
        <v>1875.55764477293</v>
      </c>
      <c r="CO66" s="11" t="n">
        <f aca="false">Units!$E65*(1+Inputs!$B$7)^(CO$2-1)</f>
        <v>1875.55764477293</v>
      </c>
      <c r="CP66" s="11" t="n">
        <f aca="false">Units!$E65*(1+Inputs!$B$7)^(CP$2-1)</f>
        <v>1875.55764477293</v>
      </c>
      <c r="CQ66" s="11" t="n">
        <f aca="false">Units!$E65*(1+Inputs!$B$7)^(CQ$2-1)</f>
        <v>1875.55764477293</v>
      </c>
      <c r="CR66" s="11" t="n">
        <f aca="false">Units!$E65*(1+Inputs!$B$7)^(CR$2-1)</f>
        <v>1875.55764477293</v>
      </c>
      <c r="CS66" s="11" t="n">
        <f aca="false">Units!$E65*(1+Inputs!$B$7)^(CS$2-1)</f>
        <v>1875.55764477293</v>
      </c>
      <c r="CT66" s="11" t="n">
        <f aca="false">Units!$E65*(1+Inputs!$B$7)^(CT$2-1)</f>
        <v>1875.55764477293</v>
      </c>
      <c r="CU66" s="11" t="n">
        <f aca="false">Units!$E65*(1+Inputs!$B$7)^(CU$2-1)</f>
        <v>1931.82437411612</v>
      </c>
      <c r="CV66" s="11" t="n">
        <f aca="false">Units!$E65*(1+Inputs!$B$7)^(CV$2-1)</f>
        <v>1931.82437411612</v>
      </c>
      <c r="CW66" s="11" t="n">
        <f aca="false">Units!$E65*(1+Inputs!$B$7)^(CW$2-1)</f>
        <v>1931.82437411612</v>
      </c>
      <c r="CX66" s="11" t="n">
        <f aca="false">Units!$E65*(1+Inputs!$B$7)^(CX$2-1)</f>
        <v>1931.82437411612</v>
      </c>
      <c r="CY66" s="11" t="n">
        <f aca="false">Units!$E65*(1+Inputs!$B$7)^(CY$2-1)</f>
        <v>1931.82437411612</v>
      </c>
      <c r="CZ66" s="11" t="n">
        <f aca="false">Units!$E65*(1+Inputs!$B$7)^(CZ$2-1)</f>
        <v>1931.82437411612</v>
      </c>
      <c r="DA66" s="11" t="n">
        <f aca="false">Units!$E65*(1+Inputs!$B$7)^(DA$2-1)</f>
        <v>1931.82437411612</v>
      </c>
      <c r="DB66" s="11" t="n">
        <f aca="false">Units!$E65*(1+Inputs!$B$7)^(DB$2-1)</f>
        <v>1931.82437411612</v>
      </c>
      <c r="DC66" s="11" t="n">
        <f aca="false">Units!$E65*(1+Inputs!$B$7)^(DC$2-1)</f>
        <v>1931.82437411612</v>
      </c>
      <c r="DD66" s="11" t="n">
        <f aca="false">Units!$E65*(1+Inputs!$B$7)^(DD$2-1)</f>
        <v>1931.82437411612</v>
      </c>
      <c r="DE66" s="11" t="n">
        <f aca="false">Units!$E65*(1+Inputs!$B$7)^(DE$2-1)</f>
        <v>1931.82437411612</v>
      </c>
      <c r="DF66" s="11" t="n">
        <f aca="false">Units!$E65*(1+Inputs!$B$7)^(DF$2-1)</f>
        <v>1931.82437411612</v>
      </c>
      <c r="DG66" s="11" t="n">
        <f aca="false">Units!$E65*(1+Inputs!$B$7)^(DG$2-1)</f>
        <v>1989.7791053396</v>
      </c>
      <c r="DH66" s="11" t="n">
        <f aca="false">Units!$E65*(1+Inputs!$B$7)^(DH$2-1)</f>
        <v>1989.7791053396</v>
      </c>
      <c r="DI66" s="11" t="n">
        <f aca="false">Units!$E65*(1+Inputs!$B$7)^(DI$2-1)</f>
        <v>1989.7791053396</v>
      </c>
      <c r="DJ66" s="11" t="n">
        <f aca="false">Units!$E65*(1+Inputs!$B$7)^(DJ$2-1)</f>
        <v>1989.7791053396</v>
      </c>
      <c r="DK66" s="11" t="n">
        <f aca="false">Units!$E65*(1+Inputs!$B$7)^(DK$2-1)</f>
        <v>1989.7791053396</v>
      </c>
      <c r="DL66" s="11" t="n">
        <f aca="false">Units!$E65*(1+Inputs!$B$7)^(DL$2-1)</f>
        <v>1989.7791053396</v>
      </c>
      <c r="DM66" s="11" t="n">
        <f aca="false">Units!$E65*(1+Inputs!$B$7)^(DM$2-1)</f>
        <v>1989.7791053396</v>
      </c>
      <c r="DN66" s="11" t="n">
        <f aca="false">Units!$E65*(1+Inputs!$B$7)^(DN$2-1)</f>
        <v>1989.7791053396</v>
      </c>
      <c r="DO66" s="11" t="n">
        <f aca="false">Units!$E65*(1+Inputs!$B$7)^(DO$2-1)</f>
        <v>1989.7791053396</v>
      </c>
      <c r="DP66" s="11" t="n">
        <f aca="false">Units!$E65*(1+Inputs!$B$7)^(DP$2-1)</f>
        <v>1989.7791053396</v>
      </c>
      <c r="DQ66" s="11" t="n">
        <f aca="false">Units!$E65*(1+Inputs!$B$7)^(DQ$2-1)</f>
        <v>1989.7791053396</v>
      </c>
      <c r="DR66" s="11" t="n">
        <f aca="false">Units!$E65*(1+Inputs!$B$7)^(DR$2-1)</f>
        <v>1989.7791053396</v>
      </c>
      <c r="DS66" s="11" t="n">
        <f aca="false">Units!$E65*(1+Inputs!$B$7)^(DS$2-1)</f>
        <v>2049.47247849979</v>
      </c>
      <c r="DT66" s="11" t="n">
        <f aca="false">Units!$E65*(1+Inputs!$B$7)^(DT$2-1)</f>
        <v>2049.47247849979</v>
      </c>
      <c r="DU66" s="11" t="n">
        <f aca="false">Units!$E65*(1+Inputs!$B$7)^(DU$2-1)</f>
        <v>2049.47247849979</v>
      </c>
      <c r="DV66" s="11" t="n">
        <f aca="false">Units!$E65*(1+Inputs!$B$7)^(DV$2-1)</f>
        <v>2049.47247849979</v>
      </c>
      <c r="DW66" s="11" t="n">
        <f aca="false">Units!$E65*(1+Inputs!$B$7)^(DW$2-1)</f>
        <v>2049.47247849979</v>
      </c>
      <c r="DX66" s="11" t="n">
        <f aca="false">Units!$E65*(1+Inputs!$B$7)^(DX$2-1)</f>
        <v>2049.47247849979</v>
      </c>
      <c r="DY66" s="11" t="n">
        <f aca="false">Units!$E65*(1+Inputs!$B$7)^(DY$2-1)</f>
        <v>2049.47247849979</v>
      </c>
      <c r="DZ66" s="11" t="n">
        <f aca="false">Units!$E65*(1+Inputs!$B$7)^(DZ$2-1)</f>
        <v>2049.47247849979</v>
      </c>
      <c r="EA66" s="11" t="n">
        <f aca="false">Units!$E65*(1+Inputs!$B$7)^(EA$2-1)</f>
        <v>2049.47247849979</v>
      </c>
      <c r="EB66" s="11" t="n">
        <f aca="false">Units!$E65*(1+Inputs!$B$7)^(EB$2-1)</f>
        <v>2049.47247849979</v>
      </c>
      <c r="EC66" s="11" t="n">
        <f aca="false">Units!$E65*(1+Inputs!$B$7)^(EC$2-1)</f>
        <v>2049.47247849979</v>
      </c>
      <c r="ED66" s="11" t="n">
        <f aca="false">Units!$E65*(1+Inputs!$B$7)^(ED$2-1)</f>
        <v>2049.47247849979</v>
      </c>
    </row>
    <row r="67" customFormat="false" ht="15" hidden="false" customHeight="false" outlineLevel="0" collapsed="false">
      <c r="A67" s="22" t="n">
        <f aca="false">Units!A66</f>
        <v>305</v>
      </c>
      <c r="B67" s="23"/>
      <c r="C67" s="11" t="n">
        <f aca="false">Units!$E66*(1+Inputs!$B$7)^(C$2-1)</f>
        <v>1525</v>
      </c>
      <c r="D67" s="11" t="n">
        <f aca="false">Units!$E66*(1+Inputs!$B$7)^(D$2-1)</f>
        <v>1525</v>
      </c>
      <c r="E67" s="11" t="n">
        <f aca="false">Units!$E66*(1+Inputs!$B$7)^(E$2-1)</f>
        <v>1525</v>
      </c>
      <c r="F67" s="11" t="n">
        <f aca="false">Units!$E66*(1+Inputs!$B$7)^(F$2-1)</f>
        <v>1525</v>
      </c>
      <c r="G67" s="11" t="n">
        <f aca="false">Units!$E66*(1+Inputs!$B$7)^(G$2-1)</f>
        <v>1525</v>
      </c>
      <c r="H67" s="11" t="n">
        <f aca="false">Units!$E66*(1+Inputs!$B$7)^(H$2-1)</f>
        <v>1525</v>
      </c>
      <c r="I67" s="11" t="n">
        <f aca="false">Units!$E66*(1+Inputs!$B$7)^(I$2-1)</f>
        <v>1525</v>
      </c>
      <c r="J67" s="11" t="n">
        <f aca="false">Units!$E66*(1+Inputs!$B$7)^(J$2-1)</f>
        <v>1525</v>
      </c>
      <c r="K67" s="11" t="n">
        <f aca="false">Units!$E66*(1+Inputs!$B$7)^(K$2-1)</f>
        <v>1525</v>
      </c>
      <c r="L67" s="11" t="n">
        <f aca="false">Units!$E66*(1+Inputs!$B$7)^(L$2-1)</f>
        <v>1525</v>
      </c>
      <c r="M67" s="11" t="n">
        <f aca="false">Units!$E66*(1+Inputs!$B$7)^(M$2-1)</f>
        <v>1525</v>
      </c>
      <c r="N67" s="11" t="n">
        <f aca="false">Units!$E66*(1+Inputs!$B$7)^(N$2-1)</f>
        <v>1525</v>
      </c>
      <c r="O67" s="11" t="n">
        <f aca="false">Units!$E66*(1+Inputs!$B$7)^(O$2-1)</f>
        <v>1570.75</v>
      </c>
      <c r="P67" s="11" t="n">
        <f aca="false">Units!$E66*(1+Inputs!$B$7)^(P$2-1)</f>
        <v>1570.75</v>
      </c>
      <c r="Q67" s="11" t="n">
        <f aca="false">Units!$E66*(1+Inputs!$B$7)^(Q$2-1)</f>
        <v>1570.75</v>
      </c>
      <c r="R67" s="11" t="n">
        <f aca="false">Units!$E66*(1+Inputs!$B$7)^(R$2-1)</f>
        <v>1570.75</v>
      </c>
      <c r="S67" s="11" t="n">
        <f aca="false">Units!$E66*(1+Inputs!$B$7)^(S$2-1)</f>
        <v>1570.75</v>
      </c>
      <c r="T67" s="11" t="n">
        <f aca="false">Units!$E66*(1+Inputs!$B$7)^(T$2-1)</f>
        <v>1570.75</v>
      </c>
      <c r="U67" s="11" t="n">
        <f aca="false">Units!$E66*(1+Inputs!$B$7)^(U$2-1)</f>
        <v>1570.75</v>
      </c>
      <c r="V67" s="11" t="n">
        <f aca="false">Units!$E66*(1+Inputs!$B$7)^(V$2-1)</f>
        <v>1570.75</v>
      </c>
      <c r="W67" s="11" t="n">
        <f aca="false">Units!$E66*(1+Inputs!$B$7)^(W$2-1)</f>
        <v>1570.75</v>
      </c>
      <c r="X67" s="11" t="n">
        <f aca="false">Units!$E66*(1+Inputs!$B$7)^(X$2-1)</f>
        <v>1570.75</v>
      </c>
      <c r="Y67" s="11" t="n">
        <f aca="false">Units!$E66*(1+Inputs!$B$7)^(Y$2-1)</f>
        <v>1570.75</v>
      </c>
      <c r="Z67" s="11" t="n">
        <f aca="false">Units!$E66*(1+Inputs!$B$7)^(Z$2-1)</f>
        <v>1570.75</v>
      </c>
      <c r="AA67" s="11" t="n">
        <f aca="false">Units!$E66*(1+Inputs!$B$7)^(AA$2-1)</f>
        <v>1617.8725</v>
      </c>
      <c r="AB67" s="11" t="n">
        <f aca="false">Units!$E66*(1+Inputs!$B$7)^(AB$2-1)</f>
        <v>1617.8725</v>
      </c>
      <c r="AC67" s="11" t="n">
        <f aca="false">Units!$E66*(1+Inputs!$B$7)^(AC$2-1)</f>
        <v>1617.8725</v>
      </c>
      <c r="AD67" s="11" t="n">
        <f aca="false">Units!$E66*(1+Inputs!$B$7)^(AD$2-1)</f>
        <v>1617.8725</v>
      </c>
      <c r="AE67" s="11" t="n">
        <f aca="false">Units!$E66*(1+Inputs!$B$7)^(AE$2-1)</f>
        <v>1617.8725</v>
      </c>
      <c r="AF67" s="11" t="n">
        <f aca="false">Units!$E66*(1+Inputs!$B$7)^(AF$2-1)</f>
        <v>1617.8725</v>
      </c>
      <c r="AG67" s="11" t="n">
        <f aca="false">Units!$E66*(1+Inputs!$B$7)^(AG$2-1)</f>
        <v>1617.8725</v>
      </c>
      <c r="AH67" s="11" t="n">
        <f aca="false">Units!$E66*(1+Inputs!$B$7)^(AH$2-1)</f>
        <v>1617.8725</v>
      </c>
      <c r="AI67" s="11" t="n">
        <f aca="false">Units!$E66*(1+Inputs!$B$7)^(AI$2-1)</f>
        <v>1617.8725</v>
      </c>
      <c r="AJ67" s="11" t="n">
        <f aca="false">Units!$E66*(1+Inputs!$B$7)^(AJ$2-1)</f>
        <v>1617.8725</v>
      </c>
      <c r="AK67" s="11" t="n">
        <f aca="false">Units!$E66*(1+Inputs!$B$7)^(AK$2-1)</f>
        <v>1617.8725</v>
      </c>
      <c r="AL67" s="11" t="n">
        <f aca="false">Units!$E66*(1+Inputs!$B$7)^(AL$2-1)</f>
        <v>1617.8725</v>
      </c>
      <c r="AM67" s="11" t="n">
        <f aca="false">Units!$E66*(1+Inputs!$B$7)^(AM$2-1)</f>
        <v>1666.408675</v>
      </c>
      <c r="AN67" s="11" t="n">
        <f aca="false">Units!$E66*(1+Inputs!$B$7)^(AN$2-1)</f>
        <v>1666.408675</v>
      </c>
      <c r="AO67" s="11" t="n">
        <f aca="false">Units!$E66*(1+Inputs!$B$7)^(AO$2-1)</f>
        <v>1666.408675</v>
      </c>
      <c r="AP67" s="11" t="n">
        <f aca="false">Units!$E66*(1+Inputs!$B$7)^(AP$2-1)</f>
        <v>1666.408675</v>
      </c>
      <c r="AQ67" s="11" t="n">
        <f aca="false">Units!$E66*(1+Inputs!$B$7)^(AQ$2-1)</f>
        <v>1666.408675</v>
      </c>
      <c r="AR67" s="11" t="n">
        <f aca="false">Units!$E66*(1+Inputs!$B$7)^(AR$2-1)</f>
        <v>1666.408675</v>
      </c>
      <c r="AS67" s="11" t="n">
        <f aca="false">Units!$E66*(1+Inputs!$B$7)^(AS$2-1)</f>
        <v>1666.408675</v>
      </c>
      <c r="AT67" s="11" t="n">
        <f aca="false">Units!$E66*(1+Inputs!$B$7)^(AT$2-1)</f>
        <v>1666.408675</v>
      </c>
      <c r="AU67" s="11" t="n">
        <f aca="false">Units!$E66*(1+Inputs!$B$7)^(AU$2-1)</f>
        <v>1666.408675</v>
      </c>
      <c r="AV67" s="11" t="n">
        <f aca="false">Units!$E66*(1+Inputs!$B$7)^(AV$2-1)</f>
        <v>1666.408675</v>
      </c>
      <c r="AW67" s="11" t="n">
        <f aca="false">Units!$E66*(1+Inputs!$B$7)^(AW$2-1)</f>
        <v>1666.408675</v>
      </c>
      <c r="AX67" s="11" t="n">
        <f aca="false">Units!$E66*(1+Inputs!$B$7)^(AX$2-1)</f>
        <v>1666.408675</v>
      </c>
      <c r="AY67" s="11" t="n">
        <f aca="false">Units!$E66*(1+Inputs!$B$7)^(AY$2-1)</f>
        <v>1716.40093525</v>
      </c>
      <c r="AZ67" s="11" t="n">
        <f aca="false">Units!$E66*(1+Inputs!$B$7)^(AZ$2-1)</f>
        <v>1716.40093525</v>
      </c>
      <c r="BA67" s="11" t="n">
        <f aca="false">Units!$E66*(1+Inputs!$B$7)^(BA$2-1)</f>
        <v>1716.40093525</v>
      </c>
      <c r="BB67" s="11" t="n">
        <f aca="false">Units!$E66*(1+Inputs!$B$7)^(BB$2-1)</f>
        <v>1716.40093525</v>
      </c>
      <c r="BC67" s="11" t="n">
        <f aca="false">Units!$E66*(1+Inputs!$B$7)^(BC$2-1)</f>
        <v>1716.40093525</v>
      </c>
      <c r="BD67" s="11" t="n">
        <f aca="false">Units!$E66*(1+Inputs!$B$7)^(BD$2-1)</f>
        <v>1716.40093525</v>
      </c>
      <c r="BE67" s="11" t="n">
        <f aca="false">Units!$E66*(1+Inputs!$B$7)^(BE$2-1)</f>
        <v>1716.40093525</v>
      </c>
      <c r="BF67" s="11" t="n">
        <f aca="false">Units!$E66*(1+Inputs!$B$7)^(BF$2-1)</f>
        <v>1716.40093525</v>
      </c>
      <c r="BG67" s="11" t="n">
        <f aca="false">Units!$E66*(1+Inputs!$B$7)^(BG$2-1)</f>
        <v>1716.40093525</v>
      </c>
      <c r="BH67" s="11" t="n">
        <f aca="false">Units!$E66*(1+Inputs!$B$7)^(BH$2-1)</f>
        <v>1716.40093525</v>
      </c>
      <c r="BI67" s="11" t="n">
        <f aca="false">Units!$E66*(1+Inputs!$B$7)^(BI$2-1)</f>
        <v>1716.40093525</v>
      </c>
      <c r="BJ67" s="11" t="n">
        <f aca="false">Units!$E66*(1+Inputs!$B$7)^(BJ$2-1)</f>
        <v>1716.40093525</v>
      </c>
      <c r="BK67" s="11" t="n">
        <f aca="false">Units!$E66*(1+Inputs!$B$7)^(BK$2-1)</f>
        <v>1767.8929633075</v>
      </c>
      <c r="BL67" s="11" t="n">
        <f aca="false">Units!$E66*(1+Inputs!$B$7)^(BL$2-1)</f>
        <v>1767.8929633075</v>
      </c>
      <c r="BM67" s="11" t="n">
        <f aca="false">Units!$E66*(1+Inputs!$B$7)^(BM$2-1)</f>
        <v>1767.8929633075</v>
      </c>
      <c r="BN67" s="11" t="n">
        <f aca="false">Units!$E66*(1+Inputs!$B$7)^(BN$2-1)</f>
        <v>1767.8929633075</v>
      </c>
      <c r="BO67" s="11" t="n">
        <f aca="false">Units!$E66*(1+Inputs!$B$7)^(BO$2-1)</f>
        <v>1767.8929633075</v>
      </c>
      <c r="BP67" s="11" t="n">
        <f aca="false">Units!$E66*(1+Inputs!$B$7)^(BP$2-1)</f>
        <v>1767.8929633075</v>
      </c>
      <c r="BQ67" s="11" t="n">
        <f aca="false">Units!$E66*(1+Inputs!$B$7)^(BQ$2-1)</f>
        <v>1767.8929633075</v>
      </c>
      <c r="BR67" s="11" t="n">
        <f aca="false">Units!$E66*(1+Inputs!$B$7)^(BR$2-1)</f>
        <v>1767.8929633075</v>
      </c>
      <c r="BS67" s="11" t="n">
        <f aca="false">Units!$E66*(1+Inputs!$B$7)^(BS$2-1)</f>
        <v>1767.8929633075</v>
      </c>
      <c r="BT67" s="11" t="n">
        <f aca="false">Units!$E66*(1+Inputs!$B$7)^(BT$2-1)</f>
        <v>1767.8929633075</v>
      </c>
      <c r="BU67" s="11" t="n">
        <f aca="false">Units!$E66*(1+Inputs!$B$7)^(BU$2-1)</f>
        <v>1767.8929633075</v>
      </c>
      <c r="BV67" s="11" t="n">
        <f aca="false">Units!$E66*(1+Inputs!$B$7)^(BV$2-1)</f>
        <v>1767.8929633075</v>
      </c>
      <c r="BW67" s="11" t="n">
        <f aca="false">Units!$E66*(1+Inputs!$B$7)^(BW$2-1)</f>
        <v>1820.92975220673</v>
      </c>
      <c r="BX67" s="11" t="n">
        <f aca="false">Units!$E66*(1+Inputs!$B$7)^(BX$2-1)</f>
        <v>1820.92975220673</v>
      </c>
      <c r="BY67" s="11" t="n">
        <f aca="false">Units!$E66*(1+Inputs!$B$7)^(BY$2-1)</f>
        <v>1820.92975220673</v>
      </c>
      <c r="BZ67" s="11" t="n">
        <f aca="false">Units!$E66*(1+Inputs!$B$7)^(BZ$2-1)</f>
        <v>1820.92975220673</v>
      </c>
      <c r="CA67" s="11" t="n">
        <f aca="false">Units!$E66*(1+Inputs!$B$7)^(CA$2-1)</f>
        <v>1820.92975220673</v>
      </c>
      <c r="CB67" s="11" t="n">
        <f aca="false">Units!$E66*(1+Inputs!$B$7)^(CB$2-1)</f>
        <v>1820.92975220673</v>
      </c>
      <c r="CC67" s="11" t="n">
        <f aca="false">Units!$E66*(1+Inputs!$B$7)^(CC$2-1)</f>
        <v>1820.92975220673</v>
      </c>
      <c r="CD67" s="11" t="n">
        <f aca="false">Units!$E66*(1+Inputs!$B$7)^(CD$2-1)</f>
        <v>1820.92975220673</v>
      </c>
      <c r="CE67" s="11" t="n">
        <f aca="false">Units!$E66*(1+Inputs!$B$7)^(CE$2-1)</f>
        <v>1820.92975220673</v>
      </c>
      <c r="CF67" s="11" t="n">
        <f aca="false">Units!$E66*(1+Inputs!$B$7)^(CF$2-1)</f>
        <v>1820.92975220673</v>
      </c>
      <c r="CG67" s="11" t="n">
        <f aca="false">Units!$E66*(1+Inputs!$B$7)^(CG$2-1)</f>
        <v>1820.92975220673</v>
      </c>
      <c r="CH67" s="11" t="n">
        <f aca="false">Units!$E66*(1+Inputs!$B$7)^(CH$2-1)</f>
        <v>1820.92975220673</v>
      </c>
      <c r="CI67" s="11" t="n">
        <f aca="false">Units!$E66*(1+Inputs!$B$7)^(CI$2-1)</f>
        <v>1875.55764477293</v>
      </c>
      <c r="CJ67" s="11" t="n">
        <f aca="false">Units!$E66*(1+Inputs!$B$7)^(CJ$2-1)</f>
        <v>1875.55764477293</v>
      </c>
      <c r="CK67" s="11" t="n">
        <f aca="false">Units!$E66*(1+Inputs!$B$7)^(CK$2-1)</f>
        <v>1875.55764477293</v>
      </c>
      <c r="CL67" s="11" t="n">
        <f aca="false">Units!$E66*(1+Inputs!$B$7)^(CL$2-1)</f>
        <v>1875.55764477293</v>
      </c>
      <c r="CM67" s="11" t="n">
        <f aca="false">Units!$E66*(1+Inputs!$B$7)^(CM$2-1)</f>
        <v>1875.55764477293</v>
      </c>
      <c r="CN67" s="11" t="n">
        <f aca="false">Units!$E66*(1+Inputs!$B$7)^(CN$2-1)</f>
        <v>1875.55764477293</v>
      </c>
      <c r="CO67" s="11" t="n">
        <f aca="false">Units!$E66*(1+Inputs!$B$7)^(CO$2-1)</f>
        <v>1875.55764477293</v>
      </c>
      <c r="CP67" s="11" t="n">
        <f aca="false">Units!$E66*(1+Inputs!$B$7)^(CP$2-1)</f>
        <v>1875.55764477293</v>
      </c>
      <c r="CQ67" s="11" t="n">
        <f aca="false">Units!$E66*(1+Inputs!$B$7)^(CQ$2-1)</f>
        <v>1875.55764477293</v>
      </c>
      <c r="CR67" s="11" t="n">
        <f aca="false">Units!$E66*(1+Inputs!$B$7)^(CR$2-1)</f>
        <v>1875.55764477293</v>
      </c>
      <c r="CS67" s="11" t="n">
        <f aca="false">Units!$E66*(1+Inputs!$B$7)^(CS$2-1)</f>
        <v>1875.55764477293</v>
      </c>
      <c r="CT67" s="11" t="n">
        <f aca="false">Units!$E66*(1+Inputs!$B$7)^(CT$2-1)</f>
        <v>1875.55764477293</v>
      </c>
      <c r="CU67" s="11" t="n">
        <f aca="false">Units!$E66*(1+Inputs!$B$7)^(CU$2-1)</f>
        <v>1931.82437411612</v>
      </c>
      <c r="CV67" s="11" t="n">
        <f aca="false">Units!$E66*(1+Inputs!$B$7)^(CV$2-1)</f>
        <v>1931.82437411612</v>
      </c>
      <c r="CW67" s="11" t="n">
        <f aca="false">Units!$E66*(1+Inputs!$B$7)^(CW$2-1)</f>
        <v>1931.82437411612</v>
      </c>
      <c r="CX67" s="11" t="n">
        <f aca="false">Units!$E66*(1+Inputs!$B$7)^(CX$2-1)</f>
        <v>1931.82437411612</v>
      </c>
      <c r="CY67" s="11" t="n">
        <f aca="false">Units!$E66*(1+Inputs!$B$7)^(CY$2-1)</f>
        <v>1931.82437411612</v>
      </c>
      <c r="CZ67" s="11" t="n">
        <f aca="false">Units!$E66*(1+Inputs!$B$7)^(CZ$2-1)</f>
        <v>1931.82437411612</v>
      </c>
      <c r="DA67" s="11" t="n">
        <f aca="false">Units!$E66*(1+Inputs!$B$7)^(DA$2-1)</f>
        <v>1931.82437411612</v>
      </c>
      <c r="DB67" s="11" t="n">
        <f aca="false">Units!$E66*(1+Inputs!$B$7)^(DB$2-1)</f>
        <v>1931.82437411612</v>
      </c>
      <c r="DC67" s="11" t="n">
        <f aca="false">Units!$E66*(1+Inputs!$B$7)^(DC$2-1)</f>
        <v>1931.82437411612</v>
      </c>
      <c r="DD67" s="11" t="n">
        <f aca="false">Units!$E66*(1+Inputs!$B$7)^(DD$2-1)</f>
        <v>1931.82437411612</v>
      </c>
      <c r="DE67" s="11" t="n">
        <f aca="false">Units!$E66*(1+Inputs!$B$7)^(DE$2-1)</f>
        <v>1931.82437411612</v>
      </c>
      <c r="DF67" s="11" t="n">
        <f aca="false">Units!$E66*(1+Inputs!$B$7)^(DF$2-1)</f>
        <v>1931.82437411612</v>
      </c>
      <c r="DG67" s="11" t="n">
        <f aca="false">Units!$E66*(1+Inputs!$B$7)^(DG$2-1)</f>
        <v>1989.7791053396</v>
      </c>
      <c r="DH67" s="11" t="n">
        <f aca="false">Units!$E66*(1+Inputs!$B$7)^(DH$2-1)</f>
        <v>1989.7791053396</v>
      </c>
      <c r="DI67" s="11" t="n">
        <f aca="false">Units!$E66*(1+Inputs!$B$7)^(DI$2-1)</f>
        <v>1989.7791053396</v>
      </c>
      <c r="DJ67" s="11" t="n">
        <f aca="false">Units!$E66*(1+Inputs!$B$7)^(DJ$2-1)</f>
        <v>1989.7791053396</v>
      </c>
      <c r="DK67" s="11" t="n">
        <f aca="false">Units!$E66*(1+Inputs!$B$7)^(DK$2-1)</f>
        <v>1989.7791053396</v>
      </c>
      <c r="DL67" s="11" t="n">
        <f aca="false">Units!$E66*(1+Inputs!$B$7)^(DL$2-1)</f>
        <v>1989.7791053396</v>
      </c>
      <c r="DM67" s="11" t="n">
        <f aca="false">Units!$E66*(1+Inputs!$B$7)^(DM$2-1)</f>
        <v>1989.7791053396</v>
      </c>
      <c r="DN67" s="11" t="n">
        <f aca="false">Units!$E66*(1+Inputs!$B$7)^(DN$2-1)</f>
        <v>1989.7791053396</v>
      </c>
      <c r="DO67" s="11" t="n">
        <f aca="false">Units!$E66*(1+Inputs!$B$7)^(DO$2-1)</f>
        <v>1989.7791053396</v>
      </c>
      <c r="DP67" s="11" t="n">
        <f aca="false">Units!$E66*(1+Inputs!$B$7)^(DP$2-1)</f>
        <v>1989.7791053396</v>
      </c>
      <c r="DQ67" s="11" t="n">
        <f aca="false">Units!$E66*(1+Inputs!$B$7)^(DQ$2-1)</f>
        <v>1989.7791053396</v>
      </c>
      <c r="DR67" s="11" t="n">
        <f aca="false">Units!$E66*(1+Inputs!$B$7)^(DR$2-1)</f>
        <v>1989.7791053396</v>
      </c>
      <c r="DS67" s="11" t="n">
        <f aca="false">Units!$E66*(1+Inputs!$B$7)^(DS$2-1)</f>
        <v>2049.47247849979</v>
      </c>
      <c r="DT67" s="11" t="n">
        <f aca="false">Units!$E66*(1+Inputs!$B$7)^(DT$2-1)</f>
        <v>2049.47247849979</v>
      </c>
      <c r="DU67" s="11" t="n">
        <f aca="false">Units!$E66*(1+Inputs!$B$7)^(DU$2-1)</f>
        <v>2049.47247849979</v>
      </c>
      <c r="DV67" s="11" t="n">
        <f aca="false">Units!$E66*(1+Inputs!$B$7)^(DV$2-1)</f>
        <v>2049.47247849979</v>
      </c>
      <c r="DW67" s="11" t="n">
        <f aca="false">Units!$E66*(1+Inputs!$B$7)^(DW$2-1)</f>
        <v>2049.47247849979</v>
      </c>
      <c r="DX67" s="11" t="n">
        <f aca="false">Units!$E66*(1+Inputs!$B$7)^(DX$2-1)</f>
        <v>2049.47247849979</v>
      </c>
      <c r="DY67" s="11" t="n">
        <f aca="false">Units!$E66*(1+Inputs!$B$7)^(DY$2-1)</f>
        <v>2049.47247849979</v>
      </c>
      <c r="DZ67" s="11" t="n">
        <f aca="false">Units!$E66*(1+Inputs!$B$7)^(DZ$2-1)</f>
        <v>2049.47247849979</v>
      </c>
      <c r="EA67" s="11" t="n">
        <f aca="false">Units!$E66*(1+Inputs!$B$7)^(EA$2-1)</f>
        <v>2049.47247849979</v>
      </c>
      <c r="EB67" s="11" t="n">
        <f aca="false">Units!$E66*(1+Inputs!$B$7)^(EB$2-1)</f>
        <v>2049.47247849979</v>
      </c>
      <c r="EC67" s="11" t="n">
        <f aca="false">Units!$E66*(1+Inputs!$B$7)^(EC$2-1)</f>
        <v>2049.47247849979</v>
      </c>
      <c r="ED67" s="11" t="n">
        <f aca="false">Units!$E66*(1+Inputs!$B$7)^(ED$2-1)</f>
        <v>2049.47247849979</v>
      </c>
    </row>
    <row r="68" customFormat="false" ht="15" hidden="false" customHeight="false" outlineLevel="0" collapsed="false">
      <c r="A68" s="22" t="n">
        <f aca="false">Units!A67</f>
        <v>306</v>
      </c>
      <c r="B68" s="23"/>
      <c r="C68" s="11" t="n">
        <f aca="false">Units!$E67*(1+Inputs!$B$7)^(C$2-1)</f>
        <v>1525</v>
      </c>
      <c r="D68" s="11" t="n">
        <f aca="false">Units!$E67*(1+Inputs!$B$7)^(D$2-1)</f>
        <v>1525</v>
      </c>
      <c r="E68" s="11" t="n">
        <f aca="false">Units!$E67*(1+Inputs!$B$7)^(E$2-1)</f>
        <v>1525</v>
      </c>
      <c r="F68" s="11" t="n">
        <f aca="false">Units!$E67*(1+Inputs!$B$7)^(F$2-1)</f>
        <v>1525</v>
      </c>
      <c r="G68" s="11" t="n">
        <f aca="false">Units!$E67*(1+Inputs!$B$7)^(G$2-1)</f>
        <v>1525</v>
      </c>
      <c r="H68" s="11" t="n">
        <f aca="false">Units!$E67*(1+Inputs!$B$7)^(H$2-1)</f>
        <v>1525</v>
      </c>
      <c r="I68" s="11" t="n">
        <f aca="false">Units!$E67*(1+Inputs!$B$7)^(I$2-1)</f>
        <v>1525</v>
      </c>
      <c r="J68" s="11" t="n">
        <f aca="false">Units!$E67*(1+Inputs!$B$7)^(J$2-1)</f>
        <v>1525</v>
      </c>
      <c r="K68" s="11" t="n">
        <f aca="false">Units!$E67*(1+Inputs!$B$7)^(K$2-1)</f>
        <v>1525</v>
      </c>
      <c r="L68" s="11" t="n">
        <f aca="false">Units!$E67*(1+Inputs!$B$7)^(L$2-1)</f>
        <v>1525</v>
      </c>
      <c r="M68" s="11" t="n">
        <f aca="false">Units!$E67*(1+Inputs!$B$7)^(M$2-1)</f>
        <v>1525</v>
      </c>
      <c r="N68" s="11" t="n">
        <f aca="false">Units!$E67*(1+Inputs!$B$7)^(N$2-1)</f>
        <v>1525</v>
      </c>
      <c r="O68" s="11" t="n">
        <f aca="false">Units!$E67*(1+Inputs!$B$7)^(O$2-1)</f>
        <v>1570.75</v>
      </c>
      <c r="P68" s="11" t="n">
        <f aca="false">Units!$E67*(1+Inputs!$B$7)^(P$2-1)</f>
        <v>1570.75</v>
      </c>
      <c r="Q68" s="11" t="n">
        <f aca="false">Units!$E67*(1+Inputs!$B$7)^(Q$2-1)</f>
        <v>1570.75</v>
      </c>
      <c r="R68" s="11" t="n">
        <f aca="false">Units!$E67*(1+Inputs!$B$7)^(R$2-1)</f>
        <v>1570.75</v>
      </c>
      <c r="S68" s="11" t="n">
        <f aca="false">Units!$E67*(1+Inputs!$B$7)^(S$2-1)</f>
        <v>1570.75</v>
      </c>
      <c r="T68" s="11" t="n">
        <f aca="false">Units!$E67*(1+Inputs!$B$7)^(T$2-1)</f>
        <v>1570.75</v>
      </c>
      <c r="U68" s="11" t="n">
        <f aca="false">Units!$E67*(1+Inputs!$B$7)^(U$2-1)</f>
        <v>1570.75</v>
      </c>
      <c r="V68" s="11" t="n">
        <f aca="false">Units!$E67*(1+Inputs!$B$7)^(V$2-1)</f>
        <v>1570.75</v>
      </c>
      <c r="W68" s="11" t="n">
        <f aca="false">Units!$E67*(1+Inputs!$B$7)^(W$2-1)</f>
        <v>1570.75</v>
      </c>
      <c r="X68" s="11" t="n">
        <f aca="false">Units!$E67*(1+Inputs!$B$7)^(X$2-1)</f>
        <v>1570.75</v>
      </c>
      <c r="Y68" s="11" t="n">
        <f aca="false">Units!$E67*(1+Inputs!$B$7)^(Y$2-1)</f>
        <v>1570.75</v>
      </c>
      <c r="Z68" s="11" t="n">
        <f aca="false">Units!$E67*(1+Inputs!$B$7)^(Z$2-1)</f>
        <v>1570.75</v>
      </c>
      <c r="AA68" s="11" t="n">
        <f aca="false">Units!$E67*(1+Inputs!$B$7)^(AA$2-1)</f>
        <v>1617.8725</v>
      </c>
      <c r="AB68" s="11" t="n">
        <f aca="false">Units!$E67*(1+Inputs!$B$7)^(AB$2-1)</f>
        <v>1617.8725</v>
      </c>
      <c r="AC68" s="11" t="n">
        <f aca="false">Units!$E67*(1+Inputs!$B$7)^(AC$2-1)</f>
        <v>1617.8725</v>
      </c>
      <c r="AD68" s="11" t="n">
        <f aca="false">Units!$E67*(1+Inputs!$B$7)^(AD$2-1)</f>
        <v>1617.8725</v>
      </c>
      <c r="AE68" s="11" t="n">
        <f aca="false">Units!$E67*(1+Inputs!$B$7)^(AE$2-1)</f>
        <v>1617.8725</v>
      </c>
      <c r="AF68" s="11" t="n">
        <f aca="false">Units!$E67*(1+Inputs!$B$7)^(AF$2-1)</f>
        <v>1617.8725</v>
      </c>
      <c r="AG68" s="11" t="n">
        <f aca="false">Units!$E67*(1+Inputs!$B$7)^(AG$2-1)</f>
        <v>1617.8725</v>
      </c>
      <c r="AH68" s="11" t="n">
        <f aca="false">Units!$E67*(1+Inputs!$B$7)^(AH$2-1)</f>
        <v>1617.8725</v>
      </c>
      <c r="AI68" s="11" t="n">
        <f aca="false">Units!$E67*(1+Inputs!$B$7)^(AI$2-1)</f>
        <v>1617.8725</v>
      </c>
      <c r="AJ68" s="11" t="n">
        <f aca="false">Units!$E67*(1+Inputs!$B$7)^(AJ$2-1)</f>
        <v>1617.8725</v>
      </c>
      <c r="AK68" s="11" t="n">
        <f aca="false">Units!$E67*(1+Inputs!$B$7)^(AK$2-1)</f>
        <v>1617.8725</v>
      </c>
      <c r="AL68" s="11" t="n">
        <f aca="false">Units!$E67*(1+Inputs!$B$7)^(AL$2-1)</f>
        <v>1617.8725</v>
      </c>
      <c r="AM68" s="11" t="n">
        <f aca="false">Units!$E67*(1+Inputs!$B$7)^(AM$2-1)</f>
        <v>1666.408675</v>
      </c>
      <c r="AN68" s="11" t="n">
        <f aca="false">Units!$E67*(1+Inputs!$B$7)^(AN$2-1)</f>
        <v>1666.408675</v>
      </c>
      <c r="AO68" s="11" t="n">
        <f aca="false">Units!$E67*(1+Inputs!$B$7)^(AO$2-1)</f>
        <v>1666.408675</v>
      </c>
      <c r="AP68" s="11" t="n">
        <f aca="false">Units!$E67*(1+Inputs!$B$7)^(AP$2-1)</f>
        <v>1666.408675</v>
      </c>
      <c r="AQ68" s="11" t="n">
        <f aca="false">Units!$E67*(1+Inputs!$B$7)^(AQ$2-1)</f>
        <v>1666.408675</v>
      </c>
      <c r="AR68" s="11" t="n">
        <f aca="false">Units!$E67*(1+Inputs!$B$7)^(AR$2-1)</f>
        <v>1666.408675</v>
      </c>
      <c r="AS68" s="11" t="n">
        <f aca="false">Units!$E67*(1+Inputs!$B$7)^(AS$2-1)</f>
        <v>1666.408675</v>
      </c>
      <c r="AT68" s="11" t="n">
        <f aca="false">Units!$E67*(1+Inputs!$B$7)^(AT$2-1)</f>
        <v>1666.408675</v>
      </c>
      <c r="AU68" s="11" t="n">
        <f aca="false">Units!$E67*(1+Inputs!$B$7)^(AU$2-1)</f>
        <v>1666.408675</v>
      </c>
      <c r="AV68" s="11" t="n">
        <f aca="false">Units!$E67*(1+Inputs!$B$7)^(AV$2-1)</f>
        <v>1666.408675</v>
      </c>
      <c r="AW68" s="11" t="n">
        <f aca="false">Units!$E67*(1+Inputs!$B$7)^(AW$2-1)</f>
        <v>1666.408675</v>
      </c>
      <c r="AX68" s="11" t="n">
        <f aca="false">Units!$E67*(1+Inputs!$B$7)^(AX$2-1)</f>
        <v>1666.408675</v>
      </c>
      <c r="AY68" s="11" t="n">
        <f aca="false">Units!$E67*(1+Inputs!$B$7)^(AY$2-1)</f>
        <v>1716.40093525</v>
      </c>
      <c r="AZ68" s="11" t="n">
        <f aca="false">Units!$E67*(1+Inputs!$B$7)^(AZ$2-1)</f>
        <v>1716.40093525</v>
      </c>
      <c r="BA68" s="11" t="n">
        <f aca="false">Units!$E67*(1+Inputs!$B$7)^(BA$2-1)</f>
        <v>1716.40093525</v>
      </c>
      <c r="BB68" s="11" t="n">
        <f aca="false">Units!$E67*(1+Inputs!$B$7)^(BB$2-1)</f>
        <v>1716.40093525</v>
      </c>
      <c r="BC68" s="11" t="n">
        <f aca="false">Units!$E67*(1+Inputs!$B$7)^(BC$2-1)</f>
        <v>1716.40093525</v>
      </c>
      <c r="BD68" s="11" t="n">
        <f aca="false">Units!$E67*(1+Inputs!$B$7)^(BD$2-1)</f>
        <v>1716.40093525</v>
      </c>
      <c r="BE68" s="11" t="n">
        <f aca="false">Units!$E67*(1+Inputs!$B$7)^(BE$2-1)</f>
        <v>1716.40093525</v>
      </c>
      <c r="BF68" s="11" t="n">
        <f aca="false">Units!$E67*(1+Inputs!$B$7)^(BF$2-1)</f>
        <v>1716.40093525</v>
      </c>
      <c r="BG68" s="11" t="n">
        <f aca="false">Units!$E67*(1+Inputs!$B$7)^(BG$2-1)</f>
        <v>1716.40093525</v>
      </c>
      <c r="BH68" s="11" t="n">
        <f aca="false">Units!$E67*(1+Inputs!$B$7)^(BH$2-1)</f>
        <v>1716.40093525</v>
      </c>
      <c r="BI68" s="11" t="n">
        <f aca="false">Units!$E67*(1+Inputs!$B$7)^(BI$2-1)</f>
        <v>1716.40093525</v>
      </c>
      <c r="BJ68" s="11" t="n">
        <f aca="false">Units!$E67*(1+Inputs!$B$7)^(BJ$2-1)</f>
        <v>1716.40093525</v>
      </c>
      <c r="BK68" s="11" t="n">
        <f aca="false">Units!$E67*(1+Inputs!$B$7)^(BK$2-1)</f>
        <v>1767.8929633075</v>
      </c>
      <c r="BL68" s="11" t="n">
        <f aca="false">Units!$E67*(1+Inputs!$B$7)^(BL$2-1)</f>
        <v>1767.8929633075</v>
      </c>
      <c r="BM68" s="11" t="n">
        <f aca="false">Units!$E67*(1+Inputs!$B$7)^(BM$2-1)</f>
        <v>1767.8929633075</v>
      </c>
      <c r="BN68" s="11" t="n">
        <f aca="false">Units!$E67*(1+Inputs!$B$7)^(BN$2-1)</f>
        <v>1767.8929633075</v>
      </c>
      <c r="BO68" s="11" t="n">
        <f aca="false">Units!$E67*(1+Inputs!$B$7)^(BO$2-1)</f>
        <v>1767.8929633075</v>
      </c>
      <c r="BP68" s="11" t="n">
        <f aca="false">Units!$E67*(1+Inputs!$B$7)^(BP$2-1)</f>
        <v>1767.8929633075</v>
      </c>
      <c r="BQ68" s="11" t="n">
        <f aca="false">Units!$E67*(1+Inputs!$B$7)^(BQ$2-1)</f>
        <v>1767.8929633075</v>
      </c>
      <c r="BR68" s="11" t="n">
        <f aca="false">Units!$E67*(1+Inputs!$B$7)^(BR$2-1)</f>
        <v>1767.8929633075</v>
      </c>
      <c r="BS68" s="11" t="n">
        <f aca="false">Units!$E67*(1+Inputs!$B$7)^(BS$2-1)</f>
        <v>1767.8929633075</v>
      </c>
      <c r="BT68" s="11" t="n">
        <f aca="false">Units!$E67*(1+Inputs!$B$7)^(BT$2-1)</f>
        <v>1767.8929633075</v>
      </c>
      <c r="BU68" s="11" t="n">
        <f aca="false">Units!$E67*(1+Inputs!$B$7)^(BU$2-1)</f>
        <v>1767.8929633075</v>
      </c>
      <c r="BV68" s="11" t="n">
        <f aca="false">Units!$E67*(1+Inputs!$B$7)^(BV$2-1)</f>
        <v>1767.8929633075</v>
      </c>
      <c r="BW68" s="11" t="n">
        <f aca="false">Units!$E67*(1+Inputs!$B$7)^(BW$2-1)</f>
        <v>1820.92975220673</v>
      </c>
      <c r="BX68" s="11" t="n">
        <f aca="false">Units!$E67*(1+Inputs!$B$7)^(BX$2-1)</f>
        <v>1820.92975220673</v>
      </c>
      <c r="BY68" s="11" t="n">
        <f aca="false">Units!$E67*(1+Inputs!$B$7)^(BY$2-1)</f>
        <v>1820.92975220673</v>
      </c>
      <c r="BZ68" s="11" t="n">
        <f aca="false">Units!$E67*(1+Inputs!$B$7)^(BZ$2-1)</f>
        <v>1820.92975220673</v>
      </c>
      <c r="CA68" s="11" t="n">
        <f aca="false">Units!$E67*(1+Inputs!$B$7)^(CA$2-1)</f>
        <v>1820.92975220673</v>
      </c>
      <c r="CB68" s="11" t="n">
        <f aca="false">Units!$E67*(1+Inputs!$B$7)^(CB$2-1)</f>
        <v>1820.92975220673</v>
      </c>
      <c r="CC68" s="11" t="n">
        <f aca="false">Units!$E67*(1+Inputs!$B$7)^(CC$2-1)</f>
        <v>1820.92975220673</v>
      </c>
      <c r="CD68" s="11" t="n">
        <f aca="false">Units!$E67*(1+Inputs!$B$7)^(CD$2-1)</f>
        <v>1820.92975220673</v>
      </c>
      <c r="CE68" s="11" t="n">
        <f aca="false">Units!$E67*(1+Inputs!$B$7)^(CE$2-1)</f>
        <v>1820.92975220673</v>
      </c>
      <c r="CF68" s="11" t="n">
        <f aca="false">Units!$E67*(1+Inputs!$B$7)^(CF$2-1)</f>
        <v>1820.92975220673</v>
      </c>
      <c r="CG68" s="11" t="n">
        <f aca="false">Units!$E67*(1+Inputs!$B$7)^(CG$2-1)</f>
        <v>1820.92975220673</v>
      </c>
      <c r="CH68" s="11" t="n">
        <f aca="false">Units!$E67*(1+Inputs!$B$7)^(CH$2-1)</f>
        <v>1820.92975220673</v>
      </c>
      <c r="CI68" s="11" t="n">
        <f aca="false">Units!$E67*(1+Inputs!$B$7)^(CI$2-1)</f>
        <v>1875.55764477293</v>
      </c>
      <c r="CJ68" s="11" t="n">
        <f aca="false">Units!$E67*(1+Inputs!$B$7)^(CJ$2-1)</f>
        <v>1875.55764477293</v>
      </c>
      <c r="CK68" s="11" t="n">
        <f aca="false">Units!$E67*(1+Inputs!$B$7)^(CK$2-1)</f>
        <v>1875.55764477293</v>
      </c>
      <c r="CL68" s="11" t="n">
        <f aca="false">Units!$E67*(1+Inputs!$B$7)^(CL$2-1)</f>
        <v>1875.55764477293</v>
      </c>
      <c r="CM68" s="11" t="n">
        <f aca="false">Units!$E67*(1+Inputs!$B$7)^(CM$2-1)</f>
        <v>1875.55764477293</v>
      </c>
      <c r="CN68" s="11" t="n">
        <f aca="false">Units!$E67*(1+Inputs!$B$7)^(CN$2-1)</f>
        <v>1875.55764477293</v>
      </c>
      <c r="CO68" s="11" t="n">
        <f aca="false">Units!$E67*(1+Inputs!$B$7)^(CO$2-1)</f>
        <v>1875.55764477293</v>
      </c>
      <c r="CP68" s="11" t="n">
        <f aca="false">Units!$E67*(1+Inputs!$B$7)^(CP$2-1)</f>
        <v>1875.55764477293</v>
      </c>
      <c r="CQ68" s="11" t="n">
        <f aca="false">Units!$E67*(1+Inputs!$B$7)^(CQ$2-1)</f>
        <v>1875.55764477293</v>
      </c>
      <c r="CR68" s="11" t="n">
        <f aca="false">Units!$E67*(1+Inputs!$B$7)^(CR$2-1)</f>
        <v>1875.55764477293</v>
      </c>
      <c r="CS68" s="11" t="n">
        <f aca="false">Units!$E67*(1+Inputs!$B$7)^(CS$2-1)</f>
        <v>1875.55764477293</v>
      </c>
      <c r="CT68" s="11" t="n">
        <f aca="false">Units!$E67*(1+Inputs!$B$7)^(CT$2-1)</f>
        <v>1875.55764477293</v>
      </c>
      <c r="CU68" s="11" t="n">
        <f aca="false">Units!$E67*(1+Inputs!$B$7)^(CU$2-1)</f>
        <v>1931.82437411612</v>
      </c>
      <c r="CV68" s="11" t="n">
        <f aca="false">Units!$E67*(1+Inputs!$B$7)^(CV$2-1)</f>
        <v>1931.82437411612</v>
      </c>
      <c r="CW68" s="11" t="n">
        <f aca="false">Units!$E67*(1+Inputs!$B$7)^(CW$2-1)</f>
        <v>1931.82437411612</v>
      </c>
      <c r="CX68" s="11" t="n">
        <f aca="false">Units!$E67*(1+Inputs!$B$7)^(CX$2-1)</f>
        <v>1931.82437411612</v>
      </c>
      <c r="CY68" s="11" t="n">
        <f aca="false">Units!$E67*(1+Inputs!$B$7)^(CY$2-1)</f>
        <v>1931.82437411612</v>
      </c>
      <c r="CZ68" s="11" t="n">
        <f aca="false">Units!$E67*(1+Inputs!$B$7)^(CZ$2-1)</f>
        <v>1931.82437411612</v>
      </c>
      <c r="DA68" s="11" t="n">
        <f aca="false">Units!$E67*(1+Inputs!$B$7)^(DA$2-1)</f>
        <v>1931.82437411612</v>
      </c>
      <c r="DB68" s="11" t="n">
        <f aca="false">Units!$E67*(1+Inputs!$B$7)^(DB$2-1)</f>
        <v>1931.82437411612</v>
      </c>
      <c r="DC68" s="11" t="n">
        <f aca="false">Units!$E67*(1+Inputs!$B$7)^(DC$2-1)</f>
        <v>1931.82437411612</v>
      </c>
      <c r="DD68" s="11" t="n">
        <f aca="false">Units!$E67*(1+Inputs!$B$7)^(DD$2-1)</f>
        <v>1931.82437411612</v>
      </c>
      <c r="DE68" s="11" t="n">
        <f aca="false">Units!$E67*(1+Inputs!$B$7)^(DE$2-1)</f>
        <v>1931.82437411612</v>
      </c>
      <c r="DF68" s="11" t="n">
        <f aca="false">Units!$E67*(1+Inputs!$B$7)^(DF$2-1)</f>
        <v>1931.82437411612</v>
      </c>
      <c r="DG68" s="11" t="n">
        <f aca="false">Units!$E67*(1+Inputs!$B$7)^(DG$2-1)</f>
        <v>1989.7791053396</v>
      </c>
      <c r="DH68" s="11" t="n">
        <f aca="false">Units!$E67*(1+Inputs!$B$7)^(DH$2-1)</f>
        <v>1989.7791053396</v>
      </c>
      <c r="DI68" s="11" t="n">
        <f aca="false">Units!$E67*(1+Inputs!$B$7)^(DI$2-1)</f>
        <v>1989.7791053396</v>
      </c>
      <c r="DJ68" s="11" t="n">
        <f aca="false">Units!$E67*(1+Inputs!$B$7)^(DJ$2-1)</f>
        <v>1989.7791053396</v>
      </c>
      <c r="DK68" s="11" t="n">
        <f aca="false">Units!$E67*(1+Inputs!$B$7)^(DK$2-1)</f>
        <v>1989.7791053396</v>
      </c>
      <c r="DL68" s="11" t="n">
        <f aca="false">Units!$E67*(1+Inputs!$B$7)^(DL$2-1)</f>
        <v>1989.7791053396</v>
      </c>
      <c r="DM68" s="11" t="n">
        <f aca="false">Units!$E67*(1+Inputs!$B$7)^(DM$2-1)</f>
        <v>1989.7791053396</v>
      </c>
      <c r="DN68" s="11" t="n">
        <f aca="false">Units!$E67*(1+Inputs!$B$7)^(DN$2-1)</f>
        <v>1989.7791053396</v>
      </c>
      <c r="DO68" s="11" t="n">
        <f aca="false">Units!$E67*(1+Inputs!$B$7)^(DO$2-1)</f>
        <v>1989.7791053396</v>
      </c>
      <c r="DP68" s="11" t="n">
        <f aca="false">Units!$E67*(1+Inputs!$B$7)^(DP$2-1)</f>
        <v>1989.7791053396</v>
      </c>
      <c r="DQ68" s="11" t="n">
        <f aca="false">Units!$E67*(1+Inputs!$B$7)^(DQ$2-1)</f>
        <v>1989.7791053396</v>
      </c>
      <c r="DR68" s="11" t="n">
        <f aca="false">Units!$E67*(1+Inputs!$B$7)^(DR$2-1)</f>
        <v>1989.7791053396</v>
      </c>
      <c r="DS68" s="11" t="n">
        <f aca="false">Units!$E67*(1+Inputs!$B$7)^(DS$2-1)</f>
        <v>2049.47247849979</v>
      </c>
      <c r="DT68" s="11" t="n">
        <f aca="false">Units!$E67*(1+Inputs!$B$7)^(DT$2-1)</f>
        <v>2049.47247849979</v>
      </c>
      <c r="DU68" s="11" t="n">
        <f aca="false">Units!$E67*(1+Inputs!$B$7)^(DU$2-1)</f>
        <v>2049.47247849979</v>
      </c>
      <c r="DV68" s="11" t="n">
        <f aca="false">Units!$E67*(1+Inputs!$B$7)^(DV$2-1)</f>
        <v>2049.47247849979</v>
      </c>
      <c r="DW68" s="11" t="n">
        <f aca="false">Units!$E67*(1+Inputs!$B$7)^(DW$2-1)</f>
        <v>2049.47247849979</v>
      </c>
      <c r="DX68" s="11" t="n">
        <f aca="false">Units!$E67*(1+Inputs!$B$7)^(DX$2-1)</f>
        <v>2049.47247849979</v>
      </c>
      <c r="DY68" s="11" t="n">
        <f aca="false">Units!$E67*(1+Inputs!$B$7)^(DY$2-1)</f>
        <v>2049.47247849979</v>
      </c>
      <c r="DZ68" s="11" t="n">
        <f aca="false">Units!$E67*(1+Inputs!$B$7)^(DZ$2-1)</f>
        <v>2049.47247849979</v>
      </c>
      <c r="EA68" s="11" t="n">
        <f aca="false">Units!$E67*(1+Inputs!$B$7)^(EA$2-1)</f>
        <v>2049.47247849979</v>
      </c>
      <c r="EB68" s="11" t="n">
        <f aca="false">Units!$E67*(1+Inputs!$B$7)^(EB$2-1)</f>
        <v>2049.47247849979</v>
      </c>
      <c r="EC68" s="11" t="n">
        <f aca="false">Units!$E67*(1+Inputs!$B$7)^(EC$2-1)</f>
        <v>2049.47247849979</v>
      </c>
      <c r="ED68" s="11" t="n">
        <f aca="false">Units!$E67*(1+Inputs!$B$7)^(ED$2-1)</f>
        <v>2049.47247849979</v>
      </c>
    </row>
    <row r="69" customFormat="false" ht="15" hidden="false" customHeight="false" outlineLevel="0" collapsed="false">
      <c r="A69" s="22" t="n">
        <f aca="false">Units!A68</f>
        <v>307</v>
      </c>
      <c r="B69" s="23"/>
      <c r="C69" s="11" t="n">
        <f aca="false">Units!$E68*(1+Inputs!$B$7)^(C$2-1)</f>
        <v>1525</v>
      </c>
      <c r="D69" s="11" t="n">
        <f aca="false">Units!$E68*(1+Inputs!$B$7)^(D$2-1)</f>
        <v>1525</v>
      </c>
      <c r="E69" s="11" t="n">
        <f aca="false">Units!$E68*(1+Inputs!$B$7)^(E$2-1)</f>
        <v>1525</v>
      </c>
      <c r="F69" s="11" t="n">
        <f aca="false">Units!$E68*(1+Inputs!$B$7)^(F$2-1)</f>
        <v>1525</v>
      </c>
      <c r="G69" s="11" t="n">
        <f aca="false">Units!$E68*(1+Inputs!$B$7)^(G$2-1)</f>
        <v>1525</v>
      </c>
      <c r="H69" s="11" t="n">
        <f aca="false">Units!$E68*(1+Inputs!$B$7)^(H$2-1)</f>
        <v>1525</v>
      </c>
      <c r="I69" s="11" t="n">
        <f aca="false">Units!$E68*(1+Inputs!$B$7)^(I$2-1)</f>
        <v>1525</v>
      </c>
      <c r="J69" s="11" t="n">
        <f aca="false">Units!$E68*(1+Inputs!$B$7)^(J$2-1)</f>
        <v>1525</v>
      </c>
      <c r="K69" s="11" t="n">
        <f aca="false">Units!$E68*(1+Inputs!$B$7)^(K$2-1)</f>
        <v>1525</v>
      </c>
      <c r="L69" s="11" t="n">
        <f aca="false">Units!$E68*(1+Inputs!$B$7)^(L$2-1)</f>
        <v>1525</v>
      </c>
      <c r="M69" s="11" t="n">
        <f aca="false">Units!$E68*(1+Inputs!$B$7)^(M$2-1)</f>
        <v>1525</v>
      </c>
      <c r="N69" s="11" t="n">
        <f aca="false">Units!$E68*(1+Inputs!$B$7)^(N$2-1)</f>
        <v>1525</v>
      </c>
      <c r="O69" s="11" t="n">
        <f aca="false">Units!$E68*(1+Inputs!$B$7)^(O$2-1)</f>
        <v>1570.75</v>
      </c>
      <c r="P69" s="11" t="n">
        <f aca="false">Units!$E68*(1+Inputs!$B$7)^(P$2-1)</f>
        <v>1570.75</v>
      </c>
      <c r="Q69" s="11" t="n">
        <f aca="false">Units!$E68*(1+Inputs!$B$7)^(Q$2-1)</f>
        <v>1570.75</v>
      </c>
      <c r="R69" s="11" t="n">
        <f aca="false">Units!$E68*(1+Inputs!$B$7)^(R$2-1)</f>
        <v>1570.75</v>
      </c>
      <c r="S69" s="11" t="n">
        <f aca="false">Units!$E68*(1+Inputs!$B$7)^(S$2-1)</f>
        <v>1570.75</v>
      </c>
      <c r="T69" s="11" t="n">
        <f aca="false">Units!$E68*(1+Inputs!$B$7)^(T$2-1)</f>
        <v>1570.75</v>
      </c>
      <c r="U69" s="11" t="n">
        <f aca="false">Units!$E68*(1+Inputs!$B$7)^(U$2-1)</f>
        <v>1570.75</v>
      </c>
      <c r="V69" s="11" t="n">
        <f aca="false">Units!$E68*(1+Inputs!$B$7)^(V$2-1)</f>
        <v>1570.75</v>
      </c>
      <c r="W69" s="11" t="n">
        <f aca="false">Units!$E68*(1+Inputs!$B$7)^(W$2-1)</f>
        <v>1570.75</v>
      </c>
      <c r="X69" s="11" t="n">
        <f aca="false">Units!$E68*(1+Inputs!$B$7)^(X$2-1)</f>
        <v>1570.75</v>
      </c>
      <c r="Y69" s="11" t="n">
        <f aca="false">Units!$E68*(1+Inputs!$B$7)^(Y$2-1)</f>
        <v>1570.75</v>
      </c>
      <c r="Z69" s="11" t="n">
        <f aca="false">Units!$E68*(1+Inputs!$B$7)^(Z$2-1)</f>
        <v>1570.75</v>
      </c>
      <c r="AA69" s="11" t="n">
        <f aca="false">Units!$E68*(1+Inputs!$B$7)^(AA$2-1)</f>
        <v>1617.8725</v>
      </c>
      <c r="AB69" s="11" t="n">
        <f aca="false">Units!$E68*(1+Inputs!$B$7)^(AB$2-1)</f>
        <v>1617.8725</v>
      </c>
      <c r="AC69" s="11" t="n">
        <f aca="false">Units!$E68*(1+Inputs!$B$7)^(AC$2-1)</f>
        <v>1617.8725</v>
      </c>
      <c r="AD69" s="11" t="n">
        <f aca="false">Units!$E68*(1+Inputs!$B$7)^(AD$2-1)</f>
        <v>1617.8725</v>
      </c>
      <c r="AE69" s="11" t="n">
        <f aca="false">Units!$E68*(1+Inputs!$B$7)^(AE$2-1)</f>
        <v>1617.8725</v>
      </c>
      <c r="AF69" s="11" t="n">
        <f aca="false">Units!$E68*(1+Inputs!$B$7)^(AF$2-1)</f>
        <v>1617.8725</v>
      </c>
      <c r="AG69" s="11" t="n">
        <f aca="false">Units!$E68*(1+Inputs!$B$7)^(AG$2-1)</f>
        <v>1617.8725</v>
      </c>
      <c r="AH69" s="11" t="n">
        <f aca="false">Units!$E68*(1+Inputs!$B$7)^(AH$2-1)</f>
        <v>1617.8725</v>
      </c>
      <c r="AI69" s="11" t="n">
        <f aca="false">Units!$E68*(1+Inputs!$B$7)^(AI$2-1)</f>
        <v>1617.8725</v>
      </c>
      <c r="AJ69" s="11" t="n">
        <f aca="false">Units!$E68*(1+Inputs!$B$7)^(AJ$2-1)</f>
        <v>1617.8725</v>
      </c>
      <c r="AK69" s="11" t="n">
        <f aca="false">Units!$E68*(1+Inputs!$B$7)^(AK$2-1)</f>
        <v>1617.8725</v>
      </c>
      <c r="AL69" s="11" t="n">
        <f aca="false">Units!$E68*(1+Inputs!$B$7)^(AL$2-1)</f>
        <v>1617.8725</v>
      </c>
      <c r="AM69" s="11" t="n">
        <f aca="false">Units!$E68*(1+Inputs!$B$7)^(AM$2-1)</f>
        <v>1666.408675</v>
      </c>
      <c r="AN69" s="11" t="n">
        <f aca="false">Units!$E68*(1+Inputs!$B$7)^(AN$2-1)</f>
        <v>1666.408675</v>
      </c>
      <c r="AO69" s="11" t="n">
        <f aca="false">Units!$E68*(1+Inputs!$B$7)^(AO$2-1)</f>
        <v>1666.408675</v>
      </c>
      <c r="AP69" s="11" t="n">
        <f aca="false">Units!$E68*(1+Inputs!$B$7)^(AP$2-1)</f>
        <v>1666.408675</v>
      </c>
      <c r="AQ69" s="11" t="n">
        <f aca="false">Units!$E68*(1+Inputs!$B$7)^(AQ$2-1)</f>
        <v>1666.408675</v>
      </c>
      <c r="AR69" s="11" t="n">
        <f aca="false">Units!$E68*(1+Inputs!$B$7)^(AR$2-1)</f>
        <v>1666.408675</v>
      </c>
      <c r="AS69" s="11" t="n">
        <f aca="false">Units!$E68*(1+Inputs!$B$7)^(AS$2-1)</f>
        <v>1666.408675</v>
      </c>
      <c r="AT69" s="11" t="n">
        <f aca="false">Units!$E68*(1+Inputs!$B$7)^(AT$2-1)</f>
        <v>1666.408675</v>
      </c>
      <c r="AU69" s="11" t="n">
        <f aca="false">Units!$E68*(1+Inputs!$B$7)^(AU$2-1)</f>
        <v>1666.408675</v>
      </c>
      <c r="AV69" s="11" t="n">
        <f aca="false">Units!$E68*(1+Inputs!$B$7)^(AV$2-1)</f>
        <v>1666.408675</v>
      </c>
      <c r="AW69" s="11" t="n">
        <f aca="false">Units!$E68*(1+Inputs!$B$7)^(AW$2-1)</f>
        <v>1666.408675</v>
      </c>
      <c r="AX69" s="11" t="n">
        <f aca="false">Units!$E68*(1+Inputs!$B$7)^(AX$2-1)</f>
        <v>1666.408675</v>
      </c>
      <c r="AY69" s="11" t="n">
        <f aca="false">Units!$E68*(1+Inputs!$B$7)^(AY$2-1)</f>
        <v>1716.40093525</v>
      </c>
      <c r="AZ69" s="11" t="n">
        <f aca="false">Units!$E68*(1+Inputs!$B$7)^(AZ$2-1)</f>
        <v>1716.40093525</v>
      </c>
      <c r="BA69" s="11" t="n">
        <f aca="false">Units!$E68*(1+Inputs!$B$7)^(BA$2-1)</f>
        <v>1716.40093525</v>
      </c>
      <c r="BB69" s="11" t="n">
        <f aca="false">Units!$E68*(1+Inputs!$B$7)^(BB$2-1)</f>
        <v>1716.40093525</v>
      </c>
      <c r="BC69" s="11" t="n">
        <f aca="false">Units!$E68*(1+Inputs!$B$7)^(BC$2-1)</f>
        <v>1716.40093525</v>
      </c>
      <c r="BD69" s="11" t="n">
        <f aca="false">Units!$E68*(1+Inputs!$B$7)^(BD$2-1)</f>
        <v>1716.40093525</v>
      </c>
      <c r="BE69" s="11" t="n">
        <f aca="false">Units!$E68*(1+Inputs!$B$7)^(BE$2-1)</f>
        <v>1716.40093525</v>
      </c>
      <c r="BF69" s="11" t="n">
        <f aca="false">Units!$E68*(1+Inputs!$B$7)^(BF$2-1)</f>
        <v>1716.40093525</v>
      </c>
      <c r="BG69" s="11" t="n">
        <f aca="false">Units!$E68*(1+Inputs!$B$7)^(BG$2-1)</f>
        <v>1716.40093525</v>
      </c>
      <c r="BH69" s="11" t="n">
        <f aca="false">Units!$E68*(1+Inputs!$B$7)^(BH$2-1)</f>
        <v>1716.40093525</v>
      </c>
      <c r="BI69" s="11" t="n">
        <f aca="false">Units!$E68*(1+Inputs!$B$7)^(BI$2-1)</f>
        <v>1716.40093525</v>
      </c>
      <c r="BJ69" s="11" t="n">
        <f aca="false">Units!$E68*(1+Inputs!$B$7)^(BJ$2-1)</f>
        <v>1716.40093525</v>
      </c>
      <c r="BK69" s="11" t="n">
        <f aca="false">Units!$E68*(1+Inputs!$B$7)^(BK$2-1)</f>
        <v>1767.8929633075</v>
      </c>
      <c r="BL69" s="11" t="n">
        <f aca="false">Units!$E68*(1+Inputs!$B$7)^(BL$2-1)</f>
        <v>1767.8929633075</v>
      </c>
      <c r="BM69" s="11" t="n">
        <f aca="false">Units!$E68*(1+Inputs!$B$7)^(BM$2-1)</f>
        <v>1767.8929633075</v>
      </c>
      <c r="BN69" s="11" t="n">
        <f aca="false">Units!$E68*(1+Inputs!$B$7)^(BN$2-1)</f>
        <v>1767.8929633075</v>
      </c>
      <c r="BO69" s="11" t="n">
        <f aca="false">Units!$E68*(1+Inputs!$B$7)^(BO$2-1)</f>
        <v>1767.8929633075</v>
      </c>
      <c r="BP69" s="11" t="n">
        <f aca="false">Units!$E68*(1+Inputs!$B$7)^(BP$2-1)</f>
        <v>1767.8929633075</v>
      </c>
      <c r="BQ69" s="11" t="n">
        <f aca="false">Units!$E68*(1+Inputs!$B$7)^(BQ$2-1)</f>
        <v>1767.8929633075</v>
      </c>
      <c r="BR69" s="11" t="n">
        <f aca="false">Units!$E68*(1+Inputs!$B$7)^(BR$2-1)</f>
        <v>1767.8929633075</v>
      </c>
      <c r="BS69" s="11" t="n">
        <f aca="false">Units!$E68*(1+Inputs!$B$7)^(BS$2-1)</f>
        <v>1767.8929633075</v>
      </c>
      <c r="BT69" s="11" t="n">
        <f aca="false">Units!$E68*(1+Inputs!$B$7)^(BT$2-1)</f>
        <v>1767.8929633075</v>
      </c>
      <c r="BU69" s="11" t="n">
        <f aca="false">Units!$E68*(1+Inputs!$B$7)^(BU$2-1)</f>
        <v>1767.8929633075</v>
      </c>
      <c r="BV69" s="11" t="n">
        <f aca="false">Units!$E68*(1+Inputs!$B$7)^(BV$2-1)</f>
        <v>1767.8929633075</v>
      </c>
      <c r="BW69" s="11" t="n">
        <f aca="false">Units!$E68*(1+Inputs!$B$7)^(BW$2-1)</f>
        <v>1820.92975220673</v>
      </c>
      <c r="BX69" s="11" t="n">
        <f aca="false">Units!$E68*(1+Inputs!$B$7)^(BX$2-1)</f>
        <v>1820.92975220673</v>
      </c>
      <c r="BY69" s="11" t="n">
        <f aca="false">Units!$E68*(1+Inputs!$B$7)^(BY$2-1)</f>
        <v>1820.92975220673</v>
      </c>
      <c r="BZ69" s="11" t="n">
        <f aca="false">Units!$E68*(1+Inputs!$B$7)^(BZ$2-1)</f>
        <v>1820.92975220673</v>
      </c>
      <c r="CA69" s="11" t="n">
        <f aca="false">Units!$E68*(1+Inputs!$B$7)^(CA$2-1)</f>
        <v>1820.92975220673</v>
      </c>
      <c r="CB69" s="11" t="n">
        <f aca="false">Units!$E68*(1+Inputs!$B$7)^(CB$2-1)</f>
        <v>1820.92975220673</v>
      </c>
      <c r="CC69" s="11" t="n">
        <f aca="false">Units!$E68*(1+Inputs!$B$7)^(CC$2-1)</f>
        <v>1820.92975220673</v>
      </c>
      <c r="CD69" s="11" t="n">
        <f aca="false">Units!$E68*(1+Inputs!$B$7)^(CD$2-1)</f>
        <v>1820.92975220673</v>
      </c>
      <c r="CE69" s="11" t="n">
        <f aca="false">Units!$E68*(1+Inputs!$B$7)^(CE$2-1)</f>
        <v>1820.92975220673</v>
      </c>
      <c r="CF69" s="11" t="n">
        <f aca="false">Units!$E68*(1+Inputs!$B$7)^(CF$2-1)</f>
        <v>1820.92975220673</v>
      </c>
      <c r="CG69" s="11" t="n">
        <f aca="false">Units!$E68*(1+Inputs!$B$7)^(CG$2-1)</f>
        <v>1820.92975220673</v>
      </c>
      <c r="CH69" s="11" t="n">
        <f aca="false">Units!$E68*(1+Inputs!$B$7)^(CH$2-1)</f>
        <v>1820.92975220673</v>
      </c>
      <c r="CI69" s="11" t="n">
        <f aca="false">Units!$E68*(1+Inputs!$B$7)^(CI$2-1)</f>
        <v>1875.55764477293</v>
      </c>
      <c r="CJ69" s="11" t="n">
        <f aca="false">Units!$E68*(1+Inputs!$B$7)^(CJ$2-1)</f>
        <v>1875.55764477293</v>
      </c>
      <c r="CK69" s="11" t="n">
        <f aca="false">Units!$E68*(1+Inputs!$B$7)^(CK$2-1)</f>
        <v>1875.55764477293</v>
      </c>
      <c r="CL69" s="11" t="n">
        <f aca="false">Units!$E68*(1+Inputs!$B$7)^(CL$2-1)</f>
        <v>1875.55764477293</v>
      </c>
      <c r="CM69" s="11" t="n">
        <f aca="false">Units!$E68*(1+Inputs!$B$7)^(CM$2-1)</f>
        <v>1875.55764477293</v>
      </c>
      <c r="CN69" s="11" t="n">
        <f aca="false">Units!$E68*(1+Inputs!$B$7)^(CN$2-1)</f>
        <v>1875.55764477293</v>
      </c>
      <c r="CO69" s="11" t="n">
        <f aca="false">Units!$E68*(1+Inputs!$B$7)^(CO$2-1)</f>
        <v>1875.55764477293</v>
      </c>
      <c r="CP69" s="11" t="n">
        <f aca="false">Units!$E68*(1+Inputs!$B$7)^(CP$2-1)</f>
        <v>1875.55764477293</v>
      </c>
      <c r="CQ69" s="11" t="n">
        <f aca="false">Units!$E68*(1+Inputs!$B$7)^(CQ$2-1)</f>
        <v>1875.55764477293</v>
      </c>
      <c r="CR69" s="11" t="n">
        <f aca="false">Units!$E68*(1+Inputs!$B$7)^(CR$2-1)</f>
        <v>1875.55764477293</v>
      </c>
      <c r="CS69" s="11" t="n">
        <f aca="false">Units!$E68*(1+Inputs!$B$7)^(CS$2-1)</f>
        <v>1875.55764477293</v>
      </c>
      <c r="CT69" s="11" t="n">
        <f aca="false">Units!$E68*(1+Inputs!$B$7)^(CT$2-1)</f>
        <v>1875.55764477293</v>
      </c>
      <c r="CU69" s="11" t="n">
        <f aca="false">Units!$E68*(1+Inputs!$B$7)^(CU$2-1)</f>
        <v>1931.82437411612</v>
      </c>
      <c r="CV69" s="11" t="n">
        <f aca="false">Units!$E68*(1+Inputs!$B$7)^(CV$2-1)</f>
        <v>1931.82437411612</v>
      </c>
      <c r="CW69" s="11" t="n">
        <f aca="false">Units!$E68*(1+Inputs!$B$7)^(CW$2-1)</f>
        <v>1931.82437411612</v>
      </c>
      <c r="CX69" s="11" t="n">
        <f aca="false">Units!$E68*(1+Inputs!$B$7)^(CX$2-1)</f>
        <v>1931.82437411612</v>
      </c>
      <c r="CY69" s="11" t="n">
        <f aca="false">Units!$E68*(1+Inputs!$B$7)^(CY$2-1)</f>
        <v>1931.82437411612</v>
      </c>
      <c r="CZ69" s="11" t="n">
        <f aca="false">Units!$E68*(1+Inputs!$B$7)^(CZ$2-1)</f>
        <v>1931.82437411612</v>
      </c>
      <c r="DA69" s="11" t="n">
        <f aca="false">Units!$E68*(1+Inputs!$B$7)^(DA$2-1)</f>
        <v>1931.82437411612</v>
      </c>
      <c r="DB69" s="11" t="n">
        <f aca="false">Units!$E68*(1+Inputs!$B$7)^(DB$2-1)</f>
        <v>1931.82437411612</v>
      </c>
      <c r="DC69" s="11" t="n">
        <f aca="false">Units!$E68*(1+Inputs!$B$7)^(DC$2-1)</f>
        <v>1931.82437411612</v>
      </c>
      <c r="DD69" s="11" t="n">
        <f aca="false">Units!$E68*(1+Inputs!$B$7)^(DD$2-1)</f>
        <v>1931.82437411612</v>
      </c>
      <c r="DE69" s="11" t="n">
        <f aca="false">Units!$E68*(1+Inputs!$B$7)^(DE$2-1)</f>
        <v>1931.82437411612</v>
      </c>
      <c r="DF69" s="11" t="n">
        <f aca="false">Units!$E68*(1+Inputs!$B$7)^(DF$2-1)</f>
        <v>1931.82437411612</v>
      </c>
      <c r="DG69" s="11" t="n">
        <f aca="false">Units!$E68*(1+Inputs!$B$7)^(DG$2-1)</f>
        <v>1989.7791053396</v>
      </c>
      <c r="DH69" s="11" t="n">
        <f aca="false">Units!$E68*(1+Inputs!$B$7)^(DH$2-1)</f>
        <v>1989.7791053396</v>
      </c>
      <c r="DI69" s="11" t="n">
        <f aca="false">Units!$E68*(1+Inputs!$B$7)^(DI$2-1)</f>
        <v>1989.7791053396</v>
      </c>
      <c r="DJ69" s="11" t="n">
        <f aca="false">Units!$E68*(1+Inputs!$B$7)^(DJ$2-1)</f>
        <v>1989.7791053396</v>
      </c>
      <c r="DK69" s="11" t="n">
        <f aca="false">Units!$E68*(1+Inputs!$B$7)^(DK$2-1)</f>
        <v>1989.7791053396</v>
      </c>
      <c r="DL69" s="11" t="n">
        <f aca="false">Units!$E68*(1+Inputs!$B$7)^(DL$2-1)</f>
        <v>1989.7791053396</v>
      </c>
      <c r="DM69" s="11" t="n">
        <f aca="false">Units!$E68*(1+Inputs!$B$7)^(DM$2-1)</f>
        <v>1989.7791053396</v>
      </c>
      <c r="DN69" s="11" t="n">
        <f aca="false">Units!$E68*(1+Inputs!$B$7)^(DN$2-1)</f>
        <v>1989.7791053396</v>
      </c>
      <c r="DO69" s="11" t="n">
        <f aca="false">Units!$E68*(1+Inputs!$B$7)^(DO$2-1)</f>
        <v>1989.7791053396</v>
      </c>
      <c r="DP69" s="11" t="n">
        <f aca="false">Units!$E68*(1+Inputs!$B$7)^(DP$2-1)</f>
        <v>1989.7791053396</v>
      </c>
      <c r="DQ69" s="11" t="n">
        <f aca="false">Units!$E68*(1+Inputs!$B$7)^(DQ$2-1)</f>
        <v>1989.7791053396</v>
      </c>
      <c r="DR69" s="11" t="n">
        <f aca="false">Units!$E68*(1+Inputs!$B$7)^(DR$2-1)</f>
        <v>1989.7791053396</v>
      </c>
      <c r="DS69" s="11" t="n">
        <f aca="false">Units!$E68*(1+Inputs!$B$7)^(DS$2-1)</f>
        <v>2049.47247849979</v>
      </c>
      <c r="DT69" s="11" t="n">
        <f aca="false">Units!$E68*(1+Inputs!$B$7)^(DT$2-1)</f>
        <v>2049.47247849979</v>
      </c>
      <c r="DU69" s="11" t="n">
        <f aca="false">Units!$E68*(1+Inputs!$B$7)^(DU$2-1)</f>
        <v>2049.47247849979</v>
      </c>
      <c r="DV69" s="11" t="n">
        <f aca="false">Units!$E68*(1+Inputs!$B$7)^(DV$2-1)</f>
        <v>2049.47247849979</v>
      </c>
      <c r="DW69" s="11" t="n">
        <f aca="false">Units!$E68*(1+Inputs!$B$7)^(DW$2-1)</f>
        <v>2049.47247849979</v>
      </c>
      <c r="DX69" s="11" t="n">
        <f aca="false">Units!$E68*(1+Inputs!$B$7)^(DX$2-1)</f>
        <v>2049.47247849979</v>
      </c>
      <c r="DY69" s="11" t="n">
        <f aca="false">Units!$E68*(1+Inputs!$B$7)^(DY$2-1)</f>
        <v>2049.47247849979</v>
      </c>
      <c r="DZ69" s="11" t="n">
        <f aca="false">Units!$E68*(1+Inputs!$B$7)^(DZ$2-1)</f>
        <v>2049.47247849979</v>
      </c>
      <c r="EA69" s="11" t="n">
        <f aca="false">Units!$E68*(1+Inputs!$B$7)^(EA$2-1)</f>
        <v>2049.47247849979</v>
      </c>
      <c r="EB69" s="11" t="n">
        <f aca="false">Units!$E68*(1+Inputs!$B$7)^(EB$2-1)</f>
        <v>2049.47247849979</v>
      </c>
      <c r="EC69" s="11" t="n">
        <f aca="false">Units!$E68*(1+Inputs!$B$7)^(EC$2-1)</f>
        <v>2049.47247849979</v>
      </c>
      <c r="ED69" s="11" t="n">
        <f aca="false">Units!$E68*(1+Inputs!$B$7)^(ED$2-1)</f>
        <v>2049.47247849979</v>
      </c>
    </row>
    <row r="70" customFormat="false" ht="15" hidden="false" customHeight="false" outlineLevel="0" collapsed="false">
      <c r="A70" s="22" t="n">
        <f aca="false">Units!A69</f>
        <v>308</v>
      </c>
      <c r="B70" s="23"/>
      <c r="C70" s="11" t="n">
        <f aca="false">Units!$E69*(1+Inputs!$B$7)^(C$2-1)</f>
        <v>1525</v>
      </c>
      <c r="D70" s="11" t="n">
        <f aca="false">Units!$E69*(1+Inputs!$B$7)^(D$2-1)</f>
        <v>1525</v>
      </c>
      <c r="E70" s="11" t="n">
        <f aca="false">Units!$E69*(1+Inputs!$B$7)^(E$2-1)</f>
        <v>1525</v>
      </c>
      <c r="F70" s="11" t="n">
        <f aca="false">Units!$E69*(1+Inputs!$B$7)^(F$2-1)</f>
        <v>1525</v>
      </c>
      <c r="G70" s="11" t="n">
        <f aca="false">Units!$E69*(1+Inputs!$B$7)^(G$2-1)</f>
        <v>1525</v>
      </c>
      <c r="H70" s="11" t="n">
        <f aca="false">Units!$E69*(1+Inputs!$B$7)^(H$2-1)</f>
        <v>1525</v>
      </c>
      <c r="I70" s="11" t="n">
        <f aca="false">Units!$E69*(1+Inputs!$B$7)^(I$2-1)</f>
        <v>1525</v>
      </c>
      <c r="J70" s="11" t="n">
        <f aca="false">Units!$E69*(1+Inputs!$B$7)^(J$2-1)</f>
        <v>1525</v>
      </c>
      <c r="K70" s="11" t="n">
        <f aca="false">Units!$E69*(1+Inputs!$B$7)^(K$2-1)</f>
        <v>1525</v>
      </c>
      <c r="L70" s="11" t="n">
        <f aca="false">Units!$E69*(1+Inputs!$B$7)^(L$2-1)</f>
        <v>1525</v>
      </c>
      <c r="M70" s="11" t="n">
        <f aca="false">Units!$E69*(1+Inputs!$B$7)^(M$2-1)</f>
        <v>1525</v>
      </c>
      <c r="N70" s="11" t="n">
        <f aca="false">Units!$E69*(1+Inputs!$B$7)^(N$2-1)</f>
        <v>1525</v>
      </c>
      <c r="O70" s="11" t="n">
        <f aca="false">Units!$E69*(1+Inputs!$B$7)^(O$2-1)</f>
        <v>1570.75</v>
      </c>
      <c r="P70" s="11" t="n">
        <f aca="false">Units!$E69*(1+Inputs!$B$7)^(P$2-1)</f>
        <v>1570.75</v>
      </c>
      <c r="Q70" s="11" t="n">
        <f aca="false">Units!$E69*(1+Inputs!$B$7)^(Q$2-1)</f>
        <v>1570.75</v>
      </c>
      <c r="R70" s="11" t="n">
        <f aca="false">Units!$E69*(1+Inputs!$B$7)^(R$2-1)</f>
        <v>1570.75</v>
      </c>
      <c r="S70" s="11" t="n">
        <f aca="false">Units!$E69*(1+Inputs!$B$7)^(S$2-1)</f>
        <v>1570.75</v>
      </c>
      <c r="T70" s="11" t="n">
        <f aca="false">Units!$E69*(1+Inputs!$B$7)^(T$2-1)</f>
        <v>1570.75</v>
      </c>
      <c r="U70" s="11" t="n">
        <f aca="false">Units!$E69*(1+Inputs!$B$7)^(U$2-1)</f>
        <v>1570.75</v>
      </c>
      <c r="V70" s="11" t="n">
        <f aca="false">Units!$E69*(1+Inputs!$B$7)^(V$2-1)</f>
        <v>1570.75</v>
      </c>
      <c r="W70" s="11" t="n">
        <f aca="false">Units!$E69*(1+Inputs!$B$7)^(W$2-1)</f>
        <v>1570.75</v>
      </c>
      <c r="X70" s="11" t="n">
        <f aca="false">Units!$E69*(1+Inputs!$B$7)^(X$2-1)</f>
        <v>1570.75</v>
      </c>
      <c r="Y70" s="11" t="n">
        <f aca="false">Units!$E69*(1+Inputs!$B$7)^(Y$2-1)</f>
        <v>1570.75</v>
      </c>
      <c r="Z70" s="11" t="n">
        <f aca="false">Units!$E69*(1+Inputs!$B$7)^(Z$2-1)</f>
        <v>1570.75</v>
      </c>
      <c r="AA70" s="11" t="n">
        <f aca="false">Units!$E69*(1+Inputs!$B$7)^(AA$2-1)</f>
        <v>1617.8725</v>
      </c>
      <c r="AB70" s="11" t="n">
        <f aca="false">Units!$E69*(1+Inputs!$B$7)^(AB$2-1)</f>
        <v>1617.8725</v>
      </c>
      <c r="AC70" s="11" t="n">
        <f aca="false">Units!$E69*(1+Inputs!$B$7)^(AC$2-1)</f>
        <v>1617.8725</v>
      </c>
      <c r="AD70" s="11" t="n">
        <f aca="false">Units!$E69*(1+Inputs!$B$7)^(AD$2-1)</f>
        <v>1617.8725</v>
      </c>
      <c r="AE70" s="11" t="n">
        <f aca="false">Units!$E69*(1+Inputs!$B$7)^(AE$2-1)</f>
        <v>1617.8725</v>
      </c>
      <c r="AF70" s="11" t="n">
        <f aca="false">Units!$E69*(1+Inputs!$B$7)^(AF$2-1)</f>
        <v>1617.8725</v>
      </c>
      <c r="AG70" s="11" t="n">
        <f aca="false">Units!$E69*(1+Inputs!$B$7)^(AG$2-1)</f>
        <v>1617.8725</v>
      </c>
      <c r="AH70" s="11" t="n">
        <f aca="false">Units!$E69*(1+Inputs!$B$7)^(AH$2-1)</f>
        <v>1617.8725</v>
      </c>
      <c r="AI70" s="11" t="n">
        <f aca="false">Units!$E69*(1+Inputs!$B$7)^(AI$2-1)</f>
        <v>1617.8725</v>
      </c>
      <c r="AJ70" s="11" t="n">
        <f aca="false">Units!$E69*(1+Inputs!$B$7)^(AJ$2-1)</f>
        <v>1617.8725</v>
      </c>
      <c r="AK70" s="11" t="n">
        <f aca="false">Units!$E69*(1+Inputs!$B$7)^(AK$2-1)</f>
        <v>1617.8725</v>
      </c>
      <c r="AL70" s="11" t="n">
        <f aca="false">Units!$E69*(1+Inputs!$B$7)^(AL$2-1)</f>
        <v>1617.8725</v>
      </c>
      <c r="AM70" s="11" t="n">
        <f aca="false">Units!$E69*(1+Inputs!$B$7)^(AM$2-1)</f>
        <v>1666.408675</v>
      </c>
      <c r="AN70" s="11" t="n">
        <f aca="false">Units!$E69*(1+Inputs!$B$7)^(AN$2-1)</f>
        <v>1666.408675</v>
      </c>
      <c r="AO70" s="11" t="n">
        <f aca="false">Units!$E69*(1+Inputs!$B$7)^(AO$2-1)</f>
        <v>1666.408675</v>
      </c>
      <c r="AP70" s="11" t="n">
        <f aca="false">Units!$E69*(1+Inputs!$B$7)^(AP$2-1)</f>
        <v>1666.408675</v>
      </c>
      <c r="AQ70" s="11" t="n">
        <f aca="false">Units!$E69*(1+Inputs!$B$7)^(AQ$2-1)</f>
        <v>1666.408675</v>
      </c>
      <c r="AR70" s="11" t="n">
        <f aca="false">Units!$E69*(1+Inputs!$B$7)^(AR$2-1)</f>
        <v>1666.408675</v>
      </c>
      <c r="AS70" s="11" t="n">
        <f aca="false">Units!$E69*(1+Inputs!$B$7)^(AS$2-1)</f>
        <v>1666.408675</v>
      </c>
      <c r="AT70" s="11" t="n">
        <f aca="false">Units!$E69*(1+Inputs!$B$7)^(AT$2-1)</f>
        <v>1666.408675</v>
      </c>
      <c r="AU70" s="11" t="n">
        <f aca="false">Units!$E69*(1+Inputs!$B$7)^(AU$2-1)</f>
        <v>1666.408675</v>
      </c>
      <c r="AV70" s="11" t="n">
        <f aca="false">Units!$E69*(1+Inputs!$B$7)^(AV$2-1)</f>
        <v>1666.408675</v>
      </c>
      <c r="AW70" s="11" t="n">
        <f aca="false">Units!$E69*(1+Inputs!$B$7)^(AW$2-1)</f>
        <v>1666.408675</v>
      </c>
      <c r="AX70" s="11" t="n">
        <f aca="false">Units!$E69*(1+Inputs!$B$7)^(AX$2-1)</f>
        <v>1666.408675</v>
      </c>
      <c r="AY70" s="11" t="n">
        <f aca="false">Units!$E69*(1+Inputs!$B$7)^(AY$2-1)</f>
        <v>1716.40093525</v>
      </c>
      <c r="AZ70" s="11" t="n">
        <f aca="false">Units!$E69*(1+Inputs!$B$7)^(AZ$2-1)</f>
        <v>1716.40093525</v>
      </c>
      <c r="BA70" s="11" t="n">
        <f aca="false">Units!$E69*(1+Inputs!$B$7)^(BA$2-1)</f>
        <v>1716.40093525</v>
      </c>
      <c r="BB70" s="11" t="n">
        <f aca="false">Units!$E69*(1+Inputs!$B$7)^(BB$2-1)</f>
        <v>1716.40093525</v>
      </c>
      <c r="BC70" s="11" t="n">
        <f aca="false">Units!$E69*(1+Inputs!$B$7)^(BC$2-1)</f>
        <v>1716.40093525</v>
      </c>
      <c r="BD70" s="11" t="n">
        <f aca="false">Units!$E69*(1+Inputs!$B$7)^(BD$2-1)</f>
        <v>1716.40093525</v>
      </c>
      <c r="BE70" s="11" t="n">
        <f aca="false">Units!$E69*(1+Inputs!$B$7)^(BE$2-1)</f>
        <v>1716.40093525</v>
      </c>
      <c r="BF70" s="11" t="n">
        <f aca="false">Units!$E69*(1+Inputs!$B$7)^(BF$2-1)</f>
        <v>1716.40093525</v>
      </c>
      <c r="BG70" s="11" t="n">
        <f aca="false">Units!$E69*(1+Inputs!$B$7)^(BG$2-1)</f>
        <v>1716.40093525</v>
      </c>
      <c r="BH70" s="11" t="n">
        <f aca="false">Units!$E69*(1+Inputs!$B$7)^(BH$2-1)</f>
        <v>1716.40093525</v>
      </c>
      <c r="BI70" s="11" t="n">
        <f aca="false">Units!$E69*(1+Inputs!$B$7)^(BI$2-1)</f>
        <v>1716.40093525</v>
      </c>
      <c r="BJ70" s="11" t="n">
        <f aca="false">Units!$E69*(1+Inputs!$B$7)^(BJ$2-1)</f>
        <v>1716.40093525</v>
      </c>
      <c r="BK70" s="11" t="n">
        <f aca="false">Units!$E69*(1+Inputs!$B$7)^(BK$2-1)</f>
        <v>1767.8929633075</v>
      </c>
      <c r="BL70" s="11" t="n">
        <f aca="false">Units!$E69*(1+Inputs!$B$7)^(BL$2-1)</f>
        <v>1767.8929633075</v>
      </c>
      <c r="BM70" s="11" t="n">
        <f aca="false">Units!$E69*(1+Inputs!$B$7)^(BM$2-1)</f>
        <v>1767.8929633075</v>
      </c>
      <c r="BN70" s="11" t="n">
        <f aca="false">Units!$E69*(1+Inputs!$B$7)^(BN$2-1)</f>
        <v>1767.8929633075</v>
      </c>
      <c r="BO70" s="11" t="n">
        <f aca="false">Units!$E69*(1+Inputs!$B$7)^(BO$2-1)</f>
        <v>1767.8929633075</v>
      </c>
      <c r="BP70" s="11" t="n">
        <f aca="false">Units!$E69*(1+Inputs!$B$7)^(BP$2-1)</f>
        <v>1767.8929633075</v>
      </c>
      <c r="BQ70" s="11" t="n">
        <f aca="false">Units!$E69*(1+Inputs!$B$7)^(BQ$2-1)</f>
        <v>1767.8929633075</v>
      </c>
      <c r="BR70" s="11" t="n">
        <f aca="false">Units!$E69*(1+Inputs!$B$7)^(BR$2-1)</f>
        <v>1767.8929633075</v>
      </c>
      <c r="BS70" s="11" t="n">
        <f aca="false">Units!$E69*(1+Inputs!$B$7)^(BS$2-1)</f>
        <v>1767.8929633075</v>
      </c>
      <c r="BT70" s="11" t="n">
        <f aca="false">Units!$E69*(1+Inputs!$B$7)^(BT$2-1)</f>
        <v>1767.8929633075</v>
      </c>
      <c r="BU70" s="11" t="n">
        <f aca="false">Units!$E69*(1+Inputs!$B$7)^(BU$2-1)</f>
        <v>1767.8929633075</v>
      </c>
      <c r="BV70" s="11" t="n">
        <f aca="false">Units!$E69*(1+Inputs!$B$7)^(BV$2-1)</f>
        <v>1767.8929633075</v>
      </c>
      <c r="BW70" s="11" t="n">
        <f aca="false">Units!$E69*(1+Inputs!$B$7)^(BW$2-1)</f>
        <v>1820.92975220673</v>
      </c>
      <c r="BX70" s="11" t="n">
        <f aca="false">Units!$E69*(1+Inputs!$B$7)^(BX$2-1)</f>
        <v>1820.92975220673</v>
      </c>
      <c r="BY70" s="11" t="n">
        <f aca="false">Units!$E69*(1+Inputs!$B$7)^(BY$2-1)</f>
        <v>1820.92975220673</v>
      </c>
      <c r="BZ70" s="11" t="n">
        <f aca="false">Units!$E69*(1+Inputs!$B$7)^(BZ$2-1)</f>
        <v>1820.92975220673</v>
      </c>
      <c r="CA70" s="11" t="n">
        <f aca="false">Units!$E69*(1+Inputs!$B$7)^(CA$2-1)</f>
        <v>1820.92975220673</v>
      </c>
      <c r="CB70" s="11" t="n">
        <f aca="false">Units!$E69*(1+Inputs!$B$7)^(CB$2-1)</f>
        <v>1820.92975220673</v>
      </c>
      <c r="CC70" s="11" t="n">
        <f aca="false">Units!$E69*(1+Inputs!$B$7)^(CC$2-1)</f>
        <v>1820.92975220673</v>
      </c>
      <c r="CD70" s="11" t="n">
        <f aca="false">Units!$E69*(1+Inputs!$B$7)^(CD$2-1)</f>
        <v>1820.92975220673</v>
      </c>
      <c r="CE70" s="11" t="n">
        <f aca="false">Units!$E69*(1+Inputs!$B$7)^(CE$2-1)</f>
        <v>1820.92975220673</v>
      </c>
      <c r="CF70" s="11" t="n">
        <f aca="false">Units!$E69*(1+Inputs!$B$7)^(CF$2-1)</f>
        <v>1820.92975220673</v>
      </c>
      <c r="CG70" s="11" t="n">
        <f aca="false">Units!$E69*(1+Inputs!$B$7)^(CG$2-1)</f>
        <v>1820.92975220673</v>
      </c>
      <c r="CH70" s="11" t="n">
        <f aca="false">Units!$E69*(1+Inputs!$B$7)^(CH$2-1)</f>
        <v>1820.92975220673</v>
      </c>
      <c r="CI70" s="11" t="n">
        <f aca="false">Units!$E69*(1+Inputs!$B$7)^(CI$2-1)</f>
        <v>1875.55764477293</v>
      </c>
      <c r="CJ70" s="11" t="n">
        <f aca="false">Units!$E69*(1+Inputs!$B$7)^(CJ$2-1)</f>
        <v>1875.55764477293</v>
      </c>
      <c r="CK70" s="11" t="n">
        <f aca="false">Units!$E69*(1+Inputs!$B$7)^(CK$2-1)</f>
        <v>1875.55764477293</v>
      </c>
      <c r="CL70" s="11" t="n">
        <f aca="false">Units!$E69*(1+Inputs!$B$7)^(CL$2-1)</f>
        <v>1875.55764477293</v>
      </c>
      <c r="CM70" s="11" t="n">
        <f aca="false">Units!$E69*(1+Inputs!$B$7)^(CM$2-1)</f>
        <v>1875.55764477293</v>
      </c>
      <c r="CN70" s="11" t="n">
        <f aca="false">Units!$E69*(1+Inputs!$B$7)^(CN$2-1)</f>
        <v>1875.55764477293</v>
      </c>
      <c r="CO70" s="11" t="n">
        <f aca="false">Units!$E69*(1+Inputs!$B$7)^(CO$2-1)</f>
        <v>1875.55764477293</v>
      </c>
      <c r="CP70" s="11" t="n">
        <f aca="false">Units!$E69*(1+Inputs!$B$7)^(CP$2-1)</f>
        <v>1875.55764477293</v>
      </c>
      <c r="CQ70" s="11" t="n">
        <f aca="false">Units!$E69*(1+Inputs!$B$7)^(CQ$2-1)</f>
        <v>1875.55764477293</v>
      </c>
      <c r="CR70" s="11" t="n">
        <f aca="false">Units!$E69*(1+Inputs!$B$7)^(CR$2-1)</f>
        <v>1875.55764477293</v>
      </c>
      <c r="CS70" s="11" t="n">
        <f aca="false">Units!$E69*(1+Inputs!$B$7)^(CS$2-1)</f>
        <v>1875.55764477293</v>
      </c>
      <c r="CT70" s="11" t="n">
        <f aca="false">Units!$E69*(1+Inputs!$B$7)^(CT$2-1)</f>
        <v>1875.55764477293</v>
      </c>
      <c r="CU70" s="11" t="n">
        <f aca="false">Units!$E69*(1+Inputs!$B$7)^(CU$2-1)</f>
        <v>1931.82437411612</v>
      </c>
      <c r="CV70" s="11" t="n">
        <f aca="false">Units!$E69*(1+Inputs!$B$7)^(CV$2-1)</f>
        <v>1931.82437411612</v>
      </c>
      <c r="CW70" s="11" t="n">
        <f aca="false">Units!$E69*(1+Inputs!$B$7)^(CW$2-1)</f>
        <v>1931.82437411612</v>
      </c>
      <c r="CX70" s="11" t="n">
        <f aca="false">Units!$E69*(1+Inputs!$B$7)^(CX$2-1)</f>
        <v>1931.82437411612</v>
      </c>
      <c r="CY70" s="11" t="n">
        <f aca="false">Units!$E69*(1+Inputs!$B$7)^(CY$2-1)</f>
        <v>1931.82437411612</v>
      </c>
      <c r="CZ70" s="11" t="n">
        <f aca="false">Units!$E69*(1+Inputs!$B$7)^(CZ$2-1)</f>
        <v>1931.82437411612</v>
      </c>
      <c r="DA70" s="11" t="n">
        <f aca="false">Units!$E69*(1+Inputs!$B$7)^(DA$2-1)</f>
        <v>1931.82437411612</v>
      </c>
      <c r="DB70" s="11" t="n">
        <f aca="false">Units!$E69*(1+Inputs!$B$7)^(DB$2-1)</f>
        <v>1931.82437411612</v>
      </c>
      <c r="DC70" s="11" t="n">
        <f aca="false">Units!$E69*(1+Inputs!$B$7)^(DC$2-1)</f>
        <v>1931.82437411612</v>
      </c>
      <c r="DD70" s="11" t="n">
        <f aca="false">Units!$E69*(1+Inputs!$B$7)^(DD$2-1)</f>
        <v>1931.82437411612</v>
      </c>
      <c r="DE70" s="11" t="n">
        <f aca="false">Units!$E69*(1+Inputs!$B$7)^(DE$2-1)</f>
        <v>1931.82437411612</v>
      </c>
      <c r="DF70" s="11" t="n">
        <f aca="false">Units!$E69*(1+Inputs!$B$7)^(DF$2-1)</f>
        <v>1931.82437411612</v>
      </c>
      <c r="DG70" s="11" t="n">
        <f aca="false">Units!$E69*(1+Inputs!$B$7)^(DG$2-1)</f>
        <v>1989.7791053396</v>
      </c>
      <c r="DH70" s="11" t="n">
        <f aca="false">Units!$E69*(1+Inputs!$B$7)^(DH$2-1)</f>
        <v>1989.7791053396</v>
      </c>
      <c r="DI70" s="11" t="n">
        <f aca="false">Units!$E69*(1+Inputs!$B$7)^(DI$2-1)</f>
        <v>1989.7791053396</v>
      </c>
      <c r="DJ70" s="11" t="n">
        <f aca="false">Units!$E69*(1+Inputs!$B$7)^(DJ$2-1)</f>
        <v>1989.7791053396</v>
      </c>
      <c r="DK70" s="11" t="n">
        <f aca="false">Units!$E69*(1+Inputs!$B$7)^(DK$2-1)</f>
        <v>1989.7791053396</v>
      </c>
      <c r="DL70" s="11" t="n">
        <f aca="false">Units!$E69*(1+Inputs!$B$7)^(DL$2-1)</f>
        <v>1989.7791053396</v>
      </c>
      <c r="DM70" s="11" t="n">
        <f aca="false">Units!$E69*(1+Inputs!$B$7)^(DM$2-1)</f>
        <v>1989.7791053396</v>
      </c>
      <c r="DN70" s="11" t="n">
        <f aca="false">Units!$E69*(1+Inputs!$B$7)^(DN$2-1)</f>
        <v>1989.7791053396</v>
      </c>
      <c r="DO70" s="11" t="n">
        <f aca="false">Units!$E69*(1+Inputs!$B$7)^(DO$2-1)</f>
        <v>1989.7791053396</v>
      </c>
      <c r="DP70" s="11" t="n">
        <f aca="false">Units!$E69*(1+Inputs!$B$7)^(DP$2-1)</f>
        <v>1989.7791053396</v>
      </c>
      <c r="DQ70" s="11" t="n">
        <f aca="false">Units!$E69*(1+Inputs!$B$7)^(DQ$2-1)</f>
        <v>1989.7791053396</v>
      </c>
      <c r="DR70" s="11" t="n">
        <f aca="false">Units!$E69*(1+Inputs!$B$7)^(DR$2-1)</f>
        <v>1989.7791053396</v>
      </c>
      <c r="DS70" s="11" t="n">
        <f aca="false">Units!$E69*(1+Inputs!$B$7)^(DS$2-1)</f>
        <v>2049.47247849979</v>
      </c>
      <c r="DT70" s="11" t="n">
        <f aca="false">Units!$E69*(1+Inputs!$B$7)^(DT$2-1)</f>
        <v>2049.47247849979</v>
      </c>
      <c r="DU70" s="11" t="n">
        <f aca="false">Units!$E69*(1+Inputs!$B$7)^(DU$2-1)</f>
        <v>2049.47247849979</v>
      </c>
      <c r="DV70" s="11" t="n">
        <f aca="false">Units!$E69*(1+Inputs!$B$7)^(DV$2-1)</f>
        <v>2049.47247849979</v>
      </c>
      <c r="DW70" s="11" t="n">
        <f aca="false">Units!$E69*(1+Inputs!$B$7)^(DW$2-1)</f>
        <v>2049.47247849979</v>
      </c>
      <c r="DX70" s="11" t="n">
        <f aca="false">Units!$E69*(1+Inputs!$B$7)^(DX$2-1)</f>
        <v>2049.47247849979</v>
      </c>
      <c r="DY70" s="11" t="n">
        <f aca="false">Units!$E69*(1+Inputs!$B$7)^(DY$2-1)</f>
        <v>2049.47247849979</v>
      </c>
      <c r="DZ70" s="11" t="n">
        <f aca="false">Units!$E69*(1+Inputs!$B$7)^(DZ$2-1)</f>
        <v>2049.47247849979</v>
      </c>
      <c r="EA70" s="11" t="n">
        <f aca="false">Units!$E69*(1+Inputs!$B$7)^(EA$2-1)</f>
        <v>2049.47247849979</v>
      </c>
      <c r="EB70" s="11" t="n">
        <f aca="false">Units!$E69*(1+Inputs!$B$7)^(EB$2-1)</f>
        <v>2049.47247849979</v>
      </c>
      <c r="EC70" s="11" t="n">
        <f aca="false">Units!$E69*(1+Inputs!$B$7)^(EC$2-1)</f>
        <v>2049.47247849979</v>
      </c>
      <c r="ED70" s="11" t="n">
        <f aca="false">Units!$E69*(1+Inputs!$B$7)^(ED$2-1)</f>
        <v>2049.47247849979</v>
      </c>
    </row>
    <row r="71" customFormat="false" ht="15" hidden="false" customHeight="false" outlineLevel="0" collapsed="false">
      <c r="A71" s="22" t="n">
        <f aca="false">Units!A70</f>
        <v>309</v>
      </c>
      <c r="B71" s="23"/>
      <c r="C71" s="11" t="n">
        <f aca="false">Units!$E70*(1+Inputs!$B$7)^(C$2-1)</f>
        <v>1525</v>
      </c>
      <c r="D71" s="11" t="n">
        <f aca="false">Units!$E70*(1+Inputs!$B$7)^(D$2-1)</f>
        <v>1525</v>
      </c>
      <c r="E71" s="11" t="n">
        <f aca="false">Units!$E70*(1+Inputs!$B$7)^(E$2-1)</f>
        <v>1525</v>
      </c>
      <c r="F71" s="11" t="n">
        <f aca="false">Units!$E70*(1+Inputs!$B$7)^(F$2-1)</f>
        <v>1525</v>
      </c>
      <c r="G71" s="11" t="n">
        <f aca="false">Units!$E70*(1+Inputs!$B$7)^(G$2-1)</f>
        <v>1525</v>
      </c>
      <c r="H71" s="11" t="n">
        <f aca="false">Units!$E70*(1+Inputs!$B$7)^(H$2-1)</f>
        <v>1525</v>
      </c>
      <c r="I71" s="11" t="n">
        <f aca="false">Units!$E70*(1+Inputs!$B$7)^(I$2-1)</f>
        <v>1525</v>
      </c>
      <c r="J71" s="11" t="n">
        <f aca="false">Units!$E70*(1+Inputs!$B$7)^(J$2-1)</f>
        <v>1525</v>
      </c>
      <c r="K71" s="11" t="n">
        <f aca="false">Units!$E70*(1+Inputs!$B$7)^(K$2-1)</f>
        <v>1525</v>
      </c>
      <c r="L71" s="11" t="n">
        <f aca="false">Units!$E70*(1+Inputs!$B$7)^(L$2-1)</f>
        <v>1525</v>
      </c>
      <c r="M71" s="11" t="n">
        <f aca="false">Units!$E70*(1+Inputs!$B$7)^(M$2-1)</f>
        <v>1525</v>
      </c>
      <c r="N71" s="11" t="n">
        <f aca="false">Units!$E70*(1+Inputs!$B$7)^(N$2-1)</f>
        <v>1525</v>
      </c>
      <c r="O71" s="11" t="n">
        <f aca="false">Units!$E70*(1+Inputs!$B$7)^(O$2-1)</f>
        <v>1570.75</v>
      </c>
      <c r="P71" s="11" t="n">
        <f aca="false">Units!$E70*(1+Inputs!$B$7)^(P$2-1)</f>
        <v>1570.75</v>
      </c>
      <c r="Q71" s="11" t="n">
        <f aca="false">Units!$E70*(1+Inputs!$B$7)^(Q$2-1)</f>
        <v>1570.75</v>
      </c>
      <c r="R71" s="11" t="n">
        <f aca="false">Units!$E70*(1+Inputs!$B$7)^(R$2-1)</f>
        <v>1570.75</v>
      </c>
      <c r="S71" s="11" t="n">
        <f aca="false">Units!$E70*(1+Inputs!$B$7)^(S$2-1)</f>
        <v>1570.75</v>
      </c>
      <c r="T71" s="11" t="n">
        <f aca="false">Units!$E70*(1+Inputs!$B$7)^(T$2-1)</f>
        <v>1570.75</v>
      </c>
      <c r="U71" s="11" t="n">
        <f aca="false">Units!$E70*(1+Inputs!$B$7)^(U$2-1)</f>
        <v>1570.75</v>
      </c>
      <c r="V71" s="11" t="n">
        <f aca="false">Units!$E70*(1+Inputs!$B$7)^(V$2-1)</f>
        <v>1570.75</v>
      </c>
      <c r="W71" s="11" t="n">
        <f aca="false">Units!$E70*(1+Inputs!$B$7)^(W$2-1)</f>
        <v>1570.75</v>
      </c>
      <c r="X71" s="11" t="n">
        <f aca="false">Units!$E70*(1+Inputs!$B$7)^(X$2-1)</f>
        <v>1570.75</v>
      </c>
      <c r="Y71" s="11" t="n">
        <f aca="false">Units!$E70*(1+Inputs!$B$7)^(Y$2-1)</f>
        <v>1570.75</v>
      </c>
      <c r="Z71" s="11" t="n">
        <f aca="false">Units!$E70*(1+Inputs!$B$7)^(Z$2-1)</f>
        <v>1570.75</v>
      </c>
      <c r="AA71" s="11" t="n">
        <f aca="false">Units!$E70*(1+Inputs!$B$7)^(AA$2-1)</f>
        <v>1617.8725</v>
      </c>
      <c r="AB71" s="11" t="n">
        <f aca="false">Units!$E70*(1+Inputs!$B$7)^(AB$2-1)</f>
        <v>1617.8725</v>
      </c>
      <c r="AC71" s="11" t="n">
        <f aca="false">Units!$E70*(1+Inputs!$B$7)^(AC$2-1)</f>
        <v>1617.8725</v>
      </c>
      <c r="AD71" s="11" t="n">
        <f aca="false">Units!$E70*(1+Inputs!$B$7)^(AD$2-1)</f>
        <v>1617.8725</v>
      </c>
      <c r="AE71" s="11" t="n">
        <f aca="false">Units!$E70*(1+Inputs!$B$7)^(AE$2-1)</f>
        <v>1617.8725</v>
      </c>
      <c r="AF71" s="11" t="n">
        <f aca="false">Units!$E70*(1+Inputs!$B$7)^(AF$2-1)</f>
        <v>1617.8725</v>
      </c>
      <c r="AG71" s="11" t="n">
        <f aca="false">Units!$E70*(1+Inputs!$B$7)^(AG$2-1)</f>
        <v>1617.8725</v>
      </c>
      <c r="AH71" s="11" t="n">
        <f aca="false">Units!$E70*(1+Inputs!$B$7)^(AH$2-1)</f>
        <v>1617.8725</v>
      </c>
      <c r="AI71" s="11" t="n">
        <f aca="false">Units!$E70*(1+Inputs!$B$7)^(AI$2-1)</f>
        <v>1617.8725</v>
      </c>
      <c r="AJ71" s="11" t="n">
        <f aca="false">Units!$E70*(1+Inputs!$B$7)^(AJ$2-1)</f>
        <v>1617.8725</v>
      </c>
      <c r="AK71" s="11" t="n">
        <f aca="false">Units!$E70*(1+Inputs!$B$7)^(AK$2-1)</f>
        <v>1617.8725</v>
      </c>
      <c r="AL71" s="11" t="n">
        <f aca="false">Units!$E70*(1+Inputs!$B$7)^(AL$2-1)</f>
        <v>1617.8725</v>
      </c>
      <c r="AM71" s="11" t="n">
        <f aca="false">Units!$E70*(1+Inputs!$B$7)^(AM$2-1)</f>
        <v>1666.408675</v>
      </c>
      <c r="AN71" s="11" t="n">
        <f aca="false">Units!$E70*(1+Inputs!$B$7)^(AN$2-1)</f>
        <v>1666.408675</v>
      </c>
      <c r="AO71" s="11" t="n">
        <f aca="false">Units!$E70*(1+Inputs!$B$7)^(AO$2-1)</f>
        <v>1666.408675</v>
      </c>
      <c r="AP71" s="11" t="n">
        <f aca="false">Units!$E70*(1+Inputs!$B$7)^(AP$2-1)</f>
        <v>1666.408675</v>
      </c>
      <c r="AQ71" s="11" t="n">
        <f aca="false">Units!$E70*(1+Inputs!$B$7)^(AQ$2-1)</f>
        <v>1666.408675</v>
      </c>
      <c r="AR71" s="11" t="n">
        <f aca="false">Units!$E70*(1+Inputs!$B$7)^(AR$2-1)</f>
        <v>1666.408675</v>
      </c>
      <c r="AS71" s="11" t="n">
        <f aca="false">Units!$E70*(1+Inputs!$B$7)^(AS$2-1)</f>
        <v>1666.408675</v>
      </c>
      <c r="AT71" s="11" t="n">
        <f aca="false">Units!$E70*(1+Inputs!$B$7)^(AT$2-1)</f>
        <v>1666.408675</v>
      </c>
      <c r="AU71" s="11" t="n">
        <f aca="false">Units!$E70*(1+Inputs!$B$7)^(AU$2-1)</f>
        <v>1666.408675</v>
      </c>
      <c r="AV71" s="11" t="n">
        <f aca="false">Units!$E70*(1+Inputs!$B$7)^(AV$2-1)</f>
        <v>1666.408675</v>
      </c>
      <c r="AW71" s="11" t="n">
        <f aca="false">Units!$E70*(1+Inputs!$B$7)^(AW$2-1)</f>
        <v>1666.408675</v>
      </c>
      <c r="AX71" s="11" t="n">
        <f aca="false">Units!$E70*(1+Inputs!$B$7)^(AX$2-1)</f>
        <v>1666.408675</v>
      </c>
      <c r="AY71" s="11" t="n">
        <f aca="false">Units!$E70*(1+Inputs!$B$7)^(AY$2-1)</f>
        <v>1716.40093525</v>
      </c>
      <c r="AZ71" s="11" t="n">
        <f aca="false">Units!$E70*(1+Inputs!$B$7)^(AZ$2-1)</f>
        <v>1716.40093525</v>
      </c>
      <c r="BA71" s="11" t="n">
        <f aca="false">Units!$E70*(1+Inputs!$B$7)^(BA$2-1)</f>
        <v>1716.40093525</v>
      </c>
      <c r="BB71" s="11" t="n">
        <f aca="false">Units!$E70*(1+Inputs!$B$7)^(BB$2-1)</f>
        <v>1716.40093525</v>
      </c>
      <c r="BC71" s="11" t="n">
        <f aca="false">Units!$E70*(1+Inputs!$B$7)^(BC$2-1)</f>
        <v>1716.40093525</v>
      </c>
      <c r="BD71" s="11" t="n">
        <f aca="false">Units!$E70*(1+Inputs!$B$7)^(BD$2-1)</f>
        <v>1716.40093525</v>
      </c>
      <c r="BE71" s="11" t="n">
        <f aca="false">Units!$E70*(1+Inputs!$B$7)^(BE$2-1)</f>
        <v>1716.40093525</v>
      </c>
      <c r="BF71" s="11" t="n">
        <f aca="false">Units!$E70*(1+Inputs!$B$7)^(BF$2-1)</f>
        <v>1716.40093525</v>
      </c>
      <c r="BG71" s="11" t="n">
        <f aca="false">Units!$E70*(1+Inputs!$B$7)^(BG$2-1)</f>
        <v>1716.40093525</v>
      </c>
      <c r="BH71" s="11" t="n">
        <f aca="false">Units!$E70*(1+Inputs!$B$7)^(BH$2-1)</f>
        <v>1716.40093525</v>
      </c>
      <c r="BI71" s="11" t="n">
        <f aca="false">Units!$E70*(1+Inputs!$B$7)^(BI$2-1)</f>
        <v>1716.40093525</v>
      </c>
      <c r="BJ71" s="11" t="n">
        <f aca="false">Units!$E70*(1+Inputs!$B$7)^(BJ$2-1)</f>
        <v>1716.40093525</v>
      </c>
      <c r="BK71" s="11" t="n">
        <f aca="false">Units!$E70*(1+Inputs!$B$7)^(BK$2-1)</f>
        <v>1767.8929633075</v>
      </c>
      <c r="BL71" s="11" t="n">
        <f aca="false">Units!$E70*(1+Inputs!$B$7)^(BL$2-1)</f>
        <v>1767.8929633075</v>
      </c>
      <c r="BM71" s="11" t="n">
        <f aca="false">Units!$E70*(1+Inputs!$B$7)^(BM$2-1)</f>
        <v>1767.8929633075</v>
      </c>
      <c r="BN71" s="11" t="n">
        <f aca="false">Units!$E70*(1+Inputs!$B$7)^(BN$2-1)</f>
        <v>1767.8929633075</v>
      </c>
      <c r="BO71" s="11" t="n">
        <f aca="false">Units!$E70*(1+Inputs!$B$7)^(BO$2-1)</f>
        <v>1767.8929633075</v>
      </c>
      <c r="BP71" s="11" t="n">
        <f aca="false">Units!$E70*(1+Inputs!$B$7)^(BP$2-1)</f>
        <v>1767.8929633075</v>
      </c>
      <c r="BQ71" s="11" t="n">
        <f aca="false">Units!$E70*(1+Inputs!$B$7)^(BQ$2-1)</f>
        <v>1767.8929633075</v>
      </c>
      <c r="BR71" s="11" t="n">
        <f aca="false">Units!$E70*(1+Inputs!$B$7)^(BR$2-1)</f>
        <v>1767.8929633075</v>
      </c>
      <c r="BS71" s="11" t="n">
        <f aca="false">Units!$E70*(1+Inputs!$B$7)^(BS$2-1)</f>
        <v>1767.8929633075</v>
      </c>
      <c r="BT71" s="11" t="n">
        <f aca="false">Units!$E70*(1+Inputs!$B$7)^(BT$2-1)</f>
        <v>1767.8929633075</v>
      </c>
      <c r="BU71" s="11" t="n">
        <f aca="false">Units!$E70*(1+Inputs!$B$7)^(BU$2-1)</f>
        <v>1767.8929633075</v>
      </c>
      <c r="BV71" s="11" t="n">
        <f aca="false">Units!$E70*(1+Inputs!$B$7)^(BV$2-1)</f>
        <v>1767.8929633075</v>
      </c>
      <c r="BW71" s="11" t="n">
        <f aca="false">Units!$E70*(1+Inputs!$B$7)^(BW$2-1)</f>
        <v>1820.92975220673</v>
      </c>
      <c r="BX71" s="11" t="n">
        <f aca="false">Units!$E70*(1+Inputs!$B$7)^(BX$2-1)</f>
        <v>1820.92975220673</v>
      </c>
      <c r="BY71" s="11" t="n">
        <f aca="false">Units!$E70*(1+Inputs!$B$7)^(BY$2-1)</f>
        <v>1820.92975220673</v>
      </c>
      <c r="BZ71" s="11" t="n">
        <f aca="false">Units!$E70*(1+Inputs!$B$7)^(BZ$2-1)</f>
        <v>1820.92975220673</v>
      </c>
      <c r="CA71" s="11" t="n">
        <f aca="false">Units!$E70*(1+Inputs!$B$7)^(CA$2-1)</f>
        <v>1820.92975220673</v>
      </c>
      <c r="CB71" s="11" t="n">
        <f aca="false">Units!$E70*(1+Inputs!$B$7)^(CB$2-1)</f>
        <v>1820.92975220673</v>
      </c>
      <c r="CC71" s="11" t="n">
        <f aca="false">Units!$E70*(1+Inputs!$B$7)^(CC$2-1)</f>
        <v>1820.92975220673</v>
      </c>
      <c r="CD71" s="11" t="n">
        <f aca="false">Units!$E70*(1+Inputs!$B$7)^(CD$2-1)</f>
        <v>1820.92975220673</v>
      </c>
      <c r="CE71" s="11" t="n">
        <f aca="false">Units!$E70*(1+Inputs!$B$7)^(CE$2-1)</f>
        <v>1820.92975220673</v>
      </c>
      <c r="CF71" s="11" t="n">
        <f aca="false">Units!$E70*(1+Inputs!$B$7)^(CF$2-1)</f>
        <v>1820.92975220673</v>
      </c>
      <c r="CG71" s="11" t="n">
        <f aca="false">Units!$E70*(1+Inputs!$B$7)^(CG$2-1)</f>
        <v>1820.92975220673</v>
      </c>
      <c r="CH71" s="11" t="n">
        <f aca="false">Units!$E70*(1+Inputs!$B$7)^(CH$2-1)</f>
        <v>1820.92975220673</v>
      </c>
      <c r="CI71" s="11" t="n">
        <f aca="false">Units!$E70*(1+Inputs!$B$7)^(CI$2-1)</f>
        <v>1875.55764477293</v>
      </c>
      <c r="CJ71" s="11" t="n">
        <f aca="false">Units!$E70*(1+Inputs!$B$7)^(CJ$2-1)</f>
        <v>1875.55764477293</v>
      </c>
      <c r="CK71" s="11" t="n">
        <f aca="false">Units!$E70*(1+Inputs!$B$7)^(CK$2-1)</f>
        <v>1875.55764477293</v>
      </c>
      <c r="CL71" s="11" t="n">
        <f aca="false">Units!$E70*(1+Inputs!$B$7)^(CL$2-1)</f>
        <v>1875.55764477293</v>
      </c>
      <c r="CM71" s="11" t="n">
        <f aca="false">Units!$E70*(1+Inputs!$B$7)^(CM$2-1)</f>
        <v>1875.55764477293</v>
      </c>
      <c r="CN71" s="11" t="n">
        <f aca="false">Units!$E70*(1+Inputs!$B$7)^(CN$2-1)</f>
        <v>1875.55764477293</v>
      </c>
      <c r="CO71" s="11" t="n">
        <f aca="false">Units!$E70*(1+Inputs!$B$7)^(CO$2-1)</f>
        <v>1875.55764477293</v>
      </c>
      <c r="CP71" s="11" t="n">
        <f aca="false">Units!$E70*(1+Inputs!$B$7)^(CP$2-1)</f>
        <v>1875.55764477293</v>
      </c>
      <c r="CQ71" s="11" t="n">
        <f aca="false">Units!$E70*(1+Inputs!$B$7)^(CQ$2-1)</f>
        <v>1875.55764477293</v>
      </c>
      <c r="CR71" s="11" t="n">
        <f aca="false">Units!$E70*(1+Inputs!$B$7)^(CR$2-1)</f>
        <v>1875.55764477293</v>
      </c>
      <c r="CS71" s="11" t="n">
        <f aca="false">Units!$E70*(1+Inputs!$B$7)^(CS$2-1)</f>
        <v>1875.55764477293</v>
      </c>
      <c r="CT71" s="11" t="n">
        <f aca="false">Units!$E70*(1+Inputs!$B$7)^(CT$2-1)</f>
        <v>1875.55764477293</v>
      </c>
      <c r="CU71" s="11" t="n">
        <f aca="false">Units!$E70*(1+Inputs!$B$7)^(CU$2-1)</f>
        <v>1931.82437411612</v>
      </c>
      <c r="CV71" s="11" t="n">
        <f aca="false">Units!$E70*(1+Inputs!$B$7)^(CV$2-1)</f>
        <v>1931.82437411612</v>
      </c>
      <c r="CW71" s="11" t="n">
        <f aca="false">Units!$E70*(1+Inputs!$B$7)^(CW$2-1)</f>
        <v>1931.82437411612</v>
      </c>
      <c r="CX71" s="11" t="n">
        <f aca="false">Units!$E70*(1+Inputs!$B$7)^(CX$2-1)</f>
        <v>1931.82437411612</v>
      </c>
      <c r="CY71" s="11" t="n">
        <f aca="false">Units!$E70*(1+Inputs!$B$7)^(CY$2-1)</f>
        <v>1931.82437411612</v>
      </c>
      <c r="CZ71" s="11" t="n">
        <f aca="false">Units!$E70*(1+Inputs!$B$7)^(CZ$2-1)</f>
        <v>1931.82437411612</v>
      </c>
      <c r="DA71" s="11" t="n">
        <f aca="false">Units!$E70*(1+Inputs!$B$7)^(DA$2-1)</f>
        <v>1931.82437411612</v>
      </c>
      <c r="DB71" s="11" t="n">
        <f aca="false">Units!$E70*(1+Inputs!$B$7)^(DB$2-1)</f>
        <v>1931.82437411612</v>
      </c>
      <c r="DC71" s="11" t="n">
        <f aca="false">Units!$E70*(1+Inputs!$B$7)^(DC$2-1)</f>
        <v>1931.82437411612</v>
      </c>
      <c r="DD71" s="11" t="n">
        <f aca="false">Units!$E70*(1+Inputs!$B$7)^(DD$2-1)</f>
        <v>1931.82437411612</v>
      </c>
      <c r="DE71" s="11" t="n">
        <f aca="false">Units!$E70*(1+Inputs!$B$7)^(DE$2-1)</f>
        <v>1931.82437411612</v>
      </c>
      <c r="DF71" s="11" t="n">
        <f aca="false">Units!$E70*(1+Inputs!$B$7)^(DF$2-1)</f>
        <v>1931.82437411612</v>
      </c>
      <c r="DG71" s="11" t="n">
        <f aca="false">Units!$E70*(1+Inputs!$B$7)^(DG$2-1)</f>
        <v>1989.7791053396</v>
      </c>
      <c r="DH71" s="11" t="n">
        <f aca="false">Units!$E70*(1+Inputs!$B$7)^(DH$2-1)</f>
        <v>1989.7791053396</v>
      </c>
      <c r="DI71" s="11" t="n">
        <f aca="false">Units!$E70*(1+Inputs!$B$7)^(DI$2-1)</f>
        <v>1989.7791053396</v>
      </c>
      <c r="DJ71" s="11" t="n">
        <f aca="false">Units!$E70*(1+Inputs!$B$7)^(DJ$2-1)</f>
        <v>1989.7791053396</v>
      </c>
      <c r="DK71" s="11" t="n">
        <f aca="false">Units!$E70*(1+Inputs!$B$7)^(DK$2-1)</f>
        <v>1989.7791053396</v>
      </c>
      <c r="DL71" s="11" t="n">
        <f aca="false">Units!$E70*(1+Inputs!$B$7)^(DL$2-1)</f>
        <v>1989.7791053396</v>
      </c>
      <c r="DM71" s="11" t="n">
        <f aca="false">Units!$E70*(1+Inputs!$B$7)^(DM$2-1)</f>
        <v>1989.7791053396</v>
      </c>
      <c r="DN71" s="11" t="n">
        <f aca="false">Units!$E70*(1+Inputs!$B$7)^(DN$2-1)</f>
        <v>1989.7791053396</v>
      </c>
      <c r="DO71" s="11" t="n">
        <f aca="false">Units!$E70*(1+Inputs!$B$7)^(DO$2-1)</f>
        <v>1989.7791053396</v>
      </c>
      <c r="DP71" s="11" t="n">
        <f aca="false">Units!$E70*(1+Inputs!$B$7)^(DP$2-1)</f>
        <v>1989.7791053396</v>
      </c>
      <c r="DQ71" s="11" t="n">
        <f aca="false">Units!$E70*(1+Inputs!$B$7)^(DQ$2-1)</f>
        <v>1989.7791053396</v>
      </c>
      <c r="DR71" s="11" t="n">
        <f aca="false">Units!$E70*(1+Inputs!$B$7)^(DR$2-1)</f>
        <v>1989.7791053396</v>
      </c>
      <c r="DS71" s="11" t="n">
        <f aca="false">Units!$E70*(1+Inputs!$B$7)^(DS$2-1)</f>
        <v>2049.47247849979</v>
      </c>
      <c r="DT71" s="11" t="n">
        <f aca="false">Units!$E70*(1+Inputs!$B$7)^(DT$2-1)</f>
        <v>2049.47247849979</v>
      </c>
      <c r="DU71" s="11" t="n">
        <f aca="false">Units!$E70*(1+Inputs!$B$7)^(DU$2-1)</f>
        <v>2049.47247849979</v>
      </c>
      <c r="DV71" s="11" t="n">
        <f aca="false">Units!$E70*(1+Inputs!$B$7)^(DV$2-1)</f>
        <v>2049.47247849979</v>
      </c>
      <c r="DW71" s="11" t="n">
        <f aca="false">Units!$E70*(1+Inputs!$B$7)^(DW$2-1)</f>
        <v>2049.47247849979</v>
      </c>
      <c r="DX71" s="11" t="n">
        <f aca="false">Units!$E70*(1+Inputs!$B$7)^(DX$2-1)</f>
        <v>2049.47247849979</v>
      </c>
      <c r="DY71" s="11" t="n">
        <f aca="false">Units!$E70*(1+Inputs!$B$7)^(DY$2-1)</f>
        <v>2049.47247849979</v>
      </c>
      <c r="DZ71" s="11" t="n">
        <f aca="false">Units!$E70*(1+Inputs!$B$7)^(DZ$2-1)</f>
        <v>2049.47247849979</v>
      </c>
      <c r="EA71" s="11" t="n">
        <f aca="false">Units!$E70*(1+Inputs!$B$7)^(EA$2-1)</f>
        <v>2049.47247849979</v>
      </c>
      <c r="EB71" s="11" t="n">
        <f aca="false">Units!$E70*(1+Inputs!$B$7)^(EB$2-1)</f>
        <v>2049.47247849979</v>
      </c>
      <c r="EC71" s="11" t="n">
        <f aca="false">Units!$E70*(1+Inputs!$B$7)^(EC$2-1)</f>
        <v>2049.47247849979</v>
      </c>
      <c r="ED71" s="11" t="n">
        <f aca="false">Units!$E70*(1+Inputs!$B$7)^(ED$2-1)</f>
        <v>2049.47247849979</v>
      </c>
    </row>
    <row r="72" customFormat="false" ht="15" hidden="false" customHeight="false" outlineLevel="0" collapsed="false">
      <c r="A72" s="22" t="n">
        <f aca="false">Units!A71</f>
        <v>310</v>
      </c>
      <c r="B72" s="23"/>
      <c r="C72" s="11" t="n">
        <f aca="false">Units!$E71*(1+Inputs!$B$7)^(C$2-1)</f>
        <v>1525</v>
      </c>
      <c r="D72" s="11" t="n">
        <f aca="false">Units!$E71*(1+Inputs!$B$7)^(D$2-1)</f>
        <v>1525</v>
      </c>
      <c r="E72" s="11" t="n">
        <f aca="false">Units!$E71*(1+Inputs!$B$7)^(E$2-1)</f>
        <v>1525</v>
      </c>
      <c r="F72" s="11" t="n">
        <f aca="false">Units!$E71*(1+Inputs!$B$7)^(F$2-1)</f>
        <v>1525</v>
      </c>
      <c r="G72" s="11" t="n">
        <f aca="false">Units!$E71*(1+Inputs!$B$7)^(G$2-1)</f>
        <v>1525</v>
      </c>
      <c r="H72" s="11" t="n">
        <f aca="false">Units!$E71*(1+Inputs!$B$7)^(H$2-1)</f>
        <v>1525</v>
      </c>
      <c r="I72" s="11" t="n">
        <f aca="false">Units!$E71*(1+Inputs!$B$7)^(I$2-1)</f>
        <v>1525</v>
      </c>
      <c r="J72" s="11" t="n">
        <f aca="false">Units!$E71*(1+Inputs!$B$7)^(J$2-1)</f>
        <v>1525</v>
      </c>
      <c r="K72" s="11" t="n">
        <f aca="false">Units!$E71*(1+Inputs!$B$7)^(K$2-1)</f>
        <v>1525</v>
      </c>
      <c r="L72" s="11" t="n">
        <f aca="false">Units!$E71*(1+Inputs!$B$7)^(L$2-1)</f>
        <v>1525</v>
      </c>
      <c r="M72" s="11" t="n">
        <f aca="false">Units!$E71*(1+Inputs!$B$7)^(M$2-1)</f>
        <v>1525</v>
      </c>
      <c r="N72" s="11" t="n">
        <f aca="false">Units!$E71*(1+Inputs!$B$7)^(N$2-1)</f>
        <v>1525</v>
      </c>
      <c r="O72" s="11" t="n">
        <f aca="false">Units!$E71*(1+Inputs!$B$7)^(O$2-1)</f>
        <v>1570.75</v>
      </c>
      <c r="P72" s="11" t="n">
        <f aca="false">Units!$E71*(1+Inputs!$B$7)^(P$2-1)</f>
        <v>1570.75</v>
      </c>
      <c r="Q72" s="11" t="n">
        <f aca="false">Units!$E71*(1+Inputs!$B$7)^(Q$2-1)</f>
        <v>1570.75</v>
      </c>
      <c r="R72" s="11" t="n">
        <f aca="false">Units!$E71*(1+Inputs!$B$7)^(R$2-1)</f>
        <v>1570.75</v>
      </c>
      <c r="S72" s="11" t="n">
        <f aca="false">Units!$E71*(1+Inputs!$B$7)^(S$2-1)</f>
        <v>1570.75</v>
      </c>
      <c r="T72" s="11" t="n">
        <f aca="false">Units!$E71*(1+Inputs!$B$7)^(T$2-1)</f>
        <v>1570.75</v>
      </c>
      <c r="U72" s="11" t="n">
        <f aca="false">Units!$E71*(1+Inputs!$B$7)^(U$2-1)</f>
        <v>1570.75</v>
      </c>
      <c r="V72" s="11" t="n">
        <f aca="false">Units!$E71*(1+Inputs!$B$7)^(V$2-1)</f>
        <v>1570.75</v>
      </c>
      <c r="W72" s="11" t="n">
        <f aca="false">Units!$E71*(1+Inputs!$B$7)^(W$2-1)</f>
        <v>1570.75</v>
      </c>
      <c r="X72" s="11" t="n">
        <f aca="false">Units!$E71*(1+Inputs!$B$7)^(X$2-1)</f>
        <v>1570.75</v>
      </c>
      <c r="Y72" s="11" t="n">
        <f aca="false">Units!$E71*(1+Inputs!$B$7)^(Y$2-1)</f>
        <v>1570.75</v>
      </c>
      <c r="Z72" s="11" t="n">
        <f aca="false">Units!$E71*(1+Inputs!$B$7)^(Z$2-1)</f>
        <v>1570.75</v>
      </c>
      <c r="AA72" s="11" t="n">
        <f aca="false">Units!$E71*(1+Inputs!$B$7)^(AA$2-1)</f>
        <v>1617.8725</v>
      </c>
      <c r="AB72" s="11" t="n">
        <f aca="false">Units!$E71*(1+Inputs!$B$7)^(AB$2-1)</f>
        <v>1617.8725</v>
      </c>
      <c r="AC72" s="11" t="n">
        <f aca="false">Units!$E71*(1+Inputs!$B$7)^(AC$2-1)</f>
        <v>1617.8725</v>
      </c>
      <c r="AD72" s="11" t="n">
        <f aca="false">Units!$E71*(1+Inputs!$B$7)^(AD$2-1)</f>
        <v>1617.8725</v>
      </c>
      <c r="AE72" s="11" t="n">
        <f aca="false">Units!$E71*(1+Inputs!$B$7)^(AE$2-1)</f>
        <v>1617.8725</v>
      </c>
      <c r="AF72" s="11" t="n">
        <f aca="false">Units!$E71*(1+Inputs!$B$7)^(AF$2-1)</f>
        <v>1617.8725</v>
      </c>
      <c r="AG72" s="11" t="n">
        <f aca="false">Units!$E71*(1+Inputs!$B$7)^(AG$2-1)</f>
        <v>1617.8725</v>
      </c>
      <c r="AH72" s="11" t="n">
        <f aca="false">Units!$E71*(1+Inputs!$B$7)^(AH$2-1)</f>
        <v>1617.8725</v>
      </c>
      <c r="AI72" s="11" t="n">
        <f aca="false">Units!$E71*(1+Inputs!$B$7)^(AI$2-1)</f>
        <v>1617.8725</v>
      </c>
      <c r="AJ72" s="11" t="n">
        <f aca="false">Units!$E71*(1+Inputs!$B$7)^(AJ$2-1)</f>
        <v>1617.8725</v>
      </c>
      <c r="AK72" s="11" t="n">
        <f aca="false">Units!$E71*(1+Inputs!$B$7)^(AK$2-1)</f>
        <v>1617.8725</v>
      </c>
      <c r="AL72" s="11" t="n">
        <f aca="false">Units!$E71*(1+Inputs!$B$7)^(AL$2-1)</f>
        <v>1617.8725</v>
      </c>
      <c r="AM72" s="11" t="n">
        <f aca="false">Units!$E71*(1+Inputs!$B$7)^(AM$2-1)</f>
        <v>1666.408675</v>
      </c>
      <c r="AN72" s="11" t="n">
        <f aca="false">Units!$E71*(1+Inputs!$B$7)^(AN$2-1)</f>
        <v>1666.408675</v>
      </c>
      <c r="AO72" s="11" t="n">
        <f aca="false">Units!$E71*(1+Inputs!$B$7)^(AO$2-1)</f>
        <v>1666.408675</v>
      </c>
      <c r="AP72" s="11" t="n">
        <f aca="false">Units!$E71*(1+Inputs!$B$7)^(AP$2-1)</f>
        <v>1666.408675</v>
      </c>
      <c r="AQ72" s="11" t="n">
        <f aca="false">Units!$E71*(1+Inputs!$B$7)^(AQ$2-1)</f>
        <v>1666.408675</v>
      </c>
      <c r="AR72" s="11" t="n">
        <f aca="false">Units!$E71*(1+Inputs!$B$7)^(AR$2-1)</f>
        <v>1666.408675</v>
      </c>
      <c r="AS72" s="11" t="n">
        <f aca="false">Units!$E71*(1+Inputs!$B$7)^(AS$2-1)</f>
        <v>1666.408675</v>
      </c>
      <c r="AT72" s="11" t="n">
        <f aca="false">Units!$E71*(1+Inputs!$B$7)^(AT$2-1)</f>
        <v>1666.408675</v>
      </c>
      <c r="AU72" s="11" t="n">
        <f aca="false">Units!$E71*(1+Inputs!$B$7)^(AU$2-1)</f>
        <v>1666.408675</v>
      </c>
      <c r="AV72" s="11" t="n">
        <f aca="false">Units!$E71*(1+Inputs!$B$7)^(AV$2-1)</f>
        <v>1666.408675</v>
      </c>
      <c r="AW72" s="11" t="n">
        <f aca="false">Units!$E71*(1+Inputs!$B$7)^(AW$2-1)</f>
        <v>1666.408675</v>
      </c>
      <c r="AX72" s="11" t="n">
        <f aca="false">Units!$E71*(1+Inputs!$B$7)^(AX$2-1)</f>
        <v>1666.408675</v>
      </c>
      <c r="AY72" s="11" t="n">
        <f aca="false">Units!$E71*(1+Inputs!$B$7)^(AY$2-1)</f>
        <v>1716.40093525</v>
      </c>
      <c r="AZ72" s="11" t="n">
        <f aca="false">Units!$E71*(1+Inputs!$B$7)^(AZ$2-1)</f>
        <v>1716.40093525</v>
      </c>
      <c r="BA72" s="11" t="n">
        <f aca="false">Units!$E71*(1+Inputs!$B$7)^(BA$2-1)</f>
        <v>1716.40093525</v>
      </c>
      <c r="BB72" s="11" t="n">
        <f aca="false">Units!$E71*(1+Inputs!$B$7)^(BB$2-1)</f>
        <v>1716.40093525</v>
      </c>
      <c r="BC72" s="11" t="n">
        <f aca="false">Units!$E71*(1+Inputs!$B$7)^(BC$2-1)</f>
        <v>1716.40093525</v>
      </c>
      <c r="BD72" s="11" t="n">
        <f aca="false">Units!$E71*(1+Inputs!$B$7)^(BD$2-1)</f>
        <v>1716.40093525</v>
      </c>
      <c r="BE72" s="11" t="n">
        <f aca="false">Units!$E71*(1+Inputs!$B$7)^(BE$2-1)</f>
        <v>1716.40093525</v>
      </c>
      <c r="BF72" s="11" t="n">
        <f aca="false">Units!$E71*(1+Inputs!$B$7)^(BF$2-1)</f>
        <v>1716.40093525</v>
      </c>
      <c r="BG72" s="11" t="n">
        <f aca="false">Units!$E71*(1+Inputs!$B$7)^(BG$2-1)</f>
        <v>1716.40093525</v>
      </c>
      <c r="BH72" s="11" t="n">
        <f aca="false">Units!$E71*(1+Inputs!$B$7)^(BH$2-1)</f>
        <v>1716.40093525</v>
      </c>
      <c r="BI72" s="11" t="n">
        <f aca="false">Units!$E71*(1+Inputs!$B$7)^(BI$2-1)</f>
        <v>1716.40093525</v>
      </c>
      <c r="BJ72" s="11" t="n">
        <f aca="false">Units!$E71*(1+Inputs!$B$7)^(BJ$2-1)</f>
        <v>1716.40093525</v>
      </c>
      <c r="BK72" s="11" t="n">
        <f aca="false">Units!$E71*(1+Inputs!$B$7)^(BK$2-1)</f>
        <v>1767.8929633075</v>
      </c>
      <c r="BL72" s="11" t="n">
        <f aca="false">Units!$E71*(1+Inputs!$B$7)^(BL$2-1)</f>
        <v>1767.8929633075</v>
      </c>
      <c r="BM72" s="11" t="n">
        <f aca="false">Units!$E71*(1+Inputs!$B$7)^(BM$2-1)</f>
        <v>1767.8929633075</v>
      </c>
      <c r="BN72" s="11" t="n">
        <f aca="false">Units!$E71*(1+Inputs!$B$7)^(BN$2-1)</f>
        <v>1767.8929633075</v>
      </c>
      <c r="BO72" s="11" t="n">
        <f aca="false">Units!$E71*(1+Inputs!$B$7)^(BO$2-1)</f>
        <v>1767.8929633075</v>
      </c>
      <c r="BP72" s="11" t="n">
        <f aca="false">Units!$E71*(1+Inputs!$B$7)^(BP$2-1)</f>
        <v>1767.8929633075</v>
      </c>
      <c r="BQ72" s="11" t="n">
        <f aca="false">Units!$E71*(1+Inputs!$B$7)^(BQ$2-1)</f>
        <v>1767.8929633075</v>
      </c>
      <c r="BR72" s="11" t="n">
        <f aca="false">Units!$E71*(1+Inputs!$B$7)^(BR$2-1)</f>
        <v>1767.8929633075</v>
      </c>
      <c r="BS72" s="11" t="n">
        <f aca="false">Units!$E71*(1+Inputs!$B$7)^(BS$2-1)</f>
        <v>1767.8929633075</v>
      </c>
      <c r="BT72" s="11" t="n">
        <f aca="false">Units!$E71*(1+Inputs!$B$7)^(BT$2-1)</f>
        <v>1767.8929633075</v>
      </c>
      <c r="BU72" s="11" t="n">
        <f aca="false">Units!$E71*(1+Inputs!$B$7)^(BU$2-1)</f>
        <v>1767.8929633075</v>
      </c>
      <c r="BV72" s="11" t="n">
        <f aca="false">Units!$E71*(1+Inputs!$B$7)^(BV$2-1)</f>
        <v>1767.8929633075</v>
      </c>
      <c r="BW72" s="11" t="n">
        <f aca="false">Units!$E71*(1+Inputs!$B$7)^(BW$2-1)</f>
        <v>1820.92975220673</v>
      </c>
      <c r="BX72" s="11" t="n">
        <f aca="false">Units!$E71*(1+Inputs!$B$7)^(BX$2-1)</f>
        <v>1820.92975220673</v>
      </c>
      <c r="BY72" s="11" t="n">
        <f aca="false">Units!$E71*(1+Inputs!$B$7)^(BY$2-1)</f>
        <v>1820.92975220673</v>
      </c>
      <c r="BZ72" s="11" t="n">
        <f aca="false">Units!$E71*(1+Inputs!$B$7)^(BZ$2-1)</f>
        <v>1820.92975220673</v>
      </c>
      <c r="CA72" s="11" t="n">
        <f aca="false">Units!$E71*(1+Inputs!$B$7)^(CA$2-1)</f>
        <v>1820.92975220673</v>
      </c>
      <c r="CB72" s="11" t="n">
        <f aca="false">Units!$E71*(1+Inputs!$B$7)^(CB$2-1)</f>
        <v>1820.92975220673</v>
      </c>
      <c r="CC72" s="11" t="n">
        <f aca="false">Units!$E71*(1+Inputs!$B$7)^(CC$2-1)</f>
        <v>1820.92975220673</v>
      </c>
      <c r="CD72" s="11" t="n">
        <f aca="false">Units!$E71*(1+Inputs!$B$7)^(CD$2-1)</f>
        <v>1820.92975220673</v>
      </c>
      <c r="CE72" s="11" t="n">
        <f aca="false">Units!$E71*(1+Inputs!$B$7)^(CE$2-1)</f>
        <v>1820.92975220673</v>
      </c>
      <c r="CF72" s="11" t="n">
        <f aca="false">Units!$E71*(1+Inputs!$B$7)^(CF$2-1)</f>
        <v>1820.92975220673</v>
      </c>
      <c r="CG72" s="11" t="n">
        <f aca="false">Units!$E71*(1+Inputs!$B$7)^(CG$2-1)</f>
        <v>1820.92975220673</v>
      </c>
      <c r="CH72" s="11" t="n">
        <f aca="false">Units!$E71*(1+Inputs!$B$7)^(CH$2-1)</f>
        <v>1820.92975220673</v>
      </c>
      <c r="CI72" s="11" t="n">
        <f aca="false">Units!$E71*(1+Inputs!$B$7)^(CI$2-1)</f>
        <v>1875.55764477293</v>
      </c>
      <c r="CJ72" s="11" t="n">
        <f aca="false">Units!$E71*(1+Inputs!$B$7)^(CJ$2-1)</f>
        <v>1875.55764477293</v>
      </c>
      <c r="CK72" s="11" t="n">
        <f aca="false">Units!$E71*(1+Inputs!$B$7)^(CK$2-1)</f>
        <v>1875.55764477293</v>
      </c>
      <c r="CL72" s="11" t="n">
        <f aca="false">Units!$E71*(1+Inputs!$B$7)^(CL$2-1)</f>
        <v>1875.55764477293</v>
      </c>
      <c r="CM72" s="11" t="n">
        <f aca="false">Units!$E71*(1+Inputs!$B$7)^(CM$2-1)</f>
        <v>1875.55764477293</v>
      </c>
      <c r="CN72" s="11" t="n">
        <f aca="false">Units!$E71*(1+Inputs!$B$7)^(CN$2-1)</f>
        <v>1875.55764477293</v>
      </c>
      <c r="CO72" s="11" t="n">
        <f aca="false">Units!$E71*(1+Inputs!$B$7)^(CO$2-1)</f>
        <v>1875.55764477293</v>
      </c>
      <c r="CP72" s="11" t="n">
        <f aca="false">Units!$E71*(1+Inputs!$B$7)^(CP$2-1)</f>
        <v>1875.55764477293</v>
      </c>
      <c r="CQ72" s="11" t="n">
        <f aca="false">Units!$E71*(1+Inputs!$B$7)^(CQ$2-1)</f>
        <v>1875.55764477293</v>
      </c>
      <c r="CR72" s="11" t="n">
        <f aca="false">Units!$E71*(1+Inputs!$B$7)^(CR$2-1)</f>
        <v>1875.55764477293</v>
      </c>
      <c r="CS72" s="11" t="n">
        <f aca="false">Units!$E71*(1+Inputs!$B$7)^(CS$2-1)</f>
        <v>1875.55764477293</v>
      </c>
      <c r="CT72" s="11" t="n">
        <f aca="false">Units!$E71*(1+Inputs!$B$7)^(CT$2-1)</f>
        <v>1875.55764477293</v>
      </c>
      <c r="CU72" s="11" t="n">
        <f aca="false">Units!$E71*(1+Inputs!$B$7)^(CU$2-1)</f>
        <v>1931.82437411612</v>
      </c>
      <c r="CV72" s="11" t="n">
        <f aca="false">Units!$E71*(1+Inputs!$B$7)^(CV$2-1)</f>
        <v>1931.82437411612</v>
      </c>
      <c r="CW72" s="11" t="n">
        <f aca="false">Units!$E71*(1+Inputs!$B$7)^(CW$2-1)</f>
        <v>1931.82437411612</v>
      </c>
      <c r="CX72" s="11" t="n">
        <f aca="false">Units!$E71*(1+Inputs!$B$7)^(CX$2-1)</f>
        <v>1931.82437411612</v>
      </c>
      <c r="CY72" s="11" t="n">
        <f aca="false">Units!$E71*(1+Inputs!$B$7)^(CY$2-1)</f>
        <v>1931.82437411612</v>
      </c>
      <c r="CZ72" s="11" t="n">
        <f aca="false">Units!$E71*(1+Inputs!$B$7)^(CZ$2-1)</f>
        <v>1931.82437411612</v>
      </c>
      <c r="DA72" s="11" t="n">
        <f aca="false">Units!$E71*(1+Inputs!$B$7)^(DA$2-1)</f>
        <v>1931.82437411612</v>
      </c>
      <c r="DB72" s="11" t="n">
        <f aca="false">Units!$E71*(1+Inputs!$B$7)^(DB$2-1)</f>
        <v>1931.82437411612</v>
      </c>
      <c r="DC72" s="11" t="n">
        <f aca="false">Units!$E71*(1+Inputs!$B$7)^(DC$2-1)</f>
        <v>1931.82437411612</v>
      </c>
      <c r="DD72" s="11" t="n">
        <f aca="false">Units!$E71*(1+Inputs!$B$7)^(DD$2-1)</f>
        <v>1931.82437411612</v>
      </c>
      <c r="DE72" s="11" t="n">
        <f aca="false">Units!$E71*(1+Inputs!$B$7)^(DE$2-1)</f>
        <v>1931.82437411612</v>
      </c>
      <c r="DF72" s="11" t="n">
        <f aca="false">Units!$E71*(1+Inputs!$B$7)^(DF$2-1)</f>
        <v>1931.82437411612</v>
      </c>
      <c r="DG72" s="11" t="n">
        <f aca="false">Units!$E71*(1+Inputs!$B$7)^(DG$2-1)</f>
        <v>1989.7791053396</v>
      </c>
      <c r="DH72" s="11" t="n">
        <f aca="false">Units!$E71*(1+Inputs!$B$7)^(DH$2-1)</f>
        <v>1989.7791053396</v>
      </c>
      <c r="DI72" s="11" t="n">
        <f aca="false">Units!$E71*(1+Inputs!$B$7)^(DI$2-1)</f>
        <v>1989.7791053396</v>
      </c>
      <c r="DJ72" s="11" t="n">
        <f aca="false">Units!$E71*(1+Inputs!$B$7)^(DJ$2-1)</f>
        <v>1989.7791053396</v>
      </c>
      <c r="DK72" s="11" t="n">
        <f aca="false">Units!$E71*(1+Inputs!$B$7)^(DK$2-1)</f>
        <v>1989.7791053396</v>
      </c>
      <c r="DL72" s="11" t="n">
        <f aca="false">Units!$E71*(1+Inputs!$B$7)^(DL$2-1)</f>
        <v>1989.7791053396</v>
      </c>
      <c r="DM72" s="11" t="n">
        <f aca="false">Units!$E71*(1+Inputs!$B$7)^(DM$2-1)</f>
        <v>1989.7791053396</v>
      </c>
      <c r="DN72" s="11" t="n">
        <f aca="false">Units!$E71*(1+Inputs!$B$7)^(DN$2-1)</f>
        <v>1989.7791053396</v>
      </c>
      <c r="DO72" s="11" t="n">
        <f aca="false">Units!$E71*(1+Inputs!$B$7)^(DO$2-1)</f>
        <v>1989.7791053396</v>
      </c>
      <c r="DP72" s="11" t="n">
        <f aca="false">Units!$E71*(1+Inputs!$B$7)^(DP$2-1)</f>
        <v>1989.7791053396</v>
      </c>
      <c r="DQ72" s="11" t="n">
        <f aca="false">Units!$E71*(1+Inputs!$B$7)^(DQ$2-1)</f>
        <v>1989.7791053396</v>
      </c>
      <c r="DR72" s="11" t="n">
        <f aca="false">Units!$E71*(1+Inputs!$B$7)^(DR$2-1)</f>
        <v>1989.7791053396</v>
      </c>
      <c r="DS72" s="11" t="n">
        <f aca="false">Units!$E71*(1+Inputs!$B$7)^(DS$2-1)</f>
        <v>2049.47247849979</v>
      </c>
      <c r="DT72" s="11" t="n">
        <f aca="false">Units!$E71*(1+Inputs!$B$7)^(DT$2-1)</f>
        <v>2049.47247849979</v>
      </c>
      <c r="DU72" s="11" t="n">
        <f aca="false">Units!$E71*(1+Inputs!$B$7)^(DU$2-1)</f>
        <v>2049.47247849979</v>
      </c>
      <c r="DV72" s="11" t="n">
        <f aca="false">Units!$E71*(1+Inputs!$B$7)^(DV$2-1)</f>
        <v>2049.47247849979</v>
      </c>
      <c r="DW72" s="11" t="n">
        <f aca="false">Units!$E71*(1+Inputs!$B$7)^(DW$2-1)</f>
        <v>2049.47247849979</v>
      </c>
      <c r="DX72" s="11" t="n">
        <f aca="false">Units!$E71*(1+Inputs!$B$7)^(DX$2-1)</f>
        <v>2049.47247849979</v>
      </c>
      <c r="DY72" s="11" t="n">
        <f aca="false">Units!$E71*(1+Inputs!$B$7)^(DY$2-1)</f>
        <v>2049.47247849979</v>
      </c>
      <c r="DZ72" s="11" t="n">
        <f aca="false">Units!$E71*(1+Inputs!$B$7)^(DZ$2-1)</f>
        <v>2049.47247849979</v>
      </c>
      <c r="EA72" s="11" t="n">
        <f aca="false">Units!$E71*(1+Inputs!$B$7)^(EA$2-1)</f>
        <v>2049.47247849979</v>
      </c>
      <c r="EB72" s="11" t="n">
        <f aca="false">Units!$E71*(1+Inputs!$B$7)^(EB$2-1)</f>
        <v>2049.47247849979</v>
      </c>
      <c r="EC72" s="11" t="n">
        <f aca="false">Units!$E71*(1+Inputs!$B$7)^(EC$2-1)</f>
        <v>2049.47247849979</v>
      </c>
      <c r="ED72" s="11" t="n">
        <f aca="false">Units!$E71*(1+Inputs!$B$7)^(ED$2-1)</f>
        <v>2049.47247849979</v>
      </c>
    </row>
    <row r="73" customFormat="false" ht="15" hidden="false" customHeight="false" outlineLevel="0" collapsed="false">
      <c r="A73" s="22" t="n">
        <f aca="false">Units!A72</f>
        <v>311</v>
      </c>
      <c r="B73" s="23"/>
      <c r="C73" s="11" t="n">
        <f aca="false">Units!$E72*(1+Inputs!$B$7)^(C$2-1)</f>
        <v>1525</v>
      </c>
      <c r="D73" s="11" t="n">
        <f aca="false">Units!$E72*(1+Inputs!$B$7)^(D$2-1)</f>
        <v>1525</v>
      </c>
      <c r="E73" s="11" t="n">
        <f aca="false">Units!$E72*(1+Inputs!$B$7)^(E$2-1)</f>
        <v>1525</v>
      </c>
      <c r="F73" s="11" t="n">
        <f aca="false">Units!$E72*(1+Inputs!$B$7)^(F$2-1)</f>
        <v>1525</v>
      </c>
      <c r="G73" s="11" t="n">
        <f aca="false">Units!$E72*(1+Inputs!$B$7)^(G$2-1)</f>
        <v>1525</v>
      </c>
      <c r="H73" s="11" t="n">
        <f aca="false">Units!$E72*(1+Inputs!$B$7)^(H$2-1)</f>
        <v>1525</v>
      </c>
      <c r="I73" s="11" t="n">
        <f aca="false">Units!$E72*(1+Inputs!$B$7)^(I$2-1)</f>
        <v>1525</v>
      </c>
      <c r="J73" s="11" t="n">
        <f aca="false">Units!$E72*(1+Inputs!$B$7)^(J$2-1)</f>
        <v>1525</v>
      </c>
      <c r="K73" s="11" t="n">
        <f aca="false">Units!$E72*(1+Inputs!$B$7)^(K$2-1)</f>
        <v>1525</v>
      </c>
      <c r="L73" s="11" t="n">
        <f aca="false">Units!$E72*(1+Inputs!$B$7)^(L$2-1)</f>
        <v>1525</v>
      </c>
      <c r="M73" s="11" t="n">
        <f aca="false">Units!$E72*(1+Inputs!$B$7)^(M$2-1)</f>
        <v>1525</v>
      </c>
      <c r="N73" s="11" t="n">
        <f aca="false">Units!$E72*(1+Inputs!$B$7)^(N$2-1)</f>
        <v>1525</v>
      </c>
      <c r="O73" s="11" t="n">
        <f aca="false">Units!$E72*(1+Inputs!$B$7)^(O$2-1)</f>
        <v>1570.75</v>
      </c>
      <c r="P73" s="11" t="n">
        <f aca="false">Units!$E72*(1+Inputs!$B$7)^(P$2-1)</f>
        <v>1570.75</v>
      </c>
      <c r="Q73" s="11" t="n">
        <f aca="false">Units!$E72*(1+Inputs!$B$7)^(Q$2-1)</f>
        <v>1570.75</v>
      </c>
      <c r="R73" s="11" t="n">
        <f aca="false">Units!$E72*(1+Inputs!$B$7)^(R$2-1)</f>
        <v>1570.75</v>
      </c>
      <c r="S73" s="11" t="n">
        <f aca="false">Units!$E72*(1+Inputs!$B$7)^(S$2-1)</f>
        <v>1570.75</v>
      </c>
      <c r="T73" s="11" t="n">
        <f aca="false">Units!$E72*(1+Inputs!$B$7)^(T$2-1)</f>
        <v>1570.75</v>
      </c>
      <c r="U73" s="11" t="n">
        <f aca="false">Units!$E72*(1+Inputs!$B$7)^(U$2-1)</f>
        <v>1570.75</v>
      </c>
      <c r="V73" s="11" t="n">
        <f aca="false">Units!$E72*(1+Inputs!$B$7)^(V$2-1)</f>
        <v>1570.75</v>
      </c>
      <c r="W73" s="11" t="n">
        <f aca="false">Units!$E72*(1+Inputs!$B$7)^(W$2-1)</f>
        <v>1570.75</v>
      </c>
      <c r="X73" s="11" t="n">
        <f aca="false">Units!$E72*(1+Inputs!$B$7)^(X$2-1)</f>
        <v>1570.75</v>
      </c>
      <c r="Y73" s="11" t="n">
        <f aca="false">Units!$E72*(1+Inputs!$B$7)^(Y$2-1)</f>
        <v>1570.75</v>
      </c>
      <c r="Z73" s="11" t="n">
        <f aca="false">Units!$E72*(1+Inputs!$B$7)^(Z$2-1)</f>
        <v>1570.75</v>
      </c>
      <c r="AA73" s="11" t="n">
        <f aca="false">Units!$E72*(1+Inputs!$B$7)^(AA$2-1)</f>
        <v>1617.8725</v>
      </c>
      <c r="AB73" s="11" t="n">
        <f aca="false">Units!$E72*(1+Inputs!$B$7)^(AB$2-1)</f>
        <v>1617.8725</v>
      </c>
      <c r="AC73" s="11" t="n">
        <f aca="false">Units!$E72*(1+Inputs!$B$7)^(AC$2-1)</f>
        <v>1617.8725</v>
      </c>
      <c r="AD73" s="11" t="n">
        <f aca="false">Units!$E72*(1+Inputs!$B$7)^(AD$2-1)</f>
        <v>1617.8725</v>
      </c>
      <c r="AE73" s="11" t="n">
        <f aca="false">Units!$E72*(1+Inputs!$B$7)^(AE$2-1)</f>
        <v>1617.8725</v>
      </c>
      <c r="AF73" s="11" t="n">
        <f aca="false">Units!$E72*(1+Inputs!$B$7)^(AF$2-1)</f>
        <v>1617.8725</v>
      </c>
      <c r="AG73" s="11" t="n">
        <f aca="false">Units!$E72*(1+Inputs!$B$7)^(AG$2-1)</f>
        <v>1617.8725</v>
      </c>
      <c r="AH73" s="11" t="n">
        <f aca="false">Units!$E72*(1+Inputs!$B$7)^(AH$2-1)</f>
        <v>1617.8725</v>
      </c>
      <c r="AI73" s="11" t="n">
        <f aca="false">Units!$E72*(1+Inputs!$B$7)^(AI$2-1)</f>
        <v>1617.8725</v>
      </c>
      <c r="AJ73" s="11" t="n">
        <f aca="false">Units!$E72*(1+Inputs!$B$7)^(AJ$2-1)</f>
        <v>1617.8725</v>
      </c>
      <c r="AK73" s="11" t="n">
        <f aca="false">Units!$E72*(1+Inputs!$B$7)^(AK$2-1)</f>
        <v>1617.8725</v>
      </c>
      <c r="AL73" s="11" t="n">
        <f aca="false">Units!$E72*(1+Inputs!$B$7)^(AL$2-1)</f>
        <v>1617.8725</v>
      </c>
      <c r="AM73" s="11" t="n">
        <f aca="false">Units!$E72*(1+Inputs!$B$7)^(AM$2-1)</f>
        <v>1666.408675</v>
      </c>
      <c r="AN73" s="11" t="n">
        <f aca="false">Units!$E72*(1+Inputs!$B$7)^(AN$2-1)</f>
        <v>1666.408675</v>
      </c>
      <c r="AO73" s="11" t="n">
        <f aca="false">Units!$E72*(1+Inputs!$B$7)^(AO$2-1)</f>
        <v>1666.408675</v>
      </c>
      <c r="AP73" s="11" t="n">
        <f aca="false">Units!$E72*(1+Inputs!$B$7)^(AP$2-1)</f>
        <v>1666.408675</v>
      </c>
      <c r="AQ73" s="11" t="n">
        <f aca="false">Units!$E72*(1+Inputs!$B$7)^(AQ$2-1)</f>
        <v>1666.408675</v>
      </c>
      <c r="AR73" s="11" t="n">
        <f aca="false">Units!$E72*(1+Inputs!$B$7)^(AR$2-1)</f>
        <v>1666.408675</v>
      </c>
      <c r="AS73" s="11" t="n">
        <f aca="false">Units!$E72*(1+Inputs!$B$7)^(AS$2-1)</f>
        <v>1666.408675</v>
      </c>
      <c r="AT73" s="11" t="n">
        <f aca="false">Units!$E72*(1+Inputs!$B$7)^(AT$2-1)</f>
        <v>1666.408675</v>
      </c>
      <c r="AU73" s="11" t="n">
        <f aca="false">Units!$E72*(1+Inputs!$B$7)^(AU$2-1)</f>
        <v>1666.408675</v>
      </c>
      <c r="AV73" s="11" t="n">
        <f aca="false">Units!$E72*(1+Inputs!$B$7)^(AV$2-1)</f>
        <v>1666.408675</v>
      </c>
      <c r="AW73" s="11" t="n">
        <f aca="false">Units!$E72*(1+Inputs!$B$7)^(AW$2-1)</f>
        <v>1666.408675</v>
      </c>
      <c r="AX73" s="11" t="n">
        <f aca="false">Units!$E72*(1+Inputs!$B$7)^(AX$2-1)</f>
        <v>1666.408675</v>
      </c>
      <c r="AY73" s="11" t="n">
        <f aca="false">Units!$E72*(1+Inputs!$B$7)^(AY$2-1)</f>
        <v>1716.40093525</v>
      </c>
      <c r="AZ73" s="11" t="n">
        <f aca="false">Units!$E72*(1+Inputs!$B$7)^(AZ$2-1)</f>
        <v>1716.40093525</v>
      </c>
      <c r="BA73" s="11" t="n">
        <f aca="false">Units!$E72*(1+Inputs!$B$7)^(BA$2-1)</f>
        <v>1716.40093525</v>
      </c>
      <c r="BB73" s="11" t="n">
        <f aca="false">Units!$E72*(1+Inputs!$B$7)^(BB$2-1)</f>
        <v>1716.40093525</v>
      </c>
      <c r="BC73" s="11" t="n">
        <f aca="false">Units!$E72*(1+Inputs!$B$7)^(BC$2-1)</f>
        <v>1716.40093525</v>
      </c>
      <c r="BD73" s="11" t="n">
        <f aca="false">Units!$E72*(1+Inputs!$B$7)^(BD$2-1)</f>
        <v>1716.40093525</v>
      </c>
      <c r="BE73" s="11" t="n">
        <f aca="false">Units!$E72*(1+Inputs!$B$7)^(BE$2-1)</f>
        <v>1716.40093525</v>
      </c>
      <c r="BF73" s="11" t="n">
        <f aca="false">Units!$E72*(1+Inputs!$B$7)^(BF$2-1)</f>
        <v>1716.40093525</v>
      </c>
      <c r="BG73" s="11" t="n">
        <f aca="false">Units!$E72*(1+Inputs!$B$7)^(BG$2-1)</f>
        <v>1716.40093525</v>
      </c>
      <c r="BH73" s="11" t="n">
        <f aca="false">Units!$E72*(1+Inputs!$B$7)^(BH$2-1)</f>
        <v>1716.40093525</v>
      </c>
      <c r="BI73" s="11" t="n">
        <f aca="false">Units!$E72*(1+Inputs!$B$7)^(BI$2-1)</f>
        <v>1716.40093525</v>
      </c>
      <c r="BJ73" s="11" t="n">
        <f aca="false">Units!$E72*(1+Inputs!$B$7)^(BJ$2-1)</f>
        <v>1716.40093525</v>
      </c>
      <c r="BK73" s="11" t="n">
        <f aca="false">Units!$E72*(1+Inputs!$B$7)^(BK$2-1)</f>
        <v>1767.8929633075</v>
      </c>
      <c r="BL73" s="11" t="n">
        <f aca="false">Units!$E72*(1+Inputs!$B$7)^(BL$2-1)</f>
        <v>1767.8929633075</v>
      </c>
      <c r="BM73" s="11" t="n">
        <f aca="false">Units!$E72*(1+Inputs!$B$7)^(BM$2-1)</f>
        <v>1767.8929633075</v>
      </c>
      <c r="BN73" s="11" t="n">
        <f aca="false">Units!$E72*(1+Inputs!$B$7)^(BN$2-1)</f>
        <v>1767.8929633075</v>
      </c>
      <c r="BO73" s="11" t="n">
        <f aca="false">Units!$E72*(1+Inputs!$B$7)^(BO$2-1)</f>
        <v>1767.8929633075</v>
      </c>
      <c r="BP73" s="11" t="n">
        <f aca="false">Units!$E72*(1+Inputs!$B$7)^(BP$2-1)</f>
        <v>1767.8929633075</v>
      </c>
      <c r="BQ73" s="11" t="n">
        <f aca="false">Units!$E72*(1+Inputs!$B$7)^(BQ$2-1)</f>
        <v>1767.8929633075</v>
      </c>
      <c r="BR73" s="11" t="n">
        <f aca="false">Units!$E72*(1+Inputs!$B$7)^(BR$2-1)</f>
        <v>1767.8929633075</v>
      </c>
      <c r="BS73" s="11" t="n">
        <f aca="false">Units!$E72*(1+Inputs!$B$7)^(BS$2-1)</f>
        <v>1767.8929633075</v>
      </c>
      <c r="BT73" s="11" t="n">
        <f aca="false">Units!$E72*(1+Inputs!$B$7)^(BT$2-1)</f>
        <v>1767.8929633075</v>
      </c>
      <c r="BU73" s="11" t="n">
        <f aca="false">Units!$E72*(1+Inputs!$B$7)^(BU$2-1)</f>
        <v>1767.8929633075</v>
      </c>
      <c r="BV73" s="11" t="n">
        <f aca="false">Units!$E72*(1+Inputs!$B$7)^(BV$2-1)</f>
        <v>1767.8929633075</v>
      </c>
      <c r="BW73" s="11" t="n">
        <f aca="false">Units!$E72*(1+Inputs!$B$7)^(BW$2-1)</f>
        <v>1820.92975220673</v>
      </c>
      <c r="BX73" s="11" t="n">
        <f aca="false">Units!$E72*(1+Inputs!$B$7)^(BX$2-1)</f>
        <v>1820.92975220673</v>
      </c>
      <c r="BY73" s="11" t="n">
        <f aca="false">Units!$E72*(1+Inputs!$B$7)^(BY$2-1)</f>
        <v>1820.92975220673</v>
      </c>
      <c r="BZ73" s="11" t="n">
        <f aca="false">Units!$E72*(1+Inputs!$B$7)^(BZ$2-1)</f>
        <v>1820.92975220673</v>
      </c>
      <c r="CA73" s="11" t="n">
        <f aca="false">Units!$E72*(1+Inputs!$B$7)^(CA$2-1)</f>
        <v>1820.92975220673</v>
      </c>
      <c r="CB73" s="11" t="n">
        <f aca="false">Units!$E72*(1+Inputs!$B$7)^(CB$2-1)</f>
        <v>1820.92975220673</v>
      </c>
      <c r="CC73" s="11" t="n">
        <f aca="false">Units!$E72*(1+Inputs!$B$7)^(CC$2-1)</f>
        <v>1820.92975220673</v>
      </c>
      <c r="CD73" s="11" t="n">
        <f aca="false">Units!$E72*(1+Inputs!$B$7)^(CD$2-1)</f>
        <v>1820.92975220673</v>
      </c>
      <c r="CE73" s="11" t="n">
        <f aca="false">Units!$E72*(1+Inputs!$B$7)^(CE$2-1)</f>
        <v>1820.92975220673</v>
      </c>
      <c r="CF73" s="11" t="n">
        <f aca="false">Units!$E72*(1+Inputs!$B$7)^(CF$2-1)</f>
        <v>1820.92975220673</v>
      </c>
      <c r="CG73" s="11" t="n">
        <f aca="false">Units!$E72*(1+Inputs!$B$7)^(CG$2-1)</f>
        <v>1820.92975220673</v>
      </c>
      <c r="CH73" s="11" t="n">
        <f aca="false">Units!$E72*(1+Inputs!$B$7)^(CH$2-1)</f>
        <v>1820.92975220673</v>
      </c>
      <c r="CI73" s="11" t="n">
        <f aca="false">Units!$E72*(1+Inputs!$B$7)^(CI$2-1)</f>
        <v>1875.55764477293</v>
      </c>
      <c r="CJ73" s="11" t="n">
        <f aca="false">Units!$E72*(1+Inputs!$B$7)^(CJ$2-1)</f>
        <v>1875.55764477293</v>
      </c>
      <c r="CK73" s="11" t="n">
        <f aca="false">Units!$E72*(1+Inputs!$B$7)^(CK$2-1)</f>
        <v>1875.55764477293</v>
      </c>
      <c r="CL73" s="11" t="n">
        <f aca="false">Units!$E72*(1+Inputs!$B$7)^(CL$2-1)</f>
        <v>1875.55764477293</v>
      </c>
      <c r="CM73" s="11" t="n">
        <f aca="false">Units!$E72*(1+Inputs!$B$7)^(CM$2-1)</f>
        <v>1875.55764477293</v>
      </c>
      <c r="CN73" s="11" t="n">
        <f aca="false">Units!$E72*(1+Inputs!$B$7)^(CN$2-1)</f>
        <v>1875.55764477293</v>
      </c>
      <c r="CO73" s="11" t="n">
        <f aca="false">Units!$E72*(1+Inputs!$B$7)^(CO$2-1)</f>
        <v>1875.55764477293</v>
      </c>
      <c r="CP73" s="11" t="n">
        <f aca="false">Units!$E72*(1+Inputs!$B$7)^(CP$2-1)</f>
        <v>1875.55764477293</v>
      </c>
      <c r="CQ73" s="11" t="n">
        <f aca="false">Units!$E72*(1+Inputs!$B$7)^(CQ$2-1)</f>
        <v>1875.55764477293</v>
      </c>
      <c r="CR73" s="11" t="n">
        <f aca="false">Units!$E72*(1+Inputs!$B$7)^(CR$2-1)</f>
        <v>1875.55764477293</v>
      </c>
      <c r="CS73" s="11" t="n">
        <f aca="false">Units!$E72*(1+Inputs!$B$7)^(CS$2-1)</f>
        <v>1875.55764477293</v>
      </c>
      <c r="CT73" s="11" t="n">
        <f aca="false">Units!$E72*(1+Inputs!$B$7)^(CT$2-1)</f>
        <v>1875.55764477293</v>
      </c>
      <c r="CU73" s="11" t="n">
        <f aca="false">Units!$E72*(1+Inputs!$B$7)^(CU$2-1)</f>
        <v>1931.82437411612</v>
      </c>
      <c r="CV73" s="11" t="n">
        <f aca="false">Units!$E72*(1+Inputs!$B$7)^(CV$2-1)</f>
        <v>1931.82437411612</v>
      </c>
      <c r="CW73" s="11" t="n">
        <f aca="false">Units!$E72*(1+Inputs!$B$7)^(CW$2-1)</f>
        <v>1931.82437411612</v>
      </c>
      <c r="CX73" s="11" t="n">
        <f aca="false">Units!$E72*(1+Inputs!$B$7)^(CX$2-1)</f>
        <v>1931.82437411612</v>
      </c>
      <c r="CY73" s="11" t="n">
        <f aca="false">Units!$E72*(1+Inputs!$B$7)^(CY$2-1)</f>
        <v>1931.82437411612</v>
      </c>
      <c r="CZ73" s="11" t="n">
        <f aca="false">Units!$E72*(1+Inputs!$B$7)^(CZ$2-1)</f>
        <v>1931.82437411612</v>
      </c>
      <c r="DA73" s="11" t="n">
        <f aca="false">Units!$E72*(1+Inputs!$B$7)^(DA$2-1)</f>
        <v>1931.82437411612</v>
      </c>
      <c r="DB73" s="11" t="n">
        <f aca="false">Units!$E72*(1+Inputs!$B$7)^(DB$2-1)</f>
        <v>1931.82437411612</v>
      </c>
      <c r="DC73" s="11" t="n">
        <f aca="false">Units!$E72*(1+Inputs!$B$7)^(DC$2-1)</f>
        <v>1931.82437411612</v>
      </c>
      <c r="DD73" s="11" t="n">
        <f aca="false">Units!$E72*(1+Inputs!$B$7)^(DD$2-1)</f>
        <v>1931.82437411612</v>
      </c>
      <c r="DE73" s="11" t="n">
        <f aca="false">Units!$E72*(1+Inputs!$B$7)^(DE$2-1)</f>
        <v>1931.82437411612</v>
      </c>
      <c r="DF73" s="11" t="n">
        <f aca="false">Units!$E72*(1+Inputs!$B$7)^(DF$2-1)</f>
        <v>1931.82437411612</v>
      </c>
      <c r="DG73" s="11" t="n">
        <f aca="false">Units!$E72*(1+Inputs!$B$7)^(DG$2-1)</f>
        <v>1989.7791053396</v>
      </c>
      <c r="DH73" s="11" t="n">
        <f aca="false">Units!$E72*(1+Inputs!$B$7)^(DH$2-1)</f>
        <v>1989.7791053396</v>
      </c>
      <c r="DI73" s="11" t="n">
        <f aca="false">Units!$E72*(1+Inputs!$B$7)^(DI$2-1)</f>
        <v>1989.7791053396</v>
      </c>
      <c r="DJ73" s="11" t="n">
        <f aca="false">Units!$E72*(1+Inputs!$B$7)^(DJ$2-1)</f>
        <v>1989.7791053396</v>
      </c>
      <c r="DK73" s="11" t="n">
        <f aca="false">Units!$E72*(1+Inputs!$B$7)^(DK$2-1)</f>
        <v>1989.7791053396</v>
      </c>
      <c r="DL73" s="11" t="n">
        <f aca="false">Units!$E72*(1+Inputs!$B$7)^(DL$2-1)</f>
        <v>1989.7791053396</v>
      </c>
      <c r="DM73" s="11" t="n">
        <f aca="false">Units!$E72*(1+Inputs!$B$7)^(DM$2-1)</f>
        <v>1989.7791053396</v>
      </c>
      <c r="DN73" s="11" t="n">
        <f aca="false">Units!$E72*(1+Inputs!$B$7)^(DN$2-1)</f>
        <v>1989.7791053396</v>
      </c>
      <c r="DO73" s="11" t="n">
        <f aca="false">Units!$E72*(1+Inputs!$B$7)^(DO$2-1)</f>
        <v>1989.7791053396</v>
      </c>
      <c r="DP73" s="11" t="n">
        <f aca="false">Units!$E72*(1+Inputs!$B$7)^(DP$2-1)</f>
        <v>1989.7791053396</v>
      </c>
      <c r="DQ73" s="11" t="n">
        <f aca="false">Units!$E72*(1+Inputs!$B$7)^(DQ$2-1)</f>
        <v>1989.7791053396</v>
      </c>
      <c r="DR73" s="11" t="n">
        <f aca="false">Units!$E72*(1+Inputs!$B$7)^(DR$2-1)</f>
        <v>1989.7791053396</v>
      </c>
      <c r="DS73" s="11" t="n">
        <f aca="false">Units!$E72*(1+Inputs!$B$7)^(DS$2-1)</f>
        <v>2049.47247849979</v>
      </c>
      <c r="DT73" s="11" t="n">
        <f aca="false">Units!$E72*(1+Inputs!$B$7)^(DT$2-1)</f>
        <v>2049.47247849979</v>
      </c>
      <c r="DU73" s="11" t="n">
        <f aca="false">Units!$E72*(1+Inputs!$B$7)^(DU$2-1)</f>
        <v>2049.47247849979</v>
      </c>
      <c r="DV73" s="11" t="n">
        <f aca="false">Units!$E72*(1+Inputs!$B$7)^(DV$2-1)</f>
        <v>2049.47247849979</v>
      </c>
      <c r="DW73" s="11" t="n">
        <f aca="false">Units!$E72*(1+Inputs!$B$7)^(DW$2-1)</f>
        <v>2049.47247849979</v>
      </c>
      <c r="DX73" s="11" t="n">
        <f aca="false">Units!$E72*(1+Inputs!$B$7)^(DX$2-1)</f>
        <v>2049.47247849979</v>
      </c>
      <c r="DY73" s="11" t="n">
        <f aca="false">Units!$E72*(1+Inputs!$B$7)^(DY$2-1)</f>
        <v>2049.47247849979</v>
      </c>
      <c r="DZ73" s="11" t="n">
        <f aca="false">Units!$E72*(1+Inputs!$B$7)^(DZ$2-1)</f>
        <v>2049.47247849979</v>
      </c>
      <c r="EA73" s="11" t="n">
        <f aca="false">Units!$E72*(1+Inputs!$B$7)^(EA$2-1)</f>
        <v>2049.47247849979</v>
      </c>
      <c r="EB73" s="11" t="n">
        <f aca="false">Units!$E72*(1+Inputs!$B$7)^(EB$2-1)</f>
        <v>2049.47247849979</v>
      </c>
      <c r="EC73" s="11" t="n">
        <f aca="false">Units!$E72*(1+Inputs!$B$7)^(EC$2-1)</f>
        <v>2049.47247849979</v>
      </c>
      <c r="ED73" s="11" t="n">
        <f aca="false">Units!$E72*(1+Inputs!$B$7)^(ED$2-1)</f>
        <v>2049.47247849979</v>
      </c>
    </row>
    <row r="74" customFormat="false" ht="15" hidden="false" customHeight="false" outlineLevel="0" collapsed="false">
      <c r="A74" s="22" t="n">
        <f aca="false">Units!A73</f>
        <v>312</v>
      </c>
      <c r="B74" s="23"/>
      <c r="C74" s="11" t="n">
        <f aca="false">Units!$E73*(1+Inputs!$B$7)^(C$2-1)</f>
        <v>1525</v>
      </c>
      <c r="D74" s="11" t="n">
        <f aca="false">Units!$E73*(1+Inputs!$B$7)^(D$2-1)</f>
        <v>1525</v>
      </c>
      <c r="E74" s="11" t="n">
        <f aca="false">Units!$E73*(1+Inputs!$B$7)^(E$2-1)</f>
        <v>1525</v>
      </c>
      <c r="F74" s="11" t="n">
        <f aca="false">Units!$E73*(1+Inputs!$B$7)^(F$2-1)</f>
        <v>1525</v>
      </c>
      <c r="G74" s="11" t="n">
        <f aca="false">Units!$E73*(1+Inputs!$B$7)^(G$2-1)</f>
        <v>1525</v>
      </c>
      <c r="H74" s="11" t="n">
        <f aca="false">Units!$E73*(1+Inputs!$B$7)^(H$2-1)</f>
        <v>1525</v>
      </c>
      <c r="I74" s="11" t="n">
        <f aca="false">Units!$E73*(1+Inputs!$B$7)^(I$2-1)</f>
        <v>1525</v>
      </c>
      <c r="J74" s="11" t="n">
        <f aca="false">Units!$E73*(1+Inputs!$B$7)^(J$2-1)</f>
        <v>1525</v>
      </c>
      <c r="K74" s="11" t="n">
        <f aca="false">Units!$E73*(1+Inputs!$B$7)^(K$2-1)</f>
        <v>1525</v>
      </c>
      <c r="L74" s="11" t="n">
        <f aca="false">Units!$E73*(1+Inputs!$B$7)^(L$2-1)</f>
        <v>1525</v>
      </c>
      <c r="M74" s="11" t="n">
        <f aca="false">Units!$E73*(1+Inputs!$B$7)^(M$2-1)</f>
        <v>1525</v>
      </c>
      <c r="N74" s="11" t="n">
        <f aca="false">Units!$E73*(1+Inputs!$B$7)^(N$2-1)</f>
        <v>1525</v>
      </c>
      <c r="O74" s="11" t="n">
        <f aca="false">Units!$E73*(1+Inputs!$B$7)^(O$2-1)</f>
        <v>1570.75</v>
      </c>
      <c r="P74" s="11" t="n">
        <f aca="false">Units!$E73*(1+Inputs!$B$7)^(P$2-1)</f>
        <v>1570.75</v>
      </c>
      <c r="Q74" s="11" t="n">
        <f aca="false">Units!$E73*(1+Inputs!$B$7)^(Q$2-1)</f>
        <v>1570.75</v>
      </c>
      <c r="R74" s="11" t="n">
        <f aca="false">Units!$E73*(1+Inputs!$B$7)^(R$2-1)</f>
        <v>1570.75</v>
      </c>
      <c r="S74" s="11" t="n">
        <f aca="false">Units!$E73*(1+Inputs!$B$7)^(S$2-1)</f>
        <v>1570.75</v>
      </c>
      <c r="T74" s="11" t="n">
        <f aca="false">Units!$E73*(1+Inputs!$B$7)^(T$2-1)</f>
        <v>1570.75</v>
      </c>
      <c r="U74" s="11" t="n">
        <f aca="false">Units!$E73*(1+Inputs!$B$7)^(U$2-1)</f>
        <v>1570.75</v>
      </c>
      <c r="V74" s="11" t="n">
        <f aca="false">Units!$E73*(1+Inputs!$B$7)^(V$2-1)</f>
        <v>1570.75</v>
      </c>
      <c r="W74" s="11" t="n">
        <f aca="false">Units!$E73*(1+Inputs!$B$7)^(W$2-1)</f>
        <v>1570.75</v>
      </c>
      <c r="X74" s="11" t="n">
        <f aca="false">Units!$E73*(1+Inputs!$B$7)^(X$2-1)</f>
        <v>1570.75</v>
      </c>
      <c r="Y74" s="11" t="n">
        <f aca="false">Units!$E73*(1+Inputs!$B$7)^(Y$2-1)</f>
        <v>1570.75</v>
      </c>
      <c r="Z74" s="11" t="n">
        <f aca="false">Units!$E73*(1+Inputs!$B$7)^(Z$2-1)</f>
        <v>1570.75</v>
      </c>
      <c r="AA74" s="11" t="n">
        <f aca="false">Units!$E73*(1+Inputs!$B$7)^(AA$2-1)</f>
        <v>1617.8725</v>
      </c>
      <c r="AB74" s="11" t="n">
        <f aca="false">Units!$E73*(1+Inputs!$B$7)^(AB$2-1)</f>
        <v>1617.8725</v>
      </c>
      <c r="AC74" s="11" t="n">
        <f aca="false">Units!$E73*(1+Inputs!$B$7)^(AC$2-1)</f>
        <v>1617.8725</v>
      </c>
      <c r="AD74" s="11" t="n">
        <f aca="false">Units!$E73*(1+Inputs!$B$7)^(AD$2-1)</f>
        <v>1617.8725</v>
      </c>
      <c r="AE74" s="11" t="n">
        <f aca="false">Units!$E73*(1+Inputs!$B$7)^(AE$2-1)</f>
        <v>1617.8725</v>
      </c>
      <c r="AF74" s="11" t="n">
        <f aca="false">Units!$E73*(1+Inputs!$B$7)^(AF$2-1)</f>
        <v>1617.8725</v>
      </c>
      <c r="AG74" s="11" t="n">
        <f aca="false">Units!$E73*(1+Inputs!$B$7)^(AG$2-1)</f>
        <v>1617.8725</v>
      </c>
      <c r="AH74" s="11" t="n">
        <f aca="false">Units!$E73*(1+Inputs!$B$7)^(AH$2-1)</f>
        <v>1617.8725</v>
      </c>
      <c r="AI74" s="11" t="n">
        <f aca="false">Units!$E73*(1+Inputs!$B$7)^(AI$2-1)</f>
        <v>1617.8725</v>
      </c>
      <c r="AJ74" s="11" t="n">
        <f aca="false">Units!$E73*(1+Inputs!$B$7)^(AJ$2-1)</f>
        <v>1617.8725</v>
      </c>
      <c r="AK74" s="11" t="n">
        <f aca="false">Units!$E73*(1+Inputs!$B$7)^(AK$2-1)</f>
        <v>1617.8725</v>
      </c>
      <c r="AL74" s="11" t="n">
        <f aca="false">Units!$E73*(1+Inputs!$B$7)^(AL$2-1)</f>
        <v>1617.8725</v>
      </c>
      <c r="AM74" s="11" t="n">
        <f aca="false">Units!$E73*(1+Inputs!$B$7)^(AM$2-1)</f>
        <v>1666.408675</v>
      </c>
      <c r="AN74" s="11" t="n">
        <f aca="false">Units!$E73*(1+Inputs!$B$7)^(AN$2-1)</f>
        <v>1666.408675</v>
      </c>
      <c r="AO74" s="11" t="n">
        <f aca="false">Units!$E73*(1+Inputs!$B$7)^(AO$2-1)</f>
        <v>1666.408675</v>
      </c>
      <c r="AP74" s="11" t="n">
        <f aca="false">Units!$E73*(1+Inputs!$B$7)^(AP$2-1)</f>
        <v>1666.408675</v>
      </c>
      <c r="AQ74" s="11" t="n">
        <f aca="false">Units!$E73*(1+Inputs!$B$7)^(AQ$2-1)</f>
        <v>1666.408675</v>
      </c>
      <c r="AR74" s="11" t="n">
        <f aca="false">Units!$E73*(1+Inputs!$B$7)^(AR$2-1)</f>
        <v>1666.408675</v>
      </c>
      <c r="AS74" s="11" t="n">
        <f aca="false">Units!$E73*(1+Inputs!$B$7)^(AS$2-1)</f>
        <v>1666.408675</v>
      </c>
      <c r="AT74" s="11" t="n">
        <f aca="false">Units!$E73*(1+Inputs!$B$7)^(AT$2-1)</f>
        <v>1666.408675</v>
      </c>
      <c r="AU74" s="11" t="n">
        <f aca="false">Units!$E73*(1+Inputs!$B$7)^(AU$2-1)</f>
        <v>1666.408675</v>
      </c>
      <c r="AV74" s="11" t="n">
        <f aca="false">Units!$E73*(1+Inputs!$B$7)^(AV$2-1)</f>
        <v>1666.408675</v>
      </c>
      <c r="AW74" s="11" t="n">
        <f aca="false">Units!$E73*(1+Inputs!$B$7)^(AW$2-1)</f>
        <v>1666.408675</v>
      </c>
      <c r="AX74" s="11" t="n">
        <f aca="false">Units!$E73*(1+Inputs!$B$7)^(AX$2-1)</f>
        <v>1666.408675</v>
      </c>
      <c r="AY74" s="11" t="n">
        <f aca="false">Units!$E73*(1+Inputs!$B$7)^(AY$2-1)</f>
        <v>1716.40093525</v>
      </c>
      <c r="AZ74" s="11" t="n">
        <f aca="false">Units!$E73*(1+Inputs!$B$7)^(AZ$2-1)</f>
        <v>1716.40093525</v>
      </c>
      <c r="BA74" s="11" t="n">
        <f aca="false">Units!$E73*(1+Inputs!$B$7)^(BA$2-1)</f>
        <v>1716.40093525</v>
      </c>
      <c r="BB74" s="11" t="n">
        <f aca="false">Units!$E73*(1+Inputs!$B$7)^(BB$2-1)</f>
        <v>1716.40093525</v>
      </c>
      <c r="BC74" s="11" t="n">
        <f aca="false">Units!$E73*(1+Inputs!$B$7)^(BC$2-1)</f>
        <v>1716.40093525</v>
      </c>
      <c r="BD74" s="11" t="n">
        <f aca="false">Units!$E73*(1+Inputs!$B$7)^(BD$2-1)</f>
        <v>1716.40093525</v>
      </c>
      <c r="BE74" s="11" t="n">
        <f aca="false">Units!$E73*(1+Inputs!$B$7)^(BE$2-1)</f>
        <v>1716.40093525</v>
      </c>
      <c r="BF74" s="11" t="n">
        <f aca="false">Units!$E73*(1+Inputs!$B$7)^(BF$2-1)</f>
        <v>1716.40093525</v>
      </c>
      <c r="BG74" s="11" t="n">
        <f aca="false">Units!$E73*(1+Inputs!$B$7)^(BG$2-1)</f>
        <v>1716.40093525</v>
      </c>
      <c r="BH74" s="11" t="n">
        <f aca="false">Units!$E73*(1+Inputs!$B$7)^(BH$2-1)</f>
        <v>1716.40093525</v>
      </c>
      <c r="BI74" s="11" t="n">
        <f aca="false">Units!$E73*(1+Inputs!$B$7)^(BI$2-1)</f>
        <v>1716.40093525</v>
      </c>
      <c r="BJ74" s="11" t="n">
        <f aca="false">Units!$E73*(1+Inputs!$B$7)^(BJ$2-1)</f>
        <v>1716.40093525</v>
      </c>
      <c r="BK74" s="11" t="n">
        <f aca="false">Units!$E73*(1+Inputs!$B$7)^(BK$2-1)</f>
        <v>1767.8929633075</v>
      </c>
      <c r="BL74" s="11" t="n">
        <f aca="false">Units!$E73*(1+Inputs!$B$7)^(BL$2-1)</f>
        <v>1767.8929633075</v>
      </c>
      <c r="BM74" s="11" t="n">
        <f aca="false">Units!$E73*(1+Inputs!$B$7)^(BM$2-1)</f>
        <v>1767.8929633075</v>
      </c>
      <c r="BN74" s="11" t="n">
        <f aca="false">Units!$E73*(1+Inputs!$B$7)^(BN$2-1)</f>
        <v>1767.8929633075</v>
      </c>
      <c r="BO74" s="11" t="n">
        <f aca="false">Units!$E73*(1+Inputs!$B$7)^(BO$2-1)</f>
        <v>1767.8929633075</v>
      </c>
      <c r="BP74" s="11" t="n">
        <f aca="false">Units!$E73*(1+Inputs!$B$7)^(BP$2-1)</f>
        <v>1767.8929633075</v>
      </c>
      <c r="BQ74" s="11" t="n">
        <f aca="false">Units!$E73*(1+Inputs!$B$7)^(BQ$2-1)</f>
        <v>1767.8929633075</v>
      </c>
      <c r="BR74" s="11" t="n">
        <f aca="false">Units!$E73*(1+Inputs!$B$7)^(BR$2-1)</f>
        <v>1767.8929633075</v>
      </c>
      <c r="BS74" s="11" t="n">
        <f aca="false">Units!$E73*(1+Inputs!$B$7)^(BS$2-1)</f>
        <v>1767.8929633075</v>
      </c>
      <c r="BT74" s="11" t="n">
        <f aca="false">Units!$E73*(1+Inputs!$B$7)^(BT$2-1)</f>
        <v>1767.8929633075</v>
      </c>
      <c r="BU74" s="11" t="n">
        <f aca="false">Units!$E73*(1+Inputs!$B$7)^(BU$2-1)</f>
        <v>1767.8929633075</v>
      </c>
      <c r="BV74" s="11" t="n">
        <f aca="false">Units!$E73*(1+Inputs!$B$7)^(BV$2-1)</f>
        <v>1767.8929633075</v>
      </c>
      <c r="BW74" s="11" t="n">
        <f aca="false">Units!$E73*(1+Inputs!$B$7)^(BW$2-1)</f>
        <v>1820.92975220673</v>
      </c>
      <c r="BX74" s="11" t="n">
        <f aca="false">Units!$E73*(1+Inputs!$B$7)^(BX$2-1)</f>
        <v>1820.92975220673</v>
      </c>
      <c r="BY74" s="11" t="n">
        <f aca="false">Units!$E73*(1+Inputs!$B$7)^(BY$2-1)</f>
        <v>1820.92975220673</v>
      </c>
      <c r="BZ74" s="11" t="n">
        <f aca="false">Units!$E73*(1+Inputs!$B$7)^(BZ$2-1)</f>
        <v>1820.92975220673</v>
      </c>
      <c r="CA74" s="11" t="n">
        <f aca="false">Units!$E73*(1+Inputs!$B$7)^(CA$2-1)</f>
        <v>1820.92975220673</v>
      </c>
      <c r="CB74" s="11" t="n">
        <f aca="false">Units!$E73*(1+Inputs!$B$7)^(CB$2-1)</f>
        <v>1820.92975220673</v>
      </c>
      <c r="CC74" s="11" t="n">
        <f aca="false">Units!$E73*(1+Inputs!$B$7)^(CC$2-1)</f>
        <v>1820.92975220673</v>
      </c>
      <c r="CD74" s="11" t="n">
        <f aca="false">Units!$E73*(1+Inputs!$B$7)^(CD$2-1)</f>
        <v>1820.92975220673</v>
      </c>
      <c r="CE74" s="11" t="n">
        <f aca="false">Units!$E73*(1+Inputs!$B$7)^(CE$2-1)</f>
        <v>1820.92975220673</v>
      </c>
      <c r="CF74" s="11" t="n">
        <f aca="false">Units!$E73*(1+Inputs!$B$7)^(CF$2-1)</f>
        <v>1820.92975220673</v>
      </c>
      <c r="CG74" s="11" t="n">
        <f aca="false">Units!$E73*(1+Inputs!$B$7)^(CG$2-1)</f>
        <v>1820.92975220673</v>
      </c>
      <c r="CH74" s="11" t="n">
        <f aca="false">Units!$E73*(1+Inputs!$B$7)^(CH$2-1)</f>
        <v>1820.92975220673</v>
      </c>
      <c r="CI74" s="11" t="n">
        <f aca="false">Units!$E73*(1+Inputs!$B$7)^(CI$2-1)</f>
        <v>1875.55764477293</v>
      </c>
      <c r="CJ74" s="11" t="n">
        <f aca="false">Units!$E73*(1+Inputs!$B$7)^(CJ$2-1)</f>
        <v>1875.55764477293</v>
      </c>
      <c r="CK74" s="11" t="n">
        <f aca="false">Units!$E73*(1+Inputs!$B$7)^(CK$2-1)</f>
        <v>1875.55764477293</v>
      </c>
      <c r="CL74" s="11" t="n">
        <f aca="false">Units!$E73*(1+Inputs!$B$7)^(CL$2-1)</f>
        <v>1875.55764477293</v>
      </c>
      <c r="CM74" s="11" t="n">
        <f aca="false">Units!$E73*(1+Inputs!$B$7)^(CM$2-1)</f>
        <v>1875.55764477293</v>
      </c>
      <c r="CN74" s="11" t="n">
        <f aca="false">Units!$E73*(1+Inputs!$B$7)^(CN$2-1)</f>
        <v>1875.55764477293</v>
      </c>
      <c r="CO74" s="11" t="n">
        <f aca="false">Units!$E73*(1+Inputs!$B$7)^(CO$2-1)</f>
        <v>1875.55764477293</v>
      </c>
      <c r="CP74" s="11" t="n">
        <f aca="false">Units!$E73*(1+Inputs!$B$7)^(CP$2-1)</f>
        <v>1875.55764477293</v>
      </c>
      <c r="CQ74" s="11" t="n">
        <f aca="false">Units!$E73*(1+Inputs!$B$7)^(CQ$2-1)</f>
        <v>1875.55764477293</v>
      </c>
      <c r="CR74" s="11" t="n">
        <f aca="false">Units!$E73*(1+Inputs!$B$7)^(CR$2-1)</f>
        <v>1875.55764477293</v>
      </c>
      <c r="CS74" s="11" t="n">
        <f aca="false">Units!$E73*(1+Inputs!$B$7)^(CS$2-1)</f>
        <v>1875.55764477293</v>
      </c>
      <c r="CT74" s="11" t="n">
        <f aca="false">Units!$E73*(1+Inputs!$B$7)^(CT$2-1)</f>
        <v>1875.55764477293</v>
      </c>
      <c r="CU74" s="11" t="n">
        <f aca="false">Units!$E73*(1+Inputs!$B$7)^(CU$2-1)</f>
        <v>1931.82437411612</v>
      </c>
      <c r="CV74" s="11" t="n">
        <f aca="false">Units!$E73*(1+Inputs!$B$7)^(CV$2-1)</f>
        <v>1931.82437411612</v>
      </c>
      <c r="CW74" s="11" t="n">
        <f aca="false">Units!$E73*(1+Inputs!$B$7)^(CW$2-1)</f>
        <v>1931.82437411612</v>
      </c>
      <c r="CX74" s="11" t="n">
        <f aca="false">Units!$E73*(1+Inputs!$B$7)^(CX$2-1)</f>
        <v>1931.82437411612</v>
      </c>
      <c r="CY74" s="11" t="n">
        <f aca="false">Units!$E73*(1+Inputs!$B$7)^(CY$2-1)</f>
        <v>1931.82437411612</v>
      </c>
      <c r="CZ74" s="11" t="n">
        <f aca="false">Units!$E73*(1+Inputs!$B$7)^(CZ$2-1)</f>
        <v>1931.82437411612</v>
      </c>
      <c r="DA74" s="11" t="n">
        <f aca="false">Units!$E73*(1+Inputs!$B$7)^(DA$2-1)</f>
        <v>1931.82437411612</v>
      </c>
      <c r="DB74" s="11" t="n">
        <f aca="false">Units!$E73*(1+Inputs!$B$7)^(DB$2-1)</f>
        <v>1931.82437411612</v>
      </c>
      <c r="DC74" s="11" t="n">
        <f aca="false">Units!$E73*(1+Inputs!$B$7)^(DC$2-1)</f>
        <v>1931.82437411612</v>
      </c>
      <c r="DD74" s="11" t="n">
        <f aca="false">Units!$E73*(1+Inputs!$B$7)^(DD$2-1)</f>
        <v>1931.82437411612</v>
      </c>
      <c r="DE74" s="11" t="n">
        <f aca="false">Units!$E73*(1+Inputs!$B$7)^(DE$2-1)</f>
        <v>1931.82437411612</v>
      </c>
      <c r="DF74" s="11" t="n">
        <f aca="false">Units!$E73*(1+Inputs!$B$7)^(DF$2-1)</f>
        <v>1931.82437411612</v>
      </c>
      <c r="DG74" s="11" t="n">
        <f aca="false">Units!$E73*(1+Inputs!$B$7)^(DG$2-1)</f>
        <v>1989.7791053396</v>
      </c>
      <c r="DH74" s="11" t="n">
        <f aca="false">Units!$E73*(1+Inputs!$B$7)^(DH$2-1)</f>
        <v>1989.7791053396</v>
      </c>
      <c r="DI74" s="11" t="n">
        <f aca="false">Units!$E73*(1+Inputs!$B$7)^(DI$2-1)</f>
        <v>1989.7791053396</v>
      </c>
      <c r="DJ74" s="11" t="n">
        <f aca="false">Units!$E73*(1+Inputs!$B$7)^(DJ$2-1)</f>
        <v>1989.7791053396</v>
      </c>
      <c r="DK74" s="11" t="n">
        <f aca="false">Units!$E73*(1+Inputs!$B$7)^(DK$2-1)</f>
        <v>1989.7791053396</v>
      </c>
      <c r="DL74" s="11" t="n">
        <f aca="false">Units!$E73*(1+Inputs!$B$7)^(DL$2-1)</f>
        <v>1989.7791053396</v>
      </c>
      <c r="DM74" s="11" t="n">
        <f aca="false">Units!$E73*(1+Inputs!$B$7)^(DM$2-1)</f>
        <v>1989.7791053396</v>
      </c>
      <c r="DN74" s="11" t="n">
        <f aca="false">Units!$E73*(1+Inputs!$B$7)^(DN$2-1)</f>
        <v>1989.7791053396</v>
      </c>
      <c r="DO74" s="11" t="n">
        <f aca="false">Units!$E73*(1+Inputs!$B$7)^(DO$2-1)</f>
        <v>1989.7791053396</v>
      </c>
      <c r="DP74" s="11" t="n">
        <f aca="false">Units!$E73*(1+Inputs!$B$7)^(DP$2-1)</f>
        <v>1989.7791053396</v>
      </c>
      <c r="DQ74" s="11" t="n">
        <f aca="false">Units!$E73*(1+Inputs!$B$7)^(DQ$2-1)</f>
        <v>1989.7791053396</v>
      </c>
      <c r="DR74" s="11" t="n">
        <f aca="false">Units!$E73*(1+Inputs!$B$7)^(DR$2-1)</f>
        <v>1989.7791053396</v>
      </c>
      <c r="DS74" s="11" t="n">
        <f aca="false">Units!$E73*(1+Inputs!$B$7)^(DS$2-1)</f>
        <v>2049.47247849979</v>
      </c>
      <c r="DT74" s="11" t="n">
        <f aca="false">Units!$E73*(1+Inputs!$B$7)^(DT$2-1)</f>
        <v>2049.47247849979</v>
      </c>
      <c r="DU74" s="11" t="n">
        <f aca="false">Units!$E73*(1+Inputs!$B$7)^(DU$2-1)</f>
        <v>2049.47247849979</v>
      </c>
      <c r="DV74" s="11" t="n">
        <f aca="false">Units!$E73*(1+Inputs!$B$7)^(DV$2-1)</f>
        <v>2049.47247849979</v>
      </c>
      <c r="DW74" s="11" t="n">
        <f aca="false">Units!$E73*(1+Inputs!$B$7)^(DW$2-1)</f>
        <v>2049.47247849979</v>
      </c>
      <c r="DX74" s="11" t="n">
        <f aca="false">Units!$E73*(1+Inputs!$B$7)^(DX$2-1)</f>
        <v>2049.47247849979</v>
      </c>
      <c r="DY74" s="11" t="n">
        <f aca="false">Units!$E73*(1+Inputs!$B$7)^(DY$2-1)</f>
        <v>2049.47247849979</v>
      </c>
      <c r="DZ74" s="11" t="n">
        <f aca="false">Units!$E73*(1+Inputs!$B$7)^(DZ$2-1)</f>
        <v>2049.47247849979</v>
      </c>
      <c r="EA74" s="11" t="n">
        <f aca="false">Units!$E73*(1+Inputs!$B$7)^(EA$2-1)</f>
        <v>2049.47247849979</v>
      </c>
      <c r="EB74" s="11" t="n">
        <f aca="false">Units!$E73*(1+Inputs!$B$7)^(EB$2-1)</f>
        <v>2049.47247849979</v>
      </c>
      <c r="EC74" s="11" t="n">
        <f aca="false">Units!$E73*(1+Inputs!$B$7)^(EC$2-1)</f>
        <v>2049.47247849979</v>
      </c>
      <c r="ED74" s="11" t="n">
        <f aca="false">Units!$E73*(1+Inputs!$B$7)^(ED$2-1)</f>
        <v>2049.47247849979</v>
      </c>
    </row>
    <row r="75" customFormat="false" ht="15" hidden="false" customHeight="false" outlineLevel="0" collapsed="false">
      <c r="A75" s="22" t="n">
        <f aca="false">Units!A74</f>
        <v>313</v>
      </c>
      <c r="B75" s="23"/>
      <c r="C75" s="11" t="n">
        <f aca="false">Units!$E74*(1+Inputs!$B$7)^(C$2-1)</f>
        <v>1295</v>
      </c>
      <c r="D75" s="11" t="n">
        <f aca="false">Units!$E74*(1+Inputs!$B$7)^(D$2-1)</f>
        <v>1295</v>
      </c>
      <c r="E75" s="11" t="n">
        <f aca="false">Units!$E74*(1+Inputs!$B$7)^(E$2-1)</f>
        <v>1295</v>
      </c>
      <c r="F75" s="11" t="n">
        <f aca="false">Units!$E74*(1+Inputs!$B$7)^(F$2-1)</f>
        <v>1295</v>
      </c>
      <c r="G75" s="11" t="n">
        <f aca="false">Units!$E74*(1+Inputs!$B$7)^(G$2-1)</f>
        <v>1295</v>
      </c>
      <c r="H75" s="11" t="n">
        <f aca="false">Units!$E74*(1+Inputs!$B$7)^(H$2-1)</f>
        <v>1295</v>
      </c>
      <c r="I75" s="11" t="n">
        <f aca="false">Units!$E74*(1+Inputs!$B$7)^(I$2-1)</f>
        <v>1295</v>
      </c>
      <c r="J75" s="11" t="n">
        <f aca="false">Units!$E74*(1+Inputs!$B$7)^(J$2-1)</f>
        <v>1295</v>
      </c>
      <c r="K75" s="11" t="n">
        <f aca="false">Units!$E74*(1+Inputs!$B$7)^(K$2-1)</f>
        <v>1295</v>
      </c>
      <c r="L75" s="11" t="n">
        <f aca="false">Units!$E74*(1+Inputs!$B$7)^(L$2-1)</f>
        <v>1295</v>
      </c>
      <c r="M75" s="11" t="n">
        <f aca="false">Units!$E74*(1+Inputs!$B$7)^(M$2-1)</f>
        <v>1295</v>
      </c>
      <c r="N75" s="11" t="n">
        <f aca="false">Units!$E74*(1+Inputs!$B$7)^(N$2-1)</f>
        <v>1295</v>
      </c>
      <c r="O75" s="11" t="n">
        <f aca="false">Units!$E74*(1+Inputs!$B$7)^(O$2-1)</f>
        <v>1333.85</v>
      </c>
      <c r="P75" s="11" t="n">
        <f aca="false">Units!$E74*(1+Inputs!$B$7)^(P$2-1)</f>
        <v>1333.85</v>
      </c>
      <c r="Q75" s="11" t="n">
        <f aca="false">Units!$E74*(1+Inputs!$B$7)^(Q$2-1)</f>
        <v>1333.85</v>
      </c>
      <c r="R75" s="11" t="n">
        <f aca="false">Units!$E74*(1+Inputs!$B$7)^(R$2-1)</f>
        <v>1333.85</v>
      </c>
      <c r="S75" s="11" t="n">
        <f aca="false">Units!$E74*(1+Inputs!$B$7)^(S$2-1)</f>
        <v>1333.85</v>
      </c>
      <c r="T75" s="11" t="n">
        <f aca="false">Units!$E74*(1+Inputs!$B$7)^(T$2-1)</f>
        <v>1333.85</v>
      </c>
      <c r="U75" s="11" t="n">
        <f aca="false">Units!$E74*(1+Inputs!$B$7)^(U$2-1)</f>
        <v>1333.85</v>
      </c>
      <c r="V75" s="11" t="n">
        <f aca="false">Units!$E74*(1+Inputs!$B$7)^(V$2-1)</f>
        <v>1333.85</v>
      </c>
      <c r="W75" s="11" t="n">
        <f aca="false">Units!$E74*(1+Inputs!$B$7)^(W$2-1)</f>
        <v>1333.85</v>
      </c>
      <c r="X75" s="11" t="n">
        <f aca="false">Units!$E74*(1+Inputs!$B$7)^(X$2-1)</f>
        <v>1333.85</v>
      </c>
      <c r="Y75" s="11" t="n">
        <f aca="false">Units!$E74*(1+Inputs!$B$7)^(Y$2-1)</f>
        <v>1333.85</v>
      </c>
      <c r="Z75" s="11" t="n">
        <f aca="false">Units!$E74*(1+Inputs!$B$7)^(Z$2-1)</f>
        <v>1333.85</v>
      </c>
      <c r="AA75" s="11" t="n">
        <f aca="false">Units!$E74*(1+Inputs!$B$7)^(AA$2-1)</f>
        <v>1373.8655</v>
      </c>
      <c r="AB75" s="11" t="n">
        <f aca="false">Units!$E74*(1+Inputs!$B$7)^(AB$2-1)</f>
        <v>1373.8655</v>
      </c>
      <c r="AC75" s="11" t="n">
        <f aca="false">Units!$E74*(1+Inputs!$B$7)^(AC$2-1)</f>
        <v>1373.8655</v>
      </c>
      <c r="AD75" s="11" t="n">
        <f aca="false">Units!$E74*(1+Inputs!$B$7)^(AD$2-1)</f>
        <v>1373.8655</v>
      </c>
      <c r="AE75" s="11" t="n">
        <f aca="false">Units!$E74*(1+Inputs!$B$7)^(AE$2-1)</f>
        <v>1373.8655</v>
      </c>
      <c r="AF75" s="11" t="n">
        <f aca="false">Units!$E74*(1+Inputs!$B$7)^(AF$2-1)</f>
        <v>1373.8655</v>
      </c>
      <c r="AG75" s="11" t="n">
        <f aca="false">Units!$E74*(1+Inputs!$B$7)^(AG$2-1)</f>
        <v>1373.8655</v>
      </c>
      <c r="AH75" s="11" t="n">
        <f aca="false">Units!$E74*(1+Inputs!$B$7)^(AH$2-1)</f>
        <v>1373.8655</v>
      </c>
      <c r="AI75" s="11" t="n">
        <f aca="false">Units!$E74*(1+Inputs!$B$7)^(AI$2-1)</f>
        <v>1373.8655</v>
      </c>
      <c r="AJ75" s="11" t="n">
        <f aca="false">Units!$E74*(1+Inputs!$B$7)^(AJ$2-1)</f>
        <v>1373.8655</v>
      </c>
      <c r="AK75" s="11" t="n">
        <f aca="false">Units!$E74*(1+Inputs!$B$7)^(AK$2-1)</f>
        <v>1373.8655</v>
      </c>
      <c r="AL75" s="11" t="n">
        <f aca="false">Units!$E74*(1+Inputs!$B$7)^(AL$2-1)</f>
        <v>1373.8655</v>
      </c>
      <c r="AM75" s="11" t="n">
        <f aca="false">Units!$E74*(1+Inputs!$B$7)^(AM$2-1)</f>
        <v>1415.081465</v>
      </c>
      <c r="AN75" s="11" t="n">
        <f aca="false">Units!$E74*(1+Inputs!$B$7)^(AN$2-1)</f>
        <v>1415.081465</v>
      </c>
      <c r="AO75" s="11" t="n">
        <f aca="false">Units!$E74*(1+Inputs!$B$7)^(AO$2-1)</f>
        <v>1415.081465</v>
      </c>
      <c r="AP75" s="11" t="n">
        <f aca="false">Units!$E74*(1+Inputs!$B$7)^(AP$2-1)</f>
        <v>1415.081465</v>
      </c>
      <c r="AQ75" s="11" t="n">
        <f aca="false">Units!$E74*(1+Inputs!$B$7)^(AQ$2-1)</f>
        <v>1415.081465</v>
      </c>
      <c r="AR75" s="11" t="n">
        <f aca="false">Units!$E74*(1+Inputs!$B$7)^(AR$2-1)</f>
        <v>1415.081465</v>
      </c>
      <c r="AS75" s="11" t="n">
        <f aca="false">Units!$E74*(1+Inputs!$B$7)^(AS$2-1)</f>
        <v>1415.081465</v>
      </c>
      <c r="AT75" s="11" t="n">
        <f aca="false">Units!$E74*(1+Inputs!$B$7)^(AT$2-1)</f>
        <v>1415.081465</v>
      </c>
      <c r="AU75" s="11" t="n">
        <f aca="false">Units!$E74*(1+Inputs!$B$7)^(AU$2-1)</f>
        <v>1415.081465</v>
      </c>
      <c r="AV75" s="11" t="n">
        <f aca="false">Units!$E74*(1+Inputs!$B$7)^(AV$2-1)</f>
        <v>1415.081465</v>
      </c>
      <c r="AW75" s="11" t="n">
        <f aca="false">Units!$E74*(1+Inputs!$B$7)^(AW$2-1)</f>
        <v>1415.081465</v>
      </c>
      <c r="AX75" s="11" t="n">
        <f aca="false">Units!$E74*(1+Inputs!$B$7)^(AX$2-1)</f>
        <v>1415.081465</v>
      </c>
      <c r="AY75" s="11" t="n">
        <f aca="false">Units!$E74*(1+Inputs!$B$7)^(AY$2-1)</f>
        <v>1457.53390895</v>
      </c>
      <c r="AZ75" s="11" t="n">
        <f aca="false">Units!$E74*(1+Inputs!$B$7)^(AZ$2-1)</f>
        <v>1457.53390895</v>
      </c>
      <c r="BA75" s="11" t="n">
        <f aca="false">Units!$E74*(1+Inputs!$B$7)^(BA$2-1)</f>
        <v>1457.53390895</v>
      </c>
      <c r="BB75" s="11" t="n">
        <f aca="false">Units!$E74*(1+Inputs!$B$7)^(BB$2-1)</f>
        <v>1457.53390895</v>
      </c>
      <c r="BC75" s="11" t="n">
        <f aca="false">Units!$E74*(1+Inputs!$B$7)^(BC$2-1)</f>
        <v>1457.53390895</v>
      </c>
      <c r="BD75" s="11" t="n">
        <f aca="false">Units!$E74*(1+Inputs!$B$7)^(BD$2-1)</f>
        <v>1457.53390895</v>
      </c>
      <c r="BE75" s="11" t="n">
        <f aca="false">Units!$E74*(1+Inputs!$B$7)^(BE$2-1)</f>
        <v>1457.53390895</v>
      </c>
      <c r="BF75" s="11" t="n">
        <f aca="false">Units!$E74*(1+Inputs!$B$7)^(BF$2-1)</f>
        <v>1457.53390895</v>
      </c>
      <c r="BG75" s="11" t="n">
        <f aca="false">Units!$E74*(1+Inputs!$B$7)^(BG$2-1)</f>
        <v>1457.53390895</v>
      </c>
      <c r="BH75" s="11" t="n">
        <f aca="false">Units!$E74*(1+Inputs!$B$7)^(BH$2-1)</f>
        <v>1457.53390895</v>
      </c>
      <c r="BI75" s="11" t="n">
        <f aca="false">Units!$E74*(1+Inputs!$B$7)^(BI$2-1)</f>
        <v>1457.53390895</v>
      </c>
      <c r="BJ75" s="11" t="n">
        <f aca="false">Units!$E74*(1+Inputs!$B$7)^(BJ$2-1)</f>
        <v>1457.53390895</v>
      </c>
      <c r="BK75" s="11" t="n">
        <f aca="false">Units!$E74*(1+Inputs!$B$7)^(BK$2-1)</f>
        <v>1501.2599262185</v>
      </c>
      <c r="BL75" s="11" t="n">
        <f aca="false">Units!$E74*(1+Inputs!$B$7)^(BL$2-1)</f>
        <v>1501.2599262185</v>
      </c>
      <c r="BM75" s="11" t="n">
        <f aca="false">Units!$E74*(1+Inputs!$B$7)^(BM$2-1)</f>
        <v>1501.2599262185</v>
      </c>
      <c r="BN75" s="11" t="n">
        <f aca="false">Units!$E74*(1+Inputs!$B$7)^(BN$2-1)</f>
        <v>1501.2599262185</v>
      </c>
      <c r="BO75" s="11" t="n">
        <f aca="false">Units!$E74*(1+Inputs!$B$7)^(BO$2-1)</f>
        <v>1501.2599262185</v>
      </c>
      <c r="BP75" s="11" t="n">
        <f aca="false">Units!$E74*(1+Inputs!$B$7)^(BP$2-1)</f>
        <v>1501.2599262185</v>
      </c>
      <c r="BQ75" s="11" t="n">
        <f aca="false">Units!$E74*(1+Inputs!$B$7)^(BQ$2-1)</f>
        <v>1501.2599262185</v>
      </c>
      <c r="BR75" s="11" t="n">
        <f aca="false">Units!$E74*(1+Inputs!$B$7)^(BR$2-1)</f>
        <v>1501.2599262185</v>
      </c>
      <c r="BS75" s="11" t="n">
        <f aca="false">Units!$E74*(1+Inputs!$B$7)^(BS$2-1)</f>
        <v>1501.2599262185</v>
      </c>
      <c r="BT75" s="11" t="n">
        <f aca="false">Units!$E74*(1+Inputs!$B$7)^(BT$2-1)</f>
        <v>1501.2599262185</v>
      </c>
      <c r="BU75" s="11" t="n">
        <f aca="false">Units!$E74*(1+Inputs!$B$7)^(BU$2-1)</f>
        <v>1501.2599262185</v>
      </c>
      <c r="BV75" s="11" t="n">
        <f aca="false">Units!$E74*(1+Inputs!$B$7)^(BV$2-1)</f>
        <v>1501.2599262185</v>
      </c>
      <c r="BW75" s="11" t="n">
        <f aca="false">Units!$E74*(1+Inputs!$B$7)^(BW$2-1)</f>
        <v>1546.29772400506</v>
      </c>
      <c r="BX75" s="11" t="n">
        <f aca="false">Units!$E74*(1+Inputs!$B$7)^(BX$2-1)</f>
        <v>1546.29772400506</v>
      </c>
      <c r="BY75" s="11" t="n">
        <f aca="false">Units!$E74*(1+Inputs!$B$7)^(BY$2-1)</f>
        <v>1546.29772400506</v>
      </c>
      <c r="BZ75" s="11" t="n">
        <f aca="false">Units!$E74*(1+Inputs!$B$7)^(BZ$2-1)</f>
        <v>1546.29772400506</v>
      </c>
      <c r="CA75" s="11" t="n">
        <f aca="false">Units!$E74*(1+Inputs!$B$7)^(CA$2-1)</f>
        <v>1546.29772400506</v>
      </c>
      <c r="CB75" s="11" t="n">
        <f aca="false">Units!$E74*(1+Inputs!$B$7)^(CB$2-1)</f>
        <v>1546.29772400506</v>
      </c>
      <c r="CC75" s="11" t="n">
        <f aca="false">Units!$E74*(1+Inputs!$B$7)^(CC$2-1)</f>
        <v>1546.29772400506</v>
      </c>
      <c r="CD75" s="11" t="n">
        <f aca="false">Units!$E74*(1+Inputs!$B$7)^(CD$2-1)</f>
        <v>1546.29772400506</v>
      </c>
      <c r="CE75" s="11" t="n">
        <f aca="false">Units!$E74*(1+Inputs!$B$7)^(CE$2-1)</f>
        <v>1546.29772400506</v>
      </c>
      <c r="CF75" s="11" t="n">
        <f aca="false">Units!$E74*(1+Inputs!$B$7)^(CF$2-1)</f>
        <v>1546.29772400506</v>
      </c>
      <c r="CG75" s="11" t="n">
        <f aca="false">Units!$E74*(1+Inputs!$B$7)^(CG$2-1)</f>
        <v>1546.29772400506</v>
      </c>
      <c r="CH75" s="11" t="n">
        <f aca="false">Units!$E74*(1+Inputs!$B$7)^(CH$2-1)</f>
        <v>1546.29772400506</v>
      </c>
      <c r="CI75" s="11" t="n">
        <f aca="false">Units!$E74*(1+Inputs!$B$7)^(CI$2-1)</f>
        <v>1592.68665572521</v>
      </c>
      <c r="CJ75" s="11" t="n">
        <f aca="false">Units!$E74*(1+Inputs!$B$7)^(CJ$2-1)</f>
        <v>1592.68665572521</v>
      </c>
      <c r="CK75" s="11" t="n">
        <f aca="false">Units!$E74*(1+Inputs!$B$7)^(CK$2-1)</f>
        <v>1592.68665572521</v>
      </c>
      <c r="CL75" s="11" t="n">
        <f aca="false">Units!$E74*(1+Inputs!$B$7)^(CL$2-1)</f>
        <v>1592.68665572521</v>
      </c>
      <c r="CM75" s="11" t="n">
        <f aca="false">Units!$E74*(1+Inputs!$B$7)^(CM$2-1)</f>
        <v>1592.68665572521</v>
      </c>
      <c r="CN75" s="11" t="n">
        <f aca="false">Units!$E74*(1+Inputs!$B$7)^(CN$2-1)</f>
        <v>1592.68665572521</v>
      </c>
      <c r="CO75" s="11" t="n">
        <f aca="false">Units!$E74*(1+Inputs!$B$7)^(CO$2-1)</f>
        <v>1592.68665572521</v>
      </c>
      <c r="CP75" s="11" t="n">
        <f aca="false">Units!$E74*(1+Inputs!$B$7)^(CP$2-1)</f>
        <v>1592.68665572521</v>
      </c>
      <c r="CQ75" s="11" t="n">
        <f aca="false">Units!$E74*(1+Inputs!$B$7)^(CQ$2-1)</f>
        <v>1592.68665572521</v>
      </c>
      <c r="CR75" s="11" t="n">
        <f aca="false">Units!$E74*(1+Inputs!$B$7)^(CR$2-1)</f>
        <v>1592.68665572521</v>
      </c>
      <c r="CS75" s="11" t="n">
        <f aca="false">Units!$E74*(1+Inputs!$B$7)^(CS$2-1)</f>
        <v>1592.68665572521</v>
      </c>
      <c r="CT75" s="11" t="n">
        <f aca="false">Units!$E74*(1+Inputs!$B$7)^(CT$2-1)</f>
        <v>1592.68665572521</v>
      </c>
      <c r="CU75" s="11" t="n">
        <f aca="false">Units!$E74*(1+Inputs!$B$7)^(CU$2-1)</f>
        <v>1640.46725539696</v>
      </c>
      <c r="CV75" s="11" t="n">
        <f aca="false">Units!$E74*(1+Inputs!$B$7)^(CV$2-1)</f>
        <v>1640.46725539696</v>
      </c>
      <c r="CW75" s="11" t="n">
        <f aca="false">Units!$E74*(1+Inputs!$B$7)^(CW$2-1)</f>
        <v>1640.46725539696</v>
      </c>
      <c r="CX75" s="11" t="n">
        <f aca="false">Units!$E74*(1+Inputs!$B$7)^(CX$2-1)</f>
        <v>1640.46725539696</v>
      </c>
      <c r="CY75" s="11" t="n">
        <f aca="false">Units!$E74*(1+Inputs!$B$7)^(CY$2-1)</f>
        <v>1640.46725539696</v>
      </c>
      <c r="CZ75" s="11" t="n">
        <f aca="false">Units!$E74*(1+Inputs!$B$7)^(CZ$2-1)</f>
        <v>1640.46725539696</v>
      </c>
      <c r="DA75" s="11" t="n">
        <f aca="false">Units!$E74*(1+Inputs!$B$7)^(DA$2-1)</f>
        <v>1640.46725539696</v>
      </c>
      <c r="DB75" s="11" t="n">
        <f aca="false">Units!$E74*(1+Inputs!$B$7)^(DB$2-1)</f>
        <v>1640.46725539696</v>
      </c>
      <c r="DC75" s="11" t="n">
        <f aca="false">Units!$E74*(1+Inputs!$B$7)^(DC$2-1)</f>
        <v>1640.46725539696</v>
      </c>
      <c r="DD75" s="11" t="n">
        <f aca="false">Units!$E74*(1+Inputs!$B$7)^(DD$2-1)</f>
        <v>1640.46725539696</v>
      </c>
      <c r="DE75" s="11" t="n">
        <f aca="false">Units!$E74*(1+Inputs!$B$7)^(DE$2-1)</f>
        <v>1640.46725539696</v>
      </c>
      <c r="DF75" s="11" t="n">
        <f aca="false">Units!$E74*(1+Inputs!$B$7)^(DF$2-1)</f>
        <v>1640.46725539696</v>
      </c>
      <c r="DG75" s="11" t="n">
        <f aca="false">Units!$E74*(1+Inputs!$B$7)^(DG$2-1)</f>
        <v>1689.68127305887</v>
      </c>
      <c r="DH75" s="11" t="n">
        <f aca="false">Units!$E74*(1+Inputs!$B$7)^(DH$2-1)</f>
        <v>1689.68127305887</v>
      </c>
      <c r="DI75" s="11" t="n">
        <f aca="false">Units!$E74*(1+Inputs!$B$7)^(DI$2-1)</f>
        <v>1689.68127305887</v>
      </c>
      <c r="DJ75" s="11" t="n">
        <f aca="false">Units!$E74*(1+Inputs!$B$7)^(DJ$2-1)</f>
        <v>1689.68127305887</v>
      </c>
      <c r="DK75" s="11" t="n">
        <f aca="false">Units!$E74*(1+Inputs!$B$7)^(DK$2-1)</f>
        <v>1689.68127305887</v>
      </c>
      <c r="DL75" s="11" t="n">
        <f aca="false">Units!$E74*(1+Inputs!$B$7)^(DL$2-1)</f>
        <v>1689.68127305887</v>
      </c>
      <c r="DM75" s="11" t="n">
        <f aca="false">Units!$E74*(1+Inputs!$B$7)^(DM$2-1)</f>
        <v>1689.68127305887</v>
      </c>
      <c r="DN75" s="11" t="n">
        <f aca="false">Units!$E74*(1+Inputs!$B$7)^(DN$2-1)</f>
        <v>1689.68127305887</v>
      </c>
      <c r="DO75" s="11" t="n">
        <f aca="false">Units!$E74*(1+Inputs!$B$7)^(DO$2-1)</f>
        <v>1689.68127305887</v>
      </c>
      <c r="DP75" s="11" t="n">
        <f aca="false">Units!$E74*(1+Inputs!$B$7)^(DP$2-1)</f>
        <v>1689.68127305887</v>
      </c>
      <c r="DQ75" s="11" t="n">
        <f aca="false">Units!$E74*(1+Inputs!$B$7)^(DQ$2-1)</f>
        <v>1689.68127305887</v>
      </c>
      <c r="DR75" s="11" t="n">
        <f aca="false">Units!$E74*(1+Inputs!$B$7)^(DR$2-1)</f>
        <v>1689.68127305887</v>
      </c>
      <c r="DS75" s="11" t="n">
        <f aca="false">Units!$E74*(1+Inputs!$B$7)^(DS$2-1)</f>
        <v>1740.37171125064</v>
      </c>
      <c r="DT75" s="11" t="n">
        <f aca="false">Units!$E74*(1+Inputs!$B$7)^(DT$2-1)</f>
        <v>1740.37171125064</v>
      </c>
      <c r="DU75" s="11" t="n">
        <f aca="false">Units!$E74*(1+Inputs!$B$7)^(DU$2-1)</f>
        <v>1740.37171125064</v>
      </c>
      <c r="DV75" s="11" t="n">
        <f aca="false">Units!$E74*(1+Inputs!$B$7)^(DV$2-1)</f>
        <v>1740.37171125064</v>
      </c>
      <c r="DW75" s="11" t="n">
        <f aca="false">Units!$E74*(1+Inputs!$B$7)^(DW$2-1)</f>
        <v>1740.37171125064</v>
      </c>
      <c r="DX75" s="11" t="n">
        <f aca="false">Units!$E74*(1+Inputs!$B$7)^(DX$2-1)</f>
        <v>1740.37171125064</v>
      </c>
      <c r="DY75" s="11" t="n">
        <f aca="false">Units!$E74*(1+Inputs!$B$7)^(DY$2-1)</f>
        <v>1740.37171125064</v>
      </c>
      <c r="DZ75" s="11" t="n">
        <f aca="false">Units!$E74*(1+Inputs!$B$7)^(DZ$2-1)</f>
        <v>1740.37171125064</v>
      </c>
      <c r="EA75" s="11" t="n">
        <f aca="false">Units!$E74*(1+Inputs!$B$7)^(EA$2-1)</f>
        <v>1740.37171125064</v>
      </c>
      <c r="EB75" s="11" t="n">
        <f aca="false">Units!$E74*(1+Inputs!$B$7)^(EB$2-1)</f>
        <v>1740.37171125064</v>
      </c>
      <c r="EC75" s="11" t="n">
        <f aca="false">Units!$E74*(1+Inputs!$B$7)^(EC$2-1)</f>
        <v>1740.37171125064</v>
      </c>
      <c r="ED75" s="11" t="n">
        <f aca="false">Units!$E74*(1+Inputs!$B$7)^(ED$2-1)</f>
        <v>1740.37171125064</v>
      </c>
    </row>
    <row r="76" customFormat="false" ht="15" hidden="false" customHeight="false" outlineLevel="0" collapsed="false">
      <c r="A76" s="22" t="n">
        <f aca="false">Units!A75</f>
        <v>314</v>
      </c>
      <c r="B76" s="23"/>
      <c r="C76" s="11" t="n">
        <f aca="false">Units!$E75*(1+Inputs!$B$7)^(C$2-1)</f>
        <v>1295</v>
      </c>
      <c r="D76" s="11" t="n">
        <f aca="false">Units!$E75*(1+Inputs!$B$7)^(D$2-1)</f>
        <v>1295</v>
      </c>
      <c r="E76" s="11" t="n">
        <f aca="false">Units!$E75*(1+Inputs!$B$7)^(E$2-1)</f>
        <v>1295</v>
      </c>
      <c r="F76" s="11" t="n">
        <f aca="false">Units!$E75*(1+Inputs!$B$7)^(F$2-1)</f>
        <v>1295</v>
      </c>
      <c r="G76" s="11" t="n">
        <f aca="false">Units!$E75*(1+Inputs!$B$7)^(G$2-1)</f>
        <v>1295</v>
      </c>
      <c r="H76" s="11" t="n">
        <f aca="false">Units!$E75*(1+Inputs!$B$7)^(H$2-1)</f>
        <v>1295</v>
      </c>
      <c r="I76" s="11" t="n">
        <f aca="false">Units!$E75*(1+Inputs!$B$7)^(I$2-1)</f>
        <v>1295</v>
      </c>
      <c r="J76" s="11" t="n">
        <f aca="false">Units!$E75*(1+Inputs!$B$7)^(J$2-1)</f>
        <v>1295</v>
      </c>
      <c r="K76" s="11" t="n">
        <f aca="false">Units!$E75*(1+Inputs!$B$7)^(K$2-1)</f>
        <v>1295</v>
      </c>
      <c r="L76" s="11" t="n">
        <f aca="false">Units!$E75*(1+Inputs!$B$7)^(L$2-1)</f>
        <v>1295</v>
      </c>
      <c r="M76" s="11" t="n">
        <f aca="false">Units!$E75*(1+Inputs!$B$7)^(M$2-1)</f>
        <v>1295</v>
      </c>
      <c r="N76" s="11" t="n">
        <f aca="false">Units!$E75*(1+Inputs!$B$7)^(N$2-1)</f>
        <v>1295</v>
      </c>
      <c r="O76" s="11" t="n">
        <f aca="false">Units!$E75*(1+Inputs!$B$7)^(O$2-1)</f>
        <v>1333.85</v>
      </c>
      <c r="P76" s="11" t="n">
        <f aca="false">Units!$E75*(1+Inputs!$B$7)^(P$2-1)</f>
        <v>1333.85</v>
      </c>
      <c r="Q76" s="11" t="n">
        <f aca="false">Units!$E75*(1+Inputs!$B$7)^(Q$2-1)</f>
        <v>1333.85</v>
      </c>
      <c r="R76" s="11" t="n">
        <f aca="false">Units!$E75*(1+Inputs!$B$7)^(R$2-1)</f>
        <v>1333.85</v>
      </c>
      <c r="S76" s="11" t="n">
        <f aca="false">Units!$E75*(1+Inputs!$B$7)^(S$2-1)</f>
        <v>1333.85</v>
      </c>
      <c r="T76" s="11" t="n">
        <f aca="false">Units!$E75*(1+Inputs!$B$7)^(T$2-1)</f>
        <v>1333.85</v>
      </c>
      <c r="U76" s="11" t="n">
        <f aca="false">Units!$E75*(1+Inputs!$B$7)^(U$2-1)</f>
        <v>1333.85</v>
      </c>
      <c r="V76" s="11" t="n">
        <f aca="false">Units!$E75*(1+Inputs!$B$7)^(V$2-1)</f>
        <v>1333.85</v>
      </c>
      <c r="W76" s="11" t="n">
        <f aca="false">Units!$E75*(1+Inputs!$B$7)^(W$2-1)</f>
        <v>1333.85</v>
      </c>
      <c r="X76" s="11" t="n">
        <f aca="false">Units!$E75*(1+Inputs!$B$7)^(X$2-1)</f>
        <v>1333.85</v>
      </c>
      <c r="Y76" s="11" t="n">
        <f aca="false">Units!$E75*(1+Inputs!$B$7)^(Y$2-1)</f>
        <v>1333.85</v>
      </c>
      <c r="Z76" s="11" t="n">
        <f aca="false">Units!$E75*(1+Inputs!$B$7)^(Z$2-1)</f>
        <v>1333.85</v>
      </c>
      <c r="AA76" s="11" t="n">
        <f aca="false">Units!$E75*(1+Inputs!$B$7)^(AA$2-1)</f>
        <v>1373.8655</v>
      </c>
      <c r="AB76" s="11" t="n">
        <f aca="false">Units!$E75*(1+Inputs!$B$7)^(AB$2-1)</f>
        <v>1373.8655</v>
      </c>
      <c r="AC76" s="11" t="n">
        <f aca="false">Units!$E75*(1+Inputs!$B$7)^(AC$2-1)</f>
        <v>1373.8655</v>
      </c>
      <c r="AD76" s="11" t="n">
        <f aca="false">Units!$E75*(1+Inputs!$B$7)^(AD$2-1)</f>
        <v>1373.8655</v>
      </c>
      <c r="AE76" s="11" t="n">
        <f aca="false">Units!$E75*(1+Inputs!$B$7)^(AE$2-1)</f>
        <v>1373.8655</v>
      </c>
      <c r="AF76" s="11" t="n">
        <f aca="false">Units!$E75*(1+Inputs!$B$7)^(AF$2-1)</f>
        <v>1373.8655</v>
      </c>
      <c r="AG76" s="11" t="n">
        <f aca="false">Units!$E75*(1+Inputs!$B$7)^(AG$2-1)</f>
        <v>1373.8655</v>
      </c>
      <c r="AH76" s="11" t="n">
        <f aca="false">Units!$E75*(1+Inputs!$B$7)^(AH$2-1)</f>
        <v>1373.8655</v>
      </c>
      <c r="AI76" s="11" t="n">
        <f aca="false">Units!$E75*(1+Inputs!$B$7)^(AI$2-1)</f>
        <v>1373.8655</v>
      </c>
      <c r="AJ76" s="11" t="n">
        <f aca="false">Units!$E75*(1+Inputs!$B$7)^(AJ$2-1)</f>
        <v>1373.8655</v>
      </c>
      <c r="AK76" s="11" t="n">
        <f aca="false">Units!$E75*(1+Inputs!$B$7)^(AK$2-1)</f>
        <v>1373.8655</v>
      </c>
      <c r="AL76" s="11" t="n">
        <f aca="false">Units!$E75*(1+Inputs!$B$7)^(AL$2-1)</f>
        <v>1373.8655</v>
      </c>
      <c r="AM76" s="11" t="n">
        <f aca="false">Units!$E75*(1+Inputs!$B$7)^(AM$2-1)</f>
        <v>1415.081465</v>
      </c>
      <c r="AN76" s="11" t="n">
        <f aca="false">Units!$E75*(1+Inputs!$B$7)^(AN$2-1)</f>
        <v>1415.081465</v>
      </c>
      <c r="AO76" s="11" t="n">
        <f aca="false">Units!$E75*(1+Inputs!$B$7)^(AO$2-1)</f>
        <v>1415.081465</v>
      </c>
      <c r="AP76" s="11" t="n">
        <f aca="false">Units!$E75*(1+Inputs!$B$7)^(AP$2-1)</f>
        <v>1415.081465</v>
      </c>
      <c r="AQ76" s="11" t="n">
        <f aca="false">Units!$E75*(1+Inputs!$B$7)^(AQ$2-1)</f>
        <v>1415.081465</v>
      </c>
      <c r="AR76" s="11" t="n">
        <f aca="false">Units!$E75*(1+Inputs!$B$7)^(AR$2-1)</f>
        <v>1415.081465</v>
      </c>
      <c r="AS76" s="11" t="n">
        <f aca="false">Units!$E75*(1+Inputs!$B$7)^(AS$2-1)</f>
        <v>1415.081465</v>
      </c>
      <c r="AT76" s="11" t="n">
        <f aca="false">Units!$E75*(1+Inputs!$B$7)^(AT$2-1)</f>
        <v>1415.081465</v>
      </c>
      <c r="AU76" s="11" t="n">
        <f aca="false">Units!$E75*(1+Inputs!$B$7)^(AU$2-1)</f>
        <v>1415.081465</v>
      </c>
      <c r="AV76" s="11" t="n">
        <f aca="false">Units!$E75*(1+Inputs!$B$7)^(AV$2-1)</f>
        <v>1415.081465</v>
      </c>
      <c r="AW76" s="11" t="n">
        <f aca="false">Units!$E75*(1+Inputs!$B$7)^(AW$2-1)</f>
        <v>1415.081465</v>
      </c>
      <c r="AX76" s="11" t="n">
        <f aca="false">Units!$E75*(1+Inputs!$B$7)^(AX$2-1)</f>
        <v>1415.081465</v>
      </c>
      <c r="AY76" s="11" t="n">
        <f aca="false">Units!$E75*(1+Inputs!$B$7)^(AY$2-1)</f>
        <v>1457.53390895</v>
      </c>
      <c r="AZ76" s="11" t="n">
        <f aca="false">Units!$E75*(1+Inputs!$B$7)^(AZ$2-1)</f>
        <v>1457.53390895</v>
      </c>
      <c r="BA76" s="11" t="n">
        <f aca="false">Units!$E75*(1+Inputs!$B$7)^(BA$2-1)</f>
        <v>1457.53390895</v>
      </c>
      <c r="BB76" s="11" t="n">
        <f aca="false">Units!$E75*(1+Inputs!$B$7)^(BB$2-1)</f>
        <v>1457.53390895</v>
      </c>
      <c r="BC76" s="11" t="n">
        <f aca="false">Units!$E75*(1+Inputs!$B$7)^(BC$2-1)</f>
        <v>1457.53390895</v>
      </c>
      <c r="BD76" s="11" t="n">
        <f aca="false">Units!$E75*(1+Inputs!$B$7)^(BD$2-1)</f>
        <v>1457.53390895</v>
      </c>
      <c r="BE76" s="11" t="n">
        <f aca="false">Units!$E75*(1+Inputs!$B$7)^(BE$2-1)</f>
        <v>1457.53390895</v>
      </c>
      <c r="BF76" s="11" t="n">
        <f aca="false">Units!$E75*(1+Inputs!$B$7)^(BF$2-1)</f>
        <v>1457.53390895</v>
      </c>
      <c r="BG76" s="11" t="n">
        <f aca="false">Units!$E75*(1+Inputs!$B$7)^(BG$2-1)</f>
        <v>1457.53390895</v>
      </c>
      <c r="BH76" s="11" t="n">
        <f aca="false">Units!$E75*(1+Inputs!$B$7)^(BH$2-1)</f>
        <v>1457.53390895</v>
      </c>
      <c r="BI76" s="11" t="n">
        <f aca="false">Units!$E75*(1+Inputs!$B$7)^(BI$2-1)</f>
        <v>1457.53390895</v>
      </c>
      <c r="BJ76" s="11" t="n">
        <f aca="false">Units!$E75*(1+Inputs!$B$7)^(BJ$2-1)</f>
        <v>1457.53390895</v>
      </c>
      <c r="BK76" s="11" t="n">
        <f aca="false">Units!$E75*(1+Inputs!$B$7)^(BK$2-1)</f>
        <v>1501.2599262185</v>
      </c>
      <c r="BL76" s="11" t="n">
        <f aca="false">Units!$E75*(1+Inputs!$B$7)^(BL$2-1)</f>
        <v>1501.2599262185</v>
      </c>
      <c r="BM76" s="11" t="n">
        <f aca="false">Units!$E75*(1+Inputs!$B$7)^(BM$2-1)</f>
        <v>1501.2599262185</v>
      </c>
      <c r="BN76" s="11" t="n">
        <f aca="false">Units!$E75*(1+Inputs!$B$7)^(BN$2-1)</f>
        <v>1501.2599262185</v>
      </c>
      <c r="BO76" s="11" t="n">
        <f aca="false">Units!$E75*(1+Inputs!$B$7)^(BO$2-1)</f>
        <v>1501.2599262185</v>
      </c>
      <c r="BP76" s="11" t="n">
        <f aca="false">Units!$E75*(1+Inputs!$B$7)^(BP$2-1)</f>
        <v>1501.2599262185</v>
      </c>
      <c r="BQ76" s="11" t="n">
        <f aca="false">Units!$E75*(1+Inputs!$B$7)^(BQ$2-1)</f>
        <v>1501.2599262185</v>
      </c>
      <c r="BR76" s="11" t="n">
        <f aca="false">Units!$E75*(1+Inputs!$B$7)^(BR$2-1)</f>
        <v>1501.2599262185</v>
      </c>
      <c r="BS76" s="11" t="n">
        <f aca="false">Units!$E75*(1+Inputs!$B$7)^(BS$2-1)</f>
        <v>1501.2599262185</v>
      </c>
      <c r="BT76" s="11" t="n">
        <f aca="false">Units!$E75*(1+Inputs!$B$7)^(BT$2-1)</f>
        <v>1501.2599262185</v>
      </c>
      <c r="BU76" s="11" t="n">
        <f aca="false">Units!$E75*(1+Inputs!$B$7)^(BU$2-1)</f>
        <v>1501.2599262185</v>
      </c>
      <c r="BV76" s="11" t="n">
        <f aca="false">Units!$E75*(1+Inputs!$B$7)^(BV$2-1)</f>
        <v>1501.2599262185</v>
      </c>
      <c r="BW76" s="11" t="n">
        <f aca="false">Units!$E75*(1+Inputs!$B$7)^(BW$2-1)</f>
        <v>1546.29772400506</v>
      </c>
      <c r="BX76" s="11" t="n">
        <f aca="false">Units!$E75*(1+Inputs!$B$7)^(BX$2-1)</f>
        <v>1546.29772400506</v>
      </c>
      <c r="BY76" s="11" t="n">
        <f aca="false">Units!$E75*(1+Inputs!$B$7)^(BY$2-1)</f>
        <v>1546.29772400506</v>
      </c>
      <c r="BZ76" s="11" t="n">
        <f aca="false">Units!$E75*(1+Inputs!$B$7)^(BZ$2-1)</f>
        <v>1546.29772400506</v>
      </c>
      <c r="CA76" s="11" t="n">
        <f aca="false">Units!$E75*(1+Inputs!$B$7)^(CA$2-1)</f>
        <v>1546.29772400506</v>
      </c>
      <c r="CB76" s="11" t="n">
        <f aca="false">Units!$E75*(1+Inputs!$B$7)^(CB$2-1)</f>
        <v>1546.29772400506</v>
      </c>
      <c r="CC76" s="11" t="n">
        <f aca="false">Units!$E75*(1+Inputs!$B$7)^(CC$2-1)</f>
        <v>1546.29772400506</v>
      </c>
      <c r="CD76" s="11" t="n">
        <f aca="false">Units!$E75*(1+Inputs!$B$7)^(CD$2-1)</f>
        <v>1546.29772400506</v>
      </c>
      <c r="CE76" s="11" t="n">
        <f aca="false">Units!$E75*(1+Inputs!$B$7)^(CE$2-1)</f>
        <v>1546.29772400506</v>
      </c>
      <c r="CF76" s="11" t="n">
        <f aca="false">Units!$E75*(1+Inputs!$B$7)^(CF$2-1)</f>
        <v>1546.29772400506</v>
      </c>
      <c r="CG76" s="11" t="n">
        <f aca="false">Units!$E75*(1+Inputs!$B$7)^(CG$2-1)</f>
        <v>1546.29772400506</v>
      </c>
      <c r="CH76" s="11" t="n">
        <f aca="false">Units!$E75*(1+Inputs!$B$7)^(CH$2-1)</f>
        <v>1546.29772400506</v>
      </c>
      <c r="CI76" s="11" t="n">
        <f aca="false">Units!$E75*(1+Inputs!$B$7)^(CI$2-1)</f>
        <v>1592.68665572521</v>
      </c>
      <c r="CJ76" s="11" t="n">
        <f aca="false">Units!$E75*(1+Inputs!$B$7)^(CJ$2-1)</f>
        <v>1592.68665572521</v>
      </c>
      <c r="CK76" s="11" t="n">
        <f aca="false">Units!$E75*(1+Inputs!$B$7)^(CK$2-1)</f>
        <v>1592.68665572521</v>
      </c>
      <c r="CL76" s="11" t="n">
        <f aca="false">Units!$E75*(1+Inputs!$B$7)^(CL$2-1)</f>
        <v>1592.68665572521</v>
      </c>
      <c r="CM76" s="11" t="n">
        <f aca="false">Units!$E75*(1+Inputs!$B$7)^(CM$2-1)</f>
        <v>1592.68665572521</v>
      </c>
      <c r="CN76" s="11" t="n">
        <f aca="false">Units!$E75*(1+Inputs!$B$7)^(CN$2-1)</f>
        <v>1592.68665572521</v>
      </c>
      <c r="CO76" s="11" t="n">
        <f aca="false">Units!$E75*(1+Inputs!$B$7)^(CO$2-1)</f>
        <v>1592.68665572521</v>
      </c>
      <c r="CP76" s="11" t="n">
        <f aca="false">Units!$E75*(1+Inputs!$B$7)^(CP$2-1)</f>
        <v>1592.68665572521</v>
      </c>
      <c r="CQ76" s="11" t="n">
        <f aca="false">Units!$E75*(1+Inputs!$B$7)^(CQ$2-1)</f>
        <v>1592.68665572521</v>
      </c>
      <c r="CR76" s="11" t="n">
        <f aca="false">Units!$E75*(1+Inputs!$B$7)^(CR$2-1)</f>
        <v>1592.68665572521</v>
      </c>
      <c r="CS76" s="11" t="n">
        <f aca="false">Units!$E75*(1+Inputs!$B$7)^(CS$2-1)</f>
        <v>1592.68665572521</v>
      </c>
      <c r="CT76" s="11" t="n">
        <f aca="false">Units!$E75*(1+Inputs!$B$7)^(CT$2-1)</f>
        <v>1592.68665572521</v>
      </c>
      <c r="CU76" s="11" t="n">
        <f aca="false">Units!$E75*(1+Inputs!$B$7)^(CU$2-1)</f>
        <v>1640.46725539696</v>
      </c>
      <c r="CV76" s="11" t="n">
        <f aca="false">Units!$E75*(1+Inputs!$B$7)^(CV$2-1)</f>
        <v>1640.46725539696</v>
      </c>
      <c r="CW76" s="11" t="n">
        <f aca="false">Units!$E75*(1+Inputs!$B$7)^(CW$2-1)</f>
        <v>1640.46725539696</v>
      </c>
      <c r="CX76" s="11" t="n">
        <f aca="false">Units!$E75*(1+Inputs!$B$7)^(CX$2-1)</f>
        <v>1640.46725539696</v>
      </c>
      <c r="CY76" s="11" t="n">
        <f aca="false">Units!$E75*(1+Inputs!$B$7)^(CY$2-1)</f>
        <v>1640.46725539696</v>
      </c>
      <c r="CZ76" s="11" t="n">
        <f aca="false">Units!$E75*(1+Inputs!$B$7)^(CZ$2-1)</f>
        <v>1640.46725539696</v>
      </c>
      <c r="DA76" s="11" t="n">
        <f aca="false">Units!$E75*(1+Inputs!$B$7)^(DA$2-1)</f>
        <v>1640.46725539696</v>
      </c>
      <c r="DB76" s="11" t="n">
        <f aca="false">Units!$E75*(1+Inputs!$B$7)^(DB$2-1)</f>
        <v>1640.46725539696</v>
      </c>
      <c r="DC76" s="11" t="n">
        <f aca="false">Units!$E75*(1+Inputs!$B$7)^(DC$2-1)</f>
        <v>1640.46725539696</v>
      </c>
      <c r="DD76" s="11" t="n">
        <f aca="false">Units!$E75*(1+Inputs!$B$7)^(DD$2-1)</f>
        <v>1640.46725539696</v>
      </c>
      <c r="DE76" s="11" t="n">
        <f aca="false">Units!$E75*(1+Inputs!$B$7)^(DE$2-1)</f>
        <v>1640.46725539696</v>
      </c>
      <c r="DF76" s="11" t="n">
        <f aca="false">Units!$E75*(1+Inputs!$B$7)^(DF$2-1)</f>
        <v>1640.46725539696</v>
      </c>
      <c r="DG76" s="11" t="n">
        <f aca="false">Units!$E75*(1+Inputs!$B$7)^(DG$2-1)</f>
        <v>1689.68127305887</v>
      </c>
      <c r="DH76" s="11" t="n">
        <f aca="false">Units!$E75*(1+Inputs!$B$7)^(DH$2-1)</f>
        <v>1689.68127305887</v>
      </c>
      <c r="DI76" s="11" t="n">
        <f aca="false">Units!$E75*(1+Inputs!$B$7)^(DI$2-1)</f>
        <v>1689.68127305887</v>
      </c>
      <c r="DJ76" s="11" t="n">
        <f aca="false">Units!$E75*(1+Inputs!$B$7)^(DJ$2-1)</f>
        <v>1689.68127305887</v>
      </c>
      <c r="DK76" s="11" t="n">
        <f aca="false">Units!$E75*(1+Inputs!$B$7)^(DK$2-1)</f>
        <v>1689.68127305887</v>
      </c>
      <c r="DL76" s="11" t="n">
        <f aca="false">Units!$E75*(1+Inputs!$B$7)^(DL$2-1)</f>
        <v>1689.68127305887</v>
      </c>
      <c r="DM76" s="11" t="n">
        <f aca="false">Units!$E75*(1+Inputs!$B$7)^(DM$2-1)</f>
        <v>1689.68127305887</v>
      </c>
      <c r="DN76" s="11" t="n">
        <f aca="false">Units!$E75*(1+Inputs!$B$7)^(DN$2-1)</f>
        <v>1689.68127305887</v>
      </c>
      <c r="DO76" s="11" t="n">
        <f aca="false">Units!$E75*(1+Inputs!$B$7)^(DO$2-1)</f>
        <v>1689.68127305887</v>
      </c>
      <c r="DP76" s="11" t="n">
        <f aca="false">Units!$E75*(1+Inputs!$B$7)^(DP$2-1)</f>
        <v>1689.68127305887</v>
      </c>
      <c r="DQ76" s="11" t="n">
        <f aca="false">Units!$E75*(1+Inputs!$B$7)^(DQ$2-1)</f>
        <v>1689.68127305887</v>
      </c>
      <c r="DR76" s="11" t="n">
        <f aca="false">Units!$E75*(1+Inputs!$B$7)^(DR$2-1)</f>
        <v>1689.68127305887</v>
      </c>
      <c r="DS76" s="11" t="n">
        <f aca="false">Units!$E75*(1+Inputs!$B$7)^(DS$2-1)</f>
        <v>1740.37171125064</v>
      </c>
      <c r="DT76" s="11" t="n">
        <f aca="false">Units!$E75*(1+Inputs!$B$7)^(DT$2-1)</f>
        <v>1740.37171125064</v>
      </c>
      <c r="DU76" s="11" t="n">
        <f aca="false">Units!$E75*(1+Inputs!$B$7)^(DU$2-1)</f>
        <v>1740.37171125064</v>
      </c>
      <c r="DV76" s="11" t="n">
        <f aca="false">Units!$E75*(1+Inputs!$B$7)^(DV$2-1)</f>
        <v>1740.37171125064</v>
      </c>
      <c r="DW76" s="11" t="n">
        <f aca="false">Units!$E75*(1+Inputs!$B$7)^(DW$2-1)</f>
        <v>1740.37171125064</v>
      </c>
      <c r="DX76" s="11" t="n">
        <f aca="false">Units!$E75*(1+Inputs!$B$7)^(DX$2-1)</f>
        <v>1740.37171125064</v>
      </c>
      <c r="DY76" s="11" t="n">
        <f aca="false">Units!$E75*(1+Inputs!$B$7)^(DY$2-1)</f>
        <v>1740.37171125064</v>
      </c>
      <c r="DZ76" s="11" t="n">
        <f aca="false">Units!$E75*(1+Inputs!$B$7)^(DZ$2-1)</f>
        <v>1740.37171125064</v>
      </c>
      <c r="EA76" s="11" t="n">
        <f aca="false">Units!$E75*(1+Inputs!$B$7)^(EA$2-1)</f>
        <v>1740.37171125064</v>
      </c>
      <c r="EB76" s="11" t="n">
        <f aca="false">Units!$E75*(1+Inputs!$B$7)^(EB$2-1)</f>
        <v>1740.37171125064</v>
      </c>
      <c r="EC76" s="11" t="n">
        <f aca="false">Units!$E75*(1+Inputs!$B$7)^(EC$2-1)</f>
        <v>1740.37171125064</v>
      </c>
      <c r="ED76" s="11" t="n">
        <f aca="false">Units!$E75*(1+Inputs!$B$7)^(ED$2-1)</f>
        <v>1740.37171125064</v>
      </c>
    </row>
    <row r="77" customFormat="false" ht="15" hidden="false" customHeight="false" outlineLevel="0" collapsed="false">
      <c r="A77" s="22" t="n">
        <f aca="false">Units!A76</f>
        <v>315</v>
      </c>
      <c r="B77" s="23"/>
      <c r="C77" s="11" t="n">
        <f aca="false">Units!$E76*(1+Inputs!$B$7)^(C$2-1)</f>
        <v>1295</v>
      </c>
      <c r="D77" s="11" t="n">
        <f aca="false">Units!$E76*(1+Inputs!$B$7)^(D$2-1)</f>
        <v>1295</v>
      </c>
      <c r="E77" s="11" t="n">
        <f aca="false">Units!$E76*(1+Inputs!$B$7)^(E$2-1)</f>
        <v>1295</v>
      </c>
      <c r="F77" s="11" t="n">
        <f aca="false">Units!$E76*(1+Inputs!$B$7)^(F$2-1)</f>
        <v>1295</v>
      </c>
      <c r="G77" s="11" t="n">
        <f aca="false">Units!$E76*(1+Inputs!$B$7)^(G$2-1)</f>
        <v>1295</v>
      </c>
      <c r="H77" s="11" t="n">
        <f aca="false">Units!$E76*(1+Inputs!$B$7)^(H$2-1)</f>
        <v>1295</v>
      </c>
      <c r="I77" s="11" t="n">
        <f aca="false">Units!$E76*(1+Inputs!$B$7)^(I$2-1)</f>
        <v>1295</v>
      </c>
      <c r="J77" s="11" t="n">
        <f aca="false">Units!$E76*(1+Inputs!$B$7)^(J$2-1)</f>
        <v>1295</v>
      </c>
      <c r="K77" s="11" t="n">
        <f aca="false">Units!$E76*(1+Inputs!$B$7)^(K$2-1)</f>
        <v>1295</v>
      </c>
      <c r="L77" s="11" t="n">
        <f aca="false">Units!$E76*(1+Inputs!$B$7)^(L$2-1)</f>
        <v>1295</v>
      </c>
      <c r="M77" s="11" t="n">
        <f aca="false">Units!$E76*(1+Inputs!$B$7)^(M$2-1)</f>
        <v>1295</v>
      </c>
      <c r="N77" s="11" t="n">
        <f aca="false">Units!$E76*(1+Inputs!$B$7)^(N$2-1)</f>
        <v>1295</v>
      </c>
      <c r="O77" s="11" t="n">
        <f aca="false">Units!$E76*(1+Inputs!$B$7)^(O$2-1)</f>
        <v>1333.85</v>
      </c>
      <c r="P77" s="11" t="n">
        <f aca="false">Units!$E76*(1+Inputs!$B$7)^(P$2-1)</f>
        <v>1333.85</v>
      </c>
      <c r="Q77" s="11" t="n">
        <f aca="false">Units!$E76*(1+Inputs!$B$7)^(Q$2-1)</f>
        <v>1333.85</v>
      </c>
      <c r="R77" s="11" t="n">
        <f aca="false">Units!$E76*(1+Inputs!$B$7)^(R$2-1)</f>
        <v>1333.85</v>
      </c>
      <c r="S77" s="11" t="n">
        <f aca="false">Units!$E76*(1+Inputs!$B$7)^(S$2-1)</f>
        <v>1333.85</v>
      </c>
      <c r="T77" s="11" t="n">
        <f aca="false">Units!$E76*(1+Inputs!$B$7)^(T$2-1)</f>
        <v>1333.85</v>
      </c>
      <c r="U77" s="11" t="n">
        <f aca="false">Units!$E76*(1+Inputs!$B$7)^(U$2-1)</f>
        <v>1333.85</v>
      </c>
      <c r="V77" s="11" t="n">
        <f aca="false">Units!$E76*(1+Inputs!$B$7)^(V$2-1)</f>
        <v>1333.85</v>
      </c>
      <c r="W77" s="11" t="n">
        <f aca="false">Units!$E76*(1+Inputs!$B$7)^(W$2-1)</f>
        <v>1333.85</v>
      </c>
      <c r="X77" s="11" t="n">
        <f aca="false">Units!$E76*(1+Inputs!$B$7)^(X$2-1)</f>
        <v>1333.85</v>
      </c>
      <c r="Y77" s="11" t="n">
        <f aca="false">Units!$E76*(1+Inputs!$B$7)^(Y$2-1)</f>
        <v>1333.85</v>
      </c>
      <c r="Z77" s="11" t="n">
        <f aca="false">Units!$E76*(1+Inputs!$B$7)^(Z$2-1)</f>
        <v>1333.85</v>
      </c>
      <c r="AA77" s="11" t="n">
        <f aca="false">Units!$E76*(1+Inputs!$B$7)^(AA$2-1)</f>
        <v>1373.8655</v>
      </c>
      <c r="AB77" s="11" t="n">
        <f aca="false">Units!$E76*(1+Inputs!$B$7)^(AB$2-1)</f>
        <v>1373.8655</v>
      </c>
      <c r="AC77" s="11" t="n">
        <f aca="false">Units!$E76*(1+Inputs!$B$7)^(AC$2-1)</f>
        <v>1373.8655</v>
      </c>
      <c r="AD77" s="11" t="n">
        <f aca="false">Units!$E76*(1+Inputs!$B$7)^(AD$2-1)</f>
        <v>1373.8655</v>
      </c>
      <c r="AE77" s="11" t="n">
        <f aca="false">Units!$E76*(1+Inputs!$B$7)^(AE$2-1)</f>
        <v>1373.8655</v>
      </c>
      <c r="AF77" s="11" t="n">
        <f aca="false">Units!$E76*(1+Inputs!$B$7)^(AF$2-1)</f>
        <v>1373.8655</v>
      </c>
      <c r="AG77" s="11" t="n">
        <f aca="false">Units!$E76*(1+Inputs!$B$7)^(AG$2-1)</f>
        <v>1373.8655</v>
      </c>
      <c r="AH77" s="11" t="n">
        <f aca="false">Units!$E76*(1+Inputs!$B$7)^(AH$2-1)</f>
        <v>1373.8655</v>
      </c>
      <c r="AI77" s="11" t="n">
        <f aca="false">Units!$E76*(1+Inputs!$B$7)^(AI$2-1)</f>
        <v>1373.8655</v>
      </c>
      <c r="AJ77" s="11" t="n">
        <f aca="false">Units!$E76*(1+Inputs!$B$7)^(AJ$2-1)</f>
        <v>1373.8655</v>
      </c>
      <c r="AK77" s="11" t="n">
        <f aca="false">Units!$E76*(1+Inputs!$B$7)^(AK$2-1)</f>
        <v>1373.8655</v>
      </c>
      <c r="AL77" s="11" t="n">
        <f aca="false">Units!$E76*(1+Inputs!$B$7)^(AL$2-1)</f>
        <v>1373.8655</v>
      </c>
      <c r="AM77" s="11" t="n">
        <f aca="false">Units!$E76*(1+Inputs!$B$7)^(AM$2-1)</f>
        <v>1415.081465</v>
      </c>
      <c r="AN77" s="11" t="n">
        <f aca="false">Units!$E76*(1+Inputs!$B$7)^(AN$2-1)</f>
        <v>1415.081465</v>
      </c>
      <c r="AO77" s="11" t="n">
        <f aca="false">Units!$E76*(1+Inputs!$B$7)^(AO$2-1)</f>
        <v>1415.081465</v>
      </c>
      <c r="AP77" s="11" t="n">
        <f aca="false">Units!$E76*(1+Inputs!$B$7)^(AP$2-1)</f>
        <v>1415.081465</v>
      </c>
      <c r="AQ77" s="11" t="n">
        <f aca="false">Units!$E76*(1+Inputs!$B$7)^(AQ$2-1)</f>
        <v>1415.081465</v>
      </c>
      <c r="AR77" s="11" t="n">
        <f aca="false">Units!$E76*(1+Inputs!$B$7)^(AR$2-1)</f>
        <v>1415.081465</v>
      </c>
      <c r="AS77" s="11" t="n">
        <f aca="false">Units!$E76*(1+Inputs!$B$7)^(AS$2-1)</f>
        <v>1415.081465</v>
      </c>
      <c r="AT77" s="11" t="n">
        <f aca="false">Units!$E76*(1+Inputs!$B$7)^(AT$2-1)</f>
        <v>1415.081465</v>
      </c>
      <c r="AU77" s="11" t="n">
        <f aca="false">Units!$E76*(1+Inputs!$B$7)^(AU$2-1)</f>
        <v>1415.081465</v>
      </c>
      <c r="AV77" s="11" t="n">
        <f aca="false">Units!$E76*(1+Inputs!$B$7)^(AV$2-1)</f>
        <v>1415.081465</v>
      </c>
      <c r="AW77" s="11" t="n">
        <f aca="false">Units!$E76*(1+Inputs!$B$7)^(AW$2-1)</f>
        <v>1415.081465</v>
      </c>
      <c r="AX77" s="11" t="n">
        <f aca="false">Units!$E76*(1+Inputs!$B$7)^(AX$2-1)</f>
        <v>1415.081465</v>
      </c>
      <c r="AY77" s="11" t="n">
        <f aca="false">Units!$E76*(1+Inputs!$B$7)^(AY$2-1)</f>
        <v>1457.53390895</v>
      </c>
      <c r="AZ77" s="11" t="n">
        <f aca="false">Units!$E76*(1+Inputs!$B$7)^(AZ$2-1)</f>
        <v>1457.53390895</v>
      </c>
      <c r="BA77" s="11" t="n">
        <f aca="false">Units!$E76*(1+Inputs!$B$7)^(BA$2-1)</f>
        <v>1457.53390895</v>
      </c>
      <c r="BB77" s="11" t="n">
        <f aca="false">Units!$E76*(1+Inputs!$B$7)^(BB$2-1)</f>
        <v>1457.53390895</v>
      </c>
      <c r="BC77" s="11" t="n">
        <f aca="false">Units!$E76*(1+Inputs!$B$7)^(BC$2-1)</f>
        <v>1457.53390895</v>
      </c>
      <c r="BD77" s="11" t="n">
        <f aca="false">Units!$E76*(1+Inputs!$B$7)^(BD$2-1)</f>
        <v>1457.53390895</v>
      </c>
      <c r="BE77" s="11" t="n">
        <f aca="false">Units!$E76*(1+Inputs!$B$7)^(BE$2-1)</f>
        <v>1457.53390895</v>
      </c>
      <c r="BF77" s="11" t="n">
        <f aca="false">Units!$E76*(1+Inputs!$B$7)^(BF$2-1)</f>
        <v>1457.53390895</v>
      </c>
      <c r="BG77" s="11" t="n">
        <f aca="false">Units!$E76*(1+Inputs!$B$7)^(BG$2-1)</f>
        <v>1457.53390895</v>
      </c>
      <c r="BH77" s="11" t="n">
        <f aca="false">Units!$E76*(1+Inputs!$B$7)^(BH$2-1)</f>
        <v>1457.53390895</v>
      </c>
      <c r="BI77" s="11" t="n">
        <f aca="false">Units!$E76*(1+Inputs!$B$7)^(BI$2-1)</f>
        <v>1457.53390895</v>
      </c>
      <c r="BJ77" s="11" t="n">
        <f aca="false">Units!$E76*(1+Inputs!$B$7)^(BJ$2-1)</f>
        <v>1457.53390895</v>
      </c>
      <c r="BK77" s="11" t="n">
        <f aca="false">Units!$E76*(1+Inputs!$B$7)^(BK$2-1)</f>
        <v>1501.2599262185</v>
      </c>
      <c r="BL77" s="11" t="n">
        <f aca="false">Units!$E76*(1+Inputs!$B$7)^(BL$2-1)</f>
        <v>1501.2599262185</v>
      </c>
      <c r="BM77" s="11" t="n">
        <f aca="false">Units!$E76*(1+Inputs!$B$7)^(BM$2-1)</f>
        <v>1501.2599262185</v>
      </c>
      <c r="BN77" s="11" t="n">
        <f aca="false">Units!$E76*(1+Inputs!$B$7)^(BN$2-1)</f>
        <v>1501.2599262185</v>
      </c>
      <c r="BO77" s="11" t="n">
        <f aca="false">Units!$E76*(1+Inputs!$B$7)^(BO$2-1)</f>
        <v>1501.2599262185</v>
      </c>
      <c r="BP77" s="11" t="n">
        <f aca="false">Units!$E76*(1+Inputs!$B$7)^(BP$2-1)</f>
        <v>1501.2599262185</v>
      </c>
      <c r="BQ77" s="11" t="n">
        <f aca="false">Units!$E76*(1+Inputs!$B$7)^(BQ$2-1)</f>
        <v>1501.2599262185</v>
      </c>
      <c r="BR77" s="11" t="n">
        <f aca="false">Units!$E76*(1+Inputs!$B$7)^(BR$2-1)</f>
        <v>1501.2599262185</v>
      </c>
      <c r="BS77" s="11" t="n">
        <f aca="false">Units!$E76*(1+Inputs!$B$7)^(BS$2-1)</f>
        <v>1501.2599262185</v>
      </c>
      <c r="BT77" s="11" t="n">
        <f aca="false">Units!$E76*(1+Inputs!$B$7)^(BT$2-1)</f>
        <v>1501.2599262185</v>
      </c>
      <c r="BU77" s="11" t="n">
        <f aca="false">Units!$E76*(1+Inputs!$B$7)^(BU$2-1)</f>
        <v>1501.2599262185</v>
      </c>
      <c r="BV77" s="11" t="n">
        <f aca="false">Units!$E76*(1+Inputs!$B$7)^(BV$2-1)</f>
        <v>1501.2599262185</v>
      </c>
      <c r="BW77" s="11" t="n">
        <f aca="false">Units!$E76*(1+Inputs!$B$7)^(BW$2-1)</f>
        <v>1546.29772400506</v>
      </c>
      <c r="BX77" s="11" t="n">
        <f aca="false">Units!$E76*(1+Inputs!$B$7)^(BX$2-1)</f>
        <v>1546.29772400506</v>
      </c>
      <c r="BY77" s="11" t="n">
        <f aca="false">Units!$E76*(1+Inputs!$B$7)^(BY$2-1)</f>
        <v>1546.29772400506</v>
      </c>
      <c r="BZ77" s="11" t="n">
        <f aca="false">Units!$E76*(1+Inputs!$B$7)^(BZ$2-1)</f>
        <v>1546.29772400506</v>
      </c>
      <c r="CA77" s="11" t="n">
        <f aca="false">Units!$E76*(1+Inputs!$B$7)^(CA$2-1)</f>
        <v>1546.29772400506</v>
      </c>
      <c r="CB77" s="11" t="n">
        <f aca="false">Units!$E76*(1+Inputs!$B$7)^(CB$2-1)</f>
        <v>1546.29772400506</v>
      </c>
      <c r="CC77" s="11" t="n">
        <f aca="false">Units!$E76*(1+Inputs!$B$7)^(CC$2-1)</f>
        <v>1546.29772400506</v>
      </c>
      <c r="CD77" s="11" t="n">
        <f aca="false">Units!$E76*(1+Inputs!$B$7)^(CD$2-1)</f>
        <v>1546.29772400506</v>
      </c>
      <c r="CE77" s="11" t="n">
        <f aca="false">Units!$E76*(1+Inputs!$B$7)^(CE$2-1)</f>
        <v>1546.29772400506</v>
      </c>
      <c r="CF77" s="11" t="n">
        <f aca="false">Units!$E76*(1+Inputs!$B$7)^(CF$2-1)</f>
        <v>1546.29772400506</v>
      </c>
      <c r="CG77" s="11" t="n">
        <f aca="false">Units!$E76*(1+Inputs!$B$7)^(CG$2-1)</f>
        <v>1546.29772400506</v>
      </c>
      <c r="CH77" s="11" t="n">
        <f aca="false">Units!$E76*(1+Inputs!$B$7)^(CH$2-1)</f>
        <v>1546.29772400506</v>
      </c>
      <c r="CI77" s="11" t="n">
        <f aca="false">Units!$E76*(1+Inputs!$B$7)^(CI$2-1)</f>
        <v>1592.68665572521</v>
      </c>
      <c r="CJ77" s="11" t="n">
        <f aca="false">Units!$E76*(1+Inputs!$B$7)^(CJ$2-1)</f>
        <v>1592.68665572521</v>
      </c>
      <c r="CK77" s="11" t="n">
        <f aca="false">Units!$E76*(1+Inputs!$B$7)^(CK$2-1)</f>
        <v>1592.68665572521</v>
      </c>
      <c r="CL77" s="11" t="n">
        <f aca="false">Units!$E76*(1+Inputs!$B$7)^(CL$2-1)</f>
        <v>1592.68665572521</v>
      </c>
      <c r="CM77" s="11" t="n">
        <f aca="false">Units!$E76*(1+Inputs!$B$7)^(CM$2-1)</f>
        <v>1592.68665572521</v>
      </c>
      <c r="CN77" s="11" t="n">
        <f aca="false">Units!$E76*(1+Inputs!$B$7)^(CN$2-1)</f>
        <v>1592.68665572521</v>
      </c>
      <c r="CO77" s="11" t="n">
        <f aca="false">Units!$E76*(1+Inputs!$B$7)^(CO$2-1)</f>
        <v>1592.68665572521</v>
      </c>
      <c r="CP77" s="11" t="n">
        <f aca="false">Units!$E76*(1+Inputs!$B$7)^(CP$2-1)</f>
        <v>1592.68665572521</v>
      </c>
      <c r="CQ77" s="11" t="n">
        <f aca="false">Units!$E76*(1+Inputs!$B$7)^(CQ$2-1)</f>
        <v>1592.68665572521</v>
      </c>
      <c r="CR77" s="11" t="n">
        <f aca="false">Units!$E76*(1+Inputs!$B$7)^(CR$2-1)</f>
        <v>1592.68665572521</v>
      </c>
      <c r="CS77" s="11" t="n">
        <f aca="false">Units!$E76*(1+Inputs!$B$7)^(CS$2-1)</f>
        <v>1592.68665572521</v>
      </c>
      <c r="CT77" s="11" t="n">
        <f aca="false">Units!$E76*(1+Inputs!$B$7)^(CT$2-1)</f>
        <v>1592.68665572521</v>
      </c>
      <c r="CU77" s="11" t="n">
        <f aca="false">Units!$E76*(1+Inputs!$B$7)^(CU$2-1)</f>
        <v>1640.46725539696</v>
      </c>
      <c r="CV77" s="11" t="n">
        <f aca="false">Units!$E76*(1+Inputs!$B$7)^(CV$2-1)</f>
        <v>1640.46725539696</v>
      </c>
      <c r="CW77" s="11" t="n">
        <f aca="false">Units!$E76*(1+Inputs!$B$7)^(CW$2-1)</f>
        <v>1640.46725539696</v>
      </c>
      <c r="CX77" s="11" t="n">
        <f aca="false">Units!$E76*(1+Inputs!$B$7)^(CX$2-1)</f>
        <v>1640.46725539696</v>
      </c>
      <c r="CY77" s="11" t="n">
        <f aca="false">Units!$E76*(1+Inputs!$B$7)^(CY$2-1)</f>
        <v>1640.46725539696</v>
      </c>
      <c r="CZ77" s="11" t="n">
        <f aca="false">Units!$E76*(1+Inputs!$B$7)^(CZ$2-1)</f>
        <v>1640.46725539696</v>
      </c>
      <c r="DA77" s="11" t="n">
        <f aca="false">Units!$E76*(1+Inputs!$B$7)^(DA$2-1)</f>
        <v>1640.46725539696</v>
      </c>
      <c r="DB77" s="11" t="n">
        <f aca="false">Units!$E76*(1+Inputs!$B$7)^(DB$2-1)</f>
        <v>1640.46725539696</v>
      </c>
      <c r="DC77" s="11" t="n">
        <f aca="false">Units!$E76*(1+Inputs!$B$7)^(DC$2-1)</f>
        <v>1640.46725539696</v>
      </c>
      <c r="DD77" s="11" t="n">
        <f aca="false">Units!$E76*(1+Inputs!$B$7)^(DD$2-1)</f>
        <v>1640.46725539696</v>
      </c>
      <c r="DE77" s="11" t="n">
        <f aca="false">Units!$E76*(1+Inputs!$B$7)^(DE$2-1)</f>
        <v>1640.46725539696</v>
      </c>
      <c r="DF77" s="11" t="n">
        <f aca="false">Units!$E76*(1+Inputs!$B$7)^(DF$2-1)</f>
        <v>1640.46725539696</v>
      </c>
      <c r="DG77" s="11" t="n">
        <f aca="false">Units!$E76*(1+Inputs!$B$7)^(DG$2-1)</f>
        <v>1689.68127305887</v>
      </c>
      <c r="DH77" s="11" t="n">
        <f aca="false">Units!$E76*(1+Inputs!$B$7)^(DH$2-1)</f>
        <v>1689.68127305887</v>
      </c>
      <c r="DI77" s="11" t="n">
        <f aca="false">Units!$E76*(1+Inputs!$B$7)^(DI$2-1)</f>
        <v>1689.68127305887</v>
      </c>
      <c r="DJ77" s="11" t="n">
        <f aca="false">Units!$E76*(1+Inputs!$B$7)^(DJ$2-1)</f>
        <v>1689.68127305887</v>
      </c>
      <c r="DK77" s="11" t="n">
        <f aca="false">Units!$E76*(1+Inputs!$B$7)^(DK$2-1)</f>
        <v>1689.68127305887</v>
      </c>
      <c r="DL77" s="11" t="n">
        <f aca="false">Units!$E76*(1+Inputs!$B$7)^(DL$2-1)</f>
        <v>1689.68127305887</v>
      </c>
      <c r="DM77" s="11" t="n">
        <f aca="false">Units!$E76*(1+Inputs!$B$7)^(DM$2-1)</f>
        <v>1689.68127305887</v>
      </c>
      <c r="DN77" s="11" t="n">
        <f aca="false">Units!$E76*(1+Inputs!$B$7)^(DN$2-1)</f>
        <v>1689.68127305887</v>
      </c>
      <c r="DO77" s="11" t="n">
        <f aca="false">Units!$E76*(1+Inputs!$B$7)^(DO$2-1)</f>
        <v>1689.68127305887</v>
      </c>
      <c r="DP77" s="11" t="n">
        <f aca="false">Units!$E76*(1+Inputs!$B$7)^(DP$2-1)</f>
        <v>1689.68127305887</v>
      </c>
      <c r="DQ77" s="11" t="n">
        <f aca="false">Units!$E76*(1+Inputs!$B$7)^(DQ$2-1)</f>
        <v>1689.68127305887</v>
      </c>
      <c r="DR77" s="11" t="n">
        <f aca="false">Units!$E76*(1+Inputs!$B$7)^(DR$2-1)</f>
        <v>1689.68127305887</v>
      </c>
      <c r="DS77" s="11" t="n">
        <f aca="false">Units!$E76*(1+Inputs!$B$7)^(DS$2-1)</f>
        <v>1740.37171125064</v>
      </c>
      <c r="DT77" s="11" t="n">
        <f aca="false">Units!$E76*(1+Inputs!$B$7)^(DT$2-1)</f>
        <v>1740.37171125064</v>
      </c>
      <c r="DU77" s="11" t="n">
        <f aca="false">Units!$E76*(1+Inputs!$B$7)^(DU$2-1)</f>
        <v>1740.37171125064</v>
      </c>
      <c r="DV77" s="11" t="n">
        <f aca="false">Units!$E76*(1+Inputs!$B$7)^(DV$2-1)</f>
        <v>1740.37171125064</v>
      </c>
      <c r="DW77" s="11" t="n">
        <f aca="false">Units!$E76*(1+Inputs!$B$7)^(DW$2-1)</f>
        <v>1740.37171125064</v>
      </c>
      <c r="DX77" s="11" t="n">
        <f aca="false">Units!$E76*(1+Inputs!$B$7)^(DX$2-1)</f>
        <v>1740.37171125064</v>
      </c>
      <c r="DY77" s="11" t="n">
        <f aca="false">Units!$E76*(1+Inputs!$B$7)^(DY$2-1)</f>
        <v>1740.37171125064</v>
      </c>
      <c r="DZ77" s="11" t="n">
        <f aca="false">Units!$E76*(1+Inputs!$B$7)^(DZ$2-1)</f>
        <v>1740.37171125064</v>
      </c>
      <c r="EA77" s="11" t="n">
        <f aca="false">Units!$E76*(1+Inputs!$B$7)^(EA$2-1)</f>
        <v>1740.37171125064</v>
      </c>
      <c r="EB77" s="11" t="n">
        <f aca="false">Units!$E76*(1+Inputs!$B$7)^(EB$2-1)</f>
        <v>1740.37171125064</v>
      </c>
      <c r="EC77" s="11" t="n">
        <f aca="false">Units!$E76*(1+Inputs!$B$7)^(EC$2-1)</f>
        <v>1740.37171125064</v>
      </c>
      <c r="ED77" s="11" t="n">
        <f aca="false">Units!$E76*(1+Inputs!$B$7)^(ED$2-1)</f>
        <v>1740.37171125064</v>
      </c>
    </row>
    <row r="78" customFormat="false" ht="15" hidden="false" customHeight="false" outlineLevel="0" collapsed="false">
      <c r="A78" s="22" t="n">
        <f aca="false">Units!A77</f>
        <v>316</v>
      </c>
      <c r="B78" s="23"/>
      <c r="C78" s="11" t="n">
        <f aca="false">Units!$E77*(1+Inputs!$B$7)^(C$2-1)</f>
        <v>1295</v>
      </c>
      <c r="D78" s="11" t="n">
        <f aca="false">Units!$E77*(1+Inputs!$B$7)^(D$2-1)</f>
        <v>1295</v>
      </c>
      <c r="E78" s="11" t="n">
        <f aca="false">Units!$E77*(1+Inputs!$B$7)^(E$2-1)</f>
        <v>1295</v>
      </c>
      <c r="F78" s="11" t="n">
        <f aca="false">Units!$E77*(1+Inputs!$B$7)^(F$2-1)</f>
        <v>1295</v>
      </c>
      <c r="G78" s="11" t="n">
        <f aca="false">Units!$E77*(1+Inputs!$B$7)^(G$2-1)</f>
        <v>1295</v>
      </c>
      <c r="H78" s="11" t="n">
        <f aca="false">Units!$E77*(1+Inputs!$B$7)^(H$2-1)</f>
        <v>1295</v>
      </c>
      <c r="I78" s="11" t="n">
        <f aca="false">Units!$E77*(1+Inputs!$B$7)^(I$2-1)</f>
        <v>1295</v>
      </c>
      <c r="J78" s="11" t="n">
        <f aca="false">Units!$E77*(1+Inputs!$B$7)^(J$2-1)</f>
        <v>1295</v>
      </c>
      <c r="K78" s="11" t="n">
        <f aca="false">Units!$E77*(1+Inputs!$B$7)^(K$2-1)</f>
        <v>1295</v>
      </c>
      <c r="L78" s="11" t="n">
        <f aca="false">Units!$E77*(1+Inputs!$B$7)^(L$2-1)</f>
        <v>1295</v>
      </c>
      <c r="M78" s="11" t="n">
        <f aca="false">Units!$E77*(1+Inputs!$B$7)^(M$2-1)</f>
        <v>1295</v>
      </c>
      <c r="N78" s="11" t="n">
        <f aca="false">Units!$E77*(1+Inputs!$B$7)^(N$2-1)</f>
        <v>1295</v>
      </c>
      <c r="O78" s="11" t="n">
        <f aca="false">Units!$E77*(1+Inputs!$B$7)^(O$2-1)</f>
        <v>1333.85</v>
      </c>
      <c r="P78" s="11" t="n">
        <f aca="false">Units!$E77*(1+Inputs!$B$7)^(P$2-1)</f>
        <v>1333.85</v>
      </c>
      <c r="Q78" s="11" t="n">
        <f aca="false">Units!$E77*(1+Inputs!$B$7)^(Q$2-1)</f>
        <v>1333.85</v>
      </c>
      <c r="R78" s="11" t="n">
        <f aca="false">Units!$E77*(1+Inputs!$B$7)^(R$2-1)</f>
        <v>1333.85</v>
      </c>
      <c r="S78" s="11" t="n">
        <f aca="false">Units!$E77*(1+Inputs!$B$7)^(S$2-1)</f>
        <v>1333.85</v>
      </c>
      <c r="T78" s="11" t="n">
        <f aca="false">Units!$E77*(1+Inputs!$B$7)^(T$2-1)</f>
        <v>1333.85</v>
      </c>
      <c r="U78" s="11" t="n">
        <f aca="false">Units!$E77*(1+Inputs!$B$7)^(U$2-1)</f>
        <v>1333.85</v>
      </c>
      <c r="V78" s="11" t="n">
        <f aca="false">Units!$E77*(1+Inputs!$B$7)^(V$2-1)</f>
        <v>1333.85</v>
      </c>
      <c r="W78" s="11" t="n">
        <f aca="false">Units!$E77*(1+Inputs!$B$7)^(W$2-1)</f>
        <v>1333.85</v>
      </c>
      <c r="X78" s="11" t="n">
        <f aca="false">Units!$E77*(1+Inputs!$B$7)^(X$2-1)</f>
        <v>1333.85</v>
      </c>
      <c r="Y78" s="11" t="n">
        <f aca="false">Units!$E77*(1+Inputs!$B$7)^(Y$2-1)</f>
        <v>1333.85</v>
      </c>
      <c r="Z78" s="11" t="n">
        <f aca="false">Units!$E77*(1+Inputs!$B$7)^(Z$2-1)</f>
        <v>1333.85</v>
      </c>
      <c r="AA78" s="11" t="n">
        <f aca="false">Units!$E77*(1+Inputs!$B$7)^(AA$2-1)</f>
        <v>1373.8655</v>
      </c>
      <c r="AB78" s="11" t="n">
        <f aca="false">Units!$E77*(1+Inputs!$B$7)^(AB$2-1)</f>
        <v>1373.8655</v>
      </c>
      <c r="AC78" s="11" t="n">
        <f aca="false">Units!$E77*(1+Inputs!$B$7)^(AC$2-1)</f>
        <v>1373.8655</v>
      </c>
      <c r="AD78" s="11" t="n">
        <f aca="false">Units!$E77*(1+Inputs!$B$7)^(AD$2-1)</f>
        <v>1373.8655</v>
      </c>
      <c r="AE78" s="11" t="n">
        <f aca="false">Units!$E77*(1+Inputs!$B$7)^(AE$2-1)</f>
        <v>1373.8655</v>
      </c>
      <c r="AF78" s="11" t="n">
        <f aca="false">Units!$E77*(1+Inputs!$B$7)^(AF$2-1)</f>
        <v>1373.8655</v>
      </c>
      <c r="AG78" s="11" t="n">
        <f aca="false">Units!$E77*(1+Inputs!$B$7)^(AG$2-1)</f>
        <v>1373.8655</v>
      </c>
      <c r="AH78" s="11" t="n">
        <f aca="false">Units!$E77*(1+Inputs!$B$7)^(AH$2-1)</f>
        <v>1373.8655</v>
      </c>
      <c r="AI78" s="11" t="n">
        <f aca="false">Units!$E77*(1+Inputs!$B$7)^(AI$2-1)</f>
        <v>1373.8655</v>
      </c>
      <c r="AJ78" s="11" t="n">
        <f aca="false">Units!$E77*(1+Inputs!$B$7)^(AJ$2-1)</f>
        <v>1373.8655</v>
      </c>
      <c r="AK78" s="11" t="n">
        <f aca="false">Units!$E77*(1+Inputs!$B$7)^(AK$2-1)</f>
        <v>1373.8655</v>
      </c>
      <c r="AL78" s="11" t="n">
        <f aca="false">Units!$E77*(1+Inputs!$B$7)^(AL$2-1)</f>
        <v>1373.8655</v>
      </c>
      <c r="AM78" s="11" t="n">
        <f aca="false">Units!$E77*(1+Inputs!$B$7)^(AM$2-1)</f>
        <v>1415.081465</v>
      </c>
      <c r="AN78" s="11" t="n">
        <f aca="false">Units!$E77*(1+Inputs!$B$7)^(AN$2-1)</f>
        <v>1415.081465</v>
      </c>
      <c r="AO78" s="11" t="n">
        <f aca="false">Units!$E77*(1+Inputs!$B$7)^(AO$2-1)</f>
        <v>1415.081465</v>
      </c>
      <c r="AP78" s="11" t="n">
        <f aca="false">Units!$E77*(1+Inputs!$B$7)^(AP$2-1)</f>
        <v>1415.081465</v>
      </c>
      <c r="AQ78" s="11" t="n">
        <f aca="false">Units!$E77*(1+Inputs!$B$7)^(AQ$2-1)</f>
        <v>1415.081465</v>
      </c>
      <c r="AR78" s="11" t="n">
        <f aca="false">Units!$E77*(1+Inputs!$B$7)^(AR$2-1)</f>
        <v>1415.081465</v>
      </c>
      <c r="AS78" s="11" t="n">
        <f aca="false">Units!$E77*(1+Inputs!$B$7)^(AS$2-1)</f>
        <v>1415.081465</v>
      </c>
      <c r="AT78" s="11" t="n">
        <f aca="false">Units!$E77*(1+Inputs!$B$7)^(AT$2-1)</f>
        <v>1415.081465</v>
      </c>
      <c r="AU78" s="11" t="n">
        <f aca="false">Units!$E77*(1+Inputs!$B$7)^(AU$2-1)</f>
        <v>1415.081465</v>
      </c>
      <c r="AV78" s="11" t="n">
        <f aca="false">Units!$E77*(1+Inputs!$B$7)^(AV$2-1)</f>
        <v>1415.081465</v>
      </c>
      <c r="AW78" s="11" t="n">
        <f aca="false">Units!$E77*(1+Inputs!$B$7)^(AW$2-1)</f>
        <v>1415.081465</v>
      </c>
      <c r="AX78" s="11" t="n">
        <f aca="false">Units!$E77*(1+Inputs!$B$7)^(AX$2-1)</f>
        <v>1415.081465</v>
      </c>
      <c r="AY78" s="11" t="n">
        <f aca="false">Units!$E77*(1+Inputs!$B$7)^(AY$2-1)</f>
        <v>1457.53390895</v>
      </c>
      <c r="AZ78" s="11" t="n">
        <f aca="false">Units!$E77*(1+Inputs!$B$7)^(AZ$2-1)</f>
        <v>1457.53390895</v>
      </c>
      <c r="BA78" s="11" t="n">
        <f aca="false">Units!$E77*(1+Inputs!$B$7)^(BA$2-1)</f>
        <v>1457.53390895</v>
      </c>
      <c r="BB78" s="11" t="n">
        <f aca="false">Units!$E77*(1+Inputs!$B$7)^(BB$2-1)</f>
        <v>1457.53390895</v>
      </c>
      <c r="BC78" s="11" t="n">
        <f aca="false">Units!$E77*(1+Inputs!$B$7)^(BC$2-1)</f>
        <v>1457.53390895</v>
      </c>
      <c r="BD78" s="11" t="n">
        <f aca="false">Units!$E77*(1+Inputs!$B$7)^(BD$2-1)</f>
        <v>1457.53390895</v>
      </c>
      <c r="BE78" s="11" t="n">
        <f aca="false">Units!$E77*(1+Inputs!$B$7)^(BE$2-1)</f>
        <v>1457.53390895</v>
      </c>
      <c r="BF78" s="11" t="n">
        <f aca="false">Units!$E77*(1+Inputs!$B$7)^(BF$2-1)</f>
        <v>1457.53390895</v>
      </c>
      <c r="BG78" s="11" t="n">
        <f aca="false">Units!$E77*(1+Inputs!$B$7)^(BG$2-1)</f>
        <v>1457.53390895</v>
      </c>
      <c r="BH78" s="11" t="n">
        <f aca="false">Units!$E77*(1+Inputs!$B$7)^(BH$2-1)</f>
        <v>1457.53390895</v>
      </c>
      <c r="BI78" s="11" t="n">
        <f aca="false">Units!$E77*(1+Inputs!$B$7)^(BI$2-1)</f>
        <v>1457.53390895</v>
      </c>
      <c r="BJ78" s="11" t="n">
        <f aca="false">Units!$E77*(1+Inputs!$B$7)^(BJ$2-1)</f>
        <v>1457.53390895</v>
      </c>
      <c r="BK78" s="11" t="n">
        <f aca="false">Units!$E77*(1+Inputs!$B$7)^(BK$2-1)</f>
        <v>1501.2599262185</v>
      </c>
      <c r="BL78" s="11" t="n">
        <f aca="false">Units!$E77*(1+Inputs!$B$7)^(BL$2-1)</f>
        <v>1501.2599262185</v>
      </c>
      <c r="BM78" s="11" t="n">
        <f aca="false">Units!$E77*(1+Inputs!$B$7)^(BM$2-1)</f>
        <v>1501.2599262185</v>
      </c>
      <c r="BN78" s="11" t="n">
        <f aca="false">Units!$E77*(1+Inputs!$B$7)^(BN$2-1)</f>
        <v>1501.2599262185</v>
      </c>
      <c r="BO78" s="11" t="n">
        <f aca="false">Units!$E77*(1+Inputs!$B$7)^(BO$2-1)</f>
        <v>1501.2599262185</v>
      </c>
      <c r="BP78" s="11" t="n">
        <f aca="false">Units!$E77*(1+Inputs!$B$7)^(BP$2-1)</f>
        <v>1501.2599262185</v>
      </c>
      <c r="BQ78" s="11" t="n">
        <f aca="false">Units!$E77*(1+Inputs!$B$7)^(BQ$2-1)</f>
        <v>1501.2599262185</v>
      </c>
      <c r="BR78" s="11" t="n">
        <f aca="false">Units!$E77*(1+Inputs!$B$7)^(BR$2-1)</f>
        <v>1501.2599262185</v>
      </c>
      <c r="BS78" s="11" t="n">
        <f aca="false">Units!$E77*(1+Inputs!$B$7)^(BS$2-1)</f>
        <v>1501.2599262185</v>
      </c>
      <c r="BT78" s="11" t="n">
        <f aca="false">Units!$E77*(1+Inputs!$B$7)^(BT$2-1)</f>
        <v>1501.2599262185</v>
      </c>
      <c r="BU78" s="11" t="n">
        <f aca="false">Units!$E77*(1+Inputs!$B$7)^(BU$2-1)</f>
        <v>1501.2599262185</v>
      </c>
      <c r="BV78" s="11" t="n">
        <f aca="false">Units!$E77*(1+Inputs!$B$7)^(BV$2-1)</f>
        <v>1501.2599262185</v>
      </c>
      <c r="BW78" s="11" t="n">
        <f aca="false">Units!$E77*(1+Inputs!$B$7)^(BW$2-1)</f>
        <v>1546.29772400506</v>
      </c>
      <c r="BX78" s="11" t="n">
        <f aca="false">Units!$E77*(1+Inputs!$B$7)^(BX$2-1)</f>
        <v>1546.29772400506</v>
      </c>
      <c r="BY78" s="11" t="n">
        <f aca="false">Units!$E77*(1+Inputs!$B$7)^(BY$2-1)</f>
        <v>1546.29772400506</v>
      </c>
      <c r="BZ78" s="11" t="n">
        <f aca="false">Units!$E77*(1+Inputs!$B$7)^(BZ$2-1)</f>
        <v>1546.29772400506</v>
      </c>
      <c r="CA78" s="11" t="n">
        <f aca="false">Units!$E77*(1+Inputs!$B$7)^(CA$2-1)</f>
        <v>1546.29772400506</v>
      </c>
      <c r="CB78" s="11" t="n">
        <f aca="false">Units!$E77*(1+Inputs!$B$7)^(CB$2-1)</f>
        <v>1546.29772400506</v>
      </c>
      <c r="CC78" s="11" t="n">
        <f aca="false">Units!$E77*(1+Inputs!$B$7)^(CC$2-1)</f>
        <v>1546.29772400506</v>
      </c>
      <c r="CD78" s="11" t="n">
        <f aca="false">Units!$E77*(1+Inputs!$B$7)^(CD$2-1)</f>
        <v>1546.29772400506</v>
      </c>
      <c r="CE78" s="11" t="n">
        <f aca="false">Units!$E77*(1+Inputs!$B$7)^(CE$2-1)</f>
        <v>1546.29772400506</v>
      </c>
      <c r="CF78" s="11" t="n">
        <f aca="false">Units!$E77*(1+Inputs!$B$7)^(CF$2-1)</f>
        <v>1546.29772400506</v>
      </c>
      <c r="CG78" s="11" t="n">
        <f aca="false">Units!$E77*(1+Inputs!$B$7)^(CG$2-1)</f>
        <v>1546.29772400506</v>
      </c>
      <c r="CH78" s="11" t="n">
        <f aca="false">Units!$E77*(1+Inputs!$B$7)^(CH$2-1)</f>
        <v>1546.29772400506</v>
      </c>
      <c r="CI78" s="11" t="n">
        <f aca="false">Units!$E77*(1+Inputs!$B$7)^(CI$2-1)</f>
        <v>1592.68665572521</v>
      </c>
      <c r="CJ78" s="11" t="n">
        <f aca="false">Units!$E77*(1+Inputs!$B$7)^(CJ$2-1)</f>
        <v>1592.68665572521</v>
      </c>
      <c r="CK78" s="11" t="n">
        <f aca="false">Units!$E77*(1+Inputs!$B$7)^(CK$2-1)</f>
        <v>1592.68665572521</v>
      </c>
      <c r="CL78" s="11" t="n">
        <f aca="false">Units!$E77*(1+Inputs!$B$7)^(CL$2-1)</f>
        <v>1592.68665572521</v>
      </c>
      <c r="CM78" s="11" t="n">
        <f aca="false">Units!$E77*(1+Inputs!$B$7)^(CM$2-1)</f>
        <v>1592.68665572521</v>
      </c>
      <c r="CN78" s="11" t="n">
        <f aca="false">Units!$E77*(1+Inputs!$B$7)^(CN$2-1)</f>
        <v>1592.68665572521</v>
      </c>
      <c r="CO78" s="11" t="n">
        <f aca="false">Units!$E77*(1+Inputs!$B$7)^(CO$2-1)</f>
        <v>1592.68665572521</v>
      </c>
      <c r="CP78" s="11" t="n">
        <f aca="false">Units!$E77*(1+Inputs!$B$7)^(CP$2-1)</f>
        <v>1592.68665572521</v>
      </c>
      <c r="CQ78" s="11" t="n">
        <f aca="false">Units!$E77*(1+Inputs!$B$7)^(CQ$2-1)</f>
        <v>1592.68665572521</v>
      </c>
      <c r="CR78" s="11" t="n">
        <f aca="false">Units!$E77*(1+Inputs!$B$7)^(CR$2-1)</f>
        <v>1592.68665572521</v>
      </c>
      <c r="CS78" s="11" t="n">
        <f aca="false">Units!$E77*(1+Inputs!$B$7)^(CS$2-1)</f>
        <v>1592.68665572521</v>
      </c>
      <c r="CT78" s="11" t="n">
        <f aca="false">Units!$E77*(1+Inputs!$B$7)^(CT$2-1)</f>
        <v>1592.68665572521</v>
      </c>
      <c r="CU78" s="11" t="n">
        <f aca="false">Units!$E77*(1+Inputs!$B$7)^(CU$2-1)</f>
        <v>1640.46725539696</v>
      </c>
      <c r="CV78" s="11" t="n">
        <f aca="false">Units!$E77*(1+Inputs!$B$7)^(CV$2-1)</f>
        <v>1640.46725539696</v>
      </c>
      <c r="CW78" s="11" t="n">
        <f aca="false">Units!$E77*(1+Inputs!$B$7)^(CW$2-1)</f>
        <v>1640.46725539696</v>
      </c>
      <c r="CX78" s="11" t="n">
        <f aca="false">Units!$E77*(1+Inputs!$B$7)^(CX$2-1)</f>
        <v>1640.46725539696</v>
      </c>
      <c r="CY78" s="11" t="n">
        <f aca="false">Units!$E77*(1+Inputs!$B$7)^(CY$2-1)</f>
        <v>1640.46725539696</v>
      </c>
      <c r="CZ78" s="11" t="n">
        <f aca="false">Units!$E77*(1+Inputs!$B$7)^(CZ$2-1)</f>
        <v>1640.46725539696</v>
      </c>
      <c r="DA78" s="11" t="n">
        <f aca="false">Units!$E77*(1+Inputs!$B$7)^(DA$2-1)</f>
        <v>1640.46725539696</v>
      </c>
      <c r="DB78" s="11" t="n">
        <f aca="false">Units!$E77*(1+Inputs!$B$7)^(DB$2-1)</f>
        <v>1640.46725539696</v>
      </c>
      <c r="DC78" s="11" t="n">
        <f aca="false">Units!$E77*(1+Inputs!$B$7)^(DC$2-1)</f>
        <v>1640.46725539696</v>
      </c>
      <c r="DD78" s="11" t="n">
        <f aca="false">Units!$E77*(1+Inputs!$B$7)^(DD$2-1)</f>
        <v>1640.46725539696</v>
      </c>
      <c r="DE78" s="11" t="n">
        <f aca="false">Units!$E77*(1+Inputs!$B$7)^(DE$2-1)</f>
        <v>1640.46725539696</v>
      </c>
      <c r="DF78" s="11" t="n">
        <f aca="false">Units!$E77*(1+Inputs!$B$7)^(DF$2-1)</f>
        <v>1640.46725539696</v>
      </c>
      <c r="DG78" s="11" t="n">
        <f aca="false">Units!$E77*(1+Inputs!$B$7)^(DG$2-1)</f>
        <v>1689.68127305887</v>
      </c>
      <c r="DH78" s="11" t="n">
        <f aca="false">Units!$E77*(1+Inputs!$B$7)^(DH$2-1)</f>
        <v>1689.68127305887</v>
      </c>
      <c r="DI78" s="11" t="n">
        <f aca="false">Units!$E77*(1+Inputs!$B$7)^(DI$2-1)</f>
        <v>1689.68127305887</v>
      </c>
      <c r="DJ78" s="11" t="n">
        <f aca="false">Units!$E77*(1+Inputs!$B$7)^(DJ$2-1)</f>
        <v>1689.68127305887</v>
      </c>
      <c r="DK78" s="11" t="n">
        <f aca="false">Units!$E77*(1+Inputs!$B$7)^(DK$2-1)</f>
        <v>1689.68127305887</v>
      </c>
      <c r="DL78" s="11" t="n">
        <f aca="false">Units!$E77*(1+Inputs!$B$7)^(DL$2-1)</f>
        <v>1689.68127305887</v>
      </c>
      <c r="DM78" s="11" t="n">
        <f aca="false">Units!$E77*(1+Inputs!$B$7)^(DM$2-1)</f>
        <v>1689.68127305887</v>
      </c>
      <c r="DN78" s="11" t="n">
        <f aca="false">Units!$E77*(1+Inputs!$B$7)^(DN$2-1)</f>
        <v>1689.68127305887</v>
      </c>
      <c r="DO78" s="11" t="n">
        <f aca="false">Units!$E77*(1+Inputs!$B$7)^(DO$2-1)</f>
        <v>1689.68127305887</v>
      </c>
      <c r="DP78" s="11" t="n">
        <f aca="false">Units!$E77*(1+Inputs!$B$7)^(DP$2-1)</f>
        <v>1689.68127305887</v>
      </c>
      <c r="DQ78" s="11" t="n">
        <f aca="false">Units!$E77*(1+Inputs!$B$7)^(DQ$2-1)</f>
        <v>1689.68127305887</v>
      </c>
      <c r="DR78" s="11" t="n">
        <f aca="false">Units!$E77*(1+Inputs!$B$7)^(DR$2-1)</f>
        <v>1689.68127305887</v>
      </c>
      <c r="DS78" s="11" t="n">
        <f aca="false">Units!$E77*(1+Inputs!$B$7)^(DS$2-1)</f>
        <v>1740.37171125064</v>
      </c>
      <c r="DT78" s="11" t="n">
        <f aca="false">Units!$E77*(1+Inputs!$B$7)^(DT$2-1)</f>
        <v>1740.37171125064</v>
      </c>
      <c r="DU78" s="11" t="n">
        <f aca="false">Units!$E77*(1+Inputs!$B$7)^(DU$2-1)</f>
        <v>1740.37171125064</v>
      </c>
      <c r="DV78" s="11" t="n">
        <f aca="false">Units!$E77*(1+Inputs!$B$7)^(DV$2-1)</f>
        <v>1740.37171125064</v>
      </c>
      <c r="DW78" s="11" t="n">
        <f aca="false">Units!$E77*(1+Inputs!$B$7)^(DW$2-1)</f>
        <v>1740.37171125064</v>
      </c>
      <c r="DX78" s="11" t="n">
        <f aca="false">Units!$E77*(1+Inputs!$B$7)^(DX$2-1)</f>
        <v>1740.37171125064</v>
      </c>
      <c r="DY78" s="11" t="n">
        <f aca="false">Units!$E77*(1+Inputs!$B$7)^(DY$2-1)</f>
        <v>1740.37171125064</v>
      </c>
      <c r="DZ78" s="11" t="n">
        <f aca="false">Units!$E77*(1+Inputs!$B$7)^(DZ$2-1)</f>
        <v>1740.37171125064</v>
      </c>
      <c r="EA78" s="11" t="n">
        <f aca="false">Units!$E77*(1+Inputs!$B$7)^(EA$2-1)</f>
        <v>1740.37171125064</v>
      </c>
      <c r="EB78" s="11" t="n">
        <f aca="false">Units!$E77*(1+Inputs!$B$7)^(EB$2-1)</f>
        <v>1740.37171125064</v>
      </c>
      <c r="EC78" s="11" t="n">
        <f aca="false">Units!$E77*(1+Inputs!$B$7)^(EC$2-1)</f>
        <v>1740.37171125064</v>
      </c>
      <c r="ED78" s="11" t="n">
        <f aca="false">Units!$E77*(1+Inputs!$B$7)^(ED$2-1)</f>
        <v>1740.37171125064</v>
      </c>
    </row>
    <row r="79" customFormat="false" ht="15" hidden="false" customHeight="false" outlineLevel="0" collapsed="false">
      <c r="A79" s="22" t="n">
        <f aca="false">Units!A78</f>
        <v>317</v>
      </c>
      <c r="B79" s="23"/>
      <c r="C79" s="11" t="n">
        <f aca="false">Units!$E78*(1+Inputs!$B$7)^(C$2-1)</f>
        <v>1295</v>
      </c>
      <c r="D79" s="11" t="n">
        <f aca="false">Units!$E78*(1+Inputs!$B$7)^(D$2-1)</f>
        <v>1295</v>
      </c>
      <c r="E79" s="11" t="n">
        <f aca="false">Units!$E78*(1+Inputs!$B$7)^(E$2-1)</f>
        <v>1295</v>
      </c>
      <c r="F79" s="11" t="n">
        <f aca="false">Units!$E78*(1+Inputs!$B$7)^(F$2-1)</f>
        <v>1295</v>
      </c>
      <c r="G79" s="11" t="n">
        <f aca="false">Units!$E78*(1+Inputs!$B$7)^(G$2-1)</f>
        <v>1295</v>
      </c>
      <c r="H79" s="11" t="n">
        <f aca="false">Units!$E78*(1+Inputs!$B$7)^(H$2-1)</f>
        <v>1295</v>
      </c>
      <c r="I79" s="11" t="n">
        <f aca="false">Units!$E78*(1+Inputs!$B$7)^(I$2-1)</f>
        <v>1295</v>
      </c>
      <c r="J79" s="11" t="n">
        <f aca="false">Units!$E78*(1+Inputs!$B$7)^(J$2-1)</f>
        <v>1295</v>
      </c>
      <c r="K79" s="11" t="n">
        <f aca="false">Units!$E78*(1+Inputs!$B$7)^(K$2-1)</f>
        <v>1295</v>
      </c>
      <c r="L79" s="11" t="n">
        <f aca="false">Units!$E78*(1+Inputs!$B$7)^(L$2-1)</f>
        <v>1295</v>
      </c>
      <c r="M79" s="11" t="n">
        <f aca="false">Units!$E78*(1+Inputs!$B$7)^(M$2-1)</f>
        <v>1295</v>
      </c>
      <c r="N79" s="11" t="n">
        <f aca="false">Units!$E78*(1+Inputs!$B$7)^(N$2-1)</f>
        <v>1295</v>
      </c>
      <c r="O79" s="11" t="n">
        <f aca="false">Units!$E78*(1+Inputs!$B$7)^(O$2-1)</f>
        <v>1333.85</v>
      </c>
      <c r="P79" s="11" t="n">
        <f aca="false">Units!$E78*(1+Inputs!$B$7)^(P$2-1)</f>
        <v>1333.85</v>
      </c>
      <c r="Q79" s="11" t="n">
        <f aca="false">Units!$E78*(1+Inputs!$B$7)^(Q$2-1)</f>
        <v>1333.85</v>
      </c>
      <c r="R79" s="11" t="n">
        <f aca="false">Units!$E78*(1+Inputs!$B$7)^(R$2-1)</f>
        <v>1333.85</v>
      </c>
      <c r="S79" s="11" t="n">
        <f aca="false">Units!$E78*(1+Inputs!$B$7)^(S$2-1)</f>
        <v>1333.85</v>
      </c>
      <c r="T79" s="11" t="n">
        <f aca="false">Units!$E78*(1+Inputs!$B$7)^(T$2-1)</f>
        <v>1333.85</v>
      </c>
      <c r="U79" s="11" t="n">
        <f aca="false">Units!$E78*(1+Inputs!$B$7)^(U$2-1)</f>
        <v>1333.85</v>
      </c>
      <c r="V79" s="11" t="n">
        <f aca="false">Units!$E78*(1+Inputs!$B$7)^(V$2-1)</f>
        <v>1333.85</v>
      </c>
      <c r="W79" s="11" t="n">
        <f aca="false">Units!$E78*(1+Inputs!$B$7)^(W$2-1)</f>
        <v>1333.85</v>
      </c>
      <c r="X79" s="11" t="n">
        <f aca="false">Units!$E78*(1+Inputs!$B$7)^(X$2-1)</f>
        <v>1333.85</v>
      </c>
      <c r="Y79" s="11" t="n">
        <f aca="false">Units!$E78*(1+Inputs!$B$7)^(Y$2-1)</f>
        <v>1333.85</v>
      </c>
      <c r="Z79" s="11" t="n">
        <f aca="false">Units!$E78*(1+Inputs!$B$7)^(Z$2-1)</f>
        <v>1333.85</v>
      </c>
      <c r="AA79" s="11" t="n">
        <f aca="false">Units!$E78*(1+Inputs!$B$7)^(AA$2-1)</f>
        <v>1373.8655</v>
      </c>
      <c r="AB79" s="11" t="n">
        <f aca="false">Units!$E78*(1+Inputs!$B$7)^(AB$2-1)</f>
        <v>1373.8655</v>
      </c>
      <c r="AC79" s="11" t="n">
        <f aca="false">Units!$E78*(1+Inputs!$B$7)^(AC$2-1)</f>
        <v>1373.8655</v>
      </c>
      <c r="AD79" s="11" t="n">
        <f aca="false">Units!$E78*(1+Inputs!$B$7)^(AD$2-1)</f>
        <v>1373.8655</v>
      </c>
      <c r="AE79" s="11" t="n">
        <f aca="false">Units!$E78*(1+Inputs!$B$7)^(AE$2-1)</f>
        <v>1373.8655</v>
      </c>
      <c r="AF79" s="11" t="n">
        <f aca="false">Units!$E78*(1+Inputs!$B$7)^(AF$2-1)</f>
        <v>1373.8655</v>
      </c>
      <c r="AG79" s="11" t="n">
        <f aca="false">Units!$E78*(1+Inputs!$B$7)^(AG$2-1)</f>
        <v>1373.8655</v>
      </c>
      <c r="AH79" s="11" t="n">
        <f aca="false">Units!$E78*(1+Inputs!$B$7)^(AH$2-1)</f>
        <v>1373.8655</v>
      </c>
      <c r="AI79" s="11" t="n">
        <f aca="false">Units!$E78*(1+Inputs!$B$7)^(AI$2-1)</f>
        <v>1373.8655</v>
      </c>
      <c r="AJ79" s="11" t="n">
        <f aca="false">Units!$E78*(1+Inputs!$B$7)^(AJ$2-1)</f>
        <v>1373.8655</v>
      </c>
      <c r="AK79" s="11" t="n">
        <f aca="false">Units!$E78*(1+Inputs!$B$7)^(AK$2-1)</f>
        <v>1373.8655</v>
      </c>
      <c r="AL79" s="11" t="n">
        <f aca="false">Units!$E78*(1+Inputs!$B$7)^(AL$2-1)</f>
        <v>1373.8655</v>
      </c>
      <c r="AM79" s="11" t="n">
        <f aca="false">Units!$E78*(1+Inputs!$B$7)^(AM$2-1)</f>
        <v>1415.081465</v>
      </c>
      <c r="AN79" s="11" t="n">
        <f aca="false">Units!$E78*(1+Inputs!$B$7)^(AN$2-1)</f>
        <v>1415.081465</v>
      </c>
      <c r="AO79" s="11" t="n">
        <f aca="false">Units!$E78*(1+Inputs!$B$7)^(AO$2-1)</f>
        <v>1415.081465</v>
      </c>
      <c r="AP79" s="11" t="n">
        <f aca="false">Units!$E78*(1+Inputs!$B$7)^(AP$2-1)</f>
        <v>1415.081465</v>
      </c>
      <c r="AQ79" s="11" t="n">
        <f aca="false">Units!$E78*(1+Inputs!$B$7)^(AQ$2-1)</f>
        <v>1415.081465</v>
      </c>
      <c r="AR79" s="11" t="n">
        <f aca="false">Units!$E78*(1+Inputs!$B$7)^(AR$2-1)</f>
        <v>1415.081465</v>
      </c>
      <c r="AS79" s="11" t="n">
        <f aca="false">Units!$E78*(1+Inputs!$B$7)^(AS$2-1)</f>
        <v>1415.081465</v>
      </c>
      <c r="AT79" s="11" t="n">
        <f aca="false">Units!$E78*(1+Inputs!$B$7)^(AT$2-1)</f>
        <v>1415.081465</v>
      </c>
      <c r="AU79" s="11" t="n">
        <f aca="false">Units!$E78*(1+Inputs!$B$7)^(AU$2-1)</f>
        <v>1415.081465</v>
      </c>
      <c r="AV79" s="11" t="n">
        <f aca="false">Units!$E78*(1+Inputs!$B$7)^(AV$2-1)</f>
        <v>1415.081465</v>
      </c>
      <c r="AW79" s="11" t="n">
        <f aca="false">Units!$E78*(1+Inputs!$B$7)^(AW$2-1)</f>
        <v>1415.081465</v>
      </c>
      <c r="AX79" s="11" t="n">
        <f aca="false">Units!$E78*(1+Inputs!$B$7)^(AX$2-1)</f>
        <v>1415.081465</v>
      </c>
      <c r="AY79" s="11" t="n">
        <f aca="false">Units!$E78*(1+Inputs!$B$7)^(AY$2-1)</f>
        <v>1457.53390895</v>
      </c>
      <c r="AZ79" s="11" t="n">
        <f aca="false">Units!$E78*(1+Inputs!$B$7)^(AZ$2-1)</f>
        <v>1457.53390895</v>
      </c>
      <c r="BA79" s="11" t="n">
        <f aca="false">Units!$E78*(1+Inputs!$B$7)^(BA$2-1)</f>
        <v>1457.53390895</v>
      </c>
      <c r="BB79" s="11" t="n">
        <f aca="false">Units!$E78*(1+Inputs!$B$7)^(BB$2-1)</f>
        <v>1457.53390895</v>
      </c>
      <c r="BC79" s="11" t="n">
        <f aca="false">Units!$E78*(1+Inputs!$B$7)^(BC$2-1)</f>
        <v>1457.53390895</v>
      </c>
      <c r="BD79" s="11" t="n">
        <f aca="false">Units!$E78*(1+Inputs!$B$7)^(BD$2-1)</f>
        <v>1457.53390895</v>
      </c>
      <c r="BE79" s="11" t="n">
        <f aca="false">Units!$E78*(1+Inputs!$B$7)^(BE$2-1)</f>
        <v>1457.53390895</v>
      </c>
      <c r="BF79" s="11" t="n">
        <f aca="false">Units!$E78*(1+Inputs!$B$7)^(BF$2-1)</f>
        <v>1457.53390895</v>
      </c>
      <c r="BG79" s="11" t="n">
        <f aca="false">Units!$E78*(1+Inputs!$B$7)^(BG$2-1)</f>
        <v>1457.53390895</v>
      </c>
      <c r="BH79" s="11" t="n">
        <f aca="false">Units!$E78*(1+Inputs!$B$7)^(BH$2-1)</f>
        <v>1457.53390895</v>
      </c>
      <c r="BI79" s="11" t="n">
        <f aca="false">Units!$E78*(1+Inputs!$B$7)^(BI$2-1)</f>
        <v>1457.53390895</v>
      </c>
      <c r="BJ79" s="11" t="n">
        <f aca="false">Units!$E78*(1+Inputs!$B$7)^(BJ$2-1)</f>
        <v>1457.53390895</v>
      </c>
      <c r="BK79" s="11" t="n">
        <f aca="false">Units!$E78*(1+Inputs!$B$7)^(BK$2-1)</f>
        <v>1501.2599262185</v>
      </c>
      <c r="BL79" s="11" t="n">
        <f aca="false">Units!$E78*(1+Inputs!$B$7)^(BL$2-1)</f>
        <v>1501.2599262185</v>
      </c>
      <c r="BM79" s="11" t="n">
        <f aca="false">Units!$E78*(1+Inputs!$B$7)^(BM$2-1)</f>
        <v>1501.2599262185</v>
      </c>
      <c r="BN79" s="11" t="n">
        <f aca="false">Units!$E78*(1+Inputs!$B$7)^(BN$2-1)</f>
        <v>1501.2599262185</v>
      </c>
      <c r="BO79" s="11" t="n">
        <f aca="false">Units!$E78*(1+Inputs!$B$7)^(BO$2-1)</f>
        <v>1501.2599262185</v>
      </c>
      <c r="BP79" s="11" t="n">
        <f aca="false">Units!$E78*(1+Inputs!$B$7)^(BP$2-1)</f>
        <v>1501.2599262185</v>
      </c>
      <c r="BQ79" s="11" t="n">
        <f aca="false">Units!$E78*(1+Inputs!$B$7)^(BQ$2-1)</f>
        <v>1501.2599262185</v>
      </c>
      <c r="BR79" s="11" t="n">
        <f aca="false">Units!$E78*(1+Inputs!$B$7)^(BR$2-1)</f>
        <v>1501.2599262185</v>
      </c>
      <c r="BS79" s="11" t="n">
        <f aca="false">Units!$E78*(1+Inputs!$B$7)^(BS$2-1)</f>
        <v>1501.2599262185</v>
      </c>
      <c r="BT79" s="11" t="n">
        <f aca="false">Units!$E78*(1+Inputs!$B$7)^(BT$2-1)</f>
        <v>1501.2599262185</v>
      </c>
      <c r="BU79" s="11" t="n">
        <f aca="false">Units!$E78*(1+Inputs!$B$7)^(BU$2-1)</f>
        <v>1501.2599262185</v>
      </c>
      <c r="BV79" s="11" t="n">
        <f aca="false">Units!$E78*(1+Inputs!$B$7)^(BV$2-1)</f>
        <v>1501.2599262185</v>
      </c>
      <c r="BW79" s="11" t="n">
        <f aca="false">Units!$E78*(1+Inputs!$B$7)^(BW$2-1)</f>
        <v>1546.29772400506</v>
      </c>
      <c r="BX79" s="11" t="n">
        <f aca="false">Units!$E78*(1+Inputs!$B$7)^(BX$2-1)</f>
        <v>1546.29772400506</v>
      </c>
      <c r="BY79" s="11" t="n">
        <f aca="false">Units!$E78*(1+Inputs!$B$7)^(BY$2-1)</f>
        <v>1546.29772400506</v>
      </c>
      <c r="BZ79" s="11" t="n">
        <f aca="false">Units!$E78*(1+Inputs!$B$7)^(BZ$2-1)</f>
        <v>1546.29772400506</v>
      </c>
      <c r="CA79" s="11" t="n">
        <f aca="false">Units!$E78*(1+Inputs!$B$7)^(CA$2-1)</f>
        <v>1546.29772400506</v>
      </c>
      <c r="CB79" s="11" t="n">
        <f aca="false">Units!$E78*(1+Inputs!$B$7)^(CB$2-1)</f>
        <v>1546.29772400506</v>
      </c>
      <c r="CC79" s="11" t="n">
        <f aca="false">Units!$E78*(1+Inputs!$B$7)^(CC$2-1)</f>
        <v>1546.29772400506</v>
      </c>
      <c r="CD79" s="11" t="n">
        <f aca="false">Units!$E78*(1+Inputs!$B$7)^(CD$2-1)</f>
        <v>1546.29772400506</v>
      </c>
      <c r="CE79" s="11" t="n">
        <f aca="false">Units!$E78*(1+Inputs!$B$7)^(CE$2-1)</f>
        <v>1546.29772400506</v>
      </c>
      <c r="CF79" s="11" t="n">
        <f aca="false">Units!$E78*(1+Inputs!$B$7)^(CF$2-1)</f>
        <v>1546.29772400506</v>
      </c>
      <c r="CG79" s="11" t="n">
        <f aca="false">Units!$E78*(1+Inputs!$B$7)^(CG$2-1)</f>
        <v>1546.29772400506</v>
      </c>
      <c r="CH79" s="11" t="n">
        <f aca="false">Units!$E78*(1+Inputs!$B$7)^(CH$2-1)</f>
        <v>1546.29772400506</v>
      </c>
      <c r="CI79" s="11" t="n">
        <f aca="false">Units!$E78*(1+Inputs!$B$7)^(CI$2-1)</f>
        <v>1592.68665572521</v>
      </c>
      <c r="CJ79" s="11" t="n">
        <f aca="false">Units!$E78*(1+Inputs!$B$7)^(CJ$2-1)</f>
        <v>1592.68665572521</v>
      </c>
      <c r="CK79" s="11" t="n">
        <f aca="false">Units!$E78*(1+Inputs!$B$7)^(CK$2-1)</f>
        <v>1592.68665572521</v>
      </c>
      <c r="CL79" s="11" t="n">
        <f aca="false">Units!$E78*(1+Inputs!$B$7)^(CL$2-1)</f>
        <v>1592.68665572521</v>
      </c>
      <c r="CM79" s="11" t="n">
        <f aca="false">Units!$E78*(1+Inputs!$B$7)^(CM$2-1)</f>
        <v>1592.68665572521</v>
      </c>
      <c r="CN79" s="11" t="n">
        <f aca="false">Units!$E78*(1+Inputs!$B$7)^(CN$2-1)</f>
        <v>1592.68665572521</v>
      </c>
      <c r="CO79" s="11" t="n">
        <f aca="false">Units!$E78*(1+Inputs!$B$7)^(CO$2-1)</f>
        <v>1592.68665572521</v>
      </c>
      <c r="CP79" s="11" t="n">
        <f aca="false">Units!$E78*(1+Inputs!$B$7)^(CP$2-1)</f>
        <v>1592.68665572521</v>
      </c>
      <c r="CQ79" s="11" t="n">
        <f aca="false">Units!$E78*(1+Inputs!$B$7)^(CQ$2-1)</f>
        <v>1592.68665572521</v>
      </c>
      <c r="CR79" s="11" t="n">
        <f aca="false">Units!$E78*(1+Inputs!$B$7)^(CR$2-1)</f>
        <v>1592.68665572521</v>
      </c>
      <c r="CS79" s="11" t="n">
        <f aca="false">Units!$E78*(1+Inputs!$B$7)^(CS$2-1)</f>
        <v>1592.68665572521</v>
      </c>
      <c r="CT79" s="11" t="n">
        <f aca="false">Units!$E78*(1+Inputs!$B$7)^(CT$2-1)</f>
        <v>1592.68665572521</v>
      </c>
      <c r="CU79" s="11" t="n">
        <f aca="false">Units!$E78*(1+Inputs!$B$7)^(CU$2-1)</f>
        <v>1640.46725539696</v>
      </c>
      <c r="CV79" s="11" t="n">
        <f aca="false">Units!$E78*(1+Inputs!$B$7)^(CV$2-1)</f>
        <v>1640.46725539696</v>
      </c>
      <c r="CW79" s="11" t="n">
        <f aca="false">Units!$E78*(1+Inputs!$B$7)^(CW$2-1)</f>
        <v>1640.46725539696</v>
      </c>
      <c r="CX79" s="11" t="n">
        <f aca="false">Units!$E78*(1+Inputs!$B$7)^(CX$2-1)</f>
        <v>1640.46725539696</v>
      </c>
      <c r="CY79" s="11" t="n">
        <f aca="false">Units!$E78*(1+Inputs!$B$7)^(CY$2-1)</f>
        <v>1640.46725539696</v>
      </c>
      <c r="CZ79" s="11" t="n">
        <f aca="false">Units!$E78*(1+Inputs!$B$7)^(CZ$2-1)</f>
        <v>1640.46725539696</v>
      </c>
      <c r="DA79" s="11" t="n">
        <f aca="false">Units!$E78*(1+Inputs!$B$7)^(DA$2-1)</f>
        <v>1640.46725539696</v>
      </c>
      <c r="DB79" s="11" t="n">
        <f aca="false">Units!$E78*(1+Inputs!$B$7)^(DB$2-1)</f>
        <v>1640.46725539696</v>
      </c>
      <c r="DC79" s="11" t="n">
        <f aca="false">Units!$E78*(1+Inputs!$B$7)^(DC$2-1)</f>
        <v>1640.46725539696</v>
      </c>
      <c r="DD79" s="11" t="n">
        <f aca="false">Units!$E78*(1+Inputs!$B$7)^(DD$2-1)</f>
        <v>1640.46725539696</v>
      </c>
      <c r="DE79" s="11" t="n">
        <f aca="false">Units!$E78*(1+Inputs!$B$7)^(DE$2-1)</f>
        <v>1640.46725539696</v>
      </c>
      <c r="DF79" s="11" t="n">
        <f aca="false">Units!$E78*(1+Inputs!$B$7)^(DF$2-1)</f>
        <v>1640.46725539696</v>
      </c>
      <c r="DG79" s="11" t="n">
        <f aca="false">Units!$E78*(1+Inputs!$B$7)^(DG$2-1)</f>
        <v>1689.68127305887</v>
      </c>
      <c r="DH79" s="11" t="n">
        <f aca="false">Units!$E78*(1+Inputs!$B$7)^(DH$2-1)</f>
        <v>1689.68127305887</v>
      </c>
      <c r="DI79" s="11" t="n">
        <f aca="false">Units!$E78*(1+Inputs!$B$7)^(DI$2-1)</f>
        <v>1689.68127305887</v>
      </c>
      <c r="DJ79" s="11" t="n">
        <f aca="false">Units!$E78*(1+Inputs!$B$7)^(DJ$2-1)</f>
        <v>1689.68127305887</v>
      </c>
      <c r="DK79" s="11" t="n">
        <f aca="false">Units!$E78*(1+Inputs!$B$7)^(DK$2-1)</f>
        <v>1689.68127305887</v>
      </c>
      <c r="DL79" s="11" t="n">
        <f aca="false">Units!$E78*(1+Inputs!$B$7)^(DL$2-1)</f>
        <v>1689.68127305887</v>
      </c>
      <c r="DM79" s="11" t="n">
        <f aca="false">Units!$E78*(1+Inputs!$B$7)^(DM$2-1)</f>
        <v>1689.68127305887</v>
      </c>
      <c r="DN79" s="11" t="n">
        <f aca="false">Units!$E78*(1+Inputs!$B$7)^(DN$2-1)</f>
        <v>1689.68127305887</v>
      </c>
      <c r="DO79" s="11" t="n">
        <f aca="false">Units!$E78*(1+Inputs!$B$7)^(DO$2-1)</f>
        <v>1689.68127305887</v>
      </c>
      <c r="DP79" s="11" t="n">
        <f aca="false">Units!$E78*(1+Inputs!$B$7)^(DP$2-1)</f>
        <v>1689.68127305887</v>
      </c>
      <c r="DQ79" s="11" t="n">
        <f aca="false">Units!$E78*(1+Inputs!$B$7)^(DQ$2-1)</f>
        <v>1689.68127305887</v>
      </c>
      <c r="DR79" s="11" t="n">
        <f aca="false">Units!$E78*(1+Inputs!$B$7)^(DR$2-1)</f>
        <v>1689.68127305887</v>
      </c>
      <c r="DS79" s="11" t="n">
        <f aca="false">Units!$E78*(1+Inputs!$B$7)^(DS$2-1)</f>
        <v>1740.37171125064</v>
      </c>
      <c r="DT79" s="11" t="n">
        <f aca="false">Units!$E78*(1+Inputs!$B$7)^(DT$2-1)</f>
        <v>1740.37171125064</v>
      </c>
      <c r="DU79" s="11" t="n">
        <f aca="false">Units!$E78*(1+Inputs!$B$7)^(DU$2-1)</f>
        <v>1740.37171125064</v>
      </c>
      <c r="DV79" s="11" t="n">
        <f aca="false">Units!$E78*(1+Inputs!$B$7)^(DV$2-1)</f>
        <v>1740.37171125064</v>
      </c>
      <c r="DW79" s="11" t="n">
        <f aca="false">Units!$E78*(1+Inputs!$B$7)^(DW$2-1)</f>
        <v>1740.37171125064</v>
      </c>
      <c r="DX79" s="11" t="n">
        <f aca="false">Units!$E78*(1+Inputs!$B$7)^(DX$2-1)</f>
        <v>1740.37171125064</v>
      </c>
      <c r="DY79" s="11" t="n">
        <f aca="false">Units!$E78*(1+Inputs!$B$7)^(DY$2-1)</f>
        <v>1740.37171125064</v>
      </c>
      <c r="DZ79" s="11" t="n">
        <f aca="false">Units!$E78*(1+Inputs!$B$7)^(DZ$2-1)</f>
        <v>1740.37171125064</v>
      </c>
      <c r="EA79" s="11" t="n">
        <f aca="false">Units!$E78*(1+Inputs!$B$7)^(EA$2-1)</f>
        <v>1740.37171125064</v>
      </c>
      <c r="EB79" s="11" t="n">
        <f aca="false">Units!$E78*(1+Inputs!$B$7)^(EB$2-1)</f>
        <v>1740.37171125064</v>
      </c>
      <c r="EC79" s="11" t="n">
        <f aca="false">Units!$E78*(1+Inputs!$B$7)^(EC$2-1)</f>
        <v>1740.37171125064</v>
      </c>
      <c r="ED79" s="11" t="n">
        <f aca="false">Units!$E78*(1+Inputs!$B$7)^(ED$2-1)</f>
        <v>1740.37171125064</v>
      </c>
    </row>
    <row r="80" customFormat="false" ht="15" hidden="false" customHeight="false" outlineLevel="0" collapsed="false">
      <c r="A80" s="22" t="n">
        <f aca="false">Units!A79</f>
        <v>318</v>
      </c>
      <c r="B80" s="23"/>
      <c r="C80" s="11" t="n">
        <f aca="false">Units!$E79*(1+Inputs!$B$7)^(C$2-1)</f>
        <v>1295</v>
      </c>
      <c r="D80" s="11" t="n">
        <f aca="false">Units!$E79*(1+Inputs!$B$7)^(D$2-1)</f>
        <v>1295</v>
      </c>
      <c r="E80" s="11" t="n">
        <f aca="false">Units!$E79*(1+Inputs!$B$7)^(E$2-1)</f>
        <v>1295</v>
      </c>
      <c r="F80" s="11" t="n">
        <f aca="false">Units!$E79*(1+Inputs!$B$7)^(F$2-1)</f>
        <v>1295</v>
      </c>
      <c r="G80" s="11" t="n">
        <f aca="false">Units!$E79*(1+Inputs!$B$7)^(G$2-1)</f>
        <v>1295</v>
      </c>
      <c r="H80" s="11" t="n">
        <f aca="false">Units!$E79*(1+Inputs!$B$7)^(H$2-1)</f>
        <v>1295</v>
      </c>
      <c r="I80" s="11" t="n">
        <f aca="false">Units!$E79*(1+Inputs!$B$7)^(I$2-1)</f>
        <v>1295</v>
      </c>
      <c r="J80" s="11" t="n">
        <f aca="false">Units!$E79*(1+Inputs!$B$7)^(J$2-1)</f>
        <v>1295</v>
      </c>
      <c r="K80" s="11" t="n">
        <f aca="false">Units!$E79*(1+Inputs!$B$7)^(K$2-1)</f>
        <v>1295</v>
      </c>
      <c r="L80" s="11" t="n">
        <f aca="false">Units!$E79*(1+Inputs!$B$7)^(L$2-1)</f>
        <v>1295</v>
      </c>
      <c r="M80" s="11" t="n">
        <f aca="false">Units!$E79*(1+Inputs!$B$7)^(M$2-1)</f>
        <v>1295</v>
      </c>
      <c r="N80" s="11" t="n">
        <f aca="false">Units!$E79*(1+Inputs!$B$7)^(N$2-1)</f>
        <v>1295</v>
      </c>
      <c r="O80" s="11" t="n">
        <f aca="false">Units!$E79*(1+Inputs!$B$7)^(O$2-1)</f>
        <v>1333.85</v>
      </c>
      <c r="P80" s="11" t="n">
        <f aca="false">Units!$E79*(1+Inputs!$B$7)^(P$2-1)</f>
        <v>1333.85</v>
      </c>
      <c r="Q80" s="11" t="n">
        <f aca="false">Units!$E79*(1+Inputs!$B$7)^(Q$2-1)</f>
        <v>1333.85</v>
      </c>
      <c r="R80" s="11" t="n">
        <f aca="false">Units!$E79*(1+Inputs!$B$7)^(R$2-1)</f>
        <v>1333.85</v>
      </c>
      <c r="S80" s="11" t="n">
        <f aca="false">Units!$E79*(1+Inputs!$B$7)^(S$2-1)</f>
        <v>1333.85</v>
      </c>
      <c r="T80" s="11" t="n">
        <f aca="false">Units!$E79*(1+Inputs!$B$7)^(T$2-1)</f>
        <v>1333.85</v>
      </c>
      <c r="U80" s="11" t="n">
        <f aca="false">Units!$E79*(1+Inputs!$B$7)^(U$2-1)</f>
        <v>1333.85</v>
      </c>
      <c r="V80" s="11" t="n">
        <f aca="false">Units!$E79*(1+Inputs!$B$7)^(V$2-1)</f>
        <v>1333.85</v>
      </c>
      <c r="W80" s="11" t="n">
        <f aca="false">Units!$E79*(1+Inputs!$B$7)^(W$2-1)</f>
        <v>1333.85</v>
      </c>
      <c r="X80" s="11" t="n">
        <f aca="false">Units!$E79*(1+Inputs!$B$7)^(X$2-1)</f>
        <v>1333.85</v>
      </c>
      <c r="Y80" s="11" t="n">
        <f aca="false">Units!$E79*(1+Inputs!$B$7)^(Y$2-1)</f>
        <v>1333.85</v>
      </c>
      <c r="Z80" s="11" t="n">
        <f aca="false">Units!$E79*(1+Inputs!$B$7)^(Z$2-1)</f>
        <v>1333.85</v>
      </c>
      <c r="AA80" s="11" t="n">
        <f aca="false">Units!$E79*(1+Inputs!$B$7)^(AA$2-1)</f>
        <v>1373.8655</v>
      </c>
      <c r="AB80" s="11" t="n">
        <f aca="false">Units!$E79*(1+Inputs!$B$7)^(AB$2-1)</f>
        <v>1373.8655</v>
      </c>
      <c r="AC80" s="11" t="n">
        <f aca="false">Units!$E79*(1+Inputs!$B$7)^(AC$2-1)</f>
        <v>1373.8655</v>
      </c>
      <c r="AD80" s="11" t="n">
        <f aca="false">Units!$E79*(1+Inputs!$B$7)^(AD$2-1)</f>
        <v>1373.8655</v>
      </c>
      <c r="AE80" s="11" t="n">
        <f aca="false">Units!$E79*(1+Inputs!$B$7)^(AE$2-1)</f>
        <v>1373.8655</v>
      </c>
      <c r="AF80" s="11" t="n">
        <f aca="false">Units!$E79*(1+Inputs!$B$7)^(AF$2-1)</f>
        <v>1373.8655</v>
      </c>
      <c r="AG80" s="11" t="n">
        <f aca="false">Units!$E79*(1+Inputs!$B$7)^(AG$2-1)</f>
        <v>1373.8655</v>
      </c>
      <c r="AH80" s="11" t="n">
        <f aca="false">Units!$E79*(1+Inputs!$B$7)^(AH$2-1)</f>
        <v>1373.8655</v>
      </c>
      <c r="AI80" s="11" t="n">
        <f aca="false">Units!$E79*(1+Inputs!$B$7)^(AI$2-1)</f>
        <v>1373.8655</v>
      </c>
      <c r="AJ80" s="11" t="n">
        <f aca="false">Units!$E79*(1+Inputs!$B$7)^(AJ$2-1)</f>
        <v>1373.8655</v>
      </c>
      <c r="AK80" s="11" t="n">
        <f aca="false">Units!$E79*(1+Inputs!$B$7)^(AK$2-1)</f>
        <v>1373.8655</v>
      </c>
      <c r="AL80" s="11" t="n">
        <f aca="false">Units!$E79*(1+Inputs!$B$7)^(AL$2-1)</f>
        <v>1373.8655</v>
      </c>
      <c r="AM80" s="11" t="n">
        <f aca="false">Units!$E79*(1+Inputs!$B$7)^(AM$2-1)</f>
        <v>1415.081465</v>
      </c>
      <c r="AN80" s="11" t="n">
        <f aca="false">Units!$E79*(1+Inputs!$B$7)^(AN$2-1)</f>
        <v>1415.081465</v>
      </c>
      <c r="AO80" s="11" t="n">
        <f aca="false">Units!$E79*(1+Inputs!$B$7)^(AO$2-1)</f>
        <v>1415.081465</v>
      </c>
      <c r="AP80" s="11" t="n">
        <f aca="false">Units!$E79*(1+Inputs!$B$7)^(AP$2-1)</f>
        <v>1415.081465</v>
      </c>
      <c r="AQ80" s="11" t="n">
        <f aca="false">Units!$E79*(1+Inputs!$B$7)^(AQ$2-1)</f>
        <v>1415.081465</v>
      </c>
      <c r="AR80" s="11" t="n">
        <f aca="false">Units!$E79*(1+Inputs!$B$7)^(AR$2-1)</f>
        <v>1415.081465</v>
      </c>
      <c r="AS80" s="11" t="n">
        <f aca="false">Units!$E79*(1+Inputs!$B$7)^(AS$2-1)</f>
        <v>1415.081465</v>
      </c>
      <c r="AT80" s="11" t="n">
        <f aca="false">Units!$E79*(1+Inputs!$B$7)^(AT$2-1)</f>
        <v>1415.081465</v>
      </c>
      <c r="AU80" s="11" t="n">
        <f aca="false">Units!$E79*(1+Inputs!$B$7)^(AU$2-1)</f>
        <v>1415.081465</v>
      </c>
      <c r="AV80" s="11" t="n">
        <f aca="false">Units!$E79*(1+Inputs!$B$7)^(AV$2-1)</f>
        <v>1415.081465</v>
      </c>
      <c r="AW80" s="11" t="n">
        <f aca="false">Units!$E79*(1+Inputs!$B$7)^(AW$2-1)</f>
        <v>1415.081465</v>
      </c>
      <c r="AX80" s="11" t="n">
        <f aca="false">Units!$E79*(1+Inputs!$B$7)^(AX$2-1)</f>
        <v>1415.081465</v>
      </c>
      <c r="AY80" s="11" t="n">
        <f aca="false">Units!$E79*(1+Inputs!$B$7)^(AY$2-1)</f>
        <v>1457.53390895</v>
      </c>
      <c r="AZ80" s="11" t="n">
        <f aca="false">Units!$E79*(1+Inputs!$B$7)^(AZ$2-1)</f>
        <v>1457.53390895</v>
      </c>
      <c r="BA80" s="11" t="n">
        <f aca="false">Units!$E79*(1+Inputs!$B$7)^(BA$2-1)</f>
        <v>1457.53390895</v>
      </c>
      <c r="BB80" s="11" t="n">
        <f aca="false">Units!$E79*(1+Inputs!$B$7)^(BB$2-1)</f>
        <v>1457.53390895</v>
      </c>
      <c r="BC80" s="11" t="n">
        <f aca="false">Units!$E79*(1+Inputs!$B$7)^(BC$2-1)</f>
        <v>1457.53390895</v>
      </c>
      <c r="BD80" s="11" t="n">
        <f aca="false">Units!$E79*(1+Inputs!$B$7)^(BD$2-1)</f>
        <v>1457.53390895</v>
      </c>
      <c r="BE80" s="11" t="n">
        <f aca="false">Units!$E79*(1+Inputs!$B$7)^(BE$2-1)</f>
        <v>1457.53390895</v>
      </c>
      <c r="BF80" s="11" t="n">
        <f aca="false">Units!$E79*(1+Inputs!$B$7)^(BF$2-1)</f>
        <v>1457.53390895</v>
      </c>
      <c r="BG80" s="11" t="n">
        <f aca="false">Units!$E79*(1+Inputs!$B$7)^(BG$2-1)</f>
        <v>1457.53390895</v>
      </c>
      <c r="BH80" s="11" t="n">
        <f aca="false">Units!$E79*(1+Inputs!$B$7)^(BH$2-1)</f>
        <v>1457.53390895</v>
      </c>
      <c r="BI80" s="11" t="n">
        <f aca="false">Units!$E79*(1+Inputs!$B$7)^(BI$2-1)</f>
        <v>1457.53390895</v>
      </c>
      <c r="BJ80" s="11" t="n">
        <f aca="false">Units!$E79*(1+Inputs!$B$7)^(BJ$2-1)</f>
        <v>1457.53390895</v>
      </c>
      <c r="BK80" s="11" t="n">
        <f aca="false">Units!$E79*(1+Inputs!$B$7)^(BK$2-1)</f>
        <v>1501.2599262185</v>
      </c>
      <c r="BL80" s="11" t="n">
        <f aca="false">Units!$E79*(1+Inputs!$B$7)^(BL$2-1)</f>
        <v>1501.2599262185</v>
      </c>
      <c r="BM80" s="11" t="n">
        <f aca="false">Units!$E79*(1+Inputs!$B$7)^(BM$2-1)</f>
        <v>1501.2599262185</v>
      </c>
      <c r="BN80" s="11" t="n">
        <f aca="false">Units!$E79*(1+Inputs!$B$7)^(BN$2-1)</f>
        <v>1501.2599262185</v>
      </c>
      <c r="BO80" s="11" t="n">
        <f aca="false">Units!$E79*(1+Inputs!$B$7)^(BO$2-1)</f>
        <v>1501.2599262185</v>
      </c>
      <c r="BP80" s="11" t="n">
        <f aca="false">Units!$E79*(1+Inputs!$B$7)^(BP$2-1)</f>
        <v>1501.2599262185</v>
      </c>
      <c r="BQ80" s="11" t="n">
        <f aca="false">Units!$E79*(1+Inputs!$B$7)^(BQ$2-1)</f>
        <v>1501.2599262185</v>
      </c>
      <c r="BR80" s="11" t="n">
        <f aca="false">Units!$E79*(1+Inputs!$B$7)^(BR$2-1)</f>
        <v>1501.2599262185</v>
      </c>
      <c r="BS80" s="11" t="n">
        <f aca="false">Units!$E79*(1+Inputs!$B$7)^(BS$2-1)</f>
        <v>1501.2599262185</v>
      </c>
      <c r="BT80" s="11" t="n">
        <f aca="false">Units!$E79*(1+Inputs!$B$7)^(BT$2-1)</f>
        <v>1501.2599262185</v>
      </c>
      <c r="BU80" s="11" t="n">
        <f aca="false">Units!$E79*(1+Inputs!$B$7)^(BU$2-1)</f>
        <v>1501.2599262185</v>
      </c>
      <c r="BV80" s="11" t="n">
        <f aca="false">Units!$E79*(1+Inputs!$B$7)^(BV$2-1)</f>
        <v>1501.2599262185</v>
      </c>
      <c r="BW80" s="11" t="n">
        <f aca="false">Units!$E79*(1+Inputs!$B$7)^(BW$2-1)</f>
        <v>1546.29772400506</v>
      </c>
      <c r="BX80" s="11" t="n">
        <f aca="false">Units!$E79*(1+Inputs!$B$7)^(BX$2-1)</f>
        <v>1546.29772400506</v>
      </c>
      <c r="BY80" s="11" t="n">
        <f aca="false">Units!$E79*(1+Inputs!$B$7)^(BY$2-1)</f>
        <v>1546.29772400506</v>
      </c>
      <c r="BZ80" s="11" t="n">
        <f aca="false">Units!$E79*(1+Inputs!$B$7)^(BZ$2-1)</f>
        <v>1546.29772400506</v>
      </c>
      <c r="CA80" s="11" t="n">
        <f aca="false">Units!$E79*(1+Inputs!$B$7)^(CA$2-1)</f>
        <v>1546.29772400506</v>
      </c>
      <c r="CB80" s="11" t="n">
        <f aca="false">Units!$E79*(1+Inputs!$B$7)^(CB$2-1)</f>
        <v>1546.29772400506</v>
      </c>
      <c r="CC80" s="11" t="n">
        <f aca="false">Units!$E79*(1+Inputs!$B$7)^(CC$2-1)</f>
        <v>1546.29772400506</v>
      </c>
      <c r="CD80" s="11" t="n">
        <f aca="false">Units!$E79*(1+Inputs!$B$7)^(CD$2-1)</f>
        <v>1546.29772400506</v>
      </c>
      <c r="CE80" s="11" t="n">
        <f aca="false">Units!$E79*(1+Inputs!$B$7)^(CE$2-1)</f>
        <v>1546.29772400506</v>
      </c>
      <c r="CF80" s="11" t="n">
        <f aca="false">Units!$E79*(1+Inputs!$B$7)^(CF$2-1)</f>
        <v>1546.29772400506</v>
      </c>
      <c r="CG80" s="11" t="n">
        <f aca="false">Units!$E79*(1+Inputs!$B$7)^(CG$2-1)</f>
        <v>1546.29772400506</v>
      </c>
      <c r="CH80" s="11" t="n">
        <f aca="false">Units!$E79*(1+Inputs!$B$7)^(CH$2-1)</f>
        <v>1546.29772400506</v>
      </c>
      <c r="CI80" s="11" t="n">
        <f aca="false">Units!$E79*(1+Inputs!$B$7)^(CI$2-1)</f>
        <v>1592.68665572521</v>
      </c>
      <c r="CJ80" s="11" t="n">
        <f aca="false">Units!$E79*(1+Inputs!$B$7)^(CJ$2-1)</f>
        <v>1592.68665572521</v>
      </c>
      <c r="CK80" s="11" t="n">
        <f aca="false">Units!$E79*(1+Inputs!$B$7)^(CK$2-1)</f>
        <v>1592.68665572521</v>
      </c>
      <c r="CL80" s="11" t="n">
        <f aca="false">Units!$E79*(1+Inputs!$B$7)^(CL$2-1)</f>
        <v>1592.68665572521</v>
      </c>
      <c r="CM80" s="11" t="n">
        <f aca="false">Units!$E79*(1+Inputs!$B$7)^(CM$2-1)</f>
        <v>1592.68665572521</v>
      </c>
      <c r="CN80" s="11" t="n">
        <f aca="false">Units!$E79*(1+Inputs!$B$7)^(CN$2-1)</f>
        <v>1592.68665572521</v>
      </c>
      <c r="CO80" s="11" t="n">
        <f aca="false">Units!$E79*(1+Inputs!$B$7)^(CO$2-1)</f>
        <v>1592.68665572521</v>
      </c>
      <c r="CP80" s="11" t="n">
        <f aca="false">Units!$E79*(1+Inputs!$B$7)^(CP$2-1)</f>
        <v>1592.68665572521</v>
      </c>
      <c r="CQ80" s="11" t="n">
        <f aca="false">Units!$E79*(1+Inputs!$B$7)^(CQ$2-1)</f>
        <v>1592.68665572521</v>
      </c>
      <c r="CR80" s="11" t="n">
        <f aca="false">Units!$E79*(1+Inputs!$B$7)^(CR$2-1)</f>
        <v>1592.68665572521</v>
      </c>
      <c r="CS80" s="11" t="n">
        <f aca="false">Units!$E79*(1+Inputs!$B$7)^(CS$2-1)</f>
        <v>1592.68665572521</v>
      </c>
      <c r="CT80" s="11" t="n">
        <f aca="false">Units!$E79*(1+Inputs!$B$7)^(CT$2-1)</f>
        <v>1592.68665572521</v>
      </c>
      <c r="CU80" s="11" t="n">
        <f aca="false">Units!$E79*(1+Inputs!$B$7)^(CU$2-1)</f>
        <v>1640.46725539696</v>
      </c>
      <c r="CV80" s="11" t="n">
        <f aca="false">Units!$E79*(1+Inputs!$B$7)^(CV$2-1)</f>
        <v>1640.46725539696</v>
      </c>
      <c r="CW80" s="11" t="n">
        <f aca="false">Units!$E79*(1+Inputs!$B$7)^(CW$2-1)</f>
        <v>1640.46725539696</v>
      </c>
      <c r="CX80" s="11" t="n">
        <f aca="false">Units!$E79*(1+Inputs!$B$7)^(CX$2-1)</f>
        <v>1640.46725539696</v>
      </c>
      <c r="CY80" s="11" t="n">
        <f aca="false">Units!$E79*(1+Inputs!$B$7)^(CY$2-1)</f>
        <v>1640.46725539696</v>
      </c>
      <c r="CZ80" s="11" t="n">
        <f aca="false">Units!$E79*(1+Inputs!$B$7)^(CZ$2-1)</f>
        <v>1640.46725539696</v>
      </c>
      <c r="DA80" s="11" t="n">
        <f aca="false">Units!$E79*(1+Inputs!$B$7)^(DA$2-1)</f>
        <v>1640.46725539696</v>
      </c>
      <c r="DB80" s="11" t="n">
        <f aca="false">Units!$E79*(1+Inputs!$B$7)^(DB$2-1)</f>
        <v>1640.46725539696</v>
      </c>
      <c r="DC80" s="11" t="n">
        <f aca="false">Units!$E79*(1+Inputs!$B$7)^(DC$2-1)</f>
        <v>1640.46725539696</v>
      </c>
      <c r="DD80" s="11" t="n">
        <f aca="false">Units!$E79*(1+Inputs!$B$7)^(DD$2-1)</f>
        <v>1640.46725539696</v>
      </c>
      <c r="DE80" s="11" t="n">
        <f aca="false">Units!$E79*(1+Inputs!$B$7)^(DE$2-1)</f>
        <v>1640.46725539696</v>
      </c>
      <c r="DF80" s="11" t="n">
        <f aca="false">Units!$E79*(1+Inputs!$B$7)^(DF$2-1)</f>
        <v>1640.46725539696</v>
      </c>
      <c r="DG80" s="11" t="n">
        <f aca="false">Units!$E79*(1+Inputs!$B$7)^(DG$2-1)</f>
        <v>1689.68127305887</v>
      </c>
      <c r="DH80" s="11" t="n">
        <f aca="false">Units!$E79*(1+Inputs!$B$7)^(DH$2-1)</f>
        <v>1689.68127305887</v>
      </c>
      <c r="DI80" s="11" t="n">
        <f aca="false">Units!$E79*(1+Inputs!$B$7)^(DI$2-1)</f>
        <v>1689.68127305887</v>
      </c>
      <c r="DJ80" s="11" t="n">
        <f aca="false">Units!$E79*(1+Inputs!$B$7)^(DJ$2-1)</f>
        <v>1689.68127305887</v>
      </c>
      <c r="DK80" s="11" t="n">
        <f aca="false">Units!$E79*(1+Inputs!$B$7)^(DK$2-1)</f>
        <v>1689.68127305887</v>
      </c>
      <c r="DL80" s="11" t="n">
        <f aca="false">Units!$E79*(1+Inputs!$B$7)^(DL$2-1)</f>
        <v>1689.68127305887</v>
      </c>
      <c r="DM80" s="11" t="n">
        <f aca="false">Units!$E79*(1+Inputs!$B$7)^(DM$2-1)</f>
        <v>1689.68127305887</v>
      </c>
      <c r="DN80" s="11" t="n">
        <f aca="false">Units!$E79*(1+Inputs!$B$7)^(DN$2-1)</f>
        <v>1689.68127305887</v>
      </c>
      <c r="DO80" s="11" t="n">
        <f aca="false">Units!$E79*(1+Inputs!$B$7)^(DO$2-1)</f>
        <v>1689.68127305887</v>
      </c>
      <c r="DP80" s="11" t="n">
        <f aca="false">Units!$E79*(1+Inputs!$B$7)^(DP$2-1)</f>
        <v>1689.68127305887</v>
      </c>
      <c r="DQ80" s="11" t="n">
        <f aca="false">Units!$E79*(1+Inputs!$B$7)^(DQ$2-1)</f>
        <v>1689.68127305887</v>
      </c>
      <c r="DR80" s="11" t="n">
        <f aca="false">Units!$E79*(1+Inputs!$B$7)^(DR$2-1)</f>
        <v>1689.68127305887</v>
      </c>
      <c r="DS80" s="11" t="n">
        <f aca="false">Units!$E79*(1+Inputs!$B$7)^(DS$2-1)</f>
        <v>1740.37171125064</v>
      </c>
      <c r="DT80" s="11" t="n">
        <f aca="false">Units!$E79*(1+Inputs!$B$7)^(DT$2-1)</f>
        <v>1740.37171125064</v>
      </c>
      <c r="DU80" s="11" t="n">
        <f aca="false">Units!$E79*(1+Inputs!$B$7)^(DU$2-1)</f>
        <v>1740.37171125064</v>
      </c>
      <c r="DV80" s="11" t="n">
        <f aca="false">Units!$E79*(1+Inputs!$B$7)^(DV$2-1)</f>
        <v>1740.37171125064</v>
      </c>
      <c r="DW80" s="11" t="n">
        <f aca="false">Units!$E79*(1+Inputs!$B$7)^(DW$2-1)</f>
        <v>1740.37171125064</v>
      </c>
      <c r="DX80" s="11" t="n">
        <f aca="false">Units!$E79*(1+Inputs!$B$7)^(DX$2-1)</f>
        <v>1740.37171125064</v>
      </c>
      <c r="DY80" s="11" t="n">
        <f aca="false">Units!$E79*(1+Inputs!$B$7)^(DY$2-1)</f>
        <v>1740.37171125064</v>
      </c>
      <c r="DZ80" s="11" t="n">
        <f aca="false">Units!$E79*(1+Inputs!$B$7)^(DZ$2-1)</f>
        <v>1740.37171125064</v>
      </c>
      <c r="EA80" s="11" t="n">
        <f aca="false">Units!$E79*(1+Inputs!$B$7)^(EA$2-1)</f>
        <v>1740.37171125064</v>
      </c>
      <c r="EB80" s="11" t="n">
        <f aca="false">Units!$E79*(1+Inputs!$B$7)^(EB$2-1)</f>
        <v>1740.37171125064</v>
      </c>
      <c r="EC80" s="11" t="n">
        <f aca="false">Units!$E79*(1+Inputs!$B$7)^(EC$2-1)</f>
        <v>1740.37171125064</v>
      </c>
      <c r="ED80" s="11" t="n">
        <f aca="false">Units!$E79*(1+Inputs!$B$7)^(ED$2-1)</f>
        <v>1740.37171125064</v>
      </c>
    </row>
    <row r="81" customFormat="false" ht="15" hidden="false" customHeight="false" outlineLevel="0" collapsed="false">
      <c r="A81" s="22" t="n">
        <f aca="false">Units!A80</f>
        <v>319</v>
      </c>
      <c r="B81" s="23"/>
      <c r="C81" s="11" t="n">
        <f aca="false">Units!$E80*(1+Inputs!$B$7)^(C$2-1)</f>
        <v>1295</v>
      </c>
      <c r="D81" s="11" t="n">
        <f aca="false">Units!$E80*(1+Inputs!$B$7)^(D$2-1)</f>
        <v>1295</v>
      </c>
      <c r="E81" s="11" t="n">
        <f aca="false">Units!$E80*(1+Inputs!$B$7)^(E$2-1)</f>
        <v>1295</v>
      </c>
      <c r="F81" s="11" t="n">
        <f aca="false">Units!$E80*(1+Inputs!$B$7)^(F$2-1)</f>
        <v>1295</v>
      </c>
      <c r="G81" s="11" t="n">
        <f aca="false">Units!$E80*(1+Inputs!$B$7)^(G$2-1)</f>
        <v>1295</v>
      </c>
      <c r="H81" s="11" t="n">
        <f aca="false">Units!$E80*(1+Inputs!$B$7)^(H$2-1)</f>
        <v>1295</v>
      </c>
      <c r="I81" s="11" t="n">
        <f aca="false">Units!$E80*(1+Inputs!$B$7)^(I$2-1)</f>
        <v>1295</v>
      </c>
      <c r="J81" s="11" t="n">
        <f aca="false">Units!$E80*(1+Inputs!$B$7)^(J$2-1)</f>
        <v>1295</v>
      </c>
      <c r="K81" s="11" t="n">
        <f aca="false">Units!$E80*(1+Inputs!$B$7)^(K$2-1)</f>
        <v>1295</v>
      </c>
      <c r="L81" s="11" t="n">
        <f aca="false">Units!$E80*(1+Inputs!$B$7)^(L$2-1)</f>
        <v>1295</v>
      </c>
      <c r="M81" s="11" t="n">
        <f aca="false">Units!$E80*(1+Inputs!$B$7)^(M$2-1)</f>
        <v>1295</v>
      </c>
      <c r="N81" s="11" t="n">
        <f aca="false">Units!$E80*(1+Inputs!$B$7)^(N$2-1)</f>
        <v>1295</v>
      </c>
      <c r="O81" s="11" t="n">
        <f aca="false">Units!$E80*(1+Inputs!$B$7)^(O$2-1)</f>
        <v>1333.85</v>
      </c>
      <c r="P81" s="11" t="n">
        <f aca="false">Units!$E80*(1+Inputs!$B$7)^(P$2-1)</f>
        <v>1333.85</v>
      </c>
      <c r="Q81" s="11" t="n">
        <f aca="false">Units!$E80*(1+Inputs!$B$7)^(Q$2-1)</f>
        <v>1333.85</v>
      </c>
      <c r="R81" s="11" t="n">
        <f aca="false">Units!$E80*(1+Inputs!$B$7)^(R$2-1)</f>
        <v>1333.85</v>
      </c>
      <c r="S81" s="11" t="n">
        <f aca="false">Units!$E80*(1+Inputs!$B$7)^(S$2-1)</f>
        <v>1333.85</v>
      </c>
      <c r="T81" s="11" t="n">
        <f aca="false">Units!$E80*(1+Inputs!$B$7)^(T$2-1)</f>
        <v>1333.85</v>
      </c>
      <c r="U81" s="11" t="n">
        <f aca="false">Units!$E80*(1+Inputs!$B$7)^(U$2-1)</f>
        <v>1333.85</v>
      </c>
      <c r="V81" s="11" t="n">
        <f aca="false">Units!$E80*(1+Inputs!$B$7)^(V$2-1)</f>
        <v>1333.85</v>
      </c>
      <c r="W81" s="11" t="n">
        <f aca="false">Units!$E80*(1+Inputs!$B$7)^(W$2-1)</f>
        <v>1333.85</v>
      </c>
      <c r="X81" s="11" t="n">
        <f aca="false">Units!$E80*(1+Inputs!$B$7)^(X$2-1)</f>
        <v>1333.85</v>
      </c>
      <c r="Y81" s="11" t="n">
        <f aca="false">Units!$E80*(1+Inputs!$B$7)^(Y$2-1)</f>
        <v>1333.85</v>
      </c>
      <c r="Z81" s="11" t="n">
        <f aca="false">Units!$E80*(1+Inputs!$B$7)^(Z$2-1)</f>
        <v>1333.85</v>
      </c>
      <c r="AA81" s="11" t="n">
        <f aca="false">Units!$E80*(1+Inputs!$B$7)^(AA$2-1)</f>
        <v>1373.8655</v>
      </c>
      <c r="AB81" s="11" t="n">
        <f aca="false">Units!$E80*(1+Inputs!$B$7)^(AB$2-1)</f>
        <v>1373.8655</v>
      </c>
      <c r="AC81" s="11" t="n">
        <f aca="false">Units!$E80*(1+Inputs!$B$7)^(AC$2-1)</f>
        <v>1373.8655</v>
      </c>
      <c r="AD81" s="11" t="n">
        <f aca="false">Units!$E80*(1+Inputs!$B$7)^(AD$2-1)</f>
        <v>1373.8655</v>
      </c>
      <c r="AE81" s="11" t="n">
        <f aca="false">Units!$E80*(1+Inputs!$B$7)^(AE$2-1)</f>
        <v>1373.8655</v>
      </c>
      <c r="AF81" s="11" t="n">
        <f aca="false">Units!$E80*(1+Inputs!$B$7)^(AF$2-1)</f>
        <v>1373.8655</v>
      </c>
      <c r="AG81" s="11" t="n">
        <f aca="false">Units!$E80*(1+Inputs!$B$7)^(AG$2-1)</f>
        <v>1373.8655</v>
      </c>
      <c r="AH81" s="11" t="n">
        <f aca="false">Units!$E80*(1+Inputs!$B$7)^(AH$2-1)</f>
        <v>1373.8655</v>
      </c>
      <c r="AI81" s="11" t="n">
        <f aca="false">Units!$E80*(1+Inputs!$B$7)^(AI$2-1)</f>
        <v>1373.8655</v>
      </c>
      <c r="AJ81" s="11" t="n">
        <f aca="false">Units!$E80*(1+Inputs!$B$7)^(AJ$2-1)</f>
        <v>1373.8655</v>
      </c>
      <c r="AK81" s="11" t="n">
        <f aca="false">Units!$E80*(1+Inputs!$B$7)^(AK$2-1)</f>
        <v>1373.8655</v>
      </c>
      <c r="AL81" s="11" t="n">
        <f aca="false">Units!$E80*(1+Inputs!$B$7)^(AL$2-1)</f>
        <v>1373.8655</v>
      </c>
      <c r="AM81" s="11" t="n">
        <f aca="false">Units!$E80*(1+Inputs!$B$7)^(AM$2-1)</f>
        <v>1415.081465</v>
      </c>
      <c r="AN81" s="11" t="n">
        <f aca="false">Units!$E80*(1+Inputs!$B$7)^(AN$2-1)</f>
        <v>1415.081465</v>
      </c>
      <c r="AO81" s="11" t="n">
        <f aca="false">Units!$E80*(1+Inputs!$B$7)^(AO$2-1)</f>
        <v>1415.081465</v>
      </c>
      <c r="AP81" s="11" t="n">
        <f aca="false">Units!$E80*(1+Inputs!$B$7)^(AP$2-1)</f>
        <v>1415.081465</v>
      </c>
      <c r="AQ81" s="11" t="n">
        <f aca="false">Units!$E80*(1+Inputs!$B$7)^(AQ$2-1)</f>
        <v>1415.081465</v>
      </c>
      <c r="AR81" s="11" t="n">
        <f aca="false">Units!$E80*(1+Inputs!$B$7)^(AR$2-1)</f>
        <v>1415.081465</v>
      </c>
      <c r="AS81" s="11" t="n">
        <f aca="false">Units!$E80*(1+Inputs!$B$7)^(AS$2-1)</f>
        <v>1415.081465</v>
      </c>
      <c r="AT81" s="11" t="n">
        <f aca="false">Units!$E80*(1+Inputs!$B$7)^(AT$2-1)</f>
        <v>1415.081465</v>
      </c>
      <c r="AU81" s="11" t="n">
        <f aca="false">Units!$E80*(1+Inputs!$B$7)^(AU$2-1)</f>
        <v>1415.081465</v>
      </c>
      <c r="AV81" s="11" t="n">
        <f aca="false">Units!$E80*(1+Inputs!$B$7)^(AV$2-1)</f>
        <v>1415.081465</v>
      </c>
      <c r="AW81" s="11" t="n">
        <f aca="false">Units!$E80*(1+Inputs!$B$7)^(AW$2-1)</f>
        <v>1415.081465</v>
      </c>
      <c r="AX81" s="11" t="n">
        <f aca="false">Units!$E80*(1+Inputs!$B$7)^(AX$2-1)</f>
        <v>1415.081465</v>
      </c>
      <c r="AY81" s="11" t="n">
        <f aca="false">Units!$E80*(1+Inputs!$B$7)^(AY$2-1)</f>
        <v>1457.53390895</v>
      </c>
      <c r="AZ81" s="11" t="n">
        <f aca="false">Units!$E80*(1+Inputs!$B$7)^(AZ$2-1)</f>
        <v>1457.53390895</v>
      </c>
      <c r="BA81" s="11" t="n">
        <f aca="false">Units!$E80*(1+Inputs!$B$7)^(BA$2-1)</f>
        <v>1457.53390895</v>
      </c>
      <c r="BB81" s="11" t="n">
        <f aca="false">Units!$E80*(1+Inputs!$B$7)^(BB$2-1)</f>
        <v>1457.53390895</v>
      </c>
      <c r="BC81" s="11" t="n">
        <f aca="false">Units!$E80*(1+Inputs!$B$7)^(BC$2-1)</f>
        <v>1457.53390895</v>
      </c>
      <c r="BD81" s="11" t="n">
        <f aca="false">Units!$E80*(1+Inputs!$B$7)^(BD$2-1)</f>
        <v>1457.53390895</v>
      </c>
      <c r="BE81" s="11" t="n">
        <f aca="false">Units!$E80*(1+Inputs!$B$7)^(BE$2-1)</f>
        <v>1457.53390895</v>
      </c>
      <c r="BF81" s="11" t="n">
        <f aca="false">Units!$E80*(1+Inputs!$B$7)^(BF$2-1)</f>
        <v>1457.53390895</v>
      </c>
      <c r="BG81" s="11" t="n">
        <f aca="false">Units!$E80*(1+Inputs!$B$7)^(BG$2-1)</f>
        <v>1457.53390895</v>
      </c>
      <c r="BH81" s="11" t="n">
        <f aca="false">Units!$E80*(1+Inputs!$B$7)^(BH$2-1)</f>
        <v>1457.53390895</v>
      </c>
      <c r="BI81" s="11" t="n">
        <f aca="false">Units!$E80*(1+Inputs!$B$7)^(BI$2-1)</f>
        <v>1457.53390895</v>
      </c>
      <c r="BJ81" s="11" t="n">
        <f aca="false">Units!$E80*(1+Inputs!$B$7)^(BJ$2-1)</f>
        <v>1457.53390895</v>
      </c>
      <c r="BK81" s="11" t="n">
        <f aca="false">Units!$E80*(1+Inputs!$B$7)^(BK$2-1)</f>
        <v>1501.2599262185</v>
      </c>
      <c r="BL81" s="11" t="n">
        <f aca="false">Units!$E80*(1+Inputs!$B$7)^(BL$2-1)</f>
        <v>1501.2599262185</v>
      </c>
      <c r="BM81" s="11" t="n">
        <f aca="false">Units!$E80*(1+Inputs!$B$7)^(BM$2-1)</f>
        <v>1501.2599262185</v>
      </c>
      <c r="BN81" s="11" t="n">
        <f aca="false">Units!$E80*(1+Inputs!$B$7)^(BN$2-1)</f>
        <v>1501.2599262185</v>
      </c>
      <c r="BO81" s="11" t="n">
        <f aca="false">Units!$E80*(1+Inputs!$B$7)^(BO$2-1)</f>
        <v>1501.2599262185</v>
      </c>
      <c r="BP81" s="11" t="n">
        <f aca="false">Units!$E80*(1+Inputs!$B$7)^(BP$2-1)</f>
        <v>1501.2599262185</v>
      </c>
      <c r="BQ81" s="11" t="n">
        <f aca="false">Units!$E80*(1+Inputs!$B$7)^(BQ$2-1)</f>
        <v>1501.2599262185</v>
      </c>
      <c r="BR81" s="11" t="n">
        <f aca="false">Units!$E80*(1+Inputs!$B$7)^(BR$2-1)</f>
        <v>1501.2599262185</v>
      </c>
      <c r="BS81" s="11" t="n">
        <f aca="false">Units!$E80*(1+Inputs!$B$7)^(BS$2-1)</f>
        <v>1501.2599262185</v>
      </c>
      <c r="BT81" s="11" t="n">
        <f aca="false">Units!$E80*(1+Inputs!$B$7)^(BT$2-1)</f>
        <v>1501.2599262185</v>
      </c>
      <c r="BU81" s="11" t="n">
        <f aca="false">Units!$E80*(1+Inputs!$B$7)^(BU$2-1)</f>
        <v>1501.2599262185</v>
      </c>
      <c r="BV81" s="11" t="n">
        <f aca="false">Units!$E80*(1+Inputs!$B$7)^(BV$2-1)</f>
        <v>1501.2599262185</v>
      </c>
      <c r="BW81" s="11" t="n">
        <f aca="false">Units!$E80*(1+Inputs!$B$7)^(BW$2-1)</f>
        <v>1546.29772400506</v>
      </c>
      <c r="BX81" s="11" t="n">
        <f aca="false">Units!$E80*(1+Inputs!$B$7)^(BX$2-1)</f>
        <v>1546.29772400506</v>
      </c>
      <c r="BY81" s="11" t="n">
        <f aca="false">Units!$E80*(1+Inputs!$B$7)^(BY$2-1)</f>
        <v>1546.29772400506</v>
      </c>
      <c r="BZ81" s="11" t="n">
        <f aca="false">Units!$E80*(1+Inputs!$B$7)^(BZ$2-1)</f>
        <v>1546.29772400506</v>
      </c>
      <c r="CA81" s="11" t="n">
        <f aca="false">Units!$E80*(1+Inputs!$B$7)^(CA$2-1)</f>
        <v>1546.29772400506</v>
      </c>
      <c r="CB81" s="11" t="n">
        <f aca="false">Units!$E80*(1+Inputs!$B$7)^(CB$2-1)</f>
        <v>1546.29772400506</v>
      </c>
      <c r="CC81" s="11" t="n">
        <f aca="false">Units!$E80*(1+Inputs!$B$7)^(CC$2-1)</f>
        <v>1546.29772400506</v>
      </c>
      <c r="CD81" s="11" t="n">
        <f aca="false">Units!$E80*(1+Inputs!$B$7)^(CD$2-1)</f>
        <v>1546.29772400506</v>
      </c>
      <c r="CE81" s="11" t="n">
        <f aca="false">Units!$E80*(1+Inputs!$B$7)^(CE$2-1)</f>
        <v>1546.29772400506</v>
      </c>
      <c r="CF81" s="11" t="n">
        <f aca="false">Units!$E80*(1+Inputs!$B$7)^(CF$2-1)</f>
        <v>1546.29772400506</v>
      </c>
      <c r="CG81" s="11" t="n">
        <f aca="false">Units!$E80*(1+Inputs!$B$7)^(CG$2-1)</f>
        <v>1546.29772400506</v>
      </c>
      <c r="CH81" s="11" t="n">
        <f aca="false">Units!$E80*(1+Inputs!$B$7)^(CH$2-1)</f>
        <v>1546.29772400506</v>
      </c>
      <c r="CI81" s="11" t="n">
        <f aca="false">Units!$E80*(1+Inputs!$B$7)^(CI$2-1)</f>
        <v>1592.68665572521</v>
      </c>
      <c r="CJ81" s="11" t="n">
        <f aca="false">Units!$E80*(1+Inputs!$B$7)^(CJ$2-1)</f>
        <v>1592.68665572521</v>
      </c>
      <c r="CK81" s="11" t="n">
        <f aca="false">Units!$E80*(1+Inputs!$B$7)^(CK$2-1)</f>
        <v>1592.68665572521</v>
      </c>
      <c r="CL81" s="11" t="n">
        <f aca="false">Units!$E80*(1+Inputs!$B$7)^(CL$2-1)</f>
        <v>1592.68665572521</v>
      </c>
      <c r="CM81" s="11" t="n">
        <f aca="false">Units!$E80*(1+Inputs!$B$7)^(CM$2-1)</f>
        <v>1592.68665572521</v>
      </c>
      <c r="CN81" s="11" t="n">
        <f aca="false">Units!$E80*(1+Inputs!$B$7)^(CN$2-1)</f>
        <v>1592.68665572521</v>
      </c>
      <c r="CO81" s="11" t="n">
        <f aca="false">Units!$E80*(1+Inputs!$B$7)^(CO$2-1)</f>
        <v>1592.68665572521</v>
      </c>
      <c r="CP81" s="11" t="n">
        <f aca="false">Units!$E80*(1+Inputs!$B$7)^(CP$2-1)</f>
        <v>1592.68665572521</v>
      </c>
      <c r="CQ81" s="11" t="n">
        <f aca="false">Units!$E80*(1+Inputs!$B$7)^(CQ$2-1)</f>
        <v>1592.68665572521</v>
      </c>
      <c r="CR81" s="11" t="n">
        <f aca="false">Units!$E80*(1+Inputs!$B$7)^(CR$2-1)</f>
        <v>1592.68665572521</v>
      </c>
      <c r="CS81" s="11" t="n">
        <f aca="false">Units!$E80*(1+Inputs!$B$7)^(CS$2-1)</f>
        <v>1592.68665572521</v>
      </c>
      <c r="CT81" s="11" t="n">
        <f aca="false">Units!$E80*(1+Inputs!$B$7)^(CT$2-1)</f>
        <v>1592.68665572521</v>
      </c>
      <c r="CU81" s="11" t="n">
        <f aca="false">Units!$E80*(1+Inputs!$B$7)^(CU$2-1)</f>
        <v>1640.46725539696</v>
      </c>
      <c r="CV81" s="11" t="n">
        <f aca="false">Units!$E80*(1+Inputs!$B$7)^(CV$2-1)</f>
        <v>1640.46725539696</v>
      </c>
      <c r="CW81" s="11" t="n">
        <f aca="false">Units!$E80*(1+Inputs!$B$7)^(CW$2-1)</f>
        <v>1640.46725539696</v>
      </c>
      <c r="CX81" s="11" t="n">
        <f aca="false">Units!$E80*(1+Inputs!$B$7)^(CX$2-1)</f>
        <v>1640.46725539696</v>
      </c>
      <c r="CY81" s="11" t="n">
        <f aca="false">Units!$E80*(1+Inputs!$B$7)^(CY$2-1)</f>
        <v>1640.46725539696</v>
      </c>
      <c r="CZ81" s="11" t="n">
        <f aca="false">Units!$E80*(1+Inputs!$B$7)^(CZ$2-1)</f>
        <v>1640.46725539696</v>
      </c>
      <c r="DA81" s="11" t="n">
        <f aca="false">Units!$E80*(1+Inputs!$B$7)^(DA$2-1)</f>
        <v>1640.46725539696</v>
      </c>
      <c r="DB81" s="11" t="n">
        <f aca="false">Units!$E80*(1+Inputs!$B$7)^(DB$2-1)</f>
        <v>1640.46725539696</v>
      </c>
      <c r="DC81" s="11" t="n">
        <f aca="false">Units!$E80*(1+Inputs!$B$7)^(DC$2-1)</f>
        <v>1640.46725539696</v>
      </c>
      <c r="DD81" s="11" t="n">
        <f aca="false">Units!$E80*(1+Inputs!$B$7)^(DD$2-1)</f>
        <v>1640.46725539696</v>
      </c>
      <c r="DE81" s="11" t="n">
        <f aca="false">Units!$E80*(1+Inputs!$B$7)^(DE$2-1)</f>
        <v>1640.46725539696</v>
      </c>
      <c r="DF81" s="11" t="n">
        <f aca="false">Units!$E80*(1+Inputs!$B$7)^(DF$2-1)</f>
        <v>1640.46725539696</v>
      </c>
      <c r="DG81" s="11" t="n">
        <f aca="false">Units!$E80*(1+Inputs!$B$7)^(DG$2-1)</f>
        <v>1689.68127305887</v>
      </c>
      <c r="DH81" s="11" t="n">
        <f aca="false">Units!$E80*(1+Inputs!$B$7)^(DH$2-1)</f>
        <v>1689.68127305887</v>
      </c>
      <c r="DI81" s="11" t="n">
        <f aca="false">Units!$E80*(1+Inputs!$B$7)^(DI$2-1)</f>
        <v>1689.68127305887</v>
      </c>
      <c r="DJ81" s="11" t="n">
        <f aca="false">Units!$E80*(1+Inputs!$B$7)^(DJ$2-1)</f>
        <v>1689.68127305887</v>
      </c>
      <c r="DK81" s="11" t="n">
        <f aca="false">Units!$E80*(1+Inputs!$B$7)^(DK$2-1)</f>
        <v>1689.68127305887</v>
      </c>
      <c r="DL81" s="11" t="n">
        <f aca="false">Units!$E80*(1+Inputs!$B$7)^(DL$2-1)</f>
        <v>1689.68127305887</v>
      </c>
      <c r="DM81" s="11" t="n">
        <f aca="false">Units!$E80*(1+Inputs!$B$7)^(DM$2-1)</f>
        <v>1689.68127305887</v>
      </c>
      <c r="DN81" s="11" t="n">
        <f aca="false">Units!$E80*(1+Inputs!$B$7)^(DN$2-1)</f>
        <v>1689.68127305887</v>
      </c>
      <c r="DO81" s="11" t="n">
        <f aca="false">Units!$E80*(1+Inputs!$B$7)^(DO$2-1)</f>
        <v>1689.68127305887</v>
      </c>
      <c r="DP81" s="11" t="n">
        <f aca="false">Units!$E80*(1+Inputs!$B$7)^(DP$2-1)</f>
        <v>1689.68127305887</v>
      </c>
      <c r="DQ81" s="11" t="n">
        <f aca="false">Units!$E80*(1+Inputs!$B$7)^(DQ$2-1)</f>
        <v>1689.68127305887</v>
      </c>
      <c r="DR81" s="11" t="n">
        <f aca="false">Units!$E80*(1+Inputs!$B$7)^(DR$2-1)</f>
        <v>1689.68127305887</v>
      </c>
      <c r="DS81" s="11" t="n">
        <f aca="false">Units!$E80*(1+Inputs!$B$7)^(DS$2-1)</f>
        <v>1740.37171125064</v>
      </c>
      <c r="DT81" s="11" t="n">
        <f aca="false">Units!$E80*(1+Inputs!$B$7)^(DT$2-1)</f>
        <v>1740.37171125064</v>
      </c>
      <c r="DU81" s="11" t="n">
        <f aca="false">Units!$E80*(1+Inputs!$B$7)^(DU$2-1)</f>
        <v>1740.37171125064</v>
      </c>
      <c r="DV81" s="11" t="n">
        <f aca="false">Units!$E80*(1+Inputs!$B$7)^(DV$2-1)</f>
        <v>1740.37171125064</v>
      </c>
      <c r="DW81" s="11" t="n">
        <f aca="false">Units!$E80*(1+Inputs!$B$7)^(DW$2-1)</f>
        <v>1740.37171125064</v>
      </c>
      <c r="DX81" s="11" t="n">
        <f aca="false">Units!$E80*(1+Inputs!$B$7)^(DX$2-1)</f>
        <v>1740.37171125064</v>
      </c>
      <c r="DY81" s="11" t="n">
        <f aca="false">Units!$E80*(1+Inputs!$B$7)^(DY$2-1)</f>
        <v>1740.37171125064</v>
      </c>
      <c r="DZ81" s="11" t="n">
        <f aca="false">Units!$E80*(1+Inputs!$B$7)^(DZ$2-1)</f>
        <v>1740.37171125064</v>
      </c>
      <c r="EA81" s="11" t="n">
        <f aca="false">Units!$E80*(1+Inputs!$B$7)^(EA$2-1)</f>
        <v>1740.37171125064</v>
      </c>
      <c r="EB81" s="11" t="n">
        <f aca="false">Units!$E80*(1+Inputs!$B$7)^(EB$2-1)</f>
        <v>1740.37171125064</v>
      </c>
      <c r="EC81" s="11" t="n">
        <f aca="false">Units!$E80*(1+Inputs!$B$7)^(EC$2-1)</f>
        <v>1740.37171125064</v>
      </c>
      <c r="ED81" s="11" t="n">
        <f aca="false">Units!$E80*(1+Inputs!$B$7)^(ED$2-1)</f>
        <v>1740.37171125064</v>
      </c>
    </row>
    <row r="82" customFormat="false" ht="15" hidden="false" customHeight="false" outlineLevel="0" collapsed="false">
      <c r="A82" s="22" t="n">
        <f aca="false">Units!A81</f>
        <v>320</v>
      </c>
      <c r="B82" s="23"/>
      <c r="C82" s="11" t="n">
        <f aca="false">Units!$E81*(1+Inputs!$B$7)^(C$2-1)</f>
        <v>1850</v>
      </c>
      <c r="D82" s="11" t="n">
        <f aca="false">Units!$E81*(1+Inputs!$B$7)^(D$2-1)</f>
        <v>1850</v>
      </c>
      <c r="E82" s="11" t="n">
        <f aca="false">Units!$E81*(1+Inputs!$B$7)^(E$2-1)</f>
        <v>1850</v>
      </c>
      <c r="F82" s="11" t="n">
        <f aca="false">Units!$E81*(1+Inputs!$B$7)^(F$2-1)</f>
        <v>1850</v>
      </c>
      <c r="G82" s="11" t="n">
        <f aca="false">Units!$E81*(1+Inputs!$B$7)^(G$2-1)</f>
        <v>1850</v>
      </c>
      <c r="H82" s="11" t="n">
        <f aca="false">Units!$E81*(1+Inputs!$B$7)^(H$2-1)</f>
        <v>1850</v>
      </c>
      <c r="I82" s="11" t="n">
        <f aca="false">Units!$E81*(1+Inputs!$B$7)^(I$2-1)</f>
        <v>1850</v>
      </c>
      <c r="J82" s="11" t="n">
        <f aca="false">Units!$E81*(1+Inputs!$B$7)^(J$2-1)</f>
        <v>1850</v>
      </c>
      <c r="K82" s="11" t="n">
        <f aca="false">Units!$E81*(1+Inputs!$B$7)^(K$2-1)</f>
        <v>1850</v>
      </c>
      <c r="L82" s="11" t="n">
        <f aca="false">Units!$E81*(1+Inputs!$B$7)^(L$2-1)</f>
        <v>1850</v>
      </c>
      <c r="M82" s="11" t="n">
        <f aca="false">Units!$E81*(1+Inputs!$B$7)^(M$2-1)</f>
        <v>1850</v>
      </c>
      <c r="N82" s="11" t="n">
        <f aca="false">Units!$E81*(1+Inputs!$B$7)^(N$2-1)</f>
        <v>1850</v>
      </c>
      <c r="O82" s="11" t="n">
        <f aca="false">Units!$E81*(1+Inputs!$B$7)^(O$2-1)</f>
        <v>1905.5</v>
      </c>
      <c r="P82" s="11" t="n">
        <f aca="false">Units!$E81*(1+Inputs!$B$7)^(P$2-1)</f>
        <v>1905.5</v>
      </c>
      <c r="Q82" s="11" t="n">
        <f aca="false">Units!$E81*(1+Inputs!$B$7)^(Q$2-1)</f>
        <v>1905.5</v>
      </c>
      <c r="R82" s="11" t="n">
        <f aca="false">Units!$E81*(1+Inputs!$B$7)^(R$2-1)</f>
        <v>1905.5</v>
      </c>
      <c r="S82" s="11" t="n">
        <f aca="false">Units!$E81*(1+Inputs!$B$7)^(S$2-1)</f>
        <v>1905.5</v>
      </c>
      <c r="T82" s="11" t="n">
        <f aca="false">Units!$E81*(1+Inputs!$B$7)^(T$2-1)</f>
        <v>1905.5</v>
      </c>
      <c r="U82" s="11" t="n">
        <f aca="false">Units!$E81*(1+Inputs!$B$7)^(U$2-1)</f>
        <v>1905.5</v>
      </c>
      <c r="V82" s="11" t="n">
        <f aca="false">Units!$E81*(1+Inputs!$B$7)^(V$2-1)</f>
        <v>1905.5</v>
      </c>
      <c r="W82" s="11" t="n">
        <f aca="false">Units!$E81*(1+Inputs!$B$7)^(W$2-1)</f>
        <v>1905.5</v>
      </c>
      <c r="X82" s="11" t="n">
        <f aca="false">Units!$E81*(1+Inputs!$B$7)^(X$2-1)</f>
        <v>1905.5</v>
      </c>
      <c r="Y82" s="11" t="n">
        <f aca="false">Units!$E81*(1+Inputs!$B$7)^(Y$2-1)</f>
        <v>1905.5</v>
      </c>
      <c r="Z82" s="11" t="n">
        <f aca="false">Units!$E81*(1+Inputs!$B$7)^(Z$2-1)</f>
        <v>1905.5</v>
      </c>
      <c r="AA82" s="11" t="n">
        <f aca="false">Units!$E81*(1+Inputs!$B$7)^(AA$2-1)</f>
        <v>1962.665</v>
      </c>
      <c r="AB82" s="11" t="n">
        <f aca="false">Units!$E81*(1+Inputs!$B$7)^(AB$2-1)</f>
        <v>1962.665</v>
      </c>
      <c r="AC82" s="11" t="n">
        <f aca="false">Units!$E81*(1+Inputs!$B$7)^(AC$2-1)</f>
        <v>1962.665</v>
      </c>
      <c r="AD82" s="11" t="n">
        <f aca="false">Units!$E81*(1+Inputs!$B$7)^(AD$2-1)</f>
        <v>1962.665</v>
      </c>
      <c r="AE82" s="11" t="n">
        <f aca="false">Units!$E81*(1+Inputs!$B$7)^(AE$2-1)</f>
        <v>1962.665</v>
      </c>
      <c r="AF82" s="11" t="n">
        <f aca="false">Units!$E81*(1+Inputs!$B$7)^(AF$2-1)</f>
        <v>1962.665</v>
      </c>
      <c r="AG82" s="11" t="n">
        <f aca="false">Units!$E81*(1+Inputs!$B$7)^(AG$2-1)</f>
        <v>1962.665</v>
      </c>
      <c r="AH82" s="11" t="n">
        <f aca="false">Units!$E81*(1+Inputs!$B$7)^(AH$2-1)</f>
        <v>1962.665</v>
      </c>
      <c r="AI82" s="11" t="n">
        <f aca="false">Units!$E81*(1+Inputs!$B$7)^(AI$2-1)</f>
        <v>1962.665</v>
      </c>
      <c r="AJ82" s="11" t="n">
        <f aca="false">Units!$E81*(1+Inputs!$B$7)^(AJ$2-1)</f>
        <v>1962.665</v>
      </c>
      <c r="AK82" s="11" t="n">
        <f aca="false">Units!$E81*(1+Inputs!$B$7)^(AK$2-1)</f>
        <v>1962.665</v>
      </c>
      <c r="AL82" s="11" t="n">
        <f aca="false">Units!$E81*(1+Inputs!$B$7)^(AL$2-1)</f>
        <v>1962.665</v>
      </c>
      <c r="AM82" s="11" t="n">
        <f aca="false">Units!$E81*(1+Inputs!$B$7)^(AM$2-1)</f>
        <v>2021.54495</v>
      </c>
      <c r="AN82" s="11" t="n">
        <f aca="false">Units!$E81*(1+Inputs!$B$7)^(AN$2-1)</f>
        <v>2021.54495</v>
      </c>
      <c r="AO82" s="11" t="n">
        <f aca="false">Units!$E81*(1+Inputs!$B$7)^(AO$2-1)</f>
        <v>2021.54495</v>
      </c>
      <c r="AP82" s="11" t="n">
        <f aca="false">Units!$E81*(1+Inputs!$B$7)^(AP$2-1)</f>
        <v>2021.54495</v>
      </c>
      <c r="AQ82" s="11" t="n">
        <f aca="false">Units!$E81*(1+Inputs!$B$7)^(AQ$2-1)</f>
        <v>2021.54495</v>
      </c>
      <c r="AR82" s="11" t="n">
        <f aca="false">Units!$E81*(1+Inputs!$B$7)^(AR$2-1)</f>
        <v>2021.54495</v>
      </c>
      <c r="AS82" s="11" t="n">
        <f aca="false">Units!$E81*(1+Inputs!$B$7)^(AS$2-1)</f>
        <v>2021.54495</v>
      </c>
      <c r="AT82" s="11" t="n">
        <f aca="false">Units!$E81*(1+Inputs!$B$7)^(AT$2-1)</f>
        <v>2021.54495</v>
      </c>
      <c r="AU82" s="11" t="n">
        <f aca="false">Units!$E81*(1+Inputs!$B$7)^(AU$2-1)</f>
        <v>2021.54495</v>
      </c>
      <c r="AV82" s="11" t="n">
        <f aca="false">Units!$E81*(1+Inputs!$B$7)^(AV$2-1)</f>
        <v>2021.54495</v>
      </c>
      <c r="AW82" s="11" t="n">
        <f aca="false">Units!$E81*(1+Inputs!$B$7)^(AW$2-1)</f>
        <v>2021.54495</v>
      </c>
      <c r="AX82" s="11" t="n">
        <f aca="false">Units!$E81*(1+Inputs!$B$7)^(AX$2-1)</f>
        <v>2021.54495</v>
      </c>
      <c r="AY82" s="11" t="n">
        <f aca="false">Units!$E81*(1+Inputs!$B$7)^(AY$2-1)</f>
        <v>2082.1912985</v>
      </c>
      <c r="AZ82" s="11" t="n">
        <f aca="false">Units!$E81*(1+Inputs!$B$7)^(AZ$2-1)</f>
        <v>2082.1912985</v>
      </c>
      <c r="BA82" s="11" t="n">
        <f aca="false">Units!$E81*(1+Inputs!$B$7)^(BA$2-1)</f>
        <v>2082.1912985</v>
      </c>
      <c r="BB82" s="11" t="n">
        <f aca="false">Units!$E81*(1+Inputs!$B$7)^(BB$2-1)</f>
        <v>2082.1912985</v>
      </c>
      <c r="BC82" s="11" t="n">
        <f aca="false">Units!$E81*(1+Inputs!$B$7)^(BC$2-1)</f>
        <v>2082.1912985</v>
      </c>
      <c r="BD82" s="11" t="n">
        <f aca="false">Units!$E81*(1+Inputs!$B$7)^(BD$2-1)</f>
        <v>2082.1912985</v>
      </c>
      <c r="BE82" s="11" t="n">
        <f aca="false">Units!$E81*(1+Inputs!$B$7)^(BE$2-1)</f>
        <v>2082.1912985</v>
      </c>
      <c r="BF82" s="11" t="n">
        <f aca="false">Units!$E81*(1+Inputs!$B$7)^(BF$2-1)</f>
        <v>2082.1912985</v>
      </c>
      <c r="BG82" s="11" t="n">
        <f aca="false">Units!$E81*(1+Inputs!$B$7)^(BG$2-1)</f>
        <v>2082.1912985</v>
      </c>
      <c r="BH82" s="11" t="n">
        <f aca="false">Units!$E81*(1+Inputs!$B$7)^(BH$2-1)</f>
        <v>2082.1912985</v>
      </c>
      <c r="BI82" s="11" t="n">
        <f aca="false">Units!$E81*(1+Inputs!$B$7)^(BI$2-1)</f>
        <v>2082.1912985</v>
      </c>
      <c r="BJ82" s="11" t="n">
        <f aca="false">Units!$E81*(1+Inputs!$B$7)^(BJ$2-1)</f>
        <v>2082.1912985</v>
      </c>
      <c r="BK82" s="11" t="n">
        <f aca="false">Units!$E81*(1+Inputs!$B$7)^(BK$2-1)</f>
        <v>2144.657037455</v>
      </c>
      <c r="BL82" s="11" t="n">
        <f aca="false">Units!$E81*(1+Inputs!$B$7)^(BL$2-1)</f>
        <v>2144.657037455</v>
      </c>
      <c r="BM82" s="11" t="n">
        <f aca="false">Units!$E81*(1+Inputs!$B$7)^(BM$2-1)</f>
        <v>2144.657037455</v>
      </c>
      <c r="BN82" s="11" t="n">
        <f aca="false">Units!$E81*(1+Inputs!$B$7)^(BN$2-1)</f>
        <v>2144.657037455</v>
      </c>
      <c r="BO82" s="11" t="n">
        <f aca="false">Units!$E81*(1+Inputs!$B$7)^(BO$2-1)</f>
        <v>2144.657037455</v>
      </c>
      <c r="BP82" s="11" t="n">
        <f aca="false">Units!$E81*(1+Inputs!$B$7)^(BP$2-1)</f>
        <v>2144.657037455</v>
      </c>
      <c r="BQ82" s="11" t="n">
        <f aca="false">Units!$E81*(1+Inputs!$B$7)^(BQ$2-1)</f>
        <v>2144.657037455</v>
      </c>
      <c r="BR82" s="11" t="n">
        <f aca="false">Units!$E81*(1+Inputs!$B$7)^(BR$2-1)</f>
        <v>2144.657037455</v>
      </c>
      <c r="BS82" s="11" t="n">
        <f aca="false">Units!$E81*(1+Inputs!$B$7)^(BS$2-1)</f>
        <v>2144.657037455</v>
      </c>
      <c r="BT82" s="11" t="n">
        <f aca="false">Units!$E81*(1+Inputs!$B$7)^(BT$2-1)</f>
        <v>2144.657037455</v>
      </c>
      <c r="BU82" s="11" t="n">
        <f aca="false">Units!$E81*(1+Inputs!$B$7)^(BU$2-1)</f>
        <v>2144.657037455</v>
      </c>
      <c r="BV82" s="11" t="n">
        <f aca="false">Units!$E81*(1+Inputs!$B$7)^(BV$2-1)</f>
        <v>2144.657037455</v>
      </c>
      <c r="BW82" s="11" t="n">
        <f aca="false">Units!$E81*(1+Inputs!$B$7)^(BW$2-1)</f>
        <v>2208.99674857865</v>
      </c>
      <c r="BX82" s="11" t="n">
        <f aca="false">Units!$E81*(1+Inputs!$B$7)^(BX$2-1)</f>
        <v>2208.99674857865</v>
      </c>
      <c r="BY82" s="11" t="n">
        <f aca="false">Units!$E81*(1+Inputs!$B$7)^(BY$2-1)</f>
        <v>2208.99674857865</v>
      </c>
      <c r="BZ82" s="11" t="n">
        <f aca="false">Units!$E81*(1+Inputs!$B$7)^(BZ$2-1)</f>
        <v>2208.99674857865</v>
      </c>
      <c r="CA82" s="11" t="n">
        <f aca="false">Units!$E81*(1+Inputs!$B$7)^(CA$2-1)</f>
        <v>2208.99674857865</v>
      </c>
      <c r="CB82" s="11" t="n">
        <f aca="false">Units!$E81*(1+Inputs!$B$7)^(CB$2-1)</f>
        <v>2208.99674857865</v>
      </c>
      <c r="CC82" s="11" t="n">
        <f aca="false">Units!$E81*(1+Inputs!$B$7)^(CC$2-1)</f>
        <v>2208.99674857865</v>
      </c>
      <c r="CD82" s="11" t="n">
        <f aca="false">Units!$E81*(1+Inputs!$B$7)^(CD$2-1)</f>
        <v>2208.99674857865</v>
      </c>
      <c r="CE82" s="11" t="n">
        <f aca="false">Units!$E81*(1+Inputs!$B$7)^(CE$2-1)</f>
        <v>2208.99674857865</v>
      </c>
      <c r="CF82" s="11" t="n">
        <f aca="false">Units!$E81*(1+Inputs!$B$7)^(CF$2-1)</f>
        <v>2208.99674857865</v>
      </c>
      <c r="CG82" s="11" t="n">
        <f aca="false">Units!$E81*(1+Inputs!$B$7)^(CG$2-1)</f>
        <v>2208.99674857865</v>
      </c>
      <c r="CH82" s="11" t="n">
        <f aca="false">Units!$E81*(1+Inputs!$B$7)^(CH$2-1)</f>
        <v>2208.99674857865</v>
      </c>
      <c r="CI82" s="11" t="n">
        <f aca="false">Units!$E81*(1+Inputs!$B$7)^(CI$2-1)</f>
        <v>2275.26665103601</v>
      </c>
      <c r="CJ82" s="11" t="n">
        <f aca="false">Units!$E81*(1+Inputs!$B$7)^(CJ$2-1)</f>
        <v>2275.26665103601</v>
      </c>
      <c r="CK82" s="11" t="n">
        <f aca="false">Units!$E81*(1+Inputs!$B$7)^(CK$2-1)</f>
        <v>2275.26665103601</v>
      </c>
      <c r="CL82" s="11" t="n">
        <f aca="false">Units!$E81*(1+Inputs!$B$7)^(CL$2-1)</f>
        <v>2275.26665103601</v>
      </c>
      <c r="CM82" s="11" t="n">
        <f aca="false">Units!$E81*(1+Inputs!$B$7)^(CM$2-1)</f>
        <v>2275.26665103601</v>
      </c>
      <c r="CN82" s="11" t="n">
        <f aca="false">Units!$E81*(1+Inputs!$B$7)^(CN$2-1)</f>
        <v>2275.26665103601</v>
      </c>
      <c r="CO82" s="11" t="n">
        <f aca="false">Units!$E81*(1+Inputs!$B$7)^(CO$2-1)</f>
        <v>2275.26665103601</v>
      </c>
      <c r="CP82" s="11" t="n">
        <f aca="false">Units!$E81*(1+Inputs!$B$7)^(CP$2-1)</f>
        <v>2275.26665103601</v>
      </c>
      <c r="CQ82" s="11" t="n">
        <f aca="false">Units!$E81*(1+Inputs!$B$7)^(CQ$2-1)</f>
        <v>2275.26665103601</v>
      </c>
      <c r="CR82" s="11" t="n">
        <f aca="false">Units!$E81*(1+Inputs!$B$7)^(CR$2-1)</f>
        <v>2275.26665103601</v>
      </c>
      <c r="CS82" s="11" t="n">
        <f aca="false">Units!$E81*(1+Inputs!$B$7)^(CS$2-1)</f>
        <v>2275.26665103601</v>
      </c>
      <c r="CT82" s="11" t="n">
        <f aca="false">Units!$E81*(1+Inputs!$B$7)^(CT$2-1)</f>
        <v>2275.26665103601</v>
      </c>
      <c r="CU82" s="11" t="n">
        <f aca="false">Units!$E81*(1+Inputs!$B$7)^(CU$2-1)</f>
        <v>2343.52465056709</v>
      </c>
      <c r="CV82" s="11" t="n">
        <f aca="false">Units!$E81*(1+Inputs!$B$7)^(CV$2-1)</f>
        <v>2343.52465056709</v>
      </c>
      <c r="CW82" s="11" t="n">
        <f aca="false">Units!$E81*(1+Inputs!$B$7)^(CW$2-1)</f>
        <v>2343.52465056709</v>
      </c>
      <c r="CX82" s="11" t="n">
        <f aca="false">Units!$E81*(1+Inputs!$B$7)^(CX$2-1)</f>
        <v>2343.52465056709</v>
      </c>
      <c r="CY82" s="11" t="n">
        <f aca="false">Units!$E81*(1+Inputs!$B$7)^(CY$2-1)</f>
        <v>2343.52465056709</v>
      </c>
      <c r="CZ82" s="11" t="n">
        <f aca="false">Units!$E81*(1+Inputs!$B$7)^(CZ$2-1)</f>
        <v>2343.52465056709</v>
      </c>
      <c r="DA82" s="11" t="n">
        <f aca="false">Units!$E81*(1+Inputs!$B$7)^(DA$2-1)</f>
        <v>2343.52465056709</v>
      </c>
      <c r="DB82" s="11" t="n">
        <f aca="false">Units!$E81*(1+Inputs!$B$7)^(DB$2-1)</f>
        <v>2343.52465056709</v>
      </c>
      <c r="DC82" s="11" t="n">
        <f aca="false">Units!$E81*(1+Inputs!$B$7)^(DC$2-1)</f>
        <v>2343.52465056709</v>
      </c>
      <c r="DD82" s="11" t="n">
        <f aca="false">Units!$E81*(1+Inputs!$B$7)^(DD$2-1)</f>
        <v>2343.52465056709</v>
      </c>
      <c r="DE82" s="11" t="n">
        <f aca="false">Units!$E81*(1+Inputs!$B$7)^(DE$2-1)</f>
        <v>2343.52465056709</v>
      </c>
      <c r="DF82" s="11" t="n">
        <f aca="false">Units!$E81*(1+Inputs!$B$7)^(DF$2-1)</f>
        <v>2343.52465056709</v>
      </c>
      <c r="DG82" s="11" t="n">
        <f aca="false">Units!$E81*(1+Inputs!$B$7)^(DG$2-1)</f>
        <v>2413.8303900841</v>
      </c>
      <c r="DH82" s="11" t="n">
        <f aca="false">Units!$E81*(1+Inputs!$B$7)^(DH$2-1)</f>
        <v>2413.8303900841</v>
      </c>
      <c r="DI82" s="11" t="n">
        <f aca="false">Units!$E81*(1+Inputs!$B$7)^(DI$2-1)</f>
        <v>2413.8303900841</v>
      </c>
      <c r="DJ82" s="11" t="n">
        <f aca="false">Units!$E81*(1+Inputs!$B$7)^(DJ$2-1)</f>
        <v>2413.8303900841</v>
      </c>
      <c r="DK82" s="11" t="n">
        <f aca="false">Units!$E81*(1+Inputs!$B$7)^(DK$2-1)</f>
        <v>2413.8303900841</v>
      </c>
      <c r="DL82" s="11" t="n">
        <f aca="false">Units!$E81*(1+Inputs!$B$7)^(DL$2-1)</f>
        <v>2413.8303900841</v>
      </c>
      <c r="DM82" s="11" t="n">
        <f aca="false">Units!$E81*(1+Inputs!$B$7)^(DM$2-1)</f>
        <v>2413.8303900841</v>
      </c>
      <c r="DN82" s="11" t="n">
        <f aca="false">Units!$E81*(1+Inputs!$B$7)^(DN$2-1)</f>
        <v>2413.8303900841</v>
      </c>
      <c r="DO82" s="11" t="n">
        <f aca="false">Units!$E81*(1+Inputs!$B$7)^(DO$2-1)</f>
        <v>2413.8303900841</v>
      </c>
      <c r="DP82" s="11" t="n">
        <f aca="false">Units!$E81*(1+Inputs!$B$7)^(DP$2-1)</f>
        <v>2413.8303900841</v>
      </c>
      <c r="DQ82" s="11" t="n">
        <f aca="false">Units!$E81*(1+Inputs!$B$7)^(DQ$2-1)</f>
        <v>2413.8303900841</v>
      </c>
      <c r="DR82" s="11" t="n">
        <f aca="false">Units!$E81*(1+Inputs!$B$7)^(DR$2-1)</f>
        <v>2413.8303900841</v>
      </c>
      <c r="DS82" s="11" t="n">
        <f aca="false">Units!$E81*(1+Inputs!$B$7)^(DS$2-1)</f>
        <v>2486.24530178663</v>
      </c>
      <c r="DT82" s="11" t="n">
        <f aca="false">Units!$E81*(1+Inputs!$B$7)^(DT$2-1)</f>
        <v>2486.24530178663</v>
      </c>
      <c r="DU82" s="11" t="n">
        <f aca="false">Units!$E81*(1+Inputs!$B$7)^(DU$2-1)</f>
        <v>2486.24530178663</v>
      </c>
      <c r="DV82" s="11" t="n">
        <f aca="false">Units!$E81*(1+Inputs!$B$7)^(DV$2-1)</f>
        <v>2486.24530178663</v>
      </c>
      <c r="DW82" s="11" t="n">
        <f aca="false">Units!$E81*(1+Inputs!$B$7)^(DW$2-1)</f>
        <v>2486.24530178663</v>
      </c>
      <c r="DX82" s="11" t="n">
        <f aca="false">Units!$E81*(1+Inputs!$B$7)^(DX$2-1)</f>
        <v>2486.24530178663</v>
      </c>
      <c r="DY82" s="11" t="n">
        <f aca="false">Units!$E81*(1+Inputs!$B$7)^(DY$2-1)</f>
        <v>2486.24530178663</v>
      </c>
      <c r="DZ82" s="11" t="n">
        <f aca="false">Units!$E81*(1+Inputs!$B$7)^(DZ$2-1)</f>
        <v>2486.24530178663</v>
      </c>
      <c r="EA82" s="11" t="n">
        <f aca="false">Units!$E81*(1+Inputs!$B$7)^(EA$2-1)</f>
        <v>2486.24530178663</v>
      </c>
      <c r="EB82" s="11" t="n">
        <f aca="false">Units!$E81*(1+Inputs!$B$7)^(EB$2-1)</f>
        <v>2486.24530178663</v>
      </c>
      <c r="EC82" s="11" t="n">
        <f aca="false">Units!$E81*(1+Inputs!$B$7)^(EC$2-1)</f>
        <v>2486.24530178663</v>
      </c>
      <c r="ED82" s="11" t="n">
        <f aca="false">Units!$E81*(1+Inputs!$B$7)^(ED$2-1)</f>
        <v>2486.24530178663</v>
      </c>
    </row>
    <row r="83" customFormat="false" ht="15" hidden="false" customHeight="false" outlineLevel="0" collapsed="false">
      <c r="A83" s="22" t="n">
        <f aca="false">Units!A82</f>
        <v>321</v>
      </c>
      <c r="B83" s="23"/>
      <c r="C83" s="11" t="n">
        <f aca="false">Units!$E82*(1+Inputs!$B$7)^(C$2-1)</f>
        <v>1850</v>
      </c>
      <c r="D83" s="11" t="n">
        <f aca="false">Units!$E82*(1+Inputs!$B$7)^(D$2-1)</f>
        <v>1850</v>
      </c>
      <c r="E83" s="11" t="n">
        <f aca="false">Units!$E82*(1+Inputs!$B$7)^(E$2-1)</f>
        <v>1850</v>
      </c>
      <c r="F83" s="11" t="n">
        <f aca="false">Units!$E82*(1+Inputs!$B$7)^(F$2-1)</f>
        <v>1850</v>
      </c>
      <c r="G83" s="11" t="n">
        <f aca="false">Units!$E82*(1+Inputs!$B$7)^(G$2-1)</f>
        <v>1850</v>
      </c>
      <c r="H83" s="11" t="n">
        <f aca="false">Units!$E82*(1+Inputs!$B$7)^(H$2-1)</f>
        <v>1850</v>
      </c>
      <c r="I83" s="11" t="n">
        <f aca="false">Units!$E82*(1+Inputs!$B$7)^(I$2-1)</f>
        <v>1850</v>
      </c>
      <c r="J83" s="11" t="n">
        <f aca="false">Units!$E82*(1+Inputs!$B$7)^(J$2-1)</f>
        <v>1850</v>
      </c>
      <c r="K83" s="11" t="n">
        <f aca="false">Units!$E82*(1+Inputs!$B$7)^(K$2-1)</f>
        <v>1850</v>
      </c>
      <c r="L83" s="11" t="n">
        <f aca="false">Units!$E82*(1+Inputs!$B$7)^(L$2-1)</f>
        <v>1850</v>
      </c>
      <c r="M83" s="11" t="n">
        <f aca="false">Units!$E82*(1+Inputs!$B$7)^(M$2-1)</f>
        <v>1850</v>
      </c>
      <c r="N83" s="11" t="n">
        <f aca="false">Units!$E82*(1+Inputs!$B$7)^(N$2-1)</f>
        <v>1850</v>
      </c>
      <c r="O83" s="11" t="n">
        <f aca="false">Units!$E82*(1+Inputs!$B$7)^(O$2-1)</f>
        <v>1905.5</v>
      </c>
      <c r="P83" s="11" t="n">
        <f aca="false">Units!$E82*(1+Inputs!$B$7)^(P$2-1)</f>
        <v>1905.5</v>
      </c>
      <c r="Q83" s="11" t="n">
        <f aca="false">Units!$E82*(1+Inputs!$B$7)^(Q$2-1)</f>
        <v>1905.5</v>
      </c>
      <c r="R83" s="11" t="n">
        <f aca="false">Units!$E82*(1+Inputs!$B$7)^(R$2-1)</f>
        <v>1905.5</v>
      </c>
      <c r="S83" s="11" t="n">
        <f aca="false">Units!$E82*(1+Inputs!$B$7)^(S$2-1)</f>
        <v>1905.5</v>
      </c>
      <c r="T83" s="11" t="n">
        <f aca="false">Units!$E82*(1+Inputs!$B$7)^(T$2-1)</f>
        <v>1905.5</v>
      </c>
      <c r="U83" s="11" t="n">
        <f aca="false">Units!$E82*(1+Inputs!$B$7)^(U$2-1)</f>
        <v>1905.5</v>
      </c>
      <c r="V83" s="11" t="n">
        <f aca="false">Units!$E82*(1+Inputs!$B$7)^(V$2-1)</f>
        <v>1905.5</v>
      </c>
      <c r="W83" s="11" t="n">
        <f aca="false">Units!$E82*(1+Inputs!$B$7)^(W$2-1)</f>
        <v>1905.5</v>
      </c>
      <c r="X83" s="11" t="n">
        <f aca="false">Units!$E82*(1+Inputs!$B$7)^(X$2-1)</f>
        <v>1905.5</v>
      </c>
      <c r="Y83" s="11" t="n">
        <f aca="false">Units!$E82*(1+Inputs!$B$7)^(Y$2-1)</f>
        <v>1905.5</v>
      </c>
      <c r="Z83" s="11" t="n">
        <f aca="false">Units!$E82*(1+Inputs!$B$7)^(Z$2-1)</f>
        <v>1905.5</v>
      </c>
      <c r="AA83" s="11" t="n">
        <f aca="false">Units!$E82*(1+Inputs!$B$7)^(AA$2-1)</f>
        <v>1962.665</v>
      </c>
      <c r="AB83" s="11" t="n">
        <f aca="false">Units!$E82*(1+Inputs!$B$7)^(AB$2-1)</f>
        <v>1962.665</v>
      </c>
      <c r="AC83" s="11" t="n">
        <f aca="false">Units!$E82*(1+Inputs!$B$7)^(AC$2-1)</f>
        <v>1962.665</v>
      </c>
      <c r="AD83" s="11" t="n">
        <f aca="false">Units!$E82*(1+Inputs!$B$7)^(AD$2-1)</f>
        <v>1962.665</v>
      </c>
      <c r="AE83" s="11" t="n">
        <f aca="false">Units!$E82*(1+Inputs!$B$7)^(AE$2-1)</f>
        <v>1962.665</v>
      </c>
      <c r="AF83" s="11" t="n">
        <f aca="false">Units!$E82*(1+Inputs!$B$7)^(AF$2-1)</f>
        <v>1962.665</v>
      </c>
      <c r="AG83" s="11" t="n">
        <f aca="false">Units!$E82*(1+Inputs!$B$7)^(AG$2-1)</f>
        <v>1962.665</v>
      </c>
      <c r="AH83" s="11" t="n">
        <f aca="false">Units!$E82*(1+Inputs!$B$7)^(AH$2-1)</f>
        <v>1962.665</v>
      </c>
      <c r="AI83" s="11" t="n">
        <f aca="false">Units!$E82*(1+Inputs!$B$7)^(AI$2-1)</f>
        <v>1962.665</v>
      </c>
      <c r="AJ83" s="11" t="n">
        <f aca="false">Units!$E82*(1+Inputs!$B$7)^(AJ$2-1)</f>
        <v>1962.665</v>
      </c>
      <c r="AK83" s="11" t="n">
        <f aca="false">Units!$E82*(1+Inputs!$B$7)^(AK$2-1)</f>
        <v>1962.665</v>
      </c>
      <c r="AL83" s="11" t="n">
        <f aca="false">Units!$E82*(1+Inputs!$B$7)^(AL$2-1)</f>
        <v>1962.665</v>
      </c>
      <c r="AM83" s="11" t="n">
        <f aca="false">Units!$E82*(1+Inputs!$B$7)^(AM$2-1)</f>
        <v>2021.54495</v>
      </c>
      <c r="AN83" s="11" t="n">
        <f aca="false">Units!$E82*(1+Inputs!$B$7)^(AN$2-1)</f>
        <v>2021.54495</v>
      </c>
      <c r="AO83" s="11" t="n">
        <f aca="false">Units!$E82*(1+Inputs!$B$7)^(AO$2-1)</f>
        <v>2021.54495</v>
      </c>
      <c r="AP83" s="11" t="n">
        <f aca="false">Units!$E82*(1+Inputs!$B$7)^(AP$2-1)</f>
        <v>2021.54495</v>
      </c>
      <c r="AQ83" s="11" t="n">
        <f aca="false">Units!$E82*(1+Inputs!$B$7)^(AQ$2-1)</f>
        <v>2021.54495</v>
      </c>
      <c r="AR83" s="11" t="n">
        <f aca="false">Units!$E82*(1+Inputs!$B$7)^(AR$2-1)</f>
        <v>2021.54495</v>
      </c>
      <c r="AS83" s="11" t="n">
        <f aca="false">Units!$E82*(1+Inputs!$B$7)^(AS$2-1)</f>
        <v>2021.54495</v>
      </c>
      <c r="AT83" s="11" t="n">
        <f aca="false">Units!$E82*(1+Inputs!$B$7)^(AT$2-1)</f>
        <v>2021.54495</v>
      </c>
      <c r="AU83" s="11" t="n">
        <f aca="false">Units!$E82*(1+Inputs!$B$7)^(AU$2-1)</f>
        <v>2021.54495</v>
      </c>
      <c r="AV83" s="11" t="n">
        <f aca="false">Units!$E82*(1+Inputs!$B$7)^(AV$2-1)</f>
        <v>2021.54495</v>
      </c>
      <c r="AW83" s="11" t="n">
        <f aca="false">Units!$E82*(1+Inputs!$B$7)^(AW$2-1)</f>
        <v>2021.54495</v>
      </c>
      <c r="AX83" s="11" t="n">
        <f aca="false">Units!$E82*(1+Inputs!$B$7)^(AX$2-1)</f>
        <v>2021.54495</v>
      </c>
      <c r="AY83" s="11" t="n">
        <f aca="false">Units!$E82*(1+Inputs!$B$7)^(AY$2-1)</f>
        <v>2082.1912985</v>
      </c>
      <c r="AZ83" s="11" t="n">
        <f aca="false">Units!$E82*(1+Inputs!$B$7)^(AZ$2-1)</f>
        <v>2082.1912985</v>
      </c>
      <c r="BA83" s="11" t="n">
        <f aca="false">Units!$E82*(1+Inputs!$B$7)^(BA$2-1)</f>
        <v>2082.1912985</v>
      </c>
      <c r="BB83" s="11" t="n">
        <f aca="false">Units!$E82*(1+Inputs!$B$7)^(BB$2-1)</f>
        <v>2082.1912985</v>
      </c>
      <c r="BC83" s="11" t="n">
        <f aca="false">Units!$E82*(1+Inputs!$B$7)^(BC$2-1)</f>
        <v>2082.1912985</v>
      </c>
      <c r="BD83" s="11" t="n">
        <f aca="false">Units!$E82*(1+Inputs!$B$7)^(BD$2-1)</f>
        <v>2082.1912985</v>
      </c>
      <c r="BE83" s="11" t="n">
        <f aca="false">Units!$E82*(1+Inputs!$B$7)^(BE$2-1)</f>
        <v>2082.1912985</v>
      </c>
      <c r="BF83" s="11" t="n">
        <f aca="false">Units!$E82*(1+Inputs!$B$7)^(BF$2-1)</f>
        <v>2082.1912985</v>
      </c>
      <c r="BG83" s="11" t="n">
        <f aca="false">Units!$E82*(1+Inputs!$B$7)^(BG$2-1)</f>
        <v>2082.1912985</v>
      </c>
      <c r="BH83" s="11" t="n">
        <f aca="false">Units!$E82*(1+Inputs!$B$7)^(BH$2-1)</f>
        <v>2082.1912985</v>
      </c>
      <c r="BI83" s="11" t="n">
        <f aca="false">Units!$E82*(1+Inputs!$B$7)^(BI$2-1)</f>
        <v>2082.1912985</v>
      </c>
      <c r="BJ83" s="11" t="n">
        <f aca="false">Units!$E82*(1+Inputs!$B$7)^(BJ$2-1)</f>
        <v>2082.1912985</v>
      </c>
      <c r="BK83" s="11" t="n">
        <f aca="false">Units!$E82*(1+Inputs!$B$7)^(BK$2-1)</f>
        <v>2144.657037455</v>
      </c>
      <c r="BL83" s="11" t="n">
        <f aca="false">Units!$E82*(1+Inputs!$B$7)^(BL$2-1)</f>
        <v>2144.657037455</v>
      </c>
      <c r="BM83" s="11" t="n">
        <f aca="false">Units!$E82*(1+Inputs!$B$7)^(BM$2-1)</f>
        <v>2144.657037455</v>
      </c>
      <c r="BN83" s="11" t="n">
        <f aca="false">Units!$E82*(1+Inputs!$B$7)^(BN$2-1)</f>
        <v>2144.657037455</v>
      </c>
      <c r="BO83" s="11" t="n">
        <f aca="false">Units!$E82*(1+Inputs!$B$7)^(BO$2-1)</f>
        <v>2144.657037455</v>
      </c>
      <c r="BP83" s="11" t="n">
        <f aca="false">Units!$E82*(1+Inputs!$B$7)^(BP$2-1)</f>
        <v>2144.657037455</v>
      </c>
      <c r="BQ83" s="11" t="n">
        <f aca="false">Units!$E82*(1+Inputs!$B$7)^(BQ$2-1)</f>
        <v>2144.657037455</v>
      </c>
      <c r="BR83" s="11" t="n">
        <f aca="false">Units!$E82*(1+Inputs!$B$7)^(BR$2-1)</f>
        <v>2144.657037455</v>
      </c>
      <c r="BS83" s="11" t="n">
        <f aca="false">Units!$E82*(1+Inputs!$B$7)^(BS$2-1)</f>
        <v>2144.657037455</v>
      </c>
      <c r="BT83" s="11" t="n">
        <f aca="false">Units!$E82*(1+Inputs!$B$7)^(BT$2-1)</f>
        <v>2144.657037455</v>
      </c>
      <c r="BU83" s="11" t="n">
        <f aca="false">Units!$E82*(1+Inputs!$B$7)^(BU$2-1)</f>
        <v>2144.657037455</v>
      </c>
      <c r="BV83" s="11" t="n">
        <f aca="false">Units!$E82*(1+Inputs!$B$7)^(BV$2-1)</f>
        <v>2144.657037455</v>
      </c>
      <c r="BW83" s="11" t="n">
        <f aca="false">Units!$E82*(1+Inputs!$B$7)^(BW$2-1)</f>
        <v>2208.99674857865</v>
      </c>
      <c r="BX83" s="11" t="n">
        <f aca="false">Units!$E82*(1+Inputs!$B$7)^(BX$2-1)</f>
        <v>2208.99674857865</v>
      </c>
      <c r="BY83" s="11" t="n">
        <f aca="false">Units!$E82*(1+Inputs!$B$7)^(BY$2-1)</f>
        <v>2208.99674857865</v>
      </c>
      <c r="BZ83" s="11" t="n">
        <f aca="false">Units!$E82*(1+Inputs!$B$7)^(BZ$2-1)</f>
        <v>2208.99674857865</v>
      </c>
      <c r="CA83" s="11" t="n">
        <f aca="false">Units!$E82*(1+Inputs!$B$7)^(CA$2-1)</f>
        <v>2208.99674857865</v>
      </c>
      <c r="CB83" s="11" t="n">
        <f aca="false">Units!$E82*(1+Inputs!$B$7)^(CB$2-1)</f>
        <v>2208.99674857865</v>
      </c>
      <c r="CC83" s="11" t="n">
        <f aca="false">Units!$E82*(1+Inputs!$B$7)^(CC$2-1)</f>
        <v>2208.99674857865</v>
      </c>
      <c r="CD83" s="11" t="n">
        <f aca="false">Units!$E82*(1+Inputs!$B$7)^(CD$2-1)</f>
        <v>2208.99674857865</v>
      </c>
      <c r="CE83" s="11" t="n">
        <f aca="false">Units!$E82*(1+Inputs!$B$7)^(CE$2-1)</f>
        <v>2208.99674857865</v>
      </c>
      <c r="CF83" s="11" t="n">
        <f aca="false">Units!$E82*(1+Inputs!$B$7)^(CF$2-1)</f>
        <v>2208.99674857865</v>
      </c>
      <c r="CG83" s="11" t="n">
        <f aca="false">Units!$E82*(1+Inputs!$B$7)^(CG$2-1)</f>
        <v>2208.99674857865</v>
      </c>
      <c r="CH83" s="11" t="n">
        <f aca="false">Units!$E82*(1+Inputs!$B$7)^(CH$2-1)</f>
        <v>2208.99674857865</v>
      </c>
      <c r="CI83" s="11" t="n">
        <f aca="false">Units!$E82*(1+Inputs!$B$7)^(CI$2-1)</f>
        <v>2275.26665103601</v>
      </c>
      <c r="CJ83" s="11" t="n">
        <f aca="false">Units!$E82*(1+Inputs!$B$7)^(CJ$2-1)</f>
        <v>2275.26665103601</v>
      </c>
      <c r="CK83" s="11" t="n">
        <f aca="false">Units!$E82*(1+Inputs!$B$7)^(CK$2-1)</f>
        <v>2275.26665103601</v>
      </c>
      <c r="CL83" s="11" t="n">
        <f aca="false">Units!$E82*(1+Inputs!$B$7)^(CL$2-1)</f>
        <v>2275.26665103601</v>
      </c>
      <c r="CM83" s="11" t="n">
        <f aca="false">Units!$E82*(1+Inputs!$B$7)^(CM$2-1)</f>
        <v>2275.26665103601</v>
      </c>
      <c r="CN83" s="11" t="n">
        <f aca="false">Units!$E82*(1+Inputs!$B$7)^(CN$2-1)</f>
        <v>2275.26665103601</v>
      </c>
      <c r="CO83" s="11" t="n">
        <f aca="false">Units!$E82*(1+Inputs!$B$7)^(CO$2-1)</f>
        <v>2275.26665103601</v>
      </c>
      <c r="CP83" s="11" t="n">
        <f aca="false">Units!$E82*(1+Inputs!$B$7)^(CP$2-1)</f>
        <v>2275.26665103601</v>
      </c>
      <c r="CQ83" s="11" t="n">
        <f aca="false">Units!$E82*(1+Inputs!$B$7)^(CQ$2-1)</f>
        <v>2275.26665103601</v>
      </c>
      <c r="CR83" s="11" t="n">
        <f aca="false">Units!$E82*(1+Inputs!$B$7)^(CR$2-1)</f>
        <v>2275.26665103601</v>
      </c>
      <c r="CS83" s="11" t="n">
        <f aca="false">Units!$E82*(1+Inputs!$B$7)^(CS$2-1)</f>
        <v>2275.26665103601</v>
      </c>
      <c r="CT83" s="11" t="n">
        <f aca="false">Units!$E82*(1+Inputs!$B$7)^(CT$2-1)</f>
        <v>2275.26665103601</v>
      </c>
      <c r="CU83" s="11" t="n">
        <f aca="false">Units!$E82*(1+Inputs!$B$7)^(CU$2-1)</f>
        <v>2343.52465056709</v>
      </c>
      <c r="CV83" s="11" t="n">
        <f aca="false">Units!$E82*(1+Inputs!$B$7)^(CV$2-1)</f>
        <v>2343.52465056709</v>
      </c>
      <c r="CW83" s="11" t="n">
        <f aca="false">Units!$E82*(1+Inputs!$B$7)^(CW$2-1)</f>
        <v>2343.52465056709</v>
      </c>
      <c r="CX83" s="11" t="n">
        <f aca="false">Units!$E82*(1+Inputs!$B$7)^(CX$2-1)</f>
        <v>2343.52465056709</v>
      </c>
      <c r="CY83" s="11" t="n">
        <f aca="false">Units!$E82*(1+Inputs!$B$7)^(CY$2-1)</f>
        <v>2343.52465056709</v>
      </c>
      <c r="CZ83" s="11" t="n">
        <f aca="false">Units!$E82*(1+Inputs!$B$7)^(CZ$2-1)</f>
        <v>2343.52465056709</v>
      </c>
      <c r="DA83" s="11" t="n">
        <f aca="false">Units!$E82*(1+Inputs!$B$7)^(DA$2-1)</f>
        <v>2343.52465056709</v>
      </c>
      <c r="DB83" s="11" t="n">
        <f aca="false">Units!$E82*(1+Inputs!$B$7)^(DB$2-1)</f>
        <v>2343.52465056709</v>
      </c>
      <c r="DC83" s="11" t="n">
        <f aca="false">Units!$E82*(1+Inputs!$B$7)^(DC$2-1)</f>
        <v>2343.52465056709</v>
      </c>
      <c r="DD83" s="11" t="n">
        <f aca="false">Units!$E82*(1+Inputs!$B$7)^(DD$2-1)</f>
        <v>2343.52465056709</v>
      </c>
      <c r="DE83" s="11" t="n">
        <f aca="false">Units!$E82*(1+Inputs!$B$7)^(DE$2-1)</f>
        <v>2343.52465056709</v>
      </c>
      <c r="DF83" s="11" t="n">
        <f aca="false">Units!$E82*(1+Inputs!$B$7)^(DF$2-1)</f>
        <v>2343.52465056709</v>
      </c>
      <c r="DG83" s="11" t="n">
        <f aca="false">Units!$E82*(1+Inputs!$B$7)^(DG$2-1)</f>
        <v>2413.8303900841</v>
      </c>
      <c r="DH83" s="11" t="n">
        <f aca="false">Units!$E82*(1+Inputs!$B$7)^(DH$2-1)</f>
        <v>2413.8303900841</v>
      </c>
      <c r="DI83" s="11" t="n">
        <f aca="false">Units!$E82*(1+Inputs!$B$7)^(DI$2-1)</f>
        <v>2413.8303900841</v>
      </c>
      <c r="DJ83" s="11" t="n">
        <f aca="false">Units!$E82*(1+Inputs!$B$7)^(DJ$2-1)</f>
        <v>2413.8303900841</v>
      </c>
      <c r="DK83" s="11" t="n">
        <f aca="false">Units!$E82*(1+Inputs!$B$7)^(DK$2-1)</f>
        <v>2413.8303900841</v>
      </c>
      <c r="DL83" s="11" t="n">
        <f aca="false">Units!$E82*(1+Inputs!$B$7)^(DL$2-1)</f>
        <v>2413.8303900841</v>
      </c>
      <c r="DM83" s="11" t="n">
        <f aca="false">Units!$E82*(1+Inputs!$B$7)^(DM$2-1)</f>
        <v>2413.8303900841</v>
      </c>
      <c r="DN83" s="11" t="n">
        <f aca="false">Units!$E82*(1+Inputs!$B$7)^(DN$2-1)</f>
        <v>2413.8303900841</v>
      </c>
      <c r="DO83" s="11" t="n">
        <f aca="false">Units!$E82*(1+Inputs!$B$7)^(DO$2-1)</f>
        <v>2413.8303900841</v>
      </c>
      <c r="DP83" s="11" t="n">
        <f aca="false">Units!$E82*(1+Inputs!$B$7)^(DP$2-1)</f>
        <v>2413.8303900841</v>
      </c>
      <c r="DQ83" s="11" t="n">
        <f aca="false">Units!$E82*(1+Inputs!$B$7)^(DQ$2-1)</f>
        <v>2413.8303900841</v>
      </c>
      <c r="DR83" s="11" t="n">
        <f aca="false">Units!$E82*(1+Inputs!$B$7)^(DR$2-1)</f>
        <v>2413.8303900841</v>
      </c>
      <c r="DS83" s="11" t="n">
        <f aca="false">Units!$E82*(1+Inputs!$B$7)^(DS$2-1)</f>
        <v>2486.24530178663</v>
      </c>
      <c r="DT83" s="11" t="n">
        <f aca="false">Units!$E82*(1+Inputs!$B$7)^(DT$2-1)</f>
        <v>2486.24530178663</v>
      </c>
      <c r="DU83" s="11" t="n">
        <f aca="false">Units!$E82*(1+Inputs!$B$7)^(DU$2-1)</f>
        <v>2486.24530178663</v>
      </c>
      <c r="DV83" s="11" t="n">
        <f aca="false">Units!$E82*(1+Inputs!$B$7)^(DV$2-1)</f>
        <v>2486.24530178663</v>
      </c>
      <c r="DW83" s="11" t="n">
        <f aca="false">Units!$E82*(1+Inputs!$B$7)^(DW$2-1)</f>
        <v>2486.24530178663</v>
      </c>
      <c r="DX83" s="11" t="n">
        <f aca="false">Units!$E82*(1+Inputs!$B$7)^(DX$2-1)</f>
        <v>2486.24530178663</v>
      </c>
      <c r="DY83" s="11" t="n">
        <f aca="false">Units!$E82*(1+Inputs!$B$7)^(DY$2-1)</f>
        <v>2486.24530178663</v>
      </c>
      <c r="DZ83" s="11" t="n">
        <f aca="false">Units!$E82*(1+Inputs!$B$7)^(DZ$2-1)</f>
        <v>2486.24530178663</v>
      </c>
      <c r="EA83" s="11" t="n">
        <f aca="false">Units!$E82*(1+Inputs!$B$7)^(EA$2-1)</f>
        <v>2486.24530178663</v>
      </c>
      <c r="EB83" s="11" t="n">
        <f aca="false">Units!$E82*(1+Inputs!$B$7)^(EB$2-1)</f>
        <v>2486.24530178663</v>
      </c>
      <c r="EC83" s="11" t="n">
        <f aca="false">Units!$E82*(1+Inputs!$B$7)^(EC$2-1)</f>
        <v>2486.24530178663</v>
      </c>
      <c r="ED83" s="11" t="n">
        <f aca="false">Units!$E82*(1+Inputs!$B$7)^(ED$2-1)</f>
        <v>2486.24530178663</v>
      </c>
    </row>
    <row r="84" customFormat="false" ht="15" hidden="false" customHeight="false" outlineLevel="0" collapsed="false">
      <c r="A84" s="22" t="n">
        <f aca="false">Units!A83</f>
        <v>322</v>
      </c>
      <c r="B84" s="23"/>
      <c r="C84" s="11" t="n">
        <f aca="false">Units!$E83*(1+Inputs!$B$7)^(C$2-1)</f>
        <v>1850</v>
      </c>
      <c r="D84" s="11" t="n">
        <f aca="false">Units!$E83*(1+Inputs!$B$7)^(D$2-1)</f>
        <v>1850</v>
      </c>
      <c r="E84" s="11" t="n">
        <f aca="false">Units!$E83*(1+Inputs!$B$7)^(E$2-1)</f>
        <v>1850</v>
      </c>
      <c r="F84" s="11" t="n">
        <f aca="false">Units!$E83*(1+Inputs!$B$7)^(F$2-1)</f>
        <v>1850</v>
      </c>
      <c r="G84" s="11" t="n">
        <f aca="false">Units!$E83*(1+Inputs!$B$7)^(G$2-1)</f>
        <v>1850</v>
      </c>
      <c r="H84" s="11" t="n">
        <f aca="false">Units!$E83*(1+Inputs!$B$7)^(H$2-1)</f>
        <v>1850</v>
      </c>
      <c r="I84" s="11" t="n">
        <f aca="false">Units!$E83*(1+Inputs!$B$7)^(I$2-1)</f>
        <v>1850</v>
      </c>
      <c r="J84" s="11" t="n">
        <f aca="false">Units!$E83*(1+Inputs!$B$7)^(J$2-1)</f>
        <v>1850</v>
      </c>
      <c r="K84" s="11" t="n">
        <f aca="false">Units!$E83*(1+Inputs!$B$7)^(K$2-1)</f>
        <v>1850</v>
      </c>
      <c r="L84" s="11" t="n">
        <f aca="false">Units!$E83*(1+Inputs!$B$7)^(L$2-1)</f>
        <v>1850</v>
      </c>
      <c r="M84" s="11" t="n">
        <f aca="false">Units!$E83*(1+Inputs!$B$7)^(M$2-1)</f>
        <v>1850</v>
      </c>
      <c r="N84" s="11" t="n">
        <f aca="false">Units!$E83*(1+Inputs!$B$7)^(N$2-1)</f>
        <v>1850</v>
      </c>
      <c r="O84" s="11" t="n">
        <f aca="false">Units!$E83*(1+Inputs!$B$7)^(O$2-1)</f>
        <v>1905.5</v>
      </c>
      <c r="P84" s="11" t="n">
        <f aca="false">Units!$E83*(1+Inputs!$B$7)^(P$2-1)</f>
        <v>1905.5</v>
      </c>
      <c r="Q84" s="11" t="n">
        <f aca="false">Units!$E83*(1+Inputs!$B$7)^(Q$2-1)</f>
        <v>1905.5</v>
      </c>
      <c r="R84" s="11" t="n">
        <f aca="false">Units!$E83*(1+Inputs!$B$7)^(R$2-1)</f>
        <v>1905.5</v>
      </c>
      <c r="S84" s="11" t="n">
        <f aca="false">Units!$E83*(1+Inputs!$B$7)^(S$2-1)</f>
        <v>1905.5</v>
      </c>
      <c r="T84" s="11" t="n">
        <f aca="false">Units!$E83*(1+Inputs!$B$7)^(T$2-1)</f>
        <v>1905.5</v>
      </c>
      <c r="U84" s="11" t="n">
        <f aca="false">Units!$E83*(1+Inputs!$B$7)^(U$2-1)</f>
        <v>1905.5</v>
      </c>
      <c r="V84" s="11" t="n">
        <f aca="false">Units!$E83*(1+Inputs!$B$7)^(V$2-1)</f>
        <v>1905.5</v>
      </c>
      <c r="W84" s="11" t="n">
        <f aca="false">Units!$E83*(1+Inputs!$B$7)^(W$2-1)</f>
        <v>1905.5</v>
      </c>
      <c r="X84" s="11" t="n">
        <f aca="false">Units!$E83*(1+Inputs!$B$7)^(X$2-1)</f>
        <v>1905.5</v>
      </c>
      <c r="Y84" s="11" t="n">
        <f aca="false">Units!$E83*(1+Inputs!$B$7)^(Y$2-1)</f>
        <v>1905.5</v>
      </c>
      <c r="Z84" s="11" t="n">
        <f aca="false">Units!$E83*(1+Inputs!$B$7)^(Z$2-1)</f>
        <v>1905.5</v>
      </c>
      <c r="AA84" s="11" t="n">
        <f aca="false">Units!$E83*(1+Inputs!$B$7)^(AA$2-1)</f>
        <v>1962.665</v>
      </c>
      <c r="AB84" s="11" t="n">
        <f aca="false">Units!$E83*(1+Inputs!$B$7)^(AB$2-1)</f>
        <v>1962.665</v>
      </c>
      <c r="AC84" s="11" t="n">
        <f aca="false">Units!$E83*(1+Inputs!$B$7)^(AC$2-1)</f>
        <v>1962.665</v>
      </c>
      <c r="AD84" s="11" t="n">
        <f aca="false">Units!$E83*(1+Inputs!$B$7)^(AD$2-1)</f>
        <v>1962.665</v>
      </c>
      <c r="AE84" s="11" t="n">
        <f aca="false">Units!$E83*(1+Inputs!$B$7)^(AE$2-1)</f>
        <v>1962.665</v>
      </c>
      <c r="AF84" s="11" t="n">
        <f aca="false">Units!$E83*(1+Inputs!$B$7)^(AF$2-1)</f>
        <v>1962.665</v>
      </c>
      <c r="AG84" s="11" t="n">
        <f aca="false">Units!$E83*(1+Inputs!$B$7)^(AG$2-1)</f>
        <v>1962.665</v>
      </c>
      <c r="AH84" s="11" t="n">
        <f aca="false">Units!$E83*(1+Inputs!$B$7)^(AH$2-1)</f>
        <v>1962.665</v>
      </c>
      <c r="AI84" s="11" t="n">
        <f aca="false">Units!$E83*(1+Inputs!$B$7)^(AI$2-1)</f>
        <v>1962.665</v>
      </c>
      <c r="AJ84" s="11" t="n">
        <f aca="false">Units!$E83*(1+Inputs!$B$7)^(AJ$2-1)</f>
        <v>1962.665</v>
      </c>
      <c r="AK84" s="11" t="n">
        <f aca="false">Units!$E83*(1+Inputs!$B$7)^(AK$2-1)</f>
        <v>1962.665</v>
      </c>
      <c r="AL84" s="11" t="n">
        <f aca="false">Units!$E83*(1+Inputs!$B$7)^(AL$2-1)</f>
        <v>1962.665</v>
      </c>
      <c r="AM84" s="11" t="n">
        <f aca="false">Units!$E83*(1+Inputs!$B$7)^(AM$2-1)</f>
        <v>2021.54495</v>
      </c>
      <c r="AN84" s="11" t="n">
        <f aca="false">Units!$E83*(1+Inputs!$B$7)^(AN$2-1)</f>
        <v>2021.54495</v>
      </c>
      <c r="AO84" s="11" t="n">
        <f aca="false">Units!$E83*(1+Inputs!$B$7)^(AO$2-1)</f>
        <v>2021.54495</v>
      </c>
      <c r="AP84" s="11" t="n">
        <f aca="false">Units!$E83*(1+Inputs!$B$7)^(AP$2-1)</f>
        <v>2021.54495</v>
      </c>
      <c r="AQ84" s="11" t="n">
        <f aca="false">Units!$E83*(1+Inputs!$B$7)^(AQ$2-1)</f>
        <v>2021.54495</v>
      </c>
      <c r="AR84" s="11" t="n">
        <f aca="false">Units!$E83*(1+Inputs!$B$7)^(AR$2-1)</f>
        <v>2021.54495</v>
      </c>
      <c r="AS84" s="11" t="n">
        <f aca="false">Units!$E83*(1+Inputs!$B$7)^(AS$2-1)</f>
        <v>2021.54495</v>
      </c>
      <c r="AT84" s="11" t="n">
        <f aca="false">Units!$E83*(1+Inputs!$B$7)^(AT$2-1)</f>
        <v>2021.54495</v>
      </c>
      <c r="AU84" s="11" t="n">
        <f aca="false">Units!$E83*(1+Inputs!$B$7)^(AU$2-1)</f>
        <v>2021.54495</v>
      </c>
      <c r="AV84" s="11" t="n">
        <f aca="false">Units!$E83*(1+Inputs!$B$7)^(AV$2-1)</f>
        <v>2021.54495</v>
      </c>
      <c r="AW84" s="11" t="n">
        <f aca="false">Units!$E83*(1+Inputs!$B$7)^(AW$2-1)</f>
        <v>2021.54495</v>
      </c>
      <c r="AX84" s="11" t="n">
        <f aca="false">Units!$E83*(1+Inputs!$B$7)^(AX$2-1)</f>
        <v>2021.54495</v>
      </c>
      <c r="AY84" s="11" t="n">
        <f aca="false">Units!$E83*(1+Inputs!$B$7)^(AY$2-1)</f>
        <v>2082.1912985</v>
      </c>
      <c r="AZ84" s="11" t="n">
        <f aca="false">Units!$E83*(1+Inputs!$B$7)^(AZ$2-1)</f>
        <v>2082.1912985</v>
      </c>
      <c r="BA84" s="11" t="n">
        <f aca="false">Units!$E83*(1+Inputs!$B$7)^(BA$2-1)</f>
        <v>2082.1912985</v>
      </c>
      <c r="BB84" s="11" t="n">
        <f aca="false">Units!$E83*(1+Inputs!$B$7)^(BB$2-1)</f>
        <v>2082.1912985</v>
      </c>
      <c r="BC84" s="11" t="n">
        <f aca="false">Units!$E83*(1+Inputs!$B$7)^(BC$2-1)</f>
        <v>2082.1912985</v>
      </c>
      <c r="BD84" s="11" t="n">
        <f aca="false">Units!$E83*(1+Inputs!$B$7)^(BD$2-1)</f>
        <v>2082.1912985</v>
      </c>
      <c r="BE84" s="11" t="n">
        <f aca="false">Units!$E83*(1+Inputs!$B$7)^(BE$2-1)</f>
        <v>2082.1912985</v>
      </c>
      <c r="BF84" s="11" t="n">
        <f aca="false">Units!$E83*(1+Inputs!$B$7)^(BF$2-1)</f>
        <v>2082.1912985</v>
      </c>
      <c r="BG84" s="11" t="n">
        <f aca="false">Units!$E83*(1+Inputs!$B$7)^(BG$2-1)</f>
        <v>2082.1912985</v>
      </c>
      <c r="BH84" s="11" t="n">
        <f aca="false">Units!$E83*(1+Inputs!$B$7)^(BH$2-1)</f>
        <v>2082.1912985</v>
      </c>
      <c r="BI84" s="11" t="n">
        <f aca="false">Units!$E83*(1+Inputs!$B$7)^(BI$2-1)</f>
        <v>2082.1912985</v>
      </c>
      <c r="BJ84" s="11" t="n">
        <f aca="false">Units!$E83*(1+Inputs!$B$7)^(BJ$2-1)</f>
        <v>2082.1912985</v>
      </c>
      <c r="BK84" s="11" t="n">
        <f aca="false">Units!$E83*(1+Inputs!$B$7)^(BK$2-1)</f>
        <v>2144.657037455</v>
      </c>
      <c r="BL84" s="11" t="n">
        <f aca="false">Units!$E83*(1+Inputs!$B$7)^(BL$2-1)</f>
        <v>2144.657037455</v>
      </c>
      <c r="BM84" s="11" t="n">
        <f aca="false">Units!$E83*(1+Inputs!$B$7)^(BM$2-1)</f>
        <v>2144.657037455</v>
      </c>
      <c r="BN84" s="11" t="n">
        <f aca="false">Units!$E83*(1+Inputs!$B$7)^(BN$2-1)</f>
        <v>2144.657037455</v>
      </c>
      <c r="BO84" s="11" t="n">
        <f aca="false">Units!$E83*(1+Inputs!$B$7)^(BO$2-1)</f>
        <v>2144.657037455</v>
      </c>
      <c r="BP84" s="11" t="n">
        <f aca="false">Units!$E83*(1+Inputs!$B$7)^(BP$2-1)</f>
        <v>2144.657037455</v>
      </c>
      <c r="BQ84" s="11" t="n">
        <f aca="false">Units!$E83*(1+Inputs!$B$7)^(BQ$2-1)</f>
        <v>2144.657037455</v>
      </c>
      <c r="BR84" s="11" t="n">
        <f aca="false">Units!$E83*(1+Inputs!$B$7)^(BR$2-1)</f>
        <v>2144.657037455</v>
      </c>
      <c r="BS84" s="11" t="n">
        <f aca="false">Units!$E83*(1+Inputs!$B$7)^(BS$2-1)</f>
        <v>2144.657037455</v>
      </c>
      <c r="BT84" s="11" t="n">
        <f aca="false">Units!$E83*(1+Inputs!$B$7)^(BT$2-1)</f>
        <v>2144.657037455</v>
      </c>
      <c r="BU84" s="11" t="n">
        <f aca="false">Units!$E83*(1+Inputs!$B$7)^(BU$2-1)</f>
        <v>2144.657037455</v>
      </c>
      <c r="BV84" s="11" t="n">
        <f aca="false">Units!$E83*(1+Inputs!$B$7)^(BV$2-1)</f>
        <v>2144.657037455</v>
      </c>
      <c r="BW84" s="11" t="n">
        <f aca="false">Units!$E83*(1+Inputs!$B$7)^(BW$2-1)</f>
        <v>2208.99674857865</v>
      </c>
      <c r="BX84" s="11" t="n">
        <f aca="false">Units!$E83*(1+Inputs!$B$7)^(BX$2-1)</f>
        <v>2208.99674857865</v>
      </c>
      <c r="BY84" s="11" t="n">
        <f aca="false">Units!$E83*(1+Inputs!$B$7)^(BY$2-1)</f>
        <v>2208.99674857865</v>
      </c>
      <c r="BZ84" s="11" t="n">
        <f aca="false">Units!$E83*(1+Inputs!$B$7)^(BZ$2-1)</f>
        <v>2208.99674857865</v>
      </c>
      <c r="CA84" s="11" t="n">
        <f aca="false">Units!$E83*(1+Inputs!$B$7)^(CA$2-1)</f>
        <v>2208.99674857865</v>
      </c>
      <c r="CB84" s="11" t="n">
        <f aca="false">Units!$E83*(1+Inputs!$B$7)^(CB$2-1)</f>
        <v>2208.99674857865</v>
      </c>
      <c r="CC84" s="11" t="n">
        <f aca="false">Units!$E83*(1+Inputs!$B$7)^(CC$2-1)</f>
        <v>2208.99674857865</v>
      </c>
      <c r="CD84" s="11" t="n">
        <f aca="false">Units!$E83*(1+Inputs!$B$7)^(CD$2-1)</f>
        <v>2208.99674857865</v>
      </c>
      <c r="CE84" s="11" t="n">
        <f aca="false">Units!$E83*(1+Inputs!$B$7)^(CE$2-1)</f>
        <v>2208.99674857865</v>
      </c>
      <c r="CF84" s="11" t="n">
        <f aca="false">Units!$E83*(1+Inputs!$B$7)^(CF$2-1)</f>
        <v>2208.99674857865</v>
      </c>
      <c r="CG84" s="11" t="n">
        <f aca="false">Units!$E83*(1+Inputs!$B$7)^(CG$2-1)</f>
        <v>2208.99674857865</v>
      </c>
      <c r="CH84" s="11" t="n">
        <f aca="false">Units!$E83*(1+Inputs!$B$7)^(CH$2-1)</f>
        <v>2208.99674857865</v>
      </c>
      <c r="CI84" s="11" t="n">
        <f aca="false">Units!$E83*(1+Inputs!$B$7)^(CI$2-1)</f>
        <v>2275.26665103601</v>
      </c>
      <c r="CJ84" s="11" t="n">
        <f aca="false">Units!$E83*(1+Inputs!$B$7)^(CJ$2-1)</f>
        <v>2275.26665103601</v>
      </c>
      <c r="CK84" s="11" t="n">
        <f aca="false">Units!$E83*(1+Inputs!$B$7)^(CK$2-1)</f>
        <v>2275.26665103601</v>
      </c>
      <c r="CL84" s="11" t="n">
        <f aca="false">Units!$E83*(1+Inputs!$B$7)^(CL$2-1)</f>
        <v>2275.26665103601</v>
      </c>
      <c r="CM84" s="11" t="n">
        <f aca="false">Units!$E83*(1+Inputs!$B$7)^(CM$2-1)</f>
        <v>2275.26665103601</v>
      </c>
      <c r="CN84" s="11" t="n">
        <f aca="false">Units!$E83*(1+Inputs!$B$7)^(CN$2-1)</f>
        <v>2275.26665103601</v>
      </c>
      <c r="CO84" s="11" t="n">
        <f aca="false">Units!$E83*(1+Inputs!$B$7)^(CO$2-1)</f>
        <v>2275.26665103601</v>
      </c>
      <c r="CP84" s="11" t="n">
        <f aca="false">Units!$E83*(1+Inputs!$B$7)^(CP$2-1)</f>
        <v>2275.26665103601</v>
      </c>
      <c r="CQ84" s="11" t="n">
        <f aca="false">Units!$E83*(1+Inputs!$B$7)^(CQ$2-1)</f>
        <v>2275.26665103601</v>
      </c>
      <c r="CR84" s="11" t="n">
        <f aca="false">Units!$E83*(1+Inputs!$B$7)^(CR$2-1)</f>
        <v>2275.26665103601</v>
      </c>
      <c r="CS84" s="11" t="n">
        <f aca="false">Units!$E83*(1+Inputs!$B$7)^(CS$2-1)</f>
        <v>2275.26665103601</v>
      </c>
      <c r="CT84" s="11" t="n">
        <f aca="false">Units!$E83*(1+Inputs!$B$7)^(CT$2-1)</f>
        <v>2275.26665103601</v>
      </c>
      <c r="CU84" s="11" t="n">
        <f aca="false">Units!$E83*(1+Inputs!$B$7)^(CU$2-1)</f>
        <v>2343.52465056709</v>
      </c>
      <c r="CV84" s="11" t="n">
        <f aca="false">Units!$E83*(1+Inputs!$B$7)^(CV$2-1)</f>
        <v>2343.52465056709</v>
      </c>
      <c r="CW84" s="11" t="n">
        <f aca="false">Units!$E83*(1+Inputs!$B$7)^(CW$2-1)</f>
        <v>2343.52465056709</v>
      </c>
      <c r="CX84" s="11" t="n">
        <f aca="false">Units!$E83*(1+Inputs!$B$7)^(CX$2-1)</f>
        <v>2343.52465056709</v>
      </c>
      <c r="CY84" s="11" t="n">
        <f aca="false">Units!$E83*(1+Inputs!$B$7)^(CY$2-1)</f>
        <v>2343.52465056709</v>
      </c>
      <c r="CZ84" s="11" t="n">
        <f aca="false">Units!$E83*(1+Inputs!$B$7)^(CZ$2-1)</f>
        <v>2343.52465056709</v>
      </c>
      <c r="DA84" s="11" t="n">
        <f aca="false">Units!$E83*(1+Inputs!$B$7)^(DA$2-1)</f>
        <v>2343.52465056709</v>
      </c>
      <c r="DB84" s="11" t="n">
        <f aca="false">Units!$E83*(1+Inputs!$B$7)^(DB$2-1)</f>
        <v>2343.52465056709</v>
      </c>
      <c r="DC84" s="11" t="n">
        <f aca="false">Units!$E83*(1+Inputs!$B$7)^(DC$2-1)</f>
        <v>2343.52465056709</v>
      </c>
      <c r="DD84" s="11" t="n">
        <f aca="false">Units!$E83*(1+Inputs!$B$7)^(DD$2-1)</f>
        <v>2343.52465056709</v>
      </c>
      <c r="DE84" s="11" t="n">
        <f aca="false">Units!$E83*(1+Inputs!$B$7)^(DE$2-1)</f>
        <v>2343.52465056709</v>
      </c>
      <c r="DF84" s="11" t="n">
        <f aca="false">Units!$E83*(1+Inputs!$B$7)^(DF$2-1)</f>
        <v>2343.52465056709</v>
      </c>
      <c r="DG84" s="11" t="n">
        <f aca="false">Units!$E83*(1+Inputs!$B$7)^(DG$2-1)</f>
        <v>2413.8303900841</v>
      </c>
      <c r="DH84" s="11" t="n">
        <f aca="false">Units!$E83*(1+Inputs!$B$7)^(DH$2-1)</f>
        <v>2413.8303900841</v>
      </c>
      <c r="DI84" s="11" t="n">
        <f aca="false">Units!$E83*(1+Inputs!$B$7)^(DI$2-1)</f>
        <v>2413.8303900841</v>
      </c>
      <c r="DJ84" s="11" t="n">
        <f aca="false">Units!$E83*(1+Inputs!$B$7)^(DJ$2-1)</f>
        <v>2413.8303900841</v>
      </c>
      <c r="DK84" s="11" t="n">
        <f aca="false">Units!$E83*(1+Inputs!$B$7)^(DK$2-1)</f>
        <v>2413.8303900841</v>
      </c>
      <c r="DL84" s="11" t="n">
        <f aca="false">Units!$E83*(1+Inputs!$B$7)^(DL$2-1)</f>
        <v>2413.8303900841</v>
      </c>
      <c r="DM84" s="11" t="n">
        <f aca="false">Units!$E83*(1+Inputs!$B$7)^(DM$2-1)</f>
        <v>2413.8303900841</v>
      </c>
      <c r="DN84" s="11" t="n">
        <f aca="false">Units!$E83*(1+Inputs!$B$7)^(DN$2-1)</f>
        <v>2413.8303900841</v>
      </c>
      <c r="DO84" s="11" t="n">
        <f aca="false">Units!$E83*(1+Inputs!$B$7)^(DO$2-1)</f>
        <v>2413.8303900841</v>
      </c>
      <c r="DP84" s="11" t="n">
        <f aca="false">Units!$E83*(1+Inputs!$B$7)^(DP$2-1)</f>
        <v>2413.8303900841</v>
      </c>
      <c r="DQ84" s="11" t="n">
        <f aca="false">Units!$E83*(1+Inputs!$B$7)^(DQ$2-1)</f>
        <v>2413.8303900841</v>
      </c>
      <c r="DR84" s="11" t="n">
        <f aca="false">Units!$E83*(1+Inputs!$B$7)^(DR$2-1)</f>
        <v>2413.8303900841</v>
      </c>
      <c r="DS84" s="11" t="n">
        <f aca="false">Units!$E83*(1+Inputs!$B$7)^(DS$2-1)</f>
        <v>2486.24530178663</v>
      </c>
      <c r="DT84" s="11" t="n">
        <f aca="false">Units!$E83*(1+Inputs!$B$7)^(DT$2-1)</f>
        <v>2486.24530178663</v>
      </c>
      <c r="DU84" s="11" t="n">
        <f aca="false">Units!$E83*(1+Inputs!$B$7)^(DU$2-1)</f>
        <v>2486.24530178663</v>
      </c>
      <c r="DV84" s="11" t="n">
        <f aca="false">Units!$E83*(1+Inputs!$B$7)^(DV$2-1)</f>
        <v>2486.24530178663</v>
      </c>
      <c r="DW84" s="11" t="n">
        <f aca="false">Units!$E83*(1+Inputs!$B$7)^(DW$2-1)</f>
        <v>2486.24530178663</v>
      </c>
      <c r="DX84" s="11" t="n">
        <f aca="false">Units!$E83*(1+Inputs!$B$7)^(DX$2-1)</f>
        <v>2486.24530178663</v>
      </c>
      <c r="DY84" s="11" t="n">
        <f aca="false">Units!$E83*(1+Inputs!$B$7)^(DY$2-1)</f>
        <v>2486.24530178663</v>
      </c>
      <c r="DZ84" s="11" t="n">
        <f aca="false">Units!$E83*(1+Inputs!$B$7)^(DZ$2-1)</f>
        <v>2486.24530178663</v>
      </c>
      <c r="EA84" s="11" t="n">
        <f aca="false">Units!$E83*(1+Inputs!$B$7)^(EA$2-1)</f>
        <v>2486.24530178663</v>
      </c>
      <c r="EB84" s="11" t="n">
        <f aca="false">Units!$E83*(1+Inputs!$B$7)^(EB$2-1)</f>
        <v>2486.24530178663</v>
      </c>
      <c r="EC84" s="11" t="n">
        <f aca="false">Units!$E83*(1+Inputs!$B$7)^(EC$2-1)</f>
        <v>2486.24530178663</v>
      </c>
      <c r="ED84" s="11" t="n">
        <f aca="false">Units!$E83*(1+Inputs!$B$7)^(ED$2-1)</f>
        <v>2486.24530178663</v>
      </c>
    </row>
    <row r="85" customFormat="false" ht="15" hidden="false" customHeight="false" outlineLevel="0" collapsed="false">
      <c r="A85" s="22" t="n">
        <f aca="false">Units!A84</f>
        <v>323</v>
      </c>
      <c r="B85" s="23"/>
      <c r="C85" s="11" t="n">
        <f aca="false">Units!$E84*(1+Inputs!$B$7)^(C$2-1)</f>
        <v>1850</v>
      </c>
      <c r="D85" s="11" t="n">
        <f aca="false">Units!$E84*(1+Inputs!$B$7)^(D$2-1)</f>
        <v>1850</v>
      </c>
      <c r="E85" s="11" t="n">
        <f aca="false">Units!$E84*(1+Inputs!$B$7)^(E$2-1)</f>
        <v>1850</v>
      </c>
      <c r="F85" s="11" t="n">
        <f aca="false">Units!$E84*(1+Inputs!$B$7)^(F$2-1)</f>
        <v>1850</v>
      </c>
      <c r="G85" s="11" t="n">
        <f aca="false">Units!$E84*(1+Inputs!$B$7)^(G$2-1)</f>
        <v>1850</v>
      </c>
      <c r="H85" s="11" t="n">
        <f aca="false">Units!$E84*(1+Inputs!$B$7)^(H$2-1)</f>
        <v>1850</v>
      </c>
      <c r="I85" s="11" t="n">
        <f aca="false">Units!$E84*(1+Inputs!$B$7)^(I$2-1)</f>
        <v>1850</v>
      </c>
      <c r="J85" s="11" t="n">
        <f aca="false">Units!$E84*(1+Inputs!$B$7)^(J$2-1)</f>
        <v>1850</v>
      </c>
      <c r="K85" s="11" t="n">
        <f aca="false">Units!$E84*(1+Inputs!$B$7)^(K$2-1)</f>
        <v>1850</v>
      </c>
      <c r="L85" s="11" t="n">
        <f aca="false">Units!$E84*(1+Inputs!$B$7)^(L$2-1)</f>
        <v>1850</v>
      </c>
      <c r="M85" s="11" t="n">
        <f aca="false">Units!$E84*(1+Inputs!$B$7)^(M$2-1)</f>
        <v>1850</v>
      </c>
      <c r="N85" s="11" t="n">
        <f aca="false">Units!$E84*(1+Inputs!$B$7)^(N$2-1)</f>
        <v>1850</v>
      </c>
      <c r="O85" s="11" t="n">
        <f aca="false">Units!$E84*(1+Inputs!$B$7)^(O$2-1)</f>
        <v>1905.5</v>
      </c>
      <c r="P85" s="11" t="n">
        <f aca="false">Units!$E84*(1+Inputs!$B$7)^(P$2-1)</f>
        <v>1905.5</v>
      </c>
      <c r="Q85" s="11" t="n">
        <f aca="false">Units!$E84*(1+Inputs!$B$7)^(Q$2-1)</f>
        <v>1905.5</v>
      </c>
      <c r="R85" s="11" t="n">
        <f aca="false">Units!$E84*(1+Inputs!$B$7)^(R$2-1)</f>
        <v>1905.5</v>
      </c>
      <c r="S85" s="11" t="n">
        <f aca="false">Units!$E84*(1+Inputs!$B$7)^(S$2-1)</f>
        <v>1905.5</v>
      </c>
      <c r="T85" s="11" t="n">
        <f aca="false">Units!$E84*(1+Inputs!$B$7)^(T$2-1)</f>
        <v>1905.5</v>
      </c>
      <c r="U85" s="11" t="n">
        <f aca="false">Units!$E84*(1+Inputs!$B$7)^(U$2-1)</f>
        <v>1905.5</v>
      </c>
      <c r="V85" s="11" t="n">
        <f aca="false">Units!$E84*(1+Inputs!$B$7)^(V$2-1)</f>
        <v>1905.5</v>
      </c>
      <c r="W85" s="11" t="n">
        <f aca="false">Units!$E84*(1+Inputs!$B$7)^(W$2-1)</f>
        <v>1905.5</v>
      </c>
      <c r="X85" s="11" t="n">
        <f aca="false">Units!$E84*(1+Inputs!$B$7)^(X$2-1)</f>
        <v>1905.5</v>
      </c>
      <c r="Y85" s="11" t="n">
        <f aca="false">Units!$E84*(1+Inputs!$B$7)^(Y$2-1)</f>
        <v>1905.5</v>
      </c>
      <c r="Z85" s="11" t="n">
        <f aca="false">Units!$E84*(1+Inputs!$B$7)^(Z$2-1)</f>
        <v>1905.5</v>
      </c>
      <c r="AA85" s="11" t="n">
        <f aca="false">Units!$E84*(1+Inputs!$B$7)^(AA$2-1)</f>
        <v>1962.665</v>
      </c>
      <c r="AB85" s="11" t="n">
        <f aca="false">Units!$E84*(1+Inputs!$B$7)^(AB$2-1)</f>
        <v>1962.665</v>
      </c>
      <c r="AC85" s="11" t="n">
        <f aca="false">Units!$E84*(1+Inputs!$B$7)^(AC$2-1)</f>
        <v>1962.665</v>
      </c>
      <c r="AD85" s="11" t="n">
        <f aca="false">Units!$E84*(1+Inputs!$B$7)^(AD$2-1)</f>
        <v>1962.665</v>
      </c>
      <c r="AE85" s="11" t="n">
        <f aca="false">Units!$E84*(1+Inputs!$B$7)^(AE$2-1)</f>
        <v>1962.665</v>
      </c>
      <c r="AF85" s="11" t="n">
        <f aca="false">Units!$E84*(1+Inputs!$B$7)^(AF$2-1)</f>
        <v>1962.665</v>
      </c>
      <c r="AG85" s="11" t="n">
        <f aca="false">Units!$E84*(1+Inputs!$B$7)^(AG$2-1)</f>
        <v>1962.665</v>
      </c>
      <c r="AH85" s="11" t="n">
        <f aca="false">Units!$E84*(1+Inputs!$B$7)^(AH$2-1)</f>
        <v>1962.665</v>
      </c>
      <c r="AI85" s="11" t="n">
        <f aca="false">Units!$E84*(1+Inputs!$B$7)^(AI$2-1)</f>
        <v>1962.665</v>
      </c>
      <c r="AJ85" s="11" t="n">
        <f aca="false">Units!$E84*(1+Inputs!$B$7)^(AJ$2-1)</f>
        <v>1962.665</v>
      </c>
      <c r="AK85" s="11" t="n">
        <f aca="false">Units!$E84*(1+Inputs!$B$7)^(AK$2-1)</f>
        <v>1962.665</v>
      </c>
      <c r="AL85" s="11" t="n">
        <f aca="false">Units!$E84*(1+Inputs!$B$7)^(AL$2-1)</f>
        <v>1962.665</v>
      </c>
      <c r="AM85" s="11" t="n">
        <f aca="false">Units!$E84*(1+Inputs!$B$7)^(AM$2-1)</f>
        <v>2021.54495</v>
      </c>
      <c r="AN85" s="11" t="n">
        <f aca="false">Units!$E84*(1+Inputs!$B$7)^(AN$2-1)</f>
        <v>2021.54495</v>
      </c>
      <c r="AO85" s="11" t="n">
        <f aca="false">Units!$E84*(1+Inputs!$B$7)^(AO$2-1)</f>
        <v>2021.54495</v>
      </c>
      <c r="AP85" s="11" t="n">
        <f aca="false">Units!$E84*(1+Inputs!$B$7)^(AP$2-1)</f>
        <v>2021.54495</v>
      </c>
      <c r="AQ85" s="11" t="n">
        <f aca="false">Units!$E84*(1+Inputs!$B$7)^(AQ$2-1)</f>
        <v>2021.54495</v>
      </c>
      <c r="AR85" s="11" t="n">
        <f aca="false">Units!$E84*(1+Inputs!$B$7)^(AR$2-1)</f>
        <v>2021.54495</v>
      </c>
      <c r="AS85" s="11" t="n">
        <f aca="false">Units!$E84*(1+Inputs!$B$7)^(AS$2-1)</f>
        <v>2021.54495</v>
      </c>
      <c r="AT85" s="11" t="n">
        <f aca="false">Units!$E84*(1+Inputs!$B$7)^(AT$2-1)</f>
        <v>2021.54495</v>
      </c>
      <c r="AU85" s="11" t="n">
        <f aca="false">Units!$E84*(1+Inputs!$B$7)^(AU$2-1)</f>
        <v>2021.54495</v>
      </c>
      <c r="AV85" s="11" t="n">
        <f aca="false">Units!$E84*(1+Inputs!$B$7)^(AV$2-1)</f>
        <v>2021.54495</v>
      </c>
      <c r="AW85" s="11" t="n">
        <f aca="false">Units!$E84*(1+Inputs!$B$7)^(AW$2-1)</f>
        <v>2021.54495</v>
      </c>
      <c r="AX85" s="11" t="n">
        <f aca="false">Units!$E84*(1+Inputs!$B$7)^(AX$2-1)</f>
        <v>2021.54495</v>
      </c>
      <c r="AY85" s="11" t="n">
        <f aca="false">Units!$E84*(1+Inputs!$B$7)^(AY$2-1)</f>
        <v>2082.1912985</v>
      </c>
      <c r="AZ85" s="11" t="n">
        <f aca="false">Units!$E84*(1+Inputs!$B$7)^(AZ$2-1)</f>
        <v>2082.1912985</v>
      </c>
      <c r="BA85" s="11" t="n">
        <f aca="false">Units!$E84*(1+Inputs!$B$7)^(BA$2-1)</f>
        <v>2082.1912985</v>
      </c>
      <c r="BB85" s="11" t="n">
        <f aca="false">Units!$E84*(1+Inputs!$B$7)^(BB$2-1)</f>
        <v>2082.1912985</v>
      </c>
      <c r="BC85" s="11" t="n">
        <f aca="false">Units!$E84*(1+Inputs!$B$7)^(BC$2-1)</f>
        <v>2082.1912985</v>
      </c>
      <c r="BD85" s="11" t="n">
        <f aca="false">Units!$E84*(1+Inputs!$B$7)^(BD$2-1)</f>
        <v>2082.1912985</v>
      </c>
      <c r="BE85" s="11" t="n">
        <f aca="false">Units!$E84*(1+Inputs!$B$7)^(BE$2-1)</f>
        <v>2082.1912985</v>
      </c>
      <c r="BF85" s="11" t="n">
        <f aca="false">Units!$E84*(1+Inputs!$B$7)^(BF$2-1)</f>
        <v>2082.1912985</v>
      </c>
      <c r="BG85" s="11" t="n">
        <f aca="false">Units!$E84*(1+Inputs!$B$7)^(BG$2-1)</f>
        <v>2082.1912985</v>
      </c>
      <c r="BH85" s="11" t="n">
        <f aca="false">Units!$E84*(1+Inputs!$B$7)^(BH$2-1)</f>
        <v>2082.1912985</v>
      </c>
      <c r="BI85" s="11" t="n">
        <f aca="false">Units!$E84*(1+Inputs!$B$7)^(BI$2-1)</f>
        <v>2082.1912985</v>
      </c>
      <c r="BJ85" s="11" t="n">
        <f aca="false">Units!$E84*(1+Inputs!$B$7)^(BJ$2-1)</f>
        <v>2082.1912985</v>
      </c>
      <c r="BK85" s="11" t="n">
        <f aca="false">Units!$E84*(1+Inputs!$B$7)^(BK$2-1)</f>
        <v>2144.657037455</v>
      </c>
      <c r="BL85" s="11" t="n">
        <f aca="false">Units!$E84*(1+Inputs!$B$7)^(BL$2-1)</f>
        <v>2144.657037455</v>
      </c>
      <c r="BM85" s="11" t="n">
        <f aca="false">Units!$E84*(1+Inputs!$B$7)^(BM$2-1)</f>
        <v>2144.657037455</v>
      </c>
      <c r="BN85" s="11" t="n">
        <f aca="false">Units!$E84*(1+Inputs!$B$7)^(BN$2-1)</f>
        <v>2144.657037455</v>
      </c>
      <c r="BO85" s="11" t="n">
        <f aca="false">Units!$E84*(1+Inputs!$B$7)^(BO$2-1)</f>
        <v>2144.657037455</v>
      </c>
      <c r="BP85" s="11" t="n">
        <f aca="false">Units!$E84*(1+Inputs!$B$7)^(BP$2-1)</f>
        <v>2144.657037455</v>
      </c>
      <c r="BQ85" s="11" t="n">
        <f aca="false">Units!$E84*(1+Inputs!$B$7)^(BQ$2-1)</f>
        <v>2144.657037455</v>
      </c>
      <c r="BR85" s="11" t="n">
        <f aca="false">Units!$E84*(1+Inputs!$B$7)^(BR$2-1)</f>
        <v>2144.657037455</v>
      </c>
      <c r="BS85" s="11" t="n">
        <f aca="false">Units!$E84*(1+Inputs!$B$7)^(BS$2-1)</f>
        <v>2144.657037455</v>
      </c>
      <c r="BT85" s="11" t="n">
        <f aca="false">Units!$E84*(1+Inputs!$B$7)^(BT$2-1)</f>
        <v>2144.657037455</v>
      </c>
      <c r="BU85" s="11" t="n">
        <f aca="false">Units!$E84*(1+Inputs!$B$7)^(BU$2-1)</f>
        <v>2144.657037455</v>
      </c>
      <c r="BV85" s="11" t="n">
        <f aca="false">Units!$E84*(1+Inputs!$B$7)^(BV$2-1)</f>
        <v>2144.657037455</v>
      </c>
      <c r="BW85" s="11" t="n">
        <f aca="false">Units!$E84*(1+Inputs!$B$7)^(BW$2-1)</f>
        <v>2208.99674857865</v>
      </c>
      <c r="BX85" s="11" t="n">
        <f aca="false">Units!$E84*(1+Inputs!$B$7)^(BX$2-1)</f>
        <v>2208.99674857865</v>
      </c>
      <c r="BY85" s="11" t="n">
        <f aca="false">Units!$E84*(1+Inputs!$B$7)^(BY$2-1)</f>
        <v>2208.99674857865</v>
      </c>
      <c r="BZ85" s="11" t="n">
        <f aca="false">Units!$E84*(1+Inputs!$B$7)^(BZ$2-1)</f>
        <v>2208.99674857865</v>
      </c>
      <c r="CA85" s="11" t="n">
        <f aca="false">Units!$E84*(1+Inputs!$B$7)^(CA$2-1)</f>
        <v>2208.99674857865</v>
      </c>
      <c r="CB85" s="11" t="n">
        <f aca="false">Units!$E84*(1+Inputs!$B$7)^(CB$2-1)</f>
        <v>2208.99674857865</v>
      </c>
      <c r="CC85" s="11" t="n">
        <f aca="false">Units!$E84*(1+Inputs!$B$7)^(CC$2-1)</f>
        <v>2208.99674857865</v>
      </c>
      <c r="CD85" s="11" t="n">
        <f aca="false">Units!$E84*(1+Inputs!$B$7)^(CD$2-1)</f>
        <v>2208.99674857865</v>
      </c>
      <c r="CE85" s="11" t="n">
        <f aca="false">Units!$E84*(1+Inputs!$B$7)^(CE$2-1)</f>
        <v>2208.99674857865</v>
      </c>
      <c r="CF85" s="11" t="n">
        <f aca="false">Units!$E84*(1+Inputs!$B$7)^(CF$2-1)</f>
        <v>2208.99674857865</v>
      </c>
      <c r="CG85" s="11" t="n">
        <f aca="false">Units!$E84*(1+Inputs!$B$7)^(CG$2-1)</f>
        <v>2208.99674857865</v>
      </c>
      <c r="CH85" s="11" t="n">
        <f aca="false">Units!$E84*(1+Inputs!$B$7)^(CH$2-1)</f>
        <v>2208.99674857865</v>
      </c>
      <c r="CI85" s="11" t="n">
        <f aca="false">Units!$E84*(1+Inputs!$B$7)^(CI$2-1)</f>
        <v>2275.26665103601</v>
      </c>
      <c r="CJ85" s="11" t="n">
        <f aca="false">Units!$E84*(1+Inputs!$B$7)^(CJ$2-1)</f>
        <v>2275.26665103601</v>
      </c>
      <c r="CK85" s="11" t="n">
        <f aca="false">Units!$E84*(1+Inputs!$B$7)^(CK$2-1)</f>
        <v>2275.26665103601</v>
      </c>
      <c r="CL85" s="11" t="n">
        <f aca="false">Units!$E84*(1+Inputs!$B$7)^(CL$2-1)</f>
        <v>2275.26665103601</v>
      </c>
      <c r="CM85" s="11" t="n">
        <f aca="false">Units!$E84*(1+Inputs!$B$7)^(CM$2-1)</f>
        <v>2275.26665103601</v>
      </c>
      <c r="CN85" s="11" t="n">
        <f aca="false">Units!$E84*(1+Inputs!$B$7)^(CN$2-1)</f>
        <v>2275.26665103601</v>
      </c>
      <c r="CO85" s="11" t="n">
        <f aca="false">Units!$E84*(1+Inputs!$B$7)^(CO$2-1)</f>
        <v>2275.26665103601</v>
      </c>
      <c r="CP85" s="11" t="n">
        <f aca="false">Units!$E84*(1+Inputs!$B$7)^(CP$2-1)</f>
        <v>2275.26665103601</v>
      </c>
      <c r="CQ85" s="11" t="n">
        <f aca="false">Units!$E84*(1+Inputs!$B$7)^(CQ$2-1)</f>
        <v>2275.26665103601</v>
      </c>
      <c r="CR85" s="11" t="n">
        <f aca="false">Units!$E84*(1+Inputs!$B$7)^(CR$2-1)</f>
        <v>2275.26665103601</v>
      </c>
      <c r="CS85" s="11" t="n">
        <f aca="false">Units!$E84*(1+Inputs!$B$7)^(CS$2-1)</f>
        <v>2275.26665103601</v>
      </c>
      <c r="CT85" s="11" t="n">
        <f aca="false">Units!$E84*(1+Inputs!$B$7)^(CT$2-1)</f>
        <v>2275.26665103601</v>
      </c>
      <c r="CU85" s="11" t="n">
        <f aca="false">Units!$E84*(1+Inputs!$B$7)^(CU$2-1)</f>
        <v>2343.52465056709</v>
      </c>
      <c r="CV85" s="11" t="n">
        <f aca="false">Units!$E84*(1+Inputs!$B$7)^(CV$2-1)</f>
        <v>2343.52465056709</v>
      </c>
      <c r="CW85" s="11" t="n">
        <f aca="false">Units!$E84*(1+Inputs!$B$7)^(CW$2-1)</f>
        <v>2343.52465056709</v>
      </c>
      <c r="CX85" s="11" t="n">
        <f aca="false">Units!$E84*(1+Inputs!$B$7)^(CX$2-1)</f>
        <v>2343.52465056709</v>
      </c>
      <c r="CY85" s="11" t="n">
        <f aca="false">Units!$E84*(1+Inputs!$B$7)^(CY$2-1)</f>
        <v>2343.52465056709</v>
      </c>
      <c r="CZ85" s="11" t="n">
        <f aca="false">Units!$E84*(1+Inputs!$B$7)^(CZ$2-1)</f>
        <v>2343.52465056709</v>
      </c>
      <c r="DA85" s="11" t="n">
        <f aca="false">Units!$E84*(1+Inputs!$B$7)^(DA$2-1)</f>
        <v>2343.52465056709</v>
      </c>
      <c r="DB85" s="11" t="n">
        <f aca="false">Units!$E84*(1+Inputs!$B$7)^(DB$2-1)</f>
        <v>2343.52465056709</v>
      </c>
      <c r="DC85" s="11" t="n">
        <f aca="false">Units!$E84*(1+Inputs!$B$7)^(DC$2-1)</f>
        <v>2343.52465056709</v>
      </c>
      <c r="DD85" s="11" t="n">
        <f aca="false">Units!$E84*(1+Inputs!$B$7)^(DD$2-1)</f>
        <v>2343.52465056709</v>
      </c>
      <c r="DE85" s="11" t="n">
        <f aca="false">Units!$E84*(1+Inputs!$B$7)^(DE$2-1)</f>
        <v>2343.52465056709</v>
      </c>
      <c r="DF85" s="11" t="n">
        <f aca="false">Units!$E84*(1+Inputs!$B$7)^(DF$2-1)</f>
        <v>2343.52465056709</v>
      </c>
      <c r="DG85" s="11" t="n">
        <f aca="false">Units!$E84*(1+Inputs!$B$7)^(DG$2-1)</f>
        <v>2413.8303900841</v>
      </c>
      <c r="DH85" s="11" t="n">
        <f aca="false">Units!$E84*(1+Inputs!$B$7)^(DH$2-1)</f>
        <v>2413.8303900841</v>
      </c>
      <c r="DI85" s="11" t="n">
        <f aca="false">Units!$E84*(1+Inputs!$B$7)^(DI$2-1)</f>
        <v>2413.8303900841</v>
      </c>
      <c r="DJ85" s="11" t="n">
        <f aca="false">Units!$E84*(1+Inputs!$B$7)^(DJ$2-1)</f>
        <v>2413.8303900841</v>
      </c>
      <c r="DK85" s="11" t="n">
        <f aca="false">Units!$E84*(1+Inputs!$B$7)^(DK$2-1)</f>
        <v>2413.8303900841</v>
      </c>
      <c r="DL85" s="11" t="n">
        <f aca="false">Units!$E84*(1+Inputs!$B$7)^(DL$2-1)</f>
        <v>2413.8303900841</v>
      </c>
      <c r="DM85" s="11" t="n">
        <f aca="false">Units!$E84*(1+Inputs!$B$7)^(DM$2-1)</f>
        <v>2413.8303900841</v>
      </c>
      <c r="DN85" s="11" t="n">
        <f aca="false">Units!$E84*(1+Inputs!$B$7)^(DN$2-1)</f>
        <v>2413.8303900841</v>
      </c>
      <c r="DO85" s="11" t="n">
        <f aca="false">Units!$E84*(1+Inputs!$B$7)^(DO$2-1)</f>
        <v>2413.8303900841</v>
      </c>
      <c r="DP85" s="11" t="n">
        <f aca="false">Units!$E84*(1+Inputs!$B$7)^(DP$2-1)</f>
        <v>2413.8303900841</v>
      </c>
      <c r="DQ85" s="11" t="n">
        <f aca="false">Units!$E84*(1+Inputs!$B$7)^(DQ$2-1)</f>
        <v>2413.8303900841</v>
      </c>
      <c r="DR85" s="11" t="n">
        <f aca="false">Units!$E84*(1+Inputs!$B$7)^(DR$2-1)</f>
        <v>2413.8303900841</v>
      </c>
      <c r="DS85" s="11" t="n">
        <f aca="false">Units!$E84*(1+Inputs!$B$7)^(DS$2-1)</f>
        <v>2486.24530178663</v>
      </c>
      <c r="DT85" s="11" t="n">
        <f aca="false">Units!$E84*(1+Inputs!$B$7)^(DT$2-1)</f>
        <v>2486.24530178663</v>
      </c>
      <c r="DU85" s="11" t="n">
        <f aca="false">Units!$E84*(1+Inputs!$B$7)^(DU$2-1)</f>
        <v>2486.24530178663</v>
      </c>
      <c r="DV85" s="11" t="n">
        <f aca="false">Units!$E84*(1+Inputs!$B$7)^(DV$2-1)</f>
        <v>2486.24530178663</v>
      </c>
      <c r="DW85" s="11" t="n">
        <f aca="false">Units!$E84*(1+Inputs!$B$7)^(DW$2-1)</f>
        <v>2486.24530178663</v>
      </c>
      <c r="DX85" s="11" t="n">
        <f aca="false">Units!$E84*(1+Inputs!$B$7)^(DX$2-1)</f>
        <v>2486.24530178663</v>
      </c>
      <c r="DY85" s="11" t="n">
        <f aca="false">Units!$E84*(1+Inputs!$B$7)^(DY$2-1)</f>
        <v>2486.24530178663</v>
      </c>
      <c r="DZ85" s="11" t="n">
        <f aca="false">Units!$E84*(1+Inputs!$B$7)^(DZ$2-1)</f>
        <v>2486.24530178663</v>
      </c>
      <c r="EA85" s="11" t="n">
        <f aca="false">Units!$E84*(1+Inputs!$B$7)^(EA$2-1)</f>
        <v>2486.24530178663</v>
      </c>
      <c r="EB85" s="11" t="n">
        <f aca="false">Units!$E84*(1+Inputs!$B$7)^(EB$2-1)</f>
        <v>2486.24530178663</v>
      </c>
      <c r="EC85" s="11" t="n">
        <f aca="false">Units!$E84*(1+Inputs!$B$7)^(EC$2-1)</f>
        <v>2486.24530178663</v>
      </c>
      <c r="ED85" s="11" t="n">
        <f aca="false">Units!$E84*(1+Inputs!$B$7)^(ED$2-1)</f>
        <v>2486.24530178663</v>
      </c>
    </row>
    <row r="86" customFormat="false" ht="15" hidden="false" customHeight="false" outlineLevel="0" collapsed="false">
      <c r="A86" s="22" t="n">
        <f aca="false">Units!A85</f>
        <v>324</v>
      </c>
      <c r="B86" s="23"/>
      <c r="C86" s="11" t="n">
        <f aca="false">Units!$E85*(1+Inputs!$B$7)^(C$2-1)</f>
        <v>1850</v>
      </c>
      <c r="D86" s="11" t="n">
        <f aca="false">Units!$E85*(1+Inputs!$B$7)^(D$2-1)</f>
        <v>1850</v>
      </c>
      <c r="E86" s="11" t="n">
        <f aca="false">Units!$E85*(1+Inputs!$B$7)^(E$2-1)</f>
        <v>1850</v>
      </c>
      <c r="F86" s="11" t="n">
        <f aca="false">Units!$E85*(1+Inputs!$B$7)^(F$2-1)</f>
        <v>1850</v>
      </c>
      <c r="G86" s="11" t="n">
        <f aca="false">Units!$E85*(1+Inputs!$B$7)^(G$2-1)</f>
        <v>1850</v>
      </c>
      <c r="H86" s="11" t="n">
        <f aca="false">Units!$E85*(1+Inputs!$B$7)^(H$2-1)</f>
        <v>1850</v>
      </c>
      <c r="I86" s="11" t="n">
        <f aca="false">Units!$E85*(1+Inputs!$B$7)^(I$2-1)</f>
        <v>1850</v>
      </c>
      <c r="J86" s="11" t="n">
        <f aca="false">Units!$E85*(1+Inputs!$B$7)^(J$2-1)</f>
        <v>1850</v>
      </c>
      <c r="K86" s="11" t="n">
        <f aca="false">Units!$E85*(1+Inputs!$B$7)^(K$2-1)</f>
        <v>1850</v>
      </c>
      <c r="L86" s="11" t="n">
        <f aca="false">Units!$E85*(1+Inputs!$B$7)^(L$2-1)</f>
        <v>1850</v>
      </c>
      <c r="M86" s="11" t="n">
        <f aca="false">Units!$E85*(1+Inputs!$B$7)^(M$2-1)</f>
        <v>1850</v>
      </c>
      <c r="N86" s="11" t="n">
        <f aca="false">Units!$E85*(1+Inputs!$B$7)^(N$2-1)</f>
        <v>1850</v>
      </c>
      <c r="O86" s="11" t="n">
        <f aca="false">Units!$E85*(1+Inputs!$B$7)^(O$2-1)</f>
        <v>1905.5</v>
      </c>
      <c r="P86" s="11" t="n">
        <f aca="false">Units!$E85*(1+Inputs!$B$7)^(P$2-1)</f>
        <v>1905.5</v>
      </c>
      <c r="Q86" s="11" t="n">
        <f aca="false">Units!$E85*(1+Inputs!$B$7)^(Q$2-1)</f>
        <v>1905.5</v>
      </c>
      <c r="R86" s="11" t="n">
        <f aca="false">Units!$E85*(1+Inputs!$B$7)^(R$2-1)</f>
        <v>1905.5</v>
      </c>
      <c r="S86" s="11" t="n">
        <f aca="false">Units!$E85*(1+Inputs!$B$7)^(S$2-1)</f>
        <v>1905.5</v>
      </c>
      <c r="T86" s="11" t="n">
        <f aca="false">Units!$E85*(1+Inputs!$B$7)^(T$2-1)</f>
        <v>1905.5</v>
      </c>
      <c r="U86" s="11" t="n">
        <f aca="false">Units!$E85*(1+Inputs!$B$7)^(U$2-1)</f>
        <v>1905.5</v>
      </c>
      <c r="V86" s="11" t="n">
        <f aca="false">Units!$E85*(1+Inputs!$B$7)^(V$2-1)</f>
        <v>1905.5</v>
      </c>
      <c r="W86" s="11" t="n">
        <f aca="false">Units!$E85*(1+Inputs!$B$7)^(W$2-1)</f>
        <v>1905.5</v>
      </c>
      <c r="X86" s="11" t="n">
        <f aca="false">Units!$E85*(1+Inputs!$B$7)^(X$2-1)</f>
        <v>1905.5</v>
      </c>
      <c r="Y86" s="11" t="n">
        <f aca="false">Units!$E85*(1+Inputs!$B$7)^(Y$2-1)</f>
        <v>1905.5</v>
      </c>
      <c r="Z86" s="11" t="n">
        <f aca="false">Units!$E85*(1+Inputs!$B$7)^(Z$2-1)</f>
        <v>1905.5</v>
      </c>
      <c r="AA86" s="11" t="n">
        <f aca="false">Units!$E85*(1+Inputs!$B$7)^(AA$2-1)</f>
        <v>1962.665</v>
      </c>
      <c r="AB86" s="11" t="n">
        <f aca="false">Units!$E85*(1+Inputs!$B$7)^(AB$2-1)</f>
        <v>1962.665</v>
      </c>
      <c r="AC86" s="11" t="n">
        <f aca="false">Units!$E85*(1+Inputs!$B$7)^(AC$2-1)</f>
        <v>1962.665</v>
      </c>
      <c r="AD86" s="11" t="n">
        <f aca="false">Units!$E85*(1+Inputs!$B$7)^(AD$2-1)</f>
        <v>1962.665</v>
      </c>
      <c r="AE86" s="11" t="n">
        <f aca="false">Units!$E85*(1+Inputs!$B$7)^(AE$2-1)</f>
        <v>1962.665</v>
      </c>
      <c r="AF86" s="11" t="n">
        <f aca="false">Units!$E85*(1+Inputs!$B$7)^(AF$2-1)</f>
        <v>1962.665</v>
      </c>
      <c r="AG86" s="11" t="n">
        <f aca="false">Units!$E85*(1+Inputs!$B$7)^(AG$2-1)</f>
        <v>1962.665</v>
      </c>
      <c r="AH86" s="11" t="n">
        <f aca="false">Units!$E85*(1+Inputs!$B$7)^(AH$2-1)</f>
        <v>1962.665</v>
      </c>
      <c r="AI86" s="11" t="n">
        <f aca="false">Units!$E85*(1+Inputs!$B$7)^(AI$2-1)</f>
        <v>1962.665</v>
      </c>
      <c r="AJ86" s="11" t="n">
        <f aca="false">Units!$E85*(1+Inputs!$B$7)^(AJ$2-1)</f>
        <v>1962.665</v>
      </c>
      <c r="AK86" s="11" t="n">
        <f aca="false">Units!$E85*(1+Inputs!$B$7)^(AK$2-1)</f>
        <v>1962.665</v>
      </c>
      <c r="AL86" s="11" t="n">
        <f aca="false">Units!$E85*(1+Inputs!$B$7)^(AL$2-1)</f>
        <v>1962.665</v>
      </c>
      <c r="AM86" s="11" t="n">
        <f aca="false">Units!$E85*(1+Inputs!$B$7)^(AM$2-1)</f>
        <v>2021.54495</v>
      </c>
      <c r="AN86" s="11" t="n">
        <f aca="false">Units!$E85*(1+Inputs!$B$7)^(AN$2-1)</f>
        <v>2021.54495</v>
      </c>
      <c r="AO86" s="11" t="n">
        <f aca="false">Units!$E85*(1+Inputs!$B$7)^(AO$2-1)</f>
        <v>2021.54495</v>
      </c>
      <c r="AP86" s="11" t="n">
        <f aca="false">Units!$E85*(1+Inputs!$B$7)^(AP$2-1)</f>
        <v>2021.54495</v>
      </c>
      <c r="AQ86" s="11" t="n">
        <f aca="false">Units!$E85*(1+Inputs!$B$7)^(AQ$2-1)</f>
        <v>2021.54495</v>
      </c>
      <c r="AR86" s="11" t="n">
        <f aca="false">Units!$E85*(1+Inputs!$B$7)^(AR$2-1)</f>
        <v>2021.54495</v>
      </c>
      <c r="AS86" s="11" t="n">
        <f aca="false">Units!$E85*(1+Inputs!$B$7)^(AS$2-1)</f>
        <v>2021.54495</v>
      </c>
      <c r="AT86" s="11" t="n">
        <f aca="false">Units!$E85*(1+Inputs!$B$7)^(AT$2-1)</f>
        <v>2021.54495</v>
      </c>
      <c r="AU86" s="11" t="n">
        <f aca="false">Units!$E85*(1+Inputs!$B$7)^(AU$2-1)</f>
        <v>2021.54495</v>
      </c>
      <c r="AV86" s="11" t="n">
        <f aca="false">Units!$E85*(1+Inputs!$B$7)^(AV$2-1)</f>
        <v>2021.54495</v>
      </c>
      <c r="AW86" s="11" t="n">
        <f aca="false">Units!$E85*(1+Inputs!$B$7)^(AW$2-1)</f>
        <v>2021.54495</v>
      </c>
      <c r="AX86" s="11" t="n">
        <f aca="false">Units!$E85*(1+Inputs!$B$7)^(AX$2-1)</f>
        <v>2021.54495</v>
      </c>
      <c r="AY86" s="11" t="n">
        <f aca="false">Units!$E85*(1+Inputs!$B$7)^(AY$2-1)</f>
        <v>2082.1912985</v>
      </c>
      <c r="AZ86" s="11" t="n">
        <f aca="false">Units!$E85*(1+Inputs!$B$7)^(AZ$2-1)</f>
        <v>2082.1912985</v>
      </c>
      <c r="BA86" s="11" t="n">
        <f aca="false">Units!$E85*(1+Inputs!$B$7)^(BA$2-1)</f>
        <v>2082.1912985</v>
      </c>
      <c r="BB86" s="11" t="n">
        <f aca="false">Units!$E85*(1+Inputs!$B$7)^(BB$2-1)</f>
        <v>2082.1912985</v>
      </c>
      <c r="BC86" s="11" t="n">
        <f aca="false">Units!$E85*(1+Inputs!$B$7)^(BC$2-1)</f>
        <v>2082.1912985</v>
      </c>
      <c r="BD86" s="11" t="n">
        <f aca="false">Units!$E85*(1+Inputs!$B$7)^(BD$2-1)</f>
        <v>2082.1912985</v>
      </c>
      <c r="BE86" s="11" t="n">
        <f aca="false">Units!$E85*(1+Inputs!$B$7)^(BE$2-1)</f>
        <v>2082.1912985</v>
      </c>
      <c r="BF86" s="11" t="n">
        <f aca="false">Units!$E85*(1+Inputs!$B$7)^(BF$2-1)</f>
        <v>2082.1912985</v>
      </c>
      <c r="BG86" s="11" t="n">
        <f aca="false">Units!$E85*(1+Inputs!$B$7)^(BG$2-1)</f>
        <v>2082.1912985</v>
      </c>
      <c r="BH86" s="11" t="n">
        <f aca="false">Units!$E85*(1+Inputs!$B$7)^(BH$2-1)</f>
        <v>2082.1912985</v>
      </c>
      <c r="BI86" s="11" t="n">
        <f aca="false">Units!$E85*(1+Inputs!$B$7)^(BI$2-1)</f>
        <v>2082.1912985</v>
      </c>
      <c r="BJ86" s="11" t="n">
        <f aca="false">Units!$E85*(1+Inputs!$B$7)^(BJ$2-1)</f>
        <v>2082.1912985</v>
      </c>
      <c r="BK86" s="11" t="n">
        <f aca="false">Units!$E85*(1+Inputs!$B$7)^(BK$2-1)</f>
        <v>2144.657037455</v>
      </c>
      <c r="BL86" s="11" t="n">
        <f aca="false">Units!$E85*(1+Inputs!$B$7)^(BL$2-1)</f>
        <v>2144.657037455</v>
      </c>
      <c r="BM86" s="11" t="n">
        <f aca="false">Units!$E85*(1+Inputs!$B$7)^(BM$2-1)</f>
        <v>2144.657037455</v>
      </c>
      <c r="BN86" s="11" t="n">
        <f aca="false">Units!$E85*(1+Inputs!$B$7)^(BN$2-1)</f>
        <v>2144.657037455</v>
      </c>
      <c r="BO86" s="11" t="n">
        <f aca="false">Units!$E85*(1+Inputs!$B$7)^(BO$2-1)</f>
        <v>2144.657037455</v>
      </c>
      <c r="BP86" s="11" t="n">
        <f aca="false">Units!$E85*(1+Inputs!$B$7)^(BP$2-1)</f>
        <v>2144.657037455</v>
      </c>
      <c r="BQ86" s="11" t="n">
        <f aca="false">Units!$E85*(1+Inputs!$B$7)^(BQ$2-1)</f>
        <v>2144.657037455</v>
      </c>
      <c r="BR86" s="11" t="n">
        <f aca="false">Units!$E85*(1+Inputs!$B$7)^(BR$2-1)</f>
        <v>2144.657037455</v>
      </c>
      <c r="BS86" s="11" t="n">
        <f aca="false">Units!$E85*(1+Inputs!$B$7)^(BS$2-1)</f>
        <v>2144.657037455</v>
      </c>
      <c r="BT86" s="11" t="n">
        <f aca="false">Units!$E85*(1+Inputs!$B$7)^(BT$2-1)</f>
        <v>2144.657037455</v>
      </c>
      <c r="BU86" s="11" t="n">
        <f aca="false">Units!$E85*(1+Inputs!$B$7)^(BU$2-1)</f>
        <v>2144.657037455</v>
      </c>
      <c r="BV86" s="11" t="n">
        <f aca="false">Units!$E85*(1+Inputs!$B$7)^(BV$2-1)</f>
        <v>2144.657037455</v>
      </c>
      <c r="BW86" s="11" t="n">
        <f aca="false">Units!$E85*(1+Inputs!$B$7)^(BW$2-1)</f>
        <v>2208.99674857865</v>
      </c>
      <c r="BX86" s="11" t="n">
        <f aca="false">Units!$E85*(1+Inputs!$B$7)^(BX$2-1)</f>
        <v>2208.99674857865</v>
      </c>
      <c r="BY86" s="11" t="n">
        <f aca="false">Units!$E85*(1+Inputs!$B$7)^(BY$2-1)</f>
        <v>2208.99674857865</v>
      </c>
      <c r="BZ86" s="11" t="n">
        <f aca="false">Units!$E85*(1+Inputs!$B$7)^(BZ$2-1)</f>
        <v>2208.99674857865</v>
      </c>
      <c r="CA86" s="11" t="n">
        <f aca="false">Units!$E85*(1+Inputs!$B$7)^(CA$2-1)</f>
        <v>2208.99674857865</v>
      </c>
      <c r="CB86" s="11" t="n">
        <f aca="false">Units!$E85*(1+Inputs!$B$7)^(CB$2-1)</f>
        <v>2208.99674857865</v>
      </c>
      <c r="CC86" s="11" t="n">
        <f aca="false">Units!$E85*(1+Inputs!$B$7)^(CC$2-1)</f>
        <v>2208.99674857865</v>
      </c>
      <c r="CD86" s="11" t="n">
        <f aca="false">Units!$E85*(1+Inputs!$B$7)^(CD$2-1)</f>
        <v>2208.99674857865</v>
      </c>
      <c r="CE86" s="11" t="n">
        <f aca="false">Units!$E85*(1+Inputs!$B$7)^(CE$2-1)</f>
        <v>2208.99674857865</v>
      </c>
      <c r="CF86" s="11" t="n">
        <f aca="false">Units!$E85*(1+Inputs!$B$7)^(CF$2-1)</f>
        <v>2208.99674857865</v>
      </c>
      <c r="CG86" s="11" t="n">
        <f aca="false">Units!$E85*(1+Inputs!$B$7)^(CG$2-1)</f>
        <v>2208.99674857865</v>
      </c>
      <c r="CH86" s="11" t="n">
        <f aca="false">Units!$E85*(1+Inputs!$B$7)^(CH$2-1)</f>
        <v>2208.99674857865</v>
      </c>
      <c r="CI86" s="11" t="n">
        <f aca="false">Units!$E85*(1+Inputs!$B$7)^(CI$2-1)</f>
        <v>2275.26665103601</v>
      </c>
      <c r="CJ86" s="11" t="n">
        <f aca="false">Units!$E85*(1+Inputs!$B$7)^(CJ$2-1)</f>
        <v>2275.26665103601</v>
      </c>
      <c r="CK86" s="11" t="n">
        <f aca="false">Units!$E85*(1+Inputs!$B$7)^(CK$2-1)</f>
        <v>2275.26665103601</v>
      </c>
      <c r="CL86" s="11" t="n">
        <f aca="false">Units!$E85*(1+Inputs!$B$7)^(CL$2-1)</f>
        <v>2275.26665103601</v>
      </c>
      <c r="CM86" s="11" t="n">
        <f aca="false">Units!$E85*(1+Inputs!$B$7)^(CM$2-1)</f>
        <v>2275.26665103601</v>
      </c>
      <c r="CN86" s="11" t="n">
        <f aca="false">Units!$E85*(1+Inputs!$B$7)^(CN$2-1)</f>
        <v>2275.26665103601</v>
      </c>
      <c r="CO86" s="11" t="n">
        <f aca="false">Units!$E85*(1+Inputs!$B$7)^(CO$2-1)</f>
        <v>2275.26665103601</v>
      </c>
      <c r="CP86" s="11" t="n">
        <f aca="false">Units!$E85*(1+Inputs!$B$7)^(CP$2-1)</f>
        <v>2275.26665103601</v>
      </c>
      <c r="CQ86" s="11" t="n">
        <f aca="false">Units!$E85*(1+Inputs!$B$7)^(CQ$2-1)</f>
        <v>2275.26665103601</v>
      </c>
      <c r="CR86" s="11" t="n">
        <f aca="false">Units!$E85*(1+Inputs!$B$7)^(CR$2-1)</f>
        <v>2275.26665103601</v>
      </c>
      <c r="CS86" s="11" t="n">
        <f aca="false">Units!$E85*(1+Inputs!$B$7)^(CS$2-1)</f>
        <v>2275.26665103601</v>
      </c>
      <c r="CT86" s="11" t="n">
        <f aca="false">Units!$E85*(1+Inputs!$B$7)^(CT$2-1)</f>
        <v>2275.26665103601</v>
      </c>
      <c r="CU86" s="11" t="n">
        <f aca="false">Units!$E85*(1+Inputs!$B$7)^(CU$2-1)</f>
        <v>2343.52465056709</v>
      </c>
      <c r="CV86" s="11" t="n">
        <f aca="false">Units!$E85*(1+Inputs!$B$7)^(CV$2-1)</f>
        <v>2343.52465056709</v>
      </c>
      <c r="CW86" s="11" t="n">
        <f aca="false">Units!$E85*(1+Inputs!$B$7)^(CW$2-1)</f>
        <v>2343.52465056709</v>
      </c>
      <c r="CX86" s="11" t="n">
        <f aca="false">Units!$E85*(1+Inputs!$B$7)^(CX$2-1)</f>
        <v>2343.52465056709</v>
      </c>
      <c r="CY86" s="11" t="n">
        <f aca="false">Units!$E85*(1+Inputs!$B$7)^(CY$2-1)</f>
        <v>2343.52465056709</v>
      </c>
      <c r="CZ86" s="11" t="n">
        <f aca="false">Units!$E85*(1+Inputs!$B$7)^(CZ$2-1)</f>
        <v>2343.52465056709</v>
      </c>
      <c r="DA86" s="11" t="n">
        <f aca="false">Units!$E85*(1+Inputs!$B$7)^(DA$2-1)</f>
        <v>2343.52465056709</v>
      </c>
      <c r="DB86" s="11" t="n">
        <f aca="false">Units!$E85*(1+Inputs!$B$7)^(DB$2-1)</f>
        <v>2343.52465056709</v>
      </c>
      <c r="DC86" s="11" t="n">
        <f aca="false">Units!$E85*(1+Inputs!$B$7)^(DC$2-1)</f>
        <v>2343.52465056709</v>
      </c>
      <c r="DD86" s="11" t="n">
        <f aca="false">Units!$E85*(1+Inputs!$B$7)^(DD$2-1)</f>
        <v>2343.52465056709</v>
      </c>
      <c r="DE86" s="11" t="n">
        <f aca="false">Units!$E85*(1+Inputs!$B$7)^(DE$2-1)</f>
        <v>2343.52465056709</v>
      </c>
      <c r="DF86" s="11" t="n">
        <f aca="false">Units!$E85*(1+Inputs!$B$7)^(DF$2-1)</f>
        <v>2343.52465056709</v>
      </c>
      <c r="DG86" s="11" t="n">
        <f aca="false">Units!$E85*(1+Inputs!$B$7)^(DG$2-1)</f>
        <v>2413.8303900841</v>
      </c>
      <c r="DH86" s="11" t="n">
        <f aca="false">Units!$E85*(1+Inputs!$B$7)^(DH$2-1)</f>
        <v>2413.8303900841</v>
      </c>
      <c r="DI86" s="11" t="n">
        <f aca="false">Units!$E85*(1+Inputs!$B$7)^(DI$2-1)</f>
        <v>2413.8303900841</v>
      </c>
      <c r="DJ86" s="11" t="n">
        <f aca="false">Units!$E85*(1+Inputs!$B$7)^(DJ$2-1)</f>
        <v>2413.8303900841</v>
      </c>
      <c r="DK86" s="11" t="n">
        <f aca="false">Units!$E85*(1+Inputs!$B$7)^(DK$2-1)</f>
        <v>2413.8303900841</v>
      </c>
      <c r="DL86" s="11" t="n">
        <f aca="false">Units!$E85*(1+Inputs!$B$7)^(DL$2-1)</f>
        <v>2413.8303900841</v>
      </c>
      <c r="DM86" s="11" t="n">
        <f aca="false">Units!$E85*(1+Inputs!$B$7)^(DM$2-1)</f>
        <v>2413.8303900841</v>
      </c>
      <c r="DN86" s="11" t="n">
        <f aca="false">Units!$E85*(1+Inputs!$B$7)^(DN$2-1)</f>
        <v>2413.8303900841</v>
      </c>
      <c r="DO86" s="11" t="n">
        <f aca="false">Units!$E85*(1+Inputs!$B$7)^(DO$2-1)</f>
        <v>2413.8303900841</v>
      </c>
      <c r="DP86" s="11" t="n">
        <f aca="false">Units!$E85*(1+Inputs!$B$7)^(DP$2-1)</f>
        <v>2413.8303900841</v>
      </c>
      <c r="DQ86" s="11" t="n">
        <f aca="false">Units!$E85*(1+Inputs!$B$7)^(DQ$2-1)</f>
        <v>2413.8303900841</v>
      </c>
      <c r="DR86" s="11" t="n">
        <f aca="false">Units!$E85*(1+Inputs!$B$7)^(DR$2-1)</f>
        <v>2413.8303900841</v>
      </c>
      <c r="DS86" s="11" t="n">
        <f aca="false">Units!$E85*(1+Inputs!$B$7)^(DS$2-1)</f>
        <v>2486.24530178663</v>
      </c>
      <c r="DT86" s="11" t="n">
        <f aca="false">Units!$E85*(1+Inputs!$B$7)^(DT$2-1)</f>
        <v>2486.24530178663</v>
      </c>
      <c r="DU86" s="11" t="n">
        <f aca="false">Units!$E85*(1+Inputs!$B$7)^(DU$2-1)</f>
        <v>2486.24530178663</v>
      </c>
      <c r="DV86" s="11" t="n">
        <f aca="false">Units!$E85*(1+Inputs!$B$7)^(DV$2-1)</f>
        <v>2486.24530178663</v>
      </c>
      <c r="DW86" s="11" t="n">
        <f aca="false">Units!$E85*(1+Inputs!$B$7)^(DW$2-1)</f>
        <v>2486.24530178663</v>
      </c>
      <c r="DX86" s="11" t="n">
        <f aca="false">Units!$E85*(1+Inputs!$B$7)^(DX$2-1)</f>
        <v>2486.24530178663</v>
      </c>
      <c r="DY86" s="11" t="n">
        <f aca="false">Units!$E85*(1+Inputs!$B$7)^(DY$2-1)</f>
        <v>2486.24530178663</v>
      </c>
      <c r="DZ86" s="11" t="n">
        <f aca="false">Units!$E85*(1+Inputs!$B$7)^(DZ$2-1)</f>
        <v>2486.24530178663</v>
      </c>
      <c r="EA86" s="11" t="n">
        <f aca="false">Units!$E85*(1+Inputs!$B$7)^(EA$2-1)</f>
        <v>2486.24530178663</v>
      </c>
      <c r="EB86" s="11" t="n">
        <f aca="false">Units!$E85*(1+Inputs!$B$7)^(EB$2-1)</f>
        <v>2486.24530178663</v>
      </c>
      <c r="EC86" s="11" t="n">
        <f aca="false">Units!$E85*(1+Inputs!$B$7)^(EC$2-1)</f>
        <v>2486.24530178663</v>
      </c>
      <c r="ED86" s="11" t="n">
        <f aca="false">Units!$E85*(1+Inputs!$B$7)^(ED$2-1)</f>
        <v>2486.24530178663</v>
      </c>
    </row>
    <row r="87" customFormat="false" ht="15" hidden="false" customHeight="false" outlineLevel="0" collapsed="false">
      <c r="A87" s="22" t="n">
        <f aca="false">Units!A86</f>
        <v>325</v>
      </c>
      <c r="B87" s="23"/>
      <c r="C87" s="11" t="n">
        <f aca="false">Units!$E86*(1+Inputs!$B$7)^(C$2-1)</f>
        <v>1850</v>
      </c>
      <c r="D87" s="11" t="n">
        <f aca="false">Units!$E86*(1+Inputs!$B$7)^(D$2-1)</f>
        <v>1850</v>
      </c>
      <c r="E87" s="11" t="n">
        <f aca="false">Units!$E86*(1+Inputs!$B$7)^(E$2-1)</f>
        <v>1850</v>
      </c>
      <c r="F87" s="11" t="n">
        <f aca="false">Units!$E86*(1+Inputs!$B$7)^(F$2-1)</f>
        <v>1850</v>
      </c>
      <c r="G87" s="11" t="n">
        <f aca="false">Units!$E86*(1+Inputs!$B$7)^(G$2-1)</f>
        <v>1850</v>
      </c>
      <c r="H87" s="11" t="n">
        <f aca="false">Units!$E86*(1+Inputs!$B$7)^(H$2-1)</f>
        <v>1850</v>
      </c>
      <c r="I87" s="11" t="n">
        <f aca="false">Units!$E86*(1+Inputs!$B$7)^(I$2-1)</f>
        <v>1850</v>
      </c>
      <c r="J87" s="11" t="n">
        <f aca="false">Units!$E86*(1+Inputs!$B$7)^(J$2-1)</f>
        <v>1850</v>
      </c>
      <c r="K87" s="11" t="n">
        <f aca="false">Units!$E86*(1+Inputs!$B$7)^(K$2-1)</f>
        <v>1850</v>
      </c>
      <c r="L87" s="11" t="n">
        <f aca="false">Units!$E86*(1+Inputs!$B$7)^(L$2-1)</f>
        <v>1850</v>
      </c>
      <c r="M87" s="11" t="n">
        <f aca="false">Units!$E86*(1+Inputs!$B$7)^(M$2-1)</f>
        <v>1850</v>
      </c>
      <c r="N87" s="11" t="n">
        <f aca="false">Units!$E86*(1+Inputs!$B$7)^(N$2-1)</f>
        <v>1850</v>
      </c>
      <c r="O87" s="11" t="n">
        <f aca="false">Units!$E86*(1+Inputs!$B$7)^(O$2-1)</f>
        <v>1905.5</v>
      </c>
      <c r="P87" s="11" t="n">
        <f aca="false">Units!$E86*(1+Inputs!$B$7)^(P$2-1)</f>
        <v>1905.5</v>
      </c>
      <c r="Q87" s="11" t="n">
        <f aca="false">Units!$E86*(1+Inputs!$B$7)^(Q$2-1)</f>
        <v>1905.5</v>
      </c>
      <c r="R87" s="11" t="n">
        <f aca="false">Units!$E86*(1+Inputs!$B$7)^(R$2-1)</f>
        <v>1905.5</v>
      </c>
      <c r="S87" s="11" t="n">
        <f aca="false">Units!$E86*(1+Inputs!$B$7)^(S$2-1)</f>
        <v>1905.5</v>
      </c>
      <c r="T87" s="11" t="n">
        <f aca="false">Units!$E86*(1+Inputs!$B$7)^(T$2-1)</f>
        <v>1905.5</v>
      </c>
      <c r="U87" s="11" t="n">
        <f aca="false">Units!$E86*(1+Inputs!$B$7)^(U$2-1)</f>
        <v>1905.5</v>
      </c>
      <c r="V87" s="11" t="n">
        <f aca="false">Units!$E86*(1+Inputs!$B$7)^(V$2-1)</f>
        <v>1905.5</v>
      </c>
      <c r="W87" s="11" t="n">
        <f aca="false">Units!$E86*(1+Inputs!$B$7)^(W$2-1)</f>
        <v>1905.5</v>
      </c>
      <c r="X87" s="11" t="n">
        <f aca="false">Units!$E86*(1+Inputs!$B$7)^(X$2-1)</f>
        <v>1905.5</v>
      </c>
      <c r="Y87" s="11" t="n">
        <f aca="false">Units!$E86*(1+Inputs!$B$7)^(Y$2-1)</f>
        <v>1905.5</v>
      </c>
      <c r="Z87" s="11" t="n">
        <f aca="false">Units!$E86*(1+Inputs!$B$7)^(Z$2-1)</f>
        <v>1905.5</v>
      </c>
      <c r="AA87" s="11" t="n">
        <f aca="false">Units!$E86*(1+Inputs!$B$7)^(AA$2-1)</f>
        <v>1962.665</v>
      </c>
      <c r="AB87" s="11" t="n">
        <f aca="false">Units!$E86*(1+Inputs!$B$7)^(AB$2-1)</f>
        <v>1962.665</v>
      </c>
      <c r="AC87" s="11" t="n">
        <f aca="false">Units!$E86*(1+Inputs!$B$7)^(AC$2-1)</f>
        <v>1962.665</v>
      </c>
      <c r="AD87" s="11" t="n">
        <f aca="false">Units!$E86*(1+Inputs!$B$7)^(AD$2-1)</f>
        <v>1962.665</v>
      </c>
      <c r="AE87" s="11" t="n">
        <f aca="false">Units!$E86*(1+Inputs!$B$7)^(AE$2-1)</f>
        <v>1962.665</v>
      </c>
      <c r="AF87" s="11" t="n">
        <f aca="false">Units!$E86*(1+Inputs!$B$7)^(AF$2-1)</f>
        <v>1962.665</v>
      </c>
      <c r="AG87" s="11" t="n">
        <f aca="false">Units!$E86*(1+Inputs!$B$7)^(AG$2-1)</f>
        <v>1962.665</v>
      </c>
      <c r="AH87" s="11" t="n">
        <f aca="false">Units!$E86*(1+Inputs!$B$7)^(AH$2-1)</f>
        <v>1962.665</v>
      </c>
      <c r="AI87" s="11" t="n">
        <f aca="false">Units!$E86*(1+Inputs!$B$7)^(AI$2-1)</f>
        <v>1962.665</v>
      </c>
      <c r="AJ87" s="11" t="n">
        <f aca="false">Units!$E86*(1+Inputs!$B$7)^(AJ$2-1)</f>
        <v>1962.665</v>
      </c>
      <c r="AK87" s="11" t="n">
        <f aca="false">Units!$E86*(1+Inputs!$B$7)^(AK$2-1)</f>
        <v>1962.665</v>
      </c>
      <c r="AL87" s="11" t="n">
        <f aca="false">Units!$E86*(1+Inputs!$B$7)^(AL$2-1)</f>
        <v>1962.665</v>
      </c>
      <c r="AM87" s="11" t="n">
        <f aca="false">Units!$E86*(1+Inputs!$B$7)^(AM$2-1)</f>
        <v>2021.54495</v>
      </c>
      <c r="AN87" s="11" t="n">
        <f aca="false">Units!$E86*(1+Inputs!$B$7)^(AN$2-1)</f>
        <v>2021.54495</v>
      </c>
      <c r="AO87" s="11" t="n">
        <f aca="false">Units!$E86*(1+Inputs!$B$7)^(AO$2-1)</f>
        <v>2021.54495</v>
      </c>
      <c r="AP87" s="11" t="n">
        <f aca="false">Units!$E86*(1+Inputs!$B$7)^(AP$2-1)</f>
        <v>2021.54495</v>
      </c>
      <c r="AQ87" s="11" t="n">
        <f aca="false">Units!$E86*(1+Inputs!$B$7)^(AQ$2-1)</f>
        <v>2021.54495</v>
      </c>
      <c r="AR87" s="11" t="n">
        <f aca="false">Units!$E86*(1+Inputs!$B$7)^(AR$2-1)</f>
        <v>2021.54495</v>
      </c>
      <c r="AS87" s="11" t="n">
        <f aca="false">Units!$E86*(1+Inputs!$B$7)^(AS$2-1)</f>
        <v>2021.54495</v>
      </c>
      <c r="AT87" s="11" t="n">
        <f aca="false">Units!$E86*(1+Inputs!$B$7)^(AT$2-1)</f>
        <v>2021.54495</v>
      </c>
      <c r="AU87" s="11" t="n">
        <f aca="false">Units!$E86*(1+Inputs!$B$7)^(AU$2-1)</f>
        <v>2021.54495</v>
      </c>
      <c r="AV87" s="11" t="n">
        <f aca="false">Units!$E86*(1+Inputs!$B$7)^(AV$2-1)</f>
        <v>2021.54495</v>
      </c>
      <c r="AW87" s="11" t="n">
        <f aca="false">Units!$E86*(1+Inputs!$B$7)^(AW$2-1)</f>
        <v>2021.54495</v>
      </c>
      <c r="AX87" s="11" t="n">
        <f aca="false">Units!$E86*(1+Inputs!$B$7)^(AX$2-1)</f>
        <v>2021.54495</v>
      </c>
      <c r="AY87" s="11" t="n">
        <f aca="false">Units!$E86*(1+Inputs!$B$7)^(AY$2-1)</f>
        <v>2082.1912985</v>
      </c>
      <c r="AZ87" s="11" t="n">
        <f aca="false">Units!$E86*(1+Inputs!$B$7)^(AZ$2-1)</f>
        <v>2082.1912985</v>
      </c>
      <c r="BA87" s="11" t="n">
        <f aca="false">Units!$E86*(1+Inputs!$B$7)^(BA$2-1)</f>
        <v>2082.1912985</v>
      </c>
      <c r="BB87" s="11" t="n">
        <f aca="false">Units!$E86*(1+Inputs!$B$7)^(BB$2-1)</f>
        <v>2082.1912985</v>
      </c>
      <c r="BC87" s="11" t="n">
        <f aca="false">Units!$E86*(1+Inputs!$B$7)^(BC$2-1)</f>
        <v>2082.1912985</v>
      </c>
      <c r="BD87" s="11" t="n">
        <f aca="false">Units!$E86*(1+Inputs!$B$7)^(BD$2-1)</f>
        <v>2082.1912985</v>
      </c>
      <c r="BE87" s="11" t="n">
        <f aca="false">Units!$E86*(1+Inputs!$B$7)^(BE$2-1)</f>
        <v>2082.1912985</v>
      </c>
      <c r="BF87" s="11" t="n">
        <f aca="false">Units!$E86*(1+Inputs!$B$7)^(BF$2-1)</f>
        <v>2082.1912985</v>
      </c>
      <c r="BG87" s="11" t="n">
        <f aca="false">Units!$E86*(1+Inputs!$B$7)^(BG$2-1)</f>
        <v>2082.1912985</v>
      </c>
      <c r="BH87" s="11" t="n">
        <f aca="false">Units!$E86*(1+Inputs!$B$7)^(BH$2-1)</f>
        <v>2082.1912985</v>
      </c>
      <c r="BI87" s="11" t="n">
        <f aca="false">Units!$E86*(1+Inputs!$B$7)^(BI$2-1)</f>
        <v>2082.1912985</v>
      </c>
      <c r="BJ87" s="11" t="n">
        <f aca="false">Units!$E86*(1+Inputs!$B$7)^(BJ$2-1)</f>
        <v>2082.1912985</v>
      </c>
      <c r="BK87" s="11" t="n">
        <f aca="false">Units!$E86*(1+Inputs!$B$7)^(BK$2-1)</f>
        <v>2144.657037455</v>
      </c>
      <c r="BL87" s="11" t="n">
        <f aca="false">Units!$E86*(1+Inputs!$B$7)^(BL$2-1)</f>
        <v>2144.657037455</v>
      </c>
      <c r="BM87" s="11" t="n">
        <f aca="false">Units!$E86*(1+Inputs!$B$7)^(BM$2-1)</f>
        <v>2144.657037455</v>
      </c>
      <c r="BN87" s="11" t="n">
        <f aca="false">Units!$E86*(1+Inputs!$B$7)^(BN$2-1)</f>
        <v>2144.657037455</v>
      </c>
      <c r="BO87" s="11" t="n">
        <f aca="false">Units!$E86*(1+Inputs!$B$7)^(BO$2-1)</f>
        <v>2144.657037455</v>
      </c>
      <c r="BP87" s="11" t="n">
        <f aca="false">Units!$E86*(1+Inputs!$B$7)^(BP$2-1)</f>
        <v>2144.657037455</v>
      </c>
      <c r="BQ87" s="11" t="n">
        <f aca="false">Units!$E86*(1+Inputs!$B$7)^(BQ$2-1)</f>
        <v>2144.657037455</v>
      </c>
      <c r="BR87" s="11" t="n">
        <f aca="false">Units!$E86*(1+Inputs!$B$7)^(BR$2-1)</f>
        <v>2144.657037455</v>
      </c>
      <c r="BS87" s="11" t="n">
        <f aca="false">Units!$E86*(1+Inputs!$B$7)^(BS$2-1)</f>
        <v>2144.657037455</v>
      </c>
      <c r="BT87" s="11" t="n">
        <f aca="false">Units!$E86*(1+Inputs!$B$7)^(BT$2-1)</f>
        <v>2144.657037455</v>
      </c>
      <c r="BU87" s="11" t="n">
        <f aca="false">Units!$E86*(1+Inputs!$B$7)^(BU$2-1)</f>
        <v>2144.657037455</v>
      </c>
      <c r="BV87" s="11" t="n">
        <f aca="false">Units!$E86*(1+Inputs!$B$7)^(BV$2-1)</f>
        <v>2144.657037455</v>
      </c>
      <c r="BW87" s="11" t="n">
        <f aca="false">Units!$E86*(1+Inputs!$B$7)^(BW$2-1)</f>
        <v>2208.99674857865</v>
      </c>
      <c r="BX87" s="11" t="n">
        <f aca="false">Units!$E86*(1+Inputs!$B$7)^(BX$2-1)</f>
        <v>2208.99674857865</v>
      </c>
      <c r="BY87" s="11" t="n">
        <f aca="false">Units!$E86*(1+Inputs!$B$7)^(BY$2-1)</f>
        <v>2208.99674857865</v>
      </c>
      <c r="BZ87" s="11" t="n">
        <f aca="false">Units!$E86*(1+Inputs!$B$7)^(BZ$2-1)</f>
        <v>2208.99674857865</v>
      </c>
      <c r="CA87" s="11" t="n">
        <f aca="false">Units!$E86*(1+Inputs!$B$7)^(CA$2-1)</f>
        <v>2208.99674857865</v>
      </c>
      <c r="CB87" s="11" t="n">
        <f aca="false">Units!$E86*(1+Inputs!$B$7)^(CB$2-1)</f>
        <v>2208.99674857865</v>
      </c>
      <c r="CC87" s="11" t="n">
        <f aca="false">Units!$E86*(1+Inputs!$B$7)^(CC$2-1)</f>
        <v>2208.99674857865</v>
      </c>
      <c r="CD87" s="11" t="n">
        <f aca="false">Units!$E86*(1+Inputs!$B$7)^(CD$2-1)</f>
        <v>2208.99674857865</v>
      </c>
      <c r="CE87" s="11" t="n">
        <f aca="false">Units!$E86*(1+Inputs!$B$7)^(CE$2-1)</f>
        <v>2208.99674857865</v>
      </c>
      <c r="CF87" s="11" t="n">
        <f aca="false">Units!$E86*(1+Inputs!$B$7)^(CF$2-1)</f>
        <v>2208.99674857865</v>
      </c>
      <c r="CG87" s="11" t="n">
        <f aca="false">Units!$E86*(1+Inputs!$B$7)^(CG$2-1)</f>
        <v>2208.99674857865</v>
      </c>
      <c r="CH87" s="11" t="n">
        <f aca="false">Units!$E86*(1+Inputs!$B$7)^(CH$2-1)</f>
        <v>2208.99674857865</v>
      </c>
      <c r="CI87" s="11" t="n">
        <f aca="false">Units!$E86*(1+Inputs!$B$7)^(CI$2-1)</f>
        <v>2275.26665103601</v>
      </c>
      <c r="CJ87" s="11" t="n">
        <f aca="false">Units!$E86*(1+Inputs!$B$7)^(CJ$2-1)</f>
        <v>2275.26665103601</v>
      </c>
      <c r="CK87" s="11" t="n">
        <f aca="false">Units!$E86*(1+Inputs!$B$7)^(CK$2-1)</f>
        <v>2275.26665103601</v>
      </c>
      <c r="CL87" s="11" t="n">
        <f aca="false">Units!$E86*(1+Inputs!$B$7)^(CL$2-1)</f>
        <v>2275.26665103601</v>
      </c>
      <c r="CM87" s="11" t="n">
        <f aca="false">Units!$E86*(1+Inputs!$B$7)^(CM$2-1)</f>
        <v>2275.26665103601</v>
      </c>
      <c r="CN87" s="11" t="n">
        <f aca="false">Units!$E86*(1+Inputs!$B$7)^(CN$2-1)</f>
        <v>2275.26665103601</v>
      </c>
      <c r="CO87" s="11" t="n">
        <f aca="false">Units!$E86*(1+Inputs!$B$7)^(CO$2-1)</f>
        <v>2275.26665103601</v>
      </c>
      <c r="CP87" s="11" t="n">
        <f aca="false">Units!$E86*(1+Inputs!$B$7)^(CP$2-1)</f>
        <v>2275.26665103601</v>
      </c>
      <c r="CQ87" s="11" t="n">
        <f aca="false">Units!$E86*(1+Inputs!$B$7)^(CQ$2-1)</f>
        <v>2275.26665103601</v>
      </c>
      <c r="CR87" s="11" t="n">
        <f aca="false">Units!$E86*(1+Inputs!$B$7)^(CR$2-1)</f>
        <v>2275.26665103601</v>
      </c>
      <c r="CS87" s="11" t="n">
        <f aca="false">Units!$E86*(1+Inputs!$B$7)^(CS$2-1)</f>
        <v>2275.26665103601</v>
      </c>
      <c r="CT87" s="11" t="n">
        <f aca="false">Units!$E86*(1+Inputs!$B$7)^(CT$2-1)</f>
        <v>2275.26665103601</v>
      </c>
      <c r="CU87" s="11" t="n">
        <f aca="false">Units!$E86*(1+Inputs!$B$7)^(CU$2-1)</f>
        <v>2343.52465056709</v>
      </c>
      <c r="CV87" s="11" t="n">
        <f aca="false">Units!$E86*(1+Inputs!$B$7)^(CV$2-1)</f>
        <v>2343.52465056709</v>
      </c>
      <c r="CW87" s="11" t="n">
        <f aca="false">Units!$E86*(1+Inputs!$B$7)^(CW$2-1)</f>
        <v>2343.52465056709</v>
      </c>
      <c r="CX87" s="11" t="n">
        <f aca="false">Units!$E86*(1+Inputs!$B$7)^(CX$2-1)</f>
        <v>2343.52465056709</v>
      </c>
      <c r="CY87" s="11" t="n">
        <f aca="false">Units!$E86*(1+Inputs!$B$7)^(CY$2-1)</f>
        <v>2343.52465056709</v>
      </c>
      <c r="CZ87" s="11" t="n">
        <f aca="false">Units!$E86*(1+Inputs!$B$7)^(CZ$2-1)</f>
        <v>2343.52465056709</v>
      </c>
      <c r="DA87" s="11" t="n">
        <f aca="false">Units!$E86*(1+Inputs!$B$7)^(DA$2-1)</f>
        <v>2343.52465056709</v>
      </c>
      <c r="DB87" s="11" t="n">
        <f aca="false">Units!$E86*(1+Inputs!$B$7)^(DB$2-1)</f>
        <v>2343.52465056709</v>
      </c>
      <c r="DC87" s="11" t="n">
        <f aca="false">Units!$E86*(1+Inputs!$B$7)^(DC$2-1)</f>
        <v>2343.52465056709</v>
      </c>
      <c r="DD87" s="11" t="n">
        <f aca="false">Units!$E86*(1+Inputs!$B$7)^(DD$2-1)</f>
        <v>2343.52465056709</v>
      </c>
      <c r="DE87" s="11" t="n">
        <f aca="false">Units!$E86*(1+Inputs!$B$7)^(DE$2-1)</f>
        <v>2343.52465056709</v>
      </c>
      <c r="DF87" s="11" t="n">
        <f aca="false">Units!$E86*(1+Inputs!$B$7)^(DF$2-1)</f>
        <v>2343.52465056709</v>
      </c>
      <c r="DG87" s="11" t="n">
        <f aca="false">Units!$E86*(1+Inputs!$B$7)^(DG$2-1)</f>
        <v>2413.8303900841</v>
      </c>
      <c r="DH87" s="11" t="n">
        <f aca="false">Units!$E86*(1+Inputs!$B$7)^(DH$2-1)</f>
        <v>2413.8303900841</v>
      </c>
      <c r="DI87" s="11" t="n">
        <f aca="false">Units!$E86*(1+Inputs!$B$7)^(DI$2-1)</f>
        <v>2413.8303900841</v>
      </c>
      <c r="DJ87" s="11" t="n">
        <f aca="false">Units!$E86*(1+Inputs!$B$7)^(DJ$2-1)</f>
        <v>2413.8303900841</v>
      </c>
      <c r="DK87" s="11" t="n">
        <f aca="false">Units!$E86*(1+Inputs!$B$7)^(DK$2-1)</f>
        <v>2413.8303900841</v>
      </c>
      <c r="DL87" s="11" t="n">
        <f aca="false">Units!$E86*(1+Inputs!$B$7)^(DL$2-1)</f>
        <v>2413.8303900841</v>
      </c>
      <c r="DM87" s="11" t="n">
        <f aca="false">Units!$E86*(1+Inputs!$B$7)^(DM$2-1)</f>
        <v>2413.8303900841</v>
      </c>
      <c r="DN87" s="11" t="n">
        <f aca="false">Units!$E86*(1+Inputs!$B$7)^(DN$2-1)</f>
        <v>2413.8303900841</v>
      </c>
      <c r="DO87" s="11" t="n">
        <f aca="false">Units!$E86*(1+Inputs!$B$7)^(DO$2-1)</f>
        <v>2413.8303900841</v>
      </c>
      <c r="DP87" s="11" t="n">
        <f aca="false">Units!$E86*(1+Inputs!$B$7)^(DP$2-1)</f>
        <v>2413.8303900841</v>
      </c>
      <c r="DQ87" s="11" t="n">
        <f aca="false">Units!$E86*(1+Inputs!$B$7)^(DQ$2-1)</f>
        <v>2413.8303900841</v>
      </c>
      <c r="DR87" s="11" t="n">
        <f aca="false">Units!$E86*(1+Inputs!$B$7)^(DR$2-1)</f>
        <v>2413.8303900841</v>
      </c>
      <c r="DS87" s="11" t="n">
        <f aca="false">Units!$E86*(1+Inputs!$B$7)^(DS$2-1)</f>
        <v>2486.24530178663</v>
      </c>
      <c r="DT87" s="11" t="n">
        <f aca="false">Units!$E86*(1+Inputs!$B$7)^(DT$2-1)</f>
        <v>2486.24530178663</v>
      </c>
      <c r="DU87" s="11" t="n">
        <f aca="false">Units!$E86*(1+Inputs!$B$7)^(DU$2-1)</f>
        <v>2486.24530178663</v>
      </c>
      <c r="DV87" s="11" t="n">
        <f aca="false">Units!$E86*(1+Inputs!$B$7)^(DV$2-1)</f>
        <v>2486.24530178663</v>
      </c>
      <c r="DW87" s="11" t="n">
        <f aca="false">Units!$E86*(1+Inputs!$B$7)^(DW$2-1)</f>
        <v>2486.24530178663</v>
      </c>
      <c r="DX87" s="11" t="n">
        <f aca="false">Units!$E86*(1+Inputs!$B$7)^(DX$2-1)</f>
        <v>2486.24530178663</v>
      </c>
      <c r="DY87" s="11" t="n">
        <f aca="false">Units!$E86*(1+Inputs!$B$7)^(DY$2-1)</f>
        <v>2486.24530178663</v>
      </c>
      <c r="DZ87" s="11" t="n">
        <f aca="false">Units!$E86*(1+Inputs!$B$7)^(DZ$2-1)</f>
        <v>2486.24530178663</v>
      </c>
      <c r="EA87" s="11" t="n">
        <f aca="false">Units!$E86*(1+Inputs!$B$7)^(EA$2-1)</f>
        <v>2486.24530178663</v>
      </c>
      <c r="EB87" s="11" t="n">
        <f aca="false">Units!$E86*(1+Inputs!$B$7)^(EB$2-1)</f>
        <v>2486.24530178663</v>
      </c>
      <c r="EC87" s="11" t="n">
        <f aca="false">Units!$E86*(1+Inputs!$B$7)^(EC$2-1)</f>
        <v>2486.24530178663</v>
      </c>
      <c r="ED87" s="11" t="n">
        <f aca="false">Units!$E86*(1+Inputs!$B$7)^(ED$2-1)</f>
        <v>2486.24530178663</v>
      </c>
    </row>
    <row r="88" customFormat="false" ht="15" hidden="false" customHeight="false" outlineLevel="0" collapsed="false">
      <c r="A88" s="22" t="n">
        <f aca="false">Units!A87</f>
        <v>326</v>
      </c>
      <c r="B88" s="23"/>
      <c r="C88" s="11" t="n">
        <f aca="false">Units!$E87*(1+Inputs!$B$7)^(C$2-1)</f>
        <v>1850</v>
      </c>
      <c r="D88" s="11" t="n">
        <f aca="false">Units!$E87*(1+Inputs!$B$7)^(D$2-1)</f>
        <v>1850</v>
      </c>
      <c r="E88" s="11" t="n">
        <f aca="false">Units!$E87*(1+Inputs!$B$7)^(E$2-1)</f>
        <v>1850</v>
      </c>
      <c r="F88" s="11" t="n">
        <f aca="false">Units!$E87*(1+Inputs!$B$7)^(F$2-1)</f>
        <v>1850</v>
      </c>
      <c r="G88" s="11" t="n">
        <f aca="false">Units!$E87*(1+Inputs!$B$7)^(G$2-1)</f>
        <v>1850</v>
      </c>
      <c r="H88" s="11" t="n">
        <f aca="false">Units!$E87*(1+Inputs!$B$7)^(H$2-1)</f>
        <v>1850</v>
      </c>
      <c r="I88" s="11" t="n">
        <f aca="false">Units!$E87*(1+Inputs!$B$7)^(I$2-1)</f>
        <v>1850</v>
      </c>
      <c r="J88" s="11" t="n">
        <f aca="false">Units!$E87*(1+Inputs!$B$7)^(J$2-1)</f>
        <v>1850</v>
      </c>
      <c r="K88" s="11" t="n">
        <f aca="false">Units!$E87*(1+Inputs!$B$7)^(K$2-1)</f>
        <v>1850</v>
      </c>
      <c r="L88" s="11" t="n">
        <f aca="false">Units!$E87*(1+Inputs!$B$7)^(L$2-1)</f>
        <v>1850</v>
      </c>
      <c r="M88" s="11" t="n">
        <f aca="false">Units!$E87*(1+Inputs!$B$7)^(M$2-1)</f>
        <v>1850</v>
      </c>
      <c r="N88" s="11" t="n">
        <f aca="false">Units!$E87*(1+Inputs!$B$7)^(N$2-1)</f>
        <v>1850</v>
      </c>
      <c r="O88" s="11" t="n">
        <f aca="false">Units!$E87*(1+Inputs!$B$7)^(O$2-1)</f>
        <v>1905.5</v>
      </c>
      <c r="P88" s="11" t="n">
        <f aca="false">Units!$E87*(1+Inputs!$B$7)^(P$2-1)</f>
        <v>1905.5</v>
      </c>
      <c r="Q88" s="11" t="n">
        <f aca="false">Units!$E87*(1+Inputs!$B$7)^(Q$2-1)</f>
        <v>1905.5</v>
      </c>
      <c r="R88" s="11" t="n">
        <f aca="false">Units!$E87*(1+Inputs!$B$7)^(R$2-1)</f>
        <v>1905.5</v>
      </c>
      <c r="S88" s="11" t="n">
        <f aca="false">Units!$E87*(1+Inputs!$B$7)^(S$2-1)</f>
        <v>1905.5</v>
      </c>
      <c r="T88" s="11" t="n">
        <f aca="false">Units!$E87*(1+Inputs!$B$7)^(T$2-1)</f>
        <v>1905.5</v>
      </c>
      <c r="U88" s="11" t="n">
        <f aca="false">Units!$E87*(1+Inputs!$B$7)^(U$2-1)</f>
        <v>1905.5</v>
      </c>
      <c r="V88" s="11" t="n">
        <f aca="false">Units!$E87*(1+Inputs!$B$7)^(V$2-1)</f>
        <v>1905.5</v>
      </c>
      <c r="W88" s="11" t="n">
        <f aca="false">Units!$E87*(1+Inputs!$B$7)^(W$2-1)</f>
        <v>1905.5</v>
      </c>
      <c r="X88" s="11" t="n">
        <f aca="false">Units!$E87*(1+Inputs!$B$7)^(X$2-1)</f>
        <v>1905.5</v>
      </c>
      <c r="Y88" s="11" t="n">
        <f aca="false">Units!$E87*(1+Inputs!$B$7)^(Y$2-1)</f>
        <v>1905.5</v>
      </c>
      <c r="Z88" s="11" t="n">
        <f aca="false">Units!$E87*(1+Inputs!$B$7)^(Z$2-1)</f>
        <v>1905.5</v>
      </c>
      <c r="AA88" s="11" t="n">
        <f aca="false">Units!$E87*(1+Inputs!$B$7)^(AA$2-1)</f>
        <v>1962.665</v>
      </c>
      <c r="AB88" s="11" t="n">
        <f aca="false">Units!$E87*(1+Inputs!$B$7)^(AB$2-1)</f>
        <v>1962.665</v>
      </c>
      <c r="AC88" s="11" t="n">
        <f aca="false">Units!$E87*(1+Inputs!$B$7)^(AC$2-1)</f>
        <v>1962.665</v>
      </c>
      <c r="AD88" s="11" t="n">
        <f aca="false">Units!$E87*(1+Inputs!$B$7)^(AD$2-1)</f>
        <v>1962.665</v>
      </c>
      <c r="AE88" s="11" t="n">
        <f aca="false">Units!$E87*(1+Inputs!$B$7)^(AE$2-1)</f>
        <v>1962.665</v>
      </c>
      <c r="AF88" s="11" t="n">
        <f aca="false">Units!$E87*(1+Inputs!$B$7)^(AF$2-1)</f>
        <v>1962.665</v>
      </c>
      <c r="AG88" s="11" t="n">
        <f aca="false">Units!$E87*(1+Inputs!$B$7)^(AG$2-1)</f>
        <v>1962.665</v>
      </c>
      <c r="AH88" s="11" t="n">
        <f aca="false">Units!$E87*(1+Inputs!$B$7)^(AH$2-1)</f>
        <v>1962.665</v>
      </c>
      <c r="AI88" s="11" t="n">
        <f aca="false">Units!$E87*(1+Inputs!$B$7)^(AI$2-1)</f>
        <v>1962.665</v>
      </c>
      <c r="AJ88" s="11" t="n">
        <f aca="false">Units!$E87*(1+Inputs!$B$7)^(AJ$2-1)</f>
        <v>1962.665</v>
      </c>
      <c r="AK88" s="11" t="n">
        <f aca="false">Units!$E87*(1+Inputs!$B$7)^(AK$2-1)</f>
        <v>1962.665</v>
      </c>
      <c r="AL88" s="11" t="n">
        <f aca="false">Units!$E87*(1+Inputs!$B$7)^(AL$2-1)</f>
        <v>1962.665</v>
      </c>
      <c r="AM88" s="11" t="n">
        <f aca="false">Units!$E87*(1+Inputs!$B$7)^(AM$2-1)</f>
        <v>2021.54495</v>
      </c>
      <c r="AN88" s="11" t="n">
        <f aca="false">Units!$E87*(1+Inputs!$B$7)^(AN$2-1)</f>
        <v>2021.54495</v>
      </c>
      <c r="AO88" s="11" t="n">
        <f aca="false">Units!$E87*(1+Inputs!$B$7)^(AO$2-1)</f>
        <v>2021.54495</v>
      </c>
      <c r="AP88" s="11" t="n">
        <f aca="false">Units!$E87*(1+Inputs!$B$7)^(AP$2-1)</f>
        <v>2021.54495</v>
      </c>
      <c r="AQ88" s="11" t="n">
        <f aca="false">Units!$E87*(1+Inputs!$B$7)^(AQ$2-1)</f>
        <v>2021.54495</v>
      </c>
      <c r="AR88" s="11" t="n">
        <f aca="false">Units!$E87*(1+Inputs!$B$7)^(AR$2-1)</f>
        <v>2021.54495</v>
      </c>
      <c r="AS88" s="11" t="n">
        <f aca="false">Units!$E87*(1+Inputs!$B$7)^(AS$2-1)</f>
        <v>2021.54495</v>
      </c>
      <c r="AT88" s="11" t="n">
        <f aca="false">Units!$E87*(1+Inputs!$B$7)^(AT$2-1)</f>
        <v>2021.54495</v>
      </c>
      <c r="AU88" s="11" t="n">
        <f aca="false">Units!$E87*(1+Inputs!$B$7)^(AU$2-1)</f>
        <v>2021.54495</v>
      </c>
      <c r="AV88" s="11" t="n">
        <f aca="false">Units!$E87*(1+Inputs!$B$7)^(AV$2-1)</f>
        <v>2021.54495</v>
      </c>
      <c r="AW88" s="11" t="n">
        <f aca="false">Units!$E87*(1+Inputs!$B$7)^(AW$2-1)</f>
        <v>2021.54495</v>
      </c>
      <c r="AX88" s="11" t="n">
        <f aca="false">Units!$E87*(1+Inputs!$B$7)^(AX$2-1)</f>
        <v>2021.54495</v>
      </c>
      <c r="AY88" s="11" t="n">
        <f aca="false">Units!$E87*(1+Inputs!$B$7)^(AY$2-1)</f>
        <v>2082.1912985</v>
      </c>
      <c r="AZ88" s="11" t="n">
        <f aca="false">Units!$E87*(1+Inputs!$B$7)^(AZ$2-1)</f>
        <v>2082.1912985</v>
      </c>
      <c r="BA88" s="11" t="n">
        <f aca="false">Units!$E87*(1+Inputs!$B$7)^(BA$2-1)</f>
        <v>2082.1912985</v>
      </c>
      <c r="BB88" s="11" t="n">
        <f aca="false">Units!$E87*(1+Inputs!$B$7)^(BB$2-1)</f>
        <v>2082.1912985</v>
      </c>
      <c r="BC88" s="11" t="n">
        <f aca="false">Units!$E87*(1+Inputs!$B$7)^(BC$2-1)</f>
        <v>2082.1912985</v>
      </c>
      <c r="BD88" s="11" t="n">
        <f aca="false">Units!$E87*(1+Inputs!$B$7)^(BD$2-1)</f>
        <v>2082.1912985</v>
      </c>
      <c r="BE88" s="11" t="n">
        <f aca="false">Units!$E87*(1+Inputs!$B$7)^(BE$2-1)</f>
        <v>2082.1912985</v>
      </c>
      <c r="BF88" s="11" t="n">
        <f aca="false">Units!$E87*(1+Inputs!$B$7)^(BF$2-1)</f>
        <v>2082.1912985</v>
      </c>
      <c r="BG88" s="11" t="n">
        <f aca="false">Units!$E87*(1+Inputs!$B$7)^(BG$2-1)</f>
        <v>2082.1912985</v>
      </c>
      <c r="BH88" s="11" t="n">
        <f aca="false">Units!$E87*(1+Inputs!$B$7)^(BH$2-1)</f>
        <v>2082.1912985</v>
      </c>
      <c r="BI88" s="11" t="n">
        <f aca="false">Units!$E87*(1+Inputs!$B$7)^(BI$2-1)</f>
        <v>2082.1912985</v>
      </c>
      <c r="BJ88" s="11" t="n">
        <f aca="false">Units!$E87*(1+Inputs!$B$7)^(BJ$2-1)</f>
        <v>2082.1912985</v>
      </c>
      <c r="BK88" s="11" t="n">
        <f aca="false">Units!$E87*(1+Inputs!$B$7)^(BK$2-1)</f>
        <v>2144.657037455</v>
      </c>
      <c r="BL88" s="11" t="n">
        <f aca="false">Units!$E87*(1+Inputs!$B$7)^(BL$2-1)</f>
        <v>2144.657037455</v>
      </c>
      <c r="BM88" s="11" t="n">
        <f aca="false">Units!$E87*(1+Inputs!$B$7)^(BM$2-1)</f>
        <v>2144.657037455</v>
      </c>
      <c r="BN88" s="11" t="n">
        <f aca="false">Units!$E87*(1+Inputs!$B$7)^(BN$2-1)</f>
        <v>2144.657037455</v>
      </c>
      <c r="BO88" s="11" t="n">
        <f aca="false">Units!$E87*(1+Inputs!$B$7)^(BO$2-1)</f>
        <v>2144.657037455</v>
      </c>
      <c r="BP88" s="11" t="n">
        <f aca="false">Units!$E87*(1+Inputs!$B$7)^(BP$2-1)</f>
        <v>2144.657037455</v>
      </c>
      <c r="BQ88" s="11" t="n">
        <f aca="false">Units!$E87*(1+Inputs!$B$7)^(BQ$2-1)</f>
        <v>2144.657037455</v>
      </c>
      <c r="BR88" s="11" t="n">
        <f aca="false">Units!$E87*(1+Inputs!$B$7)^(BR$2-1)</f>
        <v>2144.657037455</v>
      </c>
      <c r="BS88" s="11" t="n">
        <f aca="false">Units!$E87*(1+Inputs!$B$7)^(BS$2-1)</f>
        <v>2144.657037455</v>
      </c>
      <c r="BT88" s="11" t="n">
        <f aca="false">Units!$E87*(1+Inputs!$B$7)^(BT$2-1)</f>
        <v>2144.657037455</v>
      </c>
      <c r="BU88" s="11" t="n">
        <f aca="false">Units!$E87*(1+Inputs!$B$7)^(BU$2-1)</f>
        <v>2144.657037455</v>
      </c>
      <c r="BV88" s="11" t="n">
        <f aca="false">Units!$E87*(1+Inputs!$B$7)^(BV$2-1)</f>
        <v>2144.657037455</v>
      </c>
      <c r="BW88" s="11" t="n">
        <f aca="false">Units!$E87*(1+Inputs!$B$7)^(BW$2-1)</f>
        <v>2208.99674857865</v>
      </c>
      <c r="BX88" s="11" t="n">
        <f aca="false">Units!$E87*(1+Inputs!$B$7)^(BX$2-1)</f>
        <v>2208.99674857865</v>
      </c>
      <c r="BY88" s="11" t="n">
        <f aca="false">Units!$E87*(1+Inputs!$B$7)^(BY$2-1)</f>
        <v>2208.99674857865</v>
      </c>
      <c r="BZ88" s="11" t="n">
        <f aca="false">Units!$E87*(1+Inputs!$B$7)^(BZ$2-1)</f>
        <v>2208.99674857865</v>
      </c>
      <c r="CA88" s="11" t="n">
        <f aca="false">Units!$E87*(1+Inputs!$B$7)^(CA$2-1)</f>
        <v>2208.99674857865</v>
      </c>
      <c r="CB88" s="11" t="n">
        <f aca="false">Units!$E87*(1+Inputs!$B$7)^(CB$2-1)</f>
        <v>2208.99674857865</v>
      </c>
      <c r="CC88" s="11" t="n">
        <f aca="false">Units!$E87*(1+Inputs!$B$7)^(CC$2-1)</f>
        <v>2208.99674857865</v>
      </c>
      <c r="CD88" s="11" t="n">
        <f aca="false">Units!$E87*(1+Inputs!$B$7)^(CD$2-1)</f>
        <v>2208.99674857865</v>
      </c>
      <c r="CE88" s="11" t="n">
        <f aca="false">Units!$E87*(1+Inputs!$B$7)^(CE$2-1)</f>
        <v>2208.99674857865</v>
      </c>
      <c r="CF88" s="11" t="n">
        <f aca="false">Units!$E87*(1+Inputs!$B$7)^(CF$2-1)</f>
        <v>2208.99674857865</v>
      </c>
      <c r="CG88" s="11" t="n">
        <f aca="false">Units!$E87*(1+Inputs!$B$7)^(CG$2-1)</f>
        <v>2208.99674857865</v>
      </c>
      <c r="CH88" s="11" t="n">
        <f aca="false">Units!$E87*(1+Inputs!$B$7)^(CH$2-1)</f>
        <v>2208.99674857865</v>
      </c>
      <c r="CI88" s="11" t="n">
        <f aca="false">Units!$E87*(1+Inputs!$B$7)^(CI$2-1)</f>
        <v>2275.26665103601</v>
      </c>
      <c r="CJ88" s="11" t="n">
        <f aca="false">Units!$E87*(1+Inputs!$B$7)^(CJ$2-1)</f>
        <v>2275.26665103601</v>
      </c>
      <c r="CK88" s="11" t="n">
        <f aca="false">Units!$E87*(1+Inputs!$B$7)^(CK$2-1)</f>
        <v>2275.26665103601</v>
      </c>
      <c r="CL88" s="11" t="n">
        <f aca="false">Units!$E87*(1+Inputs!$B$7)^(CL$2-1)</f>
        <v>2275.26665103601</v>
      </c>
      <c r="CM88" s="11" t="n">
        <f aca="false">Units!$E87*(1+Inputs!$B$7)^(CM$2-1)</f>
        <v>2275.26665103601</v>
      </c>
      <c r="CN88" s="11" t="n">
        <f aca="false">Units!$E87*(1+Inputs!$B$7)^(CN$2-1)</f>
        <v>2275.26665103601</v>
      </c>
      <c r="CO88" s="11" t="n">
        <f aca="false">Units!$E87*(1+Inputs!$B$7)^(CO$2-1)</f>
        <v>2275.26665103601</v>
      </c>
      <c r="CP88" s="11" t="n">
        <f aca="false">Units!$E87*(1+Inputs!$B$7)^(CP$2-1)</f>
        <v>2275.26665103601</v>
      </c>
      <c r="CQ88" s="11" t="n">
        <f aca="false">Units!$E87*(1+Inputs!$B$7)^(CQ$2-1)</f>
        <v>2275.26665103601</v>
      </c>
      <c r="CR88" s="11" t="n">
        <f aca="false">Units!$E87*(1+Inputs!$B$7)^(CR$2-1)</f>
        <v>2275.26665103601</v>
      </c>
      <c r="CS88" s="11" t="n">
        <f aca="false">Units!$E87*(1+Inputs!$B$7)^(CS$2-1)</f>
        <v>2275.26665103601</v>
      </c>
      <c r="CT88" s="11" t="n">
        <f aca="false">Units!$E87*(1+Inputs!$B$7)^(CT$2-1)</f>
        <v>2275.26665103601</v>
      </c>
      <c r="CU88" s="11" t="n">
        <f aca="false">Units!$E87*(1+Inputs!$B$7)^(CU$2-1)</f>
        <v>2343.52465056709</v>
      </c>
      <c r="CV88" s="11" t="n">
        <f aca="false">Units!$E87*(1+Inputs!$B$7)^(CV$2-1)</f>
        <v>2343.52465056709</v>
      </c>
      <c r="CW88" s="11" t="n">
        <f aca="false">Units!$E87*(1+Inputs!$B$7)^(CW$2-1)</f>
        <v>2343.52465056709</v>
      </c>
      <c r="CX88" s="11" t="n">
        <f aca="false">Units!$E87*(1+Inputs!$B$7)^(CX$2-1)</f>
        <v>2343.52465056709</v>
      </c>
      <c r="CY88" s="11" t="n">
        <f aca="false">Units!$E87*(1+Inputs!$B$7)^(CY$2-1)</f>
        <v>2343.52465056709</v>
      </c>
      <c r="CZ88" s="11" t="n">
        <f aca="false">Units!$E87*(1+Inputs!$B$7)^(CZ$2-1)</f>
        <v>2343.52465056709</v>
      </c>
      <c r="DA88" s="11" t="n">
        <f aca="false">Units!$E87*(1+Inputs!$B$7)^(DA$2-1)</f>
        <v>2343.52465056709</v>
      </c>
      <c r="DB88" s="11" t="n">
        <f aca="false">Units!$E87*(1+Inputs!$B$7)^(DB$2-1)</f>
        <v>2343.52465056709</v>
      </c>
      <c r="DC88" s="11" t="n">
        <f aca="false">Units!$E87*(1+Inputs!$B$7)^(DC$2-1)</f>
        <v>2343.52465056709</v>
      </c>
      <c r="DD88" s="11" t="n">
        <f aca="false">Units!$E87*(1+Inputs!$B$7)^(DD$2-1)</f>
        <v>2343.52465056709</v>
      </c>
      <c r="DE88" s="11" t="n">
        <f aca="false">Units!$E87*(1+Inputs!$B$7)^(DE$2-1)</f>
        <v>2343.52465056709</v>
      </c>
      <c r="DF88" s="11" t="n">
        <f aca="false">Units!$E87*(1+Inputs!$B$7)^(DF$2-1)</f>
        <v>2343.52465056709</v>
      </c>
      <c r="DG88" s="11" t="n">
        <f aca="false">Units!$E87*(1+Inputs!$B$7)^(DG$2-1)</f>
        <v>2413.8303900841</v>
      </c>
      <c r="DH88" s="11" t="n">
        <f aca="false">Units!$E87*(1+Inputs!$B$7)^(DH$2-1)</f>
        <v>2413.8303900841</v>
      </c>
      <c r="DI88" s="11" t="n">
        <f aca="false">Units!$E87*(1+Inputs!$B$7)^(DI$2-1)</f>
        <v>2413.8303900841</v>
      </c>
      <c r="DJ88" s="11" t="n">
        <f aca="false">Units!$E87*(1+Inputs!$B$7)^(DJ$2-1)</f>
        <v>2413.8303900841</v>
      </c>
      <c r="DK88" s="11" t="n">
        <f aca="false">Units!$E87*(1+Inputs!$B$7)^(DK$2-1)</f>
        <v>2413.8303900841</v>
      </c>
      <c r="DL88" s="11" t="n">
        <f aca="false">Units!$E87*(1+Inputs!$B$7)^(DL$2-1)</f>
        <v>2413.8303900841</v>
      </c>
      <c r="DM88" s="11" t="n">
        <f aca="false">Units!$E87*(1+Inputs!$B$7)^(DM$2-1)</f>
        <v>2413.8303900841</v>
      </c>
      <c r="DN88" s="11" t="n">
        <f aca="false">Units!$E87*(1+Inputs!$B$7)^(DN$2-1)</f>
        <v>2413.8303900841</v>
      </c>
      <c r="DO88" s="11" t="n">
        <f aca="false">Units!$E87*(1+Inputs!$B$7)^(DO$2-1)</f>
        <v>2413.8303900841</v>
      </c>
      <c r="DP88" s="11" t="n">
        <f aca="false">Units!$E87*(1+Inputs!$B$7)^(DP$2-1)</f>
        <v>2413.8303900841</v>
      </c>
      <c r="DQ88" s="11" t="n">
        <f aca="false">Units!$E87*(1+Inputs!$B$7)^(DQ$2-1)</f>
        <v>2413.8303900841</v>
      </c>
      <c r="DR88" s="11" t="n">
        <f aca="false">Units!$E87*(1+Inputs!$B$7)^(DR$2-1)</f>
        <v>2413.8303900841</v>
      </c>
      <c r="DS88" s="11" t="n">
        <f aca="false">Units!$E87*(1+Inputs!$B$7)^(DS$2-1)</f>
        <v>2486.24530178663</v>
      </c>
      <c r="DT88" s="11" t="n">
        <f aca="false">Units!$E87*(1+Inputs!$B$7)^(DT$2-1)</f>
        <v>2486.24530178663</v>
      </c>
      <c r="DU88" s="11" t="n">
        <f aca="false">Units!$E87*(1+Inputs!$B$7)^(DU$2-1)</f>
        <v>2486.24530178663</v>
      </c>
      <c r="DV88" s="11" t="n">
        <f aca="false">Units!$E87*(1+Inputs!$B$7)^(DV$2-1)</f>
        <v>2486.24530178663</v>
      </c>
      <c r="DW88" s="11" t="n">
        <f aca="false">Units!$E87*(1+Inputs!$B$7)^(DW$2-1)</f>
        <v>2486.24530178663</v>
      </c>
      <c r="DX88" s="11" t="n">
        <f aca="false">Units!$E87*(1+Inputs!$B$7)^(DX$2-1)</f>
        <v>2486.24530178663</v>
      </c>
      <c r="DY88" s="11" t="n">
        <f aca="false">Units!$E87*(1+Inputs!$B$7)^(DY$2-1)</f>
        <v>2486.24530178663</v>
      </c>
      <c r="DZ88" s="11" t="n">
        <f aca="false">Units!$E87*(1+Inputs!$B$7)^(DZ$2-1)</f>
        <v>2486.24530178663</v>
      </c>
      <c r="EA88" s="11" t="n">
        <f aca="false">Units!$E87*(1+Inputs!$B$7)^(EA$2-1)</f>
        <v>2486.24530178663</v>
      </c>
      <c r="EB88" s="11" t="n">
        <f aca="false">Units!$E87*(1+Inputs!$B$7)^(EB$2-1)</f>
        <v>2486.24530178663</v>
      </c>
      <c r="EC88" s="11" t="n">
        <f aca="false">Units!$E87*(1+Inputs!$B$7)^(EC$2-1)</f>
        <v>2486.24530178663</v>
      </c>
      <c r="ED88" s="11" t="n">
        <f aca="false">Units!$E87*(1+Inputs!$B$7)^(ED$2-1)</f>
        <v>2486.24530178663</v>
      </c>
    </row>
    <row r="89" customFormat="false" ht="15" hidden="false" customHeight="false" outlineLevel="0" collapsed="false">
      <c r="A89" s="22" t="n">
        <f aca="false">Units!A88</f>
        <v>327</v>
      </c>
      <c r="B89" s="23"/>
      <c r="C89" s="11" t="n">
        <f aca="false">Units!$E88*(1+Inputs!$B$7)^(C$2-1)</f>
        <v>1850</v>
      </c>
      <c r="D89" s="11" t="n">
        <f aca="false">Units!$E88*(1+Inputs!$B$7)^(D$2-1)</f>
        <v>1850</v>
      </c>
      <c r="E89" s="11" t="n">
        <f aca="false">Units!$E88*(1+Inputs!$B$7)^(E$2-1)</f>
        <v>1850</v>
      </c>
      <c r="F89" s="11" t="n">
        <f aca="false">Units!$E88*(1+Inputs!$B$7)^(F$2-1)</f>
        <v>1850</v>
      </c>
      <c r="G89" s="11" t="n">
        <f aca="false">Units!$E88*(1+Inputs!$B$7)^(G$2-1)</f>
        <v>1850</v>
      </c>
      <c r="H89" s="11" t="n">
        <f aca="false">Units!$E88*(1+Inputs!$B$7)^(H$2-1)</f>
        <v>1850</v>
      </c>
      <c r="I89" s="11" t="n">
        <f aca="false">Units!$E88*(1+Inputs!$B$7)^(I$2-1)</f>
        <v>1850</v>
      </c>
      <c r="J89" s="11" t="n">
        <f aca="false">Units!$E88*(1+Inputs!$B$7)^(J$2-1)</f>
        <v>1850</v>
      </c>
      <c r="K89" s="11" t="n">
        <f aca="false">Units!$E88*(1+Inputs!$B$7)^(K$2-1)</f>
        <v>1850</v>
      </c>
      <c r="L89" s="11" t="n">
        <f aca="false">Units!$E88*(1+Inputs!$B$7)^(L$2-1)</f>
        <v>1850</v>
      </c>
      <c r="M89" s="11" t="n">
        <f aca="false">Units!$E88*(1+Inputs!$B$7)^(M$2-1)</f>
        <v>1850</v>
      </c>
      <c r="N89" s="11" t="n">
        <f aca="false">Units!$E88*(1+Inputs!$B$7)^(N$2-1)</f>
        <v>1850</v>
      </c>
      <c r="O89" s="11" t="n">
        <f aca="false">Units!$E88*(1+Inputs!$B$7)^(O$2-1)</f>
        <v>1905.5</v>
      </c>
      <c r="P89" s="11" t="n">
        <f aca="false">Units!$E88*(1+Inputs!$B$7)^(P$2-1)</f>
        <v>1905.5</v>
      </c>
      <c r="Q89" s="11" t="n">
        <f aca="false">Units!$E88*(1+Inputs!$B$7)^(Q$2-1)</f>
        <v>1905.5</v>
      </c>
      <c r="R89" s="11" t="n">
        <f aca="false">Units!$E88*(1+Inputs!$B$7)^(R$2-1)</f>
        <v>1905.5</v>
      </c>
      <c r="S89" s="11" t="n">
        <f aca="false">Units!$E88*(1+Inputs!$B$7)^(S$2-1)</f>
        <v>1905.5</v>
      </c>
      <c r="T89" s="11" t="n">
        <f aca="false">Units!$E88*(1+Inputs!$B$7)^(T$2-1)</f>
        <v>1905.5</v>
      </c>
      <c r="U89" s="11" t="n">
        <f aca="false">Units!$E88*(1+Inputs!$B$7)^(U$2-1)</f>
        <v>1905.5</v>
      </c>
      <c r="V89" s="11" t="n">
        <f aca="false">Units!$E88*(1+Inputs!$B$7)^(V$2-1)</f>
        <v>1905.5</v>
      </c>
      <c r="W89" s="11" t="n">
        <f aca="false">Units!$E88*(1+Inputs!$B$7)^(W$2-1)</f>
        <v>1905.5</v>
      </c>
      <c r="X89" s="11" t="n">
        <f aca="false">Units!$E88*(1+Inputs!$B$7)^(X$2-1)</f>
        <v>1905.5</v>
      </c>
      <c r="Y89" s="11" t="n">
        <f aca="false">Units!$E88*(1+Inputs!$B$7)^(Y$2-1)</f>
        <v>1905.5</v>
      </c>
      <c r="Z89" s="11" t="n">
        <f aca="false">Units!$E88*(1+Inputs!$B$7)^(Z$2-1)</f>
        <v>1905.5</v>
      </c>
      <c r="AA89" s="11" t="n">
        <f aca="false">Units!$E88*(1+Inputs!$B$7)^(AA$2-1)</f>
        <v>1962.665</v>
      </c>
      <c r="AB89" s="11" t="n">
        <f aca="false">Units!$E88*(1+Inputs!$B$7)^(AB$2-1)</f>
        <v>1962.665</v>
      </c>
      <c r="AC89" s="11" t="n">
        <f aca="false">Units!$E88*(1+Inputs!$B$7)^(AC$2-1)</f>
        <v>1962.665</v>
      </c>
      <c r="AD89" s="11" t="n">
        <f aca="false">Units!$E88*(1+Inputs!$B$7)^(AD$2-1)</f>
        <v>1962.665</v>
      </c>
      <c r="AE89" s="11" t="n">
        <f aca="false">Units!$E88*(1+Inputs!$B$7)^(AE$2-1)</f>
        <v>1962.665</v>
      </c>
      <c r="AF89" s="11" t="n">
        <f aca="false">Units!$E88*(1+Inputs!$B$7)^(AF$2-1)</f>
        <v>1962.665</v>
      </c>
      <c r="AG89" s="11" t="n">
        <f aca="false">Units!$E88*(1+Inputs!$B$7)^(AG$2-1)</f>
        <v>1962.665</v>
      </c>
      <c r="AH89" s="11" t="n">
        <f aca="false">Units!$E88*(1+Inputs!$B$7)^(AH$2-1)</f>
        <v>1962.665</v>
      </c>
      <c r="AI89" s="11" t="n">
        <f aca="false">Units!$E88*(1+Inputs!$B$7)^(AI$2-1)</f>
        <v>1962.665</v>
      </c>
      <c r="AJ89" s="11" t="n">
        <f aca="false">Units!$E88*(1+Inputs!$B$7)^(AJ$2-1)</f>
        <v>1962.665</v>
      </c>
      <c r="AK89" s="11" t="n">
        <f aca="false">Units!$E88*(1+Inputs!$B$7)^(AK$2-1)</f>
        <v>1962.665</v>
      </c>
      <c r="AL89" s="11" t="n">
        <f aca="false">Units!$E88*(1+Inputs!$B$7)^(AL$2-1)</f>
        <v>1962.665</v>
      </c>
      <c r="AM89" s="11" t="n">
        <f aca="false">Units!$E88*(1+Inputs!$B$7)^(AM$2-1)</f>
        <v>2021.54495</v>
      </c>
      <c r="AN89" s="11" t="n">
        <f aca="false">Units!$E88*(1+Inputs!$B$7)^(AN$2-1)</f>
        <v>2021.54495</v>
      </c>
      <c r="AO89" s="11" t="n">
        <f aca="false">Units!$E88*(1+Inputs!$B$7)^(AO$2-1)</f>
        <v>2021.54495</v>
      </c>
      <c r="AP89" s="11" t="n">
        <f aca="false">Units!$E88*(1+Inputs!$B$7)^(AP$2-1)</f>
        <v>2021.54495</v>
      </c>
      <c r="AQ89" s="11" t="n">
        <f aca="false">Units!$E88*(1+Inputs!$B$7)^(AQ$2-1)</f>
        <v>2021.54495</v>
      </c>
      <c r="AR89" s="11" t="n">
        <f aca="false">Units!$E88*(1+Inputs!$B$7)^(AR$2-1)</f>
        <v>2021.54495</v>
      </c>
      <c r="AS89" s="11" t="n">
        <f aca="false">Units!$E88*(1+Inputs!$B$7)^(AS$2-1)</f>
        <v>2021.54495</v>
      </c>
      <c r="AT89" s="11" t="n">
        <f aca="false">Units!$E88*(1+Inputs!$B$7)^(AT$2-1)</f>
        <v>2021.54495</v>
      </c>
      <c r="AU89" s="11" t="n">
        <f aca="false">Units!$E88*(1+Inputs!$B$7)^(AU$2-1)</f>
        <v>2021.54495</v>
      </c>
      <c r="AV89" s="11" t="n">
        <f aca="false">Units!$E88*(1+Inputs!$B$7)^(AV$2-1)</f>
        <v>2021.54495</v>
      </c>
      <c r="AW89" s="11" t="n">
        <f aca="false">Units!$E88*(1+Inputs!$B$7)^(AW$2-1)</f>
        <v>2021.54495</v>
      </c>
      <c r="AX89" s="11" t="n">
        <f aca="false">Units!$E88*(1+Inputs!$B$7)^(AX$2-1)</f>
        <v>2021.54495</v>
      </c>
      <c r="AY89" s="11" t="n">
        <f aca="false">Units!$E88*(1+Inputs!$B$7)^(AY$2-1)</f>
        <v>2082.1912985</v>
      </c>
      <c r="AZ89" s="11" t="n">
        <f aca="false">Units!$E88*(1+Inputs!$B$7)^(AZ$2-1)</f>
        <v>2082.1912985</v>
      </c>
      <c r="BA89" s="11" t="n">
        <f aca="false">Units!$E88*(1+Inputs!$B$7)^(BA$2-1)</f>
        <v>2082.1912985</v>
      </c>
      <c r="BB89" s="11" t="n">
        <f aca="false">Units!$E88*(1+Inputs!$B$7)^(BB$2-1)</f>
        <v>2082.1912985</v>
      </c>
      <c r="BC89" s="11" t="n">
        <f aca="false">Units!$E88*(1+Inputs!$B$7)^(BC$2-1)</f>
        <v>2082.1912985</v>
      </c>
      <c r="BD89" s="11" t="n">
        <f aca="false">Units!$E88*(1+Inputs!$B$7)^(BD$2-1)</f>
        <v>2082.1912985</v>
      </c>
      <c r="BE89" s="11" t="n">
        <f aca="false">Units!$E88*(1+Inputs!$B$7)^(BE$2-1)</f>
        <v>2082.1912985</v>
      </c>
      <c r="BF89" s="11" t="n">
        <f aca="false">Units!$E88*(1+Inputs!$B$7)^(BF$2-1)</f>
        <v>2082.1912985</v>
      </c>
      <c r="BG89" s="11" t="n">
        <f aca="false">Units!$E88*(1+Inputs!$B$7)^(BG$2-1)</f>
        <v>2082.1912985</v>
      </c>
      <c r="BH89" s="11" t="n">
        <f aca="false">Units!$E88*(1+Inputs!$B$7)^(BH$2-1)</f>
        <v>2082.1912985</v>
      </c>
      <c r="BI89" s="11" t="n">
        <f aca="false">Units!$E88*(1+Inputs!$B$7)^(BI$2-1)</f>
        <v>2082.1912985</v>
      </c>
      <c r="BJ89" s="11" t="n">
        <f aca="false">Units!$E88*(1+Inputs!$B$7)^(BJ$2-1)</f>
        <v>2082.1912985</v>
      </c>
      <c r="BK89" s="11" t="n">
        <f aca="false">Units!$E88*(1+Inputs!$B$7)^(BK$2-1)</f>
        <v>2144.657037455</v>
      </c>
      <c r="BL89" s="11" t="n">
        <f aca="false">Units!$E88*(1+Inputs!$B$7)^(BL$2-1)</f>
        <v>2144.657037455</v>
      </c>
      <c r="BM89" s="11" t="n">
        <f aca="false">Units!$E88*(1+Inputs!$B$7)^(BM$2-1)</f>
        <v>2144.657037455</v>
      </c>
      <c r="BN89" s="11" t="n">
        <f aca="false">Units!$E88*(1+Inputs!$B$7)^(BN$2-1)</f>
        <v>2144.657037455</v>
      </c>
      <c r="BO89" s="11" t="n">
        <f aca="false">Units!$E88*(1+Inputs!$B$7)^(BO$2-1)</f>
        <v>2144.657037455</v>
      </c>
      <c r="BP89" s="11" t="n">
        <f aca="false">Units!$E88*(1+Inputs!$B$7)^(BP$2-1)</f>
        <v>2144.657037455</v>
      </c>
      <c r="BQ89" s="11" t="n">
        <f aca="false">Units!$E88*(1+Inputs!$B$7)^(BQ$2-1)</f>
        <v>2144.657037455</v>
      </c>
      <c r="BR89" s="11" t="n">
        <f aca="false">Units!$E88*(1+Inputs!$B$7)^(BR$2-1)</f>
        <v>2144.657037455</v>
      </c>
      <c r="BS89" s="11" t="n">
        <f aca="false">Units!$E88*(1+Inputs!$B$7)^(BS$2-1)</f>
        <v>2144.657037455</v>
      </c>
      <c r="BT89" s="11" t="n">
        <f aca="false">Units!$E88*(1+Inputs!$B$7)^(BT$2-1)</f>
        <v>2144.657037455</v>
      </c>
      <c r="BU89" s="11" t="n">
        <f aca="false">Units!$E88*(1+Inputs!$B$7)^(BU$2-1)</f>
        <v>2144.657037455</v>
      </c>
      <c r="BV89" s="11" t="n">
        <f aca="false">Units!$E88*(1+Inputs!$B$7)^(BV$2-1)</f>
        <v>2144.657037455</v>
      </c>
      <c r="BW89" s="11" t="n">
        <f aca="false">Units!$E88*(1+Inputs!$B$7)^(BW$2-1)</f>
        <v>2208.99674857865</v>
      </c>
      <c r="BX89" s="11" t="n">
        <f aca="false">Units!$E88*(1+Inputs!$B$7)^(BX$2-1)</f>
        <v>2208.99674857865</v>
      </c>
      <c r="BY89" s="11" t="n">
        <f aca="false">Units!$E88*(1+Inputs!$B$7)^(BY$2-1)</f>
        <v>2208.99674857865</v>
      </c>
      <c r="BZ89" s="11" t="n">
        <f aca="false">Units!$E88*(1+Inputs!$B$7)^(BZ$2-1)</f>
        <v>2208.99674857865</v>
      </c>
      <c r="CA89" s="11" t="n">
        <f aca="false">Units!$E88*(1+Inputs!$B$7)^(CA$2-1)</f>
        <v>2208.99674857865</v>
      </c>
      <c r="CB89" s="11" t="n">
        <f aca="false">Units!$E88*(1+Inputs!$B$7)^(CB$2-1)</f>
        <v>2208.99674857865</v>
      </c>
      <c r="CC89" s="11" t="n">
        <f aca="false">Units!$E88*(1+Inputs!$B$7)^(CC$2-1)</f>
        <v>2208.99674857865</v>
      </c>
      <c r="CD89" s="11" t="n">
        <f aca="false">Units!$E88*(1+Inputs!$B$7)^(CD$2-1)</f>
        <v>2208.99674857865</v>
      </c>
      <c r="CE89" s="11" t="n">
        <f aca="false">Units!$E88*(1+Inputs!$B$7)^(CE$2-1)</f>
        <v>2208.99674857865</v>
      </c>
      <c r="CF89" s="11" t="n">
        <f aca="false">Units!$E88*(1+Inputs!$B$7)^(CF$2-1)</f>
        <v>2208.99674857865</v>
      </c>
      <c r="CG89" s="11" t="n">
        <f aca="false">Units!$E88*(1+Inputs!$B$7)^(CG$2-1)</f>
        <v>2208.99674857865</v>
      </c>
      <c r="CH89" s="11" t="n">
        <f aca="false">Units!$E88*(1+Inputs!$B$7)^(CH$2-1)</f>
        <v>2208.99674857865</v>
      </c>
      <c r="CI89" s="11" t="n">
        <f aca="false">Units!$E88*(1+Inputs!$B$7)^(CI$2-1)</f>
        <v>2275.26665103601</v>
      </c>
      <c r="CJ89" s="11" t="n">
        <f aca="false">Units!$E88*(1+Inputs!$B$7)^(CJ$2-1)</f>
        <v>2275.26665103601</v>
      </c>
      <c r="CK89" s="11" t="n">
        <f aca="false">Units!$E88*(1+Inputs!$B$7)^(CK$2-1)</f>
        <v>2275.26665103601</v>
      </c>
      <c r="CL89" s="11" t="n">
        <f aca="false">Units!$E88*(1+Inputs!$B$7)^(CL$2-1)</f>
        <v>2275.26665103601</v>
      </c>
      <c r="CM89" s="11" t="n">
        <f aca="false">Units!$E88*(1+Inputs!$B$7)^(CM$2-1)</f>
        <v>2275.26665103601</v>
      </c>
      <c r="CN89" s="11" t="n">
        <f aca="false">Units!$E88*(1+Inputs!$B$7)^(CN$2-1)</f>
        <v>2275.26665103601</v>
      </c>
      <c r="CO89" s="11" t="n">
        <f aca="false">Units!$E88*(1+Inputs!$B$7)^(CO$2-1)</f>
        <v>2275.26665103601</v>
      </c>
      <c r="CP89" s="11" t="n">
        <f aca="false">Units!$E88*(1+Inputs!$B$7)^(CP$2-1)</f>
        <v>2275.26665103601</v>
      </c>
      <c r="CQ89" s="11" t="n">
        <f aca="false">Units!$E88*(1+Inputs!$B$7)^(CQ$2-1)</f>
        <v>2275.26665103601</v>
      </c>
      <c r="CR89" s="11" t="n">
        <f aca="false">Units!$E88*(1+Inputs!$B$7)^(CR$2-1)</f>
        <v>2275.26665103601</v>
      </c>
      <c r="CS89" s="11" t="n">
        <f aca="false">Units!$E88*(1+Inputs!$B$7)^(CS$2-1)</f>
        <v>2275.26665103601</v>
      </c>
      <c r="CT89" s="11" t="n">
        <f aca="false">Units!$E88*(1+Inputs!$B$7)^(CT$2-1)</f>
        <v>2275.26665103601</v>
      </c>
      <c r="CU89" s="11" t="n">
        <f aca="false">Units!$E88*(1+Inputs!$B$7)^(CU$2-1)</f>
        <v>2343.52465056709</v>
      </c>
      <c r="CV89" s="11" t="n">
        <f aca="false">Units!$E88*(1+Inputs!$B$7)^(CV$2-1)</f>
        <v>2343.52465056709</v>
      </c>
      <c r="CW89" s="11" t="n">
        <f aca="false">Units!$E88*(1+Inputs!$B$7)^(CW$2-1)</f>
        <v>2343.52465056709</v>
      </c>
      <c r="CX89" s="11" t="n">
        <f aca="false">Units!$E88*(1+Inputs!$B$7)^(CX$2-1)</f>
        <v>2343.52465056709</v>
      </c>
      <c r="CY89" s="11" t="n">
        <f aca="false">Units!$E88*(1+Inputs!$B$7)^(CY$2-1)</f>
        <v>2343.52465056709</v>
      </c>
      <c r="CZ89" s="11" t="n">
        <f aca="false">Units!$E88*(1+Inputs!$B$7)^(CZ$2-1)</f>
        <v>2343.52465056709</v>
      </c>
      <c r="DA89" s="11" t="n">
        <f aca="false">Units!$E88*(1+Inputs!$B$7)^(DA$2-1)</f>
        <v>2343.52465056709</v>
      </c>
      <c r="DB89" s="11" t="n">
        <f aca="false">Units!$E88*(1+Inputs!$B$7)^(DB$2-1)</f>
        <v>2343.52465056709</v>
      </c>
      <c r="DC89" s="11" t="n">
        <f aca="false">Units!$E88*(1+Inputs!$B$7)^(DC$2-1)</f>
        <v>2343.52465056709</v>
      </c>
      <c r="DD89" s="11" t="n">
        <f aca="false">Units!$E88*(1+Inputs!$B$7)^(DD$2-1)</f>
        <v>2343.52465056709</v>
      </c>
      <c r="DE89" s="11" t="n">
        <f aca="false">Units!$E88*(1+Inputs!$B$7)^(DE$2-1)</f>
        <v>2343.52465056709</v>
      </c>
      <c r="DF89" s="11" t="n">
        <f aca="false">Units!$E88*(1+Inputs!$B$7)^(DF$2-1)</f>
        <v>2343.52465056709</v>
      </c>
      <c r="DG89" s="11" t="n">
        <f aca="false">Units!$E88*(1+Inputs!$B$7)^(DG$2-1)</f>
        <v>2413.8303900841</v>
      </c>
      <c r="DH89" s="11" t="n">
        <f aca="false">Units!$E88*(1+Inputs!$B$7)^(DH$2-1)</f>
        <v>2413.8303900841</v>
      </c>
      <c r="DI89" s="11" t="n">
        <f aca="false">Units!$E88*(1+Inputs!$B$7)^(DI$2-1)</f>
        <v>2413.8303900841</v>
      </c>
      <c r="DJ89" s="11" t="n">
        <f aca="false">Units!$E88*(1+Inputs!$B$7)^(DJ$2-1)</f>
        <v>2413.8303900841</v>
      </c>
      <c r="DK89" s="11" t="n">
        <f aca="false">Units!$E88*(1+Inputs!$B$7)^(DK$2-1)</f>
        <v>2413.8303900841</v>
      </c>
      <c r="DL89" s="11" t="n">
        <f aca="false">Units!$E88*(1+Inputs!$B$7)^(DL$2-1)</f>
        <v>2413.8303900841</v>
      </c>
      <c r="DM89" s="11" t="n">
        <f aca="false">Units!$E88*(1+Inputs!$B$7)^(DM$2-1)</f>
        <v>2413.8303900841</v>
      </c>
      <c r="DN89" s="11" t="n">
        <f aca="false">Units!$E88*(1+Inputs!$B$7)^(DN$2-1)</f>
        <v>2413.8303900841</v>
      </c>
      <c r="DO89" s="11" t="n">
        <f aca="false">Units!$E88*(1+Inputs!$B$7)^(DO$2-1)</f>
        <v>2413.8303900841</v>
      </c>
      <c r="DP89" s="11" t="n">
        <f aca="false">Units!$E88*(1+Inputs!$B$7)^(DP$2-1)</f>
        <v>2413.8303900841</v>
      </c>
      <c r="DQ89" s="11" t="n">
        <f aca="false">Units!$E88*(1+Inputs!$B$7)^(DQ$2-1)</f>
        <v>2413.8303900841</v>
      </c>
      <c r="DR89" s="11" t="n">
        <f aca="false">Units!$E88*(1+Inputs!$B$7)^(DR$2-1)</f>
        <v>2413.8303900841</v>
      </c>
      <c r="DS89" s="11" t="n">
        <f aca="false">Units!$E88*(1+Inputs!$B$7)^(DS$2-1)</f>
        <v>2486.24530178663</v>
      </c>
      <c r="DT89" s="11" t="n">
        <f aca="false">Units!$E88*(1+Inputs!$B$7)^(DT$2-1)</f>
        <v>2486.24530178663</v>
      </c>
      <c r="DU89" s="11" t="n">
        <f aca="false">Units!$E88*(1+Inputs!$B$7)^(DU$2-1)</f>
        <v>2486.24530178663</v>
      </c>
      <c r="DV89" s="11" t="n">
        <f aca="false">Units!$E88*(1+Inputs!$B$7)^(DV$2-1)</f>
        <v>2486.24530178663</v>
      </c>
      <c r="DW89" s="11" t="n">
        <f aca="false">Units!$E88*(1+Inputs!$B$7)^(DW$2-1)</f>
        <v>2486.24530178663</v>
      </c>
      <c r="DX89" s="11" t="n">
        <f aca="false">Units!$E88*(1+Inputs!$B$7)^(DX$2-1)</f>
        <v>2486.24530178663</v>
      </c>
      <c r="DY89" s="11" t="n">
        <f aca="false">Units!$E88*(1+Inputs!$B$7)^(DY$2-1)</f>
        <v>2486.24530178663</v>
      </c>
      <c r="DZ89" s="11" t="n">
        <f aca="false">Units!$E88*(1+Inputs!$B$7)^(DZ$2-1)</f>
        <v>2486.24530178663</v>
      </c>
      <c r="EA89" s="11" t="n">
        <f aca="false">Units!$E88*(1+Inputs!$B$7)^(EA$2-1)</f>
        <v>2486.24530178663</v>
      </c>
      <c r="EB89" s="11" t="n">
        <f aca="false">Units!$E88*(1+Inputs!$B$7)^(EB$2-1)</f>
        <v>2486.24530178663</v>
      </c>
      <c r="EC89" s="11" t="n">
        <f aca="false">Units!$E88*(1+Inputs!$B$7)^(EC$2-1)</f>
        <v>2486.24530178663</v>
      </c>
      <c r="ED89" s="11" t="n">
        <f aca="false">Units!$E88*(1+Inputs!$B$7)^(ED$2-1)</f>
        <v>2486.24530178663</v>
      </c>
    </row>
    <row r="90" customFormat="false" ht="15" hidden="false" customHeight="false" outlineLevel="0" collapsed="false">
      <c r="A90" s="22" t="n">
        <f aca="false">Units!A89</f>
        <v>328</v>
      </c>
      <c r="B90" s="23"/>
      <c r="C90" s="11" t="n">
        <f aca="false">Units!$E89*(1+Inputs!$B$7)^(C$2-1)</f>
        <v>2240</v>
      </c>
      <c r="D90" s="11" t="n">
        <f aca="false">Units!$E89*(1+Inputs!$B$7)^(D$2-1)</f>
        <v>2240</v>
      </c>
      <c r="E90" s="11" t="n">
        <f aca="false">Units!$E89*(1+Inputs!$B$7)^(E$2-1)</f>
        <v>2240</v>
      </c>
      <c r="F90" s="11" t="n">
        <f aca="false">Units!$E89*(1+Inputs!$B$7)^(F$2-1)</f>
        <v>2240</v>
      </c>
      <c r="G90" s="11" t="n">
        <f aca="false">Units!$E89*(1+Inputs!$B$7)^(G$2-1)</f>
        <v>2240</v>
      </c>
      <c r="H90" s="11" t="n">
        <f aca="false">Units!$E89*(1+Inputs!$B$7)^(H$2-1)</f>
        <v>2240</v>
      </c>
      <c r="I90" s="11" t="n">
        <f aca="false">Units!$E89*(1+Inputs!$B$7)^(I$2-1)</f>
        <v>2240</v>
      </c>
      <c r="J90" s="11" t="n">
        <f aca="false">Units!$E89*(1+Inputs!$B$7)^(J$2-1)</f>
        <v>2240</v>
      </c>
      <c r="K90" s="11" t="n">
        <f aca="false">Units!$E89*(1+Inputs!$B$7)^(K$2-1)</f>
        <v>2240</v>
      </c>
      <c r="L90" s="11" t="n">
        <f aca="false">Units!$E89*(1+Inputs!$B$7)^(L$2-1)</f>
        <v>2240</v>
      </c>
      <c r="M90" s="11" t="n">
        <f aca="false">Units!$E89*(1+Inputs!$B$7)^(M$2-1)</f>
        <v>2240</v>
      </c>
      <c r="N90" s="11" t="n">
        <f aca="false">Units!$E89*(1+Inputs!$B$7)^(N$2-1)</f>
        <v>2240</v>
      </c>
      <c r="O90" s="11" t="n">
        <f aca="false">Units!$E89*(1+Inputs!$B$7)^(O$2-1)</f>
        <v>2307.2</v>
      </c>
      <c r="P90" s="11" t="n">
        <f aca="false">Units!$E89*(1+Inputs!$B$7)^(P$2-1)</f>
        <v>2307.2</v>
      </c>
      <c r="Q90" s="11" t="n">
        <f aca="false">Units!$E89*(1+Inputs!$B$7)^(Q$2-1)</f>
        <v>2307.2</v>
      </c>
      <c r="R90" s="11" t="n">
        <f aca="false">Units!$E89*(1+Inputs!$B$7)^(R$2-1)</f>
        <v>2307.2</v>
      </c>
      <c r="S90" s="11" t="n">
        <f aca="false">Units!$E89*(1+Inputs!$B$7)^(S$2-1)</f>
        <v>2307.2</v>
      </c>
      <c r="T90" s="11" t="n">
        <f aca="false">Units!$E89*(1+Inputs!$B$7)^(T$2-1)</f>
        <v>2307.2</v>
      </c>
      <c r="U90" s="11" t="n">
        <f aca="false">Units!$E89*(1+Inputs!$B$7)^(U$2-1)</f>
        <v>2307.2</v>
      </c>
      <c r="V90" s="11" t="n">
        <f aca="false">Units!$E89*(1+Inputs!$B$7)^(V$2-1)</f>
        <v>2307.2</v>
      </c>
      <c r="W90" s="11" t="n">
        <f aca="false">Units!$E89*(1+Inputs!$B$7)^(W$2-1)</f>
        <v>2307.2</v>
      </c>
      <c r="X90" s="11" t="n">
        <f aca="false">Units!$E89*(1+Inputs!$B$7)^(X$2-1)</f>
        <v>2307.2</v>
      </c>
      <c r="Y90" s="11" t="n">
        <f aca="false">Units!$E89*(1+Inputs!$B$7)^(Y$2-1)</f>
        <v>2307.2</v>
      </c>
      <c r="Z90" s="11" t="n">
        <f aca="false">Units!$E89*(1+Inputs!$B$7)^(Z$2-1)</f>
        <v>2307.2</v>
      </c>
      <c r="AA90" s="11" t="n">
        <f aca="false">Units!$E89*(1+Inputs!$B$7)^(AA$2-1)</f>
        <v>2376.416</v>
      </c>
      <c r="AB90" s="11" t="n">
        <f aca="false">Units!$E89*(1+Inputs!$B$7)^(AB$2-1)</f>
        <v>2376.416</v>
      </c>
      <c r="AC90" s="11" t="n">
        <f aca="false">Units!$E89*(1+Inputs!$B$7)^(AC$2-1)</f>
        <v>2376.416</v>
      </c>
      <c r="AD90" s="11" t="n">
        <f aca="false">Units!$E89*(1+Inputs!$B$7)^(AD$2-1)</f>
        <v>2376.416</v>
      </c>
      <c r="AE90" s="11" t="n">
        <f aca="false">Units!$E89*(1+Inputs!$B$7)^(AE$2-1)</f>
        <v>2376.416</v>
      </c>
      <c r="AF90" s="11" t="n">
        <f aca="false">Units!$E89*(1+Inputs!$B$7)^(AF$2-1)</f>
        <v>2376.416</v>
      </c>
      <c r="AG90" s="11" t="n">
        <f aca="false">Units!$E89*(1+Inputs!$B$7)^(AG$2-1)</f>
        <v>2376.416</v>
      </c>
      <c r="AH90" s="11" t="n">
        <f aca="false">Units!$E89*(1+Inputs!$B$7)^(AH$2-1)</f>
        <v>2376.416</v>
      </c>
      <c r="AI90" s="11" t="n">
        <f aca="false">Units!$E89*(1+Inputs!$B$7)^(AI$2-1)</f>
        <v>2376.416</v>
      </c>
      <c r="AJ90" s="11" t="n">
        <f aca="false">Units!$E89*(1+Inputs!$B$7)^(AJ$2-1)</f>
        <v>2376.416</v>
      </c>
      <c r="AK90" s="11" t="n">
        <f aca="false">Units!$E89*(1+Inputs!$B$7)^(AK$2-1)</f>
        <v>2376.416</v>
      </c>
      <c r="AL90" s="11" t="n">
        <f aca="false">Units!$E89*(1+Inputs!$B$7)^(AL$2-1)</f>
        <v>2376.416</v>
      </c>
      <c r="AM90" s="11" t="n">
        <f aca="false">Units!$E89*(1+Inputs!$B$7)^(AM$2-1)</f>
        <v>2447.70848</v>
      </c>
      <c r="AN90" s="11" t="n">
        <f aca="false">Units!$E89*(1+Inputs!$B$7)^(AN$2-1)</f>
        <v>2447.70848</v>
      </c>
      <c r="AO90" s="11" t="n">
        <f aca="false">Units!$E89*(1+Inputs!$B$7)^(AO$2-1)</f>
        <v>2447.70848</v>
      </c>
      <c r="AP90" s="11" t="n">
        <f aca="false">Units!$E89*(1+Inputs!$B$7)^(AP$2-1)</f>
        <v>2447.70848</v>
      </c>
      <c r="AQ90" s="11" t="n">
        <f aca="false">Units!$E89*(1+Inputs!$B$7)^(AQ$2-1)</f>
        <v>2447.70848</v>
      </c>
      <c r="AR90" s="11" t="n">
        <f aca="false">Units!$E89*(1+Inputs!$B$7)^(AR$2-1)</f>
        <v>2447.70848</v>
      </c>
      <c r="AS90" s="11" t="n">
        <f aca="false">Units!$E89*(1+Inputs!$B$7)^(AS$2-1)</f>
        <v>2447.70848</v>
      </c>
      <c r="AT90" s="11" t="n">
        <f aca="false">Units!$E89*(1+Inputs!$B$7)^(AT$2-1)</f>
        <v>2447.70848</v>
      </c>
      <c r="AU90" s="11" t="n">
        <f aca="false">Units!$E89*(1+Inputs!$B$7)^(AU$2-1)</f>
        <v>2447.70848</v>
      </c>
      <c r="AV90" s="11" t="n">
        <f aca="false">Units!$E89*(1+Inputs!$B$7)^(AV$2-1)</f>
        <v>2447.70848</v>
      </c>
      <c r="AW90" s="11" t="n">
        <f aca="false">Units!$E89*(1+Inputs!$B$7)^(AW$2-1)</f>
        <v>2447.70848</v>
      </c>
      <c r="AX90" s="11" t="n">
        <f aca="false">Units!$E89*(1+Inputs!$B$7)^(AX$2-1)</f>
        <v>2447.70848</v>
      </c>
      <c r="AY90" s="11" t="n">
        <f aca="false">Units!$E89*(1+Inputs!$B$7)^(AY$2-1)</f>
        <v>2521.1397344</v>
      </c>
      <c r="AZ90" s="11" t="n">
        <f aca="false">Units!$E89*(1+Inputs!$B$7)^(AZ$2-1)</f>
        <v>2521.1397344</v>
      </c>
      <c r="BA90" s="11" t="n">
        <f aca="false">Units!$E89*(1+Inputs!$B$7)^(BA$2-1)</f>
        <v>2521.1397344</v>
      </c>
      <c r="BB90" s="11" t="n">
        <f aca="false">Units!$E89*(1+Inputs!$B$7)^(BB$2-1)</f>
        <v>2521.1397344</v>
      </c>
      <c r="BC90" s="11" t="n">
        <f aca="false">Units!$E89*(1+Inputs!$B$7)^(BC$2-1)</f>
        <v>2521.1397344</v>
      </c>
      <c r="BD90" s="11" t="n">
        <f aca="false">Units!$E89*(1+Inputs!$B$7)^(BD$2-1)</f>
        <v>2521.1397344</v>
      </c>
      <c r="BE90" s="11" t="n">
        <f aca="false">Units!$E89*(1+Inputs!$B$7)^(BE$2-1)</f>
        <v>2521.1397344</v>
      </c>
      <c r="BF90" s="11" t="n">
        <f aca="false">Units!$E89*(1+Inputs!$B$7)^(BF$2-1)</f>
        <v>2521.1397344</v>
      </c>
      <c r="BG90" s="11" t="n">
        <f aca="false">Units!$E89*(1+Inputs!$B$7)^(BG$2-1)</f>
        <v>2521.1397344</v>
      </c>
      <c r="BH90" s="11" t="n">
        <f aca="false">Units!$E89*(1+Inputs!$B$7)^(BH$2-1)</f>
        <v>2521.1397344</v>
      </c>
      <c r="BI90" s="11" t="n">
        <f aca="false">Units!$E89*(1+Inputs!$B$7)^(BI$2-1)</f>
        <v>2521.1397344</v>
      </c>
      <c r="BJ90" s="11" t="n">
        <f aca="false">Units!$E89*(1+Inputs!$B$7)^(BJ$2-1)</f>
        <v>2521.1397344</v>
      </c>
      <c r="BK90" s="11" t="n">
        <f aca="false">Units!$E89*(1+Inputs!$B$7)^(BK$2-1)</f>
        <v>2596.773926432</v>
      </c>
      <c r="BL90" s="11" t="n">
        <f aca="false">Units!$E89*(1+Inputs!$B$7)^(BL$2-1)</f>
        <v>2596.773926432</v>
      </c>
      <c r="BM90" s="11" t="n">
        <f aca="false">Units!$E89*(1+Inputs!$B$7)^(BM$2-1)</f>
        <v>2596.773926432</v>
      </c>
      <c r="BN90" s="11" t="n">
        <f aca="false">Units!$E89*(1+Inputs!$B$7)^(BN$2-1)</f>
        <v>2596.773926432</v>
      </c>
      <c r="BO90" s="11" t="n">
        <f aca="false">Units!$E89*(1+Inputs!$B$7)^(BO$2-1)</f>
        <v>2596.773926432</v>
      </c>
      <c r="BP90" s="11" t="n">
        <f aca="false">Units!$E89*(1+Inputs!$B$7)^(BP$2-1)</f>
        <v>2596.773926432</v>
      </c>
      <c r="BQ90" s="11" t="n">
        <f aca="false">Units!$E89*(1+Inputs!$B$7)^(BQ$2-1)</f>
        <v>2596.773926432</v>
      </c>
      <c r="BR90" s="11" t="n">
        <f aca="false">Units!$E89*(1+Inputs!$B$7)^(BR$2-1)</f>
        <v>2596.773926432</v>
      </c>
      <c r="BS90" s="11" t="n">
        <f aca="false">Units!$E89*(1+Inputs!$B$7)^(BS$2-1)</f>
        <v>2596.773926432</v>
      </c>
      <c r="BT90" s="11" t="n">
        <f aca="false">Units!$E89*(1+Inputs!$B$7)^(BT$2-1)</f>
        <v>2596.773926432</v>
      </c>
      <c r="BU90" s="11" t="n">
        <f aca="false">Units!$E89*(1+Inputs!$B$7)^(BU$2-1)</f>
        <v>2596.773926432</v>
      </c>
      <c r="BV90" s="11" t="n">
        <f aca="false">Units!$E89*(1+Inputs!$B$7)^(BV$2-1)</f>
        <v>2596.773926432</v>
      </c>
      <c r="BW90" s="11" t="n">
        <f aca="false">Units!$E89*(1+Inputs!$B$7)^(BW$2-1)</f>
        <v>2674.67714422496</v>
      </c>
      <c r="BX90" s="11" t="n">
        <f aca="false">Units!$E89*(1+Inputs!$B$7)^(BX$2-1)</f>
        <v>2674.67714422496</v>
      </c>
      <c r="BY90" s="11" t="n">
        <f aca="false">Units!$E89*(1+Inputs!$B$7)^(BY$2-1)</f>
        <v>2674.67714422496</v>
      </c>
      <c r="BZ90" s="11" t="n">
        <f aca="false">Units!$E89*(1+Inputs!$B$7)^(BZ$2-1)</f>
        <v>2674.67714422496</v>
      </c>
      <c r="CA90" s="11" t="n">
        <f aca="false">Units!$E89*(1+Inputs!$B$7)^(CA$2-1)</f>
        <v>2674.67714422496</v>
      </c>
      <c r="CB90" s="11" t="n">
        <f aca="false">Units!$E89*(1+Inputs!$B$7)^(CB$2-1)</f>
        <v>2674.67714422496</v>
      </c>
      <c r="CC90" s="11" t="n">
        <f aca="false">Units!$E89*(1+Inputs!$B$7)^(CC$2-1)</f>
        <v>2674.67714422496</v>
      </c>
      <c r="CD90" s="11" t="n">
        <f aca="false">Units!$E89*(1+Inputs!$B$7)^(CD$2-1)</f>
        <v>2674.67714422496</v>
      </c>
      <c r="CE90" s="11" t="n">
        <f aca="false">Units!$E89*(1+Inputs!$B$7)^(CE$2-1)</f>
        <v>2674.67714422496</v>
      </c>
      <c r="CF90" s="11" t="n">
        <f aca="false">Units!$E89*(1+Inputs!$B$7)^(CF$2-1)</f>
        <v>2674.67714422496</v>
      </c>
      <c r="CG90" s="11" t="n">
        <f aca="false">Units!$E89*(1+Inputs!$B$7)^(CG$2-1)</f>
        <v>2674.67714422496</v>
      </c>
      <c r="CH90" s="11" t="n">
        <f aca="false">Units!$E89*(1+Inputs!$B$7)^(CH$2-1)</f>
        <v>2674.67714422496</v>
      </c>
      <c r="CI90" s="11" t="n">
        <f aca="false">Units!$E89*(1+Inputs!$B$7)^(CI$2-1)</f>
        <v>2754.91745855171</v>
      </c>
      <c r="CJ90" s="11" t="n">
        <f aca="false">Units!$E89*(1+Inputs!$B$7)^(CJ$2-1)</f>
        <v>2754.91745855171</v>
      </c>
      <c r="CK90" s="11" t="n">
        <f aca="false">Units!$E89*(1+Inputs!$B$7)^(CK$2-1)</f>
        <v>2754.91745855171</v>
      </c>
      <c r="CL90" s="11" t="n">
        <f aca="false">Units!$E89*(1+Inputs!$B$7)^(CL$2-1)</f>
        <v>2754.91745855171</v>
      </c>
      <c r="CM90" s="11" t="n">
        <f aca="false">Units!$E89*(1+Inputs!$B$7)^(CM$2-1)</f>
        <v>2754.91745855171</v>
      </c>
      <c r="CN90" s="11" t="n">
        <f aca="false">Units!$E89*(1+Inputs!$B$7)^(CN$2-1)</f>
        <v>2754.91745855171</v>
      </c>
      <c r="CO90" s="11" t="n">
        <f aca="false">Units!$E89*(1+Inputs!$B$7)^(CO$2-1)</f>
        <v>2754.91745855171</v>
      </c>
      <c r="CP90" s="11" t="n">
        <f aca="false">Units!$E89*(1+Inputs!$B$7)^(CP$2-1)</f>
        <v>2754.91745855171</v>
      </c>
      <c r="CQ90" s="11" t="n">
        <f aca="false">Units!$E89*(1+Inputs!$B$7)^(CQ$2-1)</f>
        <v>2754.91745855171</v>
      </c>
      <c r="CR90" s="11" t="n">
        <f aca="false">Units!$E89*(1+Inputs!$B$7)^(CR$2-1)</f>
        <v>2754.91745855171</v>
      </c>
      <c r="CS90" s="11" t="n">
        <f aca="false">Units!$E89*(1+Inputs!$B$7)^(CS$2-1)</f>
        <v>2754.91745855171</v>
      </c>
      <c r="CT90" s="11" t="n">
        <f aca="false">Units!$E89*(1+Inputs!$B$7)^(CT$2-1)</f>
        <v>2754.91745855171</v>
      </c>
      <c r="CU90" s="11" t="n">
        <f aca="false">Units!$E89*(1+Inputs!$B$7)^(CU$2-1)</f>
        <v>2837.56498230826</v>
      </c>
      <c r="CV90" s="11" t="n">
        <f aca="false">Units!$E89*(1+Inputs!$B$7)^(CV$2-1)</f>
        <v>2837.56498230826</v>
      </c>
      <c r="CW90" s="11" t="n">
        <f aca="false">Units!$E89*(1+Inputs!$B$7)^(CW$2-1)</f>
        <v>2837.56498230826</v>
      </c>
      <c r="CX90" s="11" t="n">
        <f aca="false">Units!$E89*(1+Inputs!$B$7)^(CX$2-1)</f>
        <v>2837.56498230826</v>
      </c>
      <c r="CY90" s="11" t="n">
        <f aca="false">Units!$E89*(1+Inputs!$B$7)^(CY$2-1)</f>
        <v>2837.56498230826</v>
      </c>
      <c r="CZ90" s="11" t="n">
        <f aca="false">Units!$E89*(1+Inputs!$B$7)^(CZ$2-1)</f>
        <v>2837.56498230826</v>
      </c>
      <c r="DA90" s="11" t="n">
        <f aca="false">Units!$E89*(1+Inputs!$B$7)^(DA$2-1)</f>
        <v>2837.56498230826</v>
      </c>
      <c r="DB90" s="11" t="n">
        <f aca="false">Units!$E89*(1+Inputs!$B$7)^(DB$2-1)</f>
        <v>2837.56498230826</v>
      </c>
      <c r="DC90" s="11" t="n">
        <f aca="false">Units!$E89*(1+Inputs!$B$7)^(DC$2-1)</f>
        <v>2837.56498230826</v>
      </c>
      <c r="DD90" s="11" t="n">
        <f aca="false">Units!$E89*(1+Inputs!$B$7)^(DD$2-1)</f>
        <v>2837.56498230826</v>
      </c>
      <c r="DE90" s="11" t="n">
        <f aca="false">Units!$E89*(1+Inputs!$B$7)^(DE$2-1)</f>
        <v>2837.56498230826</v>
      </c>
      <c r="DF90" s="11" t="n">
        <f aca="false">Units!$E89*(1+Inputs!$B$7)^(DF$2-1)</f>
        <v>2837.56498230826</v>
      </c>
      <c r="DG90" s="11" t="n">
        <f aca="false">Units!$E89*(1+Inputs!$B$7)^(DG$2-1)</f>
        <v>2922.69193177751</v>
      </c>
      <c r="DH90" s="11" t="n">
        <f aca="false">Units!$E89*(1+Inputs!$B$7)^(DH$2-1)</f>
        <v>2922.69193177751</v>
      </c>
      <c r="DI90" s="11" t="n">
        <f aca="false">Units!$E89*(1+Inputs!$B$7)^(DI$2-1)</f>
        <v>2922.69193177751</v>
      </c>
      <c r="DJ90" s="11" t="n">
        <f aca="false">Units!$E89*(1+Inputs!$B$7)^(DJ$2-1)</f>
        <v>2922.69193177751</v>
      </c>
      <c r="DK90" s="11" t="n">
        <f aca="false">Units!$E89*(1+Inputs!$B$7)^(DK$2-1)</f>
        <v>2922.69193177751</v>
      </c>
      <c r="DL90" s="11" t="n">
        <f aca="false">Units!$E89*(1+Inputs!$B$7)^(DL$2-1)</f>
        <v>2922.69193177751</v>
      </c>
      <c r="DM90" s="11" t="n">
        <f aca="false">Units!$E89*(1+Inputs!$B$7)^(DM$2-1)</f>
        <v>2922.69193177751</v>
      </c>
      <c r="DN90" s="11" t="n">
        <f aca="false">Units!$E89*(1+Inputs!$B$7)^(DN$2-1)</f>
        <v>2922.69193177751</v>
      </c>
      <c r="DO90" s="11" t="n">
        <f aca="false">Units!$E89*(1+Inputs!$B$7)^(DO$2-1)</f>
        <v>2922.69193177751</v>
      </c>
      <c r="DP90" s="11" t="n">
        <f aca="false">Units!$E89*(1+Inputs!$B$7)^(DP$2-1)</f>
        <v>2922.69193177751</v>
      </c>
      <c r="DQ90" s="11" t="n">
        <f aca="false">Units!$E89*(1+Inputs!$B$7)^(DQ$2-1)</f>
        <v>2922.69193177751</v>
      </c>
      <c r="DR90" s="11" t="n">
        <f aca="false">Units!$E89*(1+Inputs!$B$7)^(DR$2-1)</f>
        <v>2922.69193177751</v>
      </c>
      <c r="DS90" s="11" t="n">
        <f aca="false">Units!$E89*(1+Inputs!$B$7)^(DS$2-1)</f>
        <v>3010.37268973083</v>
      </c>
      <c r="DT90" s="11" t="n">
        <f aca="false">Units!$E89*(1+Inputs!$B$7)^(DT$2-1)</f>
        <v>3010.37268973083</v>
      </c>
      <c r="DU90" s="11" t="n">
        <f aca="false">Units!$E89*(1+Inputs!$B$7)^(DU$2-1)</f>
        <v>3010.37268973083</v>
      </c>
      <c r="DV90" s="11" t="n">
        <f aca="false">Units!$E89*(1+Inputs!$B$7)^(DV$2-1)</f>
        <v>3010.37268973083</v>
      </c>
      <c r="DW90" s="11" t="n">
        <f aca="false">Units!$E89*(1+Inputs!$B$7)^(DW$2-1)</f>
        <v>3010.37268973083</v>
      </c>
      <c r="DX90" s="11" t="n">
        <f aca="false">Units!$E89*(1+Inputs!$B$7)^(DX$2-1)</f>
        <v>3010.37268973083</v>
      </c>
      <c r="DY90" s="11" t="n">
        <f aca="false">Units!$E89*(1+Inputs!$B$7)^(DY$2-1)</f>
        <v>3010.37268973083</v>
      </c>
      <c r="DZ90" s="11" t="n">
        <f aca="false">Units!$E89*(1+Inputs!$B$7)^(DZ$2-1)</f>
        <v>3010.37268973083</v>
      </c>
      <c r="EA90" s="11" t="n">
        <f aca="false">Units!$E89*(1+Inputs!$B$7)^(EA$2-1)</f>
        <v>3010.37268973083</v>
      </c>
      <c r="EB90" s="11" t="n">
        <f aca="false">Units!$E89*(1+Inputs!$B$7)^(EB$2-1)</f>
        <v>3010.37268973083</v>
      </c>
      <c r="EC90" s="11" t="n">
        <f aca="false">Units!$E89*(1+Inputs!$B$7)^(EC$2-1)</f>
        <v>3010.37268973083</v>
      </c>
      <c r="ED90" s="11" t="n">
        <f aca="false">Units!$E89*(1+Inputs!$B$7)^(ED$2-1)</f>
        <v>3010.37268973083</v>
      </c>
    </row>
    <row r="91" customFormat="false" ht="15" hidden="false" customHeight="false" outlineLevel="0" collapsed="false">
      <c r="A91" s="22" t="n">
        <f aca="false">Units!A90</f>
        <v>329</v>
      </c>
      <c r="B91" s="23"/>
      <c r="C91" s="11" t="n">
        <f aca="false">Units!$E90*(1+Inputs!$B$7)^(C$2-1)</f>
        <v>2240</v>
      </c>
      <c r="D91" s="11" t="n">
        <f aca="false">Units!$E90*(1+Inputs!$B$7)^(D$2-1)</f>
        <v>2240</v>
      </c>
      <c r="E91" s="11" t="n">
        <f aca="false">Units!$E90*(1+Inputs!$B$7)^(E$2-1)</f>
        <v>2240</v>
      </c>
      <c r="F91" s="11" t="n">
        <f aca="false">Units!$E90*(1+Inputs!$B$7)^(F$2-1)</f>
        <v>2240</v>
      </c>
      <c r="G91" s="11" t="n">
        <f aca="false">Units!$E90*(1+Inputs!$B$7)^(G$2-1)</f>
        <v>2240</v>
      </c>
      <c r="H91" s="11" t="n">
        <f aca="false">Units!$E90*(1+Inputs!$B$7)^(H$2-1)</f>
        <v>2240</v>
      </c>
      <c r="I91" s="11" t="n">
        <f aca="false">Units!$E90*(1+Inputs!$B$7)^(I$2-1)</f>
        <v>2240</v>
      </c>
      <c r="J91" s="11" t="n">
        <f aca="false">Units!$E90*(1+Inputs!$B$7)^(J$2-1)</f>
        <v>2240</v>
      </c>
      <c r="K91" s="11" t="n">
        <f aca="false">Units!$E90*(1+Inputs!$B$7)^(K$2-1)</f>
        <v>2240</v>
      </c>
      <c r="L91" s="11" t="n">
        <f aca="false">Units!$E90*(1+Inputs!$B$7)^(L$2-1)</f>
        <v>2240</v>
      </c>
      <c r="M91" s="11" t="n">
        <f aca="false">Units!$E90*(1+Inputs!$B$7)^(M$2-1)</f>
        <v>2240</v>
      </c>
      <c r="N91" s="11" t="n">
        <f aca="false">Units!$E90*(1+Inputs!$B$7)^(N$2-1)</f>
        <v>2240</v>
      </c>
      <c r="O91" s="11" t="n">
        <f aca="false">Units!$E90*(1+Inputs!$B$7)^(O$2-1)</f>
        <v>2307.2</v>
      </c>
      <c r="P91" s="11" t="n">
        <f aca="false">Units!$E90*(1+Inputs!$B$7)^(P$2-1)</f>
        <v>2307.2</v>
      </c>
      <c r="Q91" s="11" t="n">
        <f aca="false">Units!$E90*(1+Inputs!$B$7)^(Q$2-1)</f>
        <v>2307.2</v>
      </c>
      <c r="R91" s="11" t="n">
        <f aca="false">Units!$E90*(1+Inputs!$B$7)^(R$2-1)</f>
        <v>2307.2</v>
      </c>
      <c r="S91" s="11" t="n">
        <f aca="false">Units!$E90*(1+Inputs!$B$7)^(S$2-1)</f>
        <v>2307.2</v>
      </c>
      <c r="T91" s="11" t="n">
        <f aca="false">Units!$E90*(1+Inputs!$B$7)^(T$2-1)</f>
        <v>2307.2</v>
      </c>
      <c r="U91" s="11" t="n">
        <f aca="false">Units!$E90*(1+Inputs!$B$7)^(U$2-1)</f>
        <v>2307.2</v>
      </c>
      <c r="V91" s="11" t="n">
        <f aca="false">Units!$E90*(1+Inputs!$B$7)^(V$2-1)</f>
        <v>2307.2</v>
      </c>
      <c r="W91" s="11" t="n">
        <f aca="false">Units!$E90*(1+Inputs!$B$7)^(W$2-1)</f>
        <v>2307.2</v>
      </c>
      <c r="X91" s="11" t="n">
        <f aca="false">Units!$E90*(1+Inputs!$B$7)^(X$2-1)</f>
        <v>2307.2</v>
      </c>
      <c r="Y91" s="11" t="n">
        <f aca="false">Units!$E90*(1+Inputs!$B$7)^(Y$2-1)</f>
        <v>2307.2</v>
      </c>
      <c r="Z91" s="11" t="n">
        <f aca="false">Units!$E90*(1+Inputs!$B$7)^(Z$2-1)</f>
        <v>2307.2</v>
      </c>
      <c r="AA91" s="11" t="n">
        <f aca="false">Units!$E90*(1+Inputs!$B$7)^(AA$2-1)</f>
        <v>2376.416</v>
      </c>
      <c r="AB91" s="11" t="n">
        <f aca="false">Units!$E90*(1+Inputs!$B$7)^(AB$2-1)</f>
        <v>2376.416</v>
      </c>
      <c r="AC91" s="11" t="n">
        <f aca="false">Units!$E90*(1+Inputs!$B$7)^(AC$2-1)</f>
        <v>2376.416</v>
      </c>
      <c r="AD91" s="11" t="n">
        <f aca="false">Units!$E90*(1+Inputs!$B$7)^(AD$2-1)</f>
        <v>2376.416</v>
      </c>
      <c r="AE91" s="11" t="n">
        <f aca="false">Units!$E90*(1+Inputs!$B$7)^(AE$2-1)</f>
        <v>2376.416</v>
      </c>
      <c r="AF91" s="11" t="n">
        <f aca="false">Units!$E90*(1+Inputs!$B$7)^(AF$2-1)</f>
        <v>2376.416</v>
      </c>
      <c r="AG91" s="11" t="n">
        <f aca="false">Units!$E90*(1+Inputs!$B$7)^(AG$2-1)</f>
        <v>2376.416</v>
      </c>
      <c r="AH91" s="11" t="n">
        <f aca="false">Units!$E90*(1+Inputs!$B$7)^(AH$2-1)</f>
        <v>2376.416</v>
      </c>
      <c r="AI91" s="11" t="n">
        <f aca="false">Units!$E90*(1+Inputs!$B$7)^(AI$2-1)</f>
        <v>2376.416</v>
      </c>
      <c r="AJ91" s="11" t="n">
        <f aca="false">Units!$E90*(1+Inputs!$B$7)^(AJ$2-1)</f>
        <v>2376.416</v>
      </c>
      <c r="AK91" s="11" t="n">
        <f aca="false">Units!$E90*(1+Inputs!$B$7)^(AK$2-1)</f>
        <v>2376.416</v>
      </c>
      <c r="AL91" s="11" t="n">
        <f aca="false">Units!$E90*(1+Inputs!$B$7)^(AL$2-1)</f>
        <v>2376.416</v>
      </c>
      <c r="AM91" s="11" t="n">
        <f aca="false">Units!$E90*(1+Inputs!$B$7)^(AM$2-1)</f>
        <v>2447.70848</v>
      </c>
      <c r="AN91" s="11" t="n">
        <f aca="false">Units!$E90*(1+Inputs!$B$7)^(AN$2-1)</f>
        <v>2447.70848</v>
      </c>
      <c r="AO91" s="11" t="n">
        <f aca="false">Units!$E90*(1+Inputs!$B$7)^(AO$2-1)</f>
        <v>2447.70848</v>
      </c>
      <c r="AP91" s="11" t="n">
        <f aca="false">Units!$E90*(1+Inputs!$B$7)^(AP$2-1)</f>
        <v>2447.70848</v>
      </c>
      <c r="AQ91" s="11" t="n">
        <f aca="false">Units!$E90*(1+Inputs!$B$7)^(AQ$2-1)</f>
        <v>2447.70848</v>
      </c>
      <c r="AR91" s="11" t="n">
        <f aca="false">Units!$E90*(1+Inputs!$B$7)^(AR$2-1)</f>
        <v>2447.70848</v>
      </c>
      <c r="AS91" s="11" t="n">
        <f aca="false">Units!$E90*(1+Inputs!$B$7)^(AS$2-1)</f>
        <v>2447.70848</v>
      </c>
      <c r="AT91" s="11" t="n">
        <f aca="false">Units!$E90*(1+Inputs!$B$7)^(AT$2-1)</f>
        <v>2447.70848</v>
      </c>
      <c r="AU91" s="11" t="n">
        <f aca="false">Units!$E90*(1+Inputs!$B$7)^(AU$2-1)</f>
        <v>2447.70848</v>
      </c>
      <c r="AV91" s="11" t="n">
        <f aca="false">Units!$E90*(1+Inputs!$B$7)^(AV$2-1)</f>
        <v>2447.70848</v>
      </c>
      <c r="AW91" s="11" t="n">
        <f aca="false">Units!$E90*(1+Inputs!$B$7)^(AW$2-1)</f>
        <v>2447.70848</v>
      </c>
      <c r="AX91" s="11" t="n">
        <f aca="false">Units!$E90*(1+Inputs!$B$7)^(AX$2-1)</f>
        <v>2447.70848</v>
      </c>
      <c r="AY91" s="11" t="n">
        <f aca="false">Units!$E90*(1+Inputs!$B$7)^(AY$2-1)</f>
        <v>2521.1397344</v>
      </c>
      <c r="AZ91" s="11" t="n">
        <f aca="false">Units!$E90*(1+Inputs!$B$7)^(AZ$2-1)</f>
        <v>2521.1397344</v>
      </c>
      <c r="BA91" s="11" t="n">
        <f aca="false">Units!$E90*(1+Inputs!$B$7)^(BA$2-1)</f>
        <v>2521.1397344</v>
      </c>
      <c r="BB91" s="11" t="n">
        <f aca="false">Units!$E90*(1+Inputs!$B$7)^(BB$2-1)</f>
        <v>2521.1397344</v>
      </c>
      <c r="BC91" s="11" t="n">
        <f aca="false">Units!$E90*(1+Inputs!$B$7)^(BC$2-1)</f>
        <v>2521.1397344</v>
      </c>
      <c r="BD91" s="11" t="n">
        <f aca="false">Units!$E90*(1+Inputs!$B$7)^(BD$2-1)</f>
        <v>2521.1397344</v>
      </c>
      <c r="BE91" s="11" t="n">
        <f aca="false">Units!$E90*(1+Inputs!$B$7)^(BE$2-1)</f>
        <v>2521.1397344</v>
      </c>
      <c r="BF91" s="11" t="n">
        <f aca="false">Units!$E90*(1+Inputs!$B$7)^(BF$2-1)</f>
        <v>2521.1397344</v>
      </c>
      <c r="BG91" s="11" t="n">
        <f aca="false">Units!$E90*(1+Inputs!$B$7)^(BG$2-1)</f>
        <v>2521.1397344</v>
      </c>
      <c r="BH91" s="11" t="n">
        <f aca="false">Units!$E90*(1+Inputs!$B$7)^(BH$2-1)</f>
        <v>2521.1397344</v>
      </c>
      <c r="BI91" s="11" t="n">
        <f aca="false">Units!$E90*(1+Inputs!$B$7)^(BI$2-1)</f>
        <v>2521.1397344</v>
      </c>
      <c r="BJ91" s="11" t="n">
        <f aca="false">Units!$E90*(1+Inputs!$B$7)^(BJ$2-1)</f>
        <v>2521.1397344</v>
      </c>
      <c r="BK91" s="11" t="n">
        <f aca="false">Units!$E90*(1+Inputs!$B$7)^(BK$2-1)</f>
        <v>2596.773926432</v>
      </c>
      <c r="BL91" s="11" t="n">
        <f aca="false">Units!$E90*(1+Inputs!$B$7)^(BL$2-1)</f>
        <v>2596.773926432</v>
      </c>
      <c r="BM91" s="11" t="n">
        <f aca="false">Units!$E90*(1+Inputs!$B$7)^(BM$2-1)</f>
        <v>2596.773926432</v>
      </c>
      <c r="BN91" s="11" t="n">
        <f aca="false">Units!$E90*(1+Inputs!$B$7)^(BN$2-1)</f>
        <v>2596.773926432</v>
      </c>
      <c r="BO91" s="11" t="n">
        <f aca="false">Units!$E90*(1+Inputs!$B$7)^(BO$2-1)</f>
        <v>2596.773926432</v>
      </c>
      <c r="BP91" s="11" t="n">
        <f aca="false">Units!$E90*(1+Inputs!$B$7)^(BP$2-1)</f>
        <v>2596.773926432</v>
      </c>
      <c r="BQ91" s="11" t="n">
        <f aca="false">Units!$E90*(1+Inputs!$B$7)^(BQ$2-1)</f>
        <v>2596.773926432</v>
      </c>
      <c r="BR91" s="11" t="n">
        <f aca="false">Units!$E90*(1+Inputs!$B$7)^(BR$2-1)</f>
        <v>2596.773926432</v>
      </c>
      <c r="BS91" s="11" t="n">
        <f aca="false">Units!$E90*(1+Inputs!$B$7)^(BS$2-1)</f>
        <v>2596.773926432</v>
      </c>
      <c r="BT91" s="11" t="n">
        <f aca="false">Units!$E90*(1+Inputs!$B$7)^(BT$2-1)</f>
        <v>2596.773926432</v>
      </c>
      <c r="BU91" s="11" t="n">
        <f aca="false">Units!$E90*(1+Inputs!$B$7)^(BU$2-1)</f>
        <v>2596.773926432</v>
      </c>
      <c r="BV91" s="11" t="n">
        <f aca="false">Units!$E90*(1+Inputs!$B$7)^(BV$2-1)</f>
        <v>2596.773926432</v>
      </c>
      <c r="BW91" s="11" t="n">
        <f aca="false">Units!$E90*(1+Inputs!$B$7)^(BW$2-1)</f>
        <v>2674.67714422496</v>
      </c>
      <c r="BX91" s="11" t="n">
        <f aca="false">Units!$E90*(1+Inputs!$B$7)^(BX$2-1)</f>
        <v>2674.67714422496</v>
      </c>
      <c r="BY91" s="11" t="n">
        <f aca="false">Units!$E90*(1+Inputs!$B$7)^(BY$2-1)</f>
        <v>2674.67714422496</v>
      </c>
      <c r="BZ91" s="11" t="n">
        <f aca="false">Units!$E90*(1+Inputs!$B$7)^(BZ$2-1)</f>
        <v>2674.67714422496</v>
      </c>
      <c r="CA91" s="11" t="n">
        <f aca="false">Units!$E90*(1+Inputs!$B$7)^(CA$2-1)</f>
        <v>2674.67714422496</v>
      </c>
      <c r="CB91" s="11" t="n">
        <f aca="false">Units!$E90*(1+Inputs!$B$7)^(CB$2-1)</f>
        <v>2674.67714422496</v>
      </c>
      <c r="CC91" s="11" t="n">
        <f aca="false">Units!$E90*(1+Inputs!$B$7)^(CC$2-1)</f>
        <v>2674.67714422496</v>
      </c>
      <c r="CD91" s="11" t="n">
        <f aca="false">Units!$E90*(1+Inputs!$B$7)^(CD$2-1)</f>
        <v>2674.67714422496</v>
      </c>
      <c r="CE91" s="11" t="n">
        <f aca="false">Units!$E90*(1+Inputs!$B$7)^(CE$2-1)</f>
        <v>2674.67714422496</v>
      </c>
      <c r="CF91" s="11" t="n">
        <f aca="false">Units!$E90*(1+Inputs!$B$7)^(CF$2-1)</f>
        <v>2674.67714422496</v>
      </c>
      <c r="CG91" s="11" t="n">
        <f aca="false">Units!$E90*(1+Inputs!$B$7)^(CG$2-1)</f>
        <v>2674.67714422496</v>
      </c>
      <c r="CH91" s="11" t="n">
        <f aca="false">Units!$E90*(1+Inputs!$B$7)^(CH$2-1)</f>
        <v>2674.67714422496</v>
      </c>
      <c r="CI91" s="11" t="n">
        <f aca="false">Units!$E90*(1+Inputs!$B$7)^(CI$2-1)</f>
        <v>2754.91745855171</v>
      </c>
      <c r="CJ91" s="11" t="n">
        <f aca="false">Units!$E90*(1+Inputs!$B$7)^(CJ$2-1)</f>
        <v>2754.91745855171</v>
      </c>
      <c r="CK91" s="11" t="n">
        <f aca="false">Units!$E90*(1+Inputs!$B$7)^(CK$2-1)</f>
        <v>2754.91745855171</v>
      </c>
      <c r="CL91" s="11" t="n">
        <f aca="false">Units!$E90*(1+Inputs!$B$7)^(CL$2-1)</f>
        <v>2754.91745855171</v>
      </c>
      <c r="CM91" s="11" t="n">
        <f aca="false">Units!$E90*(1+Inputs!$B$7)^(CM$2-1)</f>
        <v>2754.91745855171</v>
      </c>
      <c r="CN91" s="11" t="n">
        <f aca="false">Units!$E90*(1+Inputs!$B$7)^(CN$2-1)</f>
        <v>2754.91745855171</v>
      </c>
      <c r="CO91" s="11" t="n">
        <f aca="false">Units!$E90*(1+Inputs!$B$7)^(CO$2-1)</f>
        <v>2754.91745855171</v>
      </c>
      <c r="CP91" s="11" t="n">
        <f aca="false">Units!$E90*(1+Inputs!$B$7)^(CP$2-1)</f>
        <v>2754.91745855171</v>
      </c>
      <c r="CQ91" s="11" t="n">
        <f aca="false">Units!$E90*(1+Inputs!$B$7)^(CQ$2-1)</f>
        <v>2754.91745855171</v>
      </c>
      <c r="CR91" s="11" t="n">
        <f aca="false">Units!$E90*(1+Inputs!$B$7)^(CR$2-1)</f>
        <v>2754.91745855171</v>
      </c>
      <c r="CS91" s="11" t="n">
        <f aca="false">Units!$E90*(1+Inputs!$B$7)^(CS$2-1)</f>
        <v>2754.91745855171</v>
      </c>
      <c r="CT91" s="11" t="n">
        <f aca="false">Units!$E90*(1+Inputs!$B$7)^(CT$2-1)</f>
        <v>2754.91745855171</v>
      </c>
      <c r="CU91" s="11" t="n">
        <f aca="false">Units!$E90*(1+Inputs!$B$7)^(CU$2-1)</f>
        <v>2837.56498230826</v>
      </c>
      <c r="CV91" s="11" t="n">
        <f aca="false">Units!$E90*(1+Inputs!$B$7)^(CV$2-1)</f>
        <v>2837.56498230826</v>
      </c>
      <c r="CW91" s="11" t="n">
        <f aca="false">Units!$E90*(1+Inputs!$B$7)^(CW$2-1)</f>
        <v>2837.56498230826</v>
      </c>
      <c r="CX91" s="11" t="n">
        <f aca="false">Units!$E90*(1+Inputs!$B$7)^(CX$2-1)</f>
        <v>2837.56498230826</v>
      </c>
      <c r="CY91" s="11" t="n">
        <f aca="false">Units!$E90*(1+Inputs!$B$7)^(CY$2-1)</f>
        <v>2837.56498230826</v>
      </c>
      <c r="CZ91" s="11" t="n">
        <f aca="false">Units!$E90*(1+Inputs!$B$7)^(CZ$2-1)</f>
        <v>2837.56498230826</v>
      </c>
      <c r="DA91" s="11" t="n">
        <f aca="false">Units!$E90*(1+Inputs!$B$7)^(DA$2-1)</f>
        <v>2837.56498230826</v>
      </c>
      <c r="DB91" s="11" t="n">
        <f aca="false">Units!$E90*(1+Inputs!$B$7)^(DB$2-1)</f>
        <v>2837.56498230826</v>
      </c>
      <c r="DC91" s="11" t="n">
        <f aca="false">Units!$E90*(1+Inputs!$B$7)^(DC$2-1)</f>
        <v>2837.56498230826</v>
      </c>
      <c r="DD91" s="11" t="n">
        <f aca="false">Units!$E90*(1+Inputs!$B$7)^(DD$2-1)</f>
        <v>2837.56498230826</v>
      </c>
      <c r="DE91" s="11" t="n">
        <f aca="false">Units!$E90*(1+Inputs!$B$7)^(DE$2-1)</f>
        <v>2837.56498230826</v>
      </c>
      <c r="DF91" s="11" t="n">
        <f aca="false">Units!$E90*(1+Inputs!$B$7)^(DF$2-1)</f>
        <v>2837.56498230826</v>
      </c>
      <c r="DG91" s="11" t="n">
        <f aca="false">Units!$E90*(1+Inputs!$B$7)^(DG$2-1)</f>
        <v>2922.69193177751</v>
      </c>
      <c r="DH91" s="11" t="n">
        <f aca="false">Units!$E90*(1+Inputs!$B$7)^(DH$2-1)</f>
        <v>2922.69193177751</v>
      </c>
      <c r="DI91" s="11" t="n">
        <f aca="false">Units!$E90*(1+Inputs!$B$7)^(DI$2-1)</f>
        <v>2922.69193177751</v>
      </c>
      <c r="DJ91" s="11" t="n">
        <f aca="false">Units!$E90*(1+Inputs!$B$7)^(DJ$2-1)</f>
        <v>2922.69193177751</v>
      </c>
      <c r="DK91" s="11" t="n">
        <f aca="false">Units!$E90*(1+Inputs!$B$7)^(DK$2-1)</f>
        <v>2922.69193177751</v>
      </c>
      <c r="DL91" s="11" t="n">
        <f aca="false">Units!$E90*(1+Inputs!$B$7)^(DL$2-1)</f>
        <v>2922.69193177751</v>
      </c>
      <c r="DM91" s="11" t="n">
        <f aca="false">Units!$E90*(1+Inputs!$B$7)^(DM$2-1)</f>
        <v>2922.69193177751</v>
      </c>
      <c r="DN91" s="11" t="n">
        <f aca="false">Units!$E90*(1+Inputs!$B$7)^(DN$2-1)</f>
        <v>2922.69193177751</v>
      </c>
      <c r="DO91" s="11" t="n">
        <f aca="false">Units!$E90*(1+Inputs!$B$7)^(DO$2-1)</f>
        <v>2922.69193177751</v>
      </c>
      <c r="DP91" s="11" t="n">
        <f aca="false">Units!$E90*(1+Inputs!$B$7)^(DP$2-1)</f>
        <v>2922.69193177751</v>
      </c>
      <c r="DQ91" s="11" t="n">
        <f aca="false">Units!$E90*(1+Inputs!$B$7)^(DQ$2-1)</f>
        <v>2922.69193177751</v>
      </c>
      <c r="DR91" s="11" t="n">
        <f aca="false">Units!$E90*(1+Inputs!$B$7)^(DR$2-1)</f>
        <v>2922.69193177751</v>
      </c>
      <c r="DS91" s="11" t="n">
        <f aca="false">Units!$E90*(1+Inputs!$B$7)^(DS$2-1)</f>
        <v>3010.37268973083</v>
      </c>
      <c r="DT91" s="11" t="n">
        <f aca="false">Units!$E90*(1+Inputs!$B$7)^(DT$2-1)</f>
        <v>3010.37268973083</v>
      </c>
      <c r="DU91" s="11" t="n">
        <f aca="false">Units!$E90*(1+Inputs!$B$7)^(DU$2-1)</f>
        <v>3010.37268973083</v>
      </c>
      <c r="DV91" s="11" t="n">
        <f aca="false">Units!$E90*(1+Inputs!$B$7)^(DV$2-1)</f>
        <v>3010.37268973083</v>
      </c>
      <c r="DW91" s="11" t="n">
        <f aca="false">Units!$E90*(1+Inputs!$B$7)^(DW$2-1)</f>
        <v>3010.37268973083</v>
      </c>
      <c r="DX91" s="11" t="n">
        <f aca="false">Units!$E90*(1+Inputs!$B$7)^(DX$2-1)</f>
        <v>3010.37268973083</v>
      </c>
      <c r="DY91" s="11" t="n">
        <f aca="false">Units!$E90*(1+Inputs!$B$7)^(DY$2-1)</f>
        <v>3010.37268973083</v>
      </c>
      <c r="DZ91" s="11" t="n">
        <f aca="false">Units!$E90*(1+Inputs!$B$7)^(DZ$2-1)</f>
        <v>3010.37268973083</v>
      </c>
      <c r="EA91" s="11" t="n">
        <f aca="false">Units!$E90*(1+Inputs!$B$7)^(EA$2-1)</f>
        <v>3010.37268973083</v>
      </c>
      <c r="EB91" s="11" t="n">
        <f aca="false">Units!$E90*(1+Inputs!$B$7)^(EB$2-1)</f>
        <v>3010.37268973083</v>
      </c>
      <c r="EC91" s="11" t="n">
        <f aca="false">Units!$E90*(1+Inputs!$B$7)^(EC$2-1)</f>
        <v>3010.37268973083</v>
      </c>
      <c r="ED91" s="11" t="n">
        <f aca="false">Units!$E90*(1+Inputs!$B$7)^(ED$2-1)</f>
        <v>3010.37268973083</v>
      </c>
    </row>
    <row r="92" customFormat="false" ht="15" hidden="false" customHeight="false" outlineLevel="0" collapsed="false">
      <c r="A92" s="22" t="n">
        <f aca="false">Units!A91</f>
        <v>330</v>
      </c>
      <c r="B92" s="23"/>
      <c r="C92" s="11" t="n">
        <f aca="false">Units!$E91*(1+Inputs!$B$7)^(C$2-1)</f>
        <v>2240</v>
      </c>
      <c r="D92" s="11" t="n">
        <f aca="false">Units!$E91*(1+Inputs!$B$7)^(D$2-1)</f>
        <v>2240</v>
      </c>
      <c r="E92" s="11" t="n">
        <f aca="false">Units!$E91*(1+Inputs!$B$7)^(E$2-1)</f>
        <v>2240</v>
      </c>
      <c r="F92" s="11" t="n">
        <f aca="false">Units!$E91*(1+Inputs!$B$7)^(F$2-1)</f>
        <v>2240</v>
      </c>
      <c r="G92" s="11" t="n">
        <f aca="false">Units!$E91*(1+Inputs!$B$7)^(G$2-1)</f>
        <v>2240</v>
      </c>
      <c r="H92" s="11" t="n">
        <f aca="false">Units!$E91*(1+Inputs!$B$7)^(H$2-1)</f>
        <v>2240</v>
      </c>
      <c r="I92" s="11" t="n">
        <f aca="false">Units!$E91*(1+Inputs!$B$7)^(I$2-1)</f>
        <v>2240</v>
      </c>
      <c r="J92" s="11" t="n">
        <f aca="false">Units!$E91*(1+Inputs!$B$7)^(J$2-1)</f>
        <v>2240</v>
      </c>
      <c r="K92" s="11" t="n">
        <f aca="false">Units!$E91*(1+Inputs!$B$7)^(K$2-1)</f>
        <v>2240</v>
      </c>
      <c r="L92" s="11" t="n">
        <f aca="false">Units!$E91*(1+Inputs!$B$7)^(L$2-1)</f>
        <v>2240</v>
      </c>
      <c r="M92" s="11" t="n">
        <f aca="false">Units!$E91*(1+Inputs!$B$7)^(M$2-1)</f>
        <v>2240</v>
      </c>
      <c r="N92" s="11" t="n">
        <f aca="false">Units!$E91*(1+Inputs!$B$7)^(N$2-1)</f>
        <v>2240</v>
      </c>
      <c r="O92" s="11" t="n">
        <f aca="false">Units!$E91*(1+Inputs!$B$7)^(O$2-1)</f>
        <v>2307.2</v>
      </c>
      <c r="P92" s="11" t="n">
        <f aca="false">Units!$E91*(1+Inputs!$B$7)^(P$2-1)</f>
        <v>2307.2</v>
      </c>
      <c r="Q92" s="11" t="n">
        <f aca="false">Units!$E91*(1+Inputs!$B$7)^(Q$2-1)</f>
        <v>2307.2</v>
      </c>
      <c r="R92" s="11" t="n">
        <f aca="false">Units!$E91*(1+Inputs!$B$7)^(R$2-1)</f>
        <v>2307.2</v>
      </c>
      <c r="S92" s="11" t="n">
        <f aca="false">Units!$E91*(1+Inputs!$B$7)^(S$2-1)</f>
        <v>2307.2</v>
      </c>
      <c r="T92" s="11" t="n">
        <f aca="false">Units!$E91*(1+Inputs!$B$7)^(T$2-1)</f>
        <v>2307.2</v>
      </c>
      <c r="U92" s="11" t="n">
        <f aca="false">Units!$E91*(1+Inputs!$B$7)^(U$2-1)</f>
        <v>2307.2</v>
      </c>
      <c r="V92" s="11" t="n">
        <f aca="false">Units!$E91*(1+Inputs!$B$7)^(V$2-1)</f>
        <v>2307.2</v>
      </c>
      <c r="W92" s="11" t="n">
        <f aca="false">Units!$E91*(1+Inputs!$B$7)^(W$2-1)</f>
        <v>2307.2</v>
      </c>
      <c r="X92" s="11" t="n">
        <f aca="false">Units!$E91*(1+Inputs!$B$7)^(X$2-1)</f>
        <v>2307.2</v>
      </c>
      <c r="Y92" s="11" t="n">
        <f aca="false">Units!$E91*(1+Inputs!$B$7)^(Y$2-1)</f>
        <v>2307.2</v>
      </c>
      <c r="Z92" s="11" t="n">
        <f aca="false">Units!$E91*(1+Inputs!$B$7)^(Z$2-1)</f>
        <v>2307.2</v>
      </c>
      <c r="AA92" s="11" t="n">
        <f aca="false">Units!$E91*(1+Inputs!$B$7)^(AA$2-1)</f>
        <v>2376.416</v>
      </c>
      <c r="AB92" s="11" t="n">
        <f aca="false">Units!$E91*(1+Inputs!$B$7)^(AB$2-1)</f>
        <v>2376.416</v>
      </c>
      <c r="AC92" s="11" t="n">
        <f aca="false">Units!$E91*(1+Inputs!$B$7)^(AC$2-1)</f>
        <v>2376.416</v>
      </c>
      <c r="AD92" s="11" t="n">
        <f aca="false">Units!$E91*(1+Inputs!$B$7)^(AD$2-1)</f>
        <v>2376.416</v>
      </c>
      <c r="AE92" s="11" t="n">
        <f aca="false">Units!$E91*(1+Inputs!$B$7)^(AE$2-1)</f>
        <v>2376.416</v>
      </c>
      <c r="AF92" s="11" t="n">
        <f aca="false">Units!$E91*(1+Inputs!$B$7)^(AF$2-1)</f>
        <v>2376.416</v>
      </c>
      <c r="AG92" s="11" t="n">
        <f aca="false">Units!$E91*(1+Inputs!$B$7)^(AG$2-1)</f>
        <v>2376.416</v>
      </c>
      <c r="AH92" s="11" t="n">
        <f aca="false">Units!$E91*(1+Inputs!$B$7)^(AH$2-1)</f>
        <v>2376.416</v>
      </c>
      <c r="AI92" s="11" t="n">
        <f aca="false">Units!$E91*(1+Inputs!$B$7)^(AI$2-1)</f>
        <v>2376.416</v>
      </c>
      <c r="AJ92" s="11" t="n">
        <f aca="false">Units!$E91*(1+Inputs!$B$7)^(AJ$2-1)</f>
        <v>2376.416</v>
      </c>
      <c r="AK92" s="11" t="n">
        <f aca="false">Units!$E91*(1+Inputs!$B$7)^(AK$2-1)</f>
        <v>2376.416</v>
      </c>
      <c r="AL92" s="11" t="n">
        <f aca="false">Units!$E91*(1+Inputs!$B$7)^(AL$2-1)</f>
        <v>2376.416</v>
      </c>
      <c r="AM92" s="11" t="n">
        <f aca="false">Units!$E91*(1+Inputs!$B$7)^(AM$2-1)</f>
        <v>2447.70848</v>
      </c>
      <c r="AN92" s="11" t="n">
        <f aca="false">Units!$E91*(1+Inputs!$B$7)^(AN$2-1)</f>
        <v>2447.70848</v>
      </c>
      <c r="AO92" s="11" t="n">
        <f aca="false">Units!$E91*(1+Inputs!$B$7)^(AO$2-1)</f>
        <v>2447.70848</v>
      </c>
      <c r="AP92" s="11" t="n">
        <f aca="false">Units!$E91*(1+Inputs!$B$7)^(AP$2-1)</f>
        <v>2447.70848</v>
      </c>
      <c r="AQ92" s="11" t="n">
        <f aca="false">Units!$E91*(1+Inputs!$B$7)^(AQ$2-1)</f>
        <v>2447.70848</v>
      </c>
      <c r="AR92" s="11" t="n">
        <f aca="false">Units!$E91*(1+Inputs!$B$7)^(AR$2-1)</f>
        <v>2447.70848</v>
      </c>
      <c r="AS92" s="11" t="n">
        <f aca="false">Units!$E91*(1+Inputs!$B$7)^(AS$2-1)</f>
        <v>2447.70848</v>
      </c>
      <c r="AT92" s="11" t="n">
        <f aca="false">Units!$E91*(1+Inputs!$B$7)^(AT$2-1)</f>
        <v>2447.70848</v>
      </c>
      <c r="AU92" s="11" t="n">
        <f aca="false">Units!$E91*(1+Inputs!$B$7)^(AU$2-1)</f>
        <v>2447.70848</v>
      </c>
      <c r="AV92" s="11" t="n">
        <f aca="false">Units!$E91*(1+Inputs!$B$7)^(AV$2-1)</f>
        <v>2447.70848</v>
      </c>
      <c r="AW92" s="11" t="n">
        <f aca="false">Units!$E91*(1+Inputs!$B$7)^(AW$2-1)</f>
        <v>2447.70848</v>
      </c>
      <c r="AX92" s="11" t="n">
        <f aca="false">Units!$E91*(1+Inputs!$B$7)^(AX$2-1)</f>
        <v>2447.70848</v>
      </c>
      <c r="AY92" s="11" t="n">
        <f aca="false">Units!$E91*(1+Inputs!$B$7)^(AY$2-1)</f>
        <v>2521.1397344</v>
      </c>
      <c r="AZ92" s="11" t="n">
        <f aca="false">Units!$E91*(1+Inputs!$B$7)^(AZ$2-1)</f>
        <v>2521.1397344</v>
      </c>
      <c r="BA92" s="11" t="n">
        <f aca="false">Units!$E91*(1+Inputs!$B$7)^(BA$2-1)</f>
        <v>2521.1397344</v>
      </c>
      <c r="BB92" s="11" t="n">
        <f aca="false">Units!$E91*(1+Inputs!$B$7)^(BB$2-1)</f>
        <v>2521.1397344</v>
      </c>
      <c r="BC92" s="11" t="n">
        <f aca="false">Units!$E91*(1+Inputs!$B$7)^(BC$2-1)</f>
        <v>2521.1397344</v>
      </c>
      <c r="BD92" s="11" t="n">
        <f aca="false">Units!$E91*(1+Inputs!$B$7)^(BD$2-1)</f>
        <v>2521.1397344</v>
      </c>
      <c r="BE92" s="11" t="n">
        <f aca="false">Units!$E91*(1+Inputs!$B$7)^(BE$2-1)</f>
        <v>2521.1397344</v>
      </c>
      <c r="BF92" s="11" t="n">
        <f aca="false">Units!$E91*(1+Inputs!$B$7)^(BF$2-1)</f>
        <v>2521.1397344</v>
      </c>
      <c r="BG92" s="11" t="n">
        <f aca="false">Units!$E91*(1+Inputs!$B$7)^(BG$2-1)</f>
        <v>2521.1397344</v>
      </c>
      <c r="BH92" s="11" t="n">
        <f aca="false">Units!$E91*(1+Inputs!$B$7)^(BH$2-1)</f>
        <v>2521.1397344</v>
      </c>
      <c r="BI92" s="11" t="n">
        <f aca="false">Units!$E91*(1+Inputs!$B$7)^(BI$2-1)</f>
        <v>2521.1397344</v>
      </c>
      <c r="BJ92" s="11" t="n">
        <f aca="false">Units!$E91*(1+Inputs!$B$7)^(BJ$2-1)</f>
        <v>2521.1397344</v>
      </c>
      <c r="BK92" s="11" t="n">
        <f aca="false">Units!$E91*(1+Inputs!$B$7)^(BK$2-1)</f>
        <v>2596.773926432</v>
      </c>
      <c r="BL92" s="11" t="n">
        <f aca="false">Units!$E91*(1+Inputs!$B$7)^(BL$2-1)</f>
        <v>2596.773926432</v>
      </c>
      <c r="BM92" s="11" t="n">
        <f aca="false">Units!$E91*(1+Inputs!$B$7)^(BM$2-1)</f>
        <v>2596.773926432</v>
      </c>
      <c r="BN92" s="11" t="n">
        <f aca="false">Units!$E91*(1+Inputs!$B$7)^(BN$2-1)</f>
        <v>2596.773926432</v>
      </c>
      <c r="BO92" s="11" t="n">
        <f aca="false">Units!$E91*(1+Inputs!$B$7)^(BO$2-1)</f>
        <v>2596.773926432</v>
      </c>
      <c r="BP92" s="11" t="n">
        <f aca="false">Units!$E91*(1+Inputs!$B$7)^(BP$2-1)</f>
        <v>2596.773926432</v>
      </c>
      <c r="BQ92" s="11" t="n">
        <f aca="false">Units!$E91*(1+Inputs!$B$7)^(BQ$2-1)</f>
        <v>2596.773926432</v>
      </c>
      <c r="BR92" s="11" t="n">
        <f aca="false">Units!$E91*(1+Inputs!$B$7)^(BR$2-1)</f>
        <v>2596.773926432</v>
      </c>
      <c r="BS92" s="11" t="n">
        <f aca="false">Units!$E91*(1+Inputs!$B$7)^(BS$2-1)</f>
        <v>2596.773926432</v>
      </c>
      <c r="BT92" s="11" t="n">
        <f aca="false">Units!$E91*(1+Inputs!$B$7)^(BT$2-1)</f>
        <v>2596.773926432</v>
      </c>
      <c r="BU92" s="11" t="n">
        <f aca="false">Units!$E91*(1+Inputs!$B$7)^(BU$2-1)</f>
        <v>2596.773926432</v>
      </c>
      <c r="BV92" s="11" t="n">
        <f aca="false">Units!$E91*(1+Inputs!$B$7)^(BV$2-1)</f>
        <v>2596.773926432</v>
      </c>
      <c r="BW92" s="11" t="n">
        <f aca="false">Units!$E91*(1+Inputs!$B$7)^(BW$2-1)</f>
        <v>2674.67714422496</v>
      </c>
      <c r="BX92" s="11" t="n">
        <f aca="false">Units!$E91*(1+Inputs!$B$7)^(BX$2-1)</f>
        <v>2674.67714422496</v>
      </c>
      <c r="BY92" s="11" t="n">
        <f aca="false">Units!$E91*(1+Inputs!$B$7)^(BY$2-1)</f>
        <v>2674.67714422496</v>
      </c>
      <c r="BZ92" s="11" t="n">
        <f aca="false">Units!$E91*(1+Inputs!$B$7)^(BZ$2-1)</f>
        <v>2674.67714422496</v>
      </c>
      <c r="CA92" s="11" t="n">
        <f aca="false">Units!$E91*(1+Inputs!$B$7)^(CA$2-1)</f>
        <v>2674.67714422496</v>
      </c>
      <c r="CB92" s="11" t="n">
        <f aca="false">Units!$E91*(1+Inputs!$B$7)^(CB$2-1)</f>
        <v>2674.67714422496</v>
      </c>
      <c r="CC92" s="11" t="n">
        <f aca="false">Units!$E91*(1+Inputs!$B$7)^(CC$2-1)</f>
        <v>2674.67714422496</v>
      </c>
      <c r="CD92" s="11" t="n">
        <f aca="false">Units!$E91*(1+Inputs!$B$7)^(CD$2-1)</f>
        <v>2674.67714422496</v>
      </c>
      <c r="CE92" s="11" t="n">
        <f aca="false">Units!$E91*(1+Inputs!$B$7)^(CE$2-1)</f>
        <v>2674.67714422496</v>
      </c>
      <c r="CF92" s="11" t="n">
        <f aca="false">Units!$E91*(1+Inputs!$B$7)^(CF$2-1)</f>
        <v>2674.67714422496</v>
      </c>
      <c r="CG92" s="11" t="n">
        <f aca="false">Units!$E91*(1+Inputs!$B$7)^(CG$2-1)</f>
        <v>2674.67714422496</v>
      </c>
      <c r="CH92" s="11" t="n">
        <f aca="false">Units!$E91*(1+Inputs!$B$7)^(CH$2-1)</f>
        <v>2674.67714422496</v>
      </c>
      <c r="CI92" s="11" t="n">
        <f aca="false">Units!$E91*(1+Inputs!$B$7)^(CI$2-1)</f>
        <v>2754.91745855171</v>
      </c>
      <c r="CJ92" s="11" t="n">
        <f aca="false">Units!$E91*(1+Inputs!$B$7)^(CJ$2-1)</f>
        <v>2754.91745855171</v>
      </c>
      <c r="CK92" s="11" t="n">
        <f aca="false">Units!$E91*(1+Inputs!$B$7)^(CK$2-1)</f>
        <v>2754.91745855171</v>
      </c>
      <c r="CL92" s="11" t="n">
        <f aca="false">Units!$E91*(1+Inputs!$B$7)^(CL$2-1)</f>
        <v>2754.91745855171</v>
      </c>
      <c r="CM92" s="11" t="n">
        <f aca="false">Units!$E91*(1+Inputs!$B$7)^(CM$2-1)</f>
        <v>2754.91745855171</v>
      </c>
      <c r="CN92" s="11" t="n">
        <f aca="false">Units!$E91*(1+Inputs!$B$7)^(CN$2-1)</f>
        <v>2754.91745855171</v>
      </c>
      <c r="CO92" s="11" t="n">
        <f aca="false">Units!$E91*(1+Inputs!$B$7)^(CO$2-1)</f>
        <v>2754.91745855171</v>
      </c>
      <c r="CP92" s="11" t="n">
        <f aca="false">Units!$E91*(1+Inputs!$B$7)^(CP$2-1)</f>
        <v>2754.91745855171</v>
      </c>
      <c r="CQ92" s="11" t="n">
        <f aca="false">Units!$E91*(1+Inputs!$B$7)^(CQ$2-1)</f>
        <v>2754.91745855171</v>
      </c>
      <c r="CR92" s="11" t="n">
        <f aca="false">Units!$E91*(1+Inputs!$B$7)^(CR$2-1)</f>
        <v>2754.91745855171</v>
      </c>
      <c r="CS92" s="11" t="n">
        <f aca="false">Units!$E91*(1+Inputs!$B$7)^(CS$2-1)</f>
        <v>2754.91745855171</v>
      </c>
      <c r="CT92" s="11" t="n">
        <f aca="false">Units!$E91*(1+Inputs!$B$7)^(CT$2-1)</f>
        <v>2754.91745855171</v>
      </c>
      <c r="CU92" s="11" t="n">
        <f aca="false">Units!$E91*(1+Inputs!$B$7)^(CU$2-1)</f>
        <v>2837.56498230826</v>
      </c>
      <c r="CV92" s="11" t="n">
        <f aca="false">Units!$E91*(1+Inputs!$B$7)^(CV$2-1)</f>
        <v>2837.56498230826</v>
      </c>
      <c r="CW92" s="11" t="n">
        <f aca="false">Units!$E91*(1+Inputs!$B$7)^(CW$2-1)</f>
        <v>2837.56498230826</v>
      </c>
      <c r="CX92" s="11" t="n">
        <f aca="false">Units!$E91*(1+Inputs!$B$7)^(CX$2-1)</f>
        <v>2837.56498230826</v>
      </c>
      <c r="CY92" s="11" t="n">
        <f aca="false">Units!$E91*(1+Inputs!$B$7)^(CY$2-1)</f>
        <v>2837.56498230826</v>
      </c>
      <c r="CZ92" s="11" t="n">
        <f aca="false">Units!$E91*(1+Inputs!$B$7)^(CZ$2-1)</f>
        <v>2837.56498230826</v>
      </c>
      <c r="DA92" s="11" t="n">
        <f aca="false">Units!$E91*(1+Inputs!$B$7)^(DA$2-1)</f>
        <v>2837.56498230826</v>
      </c>
      <c r="DB92" s="11" t="n">
        <f aca="false">Units!$E91*(1+Inputs!$B$7)^(DB$2-1)</f>
        <v>2837.56498230826</v>
      </c>
      <c r="DC92" s="11" t="n">
        <f aca="false">Units!$E91*(1+Inputs!$B$7)^(DC$2-1)</f>
        <v>2837.56498230826</v>
      </c>
      <c r="DD92" s="11" t="n">
        <f aca="false">Units!$E91*(1+Inputs!$B$7)^(DD$2-1)</f>
        <v>2837.56498230826</v>
      </c>
      <c r="DE92" s="11" t="n">
        <f aca="false">Units!$E91*(1+Inputs!$B$7)^(DE$2-1)</f>
        <v>2837.56498230826</v>
      </c>
      <c r="DF92" s="11" t="n">
        <f aca="false">Units!$E91*(1+Inputs!$B$7)^(DF$2-1)</f>
        <v>2837.56498230826</v>
      </c>
      <c r="DG92" s="11" t="n">
        <f aca="false">Units!$E91*(1+Inputs!$B$7)^(DG$2-1)</f>
        <v>2922.69193177751</v>
      </c>
      <c r="DH92" s="11" t="n">
        <f aca="false">Units!$E91*(1+Inputs!$B$7)^(DH$2-1)</f>
        <v>2922.69193177751</v>
      </c>
      <c r="DI92" s="11" t="n">
        <f aca="false">Units!$E91*(1+Inputs!$B$7)^(DI$2-1)</f>
        <v>2922.69193177751</v>
      </c>
      <c r="DJ92" s="11" t="n">
        <f aca="false">Units!$E91*(1+Inputs!$B$7)^(DJ$2-1)</f>
        <v>2922.69193177751</v>
      </c>
      <c r="DK92" s="11" t="n">
        <f aca="false">Units!$E91*(1+Inputs!$B$7)^(DK$2-1)</f>
        <v>2922.69193177751</v>
      </c>
      <c r="DL92" s="11" t="n">
        <f aca="false">Units!$E91*(1+Inputs!$B$7)^(DL$2-1)</f>
        <v>2922.69193177751</v>
      </c>
      <c r="DM92" s="11" t="n">
        <f aca="false">Units!$E91*(1+Inputs!$B$7)^(DM$2-1)</f>
        <v>2922.69193177751</v>
      </c>
      <c r="DN92" s="11" t="n">
        <f aca="false">Units!$E91*(1+Inputs!$B$7)^(DN$2-1)</f>
        <v>2922.69193177751</v>
      </c>
      <c r="DO92" s="11" t="n">
        <f aca="false">Units!$E91*(1+Inputs!$B$7)^(DO$2-1)</f>
        <v>2922.69193177751</v>
      </c>
      <c r="DP92" s="11" t="n">
        <f aca="false">Units!$E91*(1+Inputs!$B$7)^(DP$2-1)</f>
        <v>2922.69193177751</v>
      </c>
      <c r="DQ92" s="11" t="n">
        <f aca="false">Units!$E91*(1+Inputs!$B$7)^(DQ$2-1)</f>
        <v>2922.69193177751</v>
      </c>
      <c r="DR92" s="11" t="n">
        <f aca="false">Units!$E91*(1+Inputs!$B$7)^(DR$2-1)</f>
        <v>2922.69193177751</v>
      </c>
      <c r="DS92" s="11" t="n">
        <f aca="false">Units!$E91*(1+Inputs!$B$7)^(DS$2-1)</f>
        <v>3010.37268973083</v>
      </c>
      <c r="DT92" s="11" t="n">
        <f aca="false">Units!$E91*(1+Inputs!$B$7)^(DT$2-1)</f>
        <v>3010.37268973083</v>
      </c>
      <c r="DU92" s="11" t="n">
        <f aca="false">Units!$E91*(1+Inputs!$B$7)^(DU$2-1)</f>
        <v>3010.37268973083</v>
      </c>
      <c r="DV92" s="11" t="n">
        <f aca="false">Units!$E91*(1+Inputs!$B$7)^(DV$2-1)</f>
        <v>3010.37268973083</v>
      </c>
      <c r="DW92" s="11" t="n">
        <f aca="false">Units!$E91*(1+Inputs!$B$7)^(DW$2-1)</f>
        <v>3010.37268973083</v>
      </c>
      <c r="DX92" s="11" t="n">
        <f aca="false">Units!$E91*(1+Inputs!$B$7)^(DX$2-1)</f>
        <v>3010.37268973083</v>
      </c>
      <c r="DY92" s="11" t="n">
        <f aca="false">Units!$E91*(1+Inputs!$B$7)^(DY$2-1)</f>
        <v>3010.37268973083</v>
      </c>
      <c r="DZ92" s="11" t="n">
        <f aca="false">Units!$E91*(1+Inputs!$B$7)^(DZ$2-1)</f>
        <v>3010.37268973083</v>
      </c>
      <c r="EA92" s="11" t="n">
        <f aca="false">Units!$E91*(1+Inputs!$B$7)^(EA$2-1)</f>
        <v>3010.37268973083</v>
      </c>
      <c r="EB92" s="11" t="n">
        <f aca="false">Units!$E91*(1+Inputs!$B$7)^(EB$2-1)</f>
        <v>3010.37268973083</v>
      </c>
      <c r="EC92" s="11" t="n">
        <f aca="false">Units!$E91*(1+Inputs!$B$7)^(EC$2-1)</f>
        <v>3010.37268973083</v>
      </c>
      <c r="ED92" s="11" t="n">
        <f aca="false">Units!$E91*(1+Inputs!$B$7)^(ED$2-1)</f>
        <v>3010.37268973083</v>
      </c>
    </row>
    <row r="93" customFormat="false" ht="15" hidden="false" customHeight="false" outlineLevel="0" collapsed="false">
      <c r="A93" s="22" t="n">
        <f aca="false">Units!A92</f>
        <v>401</v>
      </c>
      <c r="B93" s="23"/>
      <c r="C93" s="11" t="n">
        <f aca="false">Units!$E92*(1+Inputs!$B$7)^(C$2-1)</f>
        <v>1525</v>
      </c>
      <c r="D93" s="11" t="n">
        <f aca="false">Units!$E92*(1+Inputs!$B$7)^(D$2-1)</f>
        <v>1525</v>
      </c>
      <c r="E93" s="11" t="n">
        <f aca="false">Units!$E92*(1+Inputs!$B$7)^(E$2-1)</f>
        <v>1525</v>
      </c>
      <c r="F93" s="11" t="n">
        <f aca="false">Units!$E92*(1+Inputs!$B$7)^(F$2-1)</f>
        <v>1525</v>
      </c>
      <c r="G93" s="11" t="n">
        <f aca="false">Units!$E92*(1+Inputs!$B$7)^(G$2-1)</f>
        <v>1525</v>
      </c>
      <c r="H93" s="11" t="n">
        <f aca="false">Units!$E92*(1+Inputs!$B$7)^(H$2-1)</f>
        <v>1525</v>
      </c>
      <c r="I93" s="11" t="n">
        <f aca="false">Units!$E92*(1+Inputs!$B$7)^(I$2-1)</f>
        <v>1525</v>
      </c>
      <c r="J93" s="11" t="n">
        <f aca="false">Units!$E92*(1+Inputs!$B$7)^(J$2-1)</f>
        <v>1525</v>
      </c>
      <c r="K93" s="11" t="n">
        <f aca="false">Units!$E92*(1+Inputs!$B$7)^(K$2-1)</f>
        <v>1525</v>
      </c>
      <c r="L93" s="11" t="n">
        <f aca="false">Units!$E92*(1+Inputs!$B$7)^(L$2-1)</f>
        <v>1525</v>
      </c>
      <c r="M93" s="11" t="n">
        <f aca="false">Units!$E92*(1+Inputs!$B$7)^(M$2-1)</f>
        <v>1525</v>
      </c>
      <c r="N93" s="11" t="n">
        <f aca="false">Units!$E92*(1+Inputs!$B$7)^(N$2-1)</f>
        <v>1525</v>
      </c>
      <c r="O93" s="11" t="n">
        <f aca="false">Units!$E92*(1+Inputs!$B$7)^(O$2-1)</f>
        <v>1570.75</v>
      </c>
      <c r="P93" s="11" t="n">
        <f aca="false">Units!$E92*(1+Inputs!$B$7)^(P$2-1)</f>
        <v>1570.75</v>
      </c>
      <c r="Q93" s="11" t="n">
        <f aca="false">Units!$E92*(1+Inputs!$B$7)^(Q$2-1)</f>
        <v>1570.75</v>
      </c>
      <c r="R93" s="11" t="n">
        <f aca="false">Units!$E92*(1+Inputs!$B$7)^(R$2-1)</f>
        <v>1570.75</v>
      </c>
      <c r="S93" s="11" t="n">
        <f aca="false">Units!$E92*(1+Inputs!$B$7)^(S$2-1)</f>
        <v>1570.75</v>
      </c>
      <c r="T93" s="11" t="n">
        <f aca="false">Units!$E92*(1+Inputs!$B$7)^(T$2-1)</f>
        <v>1570.75</v>
      </c>
      <c r="U93" s="11" t="n">
        <f aca="false">Units!$E92*(1+Inputs!$B$7)^(U$2-1)</f>
        <v>1570.75</v>
      </c>
      <c r="V93" s="11" t="n">
        <f aca="false">Units!$E92*(1+Inputs!$B$7)^(V$2-1)</f>
        <v>1570.75</v>
      </c>
      <c r="W93" s="11" t="n">
        <f aca="false">Units!$E92*(1+Inputs!$B$7)^(W$2-1)</f>
        <v>1570.75</v>
      </c>
      <c r="X93" s="11" t="n">
        <f aca="false">Units!$E92*(1+Inputs!$B$7)^(X$2-1)</f>
        <v>1570.75</v>
      </c>
      <c r="Y93" s="11" t="n">
        <f aca="false">Units!$E92*(1+Inputs!$B$7)^(Y$2-1)</f>
        <v>1570.75</v>
      </c>
      <c r="Z93" s="11" t="n">
        <f aca="false">Units!$E92*(1+Inputs!$B$7)^(Z$2-1)</f>
        <v>1570.75</v>
      </c>
      <c r="AA93" s="11" t="n">
        <f aca="false">Units!$E92*(1+Inputs!$B$7)^(AA$2-1)</f>
        <v>1617.8725</v>
      </c>
      <c r="AB93" s="11" t="n">
        <f aca="false">Units!$E92*(1+Inputs!$B$7)^(AB$2-1)</f>
        <v>1617.8725</v>
      </c>
      <c r="AC93" s="11" t="n">
        <f aca="false">Units!$E92*(1+Inputs!$B$7)^(AC$2-1)</f>
        <v>1617.8725</v>
      </c>
      <c r="AD93" s="11" t="n">
        <f aca="false">Units!$E92*(1+Inputs!$B$7)^(AD$2-1)</f>
        <v>1617.8725</v>
      </c>
      <c r="AE93" s="11" t="n">
        <f aca="false">Units!$E92*(1+Inputs!$B$7)^(AE$2-1)</f>
        <v>1617.8725</v>
      </c>
      <c r="AF93" s="11" t="n">
        <f aca="false">Units!$E92*(1+Inputs!$B$7)^(AF$2-1)</f>
        <v>1617.8725</v>
      </c>
      <c r="AG93" s="11" t="n">
        <f aca="false">Units!$E92*(1+Inputs!$B$7)^(AG$2-1)</f>
        <v>1617.8725</v>
      </c>
      <c r="AH93" s="11" t="n">
        <f aca="false">Units!$E92*(1+Inputs!$B$7)^(AH$2-1)</f>
        <v>1617.8725</v>
      </c>
      <c r="AI93" s="11" t="n">
        <f aca="false">Units!$E92*(1+Inputs!$B$7)^(AI$2-1)</f>
        <v>1617.8725</v>
      </c>
      <c r="AJ93" s="11" t="n">
        <f aca="false">Units!$E92*(1+Inputs!$B$7)^(AJ$2-1)</f>
        <v>1617.8725</v>
      </c>
      <c r="AK93" s="11" t="n">
        <f aca="false">Units!$E92*(1+Inputs!$B$7)^(AK$2-1)</f>
        <v>1617.8725</v>
      </c>
      <c r="AL93" s="11" t="n">
        <f aca="false">Units!$E92*(1+Inputs!$B$7)^(AL$2-1)</f>
        <v>1617.8725</v>
      </c>
      <c r="AM93" s="11" t="n">
        <f aca="false">Units!$E92*(1+Inputs!$B$7)^(AM$2-1)</f>
        <v>1666.408675</v>
      </c>
      <c r="AN93" s="11" t="n">
        <f aca="false">Units!$E92*(1+Inputs!$B$7)^(AN$2-1)</f>
        <v>1666.408675</v>
      </c>
      <c r="AO93" s="11" t="n">
        <f aca="false">Units!$E92*(1+Inputs!$B$7)^(AO$2-1)</f>
        <v>1666.408675</v>
      </c>
      <c r="AP93" s="11" t="n">
        <f aca="false">Units!$E92*(1+Inputs!$B$7)^(AP$2-1)</f>
        <v>1666.408675</v>
      </c>
      <c r="AQ93" s="11" t="n">
        <f aca="false">Units!$E92*(1+Inputs!$B$7)^(AQ$2-1)</f>
        <v>1666.408675</v>
      </c>
      <c r="AR93" s="11" t="n">
        <f aca="false">Units!$E92*(1+Inputs!$B$7)^(AR$2-1)</f>
        <v>1666.408675</v>
      </c>
      <c r="AS93" s="11" t="n">
        <f aca="false">Units!$E92*(1+Inputs!$B$7)^(AS$2-1)</f>
        <v>1666.408675</v>
      </c>
      <c r="AT93" s="11" t="n">
        <f aca="false">Units!$E92*(1+Inputs!$B$7)^(AT$2-1)</f>
        <v>1666.408675</v>
      </c>
      <c r="AU93" s="11" t="n">
        <f aca="false">Units!$E92*(1+Inputs!$B$7)^(AU$2-1)</f>
        <v>1666.408675</v>
      </c>
      <c r="AV93" s="11" t="n">
        <f aca="false">Units!$E92*(1+Inputs!$B$7)^(AV$2-1)</f>
        <v>1666.408675</v>
      </c>
      <c r="AW93" s="11" t="n">
        <f aca="false">Units!$E92*(1+Inputs!$B$7)^(AW$2-1)</f>
        <v>1666.408675</v>
      </c>
      <c r="AX93" s="11" t="n">
        <f aca="false">Units!$E92*(1+Inputs!$B$7)^(AX$2-1)</f>
        <v>1666.408675</v>
      </c>
      <c r="AY93" s="11" t="n">
        <f aca="false">Units!$E92*(1+Inputs!$B$7)^(AY$2-1)</f>
        <v>1716.40093525</v>
      </c>
      <c r="AZ93" s="11" t="n">
        <f aca="false">Units!$E92*(1+Inputs!$B$7)^(AZ$2-1)</f>
        <v>1716.40093525</v>
      </c>
      <c r="BA93" s="11" t="n">
        <f aca="false">Units!$E92*(1+Inputs!$B$7)^(BA$2-1)</f>
        <v>1716.40093525</v>
      </c>
      <c r="BB93" s="11" t="n">
        <f aca="false">Units!$E92*(1+Inputs!$B$7)^(BB$2-1)</f>
        <v>1716.40093525</v>
      </c>
      <c r="BC93" s="11" t="n">
        <f aca="false">Units!$E92*(1+Inputs!$B$7)^(BC$2-1)</f>
        <v>1716.40093525</v>
      </c>
      <c r="BD93" s="11" t="n">
        <f aca="false">Units!$E92*(1+Inputs!$B$7)^(BD$2-1)</f>
        <v>1716.40093525</v>
      </c>
      <c r="BE93" s="11" t="n">
        <f aca="false">Units!$E92*(1+Inputs!$B$7)^(BE$2-1)</f>
        <v>1716.40093525</v>
      </c>
      <c r="BF93" s="11" t="n">
        <f aca="false">Units!$E92*(1+Inputs!$B$7)^(BF$2-1)</f>
        <v>1716.40093525</v>
      </c>
      <c r="BG93" s="11" t="n">
        <f aca="false">Units!$E92*(1+Inputs!$B$7)^(BG$2-1)</f>
        <v>1716.40093525</v>
      </c>
      <c r="BH93" s="11" t="n">
        <f aca="false">Units!$E92*(1+Inputs!$B$7)^(BH$2-1)</f>
        <v>1716.40093525</v>
      </c>
      <c r="BI93" s="11" t="n">
        <f aca="false">Units!$E92*(1+Inputs!$B$7)^(BI$2-1)</f>
        <v>1716.40093525</v>
      </c>
      <c r="BJ93" s="11" t="n">
        <f aca="false">Units!$E92*(1+Inputs!$B$7)^(BJ$2-1)</f>
        <v>1716.40093525</v>
      </c>
      <c r="BK93" s="11" t="n">
        <f aca="false">Units!$E92*(1+Inputs!$B$7)^(BK$2-1)</f>
        <v>1767.8929633075</v>
      </c>
      <c r="BL93" s="11" t="n">
        <f aca="false">Units!$E92*(1+Inputs!$B$7)^(BL$2-1)</f>
        <v>1767.8929633075</v>
      </c>
      <c r="BM93" s="11" t="n">
        <f aca="false">Units!$E92*(1+Inputs!$B$7)^(BM$2-1)</f>
        <v>1767.8929633075</v>
      </c>
      <c r="BN93" s="11" t="n">
        <f aca="false">Units!$E92*(1+Inputs!$B$7)^(BN$2-1)</f>
        <v>1767.8929633075</v>
      </c>
      <c r="BO93" s="11" t="n">
        <f aca="false">Units!$E92*(1+Inputs!$B$7)^(BO$2-1)</f>
        <v>1767.8929633075</v>
      </c>
      <c r="BP93" s="11" t="n">
        <f aca="false">Units!$E92*(1+Inputs!$B$7)^(BP$2-1)</f>
        <v>1767.8929633075</v>
      </c>
      <c r="BQ93" s="11" t="n">
        <f aca="false">Units!$E92*(1+Inputs!$B$7)^(BQ$2-1)</f>
        <v>1767.8929633075</v>
      </c>
      <c r="BR93" s="11" t="n">
        <f aca="false">Units!$E92*(1+Inputs!$B$7)^(BR$2-1)</f>
        <v>1767.8929633075</v>
      </c>
      <c r="BS93" s="11" t="n">
        <f aca="false">Units!$E92*(1+Inputs!$B$7)^(BS$2-1)</f>
        <v>1767.8929633075</v>
      </c>
      <c r="BT93" s="11" t="n">
        <f aca="false">Units!$E92*(1+Inputs!$B$7)^(BT$2-1)</f>
        <v>1767.8929633075</v>
      </c>
      <c r="BU93" s="11" t="n">
        <f aca="false">Units!$E92*(1+Inputs!$B$7)^(BU$2-1)</f>
        <v>1767.8929633075</v>
      </c>
      <c r="BV93" s="11" t="n">
        <f aca="false">Units!$E92*(1+Inputs!$B$7)^(BV$2-1)</f>
        <v>1767.8929633075</v>
      </c>
      <c r="BW93" s="11" t="n">
        <f aca="false">Units!$E92*(1+Inputs!$B$7)^(BW$2-1)</f>
        <v>1820.92975220673</v>
      </c>
      <c r="BX93" s="11" t="n">
        <f aca="false">Units!$E92*(1+Inputs!$B$7)^(BX$2-1)</f>
        <v>1820.92975220673</v>
      </c>
      <c r="BY93" s="11" t="n">
        <f aca="false">Units!$E92*(1+Inputs!$B$7)^(BY$2-1)</f>
        <v>1820.92975220673</v>
      </c>
      <c r="BZ93" s="11" t="n">
        <f aca="false">Units!$E92*(1+Inputs!$B$7)^(BZ$2-1)</f>
        <v>1820.92975220673</v>
      </c>
      <c r="CA93" s="11" t="n">
        <f aca="false">Units!$E92*(1+Inputs!$B$7)^(CA$2-1)</f>
        <v>1820.92975220673</v>
      </c>
      <c r="CB93" s="11" t="n">
        <f aca="false">Units!$E92*(1+Inputs!$B$7)^(CB$2-1)</f>
        <v>1820.92975220673</v>
      </c>
      <c r="CC93" s="11" t="n">
        <f aca="false">Units!$E92*(1+Inputs!$B$7)^(CC$2-1)</f>
        <v>1820.92975220673</v>
      </c>
      <c r="CD93" s="11" t="n">
        <f aca="false">Units!$E92*(1+Inputs!$B$7)^(CD$2-1)</f>
        <v>1820.92975220673</v>
      </c>
      <c r="CE93" s="11" t="n">
        <f aca="false">Units!$E92*(1+Inputs!$B$7)^(CE$2-1)</f>
        <v>1820.92975220673</v>
      </c>
      <c r="CF93" s="11" t="n">
        <f aca="false">Units!$E92*(1+Inputs!$B$7)^(CF$2-1)</f>
        <v>1820.92975220673</v>
      </c>
      <c r="CG93" s="11" t="n">
        <f aca="false">Units!$E92*(1+Inputs!$B$7)^(CG$2-1)</f>
        <v>1820.92975220673</v>
      </c>
      <c r="CH93" s="11" t="n">
        <f aca="false">Units!$E92*(1+Inputs!$B$7)^(CH$2-1)</f>
        <v>1820.92975220673</v>
      </c>
      <c r="CI93" s="11" t="n">
        <f aca="false">Units!$E92*(1+Inputs!$B$7)^(CI$2-1)</f>
        <v>1875.55764477293</v>
      </c>
      <c r="CJ93" s="11" t="n">
        <f aca="false">Units!$E92*(1+Inputs!$B$7)^(CJ$2-1)</f>
        <v>1875.55764477293</v>
      </c>
      <c r="CK93" s="11" t="n">
        <f aca="false">Units!$E92*(1+Inputs!$B$7)^(CK$2-1)</f>
        <v>1875.55764477293</v>
      </c>
      <c r="CL93" s="11" t="n">
        <f aca="false">Units!$E92*(1+Inputs!$B$7)^(CL$2-1)</f>
        <v>1875.55764477293</v>
      </c>
      <c r="CM93" s="11" t="n">
        <f aca="false">Units!$E92*(1+Inputs!$B$7)^(CM$2-1)</f>
        <v>1875.55764477293</v>
      </c>
      <c r="CN93" s="11" t="n">
        <f aca="false">Units!$E92*(1+Inputs!$B$7)^(CN$2-1)</f>
        <v>1875.55764477293</v>
      </c>
      <c r="CO93" s="11" t="n">
        <f aca="false">Units!$E92*(1+Inputs!$B$7)^(CO$2-1)</f>
        <v>1875.55764477293</v>
      </c>
      <c r="CP93" s="11" t="n">
        <f aca="false">Units!$E92*(1+Inputs!$B$7)^(CP$2-1)</f>
        <v>1875.55764477293</v>
      </c>
      <c r="CQ93" s="11" t="n">
        <f aca="false">Units!$E92*(1+Inputs!$B$7)^(CQ$2-1)</f>
        <v>1875.55764477293</v>
      </c>
      <c r="CR93" s="11" t="n">
        <f aca="false">Units!$E92*(1+Inputs!$B$7)^(CR$2-1)</f>
        <v>1875.55764477293</v>
      </c>
      <c r="CS93" s="11" t="n">
        <f aca="false">Units!$E92*(1+Inputs!$B$7)^(CS$2-1)</f>
        <v>1875.55764477293</v>
      </c>
      <c r="CT93" s="11" t="n">
        <f aca="false">Units!$E92*(1+Inputs!$B$7)^(CT$2-1)</f>
        <v>1875.55764477293</v>
      </c>
      <c r="CU93" s="11" t="n">
        <f aca="false">Units!$E92*(1+Inputs!$B$7)^(CU$2-1)</f>
        <v>1931.82437411612</v>
      </c>
      <c r="CV93" s="11" t="n">
        <f aca="false">Units!$E92*(1+Inputs!$B$7)^(CV$2-1)</f>
        <v>1931.82437411612</v>
      </c>
      <c r="CW93" s="11" t="n">
        <f aca="false">Units!$E92*(1+Inputs!$B$7)^(CW$2-1)</f>
        <v>1931.82437411612</v>
      </c>
      <c r="CX93" s="11" t="n">
        <f aca="false">Units!$E92*(1+Inputs!$B$7)^(CX$2-1)</f>
        <v>1931.82437411612</v>
      </c>
      <c r="CY93" s="11" t="n">
        <f aca="false">Units!$E92*(1+Inputs!$B$7)^(CY$2-1)</f>
        <v>1931.82437411612</v>
      </c>
      <c r="CZ93" s="11" t="n">
        <f aca="false">Units!$E92*(1+Inputs!$B$7)^(CZ$2-1)</f>
        <v>1931.82437411612</v>
      </c>
      <c r="DA93" s="11" t="n">
        <f aca="false">Units!$E92*(1+Inputs!$B$7)^(DA$2-1)</f>
        <v>1931.82437411612</v>
      </c>
      <c r="DB93" s="11" t="n">
        <f aca="false">Units!$E92*(1+Inputs!$B$7)^(DB$2-1)</f>
        <v>1931.82437411612</v>
      </c>
      <c r="DC93" s="11" t="n">
        <f aca="false">Units!$E92*(1+Inputs!$B$7)^(DC$2-1)</f>
        <v>1931.82437411612</v>
      </c>
      <c r="DD93" s="11" t="n">
        <f aca="false">Units!$E92*(1+Inputs!$B$7)^(DD$2-1)</f>
        <v>1931.82437411612</v>
      </c>
      <c r="DE93" s="11" t="n">
        <f aca="false">Units!$E92*(1+Inputs!$B$7)^(DE$2-1)</f>
        <v>1931.82437411612</v>
      </c>
      <c r="DF93" s="11" t="n">
        <f aca="false">Units!$E92*(1+Inputs!$B$7)^(DF$2-1)</f>
        <v>1931.82437411612</v>
      </c>
      <c r="DG93" s="11" t="n">
        <f aca="false">Units!$E92*(1+Inputs!$B$7)^(DG$2-1)</f>
        <v>1989.7791053396</v>
      </c>
      <c r="DH93" s="11" t="n">
        <f aca="false">Units!$E92*(1+Inputs!$B$7)^(DH$2-1)</f>
        <v>1989.7791053396</v>
      </c>
      <c r="DI93" s="11" t="n">
        <f aca="false">Units!$E92*(1+Inputs!$B$7)^(DI$2-1)</f>
        <v>1989.7791053396</v>
      </c>
      <c r="DJ93" s="11" t="n">
        <f aca="false">Units!$E92*(1+Inputs!$B$7)^(DJ$2-1)</f>
        <v>1989.7791053396</v>
      </c>
      <c r="DK93" s="11" t="n">
        <f aca="false">Units!$E92*(1+Inputs!$B$7)^(DK$2-1)</f>
        <v>1989.7791053396</v>
      </c>
      <c r="DL93" s="11" t="n">
        <f aca="false">Units!$E92*(1+Inputs!$B$7)^(DL$2-1)</f>
        <v>1989.7791053396</v>
      </c>
      <c r="DM93" s="11" t="n">
        <f aca="false">Units!$E92*(1+Inputs!$B$7)^(DM$2-1)</f>
        <v>1989.7791053396</v>
      </c>
      <c r="DN93" s="11" t="n">
        <f aca="false">Units!$E92*(1+Inputs!$B$7)^(DN$2-1)</f>
        <v>1989.7791053396</v>
      </c>
      <c r="DO93" s="11" t="n">
        <f aca="false">Units!$E92*(1+Inputs!$B$7)^(DO$2-1)</f>
        <v>1989.7791053396</v>
      </c>
      <c r="DP93" s="11" t="n">
        <f aca="false">Units!$E92*(1+Inputs!$B$7)^(DP$2-1)</f>
        <v>1989.7791053396</v>
      </c>
      <c r="DQ93" s="11" t="n">
        <f aca="false">Units!$E92*(1+Inputs!$B$7)^(DQ$2-1)</f>
        <v>1989.7791053396</v>
      </c>
      <c r="DR93" s="11" t="n">
        <f aca="false">Units!$E92*(1+Inputs!$B$7)^(DR$2-1)</f>
        <v>1989.7791053396</v>
      </c>
      <c r="DS93" s="11" t="n">
        <f aca="false">Units!$E92*(1+Inputs!$B$7)^(DS$2-1)</f>
        <v>2049.47247849979</v>
      </c>
      <c r="DT93" s="11" t="n">
        <f aca="false">Units!$E92*(1+Inputs!$B$7)^(DT$2-1)</f>
        <v>2049.47247849979</v>
      </c>
      <c r="DU93" s="11" t="n">
        <f aca="false">Units!$E92*(1+Inputs!$B$7)^(DU$2-1)</f>
        <v>2049.47247849979</v>
      </c>
      <c r="DV93" s="11" t="n">
        <f aca="false">Units!$E92*(1+Inputs!$B$7)^(DV$2-1)</f>
        <v>2049.47247849979</v>
      </c>
      <c r="DW93" s="11" t="n">
        <f aca="false">Units!$E92*(1+Inputs!$B$7)^(DW$2-1)</f>
        <v>2049.47247849979</v>
      </c>
      <c r="DX93" s="11" t="n">
        <f aca="false">Units!$E92*(1+Inputs!$B$7)^(DX$2-1)</f>
        <v>2049.47247849979</v>
      </c>
      <c r="DY93" s="11" t="n">
        <f aca="false">Units!$E92*(1+Inputs!$B$7)^(DY$2-1)</f>
        <v>2049.47247849979</v>
      </c>
      <c r="DZ93" s="11" t="n">
        <f aca="false">Units!$E92*(1+Inputs!$B$7)^(DZ$2-1)</f>
        <v>2049.47247849979</v>
      </c>
      <c r="EA93" s="11" t="n">
        <f aca="false">Units!$E92*(1+Inputs!$B$7)^(EA$2-1)</f>
        <v>2049.47247849979</v>
      </c>
      <c r="EB93" s="11" t="n">
        <f aca="false">Units!$E92*(1+Inputs!$B$7)^(EB$2-1)</f>
        <v>2049.47247849979</v>
      </c>
      <c r="EC93" s="11" t="n">
        <f aca="false">Units!$E92*(1+Inputs!$B$7)^(EC$2-1)</f>
        <v>2049.47247849979</v>
      </c>
      <c r="ED93" s="11" t="n">
        <f aca="false">Units!$E92*(1+Inputs!$B$7)^(ED$2-1)</f>
        <v>2049.47247849979</v>
      </c>
    </row>
    <row r="94" customFormat="false" ht="15" hidden="false" customHeight="false" outlineLevel="0" collapsed="false">
      <c r="A94" s="22" t="n">
        <f aca="false">Units!A93</f>
        <v>402</v>
      </c>
      <c r="B94" s="23"/>
      <c r="C94" s="11" t="n">
        <f aca="false">Units!$E93*(1+Inputs!$B$7)^(C$2-1)</f>
        <v>1525</v>
      </c>
      <c r="D94" s="11" t="n">
        <f aca="false">Units!$E93*(1+Inputs!$B$7)^(D$2-1)</f>
        <v>1525</v>
      </c>
      <c r="E94" s="11" t="n">
        <f aca="false">Units!$E93*(1+Inputs!$B$7)^(E$2-1)</f>
        <v>1525</v>
      </c>
      <c r="F94" s="11" t="n">
        <f aca="false">Units!$E93*(1+Inputs!$B$7)^(F$2-1)</f>
        <v>1525</v>
      </c>
      <c r="G94" s="11" t="n">
        <f aca="false">Units!$E93*(1+Inputs!$B$7)^(G$2-1)</f>
        <v>1525</v>
      </c>
      <c r="H94" s="11" t="n">
        <f aca="false">Units!$E93*(1+Inputs!$B$7)^(H$2-1)</f>
        <v>1525</v>
      </c>
      <c r="I94" s="11" t="n">
        <f aca="false">Units!$E93*(1+Inputs!$B$7)^(I$2-1)</f>
        <v>1525</v>
      </c>
      <c r="J94" s="11" t="n">
        <f aca="false">Units!$E93*(1+Inputs!$B$7)^(J$2-1)</f>
        <v>1525</v>
      </c>
      <c r="K94" s="11" t="n">
        <f aca="false">Units!$E93*(1+Inputs!$B$7)^(K$2-1)</f>
        <v>1525</v>
      </c>
      <c r="L94" s="11" t="n">
        <f aca="false">Units!$E93*(1+Inputs!$B$7)^(L$2-1)</f>
        <v>1525</v>
      </c>
      <c r="M94" s="11" t="n">
        <f aca="false">Units!$E93*(1+Inputs!$B$7)^(M$2-1)</f>
        <v>1525</v>
      </c>
      <c r="N94" s="11" t="n">
        <f aca="false">Units!$E93*(1+Inputs!$B$7)^(N$2-1)</f>
        <v>1525</v>
      </c>
      <c r="O94" s="11" t="n">
        <f aca="false">Units!$E93*(1+Inputs!$B$7)^(O$2-1)</f>
        <v>1570.75</v>
      </c>
      <c r="P94" s="11" t="n">
        <f aca="false">Units!$E93*(1+Inputs!$B$7)^(P$2-1)</f>
        <v>1570.75</v>
      </c>
      <c r="Q94" s="11" t="n">
        <f aca="false">Units!$E93*(1+Inputs!$B$7)^(Q$2-1)</f>
        <v>1570.75</v>
      </c>
      <c r="R94" s="11" t="n">
        <f aca="false">Units!$E93*(1+Inputs!$B$7)^(R$2-1)</f>
        <v>1570.75</v>
      </c>
      <c r="S94" s="11" t="n">
        <f aca="false">Units!$E93*(1+Inputs!$B$7)^(S$2-1)</f>
        <v>1570.75</v>
      </c>
      <c r="T94" s="11" t="n">
        <f aca="false">Units!$E93*(1+Inputs!$B$7)^(T$2-1)</f>
        <v>1570.75</v>
      </c>
      <c r="U94" s="11" t="n">
        <f aca="false">Units!$E93*(1+Inputs!$B$7)^(U$2-1)</f>
        <v>1570.75</v>
      </c>
      <c r="V94" s="11" t="n">
        <f aca="false">Units!$E93*(1+Inputs!$B$7)^(V$2-1)</f>
        <v>1570.75</v>
      </c>
      <c r="W94" s="11" t="n">
        <f aca="false">Units!$E93*(1+Inputs!$B$7)^(W$2-1)</f>
        <v>1570.75</v>
      </c>
      <c r="X94" s="11" t="n">
        <f aca="false">Units!$E93*(1+Inputs!$B$7)^(X$2-1)</f>
        <v>1570.75</v>
      </c>
      <c r="Y94" s="11" t="n">
        <f aca="false">Units!$E93*(1+Inputs!$B$7)^(Y$2-1)</f>
        <v>1570.75</v>
      </c>
      <c r="Z94" s="11" t="n">
        <f aca="false">Units!$E93*(1+Inputs!$B$7)^(Z$2-1)</f>
        <v>1570.75</v>
      </c>
      <c r="AA94" s="11" t="n">
        <f aca="false">Units!$E93*(1+Inputs!$B$7)^(AA$2-1)</f>
        <v>1617.8725</v>
      </c>
      <c r="AB94" s="11" t="n">
        <f aca="false">Units!$E93*(1+Inputs!$B$7)^(AB$2-1)</f>
        <v>1617.8725</v>
      </c>
      <c r="AC94" s="11" t="n">
        <f aca="false">Units!$E93*(1+Inputs!$B$7)^(AC$2-1)</f>
        <v>1617.8725</v>
      </c>
      <c r="AD94" s="11" t="n">
        <f aca="false">Units!$E93*(1+Inputs!$B$7)^(AD$2-1)</f>
        <v>1617.8725</v>
      </c>
      <c r="AE94" s="11" t="n">
        <f aca="false">Units!$E93*(1+Inputs!$B$7)^(AE$2-1)</f>
        <v>1617.8725</v>
      </c>
      <c r="AF94" s="11" t="n">
        <f aca="false">Units!$E93*(1+Inputs!$B$7)^(AF$2-1)</f>
        <v>1617.8725</v>
      </c>
      <c r="AG94" s="11" t="n">
        <f aca="false">Units!$E93*(1+Inputs!$B$7)^(AG$2-1)</f>
        <v>1617.8725</v>
      </c>
      <c r="AH94" s="11" t="n">
        <f aca="false">Units!$E93*(1+Inputs!$B$7)^(AH$2-1)</f>
        <v>1617.8725</v>
      </c>
      <c r="AI94" s="11" t="n">
        <f aca="false">Units!$E93*(1+Inputs!$B$7)^(AI$2-1)</f>
        <v>1617.8725</v>
      </c>
      <c r="AJ94" s="11" t="n">
        <f aca="false">Units!$E93*(1+Inputs!$B$7)^(AJ$2-1)</f>
        <v>1617.8725</v>
      </c>
      <c r="AK94" s="11" t="n">
        <f aca="false">Units!$E93*(1+Inputs!$B$7)^(AK$2-1)</f>
        <v>1617.8725</v>
      </c>
      <c r="AL94" s="11" t="n">
        <f aca="false">Units!$E93*(1+Inputs!$B$7)^(AL$2-1)</f>
        <v>1617.8725</v>
      </c>
      <c r="AM94" s="11" t="n">
        <f aca="false">Units!$E93*(1+Inputs!$B$7)^(AM$2-1)</f>
        <v>1666.408675</v>
      </c>
      <c r="AN94" s="11" t="n">
        <f aca="false">Units!$E93*(1+Inputs!$B$7)^(AN$2-1)</f>
        <v>1666.408675</v>
      </c>
      <c r="AO94" s="11" t="n">
        <f aca="false">Units!$E93*(1+Inputs!$B$7)^(AO$2-1)</f>
        <v>1666.408675</v>
      </c>
      <c r="AP94" s="11" t="n">
        <f aca="false">Units!$E93*(1+Inputs!$B$7)^(AP$2-1)</f>
        <v>1666.408675</v>
      </c>
      <c r="AQ94" s="11" t="n">
        <f aca="false">Units!$E93*(1+Inputs!$B$7)^(AQ$2-1)</f>
        <v>1666.408675</v>
      </c>
      <c r="AR94" s="11" t="n">
        <f aca="false">Units!$E93*(1+Inputs!$B$7)^(AR$2-1)</f>
        <v>1666.408675</v>
      </c>
      <c r="AS94" s="11" t="n">
        <f aca="false">Units!$E93*(1+Inputs!$B$7)^(AS$2-1)</f>
        <v>1666.408675</v>
      </c>
      <c r="AT94" s="11" t="n">
        <f aca="false">Units!$E93*(1+Inputs!$B$7)^(AT$2-1)</f>
        <v>1666.408675</v>
      </c>
      <c r="AU94" s="11" t="n">
        <f aca="false">Units!$E93*(1+Inputs!$B$7)^(AU$2-1)</f>
        <v>1666.408675</v>
      </c>
      <c r="AV94" s="11" t="n">
        <f aca="false">Units!$E93*(1+Inputs!$B$7)^(AV$2-1)</f>
        <v>1666.408675</v>
      </c>
      <c r="AW94" s="11" t="n">
        <f aca="false">Units!$E93*(1+Inputs!$B$7)^(AW$2-1)</f>
        <v>1666.408675</v>
      </c>
      <c r="AX94" s="11" t="n">
        <f aca="false">Units!$E93*(1+Inputs!$B$7)^(AX$2-1)</f>
        <v>1666.408675</v>
      </c>
      <c r="AY94" s="11" t="n">
        <f aca="false">Units!$E93*(1+Inputs!$B$7)^(AY$2-1)</f>
        <v>1716.40093525</v>
      </c>
      <c r="AZ94" s="11" t="n">
        <f aca="false">Units!$E93*(1+Inputs!$B$7)^(AZ$2-1)</f>
        <v>1716.40093525</v>
      </c>
      <c r="BA94" s="11" t="n">
        <f aca="false">Units!$E93*(1+Inputs!$B$7)^(BA$2-1)</f>
        <v>1716.40093525</v>
      </c>
      <c r="BB94" s="11" t="n">
        <f aca="false">Units!$E93*(1+Inputs!$B$7)^(BB$2-1)</f>
        <v>1716.40093525</v>
      </c>
      <c r="BC94" s="11" t="n">
        <f aca="false">Units!$E93*(1+Inputs!$B$7)^(BC$2-1)</f>
        <v>1716.40093525</v>
      </c>
      <c r="BD94" s="11" t="n">
        <f aca="false">Units!$E93*(1+Inputs!$B$7)^(BD$2-1)</f>
        <v>1716.40093525</v>
      </c>
      <c r="BE94" s="11" t="n">
        <f aca="false">Units!$E93*(1+Inputs!$B$7)^(BE$2-1)</f>
        <v>1716.40093525</v>
      </c>
      <c r="BF94" s="11" t="n">
        <f aca="false">Units!$E93*(1+Inputs!$B$7)^(BF$2-1)</f>
        <v>1716.40093525</v>
      </c>
      <c r="BG94" s="11" t="n">
        <f aca="false">Units!$E93*(1+Inputs!$B$7)^(BG$2-1)</f>
        <v>1716.40093525</v>
      </c>
      <c r="BH94" s="11" t="n">
        <f aca="false">Units!$E93*(1+Inputs!$B$7)^(BH$2-1)</f>
        <v>1716.40093525</v>
      </c>
      <c r="BI94" s="11" t="n">
        <f aca="false">Units!$E93*(1+Inputs!$B$7)^(BI$2-1)</f>
        <v>1716.40093525</v>
      </c>
      <c r="BJ94" s="11" t="n">
        <f aca="false">Units!$E93*(1+Inputs!$B$7)^(BJ$2-1)</f>
        <v>1716.40093525</v>
      </c>
      <c r="BK94" s="11" t="n">
        <f aca="false">Units!$E93*(1+Inputs!$B$7)^(BK$2-1)</f>
        <v>1767.8929633075</v>
      </c>
      <c r="BL94" s="11" t="n">
        <f aca="false">Units!$E93*(1+Inputs!$B$7)^(BL$2-1)</f>
        <v>1767.8929633075</v>
      </c>
      <c r="BM94" s="11" t="n">
        <f aca="false">Units!$E93*(1+Inputs!$B$7)^(BM$2-1)</f>
        <v>1767.8929633075</v>
      </c>
      <c r="BN94" s="11" t="n">
        <f aca="false">Units!$E93*(1+Inputs!$B$7)^(BN$2-1)</f>
        <v>1767.8929633075</v>
      </c>
      <c r="BO94" s="11" t="n">
        <f aca="false">Units!$E93*(1+Inputs!$B$7)^(BO$2-1)</f>
        <v>1767.8929633075</v>
      </c>
      <c r="BP94" s="11" t="n">
        <f aca="false">Units!$E93*(1+Inputs!$B$7)^(BP$2-1)</f>
        <v>1767.8929633075</v>
      </c>
      <c r="BQ94" s="11" t="n">
        <f aca="false">Units!$E93*(1+Inputs!$B$7)^(BQ$2-1)</f>
        <v>1767.8929633075</v>
      </c>
      <c r="BR94" s="11" t="n">
        <f aca="false">Units!$E93*(1+Inputs!$B$7)^(BR$2-1)</f>
        <v>1767.8929633075</v>
      </c>
      <c r="BS94" s="11" t="n">
        <f aca="false">Units!$E93*(1+Inputs!$B$7)^(BS$2-1)</f>
        <v>1767.8929633075</v>
      </c>
      <c r="BT94" s="11" t="n">
        <f aca="false">Units!$E93*(1+Inputs!$B$7)^(BT$2-1)</f>
        <v>1767.8929633075</v>
      </c>
      <c r="BU94" s="11" t="n">
        <f aca="false">Units!$E93*(1+Inputs!$B$7)^(BU$2-1)</f>
        <v>1767.8929633075</v>
      </c>
      <c r="BV94" s="11" t="n">
        <f aca="false">Units!$E93*(1+Inputs!$B$7)^(BV$2-1)</f>
        <v>1767.8929633075</v>
      </c>
      <c r="BW94" s="11" t="n">
        <f aca="false">Units!$E93*(1+Inputs!$B$7)^(BW$2-1)</f>
        <v>1820.92975220673</v>
      </c>
      <c r="BX94" s="11" t="n">
        <f aca="false">Units!$E93*(1+Inputs!$B$7)^(BX$2-1)</f>
        <v>1820.92975220673</v>
      </c>
      <c r="BY94" s="11" t="n">
        <f aca="false">Units!$E93*(1+Inputs!$B$7)^(BY$2-1)</f>
        <v>1820.92975220673</v>
      </c>
      <c r="BZ94" s="11" t="n">
        <f aca="false">Units!$E93*(1+Inputs!$B$7)^(BZ$2-1)</f>
        <v>1820.92975220673</v>
      </c>
      <c r="CA94" s="11" t="n">
        <f aca="false">Units!$E93*(1+Inputs!$B$7)^(CA$2-1)</f>
        <v>1820.92975220673</v>
      </c>
      <c r="CB94" s="11" t="n">
        <f aca="false">Units!$E93*(1+Inputs!$B$7)^(CB$2-1)</f>
        <v>1820.92975220673</v>
      </c>
      <c r="CC94" s="11" t="n">
        <f aca="false">Units!$E93*(1+Inputs!$B$7)^(CC$2-1)</f>
        <v>1820.92975220673</v>
      </c>
      <c r="CD94" s="11" t="n">
        <f aca="false">Units!$E93*(1+Inputs!$B$7)^(CD$2-1)</f>
        <v>1820.92975220673</v>
      </c>
      <c r="CE94" s="11" t="n">
        <f aca="false">Units!$E93*(1+Inputs!$B$7)^(CE$2-1)</f>
        <v>1820.92975220673</v>
      </c>
      <c r="CF94" s="11" t="n">
        <f aca="false">Units!$E93*(1+Inputs!$B$7)^(CF$2-1)</f>
        <v>1820.92975220673</v>
      </c>
      <c r="CG94" s="11" t="n">
        <f aca="false">Units!$E93*(1+Inputs!$B$7)^(CG$2-1)</f>
        <v>1820.92975220673</v>
      </c>
      <c r="CH94" s="11" t="n">
        <f aca="false">Units!$E93*(1+Inputs!$B$7)^(CH$2-1)</f>
        <v>1820.92975220673</v>
      </c>
      <c r="CI94" s="11" t="n">
        <f aca="false">Units!$E93*(1+Inputs!$B$7)^(CI$2-1)</f>
        <v>1875.55764477293</v>
      </c>
      <c r="CJ94" s="11" t="n">
        <f aca="false">Units!$E93*(1+Inputs!$B$7)^(CJ$2-1)</f>
        <v>1875.55764477293</v>
      </c>
      <c r="CK94" s="11" t="n">
        <f aca="false">Units!$E93*(1+Inputs!$B$7)^(CK$2-1)</f>
        <v>1875.55764477293</v>
      </c>
      <c r="CL94" s="11" t="n">
        <f aca="false">Units!$E93*(1+Inputs!$B$7)^(CL$2-1)</f>
        <v>1875.55764477293</v>
      </c>
      <c r="CM94" s="11" t="n">
        <f aca="false">Units!$E93*(1+Inputs!$B$7)^(CM$2-1)</f>
        <v>1875.55764477293</v>
      </c>
      <c r="CN94" s="11" t="n">
        <f aca="false">Units!$E93*(1+Inputs!$B$7)^(CN$2-1)</f>
        <v>1875.55764477293</v>
      </c>
      <c r="CO94" s="11" t="n">
        <f aca="false">Units!$E93*(1+Inputs!$B$7)^(CO$2-1)</f>
        <v>1875.55764477293</v>
      </c>
      <c r="CP94" s="11" t="n">
        <f aca="false">Units!$E93*(1+Inputs!$B$7)^(CP$2-1)</f>
        <v>1875.55764477293</v>
      </c>
      <c r="CQ94" s="11" t="n">
        <f aca="false">Units!$E93*(1+Inputs!$B$7)^(CQ$2-1)</f>
        <v>1875.55764477293</v>
      </c>
      <c r="CR94" s="11" t="n">
        <f aca="false">Units!$E93*(1+Inputs!$B$7)^(CR$2-1)</f>
        <v>1875.55764477293</v>
      </c>
      <c r="CS94" s="11" t="n">
        <f aca="false">Units!$E93*(1+Inputs!$B$7)^(CS$2-1)</f>
        <v>1875.55764477293</v>
      </c>
      <c r="CT94" s="11" t="n">
        <f aca="false">Units!$E93*(1+Inputs!$B$7)^(CT$2-1)</f>
        <v>1875.55764477293</v>
      </c>
      <c r="CU94" s="11" t="n">
        <f aca="false">Units!$E93*(1+Inputs!$B$7)^(CU$2-1)</f>
        <v>1931.82437411612</v>
      </c>
      <c r="CV94" s="11" t="n">
        <f aca="false">Units!$E93*(1+Inputs!$B$7)^(CV$2-1)</f>
        <v>1931.82437411612</v>
      </c>
      <c r="CW94" s="11" t="n">
        <f aca="false">Units!$E93*(1+Inputs!$B$7)^(CW$2-1)</f>
        <v>1931.82437411612</v>
      </c>
      <c r="CX94" s="11" t="n">
        <f aca="false">Units!$E93*(1+Inputs!$B$7)^(CX$2-1)</f>
        <v>1931.82437411612</v>
      </c>
      <c r="CY94" s="11" t="n">
        <f aca="false">Units!$E93*(1+Inputs!$B$7)^(CY$2-1)</f>
        <v>1931.82437411612</v>
      </c>
      <c r="CZ94" s="11" t="n">
        <f aca="false">Units!$E93*(1+Inputs!$B$7)^(CZ$2-1)</f>
        <v>1931.82437411612</v>
      </c>
      <c r="DA94" s="11" t="n">
        <f aca="false">Units!$E93*(1+Inputs!$B$7)^(DA$2-1)</f>
        <v>1931.82437411612</v>
      </c>
      <c r="DB94" s="11" t="n">
        <f aca="false">Units!$E93*(1+Inputs!$B$7)^(DB$2-1)</f>
        <v>1931.82437411612</v>
      </c>
      <c r="DC94" s="11" t="n">
        <f aca="false">Units!$E93*(1+Inputs!$B$7)^(DC$2-1)</f>
        <v>1931.82437411612</v>
      </c>
      <c r="DD94" s="11" t="n">
        <f aca="false">Units!$E93*(1+Inputs!$B$7)^(DD$2-1)</f>
        <v>1931.82437411612</v>
      </c>
      <c r="DE94" s="11" t="n">
        <f aca="false">Units!$E93*(1+Inputs!$B$7)^(DE$2-1)</f>
        <v>1931.82437411612</v>
      </c>
      <c r="DF94" s="11" t="n">
        <f aca="false">Units!$E93*(1+Inputs!$B$7)^(DF$2-1)</f>
        <v>1931.82437411612</v>
      </c>
      <c r="DG94" s="11" t="n">
        <f aca="false">Units!$E93*(1+Inputs!$B$7)^(DG$2-1)</f>
        <v>1989.7791053396</v>
      </c>
      <c r="DH94" s="11" t="n">
        <f aca="false">Units!$E93*(1+Inputs!$B$7)^(DH$2-1)</f>
        <v>1989.7791053396</v>
      </c>
      <c r="DI94" s="11" t="n">
        <f aca="false">Units!$E93*(1+Inputs!$B$7)^(DI$2-1)</f>
        <v>1989.7791053396</v>
      </c>
      <c r="DJ94" s="11" t="n">
        <f aca="false">Units!$E93*(1+Inputs!$B$7)^(DJ$2-1)</f>
        <v>1989.7791053396</v>
      </c>
      <c r="DK94" s="11" t="n">
        <f aca="false">Units!$E93*(1+Inputs!$B$7)^(DK$2-1)</f>
        <v>1989.7791053396</v>
      </c>
      <c r="DL94" s="11" t="n">
        <f aca="false">Units!$E93*(1+Inputs!$B$7)^(DL$2-1)</f>
        <v>1989.7791053396</v>
      </c>
      <c r="DM94" s="11" t="n">
        <f aca="false">Units!$E93*(1+Inputs!$B$7)^(DM$2-1)</f>
        <v>1989.7791053396</v>
      </c>
      <c r="DN94" s="11" t="n">
        <f aca="false">Units!$E93*(1+Inputs!$B$7)^(DN$2-1)</f>
        <v>1989.7791053396</v>
      </c>
      <c r="DO94" s="11" t="n">
        <f aca="false">Units!$E93*(1+Inputs!$B$7)^(DO$2-1)</f>
        <v>1989.7791053396</v>
      </c>
      <c r="DP94" s="11" t="n">
        <f aca="false">Units!$E93*(1+Inputs!$B$7)^(DP$2-1)</f>
        <v>1989.7791053396</v>
      </c>
      <c r="DQ94" s="11" t="n">
        <f aca="false">Units!$E93*(1+Inputs!$B$7)^(DQ$2-1)</f>
        <v>1989.7791053396</v>
      </c>
      <c r="DR94" s="11" t="n">
        <f aca="false">Units!$E93*(1+Inputs!$B$7)^(DR$2-1)</f>
        <v>1989.7791053396</v>
      </c>
      <c r="DS94" s="11" t="n">
        <f aca="false">Units!$E93*(1+Inputs!$B$7)^(DS$2-1)</f>
        <v>2049.47247849979</v>
      </c>
      <c r="DT94" s="11" t="n">
        <f aca="false">Units!$E93*(1+Inputs!$B$7)^(DT$2-1)</f>
        <v>2049.47247849979</v>
      </c>
      <c r="DU94" s="11" t="n">
        <f aca="false">Units!$E93*(1+Inputs!$B$7)^(DU$2-1)</f>
        <v>2049.47247849979</v>
      </c>
      <c r="DV94" s="11" t="n">
        <f aca="false">Units!$E93*(1+Inputs!$B$7)^(DV$2-1)</f>
        <v>2049.47247849979</v>
      </c>
      <c r="DW94" s="11" t="n">
        <f aca="false">Units!$E93*(1+Inputs!$B$7)^(DW$2-1)</f>
        <v>2049.47247849979</v>
      </c>
      <c r="DX94" s="11" t="n">
        <f aca="false">Units!$E93*(1+Inputs!$B$7)^(DX$2-1)</f>
        <v>2049.47247849979</v>
      </c>
      <c r="DY94" s="11" t="n">
        <f aca="false">Units!$E93*(1+Inputs!$B$7)^(DY$2-1)</f>
        <v>2049.47247849979</v>
      </c>
      <c r="DZ94" s="11" t="n">
        <f aca="false">Units!$E93*(1+Inputs!$B$7)^(DZ$2-1)</f>
        <v>2049.47247849979</v>
      </c>
      <c r="EA94" s="11" t="n">
        <f aca="false">Units!$E93*(1+Inputs!$B$7)^(EA$2-1)</f>
        <v>2049.47247849979</v>
      </c>
      <c r="EB94" s="11" t="n">
        <f aca="false">Units!$E93*(1+Inputs!$B$7)^(EB$2-1)</f>
        <v>2049.47247849979</v>
      </c>
      <c r="EC94" s="11" t="n">
        <f aca="false">Units!$E93*(1+Inputs!$B$7)^(EC$2-1)</f>
        <v>2049.47247849979</v>
      </c>
      <c r="ED94" s="11" t="n">
        <f aca="false">Units!$E93*(1+Inputs!$B$7)^(ED$2-1)</f>
        <v>2049.47247849979</v>
      </c>
    </row>
    <row r="95" customFormat="false" ht="15" hidden="false" customHeight="false" outlineLevel="0" collapsed="false">
      <c r="A95" s="22" t="n">
        <f aca="false">Units!A94</f>
        <v>403</v>
      </c>
      <c r="B95" s="23"/>
      <c r="C95" s="11" t="n">
        <f aca="false">Units!$E94*(1+Inputs!$B$7)^(C$2-1)</f>
        <v>1525</v>
      </c>
      <c r="D95" s="11" t="n">
        <f aca="false">Units!$E94*(1+Inputs!$B$7)^(D$2-1)</f>
        <v>1525</v>
      </c>
      <c r="E95" s="11" t="n">
        <f aca="false">Units!$E94*(1+Inputs!$B$7)^(E$2-1)</f>
        <v>1525</v>
      </c>
      <c r="F95" s="11" t="n">
        <f aca="false">Units!$E94*(1+Inputs!$B$7)^(F$2-1)</f>
        <v>1525</v>
      </c>
      <c r="G95" s="11" t="n">
        <f aca="false">Units!$E94*(1+Inputs!$B$7)^(G$2-1)</f>
        <v>1525</v>
      </c>
      <c r="H95" s="11" t="n">
        <f aca="false">Units!$E94*(1+Inputs!$B$7)^(H$2-1)</f>
        <v>1525</v>
      </c>
      <c r="I95" s="11" t="n">
        <f aca="false">Units!$E94*(1+Inputs!$B$7)^(I$2-1)</f>
        <v>1525</v>
      </c>
      <c r="J95" s="11" t="n">
        <f aca="false">Units!$E94*(1+Inputs!$B$7)^(J$2-1)</f>
        <v>1525</v>
      </c>
      <c r="K95" s="11" t="n">
        <f aca="false">Units!$E94*(1+Inputs!$B$7)^(K$2-1)</f>
        <v>1525</v>
      </c>
      <c r="L95" s="11" t="n">
        <f aca="false">Units!$E94*(1+Inputs!$B$7)^(L$2-1)</f>
        <v>1525</v>
      </c>
      <c r="M95" s="11" t="n">
        <f aca="false">Units!$E94*(1+Inputs!$B$7)^(M$2-1)</f>
        <v>1525</v>
      </c>
      <c r="N95" s="11" t="n">
        <f aca="false">Units!$E94*(1+Inputs!$B$7)^(N$2-1)</f>
        <v>1525</v>
      </c>
      <c r="O95" s="11" t="n">
        <f aca="false">Units!$E94*(1+Inputs!$B$7)^(O$2-1)</f>
        <v>1570.75</v>
      </c>
      <c r="P95" s="11" t="n">
        <f aca="false">Units!$E94*(1+Inputs!$B$7)^(P$2-1)</f>
        <v>1570.75</v>
      </c>
      <c r="Q95" s="11" t="n">
        <f aca="false">Units!$E94*(1+Inputs!$B$7)^(Q$2-1)</f>
        <v>1570.75</v>
      </c>
      <c r="R95" s="11" t="n">
        <f aca="false">Units!$E94*(1+Inputs!$B$7)^(R$2-1)</f>
        <v>1570.75</v>
      </c>
      <c r="S95" s="11" t="n">
        <f aca="false">Units!$E94*(1+Inputs!$B$7)^(S$2-1)</f>
        <v>1570.75</v>
      </c>
      <c r="T95" s="11" t="n">
        <f aca="false">Units!$E94*(1+Inputs!$B$7)^(T$2-1)</f>
        <v>1570.75</v>
      </c>
      <c r="U95" s="11" t="n">
        <f aca="false">Units!$E94*(1+Inputs!$B$7)^(U$2-1)</f>
        <v>1570.75</v>
      </c>
      <c r="V95" s="11" t="n">
        <f aca="false">Units!$E94*(1+Inputs!$B$7)^(V$2-1)</f>
        <v>1570.75</v>
      </c>
      <c r="W95" s="11" t="n">
        <f aca="false">Units!$E94*(1+Inputs!$B$7)^(W$2-1)</f>
        <v>1570.75</v>
      </c>
      <c r="X95" s="11" t="n">
        <f aca="false">Units!$E94*(1+Inputs!$B$7)^(X$2-1)</f>
        <v>1570.75</v>
      </c>
      <c r="Y95" s="11" t="n">
        <f aca="false">Units!$E94*(1+Inputs!$B$7)^(Y$2-1)</f>
        <v>1570.75</v>
      </c>
      <c r="Z95" s="11" t="n">
        <f aca="false">Units!$E94*(1+Inputs!$B$7)^(Z$2-1)</f>
        <v>1570.75</v>
      </c>
      <c r="AA95" s="11" t="n">
        <f aca="false">Units!$E94*(1+Inputs!$B$7)^(AA$2-1)</f>
        <v>1617.8725</v>
      </c>
      <c r="AB95" s="11" t="n">
        <f aca="false">Units!$E94*(1+Inputs!$B$7)^(AB$2-1)</f>
        <v>1617.8725</v>
      </c>
      <c r="AC95" s="11" t="n">
        <f aca="false">Units!$E94*(1+Inputs!$B$7)^(AC$2-1)</f>
        <v>1617.8725</v>
      </c>
      <c r="AD95" s="11" t="n">
        <f aca="false">Units!$E94*(1+Inputs!$B$7)^(AD$2-1)</f>
        <v>1617.8725</v>
      </c>
      <c r="AE95" s="11" t="n">
        <f aca="false">Units!$E94*(1+Inputs!$B$7)^(AE$2-1)</f>
        <v>1617.8725</v>
      </c>
      <c r="AF95" s="11" t="n">
        <f aca="false">Units!$E94*(1+Inputs!$B$7)^(AF$2-1)</f>
        <v>1617.8725</v>
      </c>
      <c r="AG95" s="11" t="n">
        <f aca="false">Units!$E94*(1+Inputs!$B$7)^(AG$2-1)</f>
        <v>1617.8725</v>
      </c>
      <c r="AH95" s="11" t="n">
        <f aca="false">Units!$E94*(1+Inputs!$B$7)^(AH$2-1)</f>
        <v>1617.8725</v>
      </c>
      <c r="AI95" s="11" t="n">
        <f aca="false">Units!$E94*(1+Inputs!$B$7)^(AI$2-1)</f>
        <v>1617.8725</v>
      </c>
      <c r="AJ95" s="11" t="n">
        <f aca="false">Units!$E94*(1+Inputs!$B$7)^(AJ$2-1)</f>
        <v>1617.8725</v>
      </c>
      <c r="AK95" s="11" t="n">
        <f aca="false">Units!$E94*(1+Inputs!$B$7)^(AK$2-1)</f>
        <v>1617.8725</v>
      </c>
      <c r="AL95" s="11" t="n">
        <f aca="false">Units!$E94*(1+Inputs!$B$7)^(AL$2-1)</f>
        <v>1617.8725</v>
      </c>
      <c r="AM95" s="11" t="n">
        <f aca="false">Units!$E94*(1+Inputs!$B$7)^(AM$2-1)</f>
        <v>1666.408675</v>
      </c>
      <c r="AN95" s="11" t="n">
        <f aca="false">Units!$E94*(1+Inputs!$B$7)^(AN$2-1)</f>
        <v>1666.408675</v>
      </c>
      <c r="AO95" s="11" t="n">
        <f aca="false">Units!$E94*(1+Inputs!$B$7)^(AO$2-1)</f>
        <v>1666.408675</v>
      </c>
      <c r="AP95" s="11" t="n">
        <f aca="false">Units!$E94*(1+Inputs!$B$7)^(AP$2-1)</f>
        <v>1666.408675</v>
      </c>
      <c r="AQ95" s="11" t="n">
        <f aca="false">Units!$E94*(1+Inputs!$B$7)^(AQ$2-1)</f>
        <v>1666.408675</v>
      </c>
      <c r="AR95" s="11" t="n">
        <f aca="false">Units!$E94*(1+Inputs!$B$7)^(AR$2-1)</f>
        <v>1666.408675</v>
      </c>
      <c r="AS95" s="11" t="n">
        <f aca="false">Units!$E94*(1+Inputs!$B$7)^(AS$2-1)</f>
        <v>1666.408675</v>
      </c>
      <c r="AT95" s="11" t="n">
        <f aca="false">Units!$E94*(1+Inputs!$B$7)^(AT$2-1)</f>
        <v>1666.408675</v>
      </c>
      <c r="AU95" s="11" t="n">
        <f aca="false">Units!$E94*(1+Inputs!$B$7)^(AU$2-1)</f>
        <v>1666.408675</v>
      </c>
      <c r="AV95" s="11" t="n">
        <f aca="false">Units!$E94*(1+Inputs!$B$7)^(AV$2-1)</f>
        <v>1666.408675</v>
      </c>
      <c r="AW95" s="11" t="n">
        <f aca="false">Units!$E94*(1+Inputs!$B$7)^(AW$2-1)</f>
        <v>1666.408675</v>
      </c>
      <c r="AX95" s="11" t="n">
        <f aca="false">Units!$E94*(1+Inputs!$B$7)^(AX$2-1)</f>
        <v>1666.408675</v>
      </c>
      <c r="AY95" s="11" t="n">
        <f aca="false">Units!$E94*(1+Inputs!$B$7)^(AY$2-1)</f>
        <v>1716.40093525</v>
      </c>
      <c r="AZ95" s="11" t="n">
        <f aca="false">Units!$E94*(1+Inputs!$B$7)^(AZ$2-1)</f>
        <v>1716.40093525</v>
      </c>
      <c r="BA95" s="11" t="n">
        <f aca="false">Units!$E94*(1+Inputs!$B$7)^(BA$2-1)</f>
        <v>1716.40093525</v>
      </c>
      <c r="BB95" s="11" t="n">
        <f aca="false">Units!$E94*(1+Inputs!$B$7)^(BB$2-1)</f>
        <v>1716.40093525</v>
      </c>
      <c r="BC95" s="11" t="n">
        <f aca="false">Units!$E94*(1+Inputs!$B$7)^(BC$2-1)</f>
        <v>1716.40093525</v>
      </c>
      <c r="BD95" s="11" t="n">
        <f aca="false">Units!$E94*(1+Inputs!$B$7)^(BD$2-1)</f>
        <v>1716.40093525</v>
      </c>
      <c r="BE95" s="11" t="n">
        <f aca="false">Units!$E94*(1+Inputs!$B$7)^(BE$2-1)</f>
        <v>1716.40093525</v>
      </c>
      <c r="BF95" s="11" t="n">
        <f aca="false">Units!$E94*(1+Inputs!$B$7)^(BF$2-1)</f>
        <v>1716.40093525</v>
      </c>
      <c r="BG95" s="11" t="n">
        <f aca="false">Units!$E94*(1+Inputs!$B$7)^(BG$2-1)</f>
        <v>1716.40093525</v>
      </c>
      <c r="BH95" s="11" t="n">
        <f aca="false">Units!$E94*(1+Inputs!$B$7)^(BH$2-1)</f>
        <v>1716.40093525</v>
      </c>
      <c r="BI95" s="11" t="n">
        <f aca="false">Units!$E94*(1+Inputs!$B$7)^(BI$2-1)</f>
        <v>1716.40093525</v>
      </c>
      <c r="BJ95" s="11" t="n">
        <f aca="false">Units!$E94*(1+Inputs!$B$7)^(BJ$2-1)</f>
        <v>1716.40093525</v>
      </c>
      <c r="BK95" s="11" t="n">
        <f aca="false">Units!$E94*(1+Inputs!$B$7)^(BK$2-1)</f>
        <v>1767.8929633075</v>
      </c>
      <c r="BL95" s="11" t="n">
        <f aca="false">Units!$E94*(1+Inputs!$B$7)^(BL$2-1)</f>
        <v>1767.8929633075</v>
      </c>
      <c r="BM95" s="11" t="n">
        <f aca="false">Units!$E94*(1+Inputs!$B$7)^(BM$2-1)</f>
        <v>1767.8929633075</v>
      </c>
      <c r="BN95" s="11" t="n">
        <f aca="false">Units!$E94*(1+Inputs!$B$7)^(BN$2-1)</f>
        <v>1767.8929633075</v>
      </c>
      <c r="BO95" s="11" t="n">
        <f aca="false">Units!$E94*(1+Inputs!$B$7)^(BO$2-1)</f>
        <v>1767.8929633075</v>
      </c>
      <c r="BP95" s="11" t="n">
        <f aca="false">Units!$E94*(1+Inputs!$B$7)^(BP$2-1)</f>
        <v>1767.8929633075</v>
      </c>
      <c r="BQ95" s="11" t="n">
        <f aca="false">Units!$E94*(1+Inputs!$B$7)^(BQ$2-1)</f>
        <v>1767.8929633075</v>
      </c>
      <c r="BR95" s="11" t="n">
        <f aca="false">Units!$E94*(1+Inputs!$B$7)^(BR$2-1)</f>
        <v>1767.8929633075</v>
      </c>
      <c r="BS95" s="11" t="n">
        <f aca="false">Units!$E94*(1+Inputs!$B$7)^(BS$2-1)</f>
        <v>1767.8929633075</v>
      </c>
      <c r="BT95" s="11" t="n">
        <f aca="false">Units!$E94*(1+Inputs!$B$7)^(BT$2-1)</f>
        <v>1767.8929633075</v>
      </c>
      <c r="BU95" s="11" t="n">
        <f aca="false">Units!$E94*(1+Inputs!$B$7)^(BU$2-1)</f>
        <v>1767.8929633075</v>
      </c>
      <c r="BV95" s="11" t="n">
        <f aca="false">Units!$E94*(1+Inputs!$B$7)^(BV$2-1)</f>
        <v>1767.8929633075</v>
      </c>
      <c r="BW95" s="11" t="n">
        <f aca="false">Units!$E94*(1+Inputs!$B$7)^(BW$2-1)</f>
        <v>1820.92975220673</v>
      </c>
      <c r="BX95" s="11" t="n">
        <f aca="false">Units!$E94*(1+Inputs!$B$7)^(BX$2-1)</f>
        <v>1820.92975220673</v>
      </c>
      <c r="BY95" s="11" t="n">
        <f aca="false">Units!$E94*(1+Inputs!$B$7)^(BY$2-1)</f>
        <v>1820.92975220673</v>
      </c>
      <c r="BZ95" s="11" t="n">
        <f aca="false">Units!$E94*(1+Inputs!$B$7)^(BZ$2-1)</f>
        <v>1820.92975220673</v>
      </c>
      <c r="CA95" s="11" t="n">
        <f aca="false">Units!$E94*(1+Inputs!$B$7)^(CA$2-1)</f>
        <v>1820.92975220673</v>
      </c>
      <c r="CB95" s="11" t="n">
        <f aca="false">Units!$E94*(1+Inputs!$B$7)^(CB$2-1)</f>
        <v>1820.92975220673</v>
      </c>
      <c r="CC95" s="11" t="n">
        <f aca="false">Units!$E94*(1+Inputs!$B$7)^(CC$2-1)</f>
        <v>1820.92975220673</v>
      </c>
      <c r="CD95" s="11" t="n">
        <f aca="false">Units!$E94*(1+Inputs!$B$7)^(CD$2-1)</f>
        <v>1820.92975220673</v>
      </c>
      <c r="CE95" s="11" t="n">
        <f aca="false">Units!$E94*(1+Inputs!$B$7)^(CE$2-1)</f>
        <v>1820.92975220673</v>
      </c>
      <c r="CF95" s="11" t="n">
        <f aca="false">Units!$E94*(1+Inputs!$B$7)^(CF$2-1)</f>
        <v>1820.92975220673</v>
      </c>
      <c r="CG95" s="11" t="n">
        <f aca="false">Units!$E94*(1+Inputs!$B$7)^(CG$2-1)</f>
        <v>1820.92975220673</v>
      </c>
      <c r="CH95" s="11" t="n">
        <f aca="false">Units!$E94*(1+Inputs!$B$7)^(CH$2-1)</f>
        <v>1820.92975220673</v>
      </c>
      <c r="CI95" s="11" t="n">
        <f aca="false">Units!$E94*(1+Inputs!$B$7)^(CI$2-1)</f>
        <v>1875.55764477293</v>
      </c>
      <c r="CJ95" s="11" t="n">
        <f aca="false">Units!$E94*(1+Inputs!$B$7)^(CJ$2-1)</f>
        <v>1875.55764477293</v>
      </c>
      <c r="CK95" s="11" t="n">
        <f aca="false">Units!$E94*(1+Inputs!$B$7)^(CK$2-1)</f>
        <v>1875.55764477293</v>
      </c>
      <c r="CL95" s="11" t="n">
        <f aca="false">Units!$E94*(1+Inputs!$B$7)^(CL$2-1)</f>
        <v>1875.55764477293</v>
      </c>
      <c r="CM95" s="11" t="n">
        <f aca="false">Units!$E94*(1+Inputs!$B$7)^(CM$2-1)</f>
        <v>1875.55764477293</v>
      </c>
      <c r="CN95" s="11" t="n">
        <f aca="false">Units!$E94*(1+Inputs!$B$7)^(CN$2-1)</f>
        <v>1875.55764477293</v>
      </c>
      <c r="CO95" s="11" t="n">
        <f aca="false">Units!$E94*(1+Inputs!$B$7)^(CO$2-1)</f>
        <v>1875.55764477293</v>
      </c>
      <c r="CP95" s="11" t="n">
        <f aca="false">Units!$E94*(1+Inputs!$B$7)^(CP$2-1)</f>
        <v>1875.55764477293</v>
      </c>
      <c r="CQ95" s="11" t="n">
        <f aca="false">Units!$E94*(1+Inputs!$B$7)^(CQ$2-1)</f>
        <v>1875.55764477293</v>
      </c>
      <c r="CR95" s="11" t="n">
        <f aca="false">Units!$E94*(1+Inputs!$B$7)^(CR$2-1)</f>
        <v>1875.55764477293</v>
      </c>
      <c r="CS95" s="11" t="n">
        <f aca="false">Units!$E94*(1+Inputs!$B$7)^(CS$2-1)</f>
        <v>1875.55764477293</v>
      </c>
      <c r="CT95" s="11" t="n">
        <f aca="false">Units!$E94*(1+Inputs!$B$7)^(CT$2-1)</f>
        <v>1875.55764477293</v>
      </c>
      <c r="CU95" s="11" t="n">
        <f aca="false">Units!$E94*(1+Inputs!$B$7)^(CU$2-1)</f>
        <v>1931.82437411612</v>
      </c>
      <c r="CV95" s="11" t="n">
        <f aca="false">Units!$E94*(1+Inputs!$B$7)^(CV$2-1)</f>
        <v>1931.82437411612</v>
      </c>
      <c r="CW95" s="11" t="n">
        <f aca="false">Units!$E94*(1+Inputs!$B$7)^(CW$2-1)</f>
        <v>1931.82437411612</v>
      </c>
      <c r="CX95" s="11" t="n">
        <f aca="false">Units!$E94*(1+Inputs!$B$7)^(CX$2-1)</f>
        <v>1931.82437411612</v>
      </c>
      <c r="CY95" s="11" t="n">
        <f aca="false">Units!$E94*(1+Inputs!$B$7)^(CY$2-1)</f>
        <v>1931.82437411612</v>
      </c>
      <c r="CZ95" s="11" t="n">
        <f aca="false">Units!$E94*(1+Inputs!$B$7)^(CZ$2-1)</f>
        <v>1931.82437411612</v>
      </c>
      <c r="DA95" s="11" t="n">
        <f aca="false">Units!$E94*(1+Inputs!$B$7)^(DA$2-1)</f>
        <v>1931.82437411612</v>
      </c>
      <c r="DB95" s="11" t="n">
        <f aca="false">Units!$E94*(1+Inputs!$B$7)^(DB$2-1)</f>
        <v>1931.82437411612</v>
      </c>
      <c r="DC95" s="11" t="n">
        <f aca="false">Units!$E94*(1+Inputs!$B$7)^(DC$2-1)</f>
        <v>1931.82437411612</v>
      </c>
      <c r="DD95" s="11" t="n">
        <f aca="false">Units!$E94*(1+Inputs!$B$7)^(DD$2-1)</f>
        <v>1931.82437411612</v>
      </c>
      <c r="DE95" s="11" t="n">
        <f aca="false">Units!$E94*(1+Inputs!$B$7)^(DE$2-1)</f>
        <v>1931.82437411612</v>
      </c>
      <c r="DF95" s="11" t="n">
        <f aca="false">Units!$E94*(1+Inputs!$B$7)^(DF$2-1)</f>
        <v>1931.82437411612</v>
      </c>
      <c r="DG95" s="11" t="n">
        <f aca="false">Units!$E94*(1+Inputs!$B$7)^(DG$2-1)</f>
        <v>1989.7791053396</v>
      </c>
      <c r="DH95" s="11" t="n">
        <f aca="false">Units!$E94*(1+Inputs!$B$7)^(DH$2-1)</f>
        <v>1989.7791053396</v>
      </c>
      <c r="DI95" s="11" t="n">
        <f aca="false">Units!$E94*(1+Inputs!$B$7)^(DI$2-1)</f>
        <v>1989.7791053396</v>
      </c>
      <c r="DJ95" s="11" t="n">
        <f aca="false">Units!$E94*(1+Inputs!$B$7)^(DJ$2-1)</f>
        <v>1989.7791053396</v>
      </c>
      <c r="DK95" s="11" t="n">
        <f aca="false">Units!$E94*(1+Inputs!$B$7)^(DK$2-1)</f>
        <v>1989.7791053396</v>
      </c>
      <c r="DL95" s="11" t="n">
        <f aca="false">Units!$E94*(1+Inputs!$B$7)^(DL$2-1)</f>
        <v>1989.7791053396</v>
      </c>
      <c r="DM95" s="11" t="n">
        <f aca="false">Units!$E94*(1+Inputs!$B$7)^(DM$2-1)</f>
        <v>1989.7791053396</v>
      </c>
      <c r="DN95" s="11" t="n">
        <f aca="false">Units!$E94*(1+Inputs!$B$7)^(DN$2-1)</f>
        <v>1989.7791053396</v>
      </c>
      <c r="DO95" s="11" t="n">
        <f aca="false">Units!$E94*(1+Inputs!$B$7)^(DO$2-1)</f>
        <v>1989.7791053396</v>
      </c>
      <c r="DP95" s="11" t="n">
        <f aca="false">Units!$E94*(1+Inputs!$B$7)^(DP$2-1)</f>
        <v>1989.7791053396</v>
      </c>
      <c r="DQ95" s="11" t="n">
        <f aca="false">Units!$E94*(1+Inputs!$B$7)^(DQ$2-1)</f>
        <v>1989.7791053396</v>
      </c>
      <c r="DR95" s="11" t="n">
        <f aca="false">Units!$E94*(1+Inputs!$B$7)^(DR$2-1)</f>
        <v>1989.7791053396</v>
      </c>
      <c r="DS95" s="11" t="n">
        <f aca="false">Units!$E94*(1+Inputs!$B$7)^(DS$2-1)</f>
        <v>2049.47247849979</v>
      </c>
      <c r="DT95" s="11" t="n">
        <f aca="false">Units!$E94*(1+Inputs!$B$7)^(DT$2-1)</f>
        <v>2049.47247849979</v>
      </c>
      <c r="DU95" s="11" t="n">
        <f aca="false">Units!$E94*(1+Inputs!$B$7)^(DU$2-1)</f>
        <v>2049.47247849979</v>
      </c>
      <c r="DV95" s="11" t="n">
        <f aca="false">Units!$E94*(1+Inputs!$B$7)^(DV$2-1)</f>
        <v>2049.47247849979</v>
      </c>
      <c r="DW95" s="11" t="n">
        <f aca="false">Units!$E94*(1+Inputs!$B$7)^(DW$2-1)</f>
        <v>2049.47247849979</v>
      </c>
      <c r="DX95" s="11" t="n">
        <f aca="false">Units!$E94*(1+Inputs!$B$7)^(DX$2-1)</f>
        <v>2049.47247849979</v>
      </c>
      <c r="DY95" s="11" t="n">
        <f aca="false">Units!$E94*(1+Inputs!$B$7)^(DY$2-1)</f>
        <v>2049.47247849979</v>
      </c>
      <c r="DZ95" s="11" t="n">
        <f aca="false">Units!$E94*(1+Inputs!$B$7)^(DZ$2-1)</f>
        <v>2049.47247849979</v>
      </c>
      <c r="EA95" s="11" t="n">
        <f aca="false">Units!$E94*(1+Inputs!$B$7)^(EA$2-1)</f>
        <v>2049.47247849979</v>
      </c>
      <c r="EB95" s="11" t="n">
        <f aca="false">Units!$E94*(1+Inputs!$B$7)^(EB$2-1)</f>
        <v>2049.47247849979</v>
      </c>
      <c r="EC95" s="11" t="n">
        <f aca="false">Units!$E94*(1+Inputs!$B$7)^(EC$2-1)</f>
        <v>2049.47247849979</v>
      </c>
      <c r="ED95" s="11" t="n">
        <f aca="false">Units!$E94*(1+Inputs!$B$7)^(ED$2-1)</f>
        <v>2049.47247849979</v>
      </c>
    </row>
    <row r="96" customFormat="false" ht="15" hidden="false" customHeight="false" outlineLevel="0" collapsed="false">
      <c r="A96" s="22" t="n">
        <f aca="false">Units!A95</f>
        <v>404</v>
      </c>
      <c r="B96" s="23"/>
      <c r="C96" s="11" t="n">
        <f aca="false">Units!$E95*(1+Inputs!$B$7)^(C$2-1)</f>
        <v>1525</v>
      </c>
      <c r="D96" s="11" t="n">
        <f aca="false">Units!$E95*(1+Inputs!$B$7)^(D$2-1)</f>
        <v>1525</v>
      </c>
      <c r="E96" s="11" t="n">
        <f aca="false">Units!$E95*(1+Inputs!$B$7)^(E$2-1)</f>
        <v>1525</v>
      </c>
      <c r="F96" s="11" t="n">
        <f aca="false">Units!$E95*(1+Inputs!$B$7)^(F$2-1)</f>
        <v>1525</v>
      </c>
      <c r="G96" s="11" t="n">
        <f aca="false">Units!$E95*(1+Inputs!$B$7)^(G$2-1)</f>
        <v>1525</v>
      </c>
      <c r="H96" s="11" t="n">
        <f aca="false">Units!$E95*(1+Inputs!$B$7)^(H$2-1)</f>
        <v>1525</v>
      </c>
      <c r="I96" s="11" t="n">
        <f aca="false">Units!$E95*(1+Inputs!$B$7)^(I$2-1)</f>
        <v>1525</v>
      </c>
      <c r="J96" s="11" t="n">
        <f aca="false">Units!$E95*(1+Inputs!$B$7)^(J$2-1)</f>
        <v>1525</v>
      </c>
      <c r="K96" s="11" t="n">
        <f aca="false">Units!$E95*(1+Inputs!$B$7)^(K$2-1)</f>
        <v>1525</v>
      </c>
      <c r="L96" s="11" t="n">
        <f aca="false">Units!$E95*(1+Inputs!$B$7)^(L$2-1)</f>
        <v>1525</v>
      </c>
      <c r="M96" s="11" t="n">
        <f aca="false">Units!$E95*(1+Inputs!$B$7)^(M$2-1)</f>
        <v>1525</v>
      </c>
      <c r="N96" s="11" t="n">
        <f aca="false">Units!$E95*(1+Inputs!$B$7)^(N$2-1)</f>
        <v>1525</v>
      </c>
      <c r="O96" s="11" t="n">
        <f aca="false">Units!$E95*(1+Inputs!$B$7)^(O$2-1)</f>
        <v>1570.75</v>
      </c>
      <c r="P96" s="11" t="n">
        <f aca="false">Units!$E95*(1+Inputs!$B$7)^(P$2-1)</f>
        <v>1570.75</v>
      </c>
      <c r="Q96" s="11" t="n">
        <f aca="false">Units!$E95*(1+Inputs!$B$7)^(Q$2-1)</f>
        <v>1570.75</v>
      </c>
      <c r="R96" s="11" t="n">
        <f aca="false">Units!$E95*(1+Inputs!$B$7)^(R$2-1)</f>
        <v>1570.75</v>
      </c>
      <c r="S96" s="11" t="n">
        <f aca="false">Units!$E95*(1+Inputs!$B$7)^(S$2-1)</f>
        <v>1570.75</v>
      </c>
      <c r="T96" s="11" t="n">
        <f aca="false">Units!$E95*(1+Inputs!$B$7)^(T$2-1)</f>
        <v>1570.75</v>
      </c>
      <c r="U96" s="11" t="n">
        <f aca="false">Units!$E95*(1+Inputs!$B$7)^(U$2-1)</f>
        <v>1570.75</v>
      </c>
      <c r="V96" s="11" t="n">
        <f aca="false">Units!$E95*(1+Inputs!$B$7)^(V$2-1)</f>
        <v>1570.75</v>
      </c>
      <c r="W96" s="11" t="n">
        <f aca="false">Units!$E95*(1+Inputs!$B$7)^(W$2-1)</f>
        <v>1570.75</v>
      </c>
      <c r="X96" s="11" t="n">
        <f aca="false">Units!$E95*(1+Inputs!$B$7)^(X$2-1)</f>
        <v>1570.75</v>
      </c>
      <c r="Y96" s="11" t="n">
        <f aca="false">Units!$E95*(1+Inputs!$B$7)^(Y$2-1)</f>
        <v>1570.75</v>
      </c>
      <c r="Z96" s="11" t="n">
        <f aca="false">Units!$E95*(1+Inputs!$B$7)^(Z$2-1)</f>
        <v>1570.75</v>
      </c>
      <c r="AA96" s="11" t="n">
        <f aca="false">Units!$E95*(1+Inputs!$B$7)^(AA$2-1)</f>
        <v>1617.8725</v>
      </c>
      <c r="AB96" s="11" t="n">
        <f aca="false">Units!$E95*(1+Inputs!$B$7)^(AB$2-1)</f>
        <v>1617.8725</v>
      </c>
      <c r="AC96" s="11" t="n">
        <f aca="false">Units!$E95*(1+Inputs!$B$7)^(AC$2-1)</f>
        <v>1617.8725</v>
      </c>
      <c r="AD96" s="11" t="n">
        <f aca="false">Units!$E95*(1+Inputs!$B$7)^(AD$2-1)</f>
        <v>1617.8725</v>
      </c>
      <c r="AE96" s="11" t="n">
        <f aca="false">Units!$E95*(1+Inputs!$B$7)^(AE$2-1)</f>
        <v>1617.8725</v>
      </c>
      <c r="AF96" s="11" t="n">
        <f aca="false">Units!$E95*(1+Inputs!$B$7)^(AF$2-1)</f>
        <v>1617.8725</v>
      </c>
      <c r="AG96" s="11" t="n">
        <f aca="false">Units!$E95*(1+Inputs!$B$7)^(AG$2-1)</f>
        <v>1617.8725</v>
      </c>
      <c r="AH96" s="11" t="n">
        <f aca="false">Units!$E95*(1+Inputs!$B$7)^(AH$2-1)</f>
        <v>1617.8725</v>
      </c>
      <c r="AI96" s="11" t="n">
        <f aca="false">Units!$E95*(1+Inputs!$B$7)^(AI$2-1)</f>
        <v>1617.8725</v>
      </c>
      <c r="AJ96" s="11" t="n">
        <f aca="false">Units!$E95*(1+Inputs!$B$7)^(AJ$2-1)</f>
        <v>1617.8725</v>
      </c>
      <c r="AK96" s="11" t="n">
        <f aca="false">Units!$E95*(1+Inputs!$B$7)^(AK$2-1)</f>
        <v>1617.8725</v>
      </c>
      <c r="AL96" s="11" t="n">
        <f aca="false">Units!$E95*(1+Inputs!$B$7)^(AL$2-1)</f>
        <v>1617.8725</v>
      </c>
      <c r="AM96" s="11" t="n">
        <f aca="false">Units!$E95*(1+Inputs!$B$7)^(AM$2-1)</f>
        <v>1666.408675</v>
      </c>
      <c r="AN96" s="11" t="n">
        <f aca="false">Units!$E95*(1+Inputs!$B$7)^(AN$2-1)</f>
        <v>1666.408675</v>
      </c>
      <c r="AO96" s="11" t="n">
        <f aca="false">Units!$E95*(1+Inputs!$B$7)^(AO$2-1)</f>
        <v>1666.408675</v>
      </c>
      <c r="AP96" s="11" t="n">
        <f aca="false">Units!$E95*(1+Inputs!$B$7)^(AP$2-1)</f>
        <v>1666.408675</v>
      </c>
      <c r="AQ96" s="11" t="n">
        <f aca="false">Units!$E95*(1+Inputs!$B$7)^(AQ$2-1)</f>
        <v>1666.408675</v>
      </c>
      <c r="AR96" s="11" t="n">
        <f aca="false">Units!$E95*(1+Inputs!$B$7)^(AR$2-1)</f>
        <v>1666.408675</v>
      </c>
      <c r="AS96" s="11" t="n">
        <f aca="false">Units!$E95*(1+Inputs!$B$7)^(AS$2-1)</f>
        <v>1666.408675</v>
      </c>
      <c r="AT96" s="11" t="n">
        <f aca="false">Units!$E95*(1+Inputs!$B$7)^(AT$2-1)</f>
        <v>1666.408675</v>
      </c>
      <c r="AU96" s="11" t="n">
        <f aca="false">Units!$E95*(1+Inputs!$B$7)^(AU$2-1)</f>
        <v>1666.408675</v>
      </c>
      <c r="AV96" s="11" t="n">
        <f aca="false">Units!$E95*(1+Inputs!$B$7)^(AV$2-1)</f>
        <v>1666.408675</v>
      </c>
      <c r="AW96" s="11" t="n">
        <f aca="false">Units!$E95*(1+Inputs!$B$7)^(AW$2-1)</f>
        <v>1666.408675</v>
      </c>
      <c r="AX96" s="11" t="n">
        <f aca="false">Units!$E95*(1+Inputs!$B$7)^(AX$2-1)</f>
        <v>1666.408675</v>
      </c>
      <c r="AY96" s="11" t="n">
        <f aca="false">Units!$E95*(1+Inputs!$B$7)^(AY$2-1)</f>
        <v>1716.40093525</v>
      </c>
      <c r="AZ96" s="11" t="n">
        <f aca="false">Units!$E95*(1+Inputs!$B$7)^(AZ$2-1)</f>
        <v>1716.40093525</v>
      </c>
      <c r="BA96" s="11" t="n">
        <f aca="false">Units!$E95*(1+Inputs!$B$7)^(BA$2-1)</f>
        <v>1716.40093525</v>
      </c>
      <c r="BB96" s="11" t="n">
        <f aca="false">Units!$E95*(1+Inputs!$B$7)^(BB$2-1)</f>
        <v>1716.40093525</v>
      </c>
      <c r="BC96" s="11" t="n">
        <f aca="false">Units!$E95*(1+Inputs!$B$7)^(BC$2-1)</f>
        <v>1716.40093525</v>
      </c>
      <c r="BD96" s="11" t="n">
        <f aca="false">Units!$E95*(1+Inputs!$B$7)^(BD$2-1)</f>
        <v>1716.40093525</v>
      </c>
      <c r="BE96" s="11" t="n">
        <f aca="false">Units!$E95*(1+Inputs!$B$7)^(BE$2-1)</f>
        <v>1716.40093525</v>
      </c>
      <c r="BF96" s="11" t="n">
        <f aca="false">Units!$E95*(1+Inputs!$B$7)^(BF$2-1)</f>
        <v>1716.40093525</v>
      </c>
      <c r="BG96" s="11" t="n">
        <f aca="false">Units!$E95*(1+Inputs!$B$7)^(BG$2-1)</f>
        <v>1716.40093525</v>
      </c>
      <c r="BH96" s="11" t="n">
        <f aca="false">Units!$E95*(1+Inputs!$B$7)^(BH$2-1)</f>
        <v>1716.40093525</v>
      </c>
      <c r="BI96" s="11" t="n">
        <f aca="false">Units!$E95*(1+Inputs!$B$7)^(BI$2-1)</f>
        <v>1716.40093525</v>
      </c>
      <c r="BJ96" s="11" t="n">
        <f aca="false">Units!$E95*(1+Inputs!$B$7)^(BJ$2-1)</f>
        <v>1716.40093525</v>
      </c>
      <c r="BK96" s="11" t="n">
        <f aca="false">Units!$E95*(1+Inputs!$B$7)^(BK$2-1)</f>
        <v>1767.8929633075</v>
      </c>
      <c r="BL96" s="11" t="n">
        <f aca="false">Units!$E95*(1+Inputs!$B$7)^(BL$2-1)</f>
        <v>1767.8929633075</v>
      </c>
      <c r="BM96" s="11" t="n">
        <f aca="false">Units!$E95*(1+Inputs!$B$7)^(BM$2-1)</f>
        <v>1767.8929633075</v>
      </c>
      <c r="BN96" s="11" t="n">
        <f aca="false">Units!$E95*(1+Inputs!$B$7)^(BN$2-1)</f>
        <v>1767.8929633075</v>
      </c>
      <c r="BO96" s="11" t="n">
        <f aca="false">Units!$E95*(1+Inputs!$B$7)^(BO$2-1)</f>
        <v>1767.8929633075</v>
      </c>
      <c r="BP96" s="11" t="n">
        <f aca="false">Units!$E95*(1+Inputs!$B$7)^(BP$2-1)</f>
        <v>1767.8929633075</v>
      </c>
      <c r="BQ96" s="11" t="n">
        <f aca="false">Units!$E95*(1+Inputs!$B$7)^(BQ$2-1)</f>
        <v>1767.8929633075</v>
      </c>
      <c r="BR96" s="11" t="n">
        <f aca="false">Units!$E95*(1+Inputs!$B$7)^(BR$2-1)</f>
        <v>1767.8929633075</v>
      </c>
      <c r="BS96" s="11" t="n">
        <f aca="false">Units!$E95*(1+Inputs!$B$7)^(BS$2-1)</f>
        <v>1767.8929633075</v>
      </c>
      <c r="BT96" s="11" t="n">
        <f aca="false">Units!$E95*(1+Inputs!$B$7)^(BT$2-1)</f>
        <v>1767.8929633075</v>
      </c>
      <c r="BU96" s="11" t="n">
        <f aca="false">Units!$E95*(1+Inputs!$B$7)^(BU$2-1)</f>
        <v>1767.8929633075</v>
      </c>
      <c r="BV96" s="11" t="n">
        <f aca="false">Units!$E95*(1+Inputs!$B$7)^(BV$2-1)</f>
        <v>1767.8929633075</v>
      </c>
      <c r="BW96" s="11" t="n">
        <f aca="false">Units!$E95*(1+Inputs!$B$7)^(BW$2-1)</f>
        <v>1820.92975220673</v>
      </c>
      <c r="BX96" s="11" t="n">
        <f aca="false">Units!$E95*(1+Inputs!$B$7)^(BX$2-1)</f>
        <v>1820.92975220673</v>
      </c>
      <c r="BY96" s="11" t="n">
        <f aca="false">Units!$E95*(1+Inputs!$B$7)^(BY$2-1)</f>
        <v>1820.92975220673</v>
      </c>
      <c r="BZ96" s="11" t="n">
        <f aca="false">Units!$E95*(1+Inputs!$B$7)^(BZ$2-1)</f>
        <v>1820.92975220673</v>
      </c>
      <c r="CA96" s="11" t="n">
        <f aca="false">Units!$E95*(1+Inputs!$B$7)^(CA$2-1)</f>
        <v>1820.92975220673</v>
      </c>
      <c r="CB96" s="11" t="n">
        <f aca="false">Units!$E95*(1+Inputs!$B$7)^(CB$2-1)</f>
        <v>1820.92975220673</v>
      </c>
      <c r="CC96" s="11" t="n">
        <f aca="false">Units!$E95*(1+Inputs!$B$7)^(CC$2-1)</f>
        <v>1820.92975220673</v>
      </c>
      <c r="CD96" s="11" t="n">
        <f aca="false">Units!$E95*(1+Inputs!$B$7)^(CD$2-1)</f>
        <v>1820.92975220673</v>
      </c>
      <c r="CE96" s="11" t="n">
        <f aca="false">Units!$E95*(1+Inputs!$B$7)^(CE$2-1)</f>
        <v>1820.92975220673</v>
      </c>
      <c r="CF96" s="11" t="n">
        <f aca="false">Units!$E95*(1+Inputs!$B$7)^(CF$2-1)</f>
        <v>1820.92975220673</v>
      </c>
      <c r="CG96" s="11" t="n">
        <f aca="false">Units!$E95*(1+Inputs!$B$7)^(CG$2-1)</f>
        <v>1820.92975220673</v>
      </c>
      <c r="CH96" s="11" t="n">
        <f aca="false">Units!$E95*(1+Inputs!$B$7)^(CH$2-1)</f>
        <v>1820.92975220673</v>
      </c>
      <c r="CI96" s="11" t="n">
        <f aca="false">Units!$E95*(1+Inputs!$B$7)^(CI$2-1)</f>
        <v>1875.55764477293</v>
      </c>
      <c r="CJ96" s="11" t="n">
        <f aca="false">Units!$E95*(1+Inputs!$B$7)^(CJ$2-1)</f>
        <v>1875.55764477293</v>
      </c>
      <c r="CK96" s="11" t="n">
        <f aca="false">Units!$E95*(1+Inputs!$B$7)^(CK$2-1)</f>
        <v>1875.55764477293</v>
      </c>
      <c r="CL96" s="11" t="n">
        <f aca="false">Units!$E95*(1+Inputs!$B$7)^(CL$2-1)</f>
        <v>1875.55764477293</v>
      </c>
      <c r="CM96" s="11" t="n">
        <f aca="false">Units!$E95*(1+Inputs!$B$7)^(CM$2-1)</f>
        <v>1875.55764477293</v>
      </c>
      <c r="CN96" s="11" t="n">
        <f aca="false">Units!$E95*(1+Inputs!$B$7)^(CN$2-1)</f>
        <v>1875.55764477293</v>
      </c>
      <c r="CO96" s="11" t="n">
        <f aca="false">Units!$E95*(1+Inputs!$B$7)^(CO$2-1)</f>
        <v>1875.55764477293</v>
      </c>
      <c r="CP96" s="11" t="n">
        <f aca="false">Units!$E95*(1+Inputs!$B$7)^(CP$2-1)</f>
        <v>1875.55764477293</v>
      </c>
      <c r="CQ96" s="11" t="n">
        <f aca="false">Units!$E95*(1+Inputs!$B$7)^(CQ$2-1)</f>
        <v>1875.55764477293</v>
      </c>
      <c r="CR96" s="11" t="n">
        <f aca="false">Units!$E95*(1+Inputs!$B$7)^(CR$2-1)</f>
        <v>1875.55764477293</v>
      </c>
      <c r="CS96" s="11" t="n">
        <f aca="false">Units!$E95*(1+Inputs!$B$7)^(CS$2-1)</f>
        <v>1875.55764477293</v>
      </c>
      <c r="CT96" s="11" t="n">
        <f aca="false">Units!$E95*(1+Inputs!$B$7)^(CT$2-1)</f>
        <v>1875.55764477293</v>
      </c>
      <c r="CU96" s="11" t="n">
        <f aca="false">Units!$E95*(1+Inputs!$B$7)^(CU$2-1)</f>
        <v>1931.82437411612</v>
      </c>
      <c r="CV96" s="11" t="n">
        <f aca="false">Units!$E95*(1+Inputs!$B$7)^(CV$2-1)</f>
        <v>1931.82437411612</v>
      </c>
      <c r="CW96" s="11" t="n">
        <f aca="false">Units!$E95*(1+Inputs!$B$7)^(CW$2-1)</f>
        <v>1931.82437411612</v>
      </c>
      <c r="CX96" s="11" t="n">
        <f aca="false">Units!$E95*(1+Inputs!$B$7)^(CX$2-1)</f>
        <v>1931.82437411612</v>
      </c>
      <c r="CY96" s="11" t="n">
        <f aca="false">Units!$E95*(1+Inputs!$B$7)^(CY$2-1)</f>
        <v>1931.82437411612</v>
      </c>
      <c r="CZ96" s="11" t="n">
        <f aca="false">Units!$E95*(1+Inputs!$B$7)^(CZ$2-1)</f>
        <v>1931.82437411612</v>
      </c>
      <c r="DA96" s="11" t="n">
        <f aca="false">Units!$E95*(1+Inputs!$B$7)^(DA$2-1)</f>
        <v>1931.82437411612</v>
      </c>
      <c r="DB96" s="11" t="n">
        <f aca="false">Units!$E95*(1+Inputs!$B$7)^(DB$2-1)</f>
        <v>1931.82437411612</v>
      </c>
      <c r="DC96" s="11" t="n">
        <f aca="false">Units!$E95*(1+Inputs!$B$7)^(DC$2-1)</f>
        <v>1931.82437411612</v>
      </c>
      <c r="DD96" s="11" t="n">
        <f aca="false">Units!$E95*(1+Inputs!$B$7)^(DD$2-1)</f>
        <v>1931.82437411612</v>
      </c>
      <c r="DE96" s="11" t="n">
        <f aca="false">Units!$E95*(1+Inputs!$B$7)^(DE$2-1)</f>
        <v>1931.82437411612</v>
      </c>
      <c r="DF96" s="11" t="n">
        <f aca="false">Units!$E95*(1+Inputs!$B$7)^(DF$2-1)</f>
        <v>1931.82437411612</v>
      </c>
      <c r="DG96" s="11" t="n">
        <f aca="false">Units!$E95*(1+Inputs!$B$7)^(DG$2-1)</f>
        <v>1989.7791053396</v>
      </c>
      <c r="DH96" s="11" t="n">
        <f aca="false">Units!$E95*(1+Inputs!$B$7)^(DH$2-1)</f>
        <v>1989.7791053396</v>
      </c>
      <c r="DI96" s="11" t="n">
        <f aca="false">Units!$E95*(1+Inputs!$B$7)^(DI$2-1)</f>
        <v>1989.7791053396</v>
      </c>
      <c r="DJ96" s="11" t="n">
        <f aca="false">Units!$E95*(1+Inputs!$B$7)^(DJ$2-1)</f>
        <v>1989.7791053396</v>
      </c>
      <c r="DK96" s="11" t="n">
        <f aca="false">Units!$E95*(1+Inputs!$B$7)^(DK$2-1)</f>
        <v>1989.7791053396</v>
      </c>
      <c r="DL96" s="11" t="n">
        <f aca="false">Units!$E95*(1+Inputs!$B$7)^(DL$2-1)</f>
        <v>1989.7791053396</v>
      </c>
      <c r="DM96" s="11" t="n">
        <f aca="false">Units!$E95*(1+Inputs!$B$7)^(DM$2-1)</f>
        <v>1989.7791053396</v>
      </c>
      <c r="DN96" s="11" t="n">
        <f aca="false">Units!$E95*(1+Inputs!$B$7)^(DN$2-1)</f>
        <v>1989.7791053396</v>
      </c>
      <c r="DO96" s="11" t="n">
        <f aca="false">Units!$E95*(1+Inputs!$B$7)^(DO$2-1)</f>
        <v>1989.7791053396</v>
      </c>
      <c r="DP96" s="11" t="n">
        <f aca="false">Units!$E95*(1+Inputs!$B$7)^(DP$2-1)</f>
        <v>1989.7791053396</v>
      </c>
      <c r="DQ96" s="11" t="n">
        <f aca="false">Units!$E95*(1+Inputs!$B$7)^(DQ$2-1)</f>
        <v>1989.7791053396</v>
      </c>
      <c r="DR96" s="11" t="n">
        <f aca="false">Units!$E95*(1+Inputs!$B$7)^(DR$2-1)</f>
        <v>1989.7791053396</v>
      </c>
      <c r="DS96" s="11" t="n">
        <f aca="false">Units!$E95*(1+Inputs!$B$7)^(DS$2-1)</f>
        <v>2049.47247849979</v>
      </c>
      <c r="DT96" s="11" t="n">
        <f aca="false">Units!$E95*(1+Inputs!$B$7)^(DT$2-1)</f>
        <v>2049.47247849979</v>
      </c>
      <c r="DU96" s="11" t="n">
        <f aca="false">Units!$E95*(1+Inputs!$B$7)^(DU$2-1)</f>
        <v>2049.47247849979</v>
      </c>
      <c r="DV96" s="11" t="n">
        <f aca="false">Units!$E95*(1+Inputs!$B$7)^(DV$2-1)</f>
        <v>2049.47247849979</v>
      </c>
      <c r="DW96" s="11" t="n">
        <f aca="false">Units!$E95*(1+Inputs!$B$7)^(DW$2-1)</f>
        <v>2049.47247849979</v>
      </c>
      <c r="DX96" s="11" t="n">
        <f aca="false">Units!$E95*(1+Inputs!$B$7)^(DX$2-1)</f>
        <v>2049.47247849979</v>
      </c>
      <c r="DY96" s="11" t="n">
        <f aca="false">Units!$E95*(1+Inputs!$B$7)^(DY$2-1)</f>
        <v>2049.47247849979</v>
      </c>
      <c r="DZ96" s="11" t="n">
        <f aca="false">Units!$E95*(1+Inputs!$B$7)^(DZ$2-1)</f>
        <v>2049.47247849979</v>
      </c>
      <c r="EA96" s="11" t="n">
        <f aca="false">Units!$E95*(1+Inputs!$B$7)^(EA$2-1)</f>
        <v>2049.47247849979</v>
      </c>
      <c r="EB96" s="11" t="n">
        <f aca="false">Units!$E95*(1+Inputs!$B$7)^(EB$2-1)</f>
        <v>2049.47247849979</v>
      </c>
      <c r="EC96" s="11" t="n">
        <f aca="false">Units!$E95*(1+Inputs!$B$7)^(EC$2-1)</f>
        <v>2049.47247849979</v>
      </c>
      <c r="ED96" s="11" t="n">
        <f aca="false">Units!$E95*(1+Inputs!$B$7)^(ED$2-1)</f>
        <v>2049.47247849979</v>
      </c>
    </row>
    <row r="97" customFormat="false" ht="15" hidden="false" customHeight="false" outlineLevel="0" collapsed="false">
      <c r="A97" s="22" t="n">
        <f aca="false">Units!A96</f>
        <v>405</v>
      </c>
      <c r="B97" s="23"/>
      <c r="C97" s="11" t="n">
        <f aca="false">Units!$E96*(1+Inputs!$B$7)^(C$2-1)</f>
        <v>1525</v>
      </c>
      <c r="D97" s="11" t="n">
        <f aca="false">Units!$E96*(1+Inputs!$B$7)^(D$2-1)</f>
        <v>1525</v>
      </c>
      <c r="E97" s="11" t="n">
        <f aca="false">Units!$E96*(1+Inputs!$B$7)^(E$2-1)</f>
        <v>1525</v>
      </c>
      <c r="F97" s="11" t="n">
        <f aca="false">Units!$E96*(1+Inputs!$B$7)^(F$2-1)</f>
        <v>1525</v>
      </c>
      <c r="G97" s="11" t="n">
        <f aca="false">Units!$E96*(1+Inputs!$B$7)^(G$2-1)</f>
        <v>1525</v>
      </c>
      <c r="H97" s="11" t="n">
        <f aca="false">Units!$E96*(1+Inputs!$B$7)^(H$2-1)</f>
        <v>1525</v>
      </c>
      <c r="I97" s="11" t="n">
        <f aca="false">Units!$E96*(1+Inputs!$B$7)^(I$2-1)</f>
        <v>1525</v>
      </c>
      <c r="J97" s="11" t="n">
        <f aca="false">Units!$E96*(1+Inputs!$B$7)^(J$2-1)</f>
        <v>1525</v>
      </c>
      <c r="K97" s="11" t="n">
        <f aca="false">Units!$E96*(1+Inputs!$B$7)^(K$2-1)</f>
        <v>1525</v>
      </c>
      <c r="L97" s="11" t="n">
        <f aca="false">Units!$E96*(1+Inputs!$B$7)^(L$2-1)</f>
        <v>1525</v>
      </c>
      <c r="M97" s="11" t="n">
        <f aca="false">Units!$E96*(1+Inputs!$B$7)^(M$2-1)</f>
        <v>1525</v>
      </c>
      <c r="N97" s="11" t="n">
        <f aca="false">Units!$E96*(1+Inputs!$B$7)^(N$2-1)</f>
        <v>1525</v>
      </c>
      <c r="O97" s="11" t="n">
        <f aca="false">Units!$E96*(1+Inputs!$B$7)^(O$2-1)</f>
        <v>1570.75</v>
      </c>
      <c r="P97" s="11" t="n">
        <f aca="false">Units!$E96*(1+Inputs!$B$7)^(P$2-1)</f>
        <v>1570.75</v>
      </c>
      <c r="Q97" s="11" t="n">
        <f aca="false">Units!$E96*(1+Inputs!$B$7)^(Q$2-1)</f>
        <v>1570.75</v>
      </c>
      <c r="R97" s="11" t="n">
        <f aca="false">Units!$E96*(1+Inputs!$B$7)^(R$2-1)</f>
        <v>1570.75</v>
      </c>
      <c r="S97" s="11" t="n">
        <f aca="false">Units!$E96*(1+Inputs!$B$7)^(S$2-1)</f>
        <v>1570.75</v>
      </c>
      <c r="T97" s="11" t="n">
        <f aca="false">Units!$E96*(1+Inputs!$B$7)^(T$2-1)</f>
        <v>1570.75</v>
      </c>
      <c r="U97" s="11" t="n">
        <f aca="false">Units!$E96*(1+Inputs!$B$7)^(U$2-1)</f>
        <v>1570.75</v>
      </c>
      <c r="V97" s="11" t="n">
        <f aca="false">Units!$E96*(1+Inputs!$B$7)^(V$2-1)</f>
        <v>1570.75</v>
      </c>
      <c r="W97" s="11" t="n">
        <f aca="false">Units!$E96*(1+Inputs!$B$7)^(W$2-1)</f>
        <v>1570.75</v>
      </c>
      <c r="X97" s="11" t="n">
        <f aca="false">Units!$E96*(1+Inputs!$B$7)^(X$2-1)</f>
        <v>1570.75</v>
      </c>
      <c r="Y97" s="11" t="n">
        <f aca="false">Units!$E96*(1+Inputs!$B$7)^(Y$2-1)</f>
        <v>1570.75</v>
      </c>
      <c r="Z97" s="11" t="n">
        <f aca="false">Units!$E96*(1+Inputs!$B$7)^(Z$2-1)</f>
        <v>1570.75</v>
      </c>
      <c r="AA97" s="11" t="n">
        <f aca="false">Units!$E96*(1+Inputs!$B$7)^(AA$2-1)</f>
        <v>1617.8725</v>
      </c>
      <c r="AB97" s="11" t="n">
        <f aca="false">Units!$E96*(1+Inputs!$B$7)^(AB$2-1)</f>
        <v>1617.8725</v>
      </c>
      <c r="AC97" s="11" t="n">
        <f aca="false">Units!$E96*(1+Inputs!$B$7)^(AC$2-1)</f>
        <v>1617.8725</v>
      </c>
      <c r="AD97" s="11" t="n">
        <f aca="false">Units!$E96*(1+Inputs!$B$7)^(AD$2-1)</f>
        <v>1617.8725</v>
      </c>
      <c r="AE97" s="11" t="n">
        <f aca="false">Units!$E96*(1+Inputs!$B$7)^(AE$2-1)</f>
        <v>1617.8725</v>
      </c>
      <c r="AF97" s="11" t="n">
        <f aca="false">Units!$E96*(1+Inputs!$B$7)^(AF$2-1)</f>
        <v>1617.8725</v>
      </c>
      <c r="AG97" s="11" t="n">
        <f aca="false">Units!$E96*(1+Inputs!$B$7)^(AG$2-1)</f>
        <v>1617.8725</v>
      </c>
      <c r="AH97" s="11" t="n">
        <f aca="false">Units!$E96*(1+Inputs!$B$7)^(AH$2-1)</f>
        <v>1617.8725</v>
      </c>
      <c r="AI97" s="11" t="n">
        <f aca="false">Units!$E96*(1+Inputs!$B$7)^(AI$2-1)</f>
        <v>1617.8725</v>
      </c>
      <c r="AJ97" s="11" t="n">
        <f aca="false">Units!$E96*(1+Inputs!$B$7)^(AJ$2-1)</f>
        <v>1617.8725</v>
      </c>
      <c r="AK97" s="11" t="n">
        <f aca="false">Units!$E96*(1+Inputs!$B$7)^(AK$2-1)</f>
        <v>1617.8725</v>
      </c>
      <c r="AL97" s="11" t="n">
        <f aca="false">Units!$E96*(1+Inputs!$B$7)^(AL$2-1)</f>
        <v>1617.8725</v>
      </c>
      <c r="AM97" s="11" t="n">
        <f aca="false">Units!$E96*(1+Inputs!$B$7)^(AM$2-1)</f>
        <v>1666.408675</v>
      </c>
      <c r="AN97" s="11" t="n">
        <f aca="false">Units!$E96*(1+Inputs!$B$7)^(AN$2-1)</f>
        <v>1666.408675</v>
      </c>
      <c r="AO97" s="11" t="n">
        <f aca="false">Units!$E96*(1+Inputs!$B$7)^(AO$2-1)</f>
        <v>1666.408675</v>
      </c>
      <c r="AP97" s="11" t="n">
        <f aca="false">Units!$E96*(1+Inputs!$B$7)^(AP$2-1)</f>
        <v>1666.408675</v>
      </c>
      <c r="AQ97" s="11" t="n">
        <f aca="false">Units!$E96*(1+Inputs!$B$7)^(AQ$2-1)</f>
        <v>1666.408675</v>
      </c>
      <c r="AR97" s="11" t="n">
        <f aca="false">Units!$E96*(1+Inputs!$B$7)^(AR$2-1)</f>
        <v>1666.408675</v>
      </c>
      <c r="AS97" s="11" t="n">
        <f aca="false">Units!$E96*(1+Inputs!$B$7)^(AS$2-1)</f>
        <v>1666.408675</v>
      </c>
      <c r="AT97" s="11" t="n">
        <f aca="false">Units!$E96*(1+Inputs!$B$7)^(AT$2-1)</f>
        <v>1666.408675</v>
      </c>
      <c r="AU97" s="11" t="n">
        <f aca="false">Units!$E96*(1+Inputs!$B$7)^(AU$2-1)</f>
        <v>1666.408675</v>
      </c>
      <c r="AV97" s="11" t="n">
        <f aca="false">Units!$E96*(1+Inputs!$B$7)^(AV$2-1)</f>
        <v>1666.408675</v>
      </c>
      <c r="AW97" s="11" t="n">
        <f aca="false">Units!$E96*(1+Inputs!$B$7)^(AW$2-1)</f>
        <v>1666.408675</v>
      </c>
      <c r="AX97" s="11" t="n">
        <f aca="false">Units!$E96*(1+Inputs!$B$7)^(AX$2-1)</f>
        <v>1666.408675</v>
      </c>
      <c r="AY97" s="11" t="n">
        <f aca="false">Units!$E96*(1+Inputs!$B$7)^(AY$2-1)</f>
        <v>1716.40093525</v>
      </c>
      <c r="AZ97" s="11" t="n">
        <f aca="false">Units!$E96*(1+Inputs!$B$7)^(AZ$2-1)</f>
        <v>1716.40093525</v>
      </c>
      <c r="BA97" s="11" t="n">
        <f aca="false">Units!$E96*(1+Inputs!$B$7)^(BA$2-1)</f>
        <v>1716.40093525</v>
      </c>
      <c r="BB97" s="11" t="n">
        <f aca="false">Units!$E96*(1+Inputs!$B$7)^(BB$2-1)</f>
        <v>1716.40093525</v>
      </c>
      <c r="BC97" s="11" t="n">
        <f aca="false">Units!$E96*(1+Inputs!$B$7)^(BC$2-1)</f>
        <v>1716.40093525</v>
      </c>
      <c r="BD97" s="11" t="n">
        <f aca="false">Units!$E96*(1+Inputs!$B$7)^(BD$2-1)</f>
        <v>1716.40093525</v>
      </c>
      <c r="BE97" s="11" t="n">
        <f aca="false">Units!$E96*(1+Inputs!$B$7)^(BE$2-1)</f>
        <v>1716.40093525</v>
      </c>
      <c r="BF97" s="11" t="n">
        <f aca="false">Units!$E96*(1+Inputs!$B$7)^(BF$2-1)</f>
        <v>1716.40093525</v>
      </c>
      <c r="BG97" s="11" t="n">
        <f aca="false">Units!$E96*(1+Inputs!$B$7)^(BG$2-1)</f>
        <v>1716.40093525</v>
      </c>
      <c r="BH97" s="11" t="n">
        <f aca="false">Units!$E96*(1+Inputs!$B$7)^(BH$2-1)</f>
        <v>1716.40093525</v>
      </c>
      <c r="BI97" s="11" t="n">
        <f aca="false">Units!$E96*(1+Inputs!$B$7)^(BI$2-1)</f>
        <v>1716.40093525</v>
      </c>
      <c r="BJ97" s="11" t="n">
        <f aca="false">Units!$E96*(1+Inputs!$B$7)^(BJ$2-1)</f>
        <v>1716.40093525</v>
      </c>
      <c r="BK97" s="11" t="n">
        <f aca="false">Units!$E96*(1+Inputs!$B$7)^(BK$2-1)</f>
        <v>1767.8929633075</v>
      </c>
      <c r="BL97" s="11" t="n">
        <f aca="false">Units!$E96*(1+Inputs!$B$7)^(BL$2-1)</f>
        <v>1767.8929633075</v>
      </c>
      <c r="BM97" s="11" t="n">
        <f aca="false">Units!$E96*(1+Inputs!$B$7)^(BM$2-1)</f>
        <v>1767.8929633075</v>
      </c>
      <c r="BN97" s="11" t="n">
        <f aca="false">Units!$E96*(1+Inputs!$B$7)^(BN$2-1)</f>
        <v>1767.8929633075</v>
      </c>
      <c r="BO97" s="11" t="n">
        <f aca="false">Units!$E96*(1+Inputs!$B$7)^(BO$2-1)</f>
        <v>1767.8929633075</v>
      </c>
      <c r="BP97" s="11" t="n">
        <f aca="false">Units!$E96*(1+Inputs!$B$7)^(BP$2-1)</f>
        <v>1767.8929633075</v>
      </c>
      <c r="BQ97" s="11" t="n">
        <f aca="false">Units!$E96*(1+Inputs!$B$7)^(BQ$2-1)</f>
        <v>1767.8929633075</v>
      </c>
      <c r="BR97" s="11" t="n">
        <f aca="false">Units!$E96*(1+Inputs!$B$7)^(BR$2-1)</f>
        <v>1767.8929633075</v>
      </c>
      <c r="BS97" s="11" t="n">
        <f aca="false">Units!$E96*(1+Inputs!$B$7)^(BS$2-1)</f>
        <v>1767.8929633075</v>
      </c>
      <c r="BT97" s="11" t="n">
        <f aca="false">Units!$E96*(1+Inputs!$B$7)^(BT$2-1)</f>
        <v>1767.8929633075</v>
      </c>
      <c r="BU97" s="11" t="n">
        <f aca="false">Units!$E96*(1+Inputs!$B$7)^(BU$2-1)</f>
        <v>1767.8929633075</v>
      </c>
      <c r="BV97" s="11" t="n">
        <f aca="false">Units!$E96*(1+Inputs!$B$7)^(BV$2-1)</f>
        <v>1767.8929633075</v>
      </c>
      <c r="BW97" s="11" t="n">
        <f aca="false">Units!$E96*(1+Inputs!$B$7)^(BW$2-1)</f>
        <v>1820.92975220673</v>
      </c>
      <c r="BX97" s="11" t="n">
        <f aca="false">Units!$E96*(1+Inputs!$B$7)^(BX$2-1)</f>
        <v>1820.92975220673</v>
      </c>
      <c r="BY97" s="11" t="n">
        <f aca="false">Units!$E96*(1+Inputs!$B$7)^(BY$2-1)</f>
        <v>1820.92975220673</v>
      </c>
      <c r="BZ97" s="11" t="n">
        <f aca="false">Units!$E96*(1+Inputs!$B$7)^(BZ$2-1)</f>
        <v>1820.92975220673</v>
      </c>
      <c r="CA97" s="11" t="n">
        <f aca="false">Units!$E96*(1+Inputs!$B$7)^(CA$2-1)</f>
        <v>1820.92975220673</v>
      </c>
      <c r="CB97" s="11" t="n">
        <f aca="false">Units!$E96*(1+Inputs!$B$7)^(CB$2-1)</f>
        <v>1820.92975220673</v>
      </c>
      <c r="CC97" s="11" t="n">
        <f aca="false">Units!$E96*(1+Inputs!$B$7)^(CC$2-1)</f>
        <v>1820.92975220673</v>
      </c>
      <c r="CD97" s="11" t="n">
        <f aca="false">Units!$E96*(1+Inputs!$B$7)^(CD$2-1)</f>
        <v>1820.92975220673</v>
      </c>
      <c r="CE97" s="11" t="n">
        <f aca="false">Units!$E96*(1+Inputs!$B$7)^(CE$2-1)</f>
        <v>1820.92975220673</v>
      </c>
      <c r="CF97" s="11" t="n">
        <f aca="false">Units!$E96*(1+Inputs!$B$7)^(CF$2-1)</f>
        <v>1820.92975220673</v>
      </c>
      <c r="CG97" s="11" t="n">
        <f aca="false">Units!$E96*(1+Inputs!$B$7)^(CG$2-1)</f>
        <v>1820.92975220673</v>
      </c>
      <c r="CH97" s="11" t="n">
        <f aca="false">Units!$E96*(1+Inputs!$B$7)^(CH$2-1)</f>
        <v>1820.92975220673</v>
      </c>
      <c r="CI97" s="11" t="n">
        <f aca="false">Units!$E96*(1+Inputs!$B$7)^(CI$2-1)</f>
        <v>1875.55764477293</v>
      </c>
      <c r="CJ97" s="11" t="n">
        <f aca="false">Units!$E96*(1+Inputs!$B$7)^(CJ$2-1)</f>
        <v>1875.55764477293</v>
      </c>
      <c r="CK97" s="11" t="n">
        <f aca="false">Units!$E96*(1+Inputs!$B$7)^(CK$2-1)</f>
        <v>1875.55764477293</v>
      </c>
      <c r="CL97" s="11" t="n">
        <f aca="false">Units!$E96*(1+Inputs!$B$7)^(CL$2-1)</f>
        <v>1875.55764477293</v>
      </c>
      <c r="CM97" s="11" t="n">
        <f aca="false">Units!$E96*(1+Inputs!$B$7)^(CM$2-1)</f>
        <v>1875.55764477293</v>
      </c>
      <c r="CN97" s="11" t="n">
        <f aca="false">Units!$E96*(1+Inputs!$B$7)^(CN$2-1)</f>
        <v>1875.55764477293</v>
      </c>
      <c r="CO97" s="11" t="n">
        <f aca="false">Units!$E96*(1+Inputs!$B$7)^(CO$2-1)</f>
        <v>1875.55764477293</v>
      </c>
      <c r="CP97" s="11" t="n">
        <f aca="false">Units!$E96*(1+Inputs!$B$7)^(CP$2-1)</f>
        <v>1875.55764477293</v>
      </c>
      <c r="CQ97" s="11" t="n">
        <f aca="false">Units!$E96*(1+Inputs!$B$7)^(CQ$2-1)</f>
        <v>1875.55764477293</v>
      </c>
      <c r="CR97" s="11" t="n">
        <f aca="false">Units!$E96*(1+Inputs!$B$7)^(CR$2-1)</f>
        <v>1875.55764477293</v>
      </c>
      <c r="CS97" s="11" t="n">
        <f aca="false">Units!$E96*(1+Inputs!$B$7)^(CS$2-1)</f>
        <v>1875.55764477293</v>
      </c>
      <c r="CT97" s="11" t="n">
        <f aca="false">Units!$E96*(1+Inputs!$B$7)^(CT$2-1)</f>
        <v>1875.55764477293</v>
      </c>
      <c r="CU97" s="11" t="n">
        <f aca="false">Units!$E96*(1+Inputs!$B$7)^(CU$2-1)</f>
        <v>1931.82437411612</v>
      </c>
      <c r="CV97" s="11" t="n">
        <f aca="false">Units!$E96*(1+Inputs!$B$7)^(CV$2-1)</f>
        <v>1931.82437411612</v>
      </c>
      <c r="CW97" s="11" t="n">
        <f aca="false">Units!$E96*(1+Inputs!$B$7)^(CW$2-1)</f>
        <v>1931.82437411612</v>
      </c>
      <c r="CX97" s="11" t="n">
        <f aca="false">Units!$E96*(1+Inputs!$B$7)^(CX$2-1)</f>
        <v>1931.82437411612</v>
      </c>
      <c r="CY97" s="11" t="n">
        <f aca="false">Units!$E96*(1+Inputs!$B$7)^(CY$2-1)</f>
        <v>1931.82437411612</v>
      </c>
      <c r="CZ97" s="11" t="n">
        <f aca="false">Units!$E96*(1+Inputs!$B$7)^(CZ$2-1)</f>
        <v>1931.82437411612</v>
      </c>
      <c r="DA97" s="11" t="n">
        <f aca="false">Units!$E96*(1+Inputs!$B$7)^(DA$2-1)</f>
        <v>1931.82437411612</v>
      </c>
      <c r="DB97" s="11" t="n">
        <f aca="false">Units!$E96*(1+Inputs!$B$7)^(DB$2-1)</f>
        <v>1931.82437411612</v>
      </c>
      <c r="DC97" s="11" t="n">
        <f aca="false">Units!$E96*(1+Inputs!$B$7)^(DC$2-1)</f>
        <v>1931.82437411612</v>
      </c>
      <c r="DD97" s="11" t="n">
        <f aca="false">Units!$E96*(1+Inputs!$B$7)^(DD$2-1)</f>
        <v>1931.82437411612</v>
      </c>
      <c r="DE97" s="11" t="n">
        <f aca="false">Units!$E96*(1+Inputs!$B$7)^(DE$2-1)</f>
        <v>1931.82437411612</v>
      </c>
      <c r="DF97" s="11" t="n">
        <f aca="false">Units!$E96*(1+Inputs!$B$7)^(DF$2-1)</f>
        <v>1931.82437411612</v>
      </c>
      <c r="DG97" s="11" t="n">
        <f aca="false">Units!$E96*(1+Inputs!$B$7)^(DG$2-1)</f>
        <v>1989.7791053396</v>
      </c>
      <c r="DH97" s="11" t="n">
        <f aca="false">Units!$E96*(1+Inputs!$B$7)^(DH$2-1)</f>
        <v>1989.7791053396</v>
      </c>
      <c r="DI97" s="11" t="n">
        <f aca="false">Units!$E96*(1+Inputs!$B$7)^(DI$2-1)</f>
        <v>1989.7791053396</v>
      </c>
      <c r="DJ97" s="11" t="n">
        <f aca="false">Units!$E96*(1+Inputs!$B$7)^(DJ$2-1)</f>
        <v>1989.7791053396</v>
      </c>
      <c r="DK97" s="11" t="n">
        <f aca="false">Units!$E96*(1+Inputs!$B$7)^(DK$2-1)</f>
        <v>1989.7791053396</v>
      </c>
      <c r="DL97" s="11" t="n">
        <f aca="false">Units!$E96*(1+Inputs!$B$7)^(DL$2-1)</f>
        <v>1989.7791053396</v>
      </c>
      <c r="DM97" s="11" t="n">
        <f aca="false">Units!$E96*(1+Inputs!$B$7)^(DM$2-1)</f>
        <v>1989.7791053396</v>
      </c>
      <c r="DN97" s="11" t="n">
        <f aca="false">Units!$E96*(1+Inputs!$B$7)^(DN$2-1)</f>
        <v>1989.7791053396</v>
      </c>
      <c r="DO97" s="11" t="n">
        <f aca="false">Units!$E96*(1+Inputs!$B$7)^(DO$2-1)</f>
        <v>1989.7791053396</v>
      </c>
      <c r="DP97" s="11" t="n">
        <f aca="false">Units!$E96*(1+Inputs!$B$7)^(DP$2-1)</f>
        <v>1989.7791053396</v>
      </c>
      <c r="DQ97" s="11" t="n">
        <f aca="false">Units!$E96*(1+Inputs!$B$7)^(DQ$2-1)</f>
        <v>1989.7791053396</v>
      </c>
      <c r="DR97" s="11" t="n">
        <f aca="false">Units!$E96*(1+Inputs!$B$7)^(DR$2-1)</f>
        <v>1989.7791053396</v>
      </c>
      <c r="DS97" s="11" t="n">
        <f aca="false">Units!$E96*(1+Inputs!$B$7)^(DS$2-1)</f>
        <v>2049.47247849979</v>
      </c>
      <c r="DT97" s="11" t="n">
        <f aca="false">Units!$E96*(1+Inputs!$B$7)^(DT$2-1)</f>
        <v>2049.47247849979</v>
      </c>
      <c r="DU97" s="11" t="n">
        <f aca="false">Units!$E96*(1+Inputs!$B$7)^(DU$2-1)</f>
        <v>2049.47247849979</v>
      </c>
      <c r="DV97" s="11" t="n">
        <f aca="false">Units!$E96*(1+Inputs!$B$7)^(DV$2-1)</f>
        <v>2049.47247849979</v>
      </c>
      <c r="DW97" s="11" t="n">
        <f aca="false">Units!$E96*(1+Inputs!$B$7)^(DW$2-1)</f>
        <v>2049.47247849979</v>
      </c>
      <c r="DX97" s="11" t="n">
        <f aca="false">Units!$E96*(1+Inputs!$B$7)^(DX$2-1)</f>
        <v>2049.47247849979</v>
      </c>
      <c r="DY97" s="11" t="n">
        <f aca="false">Units!$E96*(1+Inputs!$B$7)^(DY$2-1)</f>
        <v>2049.47247849979</v>
      </c>
      <c r="DZ97" s="11" t="n">
        <f aca="false">Units!$E96*(1+Inputs!$B$7)^(DZ$2-1)</f>
        <v>2049.47247849979</v>
      </c>
      <c r="EA97" s="11" t="n">
        <f aca="false">Units!$E96*(1+Inputs!$B$7)^(EA$2-1)</f>
        <v>2049.47247849979</v>
      </c>
      <c r="EB97" s="11" t="n">
        <f aca="false">Units!$E96*(1+Inputs!$B$7)^(EB$2-1)</f>
        <v>2049.47247849979</v>
      </c>
      <c r="EC97" s="11" t="n">
        <f aca="false">Units!$E96*(1+Inputs!$B$7)^(EC$2-1)</f>
        <v>2049.47247849979</v>
      </c>
      <c r="ED97" s="11" t="n">
        <f aca="false">Units!$E96*(1+Inputs!$B$7)^(ED$2-1)</f>
        <v>2049.47247849979</v>
      </c>
    </row>
    <row r="98" customFormat="false" ht="15" hidden="false" customHeight="false" outlineLevel="0" collapsed="false">
      <c r="A98" s="22" t="n">
        <f aca="false">Units!A97</f>
        <v>406</v>
      </c>
      <c r="B98" s="23"/>
      <c r="C98" s="11" t="n">
        <f aca="false">Units!$E97*(1+Inputs!$B$7)^(C$2-1)</f>
        <v>1525</v>
      </c>
      <c r="D98" s="11" t="n">
        <f aca="false">Units!$E97*(1+Inputs!$B$7)^(D$2-1)</f>
        <v>1525</v>
      </c>
      <c r="E98" s="11" t="n">
        <f aca="false">Units!$E97*(1+Inputs!$B$7)^(E$2-1)</f>
        <v>1525</v>
      </c>
      <c r="F98" s="11" t="n">
        <f aca="false">Units!$E97*(1+Inputs!$B$7)^(F$2-1)</f>
        <v>1525</v>
      </c>
      <c r="G98" s="11" t="n">
        <f aca="false">Units!$E97*(1+Inputs!$B$7)^(G$2-1)</f>
        <v>1525</v>
      </c>
      <c r="H98" s="11" t="n">
        <f aca="false">Units!$E97*(1+Inputs!$B$7)^(H$2-1)</f>
        <v>1525</v>
      </c>
      <c r="I98" s="11" t="n">
        <f aca="false">Units!$E97*(1+Inputs!$B$7)^(I$2-1)</f>
        <v>1525</v>
      </c>
      <c r="J98" s="11" t="n">
        <f aca="false">Units!$E97*(1+Inputs!$B$7)^(J$2-1)</f>
        <v>1525</v>
      </c>
      <c r="K98" s="11" t="n">
        <f aca="false">Units!$E97*(1+Inputs!$B$7)^(K$2-1)</f>
        <v>1525</v>
      </c>
      <c r="L98" s="11" t="n">
        <f aca="false">Units!$E97*(1+Inputs!$B$7)^(L$2-1)</f>
        <v>1525</v>
      </c>
      <c r="M98" s="11" t="n">
        <f aca="false">Units!$E97*(1+Inputs!$B$7)^(M$2-1)</f>
        <v>1525</v>
      </c>
      <c r="N98" s="11" t="n">
        <f aca="false">Units!$E97*(1+Inputs!$B$7)^(N$2-1)</f>
        <v>1525</v>
      </c>
      <c r="O98" s="11" t="n">
        <f aca="false">Units!$E97*(1+Inputs!$B$7)^(O$2-1)</f>
        <v>1570.75</v>
      </c>
      <c r="P98" s="11" t="n">
        <f aca="false">Units!$E97*(1+Inputs!$B$7)^(P$2-1)</f>
        <v>1570.75</v>
      </c>
      <c r="Q98" s="11" t="n">
        <f aca="false">Units!$E97*(1+Inputs!$B$7)^(Q$2-1)</f>
        <v>1570.75</v>
      </c>
      <c r="R98" s="11" t="n">
        <f aca="false">Units!$E97*(1+Inputs!$B$7)^(R$2-1)</f>
        <v>1570.75</v>
      </c>
      <c r="S98" s="11" t="n">
        <f aca="false">Units!$E97*(1+Inputs!$B$7)^(S$2-1)</f>
        <v>1570.75</v>
      </c>
      <c r="T98" s="11" t="n">
        <f aca="false">Units!$E97*(1+Inputs!$B$7)^(T$2-1)</f>
        <v>1570.75</v>
      </c>
      <c r="U98" s="11" t="n">
        <f aca="false">Units!$E97*(1+Inputs!$B$7)^(U$2-1)</f>
        <v>1570.75</v>
      </c>
      <c r="V98" s="11" t="n">
        <f aca="false">Units!$E97*(1+Inputs!$B$7)^(V$2-1)</f>
        <v>1570.75</v>
      </c>
      <c r="W98" s="11" t="n">
        <f aca="false">Units!$E97*(1+Inputs!$B$7)^(W$2-1)</f>
        <v>1570.75</v>
      </c>
      <c r="X98" s="11" t="n">
        <f aca="false">Units!$E97*(1+Inputs!$B$7)^(X$2-1)</f>
        <v>1570.75</v>
      </c>
      <c r="Y98" s="11" t="n">
        <f aca="false">Units!$E97*(1+Inputs!$B$7)^(Y$2-1)</f>
        <v>1570.75</v>
      </c>
      <c r="Z98" s="11" t="n">
        <f aca="false">Units!$E97*(1+Inputs!$B$7)^(Z$2-1)</f>
        <v>1570.75</v>
      </c>
      <c r="AA98" s="11" t="n">
        <f aca="false">Units!$E97*(1+Inputs!$B$7)^(AA$2-1)</f>
        <v>1617.8725</v>
      </c>
      <c r="AB98" s="11" t="n">
        <f aca="false">Units!$E97*(1+Inputs!$B$7)^(AB$2-1)</f>
        <v>1617.8725</v>
      </c>
      <c r="AC98" s="11" t="n">
        <f aca="false">Units!$E97*(1+Inputs!$B$7)^(AC$2-1)</f>
        <v>1617.8725</v>
      </c>
      <c r="AD98" s="11" t="n">
        <f aca="false">Units!$E97*(1+Inputs!$B$7)^(AD$2-1)</f>
        <v>1617.8725</v>
      </c>
      <c r="AE98" s="11" t="n">
        <f aca="false">Units!$E97*(1+Inputs!$B$7)^(AE$2-1)</f>
        <v>1617.8725</v>
      </c>
      <c r="AF98" s="11" t="n">
        <f aca="false">Units!$E97*(1+Inputs!$B$7)^(AF$2-1)</f>
        <v>1617.8725</v>
      </c>
      <c r="AG98" s="11" t="n">
        <f aca="false">Units!$E97*(1+Inputs!$B$7)^(AG$2-1)</f>
        <v>1617.8725</v>
      </c>
      <c r="AH98" s="11" t="n">
        <f aca="false">Units!$E97*(1+Inputs!$B$7)^(AH$2-1)</f>
        <v>1617.8725</v>
      </c>
      <c r="AI98" s="11" t="n">
        <f aca="false">Units!$E97*(1+Inputs!$B$7)^(AI$2-1)</f>
        <v>1617.8725</v>
      </c>
      <c r="AJ98" s="11" t="n">
        <f aca="false">Units!$E97*(1+Inputs!$B$7)^(AJ$2-1)</f>
        <v>1617.8725</v>
      </c>
      <c r="AK98" s="11" t="n">
        <f aca="false">Units!$E97*(1+Inputs!$B$7)^(AK$2-1)</f>
        <v>1617.8725</v>
      </c>
      <c r="AL98" s="11" t="n">
        <f aca="false">Units!$E97*(1+Inputs!$B$7)^(AL$2-1)</f>
        <v>1617.8725</v>
      </c>
      <c r="AM98" s="11" t="n">
        <f aca="false">Units!$E97*(1+Inputs!$B$7)^(AM$2-1)</f>
        <v>1666.408675</v>
      </c>
      <c r="AN98" s="11" t="n">
        <f aca="false">Units!$E97*(1+Inputs!$B$7)^(AN$2-1)</f>
        <v>1666.408675</v>
      </c>
      <c r="AO98" s="11" t="n">
        <f aca="false">Units!$E97*(1+Inputs!$B$7)^(AO$2-1)</f>
        <v>1666.408675</v>
      </c>
      <c r="AP98" s="11" t="n">
        <f aca="false">Units!$E97*(1+Inputs!$B$7)^(AP$2-1)</f>
        <v>1666.408675</v>
      </c>
      <c r="AQ98" s="11" t="n">
        <f aca="false">Units!$E97*(1+Inputs!$B$7)^(AQ$2-1)</f>
        <v>1666.408675</v>
      </c>
      <c r="AR98" s="11" t="n">
        <f aca="false">Units!$E97*(1+Inputs!$B$7)^(AR$2-1)</f>
        <v>1666.408675</v>
      </c>
      <c r="AS98" s="11" t="n">
        <f aca="false">Units!$E97*(1+Inputs!$B$7)^(AS$2-1)</f>
        <v>1666.408675</v>
      </c>
      <c r="AT98" s="11" t="n">
        <f aca="false">Units!$E97*(1+Inputs!$B$7)^(AT$2-1)</f>
        <v>1666.408675</v>
      </c>
      <c r="AU98" s="11" t="n">
        <f aca="false">Units!$E97*(1+Inputs!$B$7)^(AU$2-1)</f>
        <v>1666.408675</v>
      </c>
      <c r="AV98" s="11" t="n">
        <f aca="false">Units!$E97*(1+Inputs!$B$7)^(AV$2-1)</f>
        <v>1666.408675</v>
      </c>
      <c r="AW98" s="11" t="n">
        <f aca="false">Units!$E97*(1+Inputs!$B$7)^(AW$2-1)</f>
        <v>1666.408675</v>
      </c>
      <c r="AX98" s="11" t="n">
        <f aca="false">Units!$E97*(1+Inputs!$B$7)^(AX$2-1)</f>
        <v>1666.408675</v>
      </c>
      <c r="AY98" s="11" t="n">
        <f aca="false">Units!$E97*(1+Inputs!$B$7)^(AY$2-1)</f>
        <v>1716.40093525</v>
      </c>
      <c r="AZ98" s="11" t="n">
        <f aca="false">Units!$E97*(1+Inputs!$B$7)^(AZ$2-1)</f>
        <v>1716.40093525</v>
      </c>
      <c r="BA98" s="11" t="n">
        <f aca="false">Units!$E97*(1+Inputs!$B$7)^(BA$2-1)</f>
        <v>1716.40093525</v>
      </c>
      <c r="BB98" s="11" t="n">
        <f aca="false">Units!$E97*(1+Inputs!$B$7)^(BB$2-1)</f>
        <v>1716.40093525</v>
      </c>
      <c r="BC98" s="11" t="n">
        <f aca="false">Units!$E97*(1+Inputs!$B$7)^(BC$2-1)</f>
        <v>1716.40093525</v>
      </c>
      <c r="BD98" s="11" t="n">
        <f aca="false">Units!$E97*(1+Inputs!$B$7)^(BD$2-1)</f>
        <v>1716.40093525</v>
      </c>
      <c r="BE98" s="11" t="n">
        <f aca="false">Units!$E97*(1+Inputs!$B$7)^(BE$2-1)</f>
        <v>1716.40093525</v>
      </c>
      <c r="BF98" s="11" t="n">
        <f aca="false">Units!$E97*(1+Inputs!$B$7)^(BF$2-1)</f>
        <v>1716.40093525</v>
      </c>
      <c r="BG98" s="11" t="n">
        <f aca="false">Units!$E97*(1+Inputs!$B$7)^(BG$2-1)</f>
        <v>1716.40093525</v>
      </c>
      <c r="BH98" s="11" t="n">
        <f aca="false">Units!$E97*(1+Inputs!$B$7)^(BH$2-1)</f>
        <v>1716.40093525</v>
      </c>
      <c r="BI98" s="11" t="n">
        <f aca="false">Units!$E97*(1+Inputs!$B$7)^(BI$2-1)</f>
        <v>1716.40093525</v>
      </c>
      <c r="BJ98" s="11" t="n">
        <f aca="false">Units!$E97*(1+Inputs!$B$7)^(BJ$2-1)</f>
        <v>1716.40093525</v>
      </c>
      <c r="BK98" s="11" t="n">
        <f aca="false">Units!$E97*(1+Inputs!$B$7)^(BK$2-1)</f>
        <v>1767.8929633075</v>
      </c>
      <c r="BL98" s="11" t="n">
        <f aca="false">Units!$E97*(1+Inputs!$B$7)^(BL$2-1)</f>
        <v>1767.8929633075</v>
      </c>
      <c r="BM98" s="11" t="n">
        <f aca="false">Units!$E97*(1+Inputs!$B$7)^(BM$2-1)</f>
        <v>1767.8929633075</v>
      </c>
      <c r="BN98" s="11" t="n">
        <f aca="false">Units!$E97*(1+Inputs!$B$7)^(BN$2-1)</f>
        <v>1767.8929633075</v>
      </c>
      <c r="BO98" s="11" t="n">
        <f aca="false">Units!$E97*(1+Inputs!$B$7)^(BO$2-1)</f>
        <v>1767.8929633075</v>
      </c>
      <c r="BP98" s="11" t="n">
        <f aca="false">Units!$E97*(1+Inputs!$B$7)^(BP$2-1)</f>
        <v>1767.8929633075</v>
      </c>
      <c r="BQ98" s="11" t="n">
        <f aca="false">Units!$E97*(1+Inputs!$B$7)^(BQ$2-1)</f>
        <v>1767.8929633075</v>
      </c>
      <c r="BR98" s="11" t="n">
        <f aca="false">Units!$E97*(1+Inputs!$B$7)^(BR$2-1)</f>
        <v>1767.8929633075</v>
      </c>
      <c r="BS98" s="11" t="n">
        <f aca="false">Units!$E97*(1+Inputs!$B$7)^(BS$2-1)</f>
        <v>1767.8929633075</v>
      </c>
      <c r="BT98" s="11" t="n">
        <f aca="false">Units!$E97*(1+Inputs!$B$7)^(BT$2-1)</f>
        <v>1767.8929633075</v>
      </c>
      <c r="BU98" s="11" t="n">
        <f aca="false">Units!$E97*(1+Inputs!$B$7)^(BU$2-1)</f>
        <v>1767.8929633075</v>
      </c>
      <c r="BV98" s="11" t="n">
        <f aca="false">Units!$E97*(1+Inputs!$B$7)^(BV$2-1)</f>
        <v>1767.8929633075</v>
      </c>
      <c r="BW98" s="11" t="n">
        <f aca="false">Units!$E97*(1+Inputs!$B$7)^(BW$2-1)</f>
        <v>1820.92975220673</v>
      </c>
      <c r="BX98" s="11" t="n">
        <f aca="false">Units!$E97*(1+Inputs!$B$7)^(BX$2-1)</f>
        <v>1820.92975220673</v>
      </c>
      <c r="BY98" s="11" t="n">
        <f aca="false">Units!$E97*(1+Inputs!$B$7)^(BY$2-1)</f>
        <v>1820.92975220673</v>
      </c>
      <c r="BZ98" s="11" t="n">
        <f aca="false">Units!$E97*(1+Inputs!$B$7)^(BZ$2-1)</f>
        <v>1820.92975220673</v>
      </c>
      <c r="CA98" s="11" t="n">
        <f aca="false">Units!$E97*(1+Inputs!$B$7)^(CA$2-1)</f>
        <v>1820.92975220673</v>
      </c>
      <c r="CB98" s="11" t="n">
        <f aca="false">Units!$E97*(1+Inputs!$B$7)^(CB$2-1)</f>
        <v>1820.92975220673</v>
      </c>
      <c r="CC98" s="11" t="n">
        <f aca="false">Units!$E97*(1+Inputs!$B$7)^(CC$2-1)</f>
        <v>1820.92975220673</v>
      </c>
      <c r="CD98" s="11" t="n">
        <f aca="false">Units!$E97*(1+Inputs!$B$7)^(CD$2-1)</f>
        <v>1820.92975220673</v>
      </c>
      <c r="CE98" s="11" t="n">
        <f aca="false">Units!$E97*(1+Inputs!$B$7)^(CE$2-1)</f>
        <v>1820.92975220673</v>
      </c>
      <c r="CF98" s="11" t="n">
        <f aca="false">Units!$E97*(1+Inputs!$B$7)^(CF$2-1)</f>
        <v>1820.92975220673</v>
      </c>
      <c r="CG98" s="11" t="n">
        <f aca="false">Units!$E97*(1+Inputs!$B$7)^(CG$2-1)</f>
        <v>1820.92975220673</v>
      </c>
      <c r="CH98" s="11" t="n">
        <f aca="false">Units!$E97*(1+Inputs!$B$7)^(CH$2-1)</f>
        <v>1820.92975220673</v>
      </c>
      <c r="CI98" s="11" t="n">
        <f aca="false">Units!$E97*(1+Inputs!$B$7)^(CI$2-1)</f>
        <v>1875.55764477293</v>
      </c>
      <c r="CJ98" s="11" t="n">
        <f aca="false">Units!$E97*(1+Inputs!$B$7)^(CJ$2-1)</f>
        <v>1875.55764477293</v>
      </c>
      <c r="CK98" s="11" t="n">
        <f aca="false">Units!$E97*(1+Inputs!$B$7)^(CK$2-1)</f>
        <v>1875.55764477293</v>
      </c>
      <c r="CL98" s="11" t="n">
        <f aca="false">Units!$E97*(1+Inputs!$B$7)^(CL$2-1)</f>
        <v>1875.55764477293</v>
      </c>
      <c r="CM98" s="11" t="n">
        <f aca="false">Units!$E97*(1+Inputs!$B$7)^(CM$2-1)</f>
        <v>1875.55764477293</v>
      </c>
      <c r="CN98" s="11" t="n">
        <f aca="false">Units!$E97*(1+Inputs!$B$7)^(CN$2-1)</f>
        <v>1875.55764477293</v>
      </c>
      <c r="CO98" s="11" t="n">
        <f aca="false">Units!$E97*(1+Inputs!$B$7)^(CO$2-1)</f>
        <v>1875.55764477293</v>
      </c>
      <c r="CP98" s="11" t="n">
        <f aca="false">Units!$E97*(1+Inputs!$B$7)^(CP$2-1)</f>
        <v>1875.55764477293</v>
      </c>
      <c r="CQ98" s="11" t="n">
        <f aca="false">Units!$E97*(1+Inputs!$B$7)^(CQ$2-1)</f>
        <v>1875.55764477293</v>
      </c>
      <c r="CR98" s="11" t="n">
        <f aca="false">Units!$E97*(1+Inputs!$B$7)^(CR$2-1)</f>
        <v>1875.55764477293</v>
      </c>
      <c r="CS98" s="11" t="n">
        <f aca="false">Units!$E97*(1+Inputs!$B$7)^(CS$2-1)</f>
        <v>1875.55764477293</v>
      </c>
      <c r="CT98" s="11" t="n">
        <f aca="false">Units!$E97*(1+Inputs!$B$7)^(CT$2-1)</f>
        <v>1875.55764477293</v>
      </c>
      <c r="CU98" s="11" t="n">
        <f aca="false">Units!$E97*(1+Inputs!$B$7)^(CU$2-1)</f>
        <v>1931.82437411612</v>
      </c>
      <c r="CV98" s="11" t="n">
        <f aca="false">Units!$E97*(1+Inputs!$B$7)^(CV$2-1)</f>
        <v>1931.82437411612</v>
      </c>
      <c r="CW98" s="11" t="n">
        <f aca="false">Units!$E97*(1+Inputs!$B$7)^(CW$2-1)</f>
        <v>1931.82437411612</v>
      </c>
      <c r="CX98" s="11" t="n">
        <f aca="false">Units!$E97*(1+Inputs!$B$7)^(CX$2-1)</f>
        <v>1931.82437411612</v>
      </c>
      <c r="CY98" s="11" t="n">
        <f aca="false">Units!$E97*(1+Inputs!$B$7)^(CY$2-1)</f>
        <v>1931.82437411612</v>
      </c>
      <c r="CZ98" s="11" t="n">
        <f aca="false">Units!$E97*(1+Inputs!$B$7)^(CZ$2-1)</f>
        <v>1931.82437411612</v>
      </c>
      <c r="DA98" s="11" t="n">
        <f aca="false">Units!$E97*(1+Inputs!$B$7)^(DA$2-1)</f>
        <v>1931.82437411612</v>
      </c>
      <c r="DB98" s="11" t="n">
        <f aca="false">Units!$E97*(1+Inputs!$B$7)^(DB$2-1)</f>
        <v>1931.82437411612</v>
      </c>
      <c r="DC98" s="11" t="n">
        <f aca="false">Units!$E97*(1+Inputs!$B$7)^(DC$2-1)</f>
        <v>1931.82437411612</v>
      </c>
      <c r="DD98" s="11" t="n">
        <f aca="false">Units!$E97*(1+Inputs!$B$7)^(DD$2-1)</f>
        <v>1931.82437411612</v>
      </c>
      <c r="DE98" s="11" t="n">
        <f aca="false">Units!$E97*(1+Inputs!$B$7)^(DE$2-1)</f>
        <v>1931.82437411612</v>
      </c>
      <c r="DF98" s="11" t="n">
        <f aca="false">Units!$E97*(1+Inputs!$B$7)^(DF$2-1)</f>
        <v>1931.82437411612</v>
      </c>
      <c r="DG98" s="11" t="n">
        <f aca="false">Units!$E97*(1+Inputs!$B$7)^(DG$2-1)</f>
        <v>1989.7791053396</v>
      </c>
      <c r="DH98" s="11" t="n">
        <f aca="false">Units!$E97*(1+Inputs!$B$7)^(DH$2-1)</f>
        <v>1989.7791053396</v>
      </c>
      <c r="DI98" s="11" t="n">
        <f aca="false">Units!$E97*(1+Inputs!$B$7)^(DI$2-1)</f>
        <v>1989.7791053396</v>
      </c>
      <c r="DJ98" s="11" t="n">
        <f aca="false">Units!$E97*(1+Inputs!$B$7)^(DJ$2-1)</f>
        <v>1989.7791053396</v>
      </c>
      <c r="DK98" s="11" t="n">
        <f aca="false">Units!$E97*(1+Inputs!$B$7)^(DK$2-1)</f>
        <v>1989.7791053396</v>
      </c>
      <c r="DL98" s="11" t="n">
        <f aca="false">Units!$E97*(1+Inputs!$B$7)^(DL$2-1)</f>
        <v>1989.7791053396</v>
      </c>
      <c r="DM98" s="11" t="n">
        <f aca="false">Units!$E97*(1+Inputs!$B$7)^(DM$2-1)</f>
        <v>1989.7791053396</v>
      </c>
      <c r="DN98" s="11" t="n">
        <f aca="false">Units!$E97*(1+Inputs!$B$7)^(DN$2-1)</f>
        <v>1989.7791053396</v>
      </c>
      <c r="DO98" s="11" t="n">
        <f aca="false">Units!$E97*(1+Inputs!$B$7)^(DO$2-1)</f>
        <v>1989.7791053396</v>
      </c>
      <c r="DP98" s="11" t="n">
        <f aca="false">Units!$E97*(1+Inputs!$B$7)^(DP$2-1)</f>
        <v>1989.7791053396</v>
      </c>
      <c r="DQ98" s="11" t="n">
        <f aca="false">Units!$E97*(1+Inputs!$B$7)^(DQ$2-1)</f>
        <v>1989.7791053396</v>
      </c>
      <c r="DR98" s="11" t="n">
        <f aca="false">Units!$E97*(1+Inputs!$B$7)^(DR$2-1)</f>
        <v>1989.7791053396</v>
      </c>
      <c r="DS98" s="11" t="n">
        <f aca="false">Units!$E97*(1+Inputs!$B$7)^(DS$2-1)</f>
        <v>2049.47247849979</v>
      </c>
      <c r="DT98" s="11" t="n">
        <f aca="false">Units!$E97*(1+Inputs!$B$7)^(DT$2-1)</f>
        <v>2049.47247849979</v>
      </c>
      <c r="DU98" s="11" t="n">
        <f aca="false">Units!$E97*(1+Inputs!$B$7)^(DU$2-1)</f>
        <v>2049.47247849979</v>
      </c>
      <c r="DV98" s="11" t="n">
        <f aca="false">Units!$E97*(1+Inputs!$B$7)^(DV$2-1)</f>
        <v>2049.47247849979</v>
      </c>
      <c r="DW98" s="11" t="n">
        <f aca="false">Units!$E97*(1+Inputs!$B$7)^(DW$2-1)</f>
        <v>2049.47247849979</v>
      </c>
      <c r="DX98" s="11" t="n">
        <f aca="false">Units!$E97*(1+Inputs!$B$7)^(DX$2-1)</f>
        <v>2049.47247849979</v>
      </c>
      <c r="DY98" s="11" t="n">
        <f aca="false">Units!$E97*(1+Inputs!$B$7)^(DY$2-1)</f>
        <v>2049.47247849979</v>
      </c>
      <c r="DZ98" s="11" t="n">
        <f aca="false">Units!$E97*(1+Inputs!$B$7)^(DZ$2-1)</f>
        <v>2049.47247849979</v>
      </c>
      <c r="EA98" s="11" t="n">
        <f aca="false">Units!$E97*(1+Inputs!$B$7)^(EA$2-1)</f>
        <v>2049.47247849979</v>
      </c>
      <c r="EB98" s="11" t="n">
        <f aca="false">Units!$E97*(1+Inputs!$B$7)^(EB$2-1)</f>
        <v>2049.47247849979</v>
      </c>
      <c r="EC98" s="11" t="n">
        <f aca="false">Units!$E97*(1+Inputs!$B$7)^(EC$2-1)</f>
        <v>2049.47247849979</v>
      </c>
      <c r="ED98" s="11" t="n">
        <f aca="false">Units!$E97*(1+Inputs!$B$7)^(ED$2-1)</f>
        <v>2049.47247849979</v>
      </c>
    </row>
    <row r="99" customFormat="false" ht="15" hidden="false" customHeight="false" outlineLevel="0" collapsed="false">
      <c r="A99" s="22" t="n">
        <f aca="false">Units!A98</f>
        <v>407</v>
      </c>
      <c r="B99" s="23"/>
      <c r="C99" s="11" t="n">
        <f aca="false">Units!$E98*(1+Inputs!$B$7)^(C$2-1)</f>
        <v>1525</v>
      </c>
      <c r="D99" s="11" t="n">
        <f aca="false">Units!$E98*(1+Inputs!$B$7)^(D$2-1)</f>
        <v>1525</v>
      </c>
      <c r="E99" s="11" t="n">
        <f aca="false">Units!$E98*(1+Inputs!$B$7)^(E$2-1)</f>
        <v>1525</v>
      </c>
      <c r="F99" s="11" t="n">
        <f aca="false">Units!$E98*(1+Inputs!$B$7)^(F$2-1)</f>
        <v>1525</v>
      </c>
      <c r="G99" s="11" t="n">
        <f aca="false">Units!$E98*(1+Inputs!$B$7)^(G$2-1)</f>
        <v>1525</v>
      </c>
      <c r="H99" s="11" t="n">
        <f aca="false">Units!$E98*(1+Inputs!$B$7)^(H$2-1)</f>
        <v>1525</v>
      </c>
      <c r="I99" s="11" t="n">
        <f aca="false">Units!$E98*(1+Inputs!$B$7)^(I$2-1)</f>
        <v>1525</v>
      </c>
      <c r="J99" s="11" t="n">
        <f aca="false">Units!$E98*(1+Inputs!$B$7)^(J$2-1)</f>
        <v>1525</v>
      </c>
      <c r="K99" s="11" t="n">
        <f aca="false">Units!$E98*(1+Inputs!$B$7)^(K$2-1)</f>
        <v>1525</v>
      </c>
      <c r="L99" s="11" t="n">
        <f aca="false">Units!$E98*(1+Inputs!$B$7)^(L$2-1)</f>
        <v>1525</v>
      </c>
      <c r="M99" s="11" t="n">
        <f aca="false">Units!$E98*(1+Inputs!$B$7)^(M$2-1)</f>
        <v>1525</v>
      </c>
      <c r="N99" s="11" t="n">
        <f aca="false">Units!$E98*(1+Inputs!$B$7)^(N$2-1)</f>
        <v>1525</v>
      </c>
      <c r="O99" s="11" t="n">
        <f aca="false">Units!$E98*(1+Inputs!$B$7)^(O$2-1)</f>
        <v>1570.75</v>
      </c>
      <c r="P99" s="11" t="n">
        <f aca="false">Units!$E98*(1+Inputs!$B$7)^(P$2-1)</f>
        <v>1570.75</v>
      </c>
      <c r="Q99" s="11" t="n">
        <f aca="false">Units!$E98*(1+Inputs!$B$7)^(Q$2-1)</f>
        <v>1570.75</v>
      </c>
      <c r="R99" s="11" t="n">
        <f aca="false">Units!$E98*(1+Inputs!$B$7)^(R$2-1)</f>
        <v>1570.75</v>
      </c>
      <c r="S99" s="11" t="n">
        <f aca="false">Units!$E98*(1+Inputs!$B$7)^(S$2-1)</f>
        <v>1570.75</v>
      </c>
      <c r="T99" s="11" t="n">
        <f aca="false">Units!$E98*(1+Inputs!$B$7)^(T$2-1)</f>
        <v>1570.75</v>
      </c>
      <c r="U99" s="11" t="n">
        <f aca="false">Units!$E98*(1+Inputs!$B$7)^(U$2-1)</f>
        <v>1570.75</v>
      </c>
      <c r="V99" s="11" t="n">
        <f aca="false">Units!$E98*(1+Inputs!$B$7)^(V$2-1)</f>
        <v>1570.75</v>
      </c>
      <c r="W99" s="11" t="n">
        <f aca="false">Units!$E98*(1+Inputs!$B$7)^(W$2-1)</f>
        <v>1570.75</v>
      </c>
      <c r="X99" s="11" t="n">
        <f aca="false">Units!$E98*(1+Inputs!$B$7)^(X$2-1)</f>
        <v>1570.75</v>
      </c>
      <c r="Y99" s="11" t="n">
        <f aca="false">Units!$E98*(1+Inputs!$B$7)^(Y$2-1)</f>
        <v>1570.75</v>
      </c>
      <c r="Z99" s="11" t="n">
        <f aca="false">Units!$E98*(1+Inputs!$B$7)^(Z$2-1)</f>
        <v>1570.75</v>
      </c>
      <c r="AA99" s="11" t="n">
        <f aca="false">Units!$E98*(1+Inputs!$B$7)^(AA$2-1)</f>
        <v>1617.8725</v>
      </c>
      <c r="AB99" s="11" t="n">
        <f aca="false">Units!$E98*(1+Inputs!$B$7)^(AB$2-1)</f>
        <v>1617.8725</v>
      </c>
      <c r="AC99" s="11" t="n">
        <f aca="false">Units!$E98*(1+Inputs!$B$7)^(AC$2-1)</f>
        <v>1617.8725</v>
      </c>
      <c r="AD99" s="11" t="n">
        <f aca="false">Units!$E98*(1+Inputs!$B$7)^(AD$2-1)</f>
        <v>1617.8725</v>
      </c>
      <c r="AE99" s="11" t="n">
        <f aca="false">Units!$E98*(1+Inputs!$B$7)^(AE$2-1)</f>
        <v>1617.8725</v>
      </c>
      <c r="AF99" s="11" t="n">
        <f aca="false">Units!$E98*(1+Inputs!$B$7)^(AF$2-1)</f>
        <v>1617.8725</v>
      </c>
      <c r="AG99" s="11" t="n">
        <f aca="false">Units!$E98*(1+Inputs!$B$7)^(AG$2-1)</f>
        <v>1617.8725</v>
      </c>
      <c r="AH99" s="11" t="n">
        <f aca="false">Units!$E98*(1+Inputs!$B$7)^(AH$2-1)</f>
        <v>1617.8725</v>
      </c>
      <c r="AI99" s="11" t="n">
        <f aca="false">Units!$E98*(1+Inputs!$B$7)^(AI$2-1)</f>
        <v>1617.8725</v>
      </c>
      <c r="AJ99" s="11" t="n">
        <f aca="false">Units!$E98*(1+Inputs!$B$7)^(AJ$2-1)</f>
        <v>1617.8725</v>
      </c>
      <c r="AK99" s="11" t="n">
        <f aca="false">Units!$E98*(1+Inputs!$B$7)^(AK$2-1)</f>
        <v>1617.8725</v>
      </c>
      <c r="AL99" s="11" t="n">
        <f aca="false">Units!$E98*(1+Inputs!$B$7)^(AL$2-1)</f>
        <v>1617.8725</v>
      </c>
      <c r="AM99" s="11" t="n">
        <f aca="false">Units!$E98*(1+Inputs!$B$7)^(AM$2-1)</f>
        <v>1666.408675</v>
      </c>
      <c r="AN99" s="11" t="n">
        <f aca="false">Units!$E98*(1+Inputs!$B$7)^(AN$2-1)</f>
        <v>1666.408675</v>
      </c>
      <c r="AO99" s="11" t="n">
        <f aca="false">Units!$E98*(1+Inputs!$B$7)^(AO$2-1)</f>
        <v>1666.408675</v>
      </c>
      <c r="AP99" s="11" t="n">
        <f aca="false">Units!$E98*(1+Inputs!$B$7)^(AP$2-1)</f>
        <v>1666.408675</v>
      </c>
      <c r="AQ99" s="11" t="n">
        <f aca="false">Units!$E98*(1+Inputs!$B$7)^(AQ$2-1)</f>
        <v>1666.408675</v>
      </c>
      <c r="AR99" s="11" t="n">
        <f aca="false">Units!$E98*(1+Inputs!$B$7)^(AR$2-1)</f>
        <v>1666.408675</v>
      </c>
      <c r="AS99" s="11" t="n">
        <f aca="false">Units!$E98*(1+Inputs!$B$7)^(AS$2-1)</f>
        <v>1666.408675</v>
      </c>
      <c r="AT99" s="11" t="n">
        <f aca="false">Units!$E98*(1+Inputs!$B$7)^(AT$2-1)</f>
        <v>1666.408675</v>
      </c>
      <c r="AU99" s="11" t="n">
        <f aca="false">Units!$E98*(1+Inputs!$B$7)^(AU$2-1)</f>
        <v>1666.408675</v>
      </c>
      <c r="AV99" s="11" t="n">
        <f aca="false">Units!$E98*(1+Inputs!$B$7)^(AV$2-1)</f>
        <v>1666.408675</v>
      </c>
      <c r="AW99" s="11" t="n">
        <f aca="false">Units!$E98*(1+Inputs!$B$7)^(AW$2-1)</f>
        <v>1666.408675</v>
      </c>
      <c r="AX99" s="11" t="n">
        <f aca="false">Units!$E98*(1+Inputs!$B$7)^(AX$2-1)</f>
        <v>1666.408675</v>
      </c>
      <c r="AY99" s="11" t="n">
        <f aca="false">Units!$E98*(1+Inputs!$B$7)^(AY$2-1)</f>
        <v>1716.40093525</v>
      </c>
      <c r="AZ99" s="11" t="n">
        <f aca="false">Units!$E98*(1+Inputs!$B$7)^(AZ$2-1)</f>
        <v>1716.40093525</v>
      </c>
      <c r="BA99" s="11" t="n">
        <f aca="false">Units!$E98*(1+Inputs!$B$7)^(BA$2-1)</f>
        <v>1716.40093525</v>
      </c>
      <c r="BB99" s="11" t="n">
        <f aca="false">Units!$E98*(1+Inputs!$B$7)^(BB$2-1)</f>
        <v>1716.40093525</v>
      </c>
      <c r="BC99" s="11" t="n">
        <f aca="false">Units!$E98*(1+Inputs!$B$7)^(BC$2-1)</f>
        <v>1716.40093525</v>
      </c>
      <c r="BD99" s="11" t="n">
        <f aca="false">Units!$E98*(1+Inputs!$B$7)^(BD$2-1)</f>
        <v>1716.40093525</v>
      </c>
      <c r="BE99" s="11" t="n">
        <f aca="false">Units!$E98*(1+Inputs!$B$7)^(BE$2-1)</f>
        <v>1716.40093525</v>
      </c>
      <c r="BF99" s="11" t="n">
        <f aca="false">Units!$E98*(1+Inputs!$B$7)^(BF$2-1)</f>
        <v>1716.40093525</v>
      </c>
      <c r="BG99" s="11" t="n">
        <f aca="false">Units!$E98*(1+Inputs!$B$7)^(BG$2-1)</f>
        <v>1716.40093525</v>
      </c>
      <c r="BH99" s="11" t="n">
        <f aca="false">Units!$E98*(1+Inputs!$B$7)^(BH$2-1)</f>
        <v>1716.40093525</v>
      </c>
      <c r="BI99" s="11" t="n">
        <f aca="false">Units!$E98*(1+Inputs!$B$7)^(BI$2-1)</f>
        <v>1716.40093525</v>
      </c>
      <c r="BJ99" s="11" t="n">
        <f aca="false">Units!$E98*(1+Inputs!$B$7)^(BJ$2-1)</f>
        <v>1716.40093525</v>
      </c>
      <c r="BK99" s="11" t="n">
        <f aca="false">Units!$E98*(1+Inputs!$B$7)^(BK$2-1)</f>
        <v>1767.8929633075</v>
      </c>
      <c r="BL99" s="11" t="n">
        <f aca="false">Units!$E98*(1+Inputs!$B$7)^(BL$2-1)</f>
        <v>1767.8929633075</v>
      </c>
      <c r="BM99" s="11" t="n">
        <f aca="false">Units!$E98*(1+Inputs!$B$7)^(BM$2-1)</f>
        <v>1767.8929633075</v>
      </c>
      <c r="BN99" s="11" t="n">
        <f aca="false">Units!$E98*(1+Inputs!$B$7)^(BN$2-1)</f>
        <v>1767.8929633075</v>
      </c>
      <c r="BO99" s="11" t="n">
        <f aca="false">Units!$E98*(1+Inputs!$B$7)^(BO$2-1)</f>
        <v>1767.8929633075</v>
      </c>
      <c r="BP99" s="11" t="n">
        <f aca="false">Units!$E98*(1+Inputs!$B$7)^(BP$2-1)</f>
        <v>1767.8929633075</v>
      </c>
      <c r="BQ99" s="11" t="n">
        <f aca="false">Units!$E98*(1+Inputs!$B$7)^(BQ$2-1)</f>
        <v>1767.8929633075</v>
      </c>
      <c r="BR99" s="11" t="n">
        <f aca="false">Units!$E98*(1+Inputs!$B$7)^(BR$2-1)</f>
        <v>1767.8929633075</v>
      </c>
      <c r="BS99" s="11" t="n">
        <f aca="false">Units!$E98*(1+Inputs!$B$7)^(BS$2-1)</f>
        <v>1767.8929633075</v>
      </c>
      <c r="BT99" s="11" t="n">
        <f aca="false">Units!$E98*(1+Inputs!$B$7)^(BT$2-1)</f>
        <v>1767.8929633075</v>
      </c>
      <c r="BU99" s="11" t="n">
        <f aca="false">Units!$E98*(1+Inputs!$B$7)^(BU$2-1)</f>
        <v>1767.8929633075</v>
      </c>
      <c r="BV99" s="11" t="n">
        <f aca="false">Units!$E98*(1+Inputs!$B$7)^(BV$2-1)</f>
        <v>1767.8929633075</v>
      </c>
      <c r="BW99" s="11" t="n">
        <f aca="false">Units!$E98*(1+Inputs!$B$7)^(BW$2-1)</f>
        <v>1820.92975220673</v>
      </c>
      <c r="BX99" s="11" t="n">
        <f aca="false">Units!$E98*(1+Inputs!$B$7)^(BX$2-1)</f>
        <v>1820.92975220673</v>
      </c>
      <c r="BY99" s="11" t="n">
        <f aca="false">Units!$E98*(1+Inputs!$B$7)^(BY$2-1)</f>
        <v>1820.92975220673</v>
      </c>
      <c r="BZ99" s="11" t="n">
        <f aca="false">Units!$E98*(1+Inputs!$B$7)^(BZ$2-1)</f>
        <v>1820.92975220673</v>
      </c>
      <c r="CA99" s="11" t="n">
        <f aca="false">Units!$E98*(1+Inputs!$B$7)^(CA$2-1)</f>
        <v>1820.92975220673</v>
      </c>
      <c r="CB99" s="11" t="n">
        <f aca="false">Units!$E98*(1+Inputs!$B$7)^(CB$2-1)</f>
        <v>1820.92975220673</v>
      </c>
      <c r="CC99" s="11" t="n">
        <f aca="false">Units!$E98*(1+Inputs!$B$7)^(CC$2-1)</f>
        <v>1820.92975220673</v>
      </c>
      <c r="CD99" s="11" t="n">
        <f aca="false">Units!$E98*(1+Inputs!$B$7)^(CD$2-1)</f>
        <v>1820.92975220673</v>
      </c>
      <c r="CE99" s="11" t="n">
        <f aca="false">Units!$E98*(1+Inputs!$B$7)^(CE$2-1)</f>
        <v>1820.92975220673</v>
      </c>
      <c r="CF99" s="11" t="n">
        <f aca="false">Units!$E98*(1+Inputs!$B$7)^(CF$2-1)</f>
        <v>1820.92975220673</v>
      </c>
      <c r="CG99" s="11" t="n">
        <f aca="false">Units!$E98*(1+Inputs!$B$7)^(CG$2-1)</f>
        <v>1820.92975220673</v>
      </c>
      <c r="CH99" s="11" t="n">
        <f aca="false">Units!$E98*(1+Inputs!$B$7)^(CH$2-1)</f>
        <v>1820.92975220673</v>
      </c>
      <c r="CI99" s="11" t="n">
        <f aca="false">Units!$E98*(1+Inputs!$B$7)^(CI$2-1)</f>
        <v>1875.55764477293</v>
      </c>
      <c r="CJ99" s="11" t="n">
        <f aca="false">Units!$E98*(1+Inputs!$B$7)^(CJ$2-1)</f>
        <v>1875.55764477293</v>
      </c>
      <c r="CK99" s="11" t="n">
        <f aca="false">Units!$E98*(1+Inputs!$B$7)^(CK$2-1)</f>
        <v>1875.55764477293</v>
      </c>
      <c r="CL99" s="11" t="n">
        <f aca="false">Units!$E98*(1+Inputs!$B$7)^(CL$2-1)</f>
        <v>1875.55764477293</v>
      </c>
      <c r="CM99" s="11" t="n">
        <f aca="false">Units!$E98*(1+Inputs!$B$7)^(CM$2-1)</f>
        <v>1875.55764477293</v>
      </c>
      <c r="CN99" s="11" t="n">
        <f aca="false">Units!$E98*(1+Inputs!$B$7)^(CN$2-1)</f>
        <v>1875.55764477293</v>
      </c>
      <c r="CO99" s="11" t="n">
        <f aca="false">Units!$E98*(1+Inputs!$B$7)^(CO$2-1)</f>
        <v>1875.55764477293</v>
      </c>
      <c r="CP99" s="11" t="n">
        <f aca="false">Units!$E98*(1+Inputs!$B$7)^(CP$2-1)</f>
        <v>1875.55764477293</v>
      </c>
      <c r="CQ99" s="11" t="n">
        <f aca="false">Units!$E98*(1+Inputs!$B$7)^(CQ$2-1)</f>
        <v>1875.55764477293</v>
      </c>
      <c r="CR99" s="11" t="n">
        <f aca="false">Units!$E98*(1+Inputs!$B$7)^(CR$2-1)</f>
        <v>1875.55764477293</v>
      </c>
      <c r="CS99" s="11" t="n">
        <f aca="false">Units!$E98*(1+Inputs!$B$7)^(CS$2-1)</f>
        <v>1875.55764477293</v>
      </c>
      <c r="CT99" s="11" t="n">
        <f aca="false">Units!$E98*(1+Inputs!$B$7)^(CT$2-1)</f>
        <v>1875.55764477293</v>
      </c>
      <c r="CU99" s="11" t="n">
        <f aca="false">Units!$E98*(1+Inputs!$B$7)^(CU$2-1)</f>
        <v>1931.82437411612</v>
      </c>
      <c r="CV99" s="11" t="n">
        <f aca="false">Units!$E98*(1+Inputs!$B$7)^(CV$2-1)</f>
        <v>1931.82437411612</v>
      </c>
      <c r="CW99" s="11" t="n">
        <f aca="false">Units!$E98*(1+Inputs!$B$7)^(CW$2-1)</f>
        <v>1931.82437411612</v>
      </c>
      <c r="CX99" s="11" t="n">
        <f aca="false">Units!$E98*(1+Inputs!$B$7)^(CX$2-1)</f>
        <v>1931.82437411612</v>
      </c>
      <c r="CY99" s="11" t="n">
        <f aca="false">Units!$E98*(1+Inputs!$B$7)^(CY$2-1)</f>
        <v>1931.82437411612</v>
      </c>
      <c r="CZ99" s="11" t="n">
        <f aca="false">Units!$E98*(1+Inputs!$B$7)^(CZ$2-1)</f>
        <v>1931.82437411612</v>
      </c>
      <c r="DA99" s="11" t="n">
        <f aca="false">Units!$E98*(1+Inputs!$B$7)^(DA$2-1)</f>
        <v>1931.82437411612</v>
      </c>
      <c r="DB99" s="11" t="n">
        <f aca="false">Units!$E98*(1+Inputs!$B$7)^(DB$2-1)</f>
        <v>1931.82437411612</v>
      </c>
      <c r="DC99" s="11" t="n">
        <f aca="false">Units!$E98*(1+Inputs!$B$7)^(DC$2-1)</f>
        <v>1931.82437411612</v>
      </c>
      <c r="DD99" s="11" t="n">
        <f aca="false">Units!$E98*(1+Inputs!$B$7)^(DD$2-1)</f>
        <v>1931.82437411612</v>
      </c>
      <c r="DE99" s="11" t="n">
        <f aca="false">Units!$E98*(1+Inputs!$B$7)^(DE$2-1)</f>
        <v>1931.82437411612</v>
      </c>
      <c r="DF99" s="11" t="n">
        <f aca="false">Units!$E98*(1+Inputs!$B$7)^(DF$2-1)</f>
        <v>1931.82437411612</v>
      </c>
      <c r="DG99" s="11" t="n">
        <f aca="false">Units!$E98*(1+Inputs!$B$7)^(DG$2-1)</f>
        <v>1989.7791053396</v>
      </c>
      <c r="DH99" s="11" t="n">
        <f aca="false">Units!$E98*(1+Inputs!$B$7)^(DH$2-1)</f>
        <v>1989.7791053396</v>
      </c>
      <c r="DI99" s="11" t="n">
        <f aca="false">Units!$E98*(1+Inputs!$B$7)^(DI$2-1)</f>
        <v>1989.7791053396</v>
      </c>
      <c r="DJ99" s="11" t="n">
        <f aca="false">Units!$E98*(1+Inputs!$B$7)^(DJ$2-1)</f>
        <v>1989.7791053396</v>
      </c>
      <c r="DK99" s="11" t="n">
        <f aca="false">Units!$E98*(1+Inputs!$B$7)^(DK$2-1)</f>
        <v>1989.7791053396</v>
      </c>
      <c r="DL99" s="11" t="n">
        <f aca="false">Units!$E98*(1+Inputs!$B$7)^(DL$2-1)</f>
        <v>1989.7791053396</v>
      </c>
      <c r="DM99" s="11" t="n">
        <f aca="false">Units!$E98*(1+Inputs!$B$7)^(DM$2-1)</f>
        <v>1989.7791053396</v>
      </c>
      <c r="DN99" s="11" t="n">
        <f aca="false">Units!$E98*(1+Inputs!$B$7)^(DN$2-1)</f>
        <v>1989.7791053396</v>
      </c>
      <c r="DO99" s="11" t="n">
        <f aca="false">Units!$E98*(1+Inputs!$B$7)^(DO$2-1)</f>
        <v>1989.7791053396</v>
      </c>
      <c r="DP99" s="11" t="n">
        <f aca="false">Units!$E98*(1+Inputs!$B$7)^(DP$2-1)</f>
        <v>1989.7791053396</v>
      </c>
      <c r="DQ99" s="11" t="n">
        <f aca="false">Units!$E98*(1+Inputs!$B$7)^(DQ$2-1)</f>
        <v>1989.7791053396</v>
      </c>
      <c r="DR99" s="11" t="n">
        <f aca="false">Units!$E98*(1+Inputs!$B$7)^(DR$2-1)</f>
        <v>1989.7791053396</v>
      </c>
      <c r="DS99" s="11" t="n">
        <f aca="false">Units!$E98*(1+Inputs!$B$7)^(DS$2-1)</f>
        <v>2049.47247849979</v>
      </c>
      <c r="DT99" s="11" t="n">
        <f aca="false">Units!$E98*(1+Inputs!$B$7)^(DT$2-1)</f>
        <v>2049.47247849979</v>
      </c>
      <c r="DU99" s="11" t="n">
        <f aca="false">Units!$E98*(1+Inputs!$B$7)^(DU$2-1)</f>
        <v>2049.47247849979</v>
      </c>
      <c r="DV99" s="11" t="n">
        <f aca="false">Units!$E98*(1+Inputs!$B$7)^(DV$2-1)</f>
        <v>2049.47247849979</v>
      </c>
      <c r="DW99" s="11" t="n">
        <f aca="false">Units!$E98*(1+Inputs!$B$7)^(DW$2-1)</f>
        <v>2049.47247849979</v>
      </c>
      <c r="DX99" s="11" t="n">
        <f aca="false">Units!$E98*(1+Inputs!$B$7)^(DX$2-1)</f>
        <v>2049.47247849979</v>
      </c>
      <c r="DY99" s="11" t="n">
        <f aca="false">Units!$E98*(1+Inputs!$B$7)^(DY$2-1)</f>
        <v>2049.47247849979</v>
      </c>
      <c r="DZ99" s="11" t="n">
        <f aca="false">Units!$E98*(1+Inputs!$B$7)^(DZ$2-1)</f>
        <v>2049.47247849979</v>
      </c>
      <c r="EA99" s="11" t="n">
        <f aca="false">Units!$E98*(1+Inputs!$B$7)^(EA$2-1)</f>
        <v>2049.47247849979</v>
      </c>
      <c r="EB99" s="11" t="n">
        <f aca="false">Units!$E98*(1+Inputs!$B$7)^(EB$2-1)</f>
        <v>2049.47247849979</v>
      </c>
      <c r="EC99" s="11" t="n">
        <f aca="false">Units!$E98*(1+Inputs!$B$7)^(EC$2-1)</f>
        <v>2049.47247849979</v>
      </c>
      <c r="ED99" s="11" t="n">
        <f aca="false">Units!$E98*(1+Inputs!$B$7)^(ED$2-1)</f>
        <v>2049.47247849979</v>
      </c>
    </row>
    <row r="100" customFormat="false" ht="15" hidden="false" customHeight="false" outlineLevel="0" collapsed="false">
      <c r="A100" s="22" t="n">
        <f aca="false">Units!A99</f>
        <v>408</v>
      </c>
      <c r="B100" s="23"/>
      <c r="C100" s="11" t="n">
        <f aca="false">Units!$E99*(1+Inputs!$B$7)^(C$2-1)</f>
        <v>1525</v>
      </c>
      <c r="D100" s="11" t="n">
        <f aca="false">Units!$E99*(1+Inputs!$B$7)^(D$2-1)</f>
        <v>1525</v>
      </c>
      <c r="E100" s="11" t="n">
        <f aca="false">Units!$E99*(1+Inputs!$B$7)^(E$2-1)</f>
        <v>1525</v>
      </c>
      <c r="F100" s="11" t="n">
        <f aca="false">Units!$E99*(1+Inputs!$B$7)^(F$2-1)</f>
        <v>1525</v>
      </c>
      <c r="G100" s="11" t="n">
        <f aca="false">Units!$E99*(1+Inputs!$B$7)^(G$2-1)</f>
        <v>1525</v>
      </c>
      <c r="H100" s="11" t="n">
        <f aca="false">Units!$E99*(1+Inputs!$B$7)^(H$2-1)</f>
        <v>1525</v>
      </c>
      <c r="I100" s="11" t="n">
        <f aca="false">Units!$E99*(1+Inputs!$B$7)^(I$2-1)</f>
        <v>1525</v>
      </c>
      <c r="J100" s="11" t="n">
        <f aca="false">Units!$E99*(1+Inputs!$B$7)^(J$2-1)</f>
        <v>1525</v>
      </c>
      <c r="K100" s="11" t="n">
        <f aca="false">Units!$E99*(1+Inputs!$B$7)^(K$2-1)</f>
        <v>1525</v>
      </c>
      <c r="L100" s="11" t="n">
        <f aca="false">Units!$E99*(1+Inputs!$B$7)^(L$2-1)</f>
        <v>1525</v>
      </c>
      <c r="M100" s="11" t="n">
        <f aca="false">Units!$E99*(1+Inputs!$B$7)^(M$2-1)</f>
        <v>1525</v>
      </c>
      <c r="N100" s="11" t="n">
        <f aca="false">Units!$E99*(1+Inputs!$B$7)^(N$2-1)</f>
        <v>1525</v>
      </c>
      <c r="O100" s="11" t="n">
        <f aca="false">Units!$E99*(1+Inputs!$B$7)^(O$2-1)</f>
        <v>1570.75</v>
      </c>
      <c r="P100" s="11" t="n">
        <f aca="false">Units!$E99*(1+Inputs!$B$7)^(P$2-1)</f>
        <v>1570.75</v>
      </c>
      <c r="Q100" s="11" t="n">
        <f aca="false">Units!$E99*(1+Inputs!$B$7)^(Q$2-1)</f>
        <v>1570.75</v>
      </c>
      <c r="R100" s="11" t="n">
        <f aca="false">Units!$E99*(1+Inputs!$B$7)^(R$2-1)</f>
        <v>1570.75</v>
      </c>
      <c r="S100" s="11" t="n">
        <f aca="false">Units!$E99*(1+Inputs!$B$7)^(S$2-1)</f>
        <v>1570.75</v>
      </c>
      <c r="T100" s="11" t="n">
        <f aca="false">Units!$E99*(1+Inputs!$B$7)^(T$2-1)</f>
        <v>1570.75</v>
      </c>
      <c r="U100" s="11" t="n">
        <f aca="false">Units!$E99*(1+Inputs!$B$7)^(U$2-1)</f>
        <v>1570.75</v>
      </c>
      <c r="V100" s="11" t="n">
        <f aca="false">Units!$E99*(1+Inputs!$B$7)^(V$2-1)</f>
        <v>1570.75</v>
      </c>
      <c r="W100" s="11" t="n">
        <f aca="false">Units!$E99*(1+Inputs!$B$7)^(W$2-1)</f>
        <v>1570.75</v>
      </c>
      <c r="X100" s="11" t="n">
        <f aca="false">Units!$E99*(1+Inputs!$B$7)^(X$2-1)</f>
        <v>1570.75</v>
      </c>
      <c r="Y100" s="11" t="n">
        <f aca="false">Units!$E99*(1+Inputs!$B$7)^(Y$2-1)</f>
        <v>1570.75</v>
      </c>
      <c r="Z100" s="11" t="n">
        <f aca="false">Units!$E99*(1+Inputs!$B$7)^(Z$2-1)</f>
        <v>1570.75</v>
      </c>
      <c r="AA100" s="11" t="n">
        <f aca="false">Units!$E99*(1+Inputs!$B$7)^(AA$2-1)</f>
        <v>1617.8725</v>
      </c>
      <c r="AB100" s="11" t="n">
        <f aca="false">Units!$E99*(1+Inputs!$B$7)^(AB$2-1)</f>
        <v>1617.8725</v>
      </c>
      <c r="AC100" s="11" t="n">
        <f aca="false">Units!$E99*(1+Inputs!$B$7)^(AC$2-1)</f>
        <v>1617.8725</v>
      </c>
      <c r="AD100" s="11" t="n">
        <f aca="false">Units!$E99*(1+Inputs!$B$7)^(AD$2-1)</f>
        <v>1617.8725</v>
      </c>
      <c r="AE100" s="11" t="n">
        <f aca="false">Units!$E99*(1+Inputs!$B$7)^(AE$2-1)</f>
        <v>1617.8725</v>
      </c>
      <c r="AF100" s="11" t="n">
        <f aca="false">Units!$E99*(1+Inputs!$B$7)^(AF$2-1)</f>
        <v>1617.8725</v>
      </c>
      <c r="AG100" s="11" t="n">
        <f aca="false">Units!$E99*(1+Inputs!$B$7)^(AG$2-1)</f>
        <v>1617.8725</v>
      </c>
      <c r="AH100" s="11" t="n">
        <f aca="false">Units!$E99*(1+Inputs!$B$7)^(AH$2-1)</f>
        <v>1617.8725</v>
      </c>
      <c r="AI100" s="11" t="n">
        <f aca="false">Units!$E99*(1+Inputs!$B$7)^(AI$2-1)</f>
        <v>1617.8725</v>
      </c>
      <c r="AJ100" s="11" t="n">
        <f aca="false">Units!$E99*(1+Inputs!$B$7)^(AJ$2-1)</f>
        <v>1617.8725</v>
      </c>
      <c r="AK100" s="11" t="n">
        <f aca="false">Units!$E99*(1+Inputs!$B$7)^(AK$2-1)</f>
        <v>1617.8725</v>
      </c>
      <c r="AL100" s="11" t="n">
        <f aca="false">Units!$E99*(1+Inputs!$B$7)^(AL$2-1)</f>
        <v>1617.8725</v>
      </c>
      <c r="AM100" s="11" t="n">
        <f aca="false">Units!$E99*(1+Inputs!$B$7)^(AM$2-1)</f>
        <v>1666.408675</v>
      </c>
      <c r="AN100" s="11" t="n">
        <f aca="false">Units!$E99*(1+Inputs!$B$7)^(AN$2-1)</f>
        <v>1666.408675</v>
      </c>
      <c r="AO100" s="11" t="n">
        <f aca="false">Units!$E99*(1+Inputs!$B$7)^(AO$2-1)</f>
        <v>1666.408675</v>
      </c>
      <c r="AP100" s="11" t="n">
        <f aca="false">Units!$E99*(1+Inputs!$B$7)^(AP$2-1)</f>
        <v>1666.408675</v>
      </c>
      <c r="AQ100" s="11" t="n">
        <f aca="false">Units!$E99*(1+Inputs!$B$7)^(AQ$2-1)</f>
        <v>1666.408675</v>
      </c>
      <c r="AR100" s="11" t="n">
        <f aca="false">Units!$E99*(1+Inputs!$B$7)^(AR$2-1)</f>
        <v>1666.408675</v>
      </c>
      <c r="AS100" s="11" t="n">
        <f aca="false">Units!$E99*(1+Inputs!$B$7)^(AS$2-1)</f>
        <v>1666.408675</v>
      </c>
      <c r="AT100" s="11" t="n">
        <f aca="false">Units!$E99*(1+Inputs!$B$7)^(AT$2-1)</f>
        <v>1666.408675</v>
      </c>
      <c r="AU100" s="11" t="n">
        <f aca="false">Units!$E99*(1+Inputs!$B$7)^(AU$2-1)</f>
        <v>1666.408675</v>
      </c>
      <c r="AV100" s="11" t="n">
        <f aca="false">Units!$E99*(1+Inputs!$B$7)^(AV$2-1)</f>
        <v>1666.408675</v>
      </c>
      <c r="AW100" s="11" t="n">
        <f aca="false">Units!$E99*(1+Inputs!$B$7)^(AW$2-1)</f>
        <v>1666.408675</v>
      </c>
      <c r="AX100" s="11" t="n">
        <f aca="false">Units!$E99*(1+Inputs!$B$7)^(AX$2-1)</f>
        <v>1666.408675</v>
      </c>
      <c r="AY100" s="11" t="n">
        <f aca="false">Units!$E99*(1+Inputs!$B$7)^(AY$2-1)</f>
        <v>1716.40093525</v>
      </c>
      <c r="AZ100" s="11" t="n">
        <f aca="false">Units!$E99*(1+Inputs!$B$7)^(AZ$2-1)</f>
        <v>1716.40093525</v>
      </c>
      <c r="BA100" s="11" t="n">
        <f aca="false">Units!$E99*(1+Inputs!$B$7)^(BA$2-1)</f>
        <v>1716.40093525</v>
      </c>
      <c r="BB100" s="11" t="n">
        <f aca="false">Units!$E99*(1+Inputs!$B$7)^(BB$2-1)</f>
        <v>1716.40093525</v>
      </c>
      <c r="BC100" s="11" t="n">
        <f aca="false">Units!$E99*(1+Inputs!$B$7)^(BC$2-1)</f>
        <v>1716.40093525</v>
      </c>
      <c r="BD100" s="11" t="n">
        <f aca="false">Units!$E99*(1+Inputs!$B$7)^(BD$2-1)</f>
        <v>1716.40093525</v>
      </c>
      <c r="BE100" s="11" t="n">
        <f aca="false">Units!$E99*(1+Inputs!$B$7)^(BE$2-1)</f>
        <v>1716.40093525</v>
      </c>
      <c r="BF100" s="11" t="n">
        <f aca="false">Units!$E99*(1+Inputs!$B$7)^(BF$2-1)</f>
        <v>1716.40093525</v>
      </c>
      <c r="BG100" s="11" t="n">
        <f aca="false">Units!$E99*(1+Inputs!$B$7)^(BG$2-1)</f>
        <v>1716.40093525</v>
      </c>
      <c r="BH100" s="11" t="n">
        <f aca="false">Units!$E99*(1+Inputs!$B$7)^(BH$2-1)</f>
        <v>1716.40093525</v>
      </c>
      <c r="BI100" s="11" t="n">
        <f aca="false">Units!$E99*(1+Inputs!$B$7)^(BI$2-1)</f>
        <v>1716.40093525</v>
      </c>
      <c r="BJ100" s="11" t="n">
        <f aca="false">Units!$E99*(1+Inputs!$B$7)^(BJ$2-1)</f>
        <v>1716.40093525</v>
      </c>
      <c r="BK100" s="11" t="n">
        <f aca="false">Units!$E99*(1+Inputs!$B$7)^(BK$2-1)</f>
        <v>1767.8929633075</v>
      </c>
      <c r="BL100" s="11" t="n">
        <f aca="false">Units!$E99*(1+Inputs!$B$7)^(BL$2-1)</f>
        <v>1767.8929633075</v>
      </c>
      <c r="BM100" s="11" t="n">
        <f aca="false">Units!$E99*(1+Inputs!$B$7)^(BM$2-1)</f>
        <v>1767.8929633075</v>
      </c>
      <c r="BN100" s="11" t="n">
        <f aca="false">Units!$E99*(1+Inputs!$B$7)^(BN$2-1)</f>
        <v>1767.8929633075</v>
      </c>
      <c r="BO100" s="11" t="n">
        <f aca="false">Units!$E99*(1+Inputs!$B$7)^(BO$2-1)</f>
        <v>1767.8929633075</v>
      </c>
      <c r="BP100" s="11" t="n">
        <f aca="false">Units!$E99*(1+Inputs!$B$7)^(BP$2-1)</f>
        <v>1767.8929633075</v>
      </c>
      <c r="BQ100" s="11" t="n">
        <f aca="false">Units!$E99*(1+Inputs!$B$7)^(BQ$2-1)</f>
        <v>1767.8929633075</v>
      </c>
      <c r="BR100" s="11" t="n">
        <f aca="false">Units!$E99*(1+Inputs!$B$7)^(BR$2-1)</f>
        <v>1767.8929633075</v>
      </c>
      <c r="BS100" s="11" t="n">
        <f aca="false">Units!$E99*(1+Inputs!$B$7)^(BS$2-1)</f>
        <v>1767.8929633075</v>
      </c>
      <c r="BT100" s="11" t="n">
        <f aca="false">Units!$E99*(1+Inputs!$B$7)^(BT$2-1)</f>
        <v>1767.8929633075</v>
      </c>
      <c r="BU100" s="11" t="n">
        <f aca="false">Units!$E99*(1+Inputs!$B$7)^(BU$2-1)</f>
        <v>1767.8929633075</v>
      </c>
      <c r="BV100" s="11" t="n">
        <f aca="false">Units!$E99*(1+Inputs!$B$7)^(BV$2-1)</f>
        <v>1767.8929633075</v>
      </c>
      <c r="BW100" s="11" t="n">
        <f aca="false">Units!$E99*(1+Inputs!$B$7)^(BW$2-1)</f>
        <v>1820.92975220673</v>
      </c>
      <c r="BX100" s="11" t="n">
        <f aca="false">Units!$E99*(1+Inputs!$B$7)^(BX$2-1)</f>
        <v>1820.92975220673</v>
      </c>
      <c r="BY100" s="11" t="n">
        <f aca="false">Units!$E99*(1+Inputs!$B$7)^(BY$2-1)</f>
        <v>1820.92975220673</v>
      </c>
      <c r="BZ100" s="11" t="n">
        <f aca="false">Units!$E99*(1+Inputs!$B$7)^(BZ$2-1)</f>
        <v>1820.92975220673</v>
      </c>
      <c r="CA100" s="11" t="n">
        <f aca="false">Units!$E99*(1+Inputs!$B$7)^(CA$2-1)</f>
        <v>1820.92975220673</v>
      </c>
      <c r="CB100" s="11" t="n">
        <f aca="false">Units!$E99*(1+Inputs!$B$7)^(CB$2-1)</f>
        <v>1820.92975220673</v>
      </c>
      <c r="CC100" s="11" t="n">
        <f aca="false">Units!$E99*(1+Inputs!$B$7)^(CC$2-1)</f>
        <v>1820.92975220673</v>
      </c>
      <c r="CD100" s="11" t="n">
        <f aca="false">Units!$E99*(1+Inputs!$B$7)^(CD$2-1)</f>
        <v>1820.92975220673</v>
      </c>
      <c r="CE100" s="11" t="n">
        <f aca="false">Units!$E99*(1+Inputs!$B$7)^(CE$2-1)</f>
        <v>1820.92975220673</v>
      </c>
      <c r="CF100" s="11" t="n">
        <f aca="false">Units!$E99*(1+Inputs!$B$7)^(CF$2-1)</f>
        <v>1820.92975220673</v>
      </c>
      <c r="CG100" s="11" t="n">
        <f aca="false">Units!$E99*(1+Inputs!$B$7)^(CG$2-1)</f>
        <v>1820.92975220673</v>
      </c>
      <c r="CH100" s="11" t="n">
        <f aca="false">Units!$E99*(1+Inputs!$B$7)^(CH$2-1)</f>
        <v>1820.92975220673</v>
      </c>
      <c r="CI100" s="11" t="n">
        <f aca="false">Units!$E99*(1+Inputs!$B$7)^(CI$2-1)</f>
        <v>1875.55764477293</v>
      </c>
      <c r="CJ100" s="11" t="n">
        <f aca="false">Units!$E99*(1+Inputs!$B$7)^(CJ$2-1)</f>
        <v>1875.55764477293</v>
      </c>
      <c r="CK100" s="11" t="n">
        <f aca="false">Units!$E99*(1+Inputs!$B$7)^(CK$2-1)</f>
        <v>1875.55764477293</v>
      </c>
      <c r="CL100" s="11" t="n">
        <f aca="false">Units!$E99*(1+Inputs!$B$7)^(CL$2-1)</f>
        <v>1875.55764477293</v>
      </c>
      <c r="CM100" s="11" t="n">
        <f aca="false">Units!$E99*(1+Inputs!$B$7)^(CM$2-1)</f>
        <v>1875.55764477293</v>
      </c>
      <c r="CN100" s="11" t="n">
        <f aca="false">Units!$E99*(1+Inputs!$B$7)^(CN$2-1)</f>
        <v>1875.55764477293</v>
      </c>
      <c r="CO100" s="11" t="n">
        <f aca="false">Units!$E99*(1+Inputs!$B$7)^(CO$2-1)</f>
        <v>1875.55764477293</v>
      </c>
      <c r="CP100" s="11" t="n">
        <f aca="false">Units!$E99*(1+Inputs!$B$7)^(CP$2-1)</f>
        <v>1875.55764477293</v>
      </c>
      <c r="CQ100" s="11" t="n">
        <f aca="false">Units!$E99*(1+Inputs!$B$7)^(CQ$2-1)</f>
        <v>1875.55764477293</v>
      </c>
      <c r="CR100" s="11" t="n">
        <f aca="false">Units!$E99*(1+Inputs!$B$7)^(CR$2-1)</f>
        <v>1875.55764477293</v>
      </c>
      <c r="CS100" s="11" t="n">
        <f aca="false">Units!$E99*(1+Inputs!$B$7)^(CS$2-1)</f>
        <v>1875.55764477293</v>
      </c>
      <c r="CT100" s="11" t="n">
        <f aca="false">Units!$E99*(1+Inputs!$B$7)^(CT$2-1)</f>
        <v>1875.55764477293</v>
      </c>
      <c r="CU100" s="11" t="n">
        <f aca="false">Units!$E99*(1+Inputs!$B$7)^(CU$2-1)</f>
        <v>1931.82437411612</v>
      </c>
      <c r="CV100" s="11" t="n">
        <f aca="false">Units!$E99*(1+Inputs!$B$7)^(CV$2-1)</f>
        <v>1931.82437411612</v>
      </c>
      <c r="CW100" s="11" t="n">
        <f aca="false">Units!$E99*(1+Inputs!$B$7)^(CW$2-1)</f>
        <v>1931.82437411612</v>
      </c>
      <c r="CX100" s="11" t="n">
        <f aca="false">Units!$E99*(1+Inputs!$B$7)^(CX$2-1)</f>
        <v>1931.82437411612</v>
      </c>
      <c r="CY100" s="11" t="n">
        <f aca="false">Units!$E99*(1+Inputs!$B$7)^(CY$2-1)</f>
        <v>1931.82437411612</v>
      </c>
      <c r="CZ100" s="11" t="n">
        <f aca="false">Units!$E99*(1+Inputs!$B$7)^(CZ$2-1)</f>
        <v>1931.82437411612</v>
      </c>
      <c r="DA100" s="11" t="n">
        <f aca="false">Units!$E99*(1+Inputs!$B$7)^(DA$2-1)</f>
        <v>1931.82437411612</v>
      </c>
      <c r="DB100" s="11" t="n">
        <f aca="false">Units!$E99*(1+Inputs!$B$7)^(DB$2-1)</f>
        <v>1931.82437411612</v>
      </c>
      <c r="DC100" s="11" t="n">
        <f aca="false">Units!$E99*(1+Inputs!$B$7)^(DC$2-1)</f>
        <v>1931.82437411612</v>
      </c>
      <c r="DD100" s="11" t="n">
        <f aca="false">Units!$E99*(1+Inputs!$B$7)^(DD$2-1)</f>
        <v>1931.82437411612</v>
      </c>
      <c r="DE100" s="11" t="n">
        <f aca="false">Units!$E99*(1+Inputs!$B$7)^(DE$2-1)</f>
        <v>1931.82437411612</v>
      </c>
      <c r="DF100" s="11" t="n">
        <f aca="false">Units!$E99*(1+Inputs!$B$7)^(DF$2-1)</f>
        <v>1931.82437411612</v>
      </c>
      <c r="DG100" s="11" t="n">
        <f aca="false">Units!$E99*(1+Inputs!$B$7)^(DG$2-1)</f>
        <v>1989.7791053396</v>
      </c>
      <c r="DH100" s="11" t="n">
        <f aca="false">Units!$E99*(1+Inputs!$B$7)^(DH$2-1)</f>
        <v>1989.7791053396</v>
      </c>
      <c r="DI100" s="11" t="n">
        <f aca="false">Units!$E99*(1+Inputs!$B$7)^(DI$2-1)</f>
        <v>1989.7791053396</v>
      </c>
      <c r="DJ100" s="11" t="n">
        <f aca="false">Units!$E99*(1+Inputs!$B$7)^(DJ$2-1)</f>
        <v>1989.7791053396</v>
      </c>
      <c r="DK100" s="11" t="n">
        <f aca="false">Units!$E99*(1+Inputs!$B$7)^(DK$2-1)</f>
        <v>1989.7791053396</v>
      </c>
      <c r="DL100" s="11" t="n">
        <f aca="false">Units!$E99*(1+Inputs!$B$7)^(DL$2-1)</f>
        <v>1989.7791053396</v>
      </c>
      <c r="DM100" s="11" t="n">
        <f aca="false">Units!$E99*(1+Inputs!$B$7)^(DM$2-1)</f>
        <v>1989.7791053396</v>
      </c>
      <c r="DN100" s="11" t="n">
        <f aca="false">Units!$E99*(1+Inputs!$B$7)^(DN$2-1)</f>
        <v>1989.7791053396</v>
      </c>
      <c r="DO100" s="11" t="n">
        <f aca="false">Units!$E99*(1+Inputs!$B$7)^(DO$2-1)</f>
        <v>1989.7791053396</v>
      </c>
      <c r="DP100" s="11" t="n">
        <f aca="false">Units!$E99*(1+Inputs!$B$7)^(DP$2-1)</f>
        <v>1989.7791053396</v>
      </c>
      <c r="DQ100" s="11" t="n">
        <f aca="false">Units!$E99*(1+Inputs!$B$7)^(DQ$2-1)</f>
        <v>1989.7791053396</v>
      </c>
      <c r="DR100" s="11" t="n">
        <f aca="false">Units!$E99*(1+Inputs!$B$7)^(DR$2-1)</f>
        <v>1989.7791053396</v>
      </c>
      <c r="DS100" s="11" t="n">
        <f aca="false">Units!$E99*(1+Inputs!$B$7)^(DS$2-1)</f>
        <v>2049.47247849979</v>
      </c>
      <c r="DT100" s="11" t="n">
        <f aca="false">Units!$E99*(1+Inputs!$B$7)^(DT$2-1)</f>
        <v>2049.47247849979</v>
      </c>
      <c r="DU100" s="11" t="n">
        <f aca="false">Units!$E99*(1+Inputs!$B$7)^(DU$2-1)</f>
        <v>2049.47247849979</v>
      </c>
      <c r="DV100" s="11" t="n">
        <f aca="false">Units!$E99*(1+Inputs!$B$7)^(DV$2-1)</f>
        <v>2049.47247849979</v>
      </c>
      <c r="DW100" s="11" t="n">
        <f aca="false">Units!$E99*(1+Inputs!$B$7)^(DW$2-1)</f>
        <v>2049.47247849979</v>
      </c>
      <c r="DX100" s="11" t="n">
        <f aca="false">Units!$E99*(1+Inputs!$B$7)^(DX$2-1)</f>
        <v>2049.47247849979</v>
      </c>
      <c r="DY100" s="11" t="n">
        <f aca="false">Units!$E99*(1+Inputs!$B$7)^(DY$2-1)</f>
        <v>2049.47247849979</v>
      </c>
      <c r="DZ100" s="11" t="n">
        <f aca="false">Units!$E99*(1+Inputs!$B$7)^(DZ$2-1)</f>
        <v>2049.47247849979</v>
      </c>
      <c r="EA100" s="11" t="n">
        <f aca="false">Units!$E99*(1+Inputs!$B$7)^(EA$2-1)</f>
        <v>2049.47247849979</v>
      </c>
      <c r="EB100" s="11" t="n">
        <f aca="false">Units!$E99*(1+Inputs!$B$7)^(EB$2-1)</f>
        <v>2049.47247849979</v>
      </c>
      <c r="EC100" s="11" t="n">
        <f aca="false">Units!$E99*(1+Inputs!$B$7)^(EC$2-1)</f>
        <v>2049.47247849979</v>
      </c>
      <c r="ED100" s="11" t="n">
        <f aca="false">Units!$E99*(1+Inputs!$B$7)^(ED$2-1)</f>
        <v>2049.47247849979</v>
      </c>
    </row>
    <row r="101" customFormat="false" ht="15" hidden="false" customHeight="false" outlineLevel="0" collapsed="false">
      <c r="A101" s="22" t="n">
        <f aca="false">Units!A100</f>
        <v>409</v>
      </c>
      <c r="B101" s="23"/>
      <c r="C101" s="11" t="n">
        <f aca="false">Units!$E100*(1+Inputs!$B$7)^(C$2-1)</f>
        <v>1525</v>
      </c>
      <c r="D101" s="11" t="n">
        <f aca="false">Units!$E100*(1+Inputs!$B$7)^(D$2-1)</f>
        <v>1525</v>
      </c>
      <c r="E101" s="11" t="n">
        <f aca="false">Units!$E100*(1+Inputs!$B$7)^(E$2-1)</f>
        <v>1525</v>
      </c>
      <c r="F101" s="11" t="n">
        <f aca="false">Units!$E100*(1+Inputs!$B$7)^(F$2-1)</f>
        <v>1525</v>
      </c>
      <c r="G101" s="11" t="n">
        <f aca="false">Units!$E100*(1+Inputs!$B$7)^(G$2-1)</f>
        <v>1525</v>
      </c>
      <c r="H101" s="11" t="n">
        <f aca="false">Units!$E100*(1+Inputs!$B$7)^(H$2-1)</f>
        <v>1525</v>
      </c>
      <c r="I101" s="11" t="n">
        <f aca="false">Units!$E100*(1+Inputs!$B$7)^(I$2-1)</f>
        <v>1525</v>
      </c>
      <c r="J101" s="11" t="n">
        <f aca="false">Units!$E100*(1+Inputs!$B$7)^(J$2-1)</f>
        <v>1525</v>
      </c>
      <c r="K101" s="11" t="n">
        <f aca="false">Units!$E100*(1+Inputs!$B$7)^(K$2-1)</f>
        <v>1525</v>
      </c>
      <c r="L101" s="11" t="n">
        <f aca="false">Units!$E100*(1+Inputs!$B$7)^(L$2-1)</f>
        <v>1525</v>
      </c>
      <c r="M101" s="11" t="n">
        <f aca="false">Units!$E100*(1+Inputs!$B$7)^(M$2-1)</f>
        <v>1525</v>
      </c>
      <c r="N101" s="11" t="n">
        <f aca="false">Units!$E100*(1+Inputs!$B$7)^(N$2-1)</f>
        <v>1525</v>
      </c>
      <c r="O101" s="11" t="n">
        <f aca="false">Units!$E100*(1+Inputs!$B$7)^(O$2-1)</f>
        <v>1570.75</v>
      </c>
      <c r="P101" s="11" t="n">
        <f aca="false">Units!$E100*(1+Inputs!$B$7)^(P$2-1)</f>
        <v>1570.75</v>
      </c>
      <c r="Q101" s="11" t="n">
        <f aca="false">Units!$E100*(1+Inputs!$B$7)^(Q$2-1)</f>
        <v>1570.75</v>
      </c>
      <c r="R101" s="11" t="n">
        <f aca="false">Units!$E100*(1+Inputs!$B$7)^(R$2-1)</f>
        <v>1570.75</v>
      </c>
      <c r="S101" s="11" t="n">
        <f aca="false">Units!$E100*(1+Inputs!$B$7)^(S$2-1)</f>
        <v>1570.75</v>
      </c>
      <c r="T101" s="11" t="n">
        <f aca="false">Units!$E100*(1+Inputs!$B$7)^(T$2-1)</f>
        <v>1570.75</v>
      </c>
      <c r="U101" s="11" t="n">
        <f aca="false">Units!$E100*(1+Inputs!$B$7)^(U$2-1)</f>
        <v>1570.75</v>
      </c>
      <c r="V101" s="11" t="n">
        <f aca="false">Units!$E100*(1+Inputs!$B$7)^(V$2-1)</f>
        <v>1570.75</v>
      </c>
      <c r="W101" s="11" t="n">
        <f aca="false">Units!$E100*(1+Inputs!$B$7)^(W$2-1)</f>
        <v>1570.75</v>
      </c>
      <c r="X101" s="11" t="n">
        <f aca="false">Units!$E100*(1+Inputs!$B$7)^(X$2-1)</f>
        <v>1570.75</v>
      </c>
      <c r="Y101" s="11" t="n">
        <f aca="false">Units!$E100*(1+Inputs!$B$7)^(Y$2-1)</f>
        <v>1570.75</v>
      </c>
      <c r="Z101" s="11" t="n">
        <f aca="false">Units!$E100*(1+Inputs!$B$7)^(Z$2-1)</f>
        <v>1570.75</v>
      </c>
      <c r="AA101" s="11" t="n">
        <f aca="false">Units!$E100*(1+Inputs!$B$7)^(AA$2-1)</f>
        <v>1617.8725</v>
      </c>
      <c r="AB101" s="11" t="n">
        <f aca="false">Units!$E100*(1+Inputs!$B$7)^(AB$2-1)</f>
        <v>1617.8725</v>
      </c>
      <c r="AC101" s="11" t="n">
        <f aca="false">Units!$E100*(1+Inputs!$B$7)^(AC$2-1)</f>
        <v>1617.8725</v>
      </c>
      <c r="AD101" s="11" t="n">
        <f aca="false">Units!$E100*(1+Inputs!$B$7)^(AD$2-1)</f>
        <v>1617.8725</v>
      </c>
      <c r="AE101" s="11" t="n">
        <f aca="false">Units!$E100*(1+Inputs!$B$7)^(AE$2-1)</f>
        <v>1617.8725</v>
      </c>
      <c r="AF101" s="11" t="n">
        <f aca="false">Units!$E100*(1+Inputs!$B$7)^(AF$2-1)</f>
        <v>1617.8725</v>
      </c>
      <c r="AG101" s="11" t="n">
        <f aca="false">Units!$E100*(1+Inputs!$B$7)^(AG$2-1)</f>
        <v>1617.8725</v>
      </c>
      <c r="AH101" s="11" t="n">
        <f aca="false">Units!$E100*(1+Inputs!$B$7)^(AH$2-1)</f>
        <v>1617.8725</v>
      </c>
      <c r="AI101" s="11" t="n">
        <f aca="false">Units!$E100*(1+Inputs!$B$7)^(AI$2-1)</f>
        <v>1617.8725</v>
      </c>
      <c r="AJ101" s="11" t="n">
        <f aca="false">Units!$E100*(1+Inputs!$B$7)^(AJ$2-1)</f>
        <v>1617.8725</v>
      </c>
      <c r="AK101" s="11" t="n">
        <f aca="false">Units!$E100*(1+Inputs!$B$7)^(AK$2-1)</f>
        <v>1617.8725</v>
      </c>
      <c r="AL101" s="11" t="n">
        <f aca="false">Units!$E100*(1+Inputs!$B$7)^(AL$2-1)</f>
        <v>1617.8725</v>
      </c>
      <c r="AM101" s="11" t="n">
        <f aca="false">Units!$E100*(1+Inputs!$B$7)^(AM$2-1)</f>
        <v>1666.408675</v>
      </c>
      <c r="AN101" s="11" t="n">
        <f aca="false">Units!$E100*(1+Inputs!$B$7)^(AN$2-1)</f>
        <v>1666.408675</v>
      </c>
      <c r="AO101" s="11" t="n">
        <f aca="false">Units!$E100*(1+Inputs!$B$7)^(AO$2-1)</f>
        <v>1666.408675</v>
      </c>
      <c r="AP101" s="11" t="n">
        <f aca="false">Units!$E100*(1+Inputs!$B$7)^(AP$2-1)</f>
        <v>1666.408675</v>
      </c>
      <c r="AQ101" s="11" t="n">
        <f aca="false">Units!$E100*(1+Inputs!$B$7)^(AQ$2-1)</f>
        <v>1666.408675</v>
      </c>
      <c r="AR101" s="11" t="n">
        <f aca="false">Units!$E100*(1+Inputs!$B$7)^(AR$2-1)</f>
        <v>1666.408675</v>
      </c>
      <c r="AS101" s="11" t="n">
        <f aca="false">Units!$E100*(1+Inputs!$B$7)^(AS$2-1)</f>
        <v>1666.408675</v>
      </c>
      <c r="AT101" s="11" t="n">
        <f aca="false">Units!$E100*(1+Inputs!$B$7)^(AT$2-1)</f>
        <v>1666.408675</v>
      </c>
      <c r="AU101" s="11" t="n">
        <f aca="false">Units!$E100*(1+Inputs!$B$7)^(AU$2-1)</f>
        <v>1666.408675</v>
      </c>
      <c r="AV101" s="11" t="n">
        <f aca="false">Units!$E100*(1+Inputs!$B$7)^(AV$2-1)</f>
        <v>1666.408675</v>
      </c>
      <c r="AW101" s="11" t="n">
        <f aca="false">Units!$E100*(1+Inputs!$B$7)^(AW$2-1)</f>
        <v>1666.408675</v>
      </c>
      <c r="AX101" s="11" t="n">
        <f aca="false">Units!$E100*(1+Inputs!$B$7)^(AX$2-1)</f>
        <v>1666.408675</v>
      </c>
      <c r="AY101" s="11" t="n">
        <f aca="false">Units!$E100*(1+Inputs!$B$7)^(AY$2-1)</f>
        <v>1716.40093525</v>
      </c>
      <c r="AZ101" s="11" t="n">
        <f aca="false">Units!$E100*(1+Inputs!$B$7)^(AZ$2-1)</f>
        <v>1716.40093525</v>
      </c>
      <c r="BA101" s="11" t="n">
        <f aca="false">Units!$E100*(1+Inputs!$B$7)^(BA$2-1)</f>
        <v>1716.40093525</v>
      </c>
      <c r="BB101" s="11" t="n">
        <f aca="false">Units!$E100*(1+Inputs!$B$7)^(BB$2-1)</f>
        <v>1716.40093525</v>
      </c>
      <c r="BC101" s="11" t="n">
        <f aca="false">Units!$E100*(1+Inputs!$B$7)^(BC$2-1)</f>
        <v>1716.40093525</v>
      </c>
      <c r="BD101" s="11" t="n">
        <f aca="false">Units!$E100*(1+Inputs!$B$7)^(BD$2-1)</f>
        <v>1716.40093525</v>
      </c>
      <c r="BE101" s="11" t="n">
        <f aca="false">Units!$E100*(1+Inputs!$B$7)^(BE$2-1)</f>
        <v>1716.40093525</v>
      </c>
      <c r="BF101" s="11" t="n">
        <f aca="false">Units!$E100*(1+Inputs!$B$7)^(BF$2-1)</f>
        <v>1716.40093525</v>
      </c>
      <c r="BG101" s="11" t="n">
        <f aca="false">Units!$E100*(1+Inputs!$B$7)^(BG$2-1)</f>
        <v>1716.40093525</v>
      </c>
      <c r="BH101" s="11" t="n">
        <f aca="false">Units!$E100*(1+Inputs!$B$7)^(BH$2-1)</f>
        <v>1716.40093525</v>
      </c>
      <c r="BI101" s="11" t="n">
        <f aca="false">Units!$E100*(1+Inputs!$B$7)^(BI$2-1)</f>
        <v>1716.40093525</v>
      </c>
      <c r="BJ101" s="11" t="n">
        <f aca="false">Units!$E100*(1+Inputs!$B$7)^(BJ$2-1)</f>
        <v>1716.40093525</v>
      </c>
      <c r="BK101" s="11" t="n">
        <f aca="false">Units!$E100*(1+Inputs!$B$7)^(BK$2-1)</f>
        <v>1767.8929633075</v>
      </c>
      <c r="BL101" s="11" t="n">
        <f aca="false">Units!$E100*(1+Inputs!$B$7)^(BL$2-1)</f>
        <v>1767.8929633075</v>
      </c>
      <c r="BM101" s="11" t="n">
        <f aca="false">Units!$E100*(1+Inputs!$B$7)^(BM$2-1)</f>
        <v>1767.8929633075</v>
      </c>
      <c r="BN101" s="11" t="n">
        <f aca="false">Units!$E100*(1+Inputs!$B$7)^(BN$2-1)</f>
        <v>1767.8929633075</v>
      </c>
      <c r="BO101" s="11" t="n">
        <f aca="false">Units!$E100*(1+Inputs!$B$7)^(BO$2-1)</f>
        <v>1767.8929633075</v>
      </c>
      <c r="BP101" s="11" t="n">
        <f aca="false">Units!$E100*(1+Inputs!$B$7)^(BP$2-1)</f>
        <v>1767.8929633075</v>
      </c>
      <c r="BQ101" s="11" t="n">
        <f aca="false">Units!$E100*(1+Inputs!$B$7)^(BQ$2-1)</f>
        <v>1767.8929633075</v>
      </c>
      <c r="BR101" s="11" t="n">
        <f aca="false">Units!$E100*(1+Inputs!$B$7)^(BR$2-1)</f>
        <v>1767.8929633075</v>
      </c>
      <c r="BS101" s="11" t="n">
        <f aca="false">Units!$E100*(1+Inputs!$B$7)^(BS$2-1)</f>
        <v>1767.8929633075</v>
      </c>
      <c r="BT101" s="11" t="n">
        <f aca="false">Units!$E100*(1+Inputs!$B$7)^(BT$2-1)</f>
        <v>1767.8929633075</v>
      </c>
      <c r="BU101" s="11" t="n">
        <f aca="false">Units!$E100*(1+Inputs!$B$7)^(BU$2-1)</f>
        <v>1767.8929633075</v>
      </c>
      <c r="BV101" s="11" t="n">
        <f aca="false">Units!$E100*(1+Inputs!$B$7)^(BV$2-1)</f>
        <v>1767.8929633075</v>
      </c>
      <c r="BW101" s="11" t="n">
        <f aca="false">Units!$E100*(1+Inputs!$B$7)^(BW$2-1)</f>
        <v>1820.92975220673</v>
      </c>
      <c r="BX101" s="11" t="n">
        <f aca="false">Units!$E100*(1+Inputs!$B$7)^(BX$2-1)</f>
        <v>1820.92975220673</v>
      </c>
      <c r="BY101" s="11" t="n">
        <f aca="false">Units!$E100*(1+Inputs!$B$7)^(BY$2-1)</f>
        <v>1820.92975220673</v>
      </c>
      <c r="BZ101" s="11" t="n">
        <f aca="false">Units!$E100*(1+Inputs!$B$7)^(BZ$2-1)</f>
        <v>1820.92975220673</v>
      </c>
      <c r="CA101" s="11" t="n">
        <f aca="false">Units!$E100*(1+Inputs!$B$7)^(CA$2-1)</f>
        <v>1820.92975220673</v>
      </c>
      <c r="CB101" s="11" t="n">
        <f aca="false">Units!$E100*(1+Inputs!$B$7)^(CB$2-1)</f>
        <v>1820.92975220673</v>
      </c>
      <c r="CC101" s="11" t="n">
        <f aca="false">Units!$E100*(1+Inputs!$B$7)^(CC$2-1)</f>
        <v>1820.92975220673</v>
      </c>
      <c r="CD101" s="11" t="n">
        <f aca="false">Units!$E100*(1+Inputs!$B$7)^(CD$2-1)</f>
        <v>1820.92975220673</v>
      </c>
      <c r="CE101" s="11" t="n">
        <f aca="false">Units!$E100*(1+Inputs!$B$7)^(CE$2-1)</f>
        <v>1820.92975220673</v>
      </c>
      <c r="CF101" s="11" t="n">
        <f aca="false">Units!$E100*(1+Inputs!$B$7)^(CF$2-1)</f>
        <v>1820.92975220673</v>
      </c>
      <c r="CG101" s="11" t="n">
        <f aca="false">Units!$E100*(1+Inputs!$B$7)^(CG$2-1)</f>
        <v>1820.92975220673</v>
      </c>
      <c r="CH101" s="11" t="n">
        <f aca="false">Units!$E100*(1+Inputs!$B$7)^(CH$2-1)</f>
        <v>1820.92975220673</v>
      </c>
      <c r="CI101" s="11" t="n">
        <f aca="false">Units!$E100*(1+Inputs!$B$7)^(CI$2-1)</f>
        <v>1875.55764477293</v>
      </c>
      <c r="CJ101" s="11" t="n">
        <f aca="false">Units!$E100*(1+Inputs!$B$7)^(CJ$2-1)</f>
        <v>1875.55764477293</v>
      </c>
      <c r="CK101" s="11" t="n">
        <f aca="false">Units!$E100*(1+Inputs!$B$7)^(CK$2-1)</f>
        <v>1875.55764477293</v>
      </c>
      <c r="CL101" s="11" t="n">
        <f aca="false">Units!$E100*(1+Inputs!$B$7)^(CL$2-1)</f>
        <v>1875.55764477293</v>
      </c>
      <c r="CM101" s="11" t="n">
        <f aca="false">Units!$E100*(1+Inputs!$B$7)^(CM$2-1)</f>
        <v>1875.55764477293</v>
      </c>
      <c r="CN101" s="11" t="n">
        <f aca="false">Units!$E100*(1+Inputs!$B$7)^(CN$2-1)</f>
        <v>1875.55764477293</v>
      </c>
      <c r="CO101" s="11" t="n">
        <f aca="false">Units!$E100*(1+Inputs!$B$7)^(CO$2-1)</f>
        <v>1875.55764477293</v>
      </c>
      <c r="CP101" s="11" t="n">
        <f aca="false">Units!$E100*(1+Inputs!$B$7)^(CP$2-1)</f>
        <v>1875.55764477293</v>
      </c>
      <c r="CQ101" s="11" t="n">
        <f aca="false">Units!$E100*(1+Inputs!$B$7)^(CQ$2-1)</f>
        <v>1875.55764477293</v>
      </c>
      <c r="CR101" s="11" t="n">
        <f aca="false">Units!$E100*(1+Inputs!$B$7)^(CR$2-1)</f>
        <v>1875.55764477293</v>
      </c>
      <c r="CS101" s="11" t="n">
        <f aca="false">Units!$E100*(1+Inputs!$B$7)^(CS$2-1)</f>
        <v>1875.55764477293</v>
      </c>
      <c r="CT101" s="11" t="n">
        <f aca="false">Units!$E100*(1+Inputs!$B$7)^(CT$2-1)</f>
        <v>1875.55764477293</v>
      </c>
      <c r="CU101" s="11" t="n">
        <f aca="false">Units!$E100*(1+Inputs!$B$7)^(CU$2-1)</f>
        <v>1931.82437411612</v>
      </c>
      <c r="CV101" s="11" t="n">
        <f aca="false">Units!$E100*(1+Inputs!$B$7)^(CV$2-1)</f>
        <v>1931.82437411612</v>
      </c>
      <c r="CW101" s="11" t="n">
        <f aca="false">Units!$E100*(1+Inputs!$B$7)^(CW$2-1)</f>
        <v>1931.82437411612</v>
      </c>
      <c r="CX101" s="11" t="n">
        <f aca="false">Units!$E100*(1+Inputs!$B$7)^(CX$2-1)</f>
        <v>1931.82437411612</v>
      </c>
      <c r="CY101" s="11" t="n">
        <f aca="false">Units!$E100*(1+Inputs!$B$7)^(CY$2-1)</f>
        <v>1931.82437411612</v>
      </c>
      <c r="CZ101" s="11" t="n">
        <f aca="false">Units!$E100*(1+Inputs!$B$7)^(CZ$2-1)</f>
        <v>1931.82437411612</v>
      </c>
      <c r="DA101" s="11" t="n">
        <f aca="false">Units!$E100*(1+Inputs!$B$7)^(DA$2-1)</f>
        <v>1931.82437411612</v>
      </c>
      <c r="DB101" s="11" t="n">
        <f aca="false">Units!$E100*(1+Inputs!$B$7)^(DB$2-1)</f>
        <v>1931.82437411612</v>
      </c>
      <c r="DC101" s="11" t="n">
        <f aca="false">Units!$E100*(1+Inputs!$B$7)^(DC$2-1)</f>
        <v>1931.82437411612</v>
      </c>
      <c r="DD101" s="11" t="n">
        <f aca="false">Units!$E100*(1+Inputs!$B$7)^(DD$2-1)</f>
        <v>1931.82437411612</v>
      </c>
      <c r="DE101" s="11" t="n">
        <f aca="false">Units!$E100*(1+Inputs!$B$7)^(DE$2-1)</f>
        <v>1931.82437411612</v>
      </c>
      <c r="DF101" s="11" t="n">
        <f aca="false">Units!$E100*(1+Inputs!$B$7)^(DF$2-1)</f>
        <v>1931.82437411612</v>
      </c>
      <c r="DG101" s="11" t="n">
        <f aca="false">Units!$E100*(1+Inputs!$B$7)^(DG$2-1)</f>
        <v>1989.7791053396</v>
      </c>
      <c r="DH101" s="11" t="n">
        <f aca="false">Units!$E100*(1+Inputs!$B$7)^(DH$2-1)</f>
        <v>1989.7791053396</v>
      </c>
      <c r="DI101" s="11" t="n">
        <f aca="false">Units!$E100*(1+Inputs!$B$7)^(DI$2-1)</f>
        <v>1989.7791053396</v>
      </c>
      <c r="DJ101" s="11" t="n">
        <f aca="false">Units!$E100*(1+Inputs!$B$7)^(DJ$2-1)</f>
        <v>1989.7791053396</v>
      </c>
      <c r="DK101" s="11" t="n">
        <f aca="false">Units!$E100*(1+Inputs!$B$7)^(DK$2-1)</f>
        <v>1989.7791053396</v>
      </c>
      <c r="DL101" s="11" t="n">
        <f aca="false">Units!$E100*(1+Inputs!$B$7)^(DL$2-1)</f>
        <v>1989.7791053396</v>
      </c>
      <c r="DM101" s="11" t="n">
        <f aca="false">Units!$E100*(1+Inputs!$B$7)^(DM$2-1)</f>
        <v>1989.7791053396</v>
      </c>
      <c r="DN101" s="11" t="n">
        <f aca="false">Units!$E100*(1+Inputs!$B$7)^(DN$2-1)</f>
        <v>1989.7791053396</v>
      </c>
      <c r="DO101" s="11" t="n">
        <f aca="false">Units!$E100*(1+Inputs!$B$7)^(DO$2-1)</f>
        <v>1989.7791053396</v>
      </c>
      <c r="DP101" s="11" t="n">
        <f aca="false">Units!$E100*(1+Inputs!$B$7)^(DP$2-1)</f>
        <v>1989.7791053396</v>
      </c>
      <c r="DQ101" s="11" t="n">
        <f aca="false">Units!$E100*(1+Inputs!$B$7)^(DQ$2-1)</f>
        <v>1989.7791053396</v>
      </c>
      <c r="DR101" s="11" t="n">
        <f aca="false">Units!$E100*(1+Inputs!$B$7)^(DR$2-1)</f>
        <v>1989.7791053396</v>
      </c>
      <c r="DS101" s="11" t="n">
        <f aca="false">Units!$E100*(1+Inputs!$B$7)^(DS$2-1)</f>
        <v>2049.47247849979</v>
      </c>
      <c r="DT101" s="11" t="n">
        <f aca="false">Units!$E100*(1+Inputs!$B$7)^(DT$2-1)</f>
        <v>2049.47247849979</v>
      </c>
      <c r="DU101" s="11" t="n">
        <f aca="false">Units!$E100*(1+Inputs!$B$7)^(DU$2-1)</f>
        <v>2049.47247849979</v>
      </c>
      <c r="DV101" s="11" t="n">
        <f aca="false">Units!$E100*(1+Inputs!$B$7)^(DV$2-1)</f>
        <v>2049.47247849979</v>
      </c>
      <c r="DW101" s="11" t="n">
        <f aca="false">Units!$E100*(1+Inputs!$B$7)^(DW$2-1)</f>
        <v>2049.47247849979</v>
      </c>
      <c r="DX101" s="11" t="n">
        <f aca="false">Units!$E100*(1+Inputs!$B$7)^(DX$2-1)</f>
        <v>2049.47247849979</v>
      </c>
      <c r="DY101" s="11" t="n">
        <f aca="false">Units!$E100*(1+Inputs!$B$7)^(DY$2-1)</f>
        <v>2049.47247849979</v>
      </c>
      <c r="DZ101" s="11" t="n">
        <f aca="false">Units!$E100*(1+Inputs!$B$7)^(DZ$2-1)</f>
        <v>2049.47247849979</v>
      </c>
      <c r="EA101" s="11" t="n">
        <f aca="false">Units!$E100*(1+Inputs!$B$7)^(EA$2-1)</f>
        <v>2049.47247849979</v>
      </c>
      <c r="EB101" s="11" t="n">
        <f aca="false">Units!$E100*(1+Inputs!$B$7)^(EB$2-1)</f>
        <v>2049.47247849979</v>
      </c>
      <c r="EC101" s="11" t="n">
        <f aca="false">Units!$E100*(1+Inputs!$B$7)^(EC$2-1)</f>
        <v>2049.47247849979</v>
      </c>
      <c r="ED101" s="11" t="n">
        <f aca="false">Units!$E100*(1+Inputs!$B$7)^(ED$2-1)</f>
        <v>2049.47247849979</v>
      </c>
    </row>
    <row r="102" customFormat="false" ht="15" hidden="false" customHeight="false" outlineLevel="0" collapsed="false">
      <c r="A102" s="22" t="n">
        <f aca="false">Units!A101</f>
        <v>410</v>
      </c>
      <c r="B102" s="23"/>
      <c r="C102" s="11" t="n">
        <f aca="false">Units!$E101*(1+Inputs!$B$7)^(C$2-1)</f>
        <v>1525</v>
      </c>
      <c r="D102" s="11" t="n">
        <f aca="false">Units!$E101*(1+Inputs!$B$7)^(D$2-1)</f>
        <v>1525</v>
      </c>
      <c r="E102" s="11" t="n">
        <f aca="false">Units!$E101*(1+Inputs!$B$7)^(E$2-1)</f>
        <v>1525</v>
      </c>
      <c r="F102" s="11" t="n">
        <f aca="false">Units!$E101*(1+Inputs!$B$7)^(F$2-1)</f>
        <v>1525</v>
      </c>
      <c r="G102" s="11" t="n">
        <f aca="false">Units!$E101*(1+Inputs!$B$7)^(G$2-1)</f>
        <v>1525</v>
      </c>
      <c r="H102" s="11" t="n">
        <f aca="false">Units!$E101*(1+Inputs!$B$7)^(H$2-1)</f>
        <v>1525</v>
      </c>
      <c r="I102" s="11" t="n">
        <f aca="false">Units!$E101*(1+Inputs!$B$7)^(I$2-1)</f>
        <v>1525</v>
      </c>
      <c r="J102" s="11" t="n">
        <f aca="false">Units!$E101*(1+Inputs!$B$7)^(J$2-1)</f>
        <v>1525</v>
      </c>
      <c r="K102" s="11" t="n">
        <f aca="false">Units!$E101*(1+Inputs!$B$7)^(K$2-1)</f>
        <v>1525</v>
      </c>
      <c r="L102" s="11" t="n">
        <f aca="false">Units!$E101*(1+Inputs!$B$7)^(L$2-1)</f>
        <v>1525</v>
      </c>
      <c r="M102" s="11" t="n">
        <f aca="false">Units!$E101*(1+Inputs!$B$7)^(M$2-1)</f>
        <v>1525</v>
      </c>
      <c r="N102" s="11" t="n">
        <f aca="false">Units!$E101*(1+Inputs!$B$7)^(N$2-1)</f>
        <v>1525</v>
      </c>
      <c r="O102" s="11" t="n">
        <f aca="false">Units!$E101*(1+Inputs!$B$7)^(O$2-1)</f>
        <v>1570.75</v>
      </c>
      <c r="P102" s="11" t="n">
        <f aca="false">Units!$E101*(1+Inputs!$B$7)^(P$2-1)</f>
        <v>1570.75</v>
      </c>
      <c r="Q102" s="11" t="n">
        <f aca="false">Units!$E101*(1+Inputs!$B$7)^(Q$2-1)</f>
        <v>1570.75</v>
      </c>
      <c r="R102" s="11" t="n">
        <f aca="false">Units!$E101*(1+Inputs!$B$7)^(R$2-1)</f>
        <v>1570.75</v>
      </c>
      <c r="S102" s="11" t="n">
        <f aca="false">Units!$E101*(1+Inputs!$B$7)^(S$2-1)</f>
        <v>1570.75</v>
      </c>
      <c r="T102" s="11" t="n">
        <f aca="false">Units!$E101*(1+Inputs!$B$7)^(T$2-1)</f>
        <v>1570.75</v>
      </c>
      <c r="U102" s="11" t="n">
        <f aca="false">Units!$E101*(1+Inputs!$B$7)^(U$2-1)</f>
        <v>1570.75</v>
      </c>
      <c r="V102" s="11" t="n">
        <f aca="false">Units!$E101*(1+Inputs!$B$7)^(V$2-1)</f>
        <v>1570.75</v>
      </c>
      <c r="W102" s="11" t="n">
        <f aca="false">Units!$E101*(1+Inputs!$B$7)^(W$2-1)</f>
        <v>1570.75</v>
      </c>
      <c r="X102" s="11" t="n">
        <f aca="false">Units!$E101*(1+Inputs!$B$7)^(X$2-1)</f>
        <v>1570.75</v>
      </c>
      <c r="Y102" s="11" t="n">
        <f aca="false">Units!$E101*(1+Inputs!$B$7)^(Y$2-1)</f>
        <v>1570.75</v>
      </c>
      <c r="Z102" s="11" t="n">
        <f aca="false">Units!$E101*(1+Inputs!$B$7)^(Z$2-1)</f>
        <v>1570.75</v>
      </c>
      <c r="AA102" s="11" t="n">
        <f aca="false">Units!$E101*(1+Inputs!$B$7)^(AA$2-1)</f>
        <v>1617.8725</v>
      </c>
      <c r="AB102" s="11" t="n">
        <f aca="false">Units!$E101*(1+Inputs!$B$7)^(AB$2-1)</f>
        <v>1617.8725</v>
      </c>
      <c r="AC102" s="11" t="n">
        <f aca="false">Units!$E101*(1+Inputs!$B$7)^(AC$2-1)</f>
        <v>1617.8725</v>
      </c>
      <c r="AD102" s="11" t="n">
        <f aca="false">Units!$E101*(1+Inputs!$B$7)^(AD$2-1)</f>
        <v>1617.8725</v>
      </c>
      <c r="AE102" s="11" t="n">
        <f aca="false">Units!$E101*(1+Inputs!$B$7)^(AE$2-1)</f>
        <v>1617.8725</v>
      </c>
      <c r="AF102" s="11" t="n">
        <f aca="false">Units!$E101*(1+Inputs!$B$7)^(AF$2-1)</f>
        <v>1617.8725</v>
      </c>
      <c r="AG102" s="11" t="n">
        <f aca="false">Units!$E101*(1+Inputs!$B$7)^(AG$2-1)</f>
        <v>1617.8725</v>
      </c>
      <c r="AH102" s="11" t="n">
        <f aca="false">Units!$E101*(1+Inputs!$B$7)^(AH$2-1)</f>
        <v>1617.8725</v>
      </c>
      <c r="AI102" s="11" t="n">
        <f aca="false">Units!$E101*(1+Inputs!$B$7)^(AI$2-1)</f>
        <v>1617.8725</v>
      </c>
      <c r="AJ102" s="11" t="n">
        <f aca="false">Units!$E101*(1+Inputs!$B$7)^(AJ$2-1)</f>
        <v>1617.8725</v>
      </c>
      <c r="AK102" s="11" t="n">
        <f aca="false">Units!$E101*(1+Inputs!$B$7)^(AK$2-1)</f>
        <v>1617.8725</v>
      </c>
      <c r="AL102" s="11" t="n">
        <f aca="false">Units!$E101*(1+Inputs!$B$7)^(AL$2-1)</f>
        <v>1617.8725</v>
      </c>
      <c r="AM102" s="11" t="n">
        <f aca="false">Units!$E101*(1+Inputs!$B$7)^(AM$2-1)</f>
        <v>1666.408675</v>
      </c>
      <c r="AN102" s="11" t="n">
        <f aca="false">Units!$E101*(1+Inputs!$B$7)^(AN$2-1)</f>
        <v>1666.408675</v>
      </c>
      <c r="AO102" s="11" t="n">
        <f aca="false">Units!$E101*(1+Inputs!$B$7)^(AO$2-1)</f>
        <v>1666.408675</v>
      </c>
      <c r="AP102" s="11" t="n">
        <f aca="false">Units!$E101*(1+Inputs!$B$7)^(AP$2-1)</f>
        <v>1666.408675</v>
      </c>
      <c r="AQ102" s="11" t="n">
        <f aca="false">Units!$E101*(1+Inputs!$B$7)^(AQ$2-1)</f>
        <v>1666.408675</v>
      </c>
      <c r="AR102" s="11" t="n">
        <f aca="false">Units!$E101*(1+Inputs!$B$7)^(AR$2-1)</f>
        <v>1666.408675</v>
      </c>
      <c r="AS102" s="11" t="n">
        <f aca="false">Units!$E101*(1+Inputs!$B$7)^(AS$2-1)</f>
        <v>1666.408675</v>
      </c>
      <c r="AT102" s="11" t="n">
        <f aca="false">Units!$E101*(1+Inputs!$B$7)^(AT$2-1)</f>
        <v>1666.408675</v>
      </c>
      <c r="AU102" s="11" t="n">
        <f aca="false">Units!$E101*(1+Inputs!$B$7)^(AU$2-1)</f>
        <v>1666.408675</v>
      </c>
      <c r="AV102" s="11" t="n">
        <f aca="false">Units!$E101*(1+Inputs!$B$7)^(AV$2-1)</f>
        <v>1666.408675</v>
      </c>
      <c r="AW102" s="11" t="n">
        <f aca="false">Units!$E101*(1+Inputs!$B$7)^(AW$2-1)</f>
        <v>1666.408675</v>
      </c>
      <c r="AX102" s="11" t="n">
        <f aca="false">Units!$E101*(1+Inputs!$B$7)^(AX$2-1)</f>
        <v>1666.408675</v>
      </c>
      <c r="AY102" s="11" t="n">
        <f aca="false">Units!$E101*(1+Inputs!$B$7)^(AY$2-1)</f>
        <v>1716.40093525</v>
      </c>
      <c r="AZ102" s="11" t="n">
        <f aca="false">Units!$E101*(1+Inputs!$B$7)^(AZ$2-1)</f>
        <v>1716.40093525</v>
      </c>
      <c r="BA102" s="11" t="n">
        <f aca="false">Units!$E101*(1+Inputs!$B$7)^(BA$2-1)</f>
        <v>1716.40093525</v>
      </c>
      <c r="BB102" s="11" t="n">
        <f aca="false">Units!$E101*(1+Inputs!$B$7)^(BB$2-1)</f>
        <v>1716.40093525</v>
      </c>
      <c r="BC102" s="11" t="n">
        <f aca="false">Units!$E101*(1+Inputs!$B$7)^(BC$2-1)</f>
        <v>1716.40093525</v>
      </c>
      <c r="BD102" s="11" t="n">
        <f aca="false">Units!$E101*(1+Inputs!$B$7)^(BD$2-1)</f>
        <v>1716.40093525</v>
      </c>
      <c r="BE102" s="11" t="n">
        <f aca="false">Units!$E101*(1+Inputs!$B$7)^(BE$2-1)</f>
        <v>1716.40093525</v>
      </c>
      <c r="BF102" s="11" t="n">
        <f aca="false">Units!$E101*(1+Inputs!$B$7)^(BF$2-1)</f>
        <v>1716.40093525</v>
      </c>
      <c r="BG102" s="11" t="n">
        <f aca="false">Units!$E101*(1+Inputs!$B$7)^(BG$2-1)</f>
        <v>1716.40093525</v>
      </c>
      <c r="BH102" s="11" t="n">
        <f aca="false">Units!$E101*(1+Inputs!$B$7)^(BH$2-1)</f>
        <v>1716.40093525</v>
      </c>
      <c r="BI102" s="11" t="n">
        <f aca="false">Units!$E101*(1+Inputs!$B$7)^(BI$2-1)</f>
        <v>1716.40093525</v>
      </c>
      <c r="BJ102" s="11" t="n">
        <f aca="false">Units!$E101*(1+Inputs!$B$7)^(BJ$2-1)</f>
        <v>1716.40093525</v>
      </c>
      <c r="BK102" s="11" t="n">
        <f aca="false">Units!$E101*(1+Inputs!$B$7)^(BK$2-1)</f>
        <v>1767.8929633075</v>
      </c>
      <c r="BL102" s="11" t="n">
        <f aca="false">Units!$E101*(1+Inputs!$B$7)^(BL$2-1)</f>
        <v>1767.8929633075</v>
      </c>
      <c r="BM102" s="11" t="n">
        <f aca="false">Units!$E101*(1+Inputs!$B$7)^(BM$2-1)</f>
        <v>1767.8929633075</v>
      </c>
      <c r="BN102" s="11" t="n">
        <f aca="false">Units!$E101*(1+Inputs!$B$7)^(BN$2-1)</f>
        <v>1767.8929633075</v>
      </c>
      <c r="BO102" s="11" t="n">
        <f aca="false">Units!$E101*(1+Inputs!$B$7)^(BO$2-1)</f>
        <v>1767.8929633075</v>
      </c>
      <c r="BP102" s="11" t="n">
        <f aca="false">Units!$E101*(1+Inputs!$B$7)^(BP$2-1)</f>
        <v>1767.8929633075</v>
      </c>
      <c r="BQ102" s="11" t="n">
        <f aca="false">Units!$E101*(1+Inputs!$B$7)^(BQ$2-1)</f>
        <v>1767.8929633075</v>
      </c>
      <c r="BR102" s="11" t="n">
        <f aca="false">Units!$E101*(1+Inputs!$B$7)^(BR$2-1)</f>
        <v>1767.8929633075</v>
      </c>
      <c r="BS102" s="11" t="n">
        <f aca="false">Units!$E101*(1+Inputs!$B$7)^(BS$2-1)</f>
        <v>1767.8929633075</v>
      </c>
      <c r="BT102" s="11" t="n">
        <f aca="false">Units!$E101*(1+Inputs!$B$7)^(BT$2-1)</f>
        <v>1767.8929633075</v>
      </c>
      <c r="BU102" s="11" t="n">
        <f aca="false">Units!$E101*(1+Inputs!$B$7)^(BU$2-1)</f>
        <v>1767.8929633075</v>
      </c>
      <c r="BV102" s="11" t="n">
        <f aca="false">Units!$E101*(1+Inputs!$B$7)^(BV$2-1)</f>
        <v>1767.8929633075</v>
      </c>
      <c r="BW102" s="11" t="n">
        <f aca="false">Units!$E101*(1+Inputs!$B$7)^(BW$2-1)</f>
        <v>1820.92975220673</v>
      </c>
      <c r="BX102" s="11" t="n">
        <f aca="false">Units!$E101*(1+Inputs!$B$7)^(BX$2-1)</f>
        <v>1820.92975220673</v>
      </c>
      <c r="BY102" s="11" t="n">
        <f aca="false">Units!$E101*(1+Inputs!$B$7)^(BY$2-1)</f>
        <v>1820.92975220673</v>
      </c>
      <c r="BZ102" s="11" t="n">
        <f aca="false">Units!$E101*(1+Inputs!$B$7)^(BZ$2-1)</f>
        <v>1820.92975220673</v>
      </c>
      <c r="CA102" s="11" t="n">
        <f aca="false">Units!$E101*(1+Inputs!$B$7)^(CA$2-1)</f>
        <v>1820.92975220673</v>
      </c>
      <c r="CB102" s="11" t="n">
        <f aca="false">Units!$E101*(1+Inputs!$B$7)^(CB$2-1)</f>
        <v>1820.92975220673</v>
      </c>
      <c r="CC102" s="11" t="n">
        <f aca="false">Units!$E101*(1+Inputs!$B$7)^(CC$2-1)</f>
        <v>1820.92975220673</v>
      </c>
      <c r="CD102" s="11" t="n">
        <f aca="false">Units!$E101*(1+Inputs!$B$7)^(CD$2-1)</f>
        <v>1820.92975220673</v>
      </c>
      <c r="CE102" s="11" t="n">
        <f aca="false">Units!$E101*(1+Inputs!$B$7)^(CE$2-1)</f>
        <v>1820.92975220673</v>
      </c>
      <c r="CF102" s="11" t="n">
        <f aca="false">Units!$E101*(1+Inputs!$B$7)^(CF$2-1)</f>
        <v>1820.92975220673</v>
      </c>
      <c r="CG102" s="11" t="n">
        <f aca="false">Units!$E101*(1+Inputs!$B$7)^(CG$2-1)</f>
        <v>1820.92975220673</v>
      </c>
      <c r="CH102" s="11" t="n">
        <f aca="false">Units!$E101*(1+Inputs!$B$7)^(CH$2-1)</f>
        <v>1820.92975220673</v>
      </c>
      <c r="CI102" s="11" t="n">
        <f aca="false">Units!$E101*(1+Inputs!$B$7)^(CI$2-1)</f>
        <v>1875.55764477293</v>
      </c>
      <c r="CJ102" s="11" t="n">
        <f aca="false">Units!$E101*(1+Inputs!$B$7)^(CJ$2-1)</f>
        <v>1875.55764477293</v>
      </c>
      <c r="CK102" s="11" t="n">
        <f aca="false">Units!$E101*(1+Inputs!$B$7)^(CK$2-1)</f>
        <v>1875.55764477293</v>
      </c>
      <c r="CL102" s="11" t="n">
        <f aca="false">Units!$E101*(1+Inputs!$B$7)^(CL$2-1)</f>
        <v>1875.55764477293</v>
      </c>
      <c r="CM102" s="11" t="n">
        <f aca="false">Units!$E101*(1+Inputs!$B$7)^(CM$2-1)</f>
        <v>1875.55764477293</v>
      </c>
      <c r="CN102" s="11" t="n">
        <f aca="false">Units!$E101*(1+Inputs!$B$7)^(CN$2-1)</f>
        <v>1875.55764477293</v>
      </c>
      <c r="CO102" s="11" t="n">
        <f aca="false">Units!$E101*(1+Inputs!$B$7)^(CO$2-1)</f>
        <v>1875.55764477293</v>
      </c>
      <c r="CP102" s="11" t="n">
        <f aca="false">Units!$E101*(1+Inputs!$B$7)^(CP$2-1)</f>
        <v>1875.55764477293</v>
      </c>
      <c r="CQ102" s="11" t="n">
        <f aca="false">Units!$E101*(1+Inputs!$B$7)^(CQ$2-1)</f>
        <v>1875.55764477293</v>
      </c>
      <c r="CR102" s="11" t="n">
        <f aca="false">Units!$E101*(1+Inputs!$B$7)^(CR$2-1)</f>
        <v>1875.55764477293</v>
      </c>
      <c r="CS102" s="11" t="n">
        <f aca="false">Units!$E101*(1+Inputs!$B$7)^(CS$2-1)</f>
        <v>1875.55764477293</v>
      </c>
      <c r="CT102" s="11" t="n">
        <f aca="false">Units!$E101*(1+Inputs!$B$7)^(CT$2-1)</f>
        <v>1875.55764477293</v>
      </c>
      <c r="CU102" s="11" t="n">
        <f aca="false">Units!$E101*(1+Inputs!$B$7)^(CU$2-1)</f>
        <v>1931.82437411612</v>
      </c>
      <c r="CV102" s="11" t="n">
        <f aca="false">Units!$E101*(1+Inputs!$B$7)^(CV$2-1)</f>
        <v>1931.82437411612</v>
      </c>
      <c r="CW102" s="11" t="n">
        <f aca="false">Units!$E101*(1+Inputs!$B$7)^(CW$2-1)</f>
        <v>1931.82437411612</v>
      </c>
      <c r="CX102" s="11" t="n">
        <f aca="false">Units!$E101*(1+Inputs!$B$7)^(CX$2-1)</f>
        <v>1931.82437411612</v>
      </c>
      <c r="CY102" s="11" t="n">
        <f aca="false">Units!$E101*(1+Inputs!$B$7)^(CY$2-1)</f>
        <v>1931.82437411612</v>
      </c>
      <c r="CZ102" s="11" t="n">
        <f aca="false">Units!$E101*(1+Inputs!$B$7)^(CZ$2-1)</f>
        <v>1931.82437411612</v>
      </c>
      <c r="DA102" s="11" t="n">
        <f aca="false">Units!$E101*(1+Inputs!$B$7)^(DA$2-1)</f>
        <v>1931.82437411612</v>
      </c>
      <c r="DB102" s="11" t="n">
        <f aca="false">Units!$E101*(1+Inputs!$B$7)^(DB$2-1)</f>
        <v>1931.82437411612</v>
      </c>
      <c r="DC102" s="11" t="n">
        <f aca="false">Units!$E101*(1+Inputs!$B$7)^(DC$2-1)</f>
        <v>1931.82437411612</v>
      </c>
      <c r="DD102" s="11" t="n">
        <f aca="false">Units!$E101*(1+Inputs!$B$7)^(DD$2-1)</f>
        <v>1931.82437411612</v>
      </c>
      <c r="DE102" s="11" t="n">
        <f aca="false">Units!$E101*(1+Inputs!$B$7)^(DE$2-1)</f>
        <v>1931.82437411612</v>
      </c>
      <c r="DF102" s="11" t="n">
        <f aca="false">Units!$E101*(1+Inputs!$B$7)^(DF$2-1)</f>
        <v>1931.82437411612</v>
      </c>
      <c r="DG102" s="11" t="n">
        <f aca="false">Units!$E101*(1+Inputs!$B$7)^(DG$2-1)</f>
        <v>1989.7791053396</v>
      </c>
      <c r="DH102" s="11" t="n">
        <f aca="false">Units!$E101*(1+Inputs!$B$7)^(DH$2-1)</f>
        <v>1989.7791053396</v>
      </c>
      <c r="DI102" s="11" t="n">
        <f aca="false">Units!$E101*(1+Inputs!$B$7)^(DI$2-1)</f>
        <v>1989.7791053396</v>
      </c>
      <c r="DJ102" s="11" t="n">
        <f aca="false">Units!$E101*(1+Inputs!$B$7)^(DJ$2-1)</f>
        <v>1989.7791053396</v>
      </c>
      <c r="DK102" s="11" t="n">
        <f aca="false">Units!$E101*(1+Inputs!$B$7)^(DK$2-1)</f>
        <v>1989.7791053396</v>
      </c>
      <c r="DL102" s="11" t="n">
        <f aca="false">Units!$E101*(1+Inputs!$B$7)^(DL$2-1)</f>
        <v>1989.7791053396</v>
      </c>
      <c r="DM102" s="11" t="n">
        <f aca="false">Units!$E101*(1+Inputs!$B$7)^(DM$2-1)</f>
        <v>1989.7791053396</v>
      </c>
      <c r="DN102" s="11" t="n">
        <f aca="false">Units!$E101*(1+Inputs!$B$7)^(DN$2-1)</f>
        <v>1989.7791053396</v>
      </c>
      <c r="DO102" s="11" t="n">
        <f aca="false">Units!$E101*(1+Inputs!$B$7)^(DO$2-1)</f>
        <v>1989.7791053396</v>
      </c>
      <c r="DP102" s="11" t="n">
        <f aca="false">Units!$E101*(1+Inputs!$B$7)^(DP$2-1)</f>
        <v>1989.7791053396</v>
      </c>
      <c r="DQ102" s="11" t="n">
        <f aca="false">Units!$E101*(1+Inputs!$B$7)^(DQ$2-1)</f>
        <v>1989.7791053396</v>
      </c>
      <c r="DR102" s="11" t="n">
        <f aca="false">Units!$E101*(1+Inputs!$B$7)^(DR$2-1)</f>
        <v>1989.7791053396</v>
      </c>
      <c r="DS102" s="11" t="n">
        <f aca="false">Units!$E101*(1+Inputs!$B$7)^(DS$2-1)</f>
        <v>2049.47247849979</v>
      </c>
      <c r="DT102" s="11" t="n">
        <f aca="false">Units!$E101*(1+Inputs!$B$7)^(DT$2-1)</f>
        <v>2049.47247849979</v>
      </c>
      <c r="DU102" s="11" t="n">
        <f aca="false">Units!$E101*(1+Inputs!$B$7)^(DU$2-1)</f>
        <v>2049.47247849979</v>
      </c>
      <c r="DV102" s="11" t="n">
        <f aca="false">Units!$E101*(1+Inputs!$B$7)^(DV$2-1)</f>
        <v>2049.47247849979</v>
      </c>
      <c r="DW102" s="11" t="n">
        <f aca="false">Units!$E101*(1+Inputs!$B$7)^(DW$2-1)</f>
        <v>2049.47247849979</v>
      </c>
      <c r="DX102" s="11" t="n">
        <f aca="false">Units!$E101*(1+Inputs!$B$7)^(DX$2-1)</f>
        <v>2049.47247849979</v>
      </c>
      <c r="DY102" s="11" t="n">
        <f aca="false">Units!$E101*(1+Inputs!$B$7)^(DY$2-1)</f>
        <v>2049.47247849979</v>
      </c>
      <c r="DZ102" s="11" t="n">
        <f aca="false">Units!$E101*(1+Inputs!$B$7)^(DZ$2-1)</f>
        <v>2049.47247849979</v>
      </c>
      <c r="EA102" s="11" t="n">
        <f aca="false">Units!$E101*(1+Inputs!$B$7)^(EA$2-1)</f>
        <v>2049.47247849979</v>
      </c>
      <c r="EB102" s="11" t="n">
        <f aca="false">Units!$E101*(1+Inputs!$B$7)^(EB$2-1)</f>
        <v>2049.47247849979</v>
      </c>
      <c r="EC102" s="11" t="n">
        <f aca="false">Units!$E101*(1+Inputs!$B$7)^(EC$2-1)</f>
        <v>2049.47247849979</v>
      </c>
      <c r="ED102" s="11" t="n">
        <f aca="false">Units!$E101*(1+Inputs!$B$7)^(ED$2-1)</f>
        <v>2049.47247849979</v>
      </c>
    </row>
    <row r="103" customFormat="false" ht="15" hidden="false" customHeight="false" outlineLevel="0" collapsed="false">
      <c r="A103" s="22" t="n">
        <f aca="false">Units!A102</f>
        <v>411</v>
      </c>
      <c r="B103" s="23"/>
      <c r="C103" s="11" t="n">
        <f aca="false">Units!$E102*(1+Inputs!$B$7)^(C$2-1)</f>
        <v>1525</v>
      </c>
      <c r="D103" s="11" t="n">
        <f aca="false">Units!$E102*(1+Inputs!$B$7)^(D$2-1)</f>
        <v>1525</v>
      </c>
      <c r="E103" s="11" t="n">
        <f aca="false">Units!$E102*(1+Inputs!$B$7)^(E$2-1)</f>
        <v>1525</v>
      </c>
      <c r="F103" s="11" t="n">
        <f aca="false">Units!$E102*(1+Inputs!$B$7)^(F$2-1)</f>
        <v>1525</v>
      </c>
      <c r="G103" s="11" t="n">
        <f aca="false">Units!$E102*(1+Inputs!$B$7)^(G$2-1)</f>
        <v>1525</v>
      </c>
      <c r="H103" s="11" t="n">
        <f aca="false">Units!$E102*(1+Inputs!$B$7)^(H$2-1)</f>
        <v>1525</v>
      </c>
      <c r="I103" s="11" t="n">
        <f aca="false">Units!$E102*(1+Inputs!$B$7)^(I$2-1)</f>
        <v>1525</v>
      </c>
      <c r="J103" s="11" t="n">
        <f aca="false">Units!$E102*(1+Inputs!$B$7)^(J$2-1)</f>
        <v>1525</v>
      </c>
      <c r="K103" s="11" t="n">
        <f aca="false">Units!$E102*(1+Inputs!$B$7)^(K$2-1)</f>
        <v>1525</v>
      </c>
      <c r="L103" s="11" t="n">
        <f aca="false">Units!$E102*(1+Inputs!$B$7)^(L$2-1)</f>
        <v>1525</v>
      </c>
      <c r="M103" s="11" t="n">
        <f aca="false">Units!$E102*(1+Inputs!$B$7)^(M$2-1)</f>
        <v>1525</v>
      </c>
      <c r="N103" s="11" t="n">
        <f aca="false">Units!$E102*(1+Inputs!$B$7)^(N$2-1)</f>
        <v>1525</v>
      </c>
      <c r="O103" s="11" t="n">
        <f aca="false">Units!$E102*(1+Inputs!$B$7)^(O$2-1)</f>
        <v>1570.75</v>
      </c>
      <c r="P103" s="11" t="n">
        <f aca="false">Units!$E102*(1+Inputs!$B$7)^(P$2-1)</f>
        <v>1570.75</v>
      </c>
      <c r="Q103" s="11" t="n">
        <f aca="false">Units!$E102*(1+Inputs!$B$7)^(Q$2-1)</f>
        <v>1570.75</v>
      </c>
      <c r="R103" s="11" t="n">
        <f aca="false">Units!$E102*(1+Inputs!$B$7)^(R$2-1)</f>
        <v>1570.75</v>
      </c>
      <c r="S103" s="11" t="n">
        <f aca="false">Units!$E102*(1+Inputs!$B$7)^(S$2-1)</f>
        <v>1570.75</v>
      </c>
      <c r="T103" s="11" t="n">
        <f aca="false">Units!$E102*(1+Inputs!$B$7)^(T$2-1)</f>
        <v>1570.75</v>
      </c>
      <c r="U103" s="11" t="n">
        <f aca="false">Units!$E102*(1+Inputs!$B$7)^(U$2-1)</f>
        <v>1570.75</v>
      </c>
      <c r="V103" s="11" t="n">
        <f aca="false">Units!$E102*(1+Inputs!$B$7)^(V$2-1)</f>
        <v>1570.75</v>
      </c>
      <c r="W103" s="11" t="n">
        <f aca="false">Units!$E102*(1+Inputs!$B$7)^(W$2-1)</f>
        <v>1570.75</v>
      </c>
      <c r="X103" s="11" t="n">
        <f aca="false">Units!$E102*(1+Inputs!$B$7)^(X$2-1)</f>
        <v>1570.75</v>
      </c>
      <c r="Y103" s="11" t="n">
        <f aca="false">Units!$E102*(1+Inputs!$B$7)^(Y$2-1)</f>
        <v>1570.75</v>
      </c>
      <c r="Z103" s="11" t="n">
        <f aca="false">Units!$E102*(1+Inputs!$B$7)^(Z$2-1)</f>
        <v>1570.75</v>
      </c>
      <c r="AA103" s="11" t="n">
        <f aca="false">Units!$E102*(1+Inputs!$B$7)^(AA$2-1)</f>
        <v>1617.8725</v>
      </c>
      <c r="AB103" s="11" t="n">
        <f aca="false">Units!$E102*(1+Inputs!$B$7)^(AB$2-1)</f>
        <v>1617.8725</v>
      </c>
      <c r="AC103" s="11" t="n">
        <f aca="false">Units!$E102*(1+Inputs!$B$7)^(AC$2-1)</f>
        <v>1617.8725</v>
      </c>
      <c r="AD103" s="11" t="n">
        <f aca="false">Units!$E102*(1+Inputs!$B$7)^(AD$2-1)</f>
        <v>1617.8725</v>
      </c>
      <c r="AE103" s="11" t="n">
        <f aca="false">Units!$E102*(1+Inputs!$B$7)^(AE$2-1)</f>
        <v>1617.8725</v>
      </c>
      <c r="AF103" s="11" t="n">
        <f aca="false">Units!$E102*(1+Inputs!$B$7)^(AF$2-1)</f>
        <v>1617.8725</v>
      </c>
      <c r="AG103" s="11" t="n">
        <f aca="false">Units!$E102*(1+Inputs!$B$7)^(AG$2-1)</f>
        <v>1617.8725</v>
      </c>
      <c r="AH103" s="11" t="n">
        <f aca="false">Units!$E102*(1+Inputs!$B$7)^(AH$2-1)</f>
        <v>1617.8725</v>
      </c>
      <c r="AI103" s="11" t="n">
        <f aca="false">Units!$E102*(1+Inputs!$B$7)^(AI$2-1)</f>
        <v>1617.8725</v>
      </c>
      <c r="AJ103" s="11" t="n">
        <f aca="false">Units!$E102*(1+Inputs!$B$7)^(AJ$2-1)</f>
        <v>1617.8725</v>
      </c>
      <c r="AK103" s="11" t="n">
        <f aca="false">Units!$E102*(1+Inputs!$B$7)^(AK$2-1)</f>
        <v>1617.8725</v>
      </c>
      <c r="AL103" s="11" t="n">
        <f aca="false">Units!$E102*(1+Inputs!$B$7)^(AL$2-1)</f>
        <v>1617.8725</v>
      </c>
      <c r="AM103" s="11" t="n">
        <f aca="false">Units!$E102*(1+Inputs!$B$7)^(AM$2-1)</f>
        <v>1666.408675</v>
      </c>
      <c r="AN103" s="11" t="n">
        <f aca="false">Units!$E102*(1+Inputs!$B$7)^(AN$2-1)</f>
        <v>1666.408675</v>
      </c>
      <c r="AO103" s="11" t="n">
        <f aca="false">Units!$E102*(1+Inputs!$B$7)^(AO$2-1)</f>
        <v>1666.408675</v>
      </c>
      <c r="AP103" s="11" t="n">
        <f aca="false">Units!$E102*(1+Inputs!$B$7)^(AP$2-1)</f>
        <v>1666.408675</v>
      </c>
      <c r="AQ103" s="11" t="n">
        <f aca="false">Units!$E102*(1+Inputs!$B$7)^(AQ$2-1)</f>
        <v>1666.408675</v>
      </c>
      <c r="AR103" s="11" t="n">
        <f aca="false">Units!$E102*(1+Inputs!$B$7)^(AR$2-1)</f>
        <v>1666.408675</v>
      </c>
      <c r="AS103" s="11" t="n">
        <f aca="false">Units!$E102*(1+Inputs!$B$7)^(AS$2-1)</f>
        <v>1666.408675</v>
      </c>
      <c r="AT103" s="11" t="n">
        <f aca="false">Units!$E102*(1+Inputs!$B$7)^(AT$2-1)</f>
        <v>1666.408675</v>
      </c>
      <c r="AU103" s="11" t="n">
        <f aca="false">Units!$E102*(1+Inputs!$B$7)^(AU$2-1)</f>
        <v>1666.408675</v>
      </c>
      <c r="AV103" s="11" t="n">
        <f aca="false">Units!$E102*(1+Inputs!$B$7)^(AV$2-1)</f>
        <v>1666.408675</v>
      </c>
      <c r="AW103" s="11" t="n">
        <f aca="false">Units!$E102*(1+Inputs!$B$7)^(AW$2-1)</f>
        <v>1666.408675</v>
      </c>
      <c r="AX103" s="11" t="n">
        <f aca="false">Units!$E102*(1+Inputs!$B$7)^(AX$2-1)</f>
        <v>1666.408675</v>
      </c>
      <c r="AY103" s="11" t="n">
        <f aca="false">Units!$E102*(1+Inputs!$B$7)^(AY$2-1)</f>
        <v>1716.40093525</v>
      </c>
      <c r="AZ103" s="11" t="n">
        <f aca="false">Units!$E102*(1+Inputs!$B$7)^(AZ$2-1)</f>
        <v>1716.40093525</v>
      </c>
      <c r="BA103" s="11" t="n">
        <f aca="false">Units!$E102*(1+Inputs!$B$7)^(BA$2-1)</f>
        <v>1716.40093525</v>
      </c>
      <c r="BB103" s="11" t="n">
        <f aca="false">Units!$E102*(1+Inputs!$B$7)^(BB$2-1)</f>
        <v>1716.40093525</v>
      </c>
      <c r="BC103" s="11" t="n">
        <f aca="false">Units!$E102*(1+Inputs!$B$7)^(BC$2-1)</f>
        <v>1716.40093525</v>
      </c>
      <c r="BD103" s="11" t="n">
        <f aca="false">Units!$E102*(1+Inputs!$B$7)^(BD$2-1)</f>
        <v>1716.40093525</v>
      </c>
      <c r="BE103" s="11" t="n">
        <f aca="false">Units!$E102*(1+Inputs!$B$7)^(BE$2-1)</f>
        <v>1716.40093525</v>
      </c>
      <c r="BF103" s="11" t="n">
        <f aca="false">Units!$E102*(1+Inputs!$B$7)^(BF$2-1)</f>
        <v>1716.40093525</v>
      </c>
      <c r="BG103" s="11" t="n">
        <f aca="false">Units!$E102*(1+Inputs!$B$7)^(BG$2-1)</f>
        <v>1716.40093525</v>
      </c>
      <c r="BH103" s="11" t="n">
        <f aca="false">Units!$E102*(1+Inputs!$B$7)^(BH$2-1)</f>
        <v>1716.40093525</v>
      </c>
      <c r="BI103" s="11" t="n">
        <f aca="false">Units!$E102*(1+Inputs!$B$7)^(BI$2-1)</f>
        <v>1716.40093525</v>
      </c>
      <c r="BJ103" s="11" t="n">
        <f aca="false">Units!$E102*(1+Inputs!$B$7)^(BJ$2-1)</f>
        <v>1716.40093525</v>
      </c>
      <c r="BK103" s="11" t="n">
        <f aca="false">Units!$E102*(1+Inputs!$B$7)^(BK$2-1)</f>
        <v>1767.8929633075</v>
      </c>
      <c r="BL103" s="11" t="n">
        <f aca="false">Units!$E102*(1+Inputs!$B$7)^(BL$2-1)</f>
        <v>1767.8929633075</v>
      </c>
      <c r="BM103" s="11" t="n">
        <f aca="false">Units!$E102*(1+Inputs!$B$7)^(BM$2-1)</f>
        <v>1767.8929633075</v>
      </c>
      <c r="BN103" s="11" t="n">
        <f aca="false">Units!$E102*(1+Inputs!$B$7)^(BN$2-1)</f>
        <v>1767.8929633075</v>
      </c>
      <c r="BO103" s="11" t="n">
        <f aca="false">Units!$E102*(1+Inputs!$B$7)^(BO$2-1)</f>
        <v>1767.8929633075</v>
      </c>
      <c r="BP103" s="11" t="n">
        <f aca="false">Units!$E102*(1+Inputs!$B$7)^(BP$2-1)</f>
        <v>1767.8929633075</v>
      </c>
      <c r="BQ103" s="11" t="n">
        <f aca="false">Units!$E102*(1+Inputs!$B$7)^(BQ$2-1)</f>
        <v>1767.8929633075</v>
      </c>
      <c r="BR103" s="11" t="n">
        <f aca="false">Units!$E102*(1+Inputs!$B$7)^(BR$2-1)</f>
        <v>1767.8929633075</v>
      </c>
      <c r="BS103" s="11" t="n">
        <f aca="false">Units!$E102*(1+Inputs!$B$7)^(BS$2-1)</f>
        <v>1767.8929633075</v>
      </c>
      <c r="BT103" s="11" t="n">
        <f aca="false">Units!$E102*(1+Inputs!$B$7)^(BT$2-1)</f>
        <v>1767.8929633075</v>
      </c>
      <c r="BU103" s="11" t="n">
        <f aca="false">Units!$E102*(1+Inputs!$B$7)^(BU$2-1)</f>
        <v>1767.8929633075</v>
      </c>
      <c r="BV103" s="11" t="n">
        <f aca="false">Units!$E102*(1+Inputs!$B$7)^(BV$2-1)</f>
        <v>1767.8929633075</v>
      </c>
      <c r="BW103" s="11" t="n">
        <f aca="false">Units!$E102*(1+Inputs!$B$7)^(BW$2-1)</f>
        <v>1820.92975220673</v>
      </c>
      <c r="BX103" s="11" t="n">
        <f aca="false">Units!$E102*(1+Inputs!$B$7)^(BX$2-1)</f>
        <v>1820.92975220673</v>
      </c>
      <c r="BY103" s="11" t="n">
        <f aca="false">Units!$E102*(1+Inputs!$B$7)^(BY$2-1)</f>
        <v>1820.92975220673</v>
      </c>
      <c r="BZ103" s="11" t="n">
        <f aca="false">Units!$E102*(1+Inputs!$B$7)^(BZ$2-1)</f>
        <v>1820.92975220673</v>
      </c>
      <c r="CA103" s="11" t="n">
        <f aca="false">Units!$E102*(1+Inputs!$B$7)^(CA$2-1)</f>
        <v>1820.92975220673</v>
      </c>
      <c r="CB103" s="11" t="n">
        <f aca="false">Units!$E102*(1+Inputs!$B$7)^(CB$2-1)</f>
        <v>1820.92975220673</v>
      </c>
      <c r="CC103" s="11" t="n">
        <f aca="false">Units!$E102*(1+Inputs!$B$7)^(CC$2-1)</f>
        <v>1820.92975220673</v>
      </c>
      <c r="CD103" s="11" t="n">
        <f aca="false">Units!$E102*(1+Inputs!$B$7)^(CD$2-1)</f>
        <v>1820.92975220673</v>
      </c>
      <c r="CE103" s="11" t="n">
        <f aca="false">Units!$E102*(1+Inputs!$B$7)^(CE$2-1)</f>
        <v>1820.92975220673</v>
      </c>
      <c r="CF103" s="11" t="n">
        <f aca="false">Units!$E102*(1+Inputs!$B$7)^(CF$2-1)</f>
        <v>1820.92975220673</v>
      </c>
      <c r="CG103" s="11" t="n">
        <f aca="false">Units!$E102*(1+Inputs!$B$7)^(CG$2-1)</f>
        <v>1820.92975220673</v>
      </c>
      <c r="CH103" s="11" t="n">
        <f aca="false">Units!$E102*(1+Inputs!$B$7)^(CH$2-1)</f>
        <v>1820.92975220673</v>
      </c>
      <c r="CI103" s="11" t="n">
        <f aca="false">Units!$E102*(1+Inputs!$B$7)^(CI$2-1)</f>
        <v>1875.55764477293</v>
      </c>
      <c r="CJ103" s="11" t="n">
        <f aca="false">Units!$E102*(1+Inputs!$B$7)^(CJ$2-1)</f>
        <v>1875.55764477293</v>
      </c>
      <c r="CK103" s="11" t="n">
        <f aca="false">Units!$E102*(1+Inputs!$B$7)^(CK$2-1)</f>
        <v>1875.55764477293</v>
      </c>
      <c r="CL103" s="11" t="n">
        <f aca="false">Units!$E102*(1+Inputs!$B$7)^(CL$2-1)</f>
        <v>1875.55764477293</v>
      </c>
      <c r="CM103" s="11" t="n">
        <f aca="false">Units!$E102*(1+Inputs!$B$7)^(CM$2-1)</f>
        <v>1875.55764477293</v>
      </c>
      <c r="CN103" s="11" t="n">
        <f aca="false">Units!$E102*(1+Inputs!$B$7)^(CN$2-1)</f>
        <v>1875.55764477293</v>
      </c>
      <c r="CO103" s="11" t="n">
        <f aca="false">Units!$E102*(1+Inputs!$B$7)^(CO$2-1)</f>
        <v>1875.55764477293</v>
      </c>
      <c r="CP103" s="11" t="n">
        <f aca="false">Units!$E102*(1+Inputs!$B$7)^(CP$2-1)</f>
        <v>1875.55764477293</v>
      </c>
      <c r="CQ103" s="11" t="n">
        <f aca="false">Units!$E102*(1+Inputs!$B$7)^(CQ$2-1)</f>
        <v>1875.55764477293</v>
      </c>
      <c r="CR103" s="11" t="n">
        <f aca="false">Units!$E102*(1+Inputs!$B$7)^(CR$2-1)</f>
        <v>1875.55764477293</v>
      </c>
      <c r="CS103" s="11" t="n">
        <f aca="false">Units!$E102*(1+Inputs!$B$7)^(CS$2-1)</f>
        <v>1875.55764477293</v>
      </c>
      <c r="CT103" s="11" t="n">
        <f aca="false">Units!$E102*(1+Inputs!$B$7)^(CT$2-1)</f>
        <v>1875.55764477293</v>
      </c>
      <c r="CU103" s="11" t="n">
        <f aca="false">Units!$E102*(1+Inputs!$B$7)^(CU$2-1)</f>
        <v>1931.82437411612</v>
      </c>
      <c r="CV103" s="11" t="n">
        <f aca="false">Units!$E102*(1+Inputs!$B$7)^(CV$2-1)</f>
        <v>1931.82437411612</v>
      </c>
      <c r="CW103" s="11" t="n">
        <f aca="false">Units!$E102*(1+Inputs!$B$7)^(CW$2-1)</f>
        <v>1931.82437411612</v>
      </c>
      <c r="CX103" s="11" t="n">
        <f aca="false">Units!$E102*(1+Inputs!$B$7)^(CX$2-1)</f>
        <v>1931.82437411612</v>
      </c>
      <c r="CY103" s="11" t="n">
        <f aca="false">Units!$E102*(1+Inputs!$B$7)^(CY$2-1)</f>
        <v>1931.82437411612</v>
      </c>
      <c r="CZ103" s="11" t="n">
        <f aca="false">Units!$E102*(1+Inputs!$B$7)^(CZ$2-1)</f>
        <v>1931.82437411612</v>
      </c>
      <c r="DA103" s="11" t="n">
        <f aca="false">Units!$E102*(1+Inputs!$B$7)^(DA$2-1)</f>
        <v>1931.82437411612</v>
      </c>
      <c r="DB103" s="11" t="n">
        <f aca="false">Units!$E102*(1+Inputs!$B$7)^(DB$2-1)</f>
        <v>1931.82437411612</v>
      </c>
      <c r="DC103" s="11" t="n">
        <f aca="false">Units!$E102*(1+Inputs!$B$7)^(DC$2-1)</f>
        <v>1931.82437411612</v>
      </c>
      <c r="DD103" s="11" t="n">
        <f aca="false">Units!$E102*(1+Inputs!$B$7)^(DD$2-1)</f>
        <v>1931.82437411612</v>
      </c>
      <c r="DE103" s="11" t="n">
        <f aca="false">Units!$E102*(1+Inputs!$B$7)^(DE$2-1)</f>
        <v>1931.82437411612</v>
      </c>
      <c r="DF103" s="11" t="n">
        <f aca="false">Units!$E102*(1+Inputs!$B$7)^(DF$2-1)</f>
        <v>1931.82437411612</v>
      </c>
      <c r="DG103" s="11" t="n">
        <f aca="false">Units!$E102*(1+Inputs!$B$7)^(DG$2-1)</f>
        <v>1989.7791053396</v>
      </c>
      <c r="DH103" s="11" t="n">
        <f aca="false">Units!$E102*(1+Inputs!$B$7)^(DH$2-1)</f>
        <v>1989.7791053396</v>
      </c>
      <c r="DI103" s="11" t="n">
        <f aca="false">Units!$E102*(1+Inputs!$B$7)^(DI$2-1)</f>
        <v>1989.7791053396</v>
      </c>
      <c r="DJ103" s="11" t="n">
        <f aca="false">Units!$E102*(1+Inputs!$B$7)^(DJ$2-1)</f>
        <v>1989.7791053396</v>
      </c>
      <c r="DK103" s="11" t="n">
        <f aca="false">Units!$E102*(1+Inputs!$B$7)^(DK$2-1)</f>
        <v>1989.7791053396</v>
      </c>
      <c r="DL103" s="11" t="n">
        <f aca="false">Units!$E102*(1+Inputs!$B$7)^(DL$2-1)</f>
        <v>1989.7791053396</v>
      </c>
      <c r="DM103" s="11" t="n">
        <f aca="false">Units!$E102*(1+Inputs!$B$7)^(DM$2-1)</f>
        <v>1989.7791053396</v>
      </c>
      <c r="DN103" s="11" t="n">
        <f aca="false">Units!$E102*(1+Inputs!$B$7)^(DN$2-1)</f>
        <v>1989.7791053396</v>
      </c>
      <c r="DO103" s="11" t="n">
        <f aca="false">Units!$E102*(1+Inputs!$B$7)^(DO$2-1)</f>
        <v>1989.7791053396</v>
      </c>
      <c r="DP103" s="11" t="n">
        <f aca="false">Units!$E102*(1+Inputs!$B$7)^(DP$2-1)</f>
        <v>1989.7791053396</v>
      </c>
      <c r="DQ103" s="11" t="n">
        <f aca="false">Units!$E102*(1+Inputs!$B$7)^(DQ$2-1)</f>
        <v>1989.7791053396</v>
      </c>
      <c r="DR103" s="11" t="n">
        <f aca="false">Units!$E102*(1+Inputs!$B$7)^(DR$2-1)</f>
        <v>1989.7791053396</v>
      </c>
      <c r="DS103" s="11" t="n">
        <f aca="false">Units!$E102*(1+Inputs!$B$7)^(DS$2-1)</f>
        <v>2049.47247849979</v>
      </c>
      <c r="DT103" s="11" t="n">
        <f aca="false">Units!$E102*(1+Inputs!$B$7)^(DT$2-1)</f>
        <v>2049.47247849979</v>
      </c>
      <c r="DU103" s="11" t="n">
        <f aca="false">Units!$E102*(1+Inputs!$B$7)^(DU$2-1)</f>
        <v>2049.47247849979</v>
      </c>
      <c r="DV103" s="11" t="n">
        <f aca="false">Units!$E102*(1+Inputs!$B$7)^(DV$2-1)</f>
        <v>2049.47247849979</v>
      </c>
      <c r="DW103" s="11" t="n">
        <f aca="false">Units!$E102*(1+Inputs!$B$7)^(DW$2-1)</f>
        <v>2049.47247849979</v>
      </c>
      <c r="DX103" s="11" t="n">
        <f aca="false">Units!$E102*(1+Inputs!$B$7)^(DX$2-1)</f>
        <v>2049.47247849979</v>
      </c>
      <c r="DY103" s="11" t="n">
        <f aca="false">Units!$E102*(1+Inputs!$B$7)^(DY$2-1)</f>
        <v>2049.47247849979</v>
      </c>
      <c r="DZ103" s="11" t="n">
        <f aca="false">Units!$E102*(1+Inputs!$B$7)^(DZ$2-1)</f>
        <v>2049.47247849979</v>
      </c>
      <c r="EA103" s="11" t="n">
        <f aca="false">Units!$E102*(1+Inputs!$B$7)^(EA$2-1)</f>
        <v>2049.47247849979</v>
      </c>
      <c r="EB103" s="11" t="n">
        <f aca="false">Units!$E102*(1+Inputs!$B$7)^(EB$2-1)</f>
        <v>2049.47247849979</v>
      </c>
      <c r="EC103" s="11" t="n">
        <f aca="false">Units!$E102*(1+Inputs!$B$7)^(EC$2-1)</f>
        <v>2049.47247849979</v>
      </c>
      <c r="ED103" s="11" t="n">
        <f aca="false">Units!$E102*(1+Inputs!$B$7)^(ED$2-1)</f>
        <v>2049.47247849979</v>
      </c>
    </row>
    <row r="104" customFormat="false" ht="15" hidden="false" customHeight="false" outlineLevel="0" collapsed="false">
      <c r="A104" s="22" t="n">
        <f aca="false">Units!A103</f>
        <v>412</v>
      </c>
      <c r="B104" s="23"/>
      <c r="C104" s="11" t="n">
        <f aca="false">Units!$E103*(1+Inputs!$B$7)^(C$2-1)</f>
        <v>1525</v>
      </c>
      <c r="D104" s="11" t="n">
        <f aca="false">Units!$E103*(1+Inputs!$B$7)^(D$2-1)</f>
        <v>1525</v>
      </c>
      <c r="E104" s="11" t="n">
        <f aca="false">Units!$E103*(1+Inputs!$B$7)^(E$2-1)</f>
        <v>1525</v>
      </c>
      <c r="F104" s="11" t="n">
        <f aca="false">Units!$E103*(1+Inputs!$B$7)^(F$2-1)</f>
        <v>1525</v>
      </c>
      <c r="G104" s="11" t="n">
        <f aca="false">Units!$E103*(1+Inputs!$B$7)^(G$2-1)</f>
        <v>1525</v>
      </c>
      <c r="H104" s="11" t="n">
        <f aca="false">Units!$E103*(1+Inputs!$B$7)^(H$2-1)</f>
        <v>1525</v>
      </c>
      <c r="I104" s="11" t="n">
        <f aca="false">Units!$E103*(1+Inputs!$B$7)^(I$2-1)</f>
        <v>1525</v>
      </c>
      <c r="J104" s="11" t="n">
        <f aca="false">Units!$E103*(1+Inputs!$B$7)^(J$2-1)</f>
        <v>1525</v>
      </c>
      <c r="K104" s="11" t="n">
        <f aca="false">Units!$E103*(1+Inputs!$B$7)^(K$2-1)</f>
        <v>1525</v>
      </c>
      <c r="L104" s="11" t="n">
        <f aca="false">Units!$E103*(1+Inputs!$B$7)^(L$2-1)</f>
        <v>1525</v>
      </c>
      <c r="M104" s="11" t="n">
        <f aca="false">Units!$E103*(1+Inputs!$B$7)^(M$2-1)</f>
        <v>1525</v>
      </c>
      <c r="N104" s="11" t="n">
        <f aca="false">Units!$E103*(1+Inputs!$B$7)^(N$2-1)</f>
        <v>1525</v>
      </c>
      <c r="O104" s="11" t="n">
        <f aca="false">Units!$E103*(1+Inputs!$B$7)^(O$2-1)</f>
        <v>1570.75</v>
      </c>
      <c r="P104" s="11" t="n">
        <f aca="false">Units!$E103*(1+Inputs!$B$7)^(P$2-1)</f>
        <v>1570.75</v>
      </c>
      <c r="Q104" s="11" t="n">
        <f aca="false">Units!$E103*(1+Inputs!$B$7)^(Q$2-1)</f>
        <v>1570.75</v>
      </c>
      <c r="R104" s="11" t="n">
        <f aca="false">Units!$E103*(1+Inputs!$B$7)^(R$2-1)</f>
        <v>1570.75</v>
      </c>
      <c r="S104" s="11" t="n">
        <f aca="false">Units!$E103*(1+Inputs!$B$7)^(S$2-1)</f>
        <v>1570.75</v>
      </c>
      <c r="T104" s="11" t="n">
        <f aca="false">Units!$E103*(1+Inputs!$B$7)^(T$2-1)</f>
        <v>1570.75</v>
      </c>
      <c r="U104" s="11" t="n">
        <f aca="false">Units!$E103*(1+Inputs!$B$7)^(U$2-1)</f>
        <v>1570.75</v>
      </c>
      <c r="V104" s="11" t="n">
        <f aca="false">Units!$E103*(1+Inputs!$B$7)^(V$2-1)</f>
        <v>1570.75</v>
      </c>
      <c r="W104" s="11" t="n">
        <f aca="false">Units!$E103*(1+Inputs!$B$7)^(W$2-1)</f>
        <v>1570.75</v>
      </c>
      <c r="X104" s="11" t="n">
        <f aca="false">Units!$E103*(1+Inputs!$B$7)^(X$2-1)</f>
        <v>1570.75</v>
      </c>
      <c r="Y104" s="11" t="n">
        <f aca="false">Units!$E103*(1+Inputs!$B$7)^(Y$2-1)</f>
        <v>1570.75</v>
      </c>
      <c r="Z104" s="11" t="n">
        <f aca="false">Units!$E103*(1+Inputs!$B$7)^(Z$2-1)</f>
        <v>1570.75</v>
      </c>
      <c r="AA104" s="11" t="n">
        <f aca="false">Units!$E103*(1+Inputs!$B$7)^(AA$2-1)</f>
        <v>1617.8725</v>
      </c>
      <c r="AB104" s="11" t="n">
        <f aca="false">Units!$E103*(1+Inputs!$B$7)^(AB$2-1)</f>
        <v>1617.8725</v>
      </c>
      <c r="AC104" s="11" t="n">
        <f aca="false">Units!$E103*(1+Inputs!$B$7)^(AC$2-1)</f>
        <v>1617.8725</v>
      </c>
      <c r="AD104" s="11" t="n">
        <f aca="false">Units!$E103*(1+Inputs!$B$7)^(AD$2-1)</f>
        <v>1617.8725</v>
      </c>
      <c r="AE104" s="11" t="n">
        <f aca="false">Units!$E103*(1+Inputs!$B$7)^(AE$2-1)</f>
        <v>1617.8725</v>
      </c>
      <c r="AF104" s="11" t="n">
        <f aca="false">Units!$E103*(1+Inputs!$B$7)^(AF$2-1)</f>
        <v>1617.8725</v>
      </c>
      <c r="AG104" s="11" t="n">
        <f aca="false">Units!$E103*(1+Inputs!$B$7)^(AG$2-1)</f>
        <v>1617.8725</v>
      </c>
      <c r="AH104" s="11" t="n">
        <f aca="false">Units!$E103*(1+Inputs!$B$7)^(AH$2-1)</f>
        <v>1617.8725</v>
      </c>
      <c r="AI104" s="11" t="n">
        <f aca="false">Units!$E103*(1+Inputs!$B$7)^(AI$2-1)</f>
        <v>1617.8725</v>
      </c>
      <c r="AJ104" s="11" t="n">
        <f aca="false">Units!$E103*(1+Inputs!$B$7)^(AJ$2-1)</f>
        <v>1617.8725</v>
      </c>
      <c r="AK104" s="11" t="n">
        <f aca="false">Units!$E103*(1+Inputs!$B$7)^(AK$2-1)</f>
        <v>1617.8725</v>
      </c>
      <c r="AL104" s="11" t="n">
        <f aca="false">Units!$E103*(1+Inputs!$B$7)^(AL$2-1)</f>
        <v>1617.8725</v>
      </c>
      <c r="AM104" s="11" t="n">
        <f aca="false">Units!$E103*(1+Inputs!$B$7)^(AM$2-1)</f>
        <v>1666.408675</v>
      </c>
      <c r="AN104" s="11" t="n">
        <f aca="false">Units!$E103*(1+Inputs!$B$7)^(AN$2-1)</f>
        <v>1666.408675</v>
      </c>
      <c r="AO104" s="11" t="n">
        <f aca="false">Units!$E103*(1+Inputs!$B$7)^(AO$2-1)</f>
        <v>1666.408675</v>
      </c>
      <c r="AP104" s="11" t="n">
        <f aca="false">Units!$E103*(1+Inputs!$B$7)^(AP$2-1)</f>
        <v>1666.408675</v>
      </c>
      <c r="AQ104" s="11" t="n">
        <f aca="false">Units!$E103*(1+Inputs!$B$7)^(AQ$2-1)</f>
        <v>1666.408675</v>
      </c>
      <c r="AR104" s="11" t="n">
        <f aca="false">Units!$E103*(1+Inputs!$B$7)^(AR$2-1)</f>
        <v>1666.408675</v>
      </c>
      <c r="AS104" s="11" t="n">
        <f aca="false">Units!$E103*(1+Inputs!$B$7)^(AS$2-1)</f>
        <v>1666.408675</v>
      </c>
      <c r="AT104" s="11" t="n">
        <f aca="false">Units!$E103*(1+Inputs!$B$7)^(AT$2-1)</f>
        <v>1666.408675</v>
      </c>
      <c r="AU104" s="11" t="n">
        <f aca="false">Units!$E103*(1+Inputs!$B$7)^(AU$2-1)</f>
        <v>1666.408675</v>
      </c>
      <c r="AV104" s="11" t="n">
        <f aca="false">Units!$E103*(1+Inputs!$B$7)^(AV$2-1)</f>
        <v>1666.408675</v>
      </c>
      <c r="AW104" s="11" t="n">
        <f aca="false">Units!$E103*(1+Inputs!$B$7)^(AW$2-1)</f>
        <v>1666.408675</v>
      </c>
      <c r="AX104" s="11" t="n">
        <f aca="false">Units!$E103*(1+Inputs!$B$7)^(AX$2-1)</f>
        <v>1666.408675</v>
      </c>
      <c r="AY104" s="11" t="n">
        <f aca="false">Units!$E103*(1+Inputs!$B$7)^(AY$2-1)</f>
        <v>1716.40093525</v>
      </c>
      <c r="AZ104" s="11" t="n">
        <f aca="false">Units!$E103*(1+Inputs!$B$7)^(AZ$2-1)</f>
        <v>1716.40093525</v>
      </c>
      <c r="BA104" s="11" t="n">
        <f aca="false">Units!$E103*(1+Inputs!$B$7)^(BA$2-1)</f>
        <v>1716.40093525</v>
      </c>
      <c r="BB104" s="11" t="n">
        <f aca="false">Units!$E103*(1+Inputs!$B$7)^(BB$2-1)</f>
        <v>1716.40093525</v>
      </c>
      <c r="BC104" s="11" t="n">
        <f aca="false">Units!$E103*(1+Inputs!$B$7)^(BC$2-1)</f>
        <v>1716.40093525</v>
      </c>
      <c r="BD104" s="11" t="n">
        <f aca="false">Units!$E103*(1+Inputs!$B$7)^(BD$2-1)</f>
        <v>1716.40093525</v>
      </c>
      <c r="BE104" s="11" t="n">
        <f aca="false">Units!$E103*(1+Inputs!$B$7)^(BE$2-1)</f>
        <v>1716.40093525</v>
      </c>
      <c r="BF104" s="11" t="n">
        <f aca="false">Units!$E103*(1+Inputs!$B$7)^(BF$2-1)</f>
        <v>1716.40093525</v>
      </c>
      <c r="BG104" s="11" t="n">
        <f aca="false">Units!$E103*(1+Inputs!$B$7)^(BG$2-1)</f>
        <v>1716.40093525</v>
      </c>
      <c r="BH104" s="11" t="n">
        <f aca="false">Units!$E103*(1+Inputs!$B$7)^(BH$2-1)</f>
        <v>1716.40093525</v>
      </c>
      <c r="BI104" s="11" t="n">
        <f aca="false">Units!$E103*(1+Inputs!$B$7)^(BI$2-1)</f>
        <v>1716.40093525</v>
      </c>
      <c r="BJ104" s="11" t="n">
        <f aca="false">Units!$E103*(1+Inputs!$B$7)^(BJ$2-1)</f>
        <v>1716.40093525</v>
      </c>
      <c r="BK104" s="11" t="n">
        <f aca="false">Units!$E103*(1+Inputs!$B$7)^(BK$2-1)</f>
        <v>1767.8929633075</v>
      </c>
      <c r="BL104" s="11" t="n">
        <f aca="false">Units!$E103*(1+Inputs!$B$7)^(BL$2-1)</f>
        <v>1767.8929633075</v>
      </c>
      <c r="BM104" s="11" t="n">
        <f aca="false">Units!$E103*(1+Inputs!$B$7)^(BM$2-1)</f>
        <v>1767.8929633075</v>
      </c>
      <c r="BN104" s="11" t="n">
        <f aca="false">Units!$E103*(1+Inputs!$B$7)^(BN$2-1)</f>
        <v>1767.8929633075</v>
      </c>
      <c r="BO104" s="11" t="n">
        <f aca="false">Units!$E103*(1+Inputs!$B$7)^(BO$2-1)</f>
        <v>1767.8929633075</v>
      </c>
      <c r="BP104" s="11" t="n">
        <f aca="false">Units!$E103*(1+Inputs!$B$7)^(BP$2-1)</f>
        <v>1767.8929633075</v>
      </c>
      <c r="BQ104" s="11" t="n">
        <f aca="false">Units!$E103*(1+Inputs!$B$7)^(BQ$2-1)</f>
        <v>1767.8929633075</v>
      </c>
      <c r="BR104" s="11" t="n">
        <f aca="false">Units!$E103*(1+Inputs!$B$7)^(BR$2-1)</f>
        <v>1767.8929633075</v>
      </c>
      <c r="BS104" s="11" t="n">
        <f aca="false">Units!$E103*(1+Inputs!$B$7)^(BS$2-1)</f>
        <v>1767.8929633075</v>
      </c>
      <c r="BT104" s="11" t="n">
        <f aca="false">Units!$E103*(1+Inputs!$B$7)^(BT$2-1)</f>
        <v>1767.8929633075</v>
      </c>
      <c r="BU104" s="11" t="n">
        <f aca="false">Units!$E103*(1+Inputs!$B$7)^(BU$2-1)</f>
        <v>1767.8929633075</v>
      </c>
      <c r="BV104" s="11" t="n">
        <f aca="false">Units!$E103*(1+Inputs!$B$7)^(BV$2-1)</f>
        <v>1767.8929633075</v>
      </c>
      <c r="BW104" s="11" t="n">
        <f aca="false">Units!$E103*(1+Inputs!$B$7)^(BW$2-1)</f>
        <v>1820.92975220673</v>
      </c>
      <c r="BX104" s="11" t="n">
        <f aca="false">Units!$E103*(1+Inputs!$B$7)^(BX$2-1)</f>
        <v>1820.92975220673</v>
      </c>
      <c r="BY104" s="11" t="n">
        <f aca="false">Units!$E103*(1+Inputs!$B$7)^(BY$2-1)</f>
        <v>1820.92975220673</v>
      </c>
      <c r="BZ104" s="11" t="n">
        <f aca="false">Units!$E103*(1+Inputs!$B$7)^(BZ$2-1)</f>
        <v>1820.92975220673</v>
      </c>
      <c r="CA104" s="11" t="n">
        <f aca="false">Units!$E103*(1+Inputs!$B$7)^(CA$2-1)</f>
        <v>1820.92975220673</v>
      </c>
      <c r="CB104" s="11" t="n">
        <f aca="false">Units!$E103*(1+Inputs!$B$7)^(CB$2-1)</f>
        <v>1820.92975220673</v>
      </c>
      <c r="CC104" s="11" t="n">
        <f aca="false">Units!$E103*(1+Inputs!$B$7)^(CC$2-1)</f>
        <v>1820.92975220673</v>
      </c>
      <c r="CD104" s="11" t="n">
        <f aca="false">Units!$E103*(1+Inputs!$B$7)^(CD$2-1)</f>
        <v>1820.92975220673</v>
      </c>
      <c r="CE104" s="11" t="n">
        <f aca="false">Units!$E103*(1+Inputs!$B$7)^(CE$2-1)</f>
        <v>1820.92975220673</v>
      </c>
      <c r="CF104" s="11" t="n">
        <f aca="false">Units!$E103*(1+Inputs!$B$7)^(CF$2-1)</f>
        <v>1820.92975220673</v>
      </c>
      <c r="CG104" s="11" t="n">
        <f aca="false">Units!$E103*(1+Inputs!$B$7)^(CG$2-1)</f>
        <v>1820.92975220673</v>
      </c>
      <c r="CH104" s="11" t="n">
        <f aca="false">Units!$E103*(1+Inputs!$B$7)^(CH$2-1)</f>
        <v>1820.92975220673</v>
      </c>
      <c r="CI104" s="11" t="n">
        <f aca="false">Units!$E103*(1+Inputs!$B$7)^(CI$2-1)</f>
        <v>1875.55764477293</v>
      </c>
      <c r="CJ104" s="11" t="n">
        <f aca="false">Units!$E103*(1+Inputs!$B$7)^(CJ$2-1)</f>
        <v>1875.55764477293</v>
      </c>
      <c r="CK104" s="11" t="n">
        <f aca="false">Units!$E103*(1+Inputs!$B$7)^(CK$2-1)</f>
        <v>1875.55764477293</v>
      </c>
      <c r="CL104" s="11" t="n">
        <f aca="false">Units!$E103*(1+Inputs!$B$7)^(CL$2-1)</f>
        <v>1875.55764477293</v>
      </c>
      <c r="CM104" s="11" t="n">
        <f aca="false">Units!$E103*(1+Inputs!$B$7)^(CM$2-1)</f>
        <v>1875.55764477293</v>
      </c>
      <c r="CN104" s="11" t="n">
        <f aca="false">Units!$E103*(1+Inputs!$B$7)^(CN$2-1)</f>
        <v>1875.55764477293</v>
      </c>
      <c r="CO104" s="11" t="n">
        <f aca="false">Units!$E103*(1+Inputs!$B$7)^(CO$2-1)</f>
        <v>1875.55764477293</v>
      </c>
      <c r="CP104" s="11" t="n">
        <f aca="false">Units!$E103*(1+Inputs!$B$7)^(CP$2-1)</f>
        <v>1875.55764477293</v>
      </c>
      <c r="CQ104" s="11" t="n">
        <f aca="false">Units!$E103*(1+Inputs!$B$7)^(CQ$2-1)</f>
        <v>1875.55764477293</v>
      </c>
      <c r="CR104" s="11" t="n">
        <f aca="false">Units!$E103*(1+Inputs!$B$7)^(CR$2-1)</f>
        <v>1875.55764477293</v>
      </c>
      <c r="CS104" s="11" t="n">
        <f aca="false">Units!$E103*(1+Inputs!$B$7)^(CS$2-1)</f>
        <v>1875.55764477293</v>
      </c>
      <c r="CT104" s="11" t="n">
        <f aca="false">Units!$E103*(1+Inputs!$B$7)^(CT$2-1)</f>
        <v>1875.55764477293</v>
      </c>
      <c r="CU104" s="11" t="n">
        <f aca="false">Units!$E103*(1+Inputs!$B$7)^(CU$2-1)</f>
        <v>1931.82437411612</v>
      </c>
      <c r="CV104" s="11" t="n">
        <f aca="false">Units!$E103*(1+Inputs!$B$7)^(CV$2-1)</f>
        <v>1931.82437411612</v>
      </c>
      <c r="CW104" s="11" t="n">
        <f aca="false">Units!$E103*(1+Inputs!$B$7)^(CW$2-1)</f>
        <v>1931.82437411612</v>
      </c>
      <c r="CX104" s="11" t="n">
        <f aca="false">Units!$E103*(1+Inputs!$B$7)^(CX$2-1)</f>
        <v>1931.82437411612</v>
      </c>
      <c r="CY104" s="11" t="n">
        <f aca="false">Units!$E103*(1+Inputs!$B$7)^(CY$2-1)</f>
        <v>1931.82437411612</v>
      </c>
      <c r="CZ104" s="11" t="n">
        <f aca="false">Units!$E103*(1+Inputs!$B$7)^(CZ$2-1)</f>
        <v>1931.82437411612</v>
      </c>
      <c r="DA104" s="11" t="n">
        <f aca="false">Units!$E103*(1+Inputs!$B$7)^(DA$2-1)</f>
        <v>1931.82437411612</v>
      </c>
      <c r="DB104" s="11" t="n">
        <f aca="false">Units!$E103*(1+Inputs!$B$7)^(DB$2-1)</f>
        <v>1931.82437411612</v>
      </c>
      <c r="DC104" s="11" t="n">
        <f aca="false">Units!$E103*(1+Inputs!$B$7)^(DC$2-1)</f>
        <v>1931.82437411612</v>
      </c>
      <c r="DD104" s="11" t="n">
        <f aca="false">Units!$E103*(1+Inputs!$B$7)^(DD$2-1)</f>
        <v>1931.82437411612</v>
      </c>
      <c r="DE104" s="11" t="n">
        <f aca="false">Units!$E103*(1+Inputs!$B$7)^(DE$2-1)</f>
        <v>1931.82437411612</v>
      </c>
      <c r="DF104" s="11" t="n">
        <f aca="false">Units!$E103*(1+Inputs!$B$7)^(DF$2-1)</f>
        <v>1931.82437411612</v>
      </c>
      <c r="DG104" s="11" t="n">
        <f aca="false">Units!$E103*(1+Inputs!$B$7)^(DG$2-1)</f>
        <v>1989.7791053396</v>
      </c>
      <c r="DH104" s="11" t="n">
        <f aca="false">Units!$E103*(1+Inputs!$B$7)^(DH$2-1)</f>
        <v>1989.7791053396</v>
      </c>
      <c r="DI104" s="11" t="n">
        <f aca="false">Units!$E103*(1+Inputs!$B$7)^(DI$2-1)</f>
        <v>1989.7791053396</v>
      </c>
      <c r="DJ104" s="11" t="n">
        <f aca="false">Units!$E103*(1+Inputs!$B$7)^(DJ$2-1)</f>
        <v>1989.7791053396</v>
      </c>
      <c r="DK104" s="11" t="n">
        <f aca="false">Units!$E103*(1+Inputs!$B$7)^(DK$2-1)</f>
        <v>1989.7791053396</v>
      </c>
      <c r="DL104" s="11" t="n">
        <f aca="false">Units!$E103*(1+Inputs!$B$7)^(DL$2-1)</f>
        <v>1989.7791053396</v>
      </c>
      <c r="DM104" s="11" t="n">
        <f aca="false">Units!$E103*(1+Inputs!$B$7)^(DM$2-1)</f>
        <v>1989.7791053396</v>
      </c>
      <c r="DN104" s="11" t="n">
        <f aca="false">Units!$E103*(1+Inputs!$B$7)^(DN$2-1)</f>
        <v>1989.7791053396</v>
      </c>
      <c r="DO104" s="11" t="n">
        <f aca="false">Units!$E103*(1+Inputs!$B$7)^(DO$2-1)</f>
        <v>1989.7791053396</v>
      </c>
      <c r="DP104" s="11" t="n">
        <f aca="false">Units!$E103*(1+Inputs!$B$7)^(DP$2-1)</f>
        <v>1989.7791053396</v>
      </c>
      <c r="DQ104" s="11" t="n">
        <f aca="false">Units!$E103*(1+Inputs!$B$7)^(DQ$2-1)</f>
        <v>1989.7791053396</v>
      </c>
      <c r="DR104" s="11" t="n">
        <f aca="false">Units!$E103*(1+Inputs!$B$7)^(DR$2-1)</f>
        <v>1989.7791053396</v>
      </c>
      <c r="DS104" s="11" t="n">
        <f aca="false">Units!$E103*(1+Inputs!$B$7)^(DS$2-1)</f>
        <v>2049.47247849979</v>
      </c>
      <c r="DT104" s="11" t="n">
        <f aca="false">Units!$E103*(1+Inputs!$B$7)^(DT$2-1)</f>
        <v>2049.47247849979</v>
      </c>
      <c r="DU104" s="11" t="n">
        <f aca="false">Units!$E103*(1+Inputs!$B$7)^(DU$2-1)</f>
        <v>2049.47247849979</v>
      </c>
      <c r="DV104" s="11" t="n">
        <f aca="false">Units!$E103*(1+Inputs!$B$7)^(DV$2-1)</f>
        <v>2049.47247849979</v>
      </c>
      <c r="DW104" s="11" t="n">
        <f aca="false">Units!$E103*(1+Inputs!$B$7)^(DW$2-1)</f>
        <v>2049.47247849979</v>
      </c>
      <c r="DX104" s="11" t="n">
        <f aca="false">Units!$E103*(1+Inputs!$B$7)^(DX$2-1)</f>
        <v>2049.47247849979</v>
      </c>
      <c r="DY104" s="11" t="n">
        <f aca="false">Units!$E103*(1+Inputs!$B$7)^(DY$2-1)</f>
        <v>2049.47247849979</v>
      </c>
      <c r="DZ104" s="11" t="n">
        <f aca="false">Units!$E103*(1+Inputs!$B$7)^(DZ$2-1)</f>
        <v>2049.47247849979</v>
      </c>
      <c r="EA104" s="11" t="n">
        <f aca="false">Units!$E103*(1+Inputs!$B$7)^(EA$2-1)</f>
        <v>2049.47247849979</v>
      </c>
      <c r="EB104" s="11" t="n">
        <f aca="false">Units!$E103*(1+Inputs!$B$7)^(EB$2-1)</f>
        <v>2049.47247849979</v>
      </c>
      <c r="EC104" s="11" t="n">
        <f aca="false">Units!$E103*(1+Inputs!$B$7)^(EC$2-1)</f>
        <v>2049.47247849979</v>
      </c>
      <c r="ED104" s="11" t="n">
        <f aca="false">Units!$E103*(1+Inputs!$B$7)^(ED$2-1)</f>
        <v>2049.47247849979</v>
      </c>
    </row>
    <row r="105" customFormat="false" ht="15" hidden="false" customHeight="false" outlineLevel="0" collapsed="false">
      <c r="A105" s="22" t="n">
        <f aca="false">Units!A104</f>
        <v>413</v>
      </c>
      <c r="B105" s="23"/>
      <c r="C105" s="11" t="n">
        <f aca="false">Units!$E104*(1+Inputs!$B$7)^(C$2-1)</f>
        <v>1295</v>
      </c>
      <c r="D105" s="11" t="n">
        <f aca="false">Units!$E104*(1+Inputs!$B$7)^(D$2-1)</f>
        <v>1295</v>
      </c>
      <c r="E105" s="11" t="n">
        <f aca="false">Units!$E104*(1+Inputs!$B$7)^(E$2-1)</f>
        <v>1295</v>
      </c>
      <c r="F105" s="11" t="n">
        <f aca="false">Units!$E104*(1+Inputs!$B$7)^(F$2-1)</f>
        <v>1295</v>
      </c>
      <c r="G105" s="11" t="n">
        <f aca="false">Units!$E104*(1+Inputs!$B$7)^(G$2-1)</f>
        <v>1295</v>
      </c>
      <c r="H105" s="11" t="n">
        <f aca="false">Units!$E104*(1+Inputs!$B$7)^(H$2-1)</f>
        <v>1295</v>
      </c>
      <c r="I105" s="11" t="n">
        <f aca="false">Units!$E104*(1+Inputs!$B$7)^(I$2-1)</f>
        <v>1295</v>
      </c>
      <c r="J105" s="11" t="n">
        <f aca="false">Units!$E104*(1+Inputs!$B$7)^(J$2-1)</f>
        <v>1295</v>
      </c>
      <c r="K105" s="11" t="n">
        <f aca="false">Units!$E104*(1+Inputs!$B$7)^(K$2-1)</f>
        <v>1295</v>
      </c>
      <c r="L105" s="11" t="n">
        <f aca="false">Units!$E104*(1+Inputs!$B$7)^(L$2-1)</f>
        <v>1295</v>
      </c>
      <c r="M105" s="11" t="n">
        <f aca="false">Units!$E104*(1+Inputs!$B$7)^(M$2-1)</f>
        <v>1295</v>
      </c>
      <c r="N105" s="11" t="n">
        <f aca="false">Units!$E104*(1+Inputs!$B$7)^(N$2-1)</f>
        <v>1295</v>
      </c>
      <c r="O105" s="11" t="n">
        <f aca="false">Units!$E104*(1+Inputs!$B$7)^(O$2-1)</f>
        <v>1333.85</v>
      </c>
      <c r="P105" s="11" t="n">
        <f aca="false">Units!$E104*(1+Inputs!$B$7)^(P$2-1)</f>
        <v>1333.85</v>
      </c>
      <c r="Q105" s="11" t="n">
        <f aca="false">Units!$E104*(1+Inputs!$B$7)^(Q$2-1)</f>
        <v>1333.85</v>
      </c>
      <c r="R105" s="11" t="n">
        <f aca="false">Units!$E104*(1+Inputs!$B$7)^(R$2-1)</f>
        <v>1333.85</v>
      </c>
      <c r="S105" s="11" t="n">
        <f aca="false">Units!$E104*(1+Inputs!$B$7)^(S$2-1)</f>
        <v>1333.85</v>
      </c>
      <c r="T105" s="11" t="n">
        <f aca="false">Units!$E104*(1+Inputs!$B$7)^(T$2-1)</f>
        <v>1333.85</v>
      </c>
      <c r="U105" s="11" t="n">
        <f aca="false">Units!$E104*(1+Inputs!$B$7)^(U$2-1)</f>
        <v>1333.85</v>
      </c>
      <c r="V105" s="11" t="n">
        <f aca="false">Units!$E104*(1+Inputs!$B$7)^(V$2-1)</f>
        <v>1333.85</v>
      </c>
      <c r="W105" s="11" t="n">
        <f aca="false">Units!$E104*(1+Inputs!$B$7)^(W$2-1)</f>
        <v>1333.85</v>
      </c>
      <c r="X105" s="11" t="n">
        <f aca="false">Units!$E104*(1+Inputs!$B$7)^(X$2-1)</f>
        <v>1333.85</v>
      </c>
      <c r="Y105" s="11" t="n">
        <f aca="false">Units!$E104*(1+Inputs!$B$7)^(Y$2-1)</f>
        <v>1333.85</v>
      </c>
      <c r="Z105" s="11" t="n">
        <f aca="false">Units!$E104*(1+Inputs!$B$7)^(Z$2-1)</f>
        <v>1333.85</v>
      </c>
      <c r="AA105" s="11" t="n">
        <f aca="false">Units!$E104*(1+Inputs!$B$7)^(AA$2-1)</f>
        <v>1373.8655</v>
      </c>
      <c r="AB105" s="11" t="n">
        <f aca="false">Units!$E104*(1+Inputs!$B$7)^(AB$2-1)</f>
        <v>1373.8655</v>
      </c>
      <c r="AC105" s="11" t="n">
        <f aca="false">Units!$E104*(1+Inputs!$B$7)^(AC$2-1)</f>
        <v>1373.8655</v>
      </c>
      <c r="AD105" s="11" t="n">
        <f aca="false">Units!$E104*(1+Inputs!$B$7)^(AD$2-1)</f>
        <v>1373.8655</v>
      </c>
      <c r="AE105" s="11" t="n">
        <f aca="false">Units!$E104*(1+Inputs!$B$7)^(AE$2-1)</f>
        <v>1373.8655</v>
      </c>
      <c r="AF105" s="11" t="n">
        <f aca="false">Units!$E104*(1+Inputs!$B$7)^(AF$2-1)</f>
        <v>1373.8655</v>
      </c>
      <c r="AG105" s="11" t="n">
        <f aca="false">Units!$E104*(1+Inputs!$B$7)^(AG$2-1)</f>
        <v>1373.8655</v>
      </c>
      <c r="AH105" s="11" t="n">
        <f aca="false">Units!$E104*(1+Inputs!$B$7)^(AH$2-1)</f>
        <v>1373.8655</v>
      </c>
      <c r="AI105" s="11" t="n">
        <f aca="false">Units!$E104*(1+Inputs!$B$7)^(AI$2-1)</f>
        <v>1373.8655</v>
      </c>
      <c r="AJ105" s="11" t="n">
        <f aca="false">Units!$E104*(1+Inputs!$B$7)^(AJ$2-1)</f>
        <v>1373.8655</v>
      </c>
      <c r="AK105" s="11" t="n">
        <f aca="false">Units!$E104*(1+Inputs!$B$7)^(AK$2-1)</f>
        <v>1373.8655</v>
      </c>
      <c r="AL105" s="11" t="n">
        <f aca="false">Units!$E104*(1+Inputs!$B$7)^(AL$2-1)</f>
        <v>1373.8655</v>
      </c>
      <c r="AM105" s="11" t="n">
        <f aca="false">Units!$E104*(1+Inputs!$B$7)^(AM$2-1)</f>
        <v>1415.081465</v>
      </c>
      <c r="AN105" s="11" t="n">
        <f aca="false">Units!$E104*(1+Inputs!$B$7)^(AN$2-1)</f>
        <v>1415.081465</v>
      </c>
      <c r="AO105" s="11" t="n">
        <f aca="false">Units!$E104*(1+Inputs!$B$7)^(AO$2-1)</f>
        <v>1415.081465</v>
      </c>
      <c r="AP105" s="11" t="n">
        <f aca="false">Units!$E104*(1+Inputs!$B$7)^(AP$2-1)</f>
        <v>1415.081465</v>
      </c>
      <c r="AQ105" s="11" t="n">
        <f aca="false">Units!$E104*(1+Inputs!$B$7)^(AQ$2-1)</f>
        <v>1415.081465</v>
      </c>
      <c r="AR105" s="11" t="n">
        <f aca="false">Units!$E104*(1+Inputs!$B$7)^(AR$2-1)</f>
        <v>1415.081465</v>
      </c>
      <c r="AS105" s="11" t="n">
        <f aca="false">Units!$E104*(1+Inputs!$B$7)^(AS$2-1)</f>
        <v>1415.081465</v>
      </c>
      <c r="AT105" s="11" t="n">
        <f aca="false">Units!$E104*(1+Inputs!$B$7)^(AT$2-1)</f>
        <v>1415.081465</v>
      </c>
      <c r="AU105" s="11" t="n">
        <f aca="false">Units!$E104*(1+Inputs!$B$7)^(AU$2-1)</f>
        <v>1415.081465</v>
      </c>
      <c r="AV105" s="11" t="n">
        <f aca="false">Units!$E104*(1+Inputs!$B$7)^(AV$2-1)</f>
        <v>1415.081465</v>
      </c>
      <c r="AW105" s="11" t="n">
        <f aca="false">Units!$E104*(1+Inputs!$B$7)^(AW$2-1)</f>
        <v>1415.081465</v>
      </c>
      <c r="AX105" s="11" t="n">
        <f aca="false">Units!$E104*(1+Inputs!$B$7)^(AX$2-1)</f>
        <v>1415.081465</v>
      </c>
      <c r="AY105" s="11" t="n">
        <f aca="false">Units!$E104*(1+Inputs!$B$7)^(AY$2-1)</f>
        <v>1457.53390895</v>
      </c>
      <c r="AZ105" s="11" t="n">
        <f aca="false">Units!$E104*(1+Inputs!$B$7)^(AZ$2-1)</f>
        <v>1457.53390895</v>
      </c>
      <c r="BA105" s="11" t="n">
        <f aca="false">Units!$E104*(1+Inputs!$B$7)^(BA$2-1)</f>
        <v>1457.53390895</v>
      </c>
      <c r="BB105" s="11" t="n">
        <f aca="false">Units!$E104*(1+Inputs!$B$7)^(BB$2-1)</f>
        <v>1457.53390895</v>
      </c>
      <c r="BC105" s="11" t="n">
        <f aca="false">Units!$E104*(1+Inputs!$B$7)^(BC$2-1)</f>
        <v>1457.53390895</v>
      </c>
      <c r="BD105" s="11" t="n">
        <f aca="false">Units!$E104*(1+Inputs!$B$7)^(BD$2-1)</f>
        <v>1457.53390895</v>
      </c>
      <c r="BE105" s="11" t="n">
        <f aca="false">Units!$E104*(1+Inputs!$B$7)^(BE$2-1)</f>
        <v>1457.53390895</v>
      </c>
      <c r="BF105" s="11" t="n">
        <f aca="false">Units!$E104*(1+Inputs!$B$7)^(BF$2-1)</f>
        <v>1457.53390895</v>
      </c>
      <c r="BG105" s="11" t="n">
        <f aca="false">Units!$E104*(1+Inputs!$B$7)^(BG$2-1)</f>
        <v>1457.53390895</v>
      </c>
      <c r="BH105" s="11" t="n">
        <f aca="false">Units!$E104*(1+Inputs!$B$7)^(BH$2-1)</f>
        <v>1457.53390895</v>
      </c>
      <c r="BI105" s="11" t="n">
        <f aca="false">Units!$E104*(1+Inputs!$B$7)^(BI$2-1)</f>
        <v>1457.53390895</v>
      </c>
      <c r="BJ105" s="11" t="n">
        <f aca="false">Units!$E104*(1+Inputs!$B$7)^(BJ$2-1)</f>
        <v>1457.53390895</v>
      </c>
      <c r="BK105" s="11" t="n">
        <f aca="false">Units!$E104*(1+Inputs!$B$7)^(BK$2-1)</f>
        <v>1501.2599262185</v>
      </c>
      <c r="BL105" s="11" t="n">
        <f aca="false">Units!$E104*(1+Inputs!$B$7)^(BL$2-1)</f>
        <v>1501.2599262185</v>
      </c>
      <c r="BM105" s="11" t="n">
        <f aca="false">Units!$E104*(1+Inputs!$B$7)^(BM$2-1)</f>
        <v>1501.2599262185</v>
      </c>
      <c r="BN105" s="11" t="n">
        <f aca="false">Units!$E104*(1+Inputs!$B$7)^(BN$2-1)</f>
        <v>1501.2599262185</v>
      </c>
      <c r="BO105" s="11" t="n">
        <f aca="false">Units!$E104*(1+Inputs!$B$7)^(BO$2-1)</f>
        <v>1501.2599262185</v>
      </c>
      <c r="BP105" s="11" t="n">
        <f aca="false">Units!$E104*(1+Inputs!$B$7)^(BP$2-1)</f>
        <v>1501.2599262185</v>
      </c>
      <c r="BQ105" s="11" t="n">
        <f aca="false">Units!$E104*(1+Inputs!$B$7)^(BQ$2-1)</f>
        <v>1501.2599262185</v>
      </c>
      <c r="BR105" s="11" t="n">
        <f aca="false">Units!$E104*(1+Inputs!$B$7)^(BR$2-1)</f>
        <v>1501.2599262185</v>
      </c>
      <c r="BS105" s="11" t="n">
        <f aca="false">Units!$E104*(1+Inputs!$B$7)^(BS$2-1)</f>
        <v>1501.2599262185</v>
      </c>
      <c r="BT105" s="11" t="n">
        <f aca="false">Units!$E104*(1+Inputs!$B$7)^(BT$2-1)</f>
        <v>1501.2599262185</v>
      </c>
      <c r="BU105" s="11" t="n">
        <f aca="false">Units!$E104*(1+Inputs!$B$7)^(BU$2-1)</f>
        <v>1501.2599262185</v>
      </c>
      <c r="BV105" s="11" t="n">
        <f aca="false">Units!$E104*(1+Inputs!$B$7)^(BV$2-1)</f>
        <v>1501.2599262185</v>
      </c>
      <c r="BW105" s="11" t="n">
        <f aca="false">Units!$E104*(1+Inputs!$B$7)^(BW$2-1)</f>
        <v>1546.29772400506</v>
      </c>
      <c r="BX105" s="11" t="n">
        <f aca="false">Units!$E104*(1+Inputs!$B$7)^(BX$2-1)</f>
        <v>1546.29772400506</v>
      </c>
      <c r="BY105" s="11" t="n">
        <f aca="false">Units!$E104*(1+Inputs!$B$7)^(BY$2-1)</f>
        <v>1546.29772400506</v>
      </c>
      <c r="BZ105" s="11" t="n">
        <f aca="false">Units!$E104*(1+Inputs!$B$7)^(BZ$2-1)</f>
        <v>1546.29772400506</v>
      </c>
      <c r="CA105" s="11" t="n">
        <f aca="false">Units!$E104*(1+Inputs!$B$7)^(CA$2-1)</f>
        <v>1546.29772400506</v>
      </c>
      <c r="CB105" s="11" t="n">
        <f aca="false">Units!$E104*(1+Inputs!$B$7)^(CB$2-1)</f>
        <v>1546.29772400506</v>
      </c>
      <c r="CC105" s="11" t="n">
        <f aca="false">Units!$E104*(1+Inputs!$B$7)^(CC$2-1)</f>
        <v>1546.29772400506</v>
      </c>
      <c r="CD105" s="11" t="n">
        <f aca="false">Units!$E104*(1+Inputs!$B$7)^(CD$2-1)</f>
        <v>1546.29772400506</v>
      </c>
      <c r="CE105" s="11" t="n">
        <f aca="false">Units!$E104*(1+Inputs!$B$7)^(CE$2-1)</f>
        <v>1546.29772400506</v>
      </c>
      <c r="CF105" s="11" t="n">
        <f aca="false">Units!$E104*(1+Inputs!$B$7)^(CF$2-1)</f>
        <v>1546.29772400506</v>
      </c>
      <c r="CG105" s="11" t="n">
        <f aca="false">Units!$E104*(1+Inputs!$B$7)^(CG$2-1)</f>
        <v>1546.29772400506</v>
      </c>
      <c r="CH105" s="11" t="n">
        <f aca="false">Units!$E104*(1+Inputs!$B$7)^(CH$2-1)</f>
        <v>1546.29772400506</v>
      </c>
      <c r="CI105" s="11" t="n">
        <f aca="false">Units!$E104*(1+Inputs!$B$7)^(CI$2-1)</f>
        <v>1592.68665572521</v>
      </c>
      <c r="CJ105" s="11" t="n">
        <f aca="false">Units!$E104*(1+Inputs!$B$7)^(CJ$2-1)</f>
        <v>1592.68665572521</v>
      </c>
      <c r="CK105" s="11" t="n">
        <f aca="false">Units!$E104*(1+Inputs!$B$7)^(CK$2-1)</f>
        <v>1592.68665572521</v>
      </c>
      <c r="CL105" s="11" t="n">
        <f aca="false">Units!$E104*(1+Inputs!$B$7)^(CL$2-1)</f>
        <v>1592.68665572521</v>
      </c>
      <c r="CM105" s="11" t="n">
        <f aca="false">Units!$E104*(1+Inputs!$B$7)^(CM$2-1)</f>
        <v>1592.68665572521</v>
      </c>
      <c r="CN105" s="11" t="n">
        <f aca="false">Units!$E104*(1+Inputs!$B$7)^(CN$2-1)</f>
        <v>1592.68665572521</v>
      </c>
      <c r="CO105" s="11" t="n">
        <f aca="false">Units!$E104*(1+Inputs!$B$7)^(CO$2-1)</f>
        <v>1592.68665572521</v>
      </c>
      <c r="CP105" s="11" t="n">
        <f aca="false">Units!$E104*(1+Inputs!$B$7)^(CP$2-1)</f>
        <v>1592.68665572521</v>
      </c>
      <c r="CQ105" s="11" t="n">
        <f aca="false">Units!$E104*(1+Inputs!$B$7)^(CQ$2-1)</f>
        <v>1592.68665572521</v>
      </c>
      <c r="CR105" s="11" t="n">
        <f aca="false">Units!$E104*(1+Inputs!$B$7)^(CR$2-1)</f>
        <v>1592.68665572521</v>
      </c>
      <c r="CS105" s="11" t="n">
        <f aca="false">Units!$E104*(1+Inputs!$B$7)^(CS$2-1)</f>
        <v>1592.68665572521</v>
      </c>
      <c r="CT105" s="11" t="n">
        <f aca="false">Units!$E104*(1+Inputs!$B$7)^(CT$2-1)</f>
        <v>1592.68665572521</v>
      </c>
      <c r="CU105" s="11" t="n">
        <f aca="false">Units!$E104*(1+Inputs!$B$7)^(CU$2-1)</f>
        <v>1640.46725539696</v>
      </c>
      <c r="CV105" s="11" t="n">
        <f aca="false">Units!$E104*(1+Inputs!$B$7)^(CV$2-1)</f>
        <v>1640.46725539696</v>
      </c>
      <c r="CW105" s="11" t="n">
        <f aca="false">Units!$E104*(1+Inputs!$B$7)^(CW$2-1)</f>
        <v>1640.46725539696</v>
      </c>
      <c r="CX105" s="11" t="n">
        <f aca="false">Units!$E104*(1+Inputs!$B$7)^(CX$2-1)</f>
        <v>1640.46725539696</v>
      </c>
      <c r="CY105" s="11" t="n">
        <f aca="false">Units!$E104*(1+Inputs!$B$7)^(CY$2-1)</f>
        <v>1640.46725539696</v>
      </c>
      <c r="CZ105" s="11" t="n">
        <f aca="false">Units!$E104*(1+Inputs!$B$7)^(CZ$2-1)</f>
        <v>1640.46725539696</v>
      </c>
      <c r="DA105" s="11" t="n">
        <f aca="false">Units!$E104*(1+Inputs!$B$7)^(DA$2-1)</f>
        <v>1640.46725539696</v>
      </c>
      <c r="DB105" s="11" t="n">
        <f aca="false">Units!$E104*(1+Inputs!$B$7)^(DB$2-1)</f>
        <v>1640.46725539696</v>
      </c>
      <c r="DC105" s="11" t="n">
        <f aca="false">Units!$E104*(1+Inputs!$B$7)^(DC$2-1)</f>
        <v>1640.46725539696</v>
      </c>
      <c r="DD105" s="11" t="n">
        <f aca="false">Units!$E104*(1+Inputs!$B$7)^(DD$2-1)</f>
        <v>1640.46725539696</v>
      </c>
      <c r="DE105" s="11" t="n">
        <f aca="false">Units!$E104*(1+Inputs!$B$7)^(DE$2-1)</f>
        <v>1640.46725539696</v>
      </c>
      <c r="DF105" s="11" t="n">
        <f aca="false">Units!$E104*(1+Inputs!$B$7)^(DF$2-1)</f>
        <v>1640.46725539696</v>
      </c>
      <c r="DG105" s="11" t="n">
        <f aca="false">Units!$E104*(1+Inputs!$B$7)^(DG$2-1)</f>
        <v>1689.68127305887</v>
      </c>
      <c r="DH105" s="11" t="n">
        <f aca="false">Units!$E104*(1+Inputs!$B$7)^(DH$2-1)</f>
        <v>1689.68127305887</v>
      </c>
      <c r="DI105" s="11" t="n">
        <f aca="false">Units!$E104*(1+Inputs!$B$7)^(DI$2-1)</f>
        <v>1689.68127305887</v>
      </c>
      <c r="DJ105" s="11" t="n">
        <f aca="false">Units!$E104*(1+Inputs!$B$7)^(DJ$2-1)</f>
        <v>1689.68127305887</v>
      </c>
      <c r="DK105" s="11" t="n">
        <f aca="false">Units!$E104*(1+Inputs!$B$7)^(DK$2-1)</f>
        <v>1689.68127305887</v>
      </c>
      <c r="DL105" s="11" t="n">
        <f aca="false">Units!$E104*(1+Inputs!$B$7)^(DL$2-1)</f>
        <v>1689.68127305887</v>
      </c>
      <c r="DM105" s="11" t="n">
        <f aca="false">Units!$E104*(1+Inputs!$B$7)^(DM$2-1)</f>
        <v>1689.68127305887</v>
      </c>
      <c r="DN105" s="11" t="n">
        <f aca="false">Units!$E104*(1+Inputs!$B$7)^(DN$2-1)</f>
        <v>1689.68127305887</v>
      </c>
      <c r="DO105" s="11" t="n">
        <f aca="false">Units!$E104*(1+Inputs!$B$7)^(DO$2-1)</f>
        <v>1689.68127305887</v>
      </c>
      <c r="DP105" s="11" t="n">
        <f aca="false">Units!$E104*(1+Inputs!$B$7)^(DP$2-1)</f>
        <v>1689.68127305887</v>
      </c>
      <c r="DQ105" s="11" t="n">
        <f aca="false">Units!$E104*(1+Inputs!$B$7)^(DQ$2-1)</f>
        <v>1689.68127305887</v>
      </c>
      <c r="DR105" s="11" t="n">
        <f aca="false">Units!$E104*(1+Inputs!$B$7)^(DR$2-1)</f>
        <v>1689.68127305887</v>
      </c>
      <c r="DS105" s="11" t="n">
        <f aca="false">Units!$E104*(1+Inputs!$B$7)^(DS$2-1)</f>
        <v>1740.37171125064</v>
      </c>
      <c r="DT105" s="11" t="n">
        <f aca="false">Units!$E104*(1+Inputs!$B$7)^(DT$2-1)</f>
        <v>1740.37171125064</v>
      </c>
      <c r="DU105" s="11" t="n">
        <f aca="false">Units!$E104*(1+Inputs!$B$7)^(DU$2-1)</f>
        <v>1740.37171125064</v>
      </c>
      <c r="DV105" s="11" t="n">
        <f aca="false">Units!$E104*(1+Inputs!$B$7)^(DV$2-1)</f>
        <v>1740.37171125064</v>
      </c>
      <c r="DW105" s="11" t="n">
        <f aca="false">Units!$E104*(1+Inputs!$B$7)^(DW$2-1)</f>
        <v>1740.37171125064</v>
      </c>
      <c r="DX105" s="11" t="n">
        <f aca="false">Units!$E104*(1+Inputs!$B$7)^(DX$2-1)</f>
        <v>1740.37171125064</v>
      </c>
      <c r="DY105" s="11" t="n">
        <f aca="false">Units!$E104*(1+Inputs!$B$7)^(DY$2-1)</f>
        <v>1740.37171125064</v>
      </c>
      <c r="DZ105" s="11" t="n">
        <f aca="false">Units!$E104*(1+Inputs!$B$7)^(DZ$2-1)</f>
        <v>1740.37171125064</v>
      </c>
      <c r="EA105" s="11" t="n">
        <f aca="false">Units!$E104*(1+Inputs!$B$7)^(EA$2-1)</f>
        <v>1740.37171125064</v>
      </c>
      <c r="EB105" s="11" t="n">
        <f aca="false">Units!$E104*(1+Inputs!$B$7)^(EB$2-1)</f>
        <v>1740.37171125064</v>
      </c>
      <c r="EC105" s="11" t="n">
        <f aca="false">Units!$E104*(1+Inputs!$B$7)^(EC$2-1)</f>
        <v>1740.37171125064</v>
      </c>
      <c r="ED105" s="11" t="n">
        <f aca="false">Units!$E104*(1+Inputs!$B$7)^(ED$2-1)</f>
        <v>1740.37171125064</v>
      </c>
    </row>
    <row r="106" customFormat="false" ht="15" hidden="false" customHeight="false" outlineLevel="0" collapsed="false">
      <c r="A106" s="22" t="n">
        <f aca="false">Units!A105</f>
        <v>414</v>
      </c>
      <c r="B106" s="23"/>
      <c r="C106" s="11" t="n">
        <f aca="false">Units!$E105*(1+Inputs!$B$7)^(C$2-1)</f>
        <v>1295</v>
      </c>
      <c r="D106" s="11" t="n">
        <f aca="false">Units!$E105*(1+Inputs!$B$7)^(D$2-1)</f>
        <v>1295</v>
      </c>
      <c r="E106" s="11" t="n">
        <f aca="false">Units!$E105*(1+Inputs!$B$7)^(E$2-1)</f>
        <v>1295</v>
      </c>
      <c r="F106" s="11" t="n">
        <f aca="false">Units!$E105*(1+Inputs!$B$7)^(F$2-1)</f>
        <v>1295</v>
      </c>
      <c r="G106" s="11" t="n">
        <f aca="false">Units!$E105*(1+Inputs!$B$7)^(G$2-1)</f>
        <v>1295</v>
      </c>
      <c r="H106" s="11" t="n">
        <f aca="false">Units!$E105*(1+Inputs!$B$7)^(H$2-1)</f>
        <v>1295</v>
      </c>
      <c r="I106" s="11" t="n">
        <f aca="false">Units!$E105*(1+Inputs!$B$7)^(I$2-1)</f>
        <v>1295</v>
      </c>
      <c r="J106" s="11" t="n">
        <f aca="false">Units!$E105*(1+Inputs!$B$7)^(J$2-1)</f>
        <v>1295</v>
      </c>
      <c r="K106" s="11" t="n">
        <f aca="false">Units!$E105*(1+Inputs!$B$7)^(K$2-1)</f>
        <v>1295</v>
      </c>
      <c r="L106" s="11" t="n">
        <f aca="false">Units!$E105*(1+Inputs!$B$7)^(L$2-1)</f>
        <v>1295</v>
      </c>
      <c r="M106" s="11" t="n">
        <f aca="false">Units!$E105*(1+Inputs!$B$7)^(M$2-1)</f>
        <v>1295</v>
      </c>
      <c r="N106" s="11" t="n">
        <f aca="false">Units!$E105*(1+Inputs!$B$7)^(N$2-1)</f>
        <v>1295</v>
      </c>
      <c r="O106" s="11" t="n">
        <f aca="false">Units!$E105*(1+Inputs!$B$7)^(O$2-1)</f>
        <v>1333.85</v>
      </c>
      <c r="P106" s="11" t="n">
        <f aca="false">Units!$E105*(1+Inputs!$B$7)^(P$2-1)</f>
        <v>1333.85</v>
      </c>
      <c r="Q106" s="11" t="n">
        <f aca="false">Units!$E105*(1+Inputs!$B$7)^(Q$2-1)</f>
        <v>1333.85</v>
      </c>
      <c r="R106" s="11" t="n">
        <f aca="false">Units!$E105*(1+Inputs!$B$7)^(R$2-1)</f>
        <v>1333.85</v>
      </c>
      <c r="S106" s="11" t="n">
        <f aca="false">Units!$E105*(1+Inputs!$B$7)^(S$2-1)</f>
        <v>1333.85</v>
      </c>
      <c r="T106" s="11" t="n">
        <f aca="false">Units!$E105*(1+Inputs!$B$7)^(T$2-1)</f>
        <v>1333.85</v>
      </c>
      <c r="U106" s="11" t="n">
        <f aca="false">Units!$E105*(1+Inputs!$B$7)^(U$2-1)</f>
        <v>1333.85</v>
      </c>
      <c r="V106" s="11" t="n">
        <f aca="false">Units!$E105*(1+Inputs!$B$7)^(V$2-1)</f>
        <v>1333.85</v>
      </c>
      <c r="W106" s="11" t="n">
        <f aca="false">Units!$E105*(1+Inputs!$B$7)^(W$2-1)</f>
        <v>1333.85</v>
      </c>
      <c r="X106" s="11" t="n">
        <f aca="false">Units!$E105*(1+Inputs!$B$7)^(X$2-1)</f>
        <v>1333.85</v>
      </c>
      <c r="Y106" s="11" t="n">
        <f aca="false">Units!$E105*(1+Inputs!$B$7)^(Y$2-1)</f>
        <v>1333.85</v>
      </c>
      <c r="Z106" s="11" t="n">
        <f aca="false">Units!$E105*(1+Inputs!$B$7)^(Z$2-1)</f>
        <v>1333.85</v>
      </c>
      <c r="AA106" s="11" t="n">
        <f aca="false">Units!$E105*(1+Inputs!$B$7)^(AA$2-1)</f>
        <v>1373.8655</v>
      </c>
      <c r="AB106" s="11" t="n">
        <f aca="false">Units!$E105*(1+Inputs!$B$7)^(AB$2-1)</f>
        <v>1373.8655</v>
      </c>
      <c r="AC106" s="11" t="n">
        <f aca="false">Units!$E105*(1+Inputs!$B$7)^(AC$2-1)</f>
        <v>1373.8655</v>
      </c>
      <c r="AD106" s="11" t="n">
        <f aca="false">Units!$E105*(1+Inputs!$B$7)^(AD$2-1)</f>
        <v>1373.8655</v>
      </c>
      <c r="AE106" s="11" t="n">
        <f aca="false">Units!$E105*(1+Inputs!$B$7)^(AE$2-1)</f>
        <v>1373.8655</v>
      </c>
      <c r="AF106" s="11" t="n">
        <f aca="false">Units!$E105*(1+Inputs!$B$7)^(AF$2-1)</f>
        <v>1373.8655</v>
      </c>
      <c r="AG106" s="11" t="n">
        <f aca="false">Units!$E105*(1+Inputs!$B$7)^(AG$2-1)</f>
        <v>1373.8655</v>
      </c>
      <c r="AH106" s="11" t="n">
        <f aca="false">Units!$E105*(1+Inputs!$B$7)^(AH$2-1)</f>
        <v>1373.8655</v>
      </c>
      <c r="AI106" s="11" t="n">
        <f aca="false">Units!$E105*(1+Inputs!$B$7)^(AI$2-1)</f>
        <v>1373.8655</v>
      </c>
      <c r="AJ106" s="11" t="n">
        <f aca="false">Units!$E105*(1+Inputs!$B$7)^(AJ$2-1)</f>
        <v>1373.8655</v>
      </c>
      <c r="AK106" s="11" t="n">
        <f aca="false">Units!$E105*(1+Inputs!$B$7)^(AK$2-1)</f>
        <v>1373.8655</v>
      </c>
      <c r="AL106" s="11" t="n">
        <f aca="false">Units!$E105*(1+Inputs!$B$7)^(AL$2-1)</f>
        <v>1373.8655</v>
      </c>
      <c r="AM106" s="11" t="n">
        <f aca="false">Units!$E105*(1+Inputs!$B$7)^(AM$2-1)</f>
        <v>1415.081465</v>
      </c>
      <c r="AN106" s="11" t="n">
        <f aca="false">Units!$E105*(1+Inputs!$B$7)^(AN$2-1)</f>
        <v>1415.081465</v>
      </c>
      <c r="AO106" s="11" t="n">
        <f aca="false">Units!$E105*(1+Inputs!$B$7)^(AO$2-1)</f>
        <v>1415.081465</v>
      </c>
      <c r="AP106" s="11" t="n">
        <f aca="false">Units!$E105*(1+Inputs!$B$7)^(AP$2-1)</f>
        <v>1415.081465</v>
      </c>
      <c r="AQ106" s="11" t="n">
        <f aca="false">Units!$E105*(1+Inputs!$B$7)^(AQ$2-1)</f>
        <v>1415.081465</v>
      </c>
      <c r="AR106" s="11" t="n">
        <f aca="false">Units!$E105*(1+Inputs!$B$7)^(AR$2-1)</f>
        <v>1415.081465</v>
      </c>
      <c r="AS106" s="11" t="n">
        <f aca="false">Units!$E105*(1+Inputs!$B$7)^(AS$2-1)</f>
        <v>1415.081465</v>
      </c>
      <c r="AT106" s="11" t="n">
        <f aca="false">Units!$E105*(1+Inputs!$B$7)^(AT$2-1)</f>
        <v>1415.081465</v>
      </c>
      <c r="AU106" s="11" t="n">
        <f aca="false">Units!$E105*(1+Inputs!$B$7)^(AU$2-1)</f>
        <v>1415.081465</v>
      </c>
      <c r="AV106" s="11" t="n">
        <f aca="false">Units!$E105*(1+Inputs!$B$7)^(AV$2-1)</f>
        <v>1415.081465</v>
      </c>
      <c r="AW106" s="11" t="n">
        <f aca="false">Units!$E105*(1+Inputs!$B$7)^(AW$2-1)</f>
        <v>1415.081465</v>
      </c>
      <c r="AX106" s="11" t="n">
        <f aca="false">Units!$E105*(1+Inputs!$B$7)^(AX$2-1)</f>
        <v>1415.081465</v>
      </c>
      <c r="AY106" s="11" t="n">
        <f aca="false">Units!$E105*(1+Inputs!$B$7)^(AY$2-1)</f>
        <v>1457.53390895</v>
      </c>
      <c r="AZ106" s="11" t="n">
        <f aca="false">Units!$E105*(1+Inputs!$B$7)^(AZ$2-1)</f>
        <v>1457.53390895</v>
      </c>
      <c r="BA106" s="11" t="n">
        <f aca="false">Units!$E105*(1+Inputs!$B$7)^(BA$2-1)</f>
        <v>1457.53390895</v>
      </c>
      <c r="BB106" s="11" t="n">
        <f aca="false">Units!$E105*(1+Inputs!$B$7)^(BB$2-1)</f>
        <v>1457.53390895</v>
      </c>
      <c r="BC106" s="11" t="n">
        <f aca="false">Units!$E105*(1+Inputs!$B$7)^(BC$2-1)</f>
        <v>1457.53390895</v>
      </c>
      <c r="BD106" s="11" t="n">
        <f aca="false">Units!$E105*(1+Inputs!$B$7)^(BD$2-1)</f>
        <v>1457.53390895</v>
      </c>
      <c r="BE106" s="11" t="n">
        <f aca="false">Units!$E105*(1+Inputs!$B$7)^(BE$2-1)</f>
        <v>1457.53390895</v>
      </c>
      <c r="BF106" s="11" t="n">
        <f aca="false">Units!$E105*(1+Inputs!$B$7)^(BF$2-1)</f>
        <v>1457.53390895</v>
      </c>
      <c r="BG106" s="11" t="n">
        <f aca="false">Units!$E105*(1+Inputs!$B$7)^(BG$2-1)</f>
        <v>1457.53390895</v>
      </c>
      <c r="BH106" s="11" t="n">
        <f aca="false">Units!$E105*(1+Inputs!$B$7)^(BH$2-1)</f>
        <v>1457.53390895</v>
      </c>
      <c r="BI106" s="11" t="n">
        <f aca="false">Units!$E105*(1+Inputs!$B$7)^(BI$2-1)</f>
        <v>1457.53390895</v>
      </c>
      <c r="BJ106" s="11" t="n">
        <f aca="false">Units!$E105*(1+Inputs!$B$7)^(BJ$2-1)</f>
        <v>1457.53390895</v>
      </c>
      <c r="BK106" s="11" t="n">
        <f aca="false">Units!$E105*(1+Inputs!$B$7)^(BK$2-1)</f>
        <v>1501.2599262185</v>
      </c>
      <c r="BL106" s="11" t="n">
        <f aca="false">Units!$E105*(1+Inputs!$B$7)^(BL$2-1)</f>
        <v>1501.2599262185</v>
      </c>
      <c r="BM106" s="11" t="n">
        <f aca="false">Units!$E105*(1+Inputs!$B$7)^(BM$2-1)</f>
        <v>1501.2599262185</v>
      </c>
      <c r="BN106" s="11" t="n">
        <f aca="false">Units!$E105*(1+Inputs!$B$7)^(BN$2-1)</f>
        <v>1501.2599262185</v>
      </c>
      <c r="BO106" s="11" t="n">
        <f aca="false">Units!$E105*(1+Inputs!$B$7)^(BO$2-1)</f>
        <v>1501.2599262185</v>
      </c>
      <c r="BP106" s="11" t="n">
        <f aca="false">Units!$E105*(1+Inputs!$B$7)^(BP$2-1)</f>
        <v>1501.2599262185</v>
      </c>
      <c r="BQ106" s="11" t="n">
        <f aca="false">Units!$E105*(1+Inputs!$B$7)^(BQ$2-1)</f>
        <v>1501.2599262185</v>
      </c>
      <c r="BR106" s="11" t="n">
        <f aca="false">Units!$E105*(1+Inputs!$B$7)^(BR$2-1)</f>
        <v>1501.2599262185</v>
      </c>
      <c r="BS106" s="11" t="n">
        <f aca="false">Units!$E105*(1+Inputs!$B$7)^(BS$2-1)</f>
        <v>1501.2599262185</v>
      </c>
      <c r="BT106" s="11" t="n">
        <f aca="false">Units!$E105*(1+Inputs!$B$7)^(BT$2-1)</f>
        <v>1501.2599262185</v>
      </c>
      <c r="BU106" s="11" t="n">
        <f aca="false">Units!$E105*(1+Inputs!$B$7)^(BU$2-1)</f>
        <v>1501.2599262185</v>
      </c>
      <c r="BV106" s="11" t="n">
        <f aca="false">Units!$E105*(1+Inputs!$B$7)^(BV$2-1)</f>
        <v>1501.2599262185</v>
      </c>
      <c r="BW106" s="11" t="n">
        <f aca="false">Units!$E105*(1+Inputs!$B$7)^(BW$2-1)</f>
        <v>1546.29772400506</v>
      </c>
      <c r="BX106" s="11" t="n">
        <f aca="false">Units!$E105*(1+Inputs!$B$7)^(BX$2-1)</f>
        <v>1546.29772400506</v>
      </c>
      <c r="BY106" s="11" t="n">
        <f aca="false">Units!$E105*(1+Inputs!$B$7)^(BY$2-1)</f>
        <v>1546.29772400506</v>
      </c>
      <c r="BZ106" s="11" t="n">
        <f aca="false">Units!$E105*(1+Inputs!$B$7)^(BZ$2-1)</f>
        <v>1546.29772400506</v>
      </c>
      <c r="CA106" s="11" t="n">
        <f aca="false">Units!$E105*(1+Inputs!$B$7)^(CA$2-1)</f>
        <v>1546.29772400506</v>
      </c>
      <c r="CB106" s="11" t="n">
        <f aca="false">Units!$E105*(1+Inputs!$B$7)^(CB$2-1)</f>
        <v>1546.29772400506</v>
      </c>
      <c r="CC106" s="11" t="n">
        <f aca="false">Units!$E105*(1+Inputs!$B$7)^(CC$2-1)</f>
        <v>1546.29772400506</v>
      </c>
      <c r="CD106" s="11" t="n">
        <f aca="false">Units!$E105*(1+Inputs!$B$7)^(CD$2-1)</f>
        <v>1546.29772400506</v>
      </c>
      <c r="CE106" s="11" t="n">
        <f aca="false">Units!$E105*(1+Inputs!$B$7)^(CE$2-1)</f>
        <v>1546.29772400506</v>
      </c>
      <c r="CF106" s="11" t="n">
        <f aca="false">Units!$E105*(1+Inputs!$B$7)^(CF$2-1)</f>
        <v>1546.29772400506</v>
      </c>
      <c r="CG106" s="11" t="n">
        <f aca="false">Units!$E105*(1+Inputs!$B$7)^(CG$2-1)</f>
        <v>1546.29772400506</v>
      </c>
      <c r="CH106" s="11" t="n">
        <f aca="false">Units!$E105*(1+Inputs!$B$7)^(CH$2-1)</f>
        <v>1546.29772400506</v>
      </c>
      <c r="CI106" s="11" t="n">
        <f aca="false">Units!$E105*(1+Inputs!$B$7)^(CI$2-1)</f>
        <v>1592.68665572521</v>
      </c>
      <c r="CJ106" s="11" t="n">
        <f aca="false">Units!$E105*(1+Inputs!$B$7)^(CJ$2-1)</f>
        <v>1592.68665572521</v>
      </c>
      <c r="CK106" s="11" t="n">
        <f aca="false">Units!$E105*(1+Inputs!$B$7)^(CK$2-1)</f>
        <v>1592.68665572521</v>
      </c>
      <c r="CL106" s="11" t="n">
        <f aca="false">Units!$E105*(1+Inputs!$B$7)^(CL$2-1)</f>
        <v>1592.68665572521</v>
      </c>
      <c r="CM106" s="11" t="n">
        <f aca="false">Units!$E105*(1+Inputs!$B$7)^(CM$2-1)</f>
        <v>1592.68665572521</v>
      </c>
      <c r="CN106" s="11" t="n">
        <f aca="false">Units!$E105*(1+Inputs!$B$7)^(CN$2-1)</f>
        <v>1592.68665572521</v>
      </c>
      <c r="CO106" s="11" t="n">
        <f aca="false">Units!$E105*(1+Inputs!$B$7)^(CO$2-1)</f>
        <v>1592.68665572521</v>
      </c>
      <c r="CP106" s="11" t="n">
        <f aca="false">Units!$E105*(1+Inputs!$B$7)^(CP$2-1)</f>
        <v>1592.68665572521</v>
      </c>
      <c r="CQ106" s="11" t="n">
        <f aca="false">Units!$E105*(1+Inputs!$B$7)^(CQ$2-1)</f>
        <v>1592.68665572521</v>
      </c>
      <c r="CR106" s="11" t="n">
        <f aca="false">Units!$E105*(1+Inputs!$B$7)^(CR$2-1)</f>
        <v>1592.68665572521</v>
      </c>
      <c r="CS106" s="11" t="n">
        <f aca="false">Units!$E105*(1+Inputs!$B$7)^(CS$2-1)</f>
        <v>1592.68665572521</v>
      </c>
      <c r="CT106" s="11" t="n">
        <f aca="false">Units!$E105*(1+Inputs!$B$7)^(CT$2-1)</f>
        <v>1592.68665572521</v>
      </c>
      <c r="CU106" s="11" t="n">
        <f aca="false">Units!$E105*(1+Inputs!$B$7)^(CU$2-1)</f>
        <v>1640.46725539696</v>
      </c>
      <c r="CV106" s="11" t="n">
        <f aca="false">Units!$E105*(1+Inputs!$B$7)^(CV$2-1)</f>
        <v>1640.46725539696</v>
      </c>
      <c r="CW106" s="11" t="n">
        <f aca="false">Units!$E105*(1+Inputs!$B$7)^(CW$2-1)</f>
        <v>1640.46725539696</v>
      </c>
      <c r="CX106" s="11" t="n">
        <f aca="false">Units!$E105*(1+Inputs!$B$7)^(CX$2-1)</f>
        <v>1640.46725539696</v>
      </c>
      <c r="CY106" s="11" t="n">
        <f aca="false">Units!$E105*(1+Inputs!$B$7)^(CY$2-1)</f>
        <v>1640.46725539696</v>
      </c>
      <c r="CZ106" s="11" t="n">
        <f aca="false">Units!$E105*(1+Inputs!$B$7)^(CZ$2-1)</f>
        <v>1640.46725539696</v>
      </c>
      <c r="DA106" s="11" t="n">
        <f aca="false">Units!$E105*(1+Inputs!$B$7)^(DA$2-1)</f>
        <v>1640.46725539696</v>
      </c>
      <c r="DB106" s="11" t="n">
        <f aca="false">Units!$E105*(1+Inputs!$B$7)^(DB$2-1)</f>
        <v>1640.46725539696</v>
      </c>
      <c r="DC106" s="11" t="n">
        <f aca="false">Units!$E105*(1+Inputs!$B$7)^(DC$2-1)</f>
        <v>1640.46725539696</v>
      </c>
      <c r="DD106" s="11" t="n">
        <f aca="false">Units!$E105*(1+Inputs!$B$7)^(DD$2-1)</f>
        <v>1640.46725539696</v>
      </c>
      <c r="DE106" s="11" t="n">
        <f aca="false">Units!$E105*(1+Inputs!$B$7)^(DE$2-1)</f>
        <v>1640.46725539696</v>
      </c>
      <c r="DF106" s="11" t="n">
        <f aca="false">Units!$E105*(1+Inputs!$B$7)^(DF$2-1)</f>
        <v>1640.46725539696</v>
      </c>
      <c r="DG106" s="11" t="n">
        <f aca="false">Units!$E105*(1+Inputs!$B$7)^(DG$2-1)</f>
        <v>1689.68127305887</v>
      </c>
      <c r="DH106" s="11" t="n">
        <f aca="false">Units!$E105*(1+Inputs!$B$7)^(DH$2-1)</f>
        <v>1689.68127305887</v>
      </c>
      <c r="DI106" s="11" t="n">
        <f aca="false">Units!$E105*(1+Inputs!$B$7)^(DI$2-1)</f>
        <v>1689.68127305887</v>
      </c>
      <c r="DJ106" s="11" t="n">
        <f aca="false">Units!$E105*(1+Inputs!$B$7)^(DJ$2-1)</f>
        <v>1689.68127305887</v>
      </c>
      <c r="DK106" s="11" t="n">
        <f aca="false">Units!$E105*(1+Inputs!$B$7)^(DK$2-1)</f>
        <v>1689.68127305887</v>
      </c>
      <c r="DL106" s="11" t="n">
        <f aca="false">Units!$E105*(1+Inputs!$B$7)^(DL$2-1)</f>
        <v>1689.68127305887</v>
      </c>
      <c r="DM106" s="11" t="n">
        <f aca="false">Units!$E105*(1+Inputs!$B$7)^(DM$2-1)</f>
        <v>1689.68127305887</v>
      </c>
      <c r="DN106" s="11" t="n">
        <f aca="false">Units!$E105*(1+Inputs!$B$7)^(DN$2-1)</f>
        <v>1689.68127305887</v>
      </c>
      <c r="DO106" s="11" t="n">
        <f aca="false">Units!$E105*(1+Inputs!$B$7)^(DO$2-1)</f>
        <v>1689.68127305887</v>
      </c>
      <c r="DP106" s="11" t="n">
        <f aca="false">Units!$E105*(1+Inputs!$B$7)^(DP$2-1)</f>
        <v>1689.68127305887</v>
      </c>
      <c r="DQ106" s="11" t="n">
        <f aca="false">Units!$E105*(1+Inputs!$B$7)^(DQ$2-1)</f>
        <v>1689.68127305887</v>
      </c>
      <c r="DR106" s="11" t="n">
        <f aca="false">Units!$E105*(1+Inputs!$B$7)^(DR$2-1)</f>
        <v>1689.68127305887</v>
      </c>
      <c r="DS106" s="11" t="n">
        <f aca="false">Units!$E105*(1+Inputs!$B$7)^(DS$2-1)</f>
        <v>1740.37171125064</v>
      </c>
      <c r="DT106" s="11" t="n">
        <f aca="false">Units!$E105*(1+Inputs!$B$7)^(DT$2-1)</f>
        <v>1740.37171125064</v>
      </c>
      <c r="DU106" s="11" t="n">
        <f aca="false">Units!$E105*(1+Inputs!$B$7)^(DU$2-1)</f>
        <v>1740.37171125064</v>
      </c>
      <c r="DV106" s="11" t="n">
        <f aca="false">Units!$E105*(1+Inputs!$B$7)^(DV$2-1)</f>
        <v>1740.37171125064</v>
      </c>
      <c r="DW106" s="11" t="n">
        <f aca="false">Units!$E105*(1+Inputs!$B$7)^(DW$2-1)</f>
        <v>1740.37171125064</v>
      </c>
      <c r="DX106" s="11" t="n">
        <f aca="false">Units!$E105*(1+Inputs!$B$7)^(DX$2-1)</f>
        <v>1740.37171125064</v>
      </c>
      <c r="DY106" s="11" t="n">
        <f aca="false">Units!$E105*(1+Inputs!$B$7)^(DY$2-1)</f>
        <v>1740.37171125064</v>
      </c>
      <c r="DZ106" s="11" t="n">
        <f aca="false">Units!$E105*(1+Inputs!$B$7)^(DZ$2-1)</f>
        <v>1740.37171125064</v>
      </c>
      <c r="EA106" s="11" t="n">
        <f aca="false">Units!$E105*(1+Inputs!$B$7)^(EA$2-1)</f>
        <v>1740.37171125064</v>
      </c>
      <c r="EB106" s="11" t="n">
        <f aca="false">Units!$E105*(1+Inputs!$B$7)^(EB$2-1)</f>
        <v>1740.37171125064</v>
      </c>
      <c r="EC106" s="11" t="n">
        <f aca="false">Units!$E105*(1+Inputs!$B$7)^(EC$2-1)</f>
        <v>1740.37171125064</v>
      </c>
      <c r="ED106" s="11" t="n">
        <f aca="false">Units!$E105*(1+Inputs!$B$7)^(ED$2-1)</f>
        <v>1740.37171125064</v>
      </c>
    </row>
    <row r="107" customFormat="false" ht="15" hidden="false" customHeight="false" outlineLevel="0" collapsed="false">
      <c r="A107" s="22" t="n">
        <f aca="false">Units!A106</f>
        <v>415</v>
      </c>
      <c r="B107" s="23"/>
      <c r="C107" s="11" t="n">
        <f aca="false">Units!$E106*(1+Inputs!$B$7)^(C$2-1)</f>
        <v>1295</v>
      </c>
      <c r="D107" s="11" t="n">
        <f aca="false">Units!$E106*(1+Inputs!$B$7)^(D$2-1)</f>
        <v>1295</v>
      </c>
      <c r="E107" s="11" t="n">
        <f aca="false">Units!$E106*(1+Inputs!$B$7)^(E$2-1)</f>
        <v>1295</v>
      </c>
      <c r="F107" s="11" t="n">
        <f aca="false">Units!$E106*(1+Inputs!$B$7)^(F$2-1)</f>
        <v>1295</v>
      </c>
      <c r="G107" s="11" t="n">
        <f aca="false">Units!$E106*(1+Inputs!$B$7)^(G$2-1)</f>
        <v>1295</v>
      </c>
      <c r="H107" s="11" t="n">
        <f aca="false">Units!$E106*(1+Inputs!$B$7)^(H$2-1)</f>
        <v>1295</v>
      </c>
      <c r="I107" s="11" t="n">
        <f aca="false">Units!$E106*(1+Inputs!$B$7)^(I$2-1)</f>
        <v>1295</v>
      </c>
      <c r="J107" s="11" t="n">
        <f aca="false">Units!$E106*(1+Inputs!$B$7)^(J$2-1)</f>
        <v>1295</v>
      </c>
      <c r="K107" s="11" t="n">
        <f aca="false">Units!$E106*(1+Inputs!$B$7)^(K$2-1)</f>
        <v>1295</v>
      </c>
      <c r="L107" s="11" t="n">
        <f aca="false">Units!$E106*(1+Inputs!$B$7)^(L$2-1)</f>
        <v>1295</v>
      </c>
      <c r="M107" s="11" t="n">
        <f aca="false">Units!$E106*(1+Inputs!$B$7)^(M$2-1)</f>
        <v>1295</v>
      </c>
      <c r="N107" s="11" t="n">
        <f aca="false">Units!$E106*(1+Inputs!$B$7)^(N$2-1)</f>
        <v>1295</v>
      </c>
      <c r="O107" s="11" t="n">
        <f aca="false">Units!$E106*(1+Inputs!$B$7)^(O$2-1)</f>
        <v>1333.85</v>
      </c>
      <c r="P107" s="11" t="n">
        <f aca="false">Units!$E106*(1+Inputs!$B$7)^(P$2-1)</f>
        <v>1333.85</v>
      </c>
      <c r="Q107" s="11" t="n">
        <f aca="false">Units!$E106*(1+Inputs!$B$7)^(Q$2-1)</f>
        <v>1333.85</v>
      </c>
      <c r="R107" s="11" t="n">
        <f aca="false">Units!$E106*(1+Inputs!$B$7)^(R$2-1)</f>
        <v>1333.85</v>
      </c>
      <c r="S107" s="11" t="n">
        <f aca="false">Units!$E106*(1+Inputs!$B$7)^(S$2-1)</f>
        <v>1333.85</v>
      </c>
      <c r="T107" s="11" t="n">
        <f aca="false">Units!$E106*(1+Inputs!$B$7)^(T$2-1)</f>
        <v>1333.85</v>
      </c>
      <c r="U107" s="11" t="n">
        <f aca="false">Units!$E106*(1+Inputs!$B$7)^(U$2-1)</f>
        <v>1333.85</v>
      </c>
      <c r="V107" s="11" t="n">
        <f aca="false">Units!$E106*(1+Inputs!$B$7)^(V$2-1)</f>
        <v>1333.85</v>
      </c>
      <c r="W107" s="11" t="n">
        <f aca="false">Units!$E106*(1+Inputs!$B$7)^(W$2-1)</f>
        <v>1333.85</v>
      </c>
      <c r="X107" s="11" t="n">
        <f aca="false">Units!$E106*(1+Inputs!$B$7)^(X$2-1)</f>
        <v>1333.85</v>
      </c>
      <c r="Y107" s="11" t="n">
        <f aca="false">Units!$E106*(1+Inputs!$B$7)^(Y$2-1)</f>
        <v>1333.85</v>
      </c>
      <c r="Z107" s="11" t="n">
        <f aca="false">Units!$E106*(1+Inputs!$B$7)^(Z$2-1)</f>
        <v>1333.85</v>
      </c>
      <c r="AA107" s="11" t="n">
        <f aca="false">Units!$E106*(1+Inputs!$B$7)^(AA$2-1)</f>
        <v>1373.8655</v>
      </c>
      <c r="AB107" s="11" t="n">
        <f aca="false">Units!$E106*(1+Inputs!$B$7)^(AB$2-1)</f>
        <v>1373.8655</v>
      </c>
      <c r="AC107" s="11" t="n">
        <f aca="false">Units!$E106*(1+Inputs!$B$7)^(AC$2-1)</f>
        <v>1373.8655</v>
      </c>
      <c r="AD107" s="11" t="n">
        <f aca="false">Units!$E106*(1+Inputs!$B$7)^(AD$2-1)</f>
        <v>1373.8655</v>
      </c>
      <c r="AE107" s="11" t="n">
        <f aca="false">Units!$E106*(1+Inputs!$B$7)^(AE$2-1)</f>
        <v>1373.8655</v>
      </c>
      <c r="AF107" s="11" t="n">
        <f aca="false">Units!$E106*(1+Inputs!$B$7)^(AF$2-1)</f>
        <v>1373.8655</v>
      </c>
      <c r="AG107" s="11" t="n">
        <f aca="false">Units!$E106*(1+Inputs!$B$7)^(AG$2-1)</f>
        <v>1373.8655</v>
      </c>
      <c r="AH107" s="11" t="n">
        <f aca="false">Units!$E106*(1+Inputs!$B$7)^(AH$2-1)</f>
        <v>1373.8655</v>
      </c>
      <c r="AI107" s="11" t="n">
        <f aca="false">Units!$E106*(1+Inputs!$B$7)^(AI$2-1)</f>
        <v>1373.8655</v>
      </c>
      <c r="AJ107" s="11" t="n">
        <f aca="false">Units!$E106*(1+Inputs!$B$7)^(AJ$2-1)</f>
        <v>1373.8655</v>
      </c>
      <c r="AK107" s="11" t="n">
        <f aca="false">Units!$E106*(1+Inputs!$B$7)^(AK$2-1)</f>
        <v>1373.8655</v>
      </c>
      <c r="AL107" s="11" t="n">
        <f aca="false">Units!$E106*(1+Inputs!$B$7)^(AL$2-1)</f>
        <v>1373.8655</v>
      </c>
      <c r="AM107" s="11" t="n">
        <f aca="false">Units!$E106*(1+Inputs!$B$7)^(AM$2-1)</f>
        <v>1415.081465</v>
      </c>
      <c r="AN107" s="11" t="n">
        <f aca="false">Units!$E106*(1+Inputs!$B$7)^(AN$2-1)</f>
        <v>1415.081465</v>
      </c>
      <c r="AO107" s="11" t="n">
        <f aca="false">Units!$E106*(1+Inputs!$B$7)^(AO$2-1)</f>
        <v>1415.081465</v>
      </c>
      <c r="AP107" s="11" t="n">
        <f aca="false">Units!$E106*(1+Inputs!$B$7)^(AP$2-1)</f>
        <v>1415.081465</v>
      </c>
      <c r="AQ107" s="11" t="n">
        <f aca="false">Units!$E106*(1+Inputs!$B$7)^(AQ$2-1)</f>
        <v>1415.081465</v>
      </c>
      <c r="AR107" s="11" t="n">
        <f aca="false">Units!$E106*(1+Inputs!$B$7)^(AR$2-1)</f>
        <v>1415.081465</v>
      </c>
      <c r="AS107" s="11" t="n">
        <f aca="false">Units!$E106*(1+Inputs!$B$7)^(AS$2-1)</f>
        <v>1415.081465</v>
      </c>
      <c r="AT107" s="11" t="n">
        <f aca="false">Units!$E106*(1+Inputs!$B$7)^(AT$2-1)</f>
        <v>1415.081465</v>
      </c>
      <c r="AU107" s="11" t="n">
        <f aca="false">Units!$E106*(1+Inputs!$B$7)^(AU$2-1)</f>
        <v>1415.081465</v>
      </c>
      <c r="AV107" s="11" t="n">
        <f aca="false">Units!$E106*(1+Inputs!$B$7)^(AV$2-1)</f>
        <v>1415.081465</v>
      </c>
      <c r="AW107" s="11" t="n">
        <f aca="false">Units!$E106*(1+Inputs!$B$7)^(AW$2-1)</f>
        <v>1415.081465</v>
      </c>
      <c r="AX107" s="11" t="n">
        <f aca="false">Units!$E106*(1+Inputs!$B$7)^(AX$2-1)</f>
        <v>1415.081465</v>
      </c>
      <c r="AY107" s="11" t="n">
        <f aca="false">Units!$E106*(1+Inputs!$B$7)^(AY$2-1)</f>
        <v>1457.53390895</v>
      </c>
      <c r="AZ107" s="11" t="n">
        <f aca="false">Units!$E106*(1+Inputs!$B$7)^(AZ$2-1)</f>
        <v>1457.53390895</v>
      </c>
      <c r="BA107" s="11" t="n">
        <f aca="false">Units!$E106*(1+Inputs!$B$7)^(BA$2-1)</f>
        <v>1457.53390895</v>
      </c>
      <c r="BB107" s="11" t="n">
        <f aca="false">Units!$E106*(1+Inputs!$B$7)^(BB$2-1)</f>
        <v>1457.53390895</v>
      </c>
      <c r="BC107" s="11" t="n">
        <f aca="false">Units!$E106*(1+Inputs!$B$7)^(BC$2-1)</f>
        <v>1457.53390895</v>
      </c>
      <c r="BD107" s="11" t="n">
        <f aca="false">Units!$E106*(1+Inputs!$B$7)^(BD$2-1)</f>
        <v>1457.53390895</v>
      </c>
      <c r="BE107" s="11" t="n">
        <f aca="false">Units!$E106*(1+Inputs!$B$7)^(BE$2-1)</f>
        <v>1457.53390895</v>
      </c>
      <c r="BF107" s="11" t="n">
        <f aca="false">Units!$E106*(1+Inputs!$B$7)^(BF$2-1)</f>
        <v>1457.53390895</v>
      </c>
      <c r="BG107" s="11" t="n">
        <f aca="false">Units!$E106*(1+Inputs!$B$7)^(BG$2-1)</f>
        <v>1457.53390895</v>
      </c>
      <c r="BH107" s="11" t="n">
        <f aca="false">Units!$E106*(1+Inputs!$B$7)^(BH$2-1)</f>
        <v>1457.53390895</v>
      </c>
      <c r="BI107" s="11" t="n">
        <f aca="false">Units!$E106*(1+Inputs!$B$7)^(BI$2-1)</f>
        <v>1457.53390895</v>
      </c>
      <c r="BJ107" s="11" t="n">
        <f aca="false">Units!$E106*(1+Inputs!$B$7)^(BJ$2-1)</f>
        <v>1457.53390895</v>
      </c>
      <c r="BK107" s="11" t="n">
        <f aca="false">Units!$E106*(1+Inputs!$B$7)^(BK$2-1)</f>
        <v>1501.2599262185</v>
      </c>
      <c r="BL107" s="11" t="n">
        <f aca="false">Units!$E106*(1+Inputs!$B$7)^(BL$2-1)</f>
        <v>1501.2599262185</v>
      </c>
      <c r="BM107" s="11" t="n">
        <f aca="false">Units!$E106*(1+Inputs!$B$7)^(BM$2-1)</f>
        <v>1501.2599262185</v>
      </c>
      <c r="BN107" s="11" t="n">
        <f aca="false">Units!$E106*(1+Inputs!$B$7)^(BN$2-1)</f>
        <v>1501.2599262185</v>
      </c>
      <c r="BO107" s="11" t="n">
        <f aca="false">Units!$E106*(1+Inputs!$B$7)^(BO$2-1)</f>
        <v>1501.2599262185</v>
      </c>
      <c r="BP107" s="11" t="n">
        <f aca="false">Units!$E106*(1+Inputs!$B$7)^(BP$2-1)</f>
        <v>1501.2599262185</v>
      </c>
      <c r="BQ107" s="11" t="n">
        <f aca="false">Units!$E106*(1+Inputs!$B$7)^(BQ$2-1)</f>
        <v>1501.2599262185</v>
      </c>
      <c r="BR107" s="11" t="n">
        <f aca="false">Units!$E106*(1+Inputs!$B$7)^(BR$2-1)</f>
        <v>1501.2599262185</v>
      </c>
      <c r="BS107" s="11" t="n">
        <f aca="false">Units!$E106*(1+Inputs!$B$7)^(BS$2-1)</f>
        <v>1501.2599262185</v>
      </c>
      <c r="BT107" s="11" t="n">
        <f aca="false">Units!$E106*(1+Inputs!$B$7)^(BT$2-1)</f>
        <v>1501.2599262185</v>
      </c>
      <c r="BU107" s="11" t="n">
        <f aca="false">Units!$E106*(1+Inputs!$B$7)^(BU$2-1)</f>
        <v>1501.2599262185</v>
      </c>
      <c r="BV107" s="11" t="n">
        <f aca="false">Units!$E106*(1+Inputs!$B$7)^(BV$2-1)</f>
        <v>1501.2599262185</v>
      </c>
      <c r="BW107" s="11" t="n">
        <f aca="false">Units!$E106*(1+Inputs!$B$7)^(BW$2-1)</f>
        <v>1546.29772400506</v>
      </c>
      <c r="BX107" s="11" t="n">
        <f aca="false">Units!$E106*(1+Inputs!$B$7)^(BX$2-1)</f>
        <v>1546.29772400506</v>
      </c>
      <c r="BY107" s="11" t="n">
        <f aca="false">Units!$E106*(1+Inputs!$B$7)^(BY$2-1)</f>
        <v>1546.29772400506</v>
      </c>
      <c r="BZ107" s="11" t="n">
        <f aca="false">Units!$E106*(1+Inputs!$B$7)^(BZ$2-1)</f>
        <v>1546.29772400506</v>
      </c>
      <c r="CA107" s="11" t="n">
        <f aca="false">Units!$E106*(1+Inputs!$B$7)^(CA$2-1)</f>
        <v>1546.29772400506</v>
      </c>
      <c r="CB107" s="11" t="n">
        <f aca="false">Units!$E106*(1+Inputs!$B$7)^(CB$2-1)</f>
        <v>1546.29772400506</v>
      </c>
      <c r="CC107" s="11" t="n">
        <f aca="false">Units!$E106*(1+Inputs!$B$7)^(CC$2-1)</f>
        <v>1546.29772400506</v>
      </c>
      <c r="CD107" s="11" t="n">
        <f aca="false">Units!$E106*(1+Inputs!$B$7)^(CD$2-1)</f>
        <v>1546.29772400506</v>
      </c>
      <c r="CE107" s="11" t="n">
        <f aca="false">Units!$E106*(1+Inputs!$B$7)^(CE$2-1)</f>
        <v>1546.29772400506</v>
      </c>
      <c r="CF107" s="11" t="n">
        <f aca="false">Units!$E106*(1+Inputs!$B$7)^(CF$2-1)</f>
        <v>1546.29772400506</v>
      </c>
      <c r="CG107" s="11" t="n">
        <f aca="false">Units!$E106*(1+Inputs!$B$7)^(CG$2-1)</f>
        <v>1546.29772400506</v>
      </c>
      <c r="CH107" s="11" t="n">
        <f aca="false">Units!$E106*(1+Inputs!$B$7)^(CH$2-1)</f>
        <v>1546.29772400506</v>
      </c>
      <c r="CI107" s="11" t="n">
        <f aca="false">Units!$E106*(1+Inputs!$B$7)^(CI$2-1)</f>
        <v>1592.68665572521</v>
      </c>
      <c r="CJ107" s="11" t="n">
        <f aca="false">Units!$E106*(1+Inputs!$B$7)^(CJ$2-1)</f>
        <v>1592.68665572521</v>
      </c>
      <c r="CK107" s="11" t="n">
        <f aca="false">Units!$E106*(1+Inputs!$B$7)^(CK$2-1)</f>
        <v>1592.68665572521</v>
      </c>
      <c r="CL107" s="11" t="n">
        <f aca="false">Units!$E106*(1+Inputs!$B$7)^(CL$2-1)</f>
        <v>1592.68665572521</v>
      </c>
      <c r="CM107" s="11" t="n">
        <f aca="false">Units!$E106*(1+Inputs!$B$7)^(CM$2-1)</f>
        <v>1592.68665572521</v>
      </c>
      <c r="CN107" s="11" t="n">
        <f aca="false">Units!$E106*(1+Inputs!$B$7)^(CN$2-1)</f>
        <v>1592.68665572521</v>
      </c>
      <c r="CO107" s="11" t="n">
        <f aca="false">Units!$E106*(1+Inputs!$B$7)^(CO$2-1)</f>
        <v>1592.68665572521</v>
      </c>
      <c r="CP107" s="11" t="n">
        <f aca="false">Units!$E106*(1+Inputs!$B$7)^(CP$2-1)</f>
        <v>1592.68665572521</v>
      </c>
      <c r="CQ107" s="11" t="n">
        <f aca="false">Units!$E106*(1+Inputs!$B$7)^(CQ$2-1)</f>
        <v>1592.68665572521</v>
      </c>
      <c r="CR107" s="11" t="n">
        <f aca="false">Units!$E106*(1+Inputs!$B$7)^(CR$2-1)</f>
        <v>1592.68665572521</v>
      </c>
      <c r="CS107" s="11" t="n">
        <f aca="false">Units!$E106*(1+Inputs!$B$7)^(CS$2-1)</f>
        <v>1592.68665572521</v>
      </c>
      <c r="CT107" s="11" t="n">
        <f aca="false">Units!$E106*(1+Inputs!$B$7)^(CT$2-1)</f>
        <v>1592.68665572521</v>
      </c>
      <c r="CU107" s="11" t="n">
        <f aca="false">Units!$E106*(1+Inputs!$B$7)^(CU$2-1)</f>
        <v>1640.46725539696</v>
      </c>
      <c r="CV107" s="11" t="n">
        <f aca="false">Units!$E106*(1+Inputs!$B$7)^(CV$2-1)</f>
        <v>1640.46725539696</v>
      </c>
      <c r="CW107" s="11" t="n">
        <f aca="false">Units!$E106*(1+Inputs!$B$7)^(CW$2-1)</f>
        <v>1640.46725539696</v>
      </c>
      <c r="CX107" s="11" t="n">
        <f aca="false">Units!$E106*(1+Inputs!$B$7)^(CX$2-1)</f>
        <v>1640.46725539696</v>
      </c>
      <c r="CY107" s="11" t="n">
        <f aca="false">Units!$E106*(1+Inputs!$B$7)^(CY$2-1)</f>
        <v>1640.46725539696</v>
      </c>
      <c r="CZ107" s="11" t="n">
        <f aca="false">Units!$E106*(1+Inputs!$B$7)^(CZ$2-1)</f>
        <v>1640.46725539696</v>
      </c>
      <c r="DA107" s="11" t="n">
        <f aca="false">Units!$E106*(1+Inputs!$B$7)^(DA$2-1)</f>
        <v>1640.46725539696</v>
      </c>
      <c r="DB107" s="11" t="n">
        <f aca="false">Units!$E106*(1+Inputs!$B$7)^(DB$2-1)</f>
        <v>1640.46725539696</v>
      </c>
      <c r="DC107" s="11" t="n">
        <f aca="false">Units!$E106*(1+Inputs!$B$7)^(DC$2-1)</f>
        <v>1640.46725539696</v>
      </c>
      <c r="DD107" s="11" t="n">
        <f aca="false">Units!$E106*(1+Inputs!$B$7)^(DD$2-1)</f>
        <v>1640.46725539696</v>
      </c>
      <c r="DE107" s="11" t="n">
        <f aca="false">Units!$E106*(1+Inputs!$B$7)^(DE$2-1)</f>
        <v>1640.46725539696</v>
      </c>
      <c r="DF107" s="11" t="n">
        <f aca="false">Units!$E106*(1+Inputs!$B$7)^(DF$2-1)</f>
        <v>1640.46725539696</v>
      </c>
      <c r="DG107" s="11" t="n">
        <f aca="false">Units!$E106*(1+Inputs!$B$7)^(DG$2-1)</f>
        <v>1689.68127305887</v>
      </c>
      <c r="DH107" s="11" t="n">
        <f aca="false">Units!$E106*(1+Inputs!$B$7)^(DH$2-1)</f>
        <v>1689.68127305887</v>
      </c>
      <c r="DI107" s="11" t="n">
        <f aca="false">Units!$E106*(1+Inputs!$B$7)^(DI$2-1)</f>
        <v>1689.68127305887</v>
      </c>
      <c r="DJ107" s="11" t="n">
        <f aca="false">Units!$E106*(1+Inputs!$B$7)^(DJ$2-1)</f>
        <v>1689.68127305887</v>
      </c>
      <c r="DK107" s="11" t="n">
        <f aca="false">Units!$E106*(1+Inputs!$B$7)^(DK$2-1)</f>
        <v>1689.68127305887</v>
      </c>
      <c r="DL107" s="11" t="n">
        <f aca="false">Units!$E106*(1+Inputs!$B$7)^(DL$2-1)</f>
        <v>1689.68127305887</v>
      </c>
      <c r="DM107" s="11" t="n">
        <f aca="false">Units!$E106*(1+Inputs!$B$7)^(DM$2-1)</f>
        <v>1689.68127305887</v>
      </c>
      <c r="DN107" s="11" t="n">
        <f aca="false">Units!$E106*(1+Inputs!$B$7)^(DN$2-1)</f>
        <v>1689.68127305887</v>
      </c>
      <c r="DO107" s="11" t="n">
        <f aca="false">Units!$E106*(1+Inputs!$B$7)^(DO$2-1)</f>
        <v>1689.68127305887</v>
      </c>
      <c r="DP107" s="11" t="n">
        <f aca="false">Units!$E106*(1+Inputs!$B$7)^(DP$2-1)</f>
        <v>1689.68127305887</v>
      </c>
      <c r="DQ107" s="11" t="n">
        <f aca="false">Units!$E106*(1+Inputs!$B$7)^(DQ$2-1)</f>
        <v>1689.68127305887</v>
      </c>
      <c r="DR107" s="11" t="n">
        <f aca="false">Units!$E106*(1+Inputs!$B$7)^(DR$2-1)</f>
        <v>1689.68127305887</v>
      </c>
      <c r="DS107" s="11" t="n">
        <f aca="false">Units!$E106*(1+Inputs!$B$7)^(DS$2-1)</f>
        <v>1740.37171125064</v>
      </c>
      <c r="DT107" s="11" t="n">
        <f aca="false">Units!$E106*(1+Inputs!$B$7)^(DT$2-1)</f>
        <v>1740.37171125064</v>
      </c>
      <c r="DU107" s="11" t="n">
        <f aca="false">Units!$E106*(1+Inputs!$B$7)^(DU$2-1)</f>
        <v>1740.37171125064</v>
      </c>
      <c r="DV107" s="11" t="n">
        <f aca="false">Units!$E106*(1+Inputs!$B$7)^(DV$2-1)</f>
        <v>1740.37171125064</v>
      </c>
      <c r="DW107" s="11" t="n">
        <f aca="false">Units!$E106*(1+Inputs!$B$7)^(DW$2-1)</f>
        <v>1740.37171125064</v>
      </c>
      <c r="DX107" s="11" t="n">
        <f aca="false">Units!$E106*(1+Inputs!$B$7)^(DX$2-1)</f>
        <v>1740.37171125064</v>
      </c>
      <c r="DY107" s="11" t="n">
        <f aca="false">Units!$E106*(1+Inputs!$B$7)^(DY$2-1)</f>
        <v>1740.37171125064</v>
      </c>
      <c r="DZ107" s="11" t="n">
        <f aca="false">Units!$E106*(1+Inputs!$B$7)^(DZ$2-1)</f>
        <v>1740.37171125064</v>
      </c>
      <c r="EA107" s="11" t="n">
        <f aca="false">Units!$E106*(1+Inputs!$B$7)^(EA$2-1)</f>
        <v>1740.37171125064</v>
      </c>
      <c r="EB107" s="11" t="n">
        <f aca="false">Units!$E106*(1+Inputs!$B$7)^(EB$2-1)</f>
        <v>1740.37171125064</v>
      </c>
      <c r="EC107" s="11" t="n">
        <f aca="false">Units!$E106*(1+Inputs!$B$7)^(EC$2-1)</f>
        <v>1740.37171125064</v>
      </c>
      <c r="ED107" s="11" t="n">
        <f aca="false">Units!$E106*(1+Inputs!$B$7)^(ED$2-1)</f>
        <v>1740.37171125064</v>
      </c>
    </row>
    <row r="108" customFormat="false" ht="15" hidden="false" customHeight="false" outlineLevel="0" collapsed="false">
      <c r="A108" s="22" t="n">
        <f aca="false">Units!A107</f>
        <v>416</v>
      </c>
      <c r="B108" s="23"/>
      <c r="C108" s="11" t="n">
        <f aca="false">Units!$E107*(1+Inputs!$B$7)^(C$2-1)</f>
        <v>1295</v>
      </c>
      <c r="D108" s="11" t="n">
        <f aca="false">Units!$E107*(1+Inputs!$B$7)^(D$2-1)</f>
        <v>1295</v>
      </c>
      <c r="E108" s="11" t="n">
        <f aca="false">Units!$E107*(1+Inputs!$B$7)^(E$2-1)</f>
        <v>1295</v>
      </c>
      <c r="F108" s="11" t="n">
        <f aca="false">Units!$E107*(1+Inputs!$B$7)^(F$2-1)</f>
        <v>1295</v>
      </c>
      <c r="G108" s="11" t="n">
        <f aca="false">Units!$E107*(1+Inputs!$B$7)^(G$2-1)</f>
        <v>1295</v>
      </c>
      <c r="H108" s="11" t="n">
        <f aca="false">Units!$E107*(1+Inputs!$B$7)^(H$2-1)</f>
        <v>1295</v>
      </c>
      <c r="I108" s="11" t="n">
        <f aca="false">Units!$E107*(1+Inputs!$B$7)^(I$2-1)</f>
        <v>1295</v>
      </c>
      <c r="J108" s="11" t="n">
        <f aca="false">Units!$E107*(1+Inputs!$B$7)^(J$2-1)</f>
        <v>1295</v>
      </c>
      <c r="K108" s="11" t="n">
        <f aca="false">Units!$E107*(1+Inputs!$B$7)^(K$2-1)</f>
        <v>1295</v>
      </c>
      <c r="L108" s="11" t="n">
        <f aca="false">Units!$E107*(1+Inputs!$B$7)^(L$2-1)</f>
        <v>1295</v>
      </c>
      <c r="M108" s="11" t="n">
        <f aca="false">Units!$E107*(1+Inputs!$B$7)^(M$2-1)</f>
        <v>1295</v>
      </c>
      <c r="N108" s="11" t="n">
        <f aca="false">Units!$E107*(1+Inputs!$B$7)^(N$2-1)</f>
        <v>1295</v>
      </c>
      <c r="O108" s="11" t="n">
        <f aca="false">Units!$E107*(1+Inputs!$B$7)^(O$2-1)</f>
        <v>1333.85</v>
      </c>
      <c r="P108" s="11" t="n">
        <f aca="false">Units!$E107*(1+Inputs!$B$7)^(P$2-1)</f>
        <v>1333.85</v>
      </c>
      <c r="Q108" s="11" t="n">
        <f aca="false">Units!$E107*(1+Inputs!$B$7)^(Q$2-1)</f>
        <v>1333.85</v>
      </c>
      <c r="R108" s="11" t="n">
        <f aca="false">Units!$E107*(1+Inputs!$B$7)^(R$2-1)</f>
        <v>1333.85</v>
      </c>
      <c r="S108" s="11" t="n">
        <f aca="false">Units!$E107*(1+Inputs!$B$7)^(S$2-1)</f>
        <v>1333.85</v>
      </c>
      <c r="T108" s="11" t="n">
        <f aca="false">Units!$E107*(1+Inputs!$B$7)^(T$2-1)</f>
        <v>1333.85</v>
      </c>
      <c r="U108" s="11" t="n">
        <f aca="false">Units!$E107*(1+Inputs!$B$7)^(U$2-1)</f>
        <v>1333.85</v>
      </c>
      <c r="V108" s="11" t="n">
        <f aca="false">Units!$E107*(1+Inputs!$B$7)^(V$2-1)</f>
        <v>1333.85</v>
      </c>
      <c r="W108" s="11" t="n">
        <f aca="false">Units!$E107*(1+Inputs!$B$7)^(W$2-1)</f>
        <v>1333.85</v>
      </c>
      <c r="X108" s="11" t="n">
        <f aca="false">Units!$E107*(1+Inputs!$B$7)^(X$2-1)</f>
        <v>1333.85</v>
      </c>
      <c r="Y108" s="11" t="n">
        <f aca="false">Units!$E107*(1+Inputs!$B$7)^(Y$2-1)</f>
        <v>1333.85</v>
      </c>
      <c r="Z108" s="11" t="n">
        <f aca="false">Units!$E107*(1+Inputs!$B$7)^(Z$2-1)</f>
        <v>1333.85</v>
      </c>
      <c r="AA108" s="11" t="n">
        <f aca="false">Units!$E107*(1+Inputs!$B$7)^(AA$2-1)</f>
        <v>1373.8655</v>
      </c>
      <c r="AB108" s="11" t="n">
        <f aca="false">Units!$E107*(1+Inputs!$B$7)^(AB$2-1)</f>
        <v>1373.8655</v>
      </c>
      <c r="AC108" s="11" t="n">
        <f aca="false">Units!$E107*(1+Inputs!$B$7)^(AC$2-1)</f>
        <v>1373.8655</v>
      </c>
      <c r="AD108" s="11" t="n">
        <f aca="false">Units!$E107*(1+Inputs!$B$7)^(AD$2-1)</f>
        <v>1373.8655</v>
      </c>
      <c r="AE108" s="11" t="n">
        <f aca="false">Units!$E107*(1+Inputs!$B$7)^(AE$2-1)</f>
        <v>1373.8655</v>
      </c>
      <c r="AF108" s="11" t="n">
        <f aca="false">Units!$E107*(1+Inputs!$B$7)^(AF$2-1)</f>
        <v>1373.8655</v>
      </c>
      <c r="AG108" s="11" t="n">
        <f aca="false">Units!$E107*(1+Inputs!$B$7)^(AG$2-1)</f>
        <v>1373.8655</v>
      </c>
      <c r="AH108" s="11" t="n">
        <f aca="false">Units!$E107*(1+Inputs!$B$7)^(AH$2-1)</f>
        <v>1373.8655</v>
      </c>
      <c r="AI108" s="11" t="n">
        <f aca="false">Units!$E107*(1+Inputs!$B$7)^(AI$2-1)</f>
        <v>1373.8655</v>
      </c>
      <c r="AJ108" s="11" t="n">
        <f aca="false">Units!$E107*(1+Inputs!$B$7)^(AJ$2-1)</f>
        <v>1373.8655</v>
      </c>
      <c r="AK108" s="11" t="n">
        <f aca="false">Units!$E107*(1+Inputs!$B$7)^(AK$2-1)</f>
        <v>1373.8655</v>
      </c>
      <c r="AL108" s="11" t="n">
        <f aca="false">Units!$E107*(1+Inputs!$B$7)^(AL$2-1)</f>
        <v>1373.8655</v>
      </c>
      <c r="AM108" s="11" t="n">
        <f aca="false">Units!$E107*(1+Inputs!$B$7)^(AM$2-1)</f>
        <v>1415.081465</v>
      </c>
      <c r="AN108" s="11" t="n">
        <f aca="false">Units!$E107*(1+Inputs!$B$7)^(AN$2-1)</f>
        <v>1415.081465</v>
      </c>
      <c r="AO108" s="11" t="n">
        <f aca="false">Units!$E107*(1+Inputs!$B$7)^(AO$2-1)</f>
        <v>1415.081465</v>
      </c>
      <c r="AP108" s="11" t="n">
        <f aca="false">Units!$E107*(1+Inputs!$B$7)^(AP$2-1)</f>
        <v>1415.081465</v>
      </c>
      <c r="AQ108" s="11" t="n">
        <f aca="false">Units!$E107*(1+Inputs!$B$7)^(AQ$2-1)</f>
        <v>1415.081465</v>
      </c>
      <c r="AR108" s="11" t="n">
        <f aca="false">Units!$E107*(1+Inputs!$B$7)^(AR$2-1)</f>
        <v>1415.081465</v>
      </c>
      <c r="AS108" s="11" t="n">
        <f aca="false">Units!$E107*(1+Inputs!$B$7)^(AS$2-1)</f>
        <v>1415.081465</v>
      </c>
      <c r="AT108" s="11" t="n">
        <f aca="false">Units!$E107*(1+Inputs!$B$7)^(AT$2-1)</f>
        <v>1415.081465</v>
      </c>
      <c r="AU108" s="11" t="n">
        <f aca="false">Units!$E107*(1+Inputs!$B$7)^(AU$2-1)</f>
        <v>1415.081465</v>
      </c>
      <c r="AV108" s="11" t="n">
        <f aca="false">Units!$E107*(1+Inputs!$B$7)^(AV$2-1)</f>
        <v>1415.081465</v>
      </c>
      <c r="AW108" s="11" t="n">
        <f aca="false">Units!$E107*(1+Inputs!$B$7)^(AW$2-1)</f>
        <v>1415.081465</v>
      </c>
      <c r="AX108" s="11" t="n">
        <f aca="false">Units!$E107*(1+Inputs!$B$7)^(AX$2-1)</f>
        <v>1415.081465</v>
      </c>
      <c r="AY108" s="11" t="n">
        <f aca="false">Units!$E107*(1+Inputs!$B$7)^(AY$2-1)</f>
        <v>1457.53390895</v>
      </c>
      <c r="AZ108" s="11" t="n">
        <f aca="false">Units!$E107*(1+Inputs!$B$7)^(AZ$2-1)</f>
        <v>1457.53390895</v>
      </c>
      <c r="BA108" s="11" t="n">
        <f aca="false">Units!$E107*(1+Inputs!$B$7)^(BA$2-1)</f>
        <v>1457.53390895</v>
      </c>
      <c r="BB108" s="11" t="n">
        <f aca="false">Units!$E107*(1+Inputs!$B$7)^(BB$2-1)</f>
        <v>1457.53390895</v>
      </c>
      <c r="BC108" s="11" t="n">
        <f aca="false">Units!$E107*(1+Inputs!$B$7)^(BC$2-1)</f>
        <v>1457.53390895</v>
      </c>
      <c r="BD108" s="11" t="n">
        <f aca="false">Units!$E107*(1+Inputs!$B$7)^(BD$2-1)</f>
        <v>1457.53390895</v>
      </c>
      <c r="BE108" s="11" t="n">
        <f aca="false">Units!$E107*(1+Inputs!$B$7)^(BE$2-1)</f>
        <v>1457.53390895</v>
      </c>
      <c r="BF108" s="11" t="n">
        <f aca="false">Units!$E107*(1+Inputs!$B$7)^(BF$2-1)</f>
        <v>1457.53390895</v>
      </c>
      <c r="BG108" s="11" t="n">
        <f aca="false">Units!$E107*(1+Inputs!$B$7)^(BG$2-1)</f>
        <v>1457.53390895</v>
      </c>
      <c r="BH108" s="11" t="n">
        <f aca="false">Units!$E107*(1+Inputs!$B$7)^(BH$2-1)</f>
        <v>1457.53390895</v>
      </c>
      <c r="BI108" s="11" t="n">
        <f aca="false">Units!$E107*(1+Inputs!$B$7)^(BI$2-1)</f>
        <v>1457.53390895</v>
      </c>
      <c r="BJ108" s="11" t="n">
        <f aca="false">Units!$E107*(1+Inputs!$B$7)^(BJ$2-1)</f>
        <v>1457.53390895</v>
      </c>
      <c r="BK108" s="11" t="n">
        <f aca="false">Units!$E107*(1+Inputs!$B$7)^(BK$2-1)</f>
        <v>1501.2599262185</v>
      </c>
      <c r="BL108" s="11" t="n">
        <f aca="false">Units!$E107*(1+Inputs!$B$7)^(BL$2-1)</f>
        <v>1501.2599262185</v>
      </c>
      <c r="BM108" s="11" t="n">
        <f aca="false">Units!$E107*(1+Inputs!$B$7)^(BM$2-1)</f>
        <v>1501.2599262185</v>
      </c>
      <c r="BN108" s="11" t="n">
        <f aca="false">Units!$E107*(1+Inputs!$B$7)^(BN$2-1)</f>
        <v>1501.2599262185</v>
      </c>
      <c r="BO108" s="11" t="n">
        <f aca="false">Units!$E107*(1+Inputs!$B$7)^(BO$2-1)</f>
        <v>1501.2599262185</v>
      </c>
      <c r="BP108" s="11" t="n">
        <f aca="false">Units!$E107*(1+Inputs!$B$7)^(BP$2-1)</f>
        <v>1501.2599262185</v>
      </c>
      <c r="BQ108" s="11" t="n">
        <f aca="false">Units!$E107*(1+Inputs!$B$7)^(BQ$2-1)</f>
        <v>1501.2599262185</v>
      </c>
      <c r="BR108" s="11" t="n">
        <f aca="false">Units!$E107*(1+Inputs!$B$7)^(BR$2-1)</f>
        <v>1501.2599262185</v>
      </c>
      <c r="BS108" s="11" t="n">
        <f aca="false">Units!$E107*(1+Inputs!$B$7)^(BS$2-1)</f>
        <v>1501.2599262185</v>
      </c>
      <c r="BT108" s="11" t="n">
        <f aca="false">Units!$E107*(1+Inputs!$B$7)^(BT$2-1)</f>
        <v>1501.2599262185</v>
      </c>
      <c r="BU108" s="11" t="n">
        <f aca="false">Units!$E107*(1+Inputs!$B$7)^(BU$2-1)</f>
        <v>1501.2599262185</v>
      </c>
      <c r="BV108" s="11" t="n">
        <f aca="false">Units!$E107*(1+Inputs!$B$7)^(BV$2-1)</f>
        <v>1501.2599262185</v>
      </c>
      <c r="BW108" s="11" t="n">
        <f aca="false">Units!$E107*(1+Inputs!$B$7)^(BW$2-1)</f>
        <v>1546.29772400506</v>
      </c>
      <c r="BX108" s="11" t="n">
        <f aca="false">Units!$E107*(1+Inputs!$B$7)^(BX$2-1)</f>
        <v>1546.29772400506</v>
      </c>
      <c r="BY108" s="11" t="n">
        <f aca="false">Units!$E107*(1+Inputs!$B$7)^(BY$2-1)</f>
        <v>1546.29772400506</v>
      </c>
      <c r="BZ108" s="11" t="n">
        <f aca="false">Units!$E107*(1+Inputs!$B$7)^(BZ$2-1)</f>
        <v>1546.29772400506</v>
      </c>
      <c r="CA108" s="11" t="n">
        <f aca="false">Units!$E107*(1+Inputs!$B$7)^(CA$2-1)</f>
        <v>1546.29772400506</v>
      </c>
      <c r="CB108" s="11" t="n">
        <f aca="false">Units!$E107*(1+Inputs!$B$7)^(CB$2-1)</f>
        <v>1546.29772400506</v>
      </c>
      <c r="CC108" s="11" t="n">
        <f aca="false">Units!$E107*(1+Inputs!$B$7)^(CC$2-1)</f>
        <v>1546.29772400506</v>
      </c>
      <c r="CD108" s="11" t="n">
        <f aca="false">Units!$E107*(1+Inputs!$B$7)^(CD$2-1)</f>
        <v>1546.29772400506</v>
      </c>
      <c r="CE108" s="11" t="n">
        <f aca="false">Units!$E107*(1+Inputs!$B$7)^(CE$2-1)</f>
        <v>1546.29772400506</v>
      </c>
      <c r="CF108" s="11" t="n">
        <f aca="false">Units!$E107*(1+Inputs!$B$7)^(CF$2-1)</f>
        <v>1546.29772400506</v>
      </c>
      <c r="CG108" s="11" t="n">
        <f aca="false">Units!$E107*(1+Inputs!$B$7)^(CG$2-1)</f>
        <v>1546.29772400506</v>
      </c>
      <c r="CH108" s="11" t="n">
        <f aca="false">Units!$E107*(1+Inputs!$B$7)^(CH$2-1)</f>
        <v>1546.29772400506</v>
      </c>
      <c r="CI108" s="11" t="n">
        <f aca="false">Units!$E107*(1+Inputs!$B$7)^(CI$2-1)</f>
        <v>1592.68665572521</v>
      </c>
      <c r="CJ108" s="11" t="n">
        <f aca="false">Units!$E107*(1+Inputs!$B$7)^(CJ$2-1)</f>
        <v>1592.68665572521</v>
      </c>
      <c r="CK108" s="11" t="n">
        <f aca="false">Units!$E107*(1+Inputs!$B$7)^(CK$2-1)</f>
        <v>1592.68665572521</v>
      </c>
      <c r="CL108" s="11" t="n">
        <f aca="false">Units!$E107*(1+Inputs!$B$7)^(CL$2-1)</f>
        <v>1592.68665572521</v>
      </c>
      <c r="CM108" s="11" t="n">
        <f aca="false">Units!$E107*(1+Inputs!$B$7)^(CM$2-1)</f>
        <v>1592.68665572521</v>
      </c>
      <c r="CN108" s="11" t="n">
        <f aca="false">Units!$E107*(1+Inputs!$B$7)^(CN$2-1)</f>
        <v>1592.68665572521</v>
      </c>
      <c r="CO108" s="11" t="n">
        <f aca="false">Units!$E107*(1+Inputs!$B$7)^(CO$2-1)</f>
        <v>1592.68665572521</v>
      </c>
      <c r="CP108" s="11" t="n">
        <f aca="false">Units!$E107*(1+Inputs!$B$7)^(CP$2-1)</f>
        <v>1592.68665572521</v>
      </c>
      <c r="CQ108" s="11" t="n">
        <f aca="false">Units!$E107*(1+Inputs!$B$7)^(CQ$2-1)</f>
        <v>1592.68665572521</v>
      </c>
      <c r="CR108" s="11" t="n">
        <f aca="false">Units!$E107*(1+Inputs!$B$7)^(CR$2-1)</f>
        <v>1592.68665572521</v>
      </c>
      <c r="CS108" s="11" t="n">
        <f aca="false">Units!$E107*(1+Inputs!$B$7)^(CS$2-1)</f>
        <v>1592.68665572521</v>
      </c>
      <c r="CT108" s="11" t="n">
        <f aca="false">Units!$E107*(1+Inputs!$B$7)^(CT$2-1)</f>
        <v>1592.68665572521</v>
      </c>
      <c r="CU108" s="11" t="n">
        <f aca="false">Units!$E107*(1+Inputs!$B$7)^(CU$2-1)</f>
        <v>1640.46725539696</v>
      </c>
      <c r="CV108" s="11" t="n">
        <f aca="false">Units!$E107*(1+Inputs!$B$7)^(CV$2-1)</f>
        <v>1640.46725539696</v>
      </c>
      <c r="CW108" s="11" t="n">
        <f aca="false">Units!$E107*(1+Inputs!$B$7)^(CW$2-1)</f>
        <v>1640.46725539696</v>
      </c>
      <c r="CX108" s="11" t="n">
        <f aca="false">Units!$E107*(1+Inputs!$B$7)^(CX$2-1)</f>
        <v>1640.46725539696</v>
      </c>
      <c r="CY108" s="11" t="n">
        <f aca="false">Units!$E107*(1+Inputs!$B$7)^(CY$2-1)</f>
        <v>1640.46725539696</v>
      </c>
      <c r="CZ108" s="11" t="n">
        <f aca="false">Units!$E107*(1+Inputs!$B$7)^(CZ$2-1)</f>
        <v>1640.46725539696</v>
      </c>
      <c r="DA108" s="11" t="n">
        <f aca="false">Units!$E107*(1+Inputs!$B$7)^(DA$2-1)</f>
        <v>1640.46725539696</v>
      </c>
      <c r="DB108" s="11" t="n">
        <f aca="false">Units!$E107*(1+Inputs!$B$7)^(DB$2-1)</f>
        <v>1640.46725539696</v>
      </c>
      <c r="DC108" s="11" t="n">
        <f aca="false">Units!$E107*(1+Inputs!$B$7)^(DC$2-1)</f>
        <v>1640.46725539696</v>
      </c>
      <c r="DD108" s="11" t="n">
        <f aca="false">Units!$E107*(1+Inputs!$B$7)^(DD$2-1)</f>
        <v>1640.46725539696</v>
      </c>
      <c r="DE108" s="11" t="n">
        <f aca="false">Units!$E107*(1+Inputs!$B$7)^(DE$2-1)</f>
        <v>1640.46725539696</v>
      </c>
      <c r="DF108" s="11" t="n">
        <f aca="false">Units!$E107*(1+Inputs!$B$7)^(DF$2-1)</f>
        <v>1640.46725539696</v>
      </c>
      <c r="DG108" s="11" t="n">
        <f aca="false">Units!$E107*(1+Inputs!$B$7)^(DG$2-1)</f>
        <v>1689.68127305887</v>
      </c>
      <c r="DH108" s="11" t="n">
        <f aca="false">Units!$E107*(1+Inputs!$B$7)^(DH$2-1)</f>
        <v>1689.68127305887</v>
      </c>
      <c r="DI108" s="11" t="n">
        <f aca="false">Units!$E107*(1+Inputs!$B$7)^(DI$2-1)</f>
        <v>1689.68127305887</v>
      </c>
      <c r="DJ108" s="11" t="n">
        <f aca="false">Units!$E107*(1+Inputs!$B$7)^(DJ$2-1)</f>
        <v>1689.68127305887</v>
      </c>
      <c r="DK108" s="11" t="n">
        <f aca="false">Units!$E107*(1+Inputs!$B$7)^(DK$2-1)</f>
        <v>1689.68127305887</v>
      </c>
      <c r="DL108" s="11" t="n">
        <f aca="false">Units!$E107*(1+Inputs!$B$7)^(DL$2-1)</f>
        <v>1689.68127305887</v>
      </c>
      <c r="DM108" s="11" t="n">
        <f aca="false">Units!$E107*(1+Inputs!$B$7)^(DM$2-1)</f>
        <v>1689.68127305887</v>
      </c>
      <c r="DN108" s="11" t="n">
        <f aca="false">Units!$E107*(1+Inputs!$B$7)^(DN$2-1)</f>
        <v>1689.68127305887</v>
      </c>
      <c r="DO108" s="11" t="n">
        <f aca="false">Units!$E107*(1+Inputs!$B$7)^(DO$2-1)</f>
        <v>1689.68127305887</v>
      </c>
      <c r="DP108" s="11" t="n">
        <f aca="false">Units!$E107*(1+Inputs!$B$7)^(DP$2-1)</f>
        <v>1689.68127305887</v>
      </c>
      <c r="DQ108" s="11" t="n">
        <f aca="false">Units!$E107*(1+Inputs!$B$7)^(DQ$2-1)</f>
        <v>1689.68127305887</v>
      </c>
      <c r="DR108" s="11" t="n">
        <f aca="false">Units!$E107*(1+Inputs!$B$7)^(DR$2-1)</f>
        <v>1689.68127305887</v>
      </c>
      <c r="DS108" s="11" t="n">
        <f aca="false">Units!$E107*(1+Inputs!$B$7)^(DS$2-1)</f>
        <v>1740.37171125064</v>
      </c>
      <c r="DT108" s="11" t="n">
        <f aca="false">Units!$E107*(1+Inputs!$B$7)^(DT$2-1)</f>
        <v>1740.37171125064</v>
      </c>
      <c r="DU108" s="11" t="n">
        <f aca="false">Units!$E107*(1+Inputs!$B$7)^(DU$2-1)</f>
        <v>1740.37171125064</v>
      </c>
      <c r="DV108" s="11" t="n">
        <f aca="false">Units!$E107*(1+Inputs!$B$7)^(DV$2-1)</f>
        <v>1740.37171125064</v>
      </c>
      <c r="DW108" s="11" t="n">
        <f aca="false">Units!$E107*(1+Inputs!$B$7)^(DW$2-1)</f>
        <v>1740.37171125064</v>
      </c>
      <c r="DX108" s="11" t="n">
        <f aca="false">Units!$E107*(1+Inputs!$B$7)^(DX$2-1)</f>
        <v>1740.37171125064</v>
      </c>
      <c r="DY108" s="11" t="n">
        <f aca="false">Units!$E107*(1+Inputs!$B$7)^(DY$2-1)</f>
        <v>1740.37171125064</v>
      </c>
      <c r="DZ108" s="11" t="n">
        <f aca="false">Units!$E107*(1+Inputs!$B$7)^(DZ$2-1)</f>
        <v>1740.37171125064</v>
      </c>
      <c r="EA108" s="11" t="n">
        <f aca="false">Units!$E107*(1+Inputs!$B$7)^(EA$2-1)</f>
        <v>1740.37171125064</v>
      </c>
      <c r="EB108" s="11" t="n">
        <f aca="false">Units!$E107*(1+Inputs!$B$7)^(EB$2-1)</f>
        <v>1740.37171125064</v>
      </c>
      <c r="EC108" s="11" t="n">
        <f aca="false">Units!$E107*(1+Inputs!$B$7)^(EC$2-1)</f>
        <v>1740.37171125064</v>
      </c>
      <c r="ED108" s="11" t="n">
        <f aca="false">Units!$E107*(1+Inputs!$B$7)^(ED$2-1)</f>
        <v>1740.37171125064</v>
      </c>
    </row>
    <row r="109" customFormat="false" ht="15" hidden="false" customHeight="false" outlineLevel="0" collapsed="false">
      <c r="A109" s="22" t="n">
        <f aca="false">Units!A108</f>
        <v>417</v>
      </c>
      <c r="B109" s="23"/>
      <c r="C109" s="11" t="n">
        <f aca="false">Units!$E108*(1+Inputs!$B$7)^(C$2-1)</f>
        <v>1295</v>
      </c>
      <c r="D109" s="11" t="n">
        <f aca="false">Units!$E108*(1+Inputs!$B$7)^(D$2-1)</f>
        <v>1295</v>
      </c>
      <c r="E109" s="11" t="n">
        <f aca="false">Units!$E108*(1+Inputs!$B$7)^(E$2-1)</f>
        <v>1295</v>
      </c>
      <c r="F109" s="11" t="n">
        <f aca="false">Units!$E108*(1+Inputs!$B$7)^(F$2-1)</f>
        <v>1295</v>
      </c>
      <c r="G109" s="11" t="n">
        <f aca="false">Units!$E108*(1+Inputs!$B$7)^(G$2-1)</f>
        <v>1295</v>
      </c>
      <c r="H109" s="11" t="n">
        <f aca="false">Units!$E108*(1+Inputs!$B$7)^(H$2-1)</f>
        <v>1295</v>
      </c>
      <c r="I109" s="11" t="n">
        <f aca="false">Units!$E108*(1+Inputs!$B$7)^(I$2-1)</f>
        <v>1295</v>
      </c>
      <c r="J109" s="11" t="n">
        <f aca="false">Units!$E108*(1+Inputs!$B$7)^(J$2-1)</f>
        <v>1295</v>
      </c>
      <c r="K109" s="11" t="n">
        <f aca="false">Units!$E108*(1+Inputs!$B$7)^(K$2-1)</f>
        <v>1295</v>
      </c>
      <c r="L109" s="11" t="n">
        <f aca="false">Units!$E108*(1+Inputs!$B$7)^(L$2-1)</f>
        <v>1295</v>
      </c>
      <c r="M109" s="11" t="n">
        <f aca="false">Units!$E108*(1+Inputs!$B$7)^(M$2-1)</f>
        <v>1295</v>
      </c>
      <c r="N109" s="11" t="n">
        <f aca="false">Units!$E108*(1+Inputs!$B$7)^(N$2-1)</f>
        <v>1295</v>
      </c>
      <c r="O109" s="11" t="n">
        <f aca="false">Units!$E108*(1+Inputs!$B$7)^(O$2-1)</f>
        <v>1333.85</v>
      </c>
      <c r="P109" s="11" t="n">
        <f aca="false">Units!$E108*(1+Inputs!$B$7)^(P$2-1)</f>
        <v>1333.85</v>
      </c>
      <c r="Q109" s="11" t="n">
        <f aca="false">Units!$E108*(1+Inputs!$B$7)^(Q$2-1)</f>
        <v>1333.85</v>
      </c>
      <c r="R109" s="11" t="n">
        <f aca="false">Units!$E108*(1+Inputs!$B$7)^(R$2-1)</f>
        <v>1333.85</v>
      </c>
      <c r="S109" s="11" t="n">
        <f aca="false">Units!$E108*(1+Inputs!$B$7)^(S$2-1)</f>
        <v>1333.85</v>
      </c>
      <c r="T109" s="11" t="n">
        <f aca="false">Units!$E108*(1+Inputs!$B$7)^(T$2-1)</f>
        <v>1333.85</v>
      </c>
      <c r="U109" s="11" t="n">
        <f aca="false">Units!$E108*(1+Inputs!$B$7)^(U$2-1)</f>
        <v>1333.85</v>
      </c>
      <c r="V109" s="11" t="n">
        <f aca="false">Units!$E108*(1+Inputs!$B$7)^(V$2-1)</f>
        <v>1333.85</v>
      </c>
      <c r="W109" s="11" t="n">
        <f aca="false">Units!$E108*(1+Inputs!$B$7)^(W$2-1)</f>
        <v>1333.85</v>
      </c>
      <c r="X109" s="11" t="n">
        <f aca="false">Units!$E108*(1+Inputs!$B$7)^(X$2-1)</f>
        <v>1333.85</v>
      </c>
      <c r="Y109" s="11" t="n">
        <f aca="false">Units!$E108*(1+Inputs!$B$7)^(Y$2-1)</f>
        <v>1333.85</v>
      </c>
      <c r="Z109" s="11" t="n">
        <f aca="false">Units!$E108*(1+Inputs!$B$7)^(Z$2-1)</f>
        <v>1333.85</v>
      </c>
      <c r="AA109" s="11" t="n">
        <f aca="false">Units!$E108*(1+Inputs!$B$7)^(AA$2-1)</f>
        <v>1373.8655</v>
      </c>
      <c r="AB109" s="11" t="n">
        <f aca="false">Units!$E108*(1+Inputs!$B$7)^(AB$2-1)</f>
        <v>1373.8655</v>
      </c>
      <c r="AC109" s="11" t="n">
        <f aca="false">Units!$E108*(1+Inputs!$B$7)^(AC$2-1)</f>
        <v>1373.8655</v>
      </c>
      <c r="AD109" s="11" t="n">
        <f aca="false">Units!$E108*(1+Inputs!$B$7)^(AD$2-1)</f>
        <v>1373.8655</v>
      </c>
      <c r="AE109" s="11" t="n">
        <f aca="false">Units!$E108*(1+Inputs!$B$7)^(AE$2-1)</f>
        <v>1373.8655</v>
      </c>
      <c r="AF109" s="11" t="n">
        <f aca="false">Units!$E108*(1+Inputs!$B$7)^(AF$2-1)</f>
        <v>1373.8655</v>
      </c>
      <c r="AG109" s="11" t="n">
        <f aca="false">Units!$E108*(1+Inputs!$B$7)^(AG$2-1)</f>
        <v>1373.8655</v>
      </c>
      <c r="AH109" s="11" t="n">
        <f aca="false">Units!$E108*(1+Inputs!$B$7)^(AH$2-1)</f>
        <v>1373.8655</v>
      </c>
      <c r="AI109" s="11" t="n">
        <f aca="false">Units!$E108*(1+Inputs!$B$7)^(AI$2-1)</f>
        <v>1373.8655</v>
      </c>
      <c r="AJ109" s="11" t="n">
        <f aca="false">Units!$E108*(1+Inputs!$B$7)^(AJ$2-1)</f>
        <v>1373.8655</v>
      </c>
      <c r="AK109" s="11" t="n">
        <f aca="false">Units!$E108*(1+Inputs!$B$7)^(AK$2-1)</f>
        <v>1373.8655</v>
      </c>
      <c r="AL109" s="11" t="n">
        <f aca="false">Units!$E108*(1+Inputs!$B$7)^(AL$2-1)</f>
        <v>1373.8655</v>
      </c>
      <c r="AM109" s="11" t="n">
        <f aca="false">Units!$E108*(1+Inputs!$B$7)^(AM$2-1)</f>
        <v>1415.081465</v>
      </c>
      <c r="AN109" s="11" t="n">
        <f aca="false">Units!$E108*(1+Inputs!$B$7)^(AN$2-1)</f>
        <v>1415.081465</v>
      </c>
      <c r="AO109" s="11" t="n">
        <f aca="false">Units!$E108*(1+Inputs!$B$7)^(AO$2-1)</f>
        <v>1415.081465</v>
      </c>
      <c r="AP109" s="11" t="n">
        <f aca="false">Units!$E108*(1+Inputs!$B$7)^(AP$2-1)</f>
        <v>1415.081465</v>
      </c>
      <c r="AQ109" s="11" t="n">
        <f aca="false">Units!$E108*(1+Inputs!$B$7)^(AQ$2-1)</f>
        <v>1415.081465</v>
      </c>
      <c r="AR109" s="11" t="n">
        <f aca="false">Units!$E108*(1+Inputs!$B$7)^(AR$2-1)</f>
        <v>1415.081465</v>
      </c>
      <c r="AS109" s="11" t="n">
        <f aca="false">Units!$E108*(1+Inputs!$B$7)^(AS$2-1)</f>
        <v>1415.081465</v>
      </c>
      <c r="AT109" s="11" t="n">
        <f aca="false">Units!$E108*(1+Inputs!$B$7)^(AT$2-1)</f>
        <v>1415.081465</v>
      </c>
      <c r="AU109" s="11" t="n">
        <f aca="false">Units!$E108*(1+Inputs!$B$7)^(AU$2-1)</f>
        <v>1415.081465</v>
      </c>
      <c r="AV109" s="11" t="n">
        <f aca="false">Units!$E108*(1+Inputs!$B$7)^(AV$2-1)</f>
        <v>1415.081465</v>
      </c>
      <c r="AW109" s="11" t="n">
        <f aca="false">Units!$E108*(1+Inputs!$B$7)^(AW$2-1)</f>
        <v>1415.081465</v>
      </c>
      <c r="AX109" s="11" t="n">
        <f aca="false">Units!$E108*(1+Inputs!$B$7)^(AX$2-1)</f>
        <v>1415.081465</v>
      </c>
      <c r="AY109" s="11" t="n">
        <f aca="false">Units!$E108*(1+Inputs!$B$7)^(AY$2-1)</f>
        <v>1457.53390895</v>
      </c>
      <c r="AZ109" s="11" t="n">
        <f aca="false">Units!$E108*(1+Inputs!$B$7)^(AZ$2-1)</f>
        <v>1457.53390895</v>
      </c>
      <c r="BA109" s="11" t="n">
        <f aca="false">Units!$E108*(1+Inputs!$B$7)^(BA$2-1)</f>
        <v>1457.53390895</v>
      </c>
      <c r="BB109" s="11" t="n">
        <f aca="false">Units!$E108*(1+Inputs!$B$7)^(BB$2-1)</f>
        <v>1457.53390895</v>
      </c>
      <c r="BC109" s="11" t="n">
        <f aca="false">Units!$E108*(1+Inputs!$B$7)^(BC$2-1)</f>
        <v>1457.53390895</v>
      </c>
      <c r="BD109" s="11" t="n">
        <f aca="false">Units!$E108*(1+Inputs!$B$7)^(BD$2-1)</f>
        <v>1457.53390895</v>
      </c>
      <c r="BE109" s="11" t="n">
        <f aca="false">Units!$E108*(1+Inputs!$B$7)^(BE$2-1)</f>
        <v>1457.53390895</v>
      </c>
      <c r="BF109" s="11" t="n">
        <f aca="false">Units!$E108*(1+Inputs!$B$7)^(BF$2-1)</f>
        <v>1457.53390895</v>
      </c>
      <c r="BG109" s="11" t="n">
        <f aca="false">Units!$E108*(1+Inputs!$B$7)^(BG$2-1)</f>
        <v>1457.53390895</v>
      </c>
      <c r="BH109" s="11" t="n">
        <f aca="false">Units!$E108*(1+Inputs!$B$7)^(BH$2-1)</f>
        <v>1457.53390895</v>
      </c>
      <c r="BI109" s="11" t="n">
        <f aca="false">Units!$E108*(1+Inputs!$B$7)^(BI$2-1)</f>
        <v>1457.53390895</v>
      </c>
      <c r="BJ109" s="11" t="n">
        <f aca="false">Units!$E108*(1+Inputs!$B$7)^(BJ$2-1)</f>
        <v>1457.53390895</v>
      </c>
      <c r="BK109" s="11" t="n">
        <f aca="false">Units!$E108*(1+Inputs!$B$7)^(BK$2-1)</f>
        <v>1501.2599262185</v>
      </c>
      <c r="BL109" s="11" t="n">
        <f aca="false">Units!$E108*(1+Inputs!$B$7)^(BL$2-1)</f>
        <v>1501.2599262185</v>
      </c>
      <c r="BM109" s="11" t="n">
        <f aca="false">Units!$E108*(1+Inputs!$B$7)^(BM$2-1)</f>
        <v>1501.2599262185</v>
      </c>
      <c r="BN109" s="11" t="n">
        <f aca="false">Units!$E108*(1+Inputs!$B$7)^(BN$2-1)</f>
        <v>1501.2599262185</v>
      </c>
      <c r="BO109" s="11" t="n">
        <f aca="false">Units!$E108*(1+Inputs!$B$7)^(BO$2-1)</f>
        <v>1501.2599262185</v>
      </c>
      <c r="BP109" s="11" t="n">
        <f aca="false">Units!$E108*(1+Inputs!$B$7)^(BP$2-1)</f>
        <v>1501.2599262185</v>
      </c>
      <c r="BQ109" s="11" t="n">
        <f aca="false">Units!$E108*(1+Inputs!$B$7)^(BQ$2-1)</f>
        <v>1501.2599262185</v>
      </c>
      <c r="BR109" s="11" t="n">
        <f aca="false">Units!$E108*(1+Inputs!$B$7)^(BR$2-1)</f>
        <v>1501.2599262185</v>
      </c>
      <c r="BS109" s="11" t="n">
        <f aca="false">Units!$E108*(1+Inputs!$B$7)^(BS$2-1)</f>
        <v>1501.2599262185</v>
      </c>
      <c r="BT109" s="11" t="n">
        <f aca="false">Units!$E108*(1+Inputs!$B$7)^(BT$2-1)</f>
        <v>1501.2599262185</v>
      </c>
      <c r="BU109" s="11" t="n">
        <f aca="false">Units!$E108*(1+Inputs!$B$7)^(BU$2-1)</f>
        <v>1501.2599262185</v>
      </c>
      <c r="BV109" s="11" t="n">
        <f aca="false">Units!$E108*(1+Inputs!$B$7)^(BV$2-1)</f>
        <v>1501.2599262185</v>
      </c>
      <c r="BW109" s="11" t="n">
        <f aca="false">Units!$E108*(1+Inputs!$B$7)^(BW$2-1)</f>
        <v>1546.29772400506</v>
      </c>
      <c r="BX109" s="11" t="n">
        <f aca="false">Units!$E108*(1+Inputs!$B$7)^(BX$2-1)</f>
        <v>1546.29772400506</v>
      </c>
      <c r="BY109" s="11" t="n">
        <f aca="false">Units!$E108*(1+Inputs!$B$7)^(BY$2-1)</f>
        <v>1546.29772400506</v>
      </c>
      <c r="BZ109" s="11" t="n">
        <f aca="false">Units!$E108*(1+Inputs!$B$7)^(BZ$2-1)</f>
        <v>1546.29772400506</v>
      </c>
      <c r="CA109" s="11" t="n">
        <f aca="false">Units!$E108*(1+Inputs!$B$7)^(CA$2-1)</f>
        <v>1546.29772400506</v>
      </c>
      <c r="CB109" s="11" t="n">
        <f aca="false">Units!$E108*(1+Inputs!$B$7)^(CB$2-1)</f>
        <v>1546.29772400506</v>
      </c>
      <c r="CC109" s="11" t="n">
        <f aca="false">Units!$E108*(1+Inputs!$B$7)^(CC$2-1)</f>
        <v>1546.29772400506</v>
      </c>
      <c r="CD109" s="11" t="n">
        <f aca="false">Units!$E108*(1+Inputs!$B$7)^(CD$2-1)</f>
        <v>1546.29772400506</v>
      </c>
      <c r="CE109" s="11" t="n">
        <f aca="false">Units!$E108*(1+Inputs!$B$7)^(CE$2-1)</f>
        <v>1546.29772400506</v>
      </c>
      <c r="CF109" s="11" t="n">
        <f aca="false">Units!$E108*(1+Inputs!$B$7)^(CF$2-1)</f>
        <v>1546.29772400506</v>
      </c>
      <c r="CG109" s="11" t="n">
        <f aca="false">Units!$E108*(1+Inputs!$B$7)^(CG$2-1)</f>
        <v>1546.29772400506</v>
      </c>
      <c r="CH109" s="11" t="n">
        <f aca="false">Units!$E108*(1+Inputs!$B$7)^(CH$2-1)</f>
        <v>1546.29772400506</v>
      </c>
      <c r="CI109" s="11" t="n">
        <f aca="false">Units!$E108*(1+Inputs!$B$7)^(CI$2-1)</f>
        <v>1592.68665572521</v>
      </c>
      <c r="CJ109" s="11" t="n">
        <f aca="false">Units!$E108*(1+Inputs!$B$7)^(CJ$2-1)</f>
        <v>1592.68665572521</v>
      </c>
      <c r="CK109" s="11" t="n">
        <f aca="false">Units!$E108*(1+Inputs!$B$7)^(CK$2-1)</f>
        <v>1592.68665572521</v>
      </c>
      <c r="CL109" s="11" t="n">
        <f aca="false">Units!$E108*(1+Inputs!$B$7)^(CL$2-1)</f>
        <v>1592.68665572521</v>
      </c>
      <c r="CM109" s="11" t="n">
        <f aca="false">Units!$E108*(1+Inputs!$B$7)^(CM$2-1)</f>
        <v>1592.68665572521</v>
      </c>
      <c r="CN109" s="11" t="n">
        <f aca="false">Units!$E108*(1+Inputs!$B$7)^(CN$2-1)</f>
        <v>1592.68665572521</v>
      </c>
      <c r="CO109" s="11" t="n">
        <f aca="false">Units!$E108*(1+Inputs!$B$7)^(CO$2-1)</f>
        <v>1592.68665572521</v>
      </c>
      <c r="CP109" s="11" t="n">
        <f aca="false">Units!$E108*(1+Inputs!$B$7)^(CP$2-1)</f>
        <v>1592.68665572521</v>
      </c>
      <c r="CQ109" s="11" t="n">
        <f aca="false">Units!$E108*(1+Inputs!$B$7)^(CQ$2-1)</f>
        <v>1592.68665572521</v>
      </c>
      <c r="CR109" s="11" t="n">
        <f aca="false">Units!$E108*(1+Inputs!$B$7)^(CR$2-1)</f>
        <v>1592.68665572521</v>
      </c>
      <c r="CS109" s="11" t="n">
        <f aca="false">Units!$E108*(1+Inputs!$B$7)^(CS$2-1)</f>
        <v>1592.68665572521</v>
      </c>
      <c r="CT109" s="11" t="n">
        <f aca="false">Units!$E108*(1+Inputs!$B$7)^(CT$2-1)</f>
        <v>1592.68665572521</v>
      </c>
      <c r="CU109" s="11" t="n">
        <f aca="false">Units!$E108*(1+Inputs!$B$7)^(CU$2-1)</f>
        <v>1640.46725539696</v>
      </c>
      <c r="CV109" s="11" t="n">
        <f aca="false">Units!$E108*(1+Inputs!$B$7)^(CV$2-1)</f>
        <v>1640.46725539696</v>
      </c>
      <c r="CW109" s="11" t="n">
        <f aca="false">Units!$E108*(1+Inputs!$B$7)^(CW$2-1)</f>
        <v>1640.46725539696</v>
      </c>
      <c r="CX109" s="11" t="n">
        <f aca="false">Units!$E108*(1+Inputs!$B$7)^(CX$2-1)</f>
        <v>1640.46725539696</v>
      </c>
      <c r="CY109" s="11" t="n">
        <f aca="false">Units!$E108*(1+Inputs!$B$7)^(CY$2-1)</f>
        <v>1640.46725539696</v>
      </c>
      <c r="CZ109" s="11" t="n">
        <f aca="false">Units!$E108*(1+Inputs!$B$7)^(CZ$2-1)</f>
        <v>1640.46725539696</v>
      </c>
      <c r="DA109" s="11" t="n">
        <f aca="false">Units!$E108*(1+Inputs!$B$7)^(DA$2-1)</f>
        <v>1640.46725539696</v>
      </c>
      <c r="DB109" s="11" t="n">
        <f aca="false">Units!$E108*(1+Inputs!$B$7)^(DB$2-1)</f>
        <v>1640.46725539696</v>
      </c>
      <c r="DC109" s="11" t="n">
        <f aca="false">Units!$E108*(1+Inputs!$B$7)^(DC$2-1)</f>
        <v>1640.46725539696</v>
      </c>
      <c r="DD109" s="11" t="n">
        <f aca="false">Units!$E108*(1+Inputs!$B$7)^(DD$2-1)</f>
        <v>1640.46725539696</v>
      </c>
      <c r="DE109" s="11" t="n">
        <f aca="false">Units!$E108*(1+Inputs!$B$7)^(DE$2-1)</f>
        <v>1640.46725539696</v>
      </c>
      <c r="DF109" s="11" t="n">
        <f aca="false">Units!$E108*(1+Inputs!$B$7)^(DF$2-1)</f>
        <v>1640.46725539696</v>
      </c>
      <c r="DG109" s="11" t="n">
        <f aca="false">Units!$E108*(1+Inputs!$B$7)^(DG$2-1)</f>
        <v>1689.68127305887</v>
      </c>
      <c r="DH109" s="11" t="n">
        <f aca="false">Units!$E108*(1+Inputs!$B$7)^(DH$2-1)</f>
        <v>1689.68127305887</v>
      </c>
      <c r="DI109" s="11" t="n">
        <f aca="false">Units!$E108*(1+Inputs!$B$7)^(DI$2-1)</f>
        <v>1689.68127305887</v>
      </c>
      <c r="DJ109" s="11" t="n">
        <f aca="false">Units!$E108*(1+Inputs!$B$7)^(DJ$2-1)</f>
        <v>1689.68127305887</v>
      </c>
      <c r="DK109" s="11" t="n">
        <f aca="false">Units!$E108*(1+Inputs!$B$7)^(DK$2-1)</f>
        <v>1689.68127305887</v>
      </c>
      <c r="DL109" s="11" t="n">
        <f aca="false">Units!$E108*(1+Inputs!$B$7)^(DL$2-1)</f>
        <v>1689.68127305887</v>
      </c>
      <c r="DM109" s="11" t="n">
        <f aca="false">Units!$E108*(1+Inputs!$B$7)^(DM$2-1)</f>
        <v>1689.68127305887</v>
      </c>
      <c r="DN109" s="11" t="n">
        <f aca="false">Units!$E108*(1+Inputs!$B$7)^(DN$2-1)</f>
        <v>1689.68127305887</v>
      </c>
      <c r="DO109" s="11" t="n">
        <f aca="false">Units!$E108*(1+Inputs!$B$7)^(DO$2-1)</f>
        <v>1689.68127305887</v>
      </c>
      <c r="DP109" s="11" t="n">
        <f aca="false">Units!$E108*(1+Inputs!$B$7)^(DP$2-1)</f>
        <v>1689.68127305887</v>
      </c>
      <c r="DQ109" s="11" t="n">
        <f aca="false">Units!$E108*(1+Inputs!$B$7)^(DQ$2-1)</f>
        <v>1689.68127305887</v>
      </c>
      <c r="DR109" s="11" t="n">
        <f aca="false">Units!$E108*(1+Inputs!$B$7)^(DR$2-1)</f>
        <v>1689.68127305887</v>
      </c>
      <c r="DS109" s="11" t="n">
        <f aca="false">Units!$E108*(1+Inputs!$B$7)^(DS$2-1)</f>
        <v>1740.37171125064</v>
      </c>
      <c r="DT109" s="11" t="n">
        <f aca="false">Units!$E108*(1+Inputs!$B$7)^(DT$2-1)</f>
        <v>1740.37171125064</v>
      </c>
      <c r="DU109" s="11" t="n">
        <f aca="false">Units!$E108*(1+Inputs!$B$7)^(DU$2-1)</f>
        <v>1740.37171125064</v>
      </c>
      <c r="DV109" s="11" t="n">
        <f aca="false">Units!$E108*(1+Inputs!$B$7)^(DV$2-1)</f>
        <v>1740.37171125064</v>
      </c>
      <c r="DW109" s="11" t="n">
        <f aca="false">Units!$E108*(1+Inputs!$B$7)^(DW$2-1)</f>
        <v>1740.37171125064</v>
      </c>
      <c r="DX109" s="11" t="n">
        <f aca="false">Units!$E108*(1+Inputs!$B$7)^(DX$2-1)</f>
        <v>1740.37171125064</v>
      </c>
      <c r="DY109" s="11" t="n">
        <f aca="false">Units!$E108*(1+Inputs!$B$7)^(DY$2-1)</f>
        <v>1740.37171125064</v>
      </c>
      <c r="DZ109" s="11" t="n">
        <f aca="false">Units!$E108*(1+Inputs!$B$7)^(DZ$2-1)</f>
        <v>1740.37171125064</v>
      </c>
      <c r="EA109" s="11" t="n">
        <f aca="false">Units!$E108*(1+Inputs!$B$7)^(EA$2-1)</f>
        <v>1740.37171125064</v>
      </c>
      <c r="EB109" s="11" t="n">
        <f aca="false">Units!$E108*(1+Inputs!$B$7)^(EB$2-1)</f>
        <v>1740.37171125064</v>
      </c>
      <c r="EC109" s="11" t="n">
        <f aca="false">Units!$E108*(1+Inputs!$B$7)^(EC$2-1)</f>
        <v>1740.37171125064</v>
      </c>
      <c r="ED109" s="11" t="n">
        <f aca="false">Units!$E108*(1+Inputs!$B$7)^(ED$2-1)</f>
        <v>1740.37171125064</v>
      </c>
    </row>
    <row r="110" customFormat="false" ht="15" hidden="false" customHeight="false" outlineLevel="0" collapsed="false">
      <c r="A110" s="22" t="n">
        <f aca="false">Units!A109</f>
        <v>418</v>
      </c>
      <c r="B110" s="23"/>
      <c r="C110" s="11" t="n">
        <f aca="false">Units!$E109*(1+Inputs!$B$7)^(C$2-1)</f>
        <v>1295</v>
      </c>
      <c r="D110" s="11" t="n">
        <f aca="false">Units!$E109*(1+Inputs!$B$7)^(D$2-1)</f>
        <v>1295</v>
      </c>
      <c r="E110" s="11" t="n">
        <f aca="false">Units!$E109*(1+Inputs!$B$7)^(E$2-1)</f>
        <v>1295</v>
      </c>
      <c r="F110" s="11" t="n">
        <f aca="false">Units!$E109*(1+Inputs!$B$7)^(F$2-1)</f>
        <v>1295</v>
      </c>
      <c r="G110" s="11" t="n">
        <f aca="false">Units!$E109*(1+Inputs!$B$7)^(G$2-1)</f>
        <v>1295</v>
      </c>
      <c r="H110" s="11" t="n">
        <f aca="false">Units!$E109*(1+Inputs!$B$7)^(H$2-1)</f>
        <v>1295</v>
      </c>
      <c r="I110" s="11" t="n">
        <f aca="false">Units!$E109*(1+Inputs!$B$7)^(I$2-1)</f>
        <v>1295</v>
      </c>
      <c r="J110" s="11" t="n">
        <f aca="false">Units!$E109*(1+Inputs!$B$7)^(J$2-1)</f>
        <v>1295</v>
      </c>
      <c r="K110" s="11" t="n">
        <f aca="false">Units!$E109*(1+Inputs!$B$7)^(K$2-1)</f>
        <v>1295</v>
      </c>
      <c r="L110" s="11" t="n">
        <f aca="false">Units!$E109*(1+Inputs!$B$7)^(L$2-1)</f>
        <v>1295</v>
      </c>
      <c r="M110" s="11" t="n">
        <f aca="false">Units!$E109*(1+Inputs!$B$7)^(M$2-1)</f>
        <v>1295</v>
      </c>
      <c r="N110" s="11" t="n">
        <f aca="false">Units!$E109*(1+Inputs!$B$7)^(N$2-1)</f>
        <v>1295</v>
      </c>
      <c r="O110" s="11" t="n">
        <f aca="false">Units!$E109*(1+Inputs!$B$7)^(O$2-1)</f>
        <v>1333.85</v>
      </c>
      <c r="P110" s="11" t="n">
        <f aca="false">Units!$E109*(1+Inputs!$B$7)^(P$2-1)</f>
        <v>1333.85</v>
      </c>
      <c r="Q110" s="11" t="n">
        <f aca="false">Units!$E109*(1+Inputs!$B$7)^(Q$2-1)</f>
        <v>1333.85</v>
      </c>
      <c r="R110" s="11" t="n">
        <f aca="false">Units!$E109*(1+Inputs!$B$7)^(R$2-1)</f>
        <v>1333.85</v>
      </c>
      <c r="S110" s="11" t="n">
        <f aca="false">Units!$E109*(1+Inputs!$B$7)^(S$2-1)</f>
        <v>1333.85</v>
      </c>
      <c r="T110" s="11" t="n">
        <f aca="false">Units!$E109*(1+Inputs!$B$7)^(T$2-1)</f>
        <v>1333.85</v>
      </c>
      <c r="U110" s="11" t="n">
        <f aca="false">Units!$E109*(1+Inputs!$B$7)^(U$2-1)</f>
        <v>1333.85</v>
      </c>
      <c r="V110" s="11" t="n">
        <f aca="false">Units!$E109*(1+Inputs!$B$7)^(V$2-1)</f>
        <v>1333.85</v>
      </c>
      <c r="W110" s="11" t="n">
        <f aca="false">Units!$E109*(1+Inputs!$B$7)^(W$2-1)</f>
        <v>1333.85</v>
      </c>
      <c r="X110" s="11" t="n">
        <f aca="false">Units!$E109*(1+Inputs!$B$7)^(X$2-1)</f>
        <v>1333.85</v>
      </c>
      <c r="Y110" s="11" t="n">
        <f aca="false">Units!$E109*(1+Inputs!$B$7)^(Y$2-1)</f>
        <v>1333.85</v>
      </c>
      <c r="Z110" s="11" t="n">
        <f aca="false">Units!$E109*(1+Inputs!$B$7)^(Z$2-1)</f>
        <v>1333.85</v>
      </c>
      <c r="AA110" s="11" t="n">
        <f aca="false">Units!$E109*(1+Inputs!$B$7)^(AA$2-1)</f>
        <v>1373.8655</v>
      </c>
      <c r="AB110" s="11" t="n">
        <f aca="false">Units!$E109*(1+Inputs!$B$7)^(AB$2-1)</f>
        <v>1373.8655</v>
      </c>
      <c r="AC110" s="11" t="n">
        <f aca="false">Units!$E109*(1+Inputs!$B$7)^(AC$2-1)</f>
        <v>1373.8655</v>
      </c>
      <c r="AD110" s="11" t="n">
        <f aca="false">Units!$E109*(1+Inputs!$B$7)^(AD$2-1)</f>
        <v>1373.8655</v>
      </c>
      <c r="AE110" s="11" t="n">
        <f aca="false">Units!$E109*(1+Inputs!$B$7)^(AE$2-1)</f>
        <v>1373.8655</v>
      </c>
      <c r="AF110" s="11" t="n">
        <f aca="false">Units!$E109*(1+Inputs!$B$7)^(AF$2-1)</f>
        <v>1373.8655</v>
      </c>
      <c r="AG110" s="11" t="n">
        <f aca="false">Units!$E109*(1+Inputs!$B$7)^(AG$2-1)</f>
        <v>1373.8655</v>
      </c>
      <c r="AH110" s="11" t="n">
        <f aca="false">Units!$E109*(1+Inputs!$B$7)^(AH$2-1)</f>
        <v>1373.8655</v>
      </c>
      <c r="AI110" s="11" t="n">
        <f aca="false">Units!$E109*(1+Inputs!$B$7)^(AI$2-1)</f>
        <v>1373.8655</v>
      </c>
      <c r="AJ110" s="11" t="n">
        <f aca="false">Units!$E109*(1+Inputs!$B$7)^(AJ$2-1)</f>
        <v>1373.8655</v>
      </c>
      <c r="AK110" s="11" t="n">
        <f aca="false">Units!$E109*(1+Inputs!$B$7)^(AK$2-1)</f>
        <v>1373.8655</v>
      </c>
      <c r="AL110" s="11" t="n">
        <f aca="false">Units!$E109*(1+Inputs!$B$7)^(AL$2-1)</f>
        <v>1373.8655</v>
      </c>
      <c r="AM110" s="11" t="n">
        <f aca="false">Units!$E109*(1+Inputs!$B$7)^(AM$2-1)</f>
        <v>1415.081465</v>
      </c>
      <c r="AN110" s="11" t="n">
        <f aca="false">Units!$E109*(1+Inputs!$B$7)^(AN$2-1)</f>
        <v>1415.081465</v>
      </c>
      <c r="AO110" s="11" t="n">
        <f aca="false">Units!$E109*(1+Inputs!$B$7)^(AO$2-1)</f>
        <v>1415.081465</v>
      </c>
      <c r="AP110" s="11" t="n">
        <f aca="false">Units!$E109*(1+Inputs!$B$7)^(AP$2-1)</f>
        <v>1415.081465</v>
      </c>
      <c r="AQ110" s="11" t="n">
        <f aca="false">Units!$E109*(1+Inputs!$B$7)^(AQ$2-1)</f>
        <v>1415.081465</v>
      </c>
      <c r="AR110" s="11" t="n">
        <f aca="false">Units!$E109*(1+Inputs!$B$7)^(AR$2-1)</f>
        <v>1415.081465</v>
      </c>
      <c r="AS110" s="11" t="n">
        <f aca="false">Units!$E109*(1+Inputs!$B$7)^(AS$2-1)</f>
        <v>1415.081465</v>
      </c>
      <c r="AT110" s="11" t="n">
        <f aca="false">Units!$E109*(1+Inputs!$B$7)^(AT$2-1)</f>
        <v>1415.081465</v>
      </c>
      <c r="AU110" s="11" t="n">
        <f aca="false">Units!$E109*(1+Inputs!$B$7)^(AU$2-1)</f>
        <v>1415.081465</v>
      </c>
      <c r="AV110" s="11" t="n">
        <f aca="false">Units!$E109*(1+Inputs!$B$7)^(AV$2-1)</f>
        <v>1415.081465</v>
      </c>
      <c r="AW110" s="11" t="n">
        <f aca="false">Units!$E109*(1+Inputs!$B$7)^(AW$2-1)</f>
        <v>1415.081465</v>
      </c>
      <c r="AX110" s="11" t="n">
        <f aca="false">Units!$E109*(1+Inputs!$B$7)^(AX$2-1)</f>
        <v>1415.081465</v>
      </c>
      <c r="AY110" s="11" t="n">
        <f aca="false">Units!$E109*(1+Inputs!$B$7)^(AY$2-1)</f>
        <v>1457.53390895</v>
      </c>
      <c r="AZ110" s="11" t="n">
        <f aca="false">Units!$E109*(1+Inputs!$B$7)^(AZ$2-1)</f>
        <v>1457.53390895</v>
      </c>
      <c r="BA110" s="11" t="n">
        <f aca="false">Units!$E109*(1+Inputs!$B$7)^(BA$2-1)</f>
        <v>1457.53390895</v>
      </c>
      <c r="BB110" s="11" t="n">
        <f aca="false">Units!$E109*(1+Inputs!$B$7)^(BB$2-1)</f>
        <v>1457.53390895</v>
      </c>
      <c r="BC110" s="11" t="n">
        <f aca="false">Units!$E109*(1+Inputs!$B$7)^(BC$2-1)</f>
        <v>1457.53390895</v>
      </c>
      <c r="BD110" s="11" t="n">
        <f aca="false">Units!$E109*(1+Inputs!$B$7)^(BD$2-1)</f>
        <v>1457.53390895</v>
      </c>
      <c r="BE110" s="11" t="n">
        <f aca="false">Units!$E109*(1+Inputs!$B$7)^(BE$2-1)</f>
        <v>1457.53390895</v>
      </c>
      <c r="BF110" s="11" t="n">
        <f aca="false">Units!$E109*(1+Inputs!$B$7)^(BF$2-1)</f>
        <v>1457.53390895</v>
      </c>
      <c r="BG110" s="11" t="n">
        <f aca="false">Units!$E109*(1+Inputs!$B$7)^(BG$2-1)</f>
        <v>1457.53390895</v>
      </c>
      <c r="BH110" s="11" t="n">
        <f aca="false">Units!$E109*(1+Inputs!$B$7)^(BH$2-1)</f>
        <v>1457.53390895</v>
      </c>
      <c r="BI110" s="11" t="n">
        <f aca="false">Units!$E109*(1+Inputs!$B$7)^(BI$2-1)</f>
        <v>1457.53390895</v>
      </c>
      <c r="BJ110" s="11" t="n">
        <f aca="false">Units!$E109*(1+Inputs!$B$7)^(BJ$2-1)</f>
        <v>1457.53390895</v>
      </c>
      <c r="BK110" s="11" t="n">
        <f aca="false">Units!$E109*(1+Inputs!$B$7)^(BK$2-1)</f>
        <v>1501.2599262185</v>
      </c>
      <c r="BL110" s="11" t="n">
        <f aca="false">Units!$E109*(1+Inputs!$B$7)^(BL$2-1)</f>
        <v>1501.2599262185</v>
      </c>
      <c r="BM110" s="11" t="n">
        <f aca="false">Units!$E109*(1+Inputs!$B$7)^(BM$2-1)</f>
        <v>1501.2599262185</v>
      </c>
      <c r="BN110" s="11" t="n">
        <f aca="false">Units!$E109*(1+Inputs!$B$7)^(BN$2-1)</f>
        <v>1501.2599262185</v>
      </c>
      <c r="BO110" s="11" t="n">
        <f aca="false">Units!$E109*(1+Inputs!$B$7)^(BO$2-1)</f>
        <v>1501.2599262185</v>
      </c>
      <c r="BP110" s="11" t="n">
        <f aca="false">Units!$E109*(1+Inputs!$B$7)^(BP$2-1)</f>
        <v>1501.2599262185</v>
      </c>
      <c r="BQ110" s="11" t="n">
        <f aca="false">Units!$E109*(1+Inputs!$B$7)^(BQ$2-1)</f>
        <v>1501.2599262185</v>
      </c>
      <c r="BR110" s="11" t="n">
        <f aca="false">Units!$E109*(1+Inputs!$B$7)^(BR$2-1)</f>
        <v>1501.2599262185</v>
      </c>
      <c r="BS110" s="11" t="n">
        <f aca="false">Units!$E109*(1+Inputs!$B$7)^(BS$2-1)</f>
        <v>1501.2599262185</v>
      </c>
      <c r="BT110" s="11" t="n">
        <f aca="false">Units!$E109*(1+Inputs!$B$7)^(BT$2-1)</f>
        <v>1501.2599262185</v>
      </c>
      <c r="BU110" s="11" t="n">
        <f aca="false">Units!$E109*(1+Inputs!$B$7)^(BU$2-1)</f>
        <v>1501.2599262185</v>
      </c>
      <c r="BV110" s="11" t="n">
        <f aca="false">Units!$E109*(1+Inputs!$B$7)^(BV$2-1)</f>
        <v>1501.2599262185</v>
      </c>
      <c r="BW110" s="11" t="n">
        <f aca="false">Units!$E109*(1+Inputs!$B$7)^(BW$2-1)</f>
        <v>1546.29772400506</v>
      </c>
      <c r="BX110" s="11" t="n">
        <f aca="false">Units!$E109*(1+Inputs!$B$7)^(BX$2-1)</f>
        <v>1546.29772400506</v>
      </c>
      <c r="BY110" s="11" t="n">
        <f aca="false">Units!$E109*(1+Inputs!$B$7)^(BY$2-1)</f>
        <v>1546.29772400506</v>
      </c>
      <c r="BZ110" s="11" t="n">
        <f aca="false">Units!$E109*(1+Inputs!$B$7)^(BZ$2-1)</f>
        <v>1546.29772400506</v>
      </c>
      <c r="CA110" s="11" t="n">
        <f aca="false">Units!$E109*(1+Inputs!$B$7)^(CA$2-1)</f>
        <v>1546.29772400506</v>
      </c>
      <c r="CB110" s="11" t="n">
        <f aca="false">Units!$E109*(1+Inputs!$B$7)^(CB$2-1)</f>
        <v>1546.29772400506</v>
      </c>
      <c r="CC110" s="11" t="n">
        <f aca="false">Units!$E109*(1+Inputs!$B$7)^(CC$2-1)</f>
        <v>1546.29772400506</v>
      </c>
      <c r="CD110" s="11" t="n">
        <f aca="false">Units!$E109*(1+Inputs!$B$7)^(CD$2-1)</f>
        <v>1546.29772400506</v>
      </c>
      <c r="CE110" s="11" t="n">
        <f aca="false">Units!$E109*(1+Inputs!$B$7)^(CE$2-1)</f>
        <v>1546.29772400506</v>
      </c>
      <c r="CF110" s="11" t="n">
        <f aca="false">Units!$E109*(1+Inputs!$B$7)^(CF$2-1)</f>
        <v>1546.29772400506</v>
      </c>
      <c r="CG110" s="11" t="n">
        <f aca="false">Units!$E109*(1+Inputs!$B$7)^(CG$2-1)</f>
        <v>1546.29772400506</v>
      </c>
      <c r="CH110" s="11" t="n">
        <f aca="false">Units!$E109*(1+Inputs!$B$7)^(CH$2-1)</f>
        <v>1546.29772400506</v>
      </c>
      <c r="CI110" s="11" t="n">
        <f aca="false">Units!$E109*(1+Inputs!$B$7)^(CI$2-1)</f>
        <v>1592.68665572521</v>
      </c>
      <c r="CJ110" s="11" t="n">
        <f aca="false">Units!$E109*(1+Inputs!$B$7)^(CJ$2-1)</f>
        <v>1592.68665572521</v>
      </c>
      <c r="CK110" s="11" t="n">
        <f aca="false">Units!$E109*(1+Inputs!$B$7)^(CK$2-1)</f>
        <v>1592.68665572521</v>
      </c>
      <c r="CL110" s="11" t="n">
        <f aca="false">Units!$E109*(1+Inputs!$B$7)^(CL$2-1)</f>
        <v>1592.68665572521</v>
      </c>
      <c r="CM110" s="11" t="n">
        <f aca="false">Units!$E109*(1+Inputs!$B$7)^(CM$2-1)</f>
        <v>1592.68665572521</v>
      </c>
      <c r="CN110" s="11" t="n">
        <f aca="false">Units!$E109*(1+Inputs!$B$7)^(CN$2-1)</f>
        <v>1592.68665572521</v>
      </c>
      <c r="CO110" s="11" t="n">
        <f aca="false">Units!$E109*(1+Inputs!$B$7)^(CO$2-1)</f>
        <v>1592.68665572521</v>
      </c>
      <c r="CP110" s="11" t="n">
        <f aca="false">Units!$E109*(1+Inputs!$B$7)^(CP$2-1)</f>
        <v>1592.68665572521</v>
      </c>
      <c r="CQ110" s="11" t="n">
        <f aca="false">Units!$E109*(1+Inputs!$B$7)^(CQ$2-1)</f>
        <v>1592.68665572521</v>
      </c>
      <c r="CR110" s="11" t="n">
        <f aca="false">Units!$E109*(1+Inputs!$B$7)^(CR$2-1)</f>
        <v>1592.68665572521</v>
      </c>
      <c r="CS110" s="11" t="n">
        <f aca="false">Units!$E109*(1+Inputs!$B$7)^(CS$2-1)</f>
        <v>1592.68665572521</v>
      </c>
      <c r="CT110" s="11" t="n">
        <f aca="false">Units!$E109*(1+Inputs!$B$7)^(CT$2-1)</f>
        <v>1592.68665572521</v>
      </c>
      <c r="CU110" s="11" t="n">
        <f aca="false">Units!$E109*(1+Inputs!$B$7)^(CU$2-1)</f>
        <v>1640.46725539696</v>
      </c>
      <c r="CV110" s="11" t="n">
        <f aca="false">Units!$E109*(1+Inputs!$B$7)^(CV$2-1)</f>
        <v>1640.46725539696</v>
      </c>
      <c r="CW110" s="11" t="n">
        <f aca="false">Units!$E109*(1+Inputs!$B$7)^(CW$2-1)</f>
        <v>1640.46725539696</v>
      </c>
      <c r="CX110" s="11" t="n">
        <f aca="false">Units!$E109*(1+Inputs!$B$7)^(CX$2-1)</f>
        <v>1640.46725539696</v>
      </c>
      <c r="CY110" s="11" t="n">
        <f aca="false">Units!$E109*(1+Inputs!$B$7)^(CY$2-1)</f>
        <v>1640.46725539696</v>
      </c>
      <c r="CZ110" s="11" t="n">
        <f aca="false">Units!$E109*(1+Inputs!$B$7)^(CZ$2-1)</f>
        <v>1640.46725539696</v>
      </c>
      <c r="DA110" s="11" t="n">
        <f aca="false">Units!$E109*(1+Inputs!$B$7)^(DA$2-1)</f>
        <v>1640.46725539696</v>
      </c>
      <c r="DB110" s="11" t="n">
        <f aca="false">Units!$E109*(1+Inputs!$B$7)^(DB$2-1)</f>
        <v>1640.46725539696</v>
      </c>
      <c r="DC110" s="11" t="n">
        <f aca="false">Units!$E109*(1+Inputs!$B$7)^(DC$2-1)</f>
        <v>1640.46725539696</v>
      </c>
      <c r="DD110" s="11" t="n">
        <f aca="false">Units!$E109*(1+Inputs!$B$7)^(DD$2-1)</f>
        <v>1640.46725539696</v>
      </c>
      <c r="DE110" s="11" t="n">
        <f aca="false">Units!$E109*(1+Inputs!$B$7)^(DE$2-1)</f>
        <v>1640.46725539696</v>
      </c>
      <c r="DF110" s="11" t="n">
        <f aca="false">Units!$E109*(1+Inputs!$B$7)^(DF$2-1)</f>
        <v>1640.46725539696</v>
      </c>
      <c r="DG110" s="11" t="n">
        <f aca="false">Units!$E109*(1+Inputs!$B$7)^(DG$2-1)</f>
        <v>1689.68127305887</v>
      </c>
      <c r="DH110" s="11" t="n">
        <f aca="false">Units!$E109*(1+Inputs!$B$7)^(DH$2-1)</f>
        <v>1689.68127305887</v>
      </c>
      <c r="DI110" s="11" t="n">
        <f aca="false">Units!$E109*(1+Inputs!$B$7)^(DI$2-1)</f>
        <v>1689.68127305887</v>
      </c>
      <c r="DJ110" s="11" t="n">
        <f aca="false">Units!$E109*(1+Inputs!$B$7)^(DJ$2-1)</f>
        <v>1689.68127305887</v>
      </c>
      <c r="DK110" s="11" t="n">
        <f aca="false">Units!$E109*(1+Inputs!$B$7)^(DK$2-1)</f>
        <v>1689.68127305887</v>
      </c>
      <c r="DL110" s="11" t="n">
        <f aca="false">Units!$E109*(1+Inputs!$B$7)^(DL$2-1)</f>
        <v>1689.68127305887</v>
      </c>
      <c r="DM110" s="11" t="n">
        <f aca="false">Units!$E109*(1+Inputs!$B$7)^(DM$2-1)</f>
        <v>1689.68127305887</v>
      </c>
      <c r="DN110" s="11" t="n">
        <f aca="false">Units!$E109*(1+Inputs!$B$7)^(DN$2-1)</f>
        <v>1689.68127305887</v>
      </c>
      <c r="DO110" s="11" t="n">
        <f aca="false">Units!$E109*(1+Inputs!$B$7)^(DO$2-1)</f>
        <v>1689.68127305887</v>
      </c>
      <c r="DP110" s="11" t="n">
        <f aca="false">Units!$E109*(1+Inputs!$B$7)^(DP$2-1)</f>
        <v>1689.68127305887</v>
      </c>
      <c r="DQ110" s="11" t="n">
        <f aca="false">Units!$E109*(1+Inputs!$B$7)^(DQ$2-1)</f>
        <v>1689.68127305887</v>
      </c>
      <c r="DR110" s="11" t="n">
        <f aca="false">Units!$E109*(1+Inputs!$B$7)^(DR$2-1)</f>
        <v>1689.68127305887</v>
      </c>
      <c r="DS110" s="11" t="n">
        <f aca="false">Units!$E109*(1+Inputs!$B$7)^(DS$2-1)</f>
        <v>1740.37171125064</v>
      </c>
      <c r="DT110" s="11" t="n">
        <f aca="false">Units!$E109*(1+Inputs!$B$7)^(DT$2-1)</f>
        <v>1740.37171125064</v>
      </c>
      <c r="DU110" s="11" t="n">
        <f aca="false">Units!$E109*(1+Inputs!$B$7)^(DU$2-1)</f>
        <v>1740.37171125064</v>
      </c>
      <c r="DV110" s="11" t="n">
        <f aca="false">Units!$E109*(1+Inputs!$B$7)^(DV$2-1)</f>
        <v>1740.37171125064</v>
      </c>
      <c r="DW110" s="11" t="n">
        <f aca="false">Units!$E109*(1+Inputs!$B$7)^(DW$2-1)</f>
        <v>1740.37171125064</v>
      </c>
      <c r="DX110" s="11" t="n">
        <f aca="false">Units!$E109*(1+Inputs!$B$7)^(DX$2-1)</f>
        <v>1740.37171125064</v>
      </c>
      <c r="DY110" s="11" t="n">
        <f aca="false">Units!$E109*(1+Inputs!$B$7)^(DY$2-1)</f>
        <v>1740.37171125064</v>
      </c>
      <c r="DZ110" s="11" t="n">
        <f aca="false">Units!$E109*(1+Inputs!$B$7)^(DZ$2-1)</f>
        <v>1740.37171125064</v>
      </c>
      <c r="EA110" s="11" t="n">
        <f aca="false">Units!$E109*(1+Inputs!$B$7)^(EA$2-1)</f>
        <v>1740.37171125064</v>
      </c>
      <c r="EB110" s="11" t="n">
        <f aca="false">Units!$E109*(1+Inputs!$B$7)^(EB$2-1)</f>
        <v>1740.37171125064</v>
      </c>
      <c r="EC110" s="11" t="n">
        <f aca="false">Units!$E109*(1+Inputs!$B$7)^(EC$2-1)</f>
        <v>1740.37171125064</v>
      </c>
      <c r="ED110" s="11" t="n">
        <f aca="false">Units!$E109*(1+Inputs!$B$7)^(ED$2-1)</f>
        <v>1740.37171125064</v>
      </c>
    </row>
    <row r="111" customFormat="false" ht="15" hidden="false" customHeight="false" outlineLevel="0" collapsed="false">
      <c r="A111" s="22" t="n">
        <f aca="false">Units!A110</f>
        <v>419</v>
      </c>
      <c r="B111" s="23"/>
      <c r="C111" s="11" t="n">
        <f aca="false">Units!$E110*(1+Inputs!$B$7)^(C$2-1)</f>
        <v>1295</v>
      </c>
      <c r="D111" s="11" t="n">
        <f aca="false">Units!$E110*(1+Inputs!$B$7)^(D$2-1)</f>
        <v>1295</v>
      </c>
      <c r="E111" s="11" t="n">
        <f aca="false">Units!$E110*(1+Inputs!$B$7)^(E$2-1)</f>
        <v>1295</v>
      </c>
      <c r="F111" s="11" t="n">
        <f aca="false">Units!$E110*(1+Inputs!$B$7)^(F$2-1)</f>
        <v>1295</v>
      </c>
      <c r="G111" s="11" t="n">
        <f aca="false">Units!$E110*(1+Inputs!$B$7)^(G$2-1)</f>
        <v>1295</v>
      </c>
      <c r="H111" s="11" t="n">
        <f aca="false">Units!$E110*(1+Inputs!$B$7)^(H$2-1)</f>
        <v>1295</v>
      </c>
      <c r="I111" s="11" t="n">
        <f aca="false">Units!$E110*(1+Inputs!$B$7)^(I$2-1)</f>
        <v>1295</v>
      </c>
      <c r="J111" s="11" t="n">
        <f aca="false">Units!$E110*(1+Inputs!$B$7)^(J$2-1)</f>
        <v>1295</v>
      </c>
      <c r="K111" s="11" t="n">
        <f aca="false">Units!$E110*(1+Inputs!$B$7)^(K$2-1)</f>
        <v>1295</v>
      </c>
      <c r="L111" s="11" t="n">
        <f aca="false">Units!$E110*(1+Inputs!$B$7)^(L$2-1)</f>
        <v>1295</v>
      </c>
      <c r="M111" s="11" t="n">
        <f aca="false">Units!$E110*(1+Inputs!$B$7)^(M$2-1)</f>
        <v>1295</v>
      </c>
      <c r="N111" s="11" t="n">
        <f aca="false">Units!$E110*(1+Inputs!$B$7)^(N$2-1)</f>
        <v>1295</v>
      </c>
      <c r="O111" s="11" t="n">
        <f aca="false">Units!$E110*(1+Inputs!$B$7)^(O$2-1)</f>
        <v>1333.85</v>
      </c>
      <c r="P111" s="11" t="n">
        <f aca="false">Units!$E110*(1+Inputs!$B$7)^(P$2-1)</f>
        <v>1333.85</v>
      </c>
      <c r="Q111" s="11" t="n">
        <f aca="false">Units!$E110*(1+Inputs!$B$7)^(Q$2-1)</f>
        <v>1333.85</v>
      </c>
      <c r="R111" s="11" t="n">
        <f aca="false">Units!$E110*(1+Inputs!$B$7)^(R$2-1)</f>
        <v>1333.85</v>
      </c>
      <c r="S111" s="11" t="n">
        <f aca="false">Units!$E110*(1+Inputs!$B$7)^(S$2-1)</f>
        <v>1333.85</v>
      </c>
      <c r="T111" s="11" t="n">
        <f aca="false">Units!$E110*(1+Inputs!$B$7)^(T$2-1)</f>
        <v>1333.85</v>
      </c>
      <c r="U111" s="11" t="n">
        <f aca="false">Units!$E110*(1+Inputs!$B$7)^(U$2-1)</f>
        <v>1333.85</v>
      </c>
      <c r="V111" s="11" t="n">
        <f aca="false">Units!$E110*(1+Inputs!$B$7)^(V$2-1)</f>
        <v>1333.85</v>
      </c>
      <c r="W111" s="11" t="n">
        <f aca="false">Units!$E110*(1+Inputs!$B$7)^(W$2-1)</f>
        <v>1333.85</v>
      </c>
      <c r="X111" s="11" t="n">
        <f aca="false">Units!$E110*(1+Inputs!$B$7)^(X$2-1)</f>
        <v>1333.85</v>
      </c>
      <c r="Y111" s="11" t="n">
        <f aca="false">Units!$E110*(1+Inputs!$B$7)^(Y$2-1)</f>
        <v>1333.85</v>
      </c>
      <c r="Z111" s="11" t="n">
        <f aca="false">Units!$E110*(1+Inputs!$B$7)^(Z$2-1)</f>
        <v>1333.85</v>
      </c>
      <c r="AA111" s="11" t="n">
        <f aca="false">Units!$E110*(1+Inputs!$B$7)^(AA$2-1)</f>
        <v>1373.8655</v>
      </c>
      <c r="AB111" s="11" t="n">
        <f aca="false">Units!$E110*(1+Inputs!$B$7)^(AB$2-1)</f>
        <v>1373.8655</v>
      </c>
      <c r="AC111" s="11" t="n">
        <f aca="false">Units!$E110*(1+Inputs!$B$7)^(AC$2-1)</f>
        <v>1373.8655</v>
      </c>
      <c r="AD111" s="11" t="n">
        <f aca="false">Units!$E110*(1+Inputs!$B$7)^(AD$2-1)</f>
        <v>1373.8655</v>
      </c>
      <c r="AE111" s="11" t="n">
        <f aca="false">Units!$E110*(1+Inputs!$B$7)^(AE$2-1)</f>
        <v>1373.8655</v>
      </c>
      <c r="AF111" s="11" t="n">
        <f aca="false">Units!$E110*(1+Inputs!$B$7)^(AF$2-1)</f>
        <v>1373.8655</v>
      </c>
      <c r="AG111" s="11" t="n">
        <f aca="false">Units!$E110*(1+Inputs!$B$7)^(AG$2-1)</f>
        <v>1373.8655</v>
      </c>
      <c r="AH111" s="11" t="n">
        <f aca="false">Units!$E110*(1+Inputs!$B$7)^(AH$2-1)</f>
        <v>1373.8655</v>
      </c>
      <c r="AI111" s="11" t="n">
        <f aca="false">Units!$E110*(1+Inputs!$B$7)^(AI$2-1)</f>
        <v>1373.8655</v>
      </c>
      <c r="AJ111" s="11" t="n">
        <f aca="false">Units!$E110*(1+Inputs!$B$7)^(AJ$2-1)</f>
        <v>1373.8655</v>
      </c>
      <c r="AK111" s="11" t="n">
        <f aca="false">Units!$E110*(1+Inputs!$B$7)^(AK$2-1)</f>
        <v>1373.8655</v>
      </c>
      <c r="AL111" s="11" t="n">
        <f aca="false">Units!$E110*(1+Inputs!$B$7)^(AL$2-1)</f>
        <v>1373.8655</v>
      </c>
      <c r="AM111" s="11" t="n">
        <f aca="false">Units!$E110*(1+Inputs!$B$7)^(AM$2-1)</f>
        <v>1415.081465</v>
      </c>
      <c r="AN111" s="11" t="n">
        <f aca="false">Units!$E110*(1+Inputs!$B$7)^(AN$2-1)</f>
        <v>1415.081465</v>
      </c>
      <c r="AO111" s="11" t="n">
        <f aca="false">Units!$E110*(1+Inputs!$B$7)^(AO$2-1)</f>
        <v>1415.081465</v>
      </c>
      <c r="AP111" s="11" t="n">
        <f aca="false">Units!$E110*(1+Inputs!$B$7)^(AP$2-1)</f>
        <v>1415.081465</v>
      </c>
      <c r="AQ111" s="11" t="n">
        <f aca="false">Units!$E110*(1+Inputs!$B$7)^(AQ$2-1)</f>
        <v>1415.081465</v>
      </c>
      <c r="AR111" s="11" t="n">
        <f aca="false">Units!$E110*(1+Inputs!$B$7)^(AR$2-1)</f>
        <v>1415.081465</v>
      </c>
      <c r="AS111" s="11" t="n">
        <f aca="false">Units!$E110*(1+Inputs!$B$7)^(AS$2-1)</f>
        <v>1415.081465</v>
      </c>
      <c r="AT111" s="11" t="n">
        <f aca="false">Units!$E110*(1+Inputs!$B$7)^(AT$2-1)</f>
        <v>1415.081465</v>
      </c>
      <c r="AU111" s="11" t="n">
        <f aca="false">Units!$E110*(1+Inputs!$B$7)^(AU$2-1)</f>
        <v>1415.081465</v>
      </c>
      <c r="AV111" s="11" t="n">
        <f aca="false">Units!$E110*(1+Inputs!$B$7)^(AV$2-1)</f>
        <v>1415.081465</v>
      </c>
      <c r="AW111" s="11" t="n">
        <f aca="false">Units!$E110*(1+Inputs!$B$7)^(AW$2-1)</f>
        <v>1415.081465</v>
      </c>
      <c r="AX111" s="11" t="n">
        <f aca="false">Units!$E110*(1+Inputs!$B$7)^(AX$2-1)</f>
        <v>1415.081465</v>
      </c>
      <c r="AY111" s="11" t="n">
        <f aca="false">Units!$E110*(1+Inputs!$B$7)^(AY$2-1)</f>
        <v>1457.53390895</v>
      </c>
      <c r="AZ111" s="11" t="n">
        <f aca="false">Units!$E110*(1+Inputs!$B$7)^(AZ$2-1)</f>
        <v>1457.53390895</v>
      </c>
      <c r="BA111" s="11" t="n">
        <f aca="false">Units!$E110*(1+Inputs!$B$7)^(BA$2-1)</f>
        <v>1457.53390895</v>
      </c>
      <c r="BB111" s="11" t="n">
        <f aca="false">Units!$E110*(1+Inputs!$B$7)^(BB$2-1)</f>
        <v>1457.53390895</v>
      </c>
      <c r="BC111" s="11" t="n">
        <f aca="false">Units!$E110*(1+Inputs!$B$7)^(BC$2-1)</f>
        <v>1457.53390895</v>
      </c>
      <c r="BD111" s="11" t="n">
        <f aca="false">Units!$E110*(1+Inputs!$B$7)^(BD$2-1)</f>
        <v>1457.53390895</v>
      </c>
      <c r="BE111" s="11" t="n">
        <f aca="false">Units!$E110*(1+Inputs!$B$7)^(BE$2-1)</f>
        <v>1457.53390895</v>
      </c>
      <c r="BF111" s="11" t="n">
        <f aca="false">Units!$E110*(1+Inputs!$B$7)^(BF$2-1)</f>
        <v>1457.53390895</v>
      </c>
      <c r="BG111" s="11" t="n">
        <f aca="false">Units!$E110*(1+Inputs!$B$7)^(BG$2-1)</f>
        <v>1457.53390895</v>
      </c>
      <c r="BH111" s="11" t="n">
        <f aca="false">Units!$E110*(1+Inputs!$B$7)^(BH$2-1)</f>
        <v>1457.53390895</v>
      </c>
      <c r="BI111" s="11" t="n">
        <f aca="false">Units!$E110*(1+Inputs!$B$7)^(BI$2-1)</f>
        <v>1457.53390895</v>
      </c>
      <c r="BJ111" s="11" t="n">
        <f aca="false">Units!$E110*(1+Inputs!$B$7)^(BJ$2-1)</f>
        <v>1457.53390895</v>
      </c>
      <c r="BK111" s="11" t="n">
        <f aca="false">Units!$E110*(1+Inputs!$B$7)^(BK$2-1)</f>
        <v>1501.2599262185</v>
      </c>
      <c r="BL111" s="11" t="n">
        <f aca="false">Units!$E110*(1+Inputs!$B$7)^(BL$2-1)</f>
        <v>1501.2599262185</v>
      </c>
      <c r="BM111" s="11" t="n">
        <f aca="false">Units!$E110*(1+Inputs!$B$7)^(BM$2-1)</f>
        <v>1501.2599262185</v>
      </c>
      <c r="BN111" s="11" t="n">
        <f aca="false">Units!$E110*(1+Inputs!$B$7)^(BN$2-1)</f>
        <v>1501.2599262185</v>
      </c>
      <c r="BO111" s="11" t="n">
        <f aca="false">Units!$E110*(1+Inputs!$B$7)^(BO$2-1)</f>
        <v>1501.2599262185</v>
      </c>
      <c r="BP111" s="11" t="n">
        <f aca="false">Units!$E110*(1+Inputs!$B$7)^(BP$2-1)</f>
        <v>1501.2599262185</v>
      </c>
      <c r="BQ111" s="11" t="n">
        <f aca="false">Units!$E110*(1+Inputs!$B$7)^(BQ$2-1)</f>
        <v>1501.2599262185</v>
      </c>
      <c r="BR111" s="11" t="n">
        <f aca="false">Units!$E110*(1+Inputs!$B$7)^(BR$2-1)</f>
        <v>1501.2599262185</v>
      </c>
      <c r="BS111" s="11" t="n">
        <f aca="false">Units!$E110*(1+Inputs!$B$7)^(BS$2-1)</f>
        <v>1501.2599262185</v>
      </c>
      <c r="BT111" s="11" t="n">
        <f aca="false">Units!$E110*(1+Inputs!$B$7)^(BT$2-1)</f>
        <v>1501.2599262185</v>
      </c>
      <c r="BU111" s="11" t="n">
        <f aca="false">Units!$E110*(1+Inputs!$B$7)^(BU$2-1)</f>
        <v>1501.2599262185</v>
      </c>
      <c r="BV111" s="11" t="n">
        <f aca="false">Units!$E110*(1+Inputs!$B$7)^(BV$2-1)</f>
        <v>1501.2599262185</v>
      </c>
      <c r="BW111" s="11" t="n">
        <f aca="false">Units!$E110*(1+Inputs!$B$7)^(BW$2-1)</f>
        <v>1546.29772400506</v>
      </c>
      <c r="BX111" s="11" t="n">
        <f aca="false">Units!$E110*(1+Inputs!$B$7)^(BX$2-1)</f>
        <v>1546.29772400506</v>
      </c>
      <c r="BY111" s="11" t="n">
        <f aca="false">Units!$E110*(1+Inputs!$B$7)^(BY$2-1)</f>
        <v>1546.29772400506</v>
      </c>
      <c r="BZ111" s="11" t="n">
        <f aca="false">Units!$E110*(1+Inputs!$B$7)^(BZ$2-1)</f>
        <v>1546.29772400506</v>
      </c>
      <c r="CA111" s="11" t="n">
        <f aca="false">Units!$E110*(1+Inputs!$B$7)^(CA$2-1)</f>
        <v>1546.29772400506</v>
      </c>
      <c r="CB111" s="11" t="n">
        <f aca="false">Units!$E110*(1+Inputs!$B$7)^(CB$2-1)</f>
        <v>1546.29772400506</v>
      </c>
      <c r="CC111" s="11" t="n">
        <f aca="false">Units!$E110*(1+Inputs!$B$7)^(CC$2-1)</f>
        <v>1546.29772400506</v>
      </c>
      <c r="CD111" s="11" t="n">
        <f aca="false">Units!$E110*(1+Inputs!$B$7)^(CD$2-1)</f>
        <v>1546.29772400506</v>
      </c>
      <c r="CE111" s="11" t="n">
        <f aca="false">Units!$E110*(1+Inputs!$B$7)^(CE$2-1)</f>
        <v>1546.29772400506</v>
      </c>
      <c r="CF111" s="11" t="n">
        <f aca="false">Units!$E110*(1+Inputs!$B$7)^(CF$2-1)</f>
        <v>1546.29772400506</v>
      </c>
      <c r="CG111" s="11" t="n">
        <f aca="false">Units!$E110*(1+Inputs!$B$7)^(CG$2-1)</f>
        <v>1546.29772400506</v>
      </c>
      <c r="CH111" s="11" t="n">
        <f aca="false">Units!$E110*(1+Inputs!$B$7)^(CH$2-1)</f>
        <v>1546.29772400506</v>
      </c>
      <c r="CI111" s="11" t="n">
        <f aca="false">Units!$E110*(1+Inputs!$B$7)^(CI$2-1)</f>
        <v>1592.68665572521</v>
      </c>
      <c r="CJ111" s="11" t="n">
        <f aca="false">Units!$E110*(1+Inputs!$B$7)^(CJ$2-1)</f>
        <v>1592.68665572521</v>
      </c>
      <c r="CK111" s="11" t="n">
        <f aca="false">Units!$E110*(1+Inputs!$B$7)^(CK$2-1)</f>
        <v>1592.68665572521</v>
      </c>
      <c r="CL111" s="11" t="n">
        <f aca="false">Units!$E110*(1+Inputs!$B$7)^(CL$2-1)</f>
        <v>1592.68665572521</v>
      </c>
      <c r="CM111" s="11" t="n">
        <f aca="false">Units!$E110*(1+Inputs!$B$7)^(CM$2-1)</f>
        <v>1592.68665572521</v>
      </c>
      <c r="CN111" s="11" t="n">
        <f aca="false">Units!$E110*(1+Inputs!$B$7)^(CN$2-1)</f>
        <v>1592.68665572521</v>
      </c>
      <c r="CO111" s="11" t="n">
        <f aca="false">Units!$E110*(1+Inputs!$B$7)^(CO$2-1)</f>
        <v>1592.68665572521</v>
      </c>
      <c r="CP111" s="11" t="n">
        <f aca="false">Units!$E110*(1+Inputs!$B$7)^(CP$2-1)</f>
        <v>1592.68665572521</v>
      </c>
      <c r="CQ111" s="11" t="n">
        <f aca="false">Units!$E110*(1+Inputs!$B$7)^(CQ$2-1)</f>
        <v>1592.68665572521</v>
      </c>
      <c r="CR111" s="11" t="n">
        <f aca="false">Units!$E110*(1+Inputs!$B$7)^(CR$2-1)</f>
        <v>1592.68665572521</v>
      </c>
      <c r="CS111" s="11" t="n">
        <f aca="false">Units!$E110*(1+Inputs!$B$7)^(CS$2-1)</f>
        <v>1592.68665572521</v>
      </c>
      <c r="CT111" s="11" t="n">
        <f aca="false">Units!$E110*(1+Inputs!$B$7)^(CT$2-1)</f>
        <v>1592.68665572521</v>
      </c>
      <c r="CU111" s="11" t="n">
        <f aca="false">Units!$E110*(1+Inputs!$B$7)^(CU$2-1)</f>
        <v>1640.46725539696</v>
      </c>
      <c r="CV111" s="11" t="n">
        <f aca="false">Units!$E110*(1+Inputs!$B$7)^(CV$2-1)</f>
        <v>1640.46725539696</v>
      </c>
      <c r="CW111" s="11" t="n">
        <f aca="false">Units!$E110*(1+Inputs!$B$7)^(CW$2-1)</f>
        <v>1640.46725539696</v>
      </c>
      <c r="CX111" s="11" t="n">
        <f aca="false">Units!$E110*(1+Inputs!$B$7)^(CX$2-1)</f>
        <v>1640.46725539696</v>
      </c>
      <c r="CY111" s="11" t="n">
        <f aca="false">Units!$E110*(1+Inputs!$B$7)^(CY$2-1)</f>
        <v>1640.46725539696</v>
      </c>
      <c r="CZ111" s="11" t="n">
        <f aca="false">Units!$E110*(1+Inputs!$B$7)^(CZ$2-1)</f>
        <v>1640.46725539696</v>
      </c>
      <c r="DA111" s="11" t="n">
        <f aca="false">Units!$E110*(1+Inputs!$B$7)^(DA$2-1)</f>
        <v>1640.46725539696</v>
      </c>
      <c r="DB111" s="11" t="n">
        <f aca="false">Units!$E110*(1+Inputs!$B$7)^(DB$2-1)</f>
        <v>1640.46725539696</v>
      </c>
      <c r="DC111" s="11" t="n">
        <f aca="false">Units!$E110*(1+Inputs!$B$7)^(DC$2-1)</f>
        <v>1640.46725539696</v>
      </c>
      <c r="DD111" s="11" t="n">
        <f aca="false">Units!$E110*(1+Inputs!$B$7)^(DD$2-1)</f>
        <v>1640.46725539696</v>
      </c>
      <c r="DE111" s="11" t="n">
        <f aca="false">Units!$E110*(1+Inputs!$B$7)^(DE$2-1)</f>
        <v>1640.46725539696</v>
      </c>
      <c r="DF111" s="11" t="n">
        <f aca="false">Units!$E110*(1+Inputs!$B$7)^(DF$2-1)</f>
        <v>1640.46725539696</v>
      </c>
      <c r="DG111" s="11" t="n">
        <f aca="false">Units!$E110*(1+Inputs!$B$7)^(DG$2-1)</f>
        <v>1689.68127305887</v>
      </c>
      <c r="DH111" s="11" t="n">
        <f aca="false">Units!$E110*(1+Inputs!$B$7)^(DH$2-1)</f>
        <v>1689.68127305887</v>
      </c>
      <c r="DI111" s="11" t="n">
        <f aca="false">Units!$E110*(1+Inputs!$B$7)^(DI$2-1)</f>
        <v>1689.68127305887</v>
      </c>
      <c r="DJ111" s="11" t="n">
        <f aca="false">Units!$E110*(1+Inputs!$B$7)^(DJ$2-1)</f>
        <v>1689.68127305887</v>
      </c>
      <c r="DK111" s="11" t="n">
        <f aca="false">Units!$E110*(1+Inputs!$B$7)^(DK$2-1)</f>
        <v>1689.68127305887</v>
      </c>
      <c r="DL111" s="11" t="n">
        <f aca="false">Units!$E110*(1+Inputs!$B$7)^(DL$2-1)</f>
        <v>1689.68127305887</v>
      </c>
      <c r="DM111" s="11" t="n">
        <f aca="false">Units!$E110*(1+Inputs!$B$7)^(DM$2-1)</f>
        <v>1689.68127305887</v>
      </c>
      <c r="DN111" s="11" t="n">
        <f aca="false">Units!$E110*(1+Inputs!$B$7)^(DN$2-1)</f>
        <v>1689.68127305887</v>
      </c>
      <c r="DO111" s="11" t="n">
        <f aca="false">Units!$E110*(1+Inputs!$B$7)^(DO$2-1)</f>
        <v>1689.68127305887</v>
      </c>
      <c r="DP111" s="11" t="n">
        <f aca="false">Units!$E110*(1+Inputs!$B$7)^(DP$2-1)</f>
        <v>1689.68127305887</v>
      </c>
      <c r="DQ111" s="11" t="n">
        <f aca="false">Units!$E110*(1+Inputs!$B$7)^(DQ$2-1)</f>
        <v>1689.68127305887</v>
      </c>
      <c r="DR111" s="11" t="n">
        <f aca="false">Units!$E110*(1+Inputs!$B$7)^(DR$2-1)</f>
        <v>1689.68127305887</v>
      </c>
      <c r="DS111" s="11" t="n">
        <f aca="false">Units!$E110*(1+Inputs!$B$7)^(DS$2-1)</f>
        <v>1740.37171125064</v>
      </c>
      <c r="DT111" s="11" t="n">
        <f aca="false">Units!$E110*(1+Inputs!$B$7)^(DT$2-1)</f>
        <v>1740.37171125064</v>
      </c>
      <c r="DU111" s="11" t="n">
        <f aca="false">Units!$E110*(1+Inputs!$B$7)^(DU$2-1)</f>
        <v>1740.37171125064</v>
      </c>
      <c r="DV111" s="11" t="n">
        <f aca="false">Units!$E110*(1+Inputs!$B$7)^(DV$2-1)</f>
        <v>1740.37171125064</v>
      </c>
      <c r="DW111" s="11" t="n">
        <f aca="false">Units!$E110*(1+Inputs!$B$7)^(DW$2-1)</f>
        <v>1740.37171125064</v>
      </c>
      <c r="DX111" s="11" t="n">
        <f aca="false">Units!$E110*(1+Inputs!$B$7)^(DX$2-1)</f>
        <v>1740.37171125064</v>
      </c>
      <c r="DY111" s="11" t="n">
        <f aca="false">Units!$E110*(1+Inputs!$B$7)^(DY$2-1)</f>
        <v>1740.37171125064</v>
      </c>
      <c r="DZ111" s="11" t="n">
        <f aca="false">Units!$E110*(1+Inputs!$B$7)^(DZ$2-1)</f>
        <v>1740.37171125064</v>
      </c>
      <c r="EA111" s="11" t="n">
        <f aca="false">Units!$E110*(1+Inputs!$B$7)^(EA$2-1)</f>
        <v>1740.37171125064</v>
      </c>
      <c r="EB111" s="11" t="n">
        <f aca="false">Units!$E110*(1+Inputs!$B$7)^(EB$2-1)</f>
        <v>1740.37171125064</v>
      </c>
      <c r="EC111" s="11" t="n">
        <f aca="false">Units!$E110*(1+Inputs!$B$7)^(EC$2-1)</f>
        <v>1740.37171125064</v>
      </c>
      <c r="ED111" s="11" t="n">
        <f aca="false">Units!$E110*(1+Inputs!$B$7)^(ED$2-1)</f>
        <v>1740.37171125064</v>
      </c>
    </row>
    <row r="112" customFormat="false" ht="15" hidden="false" customHeight="false" outlineLevel="0" collapsed="false">
      <c r="A112" s="22" t="n">
        <f aca="false">Units!A111</f>
        <v>420</v>
      </c>
      <c r="B112" s="23"/>
      <c r="C112" s="11" t="n">
        <f aca="false">Units!$E111*(1+Inputs!$B$7)^(C$2-1)</f>
        <v>1850</v>
      </c>
      <c r="D112" s="11" t="n">
        <f aca="false">Units!$E111*(1+Inputs!$B$7)^(D$2-1)</f>
        <v>1850</v>
      </c>
      <c r="E112" s="11" t="n">
        <f aca="false">Units!$E111*(1+Inputs!$B$7)^(E$2-1)</f>
        <v>1850</v>
      </c>
      <c r="F112" s="11" t="n">
        <f aca="false">Units!$E111*(1+Inputs!$B$7)^(F$2-1)</f>
        <v>1850</v>
      </c>
      <c r="G112" s="11" t="n">
        <f aca="false">Units!$E111*(1+Inputs!$B$7)^(G$2-1)</f>
        <v>1850</v>
      </c>
      <c r="H112" s="11" t="n">
        <f aca="false">Units!$E111*(1+Inputs!$B$7)^(H$2-1)</f>
        <v>1850</v>
      </c>
      <c r="I112" s="11" t="n">
        <f aca="false">Units!$E111*(1+Inputs!$B$7)^(I$2-1)</f>
        <v>1850</v>
      </c>
      <c r="J112" s="11" t="n">
        <f aca="false">Units!$E111*(1+Inputs!$B$7)^(J$2-1)</f>
        <v>1850</v>
      </c>
      <c r="K112" s="11" t="n">
        <f aca="false">Units!$E111*(1+Inputs!$B$7)^(K$2-1)</f>
        <v>1850</v>
      </c>
      <c r="L112" s="11" t="n">
        <f aca="false">Units!$E111*(1+Inputs!$B$7)^(L$2-1)</f>
        <v>1850</v>
      </c>
      <c r="M112" s="11" t="n">
        <f aca="false">Units!$E111*(1+Inputs!$B$7)^(M$2-1)</f>
        <v>1850</v>
      </c>
      <c r="N112" s="11" t="n">
        <f aca="false">Units!$E111*(1+Inputs!$B$7)^(N$2-1)</f>
        <v>1850</v>
      </c>
      <c r="O112" s="11" t="n">
        <f aca="false">Units!$E111*(1+Inputs!$B$7)^(O$2-1)</f>
        <v>1905.5</v>
      </c>
      <c r="P112" s="11" t="n">
        <f aca="false">Units!$E111*(1+Inputs!$B$7)^(P$2-1)</f>
        <v>1905.5</v>
      </c>
      <c r="Q112" s="11" t="n">
        <f aca="false">Units!$E111*(1+Inputs!$B$7)^(Q$2-1)</f>
        <v>1905.5</v>
      </c>
      <c r="R112" s="11" t="n">
        <f aca="false">Units!$E111*(1+Inputs!$B$7)^(R$2-1)</f>
        <v>1905.5</v>
      </c>
      <c r="S112" s="11" t="n">
        <f aca="false">Units!$E111*(1+Inputs!$B$7)^(S$2-1)</f>
        <v>1905.5</v>
      </c>
      <c r="T112" s="11" t="n">
        <f aca="false">Units!$E111*(1+Inputs!$B$7)^(T$2-1)</f>
        <v>1905.5</v>
      </c>
      <c r="U112" s="11" t="n">
        <f aca="false">Units!$E111*(1+Inputs!$B$7)^(U$2-1)</f>
        <v>1905.5</v>
      </c>
      <c r="V112" s="11" t="n">
        <f aca="false">Units!$E111*(1+Inputs!$B$7)^(V$2-1)</f>
        <v>1905.5</v>
      </c>
      <c r="W112" s="11" t="n">
        <f aca="false">Units!$E111*(1+Inputs!$B$7)^(W$2-1)</f>
        <v>1905.5</v>
      </c>
      <c r="X112" s="11" t="n">
        <f aca="false">Units!$E111*(1+Inputs!$B$7)^(X$2-1)</f>
        <v>1905.5</v>
      </c>
      <c r="Y112" s="11" t="n">
        <f aca="false">Units!$E111*(1+Inputs!$B$7)^(Y$2-1)</f>
        <v>1905.5</v>
      </c>
      <c r="Z112" s="11" t="n">
        <f aca="false">Units!$E111*(1+Inputs!$B$7)^(Z$2-1)</f>
        <v>1905.5</v>
      </c>
      <c r="AA112" s="11" t="n">
        <f aca="false">Units!$E111*(1+Inputs!$B$7)^(AA$2-1)</f>
        <v>1962.665</v>
      </c>
      <c r="AB112" s="11" t="n">
        <f aca="false">Units!$E111*(1+Inputs!$B$7)^(AB$2-1)</f>
        <v>1962.665</v>
      </c>
      <c r="AC112" s="11" t="n">
        <f aca="false">Units!$E111*(1+Inputs!$B$7)^(AC$2-1)</f>
        <v>1962.665</v>
      </c>
      <c r="AD112" s="11" t="n">
        <f aca="false">Units!$E111*(1+Inputs!$B$7)^(AD$2-1)</f>
        <v>1962.665</v>
      </c>
      <c r="AE112" s="11" t="n">
        <f aca="false">Units!$E111*(1+Inputs!$B$7)^(AE$2-1)</f>
        <v>1962.665</v>
      </c>
      <c r="AF112" s="11" t="n">
        <f aca="false">Units!$E111*(1+Inputs!$B$7)^(AF$2-1)</f>
        <v>1962.665</v>
      </c>
      <c r="AG112" s="11" t="n">
        <f aca="false">Units!$E111*(1+Inputs!$B$7)^(AG$2-1)</f>
        <v>1962.665</v>
      </c>
      <c r="AH112" s="11" t="n">
        <f aca="false">Units!$E111*(1+Inputs!$B$7)^(AH$2-1)</f>
        <v>1962.665</v>
      </c>
      <c r="AI112" s="11" t="n">
        <f aca="false">Units!$E111*(1+Inputs!$B$7)^(AI$2-1)</f>
        <v>1962.665</v>
      </c>
      <c r="AJ112" s="11" t="n">
        <f aca="false">Units!$E111*(1+Inputs!$B$7)^(AJ$2-1)</f>
        <v>1962.665</v>
      </c>
      <c r="AK112" s="11" t="n">
        <f aca="false">Units!$E111*(1+Inputs!$B$7)^(AK$2-1)</f>
        <v>1962.665</v>
      </c>
      <c r="AL112" s="11" t="n">
        <f aca="false">Units!$E111*(1+Inputs!$B$7)^(AL$2-1)</f>
        <v>1962.665</v>
      </c>
      <c r="AM112" s="11" t="n">
        <f aca="false">Units!$E111*(1+Inputs!$B$7)^(AM$2-1)</f>
        <v>2021.54495</v>
      </c>
      <c r="AN112" s="11" t="n">
        <f aca="false">Units!$E111*(1+Inputs!$B$7)^(AN$2-1)</f>
        <v>2021.54495</v>
      </c>
      <c r="AO112" s="11" t="n">
        <f aca="false">Units!$E111*(1+Inputs!$B$7)^(AO$2-1)</f>
        <v>2021.54495</v>
      </c>
      <c r="AP112" s="11" t="n">
        <f aca="false">Units!$E111*(1+Inputs!$B$7)^(AP$2-1)</f>
        <v>2021.54495</v>
      </c>
      <c r="AQ112" s="11" t="n">
        <f aca="false">Units!$E111*(1+Inputs!$B$7)^(AQ$2-1)</f>
        <v>2021.54495</v>
      </c>
      <c r="AR112" s="11" t="n">
        <f aca="false">Units!$E111*(1+Inputs!$B$7)^(AR$2-1)</f>
        <v>2021.54495</v>
      </c>
      <c r="AS112" s="11" t="n">
        <f aca="false">Units!$E111*(1+Inputs!$B$7)^(AS$2-1)</f>
        <v>2021.54495</v>
      </c>
      <c r="AT112" s="11" t="n">
        <f aca="false">Units!$E111*(1+Inputs!$B$7)^(AT$2-1)</f>
        <v>2021.54495</v>
      </c>
      <c r="AU112" s="11" t="n">
        <f aca="false">Units!$E111*(1+Inputs!$B$7)^(AU$2-1)</f>
        <v>2021.54495</v>
      </c>
      <c r="AV112" s="11" t="n">
        <f aca="false">Units!$E111*(1+Inputs!$B$7)^(AV$2-1)</f>
        <v>2021.54495</v>
      </c>
      <c r="AW112" s="11" t="n">
        <f aca="false">Units!$E111*(1+Inputs!$B$7)^(AW$2-1)</f>
        <v>2021.54495</v>
      </c>
      <c r="AX112" s="11" t="n">
        <f aca="false">Units!$E111*(1+Inputs!$B$7)^(AX$2-1)</f>
        <v>2021.54495</v>
      </c>
      <c r="AY112" s="11" t="n">
        <f aca="false">Units!$E111*(1+Inputs!$B$7)^(AY$2-1)</f>
        <v>2082.1912985</v>
      </c>
      <c r="AZ112" s="11" t="n">
        <f aca="false">Units!$E111*(1+Inputs!$B$7)^(AZ$2-1)</f>
        <v>2082.1912985</v>
      </c>
      <c r="BA112" s="11" t="n">
        <f aca="false">Units!$E111*(1+Inputs!$B$7)^(BA$2-1)</f>
        <v>2082.1912985</v>
      </c>
      <c r="BB112" s="11" t="n">
        <f aca="false">Units!$E111*(1+Inputs!$B$7)^(BB$2-1)</f>
        <v>2082.1912985</v>
      </c>
      <c r="BC112" s="11" t="n">
        <f aca="false">Units!$E111*(1+Inputs!$B$7)^(BC$2-1)</f>
        <v>2082.1912985</v>
      </c>
      <c r="BD112" s="11" t="n">
        <f aca="false">Units!$E111*(1+Inputs!$B$7)^(BD$2-1)</f>
        <v>2082.1912985</v>
      </c>
      <c r="BE112" s="11" t="n">
        <f aca="false">Units!$E111*(1+Inputs!$B$7)^(BE$2-1)</f>
        <v>2082.1912985</v>
      </c>
      <c r="BF112" s="11" t="n">
        <f aca="false">Units!$E111*(1+Inputs!$B$7)^(BF$2-1)</f>
        <v>2082.1912985</v>
      </c>
      <c r="BG112" s="11" t="n">
        <f aca="false">Units!$E111*(1+Inputs!$B$7)^(BG$2-1)</f>
        <v>2082.1912985</v>
      </c>
      <c r="BH112" s="11" t="n">
        <f aca="false">Units!$E111*(1+Inputs!$B$7)^(BH$2-1)</f>
        <v>2082.1912985</v>
      </c>
      <c r="BI112" s="11" t="n">
        <f aca="false">Units!$E111*(1+Inputs!$B$7)^(BI$2-1)</f>
        <v>2082.1912985</v>
      </c>
      <c r="BJ112" s="11" t="n">
        <f aca="false">Units!$E111*(1+Inputs!$B$7)^(BJ$2-1)</f>
        <v>2082.1912985</v>
      </c>
      <c r="BK112" s="11" t="n">
        <f aca="false">Units!$E111*(1+Inputs!$B$7)^(BK$2-1)</f>
        <v>2144.657037455</v>
      </c>
      <c r="BL112" s="11" t="n">
        <f aca="false">Units!$E111*(1+Inputs!$B$7)^(BL$2-1)</f>
        <v>2144.657037455</v>
      </c>
      <c r="BM112" s="11" t="n">
        <f aca="false">Units!$E111*(1+Inputs!$B$7)^(BM$2-1)</f>
        <v>2144.657037455</v>
      </c>
      <c r="BN112" s="11" t="n">
        <f aca="false">Units!$E111*(1+Inputs!$B$7)^(BN$2-1)</f>
        <v>2144.657037455</v>
      </c>
      <c r="BO112" s="11" t="n">
        <f aca="false">Units!$E111*(1+Inputs!$B$7)^(BO$2-1)</f>
        <v>2144.657037455</v>
      </c>
      <c r="BP112" s="11" t="n">
        <f aca="false">Units!$E111*(1+Inputs!$B$7)^(BP$2-1)</f>
        <v>2144.657037455</v>
      </c>
      <c r="BQ112" s="11" t="n">
        <f aca="false">Units!$E111*(1+Inputs!$B$7)^(BQ$2-1)</f>
        <v>2144.657037455</v>
      </c>
      <c r="BR112" s="11" t="n">
        <f aca="false">Units!$E111*(1+Inputs!$B$7)^(BR$2-1)</f>
        <v>2144.657037455</v>
      </c>
      <c r="BS112" s="11" t="n">
        <f aca="false">Units!$E111*(1+Inputs!$B$7)^(BS$2-1)</f>
        <v>2144.657037455</v>
      </c>
      <c r="BT112" s="11" t="n">
        <f aca="false">Units!$E111*(1+Inputs!$B$7)^(BT$2-1)</f>
        <v>2144.657037455</v>
      </c>
      <c r="BU112" s="11" t="n">
        <f aca="false">Units!$E111*(1+Inputs!$B$7)^(BU$2-1)</f>
        <v>2144.657037455</v>
      </c>
      <c r="BV112" s="11" t="n">
        <f aca="false">Units!$E111*(1+Inputs!$B$7)^(BV$2-1)</f>
        <v>2144.657037455</v>
      </c>
      <c r="BW112" s="11" t="n">
        <f aca="false">Units!$E111*(1+Inputs!$B$7)^(BW$2-1)</f>
        <v>2208.99674857865</v>
      </c>
      <c r="BX112" s="11" t="n">
        <f aca="false">Units!$E111*(1+Inputs!$B$7)^(BX$2-1)</f>
        <v>2208.99674857865</v>
      </c>
      <c r="BY112" s="11" t="n">
        <f aca="false">Units!$E111*(1+Inputs!$B$7)^(BY$2-1)</f>
        <v>2208.99674857865</v>
      </c>
      <c r="BZ112" s="11" t="n">
        <f aca="false">Units!$E111*(1+Inputs!$B$7)^(BZ$2-1)</f>
        <v>2208.99674857865</v>
      </c>
      <c r="CA112" s="11" t="n">
        <f aca="false">Units!$E111*(1+Inputs!$B$7)^(CA$2-1)</f>
        <v>2208.99674857865</v>
      </c>
      <c r="CB112" s="11" t="n">
        <f aca="false">Units!$E111*(1+Inputs!$B$7)^(CB$2-1)</f>
        <v>2208.99674857865</v>
      </c>
      <c r="CC112" s="11" t="n">
        <f aca="false">Units!$E111*(1+Inputs!$B$7)^(CC$2-1)</f>
        <v>2208.99674857865</v>
      </c>
      <c r="CD112" s="11" t="n">
        <f aca="false">Units!$E111*(1+Inputs!$B$7)^(CD$2-1)</f>
        <v>2208.99674857865</v>
      </c>
      <c r="CE112" s="11" t="n">
        <f aca="false">Units!$E111*(1+Inputs!$B$7)^(CE$2-1)</f>
        <v>2208.99674857865</v>
      </c>
      <c r="CF112" s="11" t="n">
        <f aca="false">Units!$E111*(1+Inputs!$B$7)^(CF$2-1)</f>
        <v>2208.99674857865</v>
      </c>
      <c r="CG112" s="11" t="n">
        <f aca="false">Units!$E111*(1+Inputs!$B$7)^(CG$2-1)</f>
        <v>2208.99674857865</v>
      </c>
      <c r="CH112" s="11" t="n">
        <f aca="false">Units!$E111*(1+Inputs!$B$7)^(CH$2-1)</f>
        <v>2208.99674857865</v>
      </c>
      <c r="CI112" s="11" t="n">
        <f aca="false">Units!$E111*(1+Inputs!$B$7)^(CI$2-1)</f>
        <v>2275.26665103601</v>
      </c>
      <c r="CJ112" s="11" t="n">
        <f aca="false">Units!$E111*(1+Inputs!$B$7)^(CJ$2-1)</f>
        <v>2275.26665103601</v>
      </c>
      <c r="CK112" s="11" t="n">
        <f aca="false">Units!$E111*(1+Inputs!$B$7)^(CK$2-1)</f>
        <v>2275.26665103601</v>
      </c>
      <c r="CL112" s="11" t="n">
        <f aca="false">Units!$E111*(1+Inputs!$B$7)^(CL$2-1)</f>
        <v>2275.26665103601</v>
      </c>
      <c r="CM112" s="11" t="n">
        <f aca="false">Units!$E111*(1+Inputs!$B$7)^(CM$2-1)</f>
        <v>2275.26665103601</v>
      </c>
      <c r="CN112" s="11" t="n">
        <f aca="false">Units!$E111*(1+Inputs!$B$7)^(CN$2-1)</f>
        <v>2275.26665103601</v>
      </c>
      <c r="CO112" s="11" t="n">
        <f aca="false">Units!$E111*(1+Inputs!$B$7)^(CO$2-1)</f>
        <v>2275.26665103601</v>
      </c>
      <c r="CP112" s="11" t="n">
        <f aca="false">Units!$E111*(1+Inputs!$B$7)^(CP$2-1)</f>
        <v>2275.26665103601</v>
      </c>
      <c r="CQ112" s="11" t="n">
        <f aca="false">Units!$E111*(1+Inputs!$B$7)^(CQ$2-1)</f>
        <v>2275.26665103601</v>
      </c>
      <c r="CR112" s="11" t="n">
        <f aca="false">Units!$E111*(1+Inputs!$B$7)^(CR$2-1)</f>
        <v>2275.26665103601</v>
      </c>
      <c r="CS112" s="11" t="n">
        <f aca="false">Units!$E111*(1+Inputs!$B$7)^(CS$2-1)</f>
        <v>2275.26665103601</v>
      </c>
      <c r="CT112" s="11" t="n">
        <f aca="false">Units!$E111*(1+Inputs!$B$7)^(CT$2-1)</f>
        <v>2275.26665103601</v>
      </c>
      <c r="CU112" s="11" t="n">
        <f aca="false">Units!$E111*(1+Inputs!$B$7)^(CU$2-1)</f>
        <v>2343.52465056709</v>
      </c>
      <c r="CV112" s="11" t="n">
        <f aca="false">Units!$E111*(1+Inputs!$B$7)^(CV$2-1)</f>
        <v>2343.52465056709</v>
      </c>
      <c r="CW112" s="11" t="n">
        <f aca="false">Units!$E111*(1+Inputs!$B$7)^(CW$2-1)</f>
        <v>2343.52465056709</v>
      </c>
      <c r="CX112" s="11" t="n">
        <f aca="false">Units!$E111*(1+Inputs!$B$7)^(CX$2-1)</f>
        <v>2343.52465056709</v>
      </c>
      <c r="CY112" s="11" t="n">
        <f aca="false">Units!$E111*(1+Inputs!$B$7)^(CY$2-1)</f>
        <v>2343.52465056709</v>
      </c>
      <c r="CZ112" s="11" t="n">
        <f aca="false">Units!$E111*(1+Inputs!$B$7)^(CZ$2-1)</f>
        <v>2343.52465056709</v>
      </c>
      <c r="DA112" s="11" t="n">
        <f aca="false">Units!$E111*(1+Inputs!$B$7)^(DA$2-1)</f>
        <v>2343.52465056709</v>
      </c>
      <c r="DB112" s="11" t="n">
        <f aca="false">Units!$E111*(1+Inputs!$B$7)^(DB$2-1)</f>
        <v>2343.52465056709</v>
      </c>
      <c r="DC112" s="11" t="n">
        <f aca="false">Units!$E111*(1+Inputs!$B$7)^(DC$2-1)</f>
        <v>2343.52465056709</v>
      </c>
      <c r="DD112" s="11" t="n">
        <f aca="false">Units!$E111*(1+Inputs!$B$7)^(DD$2-1)</f>
        <v>2343.52465056709</v>
      </c>
      <c r="DE112" s="11" t="n">
        <f aca="false">Units!$E111*(1+Inputs!$B$7)^(DE$2-1)</f>
        <v>2343.52465056709</v>
      </c>
      <c r="DF112" s="11" t="n">
        <f aca="false">Units!$E111*(1+Inputs!$B$7)^(DF$2-1)</f>
        <v>2343.52465056709</v>
      </c>
      <c r="DG112" s="11" t="n">
        <f aca="false">Units!$E111*(1+Inputs!$B$7)^(DG$2-1)</f>
        <v>2413.8303900841</v>
      </c>
      <c r="DH112" s="11" t="n">
        <f aca="false">Units!$E111*(1+Inputs!$B$7)^(DH$2-1)</f>
        <v>2413.8303900841</v>
      </c>
      <c r="DI112" s="11" t="n">
        <f aca="false">Units!$E111*(1+Inputs!$B$7)^(DI$2-1)</f>
        <v>2413.8303900841</v>
      </c>
      <c r="DJ112" s="11" t="n">
        <f aca="false">Units!$E111*(1+Inputs!$B$7)^(DJ$2-1)</f>
        <v>2413.8303900841</v>
      </c>
      <c r="DK112" s="11" t="n">
        <f aca="false">Units!$E111*(1+Inputs!$B$7)^(DK$2-1)</f>
        <v>2413.8303900841</v>
      </c>
      <c r="DL112" s="11" t="n">
        <f aca="false">Units!$E111*(1+Inputs!$B$7)^(DL$2-1)</f>
        <v>2413.8303900841</v>
      </c>
      <c r="DM112" s="11" t="n">
        <f aca="false">Units!$E111*(1+Inputs!$B$7)^(DM$2-1)</f>
        <v>2413.8303900841</v>
      </c>
      <c r="DN112" s="11" t="n">
        <f aca="false">Units!$E111*(1+Inputs!$B$7)^(DN$2-1)</f>
        <v>2413.8303900841</v>
      </c>
      <c r="DO112" s="11" t="n">
        <f aca="false">Units!$E111*(1+Inputs!$B$7)^(DO$2-1)</f>
        <v>2413.8303900841</v>
      </c>
      <c r="DP112" s="11" t="n">
        <f aca="false">Units!$E111*(1+Inputs!$B$7)^(DP$2-1)</f>
        <v>2413.8303900841</v>
      </c>
      <c r="DQ112" s="11" t="n">
        <f aca="false">Units!$E111*(1+Inputs!$B$7)^(DQ$2-1)</f>
        <v>2413.8303900841</v>
      </c>
      <c r="DR112" s="11" t="n">
        <f aca="false">Units!$E111*(1+Inputs!$B$7)^(DR$2-1)</f>
        <v>2413.8303900841</v>
      </c>
      <c r="DS112" s="11" t="n">
        <f aca="false">Units!$E111*(1+Inputs!$B$7)^(DS$2-1)</f>
        <v>2486.24530178663</v>
      </c>
      <c r="DT112" s="11" t="n">
        <f aca="false">Units!$E111*(1+Inputs!$B$7)^(DT$2-1)</f>
        <v>2486.24530178663</v>
      </c>
      <c r="DU112" s="11" t="n">
        <f aca="false">Units!$E111*(1+Inputs!$B$7)^(DU$2-1)</f>
        <v>2486.24530178663</v>
      </c>
      <c r="DV112" s="11" t="n">
        <f aca="false">Units!$E111*(1+Inputs!$B$7)^(DV$2-1)</f>
        <v>2486.24530178663</v>
      </c>
      <c r="DW112" s="11" t="n">
        <f aca="false">Units!$E111*(1+Inputs!$B$7)^(DW$2-1)</f>
        <v>2486.24530178663</v>
      </c>
      <c r="DX112" s="11" t="n">
        <f aca="false">Units!$E111*(1+Inputs!$B$7)^(DX$2-1)</f>
        <v>2486.24530178663</v>
      </c>
      <c r="DY112" s="11" t="n">
        <f aca="false">Units!$E111*(1+Inputs!$B$7)^(DY$2-1)</f>
        <v>2486.24530178663</v>
      </c>
      <c r="DZ112" s="11" t="n">
        <f aca="false">Units!$E111*(1+Inputs!$B$7)^(DZ$2-1)</f>
        <v>2486.24530178663</v>
      </c>
      <c r="EA112" s="11" t="n">
        <f aca="false">Units!$E111*(1+Inputs!$B$7)^(EA$2-1)</f>
        <v>2486.24530178663</v>
      </c>
      <c r="EB112" s="11" t="n">
        <f aca="false">Units!$E111*(1+Inputs!$B$7)^(EB$2-1)</f>
        <v>2486.24530178663</v>
      </c>
      <c r="EC112" s="11" t="n">
        <f aca="false">Units!$E111*(1+Inputs!$B$7)^(EC$2-1)</f>
        <v>2486.24530178663</v>
      </c>
      <c r="ED112" s="11" t="n">
        <f aca="false">Units!$E111*(1+Inputs!$B$7)^(ED$2-1)</f>
        <v>2486.24530178663</v>
      </c>
    </row>
    <row r="113" customFormat="false" ht="15" hidden="false" customHeight="false" outlineLevel="0" collapsed="false">
      <c r="A113" s="22" t="n">
        <f aca="false">Units!A112</f>
        <v>421</v>
      </c>
      <c r="B113" s="23"/>
      <c r="C113" s="11" t="n">
        <f aca="false">Units!$E112*(1+Inputs!$B$7)^(C$2-1)</f>
        <v>1850</v>
      </c>
      <c r="D113" s="11" t="n">
        <f aca="false">Units!$E112*(1+Inputs!$B$7)^(D$2-1)</f>
        <v>1850</v>
      </c>
      <c r="E113" s="11" t="n">
        <f aca="false">Units!$E112*(1+Inputs!$B$7)^(E$2-1)</f>
        <v>1850</v>
      </c>
      <c r="F113" s="11" t="n">
        <f aca="false">Units!$E112*(1+Inputs!$B$7)^(F$2-1)</f>
        <v>1850</v>
      </c>
      <c r="G113" s="11" t="n">
        <f aca="false">Units!$E112*(1+Inputs!$B$7)^(G$2-1)</f>
        <v>1850</v>
      </c>
      <c r="H113" s="11" t="n">
        <f aca="false">Units!$E112*(1+Inputs!$B$7)^(H$2-1)</f>
        <v>1850</v>
      </c>
      <c r="I113" s="11" t="n">
        <f aca="false">Units!$E112*(1+Inputs!$B$7)^(I$2-1)</f>
        <v>1850</v>
      </c>
      <c r="J113" s="11" t="n">
        <f aca="false">Units!$E112*(1+Inputs!$B$7)^(J$2-1)</f>
        <v>1850</v>
      </c>
      <c r="K113" s="11" t="n">
        <f aca="false">Units!$E112*(1+Inputs!$B$7)^(K$2-1)</f>
        <v>1850</v>
      </c>
      <c r="L113" s="11" t="n">
        <f aca="false">Units!$E112*(1+Inputs!$B$7)^(L$2-1)</f>
        <v>1850</v>
      </c>
      <c r="M113" s="11" t="n">
        <f aca="false">Units!$E112*(1+Inputs!$B$7)^(M$2-1)</f>
        <v>1850</v>
      </c>
      <c r="N113" s="11" t="n">
        <f aca="false">Units!$E112*(1+Inputs!$B$7)^(N$2-1)</f>
        <v>1850</v>
      </c>
      <c r="O113" s="11" t="n">
        <f aca="false">Units!$E112*(1+Inputs!$B$7)^(O$2-1)</f>
        <v>1905.5</v>
      </c>
      <c r="P113" s="11" t="n">
        <f aca="false">Units!$E112*(1+Inputs!$B$7)^(P$2-1)</f>
        <v>1905.5</v>
      </c>
      <c r="Q113" s="11" t="n">
        <f aca="false">Units!$E112*(1+Inputs!$B$7)^(Q$2-1)</f>
        <v>1905.5</v>
      </c>
      <c r="R113" s="11" t="n">
        <f aca="false">Units!$E112*(1+Inputs!$B$7)^(R$2-1)</f>
        <v>1905.5</v>
      </c>
      <c r="S113" s="11" t="n">
        <f aca="false">Units!$E112*(1+Inputs!$B$7)^(S$2-1)</f>
        <v>1905.5</v>
      </c>
      <c r="T113" s="11" t="n">
        <f aca="false">Units!$E112*(1+Inputs!$B$7)^(T$2-1)</f>
        <v>1905.5</v>
      </c>
      <c r="U113" s="11" t="n">
        <f aca="false">Units!$E112*(1+Inputs!$B$7)^(U$2-1)</f>
        <v>1905.5</v>
      </c>
      <c r="V113" s="11" t="n">
        <f aca="false">Units!$E112*(1+Inputs!$B$7)^(V$2-1)</f>
        <v>1905.5</v>
      </c>
      <c r="W113" s="11" t="n">
        <f aca="false">Units!$E112*(1+Inputs!$B$7)^(W$2-1)</f>
        <v>1905.5</v>
      </c>
      <c r="X113" s="11" t="n">
        <f aca="false">Units!$E112*(1+Inputs!$B$7)^(X$2-1)</f>
        <v>1905.5</v>
      </c>
      <c r="Y113" s="11" t="n">
        <f aca="false">Units!$E112*(1+Inputs!$B$7)^(Y$2-1)</f>
        <v>1905.5</v>
      </c>
      <c r="Z113" s="11" t="n">
        <f aca="false">Units!$E112*(1+Inputs!$B$7)^(Z$2-1)</f>
        <v>1905.5</v>
      </c>
      <c r="AA113" s="11" t="n">
        <f aca="false">Units!$E112*(1+Inputs!$B$7)^(AA$2-1)</f>
        <v>1962.665</v>
      </c>
      <c r="AB113" s="11" t="n">
        <f aca="false">Units!$E112*(1+Inputs!$B$7)^(AB$2-1)</f>
        <v>1962.665</v>
      </c>
      <c r="AC113" s="11" t="n">
        <f aca="false">Units!$E112*(1+Inputs!$B$7)^(AC$2-1)</f>
        <v>1962.665</v>
      </c>
      <c r="AD113" s="11" t="n">
        <f aca="false">Units!$E112*(1+Inputs!$B$7)^(AD$2-1)</f>
        <v>1962.665</v>
      </c>
      <c r="AE113" s="11" t="n">
        <f aca="false">Units!$E112*(1+Inputs!$B$7)^(AE$2-1)</f>
        <v>1962.665</v>
      </c>
      <c r="AF113" s="11" t="n">
        <f aca="false">Units!$E112*(1+Inputs!$B$7)^(AF$2-1)</f>
        <v>1962.665</v>
      </c>
      <c r="AG113" s="11" t="n">
        <f aca="false">Units!$E112*(1+Inputs!$B$7)^(AG$2-1)</f>
        <v>1962.665</v>
      </c>
      <c r="AH113" s="11" t="n">
        <f aca="false">Units!$E112*(1+Inputs!$B$7)^(AH$2-1)</f>
        <v>1962.665</v>
      </c>
      <c r="AI113" s="11" t="n">
        <f aca="false">Units!$E112*(1+Inputs!$B$7)^(AI$2-1)</f>
        <v>1962.665</v>
      </c>
      <c r="AJ113" s="11" t="n">
        <f aca="false">Units!$E112*(1+Inputs!$B$7)^(AJ$2-1)</f>
        <v>1962.665</v>
      </c>
      <c r="AK113" s="11" t="n">
        <f aca="false">Units!$E112*(1+Inputs!$B$7)^(AK$2-1)</f>
        <v>1962.665</v>
      </c>
      <c r="AL113" s="11" t="n">
        <f aca="false">Units!$E112*(1+Inputs!$B$7)^(AL$2-1)</f>
        <v>1962.665</v>
      </c>
      <c r="AM113" s="11" t="n">
        <f aca="false">Units!$E112*(1+Inputs!$B$7)^(AM$2-1)</f>
        <v>2021.54495</v>
      </c>
      <c r="AN113" s="11" t="n">
        <f aca="false">Units!$E112*(1+Inputs!$B$7)^(AN$2-1)</f>
        <v>2021.54495</v>
      </c>
      <c r="AO113" s="11" t="n">
        <f aca="false">Units!$E112*(1+Inputs!$B$7)^(AO$2-1)</f>
        <v>2021.54495</v>
      </c>
      <c r="AP113" s="11" t="n">
        <f aca="false">Units!$E112*(1+Inputs!$B$7)^(AP$2-1)</f>
        <v>2021.54495</v>
      </c>
      <c r="AQ113" s="11" t="n">
        <f aca="false">Units!$E112*(1+Inputs!$B$7)^(AQ$2-1)</f>
        <v>2021.54495</v>
      </c>
      <c r="AR113" s="11" t="n">
        <f aca="false">Units!$E112*(1+Inputs!$B$7)^(AR$2-1)</f>
        <v>2021.54495</v>
      </c>
      <c r="AS113" s="11" t="n">
        <f aca="false">Units!$E112*(1+Inputs!$B$7)^(AS$2-1)</f>
        <v>2021.54495</v>
      </c>
      <c r="AT113" s="11" t="n">
        <f aca="false">Units!$E112*(1+Inputs!$B$7)^(AT$2-1)</f>
        <v>2021.54495</v>
      </c>
      <c r="AU113" s="11" t="n">
        <f aca="false">Units!$E112*(1+Inputs!$B$7)^(AU$2-1)</f>
        <v>2021.54495</v>
      </c>
      <c r="AV113" s="11" t="n">
        <f aca="false">Units!$E112*(1+Inputs!$B$7)^(AV$2-1)</f>
        <v>2021.54495</v>
      </c>
      <c r="AW113" s="11" t="n">
        <f aca="false">Units!$E112*(1+Inputs!$B$7)^(AW$2-1)</f>
        <v>2021.54495</v>
      </c>
      <c r="AX113" s="11" t="n">
        <f aca="false">Units!$E112*(1+Inputs!$B$7)^(AX$2-1)</f>
        <v>2021.54495</v>
      </c>
      <c r="AY113" s="11" t="n">
        <f aca="false">Units!$E112*(1+Inputs!$B$7)^(AY$2-1)</f>
        <v>2082.1912985</v>
      </c>
      <c r="AZ113" s="11" t="n">
        <f aca="false">Units!$E112*(1+Inputs!$B$7)^(AZ$2-1)</f>
        <v>2082.1912985</v>
      </c>
      <c r="BA113" s="11" t="n">
        <f aca="false">Units!$E112*(1+Inputs!$B$7)^(BA$2-1)</f>
        <v>2082.1912985</v>
      </c>
      <c r="BB113" s="11" t="n">
        <f aca="false">Units!$E112*(1+Inputs!$B$7)^(BB$2-1)</f>
        <v>2082.1912985</v>
      </c>
      <c r="BC113" s="11" t="n">
        <f aca="false">Units!$E112*(1+Inputs!$B$7)^(BC$2-1)</f>
        <v>2082.1912985</v>
      </c>
      <c r="BD113" s="11" t="n">
        <f aca="false">Units!$E112*(1+Inputs!$B$7)^(BD$2-1)</f>
        <v>2082.1912985</v>
      </c>
      <c r="BE113" s="11" t="n">
        <f aca="false">Units!$E112*(1+Inputs!$B$7)^(BE$2-1)</f>
        <v>2082.1912985</v>
      </c>
      <c r="BF113" s="11" t="n">
        <f aca="false">Units!$E112*(1+Inputs!$B$7)^(BF$2-1)</f>
        <v>2082.1912985</v>
      </c>
      <c r="BG113" s="11" t="n">
        <f aca="false">Units!$E112*(1+Inputs!$B$7)^(BG$2-1)</f>
        <v>2082.1912985</v>
      </c>
      <c r="BH113" s="11" t="n">
        <f aca="false">Units!$E112*(1+Inputs!$B$7)^(BH$2-1)</f>
        <v>2082.1912985</v>
      </c>
      <c r="BI113" s="11" t="n">
        <f aca="false">Units!$E112*(1+Inputs!$B$7)^(BI$2-1)</f>
        <v>2082.1912985</v>
      </c>
      <c r="BJ113" s="11" t="n">
        <f aca="false">Units!$E112*(1+Inputs!$B$7)^(BJ$2-1)</f>
        <v>2082.1912985</v>
      </c>
      <c r="BK113" s="11" t="n">
        <f aca="false">Units!$E112*(1+Inputs!$B$7)^(BK$2-1)</f>
        <v>2144.657037455</v>
      </c>
      <c r="BL113" s="11" t="n">
        <f aca="false">Units!$E112*(1+Inputs!$B$7)^(BL$2-1)</f>
        <v>2144.657037455</v>
      </c>
      <c r="BM113" s="11" t="n">
        <f aca="false">Units!$E112*(1+Inputs!$B$7)^(BM$2-1)</f>
        <v>2144.657037455</v>
      </c>
      <c r="BN113" s="11" t="n">
        <f aca="false">Units!$E112*(1+Inputs!$B$7)^(BN$2-1)</f>
        <v>2144.657037455</v>
      </c>
      <c r="BO113" s="11" t="n">
        <f aca="false">Units!$E112*(1+Inputs!$B$7)^(BO$2-1)</f>
        <v>2144.657037455</v>
      </c>
      <c r="BP113" s="11" t="n">
        <f aca="false">Units!$E112*(1+Inputs!$B$7)^(BP$2-1)</f>
        <v>2144.657037455</v>
      </c>
      <c r="BQ113" s="11" t="n">
        <f aca="false">Units!$E112*(1+Inputs!$B$7)^(BQ$2-1)</f>
        <v>2144.657037455</v>
      </c>
      <c r="BR113" s="11" t="n">
        <f aca="false">Units!$E112*(1+Inputs!$B$7)^(BR$2-1)</f>
        <v>2144.657037455</v>
      </c>
      <c r="BS113" s="11" t="n">
        <f aca="false">Units!$E112*(1+Inputs!$B$7)^(BS$2-1)</f>
        <v>2144.657037455</v>
      </c>
      <c r="BT113" s="11" t="n">
        <f aca="false">Units!$E112*(1+Inputs!$B$7)^(BT$2-1)</f>
        <v>2144.657037455</v>
      </c>
      <c r="BU113" s="11" t="n">
        <f aca="false">Units!$E112*(1+Inputs!$B$7)^(BU$2-1)</f>
        <v>2144.657037455</v>
      </c>
      <c r="BV113" s="11" t="n">
        <f aca="false">Units!$E112*(1+Inputs!$B$7)^(BV$2-1)</f>
        <v>2144.657037455</v>
      </c>
      <c r="BW113" s="11" t="n">
        <f aca="false">Units!$E112*(1+Inputs!$B$7)^(BW$2-1)</f>
        <v>2208.99674857865</v>
      </c>
      <c r="BX113" s="11" t="n">
        <f aca="false">Units!$E112*(1+Inputs!$B$7)^(BX$2-1)</f>
        <v>2208.99674857865</v>
      </c>
      <c r="BY113" s="11" t="n">
        <f aca="false">Units!$E112*(1+Inputs!$B$7)^(BY$2-1)</f>
        <v>2208.99674857865</v>
      </c>
      <c r="BZ113" s="11" t="n">
        <f aca="false">Units!$E112*(1+Inputs!$B$7)^(BZ$2-1)</f>
        <v>2208.99674857865</v>
      </c>
      <c r="CA113" s="11" t="n">
        <f aca="false">Units!$E112*(1+Inputs!$B$7)^(CA$2-1)</f>
        <v>2208.99674857865</v>
      </c>
      <c r="CB113" s="11" t="n">
        <f aca="false">Units!$E112*(1+Inputs!$B$7)^(CB$2-1)</f>
        <v>2208.99674857865</v>
      </c>
      <c r="CC113" s="11" t="n">
        <f aca="false">Units!$E112*(1+Inputs!$B$7)^(CC$2-1)</f>
        <v>2208.99674857865</v>
      </c>
      <c r="CD113" s="11" t="n">
        <f aca="false">Units!$E112*(1+Inputs!$B$7)^(CD$2-1)</f>
        <v>2208.99674857865</v>
      </c>
      <c r="CE113" s="11" t="n">
        <f aca="false">Units!$E112*(1+Inputs!$B$7)^(CE$2-1)</f>
        <v>2208.99674857865</v>
      </c>
      <c r="CF113" s="11" t="n">
        <f aca="false">Units!$E112*(1+Inputs!$B$7)^(CF$2-1)</f>
        <v>2208.99674857865</v>
      </c>
      <c r="CG113" s="11" t="n">
        <f aca="false">Units!$E112*(1+Inputs!$B$7)^(CG$2-1)</f>
        <v>2208.99674857865</v>
      </c>
      <c r="CH113" s="11" t="n">
        <f aca="false">Units!$E112*(1+Inputs!$B$7)^(CH$2-1)</f>
        <v>2208.99674857865</v>
      </c>
      <c r="CI113" s="11" t="n">
        <f aca="false">Units!$E112*(1+Inputs!$B$7)^(CI$2-1)</f>
        <v>2275.26665103601</v>
      </c>
      <c r="CJ113" s="11" t="n">
        <f aca="false">Units!$E112*(1+Inputs!$B$7)^(CJ$2-1)</f>
        <v>2275.26665103601</v>
      </c>
      <c r="CK113" s="11" t="n">
        <f aca="false">Units!$E112*(1+Inputs!$B$7)^(CK$2-1)</f>
        <v>2275.26665103601</v>
      </c>
      <c r="CL113" s="11" t="n">
        <f aca="false">Units!$E112*(1+Inputs!$B$7)^(CL$2-1)</f>
        <v>2275.26665103601</v>
      </c>
      <c r="CM113" s="11" t="n">
        <f aca="false">Units!$E112*(1+Inputs!$B$7)^(CM$2-1)</f>
        <v>2275.26665103601</v>
      </c>
      <c r="CN113" s="11" t="n">
        <f aca="false">Units!$E112*(1+Inputs!$B$7)^(CN$2-1)</f>
        <v>2275.26665103601</v>
      </c>
      <c r="CO113" s="11" t="n">
        <f aca="false">Units!$E112*(1+Inputs!$B$7)^(CO$2-1)</f>
        <v>2275.26665103601</v>
      </c>
      <c r="CP113" s="11" t="n">
        <f aca="false">Units!$E112*(1+Inputs!$B$7)^(CP$2-1)</f>
        <v>2275.26665103601</v>
      </c>
      <c r="CQ113" s="11" t="n">
        <f aca="false">Units!$E112*(1+Inputs!$B$7)^(CQ$2-1)</f>
        <v>2275.26665103601</v>
      </c>
      <c r="CR113" s="11" t="n">
        <f aca="false">Units!$E112*(1+Inputs!$B$7)^(CR$2-1)</f>
        <v>2275.26665103601</v>
      </c>
      <c r="CS113" s="11" t="n">
        <f aca="false">Units!$E112*(1+Inputs!$B$7)^(CS$2-1)</f>
        <v>2275.26665103601</v>
      </c>
      <c r="CT113" s="11" t="n">
        <f aca="false">Units!$E112*(1+Inputs!$B$7)^(CT$2-1)</f>
        <v>2275.26665103601</v>
      </c>
      <c r="CU113" s="11" t="n">
        <f aca="false">Units!$E112*(1+Inputs!$B$7)^(CU$2-1)</f>
        <v>2343.52465056709</v>
      </c>
      <c r="CV113" s="11" t="n">
        <f aca="false">Units!$E112*(1+Inputs!$B$7)^(CV$2-1)</f>
        <v>2343.52465056709</v>
      </c>
      <c r="CW113" s="11" t="n">
        <f aca="false">Units!$E112*(1+Inputs!$B$7)^(CW$2-1)</f>
        <v>2343.52465056709</v>
      </c>
      <c r="CX113" s="11" t="n">
        <f aca="false">Units!$E112*(1+Inputs!$B$7)^(CX$2-1)</f>
        <v>2343.52465056709</v>
      </c>
      <c r="CY113" s="11" t="n">
        <f aca="false">Units!$E112*(1+Inputs!$B$7)^(CY$2-1)</f>
        <v>2343.52465056709</v>
      </c>
      <c r="CZ113" s="11" t="n">
        <f aca="false">Units!$E112*(1+Inputs!$B$7)^(CZ$2-1)</f>
        <v>2343.52465056709</v>
      </c>
      <c r="DA113" s="11" t="n">
        <f aca="false">Units!$E112*(1+Inputs!$B$7)^(DA$2-1)</f>
        <v>2343.52465056709</v>
      </c>
      <c r="DB113" s="11" t="n">
        <f aca="false">Units!$E112*(1+Inputs!$B$7)^(DB$2-1)</f>
        <v>2343.52465056709</v>
      </c>
      <c r="DC113" s="11" t="n">
        <f aca="false">Units!$E112*(1+Inputs!$B$7)^(DC$2-1)</f>
        <v>2343.52465056709</v>
      </c>
      <c r="DD113" s="11" t="n">
        <f aca="false">Units!$E112*(1+Inputs!$B$7)^(DD$2-1)</f>
        <v>2343.52465056709</v>
      </c>
      <c r="DE113" s="11" t="n">
        <f aca="false">Units!$E112*(1+Inputs!$B$7)^(DE$2-1)</f>
        <v>2343.52465056709</v>
      </c>
      <c r="DF113" s="11" t="n">
        <f aca="false">Units!$E112*(1+Inputs!$B$7)^(DF$2-1)</f>
        <v>2343.52465056709</v>
      </c>
      <c r="DG113" s="11" t="n">
        <f aca="false">Units!$E112*(1+Inputs!$B$7)^(DG$2-1)</f>
        <v>2413.8303900841</v>
      </c>
      <c r="DH113" s="11" t="n">
        <f aca="false">Units!$E112*(1+Inputs!$B$7)^(DH$2-1)</f>
        <v>2413.8303900841</v>
      </c>
      <c r="DI113" s="11" t="n">
        <f aca="false">Units!$E112*(1+Inputs!$B$7)^(DI$2-1)</f>
        <v>2413.8303900841</v>
      </c>
      <c r="DJ113" s="11" t="n">
        <f aca="false">Units!$E112*(1+Inputs!$B$7)^(DJ$2-1)</f>
        <v>2413.8303900841</v>
      </c>
      <c r="DK113" s="11" t="n">
        <f aca="false">Units!$E112*(1+Inputs!$B$7)^(DK$2-1)</f>
        <v>2413.8303900841</v>
      </c>
      <c r="DL113" s="11" t="n">
        <f aca="false">Units!$E112*(1+Inputs!$B$7)^(DL$2-1)</f>
        <v>2413.8303900841</v>
      </c>
      <c r="DM113" s="11" t="n">
        <f aca="false">Units!$E112*(1+Inputs!$B$7)^(DM$2-1)</f>
        <v>2413.8303900841</v>
      </c>
      <c r="DN113" s="11" t="n">
        <f aca="false">Units!$E112*(1+Inputs!$B$7)^(DN$2-1)</f>
        <v>2413.8303900841</v>
      </c>
      <c r="DO113" s="11" t="n">
        <f aca="false">Units!$E112*(1+Inputs!$B$7)^(DO$2-1)</f>
        <v>2413.8303900841</v>
      </c>
      <c r="DP113" s="11" t="n">
        <f aca="false">Units!$E112*(1+Inputs!$B$7)^(DP$2-1)</f>
        <v>2413.8303900841</v>
      </c>
      <c r="DQ113" s="11" t="n">
        <f aca="false">Units!$E112*(1+Inputs!$B$7)^(DQ$2-1)</f>
        <v>2413.8303900841</v>
      </c>
      <c r="DR113" s="11" t="n">
        <f aca="false">Units!$E112*(1+Inputs!$B$7)^(DR$2-1)</f>
        <v>2413.8303900841</v>
      </c>
      <c r="DS113" s="11" t="n">
        <f aca="false">Units!$E112*(1+Inputs!$B$7)^(DS$2-1)</f>
        <v>2486.24530178663</v>
      </c>
      <c r="DT113" s="11" t="n">
        <f aca="false">Units!$E112*(1+Inputs!$B$7)^(DT$2-1)</f>
        <v>2486.24530178663</v>
      </c>
      <c r="DU113" s="11" t="n">
        <f aca="false">Units!$E112*(1+Inputs!$B$7)^(DU$2-1)</f>
        <v>2486.24530178663</v>
      </c>
      <c r="DV113" s="11" t="n">
        <f aca="false">Units!$E112*(1+Inputs!$B$7)^(DV$2-1)</f>
        <v>2486.24530178663</v>
      </c>
      <c r="DW113" s="11" t="n">
        <f aca="false">Units!$E112*(1+Inputs!$B$7)^(DW$2-1)</f>
        <v>2486.24530178663</v>
      </c>
      <c r="DX113" s="11" t="n">
        <f aca="false">Units!$E112*(1+Inputs!$B$7)^(DX$2-1)</f>
        <v>2486.24530178663</v>
      </c>
      <c r="DY113" s="11" t="n">
        <f aca="false">Units!$E112*(1+Inputs!$B$7)^(DY$2-1)</f>
        <v>2486.24530178663</v>
      </c>
      <c r="DZ113" s="11" t="n">
        <f aca="false">Units!$E112*(1+Inputs!$B$7)^(DZ$2-1)</f>
        <v>2486.24530178663</v>
      </c>
      <c r="EA113" s="11" t="n">
        <f aca="false">Units!$E112*(1+Inputs!$B$7)^(EA$2-1)</f>
        <v>2486.24530178663</v>
      </c>
      <c r="EB113" s="11" t="n">
        <f aca="false">Units!$E112*(1+Inputs!$B$7)^(EB$2-1)</f>
        <v>2486.24530178663</v>
      </c>
      <c r="EC113" s="11" t="n">
        <f aca="false">Units!$E112*(1+Inputs!$B$7)^(EC$2-1)</f>
        <v>2486.24530178663</v>
      </c>
      <c r="ED113" s="11" t="n">
        <f aca="false">Units!$E112*(1+Inputs!$B$7)^(ED$2-1)</f>
        <v>2486.24530178663</v>
      </c>
    </row>
    <row r="114" customFormat="false" ht="15" hidden="false" customHeight="false" outlineLevel="0" collapsed="false">
      <c r="A114" s="22" t="n">
        <f aca="false">Units!A113</f>
        <v>422</v>
      </c>
      <c r="B114" s="23"/>
      <c r="C114" s="11" t="n">
        <f aca="false">Units!$E113*(1+Inputs!$B$7)^(C$2-1)</f>
        <v>1850</v>
      </c>
      <c r="D114" s="11" t="n">
        <f aca="false">Units!$E113*(1+Inputs!$B$7)^(D$2-1)</f>
        <v>1850</v>
      </c>
      <c r="E114" s="11" t="n">
        <f aca="false">Units!$E113*(1+Inputs!$B$7)^(E$2-1)</f>
        <v>1850</v>
      </c>
      <c r="F114" s="11" t="n">
        <f aca="false">Units!$E113*(1+Inputs!$B$7)^(F$2-1)</f>
        <v>1850</v>
      </c>
      <c r="G114" s="11" t="n">
        <f aca="false">Units!$E113*(1+Inputs!$B$7)^(G$2-1)</f>
        <v>1850</v>
      </c>
      <c r="H114" s="11" t="n">
        <f aca="false">Units!$E113*(1+Inputs!$B$7)^(H$2-1)</f>
        <v>1850</v>
      </c>
      <c r="I114" s="11" t="n">
        <f aca="false">Units!$E113*(1+Inputs!$B$7)^(I$2-1)</f>
        <v>1850</v>
      </c>
      <c r="J114" s="11" t="n">
        <f aca="false">Units!$E113*(1+Inputs!$B$7)^(J$2-1)</f>
        <v>1850</v>
      </c>
      <c r="K114" s="11" t="n">
        <f aca="false">Units!$E113*(1+Inputs!$B$7)^(K$2-1)</f>
        <v>1850</v>
      </c>
      <c r="L114" s="11" t="n">
        <f aca="false">Units!$E113*(1+Inputs!$B$7)^(L$2-1)</f>
        <v>1850</v>
      </c>
      <c r="M114" s="11" t="n">
        <f aca="false">Units!$E113*(1+Inputs!$B$7)^(M$2-1)</f>
        <v>1850</v>
      </c>
      <c r="N114" s="11" t="n">
        <f aca="false">Units!$E113*(1+Inputs!$B$7)^(N$2-1)</f>
        <v>1850</v>
      </c>
      <c r="O114" s="11" t="n">
        <f aca="false">Units!$E113*(1+Inputs!$B$7)^(O$2-1)</f>
        <v>1905.5</v>
      </c>
      <c r="P114" s="11" t="n">
        <f aca="false">Units!$E113*(1+Inputs!$B$7)^(P$2-1)</f>
        <v>1905.5</v>
      </c>
      <c r="Q114" s="11" t="n">
        <f aca="false">Units!$E113*(1+Inputs!$B$7)^(Q$2-1)</f>
        <v>1905.5</v>
      </c>
      <c r="R114" s="11" t="n">
        <f aca="false">Units!$E113*(1+Inputs!$B$7)^(R$2-1)</f>
        <v>1905.5</v>
      </c>
      <c r="S114" s="11" t="n">
        <f aca="false">Units!$E113*(1+Inputs!$B$7)^(S$2-1)</f>
        <v>1905.5</v>
      </c>
      <c r="T114" s="11" t="n">
        <f aca="false">Units!$E113*(1+Inputs!$B$7)^(T$2-1)</f>
        <v>1905.5</v>
      </c>
      <c r="U114" s="11" t="n">
        <f aca="false">Units!$E113*(1+Inputs!$B$7)^(U$2-1)</f>
        <v>1905.5</v>
      </c>
      <c r="V114" s="11" t="n">
        <f aca="false">Units!$E113*(1+Inputs!$B$7)^(V$2-1)</f>
        <v>1905.5</v>
      </c>
      <c r="W114" s="11" t="n">
        <f aca="false">Units!$E113*(1+Inputs!$B$7)^(W$2-1)</f>
        <v>1905.5</v>
      </c>
      <c r="X114" s="11" t="n">
        <f aca="false">Units!$E113*(1+Inputs!$B$7)^(X$2-1)</f>
        <v>1905.5</v>
      </c>
      <c r="Y114" s="11" t="n">
        <f aca="false">Units!$E113*(1+Inputs!$B$7)^(Y$2-1)</f>
        <v>1905.5</v>
      </c>
      <c r="Z114" s="11" t="n">
        <f aca="false">Units!$E113*(1+Inputs!$B$7)^(Z$2-1)</f>
        <v>1905.5</v>
      </c>
      <c r="AA114" s="11" t="n">
        <f aca="false">Units!$E113*(1+Inputs!$B$7)^(AA$2-1)</f>
        <v>1962.665</v>
      </c>
      <c r="AB114" s="11" t="n">
        <f aca="false">Units!$E113*(1+Inputs!$B$7)^(AB$2-1)</f>
        <v>1962.665</v>
      </c>
      <c r="AC114" s="11" t="n">
        <f aca="false">Units!$E113*(1+Inputs!$B$7)^(AC$2-1)</f>
        <v>1962.665</v>
      </c>
      <c r="AD114" s="11" t="n">
        <f aca="false">Units!$E113*(1+Inputs!$B$7)^(AD$2-1)</f>
        <v>1962.665</v>
      </c>
      <c r="AE114" s="11" t="n">
        <f aca="false">Units!$E113*(1+Inputs!$B$7)^(AE$2-1)</f>
        <v>1962.665</v>
      </c>
      <c r="AF114" s="11" t="n">
        <f aca="false">Units!$E113*(1+Inputs!$B$7)^(AF$2-1)</f>
        <v>1962.665</v>
      </c>
      <c r="AG114" s="11" t="n">
        <f aca="false">Units!$E113*(1+Inputs!$B$7)^(AG$2-1)</f>
        <v>1962.665</v>
      </c>
      <c r="AH114" s="11" t="n">
        <f aca="false">Units!$E113*(1+Inputs!$B$7)^(AH$2-1)</f>
        <v>1962.665</v>
      </c>
      <c r="AI114" s="11" t="n">
        <f aca="false">Units!$E113*(1+Inputs!$B$7)^(AI$2-1)</f>
        <v>1962.665</v>
      </c>
      <c r="AJ114" s="11" t="n">
        <f aca="false">Units!$E113*(1+Inputs!$B$7)^(AJ$2-1)</f>
        <v>1962.665</v>
      </c>
      <c r="AK114" s="11" t="n">
        <f aca="false">Units!$E113*(1+Inputs!$B$7)^(AK$2-1)</f>
        <v>1962.665</v>
      </c>
      <c r="AL114" s="11" t="n">
        <f aca="false">Units!$E113*(1+Inputs!$B$7)^(AL$2-1)</f>
        <v>1962.665</v>
      </c>
      <c r="AM114" s="11" t="n">
        <f aca="false">Units!$E113*(1+Inputs!$B$7)^(AM$2-1)</f>
        <v>2021.54495</v>
      </c>
      <c r="AN114" s="11" t="n">
        <f aca="false">Units!$E113*(1+Inputs!$B$7)^(AN$2-1)</f>
        <v>2021.54495</v>
      </c>
      <c r="AO114" s="11" t="n">
        <f aca="false">Units!$E113*(1+Inputs!$B$7)^(AO$2-1)</f>
        <v>2021.54495</v>
      </c>
      <c r="AP114" s="11" t="n">
        <f aca="false">Units!$E113*(1+Inputs!$B$7)^(AP$2-1)</f>
        <v>2021.54495</v>
      </c>
      <c r="AQ114" s="11" t="n">
        <f aca="false">Units!$E113*(1+Inputs!$B$7)^(AQ$2-1)</f>
        <v>2021.54495</v>
      </c>
      <c r="AR114" s="11" t="n">
        <f aca="false">Units!$E113*(1+Inputs!$B$7)^(AR$2-1)</f>
        <v>2021.54495</v>
      </c>
      <c r="AS114" s="11" t="n">
        <f aca="false">Units!$E113*(1+Inputs!$B$7)^(AS$2-1)</f>
        <v>2021.54495</v>
      </c>
      <c r="AT114" s="11" t="n">
        <f aca="false">Units!$E113*(1+Inputs!$B$7)^(AT$2-1)</f>
        <v>2021.54495</v>
      </c>
      <c r="AU114" s="11" t="n">
        <f aca="false">Units!$E113*(1+Inputs!$B$7)^(AU$2-1)</f>
        <v>2021.54495</v>
      </c>
      <c r="AV114" s="11" t="n">
        <f aca="false">Units!$E113*(1+Inputs!$B$7)^(AV$2-1)</f>
        <v>2021.54495</v>
      </c>
      <c r="AW114" s="11" t="n">
        <f aca="false">Units!$E113*(1+Inputs!$B$7)^(AW$2-1)</f>
        <v>2021.54495</v>
      </c>
      <c r="AX114" s="11" t="n">
        <f aca="false">Units!$E113*(1+Inputs!$B$7)^(AX$2-1)</f>
        <v>2021.54495</v>
      </c>
      <c r="AY114" s="11" t="n">
        <f aca="false">Units!$E113*(1+Inputs!$B$7)^(AY$2-1)</f>
        <v>2082.1912985</v>
      </c>
      <c r="AZ114" s="11" t="n">
        <f aca="false">Units!$E113*(1+Inputs!$B$7)^(AZ$2-1)</f>
        <v>2082.1912985</v>
      </c>
      <c r="BA114" s="11" t="n">
        <f aca="false">Units!$E113*(1+Inputs!$B$7)^(BA$2-1)</f>
        <v>2082.1912985</v>
      </c>
      <c r="BB114" s="11" t="n">
        <f aca="false">Units!$E113*(1+Inputs!$B$7)^(BB$2-1)</f>
        <v>2082.1912985</v>
      </c>
      <c r="BC114" s="11" t="n">
        <f aca="false">Units!$E113*(1+Inputs!$B$7)^(BC$2-1)</f>
        <v>2082.1912985</v>
      </c>
      <c r="BD114" s="11" t="n">
        <f aca="false">Units!$E113*(1+Inputs!$B$7)^(BD$2-1)</f>
        <v>2082.1912985</v>
      </c>
      <c r="BE114" s="11" t="n">
        <f aca="false">Units!$E113*(1+Inputs!$B$7)^(BE$2-1)</f>
        <v>2082.1912985</v>
      </c>
      <c r="BF114" s="11" t="n">
        <f aca="false">Units!$E113*(1+Inputs!$B$7)^(BF$2-1)</f>
        <v>2082.1912985</v>
      </c>
      <c r="BG114" s="11" t="n">
        <f aca="false">Units!$E113*(1+Inputs!$B$7)^(BG$2-1)</f>
        <v>2082.1912985</v>
      </c>
      <c r="BH114" s="11" t="n">
        <f aca="false">Units!$E113*(1+Inputs!$B$7)^(BH$2-1)</f>
        <v>2082.1912985</v>
      </c>
      <c r="BI114" s="11" t="n">
        <f aca="false">Units!$E113*(1+Inputs!$B$7)^(BI$2-1)</f>
        <v>2082.1912985</v>
      </c>
      <c r="BJ114" s="11" t="n">
        <f aca="false">Units!$E113*(1+Inputs!$B$7)^(BJ$2-1)</f>
        <v>2082.1912985</v>
      </c>
      <c r="BK114" s="11" t="n">
        <f aca="false">Units!$E113*(1+Inputs!$B$7)^(BK$2-1)</f>
        <v>2144.657037455</v>
      </c>
      <c r="BL114" s="11" t="n">
        <f aca="false">Units!$E113*(1+Inputs!$B$7)^(BL$2-1)</f>
        <v>2144.657037455</v>
      </c>
      <c r="BM114" s="11" t="n">
        <f aca="false">Units!$E113*(1+Inputs!$B$7)^(BM$2-1)</f>
        <v>2144.657037455</v>
      </c>
      <c r="BN114" s="11" t="n">
        <f aca="false">Units!$E113*(1+Inputs!$B$7)^(BN$2-1)</f>
        <v>2144.657037455</v>
      </c>
      <c r="BO114" s="11" t="n">
        <f aca="false">Units!$E113*(1+Inputs!$B$7)^(BO$2-1)</f>
        <v>2144.657037455</v>
      </c>
      <c r="BP114" s="11" t="n">
        <f aca="false">Units!$E113*(1+Inputs!$B$7)^(BP$2-1)</f>
        <v>2144.657037455</v>
      </c>
      <c r="BQ114" s="11" t="n">
        <f aca="false">Units!$E113*(1+Inputs!$B$7)^(BQ$2-1)</f>
        <v>2144.657037455</v>
      </c>
      <c r="BR114" s="11" t="n">
        <f aca="false">Units!$E113*(1+Inputs!$B$7)^(BR$2-1)</f>
        <v>2144.657037455</v>
      </c>
      <c r="BS114" s="11" t="n">
        <f aca="false">Units!$E113*(1+Inputs!$B$7)^(BS$2-1)</f>
        <v>2144.657037455</v>
      </c>
      <c r="BT114" s="11" t="n">
        <f aca="false">Units!$E113*(1+Inputs!$B$7)^(BT$2-1)</f>
        <v>2144.657037455</v>
      </c>
      <c r="BU114" s="11" t="n">
        <f aca="false">Units!$E113*(1+Inputs!$B$7)^(BU$2-1)</f>
        <v>2144.657037455</v>
      </c>
      <c r="BV114" s="11" t="n">
        <f aca="false">Units!$E113*(1+Inputs!$B$7)^(BV$2-1)</f>
        <v>2144.657037455</v>
      </c>
      <c r="BW114" s="11" t="n">
        <f aca="false">Units!$E113*(1+Inputs!$B$7)^(BW$2-1)</f>
        <v>2208.99674857865</v>
      </c>
      <c r="BX114" s="11" t="n">
        <f aca="false">Units!$E113*(1+Inputs!$B$7)^(BX$2-1)</f>
        <v>2208.99674857865</v>
      </c>
      <c r="BY114" s="11" t="n">
        <f aca="false">Units!$E113*(1+Inputs!$B$7)^(BY$2-1)</f>
        <v>2208.99674857865</v>
      </c>
      <c r="BZ114" s="11" t="n">
        <f aca="false">Units!$E113*(1+Inputs!$B$7)^(BZ$2-1)</f>
        <v>2208.99674857865</v>
      </c>
      <c r="CA114" s="11" t="n">
        <f aca="false">Units!$E113*(1+Inputs!$B$7)^(CA$2-1)</f>
        <v>2208.99674857865</v>
      </c>
      <c r="CB114" s="11" t="n">
        <f aca="false">Units!$E113*(1+Inputs!$B$7)^(CB$2-1)</f>
        <v>2208.99674857865</v>
      </c>
      <c r="CC114" s="11" t="n">
        <f aca="false">Units!$E113*(1+Inputs!$B$7)^(CC$2-1)</f>
        <v>2208.99674857865</v>
      </c>
      <c r="CD114" s="11" t="n">
        <f aca="false">Units!$E113*(1+Inputs!$B$7)^(CD$2-1)</f>
        <v>2208.99674857865</v>
      </c>
      <c r="CE114" s="11" t="n">
        <f aca="false">Units!$E113*(1+Inputs!$B$7)^(CE$2-1)</f>
        <v>2208.99674857865</v>
      </c>
      <c r="CF114" s="11" t="n">
        <f aca="false">Units!$E113*(1+Inputs!$B$7)^(CF$2-1)</f>
        <v>2208.99674857865</v>
      </c>
      <c r="CG114" s="11" t="n">
        <f aca="false">Units!$E113*(1+Inputs!$B$7)^(CG$2-1)</f>
        <v>2208.99674857865</v>
      </c>
      <c r="CH114" s="11" t="n">
        <f aca="false">Units!$E113*(1+Inputs!$B$7)^(CH$2-1)</f>
        <v>2208.99674857865</v>
      </c>
      <c r="CI114" s="11" t="n">
        <f aca="false">Units!$E113*(1+Inputs!$B$7)^(CI$2-1)</f>
        <v>2275.26665103601</v>
      </c>
      <c r="CJ114" s="11" t="n">
        <f aca="false">Units!$E113*(1+Inputs!$B$7)^(CJ$2-1)</f>
        <v>2275.26665103601</v>
      </c>
      <c r="CK114" s="11" t="n">
        <f aca="false">Units!$E113*(1+Inputs!$B$7)^(CK$2-1)</f>
        <v>2275.26665103601</v>
      </c>
      <c r="CL114" s="11" t="n">
        <f aca="false">Units!$E113*(1+Inputs!$B$7)^(CL$2-1)</f>
        <v>2275.26665103601</v>
      </c>
      <c r="CM114" s="11" t="n">
        <f aca="false">Units!$E113*(1+Inputs!$B$7)^(CM$2-1)</f>
        <v>2275.26665103601</v>
      </c>
      <c r="CN114" s="11" t="n">
        <f aca="false">Units!$E113*(1+Inputs!$B$7)^(CN$2-1)</f>
        <v>2275.26665103601</v>
      </c>
      <c r="CO114" s="11" t="n">
        <f aca="false">Units!$E113*(1+Inputs!$B$7)^(CO$2-1)</f>
        <v>2275.26665103601</v>
      </c>
      <c r="CP114" s="11" t="n">
        <f aca="false">Units!$E113*(1+Inputs!$B$7)^(CP$2-1)</f>
        <v>2275.26665103601</v>
      </c>
      <c r="CQ114" s="11" t="n">
        <f aca="false">Units!$E113*(1+Inputs!$B$7)^(CQ$2-1)</f>
        <v>2275.26665103601</v>
      </c>
      <c r="CR114" s="11" t="n">
        <f aca="false">Units!$E113*(1+Inputs!$B$7)^(CR$2-1)</f>
        <v>2275.26665103601</v>
      </c>
      <c r="CS114" s="11" t="n">
        <f aca="false">Units!$E113*(1+Inputs!$B$7)^(CS$2-1)</f>
        <v>2275.26665103601</v>
      </c>
      <c r="CT114" s="11" t="n">
        <f aca="false">Units!$E113*(1+Inputs!$B$7)^(CT$2-1)</f>
        <v>2275.26665103601</v>
      </c>
      <c r="CU114" s="11" t="n">
        <f aca="false">Units!$E113*(1+Inputs!$B$7)^(CU$2-1)</f>
        <v>2343.52465056709</v>
      </c>
      <c r="CV114" s="11" t="n">
        <f aca="false">Units!$E113*(1+Inputs!$B$7)^(CV$2-1)</f>
        <v>2343.52465056709</v>
      </c>
      <c r="CW114" s="11" t="n">
        <f aca="false">Units!$E113*(1+Inputs!$B$7)^(CW$2-1)</f>
        <v>2343.52465056709</v>
      </c>
      <c r="CX114" s="11" t="n">
        <f aca="false">Units!$E113*(1+Inputs!$B$7)^(CX$2-1)</f>
        <v>2343.52465056709</v>
      </c>
      <c r="CY114" s="11" t="n">
        <f aca="false">Units!$E113*(1+Inputs!$B$7)^(CY$2-1)</f>
        <v>2343.52465056709</v>
      </c>
      <c r="CZ114" s="11" t="n">
        <f aca="false">Units!$E113*(1+Inputs!$B$7)^(CZ$2-1)</f>
        <v>2343.52465056709</v>
      </c>
      <c r="DA114" s="11" t="n">
        <f aca="false">Units!$E113*(1+Inputs!$B$7)^(DA$2-1)</f>
        <v>2343.52465056709</v>
      </c>
      <c r="DB114" s="11" t="n">
        <f aca="false">Units!$E113*(1+Inputs!$B$7)^(DB$2-1)</f>
        <v>2343.52465056709</v>
      </c>
      <c r="DC114" s="11" t="n">
        <f aca="false">Units!$E113*(1+Inputs!$B$7)^(DC$2-1)</f>
        <v>2343.52465056709</v>
      </c>
      <c r="DD114" s="11" t="n">
        <f aca="false">Units!$E113*(1+Inputs!$B$7)^(DD$2-1)</f>
        <v>2343.52465056709</v>
      </c>
      <c r="DE114" s="11" t="n">
        <f aca="false">Units!$E113*(1+Inputs!$B$7)^(DE$2-1)</f>
        <v>2343.52465056709</v>
      </c>
      <c r="DF114" s="11" t="n">
        <f aca="false">Units!$E113*(1+Inputs!$B$7)^(DF$2-1)</f>
        <v>2343.52465056709</v>
      </c>
      <c r="DG114" s="11" t="n">
        <f aca="false">Units!$E113*(1+Inputs!$B$7)^(DG$2-1)</f>
        <v>2413.8303900841</v>
      </c>
      <c r="DH114" s="11" t="n">
        <f aca="false">Units!$E113*(1+Inputs!$B$7)^(DH$2-1)</f>
        <v>2413.8303900841</v>
      </c>
      <c r="DI114" s="11" t="n">
        <f aca="false">Units!$E113*(1+Inputs!$B$7)^(DI$2-1)</f>
        <v>2413.8303900841</v>
      </c>
      <c r="DJ114" s="11" t="n">
        <f aca="false">Units!$E113*(1+Inputs!$B$7)^(DJ$2-1)</f>
        <v>2413.8303900841</v>
      </c>
      <c r="DK114" s="11" t="n">
        <f aca="false">Units!$E113*(1+Inputs!$B$7)^(DK$2-1)</f>
        <v>2413.8303900841</v>
      </c>
      <c r="DL114" s="11" t="n">
        <f aca="false">Units!$E113*(1+Inputs!$B$7)^(DL$2-1)</f>
        <v>2413.8303900841</v>
      </c>
      <c r="DM114" s="11" t="n">
        <f aca="false">Units!$E113*(1+Inputs!$B$7)^(DM$2-1)</f>
        <v>2413.8303900841</v>
      </c>
      <c r="DN114" s="11" t="n">
        <f aca="false">Units!$E113*(1+Inputs!$B$7)^(DN$2-1)</f>
        <v>2413.8303900841</v>
      </c>
      <c r="DO114" s="11" t="n">
        <f aca="false">Units!$E113*(1+Inputs!$B$7)^(DO$2-1)</f>
        <v>2413.8303900841</v>
      </c>
      <c r="DP114" s="11" t="n">
        <f aca="false">Units!$E113*(1+Inputs!$B$7)^(DP$2-1)</f>
        <v>2413.8303900841</v>
      </c>
      <c r="DQ114" s="11" t="n">
        <f aca="false">Units!$E113*(1+Inputs!$B$7)^(DQ$2-1)</f>
        <v>2413.8303900841</v>
      </c>
      <c r="DR114" s="11" t="n">
        <f aca="false">Units!$E113*(1+Inputs!$B$7)^(DR$2-1)</f>
        <v>2413.8303900841</v>
      </c>
      <c r="DS114" s="11" t="n">
        <f aca="false">Units!$E113*(1+Inputs!$B$7)^(DS$2-1)</f>
        <v>2486.24530178663</v>
      </c>
      <c r="DT114" s="11" t="n">
        <f aca="false">Units!$E113*(1+Inputs!$B$7)^(DT$2-1)</f>
        <v>2486.24530178663</v>
      </c>
      <c r="DU114" s="11" t="n">
        <f aca="false">Units!$E113*(1+Inputs!$B$7)^(DU$2-1)</f>
        <v>2486.24530178663</v>
      </c>
      <c r="DV114" s="11" t="n">
        <f aca="false">Units!$E113*(1+Inputs!$B$7)^(DV$2-1)</f>
        <v>2486.24530178663</v>
      </c>
      <c r="DW114" s="11" t="n">
        <f aca="false">Units!$E113*(1+Inputs!$B$7)^(DW$2-1)</f>
        <v>2486.24530178663</v>
      </c>
      <c r="DX114" s="11" t="n">
        <f aca="false">Units!$E113*(1+Inputs!$B$7)^(DX$2-1)</f>
        <v>2486.24530178663</v>
      </c>
      <c r="DY114" s="11" t="n">
        <f aca="false">Units!$E113*(1+Inputs!$B$7)^(DY$2-1)</f>
        <v>2486.24530178663</v>
      </c>
      <c r="DZ114" s="11" t="n">
        <f aca="false">Units!$E113*(1+Inputs!$B$7)^(DZ$2-1)</f>
        <v>2486.24530178663</v>
      </c>
      <c r="EA114" s="11" t="n">
        <f aca="false">Units!$E113*(1+Inputs!$B$7)^(EA$2-1)</f>
        <v>2486.24530178663</v>
      </c>
      <c r="EB114" s="11" t="n">
        <f aca="false">Units!$E113*(1+Inputs!$B$7)^(EB$2-1)</f>
        <v>2486.24530178663</v>
      </c>
      <c r="EC114" s="11" t="n">
        <f aca="false">Units!$E113*(1+Inputs!$B$7)^(EC$2-1)</f>
        <v>2486.24530178663</v>
      </c>
      <c r="ED114" s="11" t="n">
        <f aca="false">Units!$E113*(1+Inputs!$B$7)^(ED$2-1)</f>
        <v>2486.24530178663</v>
      </c>
    </row>
    <row r="115" customFormat="false" ht="15" hidden="false" customHeight="false" outlineLevel="0" collapsed="false">
      <c r="A115" s="22" t="n">
        <f aca="false">Units!A114</f>
        <v>423</v>
      </c>
      <c r="B115" s="23"/>
      <c r="C115" s="11" t="n">
        <f aca="false">Units!$E114*(1+Inputs!$B$7)^(C$2-1)</f>
        <v>1850</v>
      </c>
      <c r="D115" s="11" t="n">
        <f aca="false">Units!$E114*(1+Inputs!$B$7)^(D$2-1)</f>
        <v>1850</v>
      </c>
      <c r="E115" s="11" t="n">
        <f aca="false">Units!$E114*(1+Inputs!$B$7)^(E$2-1)</f>
        <v>1850</v>
      </c>
      <c r="F115" s="11" t="n">
        <f aca="false">Units!$E114*(1+Inputs!$B$7)^(F$2-1)</f>
        <v>1850</v>
      </c>
      <c r="G115" s="11" t="n">
        <f aca="false">Units!$E114*(1+Inputs!$B$7)^(G$2-1)</f>
        <v>1850</v>
      </c>
      <c r="H115" s="11" t="n">
        <f aca="false">Units!$E114*(1+Inputs!$B$7)^(H$2-1)</f>
        <v>1850</v>
      </c>
      <c r="I115" s="11" t="n">
        <f aca="false">Units!$E114*(1+Inputs!$B$7)^(I$2-1)</f>
        <v>1850</v>
      </c>
      <c r="J115" s="11" t="n">
        <f aca="false">Units!$E114*(1+Inputs!$B$7)^(J$2-1)</f>
        <v>1850</v>
      </c>
      <c r="K115" s="11" t="n">
        <f aca="false">Units!$E114*(1+Inputs!$B$7)^(K$2-1)</f>
        <v>1850</v>
      </c>
      <c r="L115" s="11" t="n">
        <f aca="false">Units!$E114*(1+Inputs!$B$7)^(L$2-1)</f>
        <v>1850</v>
      </c>
      <c r="M115" s="11" t="n">
        <f aca="false">Units!$E114*(1+Inputs!$B$7)^(M$2-1)</f>
        <v>1850</v>
      </c>
      <c r="N115" s="11" t="n">
        <f aca="false">Units!$E114*(1+Inputs!$B$7)^(N$2-1)</f>
        <v>1850</v>
      </c>
      <c r="O115" s="11" t="n">
        <f aca="false">Units!$E114*(1+Inputs!$B$7)^(O$2-1)</f>
        <v>1905.5</v>
      </c>
      <c r="P115" s="11" t="n">
        <f aca="false">Units!$E114*(1+Inputs!$B$7)^(P$2-1)</f>
        <v>1905.5</v>
      </c>
      <c r="Q115" s="11" t="n">
        <f aca="false">Units!$E114*(1+Inputs!$B$7)^(Q$2-1)</f>
        <v>1905.5</v>
      </c>
      <c r="R115" s="11" t="n">
        <f aca="false">Units!$E114*(1+Inputs!$B$7)^(R$2-1)</f>
        <v>1905.5</v>
      </c>
      <c r="S115" s="11" t="n">
        <f aca="false">Units!$E114*(1+Inputs!$B$7)^(S$2-1)</f>
        <v>1905.5</v>
      </c>
      <c r="T115" s="11" t="n">
        <f aca="false">Units!$E114*(1+Inputs!$B$7)^(T$2-1)</f>
        <v>1905.5</v>
      </c>
      <c r="U115" s="11" t="n">
        <f aca="false">Units!$E114*(1+Inputs!$B$7)^(U$2-1)</f>
        <v>1905.5</v>
      </c>
      <c r="V115" s="11" t="n">
        <f aca="false">Units!$E114*(1+Inputs!$B$7)^(V$2-1)</f>
        <v>1905.5</v>
      </c>
      <c r="W115" s="11" t="n">
        <f aca="false">Units!$E114*(1+Inputs!$B$7)^(W$2-1)</f>
        <v>1905.5</v>
      </c>
      <c r="X115" s="11" t="n">
        <f aca="false">Units!$E114*(1+Inputs!$B$7)^(X$2-1)</f>
        <v>1905.5</v>
      </c>
      <c r="Y115" s="11" t="n">
        <f aca="false">Units!$E114*(1+Inputs!$B$7)^(Y$2-1)</f>
        <v>1905.5</v>
      </c>
      <c r="Z115" s="11" t="n">
        <f aca="false">Units!$E114*(1+Inputs!$B$7)^(Z$2-1)</f>
        <v>1905.5</v>
      </c>
      <c r="AA115" s="11" t="n">
        <f aca="false">Units!$E114*(1+Inputs!$B$7)^(AA$2-1)</f>
        <v>1962.665</v>
      </c>
      <c r="AB115" s="11" t="n">
        <f aca="false">Units!$E114*(1+Inputs!$B$7)^(AB$2-1)</f>
        <v>1962.665</v>
      </c>
      <c r="AC115" s="11" t="n">
        <f aca="false">Units!$E114*(1+Inputs!$B$7)^(AC$2-1)</f>
        <v>1962.665</v>
      </c>
      <c r="AD115" s="11" t="n">
        <f aca="false">Units!$E114*(1+Inputs!$B$7)^(AD$2-1)</f>
        <v>1962.665</v>
      </c>
      <c r="AE115" s="11" t="n">
        <f aca="false">Units!$E114*(1+Inputs!$B$7)^(AE$2-1)</f>
        <v>1962.665</v>
      </c>
      <c r="AF115" s="11" t="n">
        <f aca="false">Units!$E114*(1+Inputs!$B$7)^(AF$2-1)</f>
        <v>1962.665</v>
      </c>
      <c r="AG115" s="11" t="n">
        <f aca="false">Units!$E114*(1+Inputs!$B$7)^(AG$2-1)</f>
        <v>1962.665</v>
      </c>
      <c r="AH115" s="11" t="n">
        <f aca="false">Units!$E114*(1+Inputs!$B$7)^(AH$2-1)</f>
        <v>1962.665</v>
      </c>
      <c r="AI115" s="11" t="n">
        <f aca="false">Units!$E114*(1+Inputs!$B$7)^(AI$2-1)</f>
        <v>1962.665</v>
      </c>
      <c r="AJ115" s="11" t="n">
        <f aca="false">Units!$E114*(1+Inputs!$B$7)^(AJ$2-1)</f>
        <v>1962.665</v>
      </c>
      <c r="AK115" s="11" t="n">
        <f aca="false">Units!$E114*(1+Inputs!$B$7)^(AK$2-1)</f>
        <v>1962.665</v>
      </c>
      <c r="AL115" s="11" t="n">
        <f aca="false">Units!$E114*(1+Inputs!$B$7)^(AL$2-1)</f>
        <v>1962.665</v>
      </c>
      <c r="AM115" s="11" t="n">
        <f aca="false">Units!$E114*(1+Inputs!$B$7)^(AM$2-1)</f>
        <v>2021.54495</v>
      </c>
      <c r="AN115" s="11" t="n">
        <f aca="false">Units!$E114*(1+Inputs!$B$7)^(AN$2-1)</f>
        <v>2021.54495</v>
      </c>
      <c r="AO115" s="11" t="n">
        <f aca="false">Units!$E114*(1+Inputs!$B$7)^(AO$2-1)</f>
        <v>2021.54495</v>
      </c>
      <c r="AP115" s="11" t="n">
        <f aca="false">Units!$E114*(1+Inputs!$B$7)^(AP$2-1)</f>
        <v>2021.54495</v>
      </c>
      <c r="AQ115" s="11" t="n">
        <f aca="false">Units!$E114*(1+Inputs!$B$7)^(AQ$2-1)</f>
        <v>2021.54495</v>
      </c>
      <c r="AR115" s="11" t="n">
        <f aca="false">Units!$E114*(1+Inputs!$B$7)^(AR$2-1)</f>
        <v>2021.54495</v>
      </c>
      <c r="AS115" s="11" t="n">
        <f aca="false">Units!$E114*(1+Inputs!$B$7)^(AS$2-1)</f>
        <v>2021.54495</v>
      </c>
      <c r="AT115" s="11" t="n">
        <f aca="false">Units!$E114*(1+Inputs!$B$7)^(AT$2-1)</f>
        <v>2021.54495</v>
      </c>
      <c r="AU115" s="11" t="n">
        <f aca="false">Units!$E114*(1+Inputs!$B$7)^(AU$2-1)</f>
        <v>2021.54495</v>
      </c>
      <c r="AV115" s="11" t="n">
        <f aca="false">Units!$E114*(1+Inputs!$B$7)^(AV$2-1)</f>
        <v>2021.54495</v>
      </c>
      <c r="AW115" s="11" t="n">
        <f aca="false">Units!$E114*(1+Inputs!$B$7)^(AW$2-1)</f>
        <v>2021.54495</v>
      </c>
      <c r="AX115" s="11" t="n">
        <f aca="false">Units!$E114*(1+Inputs!$B$7)^(AX$2-1)</f>
        <v>2021.54495</v>
      </c>
      <c r="AY115" s="11" t="n">
        <f aca="false">Units!$E114*(1+Inputs!$B$7)^(AY$2-1)</f>
        <v>2082.1912985</v>
      </c>
      <c r="AZ115" s="11" t="n">
        <f aca="false">Units!$E114*(1+Inputs!$B$7)^(AZ$2-1)</f>
        <v>2082.1912985</v>
      </c>
      <c r="BA115" s="11" t="n">
        <f aca="false">Units!$E114*(1+Inputs!$B$7)^(BA$2-1)</f>
        <v>2082.1912985</v>
      </c>
      <c r="BB115" s="11" t="n">
        <f aca="false">Units!$E114*(1+Inputs!$B$7)^(BB$2-1)</f>
        <v>2082.1912985</v>
      </c>
      <c r="BC115" s="11" t="n">
        <f aca="false">Units!$E114*(1+Inputs!$B$7)^(BC$2-1)</f>
        <v>2082.1912985</v>
      </c>
      <c r="BD115" s="11" t="n">
        <f aca="false">Units!$E114*(1+Inputs!$B$7)^(BD$2-1)</f>
        <v>2082.1912985</v>
      </c>
      <c r="BE115" s="11" t="n">
        <f aca="false">Units!$E114*(1+Inputs!$B$7)^(BE$2-1)</f>
        <v>2082.1912985</v>
      </c>
      <c r="BF115" s="11" t="n">
        <f aca="false">Units!$E114*(1+Inputs!$B$7)^(BF$2-1)</f>
        <v>2082.1912985</v>
      </c>
      <c r="BG115" s="11" t="n">
        <f aca="false">Units!$E114*(1+Inputs!$B$7)^(BG$2-1)</f>
        <v>2082.1912985</v>
      </c>
      <c r="BH115" s="11" t="n">
        <f aca="false">Units!$E114*(1+Inputs!$B$7)^(BH$2-1)</f>
        <v>2082.1912985</v>
      </c>
      <c r="BI115" s="11" t="n">
        <f aca="false">Units!$E114*(1+Inputs!$B$7)^(BI$2-1)</f>
        <v>2082.1912985</v>
      </c>
      <c r="BJ115" s="11" t="n">
        <f aca="false">Units!$E114*(1+Inputs!$B$7)^(BJ$2-1)</f>
        <v>2082.1912985</v>
      </c>
      <c r="BK115" s="11" t="n">
        <f aca="false">Units!$E114*(1+Inputs!$B$7)^(BK$2-1)</f>
        <v>2144.657037455</v>
      </c>
      <c r="BL115" s="11" t="n">
        <f aca="false">Units!$E114*(1+Inputs!$B$7)^(BL$2-1)</f>
        <v>2144.657037455</v>
      </c>
      <c r="BM115" s="11" t="n">
        <f aca="false">Units!$E114*(1+Inputs!$B$7)^(BM$2-1)</f>
        <v>2144.657037455</v>
      </c>
      <c r="BN115" s="11" t="n">
        <f aca="false">Units!$E114*(1+Inputs!$B$7)^(BN$2-1)</f>
        <v>2144.657037455</v>
      </c>
      <c r="BO115" s="11" t="n">
        <f aca="false">Units!$E114*(1+Inputs!$B$7)^(BO$2-1)</f>
        <v>2144.657037455</v>
      </c>
      <c r="BP115" s="11" t="n">
        <f aca="false">Units!$E114*(1+Inputs!$B$7)^(BP$2-1)</f>
        <v>2144.657037455</v>
      </c>
      <c r="BQ115" s="11" t="n">
        <f aca="false">Units!$E114*(1+Inputs!$B$7)^(BQ$2-1)</f>
        <v>2144.657037455</v>
      </c>
      <c r="BR115" s="11" t="n">
        <f aca="false">Units!$E114*(1+Inputs!$B$7)^(BR$2-1)</f>
        <v>2144.657037455</v>
      </c>
      <c r="BS115" s="11" t="n">
        <f aca="false">Units!$E114*(1+Inputs!$B$7)^(BS$2-1)</f>
        <v>2144.657037455</v>
      </c>
      <c r="BT115" s="11" t="n">
        <f aca="false">Units!$E114*(1+Inputs!$B$7)^(BT$2-1)</f>
        <v>2144.657037455</v>
      </c>
      <c r="BU115" s="11" t="n">
        <f aca="false">Units!$E114*(1+Inputs!$B$7)^(BU$2-1)</f>
        <v>2144.657037455</v>
      </c>
      <c r="BV115" s="11" t="n">
        <f aca="false">Units!$E114*(1+Inputs!$B$7)^(BV$2-1)</f>
        <v>2144.657037455</v>
      </c>
      <c r="BW115" s="11" t="n">
        <f aca="false">Units!$E114*(1+Inputs!$B$7)^(BW$2-1)</f>
        <v>2208.99674857865</v>
      </c>
      <c r="BX115" s="11" t="n">
        <f aca="false">Units!$E114*(1+Inputs!$B$7)^(BX$2-1)</f>
        <v>2208.99674857865</v>
      </c>
      <c r="BY115" s="11" t="n">
        <f aca="false">Units!$E114*(1+Inputs!$B$7)^(BY$2-1)</f>
        <v>2208.99674857865</v>
      </c>
      <c r="BZ115" s="11" t="n">
        <f aca="false">Units!$E114*(1+Inputs!$B$7)^(BZ$2-1)</f>
        <v>2208.99674857865</v>
      </c>
      <c r="CA115" s="11" t="n">
        <f aca="false">Units!$E114*(1+Inputs!$B$7)^(CA$2-1)</f>
        <v>2208.99674857865</v>
      </c>
      <c r="CB115" s="11" t="n">
        <f aca="false">Units!$E114*(1+Inputs!$B$7)^(CB$2-1)</f>
        <v>2208.99674857865</v>
      </c>
      <c r="CC115" s="11" t="n">
        <f aca="false">Units!$E114*(1+Inputs!$B$7)^(CC$2-1)</f>
        <v>2208.99674857865</v>
      </c>
      <c r="CD115" s="11" t="n">
        <f aca="false">Units!$E114*(1+Inputs!$B$7)^(CD$2-1)</f>
        <v>2208.99674857865</v>
      </c>
      <c r="CE115" s="11" t="n">
        <f aca="false">Units!$E114*(1+Inputs!$B$7)^(CE$2-1)</f>
        <v>2208.99674857865</v>
      </c>
      <c r="CF115" s="11" t="n">
        <f aca="false">Units!$E114*(1+Inputs!$B$7)^(CF$2-1)</f>
        <v>2208.99674857865</v>
      </c>
      <c r="CG115" s="11" t="n">
        <f aca="false">Units!$E114*(1+Inputs!$B$7)^(CG$2-1)</f>
        <v>2208.99674857865</v>
      </c>
      <c r="CH115" s="11" t="n">
        <f aca="false">Units!$E114*(1+Inputs!$B$7)^(CH$2-1)</f>
        <v>2208.99674857865</v>
      </c>
      <c r="CI115" s="11" t="n">
        <f aca="false">Units!$E114*(1+Inputs!$B$7)^(CI$2-1)</f>
        <v>2275.26665103601</v>
      </c>
      <c r="CJ115" s="11" t="n">
        <f aca="false">Units!$E114*(1+Inputs!$B$7)^(CJ$2-1)</f>
        <v>2275.26665103601</v>
      </c>
      <c r="CK115" s="11" t="n">
        <f aca="false">Units!$E114*(1+Inputs!$B$7)^(CK$2-1)</f>
        <v>2275.26665103601</v>
      </c>
      <c r="CL115" s="11" t="n">
        <f aca="false">Units!$E114*(1+Inputs!$B$7)^(CL$2-1)</f>
        <v>2275.26665103601</v>
      </c>
      <c r="CM115" s="11" t="n">
        <f aca="false">Units!$E114*(1+Inputs!$B$7)^(CM$2-1)</f>
        <v>2275.26665103601</v>
      </c>
      <c r="CN115" s="11" t="n">
        <f aca="false">Units!$E114*(1+Inputs!$B$7)^(CN$2-1)</f>
        <v>2275.26665103601</v>
      </c>
      <c r="CO115" s="11" t="n">
        <f aca="false">Units!$E114*(1+Inputs!$B$7)^(CO$2-1)</f>
        <v>2275.26665103601</v>
      </c>
      <c r="CP115" s="11" t="n">
        <f aca="false">Units!$E114*(1+Inputs!$B$7)^(CP$2-1)</f>
        <v>2275.26665103601</v>
      </c>
      <c r="CQ115" s="11" t="n">
        <f aca="false">Units!$E114*(1+Inputs!$B$7)^(CQ$2-1)</f>
        <v>2275.26665103601</v>
      </c>
      <c r="CR115" s="11" t="n">
        <f aca="false">Units!$E114*(1+Inputs!$B$7)^(CR$2-1)</f>
        <v>2275.26665103601</v>
      </c>
      <c r="CS115" s="11" t="n">
        <f aca="false">Units!$E114*(1+Inputs!$B$7)^(CS$2-1)</f>
        <v>2275.26665103601</v>
      </c>
      <c r="CT115" s="11" t="n">
        <f aca="false">Units!$E114*(1+Inputs!$B$7)^(CT$2-1)</f>
        <v>2275.26665103601</v>
      </c>
      <c r="CU115" s="11" t="n">
        <f aca="false">Units!$E114*(1+Inputs!$B$7)^(CU$2-1)</f>
        <v>2343.52465056709</v>
      </c>
      <c r="CV115" s="11" t="n">
        <f aca="false">Units!$E114*(1+Inputs!$B$7)^(CV$2-1)</f>
        <v>2343.52465056709</v>
      </c>
      <c r="CW115" s="11" t="n">
        <f aca="false">Units!$E114*(1+Inputs!$B$7)^(CW$2-1)</f>
        <v>2343.52465056709</v>
      </c>
      <c r="CX115" s="11" t="n">
        <f aca="false">Units!$E114*(1+Inputs!$B$7)^(CX$2-1)</f>
        <v>2343.52465056709</v>
      </c>
      <c r="CY115" s="11" t="n">
        <f aca="false">Units!$E114*(1+Inputs!$B$7)^(CY$2-1)</f>
        <v>2343.52465056709</v>
      </c>
      <c r="CZ115" s="11" t="n">
        <f aca="false">Units!$E114*(1+Inputs!$B$7)^(CZ$2-1)</f>
        <v>2343.52465056709</v>
      </c>
      <c r="DA115" s="11" t="n">
        <f aca="false">Units!$E114*(1+Inputs!$B$7)^(DA$2-1)</f>
        <v>2343.52465056709</v>
      </c>
      <c r="DB115" s="11" t="n">
        <f aca="false">Units!$E114*(1+Inputs!$B$7)^(DB$2-1)</f>
        <v>2343.52465056709</v>
      </c>
      <c r="DC115" s="11" t="n">
        <f aca="false">Units!$E114*(1+Inputs!$B$7)^(DC$2-1)</f>
        <v>2343.52465056709</v>
      </c>
      <c r="DD115" s="11" t="n">
        <f aca="false">Units!$E114*(1+Inputs!$B$7)^(DD$2-1)</f>
        <v>2343.52465056709</v>
      </c>
      <c r="DE115" s="11" t="n">
        <f aca="false">Units!$E114*(1+Inputs!$B$7)^(DE$2-1)</f>
        <v>2343.52465056709</v>
      </c>
      <c r="DF115" s="11" t="n">
        <f aca="false">Units!$E114*(1+Inputs!$B$7)^(DF$2-1)</f>
        <v>2343.52465056709</v>
      </c>
      <c r="DG115" s="11" t="n">
        <f aca="false">Units!$E114*(1+Inputs!$B$7)^(DG$2-1)</f>
        <v>2413.8303900841</v>
      </c>
      <c r="DH115" s="11" t="n">
        <f aca="false">Units!$E114*(1+Inputs!$B$7)^(DH$2-1)</f>
        <v>2413.8303900841</v>
      </c>
      <c r="DI115" s="11" t="n">
        <f aca="false">Units!$E114*(1+Inputs!$B$7)^(DI$2-1)</f>
        <v>2413.8303900841</v>
      </c>
      <c r="DJ115" s="11" t="n">
        <f aca="false">Units!$E114*(1+Inputs!$B$7)^(DJ$2-1)</f>
        <v>2413.8303900841</v>
      </c>
      <c r="DK115" s="11" t="n">
        <f aca="false">Units!$E114*(1+Inputs!$B$7)^(DK$2-1)</f>
        <v>2413.8303900841</v>
      </c>
      <c r="DL115" s="11" t="n">
        <f aca="false">Units!$E114*(1+Inputs!$B$7)^(DL$2-1)</f>
        <v>2413.8303900841</v>
      </c>
      <c r="DM115" s="11" t="n">
        <f aca="false">Units!$E114*(1+Inputs!$B$7)^(DM$2-1)</f>
        <v>2413.8303900841</v>
      </c>
      <c r="DN115" s="11" t="n">
        <f aca="false">Units!$E114*(1+Inputs!$B$7)^(DN$2-1)</f>
        <v>2413.8303900841</v>
      </c>
      <c r="DO115" s="11" t="n">
        <f aca="false">Units!$E114*(1+Inputs!$B$7)^(DO$2-1)</f>
        <v>2413.8303900841</v>
      </c>
      <c r="DP115" s="11" t="n">
        <f aca="false">Units!$E114*(1+Inputs!$B$7)^(DP$2-1)</f>
        <v>2413.8303900841</v>
      </c>
      <c r="DQ115" s="11" t="n">
        <f aca="false">Units!$E114*(1+Inputs!$B$7)^(DQ$2-1)</f>
        <v>2413.8303900841</v>
      </c>
      <c r="DR115" s="11" t="n">
        <f aca="false">Units!$E114*(1+Inputs!$B$7)^(DR$2-1)</f>
        <v>2413.8303900841</v>
      </c>
      <c r="DS115" s="11" t="n">
        <f aca="false">Units!$E114*(1+Inputs!$B$7)^(DS$2-1)</f>
        <v>2486.24530178663</v>
      </c>
      <c r="DT115" s="11" t="n">
        <f aca="false">Units!$E114*(1+Inputs!$B$7)^(DT$2-1)</f>
        <v>2486.24530178663</v>
      </c>
      <c r="DU115" s="11" t="n">
        <f aca="false">Units!$E114*(1+Inputs!$B$7)^(DU$2-1)</f>
        <v>2486.24530178663</v>
      </c>
      <c r="DV115" s="11" t="n">
        <f aca="false">Units!$E114*(1+Inputs!$B$7)^(DV$2-1)</f>
        <v>2486.24530178663</v>
      </c>
      <c r="DW115" s="11" t="n">
        <f aca="false">Units!$E114*(1+Inputs!$B$7)^(DW$2-1)</f>
        <v>2486.24530178663</v>
      </c>
      <c r="DX115" s="11" t="n">
        <f aca="false">Units!$E114*(1+Inputs!$B$7)^(DX$2-1)</f>
        <v>2486.24530178663</v>
      </c>
      <c r="DY115" s="11" t="n">
        <f aca="false">Units!$E114*(1+Inputs!$B$7)^(DY$2-1)</f>
        <v>2486.24530178663</v>
      </c>
      <c r="DZ115" s="11" t="n">
        <f aca="false">Units!$E114*(1+Inputs!$B$7)^(DZ$2-1)</f>
        <v>2486.24530178663</v>
      </c>
      <c r="EA115" s="11" t="n">
        <f aca="false">Units!$E114*(1+Inputs!$B$7)^(EA$2-1)</f>
        <v>2486.24530178663</v>
      </c>
      <c r="EB115" s="11" t="n">
        <f aca="false">Units!$E114*(1+Inputs!$B$7)^(EB$2-1)</f>
        <v>2486.24530178663</v>
      </c>
      <c r="EC115" s="11" t="n">
        <f aca="false">Units!$E114*(1+Inputs!$B$7)^(EC$2-1)</f>
        <v>2486.24530178663</v>
      </c>
      <c r="ED115" s="11" t="n">
        <f aca="false">Units!$E114*(1+Inputs!$B$7)^(ED$2-1)</f>
        <v>2486.24530178663</v>
      </c>
    </row>
    <row r="116" customFormat="false" ht="15" hidden="false" customHeight="false" outlineLevel="0" collapsed="false">
      <c r="A116" s="22" t="n">
        <f aca="false">Units!A115</f>
        <v>424</v>
      </c>
      <c r="B116" s="23"/>
      <c r="C116" s="11" t="n">
        <f aca="false">Units!$E115*(1+Inputs!$B$7)^(C$2-1)</f>
        <v>1850</v>
      </c>
      <c r="D116" s="11" t="n">
        <f aca="false">Units!$E115*(1+Inputs!$B$7)^(D$2-1)</f>
        <v>1850</v>
      </c>
      <c r="E116" s="11" t="n">
        <f aca="false">Units!$E115*(1+Inputs!$B$7)^(E$2-1)</f>
        <v>1850</v>
      </c>
      <c r="F116" s="11" t="n">
        <f aca="false">Units!$E115*(1+Inputs!$B$7)^(F$2-1)</f>
        <v>1850</v>
      </c>
      <c r="G116" s="11" t="n">
        <f aca="false">Units!$E115*(1+Inputs!$B$7)^(G$2-1)</f>
        <v>1850</v>
      </c>
      <c r="H116" s="11" t="n">
        <f aca="false">Units!$E115*(1+Inputs!$B$7)^(H$2-1)</f>
        <v>1850</v>
      </c>
      <c r="I116" s="11" t="n">
        <f aca="false">Units!$E115*(1+Inputs!$B$7)^(I$2-1)</f>
        <v>1850</v>
      </c>
      <c r="J116" s="11" t="n">
        <f aca="false">Units!$E115*(1+Inputs!$B$7)^(J$2-1)</f>
        <v>1850</v>
      </c>
      <c r="K116" s="11" t="n">
        <f aca="false">Units!$E115*(1+Inputs!$B$7)^(K$2-1)</f>
        <v>1850</v>
      </c>
      <c r="L116" s="11" t="n">
        <f aca="false">Units!$E115*(1+Inputs!$B$7)^(L$2-1)</f>
        <v>1850</v>
      </c>
      <c r="M116" s="11" t="n">
        <f aca="false">Units!$E115*(1+Inputs!$B$7)^(M$2-1)</f>
        <v>1850</v>
      </c>
      <c r="N116" s="11" t="n">
        <f aca="false">Units!$E115*(1+Inputs!$B$7)^(N$2-1)</f>
        <v>1850</v>
      </c>
      <c r="O116" s="11" t="n">
        <f aca="false">Units!$E115*(1+Inputs!$B$7)^(O$2-1)</f>
        <v>1905.5</v>
      </c>
      <c r="P116" s="11" t="n">
        <f aca="false">Units!$E115*(1+Inputs!$B$7)^(P$2-1)</f>
        <v>1905.5</v>
      </c>
      <c r="Q116" s="11" t="n">
        <f aca="false">Units!$E115*(1+Inputs!$B$7)^(Q$2-1)</f>
        <v>1905.5</v>
      </c>
      <c r="R116" s="11" t="n">
        <f aca="false">Units!$E115*(1+Inputs!$B$7)^(R$2-1)</f>
        <v>1905.5</v>
      </c>
      <c r="S116" s="11" t="n">
        <f aca="false">Units!$E115*(1+Inputs!$B$7)^(S$2-1)</f>
        <v>1905.5</v>
      </c>
      <c r="T116" s="11" t="n">
        <f aca="false">Units!$E115*(1+Inputs!$B$7)^(T$2-1)</f>
        <v>1905.5</v>
      </c>
      <c r="U116" s="11" t="n">
        <f aca="false">Units!$E115*(1+Inputs!$B$7)^(U$2-1)</f>
        <v>1905.5</v>
      </c>
      <c r="V116" s="11" t="n">
        <f aca="false">Units!$E115*(1+Inputs!$B$7)^(V$2-1)</f>
        <v>1905.5</v>
      </c>
      <c r="W116" s="11" t="n">
        <f aca="false">Units!$E115*(1+Inputs!$B$7)^(W$2-1)</f>
        <v>1905.5</v>
      </c>
      <c r="X116" s="11" t="n">
        <f aca="false">Units!$E115*(1+Inputs!$B$7)^(X$2-1)</f>
        <v>1905.5</v>
      </c>
      <c r="Y116" s="11" t="n">
        <f aca="false">Units!$E115*(1+Inputs!$B$7)^(Y$2-1)</f>
        <v>1905.5</v>
      </c>
      <c r="Z116" s="11" t="n">
        <f aca="false">Units!$E115*(1+Inputs!$B$7)^(Z$2-1)</f>
        <v>1905.5</v>
      </c>
      <c r="AA116" s="11" t="n">
        <f aca="false">Units!$E115*(1+Inputs!$B$7)^(AA$2-1)</f>
        <v>1962.665</v>
      </c>
      <c r="AB116" s="11" t="n">
        <f aca="false">Units!$E115*(1+Inputs!$B$7)^(AB$2-1)</f>
        <v>1962.665</v>
      </c>
      <c r="AC116" s="11" t="n">
        <f aca="false">Units!$E115*(1+Inputs!$B$7)^(AC$2-1)</f>
        <v>1962.665</v>
      </c>
      <c r="AD116" s="11" t="n">
        <f aca="false">Units!$E115*(1+Inputs!$B$7)^(AD$2-1)</f>
        <v>1962.665</v>
      </c>
      <c r="AE116" s="11" t="n">
        <f aca="false">Units!$E115*(1+Inputs!$B$7)^(AE$2-1)</f>
        <v>1962.665</v>
      </c>
      <c r="AF116" s="11" t="n">
        <f aca="false">Units!$E115*(1+Inputs!$B$7)^(AF$2-1)</f>
        <v>1962.665</v>
      </c>
      <c r="AG116" s="11" t="n">
        <f aca="false">Units!$E115*(1+Inputs!$B$7)^(AG$2-1)</f>
        <v>1962.665</v>
      </c>
      <c r="AH116" s="11" t="n">
        <f aca="false">Units!$E115*(1+Inputs!$B$7)^(AH$2-1)</f>
        <v>1962.665</v>
      </c>
      <c r="AI116" s="11" t="n">
        <f aca="false">Units!$E115*(1+Inputs!$B$7)^(AI$2-1)</f>
        <v>1962.665</v>
      </c>
      <c r="AJ116" s="11" t="n">
        <f aca="false">Units!$E115*(1+Inputs!$B$7)^(AJ$2-1)</f>
        <v>1962.665</v>
      </c>
      <c r="AK116" s="11" t="n">
        <f aca="false">Units!$E115*(1+Inputs!$B$7)^(AK$2-1)</f>
        <v>1962.665</v>
      </c>
      <c r="AL116" s="11" t="n">
        <f aca="false">Units!$E115*(1+Inputs!$B$7)^(AL$2-1)</f>
        <v>1962.665</v>
      </c>
      <c r="AM116" s="11" t="n">
        <f aca="false">Units!$E115*(1+Inputs!$B$7)^(AM$2-1)</f>
        <v>2021.54495</v>
      </c>
      <c r="AN116" s="11" t="n">
        <f aca="false">Units!$E115*(1+Inputs!$B$7)^(AN$2-1)</f>
        <v>2021.54495</v>
      </c>
      <c r="AO116" s="11" t="n">
        <f aca="false">Units!$E115*(1+Inputs!$B$7)^(AO$2-1)</f>
        <v>2021.54495</v>
      </c>
      <c r="AP116" s="11" t="n">
        <f aca="false">Units!$E115*(1+Inputs!$B$7)^(AP$2-1)</f>
        <v>2021.54495</v>
      </c>
      <c r="AQ116" s="11" t="n">
        <f aca="false">Units!$E115*(1+Inputs!$B$7)^(AQ$2-1)</f>
        <v>2021.54495</v>
      </c>
      <c r="AR116" s="11" t="n">
        <f aca="false">Units!$E115*(1+Inputs!$B$7)^(AR$2-1)</f>
        <v>2021.54495</v>
      </c>
      <c r="AS116" s="11" t="n">
        <f aca="false">Units!$E115*(1+Inputs!$B$7)^(AS$2-1)</f>
        <v>2021.54495</v>
      </c>
      <c r="AT116" s="11" t="n">
        <f aca="false">Units!$E115*(1+Inputs!$B$7)^(AT$2-1)</f>
        <v>2021.54495</v>
      </c>
      <c r="AU116" s="11" t="n">
        <f aca="false">Units!$E115*(1+Inputs!$B$7)^(AU$2-1)</f>
        <v>2021.54495</v>
      </c>
      <c r="AV116" s="11" t="n">
        <f aca="false">Units!$E115*(1+Inputs!$B$7)^(AV$2-1)</f>
        <v>2021.54495</v>
      </c>
      <c r="AW116" s="11" t="n">
        <f aca="false">Units!$E115*(1+Inputs!$B$7)^(AW$2-1)</f>
        <v>2021.54495</v>
      </c>
      <c r="AX116" s="11" t="n">
        <f aca="false">Units!$E115*(1+Inputs!$B$7)^(AX$2-1)</f>
        <v>2021.54495</v>
      </c>
      <c r="AY116" s="11" t="n">
        <f aca="false">Units!$E115*(1+Inputs!$B$7)^(AY$2-1)</f>
        <v>2082.1912985</v>
      </c>
      <c r="AZ116" s="11" t="n">
        <f aca="false">Units!$E115*(1+Inputs!$B$7)^(AZ$2-1)</f>
        <v>2082.1912985</v>
      </c>
      <c r="BA116" s="11" t="n">
        <f aca="false">Units!$E115*(1+Inputs!$B$7)^(BA$2-1)</f>
        <v>2082.1912985</v>
      </c>
      <c r="BB116" s="11" t="n">
        <f aca="false">Units!$E115*(1+Inputs!$B$7)^(BB$2-1)</f>
        <v>2082.1912985</v>
      </c>
      <c r="BC116" s="11" t="n">
        <f aca="false">Units!$E115*(1+Inputs!$B$7)^(BC$2-1)</f>
        <v>2082.1912985</v>
      </c>
      <c r="BD116" s="11" t="n">
        <f aca="false">Units!$E115*(1+Inputs!$B$7)^(BD$2-1)</f>
        <v>2082.1912985</v>
      </c>
      <c r="BE116" s="11" t="n">
        <f aca="false">Units!$E115*(1+Inputs!$B$7)^(BE$2-1)</f>
        <v>2082.1912985</v>
      </c>
      <c r="BF116" s="11" t="n">
        <f aca="false">Units!$E115*(1+Inputs!$B$7)^(BF$2-1)</f>
        <v>2082.1912985</v>
      </c>
      <c r="BG116" s="11" t="n">
        <f aca="false">Units!$E115*(1+Inputs!$B$7)^(BG$2-1)</f>
        <v>2082.1912985</v>
      </c>
      <c r="BH116" s="11" t="n">
        <f aca="false">Units!$E115*(1+Inputs!$B$7)^(BH$2-1)</f>
        <v>2082.1912985</v>
      </c>
      <c r="BI116" s="11" t="n">
        <f aca="false">Units!$E115*(1+Inputs!$B$7)^(BI$2-1)</f>
        <v>2082.1912985</v>
      </c>
      <c r="BJ116" s="11" t="n">
        <f aca="false">Units!$E115*(1+Inputs!$B$7)^(BJ$2-1)</f>
        <v>2082.1912985</v>
      </c>
      <c r="BK116" s="11" t="n">
        <f aca="false">Units!$E115*(1+Inputs!$B$7)^(BK$2-1)</f>
        <v>2144.657037455</v>
      </c>
      <c r="BL116" s="11" t="n">
        <f aca="false">Units!$E115*(1+Inputs!$B$7)^(BL$2-1)</f>
        <v>2144.657037455</v>
      </c>
      <c r="BM116" s="11" t="n">
        <f aca="false">Units!$E115*(1+Inputs!$B$7)^(BM$2-1)</f>
        <v>2144.657037455</v>
      </c>
      <c r="BN116" s="11" t="n">
        <f aca="false">Units!$E115*(1+Inputs!$B$7)^(BN$2-1)</f>
        <v>2144.657037455</v>
      </c>
      <c r="BO116" s="11" t="n">
        <f aca="false">Units!$E115*(1+Inputs!$B$7)^(BO$2-1)</f>
        <v>2144.657037455</v>
      </c>
      <c r="BP116" s="11" t="n">
        <f aca="false">Units!$E115*(1+Inputs!$B$7)^(BP$2-1)</f>
        <v>2144.657037455</v>
      </c>
      <c r="BQ116" s="11" t="n">
        <f aca="false">Units!$E115*(1+Inputs!$B$7)^(BQ$2-1)</f>
        <v>2144.657037455</v>
      </c>
      <c r="BR116" s="11" t="n">
        <f aca="false">Units!$E115*(1+Inputs!$B$7)^(BR$2-1)</f>
        <v>2144.657037455</v>
      </c>
      <c r="BS116" s="11" t="n">
        <f aca="false">Units!$E115*(1+Inputs!$B$7)^(BS$2-1)</f>
        <v>2144.657037455</v>
      </c>
      <c r="BT116" s="11" t="n">
        <f aca="false">Units!$E115*(1+Inputs!$B$7)^(BT$2-1)</f>
        <v>2144.657037455</v>
      </c>
      <c r="BU116" s="11" t="n">
        <f aca="false">Units!$E115*(1+Inputs!$B$7)^(BU$2-1)</f>
        <v>2144.657037455</v>
      </c>
      <c r="BV116" s="11" t="n">
        <f aca="false">Units!$E115*(1+Inputs!$B$7)^(BV$2-1)</f>
        <v>2144.657037455</v>
      </c>
      <c r="BW116" s="11" t="n">
        <f aca="false">Units!$E115*(1+Inputs!$B$7)^(BW$2-1)</f>
        <v>2208.99674857865</v>
      </c>
      <c r="BX116" s="11" t="n">
        <f aca="false">Units!$E115*(1+Inputs!$B$7)^(BX$2-1)</f>
        <v>2208.99674857865</v>
      </c>
      <c r="BY116" s="11" t="n">
        <f aca="false">Units!$E115*(1+Inputs!$B$7)^(BY$2-1)</f>
        <v>2208.99674857865</v>
      </c>
      <c r="BZ116" s="11" t="n">
        <f aca="false">Units!$E115*(1+Inputs!$B$7)^(BZ$2-1)</f>
        <v>2208.99674857865</v>
      </c>
      <c r="CA116" s="11" t="n">
        <f aca="false">Units!$E115*(1+Inputs!$B$7)^(CA$2-1)</f>
        <v>2208.99674857865</v>
      </c>
      <c r="CB116" s="11" t="n">
        <f aca="false">Units!$E115*(1+Inputs!$B$7)^(CB$2-1)</f>
        <v>2208.99674857865</v>
      </c>
      <c r="CC116" s="11" t="n">
        <f aca="false">Units!$E115*(1+Inputs!$B$7)^(CC$2-1)</f>
        <v>2208.99674857865</v>
      </c>
      <c r="CD116" s="11" t="n">
        <f aca="false">Units!$E115*(1+Inputs!$B$7)^(CD$2-1)</f>
        <v>2208.99674857865</v>
      </c>
      <c r="CE116" s="11" t="n">
        <f aca="false">Units!$E115*(1+Inputs!$B$7)^(CE$2-1)</f>
        <v>2208.99674857865</v>
      </c>
      <c r="CF116" s="11" t="n">
        <f aca="false">Units!$E115*(1+Inputs!$B$7)^(CF$2-1)</f>
        <v>2208.99674857865</v>
      </c>
      <c r="CG116" s="11" t="n">
        <f aca="false">Units!$E115*(1+Inputs!$B$7)^(CG$2-1)</f>
        <v>2208.99674857865</v>
      </c>
      <c r="CH116" s="11" t="n">
        <f aca="false">Units!$E115*(1+Inputs!$B$7)^(CH$2-1)</f>
        <v>2208.99674857865</v>
      </c>
      <c r="CI116" s="11" t="n">
        <f aca="false">Units!$E115*(1+Inputs!$B$7)^(CI$2-1)</f>
        <v>2275.26665103601</v>
      </c>
      <c r="CJ116" s="11" t="n">
        <f aca="false">Units!$E115*(1+Inputs!$B$7)^(CJ$2-1)</f>
        <v>2275.26665103601</v>
      </c>
      <c r="CK116" s="11" t="n">
        <f aca="false">Units!$E115*(1+Inputs!$B$7)^(CK$2-1)</f>
        <v>2275.26665103601</v>
      </c>
      <c r="CL116" s="11" t="n">
        <f aca="false">Units!$E115*(1+Inputs!$B$7)^(CL$2-1)</f>
        <v>2275.26665103601</v>
      </c>
      <c r="CM116" s="11" t="n">
        <f aca="false">Units!$E115*(1+Inputs!$B$7)^(CM$2-1)</f>
        <v>2275.26665103601</v>
      </c>
      <c r="CN116" s="11" t="n">
        <f aca="false">Units!$E115*(1+Inputs!$B$7)^(CN$2-1)</f>
        <v>2275.26665103601</v>
      </c>
      <c r="CO116" s="11" t="n">
        <f aca="false">Units!$E115*(1+Inputs!$B$7)^(CO$2-1)</f>
        <v>2275.26665103601</v>
      </c>
      <c r="CP116" s="11" t="n">
        <f aca="false">Units!$E115*(1+Inputs!$B$7)^(CP$2-1)</f>
        <v>2275.26665103601</v>
      </c>
      <c r="CQ116" s="11" t="n">
        <f aca="false">Units!$E115*(1+Inputs!$B$7)^(CQ$2-1)</f>
        <v>2275.26665103601</v>
      </c>
      <c r="CR116" s="11" t="n">
        <f aca="false">Units!$E115*(1+Inputs!$B$7)^(CR$2-1)</f>
        <v>2275.26665103601</v>
      </c>
      <c r="CS116" s="11" t="n">
        <f aca="false">Units!$E115*(1+Inputs!$B$7)^(CS$2-1)</f>
        <v>2275.26665103601</v>
      </c>
      <c r="CT116" s="11" t="n">
        <f aca="false">Units!$E115*(1+Inputs!$B$7)^(CT$2-1)</f>
        <v>2275.26665103601</v>
      </c>
      <c r="CU116" s="11" t="n">
        <f aca="false">Units!$E115*(1+Inputs!$B$7)^(CU$2-1)</f>
        <v>2343.52465056709</v>
      </c>
      <c r="CV116" s="11" t="n">
        <f aca="false">Units!$E115*(1+Inputs!$B$7)^(CV$2-1)</f>
        <v>2343.52465056709</v>
      </c>
      <c r="CW116" s="11" t="n">
        <f aca="false">Units!$E115*(1+Inputs!$B$7)^(CW$2-1)</f>
        <v>2343.52465056709</v>
      </c>
      <c r="CX116" s="11" t="n">
        <f aca="false">Units!$E115*(1+Inputs!$B$7)^(CX$2-1)</f>
        <v>2343.52465056709</v>
      </c>
      <c r="CY116" s="11" t="n">
        <f aca="false">Units!$E115*(1+Inputs!$B$7)^(CY$2-1)</f>
        <v>2343.52465056709</v>
      </c>
      <c r="CZ116" s="11" t="n">
        <f aca="false">Units!$E115*(1+Inputs!$B$7)^(CZ$2-1)</f>
        <v>2343.52465056709</v>
      </c>
      <c r="DA116" s="11" t="n">
        <f aca="false">Units!$E115*(1+Inputs!$B$7)^(DA$2-1)</f>
        <v>2343.52465056709</v>
      </c>
      <c r="DB116" s="11" t="n">
        <f aca="false">Units!$E115*(1+Inputs!$B$7)^(DB$2-1)</f>
        <v>2343.52465056709</v>
      </c>
      <c r="DC116" s="11" t="n">
        <f aca="false">Units!$E115*(1+Inputs!$B$7)^(DC$2-1)</f>
        <v>2343.52465056709</v>
      </c>
      <c r="DD116" s="11" t="n">
        <f aca="false">Units!$E115*(1+Inputs!$B$7)^(DD$2-1)</f>
        <v>2343.52465056709</v>
      </c>
      <c r="DE116" s="11" t="n">
        <f aca="false">Units!$E115*(1+Inputs!$B$7)^(DE$2-1)</f>
        <v>2343.52465056709</v>
      </c>
      <c r="DF116" s="11" t="n">
        <f aca="false">Units!$E115*(1+Inputs!$B$7)^(DF$2-1)</f>
        <v>2343.52465056709</v>
      </c>
      <c r="DG116" s="11" t="n">
        <f aca="false">Units!$E115*(1+Inputs!$B$7)^(DG$2-1)</f>
        <v>2413.8303900841</v>
      </c>
      <c r="DH116" s="11" t="n">
        <f aca="false">Units!$E115*(1+Inputs!$B$7)^(DH$2-1)</f>
        <v>2413.8303900841</v>
      </c>
      <c r="DI116" s="11" t="n">
        <f aca="false">Units!$E115*(1+Inputs!$B$7)^(DI$2-1)</f>
        <v>2413.8303900841</v>
      </c>
      <c r="DJ116" s="11" t="n">
        <f aca="false">Units!$E115*(1+Inputs!$B$7)^(DJ$2-1)</f>
        <v>2413.8303900841</v>
      </c>
      <c r="DK116" s="11" t="n">
        <f aca="false">Units!$E115*(1+Inputs!$B$7)^(DK$2-1)</f>
        <v>2413.8303900841</v>
      </c>
      <c r="DL116" s="11" t="n">
        <f aca="false">Units!$E115*(1+Inputs!$B$7)^(DL$2-1)</f>
        <v>2413.8303900841</v>
      </c>
      <c r="DM116" s="11" t="n">
        <f aca="false">Units!$E115*(1+Inputs!$B$7)^(DM$2-1)</f>
        <v>2413.8303900841</v>
      </c>
      <c r="DN116" s="11" t="n">
        <f aca="false">Units!$E115*(1+Inputs!$B$7)^(DN$2-1)</f>
        <v>2413.8303900841</v>
      </c>
      <c r="DO116" s="11" t="n">
        <f aca="false">Units!$E115*(1+Inputs!$B$7)^(DO$2-1)</f>
        <v>2413.8303900841</v>
      </c>
      <c r="DP116" s="11" t="n">
        <f aca="false">Units!$E115*(1+Inputs!$B$7)^(DP$2-1)</f>
        <v>2413.8303900841</v>
      </c>
      <c r="DQ116" s="11" t="n">
        <f aca="false">Units!$E115*(1+Inputs!$B$7)^(DQ$2-1)</f>
        <v>2413.8303900841</v>
      </c>
      <c r="DR116" s="11" t="n">
        <f aca="false">Units!$E115*(1+Inputs!$B$7)^(DR$2-1)</f>
        <v>2413.8303900841</v>
      </c>
      <c r="DS116" s="11" t="n">
        <f aca="false">Units!$E115*(1+Inputs!$B$7)^(DS$2-1)</f>
        <v>2486.24530178663</v>
      </c>
      <c r="DT116" s="11" t="n">
        <f aca="false">Units!$E115*(1+Inputs!$B$7)^(DT$2-1)</f>
        <v>2486.24530178663</v>
      </c>
      <c r="DU116" s="11" t="n">
        <f aca="false">Units!$E115*(1+Inputs!$B$7)^(DU$2-1)</f>
        <v>2486.24530178663</v>
      </c>
      <c r="DV116" s="11" t="n">
        <f aca="false">Units!$E115*(1+Inputs!$B$7)^(DV$2-1)</f>
        <v>2486.24530178663</v>
      </c>
      <c r="DW116" s="11" t="n">
        <f aca="false">Units!$E115*(1+Inputs!$B$7)^(DW$2-1)</f>
        <v>2486.24530178663</v>
      </c>
      <c r="DX116" s="11" t="n">
        <f aca="false">Units!$E115*(1+Inputs!$B$7)^(DX$2-1)</f>
        <v>2486.24530178663</v>
      </c>
      <c r="DY116" s="11" t="n">
        <f aca="false">Units!$E115*(1+Inputs!$B$7)^(DY$2-1)</f>
        <v>2486.24530178663</v>
      </c>
      <c r="DZ116" s="11" t="n">
        <f aca="false">Units!$E115*(1+Inputs!$B$7)^(DZ$2-1)</f>
        <v>2486.24530178663</v>
      </c>
      <c r="EA116" s="11" t="n">
        <f aca="false">Units!$E115*(1+Inputs!$B$7)^(EA$2-1)</f>
        <v>2486.24530178663</v>
      </c>
      <c r="EB116" s="11" t="n">
        <f aca="false">Units!$E115*(1+Inputs!$B$7)^(EB$2-1)</f>
        <v>2486.24530178663</v>
      </c>
      <c r="EC116" s="11" t="n">
        <f aca="false">Units!$E115*(1+Inputs!$B$7)^(EC$2-1)</f>
        <v>2486.24530178663</v>
      </c>
      <c r="ED116" s="11" t="n">
        <f aca="false">Units!$E115*(1+Inputs!$B$7)^(ED$2-1)</f>
        <v>2486.24530178663</v>
      </c>
    </row>
    <row r="117" customFormat="false" ht="15" hidden="false" customHeight="false" outlineLevel="0" collapsed="false">
      <c r="A117" s="22" t="n">
        <f aca="false">Units!A116</f>
        <v>425</v>
      </c>
      <c r="B117" s="23"/>
      <c r="C117" s="11" t="n">
        <f aca="false">Units!$E116*(1+Inputs!$B$7)^(C$2-1)</f>
        <v>1850</v>
      </c>
      <c r="D117" s="11" t="n">
        <f aca="false">Units!$E116*(1+Inputs!$B$7)^(D$2-1)</f>
        <v>1850</v>
      </c>
      <c r="E117" s="11" t="n">
        <f aca="false">Units!$E116*(1+Inputs!$B$7)^(E$2-1)</f>
        <v>1850</v>
      </c>
      <c r="F117" s="11" t="n">
        <f aca="false">Units!$E116*(1+Inputs!$B$7)^(F$2-1)</f>
        <v>1850</v>
      </c>
      <c r="G117" s="11" t="n">
        <f aca="false">Units!$E116*(1+Inputs!$B$7)^(G$2-1)</f>
        <v>1850</v>
      </c>
      <c r="H117" s="11" t="n">
        <f aca="false">Units!$E116*(1+Inputs!$B$7)^(H$2-1)</f>
        <v>1850</v>
      </c>
      <c r="I117" s="11" t="n">
        <f aca="false">Units!$E116*(1+Inputs!$B$7)^(I$2-1)</f>
        <v>1850</v>
      </c>
      <c r="J117" s="11" t="n">
        <f aca="false">Units!$E116*(1+Inputs!$B$7)^(J$2-1)</f>
        <v>1850</v>
      </c>
      <c r="K117" s="11" t="n">
        <f aca="false">Units!$E116*(1+Inputs!$B$7)^(K$2-1)</f>
        <v>1850</v>
      </c>
      <c r="L117" s="11" t="n">
        <f aca="false">Units!$E116*(1+Inputs!$B$7)^(L$2-1)</f>
        <v>1850</v>
      </c>
      <c r="M117" s="11" t="n">
        <f aca="false">Units!$E116*(1+Inputs!$B$7)^(M$2-1)</f>
        <v>1850</v>
      </c>
      <c r="N117" s="11" t="n">
        <f aca="false">Units!$E116*(1+Inputs!$B$7)^(N$2-1)</f>
        <v>1850</v>
      </c>
      <c r="O117" s="11" t="n">
        <f aca="false">Units!$E116*(1+Inputs!$B$7)^(O$2-1)</f>
        <v>1905.5</v>
      </c>
      <c r="P117" s="11" t="n">
        <f aca="false">Units!$E116*(1+Inputs!$B$7)^(P$2-1)</f>
        <v>1905.5</v>
      </c>
      <c r="Q117" s="11" t="n">
        <f aca="false">Units!$E116*(1+Inputs!$B$7)^(Q$2-1)</f>
        <v>1905.5</v>
      </c>
      <c r="R117" s="11" t="n">
        <f aca="false">Units!$E116*(1+Inputs!$B$7)^(R$2-1)</f>
        <v>1905.5</v>
      </c>
      <c r="S117" s="11" t="n">
        <f aca="false">Units!$E116*(1+Inputs!$B$7)^(S$2-1)</f>
        <v>1905.5</v>
      </c>
      <c r="T117" s="11" t="n">
        <f aca="false">Units!$E116*(1+Inputs!$B$7)^(T$2-1)</f>
        <v>1905.5</v>
      </c>
      <c r="U117" s="11" t="n">
        <f aca="false">Units!$E116*(1+Inputs!$B$7)^(U$2-1)</f>
        <v>1905.5</v>
      </c>
      <c r="V117" s="11" t="n">
        <f aca="false">Units!$E116*(1+Inputs!$B$7)^(V$2-1)</f>
        <v>1905.5</v>
      </c>
      <c r="W117" s="11" t="n">
        <f aca="false">Units!$E116*(1+Inputs!$B$7)^(W$2-1)</f>
        <v>1905.5</v>
      </c>
      <c r="X117" s="11" t="n">
        <f aca="false">Units!$E116*(1+Inputs!$B$7)^(X$2-1)</f>
        <v>1905.5</v>
      </c>
      <c r="Y117" s="11" t="n">
        <f aca="false">Units!$E116*(1+Inputs!$B$7)^(Y$2-1)</f>
        <v>1905.5</v>
      </c>
      <c r="Z117" s="11" t="n">
        <f aca="false">Units!$E116*(1+Inputs!$B$7)^(Z$2-1)</f>
        <v>1905.5</v>
      </c>
      <c r="AA117" s="11" t="n">
        <f aca="false">Units!$E116*(1+Inputs!$B$7)^(AA$2-1)</f>
        <v>1962.665</v>
      </c>
      <c r="AB117" s="11" t="n">
        <f aca="false">Units!$E116*(1+Inputs!$B$7)^(AB$2-1)</f>
        <v>1962.665</v>
      </c>
      <c r="AC117" s="11" t="n">
        <f aca="false">Units!$E116*(1+Inputs!$B$7)^(AC$2-1)</f>
        <v>1962.665</v>
      </c>
      <c r="AD117" s="11" t="n">
        <f aca="false">Units!$E116*(1+Inputs!$B$7)^(AD$2-1)</f>
        <v>1962.665</v>
      </c>
      <c r="AE117" s="11" t="n">
        <f aca="false">Units!$E116*(1+Inputs!$B$7)^(AE$2-1)</f>
        <v>1962.665</v>
      </c>
      <c r="AF117" s="11" t="n">
        <f aca="false">Units!$E116*(1+Inputs!$B$7)^(AF$2-1)</f>
        <v>1962.665</v>
      </c>
      <c r="AG117" s="11" t="n">
        <f aca="false">Units!$E116*(1+Inputs!$B$7)^(AG$2-1)</f>
        <v>1962.665</v>
      </c>
      <c r="AH117" s="11" t="n">
        <f aca="false">Units!$E116*(1+Inputs!$B$7)^(AH$2-1)</f>
        <v>1962.665</v>
      </c>
      <c r="AI117" s="11" t="n">
        <f aca="false">Units!$E116*(1+Inputs!$B$7)^(AI$2-1)</f>
        <v>1962.665</v>
      </c>
      <c r="AJ117" s="11" t="n">
        <f aca="false">Units!$E116*(1+Inputs!$B$7)^(AJ$2-1)</f>
        <v>1962.665</v>
      </c>
      <c r="AK117" s="11" t="n">
        <f aca="false">Units!$E116*(1+Inputs!$B$7)^(AK$2-1)</f>
        <v>1962.665</v>
      </c>
      <c r="AL117" s="11" t="n">
        <f aca="false">Units!$E116*(1+Inputs!$B$7)^(AL$2-1)</f>
        <v>1962.665</v>
      </c>
      <c r="AM117" s="11" t="n">
        <f aca="false">Units!$E116*(1+Inputs!$B$7)^(AM$2-1)</f>
        <v>2021.54495</v>
      </c>
      <c r="AN117" s="11" t="n">
        <f aca="false">Units!$E116*(1+Inputs!$B$7)^(AN$2-1)</f>
        <v>2021.54495</v>
      </c>
      <c r="AO117" s="11" t="n">
        <f aca="false">Units!$E116*(1+Inputs!$B$7)^(AO$2-1)</f>
        <v>2021.54495</v>
      </c>
      <c r="AP117" s="11" t="n">
        <f aca="false">Units!$E116*(1+Inputs!$B$7)^(AP$2-1)</f>
        <v>2021.54495</v>
      </c>
      <c r="AQ117" s="11" t="n">
        <f aca="false">Units!$E116*(1+Inputs!$B$7)^(AQ$2-1)</f>
        <v>2021.54495</v>
      </c>
      <c r="AR117" s="11" t="n">
        <f aca="false">Units!$E116*(1+Inputs!$B$7)^(AR$2-1)</f>
        <v>2021.54495</v>
      </c>
      <c r="AS117" s="11" t="n">
        <f aca="false">Units!$E116*(1+Inputs!$B$7)^(AS$2-1)</f>
        <v>2021.54495</v>
      </c>
      <c r="AT117" s="11" t="n">
        <f aca="false">Units!$E116*(1+Inputs!$B$7)^(AT$2-1)</f>
        <v>2021.54495</v>
      </c>
      <c r="AU117" s="11" t="n">
        <f aca="false">Units!$E116*(1+Inputs!$B$7)^(AU$2-1)</f>
        <v>2021.54495</v>
      </c>
      <c r="AV117" s="11" t="n">
        <f aca="false">Units!$E116*(1+Inputs!$B$7)^(AV$2-1)</f>
        <v>2021.54495</v>
      </c>
      <c r="AW117" s="11" t="n">
        <f aca="false">Units!$E116*(1+Inputs!$B$7)^(AW$2-1)</f>
        <v>2021.54495</v>
      </c>
      <c r="AX117" s="11" t="n">
        <f aca="false">Units!$E116*(1+Inputs!$B$7)^(AX$2-1)</f>
        <v>2021.54495</v>
      </c>
      <c r="AY117" s="11" t="n">
        <f aca="false">Units!$E116*(1+Inputs!$B$7)^(AY$2-1)</f>
        <v>2082.1912985</v>
      </c>
      <c r="AZ117" s="11" t="n">
        <f aca="false">Units!$E116*(1+Inputs!$B$7)^(AZ$2-1)</f>
        <v>2082.1912985</v>
      </c>
      <c r="BA117" s="11" t="n">
        <f aca="false">Units!$E116*(1+Inputs!$B$7)^(BA$2-1)</f>
        <v>2082.1912985</v>
      </c>
      <c r="BB117" s="11" t="n">
        <f aca="false">Units!$E116*(1+Inputs!$B$7)^(BB$2-1)</f>
        <v>2082.1912985</v>
      </c>
      <c r="BC117" s="11" t="n">
        <f aca="false">Units!$E116*(1+Inputs!$B$7)^(BC$2-1)</f>
        <v>2082.1912985</v>
      </c>
      <c r="BD117" s="11" t="n">
        <f aca="false">Units!$E116*(1+Inputs!$B$7)^(BD$2-1)</f>
        <v>2082.1912985</v>
      </c>
      <c r="BE117" s="11" t="n">
        <f aca="false">Units!$E116*(1+Inputs!$B$7)^(BE$2-1)</f>
        <v>2082.1912985</v>
      </c>
      <c r="BF117" s="11" t="n">
        <f aca="false">Units!$E116*(1+Inputs!$B$7)^(BF$2-1)</f>
        <v>2082.1912985</v>
      </c>
      <c r="BG117" s="11" t="n">
        <f aca="false">Units!$E116*(1+Inputs!$B$7)^(BG$2-1)</f>
        <v>2082.1912985</v>
      </c>
      <c r="BH117" s="11" t="n">
        <f aca="false">Units!$E116*(1+Inputs!$B$7)^(BH$2-1)</f>
        <v>2082.1912985</v>
      </c>
      <c r="BI117" s="11" t="n">
        <f aca="false">Units!$E116*(1+Inputs!$B$7)^(BI$2-1)</f>
        <v>2082.1912985</v>
      </c>
      <c r="BJ117" s="11" t="n">
        <f aca="false">Units!$E116*(1+Inputs!$B$7)^(BJ$2-1)</f>
        <v>2082.1912985</v>
      </c>
      <c r="BK117" s="11" t="n">
        <f aca="false">Units!$E116*(1+Inputs!$B$7)^(BK$2-1)</f>
        <v>2144.657037455</v>
      </c>
      <c r="BL117" s="11" t="n">
        <f aca="false">Units!$E116*(1+Inputs!$B$7)^(BL$2-1)</f>
        <v>2144.657037455</v>
      </c>
      <c r="BM117" s="11" t="n">
        <f aca="false">Units!$E116*(1+Inputs!$B$7)^(BM$2-1)</f>
        <v>2144.657037455</v>
      </c>
      <c r="BN117" s="11" t="n">
        <f aca="false">Units!$E116*(1+Inputs!$B$7)^(BN$2-1)</f>
        <v>2144.657037455</v>
      </c>
      <c r="BO117" s="11" t="n">
        <f aca="false">Units!$E116*(1+Inputs!$B$7)^(BO$2-1)</f>
        <v>2144.657037455</v>
      </c>
      <c r="BP117" s="11" t="n">
        <f aca="false">Units!$E116*(1+Inputs!$B$7)^(BP$2-1)</f>
        <v>2144.657037455</v>
      </c>
      <c r="BQ117" s="11" t="n">
        <f aca="false">Units!$E116*(1+Inputs!$B$7)^(BQ$2-1)</f>
        <v>2144.657037455</v>
      </c>
      <c r="BR117" s="11" t="n">
        <f aca="false">Units!$E116*(1+Inputs!$B$7)^(BR$2-1)</f>
        <v>2144.657037455</v>
      </c>
      <c r="BS117" s="11" t="n">
        <f aca="false">Units!$E116*(1+Inputs!$B$7)^(BS$2-1)</f>
        <v>2144.657037455</v>
      </c>
      <c r="BT117" s="11" t="n">
        <f aca="false">Units!$E116*(1+Inputs!$B$7)^(BT$2-1)</f>
        <v>2144.657037455</v>
      </c>
      <c r="BU117" s="11" t="n">
        <f aca="false">Units!$E116*(1+Inputs!$B$7)^(BU$2-1)</f>
        <v>2144.657037455</v>
      </c>
      <c r="BV117" s="11" t="n">
        <f aca="false">Units!$E116*(1+Inputs!$B$7)^(BV$2-1)</f>
        <v>2144.657037455</v>
      </c>
      <c r="BW117" s="11" t="n">
        <f aca="false">Units!$E116*(1+Inputs!$B$7)^(BW$2-1)</f>
        <v>2208.99674857865</v>
      </c>
      <c r="BX117" s="11" t="n">
        <f aca="false">Units!$E116*(1+Inputs!$B$7)^(BX$2-1)</f>
        <v>2208.99674857865</v>
      </c>
      <c r="BY117" s="11" t="n">
        <f aca="false">Units!$E116*(1+Inputs!$B$7)^(BY$2-1)</f>
        <v>2208.99674857865</v>
      </c>
      <c r="BZ117" s="11" t="n">
        <f aca="false">Units!$E116*(1+Inputs!$B$7)^(BZ$2-1)</f>
        <v>2208.99674857865</v>
      </c>
      <c r="CA117" s="11" t="n">
        <f aca="false">Units!$E116*(1+Inputs!$B$7)^(CA$2-1)</f>
        <v>2208.99674857865</v>
      </c>
      <c r="CB117" s="11" t="n">
        <f aca="false">Units!$E116*(1+Inputs!$B$7)^(CB$2-1)</f>
        <v>2208.99674857865</v>
      </c>
      <c r="CC117" s="11" t="n">
        <f aca="false">Units!$E116*(1+Inputs!$B$7)^(CC$2-1)</f>
        <v>2208.99674857865</v>
      </c>
      <c r="CD117" s="11" t="n">
        <f aca="false">Units!$E116*(1+Inputs!$B$7)^(CD$2-1)</f>
        <v>2208.99674857865</v>
      </c>
      <c r="CE117" s="11" t="n">
        <f aca="false">Units!$E116*(1+Inputs!$B$7)^(CE$2-1)</f>
        <v>2208.99674857865</v>
      </c>
      <c r="CF117" s="11" t="n">
        <f aca="false">Units!$E116*(1+Inputs!$B$7)^(CF$2-1)</f>
        <v>2208.99674857865</v>
      </c>
      <c r="CG117" s="11" t="n">
        <f aca="false">Units!$E116*(1+Inputs!$B$7)^(CG$2-1)</f>
        <v>2208.99674857865</v>
      </c>
      <c r="CH117" s="11" t="n">
        <f aca="false">Units!$E116*(1+Inputs!$B$7)^(CH$2-1)</f>
        <v>2208.99674857865</v>
      </c>
      <c r="CI117" s="11" t="n">
        <f aca="false">Units!$E116*(1+Inputs!$B$7)^(CI$2-1)</f>
        <v>2275.26665103601</v>
      </c>
      <c r="CJ117" s="11" t="n">
        <f aca="false">Units!$E116*(1+Inputs!$B$7)^(CJ$2-1)</f>
        <v>2275.26665103601</v>
      </c>
      <c r="CK117" s="11" t="n">
        <f aca="false">Units!$E116*(1+Inputs!$B$7)^(CK$2-1)</f>
        <v>2275.26665103601</v>
      </c>
      <c r="CL117" s="11" t="n">
        <f aca="false">Units!$E116*(1+Inputs!$B$7)^(CL$2-1)</f>
        <v>2275.26665103601</v>
      </c>
      <c r="CM117" s="11" t="n">
        <f aca="false">Units!$E116*(1+Inputs!$B$7)^(CM$2-1)</f>
        <v>2275.26665103601</v>
      </c>
      <c r="CN117" s="11" t="n">
        <f aca="false">Units!$E116*(1+Inputs!$B$7)^(CN$2-1)</f>
        <v>2275.26665103601</v>
      </c>
      <c r="CO117" s="11" t="n">
        <f aca="false">Units!$E116*(1+Inputs!$B$7)^(CO$2-1)</f>
        <v>2275.26665103601</v>
      </c>
      <c r="CP117" s="11" t="n">
        <f aca="false">Units!$E116*(1+Inputs!$B$7)^(CP$2-1)</f>
        <v>2275.26665103601</v>
      </c>
      <c r="CQ117" s="11" t="n">
        <f aca="false">Units!$E116*(1+Inputs!$B$7)^(CQ$2-1)</f>
        <v>2275.26665103601</v>
      </c>
      <c r="CR117" s="11" t="n">
        <f aca="false">Units!$E116*(1+Inputs!$B$7)^(CR$2-1)</f>
        <v>2275.26665103601</v>
      </c>
      <c r="CS117" s="11" t="n">
        <f aca="false">Units!$E116*(1+Inputs!$B$7)^(CS$2-1)</f>
        <v>2275.26665103601</v>
      </c>
      <c r="CT117" s="11" t="n">
        <f aca="false">Units!$E116*(1+Inputs!$B$7)^(CT$2-1)</f>
        <v>2275.26665103601</v>
      </c>
      <c r="CU117" s="11" t="n">
        <f aca="false">Units!$E116*(1+Inputs!$B$7)^(CU$2-1)</f>
        <v>2343.52465056709</v>
      </c>
      <c r="CV117" s="11" t="n">
        <f aca="false">Units!$E116*(1+Inputs!$B$7)^(CV$2-1)</f>
        <v>2343.52465056709</v>
      </c>
      <c r="CW117" s="11" t="n">
        <f aca="false">Units!$E116*(1+Inputs!$B$7)^(CW$2-1)</f>
        <v>2343.52465056709</v>
      </c>
      <c r="CX117" s="11" t="n">
        <f aca="false">Units!$E116*(1+Inputs!$B$7)^(CX$2-1)</f>
        <v>2343.52465056709</v>
      </c>
      <c r="CY117" s="11" t="n">
        <f aca="false">Units!$E116*(1+Inputs!$B$7)^(CY$2-1)</f>
        <v>2343.52465056709</v>
      </c>
      <c r="CZ117" s="11" t="n">
        <f aca="false">Units!$E116*(1+Inputs!$B$7)^(CZ$2-1)</f>
        <v>2343.52465056709</v>
      </c>
      <c r="DA117" s="11" t="n">
        <f aca="false">Units!$E116*(1+Inputs!$B$7)^(DA$2-1)</f>
        <v>2343.52465056709</v>
      </c>
      <c r="DB117" s="11" t="n">
        <f aca="false">Units!$E116*(1+Inputs!$B$7)^(DB$2-1)</f>
        <v>2343.52465056709</v>
      </c>
      <c r="DC117" s="11" t="n">
        <f aca="false">Units!$E116*(1+Inputs!$B$7)^(DC$2-1)</f>
        <v>2343.52465056709</v>
      </c>
      <c r="DD117" s="11" t="n">
        <f aca="false">Units!$E116*(1+Inputs!$B$7)^(DD$2-1)</f>
        <v>2343.52465056709</v>
      </c>
      <c r="DE117" s="11" t="n">
        <f aca="false">Units!$E116*(1+Inputs!$B$7)^(DE$2-1)</f>
        <v>2343.52465056709</v>
      </c>
      <c r="DF117" s="11" t="n">
        <f aca="false">Units!$E116*(1+Inputs!$B$7)^(DF$2-1)</f>
        <v>2343.52465056709</v>
      </c>
      <c r="DG117" s="11" t="n">
        <f aca="false">Units!$E116*(1+Inputs!$B$7)^(DG$2-1)</f>
        <v>2413.8303900841</v>
      </c>
      <c r="DH117" s="11" t="n">
        <f aca="false">Units!$E116*(1+Inputs!$B$7)^(DH$2-1)</f>
        <v>2413.8303900841</v>
      </c>
      <c r="DI117" s="11" t="n">
        <f aca="false">Units!$E116*(1+Inputs!$B$7)^(DI$2-1)</f>
        <v>2413.8303900841</v>
      </c>
      <c r="DJ117" s="11" t="n">
        <f aca="false">Units!$E116*(1+Inputs!$B$7)^(DJ$2-1)</f>
        <v>2413.8303900841</v>
      </c>
      <c r="DK117" s="11" t="n">
        <f aca="false">Units!$E116*(1+Inputs!$B$7)^(DK$2-1)</f>
        <v>2413.8303900841</v>
      </c>
      <c r="DL117" s="11" t="n">
        <f aca="false">Units!$E116*(1+Inputs!$B$7)^(DL$2-1)</f>
        <v>2413.8303900841</v>
      </c>
      <c r="DM117" s="11" t="n">
        <f aca="false">Units!$E116*(1+Inputs!$B$7)^(DM$2-1)</f>
        <v>2413.8303900841</v>
      </c>
      <c r="DN117" s="11" t="n">
        <f aca="false">Units!$E116*(1+Inputs!$B$7)^(DN$2-1)</f>
        <v>2413.8303900841</v>
      </c>
      <c r="DO117" s="11" t="n">
        <f aca="false">Units!$E116*(1+Inputs!$B$7)^(DO$2-1)</f>
        <v>2413.8303900841</v>
      </c>
      <c r="DP117" s="11" t="n">
        <f aca="false">Units!$E116*(1+Inputs!$B$7)^(DP$2-1)</f>
        <v>2413.8303900841</v>
      </c>
      <c r="DQ117" s="11" t="n">
        <f aca="false">Units!$E116*(1+Inputs!$B$7)^(DQ$2-1)</f>
        <v>2413.8303900841</v>
      </c>
      <c r="DR117" s="11" t="n">
        <f aca="false">Units!$E116*(1+Inputs!$B$7)^(DR$2-1)</f>
        <v>2413.8303900841</v>
      </c>
      <c r="DS117" s="11" t="n">
        <f aca="false">Units!$E116*(1+Inputs!$B$7)^(DS$2-1)</f>
        <v>2486.24530178663</v>
      </c>
      <c r="DT117" s="11" t="n">
        <f aca="false">Units!$E116*(1+Inputs!$B$7)^(DT$2-1)</f>
        <v>2486.24530178663</v>
      </c>
      <c r="DU117" s="11" t="n">
        <f aca="false">Units!$E116*(1+Inputs!$B$7)^(DU$2-1)</f>
        <v>2486.24530178663</v>
      </c>
      <c r="DV117" s="11" t="n">
        <f aca="false">Units!$E116*(1+Inputs!$B$7)^(DV$2-1)</f>
        <v>2486.24530178663</v>
      </c>
      <c r="DW117" s="11" t="n">
        <f aca="false">Units!$E116*(1+Inputs!$B$7)^(DW$2-1)</f>
        <v>2486.24530178663</v>
      </c>
      <c r="DX117" s="11" t="n">
        <f aca="false">Units!$E116*(1+Inputs!$B$7)^(DX$2-1)</f>
        <v>2486.24530178663</v>
      </c>
      <c r="DY117" s="11" t="n">
        <f aca="false">Units!$E116*(1+Inputs!$B$7)^(DY$2-1)</f>
        <v>2486.24530178663</v>
      </c>
      <c r="DZ117" s="11" t="n">
        <f aca="false">Units!$E116*(1+Inputs!$B$7)^(DZ$2-1)</f>
        <v>2486.24530178663</v>
      </c>
      <c r="EA117" s="11" t="n">
        <f aca="false">Units!$E116*(1+Inputs!$B$7)^(EA$2-1)</f>
        <v>2486.24530178663</v>
      </c>
      <c r="EB117" s="11" t="n">
        <f aca="false">Units!$E116*(1+Inputs!$B$7)^(EB$2-1)</f>
        <v>2486.24530178663</v>
      </c>
      <c r="EC117" s="11" t="n">
        <f aca="false">Units!$E116*(1+Inputs!$B$7)^(EC$2-1)</f>
        <v>2486.24530178663</v>
      </c>
      <c r="ED117" s="11" t="n">
        <f aca="false">Units!$E116*(1+Inputs!$B$7)^(ED$2-1)</f>
        <v>2486.24530178663</v>
      </c>
    </row>
    <row r="118" customFormat="false" ht="15" hidden="false" customHeight="false" outlineLevel="0" collapsed="false">
      <c r="A118" s="22" t="n">
        <f aca="false">Units!A117</f>
        <v>426</v>
      </c>
      <c r="B118" s="23"/>
      <c r="C118" s="11" t="n">
        <f aca="false">Units!$E117*(1+Inputs!$B$7)^(C$2-1)</f>
        <v>1850</v>
      </c>
      <c r="D118" s="11" t="n">
        <f aca="false">Units!$E117*(1+Inputs!$B$7)^(D$2-1)</f>
        <v>1850</v>
      </c>
      <c r="E118" s="11" t="n">
        <f aca="false">Units!$E117*(1+Inputs!$B$7)^(E$2-1)</f>
        <v>1850</v>
      </c>
      <c r="F118" s="11" t="n">
        <f aca="false">Units!$E117*(1+Inputs!$B$7)^(F$2-1)</f>
        <v>1850</v>
      </c>
      <c r="G118" s="11" t="n">
        <f aca="false">Units!$E117*(1+Inputs!$B$7)^(G$2-1)</f>
        <v>1850</v>
      </c>
      <c r="H118" s="11" t="n">
        <f aca="false">Units!$E117*(1+Inputs!$B$7)^(H$2-1)</f>
        <v>1850</v>
      </c>
      <c r="I118" s="11" t="n">
        <f aca="false">Units!$E117*(1+Inputs!$B$7)^(I$2-1)</f>
        <v>1850</v>
      </c>
      <c r="J118" s="11" t="n">
        <f aca="false">Units!$E117*(1+Inputs!$B$7)^(J$2-1)</f>
        <v>1850</v>
      </c>
      <c r="K118" s="11" t="n">
        <f aca="false">Units!$E117*(1+Inputs!$B$7)^(K$2-1)</f>
        <v>1850</v>
      </c>
      <c r="L118" s="11" t="n">
        <f aca="false">Units!$E117*(1+Inputs!$B$7)^(L$2-1)</f>
        <v>1850</v>
      </c>
      <c r="M118" s="11" t="n">
        <f aca="false">Units!$E117*(1+Inputs!$B$7)^(M$2-1)</f>
        <v>1850</v>
      </c>
      <c r="N118" s="11" t="n">
        <f aca="false">Units!$E117*(1+Inputs!$B$7)^(N$2-1)</f>
        <v>1850</v>
      </c>
      <c r="O118" s="11" t="n">
        <f aca="false">Units!$E117*(1+Inputs!$B$7)^(O$2-1)</f>
        <v>1905.5</v>
      </c>
      <c r="P118" s="11" t="n">
        <f aca="false">Units!$E117*(1+Inputs!$B$7)^(P$2-1)</f>
        <v>1905.5</v>
      </c>
      <c r="Q118" s="11" t="n">
        <f aca="false">Units!$E117*(1+Inputs!$B$7)^(Q$2-1)</f>
        <v>1905.5</v>
      </c>
      <c r="R118" s="11" t="n">
        <f aca="false">Units!$E117*(1+Inputs!$B$7)^(R$2-1)</f>
        <v>1905.5</v>
      </c>
      <c r="S118" s="11" t="n">
        <f aca="false">Units!$E117*(1+Inputs!$B$7)^(S$2-1)</f>
        <v>1905.5</v>
      </c>
      <c r="T118" s="11" t="n">
        <f aca="false">Units!$E117*(1+Inputs!$B$7)^(T$2-1)</f>
        <v>1905.5</v>
      </c>
      <c r="U118" s="11" t="n">
        <f aca="false">Units!$E117*(1+Inputs!$B$7)^(U$2-1)</f>
        <v>1905.5</v>
      </c>
      <c r="V118" s="11" t="n">
        <f aca="false">Units!$E117*(1+Inputs!$B$7)^(V$2-1)</f>
        <v>1905.5</v>
      </c>
      <c r="W118" s="11" t="n">
        <f aca="false">Units!$E117*(1+Inputs!$B$7)^(W$2-1)</f>
        <v>1905.5</v>
      </c>
      <c r="X118" s="11" t="n">
        <f aca="false">Units!$E117*(1+Inputs!$B$7)^(X$2-1)</f>
        <v>1905.5</v>
      </c>
      <c r="Y118" s="11" t="n">
        <f aca="false">Units!$E117*(1+Inputs!$B$7)^(Y$2-1)</f>
        <v>1905.5</v>
      </c>
      <c r="Z118" s="11" t="n">
        <f aca="false">Units!$E117*(1+Inputs!$B$7)^(Z$2-1)</f>
        <v>1905.5</v>
      </c>
      <c r="AA118" s="11" t="n">
        <f aca="false">Units!$E117*(1+Inputs!$B$7)^(AA$2-1)</f>
        <v>1962.665</v>
      </c>
      <c r="AB118" s="11" t="n">
        <f aca="false">Units!$E117*(1+Inputs!$B$7)^(AB$2-1)</f>
        <v>1962.665</v>
      </c>
      <c r="AC118" s="11" t="n">
        <f aca="false">Units!$E117*(1+Inputs!$B$7)^(AC$2-1)</f>
        <v>1962.665</v>
      </c>
      <c r="AD118" s="11" t="n">
        <f aca="false">Units!$E117*(1+Inputs!$B$7)^(AD$2-1)</f>
        <v>1962.665</v>
      </c>
      <c r="AE118" s="11" t="n">
        <f aca="false">Units!$E117*(1+Inputs!$B$7)^(AE$2-1)</f>
        <v>1962.665</v>
      </c>
      <c r="AF118" s="11" t="n">
        <f aca="false">Units!$E117*(1+Inputs!$B$7)^(AF$2-1)</f>
        <v>1962.665</v>
      </c>
      <c r="AG118" s="11" t="n">
        <f aca="false">Units!$E117*(1+Inputs!$B$7)^(AG$2-1)</f>
        <v>1962.665</v>
      </c>
      <c r="AH118" s="11" t="n">
        <f aca="false">Units!$E117*(1+Inputs!$B$7)^(AH$2-1)</f>
        <v>1962.665</v>
      </c>
      <c r="AI118" s="11" t="n">
        <f aca="false">Units!$E117*(1+Inputs!$B$7)^(AI$2-1)</f>
        <v>1962.665</v>
      </c>
      <c r="AJ118" s="11" t="n">
        <f aca="false">Units!$E117*(1+Inputs!$B$7)^(AJ$2-1)</f>
        <v>1962.665</v>
      </c>
      <c r="AK118" s="11" t="n">
        <f aca="false">Units!$E117*(1+Inputs!$B$7)^(AK$2-1)</f>
        <v>1962.665</v>
      </c>
      <c r="AL118" s="11" t="n">
        <f aca="false">Units!$E117*(1+Inputs!$B$7)^(AL$2-1)</f>
        <v>1962.665</v>
      </c>
      <c r="AM118" s="11" t="n">
        <f aca="false">Units!$E117*(1+Inputs!$B$7)^(AM$2-1)</f>
        <v>2021.54495</v>
      </c>
      <c r="AN118" s="11" t="n">
        <f aca="false">Units!$E117*(1+Inputs!$B$7)^(AN$2-1)</f>
        <v>2021.54495</v>
      </c>
      <c r="AO118" s="11" t="n">
        <f aca="false">Units!$E117*(1+Inputs!$B$7)^(AO$2-1)</f>
        <v>2021.54495</v>
      </c>
      <c r="AP118" s="11" t="n">
        <f aca="false">Units!$E117*(1+Inputs!$B$7)^(AP$2-1)</f>
        <v>2021.54495</v>
      </c>
      <c r="AQ118" s="11" t="n">
        <f aca="false">Units!$E117*(1+Inputs!$B$7)^(AQ$2-1)</f>
        <v>2021.54495</v>
      </c>
      <c r="AR118" s="11" t="n">
        <f aca="false">Units!$E117*(1+Inputs!$B$7)^(AR$2-1)</f>
        <v>2021.54495</v>
      </c>
      <c r="AS118" s="11" t="n">
        <f aca="false">Units!$E117*(1+Inputs!$B$7)^(AS$2-1)</f>
        <v>2021.54495</v>
      </c>
      <c r="AT118" s="11" t="n">
        <f aca="false">Units!$E117*(1+Inputs!$B$7)^(AT$2-1)</f>
        <v>2021.54495</v>
      </c>
      <c r="AU118" s="11" t="n">
        <f aca="false">Units!$E117*(1+Inputs!$B$7)^(AU$2-1)</f>
        <v>2021.54495</v>
      </c>
      <c r="AV118" s="11" t="n">
        <f aca="false">Units!$E117*(1+Inputs!$B$7)^(AV$2-1)</f>
        <v>2021.54495</v>
      </c>
      <c r="AW118" s="11" t="n">
        <f aca="false">Units!$E117*(1+Inputs!$B$7)^(AW$2-1)</f>
        <v>2021.54495</v>
      </c>
      <c r="AX118" s="11" t="n">
        <f aca="false">Units!$E117*(1+Inputs!$B$7)^(AX$2-1)</f>
        <v>2021.54495</v>
      </c>
      <c r="AY118" s="11" t="n">
        <f aca="false">Units!$E117*(1+Inputs!$B$7)^(AY$2-1)</f>
        <v>2082.1912985</v>
      </c>
      <c r="AZ118" s="11" t="n">
        <f aca="false">Units!$E117*(1+Inputs!$B$7)^(AZ$2-1)</f>
        <v>2082.1912985</v>
      </c>
      <c r="BA118" s="11" t="n">
        <f aca="false">Units!$E117*(1+Inputs!$B$7)^(BA$2-1)</f>
        <v>2082.1912985</v>
      </c>
      <c r="BB118" s="11" t="n">
        <f aca="false">Units!$E117*(1+Inputs!$B$7)^(BB$2-1)</f>
        <v>2082.1912985</v>
      </c>
      <c r="BC118" s="11" t="n">
        <f aca="false">Units!$E117*(1+Inputs!$B$7)^(BC$2-1)</f>
        <v>2082.1912985</v>
      </c>
      <c r="BD118" s="11" t="n">
        <f aca="false">Units!$E117*(1+Inputs!$B$7)^(BD$2-1)</f>
        <v>2082.1912985</v>
      </c>
      <c r="BE118" s="11" t="n">
        <f aca="false">Units!$E117*(1+Inputs!$B$7)^(BE$2-1)</f>
        <v>2082.1912985</v>
      </c>
      <c r="BF118" s="11" t="n">
        <f aca="false">Units!$E117*(1+Inputs!$B$7)^(BF$2-1)</f>
        <v>2082.1912985</v>
      </c>
      <c r="BG118" s="11" t="n">
        <f aca="false">Units!$E117*(1+Inputs!$B$7)^(BG$2-1)</f>
        <v>2082.1912985</v>
      </c>
      <c r="BH118" s="11" t="n">
        <f aca="false">Units!$E117*(1+Inputs!$B$7)^(BH$2-1)</f>
        <v>2082.1912985</v>
      </c>
      <c r="BI118" s="11" t="n">
        <f aca="false">Units!$E117*(1+Inputs!$B$7)^(BI$2-1)</f>
        <v>2082.1912985</v>
      </c>
      <c r="BJ118" s="11" t="n">
        <f aca="false">Units!$E117*(1+Inputs!$B$7)^(BJ$2-1)</f>
        <v>2082.1912985</v>
      </c>
      <c r="BK118" s="11" t="n">
        <f aca="false">Units!$E117*(1+Inputs!$B$7)^(BK$2-1)</f>
        <v>2144.657037455</v>
      </c>
      <c r="BL118" s="11" t="n">
        <f aca="false">Units!$E117*(1+Inputs!$B$7)^(BL$2-1)</f>
        <v>2144.657037455</v>
      </c>
      <c r="BM118" s="11" t="n">
        <f aca="false">Units!$E117*(1+Inputs!$B$7)^(BM$2-1)</f>
        <v>2144.657037455</v>
      </c>
      <c r="BN118" s="11" t="n">
        <f aca="false">Units!$E117*(1+Inputs!$B$7)^(BN$2-1)</f>
        <v>2144.657037455</v>
      </c>
      <c r="BO118" s="11" t="n">
        <f aca="false">Units!$E117*(1+Inputs!$B$7)^(BO$2-1)</f>
        <v>2144.657037455</v>
      </c>
      <c r="BP118" s="11" t="n">
        <f aca="false">Units!$E117*(1+Inputs!$B$7)^(BP$2-1)</f>
        <v>2144.657037455</v>
      </c>
      <c r="BQ118" s="11" t="n">
        <f aca="false">Units!$E117*(1+Inputs!$B$7)^(BQ$2-1)</f>
        <v>2144.657037455</v>
      </c>
      <c r="BR118" s="11" t="n">
        <f aca="false">Units!$E117*(1+Inputs!$B$7)^(BR$2-1)</f>
        <v>2144.657037455</v>
      </c>
      <c r="BS118" s="11" t="n">
        <f aca="false">Units!$E117*(1+Inputs!$B$7)^(BS$2-1)</f>
        <v>2144.657037455</v>
      </c>
      <c r="BT118" s="11" t="n">
        <f aca="false">Units!$E117*(1+Inputs!$B$7)^(BT$2-1)</f>
        <v>2144.657037455</v>
      </c>
      <c r="BU118" s="11" t="n">
        <f aca="false">Units!$E117*(1+Inputs!$B$7)^(BU$2-1)</f>
        <v>2144.657037455</v>
      </c>
      <c r="BV118" s="11" t="n">
        <f aca="false">Units!$E117*(1+Inputs!$B$7)^(BV$2-1)</f>
        <v>2144.657037455</v>
      </c>
      <c r="BW118" s="11" t="n">
        <f aca="false">Units!$E117*(1+Inputs!$B$7)^(BW$2-1)</f>
        <v>2208.99674857865</v>
      </c>
      <c r="BX118" s="11" t="n">
        <f aca="false">Units!$E117*(1+Inputs!$B$7)^(BX$2-1)</f>
        <v>2208.99674857865</v>
      </c>
      <c r="BY118" s="11" t="n">
        <f aca="false">Units!$E117*(1+Inputs!$B$7)^(BY$2-1)</f>
        <v>2208.99674857865</v>
      </c>
      <c r="BZ118" s="11" t="n">
        <f aca="false">Units!$E117*(1+Inputs!$B$7)^(BZ$2-1)</f>
        <v>2208.99674857865</v>
      </c>
      <c r="CA118" s="11" t="n">
        <f aca="false">Units!$E117*(1+Inputs!$B$7)^(CA$2-1)</f>
        <v>2208.99674857865</v>
      </c>
      <c r="CB118" s="11" t="n">
        <f aca="false">Units!$E117*(1+Inputs!$B$7)^(CB$2-1)</f>
        <v>2208.99674857865</v>
      </c>
      <c r="CC118" s="11" t="n">
        <f aca="false">Units!$E117*(1+Inputs!$B$7)^(CC$2-1)</f>
        <v>2208.99674857865</v>
      </c>
      <c r="CD118" s="11" t="n">
        <f aca="false">Units!$E117*(1+Inputs!$B$7)^(CD$2-1)</f>
        <v>2208.99674857865</v>
      </c>
      <c r="CE118" s="11" t="n">
        <f aca="false">Units!$E117*(1+Inputs!$B$7)^(CE$2-1)</f>
        <v>2208.99674857865</v>
      </c>
      <c r="CF118" s="11" t="n">
        <f aca="false">Units!$E117*(1+Inputs!$B$7)^(CF$2-1)</f>
        <v>2208.99674857865</v>
      </c>
      <c r="CG118" s="11" t="n">
        <f aca="false">Units!$E117*(1+Inputs!$B$7)^(CG$2-1)</f>
        <v>2208.99674857865</v>
      </c>
      <c r="CH118" s="11" t="n">
        <f aca="false">Units!$E117*(1+Inputs!$B$7)^(CH$2-1)</f>
        <v>2208.99674857865</v>
      </c>
      <c r="CI118" s="11" t="n">
        <f aca="false">Units!$E117*(1+Inputs!$B$7)^(CI$2-1)</f>
        <v>2275.26665103601</v>
      </c>
      <c r="CJ118" s="11" t="n">
        <f aca="false">Units!$E117*(1+Inputs!$B$7)^(CJ$2-1)</f>
        <v>2275.26665103601</v>
      </c>
      <c r="CK118" s="11" t="n">
        <f aca="false">Units!$E117*(1+Inputs!$B$7)^(CK$2-1)</f>
        <v>2275.26665103601</v>
      </c>
      <c r="CL118" s="11" t="n">
        <f aca="false">Units!$E117*(1+Inputs!$B$7)^(CL$2-1)</f>
        <v>2275.26665103601</v>
      </c>
      <c r="CM118" s="11" t="n">
        <f aca="false">Units!$E117*(1+Inputs!$B$7)^(CM$2-1)</f>
        <v>2275.26665103601</v>
      </c>
      <c r="CN118" s="11" t="n">
        <f aca="false">Units!$E117*(1+Inputs!$B$7)^(CN$2-1)</f>
        <v>2275.26665103601</v>
      </c>
      <c r="CO118" s="11" t="n">
        <f aca="false">Units!$E117*(1+Inputs!$B$7)^(CO$2-1)</f>
        <v>2275.26665103601</v>
      </c>
      <c r="CP118" s="11" t="n">
        <f aca="false">Units!$E117*(1+Inputs!$B$7)^(CP$2-1)</f>
        <v>2275.26665103601</v>
      </c>
      <c r="CQ118" s="11" t="n">
        <f aca="false">Units!$E117*(1+Inputs!$B$7)^(CQ$2-1)</f>
        <v>2275.26665103601</v>
      </c>
      <c r="CR118" s="11" t="n">
        <f aca="false">Units!$E117*(1+Inputs!$B$7)^(CR$2-1)</f>
        <v>2275.26665103601</v>
      </c>
      <c r="CS118" s="11" t="n">
        <f aca="false">Units!$E117*(1+Inputs!$B$7)^(CS$2-1)</f>
        <v>2275.26665103601</v>
      </c>
      <c r="CT118" s="11" t="n">
        <f aca="false">Units!$E117*(1+Inputs!$B$7)^(CT$2-1)</f>
        <v>2275.26665103601</v>
      </c>
      <c r="CU118" s="11" t="n">
        <f aca="false">Units!$E117*(1+Inputs!$B$7)^(CU$2-1)</f>
        <v>2343.52465056709</v>
      </c>
      <c r="CV118" s="11" t="n">
        <f aca="false">Units!$E117*(1+Inputs!$B$7)^(CV$2-1)</f>
        <v>2343.52465056709</v>
      </c>
      <c r="CW118" s="11" t="n">
        <f aca="false">Units!$E117*(1+Inputs!$B$7)^(CW$2-1)</f>
        <v>2343.52465056709</v>
      </c>
      <c r="CX118" s="11" t="n">
        <f aca="false">Units!$E117*(1+Inputs!$B$7)^(CX$2-1)</f>
        <v>2343.52465056709</v>
      </c>
      <c r="CY118" s="11" t="n">
        <f aca="false">Units!$E117*(1+Inputs!$B$7)^(CY$2-1)</f>
        <v>2343.52465056709</v>
      </c>
      <c r="CZ118" s="11" t="n">
        <f aca="false">Units!$E117*(1+Inputs!$B$7)^(CZ$2-1)</f>
        <v>2343.52465056709</v>
      </c>
      <c r="DA118" s="11" t="n">
        <f aca="false">Units!$E117*(1+Inputs!$B$7)^(DA$2-1)</f>
        <v>2343.52465056709</v>
      </c>
      <c r="DB118" s="11" t="n">
        <f aca="false">Units!$E117*(1+Inputs!$B$7)^(DB$2-1)</f>
        <v>2343.52465056709</v>
      </c>
      <c r="DC118" s="11" t="n">
        <f aca="false">Units!$E117*(1+Inputs!$B$7)^(DC$2-1)</f>
        <v>2343.52465056709</v>
      </c>
      <c r="DD118" s="11" t="n">
        <f aca="false">Units!$E117*(1+Inputs!$B$7)^(DD$2-1)</f>
        <v>2343.52465056709</v>
      </c>
      <c r="DE118" s="11" t="n">
        <f aca="false">Units!$E117*(1+Inputs!$B$7)^(DE$2-1)</f>
        <v>2343.52465056709</v>
      </c>
      <c r="DF118" s="11" t="n">
        <f aca="false">Units!$E117*(1+Inputs!$B$7)^(DF$2-1)</f>
        <v>2343.52465056709</v>
      </c>
      <c r="DG118" s="11" t="n">
        <f aca="false">Units!$E117*(1+Inputs!$B$7)^(DG$2-1)</f>
        <v>2413.8303900841</v>
      </c>
      <c r="DH118" s="11" t="n">
        <f aca="false">Units!$E117*(1+Inputs!$B$7)^(DH$2-1)</f>
        <v>2413.8303900841</v>
      </c>
      <c r="DI118" s="11" t="n">
        <f aca="false">Units!$E117*(1+Inputs!$B$7)^(DI$2-1)</f>
        <v>2413.8303900841</v>
      </c>
      <c r="DJ118" s="11" t="n">
        <f aca="false">Units!$E117*(1+Inputs!$B$7)^(DJ$2-1)</f>
        <v>2413.8303900841</v>
      </c>
      <c r="DK118" s="11" t="n">
        <f aca="false">Units!$E117*(1+Inputs!$B$7)^(DK$2-1)</f>
        <v>2413.8303900841</v>
      </c>
      <c r="DL118" s="11" t="n">
        <f aca="false">Units!$E117*(1+Inputs!$B$7)^(DL$2-1)</f>
        <v>2413.8303900841</v>
      </c>
      <c r="DM118" s="11" t="n">
        <f aca="false">Units!$E117*(1+Inputs!$B$7)^(DM$2-1)</f>
        <v>2413.8303900841</v>
      </c>
      <c r="DN118" s="11" t="n">
        <f aca="false">Units!$E117*(1+Inputs!$B$7)^(DN$2-1)</f>
        <v>2413.8303900841</v>
      </c>
      <c r="DO118" s="11" t="n">
        <f aca="false">Units!$E117*(1+Inputs!$B$7)^(DO$2-1)</f>
        <v>2413.8303900841</v>
      </c>
      <c r="DP118" s="11" t="n">
        <f aca="false">Units!$E117*(1+Inputs!$B$7)^(DP$2-1)</f>
        <v>2413.8303900841</v>
      </c>
      <c r="DQ118" s="11" t="n">
        <f aca="false">Units!$E117*(1+Inputs!$B$7)^(DQ$2-1)</f>
        <v>2413.8303900841</v>
      </c>
      <c r="DR118" s="11" t="n">
        <f aca="false">Units!$E117*(1+Inputs!$B$7)^(DR$2-1)</f>
        <v>2413.8303900841</v>
      </c>
      <c r="DS118" s="11" t="n">
        <f aca="false">Units!$E117*(1+Inputs!$B$7)^(DS$2-1)</f>
        <v>2486.24530178663</v>
      </c>
      <c r="DT118" s="11" t="n">
        <f aca="false">Units!$E117*(1+Inputs!$B$7)^(DT$2-1)</f>
        <v>2486.24530178663</v>
      </c>
      <c r="DU118" s="11" t="n">
        <f aca="false">Units!$E117*(1+Inputs!$B$7)^(DU$2-1)</f>
        <v>2486.24530178663</v>
      </c>
      <c r="DV118" s="11" t="n">
        <f aca="false">Units!$E117*(1+Inputs!$B$7)^(DV$2-1)</f>
        <v>2486.24530178663</v>
      </c>
      <c r="DW118" s="11" t="n">
        <f aca="false">Units!$E117*(1+Inputs!$B$7)^(DW$2-1)</f>
        <v>2486.24530178663</v>
      </c>
      <c r="DX118" s="11" t="n">
        <f aca="false">Units!$E117*(1+Inputs!$B$7)^(DX$2-1)</f>
        <v>2486.24530178663</v>
      </c>
      <c r="DY118" s="11" t="n">
        <f aca="false">Units!$E117*(1+Inputs!$B$7)^(DY$2-1)</f>
        <v>2486.24530178663</v>
      </c>
      <c r="DZ118" s="11" t="n">
        <f aca="false">Units!$E117*(1+Inputs!$B$7)^(DZ$2-1)</f>
        <v>2486.24530178663</v>
      </c>
      <c r="EA118" s="11" t="n">
        <f aca="false">Units!$E117*(1+Inputs!$B$7)^(EA$2-1)</f>
        <v>2486.24530178663</v>
      </c>
      <c r="EB118" s="11" t="n">
        <f aca="false">Units!$E117*(1+Inputs!$B$7)^(EB$2-1)</f>
        <v>2486.24530178663</v>
      </c>
      <c r="EC118" s="11" t="n">
        <f aca="false">Units!$E117*(1+Inputs!$B$7)^(EC$2-1)</f>
        <v>2486.24530178663</v>
      </c>
      <c r="ED118" s="11" t="n">
        <f aca="false">Units!$E117*(1+Inputs!$B$7)^(ED$2-1)</f>
        <v>2486.24530178663</v>
      </c>
    </row>
    <row r="119" customFormat="false" ht="15" hidden="false" customHeight="false" outlineLevel="0" collapsed="false">
      <c r="A119" s="22" t="n">
        <f aca="false">Units!A118</f>
        <v>427</v>
      </c>
      <c r="B119" s="23"/>
      <c r="C119" s="11" t="n">
        <f aca="false">Units!$E118*(1+Inputs!$B$7)^(C$2-1)</f>
        <v>1850</v>
      </c>
      <c r="D119" s="11" t="n">
        <f aca="false">Units!$E118*(1+Inputs!$B$7)^(D$2-1)</f>
        <v>1850</v>
      </c>
      <c r="E119" s="11" t="n">
        <f aca="false">Units!$E118*(1+Inputs!$B$7)^(E$2-1)</f>
        <v>1850</v>
      </c>
      <c r="F119" s="11" t="n">
        <f aca="false">Units!$E118*(1+Inputs!$B$7)^(F$2-1)</f>
        <v>1850</v>
      </c>
      <c r="G119" s="11" t="n">
        <f aca="false">Units!$E118*(1+Inputs!$B$7)^(G$2-1)</f>
        <v>1850</v>
      </c>
      <c r="H119" s="11" t="n">
        <f aca="false">Units!$E118*(1+Inputs!$B$7)^(H$2-1)</f>
        <v>1850</v>
      </c>
      <c r="I119" s="11" t="n">
        <f aca="false">Units!$E118*(1+Inputs!$B$7)^(I$2-1)</f>
        <v>1850</v>
      </c>
      <c r="J119" s="11" t="n">
        <f aca="false">Units!$E118*(1+Inputs!$B$7)^(J$2-1)</f>
        <v>1850</v>
      </c>
      <c r="K119" s="11" t="n">
        <f aca="false">Units!$E118*(1+Inputs!$B$7)^(K$2-1)</f>
        <v>1850</v>
      </c>
      <c r="L119" s="11" t="n">
        <f aca="false">Units!$E118*(1+Inputs!$B$7)^(L$2-1)</f>
        <v>1850</v>
      </c>
      <c r="M119" s="11" t="n">
        <f aca="false">Units!$E118*(1+Inputs!$B$7)^(M$2-1)</f>
        <v>1850</v>
      </c>
      <c r="N119" s="11" t="n">
        <f aca="false">Units!$E118*(1+Inputs!$B$7)^(N$2-1)</f>
        <v>1850</v>
      </c>
      <c r="O119" s="11" t="n">
        <f aca="false">Units!$E118*(1+Inputs!$B$7)^(O$2-1)</f>
        <v>1905.5</v>
      </c>
      <c r="P119" s="11" t="n">
        <f aca="false">Units!$E118*(1+Inputs!$B$7)^(P$2-1)</f>
        <v>1905.5</v>
      </c>
      <c r="Q119" s="11" t="n">
        <f aca="false">Units!$E118*(1+Inputs!$B$7)^(Q$2-1)</f>
        <v>1905.5</v>
      </c>
      <c r="R119" s="11" t="n">
        <f aca="false">Units!$E118*(1+Inputs!$B$7)^(R$2-1)</f>
        <v>1905.5</v>
      </c>
      <c r="S119" s="11" t="n">
        <f aca="false">Units!$E118*(1+Inputs!$B$7)^(S$2-1)</f>
        <v>1905.5</v>
      </c>
      <c r="T119" s="11" t="n">
        <f aca="false">Units!$E118*(1+Inputs!$B$7)^(T$2-1)</f>
        <v>1905.5</v>
      </c>
      <c r="U119" s="11" t="n">
        <f aca="false">Units!$E118*(1+Inputs!$B$7)^(U$2-1)</f>
        <v>1905.5</v>
      </c>
      <c r="V119" s="11" t="n">
        <f aca="false">Units!$E118*(1+Inputs!$B$7)^(V$2-1)</f>
        <v>1905.5</v>
      </c>
      <c r="W119" s="11" t="n">
        <f aca="false">Units!$E118*(1+Inputs!$B$7)^(W$2-1)</f>
        <v>1905.5</v>
      </c>
      <c r="X119" s="11" t="n">
        <f aca="false">Units!$E118*(1+Inputs!$B$7)^(X$2-1)</f>
        <v>1905.5</v>
      </c>
      <c r="Y119" s="11" t="n">
        <f aca="false">Units!$E118*(1+Inputs!$B$7)^(Y$2-1)</f>
        <v>1905.5</v>
      </c>
      <c r="Z119" s="11" t="n">
        <f aca="false">Units!$E118*(1+Inputs!$B$7)^(Z$2-1)</f>
        <v>1905.5</v>
      </c>
      <c r="AA119" s="11" t="n">
        <f aca="false">Units!$E118*(1+Inputs!$B$7)^(AA$2-1)</f>
        <v>1962.665</v>
      </c>
      <c r="AB119" s="11" t="n">
        <f aca="false">Units!$E118*(1+Inputs!$B$7)^(AB$2-1)</f>
        <v>1962.665</v>
      </c>
      <c r="AC119" s="11" t="n">
        <f aca="false">Units!$E118*(1+Inputs!$B$7)^(AC$2-1)</f>
        <v>1962.665</v>
      </c>
      <c r="AD119" s="11" t="n">
        <f aca="false">Units!$E118*(1+Inputs!$B$7)^(AD$2-1)</f>
        <v>1962.665</v>
      </c>
      <c r="AE119" s="11" t="n">
        <f aca="false">Units!$E118*(1+Inputs!$B$7)^(AE$2-1)</f>
        <v>1962.665</v>
      </c>
      <c r="AF119" s="11" t="n">
        <f aca="false">Units!$E118*(1+Inputs!$B$7)^(AF$2-1)</f>
        <v>1962.665</v>
      </c>
      <c r="AG119" s="11" t="n">
        <f aca="false">Units!$E118*(1+Inputs!$B$7)^(AG$2-1)</f>
        <v>1962.665</v>
      </c>
      <c r="AH119" s="11" t="n">
        <f aca="false">Units!$E118*(1+Inputs!$B$7)^(AH$2-1)</f>
        <v>1962.665</v>
      </c>
      <c r="AI119" s="11" t="n">
        <f aca="false">Units!$E118*(1+Inputs!$B$7)^(AI$2-1)</f>
        <v>1962.665</v>
      </c>
      <c r="AJ119" s="11" t="n">
        <f aca="false">Units!$E118*(1+Inputs!$B$7)^(AJ$2-1)</f>
        <v>1962.665</v>
      </c>
      <c r="AK119" s="11" t="n">
        <f aca="false">Units!$E118*(1+Inputs!$B$7)^(AK$2-1)</f>
        <v>1962.665</v>
      </c>
      <c r="AL119" s="11" t="n">
        <f aca="false">Units!$E118*(1+Inputs!$B$7)^(AL$2-1)</f>
        <v>1962.665</v>
      </c>
      <c r="AM119" s="11" t="n">
        <f aca="false">Units!$E118*(1+Inputs!$B$7)^(AM$2-1)</f>
        <v>2021.54495</v>
      </c>
      <c r="AN119" s="11" t="n">
        <f aca="false">Units!$E118*(1+Inputs!$B$7)^(AN$2-1)</f>
        <v>2021.54495</v>
      </c>
      <c r="AO119" s="11" t="n">
        <f aca="false">Units!$E118*(1+Inputs!$B$7)^(AO$2-1)</f>
        <v>2021.54495</v>
      </c>
      <c r="AP119" s="11" t="n">
        <f aca="false">Units!$E118*(1+Inputs!$B$7)^(AP$2-1)</f>
        <v>2021.54495</v>
      </c>
      <c r="AQ119" s="11" t="n">
        <f aca="false">Units!$E118*(1+Inputs!$B$7)^(AQ$2-1)</f>
        <v>2021.54495</v>
      </c>
      <c r="AR119" s="11" t="n">
        <f aca="false">Units!$E118*(1+Inputs!$B$7)^(AR$2-1)</f>
        <v>2021.54495</v>
      </c>
      <c r="AS119" s="11" t="n">
        <f aca="false">Units!$E118*(1+Inputs!$B$7)^(AS$2-1)</f>
        <v>2021.54495</v>
      </c>
      <c r="AT119" s="11" t="n">
        <f aca="false">Units!$E118*(1+Inputs!$B$7)^(AT$2-1)</f>
        <v>2021.54495</v>
      </c>
      <c r="AU119" s="11" t="n">
        <f aca="false">Units!$E118*(1+Inputs!$B$7)^(AU$2-1)</f>
        <v>2021.54495</v>
      </c>
      <c r="AV119" s="11" t="n">
        <f aca="false">Units!$E118*(1+Inputs!$B$7)^(AV$2-1)</f>
        <v>2021.54495</v>
      </c>
      <c r="AW119" s="11" t="n">
        <f aca="false">Units!$E118*(1+Inputs!$B$7)^(AW$2-1)</f>
        <v>2021.54495</v>
      </c>
      <c r="AX119" s="11" t="n">
        <f aca="false">Units!$E118*(1+Inputs!$B$7)^(AX$2-1)</f>
        <v>2021.54495</v>
      </c>
      <c r="AY119" s="11" t="n">
        <f aca="false">Units!$E118*(1+Inputs!$B$7)^(AY$2-1)</f>
        <v>2082.1912985</v>
      </c>
      <c r="AZ119" s="11" t="n">
        <f aca="false">Units!$E118*(1+Inputs!$B$7)^(AZ$2-1)</f>
        <v>2082.1912985</v>
      </c>
      <c r="BA119" s="11" t="n">
        <f aca="false">Units!$E118*(1+Inputs!$B$7)^(BA$2-1)</f>
        <v>2082.1912985</v>
      </c>
      <c r="BB119" s="11" t="n">
        <f aca="false">Units!$E118*(1+Inputs!$B$7)^(BB$2-1)</f>
        <v>2082.1912985</v>
      </c>
      <c r="BC119" s="11" t="n">
        <f aca="false">Units!$E118*(1+Inputs!$B$7)^(BC$2-1)</f>
        <v>2082.1912985</v>
      </c>
      <c r="BD119" s="11" t="n">
        <f aca="false">Units!$E118*(1+Inputs!$B$7)^(BD$2-1)</f>
        <v>2082.1912985</v>
      </c>
      <c r="BE119" s="11" t="n">
        <f aca="false">Units!$E118*(1+Inputs!$B$7)^(BE$2-1)</f>
        <v>2082.1912985</v>
      </c>
      <c r="BF119" s="11" t="n">
        <f aca="false">Units!$E118*(1+Inputs!$B$7)^(BF$2-1)</f>
        <v>2082.1912985</v>
      </c>
      <c r="BG119" s="11" t="n">
        <f aca="false">Units!$E118*(1+Inputs!$B$7)^(BG$2-1)</f>
        <v>2082.1912985</v>
      </c>
      <c r="BH119" s="11" t="n">
        <f aca="false">Units!$E118*(1+Inputs!$B$7)^(BH$2-1)</f>
        <v>2082.1912985</v>
      </c>
      <c r="BI119" s="11" t="n">
        <f aca="false">Units!$E118*(1+Inputs!$B$7)^(BI$2-1)</f>
        <v>2082.1912985</v>
      </c>
      <c r="BJ119" s="11" t="n">
        <f aca="false">Units!$E118*(1+Inputs!$B$7)^(BJ$2-1)</f>
        <v>2082.1912985</v>
      </c>
      <c r="BK119" s="11" t="n">
        <f aca="false">Units!$E118*(1+Inputs!$B$7)^(BK$2-1)</f>
        <v>2144.657037455</v>
      </c>
      <c r="BL119" s="11" t="n">
        <f aca="false">Units!$E118*(1+Inputs!$B$7)^(BL$2-1)</f>
        <v>2144.657037455</v>
      </c>
      <c r="BM119" s="11" t="n">
        <f aca="false">Units!$E118*(1+Inputs!$B$7)^(BM$2-1)</f>
        <v>2144.657037455</v>
      </c>
      <c r="BN119" s="11" t="n">
        <f aca="false">Units!$E118*(1+Inputs!$B$7)^(BN$2-1)</f>
        <v>2144.657037455</v>
      </c>
      <c r="BO119" s="11" t="n">
        <f aca="false">Units!$E118*(1+Inputs!$B$7)^(BO$2-1)</f>
        <v>2144.657037455</v>
      </c>
      <c r="BP119" s="11" t="n">
        <f aca="false">Units!$E118*(1+Inputs!$B$7)^(BP$2-1)</f>
        <v>2144.657037455</v>
      </c>
      <c r="BQ119" s="11" t="n">
        <f aca="false">Units!$E118*(1+Inputs!$B$7)^(BQ$2-1)</f>
        <v>2144.657037455</v>
      </c>
      <c r="BR119" s="11" t="n">
        <f aca="false">Units!$E118*(1+Inputs!$B$7)^(BR$2-1)</f>
        <v>2144.657037455</v>
      </c>
      <c r="BS119" s="11" t="n">
        <f aca="false">Units!$E118*(1+Inputs!$B$7)^(BS$2-1)</f>
        <v>2144.657037455</v>
      </c>
      <c r="BT119" s="11" t="n">
        <f aca="false">Units!$E118*(1+Inputs!$B$7)^(BT$2-1)</f>
        <v>2144.657037455</v>
      </c>
      <c r="BU119" s="11" t="n">
        <f aca="false">Units!$E118*(1+Inputs!$B$7)^(BU$2-1)</f>
        <v>2144.657037455</v>
      </c>
      <c r="BV119" s="11" t="n">
        <f aca="false">Units!$E118*(1+Inputs!$B$7)^(BV$2-1)</f>
        <v>2144.657037455</v>
      </c>
      <c r="BW119" s="11" t="n">
        <f aca="false">Units!$E118*(1+Inputs!$B$7)^(BW$2-1)</f>
        <v>2208.99674857865</v>
      </c>
      <c r="BX119" s="11" t="n">
        <f aca="false">Units!$E118*(1+Inputs!$B$7)^(BX$2-1)</f>
        <v>2208.99674857865</v>
      </c>
      <c r="BY119" s="11" t="n">
        <f aca="false">Units!$E118*(1+Inputs!$B$7)^(BY$2-1)</f>
        <v>2208.99674857865</v>
      </c>
      <c r="BZ119" s="11" t="n">
        <f aca="false">Units!$E118*(1+Inputs!$B$7)^(BZ$2-1)</f>
        <v>2208.99674857865</v>
      </c>
      <c r="CA119" s="11" t="n">
        <f aca="false">Units!$E118*(1+Inputs!$B$7)^(CA$2-1)</f>
        <v>2208.99674857865</v>
      </c>
      <c r="CB119" s="11" t="n">
        <f aca="false">Units!$E118*(1+Inputs!$B$7)^(CB$2-1)</f>
        <v>2208.99674857865</v>
      </c>
      <c r="CC119" s="11" t="n">
        <f aca="false">Units!$E118*(1+Inputs!$B$7)^(CC$2-1)</f>
        <v>2208.99674857865</v>
      </c>
      <c r="CD119" s="11" t="n">
        <f aca="false">Units!$E118*(1+Inputs!$B$7)^(CD$2-1)</f>
        <v>2208.99674857865</v>
      </c>
      <c r="CE119" s="11" t="n">
        <f aca="false">Units!$E118*(1+Inputs!$B$7)^(CE$2-1)</f>
        <v>2208.99674857865</v>
      </c>
      <c r="CF119" s="11" t="n">
        <f aca="false">Units!$E118*(1+Inputs!$B$7)^(CF$2-1)</f>
        <v>2208.99674857865</v>
      </c>
      <c r="CG119" s="11" t="n">
        <f aca="false">Units!$E118*(1+Inputs!$B$7)^(CG$2-1)</f>
        <v>2208.99674857865</v>
      </c>
      <c r="CH119" s="11" t="n">
        <f aca="false">Units!$E118*(1+Inputs!$B$7)^(CH$2-1)</f>
        <v>2208.99674857865</v>
      </c>
      <c r="CI119" s="11" t="n">
        <f aca="false">Units!$E118*(1+Inputs!$B$7)^(CI$2-1)</f>
        <v>2275.26665103601</v>
      </c>
      <c r="CJ119" s="11" t="n">
        <f aca="false">Units!$E118*(1+Inputs!$B$7)^(CJ$2-1)</f>
        <v>2275.26665103601</v>
      </c>
      <c r="CK119" s="11" t="n">
        <f aca="false">Units!$E118*(1+Inputs!$B$7)^(CK$2-1)</f>
        <v>2275.26665103601</v>
      </c>
      <c r="CL119" s="11" t="n">
        <f aca="false">Units!$E118*(1+Inputs!$B$7)^(CL$2-1)</f>
        <v>2275.26665103601</v>
      </c>
      <c r="CM119" s="11" t="n">
        <f aca="false">Units!$E118*(1+Inputs!$B$7)^(CM$2-1)</f>
        <v>2275.26665103601</v>
      </c>
      <c r="CN119" s="11" t="n">
        <f aca="false">Units!$E118*(1+Inputs!$B$7)^(CN$2-1)</f>
        <v>2275.26665103601</v>
      </c>
      <c r="CO119" s="11" t="n">
        <f aca="false">Units!$E118*(1+Inputs!$B$7)^(CO$2-1)</f>
        <v>2275.26665103601</v>
      </c>
      <c r="CP119" s="11" t="n">
        <f aca="false">Units!$E118*(1+Inputs!$B$7)^(CP$2-1)</f>
        <v>2275.26665103601</v>
      </c>
      <c r="CQ119" s="11" t="n">
        <f aca="false">Units!$E118*(1+Inputs!$B$7)^(CQ$2-1)</f>
        <v>2275.26665103601</v>
      </c>
      <c r="CR119" s="11" t="n">
        <f aca="false">Units!$E118*(1+Inputs!$B$7)^(CR$2-1)</f>
        <v>2275.26665103601</v>
      </c>
      <c r="CS119" s="11" t="n">
        <f aca="false">Units!$E118*(1+Inputs!$B$7)^(CS$2-1)</f>
        <v>2275.26665103601</v>
      </c>
      <c r="CT119" s="11" t="n">
        <f aca="false">Units!$E118*(1+Inputs!$B$7)^(CT$2-1)</f>
        <v>2275.26665103601</v>
      </c>
      <c r="CU119" s="11" t="n">
        <f aca="false">Units!$E118*(1+Inputs!$B$7)^(CU$2-1)</f>
        <v>2343.52465056709</v>
      </c>
      <c r="CV119" s="11" t="n">
        <f aca="false">Units!$E118*(1+Inputs!$B$7)^(CV$2-1)</f>
        <v>2343.52465056709</v>
      </c>
      <c r="CW119" s="11" t="n">
        <f aca="false">Units!$E118*(1+Inputs!$B$7)^(CW$2-1)</f>
        <v>2343.52465056709</v>
      </c>
      <c r="CX119" s="11" t="n">
        <f aca="false">Units!$E118*(1+Inputs!$B$7)^(CX$2-1)</f>
        <v>2343.52465056709</v>
      </c>
      <c r="CY119" s="11" t="n">
        <f aca="false">Units!$E118*(1+Inputs!$B$7)^(CY$2-1)</f>
        <v>2343.52465056709</v>
      </c>
      <c r="CZ119" s="11" t="n">
        <f aca="false">Units!$E118*(1+Inputs!$B$7)^(CZ$2-1)</f>
        <v>2343.52465056709</v>
      </c>
      <c r="DA119" s="11" t="n">
        <f aca="false">Units!$E118*(1+Inputs!$B$7)^(DA$2-1)</f>
        <v>2343.52465056709</v>
      </c>
      <c r="DB119" s="11" t="n">
        <f aca="false">Units!$E118*(1+Inputs!$B$7)^(DB$2-1)</f>
        <v>2343.52465056709</v>
      </c>
      <c r="DC119" s="11" t="n">
        <f aca="false">Units!$E118*(1+Inputs!$B$7)^(DC$2-1)</f>
        <v>2343.52465056709</v>
      </c>
      <c r="DD119" s="11" t="n">
        <f aca="false">Units!$E118*(1+Inputs!$B$7)^(DD$2-1)</f>
        <v>2343.52465056709</v>
      </c>
      <c r="DE119" s="11" t="n">
        <f aca="false">Units!$E118*(1+Inputs!$B$7)^(DE$2-1)</f>
        <v>2343.52465056709</v>
      </c>
      <c r="DF119" s="11" t="n">
        <f aca="false">Units!$E118*(1+Inputs!$B$7)^(DF$2-1)</f>
        <v>2343.52465056709</v>
      </c>
      <c r="DG119" s="11" t="n">
        <f aca="false">Units!$E118*(1+Inputs!$B$7)^(DG$2-1)</f>
        <v>2413.8303900841</v>
      </c>
      <c r="DH119" s="11" t="n">
        <f aca="false">Units!$E118*(1+Inputs!$B$7)^(DH$2-1)</f>
        <v>2413.8303900841</v>
      </c>
      <c r="DI119" s="11" t="n">
        <f aca="false">Units!$E118*(1+Inputs!$B$7)^(DI$2-1)</f>
        <v>2413.8303900841</v>
      </c>
      <c r="DJ119" s="11" t="n">
        <f aca="false">Units!$E118*(1+Inputs!$B$7)^(DJ$2-1)</f>
        <v>2413.8303900841</v>
      </c>
      <c r="DK119" s="11" t="n">
        <f aca="false">Units!$E118*(1+Inputs!$B$7)^(DK$2-1)</f>
        <v>2413.8303900841</v>
      </c>
      <c r="DL119" s="11" t="n">
        <f aca="false">Units!$E118*(1+Inputs!$B$7)^(DL$2-1)</f>
        <v>2413.8303900841</v>
      </c>
      <c r="DM119" s="11" t="n">
        <f aca="false">Units!$E118*(1+Inputs!$B$7)^(DM$2-1)</f>
        <v>2413.8303900841</v>
      </c>
      <c r="DN119" s="11" t="n">
        <f aca="false">Units!$E118*(1+Inputs!$B$7)^(DN$2-1)</f>
        <v>2413.8303900841</v>
      </c>
      <c r="DO119" s="11" t="n">
        <f aca="false">Units!$E118*(1+Inputs!$B$7)^(DO$2-1)</f>
        <v>2413.8303900841</v>
      </c>
      <c r="DP119" s="11" t="n">
        <f aca="false">Units!$E118*(1+Inputs!$B$7)^(DP$2-1)</f>
        <v>2413.8303900841</v>
      </c>
      <c r="DQ119" s="11" t="n">
        <f aca="false">Units!$E118*(1+Inputs!$B$7)^(DQ$2-1)</f>
        <v>2413.8303900841</v>
      </c>
      <c r="DR119" s="11" t="n">
        <f aca="false">Units!$E118*(1+Inputs!$B$7)^(DR$2-1)</f>
        <v>2413.8303900841</v>
      </c>
      <c r="DS119" s="11" t="n">
        <f aca="false">Units!$E118*(1+Inputs!$B$7)^(DS$2-1)</f>
        <v>2486.24530178663</v>
      </c>
      <c r="DT119" s="11" t="n">
        <f aca="false">Units!$E118*(1+Inputs!$B$7)^(DT$2-1)</f>
        <v>2486.24530178663</v>
      </c>
      <c r="DU119" s="11" t="n">
        <f aca="false">Units!$E118*(1+Inputs!$B$7)^(DU$2-1)</f>
        <v>2486.24530178663</v>
      </c>
      <c r="DV119" s="11" t="n">
        <f aca="false">Units!$E118*(1+Inputs!$B$7)^(DV$2-1)</f>
        <v>2486.24530178663</v>
      </c>
      <c r="DW119" s="11" t="n">
        <f aca="false">Units!$E118*(1+Inputs!$B$7)^(DW$2-1)</f>
        <v>2486.24530178663</v>
      </c>
      <c r="DX119" s="11" t="n">
        <f aca="false">Units!$E118*(1+Inputs!$B$7)^(DX$2-1)</f>
        <v>2486.24530178663</v>
      </c>
      <c r="DY119" s="11" t="n">
        <f aca="false">Units!$E118*(1+Inputs!$B$7)^(DY$2-1)</f>
        <v>2486.24530178663</v>
      </c>
      <c r="DZ119" s="11" t="n">
        <f aca="false">Units!$E118*(1+Inputs!$B$7)^(DZ$2-1)</f>
        <v>2486.24530178663</v>
      </c>
      <c r="EA119" s="11" t="n">
        <f aca="false">Units!$E118*(1+Inputs!$B$7)^(EA$2-1)</f>
        <v>2486.24530178663</v>
      </c>
      <c r="EB119" s="11" t="n">
        <f aca="false">Units!$E118*(1+Inputs!$B$7)^(EB$2-1)</f>
        <v>2486.24530178663</v>
      </c>
      <c r="EC119" s="11" t="n">
        <f aca="false">Units!$E118*(1+Inputs!$B$7)^(EC$2-1)</f>
        <v>2486.24530178663</v>
      </c>
      <c r="ED119" s="11" t="n">
        <f aca="false">Units!$E118*(1+Inputs!$B$7)^(ED$2-1)</f>
        <v>2486.24530178663</v>
      </c>
    </row>
    <row r="120" customFormat="false" ht="15" hidden="false" customHeight="false" outlineLevel="0" collapsed="false">
      <c r="A120" s="22" t="n">
        <f aca="false">Units!A119</f>
        <v>428</v>
      </c>
      <c r="B120" s="23"/>
      <c r="C120" s="11" t="n">
        <f aca="false">Units!$E119*(1+Inputs!$B$7)^(C$2-1)</f>
        <v>2240</v>
      </c>
      <c r="D120" s="11" t="n">
        <f aca="false">Units!$E119*(1+Inputs!$B$7)^(D$2-1)</f>
        <v>2240</v>
      </c>
      <c r="E120" s="11" t="n">
        <f aca="false">Units!$E119*(1+Inputs!$B$7)^(E$2-1)</f>
        <v>2240</v>
      </c>
      <c r="F120" s="11" t="n">
        <f aca="false">Units!$E119*(1+Inputs!$B$7)^(F$2-1)</f>
        <v>2240</v>
      </c>
      <c r="G120" s="11" t="n">
        <f aca="false">Units!$E119*(1+Inputs!$B$7)^(G$2-1)</f>
        <v>2240</v>
      </c>
      <c r="H120" s="11" t="n">
        <f aca="false">Units!$E119*(1+Inputs!$B$7)^(H$2-1)</f>
        <v>2240</v>
      </c>
      <c r="I120" s="11" t="n">
        <f aca="false">Units!$E119*(1+Inputs!$B$7)^(I$2-1)</f>
        <v>2240</v>
      </c>
      <c r="J120" s="11" t="n">
        <f aca="false">Units!$E119*(1+Inputs!$B$7)^(J$2-1)</f>
        <v>2240</v>
      </c>
      <c r="K120" s="11" t="n">
        <f aca="false">Units!$E119*(1+Inputs!$B$7)^(K$2-1)</f>
        <v>2240</v>
      </c>
      <c r="L120" s="11" t="n">
        <f aca="false">Units!$E119*(1+Inputs!$B$7)^(L$2-1)</f>
        <v>2240</v>
      </c>
      <c r="M120" s="11" t="n">
        <f aca="false">Units!$E119*(1+Inputs!$B$7)^(M$2-1)</f>
        <v>2240</v>
      </c>
      <c r="N120" s="11" t="n">
        <f aca="false">Units!$E119*(1+Inputs!$B$7)^(N$2-1)</f>
        <v>2240</v>
      </c>
      <c r="O120" s="11" t="n">
        <f aca="false">Units!$E119*(1+Inputs!$B$7)^(O$2-1)</f>
        <v>2307.2</v>
      </c>
      <c r="P120" s="11" t="n">
        <f aca="false">Units!$E119*(1+Inputs!$B$7)^(P$2-1)</f>
        <v>2307.2</v>
      </c>
      <c r="Q120" s="11" t="n">
        <f aca="false">Units!$E119*(1+Inputs!$B$7)^(Q$2-1)</f>
        <v>2307.2</v>
      </c>
      <c r="R120" s="11" t="n">
        <f aca="false">Units!$E119*(1+Inputs!$B$7)^(R$2-1)</f>
        <v>2307.2</v>
      </c>
      <c r="S120" s="11" t="n">
        <f aca="false">Units!$E119*(1+Inputs!$B$7)^(S$2-1)</f>
        <v>2307.2</v>
      </c>
      <c r="T120" s="11" t="n">
        <f aca="false">Units!$E119*(1+Inputs!$B$7)^(T$2-1)</f>
        <v>2307.2</v>
      </c>
      <c r="U120" s="11" t="n">
        <f aca="false">Units!$E119*(1+Inputs!$B$7)^(U$2-1)</f>
        <v>2307.2</v>
      </c>
      <c r="V120" s="11" t="n">
        <f aca="false">Units!$E119*(1+Inputs!$B$7)^(V$2-1)</f>
        <v>2307.2</v>
      </c>
      <c r="W120" s="11" t="n">
        <f aca="false">Units!$E119*(1+Inputs!$B$7)^(W$2-1)</f>
        <v>2307.2</v>
      </c>
      <c r="X120" s="11" t="n">
        <f aca="false">Units!$E119*(1+Inputs!$B$7)^(X$2-1)</f>
        <v>2307.2</v>
      </c>
      <c r="Y120" s="11" t="n">
        <f aca="false">Units!$E119*(1+Inputs!$B$7)^(Y$2-1)</f>
        <v>2307.2</v>
      </c>
      <c r="Z120" s="11" t="n">
        <f aca="false">Units!$E119*(1+Inputs!$B$7)^(Z$2-1)</f>
        <v>2307.2</v>
      </c>
      <c r="AA120" s="11" t="n">
        <f aca="false">Units!$E119*(1+Inputs!$B$7)^(AA$2-1)</f>
        <v>2376.416</v>
      </c>
      <c r="AB120" s="11" t="n">
        <f aca="false">Units!$E119*(1+Inputs!$B$7)^(AB$2-1)</f>
        <v>2376.416</v>
      </c>
      <c r="AC120" s="11" t="n">
        <f aca="false">Units!$E119*(1+Inputs!$B$7)^(AC$2-1)</f>
        <v>2376.416</v>
      </c>
      <c r="AD120" s="11" t="n">
        <f aca="false">Units!$E119*(1+Inputs!$B$7)^(AD$2-1)</f>
        <v>2376.416</v>
      </c>
      <c r="AE120" s="11" t="n">
        <f aca="false">Units!$E119*(1+Inputs!$B$7)^(AE$2-1)</f>
        <v>2376.416</v>
      </c>
      <c r="AF120" s="11" t="n">
        <f aca="false">Units!$E119*(1+Inputs!$B$7)^(AF$2-1)</f>
        <v>2376.416</v>
      </c>
      <c r="AG120" s="11" t="n">
        <f aca="false">Units!$E119*(1+Inputs!$B$7)^(AG$2-1)</f>
        <v>2376.416</v>
      </c>
      <c r="AH120" s="11" t="n">
        <f aca="false">Units!$E119*(1+Inputs!$B$7)^(AH$2-1)</f>
        <v>2376.416</v>
      </c>
      <c r="AI120" s="11" t="n">
        <f aca="false">Units!$E119*(1+Inputs!$B$7)^(AI$2-1)</f>
        <v>2376.416</v>
      </c>
      <c r="AJ120" s="11" t="n">
        <f aca="false">Units!$E119*(1+Inputs!$B$7)^(AJ$2-1)</f>
        <v>2376.416</v>
      </c>
      <c r="AK120" s="11" t="n">
        <f aca="false">Units!$E119*(1+Inputs!$B$7)^(AK$2-1)</f>
        <v>2376.416</v>
      </c>
      <c r="AL120" s="11" t="n">
        <f aca="false">Units!$E119*(1+Inputs!$B$7)^(AL$2-1)</f>
        <v>2376.416</v>
      </c>
      <c r="AM120" s="11" t="n">
        <f aca="false">Units!$E119*(1+Inputs!$B$7)^(AM$2-1)</f>
        <v>2447.70848</v>
      </c>
      <c r="AN120" s="11" t="n">
        <f aca="false">Units!$E119*(1+Inputs!$B$7)^(AN$2-1)</f>
        <v>2447.70848</v>
      </c>
      <c r="AO120" s="11" t="n">
        <f aca="false">Units!$E119*(1+Inputs!$B$7)^(AO$2-1)</f>
        <v>2447.70848</v>
      </c>
      <c r="AP120" s="11" t="n">
        <f aca="false">Units!$E119*(1+Inputs!$B$7)^(AP$2-1)</f>
        <v>2447.70848</v>
      </c>
      <c r="AQ120" s="11" t="n">
        <f aca="false">Units!$E119*(1+Inputs!$B$7)^(AQ$2-1)</f>
        <v>2447.70848</v>
      </c>
      <c r="AR120" s="11" t="n">
        <f aca="false">Units!$E119*(1+Inputs!$B$7)^(AR$2-1)</f>
        <v>2447.70848</v>
      </c>
      <c r="AS120" s="11" t="n">
        <f aca="false">Units!$E119*(1+Inputs!$B$7)^(AS$2-1)</f>
        <v>2447.70848</v>
      </c>
      <c r="AT120" s="11" t="n">
        <f aca="false">Units!$E119*(1+Inputs!$B$7)^(AT$2-1)</f>
        <v>2447.70848</v>
      </c>
      <c r="AU120" s="11" t="n">
        <f aca="false">Units!$E119*(1+Inputs!$B$7)^(AU$2-1)</f>
        <v>2447.70848</v>
      </c>
      <c r="AV120" s="11" t="n">
        <f aca="false">Units!$E119*(1+Inputs!$B$7)^(AV$2-1)</f>
        <v>2447.70848</v>
      </c>
      <c r="AW120" s="11" t="n">
        <f aca="false">Units!$E119*(1+Inputs!$B$7)^(AW$2-1)</f>
        <v>2447.70848</v>
      </c>
      <c r="AX120" s="11" t="n">
        <f aca="false">Units!$E119*(1+Inputs!$B$7)^(AX$2-1)</f>
        <v>2447.70848</v>
      </c>
      <c r="AY120" s="11" t="n">
        <f aca="false">Units!$E119*(1+Inputs!$B$7)^(AY$2-1)</f>
        <v>2521.1397344</v>
      </c>
      <c r="AZ120" s="11" t="n">
        <f aca="false">Units!$E119*(1+Inputs!$B$7)^(AZ$2-1)</f>
        <v>2521.1397344</v>
      </c>
      <c r="BA120" s="11" t="n">
        <f aca="false">Units!$E119*(1+Inputs!$B$7)^(BA$2-1)</f>
        <v>2521.1397344</v>
      </c>
      <c r="BB120" s="11" t="n">
        <f aca="false">Units!$E119*(1+Inputs!$B$7)^(BB$2-1)</f>
        <v>2521.1397344</v>
      </c>
      <c r="BC120" s="11" t="n">
        <f aca="false">Units!$E119*(1+Inputs!$B$7)^(BC$2-1)</f>
        <v>2521.1397344</v>
      </c>
      <c r="BD120" s="11" t="n">
        <f aca="false">Units!$E119*(1+Inputs!$B$7)^(BD$2-1)</f>
        <v>2521.1397344</v>
      </c>
      <c r="BE120" s="11" t="n">
        <f aca="false">Units!$E119*(1+Inputs!$B$7)^(BE$2-1)</f>
        <v>2521.1397344</v>
      </c>
      <c r="BF120" s="11" t="n">
        <f aca="false">Units!$E119*(1+Inputs!$B$7)^(BF$2-1)</f>
        <v>2521.1397344</v>
      </c>
      <c r="BG120" s="11" t="n">
        <f aca="false">Units!$E119*(1+Inputs!$B$7)^(BG$2-1)</f>
        <v>2521.1397344</v>
      </c>
      <c r="BH120" s="11" t="n">
        <f aca="false">Units!$E119*(1+Inputs!$B$7)^(BH$2-1)</f>
        <v>2521.1397344</v>
      </c>
      <c r="BI120" s="11" t="n">
        <f aca="false">Units!$E119*(1+Inputs!$B$7)^(BI$2-1)</f>
        <v>2521.1397344</v>
      </c>
      <c r="BJ120" s="11" t="n">
        <f aca="false">Units!$E119*(1+Inputs!$B$7)^(BJ$2-1)</f>
        <v>2521.1397344</v>
      </c>
      <c r="BK120" s="11" t="n">
        <f aca="false">Units!$E119*(1+Inputs!$B$7)^(BK$2-1)</f>
        <v>2596.773926432</v>
      </c>
      <c r="BL120" s="11" t="n">
        <f aca="false">Units!$E119*(1+Inputs!$B$7)^(BL$2-1)</f>
        <v>2596.773926432</v>
      </c>
      <c r="BM120" s="11" t="n">
        <f aca="false">Units!$E119*(1+Inputs!$B$7)^(BM$2-1)</f>
        <v>2596.773926432</v>
      </c>
      <c r="BN120" s="11" t="n">
        <f aca="false">Units!$E119*(1+Inputs!$B$7)^(BN$2-1)</f>
        <v>2596.773926432</v>
      </c>
      <c r="BO120" s="11" t="n">
        <f aca="false">Units!$E119*(1+Inputs!$B$7)^(BO$2-1)</f>
        <v>2596.773926432</v>
      </c>
      <c r="BP120" s="11" t="n">
        <f aca="false">Units!$E119*(1+Inputs!$B$7)^(BP$2-1)</f>
        <v>2596.773926432</v>
      </c>
      <c r="BQ120" s="11" t="n">
        <f aca="false">Units!$E119*(1+Inputs!$B$7)^(BQ$2-1)</f>
        <v>2596.773926432</v>
      </c>
      <c r="BR120" s="11" t="n">
        <f aca="false">Units!$E119*(1+Inputs!$B$7)^(BR$2-1)</f>
        <v>2596.773926432</v>
      </c>
      <c r="BS120" s="11" t="n">
        <f aca="false">Units!$E119*(1+Inputs!$B$7)^(BS$2-1)</f>
        <v>2596.773926432</v>
      </c>
      <c r="BT120" s="11" t="n">
        <f aca="false">Units!$E119*(1+Inputs!$B$7)^(BT$2-1)</f>
        <v>2596.773926432</v>
      </c>
      <c r="BU120" s="11" t="n">
        <f aca="false">Units!$E119*(1+Inputs!$B$7)^(BU$2-1)</f>
        <v>2596.773926432</v>
      </c>
      <c r="BV120" s="11" t="n">
        <f aca="false">Units!$E119*(1+Inputs!$B$7)^(BV$2-1)</f>
        <v>2596.773926432</v>
      </c>
      <c r="BW120" s="11" t="n">
        <f aca="false">Units!$E119*(1+Inputs!$B$7)^(BW$2-1)</f>
        <v>2674.67714422496</v>
      </c>
      <c r="BX120" s="11" t="n">
        <f aca="false">Units!$E119*(1+Inputs!$B$7)^(BX$2-1)</f>
        <v>2674.67714422496</v>
      </c>
      <c r="BY120" s="11" t="n">
        <f aca="false">Units!$E119*(1+Inputs!$B$7)^(BY$2-1)</f>
        <v>2674.67714422496</v>
      </c>
      <c r="BZ120" s="11" t="n">
        <f aca="false">Units!$E119*(1+Inputs!$B$7)^(BZ$2-1)</f>
        <v>2674.67714422496</v>
      </c>
      <c r="CA120" s="11" t="n">
        <f aca="false">Units!$E119*(1+Inputs!$B$7)^(CA$2-1)</f>
        <v>2674.67714422496</v>
      </c>
      <c r="CB120" s="11" t="n">
        <f aca="false">Units!$E119*(1+Inputs!$B$7)^(CB$2-1)</f>
        <v>2674.67714422496</v>
      </c>
      <c r="CC120" s="11" t="n">
        <f aca="false">Units!$E119*(1+Inputs!$B$7)^(CC$2-1)</f>
        <v>2674.67714422496</v>
      </c>
      <c r="CD120" s="11" t="n">
        <f aca="false">Units!$E119*(1+Inputs!$B$7)^(CD$2-1)</f>
        <v>2674.67714422496</v>
      </c>
      <c r="CE120" s="11" t="n">
        <f aca="false">Units!$E119*(1+Inputs!$B$7)^(CE$2-1)</f>
        <v>2674.67714422496</v>
      </c>
      <c r="CF120" s="11" t="n">
        <f aca="false">Units!$E119*(1+Inputs!$B$7)^(CF$2-1)</f>
        <v>2674.67714422496</v>
      </c>
      <c r="CG120" s="11" t="n">
        <f aca="false">Units!$E119*(1+Inputs!$B$7)^(CG$2-1)</f>
        <v>2674.67714422496</v>
      </c>
      <c r="CH120" s="11" t="n">
        <f aca="false">Units!$E119*(1+Inputs!$B$7)^(CH$2-1)</f>
        <v>2674.67714422496</v>
      </c>
      <c r="CI120" s="11" t="n">
        <f aca="false">Units!$E119*(1+Inputs!$B$7)^(CI$2-1)</f>
        <v>2754.91745855171</v>
      </c>
      <c r="CJ120" s="11" t="n">
        <f aca="false">Units!$E119*(1+Inputs!$B$7)^(CJ$2-1)</f>
        <v>2754.91745855171</v>
      </c>
      <c r="CK120" s="11" t="n">
        <f aca="false">Units!$E119*(1+Inputs!$B$7)^(CK$2-1)</f>
        <v>2754.91745855171</v>
      </c>
      <c r="CL120" s="11" t="n">
        <f aca="false">Units!$E119*(1+Inputs!$B$7)^(CL$2-1)</f>
        <v>2754.91745855171</v>
      </c>
      <c r="CM120" s="11" t="n">
        <f aca="false">Units!$E119*(1+Inputs!$B$7)^(CM$2-1)</f>
        <v>2754.91745855171</v>
      </c>
      <c r="CN120" s="11" t="n">
        <f aca="false">Units!$E119*(1+Inputs!$B$7)^(CN$2-1)</f>
        <v>2754.91745855171</v>
      </c>
      <c r="CO120" s="11" t="n">
        <f aca="false">Units!$E119*(1+Inputs!$B$7)^(CO$2-1)</f>
        <v>2754.91745855171</v>
      </c>
      <c r="CP120" s="11" t="n">
        <f aca="false">Units!$E119*(1+Inputs!$B$7)^(CP$2-1)</f>
        <v>2754.91745855171</v>
      </c>
      <c r="CQ120" s="11" t="n">
        <f aca="false">Units!$E119*(1+Inputs!$B$7)^(CQ$2-1)</f>
        <v>2754.91745855171</v>
      </c>
      <c r="CR120" s="11" t="n">
        <f aca="false">Units!$E119*(1+Inputs!$B$7)^(CR$2-1)</f>
        <v>2754.91745855171</v>
      </c>
      <c r="CS120" s="11" t="n">
        <f aca="false">Units!$E119*(1+Inputs!$B$7)^(CS$2-1)</f>
        <v>2754.91745855171</v>
      </c>
      <c r="CT120" s="11" t="n">
        <f aca="false">Units!$E119*(1+Inputs!$B$7)^(CT$2-1)</f>
        <v>2754.91745855171</v>
      </c>
      <c r="CU120" s="11" t="n">
        <f aca="false">Units!$E119*(1+Inputs!$B$7)^(CU$2-1)</f>
        <v>2837.56498230826</v>
      </c>
      <c r="CV120" s="11" t="n">
        <f aca="false">Units!$E119*(1+Inputs!$B$7)^(CV$2-1)</f>
        <v>2837.56498230826</v>
      </c>
      <c r="CW120" s="11" t="n">
        <f aca="false">Units!$E119*(1+Inputs!$B$7)^(CW$2-1)</f>
        <v>2837.56498230826</v>
      </c>
      <c r="CX120" s="11" t="n">
        <f aca="false">Units!$E119*(1+Inputs!$B$7)^(CX$2-1)</f>
        <v>2837.56498230826</v>
      </c>
      <c r="CY120" s="11" t="n">
        <f aca="false">Units!$E119*(1+Inputs!$B$7)^(CY$2-1)</f>
        <v>2837.56498230826</v>
      </c>
      <c r="CZ120" s="11" t="n">
        <f aca="false">Units!$E119*(1+Inputs!$B$7)^(CZ$2-1)</f>
        <v>2837.56498230826</v>
      </c>
      <c r="DA120" s="11" t="n">
        <f aca="false">Units!$E119*(1+Inputs!$B$7)^(DA$2-1)</f>
        <v>2837.56498230826</v>
      </c>
      <c r="DB120" s="11" t="n">
        <f aca="false">Units!$E119*(1+Inputs!$B$7)^(DB$2-1)</f>
        <v>2837.56498230826</v>
      </c>
      <c r="DC120" s="11" t="n">
        <f aca="false">Units!$E119*(1+Inputs!$B$7)^(DC$2-1)</f>
        <v>2837.56498230826</v>
      </c>
      <c r="DD120" s="11" t="n">
        <f aca="false">Units!$E119*(1+Inputs!$B$7)^(DD$2-1)</f>
        <v>2837.56498230826</v>
      </c>
      <c r="DE120" s="11" t="n">
        <f aca="false">Units!$E119*(1+Inputs!$B$7)^(DE$2-1)</f>
        <v>2837.56498230826</v>
      </c>
      <c r="DF120" s="11" t="n">
        <f aca="false">Units!$E119*(1+Inputs!$B$7)^(DF$2-1)</f>
        <v>2837.56498230826</v>
      </c>
      <c r="DG120" s="11" t="n">
        <f aca="false">Units!$E119*(1+Inputs!$B$7)^(DG$2-1)</f>
        <v>2922.69193177751</v>
      </c>
      <c r="DH120" s="11" t="n">
        <f aca="false">Units!$E119*(1+Inputs!$B$7)^(DH$2-1)</f>
        <v>2922.69193177751</v>
      </c>
      <c r="DI120" s="11" t="n">
        <f aca="false">Units!$E119*(1+Inputs!$B$7)^(DI$2-1)</f>
        <v>2922.69193177751</v>
      </c>
      <c r="DJ120" s="11" t="n">
        <f aca="false">Units!$E119*(1+Inputs!$B$7)^(DJ$2-1)</f>
        <v>2922.69193177751</v>
      </c>
      <c r="DK120" s="11" t="n">
        <f aca="false">Units!$E119*(1+Inputs!$B$7)^(DK$2-1)</f>
        <v>2922.69193177751</v>
      </c>
      <c r="DL120" s="11" t="n">
        <f aca="false">Units!$E119*(1+Inputs!$B$7)^(DL$2-1)</f>
        <v>2922.69193177751</v>
      </c>
      <c r="DM120" s="11" t="n">
        <f aca="false">Units!$E119*(1+Inputs!$B$7)^(DM$2-1)</f>
        <v>2922.69193177751</v>
      </c>
      <c r="DN120" s="11" t="n">
        <f aca="false">Units!$E119*(1+Inputs!$B$7)^(DN$2-1)</f>
        <v>2922.69193177751</v>
      </c>
      <c r="DO120" s="11" t="n">
        <f aca="false">Units!$E119*(1+Inputs!$B$7)^(DO$2-1)</f>
        <v>2922.69193177751</v>
      </c>
      <c r="DP120" s="11" t="n">
        <f aca="false">Units!$E119*(1+Inputs!$B$7)^(DP$2-1)</f>
        <v>2922.69193177751</v>
      </c>
      <c r="DQ120" s="11" t="n">
        <f aca="false">Units!$E119*(1+Inputs!$B$7)^(DQ$2-1)</f>
        <v>2922.69193177751</v>
      </c>
      <c r="DR120" s="11" t="n">
        <f aca="false">Units!$E119*(1+Inputs!$B$7)^(DR$2-1)</f>
        <v>2922.69193177751</v>
      </c>
      <c r="DS120" s="11" t="n">
        <f aca="false">Units!$E119*(1+Inputs!$B$7)^(DS$2-1)</f>
        <v>3010.37268973083</v>
      </c>
      <c r="DT120" s="11" t="n">
        <f aca="false">Units!$E119*(1+Inputs!$B$7)^(DT$2-1)</f>
        <v>3010.37268973083</v>
      </c>
      <c r="DU120" s="11" t="n">
        <f aca="false">Units!$E119*(1+Inputs!$B$7)^(DU$2-1)</f>
        <v>3010.37268973083</v>
      </c>
      <c r="DV120" s="11" t="n">
        <f aca="false">Units!$E119*(1+Inputs!$B$7)^(DV$2-1)</f>
        <v>3010.37268973083</v>
      </c>
      <c r="DW120" s="11" t="n">
        <f aca="false">Units!$E119*(1+Inputs!$B$7)^(DW$2-1)</f>
        <v>3010.37268973083</v>
      </c>
      <c r="DX120" s="11" t="n">
        <f aca="false">Units!$E119*(1+Inputs!$B$7)^(DX$2-1)</f>
        <v>3010.37268973083</v>
      </c>
      <c r="DY120" s="11" t="n">
        <f aca="false">Units!$E119*(1+Inputs!$B$7)^(DY$2-1)</f>
        <v>3010.37268973083</v>
      </c>
      <c r="DZ120" s="11" t="n">
        <f aca="false">Units!$E119*(1+Inputs!$B$7)^(DZ$2-1)</f>
        <v>3010.37268973083</v>
      </c>
      <c r="EA120" s="11" t="n">
        <f aca="false">Units!$E119*(1+Inputs!$B$7)^(EA$2-1)</f>
        <v>3010.37268973083</v>
      </c>
      <c r="EB120" s="11" t="n">
        <f aca="false">Units!$E119*(1+Inputs!$B$7)^(EB$2-1)</f>
        <v>3010.37268973083</v>
      </c>
      <c r="EC120" s="11" t="n">
        <f aca="false">Units!$E119*(1+Inputs!$B$7)^(EC$2-1)</f>
        <v>3010.37268973083</v>
      </c>
      <c r="ED120" s="11" t="n">
        <f aca="false">Units!$E119*(1+Inputs!$B$7)^(ED$2-1)</f>
        <v>3010.37268973083</v>
      </c>
    </row>
    <row r="121" customFormat="false" ht="15" hidden="false" customHeight="false" outlineLevel="0" collapsed="false">
      <c r="A121" s="22" t="n">
        <f aca="false">Units!A120</f>
        <v>429</v>
      </c>
      <c r="B121" s="23"/>
      <c r="C121" s="11" t="n">
        <f aca="false">Units!$E120*(1+Inputs!$B$7)^(C$2-1)</f>
        <v>2240</v>
      </c>
      <c r="D121" s="11" t="n">
        <f aca="false">Units!$E120*(1+Inputs!$B$7)^(D$2-1)</f>
        <v>2240</v>
      </c>
      <c r="E121" s="11" t="n">
        <f aca="false">Units!$E120*(1+Inputs!$B$7)^(E$2-1)</f>
        <v>2240</v>
      </c>
      <c r="F121" s="11" t="n">
        <f aca="false">Units!$E120*(1+Inputs!$B$7)^(F$2-1)</f>
        <v>2240</v>
      </c>
      <c r="G121" s="11" t="n">
        <f aca="false">Units!$E120*(1+Inputs!$B$7)^(G$2-1)</f>
        <v>2240</v>
      </c>
      <c r="H121" s="11" t="n">
        <f aca="false">Units!$E120*(1+Inputs!$B$7)^(H$2-1)</f>
        <v>2240</v>
      </c>
      <c r="I121" s="11" t="n">
        <f aca="false">Units!$E120*(1+Inputs!$B$7)^(I$2-1)</f>
        <v>2240</v>
      </c>
      <c r="J121" s="11" t="n">
        <f aca="false">Units!$E120*(1+Inputs!$B$7)^(J$2-1)</f>
        <v>2240</v>
      </c>
      <c r="K121" s="11" t="n">
        <f aca="false">Units!$E120*(1+Inputs!$B$7)^(K$2-1)</f>
        <v>2240</v>
      </c>
      <c r="L121" s="11" t="n">
        <f aca="false">Units!$E120*(1+Inputs!$B$7)^(L$2-1)</f>
        <v>2240</v>
      </c>
      <c r="M121" s="11" t="n">
        <f aca="false">Units!$E120*(1+Inputs!$B$7)^(M$2-1)</f>
        <v>2240</v>
      </c>
      <c r="N121" s="11" t="n">
        <f aca="false">Units!$E120*(1+Inputs!$B$7)^(N$2-1)</f>
        <v>2240</v>
      </c>
      <c r="O121" s="11" t="n">
        <f aca="false">Units!$E120*(1+Inputs!$B$7)^(O$2-1)</f>
        <v>2307.2</v>
      </c>
      <c r="P121" s="11" t="n">
        <f aca="false">Units!$E120*(1+Inputs!$B$7)^(P$2-1)</f>
        <v>2307.2</v>
      </c>
      <c r="Q121" s="11" t="n">
        <f aca="false">Units!$E120*(1+Inputs!$B$7)^(Q$2-1)</f>
        <v>2307.2</v>
      </c>
      <c r="R121" s="11" t="n">
        <f aca="false">Units!$E120*(1+Inputs!$B$7)^(R$2-1)</f>
        <v>2307.2</v>
      </c>
      <c r="S121" s="11" t="n">
        <f aca="false">Units!$E120*(1+Inputs!$B$7)^(S$2-1)</f>
        <v>2307.2</v>
      </c>
      <c r="T121" s="11" t="n">
        <f aca="false">Units!$E120*(1+Inputs!$B$7)^(T$2-1)</f>
        <v>2307.2</v>
      </c>
      <c r="U121" s="11" t="n">
        <f aca="false">Units!$E120*(1+Inputs!$B$7)^(U$2-1)</f>
        <v>2307.2</v>
      </c>
      <c r="V121" s="11" t="n">
        <f aca="false">Units!$E120*(1+Inputs!$B$7)^(V$2-1)</f>
        <v>2307.2</v>
      </c>
      <c r="W121" s="11" t="n">
        <f aca="false">Units!$E120*(1+Inputs!$B$7)^(W$2-1)</f>
        <v>2307.2</v>
      </c>
      <c r="X121" s="11" t="n">
        <f aca="false">Units!$E120*(1+Inputs!$B$7)^(X$2-1)</f>
        <v>2307.2</v>
      </c>
      <c r="Y121" s="11" t="n">
        <f aca="false">Units!$E120*(1+Inputs!$B$7)^(Y$2-1)</f>
        <v>2307.2</v>
      </c>
      <c r="Z121" s="11" t="n">
        <f aca="false">Units!$E120*(1+Inputs!$B$7)^(Z$2-1)</f>
        <v>2307.2</v>
      </c>
      <c r="AA121" s="11" t="n">
        <f aca="false">Units!$E120*(1+Inputs!$B$7)^(AA$2-1)</f>
        <v>2376.416</v>
      </c>
      <c r="AB121" s="11" t="n">
        <f aca="false">Units!$E120*(1+Inputs!$B$7)^(AB$2-1)</f>
        <v>2376.416</v>
      </c>
      <c r="AC121" s="11" t="n">
        <f aca="false">Units!$E120*(1+Inputs!$B$7)^(AC$2-1)</f>
        <v>2376.416</v>
      </c>
      <c r="AD121" s="11" t="n">
        <f aca="false">Units!$E120*(1+Inputs!$B$7)^(AD$2-1)</f>
        <v>2376.416</v>
      </c>
      <c r="AE121" s="11" t="n">
        <f aca="false">Units!$E120*(1+Inputs!$B$7)^(AE$2-1)</f>
        <v>2376.416</v>
      </c>
      <c r="AF121" s="11" t="n">
        <f aca="false">Units!$E120*(1+Inputs!$B$7)^(AF$2-1)</f>
        <v>2376.416</v>
      </c>
      <c r="AG121" s="11" t="n">
        <f aca="false">Units!$E120*(1+Inputs!$B$7)^(AG$2-1)</f>
        <v>2376.416</v>
      </c>
      <c r="AH121" s="11" t="n">
        <f aca="false">Units!$E120*(1+Inputs!$B$7)^(AH$2-1)</f>
        <v>2376.416</v>
      </c>
      <c r="AI121" s="11" t="n">
        <f aca="false">Units!$E120*(1+Inputs!$B$7)^(AI$2-1)</f>
        <v>2376.416</v>
      </c>
      <c r="AJ121" s="11" t="n">
        <f aca="false">Units!$E120*(1+Inputs!$B$7)^(AJ$2-1)</f>
        <v>2376.416</v>
      </c>
      <c r="AK121" s="11" t="n">
        <f aca="false">Units!$E120*(1+Inputs!$B$7)^(AK$2-1)</f>
        <v>2376.416</v>
      </c>
      <c r="AL121" s="11" t="n">
        <f aca="false">Units!$E120*(1+Inputs!$B$7)^(AL$2-1)</f>
        <v>2376.416</v>
      </c>
      <c r="AM121" s="11" t="n">
        <f aca="false">Units!$E120*(1+Inputs!$B$7)^(AM$2-1)</f>
        <v>2447.70848</v>
      </c>
      <c r="AN121" s="11" t="n">
        <f aca="false">Units!$E120*(1+Inputs!$B$7)^(AN$2-1)</f>
        <v>2447.70848</v>
      </c>
      <c r="AO121" s="11" t="n">
        <f aca="false">Units!$E120*(1+Inputs!$B$7)^(AO$2-1)</f>
        <v>2447.70848</v>
      </c>
      <c r="AP121" s="11" t="n">
        <f aca="false">Units!$E120*(1+Inputs!$B$7)^(AP$2-1)</f>
        <v>2447.70848</v>
      </c>
      <c r="AQ121" s="11" t="n">
        <f aca="false">Units!$E120*(1+Inputs!$B$7)^(AQ$2-1)</f>
        <v>2447.70848</v>
      </c>
      <c r="AR121" s="11" t="n">
        <f aca="false">Units!$E120*(1+Inputs!$B$7)^(AR$2-1)</f>
        <v>2447.70848</v>
      </c>
      <c r="AS121" s="11" t="n">
        <f aca="false">Units!$E120*(1+Inputs!$B$7)^(AS$2-1)</f>
        <v>2447.70848</v>
      </c>
      <c r="AT121" s="11" t="n">
        <f aca="false">Units!$E120*(1+Inputs!$B$7)^(AT$2-1)</f>
        <v>2447.70848</v>
      </c>
      <c r="AU121" s="11" t="n">
        <f aca="false">Units!$E120*(1+Inputs!$B$7)^(AU$2-1)</f>
        <v>2447.70848</v>
      </c>
      <c r="AV121" s="11" t="n">
        <f aca="false">Units!$E120*(1+Inputs!$B$7)^(AV$2-1)</f>
        <v>2447.70848</v>
      </c>
      <c r="AW121" s="11" t="n">
        <f aca="false">Units!$E120*(1+Inputs!$B$7)^(AW$2-1)</f>
        <v>2447.70848</v>
      </c>
      <c r="AX121" s="11" t="n">
        <f aca="false">Units!$E120*(1+Inputs!$B$7)^(AX$2-1)</f>
        <v>2447.70848</v>
      </c>
      <c r="AY121" s="11" t="n">
        <f aca="false">Units!$E120*(1+Inputs!$B$7)^(AY$2-1)</f>
        <v>2521.1397344</v>
      </c>
      <c r="AZ121" s="11" t="n">
        <f aca="false">Units!$E120*(1+Inputs!$B$7)^(AZ$2-1)</f>
        <v>2521.1397344</v>
      </c>
      <c r="BA121" s="11" t="n">
        <f aca="false">Units!$E120*(1+Inputs!$B$7)^(BA$2-1)</f>
        <v>2521.1397344</v>
      </c>
      <c r="BB121" s="11" t="n">
        <f aca="false">Units!$E120*(1+Inputs!$B$7)^(BB$2-1)</f>
        <v>2521.1397344</v>
      </c>
      <c r="BC121" s="11" t="n">
        <f aca="false">Units!$E120*(1+Inputs!$B$7)^(BC$2-1)</f>
        <v>2521.1397344</v>
      </c>
      <c r="BD121" s="11" t="n">
        <f aca="false">Units!$E120*(1+Inputs!$B$7)^(BD$2-1)</f>
        <v>2521.1397344</v>
      </c>
      <c r="BE121" s="11" t="n">
        <f aca="false">Units!$E120*(1+Inputs!$B$7)^(BE$2-1)</f>
        <v>2521.1397344</v>
      </c>
      <c r="BF121" s="11" t="n">
        <f aca="false">Units!$E120*(1+Inputs!$B$7)^(BF$2-1)</f>
        <v>2521.1397344</v>
      </c>
      <c r="BG121" s="11" t="n">
        <f aca="false">Units!$E120*(1+Inputs!$B$7)^(BG$2-1)</f>
        <v>2521.1397344</v>
      </c>
      <c r="BH121" s="11" t="n">
        <f aca="false">Units!$E120*(1+Inputs!$B$7)^(BH$2-1)</f>
        <v>2521.1397344</v>
      </c>
      <c r="BI121" s="11" t="n">
        <f aca="false">Units!$E120*(1+Inputs!$B$7)^(BI$2-1)</f>
        <v>2521.1397344</v>
      </c>
      <c r="BJ121" s="11" t="n">
        <f aca="false">Units!$E120*(1+Inputs!$B$7)^(BJ$2-1)</f>
        <v>2521.1397344</v>
      </c>
      <c r="BK121" s="11" t="n">
        <f aca="false">Units!$E120*(1+Inputs!$B$7)^(BK$2-1)</f>
        <v>2596.773926432</v>
      </c>
      <c r="BL121" s="11" t="n">
        <f aca="false">Units!$E120*(1+Inputs!$B$7)^(BL$2-1)</f>
        <v>2596.773926432</v>
      </c>
      <c r="BM121" s="11" t="n">
        <f aca="false">Units!$E120*(1+Inputs!$B$7)^(BM$2-1)</f>
        <v>2596.773926432</v>
      </c>
      <c r="BN121" s="11" t="n">
        <f aca="false">Units!$E120*(1+Inputs!$B$7)^(BN$2-1)</f>
        <v>2596.773926432</v>
      </c>
      <c r="BO121" s="11" t="n">
        <f aca="false">Units!$E120*(1+Inputs!$B$7)^(BO$2-1)</f>
        <v>2596.773926432</v>
      </c>
      <c r="BP121" s="11" t="n">
        <f aca="false">Units!$E120*(1+Inputs!$B$7)^(BP$2-1)</f>
        <v>2596.773926432</v>
      </c>
      <c r="BQ121" s="11" t="n">
        <f aca="false">Units!$E120*(1+Inputs!$B$7)^(BQ$2-1)</f>
        <v>2596.773926432</v>
      </c>
      <c r="BR121" s="11" t="n">
        <f aca="false">Units!$E120*(1+Inputs!$B$7)^(BR$2-1)</f>
        <v>2596.773926432</v>
      </c>
      <c r="BS121" s="11" t="n">
        <f aca="false">Units!$E120*(1+Inputs!$B$7)^(BS$2-1)</f>
        <v>2596.773926432</v>
      </c>
      <c r="BT121" s="11" t="n">
        <f aca="false">Units!$E120*(1+Inputs!$B$7)^(BT$2-1)</f>
        <v>2596.773926432</v>
      </c>
      <c r="BU121" s="11" t="n">
        <f aca="false">Units!$E120*(1+Inputs!$B$7)^(BU$2-1)</f>
        <v>2596.773926432</v>
      </c>
      <c r="BV121" s="11" t="n">
        <f aca="false">Units!$E120*(1+Inputs!$B$7)^(BV$2-1)</f>
        <v>2596.773926432</v>
      </c>
      <c r="BW121" s="11" t="n">
        <f aca="false">Units!$E120*(1+Inputs!$B$7)^(BW$2-1)</f>
        <v>2674.67714422496</v>
      </c>
      <c r="BX121" s="11" t="n">
        <f aca="false">Units!$E120*(1+Inputs!$B$7)^(BX$2-1)</f>
        <v>2674.67714422496</v>
      </c>
      <c r="BY121" s="11" t="n">
        <f aca="false">Units!$E120*(1+Inputs!$B$7)^(BY$2-1)</f>
        <v>2674.67714422496</v>
      </c>
      <c r="BZ121" s="11" t="n">
        <f aca="false">Units!$E120*(1+Inputs!$B$7)^(BZ$2-1)</f>
        <v>2674.67714422496</v>
      </c>
      <c r="CA121" s="11" t="n">
        <f aca="false">Units!$E120*(1+Inputs!$B$7)^(CA$2-1)</f>
        <v>2674.67714422496</v>
      </c>
      <c r="CB121" s="11" t="n">
        <f aca="false">Units!$E120*(1+Inputs!$B$7)^(CB$2-1)</f>
        <v>2674.67714422496</v>
      </c>
      <c r="CC121" s="11" t="n">
        <f aca="false">Units!$E120*(1+Inputs!$B$7)^(CC$2-1)</f>
        <v>2674.67714422496</v>
      </c>
      <c r="CD121" s="11" t="n">
        <f aca="false">Units!$E120*(1+Inputs!$B$7)^(CD$2-1)</f>
        <v>2674.67714422496</v>
      </c>
      <c r="CE121" s="11" t="n">
        <f aca="false">Units!$E120*(1+Inputs!$B$7)^(CE$2-1)</f>
        <v>2674.67714422496</v>
      </c>
      <c r="CF121" s="11" t="n">
        <f aca="false">Units!$E120*(1+Inputs!$B$7)^(CF$2-1)</f>
        <v>2674.67714422496</v>
      </c>
      <c r="CG121" s="11" t="n">
        <f aca="false">Units!$E120*(1+Inputs!$B$7)^(CG$2-1)</f>
        <v>2674.67714422496</v>
      </c>
      <c r="CH121" s="11" t="n">
        <f aca="false">Units!$E120*(1+Inputs!$B$7)^(CH$2-1)</f>
        <v>2674.67714422496</v>
      </c>
      <c r="CI121" s="11" t="n">
        <f aca="false">Units!$E120*(1+Inputs!$B$7)^(CI$2-1)</f>
        <v>2754.91745855171</v>
      </c>
      <c r="CJ121" s="11" t="n">
        <f aca="false">Units!$E120*(1+Inputs!$B$7)^(CJ$2-1)</f>
        <v>2754.91745855171</v>
      </c>
      <c r="CK121" s="11" t="n">
        <f aca="false">Units!$E120*(1+Inputs!$B$7)^(CK$2-1)</f>
        <v>2754.91745855171</v>
      </c>
      <c r="CL121" s="11" t="n">
        <f aca="false">Units!$E120*(1+Inputs!$B$7)^(CL$2-1)</f>
        <v>2754.91745855171</v>
      </c>
      <c r="CM121" s="11" t="n">
        <f aca="false">Units!$E120*(1+Inputs!$B$7)^(CM$2-1)</f>
        <v>2754.91745855171</v>
      </c>
      <c r="CN121" s="11" t="n">
        <f aca="false">Units!$E120*(1+Inputs!$B$7)^(CN$2-1)</f>
        <v>2754.91745855171</v>
      </c>
      <c r="CO121" s="11" t="n">
        <f aca="false">Units!$E120*(1+Inputs!$B$7)^(CO$2-1)</f>
        <v>2754.91745855171</v>
      </c>
      <c r="CP121" s="11" t="n">
        <f aca="false">Units!$E120*(1+Inputs!$B$7)^(CP$2-1)</f>
        <v>2754.91745855171</v>
      </c>
      <c r="CQ121" s="11" t="n">
        <f aca="false">Units!$E120*(1+Inputs!$B$7)^(CQ$2-1)</f>
        <v>2754.91745855171</v>
      </c>
      <c r="CR121" s="11" t="n">
        <f aca="false">Units!$E120*(1+Inputs!$B$7)^(CR$2-1)</f>
        <v>2754.91745855171</v>
      </c>
      <c r="CS121" s="11" t="n">
        <f aca="false">Units!$E120*(1+Inputs!$B$7)^(CS$2-1)</f>
        <v>2754.91745855171</v>
      </c>
      <c r="CT121" s="11" t="n">
        <f aca="false">Units!$E120*(1+Inputs!$B$7)^(CT$2-1)</f>
        <v>2754.91745855171</v>
      </c>
      <c r="CU121" s="11" t="n">
        <f aca="false">Units!$E120*(1+Inputs!$B$7)^(CU$2-1)</f>
        <v>2837.56498230826</v>
      </c>
      <c r="CV121" s="11" t="n">
        <f aca="false">Units!$E120*(1+Inputs!$B$7)^(CV$2-1)</f>
        <v>2837.56498230826</v>
      </c>
      <c r="CW121" s="11" t="n">
        <f aca="false">Units!$E120*(1+Inputs!$B$7)^(CW$2-1)</f>
        <v>2837.56498230826</v>
      </c>
      <c r="CX121" s="11" t="n">
        <f aca="false">Units!$E120*(1+Inputs!$B$7)^(CX$2-1)</f>
        <v>2837.56498230826</v>
      </c>
      <c r="CY121" s="11" t="n">
        <f aca="false">Units!$E120*(1+Inputs!$B$7)^(CY$2-1)</f>
        <v>2837.56498230826</v>
      </c>
      <c r="CZ121" s="11" t="n">
        <f aca="false">Units!$E120*(1+Inputs!$B$7)^(CZ$2-1)</f>
        <v>2837.56498230826</v>
      </c>
      <c r="DA121" s="11" t="n">
        <f aca="false">Units!$E120*(1+Inputs!$B$7)^(DA$2-1)</f>
        <v>2837.56498230826</v>
      </c>
      <c r="DB121" s="11" t="n">
        <f aca="false">Units!$E120*(1+Inputs!$B$7)^(DB$2-1)</f>
        <v>2837.56498230826</v>
      </c>
      <c r="DC121" s="11" t="n">
        <f aca="false">Units!$E120*(1+Inputs!$B$7)^(DC$2-1)</f>
        <v>2837.56498230826</v>
      </c>
      <c r="DD121" s="11" t="n">
        <f aca="false">Units!$E120*(1+Inputs!$B$7)^(DD$2-1)</f>
        <v>2837.56498230826</v>
      </c>
      <c r="DE121" s="11" t="n">
        <f aca="false">Units!$E120*(1+Inputs!$B$7)^(DE$2-1)</f>
        <v>2837.56498230826</v>
      </c>
      <c r="DF121" s="11" t="n">
        <f aca="false">Units!$E120*(1+Inputs!$B$7)^(DF$2-1)</f>
        <v>2837.56498230826</v>
      </c>
      <c r="DG121" s="11" t="n">
        <f aca="false">Units!$E120*(1+Inputs!$B$7)^(DG$2-1)</f>
        <v>2922.69193177751</v>
      </c>
      <c r="DH121" s="11" t="n">
        <f aca="false">Units!$E120*(1+Inputs!$B$7)^(DH$2-1)</f>
        <v>2922.69193177751</v>
      </c>
      <c r="DI121" s="11" t="n">
        <f aca="false">Units!$E120*(1+Inputs!$B$7)^(DI$2-1)</f>
        <v>2922.69193177751</v>
      </c>
      <c r="DJ121" s="11" t="n">
        <f aca="false">Units!$E120*(1+Inputs!$B$7)^(DJ$2-1)</f>
        <v>2922.69193177751</v>
      </c>
      <c r="DK121" s="11" t="n">
        <f aca="false">Units!$E120*(1+Inputs!$B$7)^(DK$2-1)</f>
        <v>2922.69193177751</v>
      </c>
      <c r="DL121" s="11" t="n">
        <f aca="false">Units!$E120*(1+Inputs!$B$7)^(DL$2-1)</f>
        <v>2922.69193177751</v>
      </c>
      <c r="DM121" s="11" t="n">
        <f aca="false">Units!$E120*(1+Inputs!$B$7)^(DM$2-1)</f>
        <v>2922.69193177751</v>
      </c>
      <c r="DN121" s="11" t="n">
        <f aca="false">Units!$E120*(1+Inputs!$B$7)^(DN$2-1)</f>
        <v>2922.69193177751</v>
      </c>
      <c r="DO121" s="11" t="n">
        <f aca="false">Units!$E120*(1+Inputs!$B$7)^(DO$2-1)</f>
        <v>2922.69193177751</v>
      </c>
      <c r="DP121" s="11" t="n">
        <f aca="false">Units!$E120*(1+Inputs!$B$7)^(DP$2-1)</f>
        <v>2922.69193177751</v>
      </c>
      <c r="DQ121" s="11" t="n">
        <f aca="false">Units!$E120*(1+Inputs!$B$7)^(DQ$2-1)</f>
        <v>2922.69193177751</v>
      </c>
      <c r="DR121" s="11" t="n">
        <f aca="false">Units!$E120*(1+Inputs!$B$7)^(DR$2-1)</f>
        <v>2922.69193177751</v>
      </c>
      <c r="DS121" s="11" t="n">
        <f aca="false">Units!$E120*(1+Inputs!$B$7)^(DS$2-1)</f>
        <v>3010.37268973083</v>
      </c>
      <c r="DT121" s="11" t="n">
        <f aca="false">Units!$E120*(1+Inputs!$B$7)^(DT$2-1)</f>
        <v>3010.37268973083</v>
      </c>
      <c r="DU121" s="11" t="n">
        <f aca="false">Units!$E120*(1+Inputs!$B$7)^(DU$2-1)</f>
        <v>3010.37268973083</v>
      </c>
      <c r="DV121" s="11" t="n">
        <f aca="false">Units!$E120*(1+Inputs!$B$7)^(DV$2-1)</f>
        <v>3010.37268973083</v>
      </c>
      <c r="DW121" s="11" t="n">
        <f aca="false">Units!$E120*(1+Inputs!$B$7)^(DW$2-1)</f>
        <v>3010.37268973083</v>
      </c>
      <c r="DX121" s="11" t="n">
        <f aca="false">Units!$E120*(1+Inputs!$B$7)^(DX$2-1)</f>
        <v>3010.37268973083</v>
      </c>
      <c r="DY121" s="11" t="n">
        <f aca="false">Units!$E120*(1+Inputs!$B$7)^(DY$2-1)</f>
        <v>3010.37268973083</v>
      </c>
      <c r="DZ121" s="11" t="n">
        <f aca="false">Units!$E120*(1+Inputs!$B$7)^(DZ$2-1)</f>
        <v>3010.37268973083</v>
      </c>
      <c r="EA121" s="11" t="n">
        <f aca="false">Units!$E120*(1+Inputs!$B$7)^(EA$2-1)</f>
        <v>3010.37268973083</v>
      </c>
      <c r="EB121" s="11" t="n">
        <f aca="false">Units!$E120*(1+Inputs!$B$7)^(EB$2-1)</f>
        <v>3010.37268973083</v>
      </c>
      <c r="EC121" s="11" t="n">
        <f aca="false">Units!$E120*(1+Inputs!$B$7)^(EC$2-1)</f>
        <v>3010.37268973083</v>
      </c>
      <c r="ED121" s="11" t="n">
        <f aca="false">Units!$E120*(1+Inputs!$B$7)^(ED$2-1)</f>
        <v>3010.37268973083</v>
      </c>
    </row>
    <row r="122" customFormat="false" ht="15" hidden="false" customHeight="false" outlineLevel="0" collapsed="false">
      <c r="A122" s="22" t="n">
        <f aca="false">Units!A121</f>
        <v>430</v>
      </c>
      <c r="B122" s="23"/>
      <c r="C122" s="11" t="n">
        <f aca="false">Units!$E121*(1+Inputs!$B$7)^(C$2-1)</f>
        <v>2240</v>
      </c>
      <c r="D122" s="11" t="n">
        <f aca="false">Units!$E121*(1+Inputs!$B$7)^(D$2-1)</f>
        <v>2240</v>
      </c>
      <c r="E122" s="11" t="n">
        <f aca="false">Units!$E121*(1+Inputs!$B$7)^(E$2-1)</f>
        <v>2240</v>
      </c>
      <c r="F122" s="11" t="n">
        <f aca="false">Units!$E121*(1+Inputs!$B$7)^(F$2-1)</f>
        <v>2240</v>
      </c>
      <c r="G122" s="11" t="n">
        <f aca="false">Units!$E121*(1+Inputs!$B$7)^(G$2-1)</f>
        <v>2240</v>
      </c>
      <c r="H122" s="11" t="n">
        <f aca="false">Units!$E121*(1+Inputs!$B$7)^(H$2-1)</f>
        <v>2240</v>
      </c>
      <c r="I122" s="11" t="n">
        <f aca="false">Units!$E121*(1+Inputs!$B$7)^(I$2-1)</f>
        <v>2240</v>
      </c>
      <c r="J122" s="11" t="n">
        <f aca="false">Units!$E121*(1+Inputs!$B$7)^(J$2-1)</f>
        <v>2240</v>
      </c>
      <c r="K122" s="11" t="n">
        <f aca="false">Units!$E121*(1+Inputs!$B$7)^(K$2-1)</f>
        <v>2240</v>
      </c>
      <c r="L122" s="11" t="n">
        <f aca="false">Units!$E121*(1+Inputs!$B$7)^(L$2-1)</f>
        <v>2240</v>
      </c>
      <c r="M122" s="11" t="n">
        <f aca="false">Units!$E121*(1+Inputs!$B$7)^(M$2-1)</f>
        <v>2240</v>
      </c>
      <c r="N122" s="11" t="n">
        <f aca="false">Units!$E121*(1+Inputs!$B$7)^(N$2-1)</f>
        <v>2240</v>
      </c>
      <c r="O122" s="11" t="n">
        <f aca="false">Units!$E121*(1+Inputs!$B$7)^(O$2-1)</f>
        <v>2307.2</v>
      </c>
      <c r="P122" s="11" t="n">
        <f aca="false">Units!$E121*(1+Inputs!$B$7)^(P$2-1)</f>
        <v>2307.2</v>
      </c>
      <c r="Q122" s="11" t="n">
        <f aca="false">Units!$E121*(1+Inputs!$B$7)^(Q$2-1)</f>
        <v>2307.2</v>
      </c>
      <c r="R122" s="11" t="n">
        <f aca="false">Units!$E121*(1+Inputs!$B$7)^(R$2-1)</f>
        <v>2307.2</v>
      </c>
      <c r="S122" s="11" t="n">
        <f aca="false">Units!$E121*(1+Inputs!$B$7)^(S$2-1)</f>
        <v>2307.2</v>
      </c>
      <c r="T122" s="11" t="n">
        <f aca="false">Units!$E121*(1+Inputs!$B$7)^(T$2-1)</f>
        <v>2307.2</v>
      </c>
      <c r="U122" s="11" t="n">
        <f aca="false">Units!$E121*(1+Inputs!$B$7)^(U$2-1)</f>
        <v>2307.2</v>
      </c>
      <c r="V122" s="11" t="n">
        <f aca="false">Units!$E121*(1+Inputs!$B$7)^(V$2-1)</f>
        <v>2307.2</v>
      </c>
      <c r="W122" s="11" t="n">
        <f aca="false">Units!$E121*(1+Inputs!$B$7)^(W$2-1)</f>
        <v>2307.2</v>
      </c>
      <c r="X122" s="11" t="n">
        <f aca="false">Units!$E121*(1+Inputs!$B$7)^(X$2-1)</f>
        <v>2307.2</v>
      </c>
      <c r="Y122" s="11" t="n">
        <f aca="false">Units!$E121*(1+Inputs!$B$7)^(Y$2-1)</f>
        <v>2307.2</v>
      </c>
      <c r="Z122" s="11" t="n">
        <f aca="false">Units!$E121*(1+Inputs!$B$7)^(Z$2-1)</f>
        <v>2307.2</v>
      </c>
      <c r="AA122" s="11" t="n">
        <f aca="false">Units!$E121*(1+Inputs!$B$7)^(AA$2-1)</f>
        <v>2376.416</v>
      </c>
      <c r="AB122" s="11" t="n">
        <f aca="false">Units!$E121*(1+Inputs!$B$7)^(AB$2-1)</f>
        <v>2376.416</v>
      </c>
      <c r="AC122" s="11" t="n">
        <f aca="false">Units!$E121*(1+Inputs!$B$7)^(AC$2-1)</f>
        <v>2376.416</v>
      </c>
      <c r="AD122" s="11" t="n">
        <f aca="false">Units!$E121*(1+Inputs!$B$7)^(AD$2-1)</f>
        <v>2376.416</v>
      </c>
      <c r="AE122" s="11" t="n">
        <f aca="false">Units!$E121*(1+Inputs!$B$7)^(AE$2-1)</f>
        <v>2376.416</v>
      </c>
      <c r="AF122" s="11" t="n">
        <f aca="false">Units!$E121*(1+Inputs!$B$7)^(AF$2-1)</f>
        <v>2376.416</v>
      </c>
      <c r="AG122" s="11" t="n">
        <f aca="false">Units!$E121*(1+Inputs!$B$7)^(AG$2-1)</f>
        <v>2376.416</v>
      </c>
      <c r="AH122" s="11" t="n">
        <f aca="false">Units!$E121*(1+Inputs!$B$7)^(AH$2-1)</f>
        <v>2376.416</v>
      </c>
      <c r="AI122" s="11" t="n">
        <f aca="false">Units!$E121*(1+Inputs!$B$7)^(AI$2-1)</f>
        <v>2376.416</v>
      </c>
      <c r="AJ122" s="11" t="n">
        <f aca="false">Units!$E121*(1+Inputs!$B$7)^(AJ$2-1)</f>
        <v>2376.416</v>
      </c>
      <c r="AK122" s="11" t="n">
        <f aca="false">Units!$E121*(1+Inputs!$B$7)^(AK$2-1)</f>
        <v>2376.416</v>
      </c>
      <c r="AL122" s="11" t="n">
        <f aca="false">Units!$E121*(1+Inputs!$B$7)^(AL$2-1)</f>
        <v>2376.416</v>
      </c>
      <c r="AM122" s="11" t="n">
        <f aca="false">Units!$E121*(1+Inputs!$B$7)^(AM$2-1)</f>
        <v>2447.70848</v>
      </c>
      <c r="AN122" s="11" t="n">
        <f aca="false">Units!$E121*(1+Inputs!$B$7)^(AN$2-1)</f>
        <v>2447.70848</v>
      </c>
      <c r="AO122" s="11" t="n">
        <f aca="false">Units!$E121*(1+Inputs!$B$7)^(AO$2-1)</f>
        <v>2447.70848</v>
      </c>
      <c r="AP122" s="11" t="n">
        <f aca="false">Units!$E121*(1+Inputs!$B$7)^(AP$2-1)</f>
        <v>2447.70848</v>
      </c>
      <c r="AQ122" s="11" t="n">
        <f aca="false">Units!$E121*(1+Inputs!$B$7)^(AQ$2-1)</f>
        <v>2447.70848</v>
      </c>
      <c r="AR122" s="11" t="n">
        <f aca="false">Units!$E121*(1+Inputs!$B$7)^(AR$2-1)</f>
        <v>2447.70848</v>
      </c>
      <c r="AS122" s="11" t="n">
        <f aca="false">Units!$E121*(1+Inputs!$B$7)^(AS$2-1)</f>
        <v>2447.70848</v>
      </c>
      <c r="AT122" s="11" t="n">
        <f aca="false">Units!$E121*(1+Inputs!$B$7)^(AT$2-1)</f>
        <v>2447.70848</v>
      </c>
      <c r="AU122" s="11" t="n">
        <f aca="false">Units!$E121*(1+Inputs!$B$7)^(AU$2-1)</f>
        <v>2447.70848</v>
      </c>
      <c r="AV122" s="11" t="n">
        <f aca="false">Units!$E121*(1+Inputs!$B$7)^(AV$2-1)</f>
        <v>2447.70848</v>
      </c>
      <c r="AW122" s="11" t="n">
        <f aca="false">Units!$E121*(1+Inputs!$B$7)^(AW$2-1)</f>
        <v>2447.70848</v>
      </c>
      <c r="AX122" s="11" t="n">
        <f aca="false">Units!$E121*(1+Inputs!$B$7)^(AX$2-1)</f>
        <v>2447.70848</v>
      </c>
      <c r="AY122" s="11" t="n">
        <f aca="false">Units!$E121*(1+Inputs!$B$7)^(AY$2-1)</f>
        <v>2521.1397344</v>
      </c>
      <c r="AZ122" s="11" t="n">
        <f aca="false">Units!$E121*(1+Inputs!$B$7)^(AZ$2-1)</f>
        <v>2521.1397344</v>
      </c>
      <c r="BA122" s="11" t="n">
        <f aca="false">Units!$E121*(1+Inputs!$B$7)^(BA$2-1)</f>
        <v>2521.1397344</v>
      </c>
      <c r="BB122" s="11" t="n">
        <f aca="false">Units!$E121*(1+Inputs!$B$7)^(BB$2-1)</f>
        <v>2521.1397344</v>
      </c>
      <c r="BC122" s="11" t="n">
        <f aca="false">Units!$E121*(1+Inputs!$B$7)^(BC$2-1)</f>
        <v>2521.1397344</v>
      </c>
      <c r="BD122" s="11" t="n">
        <f aca="false">Units!$E121*(1+Inputs!$B$7)^(BD$2-1)</f>
        <v>2521.1397344</v>
      </c>
      <c r="BE122" s="11" t="n">
        <f aca="false">Units!$E121*(1+Inputs!$B$7)^(BE$2-1)</f>
        <v>2521.1397344</v>
      </c>
      <c r="BF122" s="11" t="n">
        <f aca="false">Units!$E121*(1+Inputs!$B$7)^(BF$2-1)</f>
        <v>2521.1397344</v>
      </c>
      <c r="BG122" s="11" t="n">
        <f aca="false">Units!$E121*(1+Inputs!$B$7)^(BG$2-1)</f>
        <v>2521.1397344</v>
      </c>
      <c r="BH122" s="11" t="n">
        <f aca="false">Units!$E121*(1+Inputs!$B$7)^(BH$2-1)</f>
        <v>2521.1397344</v>
      </c>
      <c r="BI122" s="11" t="n">
        <f aca="false">Units!$E121*(1+Inputs!$B$7)^(BI$2-1)</f>
        <v>2521.1397344</v>
      </c>
      <c r="BJ122" s="11" t="n">
        <f aca="false">Units!$E121*(1+Inputs!$B$7)^(BJ$2-1)</f>
        <v>2521.1397344</v>
      </c>
      <c r="BK122" s="11" t="n">
        <f aca="false">Units!$E121*(1+Inputs!$B$7)^(BK$2-1)</f>
        <v>2596.773926432</v>
      </c>
      <c r="BL122" s="11" t="n">
        <f aca="false">Units!$E121*(1+Inputs!$B$7)^(BL$2-1)</f>
        <v>2596.773926432</v>
      </c>
      <c r="BM122" s="11" t="n">
        <f aca="false">Units!$E121*(1+Inputs!$B$7)^(BM$2-1)</f>
        <v>2596.773926432</v>
      </c>
      <c r="BN122" s="11" t="n">
        <f aca="false">Units!$E121*(1+Inputs!$B$7)^(BN$2-1)</f>
        <v>2596.773926432</v>
      </c>
      <c r="BO122" s="11" t="n">
        <f aca="false">Units!$E121*(1+Inputs!$B$7)^(BO$2-1)</f>
        <v>2596.773926432</v>
      </c>
      <c r="BP122" s="11" t="n">
        <f aca="false">Units!$E121*(1+Inputs!$B$7)^(BP$2-1)</f>
        <v>2596.773926432</v>
      </c>
      <c r="BQ122" s="11" t="n">
        <f aca="false">Units!$E121*(1+Inputs!$B$7)^(BQ$2-1)</f>
        <v>2596.773926432</v>
      </c>
      <c r="BR122" s="11" t="n">
        <f aca="false">Units!$E121*(1+Inputs!$B$7)^(BR$2-1)</f>
        <v>2596.773926432</v>
      </c>
      <c r="BS122" s="11" t="n">
        <f aca="false">Units!$E121*(1+Inputs!$B$7)^(BS$2-1)</f>
        <v>2596.773926432</v>
      </c>
      <c r="BT122" s="11" t="n">
        <f aca="false">Units!$E121*(1+Inputs!$B$7)^(BT$2-1)</f>
        <v>2596.773926432</v>
      </c>
      <c r="BU122" s="11" t="n">
        <f aca="false">Units!$E121*(1+Inputs!$B$7)^(BU$2-1)</f>
        <v>2596.773926432</v>
      </c>
      <c r="BV122" s="11" t="n">
        <f aca="false">Units!$E121*(1+Inputs!$B$7)^(BV$2-1)</f>
        <v>2596.773926432</v>
      </c>
      <c r="BW122" s="11" t="n">
        <f aca="false">Units!$E121*(1+Inputs!$B$7)^(BW$2-1)</f>
        <v>2674.67714422496</v>
      </c>
      <c r="BX122" s="11" t="n">
        <f aca="false">Units!$E121*(1+Inputs!$B$7)^(BX$2-1)</f>
        <v>2674.67714422496</v>
      </c>
      <c r="BY122" s="11" t="n">
        <f aca="false">Units!$E121*(1+Inputs!$B$7)^(BY$2-1)</f>
        <v>2674.67714422496</v>
      </c>
      <c r="BZ122" s="11" t="n">
        <f aca="false">Units!$E121*(1+Inputs!$B$7)^(BZ$2-1)</f>
        <v>2674.67714422496</v>
      </c>
      <c r="CA122" s="11" t="n">
        <f aca="false">Units!$E121*(1+Inputs!$B$7)^(CA$2-1)</f>
        <v>2674.67714422496</v>
      </c>
      <c r="CB122" s="11" t="n">
        <f aca="false">Units!$E121*(1+Inputs!$B$7)^(CB$2-1)</f>
        <v>2674.67714422496</v>
      </c>
      <c r="CC122" s="11" t="n">
        <f aca="false">Units!$E121*(1+Inputs!$B$7)^(CC$2-1)</f>
        <v>2674.67714422496</v>
      </c>
      <c r="CD122" s="11" t="n">
        <f aca="false">Units!$E121*(1+Inputs!$B$7)^(CD$2-1)</f>
        <v>2674.67714422496</v>
      </c>
      <c r="CE122" s="11" t="n">
        <f aca="false">Units!$E121*(1+Inputs!$B$7)^(CE$2-1)</f>
        <v>2674.67714422496</v>
      </c>
      <c r="CF122" s="11" t="n">
        <f aca="false">Units!$E121*(1+Inputs!$B$7)^(CF$2-1)</f>
        <v>2674.67714422496</v>
      </c>
      <c r="CG122" s="11" t="n">
        <f aca="false">Units!$E121*(1+Inputs!$B$7)^(CG$2-1)</f>
        <v>2674.67714422496</v>
      </c>
      <c r="CH122" s="11" t="n">
        <f aca="false">Units!$E121*(1+Inputs!$B$7)^(CH$2-1)</f>
        <v>2674.67714422496</v>
      </c>
      <c r="CI122" s="11" t="n">
        <f aca="false">Units!$E121*(1+Inputs!$B$7)^(CI$2-1)</f>
        <v>2754.91745855171</v>
      </c>
      <c r="CJ122" s="11" t="n">
        <f aca="false">Units!$E121*(1+Inputs!$B$7)^(CJ$2-1)</f>
        <v>2754.91745855171</v>
      </c>
      <c r="CK122" s="11" t="n">
        <f aca="false">Units!$E121*(1+Inputs!$B$7)^(CK$2-1)</f>
        <v>2754.91745855171</v>
      </c>
      <c r="CL122" s="11" t="n">
        <f aca="false">Units!$E121*(1+Inputs!$B$7)^(CL$2-1)</f>
        <v>2754.91745855171</v>
      </c>
      <c r="CM122" s="11" t="n">
        <f aca="false">Units!$E121*(1+Inputs!$B$7)^(CM$2-1)</f>
        <v>2754.91745855171</v>
      </c>
      <c r="CN122" s="11" t="n">
        <f aca="false">Units!$E121*(1+Inputs!$B$7)^(CN$2-1)</f>
        <v>2754.91745855171</v>
      </c>
      <c r="CO122" s="11" t="n">
        <f aca="false">Units!$E121*(1+Inputs!$B$7)^(CO$2-1)</f>
        <v>2754.91745855171</v>
      </c>
      <c r="CP122" s="11" t="n">
        <f aca="false">Units!$E121*(1+Inputs!$B$7)^(CP$2-1)</f>
        <v>2754.91745855171</v>
      </c>
      <c r="CQ122" s="11" t="n">
        <f aca="false">Units!$E121*(1+Inputs!$B$7)^(CQ$2-1)</f>
        <v>2754.91745855171</v>
      </c>
      <c r="CR122" s="11" t="n">
        <f aca="false">Units!$E121*(1+Inputs!$B$7)^(CR$2-1)</f>
        <v>2754.91745855171</v>
      </c>
      <c r="CS122" s="11" t="n">
        <f aca="false">Units!$E121*(1+Inputs!$B$7)^(CS$2-1)</f>
        <v>2754.91745855171</v>
      </c>
      <c r="CT122" s="11" t="n">
        <f aca="false">Units!$E121*(1+Inputs!$B$7)^(CT$2-1)</f>
        <v>2754.91745855171</v>
      </c>
      <c r="CU122" s="11" t="n">
        <f aca="false">Units!$E121*(1+Inputs!$B$7)^(CU$2-1)</f>
        <v>2837.56498230826</v>
      </c>
      <c r="CV122" s="11" t="n">
        <f aca="false">Units!$E121*(1+Inputs!$B$7)^(CV$2-1)</f>
        <v>2837.56498230826</v>
      </c>
      <c r="CW122" s="11" t="n">
        <f aca="false">Units!$E121*(1+Inputs!$B$7)^(CW$2-1)</f>
        <v>2837.56498230826</v>
      </c>
      <c r="CX122" s="11" t="n">
        <f aca="false">Units!$E121*(1+Inputs!$B$7)^(CX$2-1)</f>
        <v>2837.56498230826</v>
      </c>
      <c r="CY122" s="11" t="n">
        <f aca="false">Units!$E121*(1+Inputs!$B$7)^(CY$2-1)</f>
        <v>2837.56498230826</v>
      </c>
      <c r="CZ122" s="11" t="n">
        <f aca="false">Units!$E121*(1+Inputs!$B$7)^(CZ$2-1)</f>
        <v>2837.56498230826</v>
      </c>
      <c r="DA122" s="11" t="n">
        <f aca="false">Units!$E121*(1+Inputs!$B$7)^(DA$2-1)</f>
        <v>2837.56498230826</v>
      </c>
      <c r="DB122" s="11" t="n">
        <f aca="false">Units!$E121*(1+Inputs!$B$7)^(DB$2-1)</f>
        <v>2837.56498230826</v>
      </c>
      <c r="DC122" s="11" t="n">
        <f aca="false">Units!$E121*(1+Inputs!$B$7)^(DC$2-1)</f>
        <v>2837.56498230826</v>
      </c>
      <c r="DD122" s="11" t="n">
        <f aca="false">Units!$E121*(1+Inputs!$B$7)^(DD$2-1)</f>
        <v>2837.56498230826</v>
      </c>
      <c r="DE122" s="11" t="n">
        <f aca="false">Units!$E121*(1+Inputs!$B$7)^(DE$2-1)</f>
        <v>2837.56498230826</v>
      </c>
      <c r="DF122" s="11" t="n">
        <f aca="false">Units!$E121*(1+Inputs!$B$7)^(DF$2-1)</f>
        <v>2837.56498230826</v>
      </c>
      <c r="DG122" s="11" t="n">
        <f aca="false">Units!$E121*(1+Inputs!$B$7)^(DG$2-1)</f>
        <v>2922.69193177751</v>
      </c>
      <c r="DH122" s="11" t="n">
        <f aca="false">Units!$E121*(1+Inputs!$B$7)^(DH$2-1)</f>
        <v>2922.69193177751</v>
      </c>
      <c r="DI122" s="11" t="n">
        <f aca="false">Units!$E121*(1+Inputs!$B$7)^(DI$2-1)</f>
        <v>2922.69193177751</v>
      </c>
      <c r="DJ122" s="11" t="n">
        <f aca="false">Units!$E121*(1+Inputs!$B$7)^(DJ$2-1)</f>
        <v>2922.69193177751</v>
      </c>
      <c r="DK122" s="11" t="n">
        <f aca="false">Units!$E121*(1+Inputs!$B$7)^(DK$2-1)</f>
        <v>2922.69193177751</v>
      </c>
      <c r="DL122" s="11" t="n">
        <f aca="false">Units!$E121*(1+Inputs!$B$7)^(DL$2-1)</f>
        <v>2922.69193177751</v>
      </c>
      <c r="DM122" s="11" t="n">
        <f aca="false">Units!$E121*(1+Inputs!$B$7)^(DM$2-1)</f>
        <v>2922.69193177751</v>
      </c>
      <c r="DN122" s="11" t="n">
        <f aca="false">Units!$E121*(1+Inputs!$B$7)^(DN$2-1)</f>
        <v>2922.69193177751</v>
      </c>
      <c r="DO122" s="11" t="n">
        <f aca="false">Units!$E121*(1+Inputs!$B$7)^(DO$2-1)</f>
        <v>2922.69193177751</v>
      </c>
      <c r="DP122" s="11" t="n">
        <f aca="false">Units!$E121*(1+Inputs!$B$7)^(DP$2-1)</f>
        <v>2922.69193177751</v>
      </c>
      <c r="DQ122" s="11" t="n">
        <f aca="false">Units!$E121*(1+Inputs!$B$7)^(DQ$2-1)</f>
        <v>2922.69193177751</v>
      </c>
      <c r="DR122" s="11" t="n">
        <f aca="false">Units!$E121*(1+Inputs!$B$7)^(DR$2-1)</f>
        <v>2922.69193177751</v>
      </c>
      <c r="DS122" s="11" t="n">
        <f aca="false">Units!$E121*(1+Inputs!$B$7)^(DS$2-1)</f>
        <v>3010.37268973083</v>
      </c>
      <c r="DT122" s="11" t="n">
        <f aca="false">Units!$E121*(1+Inputs!$B$7)^(DT$2-1)</f>
        <v>3010.37268973083</v>
      </c>
      <c r="DU122" s="11" t="n">
        <f aca="false">Units!$E121*(1+Inputs!$B$7)^(DU$2-1)</f>
        <v>3010.37268973083</v>
      </c>
      <c r="DV122" s="11" t="n">
        <f aca="false">Units!$E121*(1+Inputs!$B$7)^(DV$2-1)</f>
        <v>3010.37268973083</v>
      </c>
      <c r="DW122" s="11" t="n">
        <f aca="false">Units!$E121*(1+Inputs!$B$7)^(DW$2-1)</f>
        <v>3010.37268973083</v>
      </c>
      <c r="DX122" s="11" t="n">
        <f aca="false">Units!$E121*(1+Inputs!$B$7)^(DX$2-1)</f>
        <v>3010.37268973083</v>
      </c>
      <c r="DY122" s="11" t="n">
        <f aca="false">Units!$E121*(1+Inputs!$B$7)^(DY$2-1)</f>
        <v>3010.37268973083</v>
      </c>
      <c r="DZ122" s="11" t="n">
        <f aca="false">Units!$E121*(1+Inputs!$B$7)^(DZ$2-1)</f>
        <v>3010.37268973083</v>
      </c>
      <c r="EA122" s="11" t="n">
        <f aca="false">Units!$E121*(1+Inputs!$B$7)^(EA$2-1)</f>
        <v>3010.37268973083</v>
      </c>
      <c r="EB122" s="11" t="n">
        <f aca="false">Units!$E121*(1+Inputs!$B$7)^(EB$2-1)</f>
        <v>3010.37268973083</v>
      </c>
      <c r="EC122" s="11" t="n">
        <f aca="false">Units!$E121*(1+Inputs!$B$7)^(EC$2-1)</f>
        <v>3010.37268973083</v>
      </c>
      <c r="ED122" s="11" t="n">
        <f aca="false">Units!$E121*(1+Inputs!$B$7)^(ED$2-1)</f>
        <v>3010.37268973083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D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</cols>
  <sheetData>
    <row r="1" customFormat="false" ht="15" hidden="false" customHeight="false" outlineLevel="0" collapsed="false">
      <c r="A1" s="14" t="s">
        <v>130</v>
      </c>
      <c r="B1" s="14" t="s">
        <v>131</v>
      </c>
      <c r="C1" s="14" t="n">
        <v>1</v>
      </c>
      <c r="D1" s="14" t="n">
        <v>2</v>
      </c>
      <c r="E1" s="14" t="n">
        <v>3</v>
      </c>
      <c r="F1" s="14" t="n">
        <v>4</v>
      </c>
      <c r="G1" s="14" t="n">
        <v>5</v>
      </c>
      <c r="H1" s="14" t="n">
        <v>6</v>
      </c>
      <c r="I1" s="14" t="n">
        <v>7</v>
      </c>
      <c r="J1" s="14" t="n">
        <v>8</v>
      </c>
      <c r="K1" s="14" t="n">
        <v>9</v>
      </c>
      <c r="L1" s="14" t="n">
        <v>10</v>
      </c>
      <c r="M1" s="14" t="n">
        <v>11</v>
      </c>
      <c r="N1" s="14" t="n">
        <v>12</v>
      </c>
      <c r="O1" s="14" t="n">
        <v>13</v>
      </c>
      <c r="P1" s="14" t="n">
        <v>14</v>
      </c>
      <c r="Q1" s="14" t="n">
        <v>15</v>
      </c>
      <c r="R1" s="14" t="n">
        <v>16</v>
      </c>
      <c r="S1" s="14" t="n">
        <v>17</v>
      </c>
      <c r="T1" s="14" t="n">
        <v>18</v>
      </c>
      <c r="U1" s="14" t="n">
        <v>19</v>
      </c>
      <c r="V1" s="14" t="n">
        <v>20</v>
      </c>
      <c r="W1" s="14" t="n">
        <v>21</v>
      </c>
      <c r="X1" s="14" t="n">
        <v>22</v>
      </c>
      <c r="Y1" s="14" t="n">
        <v>23</v>
      </c>
      <c r="Z1" s="14" t="n">
        <v>24</v>
      </c>
      <c r="AA1" s="14" t="n">
        <v>25</v>
      </c>
      <c r="AB1" s="14" t="n">
        <v>26</v>
      </c>
      <c r="AC1" s="14" t="n">
        <v>27</v>
      </c>
      <c r="AD1" s="14" t="n">
        <v>28</v>
      </c>
      <c r="AE1" s="14" t="n">
        <v>29</v>
      </c>
      <c r="AF1" s="14" t="n">
        <v>30</v>
      </c>
      <c r="AG1" s="14" t="n">
        <v>31</v>
      </c>
      <c r="AH1" s="14" t="n">
        <v>32</v>
      </c>
      <c r="AI1" s="14" t="n">
        <v>33</v>
      </c>
      <c r="AJ1" s="14" t="n">
        <v>34</v>
      </c>
      <c r="AK1" s="14" t="n">
        <v>35</v>
      </c>
      <c r="AL1" s="14" t="n">
        <v>36</v>
      </c>
      <c r="AM1" s="14" t="n">
        <v>37</v>
      </c>
      <c r="AN1" s="14" t="n">
        <v>38</v>
      </c>
      <c r="AO1" s="14" t="n">
        <v>39</v>
      </c>
      <c r="AP1" s="14" t="n">
        <v>40</v>
      </c>
      <c r="AQ1" s="14" t="n">
        <v>41</v>
      </c>
      <c r="AR1" s="14" t="n">
        <v>42</v>
      </c>
      <c r="AS1" s="14" t="n">
        <v>43</v>
      </c>
      <c r="AT1" s="14" t="n">
        <v>44</v>
      </c>
      <c r="AU1" s="14" t="n">
        <v>45</v>
      </c>
      <c r="AV1" s="14" t="n">
        <v>46</v>
      </c>
      <c r="AW1" s="14" t="n">
        <v>47</v>
      </c>
      <c r="AX1" s="14" t="n">
        <v>48</v>
      </c>
      <c r="AY1" s="14" t="n">
        <v>49</v>
      </c>
      <c r="AZ1" s="14" t="n">
        <v>50</v>
      </c>
      <c r="BA1" s="14" t="n">
        <v>51</v>
      </c>
      <c r="BB1" s="14" t="n">
        <v>52</v>
      </c>
      <c r="BC1" s="14" t="n">
        <v>53</v>
      </c>
      <c r="BD1" s="14" t="n">
        <v>54</v>
      </c>
      <c r="BE1" s="14" t="n">
        <v>55</v>
      </c>
      <c r="BF1" s="14" t="n">
        <v>56</v>
      </c>
      <c r="BG1" s="14" t="n">
        <v>57</v>
      </c>
      <c r="BH1" s="14" t="n">
        <v>58</v>
      </c>
      <c r="BI1" s="14" t="n">
        <v>59</v>
      </c>
      <c r="BJ1" s="14" t="n">
        <v>60</v>
      </c>
      <c r="BK1" s="14" t="n">
        <v>61</v>
      </c>
      <c r="BL1" s="14" t="n">
        <v>62</v>
      </c>
      <c r="BM1" s="14" t="n">
        <v>63</v>
      </c>
      <c r="BN1" s="14" t="n">
        <v>64</v>
      </c>
      <c r="BO1" s="14" t="n">
        <v>65</v>
      </c>
      <c r="BP1" s="14" t="n">
        <v>66</v>
      </c>
      <c r="BQ1" s="14" t="n">
        <v>67</v>
      </c>
      <c r="BR1" s="14" t="n">
        <v>68</v>
      </c>
      <c r="BS1" s="14" t="n">
        <v>69</v>
      </c>
      <c r="BT1" s="14" t="n">
        <v>70</v>
      </c>
      <c r="BU1" s="14" t="n">
        <v>71</v>
      </c>
      <c r="BV1" s="14" t="n">
        <v>72</v>
      </c>
      <c r="BW1" s="14" t="n">
        <v>73</v>
      </c>
      <c r="BX1" s="14" t="n">
        <v>74</v>
      </c>
      <c r="BY1" s="14" t="n">
        <v>75</v>
      </c>
      <c r="BZ1" s="14" t="n">
        <v>76</v>
      </c>
      <c r="CA1" s="14" t="n">
        <v>77</v>
      </c>
      <c r="CB1" s="14" t="n">
        <v>78</v>
      </c>
      <c r="CC1" s="14" t="n">
        <v>79</v>
      </c>
      <c r="CD1" s="14" t="n">
        <v>80</v>
      </c>
      <c r="CE1" s="14" t="n">
        <v>81</v>
      </c>
      <c r="CF1" s="14" t="n">
        <v>82</v>
      </c>
      <c r="CG1" s="14" t="n">
        <v>83</v>
      </c>
      <c r="CH1" s="14" t="n">
        <v>84</v>
      </c>
      <c r="CI1" s="14" t="n">
        <v>85</v>
      </c>
      <c r="CJ1" s="14" t="n">
        <v>86</v>
      </c>
      <c r="CK1" s="14" t="n">
        <v>87</v>
      </c>
      <c r="CL1" s="14" t="n">
        <v>88</v>
      </c>
      <c r="CM1" s="14" t="n">
        <v>89</v>
      </c>
      <c r="CN1" s="14" t="n">
        <v>90</v>
      </c>
      <c r="CO1" s="14" t="n">
        <v>91</v>
      </c>
      <c r="CP1" s="14" t="n">
        <v>92</v>
      </c>
      <c r="CQ1" s="14" t="n">
        <v>93</v>
      </c>
      <c r="CR1" s="14" t="n">
        <v>94</v>
      </c>
      <c r="CS1" s="14" t="n">
        <v>95</v>
      </c>
      <c r="CT1" s="14" t="n">
        <v>96</v>
      </c>
      <c r="CU1" s="14" t="n">
        <v>97</v>
      </c>
      <c r="CV1" s="14" t="n">
        <v>98</v>
      </c>
      <c r="CW1" s="14" t="n">
        <v>99</v>
      </c>
      <c r="CX1" s="14" t="n">
        <v>100</v>
      </c>
      <c r="CY1" s="14" t="n">
        <v>101</v>
      </c>
      <c r="CZ1" s="14" t="n">
        <v>102</v>
      </c>
      <c r="DA1" s="14" t="n">
        <v>103</v>
      </c>
      <c r="DB1" s="14" t="n">
        <v>104</v>
      </c>
      <c r="DC1" s="14" t="n">
        <v>105</v>
      </c>
      <c r="DD1" s="14" t="n">
        <v>106</v>
      </c>
      <c r="DE1" s="14" t="n">
        <v>107</v>
      </c>
      <c r="DF1" s="14" t="n">
        <v>108</v>
      </c>
      <c r="DG1" s="14" t="n">
        <v>109</v>
      </c>
      <c r="DH1" s="14" t="n">
        <v>110</v>
      </c>
      <c r="DI1" s="14" t="n">
        <v>111</v>
      </c>
      <c r="DJ1" s="14" t="n">
        <v>112</v>
      </c>
      <c r="DK1" s="14" t="n">
        <v>113</v>
      </c>
      <c r="DL1" s="14" t="n">
        <v>114</v>
      </c>
      <c r="DM1" s="14" t="n">
        <v>115</v>
      </c>
      <c r="DN1" s="14" t="n">
        <v>116</v>
      </c>
      <c r="DO1" s="14" t="n">
        <v>117</v>
      </c>
      <c r="DP1" s="14" t="n">
        <v>118</v>
      </c>
      <c r="DQ1" s="14" t="n">
        <v>119</v>
      </c>
      <c r="DR1" s="14" t="n">
        <v>120</v>
      </c>
      <c r="DS1" s="14" t="n">
        <v>121</v>
      </c>
      <c r="DT1" s="14" t="n">
        <v>122</v>
      </c>
      <c r="DU1" s="14" t="n">
        <v>123</v>
      </c>
      <c r="DV1" s="14" t="n">
        <v>124</v>
      </c>
      <c r="DW1" s="14" t="n">
        <v>125</v>
      </c>
      <c r="DX1" s="14" t="n">
        <v>126</v>
      </c>
      <c r="DY1" s="14" t="n">
        <v>127</v>
      </c>
      <c r="DZ1" s="14" t="n">
        <v>128</v>
      </c>
      <c r="EA1" s="14" t="n">
        <v>129</v>
      </c>
      <c r="EB1" s="14" t="n">
        <v>130</v>
      </c>
      <c r="EC1" s="14" t="n">
        <v>131</v>
      </c>
      <c r="ED1" s="14" t="n">
        <v>132</v>
      </c>
    </row>
    <row r="2" customFormat="false" ht="15" hidden="false" customHeight="false" outlineLevel="0" collapsed="false">
      <c r="A2" s="14" t="s">
        <v>54</v>
      </c>
      <c r="C2" s="2" t="n">
        <f aca="false">ROUNDUP(C1/12,0)</f>
        <v>1</v>
      </c>
      <c r="D2" s="2" t="n">
        <f aca="false">ROUNDUP(D1/12,0)</f>
        <v>1</v>
      </c>
      <c r="E2" s="2" t="n">
        <f aca="false">ROUNDUP(E1/12,0)</f>
        <v>1</v>
      </c>
      <c r="F2" s="2" t="n">
        <f aca="false">ROUNDUP(F1/12,0)</f>
        <v>1</v>
      </c>
      <c r="G2" s="2" t="n">
        <f aca="false">ROUNDUP(G1/12,0)</f>
        <v>1</v>
      </c>
      <c r="H2" s="2" t="n">
        <f aca="false">ROUNDUP(H1/12,0)</f>
        <v>1</v>
      </c>
      <c r="I2" s="2" t="n">
        <f aca="false">ROUNDUP(I1/12,0)</f>
        <v>1</v>
      </c>
      <c r="J2" s="2" t="n">
        <f aca="false">ROUNDUP(J1/12,0)</f>
        <v>1</v>
      </c>
      <c r="K2" s="2" t="n">
        <f aca="false">ROUNDUP(K1/12,0)</f>
        <v>1</v>
      </c>
      <c r="L2" s="2" t="n">
        <f aca="false">ROUNDUP(L1/12,0)</f>
        <v>1</v>
      </c>
      <c r="M2" s="2" t="n">
        <f aca="false">ROUNDUP(M1/12,0)</f>
        <v>1</v>
      </c>
      <c r="N2" s="2" t="n">
        <f aca="false">ROUNDUP(N1/12,0)</f>
        <v>1</v>
      </c>
      <c r="O2" s="2" t="n">
        <f aca="false">ROUNDUP(O1/12,0)</f>
        <v>2</v>
      </c>
      <c r="P2" s="2" t="n">
        <f aca="false">ROUNDUP(P1/12,0)</f>
        <v>2</v>
      </c>
      <c r="Q2" s="2" t="n">
        <f aca="false">ROUNDUP(Q1/12,0)</f>
        <v>2</v>
      </c>
      <c r="R2" s="2" t="n">
        <f aca="false">ROUNDUP(R1/12,0)</f>
        <v>2</v>
      </c>
      <c r="S2" s="2" t="n">
        <f aca="false">ROUNDUP(S1/12,0)</f>
        <v>2</v>
      </c>
      <c r="T2" s="2" t="n">
        <f aca="false">ROUNDUP(T1/12,0)</f>
        <v>2</v>
      </c>
      <c r="U2" s="2" t="n">
        <f aca="false">ROUNDUP(U1/12,0)</f>
        <v>2</v>
      </c>
      <c r="V2" s="2" t="n">
        <f aca="false">ROUNDUP(V1/12,0)</f>
        <v>2</v>
      </c>
      <c r="W2" s="2" t="n">
        <f aca="false">ROUNDUP(W1/12,0)</f>
        <v>2</v>
      </c>
      <c r="X2" s="2" t="n">
        <f aca="false">ROUNDUP(X1/12,0)</f>
        <v>2</v>
      </c>
      <c r="Y2" s="2" t="n">
        <f aca="false">ROUNDUP(Y1/12,0)</f>
        <v>2</v>
      </c>
      <c r="Z2" s="2" t="n">
        <f aca="false">ROUNDUP(Z1/12,0)</f>
        <v>2</v>
      </c>
      <c r="AA2" s="2" t="n">
        <f aca="false">ROUNDUP(AA1/12,0)</f>
        <v>3</v>
      </c>
      <c r="AB2" s="2" t="n">
        <f aca="false">ROUNDUP(AB1/12,0)</f>
        <v>3</v>
      </c>
      <c r="AC2" s="2" t="n">
        <f aca="false">ROUNDUP(AC1/12,0)</f>
        <v>3</v>
      </c>
      <c r="AD2" s="2" t="n">
        <f aca="false">ROUNDUP(AD1/12,0)</f>
        <v>3</v>
      </c>
      <c r="AE2" s="2" t="n">
        <f aca="false">ROUNDUP(AE1/12,0)</f>
        <v>3</v>
      </c>
      <c r="AF2" s="2" t="n">
        <f aca="false">ROUNDUP(AF1/12,0)</f>
        <v>3</v>
      </c>
      <c r="AG2" s="2" t="n">
        <f aca="false">ROUNDUP(AG1/12,0)</f>
        <v>3</v>
      </c>
      <c r="AH2" s="2" t="n">
        <f aca="false">ROUNDUP(AH1/12,0)</f>
        <v>3</v>
      </c>
      <c r="AI2" s="2" t="n">
        <f aca="false">ROUNDUP(AI1/12,0)</f>
        <v>3</v>
      </c>
      <c r="AJ2" s="2" t="n">
        <f aca="false">ROUNDUP(AJ1/12,0)</f>
        <v>3</v>
      </c>
      <c r="AK2" s="2" t="n">
        <f aca="false">ROUNDUP(AK1/12,0)</f>
        <v>3</v>
      </c>
      <c r="AL2" s="2" t="n">
        <f aca="false">ROUNDUP(AL1/12,0)</f>
        <v>3</v>
      </c>
      <c r="AM2" s="2" t="n">
        <f aca="false">ROUNDUP(AM1/12,0)</f>
        <v>4</v>
      </c>
      <c r="AN2" s="2" t="n">
        <f aca="false">ROUNDUP(AN1/12,0)</f>
        <v>4</v>
      </c>
      <c r="AO2" s="2" t="n">
        <f aca="false">ROUNDUP(AO1/12,0)</f>
        <v>4</v>
      </c>
      <c r="AP2" s="2" t="n">
        <f aca="false">ROUNDUP(AP1/12,0)</f>
        <v>4</v>
      </c>
      <c r="AQ2" s="2" t="n">
        <f aca="false">ROUNDUP(AQ1/12,0)</f>
        <v>4</v>
      </c>
      <c r="AR2" s="2" t="n">
        <f aca="false">ROUNDUP(AR1/12,0)</f>
        <v>4</v>
      </c>
      <c r="AS2" s="2" t="n">
        <f aca="false">ROUNDUP(AS1/12,0)</f>
        <v>4</v>
      </c>
      <c r="AT2" s="2" t="n">
        <f aca="false">ROUNDUP(AT1/12,0)</f>
        <v>4</v>
      </c>
      <c r="AU2" s="2" t="n">
        <f aca="false">ROUNDUP(AU1/12,0)</f>
        <v>4</v>
      </c>
      <c r="AV2" s="2" t="n">
        <f aca="false">ROUNDUP(AV1/12,0)</f>
        <v>4</v>
      </c>
      <c r="AW2" s="2" t="n">
        <f aca="false">ROUNDUP(AW1/12,0)</f>
        <v>4</v>
      </c>
      <c r="AX2" s="2" t="n">
        <f aca="false">ROUNDUP(AX1/12,0)</f>
        <v>4</v>
      </c>
      <c r="AY2" s="2" t="n">
        <f aca="false">ROUNDUP(AY1/12,0)</f>
        <v>5</v>
      </c>
      <c r="AZ2" s="2" t="n">
        <f aca="false">ROUNDUP(AZ1/12,0)</f>
        <v>5</v>
      </c>
      <c r="BA2" s="2" t="n">
        <f aca="false">ROUNDUP(BA1/12,0)</f>
        <v>5</v>
      </c>
      <c r="BB2" s="2" t="n">
        <f aca="false">ROUNDUP(BB1/12,0)</f>
        <v>5</v>
      </c>
      <c r="BC2" s="2" t="n">
        <f aca="false">ROUNDUP(BC1/12,0)</f>
        <v>5</v>
      </c>
      <c r="BD2" s="2" t="n">
        <f aca="false">ROUNDUP(BD1/12,0)</f>
        <v>5</v>
      </c>
      <c r="BE2" s="2" t="n">
        <f aca="false">ROUNDUP(BE1/12,0)</f>
        <v>5</v>
      </c>
      <c r="BF2" s="2" t="n">
        <f aca="false">ROUNDUP(BF1/12,0)</f>
        <v>5</v>
      </c>
      <c r="BG2" s="2" t="n">
        <f aca="false">ROUNDUP(BG1/12,0)</f>
        <v>5</v>
      </c>
      <c r="BH2" s="2" t="n">
        <f aca="false">ROUNDUP(BH1/12,0)</f>
        <v>5</v>
      </c>
      <c r="BI2" s="2" t="n">
        <f aca="false">ROUNDUP(BI1/12,0)</f>
        <v>5</v>
      </c>
      <c r="BJ2" s="2" t="n">
        <f aca="false">ROUNDUP(BJ1/12,0)</f>
        <v>5</v>
      </c>
      <c r="BK2" s="2" t="n">
        <f aca="false">ROUNDUP(BK1/12,0)</f>
        <v>6</v>
      </c>
      <c r="BL2" s="2" t="n">
        <f aca="false">ROUNDUP(BL1/12,0)</f>
        <v>6</v>
      </c>
      <c r="BM2" s="2" t="n">
        <f aca="false">ROUNDUP(BM1/12,0)</f>
        <v>6</v>
      </c>
      <c r="BN2" s="2" t="n">
        <f aca="false">ROUNDUP(BN1/12,0)</f>
        <v>6</v>
      </c>
      <c r="BO2" s="2" t="n">
        <f aca="false">ROUNDUP(BO1/12,0)</f>
        <v>6</v>
      </c>
      <c r="BP2" s="2" t="n">
        <f aca="false">ROUNDUP(BP1/12,0)</f>
        <v>6</v>
      </c>
      <c r="BQ2" s="2" t="n">
        <f aca="false">ROUNDUP(BQ1/12,0)</f>
        <v>6</v>
      </c>
      <c r="BR2" s="2" t="n">
        <f aca="false">ROUNDUP(BR1/12,0)</f>
        <v>6</v>
      </c>
      <c r="BS2" s="2" t="n">
        <f aca="false">ROUNDUP(BS1/12,0)</f>
        <v>6</v>
      </c>
      <c r="BT2" s="2" t="n">
        <f aca="false">ROUNDUP(BT1/12,0)</f>
        <v>6</v>
      </c>
      <c r="BU2" s="2" t="n">
        <f aca="false">ROUNDUP(BU1/12,0)</f>
        <v>6</v>
      </c>
      <c r="BV2" s="2" t="n">
        <f aca="false">ROUNDUP(BV1/12,0)</f>
        <v>6</v>
      </c>
      <c r="BW2" s="2" t="n">
        <f aca="false">ROUNDUP(BW1/12,0)</f>
        <v>7</v>
      </c>
      <c r="BX2" s="2" t="n">
        <f aca="false">ROUNDUP(BX1/12,0)</f>
        <v>7</v>
      </c>
      <c r="BY2" s="2" t="n">
        <f aca="false">ROUNDUP(BY1/12,0)</f>
        <v>7</v>
      </c>
      <c r="BZ2" s="2" t="n">
        <f aca="false">ROUNDUP(BZ1/12,0)</f>
        <v>7</v>
      </c>
      <c r="CA2" s="2" t="n">
        <f aca="false">ROUNDUP(CA1/12,0)</f>
        <v>7</v>
      </c>
      <c r="CB2" s="2" t="n">
        <f aca="false">ROUNDUP(CB1/12,0)</f>
        <v>7</v>
      </c>
      <c r="CC2" s="2" t="n">
        <f aca="false">ROUNDUP(CC1/12,0)</f>
        <v>7</v>
      </c>
      <c r="CD2" s="2" t="n">
        <f aca="false">ROUNDUP(CD1/12,0)</f>
        <v>7</v>
      </c>
      <c r="CE2" s="2" t="n">
        <f aca="false">ROUNDUP(CE1/12,0)</f>
        <v>7</v>
      </c>
      <c r="CF2" s="2" t="n">
        <f aca="false">ROUNDUP(CF1/12,0)</f>
        <v>7</v>
      </c>
      <c r="CG2" s="2" t="n">
        <f aca="false">ROUNDUP(CG1/12,0)</f>
        <v>7</v>
      </c>
      <c r="CH2" s="2" t="n">
        <f aca="false">ROUNDUP(CH1/12,0)</f>
        <v>7</v>
      </c>
      <c r="CI2" s="2" t="n">
        <f aca="false">ROUNDUP(CI1/12,0)</f>
        <v>8</v>
      </c>
      <c r="CJ2" s="2" t="n">
        <f aca="false">ROUNDUP(CJ1/12,0)</f>
        <v>8</v>
      </c>
      <c r="CK2" s="2" t="n">
        <f aca="false">ROUNDUP(CK1/12,0)</f>
        <v>8</v>
      </c>
      <c r="CL2" s="2" t="n">
        <f aca="false">ROUNDUP(CL1/12,0)</f>
        <v>8</v>
      </c>
      <c r="CM2" s="2" t="n">
        <f aca="false">ROUNDUP(CM1/12,0)</f>
        <v>8</v>
      </c>
      <c r="CN2" s="2" t="n">
        <f aca="false">ROUNDUP(CN1/12,0)</f>
        <v>8</v>
      </c>
      <c r="CO2" s="2" t="n">
        <f aca="false">ROUNDUP(CO1/12,0)</f>
        <v>8</v>
      </c>
      <c r="CP2" s="2" t="n">
        <f aca="false">ROUNDUP(CP1/12,0)</f>
        <v>8</v>
      </c>
      <c r="CQ2" s="2" t="n">
        <f aca="false">ROUNDUP(CQ1/12,0)</f>
        <v>8</v>
      </c>
      <c r="CR2" s="2" t="n">
        <f aca="false">ROUNDUP(CR1/12,0)</f>
        <v>8</v>
      </c>
      <c r="CS2" s="2" t="n">
        <f aca="false">ROUNDUP(CS1/12,0)</f>
        <v>8</v>
      </c>
      <c r="CT2" s="2" t="n">
        <f aca="false">ROUNDUP(CT1/12,0)</f>
        <v>8</v>
      </c>
      <c r="CU2" s="2" t="n">
        <f aca="false">ROUNDUP(CU1/12,0)</f>
        <v>9</v>
      </c>
      <c r="CV2" s="2" t="n">
        <f aca="false">ROUNDUP(CV1/12,0)</f>
        <v>9</v>
      </c>
      <c r="CW2" s="2" t="n">
        <f aca="false">ROUNDUP(CW1/12,0)</f>
        <v>9</v>
      </c>
      <c r="CX2" s="2" t="n">
        <f aca="false">ROUNDUP(CX1/12,0)</f>
        <v>9</v>
      </c>
      <c r="CY2" s="2" t="n">
        <f aca="false">ROUNDUP(CY1/12,0)</f>
        <v>9</v>
      </c>
      <c r="CZ2" s="2" t="n">
        <f aca="false">ROUNDUP(CZ1/12,0)</f>
        <v>9</v>
      </c>
      <c r="DA2" s="2" t="n">
        <f aca="false">ROUNDUP(DA1/12,0)</f>
        <v>9</v>
      </c>
      <c r="DB2" s="2" t="n">
        <f aca="false">ROUNDUP(DB1/12,0)</f>
        <v>9</v>
      </c>
      <c r="DC2" s="2" t="n">
        <f aca="false">ROUNDUP(DC1/12,0)</f>
        <v>9</v>
      </c>
      <c r="DD2" s="2" t="n">
        <f aca="false">ROUNDUP(DD1/12,0)</f>
        <v>9</v>
      </c>
      <c r="DE2" s="2" t="n">
        <f aca="false">ROUNDUP(DE1/12,0)</f>
        <v>9</v>
      </c>
      <c r="DF2" s="2" t="n">
        <f aca="false">ROUNDUP(DF1/12,0)</f>
        <v>9</v>
      </c>
      <c r="DG2" s="2" t="n">
        <f aca="false">ROUNDUP(DG1/12,0)</f>
        <v>10</v>
      </c>
      <c r="DH2" s="2" t="n">
        <f aca="false">ROUNDUP(DH1/12,0)</f>
        <v>10</v>
      </c>
      <c r="DI2" s="2" t="n">
        <f aca="false">ROUNDUP(DI1/12,0)</f>
        <v>10</v>
      </c>
      <c r="DJ2" s="2" t="n">
        <f aca="false">ROUNDUP(DJ1/12,0)</f>
        <v>10</v>
      </c>
      <c r="DK2" s="2" t="n">
        <f aca="false">ROUNDUP(DK1/12,0)</f>
        <v>10</v>
      </c>
      <c r="DL2" s="2" t="n">
        <f aca="false">ROUNDUP(DL1/12,0)</f>
        <v>10</v>
      </c>
      <c r="DM2" s="2" t="n">
        <f aca="false">ROUNDUP(DM1/12,0)</f>
        <v>10</v>
      </c>
      <c r="DN2" s="2" t="n">
        <f aca="false">ROUNDUP(DN1/12,0)</f>
        <v>10</v>
      </c>
      <c r="DO2" s="2" t="n">
        <f aca="false">ROUNDUP(DO1/12,0)</f>
        <v>10</v>
      </c>
      <c r="DP2" s="2" t="n">
        <f aca="false">ROUNDUP(DP1/12,0)</f>
        <v>10</v>
      </c>
      <c r="DQ2" s="2" t="n">
        <f aca="false">ROUNDUP(DQ1/12,0)</f>
        <v>10</v>
      </c>
      <c r="DR2" s="2" t="n">
        <f aca="false">ROUNDUP(DR1/12,0)</f>
        <v>10</v>
      </c>
      <c r="DS2" s="2" t="n">
        <f aca="false">ROUNDUP(DS1/12,0)</f>
        <v>11</v>
      </c>
      <c r="DT2" s="2" t="n">
        <f aca="false">ROUNDUP(DT1/12,0)</f>
        <v>11</v>
      </c>
      <c r="DU2" s="2" t="n">
        <f aca="false">ROUNDUP(DU1/12,0)</f>
        <v>11</v>
      </c>
      <c r="DV2" s="2" t="n">
        <f aca="false">ROUNDUP(DV1/12,0)</f>
        <v>11</v>
      </c>
      <c r="DW2" s="2" t="n">
        <f aca="false">ROUNDUP(DW1/12,0)</f>
        <v>11</v>
      </c>
      <c r="DX2" s="2" t="n">
        <f aca="false">ROUNDUP(DX1/12,0)</f>
        <v>11</v>
      </c>
      <c r="DY2" s="2" t="n">
        <f aca="false">ROUNDUP(DY1/12,0)</f>
        <v>11</v>
      </c>
      <c r="DZ2" s="2" t="n">
        <f aca="false">ROUNDUP(DZ1/12,0)</f>
        <v>11</v>
      </c>
      <c r="EA2" s="2" t="n">
        <f aca="false">ROUNDUP(EA1/12,0)</f>
        <v>11</v>
      </c>
      <c r="EB2" s="2" t="n">
        <f aca="false">ROUNDUP(EB1/12,0)</f>
        <v>11</v>
      </c>
      <c r="EC2" s="2" t="n">
        <f aca="false">ROUNDUP(EC1/12,0)</f>
        <v>11</v>
      </c>
      <c r="ED2" s="2" t="n">
        <f aca="false">ROUNDUP(ED1/12,0)</f>
        <v>11</v>
      </c>
    </row>
    <row r="3" customFormat="false" ht="15" hidden="false" customHeight="false" outlineLevel="0" collapsed="false">
      <c r="A3" s="22" t="n">
        <f aca="false">Units!A2</f>
        <v>101</v>
      </c>
      <c r="B3" s="24" t="n">
        <f aca="false">IF(Units!K2=1,Units!F2,0)</f>
        <v>1565</v>
      </c>
      <c r="C3" s="11" t="n">
        <f aca="false">IF(C$1&lt;Units!$P2,0,IF(AND(Units!$K2=0,C$1=Units!$O2),Units!$R2,IF(AND(C$1&gt;=Units!$Q2,MOD(C$1-Units!$Q2,12)=0),IF(AND(Units!$L2=1,C$1=Units!$Q2),IF(Units!$J2&lt;&gt;"",Units!$J2,Mkt!C3),Inputs!$B$15*Mkt!C3+(1-Inputs!$B$15)*MIN(Mkt!C3,B3*(1+Inputs!$B$18))),B3)))</f>
        <v>1565</v>
      </c>
      <c r="D3" s="11" t="n">
        <f aca="false">IF(D$1&lt;Units!$P2,0,IF(AND(Units!$K2=0,D$1=Units!$O2),Units!$R2,IF(AND(D$1&gt;=Units!$Q2,MOD(D$1-Units!$Q2,12)=0),IF(AND(Units!$L2=1,D$1=Units!$Q2),IF(Units!$J2&lt;&gt;"",Units!$J2,Mkt!D3),Inputs!$B$15*Mkt!D3+(1-Inputs!$B$15)*MIN(Mkt!D3,C3*(1+Inputs!$B$18))),C3)))</f>
        <v>1525</v>
      </c>
      <c r="E3" s="11" t="n">
        <f aca="false">IF(E$1&lt;Units!$P2,0,IF(AND(Units!$K2=0,E$1=Units!$O2),Units!$R2,IF(AND(E$1&gt;=Units!$Q2,MOD(E$1-Units!$Q2,12)=0),IF(AND(Units!$L2=1,E$1=Units!$Q2),IF(Units!$J2&lt;&gt;"",Units!$J2,Mkt!E3),Inputs!$B$15*Mkt!E3+(1-Inputs!$B$15)*MIN(Mkt!E3,D3*(1+Inputs!$B$18))),D3)))</f>
        <v>1525</v>
      </c>
      <c r="F3" s="11" t="n">
        <f aca="false">IF(F$1&lt;Units!$P2,0,IF(AND(Units!$K2=0,F$1=Units!$O2),Units!$R2,IF(AND(F$1&gt;=Units!$Q2,MOD(F$1-Units!$Q2,12)=0),IF(AND(Units!$L2=1,F$1=Units!$Q2),IF(Units!$J2&lt;&gt;"",Units!$J2,Mkt!F3),Inputs!$B$15*Mkt!F3+(1-Inputs!$B$15)*MIN(Mkt!F3,E3*(1+Inputs!$B$18))),E3)))</f>
        <v>1525</v>
      </c>
      <c r="G3" s="11" t="n">
        <f aca="false">IF(G$1&lt;Units!$P2,0,IF(AND(Units!$K2=0,G$1=Units!$O2),Units!$R2,IF(AND(G$1&gt;=Units!$Q2,MOD(G$1-Units!$Q2,12)=0),IF(AND(Units!$L2=1,G$1=Units!$Q2),IF(Units!$J2&lt;&gt;"",Units!$J2,Mkt!G3),Inputs!$B$15*Mkt!G3+(1-Inputs!$B$15)*MIN(Mkt!G3,F3*(1+Inputs!$B$18))),F3)))</f>
        <v>1525</v>
      </c>
      <c r="H3" s="11" t="n">
        <f aca="false">IF(H$1&lt;Units!$P2,0,IF(AND(Units!$K2=0,H$1=Units!$O2),Units!$R2,IF(AND(H$1&gt;=Units!$Q2,MOD(H$1-Units!$Q2,12)=0),IF(AND(Units!$L2=1,H$1=Units!$Q2),IF(Units!$J2&lt;&gt;"",Units!$J2,Mkt!H3),Inputs!$B$15*Mkt!H3+(1-Inputs!$B$15)*MIN(Mkt!H3,G3*(1+Inputs!$B$18))),G3)))</f>
        <v>1525</v>
      </c>
      <c r="I3" s="11" t="n">
        <f aca="false">IF(I$1&lt;Units!$P2,0,IF(AND(Units!$K2=0,I$1=Units!$O2),Units!$R2,IF(AND(I$1&gt;=Units!$Q2,MOD(I$1-Units!$Q2,12)=0),IF(AND(Units!$L2=1,I$1=Units!$Q2),IF(Units!$J2&lt;&gt;"",Units!$J2,Mkt!I3),Inputs!$B$15*Mkt!I3+(1-Inputs!$B$15)*MIN(Mkt!I3,H3*(1+Inputs!$B$18))),H3)))</f>
        <v>1525</v>
      </c>
      <c r="J3" s="11" t="n">
        <f aca="false">IF(J$1&lt;Units!$P2,0,IF(AND(Units!$K2=0,J$1=Units!$O2),Units!$R2,IF(AND(J$1&gt;=Units!$Q2,MOD(J$1-Units!$Q2,12)=0),IF(AND(Units!$L2=1,J$1=Units!$Q2),IF(Units!$J2&lt;&gt;"",Units!$J2,Mkt!J3),Inputs!$B$15*Mkt!J3+(1-Inputs!$B$15)*MIN(Mkt!J3,I3*(1+Inputs!$B$18))),I3)))</f>
        <v>1525</v>
      </c>
      <c r="K3" s="11" t="n">
        <f aca="false">IF(K$1&lt;Units!$P2,0,IF(AND(Units!$K2=0,K$1=Units!$O2),Units!$R2,IF(AND(K$1&gt;=Units!$Q2,MOD(K$1-Units!$Q2,12)=0),IF(AND(Units!$L2=1,K$1=Units!$Q2),IF(Units!$J2&lt;&gt;"",Units!$J2,Mkt!K3),Inputs!$B$15*Mkt!K3+(1-Inputs!$B$15)*MIN(Mkt!K3,J3*(1+Inputs!$B$18))),J3)))</f>
        <v>1525</v>
      </c>
      <c r="L3" s="11" t="n">
        <f aca="false">IF(L$1&lt;Units!$P2,0,IF(AND(Units!$K2=0,L$1=Units!$O2),Units!$R2,IF(AND(L$1&gt;=Units!$Q2,MOD(L$1-Units!$Q2,12)=0),IF(AND(Units!$L2=1,L$1=Units!$Q2),IF(Units!$J2&lt;&gt;"",Units!$J2,Mkt!L3),Inputs!$B$15*Mkt!L3+(1-Inputs!$B$15)*MIN(Mkt!L3,K3*(1+Inputs!$B$18))),K3)))</f>
        <v>1525</v>
      </c>
      <c r="M3" s="11" t="n">
        <f aca="false">IF(M$1&lt;Units!$P2,0,IF(AND(Units!$K2=0,M$1=Units!$O2),Units!$R2,IF(AND(M$1&gt;=Units!$Q2,MOD(M$1-Units!$Q2,12)=0),IF(AND(Units!$L2=1,M$1=Units!$Q2),IF(Units!$J2&lt;&gt;"",Units!$J2,Mkt!M3),Inputs!$B$15*Mkt!M3+(1-Inputs!$B$15)*MIN(Mkt!M3,L3*(1+Inputs!$B$18))),L3)))</f>
        <v>1525</v>
      </c>
      <c r="N3" s="11" t="n">
        <f aca="false">IF(N$1&lt;Units!$P2,0,IF(AND(Units!$K2=0,N$1=Units!$O2),Units!$R2,IF(AND(N$1&gt;=Units!$Q2,MOD(N$1-Units!$Q2,12)=0),IF(AND(Units!$L2=1,N$1=Units!$Q2),IF(Units!$J2&lt;&gt;"",Units!$J2,Mkt!N3),Inputs!$B$15*Mkt!N3+(1-Inputs!$B$15)*MIN(Mkt!N3,M3*(1+Inputs!$B$18))),M3)))</f>
        <v>1525</v>
      </c>
      <c r="O3" s="11" t="n">
        <f aca="false">IF(O$1&lt;Units!$P2,0,IF(AND(Units!$K2=0,O$1=Units!$O2),Units!$R2,IF(AND(O$1&gt;=Units!$Q2,MOD(O$1-Units!$Q2,12)=0),IF(AND(Units!$L2=1,O$1=Units!$Q2),IF(Units!$J2&lt;&gt;"",Units!$J2,Mkt!O3),Inputs!$B$15*Mkt!O3+(1-Inputs!$B$15)*MIN(Mkt!O3,N3*(1+Inputs!$B$18))),N3)))</f>
        <v>1525</v>
      </c>
      <c r="P3" s="11" t="n">
        <f aca="false">IF(P$1&lt;Units!$P2,0,IF(AND(Units!$K2=0,P$1=Units!$O2),Units!$R2,IF(AND(P$1&gt;=Units!$Q2,MOD(P$1-Units!$Q2,12)=0),IF(AND(Units!$L2=1,P$1=Units!$Q2),IF(Units!$J2&lt;&gt;"",Units!$J2,Mkt!P3),Inputs!$B$15*Mkt!P3+(1-Inputs!$B$15)*MIN(Mkt!P3,O3*(1+Inputs!$B$18))),O3)))</f>
        <v>1570.75</v>
      </c>
      <c r="Q3" s="11" t="n">
        <f aca="false">IF(Q$1&lt;Units!$P2,0,IF(AND(Units!$K2=0,Q$1=Units!$O2),Units!$R2,IF(AND(Q$1&gt;=Units!$Q2,MOD(Q$1-Units!$Q2,12)=0),IF(AND(Units!$L2=1,Q$1=Units!$Q2),IF(Units!$J2&lt;&gt;"",Units!$J2,Mkt!Q3),Inputs!$B$15*Mkt!Q3+(1-Inputs!$B$15)*MIN(Mkt!Q3,P3*(1+Inputs!$B$18))),P3)))</f>
        <v>1570.75</v>
      </c>
      <c r="R3" s="11" t="n">
        <f aca="false">IF(R$1&lt;Units!$P2,0,IF(AND(Units!$K2=0,R$1=Units!$O2),Units!$R2,IF(AND(R$1&gt;=Units!$Q2,MOD(R$1-Units!$Q2,12)=0),IF(AND(Units!$L2=1,R$1=Units!$Q2),IF(Units!$J2&lt;&gt;"",Units!$J2,Mkt!R3),Inputs!$B$15*Mkt!R3+(1-Inputs!$B$15)*MIN(Mkt!R3,Q3*(1+Inputs!$B$18))),Q3)))</f>
        <v>1570.75</v>
      </c>
      <c r="S3" s="11" t="n">
        <f aca="false">IF(S$1&lt;Units!$P2,0,IF(AND(Units!$K2=0,S$1=Units!$O2),Units!$R2,IF(AND(S$1&gt;=Units!$Q2,MOD(S$1-Units!$Q2,12)=0),IF(AND(Units!$L2=1,S$1=Units!$Q2),IF(Units!$J2&lt;&gt;"",Units!$J2,Mkt!S3),Inputs!$B$15*Mkt!S3+(1-Inputs!$B$15)*MIN(Mkt!S3,R3*(1+Inputs!$B$18))),R3)))</f>
        <v>1570.75</v>
      </c>
      <c r="T3" s="11" t="n">
        <f aca="false">IF(T$1&lt;Units!$P2,0,IF(AND(Units!$K2=0,T$1=Units!$O2),Units!$R2,IF(AND(T$1&gt;=Units!$Q2,MOD(T$1-Units!$Q2,12)=0),IF(AND(Units!$L2=1,T$1=Units!$Q2),IF(Units!$J2&lt;&gt;"",Units!$J2,Mkt!T3),Inputs!$B$15*Mkt!T3+(1-Inputs!$B$15)*MIN(Mkt!T3,S3*(1+Inputs!$B$18))),S3)))</f>
        <v>1570.75</v>
      </c>
      <c r="U3" s="11" t="n">
        <f aca="false">IF(U$1&lt;Units!$P2,0,IF(AND(Units!$K2=0,U$1=Units!$O2),Units!$R2,IF(AND(U$1&gt;=Units!$Q2,MOD(U$1-Units!$Q2,12)=0),IF(AND(Units!$L2=1,U$1=Units!$Q2),IF(Units!$J2&lt;&gt;"",Units!$J2,Mkt!U3),Inputs!$B$15*Mkt!U3+(1-Inputs!$B$15)*MIN(Mkt!U3,T3*(1+Inputs!$B$18))),T3)))</f>
        <v>1570.75</v>
      </c>
      <c r="V3" s="11" t="n">
        <f aca="false">IF(V$1&lt;Units!$P2,0,IF(AND(Units!$K2=0,V$1=Units!$O2),Units!$R2,IF(AND(V$1&gt;=Units!$Q2,MOD(V$1-Units!$Q2,12)=0),IF(AND(Units!$L2=1,V$1=Units!$Q2),IF(Units!$J2&lt;&gt;"",Units!$J2,Mkt!V3),Inputs!$B$15*Mkt!V3+(1-Inputs!$B$15)*MIN(Mkt!V3,U3*(1+Inputs!$B$18))),U3)))</f>
        <v>1570.75</v>
      </c>
      <c r="W3" s="11" t="n">
        <f aca="false">IF(W$1&lt;Units!$P2,0,IF(AND(Units!$K2=0,W$1=Units!$O2),Units!$R2,IF(AND(W$1&gt;=Units!$Q2,MOD(W$1-Units!$Q2,12)=0),IF(AND(Units!$L2=1,W$1=Units!$Q2),IF(Units!$J2&lt;&gt;"",Units!$J2,Mkt!W3),Inputs!$B$15*Mkt!W3+(1-Inputs!$B$15)*MIN(Mkt!W3,V3*(1+Inputs!$B$18))),V3)))</f>
        <v>1570.75</v>
      </c>
      <c r="X3" s="11" t="n">
        <f aca="false">IF(X$1&lt;Units!$P2,0,IF(AND(Units!$K2=0,X$1=Units!$O2),Units!$R2,IF(AND(X$1&gt;=Units!$Q2,MOD(X$1-Units!$Q2,12)=0),IF(AND(Units!$L2=1,X$1=Units!$Q2),IF(Units!$J2&lt;&gt;"",Units!$J2,Mkt!X3),Inputs!$B$15*Mkt!X3+(1-Inputs!$B$15)*MIN(Mkt!X3,W3*(1+Inputs!$B$18))),W3)))</f>
        <v>1570.75</v>
      </c>
      <c r="Y3" s="11" t="n">
        <f aca="false">IF(Y$1&lt;Units!$P2,0,IF(AND(Units!$K2=0,Y$1=Units!$O2),Units!$R2,IF(AND(Y$1&gt;=Units!$Q2,MOD(Y$1-Units!$Q2,12)=0),IF(AND(Units!$L2=1,Y$1=Units!$Q2),IF(Units!$J2&lt;&gt;"",Units!$J2,Mkt!Y3),Inputs!$B$15*Mkt!Y3+(1-Inputs!$B$15)*MIN(Mkt!Y3,X3*(1+Inputs!$B$18))),X3)))</f>
        <v>1570.75</v>
      </c>
      <c r="Z3" s="11" t="n">
        <f aca="false">IF(Z$1&lt;Units!$P2,0,IF(AND(Units!$K2=0,Z$1=Units!$O2),Units!$R2,IF(AND(Z$1&gt;=Units!$Q2,MOD(Z$1-Units!$Q2,12)=0),IF(AND(Units!$L2=1,Z$1=Units!$Q2),IF(Units!$J2&lt;&gt;"",Units!$J2,Mkt!Z3),Inputs!$B$15*Mkt!Z3+(1-Inputs!$B$15)*MIN(Mkt!Z3,Y3*(1+Inputs!$B$18))),Y3)))</f>
        <v>1570.75</v>
      </c>
      <c r="AA3" s="11" t="n">
        <f aca="false">IF(AA$1&lt;Units!$P2,0,IF(AND(Units!$K2=0,AA$1=Units!$O2),Units!$R2,IF(AND(AA$1&gt;=Units!$Q2,MOD(AA$1-Units!$Q2,12)=0),IF(AND(Units!$L2=1,AA$1=Units!$Q2),IF(Units!$J2&lt;&gt;"",Units!$J2,Mkt!AA3),Inputs!$B$15*Mkt!AA3+(1-Inputs!$B$15)*MIN(Mkt!AA3,Z3*(1+Inputs!$B$18))),Z3)))</f>
        <v>1570.75</v>
      </c>
      <c r="AB3" s="11" t="n">
        <f aca="false">IF(AB$1&lt;Units!$P2,0,IF(AND(Units!$K2=0,AB$1=Units!$O2),Units!$R2,IF(AND(AB$1&gt;=Units!$Q2,MOD(AB$1-Units!$Q2,12)=0),IF(AND(Units!$L2=1,AB$1=Units!$Q2),IF(Units!$J2&lt;&gt;"",Units!$J2,Mkt!AB3),Inputs!$B$15*Mkt!AB3+(1-Inputs!$B$15)*MIN(Mkt!AB3,AA3*(1+Inputs!$B$18))),AA3)))</f>
        <v>1617.8725</v>
      </c>
      <c r="AC3" s="11" t="n">
        <f aca="false">IF(AC$1&lt;Units!$P2,0,IF(AND(Units!$K2=0,AC$1=Units!$O2),Units!$R2,IF(AND(AC$1&gt;=Units!$Q2,MOD(AC$1-Units!$Q2,12)=0),IF(AND(Units!$L2=1,AC$1=Units!$Q2),IF(Units!$J2&lt;&gt;"",Units!$J2,Mkt!AC3),Inputs!$B$15*Mkt!AC3+(1-Inputs!$B$15)*MIN(Mkt!AC3,AB3*(1+Inputs!$B$18))),AB3)))</f>
        <v>1617.8725</v>
      </c>
      <c r="AD3" s="11" t="n">
        <f aca="false">IF(AD$1&lt;Units!$P2,0,IF(AND(Units!$K2=0,AD$1=Units!$O2),Units!$R2,IF(AND(AD$1&gt;=Units!$Q2,MOD(AD$1-Units!$Q2,12)=0),IF(AND(Units!$L2=1,AD$1=Units!$Q2),IF(Units!$J2&lt;&gt;"",Units!$J2,Mkt!AD3),Inputs!$B$15*Mkt!AD3+(1-Inputs!$B$15)*MIN(Mkt!AD3,AC3*(1+Inputs!$B$18))),AC3)))</f>
        <v>1617.8725</v>
      </c>
      <c r="AE3" s="11" t="n">
        <f aca="false">IF(AE$1&lt;Units!$P2,0,IF(AND(Units!$K2=0,AE$1=Units!$O2),Units!$R2,IF(AND(AE$1&gt;=Units!$Q2,MOD(AE$1-Units!$Q2,12)=0),IF(AND(Units!$L2=1,AE$1=Units!$Q2),IF(Units!$J2&lt;&gt;"",Units!$J2,Mkt!AE3),Inputs!$B$15*Mkt!AE3+(1-Inputs!$B$15)*MIN(Mkt!AE3,AD3*(1+Inputs!$B$18))),AD3)))</f>
        <v>1617.8725</v>
      </c>
      <c r="AF3" s="11" t="n">
        <f aca="false">IF(AF$1&lt;Units!$P2,0,IF(AND(Units!$K2=0,AF$1=Units!$O2),Units!$R2,IF(AND(AF$1&gt;=Units!$Q2,MOD(AF$1-Units!$Q2,12)=0),IF(AND(Units!$L2=1,AF$1=Units!$Q2),IF(Units!$J2&lt;&gt;"",Units!$J2,Mkt!AF3),Inputs!$B$15*Mkt!AF3+(1-Inputs!$B$15)*MIN(Mkt!AF3,AE3*(1+Inputs!$B$18))),AE3)))</f>
        <v>1617.8725</v>
      </c>
      <c r="AG3" s="11" t="n">
        <f aca="false">IF(AG$1&lt;Units!$P2,0,IF(AND(Units!$K2=0,AG$1=Units!$O2),Units!$R2,IF(AND(AG$1&gt;=Units!$Q2,MOD(AG$1-Units!$Q2,12)=0),IF(AND(Units!$L2=1,AG$1=Units!$Q2),IF(Units!$J2&lt;&gt;"",Units!$J2,Mkt!AG3),Inputs!$B$15*Mkt!AG3+(1-Inputs!$B$15)*MIN(Mkt!AG3,AF3*(1+Inputs!$B$18))),AF3)))</f>
        <v>1617.8725</v>
      </c>
      <c r="AH3" s="11" t="n">
        <f aca="false">IF(AH$1&lt;Units!$P2,0,IF(AND(Units!$K2=0,AH$1=Units!$O2),Units!$R2,IF(AND(AH$1&gt;=Units!$Q2,MOD(AH$1-Units!$Q2,12)=0),IF(AND(Units!$L2=1,AH$1=Units!$Q2),IF(Units!$J2&lt;&gt;"",Units!$J2,Mkt!AH3),Inputs!$B$15*Mkt!AH3+(1-Inputs!$B$15)*MIN(Mkt!AH3,AG3*(1+Inputs!$B$18))),AG3)))</f>
        <v>1617.8725</v>
      </c>
      <c r="AI3" s="11" t="n">
        <f aca="false">IF(AI$1&lt;Units!$P2,0,IF(AND(Units!$K2=0,AI$1=Units!$O2),Units!$R2,IF(AND(AI$1&gt;=Units!$Q2,MOD(AI$1-Units!$Q2,12)=0),IF(AND(Units!$L2=1,AI$1=Units!$Q2),IF(Units!$J2&lt;&gt;"",Units!$J2,Mkt!AI3),Inputs!$B$15*Mkt!AI3+(1-Inputs!$B$15)*MIN(Mkt!AI3,AH3*(1+Inputs!$B$18))),AH3)))</f>
        <v>1617.8725</v>
      </c>
      <c r="AJ3" s="11" t="n">
        <f aca="false">IF(AJ$1&lt;Units!$P2,0,IF(AND(Units!$K2=0,AJ$1=Units!$O2),Units!$R2,IF(AND(AJ$1&gt;=Units!$Q2,MOD(AJ$1-Units!$Q2,12)=0),IF(AND(Units!$L2=1,AJ$1=Units!$Q2),IF(Units!$J2&lt;&gt;"",Units!$J2,Mkt!AJ3),Inputs!$B$15*Mkt!AJ3+(1-Inputs!$B$15)*MIN(Mkt!AJ3,AI3*(1+Inputs!$B$18))),AI3)))</f>
        <v>1617.8725</v>
      </c>
      <c r="AK3" s="11" t="n">
        <f aca="false">IF(AK$1&lt;Units!$P2,0,IF(AND(Units!$K2=0,AK$1=Units!$O2),Units!$R2,IF(AND(AK$1&gt;=Units!$Q2,MOD(AK$1-Units!$Q2,12)=0),IF(AND(Units!$L2=1,AK$1=Units!$Q2),IF(Units!$J2&lt;&gt;"",Units!$J2,Mkt!AK3),Inputs!$B$15*Mkt!AK3+(1-Inputs!$B$15)*MIN(Mkt!AK3,AJ3*(1+Inputs!$B$18))),AJ3)))</f>
        <v>1617.8725</v>
      </c>
      <c r="AL3" s="11" t="n">
        <f aca="false">IF(AL$1&lt;Units!$P2,0,IF(AND(Units!$K2=0,AL$1=Units!$O2),Units!$R2,IF(AND(AL$1&gt;=Units!$Q2,MOD(AL$1-Units!$Q2,12)=0),IF(AND(Units!$L2=1,AL$1=Units!$Q2),IF(Units!$J2&lt;&gt;"",Units!$J2,Mkt!AL3),Inputs!$B$15*Mkt!AL3+(1-Inputs!$B$15)*MIN(Mkt!AL3,AK3*(1+Inputs!$B$18))),AK3)))</f>
        <v>1617.8725</v>
      </c>
      <c r="AM3" s="11" t="n">
        <f aca="false">IF(AM$1&lt;Units!$P2,0,IF(AND(Units!$K2=0,AM$1=Units!$O2),Units!$R2,IF(AND(AM$1&gt;=Units!$Q2,MOD(AM$1-Units!$Q2,12)=0),IF(AND(Units!$L2=1,AM$1=Units!$Q2),IF(Units!$J2&lt;&gt;"",Units!$J2,Mkt!AM3),Inputs!$B$15*Mkt!AM3+(1-Inputs!$B$15)*MIN(Mkt!AM3,AL3*(1+Inputs!$B$18))),AL3)))</f>
        <v>1617.8725</v>
      </c>
      <c r="AN3" s="11" t="n">
        <f aca="false">IF(AN$1&lt;Units!$P2,0,IF(AND(Units!$K2=0,AN$1=Units!$O2),Units!$R2,IF(AND(AN$1&gt;=Units!$Q2,MOD(AN$1-Units!$Q2,12)=0),IF(AND(Units!$L2=1,AN$1=Units!$Q2),IF(Units!$J2&lt;&gt;"",Units!$J2,Mkt!AN3),Inputs!$B$15*Mkt!AN3+(1-Inputs!$B$15)*MIN(Mkt!AN3,AM3*(1+Inputs!$B$18))),AM3)))</f>
        <v>1666.408675</v>
      </c>
      <c r="AO3" s="11" t="n">
        <f aca="false">IF(AO$1&lt;Units!$P2,0,IF(AND(Units!$K2=0,AO$1=Units!$O2),Units!$R2,IF(AND(AO$1&gt;=Units!$Q2,MOD(AO$1-Units!$Q2,12)=0),IF(AND(Units!$L2=1,AO$1=Units!$Q2),IF(Units!$J2&lt;&gt;"",Units!$J2,Mkt!AO3),Inputs!$B$15*Mkt!AO3+(1-Inputs!$B$15)*MIN(Mkt!AO3,AN3*(1+Inputs!$B$18))),AN3)))</f>
        <v>1666.408675</v>
      </c>
      <c r="AP3" s="11" t="n">
        <f aca="false">IF(AP$1&lt;Units!$P2,0,IF(AND(Units!$K2=0,AP$1=Units!$O2),Units!$R2,IF(AND(AP$1&gt;=Units!$Q2,MOD(AP$1-Units!$Q2,12)=0),IF(AND(Units!$L2=1,AP$1=Units!$Q2),IF(Units!$J2&lt;&gt;"",Units!$J2,Mkt!AP3),Inputs!$B$15*Mkt!AP3+(1-Inputs!$B$15)*MIN(Mkt!AP3,AO3*(1+Inputs!$B$18))),AO3)))</f>
        <v>1666.408675</v>
      </c>
      <c r="AQ3" s="11" t="n">
        <f aca="false">IF(AQ$1&lt;Units!$P2,0,IF(AND(Units!$K2=0,AQ$1=Units!$O2),Units!$R2,IF(AND(AQ$1&gt;=Units!$Q2,MOD(AQ$1-Units!$Q2,12)=0),IF(AND(Units!$L2=1,AQ$1=Units!$Q2),IF(Units!$J2&lt;&gt;"",Units!$J2,Mkt!AQ3),Inputs!$B$15*Mkt!AQ3+(1-Inputs!$B$15)*MIN(Mkt!AQ3,AP3*(1+Inputs!$B$18))),AP3)))</f>
        <v>1666.408675</v>
      </c>
      <c r="AR3" s="11" t="n">
        <f aca="false">IF(AR$1&lt;Units!$P2,0,IF(AND(Units!$K2=0,AR$1=Units!$O2),Units!$R2,IF(AND(AR$1&gt;=Units!$Q2,MOD(AR$1-Units!$Q2,12)=0),IF(AND(Units!$L2=1,AR$1=Units!$Q2),IF(Units!$J2&lt;&gt;"",Units!$J2,Mkt!AR3),Inputs!$B$15*Mkt!AR3+(1-Inputs!$B$15)*MIN(Mkt!AR3,AQ3*(1+Inputs!$B$18))),AQ3)))</f>
        <v>1666.408675</v>
      </c>
      <c r="AS3" s="11" t="n">
        <f aca="false">IF(AS$1&lt;Units!$P2,0,IF(AND(Units!$K2=0,AS$1=Units!$O2),Units!$R2,IF(AND(AS$1&gt;=Units!$Q2,MOD(AS$1-Units!$Q2,12)=0),IF(AND(Units!$L2=1,AS$1=Units!$Q2),IF(Units!$J2&lt;&gt;"",Units!$J2,Mkt!AS3),Inputs!$B$15*Mkt!AS3+(1-Inputs!$B$15)*MIN(Mkt!AS3,AR3*(1+Inputs!$B$18))),AR3)))</f>
        <v>1666.408675</v>
      </c>
      <c r="AT3" s="11" t="n">
        <f aca="false">IF(AT$1&lt;Units!$P2,0,IF(AND(Units!$K2=0,AT$1=Units!$O2),Units!$R2,IF(AND(AT$1&gt;=Units!$Q2,MOD(AT$1-Units!$Q2,12)=0),IF(AND(Units!$L2=1,AT$1=Units!$Q2),IF(Units!$J2&lt;&gt;"",Units!$J2,Mkt!AT3),Inputs!$B$15*Mkt!AT3+(1-Inputs!$B$15)*MIN(Mkt!AT3,AS3*(1+Inputs!$B$18))),AS3)))</f>
        <v>1666.408675</v>
      </c>
      <c r="AU3" s="11" t="n">
        <f aca="false">IF(AU$1&lt;Units!$P2,0,IF(AND(Units!$K2=0,AU$1=Units!$O2),Units!$R2,IF(AND(AU$1&gt;=Units!$Q2,MOD(AU$1-Units!$Q2,12)=0),IF(AND(Units!$L2=1,AU$1=Units!$Q2),IF(Units!$J2&lt;&gt;"",Units!$J2,Mkt!AU3),Inputs!$B$15*Mkt!AU3+(1-Inputs!$B$15)*MIN(Mkt!AU3,AT3*(1+Inputs!$B$18))),AT3)))</f>
        <v>1666.408675</v>
      </c>
      <c r="AV3" s="11" t="n">
        <f aca="false">IF(AV$1&lt;Units!$P2,0,IF(AND(Units!$K2=0,AV$1=Units!$O2),Units!$R2,IF(AND(AV$1&gt;=Units!$Q2,MOD(AV$1-Units!$Q2,12)=0),IF(AND(Units!$L2=1,AV$1=Units!$Q2),IF(Units!$J2&lt;&gt;"",Units!$J2,Mkt!AV3),Inputs!$B$15*Mkt!AV3+(1-Inputs!$B$15)*MIN(Mkt!AV3,AU3*(1+Inputs!$B$18))),AU3)))</f>
        <v>1666.408675</v>
      </c>
      <c r="AW3" s="11" t="n">
        <f aca="false">IF(AW$1&lt;Units!$P2,0,IF(AND(Units!$K2=0,AW$1=Units!$O2),Units!$R2,IF(AND(AW$1&gt;=Units!$Q2,MOD(AW$1-Units!$Q2,12)=0),IF(AND(Units!$L2=1,AW$1=Units!$Q2),IF(Units!$J2&lt;&gt;"",Units!$J2,Mkt!AW3),Inputs!$B$15*Mkt!AW3+(1-Inputs!$B$15)*MIN(Mkt!AW3,AV3*(1+Inputs!$B$18))),AV3)))</f>
        <v>1666.408675</v>
      </c>
      <c r="AX3" s="11" t="n">
        <f aca="false">IF(AX$1&lt;Units!$P2,0,IF(AND(Units!$K2=0,AX$1=Units!$O2),Units!$R2,IF(AND(AX$1&gt;=Units!$Q2,MOD(AX$1-Units!$Q2,12)=0),IF(AND(Units!$L2=1,AX$1=Units!$Q2),IF(Units!$J2&lt;&gt;"",Units!$J2,Mkt!AX3),Inputs!$B$15*Mkt!AX3+(1-Inputs!$B$15)*MIN(Mkt!AX3,AW3*(1+Inputs!$B$18))),AW3)))</f>
        <v>1666.408675</v>
      </c>
      <c r="AY3" s="11" t="n">
        <f aca="false">IF(AY$1&lt;Units!$P2,0,IF(AND(Units!$K2=0,AY$1=Units!$O2),Units!$R2,IF(AND(AY$1&gt;=Units!$Q2,MOD(AY$1-Units!$Q2,12)=0),IF(AND(Units!$L2=1,AY$1=Units!$Q2),IF(Units!$J2&lt;&gt;"",Units!$J2,Mkt!AY3),Inputs!$B$15*Mkt!AY3+(1-Inputs!$B$15)*MIN(Mkt!AY3,AX3*(1+Inputs!$B$18))),AX3)))</f>
        <v>1666.408675</v>
      </c>
      <c r="AZ3" s="11" t="n">
        <f aca="false">IF(AZ$1&lt;Units!$P2,0,IF(AND(Units!$K2=0,AZ$1=Units!$O2),Units!$R2,IF(AND(AZ$1&gt;=Units!$Q2,MOD(AZ$1-Units!$Q2,12)=0),IF(AND(Units!$L2=1,AZ$1=Units!$Q2),IF(Units!$J2&lt;&gt;"",Units!$J2,Mkt!AZ3),Inputs!$B$15*Mkt!AZ3+(1-Inputs!$B$15)*MIN(Mkt!AZ3,AY3*(1+Inputs!$B$18))),AY3)))</f>
        <v>1716.40093525</v>
      </c>
      <c r="BA3" s="11" t="n">
        <f aca="false">IF(BA$1&lt;Units!$P2,0,IF(AND(Units!$K2=0,BA$1=Units!$O2),Units!$R2,IF(AND(BA$1&gt;=Units!$Q2,MOD(BA$1-Units!$Q2,12)=0),IF(AND(Units!$L2=1,BA$1=Units!$Q2),IF(Units!$J2&lt;&gt;"",Units!$J2,Mkt!BA3),Inputs!$B$15*Mkt!BA3+(1-Inputs!$B$15)*MIN(Mkt!BA3,AZ3*(1+Inputs!$B$18))),AZ3)))</f>
        <v>1716.40093525</v>
      </c>
      <c r="BB3" s="11" t="n">
        <f aca="false">IF(BB$1&lt;Units!$P2,0,IF(AND(Units!$K2=0,BB$1=Units!$O2),Units!$R2,IF(AND(BB$1&gt;=Units!$Q2,MOD(BB$1-Units!$Q2,12)=0),IF(AND(Units!$L2=1,BB$1=Units!$Q2),IF(Units!$J2&lt;&gt;"",Units!$J2,Mkt!BB3),Inputs!$B$15*Mkt!BB3+(1-Inputs!$B$15)*MIN(Mkt!BB3,BA3*(1+Inputs!$B$18))),BA3)))</f>
        <v>1716.40093525</v>
      </c>
      <c r="BC3" s="11" t="n">
        <f aca="false">IF(BC$1&lt;Units!$P2,0,IF(AND(Units!$K2=0,BC$1=Units!$O2),Units!$R2,IF(AND(BC$1&gt;=Units!$Q2,MOD(BC$1-Units!$Q2,12)=0),IF(AND(Units!$L2=1,BC$1=Units!$Q2),IF(Units!$J2&lt;&gt;"",Units!$J2,Mkt!BC3),Inputs!$B$15*Mkt!BC3+(1-Inputs!$B$15)*MIN(Mkt!BC3,BB3*(1+Inputs!$B$18))),BB3)))</f>
        <v>1716.40093525</v>
      </c>
      <c r="BD3" s="11" t="n">
        <f aca="false">IF(BD$1&lt;Units!$P2,0,IF(AND(Units!$K2=0,BD$1=Units!$O2),Units!$R2,IF(AND(BD$1&gt;=Units!$Q2,MOD(BD$1-Units!$Q2,12)=0),IF(AND(Units!$L2=1,BD$1=Units!$Q2),IF(Units!$J2&lt;&gt;"",Units!$J2,Mkt!BD3),Inputs!$B$15*Mkt!BD3+(1-Inputs!$B$15)*MIN(Mkt!BD3,BC3*(1+Inputs!$B$18))),BC3)))</f>
        <v>1716.40093525</v>
      </c>
      <c r="BE3" s="11" t="n">
        <f aca="false">IF(BE$1&lt;Units!$P2,0,IF(AND(Units!$K2=0,BE$1=Units!$O2),Units!$R2,IF(AND(BE$1&gt;=Units!$Q2,MOD(BE$1-Units!$Q2,12)=0),IF(AND(Units!$L2=1,BE$1=Units!$Q2),IF(Units!$J2&lt;&gt;"",Units!$J2,Mkt!BE3),Inputs!$B$15*Mkt!BE3+(1-Inputs!$B$15)*MIN(Mkt!BE3,BD3*(1+Inputs!$B$18))),BD3)))</f>
        <v>1716.40093525</v>
      </c>
      <c r="BF3" s="11" t="n">
        <f aca="false">IF(BF$1&lt;Units!$P2,0,IF(AND(Units!$K2=0,BF$1=Units!$O2),Units!$R2,IF(AND(BF$1&gt;=Units!$Q2,MOD(BF$1-Units!$Q2,12)=0),IF(AND(Units!$L2=1,BF$1=Units!$Q2),IF(Units!$J2&lt;&gt;"",Units!$J2,Mkt!BF3),Inputs!$B$15*Mkt!BF3+(1-Inputs!$B$15)*MIN(Mkt!BF3,BE3*(1+Inputs!$B$18))),BE3)))</f>
        <v>1716.40093525</v>
      </c>
      <c r="BG3" s="11" t="n">
        <f aca="false">IF(BG$1&lt;Units!$P2,0,IF(AND(Units!$K2=0,BG$1=Units!$O2),Units!$R2,IF(AND(BG$1&gt;=Units!$Q2,MOD(BG$1-Units!$Q2,12)=0),IF(AND(Units!$L2=1,BG$1=Units!$Q2),IF(Units!$J2&lt;&gt;"",Units!$J2,Mkt!BG3),Inputs!$B$15*Mkt!BG3+(1-Inputs!$B$15)*MIN(Mkt!BG3,BF3*(1+Inputs!$B$18))),BF3)))</f>
        <v>1716.40093525</v>
      </c>
      <c r="BH3" s="11" t="n">
        <f aca="false">IF(BH$1&lt;Units!$P2,0,IF(AND(Units!$K2=0,BH$1=Units!$O2),Units!$R2,IF(AND(BH$1&gt;=Units!$Q2,MOD(BH$1-Units!$Q2,12)=0),IF(AND(Units!$L2=1,BH$1=Units!$Q2),IF(Units!$J2&lt;&gt;"",Units!$J2,Mkt!BH3),Inputs!$B$15*Mkt!BH3+(1-Inputs!$B$15)*MIN(Mkt!BH3,BG3*(1+Inputs!$B$18))),BG3)))</f>
        <v>1716.40093525</v>
      </c>
      <c r="BI3" s="11" t="n">
        <f aca="false">IF(BI$1&lt;Units!$P2,0,IF(AND(Units!$K2=0,BI$1=Units!$O2),Units!$R2,IF(AND(BI$1&gt;=Units!$Q2,MOD(BI$1-Units!$Q2,12)=0),IF(AND(Units!$L2=1,BI$1=Units!$Q2),IF(Units!$J2&lt;&gt;"",Units!$J2,Mkt!BI3),Inputs!$B$15*Mkt!BI3+(1-Inputs!$B$15)*MIN(Mkt!BI3,BH3*(1+Inputs!$B$18))),BH3)))</f>
        <v>1716.40093525</v>
      </c>
      <c r="BJ3" s="11" t="n">
        <f aca="false">IF(BJ$1&lt;Units!$P2,0,IF(AND(Units!$K2=0,BJ$1=Units!$O2),Units!$R2,IF(AND(BJ$1&gt;=Units!$Q2,MOD(BJ$1-Units!$Q2,12)=0),IF(AND(Units!$L2=1,BJ$1=Units!$Q2),IF(Units!$J2&lt;&gt;"",Units!$J2,Mkt!BJ3),Inputs!$B$15*Mkt!BJ3+(1-Inputs!$B$15)*MIN(Mkt!BJ3,BI3*(1+Inputs!$B$18))),BI3)))</f>
        <v>1716.40093525</v>
      </c>
      <c r="BK3" s="11" t="n">
        <f aca="false">IF(BK$1&lt;Units!$P2,0,IF(AND(Units!$K2=0,BK$1=Units!$O2),Units!$R2,IF(AND(BK$1&gt;=Units!$Q2,MOD(BK$1-Units!$Q2,12)=0),IF(AND(Units!$L2=1,BK$1=Units!$Q2),IF(Units!$J2&lt;&gt;"",Units!$J2,Mkt!BK3),Inputs!$B$15*Mkt!BK3+(1-Inputs!$B$15)*MIN(Mkt!BK3,BJ3*(1+Inputs!$B$18))),BJ3)))</f>
        <v>1716.40093525</v>
      </c>
      <c r="BL3" s="11" t="n">
        <f aca="false">IF(BL$1&lt;Units!$P2,0,IF(AND(Units!$K2=0,BL$1=Units!$O2),Units!$R2,IF(AND(BL$1&gt;=Units!$Q2,MOD(BL$1-Units!$Q2,12)=0),IF(AND(Units!$L2=1,BL$1=Units!$Q2),IF(Units!$J2&lt;&gt;"",Units!$J2,Mkt!BL3),Inputs!$B$15*Mkt!BL3+(1-Inputs!$B$15)*MIN(Mkt!BL3,BK3*(1+Inputs!$B$18))),BK3)))</f>
        <v>1767.8929633075</v>
      </c>
      <c r="BM3" s="11" t="n">
        <f aca="false">IF(BM$1&lt;Units!$P2,0,IF(AND(Units!$K2=0,BM$1=Units!$O2),Units!$R2,IF(AND(BM$1&gt;=Units!$Q2,MOD(BM$1-Units!$Q2,12)=0),IF(AND(Units!$L2=1,BM$1=Units!$Q2),IF(Units!$J2&lt;&gt;"",Units!$J2,Mkt!BM3),Inputs!$B$15*Mkt!BM3+(1-Inputs!$B$15)*MIN(Mkt!BM3,BL3*(1+Inputs!$B$18))),BL3)))</f>
        <v>1767.8929633075</v>
      </c>
      <c r="BN3" s="11" t="n">
        <f aca="false">IF(BN$1&lt;Units!$P2,0,IF(AND(Units!$K2=0,BN$1=Units!$O2),Units!$R2,IF(AND(BN$1&gt;=Units!$Q2,MOD(BN$1-Units!$Q2,12)=0),IF(AND(Units!$L2=1,BN$1=Units!$Q2),IF(Units!$J2&lt;&gt;"",Units!$J2,Mkt!BN3),Inputs!$B$15*Mkt!BN3+(1-Inputs!$B$15)*MIN(Mkt!BN3,BM3*(1+Inputs!$B$18))),BM3)))</f>
        <v>1767.8929633075</v>
      </c>
      <c r="BO3" s="11" t="n">
        <f aca="false">IF(BO$1&lt;Units!$P2,0,IF(AND(Units!$K2=0,BO$1=Units!$O2),Units!$R2,IF(AND(BO$1&gt;=Units!$Q2,MOD(BO$1-Units!$Q2,12)=0),IF(AND(Units!$L2=1,BO$1=Units!$Q2),IF(Units!$J2&lt;&gt;"",Units!$J2,Mkt!BO3),Inputs!$B$15*Mkt!BO3+(1-Inputs!$B$15)*MIN(Mkt!BO3,BN3*(1+Inputs!$B$18))),BN3)))</f>
        <v>1767.8929633075</v>
      </c>
      <c r="BP3" s="11" t="n">
        <f aca="false">IF(BP$1&lt;Units!$P2,0,IF(AND(Units!$K2=0,BP$1=Units!$O2),Units!$R2,IF(AND(BP$1&gt;=Units!$Q2,MOD(BP$1-Units!$Q2,12)=0),IF(AND(Units!$L2=1,BP$1=Units!$Q2),IF(Units!$J2&lt;&gt;"",Units!$J2,Mkt!BP3),Inputs!$B$15*Mkt!BP3+(1-Inputs!$B$15)*MIN(Mkt!BP3,BO3*(1+Inputs!$B$18))),BO3)))</f>
        <v>1767.8929633075</v>
      </c>
      <c r="BQ3" s="11" t="n">
        <f aca="false">IF(BQ$1&lt;Units!$P2,0,IF(AND(Units!$K2=0,BQ$1=Units!$O2),Units!$R2,IF(AND(BQ$1&gt;=Units!$Q2,MOD(BQ$1-Units!$Q2,12)=0),IF(AND(Units!$L2=1,BQ$1=Units!$Q2),IF(Units!$J2&lt;&gt;"",Units!$J2,Mkt!BQ3),Inputs!$B$15*Mkt!BQ3+(1-Inputs!$B$15)*MIN(Mkt!BQ3,BP3*(1+Inputs!$B$18))),BP3)))</f>
        <v>1767.8929633075</v>
      </c>
      <c r="BR3" s="11" t="n">
        <f aca="false">IF(BR$1&lt;Units!$P2,0,IF(AND(Units!$K2=0,BR$1=Units!$O2),Units!$R2,IF(AND(BR$1&gt;=Units!$Q2,MOD(BR$1-Units!$Q2,12)=0),IF(AND(Units!$L2=1,BR$1=Units!$Q2),IF(Units!$J2&lt;&gt;"",Units!$J2,Mkt!BR3),Inputs!$B$15*Mkt!BR3+(1-Inputs!$B$15)*MIN(Mkt!BR3,BQ3*(1+Inputs!$B$18))),BQ3)))</f>
        <v>1767.8929633075</v>
      </c>
      <c r="BS3" s="11" t="n">
        <f aca="false">IF(BS$1&lt;Units!$P2,0,IF(AND(Units!$K2=0,BS$1=Units!$O2),Units!$R2,IF(AND(BS$1&gt;=Units!$Q2,MOD(BS$1-Units!$Q2,12)=0),IF(AND(Units!$L2=1,BS$1=Units!$Q2),IF(Units!$J2&lt;&gt;"",Units!$J2,Mkt!BS3),Inputs!$B$15*Mkt!BS3+(1-Inputs!$B$15)*MIN(Mkt!BS3,BR3*(1+Inputs!$B$18))),BR3)))</f>
        <v>1767.8929633075</v>
      </c>
      <c r="BT3" s="11" t="n">
        <f aca="false">IF(BT$1&lt;Units!$P2,0,IF(AND(Units!$K2=0,BT$1=Units!$O2),Units!$R2,IF(AND(BT$1&gt;=Units!$Q2,MOD(BT$1-Units!$Q2,12)=0),IF(AND(Units!$L2=1,BT$1=Units!$Q2),IF(Units!$J2&lt;&gt;"",Units!$J2,Mkt!BT3),Inputs!$B$15*Mkt!BT3+(1-Inputs!$B$15)*MIN(Mkt!BT3,BS3*(1+Inputs!$B$18))),BS3)))</f>
        <v>1767.8929633075</v>
      </c>
      <c r="BU3" s="11" t="n">
        <f aca="false">IF(BU$1&lt;Units!$P2,0,IF(AND(Units!$K2=0,BU$1=Units!$O2),Units!$R2,IF(AND(BU$1&gt;=Units!$Q2,MOD(BU$1-Units!$Q2,12)=0),IF(AND(Units!$L2=1,BU$1=Units!$Q2),IF(Units!$J2&lt;&gt;"",Units!$J2,Mkt!BU3),Inputs!$B$15*Mkt!BU3+(1-Inputs!$B$15)*MIN(Mkt!BU3,BT3*(1+Inputs!$B$18))),BT3)))</f>
        <v>1767.8929633075</v>
      </c>
      <c r="BV3" s="11" t="n">
        <f aca="false">IF(BV$1&lt;Units!$P2,0,IF(AND(Units!$K2=0,BV$1=Units!$O2),Units!$R2,IF(AND(BV$1&gt;=Units!$Q2,MOD(BV$1-Units!$Q2,12)=0),IF(AND(Units!$L2=1,BV$1=Units!$Q2),IF(Units!$J2&lt;&gt;"",Units!$J2,Mkt!BV3),Inputs!$B$15*Mkt!BV3+(1-Inputs!$B$15)*MIN(Mkt!BV3,BU3*(1+Inputs!$B$18))),BU3)))</f>
        <v>1767.8929633075</v>
      </c>
      <c r="BW3" s="11" t="n">
        <f aca="false">IF(BW$1&lt;Units!$P2,0,IF(AND(Units!$K2=0,BW$1=Units!$O2),Units!$R2,IF(AND(BW$1&gt;=Units!$Q2,MOD(BW$1-Units!$Q2,12)=0),IF(AND(Units!$L2=1,BW$1=Units!$Q2),IF(Units!$J2&lt;&gt;"",Units!$J2,Mkt!BW3),Inputs!$B$15*Mkt!BW3+(1-Inputs!$B$15)*MIN(Mkt!BW3,BV3*(1+Inputs!$B$18))),BV3)))</f>
        <v>1767.8929633075</v>
      </c>
      <c r="BX3" s="11" t="n">
        <f aca="false">IF(BX$1&lt;Units!$P2,0,IF(AND(Units!$K2=0,BX$1=Units!$O2),Units!$R2,IF(AND(BX$1&gt;=Units!$Q2,MOD(BX$1-Units!$Q2,12)=0),IF(AND(Units!$L2=1,BX$1=Units!$Q2),IF(Units!$J2&lt;&gt;"",Units!$J2,Mkt!BX3),Inputs!$B$15*Mkt!BX3+(1-Inputs!$B$15)*MIN(Mkt!BX3,BW3*(1+Inputs!$B$18))),BW3)))</f>
        <v>1820.92975220673</v>
      </c>
      <c r="BY3" s="11" t="n">
        <f aca="false">IF(BY$1&lt;Units!$P2,0,IF(AND(Units!$K2=0,BY$1=Units!$O2),Units!$R2,IF(AND(BY$1&gt;=Units!$Q2,MOD(BY$1-Units!$Q2,12)=0),IF(AND(Units!$L2=1,BY$1=Units!$Q2),IF(Units!$J2&lt;&gt;"",Units!$J2,Mkt!BY3),Inputs!$B$15*Mkt!BY3+(1-Inputs!$B$15)*MIN(Mkt!BY3,BX3*(1+Inputs!$B$18))),BX3)))</f>
        <v>1820.92975220673</v>
      </c>
      <c r="BZ3" s="11" t="n">
        <f aca="false">IF(BZ$1&lt;Units!$P2,0,IF(AND(Units!$K2=0,BZ$1=Units!$O2),Units!$R2,IF(AND(BZ$1&gt;=Units!$Q2,MOD(BZ$1-Units!$Q2,12)=0),IF(AND(Units!$L2=1,BZ$1=Units!$Q2),IF(Units!$J2&lt;&gt;"",Units!$J2,Mkt!BZ3),Inputs!$B$15*Mkt!BZ3+(1-Inputs!$B$15)*MIN(Mkt!BZ3,BY3*(1+Inputs!$B$18))),BY3)))</f>
        <v>1820.92975220673</v>
      </c>
      <c r="CA3" s="11" t="n">
        <f aca="false">IF(CA$1&lt;Units!$P2,0,IF(AND(Units!$K2=0,CA$1=Units!$O2),Units!$R2,IF(AND(CA$1&gt;=Units!$Q2,MOD(CA$1-Units!$Q2,12)=0),IF(AND(Units!$L2=1,CA$1=Units!$Q2),IF(Units!$J2&lt;&gt;"",Units!$J2,Mkt!CA3),Inputs!$B$15*Mkt!CA3+(1-Inputs!$B$15)*MIN(Mkt!CA3,BZ3*(1+Inputs!$B$18))),BZ3)))</f>
        <v>1820.92975220673</v>
      </c>
      <c r="CB3" s="11" t="n">
        <f aca="false">IF(CB$1&lt;Units!$P2,0,IF(AND(Units!$K2=0,CB$1=Units!$O2),Units!$R2,IF(AND(CB$1&gt;=Units!$Q2,MOD(CB$1-Units!$Q2,12)=0),IF(AND(Units!$L2=1,CB$1=Units!$Q2),IF(Units!$J2&lt;&gt;"",Units!$J2,Mkt!CB3),Inputs!$B$15*Mkt!CB3+(1-Inputs!$B$15)*MIN(Mkt!CB3,CA3*(1+Inputs!$B$18))),CA3)))</f>
        <v>1820.92975220673</v>
      </c>
      <c r="CC3" s="11" t="n">
        <f aca="false">IF(CC$1&lt;Units!$P2,0,IF(AND(Units!$K2=0,CC$1=Units!$O2),Units!$R2,IF(AND(CC$1&gt;=Units!$Q2,MOD(CC$1-Units!$Q2,12)=0),IF(AND(Units!$L2=1,CC$1=Units!$Q2),IF(Units!$J2&lt;&gt;"",Units!$J2,Mkt!CC3),Inputs!$B$15*Mkt!CC3+(1-Inputs!$B$15)*MIN(Mkt!CC3,CB3*(1+Inputs!$B$18))),CB3)))</f>
        <v>1820.92975220673</v>
      </c>
      <c r="CD3" s="11" t="n">
        <f aca="false">IF(CD$1&lt;Units!$P2,0,IF(AND(Units!$K2=0,CD$1=Units!$O2),Units!$R2,IF(AND(CD$1&gt;=Units!$Q2,MOD(CD$1-Units!$Q2,12)=0),IF(AND(Units!$L2=1,CD$1=Units!$Q2),IF(Units!$J2&lt;&gt;"",Units!$J2,Mkt!CD3),Inputs!$B$15*Mkt!CD3+(1-Inputs!$B$15)*MIN(Mkt!CD3,CC3*(1+Inputs!$B$18))),CC3)))</f>
        <v>1820.92975220673</v>
      </c>
      <c r="CE3" s="11" t="n">
        <f aca="false">IF(CE$1&lt;Units!$P2,0,IF(AND(Units!$K2=0,CE$1=Units!$O2),Units!$R2,IF(AND(CE$1&gt;=Units!$Q2,MOD(CE$1-Units!$Q2,12)=0),IF(AND(Units!$L2=1,CE$1=Units!$Q2),IF(Units!$J2&lt;&gt;"",Units!$J2,Mkt!CE3),Inputs!$B$15*Mkt!CE3+(1-Inputs!$B$15)*MIN(Mkt!CE3,CD3*(1+Inputs!$B$18))),CD3)))</f>
        <v>1820.92975220673</v>
      </c>
      <c r="CF3" s="11" t="n">
        <f aca="false">IF(CF$1&lt;Units!$P2,0,IF(AND(Units!$K2=0,CF$1=Units!$O2),Units!$R2,IF(AND(CF$1&gt;=Units!$Q2,MOD(CF$1-Units!$Q2,12)=0),IF(AND(Units!$L2=1,CF$1=Units!$Q2),IF(Units!$J2&lt;&gt;"",Units!$J2,Mkt!CF3),Inputs!$B$15*Mkt!CF3+(1-Inputs!$B$15)*MIN(Mkt!CF3,CE3*(1+Inputs!$B$18))),CE3)))</f>
        <v>1820.92975220673</v>
      </c>
      <c r="CG3" s="11" t="n">
        <f aca="false">IF(CG$1&lt;Units!$P2,0,IF(AND(Units!$K2=0,CG$1=Units!$O2),Units!$R2,IF(AND(CG$1&gt;=Units!$Q2,MOD(CG$1-Units!$Q2,12)=0),IF(AND(Units!$L2=1,CG$1=Units!$Q2),IF(Units!$J2&lt;&gt;"",Units!$J2,Mkt!CG3),Inputs!$B$15*Mkt!CG3+(1-Inputs!$B$15)*MIN(Mkt!CG3,CF3*(1+Inputs!$B$18))),CF3)))</f>
        <v>1820.92975220673</v>
      </c>
      <c r="CH3" s="11" t="n">
        <f aca="false">IF(CH$1&lt;Units!$P2,0,IF(AND(Units!$K2=0,CH$1=Units!$O2),Units!$R2,IF(AND(CH$1&gt;=Units!$Q2,MOD(CH$1-Units!$Q2,12)=0),IF(AND(Units!$L2=1,CH$1=Units!$Q2),IF(Units!$J2&lt;&gt;"",Units!$J2,Mkt!CH3),Inputs!$B$15*Mkt!CH3+(1-Inputs!$B$15)*MIN(Mkt!CH3,CG3*(1+Inputs!$B$18))),CG3)))</f>
        <v>1820.92975220673</v>
      </c>
      <c r="CI3" s="11" t="n">
        <f aca="false">IF(CI$1&lt;Units!$P2,0,IF(AND(Units!$K2=0,CI$1=Units!$O2),Units!$R2,IF(AND(CI$1&gt;=Units!$Q2,MOD(CI$1-Units!$Q2,12)=0),IF(AND(Units!$L2=1,CI$1=Units!$Q2),IF(Units!$J2&lt;&gt;"",Units!$J2,Mkt!CI3),Inputs!$B$15*Mkt!CI3+(1-Inputs!$B$15)*MIN(Mkt!CI3,CH3*(1+Inputs!$B$18))),CH3)))</f>
        <v>1820.92975220673</v>
      </c>
      <c r="CJ3" s="11" t="n">
        <f aca="false">IF(CJ$1&lt;Units!$P2,0,IF(AND(Units!$K2=0,CJ$1=Units!$O2),Units!$R2,IF(AND(CJ$1&gt;=Units!$Q2,MOD(CJ$1-Units!$Q2,12)=0),IF(AND(Units!$L2=1,CJ$1=Units!$Q2),IF(Units!$J2&lt;&gt;"",Units!$J2,Mkt!CJ3),Inputs!$B$15*Mkt!CJ3+(1-Inputs!$B$15)*MIN(Mkt!CJ3,CI3*(1+Inputs!$B$18))),CI3)))</f>
        <v>1875.55764477293</v>
      </c>
      <c r="CK3" s="11" t="n">
        <f aca="false">IF(CK$1&lt;Units!$P2,0,IF(AND(Units!$K2=0,CK$1=Units!$O2),Units!$R2,IF(AND(CK$1&gt;=Units!$Q2,MOD(CK$1-Units!$Q2,12)=0),IF(AND(Units!$L2=1,CK$1=Units!$Q2),IF(Units!$J2&lt;&gt;"",Units!$J2,Mkt!CK3),Inputs!$B$15*Mkt!CK3+(1-Inputs!$B$15)*MIN(Mkt!CK3,CJ3*(1+Inputs!$B$18))),CJ3)))</f>
        <v>1875.55764477293</v>
      </c>
      <c r="CL3" s="11" t="n">
        <f aca="false">IF(CL$1&lt;Units!$P2,0,IF(AND(Units!$K2=0,CL$1=Units!$O2),Units!$R2,IF(AND(CL$1&gt;=Units!$Q2,MOD(CL$1-Units!$Q2,12)=0),IF(AND(Units!$L2=1,CL$1=Units!$Q2),IF(Units!$J2&lt;&gt;"",Units!$J2,Mkt!CL3),Inputs!$B$15*Mkt!CL3+(1-Inputs!$B$15)*MIN(Mkt!CL3,CK3*(1+Inputs!$B$18))),CK3)))</f>
        <v>1875.55764477293</v>
      </c>
      <c r="CM3" s="11" t="n">
        <f aca="false">IF(CM$1&lt;Units!$P2,0,IF(AND(Units!$K2=0,CM$1=Units!$O2),Units!$R2,IF(AND(CM$1&gt;=Units!$Q2,MOD(CM$1-Units!$Q2,12)=0),IF(AND(Units!$L2=1,CM$1=Units!$Q2),IF(Units!$J2&lt;&gt;"",Units!$J2,Mkt!CM3),Inputs!$B$15*Mkt!CM3+(1-Inputs!$B$15)*MIN(Mkt!CM3,CL3*(1+Inputs!$B$18))),CL3)))</f>
        <v>1875.55764477293</v>
      </c>
      <c r="CN3" s="11" t="n">
        <f aca="false">IF(CN$1&lt;Units!$P2,0,IF(AND(Units!$K2=0,CN$1=Units!$O2),Units!$R2,IF(AND(CN$1&gt;=Units!$Q2,MOD(CN$1-Units!$Q2,12)=0),IF(AND(Units!$L2=1,CN$1=Units!$Q2),IF(Units!$J2&lt;&gt;"",Units!$J2,Mkt!CN3),Inputs!$B$15*Mkt!CN3+(1-Inputs!$B$15)*MIN(Mkt!CN3,CM3*(1+Inputs!$B$18))),CM3)))</f>
        <v>1875.55764477293</v>
      </c>
      <c r="CO3" s="11" t="n">
        <f aca="false">IF(CO$1&lt;Units!$P2,0,IF(AND(Units!$K2=0,CO$1=Units!$O2),Units!$R2,IF(AND(CO$1&gt;=Units!$Q2,MOD(CO$1-Units!$Q2,12)=0),IF(AND(Units!$L2=1,CO$1=Units!$Q2),IF(Units!$J2&lt;&gt;"",Units!$J2,Mkt!CO3),Inputs!$B$15*Mkt!CO3+(1-Inputs!$B$15)*MIN(Mkt!CO3,CN3*(1+Inputs!$B$18))),CN3)))</f>
        <v>1875.55764477293</v>
      </c>
      <c r="CP3" s="11" t="n">
        <f aca="false">IF(CP$1&lt;Units!$P2,0,IF(AND(Units!$K2=0,CP$1=Units!$O2),Units!$R2,IF(AND(CP$1&gt;=Units!$Q2,MOD(CP$1-Units!$Q2,12)=0),IF(AND(Units!$L2=1,CP$1=Units!$Q2),IF(Units!$J2&lt;&gt;"",Units!$J2,Mkt!CP3),Inputs!$B$15*Mkt!CP3+(1-Inputs!$B$15)*MIN(Mkt!CP3,CO3*(1+Inputs!$B$18))),CO3)))</f>
        <v>1875.55764477293</v>
      </c>
      <c r="CQ3" s="11" t="n">
        <f aca="false">IF(CQ$1&lt;Units!$P2,0,IF(AND(Units!$K2=0,CQ$1=Units!$O2),Units!$R2,IF(AND(CQ$1&gt;=Units!$Q2,MOD(CQ$1-Units!$Q2,12)=0),IF(AND(Units!$L2=1,CQ$1=Units!$Q2),IF(Units!$J2&lt;&gt;"",Units!$J2,Mkt!CQ3),Inputs!$B$15*Mkt!CQ3+(1-Inputs!$B$15)*MIN(Mkt!CQ3,CP3*(1+Inputs!$B$18))),CP3)))</f>
        <v>1875.55764477293</v>
      </c>
      <c r="CR3" s="11" t="n">
        <f aca="false">IF(CR$1&lt;Units!$P2,0,IF(AND(Units!$K2=0,CR$1=Units!$O2),Units!$R2,IF(AND(CR$1&gt;=Units!$Q2,MOD(CR$1-Units!$Q2,12)=0),IF(AND(Units!$L2=1,CR$1=Units!$Q2),IF(Units!$J2&lt;&gt;"",Units!$J2,Mkt!CR3),Inputs!$B$15*Mkt!CR3+(1-Inputs!$B$15)*MIN(Mkt!CR3,CQ3*(1+Inputs!$B$18))),CQ3)))</f>
        <v>1875.55764477293</v>
      </c>
      <c r="CS3" s="11" t="n">
        <f aca="false">IF(CS$1&lt;Units!$P2,0,IF(AND(Units!$K2=0,CS$1=Units!$O2),Units!$R2,IF(AND(CS$1&gt;=Units!$Q2,MOD(CS$1-Units!$Q2,12)=0),IF(AND(Units!$L2=1,CS$1=Units!$Q2),IF(Units!$J2&lt;&gt;"",Units!$J2,Mkt!CS3),Inputs!$B$15*Mkt!CS3+(1-Inputs!$B$15)*MIN(Mkt!CS3,CR3*(1+Inputs!$B$18))),CR3)))</f>
        <v>1875.55764477293</v>
      </c>
      <c r="CT3" s="11" t="n">
        <f aca="false">IF(CT$1&lt;Units!$P2,0,IF(AND(Units!$K2=0,CT$1=Units!$O2),Units!$R2,IF(AND(CT$1&gt;=Units!$Q2,MOD(CT$1-Units!$Q2,12)=0),IF(AND(Units!$L2=1,CT$1=Units!$Q2),IF(Units!$J2&lt;&gt;"",Units!$J2,Mkt!CT3),Inputs!$B$15*Mkt!CT3+(1-Inputs!$B$15)*MIN(Mkt!CT3,CS3*(1+Inputs!$B$18))),CS3)))</f>
        <v>1875.55764477293</v>
      </c>
      <c r="CU3" s="11" t="n">
        <f aca="false">IF(CU$1&lt;Units!$P2,0,IF(AND(Units!$K2=0,CU$1=Units!$O2),Units!$R2,IF(AND(CU$1&gt;=Units!$Q2,MOD(CU$1-Units!$Q2,12)=0),IF(AND(Units!$L2=1,CU$1=Units!$Q2),IF(Units!$J2&lt;&gt;"",Units!$J2,Mkt!CU3),Inputs!$B$15*Mkt!CU3+(1-Inputs!$B$15)*MIN(Mkt!CU3,CT3*(1+Inputs!$B$18))),CT3)))</f>
        <v>1875.55764477293</v>
      </c>
      <c r="CV3" s="11" t="n">
        <f aca="false">IF(CV$1&lt;Units!$P2,0,IF(AND(Units!$K2=0,CV$1=Units!$O2),Units!$R2,IF(AND(CV$1&gt;=Units!$Q2,MOD(CV$1-Units!$Q2,12)=0),IF(AND(Units!$L2=1,CV$1=Units!$Q2),IF(Units!$J2&lt;&gt;"",Units!$J2,Mkt!CV3),Inputs!$B$15*Mkt!CV3+(1-Inputs!$B$15)*MIN(Mkt!CV3,CU3*(1+Inputs!$B$18))),CU3)))</f>
        <v>1931.82437411612</v>
      </c>
      <c r="CW3" s="11" t="n">
        <f aca="false">IF(CW$1&lt;Units!$P2,0,IF(AND(Units!$K2=0,CW$1=Units!$O2),Units!$R2,IF(AND(CW$1&gt;=Units!$Q2,MOD(CW$1-Units!$Q2,12)=0),IF(AND(Units!$L2=1,CW$1=Units!$Q2),IF(Units!$J2&lt;&gt;"",Units!$J2,Mkt!CW3),Inputs!$B$15*Mkt!CW3+(1-Inputs!$B$15)*MIN(Mkt!CW3,CV3*(1+Inputs!$B$18))),CV3)))</f>
        <v>1931.82437411612</v>
      </c>
      <c r="CX3" s="11" t="n">
        <f aca="false">IF(CX$1&lt;Units!$P2,0,IF(AND(Units!$K2=0,CX$1=Units!$O2),Units!$R2,IF(AND(CX$1&gt;=Units!$Q2,MOD(CX$1-Units!$Q2,12)=0),IF(AND(Units!$L2=1,CX$1=Units!$Q2),IF(Units!$J2&lt;&gt;"",Units!$J2,Mkt!CX3),Inputs!$B$15*Mkt!CX3+(1-Inputs!$B$15)*MIN(Mkt!CX3,CW3*(1+Inputs!$B$18))),CW3)))</f>
        <v>1931.82437411612</v>
      </c>
      <c r="CY3" s="11" t="n">
        <f aca="false">IF(CY$1&lt;Units!$P2,0,IF(AND(Units!$K2=0,CY$1=Units!$O2),Units!$R2,IF(AND(CY$1&gt;=Units!$Q2,MOD(CY$1-Units!$Q2,12)=0),IF(AND(Units!$L2=1,CY$1=Units!$Q2),IF(Units!$J2&lt;&gt;"",Units!$J2,Mkt!CY3),Inputs!$B$15*Mkt!CY3+(1-Inputs!$B$15)*MIN(Mkt!CY3,CX3*(1+Inputs!$B$18))),CX3)))</f>
        <v>1931.82437411612</v>
      </c>
      <c r="CZ3" s="11" t="n">
        <f aca="false">IF(CZ$1&lt;Units!$P2,0,IF(AND(Units!$K2=0,CZ$1=Units!$O2),Units!$R2,IF(AND(CZ$1&gt;=Units!$Q2,MOD(CZ$1-Units!$Q2,12)=0),IF(AND(Units!$L2=1,CZ$1=Units!$Q2),IF(Units!$J2&lt;&gt;"",Units!$J2,Mkt!CZ3),Inputs!$B$15*Mkt!CZ3+(1-Inputs!$B$15)*MIN(Mkt!CZ3,CY3*(1+Inputs!$B$18))),CY3)))</f>
        <v>1931.82437411612</v>
      </c>
      <c r="DA3" s="11" t="n">
        <f aca="false">IF(DA$1&lt;Units!$P2,0,IF(AND(Units!$K2=0,DA$1=Units!$O2),Units!$R2,IF(AND(DA$1&gt;=Units!$Q2,MOD(DA$1-Units!$Q2,12)=0),IF(AND(Units!$L2=1,DA$1=Units!$Q2),IF(Units!$J2&lt;&gt;"",Units!$J2,Mkt!DA3),Inputs!$B$15*Mkt!DA3+(1-Inputs!$B$15)*MIN(Mkt!DA3,CZ3*(1+Inputs!$B$18))),CZ3)))</f>
        <v>1931.82437411612</v>
      </c>
      <c r="DB3" s="11" t="n">
        <f aca="false">IF(DB$1&lt;Units!$P2,0,IF(AND(Units!$K2=0,DB$1=Units!$O2),Units!$R2,IF(AND(DB$1&gt;=Units!$Q2,MOD(DB$1-Units!$Q2,12)=0),IF(AND(Units!$L2=1,DB$1=Units!$Q2),IF(Units!$J2&lt;&gt;"",Units!$J2,Mkt!DB3),Inputs!$B$15*Mkt!DB3+(1-Inputs!$B$15)*MIN(Mkt!DB3,DA3*(1+Inputs!$B$18))),DA3)))</f>
        <v>1931.82437411612</v>
      </c>
      <c r="DC3" s="11" t="n">
        <f aca="false">IF(DC$1&lt;Units!$P2,0,IF(AND(Units!$K2=0,DC$1=Units!$O2),Units!$R2,IF(AND(DC$1&gt;=Units!$Q2,MOD(DC$1-Units!$Q2,12)=0),IF(AND(Units!$L2=1,DC$1=Units!$Q2),IF(Units!$J2&lt;&gt;"",Units!$J2,Mkt!DC3),Inputs!$B$15*Mkt!DC3+(1-Inputs!$B$15)*MIN(Mkt!DC3,DB3*(1+Inputs!$B$18))),DB3)))</f>
        <v>1931.82437411612</v>
      </c>
      <c r="DD3" s="11" t="n">
        <f aca="false">IF(DD$1&lt;Units!$P2,0,IF(AND(Units!$K2=0,DD$1=Units!$O2),Units!$R2,IF(AND(DD$1&gt;=Units!$Q2,MOD(DD$1-Units!$Q2,12)=0),IF(AND(Units!$L2=1,DD$1=Units!$Q2),IF(Units!$J2&lt;&gt;"",Units!$J2,Mkt!DD3),Inputs!$B$15*Mkt!DD3+(1-Inputs!$B$15)*MIN(Mkt!DD3,DC3*(1+Inputs!$B$18))),DC3)))</f>
        <v>1931.82437411612</v>
      </c>
      <c r="DE3" s="11" t="n">
        <f aca="false">IF(DE$1&lt;Units!$P2,0,IF(AND(Units!$K2=0,DE$1=Units!$O2),Units!$R2,IF(AND(DE$1&gt;=Units!$Q2,MOD(DE$1-Units!$Q2,12)=0),IF(AND(Units!$L2=1,DE$1=Units!$Q2),IF(Units!$J2&lt;&gt;"",Units!$J2,Mkt!DE3),Inputs!$B$15*Mkt!DE3+(1-Inputs!$B$15)*MIN(Mkt!DE3,DD3*(1+Inputs!$B$18))),DD3)))</f>
        <v>1931.82437411612</v>
      </c>
      <c r="DF3" s="11" t="n">
        <f aca="false">IF(DF$1&lt;Units!$P2,0,IF(AND(Units!$K2=0,DF$1=Units!$O2),Units!$R2,IF(AND(DF$1&gt;=Units!$Q2,MOD(DF$1-Units!$Q2,12)=0),IF(AND(Units!$L2=1,DF$1=Units!$Q2),IF(Units!$J2&lt;&gt;"",Units!$J2,Mkt!DF3),Inputs!$B$15*Mkt!DF3+(1-Inputs!$B$15)*MIN(Mkt!DF3,DE3*(1+Inputs!$B$18))),DE3)))</f>
        <v>1931.82437411612</v>
      </c>
      <c r="DG3" s="11" t="n">
        <f aca="false">IF(DG$1&lt;Units!$P2,0,IF(AND(Units!$K2=0,DG$1=Units!$O2),Units!$R2,IF(AND(DG$1&gt;=Units!$Q2,MOD(DG$1-Units!$Q2,12)=0),IF(AND(Units!$L2=1,DG$1=Units!$Q2),IF(Units!$J2&lt;&gt;"",Units!$J2,Mkt!DG3),Inputs!$B$15*Mkt!DG3+(1-Inputs!$B$15)*MIN(Mkt!DG3,DF3*(1+Inputs!$B$18))),DF3)))</f>
        <v>1931.82437411612</v>
      </c>
      <c r="DH3" s="11" t="n">
        <f aca="false">IF(DH$1&lt;Units!$P2,0,IF(AND(Units!$K2=0,DH$1=Units!$O2),Units!$R2,IF(AND(DH$1&gt;=Units!$Q2,MOD(DH$1-Units!$Q2,12)=0),IF(AND(Units!$L2=1,DH$1=Units!$Q2),IF(Units!$J2&lt;&gt;"",Units!$J2,Mkt!DH3),Inputs!$B$15*Mkt!DH3+(1-Inputs!$B$15)*MIN(Mkt!DH3,DG3*(1+Inputs!$B$18))),DG3)))</f>
        <v>1989.7791053396</v>
      </c>
      <c r="DI3" s="11" t="n">
        <f aca="false">IF(DI$1&lt;Units!$P2,0,IF(AND(Units!$K2=0,DI$1=Units!$O2),Units!$R2,IF(AND(DI$1&gt;=Units!$Q2,MOD(DI$1-Units!$Q2,12)=0),IF(AND(Units!$L2=1,DI$1=Units!$Q2),IF(Units!$J2&lt;&gt;"",Units!$J2,Mkt!DI3),Inputs!$B$15*Mkt!DI3+(1-Inputs!$B$15)*MIN(Mkt!DI3,DH3*(1+Inputs!$B$18))),DH3)))</f>
        <v>1989.7791053396</v>
      </c>
      <c r="DJ3" s="11" t="n">
        <f aca="false">IF(DJ$1&lt;Units!$P2,0,IF(AND(Units!$K2=0,DJ$1=Units!$O2),Units!$R2,IF(AND(DJ$1&gt;=Units!$Q2,MOD(DJ$1-Units!$Q2,12)=0),IF(AND(Units!$L2=1,DJ$1=Units!$Q2),IF(Units!$J2&lt;&gt;"",Units!$J2,Mkt!DJ3),Inputs!$B$15*Mkt!DJ3+(1-Inputs!$B$15)*MIN(Mkt!DJ3,DI3*(1+Inputs!$B$18))),DI3)))</f>
        <v>1989.7791053396</v>
      </c>
      <c r="DK3" s="11" t="n">
        <f aca="false">IF(DK$1&lt;Units!$P2,0,IF(AND(Units!$K2=0,DK$1=Units!$O2),Units!$R2,IF(AND(DK$1&gt;=Units!$Q2,MOD(DK$1-Units!$Q2,12)=0),IF(AND(Units!$L2=1,DK$1=Units!$Q2),IF(Units!$J2&lt;&gt;"",Units!$J2,Mkt!DK3),Inputs!$B$15*Mkt!DK3+(1-Inputs!$B$15)*MIN(Mkt!DK3,DJ3*(1+Inputs!$B$18))),DJ3)))</f>
        <v>1989.7791053396</v>
      </c>
      <c r="DL3" s="11" t="n">
        <f aca="false">IF(DL$1&lt;Units!$P2,0,IF(AND(Units!$K2=0,DL$1=Units!$O2),Units!$R2,IF(AND(DL$1&gt;=Units!$Q2,MOD(DL$1-Units!$Q2,12)=0),IF(AND(Units!$L2=1,DL$1=Units!$Q2),IF(Units!$J2&lt;&gt;"",Units!$J2,Mkt!DL3),Inputs!$B$15*Mkt!DL3+(1-Inputs!$B$15)*MIN(Mkt!DL3,DK3*(1+Inputs!$B$18))),DK3)))</f>
        <v>1989.7791053396</v>
      </c>
      <c r="DM3" s="11" t="n">
        <f aca="false">IF(DM$1&lt;Units!$P2,0,IF(AND(Units!$K2=0,DM$1=Units!$O2),Units!$R2,IF(AND(DM$1&gt;=Units!$Q2,MOD(DM$1-Units!$Q2,12)=0),IF(AND(Units!$L2=1,DM$1=Units!$Q2),IF(Units!$J2&lt;&gt;"",Units!$J2,Mkt!DM3),Inputs!$B$15*Mkt!DM3+(1-Inputs!$B$15)*MIN(Mkt!DM3,DL3*(1+Inputs!$B$18))),DL3)))</f>
        <v>1989.7791053396</v>
      </c>
      <c r="DN3" s="11" t="n">
        <f aca="false">IF(DN$1&lt;Units!$P2,0,IF(AND(Units!$K2=0,DN$1=Units!$O2),Units!$R2,IF(AND(DN$1&gt;=Units!$Q2,MOD(DN$1-Units!$Q2,12)=0),IF(AND(Units!$L2=1,DN$1=Units!$Q2),IF(Units!$J2&lt;&gt;"",Units!$J2,Mkt!DN3),Inputs!$B$15*Mkt!DN3+(1-Inputs!$B$15)*MIN(Mkt!DN3,DM3*(1+Inputs!$B$18))),DM3)))</f>
        <v>1989.7791053396</v>
      </c>
      <c r="DO3" s="11" t="n">
        <f aca="false">IF(DO$1&lt;Units!$P2,0,IF(AND(Units!$K2=0,DO$1=Units!$O2),Units!$R2,IF(AND(DO$1&gt;=Units!$Q2,MOD(DO$1-Units!$Q2,12)=0),IF(AND(Units!$L2=1,DO$1=Units!$Q2),IF(Units!$J2&lt;&gt;"",Units!$J2,Mkt!DO3),Inputs!$B$15*Mkt!DO3+(1-Inputs!$B$15)*MIN(Mkt!DO3,DN3*(1+Inputs!$B$18))),DN3)))</f>
        <v>1989.7791053396</v>
      </c>
      <c r="DP3" s="11" t="n">
        <f aca="false">IF(DP$1&lt;Units!$P2,0,IF(AND(Units!$K2=0,DP$1=Units!$O2),Units!$R2,IF(AND(DP$1&gt;=Units!$Q2,MOD(DP$1-Units!$Q2,12)=0),IF(AND(Units!$L2=1,DP$1=Units!$Q2),IF(Units!$J2&lt;&gt;"",Units!$J2,Mkt!DP3),Inputs!$B$15*Mkt!DP3+(1-Inputs!$B$15)*MIN(Mkt!DP3,DO3*(1+Inputs!$B$18))),DO3)))</f>
        <v>1989.7791053396</v>
      </c>
      <c r="DQ3" s="11" t="n">
        <f aca="false">IF(DQ$1&lt;Units!$P2,0,IF(AND(Units!$K2=0,DQ$1=Units!$O2),Units!$R2,IF(AND(DQ$1&gt;=Units!$Q2,MOD(DQ$1-Units!$Q2,12)=0),IF(AND(Units!$L2=1,DQ$1=Units!$Q2),IF(Units!$J2&lt;&gt;"",Units!$J2,Mkt!DQ3),Inputs!$B$15*Mkt!DQ3+(1-Inputs!$B$15)*MIN(Mkt!DQ3,DP3*(1+Inputs!$B$18))),DP3)))</f>
        <v>1989.7791053396</v>
      </c>
      <c r="DR3" s="11" t="n">
        <f aca="false">IF(DR$1&lt;Units!$P2,0,IF(AND(Units!$K2=0,DR$1=Units!$O2),Units!$R2,IF(AND(DR$1&gt;=Units!$Q2,MOD(DR$1-Units!$Q2,12)=0),IF(AND(Units!$L2=1,DR$1=Units!$Q2),IF(Units!$J2&lt;&gt;"",Units!$J2,Mkt!DR3),Inputs!$B$15*Mkt!DR3+(1-Inputs!$B$15)*MIN(Mkt!DR3,DQ3*(1+Inputs!$B$18))),DQ3)))</f>
        <v>1989.7791053396</v>
      </c>
      <c r="DS3" s="11" t="n">
        <f aca="false">IF(DS$1&lt;Units!$P2,0,IF(AND(Units!$K2=0,DS$1=Units!$O2),Units!$R2,IF(AND(DS$1&gt;=Units!$Q2,MOD(DS$1-Units!$Q2,12)=0),IF(AND(Units!$L2=1,DS$1=Units!$Q2),IF(Units!$J2&lt;&gt;"",Units!$J2,Mkt!DS3),Inputs!$B$15*Mkt!DS3+(1-Inputs!$B$15)*MIN(Mkt!DS3,DR3*(1+Inputs!$B$18))),DR3)))</f>
        <v>1989.7791053396</v>
      </c>
      <c r="DT3" s="11" t="n">
        <f aca="false">IF(DT$1&lt;Units!$P2,0,IF(AND(Units!$K2=0,DT$1=Units!$O2),Units!$R2,IF(AND(DT$1&gt;=Units!$Q2,MOD(DT$1-Units!$Q2,12)=0),IF(AND(Units!$L2=1,DT$1=Units!$Q2),IF(Units!$J2&lt;&gt;"",Units!$J2,Mkt!DT3),Inputs!$B$15*Mkt!DT3+(1-Inputs!$B$15)*MIN(Mkt!DT3,DS3*(1+Inputs!$B$18))),DS3)))</f>
        <v>2049.47247849979</v>
      </c>
      <c r="DU3" s="11" t="n">
        <f aca="false">IF(DU$1&lt;Units!$P2,0,IF(AND(Units!$K2=0,DU$1=Units!$O2),Units!$R2,IF(AND(DU$1&gt;=Units!$Q2,MOD(DU$1-Units!$Q2,12)=0),IF(AND(Units!$L2=1,DU$1=Units!$Q2),IF(Units!$J2&lt;&gt;"",Units!$J2,Mkt!DU3),Inputs!$B$15*Mkt!DU3+(1-Inputs!$B$15)*MIN(Mkt!DU3,DT3*(1+Inputs!$B$18))),DT3)))</f>
        <v>2049.47247849979</v>
      </c>
      <c r="DV3" s="11" t="n">
        <f aca="false">IF(DV$1&lt;Units!$P2,0,IF(AND(Units!$K2=0,DV$1=Units!$O2),Units!$R2,IF(AND(DV$1&gt;=Units!$Q2,MOD(DV$1-Units!$Q2,12)=0),IF(AND(Units!$L2=1,DV$1=Units!$Q2),IF(Units!$J2&lt;&gt;"",Units!$J2,Mkt!DV3),Inputs!$B$15*Mkt!DV3+(1-Inputs!$B$15)*MIN(Mkt!DV3,DU3*(1+Inputs!$B$18))),DU3)))</f>
        <v>2049.47247849979</v>
      </c>
      <c r="DW3" s="11" t="n">
        <f aca="false">IF(DW$1&lt;Units!$P2,0,IF(AND(Units!$K2=0,DW$1=Units!$O2),Units!$R2,IF(AND(DW$1&gt;=Units!$Q2,MOD(DW$1-Units!$Q2,12)=0),IF(AND(Units!$L2=1,DW$1=Units!$Q2),IF(Units!$J2&lt;&gt;"",Units!$J2,Mkt!DW3),Inputs!$B$15*Mkt!DW3+(1-Inputs!$B$15)*MIN(Mkt!DW3,DV3*(1+Inputs!$B$18))),DV3)))</f>
        <v>2049.47247849979</v>
      </c>
      <c r="DX3" s="11" t="n">
        <f aca="false">IF(DX$1&lt;Units!$P2,0,IF(AND(Units!$K2=0,DX$1=Units!$O2),Units!$R2,IF(AND(DX$1&gt;=Units!$Q2,MOD(DX$1-Units!$Q2,12)=0),IF(AND(Units!$L2=1,DX$1=Units!$Q2),IF(Units!$J2&lt;&gt;"",Units!$J2,Mkt!DX3),Inputs!$B$15*Mkt!DX3+(1-Inputs!$B$15)*MIN(Mkt!DX3,DW3*(1+Inputs!$B$18))),DW3)))</f>
        <v>2049.47247849979</v>
      </c>
      <c r="DY3" s="11" t="n">
        <f aca="false">IF(DY$1&lt;Units!$P2,0,IF(AND(Units!$K2=0,DY$1=Units!$O2),Units!$R2,IF(AND(DY$1&gt;=Units!$Q2,MOD(DY$1-Units!$Q2,12)=0),IF(AND(Units!$L2=1,DY$1=Units!$Q2),IF(Units!$J2&lt;&gt;"",Units!$J2,Mkt!DY3),Inputs!$B$15*Mkt!DY3+(1-Inputs!$B$15)*MIN(Mkt!DY3,DX3*(1+Inputs!$B$18))),DX3)))</f>
        <v>2049.47247849979</v>
      </c>
      <c r="DZ3" s="11" t="n">
        <f aca="false">IF(DZ$1&lt;Units!$P2,0,IF(AND(Units!$K2=0,DZ$1=Units!$O2),Units!$R2,IF(AND(DZ$1&gt;=Units!$Q2,MOD(DZ$1-Units!$Q2,12)=0),IF(AND(Units!$L2=1,DZ$1=Units!$Q2),IF(Units!$J2&lt;&gt;"",Units!$J2,Mkt!DZ3),Inputs!$B$15*Mkt!DZ3+(1-Inputs!$B$15)*MIN(Mkt!DZ3,DY3*(1+Inputs!$B$18))),DY3)))</f>
        <v>2049.47247849979</v>
      </c>
      <c r="EA3" s="11" t="n">
        <f aca="false">IF(EA$1&lt;Units!$P2,0,IF(AND(Units!$K2=0,EA$1=Units!$O2),Units!$R2,IF(AND(EA$1&gt;=Units!$Q2,MOD(EA$1-Units!$Q2,12)=0),IF(AND(Units!$L2=1,EA$1=Units!$Q2),IF(Units!$J2&lt;&gt;"",Units!$J2,Mkt!EA3),Inputs!$B$15*Mkt!EA3+(1-Inputs!$B$15)*MIN(Mkt!EA3,DZ3*(1+Inputs!$B$18))),DZ3)))</f>
        <v>2049.47247849979</v>
      </c>
      <c r="EB3" s="11" t="n">
        <f aca="false">IF(EB$1&lt;Units!$P2,0,IF(AND(Units!$K2=0,EB$1=Units!$O2),Units!$R2,IF(AND(EB$1&gt;=Units!$Q2,MOD(EB$1-Units!$Q2,12)=0),IF(AND(Units!$L2=1,EB$1=Units!$Q2),IF(Units!$J2&lt;&gt;"",Units!$J2,Mkt!EB3),Inputs!$B$15*Mkt!EB3+(1-Inputs!$B$15)*MIN(Mkt!EB3,EA3*(1+Inputs!$B$18))),EA3)))</f>
        <v>2049.47247849979</v>
      </c>
      <c r="EC3" s="11" t="n">
        <f aca="false">IF(EC$1&lt;Units!$P2,0,IF(AND(Units!$K2=0,EC$1=Units!$O2),Units!$R2,IF(AND(EC$1&gt;=Units!$Q2,MOD(EC$1-Units!$Q2,12)=0),IF(AND(Units!$L2=1,EC$1=Units!$Q2),IF(Units!$J2&lt;&gt;"",Units!$J2,Mkt!EC3),Inputs!$B$15*Mkt!EC3+(1-Inputs!$B$15)*MIN(Mkt!EC3,EB3*(1+Inputs!$B$18))),EB3)))</f>
        <v>2049.47247849979</v>
      </c>
      <c r="ED3" s="11" t="n">
        <f aca="false">IF(ED$1&lt;Units!$P2,0,IF(AND(Units!$K2=0,ED$1=Units!$O2),Units!$R2,IF(AND(ED$1&gt;=Units!$Q2,MOD(ED$1-Units!$Q2,12)=0),IF(AND(Units!$L2=1,ED$1=Units!$Q2),IF(Units!$J2&lt;&gt;"",Units!$J2,Mkt!ED3),Inputs!$B$15*Mkt!ED3+(1-Inputs!$B$15)*MIN(Mkt!ED3,EC3*(1+Inputs!$B$18))),EC3)))</f>
        <v>2049.47247849979</v>
      </c>
    </row>
    <row r="4" customFormat="false" ht="15" hidden="false" customHeight="false" outlineLevel="0" collapsed="false">
      <c r="A4" s="22" t="n">
        <f aca="false">Units!A3</f>
        <v>102</v>
      </c>
      <c r="B4" s="24" t="n">
        <f aca="false">IF(Units!K3=1,Units!F3,0)</f>
        <v>1235</v>
      </c>
      <c r="C4" s="11" t="n">
        <f aca="false">IF(C$1&lt;Units!$P3,0,IF(AND(Units!$K3=0,C$1=Units!$O3),Units!$R3,IF(AND(C$1&gt;=Units!$Q3,MOD(C$1-Units!$Q3,12)=0),IF(AND(Units!$L3=1,C$1=Units!$Q3),IF(Units!$J3&lt;&gt;"",Units!$J3,Mkt!C4),Inputs!$B$15*Mkt!C4+(1-Inputs!$B$15)*MIN(Mkt!C4,B4*(1+Inputs!$B$18))),B4)))</f>
        <v>1235</v>
      </c>
      <c r="D4" s="11" t="n">
        <f aca="false">IF(D$1&lt;Units!$P3,0,IF(AND(Units!$K3=0,D$1=Units!$O3),Units!$R3,IF(AND(D$1&gt;=Units!$Q3,MOD(D$1-Units!$Q3,12)=0),IF(AND(Units!$L3=1,D$1=Units!$Q3),IF(Units!$J3&lt;&gt;"",Units!$J3,Mkt!D4),Inputs!$B$15*Mkt!D4+(1-Inputs!$B$15)*MIN(Mkt!D4,C4*(1+Inputs!$B$18))),C4)))</f>
        <v>1235</v>
      </c>
      <c r="E4" s="11" t="n">
        <f aca="false">IF(E$1&lt;Units!$P3,0,IF(AND(Units!$K3=0,E$1=Units!$O3),Units!$R3,IF(AND(E$1&gt;=Units!$Q3,MOD(E$1-Units!$Q3,12)=0),IF(AND(Units!$L3=1,E$1=Units!$Q3),IF(Units!$J3&lt;&gt;"",Units!$J3,Mkt!E4),Inputs!$B$15*Mkt!E4+(1-Inputs!$B$15)*MIN(Mkt!E4,D4*(1+Inputs!$B$18))),D4)))</f>
        <v>1235</v>
      </c>
      <c r="F4" s="11" t="n">
        <f aca="false">IF(F$1&lt;Units!$P3,0,IF(AND(Units!$K3=0,F$1=Units!$O3),Units!$R3,IF(AND(F$1&gt;=Units!$Q3,MOD(F$1-Units!$Q3,12)=0),IF(AND(Units!$L3=1,F$1=Units!$Q3),IF(Units!$J3&lt;&gt;"",Units!$J3,Mkt!F4),Inputs!$B$15*Mkt!F4+(1-Inputs!$B$15)*MIN(Mkt!F4,E4*(1+Inputs!$B$18))),E4)))</f>
        <v>1235</v>
      </c>
      <c r="G4" s="11" t="n">
        <f aca="false">IF(G$1&lt;Units!$P3,0,IF(AND(Units!$K3=0,G$1=Units!$O3),Units!$R3,IF(AND(G$1&gt;=Units!$Q3,MOD(G$1-Units!$Q3,12)=0),IF(AND(Units!$L3=1,G$1=Units!$Q3),IF(Units!$J3&lt;&gt;"",Units!$J3,Mkt!G4),Inputs!$B$15*Mkt!G4+(1-Inputs!$B$15)*MIN(Mkt!G4,F4*(1+Inputs!$B$18))),F4)))</f>
        <v>1235</v>
      </c>
      <c r="H4" s="11" t="n">
        <f aca="false">IF(H$1&lt;Units!$P3,0,IF(AND(Units!$K3=0,H$1=Units!$O3),Units!$R3,IF(AND(H$1&gt;=Units!$Q3,MOD(H$1-Units!$Q3,12)=0),IF(AND(Units!$L3=1,H$1=Units!$Q3),IF(Units!$J3&lt;&gt;"",Units!$J3,Mkt!H4),Inputs!$B$15*Mkt!H4+(1-Inputs!$B$15)*MIN(Mkt!H4,G4*(1+Inputs!$B$18))),G4)))</f>
        <v>1410.875</v>
      </c>
      <c r="I4" s="11" t="n">
        <f aca="false">IF(I$1&lt;Units!$P3,0,IF(AND(Units!$K3=0,I$1=Units!$O3),Units!$R3,IF(AND(I$1&gt;=Units!$Q3,MOD(I$1-Units!$Q3,12)=0),IF(AND(Units!$L3=1,I$1=Units!$Q3),IF(Units!$J3&lt;&gt;"",Units!$J3,Mkt!I4),Inputs!$B$15*Mkt!I4+(1-Inputs!$B$15)*MIN(Mkt!I4,H4*(1+Inputs!$B$18))),H4)))</f>
        <v>1410.875</v>
      </c>
      <c r="J4" s="11" t="n">
        <f aca="false">IF(J$1&lt;Units!$P3,0,IF(AND(Units!$K3=0,J$1=Units!$O3),Units!$R3,IF(AND(J$1&gt;=Units!$Q3,MOD(J$1-Units!$Q3,12)=0),IF(AND(Units!$L3=1,J$1=Units!$Q3),IF(Units!$J3&lt;&gt;"",Units!$J3,Mkt!J4),Inputs!$B$15*Mkt!J4+(1-Inputs!$B$15)*MIN(Mkt!J4,I4*(1+Inputs!$B$18))),I4)))</f>
        <v>1410.875</v>
      </c>
      <c r="K4" s="11" t="n">
        <f aca="false">IF(K$1&lt;Units!$P3,0,IF(AND(Units!$K3=0,K$1=Units!$O3),Units!$R3,IF(AND(K$1&gt;=Units!$Q3,MOD(K$1-Units!$Q3,12)=0),IF(AND(Units!$L3=1,K$1=Units!$Q3),IF(Units!$J3&lt;&gt;"",Units!$J3,Mkt!K4),Inputs!$B$15*Mkt!K4+(1-Inputs!$B$15)*MIN(Mkt!K4,J4*(1+Inputs!$B$18))),J4)))</f>
        <v>1410.875</v>
      </c>
      <c r="L4" s="11" t="n">
        <f aca="false">IF(L$1&lt;Units!$P3,0,IF(AND(Units!$K3=0,L$1=Units!$O3),Units!$R3,IF(AND(L$1&gt;=Units!$Q3,MOD(L$1-Units!$Q3,12)=0),IF(AND(Units!$L3=1,L$1=Units!$Q3),IF(Units!$J3&lt;&gt;"",Units!$J3,Mkt!L4),Inputs!$B$15*Mkt!L4+(1-Inputs!$B$15)*MIN(Mkt!L4,K4*(1+Inputs!$B$18))),K4)))</f>
        <v>1410.875</v>
      </c>
      <c r="M4" s="11" t="n">
        <f aca="false">IF(M$1&lt;Units!$P3,0,IF(AND(Units!$K3=0,M$1=Units!$O3),Units!$R3,IF(AND(M$1&gt;=Units!$Q3,MOD(M$1-Units!$Q3,12)=0),IF(AND(Units!$L3=1,M$1=Units!$Q3),IF(Units!$J3&lt;&gt;"",Units!$J3,Mkt!M4),Inputs!$B$15*Mkt!M4+(1-Inputs!$B$15)*MIN(Mkt!M4,L4*(1+Inputs!$B$18))),L4)))</f>
        <v>1410.875</v>
      </c>
      <c r="N4" s="11" t="n">
        <f aca="false">IF(N$1&lt;Units!$P3,0,IF(AND(Units!$K3=0,N$1=Units!$O3),Units!$R3,IF(AND(N$1&gt;=Units!$Q3,MOD(N$1-Units!$Q3,12)=0),IF(AND(Units!$L3=1,N$1=Units!$Q3),IF(Units!$J3&lt;&gt;"",Units!$J3,Mkt!N4),Inputs!$B$15*Mkt!N4+(1-Inputs!$B$15)*MIN(Mkt!N4,M4*(1+Inputs!$B$18))),M4)))</f>
        <v>1410.875</v>
      </c>
      <c r="O4" s="11" t="n">
        <f aca="false">IF(O$1&lt;Units!$P3,0,IF(AND(Units!$K3=0,O$1=Units!$O3),Units!$R3,IF(AND(O$1&gt;=Units!$Q3,MOD(O$1-Units!$Q3,12)=0),IF(AND(Units!$L3=1,O$1=Units!$Q3),IF(Units!$J3&lt;&gt;"",Units!$J3,Mkt!O4),Inputs!$B$15*Mkt!O4+(1-Inputs!$B$15)*MIN(Mkt!O4,N4*(1+Inputs!$B$18))),N4)))</f>
        <v>1410.875</v>
      </c>
      <c r="P4" s="11" t="n">
        <f aca="false">IF(P$1&lt;Units!$P3,0,IF(AND(Units!$K3=0,P$1=Units!$O3),Units!$R3,IF(AND(P$1&gt;=Units!$Q3,MOD(P$1-Units!$Q3,12)=0),IF(AND(Units!$L3=1,P$1=Units!$Q3),IF(Units!$J3&lt;&gt;"",Units!$J3,Mkt!P4),Inputs!$B$15*Mkt!P4+(1-Inputs!$B$15)*MIN(Mkt!P4,O4*(1+Inputs!$B$18))),O4)))</f>
        <v>1410.875</v>
      </c>
      <c r="Q4" s="11" t="n">
        <f aca="false">IF(Q$1&lt;Units!$P3,0,IF(AND(Units!$K3=0,Q$1=Units!$O3),Units!$R3,IF(AND(Q$1&gt;=Units!$Q3,MOD(Q$1-Units!$Q3,12)=0),IF(AND(Units!$L3=1,Q$1=Units!$Q3),IF(Units!$J3&lt;&gt;"",Units!$J3,Mkt!Q4),Inputs!$B$15*Mkt!Q4+(1-Inputs!$B$15)*MIN(Mkt!Q4,P4*(1+Inputs!$B$18))),P4)))</f>
        <v>1410.875</v>
      </c>
      <c r="R4" s="11" t="n">
        <f aca="false">IF(R$1&lt;Units!$P3,0,IF(AND(Units!$K3=0,R$1=Units!$O3),Units!$R3,IF(AND(R$1&gt;=Units!$Q3,MOD(R$1-Units!$Q3,12)=0),IF(AND(Units!$L3=1,R$1=Units!$Q3),IF(Units!$J3&lt;&gt;"",Units!$J3,Mkt!R4),Inputs!$B$15*Mkt!R4+(1-Inputs!$B$15)*MIN(Mkt!R4,Q4*(1+Inputs!$B$18))),Q4)))</f>
        <v>1410.875</v>
      </c>
      <c r="S4" s="11" t="n">
        <f aca="false">IF(S$1&lt;Units!$P3,0,IF(AND(Units!$K3=0,S$1=Units!$O3),Units!$R3,IF(AND(S$1&gt;=Units!$Q3,MOD(S$1-Units!$Q3,12)=0),IF(AND(Units!$L3=1,S$1=Units!$Q3),IF(Units!$J3&lt;&gt;"",Units!$J3,Mkt!S4),Inputs!$B$15*Mkt!S4+(1-Inputs!$B$15)*MIN(Mkt!S4,R4*(1+Inputs!$B$18))),R4)))</f>
        <v>1410.875</v>
      </c>
      <c r="T4" s="11" t="n">
        <f aca="false">IF(T$1&lt;Units!$P3,0,IF(AND(Units!$K3=0,T$1=Units!$O3),Units!$R3,IF(AND(T$1&gt;=Units!$Q3,MOD(T$1-Units!$Q3,12)=0),IF(AND(Units!$L3=1,T$1=Units!$Q3),IF(Units!$J3&lt;&gt;"",Units!$J3,Mkt!T4),Inputs!$B$15*Mkt!T4+(1-Inputs!$B$15)*MIN(Mkt!T4,S4*(1+Inputs!$B$18))),S4)))</f>
        <v>1526.084375</v>
      </c>
      <c r="U4" s="11" t="n">
        <f aca="false">IF(U$1&lt;Units!$P3,0,IF(AND(Units!$K3=0,U$1=Units!$O3),Units!$R3,IF(AND(U$1&gt;=Units!$Q3,MOD(U$1-Units!$Q3,12)=0),IF(AND(Units!$L3=1,U$1=Units!$Q3),IF(Units!$J3&lt;&gt;"",Units!$J3,Mkt!U4),Inputs!$B$15*Mkt!U4+(1-Inputs!$B$15)*MIN(Mkt!U4,T4*(1+Inputs!$B$18))),T4)))</f>
        <v>1526.084375</v>
      </c>
      <c r="V4" s="11" t="n">
        <f aca="false">IF(V$1&lt;Units!$P3,0,IF(AND(Units!$K3=0,V$1=Units!$O3),Units!$R3,IF(AND(V$1&gt;=Units!$Q3,MOD(V$1-Units!$Q3,12)=0),IF(AND(Units!$L3=1,V$1=Units!$Q3),IF(Units!$J3&lt;&gt;"",Units!$J3,Mkt!V4),Inputs!$B$15*Mkt!V4+(1-Inputs!$B$15)*MIN(Mkt!V4,U4*(1+Inputs!$B$18))),U4)))</f>
        <v>1526.084375</v>
      </c>
      <c r="W4" s="11" t="n">
        <f aca="false">IF(W$1&lt;Units!$P3,0,IF(AND(Units!$K3=0,W$1=Units!$O3),Units!$R3,IF(AND(W$1&gt;=Units!$Q3,MOD(W$1-Units!$Q3,12)=0),IF(AND(Units!$L3=1,W$1=Units!$Q3),IF(Units!$J3&lt;&gt;"",Units!$J3,Mkt!W4),Inputs!$B$15*Mkt!W4+(1-Inputs!$B$15)*MIN(Mkt!W4,V4*(1+Inputs!$B$18))),V4)))</f>
        <v>1526.084375</v>
      </c>
      <c r="X4" s="11" t="n">
        <f aca="false">IF(X$1&lt;Units!$P3,0,IF(AND(Units!$K3=0,X$1=Units!$O3),Units!$R3,IF(AND(X$1&gt;=Units!$Q3,MOD(X$1-Units!$Q3,12)=0),IF(AND(Units!$L3=1,X$1=Units!$Q3),IF(Units!$J3&lt;&gt;"",Units!$J3,Mkt!X4),Inputs!$B$15*Mkt!X4+(1-Inputs!$B$15)*MIN(Mkt!X4,W4*(1+Inputs!$B$18))),W4)))</f>
        <v>1526.084375</v>
      </c>
      <c r="Y4" s="11" t="n">
        <f aca="false">IF(Y$1&lt;Units!$P3,0,IF(AND(Units!$K3=0,Y$1=Units!$O3),Units!$R3,IF(AND(Y$1&gt;=Units!$Q3,MOD(Y$1-Units!$Q3,12)=0),IF(AND(Units!$L3=1,Y$1=Units!$Q3),IF(Units!$J3&lt;&gt;"",Units!$J3,Mkt!Y4),Inputs!$B$15*Mkt!Y4+(1-Inputs!$B$15)*MIN(Mkt!Y4,X4*(1+Inputs!$B$18))),X4)))</f>
        <v>1526.084375</v>
      </c>
      <c r="Z4" s="11" t="n">
        <f aca="false">IF(Z$1&lt;Units!$P3,0,IF(AND(Units!$K3=0,Z$1=Units!$O3),Units!$R3,IF(AND(Z$1&gt;=Units!$Q3,MOD(Z$1-Units!$Q3,12)=0),IF(AND(Units!$L3=1,Z$1=Units!$Q3),IF(Units!$J3&lt;&gt;"",Units!$J3,Mkt!Z4),Inputs!$B$15*Mkt!Z4+(1-Inputs!$B$15)*MIN(Mkt!Z4,Y4*(1+Inputs!$B$18))),Y4)))</f>
        <v>1526.084375</v>
      </c>
      <c r="AA4" s="11" t="n">
        <f aca="false">IF(AA$1&lt;Units!$P3,0,IF(AND(Units!$K3=0,AA$1=Units!$O3),Units!$R3,IF(AND(AA$1&gt;=Units!$Q3,MOD(AA$1-Units!$Q3,12)=0),IF(AND(Units!$L3=1,AA$1=Units!$Q3),IF(Units!$J3&lt;&gt;"",Units!$J3,Mkt!AA4),Inputs!$B$15*Mkt!AA4+(1-Inputs!$B$15)*MIN(Mkt!AA4,Z4*(1+Inputs!$B$18))),Z4)))</f>
        <v>1526.084375</v>
      </c>
      <c r="AB4" s="11" t="n">
        <f aca="false">IF(AB$1&lt;Units!$P3,0,IF(AND(Units!$K3=0,AB$1=Units!$O3),Units!$R3,IF(AND(AB$1&gt;=Units!$Q3,MOD(AB$1-Units!$Q3,12)=0),IF(AND(Units!$L3=1,AB$1=Units!$Q3),IF(Units!$J3&lt;&gt;"",Units!$J3,Mkt!AB4),Inputs!$B$15*Mkt!AB4+(1-Inputs!$B$15)*MIN(Mkt!AB4,AA4*(1+Inputs!$B$18))),AA4)))</f>
        <v>1526.084375</v>
      </c>
      <c r="AC4" s="11" t="n">
        <f aca="false">IF(AC$1&lt;Units!$P3,0,IF(AND(Units!$K3=0,AC$1=Units!$O3),Units!$R3,IF(AND(AC$1&gt;=Units!$Q3,MOD(AC$1-Units!$Q3,12)=0),IF(AND(Units!$L3=1,AC$1=Units!$Q3),IF(Units!$J3&lt;&gt;"",Units!$J3,Mkt!AC4),Inputs!$B$15*Mkt!AC4+(1-Inputs!$B$15)*MIN(Mkt!AC4,AB4*(1+Inputs!$B$18))),AB4)))</f>
        <v>1526.084375</v>
      </c>
      <c r="AD4" s="11" t="n">
        <f aca="false">IF(AD$1&lt;Units!$P3,0,IF(AND(Units!$K3=0,AD$1=Units!$O3),Units!$R3,IF(AND(AD$1&gt;=Units!$Q3,MOD(AD$1-Units!$Q3,12)=0),IF(AND(Units!$L3=1,AD$1=Units!$Q3),IF(Units!$J3&lt;&gt;"",Units!$J3,Mkt!AD4),Inputs!$B$15*Mkt!AD4+(1-Inputs!$B$15)*MIN(Mkt!AD4,AC4*(1+Inputs!$B$18))),AC4)))</f>
        <v>1526.084375</v>
      </c>
      <c r="AE4" s="11" t="n">
        <f aca="false">IF(AE$1&lt;Units!$P3,0,IF(AND(Units!$K3=0,AE$1=Units!$O3),Units!$R3,IF(AND(AE$1&gt;=Units!$Q3,MOD(AE$1-Units!$Q3,12)=0),IF(AND(Units!$L3=1,AE$1=Units!$Q3),IF(Units!$J3&lt;&gt;"",Units!$J3,Mkt!AE4),Inputs!$B$15*Mkt!AE4+(1-Inputs!$B$15)*MIN(Mkt!AE4,AD4*(1+Inputs!$B$18))),AD4)))</f>
        <v>1526.084375</v>
      </c>
      <c r="AF4" s="11" t="n">
        <f aca="false">IF(AF$1&lt;Units!$P3,0,IF(AND(Units!$K3=0,AF$1=Units!$O3),Units!$R3,IF(AND(AF$1&gt;=Units!$Q3,MOD(AF$1-Units!$Q3,12)=0),IF(AND(Units!$L3=1,AF$1=Units!$Q3),IF(Units!$J3&lt;&gt;"",Units!$J3,Mkt!AF4),Inputs!$B$15*Mkt!AF4+(1-Inputs!$B$15)*MIN(Mkt!AF4,AE4*(1+Inputs!$B$18))),AE4)))</f>
        <v>1610.130546875</v>
      </c>
      <c r="AG4" s="11" t="n">
        <f aca="false">IF(AG$1&lt;Units!$P3,0,IF(AND(Units!$K3=0,AG$1=Units!$O3),Units!$R3,IF(AND(AG$1&gt;=Units!$Q3,MOD(AG$1-Units!$Q3,12)=0),IF(AND(Units!$L3=1,AG$1=Units!$Q3),IF(Units!$J3&lt;&gt;"",Units!$J3,Mkt!AG4),Inputs!$B$15*Mkt!AG4+(1-Inputs!$B$15)*MIN(Mkt!AG4,AF4*(1+Inputs!$B$18))),AF4)))</f>
        <v>1610.130546875</v>
      </c>
      <c r="AH4" s="11" t="n">
        <f aca="false">IF(AH$1&lt;Units!$P3,0,IF(AND(Units!$K3=0,AH$1=Units!$O3),Units!$R3,IF(AND(AH$1&gt;=Units!$Q3,MOD(AH$1-Units!$Q3,12)=0),IF(AND(Units!$L3=1,AH$1=Units!$Q3),IF(Units!$J3&lt;&gt;"",Units!$J3,Mkt!AH4),Inputs!$B$15*Mkt!AH4+(1-Inputs!$B$15)*MIN(Mkt!AH4,AG4*(1+Inputs!$B$18))),AG4)))</f>
        <v>1610.130546875</v>
      </c>
      <c r="AI4" s="11" t="n">
        <f aca="false">IF(AI$1&lt;Units!$P3,0,IF(AND(Units!$K3=0,AI$1=Units!$O3),Units!$R3,IF(AND(AI$1&gt;=Units!$Q3,MOD(AI$1-Units!$Q3,12)=0),IF(AND(Units!$L3=1,AI$1=Units!$Q3),IF(Units!$J3&lt;&gt;"",Units!$J3,Mkt!AI4),Inputs!$B$15*Mkt!AI4+(1-Inputs!$B$15)*MIN(Mkt!AI4,AH4*(1+Inputs!$B$18))),AH4)))</f>
        <v>1610.130546875</v>
      </c>
      <c r="AJ4" s="11" t="n">
        <f aca="false">IF(AJ$1&lt;Units!$P3,0,IF(AND(Units!$K3=0,AJ$1=Units!$O3),Units!$R3,IF(AND(AJ$1&gt;=Units!$Q3,MOD(AJ$1-Units!$Q3,12)=0),IF(AND(Units!$L3=1,AJ$1=Units!$Q3),IF(Units!$J3&lt;&gt;"",Units!$J3,Mkt!AJ4),Inputs!$B$15*Mkt!AJ4+(1-Inputs!$B$15)*MIN(Mkt!AJ4,AI4*(1+Inputs!$B$18))),AI4)))</f>
        <v>1610.130546875</v>
      </c>
      <c r="AK4" s="11" t="n">
        <f aca="false">IF(AK$1&lt;Units!$P3,0,IF(AND(Units!$K3=0,AK$1=Units!$O3),Units!$R3,IF(AND(AK$1&gt;=Units!$Q3,MOD(AK$1-Units!$Q3,12)=0),IF(AND(Units!$L3=1,AK$1=Units!$Q3),IF(Units!$J3&lt;&gt;"",Units!$J3,Mkt!AK4),Inputs!$B$15*Mkt!AK4+(1-Inputs!$B$15)*MIN(Mkt!AK4,AJ4*(1+Inputs!$B$18))),AJ4)))</f>
        <v>1610.130546875</v>
      </c>
      <c r="AL4" s="11" t="n">
        <f aca="false">IF(AL$1&lt;Units!$P3,0,IF(AND(Units!$K3=0,AL$1=Units!$O3),Units!$R3,IF(AND(AL$1&gt;=Units!$Q3,MOD(AL$1-Units!$Q3,12)=0),IF(AND(Units!$L3=1,AL$1=Units!$Q3),IF(Units!$J3&lt;&gt;"",Units!$J3,Mkt!AL4),Inputs!$B$15*Mkt!AL4+(1-Inputs!$B$15)*MIN(Mkt!AL4,AK4*(1+Inputs!$B$18))),AK4)))</f>
        <v>1610.130546875</v>
      </c>
      <c r="AM4" s="11" t="n">
        <f aca="false">IF(AM$1&lt;Units!$P3,0,IF(AND(Units!$K3=0,AM$1=Units!$O3),Units!$R3,IF(AND(AM$1&gt;=Units!$Q3,MOD(AM$1-Units!$Q3,12)=0),IF(AND(Units!$L3=1,AM$1=Units!$Q3),IF(Units!$J3&lt;&gt;"",Units!$J3,Mkt!AM4),Inputs!$B$15*Mkt!AM4+(1-Inputs!$B$15)*MIN(Mkt!AM4,AL4*(1+Inputs!$B$18))),AL4)))</f>
        <v>1610.130546875</v>
      </c>
      <c r="AN4" s="11" t="n">
        <f aca="false">IF(AN$1&lt;Units!$P3,0,IF(AND(Units!$K3=0,AN$1=Units!$O3),Units!$R3,IF(AND(AN$1&gt;=Units!$Q3,MOD(AN$1-Units!$Q3,12)=0),IF(AND(Units!$L3=1,AN$1=Units!$Q3),IF(Units!$J3&lt;&gt;"",Units!$J3,Mkt!AN4),Inputs!$B$15*Mkt!AN4+(1-Inputs!$B$15)*MIN(Mkt!AN4,AM4*(1+Inputs!$B$18))),AM4)))</f>
        <v>1610.130546875</v>
      </c>
      <c r="AO4" s="11" t="n">
        <f aca="false">IF(AO$1&lt;Units!$P3,0,IF(AND(Units!$K3=0,AO$1=Units!$O3),Units!$R3,IF(AND(AO$1&gt;=Units!$Q3,MOD(AO$1-Units!$Q3,12)=0),IF(AND(Units!$L3=1,AO$1=Units!$Q3),IF(Units!$J3&lt;&gt;"",Units!$J3,Mkt!AO4),Inputs!$B$15*Mkt!AO4+(1-Inputs!$B$15)*MIN(Mkt!AO4,AN4*(1+Inputs!$B$18))),AN4)))</f>
        <v>1610.130546875</v>
      </c>
      <c r="AP4" s="11" t="n">
        <f aca="false">IF(AP$1&lt;Units!$P3,0,IF(AND(Units!$K3=0,AP$1=Units!$O3),Units!$R3,IF(AND(AP$1&gt;=Units!$Q3,MOD(AP$1-Units!$Q3,12)=0),IF(AND(Units!$L3=1,AP$1=Units!$Q3),IF(Units!$J3&lt;&gt;"",Units!$J3,Mkt!AP4),Inputs!$B$15*Mkt!AP4+(1-Inputs!$B$15)*MIN(Mkt!AP4,AO4*(1+Inputs!$B$18))),AO4)))</f>
        <v>1610.130546875</v>
      </c>
      <c r="AQ4" s="11" t="n">
        <f aca="false">IF(AQ$1&lt;Units!$P3,0,IF(AND(Units!$K3=0,AQ$1=Units!$O3),Units!$R3,IF(AND(AQ$1&gt;=Units!$Q3,MOD(AQ$1-Units!$Q3,12)=0),IF(AND(Units!$L3=1,AQ$1=Units!$Q3),IF(Units!$J3&lt;&gt;"",Units!$J3,Mkt!AQ4),Inputs!$B$15*Mkt!AQ4+(1-Inputs!$B$15)*MIN(Mkt!AQ4,AP4*(1+Inputs!$B$18))),AP4)))</f>
        <v>1610.130546875</v>
      </c>
      <c r="AR4" s="11" t="n">
        <f aca="false">IF(AR$1&lt;Units!$P3,0,IF(AND(Units!$K3=0,AR$1=Units!$O3),Units!$R3,IF(AND(AR$1&gt;=Units!$Q3,MOD(AR$1-Units!$Q3,12)=0),IF(AND(Units!$L3=1,AR$1=Units!$Q3),IF(Units!$J3&lt;&gt;"",Units!$J3,Mkt!AR4),Inputs!$B$15*Mkt!AR4+(1-Inputs!$B$15)*MIN(Mkt!AR4,AQ4*(1+Inputs!$B$18))),AQ4)))</f>
        <v>1666.408675</v>
      </c>
      <c r="AS4" s="11" t="n">
        <f aca="false">IF(AS$1&lt;Units!$P3,0,IF(AND(Units!$K3=0,AS$1=Units!$O3),Units!$R3,IF(AND(AS$1&gt;=Units!$Q3,MOD(AS$1-Units!$Q3,12)=0),IF(AND(Units!$L3=1,AS$1=Units!$Q3),IF(Units!$J3&lt;&gt;"",Units!$J3,Mkt!AS4),Inputs!$B$15*Mkt!AS4+(1-Inputs!$B$15)*MIN(Mkt!AS4,AR4*(1+Inputs!$B$18))),AR4)))</f>
        <v>1666.408675</v>
      </c>
      <c r="AT4" s="11" t="n">
        <f aca="false">IF(AT$1&lt;Units!$P3,0,IF(AND(Units!$K3=0,AT$1=Units!$O3),Units!$R3,IF(AND(AT$1&gt;=Units!$Q3,MOD(AT$1-Units!$Q3,12)=0),IF(AND(Units!$L3=1,AT$1=Units!$Q3),IF(Units!$J3&lt;&gt;"",Units!$J3,Mkt!AT4),Inputs!$B$15*Mkt!AT4+(1-Inputs!$B$15)*MIN(Mkt!AT4,AS4*(1+Inputs!$B$18))),AS4)))</f>
        <v>1666.408675</v>
      </c>
      <c r="AU4" s="11" t="n">
        <f aca="false">IF(AU$1&lt;Units!$P3,0,IF(AND(Units!$K3=0,AU$1=Units!$O3),Units!$R3,IF(AND(AU$1&gt;=Units!$Q3,MOD(AU$1-Units!$Q3,12)=0),IF(AND(Units!$L3=1,AU$1=Units!$Q3),IF(Units!$J3&lt;&gt;"",Units!$J3,Mkt!AU4),Inputs!$B$15*Mkt!AU4+(1-Inputs!$B$15)*MIN(Mkt!AU4,AT4*(1+Inputs!$B$18))),AT4)))</f>
        <v>1666.408675</v>
      </c>
      <c r="AV4" s="11" t="n">
        <f aca="false">IF(AV$1&lt;Units!$P3,0,IF(AND(Units!$K3=0,AV$1=Units!$O3),Units!$R3,IF(AND(AV$1&gt;=Units!$Q3,MOD(AV$1-Units!$Q3,12)=0),IF(AND(Units!$L3=1,AV$1=Units!$Q3),IF(Units!$J3&lt;&gt;"",Units!$J3,Mkt!AV4),Inputs!$B$15*Mkt!AV4+(1-Inputs!$B$15)*MIN(Mkt!AV4,AU4*(1+Inputs!$B$18))),AU4)))</f>
        <v>1666.408675</v>
      </c>
      <c r="AW4" s="11" t="n">
        <f aca="false">IF(AW$1&lt;Units!$P3,0,IF(AND(Units!$K3=0,AW$1=Units!$O3),Units!$R3,IF(AND(AW$1&gt;=Units!$Q3,MOD(AW$1-Units!$Q3,12)=0),IF(AND(Units!$L3=1,AW$1=Units!$Q3),IF(Units!$J3&lt;&gt;"",Units!$J3,Mkt!AW4),Inputs!$B$15*Mkt!AW4+(1-Inputs!$B$15)*MIN(Mkt!AW4,AV4*(1+Inputs!$B$18))),AV4)))</f>
        <v>1666.408675</v>
      </c>
      <c r="AX4" s="11" t="n">
        <f aca="false">IF(AX$1&lt;Units!$P3,0,IF(AND(Units!$K3=0,AX$1=Units!$O3),Units!$R3,IF(AND(AX$1&gt;=Units!$Q3,MOD(AX$1-Units!$Q3,12)=0),IF(AND(Units!$L3=1,AX$1=Units!$Q3),IF(Units!$J3&lt;&gt;"",Units!$J3,Mkt!AX4),Inputs!$B$15*Mkt!AX4+(1-Inputs!$B$15)*MIN(Mkt!AX4,AW4*(1+Inputs!$B$18))),AW4)))</f>
        <v>1666.408675</v>
      </c>
      <c r="AY4" s="11" t="n">
        <f aca="false">IF(AY$1&lt;Units!$P3,0,IF(AND(Units!$K3=0,AY$1=Units!$O3),Units!$R3,IF(AND(AY$1&gt;=Units!$Q3,MOD(AY$1-Units!$Q3,12)=0),IF(AND(Units!$L3=1,AY$1=Units!$Q3),IF(Units!$J3&lt;&gt;"",Units!$J3,Mkt!AY4),Inputs!$B$15*Mkt!AY4+(1-Inputs!$B$15)*MIN(Mkt!AY4,AX4*(1+Inputs!$B$18))),AX4)))</f>
        <v>1666.408675</v>
      </c>
      <c r="AZ4" s="11" t="n">
        <f aca="false">IF(AZ$1&lt;Units!$P3,0,IF(AND(Units!$K3=0,AZ$1=Units!$O3),Units!$R3,IF(AND(AZ$1&gt;=Units!$Q3,MOD(AZ$1-Units!$Q3,12)=0),IF(AND(Units!$L3=1,AZ$1=Units!$Q3),IF(Units!$J3&lt;&gt;"",Units!$J3,Mkt!AZ4),Inputs!$B$15*Mkt!AZ4+(1-Inputs!$B$15)*MIN(Mkt!AZ4,AY4*(1+Inputs!$B$18))),AY4)))</f>
        <v>1666.408675</v>
      </c>
      <c r="BA4" s="11" t="n">
        <f aca="false">IF(BA$1&lt;Units!$P3,0,IF(AND(Units!$K3=0,BA$1=Units!$O3),Units!$R3,IF(AND(BA$1&gt;=Units!$Q3,MOD(BA$1-Units!$Q3,12)=0),IF(AND(Units!$L3=1,BA$1=Units!$Q3),IF(Units!$J3&lt;&gt;"",Units!$J3,Mkt!BA4),Inputs!$B$15*Mkt!BA4+(1-Inputs!$B$15)*MIN(Mkt!BA4,AZ4*(1+Inputs!$B$18))),AZ4)))</f>
        <v>1666.408675</v>
      </c>
      <c r="BB4" s="11" t="n">
        <f aca="false">IF(BB$1&lt;Units!$P3,0,IF(AND(Units!$K3=0,BB$1=Units!$O3),Units!$R3,IF(AND(BB$1&gt;=Units!$Q3,MOD(BB$1-Units!$Q3,12)=0),IF(AND(Units!$L3=1,BB$1=Units!$Q3),IF(Units!$J3&lt;&gt;"",Units!$J3,Mkt!BB4),Inputs!$B$15*Mkt!BB4+(1-Inputs!$B$15)*MIN(Mkt!BB4,BA4*(1+Inputs!$B$18))),BA4)))</f>
        <v>1666.408675</v>
      </c>
      <c r="BC4" s="11" t="n">
        <f aca="false">IF(BC$1&lt;Units!$P3,0,IF(AND(Units!$K3=0,BC$1=Units!$O3),Units!$R3,IF(AND(BC$1&gt;=Units!$Q3,MOD(BC$1-Units!$Q3,12)=0),IF(AND(Units!$L3=1,BC$1=Units!$Q3),IF(Units!$J3&lt;&gt;"",Units!$J3,Mkt!BC4),Inputs!$B$15*Mkt!BC4+(1-Inputs!$B$15)*MIN(Mkt!BC4,BB4*(1+Inputs!$B$18))),BB4)))</f>
        <v>1666.408675</v>
      </c>
      <c r="BD4" s="11" t="n">
        <f aca="false">IF(BD$1&lt;Units!$P3,0,IF(AND(Units!$K3=0,BD$1=Units!$O3),Units!$R3,IF(AND(BD$1&gt;=Units!$Q3,MOD(BD$1-Units!$Q3,12)=0),IF(AND(Units!$L3=1,BD$1=Units!$Q3),IF(Units!$J3&lt;&gt;"",Units!$J3,Mkt!BD4),Inputs!$B$15*Mkt!BD4+(1-Inputs!$B$15)*MIN(Mkt!BD4,BC4*(1+Inputs!$B$18))),BC4)))</f>
        <v>1716.40093525</v>
      </c>
      <c r="BE4" s="11" t="n">
        <f aca="false">IF(BE$1&lt;Units!$P3,0,IF(AND(Units!$K3=0,BE$1=Units!$O3),Units!$R3,IF(AND(BE$1&gt;=Units!$Q3,MOD(BE$1-Units!$Q3,12)=0),IF(AND(Units!$L3=1,BE$1=Units!$Q3),IF(Units!$J3&lt;&gt;"",Units!$J3,Mkt!BE4),Inputs!$B$15*Mkt!BE4+(1-Inputs!$B$15)*MIN(Mkt!BE4,BD4*(1+Inputs!$B$18))),BD4)))</f>
        <v>1716.40093525</v>
      </c>
      <c r="BF4" s="11" t="n">
        <f aca="false">IF(BF$1&lt;Units!$P3,0,IF(AND(Units!$K3=0,BF$1=Units!$O3),Units!$R3,IF(AND(BF$1&gt;=Units!$Q3,MOD(BF$1-Units!$Q3,12)=0),IF(AND(Units!$L3=1,BF$1=Units!$Q3),IF(Units!$J3&lt;&gt;"",Units!$J3,Mkt!BF4),Inputs!$B$15*Mkt!BF4+(1-Inputs!$B$15)*MIN(Mkt!BF4,BE4*(1+Inputs!$B$18))),BE4)))</f>
        <v>1716.40093525</v>
      </c>
      <c r="BG4" s="11" t="n">
        <f aca="false">IF(BG$1&lt;Units!$P3,0,IF(AND(Units!$K3=0,BG$1=Units!$O3),Units!$R3,IF(AND(BG$1&gt;=Units!$Q3,MOD(BG$1-Units!$Q3,12)=0),IF(AND(Units!$L3=1,BG$1=Units!$Q3),IF(Units!$J3&lt;&gt;"",Units!$J3,Mkt!BG4),Inputs!$B$15*Mkt!BG4+(1-Inputs!$B$15)*MIN(Mkt!BG4,BF4*(1+Inputs!$B$18))),BF4)))</f>
        <v>1716.40093525</v>
      </c>
      <c r="BH4" s="11" t="n">
        <f aca="false">IF(BH$1&lt;Units!$P3,0,IF(AND(Units!$K3=0,BH$1=Units!$O3),Units!$R3,IF(AND(BH$1&gt;=Units!$Q3,MOD(BH$1-Units!$Q3,12)=0),IF(AND(Units!$L3=1,BH$1=Units!$Q3),IF(Units!$J3&lt;&gt;"",Units!$J3,Mkt!BH4),Inputs!$B$15*Mkt!BH4+(1-Inputs!$B$15)*MIN(Mkt!BH4,BG4*(1+Inputs!$B$18))),BG4)))</f>
        <v>1716.40093525</v>
      </c>
      <c r="BI4" s="11" t="n">
        <f aca="false">IF(BI$1&lt;Units!$P3,0,IF(AND(Units!$K3=0,BI$1=Units!$O3),Units!$R3,IF(AND(BI$1&gt;=Units!$Q3,MOD(BI$1-Units!$Q3,12)=0),IF(AND(Units!$L3=1,BI$1=Units!$Q3),IF(Units!$J3&lt;&gt;"",Units!$J3,Mkt!BI4),Inputs!$B$15*Mkt!BI4+(1-Inputs!$B$15)*MIN(Mkt!BI4,BH4*(1+Inputs!$B$18))),BH4)))</f>
        <v>1716.40093525</v>
      </c>
      <c r="BJ4" s="11" t="n">
        <f aca="false">IF(BJ$1&lt;Units!$P3,0,IF(AND(Units!$K3=0,BJ$1=Units!$O3),Units!$R3,IF(AND(BJ$1&gt;=Units!$Q3,MOD(BJ$1-Units!$Q3,12)=0),IF(AND(Units!$L3=1,BJ$1=Units!$Q3),IF(Units!$J3&lt;&gt;"",Units!$J3,Mkt!BJ4),Inputs!$B$15*Mkt!BJ4+(1-Inputs!$B$15)*MIN(Mkt!BJ4,BI4*(1+Inputs!$B$18))),BI4)))</f>
        <v>1716.40093525</v>
      </c>
      <c r="BK4" s="11" t="n">
        <f aca="false">IF(BK$1&lt;Units!$P3,0,IF(AND(Units!$K3=0,BK$1=Units!$O3),Units!$R3,IF(AND(BK$1&gt;=Units!$Q3,MOD(BK$1-Units!$Q3,12)=0),IF(AND(Units!$L3=1,BK$1=Units!$Q3),IF(Units!$J3&lt;&gt;"",Units!$J3,Mkt!BK4),Inputs!$B$15*Mkt!BK4+(1-Inputs!$B$15)*MIN(Mkt!BK4,BJ4*(1+Inputs!$B$18))),BJ4)))</f>
        <v>1716.40093525</v>
      </c>
      <c r="BL4" s="11" t="n">
        <f aca="false">IF(BL$1&lt;Units!$P3,0,IF(AND(Units!$K3=0,BL$1=Units!$O3),Units!$R3,IF(AND(BL$1&gt;=Units!$Q3,MOD(BL$1-Units!$Q3,12)=0),IF(AND(Units!$L3=1,BL$1=Units!$Q3),IF(Units!$J3&lt;&gt;"",Units!$J3,Mkt!BL4),Inputs!$B$15*Mkt!BL4+(1-Inputs!$B$15)*MIN(Mkt!BL4,BK4*(1+Inputs!$B$18))),BK4)))</f>
        <v>1716.40093525</v>
      </c>
      <c r="BM4" s="11" t="n">
        <f aca="false">IF(BM$1&lt;Units!$P3,0,IF(AND(Units!$K3=0,BM$1=Units!$O3),Units!$R3,IF(AND(BM$1&gt;=Units!$Q3,MOD(BM$1-Units!$Q3,12)=0),IF(AND(Units!$L3=1,BM$1=Units!$Q3),IF(Units!$J3&lt;&gt;"",Units!$J3,Mkt!BM4),Inputs!$B$15*Mkt!BM4+(1-Inputs!$B$15)*MIN(Mkt!BM4,BL4*(1+Inputs!$B$18))),BL4)))</f>
        <v>1716.40093525</v>
      </c>
      <c r="BN4" s="11" t="n">
        <f aca="false">IF(BN$1&lt;Units!$P3,0,IF(AND(Units!$K3=0,BN$1=Units!$O3),Units!$R3,IF(AND(BN$1&gt;=Units!$Q3,MOD(BN$1-Units!$Q3,12)=0),IF(AND(Units!$L3=1,BN$1=Units!$Q3),IF(Units!$J3&lt;&gt;"",Units!$J3,Mkt!BN4),Inputs!$B$15*Mkt!BN4+(1-Inputs!$B$15)*MIN(Mkt!BN4,BM4*(1+Inputs!$B$18))),BM4)))</f>
        <v>1716.40093525</v>
      </c>
      <c r="BO4" s="11" t="n">
        <f aca="false">IF(BO$1&lt;Units!$P3,0,IF(AND(Units!$K3=0,BO$1=Units!$O3),Units!$R3,IF(AND(BO$1&gt;=Units!$Q3,MOD(BO$1-Units!$Q3,12)=0),IF(AND(Units!$L3=1,BO$1=Units!$Q3),IF(Units!$J3&lt;&gt;"",Units!$J3,Mkt!BO4),Inputs!$B$15*Mkt!BO4+(1-Inputs!$B$15)*MIN(Mkt!BO4,BN4*(1+Inputs!$B$18))),BN4)))</f>
        <v>1716.40093525</v>
      </c>
      <c r="BP4" s="11" t="n">
        <f aca="false">IF(BP$1&lt;Units!$P3,0,IF(AND(Units!$K3=0,BP$1=Units!$O3),Units!$R3,IF(AND(BP$1&gt;=Units!$Q3,MOD(BP$1-Units!$Q3,12)=0),IF(AND(Units!$L3=1,BP$1=Units!$Q3),IF(Units!$J3&lt;&gt;"",Units!$J3,Mkt!BP4),Inputs!$B$15*Mkt!BP4+(1-Inputs!$B$15)*MIN(Mkt!BP4,BO4*(1+Inputs!$B$18))),BO4)))</f>
        <v>1767.8929633075</v>
      </c>
      <c r="BQ4" s="11" t="n">
        <f aca="false">IF(BQ$1&lt;Units!$P3,0,IF(AND(Units!$K3=0,BQ$1=Units!$O3),Units!$R3,IF(AND(BQ$1&gt;=Units!$Q3,MOD(BQ$1-Units!$Q3,12)=0),IF(AND(Units!$L3=1,BQ$1=Units!$Q3),IF(Units!$J3&lt;&gt;"",Units!$J3,Mkt!BQ4),Inputs!$B$15*Mkt!BQ4+(1-Inputs!$B$15)*MIN(Mkt!BQ4,BP4*(1+Inputs!$B$18))),BP4)))</f>
        <v>1767.8929633075</v>
      </c>
      <c r="BR4" s="11" t="n">
        <f aca="false">IF(BR$1&lt;Units!$P3,0,IF(AND(Units!$K3=0,BR$1=Units!$O3),Units!$R3,IF(AND(BR$1&gt;=Units!$Q3,MOD(BR$1-Units!$Q3,12)=0),IF(AND(Units!$L3=1,BR$1=Units!$Q3),IF(Units!$J3&lt;&gt;"",Units!$J3,Mkt!BR4),Inputs!$B$15*Mkt!BR4+(1-Inputs!$B$15)*MIN(Mkt!BR4,BQ4*(1+Inputs!$B$18))),BQ4)))</f>
        <v>1767.8929633075</v>
      </c>
      <c r="BS4" s="11" t="n">
        <f aca="false">IF(BS$1&lt;Units!$P3,0,IF(AND(Units!$K3=0,BS$1=Units!$O3),Units!$R3,IF(AND(BS$1&gt;=Units!$Q3,MOD(BS$1-Units!$Q3,12)=0),IF(AND(Units!$L3=1,BS$1=Units!$Q3),IF(Units!$J3&lt;&gt;"",Units!$J3,Mkt!BS4),Inputs!$B$15*Mkt!BS4+(1-Inputs!$B$15)*MIN(Mkt!BS4,BR4*(1+Inputs!$B$18))),BR4)))</f>
        <v>1767.8929633075</v>
      </c>
      <c r="BT4" s="11" t="n">
        <f aca="false">IF(BT$1&lt;Units!$P3,0,IF(AND(Units!$K3=0,BT$1=Units!$O3),Units!$R3,IF(AND(BT$1&gt;=Units!$Q3,MOD(BT$1-Units!$Q3,12)=0),IF(AND(Units!$L3=1,BT$1=Units!$Q3),IF(Units!$J3&lt;&gt;"",Units!$J3,Mkt!BT4),Inputs!$B$15*Mkt!BT4+(1-Inputs!$B$15)*MIN(Mkt!BT4,BS4*(1+Inputs!$B$18))),BS4)))</f>
        <v>1767.8929633075</v>
      </c>
      <c r="BU4" s="11" t="n">
        <f aca="false">IF(BU$1&lt;Units!$P3,0,IF(AND(Units!$K3=0,BU$1=Units!$O3),Units!$R3,IF(AND(BU$1&gt;=Units!$Q3,MOD(BU$1-Units!$Q3,12)=0),IF(AND(Units!$L3=1,BU$1=Units!$Q3),IF(Units!$J3&lt;&gt;"",Units!$J3,Mkt!BU4),Inputs!$B$15*Mkt!BU4+(1-Inputs!$B$15)*MIN(Mkt!BU4,BT4*(1+Inputs!$B$18))),BT4)))</f>
        <v>1767.8929633075</v>
      </c>
      <c r="BV4" s="11" t="n">
        <f aca="false">IF(BV$1&lt;Units!$P3,0,IF(AND(Units!$K3=0,BV$1=Units!$O3),Units!$R3,IF(AND(BV$1&gt;=Units!$Q3,MOD(BV$1-Units!$Q3,12)=0),IF(AND(Units!$L3=1,BV$1=Units!$Q3),IF(Units!$J3&lt;&gt;"",Units!$J3,Mkt!BV4),Inputs!$B$15*Mkt!BV4+(1-Inputs!$B$15)*MIN(Mkt!BV4,BU4*(1+Inputs!$B$18))),BU4)))</f>
        <v>1767.8929633075</v>
      </c>
      <c r="BW4" s="11" t="n">
        <f aca="false">IF(BW$1&lt;Units!$P3,0,IF(AND(Units!$K3=0,BW$1=Units!$O3),Units!$R3,IF(AND(BW$1&gt;=Units!$Q3,MOD(BW$1-Units!$Q3,12)=0),IF(AND(Units!$L3=1,BW$1=Units!$Q3),IF(Units!$J3&lt;&gt;"",Units!$J3,Mkt!BW4),Inputs!$B$15*Mkt!BW4+(1-Inputs!$B$15)*MIN(Mkt!BW4,BV4*(1+Inputs!$B$18))),BV4)))</f>
        <v>1767.8929633075</v>
      </c>
      <c r="BX4" s="11" t="n">
        <f aca="false">IF(BX$1&lt;Units!$P3,0,IF(AND(Units!$K3=0,BX$1=Units!$O3),Units!$R3,IF(AND(BX$1&gt;=Units!$Q3,MOD(BX$1-Units!$Q3,12)=0),IF(AND(Units!$L3=1,BX$1=Units!$Q3),IF(Units!$J3&lt;&gt;"",Units!$J3,Mkt!BX4),Inputs!$B$15*Mkt!BX4+(1-Inputs!$B$15)*MIN(Mkt!BX4,BW4*(1+Inputs!$B$18))),BW4)))</f>
        <v>1767.8929633075</v>
      </c>
      <c r="BY4" s="11" t="n">
        <f aca="false">IF(BY$1&lt;Units!$P3,0,IF(AND(Units!$K3=0,BY$1=Units!$O3),Units!$R3,IF(AND(BY$1&gt;=Units!$Q3,MOD(BY$1-Units!$Q3,12)=0),IF(AND(Units!$L3=1,BY$1=Units!$Q3),IF(Units!$J3&lt;&gt;"",Units!$J3,Mkt!BY4),Inputs!$B$15*Mkt!BY4+(1-Inputs!$B$15)*MIN(Mkt!BY4,BX4*(1+Inputs!$B$18))),BX4)))</f>
        <v>1767.8929633075</v>
      </c>
      <c r="BZ4" s="11" t="n">
        <f aca="false">IF(BZ$1&lt;Units!$P3,0,IF(AND(Units!$K3=0,BZ$1=Units!$O3),Units!$R3,IF(AND(BZ$1&gt;=Units!$Q3,MOD(BZ$1-Units!$Q3,12)=0),IF(AND(Units!$L3=1,BZ$1=Units!$Q3),IF(Units!$J3&lt;&gt;"",Units!$J3,Mkt!BZ4),Inputs!$B$15*Mkt!BZ4+(1-Inputs!$B$15)*MIN(Mkt!BZ4,BY4*(1+Inputs!$B$18))),BY4)))</f>
        <v>1767.8929633075</v>
      </c>
      <c r="CA4" s="11" t="n">
        <f aca="false">IF(CA$1&lt;Units!$P3,0,IF(AND(Units!$K3=0,CA$1=Units!$O3),Units!$R3,IF(AND(CA$1&gt;=Units!$Q3,MOD(CA$1-Units!$Q3,12)=0),IF(AND(Units!$L3=1,CA$1=Units!$Q3),IF(Units!$J3&lt;&gt;"",Units!$J3,Mkt!CA4),Inputs!$B$15*Mkt!CA4+(1-Inputs!$B$15)*MIN(Mkt!CA4,BZ4*(1+Inputs!$B$18))),BZ4)))</f>
        <v>1767.8929633075</v>
      </c>
      <c r="CB4" s="11" t="n">
        <f aca="false">IF(CB$1&lt;Units!$P3,0,IF(AND(Units!$K3=0,CB$1=Units!$O3),Units!$R3,IF(AND(CB$1&gt;=Units!$Q3,MOD(CB$1-Units!$Q3,12)=0),IF(AND(Units!$L3=1,CB$1=Units!$Q3),IF(Units!$J3&lt;&gt;"",Units!$J3,Mkt!CB4),Inputs!$B$15*Mkt!CB4+(1-Inputs!$B$15)*MIN(Mkt!CB4,CA4*(1+Inputs!$B$18))),CA4)))</f>
        <v>1820.92975220673</v>
      </c>
      <c r="CC4" s="11" t="n">
        <f aca="false">IF(CC$1&lt;Units!$P3,0,IF(AND(Units!$K3=0,CC$1=Units!$O3),Units!$R3,IF(AND(CC$1&gt;=Units!$Q3,MOD(CC$1-Units!$Q3,12)=0),IF(AND(Units!$L3=1,CC$1=Units!$Q3),IF(Units!$J3&lt;&gt;"",Units!$J3,Mkt!CC4),Inputs!$B$15*Mkt!CC4+(1-Inputs!$B$15)*MIN(Mkt!CC4,CB4*(1+Inputs!$B$18))),CB4)))</f>
        <v>1820.92975220673</v>
      </c>
      <c r="CD4" s="11" t="n">
        <f aca="false">IF(CD$1&lt;Units!$P3,0,IF(AND(Units!$K3=0,CD$1=Units!$O3),Units!$R3,IF(AND(CD$1&gt;=Units!$Q3,MOD(CD$1-Units!$Q3,12)=0),IF(AND(Units!$L3=1,CD$1=Units!$Q3),IF(Units!$J3&lt;&gt;"",Units!$J3,Mkt!CD4),Inputs!$B$15*Mkt!CD4+(1-Inputs!$B$15)*MIN(Mkt!CD4,CC4*(1+Inputs!$B$18))),CC4)))</f>
        <v>1820.92975220673</v>
      </c>
      <c r="CE4" s="11" t="n">
        <f aca="false">IF(CE$1&lt;Units!$P3,0,IF(AND(Units!$K3=0,CE$1=Units!$O3),Units!$R3,IF(AND(CE$1&gt;=Units!$Q3,MOD(CE$1-Units!$Q3,12)=0),IF(AND(Units!$L3=1,CE$1=Units!$Q3),IF(Units!$J3&lt;&gt;"",Units!$J3,Mkt!CE4),Inputs!$B$15*Mkt!CE4+(1-Inputs!$B$15)*MIN(Mkt!CE4,CD4*(1+Inputs!$B$18))),CD4)))</f>
        <v>1820.92975220673</v>
      </c>
      <c r="CF4" s="11" t="n">
        <f aca="false">IF(CF$1&lt;Units!$P3,0,IF(AND(Units!$K3=0,CF$1=Units!$O3),Units!$R3,IF(AND(CF$1&gt;=Units!$Q3,MOD(CF$1-Units!$Q3,12)=0),IF(AND(Units!$L3=1,CF$1=Units!$Q3),IF(Units!$J3&lt;&gt;"",Units!$J3,Mkt!CF4),Inputs!$B$15*Mkt!CF4+(1-Inputs!$B$15)*MIN(Mkt!CF4,CE4*(1+Inputs!$B$18))),CE4)))</f>
        <v>1820.92975220673</v>
      </c>
      <c r="CG4" s="11" t="n">
        <f aca="false">IF(CG$1&lt;Units!$P3,0,IF(AND(Units!$K3=0,CG$1=Units!$O3),Units!$R3,IF(AND(CG$1&gt;=Units!$Q3,MOD(CG$1-Units!$Q3,12)=0),IF(AND(Units!$L3=1,CG$1=Units!$Q3),IF(Units!$J3&lt;&gt;"",Units!$J3,Mkt!CG4),Inputs!$B$15*Mkt!CG4+(1-Inputs!$B$15)*MIN(Mkt!CG4,CF4*(1+Inputs!$B$18))),CF4)))</f>
        <v>1820.92975220673</v>
      </c>
      <c r="CH4" s="11" t="n">
        <f aca="false">IF(CH$1&lt;Units!$P3,0,IF(AND(Units!$K3=0,CH$1=Units!$O3),Units!$R3,IF(AND(CH$1&gt;=Units!$Q3,MOD(CH$1-Units!$Q3,12)=0),IF(AND(Units!$L3=1,CH$1=Units!$Q3),IF(Units!$J3&lt;&gt;"",Units!$J3,Mkt!CH4),Inputs!$B$15*Mkt!CH4+(1-Inputs!$B$15)*MIN(Mkt!CH4,CG4*(1+Inputs!$B$18))),CG4)))</f>
        <v>1820.92975220673</v>
      </c>
      <c r="CI4" s="11" t="n">
        <f aca="false">IF(CI$1&lt;Units!$P3,0,IF(AND(Units!$K3=0,CI$1=Units!$O3),Units!$R3,IF(AND(CI$1&gt;=Units!$Q3,MOD(CI$1-Units!$Q3,12)=0),IF(AND(Units!$L3=1,CI$1=Units!$Q3),IF(Units!$J3&lt;&gt;"",Units!$J3,Mkt!CI4),Inputs!$B$15*Mkt!CI4+(1-Inputs!$B$15)*MIN(Mkt!CI4,CH4*(1+Inputs!$B$18))),CH4)))</f>
        <v>1820.92975220673</v>
      </c>
      <c r="CJ4" s="11" t="n">
        <f aca="false">IF(CJ$1&lt;Units!$P3,0,IF(AND(Units!$K3=0,CJ$1=Units!$O3),Units!$R3,IF(AND(CJ$1&gt;=Units!$Q3,MOD(CJ$1-Units!$Q3,12)=0),IF(AND(Units!$L3=1,CJ$1=Units!$Q3),IF(Units!$J3&lt;&gt;"",Units!$J3,Mkt!CJ4),Inputs!$B$15*Mkt!CJ4+(1-Inputs!$B$15)*MIN(Mkt!CJ4,CI4*(1+Inputs!$B$18))),CI4)))</f>
        <v>1820.92975220673</v>
      </c>
      <c r="CK4" s="11" t="n">
        <f aca="false">IF(CK$1&lt;Units!$P3,0,IF(AND(Units!$K3=0,CK$1=Units!$O3),Units!$R3,IF(AND(CK$1&gt;=Units!$Q3,MOD(CK$1-Units!$Q3,12)=0),IF(AND(Units!$L3=1,CK$1=Units!$Q3),IF(Units!$J3&lt;&gt;"",Units!$J3,Mkt!CK4),Inputs!$B$15*Mkt!CK4+(1-Inputs!$B$15)*MIN(Mkt!CK4,CJ4*(1+Inputs!$B$18))),CJ4)))</f>
        <v>1820.92975220673</v>
      </c>
      <c r="CL4" s="11" t="n">
        <f aca="false">IF(CL$1&lt;Units!$P3,0,IF(AND(Units!$K3=0,CL$1=Units!$O3),Units!$R3,IF(AND(CL$1&gt;=Units!$Q3,MOD(CL$1-Units!$Q3,12)=0),IF(AND(Units!$L3=1,CL$1=Units!$Q3),IF(Units!$J3&lt;&gt;"",Units!$J3,Mkt!CL4),Inputs!$B$15*Mkt!CL4+(1-Inputs!$B$15)*MIN(Mkt!CL4,CK4*(1+Inputs!$B$18))),CK4)))</f>
        <v>1820.92975220673</v>
      </c>
      <c r="CM4" s="11" t="n">
        <f aca="false">IF(CM$1&lt;Units!$P3,0,IF(AND(Units!$K3=0,CM$1=Units!$O3),Units!$R3,IF(AND(CM$1&gt;=Units!$Q3,MOD(CM$1-Units!$Q3,12)=0),IF(AND(Units!$L3=1,CM$1=Units!$Q3),IF(Units!$J3&lt;&gt;"",Units!$J3,Mkt!CM4),Inputs!$B$15*Mkt!CM4+(1-Inputs!$B$15)*MIN(Mkt!CM4,CL4*(1+Inputs!$B$18))),CL4)))</f>
        <v>1820.92975220673</v>
      </c>
      <c r="CN4" s="11" t="n">
        <f aca="false">IF(CN$1&lt;Units!$P3,0,IF(AND(Units!$K3=0,CN$1=Units!$O3),Units!$R3,IF(AND(CN$1&gt;=Units!$Q3,MOD(CN$1-Units!$Q3,12)=0),IF(AND(Units!$L3=1,CN$1=Units!$Q3),IF(Units!$J3&lt;&gt;"",Units!$J3,Mkt!CN4),Inputs!$B$15*Mkt!CN4+(1-Inputs!$B$15)*MIN(Mkt!CN4,CM4*(1+Inputs!$B$18))),CM4)))</f>
        <v>1875.55764477293</v>
      </c>
      <c r="CO4" s="11" t="n">
        <f aca="false">IF(CO$1&lt;Units!$P3,0,IF(AND(Units!$K3=0,CO$1=Units!$O3),Units!$R3,IF(AND(CO$1&gt;=Units!$Q3,MOD(CO$1-Units!$Q3,12)=0),IF(AND(Units!$L3=1,CO$1=Units!$Q3),IF(Units!$J3&lt;&gt;"",Units!$J3,Mkt!CO4),Inputs!$B$15*Mkt!CO4+(1-Inputs!$B$15)*MIN(Mkt!CO4,CN4*(1+Inputs!$B$18))),CN4)))</f>
        <v>1875.55764477293</v>
      </c>
      <c r="CP4" s="11" t="n">
        <f aca="false">IF(CP$1&lt;Units!$P3,0,IF(AND(Units!$K3=0,CP$1=Units!$O3),Units!$R3,IF(AND(CP$1&gt;=Units!$Q3,MOD(CP$1-Units!$Q3,12)=0),IF(AND(Units!$L3=1,CP$1=Units!$Q3),IF(Units!$J3&lt;&gt;"",Units!$J3,Mkt!CP4),Inputs!$B$15*Mkt!CP4+(1-Inputs!$B$15)*MIN(Mkt!CP4,CO4*(1+Inputs!$B$18))),CO4)))</f>
        <v>1875.55764477293</v>
      </c>
      <c r="CQ4" s="11" t="n">
        <f aca="false">IF(CQ$1&lt;Units!$P3,0,IF(AND(Units!$K3=0,CQ$1=Units!$O3),Units!$R3,IF(AND(CQ$1&gt;=Units!$Q3,MOD(CQ$1-Units!$Q3,12)=0),IF(AND(Units!$L3=1,CQ$1=Units!$Q3),IF(Units!$J3&lt;&gt;"",Units!$J3,Mkt!CQ4),Inputs!$B$15*Mkt!CQ4+(1-Inputs!$B$15)*MIN(Mkt!CQ4,CP4*(1+Inputs!$B$18))),CP4)))</f>
        <v>1875.55764477293</v>
      </c>
      <c r="CR4" s="11" t="n">
        <f aca="false">IF(CR$1&lt;Units!$P3,0,IF(AND(Units!$K3=0,CR$1=Units!$O3),Units!$R3,IF(AND(CR$1&gt;=Units!$Q3,MOD(CR$1-Units!$Q3,12)=0),IF(AND(Units!$L3=1,CR$1=Units!$Q3),IF(Units!$J3&lt;&gt;"",Units!$J3,Mkt!CR4),Inputs!$B$15*Mkt!CR4+(1-Inputs!$B$15)*MIN(Mkt!CR4,CQ4*(1+Inputs!$B$18))),CQ4)))</f>
        <v>1875.55764477293</v>
      </c>
      <c r="CS4" s="11" t="n">
        <f aca="false">IF(CS$1&lt;Units!$P3,0,IF(AND(Units!$K3=0,CS$1=Units!$O3),Units!$R3,IF(AND(CS$1&gt;=Units!$Q3,MOD(CS$1-Units!$Q3,12)=0),IF(AND(Units!$L3=1,CS$1=Units!$Q3),IF(Units!$J3&lt;&gt;"",Units!$J3,Mkt!CS4),Inputs!$B$15*Mkt!CS4+(1-Inputs!$B$15)*MIN(Mkt!CS4,CR4*(1+Inputs!$B$18))),CR4)))</f>
        <v>1875.55764477293</v>
      </c>
      <c r="CT4" s="11" t="n">
        <f aca="false">IF(CT$1&lt;Units!$P3,0,IF(AND(Units!$K3=0,CT$1=Units!$O3),Units!$R3,IF(AND(CT$1&gt;=Units!$Q3,MOD(CT$1-Units!$Q3,12)=0),IF(AND(Units!$L3=1,CT$1=Units!$Q3),IF(Units!$J3&lt;&gt;"",Units!$J3,Mkt!CT4),Inputs!$B$15*Mkt!CT4+(1-Inputs!$B$15)*MIN(Mkt!CT4,CS4*(1+Inputs!$B$18))),CS4)))</f>
        <v>1875.55764477293</v>
      </c>
      <c r="CU4" s="11" t="n">
        <f aca="false">IF(CU$1&lt;Units!$P3,0,IF(AND(Units!$K3=0,CU$1=Units!$O3),Units!$R3,IF(AND(CU$1&gt;=Units!$Q3,MOD(CU$1-Units!$Q3,12)=0),IF(AND(Units!$L3=1,CU$1=Units!$Q3),IF(Units!$J3&lt;&gt;"",Units!$J3,Mkt!CU4),Inputs!$B$15*Mkt!CU4+(1-Inputs!$B$15)*MIN(Mkt!CU4,CT4*(1+Inputs!$B$18))),CT4)))</f>
        <v>1875.55764477293</v>
      </c>
      <c r="CV4" s="11" t="n">
        <f aca="false">IF(CV$1&lt;Units!$P3,0,IF(AND(Units!$K3=0,CV$1=Units!$O3),Units!$R3,IF(AND(CV$1&gt;=Units!$Q3,MOD(CV$1-Units!$Q3,12)=0),IF(AND(Units!$L3=1,CV$1=Units!$Q3),IF(Units!$J3&lt;&gt;"",Units!$J3,Mkt!CV4),Inputs!$B$15*Mkt!CV4+(1-Inputs!$B$15)*MIN(Mkt!CV4,CU4*(1+Inputs!$B$18))),CU4)))</f>
        <v>1875.55764477293</v>
      </c>
      <c r="CW4" s="11" t="n">
        <f aca="false">IF(CW$1&lt;Units!$P3,0,IF(AND(Units!$K3=0,CW$1=Units!$O3),Units!$R3,IF(AND(CW$1&gt;=Units!$Q3,MOD(CW$1-Units!$Q3,12)=0),IF(AND(Units!$L3=1,CW$1=Units!$Q3),IF(Units!$J3&lt;&gt;"",Units!$J3,Mkt!CW4),Inputs!$B$15*Mkt!CW4+(1-Inputs!$B$15)*MIN(Mkt!CW4,CV4*(1+Inputs!$B$18))),CV4)))</f>
        <v>1875.55764477293</v>
      </c>
      <c r="CX4" s="11" t="n">
        <f aca="false">IF(CX$1&lt;Units!$P3,0,IF(AND(Units!$K3=0,CX$1=Units!$O3),Units!$R3,IF(AND(CX$1&gt;=Units!$Q3,MOD(CX$1-Units!$Q3,12)=0),IF(AND(Units!$L3=1,CX$1=Units!$Q3),IF(Units!$J3&lt;&gt;"",Units!$J3,Mkt!CX4),Inputs!$B$15*Mkt!CX4+(1-Inputs!$B$15)*MIN(Mkt!CX4,CW4*(1+Inputs!$B$18))),CW4)))</f>
        <v>1875.55764477293</v>
      </c>
      <c r="CY4" s="11" t="n">
        <f aca="false">IF(CY$1&lt;Units!$P3,0,IF(AND(Units!$K3=0,CY$1=Units!$O3),Units!$R3,IF(AND(CY$1&gt;=Units!$Q3,MOD(CY$1-Units!$Q3,12)=0),IF(AND(Units!$L3=1,CY$1=Units!$Q3),IF(Units!$J3&lt;&gt;"",Units!$J3,Mkt!CY4),Inputs!$B$15*Mkt!CY4+(1-Inputs!$B$15)*MIN(Mkt!CY4,CX4*(1+Inputs!$B$18))),CX4)))</f>
        <v>1875.55764477293</v>
      </c>
      <c r="CZ4" s="11" t="n">
        <f aca="false">IF(CZ$1&lt;Units!$P3,0,IF(AND(Units!$K3=0,CZ$1=Units!$O3),Units!$R3,IF(AND(CZ$1&gt;=Units!$Q3,MOD(CZ$1-Units!$Q3,12)=0),IF(AND(Units!$L3=1,CZ$1=Units!$Q3),IF(Units!$J3&lt;&gt;"",Units!$J3,Mkt!CZ4),Inputs!$B$15*Mkt!CZ4+(1-Inputs!$B$15)*MIN(Mkt!CZ4,CY4*(1+Inputs!$B$18))),CY4)))</f>
        <v>1931.82437411612</v>
      </c>
      <c r="DA4" s="11" t="n">
        <f aca="false">IF(DA$1&lt;Units!$P3,0,IF(AND(Units!$K3=0,DA$1=Units!$O3),Units!$R3,IF(AND(DA$1&gt;=Units!$Q3,MOD(DA$1-Units!$Q3,12)=0),IF(AND(Units!$L3=1,DA$1=Units!$Q3),IF(Units!$J3&lt;&gt;"",Units!$J3,Mkt!DA4),Inputs!$B$15*Mkt!DA4+(1-Inputs!$B$15)*MIN(Mkt!DA4,CZ4*(1+Inputs!$B$18))),CZ4)))</f>
        <v>1931.82437411612</v>
      </c>
      <c r="DB4" s="11" t="n">
        <f aca="false">IF(DB$1&lt;Units!$P3,0,IF(AND(Units!$K3=0,DB$1=Units!$O3),Units!$R3,IF(AND(DB$1&gt;=Units!$Q3,MOD(DB$1-Units!$Q3,12)=0),IF(AND(Units!$L3=1,DB$1=Units!$Q3),IF(Units!$J3&lt;&gt;"",Units!$J3,Mkt!DB4),Inputs!$B$15*Mkt!DB4+(1-Inputs!$B$15)*MIN(Mkt!DB4,DA4*(1+Inputs!$B$18))),DA4)))</f>
        <v>1931.82437411612</v>
      </c>
      <c r="DC4" s="11" t="n">
        <f aca="false">IF(DC$1&lt;Units!$P3,0,IF(AND(Units!$K3=0,DC$1=Units!$O3),Units!$R3,IF(AND(DC$1&gt;=Units!$Q3,MOD(DC$1-Units!$Q3,12)=0),IF(AND(Units!$L3=1,DC$1=Units!$Q3),IF(Units!$J3&lt;&gt;"",Units!$J3,Mkt!DC4),Inputs!$B$15*Mkt!DC4+(1-Inputs!$B$15)*MIN(Mkt!DC4,DB4*(1+Inputs!$B$18))),DB4)))</f>
        <v>1931.82437411612</v>
      </c>
      <c r="DD4" s="11" t="n">
        <f aca="false">IF(DD$1&lt;Units!$P3,0,IF(AND(Units!$K3=0,DD$1=Units!$O3),Units!$R3,IF(AND(DD$1&gt;=Units!$Q3,MOD(DD$1-Units!$Q3,12)=0),IF(AND(Units!$L3=1,DD$1=Units!$Q3),IF(Units!$J3&lt;&gt;"",Units!$J3,Mkt!DD4),Inputs!$B$15*Mkt!DD4+(1-Inputs!$B$15)*MIN(Mkt!DD4,DC4*(1+Inputs!$B$18))),DC4)))</f>
        <v>1931.82437411612</v>
      </c>
      <c r="DE4" s="11" t="n">
        <f aca="false">IF(DE$1&lt;Units!$P3,0,IF(AND(Units!$K3=0,DE$1=Units!$O3),Units!$R3,IF(AND(DE$1&gt;=Units!$Q3,MOD(DE$1-Units!$Q3,12)=0),IF(AND(Units!$L3=1,DE$1=Units!$Q3),IF(Units!$J3&lt;&gt;"",Units!$J3,Mkt!DE4),Inputs!$B$15*Mkt!DE4+(1-Inputs!$B$15)*MIN(Mkt!DE4,DD4*(1+Inputs!$B$18))),DD4)))</f>
        <v>1931.82437411612</v>
      </c>
      <c r="DF4" s="11" t="n">
        <f aca="false">IF(DF$1&lt;Units!$P3,0,IF(AND(Units!$K3=0,DF$1=Units!$O3),Units!$R3,IF(AND(DF$1&gt;=Units!$Q3,MOD(DF$1-Units!$Q3,12)=0),IF(AND(Units!$L3=1,DF$1=Units!$Q3),IF(Units!$J3&lt;&gt;"",Units!$J3,Mkt!DF4),Inputs!$B$15*Mkt!DF4+(1-Inputs!$B$15)*MIN(Mkt!DF4,DE4*(1+Inputs!$B$18))),DE4)))</f>
        <v>1931.82437411612</v>
      </c>
      <c r="DG4" s="11" t="n">
        <f aca="false">IF(DG$1&lt;Units!$P3,0,IF(AND(Units!$K3=0,DG$1=Units!$O3),Units!$R3,IF(AND(DG$1&gt;=Units!$Q3,MOD(DG$1-Units!$Q3,12)=0),IF(AND(Units!$L3=1,DG$1=Units!$Q3),IF(Units!$J3&lt;&gt;"",Units!$J3,Mkt!DG4),Inputs!$B$15*Mkt!DG4+(1-Inputs!$B$15)*MIN(Mkt!DG4,DF4*(1+Inputs!$B$18))),DF4)))</f>
        <v>1931.82437411612</v>
      </c>
      <c r="DH4" s="11" t="n">
        <f aca="false">IF(DH$1&lt;Units!$P3,0,IF(AND(Units!$K3=0,DH$1=Units!$O3),Units!$R3,IF(AND(DH$1&gt;=Units!$Q3,MOD(DH$1-Units!$Q3,12)=0),IF(AND(Units!$L3=1,DH$1=Units!$Q3),IF(Units!$J3&lt;&gt;"",Units!$J3,Mkt!DH4),Inputs!$B$15*Mkt!DH4+(1-Inputs!$B$15)*MIN(Mkt!DH4,DG4*(1+Inputs!$B$18))),DG4)))</f>
        <v>1931.82437411612</v>
      </c>
      <c r="DI4" s="11" t="n">
        <f aca="false">IF(DI$1&lt;Units!$P3,0,IF(AND(Units!$K3=0,DI$1=Units!$O3),Units!$R3,IF(AND(DI$1&gt;=Units!$Q3,MOD(DI$1-Units!$Q3,12)=0),IF(AND(Units!$L3=1,DI$1=Units!$Q3),IF(Units!$J3&lt;&gt;"",Units!$J3,Mkt!DI4),Inputs!$B$15*Mkt!DI4+(1-Inputs!$B$15)*MIN(Mkt!DI4,DH4*(1+Inputs!$B$18))),DH4)))</f>
        <v>1931.82437411612</v>
      </c>
      <c r="DJ4" s="11" t="n">
        <f aca="false">IF(DJ$1&lt;Units!$P3,0,IF(AND(Units!$K3=0,DJ$1=Units!$O3),Units!$R3,IF(AND(DJ$1&gt;=Units!$Q3,MOD(DJ$1-Units!$Q3,12)=0),IF(AND(Units!$L3=1,DJ$1=Units!$Q3),IF(Units!$J3&lt;&gt;"",Units!$J3,Mkt!DJ4),Inputs!$B$15*Mkt!DJ4+(1-Inputs!$B$15)*MIN(Mkt!DJ4,DI4*(1+Inputs!$B$18))),DI4)))</f>
        <v>1931.82437411612</v>
      </c>
      <c r="DK4" s="11" t="n">
        <f aca="false">IF(DK$1&lt;Units!$P3,0,IF(AND(Units!$K3=0,DK$1=Units!$O3),Units!$R3,IF(AND(DK$1&gt;=Units!$Q3,MOD(DK$1-Units!$Q3,12)=0),IF(AND(Units!$L3=1,DK$1=Units!$Q3),IF(Units!$J3&lt;&gt;"",Units!$J3,Mkt!DK4),Inputs!$B$15*Mkt!DK4+(1-Inputs!$B$15)*MIN(Mkt!DK4,DJ4*(1+Inputs!$B$18))),DJ4)))</f>
        <v>1931.82437411612</v>
      </c>
      <c r="DL4" s="11" t="n">
        <f aca="false">IF(DL$1&lt;Units!$P3,0,IF(AND(Units!$K3=0,DL$1=Units!$O3),Units!$R3,IF(AND(DL$1&gt;=Units!$Q3,MOD(DL$1-Units!$Q3,12)=0),IF(AND(Units!$L3=1,DL$1=Units!$Q3),IF(Units!$J3&lt;&gt;"",Units!$J3,Mkt!DL4),Inputs!$B$15*Mkt!DL4+(1-Inputs!$B$15)*MIN(Mkt!DL4,DK4*(1+Inputs!$B$18))),DK4)))</f>
        <v>1989.7791053396</v>
      </c>
      <c r="DM4" s="11" t="n">
        <f aca="false">IF(DM$1&lt;Units!$P3,0,IF(AND(Units!$K3=0,DM$1=Units!$O3),Units!$R3,IF(AND(DM$1&gt;=Units!$Q3,MOD(DM$1-Units!$Q3,12)=0),IF(AND(Units!$L3=1,DM$1=Units!$Q3),IF(Units!$J3&lt;&gt;"",Units!$J3,Mkt!DM4),Inputs!$B$15*Mkt!DM4+(1-Inputs!$B$15)*MIN(Mkt!DM4,DL4*(1+Inputs!$B$18))),DL4)))</f>
        <v>1989.7791053396</v>
      </c>
      <c r="DN4" s="11" t="n">
        <f aca="false">IF(DN$1&lt;Units!$P3,0,IF(AND(Units!$K3=0,DN$1=Units!$O3),Units!$R3,IF(AND(DN$1&gt;=Units!$Q3,MOD(DN$1-Units!$Q3,12)=0),IF(AND(Units!$L3=1,DN$1=Units!$Q3),IF(Units!$J3&lt;&gt;"",Units!$J3,Mkt!DN4),Inputs!$B$15*Mkt!DN4+(1-Inputs!$B$15)*MIN(Mkt!DN4,DM4*(1+Inputs!$B$18))),DM4)))</f>
        <v>1989.7791053396</v>
      </c>
      <c r="DO4" s="11" t="n">
        <f aca="false">IF(DO$1&lt;Units!$P3,0,IF(AND(Units!$K3=0,DO$1=Units!$O3),Units!$R3,IF(AND(DO$1&gt;=Units!$Q3,MOD(DO$1-Units!$Q3,12)=0),IF(AND(Units!$L3=1,DO$1=Units!$Q3),IF(Units!$J3&lt;&gt;"",Units!$J3,Mkt!DO4),Inputs!$B$15*Mkt!DO4+(1-Inputs!$B$15)*MIN(Mkt!DO4,DN4*(1+Inputs!$B$18))),DN4)))</f>
        <v>1989.7791053396</v>
      </c>
      <c r="DP4" s="11" t="n">
        <f aca="false">IF(DP$1&lt;Units!$P3,0,IF(AND(Units!$K3=0,DP$1=Units!$O3),Units!$R3,IF(AND(DP$1&gt;=Units!$Q3,MOD(DP$1-Units!$Q3,12)=0),IF(AND(Units!$L3=1,DP$1=Units!$Q3),IF(Units!$J3&lt;&gt;"",Units!$J3,Mkt!DP4),Inputs!$B$15*Mkt!DP4+(1-Inputs!$B$15)*MIN(Mkt!DP4,DO4*(1+Inputs!$B$18))),DO4)))</f>
        <v>1989.7791053396</v>
      </c>
      <c r="DQ4" s="11" t="n">
        <f aca="false">IF(DQ$1&lt;Units!$P3,0,IF(AND(Units!$K3=0,DQ$1=Units!$O3),Units!$R3,IF(AND(DQ$1&gt;=Units!$Q3,MOD(DQ$1-Units!$Q3,12)=0),IF(AND(Units!$L3=1,DQ$1=Units!$Q3),IF(Units!$J3&lt;&gt;"",Units!$J3,Mkt!DQ4),Inputs!$B$15*Mkt!DQ4+(1-Inputs!$B$15)*MIN(Mkt!DQ4,DP4*(1+Inputs!$B$18))),DP4)))</f>
        <v>1989.7791053396</v>
      </c>
      <c r="DR4" s="11" t="n">
        <f aca="false">IF(DR$1&lt;Units!$P3,0,IF(AND(Units!$K3=0,DR$1=Units!$O3),Units!$R3,IF(AND(DR$1&gt;=Units!$Q3,MOD(DR$1-Units!$Q3,12)=0),IF(AND(Units!$L3=1,DR$1=Units!$Q3),IF(Units!$J3&lt;&gt;"",Units!$J3,Mkt!DR4),Inputs!$B$15*Mkt!DR4+(1-Inputs!$B$15)*MIN(Mkt!DR4,DQ4*(1+Inputs!$B$18))),DQ4)))</f>
        <v>1989.7791053396</v>
      </c>
      <c r="DS4" s="11" t="n">
        <f aca="false">IF(DS$1&lt;Units!$P3,0,IF(AND(Units!$K3=0,DS$1=Units!$O3),Units!$R3,IF(AND(DS$1&gt;=Units!$Q3,MOD(DS$1-Units!$Q3,12)=0),IF(AND(Units!$L3=1,DS$1=Units!$Q3),IF(Units!$J3&lt;&gt;"",Units!$J3,Mkt!DS4),Inputs!$B$15*Mkt!DS4+(1-Inputs!$B$15)*MIN(Mkt!DS4,DR4*(1+Inputs!$B$18))),DR4)))</f>
        <v>1989.7791053396</v>
      </c>
      <c r="DT4" s="11" t="n">
        <f aca="false">IF(DT$1&lt;Units!$P3,0,IF(AND(Units!$K3=0,DT$1=Units!$O3),Units!$R3,IF(AND(DT$1&gt;=Units!$Q3,MOD(DT$1-Units!$Q3,12)=0),IF(AND(Units!$L3=1,DT$1=Units!$Q3),IF(Units!$J3&lt;&gt;"",Units!$J3,Mkt!DT4),Inputs!$B$15*Mkt!DT4+(1-Inputs!$B$15)*MIN(Mkt!DT4,DS4*(1+Inputs!$B$18))),DS4)))</f>
        <v>1989.7791053396</v>
      </c>
      <c r="DU4" s="11" t="n">
        <f aca="false">IF(DU$1&lt;Units!$P3,0,IF(AND(Units!$K3=0,DU$1=Units!$O3),Units!$R3,IF(AND(DU$1&gt;=Units!$Q3,MOD(DU$1-Units!$Q3,12)=0),IF(AND(Units!$L3=1,DU$1=Units!$Q3),IF(Units!$J3&lt;&gt;"",Units!$J3,Mkt!DU4),Inputs!$B$15*Mkt!DU4+(1-Inputs!$B$15)*MIN(Mkt!DU4,DT4*(1+Inputs!$B$18))),DT4)))</f>
        <v>1989.7791053396</v>
      </c>
      <c r="DV4" s="11" t="n">
        <f aca="false">IF(DV$1&lt;Units!$P3,0,IF(AND(Units!$K3=0,DV$1=Units!$O3),Units!$R3,IF(AND(DV$1&gt;=Units!$Q3,MOD(DV$1-Units!$Q3,12)=0),IF(AND(Units!$L3=1,DV$1=Units!$Q3),IF(Units!$J3&lt;&gt;"",Units!$J3,Mkt!DV4),Inputs!$B$15*Mkt!DV4+(1-Inputs!$B$15)*MIN(Mkt!DV4,DU4*(1+Inputs!$B$18))),DU4)))</f>
        <v>1989.7791053396</v>
      </c>
      <c r="DW4" s="11" t="n">
        <f aca="false">IF(DW$1&lt;Units!$P3,0,IF(AND(Units!$K3=0,DW$1=Units!$O3),Units!$R3,IF(AND(DW$1&gt;=Units!$Q3,MOD(DW$1-Units!$Q3,12)=0),IF(AND(Units!$L3=1,DW$1=Units!$Q3),IF(Units!$J3&lt;&gt;"",Units!$J3,Mkt!DW4),Inputs!$B$15*Mkt!DW4+(1-Inputs!$B$15)*MIN(Mkt!DW4,DV4*(1+Inputs!$B$18))),DV4)))</f>
        <v>1989.7791053396</v>
      </c>
      <c r="DX4" s="11" t="n">
        <f aca="false">IF(DX$1&lt;Units!$P3,0,IF(AND(Units!$K3=0,DX$1=Units!$O3),Units!$R3,IF(AND(DX$1&gt;=Units!$Q3,MOD(DX$1-Units!$Q3,12)=0),IF(AND(Units!$L3=1,DX$1=Units!$Q3),IF(Units!$J3&lt;&gt;"",Units!$J3,Mkt!DX4),Inputs!$B$15*Mkt!DX4+(1-Inputs!$B$15)*MIN(Mkt!DX4,DW4*(1+Inputs!$B$18))),DW4)))</f>
        <v>2049.47247849979</v>
      </c>
      <c r="DY4" s="11" t="n">
        <f aca="false">IF(DY$1&lt;Units!$P3,0,IF(AND(Units!$K3=0,DY$1=Units!$O3),Units!$R3,IF(AND(DY$1&gt;=Units!$Q3,MOD(DY$1-Units!$Q3,12)=0),IF(AND(Units!$L3=1,DY$1=Units!$Q3),IF(Units!$J3&lt;&gt;"",Units!$J3,Mkt!DY4),Inputs!$B$15*Mkt!DY4+(1-Inputs!$B$15)*MIN(Mkt!DY4,DX4*(1+Inputs!$B$18))),DX4)))</f>
        <v>2049.47247849979</v>
      </c>
      <c r="DZ4" s="11" t="n">
        <f aca="false">IF(DZ$1&lt;Units!$P3,0,IF(AND(Units!$K3=0,DZ$1=Units!$O3),Units!$R3,IF(AND(DZ$1&gt;=Units!$Q3,MOD(DZ$1-Units!$Q3,12)=0),IF(AND(Units!$L3=1,DZ$1=Units!$Q3),IF(Units!$J3&lt;&gt;"",Units!$J3,Mkt!DZ4),Inputs!$B$15*Mkt!DZ4+(1-Inputs!$B$15)*MIN(Mkt!DZ4,DY4*(1+Inputs!$B$18))),DY4)))</f>
        <v>2049.47247849979</v>
      </c>
      <c r="EA4" s="11" t="n">
        <f aca="false">IF(EA$1&lt;Units!$P3,0,IF(AND(Units!$K3=0,EA$1=Units!$O3),Units!$R3,IF(AND(EA$1&gt;=Units!$Q3,MOD(EA$1-Units!$Q3,12)=0),IF(AND(Units!$L3=1,EA$1=Units!$Q3),IF(Units!$J3&lt;&gt;"",Units!$J3,Mkt!EA4),Inputs!$B$15*Mkt!EA4+(1-Inputs!$B$15)*MIN(Mkt!EA4,DZ4*(1+Inputs!$B$18))),DZ4)))</f>
        <v>2049.47247849979</v>
      </c>
      <c r="EB4" s="11" t="n">
        <f aca="false">IF(EB$1&lt;Units!$P3,0,IF(AND(Units!$K3=0,EB$1=Units!$O3),Units!$R3,IF(AND(EB$1&gt;=Units!$Q3,MOD(EB$1-Units!$Q3,12)=0),IF(AND(Units!$L3=1,EB$1=Units!$Q3),IF(Units!$J3&lt;&gt;"",Units!$J3,Mkt!EB4),Inputs!$B$15*Mkt!EB4+(1-Inputs!$B$15)*MIN(Mkt!EB4,EA4*(1+Inputs!$B$18))),EA4)))</f>
        <v>2049.47247849979</v>
      </c>
      <c r="EC4" s="11" t="n">
        <f aca="false">IF(EC$1&lt;Units!$P3,0,IF(AND(Units!$K3=0,EC$1=Units!$O3),Units!$R3,IF(AND(EC$1&gt;=Units!$Q3,MOD(EC$1-Units!$Q3,12)=0),IF(AND(Units!$L3=1,EC$1=Units!$Q3),IF(Units!$J3&lt;&gt;"",Units!$J3,Mkt!EC4),Inputs!$B$15*Mkt!EC4+(1-Inputs!$B$15)*MIN(Mkt!EC4,EB4*(1+Inputs!$B$18))),EB4)))</f>
        <v>2049.47247849979</v>
      </c>
      <c r="ED4" s="11" t="n">
        <f aca="false">IF(ED$1&lt;Units!$P3,0,IF(AND(Units!$K3=0,ED$1=Units!$O3),Units!$R3,IF(AND(ED$1&gt;=Units!$Q3,MOD(ED$1-Units!$Q3,12)=0),IF(AND(Units!$L3=1,ED$1=Units!$Q3),IF(Units!$J3&lt;&gt;"",Units!$J3,Mkt!ED4),Inputs!$B$15*Mkt!ED4+(1-Inputs!$B$15)*MIN(Mkt!ED4,EC4*(1+Inputs!$B$18))),EC4)))</f>
        <v>2049.47247849979</v>
      </c>
    </row>
    <row r="5" customFormat="false" ht="15" hidden="false" customHeight="false" outlineLevel="0" collapsed="false">
      <c r="A5" s="22" t="n">
        <f aca="false">Units!A4</f>
        <v>103</v>
      </c>
      <c r="B5" s="24" t="n">
        <f aca="false">IF(Units!K4=1,Units!F4,0)</f>
        <v>1475</v>
      </c>
      <c r="C5" s="11" t="n">
        <f aca="false">IF(C$1&lt;Units!$P4,0,IF(AND(Units!$K4=0,C$1=Units!$O4),Units!$R4,IF(AND(C$1&gt;=Units!$Q4,MOD(C$1-Units!$Q4,12)=0),IF(AND(Units!$L4=1,C$1=Units!$Q4),IF(Units!$J4&lt;&gt;"",Units!$J4,Mkt!C5),Inputs!$B$15*Mkt!C5+(1-Inputs!$B$15)*MIN(Mkt!C5,B5*(1+Inputs!$B$18))),B5)))</f>
        <v>1475</v>
      </c>
      <c r="D5" s="11" t="n">
        <f aca="false">IF(D$1&lt;Units!$P4,0,IF(AND(Units!$K4=0,D$1=Units!$O4),Units!$R4,IF(AND(D$1&gt;=Units!$Q4,MOD(D$1-Units!$Q4,12)=0),IF(AND(Units!$L4=1,D$1=Units!$Q4),IF(Units!$J4&lt;&gt;"",Units!$J4,Mkt!D5),Inputs!$B$15*Mkt!D5+(1-Inputs!$B$15)*MIN(Mkt!D5,C5*(1+Inputs!$B$18))),C5)))</f>
        <v>1475</v>
      </c>
      <c r="E5" s="11" t="n">
        <f aca="false">IF(E$1&lt;Units!$P4,0,IF(AND(Units!$K4=0,E$1=Units!$O4),Units!$R4,IF(AND(E$1&gt;=Units!$Q4,MOD(E$1-Units!$Q4,12)=0),IF(AND(Units!$L4=1,E$1=Units!$Q4),IF(Units!$J4&lt;&gt;"",Units!$J4,Mkt!E5),Inputs!$B$15*Mkt!E5+(1-Inputs!$B$15)*MIN(Mkt!E5,D5*(1+Inputs!$B$18))),D5)))</f>
        <v>1475</v>
      </c>
      <c r="F5" s="11" t="n">
        <f aca="false">IF(F$1&lt;Units!$P4,0,IF(AND(Units!$K4=0,F$1=Units!$O4),Units!$R4,IF(AND(F$1&gt;=Units!$Q4,MOD(F$1-Units!$Q4,12)=0),IF(AND(Units!$L4=1,F$1=Units!$Q4),IF(Units!$J4&lt;&gt;"",Units!$J4,Mkt!F5),Inputs!$B$15*Mkt!F5+(1-Inputs!$B$15)*MIN(Mkt!F5,E5*(1+Inputs!$B$18))),E5)))</f>
        <v>1475</v>
      </c>
      <c r="G5" s="11" t="n">
        <f aca="false">IF(G$1&lt;Units!$P4,0,IF(AND(Units!$K4=0,G$1=Units!$O4),Units!$R4,IF(AND(G$1&gt;=Units!$Q4,MOD(G$1-Units!$Q4,12)=0),IF(AND(Units!$L4=1,G$1=Units!$Q4),IF(Units!$J4&lt;&gt;"",Units!$J4,Mkt!G5),Inputs!$B$15*Mkt!G5+(1-Inputs!$B$15)*MIN(Mkt!G5,F5*(1+Inputs!$B$18))),F5)))</f>
        <v>1475</v>
      </c>
      <c r="H5" s="11" t="n">
        <f aca="false">IF(H$1&lt;Units!$P4,0,IF(AND(Units!$K4=0,H$1=Units!$O4),Units!$R4,IF(AND(H$1&gt;=Units!$Q4,MOD(H$1-Units!$Q4,12)=0),IF(AND(Units!$L4=1,H$1=Units!$Q4),IF(Units!$J4&lt;&gt;"",Units!$J4,Mkt!H5),Inputs!$B$15*Mkt!H5+(1-Inputs!$B$15)*MIN(Mkt!H5,G5*(1+Inputs!$B$18))),G5)))</f>
        <v>1475</v>
      </c>
      <c r="I5" s="11" t="n">
        <f aca="false">IF(I$1&lt;Units!$P4,0,IF(AND(Units!$K4=0,I$1=Units!$O4),Units!$R4,IF(AND(I$1&gt;=Units!$Q4,MOD(I$1-Units!$Q4,12)=0),IF(AND(Units!$L4=1,I$1=Units!$Q4),IF(Units!$J4&lt;&gt;"",Units!$J4,Mkt!I5),Inputs!$B$15*Mkt!I5+(1-Inputs!$B$15)*MIN(Mkt!I5,H5*(1+Inputs!$B$18))),H5)))</f>
        <v>1475</v>
      </c>
      <c r="J5" s="11" t="n">
        <f aca="false">IF(J$1&lt;Units!$P4,0,IF(AND(Units!$K4=0,J$1=Units!$O4),Units!$R4,IF(AND(J$1&gt;=Units!$Q4,MOD(J$1-Units!$Q4,12)=0),IF(AND(Units!$L4=1,J$1=Units!$Q4),IF(Units!$J4&lt;&gt;"",Units!$J4,Mkt!J5),Inputs!$B$15*Mkt!J5+(1-Inputs!$B$15)*MIN(Mkt!J5,I5*(1+Inputs!$B$18))),I5)))</f>
        <v>1475</v>
      </c>
      <c r="K5" s="11" t="n">
        <f aca="false">IF(K$1&lt;Units!$P4,0,IF(AND(Units!$K4=0,K$1=Units!$O4),Units!$R4,IF(AND(K$1&gt;=Units!$Q4,MOD(K$1-Units!$Q4,12)=0),IF(AND(Units!$L4=1,K$1=Units!$Q4),IF(Units!$J4&lt;&gt;"",Units!$J4,Mkt!K5),Inputs!$B$15*Mkt!K5+(1-Inputs!$B$15)*MIN(Mkt!K5,J5*(1+Inputs!$B$18))),J5)))</f>
        <v>1475</v>
      </c>
      <c r="L5" s="11" t="n">
        <f aca="false">IF(L$1&lt;Units!$P4,0,IF(AND(Units!$K4=0,L$1=Units!$O4),Units!$R4,IF(AND(L$1&gt;=Units!$Q4,MOD(L$1-Units!$Q4,12)=0),IF(AND(Units!$L4=1,L$1=Units!$Q4),IF(Units!$J4&lt;&gt;"",Units!$J4,Mkt!L5),Inputs!$B$15*Mkt!L5+(1-Inputs!$B$15)*MIN(Mkt!L5,K5*(1+Inputs!$B$18))),K5)))</f>
        <v>1475</v>
      </c>
      <c r="M5" s="11" t="n">
        <f aca="false">IF(M$1&lt;Units!$P4,0,IF(AND(Units!$K4=0,M$1=Units!$O4),Units!$R4,IF(AND(M$1&gt;=Units!$Q4,MOD(M$1-Units!$Q4,12)=0),IF(AND(Units!$L4=1,M$1=Units!$Q4),IF(Units!$J4&lt;&gt;"",Units!$J4,Mkt!M5),Inputs!$B$15*Mkt!M5+(1-Inputs!$B$15)*MIN(Mkt!M5,L5*(1+Inputs!$B$18))),L5)))</f>
        <v>1525</v>
      </c>
      <c r="N5" s="11" t="n">
        <f aca="false">IF(N$1&lt;Units!$P4,0,IF(AND(Units!$K4=0,N$1=Units!$O4),Units!$R4,IF(AND(N$1&gt;=Units!$Q4,MOD(N$1-Units!$Q4,12)=0),IF(AND(Units!$L4=1,N$1=Units!$Q4),IF(Units!$J4&lt;&gt;"",Units!$J4,Mkt!N5),Inputs!$B$15*Mkt!N5+(1-Inputs!$B$15)*MIN(Mkt!N5,M5*(1+Inputs!$B$18))),M5)))</f>
        <v>1525</v>
      </c>
      <c r="O5" s="11" t="n">
        <f aca="false">IF(O$1&lt;Units!$P4,0,IF(AND(Units!$K4=0,O$1=Units!$O4),Units!$R4,IF(AND(O$1&gt;=Units!$Q4,MOD(O$1-Units!$Q4,12)=0),IF(AND(Units!$L4=1,O$1=Units!$Q4),IF(Units!$J4&lt;&gt;"",Units!$J4,Mkt!O5),Inputs!$B$15*Mkt!O5+(1-Inputs!$B$15)*MIN(Mkt!O5,N5*(1+Inputs!$B$18))),N5)))</f>
        <v>1525</v>
      </c>
      <c r="P5" s="11" t="n">
        <f aca="false">IF(P$1&lt;Units!$P4,0,IF(AND(Units!$K4=0,P$1=Units!$O4),Units!$R4,IF(AND(P$1&gt;=Units!$Q4,MOD(P$1-Units!$Q4,12)=0),IF(AND(Units!$L4=1,P$1=Units!$Q4),IF(Units!$J4&lt;&gt;"",Units!$J4,Mkt!P5),Inputs!$B$15*Mkt!P5+(1-Inputs!$B$15)*MIN(Mkt!P5,O5*(1+Inputs!$B$18))),O5)))</f>
        <v>1525</v>
      </c>
      <c r="Q5" s="11" t="n">
        <f aca="false">IF(Q$1&lt;Units!$P4,0,IF(AND(Units!$K4=0,Q$1=Units!$O4),Units!$R4,IF(AND(Q$1&gt;=Units!$Q4,MOD(Q$1-Units!$Q4,12)=0),IF(AND(Units!$L4=1,Q$1=Units!$Q4),IF(Units!$J4&lt;&gt;"",Units!$J4,Mkt!Q5),Inputs!$B$15*Mkt!Q5+(1-Inputs!$B$15)*MIN(Mkt!Q5,P5*(1+Inputs!$B$18))),P5)))</f>
        <v>1525</v>
      </c>
      <c r="R5" s="11" t="n">
        <f aca="false">IF(R$1&lt;Units!$P4,0,IF(AND(Units!$K4=0,R$1=Units!$O4),Units!$R4,IF(AND(R$1&gt;=Units!$Q4,MOD(R$1-Units!$Q4,12)=0),IF(AND(Units!$L4=1,R$1=Units!$Q4),IF(Units!$J4&lt;&gt;"",Units!$J4,Mkt!R5),Inputs!$B$15*Mkt!R5+(1-Inputs!$B$15)*MIN(Mkt!R5,Q5*(1+Inputs!$B$18))),Q5)))</f>
        <v>1525</v>
      </c>
      <c r="S5" s="11" t="n">
        <f aca="false">IF(S$1&lt;Units!$P4,0,IF(AND(Units!$K4=0,S$1=Units!$O4),Units!$R4,IF(AND(S$1&gt;=Units!$Q4,MOD(S$1-Units!$Q4,12)=0),IF(AND(Units!$L4=1,S$1=Units!$Q4),IF(Units!$J4&lt;&gt;"",Units!$J4,Mkt!S5),Inputs!$B$15*Mkt!S5+(1-Inputs!$B$15)*MIN(Mkt!S5,R5*(1+Inputs!$B$18))),R5)))</f>
        <v>1525</v>
      </c>
      <c r="T5" s="11" t="n">
        <f aca="false">IF(T$1&lt;Units!$P4,0,IF(AND(Units!$K4=0,T$1=Units!$O4),Units!$R4,IF(AND(T$1&gt;=Units!$Q4,MOD(T$1-Units!$Q4,12)=0),IF(AND(Units!$L4=1,T$1=Units!$Q4),IF(Units!$J4&lt;&gt;"",Units!$J4,Mkt!T5),Inputs!$B$15*Mkt!T5+(1-Inputs!$B$15)*MIN(Mkt!T5,S5*(1+Inputs!$B$18))),S5)))</f>
        <v>1525</v>
      </c>
      <c r="U5" s="11" t="n">
        <f aca="false">IF(U$1&lt;Units!$P4,0,IF(AND(Units!$K4=0,U$1=Units!$O4),Units!$R4,IF(AND(U$1&gt;=Units!$Q4,MOD(U$1-Units!$Q4,12)=0),IF(AND(Units!$L4=1,U$1=Units!$Q4),IF(Units!$J4&lt;&gt;"",Units!$J4,Mkt!U5),Inputs!$B$15*Mkt!U5+(1-Inputs!$B$15)*MIN(Mkt!U5,T5*(1+Inputs!$B$18))),T5)))</f>
        <v>1525</v>
      </c>
      <c r="V5" s="11" t="n">
        <f aca="false">IF(V$1&lt;Units!$P4,0,IF(AND(Units!$K4=0,V$1=Units!$O4),Units!$R4,IF(AND(V$1&gt;=Units!$Q4,MOD(V$1-Units!$Q4,12)=0),IF(AND(Units!$L4=1,V$1=Units!$Q4),IF(Units!$J4&lt;&gt;"",Units!$J4,Mkt!V5),Inputs!$B$15*Mkt!V5+(1-Inputs!$B$15)*MIN(Mkt!V5,U5*(1+Inputs!$B$18))),U5)))</f>
        <v>1525</v>
      </c>
      <c r="W5" s="11" t="n">
        <f aca="false">IF(W$1&lt;Units!$P4,0,IF(AND(Units!$K4=0,W$1=Units!$O4),Units!$R4,IF(AND(W$1&gt;=Units!$Q4,MOD(W$1-Units!$Q4,12)=0),IF(AND(Units!$L4=1,W$1=Units!$Q4),IF(Units!$J4&lt;&gt;"",Units!$J4,Mkt!W5),Inputs!$B$15*Mkt!W5+(1-Inputs!$B$15)*MIN(Mkt!W5,V5*(1+Inputs!$B$18))),V5)))</f>
        <v>1525</v>
      </c>
      <c r="X5" s="11" t="n">
        <f aca="false">IF(X$1&lt;Units!$P4,0,IF(AND(Units!$K4=0,X$1=Units!$O4),Units!$R4,IF(AND(X$1&gt;=Units!$Q4,MOD(X$1-Units!$Q4,12)=0),IF(AND(Units!$L4=1,X$1=Units!$Q4),IF(Units!$J4&lt;&gt;"",Units!$J4,Mkt!X5),Inputs!$B$15*Mkt!X5+(1-Inputs!$B$15)*MIN(Mkt!X5,W5*(1+Inputs!$B$18))),W5)))</f>
        <v>1525</v>
      </c>
      <c r="Y5" s="11" t="n">
        <f aca="false">IF(Y$1&lt;Units!$P4,0,IF(AND(Units!$K4=0,Y$1=Units!$O4),Units!$R4,IF(AND(Y$1&gt;=Units!$Q4,MOD(Y$1-Units!$Q4,12)=0),IF(AND(Units!$L4=1,Y$1=Units!$Q4),IF(Units!$J4&lt;&gt;"",Units!$J4,Mkt!Y5),Inputs!$B$15*Mkt!Y5+(1-Inputs!$B$15)*MIN(Mkt!Y5,X5*(1+Inputs!$B$18))),X5)))</f>
        <v>1570.75</v>
      </c>
      <c r="Z5" s="11" t="n">
        <f aca="false">IF(Z$1&lt;Units!$P4,0,IF(AND(Units!$K4=0,Z$1=Units!$O4),Units!$R4,IF(AND(Z$1&gt;=Units!$Q4,MOD(Z$1-Units!$Q4,12)=0),IF(AND(Units!$L4=1,Z$1=Units!$Q4),IF(Units!$J4&lt;&gt;"",Units!$J4,Mkt!Z5),Inputs!$B$15*Mkt!Z5+(1-Inputs!$B$15)*MIN(Mkt!Z5,Y5*(1+Inputs!$B$18))),Y5)))</f>
        <v>1570.75</v>
      </c>
      <c r="AA5" s="11" t="n">
        <f aca="false">IF(AA$1&lt;Units!$P4,0,IF(AND(Units!$K4=0,AA$1=Units!$O4),Units!$R4,IF(AND(AA$1&gt;=Units!$Q4,MOD(AA$1-Units!$Q4,12)=0),IF(AND(Units!$L4=1,AA$1=Units!$Q4),IF(Units!$J4&lt;&gt;"",Units!$J4,Mkt!AA5),Inputs!$B$15*Mkt!AA5+(1-Inputs!$B$15)*MIN(Mkt!AA5,Z5*(1+Inputs!$B$18))),Z5)))</f>
        <v>1570.75</v>
      </c>
      <c r="AB5" s="11" t="n">
        <f aca="false">IF(AB$1&lt;Units!$P4,0,IF(AND(Units!$K4=0,AB$1=Units!$O4),Units!$R4,IF(AND(AB$1&gt;=Units!$Q4,MOD(AB$1-Units!$Q4,12)=0),IF(AND(Units!$L4=1,AB$1=Units!$Q4),IF(Units!$J4&lt;&gt;"",Units!$J4,Mkt!AB5),Inputs!$B$15*Mkt!AB5+(1-Inputs!$B$15)*MIN(Mkt!AB5,AA5*(1+Inputs!$B$18))),AA5)))</f>
        <v>1570.75</v>
      </c>
      <c r="AC5" s="11" t="n">
        <f aca="false">IF(AC$1&lt;Units!$P4,0,IF(AND(Units!$K4=0,AC$1=Units!$O4),Units!$R4,IF(AND(AC$1&gt;=Units!$Q4,MOD(AC$1-Units!$Q4,12)=0),IF(AND(Units!$L4=1,AC$1=Units!$Q4),IF(Units!$J4&lt;&gt;"",Units!$J4,Mkt!AC5),Inputs!$B$15*Mkt!AC5+(1-Inputs!$B$15)*MIN(Mkt!AC5,AB5*(1+Inputs!$B$18))),AB5)))</f>
        <v>1570.75</v>
      </c>
      <c r="AD5" s="11" t="n">
        <f aca="false">IF(AD$1&lt;Units!$P4,0,IF(AND(Units!$K4=0,AD$1=Units!$O4),Units!$R4,IF(AND(AD$1&gt;=Units!$Q4,MOD(AD$1-Units!$Q4,12)=0),IF(AND(Units!$L4=1,AD$1=Units!$Q4),IF(Units!$J4&lt;&gt;"",Units!$J4,Mkt!AD5),Inputs!$B$15*Mkt!AD5+(1-Inputs!$B$15)*MIN(Mkt!AD5,AC5*(1+Inputs!$B$18))),AC5)))</f>
        <v>1570.75</v>
      </c>
      <c r="AE5" s="11" t="n">
        <f aca="false">IF(AE$1&lt;Units!$P4,0,IF(AND(Units!$K4=0,AE$1=Units!$O4),Units!$R4,IF(AND(AE$1&gt;=Units!$Q4,MOD(AE$1-Units!$Q4,12)=0),IF(AND(Units!$L4=1,AE$1=Units!$Q4),IF(Units!$J4&lt;&gt;"",Units!$J4,Mkt!AE5),Inputs!$B$15*Mkt!AE5+(1-Inputs!$B$15)*MIN(Mkt!AE5,AD5*(1+Inputs!$B$18))),AD5)))</f>
        <v>1570.75</v>
      </c>
      <c r="AF5" s="11" t="n">
        <f aca="false">IF(AF$1&lt;Units!$P4,0,IF(AND(Units!$K4=0,AF$1=Units!$O4),Units!$R4,IF(AND(AF$1&gt;=Units!$Q4,MOD(AF$1-Units!$Q4,12)=0),IF(AND(Units!$L4=1,AF$1=Units!$Q4),IF(Units!$J4&lt;&gt;"",Units!$J4,Mkt!AF5),Inputs!$B$15*Mkt!AF5+(1-Inputs!$B$15)*MIN(Mkt!AF5,AE5*(1+Inputs!$B$18))),AE5)))</f>
        <v>1570.75</v>
      </c>
      <c r="AG5" s="11" t="n">
        <f aca="false">IF(AG$1&lt;Units!$P4,0,IF(AND(Units!$K4=0,AG$1=Units!$O4),Units!$R4,IF(AND(AG$1&gt;=Units!$Q4,MOD(AG$1-Units!$Q4,12)=0),IF(AND(Units!$L4=1,AG$1=Units!$Q4),IF(Units!$J4&lt;&gt;"",Units!$J4,Mkt!AG5),Inputs!$B$15*Mkt!AG5+(1-Inputs!$B$15)*MIN(Mkt!AG5,AF5*(1+Inputs!$B$18))),AF5)))</f>
        <v>1570.75</v>
      </c>
      <c r="AH5" s="11" t="n">
        <f aca="false">IF(AH$1&lt;Units!$P4,0,IF(AND(Units!$K4=0,AH$1=Units!$O4),Units!$R4,IF(AND(AH$1&gt;=Units!$Q4,MOD(AH$1-Units!$Q4,12)=0),IF(AND(Units!$L4=1,AH$1=Units!$Q4),IF(Units!$J4&lt;&gt;"",Units!$J4,Mkt!AH5),Inputs!$B$15*Mkt!AH5+(1-Inputs!$B$15)*MIN(Mkt!AH5,AG5*(1+Inputs!$B$18))),AG5)))</f>
        <v>1570.75</v>
      </c>
      <c r="AI5" s="11" t="n">
        <f aca="false">IF(AI$1&lt;Units!$P4,0,IF(AND(Units!$K4=0,AI$1=Units!$O4),Units!$R4,IF(AND(AI$1&gt;=Units!$Q4,MOD(AI$1-Units!$Q4,12)=0),IF(AND(Units!$L4=1,AI$1=Units!$Q4),IF(Units!$J4&lt;&gt;"",Units!$J4,Mkt!AI5),Inputs!$B$15*Mkt!AI5+(1-Inputs!$B$15)*MIN(Mkt!AI5,AH5*(1+Inputs!$B$18))),AH5)))</f>
        <v>1570.75</v>
      </c>
      <c r="AJ5" s="11" t="n">
        <f aca="false">IF(AJ$1&lt;Units!$P4,0,IF(AND(Units!$K4=0,AJ$1=Units!$O4),Units!$R4,IF(AND(AJ$1&gt;=Units!$Q4,MOD(AJ$1-Units!$Q4,12)=0),IF(AND(Units!$L4=1,AJ$1=Units!$Q4),IF(Units!$J4&lt;&gt;"",Units!$J4,Mkt!AJ5),Inputs!$B$15*Mkt!AJ5+(1-Inputs!$B$15)*MIN(Mkt!AJ5,AI5*(1+Inputs!$B$18))),AI5)))</f>
        <v>1570.75</v>
      </c>
      <c r="AK5" s="11" t="n">
        <f aca="false">IF(AK$1&lt;Units!$P4,0,IF(AND(Units!$K4=0,AK$1=Units!$O4),Units!$R4,IF(AND(AK$1&gt;=Units!$Q4,MOD(AK$1-Units!$Q4,12)=0),IF(AND(Units!$L4=1,AK$1=Units!$Q4),IF(Units!$J4&lt;&gt;"",Units!$J4,Mkt!AK5),Inputs!$B$15*Mkt!AK5+(1-Inputs!$B$15)*MIN(Mkt!AK5,AJ5*(1+Inputs!$B$18))),AJ5)))</f>
        <v>1617.8725</v>
      </c>
      <c r="AL5" s="11" t="n">
        <f aca="false">IF(AL$1&lt;Units!$P4,0,IF(AND(Units!$K4=0,AL$1=Units!$O4),Units!$R4,IF(AND(AL$1&gt;=Units!$Q4,MOD(AL$1-Units!$Q4,12)=0),IF(AND(Units!$L4=1,AL$1=Units!$Q4),IF(Units!$J4&lt;&gt;"",Units!$J4,Mkt!AL5),Inputs!$B$15*Mkt!AL5+(1-Inputs!$B$15)*MIN(Mkt!AL5,AK5*(1+Inputs!$B$18))),AK5)))</f>
        <v>1617.8725</v>
      </c>
      <c r="AM5" s="11" t="n">
        <f aca="false">IF(AM$1&lt;Units!$P4,0,IF(AND(Units!$K4=0,AM$1=Units!$O4),Units!$R4,IF(AND(AM$1&gt;=Units!$Q4,MOD(AM$1-Units!$Q4,12)=0),IF(AND(Units!$L4=1,AM$1=Units!$Q4),IF(Units!$J4&lt;&gt;"",Units!$J4,Mkt!AM5),Inputs!$B$15*Mkt!AM5+(1-Inputs!$B$15)*MIN(Mkt!AM5,AL5*(1+Inputs!$B$18))),AL5)))</f>
        <v>1617.8725</v>
      </c>
      <c r="AN5" s="11" t="n">
        <f aca="false">IF(AN$1&lt;Units!$P4,0,IF(AND(Units!$K4=0,AN$1=Units!$O4),Units!$R4,IF(AND(AN$1&gt;=Units!$Q4,MOD(AN$1-Units!$Q4,12)=0),IF(AND(Units!$L4=1,AN$1=Units!$Q4),IF(Units!$J4&lt;&gt;"",Units!$J4,Mkt!AN5),Inputs!$B$15*Mkt!AN5+(1-Inputs!$B$15)*MIN(Mkt!AN5,AM5*(1+Inputs!$B$18))),AM5)))</f>
        <v>1617.8725</v>
      </c>
      <c r="AO5" s="11" t="n">
        <f aca="false">IF(AO$1&lt;Units!$P4,0,IF(AND(Units!$K4=0,AO$1=Units!$O4),Units!$R4,IF(AND(AO$1&gt;=Units!$Q4,MOD(AO$1-Units!$Q4,12)=0),IF(AND(Units!$L4=1,AO$1=Units!$Q4),IF(Units!$J4&lt;&gt;"",Units!$J4,Mkt!AO5),Inputs!$B$15*Mkt!AO5+(1-Inputs!$B$15)*MIN(Mkt!AO5,AN5*(1+Inputs!$B$18))),AN5)))</f>
        <v>1617.8725</v>
      </c>
      <c r="AP5" s="11" t="n">
        <f aca="false">IF(AP$1&lt;Units!$P4,0,IF(AND(Units!$K4=0,AP$1=Units!$O4),Units!$R4,IF(AND(AP$1&gt;=Units!$Q4,MOD(AP$1-Units!$Q4,12)=0),IF(AND(Units!$L4=1,AP$1=Units!$Q4),IF(Units!$J4&lt;&gt;"",Units!$J4,Mkt!AP5),Inputs!$B$15*Mkt!AP5+(1-Inputs!$B$15)*MIN(Mkt!AP5,AO5*(1+Inputs!$B$18))),AO5)))</f>
        <v>1617.8725</v>
      </c>
      <c r="AQ5" s="11" t="n">
        <f aca="false">IF(AQ$1&lt;Units!$P4,0,IF(AND(Units!$K4=0,AQ$1=Units!$O4),Units!$R4,IF(AND(AQ$1&gt;=Units!$Q4,MOD(AQ$1-Units!$Q4,12)=0),IF(AND(Units!$L4=1,AQ$1=Units!$Q4),IF(Units!$J4&lt;&gt;"",Units!$J4,Mkt!AQ5),Inputs!$B$15*Mkt!AQ5+(1-Inputs!$B$15)*MIN(Mkt!AQ5,AP5*(1+Inputs!$B$18))),AP5)))</f>
        <v>1617.8725</v>
      </c>
      <c r="AR5" s="11" t="n">
        <f aca="false">IF(AR$1&lt;Units!$P4,0,IF(AND(Units!$K4=0,AR$1=Units!$O4),Units!$R4,IF(AND(AR$1&gt;=Units!$Q4,MOD(AR$1-Units!$Q4,12)=0),IF(AND(Units!$L4=1,AR$1=Units!$Q4),IF(Units!$J4&lt;&gt;"",Units!$J4,Mkt!AR5),Inputs!$B$15*Mkt!AR5+(1-Inputs!$B$15)*MIN(Mkt!AR5,AQ5*(1+Inputs!$B$18))),AQ5)))</f>
        <v>1617.8725</v>
      </c>
      <c r="AS5" s="11" t="n">
        <f aca="false">IF(AS$1&lt;Units!$P4,0,IF(AND(Units!$K4=0,AS$1=Units!$O4),Units!$R4,IF(AND(AS$1&gt;=Units!$Q4,MOD(AS$1-Units!$Q4,12)=0),IF(AND(Units!$L4=1,AS$1=Units!$Q4),IF(Units!$J4&lt;&gt;"",Units!$J4,Mkt!AS5),Inputs!$B$15*Mkt!AS5+(1-Inputs!$B$15)*MIN(Mkt!AS5,AR5*(1+Inputs!$B$18))),AR5)))</f>
        <v>1617.8725</v>
      </c>
      <c r="AT5" s="11" t="n">
        <f aca="false">IF(AT$1&lt;Units!$P4,0,IF(AND(Units!$K4=0,AT$1=Units!$O4),Units!$R4,IF(AND(AT$1&gt;=Units!$Q4,MOD(AT$1-Units!$Q4,12)=0),IF(AND(Units!$L4=1,AT$1=Units!$Q4),IF(Units!$J4&lt;&gt;"",Units!$J4,Mkt!AT5),Inputs!$B$15*Mkt!AT5+(1-Inputs!$B$15)*MIN(Mkt!AT5,AS5*(1+Inputs!$B$18))),AS5)))</f>
        <v>1617.8725</v>
      </c>
      <c r="AU5" s="11" t="n">
        <f aca="false">IF(AU$1&lt;Units!$P4,0,IF(AND(Units!$K4=0,AU$1=Units!$O4),Units!$R4,IF(AND(AU$1&gt;=Units!$Q4,MOD(AU$1-Units!$Q4,12)=0),IF(AND(Units!$L4=1,AU$1=Units!$Q4),IF(Units!$J4&lt;&gt;"",Units!$J4,Mkt!AU5),Inputs!$B$15*Mkt!AU5+(1-Inputs!$B$15)*MIN(Mkt!AU5,AT5*(1+Inputs!$B$18))),AT5)))</f>
        <v>1617.8725</v>
      </c>
      <c r="AV5" s="11" t="n">
        <f aca="false">IF(AV$1&lt;Units!$P4,0,IF(AND(Units!$K4=0,AV$1=Units!$O4),Units!$R4,IF(AND(AV$1&gt;=Units!$Q4,MOD(AV$1-Units!$Q4,12)=0),IF(AND(Units!$L4=1,AV$1=Units!$Q4),IF(Units!$J4&lt;&gt;"",Units!$J4,Mkt!AV5),Inputs!$B$15*Mkt!AV5+(1-Inputs!$B$15)*MIN(Mkt!AV5,AU5*(1+Inputs!$B$18))),AU5)))</f>
        <v>1617.8725</v>
      </c>
      <c r="AW5" s="11" t="n">
        <f aca="false">IF(AW$1&lt;Units!$P4,0,IF(AND(Units!$K4=0,AW$1=Units!$O4),Units!$R4,IF(AND(AW$1&gt;=Units!$Q4,MOD(AW$1-Units!$Q4,12)=0),IF(AND(Units!$L4=1,AW$1=Units!$Q4),IF(Units!$J4&lt;&gt;"",Units!$J4,Mkt!AW5),Inputs!$B$15*Mkt!AW5+(1-Inputs!$B$15)*MIN(Mkt!AW5,AV5*(1+Inputs!$B$18))),AV5)))</f>
        <v>1666.408675</v>
      </c>
      <c r="AX5" s="11" t="n">
        <f aca="false">IF(AX$1&lt;Units!$P4,0,IF(AND(Units!$K4=0,AX$1=Units!$O4),Units!$R4,IF(AND(AX$1&gt;=Units!$Q4,MOD(AX$1-Units!$Q4,12)=0),IF(AND(Units!$L4=1,AX$1=Units!$Q4),IF(Units!$J4&lt;&gt;"",Units!$J4,Mkt!AX5),Inputs!$B$15*Mkt!AX5+(1-Inputs!$B$15)*MIN(Mkt!AX5,AW5*(1+Inputs!$B$18))),AW5)))</f>
        <v>1666.408675</v>
      </c>
      <c r="AY5" s="11" t="n">
        <f aca="false">IF(AY$1&lt;Units!$P4,0,IF(AND(Units!$K4=0,AY$1=Units!$O4),Units!$R4,IF(AND(AY$1&gt;=Units!$Q4,MOD(AY$1-Units!$Q4,12)=0),IF(AND(Units!$L4=1,AY$1=Units!$Q4),IF(Units!$J4&lt;&gt;"",Units!$J4,Mkt!AY5),Inputs!$B$15*Mkt!AY5+(1-Inputs!$B$15)*MIN(Mkt!AY5,AX5*(1+Inputs!$B$18))),AX5)))</f>
        <v>1666.408675</v>
      </c>
      <c r="AZ5" s="11" t="n">
        <f aca="false">IF(AZ$1&lt;Units!$P4,0,IF(AND(Units!$K4=0,AZ$1=Units!$O4),Units!$R4,IF(AND(AZ$1&gt;=Units!$Q4,MOD(AZ$1-Units!$Q4,12)=0),IF(AND(Units!$L4=1,AZ$1=Units!$Q4),IF(Units!$J4&lt;&gt;"",Units!$J4,Mkt!AZ5),Inputs!$B$15*Mkt!AZ5+(1-Inputs!$B$15)*MIN(Mkt!AZ5,AY5*(1+Inputs!$B$18))),AY5)))</f>
        <v>1666.408675</v>
      </c>
      <c r="BA5" s="11" t="n">
        <f aca="false">IF(BA$1&lt;Units!$P4,0,IF(AND(Units!$K4=0,BA$1=Units!$O4),Units!$R4,IF(AND(BA$1&gt;=Units!$Q4,MOD(BA$1-Units!$Q4,12)=0),IF(AND(Units!$L4=1,BA$1=Units!$Q4),IF(Units!$J4&lt;&gt;"",Units!$J4,Mkt!BA5),Inputs!$B$15*Mkt!BA5+(1-Inputs!$B$15)*MIN(Mkt!BA5,AZ5*(1+Inputs!$B$18))),AZ5)))</f>
        <v>1666.408675</v>
      </c>
      <c r="BB5" s="11" t="n">
        <f aca="false">IF(BB$1&lt;Units!$P4,0,IF(AND(Units!$K4=0,BB$1=Units!$O4),Units!$R4,IF(AND(BB$1&gt;=Units!$Q4,MOD(BB$1-Units!$Q4,12)=0),IF(AND(Units!$L4=1,BB$1=Units!$Q4),IF(Units!$J4&lt;&gt;"",Units!$J4,Mkt!BB5),Inputs!$B$15*Mkt!BB5+(1-Inputs!$B$15)*MIN(Mkt!BB5,BA5*(1+Inputs!$B$18))),BA5)))</f>
        <v>1666.408675</v>
      </c>
      <c r="BC5" s="11" t="n">
        <f aca="false">IF(BC$1&lt;Units!$P4,0,IF(AND(Units!$K4=0,BC$1=Units!$O4),Units!$R4,IF(AND(BC$1&gt;=Units!$Q4,MOD(BC$1-Units!$Q4,12)=0),IF(AND(Units!$L4=1,BC$1=Units!$Q4),IF(Units!$J4&lt;&gt;"",Units!$J4,Mkt!BC5),Inputs!$B$15*Mkt!BC5+(1-Inputs!$B$15)*MIN(Mkt!BC5,BB5*(1+Inputs!$B$18))),BB5)))</f>
        <v>1666.408675</v>
      </c>
      <c r="BD5" s="11" t="n">
        <f aca="false">IF(BD$1&lt;Units!$P4,0,IF(AND(Units!$K4=0,BD$1=Units!$O4),Units!$R4,IF(AND(BD$1&gt;=Units!$Q4,MOD(BD$1-Units!$Q4,12)=0),IF(AND(Units!$L4=1,BD$1=Units!$Q4),IF(Units!$J4&lt;&gt;"",Units!$J4,Mkt!BD5),Inputs!$B$15*Mkt!BD5+(1-Inputs!$B$15)*MIN(Mkt!BD5,BC5*(1+Inputs!$B$18))),BC5)))</f>
        <v>1666.408675</v>
      </c>
      <c r="BE5" s="11" t="n">
        <f aca="false">IF(BE$1&lt;Units!$P4,0,IF(AND(Units!$K4=0,BE$1=Units!$O4),Units!$R4,IF(AND(BE$1&gt;=Units!$Q4,MOD(BE$1-Units!$Q4,12)=0),IF(AND(Units!$L4=1,BE$1=Units!$Q4),IF(Units!$J4&lt;&gt;"",Units!$J4,Mkt!BE5),Inputs!$B$15*Mkt!BE5+(1-Inputs!$B$15)*MIN(Mkt!BE5,BD5*(1+Inputs!$B$18))),BD5)))</f>
        <v>1666.408675</v>
      </c>
      <c r="BF5" s="11" t="n">
        <f aca="false">IF(BF$1&lt;Units!$P4,0,IF(AND(Units!$K4=0,BF$1=Units!$O4),Units!$R4,IF(AND(BF$1&gt;=Units!$Q4,MOD(BF$1-Units!$Q4,12)=0),IF(AND(Units!$L4=1,BF$1=Units!$Q4),IF(Units!$J4&lt;&gt;"",Units!$J4,Mkt!BF5),Inputs!$B$15*Mkt!BF5+(1-Inputs!$B$15)*MIN(Mkt!BF5,BE5*(1+Inputs!$B$18))),BE5)))</f>
        <v>1666.408675</v>
      </c>
      <c r="BG5" s="11" t="n">
        <f aca="false">IF(BG$1&lt;Units!$P4,0,IF(AND(Units!$K4=0,BG$1=Units!$O4),Units!$R4,IF(AND(BG$1&gt;=Units!$Q4,MOD(BG$1-Units!$Q4,12)=0),IF(AND(Units!$L4=1,BG$1=Units!$Q4),IF(Units!$J4&lt;&gt;"",Units!$J4,Mkt!BG5),Inputs!$B$15*Mkt!BG5+(1-Inputs!$B$15)*MIN(Mkt!BG5,BF5*(1+Inputs!$B$18))),BF5)))</f>
        <v>1666.408675</v>
      </c>
      <c r="BH5" s="11" t="n">
        <f aca="false">IF(BH$1&lt;Units!$P4,0,IF(AND(Units!$K4=0,BH$1=Units!$O4),Units!$R4,IF(AND(BH$1&gt;=Units!$Q4,MOD(BH$1-Units!$Q4,12)=0),IF(AND(Units!$L4=1,BH$1=Units!$Q4),IF(Units!$J4&lt;&gt;"",Units!$J4,Mkt!BH5),Inputs!$B$15*Mkt!BH5+(1-Inputs!$B$15)*MIN(Mkt!BH5,BG5*(1+Inputs!$B$18))),BG5)))</f>
        <v>1666.408675</v>
      </c>
      <c r="BI5" s="11" t="n">
        <f aca="false">IF(BI$1&lt;Units!$P4,0,IF(AND(Units!$K4=0,BI$1=Units!$O4),Units!$R4,IF(AND(BI$1&gt;=Units!$Q4,MOD(BI$1-Units!$Q4,12)=0),IF(AND(Units!$L4=1,BI$1=Units!$Q4),IF(Units!$J4&lt;&gt;"",Units!$J4,Mkt!BI5),Inputs!$B$15*Mkt!BI5+(1-Inputs!$B$15)*MIN(Mkt!BI5,BH5*(1+Inputs!$B$18))),BH5)))</f>
        <v>1716.40093525</v>
      </c>
      <c r="BJ5" s="11" t="n">
        <f aca="false">IF(BJ$1&lt;Units!$P4,0,IF(AND(Units!$K4=0,BJ$1=Units!$O4),Units!$R4,IF(AND(BJ$1&gt;=Units!$Q4,MOD(BJ$1-Units!$Q4,12)=0),IF(AND(Units!$L4=1,BJ$1=Units!$Q4),IF(Units!$J4&lt;&gt;"",Units!$J4,Mkt!BJ5),Inputs!$B$15*Mkt!BJ5+(1-Inputs!$B$15)*MIN(Mkt!BJ5,BI5*(1+Inputs!$B$18))),BI5)))</f>
        <v>1716.40093525</v>
      </c>
      <c r="BK5" s="11" t="n">
        <f aca="false">IF(BK$1&lt;Units!$P4,0,IF(AND(Units!$K4=0,BK$1=Units!$O4),Units!$R4,IF(AND(BK$1&gt;=Units!$Q4,MOD(BK$1-Units!$Q4,12)=0),IF(AND(Units!$L4=1,BK$1=Units!$Q4),IF(Units!$J4&lt;&gt;"",Units!$J4,Mkt!BK5),Inputs!$B$15*Mkt!BK5+(1-Inputs!$B$15)*MIN(Mkt!BK5,BJ5*(1+Inputs!$B$18))),BJ5)))</f>
        <v>1716.40093525</v>
      </c>
      <c r="BL5" s="11" t="n">
        <f aca="false">IF(BL$1&lt;Units!$P4,0,IF(AND(Units!$K4=0,BL$1=Units!$O4),Units!$R4,IF(AND(BL$1&gt;=Units!$Q4,MOD(BL$1-Units!$Q4,12)=0),IF(AND(Units!$L4=1,BL$1=Units!$Q4),IF(Units!$J4&lt;&gt;"",Units!$J4,Mkt!BL5),Inputs!$B$15*Mkt!BL5+(1-Inputs!$B$15)*MIN(Mkt!BL5,BK5*(1+Inputs!$B$18))),BK5)))</f>
        <v>1716.40093525</v>
      </c>
      <c r="BM5" s="11" t="n">
        <f aca="false">IF(BM$1&lt;Units!$P4,0,IF(AND(Units!$K4=0,BM$1=Units!$O4),Units!$R4,IF(AND(BM$1&gt;=Units!$Q4,MOD(BM$1-Units!$Q4,12)=0),IF(AND(Units!$L4=1,BM$1=Units!$Q4),IF(Units!$J4&lt;&gt;"",Units!$J4,Mkt!BM5),Inputs!$B$15*Mkt!BM5+(1-Inputs!$B$15)*MIN(Mkt!BM5,BL5*(1+Inputs!$B$18))),BL5)))</f>
        <v>1716.40093525</v>
      </c>
      <c r="BN5" s="11" t="n">
        <f aca="false">IF(BN$1&lt;Units!$P4,0,IF(AND(Units!$K4=0,BN$1=Units!$O4),Units!$R4,IF(AND(BN$1&gt;=Units!$Q4,MOD(BN$1-Units!$Q4,12)=0),IF(AND(Units!$L4=1,BN$1=Units!$Q4),IF(Units!$J4&lt;&gt;"",Units!$J4,Mkt!BN5),Inputs!$B$15*Mkt!BN5+(1-Inputs!$B$15)*MIN(Mkt!BN5,BM5*(1+Inputs!$B$18))),BM5)))</f>
        <v>1716.40093525</v>
      </c>
      <c r="BO5" s="11" t="n">
        <f aca="false">IF(BO$1&lt;Units!$P4,0,IF(AND(Units!$K4=0,BO$1=Units!$O4),Units!$R4,IF(AND(BO$1&gt;=Units!$Q4,MOD(BO$1-Units!$Q4,12)=0),IF(AND(Units!$L4=1,BO$1=Units!$Q4),IF(Units!$J4&lt;&gt;"",Units!$J4,Mkt!BO5),Inputs!$B$15*Mkt!BO5+(1-Inputs!$B$15)*MIN(Mkt!BO5,BN5*(1+Inputs!$B$18))),BN5)))</f>
        <v>1716.40093525</v>
      </c>
      <c r="BP5" s="11" t="n">
        <f aca="false">IF(BP$1&lt;Units!$P4,0,IF(AND(Units!$K4=0,BP$1=Units!$O4),Units!$R4,IF(AND(BP$1&gt;=Units!$Q4,MOD(BP$1-Units!$Q4,12)=0),IF(AND(Units!$L4=1,BP$1=Units!$Q4),IF(Units!$J4&lt;&gt;"",Units!$J4,Mkt!BP5),Inputs!$B$15*Mkt!BP5+(1-Inputs!$B$15)*MIN(Mkt!BP5,BO5*(1+Inputs!$B$18))),BO5)))</f>
        <v>1716.40093525</v>
      </c>
      <c r="BQ5" s="11" t="n">
        <f aca="false">IF(BQ$1&lt;Units!$P4,0,IF(AND(Units!$K4=0,BQ$1=Units!$O4),Units!$R4,IF(AND(BQ$1&gt;=Units!$Q4,MOD(BQ$1-Units!$Q4,12)=0),IF(AND(Units!$L4=1,BQ$1=Units!$Q4),IF(Units!$J4&lt;&gt;"",Units!$J4,Mkt!BQ5),Inputs!$B$15*Mkt!BQ5+(1-Inputs!$B$15)*MIN(Mkt!BQ5,BP5*(1+Inputs!$B$18))),BP5)))</f>
        <v>1716.40093525</v>
      </c>
      <c r="BR5" s="11" t="n">
        <f aca="false">IF(BR$1&lt;Units!$P4,0,IF(AND(Units!$K4=0,BR$1=Units!$O4),Units!$R4,IF(AND(BR$1&gt;=Units!$Q4,MOD(BR$1-Units!$Q4,12)=0),IF(AND(Units!$L4=1,BR$1=Units!$Q4),IF(Units!$J4&lt;&gt;"",Units!$J4,Mkt!BR5),Inputs!$B$15*Mkt!BR5+(1-Inputs!$B$15)*MIN(Mkt!BR5,BQ5*(1+Inputs!$B$18))),BQ5)))</f>
        <v>1716.40093525</v>
      </c>
      <c r="BS5" s="11" t="n">
        <f aca="false">IF(BS$1&lt;Units!$P4,0,IF(AND(Units!$K4=0,BS$1=Units!$O4),Units!$R4,IF(AND(BS$1&gt;=Units!$Q4,MOD(BS$1-Units!$Q4,12)=0),IF(AND(Units!$L4=1,BS$1=Units!$Q4),IF(Units!$J4&lt;&gt;"",Units!$J4,Mkt!BS5),Inputs!$B$15*Mkt!BS5+(1-Inputs!$B$15)*MIN(Mkt!BS5,BR5*(1+Inputs!$B$18))),BR5)))</f>
        <v>1716.40093525</v>
      </c>
      <c r="BT5" s="11" t="n">
        <f aca="false">IF(BT$1&lt;Units!$P4,0,IF(AND(Units!$K4=0,BT$1=Units!$O4),Units!$R4,IF(AND(BT$1&gt;=Units!$Q4,MOD(BT$1-Units!$Q4,12)=0),IF(AND(Units!$L4=1,BT$1=Units!$Q4),IF(Units!$J4&lt;&gt;"",Units!$J4,Mkt!BT5),Inputs!$B$15*Mkt!BT5+(1-Inputs!$B$15)*MIN(Mkt!BT5,BS5*(1+Inputs!$B$18))),BS5)))</f>
        <v>1716.40093525</v>
      </c>
      <c r="BU5" s="11" t="n">
        <f aca="false">IF(BU$1&lt;Units!$P4,0,IF(AND(Units!$K4=0,BU$1=Units!$O4),Units!$R4,IF(AND(BU$1&gt;=Units!$Q4,MOD(BU$1-Units!$Q4,12)=0),IF(AND(Units!$L4=1,BU$1=Units!$Q4),IF(Units!$J4&lt;&gt;"",Units!$J4,Mkt!BU5),Inputs!$B$15*Mkt!BU5+(1-Inputs!$B$15)*MIN(Mkt!BU5,BT5*(1+Inputs!$B$18))),BT5)))</f>
        <v>1767.8929633075</v>
      </c>
      <c r="BV5" s="11" t="n">
        <f aca="false">IF(BV$1&lt;Units!$P4,0,IF(AND(Units!$K4=0,BV$1=Units!$O4),Units!$R4,IF(AND(BV$1&gt;=Units!$Q4,MOD(BV$1-Units!$Q4,12)=0),IF(AND(Units!$L4=1,BV$1=Units!$Q4),IF(Units!$J4&lt;&gt;"",Units!$J4,Mkt!BV5),Inputs!$B$15*Mkt!BV5+(1-Inputs!$B$15)*MIN(Mkt!BV5,BU5*(1+Inputs!$B$18))),BU5)))</f>
        <v>1767.8929633075</v>
      </c>
      <c r="BW5" s="11" t="n">
        <f aca="false">IF(BW$1&lt;Units!$P4,0,IF(AND(Units!$K4=0,BW$1=Units!$O4),Units!$R4,IF(AND(BW$1&gt;=Units!$Q4,MOD(BW$1-Units!$Q4,12)=0),IF(AND(Units!$L4=1,BW$1=Units!$Q4),IF(Units!$J4&lt;&gt;"",Units!$J4,Mkt!BW5),Inputs!$B$15*Mkt!BW5+(1-Inputs!$B$15)*MIN(Mkt!BW5,BV5*(1+Inputs!$B$18))),BV5)))</f>
        <v>1767.8929633075</v>
      </c>
      <c r="BX5" s="11" t="n">
        <f aca="false">IF(BX$1&lt;Units!$P4,0,IF(AND(Units!$K4=0,BX$1=Units!$O4),Units!$R4,IF(AND(BX$1&gt;=Units!$Q4,MOD(BX$1-Units!$Q4,12)=0),IF(AND(Units!$L4=1,BX$1=Units!$Q4),IF(Units!$J4&lt;&gt;"",Units!$J4,Mkt!BX5),Inputs!$B$15*Mkt!BX5+(1-Inputs!$B$15)*MIN(Mkt!BX5,BW5*(1+Inputs!$B$18))),BW5)))</f>
        <v>1767.8929633075</v>
      </c>
      <c r="BY5" s="11" t="n">
        <f aca="false">IF(BY$1&lt;Units!$P4,0,IF(AND(Units!$K4=0,BY$1=Units!$O4),Units!$R4,IF(AND(BY$1&gt;=Units!$Q4,MOD(BY$1-Units!$Q4,12)=0),IF(AND(Units!$L4=1,BY$1=Units!$Q4),IF(Units!$J4&lt;&gt;"",Units!$J4,Mkt!BY5),Inputs!$B$15*Mkt!BY5+(1-Inputs!$B$15)*MIN(Mkt!BY5,BX5*(1+Inputs!$B$18))),BX5)))</f>
        <v>1767.8929633075</v>
      </c>
      <c r="BZ5" s="11" t="n">
        <f aca="false">IF(BZ$1&lt;Units!$P4,0,IF(AND(Units!$K4=0,BZ$1=Units!$O4),Units!$R4,IF(AND(BZ$1&gt;=Units!$Q4,MOD(BZ$1-Units!$Q4,12)=0),IF(AND(Units!$L4=1,BZ$1=Units!$Q4),IF(Units!$J4&lt;&gt;"",Units!$J4,Mkt!BZ5),Inputs!$B$15*Mkt!BZ5+(1-Inputs!$B$15)*MIN(Mkt!BZ5,BY5*(1+Inputs!$B$18))),BY5)))</f>
        <v>1767.8929633075</v>
      </c>
      <c r="CA5" s="11" t="n">
        <f aca="false">IF(CA$1&lt;Units!$P4,0,IF(AND(Units!$K4=0,CA$1=Units!$O4),Units!$R4,IF(AND(CA$1&gt;=Units!$Q4,MOD(CA$1-Units!$Q4,12)=0),IF(AND(Units!$L4=1,CA$1=Units!$Q4),IF(Units!$J4&lt;&gt;"",Units!$J4,Mkt!CA5),Inputs!$B$15*Mkt!CA5+(1-Inputs!$B$15)*MIN(Mkt!CA5,BZ5*(1+Inputs!$B$18))),BZ5)))</f>
        <v>1767.8929633075</v>
      </c>
      <c r="CB5" s="11" t="n">
        <f aca="false">IF(CB$1&lt;Units!$P4,0,IF(AND(Units!$K4=0,CB$1=Units!$O4),Units!$R4,IF(AND(CB$1&gt;=Units!$Q4,MOD(CB$1-Units!$Q4,12)=0),IF(AND(Units!$L4=1,CB$1=Units!$Q4),IF(Units!$J4&lt;&gt;"",Units!$J4,Mkt!CB5),Inputs!$B$15*Mkt!CB5+(1-Inputs!$B$15)*MIN(Mkt!CB5,CA5*(1+Inputs!$B$18))),CA5)))</f>
        <v>1767.8929633075</v>
      </c>
      <c r="CC5" s="11" t="n">
        <f aca="false">IF(CC$1&lt;Units!$P4,0,IF(AND(Units!$K4=0,CC$1=Units!$O4),Units!$R4,IF(AND(CC$1&gt;=Units!$Q4,MOD(CC$1-Units!$Q4,12)=0),IF(AND(Units!$L4=1,CC$1=Units!$Q4),IF(Units!$J4&lt;&gt;"",Units!$J4,Mkt!CC5),Inputs!$B$15*Mkt!CC5+(1-Inputs!$B$15)*MIN(Mkt!CC5,CB5*(1+Inputs!$B$18))),CB5)))</f>
        <v>1767.8929633075</v>
      </c>
      <c r="CD5" s="11" t="n">
        <f aca="false">IF(CD$1&lt;Units!$P4,0,IF(AND(Units!$K4=0,CD$1=Units!$O4),Units!$R4,IF(AND(CD$1&gt;=Units!$Q4,MOD(CD$1-Units!$Q4,12)=0),IF(AND(Units!$L4=1,CD$1=Units!$Q4),IF(Units!$J4&lt;&gt;"",Units!$J4,Mkt!CD5),Inputs!$B$15*Mkt!CD5+(1-Inputs!$B$15)*MIN(Mkt!CD5,CC5*(1+Inputs!$B$18))),CC5)))</f>
        <v>1767.8929633075</v>
      </c>
      <c r="CE5" s="11" t="n">
        <f aca="false">IF(CE$1&lt;Units!$P4,0,IF(AND(Units!$K4=0,CE$1=Units!$O4),Units!$R4,IF(AND(CE$1&gt;=Units!$Q4,MOD(CE$1-Units!$Q4,12)=0),IF(AND(Units!$L4=1,CE$1=Units!$Q4),IF(Units!$J4&lt;&gt;"",Units!$J4,Mkt!CE5),Inputs!$B$15*Mkt!CE5+(1-Inputs!$B$15)*MIN(Mkt!CE5,CD5*(1+Inputs!$B$18))),CD5)))</f>
        <v>1767.8929633075</v>
      </c>
      <c r="CF5" s="11" t="n">
        <f aca="false">IF(CF$1&lt;Units!$P4,0,IF(AND(Units!$K4=0,CF$1=Units!$O4),Units!$R4,IF(AND(CF$1&gt;=Units!$Q4,MOD(CF$1-Units!$Q4,12)=0),IF(AND(Units!$L4=1,CF$1=Units!$Q4),IF(Units!$J4&lt;&gt;"",Units!$J4,Mkt!CF5),Inputs!$B$15*Mkt!CF5+(1-Inputs!$B$15)*MIN(Mkt!CF5,CE5*(1+Inputs!$B$18))),CE5)))</f>
        <v>1767.8929633075</v>
      </c>
      <c r="CG5" s="11" t="n">
        <f aca="false">IF(CG$1&lt;Units!$P4,0,IF(AND(Units!$K4=0,CG$1=Units!$O4),Units!$R4,IF(AND(CG$1&gt;=Units!$Q4,MOD(CG$1-Units!$Q4,12)=0),IF(AND(Units!$L4=1,CG$1=Units!$Q4),IF(Units!$J4&lt;&gt;"",Units!$J4,Mkt!CG5),Inputs!$B$15*Mkt!CG5+(1-Inputs!$B$15)*MIN(Mkt!CG5,CF5*(1+Inputs!$B$18))),CF5)))</f>
        <v>1820.92975220673</v>
      </c>
      <c r="CH5" s="11" t="n">
        <f aca="false">IF(CH$1&lt;Units!$P4,0,IF(AND(Units!$K4=0,CH$1=Units!$O4),Units!$R4,IF(AND(CH$1&gt;=Units!$Q4,MOD(CH$1-Units!$Q4,12)=0),IF(AND(Units!$L4=1,CH$1=Units!$Q4),IF(Units!$J4&lt;&gt;"",Units!$J4,Mkt!CH5),Inputs!$B$15*Mkt!CH5+(1-Inputs!$B$15)*MIN(Mkt!CH5,CG5*(1+Inputs!$B$18))),CG5)))</f>
        <v>1820.92975220673</v>
      </c>
      <c r="CI5" s="11" t="n">
        <f aca="false">IF(CI$1&lt;Units!$P4,0,IF(AND(Units!$K4=0,CI$1=Units!$O4),Units!$R4,IF(AND(CI$1&gt;=Units!$Q4,MOD(CI$1-Units!$Q4,12)=0),IF(AND(Units!$L4=1,CI$1=Units!$Q4),IF(Units!$J4&lt;&gt;"",Units!$J4,Mkt!CI5),Inputs!$B$15*Mkt!CI5+(1-Inputs!$B$15)*MIN(Mkt!CI5,CH5*(1+Inputs!$B$18))),CH5)))</f>
        <v>1820.92975220673</v>
      </c>
      <c r="CJ5" s="11" t="n">
        <f aca="false">IF(CJ$1&lt;Units!$P4,0,IF(AND(Units!$K4=0,CJ$1=Units!$O4),Units!$R4,IF(AND(CJ$1&gt;=Units!$Q4,MOD(CJ$1-Units!$Q4,12)=0),IF(AND(Units!$L4=1,CJ$1=Units!$Q4),IF(Units!$J4&lt;&gt;"",Units!$J4,Mkt!CJ5),Inputs!$B$15*Mkt!CJ5+(1-Inputs!$B$15)*MIN(Mkt!CJ5,CI5*(1+Inputs!$B$18))),CI5)))</f>
        <v>1820.92975220673</v>
      </c>
      <c r="CK5" s="11" t="n">
        <f aca="false">IF(CK$1&lt;Units!$P4,0,IF(AND(Units!$K4=0,CK$1=Units!$O4),Units!$R4,IF(AND(CK$1&gt;=Units!$Q4,MOD(CK$1-Units!$Q4,12)=0),IF(AND(Units!$L4=1,CK$1=Units!$Q4),IF(Units!$J4&lt;&gt;"",Units!$J4,Mkt!CK5),Inputs!$B$15*Mkt!CK5+(1-Inputs!$B$15)*MIN(Mkt!CK5,CJ5*(1+Inputs!$B$18))),CJ5)))</f>
        <v>1820.92975220673</v>
      </c>
      <c r="CL5" s="11" t="n">
        <f aca="false">IF(CL$1&lt;Units!$P4,0,IF(AND(Units!$K4=0,CL$1=Units!$O4),Units!$R4,IF(AND(CL$1&gt;=Units!$Q4,MOD(CL$1-Units!$Q4,12)=0),IF(AND(Units!$L4=1,CL$1=Units!$Q4),IF(Units!$J4&lt;&gt;"",Units!$J4,Mkt!CL5),Inputs!$B$15*Mkt!CL5+(1-Inputs!$B$15)*MIN(Mkt!CL5,CK5*(1+Inputs!$B$18))),CK5)))</f>
        <v>1820.92975220673</v>
      </c>
      <c r="CM5" s="11" t="n">
        <f aca="false">IF(CM$1&lt;Units!$P4,0,IF(AND(Units!$K4=0,CM$1=Units!$O4),Units!$R4,IF(AND(CM$1&gt;=Units!$Q4,MOD(CM$1-Units!$Q4,12)=0),IF(AND(Units!$L4=1,CM$1=Units!$Q4),IF(Units!$J4&lt;&gt;"",Units!$J4,Mkt!CM5),Inputs!$B$15*Mkt!CM5+(1-Inputs!$B$15)*MIN(Mkt!CM5,CL5*(1+Inputs!$B$18))),CL5)))</f>
        <v>1820.92975220673</v>
      </c>
      <c r="CN5" s="11" t="n">
        <f aca="false">IF(CN$1&lt;Units!$P4,0,IF(AND(Units!$K4=0,CN$1=Units!$O4),Units!$R4,IF(AND(CN$1&gt;=Units!$Q4,MOD(CN$1-Units!$Q4,12)=0),IF(AND(Units!$L4=1,CN$1=Units!$Q4),IF(Units!$J4&lt;&gt;"",Units!$J4,Mkt!CN5),Inputs!$B$15*Mkt!CN5+(1-Inputs!$B$15)*MIN(Mkt!CN5,CM5*(1+Inputs!$B$18))),CM5)))</f>
        <v>1820.92975220673</v>
      </c>
      <c r="CO5" s="11" t="n">
        <f aca="false">IF(CO$1&lt;Units!$P4,0,IF(AND(Units!$K4=0,CO$1=Units!$O4),Units!$R4,IF(AND(CO$1&gt;=Units!$Q4,MOD(CO$1-Units!$Q4,12)=0),IF(AND(Units!$L4=1,CO$1=Units!$Q4),IF(Units!$J4&lt;&gt;"",Units!$J4,Mkt!CO5),Inputs!$B$15*Mkt!CO5+(1-Inputs!$B$15)*MIN(Mkt!CO5,CN5*(1+Inputs!$B$18))),CN5)))</f>
        <v>1820.92975220673</v>
      </c>
      <c r="CP5" s="11" t="n">
        <f aca="false">IF(CP$1&lt;Units!$P4,0,IF(AND(Units!$K4=0,CP$1=Units!$O4),Units!$R4,IF(AND(CP$1&gt;=Units!$Q4,MOD(CP$1-Units!$Q4,12)=0),IF(AND(Units!$L4=1,CP$1=Units!$Q4),IF(Units!$J4&lt;&gt;"",Units!$J4,Mkt!CP5),Inputs!$B$15*Mkt!CP5+(1-Inputs!$B$15)*MIN(Mkt!CP5,CO5*(1+Inputs!$B$18))),CO5)))</f>
        <v>1820.92975220673</v>
      </c>
      <c r="CQ5" s="11" t="n">
        <f aca="false">IF(CQ$1&lt;Units!$P4,0,IF(AND(Units!$K4=0,CQ$1=Units!$O4),Units!$R4,IF(AND(CQ$1&gt;=Units!$Q4,MOD(CQ$1-Units!$Q4,12)=0),IF(AND(Units!$L4=1,CQ$1=Units!$Q4),IF(Units!$J4&lt;&gt;"",Units!$J4,Mkt!CQ5),Inputs!$B$15*Mkt!CQ5+(1-Inputs!$B$15)*MIN(Mkt!CQ5,CP5*(1+Inputs!$B$18))),CP5)))</f>
        <v>1820.92975220673</v>
      </c>
      <c r="CR5" s="11" t="n">
        <f aca="false">IF(CR$1&lt;Units!$P4,0,IF(AND(Units!$K4=0,CR$1=Units!$O4),Units!$R4,IF(AND(CR$1&gt;=Units!$Q4,MOD(CR$1-Units!$Q4,12)=0),IF(AND(Units!$L4=1,CR$1=Units!$Q4),IF(Units!$J4&lt;&gt;"",Units!$J4,Mkt!CR5),Inputs!$B$15*Mkt!CR5+(1-Inputs!$B$15)*MIN(Mkt!CR5,CQ5*(1+Inputs!$B$18))),CQ5)))</f>
        <v>1820.92975220673</v>
      </c>
      <c r="CS5" s="11" t="n">
        <f aca="false">IF(CS$1&lt;Units!$P4,0,IF(AND(Units!$K4=0,CS$1=Units!$O4),Units!$R4,IF(AND(CS$1&gt;=Units!$Q4,MOD(CS$1-Units!$Q4,12)=0),IF(AND(Units!$L4=1,CS$1=Units!$Q4),IF(Units!$J4&lt;&gt;"",Units!$J4,Mkt!CS5),Inputs!$B$15*Mkt!CS5+(1-Inputs!$B$15)*MIN(Mkt!CS5,CR5*(1+Inputs!$B$18))),CR5)))</f>
        <v>1875.55764477293</v>
      </c>
      <c r="CT5" s="11" t="n">
        <f aca="false">IF(CT$1&lt;Units!$P4,0,IF(AND(Units!$K4=0,CT$1=Units!$O4),Units!$R4,IF(AND(CT$1&gt;=Units!$Q4,MOD(CT$1-Units!$Q4,12)=0),IF(AND(Units!$L4=1,CT$1=Units!$Q4),IF(Units!$J4&lt;&gt;"",Units!$J4,Mkt!CT5),Inputs!$B$15*Mkt!CT5+(1-Inputs!$B$15)*MIN(Mkt!CT5,CS5*(1+Inputs!$B$18))),CS5)))</f>
        <v>1875.55764477293</v>
      </c>
      <c r="CU5" s="11" t="n">
        <f aca="false">IF(CU$1&lt;Units!$P4,0,IF(AND(Units!$K4=0,CU$1=Units!$O4),Units!$R4,IF(AND(CU$1&gt;=Units!$Q4,MOD(CU$1-Units!$Q4,12)=0),IF(AND(Units!$L4=1,CU$1=Units!$Q4),IF(Units!$J4&lt;&gt;"",Units!$J4,Mkt!CU5),Inputs!$B$15*Mkt!CU5+(1-Inputs!$B$15)*MIN(Mkt!CU5,CT5*(1+Inputs!$B$18))),CT5)))</f>
        <v>1875.55764477293</v>
      </c>
      <c r="CV5" s="11" t="n">
        <f aca="false">IF(CV$1&lt;Units!$P4,0,IF(AND(Units!$K4=0,CV$1=Units!$O4),Units!$R4,IF(AND(CV$1&gt;=Units!$Q4,MOD(CV$1-Units!$Q4,12)=0),IF(AND(Units!$L4=1,CV$1=Units!$Q4),IF(Units!$J4&lt;&gt;"",Units!$J4,Mkt!CV5),Inputs!$B$15*Mkt!CV5+(1-Inputs!$B$15)*MIN(Mkt!CV5,CU5*(1+Inputs!$B$18))),CU5)))</f>
        <v>1875.55764477293</v>
      </c>
      <c r="CW5" s="11" t="n">
        <f aca="false">IF(CW$1&lt;Units!$P4,0,IF(AND(Units!$K4=0,CW$1=Units!$O4),Units!$R4,IF(AND(CW$1&gt;=Units!$Q4,MOD(CW$1-Units!$Q4,12)=0),IF(AND(Units!$L4=1,CW$1=Units!$Q4),IF(Units!$J4&lt;&gt;"",Units!$J4,Mkt!CW5),Inputs!$B$15*Mkt!CW5+(1-Inputs!$B$15)*MIN(Mkt!CW5,CV5*(1+Inputs!$B$18))),CV5)))</f>
        <v>1875.55764477293</v>
      </c>
      <c r="CX5" s="11" t="n">
        <f aca="false">IF(CX$1&lt;Units!$P4,0,IF(AND(Units!$K4=0,CX$1=Units!$O4),Units!$R4,IF(AND(CX$1&gt;=Units!$Q4,MOD(CX$1-Units!$Q4,12)=0),IF(AND(Units!$L4=1,CX$1=Units!$Q4),IF(Units!$J4&lt;&gt;"",Units!$J4,Mkt!CX5),Inputs!$B$15*Mkt!CX5+(1-Inputs!$B$15)*MIN(Mkt!CX5,CW5*(1+Inputs!$B$18))),CW5)))</f>
        <v>1875.55764477293</v>
      </c>
      <c r="CY5" s="11" t="n">
        <f aca="false">IF(CY$1&lt;Units!$P4,0,IF(AND(Units!$K4=0,CY$1=Units!$O4),Units!$R4,IF(AND(CY$1&gt;=Units!$Q4,MOD(CY$1-Units!$Q4,12)=0),IF(AND(Units!$L4=1,CY$1=Units!$Q4),IF(Units!$J4&lt;&gt;"",Units!$J4,Mkt!CY5),Inputs!$B$15*Mkt!CY5+(1-Inputs!$B$15)*MIN(Mkt!CY5,CX5*(1+Inputs!$B$18))),CX5)))</f>
        <v>1875.55764477293</v>
      </c>
      <c r="CZ5" s="11" t="n">
        <f aca="false">IF(CZ$1&lt;Units!$P4,0,IF(AND(Units!$K4=0,CZ$1=Units!$O4),Units!$R4,IF(AND(CZ$1&gt;=Units!$Q4,MOD(CZ$1-Units!$Q4,12)=0),IF(AND(Units!$L4=1,CZ$1=Units!$Q4),IF(Units!$J4&lt;&gt;"",Units!$J4,Mkt!CZ5),Inputs!$B$15*Mkt!CZ5+(1-Inputs!$B$15)*MIN(Mkt!CZ5,CY5*(1+Inputs!$B$18))),CY5)))</f>
        <v>1875.55764477293</v>
      </c>
      <c r="DA5" s="11" t="n">
        <f aca="false">IF(DA$1&lt;Units!$P4,0,IF(AND(Units!$K4=0,DA$1=Units!$O4),Units!$R4,IF(AND(DA$1&gt;=Units!$Q4,MOD(DA$1-Units!$Q4,12)=0),IF(AND(Units!$L4=1,DA$1=Units!$Q4),IF(Units!$J4&lt;&gt;"",Units!$J4,Mkt!DA5),Inputs!$B$15*Mkt!DA5+(1-Inputs!$B$15)*MIN(Mkt!DA5,CZ5*(1+Inputs!$B$18))),CZ5)))</f>
        <v>1875.55764477293</v>
      </c>
      <c r="DB5" s="11" t="n">
        <f aca="false">IF(DB$1&lt;Units!$P4,0,IF(AND(Units!$K4=0,DB$1=Units!$O4),Units!$R4,IF(AND(DB$1&gt;=Units!$Q4,MOD(DB$1-Units!$Q4,12)=0),IF(AND(Units!$L4=1,DB$1=Units!$Q4),IF(Units!$J4&lt;&gt;"",Units!$J4,Mkt!DB5),Inputs!$B$15*Mkt!DB5+(1-Inputs!$B$15)*MIN(Mkt!DB5,DA5*(1+Inputs!$B$18))),DA5)))</f>
        <v>1875.55764477293</v>
      </c>
      <c r="DC5" s="11" t="n">
        <f aca="false">IF(DC$1&lt;Units!$P4,0,IF(AND(Units!$K4=0,DC$1=Units!$O4),Units!$R4,IF(AND(DC$1&gt;=Units!$Q4,MOD(DC$1-Units!$Q4,12)=0),IF(AND(Units!$L4=1,DC$1=Units!$Q4),IF(Units!$J4&lt;&gt;"",Units!$J4,Mkt!DC5),Inputs!$B$15*Mkt!DC5+(1-Inputs!$B$15)*MIN(Mkt!DC5,DB5*(1+Inputs!$B$18))),DB5)))</f>
        <v>1875.55764477293</v>
      </c>
      <c r="DD5" s="11" t="n">
        <f aca="false">IF(DD$1&lt;Units!$P4,0,IF(AND(Units!$K4=0,DD$1=Units!$O4),Units!$R4,IF(AND(DD$1&gt;=Units!$Q4,MOD(DD$1-Units!$Q4,12)=0),IF(AND(Units!$L4=1,DD$1=Units!$Q4),IF(Units!$J4&lt;&gt;"",Units!$J4,Mkt!DD5),Inputs!$B$15*Mkt!DD5+(1-Inputs!$B$15)*MIN(Mkt!DD5,DC5*(1+Inputs!$B$18))),DC5)))</f>
        <v>1875.55764477293</v>
      </c>
      <c r="DE5" s="11" t="n">
        <f aca="false">IF(DE$1&lt;Units!$P4,0,IF(AND(Units!$K4=0,DE$1=Units!$O4),Units!$R4,IF(AND(DE$1&gt;=Units!$Q4,MOD(DE$1-Units!$Q4,12)=0),IF(AND(Units!$L4=1,DE$1=Units!$Q4),IF(Units!$J4&lt;&gt;"",Units!$J4,Mkt!DE5),Inputs!$B$15*Mkt!DE5+(1-Inputs!$B$15)*MIN(Mkt!DE5,DD5*(1+Inputs!$B$18))),DD5)))</f>
        <v>1931.82437411612</v>
      </c>
      <c r="DF5" s="11" t="n">
        <f aca="false">IF(DF$1&lt;Units!$P4,0,IF(AND(Units!$K4=0,DF$1=Units!$O4),Units!$R4,IF(AND(DF$1&gt;=Units!$Q4,MOD(DF$1-Units!$Q4,12)=0),IF(AND(Units!$L4=1,DF$1=Units!$Q4),IF(Units!$J4&lt;&gt;"",Units!$J4,Mkt!DF5),Inputs!$B$15*Mkt!DF5+(1-Inputs!$B$15)*MIN(Mkt!DF5,DE5*(1+Inputs!$B$18))),DE5)))</f>
        <v>1931.82437411612</v>
      </c>
      <c r="DG5" s="11" t="n">
        <f aca="false">IF(DG$1&lt;Units!$P4,0,IF(AND(Units!$K4=0,DG$1=Units!$O4),Units!$R4,IF(AND(DG$1&gt;=Units!$Q4,MOD(DG$1-Units!$Q4,12)=0),IF(AND(Units!$L4=1,DG$1=Units!$Q4),IF(Units!$J4&lt;&gt;"",Units!$J4,Mkt!DG5),Inputs!$B$15*Mkt!DG5+(1-Inputs!$B$15)*MIN(Mkt!DG5,DF5*(1+Inputs!$B$18))),DF5)))</f>
        <v>1931.82437411612</v>
      </c>
      <c r="DH5" s="11" t="n">
        <f aca="false">IF(DH$1&lt;Units!$P4,0,IF(AND(Units!$K4=0,DH$1=Units!$O4),Units!$R4,IF(AND(DH$1&gt;=Units!$Q4,MOD(DH$1-Units!$Q4,12)=0),IF(AND(Units!$L4=1,DH$1=Units!$Q4),IF(Units!$J4&lt;&gt;"",Units!$J4,Mkt!DH5),Inputs!$B$15*Mkt!DH5+(1-Inputs!$B$15)*MIN(Mkt!DH5,DG5*(1+Inputs!$B$18))),DG5)))</f>
        <v>1931.82437411612</v>
      </c>
      <c r="DI5" s="11" t="n">
        <f aca="false">IF(DI$1&lt;Units!$P4,0,IF(AND(Units!$K4=0,DI$1=Units!$O4),Units!$R4,IF(AND(DI$1&gt;=Units!$Q4,MOD(DI$1-Units!$Q4,12)=0),IF(AND(Units!$L4=1,DI$1=Units!$Q4),IF(Units!$J4&lt;&gt;"",Units!$J4,Mkt!DI5),Inputs!$B$15*Mkt!DI5+(1-Inputs!$B$15)*MIN(Mkt!DI5,DH5*(1+Inputs!$B$18))),DH5)))</f>
        <v>1931.82437411612</v>
      </c>
      <c r="DJ5" s="11" t="n">
        <f aca="false">IF(DJ$1&lt;Units!$P4,0,IF(AND(Units!$K4=0,DJ$1=Units!$O4),Units!$R4,IF(AND(DJ$1&gt;=Units!$Q4,MOD(DJ$1-Units!$Q4,12)=0),IF(AND(Units!$L4=1,DJ$1=Units!$Q4),IF(Units!$J4&lt;&gt;"",Units!$J4,Mkt!DJ5),Inputs!$B$15*Mkt!DJ5+(1-Inputs!$B$15)*MIN(Mkt!DJ5,DI5*(1+Inputs!$B$18))),DI5)))</f>
        <v>1931.82437411612</v>
      </c>
      <c r="DK5" s="11" t="n">
        <f aca="false">IF(DK$1&lt;Units!$P4,0,IF(AND(Units!$K4=0,DK$1=Units!$O4),Units!$R4,IF(AND(DK$1&gt;=Units!$Q4,MOD(DK$1-Units!$Q4,12)=0),IF(AND(Units!$L4=1,DK$1=Units!$Q4),IF(Units!$J4&lt;&gt;"",Units!$J4,Mkt!DK5),Inputs!$B$15*Mkt!DK5+(1-Inputs!$B$15)*MIN(Mkt!DK5,DJ5*(1+Inputs!$B$18))),DJ5)))</f>
        <v>1931.82437411612</v>
      </c>
      <c r="DL5" s="11" t="n">
        <f aca="false">IF(DL$1&lt;Units!$P4,0,IF(AND(Units!$K4=0,DL$1=Units!$O4),Units!$R4,IF(AND(DL$1&gt;=Units!$Q4,MOD(DL$1-Units!$Q4,12)=0),IF(AND(Units!$L4=1,DL$1=Units!$Q4),IF(Units!$J4&lt;&gt;"",Units!$J4,Mkt!DL5),Inputs!$B$15*Mkt!DL5+(1-Inputs!$B$15)*MIN(Mkt!DL5,DK5*(1+Inputs!$B$18))),DK5)))</f>
        <v>1931.82437411612</v>
      </c>
      <c r="DM5" s="11" t="n">
        <f aca="false">IF(DM$1&lt;Units!$P4,0,IF(AND(Units!$K4=0,DM$1=Units!$O4),Units!$R4,IF(AND(DM$1&gt;=Units!$Q4,MOD(DM$1-Units!$Q4,12)=0),IF(AND(Units!$L4=1,DM$1=Units!$Q4),IF(Units!$J4&lt;&gt;"",Units!$J4,Mkt!DM5),Inputs!$B$15*Mkt!DM5+(1-Inputs!$B$15)*MIN(Mkt!DM5,DL5*(1+Inputs!$B$18))),DL5)))</f>
        <v>1931.82437411612</v>
      </c>
      <c r="DN5" s="11" t="n">
        <f aca="false">IF(DN$1&lt;Units!$P4,0,IF(AND(Units!$K4=0,DN$1=Units!$O4),Units!$R4,IF(AND(DN$1&gt;=Units!$Q4,MOD(DN$1-Units!$Q4,12)=0),IF(AND(Units!$L4=1,DN$1=Units!$Q4),IF(Units!$J4&lt;&gt;"",Units!$J4,Mkt!DN5),Inputs!$B$15*Mkt!DN5+(1-Inputs!$B$15)*MIN(Mkt!DN5,DM5*(1+Inputs!$B$18))),DM5)))</f>
        <v>1931.82437411612</v>
      </c>
      <c r="DO5" s="11" t="n">
        <f aca="false">IF(DO$1&lt;Units!$P4,0,IF(AND(Units!$K4=0,DO$1=Units!$O4),Units!$R4,IF(AND(DO$1&gt;=Units!$Q4,MOD(DO$1-Units!$Q4,12)=0),IF(AND(Units!$L4=1,DO$1=Units!$Q4),IF(Units!$J4&lt;&gt;"",Units!$J4,Mkt!DO5),Inputs!$B$15*Mkt!DO5+(1-Inputs!$B$15)*MIN(Mkt!DO5,DN5*(1+Inputs!$B$18))),DN5)))</f>
        <v>1931.82437411612</v>
      </c>
      <c r="DP5" s="11" t="n">
        <f aca="false">IF(DP$1&lt;Units!$P4,0,IF(AND(Units!$K4=0,DP$1=Units!$O4),Units!$R4,IF(AND(DP$1&gt;=Units!$Q4,MOD(DP$1-Units!$Q4,12)=0),IF(AND(Units!$L4=1,DP$1=Units!$Q4),IF(Units!$J4&lt;&gt;"",Units!$J4,Mkt!DP5),Inputs!$B$15*Mkt!DP5+(1-Inputs!$B$15)*MIN(Mkt!DP5,DO5*(1+Inputs!$B$18))),DO5)))</f>
        <v>1931.82437411612</v>
      </c>
      <c r="DQ5" s="11" t="n">
        <f aca="false">IF(DQ$1&lt;Units!$P4,0,IF(AND(Units!$K4=0,DQ$1=Units!$O4),Units!$R4,IF(AND(DQ$1&gt;=Units!$Q4,MOD(DQ$1-Units!$Q4,12)=0),IF(AND(Units!$L4=1,DQ$1=Units!$Q4),IF(Units!$J4&lt;&gt;"",Units!$J4,Mkt!DQ5),Inputs!$B$15*Mkt!DQ5+(1-Inputs!$B$15)*MIN(Mkt!DQ5,DP5*(1+Inputs!$B$18))),DP5)))</f>
        <v>1989.7791053396</v>
      </c>
      <c r="DR5" s="11" t="n">
        <f aca="false">IF(DR$1&lt;Units!$P4,0,IF(AND(Units!$K4=0,DR$1=Units!$O4),Units!$R4,IF(AND(DR$1&gt;=Units!$Q4,MOD(DR$1-Units!$Q4,12)=0),IF(AND(Units!$L4=1,DR$1=Units!$Q4),IF(Units!$J4&lt;&gt;"",Units!$J4,Mkt!DR5),Inputs!$B$15*Mkt!DR5+(1-Inputs!$B$15)*MIN(Mkt!DR5,DQ5*(1+Inputs!$B$18))),DQ5)))</f>
        <v>1989.7791053396</v>
      </c>
      <c r="DS5" s="11" t="n">
        <f aca="false">IF(DS$1&lt;Units!$P4,0,IF(AND(Units!$K4=0,DS$1=Units!$O4),Units!$R4,IF(AND(DS$1&gt;=Units!$Q4,MOD(DS$1-Units!$Q4,12)=0),IF(AND(Units!$L4=1,DS$1=Units!$Q4),IF(Units!$J4&lt;&gt;"",Units!$J4,Mkt!DS5),Inputs!$B$15*Mkt!DS5+(1-Inputs!$B$15)*MIN(Mkt!DS5,DR5*(1+Inputs!$B$18))),DR5)))</f>
        <v>1989.7791053396</v>
      </c>
      <c r="DT5" s="11" t="n">
        <f aca="false">IF(DT$1&lt;Units!$P4,0,IF(AND(Units!$K4=0,DT$1=Units!$O4),Units!$R4,IF(AND(DT$1&gt;=Units!$Q4,MOD(DT$1-Units!$Q4,12)=0),IF(AND(Units!$L4=1,DT$1=Units!$Q4),IF(Units!$J4&lt;&gt;"",Units!$J4,Mkt!DT5),Inputs!$B$15*Mkt!DT5+(1-Inputs!$B$15)*MIN(Mkt!DT5,DS5*(1+Inputs!$B$18))),DS5)))</f>
        <v>1989.7791053396</v>
      </c>
      <c r="DU5" s="11" t="n">
        <f aca="false">IF(DU$1&lt;Units!$P4,0,IF(AND(Units!$K4=0,DU$1=Units!$O4),Units!$R4,IF(AND(DU$1&gt;=Units!$Q4,MOD(DU$1-Units!$Q4,12)=0),IF(AND(Units!$L4=1,DU$1=Units!$Q4),IF(Units!$J4&lt;&gt;"",Units!$J4,Mkt!DU5),Inputs!$B$15*Mkt!DU5+(1-Inputs!$B$15)*MIN(Mkt!DU5,DT5*(1+Inputs!$B$18))),DT5)))</f>
        <v>1989.7791053396</v>
      </c>
      <c r="DV5" s="11" t="n">
        <f aca="false">IF(DV$1&lt;Units!$P4,0,IF(AND(Units!$K4=0,DV$1=Units!$O4),Units!$R4,IF(AND(DV$1&gt;=Units!$Q4,MOD(DV$1-Units!$Q4,12)=0),IF(AND(Units!$L4=1,DV$1=Units!$Q4),IF(Units!$J4&lt;&gt;"",Units!$J4,Mkt!DV5),Inputs!$B$15*Mkt!DV5+(1-Inputs!$B$15)*MIN(Mkt!DV5,DU5*(1+Inputs!$B$18))),DU5)))</f>
        <v>1989.7791053396</v>
      </c>
      <c r="DW5" s="11" t="n">
        <f aca="false">IF(DW$1&lt;Units!$P4,0,IF(AND(Units!$K4=0,DW$1=Units!$O4),Units!$R4,IF(AND(DW$1&gt;=Units!$Q4,MOD(DW$1-Units!$Q4,12)=0),IF(AND(Units!$L4=1,DW$1=Units!$Q4),IF(Units!$J4&lt;&gt;"",Units!$J4,Mkt!DW5),Inputs!$B$15*Mkt!DW5+(1-Inputs!$B$15)*MIN(Mkt!DW5,DV5*(1+Inputs!$B$18))),DV5)))</f>
        <v>1989.7791053396</v>
      </c>
      <c r="DX5" s="11" t="n">
        <f aca="false">IF(DX$1&lt;Units!$P4,0,IF(AND(Units!$K4=0,DX$1=Units!$O4),Units!$R4,IF(AND(DX$1&gt;=Units!$Q4,MOD(DX$1-Units!$Q4,12)=0),IF(AND(Units!$L4=1,DX$1=Units!$Q4),IF(Units!$J4&lt;&gt;"",Units!$J4,Mkt!DX5),Inputs!$B$15*Mkt!DX5+(1-Inputs!$B$15)*MIN(Mkt!DX5,DW5*(1+Inputs!$B$18))),DW5)))</f>
        <v>1989.7791053396</v>
      </c>
      <c r="DY5" s="11" t="n">
        <f aca="false">IF(DY$1&lt;Units!$P4,0,IF(AND(Units!$K4=0,DY$1=Units!$O4),Units!$R4,IF(AND(DY$1&gt;=Units!$Q4,MOD(DY$1-Units!$Q4,12)=0),IF(AND(Units!$L4=1,DY$1=Units!$Q4),IF(Units!$J4&lt;&gt;"",Units!$J4,Mkt!DY5),Inputs!$B$15*Mkt!DY5+(1-Inputs!$B$15)*MIN(Mkt!DY5,DX5*(1+Inputs!$B$18))),DX5)))</f>
        <v>1989.7791053396</v>
      </c>
      <c r="DZ5" s="11" t="n">
        <f aca="false">IF(DZ$1&lt;Units!$P4,0,IF(AND(Units!$K4=0,DZ$1=Units!$O4),Units!$R4,IF(AND(DZ$1&gt;=Units!$Q4,MOD(DZ$1-Units!$Q4,12)=0),IF(AND(Units!$L4=1,DZ$1=Units!$Q4),IF(Units!$J4&lt;&gt;"",Units!$J4,Mkt!DZ5),Inputs!$B$15*Mkt!DZ5+(1-Inputs!$B$15)*MIN(Mkt!DZ5,DY5*(1+Inputs!$B$18))),DY5)))</f>
        <v>1989.7791053396</v>
      </c>
      <c r="EA5" s="11" t="n">
        <f aca="false">IF(EA$1&lt;Units!$P4,0,IF(AND(Units!$K4=0,EA$1=Units!$O4),Units!$R4,IF(AND(EA$1&gt;=Units!$Q4,MOD(EA$1-Units!$Q4,12)=0),IF(AND(Units!$L4=1,EA$1=Units!$Q4),IF(Units!$J4&lt;&gt;"",Units!$J4,Mkt!EA5),Inputs!$B$15*Mkt!EA5+(1-Inputs!$B$15)*MIN(Mkt!EA5,DZ5*(1+Inputs!$B$18))),DZ5)))</f>
        <v>1989.7791053396</v>
      </c>
      <c r="EB5" s="11" t="n">
        <f aca="false">IF(EB$1&lt;Units!$P4,0,IF(AND(Units!$K4=0,EB$1=Units!$O4),Units!$R4,IF(AND(EB$1&gt;=Units!$Q4,MOD(EB$1-Units!$Q4,12)=0),IF(AND(Units!$L4=1,EB$1=Units!$Q4),IF(Units!$J4&lt;&gt;"",Units!$J4,Mkt!EB5),Inputs!$B$15*Mkt!EB5+(1-Inputs!$B$15)*MIN(Mkt!EB5,EA5*(1+Inputs!$B$18))),EA5)))</f>
        <v>1989.7791053396</v>
      </c>
      <c r="EC5" s="11" t="n">
        <f aca="false">IF(EC$1&lt;Units!$P4,0,IF(AND(Units!$K4=0,EC$1=Units!$O4),Units!$R4,IF(AND(EC$1&gt;=Units!$Q4,MOD(EC$1-Units!$Q4,12)=0),IF(AND(Units!$L4=1,EC$1=Units!$Q4),IF(Units!$J4&lt;&gt;"",Units!$J4,Mkt!EC5),Inputs!$B$15*Mkt!EC5+(1-Inputs!$B$15)*MIN(Mkt!EC5,EB5*(1+Inputs!$B$18))),EB5)))</f>
        <v>2049.47247849979</v>
      </c>
      <c r="ED5" s="11" t="n">
        <f aca="false">IF(ED$1&lt;Units!$P4,0,IF(AND(Units!$K4=0,ED$1=Units!$O4),Units!$R4,IF(AND(ED$1&gt;=Units!$Q4,MOD(ED$1-Units!$Q4,12)=0),IF(AND(Units!$L4=1,ED$1=Units!$Q4),IF(Units!$J4&lt;&gt;"",Units!$J4,Mkt!ED5),Inputs!$B$15*Mkt!ED5+(1-Inputs!$B$15)*MIN(Mkt!ED5,EC5*(1+Inputs!$B$18))),EC5)))</f>
        <v>2049.47247849979</v>
      </c>
    </row>
    <row r="6" customFormat="false" ht="15" hidden="false" customHeight="false" outlineLevel="0" collapsed="false">
      <c r="A6" s="22" t="n">
        <f aca="false">Units!A5</f>
        <v>104</v>
      </c>
      <c r="B6" s="24" t="n">
        <f aca="false">IF(Units!K5=1,Units!F5,0)</f>
        <v>0</v>
      </c>
      <c r="C6" s="11" t="n">
        <f aca="false">IF(C$1&lt;Units!$P5,0,IF(AND(Units!$K5=0,C$1=Units!$O5),Units!$R5,IF(AND(C$1&gt;=Units!$Q5,MOD(C$1-Units!$Q5,12)=0),IF(AND(Units!$L5=1,C$1=Units!$Q5),IF(Units!$J5&lt;&gt;"",Units!$J5,Mkt!C6),Inputs!$B$15*Mkt!C6+(1-Inputs!$B$15)*MIN(Mkt!C6,B6*(1+Inputs!$B$18))),B6)))</f>
        <v>1525</v>
      </c>
      <c r="D6" s="11" t="n">
        <f aca="false">IF(D$1&lt;Units!$P5,0,IF(AND(Units!$K5=0,D$1=Units!$O5),Units!$R5,IF(AND(D$1&gt;=Units!$Q5,MOD(D$1-Units!$Q5,12)=0),IF(AND(Units!$L5=1,D$1=Units!$Q5),IF(Units!$J5&lt;&gt;"",Units!$J5,Mkt!D6),Inputs!$B$15*Mkt!D6+(1-Inputs!$B$15)*MIN(Mkt!D6,C6*(1+Inputs!$B$18))),C6)))</f>
        <v>1525</v>
      </c>
      <c r="E6" s="11" t="n">
        <f aca="false">IF(E$1&lt;Units!$P5,0,IF(AND(Units!$K5=0,E$1=Units!$O5),Units!$R5,IF(AND(E$1&gt;=Units!$Q5,MOD(E$1-Units!$Q5,12)=0),IF(AND(Units!$L5=1,E$1=Units!$Q5),IF(Units!$J5&lt;&gt;"",Units!$J5,Mkt!E6),Inputs!$B$15*Mkt!E6+(1-Inputs!$B$15)*MIN(Mkt!E6,D6*(1+Inputs!$B$18))),D6)))</f>
        <v>1525</v>
      </c>
      <c r="F6" s="11" t="n">
        <f aca="false">IF(F$1&lt;Units!$P5,0,IF(AND(Units!$K5=0,F$1=Units!$O5),Units!$R5,IF(AND(F$1&gt;=Units!$Q5,MOD(F$1-Units!$Q5,12)=0),IF(AND(Units!$L5=1,F$1=Units!$Q5),IF(Units!$J5&lt;&gt;"",Units!$J5,Mkt!F6),Inputs!$B$15*Mkt!F6+(1-Inputs!$B$15)*MIN(Mkt!F6,E6*(1+Inputs!$B$18))),E6)))</f>
        <v>1525</v>
      </c>
      <c r="G6" s="11" t="n">
        <f aca="false">IF(G$1&lt;Units!$P5,0,IF(AND(Units!$K5=0,G$1=Units!$O5),Units!$R5,IF(AND(G$1&gt;=Units!$Q5,MOD(G$1-Units!$Q5,12)=0),IF(AND(Units!$L5=1,G$1=Units!$Q5),IF(Units!$J5&lt;&gt;"",Units!$J5,Mkt!G6),Inputs!$B$15*Mkt!G6+(1-Inputs!$B$15)*MIN(Mkt!G6,F6*(1+Inputs!$B$18))),F6)))</f>
        <v>1525</v>
      </c>
      <c r="H6" s="11" t="n">
        <f aca="false">IF(H$1&lt;Units!$P5,0,IF(AND(Units!$K5=0,H$1=Units!$O5),Units!$R5,IF(AND(H$1&gt;=Units!$Q5,MOD(H$1-Units!$Q5,12)=0),IF(AND(Units!$L5=1,H$1=Units!$Q5),IF(Units!$J5&lt;&gt;"",Units!$J5,Mkt!H6),Inputs!$B$15*Mkt!H6+(1-Inputs!$B$15)*MIN(Mkt!H6,G6*(1+Inputs!$B$18))),G6)))</f>
        <v>1525</v>
      </c>
      <c r="I6" s="11" t="n">
        <f aca="false">IF(I$1&lt;Units!$P5,0,IF(AND(Units!$K5=0,I$1=Units!$O5),Units!$R5,IF(AND(I$1&gt;=Units!$Q5,MOD(I$1-Units!$Q5,12)=0),IF(AND(Units!$L5=1,I$1=Units!$Q5),IF(Units!$J5&lt;&gt;"",Units!$J5,Mkt!I6),Inputs!$B$15*Mkt!I6+(1-Inputs!$B$15)*MIN(Mkt!I6,H6*(1+Inputs!$B$18))),H6)))</f>
        <v>1525</v>
      </c>
      <c r="J6" s="11" t="n">
        <f aca="false">IF(J$1&lt;Units!$P5,0,IF(AND(Units!$K5=0,J$1=Units!$O5),Units!$R5,IF(AND(J$1&gt;=Units!$Q5,MOD(J$1-Units!$Q5,12)=0),IF(AND(Units!$L5=1,J$1=Units!$Q5),IF(Units!$J5&lt;&gt;"",Units!$J5,Mkt!J6),Inputs!$B$15*Mkt!J6+(1-Inputs!$B$15)*MIN(Mkt!J6,I6*(1+Inputs!$B$18))),I6)))</f>
        <v>1525</v>
      </c>
      <c r="K6" s="11" t="n">
        <f aca="false">IF(K$1&lt;Units!$P5,0,IF(AND(Units!$K5=0,K$1=Units!$O5),Units!$R5,IF(AND(K$1&gt;=Units!$Q5,MOD(K$1-Units!$Q5,12)=0),IF(AND(Units!$L5=1,K$1=Units!$Q5),IF(Units!$J5&lt;&gt;"",Units!$J5,Mkt!K6),Inputs!$B$15*Mkt!K6+(1-Inputs!$B$15)*MIN(Mkt!K6,J6*(1+Inputs!$B$18))),J6)))</f>
        <v>1525</v>
      </c>
      <c r="L6" s="11" t="n">
        <f aca="false">IF(L$1&lt;Units!$P5,0,IF(AND(Units!$K5=0,L$1=Units!$O5),Units!$R5,IF(AND(L$1&gt;=Units!$Q5,MOD(L$1-Units!$Q5,12)=0),IF(AND(Units!$L5=1,L$1=Units!$Q5),IF(Units!$J5&lt;&gt;"",Units!$J5,Mkt!L6),Inputs!$B$15*Mkt!L6+(1-Inputs!$B$15)*MIN(Mkt!L6,K6*(1+Inputs!$B$18))),K6)))</f>
        <v>1525</v>
      </c>
      <c r="M6" s="11" t="n">
        <f aca="false">IF(M$1&lt;Units!$P5,0,IF(AND(Units!$K5=0,M$1=Units!$O5),Units!$R5,IF(AND(M$1&gt;=Units!$Q5,MOD(M$1-Units!$Q5,12)=0),IF(AND(Units!$L5=1,M$1=Units!$Q5),IF(Units!$J5&lt;&gt;"",Units!$J5,Mkt!M6),Inputs!$B$15*Mkt!M6+(1-Inputs!$B$15)*MIN(Mkt!M6,L6*(1+Inputs!$B$18))),L6)))</f>
        <v>1525</v>
      </c>
      <c r="N6" s="11" t="n">
        <f aca="false">IF(N$1&lt;Units!$P5,0,IF(AND(Units!$K5=0,N$1=Units!$O5),Units!$R5,IF(AND(N$1&gt;=Units!$Q5,MOD(N$1-Units!$Q5,12)=0),IF(AND(Units!$L5=1,N$1=Units!$Q5),IF(Units!$J5&lt;&gt;"",Units!$J5,Mkt!N6),Inputs!$B$15*Mkt!N6+(1-Inputs!$B$15)*MIN(Mkt!N6,M6*(1+Inputs!$B$18))),M6)))</f>
        <v>1525</v>
      </c>
      <c r="O6" s="11" t="n">
        <f aca="false">IF(O$1&lt;Units!$P5,0,IF(AND(Units!$K5=0,O$1=Units!$O5),Units!$R5,IF(AND(O$1&gt;=Units!$Q5,MOD(O$1-Units!$Q5,12)=0),IF(AND(Units!$L5=1,O$1=Units!$Q5),IF(Units!$J5&lt;&gt;"",Units!$J5,Mkt!O6),Inputs!$B$15*Mkt!O6+(1-Inputs!$B$15)*MIN(Mkt!O6,N6*(1+Inputs!$B$18))),N6)))</f>
        <v>1570.75</v>
      </c>
      <c r="P6" s="11" t="n">
        <f aca="false">IF(P$1&lt;Units!$P5,0,IF(AND(Units!$K5=0,P$1=Units!$O5),Units!$R5,IF(AND(P$1&gt;=Units!$Q5,MOD(P$1-Units!$Q5,12)=0),IF(AND(Units!$L5=1,P$1=Units!$Q5),IF(Units!$J5&lt;&gt;"",Units!$J5,Mkt!P6),Inputs!$B$15*Mkt!P6+(1-Inputs!$B$15)*MIN(Mkt!P6,O6*(1+Inputs!$B$18))),O6)))</f>
        <v>1570.75</v>
      </c>
      <c r="Q6" s="11" t="n">
        <f aca="false">IF(Q$1&lt;Units!$P5,0,IF(AND(Units!$K5=0,Q$1=Units!$O5),Units!$R5,IF(AND(Q$1&gt;=Units!$Q5,MOD(Q$1-Units!$Q5,12)=0),IF(AND(Units!$L5=1,Q$1=Units!$Q5),IF(Units!$J5&lt;&gt;"",Units!$J5,Mkt!Q6),Inputs!$B$15*Mkt!Q6+(1-Inputs!$B$15)*MIN(Mkt!Q6,P6*(1+Inputs!$B$18))),P6)))</f>
        <v>1570.75</v>
      </c>
      <c r="R6" s="11" t="n">
        <f aca="false">IF(R$1&lt;Units!$P5,0,IF(AND(Units!$K5=0,R$1=Units!$O5),Units!$R5,IF(AND(R$1&gt;=Units!$Q5,MOD(R$1-Units!$Q5,12)=0),IF(AND(Units!$L5=1,R$1=Units!$Q5),IF(Units!$J5&lt;&gt;"",Units!$J5,Mkt!R6),Inputs!$B$15*Mkt!R6+(1-Inputs!$B$15)*MIN(Mkt!R6,Q6*(1+Inputs!$B$18))),Q6)))</f>
        <v>1570.75</v>
      </c>
      <c r="S6" s="11" t="n">
        <f aca="false">IF(S$1&lt;Units!$P5,0,IF(AND(Units!$K5=0,S$1=Units!$O5),Units!$R5,IF(AND(S$1&gt;=Units!$Q5,MOD(S$1-Units!$Q5,12)=0),IF(AND(Units!$L5=1,S$1=Units!$Q5),IF(Units!$J5&lt;&gt;"",Units!$J5,Mkt!S6),Inputs!$B$15*Mkt!S6+(1-Inputs!$B$15)*MIN(Mkt!S6,R6*(1+Inputs!$B$18))),R6)))</f>
        <v>1570.75</v>
      </c>
      <c r="T6" s="11" t="n">
        <f aca="false">IF(T$1&lt;Units!$P5,0,IF(AND(Units!$K5=0,T$1=Units!$O5),Units!$R5,IF(AND(T$1&gt;=Units!$Q5,MOD(T$1-Units!$Q5,12)=0),IF(AND(Units!$L5=1,T$1=Units!$Q5),IF(Units!$J5&lt;&gt;"",Units!$J5,Mkt!T6),Inputs!$B$15*Mkt!T6+(1-Inputs!$B$15)*MIN(Mkt!T6,S6*(1+Inputs!$B$18))),S6)))</f>
        <v>1570.75</v>
      </c>
      <c r="U6" s="11" t="n">
        <f aca="false">IF(U$1&lt;Units!$P5,0,IF(AND(Units!$K5=0,U$1=Units!$O5),Units!$R5,IF(AND(U$1&gt;=Units!$Q5,MOD(U$1-Units!$Q5,12)=0),IF(AND(Units!$L5=1,U$1=Units!$Q5),IF(Units!$J5&lt;&gt;"",Units!$J5,Mkt!U6),Inputs!$B$15*Mkt!U6+(1-Inputs!$B$15)*MIN(Mkt!U6,T6*(1+Inputs!$B$18))),T6)))</f>
        <v>1570.75</v>
      </c>
      <c r="V6" s="11" t="n">
        <f aca="false">IF(V$1&lt;Units!$P5,0,IF(AND(Units!$K5=0,V$1=Units!$O5),Units!$R5,IF(AND(V$1&gt;=Units!$Q5,MOD(V$1-Units!$Q5,12)=0),IF(AND(Units!$L5=1,V$1=Units!$Q5),IF(Units!$J5&lt;&gt;"",Units!$J5,Mkt!V6),Inputs!$B$15*Mkt!V6+(1-Inputs!$B$15)*MIN(Mkt!V6,U6*(1+Inputs!$B$18))),U6)))</f>
        <v>1570.75</v>
      </c>
      <c r="W6" s="11" t="n">
        <f aca="false">IF(W$1&lt;Units!$P5,0,IF(AND(Units!$K5=0,W$1=Units!$O5),Units!$R5,IF(AND(W$1&gt;=Units!$Q5,MOD(W$1-Units!$Q5,12)=0),IF(AND(Units!$L5=1,W$1=Units!$Q5),IF(Units!$J5&lt;&gt;"",Units!$J5,Mkt!W6),Inputs!$B$15*Mkt!W6+(1-Inputs!$B$15)*MIN(Mkt!W6,V6*(1+Inputs!$B$18))),V6)))</f>
        <v>1570.75</v>
      </c>
      <c r="X6" s="11" t="n">
        <f aca="false">IF(X$1&lt;Units!$P5,0,IF(AND(Units!$K5=0,X$1=Units!$O5),Units!$R5,IF(AND(X$1&gt;=Units!$Q5,MOD(X$1-Units!$Q5,12)=0),IF(AND(Units!$L5=1,X$1=Units!$Q5),IF(Units!$J5&lt;&gt;"",Units!$J5,Mkt!X6),Inputs!$B$15*Mkt!X6+(1-Inputs!$B$15)*MIN(Mkt!X6,W6*(1+Inputs!$B$18))),W6)))</f>
        <v>1570.75</v>
      </c>
      <c r="Y6" s="11" t="n">
        <f aca="false">IF(Y$1&lt;Units!$P5,0,IF(AND(Units!$K5=0,Y$1=Units!$O5),Units!$R5,IF(AND(Y$1&gt;=Units!$Q5,MOD(Y$1-Units!$Q5,12)=0),IF(AND(Units!$L5=1,Y$1=Units!$Q5),IF(Units!$J5&lt;&gt;"",Units!$J5,Mkt!Y6),Inputs!$B$15*Mkt!Y6+(1-Inputs!$B$15)*MIN(Mkt!Y6,X6*(1+Inputs!$B$18))),X6)))</f>
        <v>1570.75</v>
      </c>
      <c r="Z6" s="11" t="n">
        <f aca="false">IF(Z$1&lt;Units!$P5,0,IF(AND(Units!$K5=0,Z$1=Units!$O5),Units!$R5,IF(AND(Z$1&gt;=Units!$Q5,MOD(Z$1-Units!$Q5,12)=0),IF(AND(Units!$L5=1,Z$1=Units!$Q5),IF(Units!$J5&lt;&gt;"",Units!$J5,Mkt!Z6),Inputs!$B$15*Mkt!Z6+(1-Inputs!$B$15)*MIN(Mkt!Z6,Y6*(1+Inputs!$B$18))),Y6)))</f>
        <v>1570.75</v>
      </c>
      <c r="AA6" s="11" t="n">
        <f aca="false">IF(AA$1&lt;Units!$P5,0,IF(AND(Units!$K5=0,AA$1=Units!$O5),Units!$R5,IF(AND(AA$1&gt;=Units!$Q5,MOD(AA$1-Units!$Q5,12)=0),IF(AND(Units!$L5=1,AA$1=Units!$Q5),IF(Units!$J5&lt;&gt;"",Units!$J5,Mkt!AA6),Inputs!$B$15*Mkt!AA6+(1-Inputs!$B$15)*MIN(Mkt!AA6,Z6*(1+Inputs!$B$18))),Z6)))</f>
        <v>1617.8725</v>
      </c>
      <c r="AB6" s="11" t="n">
        <f aca="false">IF(AB$1&lt;Units!$P5,0,IF(AND(Units!$K5=0,AB$1=Units!$O5),Units!$R5,IF(AND(AB$1&gt;=Units!$Q5,MOD(AB$1-Units!$Q5,12)=0),IF(AND(Units!$L5=1,AB$1=Units!$Q5),IF(Units!$J5&lt;&gt;"",Units!$J5,Mkt!AB6),Inputs!$B$15*Mkt!AB6+(1-Inputs!$B$15)*MIN(Mkt!AB6,AA6*(1+Inputs!$B$18))),AA6)))</f>
        <v>1617.8725</v>
      </c>
      <c r="AC6" s="11" t="n">
        <f aca="false">IF(AC$1&lt;Units!$P5,0,IF(AND(Units!$K5=0,AC$1=Units!$O5),Units!$R5,IF(AND(AC$1&gt;=Units!$Q5,MOD(AC$1-Units!$Q5,12)=0),IF(AND(Units!$L5=1,AC$1=Units!$Q5),IF(Units!$J5&lt;&gt;"",Units!$J5,Mkt!AC6),Inputs!$B$15*Mkt!AC6+(1-Inputs!$B$15)*MIN(Mkt!AC6,AB6*(1+Inputs!$B$18))),AB6)))</f>
        <v>1617.8725</v>
      </c>
      <c r="AD6" s="11" t="n">
        <f aca="false">IF(AD$1&lt;Units!$P5,0,IF(AND(Units!$K5=0,AD$1=Units!$O5),Units!$R5,IF(AND(AD$1&gt;=Units!$Q5,MOD(AD$1-Units!$Q5,12)=0),IF(AND(Units!$L5=1,AD$1=Units!$Q5),IF(Units!$J5&lt;&gt;"",Units!$J5,Mkt!AD6),Inputs!$B$15*Mkt!AD6+(1-Inputs!$B$15)*MIN(Mkt!AD6,AC6*(1+Inputs!$B$18))),AC6)))</f>
        <v>1617.8725</v>
      </c>
      <c r="AE6" s="11" t="n">
        <f aca="false">IF(AE$1&lt;Units!$P5,0,IF(AND(Units!$K5=0,AE$1=Units!$O5),Units!$R5,IF(AND(AE$1&gt;=Units!$Q5,MOD(AE$1-Units!$Q5,12)=0),IF(AND(Units!$L5=1,AE$1=Units!$Q5),IF(Units!$J5&lt;&gt;"",Units!$J5,Mkt!AE6),Inputs!$B$15*Mkt!AE6+(1-Inputs!$B$15)*MIN(Mkt!AE6,AD6*(1+Inputs!$B$18))),AD6)))</f>
        <v>1617.8725</v>
      </c>
      <c r="AF6" s="11" t="n">
        <f aca="false">IF(AF$1&lt;Units!$P5,0,IF(AND(Units!$K5=0,AF$1=Units!$O5),Units!$R5,IF(AND(AF$1&gt;=Units!$Q5,MOD(AF$1-Units!$Q5,12)=0),IF(AND(Units!$L5=1,AF$1=Units!$Q5),IF(Units!$J5&lt;&gt;"",Units!$J5,Mkt!AF6),Inputs!$B$15*Mkt!AF6+(1-Inputs!$B$15)*MIN(Mkt!AF6,AE6*(1+Inputs!$B$18))),AE6)))</f>
        <v>1617.8725</v>
      </c>
      <c r="AG6" s="11" t="n">
        <f aca="false">IF(AG$1&lt;Units!$P5,0,IF(AND(Units!$K5=0,AG$1=Units!$O5),Units!$R5,IF(AND(AG$1&gt;=Units!$Q5,MOD(AG$1-Units!$Q5,12)=0),IF(AND(Units!$L5=1,AG$1=Units!$Q5),IF(Units!$J5&lt;&gt;"",Units!$J5,Mkt!AG6),Inputs!$B$15*Mkt!AG6+(1-Inputs!$B$15)*MIN(Mkt!AG6,AF6*(1+Inputs!$B$18))),AF6)))</f>
        <v>1617.8725</v>
      </c>
      <c r="AH6" s="11" t="n">
        <f aca="false">IF(AH$1&lt;Units!$P5,0,IF(AND(Units!$K5=0,AH$1=Units!$O5),Units!$R5,IF(AND(AH$1&gt;=Units!$Q5,MOD(AH$1-Units!$Q5,12)=0),IF(AND(Units!$L5=1,AH$1=Units!$Q5),IF(Units!$J5&lt;&gt;"",Units!$J5,Mkt!AH6),Inputs!$B$15*Mkt!AH6+(1-Inputs!$B$15)*MIN(Mkt!AH6,AG6*(1+Inputs!$B$18))),AG6)))</f>
        <v>1617.8725</v>
      </c>
      <c r="AI6" s="11" t="n">
        <f aca="false">IF(AI$1&lt;Units!$P5,0,IF(AND(Units!$K5=0,AI$1=Units!$O5),Units!$R5,IF(AND(AI$1&gt;=Units!$Q5,MOD(AI$1-Units!$Q5,12)=0),IF(AND(Units!$L5=1,AI$1=Units!$Q5),IF(Units!$J5&lt;&gt;"",Units!$J5,Mkt!AI6),Inputs!$B$15*Mkt!AI6+(1-Inputs!$B$15)*MIN(Mkt!AI6,AH6*(1+Inputs!$B$18))),AH6)))</f>
        <v>1617.8725</v>
      </c>
      <c r="AJ6" s="11" t="n">
        <f aca="false">IF(AJ$1&lt;Units!$P5,0,IF(AND(Units!$K5=0,AJ$1=Units!$O5),Units!$R5,IF(AND(AJ$1&gt;=Units!$Q5,MOD(AJ$1-Units!$Q5,12)=0),IF(AND(Units!$L5=1,AJ$1=Units!$Q5),IF(Units!$J5&lt;&gt;"",Units!$J5,Mkt!AJ6),Inputs!$B$15*Mkt!AJ6+(1-Inputs!$B$15)*MIN(Mkt!AJ6,AI6*(1+Inputs!$B$18))),AI6)))</f>
        <v>1617.8725</v>
      </c>
      <c r="AK6" s="11" t="n">
        <f aca="false">IF(AK$1&lt;Units!$P5,0,IF(AND(Units!$K5=0,AK$1=Units!$O5),Units!$R5,IF(AND(AK$1&gt;=Units!$Q5,MOD(AK$1-Units!$Q5,12)=0),IF(AND(Units!$L5=1,AK$1=Units!$Q5),IF(Units!$J5&lt;&gt;"",Units!$J5,Mkt!AK6),Inputs!$B$15*Mkt!AK6+(1-Inputs!$B$15)*MIN(Mkt!AK6,AJ6*(1+Inputs!$B$18))),AJ6)))</f>
        <v>1617.8725</v>
      </c>
      <c r="AL6" s="11" t="n">
        <f aca="false">IF(AL$1&lt;Units!$P5,0,IF(AND(Units!$K5=0,AL$1=Units!$O5),Units!$R5,IF(AND(AL$1&gt;=Units!$Q5,MOD(AL$1-Units!$Q5,12)=0),IF(AND(Units!$L5=1,AL$1=Units!$Q5),IF(Units!$J5&lt;&gt;"",Units!$J5,Mkt!AL6),Inputs!$B$15*Mkt!AL6+(1-Inputs!$B$15)*MIN(Mkt!AL6,AK6*(1+Inputs!$B$18))),AK6)))</f>
        <v>1617.8725</v>
      </c>
      <c r="AM6" s="11" t="n">
        <f aca="false">IF(AM$1&lt;Units!$P5,0,IF(AND(Units!$K5=0,AM$1=Units!$O5),Units!$R5,IF(AND(AM$1&gt;=Units!$Q5,MOD(AM$1-Units!$Q5,12)=0),IF(AND(Units!$L5=1,AM$1=Units!$Q5),IF(Units!$J5&lt;&gt;"",Units!$J5,Mkt!AM6),Inputs!$B$15*Mkt!AM6+(1-Inputs!$B$15)*MIN(Mkt!AM6,AL6*(1+Inputs!$B$18))),AL6)))</f>
        <v>1666.408675</v>
      </c>
      <c r="AN6" s="11" t="n">
        <f aca="false">IF(AN$1&lt;Units!$P5,0,IF(AND(Units!$K5=0,AN$1=Units!$O5),Units!$R5,IF(AND(AN$1&gt;=Units!$Q5,MOD(AN$1-Units!$Q5,12)=0),IF(AND(Units!$L5=1,AN$1=Units!$Q5),IF(Units!$J5&lt;&gt;"",Units!$J5,Mkt!AN6),Inputs!$B$15*Mkt!AN6+(1-Inputs!$B$15)*MIN(Mkt!AN6,AM6*(1+Inputs!$B$18))),AM6)))</f>
        <v>1666.408675</v>
      </c>
      <c r="AO6" s="11" t="n">
        <f aca="false">IF(AO$1&lt;Units!$P5,0,IF(AND(Units!$K5=0,AO$1=Units!$O5),Units!$R5,IF(AND(AO$1&gt;=Units!$Q5,MOD(AO$1-Units!$Q5,12)=0),IF(AND(Units!$L5=1,AO$1=Units!$Q5),IF(Units!$J5&lt;&gt;"",Units!$J5,Mkt!AO6),Inputs!$B$15*Mkt!AO6+(1-Inputs!$B$15)*MIN(Mkt!AO6,AN6*(1+Inputs!$B$18))),AN6)))</f>
        <v>1666.408675</v>
      </c>
      <c r="AP6" s="11" t="n">
        <f aca="false">IF(AP$1&lt;Units!$P5,0,IF(AND(Units!$K5=0,AP$1=Units!$O5),Units!$R5,IF(AND(AP$1&gt;=Units!$Q5,MOD(AP$1-Units!$Q5,12)=0),IF(AND(Units!$L5=1,AP$1=Units!$Q5),IF(Units!$J5&lt;&gt;"",Units!$J5,Mkt!AP6),Inputs!$B$15*Mkt!AP6+(1-Inputs!$B$15)*MIN(Mkt!AP6,AO6*(1+Inputs!$B$18))),AO6)))</f>
        <v>1666.408675</v>
      </c>
      <c r="AQ6" s="11" t="n">
        <f aca="false">IF(AQ$1&lt;Units!$P5,0,IF(AND(Units!$K5=0,AQ$1=Units!$O5),Units!$R5,IF(AND(AQ$1&gt;=Units!$Q5,MOD(AQ$1-Units!$Q5,12)=0),IF(AND(Units!$L5=1,AQ$1=Units!$Q5),IF(Units!$J5&lt;&gt;"",Units!$J5,Mkt!AQ6),Inputs!$B$15*Mkt!AQ6+(1-Inputs!$B$15)*MIN(Mkt!AQ6,AP6*(1+Inputs!$B$18))),AP6)))</f>
        <v>1666.408675</v>
      </c>
      <c r="AR6" s="11" t="n">
        <f aca="false">IF(AR$1&lt;Units!$P5,0,IF(AND(Units!$K5=0,AR$1=Units!$O5),Units!$R5,IF(AND(AR$1&gt;=Units!$Q5,MOD(AR$1-Units!$Q5,12)=0),IF(AND(Units!$L5=1,AR$1=Units!$Q5),IF(Units!$J5&lt;&gt;"",Units!$J5,Mkt!AR6),Inputs!$B$15*Mkt!AR6+(1-Inputs!$B$15)*MIN(Mkt!AR6,AQ6*(1+Inputs!$B$18))),AQ6)))</f>
        <v>1666.408675</v>
      </c>
      <c r="AS6" s="11" t="n">
        <f aca="false">IF(AS$1&lt;Units!$P5,0,IF(AND(Units!$K5=0,AS$1=Units!$O5),Units!$R5,IF(AND(AS$1&gt;=Units!$Q5,MOD(AS$1-Units!$Q5,12)=0),IF(AND(Units!$L5=1,AS$1=Units!$Q5),IF(Units!$J5&lt;&gt;"",Units!$J5,Mkt!AS6),Inputs!$B$15*Mkt!AS6+(1-Inputs!$B$15)*MIN(Mkt!AS6,AR6*(1+Inputs!$B$18))),AR6)))</f>
        <v>1666.408675</v>
      </c>
      <c r="AT6" s="11" t="n">
        <f aca="false">IF(AT$1&lt;Units!$P5,0,IF(AND(Units!$K5=0,AT$1=Units!$O5),Units!$R5,IF(AND(AT$1&gt;=Units!$Q5,MOD(AT$1-Units!$Q5,12)=0),IF(AND(Units!$L5=1,AT$1=Units!$Q5),IF(Units!$J5&lt;&gt;"",Units!$J5,Mkt!AT6),Inputs!$B$15*Mkt!AT6+(1-Inputs!$B$15)*MIN(Mkt!AT6,AS6*(1+Inputs!$B$18))),AS6)))</f>
        <v>1666.408675</v>
      </c>
      <c r="AU6" s="11" t="n">
        <f aca="false">IF(AU$1&lt;Units!$P5,0,IF(AND(Units!$K5=0,AU$1=Units!$O5),Units!$R5,IF(AND(AU$1&gt;=Units!$Q5,MOD(AU$1-Units!$Q5,12)=0),IF(AND(Units!$L5=1,AU$1=Units!$Q5),IF(Units!$J5&lt;&gt;"",Units!$J5,Mkt!AU6),Inputs!$B$15*Mkt!AU6+(1-Inputs!$B$15)*MIN(Mkt!AU6,AT6*(1+Inputs!$B$18))),AT6)))</f>
        <v>1666.408675</v>
      </c>
      <c r="AV6" s="11" t="n">
        <f aca="false">IF(AV$1&lt;Units!$P5,0,IF(AND(Units!$K5=0,AV$1=Units!$O5),Units!$R5,IF(AND(AV$1&gt;=Units!$Q5,MOD(AV$1-Units!$Q5,12)=0),IF(AND(Units!$L5=1,AV$1=Units!$Q5),IF(Units!$J5&lt;&gt;"",Units!$J5,Mkt!AV6),Inputs!$B$15*Mkt!AV6+(1-Inputs!$B$15)*MIN(Mkt!AV6,AU6*(1+Inputs!$B$18))),AU6)))</f>
        <v>1666.408675</v>
      </c>
      <c r="AW6" s="11" t="n">
        <f aca="false">IF(AW$1&lt;Units!$P5,0,IF(AND(Units!$K5=0,AW$1=Units!$O5),Units!$R5,IF(AND(AW$1&gt;=Units!$Q5,MOD(AW$1-Units!$Q5,12)=0),IF(AND(Units!$L5=1,AW$1=Units!$Q5),IF(Units!$J5&lt;&gt;"",Units!$J5,Mkt!AW6),Inputs!$B$15*Mkt!AW6+(1-Inputs!$B$15)*MIN(Mkt!AW6,AV6*(1+Inputs!$B$18))),AV6)))</f>
        <v>1666.408675</v>
      </c>
      <c r="AX6" s="11" t="n">
        <f aca="false">IF(AX$1&lt;Units!$P5,0,IF(AND(Units!$K5=0,AX$1=Units!$O5),Units!$R5,IF(AND(AX$1&gt;=Units!$Q5,MOD(AX$1-Units!$Q5,12)=0),IF(AND(Units!$L5=1,AX$1=Units!$Q5),IF(Units!$J5&lt;&gt;"",Units!$J5,Mkt!AX6),Inputs!$B$15*Mkt!AX6+(1-Inputs!$B$15)*MIN(Mkt!AX6,AW6*(1+Inputs!$B$18))),AW6)))</f>
        <v>1666.408675</v>
      </c>
      <c r="AY6" s="11" t="n">
        <f aca="false">IF(AY$1&lt;Units!$P5,0,IF(AND(Units!$K5=0,AY$1=Units!$O5),Units!$R5,IF(AND(AY$1&gt;=Units!$Q5,MOD(AY$1-Units!$Q5,12)=0),IF(AND(Units!$L5=1,AY$1=Units!$Q5),IF(Units!$J5&lt;&gt;"",Units!$J5,Mkt!AY6),Inputs!$B$15*Mkt!AY6+(1-Inputs!$B$15)*MIN(Mkt!AY6,AX6*(1+Inputs!$B$18))),AX6)))</f>
        <v>1716.40093525</v>
      </c>
      <c r="AZ6" s="11" t="n">
        <f aca="false">IF(AZ$1&lt;Units!$P5,0,IF(AND(Units!$K5=0,AZ$1=Units!$O5),Units!$R5,IF(AND(AZ$1&gt;=Units!$Q5,MOD(AZ$1-Units!$Q5,12)=0),IF(AND(Units!$L5=1,AZ$1=Units!$Q5),IF(Units!$J5&lt;&gt;"",Units!$J5,Mkt!AZ6),Inputs!$B$15*Mkt!AZ6+(1-Inputs!$B$15)*MIN(Mkt!AZ6,AY6*(1+Inputs!$B$18))),AY6)))</f>
        <v>1716.40093525</v>
      </c>
      <c r="BA6" s="11" t="n">
        <f aca="false">IF(BA$1&lt;Units!$P5,0,IF(AND(Units!$K5=0,BA$1=Units!$O5),Units!$R5,IF(AND(BA$1&gt;=Units!$Q5,MOD(BA$1-Units!$Q5,12)=0),IF(AND(Units!$L5=1,BA$1=Units!$Q5),IF(Units!$J5&lt;&gt;"",Units!$J5,Mkt!BA6),Inputs!$B$15*Mkt!BA6+(1-Inputs!$B$15)*MIN(Mkt!BA6,AZ6*(1+Inputs!$B$18))),AZ6)))</f>
        <v>1716.40093525</v>
      </c>
      <c r="BB6" s="11" t="n">
        <f aca="false">IF(BB$1&lt;Units!$P5,0,IF(AND(Units!$K5=0,BB$1=Units!$O5),Units!$R5,IF(AND(BB$1&gt;=Units!$Q5,MOD(BB$1-Units!$Q5,12)=0),IF(AND(Units!$L5=1,BB$1=Units!$Q5),IF(Units!$J5&lt;&gt;"",Units!$J5,Mkt!BB6),Inputs!$B$15*Mkt!BB6+(1-Inputs!$B$15)*MIN(Mkt!BB6,BA6*(1+Inputs!$B$18))),BA6)))</f>
        <v>1716.40093525</v>
      </c>
      <c r="BC6" s="11" t="n">
        <f aca="false">IF(BC$1&lt;Units!$P5,0,IF(AND(Units!$K5=0,BC$1=Units!$O5),Units!$R5,IF(AND(BC$1&gt;=Units!$Q5,MOD(BC$1-Units!$Q5,12)=0),IF(AND(Units!$L5=1,BC$1=Units!$Q5),IF(Units!$J5&lt;&gt;"",Units!$J5,Mkt!BC6),Inputs!$B$15*Mkt!BC6+(1-Inputs!$B$15)*MIN(Mkt!BC6,BB6*(1+Inputs!$B$18))),BB6)))</f>
        <v>1716.40093525</v>
      </c>
      <c r="BD6" s="11" t="n">
        <f aca="false">IF(BD$1&lt;Units!$P5,0,IF(AND(Units!$K5=0,BD$1=Units!$O5),Units!$R5,IF(AND(BD$1&gt;=Units!$Q5,MOD(BD$1-Units!$Q5,12)=0),IF(AND(Units!$L5=1,BD$1=Units!$Q5),IF(Units!$J5&lt;&gt;"",Units!$J5,Mkt!BD6),Inputs!$B$15*Mkt!BD6+(1-Inputs!$B$15)*MIN(Mkt!BD6,BC6*(1+Inputs!$B$18))),BC6)))</f>
        <v>1716.40093525</v>
      </c>
      <c r="BE6" s="11" t="n">
        <f aca="false">IF(BE$1&lt;Units!$P5,0,IF(AND(Units!$K5=0,BE$1=Units!$O5),Units!$R5,IF(AND(BE$1&gt;=Units!$Q5,MOD(BE$1-Units!$Q5,12)=0),IF(AND(Units!$L5=1,BE$1=Units!$Q5),IF(Units!$J5&lt;&gt;"",Units!$J5,Mkt!BE6),Inputs!$B$15*Mkt!BE6+(1-Inputs!$B$15)*MIN(Mkt!BE6,BD6*(1+Inputs!$B$18))),BD6)))</f>
        <v>1716.40093525</v>
      </c>
      <c r="BF6" s="11" t="n">
        <f aca="false">IF(BF$1&lt;Units!$P5,0,IF(AND(Units!$K5=0,BF$1=Units!$O5),Units!$R5,IF(AND(BF$1&gt;=Units!$Q5,MOD(BF$1-Units!$Q5,12)=0),IF(AND(Units!$L5=1,BF$1=Units!$Q5),IF(Units!$J5&lt;&gt;"",Units!$J5,Mkt!BF6),Inputs!$B$15*Mkt!BF6+(1-Inputs!$B$15)*MIN(Mkt!BF6,BE6*(1+Inputs!$B$18))),BE6)))</f>
        <v>1716.40093525</v>
      </c>
      <c r="BG6" s="11" t="n">
        <f aca="false">IF(BG$1&lt;Units!$P5,0,IF(AND(Units!$K5=0,BG$1=Units!$O5),Units!$R5,IF(AND(BG$1&gt;=Units!$Q5,MOD(BG$1-Units!$Q5,12)=0),IF(AND(Units!$L5=1,BG$1=Units!$Q5),IF(Units!$J5&lt;&gt;"",Units!$J5,Mkt!BG6),Inputs!$B$15*Mkt!BG6+(1-Inputs!$B$15)*MIN(Mkt!BG6,BF6*(1+Inputs!$B$18))),BF6)))</f>
        <v>1716.40093525</v>
      </c>
      <c r="BH6" s="11" t="n">
        <f aca="false">IF(BH$1&lt;Units!$P5,0,IF(AND(Units!$K5=0,BH$1=Units!$O5),Units!$R5,IF(AND(BH$1&gt;=Units!$Q5,MOD(BH$1-Units!$Q5,12)=0),IF(AND(Units!$L5=1,BH$1=Units!$Q5),IF(Units!$J5&lt;&gt;"",Units!$J5,Mkt!BH6),Inputs!$B$15*Mkt!BH6+(1-Inputs!$B$15)*MIN(Mkt!BH6,BG6*(1+Inputs!$B$18))),BG6)))</f>
        <v>1716.40093525</v>
      </c>
      <c r="BI6" s="11" t="n">
        <f aca="false">IF(BI$1&lt;Units!$P5,0,IF(AND(Units!$K5=0,BI$1=Units!$O5),Units!$R5,IF(AND(BI$1&gt;=Units!$Q5,MOD(BI$1-Units!$Q5,12)=0),IF(AND(Units!$L5=1,BI$1=Units!$Q5),IF(Units!$J5&lt;&gt;"",Units!$J5,Mkt!BI6),Inputs!$B$15*Mkt!BI6+(1-Inputs!$B$15)*MIN(Mkt!BI6,BH6*(1+Inputs!$B$18))),BH6)))</f>
        <v>1716.40093525</v>
      </c>
      <c r="BJ6" s="11" t="n">
        <f aca="false">IF(BJ$1&lt;Units!$P5,0,IF(AND(Units!$K5=0,BJ$1=Units!$O5),Units!$R5,IF(AND(BJ$1&gt;=Units!$Q5,MOD(BJ$1-Units!$Q5,12)=0),IF(AND(Units!$L5=1,BJ$1=Units!$Q5),IF(Units!$J5&lt;&gt;"",Units!$J5,Mkt!BJ6),Inputs!$B$15*Mkt!BJ6+(1-Inputs!$B$15)*MIN(Mkt!BJ6,BI6*(1+Inputs!$B$18))),BI6)))</f>
        <v>1716.40093525</v>
      </c>
      <c r="BK6" s="11" t="n">
        <f aca="false">IF(BK$1&lt;Units!$P5,0,IF(AND(Units!$K5=0,BK$1=Units!$O5),Units!$R5,IF(AND(BK$1&gt;=Units!$Q5,MOD(BK$1-Units!$Q5,12)=0),IF(AND(Units!$L5=1,BK$1=Units!$Q5),IF(Units!$J5&lt;&gt;"",Units!$J5,Mkt!BK6),Inputs!$B$15*Mkt!BK6+(1-Inputs!$B$15)*MIN(Mkt!BK6,BJ6*(1+Inputs!$B$18))),BJ6)))</f>
        <v>1767.8929633075</v>
      </c>
      <c r="BL6" s="11" t="n">
        <f aca="false">IF(BL$1&lt;Units!$P5,0,IF(AND(Units!$K5=0,BL$1=Units!$O5),Units!$R5,IF(AND(BL$1&gt;=Units!$Q5,MOD(BL$1-Units!$Q5,12)=0),IF(AND(Units!$L5=1,BL$1=Units!$Q5),IF(Units!$J5&lt;&gt;"",Units!$J5,Mkt!BL6),Inputs!$B$15*Mkt!BL6+(1-Inputs!$B$15)*MIN(Mkt!BL6,BK6*(1+Inputs!$B$18))),BK6)))</f>
        <v>1767.8929633075</v>
      </c>
      <c r="BM6" s="11" t="n">
        <f aca="false">IF(BM$1&lt;Units!$P5,0,IF(AND(Units!$K5=0,BM$1=Units!$O5),Units!$R5,IF(AND(BM$1&gt;=Units!$Q5,MOD(BM$1-Units!$Q5,12)=0),IF(AND(Units!$L5=1,BM$1=Units!$Q5),IF(Units!$J5&lt;&gt;"",Units!$J5,Mkt!BM6),Inputs!$B$15*Mkt!BM6+(1-Inputs!$B$15)*MIN(Mkt!BM6,BL6*(1+Inputs!$B$18))),BL6)))</f>
        <v>1767.8929633075</v>
      </c>
      <c r="BN6" s="11" t="n">
        <f aca="false">IF(BN$1&lt;Units!$P5,0,IF(AND(Units!$K5=0,BN$1=Units!$O5),Units!$R5,IF(AND(BN$1&gt;=Units!$Q5,MOD(BN$1-Units!$Q5,12)=0),IF(AND(Units!$L5=1,BN$1=Units!$Q5),IF(Units!$J5&lt;&gt;"",Units!$J5,Mkt!BN6),Inputs!$B$15*Mkt!BN6+(1-Inputs!$B$15)*MIN(Mkt!BN6,BM6*(1+Inputs!$B$18))),BM6)))</f>
        <v>1767.8929633075</v>
      </c>
      <c r="BO6" s="11" t="n">
        <f aca="false">IF(BO$1&lt;Units!$P5,0,IF(AND(Units!$K5=0,BO$1=Units!$O5),Units!$R5,IF(AND(BO$1&gt;=Units!$Q5,MOD(BO$1-Units!$Q5,12)=0),IF(AND(Units!$L5=1,BO$1=Units!$Q5),IF(Units!$J5&lt;&gt;"",Units!$J5,Mkt!BO6),Inputs!$B$15*Mkt!BO6+(1-Inputs!$B$15)*MIN(Mkt!BO6,BN6*(1+Inputs!$B$18))),BN6)))</f>
        <v>1767.8929633075</v>
      </c>
      <c r="BP6" s="11" t="n">
        <f aca="false">IF(BP$1&lt;Units!$P5,0,IF(AND(Units!$K5=0,BP$1=Units!$O5),Units!$R5,IF(AND(BP$1&gt;=Units!$Q5,MOD(BP$1-Units!$Q5,12)=0),IF(AND(Units!$L5=1,BP$1=Units!$Q5),IF(Units!$J5&lt;&gt;"",Units!$J5,Mkt!BP6),Inputs!$B$15*Mkt!BP6+(1-Inputs!$B$15)*MIN(Mkt!BP6,BO6*(1+Inputs!$B$18))),BO6)))</f>
        <v>1767.8929633075</v>
      </c>
      <c r="BQ6" s="11" t="n">
        <f aca="false">IF(BQ$1&lt;Units!$P5,0,IF(AND(Units!$K5=0,BQ$1=Units!$O5),Units!$R5,IF(AND(BQ$1&gt;=Units!$Q5,MOD(BQ$1-Units!$Q5,12)=0),IF(AND(Units!$L5=1,BQ$1=Units!$Q5),IF(Units!$J5&lt;&gt;"",Units!$J5,Mkt!BQ6),Inputs!$B$15*Mkt!BQ6+(1-Inputs!$B$15)*MIN(Mkt!BQ6,BP6*(1+Inputs!$B$18))),BP6)))</f>
        <v>1767.8929633075</v>
      </c>
      <c r="BR6" s="11" t="n">
        <f aca="false">IF(BR$1&lt;Units!$P5,0,IF(AND(Units!$K5=0,BR$1=Units!$O5),Units!$R5,IF(AND(BR$1&gt;=Units!$Q5,MOD(BR$1-Units!$Q5,12)=0),IF(AND(Units!$L5=1,BR$1=Units!$Q5),IF(Units!$J5&lt;&gt;"",Units!$J5,Mkt!BR6),Inputs!$B$15*Mkt!BR6+(1-Inputs!$B$15)*MIN(Mkt!BR6,BQ6*(1+Inputs!$B$18))),BQ6)))</f>
        <v>1767.8929633075</v>
      </c>
      <c r="BS6" s="11" t="n">
        <f aca="false">IF(BS$1&lt;Units!$P5,0,IF(AND(Units!$K5=0,BS$1=Units!$O5),Units!$R5,IF(AND(BS$1&gt;=Units!$Q5,MOD(BS$1-Units!$Q5,12)=0),IF(AND(Units!$L5=1,BS$1=Units!$Q5),IF(Units!$J5&lt;&gt;"",Units!$J5,Mkt!BS6),Inputs!$B$15*Mkt!BS6+(1-Inputs!$B$15)*MIN(Mkt!BS6,BR6*(1+Inputs!$B$18))),BR6)))</f>
        <v>1767.8929633075</v>
      </c>
      <c r="BT6" s="11" t="n">
        <f aca="false">IF(BT$1&lt;Units!$P5,0,IF(AND(Units!$K5=0,BT$1=Units!$O5),Units!$R5,IF(AND(BT$1&gt;=Units!$Q5,MOD(BT$1-Units!$Q5,12)=0),IF(AND(Units!$L5=1,BT$1=Units!$Q5),IF(Units!$J5&lt;&gt;"",Units!$J5,Mkt!BT6),Inputs!$B$15*Mkt!BT6+(1-Inputs!$B$15)*MIN(Mkt!BT6,BS6*(1+Inputs!$B$18))),BS6)))</f>
        <v>1767.8929633075</v>
      </c>
      <c r="BU6" s="11" t="n">
        <f aca="false">IF(BU$1&lt;Units!$P5,0,IF(AND(Units!$K5=0,BU$1=Units!$O5),Units!$R5,IF(AND(BU$1&gt;=Units!$Q5,MOD(BU$1-Units!$Q5,12)=0),IF(AND(Units!$L5=1,BU$1=Units!$Q5),IF(Units!$J5&lt;&gt;"",Units!$J5,Mkt!BU6),Inputs!$B$15*Mkt!BU6+(1-Inputs!$B$15)*MIN(Mkt!BU6,BT6*(1+Inputs!$B$18))),BT6)))</f>
        <v>1767.8929633075</v>
      </c>
      <c r="BV6" s="11" t="n">
        <f aca="false">IF(BV$1&lt;Units!$P5,0,IF(AND(Units!$K5=0,BV$1=Units!$O5),Units!$R5,IF(AND(BV$1&gt;=Units!$Q5,MOD(BV$1-Units!$Q5,12)=0),IF(AND(Units!$L5=1,BV$1=Units!$Q5),IF(Units!$J5&lt;&gt;"",Units!$J5,Mkt!BV6),Inputs!$B$15*Mkt!BV6+(1-Inputs!$B$15)*MIN(Mkt!BV6,BU6*(1+Inputs!$B$18))),BU6)))</f>
        <v>1767.8929633075</v>
      </c>
      <c r="BW6" s="11" t="n">
        <f aca="false">IF(BW$1&lt;Units!$P5,0,IF(AND(Units!$K5=0,BW$1=Units!$O5),Units!$R5,IF(AND(BW$1&gt;=Units!$Q5,MOD(BW$1-Units!$Q5,12)=0),IF(AND(Units!$L5=1,BW$1=Units!$Q5),IF(Units!$J5&lt;&gt;"",Units!$J5,Mkt!BW6),Inputs!$B$15*Mkt!BW6+(1-Inputs!$B$15)*MIN(Mkt!BW6,BV6*(1+Inputs!$B$18))),BV6)))</f>
        <v>1820.92975220673</v>
      </c>
      <c r="BX6" s="11" t="n">
        <f aca="false">IF(BX$1&lt;Units!$P5,0,IF(AND(Units!$K5=0,BX$1=Units!$O5),Units!$R5,IF(AND(BX$1&gt;=Units!$Q5,MOD(BX$1-Units!$Q5,12)=0),IF(AND(Units!$L5=1,BX$1=Units!$Q5),IF(Units!$J5&lt;&gt;"",Units!$J5,Mkt!BX6),Inputs!$B$15*Mkt!BX6+(1-Inputs!$B$15)*MIN(Mkt!BX6,BW6*(1+Inputs!$B$18))),BW6)))</f>
        <v>1820.92975220673</v>
      </c>
      <c r="BY6" s="11" t="n">
        <f aca="false">IF(BY$1&lt;Units!$P5,0,IF(AND(Units!$K5=0,BY$1=Units!$O5),Units!$R5,IF(AND(BY$1&gt;=Units!$Q5,MOD(BY$1-Units!$Q5,12)=0),IF(AND(Units!$L5=1,BY$1=Units!$Q5),IF(Units!$J5&lt;&gt;"",Units!$J5,Mkt!BY6),Inputs!$B$15*Mkt!BY6+(1-Inputs!$B$15)*MIN(Mkt!BY6,BX6*(1+Inputs!$B$18))),BX6)))</f>
        <v>1820.92975220673</v>
      </c>
      <c r="BZ6" s="11" t="n">
        <f aca="false">IF(BZ$1&lt;Units!$P5,0,IF(AND(Units!$K5=0,BZ$1=Units!$O5),Units!$R5,IF(AND(BZ$1&gt;=Units!$Q5,MOD(BZ$1-Units!$Q5,12)=0),IF(AND(Units!$L5=1,BZ$1=Units!$Q5),IF(Units!$J5&lt;&gt;"",Units!$J5,Mkt!BZ6),Inputs!$B$15*Mkt!BZ6+(1-Inputs!$B$15)*MIN(Mkt!BZ6,BY6*(1+Inputs!$B$18))),BY6)))</f>
        <v>1820.92975220673</v>
      </c>
      <c r="CA6" s="11" t="n">
        <f aca="false">IF(CA$1&lt;Units!$P5,0,IF(AND(Units!$K5=0,CA$1=Units!$O5),Units!$R5,IF(AND(CA$1&gt;=Units!$Q5,MOD(CA$1-Units!$Q5,12)=0),IF(AND(Units!$L5=1,CA$1=Units!$Q5),IF(Units!$J5&lt;&gt;"",Units!$J5,Mkt!CA6),Inputs!$B$15*Mkt!CA6+(1-Inputs!$B$15)*MIN(Mkt!CA6,BZ6*(1+Inputs!$B$18))),BZ6)))</f>
        <v>1820.92975220673</v>
      </c>
      <c r="CB6" s="11" t="n">
        <f aca="false">IF(CB$1&lt;Units!$P5,0,IF(AND(Units!$K5=0,CB$1=Units!$O5),Units!$R5,IF(AND(CB$1&gt;=Units!$Q5,MOD(CB$1-Units!$Q5,12)=0),IF(AND(Units!$L5=1,CB$1=Units!$Q5),IF(Units!$J5&lt;&gt;"",Units!$J5,Mkt!CB6),Inputs!$B$15*Mkt!CB6+(1-Inputs!$B$15)*MIN(Mkt!CB6,CA6*(1+Inputs!$B$18))),CA6)))</f>
        <v>1820.92975220673</v>
      </c>
      <c r="CC6" s="11" t="n">
        <f aca="false">IF(CC$1&lt;Units!$P5,0,IF(AND(Units!$K5=0,CC$1=Units!$O5),Units!$R5,IF(AND(CC$1&gt;=Units!$Q5,MOD(CC$1-Units!$Q5,12)=0),IF(AND(Units!$L5=1,CC$1=Units!$Q5),IF(Units!$J5&lt;&gt;"",Units!$J5,Mkt!CC6),Inputs!$B$15*Mkt!CC6+(1-Inputs!$B$15)*MIN(Mkt!CC6,CB6*(1+Inputs!$B$18))),CB6)))</f>
        <v>1820.92975220673</v>
      </c>
      <c r="CD6" s="11" t="n">
        <f aca="false">IF(CD$1&lt;Units!$P5,0,IF(AND(Units!$K5=0,CD$1=Units!$O5),Units!$R5,IF(AND(CD$1&gt;=Units!$Q5,MOD(CD$1-Units!$Q5,12)=0),IF(AND(Units!$L5=1,CD$1=Units!$Q5),IF(Units!$J5&lt;&gt;"",Units!$J5,Mkt!CD6),Inputs!$B$15*Mkt!CD6+(1-Inputs!$B$15)*MIN(Mkt!CD6,CC6*(1+Inputs!$B$18))),CC6)))</f>
        <v>1820.92975220673</v>
      </c>
      <c r="CE6" s="11" t="n">
        <f aca="false">IF(CE$1&lt;Units!$P5,0,IF(AND(Units!$K5=0,CE$1=Units!$O5),Units!$R5,IF(AND(CE$1&gt;=Units!$Q5,MOD(CE$1-Units!$Q5,12)=0),IF(AND(Units!$L5=1,CE$1=Units!$Q5),IF(Units!$J5&lt;&gt;"",Units!$J5,Mkt!CE6),Inputs!$B$15*Mkt!CE6+(1-Inputs!$B$15)*MIN(Mkt!CE6,CD6*(1+Inputs!$B$18))),CD6)))</f>
        <v>1820.92975220673</v>
      </c>
      <c r="CF6" s="11" t="n">
        <f aca="false">IF(CF$1&lt;Units!$P5,0,IF(AND(Units!$K5=0,CF$1=Units!$O5),Units!$R5,IF(AND(CF$1&gt;=Units!$Q5,MOD(CF$1-Units!$Q5,12)=0),IF(AND(Units!$L5=1,CF$1=Units!$Q5),IF(Units!$J5&lt;&gt;"",Units!$J5,Mkt!CF6),Inputs!$B$15*Mkt!CF6+(1-Inputs!$B$15)*MIN(Mkt!CF6,CE6*(1+Inputs!$B$18))),CE6)))</f>
        <v>1820.92975220673</v>
      </c>
      <c r="CG6" s="11" t="n">
        <f aca="false">IF(CG$1&lt;Units!$P5,0,IF(AND(Units!$K5=0,CG$1=Units!$O5),Units!$R5,IF(AND(CG$1&gt;=Units!$Q5,MOD(CG$1-Units!$Q5,12)=0),IF(AND(Units!$L5=1,CG$1=Units!$Q5),IF(Units!$J5&lt;&gt;"",Units!$J5,Mkt!CG6),Inputs!$B$15*Mkt!CG6+(1-Inputs!$B$15)*MIN(Mkt!CG6,CF6*(1+Inputs!$B$18))),CF6)))</f>
        <v>1820.92975220673</v>
      </c>
      <c r="CH6" s="11" t="n">
        <f aca="false">IF(CH$1&lt;Units!$P5,0,IF(AND(Units!$K5=0,CH$1=Units!$O5),Units!$R5,IF(AND(CH$1&gt;=Units!$Q5,MOD(CH$1-Units!$Q5,12)=0),IF(AND(Units!$L5=1,CH$1=Units!$Q5),IF(Units!$J5&lt;&gt;"",Units!$J5,Mkt!CH6),Inputs!$B$15*Mkt!CH6+(1-Inputs!$B$15)*MIN(Mkt!CH6,CG6*(1+Inputs!$B$18))),CG6)))</f>
        <v>1820.92975220673</v>
      </c>
      <c r="CI6" s="11" t="n">
        <f aca="false">IF(CI$1&lt;Units!$P5,0,IF(AND(Units!$K5=0,CI$1=Units!$O5),Units!$R5,IF(AND(CI$1&gt;=Units!$Q5,MOD(CI$1-Units!$Q5,12)=0),IF(AND(Units!$L5=1,CI$1=Units!$Q5),IF(Units!$J5&lt;&gt;"",Units!$J5,Mkt!CI6),Inputs!$B$15*Mkt!CI6+(1-Inputs!$B$15)*MIN(Mkt!CI6,CH6*(1+Inputs!$B$18))),CH6)))</f>
        <v>1875.55764477293</v>
      </c>
      <c r="CJ6" s="11" t="n">
        <f aca="false">IF(CJ$1&lt;Units!$P5,0,IF(AND(Units!$K5=0,CJ$1=Units!$O5),Units!$R5,IF(AND(CJ$1&gt;=Units!$Q5,MOD(CJ$1-Units!$Q5,12)=0),IF(AND(Units!$L5=1,CJ$1=Units!$Q5),IF(Units!$J5&lt;&gt;"",Units!$J5,Mkt!CJ6),Inputs!$B$15*Mkt!CJ6+(1-Inputs!$B$15)*MIN(Mkt!CJ6,CI6*(1+Inputs!$B$18))),CI6)))</f>
        <v>1875.55764477293</v>
      </c>
      <c r="CK6" s="11" t="n">
        <f aca="false">IF(CK$1&lt;Units!$P5,0,IF(AND(Units!$K5=0,CK$1=Units!$O5),Units!$R5,IF(AND(CK$1&gt;=Units!$Q5,MOD(CK$1-Units!$Q5,12)=0),IF(AND(Units!$L5=1,CK$1=Units!$Q5),IF(Units!$J5&lt;&gt;"",Units!$J5,Mkt!CK6),Inputs!$B$15*Mkt!CK6+(1-Inputs!$B$15)*MIN(Mkt!CK6,CJ6*(1+Inputs!$B$18))),CJ6)))</f>
        <v>1875.55764477293</v>
      </c>
      <c r="CL6" s="11" t="n">
        <f aca="false">IF(CL$1&lt;Units!$P5,0,IF(AND(Units!$K5=0,CL$1=Units!$O5),Units!$R5,IF(AND(CL$1&gt;=Units!$Q5,MOD(CL$1-Units!$Q5,12)=0),IF(AND(Units!$L5=1,CL$1=Units!$Q5),IF(Units!$J5&lt;&gt;"",Units!$J5,Mkt!CL6),Inputs!$B$15*Mkt!CL6+(1-Inputs!$B$15)*MIN(Mkt!CL6,CK6*(1+Inputs!$B$18))),CK6)))</f>
        <v>1875.55764477293</v>
      </c>
      <c r="CM6" s="11" t="n">
        <f aca="false">IF(CM$1&lt;Units!$P5,0,IF(AND(Units!$K5=0,CM$1=Units!$O5),Units!$R5,IF(AND(CM$1&gt;=Units!$Q5,MOD(CM$1-Units!$Q5,12)=0),IF(AND(Units!$L5=1,CM$1=Units!$Q5),IF(Units!$J5&lt;&gt;"",Units!$J5,Mkt!CM6),Inputs!$B$15*Mkt!CM6+(1-Inputs!$B$15)*MIN(Mkt!CM6,CL6*(1+Inputs!$B$18))),CL6)))</f>
        <v>1875.55764477293</v>
      </c>
      <c r="CN6" s="11" t="n">
        <f aca="false">IF(CN$1&lt;Units!$P5,0,IF(AND(Units!$K5=0,CN$1=Units!$O5),Units!$R5,IF(AND(CN$1&gt;=Units!$Q5,MOD(CN$1-Units!$Q5,12)=0),IF(AND(Units!$L5=1,CN$1=Units!$Q5),IF(Units!$J5&lt;&gt;"",Units!$J5,Mkt!CN6),Inputs!$B$15*Mkt!CN6+(1-Inputs!$B$15)*MIN(Mkt!CN6,CM6*(1+Inputs!$B$18))),CM6)))</f>
        <v>1875.55764477293</v>
      </c>
      <c r="CO6" s="11" t="n">
        <f aca="false">IF(CO$1&lt;Units!$P5,0,IF(AND(Units!$K5=0,CO$1=Units!$O5),Units!$R5,IF(AND(CO$1&gt;=Units!$Q5,MOD(CO$1-Units!$Q5,12)=0),IF(AND(Units!$L5=1,CO$1=Units!$Q5),IF(Units!$J5&lt;&gt;"",Units!$J5,Mkt!CO6),Inputs!$B$15*Mkt!CO6+(1-Inputs!$B$15)*MIN(Mkt!CO6,CN6*(1+Inputs!$B$18))),CN6)))</f>
        <v>1875.55764477293</v>
      </c>
      <c r="CP6" s="11" t="n">
        <f aca="false">IF(CP$1&lt;Units!$P5,0,IF(AND(Units!$K5=0,CP$1=Units!$O5),Units!$R5,IF(AND(CP$1&gt;=Units!$Q5,MOD(CP$1-Units!$Q5,12)=0),IF(AND(Units!$L5=1,CP$1=Units!$Q5),IF(Units!$J5&lt;&gt;"",Units!$J5,Mkt!CP6),Inputs!$B$15*Mkt!CP6+(1-Inputs!$B$15)*MIN(Mkt!CP6,CO6*(1+Inputs!$B$18))),CO6)))</f>
        <v>1875.55764477293</v>
      </c>
      <c r="CQ6" s="11" t="n">
        <f aca="false">IF(CQ$1&lt;Units!$P5,0,IF(AND(Units!$K5=0,CQ$1=Units!$O5),Units!$R5,IF(AND(CQ$1&gt;=Units!$Q5,MOD(CQ$1-Units!$Q5,12)=0),IF(AND(Units!$L5=1,CQ$1=Units!$Q5),IF(Units!$J5&lt;&gt;"",Units!$J5,Mkt!CQ6),Inputs!$B$15*Mkt!CQ6+(1-Inputs!$B$15)*MIN(Mkt!CQ6,CP6*(1+Inputs!$B$18))),CP6)))</f>
        <v>1875.55764477293</v>
      </c>
      <c r="CR6" s="11" t="n">
        <f aca="false">IF(CR$1&lt;Units!$P5,0,IF(AND(Units!$K5=0,CR$1=Units!$O5),Units!$R5,IF(AND(CR$1&gt;=Units!$Q5,MOD(CR$1-Units!$Q5,12)=0),IF(AND(Units!$L5=1,CR$1=Units!$Q5),IF(Units!$J5&lt;&gt;"",Units!$J5,Mkt!CR6),Inputs!$B$15*Mkt!CR6+(1-Inputs!$B$15)*MIN(Mkt!CR6,CQ6*(1+Inputs!$B$18))),CQ6)))</f>
        <v>1875.55764477293</v>
      </c>
      <c r="CS6" s="11" t="n">
        <f aca="false">IF(CS$1&lt;Units!$P5,0,IF(AND(Units!$K5=0,CS$1=Units!$O5),Units!$R5,IF(AND(CS$1&gt;=Units!$Q5,MOD(CS$1-Units!$Q5,12)=0),IF(AND(Units!$L5=1,CS$1=Units!$Q5),IF(Units!$J5&lt;&gt;"",Units!$J5,Mkt!CS6),Inputs!$B$15*Mkt!CS6+(1-Inputs!$B$15)*MIN(Mkt!CS6,CR6*(1+Inputs!$B$18))),CR6)))</f>
        <v>1875.55764477293</v>
      </c>
      <c r="CT6" s="11" t="n">
        <f aca="false">IF(CT$1&lt;Units!$P5,0,IF(AND(Units!$K5=0,CT$1=Units!$O5),Units!$R5,IF(AND(CT$1&gt;=Units!$Q5,MOD(CT$1-Units!$Q5,12)=0),IF(AND(Units!$L5=1,CT$1=Units!$Q5),IF(Units!$J5&lt;&gt;"",Units!$J5,Mkt!CT6),Inputs!$B$15*Mkt!CT6+(1-Inputs!$B$15)*MIN(Mkt!CT6,CS6*(1+Inputs!$B$18))),CS6)))</f>
        <v>1875.55764477293</v>
      </c>
      <c r="CU6" s="11" t="n">
        <f aca="false">IF(CU$1&lt;Units!$P5,0,IF(AND(Units!$K5=0,CU$1=Units!$O5),Units!$R5,IF(AND(CU$1&gt;=Units!$Q5,MOD(CU$1-Units!$Q5,12)=0),IF(AND(Units!$L5=1,CU$1=Units!$Q5),IF(Units!$J5&lt;&gt;"",Units!$J5,Mkt!CU6),Inputs!$B$15*Mkt!CU6+(1-Inputs!$B$15)*MIN(Mkt!CU6,CT6*(1+Inputs!$B$18))),CT6)))</f>
        <v>1931.82437411612</v>
      </c>
      <c r="CV6" s="11" t="n">
        <f aca="false">IF(CV$1&lt;Units!$P5,0,IF(AND(Units!$K5=0,CV$1=Units!$O5),Units!$R5,IF(AND(CV$1&gt;=Units!$Q5,MOD(CV$1-Units!$Q5,12)=0),IF(AND(Units!$L5=1,CV$1=Units!$Q5),IF(Units!$J5&lt;&gt;"",Units!$J5,Mkt!CV6),Inputs!$B$15*Mkt!CV6+(1-Inputs!$B$15)*MIN(Mkt!CV6,CU6*(1+Inputs!$B$18))),CU6)))</f>
        <v>1931.82437411612</v>
      </c>
      <c r="CW6" s="11" t="n">
        <f aca="false">IF(CW$1&lt;Units!$P5,0,IF(AND(Units!$K5=0,CW$1=Units!$O5),Units!$R5,IF(AND(CW$1&gt;=Units!$Q5,MOD(CW$1-Units!$Q5,12)=0),IF(AND(Units!$L5=1,CW$1=Units!$Q5),IF(Units!$J5&lt;&gt;"",Units!$J5,Mkt!CW6),Inputs!$B$15*Mkt!CW6+(1-Inputs!$B$15)*MIN(Mkt!CW6,CV6*(1+Inputs!$B$18))),CV6)))</f>
        <v>1931.82437411612</v>
      </c>
      <c r="CX6" s="11" t="n">
        <f aca="false">IF(CX$1&lt;Units!$P5,0,IF(AND(Units!$K5=0,CX$1=Units!$O5),Units!$R5,IF(AND(CX$1&gt;=Units!$Q5,MOD(CX$1-Units!$Q5,12)=0),IF(AND(Units!$L5=1,CX$1=Units!$Q5),IF(Units!$J5&lt;&gt;"",Units!$J5,Mkt!CX6),Inputs!$B$15*Mkt!CX6+(1-Inputs!$B$15)*MIN(Mkt!CX6,CW6*(1+Inputs!$B$18))),CW6)))</f>
        <v>1931.82437411612</v>
      </c>
      <c r="CY6" s="11" t="n">
        <f aca="false">IF(CY$1&lt;Units!$P5,0,IF(AND(Units!$K5=0,CY$1=Units!$O5),Units!$R5,IF(AND(CY$1&gt;=Units!$Q5,MOD(CY$1-Units!$Q5,12)=0),IF(AND(Units!$L5=1,CY$1=Units!$Q5),IF(Units!$J5&lt;&gt;"",Units!$J5,Mkt!CY6),Inputs!$B$15*Mkt!CY6+(1-Inputs!$B$15)*MIN(Mkt!CY6,CX6*(1+Inputs!$B$18))),CX6)))</f>
        <v>1931.82437411612</v>
      </c>
      <c r="CZ6" s="11" t="n">
        <f aca="false">IF(CZ$1&lt;Units!$P5,0,IF(AND(Units!$K5=0,CZ$1=Units!$O5),Units!$R5,IF(AND(CZ$1&gt;=Units!$Q5,MOD(CZ$1-Units!$Q5,12)=0),IF(AND(Units!$L5=1,CZ$1=Units!$Q5),IF(Units!$J5&lt;&gt;"",Units!$J5,Mkt!CZ6),Inputs!$B$15*Mkt!CZ6+(1-Inputs!$B$15)*MIN(Mkt!CZ6,CY6*(1+Inputs!$B$18))),CY6)))</f>
        <v>1931.82437411612</v>
      </c>
      <c r="DA6" s="11" t="n">
        <f aca="false">IF(DA$1&lt;Units!$P5,0,IF(AND(Units!$K5=0,DA$1=Units!$O5),Units!$R5,IF(AND(DA$1&gt;=Units!$Q5,MOD(DA$1-Units!$Q5,12)=0),IF(AND(Units!$L5=1,DA$1=Units!$Q5),IF(Units!$J5&lt;&gt;"",Units!$J5,Mkt!DA6),Inputs!$B$15*Mkt!DA6+(1-Inputs!$B$15)*MIN(Mkt!DA6,CZ6*(1+Inputs!$B$18))),CZ6)))</f>
        <v>1931.82437411612</v>
      </c>
      <c r="DB6" s="11" t="n">
        <f aca="false">IF(DB$1&lt;Units!$P5,0,IF(AND(Units!$K5=0,DB$1=Units!$O5),Units!$R5,IF(AND(DB$1&gt;=Units!$Q5,MOD(DB$1-Units!$Q5,12)=0),IF(AND(Units!$L5=1,DB$1=Units!$Q5),IF(Units!$J5&lt;&gt;"",Units!$J5,Mkt!DB6),Inputs!$B$15*Mkt!DB6+(1-Inputs!$B$15)*MIN(Mkt!DB6,DA6*(1+Inputs!$B$18))),DA6)))</f>
        <v>1931.82437411612</v>
      </c>
      <c r="DC6" s="11" t="n">
        <f aca="false">IF(DC$1&lt;Units!$P5,0,IF(AND(Units!$K5=0,DC$1=Units!$O5),Units!$R5,IF(AND(DC$1&gt;=Units!$Q5,MOD(DC$1-Units!$Q5,12)=0),IF(AND(Units!$L5=1,DC$1=Units!$Q5),IF(Units!$J5&lt;&gt;"",Units!$J5,Mkt!DC6),Inputs!$B$15*Mkt!DC6+(1-Inputs!$B$15)*MIN(Mkt!DC6,DB6*(1+Inputs!$B$18))),DB6)))</f>
        <v>1931.82437411612</v>
      </c>
      <c r="DD6" s="11" t="n">
        <f aca="false">IF(DD$1&lt;Units!$P5,0,IF(AND(Units!$K5=0,DD$1=Units!$O5),Units!$R5,IF(AND(DD$1&gt;=Units!$Q5,MOD(DD$1-Units!$Q5,12)=0),IF(AND(Units!$L5=1,DD$1=Units!$Q5),IF(Units!$J5&lt;&gt;"",Units!$J5,Mkt!DD6),Inputs!$B$15*Mkt!DD6+(1-Inputs!$B$15)*MIN(Mkt!DD6,DC6*(1+Inputs!$B$18))),DC6)))</f>
        <v>1931.82437411612</v>
      </c>
      <c r="DE6" s="11" t="n">
        <f aca="false">IF(DE$1&lt;Units!$P5,0,IF(AND(Units!$K5=0,DE$1=Units!$O5),Units!$R5,IF(AND(DE$1&gt;=Units!$Q5,MOD(DE$1-Units!$Q5,12)=0),IF(AND(Units!$L5=1,DE$1=Units!$Q5),IF(Units!$J5&lt;&gt;"",Units!$J5,Mkt!DE6),Inputs!$B$15*Mkt!DE6+(1-Inputs!$B$15)*MIN(Mkt!DE6,DD6*(1+Inputs!$B$18))),DD6)))</f>
        <v>1931.82437411612</v>
      </c>
      <c r="DF6" s="11" t="n">
        <f aca="false">IF(DF$1&lt;Units!$P5,0,IF(AND(Units!$K5=0,DF$1=Units!$O5),Units!$R5,IF(AND(DF$1&gt;=Units!$Q5,MOD(DF$1-Units!$Q5,12)=0),IF(AND(Units!$L5=1,DF$1=Units!$Q5),IF(Units!$J5&lt;&gt;"",Units!$J5,Mkt!DF6),Inputs!$B$15*Mkt!DF6+(1-Inputs!$B$15)*MIN(Mkt!DF6,DE6*(1+Inputs!$B$18))),DE6)))</f>
        <v>1931.82437411612</v>
      </c>
      <c r="DG6" s="11" t="n">
        <f aca="false">IF(DG$1&lt;Units!$P5,0,IF(AND(Units!$K5=0,DG$1=Units!$O5),Units!$R5,IF(AND(DG$1&gt;=Units!$Q5,MOD(DG$1-Units!$Q5,12)=0),IF(AND(Units!$L5=1,DG$1=Units!$Q5),IF(Units!$J5&lt;&gt;"",Units!$J5,Mkt!DG6),Inputs!$B$15*Mkt!DG6+(1-Inputs!$B$15)*MIN(Mkt!DG6,DF6*(1+Inputs!$B$18))),DF6)))</f>
        <v>1989.7791053396</v>
      </c>
      <c r="DH6" s="11" t="n">
        <f aca="false">IF(DH$1&lt;Units!$P5,0,IF(AND(Units!$K5=0,DH$1=Units!$O5),Units!$R5,IF(AND(DH$1&gt;=Units!$Q5,MOD(DH$1-Units!$Q5,12)=0),IF(AND(Units!$L5=1,DH$1=Units!$Q5),IF(Units!$J5&lt;&gt;"",Units!$J5,Mkt!DH6),Inputs!$B$15*Mkt!DH6+(1-Inputs!$B$15)*MIN(Mkt!DH6,DG6*(1+Inputs!$B$18))),DG6)))</f>
        <v>1989.7791053396</v>
      </c>
      <c r="DI6" s="11" t="n">
        <f aca="false">IF(DI$1&lt;Units!$P5,0,IF(AND(Units!$K5=0,DI$1=Units!$O5),Units!$R5,IF(AND(DI$1&gt;=Units!$Q5,MOD(DI$1-Units!$Q5,12)=0),IF(AND(Units!$L5=1,DI$1=Units!$Q5),IF(Units!$J5&lt;&gt;"",Units!$J5,Mkt!DI6),Inputs!$B$15*Mkt!DI6+(1-Inputs!$B$15)*MIN(Mkt!DI6,DH6*(1+Inputs!$B$18))),DH6)))</f>
        <v>1989.7791053396</v>
      </c>
      <c r="DJ6" s="11" t="n">
        <f aca="false">IF(DJ$1&lt;Units!$P5,0,IF(AND(Units!$K5=0,DJ$1=Units!$O5),Units!$R5,IF(AND(DJ$1&gt;=Units!$Q5,MOD(DJ$1-Units!$Q5,12)=0),IF(AND(Units!$L5=1,DJ$1=Units!$Q5),IF(Units!$J5&lt;&gt;"",Units!$J5,Mkt!DJ6),Inputs!$B$15*Mkt!DJ6+(1-Inputs!$B$15)*MIN(Mkt!DJ6,DI6*(1+Inputs!$B$18))),DI6)))</f>
        <v>1989.7791053396</v>
      </c>
      <c r="DK6" s="11" t="n">
        <f aca="false">IF(DK$1&lt;Units!$P5,0,IF(AND(Units!$K5=0,DK$1=Units!$O5),Units!$R5,IF(AND(DK$1&gt;=Units!$Q5,MOD(DK$1-Units!$Q5,12)=0),IF(AND(Units!$L5=1,DK$1=Units!$Q5),IF(Units!$J5&lt;&gt;"",Units!$J5,Mkt!DK6),Inputs!$B$15*Mkt!DK6+(1-Inputs!$B$15)*MIN(Mkt!DK6,DJ6*(1+Inputs!$B$18))),DJ6)))</f>
        <v>1989.7791053396</v>
      </c>
      <c r="DL6" s="11" t="n">
        <f aca="false">IF(DL$1&lt;Units!$P5,0,IF(AND(Units!$K5=0,DL$1=Units!$O5),Units!$R5,IF(AND(DL$1&gt;=Units!$Q5,MOD(DL$1-Units!$Q5,12)=0),IF(AND(Units!$L5=1,DL$1=Units!$Q5),IF(Units!$J5&lt;&gt;"",Units!$J5,Mkt!DL6),Inputs!$B$15*Mkt!DL6+(1-Inputs!$B$15)*MIN(Mkt!DL6,DK6*(1+Inputs!$B$18))),DK6)))</f>
        <v>1989.7791053396</v>
      </c>
      <c r="DM6" s="11" t="n">
        <f aca="false">IF(DM$1&lt;Units!$P5,0,IF(AND(Units!$K5=0,DM$1=Units!$O5),Units!$R5,IF(AND(DM$1&gt;=Units!$Q5,MOD(DM$1-Units!$Q5,12)=0),IF(AND(Units!$L5=1,DM$1=Units!$Q5),IF(Units!$J5&lt;&gt;"",Units!$J5,Mkt!DM6),Inputs!$B$15*Mkt!DM6+(1-Inputs!$B$15)*MIN(Mkt!DM6,DL6*(1+Inputs!$B$18))),DL6)))</f>
        <v>1989.7791053396</v>
      </c>
      <c r="DN6" s="11" t="n">
        <f aca="false">IF(DN$1&lt;Units!$P5,0,IF(AND(Units!$K5=0,DN$1=Units!$O5),Units!$R5,IF(AND(DN$1&gt;=Units!$Q5,MOD(DN$1-Units!$Q5,12)=0),IF(AND(Units!$L5=1,DN$1=Units!$Q5),IF(Units!$J5&lt;&gt;"",Units!$J5,Mkt!DN6),Inputs!$B$15*Mkt!DN6+(1-Inputs!$B$15)*MIN(Mkt!DN6,DM6*(1+Inputs!$B$18))),DM6)))</f>
        <v>1989.7791053396</v>
      </c>
      <c r="DO6" s="11" t="n">
        <f aca="false">IF(DO$1&lt;Units!$P5,0,IF(AND(Units!$K5=0,DO$1=Units!$O5),Units!$R5,IF(AND(DO$1&gt;=Units!$Q5,MOD(DO$1-Units!$Q5,12)=0),IF(AND(Units!$L5=1,DO$1=Units!$Q5),IF(Units!$J5&lt;&gt;"",Units!$J5,Mkt!DO6),Inputs!$B$15*Mkt!DO6+(1-Inputs!$B$15)*MIN(Mkt!DO6,DN6*(1+Inputs!$B$18))),DN6)))</f>
        <v>1989.7791053396</v>
      </c>
      <c r="DP6" s="11" t="n">
        <f aca="false">IF(DP$1&lt;Units!$P5,0,IF(AND(Units!$K5=0,DP$1=Units!$O5),Units!$R5,IF(AND(DP$1&gt;=Units!$Q5,MOD(DP$1-Units!$Q5,12)=0),IF(AND(Units!$L5=1,DP$1=Units!$Q5),IF(Units!$J5&lt;&gt;"",Units!$J5,Mkt!DP6),Inputs!$B$15*Mkt!DP6+(1-Inputs!$B$15)*MIN(Mkt!DP6,DO6*(1+Inputs!$B$18))),DO6)))</f>
        <v>1989.7791053396</v>
      </c>
      <c r="DQ6" s="11" t="n">
        <f aca="false">IF(DQ$1&lt;Units!$P5,0,IF(AND(Units!$K5=0,DQ$1=Units!$O5),Units!$R5,IF(AND(DQ$1&gt;=Units!$Q5,MOD(DQ$1-Units!$Q5,12)=0),IF(AND(Units!$L5=1,DQ$1=Units!$Q5),IF(Units!$J5&lt;&gt;"",Units!$J5,Mkt!DQ6),Inputs!$B$15*Mkt!DQ6+(1-Inputs!$B$15)*MIN(Mkt!DQ6,DP6*(1+Inputs!$B$18))),DP6)))</f>
        <v>1989.7791053396</v>
      </c>
      <c r="DR6" s="11" t="n">
        <f aca="false">IF(DR$1&lt;Units!$P5,0,IF(AND(Units!$K5=0,DR$1=Units!$O5),Units!$R5,IF(AND(DR$1&gt;=Units!$Q5,MOD(DR$1-Units!$Q5,12)=0),IF(AND(Units!$L5=1,DR$1=Units!$Q5),IF(Units!$J5&lt;&gt;"",Units!$J5,Mkt!DR6),Inputs!$B$15*Mkt!DR6+(1-Inputs!$B$15)*MIN(Mkt!DR6,DQ6*(1+Inputs!$B$18))),DQ6)))</f>
        <v>1989.7791053396</v>
      </c>
      <c r="DS6" s="11" t="n">
        <f aca="false">IF(DS$1&lt;Units!$P5,0,IF(AND(Units!$K5=0,DS$1=Units!$O5),Units!$R5,IF(AND(DS$1&gt;=Units!$Q5,MOD(DS$1-Units!$Q5,12)=0),IF(AND(Units!$L5=1,DS$1=Units!$Q5),IF(Units!$J5&lt;&gt;"",Units!$J5,Mkt!DS6),Inputs!$B$15*Mkt!DS6+(1-Inputs!$B$15)*MIN(Mkt!DS6,DR6*(1+Inputs!$B$18))),DR6)))</f>
        <v>2049.47247849979</v>
      </c>
      <c r="DT6" s="11" t="n">
        <f aca="false">IF(DT$1&lt;Units!$P5,0,IF(AND(Units!$K5=0,DT$1=Units!$O5),Units!$R5,IF(AND(DT$1&gt;=Units!$Q5,MOD(DT$1-Units!$Q5,12)=0),IF(AND(Units!$L5=1,DT$1=Units!$Q5),IF(Units!$J5&lt;&gt;"",Units!$J5,Mkt!DT6),Inputs!$B$15*Mkt!DT6+(1-Inputs!$B$15)*MIN(Mkt!DT6,DS6*(1+Inputs!$B$18))),DS6)))</f>
        <v>2049.47247849979</v>
      </c>
      <c r="DU6" s="11" t="n">
        <f aca="false">IF(DU$1&lt;Units!$P5,0,IF(AND(Units!$K5=0,DU$1=Units!$O5),Units!$R5,IF(AND(DU$1&gt;=Units!$Q5,MOD(DU$1-Units!$Q5,12)=0),IF(AND(Units!$L5=1,DU$1=Units!$Q5),IF(Units!$J5&lt;&gt;"",Units!$J5,Mkt!DU6),Inputs!$B$15*Mkt!DU6+(1-Inputs!$B$15)*MIN(Mkt!DU6,DT6*(1+Inputs!$B$18))),DT6)))</f>
        <v>2049.47247849979</v>
      </c>
      <c r="DV6" s="11" t="n">
        <f aca="false">IF(DV$1&lt;Units!$P5,0,IF(AND(Units!$K5=0,DV$1=Units!$O5),Units!$R5,IF(AND(DV$1&gt;=Units!$Q5,MOD(DV$1-Units!$Q5,12)=0),IF(AND(Units!$L5=1,DV$1=Units!$Q5),IF(Units!$J5&lt;&gt;"",Units!$J5,Mkt!DV6),Inputs!$B$15*Mkt!DV6+(1-Inputs!$B$15)*MIN(Mkt!DV6,DU6*(1+Inputs!$B$18))),DU6)))</f>
        <v>2049.47247849979</v>
      </c>
      <c r="DW6" s="11" t="n">
        <f aca="false">IF(DW$1&lt;Units!$P5,0,IF(AND(Units!$K5=0,DW$1=Units!$O5),Units!$R5,IF(AND(DW$1&gt;=Units!$Q5,MOD(DW$1-Units!$Q5,12)=0),IF(AND(Units!$L5=1,DW$1=Units!$Q5),IF(Units!$J5&lt;&gt;"",Units!$J5,Mkt!DW6),Inputs!$B$15*Mkt!DW6+(1-Inputs!$B$15)*MIN(Mkt!DW6,DV6*(1+Inputs!$B$18))),DV6)))</f>
        <v>2049.47247849979</v>
      </c>
      <c r="DX6" s="11" t="n">
        <f aca="false">IF(DX$1&lt;Units!$P5,0,IF(AND(Units!$K5=0,DX$1=Units!$O5),Units!$R5,IF(AND(DX$1&gt;=Units!$Q5,MOD(DX$1-Units!$Q5,12)=0),IF(AND(Units!$L5=1,DX$1=Units!$Q5),IF(Units!$J5&lt;&gt;"",Units!$J5,Mkt!DX6),Inputs!$B$15*Mkt!DX6+(1-Inputs!$B$15)*MIN(Mkt!DX6,DW6*(1+Inputs!$B$18))),DW6)))</f>
        <v>2049.47247849979</v>
      </c>
      <c r="DY6" s="11" t="n">
        <f aca="false">IF(DY$1&lt;Units!$P5,0,IF(AND(Units!$K5=0,DY$1=Units!$O5),Units!$R5,IF(AND(DY$1&gt;=Units!$Q5,MOD(DY$1-Units!$Q5,12)=0),IF(AND(Units!$L5=1,DY$1=Units!$Q5),IF(Units!$J5&lt;&gt;"",Units!$J5,Mkt!DY6),Inputs!$B$15*Mkt!DY6+(1-Inputs!$B$15)*MIN(Mkt!DY6,DX6*(1+Inputs!$B$18))),DX6)))</f>
        <v>2049.47247849979</v>
      </c>
      <c r="DZ6" s="11" t="n">
        <f aca="false">IF(DZ$1&lt;Units!$P5,0,IF(AND(Units!$K5=0,DZ$1=Units!$O5),Units!$R5,IF(AND(DZ$1&gt;=Units!$Q5,MOD(DZ$1-Units!$Q5,12)=0),IF(AND(Units!$L5=1,DZ$1=Units!$Q5),IF(Units!$J5&lt;&gt;"",Units!$J5,Mkt!DZ6),Inputs!$B$15*Mkt!DZ6+(1-Inputs!$B$15)*MIN(Mkt!DZ6,DY6*(1+Inputs!$B$18))),DY6)))</f>
        <v>2049.47247849979</v>
      </c>
      <c r="EA6" s="11" t="n">
        <f aca="false">IF(EA$1&lt;Units!$P5,0,IF(AND(Units!$K5=0,EA$1=Units!$O5),Units!$R5,IF(AND(EA$1&gt;=Units!$Q5,MOD(EA$1-Units!$Q5,12)=0),IF(AND(Units!$L5=1,EA$1=Units!$Q5),IF(Units!$J5&lt;&gt;"",Units!$J5,Mkt!EA6),Inputs!$B$15*Mkt!EA6+(1-Inputs!$B$15)*MIN(Mkt!EA6,DZ6*(1+Inputs!$B$18))),DZ6)))</f>
        <v>2049.47247849979</v>
      </c>
      <c r="EB6" s="11" t="n">
        <f aca="false">IF(EB$1&lt;Units!$P5,0,IF(AND(Units!$K5=0,EB$1=Units!$O5),Units!$R5,IF(AND(EB$1&gt;=Units!$Q5,MOD(EB$1-Units!$Q5,12)=0),IF(AND(Units!$L5=1,EB$1=Units!$Q5),IF(Units!$J5&lt;&gt;"",Units!$J5,Mkt!EB6),Inputs!$B$15*Mkt!EB6+(1-Inputs!$B$15)*MIN(Mkt!EB6,EA6*(1+Inputs!$B$18))),EA6)))</f>
        <v>2049.47247849979</v>
      </c>
      <c r="EC6" s="11" t="n">
        <f aca="false">IF(EC$1&lt;Units!$P5,0,IF(AND(Units!$K5=0,EC$1=Units!$O5),Units!$R5,IF(AND(EC$1&gt;=Units!$Q5,MOD(EC$1-Units!$Q5,12)=0),IF(AND(Units!$L5=1,EC$1=Units!$Q5),IF(Units!$J5&lt;&gt;"",Units!$J5,Mkt!EC6),Inputs!$B$15*Mkt!EC6+(1-Inputs!$B$15)*MIN(Mkt!EC6,EB6*(1+Inputs!$B$18))),EB6)))</f>
        <v>2049.47247849979</v>
      </c>
      <c r="ED6" s="11" t="n">
        <f aca="false">IF(ED$1&lt;Units!$P5,0,IF(AND(Units!$K5=0,ED$1=Units!$O5),Units!$R5,IF(AND(ED$1&gt;=Units!$Q5,MOD(ED$1-Units!$Q5,12)=0),IF(AND(Units!$L5=1,ED$1=Units!$Q5),IF(Units!$J5&lt;&gt;"",Units!$J5,Mkt!ED6),Inputs!$B$15*Mkt!ED6+(1-Inputs!$B$15)*MIN(Mkt!ED6,EC6*(1+Inputs!$B$18))),EC6)))</f>
        <v>2049.47247849979</v>
      </c>
    </row>
    <row r="7" customFormat="false" ht="15" hidden="false" customHeight="false" outlineLevel="0" collapsed="false">
      <c r="A7" s="22" t="n">
        <f aca="false">Units!A6</f>
        <v>105</v>
      </c>
      <c r="B7" s="24" t="n">
        <f aca="false">IF(Units!K6=1,Units!F6,0)</f>
        <v>1445</v>
      </c>
      <c r="C7" s="11" t="n">
        <f aca="false">IF(C$1&lt;Units!$P6,0,IF(AND(Units!$K6=0,C$1=Units!$O6),Units!$R6,IF(AND(C$1&gt;=Units!$Q6,MOD(C$1-Units!$Q6,12)=0),IF(AND(Units!$L6=1,C$1=Units!$Q6),IF(Units!$J6&lt;&gt;"",Units!$J6,Mkt!C7),Inputs!$B$15*Mkt!C7+(1-Inputs!$B$15)*MIN(Mkt!C7,B7*(1+Inputs!$B$18))),B7)))</f>
        <v>1445</v>
      </c>
      <c r="D7" s="11" t="n">
        <f aca="false">IF(D$1&lt;Units!$P6,0,IF(AND(Units!$K6=0,D$1=Units!$O6),Units!$R6,IF(AND(D$1&gt;=Units!$Q6,MOD(D$1-Units!$Q6,12)=0),IF(AND(Units!$L6=1,D$1=Units!$Q6),IF(Units!$J6&lt;&gt;"",Units!$J6,Mkt!D7),Inputs!$B$15*Mkt!D7+(1-Inputs!$B$15)*MIN(Mkt!D7,C7*(1+Inputs!$B$18))),C7)))</f>
        <v>1445</v>
      </c>
      <c r="E7" s="11" t="n">
        <f aca="false">IF(E$1&lt;Units!$P6,0,IF(AND(Units!$K6=0,E$1=Units!$O6),Units!$R6,IF(AND(E$1&gt;=Units!$Q6,MOD(E$1-Units!$Q6,12)=0),IF(AND(Units!$L6=1,E$1=Units!$Q6),IF(Units!$J6&lt;&gt;"",Units!$J6,Mkt!E7),Inputs!$B$15*Mkt!E7+(1-Inputs!$B$15)*MIN(Mkt!E7,D7*(1+Inputs!$B$18))),D7)))</f>
        <v>1521.125</v>
      </c>
      <c r="F7" s="11" t="n">
        <f aca="false">IF(F$1&lt;Units!$P6,0,IF(AND(Units!$K6=0,F$1=Units!$O6),Units!$R6,IF(AND(F$1&gt;=Units!$Q6,MOD(F$1-Units!$Q6,12)=0),IF(AND(Units!$L6=1,F$1=Units!$Q6),IF(Units!$J6&lt;&gt;"",Units!$J6,Mkt!F7),Inputs!$B$15*Mkt!F7+(1-Inputs!$B$15)*MIN(Mkt!F7,E7*(1+Inputs!$B$18))),E7)))</f>
        <v>1521.125</v>
      </c>
      <c r="G7" s="11" t="n">
        <f aca="false">IF(G$1&lt;Units!$P6,0,IF(AND(Units!$K6=0,G$1=Units!$O6),Units!$R6,IF(AND(G$1&gt;=Units!$Q6,MOD(G$1-Units!$Q6,12)=0),IF(AND(Units!$L6=1,G$1=Units!$Q6),IF(Units!$J6&lt;&gt;"",Units!$J6,Mkt!G7),Inputs!$B$15*Mkt!G7+(1-Inputs!$B$15)*MIN(Mkt!G7,F7*(1+Inputs!$B$18))),F7)))</f>
        <v>1521.125</v>
      </c>
      <c r="H7" s="11" t="n">
        <f aca="false">IF(H$1&lt;Units!$P6,0,IF(AND(Units!$K6=0,H$1=Units!$O6),Units!$R6,IF(AND(H$1&gt;=Units!$Q6,MOD(H$1-Units!$Q6,12)=0),IF(AND(Units!$L6=1,H$1=Units!$Q6),IF(Units!$J6&lt;&gt;"",Units!$J6,Mkt!H7),Inputs!$B$15*Mkt!H7+(1-Inputs!$B$15)*MIN(Mkt!H7,G7*(1+Inputs!$B$18))),G7)))</f>
        <v>1521.125</v>
      </c>
      <c r="I7" s="11" t="n">
        <f aca="false">IF(I$1&lt;Units!$P6,0,IF(AND(Units!$K6=0,I$1=Units!$O6),Units!$R6,IF(AND(I$1&gt;=Units!$Q6,MOD(I$1-Units!$Q6,12)=0),IF(AND(Units!$L6=1,I$1=Units!$Q6),IF(Units!$J6&lt;&gt;"",Units!$J6,Mkt!I7),Inputs!$B$15*Mkt!I7+(1-Inputs!$B$15)*MIN(Mkt!I7,H7*(1+Inputs!$B$18))),H7)))</f>
        <v>1521.125</v>
      </c>
      <c r="J7" s="11" t="n">
        <f aca="false">IF(J$1&lt;Units!$P6,0,IF(AND(Units!$K6=0,J$1=Units!$O6),Units!$R6,IF(AND(J$1&gt;=Units!$Q6,MOD(J$1-Units!$Q6,12)=0),IF(AND(Units!$L6=1,J$1=Units!$Q6),IF(Units!$J6&lt;&gt;"",Units!$J6,Mkt!J7),Inputs!$B$15*Mkt!J7+(1-Inputs!$B$15)*MIN(Mkt!J7,I7*(1+Inputs!$B$18))),I7)))</f>
        <v>1521.125</v>
      </c>
      <c r="K7" s="11" t="n">
        <f aca="false">IF(K$1&lt;Units!$P6,0,IF(AND(Units!$K6=0,K$1=Units!$O6),Units!$R6,IF(AND(K$1&gt;=Units!$Q6,MOD(K$1-Units!$Q6,12)=0),IF(AND(Units!$L6=1,K$1=Units!$Q6),IF(Units!$J6&lt;&gt;"",Units!$J6,Mkt!K7),Inputs!$B$15*Mkt!K7+(1-Inputs!$B$15)*MIN(Mkt!K7,J7*(1+Inputs!$B$18))),J7)))</f>
        <v>1521.125</v>
      </c>
      <c r="L7" s="11" t="n">
        <f aca="false">IF(L$1&lt;Units!$P6,0,IF(AND(Units!$K6=0,L$1=Units!$O6),Units!$R6,IF(AND(L$1&gt;=Units!$Q6,MOD(L$1-Units!$Q6,12)=0),IF(AND(Units!$L6=1,L$1=Units!$Q6),IF(Units!$J6&lt;&gt;"",Units!$J6,Mkt!L7),Inputs!$B$15*Mkt!L7+(1-Inputs!$B$15)*MIN(Mkt!L7,K7*(1+Inputs!$B$18))),K7)))</f>
        <v>1521.125</v>
      </c>
      <c r="M7" s="11" t="n">
        <f aca="false">IF(M$1&lt;Units!$P6,0,IF(AND(Units!$K6=0,M$1=Units!$O6),Units!$R6,IF(AND(M$1&gt;=Units!$Q6,MOD(M$1-Units!$Q6,12)=0),IF(AND(Units!$L6=1,M$1=Units!$Q6),IF(Units!$J6&lt;&gt;"",Units!$J6,Mkt!M7),Inputs!$B$15*Mkt!M7+(1-Inputs!$B$15)*MIN(Mkt!M7,L7*(1+Inputs!$B$18))),L7)))</f>
        <v>1521.125</v>
      </c>
      <c r="N7" s="11" t="n">
        <f aca="false">IF(N$1&lt;Units!$P6,0,IF(AND(Units!$K6=0,N$1=Units!$O6),Units!$R6,IF(AND(N$1&gt;=Units!$Q6,MOD(N$1-Units!$Q6,12)=0),IF(AND(Units!$L6=1,N$1=Units!$Q6),IF(Units!$J6&lt;&gt;"",Units!$J6,Mkt!N7),Inputs!$B$15*Mkt!N7+(1-Inputs!$B$15)*MIN(Mkt!N7,M7*(1+Inputs!$B$18))),M7)))</f>
        <v>1521.125</v>
      </c>
      <c r="O7" s="11" t="n">
        <f aca="false">IF(O$1&lt;Units!$P6,0,IF(AND(Units!$K6=0,O$1=Units!$O6),Units!$R6,IF(AND(O$1&gt;=Units!$Q6,MOD(O$1-Units!$Q6,12)=0),IF(AND(Units!$L6=1,O$1=Units!$Q6),IF(Units!$J6&lt;&gt;"",Units!$J6,Mkt!O7),Inputs!$B$15*Mkt!O7+(1-Inputs!$B$15)*MIN(Mkt!O7,N7*(1+Inputs!$B$18))),N7)))</f>
        <v>1521.125</v>
      </c>
      <c r="P7" s="11" t="n">
        <f aca="false">IF(P$1&lt;Units!$P6,0,IF(AND(Units!$K6=0,P$1=Units!$O6),Units!$R6,IF(AND(P$1&gt;=Units!$Q6,MOD(P$1-Units!$Q6,12)=0),IF(AND(Units!$L6=1,P$1=Units!$Q6),IF(Units!$J6&lt;&gt;"",Units!$J6,Mkt!P7),Inputs!$B$15*Mkt!P7+(1-Inputs!$B$15)*MIN(Mkt!P7,O7*(1+Inputs!$B$18))),O7)))</f>
        <v>1521.125</v>
      </c>
      <c r="Q7" s="11" t="n">
        <f aca="false">IF(Q$1&lt;Units!$P6,0,IF(AND(Units!$K6=0,Q$1=Units!$O6),Units!$R6,IF(AND(Q$1&gt;=Units!$Q6,MOD(Q$1-Units!$Q6,12)=0),IF(AND(Units!$L6=1,Q$1=Units!$Q6),IF(Units!$J6&lt;&gt;"",Units!$J6,Mkt!Q7),Inputs!$B$15*Mkt!Q7+(1-Inputs!$B$15)*MIN(Mkt!Q7,P7*(1+Inputs!$B$18))),P7)))</f>
        <v>1570.75</v>
      </c>
      <c r="R7" s="11" t="n">
        <f aca="false">IF(R$1&lt;Units!$P6,0,IF(AND(Units!$K6=0,R$1=Units!$O6),Units!$R6,IF(AND(R$1&gt;=Units!$Q6,MOD(R$1-Units!$Q6,12)=0),IF(AND(Units!$L6=1,R$1=Units!$Q6),IF(Units!$J6&lt;&gt;"",Units!$J6,Mkt!R7),Inputs!$B$15*Mkt!R7+(1-Inputs!$B$15)*MIN(Mkt!R7,Q7*(1+Inputs!$B$18))),Q7)))</f>
        <v>1570.75</v>
      </c>
      <c r="S7" s="11" t="n">
        <f aca="false">IF(S$1&lt;Units!$P6,0,IF(AND(Units!$K6=0,S$1=Units!$O6),Units!$R6,IF(AND(S$1&gt;=Units!$Q6,MOD(S$1-Units!$Q6,12)=0),IF(AND(Units!$L6=1,S$1=Units!$Q6),IF(Units!$J6&lt;&gt;"",Units!$J6,Mkt!S7),Inputs!$B$15*Mkt!S7+(1-Inputs!$B$15)*MIN(Mkt!S7,R7*(1+Inputs!$B$18))),R7)))</f>
        <v>1570.75</v>
      </c>
      <c r="T7" s="11" t="n">
        <f aca="false">IF(T$1&lt;Units!$P6,0,IF(AND(Units!$K6=0,T$1=Units!$O6),Units!$R6,IF(AND(T$1&gt;=Units!$Q6,MOD(T$1-Units!$Q6,12)=0),IF(AND(Units!$L6=1,T$1=Units!$Q6),IF(Units!$J6&lt;&gt;"",Units!$J6,Mkt!T7),Inputs!$B$15*Mkt!T7+(1-Inputs!$B$15)*MIN(Mkt!T7,S7*(1+Inputs!$B$18))),S7)))</f>
        <v>1570.75</v>
      </c>
      <c r="U7" s="11" t="n">
        <f aca="false">IF(U$1&lt;Units!$P6,0,IF(AND(Units!$K6=0,U$1=Units!$O6),Units!$R6,IF(AND(U$1&gt;=Units!$Q6,MOD(U$1-Units!$Q6,12)=0),IF(AND(Units!$L6=1,U$1=Units!$Q6),IF(Units!$J6&lt;&gt;"",Units!$J6,Mkt!U7),Inputs!$B$15*Mkt!U7+(1-Inputs!$B$15)*MIN(Mkt!U7,T7*(1+Inputs!$B$18))),T7)))</f>
        <v>1570.75</v>
      </c>
      <c r="V7" s="11" t="n">
        <f aca="false">IF(V$1&lt;Units!$P6,0,IF(AND(Units!$K6=0,V$1=Units!$O6),Units!$R6,IF(AND(V$1&gt;=Units!$Q6,MOD(V$1-Units!$Q6,12)=0),IF(AND(Units!$L6=1,V$1=Units!$Q6),IF(Units!$J6&lt;&gt;"",Units!$J6,Mkt!V7),Inputs!$B$15*Mkt!V7+(1-Inputs!$B$15)*MIN(Mkt!V7,U7*(1+Inputs!$B$18))),U7)))</f>
        <v>1570.75</v>
      </c>
      <c r="W7" s="11" t="n">
        <f aca="false">IF(W$1&lt;Units!$P6,0,IF(AND(Units!$K6=0,W$1=Units!$O6),Units!$R6,IF(AND(W$1&gt;=Units!$Q6,MOD(W$1-Units!$Q6,12)=0),IF(AND(Units!$L6=1,W$1=Units!$Q6),IF(Units!$J6&lt;&gt;"",Units!$J6,Mkt!W7),Inputs!$B$15*Mkt!W7+(1-Inputs!$B$15)*MIN(Mkt!W7,V7*(1+Inputs!$B$18))),V7)))</f>
        <v>1570.75</v>
      </c>
      <c r="X7" s="11" t="n">
        <f aca="false">IF(X$1&lt;Units!$P6,0,IF(AND(Units!$K6=0,X$1=Units!$O6),Units!$R6,IF(AND(X$1&gt;=Units!$Q6,MOD(X$1-Units!$Q6,12)=0),IF(AND(Units!$L6=1,X$1=Units!$Q6),IF(Units!$J6&lt;&gt;"",Units!$J6,Mkt!X7),Inputs!$B$15*Mkt!X7+(1-Inputs!$B$15)*MIN(Mkt!X7,W7*(1+Inputs!$B$18))),W7)))</f>
        <v>1570.75</v>
      </c>
      <c r="Y7" s="11" t="n">
        <f aca="false">IF(Y$1&lt;Units!$P6,0,IF(AND(Units!$K6=0,Y$1=Units!$O6),Units!$R6,IF(AND(Y$1&gt;=Units!$Q6,MOD(Y$1-Units!$Q6,12)=0),IF(AND(Units!$L6=1,Y$1=Units!$Q6),IF(Units!$J6&lt;&gt;"",Units!$J6,Mkt!Y7),Inputs!$B$15*Mkt!Y7+(1-Inputs!$B$15)*MIN(Mkt!Y7,X7*(1+Inputs!$B$18))),X7)))</f>
        <v>1570.75</v>
      </c>
      <c r="Z7" s="11" t="n">
        <f aca="false">IF(Z$1&lt;Units!$P6,0,IF(AND(Units!$K6=0,Z$1=Units!$O6),Units!$R6,IF(AND(Z$1&gt;=Units!$Q6,MOD(Z$1-Units!$Q6,12)=0),IF(AND(Units!$L6=1,Z$1=Units!$Q6),IF(Units!$J6&lt;&gt;"",Units!$J6,Mkt!Z7),Inputs!$B$15*Mkt!Z7+(1-Inputs!$B$15)*MIN(Mkt!Z7,Y7*(1+Inputs!$B$18))),Y7)))</f>
        <v>1570.75</v>
      </c>
      <c r="AA7" s="11" t="n">
        <f aca="false">IF(AA$1&lt;Units!$P6,0,IF(AND(Units!$K6=0,AA$1=Units!$O6),Units!$R6,IF(AND(AA$1&gt;=Units!$Q6,MOD(AA$1-Units!$Q6,12)=0),IF(AND(Units!$L6=1,AA$1=Units!$Q6),IF(Units!$J6&lt;&gt;"",Units!$J6,Mkt!AA7),Inputs!$B$15*Mkt!AA7+(1-Inputs!$B$15)*MIN(Mkt!AA7,Z7*(1+Inputs!$B$18))),Z7)))</f>
        <v>1570.75</v>
      </c>
      <c r="AB7" s="11" t="n">
        <f aca="false">IF(AB$1&lt;Units!$P6,0,IF(AND(Units!$K6=0,AB$1=Units!$O6),Units!$R6,IF(AND(AB$1&gt;=Units!$Q6,MOD(AB$1-Units!$Q6,12)=0),IF(AND(Units!$L6=1,AB$1=Units!$Q6),IF(Units!$J6&lt;&gt;"",Units!$J6,Mkt!AB7),Inputs!$B$15*Mkt!AB7+(1-Inputs!$B$15)*MIN(Mkt!AB7,AA7*(1+Inputs!$B$18))),AA7)))</f>
        <v>1570.75</v>
      </c>
      <c r="AC7" s="11" t="n">
        <f aca="false">IF(AC$1&lt;Units!$P6,0,IF(AND(Units!$K6=0,AC$1=Units!$O6),Units!$R6,IF(AND(AC$1&gt;=Units!$Q6,MOD(AC$1-Units!$Q6,12)=0),IF(AND(Units!$L6=1,AC$1=Units!$Q6),IF(Units!$J6&lt;&gt;"",Units!$J6,Mkt!AC7),Inputs!$B$15*Mkt!AC7+(1-Inputs!$B$15)*MIN(Mkt!AC7,AB7*(1+Inputs!$B$18))),AB7)))</f>
        <v>1617.8725</v>
      </c>
      <c r="AD7" s="11" t="n">
        <f aca="false">IF(AD$1&lt;Units!$P6,0,IF(AND(Units!$K6=0,AD$1=Units!$O6),Units!$R6,IF(AND(AD$1&gt;=Units!$Q6,MOD(AD$1-Units!$Q6,12)=0),IF(AND(Units!$L6=1,AD$1=Units!$Q6),IF(Units!$J6&lt;&gt;"",Units!$J6,Mkt!AD7),Inputs!$B$15*Mkt!AD7+(1-Inputs!$B$15)*MIN(Mkt!AD7,AC7*(1+Inputs!$B$18))),AC7)))</f>
        <v>1617.8725</v>
      </c>
      <c r="AE7" s="11" t="n">
        <f aca="false">IF(AE$1&lt;Units!$P6,0,IF(AND(Units!$K6=0,AE$1=Units!$O6),Units!$R6,IF(AND(AE$1&gt;=Units!$Q6,MOD(AE$1-Units!$Q6,12)=0),IF(AND(Units!$L6=1,AE$1=Units!$Q6),IF(Units!$J6&lt;&gt;"",Units!$J6,Mkt!AE7),Inputs!$B$15*Mkt!AE7+(1-Inputs!$B$15)*MIN(Mkt!AE7,AD7*(1+Inputs!$B$18))),AD7)))</f>
        <v>1617.8725</v>
      </c>
      <c r="AF7" s="11" t="n">
        <f aca="false">IF(AF$1&lt;Units!$P6,0,IF(AND(Units!$K6=0,AF$1=Units!$O6),Units!$R6,IF(AND(AF$1&gt;=Units!$Q6,MOD(AF$1-Units!$Q6,12)=0),IF(AND(Units!$L6=1,AF$1=Units!$Q6),IF(Units!$J6&lt;&gt;"",Units!$J6,Mkt!AF7),Inputs!$B$15*Mkt!AF7+(1-Inputs!$B$15)*MIN(Mkt!AF7,AE7*(1+Inputs!$B$18))),AE7)))</f>
        <v>1617.8725</v>
      </c>
      <c r="AG7" s="11" t="n">
        <f aca="false">IF(AG$1&lt;Units!$P6,0,IF(AND(Units!$K6=0,AG$1=Units!$O6),Units!$R6,IF(AND(AG$1&gt;=Units!$Q6,MOD(AG$1-Units!$Q6,12)=0),IF(AND(Units!$L6=1,AG$1=Units!$Q6),IF(Units!$J6&lt;&gt;"",Units!$J6,Mkt!AG7),Inputs!$B$15*Mkt!AG7+(1-Inputs!$B$15)*MIN(Mkt!AG7,AF7*(1+Inputs!$B$18))),AF7)))</f>
        <v>1617.8725</v>
      </c>
      <c r="AH7" s="11" t="n">
        <f aca="false">IF(AH$1&lt;Units!$P6,0,IF(AND(Units!$K6=0,AH$1=Units!$O6),Units!$R6,IF(AND(AH$1&gt;=Units!$Q6,MOD(AH$1-Units!$Q6,12)=0),IF(AND(Units!$L6=1,AH$1=Units!$Q6),IF(Units!$J6&lt;&gt;"",Units!$J6,Mkt!AH7),Inputs!$B$15*Mkt!AH7+(1-Inputs!$B$15)*MIN(Mkt!AH7,AG7*(1+Inputs!$B$18))),AG7)))</f>
        <v>1617.8725</v>
      </c>
      <c r="AI7" s="11" t="n">
        <f aca="false">IF(AI$1&lt;Units!$P6,0,IF(AND(Units!$K6=0,AI$1=Units!$O6),Units!$R6,IF(AND(AI$1&gt;=Units!$Q6,MOD(AI$1-Units!$Q6,12)=0),IF(AND(Units!$L6=1,AI$1=Units!$Q6),IF(Units!$J6&lt;&gt;"",Units!$J6,Mkt!AI7),Inputs!$B$15*Mkt!AI7+(1-Inputs!$B$15)*MIN(Mkt!AI7,AH7*(1+Inputs!$B$18))),AH7)))</f>
        <v>1617.8725</v>
      </c>
      <c r="AJ7" s="11" t="n">
        <f aca="false">IF(AJ$1&lt;Units!$P6,0,IF(AND(Units!$K6=0,AJ$1=Units!$O6),Units!$R6,IF(AND(AJ$1&gt;=Units!$Q6,MOD(AJ$1-Units!$Q6,12)=0),IF(AND(Units!$L6=1,AJ$1=Units!$Q6),IF(Units!$J6&lt;&gt;"",Units!$J6,Mkt!AJ7),Inputs!$B$15*Mkt!AJ7+(1-Inputs!$B$15)*MIN(Mkt!AJ7,AI7*(1+Inputs!$B$18))),AI7)))</f>
        <v>1617.8725</v>
      </c>
      <c r="AK7" s="11" t="n">
        <f aca="false">IF(AK$1&lt;Units!$P6,0,IF(AND(Units!$K6=0,AK$1=Units!$O6),Units!$R6,IF(AND(AK$1&gt;=Units!$Q6,MOD(AK$1-Units!$Q6,12)=0),IF(AND(Units!$L6=1,AK$1=Units!$Q6),IF(Units!$J6&lt;&gt;"",Units!$J6,Mkt!AK7),Inputs!$B$15*Mkt!AK7+(1-Inputs!$B$15)*MIN(Mkt!AK7,AJ7*(1+Inputs!$B$18))),AJ7)))</f>
        <v>1617.8725</v>
      </c>
      <c r="AL7" s="11" t="n">
        <f aca="false">IF(AL$1&lt;Units!$P6,0,IF(AND(Units!$K6=0,AL$1=Units!$O6),Units!$R6,IF(AND(AL$1&gt;=Units!$Q6,MOD(AL$1-Units!$Q6,12)=0),IF(AND(Units!$L6=1,AL$1=Units!$Q6),IF(Units!$J6&lt;&gt;"",Units!$J6,Mkt!AL7),Inputs!$B$15*Mkt!AL7+(1-Inputs!$B$15)*MIN(Mkt!AL7,AK7*(1+Inputs!$B$18))),AK7)))</f>
        <v>1617.8725</v>
      </c>
      <c r="AM7" s="11" t="n">
        <f aca="false">IF(AM$1&lt;Units!$P6,0,IF(AND(Units!$K6=0,AM$1=Units!$O6),Units!$R6,IF(AND(AM$1&gt;=Units!$Q6,MOD(AM$1-Units!$Q6,12)=0),IF(AND(Units!$L6=1,AM$1=Units!$Q6),IF(Units!$J6&lt;&gt;"",Units!$J6,Mkt!AM7),Inputs!$B$15*Mkt!AM7+(1-Inputs!$B$15)*MIN(Mkt!AM7,AL7*(1+Inputs!$B$18))),AL7)))</f>
        <v>1617.8725</v>
      </c>
      <c r="AN7" s="11" t="n">
        <f aca="false">IF(AN$1&lt;Units!$P6,0,IF(AND(Units!$K6=0,AN$1=Units!$O6),Units!$R6,IF(AND(AN$1&gt;=Units!$Q6,MOD(AN$1-Units!$Q6,12)=0),IF(AND(Units!$L6=1,AN$1=Units!$Q6),IF(Units!$J6&lt;&gt;"",Units!$J6,Mkt!AN7),Inputs!$B$15*Mkt!AN7+(1-Inputs!$B$15)*MIN(Mkt!AN7,AM7*(1+Inputs!$B$18))),AM7)))</f>
        <v>1617.8725</v>
      </c>
      <c r="AO7" s="11" t="n">
        <f aca="false">IF(AO$1&lt;Units!$P6,0,IF(AND(Units!$K6=0,AO$1=Units!$O6),Units!$R6,IF(AND(AO$1&gt;=Units!$Q6,MOD(AO$1-Units!$Q6,12)=0),IF(AND(Units!$L6=1,AO$1=Units!$Q6),IF(Units!$J6&lt;&gt;"",Units!$J6,Mkt!AO7),Inputs!$B$15*Mkt!AO7+(1-Inputs!$B$15)*MIN(Mkt!AO7,AN7*(1+Inputs!$B$18))),AN7)))</f>
        <v>1666.408675</v>
      </c>
      <c r="AP7" s="11" t="n">
        <f aca="false">IF(AP$1&lt;Units!$P6,0,IF(AND(Units!$K6=0,AP$1=Units!$O6),Units!$R6,IF(AND(AP$1&gt;=Units!$Q6,MOD(AP$1-Units!$Q6,12)=0),IF(AND(Units!$L6=1,AP$1=Units!$Q6),IF(Units!$J6&lt;&gt;"",Units!$J6,Mkt!AP7),Inputs!$B$15*Mkt!AP7+(1-Inputs!$B$15)*MIN(Mkt!AP7,AO7*(1+Inputs!$B$18))),AO7)))</f>
        <v>1666.408675</v>
      </c>
      <c r="AQ7" s="11" t="n">
        <f aca="false">IF(AQ$1&lt;Units!$P6,0,IF(AND(Units!$K6=0,AQ$1=Units!$O6),Units!$R6,IF(AND(AQ$1&gt;=Units!$Q6,MOD(AQ$1-Units!$Q6,12)=0),IF(AND(Units!$L6=1,AQ$1=Units!$Q6),IF(Units!$J6&lt;&gt;"",Units!$J6,Mkt!AQ7),Inputs!$B$15*Mkt!AQ7+(1-Inputs!$B$15)*MIN(Mkt!AQ7,AP7*(1+Inputs!$B$18))),AP7)))</f>
        <v>1666.408675</v>
      </c>
      <c r="AR7" s="11" t="n">
        <f aca="false">IF(AR$1&lt;Units!$P6,0,IF(AND(Units!$K6=0,AR$1=Units!$O6),Units!$R6,IF(AND(AR$1&gt;=Units!$Q6,MOD(AR$1-Units!$Q6,12)=0),IF(AND(Units!$L6=1,AR$1=Units!$Q6),IF(Units!$J6&lt;&gt;"",Units!$J6,Mkt!AR7),Inputs!$B$15*Mkt!AR7+(1-Inputs!$B$15)*MIN(Mkt!AR7,AQ7*(1+Inputs!$B$18))),AQ7)))</f>
        <v>1666.408675</v>
      </c>
      <c r="AS7" s="11" t="n">
        <f aca="false">IF(AS$1&lt;Units!$P6,0,IF(AND(Units!$K6=0,AS$1=Units!$O6),Units!$R6,IF(AND(AS$1&gt;=Units!$Q6,MOD(AS$1-Units!$Q6,12)=0),IF(AND(Units!$L6=1,AS$1=Units!$Q6),IF(Units!$J6&lt;&gt;"",Units!$J6,Mkt!AS7),Inputs!$B$15*Mkt!AS7+(1-Inputs!$B$15)*MIN(Mkt!AS7,AR7*(1+Inputs!$B$18))),AR7)))</f>
        <v>1666.408675</v>
      </c>
      <c r="AT7" s="11" t="n">
        <f aca="false">IF(AT$1&lt;Units!$P6,0,IF(AND(Units!$K6=0,AT$1=Units!$O6),Units!$R6,IF(AND(AT$1&gt;=Units!$Q6,MOD(AT$1-Units!$Q6,12)=0),IF(AND(Units!$L6=1,AT$1=Units!$Q6),IF(Units!$J6&lt;&gt;"",Units!$J6,Mkt!AT7),Inputs!$B$15*Mkt!AT7+(1-Inputs!$B$15)*MIN(Mkt!AT7,AS7*(1+Inputs!$B$18))),AS7)))</f>
        <v>1666.408675</v>
      </c>
      <c r="AU7" s="11" t="n">
        <f aca="false">IF(AU$1&lt;Units!$P6,0,IF(AND(Units!$K6=0,AU$1=Units!$O6),Units!$R6,IF(AND(AU$1&gt;=Units!$Q6,MOD(AU$1-Units!$Q6,12)=0),IF(AND(Units!$L6=1,AU$1=Units!$Q6),IF(Units!$J6&lt;&gt;"",Units!$J6,Mkt!AU7),Inputs!$B$15*Mkt!AU7+(1-Inputs!$B$15)*MIN(Mkt!AU7,AT7*(1+Inputs!$B$18))),AT7)))</f>
        <v>1666.408675</v>
      </c>
      <c r="AV7" s="11" t="n">
        <f aca="false">IF(AV$1&lt;Units!$P6,0,IF(AND(Units!$K6=0,AV$1=Units!$O6),Units!$R6,IF(AND(AV$1&gt;=Units!$Q6,MOD(AV$1-Units!$Q6,12)=0),IF(AND(Units!$L6=1,AV$1=Units!$Q6),IF(Units!$J6&lt;&gt;"",Units!$J6,Mkt!AV7),Inputs!$B$15*Mkt!AV7+(1-Inputs!$B$15)*MIN(Mkt!AV7,AU7*(1+Inputs!$B$18))),AU7)))</f>
        <v>1666.408675</v>
      </c>
      <c r="AW7" s="11" t="n">
        <f aca="false">IF(AW$1&lt;Units!$P6,0,IF(AND(Units!$K6=0,AW$1=Units!$O6),Units!$R6,IF(AND(AW$1&gt;=Units!$Q6,MOD(AW$1-Units!$Q6,12)=0),IF(AND(Units!$L6=1,AW$1=Units!$Q6),IF(Units!$J6&lt;&gt;"",Units!$J6,Mkt!AW7),Inputs!$B$15*Mkt!AW7+(1-Inputs!$B$15)*MIN(Mkt!AW7,AV7*(1+Inputs!$B$18))),AV7)))</f>
        <v>1666.408675</v>
      </c>
      <c r="AX7" s="11" t="n">
        <f aca="false">IF(AX$1&lt;Units!$P6,0,IF(AND(Units!$K6=0,AX$1=Units!$O6),Units!$R6,IF(AND(AX$1&gt;=Units!$Q6,MOD(AX$1-Units!$Q6,12)=0),IF(AND(Units!$L6=1,AX$1=Units!$Q6),IF(Units!$J6&lt;&gt;"",Units!$J6,Mkt!AX7),Inputs!$B$15*Mkt!AX7+(1-Inputs!$B$15)*MIN(Mkt!AX7,AW7*(1+Inputs!$B$18))),AW7)))</f>
        <v>1666.408675</v>
      </c>
      <c r="AY7" s="11" t="n">
        <f aca="false">IF(AY$1&lt;Units!$P6,0,IF(AND(Units!$K6=0,AY$1=Units!$O6),Units!$R6,IF(AND(AY$1&gt;=Units!$Q6,MOD(AY$1-Units!$Q6,12)=0),IF(AND(Units!$L6=1,AY$1=Units!$Q6),IF(Units!$J6&lt;&gt;"",Units!$J6,Mkt!AY7),Inputs!$B$15*Mkt!AY7+(1-Inputs!$B$15)*MIN(Mkt!AY7,AX7*(1+Inputs!$B$18))),AX7)))</f>
        <v>1666.408675</v>
      </c>
      <c r="AZ7" s="11" t="n">
        <f aca="false">IF(AZ$1&lt;Units!$P6,0,IF(AND(Units!$K6=0,AZ$1=Units!$O6),Units!$R6,IF(AND(AZ$1&gt;=Units!$Q6,MOD(AZ$1-Units!$Q6,12)=0),IF(AND(Units!$L6=1,AZ$1=Units!$Q6),IF(Units!$J6&lt;&gt;"",Units!$J6,Mkt!AZ7),Inputs!$B$15*Mkt!AZ7+(1-Inputs!$B$15)*MIN(Mkt!AZ7,AY7*(1+Inputs!$B$18))),AY7)))</f>
        <v>1666.408675</v>
      </c>
      <c r="BA7" s="11" t="n">
        <f aca="false">IF(BA$1&lt;Units!$P6,0,IF(AND(Units!$K6=0,BA$1=Units!$O6),Units!$R6,IF(AND(BA$1&gt;=Units!$Q6,MOD(BA$1-Units!$Q6,12)=0),IF(AND(Units!$L6=1,BA$1=Units!$Q6),IF(Units!$J6&lt;&gt;"",Units!$J6,Mkt!BA7),Inputs!$B$15*Mkt!BA7+(1-Inputs!$B$15)*MIN(Mkt!BA7,AZ7*(1+Inputs!$B$18))),AZ7)))</f>
        <v>1716.40093525</v>
      </c>
      <c r="BB7" s="11" t="n">
        <f aca="false">IF(BB$1&lt;Units!$P6,0,IF(AND(Units!$K6=0,BB$1=Units!$O6),Units!$R6,IF(AND(BB$1&gt;=Units!$Q6,MOD(BB$1-Units!$Q6,12)=0),IF(AND(Units!$L6=1,BB$1=Units!$Q6),IF(Units!$J6&lt;&gt;"",Units!$J6,Mkt!BB7),Inputs!$B$15*Mkt!BB7+(1-Inputs!$B$15)*MIN(Mkt!BB7,BA7*(1+Inputs!$B$18))),BA7)))</f>
        <v>1716.40093525</v>
      </c>
      <c r="BC7" s="11" t="n">
        <f aca="false">IF(BC$1&lt;Units!$P6,0,IF(AND(Units!$K6=0,BC$1=Units!$O6),Units!$R6,IF(AND(BC$1&gt;=Units!$Q6,MOD(BC$1-Units!$Q6,12)=0),IF(AND(Units!$L6=1,BC$1=Units!$Q6),IF(Units!$J6&lt;&gt;"",Units!$J6,Mkt!BC7),Inputs!$B$15*Mkt!BC7+(1-Inputs!$B$15)*MIN(Mkt!BC7,BB7*(1+Inputs!$B$18))),BB7)))</f>
        <v>1716.40093525</v>
      </c>
      <c r="BD7" s="11" t="n">
        <f aca="false">IF(BD$1&lt;Units!$P6,0,IF(AND(Units!$K6=0,BD$1=Units!$O6),Units!$R6,IF(AND(BD$1&gt;=Units!$Q6,MOD(BD$1-Units!$Q6,12)=0),IF(AND(Units!$L6=1,BD$1=Units!$Q6),IF(Units!$J6&lt;&gt;"",Units!$J6,Mkt!BD7),Inputs!$B$15*Mkt!BD7+(1-Inputs!$B$15)*MIN(Mkt!BD7,BC7*(1+Inputs!$B$18))),BC7)))</f>
        <v>1716.40093525</v>
      </c>
      <c r="BE7" s="11" t="n">
        <f aca="false">IF(BE$1&lt;Units!$P6,0,IF(AND(Units!$K6=0,BE$1=Units!$O6),Units!$R6,IF(AND(BE$1&gt;=Units!$Q6,MOD(BE$1-Units!$Q6,12)=0),IF(AND(Units!$L6=1,BE$1=Units!$Q6),IF(Units!$J6&lt;&gt;"",Units!$J6,Mkt!BE7),Inputs!$B$15*Mkt!BE7+(1-Inputs!$B$15)*MIN(Mkt!BE7,BD7*(1+Inputs!$B$18))),BD7)))</f>
        <v>1716.40093525</v>
      </c>
      <c r="BF7" s="11" t="n">
        <f aca="false">IF(BF$1&lt;Units!$P6,0,IF(AND(Units!$K6=0,BF$1=Units!$O6),Units!$R6,IF(AND(BF$1&gt;=Units!$Q6,MOD(BF$1-Units!$Q6,12)=0),IF(AND(Units!$L6=1,BF$1=Units!$Q6),IF(Units!$J6&lt;&gt;"",Units!$J6,Mkt!BF7),Inputs!$B$15*Mkt!BF7+(1-Inputs!$B$15)*MIN(Mkt!BF7,BE7*(1+Inputs!$B$18))),BE7)))</f>
        <v>1716.40093525</v>
      </c>
      <c r="BG7" s="11" t="n">
        <f aca="false">IF(BG$1&lt;Units!$P6,0,IF(AND(Units!$K6=0,BG$1=Units!$O6),Units!$R6,IF(AND(BG$1&gt;=Units!$Q6,MOD(BG$1-Units!$Q6,12)=0),IF(AND(Units!$L6=1,BG$1=Units!$Q6),IF(Units!$J6&lt;&gt;"",Units!$J6,Mkt!BG7),Inputs!$B$15*Mkt!BG7+(1-Inputs!$B$15)*MIN(Mkt!BG7,BF7*(1+Inputs!$B$18))),BF7)))</f>
        <v>1716.40093525</v>
      </c>
      <c r="BH7" s="11" t="n">
        <f aca="false">IF(BH$1&lt;Units!$P6,0,IF(AND(Units!$K6=0,BH$1=Units!$O6),Units!$R6,IF(AND(BH$1&gt;=Units!$Q6,MOD(BH$1-Units!$Q6,12)=0),IF(AND(Units!$L6=1,BH$1=Units!$Q6),IF(Units!$J6&lt;&gt;"",Units!$J6,Mkt!BH7),Inputs!$B$15*Mkt!BH7+(1-Inputs!$B$15)*MIN(Mkt!BH7,BG7*(1+Inputs!$B$18))),BG7)))</f>
        <v>1716.40093525</v>
      </c>
      <c r="BI7" s="11" t="n">
        <f aca="false">IF(BI$1&lt;Units!$P6,0,IF(AND(Units!$K6=0,BI$1=Units!$O6),Units!$R6,IF(AND(BI$1&gt;=Units!$Q6,MOD(BI$1-Units!$Q6,12)=0),IF(AND(Units!$L6=1,BI$1=Units!$Q6),IF(Units!$J6&lt;&gt;"",Units!$J6,Mkt!BI7),Inputs!$B$15*Mkt!BI7+(1-Inputs!$B$15)*MIN(Mkt!BI7,BH7*(1+Inputs!$B$18))),BH7)))</f>
        <v>1716.40093525</v>
      </c>
      <c r="BJ7" s="11" t="n">
        <f aca="false">IF(BJ$1&lt;Units!$P6,0,IF(AND(Units!$K6=0,BJ$1=Units!$O6),Units!$R6,IF(AND(BJ$1&gt;=Units!$Q6,MOD(BJ$1-Units!$Q6,12)=0),IF(AND(Units!$L6=1,BJ$1=Units!$Q6),IF(Units!$J6&lt;&gt;"",Units!$J6,Mkt!BJ7),Inputs!$B$15*Mkt!BJ7+(1-Inputs!$B$15)*MIN(Mkt!BJ7,BI7*(1+Inputs!$B$18))),BI7)))</f>
        <v>1716.40093525</v>
      </c>
      <c r="BK7" s="11" t="n">
        <f aca="false">IF(BK$1&lt;Units!$P6,0,IF(AND(Units!$K6=0,BK$1=Units!$O6),Units!$R6,IF(AND(BK$1&gt;=Units!$Q6,MOD(BK$1-Units!$Q6,12)=0),IF(AND(Units!$L6=1,BK$1=Units!$Q6),IF(Units!$J6&lt;&gt;"",Units!$J6,Mkt!BK7),Inputs!$B$15*Mkt!BK7+(1-Inputs!$B$15)*MIN(Mkt!BK7,BJ7*(1+Inputs!$B$18))),BJ7)))</f>
        <v>1716.40093525</v>
      </c>
      <c r="BL7" s="11" t="n">
        <f aca="false">IF(BL$1&lt;Units!$P6,0,IF(AND(Units!$K6=0,BL$1=Units!$O6),Units!$R6,IF(AND(BL$1&gt;=Units!$Q6,MOD(BL$1-Units!$Q6,12)=0),IF(AND(Units!$L6=1,BL$1=Units!$Q6),IF(Units!$J6&lt;&gt;"",Units!$J6,Mkt!BL7),Inputs!$B$15*Mkt!BL7+(1-Inputs!$B$15)*MIN(Mkt!BL7,BK7*(1+Inputs!$B$18))),BK7)))</f>
        <v>1716.40093525</v>
      </c>
      <c r="BM7" s="11" t="n">
        <f aca="false">IF(BM$1&lt;Units!$P6,0,IF(AND(Units!$K6=0,BM$1=Units!$O6),Units!$R6,IF(AND(BM$1&gt;=Units!$Q6,MOD(BM$1-Units!$Q6,12)=0),IF(AND(Units!$L6=1,BM$1=Units!$Q6),IF(Units!$J6&lt;&gt;"",Units!$J6,Mkt!BM7),Inputs!$B$15*Mkt!BM7+(1-Inputs!$B$15)*MIN(Mkt!BM7,BL7*(1+Inputs!$B$18))),BL7)))</f>
        <v>1767.8929633075</v>
      </c>
      <c r="BN7" s="11" t="n">
        <f aca="false">IF(BN$1&lt;Units!$P6,0,IF(AND(Units!$K6=0,BN$1=Units!$O6),Units!$R6,IF(AND(BN$1&gt;=Units!$Q6,MOD(BN$1-Units!$Q6,12)=0),IF(AND(Units!$L6=1,BN$1=Units!$Q6),IF(Units!$J6&lt;&gt;"",Units!$J6,Mkt!BN7),Inputs!$B$15*Mkt!BN7+(1-Inputs!$B$15)*MIN(Mkt!BN7,BM7*(1+Inputs!$B$18))),BM7)))</f>
        <v>1767.8929633075</v>
      </c>
      <c r="BO7" s="11" t="n">
        <f aca="false">IF(BO$1&lt;Units!$P6,0,IF(AND(Units!$K6=0,BO$1=Units!$O6),Units!$R6,IF(AND(BO$1&gt;=Units!$Q6,MOD(BO$1-Units!$Q6,12)=0),IF(AND(Units!$L6=1,BO$1=Units!$Q6),IF(Units!$J6&lt;&gt;"",Units!$J6,Mkt!BO7),Inputs!$B$15*Mkt!BO7+(1-Inputs!$B$15)*MIN(Mkt!BO7,BN7*(1+Inputs!$B$18))),BN7)))</f>
        <v>1767.8929633075</v>
      </c>
      <c r="BP7" s="11" t="n">
        <f aca="false">IF(BP$1&lt;Units!$P6,0,IF(AND(Units!$K6=0,BP$1=Units!$O6),Units!$R6,IF(AND(BP$1&gt;=Units!$Q6,MOD(BP$1-Units!$Q6,12)=0),IF(AND(Units!$L6=1,BP$1=Units!$Q6),IF(Units!$J6&lt;&gt;"",Units!$J6,Mkt!BP7),Inputs!$B$15*Mkt!BP7+(1-Inputs!$B$15)*MIN(Mkt!BP7,BO7*(1+Inputs!$B$18))),BO7)))</f>
        <v>1767.8929633075</v>
      </c>
      <c r="BQ7" s="11" t="n">
        <f aca="false">IF(BQ$1&lt;Units!$P6,0,IF(AND(Units!$K6=0,BQ$1=Units!$O6),Units!$R6,IF(AND(BQ$1&gt;=Units!$Q6,MOD(BQ$1-Units!$Q6,12)=0),IF(AND(Units!$L6=1,BQ$1=Units!$Q6),IF(Units!$J6&lt;&gt;"",Units!$J6,Mkt!BQ7),Inputs!$B$15*Mkt!BQ7+(1-Inputs!$B$15)*MIN(Mkt!BQ7,BP7*(1+Inputs!$B$18))),BP7)))</f>
        <v>1767.8929633075</v>
      </c>
      <c r="BR7" s="11" t="n">
        <f aca="false">IF(BR$1&lt;Units!$P6,0,IF(AND(Units!$K6=0,BR$1=Units!$O6),Units!$R6,IF(AND(BR$1&gt;=Units!$Q6,MOD(BR$1-Units!$Q6,12)=0),IF(AND(Units!$L6=1,BR$1=Units!$Q6),IF(Units!$J6&lt;&gt;"",Units!$J6,Mkt!BR7),Inputs!$B$15*Mkt!BR7+(1-Inputs!$B$15)*MIN(Mkt!BR7,BQ7*(1+Inputs!$B$18))),BQ7)))</f>
        <v>1767.8929633075</v>
      </c>
      <c r="BS7" s="11" t="n">
        <f aca="false">IF(BS$1&lt;Units!$P6,0,IF(AND(Units!$K6=0,BS$1=Units!$O6),Units!$R6,IF(AND(BS$1&gt;=Units!$Q6,MOD(BS$1-Units!$Q6,12)=0),IF(AND(Units!$L6=1,BS$1=Units!$Q6),IF(Units!$J6&lt;&gt;"",Units!$J6,Mkt!BS7),Inputs!$B$15*Mkt!BS7+(1-Inputs!$B$15)*MIN(Mkt!BS7,BR7*(1+Inputs!$B$18))),BR7)))</f>
        <v>1767.8929633075</v>
      </c>
      <c r="BT7" s="11" t="n">
        <f aca="false">IF(BT$1&lt;Units!$P6,0,IF(AND(Units!$K6=0,BT$1=Units!$O6),Units!$R6,IF(AND(BT$1&gt;=Units!$Q6,MOD(BT$1-Units!$Q6,12)=0),IF(AND(Units!$L6=1,BT$1=Units!$Q6),IF(Units!$J6&lt;&gt;"",Units!$J6,Mkt!BT7),Inputs!$B$15*Mkt!BT7+(1-Inputs!$B$15)*MIN(Mkt!BT7,BS7*(1+Inputs!$B$18))),BS7)))</f>
        <v>1767.8929633075</v>
      </c>
      <c r="BU7" s="11" t="n">
        <f aca="false">IF(BU$1&lt;Units!$P6,0,IF(AND(Units!$K6=0,BU$1=Units!$O6),Units!$R6,IF(AND(BU$1&gt;=Units!$Q6,MOD(BU$1-Units!$Q6,12)=0),IF(AND(Units!$L6=1,BU$1=Units!$Q6),IF(Units!$J6&lt;&gt;"",Units!$J6,Mkt!BU7),Inputs!$B$15*Mkt!BU7+(1-Inputs!$B$15)*MIN(Mkt!BU7,BT7*(1+Inputs!$B$18))),BT7)))</f>
        <v>1767.8929633075</v>
      </c>
      <c r="BV7" s="11" t="n">
        <f aca="false">IF(BV$1&lt;Units!$P6,0,IF(AND(Units!$K6=0,BV$1=Units!$O6),Units!$R6,IF(AND(BV$1&gt;=Units!$Q6,MOD(BV$1-Units!$Q6,12)=0),IF(AND(Units!$L6=1,BV$1=Units!$Q6),IF(Units!$J6&lt;&gt;"",Units!$J6,Mkt!BV7),Inputs!$B$15*Mkt!BV7+(1-Inputs!$B$15)*MIN(Mkt!BV7,BU7*(1+Inputs!$B$18))),BU7)))</f>
        <v>1767.8929633075</v>
      </c>
      <c r="BW7" s="11" t="n">
        <f aca="false">IF(BW$1&lt;Units!$P6,0,IF(AND(Units!$K6=0,BW$1=Units!$O6),Units!$R6,IF(AND(BW$1&gt;=Units!$Q6,MOD(BW$1-Units!$Q6,12)=0),IF(AND(Units!$L6=1,BW$1=Units!$Q6),IF(Units!$J6&lt;&gt;"",Units!$J6,Mkt!BW7),Inputs!$B$15*Mkt!BW7+(1-Inputs!$B$15)*MIN(Mkt!BW7,BV7*(1+Inputs!$B$18))),BV7)))</f>
        <v>1767.8929633075</v>
      </c>
      <c r="BX7" s="11" t="n">
        <f aca="false">IF(BX$1&lt;Units!$P6,0,IF(AND(Units!$K6=0,BX$1=Units!$O6),Units!$R6,IF(AND(BX$1&gt;=Units!$Q6,MOD(BX$1-Units!$Q6,12)=0),IF(AND(Units!$L6=1,BX$1=Units!$Q6),IF(Units!$J6&lt;&gt;"",Units!$J6,Mkt!BX7),Inputs!$B$15*Mkt!BX7+(1-Inputs!$B$15)*MIN(Mkt!BX7,BW7*(1+Inputs!$B$18))),BW7)))</f>
        <v>1767.8929633075</v>
      </c>
      <c r="BY7" s="11" t="n">
        <f aca="false">IF(BY$1&lt;Units!$P6,0,IF(AND(Units!$K6=0,BY$1=Units!$O6),Units!$R6,IF(AND(BY$1&gt;=Units!$Q6,MOD(BY$1-Units!$Q6,12)=0),IF(AND(Units!$L6=1,BY$1=Units!$Q6),IF(Units!$J6&lt;&gt;"",Units!$J6,Mkt!BY7),Inputs!$B$15*Mkt!BY7+(1-Inputs!$B$15)*MIN(Mkt!BY7,BX7*(1+Inputs!$B$18))),BX7)))</f>
        <v>1820.92975220673</v>
      </c>
      <c r="BZ7" s="11" t="n">
        <f aca="false">IF(BZ$1&lt;Units!$P6,0,IF(AND(Units!$K6=0,BZ$1=Units!$O6),Units!$R6,IF(AND(BZ$1&gt;=Units!$Q6,MOD(BZ$1-Units!$Q6,12)=0),IF(AND(Units!$L6=1,BZ$1=Units!$Q6),IF(Units!$J6&lt;&gt;"",Units!$J6,Mkt!BZ7),Inputs!$B$15*Mkt!BZ7+(1-Inputs!$B$15)*MIN(Mkt!BZ7,BY7*(1+Inputs!$B$18))),BY7)))</f>
        <v>1820.92975220673</v>
      </c>
      <c r="CA7" s="11" t="n">
        <f aca="false">IF(CA$1&lt;Units!$P6,0,IF(AND(Units!$K6=0,CA$1=Units!$O6),Units!$R6,IF(AND(CA$1&gt;=Units!$Q6,MOD(CA$1-Units!$Q6,12)=0),IF(AND(Units!$L6=1,CA$1=Units!$Q6),IF(Units!$J6&lt;&gt;"",Units!$J6,Mkt!CA7),Inputs!$B$15*Mkt!CA7+(1-Inputs!$B$15)*MIN(Mkt!CA7,BZ7*(1+Inputs!$B$18))),BZ7)))</f>
        <v>1820.92975220673</v>
      </c>
      <c r="CB7" s="11" t="n">
        <f aca="false">IF(CB$1&lt;Units!$P6,0,IF(AND(Units!$K6=0,CB$1=Units!$O6),Units!$R6,IF(AND(CB$1&gt;=Units!$Q6,MOD(CB$1-Units!$Q6,12)=0),IF(AND(Units!$L6=1,CB$1=Units!$Q6),IF(Units!$J6&lt;&gt;"",Units!$J6,Mkt!CB7),Inputs!$B$15*Mkt!CB7+(1-Inputs!$B$15)*MIN(Mkt!CB7,CA7*(1+Inputs!$B$18))),CA7)))</f>
        <v>1820.92975220673</v>
      </c>
      <c r="CC7" s="11" t="n">
        <f aca="false">IF(CC$1&lt;Units!$P6,0,IF(AND(Units!$K6=0,CC$1=Units!$O6),Units!$R6,IF(AND(CC$1&gt;=Units!$Q6,MOD(CC$1-Units!$Q6,12)=0),IF(AND(Units!$L6=1,CC$1=Units!$Q6),IF(Units!$J6&lt;&gt;"",Units!$J6,Mkt!CC7),Inputs!$B$15*Mkt!CC7+(1-Inputs!$B$15)*MIN(Mkt!CC7,CB7*(1+Inputs!$B$18))),CB7)))</f>
        <v>1820.92975220673</v>
      </c>
      <c r="CD7" s="11" t="n">
        <f aca="false">IF(CD$1&lt;Units!$P6,0,IF(AND(Units!$K6=0,CD$1=Units!$O6),Units!$R6,IF(AND(CD$1&gt;=Units!$Q6,MOD(CD$1-Units!$Q6,12)=0),IF(AND(Units!$L6=1,CD$1=Units!$Q6),IF(Units!$J6&lt;&gt;"",Units!$J6,Mkt!CD7),Inputs!$B$15*Mkt!CD7+(1-Inputs!$B$15)*MIN(Mkt!CD7,CC7*(1+Inputs!$B$18))),CC7)))</f>
        <v>1820.92975220673</v>
      </c>
      <c r="CE7" s="11" t="n">
        <f aca="false">IF(CE$1&lt;Units!$P6,0,IF(AND(Units!$K6=0,CE$1=Units!$O6),Units!$R6,IF(AND(CE$1&gt;=Units!$Q6,MOD(CE$1-Units!$Q6,12)=0),IF(AND(Units!$L6=1,CE$1=Units!$Q6),IF(Units!$J6&lt;&gt;"",Units!$J6,Mkt!CE7),Inputs!$B$15*Mkt!CE7+(1-Inputs!$B$15)*MIN(Mkt!CE7,CD7*(1+Inputs!$B$18))),CD7)))</f>
        <v>1820.92975220673</v>
      </c>
      <c r="CF7" s="11" t="n">
        <f aca="false">IF(CF$1&lt;Units!$P6,0,IF(AND(Units!$K6=0,CF$1=Units!$O6),Units!$R6,IF(AND(CF$1&gt;=Units!$Q6,MOD(CF$1-Units!$Q6,12)=0),IF(AND(Units!$L6=1,CF$1=Units!$Q6),IF(Units!$J6&lt;&gt;"",Units!$J6,Mkt!CF7),Inputs!$B$15*Mkt!CF7+(1-Inputs!$B$15)*MIN(Mkt!CF7,CE7*(1+Inputs!$B$18))),CE7)))</f>
        <v>1820.92975220673</v>
      </c>
      <c r="CG7" s="11" t="n">
        <f aca="false">IF(CG$1&lt;Units!$P6,0,IF(AND(Units!$K6=0,CG$1=Units!$O6),Units!$R6,IF(AND(CG$1&gt;=Units!$Q6,MOD(CG$1-Units!$Q6,12)=0),IF(AND(Units!$L6=1,CG$1=Units!$Q6),IF(Units!$J6&lt;&gt;"",Units!$J6,Mkt!CG7),Inputs!$B$15*Mkt!CG7+(1-Inputs!$B$15)*MIN(Mkt!CG7,CF7*(1+Inputs!$B$18))),CF7)))</f>
        <v>1820.92975220673</v>
      </c>
      <c r="CH7" s="11" t="n">
        <f aca="false">IF(CH$1&lt;Units!$P6,0,IF(AND(Units!$K6=0,CH$1=Units!$O6),Units!$R6,IF(AND(CH$1&gt;=Units!$Q6,MOD(CH$1-Units!$Q6,12)=0),IF(AND(Units!$L6=1,CH$1=Units!$Q6),IF(Units!$J6&lt;&gt;"",Units!$J6,Mkt!CH7),Inputs!$B$15*Mkt!CH7+(1-Inputs!$B$15)*MIN(Mkt!CH7,CG7*(1+Inputs!$B$18))),CG7)))</f>
        <v>1820.92975220673</v>
      </c>
      <c r="CI7" s="11" t="n">
        <f aca="false">IF(CI$1&lt;Units!$P6,0,IF(AND(Units!$K6=0,CI$1=Units!$O6),Units!$R6,IF(AND(CI$1&gt;=Units!$Q6,MOD(CI$1-Units!$Q6,12)=0),IF(AND(Units!$L6=1,CI$1=Units!$Q6),IF(Units!$J6&lt;&gt;"",Units!$J6,Mkt!CI7),Inputs!$B$15*Mkt!CI7+(1-Inputs!$B$15)*MIN(Mkt!CI7,CH7*(1+Inputs!$B$18))),CH7)))</f>
        <v>1820.92975220673</v>
      </c>
      <c r="CJ7" s="11" t="n">
        <f aca="false">IF(CJ$1&lt;Units!$P6,0,IF(AND(Units!$K6=0,CJ$1=Units!$O6),Units!$R6,IF(AND(CJ$1&gt;=Units!$Q6,MOD(CJ$1-Units!$Q6,12)=0),IF(AND(Units!$L6=1,CJ$1=Units!$Q6),IF(Units!$J6&lt;&gt;"",Units!$J6,Mkt!CJ7),Inputs!$B$15*Mkt!CJ7+(1-Inputs!$B$15)*MIN(Mkt!CJ7,CI7*(1+Inputs!$B$18))),CI7)))</f>
        <v>1820.92975220673</v>
      </c>
      <c r="CK7" s="11" t="n">
        <f aca="false">IF(CK$1&lt;Units!$P6,0,IF(AND(Units!$K6=0,CK$1=Units!$O6),Units!$R6,IF(AND(CK$1&gt;=Units!$Q6,MOD(CK$1-Units!$Q6,12)=0),IF(AND(Units!$L6=1,CK$1=Units!$Q6),IF(Units!$J6&lt;&gt;"",Units!$J6,Mkt!CK7),Inputs!$B$15*Mkt!CK7+(1-Inputs!$B$15)*MIN(Mkt!CK7,CJ7*(1+Inputs!$B$18))),CJ7)))</f>
        <v>1875.55764477293</v>
      </c>
      <c r="CL7" s="11" t="n">
        <f aca="false">IF(CL$1&lt;Units!$P6,0,IF(AND(Units!$K6=0,CL$1=Units!$O6),Units!$R6,IF(AND(CL$1&gt;=Units!$Q6,MOD(CL$1-Units!$Q6,12)=0),IF(AND(Units!$L6=1,CL$1=Units!$Q6),IF(Units!$J6&lt;&gt;"",Units!$J6,Mkt!CL7),Inputs!$B$15*Mkt!CL7+(1-Inputs!$B$15)*MIN(Mkt!CL7,CK7*(1+Inputs!$B$18))),CK7)))</f>
        <v>1875.55764477293</v>
      </c>
      <c r="CM7" s="11" t="n">
        <f aca="false">IF(CM$1&lt;Units!$P6,0,IF(AND(Units!$K6=0,CM$1=Units!$O6),Units!$R6,IF(AND(CM$1&gt;=Units!$Q6,MOD(CM$1-Units!$Q6,12)=0),IF(AND(Units!$L6=1,CM$1=Units!$Q6),IF(Units!$J6&lt;&gt;"",Units!$J6,Mkt!CM7),Inputs!$B$15*Mkt!CM7+(1-Inputs!$B$15)*MIN(Mkt!CM7,CL7*(1+Inputs!$B$18))),CL7)))</f>
        <v>1875.55764477293</v>
      </c>
      <c r="CN7" s="11" t="n">
        <f aca="false">IF(CN$1&lt;Units!$P6,0,IF(AND(Units!$K6=0,CN$1=Units!$O6),Units!$R6,IF(AND(CN$1&gt;=Units!$Q6,MOD(CN$1-Units!$Q6,12)=0),IF(AND(Units!$L6=1,CN$1=Units!$Q6),IF(Units!$J6&lt;&gt;"",Units!$J6,Mkt!CN7),Inputs!$B$15*Mkt!CN7+(1-Inputs!$B$15)*MIN(Mkt!CN7,CM7*(1+Inputs!$B$18))),CM7)))</f>
        <v>1875.55764477293</v>
      </c>
      <c r="CO7" s="11" t="n">
        <f aca="false">IF(CO$1&lt;Units!$P6,0,IF(AND(Units!$K6=0,CO$1=Units!$O6),Units!$R6,IF(AND(CO$1&gt;=Units!$Q6,MOD(CO$1-Units!$Q6,12)=0),IF(AND(Units!$L6=1,CO$1=Units!$Q6),IF(Units!$J6&lt;&gt;"",Units!$J6,Mkt!CO7),Inputs!$B$15*Mkt!CO7+(1-Inputs!$B$15)*MIN(Mkt!CO7,CN7*(1+Inputs!$B$18))),CN7)))</f>
        <v>1875.55764477293</v>
      </c>
      <c r="CP7" s="11" t="n">
        <f aca="false">IF(CP$1&lt;Units!$P6,0,IF(AND(Units!$K6=0,CP$1=Units!$O6),Units!$R6,IF(AND(CP$1&gt;=Units!$Q6,MOD(CP$1-Units!$Q6,12)=0),IF(AND(Units!$L6=1,CP$1=Units!$Q6),IF(Units!$J6&lt;&gt;"",Units!$J6,Mkt!CP7),Inputs!$B$15*Mkt!CP7+(1-Inputs!$B$15)*MIN(Mkt!CP7,CO7*(1+Inputs!$B$18))),CO7)))</f>
        <v>1875.55764477293</v>
      </c>
      <c r="CQ7" s="11" t="n">
        <f aca="false">IF(CQ$1&lt;Units!$P6,0,IF(AND(Units!$K6=0,CQ$1=Units!$O6),Units!$R6,IF(AND(CQ$1&gt;=Units!$Q6,MOD(CQ$1-Units!$Q6,12)=0),IF(AND(Units!$L6=1,CQ$1=Units!$Q6),IF(Units!$J6&lt;&gt;"",Units!$J6,Mkt!CQ7),Inputs!$B$15*Mkt!CQ7+(1-Inputs!$B$15)*MIN(Mkt!CQ7,CP7*(1+Inputs!$B$18))),CP7)))</f>
        <v>1875.55764477293</v>
      </c>
      <c r="CR7" s="11" t="n">
        <f aca="false">IF(CR$1&lt;Units!$P6,0,IF(AND(Units!$K6=0,CR$1=Units!$O6),Units!$R6,IF(AND(CR$1&gt;=Units!$Q6,MOD(CR$1-Units!$Q6,12)=0),IF(AND(Units!$L6=1,CR$1=Units!$Q6),IF(Units!$J6&lt;&gt;"",Units!$J6,Mkt!CR7),Inputs!$B$15*Mkt!CR7+(1-Inputs!$B$15)*MIN(Mkt!CR7,CQ7*(1+Inputs!$B$18))),CQ7)))</f>
        <v>1875.55764477293</v>
      </c>
      <c r="CS7" s="11" t="n">
        <f aca="false">IF(CS$1&lt;Units!$P6,0,IF(AND(Units!$K6=0,CS$1=Units!$O6),Units!$R6,IF(AND(CS$1&gt;=Units!$Q6,MOD(CS$1-Units!$Q6,12)=0),IF(AND(Units!$L6=1,CS$1=Units!$Q6),IF(Units!$J6&lt;&gt;"",Units!$J6,Mkt!CS7),Inputs!$B$15*Mkt!CS7+(1-Inputs!$B$15)*MIN(Mkt!CS7,CR7*(1+Inputs!$B$18))),CR7)))</f>
        <v>1875.55764477293</v>
      </c>
      <c r="CT7" s="11" t="n">
        <f aca="false">IF(CT$1&lt;Units!$P6,0,IF(AND(Units!$K6=0,CT$1=Units!$O6),Units!$R6,IF(AND(CT$1&gt;=Units!$Q6,MOD(CT$1-Units!$Q6,12)=0),IF(AND(Units!$L6=1,CT$1=Units!$Q6),IF(Units!$J6&lt;&gt;"",Units!$J6,Mkt!CT7),Inputs!$B$15*Mkt!CT7+(1-Inputs!$B$15)*MIN(Mkt!CT7,CS7*(1+Inputs!$B$18))),CS7)))</f>
        <v>1875.55764477293</v>
      </c>
      <c r="CU7" s="11" t="n">
        <f aca="false">IF(CU$1&lt;Units!$P6,0,IF(AND(Units!$K6=0,CU$1=Units!$O6),Units!$R6,IF(AND(CU$1&gt;=Units!$Q6,MOD(CU$1-Units!$Q6,12)=0),IF(AND(Units!$L6=1,CU$1=Units!$Q6),IF(Units!$J6&lt;&gt;"",Units!$J6,Mkt!CU7),Inputs!$B$15*Mkt!CU7+(1-Inputs!$B$15)*MIN(Mkt!CU7,CT7*(1+Inputs!$B$18))),CT7)))</f>
        <v>1875.55764477293</v>
      </c>
      <c r="CV7" s="11" t="n">
        <f aca="false">IF(CV$1&lt;Units!$P6,0,IF(AND(Units!$K6=0,CV$1=Units!$O6),Units!$R6,IF(AND(CV$1&gt;=Units!$Q6,MOD(CV$1-Units!$Q6,12)=0),IF(AND(Units!$L6=1,CV$1=Units!$Q6),IF(Units!$J6&lt;&gt;"",Units!$J6,Mkt!CV7),Inputs!$B$15*Mkt!CV7+(1-Inputs!$B$15)*MIN(Mkt!CV7,CU7*(1+Inputs!$B$18))),CU7)))</f>
        <v>1875.55764477293</v>
      </c>
      <c r="CW7" s="11" t="n">
        <f aca="false">IF(CW$1&lt;Units!$P6,0,IF(AND(Units!$K6=0,CW$1=Units!$O6),Units!$R6,IF(AND(CW$1&gt;=Units!$Q6,MOD(CW$1-Units!$Q6,12)=0),IF(AND(Units!$L6=1,CW$1=Units!$Q6),IF(Units!$J6&lt;&gt;"",Units!$J6,Mkt!CW7),Inputs!$B$15*Mkt!CW7+(1-Inputs!$B$15)*MIN(Mkt!CW7,CV7*(1+Inputs!$B$18))),CV7)))</f>
        <v>1931.82437411612</v>
      </c>
      <c r="CX7" s="11" t="n">
        <f aca="false">IF(CX$1&lt;Units!$P6,0,IF(AND(Units!$K6=0,CX$1=Units!$O6),Units!$R6,IF(AND(CX$1&gt;=Units!$Q6,MOD(CX$1-Units!$Q6,12)=0),IF(AND(Units!$L6=1,CX$1=Units!$Q6),IF(Units!$J6&lt;&gt;"",Units!$J6,Mkt!CX7),Inputs!$B$15*Mkt!CX7+(1-Inputs!$B$15)*MIN(Mkt!CX7,CW7*(1+Inputs!$B$18))),CW7)))</f>
        <v>1931.82437411612</v>
      </c>
      <c r="CY7" s="11" t="n">
        <f aca="false">IF(CY$1&lt;Units!$P6,0,IF(AND(Units!$K6=0,CY$1=Units!$O6),Units!$R6,IF(AND(CY$1&gt;=Units!$Q6,MOD(CY$1-Units!$Q6,12)=0),IF(AND(Units!$L6=1,CY$1=Units!$Q6),IF(Units!$J6&lt;&gt;"",Units!$J6,Mkt!CY7),Inputs!$B$15*Mkt!CY7+(1-Inputs!$B$15)*MIN(Mkt!CY7,CX7*(1+Inputs!$B$18))),CX7)))</f>
        <v>1931.82437411612</v>
      </c>
      <c r="CZ7" s="11" t="n">
        <f aca="false">IF(CZ$1&lt;Units!$P6,0,IF(AND(Units!$K6=0,CZ$1=Units!$O6),Units!$R6,IF(AND(CZ$1&gt;=Units!$Q6,MOD(CZ$1-Units!$Q6,12)=0),IF(AND(Units!$L6=1,CZ$1=Units!$Q6),IF(Units!$J6&lt;&gt;"",Units!$J6,Mkt!CZ7),Inputs!$B$15*Mkt!CZ7+(1-Inputs!$B$15)*MIN(Mkt!CZ7,CY7*(1+Inputs!$B$18))),CY7)))</f>
        <v>1931.82437411612</v>
      </c>
      <c r="DA7" s="11" t="n">
        <f aca="false">IF(DA$1&lt;Units!$P6,0,IF(AND(Units!$K6=0,DA$1=Units!$O6),Units!$R6,IF(AND(DA$1&gt;=Units!$Q6,MOD(DA$1-Units!$Q6,12)=0),IF(AND(Units!$L6=1,DA$1=Units!$Q6),IF(Units!$J6&lt;&gt;"",Units!$J6,Mkt!DA7),Inputs!$B$15*Mkt!DA7+(1-Inputs!$B$15)*MIN(Mkt!DA7,CZ7*(1+Inputs!$B$18))),CZ7)))</f>
        <v>1931.82437411612</v>
      </c>
      <c r="DB7" s="11" t="n">
        <f aca="false">IF(DB$1&lt;Units!$P6,0,IF(AND(Units!$K6=0,DB$1=Units!$O6),Units!$R6,IF(AND(DB$1&gt;=Units!$Q6,MOD(DB$1-Units!$Q6,12)=0),IF(AND(Units!$L6=1,DB$1=Units!$Q6),IF(Units!$J6&lt;&gt;"",Units!$J6,Mkt!DB7),Inputs!$B$15*Mkt!DB7+(1-Inputs!$B$15)*MIN(Mkt!DB7,DA7*(1+Inputs!$B$18))),DA7)))</f>
        <v>1931.82437411612</v>
      </c>
      <c r="DC7" s="11" t="n">
        <f aca="false">IF(DC$1&lt;Units!$P6,0,IF(AND(Units!$K6=0,DC$1=Units!$O6),Units!$R6,IF(AND(DC$1&gt;=Units!$Q6,MOD(DC$1-Units!$Q6,12)=0),IF(AND(Units!$L6=1,DC$1=Units!$Q6),IF(Units!$J6&lt;&gt;"",Units!$J6,Mkt!DC7),Inputs!$B$15*Mkt!DC7+(1-Inputs!$B$15)*MIN(Mkt!DC7,DB7*(1+Inputs!$B$18))),DB7)))</f>
        <v>1931.82437411612</v>
      </c>
      <c r="DD7" s="11" t="n">
        <f aca="false">IF(DD$1&lt;Units!$P6,0,IF(AND(Units!$K6=0,DD$1=Units!$O6),Units!$R6,IF(AND(DD$1&gt;=Units!$Q6,MOD(DD$1-Units!$Q6,12)=0),IF(AND(Units!$L6=1,DD$1=Units!$Q6),IF(Units!$J6&lt;&gt;"",Units!$J6,Mkt!DD7),Inputs!$B$15*Mkt!DD7+(1-Inputs!$B$15)*MIN(Mkt!DD7,DC7*(1+Inputs!$B$18))),DC7)))</f>
        <v>1931.82437411612</v>
      </c>
      <c r="DE7" s="11" t="n">
        <f aca="false">IF(DE$1&lt;Units!$P6,0,IF(AND(Units!$K6=0,DE$1=Units!$O6),Units!$R6,IF(AND(DE$1&gt;=Units!$Q6,MOD(DE$1-Units!$Q6,12)=0),IF(AND(Units!$L6=1,DE$1=Units!$Q6),IF(Units!$J6&lt;&gt;"",Units!$J6,Mkt!DE7),Inputs!$B$15*Mkt!DE7+(1-Inputs!$B$15)*MIN(Mkt!DE7,DD7*(1+Inputs!$B$18))),DD7)))</f>
        <v>1931.82437411612</v>
      </c>
      <c r="DF7" s="11" t="n">
        <f aca="false">IF(DF$1&lt;Units!$P6,0,IF(AND(Units!$K6=0,DF$1=Units!$O6),Units!$R6,IF(AND(DF$1&gt;=Units!$Q6,MOD(DF$1-Units!$Q6,12)=0),IF(AND(Units!$L6=1,DF$1=Units!$Q6),IF(Units!$J6&lt;&gt;"",Units!$J6,Mkt!DF7),Inputs!$B$15*Mkt!DF7+(1-Inputs!$B$15)*MIN(Mkt!DF7,DE7*(1+Inputs!$B$18))),DE7)))</f>
        <v>1931.82437411612</v>
      </c>
      <c r="DG7" s="11" t="n">
        <f aca="false">IF(DG$1&lt;Units!$P6,0,IF(AND(Units!$K6=0,DG$1=Units!$O6),Units!$R6,IF(AND(DG$1&gt;=Units!$Q6,MOD(DG$1-Units!$Q6,12)=0),IF(AND(Units!$L6=1,DG$1=Units!$Q6),IF(Units!$J6&lt;&gt;"",Units!$J6,Mkt!DG7),Inputs!$B$15*Mkt!DG7+(1-Inputs!$B$15)*MIN(Mkt!DG7,DF7*(1+Inputs!$B$18))),DF7)))</f>
        <v>1931.82437411612</v>
      </c>
      <c r="DH7" s="11" t="n">
        <f aca="false">IF(DH$1&lt;Units!$P6,0,IF(AND(Units!$K6=0,DH$1=Units!$O6),Units!$R6,IF(AND(DH$1&gt;=Units!$Q6,MOD(DH$1-Units!$Q6,12)=0),IF(AND(Units!$L6=1,DH$1=Units!$Q6),IF(Units!$J6&lt;&gt;"",Units!$J6,Mkt!DH7),Inputs!$B$15*Mkt!DH7+(1-Inputs!$B$15)*MIN(Mkt!DH7,DG7*(1+Inputs!$B$18))),DG7)))</f>
        <v>1931.82437411612</v>
      </c>
      <c r="DI7" s="11" t="n">
        <f aca="false">IF(DI$1&lt;Units!$P6,0,IF(AND(Units!$K6=0,DI$1=Units!$O6),Units!$R6,IF(AND(DI$1&gt;=Units!$Q6,MOD(DI$1-Units!$Q6,12)=0),IF(AND(Units!$L6=1,DI$1=Units!$Q6),IF(Units!$J6&lt;&gt;"",Units!$J6,Mkt!DI7),Inputs!$B$15*Mkt!DI7+(1-Inputs!$B$15)*MIN(Mkt!DI7,DH7*(1+Inputs!$B$18))),DH7)))</f>
        <v>1989.7791053396</v>
      </c>
      <c r="DJ7" s="11" t="n">
        <f aca="false">IF(DJ$1&lt;Units!$P6,0,IF(AND(Units!$K6=0,DJ$1=Units!$O6),Units!$R6,IF(AND(DJ$1&gt;=Units!$Q6,MOD(DJ$1-Units!$Q6,12)=0),IF(AND(Units!$L6=1,DJ$1=Units!$Q6),IF(Units!$J6&lt;&gt;"",Units!$J6,Mkt!DJ7),Inputs!$B$15*Mkt!DJ7+(1-Inputs!$B$15)*MIN(Mkt!DJ7,DI7*(1+Inputs!$B$18))),DI7)))</f>
        <v>1989.7791053396</v>
      </c>
      <c r="DK7" s="11" t="n">
        <f aca="false">IF(DK$1&lt;Units!$P6,0,IF(AND(Units!$K6=0,DK$1=Units!$O6),Units!$R6,IF(AND(DK$1&gt;=Units!$Q6,MOD(DK$1-Units!$Q6,12)=0),IF(AND(Units!$L6=1,DK$1=Units!$Q6),IF(Units!$J6&lt;&gt;"",Units!$J6,Mkt!DK7),Inputs!$B$15*Mkt!DK7+(1-Inputs!$B$15)*MIN(Mkt!DK7,DJ7*(1+Inputs!$B$18))),DJ7)))</f>
        <v>1989.7791053396</v>
      </c>
      <c r="DL7" s="11" t="n">
        <f aca="false">IF(DL$1&lt;Units!$P6,0,IF(AND(Units!$K6=0,DL$1=Units!$O6),Units!$R6,IF(AND(DL$1&gt;=Units!$Q6,MOD(DL$1-Units!$Q6,12)=0),IF(AND(Units!$L6=1,DL$1=Units!$Q6),IF(Units!$J6&lt;&gt;"",Units!$J6,Mkt!DL7),Inputs!$B$15*Mkt!DL7+(1-Inputs!$B$15)*MIN(Mkt!DL7,DK7*(1+Inputs!$B$18))),DK7)))</f>
        <v>1989.7791053396</v>
      </c>
      <c r="DM7" s="11" t="n">
        <f aca="false">IF(DM$1&lt;Units!$P6,0,IF(AND(Units!$K6=0,DM$1=Units!$O6),Units!$R6,IF(AND(DM$1&gt;=Units!$Q6,MOD(DM$1-Units!$Q6,12)=0),IF(AND(Units!$L6=1,DM$1=Units!$Q6),IF(Units!$J6&lt;&gt;"",Units!$J6,Mkt!DM7),Inputs!$B$15*Mkt!DM7+(1-Inputs!$B$15)*MIN(Mkt!DM7,DL7*(1+Inputs!$B$18))),DL7)))</f>
        <v>1989.7791053396</v>
      </c>
      <c r="DN7" s="11" t="n">
        <f aca="false">IF(DN$1&lt;Units!$P6,0,IF(AND(Units!$K6=0,DN$1=Units!$O6),Units!$R6,IF(AND(DN$1&gt;=Units!$Q6,MOD(DN$1-Units!$Q6,12)=0),IF(AND(Units!$L6=1,DN$1=Units!$Q6),IF(Units!$J6&lt;&gt;"",Units!$J6,Mkt!DN7),Inputs!$B$15*Mkt!DN7+(1-Inputs!$B$15)*MIN(Mkt!DN7,DM7*(1+Inputs!$B$18))),DM7)))</f>
        <v>1989.7791053396</v>
      </c>
      <c r="DO7" s="11" t="n">
        <f aca="false">IF(DO$1&lt;Units!$P6,0,IF(AND(Units!$K6=0,DO$1=Units!$O6),Units!$R6,IF(AND(DO$1&gt;=Units!$Q6,MOD(DO$1-Units!$Q6,12)=0),IF(AND(Units!$L6=1,DO$1=Units!$Q6),IF(Units!$J6&lt;&gt;"",Units!$J6,Mkt!DO7),Inputs!$B$15*Mkt!DO7+(1-Inputs!$B$15)*MIN(Mkt!DO7,DN7*(1+Inputs!$B$18))),DN7)))</f>
        <v>1989.7791053396</v>
      </c>
      <c r="DP7" s="11" t="n">
        <f aca="false">IF(DP$1&lt;Units!$P6,0,IF(AND(Units!$K6=0,DP$1=Units!$O6),Units!$R6,IF(AND(DP$1&gt;=Units!$Q6,MOD(DP$1-Units!$Q6,12)=0),IF(AND(Units!$L6=1,DP$1=Units!$Q6),IF(Units!$J6&lt;&gt;"",Units!$J6,Mkt!DP7),Inputs!$B$15*Mkt!DP7+(1-Inputs!$B$15)*MIN(Mkt!DP7,DO7*(1+Inputs!$B$18))),DO7)))</f>
        <v>1989.7791053396</v>
      </c>
      <c r="DQ7" s="11" t="n">
        <f aca="false">IF(DQ$1&lt;Units!$P6,0,IF(AND(Units!$K6=0,DQ$1=Units!$O6),Units!$R6,IF(AND(DQ$1&gt;=Units!$Q6,MOD(DQ$1-Units!$Q6,12)=0),IF(AND(Units!$L6=1,DQ$1=Units!$Q6),IF(Units!$J6&lt;&gt;"",Units!$J6,Mkt!DQ7),Inputs!$B$15*Mkt!DQ7+(1-Inputs!$B$15)*MIN(Mkt!DQ7,DP7*(1+Inputs!$B$18))),DP7)))</f>
        <v>1989.7791053396</v>
      </c>
      <c r="DR7" s="11" t="n">
        <f aca="false">IF(DR$1&lt;Units!$P6,0,IF(AND(Units!$K6=0,DR$1=Units!$O6),Units!$R6,IF(AND(DR$1&gt;=Units!$Q6,MOD(DR$1-Units!$Q6,12)=0),IF(AND(Units!$L6=1,DR$1=Units!$Q6),IF(Units!$J6&lt;&gt;"",Units!$J6,Mkt!DR7),Inputs!$B$15*Mkt!DR7+(1-Inputs!$B$15)*MIN(Mkt!DR7,DQ7*(1+Inputs!$B$18))),DQ7)))</f>
        <v>1989.7791053396</v>
      </c>
      <c r="DS7" s="11" t="n">
        <f aca="false">IF(DS$1&lt;Units!$P6,0,IF(AND(Units!$K6=0,DS$1=Units!$O6),Units!$R6,IF(AND(DS$1&gt;=Units!$Q6,MOD(DS$1-Units!$Q6,12)=0),IF(AND(Units!$L6=1,DS$1=Units!$Q6),IF(Units!$J6&lt;&gt;"",Units!$J6,Mkt!DS7),Inputs!$B$15*Mkt!DS7+(1-Inputs!$B$15)*MIN(Mkt!DS7,DR7*(1+Inputs!$B$18))),DR7)))</f>
        <v>1989.7791053396</v>
      </c>
      <c r="DT7" s="11" t="n">
        <f aca="false">IF(DT$1&lt;Units!$P6,0,IF(AND(Units!$K6=0,DT$1=Units!$O6),Units!$R6,IF(AND(DT$1&gt;=Units!$Q6,MOD(DT$1-Units!$Q6,12)=0),IF(AND(Units!$L6=1,DT$1=Units!$Q6),IF(Units!$J6&lt;&gt;"",Units!$J6,Mkt!DT7),Inputs!$B$15*Mkt!DT7+(1-Inputs!$B$15)*MIN(Mkt!DT7,DS7*(1+Inputs!$B$18))),DS7)))</f>
        <v>1989.7791053396</v>
      </c>
      <c r="DU7" s="11" t="n">
        <f aca="false">IF(DU$1&lt;Units!$P6,0,IF(AND(Units!$K6=0,DU$1=Units!$O6),Units!$R6,IF(AND(DU$1&gt;=Units!$Q6,MOD(DU$1-Units!$Q6,12)=0),IF(AND(Units!$L6=1,DU$1=Units!$Q6),IF(Units!$J6&lt;&gt;"",Units!$J6,Mkt!DU7),Inputs!$B$15*Mkt!DU7+(1-Inputs!$B$15)*MIN(Mkt!DU7,DT7*(1+Inputs!$B$18))),DT7)))</f>
        <v>2049.47247849979</v>
      </c>
      <c r="DV7" s="11" t="n">
        <f aca="false">IF(DV$1&lt;Units!$P6,0,IF(AND(Units!$K6=0,DV$1=Units!$O6),Units!$R6,IF(AND(DV$1&gt;=Units!$Q6,MOD(DV$1-Units!$Q6,12)=0),IF(AND(Units!$L6=1,DV$1=Units!$Q6),IF(Units!$J6&lt;&gt;"",Units!$J6,Mkt!DV7),Inputs!$B$15*Mkt!DV7+(1-Inputs!$B$15)*MIN(Mkt!DV7,DU7*(1+Inputs!$B$18))),DU7)))</f>
        <v>2049.47247849979</v>
      </c>
      <c r="DW7" s="11" t="n">
        <f aca="false">IF(DW$1&lt;Units!$P6,0,IF(AND(Units!$K6=0,DW$1=Units!$O6),Units!$R6,IF(AND(DW$1&gt;=Units!$Q6,MOD(DW$1-Units!$Q6,12)=0),IF(AND(Units!$L6=1,DW$1=Units!$Q6),IF(Units!$J6&lt;&gt;"",Units!$J6,Mkt!DW7),Inputs!$B$15*Mkt!DW7+(1-Inputs!$B$15)*MIN(Mkt!DW7,DV7*(1+Inputs!$B$18))),DV7)))</f>
        <v>2049.47247849979</v>
      </c>
      <c r="DX7" s="11" t="n">
        <f aca="false">IF(DX$1&lt;Units!$P6,0,IF(AND(Units!$K6=0,DX$1=Units!$O6),Units!$R6,IF(AND(DX$1&gt;=Units!$Q6,MOD(DX$1-Units!$Q6,12)=0),IF(AND(Units!$L6=1,DX$1=Units!$Q6),IF(Units!$J6&lt;&gt;"",Units!$J6,Mkt!DX7),Inputs!$B$15*Mkt!DX7+(1-Inputs!$B$15)*MIN(Mkt!DX7,DW7*(1+Inputs!$B$18))),DW7)))</f>
        <v>2049.47247849979</v>
      </c>
      <c r="DY7" s="11" t="n">
        <f aca="false">IF(DY$1&lt;Units!$P6,0,IF(AND(Units!$K6=0,DY$1=Units!$O6),Units!$R6,IF(AND(DY$1&gt;=Units!$Q6,MOD(DY$1-Units!$Q6,12)=0),IF(AND(Units!$L6=1,DY$1=Units!$Q6),IF(Units!$J6&lt;&gt;"",Units!$J6,Mkt!DY7),Inputs!$B$15*Mkt!DY7+(1-Inputs!$B$15)*MIN(Mkt!DY7,DX7*(1+Inputs!$B$18))),DX7)))</f>
        <v>2049.47247849979</v>
      </c>
      <c r="DZ7" s="11" t="n">
        <f aca="false">IF(DZ$1&lt;Units!$P6,0,IF(AND(Units!$K6=0,DZ$1=Units!$O6),Units!$R6,IF(AND(DZ$1&gt;=Units!$Q6,MOD(DZ$1-Units!$Q6,12)=0),IF(AND(Units!$L6=1,DZ$1=Units!$Q6),IF(Units!$J6&lt;&gt;"",Units!$J6,Mkt!DZ7),Inputs!$B$15*Mkt!DZ7+(1-Inputs!$B$15)*MIN(Mkt!DZ7,DY7*(1+Inputs!$B$18))),DY7)))</f>
        <v>2049.47247849979</v>
      </c>
      <c r="EA7" s="11" t="n">
        <f aca="false">IF(EA$1&lt;Units!$P6,0,IF(AND(Units!$K6=0,EA$1=Units!$O6),Units!$R6,IF(AND(EA$1&gt;=Units!$Q6,MOD(EA$1-Units!$Q6,12)=0),IF(AND(Units!$L6=1,EA$1=Units!$Q6),IF(Units!$J6&lt;&gt;"",Units!$J6,Mkt!EA7),Inputs!$B$15*Mkt!EA7+(1-Inputs!$B$15)*MIN(Mkt!EA7,DZ7*(1+Inputs!$B$18))),DZ7)))</f>
        <v>2049.47247849979</v>
      </c>
      <c r="EB7" s="11" t="n">
        <f aca="false">IF(EB$1&lt;Units!$P6,0,IF(AND(Units!$K6=0,EB$1=Units!$O6),Units!$R6,IF(AND(EB$1&gt;=Units!$Q6,MOD(EB$1-Units!$Q6,12)=0),IF(AND(Units!$L6=1,EB$1=Units!$Q6),IF(Units!$J6&lt;&gt;"",Units!$J6,Mkt!EB7),Inputs!$B$15*Mkt!EB7+(1-Inputs!$B$15)*MIN(Mkt!EB7,EA7*(1+Inputs!$B$18))),EA7)))</f>
        <v>2049.47247849979</v>
      </c>
      <c r="EC7" s="11" t="n">
        <f aca="false">IF(EC$1&lt;Units!$P6,0,IF(AND(Units!$K6=0,EC$1=Units!$O6),Units!$R6,IF(AND(EC$1&gt;=Units!$Q6,MOD(EC$1-Units!$Q6,12)=0),IF(AND(Units!$L6=1,EC$1=Units!$Q6),IF(Units!$J6&lt;&gt;"",Units!$J6,Mkt!EC7),Inputs!$B$15*Mkt!EC7+(1-Inputs!$B$15)*MIN(Mkt!EC7,EB7*(1+Inputs!$B$18))),EB7)))</f>
        <v>2049.47247849979</v>
      </c>
      <c r="ED7" s="11" t="n">
        <f aca="false">IF(ED$1&lt;Units!$P6,0,IF(AND(Units!$K6=0,ED$1=Units!$O6),Units!$R6,IF(AND(ED$1&gt;=Units!$Q6,MOD(ED$1-Units!$Q6,12)=0),IF(AND(Units!$L6=1,ED$1=Units!$Q6),IF(Units!$J6&lt;&gt;"",Units!$J6,Mkt!ED7),Inputs!$B$15*Mkt!ED7+(1-Inputs!$B$15)*MIN(Mkt!ED7,EC7*(1+Inputs!$B$18))),EC7)))</f>
        <v>2049.47247849979</v>
      </c>
    </row>
    <row r="8" customFormat="false" ht="15" hidden="false" customHeight="false" outlineLevel="0" collapsed="false">
      <c r="A8" s="22" t="n">
        <f aca="false">Units!A7</f>
        <v>106</v>
      </c>
      <c r="B8" s="24" t="n">
        <f aca="false">IF(Units!K7=1,Units!F7,0)</f>
        <v>1400</v>
      </c>
      <c r="C8" s="11" t="n">
        <f aca="false">IF(C$1&lt;Units!$P7,0,IF(AND(Units!$K7=0,C$1=Units!$O7),Units!$R7,IF(AND(C$1&gt;=Units!$Q7,MOD(C$1-Units!$Q7,12)=0),IF(AND(Units!$L7=1,C$1=Units!$Q7),IF(Units!$J7&lt;&gt;"",Units!$J7,Mkt!C8),Inputs!$B$15*Mkt!C8+(1-Inputs!$B$15)*MIN(Mkt!C8,B8*(1+Inputs!$B$18))),B8)))</f>
        <v>1400</v>
      </c>
      <c r="D8" s="11" t="n">
        <f aca="false">IF(D$1&lt;Units!$P7,0,IF(AND(Units!$K7=0,D$1=Units!$O7),Units!$R7,IF(AND(D$1&gt;=Units!$Q7,MOD(D$1-Units!$Q7,12)=0),IF(AND(Units!$L7=1,D$1=Units!$Q7),IF(Units!$J7&lt;&gt;"",Units!$J7,Mkt!D8),Inputs!$B$15*Mkt!D8+(1-Inputs!$B$15)*MIN(Mkt!D8,C8*(1+Inputs!$B$18))),C8)))</f>
        <v>1400</v>
      </c>
      <c r="E8" s="11" t="n">
        <f aca="false">IF(E$1&lt;Units!$P7,0,IF(AND(Units!$K7=0,E$1=Units!$O7),Units!$R7,IF(AND(E$1&gt;=Units!$Q7,MOD(E$1-Units!$Q7,12)=0),IF(AND(Units!$L7=1,E$1=Units!$Q7),IF(Units!$J7&lt;&gt;"",Units!$J7,Mkt!E8),Inputs!$B$15*Mkt!E8+(1-Inputs!$B$15)*MIN(Mkt!E8,D8*(1+Inputs!$B$18))),D8)))</f>
        <v>1400</v>
      </c>
      <c r="F8" s="11" t="n">
        <f aca="false">IF(F$1&lt;Units!$P7,0,IF(AND(Units!$K7=0,F$1=Units!$O7),Units!$R7,IF(AND(F$1&gt;=Units!$Q7,MOD(F$1-Units!$Q7,12)=0),IF(AND(Units!$L7=1,F$1=Units!$Q7),IF(Units!$J7&lt;&gt;"",Units!$J7,Mkt!F8),Inputs!$B$15*Mkt!F8+(1-Inputs!$B$15)*MIN(Mkt!F8,E8*(1+Inputs!$B$18))),E8)))</f>
        <v>1497.5</v>
      </c>
      <c r="G8" s="11" t="n">
        <f aca="false">IF(G$1&lt;Units!$P7,0,IF(AND(Units!$K7=0,G$1=Units!$O7),Units!$R7,IF(AND(G$1&gt;=Units!$Q7,MOD(G$1-Units!$Q7,12)=0),IF(AND(Units!$L7=1,G$1=Units!$Q7),IF(Units!$J7&lt;&gt;"",Units!$J7,Mkt!G8),Inputs!$B$15*Mkt!G8+(1-Inputs!$B$15)*MIN(Mkt!G8,F8*(1+Inputs!$B$18))),F8)))</f>
        <v>1497.5</v>
      </c>
      <c r="H8" s="11" t="n">
        <f aca="false">IF(H$1&lt;Units!$P7,0,IF(AND(Units!$K7=0,H$1=Units!$O7),Units!$R7,IF(AND(H$1&gt;=Units!$Q7,MOD(H$1-Units!$Q7,12)=0),IF(AND(Units!$L7=1,H$1=Units!$Q7),IF(Units!$J7&lt;&gt;"",Units!$J7,Mkt!H8),Inputs!$B$15*Mkt!H8+(1-Inputs!$B$15)*MIN(Mkt!H8,G8*(1+Inputs!$B$18))),G8)))</f>
        <v>1497.5</v>
      </c>
      <c r="I8" s="11" t="n">
        <f aca="false">IF(I$1&lt;Units!$P7,0,IF(AND(Units!$K7=0,I$1=Units!$O7),Units!$R7,IF(AND(I$1&gt;=Units!$Q7,MOD(I$1-Units!$Q7,12)=0),IF(AND(Units!$L7=1,I$1=Units!$Q7),IF(Units!$J7&lt;&gt;"",Units!$J7,Mkt!I8),Inputs!$B$15*Mkt!I8+(1-Inputs!$B$15)*MIN(Mkt!I8,H8*(1+Inputs!$B$18))),H8)))</f>
        <v>1497.5</v>
      </c>
      <c r="J8" s="11" t="n">
        <f aca="false">IF(J$1&lt;Units!$P7,0,IF(AND(Units!$K7=0,J$1=Units!$O7),Units!$R7,IF(AND(J$1&gt;=Units!$Q7,MOD(J$1-Units!$Q7,12)=0),IF(AND(Units!$L7=1,J$1=Units!$Q7),IF(Units!$J7&lt;&gt;"",Units!$J7,Mkt!J8),Inputs!$B$15*Mkt!J8+(1-Inputs!$B$15)*MIN(Mkt!J8,I8*(1+Inputs!$B$18))),I8)))</f>
        <v>1497.5</v>
      </c>
      <c r="K8" s="11" t="n">
        <f aca="false">IF(K$1&lt;Units!$P7,0,IF(AND(Units!$K7=0,K$1=Units!$O7),Units!$R7,IF(AND(K$1&gt;=Units!$Q7,MOD(K$1-Units!$Q7,12)=0),IF(AND(Units!$L7=1,K$1=Units!$Q7),IF(Units!$J7&lt;&gt;"",Units!$J7,Mkt!K8),Inputs!$B$15*Mkt!K8+(1-Inputs!$B$15)*MIN(Mkt!K8,J8*(1+Inputs!$B$18))),J8)))</f>
        <v>1497.5</v>
      </c>
      <c r="L8" s="11" t="n">
        <f aca="false">IF(L$1&lt;Units!$P7,0,IF(AND(Units!$K7=0,L$1=Units!$O7),Units!$R7,IF(AND(L$1&gt;=Units!$Q7,MOD(L$1-Units!$Q7,12)=0),IF(AND(Units!$L7=1,L$1=Units!$Q7),IF(Units!$J7&lt;&gt;"",Units!$J7,Mkt!L8),Inputs!$B$15*Mkt!L8+(1-Inputs!$B$15)*MIN(Mkt!L8,K8*(1+Inputs!$B$18))),K8)))</f>
        <v>1497.5</v>
      </c>
      <c r="M8" s="11" t="n">
        <f aca="false">IF(M$1&lt;Units!$P7,0,IF(AND(Units!$K7=0,M$1=Units!$O7),Units!$R7,IF(AND(M$1&gt;=Units!$Q7,MOD(M$1-Units!$Q7,12)=0),IF(AND(Units!$L7=1,M$1=Units!$Q7),IF(Units!$J7&lt;&gt;"",Units!$J7,Mkt!M8),Inputs!$B$15*Mkt!M8+(1-Inputs!$B$15)*MIN(Mkt!M8,L8*(1+Inputs!$B$18))),L8)))</f>
        <v>1497.5</v>
      </c>
      <c r="N8" s="11" t="n">
        <f aca="false">IF(N$1&lt;Units!$P7,0,IF(AND(Units!$K7=0,N$1=Units!$O7),Units!$R7,IF(AND(N$1&gt;=Units!$Q7,MOD(N$1-Units!$Q7,12)=0),IF(AND(Units!$L7=1,N$1=Units!$Q7),IF(Units!$J7&lt;&gt;"",Units!$J7,Mkt!N8),Inputs!$B$15*Mkt!N8+(1-Inputs!$B$15)*MIN(Mkt!N8,M8*(1+Inputs!$B$18))),M8)))</f>
        <v>1497.5</v>
      </c>
      <c r="O8" s="11" t="n">
        <f aca="false">IF(O$1&lt;Units!$P7,0,IF(AND(Units!$K7=0,O$1=Units!$O7),Units!$R7,IF(AND(O$1&gt;=Units!$Q7,MOD(O$1-Units!$Q7,12)=0),IF(AND(Units!$L7=1,O$1=Units!$Q7),IF(Units!$J7&lt;&gt;"",Units!$J7,Mkt!O8),Inputs!$B$15*Mkt!O8+(1-Inputs!$B$15)*MIN(Mkt!O8,N8*(1+Inputs!$B$18))),N8)))</f>
        <v>1497.5</v>
      </c>
      <c r="P8" s="11" t="n">
        <f aca="false">IF(P$1&lt;Units!$P7,0,IF(AND(Units!$K7=0,P$1=Units!$O7),Units!$R7,IF(AND(P$1&gt;=Units!$Q7,MOD(P$1-Units!$Q7,12)=0),IF(AND(Units!$L7=1,P$1=Units!$Q7),IF(Units!$J7&lt;&gt;"",Units!$J7,Mkt!P8),Inputs!$B$15*Mkt!P8+(1-Inputs!$B$15)*MIN(Mkt!P8,O8*(1+Inputs!$B$18))),O8)))</f>
        <v>1497.5</v>
      </c>
      <c r="Q8" s="11" t="n">
        <f aca="false">IF(Q$1&lt;Units!$P7,0,IF(AND(Units!$K7=0,Q$1=Units!$O7),Units!$R7,IF(AND(Q$1&gt;=Units!$Q7,MOD(Q$1-Units!$Q7,12)=0),IF(AND(Units!$L7=1,Q$1=Units!$Q7),IF(Units!$J7&lt;&gt;"",Units!$J7,Mkt!Q8),Inputs!$B$15*Mkt!Q8+(1-Inputs!$B$15)*MIN(Mkt!Q8,P8*(1+Inputs!$B$18))),P8)))</f>
        <v>1497.5</v>
      </c>
      <c r="R8" s="11" t="n">
        <f aca="false">IF(R$1&lt;Units!$P7,0,IF(AND(Units!$K7=0,R$1=Units!$O7),Units!$R7,IF(AND(R$1&gt;=Units!$Q7,MOD(R$1-Units!$Q7,12)=0),IF(AND(Units!$L7=1,R$1=Units!$Q7),IF(Units!$J7&lt;&gt;"",Units!$J7,Mkt!R8),Inputs!$B$15*Mkt!R8+(1-Inputs!$B$15)*MIN(Mkt!R8,Q8*(1+Inputs!$B$18))),Q8)))</f>
        <v>1570.75</v>
      </c>
      <c r="S8" s="11" t="n">
        <f aca="false">IF(S$1&lt;Units!$P7,0,IF(AND(Units!$K7=0,S$1=Units!$O7),Units!$R7,IF(AND(S$1&gt;=Units!$Q7,MOD(S$1-Units!$Q7,12)=0),IF(AND(Units!$L7=1,S$1=Units!$Q7),IF(Units!$J7&lt;&gt;"",Units!$J7,Mkt!S8),Inputs!$B$15*Mkt!S8+(1-Inputs!$B$15)*MIN(Mkt!S8,R8*(1+Inputs!$B$18))),R8)))</f>
        <v>1570.75</v>
      </c>
      <c r="T8" s="11" t="n">
        <f aca="false">IF(T$1&lt;Units!$P7,0,IF(AND(Units!$K7=0,T$1=Units!$O7),Units!$R7,IF(AND(T$1&gt;=Units!$Q7,MOD(T$1-Units!$Q7,12)=0),IF(AND(Units!$L7=1,T$1=Units!$Q7),IF(Units!$J7&lt;&gt;"",Units!$J7,Mkt!T8),Inputs!$B$15*Mkt!T8+(1-Inputs!$B$15)*MIN(Mkt!T8,S8*(1+Inputs!$B$18))),S8)))</f>
        <v>1570.75</v>
      </c>
      <c r="U8" s="11" t="n">
        <f aca="false">IF(U$1&lt;Units!$P7,0,IF(AND(Units!$K7=0,U$1=Units!$O7),Units!$R7,IF(AND(U$1&gt;=Units!$Q7,MOD(U$1-Units!$Q7,12)=0),IF(AND(Units!$L7=1,U$1=Units!$Q7),IF(Units!$J7&lt;&gt;"",Units!$J7,Mkt!U8),Inputs!$B$15*Mkt!U8+(1-Inputs!$B$15)*MIN(Mkt!U8,T8*(1+Inputs!$B$18))),T8)))</f>
        <v>1570.75</v>
      </c>
      <c r="V8" s="11" t="n">
        <f aca="false">IF(V$1&lt;Units!$P7,0,IF(AND(Units!$K7=0,V$1=Units!$O7),Units!$R7,IF(AND(V$1&gt;=Units!$Q7,MOD(V$1-Units!$Q7,12)=0),IF(AND(Units!$L7=1,V$1=Units!$Q7),IF(Units!$J7&lt;&gt;"",Units!$J7,Mkt!V8),Inputs!$B$15*Mkt!V8+(1-Inputs!$B$15)*MIN(Mkt!V8,U8*(1+Inputs!$B$18))),U8)))</f>
        <v>1570.75</v>
      </c>
      <c r="W8" s="11" t="n">
        <f aca="false">IF(W$1&lt;Units!$P7,0,IF(AND(Units!$K7=0,W$1=Units!$O7),Units!$R7,IF(AND(W$1&gt;=Units!$Q7,MOD(W$1-Units!$Q7,12)=0),IF(AND(Units!$L7=1,W$1=Units!$Q7),IF(Units!$J7&lt;&gt;"",Units!$J7,Mkt!W8),Inputs!$B$15*Mkt!W8+(1-Inputs!$B$15)*MIN(Mkt!W8,V8*(1+Inputs!$B$18))),V8)))</f>
        <v>1570.75</v>
      </c>
      <c r="X8" s="11" t="n">
        <f aca="false">IF(X$1&lt;Units!$P7,0,IF(AND(Units!$K7=0,X$1=Units!$O7),Units!$R7,IF(AND(X$1&gt;=Units!$Q7,MOD(X$1-Units!$Q7,12)=0),IF(AND(Units!$L7=1,X$1=Units!$Q7),IF(Units!$J7&lt;&gt;"",Units!$J7,Mkt!X8),Inputs!$B$15*Mkt!X8+(1-Inputs!$B$15)*MIN(Mkt!X8,W8*(1+Inputs!$B$18))),W8)))</f>
        <v>1570.75</v>
      </c>
      <c r="Y8" s="11" t="n">
        <f aca="false">IF(Y$1&lt;Units!$P7,0,IF(AND(Units!$K7=0,Y$1=Units!$O7),Units!$R7,IF(AND(Y$1&gt;=Units!$Q7,MOD(Y$1-Units!$Q7,12)=0),IF(AND(Units!$L7=1,Y$1=Units!$Q7),IF(Units!$J7&lt;&gt;"",Units!$J7,Mkt!Y8),Inputs!$B$15*Mkt!Y8+(1-Inputs!$B$15)*MIN(Mkt!Y8,X8*(1+Inputs!$B$18))),X8)))</f>
        <v>1570.75</v>
      </c>
      <c r="Z8" s="11" t="n">
        <f aca="false">IF(Z$1&lt;Units!$P7,0,IF(AND(Units!$K7=0,Z$1=Units!$O7),Units!$R7,IF(AND(Z$1&gt;=Units!$Q7,MOD(Z$1-Units!$Q7,12)=0),IF(AND(Units!$L7=1,Z$1=Units!$Q7),IF(Units!$J7&lt;&gt;"",Units!$J7,Mkt!Z8),Inputs!$B$15*Mkt!Z8+(1-Inputs!$B$15)*MIN(Mkt!Z8,Y8*(1+Inputs!$B$18))),Y8)))</f>
        <v>1570.75</v>
      </c>
      <c r="AA8" s="11" t="n">
        <f aca="false">IF(AA$1&lt;Units!$P7,0,IF(AND(Units!$K7=0,AA$1=Units!$O7),Units!$R7,IF(AND(AA$1&gt;=Units!$Q7,MOD(AA$1-Units!$Q7,12)=0),IF(AND(Units!$L7=1,AA$1=Units!$Q7),IF(Units!$J7&lt;&gt;"",Units!$J7,Mkt!AA8),Inputs!$B$15*Mkt!AA8+(1-Inputs!$B$15)*MIN(Mkt!AA8,Z8*(1+Inputs!$B$18))),Z8)))</f>
        <v>1570.75</v>
      </c>
      <c r="AB8" s="11" t="n">
        <f aca="false">IF(AB$1&lt;Units!$P7,0,IF(AND(Units!$K7=0,AB$1=Units!$O7),Units!$R7,IF(AND(AB$1&gt;=Units!$Q7,MOD(AB$1-Units!$Q7,12)=0),IF(AND(Units!$L7=1,AB$1=Units!$Q7),IF(Units!$J7&lt;&gt;"",Units!$J7,Mkt!AB8),Inputs!$B$15*Mkt!AB8+(1-Inputs!$B$15)*MIN(Mkt!AB8,AA8*(1+Inputs!$B$18))),AA8)))</f>
        <v>1570.75</v>
      </c>
      <c r="AC8" s="11" t="n">
        <f aca="false">IF(AC$1&lt;Units!$P7,0,IF(AND(Units!$K7=0,AC$1=Units!$O7),Units!$R7,IF(AND(AC$1&gt;=Units!$Q7,MOD(AC$1-Units!$Q7,12)=0),IF(AND(Units!$L7=1,AC$1=Units!$Q7),IF(Units!$J7&lt;&gt;"",Units!$J7,Mkt!AC8),Inputs!$B$15*Mkt!AC8+(1-Inputs!$B$15)*MIN(Mkt!AC8,AB8*(1+Inputs!$B$18))),AB8)))</f>
        <v>1570.75</v>
      </c>
      <c r="AD8" s="11" t="n">
        <f aca="false">IF(AD$1&lt;Units!$P7,0,IF(AND(Units!$K7=0,AD$1=Units!$O7),Units!$R7,IF(AND(AD$1&gt;=Units!$Q7,MOD(AD$1-Units!$Q7,12)=0),IF(AND(Units!$L7=1,AD$1=Units!$Q7),IF(Units!$J7&lt;&gt;"",Units!$J7,Mkt!AD8),Inputs!$B$15*Mkt!AD8+(1-Inputs!$B$15)*MIN(Mkt!AD8,AC8*(1+Inputs!$B$18))),AC8)))</f>
        <v>1617.8725</v>
      </c>
      <c r="AE8" s="11" t="n">
        <f aca="false">IF(AE$1&lt;Units!$P7,0,IF(AND(Units!$K7=0,AE$1=Units!$O7),Units!$R7,IF(AND(AE$1&gt;=Units!$Q7,MOD(AE$1-Units!$Q7,12)=0),IF(AND(Units!$L7=1,AE$1=Units!$Q7),IF(Units!$J7&lt;&gt;"",Units!$J7,Mkt!AE8),Inputs!$B$15*Mkt!AE8+(1-Inputs!$B$15)*MIN(Mkt!AE8,AD8*(1+Inputs!$B$18))),AD8)))</f>
        <v>1617.8725</v>
      </c>
      <c r="AF8" s="11" t="n">
        <f aca="false">IF(AF$1&lt;Units!$P7,0,IF(AND(Units!$K7=0,AF$1=Units!$O7),Units!$R7,IF(AND(AF$1&gt;=Units!$Q7,MOD(AF$1-Units!$Q7,12)=0),IF(AND(Units!$L7=1,AF$1=Units!$Q7),IF(Units!$J7&lt;&gt;"",Units!$J7,Mkt!AF8),Inputs!$B$15*Mkt!AF8+(1-Inputs!$B$15)*MIN(Mkt!AF8,AE8*(1+Inputs!$B$18))),AE8)))</f>
        <v>1617.8725</v>
      </c>
      <c r="AG8" s="11" t="n">
        <f aca="false">IF(AG$1&lt;Units!$P7,0,IF(AND(Units!$K7=0,AG$1=Units!$O7),Units!$R7,IF(AND(AG$1&gt;=Units!$Q7,MOD(AG$1-Units!$Q7,12)=0),IF(AND(Units!$L7=1,AG$1=Units!$Q7),IF(Units!$J7&lt;&gt;"",Units!$J7,Mkt!AG8),Inputs!$B$15*Mkt!AG8+(1-Inputs!$B$15)*MIN(Mkt!AG8,AF8*(1+Inputs!$B$18))),AF8)))</f>
        <v>1617.8725</v>
      </c>
      <c r="AH8" s="11" t="n">
        <f aca="false">IF(AH$1&lt;Units!$P7,0,IF(AND(Units!$K7=0,AH$1=Units!$O7),Units!$R7,IF(AND(AH$1&gt;=Units!$Q7,MOD(AH$1-Units!$Q7,12)=0),IF(AND(Units!$L7=1,AH$1=Units!$Q7),IF(Units!$J7&lt;&gt;"",Units!$J7,Mkt!AH8),Inputs!$B$15*Mkt!AH8+(1-Inputs!$B$15)*MIN(Mkt!AH8,AG8*(1+Inputs!$B$18))),AG8)))</f>
        <v>1617.8725</v>
      </c>
      <c r="AI8" s="11" t="n">
        <f aca="false">IF(AI$1&lt;Units!$P7,0,IF(AND(Units!$K7=0,AI$1=Units!$O7),Units!$R7,IF(AND(AI$1&gt;=Units!$Q7,MOD(AI$1-Units!$Q7,12)=0),IF(AND(Units!$L7=1,AI$1=Units!$Q7),IF(Units!$J7&lt;&gt;"",Units!$J7,Mkt!AI8),Inputs!$B$15*Mkt!AI8+(1-Inputs!$B$15)*MIN(Mkt!AI8,AH8*(1+Inputs!$B$18))),AH8)))</f>
        <v>1617.8725</v>
      </c>
      <c r="AJ8" s="11" t="n">
        <f aca="false">IF(AJ$1&lt;Units!$P7,0,IF(AND(Units!$K7=0,AJ$1=Units!$O7),Units!$R7,IF(AND(AJ$1&gt;=Units!$Q7,MOD(AJ$1-Units!$Q7,12)=0),IF(AND(Units!$L7=1,AJ$1=Units!$Q7),IF(Units!$J7&lt;&gt;"",Units!$J7,Mkt!AJ8),Inputs!$B$15*Mkt!AJ8+(1-Inputs!$B$15)*MIN(Mkt!AJ8,AI8*(1+Inputs!$B$18))),AI8)))</f>
        <v>1617.8725</v>
      </c>
      <c r="AK8" s="11" t="n">
        <f aca="false">IF(AK$1&lt;Units!$P7,0,IF(AND(Units!$K7=0,AK$1=Units!$O7),Units!$R7,IF(AND(AK$1&gt;=Units!$Q7,MOD(AK$1-Units!$Q7,12)=0),IF(AND(Units!$L7=1,AK$1=Units!$Q7),IF(Units!$J7&lt;&gt;"",Units!$J7,Mkt!AK8),Inputs!$B$15*Mkt!AK8+(1-Inputs!$B$15)*MIN(Mkt!AK8,AJ8*(1+Inputs!$B$18))),AJ8)))</f>
        <v>1617.8725</v>
      </c>
      <c r="AL8" s="11" t="n">
        <f aca="false">IF(AL$1&lt;Units!$P7,0,IF(AND(Units!$K7=0,AL$1=Units!$O7),Units!$R7,IF(AND(AL$1&gt;=Units!$Q7,MOD(AL$1-Units!$Q7,12)=0),IF(AND(Units!$L7=1,AL$1=Units!$Q7),IF(Units!$J7&lt;&gt;"",Units!$J7,Mkt!AL8),Inputs!$B$15*Mkt!AL8+(1-Inputs!$B$15)*MIN(Mkt!AL8,AK8*(1+Inputs!$B$18))),AK8)))</f>
        <v>1617.8725</v>
      </c>
      <c r="AM8" s="11" t="n">
        <f aca="false">IF(AM$1&lt;Units!$P7,0,IF(AND(Units!$K7=0,AM$1=Units!$O7),Units!$R7,IF(AND(AM$1&gt;=Units!$Q7,MOD(AM$1-Units!$Q7,12)=0),IF(AND(Units!$L7=1,AM$1=Units!$Q7),IF(Units!$J7&lt;&gt;"",Units!$J7,Mkt!AM8),Inputs!$B$15*Mkt!AM8+(1-Inputs!$B$15)*MIN(Mkt!AM8,AL8*(1+Inputs!$B$18))),AL8)))</f>
        <v>1617.8725</v>
      </c>
      <c r="AN8" s="11" t="n">
        <f aca="false">IF(AN$1&lt;Units!$P7,0,IF(AND(Units!$K7=0,AN$1=Units!$O7),Units!$R7,IF(AND(AN$1&gt;=Units!$Q7,MOD(AN$1-Units!$Q7,12)=0),IF(AND(Units!$L7=1,AN$1=Units!$Q7),IF(Units!$J7&lt;&gt;"",Units!$J7,Mkt!AN8),Inputs!$B$15*Mkt!AN8+(1-Inputs!$B$15)*MIN(Mkt!AN8,AM8*(1+Inputs!$B$18))),AM8)))</f>
        <v>1617.8725</v>
      </c>
      <c r="AO8" s="11" t="n">
        <f aca="false">IF(AO$1&lt;Units!$P7,0,IF(AND(Units!$K7=0,AO$1=Units!$O7),Units!$R7,IF(AND(AO$1&gt;=Units!$Q7,MOD(AO$1-Units!$Q7,12)=0),IF(AND(Units!$L7=1,AO$1=Units!$Q7),IF(Units!$J7&lt;&gt;"",Units!$J7,Mkt!AO8),Inputs!$B$15*Mkt!AO8+(1-Inputs!$B$15)*MIN(Mkt!AO8,AN8*(1+Inputs!$B$18))),AN8)))</f>
        <v>1617.8725</v>
      </c>
      <c r="AP8" s="11" t="n">
        <f aca="false">IF(AP$1&lt;Units!$P7,0,IF(AND(Units!$K7=0,AP$1=Units!$O7),Units!$R7,IF(AND(AP$1&gt;=Units!$Q7,MOD(AP$1-Units!$Q7,12)=0),IF(AND(Units!$L7=1,AP$1=Units!$Q7),IF(Units!$J7&lt;&gt;"",Units!$J7,Mkt!AP8),Inputs!$B$15*Mkt!AP8+(1-Inputs!$B$15)*MIN(Mkt!AP8,AO8*(1+Inputs!$B$18))),AO8)))</f>
        <v>1666.408675</v>
      </c>
      <c r="AQ8" s="11" t="n">
        <f aca="false">IF(AQ$1&lt;Units!$P7,0,IF(AND(Units!$K7=0,AQ$1=Units!$O7),Units!$R7,IF(AND(AQ$1&gt;=Units!$Q7,MOD(AQ$1-Units!$Q7,12)=0),IF(AND(Units!$L7=1,AQ$1=Units!$Q7),IF(Units!$J7&lt;&gt;"",Units!$J7,Mkt!AQ8),Inputs!$B$15*Mkt!AQ8+(1-Inputs!$B$15)*MIN(Mkt!AQ8,AP8*(1+Inputs!$B$18))),AP8)))</f>
        <v>1666.408675</v>
      </c>
      <c r="AR8" s="11" t="n">
        <f aca="false">IF(AR$1&lt;Units!$P7,0,IF(AND(Units!$K7=0,AR$1=Units!$O7),Units!$R7,IF(AND(AR$1&gt;=Units!$Q7,MOD(AR$1-Units!$Q7,12)=0),IF(AND(Units!$L7=1,AR$1=Units!$Q7),IF(Units!$J7&lt;&gt;"",Units!$J7,Mkt!AR8),Inputs!$B$15*Mkt!AR8+(1-Inputs!$B$15)*MIN(Mkt!AR8,AQ8*(1+Inputs!$B$18))),AQ8)))</f>
        <v>1666.408675</v>
      </c>
      <c r="AS8" s="11" t="n">
        <f aca="false">IF(AS$1&lt;Units!$P7,0,IF(AND(Units!$K7=0,AS$1=Units!$O7),Units!$R7,IF(AND(AS$1&gt;=Units!$Q7,MOD(AS$1-Units!$Q7,12)=0),IF(AND(Units!$L7=1,AS$1=Units!$Q7),IF(Units!$J7&lt;&gt;"",Units!$J7,Mkt!AS8),Inputs!$B$15*Mkt!AS8+(1-Inputs!$B$15)*MIN(Mkt!AS8,AR8*(1+Inputs!$B$18))),AR8)))</f>
        <v>1666.408675</v>
      </c>
      <c r="AT8" s="11" t="n">
        <f aca="false">IF(AT$1&lt;Units!$P7,0,IF(AND(Units!$K7=0,AT$1=Units!$O7),Units!$R7,IF(AND(AT$1&gt;=Units!$Q7,MOD(AT$1-Units!$Q7,12)=0),IF(AND(Units!$L7=1,AT$1=Units!$Q7),IF(Units!$J7&lt;&gt;"",Units!$J7,Mkt!AT8),Inputs!$B$15*Mkt!AT8+(1-Inputs!$B$15)*MIN(Mkt!AT8,AS8*(1+Inputs!$B$18))),AS8)))</f>
        <v>1666.408675</v>
      </c>
      <c r="AU8" s="11" t="n">
        <f aca="false">IF(AU$1&lt;Units!$P7,0,IF(AND(Units!$K7=0,AU$1=Units!$O7),Units!$R7,IF(AND(AU$1&gt;=Units!$Q7,MOD(AU$1-Units!$Q7,12)=0),IF(AND(Units!$L7=1,AU$1=Units!$Q7),IF(Units!$J7&lt;&gt;"",Units!$J7,Mkt!AU8),Inputs!$B$15*Mkt!AU8+(1-Inputs!$B$15)*MIN(Mkt!AU8,AT8*(1+Inputs!$B$18))),AT8)))</f>
        <v>1666.408675</v>
      </c>
      <c r="AV8" s="11" t="n">
        <f aca="false">IF(AV$1&lt;Units!$P7,0,IF(AND(Units!$K7=0,AV$1=Units!$O7),Units!$R7,IF(AND(AV$1&gt;=Units!$Q7,MOD(AV$1-Units!$Q7,12)=0),IF(AND(Units!$L7=1,AV$1=Units!$Q7),IF(Units!$J7&lt;&gt;"",Units!$J7,Mkt!AV8),Inputs!$B$15*Mkt!AV8+(1-Inputs!$B$15)*MIN(Mkt!AV8,AU8*(1+Inputs!$B$18))),AU8)))</f>
        <v>1666.408675</v>
      </c>
      <c r="AW8" s="11" t="n">
        <f aca="false">IF(AW$1&lt;Units!$P7,0,IF(AND(Units!$K7=0,AW$1=Units!$O7),Units!$R7,IF(AND(AW$1&gt;=Units!$Q7,MOD(AW$1-Units!$Q7,12)=0),IF(AND(Units!$L7=1,AW$1=Units!$Q7),IF(Units!$J7&lt;&gt;"",Units!$J7,Mkt!AW8),Inputs!$B$15*Mkt!AW8+(1-Inputs!$B$15)*MIN(Mkt!AW8,AV8*(1+Inputs!$B$18))),AV8)))</f>
        <v>1666.408675</v>
      </c>
      <c r="AX8" s="11" t="n">
        <f aca="false">IF(AX$1&lt;Units!$P7,0,IF(AND(Units!$K7=0,AX$1=Units!$O7),Units!$R7,IF(AND(AX$1&gt;=Units!$Q7,MOD(AX$1-Units!$Q7,12)=0),IF(AND(Units!$L7=1,AX$1=Units!$Q7),IF(Units!$J7&lt;&gt;"",Units!$J7,Mkt!AX8),Inputs!$B$15*Mkt!AX8+(1-Inputs!$B$15)*MIN(Mkt!AX8,AW8*(1+Inputs!$B$18))),AW8)))</f>
        <v>1666.408675</v>
      </c>
      <c r="AY8" s="11" t="n">
        <f aca="false">IF(AY$1&lt;Units!$P7,0,IF(AND(Units!$K7=0,AY$1=Units!$O7),Units!$R7,IF(AND(AY$1&gt;=Units!$Q7,MOD(AY$1-Units!$Q7,12)=0),IF(AND(Units!$L7=1,AY$1=Units!$Q7),IF(Units!$J7&lt;&gt;"",Units!$J7,Mkt!AY8),Inputs!$B$15*Mkt!AY8+(1-Inputs!$B$15)*MIN(Mkt!AY8,AX8*(1+Inputs!$B$18))),AX8)))</f>
        <v>1666.408675</v>
      </c>
      <c r="AZ8" s="11" t="n">
        <f aca="false">IF(AZ$1&lt;Units!$P7,0,IF(AND(Units!$K7=0,AZ$1=Units!$O7),Units!$R7,IF(AND(AZ$1&gt;=Units!$Q7,MOD(AZ$1-Units!$Q7,12)=0),IF(AND(Units!$L7=1,AZ$1=Units!$Q7),IF(Units!$J7&lt;&gt;"",Units!$J7,Mkt!AZ8),Inputs!$B$15*Mkt!AZ8+(1-Inputs!$B$15)*MIN(Mkt!AZ8,AY8*(1+Inputs!$B$18))),AY8)))</f>
        <v>1666.408675</v>
      </c>
      <c r="BA8" s="11" t="n">
        <f aca="false">IF(BA$1&lt;Units!$P7,0,IF(AND(Units!$K7=0,BA$1=Units!$O7),Units!$R7,IF(AND(BA$1&gt;=Units!$Q7,MOD(BA$1-Units!$Q7,12)=0),IF(AND(Units!$L7=1,BA$1=Units!$Q7),IF(Units!$J7&lt;&gt;"",Units!$J7,Mkt!BA8),Inputs!$B$15*Mkt!BA8+(1-Inputs!$B$15)*MIN(Mkt!BA8,AZ8*(1+Inputs!$B$18))),AZ8)))</f>
        <v>1666.408675</v>
      </c>
      <c r="BB8" s="11" t="n">
        <f aca="false">IF(BB$1&lt;Units!$P7,0,IF(AND(Units!$K7=0,BB$1=Units!$O7),Units!$R7,IF(AND(BB$1&gt;=Units!$Q7,MOD(BB$1-Units!$Q7,12)=0),IF(AND(Units!$L7=1,BB$1=Units!$Q7),IF(Units!$J7&lt;&gt;"",Units!$J7,Mkt!BB8),Inputs!$B$15*Mkt!BB8+(1-Inputs!$B$15)*MIN(Mkt!BB8,BA8*(1+Inputs!$B$18))),BA8)))</f>
        <v>1716.40093525</v>
      </c>
      <c r="BC8" s="11" t="n">
        <f aca="false">IF(BC$1&lt;Units!$P7,0,IF(AND(Units!$K7=0,BC$1=Units!$O7),Units!$R7,IF(AND(BC$1&gt;=Units!$Q7,MOD(BC$1-Units!$Q7,12)=0),IF(AND(Units!$L7=1,BC$1=Units!$Q7),IF(Units!$J7&lt;&gt;"",Units!$J7,Mkt!BC8),Inputs!$B$15*Mkt!BC8+(1-Inputs!$B$15)*MIN(Mkt!BC8,BB8*(1+Inputs!$B$18))),BB8)))</f>
        <v>1716.40093525</v>
      </c>
      <c r="BD8" s="11" t="n">
        <f aca="false">IF(BD$1&lt;Units!$P7,0,IF(AND(Units!$K7=0,BD$1=Units!$O7),Units!$R7,IF(AND(BD$1&gt;=Units!$Q7,MOD(BD$1-Units!$Q7,12)=0),IF(AND(Units!$L7=1,BD$1=Units!$Q7),IF(Units!$J7&lt;&gt;"",Units!$J7,Mkt!BD8),Inputs!$B$15*Mkt!BD8+(1-Inputs!$B$15)*MIN(Mkt!BD8,BC8*(1+Inputs!$B$18))),BC8)))</f>
        <v>1716.40093525</v>
      </c>
      <c r="BE8" s="11" t="n">
        <f aca="false">IF(BE$1&lt;Units!$P7,0,IF(AND(Units!$K7=0,BE$1=Units!$O7),Units!$R7,IF(AND(BE$1&gt;=Units!$Q7,MOD(BE$1-Units!$Q7,12)=0),IF(AND(Units!$L7=1,BE$1=Units!$Q7),IF(Units!$J7&lt;&gt;"",Units!$J7,Mkt!BE8),Inputs!$B$15*Mkt!BE8+(1-Inputs!$B$15)*MIN(Mkt!BE8,BD8*(1+Inputs!$B$18))),BD8)))</f>
        <v>1716.40093525</v>
      </c>
      <c r="BF8" s="11" t="n">
        <f aca="false">IF(BF$1&lt;Units!$P7,0,IF(AND(Units!$K7=0,BF$1=Units!$O7),Units!$R7,IF(AND(BF$1&gt;=Units!$Q7,MOD(BF$1-Units!$Q7,12)=0),IF(AND(Units!$L7=1,BF$1=Units!$Q7),IF(Units!$J7&lt;&gt;"",Units!$J7,Mkt!BF8),Inputs!$B$15*Mkt!BF8+(1-Inputs!$B$15)*MIN(Mkt!BF8,BE8*(1+Inputs!$B$18))),BE8)))</f>
        <v>1716.40093525</v>
      </c>
      <c r="BG8" s="11" t="n">
        <f aca="false">IF(BG$1&lt;Units!$P7,0,IF(AND(Units!$K7=0,BG$1=Units!$O7),Units!$R7,IF(AND(BG$1&gt;=Units!$Q7,MOD(BG$1-Units!$Q7,12)=0),IF(AND(Units!$L7=1,BG$1=Units!$Q7),IF(Units!$J7&lt;&gt;"",Units!$J7,Mkt!BG8),Inputs!$B$15*Mkt!BG8+(1-Inputs!$B$15)*MIN(Mkt!BG8,BF8*(1+Inputs!$B$18))),BF8)))</f>
        <v>1716.40093525</v>
      </c>
      <c r="BH8" s="11" t="n">
        <f aca="false">IF(BH$1&lt;Units!$P7,0,IF(AND(Units!$K7=0,BH$1=Units!$O7),Units!$R7,IF(AND(BH$1&gt;=Units!$Q7,MOD(BH$1-Units!$Q7,12)=0),IF(AND(Units!$L7=1,BH$1=Units!$Q7),IF(Units!$J7&lt;&gt;"",Units!$J7,Mkt!BH8),Inputs!$B$15*Mkt!BH8+(1-Inputs!$B$15)*MIN(Mkt!BH8,BG8*(1+Inputs!$B$18))),BG8)))</f>
        <v>1716.40093525</v>
      </c>
      <c r="BI8" s="11" t="n">
        <f aca="false">IF(BI$1&lt;Units!$P7,0,IF(AND(Units!$K7=0,BI$1=Units!$O7),Units!$R7,IF(AND(BI$1&gt;=Units!$Q7,MOD(BI$1-Units!$Q7,12)=0),IF(AND(Units!$L7=1,BI$1=Units!$Q7),IF(Units!$J7&lt;&gt;"",Units!$J7,Mkt!BI8),Inputs!$B$15*Mkt!BI8+(1-Inputs!$B$15)*MIN(Mkt!BI8,BH8*(1+Inputs!$B$18))),BH8)))</f>
        <v>1716.40093525</v>
      </c>
      <c r="BJ8" s="11" t="n">
        <f aca="false">IF(BJ$1&lt;Units!$P7,0,IF(AND(Units!$K7=0,BJ$1=Units!$O7),Units!$R7,IF(AND(BJ$1&gt;=Units!$Q7,MOD(BJ$1-Units!$Q7,12)=0),IF(AND(Units!$L7=1,BJ$1=Units!$Q7),IF(Units!$J7&lt;&gt;"",Units!$J7,Mkt!BJ8),Inputs!$B$15*Mkt!BJ8+(1-Inputs!$B$15)*MIN(Mkt!BJ8,BI8*(1+Inputs!$B$18))),BI8)))</f>
        <v>1716.40093525</v>
      </c>
      <c r="BK8" s="11" t="n">
        <f aca="false">IF(BK$1&lt;Units!$P7,0,IF(AND(Units!$K7=0,BK$1=Units!$O7),Units!$R7,IF(AND(BK$1&gt;=Units!$Q7,MOD(BK$1-Units!$Q7,12)=0),IF(AND(Units!$L7=1,BK$1=Units!$Q7),IF(Units!$J7&lt;&gt;"",Units!$J7,Mkt!BK8),Inputs!$B$15*Mkt!BK8+(1-Inputs!$B$15)*MIN(Mkt!BK8,BJ8*(1+Inputs!$B$18))),BJ8)))</f>
        <v>1716.40093525</v>
      </c>
      <c r="BL8" s="11" t="n">
        <f aca="false">IF(BL$1&lt;Units!$P7,0,IF(AND(Units!$K7=0,BL$1=Units!$O7),Units!$R7,IF(AND(BL$1&gt;=Units!$Q7,MOD(BL$1-Units!$Q7,12)=0),IF(AND(Units!$L7=1,BL$1=Units!$Q7),IF(Units!$J7&lt;&gt;"",Units!$J7,Mkt!BL8),Inputs!$B$15*Mkt!BL8+(1-Inputs!$B$15)*MIN(Mkt!BL8,BK8*(1+Inputs!$B$18))),BK8)))</f>
        <v>1716.40093525</v>
      </c>
      <c r="BM8" s="11" t="n">
        <f aca="false">IF(BM$1&lt;Units!$P7,0,IF(AND(Units!$K7=0,BM$1=Units!$O7),Units!$R7,IF(AND(BM$1&gt;=Units!$Q7,MOD(BM$1-Units!$Q7,12)=0),IF(AND(Units!$L7=1,BM$1=Units!$Q7),IF(Units!$J7&lt;&gt;"",Units!$J7,Mkt!BM8),Inputs!$B$15*Mkt!BM8+(1-Inputs!$B$15)*MIN(Mkt!BM8,BL8*(1+Inputs!$B$18))),BL8)))</f>
        <v>1716.40093525</v>
      </c>
      <c r="BN8" s="11" t="n">
        <f aca="false">IF(BN$1&lt;Units!$P7,0,IF(AND(Units!$K7=0,BN$1=Units!$O7),Units!$R7,IF(AND(BN$1&gt;=Units!$Q7,MOD(BN$1-Units!$Q7,12)=0),IF(AND(Units!$L7=1,BN$1=Units!$Q7),IF(Units!$J7&lt;&gt;"",Units!$J7,Mkt!BN8),Inputs!$B$15*Mkt!BN8+(1-Inputs!$B$15)*MIN(Mkt!BN8,BM8*(1+Inputs!$B$18))),BM8)))</f>
        <v>1767.8929633075</v>
      </c>
      <c r="BO8" s="11" t="n">
        <f aca="false">IF(BO$1&lt;Units!$P7,0,IF(AND(Units!$K7=0,BO$1=Units!$O7),Units!$R7,IF(AND(BO$1&gt;=Units!$Q7,MOD(BO$1-Units!$Q7,12)=0),IF(AND(Units!$L7=1,BO$1=Units!$Q7),IF(Units!$J7&lt;&gt;"",Units!$J7,Mkt!BO8),Inputs!$B$15*Mkt!BO8+(1-Inputs!$B$15)*MIN(Mkt!BO8,BN8*(1+Inputs!$B$18))),BN8)))</f>
        <v>1767.8929633075</v>
      </c>
      <c r="BP8" s="11" t="n">
        <f aca="false">IF(BP$1&lt;Units!$P7,0,IF(AND(Units!$K7=0,BP$1=Units!$O7),Units!$R7,IF(AND(BP$1&gt;=Units!$Q7,MOD(BP$1-Units!$Q7,12)=0),IF(AND(Units!$L7=1,BP$1=Units!$Q7),IF(Units!$J7&lt;&gt;"",Units!$J7,Mkt!BP8),Inputs!$B$15*Mkt!BP8+(1-Inputs!$B$15)*MIN(Mkt!BP8,BO8*(1+Inputs!$B$18))),BO8)))</f>
        <v>1767.8929633075</v>
      </c>
      <c r="BQ8" s="11" t="n">
        <f aca="false">IF(BQ$1&lt;Units!$P7,0,IF(AND(Units!$K7=0,BQ$1=Units!$O7),Units!$R7,IF(AND(BQ$1&gt;=Units!$Q7,MOD(BQ$1-Units!$Q7,12)=0),IF(AND(Units!$L7=1,BQ$1=Units!$Q7),IF(Units!$J7&lt;&gt;"",Units!$J7,Mkt!BQ8),Inputs!$B$15*Mkt!BQ8+(1-Inputs!$B$15)*MIN(Mkt!BQ8,BP8*(1+Inputs!$B$18))),BP8)))</f>
        <v>1767.8929633075</v>
      </c>
      <c r="BR8" s="11" t="n">
        <f aca="false">IF(BR$1&lt;Units!$P7,0,IF(AND(Units!$K7=0,BR$1=Units!$O7),Units!$R7,IF(AND(BR$1&gt;=Units!$Q7,MOD(BR$1-Units!$Q7,12)=0),IF(AND(Units!$L7=1,BR$1=Units!$Q7),IF(Units!$J7&lt;&gt;"",Units!$J7,Mkt!BR8),Inputs!$B$15*Mkt!BR8+(1-Inputs!$B$15)*MIN(Mkt!BR8,BQ8*(1+Inputs!$B$18))),BQ8)))</f>
        <v>1767.8929633075</v>
      </c>
      <c r="BS8" s="11" t="n">
        <f aca="false">IF(BS$1&lt;Units!$P7,0,IF(AND(Units!$K7=0,BS$1=Units!$O7),Units!$R7,IF(AND(BS$1&gt;=Units!$Q7,MOD(BS$1-Units!$Q7,12)=0),IF(AND(Units!$L7=1,BS$1=Units!$Q7),IF(Units!$J7&lt;&gt;"",Units!$J7,Mkt!BS8),Inputs!$B$15*Mkt!BS8+(1-Inputs!$B$15)*MIN(Mkt!BS8,BR8*(1+Inputs!$B$18))),BR8)))</f>
        <v>1767.8929633075</v>
      </c>
      <c r="BT8" s="11" t="n">
        <f aca="false">IF(BT$1&lt;Units!$P7,0,IF(AND(Units!$K7=0,BT$1=Units!$O7),Units!$R7,IF(AND(BT$1&gt;=Units!$Q7,MOD(BT$1-Units!$Q7,12)=0),IF(AND(Units!$L7=1,BT$1=Units!$Q7),IF(Units!$J7&lt;&gt;"",Units!$J7,Mkt!BT8),Inputs!$B$15*Mkt!BT8+(1-Inputs!$B$15)*MIN(Mkt!BT8,BS8*(1+Inputs!$B$18))),BS8)))</f>
        <v>1767.8929633075</v>
      </c>
      <c r="BU8" s="11" t="n">
        <f aca="false">IF(BU$1&lt;Units!$P7,0,IF(AND(Units!$K7=0,BU$1=Units!$O7),Units!$R7,IF(AND(BU$1&gt;=Units!$Q7,MOD(BU$1-Units!$Q7,12)=0),IF(AND(Units!$L7=1,BU$1=Units!$Q7),IF(Units!$J7&lt;&gt;"",Units!$J7,Mkt!BU8),Inputs!$B$15*Mkt!BU8+(1-Inputs!$B$15)*MIN(Mkt!BU8,BT8*(1+Inputs!$B$18))),BT8)))</f>
        <v>1767.8929633075</v>
      </c>
      <c r="BV8" s="11" t="n">
        <f aca="false">IF(BV$1&lt;Units!$P7,0,IF(AND(Units!$K7=0,BV$1=Units!$O7),Units!$R7,IF(AND(BV$1&gt;=Units!$Q7,MOD(BV$1-Units!$Q7,12)=0),IF(AND(Units!$L7=1,BV$1=Units!$Q7),IF(Units!$J7&lt;&gt;"",Units!$J7,Mkt!BV8),Inputs!$B$15*Mkt!BV8+(1-Inputs!$B$15)*MIN(Mkt!BV8,BU8*(1+Inputs!$B$18))),BU8)))</f>
        <v>1767.8929633075</v>
      </c>
      <c r="BW8" s="11" t="n">
        <f aca="false">IF(BW$1&lt;Units!$P7,0,IF(AND(Units!$K7=0,BW$1=Units!$O7),Units!$R7,IF(AND(BW$1&gt;=Units!$Q7,MOD(BW$1-Units!$Q7,12)=0),IF(AND(Units!$L7=1,BW$1=Units!$Q7),IF(Units!$J7&lt;&gt;"",Units!$J7,Mkt!BW8),Inputs!$B$15*Mkt!BW8+(1-Inputs!$B$15)*MIN(Mkt!BW8,BV8*(1+Inputs!$B$18))),BV8)))</f>
        <v>1767.8929633075</v>
      </c>
      <c r="BX8" s="11" t="n">
        <f aca="false">IF(BX$1&lt;Units!$P7,0,IF(AND(Units!$K7=0,BX$1=Units!$O7),Units!$R7,IF(AND(BX$1&gt;=Units!$Q7,MOD(BX$1-Units!$Q7,12)=0),IF(AND(Units!$L7=1,BX$1=Units!$Q7),IF(Units!$J7&lt;&gt;"",Units!$J7,Mkt!BX8),Inputs!$B$15*Mkt!BX8+(1-Inputs!$B$15)*MIN(Mkt!BX8,BW8*(1+Inputs!$B$18))),BW8)))</f>
        <v>1767.8929633075</v>
      </c>
      <c r="BY8" s="11" t="n">
        <f aca="false">IF(BY$1&lt;Units!$P7,0,IF(AND(Units!$K7=0,BY$1=Units!$O7),Units!$R7,IF(AND(BY$1&gt;=Units!$Q7,MOD(BY$1-Units!$Q7,12)=0),IF(AND(Units!$L7=1,BY$1=Units!$Q7),IF(Units!$J7&lt;&gt;"",Units!$J7,Mkt!BY8),Inputs!$B$15*Mkt!BY8+(1-Inputs!$B$15)*MIN(Mkt!BY8,BX8*(1+Inputs!$B$18))),BX8)))</f>
        <v>1767.8929633075</v>
      </c>
      <c r="BZ8" s="11" t="n">
        <f aca="false">IF(BZ$1&lt;Units!$P7,0,IF(AND(Units!$K7=0,BZ$1=Units!$O7),Units!$R7,IF(AND(BZ$1&gt;=Units!$Q7,MOD(BZ$1-Units!$Q7,12)=0),IF(AND(Units!$L7=1,BZ$1=Units!$Q7),IF(Units!$J7&lt;&gt;"",Units!$J7,Mkt!BZ8),Inputs!$B$15*Mkt!BZ8+(1-Inputs!$B$15)*MIN(Mkt!BZ8,BY8*(1+Inputs!$B$18))),BY8)))</f>
        <v>1820.92975220673</v>
      </c>
      <c r="CA8" s="11" t="n">
        <f aca="false">IF(CA$1&lt;Units!$P7,0,IF(AND(Units!$K7=0,CA$1=Units!$O7),Units!$R7,IF(AND(CA$1&gt;=Units!$Q7,MOD(CA$1-Units!$Q7,12)=0),IF(AND(Units!$L7=1,CA$1=Units!$Q7),IF(Units!$J7&lt;&gt;"",Units!$J7,Mkt!CA8),Inputs!$B$15*Mkt!CA8+(1-Inputs!$B$15)*MIN(Mkt!CA8,BZ8*(1+Inputs!$B$18))),BZ8)))</f>
        <v>1820.92975220673</v>
      </c>
      <c r="CB8" s="11" t="n">
        <f aca="false">IF(CB$1&lt;Units!$P7,0,IF(AND(Units!$K7=0,CB$1=Units!$O7),Units!$R7,IF(AND(CB$1&gt;=Units!$Q7,MOD(CB$1-Units!$Q7,12)=0),IF(AND(Units!$L7=1,CB$1=Units!$Q7),IF(Units!$J7&lt;&gt;"",Units!$J7,Mkt!CB8),Inputs!$B$15*Mkt!CB8+(1-Inputs!$B$15)*MIN(Mkt!CB8,CA8*(1+Inputs!$B$18))),CA8)))</f>
        <v>1820.92975220673</v>
      </c>
      <c r="CC8" s="11" t="n">
        <f aca="false">IF(CC$1&lt;Units!$P7,0,IF(AND(Units!$K7=0,CC$1=Units!$O7),Units!$R7,IF(AND(CC$1&gt;=Units!$Q7,MOD(CC$1-Units!$Q7,12)=0),IF(AND(Units!$L7=1,CC$1=Units!$Q7),IF(Units!$J7&lt;&gt;"",Units!$J7,Mkt!CC8),Inputs!$B$15*Mkt!CC8+(1-Inputs!$B$15)*MIN(Mkt!CC8,CB8*(1+Inputs!$B$18))),CB8)))</f>
        <v>1820.92975220673</v>
      </c>
      <c r="CD8" s="11" t="n">
        <f aca="false">IF(CD$1&lt;Units!$P7,0,IF(AND(Units!$K7=0,CD$1=Units!$O7),Units!$R7,IF(AND(CD$1&gt;=Units!$Q7,MOD(CD$1-Units!$Q7,12)=0),IF(AND(Units!$L7=1,CD$1=Units!$Q7),IF(Units!$J7&lt;&gt;"",Units!$J7,Mkt!CD8),Inputs!$B$15*Mkt!CD8+(1-Inputs!$B$15)*MIN(Mkt!CD8,CC8*(1+Inputs!$B$18))),CC8)))</f>
        <v>1820.92975220673</v>
      </c>
      <c r="CE8" s="11" t="n">
        <f aca="false">IF(CE$1&lt;Units!$P7,0,IF(AND(Units!$K7=0,CE$1=Units!$O7),Units!$R7,IF(AND(CE$1&gt;=Units!$Q7,MOD(CE$1-Units!$Q7,12)=0),IF(AND(Units!$L7=1,CE$1=Units!$Q7),IF(Units!$J7&lt;&gt;"",Units!$J7,Mkt!CE8),Inputs!$B$15*Mkt!CE8+(1-Inputs!$B$15)*MIN(Mkt!CE8,CD8*(1+Inputs!$B$18))),CD8)))</f>
        <v>1820.92975220673</v>
      </c>
      <c r="CF8" s="11" t="n">
        <f aca="false">IF(CF$1&lt;Units!$P7,0,IF(AND(Units!$K7=0,CF$1=Units!$O7),Units!$R7,IF(AND(CF$1&gt;=Units!$Q7,MOD(CF$1-Units!$Q7,12)=0),IF(AND(Units!$L7=1,CF$1=Units!$Q7),IF(Units!$J7&lt;&gt;"",Units!$J7,Mkt!CF8),Inputs!$B$15*Mkt!CF8+(1-Inputs!$B$15)*MIN(Mkt!CF8,CE8*(1+Inputs!$B$18))),CE8)))</f>
        <v>1820.92975220673</v>
      </c>
      <c r="CG8" s="11" t="n">
        <f aca="false">IF(CG$1&lt;Units!$P7,0,IF(AND(Units!$K7=0,CG$1=Units!$O7),Units!$R7,IF(AND(CG$1&gt;=Units!$Q7,MOD(CG$1-Units!$Q7,12)=0),IF(AND(Units!$L7=1,CG$1=Units!$Q7),IF(Units!$J7&lt;&gt;"",Units!$J7,Mkt!CG8),Inputs!$B$15*Mkt!CG8+(1-Inputs!$B$15)*MIN(Mkt!CG8,CF8*(1+Inputs!$B$18))),CF8)))</f>
        <v>1820.92975220673</v>
      </c>
      <c r="CH8" s="11" t="n">
        <f aca="false">IF(CH$1&lt;Units!$P7,0,IF(AND(Units!$K7=0,CH$1=Units!$O7),Units!$R7,IF(AND(CH$1&gt;=Units!$Q7,MOD(CH$1-Units!$Q7,12)=0),IF(AND(Units!$L7=1,CH$1=Units!$Q7),IF(Units!$J7&lt;&gt;"",Units!$J7,Mkt!CH8),Inputs!$B$15*Mkt!CH8+(1-Inputs!$B$15)*MIN(Mkt!CH8,CG8*(1+Inputs!$B$18))),CG8)))</f>
        <v>1820.92975220673</v>
      </c>
      <c r="CI8" s="11" t="n">
        <f aca="false">IF(CI$1&lt;Units!$P7,0,IF(AND(Units!$K7=0,CI$1=Units!$O7),Units!$R7,IF(AND(CI$1&gt;=Units!$Q7,MOD(CI$1-Units!$Q7,12)=0),IF(AND(Units!$L7=1,CI$1=Units!$Q7),IF(Units!$J7&lt;&gt;"",Units!$J7,Mkt!CI8),Inputs!$B$15*Mkt!CI8+(1-Inputs!$B$15)*MIN(Mkt!CI8,CH8*(1+Inputs!$B$18))),CH8)))</f>
        <v>1820.92975220673</v>
      </c>
      <c r="CJ8" s="11" t="n">
        <f aca="false">IF(CJ$1&lt;Units!$P7,0,IF(AND(Units!$K7=0,CJ$1=Units!$O7),Units!$R7,IF(AND(CJ$1&gt;=Units!$Q7,MOD(CJ$1-Units!$Q7,12)=0),IF(AND(Units!$L7=1,CJ$1=Units!$Q7),IF(Units!$J7&lt;&gt;"",Units!$J7,Mkt!CJ8),Inputs!$B$15*Mkt!CJ8+(1-Inputs!$B$15)*MIN(Mkt!CJ8,CI8*(1+Inputs!$B$18))),CI8)))</f>
        <v>1820.92975220673</v>
      </c>
      <c r="CK8" s="11" t="n">
        <f aca="false">IF(CK$1&lt;Units!$P7,0,IF(AND(Units!$K7=0,CK$1=Units!$O7),Units!$R7,IF(AND(CK$1&gt;=Units!$Q7,MOD(CK$1-Units!$Q7,12)=0),IF(AND(Units!$L7=1,CK$1=Units!$Q7),IF(Units!$J7&lt;&gt;"",Units!$J7,Mkt!CK8),Inputs!$B$15*Mkt!CK8+(1-Inputs!$B$15)*MIN(Mkt!CK8,CJ8*(1+Inputs!$B$18))),CJ8)))</f>
        <v>1820.92975220673</v>
      </c>
      <c r="CL8" s="11" t="n">
        <f aca="false">IF(CL$1&lt;Units!$P7,0,IF(AND(Units!$K7=0,CL$1=Units!$O7),Units!$R7,IF(AND(CL$1&gt;=Units!$Q7,MOD(CL$1-Units!$Q7,12)=0),IF(AND(Units!$L7=1,CL$1=Units!$Q7),IF(Units!$J7&lt;&gt;"",Units!$J7,Mkt!CL8),Inputs!$B$15*Mkt!CL8+(1-Inputs!$B$15)*MIN(Mkt!CL8,CK8*(1+Inputs!$B$18))),CK8)))</f>
        <v>1875.55764477293</v>
      </c>
      <c r="CM8" s="11" t="n">
        <f aca="false">IF(CM$1&lt;Units!$P7,0,IF(AND(Units!$K7=0,CM$1=Units!$O7),Units!$R7,IF(AND(CM$1&gt;=Units!$Q7,MOD(CM$1-Units!$Q7,12)=0),IF(AND(Units!$L7=1,CM$1=Units!$Q7),IF(Units!$J7&lt;&gt;"",Units!$J7,Mkt!CM8),Inputs!$B$15*Mkt!CM8+(1-Inputs!$B$15)*MIN(Mkt!CM8,CL8*(1+Inputs!$B$18))),CL8)))</f>
        <v>1875.55764477293</v>
      </c>
      <c r="CN8" s="11" t="n">
        <f aca="false">IF(CN$1&lt;Units!$P7,0,IF(AND(Units!$K7=0,CN$1=Units!$O7),Units!$R7,IF(AND(CN$1&gt;=Units!$Q7,MOD(CN$1-Units!$Q7,12)=0),IF(AND(Units!$L7=1,CN$1=Units!$Q7),IF(Units!$J7&lt;&gt;"",Units!$J7,Mkt!CN8),Inputs!$B$15*Mkt!CN8+(1-Inputs!$B$15)*MIN(Mkt!CN8,CM8*(1+Inputs!$B$18))),CM8)))</f>
        <v>1875.55764477293</v>
      </c>
      <c r="CO8" s="11" t="n">
        <f aca="false">IF(CO$1&lt;Units!$P7,0,IF(AND(Units!$K7=0,CO$1=Units!$O7),Units!$R7,IF(AND(CO$1&gt;=Units!$Q7,MOD(CO$1-Units!$Q7,12)=0),IF(AND(Units!$L7=1,CO$1=Units!$Q7),IF(Units!$J7&lt;&gt;"",Units!$J7,Mkt!CO8),Inputs!$B$15*Mkt!CO8+(1-Inputs!$B$15)*MIN(Mkt!CO8,CN8*(1+Inputs!$B$18))),CN8)))</f>
        <v>1875.55764477293</v>
      </c>
      <c r="CP8" s="11" t="n">
        <f aca="false">IF(CP$1&lt;Units!$P7,0,IF(AND(Units!$K7=0,CP$1=Units!$O7),Units!$R7,IF(AND(CP$1&gt;=Units!$Q7,MOD(CP$1-Units!$Q7,12)=0),IF(AND(Units!$L7=1,CP$1=Units!$Q7),IF(Units!$J7&lt;&gt;"",Units!$J7,Mkt!CP8),Inputs!$B$15*Mkt!CP8+(1-Inputs!$B$15)*MIN(Mkt!CP8,CO8*(1+Inputs!$B$18))),CO8)))</f>
        <v>1875.55764477293</v>
      </c>
      <c r="CQ8" s="11" t="n">
        <f aca="false">IF(CQ$1&lt;Units!$P7,0,IF(AND(Units!$K7=0,CQ$1=Units!$O7),Units!$R7,IF(AND(CQ$1&gt;=Units!$Q7,MOD(CQ$1-Units!$Q7,12)=0),IF(AND(Units!$L7=1,CQ$1=Units!$Q7),IF(Units!$J7&lt;&gt;"",Units!$J7,Mkt!CQ8),Inputs!$B$15*Mkt!CQ8+(1-Inputs!$B$15)*MIN(Mkt!CQ8,CP8*(1+Inputs!$B$18))),CP8)))</f>
        <v>1875.55764477293</v>
      </c>
      <c r="CR8" s="11" t="n">
        <f aca="false">IF(CR$1&lt;Units!$P7,0,IF(AND(Units!$K7=0,CR$1=Units!$O7),Units!$R7,IF(AND(CR$1&gt;=Units!$Q7,MOD(CR$1-Units!$Q7,12)=0),IF(AND(Units!$L7=1,CR$1=Units!$Q7),IF(Units!$J7&lt;&gt;"",Units!$J7,Mkt!CR8),Inputs!$B$15*Mkt!CR8+(1-Inputs!$B$15)*MIN(Mkt!CR8,CQ8*(1+Inputs!$B$18))),CQ8)))</f>
        <v>1875.55764477293</v>
      </c>
      <c r="CS8" s="11" t="n">
        <f aca="false">IF(CS$1&lt;Units!$P7,0,IF(AND(Units!$K7=0,CS$1=Units!$O7),Units!$R7,IF(AND(CS$1&gt;=Units!$Q7,MOD(CS$1-Units!$Q7,12)=0),IF(AND(Units!$L7=1,CS$1=Units!$Q7),IF(Units!$J7&lt;&gt;"",Units!$J7,Mkt!CS8),Inputs!$B$15*Mkt!CS8+(1-Inputs!$B$15)*MIN(Mkt!CS8,CR8*(1+Inputs!$B$18))),CR8)))</f>
        <v>1875.55764477293</v>
      </c>
      <c r="CT8" s="11" t="n">
        <f aca="false">IF(CT$1&lt;Units!$P7,0,IF(AND(Units!$K7=0,CT$1=Units!$O7),Units!$R7,IF(AND(CT$1&gt;=Units!$Q7,MOD(CT$1-Units!$Q7,12)=0),IF(AND(Units!$L7=1,CT$1=Units!$Q7),IF(Units!$J7&lt;&gt;"",Units!$J7,Mkt!CT8),Inputs!$B$15*Mkt!CT8+(1-Inputs!$B$15)*MIN(Mkt!CT8,CS8*(1+Inputs!$B$18))),CS8)))</f>
        <v>1875.55764477293</v>
      </c>
      <c r="CU8" s="11" t="n">
        <f aca="false">IF(CU$1&lt;Units!$P7,0,IF(AND(Units!$K7=0,CU$1=Units!$O7),Units!$R7,IF(AND(CU$1&gt;=Units!$Q7,MOD(CU$1-Units!$Q7,12)=0),IF(AND(Units!$L7=1,CU$1=Units!$Q7),IF(Units!$J7&lt;&gt;"",Units!$J7,Mkt!CU8),Inputs!$B$15*Mkt!CU8+(1-Inputs!$B$15)*MIN(Mkt!CU8,CT8*(1+Inputs!$B$18))),CT8)))</f>
        <v>1875.55764477293</v>
      </c>
      <c r="CV8" s="11" t="n">
        <f aca="false">IF(CV$1&lt;Units!$P7,0,IF(AND(Units!$K7=0,CV$1=Units!$O7),Units!$R7,IF(AND(CV$1&gt;=Units!$Q7,MOD(CV$1-Units!$Q7,12)=0),IF(AND(Units!$L7=1,CV$1=Units!$Q7),IF(Units!$J7&lt;&gt;"",Units!$J7,Mkt!CV8),Inputs!$B$15*Mkt!CV8+(1-Inputs!$B$15)*MIN(Mkt!CV8,CU8*(1+Inputs!$B$18))),CU8)))</f>
        <v>1875.55764477293</v>
      </c>
      <c r="CW8" s="11" t="n">
        <f aca="false">IF(CW$1&lt;Units!$P7,0,IF(AND(Units!$K7=0,CW$1=Units!$O7),Units!$R7,IF(AND(CW$1&gt;=Units!$Q7,MOD(CW$1-Units!$Q7,12)=0),IF(AND(Units!$L7=1,CW$1=Units!$Q7),IF(Units!$J7&lt;&gt;"",Units!$J7,Mkt!CW8),Inputs!$B$15*Mkt!CW8+(1-Inputs!$B$15)*MIN(Mkt!CW8,CV8*(1+Inputs!$B$18))),CV8)))</f>
        <v>1875.55764477293</v>
      </c>
      <c r="CX8" s="11" t="n">
        <f aca="false">IF(CX$1&lt;Units!$P7,0,IF(AND(Units!$K7=0,CX$1=Units!$O7),Units!$R7,IF(AND(CX$1&gt;=Units!$Q7,MOD(CX$1-Units!$Q7,12)=0),IF(AND(Units!$L7=1,CX$1=Units!$Q7),IF(Units!$J7&lt;&gt;"",Units!$J7,Mkt!CX8),Inputs!$B$15*Mkt!CX8+(1-Inputs!$B$15)*MIN(Mkt!CX8,CW8*(1+Inputs!$B$18))),CW8)))</f>
        <v>1931.82437411612</v>
      </c>
      <c r="CY8" s="11" t="n">
        <f aca="false">IF(CY$1&lt;Units!$P7,0,IF(AND(Units!$K7=0,CY$1=Units!$O7),Units!$R7,IF(AND(CY$1&gt;=Units!$Q7,MOD(CY$1-Units!$Q7,12)=0),IF(AND(Units!$L7=1,CY$1=Units!$Q7),IF(Units!$J7&lt;&gt;"",Units!$J7,Mkt!CY8),Inputs!$B$15*Mkt!CY8+(1-Inputs!$B$15)*MIN(Mkt!CY8,CX8*(1+Inputs!$B$18))),CX8)))</f>
        <v>1931.82437411612</v>
      </c>
      <c r="CZ8" s="11" t="n">
        <f aca="false">IF(CZ$1&lt;Units!$P7,0,IF(AND(Units!$K7=0,CZ$1=Units!$O7),Units!$R7,IF(AND(CZ$1&gt;=Units!$Q7,MOD(CZ$1-Units!$Q7,12)=0),IF(AND(Units!$L7=1,CZ$1=Units!$Q7),IF(Units!$J7&lt;&gt;"",Units!$J7,Mkt!CZ8),Inputs!$B$15*Mkt!CZ8+(1-Inputs!$B$15)*MIN(Mkt!CZ8,CY8*(1+Inputs!$B$18))),CY8)))</f>
        <v>1931.82437411612</v>
      </c>
      <c r="DA8" s="11" t="n">
        <f aca="false">IF(DA$1&lt;Units!$P7,0,IF(AND(Units!$K7=0,DA$1=Units!$O7),Units!$R7,IF(AND(DA$1&gt;=Units!$Q7,MOD(DA$1-Units!$Q7,12)=0),IF(AND(Units!$L7=1,DA$1=Units!$Q7),IF(Units!$J7&lt;&gt;"",Units!$J7,Mkt!DA8),Inputs!$B$15*Mkt!DA8+(1-Inputs!$B$15)*MIN(Mkt!DA8,CZ8*(1+Inputs!$B$18))),CZ8)))</f>
        <v>1931.82437411612</v>
      </c>
      <c r="DB8" s="11" t="n">
        <f aca="false">IF(DB$1&lt;Units!$P7,0,IF(AND(Units!$K7=0,DB$1=Units!$O7),Units!$R7,IF(AND(DB$1&gt;=Units!$Q7,MOD(DB$1-Units!$Q7,12)=0),IF(AND(Units!$L7=1,DB$1=Units!$Q7),IF(Units!$J7&lt;&gt;"",Units!$J7,Mkt!DB8),Inputs!$B$15*Mkt!DB8+(1-Inputs!$B$15)*MIN(Mkt!DB8,DA8*(1+Inputs!$B$18))),DA8)))</f>
        <v>1931.82437411612</v>
      </c>
      <c r="DC8" s="11" t="n">
        <f aca="false">IF(DC$1&lt;Units!$P7,0,IF(AND(Units!$K7=0,DC$1=Units!$O7),Units!$R7,IF(AND(DC$1&gt;=Units!$Q7,MOD(DC$1-Units!$Q7,12)=0),IF(AND(Units!$L7=1,DC$1=Units!$Q7),IF(Units!$J7&lt;&gt;"",Units!$J7,Mkt!DC8),Inputs!$B$15*Mkt!DC8+(1-Inputs!$B$15)*MIN(Mkt!DC8,DB8*(1+Inputs!$B$18))),DB8)))</f>
        <v>1931.82437411612</v>
      </c>
      <c r="DD8" s="11" t="n">
        <f aca="false">IF(DD$1&lt;Units!$P7,0,IF(AND(Units!$K7=0,DD$1=Units!$O7),Units!$R7,IF(AND(DD$1&gt;=Units!$Q7,MOD(DD$1-Units!$Q7,12)=0),IF(AND(Units!$L7=1,DD$1=Units!$Q7),IF(Units!$J7&lt;&gt;"",Units!$J7,Mkt!DD8),Inputs!$B$15*Mkt!DD8+(1-Inputs!$B$15)*MIN(Mkt!DD8,DC8*(1+Inputs!$B$18))),DC8)))</f>
        <v>1931.82437411612</v>
      </c>
      <c r="DE8" s="11" t="n">
        <f aca="false">IF(DE$1&lt;Units!$P7,0,IF(AND(Units!$K7=0,DE$1=Units!$O7),Units!$R7,IF(AND(DE$1&gt;=Units!$Q7,MOD(DE$1-Units!$Q7,12)=0),IF(AND(Units!$L7=1,DE$1=Units!$Q7),IF(Units!$J7&lt;&gt;"",Units!$J7,Mkt!DE8),Inputs!$B$15*Mkt!DE8+(1-Inputs!$B$15)*MIN(Mkt!DE8,DD8*(1+Inputs!$B$18))),DD8)))</f>
        <v>1931.82437411612</v>
      </c>
      <c r="DF8" s="11" t="n">
        <f aca="false">IF(DF$1&lt;Units!$P7,0,IF(AND(Units!$K7=0,DF$1=Units!$O7),Units!$R7,IF(AND(DF$1&gt;=Units!$Q7,MOD(DF$1-Units!$Q7,12)=0),IF(AND(Units!$L7=1,DF$1=Units!$Q7),IF(Units!$J7&lt;&gt;"",Units!$J7,Mkt!DF8),Inputs!$B$15*Mkt!DF8+(1-Inputs!$B$15)*MIN(Mkt!DF8,DE8*(1+Inputs!$B$18))),DE8)))</f>
        <v>1931.82437411612</v>
      </c>
      <c r="DG8" s="11" t="n">
        <f aca="false">IF(DG$1&lt;Units!$P7,0,IF(AND(Units!$K7=0,DG$1=Units!$O7),Units!$R7,IF(AND(DG$1&gt;=Units!$Q7,MOD(DG$1-Units!$Q7,12)=0),IF(AND(Units!$L7=1,DG$1=Units!$Q7),IF(Units!$J7&lt;&gt;"",Units!$J7,Mkt!DG8),Inputs!$B$15*Mkt!DG8+(1-Inputs!$B$15)*MIN(Mkt!DG8,DF8*(1+Inputs!$B$18))),DF8)))</f>
        <v>1931.82437411612</v>
      </c>
      <c r="DH8" s="11" t="n">
        <f aca="false">IF(DH$1&lt;Units!$P7,0,IF(AND(Units!$K7=0,DH$1=Units!$O7),Units!$R7,IF(AND(DH$1&gt;=Units!$Q7,MOD(DH$1-Units!$Q7,12)=0),IF(AND(Units!$L7=1,DH$1=Units!$Q7),IF(Units!$J7&lt;&gt;"",Units!$J7,Mkt!DH8),Inputs!$B$15*Mkt!DH8+(1-Inputs!$B$15)*MIN(Mkt!DH8,DG8*(1+Inputs!$B$18))),DG8)))</f>
        <v>1931.82437411612</v>
      </c>
      <c r="DI8" s="11" t="n">
        <f aca="false">IF(DI$1&lt;Units!$P7,0,IF(AND(Units!$K7=0,DI$1=Units!$O7),Units!$R7,IF(AND(DI$1&gt;=Units!$Q7,MOD(DI$1-Units!$Q7,12)=0),IF(AND(Units!$L7=1,DI$1=Units!$Q7),IF(Units!$J7&lt;&gt;"",Units!$J7,Mkt!DI8),Inputs!$B$15*Mkt!DI8+(1-Inputs!$B$15)*MIN(Mkt!DI8,DH8*(1+Inputs!$B$18))),DH8)))</f>
        <v>1931.82437411612</v>
      </c>
      <c r="DJ8" s="11" t="n">
        <f aca="false">IF(DJ$1&lt;Units!$P7,0,IF(AND(Units!$K7=0,DJ$1=Units!$O7),Units!$R7,IF(AND(DJ$1&gt;=Units!$Q7,MOD(DJ$1-Units!$Q7,12)=0),IF(AND(Units!$L7=1,DJ$1=Units!$Q7),IF(Units!$J7&lt;&gt;"",Units!$J7,Mkt!DJ8),Inputs!$B$15*Mkt!DJ8+(1-Inputs!$B$15)*MIN(Mkt!DJ8,DI8*(1+Inputs!$B$18))),DI8)))</f>
        <v>1989.7791053396</v>
      </c>
      <c r="DK8" s="11" t="n">
        <f aca="false">IF(DK$1&lt;Units!$P7,0,IF(AND(Units!$K7=0,DK$1=Units!$O7),Units!$R7,IF(AND(DK$1&gt;=Units!$Q7,MOD(DK$1-Units!$Q7,12)=0),IF(AND(Units!$L7=1,DK$1=Units!$Q7),IF(Units!$J7&lt;&gt;"",Units!$J7,Mkt!DK8),Inputs!$B$15*Mkt!DK8+(1-Inputs!$B$15)*MIN(Mkt!DK8,DJ8*(1+Inputs!$B$18))),DJ8)))</f>
        <v>1989.7791053396</v>
      </c>
      <c r="DL8" s="11" t="n">
        <f aca="false">IF(DL$1&lt;Units!$P7,0,IF(AND(Units!$K7=0,DL$1=Units!$O7),Units!$R7,IF(AND(DL$1&gt;=Units!$Q7,MOD(DL$1-Units!$Q7,12)=0),IF(AND(Units!$L7=1,DL$1=Units!$Q7),IF(Units!$J7&lt;&gt;"",Units!$J7,Mkt!DL8),Inputs!$B$15*Mkt!DL8+(1-Inputs!$B$15)*MIN(Mkt!DL8,DK8*(1+Inputs!$B$18))),DK8)))</f>
        <v>1989.7791053396</v>
      </c>
      <c r="DM8" s="11" t="n">
        <f aca="false">IF(DM$1&lt;Units!$P7,0,IF(AND(Units!$K7=0,DM$1=Units!$O7),Units!$R7,IF(AND(DM$1&gt;=Units!$Q7,MOD(DM$1-Units!$Q7,12)=0),IF(AND(Units!$L7=1,DM$1=Units!$Q7),IF(Units!$J7&lt;&gt;"",Units!$J7,Mkt!DM8),Inputs!$B$15*Mkt!DM8+(1-Inputs!$B$15)*MIN(Mkt!DM8,DL8*(1+Inputs!$B$18))),DL8)))</f>
        <v>1989.7791053396</v>
      </c>
      <c r="DN8" s="11" t="n">
        <f aca="false">IF(DN$1&lt;Units!$P7,0,IF(AND(Units!$K7=0,DN$1=Units!$O7),Units!$R7,IF(AND(DN$1&gt;=Units!$Q7,MOD(DN$1-Units!$Q7,12)=0),IF(AND(Units!$L7=1,DN$1=Units!$Q7),IF(Units!$J7&lt;&gt;"",Units!$J7,Mkt!DN8),Inputs!$B$15*Mkt!DN8+(1-Inputs!$B$15)*MIN(Mkt!DN8,DM8*(1+Inputs!$B$18))),DM8)))</f>
        <v>1989.7791053396</v>
      </c>
      <c r="DO8" s="11" t="n">
        <f aca="false">IF(DO$1&lt;Units!$P7,0,IF(AND(Units!$K7=0,DO$1=Units!$O7),Units!$R7,IF(AND(DO$1&gt;=Units!$Q7,MOD(DO$1-Units!$Q7,12)=0),IF(AND(Units!$L7=1,DO$1=Units!$Q7),IF(Units!$J7&lt;&gt;"",Units!$J7,Mkt!DO8),Inputs!$B$15*Mkt!DO8+(1-Inputs!$B$15)*MIN(Mkt!DO8,DN8*(1+Inputs!$B$18))),DN8)))</f>
        <v>1989.7791053396</v>
      </c>
      <c r="DP8" s="11" t="n">
        <f aca="false">IF(DP$1&lt;Units!$P7,0,IF(AND(Units!$K7=0,DP$1=Units!$O7),Units!$R7,IF(AND(DP$1&gt;=Units!$Q7,MOD(DP$1-Units!$Q7,12)=0),IF(AND(Units!$L7=1,DP$1=Units!$Q7),IF(Units!$J7&lt;&gt;"",Units!$J7,Mkt!DP8),Inputs!$B$15*Mkt!DP8+(1-Inputs!$B$15)*MIN(Mkt!DP8,DO8*(1+Inputs!$B$18))),DO8)))</f>
        <v>1989.7791053396</v>
      </c>
      <c r="DQ8" s="11" t="n">
        <f aca="false">IF(DQ$1&lt;Units!$P7,0,IF(AND(Units!$K7=0,DQ$1=Units!$O7),Units!$R7,IF(AND(DQ$1&gt;=Units!$Q7,MOD(DQ$1-Units!$Q7,12)=0),IF(AND(Units!$L7=1,DQ$1=Units!$Q7),IF(Units!$J7&lt;&gt;"",Units!$J7,Mkt!DQ8),Inputs!$B$15*Mkt!DQ8+(1-Inputs!$B$15)*MIN(Mkt!DQ8,DP8*(1+Inputs!$B$18))),DP8)))</f>
        <v>1989.7791053396</v>
      </c>
      <c r="DR8" s="11" t="n">
        <f aca="false">IF(DR$1&lt;Units!$P7,0,IF(AND(Units!$K7=0,DR$1=Units!$O7),Units!$R7,IF(AND(DR$1&gt;=Units!$Q7,MOD(DR$1-Units!$Q7,12)=0),IF(AND(Units!$L7=1,DR$1=Units!$Q7),IF(Units!$J7&lt;&gt;"",Units!$J7,Mkt!DR8),Inputs!$B$15*Mkt!DR8+(1-Inputs!$B$15)*MIN(Mkt!DR8,DQ8*(1+Inputs!$B$18))),DQ8)))</f>
        <v>1989.7791053396</v>
      </c>
      <c r="DS8" s="11" t="n">
        <f aca="false">IF(DS$1&lt;Units!$P7,0,IF(AND(Units!$K7=0,DS$1=Units!$O7),Units!$R7,IF(AND(DS$1&gt;=Units!$Q7,MOD(DS$1-Units!$Q7,12)=0),IF(AND(Units!$L7=1,DS$1=Units!$Q7),IF(Units!$J7&lt;&gt;"",Units!$J7,Mkt!DS8),Inputs!$B$15*Mkt!DS8+(1-Inputs!$B$15)*MIN(Mkt!DS8,DR8*(1+Inputs!$B$18))),DR8)))</f>
        <v>1989.7791053396</v>
      </c>
      <c r="DT8" s="11" t="n">
        <f aca="false">IF(DT$1&lt;Units!$P7,0,IF(AND(Units!$K7=0,DT$1=Units!$O7),Units!$R7,IF(AND(DT$1&gt;=Units!$Q7,MOD(DT$1-Units!$Q7,12)=0),IF(AND(Units!$L7=1,DT$1=Units!$Q7),IF(Units!$J7&lt;&gt;"",Units!$J7,Mkt!DT8),Inputs!$B$15*Mkt!DT8+(1-Inputs!$B$15)*MIN(Mkt!DT8,DS8*(1+Inputs!$B$18))),DS8)))</f>
        <v>1989.7791053396</v>
      </c>
      <c r="DU8" s="11" t="n">
        <f aca="false">IF(DU$1&lt;Units!$P7,0,IF(AND(Units!$K7=0,DU$1=Units!$O7),Units!$R7,IF(AND(DU$1&gt;=Units!$Q7,MOD(DU$1-Units!$Q7,12)=0),IF(AND(Units!$L7=1,DU$1=Units!$Q7),IF(Units!$J7&lt;&gt;"",Units!$J7,Mkt!DU8),Inputs!$B$15*Mkt!DU8+(1-Inputs!$B$15)*MIN(Mkt!DU8,DT8*(1+Inputs!$B$18))),DT8)))</f>
        <v>1989.7791053396</v>
      </c>
      <c r="DV8" s="11" t="n">
        <f aca="false">IF(DV$1&lt;Units!$P7,0,IF(AND(Units!$K7=0,DV$1=Units!$O7),Units!$R7,IF(AND(DV$1&gt;=Units!$Q7,MOD(DV$1-Units!$Q7,12)=0),IF(AND(Units!$L7=1,DV$1=Units!$Q7),IF(Units!$J7&lt;&gt;"",Units!$J7,Mkt!DV8),Inputs!$B$15*Mkt!DV8+(1-Inputs!$B$15)*MIN(Mkt!DV8,DU8*(1+Inputs!$B$18))),DU8)))</f>
        <v>2049.47247849979</v>
      </c>
      <c r="DW8" s="11" t="n">
        <f aca="false">IF(DW$1&lt;Units!$P7,0,IF(AND(Units!$K7=0,DW$1=Units!$O7),Units!$R7,IF(AND(DW$1&gt;=Units!$Q7,MOD(DW$1-Units!$Q7,12)=0),IF(AND(Units!$L7=1,DW$1=Units!$Q7),IF(Units!$J7&lt;&gt;"",Units!$J7,Mkt!DW8),Inputs!$B$15*Mkt!DW8+(1-Inputs!$B$15)*MIN(Mkt!DW8,DV8*(1+Inputs!$B$18))),DV8)))</f>
        <v>2049.47247849979</v>
      </c>
      <c r="DX8" s="11" t="n">
        <f aca="false">IF(DX$1&lt;Units!$P7,0,IF(AND(Units!$K7=0,DX$1=Units!$O7),Units!$R7,IF(AND(DX$1&gt;=Units!$Q7,MOD(DX$1-Units!$Q7,12)=0),IF(AND(Units!$L7=1,DX$1=Units!$Q7),IF(Units!$J7&lt;&gt;"",Units!$J7,Mkt!DX8),Inputs!$B$15*Mkt!DX8+(1-Inputs!$B$15)*MIN(Mkt!DX8,DW8*(1+Inputs!$B$18))),DW8)))</f>
        <v>2049.47247849979</v>
      </c>
      <c r="DY8" s="11" t="n">
        <f aca="false">IF(DY$1&lt;Units!$P7,0,IF(AND(Units!$K7=0,DY$1=Units!$O7),Units!$R7,IF(AND(DY$1&gt;=Units!$Q7,MOD(DY$1-Units!$Q7,12)=0),IF(AND(Units!$L7=1,DY$1=Units!$Q7),IF(Units!$J7&lt;&gt;"",Units!$J7,Mkt!DY8),Inputs!$B$15*Mkt!DY8+(1-Inputs!$B$15)*MIN(Mkt!DY8,DX8*(1+Inputs!$B$18))),DX8)))</f>
        <v>2049.47247849979</v>
      </c>
      <c r="DZ8" s="11" t="n">
        <f aca="false">IF(DZ$1&lt;Units!$P7,0,IF(AND(Units!$K7=0,DZ$1=Units!$O7),Units!$R7,IF(AND(DZ$1&gt;=Units!$Q7,MOD(DZ$1-Units!$Q7,12)=0),IF(AND(Units!$L7=1,DZ$1=Units!$Q7),IF(Units!$J7&lt;&gt;"",Units!$J7,Mkt!DZ8),Inputs!$B$15*Mkt!DZ8+(1-Inputs!$B$15)*MIN(Mkt!DZ8,DY8*(1+Inputs!$B$18))),DY8)))</f>
        <v>2049.47247849979</v>
      </c>
      <c r="EA8" s="11" t="n">
        <f aca="false">IF(EA$1&lt;Units!$P7,0,IF(AND(Units!$K7=0,EA$1=Units!$O7),Units!$R7,IF(AND(EA$1&gt;=Units!$Q7,MOD(EA$1-Units!$Q7,12)=0),IF(AND(Units!$L7=1,EA$1=Units!$Q7),IF(Units!$J7&lt;&gt;"",Units!$J7,Mkt!EA8),Inputs!$B$15*Mkt!EA8+(1-Inputs!$B$15)*MIN(Mkt!EA8,DZ8*(1+Inputs!$B$18))),DZ8)))</f>
        <v>2049.47247849979</v>
      </c>
      <c r="EB8" s="11" t="n">
        <f aca="false">IF(EB$1&lt;Units!$P7,0,IF(AND(Units!$K7=0,EB$1=Units!$O7),Units!$R7,IF(AND(EB$1&gt;=Units!$Q7,MOD(EB$1-Units!$Q7,12)=0),IF(AND(Units!$L7=1,EB$1=Units!$Q7),IF(Units!$J7&lt;&gt;"",Units!$J7,Mkt!EB8),Inputs!$B$15*Mkt!EB8+(1-Inputs!$B$15)*MIN(Mkt!EB8,EA8*(1+Inputs!$B$18))),EA8)))</f>
        <v>2049.47247849979</v>
      </c>
      <c r="EC8" s="11" t="n">
        <f aca="false">IF(EC$1&lt;Units!$P7,0,IF(AND(Units!$K7=0,EC$1=Units!$O7),Units!$R7,IF(AND(EC$1&gt;=Units!$Q7,MOD(EC$1-Units!$Q7,12)=0),IF(AND(Units!$L7=1,EC$1=Units!$Q7),IF(Units!$J7&lt;&gt;"",Units!$J7,Mkt!EC8),Inputs!$B$15*Mkt!EC8+(1-Inputs!$B$15)*MIN(Mkt!EC8,EB8*(1+Inputs!$B$18))),EB8)))</f>
        <v>2049.47247849979</v>
      </c>
      <c r="ED8" s="11" t="n">
        <f aca="false">IF(ED$1&lt;Units!$P7,0,IF(AND(Units!$K7=0,ED$1=Units!$O7),Units!$R7,IF(AND(ED$1&gt;=Units!$Q7,MOD(ED$1-Units!$Q7,12)=0),IF(AND(Units!$L7=1,ED$1=Units!$Q7),IF(Units!$J7&lt;&gt;"",Units!$J7,Mkt!ED8),Inputs!$B$15*Mkt!ED8+(1-Inputs!$B$15)*MIN(Mkt!ED8,EC8*(1+Inputs!$B$18))),EC8)))</f>
        <v>2049.47247849979</v>
      </c>
    </row>
    <row r="9" customFormat="false" ht="15" hidden="false" customHeight="false" outlineLevel="0" collapsed="false">
      <c r="A9" s="22" t="n">
        <f aca="false">Units!A8</f>
        <v>107</v>
      </c>
      <c r="B9" s="24" t="n">
        <f aca="false">IF(Units!K8=1,Units!F8,0)</f>
        <v>1580</v>
      </c>
      <c r="C9" s="11" t="n">
        <f aca="false">IF(C$1&lt;Units!$P8,0,IF(AND(Units!$K8=0,C$1=Units!$O8),Units!$R8,IF(AND(C$1&gt;=Units!$Q8,MOD(C$1-Units!$Q8,12)=0),IF(AND(Units!$L8=1,C$1=Units!$Q8),IF(Units!$J8&lt;&gt;"",Units!$J8,Mkt!C9),Inputs!$B$15*Mkt!C9+(1-Inputs!$B$15)*MIN(Mkt!C9,B9*(1+Inputs!$B$18))),B9)))</f>
        <v>1580</v>
      </c>
      <c r="D9" s="11" t="n">
        <f aca="false">IF(D$1&lt;Units!$P8,0,IF(AND(Units!$K8=0,D$1=Units!$O8),Units!$R8,IF(AND(D$1&gt;=Units!$Q8,MOD(D$1-Units!$Q8,12)=0),IF(AND(Units!$L8=1,D$1=Units!$Q8),IF(Units!$J8&lt;&gt;"",Units!$J8,Mkt!D9),Inputs!$B$15*Mkt!D9+(1-Inputs!$B$15)*MIN(Mkt!D9,C9*(1+Inputs!$B$18))),C9)))</f>
        <v>1580</v>
      </c>
      <c r="E9" s="11" t="n">
        <f aca="false">IF(E$1&lt;Units!$P8,0,IF(AND(Units!$K8=0,E$1=Units!$O8),Units!$R8,IF(AND(E$1&gt;=Units!$Q8,MOD(E$1-Units!$Q8,12)=0),IF(AND(Units!$L8=1,E$1=Units!$Q8),IF(Units!$J8&lt;&gt;"",Units!$J8,Mkt!E9),Inputs!$B$15*Mkt!E9+(1-Inputs!$B$15)*MIN(Mkt!E9,D9*(1+Inputs!$B$18))),D9)))</f>
        <v>1525</v>
      </c>
      <c r="F9" s="11" t="n">
        <f aca="false">IF(F$1&lt;Units!$P8,0,IF(AND(Units!$K8=0,F$1=Units!$O8),Units!$R8,IF(AND(F$1&gt;=Units!$Q8,MOD(F$1-Units!$Q8,12)=0),IF(AND(Units!$L8=1,F$1=Units!$Q8),IF(Units!$J8&lt;&gt;"",Units!$J8,Mkt!F9),Inputs!$B$15*Mkt!F9+(1-Inputs!$B$15)*MIN(Mkt!F9,E9*(1+Inputs!$B$18))),E9)))</f>
        <v>1525</v>
      </c>
      <c r="G9" s="11" t="n">
        <f aca="false">IF(G$1&lt;Units!$P8,0,IF(AND(Units!$K8=0,G$1=Units!$O8),Units!$R8,IF(AND(G$1&gt;=Units!$Q8,MOD(G$1-Units!$Q8,12)=0),IF(AND(Units!$L8=1,G$1=Units!$Q8),IF(Units!$J8&lt;&gt;"",Units!$J8,Mkt!G9),Inputs!$B$15*Mkt!G9+(1-Inputs!$B$15)*MIN(Mkt!G9,F9*(1+Inputs!$B$18))),F9)))</f>
        <v>1525</v>
      </c>
      <c r="H9" s="11" t="n">
        <f aca="false">IF(H$1&lt;Units!$P8,0,IF(AND(Units!$K8=0,H$1=Units!$O8),Units!$R8,IF(AND(H$1&gt;=Units!$Q8,MOD(H$1-Units!$Q8,12)=0),IF(AND(Units!$L8=1,H$1=Units!$Q8),IF(Units!$J8&lt;&gt;"",Units!$J8,Mkt!H9),Inputs!$B$15*Mkt!H9+(1-Inputs!$B$15)*MIN(Mkt!H9,G9*(1+Inputs!$B$18))),G9)))</f>
        <v>1525</v>
      </c>
      <c r="I9" s="11" t="n">
        <f aca="false">IF(I$1&lt;Units!$P8,0,IF(AND(Units!$K8=0,I$1=Units!$O8),Units!$R8,IF(AND(I$1&gt;=Units!$Q8,MOD(I$1-Units!$Q8,12)=0),IF(AND(Units!$L8=1,I$1=Units!$Q8),IF(Units!$J8&lt;&gt;"",Units!$J8,Mkt!I9),Inputs!$B$15*Mkt!I9+(1-Inputs!$B$15)*MIN(Mkt!I9,H9*(1+Inputs!$B$18))),H9)))</f>
        <v>1525</v>
      </c>
      <c r="J9" s="11" t="n">
        <f aca="false">IF(J$1&lt;Units!$P8,0,IF(AND(Units!$K8=0,J$1=Units!$O8),Units!$R8,IF(AND(J$1&gt;=Units!$Q8,MOD(J$1-Units!$Q8,12)=0),IF(AND(Units!$L8=1,J$1=Units!$Q8),IF(Units!$J8&lt;&gt;"",Units!$J8,Mkt!J9),Inputs!$B$15*Mkt!J9+(1-Inputs!$B$15)*MIN(Mkt!J9,I9*(1+Inputs!$B$18))),I9)))</f>
        <v>1525</v>
      </c>
      <c r="K9" s="11" t="n">
        <f aca="false">IF(K$1&lt;Units!$P8,0,IF(AND(Units!$K8=0,K$1=Units!$O8),Units!$R8,IF(AND(K$1&gt;=Units!$Q8,MOD(K$1-Units!$Q8,12)=0),IF(AND(Units!$L8=1,K$1=Units!$Q8),IF(Units!$J8&lt;&gt;"",Units!$J8,Mkt!K9),Inputs!$B$15*Mkt!K9+(1-Inputs!$B$15)*MIN(Mkt!K9,J9*(1+Inputs!$B$18))),J9)))</f>
        <v>1525</v>
      </c>
      <c r="L9" s="11" t="n">
        <f aca="false">IF(L$1&lt;Units!$P8,0,IF(AND(Units!$K8=0,L$1=Units!$O8),Units!$R8,IF(AND(L$1&gt;=Units!$Q8,MOD(L$1-Units!$Q8,12)=0),IF(AND(Units!$L8=1,L$1=Units!$Q8),IF(Units!$J8&lt;&gt;"",Units!$J8,Mkt!L9),Inputs!$B$15*Mkt!L9+(1-Inputs!$B$15)*MIN(Mkt!L9,K9*(1+Inputs!$B$18))),K9)))</f>
        <v>1525</v>
      </c>
      <c r="M9" s="11" t="n">
        <f aca="false">IF(M$1&lt;Units!$P8,0,IF(AND(Units!$K8=0,M$1=Units!$O8),Units!$R8,IF(AND(M$1&gt;=Units!$Q8,MOD(M$1-Units!$Q8,12)=0),IF(AND(Units!$L8=1,M$1=Units!$Q8),IF(Units!$J8&lt;&gt;"",Units!$J8,Mkt!M9),Inputs!$B$15*Mkt!M9+(1-Inputs!$B$15)*MIN(Mkt!M9,L9*(1+Inputs!$B$18))),L9)))</f>
        <v>1525</v>
      </c>
      <c r="N9" s="11" t="n">
        <f aca="false">IF(N$1&lt;Units!$P8,0,IF(AND(Units!$K8=0,N$1=Units!$O8),Units!$R8,IF(AND(N$1&gt;=Units!$Q8,MOD(N$1-Units!$Q8,12)=0),IF(AND(Units!$L8=1,N$1=Units!$Q8),IF(Units!$J8&lt;&gt;"",Units!$J8,Mkt!N9),Inputs!$B$15*Mkt!N9+(1-Inputs!$B$15)*MIN(Mkt!N9,M9*(1+Inputs!$B$18))),M9)))</f>
        <v>1525</v>
      </c>
      <c r="O9" s="11" t="n">
        <f aca="false">IF(O$1&lt;Units!$P8,0,IF(AND(Units!$K8=0,O$1=Units!$O8),Units!$R8,IF(AND(O$1&gt;=Units!$Q8,MOD(O$1-Units!$Q8,12)=0),IF(AND(Units!$L8=1,O$1=Units!$Q8),IF(Units!$J8&lt;&gt;"",Units!$J8,Mkt!O9),Inputs!$B$15*Mkt!O9+(1-Inputs!$B$15)*MIN(Mkt!O9,N9*(1+Inputs!$B$18))),N9)))</f>
        <v>1525</v>
      </c>
      <c r="P9" s="11" t="n">
        <f aca="false">IF(P$1&lt;Units!$P8,0,IF(AND(Units!$K8=0,P$1=Units!$O8),Units!$R8,IF(AND(P$1&gt;=Units!$Q8,MOD(P$1-Units!$Q8,12)=0),IF(AND(Units!$L8=1,P$1=Units!$Q8),IF(Units!$J8&lt;&gt;"",Units!$J8,Mkt!P9),Inputs!$B$15*Mkt!P9+(1-Inputs!$B$15)*MIN(Mkt!P9,O9*(1+Inputs!$B$18))),O9)))</f>
        <v>1525</v>
      </c>
      <c r="Q9" s="11" t="n">
        <f aca="false">IF(Q$1&lt;Units!$P8,0,IF(AND(Units!$K8=0,Q$1=Units!$O8),Units!$R8,IF(AND(Q$1&gt;=Units!$Q8,MOD(Q$1-Units!$Q8,12)=0),IF(AND(Units!$L8=1,Q$1=Units!$Q8),IF(Units!$J8&lt;&gt;"",Units!$J8,Mkt!Q9),Inputs!$B$15*Mkt!Q9+(1-Inputs!$B$15)*MIN(Mkt!Q9,P9*(1+Inputs!$B$18))),P9)))</f>
        <v>1570.75</v>
      </c>
      <c r="R9" s="11" t="n">
        <f aca="false">IF(R$1&lt;Units!$P8,0,IF(AND(Units!$K8=0,R$1=Units!$O8),Units!$R8,IF(AND(R$1&gt;=Units!$Q8,MOD(R$1-Units!$Q8,12)=0),IF(AND(Units!$L8=1,R$1=Units!$Q8),IF(Units!$J8&lt;&gt;"",Units!$J8,Mkt!R9),Inputs!$B$15*Mkt!R9+(1-Inputs!$B$15)*MIN(Mkt!R9,Q9*(1+Inputs!$B$18))),Q9)))</f>
        <v>1570.75</v>
      </c>
      <c r="S9" s="11" t="n">
        <f aca="false">IF(S$1&lt;Units!$P8,0,IF(AND(Units!$K8=0,S$1=Units!$O8),Units!$R8,IF(AND(S$1&gt;=Units!$Q8,MOD(S$1-Units!$Q8,12)=0),IF(AND(Units!$L8=1,S$1=Units!$Q8),IF(Units!$J8&lt;&gt;"",Units!$J8,Mkt!S9),Inputs!$B$15*Mkt!S9+(1-Inputs!$B$15)*MIN(Mkt!S9,R9*(1+Inputs!$B$18))),R9)))</f>
        <v>1570.75</v>
      </c>
      <c r="T9" s="11" t="n">
        <f aca="false">IF(T$1&lt;Units!$P8,0,IF(AND(Units!$K8=0,T$1=Units!$O8),Units!$R8,IF(AND(T$1&gt;=Units!$Q8,MOD(T$1-Units!$Q8,12)=0),IF(AND(Units!$L8=1,T$1=Units!$Q8),IF(Units!$J8&lt;&gt;"",Units!$J8,Mkt!T9),Inputs!$B$15*Mkt!T9+(1-Inputs!$B$15)*MIN(Mkt!T9,S9*(1+Inputs!$B$18))),S9)))</f>
        <v>1570.75</v>
      </c>
      <c r="U9" s="11" t="n">
        <f aca="false">IF(U$1&lt;Units!$P8,0,IF(AND(Units!$K8=0,U$1=Units!$O8),Units!$R8,IF(AND(U$1&gt;=Units!$Q8,MOD(U$1-Units!$Q8,12)=0),IF(AND(Units!$L8=1,U$1=Units!$Q8),IF(Units!$J8&lt;&gt;"",Units!$J8,Mkt!U9),Inputs!$B$15*Mkt!U9+(1-Inputs!$B$15)*MIN(Mkt!U9,T9*(1+Inputs!$B$18))),T9)))</f>
        <v>1570.75</v>
      </c>
      <c r="V9" s="11" t="n">
        <f aca="false">IF(V$1&lt;Units!$P8,0,IF(AND(Units!$K8=0,V$1=Units!$O8),Units!$R8,IF(AND(V$1&gt;=Units!$Q8,MOD(V$1-Units!$Q8,12)=0),IF(AND(Units!$L8=1,V$1=Units!$Q8),IF(Units!$J8&lt;&gt;"",Units!$J8,Mkt!V9),Inputs!$B$15*Mkt!V9+(1-Inputs!$B$15)*MIN(Mkt!V9,U9*(1+Inputs!$B$18))),U9)))</f>
        <v>1570.75</v>
      </c>
      <c r="W9" s="11" t="n">
        <f aca="false">IF(W$1&lt;Units!$P8,0,IF(AND(Units!$K8=0,W$1=Units!$O8),Units!$R8,IF(AND(W$1&gt;=Units!$Q8,MOD(W$1-Units!$Q8,12)=0),IF(AND(Units!$L8=1,W$1=Units!$Q8),IF(Units!$J8&lt;&gt;"",Units!$J8,Mkt!W9),Inputs!$B$15*Mkt!W9+(1-Inputs!$B$15)*MIN(Mkt!W9,V9*(1+Inputs!$B$18))),V9)))</f>
        <v>1570.75</v>
      </c>
      <c r="X9" s="11" t="n">
        <f aca="false">IF(X$1&lt;Units!$P8,0,IF(AND(Units!$K8=0,X$1=Units!$O8),Units!$R8,IF(AND(X$1&gt;=Units!$Q8,MOD(X$1-Units!$Q8,12)=0),IF(AND(Units!$L8=1,X$1=Units!$Q8),IF(Units!$J8&lt;&gt;"",Units!$J8,Mkt!X9),Inputs!$B$15*Mkt!X9+(1-Inputs!$B$15)*MIN(Mkt!X9,W9*(1+Inputs!$B$18))),W9)))</f>
        <v>1570.75</v>
      </c>
      <c r="Y9" s="11" t="n">
        <f aca="false">IF(Y$1&lt;Units!$P8,0,IF(AND(Units!$K8=0,Y$1=Units!$O8),Units!$R8,IF(AND(Y$1&gt;=Units!$Q8,MOD(Y$1-Units!$Q8,12)=0),IF(AND(Units!$L8=1,Y$1=Units!$Q8),IF(Units!$J8&lt;&gt;"",Units!$J8,Mkt!Y9),Inputs!$B$15*Mkt!Y9+(1-Inputs!$B$15)*MIN(Mkt!Y9,X9*(1+Inputs!$B$18))),X9)))</f>
        <v>1570.75</v>
      </c>
      <c r="Z9" s="11" t="n">
        <f aca="false">IF(Z$1&lt;Units!$P8,0,IF(AND(Units!$K8=0,Z$1=Units!$O8),Units!$R8,IF(AND(Z$1&gt;=Units!$Q8,MOD(Z$1-Units!$Q8,12)=0),IF(AND(Units!$L8=1,Z$1=Units!$Q8),IF(Units!$J8&lt;&gt;"",Units!$J8,Mkt!Z9),Inputs!$B$15*Mkt!Z9+(1-Inputs!$B$15)*MIN(Mkt!Z9,Y9*(1+Inputs!$B$18))),Y9)))</f>
        <v>1570.75</v>
      </c>
      <c r="AA9" s="11" t="n">
        <f aca="false">IF(AA$1&lt;Units!$P8,0,IF(AND(Units!$K8=0,AA$1=Units!$O8),Units!$R8,IF(AND(AA$1&gt;=Units!$Q8,MOD(AA$1-Units!$Q8,12)=0),IF(AND(Units!$L8=1,AA$1=Units!$Q8),IF(Units!$J8&lt;&gt;"",Units!$J8,Mkt!AA9),Inputs!$B$15*Mkt!AA9+(1-Inputs!$B$15)*MIN(Mkt!AA9,Z9*(1+Inputs!$B$18))),Z9)))</f>
        <v>1570.75</v>
      </c>
      <c r="AB9" s="11" t="n">
        <f aca="false">IF(AB$1&lt;Units!$P8,0,IF(AND(Units!$K8=0,AB$1=Units!$O8),Units!$R8,IF(AND(AB$1&gt;=Units!$Q8,MOD(AB$1-Units!$Q8,12)=0),IF(AND(Units!$L8=1,AB$1=Units!$Q8),IF(Units!$J8&lt;&gt;"",Units!$J8,Mkt!AB9),Inputs!$B$15*Mkt!AB9+(1-Inputs!$B$15)*MIN(Mkt!AB9,AA9*(1+Inputs!$B$18))),AA9)))</f>
        <v>1570.75</v>
      </c>
      <c r="AC9" s="11" t="n">
        <f aca="false">IF(AC$1&lt;Units!$P8,0,IF(AND(Units!$K8=0,AC$1=Units!$O8),Units!$R8,IF(AND(AC$1&gt;=Units!$Q8,MOD(AC$1-Units!$Q8,12)=0),IF(AND(Units!$L8=1,AC$1=Units!$Q8),IF(Units!$J8&lt;&gt;"",Units!$J8,Mkt!AC9),Inputs!$B$15*Mkt!AC9+(1-Inputs!$B$15)*MIN(Mkt!AC9,AB9*(1+Inputs!$B$18))),AB9)))</f>
        <v>1617.8725</v>
      </c>
      <c r="AD9" s="11" t="n">
        <f aca="false">IF(AD$1&lt;Units!$P8,0,IF(AND(Units!$K8=0,AD$1=Units!$O8),Units!$R8,IF(AND(AD$1&gt;=Units!$Q8,MOD(AD$1-Units!$Q8,12)=0),IF(AND(Units!$L8=1,AD$1=Units!$Q8),IF(Units!$J8&lt;&gt;"",Units!$J8,Mkt!AD9),Inputs!$B$15*Mkt!AD9+(1-Inputs!$B$15)*MIN(Mkt!AD9,AC9*(1+Inputs!$B$18))),AC9)))</f>
        <v>1617.8725</v>
      </c>
      <c r="AE9" s="11" t="n">
        <f aca="false">IF(AE$1&lt;Units!$P8,0,IF(AND(Units!$K8=0,AE$1=Units!$O8),Units!$R8,IF(AND(AE$1&gt;=Units!$Q8,MOD(AE$1-Units!$Q8,12)=0),IF(AND(Units!$L8=1,AE$1=Units!$Q8),IF(Units!$J8&lt;&gt;"",Units!$J8,Mkt!AE9),Inputs!$B$15*Mkt!AE9+(1-Inputs!$B$15)*MIN(Mkt!AE9,AD9*(1+Inputs!$B$18))),AD9)))</f>
        <v>1617.8725</v>
      </c>
      <c r="AF9" s="11" t="n">
        <f aca="false">IF(AF$1&lt;Units!$P8,0,IF(AND(Units!$K8=0,AF$1=Units!$O8),Units!$R8,IF(AND(AF$1&gt;=Units!$Q8,MOD(AF$1-Units!$Q8,12)=0),IF(AND(Units!$L8=1,AF$1=Units!$Q8),IF(Units!$J8&lt;&gt;"",Units!$J8,Mkt!AF9),Inputs!$B$15*Mkt!AF9+(1-Inputs!$B$15)*MIN(Mkt!AF9,AE9*(1+Inputs!$B$18))),AE9)))</f>
        <v>1617.8725</v>
      </c>
      <c r="AG9" s="11" t="n">
        <f aca="false">IF(AG$1&lt;Units!$P8,0,IF(AND(Units!$K8=0,AG$1=Units!$O8),Units!$R8,IF(AND(AG$1&gt;=Units!$Q8,MOD(AG$1-Units!$Q8,12)=0),IF(AND(Units!$L8=1,AG$1=Units!$Q8),IF(Units!$J8&lt;&gt;"",Units!$J8,Mkt!AG9),Inputs!$B$15*Mkt!AG9+(1-Inputs!$B$15)*MIN(Mkt!AG9,AF9*(1+Inputs!$B$18))),AF9)))</f>
        <v>1617.8725</v>
      </c>
      <c r="AH9" s="11" t="n">
        <f aca="false">IF(AH$1&lt;Units!$P8,0,IF(AND(Units!$K8=0,AH$1=Units!$O8),Units!$R8,IF(AND(AH$1&gt;=Units!$Q8,MOD(AH$1-Units!$Q8,12)=0),IF(AND(Units!$L8=1,AH$1=Units!$Q8),IF(Units!$J8&lt;&gt;"",Units!$J8,Mkt!AH9),Inputs!$B$15*Mkt!AH9+(1-Inputs!$B$15)*MIN(Mkt!AH9,AG9*(1+Inputs!$B$18))),AG9)))</f>
        <v>1617.8725</v>
      </c>
      <c r="AI9" s="11" t="n">
        <f aca="false">IF(AI$1&lt;Units!$P8,0,IF(AND(Units!$K8=0,AI$1=Units!$O8),Units!$R8,IF(AND(AI$1&gt;=Units!$Q8,MOD(AI$1-Units!$Q8,12)=0),IF(AND(Units!$L8=1,AI$1=Units!$Q8),IF(Units!$J8&lt;&gt;"",Units!$J8,Mkt!AI9),Inputs!$B$15*Mkt!AI9+(1-Inputs!$B$15)*MIN(Mkt!AI9,AH9*(1+Inputs!$B$18))),AH9)))</f>
        <v>1617.8725</v>
      </c>
      <c r="AJ9" s="11" t="n">
        <f aca="false">IF(AJ$1&lt;Units!$P8,0,IF(AND(Units!$K8=0,AJ$1=Units!$O8),Units!$R8,IF(AND(AJ$1&gt;=Units!$Q8,MOD(AJ$1-Units!$Q8,12)=0),IF(AND(Units!$L8=1,AJ$1=Units!$Q8),IF(Units!$J8&lt;&gt;"",Units!$J8,Mkt!AJ9),Inputs!$B$15*Mkt!AJ9+(1-Inputs!$B$15)*MIN(Mkt!AJ9,AI9*(1+Inputs!$B$18))),AI9)))</f>
        <v>1617.8725</v>
      </c>
      <c r="AK9" s="11" t="n">
        <f aca="false">IF(AK$1&lt;Units!$P8,0,IF(AND(Units!$K8=0,AK$1=Units!$O8),Units!$R8,IF(AND(AK$1&gt;=Units!$Q8,MOD(AK$1-Units!$Q8,12)=0),IF(AND(Units!$L8=1,AK$1=Units!$Q8),IF(Units!$J8&lt;&gt;"",Units!$J8,Mkt!AK9),Inputs!$B$15*Mkt!AK9+(1-Inputs!$B$15)*MIN(Mkt!AK9,AJ9*(1+Inputs!$B$18))),AJ9)))</f>
        <v>1617.8725</v>
      </c>
      <c r="AL9" s="11" t="n">
        <f aca="false">IF(AL$1&lt;Units!$P8,0,IF(AND(Units!$K8=0,AL$1=Units!$O8),Units!$R8,IF(AND(AL$1&gt;=Units!$Q8,MOD(AL$1-Units!$Q8,12)=0),IF(AND(Units!$L8=1,AL$1=Units!$Q8),IF(Units!$J8&lt;&gt;"",Units!$J8,Mkt!AL9),Inputs!$B$15*Mkt!AL9+(1-Inputs!$B$15)*MIN(Mkt!AL9,AK9*(1+Inputs!$B$18))),AK9)))</f>
        <v>1617.8725</v>
      </c>
      <c r="AM9" s="11" t="n">
        <f aca="false">IF(AM$1&lt;Units!$P8,0,IF(AND(Units!$K8=0,AM$1=Units!$O8),Units!$R8,IF(AND(AM$1&gt;=Units!$Q8,MOD(AM$1-Units!$Q8,12)=0),IF(AND(Units!$L8=1,AM$1=Units!$Q8),IF(Units!$J8&lt;&gt;"",Units!$J8,Mkt!AM9),Inputs!$B$15*Mkt!AM9+(1-Inputs!$B$15)*MIN(Mkt!AM9,AL9*(1+Inputs!$B$18))),AL9)))</f>
        <v>1617.8725</v>
      </c>
      <c r="AN9" s="11" t="n">
        <f aca="false">IF(AN$1&lt;Units!$P8,0,IF(AND(Units!$K8=0,AN$1=Units!$O8),Units!$R8,IF(AND(AN$1&gt;=Units!$Q8,MOD(AN$1-Units!$Q8,12)=0),IF(AND(Units!$L8=1,AN$1=Units!$Q8),IF(Units!$J8&lt;&gt;"",Units!$J8,Mkt!AN9),Inputs!$B$15*Mkt!AN9+(1-Inputs!$B$15)*MIN(Mkt!AN9,AM9*(1+Inputs!$B$18))),AM9)))</f>
        <v>1617.8725</v>
      </c>
      <c r="AO9" s="11" t="n">
        <f aca="false">IF(AO$1&lt;Units!$P8,0,IF(AND(Units!$K8=0,AO$1=Units!$O8),Units!$R8,IF(AND(AO$1&gt;=Units!$Q8,MOD(AO$1-Units!$Q8,12)=0),IF(AND(Units!$L8=1,AO$1=Units!$Q8),IF(Units!$J8&lt;&gt;"",Units!$J8,Mkt!AO9),Inputs!$B$15*Mkt!AO9+(1-Inputs!$B$15)*MIN(Mkt!AO9,AN9*(1+Inputs!$B$18))),AN9)))</f>
        <v>1666.408675</v>
      </c>
      <c r="AP9" s="11" t="n">
        <f aca="false">IF(AP$1&lt;Units!$P8,0,IF(AND(Units!$K8=0,AP$1=Units!$O8),Units!$R8,IF(AND(AP$1&gt;=Units!$Q8,MOD(AP$1-Units!$Q8,12)=0),IF(AND(Units!$L8=1,AP$1=Units!$Q8),IF(Units!$J8&lt;&gt;"",Units!$J8,Mkt!AP9),Inputs!$B$15*Mkt!AP9+(1-Inputs!$B$15)*MIN(Mkt!AP9,AO9*(1+Inputs!$B$18))),AO9)))</f>
        <v>1666.408675</v>
      </c>
      <c r="AQ9" s="11" t="n">
        <f aca="false">IF(AQ$1&lt;Units!$P8,0,IF(AND(Units!$K8=0,AQ$1=Units!$O8),Units!$R8,IF(AND(AQ$1&gt;=Units!$Q8,MOD(AQ$1-Units!$Q8,12)=0),IF(AND(Units!$L8=1,AQ$1=Units!$Q8),IF(Units!$J8&lt;&gt;"",Units!$J8,Mkt!AQ9),Inputs!$B$15*Mkt!AQ9+(1-Inputs!$B$15)*MIN(Mkt!AQ9,AP9*(1+Inputs!$B$18))),AP9)))</f>
        <v>1666.408675</v>
      </c>
      <c r="AR9" s="11" t="n">
        <f aca="false">IF(AR$1&lt;Units!$P8,0,IF(AND(Units!$K8=0,AR$1=Units!$O8),Units!$R8,IF(AND(AR$1&gt;=Units!$Q8,MOD(AR$1-Units!$Q8,12)=0),IF(AND(Units!$L8=1,AR$1=Units!$Q8),IF(Units!$J8&lt;&gt;"",Units!$J8,Mkt!AR9),Inputs!$B$15*Mkt!AR9+(1-Inputs!$B$15)*MIN(Mkt!AR9,AQ9*(1+Inputs!$B$18))),AQ9)))</f>
        <v>1666.408675</v>
      </c>
      <c r="AS9" s="11" t="n">
        <f aca="false">IF(AS$1&lt;Units!$P8,0,IF(AND(Units!$K8=0,AS$1=Units!$O8),Units!$R8,IF(AND(AS$1&gt;=Units!$Q8,MOD(AS$1-Units!$Q8,12)=0),IF(AND(Units!$L8=1,AS$1=Units!$Q8),IF(Units!$J8&lt;&gt;"",Units!$J8,Mkt!AS9),Inputs!$B$15*Mkt!AS9+(1-Inputs!$B$15)*MIN(Mkt!AS9,AR9*(1+Inputs!$B$18))),AR9)))</f>
        <v>1666.408675</v>
      </c>
      <c r="AT9" s="11" t="n">
        <f aca="false">IF(AT$1&lt;Units!$P8,0,IF(AND(Units!$K8=0,AT$1=Units!$O8),Units!$R8,IF(AND(AT$1&gt;=Units!$Q8,MOD(AT$1-Units!$Q8,12)=0),IF(AND(Units!$L8=1,AT$1=Units!$Q8),IF(Units!$J8&lt;&gt;"",Units!$J8,Mkt!AT9),Inputs!$B$15*Mkt!AT9+(1-Inputs!$B$15)*MIN(Mkt!AT9,AS9*(1+Inputs!$B$18))),AS9)))</f>
        <v>1666.408675</v>
      </c>
      <c r="AU9" s="11" t="n">
        <f aca="false">IF(AU$1&lt;Units!$P8,0,IF(AND(Units!$K8=0,AU$1=Units!$O8),Units!$R8,IF(AND(AU$1&gt;=Units!$Q8,MOD(AU$1-Units!$Q8,12)=0),IF(AND(Units!$L8=1,AU$1=Units!$Q8),IF(Units!$J8&lt;&gt;"",Units!$J8,Mkt!AU9),Inputs!$B$15*Mkt!AU9+(1-Inputs!$B$15)*MIN(Mkt!AU9,AT9*(1+Inputs!$B$18))),AT9)))</f>
        <v>1666.408675</v>
      </c>
      <c r="AV9" s="11" t="n">
        <f aca="false">IF(AV$1&lt;Units!$P8,0,IF(AND(Units!$K8=0,AV$1=Units!$O8),Units!$R8,IF(AND(AV$1&gt;=Units!$Q8,MOD(AV$1-Units!$Q8,12)=0),IF(AND(Units!$L8=1,AV$1=Units!$Q8),IF(Units!$J8&lt;&gt;"",Units!$J8,Mkt!AV9),Inputs!$B$15*Mkt!AV9+(1-Inputs!$B$15)*MIN(Mkt!AV9,AU9*(1+Inputs!$B$18))),AU9)))</f>
        <v>1666.408675</v>
      </c>
      <c r="AW9" s="11" t="n">
        <f aca="false">IF(AW$1&lt;Units!$P8,0,IF(AND(Units!$K8=0,AW$1=Units!$O8),Units!$R8,IF(AND(AW$1&gt;=Units!$Q8,MOD(AW$1-Units!$Q8,12)=0),IF(AND(Units!$L8=1,AW$1=Units!$Q8),IF(Units!$J8&lt;&gt;"",Units!$J8,Mkt!AW9),Inputs!$B$15*Mkt!AW9+(1-Inputs!$B$15)*MIN(Mkt!AW9,AV9*(1+Inputs!$B$18))),AV9)))</f>
        <v>1666.408675</v>
      </c>
      <c r="AX9" s="11" t="n">
        <f aca="false">IF(AX$1&lt;Units!$P8,0,IF(AND(Units!$K8=0,AX$1=Units!$O8),Units!$R8,IF(AND(AX$1&gt;=Units!$Q8,MOD(AX$1-Units!$Q8,12)=0),IF(AND(Units!$L8=1,AX$1=Units!$Q8),IF(Units!$J8&lt;&gt;"",Units!$J8,Mkt!AX9),Inputs!$B$15*Mkt!AX9+(1-Inputs!$B$15)*MIN(Mkt!AX9,AW9*(1+Inputs!$B$18))),AW9)))</f>
        <v>1666.408675</v>
      </c>
      <c r="AY9" s="11" t="n">
        <f aca="false">IF(AY$1&lt;Units!$P8,0,IF(AND(Units!$K8=0,AY$1=Units!$O8),Units!$R8,IF(AND(AY$1&gt;=Units!$Q8,MOD(AY$1-Units!$Q8,12)=0),IF(AND(Units!$L8=1,AY$1=Units!$Q8),IF(Units!$J8&lt;&gt;"",Units!$J8,Mkt!AY9),Inputs!$B$15*Mkt!AY9+(1-Inputs!$B$15)*MIN(Mkt!AY9,AX9*(1+Inputs!$B$18))),AX9)))</f>
        <v>1666.408675</v>
      </c>
      <c r="AZ9" s="11" t="n">
        <f aca="false">IF(AZ$1&lt;Units!$P8,0,IF(AND(Units!$K8=0,AZ$1=Units!$O8),Units!$R8,IF(AND(AZ$1&gt;=Units!$Q8,MOD(AZ$1-Units!$Q8,12)=0),IF(AND(Units!$L8=1,AZ$1=Units!$Q8),IF(Units!$J8&lt;&gt;"",Units!$J8,Mkt!AZ9),Inputs!$B$15*Mkt!AZ9+(1-Inputs!$B$15)*MIN(Mkt!AZ9,AY9*(1+Inputs!$B$18))),AY9)))</f>
        <v>1666.408675</v>
      </c>
      <c r="BA9" s="11" t="n">
        <f aca="false">IF(BA$1&lt;Units!$P8,0,IF(AND(Units!$K8=0,BA$1=Units!$O8),Units!$R8,IF(AND(BA$1&gt;=Units!$Q8,MOD(BA$1-Units!$Q8,12)=0),IF(AND(Units!$L8=1,BA$1=Units!$Q8),IF(Units!$J8&lt;&gt;"",Units!$J8,Mkt!BA9),Inputs!$B$15*Mkt!BA9+(1-Inputs!$B$15)*MIN(Mkt!BA9,AZ9*(1+Inputs!$B$18))),AZ9)))</f>
        <v>1716.40093525</v>
      </c>
      <c r="BB9" s="11" t="n">
        <f aca="false">IF(BB$1&lt;Units!$P8,0,IF(AND(Units!$K8=0,BB$1=Units!$O8),Units!$R8,IF(AND(BB$1&gt;=Units!$Q8,MOD(BB$1-Units!$Q8,12)=0),IF(AND(Units!$L8=1,BB$1=Units!$Q8),IF(Units!$J8&lt;&gt;"",Units!$J8,Mkt!BB9),Inputs!$B$15*Mkt!BB9+(1-Inputs!$B$15)*MIN(Mkt!BB9,BA9*(1+Inputs!$B$18))),BA9)))</f>
        <v>1716.40093525</v>
      </c>
      <c r="BC9" s="11" t="n">
        <f aca="false">IF(BC$1&lt;Units!$P8,0,IF(AND(Units!$K8=0,BC$1=Units!$O8),Units!$R8,IF(AND(BC$1&gt;=Units!$Q8,MOD(BC$1-Units!$Q8,12)=0),IF(AND(Units!$L8=1,BC$1=Units!$Q8),IF(Units!$J8&lt;&gt;"",Units!$J8,Mkt!BC9),Inputs!$B$15*Mkt!BC9+(1-Inputs!$B$15)*MIN(Mkt!BC9,BB9*(1+Inputs!$B$18))),BB9)))</f>
        <v>1716.40093525</v>
      </c>
      <c r="BD9" s="11" t="n">
        <f aca="false">IF(BD$1&lt;Units!$P8,0,IF(AND(Units!$K8=0,BD$1=Units!$O8),Units!$R8,IF(AND(BD$1&gt;=Units!$Q8,MOD(BD$1-Units!$Q8,12)=0),IF(AND(Units!$L8=1,BD$1=Units!$Q8),IF(Units!$J8&lt;&gt;"",Units!$J8,Mkt!BD9),Inputs!$B$15*Mkt!BD9+(1-Inputs!$B$15)*MIN(Mkt!BD9,BC9*(1+Inputs!$B$18))),BC9)))</f>
        <v>1716.40093525</v>
      </c>
      <c r="BE9" s="11" t="n">
        <f aca="false">IF(BE$1&lt;Units!$P8,0,IF(AND(Units!$K8=0,BE$1=Units!$O8),Units!$R8,IF(AND(BE$1&gt;=Units!$Q8,MOD(BE$1-Units!$Q8,12)=0),IF(AND(Units!$L8=1,BE$1=Units!$Q8),IF(Units!$J8&lt;&gt;"",Units!$J8,Mkt!BE9),Inputs!$B$15*Mkt!BE9+(1-Inputs!$B$15)*MIN(Mkt!BE9,BD9*(1+Inputs!$B$18))),BD9)))</f>
        <v>1716.40093525</v>
      </c>
      <c r="BF9" s="11" t="n">
        <f aca="false">IF(BF$1&lt;Units!$P8,0,IF(AND(Units!$K8=0,BF$1=Units!$O8),Units!$R8,IF(AND(BF$1&gt;=Units!$Q8,MOD(BF$1-Units!$Q8,12)=0),IF(AND(Units!$L8=1,BF$1=Units!$Q8),IF(Units!$J8&lt;&gt;"",Units!$J8,Mkt!BF9),Inputs!$B$15*Mkt!BF9+(1-Inputs!$B$15)*MIN(Mkt!BF9,BE9*(1+Inputs!$B$18))),BE9)))</f>
        <v>1716.40093525</v>
      </c>
      <c r="BG9" s="11" t="n">
        <f aca="false">IF(BG$1&lt;Units!$P8,0,IF(AND(Units!$K8=0,BG$1=Units!$O8),Units!$R8,IF(AND(BG$1&gt;=Units!$Q8,MOD(BG$1-Units!$Q8,12)=0),IF(AND(Units!$L8=1,BG$1=Units!$Q8),IF(Units!$J8&lt;&gt;"",Units!$J8,Mkt!BG9),Inputs!$B$15*Mkt!BG9+(1-Inputs!$B$15)*MIN(Mkt!BG9,BF9*(1+Inputs!$B$18))),BF9)))</f>
        <v>1716.40093525</v>
      </c>
      <c r="BH9" s="11" t="n">
        <f aca="false">IF(BH$1&lt;Units!$P8,0,IF(AND(Units!$K8=0,BH$1=Units!$O8),Units!$R8,IF(AND(BH$1&gt;=Units!$Q8,MOD(BH$1-Units!$Q8,12)=0),IF(AND(Units!$L8=1,BH$1=Units!$Q8),IF(Units!$J8&lt;&gt;"",Units!$J8,Mkt!BH9),Inputs!$B$15*Mkt!BH9+(1-Inputs!$B$15)*MIN(Mkt!BH9,BG9*(1+Inputs!$B$18))),BG9)))</f>
        <v>1716.40093525</v>
      </c>
      <c r="BI9" s="11" t="n">
        <f aca="false">IF(BI$1&lt;Units!$P8,0,IF(AND(Units!$K8=0,BI$1=Units!$O8),Units!$R8,IF(AND(BI$1&gt;=Units!$Q8,MOD(BI$1-Units!$Q8,12)=0),IF(AND(Units!$L8=1,BI$1=Units!$Q8),IF(Units!$J8&lt;&gt;"",Units!$J8,Mkt!BI9),Inputs!$B$15*Mkt!BI9+(1-Inputs!$B$15)*MIN(Mkt!BI9,BH9*(1+Inputs!$B$18))),BH9)))</f>
        <v>1716.40093525</v>
      </c>
      <c r="BJ9" s="11" t="n">
        <f aca="false">IF(BJ$1&lt;Units!$P8,0,IF(AND(Units!$K8=0,BJ$1=Units!$O8),Units!$R8,IF(AND(BJ$1&gt;=Units!$Q8,MOD(BJ$1-Units!$Q8,12)=0),IF(AND(Units!$L8=1,BJ$1=Units!$Q8),IF(Units!$J8&lt;&gt;"",Units!$J8,Mkt!BJ9),Inputs!$B$15*Mkt!BJ9+(1-Inputs!$B$15)*MIN(Mkt!BJ9,BI9*(1+Inputs!$B$18))),BI9)))</f>
        <v>1716.40093525</v>
      </c>
      <c r="BK9" s="11" t="n">
        <f aca="false">IF(BK$1&lt;Units!$P8,0,IF(AND(Units!$K8=0,BK$1=Units!$O8),Units!$R8,IF(AND(BK$1&gt;=Units!$Q8,MOD(BK$1-Units!$Q8,12)=0),IF(AND(Units!$L8=1,BK$1=Units!$Q8),IF(Units!$J8&lt;&gt;"",Units!$J8,Mkt!BK9),Inputs!$B$15*Mkt!BK9+(1-Inputs!$B$15)*MIN(Mkt!BK9,BJ9*(1+Inputs!$B$18))),BJ9)))</f>
        <v>1716.40093525</v>
      </c>
      <c r="BL9" s="11" t="n">
        <f aca="false">IF(BL$1&lt;Units!$P8,0,IF(AND(Units!$K8=0,BL$1=Units!$O8),Units!$R8,IF(AND(BL$1&gt;=Units!$Q8,MOD(BL$1-Units!$Q8,12)=0),IF(AND(Units!$L8=1,BL$1=Units!$Q8),IF(Units!$J8&lt;&gt;"",Units!$J8,Mkt!BL9),Inputs!$B$15*Mkt!BL9+(1-Inputs!$B$15)*MIN(Mkt!BL9,BK9*(1+Inputs!$B$18))),BK9)))</f>
        <v>1716.40093525</v>
      </c>
      <c r="BM9" s="11" t="n">
        <f aca="false">IF(BM$1&lt;Units!$P8,0,IF(AND(Units!$K8=0,BM$1=Units!$O8),Units!$R8,IF(AND(BM$1&gt;=Units!$Q8,MOD(BM$1-Units!$Q8,12)=0),IF(AND(Units!$L8=1,BM$1=Units!$Q8),IF(Units!$J8&lt;&gt;"",Units!$J8,Mkt!BM9),Inputs!$B$15*Mkt!BM9+(1-Inputs!$B$15)*MIN(Mkt!BM9,BL9*(1+Inputs!$B$18))),BL9)))</f>
        <v>1767.8929633075</v>
      </c>
      <c r="BN9" s="11" t="n">
        <f aca="false">IF(BN$1&lt;Units!$P8,0,IF(AND(Units!$K8=0,BN$1=Units!$O8),Units!$R8,IF(AND(BN$1&gt;=Units!$Q8,MOD(BN$1-Units!$Q8,12)=0),IF(AND(Units!$L8=1,BN$1=Units!$Q8),IF(Units!$J8&lt;&gt;"",Units!$J8,Mkt!BN9),Inputs!$B$15*Mkt!BN9+(1-Inputs!$B$15)*MIN(Mkt!BN9,BM9*(1+Inputs!$B$18))),BM9)))</f>
        <v>1767.8929633075</v>
      </c>
      <c r="BO9" s="11" t="n">
        <f aca="false">IF(BO$1&lt;Units!$P8,0,IF(AND(Units!$K8=0,BO$1=Units!$O8),Units!$R8,IF(AND(BO$1&gt;=Units!$Q8,MOD(BO$1-Units!$Q8,12)=0),IF(AND(Units!$L8=1,BO$1=Units!$Q8),IF(Units!$J8&lt;&gt;"",Units!$J8,Mkt!BO9),Inputs!$B$15*Mkt!BO9+(1-Inputs!$B$15)*MIN(Mkt!BO9,BN9*(1+Inputs!$B$18))),BN9)))</f>
        <v>1767.8929633075</v>
      </c>
      <c r="BP9" s="11" t="n">
        <f aca="false">IF(BP$1&lt;Units!$P8,0,IF(AND(Units!$K8=0,BP$1=Units!$O8),Units!$R8,IF(AND(BP$1&gt;=Units!$Q8,MOD(BP$1-Units!$Q8,12)=0),IF(AND(Units!$L8=1,BP$1=Units!$Q8),IF(Units!$J8&lt;&gt;"",Units!$J8,Mkt!BP9),Inputs!$B$15*Mkt!BP9+(1-Inputs!$B$15)*MIN(Mkt!BP9,BO9*(1+Inputs!$B$18))),BO9)))</f>
        <v>1767.8929633075</v>
      </c>
      <c r="BQ9" s="11" t="n">
        <f aca="false">IF(BQ$1&lt;Units!$P8,0,IF(AND(Units!$K8=0,BQ$1=Units!$O8),Units!$R8,IF(AND(BQ$1&gt;=Units!$Q8,MOD(BQ$1-Units!$Q8,12)=0),IF(AND(Units!$L8=1,BQ$1=Units!$Q8),IF(Units!$J8&lt;&gt;"",Units!$J8,Mkt!BQ9),Inputs!$B$15*Mkt!BQ9+(1-Inputs!$B$15)*MIN(Mkt!BQ9,BP9*(1+Inputs!$B$18))),BP9)))</f>
        <v>1767.8929633075</v>
      </c>
      <c r="BR9" s="11" t="n">
        <f aca="false">IF(BR$1&lt;Units!$P8,0,IF(AND(Units!$K8=0,BR$1=Units!$O8),Units!$R8,IF(AND(BR$1&gt;=Units!$Q8,MOD(BR$1-Units!$Q8,12)=0),IF(AND(Units!$L8=1,BR$1=Units!$Q8),IF(Units!$J8&lt;&gt;"",Units!$J8,Mkt!BR9),Inputs!$B$15*Mkt!BR9+(1-Inputs!$B$15)*MIN(Mkt!BR9,BQ9*(1+Inputs!$B$18))),BQ9)))</f>
        <v>1767.8929633075</v>
      </c>
      <c r="BS9" s="11" t="n">
        <f aca="false">IF(BS$1&lt;Units!$P8,0,IF(AND(Units!$K8=0,BS$1=Units!$O8),Units!$R8,IF(AND(BS$1&gt;=Units!$Q8,MOD(BS$1-Units!$Q8,12)=0),IF(AND(Units!$L8=1,BS$1=Units!$Q8),IF(Units!$J8&lt;&gt;"",Units!$J8,Mkt!BS9),Inputs!$B$15*Mkt!BS9+(1-Inputs!$B$15)*MIN(Mkt!BS9,BR9*(1+Inputs!$B$18))),BR9)))</f>
        <v>1767.8929633075</v>
      </c>
      <c r="BT9" s="11" t="n">
        <f aca="false">IF(BT$1&lt;Units!$P8,0,IF(AND(Units!$K8=0,BT$1=Units!$O8),Units!$R8,IF(AND(BT$1&gt;=Units!$Q8,MOD(BT$1-Units!$Q8,12)=0),IF(AND(Units!$L8=1,BT$1=Units!$Q8),IF(Units!$J8&lt;&gt;"",Units!$J8,Mkt!BT9),Inputs!$B$15*Mkt!BT9+(1-Inputs!$B$15)*MIN(Mkt!BT9,BS9*(1+Inputs!$B$18))),BS9)))</f>
        <v>1767.8929633075</v>
      </c>
      <c r="BU9" s="11" t="n">
        <f aca="false">IF(BU$1&lt;Units!$P8,0,IF(AND(Units!$K8=0,BU$1=Units!$O8),Units!$R8,IF(AND(BU$1&gt;=Units!$Q8,MOD(BU$1-Units!$Q8,12)=0),IF(AND(Units!$L8=1,BU$1=Units!$Q8),IF(Units!$J8&lt;&gt;"",Units!$J8,Mkt!BU9),Inputs!$B$15*Mkt!BU9+(1-Inputs!$B$15)*MIN(Mkt!BU9,BT9*(1+Inputs!$B$18))),BT9)))</f>
        <v>1767.8929633075</v>
      </c>
      <c r="BV9" s="11" t="n">
        <f aca="false">IF(BV$1&lt;Units!$P8,0,IF(AND(Units!$K8=0,BV$1=Units!$O8),Units!$R8,IF(AND(BV$1&gt;=Units!$Q8,MOD(BV$1-Units!$Q8,12)=0),IF(AND(Units!$L8=1,BV$1=Units!$Q8),IF(Units!$J8&lt;&gt;"",Units!$J8,Mkt!BV9),Inputs!$B$15*Mkt!BV9+(1-Inputs!$B$15)*MIN(Mkt!BV9,BU9*(1+Inputs!$B$18))),BU9)))</f>
        <v>1767.8929633075</v>
      </c>
      <c r="BW9" s="11" t="n">
        <f aca="false">IF(BW$1&lt;Units!$P8,0,IF(AND(Units!$K8=0,BW$1=Units!$O8),Units!$R8,IF(AND(BW$1&gt;=Units!$Q8,MOD(BW$1-Units!$Q8,12)=0),IF(AND(Units!$L8=1,BW$1=Units!$Q8),IF(Units!$J8&lt;&gt;"",Units!$J8,Mkt!BW9),Inputs!$B$15*Mkt!BW9+(1-Inputs!$B$15)*MIN(Mkt!BW9,BV9*(1+Inputs!$B$18))),BV9)))</f>
        <v>1767.8929633075</v>
      </c>
      <c r="BX9" s="11" t="n">
        <f aca="false">IF(BX$1&lt;Units!$P8,0,IF(AND(Units!$K8=0,BX$1=Units!$O8),Units!$R8,IF(AND(BX$1&gt;=Units!$Q8,MOD(BX$1-Units!$Q8,12)=0),IF(AND(Units!$L8=1,BX$1=Units!$Q8),IF(Units!$J8&lt;&gt;"",Units!$J8,Mkt!BX9),Inputs!$B$15*Mkt!BX9+(1-Inputs!$B$15)*MIN(Mkt!BX9,BW9*(1+Inputs!$B$18))),BW9)))</f>
        <v>1767.8929633075</v>
      </c>
      <c r="BY9" s="11" t="n">
        <f aca="false">IF(BY$1&lt;Units!$P8,0,IF(AND(Units!$K8=0,BY$1=Units!$O8),Units!$R8,IF(AND(BY$1&gt;=Units!$Q8,MOD(BY$1-Units!$Q8,12)=0),IF(AND(Units!$L8=1,BY$1=Units!$Q8),IF(Units!$J8&lt;&gt;"",Units!$J8,Mkt!BY9),Inputs!$B$15*Mkt!BY9+(1-Inputs!$B$15)*MIN(Mkt!BY9,BX9*(1+Inputs!$B$18))),BX9)))</f>
        <v>1820.92975220673</v>
      </c>
      <c r="BZ9" s="11" t="n">
        <f aca="false">IF(BZ$1&lt;Units!$P8,0,IF(AND(Units!$K8=0,BZ$1=Units!$O8),Units!$R8,IF(AND(BZ$1&gt;=Units!$Q8,MOD(BZ$1-Units!$Q8,12)=0),IF(AND(Units!$L8=1,BZ$1=Units!$Q8),IF(Units!$J8&lt;&gt;"",Units!$J8,Mkt!BZ9),Inputs!$B$15*Mkt!BZ9+(1-Inputs!$B$15)*MIN(Mkt!BZ9,BY9*(1+Inputs!$B$18))),BY9)))</f>
        <v>1820.92975220673</v>
      </c>
      <c r="CA9" s="11" t="n">
        <f aca="false">IF(CA$1&lt;Units!$P8,0,IF(AND(Units!$K8=0,CA$1=Units!$O8),Units!$R8,IF(AND(CA$1&gt;=Units!$Q8,MOD(CA$1-Units!$Q8,12)=0),IF(AND(Units!$L8=1,CA$1=Units!$Q8),IF(Units!$J8&lt;&gt;"",Units!$J8,Mkt!CA9),Inputs!$B$15*Mkt!CA9+(1-Inputs!$B$15)*MIN(Mkt!CA9,BZ9*(1+Inputs!$B$18))),BZ9)))</f>
        <v>1820.92975220673</v>
      </c>
      <c r="CB9" s="11" t="n">
        <f aca="false">IF(CB$1&lt;Units!$P8,0,IF(AND(Units!$K8=0,CB$1=Units!$O8),Units!$R8,IF(AND(CB$1&gt;=Units!$Q8,MOD(CB$1-Units!$Q8,12)=0),IF(AND(Units!$L8=1,CB$1=Units!$Q8),IF(Units!$J8&lt;&gt;"",Units!$J8,Mkt!CB9),Inputs!$B$15*Mkt!CB9+(1-Inputs!$B$15)*MIN(Mkt!CB9,CA9*(1+Inputs!$B$18))),CA9)))</f>
        <v>1820.92975220673</v>
      </c>
      <c r="CC9" s="11" t="n">
        <f aca="false">IF(CC$1&lt;Units!$P8,0,IF(AND(Units!$K8=0,CC$1=Units!$O8),Units!$R8,IF(AND(CC$1&gt;=Units!$Q8,MOD(CC$1-Units!$Q8,12)=0),IF(AND(Units!$L8=1,CC$1=Units!$Q8),IF(Units!$J8&lt;&gt;"",Units!$J8,Mkt!CC9),Inputs!$B$15*Mkt!CC9+(1-Inputs!$B$15)*MIN(Mkt!CC9,CB9*(1+Inputs!$B$18))),CB9)))</f>
        <v>1820.92975220673</v>
      </c>
      <c r="CD9" s="11" t="n">
        <f aca="false">IF(CD$1&lt;Units!$P8,0,IF(AND(Units!$K8=0,CD$1=Units!$O8),Units!$R8,IF(AND(CD$1&gt;=Units!$Q8,MOD(CD$1-Units!$Q8,12)=0),IF(AND(Units!$L8=1,CD$1=Units!$Q8),IF(Units!$J8&lt;&gt;"",Units!$J8,Mkt!CD9),Inputs!$B$15*Mkt!CD9+(1-Inputs!$B$15)*MIN(Mkt!CD9,CC9*(1+Inputs!$B$18))),CC9)))</f>
        <v>1820.92975220673</v>
      </c>
      <c r="CE9" s="11" t="n">
        <f aca="false">IF(CE$1&lt;Units!$P8,0,IF(AND(Units!$K8=0,CE$1=Units!$O8),Units!$R8,IF(AND(CE$1&gt;=Units!$Q8,MOD(CE$1-Units!$Q8,12)=0),IF(AND(Units!$L8=1,CE$1=Units!$Q8),IF(Units!$J8&lt;&gt;"",Units!$J8,Mkt!CE9),Inputs!$B$15*Mkt!CE9+(1-Inputs!$B$15)*MIN(Mkt!CE9,CD9*(1+Inputs!$B$18))),CD9)))</f>
        <v>1820.92975220673</v>
      </c>
      <c r="CF9" s="11" t="n">
        <f aca="false">IF(CF$1&lt;Units!$P8,0,IF(AND(Units!$K8=0,CF$1=Units!$O8),Units!$R8,IF(AND(CF$1&gt;=Units!$Q8,MOD(CF$1-Units!$Q8,12)=0),IF(AND(Units!$L8=1,CF$1=Units!$Q8),IF(Units!$J8&lt;&gt;"",Units!$J8,Mkt!CF9),Inputs!$B$15*Mkt!CF9+(1-Inputs!$B$15)*MIN(Mkt!CF9,CE9*(1+Inputs!$B$18))),CE9)))</f>
        <v>1820.92975220673</v>
      </c>
      <c r="CG9" s="11" t="n">
        <f aca="false">IF(CG$1&lt;Units!$P8,0,IF(AND(Units!$K8=0,CG$1=Units!$O8),Units!$R8,IF(AND(CG$1&gt;=Units!$Q8,MOD(CG$1-Units!$Q8,12)=0),IF(AND(Units!$L8=1,CG$1=Units!$Q8),IF(Units!$J8&lt;&gt;"",Units!$J8,Mkt!CG9),Inputs!$B$15*Mkt!CG9+(1-Inputs!$B$15)*MIN(Mkt!CG9,CF9*(1+Inputs!$B$18))),CF9)))</f>
        <v>1820.92975220673</v>
      </c>
      <c r="CH9" s="11" t="n">
        <f aca="false">IF(CH$1&lt;Units!$P8,0,IF(AND(Units!$K8=0,CH$1=Units!$O8),Units!$R8,IF(AND(CH$1&gt;=Units!$Q8,MOD(CH$1-Units!$Q8,12)=0),IF(AND(Units!$L8=1,CH$1=Units!$Q8),IF(Units!$J8&lt;&gt;"",Units!$J8,Mkt!CH9),Inputs!$B$15*Mkt!CH9+(1-Inputs!$B$15)*MIN(Mkt!CH9,CG9*(1+Inputs!$B$18))),CG9)))</f>
        <v>1820.92975220673</v>
      </c>
      <c r="CI9" s="11" t="n">
        <f aca="false">IF(CI$1&lt;Units!$P8,0,IF(AND(Units!$K8=0,CI$1=Units!$O8),Units!$R8,IF(AND(CI$1&gt;=Units!$Q8,MOD(CI$1-Units!$Q8,12)=0),IF(AND(Units!$L8=1,CI$1=Units!$Q8),IF(Units!$J8&lt;&gt;"",Units!$J8,Mkt!CI9),Inputs!$B$15*Mkt!CI9+(1-Inputs!$B$15)*MIN(Mkt!CI9,CH9*(1+Inputs!$B$18))),CH9)))</f>
        <v>1820.92975220673</v>
      </c>
      <c r="CJ9" s="11" t="n">
        <f aca="false">IF(CJ$1&lt;Units!$P8,0,IF(AND(Units!$K8=0,CJ$1=Units!$O8),Units!$R8,IF(AND(CJ$1&gt;=Units!$Q8,MOD(CJ$1-Units!$Q8,12)=0),IF(AND(Units!$L8=1,CJ$1=Units!$Q8),IF(Units!$J8&lt;&gt;"",Units!$J8,Mkt!CJ9),Inputs!$B$15*Mkt!CJ9+(1-Inputs!$B$15)*MIN(Mkt!CJ9,CI9*(1+Inputs!$B$18))),CI9)))</f>
        <v>1820.92975220673</v>
      </c>
      <c r="CK9" s="11" t="n">
        <f aca="false">IF(CK$1&lt;Units!$P8,0,IF(AND(Units!$K8=0,CK$1=Units!$O8),Units!$R8,IF(AND(CK$1&gt;=Units!$Q8,MOD(CK$1-Units!$Q8,12)=0),IF(AND(Units!$L8=1,CK$1=Units!$Q8),IF(Units!$J8&lt;&gt;"",Units!$J8,Mkt!CK9),Inputs!$B$15*Mkt!CK9+(1-Inputs!$B$15)*MIN(Mkt!CK9,CJ9*(1+Inputs!$B$18))),CJ9)))</f>
        <v>1875.55764477293</v>
      </c>
      <c r="CL9" s="11" t="n">
        <f aca="false">IF(CL$1&lt;Units!$P8,0,IF(AND(Units!$K8=0,CL$1=Units!$O8),Units!$R8,IF(AND(CL$1&gt;=Units!$Q8,MOD(CL$1-Units!$Q8,12)=0),IF(AND(Units!$L8=1,CL$1=Units!$Q8),IF(Units!$J8&lt;&gt;"",Units!$J8,Mkt!CL9),Inputs!$B$15*Mkt!CL9+(1-Inputs!$B$15)*MIN(Mkt!CL9,CK9*(1+Inputs!$B$18))),CK9)))</f>
        <v>1875.55764477293</v>
      </c>
      <c r="CM9" s="11" t="n">
        <f aca="false">IF(CM$1&lt;Units!$P8,0,IF(AND(Units!$K8=0,CM$1=Units!$O8),Units!$R8,IF(AND(CM$1&gt;=Units!$Q8,MOD(CM$1-Units!$Q8,12)=0),IF(AND(Units!$L8=1,CM$1=Units!$Q8),IF(Units!$J8&lt;&gt;"",Units!$J8,Mkt!CM9),Inputs!$B$15*Mkt!CM9+(1-Inputs!$B$15)*MIN(Mkt!CM9,CL9*(1+Inputs!$B$18))),CL9)))</f>
        <v>1875.55764477293</v>
      </c>
      <c r="CN9" s="11" t="n">
        <f aca="false">IF(CN$1&lt;Units!$P8,0,IF(AND(Units!$K8=0,CN$1=Units!$O8),Units!$R8,IF(AND(CN$1&gt;=Units!$Q8,MOD(CN$1-Units!$Q8,12)=0),IF(AND(Units!$L8=1,CN$1=Units!$Q8),IF(Units!$J8&lt;&gt;"",Units!$J8,Mkt!CN9),Inputs!$B$15*Mkt!CN9+(1-Inputs!$B$15)*MIN(Mkt!CN9,CM9*(1+Inputs!$B$18))),CM9)))</f>
        <v>1875.55764477293</v>
      </c>
      <c r="CO9" s="11" t="n">
        <f aca="false">IF(CO$1&lt;Units!$P8,0,IF(AND(Units!$K8=0,CO$1=Units!$O8),Units!$R8,IF(AND(CO$1&gt;=Units!$Q8,MOD(CO$1-Units!$Q8,12)=0),IF(AND(Units!$L8=1,CO$1=Units!$Q8),IF(Units!$J8&lt;&gt;"",Units!$J8,Mkt!CO9),Inputs!$B$15*Mkt!CO9+(1-Inputs!$B$15)*MIN(Mkt!CO9,CN9*(1+Inputs!$B$18))),CN9)))</f>
        <v>1875.55764477293</v>
      </c>
      <c r="CP9" s="11" t="n">
        <f aca="false">IF(CP$1&lt;Units!$P8,0,IF(AND(Units!$K8=0,CP$1=Units!$O8),Units!$R8,IF(AND(CP$1&gt;=Units!$Q8,MOD(CP$1-Units!$Q8,12)=0),IF(AND(Units!$L8=1,CP$1=Units!$Q8),IF(Units!$J8&lt;&gt;"",Units!$J8,Mkt!CP9),Inputs!$B$15*Mkt!CP9+(1-Inputs!$B$15)*MIN(Mkt!CP9,CO9*(1+Inputs!$B$18))),CO9)))</f>
        <v>1875.55764477293</v>
      </c>
      <c r="CQ9" s="11" t="n">
        <f aca="false">IF(CQ$1&lt;Units!$P8,0,IF(AND(Units!$K8=0,CQ$1=Units!$O8),Units!$R8,IF(AND(CQ$1&gt;=Units!$Q8,MOD(CQ$1-Units!$Q8,12)=0),IF(AND(Units!$L8=1,CQ$1=Units!$Q8),IF(Units!$J8&lt;&gt;"",Units!$J8,Mkt!CQ9),Inputs!$B$15*Mkt!CQ9+(1-Inputs!$B$15)*MIN(Mkt!CQ9,CP9*(1+Inputs!$B$18))),CP9)))</f>
        <v>1875.55764477293</v>
      </c>
      <c r="CR9" s="11" t="n">
        <f aca="false">IF(CR$1&lt;Units!$P8,0,IF(AND(Units!$K8=0,CR$1=Units!$O8),Units!$R8,IF(AND(CR$1&gt;=Units!$Q8,MOD(CR$1-Units!$Q8,12)=0),IF(AND(Units!$L8=1,CR$1=Units!$Q8),IF(Units!$J8&lt;&gt;"",Units!$J8,Mkt!CR9),Inputs!$B$15*Mkt!CR9+(1-Inputs!$B$15)*MIN(Mkt!CR9,CQ9*(1+Inputs!$B$18))),CQ9)))</f>
        <v>1875.55764477293</v>
      </c>
      <c r="CS9" s="11" t="n">
        <f aca="false">IF(CS$1&lt;Units!$P8,0,IF(AND(Units!$K8=0,CS$1=Units!$O8),Units!$R8,IF(AND(CS$1&gt;=Units!$Q8,MOD(CS$1-Units!$Q8,12)=0),IF(AND(Units!$L8=1,CS$1=Units!$Q8),IF(Units!$J8&lt;&gt;"",Units!$J8,Mkt!CS9),Inputs!$B$15*Mkt!CS9+(1-Inputs!$B$15)*MIN(Mkt!CS9,CR9*(1+Inputs!$B$18))),CR9)))</f>
        <v>1875.55764477293</v>
      </c>
      <c r="CT9" s="11" t="n">
        <f aca="false">IF(CT$1&lt;Units!$P8,0,IF(AND(Units!$K8=0,CT$1=Units!$O8),Units!$R8,IF(AND(CT$1&gt;=Units!$Q8,MOD(CT$1-Units!$Q8,12)=0),IF(AND(Units!$L8=1,CT$1=Units!$Q8),IF(Units!$J8&lt;&gt;"",Units!$J8,Mkt!CT9),Inputs!$B$15*Mkt!CT9+(1-Inputs!$B$15)*MIN(Mkt!CT9,CS9*(1+Inputs!$B$18))),CS9)))</f>
        <v>1875.55764477293</v>
      </c>
      <c r="CU9" s="11" t="n">
        <f aca="false">IF(CU$1&lt;Units!$P8,0,IF(AND(Units!$K8=0,CU$1=Units!$O8),Units!$R8,IF(AND(CU$1&gt;=Units!$Q8,MOD(CU$1-Units!$Q8,12)=0),IF(AND(Units!$L8=1,CU$1=Units!$Q8),IF(Units!$J8&lt;&gt;"",Units!$J8,Mkt!CU9),Inputs!$B$15*Mkt!CU9+(1-Inputs!$B$15)*MIN(Mkt!CU9,CT9*(1+Inputs!$B$18))),CT9)))</f>
        <v>1875.55764477293</v>
      </c>
      <c r="CV9" s="11" t="n">
        <f aca="false">IF(CV$1&lt;Units!$P8,0,IF(AND(Units!$K8=0,CV$1=Units!$O8),Units!$R8,IF(AND(CV$1&gt;=Units!$Q8,MOD(CV$1-Units!$Q8,12)=0),IF(AND(Units!$L8=1,CV$1=Units!$Q8),IF(Units!$J8&lt;&gt;"",Units!$J8,Mkt!CV9),Inputs!$B$15*Mkt!CV9+(1-Inputs!$B$15)*MIN(Mkt!CV9,CU9*(1+Inputs!$B$18))),CU9)))</f>
        <v>1875.55764477293</v>
      </c>
      <c r="CW9" s="11" t="n">
        <f aca="false">IF(CW$1&lt;Units!$P8,0,IF(AND(Units!$K8=0,CW$1=Units!$O8),Units!$R8,IF(AND(CW$1&gt;=Units!$Q8,MOD(CW$1-Units!$Q8,12)=0),IF(AND(Units!$L8=1,CW$1=Units!$Q8),IF(Units!$J8&lt;&gt;"",Units!$J8,Mkt!CW9),Inputs!$B$15*Mkt!CW9+(1-Inputs!$B$15)*MIN(Mkt!CW9,CV9*(1+Inputs!$B$18))),CV9)))</f>
        <v>1931.82437411612</v>
      </c>
      <c r="CX9" s="11" t="n">
        <f aca="false">IF(CX$1&lt;Units!$P8,0,IF(AND(Units!$K8=0,CX$1=Units!$O8),Units!$R8,IF(AND(CX$1&gt;=Units!$Q8,MOD(CX$1-Units!$Q8,12)=0),IF(AND(Units!$L8=1,CX$1=Units!$Q8),IF(Units!$J8&lt;&gt;"",Units!$J8,Mkt!CX9),Inputs!$B$15*Mkt!CX9+(1-Inputs!$B$15)*MIN(Mkt!CX9,CW9*(1+Inputs!$B$18))),CW9)))</f>
        <v>1931.82437411612</v>
      </c>
      <c r="CY9" s="11" t="n">
        <f aca="false">IF(CY$1&lt;Units!$P8,0,IF(AND(Units!$K8=0,CY$1=Units!$O8),Units!$R8,IF(AND(CY$1&gt;=Units!$Q8,MOD(CY$1-Units!$Q8,12)=0),IF(AND(Units!$L8=1,CY$1=Units!$Q8),IF(Units!$J8&lt;&gt;"",Units!$J8,Mkt!CY9),Inputs!$B$15*Mkt!CY9+(1-Inputs!$B$15)*MIN(Mkt!CY9,CX9*(1+Inputs!$B$18))),CX9)))</f>
        <v>1931.82437411612</v>
      </c>
      <c r="CZ9" s="11" t="n">
        <f aca="false">IF(CZ$1&lt;Units!$P8,0,IF(AND(Units!$K8=0,CZ$1=Units!$O8),Units!$R8,IF(AND(CZ$1&gt;=Units!$Q8,MOD(CZ$1-Units!$Q8,12)=0),IF(AND(Units!$L8=1,CZ$1=Units!$Q8),IF(Units!$J8&lt;&gt;"",Units!$J8,Mkt!CZ9),Inputs!$B$15*Mkt!CZ9+(1-Inputs!$B$15)*MIN(Mkt!CZ9,CY9*(1+Inputs!$B$18))),CY9)))</f>
        <v>1931.82437411612</v>
      </c>
      <c r="DA9" s="11" t="n">
        <f aca="false">IF(DA$1&lt;Units!$P8,0,IF(AND(Units!$K8=0,DA$1=Units!$O8),Units!$R8,IF(AND(DA$1&gt;=Units!$Q8,MOD(DA$1-Units!$Q8,12)=0),IF(AND(Units!$L8=1,DA$1=Units!$Q8),IF(Units!$J8&lt;&gt;"",Units!$J8,Mkt!DA9),Inputs!$B$15*Mkt!DA9+(1-Inputs!$B$15)*MIN(Mkt!DA9,CZ9*(1+Inputs!$B$18))),CZ9)))</f>
        <v>1931.82437411612</v>
      </c>
      <c r="DB9" s="11" t="n">
        <f aca="false">IF(DB$1&lt;Units!$P8,0,IF(AND(Units!$K8=0,DB$1=Units!$O8),Units!$R8,IF(AND(DB$1&gt;=Units!$Q8,MOD(DB$1-Units!$Q8,12)=0),IF(AND(Units!$L8=1,DB$1=Units!$Q8),IF(Units!$J8&lt;&gt;"",Units!$J8,Mkt!DB9),Inputs!$B$15*Mkt!DB9+(1-Inputs!$B$15)*MIN(Mkt!DB9,DA9*(1+Inputs!$B$18))),DA9)))</f>
        <v>1931.82437411612</v>
      </c>
      <c r="DC9" s="11" t="n">
        <f aca="false">IF(DC$1&lt;Units!$P8,0,IF(AND(Units!$K8=0,DC$1=Units!$O8),Units!$R8,IF(AND(DC$1&gt;=Units!$Q8,MOD(DC$1-Units!$Q8,12)=0),IF(AND(Units!$L8=1,DC$1=Units!$Q8),IF(Units!$J8&lt;&gt;"",Units!$J8,Mkt!DC9),Inputs!$B$15*Mkt!DC9+(1-Inputs!$B$15)*MIN(Mkt!DC9,DB9*(1+Inputs!$B$18))),DB9)))</f>
        <v>1931.82437411612</v>
      </c>
      <c r="DD9" s="11" t="n">
        <f aca="false">IF(DD$1&lt;Units!$P8,0,IF(AND(Units!$K8=0,DD$1=Units!$O8),Units!$R8,IF(AND(DD$1&gt;=Units!$Q8,MOD(DD$1-Units!$Q8,12)=0),IF(AND(Units!$L8=1,DD$1=Units!$Q8),IF(Units!$J8&lt;&gt;"",Units!$J8,Mkt!DD9),Inputs!$B$15*Mkt!DD9+(1-Inputs!$B$15)*MIN(Mkt!DD9,DC9*(1+Inputs!$B$18))),DC9)))</f>
        <v>1931.82437411612</v>
      </c>
      <c r="DE9" s="11" t="n">
        <f aca="false">IF(DE$1&lt;Units!$P8,0,IF(AND(Units!$K8=0,DE$1=Units!$O8),Units!$R8,IF(AND(DE$1&gt;=Units!$Q8,MOD(DE$1-Units!$Q8,12)=0),IF(AND(Units!$L8=1,DE$1=Units!$Q8),IF(Units!$J8&lt;&gt;"",Units!$J8,Mkt!DE9),Inputs!$B$15*Mkt!DE9+(1-Inputs!$B$15)*MIN(Mkt!DE9,DD9*(1+Inputs!$B$18))),DD9)))</f>
        <v>1931.82437411612</v>
      </c>
      <c r="DF9" s="11" t="n">
        <f aca="false">IF(DF$1&lt;Units!$P8,0,IF(AND(Units!$K8=0,DF$1=Units!$O8),Units!$R8,IF(AND(DF$1&gt;=Units!$Q8,MOD(DF$1-Units!$Q8,12)=0),IF(AND(Units!$L8=1,DF$1=Units!$Q8),IF(Units!$J8&lt;&gt;"",Units!$J8,Mkt!DF9),Inputs!$B$15*Mkt!DF9+(1-Inputs!$B$15)*MIN(Mkt!DF9,DE9*(1+Inputs!$B$18))),DE9)))</f>
        <v>1931.82437411612</v>
      </c>
      <c r="DG9" s="11" t="n">
        <f aca="false">IF(DG$1&lt;Units!$P8,0,IF(AND(Units!$K8=0,DG$1=Units!$O8),Units!$R8,IF(AND(DG$1&gt;=Units!$Q8,MOD(DG$1-Units!$Q8,12)=0),IF(AND(Units!$L8=1,DG$1=Units!$Q8),IF(Units!$J8&lt;&gt;"",Units!$J8,Mkt!DG9),Inputs!$B$15*Mkt!DG9+(1-Inputs!$B$15)*MIN(Mkt!DG9,DF9*(1+Inputs!$B$18))),DF9)))</f>
        <v>1931.82437411612</v>
      </c>
      <c r="DH9" s="11" t="n">
        <f aca="false">IF(DH$1&lt;Units!$P8,0,IF(AND(Units!$K8=0,DH$1=Units!$O8),Units!$R8,IF(AND(DH$1&gt;=Units!$Q8,MOD(DH$1-Units!$Q8,12)=0),IF(AND(Units!$L8=1,DH$1=Units!$Q8),IF(Units!$J8&lt;&gt;"",Units!$J8,Mkt!DH9),Inputs!$B$15*Mkt!DH9+(1-Inputs!$B$15)*MIN(Mkt!DH9,DG9*(1+Inputs!$B$18))),DG9)))</f>
        <v>1931.82437411612</v>
      </c>
      <c r="DI9" s="11" t="n">
        <f aca="false">IF(DI$1&lt;Units!$P8,0,IF(AND(Units!$K8=0,DI$1=Units!$O8),Units!$R8,IF(AND(DI$1&gt;=Units!$Q8,MOD(DI$1-Units!$Q8,12)=0),IF(AND(Units!$L8=1,DI$1=Units!$Q8),IF(Units!$J8&lt;&gt;"",Units!$J8,Mkt!DI9),Inputs!$B$15*Mkt!DI9+(1-Inputs!$B$15)*MIN(Mkt!DI9,DH9*(1+Inputs!$B$18))),DH9)))</f>
        <v>1989.7791053396</v>
      </c>
      <c r="DJ9" s="11" t="n">
        <f aca="false">IF(DJ$1&lt;Units!$P8,0,IF(AND(Units!$K8=0,DJ$1=Units!$O8),Units!$R8,IF(AND(DJ$1&gt;=Units!$Q8,MOD(DJ$1-Units!$Q8,12)=0),IF(AND(Units!$L8=1,DJ$1=Units!$Q8),IF(Units!$J8&lt;&gt;"",Units!$J8,Mkt!DJ9),Inputs!$B$15*Mkt!DJ9+(1-Inputs!$B$15)*MIN(Mkt!DJ9,DI9*(1+Inputs!$B$18))),DI9)))</f>
        <v>1989.7791053396</v>
      </c>
      <c r="DK9" s="11" t="n">
        <f aca="false">IF(DK$1&lt;Units!$P8,0,IF(AND(Units!$K8=0,DK$1=Units!$O8),Units!$R8,IF(AND(DK$1&gt;=Units!$Q8,MOD(DK$1-Units!$Q8,12)=0),IF(AND(Units!$L8=1,DK$1=Units!$Q8),IF(Units!$J8&lt;&gt;"",Units!$J8,Mkt!DK9),Inputs!$B$15*Mkt!DK9+(1-Inputs!$B$15)*MIN(Mkt!DK9,DJ9*(1+Inputs!$B$18))),DJ9)))</f>
        <v>1989.7791053396</v>
      </c>
      <c r="DL9" s="11" t="n">
        <f aca="false">IF(DL$1&lt;Units!$P8,0,IF(AND(Units!$K8=0,DL$1=Units!$O8),Units!$R8,IF(AND(DL$1&gt;=Units!$Q8,MOD(DL$1-Units!$Q8,12)=0),IF(AND(Units!$L8=1,DL$1=Units!$Q8),IF(Units!$J8&lt;&gt;"",Units!$J8,Mkt!DL9),Inputs!$B$15*Mkt!DL9+(1-Inputs!$B$15)*MIN(Mkt!DL9,DK9*(1+Inputs!$B$18))),DK9)))</f>
        <v>1989.7791053396</v>
      </c>
      <c r="DM9" s="11" t="n">
        <f aca="false">IF(DM$1&lt;Units!$P8,0,IF(AND(Units!$K8=0,DM$1=Units!$O8),Units!$R8,IF(AND(DM$1&gt;=Units!$Q8,MOD(DM$1-Units!$Q8,12)=0),IF(AND(Units!$L8=1,DM$1=Units!$Q8),IF(Units!$J8&lt;&gt;"",Units!$J8,Mkt!DM9),Inputs!$B$15*Mkt!DM9+(1-Inputs!$B$15)*MIN(Mkt!DM9,DL9*(1+Inputs!$B$18))),DL9)))</f>
        <v>1989.7791053396</v>
      </c>
      <c r="DN9" s="11" t="n">
        <f aca="false">IF(DN$1&lt;Units!$P8,0,IF(AND(Units!$K8=0,DN$1=Units!$O8),Units!$R8,IF(AND(DN$1&gt;=Units!$Q8,MOD(DN$1-Units!$Q8,12)=0),IF(AND(Units!$L8=1,DN$1=Units!$Q8),IF(Units!$J8&lt;&gt;"",Units!$J8,Mkt!DN9),Inputs!$B$15*Mkt!DN9+(1-Inputs!$B$15)*MIN(Mkt!DN9,DM9*(1+Inputs!$B$18))),DM9)))</f>
        <v>1989.7791053396</v>
      </c>
      <c r="DO9" s="11" t="n">
        <f aca="false">IF(DO$1&lt;Units!$P8,0,IF(AND(Units!$K8=0,DO$1=Units!$O8),Units!$R8,IF(AND(DO$1&gt;=Units!$Q8,MOD(DO$1-Units!$Q8,12)=0),IF(AND(Units!$L8=1,DO$1=Units!$Q8),IF(Units!$J8&lt;&gt;"",Units!$J8,Mkt!DO9),Inputs!$B$15*Mkt!DO9+(1-Inputs!$B$15)*MIN(Mkt!DO9,DN9*(1+Inputs!$B$18))),DN9)))</f>
        <v>1989.7791053396</v>
      </c>
      <c r="DP9" s="11" t="n">
        <f aca="false">IF(DP$1&lt;Units!$P8,0,IF(AND(Units!$K8=0,DP$1=Units!$O8),Units!$R8,IF(AND(DP$1&gt;=Units!$Q8,MOD(DP$1-Units!$Q8,12)=0),IF(AND(Units!$L8=1,DP$1=Units!$Q8),IF(Units!$J8&lt;&gt;"",Units!$J8,Mkt!DP9),Inputs!$B$15*Mkt!DP9+(1-Inputs!$B$15)*MIN(Mkt!DP9,DO9*(1+Inputs!$B$18))),DO9)))</f>
        <v>1989.7791053396</v>
      </c>
      <c r="DQ9" s="11" t="n">
        <f aca="false">IF(DQ$1&lt;Units!$P8,0,IF(AND(Units!$K8=0,DQ$1=Units!$O8),Units!$R8,IF(AND(DQ$1&gt;=Units!$Q8,MOD(DQ$1-Units!$Q8,12)=0),IF(AND(Units!$L8=1,DQ$1=Units!$Q8),IF(Units!$J8&lt;&gt;"",Units!$J8,Mkt!DQ9),Inputs!$B$15*Mkt!DQ9+(1-Inputs!$B$15)*MIN(Mkt!DQ9,DP9*(1+Inputs!$B$18))),DP9)))</f>
        <v>1989.7791053396</v>
      </c>
      <c r="DR9" s="11" t="n">
        <f aca="false">IF(DR$1&lt;Units!$P8,0,IF(AND(Units!$K8=0,DR$1=Units!$O8),Units!$R8,IF(AND(DR$1&gt;=Units!$Q8,MOD(DR$1-Units!$Q8,12)=0),IF(AND(Units!$L8=1,DR$1=Units!$Q8),IF(Units!$J8&lt;&gt;"",Units!$J8,Mkt!DR9),Inputs!$B$15*Mkt!DR9+(1-Inputs!$B$15)*MIN(Mkt!DR9,DQ9*(1+Inputs!$B$18))),DQ9)))</f>
        <v>1989.7791053396</v>
      </c>
      <c r="DS9" s="11" t="n">
        <f aca="false">IF(DS$1&lt;Units!$P8,0,IF(AND(Units!$K8=0,DS$1=Units!$O8),Units!$R8,IF(AND(DS$1&gt;=Units!$Q8,MOD(DS$1-Units!$Q8,12)=0),IF(AND(Units!$L8=1,DS$1=Units!$Q8),IF(Units!$J8&lt;&gt;"",Units!$J8,Mkt!DS9),Inputs!$B$15*Mkt!DS9+(1-Inputs!$B$15)*MIN(Mkt!DS9,DR9*(1+Inputs!$B$18))),DR9)))</f>
        <v>1989.7791053396</v>
      </c>
      <c r="DT9" s="11" t="n">
        <f aca="false">IF(DT$1&lt;Units!$P8,0,IF(AND(Units!$K8=0,DT$1=Units!$O8),Units!$R8,IF(AND(DT$1&gt;=Units!$Q8,MOD(DT$1-Units!$Q8,12)=0),IF(AND(Units!$L8=1,DT$1=Units!$Q8),IF(Units!$J8&lt;&gt;"",Units!$J8,Mkt!DT9),Inputs!$B$15*Mkt!DT9+(1-Inputs!$B$15)*MIN(Mkt!DT9,DS9*(1+Inputs!$B$18))),DS9)))</f>
        <v>1989.7791053396</v>
      </c>
      <c r="DU9" s="11" t="n">
        <f aca="false">IF(DU$1&lt;Units!$P8,0,IF(AND(Units!$K8=0,DU$1=Units!$O8),Units!$R8,IF(AND(DU$1&gt;=Units!$Q8,MOD(DU$1-Units!$Q8,12)=0),IF(AND(Units!$L8=1,DU$1=Units!$Q8),IF(Units!$J8&lt;&gt;"",Units!$J8,Mkt!DU9),Inputs!$B$15*Mkt!DU9+(1-Inputs!$B$15)*MIN(Mkt!DU9,DT9*(1+Inputs!$B$18))),DT9)))</f>
        <v>2049.47247849979</v>
      </c>
      <c r="DV9" s="11" t="n">
        <f aca="false">IF(DV$1&lt;Units!$P8,0,IF(AND(Units!$K8=0,DV$1=Units!$O8),Units!$R8,IF(AND(DV$1&gt;=Units!$Q8,MOD(DV$1-Units!$Q8,12)=0),IF(AND(Units!$L8=1,DV$1=Units!$Q8),IF(Units!$J8&lt;&gt;"",Units!$J8,Mkt!DV9),Inputs!$B$15*Mkt!DV9+(1-Inputs!$B$15)*MIN(Mkt!DV9,DU9*(1+Inputs!$B$18))),DU9)))</f>
        <v>2049.47247849979</v>
      </c>
      <c r="DW9" s="11" t="n">
        <f aca="false">IF(DW$1&lt;Units!$P8,0,IF(AND(Units!$K8=0,DW$1=Units!$O8),Units!$R8,IF(AND(DW$1&gt;=Units!$Q8,MOD(DW$1-Units!$Q8,12)=0),IF(AND(Units!$L8=1,DW$1=Units!$Q8),IF(Units!$J8&lt;&gt;"",Units!$J8,Mkt!DW9),Inputs!$B$15*Mkt!DW9+(1-Inputs!$B$15)*MIN(Mkt!DW9,DV9*(1+Inputs!$B$18))),DV9)))</f>
        <v>2049.47247849979</v>
      </c>
      <c r="DX9" s="11" t="n">
        <f aca="false">IF(DX$1&lt;Units!$P8,0,IF(AND(Units!$K8=0,DX$1=Units!$O8),Units!$R8,IF(AND(DX$1&gt;=Units!$Q8,MOD(DX$1-Units!$Q8,12)=0),IF(AND(Units!$L8=1,DX$1=Units!$Q8),IF(Units!$J8&lt;&gt;"",Units!$J8,Mkt!DX9),Inputs!$B$15*Mkt!DX9+(1-Inputs!$B$15)*MIN(Mkt!DX9,DW9*(1+Inputs!$B$18))),DW9)))</f>
        <v>2049.47247849979</v>
      </c>
      <c r="DY9" s="11" t="n">
        <f aca="false">IF(DY$1&lt;Units!$P8,0,IF(AND(Units!$K8=0,DY$1=Units!$O8),Units!$R8,IF(AND(DY$1&gt;=Units!$Q8,MOD(DY$1-Units!$Q8,12)=0),IF(AND(Units!$L8=1,DY$1=Units!$Q8),IF(Units!$J8&lt;&gt;"",Units!$J8,Mkt!DY9),Inputs!$B$15*Mkt!DY9+(1-Inputs!$B$15)*MIN(Mkt!DY9,DX9*(1+Inputs!$B$18))),DX9)))</f>
        <v>2049.47247849979</v>
      </c>
      <c r="DZ9" s="11" t="n">
        <f aca="false">IF(DZ$1&lt;Units!$P8,0,IF(AND(Units!$K8=0,DZ$1=Units!$O8),Units!$R8,IF(AND(DZ$1&gt;=Units!$Q8,MOD(DZ$1-Units!$Q8,12)=0),IF(AND(Units!$L8=1,DZ$1=Units!$Q8),IF(Units!$J8&lt;&gt;"",Units!$J8,Mkt!DZ9),Inputs!$B$15*Mkt!DZ9+(1-Inputs!$B$15)*MIN(Mkt!DZ9,DY9*(1+Inputs!$B$18))),DY9)))</f>
        <v>2049.47247849979</v>
      </c>
      <c r="EA9" s="11" t="n">
        <f aca="false">IF(EA$1&lt;Units!$P8,0,IF(AND(Units!$K8=0,EA$1=Units!$O8),Units!$R8,IF(AND(EA$1&gt;=Units!$Q8,MOD(EA$1-Units!$Q8,12)=0),IF(AND(Units!$L8=1,EA$1=Units!$Q8),IF(Units!$J8&lt;&gt;"",Units!$J8,Mkt!EA9),Inputs!$B$15*Mkt!EA9+(1-Inputs!$B$15)*MIN(Mkt!EA9,DZ9*(1+Inputs!$B$18))),DZ9)))</f>
        <v>2049.47247849979</v>
      </c>
      <c r="EB9" s="11" t="n">
        <f aca="false">IF(EB$1&lt;Units!$P8,0,IF(AND(Units!$K8=0,EB$1=Units!$O8),Units!$R8,IF(AND(EB$1&gt;=Units!$Q8,MOD(EB$1-Units!$Q8,12)=0),IF(AND(Units!$L8=1,EB$1=Units!$Q8),IF(Units!$J8&lt;&gt;"",Units!$J8,Mkt!EB9),Inputs!$B$15*Mkt!EB9+(1-Inputs!$B$15)*MIN(Mkt!EB9,EA9*(1+Inputs!$B$18))),EA9)))</f>
        <v>2049.47247849979</v>
      </c>
      <c r="EC9" s="11" t="n">
        <f aca="false">IF(EC$1&lt;Units!$P8,0,IF(AND(Units!$K8=0,EC$1=Units!$O8),Units!$R8,IF(AND(EC$1&gt;=Units!$Q8,MOD(EC$1-Units!$Q8,12)=0),IF(AND(Units!$L8=1,EC$1=Units!$Q8),IF(Units!$J8&lt;&gt;"",Units!$J8,Mkt!EC9),Inputs!$B$15*Mkt!EC9+(1-Inputs!$B$15)*MIN(Mkt!EC9,EB9*(1+Inputs!$B$18))),EB9)))</f>
        <v>2049.47247849979</v>
      </c>
      <c r="ED9" s="11" t="n">
        <f aca="false">IF(ED$1&lt;Units!$P8,0,IF(AND(Units!$K8=0,ED$1=Units!$O8),Units!$R8,IF(AND(ED$1&gt;=Units!$Q8,MOD(ED$1-Units!$Q8,12)=0),IF(AND(Units!$L8=1,ED$1=Units!$Q8),IF(Units!$J8&lt;&gt;"",Units!$J8,Mkt!ED9),Inputs!$B$15*Mkt!ED9+(1-Inputs!$B$15)*MIN(Mkt!ED9,EC9*(1+Inputs!$B$18))),EC9)))</f>
        <v>2049.47247849979</v>
      </c>
    </row>
    <row r="10" customFormat="false" ht="15" hidden="false" customHeight="false" outlineLevel="0" collapsed="false">
      <c r="A10" s="22" t="n">
        <f aca="false">Units!A9</f>
        <v>108</v>
      </c>
      <c r="B10" s="24" t="n">
        <f aca="false">IF(Units!K9=1,Units!F9,0)</f>
        <v>1475</v>
      </c>
      <c r="C10" s="11" t="n">
        <f aca="false">IF(C$1&lt;Units!$P9,0,IF(AND(Units!$K9=0,C$1=Units!$O9),Units!$R9,IF(AND(C$1&gt;=Units!$Q9,MOD(C$1-Units!$Q9,12)=0),IF(AND(Units!$L9=1,C$1=Units!$Q9),IF(Units!$J9&lt;&gt;"",Units!$J9,Mkt!C10),Inputs!$B$15*Mkt!C10+(1-Inputs!$B$15)*MIN(Mkt!C10,B10*(1+Inputs!$B$18))),B10)))</f>
        <v>1475</v>
      </c>
      <c r="D10" s="11" t="n">
        <f aca="false">IF(D$1&lt;Units!$P9,0,IF(AND(Units!$K9=0,D$1=Units!$O9),Units!$R9,IF(AND(D$1&gt;=Units!$Q9,MOD(D$1-Units!$Q9,12)=0),IF(AND(Units!$L9=1,D$1=Units!$Q9),IF(Units!$J9&lt;&gt;"",Units!$J9,Mkt!D10),Inputs!$B$15*Mkt!D10+(1-Inputs!$B$15)*MIN(Mkt!D10,C10*(1+Inputs!$B$18))),C10)))</f>
        <v>1475</v>
      </c>
      <c r="E10" s="11" t="n">
        <f aca="false">IF(E$1&lt;Units!$P9,0,IF(AND(Units!$K9=0,E$1=Units!$O9),Units!$R9,IF(AND(E$1&gt;=Units!$Q9,MOD(E$1-Units!$Q9,12)=0),IF(AND(Units!$L9=1,E$1=Units!$Q9),IF(Units!$J9&lt;&gt;"",Units!$J9,Mkt!E10),Inputs!$B$15*Mkt!E10+(1-Inputs!$B$15)*MIN(Mkt!E10,D10*(1+Inputs!$B$18))),D10)))</f>
        <v>1475</v>
      </c>
      <c r="F10" s="11" t="n">
        <f aca="false">IF(F$1&lt;Units!$P9,0,IF(AND(Units!$K9=0,F$1=Units!$O9),Units!$R9,IF(AND(F$1&gt;=Units!$Q9,MOD(F$1-Units!$Q9,12)=0),IF(AND(Units!$L9=1,F$1=Units!$Q9),IF(Units!$J9&lt;&gt;"",Units!$J9,Mkt!F10),Inputs!$B$15*Mkt!F10+(1-Inputs!$B$15)*MIN(Mkt!F10,E10*(1+Inputs!$B$18))),E10)))</f>
        <v>1475</v>
      </c>
      <c r="G10" s="11" t="n">
        <f aca="false">IF(G$1&lt;Units!$P9,0,IF(AND(Units!$K9=0,G$1=Units!$O9),Units!$R9,IF(AND(G$1&gt;=Units!$Q9,MOD(G$1-Units!$Q9,12)=0),IF(AND(Units!$L9=1,G$1=Units!$Q9),IF(Units!$J9&lt;&gt;"",Units!$J9,Mkt!G10),Inputs!$B$15*Mkt!G10+(1-Inputs!$B$15)*MIN(Mkt!G10,F10*(1+Inputs!$B$18))),F10)))</f>
        <v>1475</v>
      </c>
      <c r="H10" s="11" t="n">
        <f aca="false">IF(H$1&lt;Units!$P9,0,IF(AND(Units!$K9=0,H$1=Units!$O9),Units!$R9,IF(AND(H$1&gt;=Units!$Q9,MOD(H$1-Units!$Q9,12)=0),IF(AND(Units!$L9=1,H$1=Units!$Q9),IF(Units!$J9&lt;&gt;"",Units!$J9,Mkt!H10),Inputs!$B$15*Mkt!H10+(1-Inputs!$B$15)*MIN(Mkt!H10,G10*(1+Inputs!$B$18))),G10)))</f>
        <v>1475</v>
      </c>
      <c r="I10" s="11" t="n">
        <f aca="false">IF(I$1&lt;Units!$P9,0,IF(AND(Units!$K9=0,I$1=Units!$O9),Units!$R9,IF(AND(I$1&gt;=Units!$Q9,MOD(I$1-Units!$Q9,12)=0),IF(AND(Units!$L9=1,I$1=Units!$Q9),IF(Units!$J9&lt;&gt;"",Units!$J9,Mkt!I10),Inputs!$B$15*Mkt!I10+(1-Inputs!$B$15)*MIN(Mkt!I10,H10*(1+Inputs!$B$18))),H10)))</f>
        <v>1475</v>
      </c>
      <c r="J10" s="11" t="n">
        <f aca="false">IF(J$1&lt;Units!$P9,0,IF(AND(Units!$K9=0,J$1=Units!$O9),Units!$R9,IF(AND(J$1&gt;=Units!$Q9,MOD(J$1-Units!$Q9,12)=0),IF(AND(Units!$L9=1,J$1=Units!$Q9),IF(Units!$J9&lt;&gt;"",Units!$J9,Mkt!J10),Inputs!$B$15*Mkt!J10+(1-Inputs!$B$15)*MIN(Mkt!J10,I10*(1+Inputs!$B$18))),I10)))</f>
        <v>1525</v>
      </c>
      <c r="K10" s="11" t="n">
        <f aca="false">IF(K$1&lt;Units!$P9,0,IF(AND(Units!$K9=0,K$1=Units!$O9),Units!$R9,IF(AND(K$1&gt;=Units!$Q9,MOD(K$1-Units!$Q9,12)=0),IF(AND(Units!$L9=1,K$1=Units!$Q9),IF(Units!$J9&lt;&gt;"",Units!$J9,Mkt!K10),Inputs!$B$15*Mkt!K10+(1-Inputs!$B$15)*MIN(Mkt!K10,J10*(1+Inputs!$B$18))),J10)))</f>
        <v>1525</v>
      </c>
      <c r="L10" s="11" t="n">
        <f aca="false">IF(L$1&lt;Units!$P9,0,IF(AND(Units!$K9=0,L$1=Units!$O9),Units!$R9,IF(AND(L$1&gt;=Units!$Q9,MOD(L$1-Units!$Q9,12)=0),IF(AND(Units!$L9=1,L$1=Units!$Q9),IF(Units!$J9&lt;&gt;"",Units!$J9,Mkt!L10),Inputs!$B$15*Mkt!L10+(1-Inputs!$B$15)*MIN(Mkt!L10,K10*(1+Inputs!$B$18))),K10)))</f>
        <v>1525</v>
      </c>
      <c r="M10" s="11" t="n">
        <f aca="false">IF(M$1&lt;Units!$P9,0,IF(AND(Units!$K9=0,M$1=Units!$O9),Units!$R9,IF(AND(M$1&gt;=Units!$Q9,MOD(M$1-Units!$Q9,12)=0),IF(AND(Units!$L9=1,M$1=Units!$Q9),IF(Units!$J9&lt;&gt;"",Units!$J9,Mkt!M10),Inputs!$B$15*Mkt!M10+(1-Inputs!$B$15)*MIN(Mkt!M10,L10*(1+Inputs!$B$18))),L10)))</f>
        <v>1525</v>
      </c>
      <c r="N10" s="11" t="n">
        <f aca="false">IF(N$1&lt;Units!$P9,0,IF(AND(Units!$K9=0,N$1=Units!$O9),Units!$R9,IF(AND(N$1&gt;=Units!$Q9,MOD(N$1-Units!$Q9,12)=0),IF(AND(Units!$L9=1,N$1=Units!$Q9),IF(Units!$J9&lt;&gt;"",Units!$J9,Mkt!N10),Inputs!$B$15*Mkt!N10+(1-Inputs!$B$15)*MIN(Mkt!N10,M10*(1+Inputs!$B$18))),M10)))</f>
        <v>1525</v>
      </c>
      <c r="O10" s="11" t="n">
        <f aca="false">IF(O$1&lt;Units!$P9,0,IF(AND(Units!$K9=0,O$1=Units!$O9),Units!$R9,IF(AND(O$1&gt;=Units!$Q9,MOD(O$1-Units!$Q9,12)=0),IF(AND(Units!$L9=1,O$1=Units!$Q9),IF(Units!$J9&lt;&gt;"",Units!$J9,Mkt!O10),Inputs!$B$15*Mkt!O10+(1-Inputs!$B$15)*MIN(Mkt!O10,N10*(1+Inputs!$B$18))),N10)))</f>
        <v>1525</v>
      </c>
      <c r="P10" s="11" t="n">
        <f aca="false">IF(P$1&lt;Units!$P9,0,IF(AND(Units!$K9=0,P$1=Units!$O9),Units!$R9,IF(AND(P$1&gt;=Units!$Q9,MOD(P$1-Units!$Q9,12)=0),IF(AND(Units!$L9=1,P$1=Units!$Q9),IF(Units!$J9&lt;&gt;"",Units!$J9,Mkt!P10),Inputs!$B$15*Mkt!P10+(1-Inputs!$B$15)*MIN(Mkt!P10,O10*(1+Inputs!$B$18))),O10)))</f>
        <v>1525</v>
      </c>
      <c r="Q10" s="11" t="n">
        <f aca="false">IF(Q$1&lt;Units!$P9,0,IF(AND(Units!$K9=0,Q$1=Units!$O9),Units!$R9,IF(AND(Q$1&gt;=Units!$Q9,MOD(Q$1-Units!$Q9,12)=0),IF(AND(Units!$L9=1,Q$1=Units!$Q9),IF(Units!$J9&lt;&gt;"",Units!$J9,Mkt!Q10),Inputs!$B$15*Mkt!Q10+(1-Inputs!$B$15)*MIN(Mkt!Q10,P10*(1+Inputs!$B$18))),P10)))</f>
        <v>1525</v>
      </c>
      <c r="R10" s="11" t="n">
        <f aca="false">IF(R$1&lt;Units!$P9,0,IF(AND(Units!$K9=0,R$1=Units!$O9),Units!$R9,IF(AND(R$1&gt;=Units!$Q9,MOD(R$1-Units!$Q9,12)=0),IF(AND(Units!$L9=1,R$1=Units!$Q9),IF(Units!$J9&lt;&gt;"",Units!$J9,Mkt!R10),Inputs!$B$15*Mkt!R10+(1-Inputs!$B$15)*MIN(Mkt!R10,Q10*(1+Inputs!$B$18))),Q10)))</f>
        <v>1525</v>
      </c>
      <c r="S10" s="11" t="n">
        <f aca="false">IF(S$1&lt;Units!$P9,0,IF(AND(Units!$K9=0,S$1=Units!$O9),Units!$R9,IF(AND(S$1&gt;=Units!$Q9,MOD(S$1-Units!$Q9,12)=0),IF(AND(Units!$L9=1,S$1=Units!$Q9),IF(Units!$J9&lt;&gt;"",Units!$J9,Mkt!S10),Inputs!$B$15*Mkt!S10+(1-Inputs!$B$15)*MIN(Mkt!S10,R10*(1+Inputs!$B$18))),R10)))</f>
        <v>1525</v>
      </c>
      <c r="T10" s="11" t="n">
        <f aca="false">IF(T$1&lt;Units!$P9,0,IF(AND(Units!$K9=0,T$1=Units!$O9),Units!$R9,IF(AND(T$1&gt;=Units!$Q9,MOD(T$1-Units!$Q9,12)=0),IF(AND(Units!$L9=1,T$1=Units!$Q9),IF(Units!$J9&lt;&gt;"",Units!$J9,Mkt!T10),Inputs!$B$15*Mkt!T10+(1-Inputs!$B$15)*MIN(Mkt!T10,S10*(1+Inputs!$B$18))),S10)))</f>
        <v>1525</v>
      </c>
      <c r="U10" s="11" t="n">
        <f aca="false">IF(U$1&lt;Units!$P9,0,IF(AND(Units!$K9=0,U$1=Units!$O9),Units!$R9,IF(AND(U$1&gt;=Units!$Q9,MOD(U$1-Units!$Q9,12)=0),IF(AND(Units!$L9=1,U$1=Units!$Q9),IF(Units!$J9&lt;&gt;"",Units!$J9,Mkt!U10),Inputs!$B$15*Mkt!U10+(1-Inputs!$B$15)*MIN(Mkt!U10,T10*(1+Inputs!$B$18))),T10)))</f>
        <v>1525</v>
      </c>
      <c r="V10" s="11" t="n">
        <f aca="false">IF(V$1&lt;Units!$P9,0,IF(AND(Units!$K9=0,V$1=Units!$O9),Units!$R9,IF(AND(V$1&gt;=Units!$Q9,MOD(V$1-Units!$Q9,12)=0),IF(AND(Units!$L9=1,V$1=Units!$Q9),IF(Units!$J9&lt;&gt;"",Units!$J9,Mkt!V10),Inputs!$B$15*Mkt!V10+(1-Inputs!$B$15)*MIN(Mkt!V10,U10*(1+Inputs!$B$18))),U10)))</f>
        <v>1570.75</v>
      </c>
      <c r="W10" s="11" t="n">
        <f aca="false">IF(W$1&lt;Units!$P9,0,IF(AND(Units!$K9=0,W$1=Units!$O9),Units!$R9,IF(AND(W$1&gt;=Units!$Q9,MOD(W$1-Units!$Q9,12)=0),IF(AND(Units!$L9=1,W$1=Units!$Q9),IF(Units!$J9&lt;&gt;"",Units!$J9,Mkt!W10),Inputs!$B$15*Mkt!W10+(1-Inputs!$B$15)*MIN(Mkt!W10,V10*(1+Inputs!$B$18))),V10)))</f>
        <v>1570.75</v>
      </c>
      <c r="X10" s="11" t="n">
        <f aca="false">IF(X$1&lt;Units!$P9,0,IF(AND(Units!$K9=0,X$1=Units!$O9),Units!$R9,IF(AND(X$1&gt;=Units!$Q9,MOD(X$1-Units!$Q9,12)=0),IF(AND(Units!$L9=1,X$1=Units!$Q9),IF(Units!$J9&lt;&gt;"",Units!$J9,Mkt!X10),Inputs!$B$15*Mkt!X10+(1-Inputs!$B$15)*MIN(Mkt!X10,W10*(1+Inputs!$B$18))),W10)))</f>
        <v>1570.75</v>
      </c>
      <c r="Y10" s="11" t="n">
        <f aca="false">IF(Y$1&lt;Units!$P9,0,IF(AND(Units!$K9=0,Y$1=Units!$O9),Units!$R9,IF(AND(Y$1&gt;=Units!$Q9,MOD(Y$1-Units!$Q9,12)=0),IF(AND(Units!$L9=1,Y$1=Units!$Q9),IF(Units!$J9&lt;&gt;"",Units!$J9,Mkt!Y10),Inputs!$B$15*Mkt!Y10+(1-Inputs!$B$15)*MIN(Mkt!Y10,X10*(1+Inputs!$B$18))),X10)))</f>
        <v>1570.75</v>
      </c>
      <c r="Z10" s="11" t="n">
        <f aca="false">IF(Z$1&lt;Units!$P9,0,IF(AND(Units!$K9=0,Z$1=Units!$O9),Units!$R9,IF(AND(Z$1&gt;=Units!$Q9,MOD(Z$1-Units!$Q9,12)=0),IF(AND(Units!$L9=1,Z$1=Units!$Q9),IF(Units!$J9&lt;&gt;"",Units!$J9,Mkt!Z10),Inputs!$B$15*Mkt!Z10+(1-Inputs!$B$15)*MIN(Mkt!Z10,Y10*(1+Inputs!$B$18))),Y10)))</f>
        <v>1570.75</v>
      </c>
      <c r="AA10" s="11" t="n">
        <f aca="false">IF(AA$1&lt;Units!$P9,0,IF(AND(Units!$K9=0,AA$1=Units!$O9),Units!$R9,IF(AND(AA$1&gt;=Units!$Q9,MOD(AA$1-Units!$Q9,12)=0),IF(AND(Units!$L9=1,AA$1=Units!$Q9),IF(Units!$J9&lt;&gt;"",Units!$J9,Mkt!AA10),Inputs!$B$15*Mkt!AA10+(1-Inputs!$B$15)*MIN(Mkt!AA10,Z10*(1+Inputs!$B$18))),Z10)))</f>
        <v>1570.75</v>
      </c>
      <c r="AB10" s="11" t="n">
        <f aca="false">IF(AB$1&lt;Units!$P9,0,IF(AND(Units!$K9=0,AB$1=Units!$O9),Units!$R9,IF(AND(AB$1&gt;=Units!$Q9,MOD(AB$1-Units!$Q9,12)=0),IF(AND(Units!$L9=1,AB$1=Units!$Q9),IF(Units!$J9&lt;&gt;"",Units!$J9,Mkt!AB10),Inputs!$B$15*Mkt!AB10+(1-Inputs!$B$15)*MIN(Mkt!AB10,AA10*(1+Inputs!$B$18))),AA10)))</f>
        <v>1570.75</v>
      </c>
      <c r="AC10" s="11" t="n">
        <f aca="false">IF(AC$1&lt;Units!$P9,0,IF(AND(Units!$K9=0,AC$1=Units!$O9),Units!$R9,IF(AND(AC$1&gt;=Units!$Q9,MOD(AC$1-Units!$Q9,12)=0),IF(AND(Units!$L9=1,AC$1=Units!$Q9),IF(Units!$J9&lt;&gt;"",Units!$J9,Mkt!AC10),Inputs!$B$15*Mkt!AC10+(1-Inputs!$B$15)*MIN(Mkt!AC10,AB10*(1+Inputs!$B$18))),AB10)))</f>
        <v>1570.75</v>
      </c>
      <c r="AD10" s="11" t="n">
        <f aca="false">IF(AD$1&lt;Units!$P9,0,IF(AND(Units!$K9=0,AD$1=Units!$O9),Units!$R9,IF(AND(AD$1&gt;=Units!$Q9,MOD(AD$1-Units!$Q9,12)=0),IF(AND(Units!$L9=1,AD$1=Units!$Q9),IF(Units!$J9&lt;&gt;"",Units!$J9,Mkt!AD10),Inputs!$B$15*Mkt!AD10+(1-Inputs!$B$15)*MIN(Mkt!AD10,AC10*(1+Inputs!$B$18))),AC10)))</f>
        <v>1570.75</v>
      </c>
      <c r="AE10" s="11" t="n">
        <f aca="false">IF(AE$1&lt;Units!$P9,0,IF(AND(Units!$K9=0,AE$1=Units!$O9),Units!$R9,IF(AND(AE$1&gt;=Units!$Q9,MOD(AE$1-Units!$Q9,12)=0),IF(AND(Units!$L9=1,AE$1=Units!$Q9),IF(Units!$J9&lt;&gt;"",Units!$J9,Mkt!AE10),Inputs!$B$15*Mkt!AE10+(1-Inputs!$B$15)*MIN(Mkt!AE10,AD10*(1+Inputs!$B$18))),AD10)))</f>
        <v>1570.75</v>
      </c>
      <c r="AF10" s="11" t="n">
        <f aca="false">IF(AF$1&lt;Units!$P9,0,IF(AND(Units!$K9=0,AF$1=Units!$O9),Units!$R9,IF(AND(AF$1&gt;=Units!$Q9,MOD(AF$1-Units!$Q9,12)=0),IF(AND(Units!$L9=1,AF$1=Units!$Q9),IF(Units!$J9&lt;&gt;"",Units!$J9,Mkt!AF10),Inputs!$B$15*Mkt!AF10+(1-Inputs!$B$15)*MIN(Mkt!AF10,AE10*(1+Inputs!$B$18))),AE10)))</f>
        <v>1570.75</v>
      </c>
      <c r="AG10" s="11" t="n">
        <f aca="false">IF(AG$1&lt;Units!$P9,0,IF(AND(Units!$K9=0,AG$1=Units!$O9),Units!$R9,IF(AND(AG$1&gt;=Units!$Q9,MOD(AG$1-Units!$Q9,12)=0),IF(AND(Units!$L9=1,AG$1=Units!$Q9),IF(Units!$J9&lt;&gt;"",Units!$J9,Mkt!AG10),Inputs!$B$15*Mkt!AG10+(1-Inputs!$B$15)*MIN(Mkt!AG10,AF10*(1+Inputs!$B$18))),AF10)))</f>
        <v>1570.75</v>
      </c>
      <c r="AH10" s="11" t="n">
        <f aca="false">IF(AH$1&lt;Units!$P9,0,IF(AND(Units!$K9=0,AH$1=Units!$O9),Units!$R9,IF(AND(AH$1&gt;=Units!$Q9,MOD(AH$1-Units!$Q9,12)=0),IF(AND(Units!$L9=1,AH$1=Units!$Q9),IF(Units!$J9&lt;&gt;"",Units!$J9,Mkt!AH10),Inputs!$B$15*Mkt!AH10+(1-Inputs!$B$15)*MIN(Mkt!AH10,AG10*(1+Inputs!$B$18))),AG10)))</f>
        <v>1617.8725</v>
      </c>
      <c r="AI10" s="11" t="n">
        <f aca="false">IF(AI$1&lt;Units!$P9,0,IF(AND(Units!$K9=0,AI$1=Units!$O9),Units!$R9,IF(AND(AI$1&gt;=Units!$Q9,MOD(AI$1-Units!$Q9,12)=0),IF(AND(Units!$L9=1,AI$1=Units!$Q9),IF(Units!$J9&lt;&gt;"",Units!$J9,Mkt!AI10),Inputs!$B$15*Mkt!AI10+(1-Inputs!$B$15)*MIN(Mkt!AI10,AH10*(1+Inputs!$B$18))),AH10)))</f>
        <v>1617.8725</v>
      </c>
      <c r="AJ10" s="11" t="n">
        <f aca="false">IF(AJ$1&lt;Units!$P9,0,IF(AND(Units!$K9=0,AJ$1=Units!$O9),Units!$R9,IF(AND(AJ$1&gt;=Units!$Q9,MOD(AJ$1-Units!$Q9,12)=0),IF(AND(Units!$L9=1,AJ$1=Units!$Q9),IF(Units!$J9&lt;&gt;"",Units!$J9,Mkt!AJ10),Inputs!$B$15*Mkt!AJ10+(1-Inputs!$B$15)*MIN(Mkt!AJ10,AI10*(1+Inputs!$B$18))),AI10)))</f>
        <v>1617.8725</v>
      </c>
      <c r="AK10" s="11" t="n">
        <f aca="false">IF(AK$1&lt;Units!$P9,0,IF(AND(Units!$K9=0,AK$1=Units!$O9),Units!$R9,IF(AND(AK$1&gt;=Units!$Q9,MOD(AK$1-Units!$Q9,12)=0),IF(AND(Units!$L9=1,AK$1=Units!$Q9),IF(Units!$J9&lt;&gt;"",Units!$J9,Mkt!AK10),Inputs!$B$15*Mkt!AK10+(1-Inputs!$B$15)*MIN(Mkt!AK10,AJ10*(1+Inputs!$B$18))),AJ10)))</f>
        <v>1617.8725</v>
      </c>
      <c r="AL10" s="11" t="n">
        <f aca="false">IF(AL$1&lt;Units!$P9,0,IF(AND(Units!$K9=0,AL$1=Units!$O9),Units!$R9,IF(AND(AL$1&gt;=Units!$Q9,MOD(AL$1-Units!$Q9,12)=0),IF(AND(Units!$L9=1,AL$1=Units!$Q9),IF(Units!$J9&lt;&gt;"",Units!$J9,Mkt!AL10),Inputs!$B$15*Mkt!AL10+(1-Inputs!$B$15)*MIN(Mkt!AL10,AK10*(1+Inputs!$B$18))),AK10)))</f>
        <v>1617.8725</v>
      </c>
      <c r="AM10" s="11" t="n">
        <f aca="false">IF(AM$1&lt;Units!$P9,0,IF(AND(Units!$K9=0,AM$1=Units!$O9),Units!$R9,IF(AND(AM$1&gt;=Units!$Q9,MOD(AM$1-Units!$Q9,12)=0),IF(AND(Units!$L9=1,AM$1=Units!$Q9),IF(Units!$J9&lt;&gt;"",Units!$J9,Mkt!AM10),Inputs!$B$15*Mkt!AM10+(1-Inputs!$B$15)*MIN(Mkt!AM10,AL10*(1+Inputs!$B$18))),AL10)))</f>
        <v>1617.8725</v>
      </c>
      <c r="AN10" s="11" t="n">
        <f aca="false">IF(AN$1&lt;Units!$P9,0,IF(AND(Units!$K9=0,AN$1=Units!$O9),Units!$R9,IF(AND(AN$1&gt;=Units!$Q9,MOD(AN$1-Units!$Q9,12)=0),IF(AND(Units!$L9=1,AN$1=Units!$Q9),IF(Units!$J9&lt;&gt;"",Units!$J9,Mkt!AN10),Inputs!$B$15*Mkt!AN10+(1-Inputs!$B$15)*MIN(Mkt!AN10,AM10*(1+Inputs!$B$18))),AM10)))</f>
        <v>1617.8725</v>
      </c>
      <c r="AO10" s="11" t="n">
        <f aca="false">IF(AO$1&lt;Units!$P9,0,IF(AND(Units!$K9=0,AO$1=Units!$O9),Units!$R9,IF(AND(AO$1&gt;=Units!$Q9,MOD(AO$1-Units!$Q9,12)=0),IF(AND(Units!$L9=1,AO$1=Units!$Q9),IF(Units!$J9&lt;&gt;"",Units!$J9,Mkt!AO10),Inputs!$B$15*Mkt!AO10+(1-Inputs!$B$15)*MIN(Mkt!AO10,AN10*(1+Inputs!$B$18))),AN10)))</f>
        <v>1617.8725</v>
      </c>
      <c r="AP10" s="11" t="n">
        <f aca="false">IF(AP$1&lt;Units!$P9,0,IF(AND(Units!$K9=0,AP$1=Units!$O9),Units!$R9,IF(AND(AP$1&gt;=Units!$Q9,MOD(AP$1-Units!$Q9,12)=0),IF(AND(Units!$L9=1,AP$1=Units!$Q9),IF(Units!$J9&lt;&gt;"",Units!$J9,Mkt!AP10),Inputs!$B$15*Mkt!AP10+(1-Inputs!$B$15)*MIN(Mkt!AP10,AO10*(1+Inputs!$B$18))),AO10)))</f>
        <v>1617.8725</v>
      </c>
      <c r="AQ10" s="11" t="n">
        <f aca="false">IF(AQ$1&lt;Units!$P9,0,IF(AND(Units!$K9=0,AQ$1=Units!$O9),Units!$R9,IF(AND(AQ$1&gt;=Units!$Q9,MOD(AQ$1-Units!$Q9,12)=0),IF(AND(Units!$L9=1,AQ$1=Units!$Q9),IF(Units!$J9&lt;&gt;"",Units!$J9,Mkt!AQ10),Inputs!$B$15*Mkt!AQ10+(1-Inputs!$B$15)*MIN(Mkt!AQ10,AP10*(1+Inputs!$B$18))),AP10)))</f>
        <v>1617.8725</v>
      </c>
      <c r="AR10" s="11" t="n">
        <f aca="false">IF(AR$1&lt;Units!$P9,0,IF(AND(Units!$K9=0,AR$1=Units!$O9),Units!$R9,IF(AND(AR$1&gt;=Units!$Q9,MOD(AR$1-Units!$Q9,12)=0),IF(AND(Units!$L9=1,AR$1=Units!$Q9),IF(Units!$J9&lt;&gt;"",Units!$J9,Mkt!AR10),Inputs!$B$15*Mkt!AR10+(1-Inputs!$B$15)*MIN(Mkt!AR10,AQ10*(1+Inputs!$B$18))),AQ10)))</f>
        <v>1617.8725</v>
      </c>
      <c r="AS10" s="11" t="n">
        <f aca="false">IF(AS$1&lt;Units!$P9,0,IF(AND(Units!$K9=0,AS$1=Units!$O9),Units!$R9,IF(AND(AS$1&gt;=Units!$Q9,MOD(AS$1-Units!$Q9,12)=0),IF(AND(Units!$L9=1,AS$1=Units!$Q9),IF(Units!$J9&lt;&gt;"",Units!$J9,Mkt!AS10),Inputs!$B$15*Mkt!AS10+(1-Inputs!$B$15)*MIN(Mkt!AS10,AR10*(1+Inputs!$B$18))),AR10)))</f>
        <v>1617.8725</v>
      </c>
      <c r="AT10" s="11" t="n">
        <f aca="false">IF(AT$1&lt;Units!$P9,0,IF(AND(Units!$K9=0,AT$1=Units!$O9),Units!$R9,IF(AND(AT$1&gt;=Units!$Q9,MOD(AT$1-Units!$Q9,12)=0),IF(AND(Units!$L9=1,AT$1=Units!$Q9),IF(Units!$J9&lt;&gt;"",Units!$J9,Mkt!AT10),Inputs!$B$15*Mkt!AT10+(1-Inputs!$B$15)*MIN(Mkt!AT10,AS10*(1+Inputs!$B$18))),AS10)))</f>
        <v>1666.408675</v>
      </c>
      <c r="AU10" s="11" t="n">
        <f aca="false">IF(AU$1&lt;Units!$P9,0,IF(AND(Units!$K9=0,AU$1=Units!$O9),Units!$R9,IF(AND(AU$1&gt;=Units!$Q9,MOD(AU$1-Units!$Q9,12)=0),IF(AND(Units!$L9=1,AU$1=Units!$Q9),IF(Units!$J9&lt;&gt;"",Units!$J9,Mkt!AU10),Inputs!$B$15*Mkt!AU10+(1-Inputs!$B$15)*MIN(Mkt!AU10,AT10*(1+Inputs!$B$18))),AT10)))</f>
        <v>1666.408675</v>
      </c>
      <c r="AV10" s="11" t="n">
        <f aca="false">IF(AV$1&lt;Units!$P9,0,IF(AND(Units!$K9=0,AV$1=Units!$O9),Units!$R9,IF(AND(AV$1&gt;=Units!$Q9,MOD(AV$1-Units!$Q9,12)=0),IF(AND(Units!$L9=1,AV$1=Units!$Q9),IF(Units!$J9&lt;&gt;"",Units!$J9,Mkt!AV10),Inputs!$B$15*Mkt!AV10+(1-Inputs!$B$15)*MIN(Mkt!AV10,AU10*(1+Inputs!$B$18))),AU10)))</f>
        <v>1666.408675</v>
      </c>
      <c r="AW10" s="11" t="n">
        <f aca="false">IF(AW$1&lt;Units!$P9,0,IF(AND(Units!$K9=0,AW$1=Units!$O9),Units!$R9,IF(AND(AW$1&gt;=Units!$Q9,MOD(AW$1-Units!$Q9,12)=0),IF(AND(Units!$L9=1,AW$1=Units!$Q9),IF(Units!$J9&lt;&gt;"",Units!$J9,Mkt!AW10),Inputs!$B$15*Mkt!AW10+(1-Inputs!$B$15)*MIN(Mkt!AW10,AV10*(1+Inputs!$B$18))),AV10)))</f>
        <v>1666.408675</v>
      </c>
      <c r="AX10" s="11" t="n">
        <f aca="false">IF(AX$1&lt;Units!$P9,0,IF(AND(Units!$K9=0,AX$1=Units!$O9),Units!$R9,IF(AND(AX$1&gt;=Units!$Q9,MOD(AX$1-Units!$Q9,12)=0),IF(AND(Units!$L9=1,AX$1=Units!$Q9),IF(Units!$J9&lt;&gt;"",Units!$J9,Mkt!AX10),Inputs!$B$15*Mkt!AX10+(1-Inputs!$B$15)*MIN(Mkt!AX10,AW10*(1+Inputs!$B$18))),AW10)))</f>
        <v>1666.408675</v>
      </c>
      <c r="AY10" s="11" t="n">
        <f aca="false">IF(AY$1&lt;Units!$P9,0,IF(AND(Units!$K9=0,AY$1=Units!$O9),Units!$R9,IF(AND(AY$1&gt;=Units!$Q9,MOD(AY$1-Units!$Q9,12)=0),IF(AND(Units!$L9=1,AY$1=Units!$Q9),IF(Units!$J9&lt;&gt;"",Units!$J9,Mkt!AY10),Inputs!$B$15*Mkt!AY10+(1-Inputs!$B$15)*MIN(Mkt!AY10,AX10*(1+Inputs!$B$18))),AX10)))</f>
        <v>1666.408675</v>
      </c>
      <c r="AZ10" s="11" t="n">
        <f aca="false">IF(AZ$1&lt;Units!$P9,0,IF(AND(Units!$K9=0,AZ$1=Units!$O9),Units!$R9,IF(AND(AZ$1&gt;=Units!$Q9,MOD(AZ$1-Units!$Q9,12)=0),IF(AND(Units!$L9=1,AZ$1=Units!$Q9),IF(Units!$J9&lt;&gt;"",Units!$J9,Mkt!AZ10),Inputs!$B$15*Mkt!AZ10+(1-Inputs!$B$15)*MIN(Mkt!AZ10,AY10*(1+Inputs!$B$18))),AY10)))</f>
        <v>1666.408675</v>
      </c>
      <c r="BA10" s="11" t="n">
        <f aca="false">IF(BA$1&lt;Units!$P9,0,IF(AND(Units!$K9=0,BA$1=Units!$O9),Units!$R9,IF(AND(BA$1&gt;=Units!$Q9,MOD(BA$1-Units!$Q9,12)=0),IF(AND(Units!$L9=1,BA$1=Units!$Q9),IF(Units!$J9&lt;&gt;"",Units!$J9,Mkt!BA10),Inputs!$B$15*Mkt!BA10+(1-Inputs!$B$15)*MIN(Mkt!BA10,AZ10*(1+Inputs!$B$18))),AZ10)))</f>
        <v>1666.408675</v>
      </c>
      <c r="BB10" s="11" t="n">
        <f aca="false">IF(BB$1&lt;Units!$P9,0,IF(AND(Units!$K9=0,BB$1=Units!$O9),Units!$R9,IF(AND(BB$1&gt;=Units!$Q9,MOD(BB$1-Units!$Q9,12)=0),IF(AND(Units!$L9=1,BB$1=Units!$Q9),IF(Units!$J9&lt;&gt;"",Units!$J9,Mkt!BB10),Inputs!$B$15*Mkt!BB10+(1-Inputs!$B$15)*MIN(Mkt!BB10,BA10*(1+Inputs!$B$18))),BA10)))</f>
        <v>1666.408675</v>
      </c>
      <c r="BC10" s="11" t="n">
        <f aca="false">IF(BC$1&lt;Units!$P9,0,IF(AND(Units!$K9=0,BC$1=Units!$O9),Units!$R9,IF(AND(BC$1&gt;=Units!$Q9,MOD(BC$1-Units!$Q9,12)=0),IF(AND(Units!$L9=1,BC$1=Units!$Q9),IF(Units!$J9&lt;&gt;"",Units!$J9,Mkt!BC10),Inputs!$B$15*Mkt!BC10+(1-Inputs!$B$15)*MIN(Mkt!BC10,BB10*(1+Inputs!$B$18))),BB10)))</f>
        <v>1666.408675</v>
      </c>
      <c r="BD10" s="11" t="n">
        <f aca="false">IF(BD$1&lt;Units!$P9,0,IF(AND(Units!$K9=0,BD$1=Units!$O9),Units!$R9,IF(AND(BD$1&gt;=Units!$Q9,MOD(BD$1-Units!$Q9,12)=0),IF(AND(Units!$L9=1,BD$1=Units!$Q9),IF(Units!$J9&lt;&gt;"",Units!$J9,Mkt!BD10),Inputs!$B$15*Mkt!BD10+(1-Inputs!$B$15)*MIN(Mkt!BD10,BC10*(1+Inputs!$B$18))),BC10)))</f>
        <v>1666.408675</v>
      </c>
      <c r="BE10" s="11" t="n">
        <f aca="false">IF(BE$1&lt;Units!$P9,0,IF(AND(Units!$K9=0,BE$1=Units!$O9),Units!$R9,IF(AND(BE$1&gt;=Units!$Q9,MOD(BE$1-Units!$Q9,12)=0),IF(AND(Units!$L9=1,BE$1=Units!$Q9),IF(Units!$J9&lt;&gt;"",Units!$J9,Mkt!BE10),Inputs!$B$15*Mkt!BE10+(1-Inputs!$B$15)*MIN(Mkt!BE10,BD10*(1+Inputs!$B$18))),BD10)))</f>
        <v>1666.408675</v>
      </c>
      <c r="BF10" s="11" t="n">
        <f aca="false">IF(BF$1&lt;Units!$P9,0,IF(AND(Units!$K9=0,BF$1=Units!$O9),Units!$R9,IF(AND(BF$1&gt;=Units!$Q9,MOD(BF$1-Units!$Q9,12)=0),IF(AND(Units!$L9=1,BF$1=Units!$Q9),IF(Units!$J9&lt;&gt;"",Units!$J9,Mkt!BF10),Inputs!$B$15*Mkt!BF10+(1-Inputs!$B$15)*MIN(Mkt!BF10,BE10*(1+Inputs!$B$18))),BE10)))</f>
        <v>1716.40093525</v>
      </c>
      <c r="BG10" s="11" t="n">
        <f aca="false">IF(BG$1&lt;Units!$P9,0,IF(AND(Units!$K9=0,BG$1=Units!$O9),Units!$R9,IF(AND(BG$1&gt;=Units!$Q9,MOD(BG$1-Units!$Q9,12)=0),IF(AND(Units!$L9=1,BG$1=Units!$Q9),IF(Units!$J9&lt;&gt;"",Units!$J9,Mkt!BG10),Inputs!$B$15*Mkt!BG10+(1-Inputs!$B$15)*MIN(Mkt!BG10,BF10*(1+Inputs!$B$18))),BF10)))</f>
        <v>1716.40093525</v>
      </c>
      <c r="BH10" s="11" t="n">
        <f aca="false">IF(BH$1&lt;Units!$P9,0,IF(AND(Units!$K9=0,BH$1=Units!$O9),Units!$R9,IF(AND(BH$1&gt;=Units!$Q9,MOD(BH$1-Units!$Q9,12)=0),IF(AND(Units!$L9=1,BH$1=Units!$Q9),IF(Units!$J9&lt;&gt;"",Units!$J9,Mkt!BH10),Inputs!$B$15*Mkt!BH10+(1-Inputs!$B$15)*MIN(Mkt!BH10,BG10*(1+Inputs!$B$18))),BG10)))</f>
        <v>1716.40093525</v>
      </c>
      <c r="BI10" s="11" t="n">
        <f aca="false">IF(BI$1&lt;Units!$P9,0,IF(AND(Units!$K9=0,BI$1=Units!$O9),Units!$R9,IF(AND(BI$1&gt;=Units!$Q9,MOD(BI$1-Units!$Q9,12)=0),IF(AND(Units!$L9=1,BI$1=Units!$Q9),IF(Units!$J9&lt;&gt;"",Units!$J9,Mkt!BI10),Inputs!$B$15*Mkt!BI10+(1-Inputs!$B$15)*MIN(Mkt!BI10,BH10*(1+Inputs!$B$18))),BH10)))</f>
        <v>1716.40093525</v>
      </c>
      <c r="BJ10" s="11" t="n">
        <f aca="false">IF(BJ$1&lt;Units!$P9,0,IF(AND(Units!$K9=0,BJ$1=Units!$O9),Units!$R9,IF(AND(BJ$1&gt;=Units!$Q9,MOD(BJ$1-Units!$Q9,12)=0),IF(AND(Units!$L9=1,BJ$1=Units!$Q9),IF(Units!$J9&lt;&gt;"",Units!$J9,Mkt!BJ10),Inputs!$B$15*Mkt!BJ10+(1-Inputs!$B$15)*MIN(Mkt!BJ10,BI10*(1+Inputs!$B$18))),BI10)))</f>
        <v>1716.40093525</v>
      </c>
      <c r="BK10" s="11" t="n">
        <f aca="false">IF(BK$1&lt;Units!$P9,0,IF(AND(Units!$K9=0,BK$1=Units!$O9),Units!$R9,IF(AND(BK$1&gt;=Units!$Q9,MOD(BK$1-Units!$Q9,12)=0),IF(AND(Units!$L9=1,BK$1=Units!$Q9),IF(Units!$J9&lt;&gt;"",Units!$J9,Mkt!BK10),Inputs!$B$15*Mkt!BK10+(1-Inputs!$B$15)*MIN(Mkt!BK10,BJ10*(1+Inputs!$B$18))),BJ10)))</f>
        <v>1716.40093525</v>
      </c>
      <c r="BL10" s="11" t="n">
        <f aca="false">IF(BL$1&lt;Units!$P9,0,IF(AND(Units!$K9=0,BL$1=Units!$O9),Units!$R9,IF(AND(BL$1&gt;=Units!$Q9,MOD(BL$1-Units!$Q9,12)=0),IF(AND(Units!$L9=1,BL$1=Units!$Q9),IF(Units!$J9&lt;&gt;"",Units!$J9,Mkt!BL10),Inputs!$B$15*Mkt!BL10+(1-Inputs!$B$15)*MIN(Mkt!BL10,BK10*(1+Inputs!$B$18))),BK10)))</f>
        <v>1716.40093525</v>
      </c>
      <c r="BM10" s="11" t="n">
        <f aca="false">IF(BM$1&lt;Units!$P9,0,IF(AND(Units!$K9=0,BM$1=Units!$O9),Units!$R9,IF(AND(BM$1&gt;=Units!$Q9,MOD(BM$1-Units!$Q9,12)=0),IF(AND(Units!$L9=1,BM$1=Units!$Q9),IF(Units!$J9&lt;&gt;"",Units!$J9,Mkt!BM10),Inputs!$B$15*Mkt!BM10+(1-Inputs!$B$15)*MIN(Mkt!BM10,BL10*(1+Inputs!$B$18))),BL10)))</f>
        <v>1716.40093525</v>
      </c>
      <c r="BN10" s="11" t="n">
        <f aca="false">IF(BN$1&lt;Units!$P9,0,IF(AND(Units!$K9=0,BN$1=Units!$O9),Units!$R9,IF(AND(BN$1&gt;=Units!$Q9,MOD(BN$1-Units!$Q9,12)=0),IF(AND(Units!$L9=1,BN$1=Units!$Q9),IF(Units!$J9&lt;&gt;"",Units!$J9,Mkt!BN10),Inputs!$B$15*Mkt!BN10+(1-Inputs!$B$15)*MIN(Mkt!BN10,BM10*(1+Inputs!$B$18))),BM10)))</f>
        <v>1716.40093525</v>
      </c>
      <c r="BO10" s="11" t="n">
        <f aca="false">IF(BO$1&lt;Units!$P9,0,IF(AND(Units!$K9=0,BO$1=Units!$O9),Units!$R9,IF(AND(BO$1&gt;=Units!$Q9,MOD(BO$1-Units!$Q9,12)=0),IF(AND(Units!$L9=1,BO$1=Units!$Q9),IF(Units!$J9&lt;&gt;"",Units!$J9,Mkt!BO10),Inputs!$B$15*Mkt!BO10+(1-Inputs!$B$15)*MIN(Mkt!BO10,BN10*(1+Inputs!$B$18))),BN10)))</f>
        <v>1716.40093525</v>
      </c>
      <c r="BP10" s="11" t="n">
        <f aca="false">IF(BP$1&lt;Units!$P9,0,IF(AND(Units!$K9=0,BP$1=Units!$O9),Units!$R9,IF(AND(BP$1&gt;=Units!$Q9,MOD(BP$1-Units!$Q9,12)=0),IF(AND(Units!$L9=1,BP$1=Units!$Q9),IF(Units!$J9&lt;&gt;"",Units!$J9,Mkt!BP10),Inputs!$B$15*Mkt!BP10+(1-Inputs!$B$15)*MIN(Mkt!BP10,BO10*(1+Inputs!$B$18))),BO10)))</f>
        <v>1716.40093525</v>
      </c>
      <c r="BQ10" s="11" t="n">
        <f aca="false">IF(BQ$1&lt;Units!$P9,0,IF(AND(Units!$K9=0,BQ$1=Units!$O9),Units!$R9,IF(AND(BQ$1&gt;=Units!$Q9,MOD(BQ$1-Units!$Q9,12)=0),IF(AND(Units!$L9=1,BQ$1=Units!$Q9),IF(Units!$J9&lt;&gt;"",Units!$J9,Mkt!BQ10),Inputs!$B$15*Mkt!BQ10+(1-Inputs!$B$15)*MIN(Mkt!BQ10,BP10*(1+Inputs!$B$18))),BP10)))</f>
        <v>1716.40093525</v>
      </c>
      <c r="BR10" s="11" t="n">
        <f aca="false">IF(BR$1&lt;Units!$P9,0,IF(AND(Units!$K9=0,BR$1=Units!$O9),Units!$R9,IF(AND(BR$1&gt;=Units!$Q9,MOD(BR$1-Units!$Q9,12)=0),IF(AND(Units!$L9=1,BR$1=Units!$Q9),IF(Units!$J9&lt;&gt;"",Units!$J9,Mkt!BR10),Inputs!$B$15*Mkt!BR10+(1-Inputs!$B$15)*MIN(Mkt!BR10,BQ10*(1+Inputs!$B$18))),BQ10)))</f>
        <v>1767.8929633075</v>
      </c>
      <c r="BS10" s="11" t="n">
        <f aca="false">IF(BS$1&lt;Units!$P9,0,IF(AND(Units!$K9=0,BS$1=Units!$O9),Units!$R9,IF(AND(BS$1&gt;=Units!$Q9,MOD(BS$1-Units!$Q9,12)=0),IF(AND(Units!$L9=1,BS$1=Units!$Q9),IF(Units!$J9&lt;&gt;"",Units!$J9,Mkt!BS10),Inputs!$B$15*Mkt!BS10+(1-Inputs!$B$15)*MIN(Mkt!BS10,BR10*(1+Inputs!$B$18))),BR10)))</f>
        <v>1767.8929633075</v>
      </c>
      <c r="BT10" s="11" t="n">
        <f aca="false">IF(BT$1&lt;Units!$P9,0,IF(AND(Units!$K9=0,BT$1=Units!$O9),Units!$R9,IF(AND(BT$1&gt;=Units!$Q9,MOD(BT$1-Units!$Q9,12)=0),IF(AND(Units!$L9=1,BT$1=Units!$Q9),IF(Units!$J9&lt;&gt;"",Units!$J9,Mkt!BT10),Inputs!$B$15*Mkt!BT10+(1-Inputs!$B$15)*MIN(Mkt!BT10,BS10*(1+Inputs!$B$18))),BS10)))</f>
        <v>1767.8929633075</v>
      </c>
      <c r="BU10" s="11" t="n">
        <f aca="false">IF(BU$1&lt;Units!$P9,0,IF(AND(Units!$K9=0,BU$1=Units!$O9),Units!$R9,IF(AND(BU$1&gt;=Units!$Q9,MOD(BU$1-Units!$Q9,12)=0),IF(AND(Units!$L9=1,BU$1=Units!$Q9),IF(Units!$J9&lt;&gt;"",Units!$J9,Mkt!BU10),Inputs!$B$15*Mkt!BU10+(1-Inputs!$B$15)*MIN(Mkt!BU10,BT10*(1+Inputs!$B$18))),BT10)))</f>
        <v>1767.8929633075</v>
      </c>
      <c r="BV10" s="11" t="n">
        <f aca="false">IF(BV$1&lt;Units!$P9,0,IF(AND(Units!$K9=0,BV$1=Units!$O9),Units!$R9,IF(AND(BV$1&gt;=Units!$Q9,MOD(BV$1-Units!$Q9,12)=0),IF(AND(Units!$L9=1,BV$1=Units!$Q9),IF(Units!$J9&lt;&gt;"",Units!$J9,Mkt!BV10),Inputs!$B$15*Mkt!BV10+(1-Inputs!$B$15)*MIN(Mkt!BV10,BU10*(1+Inputs!$B$18))),BU10)))</f>
        <v>1767.8929633075</v>
      </c>
      <c r="BW10" s="11" t="n">
        <f aca="false">IF(BW$1&lt;Units!$P9,0,IF(AND(Units!$K9=0,BW$1=Units!$O9),Units!$R9,IF(AND(BW$1&gt;=Units!$Q9,MOD(BW$1-Units!$Q9,12)=0),IF(AND(Units!$L9=1,BW$1=Units!$Q9),IF(Units!$J9&lt;&gt;"",Units!$J9,Mkt!BW10),Inputs!$B$15*Mkt!BW10+(1-Inputs!$B$15)*MIN(Mkt!BW10,BV10*(1+Inputs!$B$18))),BV10)))</f>
        <v>1767.8929633075</v>
      </c>
      <c r="BX10" s="11" t="n">
        <f aca="false">IF(BX$1&lt;Units!$P9,0,IF(AND(Units!$K9=0,BX$1=Units!$O9),Units!$R9,IF(AND(BX$1&gt;=Units!$Q9,MOD(BX$1-Units!$Q9,12)=0),IF(AND(Units!$L9=1,BX$1=Units!$Q9),IF(Units!$J9&lt;&gt;"",Units!$J9,Mkt!BX10),Inputs!$B$15*Mkt!BX10+(1-Inputs!$B$15)*MIN(Mkt!BX10,BW10*(1+Inputs!$B$18))),BW10)))</f>
        <v>1767.8929633075</v>
      </c>
      <c r="BY10" s="11" t="n">
        <f aca="false">IF(BY$1&lt;Units!$P9,0,IF(AND(Units!$K9=0,BY$1=Units!$O9),Units!$R9,IF(AND(BY$1&gt;=Units!$Q9,MOD(BY$1-Units!$Q9,12)=0),IF(AND(Units!$L9=1,BY$1=Units!$Q9),IF(Units!$J9&lt;&gt;"",Units!$J9,Mkt!BY10),Inputs!$B$15*Mkt!BY10+(1-Inputs!$B$15)*MIN(Mkt!BY10,BX10*(1+Inputs!$B$18))),BX10)))</f>
        <v>1767.8929633075</v>
      </c>
      <c r="BZ10" s="11" t="n">
        <f aca="false">IF(BZ$1&lt;Units!$P9,0,IF(AND(Units!$K9=0,BZ$1=Units!$O9),Units!$R9,IF(AND(BZ$1&gt;=Units!$Q9,MOD(BZ$1-Units!$Q9,12)=0),IF(AND(Units!$L9=1,BZ$1=Units!$Q9),IF(Units!$J9&lt;&gt;"",Units!$J9,Mkt!BZ10),Inputs!$B$15*Mkt!BZ10+(1-Inputs!$B$15)*MIN(Mkt!BZ10,BY10*(1+Inputs!$B$18))),BY10)))</f>
        <v>1767.8929633075</v>
      </c>
      <c r="CA10" s="11" t="n">
        <f aca="false">IF(CA$1&lt;Units!$P9,0,IF(AND(Units!$K9=0,CA$1=Units!$O9),Units!$R9,IF(AND(CA$1&gt;=Units!$Q9,MOD(CA$1-Units!$Q9,12)=0),IF(AND(Units!$L9=1,CA$1=Units!$Q9),IF(Units!$J9&lt;&gt;"",Units!$J9,Mkt!CA10),Inputs!$B$15*Mkt!CA10+(1-Inputs!$B$15)*MIN(Mkt!CA10,BZ10*(1+Inputs!$B$18))),BZ10)))</f>
        <v>1767.8929633075</v>
      </c>
      <c r="CB10" s="11" t="n">
        <f aca="false">IF(CB$1&lt;Units!$P9,0,IF(AND(Units!$K9=0,CB$1=Units!$O9),Units!$R9,IF(AND(CB$1&gt;=Units!$Q9,MOD(CB$1-Units!$Q9,12)=0),IF(AND(Units!$L9=1,CB$1=Units!$Q9),IF(Units!$J9&lt;&gt;"",Units!$J9,Mkt!CB10),Inputs!$B$15*Mkt!CB10+(1-Inputs!$B$15)*MIN(Mkt!CB10,CA10*(1+Inputs!$B$18))),CA10)))</f>
        <v>1767.8929633075</v>
      </c>
      <c r="CC10" s="11" t="n">
        <f aca="false">IF(CC$1&lt;Units!$P9,0,IF(AND(Units!$K9=0,CC$1=Units!$O9),Units!$R9,IF(AND(CC$1&gt;=Units!$Q9,MOD(CC$1-Units!$Q9,12)=0),IF(AND(Units!$L9=1,CC$1=Units!$Q9),IF(Units!$J9&lt;&gt;"",Units!$J9,Mkt!CC10),Inputs!$B$15*Mkt!CC10+(1-Inputs!$B$15)*MIN(Mkt!CC10,CB10*(1+Inputs!$B$18))),CB10)))</f>
        <v>1767.8929633075</v>
      </c>
      <c r="CD10" s="11" t="n">
        <f aca="false">IF(CD$1&lt;Units!$P9,0,IF(AND(Units!$K9=0,CD$1=Units!$O9),Units!$R9,IF(AND(CD$1&gt;=Units!$Q9,MOD(CD$1-Units!$Q9,12)=0),IF(AND(Units!$L9=1,CD$1=Units!$Q9),IF(Units!$J9&lt;&gt;"",Units!$J9,Mkt!CD10),Inputs!$B$15*Mkt!CD10+(1-Inputs!$B$15)*MIN(Mkt!CD10,CC10*(1+Inputs!$B$18))),CC10)))</f>
        <v>1820.92975220673</v>
      </c>
      <c r="CE10" s="11" t="n">
        <f aca="false">IF(CE$1&lt;Units!$P9,0,IF(AND(Units!$K9=0,CE$1=Units!$O9),Units!$R9,IF(AND(CE$1&gt;=Units!$Q9,MOD(CE$1-Units!$Q9,12)=0),IF(AND(Units!$L9=1,CE$1=Units!$Q9),IF(Units!$J9&lt;&gt;"",Units!$J9,Mkt!CE10),Inputs!$B$15*Mkt!CE10+(1-Inputs!$B$15)*MIN(Mkt!CE10,CD10*(1+Inputs!$B$18))),CD10)))</f>
        <v>1820.92975220673</v>
      </c>
      <c r="CF10" s="11" t="n">
        <f aca="false">IF(CF$1&lt;Units!$P9,0,IF(AND(Units!$K9=0,CF$1=Units!$O9),Units!$R9,IF(AND(CF$1&gt;=Units!$Q9,MOD(CF$1-Units!$Q9,12)=0),IF(AND(Units!$L9=1,CF$1=Units!$Q9),IF(Units!$J9&lt;&gt;"",Units!$J9,Mkt!CF10),Inputs!$B$15*Mkt!CF10+(1-Inputs!$B$15)*MIN(Mkt!CF10,CE10*(1+Inputs!$B$18))),CE10)))</f>
        <v>1820.92975220673</v>
      </c>
      <c r="CG10" s="11" t="n">
        <f aca="false">IF(CG$1&lt;Units!$P9,0,IF(AND(Units!$K9=0,CG$1=Units!$O9),Units!$R9,IF(AND(CG$1&gt;=Units!$Q9,MOD(CG$1-Units!$Q9,12)=0),IF(AND(Units!$L9=1,CG$1=Units!$Q9),IF(Units!$J9&lt;&gt;"",Units!$J9,Mkt!CG10),Inputs!$B$15*Mkt!CG10+(1-Inputs!$B$15)*MIN(Mkt!CG10,CF10*(1+Inputs!$B$18))),CF10)))</f>
        <v>1820.92975220673</v>
      </c>
      <c r="CH10" s="11" t="n">
        <f aca="false">IF(CH$1&lt;Units!$P9,0,IF(AND(Units!$K9=0,CH$1=Units!$O9),Units!$R9,IF(AND(CH$1&gt;=Units!$Q9,MOD(CH$1-Units!$Q9,12)=0),IF(AND(Units!$L9=1,CH$1=Units!$Q9),IF(Units!$J9&lt;&gt;"",Units!$J9,Mkt!CH10),Inputs!$B$15*Mkt!CH10+(1-Inputs!$B$15)*MIN(Mkt!CH10,CG10*(1+Inputs!$B$18))),CG10)))</f>
        <v>1820.92975220673</v>
      </c>
      <c r="CI10" s="11" t="n">
        <f aca="false">IF(CI$1&lt;Units!$P9,0,IF(AND(Units!$K9=0,CI$1=Units!$O9),Units!$R9,IF(AND(CI$1&gt;=Units!$Q9,MOD(CI$1-Units!$Q9,12)=0),IF(AND(Units!$L9=1,CI$1=Units!$Q9),IF(Units!$J9&lt;&gt;"",Units!$J9,Mkt!CI10),Inputs!$B$15*Mkt!CI10+(1-Inputs!$B$15)*MIN(Mkt!CI10,CH10*(1+Inputs!$B$18))),CH10)))</f>
        <v>1820.92975220673</v>
      </c>
      <c r="CJ10" s="11" t="n">
        <f aca="false">IF(CJ$1&lt;Units!$P9,0,IF(AND(Units!$K9=0,CJ$1=Units!$O9),Units!$R9,IF(AND(CJ$1&gt;=Units!$Q9,MOD(CJ$1-Units!$Q9,12)=0),IF(AND(Units!$L9=1,CJ$1=Units!$Q9),IF(Units!$J9&lt;&gt;"",Units!$J9,Mkt!CJ10),Inputs!$B$15*Mkt!CJ10+(1-Inputs!$B$15)*MIN(Mkt!CJ10,CI10*(1+Inputs!$B$18))),CI10)))</f>
        <v>1820.92975220673</v>
      </c>
      <c r="CK10" s="11" t="n">
        <f aca="false">IF(CK$1&lt;Units!$P9,0,IF(AND(Units!$K9=0,CK$1=Units!$O9),Units!$R9,IF(AND(CK$1&gt;=Units!$Q9,MOD(CK$1-Units!$Q9,12)=0),IF(AND(Units!$L9=1,CK$1=Units!$Q9),IF(Units!$J9&lt;&gt;"",Units!$J9,Mkt!CK10),Inputs!$B$15*Mkt!CK10+(1-Inputs!$B$15)*MIN(Mkt!CK10,CJ10*(1+Inputs!$B$18))),CJ10)))</f>
        <v>1820.92975220673</v>
      </c>
      <c r="CL10" s="11" t="n">
        <f aca="false">IF(CL$1&lt;Units!$P9,0,IF(AND(Units!$K9=0,CL$1=Units!$O9),Units!$R9,IF(AND(CL$1&gt;=Units!$Q9,MOD(CL$1-Units!$Q9,12)=0),IF(AND(Units!$L9=1,CL$1=Units!$Q9),IF(Units!$J9&lt;&gt;"",Units!$J9,Mkt!CL10),Inputs!$B$15*Mkt!CL10+(1-Inputs!$B$15)*MIN(Mkt!CL10,CK10*(1+Inputs!$B$18))),CK10)))</f>
        <v>1820.92975220673</v>
      </c>
      <c r="CM10" s="11" t="n">
        <f aca="false">IF(CM$1&lt;Units!$P9,0,IF(AND(Units!$K9=0,CM$1=Units!$O9),Units!$R9,IF(AND(CM$1&gt;=Units!$Q9,MOD(CM$1-Units!$Q9,12)=0),IF(AND(Units!$L9=1,CM$1=Units!$Q9),IF(Units!$J9&lt;&gt;"",Units!$J9,Mkt!CM10),Inputs!$B$15*Mkt!CM10+(1-Inputs!$B$15)*MIN(Mkt!CM10,CL10*(1+Inputs!$B$18))),CL10)))</f>
        <v>1820.92975220673</v>
      </c>
      <c r="CN10" s="11" t="n">
        <f aca="false">IF(CN$1&lt;Units!$P9,0,IF(AND(Units!$K9=0,CN$1=Units!$O9),Units!$R9,IF(AND(CN$1&gt;=Units!$Q9,MOD(CN$1-Units!$Q9,12)=0),IF(AND(Units!$L9=1,CN$1=Units!$Q9),IF(Units!$J9&lt;&gt;"",Units!$J9,Mkt!CN10),Inputs!$B$15*Mkt!CN10+(1-Inputs!$B$15)*MIN(Mkt!CN10,CM10*(1+Inputs!$B$18))),CM10)))</f>
        <v>1820.92975220673</v>
      </c>
      <c r="CO10" s="11" t="n">
        <f aca="false">IF(CO$1&lt;Units!$P9,0,IF(AND(Units!$K9=0,CO$1=Units!$O9),Units!$R9,IF(AND(CO$1&gt;=Units!$Q9,MOD(CO$1-Units!$Q9,12)=0),IF(AND(Units!$L9=1,CO$1=Units!$Q9),IF(Units!$J9&lt;&gt;"",Units!$J9,Mkt!CO10),Inputs!$B$15*Mkt!CO10+(1-Inputs!$B$15)*MIN(Mkt!CO10,CN10*(1+Inputs!$B$18))),CN10)))</f>
        <v>1820.92975220673</v>
      </c>
      <c r="CP10" s="11" t="n">
        <f aca="false">IF(CP$1&lt;Units!$P9,0,IF(AND(Units!$K9=0,CP$1=Units!$O9),Units!$R9,IF(AND(CP$1&gt;=Units!$Q9,MOD(CP$1-Units!$Q9,12)=0),IF(AND(Units!$L9=1,CP$1=Units!$Q9),IF(Units!$J9&lt;&gt;"",Units!$J9,Mkt!CP10),Inputs!$B$15*Mkt!CP10+(1-Inputs!$B$15)*MIN(Mkt!CP10,CO10*(1+Inputs!$B$18))),CO10)))</f>
        <v>1875.55764477293</v>
      </c>
      <c r="CQ10" s="11" t="n">
        <f aca="false">IF(CQ$1&lt;Units!$P9,0,IF(AND(Units!$K9=0,CQ$1=Units!$O9),Units!$R9,IF(AND(CQ$1&gt;=Units!$Q9,MOD(CQ$1-Units!$Q9,12)=0),IF(AND(Units!$L9=1,CQ$1=Units!$Q9),IF(Units!$J9&lt;&gt;"",Units!$J9,Mkt!CQ10),Inputs!$B$15*Mkt!CQ10+(1-Inputs!$B$15)*MIN(Mkt!CQ10,CP10*(1+Inputs!$B$18))),CP10)))</f>
        <v>1875.55764477293</v>
      </c>
      <c r="CR10" s="11" t="n">
        <f aca="false">IF(CR$1&lt;Units!$P9,0,IF(AND(Units!$K9=0,CR$1=Units!$O9),Units!$R9,IF(AND(CR$1&gt;=Units!$Q9,MOD(CR$1-Units!$Q9,12)=0),IF(AND(Units!$L9=1,CR$1=Units!$Q9),IF(Units!$J9&lt;&gt;"",Units!$J9,Mkt!CR10),Inputs!$B$15*Mkt!CR10+(1-Inputs!$B$15)*MIN(Mkt!CR10,CQ10*(1+Inputs!$B$18))),CQ10)))</f>
        <v>1875.55764477293</v>
      </c>
      <c r="CS10" s="11" t="n">
        <f aca="false">IF(CS$1&lt;Units!$P9,0,IF(AND(Units!$K9=0,CS$1=Units!$O9),Units!$R9,IF(AND(CS$1&gt;=Units!$Q9,MOD(CS$1-Units!$Q9,12)=0),IF(AND(Units!$L9=1,CS$1=Units!$Q9),IF(Units!$J9&lt;&gt;"",Units!$J9,Mkt!CS10),Inputs!$B$15*Mkt!CS10+(1-Inputs!$B$15)*MIN(Mkt!CS10,CR10*(1+Inputs!$B$18))),CR10)))</f>
        <v>1875.55764477293</v>
      </c>
      <c r="CT10" s="11" t="n">
        <f aca="false">IF(CT$1&lt;Units!$P9,0,IF(AND(Units!$K9=0,CT$1=Units!$O9),Units!$R9,IF(AND(CT$1&gt;=Units!$Q9,MOD(CT$1-Units!$Q9,12)=0),IF(AND(Units!$L9=1,CT$1=Units!$Q9),IF(Units!$J9&lt;&gt;"",Units!$J9,Mkt!CT10),Inputs!$B$15*Mkt!CT10+(1-Inputs!$B$15)*MIN(Mkt!CT10,CS10*(1+Inputs!$B$18))),CS10)))</f>
        <v>1875.55764477293</v>
      </c>
      <c r="CU10" s="11" t="n">
        <f aca="false">IF(CU$1&lt;Units!$P9,0,IF(AND(Units!$K9=0,CU$1=Units!$O9),Units!$R9,IF(AND(CU$1&gt;=Units!$Q9,MOD(CU$1-Units!$Q9,12)=0),IF(AND(Units!$L9=1,CU$1=Units!$Q9),IF(Units!$J9&lt;&gt;"",Units!$J9,Mkt!CU10),Inputs!$B$15*Mkt!CU10+(1-Inputs!$B$15)*MIN(Mkt!CU10,CT10*(1+Inputs!$B$18))),CT10)))</f>
        <v>1875.55764477293</v>
      </c>
      <c r="CV10" s="11" t="n">
        <f aca="false">IF(CV$1&lt;Units!$P9,0,IF(AND(Units!$K9=0,CV$1=Units!$O9),Units!$R9,IF(AND(CV$1&gt;=Units!$Q9,MOD(CV$1-Units!$Q9,12)=0),IF(AND(Units!$L9=1,CV$1=Units!$Q9),IF(Units!$J9&lt;&gt;"",Units!$J9,Mkt!CV10),Inputs!$B$15*Mkt!CV10+(1-Inputs!$B$15)*MIN(Mkt!CV10,CU10*(1+Inputs!$B$18))),CU10)))</f>
        <v>1875.55764477293</v>
      </c>
      <c r="CW10" s="11" t="n">
        <f aca="false">IF(CW$1&lt;Units!$P9,0,IF(AND(Units!$K9=0,CW$1=Units!$O9),Units!$R9,IF(AND(CW$1&gt;=Units!$Q9,MOD(CW$1-Units!$Q9,12)=0),IF(AND(Units!$L9=1,CW$1=Units!$Q9),IF(Units!$J9&lt;&gt;"",Units!$J9,Mkt!CW10),Inputs!$B$15*Mkt!CW10+(1-Inputs!$B$15)*MIN(Mkt!CW10,CV10*(1+Inputs!$B$18))),CV10)))</f>
        <v>1875.55764477293</v>
      </c>
      <c r="CX10" s="11" t="n">
        <f aca="false">IF(CX$1&lt;Units!$P9,0,IF(AND(Units!$K9=0,CX$1=Units!$O9),Units!$R9,IF(AND(CX$1&gt;=Units!$Q9,MOD(CX$1-Units!$Q9,12)=0),IF(AND(Units!$L9=1,CX$1=Units!$Q9),IF(Units!$J9&lt;&gt;"",Units!$J9,Mkt!CX10),Inputs!$B$15*Mkt!CX10+(1-Inputs!$B$15)*MIN(Mkt!CX10,CW10*(1+Inputs!$B$18))),CW10)))</f>
        <v>1875.55764477293</v>
      </c>
      <c r="CY10" s="11" t="n">
        <f aca="false">IF(CY$1&lt;Units!$P9,0,IF(AND(Units!$K9=0,CY$1=Units!$O9),Units!$R9,IF(AND(CY$1&gt;=Units!$Q9,MOD(CY$1-Units!$Q9,12)=0),IF(AND(Units!$L9=1,CY$1=Units!$Q9),IF(Units!$J9&lt;&gt;"",Units!$J9,Mkt!CY10),Inputs!$B$15*Mkt!CY10+(1-Inputs!$B$15)*MIN(Mkt!CY10,CX10*(1+Inputs!$B$18))),CX10)))</f>
        <v>1875.55764477293</v>
      </c>
      <c r="CZ10" s="11" t="n">
        <f aca="false">IF(CZ$1&lt;Units!$P9,0,IF(AND(Units!$K9=0,CZ$1=Units!$O9),Units!$R9,IF(AND(CZ$1&gt;=Units!$Q9,MOD(CZ$1-Units!$Q9,12)=0),IF(AND(Units!$L9=1,CZ$1=Units!$Q9),IF(Units!$J9&lt;&gt;"",Units!$J9,Mkt!CZ10),Inputs!$B$15*Mkt!CZ10+(1-Inputs!$B$15)*MIN(Mkt!CZ10,CY10*(1+Inputs!$B$18))),CY10)))</f>
        <v>1875.55764477293</v>
      </c>
      <c r="DA10" s="11" t="n">
        <f aca="false">IF(DA$1&lt;Units!$P9,0,IF(AND(Units!$K9=0,DA$1=Units!$O9),Units!$R9,IF(AND(DA$1&gt;=Units!$Q9,MOD(DA$1-Units!$Q9,12)=0),IF(AND(Units!$L9=1,DA$1=Units!$Q9),IF(Units!$J9&lt;&gt;"",Units!$J9,Mkt!DA10),Inputs!$B$15*Mkt!DA10+(1-Inputs!$B$15)*MIN(Mkt!DA10,CZ10*(1+Inputs!$B$18))),CZ10)))</f>
        <v>1875.55764477293</v>
      </c>
      <c r="DB10" s="11" t="n">
        <f aca="false">IF(DB$1&lt;Units!$P9,0,IF(AND(Units!$K9=0,DB$1=Units!$O9),Units!$R9,IF(AND(DB$1&gt;=Units!$Q9,MOD(DB$1-Units!$Q9,12)=0),IF(AND(Units!$L9=1,DB$1=Units!$Q9),IF(Units!$J9&lt;&gt;"",Units!$J9,Mkt!DB10),Inputs!$B$15*Mkt!DB10+(1-Inputs!$B$15)*MIN(Mkt!DB10,DA10*(1+Inputs!$B$18))),DA10)))</f>
        <v>1931.82437411612</v>
      </c>
      <c r="DC10" s="11" t="n">
        <f aca="false">IF(DC$1&lt;Units!$P9,0,IF(AND(Units!$K9=0,DC$1=Units!$O9),Units!$R9,IF(AND(DC$1&gt;=Units!$Q9,MOD(DC$1-Units!$Q9,12)=0),IF(AND(Units!$L9=1,DC$1=Units!$Q9),IF(Units!$J9&lt;&gt;"",Units!$J9,Mkt!DC10),Inputs!$B$15*Mkt!DC10+(1-Inputs!$B$15)*MIN(Mkt!DC10,DB10*(1+Inputs!$B$18))),DB10)))</f>
        <v>1931.82437411612</v>
      </c>
      <c r="DD10" s="11" t="n">
        <f aca="false">IF(DD$1&lt;Units!$P9,0,IF(AND(Units!$K9=0,DD$1=Units!$O9),Units!$R9,IF(AND(DD$1&gt;=Units!$Q9,MOD(DD$1-Units!$Q9,12)=0),IF(AND(Units!$L9=1,DD$1=Units!$Q9),IF(Units!$J9&lt;&gt;"",Units!$J9,Mkt!DD10),Inputs!$B$15*Mkt!DD10+(1-Inputs!$B$15)*MIN(Mkt!DD10,DC10*(1+Inputs!$B$18))),DC10)))</f>
        <v>1931.82437411612</v>
      </c>
      <c r="DE10" s="11" t="n">
        <f aca="false">IF(DE$1&lt;Units!$P9,0,IF(AND(Units!$K9=0,DE$1=Units!$O9),Units!$R9,IF(AND(DE$1&gt;=Units!$Q9,MOD(DE$1-Units!$Q9,12)=0),IF(AND(Units!$L9=1,DE$1=Units!$Q9),IF(Units!$J9&lt;&gt;"",Units!$J9,Mkt!DE10),Inputs!$B$15*Mkt!DE10+(1-Inputs!$B$15)*MIN(Mkt!DE10,DD10*(1+Inputs!$B$18))),DD10)))</f>
        <v>1931.82437411612</v>
      </c>
      <c r="DF10" s="11" t="n">
        <f aca="false">IF(DF$1&lt;Units!$P9,0,IF(AND(Units!$K9=0,DF$1=Units!$O9),Units!$R9,IF(AND(DF$1&gt;=Units!$Q9,MOD(DF$1-Units!$Q9,12)=0),IF(AND(Units!$L9=1,DF$1=Units!$Q9),IF(Units!$J9&lt;&gt;"",Units!$J9,Mkt!DF10),Inputs!$B$15*Mkt!DF10+(1-Inputs!$B$15)*MIN(Mkt!DF10,DE10*(1+Inputs!$B$18))),DE10)))</f>
        <v>1931.82437411612</v>
      </c>
      <c r="DG10" s="11" t="n">
        <f aca="false">IF(DG$1&lt;Units!$P9,0,IF(AND(Units!$K9=0,DG$1=Units!$O9),Units!$R9,IF(AND(DG$1&gt;=Units!$Q9,MOD(DG$1-Units!$Q9,12)=0),IF(AND(Units!$L9=1,DG$1=Units!$Q9),IF(Units!$J9&lt;&gt;"",Units!$J9,Mkt!DG10),Inputs!$B$15*Mkt!DG10+(1-Inputs!$B$15)*MIN(Mkt!DG10,DF10*(1+Inputs!$B$18))),DF10)))</f>
        <v>1931.82437411612</v>
      </c>
      <c r="DH10" s="11" t="n">
        <f aca="false">IF(DH$1&lt;Units!$P9,0,IF(AND(Units!$K9=0,DH$1=Units!$O9),Units!$R9,IF(AND(DH$1&gt;=Units!$Q9,MOD(DH$1-Units!$Q9,12)=0),IF(AND(Units!$L9=1,DH$1=Units!$Q9),IF(Units!$J9&lt;&gt;"",Units!$J9,Mkt!DH10),Inputs!$B$15*Mkt!DH10+(1-Inputs!$B$15)*MIN(Mkt!DH10,DG10*(1+Inputs!$B$18))),DG10)))</f>
        <v>1931.82437411612</v>
      </c>
      <c r="DI10" s="11" t="n">
        <f aca="false">IF(DI$1&lt;Units!$P9,0,IF(AND(Units!$K9=0,DI$1=Units!$O9),Units!$R9,IF(AND(DI$1&gt;=Units!$Q9,MOD(DI$1-Units!$Q9,12)=0),IF(AND(Units!$L9=1,DI$1=Units!$Q9),IF(Units!$J9&lt;&gt;"",Units!$J9,Mkt!DI10),Inputs!$B$15*Mkt!DI10+(1-Inputs!$B$15)*MIN(Mkt!DI10,DH10*(1+Inputs!$B$18))),DH10)))</f>
        <v>1931.82437411612</v>
      </c>
      <c r="DJ10" s="11" t="n">
        <f aca="false">IF(DJ$1&lt;Units!$P9,0,IF(AND(Units!$K9=0,DJ$1=Units!$O9),Units!$R9,IF(AND(DJ$1&gt;=Units!$Q9,MOD(DJ$1-Units!$Q9,12)=0),IF(AND(Units!$L9=1,DJ$1=Units!$Q9),IF(Units!$J9&lt;&gt;"",Units!$J9,Mkt!DJ10),Inputs!$B$15*Mkt!DJ10+(1-Inputs!$B$15)*MIN(Mkt!DJ10,DI10*(1+Inputs!$B$18))),DI10)))</f>
        <v>1931.82437411612</v>
      </c>
      <c r="DK10" s="11" t="n">
        <f aca="false">IF(DK$1&lt;Units!$P9,0,IF(AND(Units!$K9=0,DK$1=Units!$O9),Units!$R9,IF(AND(DK$1&gt;=Units!$Q9,MOD(DK$1-Units!$Q9,12)=0),IF(AND(Units!$L9=1,DK$1=Units!$Q9),IF(Units!$J9&lt;&gt;"",Units!$J9,Mkt!DK10),Inputs!$B$15*Mkt!DK10+(1-Inputs!$B$15)*MIN(Mkt!DK10,DJ10*(1+Inputs!$B$18))),DJ10)))</f>
        <v>1931.82437411612</v>
      </c>
      <c r="DL10" s="11" t="n">
        <f aca="false">IF(DL$1&lt;Units!$P9,0,IF(AND(Units!$K9=0,DL$1=Units!$O9),Units!$R9,IF(AND(DL$1&gt;=Units!$Q9,MOD(DL$1-Units!$Q9,12)=0),IF(AND(Units!$L9=1,DL$1=Units!$Q9),IF(Units!$J9&lt;&gt;"",Units!$J9,Mkt!DL10),Inputs!$B$15*Mkt!DL10+(1-Inputs!$B$15)*MIN(Mkt!DL10,DK10*(1+Inputs!$B$18))),DK10)))</f>
        <v>1931.82437411612</v>
      </c>
      <c r="DM10" s="11" t="n">
        <f aca="false">IF(DM$1&lt;Units!$P9,0,IF(AND(Units!$K9=0,DM$1=Units!$O9),Units!$R9,IF(AND(DM$1&gt;=Units!$Q9,MOD(DM$1-Units!$Q9,12)=0),IF(AND(Units!$L9=1,DM$1=Units!$Q9),IF(Units!$J9&lt;&gt;"",Units!$J9,Mkt!DM10),Inputs!$B$15*Mkt!DM10+(1-Inputs!$B$15)*MIN(Mkt!DM10,DL10*(1+Inputs!$B$18))),DL10)))</f>
        <v>1931.82437411612</v>
      </c>
      <c r="DN10" s="11" t="n">
        <f aca="false">IF(DN$1&lt;Units!$P9,0,IF(AND(Units!$K9=0,DN$1=Units!$O9),Units!$R9,IF(AND(DN$1&gt;=Units!$Q9,MOD(DN$1-Units!$Q9,12)=0),IF(AND(Units!$L9=1,DN$1=Units!$Q9),IF(Units!$J9&lt;&gt;"",Units!$J9,Mkt!DN10),Inputs!$B$15*Mkt!DN10+(1-Inputs!$B$15)*MIN(Mkt!DN10,DM10*(1+Inputs!$B$18))),DM10)))</f>
        <v>1989.7791053396</v>
      </c>
      <c r="DO10" s="11" t="n">
        <f aca="false">IF(DO$1&lt;Units!$P9,0,IF(AND(Units!$K9=0,DO$1=Units!$O9),Units!$R9,IF(AND(DO$1&gt;=Units!$Q9,MOD(DO$1-Units!$Q9,12)=0),IF(AND(Units!$L9=1,DO$1=Units!$Q9),IF(Units!$J9&lt;&gt;"",Units!$J9,Mkt!DO10),Inputs!$B$15*Mkt!DO10+(1-Inputs!$B$15)*MIN(Mkt!DO10,DN10*(1+Inputs!$B$18))),DN10)))</f>
        <v>1989.7791053396</v>
      </c>
      <c r="DP10" s="11" t="n">
        <f aca="false">IF(DP$1&lt;Units!$P9,0,IF(AND(Units!$K9=0,DP$1=Units!$O9),Units!$R9,IF(AND(DP$1&gt;=Units!$Q9,MOD(DP$1-Units!$Q9,12)=0),IF(AND(Units!$L9=1,DP$1=Units!$Q9),IF(Units!$J9&lt;&gt;"",Units!$J9,Mkt!DP10),Inputs!$B$15*Mkt!DP10+(1-Inputs!$B$15)*MIN(Mkt!DP10,DO10*(1+Inputs!$B$18))),DO10)))</f>
        <v>1989.7791053396</v>
      </c>
      <c r="DQ10" s="11" t="n">
        <f aca="false">IF(DQ$1&lt;Units!$P9,0,IF(AND(Units!$K9=0,DQ$1=Units!$O9),Units!$R9,IF(AND(DQ$1&gt;=Units!$Q9,MOD(DQ$1-Units!$Q9,12)=0),IF(AND(Units!$L9=1,DQ$1=Units!$Q9),IF(Units!$J9&lt;&gt;"",Units!$J9,Mkt!DQ10),Inputs!$B$15*Mkt!DQ10+(1-Inputs!$B$15)*MIN(Mkt!DQ10,DP10*(1+Inputs!$B$18))),DP10)))</f>
        <v>1989.7791053396</v>
      </c>
      <c r="DR10" s="11" t="n">
        <f aca="false">IF(DR$1&lt;Units!$P9,0,IF(AND(Units!$K9=0,DR$1=Units!$O9),Units!$R9,IF(AND(DR$1&gt;=Units!$Q9,MOD(DR$1-Units!$Q9,12)=0),IF(AND(Units!$L9=1,DR$1=Units!$Q9),IF(Units!$J9&lt;&gt;"",Units!$J9,Mkt!DR10),Inputs!$B$15*Mkt!DR10+(1-Inputs!$B$15)*MIN(Mkt!DR10,DQ10*(1+Inputs!$B$18))),DQ10)))</f>
        <v>1989.7791053396</v>
      </c>
      <c r="DS10" s="11" t="n">
        <f aca="false">IF(DS$1&lt;Units!$P9,0,IF(AND(Units!$K9=0,DS$1=Units!$O9),Units!$R9,IF(AND(DS$1&gt;=Units!$Q9,MOD(DS$1-Units!$Q9,12)=0),IF(AND(Units!$L9=1,DS$1=Units!$Q9),IF(Units!$J9&lt;&gt;"",Units!$J9,Mkt!DS10),Inputs!$B$15*Mkt!DS10+(1-Inputs!$B$15)*MIN(Mkt!DS10,DR10*(1+Inputs!$B$18))),DR10)))</f>
        <v>1989.7791053396</v>
      </c>
      <c r="DT10" s="11" t="n">
        <f aca="false">IF(DT$1&lt;Units!$P9,0,IF(AND(Units!$K9=0,DT$1=Units!$O9),Units!$R9,IF(AND(DT$1&gt;=Units!$Q9,MOD(DT$1-Units!$Q9,12)=0),IF(AND(Units!$L9=1,DT$1=Units!$Q9),IF(Units!$J9&lt;&gt;"",Units!$J9,Mkt!DT10),Inputs!$B$15*Mkt!DT10+(1-Inputs!$B$15)*MIN(Mkt!DT10,DS10*(1+Inputs!$B$18))),DS10)))</f>
        <v>1989.7791053396</v>
      </c>
      <c r="DU10" s="11" t="n">
        <f aca="false">IF(DU$1&lt;Units!$P9,0,IF(AND(Units!$K9=0,DU$1=Units!$O9),Units!$R9,IF(AND(DU$1&gt;=Units!$Q9,MOD(DU$1-Units!$Q9,12)=0),IF(AND(Units!$L9=1,DU$1=Units!$Q9),IF(Units!$J9&lt;&gt;"",Units!$J9,Mkt!DU10),Inputs!$B$15*Mkt!DU10+(1-Inputs!$B$15)*MIN(Mkt!DU10,DT10*(1+Inputs!$B$18))),DT10)))</f>
        <v>1989.7791053396</v>
      </c>
      <c r="DV10" s="11" t="n">
        <f aca="false">IF(DV$1&lt;Units!$P9,0,IF(AND(Units!$K9=0,DV$1=Units!$O9),Units!$R9,IF(AND(DV$1&gt;=Units!$Q9,MOD(DV$1-Units!$Q9,12)=0),IF(AND(Units!$L9=1,DV$1=Units!$Q9),IF(Units!$J9&lt;&gt;"",Units!$J9,Mkt!DV10),Inputs!$B$15*Mkt!DV10+(1-Inputs!$B$15)*MIN(Mkt!DV10,DU10*(1+Inputs!$B$18))),DU10)))</f>
        <v>1989.7791053396</v>
      </c>
      <c r="DW10" s="11" t="n">
        <f aca="false">IF(DW$1&lt;Units!$P9,0,IF(AND(Units!$K9=0,DW$1=Units!$O9),Units!$R9,IF(AND(DW$1&gt;=Units!$Q9,MOD(DW$1-Units!$Q9,12)=0),IF(AND(Units!$L9=1,DW$1=Units!$Q9),IF(Units!$J9&lt;&gt;"",Units!$J9,Mkt!DW10),Inputs!$B$15*Mkt!DW10+(1-Inputs!$B$15)*MIN(Mkt!DW10,DV10*(1+Inputs!$B$18))),DV10)))</f>
        <v>1989.7791053396</v>
      </c>
      <c r="DX10" s="11" t="n">
        <f aca="false">IF(DX$1&lt;Units!$P9,0,IF(AND(Units!$K9=0,DX$1=Units!$O9),Units!$R9,IF(AND(DX$1&gt;=Units!$Q9,MOD(DX$1-Units!$Q9,12)=0),IF(AND(Units!$L9=1,DX$1=Units!$Q9),IF(Units!$J9&lt;&gt;"",Units!$J9,Mkt!DX10),Inputs!$B$15*Mkt!DX10+(1-Inputs!$B$15)*MIN(Mkt!DX10,DW10*(1+Inputs!$B$18))),DW10)))</f>
        <v>1989.7791053396</v>
      </c>
      <c r="DY10" s="11" t="n">
        <f aca="false">IF(DY$1&lt;Units!$P9,0,IF(AND(Units!$K9=0,DY$1=Units!$O9),Units!$R9,IF(AND(DY$1&gt;=Units!$Q9,MOD(DY$1-Units!$Q9,12)=0),IF(AND(Units!$L9=1,DY$1=Units!$Q9),IF(Units!$J9&lt;&gt;"",Units!$J9,Mkt!DY10),Inputs!$B$15*Mkt!DY10+(1-Inputs!$B$15)*MIN(Mkt!DY10,DX10*(1+Inputs!$B$18))),DX10)))</f>
        <v>1989.7791053396</v>
      </c>
      <c r="DZ10" s="11" t="n">
        <f aca="false">IF(DZ$1&lt;Units!$P9,0,IF(AND(Units!$K9=0,DZ$1=Units!$O9),Units!$R9,IF(AND(DZ$1&gt;=Units!$Q9,MOD(DZ$1-Units!$Q9,12)=0),IF(AND(Units!$L9=1,DZ$1=Units!$Q9),IF(Units!$J9&lt;&gt;"",Units!$J9,Mkt!DZ10),Inputs!$B$15*Mkt!DZ10+(1-Inputs!$B$15)*MIN(Mkt!DZ10,DY10*(1+Inputs!$B$18))),DY10)))</f>
        <v>2049.47247849979</v>
      </c>
      <c r="EA10" s="11" t="n">
        <f aca="false">IF(EA$1&lt;Units!$P9,0,IF(AND(Units!$K9=0,EA$1=Units!$O9),Units!$R9,IF(AND(EA$1&gt;=Units!$Q9,MOD(EA$1-Units!$Q9,12)=0),IF(AND(Units!$L9=1,EA$1=Units!$Q9),IF(Units!$J9&lt;&gt;"",Units!$J9,Mkt!EA10),Inputs!$B$15*Mkt!EA10+(1-Inputs!$B$15)*MIN(Mkt!EA10,DZ10*(1+Inputs!$B$18))),DZ10)))</f>
        <v>2049.47247849979</v>
      </c>
      <c r="EB10" s="11" t="n">
        <f aca="false">IF(EB$1&lt;Units!$P9,0,IF(AND(Units!$K9=0,EB$1=Units!$O9),Units!$R9,IF(AND(EB$1&gt;=Units!$Q9,MOD(EB$1-Units!$Q9,12)=0),IF(AND(Units!$L9=1,EB$1=Units!$Q9),IF(Units!$J9&lt;&gt;"",Units!$J9,Mkt!EB10),Inputs!$B$15*Mkt!EB10+(1-Inputs!$B$15)*MIN(Mkt!EB10,EA10*(1+Inputs!$B$18))),EA10)))</f>
        <v>2049.47247849979</v>
      </c>
      <c r="EC10" s="11" t="n">
        <f aca="false">IF(EC$1&lt;Units!$P9,0,IF(AND(Units!$K9=0,EC$1=Units!$O9),Units!$R9,IF(AND(EC$1&gt;=Units!$Q9,MOD(EC$1-Units!$Q9,12)=0),IF(AND(Units!$L9=1,EC$1=Units!$Q9),IF(Units!$J9&lt;&gt;"",Units!$J9,Mkt!EC10),Inputs!$B$15*Mkt!EC10+(1-Inputs!$B$15)*MIN(Mkt!EC10,EB10*(1+Inputs!$B$18))),EB10)))</f>
        <v>2049.47247849979</v>
      </c>
      <c r="ED10" s="11" t="n">
        <f aca="false">IF(ED$1&lt;Units!$P9,0,IF(AND(Units!$K9=0,ED$1=Units!$O9),Units!$R9,IF(AND(ED$1&gt;=Units!$Q9,MOD(ED$1-Units!$Q9,12)=0),IF(AND(Units!$L9=1,ED$1=Units!$Q9),IF(Units!$J9&lt;&gt;"",Units!$J9,Mkt!ED10),Inputs!$B$15*Mkt!ED10+(1-Inputs!$B$15)*MIN(Mkt!ED10,EC10*(1+Inputs!$B$18))),EC10)))</f>
        <v>2049.47247849979</v>
      </c>
    </row>
    <row r="11" customFormat="false" ht="15" hidden="false" customHeight="false" outlineLevel="0" collapsed="false">
      <c r="A11" s="22" t="n">
        <f aca="false">Units!A10</f>
        <v>109</v>
      </c>
      <c r="B11" s="24" t="n">
        <f aca="false">IF(Units!K10=1,Units!F10,0)</f>
        <v>1565</v>
      </c>
      <c r="C11" s="11" t="n">
        <f aca="false">IF(C$1&lt;Units!$P10,0,IF(AND(Units!$K10=0,C$1=Units!$O10),Units!$R10,IF(AND(C$1&gt;=Units!$Q10,MOD(C$1-Units!$Q10,12)=0),IF(AND(Units!$L10=1,C$1=Units!$Q10),IF(Units!$J10&lt;&gt;"",Units!$J10,Mkt!C11),Inputs!$B$15*Mkt!C11+(1-Inputs!$B$15)*MIN(Mkt!C11,B11*(1+Inputs!$B$18))),B11)))</f>
        <v>1565</v>
      </c>
      <c r="D11" s="11" t="n">
        <f aca="false">IF(D$1&lt;Units!$P10,0,IF(AND(Units!$K10=0,D$1=Units!$O10),Units!$R10,IF(AND(D$1&gt;=Units!$Q10,MOD(D$1-Units!$Q10,12)=0),IF(AND(Units!$L10=1,D$1=Units!$Q10),IF(Units!$J10&lt;&gt;"",Units!$J10,Mkt!D11),Inputs!$B$15*Mkt!D11+(1-Inputs!$B$15)*MIN(Mkt!D11,C11*(1+Inputs!$B$18))),C11)))</f>
        <v>1565</v>
      </c>
      <c r="E11" s="11" t="n">
        <f aca="false">IF(E$1&lt;Units!$P10,0,IF(AND(Units!$K10=0,E$1=Units!$O10),Units!$R10,IF(AND(E$1&gt;=Units!$Q10,MOD(E$1-Units!$Q10,12)=0),IF(AND(Units!$L10=1,E$1=Units!$Q10),IF(Units!$J10&lt;&gt;"",Units!$J10,Mkt!E11),Inputs!$B$15*Mkt!E11+(1-Inputs!$B$15)*MIN(Mkt!E11,D11*(1+Inputs!$B$18))),D11)))</f>
        <v>1565</v>
      </c>
      <c r="F11" s="11" t="n">
        <f aca="false">IF(F$1&lt;Units!$P10,0,IF(AND(Units!$K10=0,F$1=Units!$O10),Units!$R10,IF(AND(F$1&gt;=Units!$Q10,MOD(F$1-Units!$Q10,12)=0),IF(AND(Units!$L10=1,F$1=Units!$Q10),IF(Units!$J10&lt;&gt;"",Units!$J10,Mkt!F11),Inputs!$B$15*Mkt!F11+(1-Inputs!$B$15)*MIN(Mkt!F11,E11*(1+Inputs!$B$18))),E11)))</f>
        <v>1565</v>
      </c>
      <c r="G11" s="11" t="n">
        <f aca="false">IF(G$1&lt;Units!$P10,0,IF(AND(Units!$K10=0,G$1=Units!$O10),Units!$R10,IF(AND(G$1&gt;=Units!$Q10,MOD(G$1-Units!$Q10,12)=0),IF(AND(Units!$L10=1,G$1=Units!$Q10),IF(Units!$J10&lt;&gt;"",Units!$J10,Mkt!G11),Inputs!$B$15*Mkt!G11+(1-Inputs!$B$15)*MIN(Mkt!G11,F11*(1+Inputs!$B$18))),F11)))</f>
        <v>1565</v>
      </c>
      <c r="H11" s="11" t="n">
        <f aca="false">IF(H$1&lt;Units!$P10,0,IF(AND(Units!$K10=0,H$1=Units!$O10),Units!$R10,IF(AND(H$1&gt;=Units!$Q10,MOD(H$1-Units!$Q10,12)=0),IF(AND(Units!$L10=1,H$1=Units!$Q10),IF(Units!$J10&lt;&gt;"",Units!$J10,Mkt!H11),Inputs!$B$15*Mkt!H11+(1-Inputs!$B$15)*MIN(Mkt!H11,G11*(1+Inputs!$B$18))),G11)))</f>
        <v>1565</v>
      </c>
      <c r="I11" s="11" t="n">
        <f aca="false">IF(I$1&lt;Units!$P10,0,IF(AND(Units!$K10=0,I$1=Units!$O10),Units!$R10,IF(AND(I$1&gt;=Units!$Q10,MOD(I$1-Units!$Q10,12)=0),IF(AND(Units!$L10=1,I$1=Units!$Q10),IF(Units!$J10&lt;&gt;"",Units!$J10,Mkt!I11),Inputs!$B$15*Mkt!I11+(1-Inputs!$B$15)*MIN(Mkt!I11,H11*(1+Inputs!$B$18))),H11)))</f>
        <v>1565</v>
      </c>
      <c r="J11" s="11" t="n">
        <f aca="false">IF(J$1&lt;Units!$P10,0,IF(AND(Units!$K10=0,J$1=Units!$O10),Units!$R10,IF(AND(J$1&gt;=Units!$Q10,MOD(J$1-Units!$Q10,12)=0),IF(AND(Units!$L10=1,J$1=Units!$Q10),IF(Units!$J10&lt;&gt;"",Units!$J10,Mkt!J11),Inputs!$B$15*Mkt!J11+(1-Inputs!$B$15)*MIN(Mkt!J11,I11*(1+Inputs!$B$18))),I11)))</f>
        <v>1565</v>
      </c>
      <c r="K11" s="11" t="n">
        <f aca="false">IF(K$1&lt;Units!$P10,0,IF(AND(Units!$K10=0,K$1=Units!$O10),Units!$R10,IF(AND(K$1&gt;=Units!$Q10,MOD(K$1-Units!$Q10,12)=0),IF(AND(Units!$L10=1,K$1=Units!$Q10),IF(Units!$J10&lt;&gt;"",Units!$J10,Mkt!K11),Inputs!$B$15*Mkt!K11+(1-Inputs!$B$15)*MIN(Mkt!K11,J11*(1+Inputs!$B$18))),J11)))</f>
        <v>1525</v>
      </c>
      <c r="L11" s="11" t="n">
        <f aca="false">IF(L$1&lt;Units!$P10,0,IF(AND(Units!$K10=0,L$1=Units!$O10),Units!$R10,IF(AND(L$1&gt;=Units!$Q10,MOD(L$1-Units!$Q10,12)=0),IF(AND(Units!$L10=1,L$1=Units!$Q10),IF(Units!$J10&lt;&gt;"",Units!$J10,Mkt!L11),Inputs!$B$15*Mkt!L11+(1-Inputs!$B$15)*MIN(Mkt!L11,K11*(1+Inputs!$B$18))),K11)))</f>
        <v>1525</v>
      </c>
      <c r="M11" s="11" t="n">
        <f aca="false">IF(M$1&lt;Units!$P10,0,IF(AND(Units!$K10=0,M$1=Units!$O10),Units!$R10,IF(AND(M$1&gt;=Units!$Q10,MOD(M$1-Units!$Q10,12)=0),IF(AND(Units!$L10=1,M$1=Units!$Q10),IF(Units!$J10&lt;&gt;"",Units!$J10,Mkt!M11),Inputs!$B$15*Mkt!M11+(1-Inputs!$B$15)*MIN(Mkt!M11,L11*(1+Inputs!$B$18))),L11)))</f>
        <v>1525</v>
      </c>
      <c r="N11" s="11" t="n">
        <f aca="false">IF(N$1&lt;Units!$P10,0,IF(AND(Units!$K10=0,N$1=Units!$O10),Units!$R10,IF(AND(N$1&gt;=Units!$Q10,MOD(N$1-Units!$Q10,12)=0),IF(AND(Units!$L10=1,N$1=Units!$Q10),IF(Units!$J10&lt;&gt;"",Units!$J10,Mkt!N11),Inputs!$B$15*Mkt!N11+(1-Inputs!$B$15)*MIN(Mkt!N11,M11*(1+Inputs!$B$18))),M11)))</f>
        <v>1525</v>
      </c>
      <c r="O11" s="11" t="n">
        <f aca="false">IF(O$1&lt;Units!$P10,0,IF(AND(Units!$K10=0,O$1=Units!$O10),Units!$R10,IF(AND(O$1&gt;=Units!$Q10,MOD(O$1-Units!$Q10,12)=0),IF(AND(Units!$L10=1,O$1=Units!$Q10),IF(Units!$J10&lt;&gt;"",Units!$J10,Mkt!O11),Inputs!$B$15*Mkt!O11+(1-Inputs!$B$15)*MIN(Mkt!O11,N11*(1+Inputs!$B$18))),N11)))</f>
        <v>1525</v>
      </c>
      <c r="P11" s="11" t="n">
        <f aca="false">IF(P$1&lt;Units!$P10,0,IF(AND(Units!$K10=0,P$1=Units!$O10),Units!$R10,IF(AND(P$1&gt;=Units!$Q10,MOD(P$1-Units!$Q10,12)=0),IF(AND(Units!$L10=1,P$1=Units!$Q10),IF(Units!$J10&lt;&gt;"",Units!$J10,Mkt!P11),Inputs!$B$15*Mkt!P11+(1-Inputs!$B$15)*MIN(Mkt!P11,O11*(1+Inputs!$B$18))),O11)))</f>
        <v>1525</v>
      </c>
      <c r="Q11" s="11" t="n">
        <f aca="false">IF(Q$1&lt;Units!$P10,0,IF(AND(Units!$K10=0,Q$1=Units!$O10),Units!$R10,IF(AND(Q$1&gt;=Units!$Q10,MOD(Q$1-Units!$Q10,12)=0),IF(AND(Units!$L10=1,Q$1=Units!$Q10),IF(Units!$J10&lt;&gt;"",Units!$J10,Mkt!Q11),Inputs!$B$15*Mkt!Q11+(1-Inputs!$B$15)*MIN(Mkt!Q11,P11*(1+Inputs!$B$18))),P11)))</f>
        <v>1525</v>
      </c>
      <c r="R11" s="11" t="n">
        <f aca="false">IF(R$1&lt;Units!$P10,0,IF(AND(Units!$K10=0,R$1=Units!$O10),Units!$R10,IF(AND(R$1&gt;=Units!$Q10,MOD(R$1-Units!$Q10,12)=0),IF(AND(Units!$L10=1,R$1=Units!$Q10),IF(Units!$J10&lt;&gt;"",Units!$J10,Mkt!R11),Inputs!$B$15*Mkt!R11+(1-Inputs!$B$15)*MIN(Mkt!R11,Q11*(1+Inputs!$B$18))),Q11)))</f>
        <v>1525</v>
      </c>
      <c r="S11" s="11" t="n">
        <f aca="false">IF(S$1&lt;Units!$P10,0,IF(AND(Units!$K10=0,S$1=Units!$O10),Units!$R10,IF(AND(S$1&gt;=Units!$Q10,MOD(S$1-Units!$Q10,12)=0),IF(AND(Units!$L10=1,S$1=Units!$Q10),IF(Units!$J10&lt;&gt;"",Units!$J10,Mkt!S11),Inputs!$B$15*Mkt!S11+(1-Inputs!$B$15)*MIN(Mkt!S11,R11*(1+Inputs!$B$18))),R11)))</f>
        <v>1525</v>
      </c>
      <c r="T11" s="11" t="n">
        <f aca="false">IF(T$1&lt;Units!$P10,0,IF(AND(Units!$K10=0,T$1=Units!$O10),Units!$R10,IF(AND(T$1&gt;=Units!$Q10,MOD(T$1-Units!$Q10,12)=0),IF(AND(Units!$L10=1,T$1=Units!$Q10),IF(Units!$J10&lt;&gt;"",Units!$J10,Mkt!T11),Inputs!$B$15*Mkt!T11+(1-Inputs!$B$15)*MIN(Mkt!T11,S11*(1+Inputs!$B$18))),S11)))</f>
        <v>1525</v>
      </c>
      <c r="U11" s="11" t="n">
        <f aca="false">IF(U$1&lt;Units!$P10,0,IF(AND(Units!$K10=0,U$1=Units!$O10),Units!$R10,IF(AND(U$1&gt;=Units!$Q10,MOD(U$1-Units!$Q10,12)=0),IF(AND(Units!$L10=1,U$1=Units!$Q10),IF(Units!$J10&lt;&gt;"",Units!$J10,Mkt!U11),Inputs!$B$15*Mkt!U11+(1-Inputs!$B$15)*MIN(Mkt!U11,T11*(1+Inputs!$B$18))),T11)))</f>
        <v>1525</v>
      </c>
      <c r="V11" s="11" t="n">
        <f aca="false">IF(V$1&lt;Units!$P10,0,IF(AND(Units!$K10=0,V$1=Units!$O10),Units!$R10,IF(AND(V$1&gt;=Units!$Q10,MOD(V$1-Units!$Q10,12)=0),IF(AND(Units!$L10=1,V$1=Units!$Q10),IF(Units!$J10&lt;&gt;"",Units!$J10,Mkt!V11),Inputs!$B$15*Mkt!V11+(1-Inputs!$B$15)*MIN(Mkt!V11,U11*(1+Inputs!$B$18))),U11)))</f>
        <v>1525</v>
      </c>
      <c r="W11" s="11" t="n">
        <f aca="false">IF(W$1&lt;Units!$P10,0,IF(AND(Units!$K10=0,W$1=Units!$O10),Units!$R10,IF(AND(W$1&gt;=Units!$Q10,MOD(W$1-Units!$Q10,12)=0),IF(AND(Units!$L10=1,W$1=Units!$Q10),IF(Units!$J10&lt;&gt;"",Units!$J10,Mkt!W11),Inputs!$B$15*Mkt!W11+(1-Inputs!$B$15)*MIN(Mkt!W11,V11*(1+Inputs!$B$18))),V11)))</f>
        <v>1570.75</v>
      </c>
      <c r="X11" s="11" t="n">
        <f aca="false">IF(X$1&lt;Units!$P10,0,IF(AND(Units!$K10=0,X$1=Units!$O10),Units!$R10,IF(AND(X$1&gt;=Units!$Q10,MOD(X$1-Units!$Q10,12)=0),IF(AND(Units!$L10=1,X$1=Units!$Q10),IF(Units!$J10&lt;&gt;"",Units!$J10,Mkt!X11),Inputs!$B$15*Mkt!X11+(1-Inputs!$B$15)*MIN(Mkt!X11,W11*(1+Inputs!$B$18))),W11)))</f>
        <v>1570.75</v>
      </c>
      <c r="Y11" s="11" t="n">
        <f aca="false">IF(Y$1&lt;Units!$P10,0,IF(AND(Units!$K10=0,Y$1=Units!$O10),Units!$R10,IF(AND(Y$1&gt;=Units!$Q10,MOD(Y$1-Units!$Q10,12)=0),IF(AND(Units!$L10=1,Y$1=Units!$Q10),IF(Units!$J10&lt;&gt;"",Units!$J10,Mkt!Y11),Inputs!$B$15*Mkt!Y11+(1-Inputs!$B$15)*MIN(Mkt!Y11,X11*(1+Inputs!$B$18))),X11)))</f>
        <v>1570.75</v>
      </c>
      <c r="Z11" s="11" t="n">
        <f aca="false">IF(Z$1&lt;Units!$P10,0,IF(AND(Units!$K10=0,Z$1=Units!$O10),Units!$R10,IF(AND(Z$1&gt;=Units!$Q10,MOD(Z$1-Units!$Q10,12)=0),IF(AND(Units!$L10=1,Z$1=Units!$Q10),IF(Units!$J10&lt;&gt;"",Units!$J10,Mkt!Z11),Inputs!$B$15*Mkt!Z11+(1-Inputs!$B$15)*MIN(Mkt!Z11,Y11*(1+Inputs!$B$18))),Y11)))</f>
        <v>1570.75</v>
      </c>
      <c r="AA11" s="11" t="n">
        <f aca="false">IF(AA$1&lt;Units!$P10,0,IF(AND(Units!$K10=0,AA$1=Units!$O10),Units!$R10,IF(AND(AA$1&gt;=Units!$Q10,MOD(AA$1-Units!$Q10,12)=0),IF(AND(Units!$L10=1,AA$1=Units!$Q10),IF(Units!$J10&lt;&gt;"",Units!$J10,Mkt!AA11),Inputs!$B$15*Mkt!AA11+(1-Inputs!$B$15)*MIN(Mkt!AA11,Z11*(1+Inputs!$B$18))),Z11)))</f>
        <v>1570.75</v>
      </c>
      <c r="AB11" s="11" t="n">
        <f aca="false">IF(AB$1&lt;Units!$P10,0,IF(AND(Units!$K10=0,AB$1=Units!$O10),Units!$R10,IF(AND(AB$1&gt;=Units!$Q10,MOD(AB$1-Units!$Q10,12)=0),IF(AND(Units!$L10=1,AB$1=Units!$Q10),IF(Units!$J10&lt;&gt;"",Units!$J10,Mkt!AB11),Inputs!$B$15*Mkt!AB11+(1-Inputs!$B$15)*MIN(Mkt!AB11,AA11*(1+Inputs!$B$18))),AA11)))</f>
        <v>1570.75</v>
      </c>
      <c r="AC11" s="11" t="n">
        <f aca="false">IF(AC$1&lt;Units!$P10,0,IF(AND(Units!$K10=0,AC$1=Units!$O10),Units!$R10,IF(AND(AC$1&gt;=Units!$Q10,MOD(AC$1-Units!$Q10,12)=0),IF(AND(Units!$L10=1,AC$1=Units!$Q10),IF(Units!$J10&lt;&gt;"",Units!$J10,Mkt!AC11),Inputs!$B$15*Mkt!AC11+(1-Inputs!$B$15)*MIN(Mkt!AC11,AB11*(1+Inputs!$B$18))),AB11)))</f>
        <v>1570.75</v>
      </c>
      <c r="AD11" s="11" t="n">
        <f aca="false">IF(AD$1&lt;Units!$P10,0,IF(AND(Units!$K10=0,AD$1=Units!$O10),Units!$R10,IF(AND(AD$1&gt;=Units!$Q10,MOD(AD$1-Units!$Q10,12)=0),IF(AND(Units!$L10=1,AD$1=Units!$Q10),IF(Units!$J10&lt;&gt;"",Units!$J10,Mkt!AD11),Inputs!$B$15*Mkt!AD11+(1-Inputs!$B$15)*MIN(Mkt!AD11,AC11*(1+Inputs!$B$18))),AC11)))</f>
        <v>1570.75</v>
      </c>
      <c r="AE11" s="11" t="n">
        <f aca="false">IF(AE$1&lt;Units!$P10,0,IF(AND(Units!$K10=0,AE$1=Units!$O10),Units!$R10,IF(AND(AE$1&gt;=Units!$Q10,MOD(AE$1-Units!$Q10,12)=0),IF(AND(Units!$L10=1,AE$1=Units!$Q10),IF(Units!$J10&lt;&gt;"",Units!$J10,Mkt!AE11),Inputs!$B$15*Mkt!AE11+(1-Inputs!$B$15)*MIN(Mkt!AE11,AD11*(1+Inputs!$B$18))),AD11)))</f>
        <v>1570.75</v>
      </c>
      <c r="AF11" s="11" t="n">
        <f aca="false">IF(AF$1&lt;Units!$P10,0,IF(AND(Units!$K10=0,AF$1=Units!$O10),Units!$R10,IF(AND(AF$1&gt;=Units!$Q10,MOD(AF$1-Units!$Q10,12)=0),IF(AND(Units!$L10=1,AF$1=Units!$Q10),IF(Units!$J10&lt;&gt;"",Units!$J10,Mkt!AF11),Inputs!$B$15*Mkt!AF11+(1-Inputs!$B$15)*MIN(Mkt!AF11,AE11*(1+Inputs!$B$18))),AE11)))</f>
        <v>1570.75</v>
      </c>
      <c r="AG11" s="11" t="n">
        <f aca="false">IF(AG$1&lt;Units!$P10,0,IF(AND(Units!$K10=0,AG$1=Units!$O10),Units!$R10,IF(AND(AG$1&gt;=Units!$Q10,MOD(AG$1-Units!$Q10,12)=0),IF(AND(Units!$L10=1,AG$1=Units!$Q10),IF(Units!$J10&lt;&gt;"",Units!$J10,Mkt!AG11),Inputs!$B$15*Mkt!AG11+(1-Inputs!$B$15)*MIN(Mkt!AG11,AF11*(1+Inputs!$B$18))),AF11)))</f>
        <v>1570.75</v>
      </c>
      <c r="AH11" s="11" t="n">
        <f aca="false">IF(AH$1&lt;Units!$P10,0,IF(AND(Units!$K10=0,AH$1=Units!$O10),Units!$R10,IF(AND(AH$1&gt;=Units!$Q10,MOD(AH$1-Units!$Q10,12)=0),IF(AND(Units!$L10=1,AH$1=Units!$Q10),IF(Units!$J10&lt;&gt;"",Units!$J10,Mkt!AH11),Inputs!$B$15*Mkt!AH11+(1-Inputs!$B$15)*MIN(Mkt!AH11,AG11*(1+Inputs!$B$18))),AG11)))</f>
        <v>1570.75</v>
      </c>
      <c r="AI11" s="11" t="n">
        <f aca="false">IF(AI$1&lt;Units!$P10,0,IF(AND(Units!$K10=0,AI$1=Units!$O10),Units!$R10,IF(AND(AI$1&gt;=Units!$Q10,MOD(AI$1-Units!$Q10,12)=0),IF(AND(Units!$L10=1,AI$1=Units!$Q10),IF(Units!$J10&lt;&gt;"",Units!$J10,Mkt!AI11),Inputs!$B$15*Mkt!AI11+(1-Inputs!$B$15)*MIN(Mkt!AI11,AH11*(1+Inputs!$B$18))),AH11)))</f>
        <v>1617.8725</v>
      </c>
      <c r="AJ11" s="11" t="n">
        <f aca="false">IF(AJ$1&lt;Units!$P10,0,IF(AND(Units!$K10=0,AJ$1=Units!$O10),Units!$R10,IF(AND(AJ$1&gt;=Units!$Q10,MOD(AJ$1-Units!$Q10,12)=0),IF(AND(Units!$L10=1,AJ$1=Units!$Q10),IF(Units!$J10&lt;&gt;"",Units!$J10,Mkt!AJ11),Inputs!$B$15*Mkt!AJ11+(1-Inputs!$B$15)*MIN(Mkt!AJ11,AI11*(1+Inputs!$B$18))),AI11)))</f>
        <v>1617.8725</v>
      </c>
      <c r="AK11" s="11" t="n">
        <f aca="false">IF(AK$1&lt;Units!$P10,0,IF(AND(Units!$K10=0,AK$1=Units!$O10),Units!$R10,IF(AND(AK$1&gt;=Units!$Q10,MOD(AK$1-Units!$Q10,12)=0),IF(AND(Units!$L10=1,AK$1=Units!$Q10),IF(Units!$J10&lt;&gt;"",Units!$J10,Mkt!AK11),Inputs!$B$15*Mkt!AK11+(1-Inputs!$B$15)*MIN(Mkt!AK11,AJ11*(1+Inputs!$B$18))),AJ11)))</f>
        <v>1617.8725</v>
      </c>
      <c r="AL11" s="11" t="n">
        <f aca="false">IF(AL$1&lt;Units!$P10,0,IF(AND(Units!$K10=0,AL$1=Units!$O10),Units!$R10,IF(AND(AL$1&gt;=Units!$Q10,MOD(AL$1-Units!$Q10,12)=0),IF(AND(Units!$L10=1,AL$1=Units!$Q10),IF(Units!$J10&lt;&gt;"",Units!$J10,Mkt!AL11),Inputs!$B$15*Mkt!AL11+(1-Inputs!$B$15)*MIN(Mkt!AL11,AK11*(1+Inputs!$B$18))),AK11)))</f>
        <v>1617.8725</v>
      </c>
      <c r="AM11" s="11" t="n">
        <f aca="false">IF(AM$1&lt;Units!$P10,0,IF(AND(Units!$K10=0,AM$1=Units!$O10),Units!$R10,IF(AND(AM$1&gt;=Units!$Q10,MOD(AM$1-Units!$Q10,12)=0),IF(AND(Units!$L10=1,AM$1=Units!$Q10),IF(Units!$J10&lt;&gt;"",Units!$J10,Mkt!AM11),Inputs!$B$15*Mkt!AM11+(1-Inputs!$B$15)*MIN(Mkt!AM11,AL11*(1+Inputs!$B$18))),AL11)))</f>
        <v>1617.8725</v>
      </c>
      <c r="AN11" s="11" t="n">
        <f aca="false">IF(AN$1&lt;Units!$P10,0,IF(AND(Units!$K10=0,AN$1=Units!$O10),Units!$R10,IF(AND(AN$1&gt;=Units!$Q10,MOD(AN$1-Units!$Q10,12)=0),IF(AND(Units!$L10=1,AN$1=Units!$Q10),IF(Units!$J10&lt;&gt;"",Units!$J10,Mkt!AN11),Inputs!$B$15*Mkt!AN11+(1-Inputs!$B$15)*MIN(Mkt!AN11,AM11*(1+Inputs!$B$18))),AM11)))</f>
        <v>1617.8725</v>
      </c>
      <c r="AO11" s="11" t="n">
        <f aca="false">IF(AO$1&lt;Units!$P10,0,IF(AND(Units!$K10=0,AO$1=Units!$O10),Units!$R10,IF(AND(AO$1&gt;=Units!$Q10,MOD(AO$1-Units!$Q10,12)=0),IF(AND(Units!$L10=1,AO$1=Units!$Q10),IF(Units!$J10&lt;&gt;"",Units!$J10,Mkt!AO11),Inputs!$B$15*Mkt!AO11+(1-Inputs!$B$15)*MIN(Mkt!AO11,AN11*(1+Inputs!$B$18))),AN11)))</f>
        <v>1617.8725</v>
      </c>
      <c r="AP11" s="11" t="n">
        <f aca="false">IF(AP$1&lt;Units!$P10,0,IF(AND(Units!$K10=0,AP$1=Units!$O10),Units!$R10,IF(AND(AP$1&gt;=Units!$Q10,MOD(AP$1-Units!$Q10,12)=0),IF(AND(Units!$L10=1,AP$1=Units!$Q10),IF(Units!$J10&lt;&gt;"",Units!$J10,Mkt!AP11),Inputs!$B$15*Mkt!AP11+(1-Inputs!$B$15)*MIN(Mkt!AP11,AO11*(1+Inputs!$B$18))),AO11)))</f>
        <v>1617.8725</v>
      </c>
      <c r="AQ11" s="11" t="n">
        <f aca="false">IF(AQ$1&lt;Units!$P10,0,IF(AND(Units!$K10=0,AQ$1=Units!$O10),Units!$R10,IF(AND(AQ$1&gt;=Units!$Q10,MOD(AQ$1-Units!$Q10,12)=0),IF(AND(Units!$L10=1,AQ$1=Units!$Q10),IF(Units!$J10&lt;&gt;"",Units!$J10,Mkt!AQ11),Inputs!$B$15*Mkt!AQ11+(1-Inputs!$B$15)*MIN(Mkt!AQ11,AP11*(1+Inputs!$B$18))),AP11)))</f>
        <v>1617.8725</v>
      </c>
      <c r="AR11" s="11" t="n">
        <f aca="false">IF(AR$1&lt;Units!$P10,0,IF(AND(Units!$K10=0,AR$1=Units!$O10),Units!$R10,IF(AND(AR$1&gt;=Units!$Q10,MOD(AR$1-Units!$Q10,12)=0),IF(AND(Units!$L10=1,AR$1=Units!$Q10),IF(Units!$J10&lt;&gt;"",Units!$J10,Mkt!AR11),Inputs!$B$15*Mkt!AR11+(1-Inputs!$B$15)*MIN(Mkt!AR11,AQ11*(1+Inputs!$B$18))),AQ11)))</f>
        <v>1617.8725</v>
      </c>
      <c r="AS11" s="11" t="n">
        <f aca="false">IF(AS$1&lt;Units!$P10,0,IF(AND(Units!$K10=0,AS$1=Units!$O10),Units!$R10,IF(AND(AS$1&gt;=Units!$Q10,MOD(AS$1-Units!$Q10,12)=0),IF(AND(Units!$L10=1,AS$1=Units!$Q10),IF(Units!$J10&lt;&gt;"",Units!$J10,Mkt!AS11),Inputs!$B$15*Mkt!AS11+(1-Inputs!$B$15)*MIN(Mkt!AS11,AR11*(1+Inputs!$B$18))),AR11)))</f>
        <v>1617.8725</v>
      </c>
      <c r="AT11" s="11" t="n">
        <f aca="false">IF(AT$1&lt;Units!$P10,0,IF(AND(Units!$K10=0,AT$1=Units!$O10),Units!$R10,IF(AND(AT$1&gt;=Units!$Q10,MOD(AT$1-Units!$Q10,12)=0),IF(AND(Units!$L10=1,AT$1=Units!$Q10),IF(Units!$J10&lt;&gt;"",Units!$J10,Mkt!AT11),Inputs!$B$15*Mkt!AT11+(1-Inputs!$B$15)*MIN(Mkt!AT11,AS11*(1+Inputs!$B$18))),AS11)))</f>
        <v>1617.8725</v>
      </c>
      <c r="AU11" s="11" t="n">
        <f aca="false">IF(AU$1&lt;Units!$P10,0,IF(AND(Units!$K10=0,AU$1=Units!$O10),Units!$R10,IF(AND(AU$1&gt;=Units!$Q10,MOD(AU$1-Units!$Q10,12)=0),IF(AND(Units!$L10=1,AU$1=Units!$Q10),IF(Units!$J10&lt;&gt;"",Units!$J10,Mkt!AU11),Inputs!$B$15*Mkt!AU11+(1-Inputs!$B$15)*MIN(Mkt!AU11,AT11*(1+Inputs!$B$18))),AT11)))</f>
        <v>1666.408675</v>
      </c>
      <c r="AV11" s="11" t="n">
        <f aca="false">IF(AV$1&lt;Units!$P10,0,IF(AND(Units!$K10=0,AV$1=Units!$O10),Units!$R10,IF(AND(AV$1&gt;=Units!$Q10,MOD(AV$1-Units!$Q10,12)=0),IF(AND(Units!$L10=1,AV$1=Units!$Q10),IF(Units!$J10&lt;&gt;"",Units!$J10,Mkt!AV11),Inputs!$B$15*Mkt!AV11+(1-Inputs!$B$15)*MIN(Mkt!AV11,AU11*(1+Inputs!$B$18))),AU11)))</f>
        <v>1666.408675</v>
      </c>
      <c r="AW11" s="11" t="n">
        <f aca="false">IF(AW$1&lt;Units!$P10,0,IF(AND(Units!$K10=0,AW$1=Units!$O10),Units!$R10,IF(AND(AW$1&gt;=Units!$Q10,MOD(AW$1-Units!$Q10,12)=0),IF(AND(Units!$L10=1,AW$1=Units!$Q10),IF(Units!$J10&lt;&gt;"",Units!$J10,Mkt!AW11),Inputs!$B$15*Mkt!AW11+(1-Inputs!$B$15)*MIN(Mkt!AW11,AV11*(1+Inputs!$B$18))),AV11)))</f>
        <v>1666.408675</v>
      </c>
      <c r="AX11" s="11" t="n">
        <f aca="false">IF(AX$1&lt;Units!$P10,0,IF(AND(Units!$K10=0,AX$1=Units!$O10),Units!$R10,IF(AND(AX$1&gt;=Units!$Q10,MOD(AX$1-Units!$Q10,12)=0),IF(AND(Units!$L10=1,AX$1=Units!$Q10),IF(Units!$J10&lt;&gt;"",Units!$J10,Mkt!AX11),Inputs!$B$15*Mkt!AX11+(1-Inputs!$B$15)*MIN(Mkt!AX11,AW11*(1+Inputs!$B$18))),AW11)))</f>
        <v>1666.408675</v>
      </c>
      <c r="AY11" s="11" t="n">
        <f aca="false">IF(AY$1&lt;Units!$P10,0,IF(AND(Units!$K10=0,AY$1=Units!$O10),Units!$R10,IF(AND(AY$1&gt;=Units!$Q10,MOD(AY$1-Units!$Q10,12)=0),IF(AND(Units!$L10=1,AY$1=Units!$Q10),IF(Units!$J10&lt;&gt;"",Units!$J10,Mkt!AY11),Inputs!$B$15*Mkt!AY11+(1-Inputs!$B$15)*MIN(Mkt!AY11,AX11*(1+Inputs!$B$18))),AX11)))</f>
        <v>1666.408675</v>
      </c>
      <c r="AZ11" s="11" t="n">
        <f aca="false">IF(AZ$1&lt;Units!$P10,0,IF(AND(Units!$K10=0,AZ$1=Units!$O10),Units!$R10,IF(AND(AZ$1&gt;=Units!$Q10,MOD(AZ$1-Units!$Q10,12)=0),IF(AND(Units!$L10=1,AZ$1=Units!$Q10),IF(Units!$J10&lt;&gt;"",Units!$J10,Mkt!AZ11),Inputs!$B$15*Mkt!AZ11+(1-Inputs!$B$15)*MIN(Mkt!AZ11,AY11*(1+Inputs!$B$18))),AY11)))</f>
        <v>1666.408675</v>
      </c>
      <c r="BA11" s="11" t="n">
        <f aca="false">IF(BA$1&lt;Units!$P10,0,IF(AND(Units!$K10=0,BA$1=Units!$O10),Units!$R10,IF(AND(BA$1&gt;=Units!$Q10,MOD(BA$1-Units!$Q10,12)=0),IF(AND(Units!$L10=1,BA$1=Units!$Q10),IF(Units!$J10&lt;&gt;"",Units!$J10,Mkt!BA11),Inputs!$B$15*Mkt!BA11+(1-Inputs!$B$15)*MIN(Mkt!BA11,AZ11*(1+Inputs!$B$18))),AZ11)))</f>
        <v>1666.408675</v>
      </c>
      <c r="BB11" s="11" t="n">
        <f aca="false">IF(BB$1&lt;Units!$P10,0,IF(AND(Units!$K10=0,BB$1=Units!$O10),Units!$R10,IF(AND(BB$1&gt;=Units!$Q10,MOD(BB$1-Units!$Q10,12)=0),IF(AND(Units!$L10=1,BB$1=Units!$Q10),IF(Units!$J10&lt;&gt;"",Units!$J10,Mkt!BB11),Inputs!$B$15*Mkt!BB11+(1-Inputs!$B$15)*MIN(Mkt!BB11,BA11*(1+Inputs!$B$18))),BA11)))</f>
        <v>1666.408675</v>
      </c>
      <c r="BC11" s="11" t="n">
        <f aca="false">IF(BC$1&lt;Units!$P10,0,IF(AND(Units!$K10=0,BC$1=Units!$O10),Units!$R10,IF(AND(BC$1&gt;=Units!$Q10,MOD(BC$1-Units!$Q10,12)=0),IF(AND(Units!$L10=1,BC$1=Units!$Q10),IF(Units!$J10&lt;&gt;"",Units!$J10,Mkt!BC11),Inputs!$B$15*Mkt!BC11+(1-Inputs!$B$15)*MIN(Mkt!BC11,BB11*(1+Inputs!$B$18))),BB11)))</f>
        <v>1666.408675</v>
      </c>
      <c r="BD11" s="11" t="n">
        <f aca="false">IF(BD$1&lt;Units!$P10,0,IF(AND(Units!$K10=0,BD$1=Units!$O10),Units!$R10,IF(AND(BD$1&gt;=Units!$Q10,MOD(BD$1-Units!$Q10,12)=0),IF(AND(Units!$L10=1,BD$1=Units!$Q10),IF(Units!$J10&lt;&gt;"",Units!$J10,Mkt!BD11),Inputs!$B$15*Mkt!BD11+(1-Inputs!$B$15)*MIN(Mkt!BD11,BC11*(1+Inputs!$B$18))),BC11)))</f>
        <v>1666.408675</v>
      </c>
      <c r="BE11" s="11" t="n">
        <f aca="false">IF(BE$1&lt;Units!$P10,0,IF(AND(Units!$K10=0,BE$1=Units!$O10),Units!$R10,IF(AND(BE$1&gt;=Units!$Q10,MOD(BE$1-Units!$Q10,12)=0),IF(AND(Units!$L10=1,BE$1=Units!$Q10),IF(Units!$J10&lt;&gt;"",Units!$J10,Mkt!BE11),Inputs!$B$15*Mkt!BE11+(1-Inputs!$B$15)*MIN(Mkt!BE11,BD11*(1+Inputs!$B$18))),BD11)))</f>
        <v>1666.408675</v>
      </c>
      <c r="BF11" s="11" t="n">
        <f aca="false">IF(BF$1&lt;Units!$P10,0,IF(AND(Units!$K10=0,BF$1=Units!$O10),Units!$R10,IF(AND(BF$1&gt;=Units!$Q10,MOD(BF$1-Units!$Q10,12)=0),IF(AND(Units!$L10=1,BF$1=Units!$Q10),IF(Units!$J10&lt;&gt;"",Units!$J10,Mkt!BF11),Inputs!$B$15*Mkt!BF11+(1-Inputs!$B$15)*MIN(Mkt!BF11,BE11*(1+Inputs!$B$18))),BE11)))</f>
        <v>1666.408675</v>
      </c>
      <c r="BG11" s="11" t="n">
        <f aca="false">IF(BG$1&lt;Units!$P10,0,IF(AND(Units!$K10=0,BG$1=Units!$O10),Units!$R10,IF(AND(BG$1&gt;=Units!$Q10,MOD(BG$1-Units!$Q10,12)=0),IF(AND(Units!$L10=1,BG$1=Units!$Q10),IF(Units!$J10&lt;&gt;"",Units!$J10,Mkt!BG11),Inputs!$B$15*Mkt!BG11+(1-Inputs!$B$15)*MIN(Mkt!BG11,BF11*(1+Inputs!$B$18))),BF11)))</f>
        <v>1716.40093525</v>
      </c>
      <c r="BH11" s="11" t="n">
        <f aca="false">IF(BH$1&lt;Units!$P10,0,IF(AND(Units!$K10=0,BH$1=Units!$O10),Units!$R10,IF(AND(BH$1&gt;=Units!$Q10,MOD(BH$1-Units!$Q10,12)=0),IF(AND(Units!$L10=1,BH$1=Units!$Q10),IF(Units!$J10&lt;&gt;"",Units!$J10,Mkt!BH11),Inputs!$B$15*Mkt!BH11+(1-Inputs!$B$15)*MIN(Mkt!BH11,BG11*(1+Inputs!$B$18))),BG11)))</f>
        <v>1716.40093525</v>
      </c>
      <c r="BI11" s="11" t="n">
        <f aca="false">IF(BI$1&lt;Units!$P10,0,IF(AND(Units!$K10=0,BI$1=Units!$O10),Units!$R10,IF(AND(BI$1&gt;=Units!$Q10,MOD(BI$1-Units!$Q10,12)=0),IF(AND(Units!$L10=1,BI$1=Units!$Q10),IF(Units!$J10&lt;&gt;"",Units!$J10,Mkt!BI11),Inputs!$B$15*Mkt!BI11+(1-Inputs!$B$15)*MIN(Mkt!BI11,BH11*(1+Inputs!$B$18))),BH11)))</f>
        <v>1716.40093525</v>
      </c>
      <c r="BJ11" s="11" t="n">
        <f aca="false">IF(BJ$1&lt;Units!$P10,0,IF(AND(Units!$K10=0,BJ$1=Units!$O10),Units!$R10,IF(AND(BJ$1&gt;=Units!$Q10,MOD(BJ$1-Units!$Q10,12)=0),IF(AND(Units!$L10=1,BJ$1=Units!$Q10),IF(Units!$J10&lt;&gt;"",Units!$J10,Mkt!BJ11),Inputs!$B$15*Mkt!BJ11+(1-Inputs!$B$15)*MIN(Mkt!BJ11,BI11*(1+Inputs!$B$18))),BI11)))</f>
        <v>1716.40093525</v>
      </c>
      <c r="BK11" s="11" t="n">
        <f aca="false">IF(BK$1&lt;Units!$P10,0,IF(AND(Units!$K10=0,BK$1=Units!$O10),Units!$R10,IF(AND(BK$1&gt;=Units!$Q10,MOD(BK$1-Units!$Q10,12)=0),IF(AND(Units!$L10=1,BK$1=Units!$Q10),IF(Units!$J10&lt;&gt;"",Units!$J10,Mkt!BK11),Inputs!$B$15*Mkt!BK11+(1-Inputs!$B$15)*MIN(Mkt!BK11,BJ11*(1+Inputs!$B$18))),BJ11)))</f>
        <v>1716.40093525</v>
      </c>
      <c r="BL11" s="11" t="n">
        <f aca="false">IF(BL$1&lt;Units!$P10,0,IF(AND(Units!$K10=0,BL$1=Units!$O10),Units!$R10,IF(AND(BL$1&gt;=Units!$Q10,MOD(BL$1-Units!$Q10,12)=0),IF(AND(Units!$L10=1,BL$1=Units!$Q10),IF(Units!$J10&lt;&gt;"",Units!$J10,Mkt!BL11),Inputs!$B$15*Mkt!BL11+(1-Inputs!$B$15)*MIN(Mkt!BL11,BK11*(1+Inputs!$B$18))),BK11)))</f>
        <v>1716.40093525</v>
      </c>
      <c r="BM11" s="11" t="n">
        <f aca="false">IF(BM$1&lt;Units!$P10,0,IF(AND(Units!$K10=0,BM$1=Units!$O10),Units!$R10,IF(AND(BM$1&gt;=Units!$Q10,MOD(BM$1-Units!$Q10,12)=0),IF(AND(Units!$L10=1,BM$1=Units!$Q10),IF(Units!$J10&lt;&gt;"",Units!$J10,Mkt!BM11),Inputs!$B$15*Mkt!BM11+(1-Inputs!$B$15)*MIN(Mkt!BM11,BL11*(1+Inputs!$B$18))),BL11)))</f>
        <v>1716.40093525</v>
      </c>
      <c r="BN11" s="11" t="n">
        <f aca="false">IF(BN$1&lt;Units!$P10,0,IF(AND(Units!$K10=0,BN$1=Units!$O10),Units!$R10,IF(AND(BN$1&gt;=Units!$Q10,MOD(BN$1-Units!$Q10,12)=0),IF(AND(Units!$L10=1,BN$1=Units!$Q10),IF(Units!$J10&lt;&gt;"",Units!$J10,Mkt!BN11),Inputs!$B$15*Mkt!BN11+(1-Inputs!$B$15)*MIN(Mkt!BN11,BM11*(1+Inputs!$B$18))),BM11)))</f>
        <v>1716.40093525</v>
      </c>
      <c r="BO11" s="11" t="n">
        <f aca="false">IF(BO$1&lt;Units!$P10,0,IF(AND(Units!$K10=0,BO$1=Units!$O10),Units!$R10,IF(AND(BO$1&gt;=Units!$Q10,MOD(BO$1-Units!$Q10,12)=0),IF(AND(Units!$L10=1,BO$1=Units!$Q10),IF(Units!$J10&lt;&gt;"",Units!$J10,Mkt!BO11),Inputs!$B$15*Mkt!BO11+(1-Inputs!$B$15)*MIN(Mkt!BO11,BN11*(1+Inputs!$B$18))),BN11)))</f>
        <v>1716.40093525</v>
      </c>
      <c r="BP11" s="11" t="n">
        <f aca="false">IF(BP$1&lt;Units!$P10,0,IF(AND(Units!$K10=0,BP$1=Units!$O10),Units!$R10,IF(AND(BP$1&gt;=Units!$Q10,MOD(BP$1-Units!$Q10,12)=0),IF(AND(Units!$L10=1,BP$1=Units!$Q10),IF(Units!$J10&lt;&gt;"",Units!$J10,Mkt!BP11),Inputs!$B$15*Mkt!BP11+(1-Inputs!$B$15)*MIN(Mkt!BP11,BO11*(1+Inputs!$B$18))),BO11)))</f>
        <v>1716.40093525</v>
      </c>
      <c r="BQ11" s="11" t="n">
        <f aca="false">IF(BQ$1&lt;Units!$P10,0,IF(AND(Units!$K10=0,BQ$1=Units!$O10),Units!$R10,IF(AND(BQ$1&gt;=Units!$Q10,MOD(BQ$1-Units!$Q10,12)=0),IF(AND(Units!$L10=1,BQ$1=Units!$Q10),IF(Units!$J10&lt;&gt;"",Units!$J10,Mkt!BQ11),Inputs!$B$15*Mkt!BQ11+(1-Inputs!$B$15)*MIN(Mkt!BQ11,BP11*(1+Inputs!$B$18))),BP11)))</f>
        <v>1716.40093525</v>
      </c>
      <c r="BR11" s="11" t="n">
        <f aca="false">IF(BR$1&lt;Units!$P10,0,IF(AND(Units!$K10=0,BR$1=Units!$O10),Units!$R10,IF(AND(BR$1&gt;=Units!$Q10,MOD(BR$1-Units!$Q10,12)=0),IF(AND(Units!$L10=1,BR$1=Units!$Q10),IF(Units!$J10&lt;&gt;"",Units!$J10,Mkt!BR11),Inputs!$B$15*Mkt!BR11+(1-Inputs!$B$15)*MIN(Mkt!BR11,BQ11*(1+Inputs!$B$18))),BQ11)))</f>
        <v>1716.40093525</v>
      </c>
      <c r="BS11" s="11" t="n">
        <f aca="false">IF(BS$1&lt;Units!$P10,0,IF(AND(Units!$K10=0,BS$1=Units!$O10),Units!$R10,IF(AND(BS$1&gt;=Units!$Q10,MOD(BS$1-Units!$Q10,12)=0),IF(AND(Units!$L10=1,BS$1=Units!$Q10),IF(Units!$J10&lt;&gt;"",Units!$J10,Mkt!BS11),Inputs!$B$15*Mkt!BS11+(1-Inputs!$B$15)*MIN(Mkt!BS11,BR11*(1+Inputs!$B$18))),BR11)))</f>
        <v>1767.8929633075</v>
      </c>
      <c r="BT11" s="11" t="n">
        <f aca="false">IF(BT$1&lt;Units!$P10,0,IF(AND(Units!$K10=0,BT$1=Units!$O10),Units!$R10,IF(AND(BT$1&gt;=Units!$Q10,MOD(BT$1-Units!$Q10,12)=0),IF(AND(Units!$L10=1,BT$1=Units!$Q10),IF(Units!$J10&lt;&gt;"",Units!$J10,Mkt!BT11),Inputs!$B$15*Mkt!BT11+(1-Inputs!$B$15)*MIN(Mkt!BT11,BS11*(1+Inputs!$B$18))),BS11)))</f>
        <v>1767.8929633075</v>
      </c>
      <c r="BU11" s="11" t="n">
        <f aca="false">IF(BU$1&lt;Units!$P10,0,IF(AND(Units!$K10=0,BU$1=Units!$O10),Units!$R10,IF(AND(BU$1&gt;=Units!$Q10,MOD(BU$1-Units!$Q10,12)=0),IF(AND(Units!$L10=1,BU$1=Units!$Q10),IF(Units!$J10&lt;&gt;"",Units!$J10,Mkt!BU11),Inputs!$B$15*Mkt!BU11+(1-Inputs!$B$15)*MIN(Mkt!BU11,BT11*(1+Inputs!$B$18))),BT11)))</f>
        <v>1767.8929633075</v>
      </c>
      <c r="BV11" s="11" t="n">
        <f aca="false">IF(BV$1&lt;Units!$P10,0,IF(AND(Units!$K10=0,BV$1=Units!$O10),Units!$R10,IF(AND(BV$1&gt;=Units!$Q10,MOD(BV$1-Units!$Q10,12)=0),IF(AND(Units!$L10=1,BV$1=Units!$Q10),IF(Units!$J10&lt;&gt;"",Units!$J10,Mkt!BV11),Inputs!$B$15*Mkt!BV11+(1-Inputs!$B$15)*MIN(Mkt!BV11,BU11*(1+Inputs!$B$18))),BU11)))</f>
        <v>1767.8929633075</v>
      </c>
      <c r="BW11" s="11" t="n">
        <f aca="false">IF(BW$1&lt;Units!$P10,0,IF(AND(Units!$K10=0,BW$1=Units!$O10),Units!$R10,IF(AND(BW$1&gt;=Units!$Q10,MOD(BW$1-Units!$Q10,12)=0),IF(AND(Units!$L10=1,BW$1=Units!$Q10),IF(Units!$J10&lt;&gt;"",Units!$J10,Mkt!BW11),Inputs!$B$15*Mkt!BW11+(1-Inputs!$B$15)*MIN(Mkt!BW11,BV11*(1+Inputs!$B$18))),BV11)))</f>
        <v>1767.8929633075</v>
      </c>
      <c r="BX11" s="11" t="n">
        <f aca="false">IF(BX$1&lt;Units!$P10,0,IF(AND(Units!$K10=0,BX$1=Units!$O10),Units!$R10,IF(AND(BX$1&gt;=Units!$Q10,MOD(BX$1-Units!$Q10,12)=0),IF(AND(Units!$L10=1,BX$1=Units!$Q10),IF(Units!$J10&lt;&gt;"",Units!$J10,Mkt!BX11),Inputs!$B$15*Mkt!BX11+(1-Inputs!$B$15)*MIN(Mkt!BX11,BW11*(1+Inputs!$B$18))),BW11)))</f>
        <v>1767.8929633075</v>
      </c>
      <c r="BY11" s="11" t="n">
        <f aca="false">IF(BY$1&lt;Units!$P10,0,IF(AND(Units!$K10=0,BY$1=Units!$O10),Units!$R10,IF(AND(BY$1&gt;=Units!$Q10,MOD(BY$1-Units!$Q10,12)=0),IF(AND(Units!$L10=1,BY$1=Units!$Q10),IF(Units!$J10&lt;&gt;"",Units!$J10,Mkt!BY11),Inputs!$B$15*Mkt!BY11+(1-Inputs!$B$15)*MIN(Mkt!BY11,BX11*(1+Inputs!$B$18))),BX11)))</f>
        <v>1767.8929633075</v>
      </c>
      <c r="BZ11" s="11" t="n">
        <f aca="false">IF(BZ$1&lt;Units!$P10,0,IF(AND(Units!$K10=0,BZ$1=Units!$O10),Units!$R10,IF(AND(BZ$1&gt;=Units!$Q10,MOD(BZ$1-Units!$Q10,12)=0),IF(AND(Units!$L10=1,BZ$1=Units!$Q10),IF(Units!$J10&lt;&gt;"",Units!$J10,Mkt!BZ11),Inputs!$B$15*Mkt!BZ11+(1-Inputs!$B$15)*MIN(Mkt!BZ11,BY11*(1+Inputs!$B$18))),BY11)))</f>
        <v>1767.8929633075</v>
      </c>
      <c r="CA11" s="11" t="n">
        <f aca="false">IF(CA$1&lt;Units!$P10,0,IF(AND(Units!$K10=0,CA$1=Units!$O10),Units!$R10,IF(AND(CA$1&gt;=Units!$Q10,MOD(CA$1-Units!$Q10,12)=0),IF(AND(Units!$L10=1,CA$1=Units!$Q10),IF(Units!$J10&lt;&gt;"",Units!$J10,Mkt!CA11),Inputs!$B$15*Mkt!CA11+(1-Inputs!$B$15)*MIN(Mkt!CA11,BZ11*(1+Inputs!$B$18))),BZ11)))</f>
        <v>1767.8929633075</v>
      </c>
      <c r="CB11" s="11" t="n">
        <f aca="false">IF(CB$1&lt;Units!$P10,0,IF(AND(Units!$K10=0,CB$1=Units!$O10),Units!$R10,IF(AND(CB$1&gt;=Units!$Q10,MOD(CB$1-Units!$Q10,12)=0),IF(AND(Units!$L10=1,CB$1=Units!$Q10),IF(Units!$J10&lt;&gt;"",Units!$J10,Mkt!CB11),Inputs!$B$15*Mkt!CB11+(1-Inputs!$B$15)*MIN(Mkt!CB11,CA11*(1+Inputs!$B$18))),CA11)))</f>
        <v>1767.8929633075</v>
      </c>
      <c r="CC11" s="11" t="n">
        <f aca="false">IF(CC$1&lt;Units!$P10,0,IF(AND(Units!$K10=0,CC$1=Units!$O10),Units!$R10,IF(AND(CC$1&gt;=Units!$Q10,MOD(CC$1-Units!$Q10,12)=0),IF(AND(Units!$L10=1,CC$1=Units!$Q10),IF(Units!$J10&lt;&gt;"",Units!$J10,Mkt!CC11),Inputs!$B$15*Mkt!CC11+(1-Inputs!$B$15)*MIN(Mkt!CC11,CB11*(1+Inputs!$B$18))),CB11)))</f>
        <v>1767.8929633075</v>
      </c>
      <c r="CD11" s="11" t="n">
        <f aca="false">IF(CD$1&lt;Units!$P10,0,IF(AND(Units!$K10=0,CD$1=Units!$O10),Units!$R10,IF(AND(CD$1&gt;=Units!$Q10,MOD(CD$1-Units!$Q10,12)=0),IF(AND(Units!$L10=1,CD$1=Units!$Q10),IF(Units!$J10&lt;&gt;"",Units!$J10,Mkt!CD11),Inputs!$B$15*Mkt!CD11+(1-Inputs!$B$15)*MIN(Mkt!CD11,CC11*(1+Inputs!$B$18))),CC11)))</f>
        <v>1767.8929633075</v>
      </c>
      <c r="CE11" s="11" t="n">
        <f aca="false">IF(CE$1&lt;Units!$P10,0,IF(AND(Units!$K10=0,CE$1=Units!$O10),Units!$R10,IF(AND(CE$1&gt;=Units!$Q10,MOD(CE$1-Units!$Q10,12)=0),IF(AND(Units!$L10=1,CE$1=Units!$Q10),IF(Units!$J10&lt;&gt;"",Units!$J10,Mkt!CE11),Inputs!$B$15*Mkt!CE11+(1-Inputs!$B$15)*MIN(Mkt!CE11,CD11*(1+Inputs!$B$18))),CD11)))</f>
        <v>1820.92975220673</v>
      </c>
      <c r="CF11" s="11" t="n">
        <f aca="false">IF(CF$1&lt;Units!$P10,0,IF(AND(Units!$K10=0,CF$1=Units!$O10),Units!$R10,IF(AND(CF$1&gt;=Units!$Q10,MOD(CF$1-Units!$Q10,12)=0),IF(AND(Units!$L10=1,CF$1=Units!$Q10),IF(Units!$J10&lt;&gt;"",Units!$J10,Mkt!CF11),Inputs!$B$15*Mkt!CF11+(1-Inputs!$B$15)*MIN(Mkt!CF11,CE11*(1+Inputs!$B$18))),CE11)))</f>
        <v>1820.92975220673</v>
      </c>
      <c r="CG11" s="11" t="n">
        <f aca="false">IF(CG$1&lt;Units!$P10,0,IF(AND(Units!$K10=0,CG$1=Units!$O10),Units!$R10,IF(AND(CG$1&gt;=Units!$Q10,MOD(CG$1-Units!$Q10,12)=0),IF(AND(Units!$L10=1,CG$1=Units!$Q10),IF(Units!$J10&lt;&gt;"",Units!$J10,Mkt!CG11),Inputs!$B$15*Mkt!CG11+(1-Inputs!$B$15)*MIN(Mkt!CG11,CF11*(1+Inputs!$B$18))),CF11)))</f>
        <v>1820.92975220673</v>
      </c>
      <c r="CH11" s="11" t="n">
        <f aca="false">IF(CH$1&lt;Units!$P10,0,IF(AND(Units!$K10=0,CH$1=Units!$O10),Units!$R10,IF(AND(CH$1&gt;=Units!$Q10,MOD(CH$1-Units!$Q10,12)=0),IF(AND(Units!$L10=1,CH$1=Units!$Q10),IF(Units!$J10&lt;&gt;"",Units!$J10,Mkt!CH11),Inputs!$B$15*Mkt!CH11+(1-Inputs!$B$15)*MIN(Mkt!CH11,CG11*(1+Inputs!$B$18))),CG11)))</f>
        <v>1820.92975220673</v>
      </c>
      <c r="CI11" s="11" t="n">
        <f aca="false">IF(CI$1&lt;Units!$P10,0,IF(AND(Units!$K10=0,CI$1=Units!$O10),Units!$R10,IF(AND(CI$1&gt;=Units!$Q10,MOD(CI$1-Units!$Q10,12)=0),IF(AND(Units!$L10=1,CI$1=Units!$Q10),IF(Units!$J10&lt;&gt;"",Units!$J10,Mkt!CI11),Inputs!$B$15*Mkt!CI11+(1-Inputs!$B$15)*MIN(Mkt!CI11,CH11*(1+Inputs!$B$18))),CH11)))</f>
        <v>1820.92975220673</v>
      </c>
      <c r="CJ11" s="11" t="n">
        <f aca="false">IF(CJ$1&lt;Units!$P10,0,IF(AND(Units!$K10=0,CJ$1=Units!$O10),Units!$R10,IF(AND(CJ$1&gt;=Units!$Q10,MOD(CJ$1-Units!$Q10,12)=0),IF(AND(Units!$L10=1,CJ$1=Units!$Q10),IF(Units!$J10&lt;&gt;"",Units!$J10,Mkt!CJ11),Inputs!$B$15*Mkt!CJ11+(1-Inputs!$B$15)*MIN(Mkt!CJ11,CI11*(1+Inputs!$B$18))),CI11)))</f>
        <v>1820.92975220673</v>
      </c>
      <c r="CK11" s="11" t="n">
        <f aca="false">IF(CK$1&lt;Units!$P10,0,IF(AND(Units!$K10=0,CK$1=Units!$O10),Units!$R10,IF(AND(CK$1&gt;=Units!$Q10,MOD(CK$1-Units!$Q10,12)=0),IF(AND(Units!$L10=1,CK$1=Units!$Q10),IF(Units!$J10&lt;&gt;"",Units!$J10,Mkt!CK11),Inputs!$B$15*Mkt!CK11+(1-Inputs!$B$15)*MIN(Mkt!CK11,CJ11*(1+Inputs!$B$18))),CJ11)))</f>
        <v>1820.92975220673</v>
      </c>
      <c r="CL11" s="11" t="n">
        <f aca="false">IF(CL$1&lt;Units!$P10,0,IF(AND(Units!$K10=0,CL$1=Units!$O10),Units!$R10,IF(AND(CL$1&gt;=Units!$Q10,MOD(CL$1-Units!$Q10,12)=0),IF(AND(Units!$L10=1,CL$1=Units!$Q10),IF(Units!$J10&lt;&gt;"",Units!$J10,Mkt!CL11),Inputs!$B$15*Mkt!CL11+(1-Inputs!$B$15)*MIN(Mkt!CL11,CK11*(1+Inputs!$B$18))),CK11)))</f>
        <v>1820.92975220673</v>
      </c>
      <c r="CM11" s="11" t="n">
        <f aca="false">IF(CM$1&lt;Units!$P10,0,IF(AND(Units!$K10=0,CM$1=Units!$O10),Units!$R10,IF(AND(CM$1&gt;=Units!$Q10,MOD(CM$1-Units!$Q10,12)=0),IF(AND(Units!$L10=1,CM$1=Units!$Q10),IF(Units!$J10&lt;&gt;"",Units!$J10,Mkt!CM11),Inputs!$B$15*Mkt!CM11+(1-Inputs!$B$15)*MIN(Mkt!CM11,CL11*(1+Inputs!$B$18))),CL11)))</f>
        <v>1820.92975220673</v>
      </c>
      <c r="CN11" s="11" t="n">
        <f aca="false">IF(CN$1&lt;Units!$P10,0,IF(AND(Units!$K10=0,CN$1=Units!$O10),Units!$R10,IF(AND(CN$1&gt;=Units!$Q10,MOD(CN$1-Units!$Q10,12)=0),IF(AND(Units!$L10=1,CN$1=Units!$Q10),IF(Units!$J10&lt;&gt;"",Units!$J10,Mkt!CN11),Inputs!$B$15*Mkt!CN11+(1-Inputs!$B$15)*MIN(Mkt!CN11,CM11*(1+Inputs!$B$18))),CM11)))</f>
        <v>1820.92975220673</v>
      </c>
      <c r="CO11" s="11" t="n">
        <f aca="false">IF(CO$1&lt;Units!$P10,0,IF(AND(Units!$K10=0,CO$1=Units!$O10),Units!$R10,IF(AND(CO$1&gt;=Units!$Q10,MOD(CO$1-Units!$Q10,12)=0),IF(AND(Units!$L10=1,CO$1=Units!$Q10),IF(Units!$J10&lt;&gt;"",Units!$J10,Mkt!CO11),Inputs!$B$15*Mkt!CO11+(1-Inputs!$B$15)*MIN(Mkt!CO11,CN11*(1+Inputs!$B$18))),CN11)))</f>
        <v>1820.92975220673</v>
      </c>
      <c r="CP11" s="11" t="n">
        <f aca="false">IF(CP$1&lt;Units!$P10,0,IF(AND(Units!$K10=0,CP$1=Units!$O10),Units!$R10,IF(AND(CP$1&gt;=Units!$Q10,MOD(CP$1-Units!$Q10,12)=0),IF(AND(Units!$L10=1,CP$1=Units!$Q10),IF(Units!$J10&lt;&gt;"",Units!$J10,Mkt!CP11),Inputs!$B$15*Mkt!CP11+(1-Inputs!$B$15)*MIN(Mkt!CP11,CO11*(1+Inputs!$B$18))),CO11)))</f>
        <v>1820.92975220673</v>
      </c>
      <c r="CQ11" s="11" t="n">
        <f aca="false">IF(CQ$1&lt;Units!$P10,0,IF(AND(Units!$K10=0,CQ$1=Units!$O10),Units!$R10,IF(AND(CQ$1&gt;=Units!$Q10,MOD(CQ$1-Units!$Q10,12)=0),IF(AND(Units!$L10=1,CQ$1=Units!$Q10),IF(Units!$J10&lt;&gt;"",Units!$J10,Mkt!CQ11),Inputs!$B$15*Mkt!CQ11+(1-Inputs!$B$15)*MIN(Mkt!CQ11,CP11*(1+Inputs!$B$18))),CP11)))</f>
        <v>1875.55764477293</v>
      </c>
      <c r="CR11" s="11" t="n">
        <f aca="false">IF(CR$1&lt;Units!$P10,0,IF(AND(Units!$K10=0,CR$1=Units!$O10),Units!$R10,IF(AND(CR$1&gt;=Units!$Q10,MOD(CR$1-Units!$Q10,12)=0),IF(AND(Units!$L10=1,CR$1=Units!$Q10),IF(Units!$J10&lt;&gt;"",Units!$J10,Mkt!CR11),Inputs!$B$15*Mkt!CR11+(1-Inputs!$B$15)*MIN(Mkt!CR11,CQ11*(1+Inputs!$B$18))),CQ11)))</f>
        <v>1875.55764477293</v>
      </c>
      <c r="CS11" s="11" t="n">
        <f aca="false">IF(CS$1&lt;Units!$P10,0,IF(AND(Units!$K10=0,CS$1=Units!$O10),Units!$R10,IF(AND(CS$1&gt;=Units!$Q10,MOD(CS$1-Units!$Q10,12)=0),IF(AND(Units!$L10=1,CS$1=Units!$Q10),IF(Units!$J10&lt;&gt;"",Units!$J10,Mkt!CS11),Inputs!$B$15*Mkt!CS11+(1-Inputs!$B$15)*MIN(Mkt!CS11,CR11*(1+Inputs!$B$18))),CR11)))</f>
        <v>1875.55764477293</v>
      </c>
      <c r="CT11" s="11" t="n">
        <f aca="false">IF(CT$1&lt;Units!$P10,0,IF(AND(Units!$K10=0,CT$1=Units!$O10),Units!$R10,IF(AND(CT$1&gt;=Units!$Q10,MOD(CT$1-Units!$Q10,12)=0),IF(AND(Units!$L10=1,CT$1=Units!$Q10),IF(Units!$J10&lt;&gt;"",Units!$J10,Mkt!CT11),Inputs!$B$15*Mkt!CT11+(1-Inputs!$B$15)*MIN(Mkt!CT11,CS11*(1+Inputs!$B$18))),CS11)))</f>
        <v>1875.55764477293</v>
      </c>
      <c r="CU11" s="11" t="n">
        <f aca="false">IF(CU$1&lt;Units!$P10,0,IF(AND(Units!$K10=0,CU$1=Units!$O10),Units!$R10,IF(AND(CU$1&gt;=Units!$Q10,MOD(CU$1-Units!$Q10,12)=0),IF(AND(Units!$L10=1,CU$1=Units!$Q10),IF(Units!$J10&lt;&gt;"",Units!$J10,Mkt!CU11),Inputs!$B$15*Mkt!CU11+(1-Inputs!$B$15)*MIN(Mkt!CU11,CT11*(1+Inputs!$B$18))),CT11)))</f>
        <v>1875.55764477293</v>
      </c>
      <c r="CV11" s="11" t="n">
        <f aca="false">IF(CV$1&lt;Units!$P10,0,IF(AND(Units!$K10=0,CV$1=Units!$O10),Units!$R10,IF(AND(CV$1&gt;=Units!$Q10,MOD(CV$1-Units!$Q10,12)=0),IF(AND(Units!$L10=1,CV$1=Units!$Q10),IF(Units!$J10&lt;&gt;"",Units!$J10,Mkt!CV11),Inputs!$B$15*Mkt!CV11+(1-Inputs!$B$15)*MIN(Mkt!CV11,CU11*(1+Inputs!$B$18))),CU11)))</f>
        <v>1875.55764477293</v>
      </c>
      <c r="CW11" s="11" t="n">
        <f aca="false">IF(CW$1&lt;Units!$P10,0,IF(AND(Units!$K10=0,CW$1=Units!$O10),Units!$R10,IF(AND(CW$1&gt;=Units!$Q10,MOD(CW$1-Units!$Q10,12)=0),IF(AND(Units!$L10=1,CW$1=Units!$Q10),IF(Units!$J10&lt;&gt;"",Units!$J10,Mkt!CW11),Inputs!$B$15*Mkt!CW11+(1-Inputs!$B$15)*MIN(Mkt!CW11,CV11*(1+Inputs!$B$18))),CV11)))</f>
        <v>1875.55764477293</v>
      </c>
      <c r="CX11" s="11" t="n">
        <f aca="false">IF(CX$1&lt;Units!$P10,0,IF(AND(Units!$K10=0,CX$1=Units!$O10),Units!$R10,IF(AND(CX$1&gt;=Units!$Q10,MOD(CX$1-Units!$Q10,12)=0),IF(AND(Units!$L10=1,CX$1=Units!$Q10),IF(Units!$J10&lt;&gt;"",Units!$J10,Mkt!CX11),Inputs!$B$15*Mkt!CX11+(1-Inputs!$B$15)*MIN(Mkt!CX11,CW11*(1+Inputs!$B$18))),CW11)))</f>
        <v>1875.55764477293</v>
      </c>
      <c r="CY11" s="11" t="n">
        <f aca="false">IF(CY$1&lt;Units!$P10,0,IF(AND(Units!$K10=0,CY$1=Units!$O10),Units!$R10,IF(AND(CY$1&gt;=Units!$Q10,MOD(CY$1-Units!$Q10,12)=0),IF(AND(Units!$L10=1,CY$1=Units!$Q10),IF(Units!$J10&lt;&gt;"",Units!$J10,Mkt!CY11),Inputs!$B$15*Mkt!CY11+(1-Inputs!$B$15)*MIN(Mkt!CY11,CX11*(1+Inputs!$B$18))),CX11)))</f>
        <v>1875.55764477293</v>
      </c>
      <c r="CZ11" s="11" t="n">
        <f aca="false">IF(CZ$1&lt;Units!$P10,0,IF(AND(Units!$K10=0,CZ$1=Units!$O10),Units!$R10,IF(AND(CZ$1&gt;=Units!$Q10,MOD(CZ$1-Units!$Q10,12)=0),IF(AND(Units!$L10=1,CZ$1=Units!$Q10),IF(Units!$J10&lt;&gt;"",Units!$J10,Mkt!CZ11),Inputs!$B$15*Mkt!CZ11+(1-Inputs!$B$15)*MIN(Mkt!CZ11,CY11*(1+Inputs!$B$18))),CY11)))</f>
        <v>1875.55764477293</v>
      </c>
      <c r="DA11" s="11" t="n">
        <f aca="false">IF(DA$1&lt;Units!$P10,0,IF(AND(Units!$K10=0,DA$1=Units!$O10),Units!$R10,IF(AND(DA$1&gt;=Units!$Q10,MOD(DA$1-Units!$Q10,12)=0),IF(AND(Units!$L10=1,DA$1=Units!$Q10),IF(Units!$J10&lt;&gt;"",Units!$J10,Mkt!DA11),Inputs!$B$15*Mkt!DA11+(1-Inputs!$B$15)*MIN(Mkt!DA11,CZ11*(1+Inputs!$B$18))),CZ11)))</f>
        <v>1875.55764477293</v>
      </c>
      <c r="DB11" s="11" t="n">
        <f aca="false">IF(DB$1&lt;Units!$P10,0,IF(AND(Units!$K10=0,DB$1=Units!$O10),Units!$R10,IF(AND(DB$1&gt;=Units!$Q10,MOD(DB$1-Units!$Q10,12)=0),IF(AND(Units!$L10=1,DB$1=Units!$Q10),IF(Units!$J10&lt;&gt;"",Units!$J10,Mkt!DB11),Inputs!$B$15*Mkt!DB11+(1-Inputs!$B$15)*MIN(Mkt!DB11,DA11*(1+Inputs!$B$18))),DA11)))</f>
        <v>1875.55764477293</v>
      </c>
      <c r="DC11" s="11" t="n">
        <f aca="false">IF(DC$1&lt;Units!$P10,0,IF(AND(Units!$K10=0,DC$1=Units!$O10),Units!$R10,IF(AND(DC$1&gt;=Units!$Q10,MOD(DC$1-Units!$Q10,12)=0),IF(AND(Units!$L10=1,DC$1=Units!$Q10),IF(Units!$J10&lt;&gt;"",Units!$J10,Mkt!DC11),Inputs!$B$15*Mkt!DC11+(1-Inputs!$B$15)*MIN(Mkt!DC11,DB11*(1+Inputs!$B$18))),DB11)))</f>
        <v>1931.82437411612</v>
      </c>
      <c r="DD11" s="11" t="n">
        <f aca="false">IF(DD$1&lt;Units!$P10,0,IF(AND(Units!$K10=0,DD$1=Units!$O10),Units!$R10,IF(AND(DD$1&gt;=Units!$Q10,MOD(DD$1-Units!$Q10,12)=0),IF(AND(Units!$L10=1,DD$1=Units!$Q10),IF(Units!$J10&lt;&gt;"",Units!$J10,Mkt!DD11),Inputs!$B$15*Mkt!DD11+(1-Inputs!$B$15)*MIN(Mkt!DD11,DC11*(1+Inputs!$B$18))),DC11)))</f>
        <v>1931.82437411612</v>
      </c>
      <c r="DE11" s="11" t="n">
        <f aca="false">IF(DE$1&lt;Units!$P10,0,IF(AND(Units!$K10=0,DE$1=Units!$O10),Units!$R10,IF(AND(DE$1&gt;=Units!$Q10,MOD(DE$1-Units!$Q10,12)=0),IF(AND(Units!$L10=1,DE$1=Units!$Q10),IF(Units!$J10&lt;&gt;"",Units!$J10,Mkt!DE11),Inputs!$B$15*Mkt!DE11+(1-Inputs!$B$15)*MIN(Mkt!DE11,DD11*(1+Inputs!$B$18))),DD11)))</f>
        <v>1931.82437411612</v>
      </c>
      <c r="DF11" s="11" t="n">
        <f aca="false">IF(DF$1&lt;Units!$P10,0,IF(AND(Units!$K10=0,DF$1=Units!$O10),Units!$R10,IF(AND(DF$1&gt;=Units!$Q10,MOD(DF$1-Units!$Q10,12)=0),IF(AND(Units!$L10=1,DF$1=Units!$Q10),IF(Units!$J10&lt;&gt;"",Units!$J10,Mkt!DF11),Inputs!$B$15*Mkt!DF11+(1-Inputs!$B$15)*MIN(Mkt!DF11,DE11*(1+Inputs!$B$18))),DE11)))</f>
        <v>1931.82437411612</v>
      </c>
      <c r="DG11" s="11" t="n">
        <f aca="false">IF(DG$1&lt;Units!$P10,0,IF(AND(Units!$K10=0,DG$1=Units!$O10),Units!$R10,IF(AND(DG$1&gt;=Units!$Q10,MOD(DG$1-Units!$Q10,12)=0),IF(AND(Units!$L10=1,DG$1=Units!$Q10),IF(Units!$J10&lt;&gt;"",Units!$J10,Mkt!DG11),Inputs!$B$15*Mkt!DG11+(1-Inputs!$B$15)*MIN(Mkt!DG11,DF11*(1+Inputs!$B$18))),DF11)))</f>
        <v>1931.82437411612</v>
      </c>
      <c r="DH11" s="11" t="n">
        <f aca="false">IF(DH$1&lt;Units!$P10,0,IF(AND(Units!$K10=0,DH$1=Units!$O10),Units!$R10,IF(AND(DH$1&gt;=Units!$Q10,MOD(DH$1-Units!$Q10,12)=0),IF(AND(Units!$L10=1,DH$1=Units!$Q10),IF(Units!$J10&lt;&gt;"",Units!$J10,Mkt!DH11),Inputs!$B$15*Mkt!DH11+(1-Inputs!$B$15)*MIN(Mkt!DH11,DG11*(1+Inputs!$B$18))),DG11)))</f>
        <v>1931.82437411612</v>
      </c>
      <c r="DI11" s="11" t="n">
        <f aca="false">IF(DI$1&lt;Units!$P10,0,IF(AND(Units!$K10=0,DI$1=Units!$O10),Units!$R10,IF(AND(DI$1&gt;=Units!$Q10,MOD(DI$1-Units!$Q10,12)=0),IF(AND(Units!$L10=1,DI$1=Units!$Q10),IF(Units!$J10&lt;&gt;"",Units!$J10,Mkt!DI11),Inputs!$B$15*Mkt!DI11+(1-Inputs!$B$15)*MIN(Mkt!DI11,DH11*(1+Inputs!$B$18))),DH11)))</f>
        <v>1931.82437411612</v>
      </c>
      <c r="DJ11" s="11" t="n">
        <f aca="false">IF(DJ$1&lt;Units!$P10,0,IF(AND(Units!$K10=0,DJ$1=Units!$O10),Units!$R10,IF(AND(DJ$1&gt;=Units!$Q10,MOD(DJ$1-Units!$Q10,12)=0),IF(AND(Units!$L10=1,DJ$1=Units!$Q10),IF(Units!$J10&lt;&gt;"",Units!$J10,Mkt!DJ11),Inputs!$B$15*Mkt!DJ11+(1-Inputs!$B$15)*MIN(Mkt!DJ11,DI11*(1+Inputs!$B$18))),DI11)))</f>
        <v>1931.82437411612</v>
      </c>
      <c r="DK11" s="11" t="n">
        <f aca="false">IF(DK$1&lt;Units!$P10,0,IF(AND(Units!$K10=0,DK$1=Units!$O10),Units!$R10,IF(AND(DK$1&gt;=Units!$Q10,MOD(DK$1-Units!$Q10,12)=0),IF(AND(Units!$L10=1,DK$1=Units!$Q10),IF(Units!$J10&lt;&gt;"",Units!$J10,Mkt!DK11),Inputs!$B$15*Mkt!DK11+(1-Inputs!$B$15)*MIN(Mkt!DK11,DJ11*(1+Inputs!$B$18))),DJ11)))</f>
        <v>1931.82437411612</v>
      </c>
      <c r="DL11" s="11" t="n">
        <f aca="false">IF(DL$1&lt;Units!$P10,0,IF(AND(Units!$K10=0,DL$1=Units!$O10),Units!$R10,IF(AND(DL$1&gt;=Units!$Q10,MOD(DL$1-Units!$Q10,12)=0),IF(AND(Units!$L10=1,DL$1=Units!$Q10),IF(Units!$J10&lt;&gt;"",Units!$J10,Mkt!DL11),Inputs!$B$15*Mkt!DL11+(1-Inputs!$B$15)*MIN(Mkt!DL11,DK11*(1+Inputs!$B$18))),DK11)))</f>
        <v>1931.82437411612</v>
      </c>
      <c r="DM11" s="11" t="n">
        <f aca="false">IF(DM$1&lt;Units!$P10,0,IF(AND(Units!$K10=0,DM$1=Units!$O10),Units!$R10,IF(AND(DM$1&gt;=Units!$Q10,MOD(DM$1-Units!$Q10,12)=0),IF(AND(Units!$L10=1,DM$1=Units!$Q10),IF(Units!$J10&lt;&gt;"",Units!$J10,Mkt!DM11),Inputs!$B$15*Mkt!DM11+(1-Inputs!$B$15)*MIN(Mkt!DM11,DL11*(1+Inputs!$B$18))),DL11)))</f>
        <v>1931.82437411612</v>
      </c>
      <c r="DN11" s="11" t="n">
        <f aca="false">IF(DN$1&lt;Units!$P10,0,IF(AND(Units!$K10=0,DN$1=Units!$O10),Units!$R10,IF(AND(DN$1&gt;=Units!$Q10,MOD(DN$1-Units!$Q10,12)=0),IF(AND(Units!$L10=1,DN$1=Units!$Q10),IF(Units!$J10&lt;&gt;"",Units!$J10,Mkt!DN11),Inputs!$B$15*Mkt!DN11+(1-Inputs!$B$15)*MIN(Mkt!DN11,DM11*(1+Inputs!$B$18))),DM11)))</f>
        <v>1931.82437411612</v>
      </c>
      <c r="DO11" s="11" t="n">
        <f aca="false">IF(DO$1&lt;Units!$P10,0,IF(AND(Units!$K10=0,DO$1=Units!$O10),Units!$R10,IF(AND(DO$1&gt;=Units!$Q10,MOD(DO$1-Units!$Q10,12)=0),IF(AND(Units!$L10=1,DO$1=Units!$Q10),IF(Units!$J10&lt;&gt;"",Units!$J10,Mkt!DO11),Inputs!$B$15*Mkt!DO11+(1-Inputs!$B$15)*MIN(Mkt!DO11,DN11*(1+Inputs!$B$18))),DN11)))</f>
        <v>1989.7791053396</v>
      </c>
      <c r="DP11" s="11" t="n">
        <f aca="false">IF(DP$1&lt;Units!$P10,0,IF(AND(Units!$K10=0,DP$1=Units!$O10),Units!$R10,IF(AND(DP$1&gt;=Units!$Q10,MOD(DP$1-Units!$Q10,12)=0),IF(AND(Units!$L10=1,DP$1=Units!$Q10),IF(Units!$J10&lt;&gt;"",Units!$J10,Mkt!DP11),Inputs!$B$15*Mkt!DP11+(1-Inputs!$B$15)*MIN(Mkt!DP11,DO11*(1+Inputs!$B$18))),DO11)))</f>
        <v>1989.7791053396</v>
      </c>
      <c r="DQ11" s="11" t="n">
        <f aca="false">IF(DQ$1&lt;Units!$P10,0,IF(AND(Units!$K10=0,DQ$1=Units!$O10),Units!$R10,IF(AND(DQ$1&gt;=Units!$Q10,MOD(DQ$1-Units!$Q10,12)=0),IF(AND(Units!$L10=1,DQ$1=Units!$Q10),IF(Units!$J10&lt;&gt;"",Units!$J10,Mkt!DQ11),Inputs!$B$15*Mkt!DQ11+(1-Inputs!$B$15)*MIN(Mkt!DQ11,DP11*(1+Inputs!$B$18))),DP11)))</f>
        <v>1989.7791053396</v>
      </c>
      <c r="DR11" s="11" t="n">
        <f aca="false">IF(DR$1&lt;Units!$P10,0,IF(AND(Units!$K10=0,DR$1=Units!$O10),Units!$R10,IF(AND(DR$1&gt;=Units!$Q10,MOD(DR$1-Units!$Q10,12)=0),IF(AND(Units!$L10=1,DR$1=Units!$Q10),IF(Units!$J10&lt;&gt;"",Units!$J10,Mkt!DR11),Inputs!$B$15*Mkt!DR11+(1-Inputs!$B$15)*MIN(Mkt!DR11,DQ11*(1+Inputs!$B$18))),DQ11)))</f>
        <v>1989.7791053396</v>
      </c>
      <c r="DS11" s="11" t="n">
        <f aca="false">IF(DS$1&lt;Units!$P10,0,IF(AND(Units!$K10=0,DS$1=Units!$O10),Units!$R10,IF(AND(DS$1&gt;=Units!$Q10,MOD(DS$1-Units!$Q10,12)=0),IF(AND(Units!$L10=1,DS$1=Units!$Q10),IF(Units!$J10&lt;&gt;"",Units!$J10,Mkt!DS11),Inputs!$B$15*Mkt!DS11+(1-Inputs!$B$15)*MIN(Mkt!DS11,DR11*(1+Inputs!$B$18))),DR11)))</f>
        <v>1989.7791053396</v>
      </c>
      <c r="DT11" s="11" t="n">
        <f aca="false">IF(DT$1&lt;Units!$P10,0,IF(AND(Units!$K10=0,DT$1=Units!$O10),Units!$R10,IF(AND(DT$1&gt;=Units!$Q10,MOD(DT$1-Units!$Q10,12)=0),IF(AND(Units!$L10=1,DT$1=Units!$Q10),IF(Units!$J10&lt;&gt;"",Units!$J10,Mkt!DT11),Inputs!$B$15*Mkt!DT11+(1-Inputs!$B$15)*MIN(Mkt!DT11,DS11*(1+Inputs!$B$18))),DS11)))</f>
        <v>1989.7791053396</v>
      </c>
      <c r="DU11" s="11" t="n">
        <f aca="false">IF(DU$1&lt;Units!$P10,0,IF(AND(Units!$K10=0,DU$1=Units!$O10),Units!$R10,IF(AND(DU$1&gt;=Units!$Q10,MOD(DU$1-Units!$Q10,12)=0),IF(AND(Units!$L10=1,DU$1=Units!$Q10),IF(Units!$J10&lt;&gt;"",Units!$J10,Mkt!DU11),Inputs!$B$15*Mkt!DU11+(1-Inputs!$B$15)*MIN(Mkt!DU11,DT11*(1+Inputs!$B$18))),DT11)))</f>
        <v>1989.7791053396</v>
      </c>
      <c r="DV11" s="11" t="n">
        <f aca="false">IF(DV$1&lt;Units!$P10,0,IF(AND(Units!$K10=0,DV$1=Units!$O10),Units!$R10,IF(AND(DV$1&gt;=Units!$Q10,MOD(DV$1-Units!$Q10,12)=0),IF(AND(Units!$L10=1,DV$1=Units!$Q10),IF(Units!$J10&lt;&gt;"",Units!$J10,Mkt!DV11),Inputs!$B$15*Mkt!DV11+(1-Inputs!$B$15)*MIN(Mkt!DV11,DU11*(1+Inputs!$B$18))),DU11)))</f>
        <v>1989.7791053396</v>
      </c>
      <c r="DW11" s="11" t="n">
        <f aca="false">IF(DW$1&lt;Units!$P10,0,IF(AND(Units!$K10=0,DW$1=Units!$O10),Units!$R10,IF(AND(DW$1&gt;=Units!$Q10,MOD(DW$1-Units!$Q10,12)=0),IF(AND(Units!$L10=1,DW$1=Units!$Q10),IF(Units!$J10&lt;&gt;"",Units!$J10,Mkt!DW11),Inputs!$B$15*Mkt!DW11+(1-Inputs!$B$15)*MIN(Mkt!DW11,DV11*(1+Inputs!$B$18))),DV11)))</f>
        <v>1989.7791053396</v>
      </c>
      <c r="DX11" s="11" t="n">
        <f aca="false">IF(DX$1&lt;Units!$P10,0,IF(AND(Units!$K10=0,DX$1=Units!$O10),Units!$R10,IF(AND(DX$1&gt;=Units!$Q10,MOD(DX$1-Units!$Q10,12)=0),IF(AND(Units!$L10=1,DX$1=Units!$Q10),IF(Units!$J10&lt;&gt;"",Units!$J10,Mkt!DX11),Inputs!$B$15*Mkt!DX11+(1-Inputs!$B$15)*MIN(Mkt!DX11,DW11*(1+Inputs!$B$18))),DW11)))</f>
        <v>1989.7791053396</v>
      </c>
      <c r="DY11" s="11" t="n">
        <f aca="false">IF(DY$1&lt;Units!$P10,0,IF(AND(Units!$K10=0,DY$1=Units!$O10),Units!$R10,IF(AND(DY$1&gt;=Units!$Q10,MOD(DY$1-Units!$Q10,12)=0),IF(AND(Units!$L10=1,DY$1=Units!$Q10),IF(Units!$J10&lt;&gt;"",Units!$J10,Mkt!DY11),Inputs!$B$15*Mkt!DY11+(1-Inputs!$B$15)*MIN(Mkt!DY11,DX11*(1+Inputs!$B$18))),DX11)))</f>
        <v>1989.7791053396</v>
      </c>
      <c r="DZ11" s="11" t="n">
        <f aca="false">IF(DZ$1&lt;Units!$P10,0,IF(AND(Units!$K10=0,DZ$1=Units!$O10),Units!$R10,IF(AND(DZ$1&gt;=Units!$Q10,MOD(DZ$1-Units!$Q10,12)=0),IF(AND(Units!$L10=1,DZ$1=Units!$Q10),IF(Units!$J10&lt;&gt;"",Units!$J10,Mkt!DZ11),Inputs!$B$15*Mkt!DZ11+(1-Inputs!$B$15)*MIN(Mkt!DZ11,DY11*(1+Inputs!$B$18))),DY11)))</f>
        <v>1989.7791053396</v>
      </c>
      <c r="EA11" s="11" t="n">
        <f aca="false">IF(EA$1&lt;Units!$P10,0,IF(AND(Units!$K10=0,EA$1=Units!$O10),Units!$R10,IF(AND(EA$1&gt;=Units!$Q10,MOD(EA$1-Units!$Q10,12)=0),IF(AND(Units!$L10=1,EA$1=Units!$Q10),IF(Units!$J10&lt;&gt;"",Units!$J10,Mkt!EA11),Inputs!$B$15*Mkt!EA11+(1-Inputs!$B$15)*MIN(Mkt!EA11,DZ11*(1+Inputs!$B$18))),DZ11)))</f>
        <v>2049.47247849979</v>
      </c>
      <c r="EB11" s="11" t="n">
        <f aca="false">IF(EB$1&lt;Units!$P10,0,IF(AND(Units!$K10=0,EB$1=Units!$O10),Units!$R10,IF(AND(EB$1&gt;=Units!$Q10,MOD(EB$1-Units!$Q10,12)=0),IF(AND(Units!$L10=1,EB$1=Units!$Q10),IF(Units!$J10&lt;&gt;"",Units!$J10,Mkt!EB11),Inputs!$B$15*Mkt!EB11+(1-Inputs!$B$15)*MIN(Mkt!EB11,EA11*(1+Inputs!$B$18))),EA11)))</f>
        <v>2049.47247849979</v>
      </c>
      <c r="EC11" s="11" t="n">
        <f aca="false">IF(EC$1&lt;Units!$P10,0,IF(AND(Units!$K10=0,EC$1=Units!$O10),Units!$R10,IF(AND(EC$1&gt;=Units!$Q10,MOD(EC$1-Units!$Q10,12)=0),IF(AND(Units!$L10=1,EC$1=Units!$Q10),IF(Units!$J10&lt;&gt;"",Units!$J10,Mkt!EC11),Inputs!$B$15*Mkt!EC11+(1-Inputs!$B$15)*MIN(Mkt!EC11,EB11*(1+Inputs!$B$18))),EB11)))</f>
        <v>2049.47247849979</v>
      </c>
      <c r="ED11" s="11" t="n">
        <f aca="false">IF(ED$1&lt;Units!$P10,0,IF(AND(Units!$K10=0,ED$1=Units!$O10),Units!$R10,IF(AND(ED$1&gt;=Units!$Q10,MOD(ED$1-Units!$Q10,12)=0),IF(AND(Units!$L10=1,ED$1=Units!$Q10),IF(Units!$J10&lt;&gt;"",Units!$J10,Mkt!ED11),Inputs!$B$15*Mkt!ED11+(1-Inputs!$B$15)*MIN(Mkt!ED11,EC11*(1+Inputs!$B$18))),EC11)))</f>
        <v>2049.47247849979</v>
      </c>
    </row>
    <row r="12" customFormat="false" ht="15" hidden="false" customHeight="false" outlineLevel="0" collapsed="false">
      <c r="A12" s="22" t="n">
        <f aca="false">Units!A11</f>
        <v>110</v>
      </c>
      <c r="B12" s="24" t="n">
        <f aca="false">IF(Units!K11=1,Units!F11,0)</f>
        <v>1500</v>
      </c>
      <c r="C12" s="11" t="n">
        <f aca="false">IF(C$1&lt;Units!$P11,0,IF(AND(Units!$K11=0,C$1=Units!$O11),Units!$R11,IF(AND(C$1&gt;=Units!$Q11,MOD(C$1-Units!$Q11,12)=0),IF(AND(Units!$L11=1,C$1=Units!$Q11),IF(Units!$J11&lt;&gt;"",Units!$J11,Mkt!C12),Inputs!$B$15*Mkt!C12+(1-Inputs!$B$15)*MIN(Mkt!C12,B12*(1+Inputs!$B$18))),B12)))</f>
        <v>1500</v>
      </c>
      <c r="D12" s="11" t="n">
        <f aca="false">IF(D$1&lt;Units!$P11,0,IF(AND(Units!$K11=0,D$1=Units!$O11),Units!$R11,IF(AND(D$1&gt;=Units!$Q11,MOD(D$1-Units!$Q11,12)=0),IF(AND(Units!$L11=1,D$1=Units!$Q11),IF(Units!$J11&lt;&gt;"",Units!$J11,Mkt!D12),Inputs!$B$15*Mkt!D12+(1-Inputs!$B$15)*MIN(Mkt!D12,C12*(1+Inputs!$B$18))),C12)))</f>
        <v>1500</v>
      </c>
      <c r="E12" s="11" t="n">
        <f aca="false">IF(E$1&lt;Units!$P11,0,IF(AND(Units!$K11=0,E$1=Units!$O11),Units!$R11,IF(AND(E$1&gt;=Units!$Q11,MOD(E$1-Units!$Q11,12)=0),IF(AND(Units!$L11=1,E$1=Units!$Q11),IF(Units!$J11&lt;&gt;"",Units!$J11,Mkt!E12),Inputs!$B$15*Mkt!E12+(1-Inputs!$B$15)*MIN(Mkt!E12,D12*(1+Inputs!$B$18))),D12)))</f>
        <v>1500</v>
      </c>
      <c r="F12" s="11" t="n">
        <f aca="false">IF(F$1&lt;Units!$P11,0,IF(AND(Units!$K11=0,F$1=Units!$O11),Units!$R11,IF(AND(F$1&gt;=Units!$Q11,MOD(F$1-Units!$Q11,12)=0),IF(AND(Units!$L11=1,F$1=Units!$Q11),IF(Units!$J11&lt;&gt;"",Units!$J11,Mkt!F12),Inputs!$B$15*Mkt!F12+(1-Inputs!$B$15)*MIN(Mkt!F12,E12*(1+Inputs!$B$18))),E12)))</f>
        <v>1500</v>
      </c>
      <c r="G12" s="11" t="n">
        <f aca="false">IF(G$1&lt;Units!$P11,0,IF(AND(Units!$K11=0,G$1=Units!$O11),Units!$R11,IF(AND(G$1&gt;=Units!$Q11,MOD(G$1-Units!$Q11,12)=0),IF(AND(Units!$L11=1,G$1=Units!$Q11),IF(Units!$J11&lt;&gt;"",Units!$J11,Mkt!G12),Inputs!$B$15*Mkt!G12+(1-Inputs!$B$15)*MIN(Mkt!G12,F12*(1+Inputs!$B$18))),F12)))</f>
        <v>1500</v>
      </c>
      <c r="H12" s="11" t="n">
        <f aca="false">IF(H$1&lt;Units!$P11,0,IF(AND(Units!$K11=0,H$1=Units!$O11),Units!$R11,IF(AND(H$1&gt;=Units!$Q11,MOD(H$1-Units!$Q11,12)=0),IF(AND(Units!$L11=1,H$1=Units!$Q11),IF(Units!$J11&lt;&gt;"",Units!$J11,Mkt!H12),Inputs!$B$15*Mkt!H12+(1-Inputs!$B$15)*MIN(Mkt!H12,G12*(1+Inputs!$B$18))),G12)))</f>
        <v>1500</v>
      </c>
      <c r="I12" s="11" t="n">
        <f aca="false">IF(I$1&lt;Units!$P11,0,IF(AND(Units!$K11=0,I$1=Units!$O11),Units!$R11,IF(AND(I$1&gt;=Units!$Q11,MOD(I$1-Units!$Q11,12)=0),IF(AND(Units!$L11=1,I$1=Units!$Q11),IF(Units!$J11&lt;&gt;"",Units!$J11,Mkt!I12),Inputs!$B$15*Mkt!I12+(1-Inputs!$B$15)*MIN(Mkt!I12,H12*(1+Inputs!$B$18))),H12)))</f>
        <v>1500</v>
      </c>
      <c r="J12" s="11" t="n">
        <f aca="false">IF(J$1&lt;Units!$P11,0,IF(AND(Units!$K11=0,J$1=Units!$O11),Units!$R11,IF(AND(J$1&gt;=Units!$Q11,MOD(J$1-Units!$Q11,12)=0),IF(AND(Units!$L11=1,J$1=Units!$Q11),IF(Units!$J11&lt;&gt;"",Units!$J11,Mkt!J12),Inputs!$B$15*Mkt!J12+(1-Inputs!$B$15)*MIN(Mkt!J12,I12*(1+Inputs!$B$18))),I12)))</f>
        <v>1500</v>
      </c>
      <c r="K12" s="11" t="n">
        <f aca="false">IF(K$1&lt;Units!$P11,0,IF(AND(Units!$K11=0,K$1=Units!$O11),Units!$R11,IF(AND(K$1&gt;=Units!$Q11,MOD(K$1-Units!$Q11,12)=0),IF(AND(Units!$L11=1,K$1=Units!$Q11),IF(Units!$J11&lt;&gt;"",Units!$J11,Mkt!K12),Inputs!$B$15*Mkt!K12+(1-Inputs!$B$15)*MIN(Mkt!K12,J12*(1+Inputs!$B$18))),J12)))</f>
        <v>1500</v>
      </c>
      <c r="L12" s="11" t="n">
        <f aca="false">IF(L$1&lt;Units!$P11,0,IF(AND(Units!$K11=0,L$1=Units!$O11),Units!$R11,IF(AND(L$1&gt;=Units!$Q11,MOD(L$1-Units!$Q11,12)=0),IF(AND(Units!$L11=1,L$1=Units!$Q11),IF(Units!$J11&lt;&gt;"",Units!$J11,Mkt!L12),Inputs!$B$15*Mkt!L12+(1-Inputs!$B$15)*MIN(Mkt!L12,K12*(1+Inputs!$B$18))),K12)))</f>
        <v>1500</v>
      </c>
      <c r="M12" s="11" t="n">
        <f aca="false">IF(M$1&lt;Units!$P11,0,IF(AND(Units!$K11=0,M$1=Units!$O11),Units!$R11,IF(AND(M$1&gt;=Units!$Q11,MOD(M$1-Units!$Q11,12)=0),IF(AND(Units!$L11=1,M$1=Units!$Q11),IF(Units!$J11&lt;&gt;"",Units!$J11,Mkt!M12),Inputs!$B$15*Mkt!M12+(1-Inputs!$B$15)*MIN(Mkt!M12,L12*(1+Inputs!$B$18))),L12)))</f>
        <v>1500</v>
      </c>
      <c r="N12" s="11" t="n">
        <f aca="false">IF(N$1&lt;Units!$P11,0,IF(AND(Units!$K11=0,N$1=Units!$O11),Units!$R11,IF(AND(N$1&gt;=Units!$Q11,MOD(N$1-Units!$Q11,12)=0),IF(AND(Units!$L11=1,N$1=Units!$Q11),IF(Units!$J11&lt;&gt;"",Units!$J11,Mkt!N12),Inputs!$B$15*Mkt!N12+(1-Inputs!$B$15)*MIN(Mkt!N12,M12*(1+Inputs!$B$18))),M12)))</f>
        <v>1525</v>
      </c>
      <c r="O12" s="11" t="n">
        <f aca="false">IF(O$1&lt;Units!$P11,0,IF(AND(Units!$K11=0,O$1=Units!$O11),Units!$R11,IF(AND(O$1&gt;=Units!$Q11,MOD(O$1-Units!$Q11,12)=0),IF(AND(Units!$L11=1,O$1=Units!$Q11),IF(Units!$J11&lt;&gt;"",Units!$J11,Mkt!O12),Inputs!$B$15*Mkt!O12+(1-Inputs!$B$15)*MIN(Mkt!O12,N12*(1+Inputs!$B$18))),N12)))</f>
        <v>1525</v>
      </c>
      <c r="P12" s="11" t="n">
        <f aca="false">IF(P$1&lt;Units!$P11,0,IF(AND(Units!$K11=0,P$1=Units!$O11),Units!$R11,IF(AND(P$1&gt;=Units!$Q11,MOD(P$1-Units!$Q11,12)=0),IF(AND(Units!$L11=1,P$1=Units!$Q11),IF(Units!$J11&lt;&gt;"",Units!$J11,Mkt!P12),Inputs!$B$15*Mkt!P12+(1-Inputs!$B$15)*MIN(Mkt!P12,O12*(1+Inputs!$B$18))),O12)))</f>
        <v>1525</v>
      </c>
      <c r="Q12" s="11" t="n">
        <f aca="false">IF(Q$1&lt;Units!$P11,0,IF(AND(Units!$K11=0,Q$1=Units!$O11),Units!$R11,IF(AND(Q$1&gt;=Units!$Q11,MOD(Q$1-Units!$Q11,12)=0),IF(AND(Units!$L11=1,Q$1=Units!$Q11),IF(Units!$J11&lt;&gt;"",Units!$J11,Mkt!Q12),Inputs!$B$15*Mkt!Q12+(1-Inputs!$B$15)*MIN(Mkt!Q12,P12*(1+Inputs!$B$18))),P12)))</f>
        <v>1525</v>
      </c>
      <c r="R12" s="11" t="n">
        <f aca="false">IF(R$1&lt;Units!$P11,0,IF(AND(Units!$K11=0,R$1=Units!$O11),Units!$R11,IF(AND(R$1&gt;=Units!$Q11,MOD(R$1-Units!$Q11,12)=0),IF(AND(Units!$L11=1,R$1=Units!$Q11),IF(Units!$J11&lt;&gt;"",Units!$J11,Mkt!R12),Inputs!$B$15*Mkt!R12+(1-Inputs!$B$15)*MIN(Mkt!R12,Q12*(1+Inputs!$B$18))),Q12)))</f>
        <v>1525</v>
      </c>
      <c r="S12" s="11" t="n">
        <f aca="false">IF(S$1&lt;Units!$P11,0,IF(AND(Units!$K11=0,S$1=Units!$O11),Units!$R11,IF(AND(S$1&gt;=Units!$Q11,MOD(S$1-Units!$Q11,12)=0),IF(AND(Units!$L11=1,S$1=Units!$Q11),IF(Units!$J11&lt;&gt;"",Units!$J11,Mkt!S12),Inputs!$B$15*Mkt!S12+(1-Inputs!$B$15)*MIN(Mkt!S12,R12*(1+Inputs!$B$18))),R12)))</f>
        <v>1525</v>
      </c>
      <c r="T12" s="11" t="n">
        <f aca="false">IF(T$1&lt;Units!$P11,0,IF(AND(Units!$K11=0,T$1=Units!$O11),Units!$R11,IF(AND(T$1&gt;=Units!$Q11,MOD(T$1-Units!$Q11,12)=0),IF(AND(Units!$L11=1,T$1=Units!$Q11),IF(Units!$J11&lt;&gt;"",Units!$J11,Mkt!T12),Inputs!$B$15*Mkt!T12+(1-Inputs!$B$15)*MIN(Mkt!T12,S12*(1+Inputs!$B$18))),S12)))</f>
        <v>1525</v>
      </c>
      <c r="U12" s="11" t="n">
        <f aca="false">IF(U$1&lt;Units!$P11,0,IF(AND(Units!$K11=0,U$1=Units!$O11),Units!$R11,IF(AND(U$1&gt;=Units!$Q11,MOD(U$1-Units!$Q11,12)=0),IF(AND(Units!$L11=1,U$1=Units!$Q11),IF(Units!$J11&lt;&gt;"",Units!$J11,Mkt!U12),Inputs!$B$15*Mkt!U12+(1-Inputs!$B$15)*MIN(Mkt!U12,T12*(1+Inputs!$B$18))),T12)))</f>
        <v>1525</v>
      </c>
      <c r="V12" s="11" t="n">
        <f aca="false">IF(V$1&lt;Units!$P11,0,IF(AND(Units!$K11=0,V$1=Units!$O11),Units!$R11,IF(AND(V$1&gt;=Units!$Q11,MOD(V$1-Units!$Q11,12)=0),IF(AND(Units!$L11=1,V$1=Units!$Q11),IF(Units!$J11&lt;&gt;"",Units!$J11,Mkt!V12),Inputs!$B$15*Mkt!V12+(1-Inputs!$B$15)*MIN(Mkt!V12,U12*(1+Inputs!$B$18))),U12)))</f>
        <v>1525</v>
      </c>
      <c r="W12" s="11" t="n">
        <f aca="false">IF(W$1&lt;Units!$P11,0,IF(AND(Units!$K11=0,W$1=Units!$O11),Units!$R11,IF(AND(W$1&gt;=Units!$Q11,MOD(W$1-Units!$Q11,12)=0),IF(AND(Units!$L11=1,W$1=Units!$Q11),IF(Units!$J11&lt;&gt;"",Units!$J11,Mkt!W12),Inputs!$B$15*Mkt!W12+(1-Inputs!$B$15)*MIN(Mkt!W12,V12*(1+Inputs!$B$18))),V12)))</f>
        <v>1525</v>
      </c>
      <c r="X12" s="11" t="n">
        <f aca="false">IF(X$1&lt;Units!$P11,0,IF(AND(Units!$K11=0,X$1=Units!$O11),Units!$R11,IF(AND(X$1&gt;=Units!$Q11,MOD(X$1-Units!$Q11,12)=0),IF(AND(Units!$L11=1,X$1=Units!$Q11),IF(Units!$J11&lt;&gt;"",Units!$J11,Mkt!X12),Inputs!$B$15*Mkt!X12+(1-Inputs!$B$15)*MIN(Mkt!X12,W12*(1+Inputs!$B$18))),W12)))</f>
        <v>1525</v>
      </c>
      <c r="Y12" s="11" t="n">
        <f aca="false">IF(Y$1&lt;Units!$P11,0,IF(AND(Units!$K11=0,Y$1=Units!$O11),Units!$R11,IF(AND(Y$1&gt;=Units!$Q11,MOD(Y$1-Units!$Q11,12)=0),IF(AND(Units!$L11=1,Y$1=Units!$Q11),IF(Units!$J11&lt;&gt;"",Units!$J11,Mkt!Y12),Inputs!$B$15*Mkt!Y12+(1-Inputs!$B$15)*MIN(Mkt!Y12,X12*(1+Inputs!$B$18))),X12)))</f>
        <v>1525</v>
      </c>
      <c r="Z12" s="11" t="n">
        <f aca="false">IF(Z$1&lt;Units!$P11,0,IF(AND(Units!$K11=0,Z$1=Units!$O11),Units!$R11,IF(AND(Z$1&gt;=Units!$Q11,MOD(Z$1-Units!$Q11,12)=0),IF(AND(Units!$L11=1,Z$1=Units!$Q11),IF(Units!$J11&lt;&gt;"",Units!$J11,Mkt!Z12),Inputs!$B$15*Mkt!Z12+(1-Inputs!$B$15)*MIN(Mkt!Z12,Y12*(1+Inputs!$B$18))),Y12)))</f>
        <v>1570.75</v>
      </c>
      <c r="AA12" s="11" t="n">
        <f aca="false">IF(AA$1&lt;Units!$P11,0,IF(AND(Units!$K11=0,AA$1=Units!$O11),Units!$R11,IF(AND(AA$1&gt;=Units!$Q11,MOD(AA$1-Units!$Q11,12)=0),IF(AND(Units!$L11=1,AA$1=Units!$Q11),IF(Units!$J11&lt;&gt;"",Units!$J11,Mkt!AA12),Inputs!$B$15*Mkt!AA12+(1-Inputs!$B$15)*MIN(Mkt!AA12,Z12*(1+Inputs!$B$18))),Z12)))</f>
        <v>1570.75</v>
      </c>
      <c r="AB12" s="11" t="n">
        <f aca="false">IF(AB$1&lt;Units!$P11,0,IF(AND(Units!$K11=0,AB$1=Units!$O11),Units!$R11,IF(AND(AB$1&gt;=Units!$Q11,MOD(AB$1-Units!$Q11,12)=0),IF(AND(Units!$L11=1,AB$1=Units!$Q11),IF(Units!$J11&lt;&gt;"",Units!$J11,Mkt!AB12),Inputs!$B$15*Mkt!AB12+(1-Inputs!$B$15)*MIN(Mkt!AB12,AA12*(1+Inputs!$B$18))),AA12)))</f>
        <v>1570.75</v>
      </c>
      <c r="AC12" s="11" t="n">
        <f aca="false">IF(AC$1&lt;Units!$P11,0,IF(AND(Units!$K11=0,AC$1=Units!$O11),Units!$R11,IF(AND(AC$1&gt;=Units!$Q11,MOD(AC$1-Units!$Q11,12)=0),IF(AND(Units!$L11=1,AC$1=Units!$Q11),IF(Units!$J11&lt;&gt;"",Units!$J11,Mkt!AC12),Inputs!$B$15*Mkt!AC12+(1-Inputs!$B$15)*MIN(Mkt!AC12,AB12*(1+Inputs!$B$18))),AB12)))</f>
        <v>1570.75</v>
      </c>
      <c r="AD12" s="11" t="n">
        <f aca="false">IF(AD$1&lt;Units!$P11,0,IF(AND(Units!$K11=0,AD$1=Units!$O11),Units!$R11,IF(AND(AD$1&gt;=Units!$Q11,MOD(AD$1-Units!$Q11,12)=0),IF(AND(Units!$L11=1,AD$1=Units!$Q11),IF(Units!$J11&lt;&gt;"",Units!$J11,Mkt!AD12),Inputs!$B$15*Mkt!AD12+(1-Inputs!$B$15)*MIN(Mkt!AD12,AC12*(1+Inputs!$B$18))),AC12)))</f>
        <v>1570.75</v>
      </c>
      <c r="AE12" s="11" t="n">
        <f aca="false">IF(AE$1&lt;Units!$P11,0,IF(AND(Units!$K11=0,AE$1=Units!$O11),Units!$R11,IF(AND(AE$1&gt;=Units!$Q11,MOD(AE$1-Units!$Q11,12)=0),IF(AND(Units!$L11=1,AE$1=Units!$Q11),IF(Units!$J11&lt;&gt;"",Units!$J11,Mkt!AE12),Inputs!$B$15*Mkt!AE12+(1-Inputs!$B$15)*MIN(Mkt!AE12,AD12*(1+Inputs!$B$18))),AD12)))</f>
        <v>1570.75</v>
      </c>
      <c r="AF12" s="11" t="n">
        <f aca="false">IF(AF$1&lt;Units!$P11,0,IF(AND(Units!$K11=0,AF$1=Units!$O11),Units!$R11,IF(AND(AF$1&gt;=Units!$Q11,MOD(AF$1-Units!$Q11,12)=0),IF(AND(Units!$L11=1,AF$1=Units!$Q11),IF(Units!$J11&lt;&gt;"",Units!$J11,Mkt!AF12),Inputs!$B$15*Mkt!AF12+(1-Inputs!$B$15)*MIN(Mkt!AF12,AE12*(1+Inputs!$B$18))),AE12)))</f>
        <v>1570.75</v>
      </c>
      <c r="AG12" s="11" t="n">
        <f aca="false">IF(AG$1&lt;Units!$P11,0,IF(AND(Units!$K11=0,AG$1=Units!$O11),Units!$R11,IF(AND(AG$1&gt;=Units!$Q11,MOD(AG$1-Units!$Q11,12)=0),IF(AND(Units!$L11=1,AG$1=Units!$Q11),IF(Units!$J11&lt;&gt;"",Units!$J11,Mkt!AG12),Inputs!$B$15*Mkt!AG12+(1-Inputs!$B$15)*MIN(Mkt!AG12,AF12*(1+Inputs!$B$18))),AF12)))</f>
        <v>1570.75</v>
      </c>
      <c r="AH12" s="11" t="n">
        <f aca="false">IF(AH$1&lt;Units!$P11,0,IF(AND(Units!$K11=0,AH$1=Units!$O11),Units!$R11,IF(AND(AH$1&gt;=Units!$Q11,MOD(AH$1-Units!$Q11,12)=0),IF(AND(Units!$L11=1,AH$1=Units!$Q11),IF(Units!$J11&lt;&gt;"",Units!$J11,Mkt!AH12),Inputs!$B$15*Mkt!AH12+(1-Inputs!$B$15)*MIN(Mkt!AH12,AG12*(1+Inputs!$B$18))),AG12)))</f>
        <v>1570.75</v>
      </c>
      <c r="AI12" s="11" t="n">
        <f aca="false">IF(AI$1&lt;Units!$P11,0,IF(AND(Units!$K11=0,AI$1=Units!$O11),Units!$R11,IF(AND(AI$1&gt;=Units!$Q11,MOD(AI$1-Units!$Q11,12)=0),IF(AND(Units!$L11=1,AI$1=Units!$Q11),IF(Units!$J11&lt;&gt;"",Units!$J11,Mkt!AI12),Inputs!$B$15*Mkt!AI12+(1-Inputs!$B$15)*MIN(Mkt!AI12,AH12*(1+Inputs!$B$18))),AH12)))</f>
        <v>1570.75</v>
      </c>
      <c r="AJ12" s="11" t="n">
        <f aca="false">IF(AJ$1&lt;Units!$P11,0,IF(AND(Units!$K11=0,AJ$1=Units!$O11),Units!$R11,IF(AND(AJ$1&gt;=Units!$Q11,MOD(AJ$1-Units!$Q11,12)=0),IF(AND(Units!$L11=1,AJ$1=Units!$Q11),IF(Units!$J11&lt;&gt;"",Units!$J11,Mkt!AJ12),Inputs!$B$15*Mkt!AJ12+(1-Inputs!$B$15)*MIN(Mkt!AJ12,AI12*(1+Inputs!$B$18))),AI12)))</f>
        <v>1570.75</v>
      </c>
      <c r="AK12" s="11" t="n">
        <f aca="false">IF(AK$1&lt;Units!$P11,0,IF(AND(Units!$K11=0,AK$1=Units!$O11),Units!$R11,IF(AND(AK$1&gt;=Units!$Q11,MOD(AK$1-Units!$Q11,12)=0),IF(AND(Units!$L11=1,AK$1=Units!$Q11),IF(Units!$J11&lt;&gt;"",Units!$J11,Mkt!AK12),Inputs!$B$15*Mkt!AK12+(1-Inputs!$B$15)*MIN(Mkt!AK12,AJ12*(1+Inputs!$B$18))),AJ12)))</f>
        <v>1570.75</v>
      </c>
      <c r="AL12" s="11" t="n">
        <f aca="false">IF(AL$1&lt;Units!$P11,0,IF(AND(Units!$K11=0,AL$1=Units!$O11),Units!$R11,IF(AND(AL$1&gt;=Units!$Q11,MOD(AL$1-Units!$Q11,12)=0),IF(AND(Units!$L11=1,AL$1=Units!$Q11),IF(Units!$J11&lt;&gt;"",Units!$J11,Mkt!AL12),Inputs!$B$15*Mkt!AL12+(1-Inputs!$B$15)*MIN(Mkt!AL12,AK12*(1+Inputs!$B$18))),AK12)))</f>
        <v>1617.8725</v>
      </c>
      <c r="AM12" s="11" t="n">
        <f aca="false">IF(AM$1&lt;Units!$P11,0,IF(AND(Units!$K11=0,AM$1=Units!$O11),Units!$R11,IF(AND(AM$1&gt;=Units!$Q11,MOD(AM$1-Units!$Q11,12)=0),IF(AND(Units!$L11=1,AM$1=Units!$Q11),IF(Units!$J11&lt;&gt;"",Units!$J11,Mkt!AM12),Inputs!$B$15*Mkt!AM12+(1-Inputs!$B$15)*MIN(Mkt!AM12,AL12*(1+Inputs!$B$18))),AL12)))</f>
        <v>1617.8725</v>
      </c>
      <c r="AN12" s="11" t="n">
        <f aca="false">IF(AN$1&lt;Units!$P11,0,IF(AND(Units!$K11=0,AN$1=Units!$O11),Units!$R11,IF(AND(AN$1&gt;=Units!$Q11,MOD(AN$1-Units!$Q11,12)=0),IF(AND(Units!$L11=1,AN$1=Units!$Q11),IF(Units!$J11&lt;&gt;"",Units!$J11,Mkt!AN12),Inputs!$B$15*Mkt!AN12+(1-Inputs!$B$15)*MIN(Mkt!AN12,AM12*(1+Inputs!$B$18))),AM12)))</f>
        <v>1617.8725</v>
      </c>
      <c r="AO12" s="11" t="n">
        <f aca="false">IF(AO$1&lt;Units!$P11,0,IF(AND(Units!$K11=0,AO$1=Units!$O11),Units!$R11,IF(AND(AO$1&gt;=Units!$Q11,MOD(AO$1-Units!$Q11,12)=0),IF(AND(Units!$L11=1,AO$1=Units!$Q11),IF(Units!$J11&lt;&gt;"",Units!$J11,Mkt!AO12),Inputs!$B$15*Mkt!AO12+(1-Inputs!$B$15)*MIN(Mkt!AO12,AN12*(1+Inputs!$B$18))),AN12)))</f>
        <v>1617.8725</v>
      </c>
      <c r="AP12" s="11" t="n">
        <f aca="false">IF(AP$1&lt;Units!$P11,0,IF(AND(Units!$K11=0,AP$1=Units!$O11),Units!$R11,IF(AND(AP$1&gt;=Units!$Q11,MOD(AP$1-Units!$Q11,12)=0),IF(AND(Units!$L11=1,AP$1=Units!$Q11),IF(Units!$J11&lt;&gt;"",Units!$J11,Mkt!AP12),Inputs!$B$15*Mkt!AP12+(1-Inputs!$B$15)*MIN(Mkt!AP12,AO12*(1+Inputs!$B$18))),AO12)))</f>
        <v>1617.8725</v>
      </c>
      <c r="AQ12" s="11" t="n">
        <f aca="false">IF(AQ$1&lt;Units!$P11,0,IF(AND(Units!$K11=0,AQ$1=Units!$O11),Units!$R11,IF(AND(AQ$1&gt;=Units!$Q11,MOD(AQ$1-Units!$Q11,12)=0),IF(AND(Units!$L11=1,AQ$1=Units!$Q11),IF(Units!$J11&lt;&gt;"",Units!$J11,Mkt!AQ12),Inputs!$B$15*Mkt!AQ12+(1-Inputs!$B$15)*MIN(Mkt!AQ12,AP12*(1+Inputs!$B$18))),AP12)))</f>
        <v>1617.8725</v>
      </c>
      <c r="AR12" s="11" t="n">
        <f aca="false">IF(AR$1&lt;Units!$P11,0,IF(AND(Units!$K11=0,AR$1=Units!$O11),Units!$R11,IF(AND(AR$1&gt;=Units!$Q11,MOD(AR$1-Units!$Q11,12)=0),IF(AND(Units!$L11=1,AR$1=Units!$Q11),IF(Units!$J11&lt;&gt;"",Units!$J11,Mkt!AR12),Inputs!$B$15*Mkt!AR12+(1-Inputs!$B$15)*MIN(Mkt!AR12,AQ12*(1+Inputs!$B$18))),AQ12)))</f>
        <v>1617.8725</v>
      </c>
      <c r="AS12" s="11" t="n">
        <f aca="false">IF(AS$1&lt;Units!$P11,0,IF(AND(Units!$K11=0,AS$1=Units!$O11),Units!$R11,IF(AND(AS$1&gt;=Units!$Q11,MOD(AS$1-Units!$Q11,12)=0),IF(AND(Units!$L11=1,AS$1=Units!$Q11),IF(Units!$J11&lt;&gt;"",Units!$J11,Mkt!AS12),Inputs!$B$15*Mkt!AS12+(1-Inputs!$B$15)*MIN(Mkt!AS12,AR12*(1+Inputs!$B$18))),AR12)))</f>
        <v>1617.8725</v>
      </c>
      <c r="AT12" s="11" t="n">
        <f aca="false">IF(AT$1&lt;Units!$P11,0,IF(AND(Units!$K11=0,AT$1=Units!$O11),Units!$R11,IF(AND(AT$1&gt;=Units!$Q11,MOD(AT$1-Units!$Q11,12)=0),IF(AND(Units!$L11=1,AT$1=Units!$Q11),IF(Units!$J11&lt;&gt;"",Units!$J11,Mkt!AT12),Inputs!$B$15*Mkt!AT12+(1-Inputs!$B$15)*MIN(Mkt!AT12,AS12*(1+Inputs!$B$18))),AS12)))</f>
        <v>1617.8725</v>
      </c>
      <c r="AU12" s="11" t="n">
        <f aca="false">IF(AU$1&lt;Units!$P11,0,IF(AND(Units!$K11=0,AU$1=Units!$O11),Units!$R11,IF(AND(AU$1&gt;=Units!$Q11,MOD(AU$1-Units!$Q11,12)=0),IF(AND(Units!$L11=1,AU$1=Units!$Q11),IF(Units!$J11&lt;&gt;"",Units!$J11,Mkt!AU12),Inputs!$B$15*Mkt!AU12+(1-Inputs!$B$15)*MIN(Mkt!AU12,AT12*(1+Inputs!$B$18))),AT12)))</f>
        <v>1617.8725</v>
      </c>
      <c r="AV12" s="11" t="n">
        <f aca="false">IF(AV$1&lt;Units!$P11,0,IF(AND(Units!$K11=0,AV$1=Units!$O11),Units!$R11,IF(AND(AV$1&gt;=Units!$Q11,MOD(AV$1-Units!$Q11,12)=0),IF(AND(Units!$L11=1,AV$1=Units!$Q11),IF(Units!$J11&lt;&gt;"",Units!$J11,Mkt!AV12),Inputs!$B$15*Mkt!AV12+(1-Inputs!$B$15)*MIN(Mkt!AV12,AU12*(1+Inputs!$B$18))),AU12)))</f>
        <v>1617.8725</v>
      </c>
      <c r="AW12" s="11" t="n">
        <f aca="false">IF(AW$1&lt;Units!$P11,0,IF(AND(Units!$K11=0,AW$1=Units!$O11),Units!$R11,IF(AND(AW$1&gt;=Units!$Q11,MOD(AW$1-Units!$Q11,12)=0),IF(AND(Units!$L11=1,AW$1=Units!$Q11),IF(Units!$J11&lt;&gt;"",Units!$J11,Mkt!AW12),Inputs!$B$15*Mkt!AW12+(1-Inputs!$B$15)*MIN(Mkt!AW12,AV12*(1+Inputs!$B$18))),AV12)))</f>
        <v>1617.8725</v>
      </c>
      <c r="AX12" s="11" t="n">
        <f aca="false">IF(AX$1&lt;Units!$P11,0,IF(AND(Units!$K11=0,AX$1=Units!$O11),Units!$R11,IF(AND(AX$1&gt;=Units!$Q11,MOD(AX$1-Units!$Q11,12)=0),IF(AND(Units!$L11=1,AX$1=Units!$Q11),IF(Units!$J11&lt;&gt;"",Units!$J11,Mkt!AX12),Inputs!$B$15*Mkt!AX12+(1-Inputs!$B$15)*MIN(Mkt!AX12,AW12*(1+Inputs!$B$18))),AW12)))</f>
        <v>1666.408675</v>
      </c>
      <c r="AY12" s="11" t="n">
        <f aca="false">IF(AY$1&lt;Units!$P11,0,IF(AND(Units!$K11=0,AY$1=Units!$O11),Units!$R11,IF(AND(AY$1&gt;=Units!$Q11,MOD(AY$1-Units!$Q11,12)=0),IF(AND(Units!$L11=1,AY$1=Units!$Q11),IF(Units!$J11&lt;&gt;"",Units!$J11,Mkt!AY12),Inputs!$B$15*Mkt!AY12+(1-Inputs!$B$15)*MIN(Mkt!AY12,AX12*(1+Inputs!$B$18))),AX12)))</f>
        <v>1666.408675</v>
      </c>
      <c r="AZ12" s="11" t="n">
        <f aca="false">IF(AZ$1&lt;Units!$P11,0,IF(AND(Units!$K11=0,AZ$1=Units!$O11),Units!$R11,IF(AND(AZ$1&gt;=Units!$Q11,MOD(AZ$1-Units!$Q11,12)=0),IF(AND(Units!$L11=1,AZ$1=Units!$Q11),IF(Units!$J11&lt;&gt;"",Units!$J11,Mkt!AZ12),Inputs!$B$15*Mkt!AZ12+(1-Inputs!$B$15)*MIN(Mkt!AZ12,AY12*(1+Inputs!$B$18))),AY12)))</f>
        <v>1666.408675</v>
      </c>
      <c r="BA12" s="11" t="n">
        <f aca="false">IF(BA$1&lt;Units!$P11,0,IF(AND(Units!$K11=0,BA$1=Units!$O11),Units!$R11,IF(AND(BA$1&gt;=Units!$Q11,MOD(BA$1-Units!$Q11,12)=0),IF(AND(Units!$L11=1,BA$1=Units!$Q11),IF(Units!$J11&lt;&gt;"",Units!$J11,Mkt!BA12),Inputs!$B$15*Mkt!BA12+(1-Inputs!$B$15)*MIN(Mkt!BA12,AZ12*(1+Inputs!$B$18))),AZ12)))</f>
        <v>1666.408675</v>
      </c>
      <c r="BB12" s="11" t="n">
        <f aca="false">IF(BB$1&lt;Units!$P11,0,IF(AND(Units!$K11=0,BB$1=Units!$O11),Units!$R11,IF(AND(BB$1&gt;=Units!$Q11,MOD(BB$1-Units!$Q11,12)=0),IF(AND(Units!$L11=1,BB$1=Units!$Q11),IF(Units!$J11&lt;&gt;"",Units!$J11,Mkt!BB12),Inputs!$B$15*Mkt!BB12+(1-Inputs!$B$15)*MIN(Mkt!BB12,BA12*(1+Inputs!$B$18))),BA12)))</f>
        <v>1666.408675</v>
      </c>
      <c r="BC12" s="11" t="n">
        <f aca="false">IF(BC$1&lt;Units!$P11,0,IF(AND(Units!$K11=0,BC$1=Units!$O11),Units!$R11,IF(AND(BC$1&gt;=Units!$Q11,MOD(BC$1-Units!$Q11,12)=0),IF(AND(Units!$L11=1,BC$1=Units!$Q11),IF(Units!$J11&lt;&gt;"",Units!$J11,Mkt!BC12),Inputs!$B$15*Mkt!BC12+(1-Inputs!$B$15)*MIN(Mkt!BC12,BB12*(1+Inputs!$B$18))),BB12)))</f>
        <v>1666.408675</v>
      </c>
      <c r="BD12" s="11" t="n">
        <f aca="false">IF(BD$1&lt;Units!$P11,0,IF(AND(Units!$K11=0,BD$1=Units!$O11),Units!$R11,IF(AND(BD$1&gt;=Units!$Q11,MOD(BD$1-Units!$Q11,12)=0),IF(AND(Units!$L11=1,BD$1=Units!$Q11),IF(Units!$J11&lt;&gt;"",Units!$J11,Mkt!BD12),Inputs!$B$15*Mkt!BD12+(1-Inputs!$B$15)*MIN(Mkt!BD12,BC12*(1+Inputs!$B$18))),BC12)))</f>
        <v>1666.408675</v>
      </c>
      <c r="BE12" s="11" t="n">
        <f aca="false">IF(BE$1&lt;Units!$P11,0,IF(AND(Units!$K11=0,BE$1=Units!$O11),Units!$R11,IF(AND(BE$1&gt;=Units!$Q11,MOD(BE$1-Units!$Q11,12)=0),IF(AND(Units!$L11=1,BE$1=Units!$Q11),IF(Units!$J11&lt;&gt;"",Units!$J11,Mkt!BE12),Inputs!$B$15*Mkt!BE12+(1-Inputs!$B$15)*MIN(Mkt!BE12,BD12*(1+Inputs!$B$18))),BD12)))</f>
        <v>1666.408675</v>
      </c>
      <c r="BF12" s="11" t="n">
        <f aca="false">IF(BF$1&lt;Units!$P11,0,IF(AND(Units!$K11=0,BF$1=Units!$O11),Units!$R11,IF(AND(BF$1&gt;=Units!$Q11,MOD(BF$1-Units!$Q11,12)=0),IF(AND(Units!$L11=1,BF$1=Units!$Q11),IF(Units!$J11&lt;&gt;"",Units!$J11,Mkt!BF12),Inputs!$B$15*Mkt!BF12+(1-Inputs!$B$15)*MIN(Mkt!BF12,BE12*(1+Inputs!$B$18))),BE12)))</f>
        <v>1666.408675</v>
      </c>
      <c r="BG12" s="11" t="n">
        <f aca="false">IF(BG$1&lt;Units!$P11,0,IF(AND(Units!$K11=0,BG$1=Units!$O11),Units!$R11,IF(AND(BG$1&gt;=Units!$Q11,MOD(BG$1-Units!$Q11,12)=0),IF(AND(Units!$L11=1,BG$1=Units!$Q11),IF(Units!$J11&lt;&gt;"",Units!$J11,Mkt!BG12),Inputs!$B$15*Mkt!BG12+(1-Inputs!$B$15)*MIN(Mkt!BG12,BF12*(1+Inputs!$B$18))),BF12)))</f>
        <v>1666.408675</v>
      </c>
      <c r="BH12" s="11" t="n">
        <f aca="false">IF(BH$1&lt;Units!$P11,0,IF(AND(Units!$K11=0,BH$1=Units!$O11),Units!$R11,IF(AND(BH$1&gt;=Units!$Q11,MOD(BH$1-Units!$Q11,12)=0),IF(AND(Units!$L11=1,BH$1=Units!$Q11),IF(Units!$J11&lt;&gt;"",Units!$J11,Mkt!BH12),Inputs!$B$15*Mkt!BH12+(1-Inputs!$B$15)*MIN(Mkt!BH12,BG12*(1+Inputs!$B$18))),BG12)))</f>
        <v>1666.408675</v>
      </c>
      <c r="BI12" s="11" t="n">
        <f aca="false">IF(BI$1&lt;Units!$P11,0,IF(AND(Units!$K11=0,BI$1=Units!$O11),Units!$R11,IF(AND(BI$1&gt;=Units!$Q11,MOD(BI$1-Units!$Q11,12)=0),IF(AND(Units!$L11=1,BI$1=Units!$Q11),IF(Units!$J11&lt;&gt;"",Units!$J11,Mkt!BI12),Inputs!$B$15*Mkt!BI12+(1-Inputs!$B$15)*MIN(Mkt!BI12,BH12*(1+Inputs!$B$18))),BH12)))</f>
        <v>1666.408675</v>
      </c>
      <c r="BJ12" s="11" t="n">
        <f aca="false">IF(BJ$1&lt;Units!$P11,0,IF(AND(Units!$K11=0,BJ$1=Units!$O11),Units!$R11,IF(AND(BJ$1&gt;=Units!$Q11,MOD(BJ$1-Units!$Q11,12)=0),IF(AND(Units!$L11=1,BJ$1=Units!$Q11),IF(Units!$J11&lt;&gt;"",Units!$J11,Mkt!BJ12),Inputs!$B$15*Mkt!BJ12+(1-Inputs!$B$15)*MIN(Mkt!BJ12,BI12*(1+Inputs!$B$18))),BI12)))</f>
        <v>1716.40093525</v>
      </c>
      <c r="BK12" s="11" t="n">
        <f aca="false">IF(BK$1&lt;Units!$P11,0,IF(AND(Units!$K11=0,BK$1=Units!$O11),Units!$R11,IF(AND(BK$1&gt;=Units!$Q11,MOD(BK$1-Units!$Q11,12)=0),IF(AND(Units!$L11=1,BK$1=Units!$Q11),IF(Units!$J11&lt;&gt;"",Units!$J11,Mkt!BK12),Inputs!$B$15*Mkt!BK12+(1-Inputs!$B$15)*MIN(Mkt!BK12,BJ12*(1+Inputs!$B$18))),BJ12)))</f>
        <v>1716.40093525</v>
      </c>
      <c r="BL12" s="11" t="n">
        <f aca="false">IF(BL$1&lt;Units!$P11,0,IF(AND(Units!$K11=0,BL$1=Units!$O11),Units!$R11,IF(AND(BL$1&gt;=Units!$Q11,MOD(BL$1-Units!$Q11,12)=0),IF(AND(Units!$L11=1,BL$1=Units!$Q11),IF(Units!$J11&lt;&gt;"",Units!$J11,Mkt!BL12),Inputs!$B$15*Mkt!BL12+(1-Inputs!$B$15)*MIN(Mkt!BL12,BK12*(1+Inputs!$B$18))),BK12)))</f>
        <v>1716.40093525</v>
      </c>
      <c r="BM12" s="11" t="n">
        <f aca="false">IF(BM$1&lt;Units!$P11,0,IF(AND(Units!$K11=0,BM$1=Units!$O11),Units!$R11,IF(AND(BM$1&gt;=Units!$Q11,MOD(BM$1-Units!$Q11,12)=0),IF(AND(Units!$L11=1,BM$1=Units!$Q11),IF(Units!$J11&lt;&gt;"",Units!$J11,Mkt!BM12),Inputs!$B$15*Mkt!BM12+(1-Inputs!$B$15)*MIN(Mkt!BM12,BL12*(1+Inputs!$B$18))),BL12)))</f>
        <v>1716.40093525</v>
      </c>
      <c r="BN12" s="11" t="n">
        <f aca="false">IF(BN$1&lt;Units!$P11,0,IF(AND(Units!$K11=0,BN$1=Units!$O11),Units!$R11,IF(AND(BN$1&gt;=Units!$Q11,MOD(BN$1-Units!$Q11,12)=0),IF(AND(Units!$L11=1,BN$1=Units!$Q11),IF(Units!$J11&lt;&gt;"",Units!$J11,Mkt!BN12),Inputs!$B$15*Mkt!BN12+(1-Inputs!$B$15)*MIN(Mkt!BN12,BM12*(1+Inputs!$B$18))),BM12)))</f>
        <v>1716.40093525</v>
      </c>
      <c r="BO12" s="11" t="n">
        <f aca="false">IF(BO$1&lt;Units!$P11,0,IF(AND(Units!$K11=0,BO$1=Units!$O11),Units!$R11,IF(AND(BO$1&gt;=Units!$Q11,MOD(BO$1-Units!$Q11,12)=0),IF(AND(Units!$L11=1,BO$1=Units!$Q11),IF(Units!$J11&lt;&gt;"",Units!$J11,Mkt!BO12),Inputs!$B$15*Mkt!BO12+(1-Inputs!$B$15)*MIN(Mkt!BO12,BN12*(1+Inputs!$B$18))),BN12)))</f>
        <v>1716.40093525</v>
      </c>
      <c r="BP12" s="11" t="n">
        <f aca="false">IF(BP$1&lt;Units!$P11,0,IF(AND(Units!$K11=0,BP$1=Units!$O11),Units!$R11,IF(AND(BP$1&gt;=Units!$Q11,MOD(BP$1-Units!$Q11,12)=0),IF(AND(Units!$L11=1,BP$1=Units!$Q11),IF(Units!$J11&lt;&gt;"",Units!$J11,Mkt!BP12),Inputs!$B$15*Mkt!BP12+(1-Inputs!$B$15)*MIN(Mkt!BP12,BO12*(1+Inputs!$B$18))),BO12)))</f>
        <v>1716.40093525</v>
      </c>
      <c r="BQ12" s="11" t="n">
        <f aca="false">IF(BQ$1&lt;Units!$P11,0,IF(AND(Units!$K11=0,BQ$1=Units!$O11),Units!$R11,IF(AND(BQ$1&gt;=Units!$Q11,MOD(BQ$1-Units!$Q11,12)=0),IF(AND(Units!$L11=1,BQ$1=Units!$Q11),IF(Units!$J11&lt;&gt;"",Units!$J11,Mkt!BQ12),Inputs!$B$15*Mkt!BQ12+(1-Inputs!$B$15)*MIN(Mkt!BQ12,BP12*(1+Inputs!$B$18))),BP12)))</f>
        <v>1716.40093525</v>
      </c>
      <c r="BR12" s="11" t="n">
        <f aca="false">IF(BR$1&lt;Units!$P11,0,IF(AND(Units!$K11=0,BR$1=Units!$O11),Units!$R11,IF(AND(BR$1&gt;=Units!$Q11,MOD(BR$1-Units!$Q11,12)=0),IF(AND(Units!$L11=1,BR$1=Units!$Q11),IF(Units!$J11&lt;&gt;"",Units!$J11,Mkt!BR12),Inputs!$B$15*Mkt!BR12+(1-Inputs!$B$15)*MIN(Mkt!BR12,BQ12*(1+Inputs!$B$18))),BQ12)))</f>
        <v>1716.40093525</v>
      </c>
      <c r="BS12" s="11" t="n">
        <f aca="false">IF(BS$1&lt;Units!$P11,0,IF(AND(Units!$K11=0,BS$1=Units!$O11),Units!$R11,IF(AND(BS$1&gt;=Units!$Q11,MOD(BS$1-Units!$Q11,12)=0),IF(AND(Units!$L11=1,BS$1=Units!$Q11),IF(Units!$J11&lt;&gt;"",Units!$J11,Mkt!BS12),Inputs!$B$15*Mkt!BS12+(1-Inputs!$B$15)*MIN(Mkt!BS12,BR12*(1+Inputs!$B$18))),BR12)))</f>
        <v>1716.40093525</v>
      </c>
      <c r="BT12" s="11" t="n">
        <f aca="false">IF(BT$1&lt;Units!$P11,0,IF(AND(Units!$K11=0,BT$1=Units!$O11),Units!$R11,IF(AND(BT$1&gt;=Units!$Q11,MOD(BT$1-Units!$Q11,12)=0),IF(AND(Units!$L11=1,BT$1=Units!$Q11),IF(Units!$J11&lt;&gt;"",Units!$J11,Mkt!BT12),Inputs!$B$15*Mkt!BT12+(1-Inputs!$B$15)*MIN(Mkt!BT12,BS12*(1+Inputs!$B$18))),BS12)))</f>
        <v>1716.40093525</v>
      </c>
      <c r="BU12" s="11" t="n">
        <f aca="false">IF(BU$1&lt;Units!$P11,0,IF(AND(Units!$K11=0,BU$1=Units!$O11),Units!$R11,IF(AND(BU$1&gt;=Units!$Q11,MOD(BU$1-Units!$Q11,12)=0),IF(AND(Units!$L11=1,BU$1=Units!$Q11),IF(Units!$J11&lt;&gt;"",Units!$J11,Mkt!BU12),Inputs!$B$15*Mkt!BU12+(1-Inputs!$B$15)*MIN(Mkt!BU12,BT12*(1+Inputs!$B$18))),BT12)))</f>
        <v>1716.40093525</v>
      </c>
      <c r="BV12" s="11" t="n">
        <f aca="false">IF(BV$1&lt;Units!$P11,0,IF(AND(Units!$K11=0,BV$1=Units!$O11),Units!$R11,IF(AND(BV$1&gt;=Units!$Q11,MOD(BV$1-Units!$Q11,12)=0),IF(AND(Units!$L11=1,BV$1=Units!$Q11),IF(Units!$J11&lt;&gt;"",Units!$J11,Mkt!BV12),Inputs!$B$15*Mkt!BV12+(1-Inputs!$B$15)*MIN(Mkt!BV12,BU12*(1+Inputs!$B$18))),BU12)))</f>
        <v>1767.8929633075</v>
      </c>
      <c r="BW12" s="11" t="n">
        <f aca="false">IF(BW$1&lt;Units!$P11,0,IF(AND(Units!$K11=0,BW$1=Units!$O11),Units!$R11,IF(AND(BW$1&gt;=Units!$Q11,MOD(BW$1-Units!$Q11,12)=0),IF(AND(Units!$L11=1,BW$1=Units!$Q11),IF(Units!$J11&lt;&gt;"",Units!$J11,Mkt!BW12),Inputs!$B$15*Mkt!BW12+(1-Inputs!$B$15)*MIN(Mkt!BW12,BV12*(1+Inputs!$B$18))),BV12)))</f>
        <v>1767.8929633075</v>
      </c>
      <c r="BX12" s="11" t="n">
        <f aca="false">IF(BX$1&lt;Units!$P11,0,IF(AND(Units!$K11=0,BX$1=Units!$O11),Units!$R11,IF(AND(BX$1&gt;=Units!$Q11,MOD(BX$1-Units!$Q11,12)=0),IF(AND(Units!$L11=1,BX$1=Units!$Q11),IF(Units!$J11&lt;&gt;"",Units!$J11,Mkt!BX12),Inputs!$B$15*Mkt!BX12+(1-Inputs!$B$15)*MIN(Mkt!BX12,BW12*(1+Inputs!$B$18))),BW12)))</f>
        <v>1767.8929633075</v>
      </c>
      <c r="BY12" s="11" t="n">
        <f aca="false">IF(BY$1&lt;Units!$P11,0,IF(AND(Units!$K11=0,BY$1=Units!$O11),Units!$R11,IF(AND(BY$1&gt;=Units!$Q11,MOD(BY$1-Units!$Q11,12)=0),IF(AND(Units!$L11=1,BY$1=Units!$Q11),IF(Units!$J11&lt;&gt;"",Units!$J11,Mkt!BY12),Inputs!$B$15*Mkt!BY12+(1-Inputs!$B$15)*MIN(Mkt!BY12,BX12*(1+Inputs!$B$18))),BX12)))</f>
        <v>1767.8929633075</v>
      </c>
      <c r="BZ12" s="11" t="n">
        <f aca="false">IF(BZ$1&lt;Units!$P11,0,IF(AND(Units!$K11=0,BZ$1=Units!$O11),Units!$R11,IF(AND(BZ$1&gt;=Units!$Q11,MOD(BZ$1-Units!$Q11,12)=0),IF(AND(Units!$L11=1,BZ$1=Units!$Q11),IF(Units!$J11&lt;&gt;"",Units!$J11,Mkt!BZ12),Inputs!$B$15*Mkt!BZ12+(1-Inputs!$B$15)*MIN(Mkt!BZ12,BY12*(1+Inputs!$B$18))),BY12)))</f>
        <v>1767.8929633075</v>
      </c>
      <c r="CA12" s="11" t="n">
        <f aca="false">IF(CA$1&lt;Units!$P11,0,IF(AND(Units!$K11=0,CA$1=Units!$O11),Units!$R11,IF(AND(CA$1&gt;=Units!$Q11,MOD(CA$1-Units!$Q11,12)=0),IF(AND(Units!$L11=1,CA$1=Units!$Q11),IF(Units!$J11&lt;&gt;"",Units!$J11,Mkt!CA12),Inputs!$B$15*Mkt!CA12+(1-Inputs!$B$15)*MIN(Mkt!CA12,BZ12*(1+Inputs!$B$18))),BZ12)))</f>
        <v>1767.8929633075</v>
      </c>
      <c r="CB12" s="11" t="n">
        <f aca="false">IF(CB$1&lt;Units!$P11,0,IF(AND(Units!$K11=0,CB$1=Units!$O11),Units!$R11,IF(AND(CB$1&gt;=Units!$Q11,MOD(CB$1-Units!$Q11,12)=0),IF(AND(Units!$L11=1,CB$1=Units!$Q11),IF(Units!$J11&lt;&gt;"",Units!$J11,Mkt!CB12),Inputs!$B$15*Mkt!CB12+(1-Inputs!$B$15)*MIN(Mkt!CB12,CA12*(1+Inputs!$B$18))),CA12)))</f>
        <v>1767.8929633075</v>
      </c>
      <c r="CC12" s="11" t="n">
        <f aca="false">IF(CC$1&lt;Units!$P11,0,IF(AND(Units!$K11=0,CC$1=Units!$O11),Units!$R11,IF(AND(CC$1&gt;=Units!$Q11,MOD(CC$1-Units!$Q11,12)=0),IF(AND(Units!$L11=1,CC$1=Units!$Q11),IF(Units!$J11&lt;&gt;"",Units!$J11,Mkt!CC12),Inputs!$B$15*Mkt!CC12+(1-Inputs!$B$15)*MIN(Mkt!CC12,CB12*(1+Inputs!$B$18))),CB12)))</f>
        <v>1767.8929633075</v>
      </c>
      <c r="CD12" s="11" t="n">
        <f aca="false">IF(CD$1&lt;Units!$P11,0,IF(AND(Units!$K11=0,CD$1=Units!$O11),Units!$R11,IF(AND(CD$1&gt;=Units!$Q11,MOD(CD$1-Units!$Q11,12)=0),IF(AND(Units!$L11=1,CD$1=Units!$Q11),IF(Units!$J11&lt;&gt;"",Units!$J11,Mkt!CD12),Inputs!$B$15*Mkt!CD12+(1-Inputs!$B$15)*MIN(Mkt!CD12,CC12*(1+Inputs!$B$18))),CC12)))</f>
        <v>1767.8929633075</v>
      </c>
      <c r="CE12" s="11" t="n">
        <f aca="false">IF(CE$1&lt;Units!$P11,0,IF(AND(Units!$K11=0,CE$1=Units!$O11),Units!$R11,IF(AND(CE$1&gt;=Units!$Q11,MOD(CE$1-Units!$Q11,12)=0),IF(AND(Units!$L11=1,CE$1=Units!$Q11),IF(Units!$J11&lt;&gt;"",Units!$J11,Mkt!CE12),Inputs!$B$15*Mkt!CE12+(1-Inputs!$B$15)*MIN(Mkt!CE12,CD12*(1+Inputs!$B$18))),CD12)))</f>
        <v>1767.8929633075</v>
      </c>
      <c r="CF12" s="11" t="n">
        <f aca="false">IF(CF$1&lt;Units!$P11,0,IF(AND(Units!$K11=0,CF$1=Units!$O11),Units!$R11,IF(AND(CF$1&gt;=Units!$Q11,MOD(CF$1-Units!$Q11,12)=0),IF(AND(Units!$L11=1,CF$1=Units!$Q11),IF(Units!$J11&lt;&gt;"",Units!$J11,Mkt!CF12),Inputs!$B$15*Mkt!CF12+(1-Inputs!$B$15)*MIN(Mkt!CF12,CE12*(1+Inputs!$B$18))),CE12)))</f>
        <v>1767.8929633075</v>
      </c>
      <c r="CG12" s="11" t="n">
        <f aca="false">IF(CG$1&lt;Units!$P11,0,IF(AND(Units!$K11=0,CG$1=Units!$O11),Units!$R11,IF(AND(CG$1&gt;=Units!$Q11,MOD(CG$1-Units!$Q11,12)=0),IF(AND(Units!$L11=1,CG$1=Units!$Q11),IF(Units!$J11&lt;&gt;"",Units!$J11,Mkt!CG12),Inputs!$B$15*Mkt!CG12+(1-Inputs!$B$15)*MIN(Mkt!CG12,CF12*(1+Inputs!$B$18))),CF12)))</f>
        <v>1767.8929633075</v>
      </c>
      <c r="CH12" s="11" t="n">
        <f aca="false">IF(CH$1&lt;Units!$P11,0,IF(AND(Units!$K11=0,CH$1=Units!$O11),Units!$R11,IF(AND(CH$1&gt;=Units!$Q11,MOD(CH$1-Units!$Q11,12)=0),IF(AND(Units!$L11=1,CH$1=Units!$Q11),IF(Units!$J11&lt;&gt;"",Units!$J11,Mkt!CH12),Inputs!$B$15*Mkt!CH12+(1-Inputs!$B$15)*MIN(Mkt!CH12,CG12*(1+Inputs!$B$18))),CG12)))</f>
        <v>1820.92975220673</v>
      </c>
      <c r="CI12" s="11" t="n">
        <f aca="false">IF(CI$1&lt;Units!$P11,0,IF(AND(Units!$K11=0,CI$1=Units!$O11),Units!$R11,IF(AND(CI$1&gt;=Units!$Q11,MOD(CI$1-Units!$Q11,12)=0),IF(AND(Units!$L11=1,CI$1=Units!$Q11),IF(Units!$J11&lt;&gt;"",Units!$J11,Mkt!CI12),Inputs!$B$15*Mkt!CI12+(1-Inputs!$B$15)*MIN(Mkt!CI12,CH12*(1+Inputs!$B$18))),CH12)))</f>
        <v>1820.92975220673</v>
      </c>
      <c r="CJ12" s="11" t="n">
        <f aca="false">IF(CJ$1&lt;Units!$P11,0,IF(AND(Units!$K11=0,CJ$1=Units!$O11),Units!$R11,IF(AND(CJ$1&gt;=Units!$Q11,MOD(CJ$1-Units!$Q11,12)=0),IF(AND(Units!$L11=1,CJ$1=Units!$Q11),IF(Units!$J11&lt;&gt;"",Units!$J11,Mkt!CJ12),Inputs!$B$15*Mkt!CJ12+(1-Inputs!$B$15)*MIN(Mkt!CJ12,CI12*(1+Inputs!$B$18))),CI12)))</f>
        <v>1820.92975220673</v>
      </c>
      <c r="CK12" s="11" t="n">
        <f aca="false">IF(CK$1&lt;Units!$P11,0,IF(AND(Units!$K11=0,CK$1=Units!$O11),Units!$R11,IF(AND(CK$1&gt;=Units!$Q11,MOD(CK$1-Units!$Q11,12)=0),IF(AND(Units!$L11=1,CK$1=Units!$Q11),IF(Units!$J11&lt;&gt;"",Units!$J11,Mkt!CK12),Inputs!$B$15*Mkt!CK12+(1-Inputs!$B$15)*MIN(Mkt!CK12,CJ12*(1+Inputs!$B$18))),CJ12)))</f>
        <v>1820.92975220673</v>
      </c>
      <c r="CL12" s="11" t="n">
        <f aca="false">IF(CL$1&lt;Units!$P11,0,IF(AND(Units!$K11=0,CL$1=Units!$O11),Units!$R11,IF(AND(CL$1&gt;=Units!$Q11,MOD(CL$1-Units!$Q11,12)=0),IF(AND(Units!$L11=1,CL$1=Units!$Q11),IF(Units!$J11&lt;&gt;"",Units!$J11,Mkt!CL12),Inputs!$B$15*Mkt!CL12+(1-Inputs!$B$15)*MIN(Mkt!CL12,CK12*(1+Inputs!$B$18))),CK12)))</f>
        <v>1820.92975220673</v>
      </c>
      <c r="CM12" s="11" t="n">
        <f aca="false">IF(CM$1&lt;Units!$P11,0,IF(AND(Units!$K11=0,CM$1=Units!$O11),Units!$R11,IF(AND(CM$1&gt;=Units!$Q11,MOD(CM$1-Units!$Q11,12)=0),IF(AND(Units!$L11=1,CM$1=Units!$Q11),IF(Units!$J11&lt;&gt;"",Units!$J11,Mkt!CM12),Inputs!$B$15*Mkt!CM12+(1-Inputs!$B$15)*MIN(Mkt!CM12,CL12*(1+Inputs!$B$18))),CL12)))</f>
        <v>1820.92975220673</v>
      </c>
      <c r="CN12" s="11" t="n">
        <f aca="false">IF(CN$1&lt;Units!$P11,0,IF(AND(Units!$K11=0,CN$1=Units!$O11),Units!$R11,IF(AND(CN$1&gt;=Units!$Q11,MOD(CN$1-Units!$Q11,12)=0),IF(AND(Units!$L11=1,CN$1=Units!$Q11),IF(Units!$J11&lt;&gt;"",Units!$J11,Mkt!CN12),Inputs!$B$15*Mkt!CN12+(1-Inputs!$B$15)*MIN(Mkt!CN12,CM12*(1+Inputs!$B$18))),CM12)))</f>
        <v>1820.92975220673</v>
      </c>
      <c r="CO12" s="11" t="n">
        <f aca="false">IF(CO$1&lt;Units!$P11,0,IF(AND(Units!$K11=0,CO$1=Units!$O11),Units!$R11,IF(AND(CO$1&gt;=Units!$Q11,MOD(CO$1-Units!$Q11,12)=0),IF(AND(Units!$L11=1,CO$1=Units!$Q11),IF(Units!$J11&lt;&gt;"",Units!$J11,Mkt!CO12),Inputs!$B$15*Mkt!CO12+(1-Inputs!$B$15)*MIN(Mkt!CO12,CN12*(1+Inputs!$B$18))),CN12)))</f>
        <v>1820.92975220673</v>
      </c>
      <c r="CP12" s="11" t="n">
        <f aca="false">IF(CP$1&lt;Units!$P11,0,IF(AND(Units!$K11=0,CP$1=Units!$O11),Units!$R11,IF(AND(CP$1&gt;=Units!$Q11,MOD(CP$1-Units!$Q11,12)=0),IF(AND(Units!$L11=1,CP$1=Units!$Q11),IF(Units!$J11&lt;&gt;"",Units!$J11,Mkt!CP12),Inputs!$B$15*Mkt!CP12+(1-Inputs!$B$15)*MIN(Mkt!CP12,CO12*(1+Inputs!$B$18))),CO12)))</f>
        <v>1820.92975220673</v>
      </c>
      <c r="CQ12" s="11" t="n">
        <f aca="false">IF(CQ$1&lt;Units!$P11,0,IF(AND(Units!$K11=0,CQ$1=Units!$O11),Units!$R11,IF(AND(CQ$1&gt;=Units!$Q11,MOD(CQ$1-Units!$Q11,12)=0),IF(AND(Units!$L11=1,CQ$1=Units!$Q11),IF(Units!$J11&lt;&gt;"",Units!$J11,Mkt!CQ12),Inputs!$B$15*Mkt!CQ12+(1-Inputs!$B$15)*MIN(Mkt!CQ12,CP12*(1+Inputs!$B$18))),CP12)))</f>
        <v>1820.92975220673</v>
      </c>
      <c r="CR12" s="11" t="n">
        <f aca="false">IF(CR$1&lt;Units!$P11,0,IF(AND(Units!$K11=0,CR$1=Units!$O11),Units!$R11,IF(AND(CR$1&gt;=Units!$Q11,MOD(CR$1-Units!$Q11,12)=0),IF(AND(Units!$L11=1,CR$1=Units!$Q11),IF(Units!$J11&lt;&gt;"",Units!$J11,Mkt!CR12),Inputs!$B$15*Mkt!CR12+(1-Inputs!$B$15)*MIN(Mkt!CR12,CQ12*(1+Inputs!$B$18))),CQ12)))</f>
        <v>1820.92975220673</v>
      </c>
      <c r="CS12" s="11" t="n">
        <f aca="false">IF(CS$1&lt;Units!$P11,0,IF(AND(Units!$K11=0,CS$1=Units!$O11),Units!$R11,IF(AND(CS$1&gt;=Units!$Q11,MOD(CS$1-Units!$Q11,12)=0),IF(AND(Units!$L11=1,CS$1=Units!$Q11),IF(Units!$J11&lt;&gt;"",Units!$J11,Mkt!CS12),Inputs!$B$15*Mkt!CS12+(1-Inputs!$B$15)*MIN(Mkt!CS12,CR12*(1+Inputs!$B$18))),CR12)))</f>
        <v>1820.92975220673</v>
      </c>
      <c r="CT12" s="11" t="n">
        <f aca="false">IF(CT$1&lt;Units!$P11,0,IF(AND(Units!$K11=0,CT$1=Units!$O11),Units!$R11,IF(AND(CT$1&gt;=Units!$Q11,MOD(CT$1-Units!$Q11,12)=0),IF(AND(Units!$L11=1,CT$1=Units!$Q11),IF(Units!$J11&lt;&gt;"",Units!$J11,Mkt!CT12),Inputs!$B$15*Mkt!CT12+(1-Inputs!$B$15)*MIN(Mkt!CT12,CS12*(1+Inputs!$B$18))),CS12)))</f>
        <v>1875.55764477293</v>
      </c>
      <c r="CU12" s="11" t="n">
        <f aca="false">IF(CU$1&lt;Units!$P11,0,IF(AND(Units!$K11=0,CU$1=Units!$O11),Units!$R11,IF(AND(CU$1&gt;=Units!$Q11,MOD(CU$1-Units!$Q11,12)=0),IF(AND(Units!$L11=1,CU$1=Units!$Q11),IF(Units!$J11&lt;&gt;"",Units!$J11,Mkt!CU12),Inputs!$B$15*Mkt!CU12+(1-Inputs!$B$15)*MIN(Mkt!CU12,CT12*(1+Inputs!$B$18))),CT12)))</f>
        <v>1875.55764477293</v>
      </c>
      <c r="CV12" s="11" t="n">
        <f aca="false">IF(CV$1&lt;Units!$P11,0,IF(AND(Units!$K11=0,CV$1=Units!$O11),Units!$R11,IF(AND(CV$1&gt;=Units!$Q11,MOD(CV$1-Units!$Q11,12)=0),IF(AND(Units!$L11=1,CV$1=Units!$Q11),IF(Units!$J11&lt;&gt;"",Units!$J11,Mkt!CV12),Inputs!$B$15*Mkt!CV12+(1-Inputs!$B$15)*MIN(Mkt!CV12,CU12*(1+Inputs!$B$18))),CU12)))</f>
        <v>1875.55764477293</v>
      </c>
      <c r="CW12" s="11" t="n">
        <f aca="false">IF(CW$1&lt;Units!$P11,0,IF(AND(Units!$K11=0,CW$1=Units!$O11),Units!$R11,IF(AND(CW$1&gt;=Units!$Q11,MOD(CW$1-Units!$Q11,12)=0),IF(AND(Units!$L11=1,CW$1=Units!$Q11),IF(Units!$J11&lt;&gt;"",Units!$J11,Mkt!CW12),Inputs!$B$15*Mkt!CW12+(1-Inputs!$B$15)*MIN(Mkt!CW12,CV12*(1+Inputs!$B$18))),CV12)))</f>
        <v>1875.55764477293</v>
      </c>
      <c r="CX12" s="11" t="n">
        <f aca="false">IF(CX$1&lt;Units!$P11,0,IF(AND(Units!$K11=0,CX$1=Units!$O11),Units!$R11,IF(AND(CX$1&gt;=Units!$Q11,MOD(CX$1-Units!$Q11,12)=0),IF(AND(Units!$L11=1,CX$1=Units!$Q11),IF(Units!$J11&lt;&gt;"",Units!$J11,Mkt!CX12),Inputs!$B$15*Mkt!CX12+(1-Inputs!$B$15)*MIN(Mkt!CX12,CW12*(1+Inputs!$B$18))),CW12)))</f>
        <v>1875.55764477293</v>
      </c>
      <c r="CY12" s="11" t="n">
        <f aca="false">IF(CY$1&lt;Units!$P11,0,IF(AND(Units!$K11=0,CY$1=Units!$O11),Units!$R11,IF(AND(CY$1&gt;=Units!$Q11,MOD(CY$1-Units!$Q11,12)=0),IF(AND(Units!$L11=1,CY$1=Units!$Q11),IF(Units!$J11&lt;&gt;"",Units!$J11,Mkt!CY12),Inputs!$B$15*Mkt!CY12+(1-Inputs!$B$15)*MIN(Mkt!CY12,CX12*(1+Inputs!$B$18))),CX12)))</f>
        <v>1875.55764477293</v>
      </c>
      <c r="CZ12" s="11" t="n">
        <f aca="false">IF(CZ$1&lt;Units!$P11,0,IF(AND(Units!$K11=0,CZ$1=Units!$O11),Units!$R11,IF(AND(CZ$1&gt;=Units!$Q11,MOD(CZ$1-Units!$Q11,12)=0),IF(AND(Units!$L11=1,CZ$1=Units!$Q11),IF(Units!$J11&lt;&gt;"",Units!$J11,Mkt!CZ12),Inputs!$B$15*Mkt!CZ12+(1-Inputs!$B$15)*MIN(Mkt!CZ12,CY12*(1+Inputs!$B$18))),CY12)))</f>
        <v>1875.55764477293</v>
      </c>
      <c r="DA12" s="11" t="n">
        <f aca="false">IF(DA$1&lt;Units!$P11,0,IF(AND(Units!$K11=0,DA$1=Units!$O11),Units!$R11,IF(AND(DA$1&gt;=Units!$Q11,MOD(DA$1-Units!$Q11,12)=0),IF(AND(Units!$L11=1,DA$1=Units!$Q11),IF(Units!$J11&lt;&gt;"",Units!$J11,Mkt!DA12),Inputs!$B$15*Mkt!DA12+(1-Inputs!$B$15)*MIN(Mkt!DA12,CZ12*(1+Inputs!$B$18))),CZ12)))</f>
        <v>1875.55764477293</v>
      </c>
      <c r="DB12" s="11" t="n">
        <f aca="false">IF(DB$1&lt;Units!$P11,0,IF(AND(Units!$K11=0,DB$1=Units!$O11),Units!$R11,IF(AND(DB$1&gt;=Units!$Q11,MOD(DB$1-Units!$Q11,12)=0),IF(AND(Units!$L11=1,DB$1=Units!$Q11),IF(Units!$J11&lt;&gt;"",Units!$J11,Mkt!DB12),Inputs!$B$15*Mkt!DB12+(1-Inputs!$B$15)*MIN(Mkt!DB12,DA12*(1+Inputs!$B$18))),DA12)))</f>
        <v>1875.55764477293</v>
      </c>
      <c r="DC12" s="11" t="n">
        <f aca="false">IF(DC$1&lt;Units!$P11,0,IF(AND(Units!$K11=0,DC$1=Units!$O11),Units!$R11,IF(AND(DC$1&gt;=Units!$Q11,MOD(DC$1-Units!$Q11,12)=0),IF(AND(Units!$L11=1,DC$1=Units!$Q11),IF(Units!$J11&lt;&gt;"",Units!$J11,Mkt!DC12),Inputs!$B$15*Mkt!DC12+(1-Inputs!$B$15)*MIN(Mkt!DC12,DB12*(1+Inputs!$B$18))),DB12)))</f>
        <v>1875.55764477293</v>
      </c>
      <c r="DD12" s="11" t="n">
        <f aca="false">IF(DD$1&lt;Units!$P11,0,IF(AND(Units!$K11=0,DD$1=Units!$O11),Units!$R11,IF(AND(DD$1&gt;=Units!$Q11,MOD(DD$1-Units!$Q11,12)=0),IF(AND(Units!$L11=1,DD$1=Units!$Q11),IF(Units!$J11&lt;&gt;"",Units!$J11,Mkt!DD12),Inputs!$B$15*Mkt!DD12+(1-Inputs!$B$15)*MIN(Mkt!DD12,DC12*(1+Inputs!$B$18))),DC12)))</f>
        <v>1875.55764477293</v>
      </c>
      <c r="DE12" s="11" t="n">
        <f aca="false">IF(DE$1&lt;Units!$P11,0,IF(AND(Units!$K11=0,DE$1=Units!$O11),Units!$R11,IF(AND(DE$1&gt;=Units!$Q11,MOD(DE$1-Units!$Q11,12)=0),IF(AND(Units!$L11=1,DE$1=Units!$Q11),IF(Units!$J11&lt;&gt;"",Units!$J11,Mkt!DE12),Inputs!$B$15*Mkt!DE12+(1-Inputs!$B$15)*MIN(Mkt!DE12,DD12*(1+Inputs!$B$18))),DD12)))</f>
        <v>1875.55764477293</v>
      </c>
      <c r="DF12" s="11" t="n">
        <f aca="false">IF(DF$1&lt;Units!$P11,0,IF(AND(Units!$K11=0,DF$1=Units!$O11),Units!$R11,IF(AND(DF$1&gt;=Units!$Q11,MOD(DF$1-Units!$Q11,12)=0),IF(AND(Units!$L11=1,DF$1=Units!$Q11),IF(Units!$J11&lt;&gt;"",Units!$J11,Mkt!DF12),Inputs!$B$15*Mkt!DF12+(1-Inputs!$B$15)*MIN(Mkt!DF12,DE12*(1+Inputs!$B$18))),DE12)))</f>
        <v>1931.82437411612</v>
      </c>
      <c r="DG12" s="11" t="n">
        <f aca="false">IF(DG$1&lt;Units!$P11,0,IF(AND(Units!$K11=0,DG$1=Units!$O11),Units!$R11,IF(AND(DG$1&gt;=Units!$Q11,MOD(DG$1-Units!$Q11,12)=0),IF(AND(Units!$L11=1,DG$1=Units!$Q11),IF(Units!$J11&lt;&gt;"",Units!$J11,Mkt!DG12),Inputs!$B$15*Mkt!DG12+(1-Inputs!$B$15)*MIN(Mkt!DG12,DF12*(1+Inputs!$B$18))),DF12)))</f>
        <v>1931.82437411612</v>
      </c>
      <c r="DH12" s="11" t="n">
        <f aca="false">IF(DH$1&lt;Units!$P11,0,IF(AND(Units!$K11=0,DH$1=Units!$O11),Units!$R11,IF(AND(DH$1&gt;=Units!$Q11,MOD(DH$1-Units!$Q11,12)=0),IF(AND(Units!$L11=1,DH$1=Units!$Q11),IF(Units!$J11&lt;&gt;"",Units!$J11,Mkt!DH12),Inputs!$B$15*Mkt!DH12+(1-Inputs!$B$15)*MIN(Mkt!DH12,DG12*(1+Inputs!$B$18))),DG12)))</f>
        <v>1931.82437411612</v>
      </c>
      <c r="DI12" s="11" t="n">
        <f aca="false">IF(DI$1&lt;Units!$P11,0,IF(AND(Units!$K11=0,DI$1=Units!$O11),Units!$R11,IF(AND(DI$1&gt;=Units!$Q11,MOD(DI$1-Units!$Q11,12)=0),IF(AND(Units!$L11=1,DI$1=Units!$Q11),IF(Units!$J11&lt;&gt;"",Units!$J11,Mkt!DI12),Inputs!$B$15*Mkt!DI12+(1-Inputs!$B$15)*MIN(Mkt!DI12,DH12*(1+Inputs!$B$18))),DH12)))</f>
        <v>1931.82437411612</v>
      </c>
      <c r="DJ12" s="11" t="n">
        <f aca="false">IF(DJ$1&lt;Units!$P11,0,IF(AND(Units!$K11=0,DJ$1=Units!$O11),Units!$R11,IF(AND(DJ$1&gt;=Units!$Q11,MOD(DJ$1-Units!$Q11,12)=0),IF(AND(Units!$L11=1,DJ$1=Units!$Q11),IF(Units!$J11&lt;&gt;"",Units!$J11,Mkt!DJ12),Inputs!$B$15*Mkt!DJ12+(1-Inputs!$B$15)*MIN(Mkt!DJ12,DI12*(1+Inputs!$B$18))),DI12)))</f>
        <v>1931.82437411612</v>
      </c>
      <c r="DK12" s="11" t="n">
        <f aca="false">IF(DK$1&lt;Units!$P11,0,IF(AND(Units!$K11=0,DK$1=Units!$O11),Units!$R11,IF(AND(DK$1&gt;=Units!$Q11,MOD(DK$1-Units!$Q11,12)=0),IF(AND(Units!$L11=1,DK$1=Units!$Q11),IF(Units!$J11&lt;&gt;"",Units!$J11,Mkt!DK12),Inputs!$B$15*Mkt!DK12+(1-Inputs!$B$15)*MIN(Mkt!DK12,DJ12*(1+Inputs!$B$18))),DJ12)))</f>
        <v>1931.82437411612</v>
      </c>
      <c r="DL12" s="11" t="n">
        <f aca="false">IF(DL$1&lt;Units!$P11,0,IF(AND(Units!$K11=0,DL$1=Units!$O11),Units!$R11,IF(AND(DL$1&gt;=Units!$Q11,MOD(DL$1-Units!$Q11,12)=0),IF(AND(Units!$L11=1,DL$1=Units!$Q11),IF(Units!$J11&lt;&gt;"",Units!$J11,Mkt!DL12),Inputs!$B$15*Mkt!DL12+(1-Inputs!$B$15)*MIN(Mkt!DL12,DK12*(1+Inputs!$B$18))),DK12)))</f>
        <v>1931.82437411612</v>
      </c>
      <c r="DM12" s="11" t="n">
        <f aca="false">IF(DM$1&lt;Units!$P11,0,IF(AND(Units!$K11=0,DM$1=Units!$O11),Units!$R11,IF(AND(DM$1&gt;=Units!$Q11,MOD(DM$1-Units!$Q11,12)=0),IF(AND(Units!$L11=1,DM$1=Units!$Q11),IF(Units!$J11&lt;&gt;"",Units!$J11,Mkt!DM12),Inputs!$B$15*Mkt!DM12+(1-Inputs!$B$15)*MIN(Mkt!DM12,DL12*(1+Inputs!$B$18))),DL12)))</f>
        <v>1931.82437411612</v>
      </c>
      <c r="DN12" s="11" t="n">
        <f aca="false">IF(DN$1&lt;Units!$P11,0,IF(AND(Units!$K11=0,DN$1=Units!$O11),Units!$R11,IF(AND(DN$1&gt;=Units!$Q11,MOD(DN$1-Units!$Q11,12)=0),IF(AND(Units!$L11=1,DN$1=Units!$Q11),IF(Units!$J11&lt;&gt;"",Units!$J11,Mkt!DN12),Inputs!$B$15*Mkt!DN12+(1-Inputs!$B$15)*MIN(Mkt!DN12,DM12*(1+Inputs!$B$18))),DM12)))</f>
        <v>1931.82437411612</v>
      </c>
      <c r="DO12" s="11" t="n">
        <f aca="false">IF(DO$1&lt;Units!$P11,0,IF(AND(Units!$K11=0,DO$1=Units!$O11),Units!$R11,IF(AND(DO$1&gt;=Units!$Q11,MOD(DO$1-Units!$Q11,12)=0),IF(AND(Units!$L11=1,DO$1=Units!$Q11),IF(Units!$J11&lt;&gt;"",Units!$J11,Mkt!DO12),Inputs!$B$15*Mkt!DO12+(1-Inputs!$B$15)*MIN(Mkt!DO12,DN12*(1+Inputs!$B$18))),DN12)))</f>
        <v>1931.82437411612</v>
      </c>
      <c r="DP12" s="11" t="n">
        <f aca="false">IF(DP$1&lt;Units!$P11,0,IF(AND(Units!$K11=0,DP$1=Units!$O11),Units!$R11,IF(AND(DP$1&gt;=Units!$Q11,MOD(DP$1-Units!$Q11,12)=0),IF(AND(Units!$L11=1,DP$1=Units!$Q11),IF(Units!$J11&lt;&gt;"",Units!$J11,Mkt!DP12),Inputs!$B$15*Mkt!DP12+(1-Inputs!$B$15)*MIN(Mkt!DP12,DO12*(1+Inputs!$B$18))),DO12)))</f>
        <v>1931.82437411612</v>
      </c>
      <c r="DQ12" s="11" t="n">
        <f aca="false">IF(DQ$1&lt;Units!$P11,0,IF(AND(Units!$K11=0,DQ$1=Units!$O11),Units!$R11,IF(AND(DQ$1&gt;=Units!$Q11,MOD(DQ$1-Units!$Q11,12)=0),IF(AND(Units!$L11=1,DQ$1=Units!$Q11),IF(Units!$J11&lt;&gt;"",Units!$J11,Mkt!DQ12),Inputs!$B$15*Mkt!DQ12+(1-Inputs!$B$15)*MIN(Mkt!DQ12,DP12*(1+Inputs!$B$18))),DP12)))</f>
        <v>1931.82437411612</v>
      </c>
      <c r="DR12" s="11" t="n">
        <f aca="false">IF(DR$1&lt;Units!$P11,0,IF(AND(Units!$K11=0,DR$1=Units!$O11),Units!$R11,IF(AND(DR$1&gt;=Units!$Q11,MOD(DR$1-Units!$Q11,12)=0),IF(AND(Units!$L11=1,DR$1=Units!$Q11),IF(Units!$J11&lt;&gt;"",Units!$J11,Mkt!DR12),Inputs!$B$15*Mkt!DR12+(1-Inputs!$B$15)*MIN(Mkt!DR12,DQ12*(1+Inputs!$B$18))),DQ12)))</f>
        <v>1989.7791053396</v>
      </c>
      <c r="DS12" s="11" t="n">
        <f aca="false">IF(DS$1&lt;Units!$P11,0,IF(AND(Units!$K11=0,DS$1=Units!$O11),Units!$R11,IF(AND(DS$1&gt;=Units!$Q11,MOD(DS$1-Units!$Q11,12)=0),IF(AND(Units!$L11=1,DS$1=Units!$Q11),IF(Units!$J11&lt;&gt;"",Units!$J11,Mkt!DS12),Inputs!$B$15*Mkt!DS12+(1-Inputs!$B$15)*MIN(Mkt!DS12,DR12*(1+Inputs!$B$18))),DR12)))</f>
        <v>1989.7791053396</v>
      </c>
      <c r="DT12" s="11" t="n">
        <f aca="false">IF(DT$1&lt;Units!$P11,0,IF(AND(Units!$K11=0,DT$1=Units!$O11),Units!$R11,IF(AND(DT$1&gt;=Units!$Q11,MOD(DT$1-Units!$Q11,12)=0),IF(AND(Units!$L11=1,DT$1=Units!$Q11),IF(Units!$J11&lt;&gt;"",Units!$J11,Mkt!DT12),Inputs!$B$15*Mkt!DT12+(1-Inputs!$B$15)*MIN(Mkt!DT12,DS12*(1+Inputs!$B$18))),DS12)))</f>
        <v>1989.7791053396</v>
      </c>
      <c r="DU12" s="11" t="n">
        <f aca="false">IF(DU$1&lt;Units!$P11,0,IF(AND(Units!$K11=0,DU$1=Units!$O11),Units!$R11,IF(AND(DU$1&gt;=Units!$Q11,MOD(DU$1-Units!$Q11,12)=0),IF(AND(Units!$L11=1,DU$1=Units!$Q11),IF(Units!$J11&lt;&gt;"",Units!$J11,Mkt!DU12),Inputs!$B$15*Mkt!DU12+(1-Inputs!$B$15)*MIN(Mkt!DU12,DT12*(1+Inputs!$B$18))),DT12)))</f>
        <v>1989.7791053396</v>
      </c>
      <c r="DV12" s="11" t="n">
        <f aca="false">IF(DV$1&lt;Units!$P11,0,IF(AND(Units!$K11=0,DV$1=Units!$O11),Units!$R11,IF(AND(DV$1&gt;=Units!$Q11,MOD(DV$1-Units!$Q11,12)=0),IF(AND(Units!$L11=1,DV$1=Units!$Q11),IF(Units!$J11&lt;&gt;"",Units!$J11,Mkt!DV12),Inputs!$B$15*Mkt!DV12+(1-Inputs!$B$15)*MIN(Mkt!DV12,DU12*(1+Inputs!$B$18))),DU12)))</f>
        <v>1989.7791053396</v>
      </c>
      <c r="DW12" s="11" t="n">
        <f aca="false">IF(DW$1&lt;Units!$P11,0,IF(AND(Units!$K11=0,DW$1=Units!$O11),Units!$R11,IF(AND(DW$1&gt;=Units!$Q11,MOD(DW$1-Units!$Q11,12)=0),IF(AND(Units!$L11=1,DW$1=Units!$Q11),IF(Units!$J11&lt;&gt;"",Units!$J11,Mkt!DW12),Inputs!$B$15*Mkt!DW12+(1-Inputs!$B$15)*MIN(Mkt!DW12,DV12*(1+Inputs!$B$18))),DV12)))</f>
        <v>1989.7791053396</v>
      </c>
      <c r="DX12" s="11" t="n">
        <f aca="false">IF(DX$1&lt;Units!$P11,0,IF(AND(Units!$K11=0,DX$1=Units!$O11),Units!$R11,IF(AND(DX$1&gt;=Units!$Q11,MOD(DX$1-Units!$Q11,12)=0),IF(AND(Units!$L11=1,DX$1=Units!$Q11),IF(Units!$J11&lt;&gt;"",Units!$J11,Mkt!DX12),Inputs!$B$15*Mkt!DX12+(1-Inputs!$B$15)*MIN(Mkt!DX12,DW12*(1+Inputs!$B$18))),DW12)))</f>
        <v>1989.7791053396</v>
      </c>
      <c r="DY12" s="11" t="n">
        <f aca="false">IF(DY$1&lt;Units!$P11,0,IF(AND(Units!$K11=0,DY$1=Units!$O11),Units!$R11,IF(AND(DY$1&gt;=Units!$Q11,MOD(DY$1-Units!$Q11,12)=0),IF(AND(Units!$L11=1,DY$1=Units!$Q11),IF(Units!$J11&lt;&gt;"",Units!$J11,Mkt!DY12),Inputs!$B$15*Mkt!DY12+(1-Inputs!$B$15)*MIN(Mkt!DY12,DX12*(1+Inputs!$B$18))),DX12)))</f>
        <v>1989.7791053396</v>
      </c>
      <c r="DZ12" s="11" t="n">
        <f aca="false">IF(DZ$1&lt;Units!$P11,0,IF(AND(Units!$K11=0,DZ$1=Units!$O11),Units!$R11,IF(AND(DZ$1&gt;=Units!$Q11,MOD(DZ$1-Units!$Q11,12)=0),IF(AND(Units!$L11=1,DZ$1=Units!$Q11),IF(Units!$J11&lt;&gt;"",Units!$J11,Mkt!DZ12),Inputs!$B$15*Mkt!DZ12+(1-Inputs!$B$15)*MIN(Mkt!DZ12,DY12*(1+Inputs!$B$18))),DY12)))</f>
        <v>1989.7791053396</v>
      </c>
      <c r="EA12" s="11" t="n">
        <f aca="false">IF(EA$1&lt;Units!$P11,0,IF(AND(Units!$K11=0,EA$1=Units!$O11),Units!$R11,IF(AND(EA$1&gt;=Units!$Q11,MOD(EA$1-Units!$Q11,12)=0),IF(AND(Units!$L11=1,EA$1=Units!$Q11),IF(Units!$J11&lt;&gt;"",Units!$J11,Mkt!EA12),Inputs!$B$15*Mkt!EA12+(1-Inputs!$B$15)*MIN(Mkt!EA12,DZ12*(1+Inputs!$B$18))),DZ12)))</f>
        <v>1989.7791053396</v>
      </c>
      <c r="EB12" s="11" t="n">
        <f aca="false">IF(EB$1&lt;Units!$P11,0,IF(AND(Units!$K11=0,EB$1=Units!$O11),Units!$R11,IF(AND(EB$1&gt;=Units!$Q11,MOD(EB$1-Units!$Q11,12)=0),IF(AND(Units!$L11=1,EB$1=Units!$Q11),IF(Units!$J11&lt;&gt;"",Units!$J11,Mkt!EB12),Inputs!$B$15*Mkt!EB12+(1-Inputs!$B$15)*MIN(Mkt!EB12,EA12*(1+Inputs!$B$18))),EA12)))</f>
        <v>1989.7791053396</v>
      </c>
      <c r="EC12" s="11" t="n">
        <f aca="false">IF(EC$1&lt;Units!$P11,0,IF(AND(Units!$K11=0,EC$1=Units!$O11),Units!$R11,IF(AND(EC$1&gt;=Units!$Q11,MOD(EC$1-Units!$Q11,12)=0),IF(AND(Units!$L11=1,EC$1=Units!$Q11),IF(Units!$J11&lt;&gt;"",Units!$J11,Mkt!EC12),Inputs!$B$15*Mkt!EC12+(1-Inputs!$B$15)*MIN(Mkt!EC12,EB12*(1+Inputs!$B$18))),EB12)))</f>
        <v>1989.7791053396</v>
      </c>
      <c r="ED12" s="11" t="n">
        <f aca="false">IF(ED$1&lt;Units!$P11,0,IF(AND(Units!$K11=0,ED$1=Units!$O11),Units!$R11,IF(AND(ED$1&gt;=Units!$Q11,MOD(ED$1-Units!$Q11,12)=0),IF(AND(Units!$L11=1,ED$1=Units!$Q11),IF(Units!$J11&lt;&gt;"",Units!$J11,Mkt!ED12),Inputs!$B$15*Mkt!ED12+(1-Inputs!$B$15)*MIN(Mkt!ED12,EC12*(1+Inputs!$B$18))),EC12)))</f>
        <v>2049.47247849979</v>
      </c>
    </row>
    <row r="13" customFormat="false" ht="15" hidden="false" customHeight="false" outlineLevel="0" collapsed="false">
      <c r="A13" s="22" t="n">
        <f aca="false">Units!A12</f>
        <v>111</v>
      </c>
      <c r="B13" s="24" t="n">
        <f aca="false">IF(Units!K12=1,Units!F12,0)</f>
        <v>1450</v>
      </c>
      <c r="C13" s="11" t="n">
        <f aca="false">IF(C$1&lt;Units!$P12,0,IF(AND(Units!$K12=0,C$1=Units!$O12),Units!$R12,IF(AND(C$1&gt;=Units!$Q12,MOD(C$1-Units!$Q12,12)=0),IF(AND(Units!$L12=1,C$1=Units!$Q12),IF(Units!$J12&lt;&gt;"",Units!$J12,Mkt!C13),Inputs!$B$15*Mkt!C13+(1-Inputs!$B$15)*MIN(Mkt!C13,B13*(1+Inputs!$B$18))),B13)))</f>
        <v>1450</v>
      </c>
      <c r="D13" s="11" t="n">
        <f aca="false">IF(D$1&lt;Units!$P12,0,IF(AND(Units!$K12=0,D$1=Units!$O12),Units!$R12,IF(AND(D$1&gt;=Units!$Q12,MOD(D$1-Units!$Q12,12)=0),IF(AND(Units!$L12=1,D$1=Units!$Q12),IF(Units!$J12&lt;&gt;"",Units!$J12,Mkt!D13),Inputs!$B$15*Mkt!D13+(1-Inputs!$B$15)*MIN(Mkt!D13,C13*(1+Inputs!$B$18))),C13)))</f>
        <v>1450</v>
      </c>
      <c r="E13" s="11" t="n">
        <f aca="false">IF(E$1&lt;Units!$P12,0,IF(AND(Units!$K12=0,E$1=Units!$O12),Units!$R12,IF(AND(E$1&gt;=Units!$Q12,MOD(E$1-Units!$Q12,12)=0),IF(AND(Units!$L12=1,E$1=Units!$Q12),IF(Units!$J12&lt;&gt;"",Units!$J12,Mkt!E13),Inputs!$B$15*Mkt!E13+(1-Inputs!$B$15)*MIN(Mkt!E13,D13*(1+Inputs!$B$18))),D13)))</f>
        <v>1450</v>
      </c>
      <c r="F13" s="11" t="n">
        <f aca="false">IF(F$1&lt;Units!$P12,0,IF(AND(Units!$K12=0,F$1=Units!$O12),Units!$R12,IF(AND(F$1&gt;=Units!$Q12,MOD(F$1-Units!$Q12,12)=0),IF(AND(Units!$L12=1,F$1=Units!$Q12),IF(Units!$J12&lt;&gt;"",Units!$J12,Mkt!F13),Inputs!$B$15*Mkt!F13+(1-Inputs!$B$15)*MIN(Mkt!F13,E13*(1+Inputs!$B$18))),E13)))</f>
        <v>1450</v>
      </c>
      <c r="G13" s="11" t="n">
        <f aca="false">IF(G$1&lt;Units!$P12,0,IF(AND(Units!$K12=0,G$1=Units!$O12),Units!$R12,IF(AND(G$1&gt;=Units!$Q12,MOD(G$1-Units!$Q12,12)=0),IF(AND(Units!$L12=1,G$1=Units!$Q12),IF(Units!$J12&lt;&gt;"",Units!$J12,Mkt!G13),Inputs!$B$15*Mkt!G13+(1-Inputs!$B$15)*MIN(Mkt!G13,F13*(1+Inputs!$B$18))),F13)))</f>
        <v>1450</v>
      </c>
      <c r="H13" s="11" t="n">
        <f aca="false">IF(H$1&lt;Units!$P12,0,IF(AND(Units!$K12=0,H$1=Units!$O12),Units!$R12,IF(AND(H$1&gt;=Units!$Q12,MOD(H$1-Units!$Q12,12)=0),IF(AND(Units!$L12=1,H$1=Units!$Q12),IF(Units!$J12&lt;&gt;"",Units!$J12,Mkt!H13),Inputs!$B$15*Mkt!H13+(1-Inputs!$B$15)*MIN(Mkt!H13,G13*(1+Inputs!$B$18))),G13)))</f>
        <v>1450</v>
      </c>
      <c r="I13" s="11" t="n">
        <f aca="false">IF(I$1&lt;Units!$P12,0,IF(AND(Units!$K12=0,I$1=Units!$O12),Units!$R12,IF(AND(I$1&gt;=Units!$Q12,MOD(I$1-Units!$Q12,12)=0),IF(AND(Units!$L12=1,I$1=Units!$Q12),IF(Units!$J12&lt;&gt;"",Units!$J12,Mkt!I13),Inputs!$B$15*Mkt!I13+(1-Inputs!$B$15)*MIN(Mkt!I13,H13*(1+Inputs!$B$18))),H13)))</f>
        <v>1450</v>
      </c>
      <c r="J13" s="11" t="n">
        <f aca="false">IF(J$1&lt;Units!$P12,0,IF(AND(Units!$K12=0,J$1=Units!$O12),Units!$R12,IF(AND(J$1&gt;=Units!$Q12,MOD(J$1-Units!$Q12,12)=0),IF(AND(Units!$L12=1,J$1=Units!$Q12),IF(Units!$J12&lt;&gt;"",Units!$J12,Mkt!J13),Inputs!$B$15*Mkt!J13+(1-Inputs!$B$15)*MIN(Mkt!J13,I13*(1+Inputs!$B$18))),I13)))</f>
        <v>1523.75</v>
      </c>
      <c r="K13" s="11" t="n">
        <f aca="false">IF(K$1&lt;Units!$P12,0,IF(AND(Units!$K12=0,K$1=Units!$O12),Units!$R12,IF(AND(K$1&gt;=Units!$Q12,MOD(K$1-Units!$Q12,12)=0),IF(AND(Units!$L12=1,K$1=Units!$Q12),IF(Units!$J12&lt;&gt;"",Units!$J12,Mkt!K13),Inputs!$B$15*Mkt!K13+(1-Inputs!$B$15)*MIN(Mkt!K13,J13*(1+Inputs!$B$18))),J13)))</f>
        <v>1523.75</v>
      </c>
      <c r="L13" s="11" t="n">
        <f aca="false">IF(L$1&lt;Units!$P12,0,IF(AND(Units!$K12=0,L$1=Units!$O12),Units!$R12,IF(AND(L$1&gt;=Units!$Q12,MOD(L$1-Units!$Q12,12)=0),IF(AND(Units!$L12=1,L$1=Units!$Q12),IF(Units!$J12&lt;&gt;"",Units!$J12,Mkt!L13),Inputs!$B$15*Mkt!L13+(1-Inputs!$B$15)*MIN(Mkt!L13,K13*(1+Inputs!$B$18))),K13)))</f>
        <v>1523.75</v>
      </c>
      <c r="M13" s="11" t="n">
        <f aca="false">IF(M$1&lt;Units!$P12,0,IF(AND(Units!$K12=0,M$1=Units!$O12),Units!$R12,IF(AND(M$1&gt;=Units!$Q12,MOD(M$1-Units!$Q12,12)=0),IF(AND(Units!$L12=1,M$1=Units!$Q12),IF(Units!$J12&lt;&gt;"",Units!$J12,Mkt!M13),Inputs!$B$15*Mkt!M13+(1-Inputs!$B$15)*MIN(Mkt!M13,L13*(1+Inputs!$B$18))),L13)))</f>
        <v>1523.75</v>
      </c>
      <c r="N13" s="11" t="n">
        <f aca="false">IF(N$1&lt;Units!$P12,0,IF(AND(Units!$K12=0,N$1=Units!$O12),Units!$R12,IF(AND(N$1&gt;=Units!$Q12,MOD(N$1-Units!$Q12,12)=0),IF(AND(Units!$L12=1,N$1=Units!$Q12),IF(Units!$J12&lt;&gt;"",Units!$J12,Mkt!N13),Inputs!$B$15*Mkt!N13+(1-Inputs!$B$15)*MIN(Mkt!N13,M13*(1+Inputs!$B$18))),M13)))</f>
        <v>1523.75</v>
      </c>
      <c r="O13" s="11" t="n">
        <f aca="false">IF(O$1&lt;Units!$P12,0,IF(AND(Units!$K12=0,O$1=Units!$O12),Units!$R12,IF(AND(O$1&gt;=Units!$Q12,MOD(O$1-Units!$Q12,12)=0),IF(AND(Units!$L12=1,O$1=Units!$Q12),IF(Units!$J12&lt;&gt;"",Units!$J12,Mkt!O13),Inputs!$B$15*Mkt!O13+(1-Inputs!$B$15)*MIN(Mkt!O13,N13*(1+Inputs!$B$18))),N13)))</f>
        <v>1523.75</v>
      </c>
      <c r="P13" s="11" t="n">
        <f aca="false">IF(P$1&lt;Units!$P12,0,IF(AND(Units!$K12=0,P$1=Units!$O12),Units!$R12,IF(AND(P$1&gt;=Units!$Q12,MOD(P$1-Units!$Q12,12)=0),IF(AND(Units!$L12=1,P$1=Units!$Q12),IF(Units!$J12&lt;&gt;"",Units!$J12,Mkt!P13),Inputs!$B$15*Mkt!P13+(1-Inputs!$B$15)*MIN(Mkt!P13,O13*(1+Inputs!$B$18))),O13)))</f>
        <v>1523.75</v>
      </c>
      <c r="Q13" s="11" t="n">
        <f aca="false">IF(Q$1&lt;Units!$P12,0,IF(AND(Units!$K12=0,Q$1=Units!$O12),Units!$R12,IF(AND(Q$1&gt;=Units!$Q12,MOD(Q$1-Units!$Q12,12)=0),IF(AND(Units!$L12=1,Q$1=Units!$Q12),IF(Units!$J12&lt;&gt;"",Units!$J12,Mkt!Q13),Inputs!$B$15*Mkt!Q13+(1-Inputs!$B$15)*MIN(Mkt!Q13,P13*(1+Inputs!$B$18))),P13)))</f>
        <v>1523.75</v>
      </c>
      <c r="R13" s="11" t="n">
        <f aca="false">IF(R$1&lt;Units!$P12,0,IF(AND(Units!$K12=0,R$1=Units!$O12),Units!$R12,IF(AND(R$1&gt;=Units!$Q12,MOD(R$1-Units!$Q12,12)=0),IF(AND(Units!$L12=1,R$1=Units!$Q12),IF(Units!$J12&lt;&gt;"",Units!$J12,Mkt!R13),Inputs!$B$15*Mkt!R13+(1-Inputs!$B$15)*MIN(Mkt!R13,Q13*(1+Inputs!$B$18))),Q13)))</f>
        <v>1523.75</v>
      </c>
      <c r="S13" s="11" t="n">
        <f aca="false">IF(S$1&lt;Units!$P12,0,IF(AND(Units!$K12=0,S$1=Units!$O12),Units!$R12,IF(AND(S$1&gt;=Units!$Q12,MOD(S$1-Units!$Q12,12)=0),IF(AND(Units!$L12=1,S$1=Units!$Q12),IF(Units!$J12&lt;&gt;"",Units!$J12,Mkt!S13),Inputs!$B$15*Mkt!S13+(1-Inputs!$B$15)*MIN(Mkt!S13,R13*(1+Inputs!$B$18))),R13)))</f>
        <v>1523.75</v>
      </c>
      <c r="T13" s="11" t="n">
        <f aca="false">IF(T$1&lt;Units!$P12,0,IF(AND(Units!$K12=0,T$1=Units!$O12),Units!$R12,IF(AND(T$1&gt;=Units!$Q12,MOD(T$1-Units!$Q12,12)=0),IF(AND(Units!$L12=1,T$1=Units!$Q12),IF(Units!$J12&lt;&gt;"",Units!$J12,Mkt!T13),Inputs!$B$15*Mkt!T13+(1-Inputs!$B$15)*MIN(Mkt!T13,S13*(1+Inputs!$B$18))),S13)))</f>
        <v>1523.75</v>
      </c>
      <c r="U13" s="11" t="n">
        <f aca="false">IF(U$1&lt;Units!$P12,0,IF(AND(Units!$K12=0,U$1=Units!$O12),Units!$R12,IF(AND(U$1&gt;=Units!$Q12,MOD(U$1-Units!$Q12,12)=0),IF(AND(Units!$L12=1,U$1=Units!$Q12),IF(Units!$J12&lt;&gt;"",Units!$J12,Mkt!U13),Inputs!$B$15*Mkt!U13+(1-Inputs!$B$15)*MIN(Mkt!U13,T13*(1+Inputs!$B$18))),T13)))</f>
        <v>1523.75</v>
      </c>
      <c r="V13" s="11" t="n">
        <f aca="false">IF(V$1&lt;Units!$P12,0,IF(AND(Units!$K12=0,V$1=Units!$O12),Units!$R12,IF(AND(V$1&gt;=Units!$Q12,MOD(V$1-Units!$Q12,12)=0),IF(AND(Units!$L12=1,V$1=Units!$Q12),IF(Units!$J12&lt;&gt;"",Units!$J12,Mkt!V13),Inputs!$B$15*Mkt!V13+(1-Inputs!$B$15)*MIN(Mkt!V13,U13*(1+Inputs!$B$18))),U13)))</f>
        <v>1570.75</v>
      </c>
      <c r="W13" s="11" t="n">
        <f aca="false">IF(W$1&lt;Units!$P12,0,IF(AND(Units!$K12=0,W$1=Units!$O12),Units!$R12,IF(AND(W$1&gt;=Units!$Q12,MOD(W$1-Units!$Q12,12)=0),IF(AND(Units!$L12=1,W$1=Units!$Q12),IF(Units!$J12&lt;&gt;"",Units!$J12,Mkt!W13),Inputs!$B$15*Mkt!W13+(1-Inputs!$B$15)*MIN(Mkt!W13,V13*(1+Inputs!$B$18))),V13)))</f>
        <v>1570.75</v>
      </c>
      <c r="X13" s="11" t="n">
        <f aca="false">IF(X$1&lt;Units!$P12,0,IF(AND(Units!$K12=0,X$1=Units!$O12),Units!$R12,IF(AND(X$1&gt;=Units!$Q12,MOD(X$1-Units!$Q12,12)=0),IF(AND(Units!$L12=1,X$1=Units!$Q12),IF(Units!$J12&lt;&gt;"",Units!$J12,Mkt!X13),Inputs!$B$15*Mkt!X13+(1-Inputs!$B$15)*MIN(Mkt!X13,W13*(1+Inputs!$B$18))),W13)))</f>
        <v>1570.75</v>
      </c>
      <c r="Y13" s="11" t="n">
        <f aca="false">IF(Y$1&lt;Units!$P12,0,IF(AND(Units!$K12=0,Y$1=Units!$O12),Units!$R12,IF(AND(Y$1&gt;=Units!$Q12,MOD(Y$1-Units!$Q12,12)=0),IF(AND(Units!$L12=1,Y$1=Units!$Q12),IF(Units!$J12&lt;&gt;"",Units!$J12,Mkt!Y13),Inputs!$B$15*Mkt!Y13+(1-Inputs!$B$15)*MIN(Mkt!Y13,X13*(1+Inputs!$B$18))),X13)))</f>
        <v>1570.75</v>
      </c>
      <c r="Z13" s="11" t="n">
        <f aca="false">IF(Z$1&lt;Units!$P12,0,IF(AND(Units!$K12=0,Z$1=Units!$O12),Units!$R12,IF(AND(Z$1&gt;=Units!$Q12,MOD(Z$1-Units!$Q12,12)=0),IF(AND(Units!$L12=1,Z$1=Units!$Q12),IF(Units!$J12&lt;&gt;"",Units!$J12,Mkt!Z13),Inputs!$B$15*Mkt!Z13+(1-Inputs!$B$15)*MIN(Mkt!Z13,Y13*(1+Inputs!$B$18))),Y13)))</f>
        <v>1570.75</v>
      </c>
      <c r="AA13" s="11" t="n">
        <f aca="false">IF(AA$1&lt;Units!$P12,0,IF(AND(Units!$K12=0,AA$1=Units!$O12),Units!$R12,IF(AND(AA$1&gt;=Units!$Q12,MOD(AA$1-Units!$Q12,12)=0),IF(AND(Units!$L12=1,AA$1=Units!$Q12),IF(Units!$J12&lt;&gt;"",Units!$J12,Mkt!AA13),Inputs!$B$15*Mkt!AA13+(1-Inputs!$B$15)*MIN(Mkt!AA13,Z13*(1+Inputs!$B$18))),Z13)))</f>
        <v>1570.75</v>
      </c>
      <c r="AB13" s="11" t="n">
        <f aca="false">IF(AB$1&lt;Units!$P12,0,IF(AND(Units!$K12=0,AB$1=Units!$O12),Units!$R12,IF(AND(AB$1&gt;=Units!$Q12,MOD(AB$1-Units!$Q12,12)=0),IF(AND(Units!$L12=1,AB$1=Units!$Q12),IF(Units!$J12&lt;&gt;"",Units!$J12,Mkt!AB13),Inputs!$B$15*Mkt!AB13+(1-Inputs!$B$15)*MIN(Mkt!AB13,AA13*(1+Inputs!$B$18))),AA13)))</f>
        <v>1570.75</v>
      </c>
      <c r="AC13" s="11" t="n">
        <f aca="false">IF(AC$1&lt;Units!$P12,0,IF(AND(Units!$K12=0,AC$1=Units!$O12),Units!$R12,IF(AND(AC$1&gt;=Units!$Q12,MOD(AC$1-Units!$Q12,12)=0),IF(AND(Units!$L12=1,AC$1=Units!$Q12),IF(Units!$J12&lt;&gt;"",Units!$J12,Mkt!AC13),Inputs!$B$15*Mkt!AC13+(1-Inputs!$B$15)*MIN(Mkt!AC13,AB13*(1+Inputs!$B$18))),AB13)))</f>
        <v>1570.75</v>
      </c>
      <c r="AD13" s="11" t="n">
        <f aca="false">IF(AD$1&lt;Units!$P12,0,IF(AND(Units!$K12=0,AD$1=Units!$O12),Units!$R12,IF(AND(AD$1&gt;=Units!$Q12,MOD(AD$1-Units!$Q12,12)=0),IF(AND(Units!$L12=1,AD$1=Units!$Q12),IF(Units!$J12&lt;&gt;"",Units!$J12,Mkt!AD13),Inputs!$B$15*Mkt!AD13+(1-Inputs!$B$15)*MIN(Mkt!AD13,AC13*(1+Inputs!$B$18))),AC13)))</f>
        <v>1570.75</v>
      </c>
      <c r="AE13" s="11" t="n">
        <f aca="false">IF(AE$1&lt;Units!$P12,0,IF(AND(Units!$K12=0,AE$1=Units!$O12),Units!$R12,IF(AND(AE$1&gt;=Units!$Q12,MOD(AE$1-Units!$Q12,12)=0),IF(AND(Units!$L12=1,AE$1=Units!$Q12),IF(Units!$J12&lt;&gt;"",Units!$J12,Mkt!AE13),Inputs!$B$15*Mkt!AE13+(1-Inputs!$B$15)*MIN(Mkt!AE13,AD13*(1+Inputs!$B$18))),AD13)))</f>
        <v>1570.75</v>
      </c>
      <c r="AF13" s="11" t="n">
        <f aca="false">IF(AF$1&lt;Units!$P12,0,IF(AND(Units!$K12=0,AF$1=Units!$O12),Units!$R12,IF(AND(AF$1&gt;=Units!$Q12,MOD(AF$1-Units!$Q12,12)=0),IF(AND(Units!$L12=1,AF$1=Units!$Q12),IF(Units!$J12&lt;&gt;"",Units!$J12,Mkt!AF13),Inputs!$B$15*Mkt!AF13+(1-Inputs!$B$15)*MIN(Mkt!AF13,AE13*(1+Inputs!$B$18))),AE13)))</f>
        <v>1570.75</v>
      </c>
      <c r="AG13" s="11" t="n">
        <f aca="false">IF(AG$1&lt;Units!$P12,0,IF(AND(Units!$K12=0,AG$1=Units!$O12),Units!$R12,IF(AND(AG$1&gt;=Units!$Q12,MOD(AG$1-Units!$Q12,12)=0),IF(AND(Units!$L12=1,AG$1=Units!$Q12),IF(Units!$J12&lt;&gt;"",Units!$J12,Mkt!AG13),Inputs!$B$15*Mkt!AG13+(1-Inputs!$B$15)*MIN(Mkt!AG13,AF13*(1+Inputs!$B$18))),AF13)))</f>
        <v>1570.75</v>
      </c>
      <c r="AH13" s="11" t="n">
        <f aca="false">IF(AH$1&lt;Units!$P12,0,IF(AND(Units!$K12=0,AH$1=Units!$O12),Units!$R12,IF(AND(AH$1&gt;=Units!$Q12,MOD(AH$1-Units!$Q12,12)=0),IF(AND(Units!$L12=1,AH$1=Units!$Q12),IF(Units!$J12&lt;&gt;"",Units!$J12,Mkt!AH13),Inputs!$B$15*Mkt!AH13+(1-Inputs!$B$15)*MIN(Mkt!AH13,AG13*(1+Inputs!$B$18))),AG13)))</f>
        <v>1617.8725</v>
      </c>
      <c r="AI13" s="11" t="n">
        <f aca="false">IF(AI$1&lt;Units!$P12,0,IF(AND(Units!$K12=0,AI$1=Units!$O12),Units!$R12,IF(AND(AI$1&gt;=Units!$Q12,MOD(AI$1-Units!$Q12,12)=0),IF(AND(Units!$L12=1,AI$1=Units!$Q12),IF(Units!$J12&lt;&gt;"",Units!$J12,Mkt!AI13),Inputs!$B$15*Mkt!AI13+(1-Inputs!$B$15)*MIN(Mkt!AI13,AH13*(1+Inputs!$B$18))),AH13)))</f>
        <v>1617.8725</v>
      </c>
      <c r="AJ13" s="11" t="n">
        <f aca="false">IF(AJ$1&lt;Units!$P12,0,IF(AND(Units!$K12=0,AJ$1=Units!$O12),Units!$R12,IF(AND(AJ$1&gt;=Units!$Q12,MOD(AJ$1-Units!$Q12,12)=0),IF(AND(Units!$L12=1,AJ$1=Units!$Q12),IF(Units!$J12&lt;&gt;"",Units!$J12,Mkt!AJ13),Inputs!$B$15*Mkt!AJ13+(1-Inputs!$B$15)*MIN(Mkt!AJ13,AI13*(1+Inputs!$B$18))),AI13)))</f>
        <v>1617.8725</v>
      </c>
      <c r="AK13" s="11" t="n">
        <f aca="false">IF(AK$1&lt;Units!$P12,0,IF(AND(Units!$K12=0,AK$1=Units!$O12),Units!$R12,IF(AND(AK$1&gt;=Units!$Q12,MOD(AK$1-Units!$Q12,12)=0),IF(AND(Units!$L12=1,AK$1=Units!$Q12),IF(Units!$J12&lt;&gt;"",Units!$J12,Mkt!AK13),Inputs!$B$15*Mkt!AK13+(1-Inputs!$B$15)*MIN(Mkt!AK13,AJ13*(1+Inputs!$B$18))),AJ13)))</f>
        <v>1617.8725</v>
      </c>
      <c r="AL13" s="11" t="n">
        <f aca="false">IF(AL$1&lt;Units!$P12,0,IF(AND(Units!$K12=0,AL$1=Units!$O12),Units!$R12,IF(AND(AL$1&gt;=Units!$Q12,MOD(AL$1-Units!$Q12,12)=0),IF(AND(Units!$L12=1,AL$1=Units!$Q12),IF(Units!$J12&lt;&gt;"",Units!$J12,Mkt!AL13),Inputs!$B$15*Mkt!AL13+(1-Inputs!$B$15)*MIN(Mkt!AL13,AK13*(1+Inputs!$B$18))),AK13)))</f>
        <v>1617.8725</v>
      </c>
      <c r="AM13" s="11" t="n">
        <f aca="false">IF(AM$1&lt;Units!$P12,0,IF(AND(Units!$K12=0,AM$1=Units!$O12),Units!$R12,IF(AND(AM$1&gt;=Units!$Q12,MOD(AM$1-Units!$Q12,12)=0),IF(AND(Units!$L12=1,AM$1=Units!$Q12),IF(Units!$J12&lt;&gt;"",Units!$J12,Mkt!AM13),Inputs!$B$15*Mkt!AM13+(1-Inputs!$B$15)*MIN(Mkt!AM13,AL13*(1+Inputs!$B$18))),AL13)))</f>
        <v>1617.8725</v>
      </c>
      <c r="AN13" s="11" t="n">
        <f aca="false">IF(AN$1&lt;Units!$P12,0,IF(AND(Units!$K12=0,AN$1=Units!$O12),Units!$R12,IF(AND(AN$1&gt;=Units!$Q12,MOD(AN$1-Units!$Q12,12)=0),IF(AND(Units!$L12=1,AN$1=Units!$Q12),IF(Units!$J12&lt;&gt;"",Units!$J12,Mkt!AN13),Inputs!$B$15*Mkt!AN13+(1-Inputs!$B$15)*MIN(Mkt!AN13,AM13*(1+Inputs!$B$18))),AM13)))</f>
        <v>1617.8725</v>
      </c>
      <c r="AO13" s="11" t="n">
        <f aca="false">IF(AO$1&lt;Units!$P12,0,IF(AND(Units!$K12=0,AO$1=Units!$O12),Units!$R12,IF(AND(AO$1&gt;=Units!$Q12,MOD(AO$1-Units!$Q12,12)=0),IF(AND(Units!$L12=1,AO$1=Units!$Q12),IF(Units!$J12&lt;&gt;"",Units!$J12,Mkt!AO13),Inputs!$B$15*Mkt!AO13+(1-Inputs!$B$15)*MIN(Mkt!AO13,AN13*(1+Inputs!$B$18))),AN13)))</f>
        <v>1617.8725</v>
      </c>
      <c r="AP13" s="11" t="n">
        <f aca="false">IF(AP$1&lt;Units!$P12,0,IF(AND(Units!$K12=0,AP$1=Units!$O12),Units!$R12,IF(AND(AP$1&gt;=Units!$Q12,MOD(AP$1-Units!$Q12,12)=0),IF(AND(Units!$L12=1,AP$1=Units!$Q12),IF(Units!$J12&lt;&gt;"",Units!$J12,Mkt!AP13),Inputs!$B$15*Mkt!AP13+(1-Inputs!$B$15)*MIN(Mkt!AP13,AO13*(1+Inputs!$B$18))),AO13)))</f>
        <v>1617.8725</v>
      </c>
      <c r="AQ13" s="11" t="n">
        <f aca="false">IF(AQ$1&lt;Units!$P12,0,IF(AND(Units!$K12=0,AQ$1=Units!$O12),Units!$R12,IF(AND(AQ$1&gt;=Units!$Q12,MOD(AQ$1-Units!$Q12,12)=0),IF(AND(Units!$L12=1,AQ$1=Units!$Q12),IF(Units!$J12&lt;&gt;"",Units!$J12,Mkt!AQ13),Inputs!$B$15*Mkt!AQ13+(1-Inputs!$B$15)*MIN(Mkt!AQ13,AP13*(1+Inputs!$B$18))),AP13)))</f>
        <v>1617.8725</v>
      </c>
      <c r="AR13" s="11" t="n">
        <f aca="false">IF(AR$1&lt;Units!$P12,0,IF(AND(Units!$K12=0,AR$1=Units!$O12),Units!$R12,IF(AND(AR$1&gt;=Units!$Q12,MOD(AR$1-Units!$Q12,12)=0),IF(AND(Units!$L12=1,AR$1=Units!$Q12),IF(Units!$J12&lt;&gt;"",Units!$J12,Mkt!AR13),Inputs!$B$15*Mkt!AR13+(1-Inputs!$B$15)*MIN(Mkt!AR13,AQ13*(1+Inputs!$B$18))),AQ13)))</f>
        <v>1617.8725</v>
      </c>
      <c r="AS13" s="11" t="n">
        <f aca="false">IF(AS$1&lt;Units!$P12,0,IF(AND(Units!$K12=0,AS$1=Units!$O12),Units!$R12,IF(AND(AS$1&gt;=Units!$Q12,MOD(AS$1-Units!$Q12,12)=0),IF(AND(Units!$L12=1,AS$1=Units!$Q12),IF(Units!$J12&lt;&gt;"",Units!$J12,Mkt!AS13),Inputs!$B$15*Mkt!AS13+(1-Inputs!$B$15)*MIN(Mkt!AS13,AR13*(1+Inputs!$B$18))),AR13)))</f>
        <v>1617.8725</v>
      </c>
      <c r="AT13" s="11" t="n">
        <f aca="false">IF(AT$1&lt;Units!$P12,0,IF(AND(Units!$K12=0,AT$1=Units!$O12),Units!$R12,IF(AND(AT$1&gt;=Units!$Q12,MOD(AT$1-Units!$Q12,12)=0),IF(AND(Units!$L12=1,AT$1=Units!$Q12),IF(Units!$J12&lt;&gt;"",Units!$J12,Mkt!AT13),Inputs!$B$15*Mkt!AT13+(1-Inputs!$B$15)*MIN(Mkt!AT13,AS13*(1+Inputs!$B$18))),AS13)))</f>
        <v>1666.408675</v>
      </c>
      <c r="AU13" s="11" t="n">
        <f aca="false">IF(AU$1&lt;Units!$P12,0,IF(AND(Units!$K12=0,AU$1=Units!$O12),Units!$R12,IF(AND(AU$1&gt;=Units!$Q12,MOD(AU$1-Units!$Q12,12)=0),IF(AND(Units!$L12=1,AU$1=Units!$Q12),IF(Units!$J12&lt;&gt;"",Units!$J12,Mkt!AU13),Inputs!$B$15*Mkt!AU13+(1-Inputs!$B$15)*MIN(Mkt!AU13,AT13*(1+Inputs!$B$18))),AT13)))</f>
        <v>1666.408675</v>
      </c>
      <c r="AV13" s="11" t="n">
        <f aca="false">IF(AV$1&lt;Units!$P12,0,IF(AND(Units!$K12=0,AV$1=Units!$O12),Units!$R12,IF(AND(AV$1&gt;=Units!$Q12,MOD(AV$1-Units!$Q12,12)=0),IF(AND(Units!$L12=1,AV$1=Units!$Q12),IF(Units!$J12&lt;&gt;"",Units!$J12,Mkt!AV13),Inputs!$B$15*Mkt!AV13+(1-Inputs!$B$15)*MIN(Mkt!AV13,AU13*(1+Inputs!$B$18))),AU13)))</f>
        <v>1666.408675</v>
      </c>
      <c r="AW13" s="11" t="n">
        <f aca="false">IF(AW$1&lt;Units!$P12,0,IF(AND(Units!$K12=0,AW$1=Units!$O12),Units!$R12,IF(AND(AW$1&gt;=Units!$Q12,MOD(AW$1-Units!$Q12,12)=0),IF(AND(Units!$L12=1,AW$1=Units!$Q12),IF(Units!$J12&lt;&gt;"",Units!$J12,Mkt!AW13),Inputs!$B$15*Mkt!AW13+(1-Inputs!$B$15)*MIN(Mkt!AW13,AV13*(1+Inputs!$B$18))),AV13)))</f>
        <v>1666.408675</v>
      </c>
      <c r="AX13" s="11" t="n">
        <f aca="false">IF(AX$1&lt;Units!$P12,0,IF(AND(Units!$K12=0,AX$1=Units!$O12),Units!$R12,IF(AND(AX$1&gt;=Units!$Q12,MOD(AX$1-Units!$Q12,12)=0),IF(AND(Units!$L12=1,AX$1=Units!$Q12),IF(Units!$J12&lt;&gt;"",Units!$J12,Mkt!AX13),Inputs!$B$15*Mkt!AX13+(1-Inputs!$B$15)*MIN(Mkt!AX13,AW13*(1+Inputs!$B$18))),AW13)))</f>
        <v>1666.408675</v>
      </c>
      <c r="AY13" s="11" t="n">
        <f aca="false">IF(AY$1&lt;Units!$P12,0,IF(AND(Units!$K12=0,AY$1=Units!$O12),Units!$R12,IF(AND(AY$1&gt;=Units!$Q12,MOD(AY$1-Units!$Q12,12)=0),IF(AND(Units!$L12=1,AY$1=Units!$Q12),IF(Units!$J12&lt;&gt;"",Units!$J12,Mkt!AY13),Inputs!$B$15*Mkt!AY13+(1-Inputs!$B$15)*MIN(Mkt!AY13,AX13*(1+Inputs!$B$18))),AX13)))</f>
        <v>1666.408675</v>
      </c>
      <c r="AZ13" s="11" t="n">
        <f aca="false">IF(AZ$1&lt;Units!$P12,0,IF(AND(Units!$K12=0,AZ$1=Units!$O12),Units!$R12,IF(AND(AZ$1&gt;=Units!$Q12,MOD(AZ$1-Units!$Q12,12)=0),IF(AND(Units!$L12=1,AZ$1=Units!$Q12),IF(Units!$J12&lt;&gt;"",Units!$J12,Mkt!AZ13),Inputs!$B$15*Mkt!AZ13+(1-Inputs!$B$15)*MIN(Mkt!AZ13,AY13*(1+Inputs!$B$18))),AY13)))</f>
        <v>1666.408675</v>
      </c>
      <c r="BA13" s="11" t="n">
        <f aca="false">IF(BA$1&lt;Units!$P12,0,IF(AND(Units!$K12=0,BA$1=Units!$O12),Units!$R12,IF(AND(BA$1&gt;=Units!$Q12,MOD(BA$1-Units!$Q12,12)=0),IF(AND(Units!$L12=1,BA$1=Units!$Q12),IF(Units!$J12&lt;&gt;"",Units!$J12,Mkt!BA13),Inputs!$B$15*Mkt!BA13+(1-Inputs!$B$15)*MIN(Mkt!BA13,AZ13*(1+Inputs!$B$18))),AZ13)))</f>
        <v>1666.408675</v>
      </c>
      <c r="BB13" s="11" t="n">
        <f aca="false">IF(BB$1&lt;Units!$P12,0,IF(AND(Units!$K12=0,BB$1=Units!$O12),Units!$R12,IF(AND(BB$1&gt;=Units!$Q12,MOD(BB$1-Units!$Q12,12)=0),IF(AND(Units!$L12=1,BB$1=Units!$Q12),IF(Units!$J12&lt;&gt;"",Units!$J12,Mkt!BB13),Inputs!$B$15*Mkt!BB13+(1-Inputs!$B$15)*MIN(Mkt!BB13,BA13*(1+Inputs!$B$18))),BA13)))</f>
        <v>1666.408675</v>
      </c>
      <c r="BC13" s="11" t="n">
        <f aca="false">IF(BC$1&lt;Units!$P12,0,IF(AND(Units!$K12=0,BC$1=Units!$O12),Units!$R12,IF(AND(BC$1&gt;=Units!$Q12,MOD(BC$1-Units!$Q12,12)=0),IF(AND(Units!$L12=1,BC$1=Units!$Q12),IF(Units!$J12&lt;&gt;"",Units!$J12,Mkt!BC13),Inputs!$B$15*Mkt!BC13+(1-Inputs!$B$15)*MIN(Mkt!BC13,BB13*(1+Inputs!$B$18))),BB13)))</f>
        <v>1666.408675</v>
      </c>
      <c r="BD13" s="11" t="n">
        <f aca="false">IF(BD$1&lt;Units!$P12,0,IF(AND(Units!$K12=0,BD$1=Units!$O12),Units!$R12,IF(AND(BD$1&gt;=Units!$Q12,MOD(BD$1-Units!$Q12,12)=0),IF(AND(Units!$L12=1,BD$1=Units!$Q12),IF(Units!$J12&lt;&gt;"",Units!$J12,Mkt!BD13),Inputs!$B$15*Mkt!BD13+(1-Inputs!$B$15)*MIN(Mkt!BD13,BC13*(1+Inputs!$B$18))),BC13)))</f>
        <v>1666.408675</v>
      </c>
      <c r="BE13" s="11" t="n">
        <f aca="false">IF(BE$1&lt;Units!$P12,0,IF(AND(Units!$K12=0,BE$1=Units!$O12),Units!$R12,IF(AND(BE$1&gt;=Units!$Q12,MOD(BE$1-Units!$Q12,12)=0),IF(AND(Units!$L12=1,BE$1=Units!$Q12),IF(Units!$J12&lt;&gt;"",Units!$J12,Mkt!BE13),Inputs!$B$15*Mkt!BE13+(1-Inputs!$B$15)*MIN(Mkt!BE13,BD13*(1+Inputs!$B$18))),BD13)))</f>
        <v>1666.408675</v>
      </c>
      <c r="BF13" s="11" t="n">
        <f aca="false">IF(BF$1&lt;Units!$P12,0,IF(AND(Units!$K12=0,BF$1=Units!$O12),Units!$R12,IF(AND(BF$1&gt;=Units!$Q12,MOD(BF$1-Units!$Q12,12)=0),IF(AND(Units!$L12=1,BF$1=Units!$Q12),IF(Units!$J12&lt;&gt;"",Units!$J12,Mkt!BF13),Inputs!$B$15*Mkt!BF13+(1-Inputs!$B$15)*MIN(Mkt!BF13,BE13*(1+Inputs!$B$18))),BE13)))</f>
        <v>1716.40093525</v>
      </c>
      <c r="BG13" s="11" t="n">
        <f aca="false">IF(BG$1&lt;Units!$P12,0,IF(AND(Units!$K12=0,BG$1=Units!$O12),Units!$R12,IF(AND(BG$1&gt;=Units!$Q12,MOD(BG$1-Units!$Q12,12)=0),IF(AND(Units!$L12=1,BG$1=Units!$Q12),IF(Units!$J12&lt;&gt;"",Units!$J12,Mkt!BG13),Inputs!$B$15*Mkt!BG13+(1-Inputs!$B$15)*MIN(Mkt!BG13,BF13*(1+Inputs!$B$18))),BF13)))</f>
        <v>1716.40093525</v>
      </c>
      <c r="BH13" s="11" t="n">
        <f aca="false">IF(BH$1&lt;Units!$P12,0,IF(AND(Units!$K12=0,BH$1=Units!$O12),Units!$R12,IF(AND(BH$1&gt;=Units!$Q12,MOD(BH$1-Units!$Q12,12)=0),IF(AND(Units!$L12=1,BH$1=Units!$Q12),IF(Units!$J12&lt;&gt;"",Units!$J12,Mkt!BH13),Inputs!$B$15*Mkt!BH13+(1-Inputs!$B$15)*MIN(Mkt!BH13,BG13*(1+Inputs!$B$18))),BG13)))</f>
        <v>1716.40093525</v>
      </c>
      <c r="BI13" s="11" t="n">
        <f aca="false">IF(BI$1&lt;Units!$P12,0,IF(AND(Units!$K12=0,BI$1=Units!$O12),Units!$R12,IF(AND(BI$1&gt;=Units!$Q12,MOD(BI$1-Units!$Q12,12)=0),IF(AND(Units!$L12=1,BI$1=Units!$Q12),IF(Units!$J12&lt;&gt;"",Units!$J12,Mkt!BI13),Inputs!$B$15*Mkt!BI13+(1-Inputs!$B$15)*MIN(Mkt!BI13,BH13*(1+Inputs!$B$18))),BH13)))</f>
        <v>1716.40093525</v>
      </c>
      <c r="BJ13" s="11" t="n">
        <f aca="false">IF(BJ$1&lt;Units!$P12,0,IF(AND(Units!$K12=0,BJ$1=Units!$O12),Units!$R12,IF(AND(BJ$1&gt;=Units!$Q12,MOD(BJ$1-Units!$Q12,12)=0),IF(AND(Units!$L12=1,BJ$1=Units!$Q12),IF(Units!$J12&lt;&gt;"",Units!$J12,Mkt!BJ13),Inputs!$B$15*Mkt!BJ13+(1-Inputs!$B$15)*MIN(Mkt!BJ13,BI13*(1+Inputs!$B$18))),BI13)))</f>
        <v>1716.40093525</v>
      </c>
      <c r="BK13" s="11" t="n">
        <f aca="false">IF(BK$1&lt;Units!$P12,0,IF(AND(Units!$K12=0,BK$1=Units!$O12),Units!$R12,IF(AND(BK$1&gt;=Units!$Q12,MOD(BK$1-Units!$Q12,12)=0),IF(AND(Units!$L12=1,BK$1=Units!$Q12),IF(Units!$J12&lt;&gt;"",Units!$J12,Mkt!BK13),Inputs!$B$15*Mkt!BK13+(1-Inputs!$B$15)*MIN(Mkt!BK13,BJ13*(1+Inputs!$B$18))),BJ13)))</f>
        <v>1716.40093525</v>
      </c>
      <c r="BL13" s="11" t="n">
        <f aca="false">IF(BL$1&lt;Units!$P12,0,IF(AND(Units!$K12=0,BL$1=Units!$O12),Units!$R12,IF(AND(BL$1&gt;=Units!$Q12,MOD(BL$1-Units!$Q12,12)=0),IF(AND(Units!$L12=1,BL$1=Units!$Q12),IF(Units!$J12&lt;&gt;"",Units!$J12,Mkt!BL13),Inputs!$B$15*Mkt!BL13+(1-Inputs!$B$15)*MIN(Mkt!BL13,BK13*(1+Inputs!$B$18))),BK13)))</f>
        <v>1716.40093525</v>
      </c>
      <c r="BM13" s="11" t="n">
        <f aca="false">IF(BM$1&lt;Units!$P12,0,IF(AND(Units!$K12=0,BM$1=Units!$O12),Units!$R12,IF(AND(BM$1&gt;=Units!$Q12,MOD(BM$1-Units!$Q12,12)=0),IF(AND(Units!$L12=1,BM$1=Units!$Q12),IF(Units!$J12&lt;&gt;"",Units!$J12,Mkt!BM13),Inputs!$B$15*Mkt!BM13+(1-Inputs!$B$15)*MIN(Mkt!BM13,BL13*(1+Inputs!$B$18))),BL13)))</f>
        <v>1716.40093525</v>
      </c>
      <c r="BN13" s="11" t="n">
        <f aca="false">IF(BN$1&lt;Units!$P12,0,IF(AND(Units!$K12=0,BN$1=Units!$O12),Units!$R12,IF(AND(BN$1&gt;=Units!$Q12,MOD(BN$1-Units!$Q12,12)=0),IF(AND(Units!$L12=1,BN$1=Units!$Q12),IF(Units!$J12&lt;&gt;"",Units!$J12,Mkt!BN13),Inputs!$B$15*Mkt!BN13+(1-Inputs!$B$15)*MIN(Mkt!BN13,BM13*(1+Inputs!$B$18))),BM13)))</f>
        <v>1716.40093525</v>
      </c>
      <c r="BO13" s="11" t="n">
        <f aca="false">IF(BO$1&lt;Units!$P12,0,IF(AND(Units!$K12=0,BO$1=Units!$O12),Units!$R12,IF(AND(BO$1&gt;=Units!$Q12,MOD(BO$1-Units!$Q12,12)=0),IF(AND(Units!$L12=1,BO$1=Units!$Q12),IF(Units!$J12&lt;&gt;"",Units!$J12,Mkt!BO13),Inputs!$B$15*Mkt!BO13+(1-Inputs!$B$15)*MIN(Mkt!BO13,BN13*(1+Inputs!$B$18))),BN13)))</f>
        <v>1716.40093525</v>
      </c>
      <c r="BP13" s="11" t="n">
        <f aca="false">IF(BP$1&lt;Units!$P12,0,IF(AND(Units!$K12=0,BP$1=Units!$O12),Units!$R12,IF(AND(BP$1&gt;=Units!$Q12,MOD(BP$1-Units!$Q12,12)=0),IF(AND(Units!$L12=1,BP$1=Units!$Q12),IF(Units!$J12&lt;&gt;"",Units!$J12,Mkt!BP13),Inputs!$B$15*Mkt!BP13+(1-Inputs!$B$15)*MIN(Mkt!BP13,BO13*(1+Inputs!$B$18))),BO13)))</f>
        <v>1716.40093525</v>
      </c>
      <c r="BQ13" s="11" t="n">
        <f aca="false">IF(BQ$1&lt;Units!$P12,0,IF(AND(Units!$K12=0,BQ$1=Units!$O12),Units!$R12,IF(AND(BQ$1&gt;=Units!$Q12,MOD(BQ$1-Units!$Q12,12)=0),IF(AND(Units!$L12=1,BQ$1=Units!$Q12),IF(Units!$J12&lt;&gt;"",Units!$J12,Mkt!BQ13),Inputs!$B$15*Mkt!BQ13+(1-Inputs!$B$15)*MIN(Mkt!BQ13,BP13*(1+Inputs!$B$18))),BP13)))</f>
        <v>1716.40093525</v>
      </c>
      <c r="BR13" s="11" t="n">
        <f aca="false">IF(BR$1&lt;Units!$P12,0,IF(AND(Units!$K12=0,BR$1=Units!$O12),Units!$R12,IF(AND(BR$1&gt;=Units!$Q12,MOD(BR$1-Units!$Q12,12)=0),IF(AND(Units!$L12=1,BR$1=Units!$Q12),IF(Units!$J12&lt;&gt;"",Units!$J12,Mkt!BR13),Inputs!$B$15*Mkt!BR13+(1-Inputs!$B$15)*MIN(Mkt!BR13,BQ13*(1+Inputs!$B$18))),BQ13)))</f>
        <v>1767.8929633075</v>
      </c>
      <c r="BS13" s="11" t="n">
        <f aca="false">IF(BS$1&lt;Units!$P12,0,IF(AND(Units!$K12=0,BS$1=Units!$O12),Units!$R12,IF(AND(BS$1&gt;=Units!$Q12,MOD(BS$1-Units!$Q12,12)=0),IF(AND(Units!$L12=1,BS$1=Units!$Q12),IF(Units!$J12&lt;&gt;"",Units!$J12,Mkt!BS13),Inputs!$B$15*Mkt!BS13+(1-Inputs!$B$15)*MIN(Mkt!BS13,BR13*(1+Inputs!$B$18))),BR13)))</f>
        <v>1767.8929633075</v>
      </c>
      <c r="BT13" s="11" t="n">
        <f aca="false">IF(BT$1&lt;Units!$P12,0,IF(AND(Units!$K12=0,BT$1=Units!$O12),Units!$R12,IF(AND(BT$1&gt;=Units!$Q12,MOD(BT$1-Units!$Q12,12)=0),IF(AND(Units!$L12=1,BT$1=Units!$Q12),IF(Units!$J12&lt;&gt;"",Units!$J12,Mkt!BT13),Inputs!$B$15*Mkt!BT13+(1-Inputs!$B$15)*MIN(Mkt!BT13,BS13*(1+Inputs!$B$18))),BS13)))</f>
        <v>1767.8929633075</v>
      </c>
      <c r="BU13" s="11" t="n">
        <f aca="false">IF(BU$1&lt;Units!$P12,0,IF(AND(Units!$K12=0,BU$1=Units!$O12),Units!$R12,IF(AND(BU$1&gt;=Units!$Q12,MOD(BU$1-Units!$Q12,12)=0),IF(AND(Units!$L12=1,BU$1=Units!$Q12),IF(Units!$J12&lt;&gt;"",Units!$J12,Mkt!BU13),Inputs!$B$15*Mkt!BU13+(1-Inputs!$B$15)*MIN(Mkt!BU13,BT13*(1+Inputs!$B$18))),BT13)))</f>
        <v>1767.8929633075</v>
      </c>
      <c r="BV13" s="11" t="n">
        <f aca="false">IF(BV$1&lt;Units!$P12,0,IF(AND(Units!$K12=0,BV$1=Units!$O12),Units!$R12,IF(AND(BV$1&gt;=Units!$Q12,MOD(BV$1-Units!$Q12,12)=0),IF(AND(Units!$L12=1,BV$1=Units!$Q12),IF(Units!$J12&lt;&gt;"",Units!$J12,Mkt!BV13),Inputs!$B$15*Mkt!BV13+(1-Inputs!$B$15)*MIN(Mkt!BV13,BU13*(1+Inputs!$B$18))),BU13)))</f>
        <v>1767.8929633075</v>
      </c>
      <c r="BW13" s="11" t="n">
        <f aca="false">IF(BW$1&lt;Units!$P12,0,IF(AND(Units!$K12=0,BW$1=Units!$O12),Units!$R12,IF(AND(BW$1&gt;=Units!$Q12,MOD(BW$1-Units!$Q12,12)=0),IF(AND(Units!$L12=1,BW$1=Units!$Q12),IF(Units!$J12&lt;&gt;"",Units!$J12,Mkt!BW13),Inputs!$B$15*Mkt!BW13+(1-Inputs!$B$15)*MIN(Mkt!BW13,BV13*(1+Inputs!$B$18))),BV13)))</f>
        <v>1767.8929633075</v>
      </c>
      <c r="BX13" s="11" t="n">
        <f aca="false">IF(BX$1&lt;Units!$P12,0,IF(AND(Units!$K12=0,BX$1=Units!$O12),Units!$R12,IF(AND(BX$1&gt;=Units!$Q12,MOD(BX$1-Units!$Q12,12)=0),IF(AND(Units!$L12=1,BX$1=Units!$Q12),IF(Units!$J12&lt;&gt;"",Units!$J12,Mkt!BX13),Inputs!$B$15*Mkt!BX13+(1-Inputs!$B$15)*MIN(Mkt!BX13,BW13*(1+Inputs!$B$18))),BW13)))</f>
        <v>1767.8929633075</v>
      </c>
      <c r="BY13" s="11" t="n">
        <f aca="false">IF(BY$1&lt;Units!$P12,0,IF(AND(Units!$K12=0,BY$1=Units!$O12),Units!$R12,IF(AND(BY$1&gt;=Units!$Q12,MOD(BY$1-Units!$Q12,12)=0),IF(AND(Units!$L12=1,BY$1=Units!$Q12),IF(Units!$J12&lt;&gt;"",Units!$J12,Mkt!BY13),Inputs!$B$15*Mkt!BY13+(1-Inputs!$B$15)*MIN(Mkt!BY13,BX13*(1+Inputs!$B$18))),BX13)))</f>
        <v>1767.8929633075</v>
      </c>
      <c r="BZ13" s="11" t="n">
        <f aca="false">IF(BZ$1&lt;Units!$P12,0,IF(AND(Units!$K12=0,BZ$1=Units!$O12),Units!$R12,IF(AND(BZ$1&gt;=Units!$Q12,MOD(BZ$1-Units!$Q12,12)=0),IF(AND(Units!$L12=1,BZ$1=Units!$Q12),IF(Units!$J12&lt;&gt;"",Units!$J12,Mkt!BZ13),Inputs!$B$15*Mkt!BZ13+(1-Inputs!$B$15)*MIN(Mkt!BZ13,BY13*(1+Inputs!$B$18))),BY13)))</f>
        <v>1767.8929633075</v>
      </c>
      <c r="CA13" s="11" t="n">
        <f aca="false">IF(CA$1&lt;Units!$P12,0,IF(AND(Units!$K12=0,CA$1=Units!$O12),Units!$R12,IF(AND(CA$1&gt;=Units!$Q12,MOD(CA$1-Units!$Q12,12)=0),IF(AND(Units!$L12=1,CA$1=Units!$Q12),IF(Units!$J12&lt;&gt;"",Units!$J12,Mkt!CA13),Inputs!$B$15*Mkt!CA13+(1-Inputs!$B$15)*MIN(Mkt!CA13,BZ13*(1+Inputs!$B$18))),BZ13)))</f>
        <v>1767.8929633075</v>
      </c>
      <c r="CB13" s="11" t="n">
        <f aca="false">IF(CB$1&lt;Units!$P12,0,IF(AND(Units!$K12=0,CB$1=Units!$O12),Units!$R12,IF(AND(CB$1&gt;=Units!$Q12,MOD(CB$1-Units!$Q12,12)=0),IF(AND(Units!$L12=1,CB$1=Units!$Q12),IF(Units!$J12&lt;&gt;"",Units!$J12,Mkt!CB13),Inputs!$B$15*Mkt!CB13+(1-Inputs!$B$15)*MIN(Mkt!CB13,CA13*(1+Inputs!$B$18))),CA13)))</f>
        <v>1767.8929633075</v>
      </c>
      <c r="CC13" s="11" t="n">
        <f aca="false">IF(CC$1&lt;Units!$P12,0,IF(AND(Units!$K12=0,CC$1=Units!$O12),Units!$R12,IF(AND(CC$1&gt;=Units!$Q12,MOD(CC$1-Units!$Q12,12)=0),IF(AND(Units!$L12=1,CC$1=Units!$Q12),IF(Units!$J12&lt;&gt;"",Units!$J12,Mkt!CC13),Inputs!$B$15*Mkt!CC13+(1-Inputs!$B$15)*MIN(Mkt!CC13,CB13*(1+Inputs!$B$18))),CB13)))</f>
        <v>1767.8929633075</v>
      </c>
      <c r="CD13" s="11" t="n">
        <f aca="false">IF(CD$1&lt;Units!$P12,0,IF(AND(Units!$K12=0,CD$1=Units!$O12),Units!$R12,IF(AND(CD$1&gt;=Units!$Q12,MOD(CD$1-Units!$Q12,12)=0),IF(AND(Units!$L12=1,CD$1=Units!$Q12),IF(Units!$J12&lt;&gt;"",Units!$J12,Mkt!CD13),Inputs!$B$15*Mkt!CD13+(1-Inputs!$B$15)*MIN(Mkt!CD13,CC13*(1+Inputs!$B$18))),CC13)))</f>
        <v>1820.92975220673</v>
      </c>
      <c r="CE13" s="11" t="n">
        <f aca="false">IF(CE$1&lt;Units!$P12,0,IF(AND(Units!$K12=0,CE$1=Units!$O12),Units!$R12,IF(AND(CE$1&gt;=Units!$Q12,MOD(CE$1-Units!$Q12,12)=0),IF(AND(Units!$L12=1,CE$1=Units!$Q12),IF(Units!$J12&lt;&gt;"",Units!$J12,Mkt!CE13),Inputs!$B$15*Mkt!CE13+(1-Inputs!$B$15)*MIN(Mkt!CE13,CD13*(1+Inputs!$B$18))),CD13)))</f>
        <v>1820.92975220673</v>
      </c>
      <c r="CF13" s="11" t="n">
        <f aca="false">IF(CF$1&lt;Units!$P12,0,IF(AND(Units!$K12=0,CF$1=Units!$O12),Units!$R12,IF(AND(CF$1&gt;=Units!$Q12,MOD(CF$1-Units!$Q12,12)=0),IF(AND(Units!$L12=1,CF$1=Units!$Q12),IF(Units!$J12&lt;&gt;"",Units!$J12,Mkt!CF13),Inputs!$B$15*Mkt!CF13+(1-Inputs!$B$15)*MIN(Mkt!CF13,CE13*(1+Inputs!$B$18))),CE13)))</f>
        <v>1820.92975220673</v>
      </c>
      <c r="CG13" s="11" t="n">
        <f aca="false">IF(CG$1&lt;Units!$P12,0,IF(AND(Units!$K12=0,CG$1=Units!$O12),Units!$R12,IF(AND(CG$1&gt;=Units!$Q12,MOD(CG$1-Units!$Q12,12)=0),IF(AND(Units!$L12=1,CG$1=Units!$Q12),IF(Units!$J12&lt;&gt;"",Units!$J12,Mkt!CG13),Inputs!$B$15*Mkt!CG13+(1-Inputs!$B$15)*MIN(Mkt!CG13,CF13*(1+Inputs!$B$18))),CF13)))</f>
        <v>1820.92975220673</v>
      </c>
      <c r="CH13" s="11" t="n">
        <f aca="false">IF(CH$1&lt;Units!$P12,0,IF(AND(Units!$K12=0,CH$1=Units!$O12),Units!$R12,IF(AND(CH$1&gt;=Units!$Q12,MOD(CH$1-Units!$Q12,12)=0),IF(AND(Units!$L12=1,CH$1=Units!$Q12),IF(Units!$J12&lt;&gt;"",Units!$J12,Mkt!CH13),Inputs!$B$15*Mkt!CH13+(1-Inputs!$B$15)*MIN(Mkt!CH13,CG13*(1+Inputs!$B$18))),CG13)))</f>
        <v>1820.92975220673</v>
      </c>
      <c r="CI13" s="11" t="n">
        <f aca="false">IF(CI$1&lt;Units!$P12,0,IF(AND(Units!$K12=0,CI$1=Units!$O12),Units!$R12,IF(AND(CI$1&gt;=Units!$Q12,MOD(CI$1-Units!$Q12,12)=0),IF(AND(Units!$L12=1,CI$1=Units!$Q12),IF(Units!$J12&lt;&gt;"",Units!$J12,Mkt!CI13),Inputs!$B$15*Mkt!CI13+(1-Inputs!$B$15)*MIN(Mkt!CI13,CH13*(1+Inputs!$B$18))),CH13)))</f>
        <v>1820.92975220673</v>
      </c>
      <c r="CJ13" s="11" t="n">
        <f aca="false">IF(CJ$1&lt;Units!$P12,0,IF(AND(Units!$K12=0,CJ$1=Units!$O12),Units!$R12,IF(AND(CJ$1&gt;=Units!$Q12,MOD(CJ$1-Units!$Q12,12)=0),IF(AND(Units!$L12=1,CJ$1=Units!$Q12),IF(Units!$J12&lt;&gt;"",Units!$J12,Mkt!CJ13),Inputs!$B$15*Mkt!CJ13+(1-Inputs!$B$15)*MIN(Mkt!CJ13,CI13*(1+Inputs!$B$18))),CI13)))</f>
        <v>1820.92975220673</v>
      </c>
      <c r="CK13" s="11" t="n">
        <f aca="false">IF(CK$1&lt;Units!$P12,0,IF(AND(Units!$K12=0,CK$1=Units!$O12),Units!$R12,IF(AND(CK$1&gt;=Units!$Q12,MOD(CK$1-Units!$Q12,12)=0),IF(AND(Units!$L12=1,CK$1=Units!$Q12),IF(Units!$J12&lt;&gt;"",Units!$J12,Mkt!CK13),Inputs!$B$15*Mkt!CK13+(1-Inputs!$B$15)*MIN(Mkt!CK13,CJ13*(1+Inputs!$B$18))),CJ13)))</f>
        <v>1820.92975220673</v>
      </c>
      <c r="CL13" s="11" t="n">
        <f aca="false">IF(CL$1&lt;Units!$P12,0,IF(AND(Units!$K12=0,CL$1=Units!$O12),Units!$R12,IF(AND(CL$1&gt;=Units!$Q12,MOD(CL$1-Units!$Q12,12)=0),IF(AND(Units!$L12=1,CL$1=Units!$Q12),IF(Units!$J12&lt;&gt;"",Units!$J12,Mkt!CL13),Inputs!$B$15*Mkt!CL13+(1-Inputs!$B$15)*MIN(Mkt!CL13,CK13*(1+Inputs!$B$18))),CK13)))</f>
        <v>1820.92975220673</v>
      </c>
      <c r="CM13" s="11" t="n">
        <f aca="false">IF(CM$1&lt;Units!$P12,0,IF(AND(Units!$K12=0,CM$1=Units!$O12),Units!$R12,IF(AND(CM$1&gt;=Units!$Q12,MOD(CM$1-Units!$Q12,12)=0),IF(AND(Units!$L12=1,CM$1=Units!$Q12),IF(Units!$J12&lt;&gt;"",Units!$J12,Mkt!CM13),Inputs!$B$15*Mkt!CM13+(1-Inputs!$B$15)*MIN(Mkt!CM13,CL13*(1+Inputs!$B$18))),CL13)))</f>
        <v>1820.92975220673</v>
      </c>
      <c r="CN13" s="11" t="n">
        <f aca="false">IF(CN$1&lt;Units!$P12,0,IF(AND(Units!$K12=0,CN$1=Units!$O12),Units!$R12,IF(AND(CN$1&gt;=Units!$Q12,MOD(CN$1-Units!$Q12,12)=0),IF(AND(Units!$L12=1,CN$1=Units!$Q12),IF(Units!$J12&lt;&gt;"",Units!$J12,Mkt!CN13),Inputs!$B$15*Mkt!CN13+(1-Inputs!$B$15)*MIN(Mkt!CN13,CM13*(1+Inputs!$B$18))),CM13)))</f>
        <v>1820.92975220673</v>
      </c>
      <c r="CO13" s="11" t="n">
        <f aca="false">IF(CO$1&lt;Units!$P12,0,IF(AND(Units!$K12=0,CO$1=Units!$O12),Units!$R12,IF(AND(CO$1&gt;=Units!$Q12,MOD(CO$1-Units!$Q12,12)=0),IF(AND(Units!$L12=1,CO$1=Units!$Q12),IF(Units!$J12&lt;&gt;"",Units!$J12,Mkt!CO13),Inputs!$B$15*Mkt!CO13+(1-Inputs!$B$15)*MIN(Mkt!CO13,CN13*(1+Inputs!$B$18))),CN13)))</f>
        <v>1820.92975220673</v>
      </c>
      <c r="CP13" s="11" t="n">
        <f aca="false">IF(CP$1&lt;Units!$P12,0,IF(AND(Units!$K12=0,CP$1=Units!$O12),Units!$R12,IF(AND(CP$1&gt;=Units!$Q12,MOD(CP$1-Units!$Q12,12)=0),IF(AND(Units!$L12=1,CP$1=Units!$Q12),IF(Units!$J12&lt;&gt;"",Units!$J12,Mkt!CP13),Inputs!$B$15*Mkt!CP13+(1-Inputs!$B$15)*MIN(Mkt!CP13,CO13*(1+Inputs!$B$18))),CO13)))</f>
        <v>1875.55764477293</v>
      </c>
      <c r="CQ13" s="11" t="n">
        <f aca="false">IF(CQ$1&lt;Units!$P12,0,IF(AND(Units!$K12=0,CQ$1=Units!$O12),Units!$R12,IF(AND(CQ$1&gt;=Units!$Q12,MOD(CQ$1-Units!$Q12,12)=0),IF(AND(Units!$L12=1,CQ$1=Units!$Q12),IF(Units!$J12&lt;&gt;"",Units!$J12,Mkt!CQ13),Inputs!$B$15*Mkt!CQ13+(1-Inputs!$B$15)*MIN(Mkt!CQ13,CP13*(1+Inputs!$B$18))),CP13)))</f>
        <v>1875.55764477293</v>
      </c>
      <c r="CR13" s="11" t="n">
        <f aca="false">IF(CR$1&lt;Units!$P12,0,IF(AND(Units!$K12=0,CR$1=Units!$O12),Units!$R12,IF(AND(CR$1&gt;=Units!$Q12,MOD(CR$1-Units!$Q12,12)=0),IF(AND(Units!$L12=1,CR$1=Units!$Q12),IF(Units!$J12&lt;&gt;"",Units!$J12,Mkt!CR13),Inputs!$B$15*Mkt!CR13+(1-Inputs!$B$15)*MIN(Mkt!CR13,CQ13*(1+Inputs!$B$18))),CQ13)))</f>
        <v>1875.55764477293</v>
      </c>
      <c r="CS13" s="11" t="n">
        <f aca="false">IF(CS$1&lt;Units!$P12,0,IF(AND(Units!$K12=0,CS$1=Units!$O12),Units!$R12,IF(AND(CS$1&gt;=Units!$Q12,MOD(CS$1-Units!$Q12,12)=0),IF(AND(Units!$L12=1,CS$1=Units!$Q12),IF(Units!$J12&lt;&gt;"",Units!$J12,Mkt!CS13),Inputs!$B$15*Mkt!CS13+(1-Inputs!$B$15)*MIN(Mkt!CS13,CR13*(1+Inputs!$B$18))),CR13)))</f>
        <v>1875.55764477293</v>
      </c>
      <c r="CT13" s="11" t="n">
        <f aca="false">IF(CT$1&lt;Units!$P12,0,IF(AND(Units!$K12=0,CT$1=Units!$O12),Units!$R12,IF(AND(CT$1&gt;=Units!$Q12,MOD(CT$1-Units!$Q12,12)=0),IF(AND(Units!$L12=1,CT$1=Units!$Q12),IF(Units!$J12&lt;&gt;"",Units!$J12,Mkt!CT13),Inputs!$B$15*Mkt!CT13+(1-Inputs!$B$15)*MIN(Mkt!CT13,CS13*(1+Inputs!$B$18))),CS13)))</f>
        <v>1875.55764477293</v>
      </c>
      <c r="CU13" s="11" t="n">
        <f aca="false">IF(CU$1&lt;Units!$P12,0,IF(AND(Units!$K12=0,CU$1=Units!$O12),Units!$R12,IF(AND(CU$1&gt;=Units!$Q12,MOD(CU$1-Units!$Q12,12)=0),IF(AND(Units!$L12=1,CU$1=Units!$Q12),IF(Units!$J12&lt;&gt;"",Units!$J12,Mkt!CU13),Inputs!$B$15*Mkt!CU13+(1-Inputs!$B$15)*MIN(Mkt!CU13,CT13*(1+Inputs!$B$18))),CT13)))</f>
        <v>1875.55764477293</v>
      </c>
      <c r="CV13" s="11" t="n">
        <f aca="false">IF(CV$1&lt;Units!$P12,0,IF(AND(Units!$K12=0,CV$1=Units!$O12),Units!$R12,IF(AND(CV$1&gt;=Units!$Q12,MOD(CV$1-Units!$Q12,12)=0),IF(AND(Units!$L12=1,CV$1=Units!$Q12),IF(Units!$J12&lt;&gt;"",Units!$J12,Mkt!CV13),Inputs!$B$15*Mkt!CV13+(1-Inputs!$B$15)*MIN(Mkt!CV13,CU13*(1+Inputs!$B$18))),CU13)))</f>
        <v>1875.55764477293</v>
      </c>
      <c r="CW13" s="11" t="n">
        <f aca="false">IF(CW$1&lt;Units!$P12,0,IF(AND(Units!$K12=0,CW$1=Units!$O12),Units!$R12,IF(AND(CW$1&gt;=Units!$Q12,MOD(CW$1-Units!$Q12,12)=0),IF(AND(Units!$L12=1,CW$1=Units!$Q12),IF(Units!$J12&lt;&gt;"",Units!$J12,Mkt!CW13),Inputs!$B$15*Mkt!CW13+(1-Inputs!$B$15)*MIN(Mkt!CW13,CV13*(1+Inputs!$B$18))),CV13)))</f>
        <v>1875.55764477293</v>
      </c>
      <c r="CX13" s="11" t="n">
        <f aca="false">IF(CX$1&lt;Units!$P12,0,IF(AND(Units!$K12=0,CX$1=Units!$O12),Units!$R12,IF(AND(CX$1&gt;=Units!$Q12,MOD(CX$1-Units!$Q12,12)=0),IF(AND(Units!$L12=1,CX$1=Units!$Q12),IF(Units!$J12&lt;&gt;"",Units!$J12,Mkt!CX13),Inputs!$B$15*Mkt!CX13+(1-Inputs!$B$15)*MIN(Mkt!CX13,CW13*(1+Inputs!$B$18))),CW13)))</f>
        <v>1875.55764477293</v>
      </c>
      <c r="CY13" s="11" t="n">
        <f aca="false">IF(CY$1&lt;Units!$P12,0,IF(AND(Units!$K12=0,CY$1=Units!$O12),Units!$R12,IF(AND(CY$1&gt;=Units!$Q12,MOD(CY$1-Units!$Q12,12)=0),IF(AND(Units!$L12=1,CY$1=Units!$Q12),IF(Units!$J12&lt;&gt;"",Units!$J12,Mkt!CY13),Inputs!$B$15*Mkt!CY13+(1-Inputs!$B$15)*MIN(Mkt!CY13,CX13*(1+Inputs!$B$18))),CX13)))</f>
        <v>1875.55764477293</v>
      </c>
      <c r="CZ13" s="11" t="n">
        <f aca="false">IF(CZ$1&lt;Units!$P12,0,IF(AND(Units!$K12=0,CZ$1=Units!$O12),Units!$R12,IF(AND(CZ$1&gt;=Units!$Q12,MOD(CZ$1-Units!$Q12,12)=0),IF(AND(Units!$L12=1,CZ$1=Units!$Q12),IF(Units!$J12&lt;&gt;"",Units!$J12,Mkt!CZ13),Inputs!$B$15*Mkt!CZ13+(1-Inputs!$B$15)*MIN(Mkt!CZ13,CY13*(1+Inputs!$B$18))),CY13)))</f>
        <v>1875.55764477293</v>
      </c>
      <c r="DA13" s="11" t="n">
        <f aca="false">IF(DA$1&lt;Units!$P12,0,IF(AND(Units!$K12=0,DA$1=Units!$O12),Units!$R12,IF(AND(DA$1&gt;=Units!$Q12,MOD(DA$1-Units!$Q12,12)=0),IF(AND(Units!$L12=1,DA$1=Units!$Q12),IF(Units!$J12&lt;&gt;"",Units!$J12,Mkt!DA13),Inputs!$B$15*Mkt!DA13+(1-Inputs!$B$15)*MIN(Mkt!DA13,CZ13*(1+Inputs!$B$18))),CZ13)))</f>
        <v>1875.55764477293</v>
      </c>
      <c r="DB13" s="11" t="n">
        <f aca="false">IF(DB$1&lt;Units!$P12,0,IF(AND(Units!$K12=0,DB$1=Units!$O12),Units!$R12,IF(AND(DB$1&gt;=Units!$Q12,MOD(DB$1-Units!$Q12,12)=0),IF(AND(Units!$L12=1,DB$1=Units!$Q12),IF(Units!$J12&lt;&gt;"",Units!$J12,Mkt!DB13),Inputs!$B$15*Mkt!DB13+(1-Inputs!$B$15)*MIN(Mkt!DB13,DA13*(1+Inputs!$B$18))),DA13)))</f>
        <v>1931.82437411612</v>
      </c>
      <c r="DC13" s="11" t="n">
        <f aca="false">IF(DC$1&lt;Units!$P12,0,IF(AND(Units!$K12=0,DC$1=Units!$O12),Units!$R12,IF(AND(DC$1&gt;=Units!$Q12,MOD(DC$1-Units!$Q12,12)=0),IF(AND(Units!$L12=1,DC$1=Units!$Q12),IF(Units!$J12&lt;&gt;"",Units!$J12,Mkt!DC13),Inputs!$B$15*Mkt!DC13+(1-Inputs!$B$15)*MIN(Mkt!DC13,DB13*(1+Inputs!$B$18))),DB13)))</f>
        <v>1931.82437411612</v>
      </c>
      <c r="DD13" s="11" t="n">
        <f aca="false">IF(DD$1&lt;Units!$P12,0,IF(AND(Units!$K12=0,DD$1=Units!$O12),Units!$R12,IF(AND(DD$1&gt;=Units!$Q12,MOD(DD$1-Units!$Q12,12)=0),IF(AND(Units!$L12=1,DD$1=Units!$Q12),IF(Units!$J12&lt;&gt;"",Units!$J12,Mkt!DD13),Inputs!$B$15*Mkt!DD13+(1-Inputs!$B$15)*MIN(Mkt!DD13,DC13*(1+Inputs!$B$18))),DC13)))</f>
        <v>1931.82437411612</v>
      </c>
      <c r="DE13" s="11" t="n">
        <f aca="false">IF(DE$1&lt;Units!$P12,0,IF(AND(Units!$K12=0,DE$1=Units!$O12),Units!$R12,IF(AND(DE$1&gt;=Units!$Q12,MOD(DE$1-Units!$Q12,12)=0),IF(AND(Units!$L12=1,DE$1=Units!$Q12),IF(Units!$J12&lt;&gt;"",Units!$J12,Mkt!DE13),Inputs!$B$15*Mkt!DE13+(1-Inputs!$B$15)*MIN(Mkt!DE13,DD13*(1+Inputs!$B$18))),DD13)))</f>
        <v>1931.82437411612</v>
      </c>
      <c r="DF13" s="11" t="n">
        <f aca="false">IF(DF$1&lt;Units!$P12,0,IF(AND(Units!$K12=0,DF$1=Units!$O12),Units!$R12,IF(AND(DF$1&gt;=Units!$Q12,MOD(DF$1-Units!$Q12,12)=0),IF(AND(Units!$L12=1,DF$1=Units!$Q12),IF(Units!$J12&lt;&gt;"",Units!$J12,Mkt!DF13),Inputs!$B$15*Mkt!DF13+(1-Inputs!$B$15)*MIN(Mkt!DF13,DE13*(1+Inputs!$B$18))),DE13)))</f>
        <v>1931.82437411612</v>
      </c>
      <c r="DG13" s="11" t="n">
        <f aca="false">IF(DG$1&lt;Units!$P12,0,IF(AND(Units!$K12=0,DG$1=Units!$O12),Units!$R12,IF(AND(DG$1&gt;=Units!$Q12,MOD(DG$1-Units!$Q12,12)=0),IF(AND(Units!$L12=1,DG$1=Units!$Q12),IF(Units!$J12&lt;&gt;"",Units!$J12,Mkt!DG13),Inputs!$B$15*Mkt!DG13+(1-Inputs!$B$15)*MIN(Mkt!DG13,DF13*(1+Inputs!$B$18))),DF13)))</f>
        <v>1931.82437411612</v>
      </c>
      <c r="DH13" s="11" t="n">
        <f aca="false">IF(DH$1&lt;Units!$P12,0,IF(AND(Units!$K12=0,DH$1=Units!$O12),Units!$R12,IF(AND(DH$1&gt;=Units!$Q12,MOD(DH$1-Units!$Q12,12)=0),IF(AND(Units!$L12=1,DH$1=Units!$Q12),IF(Units!$J12&lt;&gt;"",Units!$J12,Mkt!DH13),Inputs!$B$15*Mkt!DH13+(1-Inputs!$B$15)*MIN(Mkt!DH13,DG13*(1+Inputs!$B$18))),DG13)))</f>
        <v>1931.82437411612</v>
      </c>
      <c r="DI13" s="11" t="n">
        <f aca="false">IF(DI$1&lt;Units!$P12,0,IF(AND(Units!$K12=0,DI$1=Units!$O12),Units!$R12,IF(AND(DI$1&gt;=Units!$Q12,MOD(DI$1-Units!$Q12,12)=0),IF(AND(Units!$L12=1,DI$1=Units!$Q12),IF(Units!$J12&lt;&gt;"",Units!$J12,Mkt!DI13),Inputs!$B$15*Mkt!DI13+(1-Inputs!$B$15)*MIN(Mkt!DI13,DH13*(1+Inputs!$B$18))),DH13)))</f>
        <v>1931.82437411612</v>
      </c>
      <c r="DJ13" s="11" t="n">
        <f aca="false">IF(DJ$1&lt;Units!$P12,0,IF(AND(Units!$K12=0,DJ$1=Units!$O12),Units!$R12,IF(AND(DJ$1&gt;=Units!$Q12,MOD(DJ$1-Units!$Q12,12)=0),IF(AND(Units!$L12=1,DJ$1=Units!$Q12),IF(Units!$J12&lt;&gt;"",Units!$J12,Mkt!DJ13),Inputs!$B$15*Mkt!DJ13+(1-Inputs!$B$15)*MIN(Mkt!DJ13,DI13*(1+Inputs!$B$18))),DI13)))</f>
        <v>1931.82437411612</v>
      </c>
      <c r="DK13" s="11" t="n">
        <f aca="false">IF(DK$1&lt;Units!$P12,0,IF(AND(Units!$K12=0,DK$1=Units!$O12),Units!$R12,IF(AND(DK$1&gt;=Units!$Q12,MOD(DK$1-Units!$Q12,12)=0),IF(AND(Units!$L12=1,DK$1=Units!$Q12),IF(Units!$J12&lt;&gt;"",Units!$J12,Mkt!DK13),Inputs!$B$15*Mkt!DK13+(1-Inputs!$B$15)*MIN(Mkt!DK13,DJ13*(1+Inputs!$B$18))),DJ13)))</f>
        <v>1931.82437411612</v>
      </c>
      <c r="DL13" s="11" t="n">
        <f aca="false">IF(DL$1&lt;Units!$P12,0,IF(AND(Units!$K12=0,DL$1=Units!$O12),Units!$R12,IF(AND(DL$1&gt;=Units!$Q12,MOD(DL$1-Units!$Q12,12)=0),IF(AND(Units!$L12=1,DL$1=Units!$Q12),IF(Units!$J12&lt;&gt;"",Units!$J12,Mkt!DL13),Inputs!$B$15*Mkt!DL13+(1-Inputs!$B$15)*MIN(Mkt!DL13,DK13*(1+Inputs!$B$18))),DK13)))</f>
        <v>1931.82437411612</v>
      </c>
      <c r="DM13" s="11" t="n">
        <f aca="false">IF(DM$1&lt;Units!$P12,0,IF(AND(Units!$K12=0,DM$1=Units!$O12),Units!$R12,IF(AND(DM$1&gt;=Units!$Q12,MOD(DM$1-Units!$Q12,12)=0),IF(AND(Units!$L12=1,DM$1=Units!$Q12),IF(Units!$J12&lt;&gt;"",Units!$J12,Mkt!DM13),Inputs!$B$15*Mkt!DM13+(1-Inputs!$B$15)*MIN(Mkt!DM13,DL13*(1+Inputs!$B$18))),DL13)))</f>
        <v>1931.82437411612</v>
      </c>
      <c r="DN13" s="11" t="n">
        <f aca="false">IF(DN$1&lt;Units!$P12,0,IF(AND(Units!$K12=0,DN$1=Units!$O12),Units!$R12,IF(AND(DN$1&gt;=Units!$Q12,MOD(DN$1-Units!$Q12,12)=0),IF(AND(Units!$L12=1,DN$1=Units!$Q12),IF(Units!$J12&lt;&gt;"",Units!$J12,Mkt!DN13),Inputs!$B$15*Mkt!DN13+(1-Inputs!$B$15)*MIN(Mkt!DN13,DM13*(1+Inputs!$B$18))),DM13)))</f>
        <v>1989.7791053396</v>
      </c>
      <c r="DO13" s="11" t="n">
        <f aca="false">IF(DO$1&lt;Units!$P12,0,IF(AND(Units!$K12=0,DO$1=Units!$O12),Units!$R12,IF(AND(DO$1&gt;=Units!$Q12,MOD(DO$1-Units!$Q12,12)=0),IF(AND(Units!$L12=1,DO$1=Units!$Q12),IF(Units!$J12&lt;&gt;"",Units!$J12,Mkt!DO13),Inputs!$B$15*Mkt!DO13+(1-Inputs!$B$15)*MIN(Mkt!DO13,DN13*(1+Inputs!$B$18))),DN13)))</f>
        <v>1989.7791053396</v>
      </c>
      <c r="DP13" s="11" t="n">
        <f aca="false">IF(DP$1&lt;Units!$P12,0,IF(AND(Units!$K12=0,DP$1=Units!$O12),Units!$R12,IF(AND(DP$1&gt;=Units!$Q12,MOD(DP$1-Units!$Q12,12)=0),IF(AND(Units!$L12=1,DP$1=Units!$Q12),IF(Units!$J12&lt;&gt;"",Units!$J12,Mkt!DP13),Inputs!$B$15*Mkt!DP13+(1-Inputs!$B$15)*MIN(Mkt!DP13,DO13*(1+Inputs!$B$18))),DO13)))</f>
        <v>1989.7791053396</v>
      </c>
      <c r="DQ13" s="11" t="n">
        <f aca="false">IF(DQ$1&lt;Units!$P12,0,IF(AND(Units!$K12=0,DQ$1=Units!$O12),Units!$R12,IF(AND(DQ$1&gt;=Units!$Q12,MOD(DQ$1-Units!$Q12,12)=0),IF(AND(Units!$L12=1,DQ$1=Units!$Q12),IF(Units!$J12&lt;&gt;"",Units!$J12,Mkt!DQ13),Inputs!$B$15*Mkt!DQ13+(1-Inputs!$B$15)*MIN(Mkt!DQ13,DP13*(1+Inputs!$B$18))),DP13)))</f>
        <v>1989.7791053396</v>
      </c>
      <c r="DR13" s="11" t="n">
        <f aca="false">IF(DR$1&lt;Units!$P12,0,IF(AND(Units!$K12=0,DR$1=Units!$O12),Units!$R12,IF(AND(DR$1&gt;=Units!$Q12,MOD(DR$1-Units!$Q12,12)=0),IF(AND(Units!$L12=1,DR$1=Units!$Q12),IF(Units!$J12&lt;&gt;"",Units!$J12,Mkt!DR13),Inputs!$B$15*Mkt!DR13+(1-Inputs!$B$15)*MIN(Mkt!DR13,DQ13*(1+Inputs!$B$18))),DQ13)))</f>
        <v>1989.7791053396</v>
      </c>
      <c r="DS13" s="11" t="n">
        <f aca="false">IF(DS$1&lt;Units!$P12,0,IF(AND(Units!$K12=0,DS$1=Units!$O12),Units!$R12,IF(AND(DS$1&gt;=Units!$Q12,MOD(DS$1-Units!$Q12,12)=0),IF(AND(Units!$L12=1,DS$1=Units!$Q12),IF(Units!$J12&lt;&gt;"",Units!$J12,Mkt!DS13),Inputs!$B$15*Mkt!DS13+(1-Inputs!$B$15)*MIN(Mkt!DS13,DR13*(1+Inputs!$B$18))),DR13)))</f>
        <v>1989.7791053396</v>
      </c>
      <c r="DT13" s="11" t="n">
        <f aca="false">IF(DT$1&lt;Units!$P12,0,IF(AND(Units!$K12=0,DT$1=Units!$O12),Units!$R12,IF(AND(DT$1&gt;=Units!$Q12,MOD(DT$1-Units!$Q12,12)=0),IF(AND(Units!$L12=1,DT$1=Units!$Q12),IF(Units!$J12&lt;&gt;"",Units!$J12,Mkt!DT13),Inputs!$B$15*Mkt!DT13+(1-Inputs!$B$15)*MIN(Mkt!DT13,DS13*(1+Inputs!$B$18))),DS13)))</f>
        <v>1989.7791053396</v>
      </c>
      <c r="DU13" s="11" t="n">
        <f aca="false">IF(DU$1&lt;Units!$P12,0,IF(AND(Units!$K12=0,DU$1=Units!$O12),Units!$R12,IF(AND(DU$1&gt;=Units!$Q12,MOD(DU$1-Units!$Q12,12)=0),IF(AND(Units!$L12=1,DU$1=Units!$Q12),IF(Units!$J12&lt;&gt;"",Units!$J12,Mkt!DU13),Inputs!$B$15*Mkt!DU13+(1-Inputs!$B$15)*MIN(Mkt!DU13,DT13*(1+Inputs!$B$18))),DT13)))</f>
        <v>1989.7791053396</v>
      </c>
      <c r="DV13" s="11" t="n">
        <f aca="false">IF(DV$1&lt;Units!$P12,0,IF(AND(Units!$K12=0,DV$1=Units!$O12),Units!$R12,IF(AND(DV$1&gt;=Units!$Q12,MOD(DV$1-Units!$Q12,12)=0),IF(AND(Units!$L12=1,DV$1=Units!$Q12),IF(Units!$J12&lt;&gt;"",Units!$J12,Mkt!DV13),Inputs!$B$15*Mkt!DV13+(1-Inputs!$B$15)*MIN(Mkt!DV13,DU13*(1+Inputs!$B$18))),DU13)))</f>
        <v>1989.7791053396</v>
      </c>
      <c r="DW13" s="11" t="n">
        <f aca="false">IF(DW$1&lt;Units!$P12,0,IF(AND(Units!$K12=0,DW$1=Units!$O12),Units!$R12,IF(AND(DW$1&gt;=Units!$Q12,MOD(DW$1-Units!$Q12,12)=0),IF(AND(Units!$L12=1,DW$1=Units!$Q12),IF(Units!$J12&lt;&gt;"",Units!$J12,Mkt!DW13),Inputs!$B$15*Mkt!DW13+(1-Inputs!$B$15)*MIN(Mkt!DW13,DV13*(1+Inputs!$B$18))),DV13)))</f>
        <v>1989.7791053396</v>
      </c>
      <c r="DX13" s="11" t="n">
        <f aca="false">IF(DX$1&lt;Units!$P12,0,IF(AND(Units!$K12=0,DX$1=Units!$O12),Units!$R12,IF(AND(DX$1&gt;=Units!$Q12,MOD(DX$1-Units!$Q12,12)=0),IF(AND(Units!$L12=1,DX$1=Units!$Q12),IF(Units!$J12&lt;&gt;"",Units!$J12,Mkt!DX13),Inputs!$B$15*Mkt!DX13+(1-Inputs!$B$15)*MIN(Mkt!DX13,DW13*(1+Inputs!$B$18))),DW13)))</f>
        <v>1989.7791053396</v>
      </c>
      <c r="DY13" s="11" t="n">
        <f aca="false">IF(DY$1&lt;Units!$P12,0,IF(AND(Units!$K12=0,DY$1=Units!$O12),Units!$R12,IF(AND(DY$1&gt;=Units!$Q12,MOD(DY$1-Units!$Q12,12)=0),IF(AND(Units!$L12=1,DY$1=Units!$Q12),IF(Units!$J12&lt;&gt;"",Units!$J12,Mkt!DY13),Inputs!$B$15*Mkt!DY13+(1-Inputs!$B$15)*MIN(Mkt!DY13,DX13*(1+Inputs!$B$18))),DX13)))</f>
        <v>1989.7791053396</v>
      </c>
      <c r="DZ13" s="11" t="n">
        <f aca="false">IF(DZ$1&lt;Units!$P12,0,IF(AND(Units!$K12=0,DZ$1=Units!$O12),Units!$R12,IF(AND(DZ$1&gt;=Units!$Q12,MOD(DZ$1-Units!$Q12,12)=0),IF(AND(Units!$L12=1,DZ$1=Units!$Q12),IF(Units!$J12&lt;&gt;"",Units!$J12,Mkt!DZ13),Inputs!$B$15*Mkt!DZ13+(1-Inputs!$B$15)*MIN(Mkt!DZ13,DY13*(1+Inputs!$B$18))),DY13)))</f>
        <v>2049.47247849979</v>
      </c>
      <c r="EA13" s="11" t="n">
        <f aca="false">IF(EA$1&lt;Units!$P12,0,IF(AND(Units!$K12=0,EA$1=Units!$O12),Units!$R12,IF(AND(EA$1&gt;=Units!$Q12,MOD(EA$1-Units!$Q12,12)=0),IF(AND(Units!$L12=1,EA$1=Units!$Q12),IF(Units!$J12&lt;&gt;"",Units!$J12,Mkt!EA13),Inputs!$B$15*Mkt!EA13+(1-Inputs!$B$15)*MIN(Mkt!EA13,DZ13*(1+Inputs!$B$18))),DZ13)))</f>
        <v>2049.47247849979</v>
      </c>
      <c r="EB13" s="11" t="n">
        <f aca="false">IF(EB$1&lt;Units!$P12,0,IF(AND(Units!$K12=0,EB$1=Units!$O12),Units!$R12,IF(AND(EB$1&gt;=Units!$Q12,MOD(EB$1-Units!$Q12,12)=0),IF(AND(Units!$L12=1,EB$1=Units!$Q12),IF(Units!$J12&lt;&gt;"",Units!$J12,Mkt!EB13),Inputs!$B$15*Mkt!EB13+(1-Inputs!$B$15)*MIN(Mkt!EB13,EA13*(1+Inputs!$B$18))),EA13)))</f>
        <v>2049.47247849979</v>
      </c>
      <c r="EC13" s="11" t="n">
        <f aca="false">IF(EC$1&lt;Units!$P12,0,IF(AND(Units!$K12=0,EC$1=Units!$O12),Units!$R12,IF(AND(EC$1&gt;=Units!$Q12,MOD(EC$1-Units!$Q12,12)=0),IF(AND(Units!$L12=1,EC$1=Units!$Q12),IF(Units!$J12&lt;&gt;"",Units!$J12,Mkt!EC13),Inputs!$B$15*Mkt!EC13+(1-Inputs!$B$15)*MIN(Mkt!EC13,EB13*(1+Inputs!$B$18))),EB13)))</f>
        <v>2049.47247849979</v>
      </c>
      <c r="ED13" s="11" t="n">
        <f aca="false">IF(ED$1&lt;Units!$P12,0,IF(AND(Units!$K12=0,ED$1=Units!$O12),Units!$R12,IF(AND(ED$1&gt;=Units!$Q12,MOD(ED$1-Units!$Q12,12)=0),IF(AND(Units!$L12=1,ED$1=Units!$Q12),IF(Units!$J12&lt;&gt;"",Units!$J12,Mkt!ED13),Inputs!$B$15*Mkt!ED13+(1-Inputs!$B$15)*MIN(Mkt!ED13,EC13*(1+Inputs!$B$18))),EC13)))</f>
        <v>2049.47247849979</v>
      </c>
    </row>
    <row r="14" customFormat="false" ht="15" hidden="false" customHeight="false" outlineLevel="0" collapsed="false">
      <c r="A14" s="22" t="n">
        <f aca="false">Units!A13</f>
        <v>112</v>
      </c>
      <c r="B14" s="24" t="n">
        <f aca="false">IF(Units!K13=1,Units!F13,0)</f>
        <v>1555</v>
      </c>
      <c r="C14" s="11" t="n">
        <f aca="false">IF(C$1&lt;Units!$P13,0,IF(AND(Units!$K13=0,C$1=Units!$O13),Units!$R13,IF(AND(C$1&gt;=Units!$Q13,MOD(C$1-Units!$Q13,12)=0),IF(AND(Units!$L13=1,C$1=Units!$Q13),IF(Units!$J13&lt;&gt;"",Units!$J13,Mkt!C14),Inputs!$B$15*Mkt!C14+(1-Inputs!$B$15)*MIN(Mkt!C14,B14*(1+Inputs!$B$18))),B14)))</f>
        <v>1555</v>
      </c>
      <c r="D14" s="11" t="n">
        <f aca="false">IF(D$1&lt;Units!$P13,0,IF(AND(Units!$K13=0,D$1=Units!$O13),Units!$R13,IF(AND(D$1&gt;=Units!$Q13,MOD(D$1-Units!$Q13,12)=0),IF(AND(Units!$L13=1,D$1=Units!$Q13),IF(Units!$J13&lt;&gt;"",Units!$J13,Mkt!D14),Inputs!$B$15*Mkt!D14+(1-Inputs!$B$15)*MIN(Mkt!D14,C14*(1+Inputs!$B$18))),C14)))</f>
        <v>1555</v>
      </c>
      <c r="E14" s="11" t="n">
        <f aca="false">IF(E$1&lt;Units!$P13,0,IF(AND(Units!$K13=0,E$1=Units!$O13),Units!$R13,IF(AND(E$1&gt;=Units!$Q13,MOD(E$1-Units!$Q13,12)=0),IF(AND(Units!$L13=1,E$1=Units!$Q13),IF(Units!$J13&lt;&gt;"",Units!$J13,Mkt!E14),Inputs!$B$15*Mkt!E14+(1-Inputs!$B$15)*MIN(Mkt!E14,D14*(1+Inputs!$B$18))),D14)))</f>
        <v>1555</v>
      </c>
      <c r="F14" s="11" t="n">
        <f aca="false">IF(F$1&lt;Units!$P13,0,IF(AND(Units!$K13=0,F$1=Units!$O13),Units!$R13,IF(AND(F$1&gt;=Units!$Q13,MOD(F$1-Units!$Q13,12)=0),IF(AND(Units!$L13=1,F$1=Units!$Q13),IF(Units!$J13&lt;&gt;"",Units!$J13,Mkt!F14),Inputs!$B$15*Mkt!F14+(1-Inputs!$B$15)*MIN(Mkt!F14,E14*(1+Inputs!$B$18))),E14)))</f>
        <v>1525</v>
      </c>
      <c r="G14" s="11" t="n">
        <f aca="false">IF(G$1&lt;Units!$P13,0,IF(AND(Units!$K13=0,G$1=Units!$O13),Units!$R13,IF(AND(G$1&gt;=Units!$Q13,MOD(G$1-Units!$Q13,12)=0),IF(AND(Units!$L13=1,G$1=Units!$Q13),IF(Units!$J13&lt;&gt;"",Units!$J13,Mkt!G14),Inputs!$B$15*Mkt!G14+(1-Inputs!$B$15)*MIN(Mkt!G14,F14*(1+Inputs!$B$18))),F14)))</f>
        <v>1525</v>
      </c>
      <c r="H14" s="11" t="n">
        <f aca="false">IF(H$1&lt;Units!$P13,0,IF(AND(Units!$K13=0,H$1=Units!$O13),Units!$R13,IF(AND(H$1&gt;=Units!$Q13,MOD(H$1-Units!$Q13,12)=0),IF(AND(Units!$L13=1,H$1=Units!$Q13),IF(Units!$J13&lt;&gt;"",Units!$J13,Mkt!H14),Inputs!$B$15*Mkt!H14+(1-Inputs!$B$15)*MIN(Mkt!H14,G14*(1+Inputs!$B$18))),G14)))</f>
        <v>1525</v>
      </c>
      <c r="I14" s="11" t="n">
        <f aca="false">IF(I$1&lt;Units!$P13,0,IF(AND(Units!$K13=0,I$1=Units!$O13),Units!$R13,IF(AND(I$1&gt;=Units!$Q13,MOD(I$1-Units!$Q13,12)=0),IF(AND(Units!$L13=1,I$1=Units!$Q13),IF(Units!$J13&lt;&gt;"",Units!$J13,Mkt!I14),Inputs!$B$15*Mkt!I14+(1-Inputs!$B$15)*MIN(Mkt!I14,H14*(1+Inputs!$B$18))),H14)))</f>
        <v>1525</v>
      </c>
      <c r="J14" s="11" t="n">
        <f aca="false">IF(J$1&lt;Units!$P13,0,IF(AND(Units!$K13=0,J$1=Units!$O13),Units!$R13,IF(AND(J$1&gt;=Units!$Q13,MOD(J$1-Units!$Q13,12)=0),IF(AND(Units!$L13=1,J$1=Units!$Q13),IF(Units!$J13&lt;&gt;"",Units!$J13,Mkt!J14),Inputs!$B$15*Mkt!J14+(1-Inputs!$B$15)*MIN(Mkt!J14,I14*(1+Inputs!$B$18))),I14)))</f>
        <v>1525</v>
      </c>
      <c r="K14" s="11" t="n">
        <f aca="false">IF(K$1&lt;Units!$P13,0,IF(AND(Units!$K13=0,K$1=Units!$O13),Units!$R13,IF(AND(K$1&gt;=Units!$Q13,MOD(K$1-Units!$Q13,12)=0),IF(AND(Units!$L13=1,K$1=Units!$Q13),IF(Units!$J13&lt;&gt;"",Units!$J13,Mkt!K14),Inputs!$B$15*Mkt!K14+(1-Inputs!$B$15)*MIN(Mkt!K14,J14*(1+Inputs!$B$18))),J14)))</f>
        <v>1525</v>
      </c>
      <c r="L14" s="11" t="n">
        <f aca="false">IF(L$1&lt;Units!$P13,0,IF(AND(Units!$K13=0,L$1=Units!$O13),Units!$R13,IF(AND(L$1&gt;=Units!$Q13,MOD(L$1-Units!$Q13,12)=0),IF(AND(Units!$L13=1,L$1=Units!$Q13),IF(Units!$J13&lt;&gt;"",Units!$J13,Mkt!L14),Inputs!$B$15*Mkt!L14+(1-Inputs!$B$15)*MIN(Mkt!L14,K14*(1+Inputs!$B$18))),K14)))</f>
        <v>1525</v>
      </c>
      <c r="M14" s="11" t="n">
        <f aca="false">IF(M$1&lt;Units!$P13,0,IF(AND(Units!$K13=0,M$1=Units!$O13),Units!$R13,IF(AND(M$1&gt;=Units!$Q13,MOD(M$1-Units!$Q13,12)=0),IF(AND(Units!$L13=1,M$1=Units!$Q13),IF(Units!$J13&lt;&gt;"",Units!$J13,Mkt!M14),Inputs!$B$15*Mkt!M14+(1-Inputs!$B$15)*MIN(Mkt!M14,L14*(1+Inputs!$B$18))),L14)))</f>
        <v>1525</v>
      </c>
      <c r="N14" s="11" t="n">
        <f aca="false">IF(N$1&lt;Units!$P13,0,IF(AND(Units!$K13=0,N$1=Units!$O13),Units!$R13,IF(AND(N$1&gt;=Units!$Q13,MOD(N$1-Units!$Q13,12)=0),IF(AND(Units!$L13=1,N$1=Units!$Q13),IF(Units!$J13&lt;&gt;"",Units!$J13,Mkt!N14),Inputs!$B$15*Mkt!N14+(1-Inputs!$B$15)*MIN(Mkt!N14,M14*(1+Inputs!$B$18))),M14)))</f>
        <v>1525</v>
      </c>
      <c r="O14" s="11" t="n">
        <f aca="false">IF(O$1&lt;Units!$P13,0,IF(AND(Units!$K13=0,O$1=Units!$O13),Units!$R13,IF(AND(O$1&gt;=Units!$Q13,MOD(O$1-Units!$Q13,12)=0),IF(AND(Units!$L13=1,O$1=Units!$Q13),IF(Units!$J13&lt;&gt;"",Units!$J13,Mkt!O14),Inputs!$B$15*Mkt!O14+(1-Inputs!$B$15)*MIN(Mkt!O14,N14*(1+Inputs!$B$18))),N14)))</f>
        <v>1525</v>
      </c>
      <c r="P14" s="11" t="n">
        <f aca="false">IF(P$1&lt;Units!$P13,0,IF(AND(Units!$K13=0,P$1=Units!$O13),Units!$R13,IF(AND(P$1&gt;=Units!$Q13,MOD(P$1-Units!$Q13,12)=0),IF(AND(Units!$L13=1,P$1=Units!$Q13),IF(Units!$J13&lt;&gt;"",Units!$J13,Mkt!P14),Inputs!$B$15*Mkt!P14+(1-Inputs!$B$15)*MIN(Mkt!P14,O14*(1+Inputs!$B$18))),O14)))</f>
        <v>1525</v>
      </c>
      <c r="Q14" s="11" t="n">
        <f aca="false">IF(Q$1&lt;Units!$P13,0,IF(AND(Units!$K13=0,Q$1=Units!$O13),Units!$R13,IF(AND(Q$1&gt;=Units!$Q13,MOD(Q$1-Units!$Q13,12)=0),IF(AND(Units!$L13=1,Q$1=Units!$Q13),IF(Units!$J13&lt;&gt;"",Units!$J13,Mkt!Q14),Inputs!$B$15*Mkt!Q14+(1-Inputs!$B$15)*MIN(Mkt!Q14,P14*(1+Inputs!$B$18))),P14)))</f>
        <v>1525</v>
      </c>
      <c r="R14" s="11" t="n">
        <f aca="false">IF(R$1&lt;Units!$P13,0,IF(AND(Units!$K13=0,R$1=Units!$O13),Units!$R13,IF(AND(R$1&gt;=Units!$Q13,MOD(R$1-Units!$Q13,12)=0),IF(AND(Units!$L13=1,R$1=Units!$Q13),IF(Units!$J13&lt;&gt;"",Units!$J13,Mkt!R14),Inputs!$B$15*Mkt!R14+(1-Inputs!$B$15)*MIN(Mkt!R14,Q14*(1+Inputs!$B$18))),Q14)))</f>
        <v>1570.75</v>
      </c>
      <c r="S14" s="11" t="n">
        <f aca="false">IF(S$1&lt;Units!$P13,0,IF(AND(Units!$K13=0,S$1=Units!$O13),Units!$R13,IF(AND(S$1&gt;=Units!$Q13,MOD(S$1-Units!$Q13,12)=0),IF(AND(Units!$L13=1,S$1=Units!$Q13),IF(Units!$J13&lt;&gt;"",Units!$J13,Mkt!S14),Inputs!$B$15*Mkt!S14+(1-Inputs!$B$15)*MIN(Mkt!S14,R14*(1+Inputs!$B$18))),R14)))</f>
        <v>1570.75</v>
      </c>
      <c r="T14" s="11" t="n">
        <f aca="false">IF(T$1&lt;Units!$P13,0,IF(AND(Units!$K13=0,T$1=Units!$O13),Units!$R13,IF(AND(T$1&gt;=Units!$Q13,MOD(T$1-Units!$Q13,12)=0),IF(AND(Units!$L13=1,T$1=Units!$Q13),IF(Units!$J13&lt;&gt;"",Units!$J13,Mkt!T14),Inputs!$B$15*Mkt!T14+(1-Inputs!$B$15)*MIN(Mkt!T14,S14*(1+Inputs!$B$18))),S14)))</f>
        <v>1570.75</v>
      </c>
      <c r="U14" s="11" t="n">
        <f aca="false">IF(U$1&lt;Units!$P13,0,IF(AND(Units!$K13=0,U$1=Units!$O13),Units!$R13,IF(AND(U$1&gt;=Units!$Q13,MOD(U$1-Units!$Q13,12)=0),IF(AND(Units!$L13=1,U$1=Units!$Q13),IF(Units!$J13&lt;&gt;"",Units!$J13,Mkt!U14),Inputs!$B$15*Mkt!U14+(1-Inputs!$B$15)*MIN(Mkt!U14,T14*(1+Inputs!$B$18))),T14)))</f>
        <v>1570.75</v>
      </c>
      <c r="V14" s="11" t="n">
        <f aca="false">IF(V$1&lt;Units!$P13,0,IF(AND(Units!$K13=0,V$1=Units!$O13),Units!$R13,IF(AND(V$1&gt;=Units!$Q13,MOD(V$1-Units!$Q13,12)=0),IF(AND(Units!$L13=1,V$1=Units!$Q13),IF(Units!$J13&lt;&gt;"",Units!$J13,Mkt!V14),Inputs!$B$15*Mkt!V14+(1-Inputs!$B$15)*MIN(Mkt!V14,U14*(1+Inputs!$B$18))),U14)))</f>
        <v>1570.75</v>
      </c>
      <c r="W14" s="11" t="n">
        <f aca="false">IF(W$1&lt;Units!$P13,0,IF(AND(Units!$K13=0,W$1=Units!$O13),Units!$R13,IF(AND(W$1&gt;=Units!$Q13,MOD(W$1-Units!$Q13,12)=0),IF(AND(Units!$L13=1,W$1=Units!$Q13),IF(Units!$J13&lt;&gt;"",Units!$J13,Mkt!W14),Inputs!$B$15*Mkt!W14+(1-Inputs!$B$15)*MIN(Mkt!W14,V14*(1+Inputs!$B$18))),V14)))</f>
        <v>1570.75</v>
      </c>
      <c r="X14" s="11" t="n">
        <f aca="false">IF(X$1&lt;Units!$P13,0,IF(AND(Units!$K13=0,X$1=Units!$O13),Units!$R13,IF(AND(X$1&gt;=Units!$Q13,MOD(X$1-Units!$Q13,12)=0),IF(AND(Units!$L13=1,X$1=Units!$Q13),IF(Units!$J13&lt;&gt;"",Units!$J13,Mkt!X14),Inputs!$B$15*Mkt!X14+(1-Inputs!$B$15)*MIN(Mkt!X14,W14*(1+Inputs!$B$18))),W14)))</f>
        <v>1570.75</v>
      </c>
      <c r="Y14" s="11" t="n">
        <f aca="false">IF(Y$1&lt;Units!$P13,0,IF(AND(Units!$K13=0,Y$1=Units!$O13),Units!$R13,IF(AND(Y$1&gt;=Units!$Q13,MOD(Y$1-Units!$Q13,12)=0),IF(AND(Units!$L13=1,Y$1=Units!$Q13),IF(Units!$J13&lt;&gt;"",Units!$J13,Mkt!Y14),Inputs!$B$15*Mkt!Y14+(1-Inputs!$B$15)*MIN(Mkt!Y14,X14*(1+Inputs!$B$18))),X14)))</f>
        <v>1570.75</v>
      </c>
      <c r="Z14" s="11" t="n">
        <f aca="false">IF(Z$1&lt;Units!$P13,0,IF(AND(Units!$K13=0,Z$1=Units!$O13),Units!$R13,IF(AND(Z$1&gt;=Units!$Q13,MOD(Z$1-Units!$Q13,12)=0),IF(AND(Units!$L13=1,Z$1=Units!$Q13),IF(Units!$J13&lt;&gt;"",Units!$J13,Mkt!Z14),Inputs!$B$15*Mkt!Z14+(1-Inputs!$B$15)*MIN(Mkt!Z14,Y14*(1+Inputs!$B$18))),Y14)))</f>
        <v>1570.75</v>
      </c>
      <c r="AA14" s="11" t="n">
        <f aca="false">IF(AA$1&lt;Units!$P13,0,IF(AND(Units!$K13=0,AA$1=Units!$O13),Units!$R13,IF(AND(AA$1&gt;=Units!$Q13,MOD(AA$1-Units!$Q13,12)=0),IF(AND(Units!$L13=1,AA$1=Units!$Q13),IF(Units!$J13&lt;&gt;"",Units!$J13,Mkt!AA14),Inputs!$B$15*Mkt!AA14+(1-Inputs!$B$15)*MIN(Mkt!AA14,Z14*(1+Inputs!$B$18))),Z14)))</f>
        <v>1570.75</v>
      </c>
      <c r="AB14" s="11" t="n">
        <f aca="false">IF(AB$1&lt;Units!$P13,0,IF(AND(Units!$K13=0,AB$1=Units!$O13),Units!$R13,IF(AND(AB$1&gt;=Units!$Q13,MOD(AB$1-Units!$Q13,12)=0),IF(AND(Units!$L13=1,AB$1=Units!$Q13),IF(Units!$J13&lt;&gt;"",Units!$J13,Mkt!AB14),Inputs!$B$15*Mkt!AB14+(1-Inputs!$B$15)*MIN(Mkt!AB14,AA14*(1+Inputs!$B$18))),AA14)))</f>
        <v>1570.75</v>
      </c>
      <c r="AC14" s="11" t="n">
        <f aca="false">IF(AC$1&lt;Units!$P13,0,IF(AND(Units!$K13=0,AC$1=Units!$O13),Units!$R13,IF(AND(AC$1&gt;=Units!$Q13,MOD(AC$1-Units!$Q13,12)=0),IF(AND(Units!$L13=1,AC$1=Units!$Q13),IF(Units!$J13&lt;&gt;"",Units!$J13,Mkt!AC14),Inputs!$B$15*Mkt!AC14+(1-Inputs!$B$15)*MIN(Mkt!AC14,AB14*(1+Inputs!$B$18))),AB14)))</f>
        <v>1570.75</v>
      </c>
      <c r="AD14" s="11" t="n">
        <f aca="false">IF(AD$1&lt;Units!$P13,0,IF(AND(Units!$K13=0,AD$1=Units!$O13),Units!$R13,IF(AND(AD$1&gt;=Units!$Q13,MOD(AD$1-Units!$Q13,12)=0),IF(AND(Units!$L13=1,AD$1=Units!$Q13),IF(Units!$J13&lt;&gt;"",Units!$J13,Mkt!AD14),Inputs!$B$15*Mkt!AD14+(1-Inputs!$B$15)*MIN(Mkt!AD14,AC14*(1+Inputs!$B$18))),AC14)))</f>
        <v>1617.8725</v>
      </c>
      <c r="AE14" s="11" t="n">
        <f aca="false">IF(AE$1&lt;Units!$P13,0,IF(AND(Units!$K13=0,AE$1=Units!$O13),Units!$R13,IF(AND(AE$1&gt;=Units!$Q13,MOD(AE$1-Units!$Q13,12)=0),IF(AND(Units!$L13=1,AE$1=Units!$Q13),IF(Units!$J13&lt;&gt;"",Units!$J13,Mkt!AE14),Inputs!$B$15*Mkt!AE14+(1-Inputs!$B$15)*MIN(Mkt!AE14,AD14*(1+Inputs!$B$18))),AD14)))</f>
        <v>1617.8725</v>
      </c>
      <c r="AF14" s="11" t="n">
        <f aca="false">IF(AF$1&lt;Units!$P13,0,IF(AND(Units!$K13=0,AF$1=Units!$O13),Units!$R13,IF(AND(AF$1&gt;=Units!$Q13,MOD(AF$1-Units!$Q13,12)=0),IF(AND(Units!$L13=1,AF$1=Units!$Q13),IF(Units!$J13&lt;&gt;"",Units!$J13,Mkt!AF14),Inputs!$B$15*Mkt!AF14+(1-Inputs!$B$15)*MIN(Mkt!AF14,AE14*(1+Inputs!$B$18))),AE14)))</f>
        <v>1617.8725</v>
      </c>
      <c r="AG14" s="11" t="n">
        <f aca="false">IF(AG$1&lt;Units!$P13,0,IF(AND(Units!$K13=0,AG$1=Units!$O13),Units!$R13,IF(AND(AG$1&gt;=Units!$Q13,MOD(AG$1-Units!$Q13,12)=0),IF(AND(Units!$L13=1,AG$1=Units!$Q13),IF(Units!$J13&lt;&gt;"",Units!$J13,Mkt!AG14),Inputs!$B$15*Mkt!AG14+(1-Inputs!$B$15)*MIN(Mkt!AG14,AF14*(1+Inputs!$B$18))),AF14)))</f>
        <v>1617.8725</v>
      </c>
      <c r="AH14" s="11" t="n">
        <f aca="false">IF(AH$1&lt;Units!$P13,0,IF(AND(Units!$K13=0,AH$1=Units!$O13),Units!$R13,IF(AND(AH$1&gt;=Units!$Q13,MOD(AH$1-Units!$Q13,12)=0),IF(AND(Units!$L13=1,AH$1=Units!$Q13),IF(Units!$J13&lt;&gt;"",Units!$J13,Mkt!AH14),Inputs!$B$15*Mkt!AH14+(1-Inputs!$B$15)*MIN(Mkt!AH14,AG14*(1+Inputs!$B$18))),AG14)))</f>
        <v>1617.8725</v>
      </c>
      <c r="AI14" s="11" t="n">
        <f aca="false">IF(AI$1&lt;Units!$P13,0,IF(AND(Units!$K13=0,AI$1=Units!$O13),Units!$R13,IF(AND(AI$1&gt;=Units!$Q13,MOD(AI$1-Units!$Q13,12)=0),IF(AND(Units!$L13=1,AI$1=Units!$Q13),IF(Units!$J13&lt;&gt;"",Units!$J13,Mkt!AI14),Inputs!$B$15*Mkt!AI14+(1-Inputs!$B$15)*MIN(Mkt!AI14,AH14*(1+Inputs!$B$18))),AH14)))</f>
        <v>1617.8725</v>
      </c>
      <c r="AJ14" s="11" t="n">
        <f aca="false">IF(AJ$1&lt;Units!$P13,0,IF(AND(Units!$K13=0,AJ$1=Units!$O13),Units!$R13,IF(AND(AJ$1&gt;=Units!$Q13,MOD(AJ$1-Units!$Q13,12)=0),IF(AND(Units!$L13=1,AJ$1=Units!$Q13),IF(Units!$J13&lt;&gt;"",Units!$J13,Mkt!AJ14),Inputs!$B$15*Mkt!AJ14+(1-Inputs!$B$15)*MIN(Mkt!AJ14,AI14*(1+Inputs!$B$18))),AI14)))</f>
        <v>1617.8725</v>
      </c>
      <c r="AK14" s="11" t="n">
        <f aca="false">IF(AK$1&lt;Units!$P13,0,IF(AND(Units!$K13=0,AK$1=Units!$O13),Units!$R13,IF(AND(AK$1&gt;=Units!$Q13,MOD(AK$1-Units!$Q13,12)=0),IF(AND(Units!$L13=1,AK$1=Units!$Q13),IF(Units!$J13&lt;&gt;"",Units!$J13,Mkt!AK14),Inputs!$B$15*Mkt!AK14+(1-Inputs!$B$15)*MIN(Mkt!AK14,AJ14*(1+Inputs!$B$18))),AJ14)))</f>
        <v>1617.8725</v>
      </c>
      <c r="AL14" s="11" t="n">
        <f aca="false">IF(AL$1&lt;Units!$P13,0,IF(AND(Units!$K13=0,AL$1=Units!$O13),Units!$R13,IF(AND(AL$1&gt;=Units!$Q13,MOD(AL$1-Units!$Q13,12)=0),IF(AND(Units!$L13=1,AL$1=Units!$Q13),IF(Units!$J13&lt;&gt;"",Units!$J13,Mkt!AL14),Inputs!$B$15*Mkt!AL14+(1-Inputs!$B$15)*MIN(Mkt!AL14,AK14*(1+Inputs!$B$18))),AK14)))</f>
        <v>1617.8725</v>
      </c>
      <c r="AM14" s="11" t="n">
        <f aca="false">IF(AM$1&lt;Units!$P13,0,IF(AND(Units!$K13=0,AM$1=Units!$O13),Units!$R13,IF(AND(AM$1&gt;=Units!$Q13,MOD(AM$1-Units!$Q13,12)=0),IF(AND(Units!$L13=1,AM$1=Units!$Q13),IF(Units!$J13&lt;&gt;"",Units!$J13,Mkt!AM14),Inputs!$B$15*Mkt!AM14+(1-Inputs!$B$15)*MIN(Mkt!AM14,AL14*(1+Inputs!$B$18))),AL14)))</f>
        <v>1617.8725</v>
      </c>
      <c r="AN14" s="11" t="n">
        <f aca="false">IF(AN$1&lt;Units!$P13,0,IF(AND(Units!$K13=0,AN$1=Units!$O13),Units!$R13,IF(AND(AN$1&gt;=Units!$Q13,MOD(AN$1-Units!$Q13,12)=0),IF(AND(Units!$L13=1,AN$1=Units!$Q13),IF(Units!$J13&lt;&gt;"",Units!$J13,Mkt!AN14),Inputs!$B$15*Mkt!AN14+(1-Inputs!$B$15)*MIN(Mkt!AN14,AM14*(1+Inputs!$B$18))),AM14)))</f>
        <v>1617.8725</v>
      </c>
      <c r="AO14" s="11" t="n">
        <f aca="false">IF(AO$1&lt;Units!$P13,0,IF(AND(Units!$K13=0,AO$1=Units!$O13),Units!$R13,IF(AND(AO$1&gt;=Units!$Q13,MOD(AO$1-Units!$Q13,12)=0),IF(AND(Units!$L13=1,AO$1=Units!$Q13),IF(Units!$J13&lt;&gt;"",Units!$J13,Mkt!AO14),Inputs!$B$15*Mkt!AO14+(1-Inputs!$B$15)*MIN(Mkt!AO14,AN14*(1+Inputs!$B$18))),AN14)))</f>
        <v>1617.8725</v>
      </c>
      <c r="AP14" s="11" t="n">
        <f aca="false">IF(AP$1&lt;Units!$P13,0,IF(AND(Units!$K13=0,AP$1=Units!$O13),Units!$R13,IF(AND(AP$1&gt;=Units!$Q13,MOD(AP$1-Units!$Q13,12)=0),IF(AND(Units!$L13=1,AP$1=Units!$Q13),IF(Units!$J13&lt;&gt;"",Units!$J13,Mkt!AP14),Inputs!$B$15*Mkt!AP14+(1-Inputs!$B$15)*MIN(Mkt!AP14,AO14*(1+Inputs!$B$18))),AO14)))</f>
        <v>1666.408675</v>
      </c>
      <c r="AQ14" s="11" t="n">
        <f aca="false">IF(AQ$1&lt;Units!$P13,0,IF(AND(Units!$K13=0,AQ$1=Units!$O13),Units!$R13,IF(AND(AQ$1&gt;=Units!$Q13,MOD(AQ$1-Units!$Q13,12)=0),IF(AND(Units!$L13=1,AQ$1=Units!$Q13),IF(Units!$J13&lt;&gt;"",Units!$J13,Mkt!AQ14),Inputs!$B$15*Mkt!AQ14+(1-Inputs!$B$15)*MIN(Mkt!AQ14,AP14*(1+Inputs!$B$18))),AP14)))</f>
        <v>1666.408675</v>
      </c>
      <c r="AR14" s="11" t="n">
        <f aca="false">IF(AR$1&lt;Units!$P13,0,IF(AND(Units!$K13=0,AR$1=Units!$O13),Units!$R13,IF(AND(AR$1&gt;=Units!$Q13,MOD(AR$1-Units!$Q13,12)=0),IF(AND(Units!$L13=1,AR$1=Units!$Q13),IF(Units!$J13&lt;&gt;"",Units!$J13,Mkt!AR14),Inputs!$B$15*Mkt!AR14+(1-Inputs!$B$15)*MIN(Mkt!AR14,AQ14*(1+Inputs!$B$18))),AQ14)))</f>
        <v>1666.408675</v>
      </c>
      <c r="AS14" s="11" t="n">
        <f aca="false">IF(AS$1&lt;Units!$P13,0,IF(AND(Units!$K13=0,AS$1=Units!$O13),Units!$R13,IF(AND(AS$1&gt;=Units!$Q13,MOD(AS$1-Units!$Q13,12)=0),IF(AND(Units!$L13=1,AS$1=Units!$Q13),IF(Units!$J13&lt;&gt;"",Units!$J13,Mkt!AS14),Inputs!$B$15*Mkt!AS14+(1-Inputs!$B$15)*MIN(Mkt!AS14,AR14*(1+Inputs!$B$18))),AR14)))</f>
        <v>1666.408675</v>
      </c>
      <c r="AT14" s="11" t="n">
        <f aca="false">IF(AT$1&lt;Units!$P13,0,IF(AND(Units!$K13=0,AT$1=Units!$O13),Units!$R13,IF(AND(AT$1&gt;=Units!$Q13,MOD(AT$1-Units!$Q13,12)=0),IF(AND(Units!$L13=1,AT$1=Units!$Q13),IF(Units!$J13&lt;&gt;"",Units!$J13,Mkt!AT14),Inputs!$B$15*Mkt!AT14+(1-Inputs!$B$15)*MIN(Mkt!AT14,AS14*(1+Inputs!$B$18))),AS14)))</f>
        <v>1666.408675</v>
      </c>
      <c r="AU14" s="11" t="n">
        <f aca="false">IF(AU$1&lt;Units!$P13,0,IF(AND(Units!$K13=0,AU$1=Units!$O13),Units!$R13,IF(AND(AU$1&gt;=Units!$Q13,MOD(AU$1-Units!$Q13,12)=0),IF(AND(Units!$L13=1,AU$1=Units!$Q13),IF(Units!$J13&lt;&gt;"",Units!$J13,Mkt!AU14),Inputs!$B$15*Mkt!AU14+(1-Inputs!$B$15)*MIN(Mkt!AU14,AT14*(1+Inputs!$B$18))),AT14)))</f>
        <v>1666.408675</v>
      </c>
      <c r="AV14" s="11" t="n">
        <f aca="false">IF(AV$1&lt;Units!$P13,0,IF(AND(Units!$K13=0,AV$1=Units!$O13),Units!$R13,IF(AND(AV$1&gt;=Units!$Q13,MOD(AV$1-Units!$Q13,12)=0),IF(AND(Units!$L13=1,AV$1=Units!$Q13),IF(Units!$J13&lt;&gt;"",Units!$J13,Mkt!AV14),Inputs!$B$15*Mkt!AV14+(1-Inputs!$B$15)*MIN(Mkt!AV14,AU14*(1+Inputs!$B$18))),AU14)))</f>
        <v>1666.408675</v>
      </c>
      <c r="AW14" s="11" t="n">
        <f aca="false">IF(AW$1&lt;Units!$P13,0,IF(AND(Units!$K13=0,AW$1=Units!$O13),Units!$R13,IF(AND(AW$1&gt;=Units!$Q13,MOD(AW$1-Units!$Q13,12)=0),IF(AND(Units!$L13=1,AW$1=Units!$Q13),IF(Units!$J13&lt;&gt;"",Units!$J13,Mkt!AW14),Inputs!$B$15*Mkt!AW14+(1-Inputs!$B$15)*MIN(Mkt!AW14,AV14*(1+Inputs!$B$18))),AV14)))</f>
        <v>1666.408675</v>
      </c>
      <c r="AX14" s="11" t="n">
        <f aca="false">IF(AX$1&lt;Units!$P13,0,IF(AND(Units!$K13=0,AX$1=Units!$O13),Units!$R13,IF(AND(AX$1&gt;=Units!$Q13,MOD(AX$1-Units!$Q13,12)=0),IF(AND(Units!$L13=1,AX$1=Units!$Q13),IF(Units!$J13&lt;&gt;"",Units!$J13,Mkt!AX14),Inputs!$B$15*Mkt!AX14+(1-Inputs!$B$15)*MIN(Mkt!AX14,AW14*(1+Inputs!$B$18))),AW14)))</f>
        <v>1666.408675</v>
      </c>
      <c r="AY14" s="11" t="n">
        <f aca="false">IF(AY$1&lt;Units!$P13,0,IF(AND(Units!$K13=0,AY$1=Units!$O13),Units!$R13,IF(AND(AY$1&gt;=Units!$Q13,MOD(AY$1-Units!$Q13,12)=0),IF(AND(Units!$L13=1,AY$1=Units!$Q13),IF(Units!$J13&lt;&gt;"",Units!$J13,Mkt!AY14),Inputs!$B$15*Mkt!AY14+(1-Inputs!$B$15)*MIN(Mkt!AY14,AX14*(1+Inputs!$B$18))),AX14)))</f>
        <v>1666.408675</v>
      </c>
      <c r="AZ14" s="11" t="n">
        <f aca="false">IF(AZ$1&lt;Units!$P13,0,IF(AND(Units!$K13=0,AZ$1=Units!$O13),Units!$R13,IF(AND(AZ$1&gt;=Units!$Q13,MOD(AZ$1-Units!$Q13,12)=0),IF(AND(Units!$L13=1,AZ$1=Units!$Q13),IF(Units!$J13&lt;&gt;"",Units!$J13,Mkt!AZ14),Inputs!$B$15*Mkt!AZ14+(1-Inputs!$B$15)*MIN(Mkt!AZ14,AY14*(1+Inputs!$B$18))),AY14)))</f>
        <v>1666.408675</v>
      </c>
      <c r="BA14" s="11" t="n">
        <f aca="false">IF(BA$1&lt;Units!$P13,0,IF(AND(Units!$K13=0,BA$1=Units!$O13),Units!$R13,IF(AND(BA$1&gt;=Units!$Q13,MOD(BA$1-Units!$Q13,12)=0),IF(AND(Units!$L13=1,BA$1=Units!$Q13),IF(Units!$J13&lt;&gt;"",Units!$J13,Mkt!BA14),Inputs!$B$15*Mkt!BA14+(1-Inputs!$B$15)*MIN(Mkt!BA14,AZ14*(1+Inputs!$B$18))),AZ14)))</f>
        <v>1666.408675</v>
      </c>
      <c r="BB14" s="11" t="n">
        <f aca="false">IF(BB$1&lt;Units!$P13,0,IF(AND(Units!$K13=0,BB$1=Units!$O13),Units!$R13,IF(AND(BB$1&gt;=Units!$Q13,MOD(BB$1-Units!$Q13,12)=0),IF(AND(Units!$L13=1,BB$1=Units!$Q13),IF(Units!$J13&lt;&gt;"",Units!$J13,Mkt!BB14),Inputs!$B$15*Mkt!BB14+(1-Inputs!$B$15)*MIN(Mkt!BB14,BA14*(1+Inputs!$B$18))),BA14)))</f>
        <v>1716.40093525</v>
      </c>
      <c r="BC14" s="11" t="n">
        <f aca="false">IF(BC$1&lt;Units!$P13,0,IF(AND(Units!$K13=0,BC$1=Units!$O13),Units!$R13,IF(AND(BC$1&gt;=Units!$Q13,MOD(BC$1-Units!$Q13,12)=0),IF(AND(Units!$L13=1,BC$1=Units!$Q13),IF(Units!$J13&lt;&gt;"",Units!$J13,Mkt!BC14),Inputs!$B$15*Mkt!BC14+(1-Inputs!$B$15)*MIN(Mkt!BC14,BB14*(1+Inputs!$B$18))),BB14)))</f>
        <v>1716.40093525</v>
      </c>
      <c r="BD14" s="11" t="n">
        <f aca="false">IF(BD$1&lt;Units!$P13,0,IF(AND(Units!$K13=0,BD$1=Units!$O13),Units!$R13,IF(AND(BD$1&gt;=Units!$Q13,MOD(BD$1-Units!$Q13,12)=0),IF(AND(Units!$L13=1,BD$1=Units!$Q13),IF(Units!$J13&lt;&gt;"",Units!$J13,Mkt!BD14),Inputs!$B$15*Mkt!BD14+(1-Inputs!$B$15)*MIN(Mkt!BD14,BC14*(1+Inputs!$B$18))),BC14)))</f>
        <v>1716.40093525</v>
      </c>
      <c r="BE14" s="11" t="n">
        <f aca="false">IF(BE$1&lt;Units!$P13,0,IF(AND(Units!$K13=0,BE$1=Units!$O13),Units!$R13,IF(AND(BE$1&gt;=Units!$Q13,MOD(BE$1-Units!$Q13,12)=0),IF(AND(Units!$L13=1,BE$1=Units!$Q13),IF(Units!$J13&lt;&gt;"",Units!$J13,Mkt!BE14),Inputs!$B$15*Mkt!BE14+(1-Inputs!$B$15)*MIN(Mkt!BE14,BD14*(1+Inputs!$B$18))),BD14)))</f>
        <v>1716.40093525</v>
      </c>
      <c r="BF14" s="11" t="n">
        <f aca="false">IF(BF$1&lt;Units!$P13,0,IF(AND(Units!$K13=0,BF$1=Units!$O13),Units!$R13,IF(AND(BF$1&gt;=Units!$Q13,MOD(BF$1-Units!$Q13,12)=0),IF(AND(Units!$L13=1,BF$1=Units!$Q13),IF(Units!$J13&lt;&gt;"",Units!$J13,Mkt!BF14),Inputs!$B$15*Mkt!BF14+(1-Inputs!$B$15)*MIN(Mkt!BF14,BE14*(1+Inputs!$B$18))),BE14)))</f>
        <v>1716.40093525</v>
      </c>
      <c r="BG14" s="11" t="n">
        <f aca="false">IF(BG$1&lt;Units!$P13,0,IF(AND(Units!$K13=0,BG$1=Units!$O13),Units!$R13,IF(AND(BG$1&gt;=Units!$Q13,MOD(BG$1-Units!$Q13,12)=0),IF(AND(Units!$L13=1,BG$1=Units!$Q13),IF(Units!$J13&lt;&gt;"",Units!$J13,Mkt!BG14),Inputs!$B$15*Mkt!BG14+(1-Inputs!$B$15)*MIN(Mkt!BG14,BF14*(1+Inputs!$B$18))),BF14)))</f>
        <v>1716.40093525</v>
      </c>
      <c r="BH14" s="11" t="n">
        <f aca="false">IF(BH$1&lt;Units!$P13,0,IF(AND(Units!$K13=0,BH$1=Units!$O13),Units!$R13,IF(AND(BH$1&gt;=Units!$Q13,MOD(BH$1-Units!$Q13,12)=0),IF(AND(Units!$L13=1,BH$1=Units!$Q13),IF(Units!$J13&lt;&gt;"",Units!$J13,Mkt!BH14),Inputs!$B$15*Mkt!BH14+(1-Inputs!$B$15)*MIN(Mkt!BH14,BG14*(1+Inputs!$B$18))),BG14)))</f>
        <v>1716.40093525</v>
      </c>
      <c r="BI14" s="11" t="n">
        <f aca="false">IF(BI$1&lt;Units!$P13,0,IF(AND(Units!$K13=0,BI$1=Units!$O13),Units!$R13,IF(AND(BI$1&gt;=Units!$Q13,MOD(BI$1-Units!$Q13,12)=0),IF(AND(Units!$L13=1,BI$1=Units!$Q13),IF(Units!$J13&lt;&gt;"",Units!$J13,Mkt!BI14),Inputs!$B$15*Mkt!BI14+(1-Inputs!$B$15)*MIN(Mkt!BI14,BH14*(1+Inputs!$B$18))),BH14)))</f>
        <v>1716.40093525</v>
      </c>
      <c r="BJ14" s="11" t="n">
        <f aca="false">IF(BJ$1&lt;Units!$P13,0,IF(AND(Units!$K13=0,BJ$1=Units!$O13),Units!$R13,IF(AND(BJ$1&gt;=Units!$Q13,MOD(BJ$1-Units!$Q13,12)=0),IF(AND(Units!$L13=1,BJ$1=Units!$Q13),IF(Units!$J13&lt;&gt;"",Units!$J13,Mkt!BJ14),Inputs!$B$15*Mkt!BJ14+(1-Inputs!$B$15)*MIN(Mkt!BJ14,BI14*(1+Inputs!$B$18))),BI14)))</f>
        <v>1716.40093525</v>
      </c>
      <c r="BK14" s="11" t="n">
        <f aca="false">IF(BK$1&lt;Units!$P13,0,IF(AND(Units!$K13=0,BK$1=Units!$O13),Units!$R13,IF(AND(BK$1&gt;=Units!$Q13,MOD(BK$1-Units!$Q13,12)=0),IF(AND(Units!$L13=1,BK$1=Units!$Q13),IF(Units!$J13&lt;&gt;"",Units!$J13,Mkt!BK14),Inputs!$B$15*Mkt!BK14+(1-Inputs!$B$15)*MIN(Mkt!BK14,BJ14*(1+Inputs!$B$18))),BJ14)))</f>
        <v>1716.40093525</v>
      </c>
      <c r="BL14" s="11" t="n">
        <f aca="false">IF(BL$1&lt;Units!$P13,0,IF(AND(Units!$K13=0,BL$1=Units!$O13),Units!$R13,IF(AND(BL$1&gt;=Units!$Q13,MOD(BL$1-Units!$Q13,12)=0),IF(AND(Units!$L13=1,BL$1=Units!$Q13),IF(Units!$J13&lt;&gt;"",Units!$J13,Mkt!BL14),Inputs!$B$15*Mkt!BL14+(1-Inputs!$B$15)*MIN(Mkt!BL14,BK14*(1+Inputs!$B$18))),BK14)))</f>
        <v>1716.40093525</v>
      </c>
      <c r="BM14" s="11" t="n">
        <f aca="false">IF(BM$1&lt;Units!$P13,0,IF(AND(Units!$K13=0,BM$1=Units!$O13),Units!$R13,IF(AND(BM$1&gt;=Units!$Q13,MOD(BM$1-Units!$Q13,12)=0),IF(AND(Units!$L13=1,BM$1=Units!$Q13),IF(Units!$J13&lt;&gt;"",Units!$J13,Mkt!BM14),Inputs!$B$15*Mkt!BM14+(1-Inputs!$B$15)*MIN(Mkt!BM14,BL14*(1+Inputs!$B$18))),BL14)))</f>
        <v>1716.40093525</v>
      </c>
      <c r="BN14" s="11" t="n">
        <f aca="false">IF(BN$1&lt;Units!$P13,0,IF(AND(Units!$K13=0,BN$1=Units!$O13),Units!$R13,IF(AND(BN$1&gt;=Units!$Q13,MOD(BN$1-Units!$Q13,12)=0),IF(AND(Units!$L13=1,BN$1=Units!$Q13),IF(Units!$J13&lt;&gt;"",Units!$J13,Mkt!BN14),Inputs!$B$15*Mkt!BN14+(1-Inputs!$B$15)*MIN(Mkt!BN14,BM14*(1+Inputs!$B$18))),BM14)))</f>
        <v>1767.8929633075</v>
      </c>
      <c r="BO14" s="11" t="n">
        <f aca="false">IF(BO$1&lt;Units!$P13,0,IF(AND(Units!$K13=0,BO$1=Units!$O13),Units!$R13,IF(AND(BO$1&gt;=Units!$Q13,MOD(BO$1-Units!$Q13,12)=0),IF(AND(Units!$L13=1,BO$1=Units!$Q13),IF(Units!$J13&lt;&gt;"",Units!$J13,Mkt!BO14),Inputs!$B$15*Mkt!BO14+(1-Inputs!$B$15)*MIN(Mkt!BO14,BN14*(1+Inputs!$B$18))),BN14)))</f>
        <v>1767.8929633075</v>
      </c>
      <c r="BP14" s="11" t="n">
        <f aca="false">IF(BP$1&lt;Units!$P13,0,IF(AND(Units!$K13=0,BP$1=Units!$O13),Units!$R13,IF(AND(BP$1&gt;=Units!$Q13,MOD(BP$1-Units!$Q13,12)=0),IF(AND(Units!$L13=1,BP$1=Units!$Q13),IF(Units!$J13&lt;&gt;"",Units!$J13,Mkt!BP14),Inputs!$B$15*Mkt!BP14+(1-Inputs!$B$15)*MIN(Mkt!BP14,BO14*(1+Inputs!$B$18))),BO14)))</f>
        <v>1767.8929633075</v>
      </c>
      <c r="BQ14" s="11" t="n">
        <f aca="false">IF(BQ$1&lt;Units!$P13,0,IF(AND(Units!$K13=0,BQ$1=Units!$O13),Units!$R13,IF(AND(BQ$1&gt;=Units!$Q13,MOD(BQ$1-Units!$Q13,12)=0),IF(AND(Units!$L13=1,BQ$1=Units!$Q13),IF(Units!$J13&lt;&gt;"",Units!$J13,Mkt!BQ14),Inputs!$B$15*Mkt!BQ14+(1-Inputs!$B$15)*MIN(Mkt!BQ14,BP14*(1+Inputs!$B$18))),BP14)))</f>
        <v>1767.8929633075</v>
      </c>
      <c r="BR14" s="11" t="n">
        <f aca="false">IF(BR$1&lt;Units!$P13,0,IF(AND(Units!$K13=0,BR$1=Units!$O13),Units!$R13,IF(AND(BR$1&gt;=Units!$Q13,MOD(BR$1-Units!$Q13,12)=0),IF(AND(Units!$L13=1,BR$1=Units!$Q13),IF(Units!$J13&lt;&gt;"",Units!$J13,Mkt!BR14),Inputs!$B$15*Mkt!BR14+(1-Inputs!$B$15)*MIN(Mkt!BR14,BQ14*(1+Inputs!$B$18))),BQ14)))</f>
        <v>1767.8929633075</v>
      </c>
      <c r="BS14" s="11" t="n">
        <f aca="false">IF(BS$1&lt;Units!$P13,0,IF(AND(Units!$K13=0,BS$1=Units!$O13),Units!$R13,IF(AND(BS$1&gt;=Units!$Q13,MOD(BS$1-Units!$Q13,12)=0),IF(AND(Units!$L13=1,BS$1=Units!$Q13),IF(Units!$J13&lt;&gt;"",Units!$J13,Mkt!BS14),Inputs!$B$15*Mkt!BS14+(1-Inputs!$B$15)*MIN(Mkt!BS14,BR14*(1+Inputs!$B$18))),BR14)))</f>
        <v>1767.8929633075</v>
      </c>
      <c r="BT14" s="11" t="n">
        <f aca="false">IF(BT$1&lt;Units!$P13,0,IF(AND(Units!$K13=0,BT$1=Units!$O13),Units!$R13,IF(AND(BT$1&gt;=Units!$Q13,MOD(BT$1-Units!$Q13,12)=0),IF(AND(Units!$L13=1,BT$1=Units!$Q13),IF(Units!$J13&lt;&gt;"",Units!$J13,Mkt!BT14),Inputs!$B$15*Mkt!BT14+(1-Inputs!$B$15)*MIN(Mkt!BT14,BS14*(1+Inputs!$B$18))),BS14)))</f>
        <v>1767.8929633075</v>
      </c>
      <c r="BU14" s="11" t="n">
        <f aca="false">IF(BU$1&lt;Units!$P13,0,IF(AND(Units!$K13=0,BU$1=Units!$O13),Units!$R13,IF(AND(BU$1&gt;=Units!$Q13,MOD(BU$1-Units!$Q13,12)=0),IF(AND(Units!$L13=1,BU$1=Units!$Q13),IF(Units!$J13&lt;&gt;"",Units!$J13,Mkt!BU14),Inputs!$B$15*Mkt!BU14+(1-Inputs!$B$15)*MIN(Mkt!BU14,BT14*(1+Inputs!$B$18))),BT14)))</f>
        <v>1767.8929633075</v>
      </c>
      <c r="BV14" s="11" t="n">
        <f aca="false">IF(BV$1&lt;Units!$P13,0,IF(AND(Units!$K13=0,BV$1=Units!$O13),Units!$R13,IF(AND(BV$1&gt;=Units!$Q13,MOD(BV$1-Units!$Q13,12)=0),IF(AND(Units!$L13=1,BV$1=Units!$Q13),IF(Units!$J13&lt;&gt;"",Units!$J13,Mkt!BV14),Inputs!$B$15*Mkt!BV14+(1-Inputs!$B$15)*MIN(Mkt!BV14,BU14*(1+Inputs!$B$18))),BU14)))</f>
        <v>1767.8929633075</v>
      </c>
      <c r="BW14" s="11" t="n">
        <f aca="false">IF(BW$1&lt;Units!$P13,0,IF(AND(Units!$K13=0,BW$1=Units!$O13),Units!$R13,IF(AND(BW$1&gt;=Units!$Q13,MOD(BW$1-Units!$Q13,12)=0),IF(AND(Units!$L13=1,BW$1=Units!$Q13),IF(Units!$J13&lt;&gt;"",Units!$J13,Mkt!BW14),Inputs!$B$15*Mkt!BW14+(1-Inputs!$B$15)*MIN(Mkt!BW14,BV14*(1+Inputs!$B$18))),BV14)))</f>
        <v>1767.8929633075</v>
      </c>
      <c r="BX14" s="11" t="n">
        <f aca="false">IF(BX$1&lt;Units!$P13,0,IF(AND(Units!$K13=0,BX$1=Units!$O13),Units!$R13,IF(AND(BX$1&gt;=Units!$Q13,MOD(BX$1-Units!$Q13,12)=0),IF(AND(Units!$L13=1,BX$1=Units!$Q13),IF(Units!$J13&lt;&gt;"",Units!$J13,Mkt!BX14),Inputs!$B$15*Mkt!BX14+(1-Inputs!$B$15)*MIN(Mkt!BX14,BW14*(1+Inputs!$B$18))),BW14)))</f>
        <v>1767.8929633075</v>
      </c>
      <c r="BY14" s="11" t="n">
        <f aca="false">IF(BY$1&lt;Units!$P13,0,IF(AND(Units!$K13=0,BY$1=Units!$O13),Units!$R13,IF(AND(BY$1&gt;=Units!$Q13,MOD(BY$1-Units!$Q13,12)=0),IF(AND(Units!$L13=1,BY$1=Units!$Q13),IF(Units!$J13&lt;&gt;"",Units!$J13,Mkt!BY14),Inputs!$B$15*Mkt!BY14+(1-Inputs!$B$15)*MIN(Mkt!BY14,BX14*(1+Inputs!$B$18))),BX14)))</f>
        <v>1767.8929633075</v>
      </c>
      <c r="BZ14" s="11" t="n">
        <f aca="false">IF(BZ$1&lt;Units!$P13,0,IF(AND(Units!$K13=0,BZ$1=Units!$O13),Units!$R13,IF(AND(BZ$1&gt;=Units!$Q13,MOD(BZ$1-Units!$Q13,12)=0),IF(AND(Units!$L13=1,BZ$1=Units!$Q13),IF(Units!$J13&lt;&gt;"",Units!$J13,Mkt!BZ14),Inputs!$B$15*Mkt!BZ14+(1-Inputs!$B$15)*MIN(Mkt!BZ14,BY14*(1+Inputs!$B$18))),BY14)))</f>
        <v>1820.92975220673</v>
      </c>
      <c r="CA14" s="11" t="n">
        <f aca="false">IF(CA$1&lt;Units!$P13,0,IF(AND(Units!$K13=0,CA$1=Units!$O13),Units!$R13,IF(AND(CA$1&gt;=Units!$Q13,MOD(CA$1-Units!$Q13,12)=0),IF(AND(Units!$L13=1,CA$1=Units!$Q13),IF(Units!$J13&lt;&gt;"",Units!$J13,Mkt!CA14),Inputs!$B$15*Mkt!CA14+(1-Inputs!$B$15)*MIN(Mkt!CA14,BZ14*(1+Inputs!$B$18))),BZ14)))</f>
        <v>1820.92975220673</v>
      </c>
      <c r="CB14" s="11" t="n">
        <f aca="false">IF(CB$1&lt;Units!$P13,0,IF(AND(Units!$K13=0,CB$1=Units!$O13),Units!$R13,IF(AND(CB$1&gt;=Units!$Q13,MOD(CB$1-Units!$Q13,12)=0),IF(AND(Units!$L13=1,CB$1=Units!$Q13),IF(Units!$J13&lt;&gt;"",Units!$J13,Mkt!CB14),Inputs!$B$15*Mkt!CB14+(1-Inputs!$B$15)*MIN(Mkt!CB14,CA14*(1+Inputs!$B$18))),CA14)))</f>
        <v>1820.92975220673</v>
      </c>
      <c r="CC14" s="11" t="n">
        <f aca="false">IF(CC$1&lt;Units!$P13,0,IF(AND(Units!$K13=0,CC$1=Units!$O13),Units!$R13,IF(AND(CC$1&gt;=Units!$Q13,MOD(CC$1-Units!$Q13,12)=0),IF(AND(Units!$L13=1,CC$1=Units!$Q13),IF(Units!$J13&lt;&gt;"",Units!$J13,Mkt!CC14),Inputs!$B$15*Mkt!CC14+(1-Inputs!$B$15)*MIN(Mkt!CC14,CB14*(1+Inputs!$B$18))),CB14)))</f>
        <v>1820.92975220673</v>
      </c>
      <c r="CD14" s="11" t="n">
        <f aca="false">IF(CD$1&lt;Units!$P13,0,IF(AND(Units!$K13=0,CD$1=Units!$O13),Units!$R13,IF(AND(CD$1&gt;=Units!$Q13,MOD(CD$1-Units!$Q13,12)=0),IF(AND(Units!$L13=1,CD$1=Units!$Q13),IF(Units!$J13&lt;&gt;"",Units!$J13,Mkt!CD14),Inputs!$B$15*Mkt!CD14+(1-Inputs!$B$15)*MIN(Mkt!CD14,CC14*(1+Inputs!$B$18))),CC14)))</f>
        <v>1820.92975220673</v>
      </c>
      <c r="CE14" s="11" t="n">
        <f aca="false">IF(CE$1&lt;Units!$P13,0,IF(AND(Units!$K13=0,CE$1=Units!$O13),Units!$R13,IF(AND(CE$1&gt;=Units!$Q13,MOD(CE$1-Units!$Q13,12)=0),IF(AND(Units!$L13=1,CE$1=Units!$Q13),IF(Units!$J13&lt;&gt;"",Units!$J13,Mkt!CE14),Inputs!$B$15*Mkt!CE14+(1-Inputs!$B$15)*MIN(Mkt!CE14,CD14*(1+Inputs!$B$18))),CD14)))</f>
        <v>1820.92975220673</v>
      </c>
      <c r="CF14" s="11" t="n">
        <f aca="false">IF(CF$1&lt;Units!$P13,0,IF(AND(Units!$K13=0,CF$1=Units!$O13),Units!$R13,IF(AND(CF$1&gt;=Units!$Q13,MOD(CF$1-Units!$Q13,12)=0),IF(AND(Units!$L13=1,CF$1=Units!$Q13),IF(Units!$J13&lt;&gt;"",Units!$J13,Mkt!CF14),Inputs!$B$15*Mkt!CF14+(1-Inputs!$B$15)*MIN(Mkt!CF14,CE14*(1+Inputs!$B$18))),CE14)))</f>
        <v>1820.92975220673</v>
      </c>
      <c r="CG14" s="11" t="n">
        <f aca="false">IF(CG$1&lt;Units!$P13,0,IF(AND(Units!$K13=0,CG$1=Units!$O13),Units!$R13,IF(AND(CG$1&gt;=Units!$Q13,MOD(CG$1-Units!$Q13,12)=0),IF(AND(Units!$L13=1,CG$1=Units!$Q13),IF(Units!$J13&lt;&gt;"",Units!$J13,Mkt!CG14),Inputs!$B$15*Mkt!CG14+(1-Inputs!$B$15)*MIN(Mkt!CG14,CF14*(1+Inputs!$B$18))),CF14)))</f>
        <v>1820.92975220673</v>
      </c>
      <c r="CH14" s="11" t="n">
        <f aca="false">IF(CH$1&lt;Units!$P13,0,IF(AND(Units!$K13=0,CH$1=Units!$O13),Units!$R13,IF(AND(CH$1&gt;=Units!$Q13,MOD(CH$1-Units!$Q13,12)=0),IF(AND(Units!$L13=1,CH$1=Units!$Q13),IF(Units!$J13&lt;&gt;"",Units!$J13,Mkt!CH14),Inputs!$B$15*Mkt!CH14+(1-Inputs!$B$15)*MIN(Mkt!CH14,CG14*(1+Inputs!$B$18))),CG14)))</f>
        <v>1820.92975220673</v>
      </c>
      <c r="CI14" s="11" t="n">
        <f aca="false">IF(CI$1&lt;Units!$P13,0,IF(AND(Units!$K13=0,CI$1=Units!$O13),Units!$R13,IF(AND(CI$1&gt;=Units!$Q13,MOD(CI$1-Units!$Q13,12)=0),IF(AND(Units!$L13=1,CI$1=Units!$Q13),IF(Units!$J13&lt;&gt;"",Units!$J13,Mkt!CI14),Inputs!$B$15*Mkt!CI14+(1-Inputs!$B$15)*MIN(Mkt!CI14,CH14*(1+Inputs!$B$18))),CH14)))</f>
        <v>1820.92975220673</v>
      </c>
      <c r="CJ14" s="11" t="n">
        <f aca="false">IF(CJ$1&lt;Units!$P13,0,IF(AND(Units!$K13=0,CJ$1=Units!$O13),Units!$R13,IF(AND(CJ$1&gt;=Units!$Q13,MOD(CJ$1-Units!$Q13,12)=0),IF(AND(Units!$L13=1,CJ$1=Units!$Q13),IF(Units!$J13&lt;&gt;"",Units!$J13,Mkt!CJ14),Inputs!$B$15*Mkt!CJ14+(1-Inputs!$B$15)*MIN(Mkt!CJ14,CI14*(1+Inputs!$B$18))),CI14)))</f>
        <v>1820.92975220673</v>
      </c>
      <c r="CK14" s="11" t="n">
        <f aca="false">IF(CK$1&lt;Units!$P13,0,IF(AND(Units!$K13=0,CK$1=Units!$O13),Units!$R13,IF(AND(CK$1&gt;=Units!$Q13,MOD(CK$1-Units!$Q13,12)=0),IF(AND(Units!$L13=1,CK$1=Units!$Q13),IF(Units!$J13&lt;&gt;"",Units!$J13,Mkt!CK14),Inputs!$B$15*Mkt!CK14+(1-Inputs!$B$15)*MIN(Mkt!CK14,CJ14*(1+Inputs!$B$18))),CJ14)))</f>
        <v>1820.92975220673</v>
      </c>
      <c r="CL14" s="11" t="n">
        <f aca="false">IF(CL$1&lt;Units!$P13,0,IF(AND(Units!$K13=0,CL$1=Units!$O13),Units!$R13,IF(AND(CL$1&gt;=Units!$Q13,MOD(CL$1-Units!$Q13,12)=0),IF(AND(Units!$L13=1,CL$1=Units!$Q13),IF(Units!$J13&lt;&gt;"",Units!$J13,Mkt!CL14),Inputs!$B$15*Mkt!CL14+(1-Inputs!$B$15)*MIN(Mkt!CL14,CK14*(1+Inputs!$B$18))),CK14)))</f>
        <v>1875.55764477293</v>
      </c>
      <c r="CM14" s="11" t="n">
        <f aca="false">IF(CM$1&lt;Units!$P13,0,IF(AND(Units!$K13=0,CM$1=Units!$O13),Units!$R13,IF(AND(CM$1&gt;=Units!$Q13,MOD(CM$1-Units!$Q13,12)=0),IF(AND(Units!$L13=1,CM$1=Units!$Q13),IF(Units!$J13&lt;&gt;"",Units!$J13,Mkt!CM14),Inputs!$B$15*Mkt!CM14+(1-Inputs!$B$15)*MIN(Mkt!CM14,CL14*(1+Inputs!$B$18))),CL14)))</f>
        <v>1875.55764477293</v>
      </c>
      <c r="CN14" s="11" t="n">
        <f aca="false">IF(CN$1&lt;Units!$P13,0,IF(AND(Units!$K13=0,CN$1=Units!$O13),Units!$R13,IF(AND(CN$1&gt;=Units!$Q13,MOD(CN$1-Units!$Q13,12)=0),IF(AND(Units!$L13=1,CN$1=Units!$Q13),IF(Units!$J13&lt;&gt;"",Units!$J13,Mkt!CN14),Inputs!$B$15*Mkt!CN14+(1-Inputs!$B$15)*MIN(Mkt!CN14,CM14*(1+Inputs!$B$18))),CM14)))</f>
        <v>1875.55764477293</v>
      </c>
      <c r="CO14" s="11" t="n">
        <f aca="false">IF(CO$1&lt;Units!$P13,0,IF(AND(Units!$K13=0,CO$1=Units!$O13),Units!$R13,IF(AND(CO$1&gt;=Units!$Q13,MOD(CO$1-Units!$Q13,12)=0),IF(AND(Units!$L13=1,CO$1=Units!$Q13),IF(Units!$J13&lt;&gt;"",Units!$J13,Mkt!CO14),Inputs!$B$15*Mkt!CO14+(1-Inputs!$B$15)*MIN(Mkt!CO14,CN14*(1+Inputs!$B$18))),CN14)))</f>
        <v>1875.55764477293</v>
      </c>
      <c r="CP14" s="11" t="n">
        <f aca="false">IF(CP$1&lt;Units!$P13,0,IF(AND(Units!$K13=0,CP$1=Units!$O13),Units!$R13,IF(AND(CP$1&gt;=Units!$Q13,MOD(CP$1-Units!$Q13,12)=0),IF(AND(Units!$L13=1,CP$1=Units!$Q13),IF(Units!$J13&lt;&gt;"",Units!$J13,Mkt!CP14),Inputs!$B$15*Mkt!CP14+(1-Inputs!$B$15)*MIN(Mkt!CP14,CO14*(1+Inputs!$B$18))),CO14)))</f>
        <v>1875.55764477293</v>
      </c>
      <c r="CQ14" s="11" t="n">
        <f aca="false">IF(CQ$1&lt;Units!$P13,0,IF(AND(Units!$K13=0,CQ$1=Units!$O13),Units!$R13,IF(AND(CQ$1&gt;=Units!$Q13,MOD(CQ$1-Units!$Q13,12)=0),IF(AND(Units!$L13=1,CQ$1=Units!$Q13),IF(Units!$J13&lt;&gt;"",Units!$J13,Mkt!CQ14),Inputs!$B$15*Mkt!CQ14+(1-Inputs!$B$15)*MIN(Mkt!CQ14,CP14*(1+Inputs!$B$18))),CP14)))</f>
        <v>1875.55764477293</v>
      </c>
      <c r="CR14" s="11" t="n">
        <f aca="false">IF(CR$1&lt;Units!$P13,0,IF(AND(Units!$K13=0,CR$1=Units!$O13),Units!$R13,IF(AND(CR$1&gt;=Units!$Q13,MOD(CR$1-Units!$Q13,12)=0),IF(AND(Units!$L13=1,CR$1=Units!$Q13),IF(Units!$J13&lt;&gt;"",Units!$J13,Mkt!CR14),Inputs!$B$15*Mkt!CR14+(1-Inputs!$B$15)*MIN(Mkt!CR14,CQ14*(1+Inputs!$B$18))),CQ14)))</f>
        <v>1875.55764477293</v>
      </c>
      <c r="CS14" s="11" t="n">
        <f aca="false">IF(CS$1&lt;Units!$P13,0,IF(AND(Units!$K13=0,CS$1=Units!$O13),Units!$R13,IF(AND(CS$1&gt;=Units!$Q13,MOD(CS$1-Units!$Q13,12)=0),IF(AND(Units!$L13=1,CS$1=Units!$Q13),IF(Units!$J13&lt;&gt;"",Units!$J13,Mkt!CS14),Inputs!$B$15*Mkt!CS14+(1-Inputs!$B$15)*MIN(Mkt!CS14,CR14*(1+Inputs!$B$18))),CR14)))</f>
        <v>1875.55764477293</v>
      </c>
      <c r="CT14" s="11" t="n">
        <f aca="false">IF(CT$1&lt;Units!$P13,0,IF(AND(Units!$K13=0,CT$1=Units!$O13),Units!$R13,IF(AND(CT$1&gt;=Units!$Q13,MOD(CT$1-Units!$Q13,12)=0),IF(AND(Units!$L13=1,CT$1=Units!$Q13),IF(Units!$J13&lt;&gt;"",Units!$J13,Mkt!CT14),Inputs!$B$15*Mkt!CT14+(1-Inputs!$B$15)*MIN(Mkt!CT14,CS14*(1+Inputs!$B$18))),CS14)))</f>
        <v>1875.55764477293</v>
      </c>
      <c r="CU14" s="11" t="n">
        <f aca="false">IF(CU$1&lt;Units!$P13,0,IF(AND(Units!$K13=0,CU$1=Units!$O13),Units!$R13,IF(AND(CU$1&gt;=Units!$Q13,MOD(CU$1-Units!$Q13,12)=0),IF(AND(Units!$L13=1,CU$1=Units!$Q13),IF(Units!$J13&lt;&gt;"",Units!$J13,Mkt!CU14),Inputs!$B$15*Mkt!CU14+(1-Inputs!$B$15)*MIN(Mkt!CU14,CT14*(1+Inputs!$B$18))),CT14)))</f>
        <v>1875.55764477293</v>
      </c>
      <c r="CV14" s="11" t="n">
        <f aca="false">IF(CV$1&lt;Units!$P13,0,IF(AND(Units!$K13=0,CV$1=Units!$O13),Units!$R13,IF(AND(CV$1&gt;=Units!$Q13,MOD(CV$1-Units!$Q13,12)=0),IF(AND(Units!$L13=1,CV$1=Units!$Q13),IF(Units!$J13&lt;&gt;"",Units!$J13,Mkt!CV14),Inputs!$B$15*Mkt!CV14+(1-Inputs!$B$15)*MIN(Mkt!CV14,CU14*(1+Inputs!$B$18))),CU14)))</f>
        <v>1875.55764477293</v>
      </c>
      <c r="CW14" s="11" t="n">
        <f aca="false">IF(CW$1&lt;Units!$P13,0,IF(AND(Units!$K13=0,CW$1=Units!$O13),Units!$R13,IF(AND(CW$1&gt;=Units!$Q13,MOD(CW$1-Units!$Q13,12)=0),IF(AND(Units!$L13=1,CW$1=Units!$Q13),IF(Units!$J13&lt;&gt;"",Units!$J13,Mkt!CW14),Inputs!$B$15*Mkt!CW14+(1-Inputs!$B$15)*MIN(Mkt!CW14,CV14*(1+Inputs!$B$18))),CV14)))</f>
        <v>1875.55764477293</v>
      </c>
      <c r="CX14" s="11" t="n">
        <f aca="false">IF(CX$1&lt;Units!$P13,0,IF(AND(Units!$K13=0,CX$1=Units!$O13),Units!$R13,IF(AND(CX$1&gt;=Units!$Q13,MOD(CX$1-Units!$Q13,12)=0),IF(AND(Units!$L13=1,CX$1=Units!$Q13),IF(Units!$J13&lt;&gt;"",Units!$J13,Mkt!CX14),Inputs!$B$15*Mkt!CX14+(1-Inputs!$B$15)*MIN(Mkt!CX14,CW14*(1+Inputs!$B$18))),CW14)))</f>
        <v>1931.82437411612</v>
      </c>
      <c r="CY14" s="11" t="n">
        <f aca="false">IF(CY$1&lt;Units!$P13,0,IF(AND(Units!$K13=0,CY$1=Units!$O13),Units!$R13,IF(AND(CY$1&gt;=Units!$Q13,MOD(CY$1-Units!$Q13,12)=0),IF(AND(Units!$L13=1,CY$1=Units!$Q13),IF(Units!$J13&lt;&gt;"",Units!$J13,Mkt!CY14),Inputs!$B$15*Mkt!CY14+(1-Inputs!$B$15)*MIN(Mkt!CY14,CX14*(1+Inputs!$B$18))),CX14)))</f>
        <v>1931.82437411612</v>
      </c>
      <c r="CZ14" s="11" t="n">
        <f aca="false">IF(CZ$1&lt;Units!$P13,0,IF(AND(Units!$K13=0,CZ$1=Units!$O13),Units!$R13,IF(AND(CZ$1&gt;=Units!$Q13,MOD(CZ$1-Units!$Q13,12)=0),IF(AND(Units!$L13=1,CZ$1=Units!$Q13),IF(Units!$J13&lt;&gt;"",Units!$J13,Mkt!CZ14),Inputs!$B$15*Mkt!CZ14+(1-Inputs!$B$15)*MIN(Mkt!CZ14,CY14*(1+Inputs!$B$18))),CY14)))</f>
        <v>1931.82437411612</v>
      </c>
      <c r="DA14" s="11" t="n">
        <f aca="false">IF(DA$1&lt;Units!$P13,0,IF(AND(Units!$K13=0,DA$1=Units!$O13),Units!$R13,IF(AND(DA$1&gt;=Units!$Q13,MOD(DA$1-Units!$Q13,12)=0),IF(AND(Units!$L13=1,DA$1=Units!$Q13),IF(Units!$J13&lt;&gt;"",Units!$J13,Mkt!DA14),Inputs!$B$15*Mkt!DA14+(1-Inputs!$B$15)*MIN(Mkt!DA14,CZ14*(1+Inputs!$B$18))),CZ14)))</f>
        <v>1931.82437411612</v>
      </c>
      <c r="DB14" s="11" t="n">
        <f aca="false">IF(DB$1&lt;Units!$P13,0,IF(AND(Units!$K13=0,DB$1=Units!$O13),Units!$R13,IF(AND(DB$1&gt;=Units!$Q13,MOD(DB$1-Units!$Q13,12)=0),IF(AND(Units!$L13=1,DB$1=Units!$Q13),IF(Units!$J13&lt;&gt;"",Units!$J13,Mkt!DB14),Inputs!$B$15*Mkt!DB14+(1-Inputs!$B$15)*MIN(Mkt!DB14,DA14*(1+Inputs!$B$18))),DA14)))</f>
        <v>1931.82437411612</v>
      </c>
      <c r="DC14" s="11" t="n">
        <f aca="false">IF(DC$1&lt;Units!$P13,0,IF(AND(Units!$K13=0,DC$1=Units!$O13),Units!$R13,IF(AND(DC$1&gt;=Units!$Q13,MOD(DC$1-Units!$Q13,12)=0),IF(AND(Units!$L13=1,DC$1=Units!$Q13),IF(Units!$J13&lt;&gt;"",Units!$J13,Mkt!DC14),Inputs!$B$15*Mkt!DC14+(1-Inputs!$B$15)*MIN(Mkt!DC14,DB14*(1+Inputs!$B$18))),DB14)))</f>
        <v>1931.82437411612</v>
      </c>
      <c r="DD14" s="11" t="n">
        <f aca="false">IF(DD$1&lt;Units!$P13,0,IF(AND(Units!$K13=0,DD$1=Units!$O13),Units!$R13,IF(AND(DD$1&gt;=Units!$Q13,MOD(DD$1-Units!$Q13,12)=0),IF(AND(Units!$L13=1,DD$1=Units!$Q13),IF(Units!$J13&lt;&gt;"",Units!$J13,Mkt!DD14),Inputs!$B$15*Mkt!DD14+(1-Inputs!$B$15)*MIN(Mkt!DD14,DC14*(1+Inputs!$B$18))),DC14)))</f>
        <v>1931.82437411612</v>
      </c>
      <c r="DE14" s="11" t="n">
        <f aca="false">IF(DE$1&lt;Units!$P13,0,IF(AND(Units!$K13=0,DE$1=Units!$O13),Units!$R13,IF(AND(DE$1&gt;=Units!$Q13,MOD(DE$1-Units!$Q13,12)=0),IF(AND(Units!$L13=1,DE$1=Units!$Q13),IF(Units!$J13&lt;&gt;"",Units!$J13,Mkt!DE14),Inputs!$B$15*Mkt!DE14+(1-Inputs!$B$15)*MIN(Mkt!DE14,DD14*(1+Inputs!$B$18))),DD14)))</f>
        <v>1931.82437411612</v>
      </c>
      <c r="DF14" s="11" t="n">
        <f aca="false">IF(DF$1&lt;Units!$P13,0,IF(AND(Units!$K13=0,DF$1=Units!$O13),Units!$R13,IF(AND(DF$1&gt;=Units!$Q13,MOD(DF$1-Units!$Q13,12)=0),IF(AND(Units!$L13=1,DF$1=Units!$Q13),IF(Units!$J13&lt;&gt;"",Units!$J13,Mkt!DF14),Inputs!$B$15*Mkt!DF14+(1-Inputs!$B$15)*MIN(Mkt!DF14,DE14*(1+Inputs!$B$18))),DE14)))</f>
        <v>1931.82437411612</v>
      </c>
      <c r="DG14" s="11" t="n">
        <f aca="false">IF(DG$1&lt;Units!$P13,0,IF(AND(Units!$K13=0,DG$1=Units!$O13),Units!$R13,IF(AND(DG$1&gt;=Units!$Q13,MOD(DG$1-Units!$Q13,12)=0),IF(AND(Units!$L13=1,DG$1=Units!$Q13),IF(Units!$J13&lt;&gt;"",Units!$J13,Mkt!DG14),Inputs!$B$15*Mkt!DG14+(1-Inputs!$B$15)*MIN(Mkt!DG14,DF14*(1+Inputs!$B$18))),DF14)))</f>
        <v>1931.82437411612</v>
      </c>
      <c r="DH14" s="11" t="n">
        <f aca="false">IF(DH$1&lt;Units!$P13,0,IF(AND(Units!$K13=0,DH$1=Units!$O13),Units!$R13,IF(AND(DH$1&gt;=Units!$Q13,MOD(DH$1-Units!$Q13,12)=0),IF(AND(Units!$L13=1,DH$1=Units!$Q13),IF(Units!$J13&lt;&gt;"",Units!$J13,Mkt!DH14),Inputs!$B$15*Mkt!DH14+(1-Inputs!$B$15)*MIN(Mkt!DH14,DG14*(1+Inputs!$B$18))),DG14)))</f>
        <v>1931.82437411612</v>
      </c>
      <c r="DI14" s="11" t="n">
        <f aca="false">IF(DI$1&lt;Units!$P13,0,IF(AND(Units!$K13=0,DI$1=Units!$O13),Units!$R13,IF(AND(DI$1&gt;=Units!$Q13,MOD(DI$1-Units!$Q13,12)=0),IF(AND(Units!$L13=1,DI$1=Units!$Q13),IF(Units!$J13&lt;&gt;"",Units!$J13,Mkt!DI14),Inputs!$B$15*Mkt!DI14+(1-Inputs!$B$15)*MIN(Mkt!DI14,DH14*(1+Inputs!$B$18))),DH14)))</f>
        <v>1931.82437411612</v>
      </c>
      <c r="DJ14" s="11" t="n">
        <f aca="false">IF(DJ$1&lt;Units!$P13,0,IF(AND(Units!$K13=0,DJ$1=Units!$O13),Units!$R13,IF(AND(DJ$1&gt;=Units!$Q13,MOD(DJ$1-Units!$Q13,12)=0),IF(AND(Units!$L13=1,DJ$1=Units!$Q13),IF(Units!$J13&lt;&gt;"",Units!$J13,Mkt!DJ14),Inputs!$B$15*Mkt!DJ14+(1-Inputs!$B$15)*MIN(Mkt!DJ14,DI14*(1+Inputs!$B$18))),DI14)))</f>
        <v>1989.7791053396</v>
      </c>
      <c r="DK14" s="11" t="n">
        <f aca="false">IF(DK$1&lt;Units!$P13,0,IF(AND(Units!$K13=0,DK$1=Units!$O13),Units!$R13,IF(AND(DK$1&gt;=Units!$Q13,MOD(DK$1-Units!$Q13,12)=0),IF(AND(Units!$L13=1,DK$1=Units!$Q13),IF(Units!$J13&lt;&gt;"",Units!$J13,Mkt!DK14),Inputs!$B$15*Mkt!DK14+(1-Inputs!$B$15)*MIN(Mkt!DK14,DJ14*(1+Inputs!$B$18))),DJ14)))</f>
        <v>1989.7791053396</v>
      </c>
      <c r="DL14" s="11" t="n">
        <f aca="false">IF(DL$1&lt;Units!$P13,0,IF(AND(Units!$K13=0,DL$1=Units!$O13),Units!$R13,IF(AND(DL$1&gt;=Units!$Q13,MOD(DL$1-Units!$Q13,12)=0),IF(AND(Units!$L13=1,DL$1=Units!$Q13),IF(Units!$J13&lt;&gt;"",Units!$J13,Mkt!DL14),Inputs!$B$15*Mkt!DL14+(1-Inputs!$B$15)*MIN(Mkt!DL14,DK14*(1+Inputs!$B$18))),DK14)))</f>
        <v>1989.7791053396</v>
      </c>
      <c r="DM14" s="11" t="n">
        <f aca="false">IF(DM$1&lt;Units!$P13,0,IF(AND(Units!$K13=0,DM$1=Units!$O13),Units!$R13,IF(AND(DM$1&gt;=Units!$Q13,MOD(DM$1-Units!$Q13,12)=0),IF(AND(Units!$L13=1,DM$1=Units!$Q13),IF(Units!$J13&lt;&gt;"",Units!$J13,Mkt!DM14),Inputs!$B$15*Mkt!DM14+(1-Inputs!$B$15)*MIN(Mkt!DM14,DL14*(1+Inputs!$B$18))),DL14)))</f>
        <v>1989.7791053396</v>
      </c>
      <c r="DN14" s="11" t="n">
        <f aca="false">IF(DN$1&lt;Units!$P13,0,IF(AND(Units!$K13=0,DN$1=Units!$O13),Units!$R13,IF(AND(DN$1&gt;=Units!$Q13,MOD(DN$1-Units!$Q13,12)=0),IF(AND(Units!$L13=1,DN$1=Units!$Q13),IF(Units!$J13&lt;&gt;"",Units!$J13,Mkt!DN14),Inputs!$B$15*Mkt!DN14+(1-Inputs!$B$15)*MIN(Mkt!DN14,DM14*(1+Inputs!$B$18))),DM14)))</f>
        <v>1989.7791053396</v>
      </c>
      <c r="DO14" s="11" t="n">
        <f aca="false">IF(DO$1&lt;Units!$P13,0,IF(AND(Units!$K13=0,DO$1=Units!$O13),Units!$R13,IF(AND(DO$1&gt;=Units!$Q13,MOD(DO$1-Units!$Q13,12)=0),IF(AND(Units!$L13=1,DO$1=Units!$Q13),IF(Units!$J13&lt;&gt;"",Units!$J13,Mkt!DO14),Inputs!$B$15*Mkt!DO14+(1-Inputs!$B$15)*MIN(Mkt!DO14,DN14*(1+Inputs!$B$18))),DN14)))</f>
        <v>1989.7791053396</v>
      </c>
      <c r="DP14" s="11" t="n">
        <f aca="false">IF(DP$1&lt;Units!$P13,0,IF(AND(Units!$K13=0,DP$1=Units!$O13),Units!$R13,IF(AND(DP$1&gt;=Units!$Q13,MOD(DP$1-Units!$Q13,12)=0),IF(AND(Units!$L13=1,DP$1=Units!$Q13),IF(Units!$J13&lt;&gt;"",Units!$J13,Mkt!DP14),Inputs!$B$15*Mkt!DP14+(1-Inputs!$B$15)*MIN(Mkt!DP14,DO14*(1+Inputs!$B$18))),DO14)))</f>
        <v>1989.7791053396</v>
      </c>
      <c r="DQ14" s="11" t="n">
        <f aca="false">IF(DQ$1&lt;Units!$P13,0,IF(AND(Units!$K13=0,DQ$1=Units!$O13),Units!$R13,IF(AND(DQ$1&gt;=Units!$Q13,MOD(DQ$1-Units!$Q13,12)=0),IF(AND(Units!$L13=1,DQ$1=Units!$Q13),IF(Units!$J13&lt;&gt;"",Units!$J13,Mkt!DQ14),Inputs!$B$15*Mkt!DQ14+(1-Inputs!$B$15)*MIN(Mkt!DQ14,DP14*(1+Inputs!$B$18))),DP14)))</f>
        <v>1989.7791053396</v>
      </c>
      <c r="DR14" s="11" t="n">
        <f aca="false">IF(DR$1&lt;Units!$P13,0,IF(AND(Units!$K13=0,DR$1=Units!$O13),Units!$R13,IF(AND(DR$1&gt;=Units!$Q13,MOD(DR$1-Units!$Q13,12)=0),IF(AND(Units!$L13=1,DR$1=Units!$Q13),IF(Units!$J13&lt;&gt;"",Units!$J13,Mkt!DR14),Inputs!$B$15*Mkt!DR14+(1-Inputs!$B$15)*MIN(Mkt!DR14,DQ14*(1+Inputs!$B$18))),DQ14)))</f>
        <v>1989.7791053396</v>
      </c>
      <c r="DS14" s="11" t="n">
        <f aca="false">IF(DS$1&lt;Units!$P13,0,IF(AND(Units!$K13=0,DS$1=Units!$O13),Units!$R13,IF(AND(DS$1&gt;=Units!$Q13,MOD(DS$1-Units!$Q13,12)=0),IF(AND(Units!$L13=1,DS$1=Units!$Q13),IF(Units!$J13&lt;&gt;"",Units!$J13,Mkt!DS14),Inputs!$B$15*Mkt!DS14+(1-Inputs!$B$15)*MIN(Mkt!DS14,DR14*(1+Inputs!$B$18))),DR14)))</f>
        <v>1989.7791053396</v>
      </c>
      <c r="DT14" s="11" t="n">
        <f aca="false">IF(DT$1&lt;Units!$P13,0,IF(AND(Units!$K13=0,DT$1=Units!$O13),Units!$R13,IF(AND(DT$1&gt;=Units!$Q13,MOD(DT$1-Units!$Q13,12)=0),IF(AND(Units!$L13=1,DT$1=Units!$Q13),IF(Units!$J13&lt;&gt;"",Units!$J13,Mkt!DT14),Inputs!$B$15*Mkt!DT14+(1-Inputs!$B$15)*MIN(Mkt!DT14,DS14*(1+Inputs!$B$18))),DS14)))</f>
        <v>1989.7791053396</v>
      </c>
      <c r="DU14" s="11" t="n">
        <f aca="false">IF(DU$1&lt;Units!$P13,0,IF(AND(Units!$K13=0,DU$1=Units!$O13),Units!$R13,IF(AND(DU$1&gt;=Units!$Q13,MOD(DU$1-Units!$Q13,12)=0),IF(AND(Units!$L13=1,DU$1=Units!$Q13),IF(Units!$J13&lt;&gt;"",Units!$J13,Mkt!DU14),Inputs!$B$15*Mkt!DU14+(1-Inputs!$B$15)*MIN(Mkt!DU14,DT14*(1+Inputs!$B$18))),DT14)))</f>
        <v>1989.7791053396</v>
      </c>
      <c r="DV14" s="11" t="n">
        <f aca="false">IF(DV$1&lt;Units!$P13,0,IF(AND(Units!$K13=0,DV$1=Units!$O13),Units!$R13,IF(AND(DV$1&gt;=Units!$Q13,MOD(DV$1-Units!$Q13,12)=0),IF(AND(Units!$L13=1,DV$1=Units!$Q13),IF(Units!$J13&lt;&gt;"",Units!$J13,Mkt!DV14),Inputs!$B$15*Mkt!DV14+(1-Inputs!$B$15)*MIN(Mkt!DV14,DU14*(1+Inputs!$B$18))),DU14)))</f>
        <v>2049.47247849979</v>
      </c>
      <c r="DW14" s="11" t="n">
        <f aca="false">IF(DW$1&lt;Units!$P13,0,IF(AND(Units!$K13=0,DW$1=Units!$O13),Units!$R13,IF(AND(DW$1&gt;=Units!$Q13,MOD(DW$1-Units!$Q13,12)=0),IF(AND(Units!$L13=1,DW$1=Units!$Q13),IF(Units!$J13&lt;&gt;"",Units!$J13,Mkt!DW14),Inputs!$B$15*Mkt!DW14+(1-Inputs!$B$15)*MIN(Mkt!DW14,DV14*(1+Inputs!$B$18))),DV14)))</f>
        <v>2049.47247849979</v>
      </c>
      <c r="DX14" s="11" t="n">
        <f aca="false">IF(DX$1&lt;Units!$P13,0,IF(AND(Units!$K13=0,DX$1=Units!$O13),Units!$R13,IF(AND(DX$1&gt;=Units!$Q13,MOD(DX$1-Units!$Q13,12)=0),IF(AND(Units!$L13=1,DX$1=Units!$Q13),IF(Units!$J13&lt;&gt;"",Units!$J13,Mkt!DX14),Inputs!$B$15*Mkt!DX14+(1-Inputs!$B$15)*MIN(Mkt!DX14,DW14*(1+Inputs!$B$18))),DW14)))</f>
        <v>2049.47247849979</v>
      </c>
      <c r="DY14" s="11" t="n">
        <f aca="false">IF(DY$1&lt;Units!$P13,0,IF(AND(Units!$K13=0,DY$1=Units!$O13),Units!$R13,IF(AND(DY$1&gt;=Units!$Q13,MOD(DY$1-Units!$Q13,12)=0),IF(AND(Units!$L13=1,DY$1=Units!$Q13),IF(Units!$J13&lt;&gt;"",Units!$J13,Mkt!DY14),Inputs!$B$15*Mkt!DY14+(1-Inputs!$B$15)*MIN(Mkt!DY14,DX14*(1+Inputs!$B$18))),DX14)))</f>
        <v>2049.47247849979</v>
      </c>
      <c r="DZ14" s="11" t="n">
        <f aca="false">IF(DZ$1&lt;Units!$P13,0,IF(AND(Units!$K13=0,DZ$1=Units!$O13),Units!$R13,IF(AND(DZ$1&gt;=Units!$Q13,MOD(DZ$1-Units!$Q13,12)=0),IF(AND(Units!$L13=1,DZ$1=Units!$Q13),IF(Units!$J13&lt;&gt;"",Units!$J13,Mkt!DZ14),Inputs!$B$15*Mkt!DZ14+(1-Inputs!$B$15)*MIN(Mkt!DZ14,DY14*(1+Inputs!$B$18))),DY14)))</f>
        <v>2049.47247849979</v>
      </c>
      <c r="EA14" s="11" t="n">
        <f aca="false">IF(EA$1&lt;Units!$P13,0,IF(AND(Units!$K13=0,EA$1=Units!$O13),Units!$R13,IF(AND(EA$1&gt;=Units!$Q13,MOD(EA$1-Units!$Q13,12)=0),IF(AND(Units!$L13=1,EA$1=Units!$Q13),IF(Units!$J13&lt;&gt;"",Units!$J13,Mkt!EA14),Inputs!$B$15*Mkt!EA14+(1-Inputs!$B$15)*MIN(Mkt!EA14,DZ14*(1+Inputs!$B$18))),DZ14)))</f>
        <v>2049.47247849979</v>
      </c>
      <c r="EB14" s="11" t="n">
        <f aca="false">IF(EB$1&lt;Units!$P13,0,IF(AND(Units!$K13=0,EB$1=Units!$O13),Units!$R13,IF(AND(EB$1&gt;=Units!$Q13,MOD(EB$1-Units!$Q13,12)=0),IF(AND(Units!$L13=1,EB$1=Units!$Q13),IF(Units!$J13&lt;&gt;"",Units!$J13,Mkt!EB14),Inputs!$B$15*Mkt!EB14+(1-Inputs!$B$15)*MIN(Mkt!EB14,EA14*(1+Inputs!$B$18))),EA14)))</f>
        <v>2049.47247849979</v>
      </c>
      <c r="EC14" s="11" t="n">
        <f aca="false">IF(EC$1&lt;Units!$P13,0,IF(AND(Units!$K13=0,EC$1=Units!$O13),Units!$R13,IF(AND(EC$1&gt;=Units!$Q13,MOD(EC$1-Units!$Q13,12)=0),IF(AND(Units!$L13=1,EC$1=Units!$Q13),IF(Units!$J13&lt;&gt;"",Units!$J13,Mkt!EC14),Inputs!$B$15*Mkt!EC14+(1-Inputs!$B$15)*MIN(Mkt!EC14,EB14*(1+Inputs!$B$18))),EB14)))</f>
        <v>2049.47247849979</v>
      </c>
      <c r="ED14" s="11" t="n">
        <f aca="false">IF(ED$1&lt;Units!$P13,0,IF(AND(Units!$K13=0,ED$1=Units!$O13),Units!$R13,IF(AND(ED$1&gt;=Units!$Q13,MOD(ED$1-Units!$Q13,12)=0),IF(AND(Units!$L13=1,ED$1=Units!$Q13),IF(Units!$J13&lt;&gt;"",Units!$J13,Mkt!ED14),Inputs!$B$15*Mkt!ED14+(1-Inputs!$B$15)*MIN(Mkt!ED14,EC14*(1+Inputs!$B$18))),EC14)))</f>
        <v>2049.47247849979</v>
      </c>
    </row>
    <row r="15" customFormat="false" ht="15" hidden="false" customHeight="false" outlineLevel="0" collapsed="false">
      <c r="A15" s="22" t="n">
        <f aca="false">Units!A14</f>
        <v>113</v>
      </c>
      <c r="B15" s="24" t="n">
        <f aca="false">IF(Units!K14=1,Units!F14,0)</f>
        <v>1320</v>
      </c>
      <c r="C15" s="11" t="n">
        <f aca="false">IF(C$1&lt;Units!$P14,0,IF(AND(Units!$K14=0,C$1=Units!$O14),Units!$R14,IF(AND(C$1&gt;=Units!$Q14,MOD(C$1-Units!$Q14,12)=0),IF(AND(Units!$L14=1,C$1=Units!$Q14),IF(Units!$J14&lt;&gt;"",Units!$J14,Mkt!C15),Inputs!$B$15*Mkt!C15+(1-Inputs!$B$15)*MIN(Mkt!C15,B15*(1+Inputs!$B$18))),B15)))</f>
        <v>1320</v>
      </c>
      <c r="D15" s="11" t="n">
        <f aca="false">IF(D$1&lt;Units!$P14,0,IF(AND(Units!$K14=0,D$1=Units!$O14),Units!$R14,IF(AND(D$1&gt;=Units!$Q14,MOD(D$1-Units!$Q14,12)=0),IF(AND(Units!$L14=1,D$1=Units!$Q14),IF(Units!$J14&lt;&gt;"",Units!$J14,Mkt!D15),Inputs!$B$15*Mkt!D15+(1-Inputs!$B$15)*MIN(Mkt!D15,C15*(1+Inputs!$B$18))),C15)))</f>
        <v>1320</v>
      </c>
      <c r="E15" s="11" t="n">
        <f aca="false">IF(E$1&lt;Units!$P14,0,IF(AND(Units!$K14=0,E$1=Units!$O14),Units!$R14,IF(AND(E$1&gt;=Units!$Q14,MOD(E$1-Units!$Q14,12)=0),IF(AND(Units!$L14=1,E$1=Units!$Q14),IF(Units!$J14&lt;&gt;"",Units!$J14,Mkt!E15),Inputs!$B$15*Mkt!E15+(1-Inputs!$B$15)*MIN(Mkt!E15,D15*(1+Inputs!$B$18))),D15)))</f>
        <v>1320</v>
      </c>
      <c r="F15" s="11" t="n">
        <f aca="false">IF(F$1&lt;Units!$P14,0,IF(AND(Units!$K14=0,F$1=Units!$O14),Units!$R14,IF(AND(F$1&gt;=Units!$Q14,MOD(F$1-Units!$Q14,12)=0),IF(AND(Units!$L14=1,F$1=Units!$Q14),IF(Units!$J14&lt;&gt;"",Units!$J14,Mkt!F15),Inputs!$B$15*Mkt!F15+(1-Inputs!$B$15)*MIN(Mkt!F15,E15*(1+Inputs!$B$18))),E15)))</f>
        <v>1320</v>
      </c>
      <c r="G15" s="11" t="n">
        <f aca="false">IF(G$1&lt;Units!$P14,0,IF(AND(Units!$K14=0,G$1=Units!$O14),Units!$R14,IF(AND(G$1&gt;=Units!$Q14,MOD(G$1-Units!$Q14,12)=0),IF(AND(Units!$L14=1,G$1=Units!$Q14),IF(Units!$J14&lt;&gt;"",Units!$J14,Mkt!G15),Inputs!$B$15*Mkt!G15+(1-Inputs!$B$15)*MIN(Mkt!G15,F15*(1+Inputs!$B$18))),F15)))</f>
        <v>1320</v>
      </c>
      <c r="H15" s="11" t="n">
        <f aca="false">IF(H$1&lt;Units!$P14,0,IF(AND(Units!$K14=0,H$1=Units!$O14),Units!$R14,IF(AND(H$1&gt;=Units!$Q14,MOD(H$1-Units!$Q14,12)=0),IF(AND(Units!$L14=1,H$1=Units!$Q14),IF(Units!$J14&lt;&gt;"",Units!$J14,Mkt!H15),Inputs!$B$15*Mkt!H15+(1-Inputs!$B$15)*MIN(Mkt!H15,G15*(1+Inputs!$B$18))),G15)))</f>
        <v>1320</v>
      </c>
      <c r="I15" s="11" t="n">
        <f aca="false">IF(I$1&lt;Units!$P14,0,IF(AND(Units!$K14=0,I$1=Units!$O14),Units!$R14,IF(AND(I$1&gt;=Units!$Q14,MOD(I$1-Units!$Q14,12)=0),IF(AND(Units!$L14=1,I$1=Units!$Q14),IF(Units!$J14&lt;&gt;"",Units!$J14,Mkt!I15),Inputs!$B$15*Mkt!I15+(1-Inputs!$B$15)*MIN(Mkt!I15,H15*(1+Inputs!$B$18))),H15)))</f>
        <v>1320</v>
      </c>
      <c r="J15" s="11" t="n">
        <f aca="false">IF(J$1&lt;Units!$P14,0,IF(AND(Units!$K14=0,J$1=Units!$O14),Units!$R14,IF(AND(J$1&gt;=Units!$Q14,MOD(J$1-Units!$Q14,12)=0),IF(AND(Units!$L14=1,J$1=Units!$Q14),IF(Units!$J14&lt;&gt;"",Units!$J14,Mkt!J15),Inputs!$B$15*Mkt!J15+(1-Inputs!$B$15)*MIN(Mkt!J15,I15*(1+Inputs!$B$18))),I15)))</f>
        <v>1320</v>
      </c>
      <c r="K15" s="11" t="n">
        <f aca="false">IF(K$1&lt;Units!$P14,0,IF(AND(Units!$K14=0,K$1=Units!$O14),Units!$R14,IF(AND(K$1&gt;=Units!$Q14,MOD(K$1-Units!$Q14,12)=0),IF(AND(Units!$L14=1,K$1=Units!$Q14),IF(Units!$J14&lt;&gt;"",Units!$J14,Mkt!K15),Inputs!$B$15*Mkt!K15+(1-Inputs!$B$15)*MIN(Mkt!K15,J15*(1+Inputs!$B$18))),J15)))</f>
        <v>1295</v>
      </c>
      <c r="L15" s="11" t="n">
        <f aca="false">IF(L$1&lt;Units!$P14,0,IF(AND(Units!$K14=0,L$1=Units!$O14),Units!$R14,IF(AND(L$1&gt;=Units!$Q14,MOD(L$1-Units!$Q14,12)=0),IF(AND(Units!$L14=1,L$1=Units!$Q14),IF(Units!$J14&lt;&gt;"",Units!$J14,Mkt!L15),Inputs!$B$15*Mkt!L15+(1-Inputs!$B$15)*MIN(Mkt!L15,K15*(1+Inputs!$B$18))),K15)))</f>
        <v>1295</v>
      </c>
      <c r="M15" s="11" t="n">
        <f aca="false">IF(M$1&lt;Units!$P14,0,IF(AND(Units!$K14=0,M$1=Units!$O14),Units!$R14,IF(AND(M$1&gt;=Units!$Q14,MOD(M$1-Units!$Q14,12)=0),IF(AND(Units!$L14=1,M$1=Units!$Q14),IF(Units!$J14&lt;&gt;"",Units!$J14,Mkt!M15),Inputs!$B$15*Mkt!M15+(1-Inputs!$B$15)*MIN(Mkt!M15,L15*(1+Inputs!$B$18))),L15)))</f>
        <v>1295</v>
      </c>
      <c r="N15" s="11" t="n">
        <f aca="false">IF(N$1&lt;Units!$P14,0,IF(AND(Units!$K14=0,N$1=Units!$O14),Units!$R14,IF(AND(N$1&gt;=Units!$Q14,MOD(N$1-Units!$Q14,12)=0),IF(AND(Units!$L14=1,N$1=Units!$Q14),IF(Units!$J14&lt;&gt;"",Units!$J14,Mkt!N15),Inputs!$B$15*Mkt!N15+(1-Inputs!$B$15)*MIN(Mkt!N15,M15*(1+Inputs!$B$18))),M15)))</f>
        <v>1295</v>
      </c>
      <c r="O15" s="11" t="n">
        <f aca="false">IF(O$1&lt;Units!$P14,0,IF(AND(Units!$K14=0,O$1=Units!$O14),Units!$R14,IF(AND(O$1&gt;=Units!$Q14,MOD(O$1-Units!$Q14,12)=0),IF(AND(Units!$L14=1,O$1=Units!$Q14),IF(Units!$J14&lt;&gt;"",Units!$J14,Mkt!O15),Inputs!$B$15*Mkt!O15+(1-Inputs!$B$15)*MIN(Mkt!O15,N15*(1+Inputs!$B$18))),N15)))</f>
        <v>1295</v>
      </c>
      <c r="P15" s="11" t="n">
        <f aca="false">IF(P$1&lt;Units!$P14,0,IF(AND(Units!$K14=0,P$1=Units!$O14),Units!$R14,IF(AND(P$1&gt;=Units!$Q14,MOD(P$1-Units!$Q14,12)=0),IF(AND(Units!$L14=1,P$1=Units!$Q14),IF(Units!$J14&lt;&gt;"",Units!$J14,Mkt!P15),Inputs!$B$15*Mkt!P15+(1-Inputs!$B$15)*MIN(Mkt!P15,O15*(1+Inputs!$B$18))),O15)))</f>
        <v>1295</v>
      </c>
      <c r="Q15" s="11" t="n">
        <f aca="false">IF(Q$1&lt;Units!$P14,0,IF(AND(Units!$K14=0,Q$1=Units!$O14),Units!$R14,IF(AND(Q$1&gt;=Units!$Q14,MOD(Q$1-Units!$Q14,12)=0),IF(AND(Units!$L14=1,Q$1=Units!$Q14),IF(Units!$J14&lt;&gt;"",Units!$J14,Mkt!Q15),Inputs!$B$15*Mkt!Q15+(1-Inputs!$B$15)*MIN(Mkt!Q15,P15*(1+Inputs!$B$18))),P15)))</f>
        <v>1295</v>
      </c>
      <c r="R15" s="11" t="n">
        <f aca="false">IF(R$1&lt;Units!$P14,0,IF(AND(Units!$K14=0,R$1=Units!$O14),Units!$R14,IF(AND(R$1&gt;=Units!$Q14,MOD(R$1-Units!$Q14,12)=0),IF(AND(Units!$L14=1,R$1=Units!$Q14),IF(Units!$J14&lt;&gt;"",Units!$J14,Mkt!R15),Inputs!$B$15*Mkt!R15+(1-Inputs!$B$15)*MIN(Mkt!R15,Q15*(1+Inputs!$B$18))),Q15)))</f>
        <v>1295</v>
      </c>
      <c r="S15" s="11" t="n">
        <f aca="false">IF(S$1&lt;Units!$P14,0,IF(AND(Units!$K14=0,S$1=Units!$O14),Units!$R14,IF(AND(S$1&gt;=Units!$Q14,MOD(S$1-Units!$Q14,12)=0),IF(AND(Units!$L14=1,S$1=Units!$Q14),IF(Units!$J14&lt;&gt;"",Units!$J14,Mkt!S15),Inputs!$B$15*Mkt!S15+(1-Inputs!$B$15)*MIN(Mkt!S15,R15*(1+Inputs!$B$18))),R15)))</f>
        <v>1295</v>
      </c>
      <c r="T15" s="11" t="n">
        <f aca="false">IF(T$1&lt;Units!$P14,0,IF(AND(Units!$K14=0,T$1=Units!$O14),Units!$R14,IF(AND(T$1&gt;=Units!$Q14,MOD(T$1-Units!$Q14,12)=0),IF(AND(Units!$L14=1,T$1=Units!$Q14),IF(Units!$J14&lt;&gt;"",Units!$J14,Mkt!T15),Inputs!$B$15*Mkt!T15+(1-Inputs!$B$15)*MIN(Mkt!T15,S15*(1+Inputs!$B$18))),S15)))</f>
        <v>1295</v>
      </c>
      <c r="U15" s="11" t="n">
        <f aca="false">IF(U$1&lt;Units!$P14,0,IF(AND(Units!$K14=0,U$1=Units!$O14),Units!$R14,IF(AND(U$1&gt;=Units!$Q14,MOD(U$1-Units!$Q14,12)=0),IF(AND(Units!$L14=1,U$1=Units!$Q14),IF(Units!$J14&lt;&gt;"",Units!$J14,Mkt!U15),Inputs!$B$15*Mkt!U15+(1-Inputs!$B$15)*MIN(Mkt!U15,T15*(1+Inputs!$B$18))),T15)))</f>
        <v>1295</v>
      </c>
      <c r="V15" s="11" t="n">
        <f aca="false">IF(V$1&lt;Units!$P14,0,IF(AND(Units!$K14=0,V$1=Units!$O14),Units!$R14,IF(AND(V$1&gt;=Units!$Q14,MOD(V$1-Units!$Q14,12)=0),IF(AND(Units!$L14=1,V$1=Units!$Q14),IF(Units!$J14&lt;&gt;"",Units!$J14,Mkt!V15),Inputs!$B$15*Mkt!V15+(1-Inputs!$B$15)*MIN(Mkt!V15,U15*(1+Inputs!$B$18))),U15)))</f>
        <v>1295</v>
      </c>
      <c r="W15" s="11" t="n">
        <f aca="false">IF(W$1&lt;Units!$P14,0,IF(AND(Units!$K14=0,W$1=Units!$O14),Units!$R14,IF(AND(W$1&gt;=Units!$Q14,MOD(W$1-Units!$Q14,12)=0),IF(AND(Units!$L14=1,W$1=Units!$Q14),IF(Units!$J14&lt;&gt;"",Units!$J14,Mkt!W15),Inputs!$B$15*Mkt!W15+(1-Inputs!$B$15)*MIN(Mkt!W15,V15*(1+Inputs!$B$18))),V15)))</f>
        <v>1333.85</v>
      </c>
      <c r="X15" s="11" t="n">
        <f aca="false">IF(X$1&lt;Units!$P14,0,IF(AND(Units!$K14=0,X$1=Units!$O14),Units!$R14,IF(AND(X$1&gt;=Units!$Q14,MOD(X$1-Units!$Q14,12)=0),IF(AND(Units!$L14=1,X$1=Units!$Q14),IF(Units!$J14&lt;&gt;"",Units!$J14,Mkt!X15),Inputs!$B$15*Mkt!X15+(1-Inputs!$B$15)*MIN(Mkt!X15,W15*(1+Inputs!$B$18))),W15)))</f>
        <v>1333.85</v>
      </c>
      <c r="Y15" s="11" t="n">
        <f aca="false">IF(Y$1&lt;Units!$P14,0,IF(AND(Units!$K14=0,Y$1=Units!$O14),Units!$R14,IF(AND(Y$1&gt;=Units!$Q14,MOD(Y$1-Units!$Q14,12)=0),IF(AND(Units!$L14=1,Y$1=Units!$Q14),IF(Units!$J14&lt;&gt;"",Units!$J14,Mkt!Y15),Inputs!$B$15*Mkt!Y15+(1-Inputs!$B$15)*MIN(Mkt!Y15,X15*(1+Inputs!$B$18))),X15)))</f>
        <v>1333.85</v>
      </c>
      <c r="Z15" s="11" t="n">
        <f aca="false">IF(Z$1&lt;Units!$P14,0,IF(AND(Units!$K14=0,Z$1=Units!$O14),Units!$R14,IF(AND(Z$1&gt;=Units!$Q14,MOD(Z$1-Units!$Q14,12)=0),IF(AND(Units!$L14=1,Z$1=Units!$Q14),IF(Units!$J14&lt;&gt;"",Units!$J14,Mkt!Z15),Inputs!$B$15*Mkt!Z15+(1-Inputs!$B$15)*MIN(Mkt!Z15,Y15*(1+Inputs!$B$18))),Y15)))</f>
        <v>1333.85</v>
      </c>
      <c r="AA15" s="11" t="n">
        <f aca="false">IF(AA$1&lt;Units!$P14,0,IF(AND(Units!$K14=0,AA$1=Units!$O14),Units!$R14,IF(AND(AA$1&gt;=Units!$Q14,MOD(AA$1-Units!$Q14,12)=0),IF(AND(Units!$L14=1,AA$1=Units!$Q14),IF(Units!$J14&lt;&gt;"",Units!$J14,Mkt!AA15),Inputs!$B$15*Mkt!AA15+(1-Inputs!$B$15)*MIN(Mkt!AA15,Z15*(1+Inputs!$B$18))),Z15)))</f>
        <v>1333.85</v>
      </c>
      <c r="AB15" s="11" t="n">
        <f aca="false">IF(AB$1&lt;Units!$P14,0,IF(AND(Units!$K14=0,AB$1=Units!$O14),Units!$R14,IF(AND(AB$1&gt;=Units!$Q14,MOD(AB$1-Units!$Q14,12)=0),IF(AND(Units!$L14=1,AB$1=Units!$Q14),IF(Units!$J14&lt;&gt;"",Units!$J14,Mkt!AB15),Inputs!$B$15*Mkt!AB15+(1-Inputs!$B$15)*MIN(Mkt!AB15,AA15*(1+Inputs!$B$18))),AA15)))</f>
        <v>1333.85</v>
      </c>
      <c r="AC15" s="11" t="n">
        <f aca="false">IF(AC$1&lt;Units!$P14,0,IF(AND(Units!$K14=0,AC$1=Units!$O14),Units!$R14,IF(AND(AC$1&gt;=Units!$Q14,MOD(AC$1-Units!$Q14,12)=0),IF(AND(Units!$L14=1,AC$1=Units!$Q14),IF(Units!$J14&lt;&gt;"",Units!$J14,Mkt!AC15),Inputs!$B$15*Mkt!AC15+(1-Inputs!$B$15)*MIN(Mkt!AC15,AB15*(1+Inputs!$B$18))),AB15)))</f>
        <v>1333.85</v>
      </c>
      <c r="AD15" s="11" t="n">
        <f aca="false">IF(AD$1&lt;Units!$P14,0,IF(AND(Units!$K14=0,AD$1=Units!$O14),Units!$R14,IF(AND(AD$1&gt;=Units!$Q14,MOD(AD$1-Units!$Q14,12)=0),IF(AND(Units!$L14=1,AD$1=Units!$Q14),IF(Units!$J14&lt;&gt;"",Units!$J14,Mkt!AD15),Inputs!$B$15*Mkt!AD15+(1-Inputs!$B$15)*MIN(Mkt!AD15,AC15*(1+Inputs!$B$18))),AC15)))</f>
        <v>1333.85</v>
      </c>
      <c r="AE15" s="11" t="n">
        <f aca="false">IF(AE$1&lt;Units!$P14,0,IF(AND(Units!$K14=0,AE$1=Units!$O14),Units!$R14,IF(AND(AE$1&gt;=Units!$Q14,MOD(AE$1-Units!$Q14,12)=0),IF(AND(Units!$L14=1,AE$1=Units!$Q14),IF(Units!$J14&lt;&gt;"",Units!$J14,Mkt!AE15),Inputs!$B$15*Mkt!AE15+(1-Inputs!$B$15)*MIN(Mkt!AE15,AD15*(1+Inputs!$B$18))),AD15)))</f>
        <v>1333.85</v>
      </c>
      <c r="AF15" s="11" t="n">
        <f aca="false">IF(AF$1&lt;Units!$P14,0,IF(AND(Units!$K14=0,AF$1=Units!$O14),Units!$R14,IF(AND(AF$1&gt;=Units!$Q14,MOD(AF$1-Units!$Q14,12)=0),IF(AND(Units!$L14=1,AF$1=Units!$Q14),IF(Units!$J14&lt;&gt;"",Units!$J14,Mkt!AF15),Inputs!$B$15*Mkt!AF15+(1-Inputs!$B$15)*MIN(Mkt!AF15,AE15*(1+Inputs!$B$18))),AE15)))</f>
        <v>1333.85</v>
      </c>
      <c r="AG15" s="11" t="n">
        <f aca="false">IF(AG$1&lt;Units!$P14,0,IF(AND(Units!$K14=0,AG$1=Units!$O14),Units!$R14,IF(AND(AG$1&gt;=Units!$Q14,MOD(AG$1-Units!$Q14,12)=0),IF(AND(Units!$L14=1,AG$1=Units!$Q14),IF(Units!$J14&lt;&gt;"",Units!$J14,Mkt!AG15),Inputs!$B$15*Mkt!AG15+(1-Inputs!$B$15)*MIN(Mkt!AG15,AF15*(1+Inputs!$B$18))),AF15)))</f>
        <v>1333.85</v>
      </c>
      <c r="AH15" s="11" t="n">
        <f aca="false">IF(AH$1&lt;Units!$P14,0,IF(AND(Units!$K14=0,AH$1=Units!$O14),Units!$R14,IF(AND(AH$1&gt;=Units!$Q14,MOD(AH$1-Units!$Q14,12)=0),IF(AND(Units!$L14=1,AH$1=Units!$Q14),IF(Units!$J14&lt;&gt;"",Units!$J14,Mkt!AH15),Inputs!$B$15*Mkt!AH15+(1-Inputs!$B$15)*MIN(Mkt!AH15,AG15*(1+Inputs!$B$18))),AG15)))</f>
        <v>1333.85</v>
      </c>
      <c r="AI15" s="11" t="n">
        <f aca="false">IF(AI$1&lt;Units!$P14,0,IF(AND(Units!$K14=0,AI$1=Units!$O14),Units!$R14,IF(AND(AI$1&gt;=Units!$Q14,MOD(AI$1-Units!$Q14,12)=0),IF(AND(Units!$L14=1,AI$1=Units!$Q14),IF(Units!$J14&lt;&gt;"",Units!$J14,Mkt!AI15),Inputs!$B$15*Mkt!AI15+(1-Inputs!$B$15)*MIN(Mkt!AI15,AH15*(1+Inputs!$B$18))),AH15)))</f>
        <v>1373.8655</v>
      </c>
      <c r="AJ15" s="11" t="n">
        <f aca="false">IF(AJ$1&lt;Units!$P14,0,IF(AND(Units!$K14=0,AJ$1=Units!$O14),Units!$R14,IF(AND(AJ$1&gt;=Units!$Q14,MOD(AJ$1-Units!$Q14,12)=0),IF(AND(Units!$L14=1,AJ$1=Units!$Q14),IF(Units!$J14&lt;&gt;"",Units!$J14,Mkt!AJ15),Inputs!$B$15*Mkt!AJ15+(1-Inputs!$B$15)*MIN(Mkt!AJ15,AI15*(1+Inputs!$B$18))),AI15)))</f>
        <v>1373.8655</v>
      </c>
      <c r="AK15" s="11" t="n">
        <f aca="false">IF(AK$1&lt;Units!$P14,0,IF(AND(Units!$K14=0,AK$1=Units!$O14),Units!$R14,IF(AND(AK$1&gt;=Units!$Q14,MOD(AK$1-Units!$Q14,12)=0),IF(AND(Units!$L14=1,AK$1=Units!$Q14),IF(Units!$J14&lt;&gt;"",Units!$J14,Mkt!AK15),Inputs!$B$15*Mkt!AK15+(1-Inputs!$B$15)*MIN(Mkt!AK15,AJ15*(1+Inputs!$B$18))),AJ15)))</f>
        <v>1373.8655</v>
      </c>
      <c r="AL15" s="11" t="n">
        <f aca="false">IF(AL$1&lt;Units!$P14,0,IF(AND(Units!$K14=0,AL$1=Units!$O14),Units!$R14,IF(AND(AL$1&gt;=Units!$Q14,MOD(AL$1-Units!$Q14,12)=0),IF(AND(Units!$L14=1,AL$1=Units!$Q14),IF(Units!$J14&lt;&gt;"",Units!$J14,Mkt!AL15),Inputs!$B$15*Mkt!AL15+(1-Inputs!$B$15)*MIN(Mkt!AL15,AK15*(1+Inputs!$B$18))),AK15)))</f>
        <v>1373.8655</v>
      </c>
      <c r="AM15" s="11" t="n">
        <f aca="false">IF(AM$1&lt;Units!$P14,0,IF(AND(Units!$K14=0,AM$1=Units!$O14),Units!$R14,IF(AND(AM$1&gt;=Units!$Q14,MOD(AM$1-Units!$Q14,12)=0),IF(AND(Units!$L14=1,AM$1=Units!$Q14),IF(Units!$J14&lt;&gt;"",Units!$J14,Mkt!AM15),Inputs!$B$15*Mkt!AM15+(1-Inputs!$B$15)*MIN(Mkt!AM15,AL15*(1+Inputs!$B$18))),AL15)))</f>
        <v>1373.8655</v>
      </c>
      <c r="AN15" s="11" t="n">
        <f aca="false">IF(AN$1&lt;Units!$P14,0,IF(AND(Units!$K14=0,AN$1=Units!$O14),Units!$R14,IF(AND(AN$1&gt;=Units!$Q14,MOD(AN$1-Units!$Q14,12)=0),IF(AND(Units!$L14=1,AN$1=Units!$Q14),IF(Units!$J14&lt;&gt;"",Units!$J14,Mkt!AN15),Inputs!$B$15*Mkt!AN15+(1-Inputs!$B$15)*MIN(Mkt!AN15,AM15*(1+Inputs!$B$18))),AM15)))</f>
        <v>1373.8655</v>
      </c>
      <c r="AO15" s="11" t="n">
        <f aca="false">IF(AO$1&lt;Units!$P14,0,IF(AND(Units!$K14=0,AO$1=Units!$O14),Units!$R14,IF(AND(AO$1&gt;=Units!$Q14,MOD(AO$1-Units!$Q14,12)=0),IF(AND(Units!$L14=1,AO$1=Units!$Q14),IF(Units!$J14&lt;&gt;"",Units!$J14,Mkt!AO15),Inputs!$B$15*Mkt!AO15+(1-Inputs!$B$15)*MIN(Mkt!AO15,AN15*(1+Inputs!$B$18))),AN15)))</f>
        <v>1373.8655</v>
      </c>
      <c r="AP15" s="11" t="n">
        <f aca="false">IF(AP$1&lt;Units!$P14,0,IF(AND(Units!$K14=0,AP$1=Units!$O14),Units!$R14,IF(AND(AP$1&gt;=Units!$Q14,MOD(AP$1-Units!$Q14,12)=0),IF(AND(Units!$L14=1,AP$1=Units!$Q14),IF(Units!$J14&lt;&gt;"",Units!$J14,Mkt!AP15),Inputs!$B$15*Mkt!AP15+(1-Inputs!$B$15)*MIN(Mkt!AP15,AO15*(1+Inputs!$B$18))),AO15)))</f>
        <v>1373.8655</v>
      </c>
      <c r="AQ15" s="11" t="n">
        <f aca="false">IF(AQ$1&lt;Units!$P14,0,IF(AND(Units!$K14=0,AQ$1=Units!$O14),Units!$R14,IF(AND(AQ$1&gt;=Units!$Q14,MOD(AQ$1-Units!$Q14,12)=0),IF(AND(Units!$L14=1,AQ$1=Units!$Q14),IF(Units!$J14&lt;&gt;"",Units!$J14,Mkt!AQ15),Inputs!$B$15*Mkt!AQ15+(1-Inputs!$B$15)*MIN(Mkt!AQ15,AP15*(1+Inputs!$B$18))),AP15)))</f>
        <v>1373.8655</v>
      </c>
      <c r="AR15" s="11" t="n">
        <f aca="false">IF(AR$1&lt;Units!$P14,0,IF(AND(Units!$K14=0,AR$1=Units!$O14),Units!$R14,IF(AND(AR$1&gt;=Units!$Q14,MOD(AR$1-Units!$Q14,12)=0),IF(AND(Units!$L14=1,AR$1=Units!$Q14),IF(Units!$J14&lt;&gt;"",Units!$J14,Mkt!AR15),Inputs!$B$15*Mkt!AR15+(1-Inputs!$B$15)*MIN(Mkt!AR15,AQ15*(1+Inputs!$B$18))),AQ15)))</f>
        <v>1373.8655</v>
      </c>
      <c r="AS15" s="11" t="n">
        <f aca="false">IF(AS$1&lt;Units!$P14,0,IF(AND(Units!$K14=0,AS$1=Units!$O14),Units!$R14,IF(AND(AS$1&gt;=Units!$Q14,MOD(AS$1-Units!$Q14,12)=0),IF(AND(Units!$L14=1,AS$1=Units!$Q14),IF(Units!$J14&lt;&gt;"",Units!$J14,Mkt!AS15),Inputs!$B$15*Mkt!AS15+(1-Inputs!$B$15)*MIN(Mkt!AS15,AR15*(1+Inputs!$B$18))),AR15)))</f>
        <v>1373.8655</v>
      </c>
      <c r="AT15" s="11" t="n">
        <f aca="false">IF(AT$1&lt;Units!$P14,0,IF(AND(Units!$K14=0,AT$1=Units!$O14),Units!$R14,IF(AND(AT$1&gt;=Units!$Q14,MOD(AT$1-Units!$Q14,12)=0),IF(AND(Units!$L14=1,AT$1=Units!$Q14),IF(Units!$J14&lt;&gt;"",Units!$J14,Mkt!AT15),Inputs!$B$15*Mkt!AT15+(1-Inputs!$B$15)*MIN(Mkt!AT15,AS15*(1+Inputs!$B$18))),AS15)))</f>
        <v>1373.8655</v>
      </c>
      <c r="AU15" s="11" t="n">
        <f aca="false">IF(AU$1&lt;Units!$P14,0,IF(AND(Units!$K14=0,AU$1=Units!$O14),Units!$R14,IF(AND(AU$1&gt;=Units!$Q14,MOD(AU$1-Units!$Q14,12)=0),IF(AND(Units!$L14=1,AU$1=Units!$Q14),IF(Units!$J14&lt;&gt;"",Units!$J14,Mkt!AU15),Inputs!$B$15*Mkt!AU15+(1-Inputs!$B$15)*MIN(Mkt!AU15,AT15*(1+Inputs!$B$18))),AT15)))</f>
        <v>1415.081465</v>
      </c>
      <c r="AV15" s="11" t="n">
        <f aca="false">IF(AV$1&lt;Units!$P14,0,IF(AND(Units!$K14=0,AV$1=Units!$O14),Units!$R14,IF(AND(AV$1&gt;=Units!$Q14,MOD(AV$1-Units!$Q14,12)=0),IF(AND(Units!$L14=1,AV$1=Units!$Q14),IF(Units!$J14&lt;&gt;"",Units!$J14,Mkt!AV15),Inputs!$B$15*Mkt!AV15+(1-Inputs!$B$15)*MIN(Mkt!AV15,AU15*(1+Inputs!$B$18))),AU15)))</f>
        <v>1415.081465</v>
      </c>
      <c r="AW15" s="11" t="n">
        <f aca="false">IF(AW$1&lt;Units!$P14,0,IF(AND(Units!$K14=0,AW$1=Units!$O14),Units!$R14,IF(AND(AW$1&gt;=Units!$Q14,MOD(AW$1-Units!$Q14,12)=0),IF(AND(Units!$L14=1,AW$1=Units!$Q14),IF(Units!$J14&lt;&gt;"",Units!$J14,Mkt!AW15),Inputs!$B$15*Mkt!AW15+(1-Inputs!$B$15)*MIN(Mkt!AW15,AV15*(1+Inputs!$B$18))),AV15)))</f>
        <v>1415.081465</v>
      </c>
      <c r="AX15" s="11" t="n">
        <f aca="false">IF(AX$1&lt;Units!$P14,0,IF(AND(Units!$K14=0,AX$1=Units!$O14),Units!$R14,IF(AND(AX$1&gt;=Units!$Q14,MOD(AX$1-Units!$Q14,12)=0),IF(AND(Units!$L14=1,AX$1=Units!$Q14),IF(Units!$J14&lt;&gt;"",Units!$J14,Mkt!AX15),Inputs!$B$15*Mkt!AX15+(1-Inputs!$B$15)*MIN(Mkt!AX15,AW15*(1+Inputs!$B$18))),AW15)))</f>
        <v>1415.081465</v>
      </c>
      <c r="AY15" s="11" t="n">
        <f aca="false">IF(AY$1&lt;Units!$P14,0,IF(AND(Units!$K14=0,AY$1=Units!$O14),Units!$R14,IF(AND(AY$1&gt;=Units!$Q14,MOD(AY$1-Units!$Q14,12)=0),IF(AND(Units!$L14=1,AY$1=Units!$Q14),IF(Units!$J14&lt;&gt;"",Units!$J14,Mkt!AY15),Inputs!$B$15*Mkt!AY15+(1-Inputs!$B$15)*MIN(Mkt!AY15,AX15*(1+Inputs!$B$18))),AX15)))</f>
        <v>1415.081465</v>
      </c>
      <c r="AZ15" s="11" t="n">
        <f aca="false">IF(AZ$1&lt;Units!$P14,0,IF(AND(Units!$K14=0,AZ$1=Units!$O14),Units!$R14,IF(AND(AZ$1&gt;=Units!$Q14,MOD(AZ$1-Units!$Q14,12)=0),IF(AND(Units!$L14=1,AZ$1=Units!$Q14),IF(Units!$J14&lt;&gt;"",Units!$J14,Mkt!AZ15),Inputs!$B$15*Mkt!AZ15+(1-Inputs!$B$15)*MIN(Mkt!AZ15,AY15*(1+Inputs!$B$18))),AY15)))</f>
        <v>1415.081465</v>
      </c>
      <c r="BA15" s="11" t="n">
        <f aca="false">IF(BA$1&lt;Units!$P14,0,IF(AND(Units!$K14=0,BA$1=Units!$O14),Units!$R14,IF(AND(BA$1&gt;=Units!$Q14,MOD(BA$1-Units!$Q14,12)=0),IF(AND(Units!$L14=1,BA$1=Units!$Q14),IF(Units!$J14&lt;&gt;"",Units!$J14,Mkt!BA15),Inputs!$B$15*Mkt!BA15+(1-Inputs!$B$15)*MIN(Mkt!BA15,AZ15*(1+Inputs!$B$18))),AZ15)))</f>
        <v>1415.081465</v>
      </c>
      <c r="BB15" s="11" t="n">
        <f aca="false">IF(BB$1&lt;Units!$P14,0,IF(AND(Units!$K14=0,BB$1=Units!$O14),Units!$R14,IF(AND(BB$1&gt;=Units!$Q14,MOD(BB$1-Units!$Q14,12)=0),IF(AND(Units!$L14=1,BB$1=Units!$Q14),IF(Units!$J14&lt;&gt;"",Units!$J14,Mkt!BB15),Inputs!$B$15*Mkt!BB15+(1-Inputs!$B$15)*MIN(Mkt!BB15,BA15*(1+Inputs!$B$18))),BA15)))</f>
        <v>1415.081465</v>
      </c>
      <c r="BC15" s="11" t="n">
        <f aca="false">IF(BC$1&lt;Units!$P14,0,IF(AND(Units!$K14=0,BC$1=Units!$O14),Units!$R14,IF(AND(BC$1&gt;=Units!$Q14,MOD(BC$1-Units!$Q14,12)=0),IF(AND(Units!$L14=1,BC$1=Units!$Q14),IF(Units!$J14&lt;&gt;"",Units!$J14,Mkt!BC15),Inputs!$B$15*Mkt!BC15+(1-Inputs!$B$15)*MIN(Mkt!BC15,BB15*(1+Inputs!$B$18))),BB15)))</f>
        <v>1415.081465</v>
      </c>
      <c r="BD15" s="11" t="n">
        <f aca="false">IF(BD$1&lt;Units!$P14,0,IF(AND(Units!$K14=0,BD$1=Units!$O14),Units!$R14,IF(AND(BD$1&gt;=Units!$Q14,MOD(BD$1-Units!$Q14,12)=0),IF(AND(Units!$L14=1,BD$1=Units!$Q14),IF(Units!$J14&lt;&gt;"",Units!$J14,Mkt!BD15),Inputs!$B$15*Mkt!BD15+(1-Inputs!$B$15)*MIN(Mkt!BD15,BC15*(1+Inputs!$B$18))),BC15)))</f>
        <v>1415.081465</v>
      </c>
      <c r="BE15" s="11" t="n">
        <f aca="false">IF(BE$1&lt;Units!$P14,0,IF(AND(Units!$K14=0,BE$1=Units!$O14),Units!$R14,IF(AND(BE$1&gt;=Units!$Q14,MOD(BE$1-Units!$Q14,12)=0),IF(AND(Units!$L14=1,BE$1=Units!$Q14),IF(Units!$J14&lt;&gt;"",Units!$J14,Mkt!BE15),Inputs!$B$15*Mkt!BE15+(1-Inputs!$B$15)*MIN(Mkt!BE15,BD15*(1+Inputs!$B$18))),BD15)))</f>
        <v>1415.081465</v>
      </c>
      <c r="BF15" s="11" t="n">
        <f aca="false">IF(BF$1&lt;Units!$P14,0,IF(AND(Units!$K14=0,BF$1=Units!$O14),Units!$R14,IF(AND(BF$1&gt;=Units!$Q14,MOD(BF$1-Units!$Q14,12)=0),IF(AND(Units!$L14=1,BF$1=Units!$Q14),IF(Units!$J14&lt;&gt;"",Units!$J14,Mkt!BF15),Inputs!$B$15*Mkt!BF15+(1-Inputs!$B$15)*MIN(Mkt!BF15,BE15*(1+Inputs!$B$18))),BE15)))</f>
        <v>1415.081465</v>
      </c>
      <c r="BG15" s="11" t="n">
        <f aca="false">IF(BG$1&lt;Units!$P14,0,IF(AND(Units!$K14=0,BG$1=Units!$O14),Units!$R14,IF(AND(BG$1&gt;=Units!$Q14,MOD(BG$1-Units!$Q14,12)=0),IF(AND(Units!$L14=1,BG$1=Units!$Q14),IF(Units!$J14&lt;&gt;"",Units!$J14,Mkt!BG15),Inputs!$B$15*Mkt!BG15+(1-Inputs!$B$15)*MIN(Mkt!BG15,BF15*(1+Inputs!$B$18))),BF15)))</f>
        <v>1457.53390895</v>
      </c>
      <c r="BH15" s="11" t="n">
        <f aca="false">IF(BH$1&lt;Units!$P14,0,IF(AND(Units!$K14=0,BH$1=Units!$O14),Units!$R14,IF(AND(BH$1&gt;=Units!$Q14,MOD(BH$1-Units!$Q14,12)=0),IF(AND(Units!$L14=1,BH$1=Units!$Q14),IF(Units!$J14&lt;&gt;"",Units!$J14,Mkt!BH15),Inputs!$B$15*Mkt!BH15+(1-Inputs!$B$15)*MIN(Mkt!BH15,BG15*(1+Inputs!$B$18))),BG15)))</f>
        <v>1457.53390895</v>
      </c>
      <c r="BI15" s="11" t="n">
        <f aca="false">IF(BI$1&lt;Units!$P14,0,IF(AND(Units!$K14=0,BI$1=Units!$O14),Units!$R14,IF(AND(BI$1&gt;=Units!$Q14,MOD(BI$1-Units!$Q14,12)=0),IF(AND(Units!$L14=1,BI$1=Units!$Q14),IF(Units!$J14&lt;&gt;"",Units!$J14,Mkt!BI15),Inputs!$B$15*Mkt!BI15+(1-Inputs!$B$15)*MIN(Mkt!BI15,BH15*(1+Inputs!$B$18))),BH15)))</f>
        <v>1457.53390895</v>
      </c>
      <c r="BJ15" s="11" t="n">
        <f aca="false">IF(BJ$1&lt;Units!$P14,0,IF(AND(Units!$K14=0,BJ$1=Units!$O14),Units!$R14,IF(AND(BJ$1&gt;=Units!$Q14,MOD(BJ$1-Units!$Q14,12)=0),IF(AND(Units!$L14=1,BJ$1=Units!$Q14),IF(Units!$J14&lt;&gt;"",Units!$J14,Mkt!BJ15),Inputs!$B$15*Mkt!BJ15+(1-Inputs!$B$15)*MIN(Mkt!BJ15,BI15*(1+Inputs!$B$18))),BI15)))</f>
        <v>1457.53390895</v>
      </c>
      <c r="BK15" s="11" t="n">
        <f aca="false">IF(BK$1&lt;Units!$P14,0,IF(AND(Units!$K14=0,BK$1=Units!$O14),Units!$R14,IF(AND(BK$1&gt;=Units!$Q14,MOD(BK$1-Units!$Q14,12)=0),IF(AND(Units!$L14=1,BK$1=Units!$Q14),IF(Units!$J14&lt;&gt;"",Units!$J14,Mkt!BK15),Inputs!$B$15*Mkt!BK15+(1-Inputs!$B$15)*MIN(Mkt!BK15,BJ15*(1+Inputs!$B$18))),BJ15)))</f>
        <v>1457.53390895</v>
      </c>
      <c r="BL15" s="11" t="n">
        <f aca="false">IF(BL$1&lt;Units!$P14,0,IF(AND(Units!$K14=0,BL$1=Units!$O14),Units!$R14,IF(AND(BL$1&gt;=Units!$Q14,MOD(BL$1-Units!$Q14,12)=0),IF(AND(Units!$L14=1,BL$1=Units!$Q14),IF(Units!$J14&lt;&gt;"",Units!$J14,Mkt!BL15),Inputs!$B$15*Mkt!BL15+(1-Inputs!$B$15)*MIN(Mkt!BL15,BK15*(1+Inputs!$B$18))),BK15)))</f>
        <v>1457.53390895</v>
      </c>
      <c r="BM15" s="11" t="n">
        <f aca="false">IF(BM$1&lt;Units!$P14,0,IF(AND(Units!$K14=0,BM$1=Units!$O14),Units!$R14,IF(AND(BM$1&gt;=Units!$Q14,MOD(BM$1-Units!$Q14,12)=0),IF(AND(Units!$L14=1,BM$1=Units!$Q14),IF(Units!$J14&lt;&gt;"",Units!$J14,Mkt!BM15),Inputs!$B$15*Mkt!BM15+(1-Inputs!$B$15)*MIN(Mkt!BM15,BL15*(1+Inputs!$B$18))),BL15)))</f>
        <v>1457.53390895</v>
      </c>
      <c r="BN15" s="11" t="n">
        <f aca="false">IF(BN$1&lt;Units!$P14,0,IF(AND(Units!$K14=0,BN$1=Units!$O14),Units!$R14,IF(AND(BN$1&gt;=Units!$Q14,MOD(BN$1-Units!$Q14,12)=0),IF(AND(Units!$L14=1,BN$1=Units!$Q14),IF(Units!$J14&lt;&gt;"",Units!$J14,Mkt!BN15),Inputs!$B$15*Mkt!BN15+(1-Inputs!$B$15)*MIN(Mkt!BN15,BM15*(1+Inputs!$B$18))),BM15)))</f>
        <v>1457.53390895</v>
      </c>
      <c r="BO15" s="11" t="n">
        <f aca="false">IF(BO$1&lt;Units!$P14,0,IF(AND(Units!$K14=0,BO$1=Units!$O14),Units!$R14,IF(AND(BO$1&gt;=Units!$Q14,MOD(BO$1-Units!$Q14,12)=0),IF(AND(Units!$L14=1,BO$1=Units!$Q14),IF(Units!$J14&lt;&gt;"",Units!$J14,Mkt!BO15),Inputs!$B$15*Mkt!BO15+(1-Inputs!$B$15)*MIN(Mkt!BO15,BN15*(1+Inputs!$B$18))),BN15)))</f>
        <v>1457.53390895</v>
      </c>
      <c r="BP15" s="11" t="n">
        <f aca="false">IF(BP$1&lt;Units!$P14,0,IF(AND(Units!$K14=0,BP$1=Units!$O14),Units!$R14,IF(AND(BP$1&gt;=Units!$Q14,MOD(BP$1-Units!$Q14,12)=0),IF(AND(Units!$L14=1,BP$1=Units!$Q14),IF(Units!$J14&lt;&gt;"",Units!$J14,Mkt!BP15),Inputs!$B$15*Mkt!BP15+(1-Inputs!$B$15)*MIN(Mkt!BP15,BO15*(1+Inputs!$B$18))),BO15)))</f>
        <v>1457.53390895</v>
      </c>
      <c r="BQ15" s="11" t="n">
        <f aca="false">IF(BQ$1&lt;Units!$P14,0,IF(AND(Units!$K14=0,BQ$1=Units!$O14),Units!$R14,IF(AND(BQ$1&gt;=Units!$Q14,MOD(BQ$1-Units!$Q14,12)=0),IF(AND(Units!$L14=1,BQ$1=Units!$Q14),IF(Units!$J14&lt;&gt;"",Units!$J14,Mkt!BQ15),Inputs!$B$15*Mkt!BQ15+(1-Inputs!$B$15)*MIN(Mkt!BQ15,BP15*(1+Inputs!$B$18))),BP15)))</f>
        <v>1457.53390895</v>
      </c>
      <c r="BR15" s="11" t="n">
        <f aca="false">IF(BR$1&lt;Units!$P14,0,IF(AND(Units!$K14=0,BR$1=Units!$O14),Units!$R14,IF(AND(BR$1&gt;=Units!$Q14,MOD(BR$1-Units!$Q14,12)=0),IF(AND(Units!$L14=1,BR$1=Units!$Q14),IF(Units!$J14&lt;&gt;"",Units!$J14,Mkt!BR15),Inputs!$B$15*Mkt!BR15+(1-Inputs!$B$15)*MIN(Mkt!BR15,BQ15*(1+Inputs!$B$18))),BQ15)))</f>
        <v>1457.53390895</v>
      </c>
      <c r="BS15" s="11" t="n">
        <f aca="false">IF(BS$1&lt;Units!$P14,0,IF(AND(Units!$K14=0,BS$1=Units!$O14),Units!$R14,IF(AND(BS$1&gt;=Units!$Q14,MOD(BS$1-Units!$Q14,12)=0),IF(AND(Units!$L14=1,BS$1=Units!$Q14),IF(Units!$J14&lt;&gt;"",Units!$J14,Mkt!BS15),Inputs!$B$15*Mkt!BS15+(1-Inputs!$B$15)*MIN(Mkt!BS15,BR15*(1+Inputs!$B$18))),BR15)))</f>
        <v>1501.2599262185</v>
      </c>
      <c r="BT15" s="11" t="n">
        <f aca="false">IF(BT$1&lt;Units!$P14,0,IF(AND(Units!$K14=0,BT$1=Units!$O14),Units!$R14,IF(AND(BT$1&gt;=Units!$Q14,MOD(BT$1-Units!$Q14,12)=0),IF(AND(Units!$L14=1,BT$1=Units!$Q14),IF(Units!$J14&lt;&gt;"",Units!$J14,Mkt!BT15),Inputs!$B$15*Mkt!BT15+(1-Inputs!$B$15)*MIN(Mkt!BT15,BS15*(1+Inputs!$B$18))),BS15)))</f>
        <v>1501.2599262185</v>
      </c>
      <c r="BU15" s="11" t="n">
        <f aca="false">IF(BU$1&lt;Units!$P14,0,IF(AND(Units!$K14=0,BU$1=Units!$O14),Units!$R14,IF(AND(BU$1&gt;=Units!$Q14,MOD(BU$1-Units!$Q14,12)=0),IF(AND(Units!$L14=1,BU$1=Units!$Q14),IF(Units!$J14&lt;&gt;"",Units!$J14,Mkt!BU15),Inputs!$B$15*Mkt!BU15+(1-Inputs!$B$15)*MIN(Mkt!BU15,BT15*(1+Inputs!$B$18))),BT15)))</f>
        <v>1501.2599262185</v>
      </c>
      <c r="BV15" s="11" t="n">
        <f aca="false">IF(BV$1&lt;Units!$P14,0,IF(AND(Units!$K14=0,BV$1=Units!$O14),Units!$R14,IF(AND(BV$1&gt;=Units!$Q14,MOD(BV$1-Units!$Q14,12)=0),IF(AND(Units!$L14=1,BV$1=Units!$Q14),IF(Units!$J14&lt;&gt;"",Units!$J14,Mkt!BV15),Inputs!$B$15*Mkt!BV15+(1-Inputs!$B$15)*MIN(Mkt!BV15,BU15*(1+Inputs!$B$18))),BU15)))</f>
        <v>1501.2599262185</v>
      </c>
      <c r="BW15" s="11" t="n">
        <f aca="false">IF(BW$1&lt;Units!$P14,0,IF(AND(Units!$K14=0,BW$1=Units!$O14),Units!$R14,IF(AND(BW$1&gt;=Units!$Q14,MOD(BW$1-Units!$Q14,12)=0),IF(AND(Units!$L14=1,BW$1=Units!$Q14),IF(Units!$J14&lt;&gt;"",Units!$J14,Mkt!BW15),Inputs!$B$15*Mkt!BW15+(1-Inputs!$B$15)*MIN(Mkt!BW15,BV15*(1+Inputs!$B$18))),BV15)))</f>
        <v>1501.2599262185</v>
      </c>
      <c r="BX15" s="11" t="n">
        <f aca="false">IF(BX$1&lt;Units!$P14,0,IF(AND(Units!$K14=0,BX$1=Units!$O14),Units!$R14,IF(AND(BX$1&gt;=Units!$Q14,MOD(BX$1-Units!$Q14,12)=0),IF(AND(Units!$L14=1,BX$1=Units!$Q14),IF(Units!$J14&lt;&gt;"",Units!$J14,Mkt!BX15),Inputs!$B$15*Mkt!BX15+(1-Inputs!$B$15)*MIN(Mkt!BX15,BW15*(1+Inputs!$B$18))),BW15)))</f>
        <v>1501.2599262185</v>
      </c>
      <c r="BY15" s="11" t="n">
        <f aca="false">IF(BY$1&lt;Units!$P14,0,IF(AND(Units!$K14=0,BY$1=Units!$O14),Units!$R14,IF(AND(BY$1&gt;=Units!$Q14,MOD(BY$1-Units!$Q14,12)=0),IF(AND(Units!$L14=1,BY$1=Units!$Q14),IF(Units!$J14&lt;&gt;"",Units!$J14,Mkt!BY15),Inputs!$B$15*Mkt!BY15+(1-Inputs!$B$15)*MIN(Mkt!BY15,BX15*(1+Inputs!$B$18))),BX15)))</f>
        <v>1501.2599262185</v>
      </c>
      <c r="BZ15" s="11" t="n">
        <f aca="false">IF(BZ$1&lt;Units!$P14,0,IF(AND(Units!$K14=0,BZ$1=Units!$O14),Units!$R14,IF(AND(BZ$1&gt;=Units!$Q14,MOD(BZ$1-Units!$Q14,12)=0),IF(AND(Units!$L14=1,BZ$1=Units!$Q14),IF(Units!$J14&lt;&gt;"",Units!$J14,Mkt!BZ15),Inputs!$B$15*Mkt!BZ15+(1-Inputs!$B$15)*MIN(Mkt!BZ15,BY15*(1+Inputs!$B$18))),BY15)))</f>
        <v>1501.2599262185</v>
      </c>
      <c r="CA15" s="11" t="n">
        <f aca="false">IF(CA$1&lt;Units!$P14,0,IF(AND(Units!$K14=0,CA$1=Units!$O14),Units!$R14,IF(AND(CA$1&gt;=Units!$Q14,MOD(CA$1-Units!$Q14,12)=0),IF(AND(Units!$L14=1,CA$1=Units!$Q14),IF(Units!$J14&lt;&gt;"",Units!$J14,Mkt!CA15),Inputs!$B$15*Mkt!CA15+(1-Inputs!$B$15)*MIN(Mkt!CA15,BZ15*(1+Inputs!$B$18))),BZ15)))</f>
        <v>1501.2599262185</v>
      </c>
      <c r="CB15" s="11" t="n">
        <f aca="false">IF(CB$1&lt;Units!$P14,0,IF(AND(Units!$K14=0,CB$1=Units!$O14),Units!$R14,IF(AND(CB$1&gt;=Units!$Q14,MOD(CB$1-Units!$Q14,12)=0),IF(AND(Units!$L14=1,CB$1=Units!$Q14),IF(Units!$J14&lt;&gt;"",Units!$J14,Mkt!CB15),Inputs!$B$15*Mkt!CB15+(1-Inputs!$B$15)*MIN(Mkt!CB15,CA15*(1+Inputs!$B$18))),CA15)))</f>
        <v>1501.2599262185</v>
      </c>
      <c r="CC15" s="11" t="n">
        <f aca="false">IF(CC$1&lt;Units!$P14,0,IF(AND(Units!$K14=0,CC$1=Units!$O14),Units!$R14,IF(AND(CC$1&gt;=Units!$Q14,MOD(CC$1-Units!$Q14,12)=0),IF(AND(Units!$L14=1,CC$1=Units!$Q14),IF(Units!$J14&lt;&gt;"",Units!$J14,Mkt!CC15),Inputs!$B$15*Mkt!CC15+(1-Inputs!$B$15)*MIN(Mkt!CC15,CB15*(1+Inputs!$B$18))),CB15)))</f>
        <v>1501.2599262185</v>
      </c>
      <c r="CD15" s="11" t="n">
        <f aca="false">IF(CD$1&lt;Units!$P14,0,IF(AND(Units!$K14=0,CD$1=Units!$O14),Units!$R14,IF(AND(CD$1&gt;=Units!$Q14,MOD(CD$1-Units!$Q14,12)=0),IF(AND(Units!$L14=1,CD$1=Units!$Q14),IF(Units!$J14&lt;&gt;"",Units!$J14,Mkt!CD15),Inputs!$B$15*Mkt!CD15+(1-Inputs!$B$15)*MIN(Mkt!CD15,CC15*(1+Inputs!$B$18))),CC15)))</f>
        <v>1501.2599262185</v>
      </c>
      <c r="CE15" s="11" t="n">
        <f aca="false">IF(CE$1&lt;Units!$P14,0,IF(AND(Units!$K14=0,CE$1=Units!$O14),Units!$R14,IF(AND(CE$1&gt;=Units!$Q14,MOD(CE$1-Units!$Q14,12)=0),IF(AND(Units!$L14=1,CE$1=Units!$Q14),IF(Units!$J14&lt;&gt;"",Units!$J14,Mkt!CE15),Inputs!$B$15*Mkt!CE15+(1-Inputs!$B$15)*MIN(Mkt!CE15,CD15*(1+Inputs!$B$18))),CD15)))</f>
        <v>1546.29772400506</v>
      </c>
      <c r="CF15" s="11" t="n">
        <f aca="false">IF(CF$1&lt;Units!$P14,0,IF(AND(Units!$K14=0,CF$1=Units!$O14),Units!$R14,IF(AND(CF$1&gt;=Units!$Q14,MOD(CF$1-Units!$Q14,12)=0),IF(AND(Units!$L14=1,CF$1=Units!$Q14),IF(Units!$J14&lt;&gt;"",Units!$J14,Mkt!CF15),Inputs!$B$15*Mkt!CF15+(1-Inputs!$B$15)*MIN(Mkt!CF15,CE15*(1+Inputs!$B$18))),CE15)))</f>
        <v>1546.29772400506</v>
      </c>
      <c r="CG15" s="11" t="n">
        <f aca="false">IF(CG$1&lt;Units!$P14,0,IF(AND(Units!$K14=0,CG$1=Units!$O14),Units!$R14,IF(AND(CG$1&gt;=Units!$Q14,MOD(CG$1-Units!$Q14,12)=0),IF(AND(Units!$L14=1,CG$1=Units!$Q14),IF(Units!$J14&lt;&gt;"",Units!$J14,Mkt!CG15),Inputs!$B$15*Mkt!CG15+(1-Inputs!$B$15)*MIN(Mkt!CG15,CF15*(1+Inputs!$B$18))),CF15)))</f>
        <v>1546.29772400506</v>
      </c>
      <c r="CH15" s="11" t="n">
        <f aca="false">IF(CH$1&lt;Units!$P14,0,IF(AND(Units!$K14=0,CH$1=Units!$O14),Units!$R14,IF(AND(CH$1&gt;=Units!$Q14,MOD(CH$1-Units!$Q14,12)=0),IF(AND(Units!$L14=1,CH$1=Units!$Q14),IF(Units!$J14&lt;&gt;"",Units!$J14,Mkt!CH15),Inputs!$B$15*Mkt!CH15+(1-Inputs!$B$15)*MIN(Mkt!CH15,CG15*(1+Inputs!$B$18))),CG15)))</f>
        <v>1546.29772400506</v>
      </c>
      <c r="CI15" s="11" t="n">
        <f aca="false">IF(CI$1&lt;Units!$P14,0,IF(AND(Units!$K14=0,CI$1=Units!$O14),Units!$R14,IF(AND(CI$1&gt;=Units!$Q14,MOD(CI$1-Units!$Q14,12)=0),IF(AND(Units!$L14=1,CI$1=Units!$Q14),IF(Units!$J14&lt;&gt;"",Units!$J14,Mkt!CI15),Inputs!$B$15*Mkt!CI15+(1-Inputs!$B$15)*MIN(Mkt!CI15,CH15*(1+Inputs!$B$18))),CH15)))</f>
        <v>1546.29772400506</v>
      </c>
      <c r="CJ15" s="11" t="n">
        <f aca="false">IF(CJ$1&lt;Units!$P14,0,IF(AND(Units!$K14=0,CJ$1=Units!$O14),Units!$R14,IF(AND(CJ$1&gt;=Units!$Q14,MOD(CJ$1-Units!$Q14,12)=0),IF(AND(Units!$L14=1,CJ$1=Units!$Q14),IF(Units!$J14&lt;&gt;"",Units!$J14,Mkt!CJ15),Inputs!$B$15*Mkt!CJ15+(1-Inputs!$B$15)*MIN(Mkt!CJ15,CI15*(1+Inputs!$B$18))),CI15)))</f>
        <v>1546.29772400506</v>
      </c>
      <c r="CK15" s="11" t="n">
        <f aca="false">IF(CK$1&lt;Units!$P14,0,IF(AND(Units!$K14=0,CK$1=Units!$O14),Units!$R14,IF(AND(CK$1&gt;=Units!$Q14,MOD(CK$1-Units!$Q14,12)=0),IF(AND(Units!$L14=1,CK$1=Units!$Q14),IF(Units!$J14&lt;&gt;"",Units!$J14,Mkt!CK15),Inputs!$B$15*Mkt!CK15+(1-Inputs!$B$15)*MIN(Mkt!CK15,CJ15*(1+Inputs!$B$18))),CJ15)))</f>
        <v>1546.29772400506</v>
      </c>
      <c r="CL15" s="11" t="n">
        <f aca="false">IF(CL$1&lt;Units!$P14,0,IF(AND(Units!$K14=0,CL$1=Units!$O14),Units!$R14,IF(AND(CL$1&gt;=Units!$Q14,MOD(CL$1-Units!$Q14,12)=0),IF(AND(Units!$L14=1,CL$1=Units!$Q14),IF(Units!$J14&lt;&gt;"",Units!$J14,Mkt!CL15),Inputs!$B$15*Mkt!CL15+(1-Inputs!$B$15)*MIN(Mkt!CL15,CK15*(1+Inputs!$B$18))),CK15)))</f>
        <v>1546.29772400506</v>
      </c>
      <c r="CM15" s="11" t="n">
        <f aca="false">IF(CM$1&lt;Units!$P14,0,IF(AND(Units!$K14=0,CM$1=Units!$O14),Units!$R14,IF(AND(CM$1&gt;=Units!$Q14,MOD(CM$1-Units!$Q14,12)=0),IF(AND(Units!$L14=1,CM$1=Units!$Q14),IF(Units!$J14&lt;&gt;"",Units!$J14,Mkt!CM15),Inputs!$B$15*Mkt!CM15+(1-Inputs!$B$15)*MIN(Mkt!CM15,CL15*(1+Inputs!$B$18))),CL15)))</f>
        <v>1546.29772400506</v>
      </c>
      <c r="CN15" s="11" t="n">
        <f aca="false">IF(CN$1&lt;Units!$P14,0,IF(AND(Units!$K14=0,CN$1=Units!$O14),Units!$R14,IF(AND(CN$1&gt;=Units!$Q14,MOD(CN$1-Units!$Q14,12)=0),IF(AND(Units!$L14=1,CN$1=Units!$Q14),IF(Units!$J14&lt;&gt;"",Units!$J14,Mkt!CN15),Inputs!$B$15*Mkt!CN15+(1-Inputs!$B$15)*MIN(Mkt!CN15,CM15*(1+Inputs!$B$18))),CM15)))</f>
        <v>1546.29772400506</v>
      </c>
      <c r="CO15" s="11" t="n">
        <f aca="false">IF(CO$1&lt;Units!$P14,0,IF(AND(Units!$K14=0,CO$1=Units!$O14),Units!$R14,IF(AND(CO$1&gt;=Units!$Q14,MOD(CO$1-Units!$Q14,12)=0),IF(AND(Units!$L14=1,CO$1=Units!$Q14),IF(Units!$J14&lt;&gt;"",Units!$J14,Mkt!CO15),Inputs!$B$15*Mkt!CO15+(1-Inputs!$B$15)*MIN(Mkt!CO15,CN15*(1+Inputs!$B$18))),CN15)))</f>
        <v>1546.29772400506</v>
      </c>
      <c r="CP15" s="11" t="n">
        <f aca="false">IF(CP$1&lt;Units!$P14,0,IF(AND(Units!$K14=0,CP$1=Units!$O14),Units!$R14,IF(AND(CP$1&gt;=Units!$Q14,MOD(CP$1-Units!$Q14,12)=0),IF(AND(Units!$L14=1,CP$1=Units!$Q14),IF(Units!$J14&lt;&gt;"",Units!$J14,Mkt!CP15),Inputs!$B$15*Mkt!CP15+(1-Inputs!$B$15)*MIN(Mkt!CP15,CO15*(1+Inputs!$B$18))),CO15)))</f>
        <v>1546.29772400506</v>
      </c>
      <c r="CQ15" s="11" t="n">
        <f aca="false">IF(CQ$1&lt;Units!$P14,0,IF(AND(Units!$K14=0,CQ$1=Units!$O14),Units!$R14,IF(AND(CQ$1&gt;=Units!$Q14,MOD(CQ$1-Units!$Q14,12)=0),IF(AND(Units!$L14=1,CQ$1=Units!$Q14),IF(Units!$J14&lt;&gt;"",Units!$J14,Mkt!CQ15),Inputs!$B$15*Mkt!CQ15+(1-Inputs!$B$15)*MIN(Mkt!CQ15,CP15*(1+Inputs!$B$18))),CP15)))</f>
        <v>1592.68665572521</v>
      </c>
      <c r="CR15" s="11" t="n">
        <f aca="false">IF(CR$1&lt;Units!$P14,0,IF(AND(Units!$K14=0,CR$1=Units!$O14),Units!$R14,IF(AND(CR$1&gt;=Units!$Q14,MOD(CR$1-Units!$Q14,12)=0),IF(AND(Units!$L14=1,CR$1=Units!$Q14),IF(Units!$J14&lt;&gt;"",Units!$J14,Mkt!CR15),Inputs!$B$15*Mkt!CR15+(1-Inputs!$B$15)*MIN(Mkt!CR15,CQ15*(1+Inputs!$B$18))),CQ15)))</f>
        <v>1592.68665572521</v>
      </c>
      <c r="CS15" s="11" t="n">
        <f aca="false">IF(CS$1&lt;Units!$P14,0,IF(AND(Units!$K14=0,CS$1=Units!$O14),Units!$R14,IF(AND(CS$1&gt;=Units!$Q14,MOD(CS$1-Units!$Q14,12)=0),IF(AND(Units!$L14=1,CS$1=Units!$Q14),IF(Units!$J14&lt;&gt;"",Units!$J14,Mkt!CS15),Inputs!$B$15*Mkt!CS15+(1-Inputs!$B$15)*MIN(Mkt!CS15,CR15*(1+Inputs!$B$18))),CR15)))</f>
        <v>1592.68665572521</v>
      </c>
      <c r="CT15" s="11" t="n">
        <f aca="false">IF(CT$1&lt;Units!$P14,0,IF(AND(Units!$K14=0,CT$1=Units!$O14),Units!$R14,IF(AND(CT$1&gt;=Units!$Q14,MOD(CT$1-Units!$Q14,12)=0),IF(AND(Units!$L14=1,CT$1=Units!$Q14),IF(Units!$J14&lt;&gt;"",Units!$J14,Mkt!CT15),Inputs!$B$15*Mkt!CT15+(1-Inputs!$B$15)*MIN(Mkt!CT15,CS15*(1+Inputs!$B$18))),CS15)))</f>
        <v>1592.68665572521</v>
      </c>
      <c r="CU15" s="11" t="n">
        <f aca="false">IF(CU$1&lt;Units!$P14,0,IF(AND(Units!$K14=0,CU$1=Units!$O14),Units!$R14,IF(AND(CU$1&gt;=Units!$Q14,MOD(CU$1-Units!$Q14,12)=0),IF(AND(Units!$L14=1,CU$1=Units!$Q14),IF(Units!$J14&lt;&gt;"",Units!$J14,Mkt!CU15),Inputs!$B$15*Mkt!CU15+(1-Inputs!$B$15)*MIN(Mkt!CU15,CT15*(1+Inputs!$B$18))),CT15)))</f>
        <v>1592.68665572521</v>
      </c>
      <c r="CV15" s="11" t="n">
        <f aca="false">IF(CV$1&lt;Units!$P14,0,IF(AND(Units!$K14=0,CV$1=Units!$O14),Units!$R14,IF(AND(CV$1&gt;=Units!$Q14,MOD(CV$1-Units!$Q14,12)=0),IF(AND(Units!$L14=1,CV$1=Units!$Q14),IF(Units!$J14&lt;&gt;"",Units!$J14,Mkt!CV15),Inputs!$B$15*Mkt!CV15+(1-Inputs!$B$15)*MIN(Mkt!CV15,CU15*(1+Inputs!$B$18))),CU15)))</f>
        <v>1592.68665572521</v>
      </c>
      <c r="CW15" s="11" t="n">
        <f aca="false">IF(CW$1&lt;Units!$P14,0,IF(AND(Units!$K14=0,CW$1=Units!$O14),Units!$R14,IF(AND(CW$1&gt;=Units!$Q14,MOD(CW$1-Units!$Q14,12)=0),IF(AND(Units!$L14=1,CW$1=Units!$Q14),IF(Units!$J14&lt;&gt;"",Units!$J14,Mkt!CW15),Inputs!$B$15*Mkt!CW15+(1-Inputs!$B$15)*MIN(Mkt!CW15,CV15*(1+Inputs!$B$18))),CV15)))</f>
        <v>1592.68665572521</v>
      </c>
      <c r="CX15" s="11" t="n">
        <f aca="false">IF(CX$1&lt;Units!$P14,0,IF(AND(Units!$K14=0,CX$1=Units!$O14),Units!$R14,IF(AND(CX$1&gt;=Units!$Q14,MOD(CX$1-Units!$Q14,12)=0),IF(AND(Units!$L14=1,CX$1=Units!$Q14),IF(Units!$J14&lt;&gt;"",Units!$J14,Mkt!CX15),Inputs!$B$15*Mkt!CX15+(1-Inputs!$B$15)*MIN(Mkt!CX15,CW15*(1+Inputs!$B$18))),CW15)))</f>
        <v>1592.68665572521</v>
      </c>
      <c r="CY15" s="11" t="n">
        <f aca="false">IF(CY$1&lt;Units!$P14,0,IF(AND(Units!$K14=0,CY$1=Units!$O14),Units!$R14,IF(AND(CY$1&gt;=Units!$Q14,MOD(CY$1-Units!$Q14,12)=0),IF(AND(Units!$L14=1,CY$1=Units!$Q14),IF(Units!$J14&lt;&gt;"",Units!$J14,Mkt!CY15),Inputs!$B$15*Mkt!CY15+(1-Inputs!$B$15)*MIN(Mkt!CY15,CX15*(1+Inputs!$B$18))),CX15)))</f>
        <v>1592.68665572521</v>
      </c>
      <c r="CZ15" s="11" t="n">
        <f aca="false">IF(CZ$1&lt;Units!$P14,0,IF(AND(Units!$K14=0,CZ$1=Units!$O14),Units!$R14,IF(AND(CZ$1&gt;=Units!$Q14,MOD(CZ$1-Units!$Q14,12)=0),IF(AND(Units!$L14=1,CZ$1=Units!$Q14),IF(Units!$J14&lt;&gt;"",Units!$J14,Mkt!CZ15),Inputs!$B$15*Mkt!CZ15+(1-Inputs!$B$15)*MIN(Mkt!CZ15,CY15*(1+Inputs!$B$18))),CY15)))</f>
        <v>1592.68665572521</v>
      </c>
      <c r="DA15" s="11" t="n">
        <f aca="false">IF(DA$1&lt;Units!$P14,0,IF(AND(Units!$K14=0,DA$1=Units!$O14),Units!$R14,IF(AND(DA$1&gt;=Units!$Q14,MOD(DA$1-Units!$Q14,12)=0),IF(AND(Units!$L14=1,DA$1=Units!$Q14),IF(Units!$J14&lt;&gt;"",Units!$J14,Mkt!DA15),Inputs!$B$15*Mkt!DA15+(1-Inputs!$B$15)*MIN(Mkt!DA15,CZ15*(1+Inputs!$B$18))),CZ15)))</f>
        <v>1592.68665572521</v>
      </c>
      <c r="DB15" s="11" t="n">
        <f aca="false">IF(DB$1&lt;Units!$P14,0,IF(AND(Units!$K14=0,DB$1=Units!$O14),Units!$R14,IF(AND(DB$1&gt;=Units!$Q14,MOD(DB$1-Units!$Q14,12)=0),IF(AND(Units!$L14=1,DB$1=Units!$Q14),IF(Units!$J14&lt;&gt;"",Units!$J14,Mkt!DB15),Inputs!$B$15*Mkt!DB15+(1-Inputs!$B$15)*MIN(Mkt!DB15,DA15*(1+Inputs!$B$18))),DA15)))</f>
        <v>1592.68665572521</v>
      </c>
      <c r="DC15" s="11" t="n">
        <f aca="false">IF(DC$1&lt;Units!$P14,0,IF(AND(Units!$K14=0,DC$1=Units!$O14),Units!$R14,IF(AND(DC$1&gt;=Units!$Q14,MOD(DC$1-Units!$Q14,12)=0),IF(AND(Units!$L14=1,DC$1=Units!$Q14),IF(Units!$J14&lt;&gt;"",Units!$J14,Mkt!DC15),Inputs!$B$15*Mkt!DC15+(1-Inputs!$B$15)*MIN(Mkt!DC15,DB15*(1+Inputs!$B$18))),DB15)))</f>
        <v>1640.46725539696</v>
      </c>
      <c r="DD15" s="11" t="n">
        <f aca="false">IF(DD$1&lt;Units!$P14,0,IF(AND(Units!$K14=0,DD$1=Units!$O14),Units!$R14,IF(AND(DD$1&gt;=Units!$Q14,MOD(DD$1-Units!$Q14,12)=0),IF(AND(Units!$L14=1,DD$1=Units!$Q14),IF(Units!$J14&lt;&gt;"",Units!$J14,Mkt!DD15),Inputs!$B$15*Mkt!DD15+(1-Inputs!$B$15)*MIN(Mkt!DD15,DC15*(1+Inputs!$B$18))),DC15)))</f>
        <v>1640.46725539696</v>
      </c>
      <c r="DE15" s="11" t="n">
        <f aca="false">IF(DE$1&lt;Units!$P14,0,IF(AND(Units!$K14=0,DE$1=Units!$O14),Units!$R14,IF(AND(DE$1&gt;=Units!$Q14,MOD(DE$1-Units!$Q14,12)=0),IF(AND(Units!$L14=1,DE$1=Units!$Q14),IF(Units!$J14&lt;&gt;"",Units!$J14,Mkt!DE15),Inputs!$B$15*Mkt!DE15+(1-Inputs!$B$15)*MIN(Mkt!DE15,DD15*(1+Inputs!$B$18))),DD15)))</f>
        <v>1640.46725539696</v>
      </c>
      <c r="DF15" s="11" t="n">
        <f aca="false">IF(DF$1&lt;Units!$P14,0,IF(AND(Units!$K14=0,DF$1=Units!$O14),Units!$R14,IF(AND(DF$1&gt;=Units!$Q14,MOD(DF$1-Units!$Q14,12)=0),IF(AND(Units!$L14=1,DF$1=Units!$Q14),IF(Units!$J14&lt;&gt;"",Units!$J14,Mkt!DF15),Inputs!$B$15*Mkt!DF15+(1-Inputs!$B$15)*MIN(Mkt!DF15,DE15*(1+Inputs!$B$18))),DE15)))</f>
        <v>1640.46725539696</v>
      </c>
      <c r="DG15" s="11" t="n">
        <f aca="false">IF(DG$1&lt;Units!$P14,0,IF(AND(Units!$K14=0,DG$1=Units!$O14),Units!$R14,IF(AND(DG$1&gt;=Units!$Q14,MOD(DG$1-Units!$Q14,12)=0),IF(AND(Units!$L14=1,DG$1=Units!$Q14),IF(Units!$J14&lt;&gt;"",Units!$J14,Mkt!DG15),Inputs!$B$15*Mkt!DG15+(1-Inputs!$B$15)*MIN(Mkt!DG15,DF15*(1+Inputs!$B$18))),DF15)))</f>
        <v>1640.46725539696</v>
      </c>
      <c r="DH15" s="11" t="n">
        <f aca="false">IF(DH$1&lt;Units!$P14,0,IF(AND(Units!$K14=0,DH$1=Units!$O14),Units!$R14,IF(AND(DH$1&gt;=Units!$Q14,MOD(DH$1-Units!$Q14,12)=0),IF(AND(Units!$L14=1,DH$1=Units!$Q14),IF(Units!$J14&lt;&gt;"",Units!$J14,Mkt!DH15),Inputs!$B$15*Mkt!DH15+(1-Inputs!$B$15)*MIN(Mkt!DH15,DG15*(1+Inputs!$B$18))),DG15)))</f>
        <v>1640.46725539696</v>
      </c>
      <c r="DI15" s="11" t="n">
        <f aca="false">IF(DI$1&lt;Units!$P14,0,IF(AND(Units!$K14=0,DI$1=Units!$O14),Units!$R14,IF(AND(DI$1&gt;=Units!$Q14,MOD(DI$1-Units!$Q14,12)=0),IF(AND(Units!$L14=1,DI$1=Units!$Q14),IF(Units!$J14&lt;&gt;"",Units!$J14,Mkt!DI15),Inputs!$B$15*Mkt!DI15+(1-Inputs!$B$15)*MIN(Mkt!DI15,DH15*(1+Inputs!$B$18))),DH15)))</f>
        <v>1640.46725539696</v>
      </c>
      <c r="DJ15" s="11" t="n">
        <f aca="false">IF(DJ$1&lt;Units!$P14,0,IF(AND(Units!$K14=0,DJ$1=Units!$O14),Units!$R14,IF(AND(DJ$1&gt;=Units!$Q14,MOD(DJ$1-Units!$Q14,12)=0),IF(AND(Units!$L14=1,DJ$1=Units!$Q14),IF(Units!$J14&lt;&gt;"",Units!$J14,Mkt!DJ15),Inputs!$B$15*Mkt!DJ15+(1-Inputs!$B$15)*MIN(Mkt!DJ15,DI15*(1+Inputs!$B$18))),DI15)))</f>
        <v>1640.46725539696</v>
      </c>
      <c r="DK15" s="11" t="n">
        <f aca="false">IF(DK$1&lt;Units!$P14,0,IF(AND(Units!$K14=0,DK$1=Units!$O14),Units!$R14,IF(AND(DK$1&gt;=Units!$Q14,MOD(DK$1-Units!$Q14,12)=0),IF(AND(Units!$L14=1,DK$1=Units!$Q14),IF(Units!$J14&lt;&gt;"",Units!$J14,Mkt!DK15),Inputs!$B$15*Mkt!DK15+(1-Inputs!$B$15)*MIN(Mkt!DK15,DJ15*(1+Inputs!$B$18))),DJ15)))</f>
        <v>1640.46725539696</v>
      </c>
      <c r="DL15" s="11" t="n">
        <f aca="false">IF(DL$1&lt;Units!$P14,0,IF(AND(Units!$K14=0,DL$1=Units!$O14),Units!$R14,IF(AND(DL$1&gt;=Units!$Q14,MOD(DL$1-Units!$Q14,12)=0),IF(AND(Units!$L14=1,DL$1=Units!$Q14),IF(Units!$J14&lt;&gt;"",Units!$J14,Mkt!DL15),Inputs!$B$15*Mkt!DL15+(1-Inputs!$B$15)*MIN(Mkt!DL15,DK15*(1+Inputs!$B$18))),DK15)))</f>
        <v>1640.46725539696</v>
      </c>
      <c r="DM15" s="11" t="n">
        <f aca="false">IF(DM$1&lt;Units!$P14,0,IF(AND(Units!$K14=0,DM$1=Units!$O14),Units!$R14,IF(AND(DM$1&gt;=Units!$Q14,MOD(DM$1-Units!$Q14,12)=0),IF(AND(Units!$L14=1,DM$1=Units!$Q14),IF(Units!$J14&lt;&gt;"",Units!$J14,Mkt!DM15),Inputs!$B$15*Mkt!DM15+(1-Inputs!$B$15)*MIN(Mkt!DM15,DL15*(1+Inputs!$B$18))),DL15)))</f>
        <v>1640.46725539696</v>
      </c>
      <c r="DN15" s="11" t="n">
        <f aca="false">IF(DN$1&lt;Units!$P14,0,IF(AND(Units!$K14=0,DN$1=Units!$O14),Units!$R14,IF(AND(DN$1&gt;=Units!$Q14,MOD(DN$1-Units!$Q14,12)=0),IF(AND(Units!$L14=1,DN$1=Units!$Q14),IF(Units!$J14&lt;&gt;"",Units!$J14,Mkt!DN15),Inputs!$B$15*Mkt!DN15+(1-Inputs!$B$15)*MIN(Mkt!DN15,DM15*(1+Inputs!$B$18))),DM15)))</f>
        <v>1640.46725539696</v>
      </c>
      <c r="DO15" s="11" t="n">
        <f aca="false">IF(DO$1&lt;Units!$P14,0,IF(AND(Units!$K14=0,DO$1=Units!$O14),Units!$R14,IF(AND(DO$1&gt;=Units!$Q14,MOD(DO$1-Units!$Q14,12)=0),IF(AND(Units!$L14=1,DO$1=Units!$Q14),IF(Units!$J14&lt;&gt;"",Units!$J14,Mkt!DO15),Inputs!$B$15*Mkt!DO15+(1-Inputs!$B$15)*MIN(Mkt!DO15,DN15*(1+Inputs!$B$18))),DN15)))</f>
        <v>1689.68127305887</v>
      </c>
      <c r="DP15" s="11" t="n">
        <f aca="false">IF(DP$1&lt;Units!$P14,0,IF(AND(Units!$K14=0,DP$1=Units!$O14),Units!$R14,IF(AND(DP$1&gt;=Units!$Q14,MOD(DP$1-Units!$Q14,12)=0),IF(AND(Units!$L14=1,DP$1=Units!$Q14),IF(Units!$J14&lt;&gt;"",Units!$J14,Mkt!DP15),Inputs!$B$15*Mkt!DP15+(1-Inputs!$B$15)*MIN(Mkt!DP15,DO15*(1+Inputs!$B$18))),DO15)))</f>
        <v>1689.68127305887</v>
      </c>
      <c r="DQ15" s="11" t="n">
        <f aca="false">IF(DQ$1&lt;Units!$P14,0,IF(AND(Units!$K14=0,DQ$1=Units!$O14),Units!$R14,IF(AND(DQ$1&gt;=Units!$Q14,MOD(DQ$1-Units!$Q14,12)=0),IF(AND(Units!$L14=1,DQ$1=Units!$Q14),IF(Units!$J14&lt;&gt;"",Units!$J14,Mkt!DQ15),Inputs!$B$15*Mkt!DQ15+(1-Inputs!$B$15)*MIN(Mkt!DQ15,DP15*(1+Inputs!$B$18))),DP15)))</f>
        <v>1689.68127305887</v>
      </c>
      <c r="DR15" s="11" t="n">
        <f aca="false">IF(DR$1&lt;Units!$P14,0,IF(AND(Units!$K14=0,DR$1=Units!$O14),Units!$R14,IF(AND(DR$1&gt;=Units!$Q14,MOD(DR$1-Units!$Q14,12)=0),IF(AND(Units!$L14=1,DR$1=Units!$Q14),IF(Units!$J14&lt;&gt;"",Units!$J14,Mkt!DR15),Inputs!$B$15*Mkt!DR15+(1-Inputs!$B$15)*MIN(Mkt!DR15,DQ15*(1+Inputs!$B$18))),DQ15)))</f>
        <v>1689.68127305887</v>
      </c>
      <c r="DS15" s="11" t="n">
        <f aca="false">IF(DS$1&lt;Units!$P14,0,IF(AND(Units!$K14=0,DS$1=Units!$O14),Units!$R14,IF(AND(DS$1&gt;=Units!$Q14,MOD(DS$1-Units!$Q14,12)=0),IF(AND(Units!$L14=1,DS$1=Units!$Q14),IF(Units!$J14&lt;&gt;"",Units!$J14,Mkt!DS15),Inputs!$B$15*Mkt!DS15+(1-Inputs!$B$15)*MIN(Mkt!DS15,DR15*(1+Inputs!$B$18))),DR15)))</f>
        <v>1689.68127305887</v>
      </c>
      <c r="DT15" s="11" t="n">
        <f aca="false">IF(DT$1&lt;Units!$P14,0,IF(AND(Units!$K14=0,DT$1=Units!$O14),Units!$R14,IF(AND(DT$1&gt;=Units!$Q14,MOD(DT$1-Units!$Q14,12)=0),IF(AND(Units!$L14=1,DT$1=Units!$Q14),IF(Units!$J14&lt;&gt;"",Units!$J14,Mkt!DT15),Inputs!$B$15*Mkt!DT15+(1-Inputs!$B$15)*MIN(Mkt!DT15,DS15*(1+Inputs!$B$18))),DS15)))</f>
        <v>1689.68127305887</v>
      </c>
      <c r="DU15" s="11" t="n">
        <f aca="false">IF(DU$1&lt;Units!$P14,0,IF(AND(Units!$K14=0,DU$1=Units!$O14),Units!$R14,IF(AND(DU$1&gt;=Units!$Q14,MOD(DU$1-Units!$Q14,12)=0),IF(AND(Units!$L14=1,DU$1=Units!$Q14),IF(Units!$J14&lt;&gt;"",Units!$J14,Mkt!DU15),Inputs!$B$15*Mkt!DU15+(1-Inputs!$B$15)*MIN(Mkt!DU15,DT15*(1+Inputs!$B$18))),DT15)))</f>
        <v>1689.68127305887</v>
      </c>
      <c r="DV15" s="11" t="n">
        <f aca="false">IF(DV$1&lt;Units!$P14,0,IF(AND(Units!$K14=0,DV$1=Units!$O14),Units!$R14,IF(AND(DV$1&gt;=Units!$Q14,MOD(DV$1-Units!$Q14,12)=0),IF(AND(Units!$L14=1,DV$1=Units!$Q14),IF(Units!$J14&lt;&gt;"",Units!$J14,Mkt!DV15),Inputs!$B$15*Mkt!DV15+(1-Inputs!$B$15)*MIN(Mkt!DV15,DU15*(1+Inputs!$B$18))),DU15)))</f>
        <v>1689.68127305887</v>
      </c>
      <c r="DW15" s="11" t="n">
        <f aca="false">IF(DW$1&lt;Units!$P14,0,IF(AND(Units!$K14=0,DW$1=Units!$O14),Units!$R14,IF(AND(DW$1&gt;=Units!$Q14,MOD(DW$1-Units!$Q14,12)=0),IF(AND(Units!$L14=1,DW$1=Units!$Q14),IF(Units!$J14&lt;&gt;"",Units!$J14,Mkt!DW15),Inputs!$B$15*Mkt!DW15+(1-Inputs!$B$15)*MIN(Mkt!DW15,DV15*(1+Inputs!$B$18))),DV15)))</f>
        <v>1689.68127305887</v>
      </c>
      <c r="DX15" s="11" t="n">
        <f aca="false">IF(DX$1&lt;Units!$P14,0,IF(AND(Units!$K14=0,DX$1=Units!$O14),Units!$R14,IF(AND(DX$1&gt;=Units!$Q14,MOD(DX$1-Units!$Q14,12)=0),IF(AND(Units!$L14=1,DX$1=Units!$Q14),IF(Units!$J14&lt;&gt;"",Units!$J14,Mkt!DX15),Inputs!$B$15*Mkt!DX15+(1-Inputs!$B$15)*MIN(Mkt!DX15,DW15*(1+Inputs!$B$18))),DW15)))</f>
        <v>1689.68127305887</v>
      </c>
      <c r="DY15" s="11" t="n">
        <f aca="false">IF(DY$1&lt;Units!$P14,0,IF(AND(Units!$K14=0,DY$1=Units!$O14),Units!$R14,IF(AND(DY$1&gt;=Units!$Q14,MOD(DY$1-Units!$Q14,12)=0),IF(AND(Units!$L14=1,DY$1=Units!$Q14),IF(Units!$J14&lt;&gt;"",Units!$J14,Mkt!DY15),Inputs!$B$15*Mkt!DY15+(1-Inputs!$B$15)*MIN(Mkt!DY15,DX15*(1+Inputs!$B$18))),DX15)))</f>
        <v>1689.68127305887</v>
      </c>
      <c r="DZ15" s="11" t="n">
        <f aca="false">IF(DZ$1&lt;Units!$P14,0,IF(AND(Units!$K14=0,DZ$1=Units!$O14),Units!$R14,IF(AND(DZ$1&gt;=Units!$Q14,MOD(DZ$1-Units!$Q14,12)=0),IF(AND(Units!$L14=1,DZ$1=Units!$Q14),IF(Units!$J14&lt;&gt;"",Units!$J14,Mkt!DZ15),Inputs!$B$15*Mkt!DZ15+(1-Inputs!$B$15)*MIN(Mkt!DZ15,DY15*(1+Inputs!$B$18))),DY15)))</f>
        <v>1689.68127305887</v>
      </c>
      <c r="EA15" s="11" t="n">
        <f aca="false">IF(EA$1&lt;Units!$P14,0,IF(AND(Units!$K14=0,EA$1=Units!$O14),Units!$R14,IF(AND(EA$1&gt;=Units!$Q14,MOD(EA$1-Units!$Q14,12)=0),IF(AND(Units!$L14=1,EA$1=Units!$Q14),IF(Units!$J14&lt;&gt;"",Units!$J14,Mkt!EA15),Inputs!$B$15*Mkt!EA15+(1-Inputs!$B$15)*MIN(Mkt!EA15,DZ15*(1+Inputs!$B$18))),DZ15)))</f>
        <v>1740.37171125064</v>
      </c>
      <c r="EB15" s="11" t="n">
        <f aca="false">IF(EB$1&lt;Units!$P14,0,IF(AND(Units!$K14=0,EB$1=Units!$O14),Units!$R14,IF(AND(EB$1&gt;=Units!$Q14,MOD(EB$1-Units!$Q14,12)=0),IF(AND(Units!$L14=1,EB$1=Units!$Q14),IF(Units!$J14&lt;&gt;"",Units!$J14,Mkt!EB15),Inputs!$B$15*Mkt!EB15+(1-Inputs!$B$15)*MIN(Mkt!EB15,EA15*(1+Inputs!$B$18))),EA15)))</f>
        <v>1740.37171125064</v>
      </c>
      <c r="EC15" s="11" t="n">
        <f aca="false">IF(EC$1&lt;Units!$P14,0,IF(AND(Units!$K14=0,EC$1=Units!$O14),Units!$R14,IF(AND(EC$1&gt;=Units!$Q14,MOD(EC$1-Units!$Q14,12)=0),IF(AND(Units!$L14=1,EC$1=Units!$Q14),IF(Units!$J14&lt;&gt;"",Units!$J14,Mkt!EC15),Inputs!$B$15*Mkt!EC15+(1-Inputs!$B$15)*MIN(Mkt!EC15,EB15*(1+Inputs!$B$18))),EB15)))</f>
        <v>1740.37171125064</v>
      </c>
      <c r="ED15" s="11" t="n">
        <f aca="false">IF(ED$1&lt;Units!$P14,0,IF(AND(Units!$K14=0,ED$1=Units!$O14),Units!$R14,IF(AND(ED$1&gt;=Units!$Q14,MOD(ED$1-Units!$Q14,12)=0),IF(AND(Units!$L14=1,ED$1=Units!$Q14),IF(Units!$J14&lt;&gt;"",Units!$J14,Mkt!ED15),Inputs!$B$15*Mkt!ED15+(1-Inputs!$B$15)*MIN(Mkt!ED15,EC15*(1+Inputs!$B$18))),EC15)))</f>
        <v>1740.37171125064</v>
      </c>
    </row>
    <row r="16" customFormat="false" ht="15" hidden="false" customHeight="false" outlineLevel="0" collapsed="false">
      <c r="A16" s="22" t="n">
        <f aca="false">Units!A15</f>
        <v>114</v>
      </c>
      <c r="B16" s="24" t="n">
        <f aca="false">IF(Units!K15=1,Units!F15,0)</f>
        <v>1245</v>
      </c>
      <c r="C16" s="11" t="n">
        <f aca="false">IF(C$1&lt;Units!$P15,0,IF(AND(Units!$K15=0,C$1=Units!$O15),Units!$R15,IF(AND(C$1&gt;=Units!$Q15,MOD(C$1-Units!$Q15,12)=0),IF(AND(Units!$L15=1,C$1=Units!$Q15),IF(Units!$J15&lt;&gt;"",Units!$J15,Mkt!C16),Inputs!$B$15*Mkt!C16+(1-Inputs!$B$15)*MIN(Mkt!C16,B16*(1+Inputs!$B$18))),B16)))</f>
        <v>1245</v>
      </c>
      <c r="D16" s="11" t="n">
        <f aca="false">IF(D$1&lt;Units!$P15,0,IF(AND(Units!$K15=0,D$1=Units!$O15),Units!$R15,IF(AND(D$1&gt;=Units!$Q15,MOD(D$1-Units!$Q15,12)=0),IF(AND(Units!$L15=1,D$1=Units!$Q15),IF(Units!$J15&lt;&gt;"",Units!$J15,Mkt!D16),Inputs!$B$15*Mkt!D16+(1-Inputs!$B$15)*MIN(Mkt!D16,C16*(1+Inputs!$B$18))),C16)))</f>
        <v>1245</v>
      </c>
      <c r="E16" s="11" t="n">
        <f aca="false">IF(E$1&lt;Units!$P15,0,IF(AND(Units!$K15=0,E$1=Units!$O15),Units!$R15,IF(AND(E$1&gt;=Units!$Q15,MOD(E$1-Units!$Q15,12)=0),IF(AND(Units!$L15=1,E$1=Units!$Q15),IF(Units!$J15&lt;&gt;"",Units!$J15,Mkt!E16),Inputs!$B$15*Mkt!E16+(1-Inputs!$B$15)*MIN(Mkt!E16,D16*(1+Inputs!$B$18))),D16)))</f>
        <v>1245</v>
      </c>
      <c r="F16" s="11" t="n">
        <f aca="false">IF(F$1&lt;Units!$P15,0,IF(AND(Units!$K15=0,F$1=Units!$O15),Units!$R15,IF(AND(F$1&gt;=Units!$Q15,MOD(F$1-Units!$Q15,12)=0),IF(AND(Units!$L15=1,F$1=Units!$Q15),IF(Units!$J15&lt;&gt;"",Units!$J15,Mkt!F16),Inputs!$B$15*Mkt!F16+(1-Inputs!$B$15)*MIN(Mkt!F16,E16*(1+Inputs!$B$18))),E16)))</f>
        <v>1245</v>
      </c>
      <c r="G16" s="11" t="n">
        <f aca="false">IF(G$1&lt;Units!$P15,0,IF(AND(Units!$K15=0,G$1=Units!$O15),Units!$R15,IF(AND(G$1&gt;=Units!$Q15,MOD(G$1-Units!$Q15,12)=0),IF(AND(Units!$L15=1,G$1=Units!$Q15),IF(Units!$J15&lt;&gt;"",Units!$J15,Mkt!G16),Inputs!$B$15*Mkt!G16+(1-Inputs!$B$15)*MIN(Mkt!G16,F16*(1+Inputs!$B$18))),F16)))</f>
        <v>1245</v>
      </c>
      <c r="H16" s="11" t="n">
        <f aca="false">IF(H$1&lt;Units!$P15,0,IF(AND(Units!$K15=0,H$1=Units!$O15),Units!$R15,IF(AND(H$1&gt;=Units!$Q15,MOD(H$1-Units!$Q15,12)=0),IF(AND(Units!$L15=1,H$1=Units!$Q15),IF(Units!$J15&lt;&gt;"",Units!$J15,Mkt!H16),Inputs!$B$15*Mkt!H16+(1-Inputs!$B$15)*MIN(Mkt!H16,G16*(1+Inputs!$B$18))),G16)))</f>
        <v>1245</v>
      </c>
      <c r="I16" s="11" t="n">
        <f aca="false">IF(I$1&lt;Units!$P15,0,IF(AND(Units!$K15=0,I$1=Units!$O15),Units!$R15,IF(AND(I$1&gt;=Units!$Q15,MOD(I$1-Units!$Q15,12)=0),IF(AND(Units!$L15=1,I$1=Units!$Q15),IF(Units!$J15&lt;&gt;"",Units!$J15,Mkt!I16),Inputs!$B$15*Mkt!I16+(1-Inputs!$B$15)*MIN(Mkt!I16,H16*(1+Inputs!$B$18))),H16)))</f>
        <v>1245</v>
      </c>
      <c r="J16" s="11" t="n">
        <f aca="false">IF(J$1&lt;Units!$P15,0,IF(AND(Units!$K15=0,J$1=Units!$O15),Units!$R15,IF(AND(J$1&gt;=Units!$Q15,MOD(J$1-Units!$Q15,12)=0),IF(AND(Units!$L15=1,J$1=Units!$Q15),IF(Units!$J15&lt;&gt;"",Units!$J15,Mkt!J16),Inputs!$B$15*Mkt!J16+(1-Inputs!$B$15)*MIN(Mkt!J16,I16*(1+Inputs!$B$18))),I16)))</f>
        <v>1245</v>
      </c>
      <c r="K16" s="11" t="n">
        <f aca="false">IF(K$1&lt;Units!$P15,0,IF(AND(Units!$K15=0,K$1=Units!$O15),Units!$R15,IF(AND(K$1&gt;=Units!$Q15,MOD(K$1-Units!$Q15,12)=0),IF(AND(Units!$L15=1,K$1=Units!$Q15),IF(Units!$J15&lt;&gt;"",Units!$J15,Mkt!K16),Inputs!$B$15*Mkt!K16+(1-Inputs!$B$15)*MIN(Mkt!K16,J16*(1+Inputs!$B$18))),J16)))</f>
        <v>1245</v>
      </c>
      <c r="L16" s="11" t="n">
        <f aca="false">IF(L$1&lt;Units!$P15,0,IF(AND(Units!$K15=0,L$1=Units!$O15),Units!$R15,IF(AND(L$1&gt;=Units!$Q15,MOD(L$1-Units!$Q15,12)=0),IF(AND(Units!$L15=1,L$1=Units!$Q15),IF(Units!$J15&lt;&gt;"",Units!$J15,Mkt!L16),Inputs!$B$15*Mkt!L16+(1-Inputs!$B$15)*MIN(Mkt!L16,K16*(1+Inputs!$B$18))),K16)))</f>
        <v>1295</v>
      </c>
      <c r="M16" s="11" t="n">
        <f aca="false">IF(M$1&lt;Units!$P15,0,IF(AND(Units!$K15=0,M$1=Units!$O15),Units!$R15,IF(AND(M$1&gt;=Units!$Q15,MOD(M$1-Units!$Q15,12)=0),IF(AND(Units!$L15=1,M$1=Units!$Q15),IF(Units!$J15&lt;&gt;"",Units!$J15,Mkt!M16),Inputs!$B$15*Mkt!M16+(1-Inputs!$B$15)*MIN(Mkt!M16,L16*(1+Inputs!$B$18))),L16)))</f>
        <v>1295</v>
      </c>
      <c r="N16" s="11" t="n">
        <f aca="false">IF(N$1&lt;Units!$P15,0,IF(AND(Units!$K15=0,N$1=Units!$O15),Units!$R15,IF(AND(N$1&gt;=Units!$Q15,MOD(N$1-Units!$Q15,12)=0),IF(AND(Units!$L15=1,N$1=Units!$Q15),IF(Units!$J15&lt;&gt;"",Units!$J15,Mkt!N16),Inputs!$B$15*Mkt!N16+(1-Inputs!$B$15)*MIN(Mkt!N16,M16*(1+Inputs!$B$18))),M16)))</f>
        <v>1295</v>
      </c>
      <c r="O16" s="11" t="n">
        <f aca="false">IF(O$1&lt;Units!$P15,0,IF(AND(Units!$K15=0,O$1=Units!$O15),Units!$R15,IF(AND(O$1&gt;=Units!$Q15,MOD(O$1-Units!$Q15,12)=0),IF(AND(Units!$L15=1,O$1=Units!$Q15),IF(Units!$J15&lt;&gt;"",Units!$J15,Mkt!O16),Inputs!$B$15*Mkt!O16+(1-Inputs!$B$15)*MIN(Mkt!O16,N16*(1+Inputs!$B$18))),N16)))</f>
        <v>1295</v>
      </c>
      <c r="P16" s="11" t="n">
        <f aca="false">IF(P$1&lt;Units!$P15,0,IF(AND(Units!$K15=0,P$1=Units!$O15),Units!$R15,IF(AND(P$1&gt;=Units!$Q15,MOD(P$1-Units!$Q15,12)=0),IF(AND(Units!$L15=1,P$1=Units!$Q15),IF(Units!$J15&lt;&gt;"",Units!$J15,Mkt!P16),Inputs!$B$15*Mkt!P16+(1-Inputs!$B$15)*MIN(Mkt!P16,O16*(1+Inputs!$B$18))),O16)))</f>
        <v>1295</v>
      </c>
      <c r="Q16" s="11" t="n">
        <f aca="false">IF(Q$1&lt;Units!$P15,0,IF(AND(Units!$K15=0,Q$1=Units!$O15),Units!$R15,IF(AND(Q$1&gt;=Units!$Q15,MOD(Q$1-Units!$Q15,12)=0),IF(AND(Units!$L15=1,Q$1=Units!$Q15),IF(Units!$J15&lt;&gt;"",Units!$J15,Mkt!Q16),Inputs!$B$15*Mkt!Q16+(1-Inputs!$B$15)*MIN(Mkt!Q16,P16*(1+Inputs!$B$18))),P16)))</f>
        <v>1295</v>
      </c>
      <c r="R16" s="11" t="n">
        <f aca="false">IF(R$1&lt;Units!$P15,0,IF(AND(Units!$K15=0,R$1=Units!$O15),Units!$R15,IF(AND(R$1&gt;=Units!$Q15,MOD(R$1-Units!$Q15,12)=0),IF(AND(Units!$L15=1,R$1=Units!$Q15),IF(Units!$J15&lt;&gt;"",Units!$J15,Mkt!R16),Inputs!$B$15*Mkt!R16+(1-Inputs!$B$15)*MIN(Mkt!R16,Q16*(1+Inputs!$B$18))),Q16)))</f>
        <v>1295</v>
      </c>
      <c r="S16" s="11" t="n">
        <f aca="false">IF(S$1&lt;Units!$P15,0,IF(AND(Units!$K15=0,S$1=Units!$O15),Units!$R15,IF(AND(S$1&gt;=Units!$Q15,MOD(S$1-Units!$Q15,12)=0),IF(AND(Units!$L15=1,S$1=Units!$Q15),IF(Units!$J15&lt;&gt;"",Units!$J15,Mkt!S16),Inputs!$B$15*Mkt!S16+(1-Inputs!$B$15)*MIN(Mkt!S16,R16*(1+Inputs!$B$18))),R16)))</f>
        <v>1295</v>
      </c>
      <c r="T16" s="11" t="n">
        <f aca="false">IF(T$1&lt;Units!$P15,0,IF(AND(Units!$K15=0,T$1=Units!$O15),Units!$R15,IF(AND(T$1&gt;=Units!$Q15,MOD(T$1-Units!$Q15,12)=0),IF(AND(Units!$L15=1,T$1=Units!$Q15),IF(Units!$J15&lt;&gt;"",Units!$J15,Mkt!T16),Inputs!$B$15*Mkt!T16+(1-Inputs!$B$15)*MIN(Mkt!T16,S16*(1+Inputs!$B$18))),S16)))</f>
        <v>1295</v>
      </c>
      <c r="U16" s="11" t="n">
        <f aca="false">IF(U$1&lt;Units!$P15,0,IF(AND(Units!$K15=0,U$1=Units!$O15),Units!$R15,IF(AND(U$1&gt;=Units!$Q15,MOD(U$1-Units!$Q15,12)=0),IF(AND(Units!$L15=1,U$1=Units!$Q15),IF(Units!$J15&lt;&gt;"",Units!$J15,Mkt!U16),Inputs!$B$15*Mkt!U16+(1-Inputs!$B$15)*MIN(Mkt!U16,T16*(1+Inputs!$B$18))),T16)))</f>
        <v>1295</v>
      </c>
      <c r="V16" s="11" t="n">
        <f aca="false">IF(V$1&lt;Units!$P15,0,IF(AND(Units!$K15=0,V$1=Units!$O15),Units!$R15,IF(AND(V$1&gt;=Units!$Q15,MOD(V$1-Units!$Q15,12)=0),IF(AND(Units!$L15=1,V$1=Units!$Q15),IF(Units!$J15&lt;&gt;"",Units!$J15,Mkt!V16),Inputs!$B$15*Mkt!V16+(1-Inputs!$B$15)*MIN(Mkt!V16,U16*(1+Inputs!$B$18))),U16)))</f>
        <v>1295</v>
      </c>
      <c r="W16" s="11" t="n">
        <f aca="false">IF(W$1&lt;Units!$P15,0,IF(AND(Units!$K15=0,W$1=Units!$O15),Units!$R15,IF(AND(W$1&gt;=Units!$Q15,MOD(W$1-Units!$Q15,12)=0),IF(AND(Units!$L15=1,W$1=Units!$Q15),IF(Units!$J15&lt;&gt;"",Units!$J15,Mkt!W16),Inputs!$B$15*Mkt!W16+(1-Inputs!$B$15)*MIN(Mkt!W16,V16*(1+Inputs!$B$18))),V16)))</f>
        <v>1295</v>
      </c>
      <c r="X16" s="11" t="n">
        <f aca="false">IF(X$1&lt;Units!$P15,0,IF(AND(Units!$K15=0,X$1=Units!$O15),Units!$R15,IF(AND(X$1&gt;=Units!$Q15,MOD(X$1-Units!$Q15,12)=0),IF(AND(Units!$L15=1,X$1=Units!$Q15),IF(Units!$J15&lt;&gt;"",Units!$J15,Mkt!X16),Inputs!$B$15*Mkt!X16+(1-Inputs!$B$15)*MIN(Mkt!X16,W16*(1+Inputs!$B$18))),W16)))</f>
        <v>1333.85</v>
      </c>
      <c r="Y16" s="11" t="n">
        <f aca="false">IF(Y$1&lt;Units!$P15,0,IF(AND(Units!$K15=0,Y$1=Units!$O15),Units!$R15,IF(AND(Y$1&gt;=Units!$Q15,MOD(Y$1-Units!$Q15,12)=0),IF(AND(Units!$L15=1,Y$1=Units!$Q15),IF(Units!$J15&lt;&gt;"",Units!$J15,Mkt!Y16),Inputs!$B$15*Mkt!Y16+(1-Inputs!$B$15)*MIN(Mkt!Y16,X16*(1+Inputs!$B$18))),X16)))</f>
        <v>1333.85</v>
      </c>
      <c r="Z16" s="11" t="n">
        <f aca="false">IF(Z$1&lt;Units!$P15,0,IF(AND(Units!$K15=0,Z$1=Units!$O15),Units!$R15,IF(AND(Z$1&gt;=Units!$Q15,MOD(Z$1-Units!$Q15,12)=0),IF(AND(Units!$L15=1,Z$1=Units!$Q15),IF(Units!$J15&lt;&gt;"",Units!$J15,Mkt!Z16),Inputs!$B$15*Mkt!Z16+(1-Inputs!$B$15)*MIN(Mkt!Z16,Y16*(1+Inputs!$B$18))),Y16)))</f>
        <v>1333.85</v>
      </c>
      <c r="AA16" s="11" t="n">
        <f aca="false">IF(AA$1&lt;Units!$P15,0,IF(AND(Units!$K15=0,AA$1=Units!$O15),Units!$R15,IF(AND(AA$1&gt;=Units!$Q15,MOD(AA$1-Units!$Q15,12)=0),IF(AND(Units!$L15=1,AA$1=Units!$Q15),IF(Units!$J15&lt;&gt;"",Units!$J15,Mkt!AA16),Inputs!$B$15*Mkt!AA16+(1-Inputs!$B$15)*MIN(Mkt!AA16,Z16*(1+Inputs!$B$18))),Z16)))</f>
        <v>1333.85</v>
      </c>
      <c r="AB16" s="11" t="n">
        <f aca="false">IF(AB$1&lt;Units!$P15,0,IF(AND(Units!$K15=0,AB$1=Units!$O15),Units!$R15,IF(AND(AB$1&gt;=Units!$Q15,MOD(AB$1-Units!$Q15,12)=0),IF(AND(Units!$L15=1,AB$1=Units!$Q15),IF(Units!$J15&lt;&gt;"",Units!$J15,Mkt!AB16),Inputs!$B$15*Mkt!AB16+(1-Inputs!$B$15)*MIN(Mkt!AB16,AA16*(1+Inputs!$B$18))),AA16)))</f>
        <v>1333.85</v>
      </c>
      <c r="AC16" s="11" t="n">
        <f aca="false">IF(AC$1&lt;Units!$P15,0,IF(AND(Units!$K15=0,AC$1=Units!$O15),Units!$R15,IF(AND(AC$1&gt;=Units!$Q15,MOD(AC$1-Units!$Q15,12)=0),IF(AND(Units!$L15=1,AC$1=Units!$Q15),IF(Units!$J15&lt;&gt;"",Units!$J15,Mkt!AC16),Inputs!$B$15*Mkt!AC16+(1-Inputs!$B$15)*MIN(Mkt!AC16,AB16*(1+Inputs!$B$18))),AB16)))</f>
        <v>1333.85</v>
      </c>
      <c r="AD16" s="11" t="n">
        <f aca="false">IF(AD$1&lt;Units!$P15,0,IF(AND(Units!$K15=0,AD$1=Units!$O15),Units!$R15,IF(AND(AD$1&gt;=Units!$Q15,MOD(AD$1-Units!$Q15,12)=0),IF(AND(Units!$L15=1,AD$1=Units!$Q15),IF(Units!$J15&lt;&gt;"",Units!$J15,Mkt!AD16),Inputs!$B$15*Mkt!AD16+(1-Inputs!$B$15)*MIN(Mkt!AD16,AC16*(1+Inputs!$B$18))),AC16)))</f>
        <v>1333.85</v>
      </c>
      <c r="AE16" s="11" t="n">
        <f aca="false">IF(AE$1&lt;Units!$P15,0,IF(AND(Units!$K15=0,AE$1=Units!$O15),Units!$R15,IF(AND(AE$1&gt;=Units!$Q15,MOD(AE$1-Units!$Q15,12)=0),IF(AND(Units!$L15=1,AE$1=Units!$Q15),IF(Units!$J15&lt;&gt;"",Units!$J15,Mkt!AE16),Inputs!$B$15*Mkt!AE16+(1-Inputs!$B$15)*MIN(Mkt!AE16,AD16*(1+Inputs!$B$18))),AD16)))</f>
        <v>1333.85</v>
      </c>
      <c r="AF16" s="11" t="n">
        <f aca="false">IF(AF$1&lt;Units!$P15,0,IF(AND(Units!$K15=0,AF$1=Units!$O15),Units!$R15,IF(AND(AF$1&gt;=Units!$Q15,MOD(AF$1-Units!$Q15,12)=0),IF(AND(Units!$L15=1,AF$1=Units!$Q15),IF(Units!$J15&lt;&gt;"",Units!$J15,Mkt!AF16),Inputs!$B$15*Mkt!AF16+(1-Inputs!$B$15)*MIN(Mkt!AF16,AE16*(1+Inputs!$B$18))),AE16)))</f>
        <v>1333.85</v>
      </c>
      <c r="AG16" s="11" t="n">
        <f aca="false">IF(AG$1&lt;Units!$P15,0,IF(AND(Units!$K15=0,AG$1=Units!$O15),Units!$R15,IF(AND(AG$1&gt;=Units!$Q15,MOD(AG$1-Units!$Q15,12)=0),IF(AND(Units!$L15=1,AG$1=Units!$Q15),IF(Units!$J15&lt;&gt;"",Units!$J15,Mkt!AG16),Inputs!$B$15*Mkt!AG16+(1-Inputs!$B$15)*MIN(Mkt!AG16,AF16*(1+Inputs!$B$18))),AF16)))</f>
        <v>1333.85</v>
      </c>
      <c r="AH16" s="11" t="n">
        <f aca="false">IF(AH$1&lt;Units!$P15,0,IF(AND(Units!$K15=0,AH$1=Units!$O15),Units!$R15,IF(AND(AH$1&gt;=Units!$Q15,MOD(AH$1-Units!$Q15,12)=0),IF(AND(Units!$L15=1,AH$1=Units!$Q15),IF(Units!$J15&lt;&gt;"",Units!$J15,Mkt!AH16),Inputs!$B$15*Mkt!AH16+(1-Inputs!$B$15)*MIN(Mkt!AH16,AG16*(1+Inputs!$B$18))),AG16)))</f>
        <v>1333.85</v>
      </c>
      <c r="AI16" s="11" t="n">
        <f aca="false">IF(AI$1&lt;Units!$P15,0,IF(AND(Units!$K15=0,AI$1=Units!$O15),Units!$R15,IF(AND(AI$1&gt;=Units!$Q15,MOD(AI$1-Units!$Q15,12)=0),IF(AND(Units!$L15=1,AI$1=Units!$Q15),IF(Units!$J15&lt;&gt;"",Units!$J15,Mkt!AI16),Inputs!$B$15*Mkt!AI16+(1-Inputs!$B$15)*MIN(Mkt!AI16,AH16*(1+Inputs!$B$18))),AH16)))</f>
        <v>1333.85</v>
      </c>
      <c r="AJ16" s="11" t="n">
        <f aca="false">IF(AJ$1&lt;Units!$P15,0,IF(AND(Units!$K15=0,AJ$1=Units!$O15),Units!$R15,IF(AND(AJ$1&gt;=Units!$Q15,MOD(AJ$1-Units!$Q15,12)=0),IF(AND(Units!$L15=1,AJ$1=Units!$Q15),IF(Units!$J15&lt;&gt;"",Units!$J15,Mkt!AJ16),Inputs!$B$15*Mkt!AJ16+(1-Inputs!$B$15)*MIN(Mkt!AJ16,AI16*(1+Inputs!$B$18))),AI16)))</f>
        <v>1373.8655</v>
      </c>
      <c r="AK16" s="11" t="n">
        <f aca="false">IF(AK$1&lt;Units!$P15,0,IF(AND(Units!$K15=0,AK$1=Units!$O15),Units!$R15,IF(AND(AK$1&gt;=Units!$Q15,MOD(AK$1-Units!$Q15,12)=0),IF(AND(Units!$L15=1,AK$1=Units!$Q15),IF(Units!$J15&lt;&gt;"",Units!$J15,Mkt!AK16),Inputs!$B$15*Mkt!AK16+(1-Inputs!$B$15)*MIN(Mkt!AK16,AJ16*(1+Inputs!$B$18))),AJ16)))</f>
        <v>1373.8655</v>
      </c>
      <c r="AL16" s="11" t="n">
        <f aca="false">IF(AL$1&lt;Units!$P15,0,IF(AND(Units!$K15=0,AL$1=Units!$O15),Units!$R15,IF(AND(AL$1&gt;=Units!$Q15,MOD(AL$1-Units!$Q15,12)=0),IF(AND(Units!$L15=1,AL$1=Units!$Q15),IF(Units!$J15&lt;&gt;"",Units!$J15,Mkt!AL16),Inputs!$B$15*Mkt!AL16+(1-Inputs!$B$15)*MIN(Mkt!AL16,AK16*(1+Inputs!$B$18))),AK16)))</f>
        <v>1373.8655</v>
      </c>
      <c r="AM16" s="11" t="n">
        <f aca="false">IF(AM$1&lt;Units!$P15,0,IF(AND(Units!$K15=0,AM$1=Units!$O15),Units!$R15,IF(AND(AM$1&gt;=Units!$Q15,MOD(AM$1-Units!$Q15,12)=0),IF(AND(Units!$L15=1,AM$1=Units!$Q15),IF(Units!$J15&lt;&gt;"",Units!$J15,Mkt!AM16),Inputs!$B$15*Mkt!AM16+(1-Inputs!$B$15)*MIN(Mkt!AM16,AL16*(1+Inputs!$B$18))),AL16)))</f>
        <v>1373.8655</v>
      </c>
      <c r="AN16" s="11" t="n">
        <f aca="false">IF(AN$1&lt;Units!$P15,0,IF(AND(Units!$K15=0,AN$1=Units!$O15),Units!$R15,IF(AND(AN$1&gt;=Units!$Q15,MOD(AN$1-Units!$Q15,12)=0),IF(AND(Units!$L15=1,AN$1=Units!$Q15),IF(Units!$J15&lt;&gt;"",Units!$J15,Mkt!AN16),Inputs!$B$15*Mkt!AN16+(1-Inputs!$B$15)*MIN(Mkt!AN16,AM16*(1+Inputs!$B$18))),AM16)))</f>
        <v>1373.8655</v>
      </c>
      <c r="AO16" s="11" t="n">
        <f aca="false">IF(AO$1&lt;Units!$P15,0,IF(AND(Units!$K15=0,AO$1=Units!$O15),Units!$R15,IF(AND(AO$1&gt;=Units!$Q15,MOD(AO$1-Units!$Q15,12)=0),IF(AND(Units!$L15=1,AO$1=Units!$Q15),IF(Units!$J15&lt;&gt;"",Units!$J15,Mkt!AO16),Inputs!$B$15*Mkt!AO16+(1-Inputs!$B$15)*MIN(Mkt!AO16,AN16*(1+Inputs!$B$18))),AN16)))</f>
        <v>1373.8655</v>
      </c>
      <c r="AP16" s="11" t="n">
        <f aca="false">IF(AP$1&lt;Units!$P15,0,IF(AND(Units!$K15=0,AP$1=Units!$O15),Units!$R15,IF(AND(AP$1&gt;=Units!$Q15,MOD(AP$1-Units!$Q15,12)=0),IF(AND(Units!$L15=1,AP$1=Units!$Q15),IF(Units!$J15&lt;&gt;"",Units!$J15,Mkt!AP16),Inputs!$B$15*Mkt!AP16+(1-Inputs!$B$15)*MIN(Mkt!AP16,AO16*(1+Inputs!$B$18))),AO16)))</f>
        <v>1373.8655</v>
      </c>
      <c r="AQ16" s="11" t="n">
        <f aca="false">IF(AQ$1&lt;Units!$P15,0,IF(AND(Units!$K15=0,AQ$1=Units!$O15),Units!$R15,IF(AND(AQ$1&gt;=Units!$Q15,MOD(AQ$1-Units!$Q15,12)=0),IF(AND(Units!$L15=1,AQ$1=Units!$Q15),IF(Units!$J15&lt;&gt;"",Units!$J15,Mkt!AQ16),Inputs!$B$15*Mkt!AQ16+(1-Inputs!$B$15)*MIN(Mkt!AQ16,AP16*(1+Inputs!$B$18))),AP16)))</f>
        <v>1373.8655</v>
      </c>
      <c r="AR16" s="11" t="n">
        <f aca="false">IF(AR$1&lt;Units!$P15,0,IF(AND(Units!$K15=0,AR$1=Units!$O15),Units!$R15,IF(AND(AR$1&gt;=Units!$Q15,MOD(AR$1-Units!$Q15,12)=0),IF(AND(Units!$L15=1,AR$1=Units!$Q15),IF(Units!$J15&lt;&gt;"",Units!$J15,Mkt!AR16),Inputs!$B$15*Mkt!AR16+(1-Inputs!$B$15)*MIN(Mkt!AR16,AQ16*(1+Inputs!$B$18))),AQ16)))</f>
        <v>1373.8655</v>
      </c>
      <c r="AS16" s="11" t="n">
        <f aca="false">IF(AS$1&lt;Units!$P15,0,IF(AND(Units!$K15=0,AS$1=Units!$O15),Units!$R15,IF(AND(AS$1&gt;=Units!$Q15,MOD(AS$1-Units!$Q15,12)=0),IF(AND(Units!$L15=1,AS$1=Units!$Q15),IF(Units!$J15&lt;&gt;"",Units!$J15,Mkt!AS16),Inputs!$B$15*Mkt!AS16+(1-Inputs!$B$15)*MIN(Mkt!AS16,AR16*(1+Inputs!$B$18))),AR16)))</f>
        <v>1373.8655</v>
      </c>
      <c r="AT16" s="11" t="n">
        <f aca="false">IF(AT$1&lt;Units!$P15,0,IF(AND(Units!$K15=0,AT$1=Units!$O15),Units!$R15,IF(AND(AT$1&gt;=Units!$Q15,MOD(AT$1-Units!$Q15,12)=0),IF(AND(Units!$L15=1,AT$1=Units!$Q15),IF(Units!$J15&lt;&gt;"",Units!$J15,Mkt!AT16),Inputs!$B$15*Mkt!AT16+(1-Inputs!$B$15)*MIN(Mkt!AT16,AS16*(1+Inputs!$B$18))),AS16)))</f>
        <v>1373.8655</v>
      </c>
      <c r="AU16" s="11" t="n">
        <f aca="false">IF(AU$1&lt;Units!$P15,0,IF(AND(Units!$K15=0,AU$1=Units!$O15),Units!$R15,IF(AND(AU$1&gt;=Units!$Q15,MOD(AU$1-Units!$Q15,12)=0),IF(AND(Units!$L15=1,AU$1=Units!$Q15),IF(Units!$J15&lt;&gt;"",Units!$J15,Mkt!AU16),Inputs!$B$15*Mkt!AU16+(1-Inputs!$B$15)*MIN(Mkt!AU16,AT16*(1+Inputs!$B$18))),AT16)))</f>
        <v>1373.8655</v>
      </c>
      <c r="AV16" s="11" t="n">
        <f aca="false">IF(AV$1&lt;Units!$P15,0,IF(AND(Units!$K15=0,AV$1=Units!$O15),Units!$R15,IF(AND(AV$1&gt;=Units!$Q15,MOD(AV$1-Units!$Q15,12)=0),IF(AND(Units!$L15=1,AV$1=Units!$Q15),IF(Units!$J15&lt;&gt;"",Units!$J15,Mkt!AV16),Inputs!$B$15*Mkt!AV16+(1-Inputs!$B$15)*MIN(Mkt!AV16,AU16*(1+Inputs!$B$18))),AU16)))</f>
        <v>1415.081465</v>
      </c>
      <c r="AW16" s="11" t="n">
        <f aca="false">IF(AW$1&lt;Units!$P15,0,IF(AND(Units!$K15=0,AW$1=Units!$O15),Units!$R15,IF(AND(AW$1&gt;=Units!$Q15,MOD(AW$1-Units!$Q15,12)=0),IF(AND(Units!$L15=1,AW$1=Units!$Q15),IF(Units!$J15&lt;&gt;"",Units!$J15,Mkt!AW16),Inputs!$B$15*Mkt!AW16+(1-Inputs!$B$15)*MIN(Mkt!AW16,AV16*(1+Inputs!$B$18))),AV16)))</f>
        <v>1415.081465</v>
      </c>
      <c r="AX16" s="11" t="n">
        <f aca="false">IF(AX$1&lt;Units!$P15,0,IF(AND(Units!$K15=0,AX$1=Units!$O15),Units!$R15,IF(AND(AX$1&gt;=Units!$Q15,MOD(AX$1-Units!$Q15,12)=0),IF(AND(Units!$L15=1,AX$1=Units!$Q15),IF(Units!$J15&lt;&gt;"",Units!$J15,Mkt!AX16),Inputs!$B$15*Mkt!AX16+(1-Inputs!$B$15)*MIN(Mkt!AX16,AW16*(1+Inputs!$B$18))),AW16)))</f>
        <v>1415.081465</v>
      </c>
      <c r="AY16" s="11" t="n">
        <f aca="false">IF(AY$1&lt;Units!$P15,0,IF(AND(Units!$K15=0,AY$1=Units!$O15),Units!$R15,IF(AND(AY$1&gt;=Units!$Q15,MOD(AY$1-Units!$Q15,12)=0),IF(AND(Units!$L15=1,AY$1=Units!$Q15),IF(Units!$J15&lt;&gt;"",Units!$J15,Mkt!AY16),Inputs!$B$15*Mkt!AY16+(1-Inputs!$B$15)*MIN(Mkt!AY16,AX16*(1+Inputs!$B$18))),AX16)))</f>
        <v>1415.081465</v>
      </c>
      <c r="AZ16" s="11" t="n">
        <f aca="false">IF(AZ$1&lt;Units!$P15,0,IF(AND(Units!$K15=0,AZ$1=Units!$O15),Units!$R15,IF(AND(AZ$1&gt;=Units!$Q15,MOD(AZ$1-Units!$Q15,12)=0),IF(AND(Units!$L15=1,AZ$1=Units!$Q15),IF(Units!$J15&lt;&gt;"",Units!$J15,Mkt!AZ16),Inputs!$B$15*Mkt!AZ16+(1-Inputs!$B$15)*MIN(Mkt!AZ16,AY16*(1+Inputs!$B$18))),AY16)))</f>
        <v>1415.081465</v>
      </c>
      <c r="BA16" s="11" t="n">
        <f aca="false">IF(BA$1&lt;Units!$P15,0,IF(AND(Units!$K15=0,BA$1=Units!$O15),Units!$R15,IF(AND(BA$1&gt;=Units!$Q15,MOD(BA$1-Units!$Q15,12)=0),IF(AND(Units!$L15=1,BA$1=Units!$Q15),IF(Units!$J15&lt;&gt;"",Units!$J15,Mkt!BA16),Inputs!$B$15*Mkt!BA16+(1-Inputs!$B$15)*MIN(Mkt!BA16,AZ16*(1+Inputs!$B$18))),AZ16)))</f>
        <v>1415.081465</v>
      </c>
      <c r="BB16" s="11" t="n">
        <f aca="false">IF(BB$1&lt;Units!$P15,0,IF(AND(Units!$K15=0,BB$1=Units!$O15),Units!$R15,IF(AND(BB$1&gt;=Units!$Q15,MOD(BB$1-Units!$Q15,12)=0),IF(AND(Units!$L15=1,BB$1=Units!$Q15),IF(Units!$J15&lt;&gt;"",Units!$J15,Mkt!BB16),Inputs!$B$15*Mkt!BB16+(1-Inputs!$B$15)*MIN(Mkt!BB16,BA16*(1+Inputs!$B$18))),BA16)))</f>
        <v>1415.081465</v>
      </c>
      <c r="BC16" s="11" t="n">
        <f aca="false">IF(BC$1&lt;Units!$P15,0,IF(AND(Units!$K15=0,BC$1=Units!$O15),Units!$R15,IF(AND(BC$1&gt;=Units!$Q15,MOD(BC$1-Units!$Q15,12)=0),IF(AND(Units!$L15=1,BC$1=Units!$Q15),IF(Units!$J15&lt;&gt;"",Units!$J15,Mkt!BC16),Inputs!$B$15*Mkt!BC16+(1-Inputs!$B$15)*MIN(Mkt!BC16,BB16*(1+Inputs!$B$18))),BB16)))</f>
        <v>1415.081465</v>
      </c>
      <c r="BD16" s="11" t="n">
        <f aca="false">IF(BD$1&lt;Units!$P15,0,IF(AND(Units!$K15=0,BD$1=Units!$O15),Units!$R15,IF(AND(BD$1&gt;=Units!$Q15,MOD(BD$1-Units!$Q15,12)=0),IF(AND(Units!$L15=1,BD$1=Units!$Q15),IF(Units!$J15&lt;&gt;"",Units!$J15,Mkt!BD16),Inputs!$B$15*Mkt!BD16+(1-Inputs!$B$15)*MIN(Mkt!BD16,BC16*(1+Inputs!$B$18))),BC16)))</f>
        <v>1415.081465</v>
      </c>
      <c r="BE16" s="11" t="n">
        <f aca="false">IF(BE$1&lt;Units!$P15,0,IF(AND(Units!$K15=0,BE$1=Units!$O15),Units!$R15,IF(AND(BE$1&gt;=Units!$Q15,MOD(BE$1-Units!$Q15,12)=0),IF(AND(Units!$L15=1,BE$1=Units!$Q15),IF(Units!$J15&lt;&gt;"",Units!$J15,Mkt!BE16),Inputs!$B$15*Mkt!BE16+(1-Inputs!$B$15)*MIN(Mkt!BE16,BD16*(1+Inputs!$B$18))),BD16)))</f>
        <v>1415.081465</v>
      </c>
      <c r="BF16" s="11" t="n">
        <f aca="false">IF(BF$1&lt;Units!$P15,0,IF(AND(Units!$K15=0,BF$1=Units!$O15),Units!$R15,IF(AND(BF$1&gt;=Units!$Q15,MOD(BF$1-Units!$Q15,12)=0),IF(AND(Units!$L15=1,BF$1=Units!$Q15),IF(Units!$J15&lt;&gt;"",Units!$J15,Mkt!BF16),Inputs!$B$15*Mkt!BF16+(1-Inputs!$B$15)*MIN(Mkt!BF16,BE16*(1+Inputs!$B$18))),BE16)))</f>
        <v>1415.081465</v>
      </c>
      <c r="BG16" s="11" t="n">
        <f aca="false">IF(BG$1&lt;Units!$P15,0,IF(AND(Units!$K15=0,BG$1=Units!$O15),Units!$R15,IF(AND(BG$1&gt;=Units!$Q15,MOD(BG$1-Units!$Q15,12)=0),IF(AND(Units!$L15=1,BG$1=Units!$Q15),IF(Units!$J15&lt;&gt;"",Units!$J15,Mkt!BG16),Inputs!$B$15*Mkt!BG16+(1-Inputs!$B$15)*MIN(Mkt!BG16,BF16*(1+Inputs!$B$18))),BF16)))</f>
        <v>1415.081465</v>
      </c>
      <c r="BH16" s="11" t="n">
        <f aca="false">IF(BH$1&lt;Units!$P15,0,IF(AND(Units!$K15=0,BH$1=Units!$O15),Units!$R15,IF(AND(BH$1&gt;=Units!$Q15,MOD(BH$1-Units!$Q15,12)=0),IF(AND(Units!$L15=1,BH$1=Units!$Q15),IF(Units!$J15&lt;&gt;"",Units!$J15,Mkt!BH16),Inputs!$B$15*Mkt!BH16+(1-Inputs!$B$15)*MIN(Mkt!BH16,BG16*(1+Inputs!$B$18))),BG16)))</f>
        <v>1457.53390895</v>
      </c>
      <c r="BI16" s="11" t="n">
        <f aca="false">IF(BI$1&lt;Units!$P15,0,IF(AND(Units!$K15=0,BI$1=Units!$O15),Units!$R15,IF(AND(BI$1&gt;=Units!$Q15,MOD(BI$1-Units!$Q15,12)=0),IF(AND(Units!$L15=1,BI$1=Units!$Q15),IF(Units!$J15&lt;&gt;"",Units!$J15,Mkt!BI16),Inputs!$B$15*Mkt!BI16+(1-Inputs!$B$15)*MIN(Mkt!BI16,BH16*(1+Inputs!$B$18))),BH16)))</f>
        <v>1457.53390895</v>
      </c>
      <c r="BJ16" s="11" t="n">
        <f aca="false">IF(BJ$1&lt;Units!$P15,0,IF(AND(Units!$K15=0,BJ$1=Units!$O15),Units!$R15,IF(AND(BJ$1&gt;=Units!$Q15,MOD(BJ$1-Units!$Q15,12)=0),IF(AND(Units!$L15=1,BJ$1=Units!$Q15),IF(Units!$J15&lt;&gt;"",Units!$J15,Mkt!BJ16),Inputs!$B$15*Mkt!BJ16+(1-Inputs!$B$15)*MIN(Mkt!BJ16,BI16*(1+Inputs!$B$18))),BI16)))</f>
        <v>1457.53390895</v>
      </c>
      <c r="BK16" s="11" t="n">
        <f aca="false">IF(BK$1&lt;Units!$P15,0,IF(AND(Units!$K15=0,BK$1=Units!$O15),Units!$R15,IF(AND(BK$1&gt;=Units!$Q15,MOD(BK$1-Units!$Q15,12)=0),IF(AND(Units!$L15=1,BK$1=Units!$Q15),IF(Units!$J15&lt;&gt;"",Units!$J15,Mkt!BK16),Inputs!$B$15*Mkt!BK16+(1-Inputs!$B$15)*MIN(Mkt!BK16,BJ16*(1+Inputs!$B$18))),BJ16)))</f>
        <v>1457.53390895</v>
      </c>
      <c r="BL16" s="11" t="n">
        <f aca="false">IF(BL$1&lt;Units!$P15,0,IF(AND(Units!$K15=0,BL$1=Units!$O15),Units!$R15,IF(AND(BL$1&gt;=Units!$Q15,MOD(BL$1-Units!$Q15,12)=0),IF(AND(Units!$L15=1,BL$1=Units!$Q15),IF(Units!$J15&lt;&gt;"",Units!$J15,Mkt!BL16),Inputs!$B$15*Mkt!BL16+(1-Inputs!$B$15)*MIN(Mkt!BL16,BK16*(1+Inputs!$B$18))),BK16)))</f>
        <v>1457.53390895</v>
      </c>
      <c r="BM16" s="11" t="n">
        <f aca="false">IF(BM$1&lt;Units!$P15,0,IF(AND(Units!$K15=0,BM$1=Units!$O15),Units!$R15,IF(AND(BM$1&gt;=Units!$Q15,MOD(BM$1-Units!$Q15,12)=0),IF(AND(Units!$L15=1,BM$1=Units!$Q15),IF(Units!$J15&lt;&gt;"",Units!$J15,Mkt!BM16),Inputs!$B$15*Mkt!BM16+(1-Inputs!$B$15)*MIN(Mkt!BM16,BL16*(1+Inputs!$B$18))),BL16)))</f>
        <v>1457.53390895</v>
      </c>
      <c r="BN16" s="11" t="n">
        <f aca="false">IF(BN$1&lt;Units!$P15,0,IF(AND(Units!$K15=0,BN$1=Units!$O15),Units!$R15,IF(AND(BN$1&gt;=Units!$Q15,MOD(BN$1-Units!$Q15,12)=0),IF(AND(Units!$L15=1,BN$1=Units!$Q15),IF(Units!$J15&lt;&gt;"",Units!$J15,Mkt!BN16),Inputs!$B$15*Mkt!BN16+(1-Inputs!$B$15)*MIN(Mkt!BN16,BM16*(1+Inputs!$B$18))),BM16)))</f>
        <v>1457.53390895</v>
      </c>
      <c r="BO16" s="11" t="n">
        <f aca="false">IF(BO$1&lt;Units!$P15,0,IF(AND(Units!$K15=0,BO$1=Units!$O15),Units!$R15,IF(AND(BO$1&gt;=Units!$Q15,MOD(BO$1-Units!$Q15,12)=0),IF(AND(Units!$L15=1,BO$1=Units!$Q15),IF(Units!$J15&lt;&gt;"",Units!$J15,Mkt!BO16),Inputs!$B$15*Mkt!BO16+(1-Inputs!$B$15)*MIN(Mkt!BO16,BN16*(1+Inputs!$B$18))),BN16)))</f>
        <v>1457.53390895</v>
      </c>
      <c r="BP16" s="11" t="n">
        <f aca="false">IF(BP$1&lt;Units!$P15,0,IF(AND(Units!$K15=0,BP$1=Units!$O15),Units!$R15,IF(AND(BP$1&gt;=Units!$Q15,MOD(BP$1-Units!$Q15,12)=0),IF(AND(Units!$L15=1,BP$1=Units!$Q15),IF(Units!$J15&lt;&gt;"",Units!$J15,Mkt!BP16),Inputs!$B$15*Mkt!BP16+(1-Inputs!$B$15)*MIN(Mkt!BP16,BO16*(1+Inputs!$B$18))),BO16)))</f>
        <v>1457.53390895</v>
      </c>
      <c r="BQ16" s="11" t="n">
        <f aca="false">IF(BQ$1&lt;Units!$P15,0,IF(AND(Units!$K15=0,BQ$1=Units!$O15),Units!$R15,IF(AND(BQ$1&gt;=Units!$Q15,MOD(BQ$1-Units!$Q15,12)=0),IF(AND(Units!$L15=1,BQ$1=Units!$Q15),IF(Units!$J15&lt;&gt;"",Units!$J15,Mkt!BQ16),Inputs!$B$15*Mkt!BQ16+(1-Inputs!$B$15)*MIN(Mkt!BQ16,BP16*(1+Inputs!$B$18))),BP16)))</f>
        <v>1457.53390895</v>
      </c>
      <c r="BR16" s="11" t="n">
        <f aca="false">IF(BR$1&lt;Units!$P15,0,IF(AND(Units!$K15=0,BR$1=Units!$O15),Units!$R15,IF(AND(BR$1&gt;=Units!$Q15,MOD(BR$1-Units!$Q15,12)=0),IF(AND(Units!$L15=1,BR$1=Units!$Q15),IF(Units!$J15&lt;&gt;"",Units!$J15,Mkt!BR16),Inputs!$B$15*Mkt!BR16+(1-Inputs!$B$15)*MIN(Mkt!BR16,BQ16*(1+Inputs!$B$18))),BQ16)))</f>
        <v>1457.53390895</v>
      </c>
      <c r="BS16" s="11" t="n">
        <f aca="false">IF(BS$1&lt;Units!$P15,0,IF(AND(Units!$K15=0,BS$1=Units!$O15),Units!$R15,IF(AND(BS$1&gt;=Units!$Q15,MOD(BS$1-Units!$Q15,12)=0),IF(AND(Units!$L15=1,BS$1=Units!$Q15),IF(Units!$J15&lt;&gt;"",Units!$J15,Mkt!BS16),Inputs!$B$15*Mkt!BS16+(1-Inputs!$B$15)*MIN(Mkt!BS16,BR16*(1+Inputs!$B$18))),BR16)))</f>
        <v>1457.53390895</v>
      </c>
      <c r="BT16" s="11" t="n">
        <f aca="false">IF(BT$1&lt;Units!$P15,0,IF(AND(Units!$K15=0,BT$1=Units!$O15),Units!$R15,IF(AND(BT$1&gt;=Units!$Q15,MOD(BT$1-Units!$Q15,12)=0),IF(AND(Units!$L15=1,BT$1=Units!$Q15),IF(Units!$J15&lt;&gt;"",Units!$J15,Mkt!BT16),Inputs!$B$15*Mkt!BT16+(1-Inputs!$B$15)*MIN(Mkt!BT16,BS16*(1+Inputs!$B$18))),BS16)))</f>
        <v>1501.2599262185</v>
      </c>
      <c r="BU16" s="11" t="n">
        <f aca="false">IF(BU$1&lt;Units!$P15,0,IF(AND(Units!$K15=0,BU$1=Units!$O15),Units!$R15,IF(AND(BU$1&gt;=Units!$Q15,MOD(BU$1-Units!$Q15,12)=0),IF(AND(Units!$L15=1,BU$1=Units!$Q15),IF(Units!$J15&lt;&gt;"",Units!$J15,Mkt!BU16),Inputs!$B$15*Mkt!BU16+(1-Inputs!$B$15)*MIN(Mkt!BU16,BT16*(1+Inputs!$B$18))),BT16)))</f>
        <v>1501.2599262185</v>
      </c>
      <c r="BV16" s="11" t="n">
        <f aca="false">IF(BV$1&lt;Units!$P15,0,IF(AND(Units!$K15=0,BV$1=Units!$O15),Units!$R15,IF(AND(BV$1&gt;=Units!$Q15,MOD(BV$1-Units!$Q15,12)=0),IF(AND(Units!$L15=1,BV$1=Units!$Q15),IF(Units!$J15&lt;&gt;"",Units!$J15,Mkt!BV16),Inputs!$B$15*Mkt!BV16+(1-Inputs!$B$15)*MIN(Mkt!BV16,BU16*(1+Inputs!$B$18))),BU16)))</f>
        <v>1501.2599262185</v>
      </c>
      <c r="BW16" s="11" t="n">
        <f aca="false">IF(BW$1&lt;Units!$P15,0,IF(AND(Units!$K15=0,BW$1=Units!$O15),Units!$R15,IF(AND(BW$1&gt;=Units!$Q15,MOD(BW$1-Units!$Q15,12)=0),IF(AND(Units!$L15=1,BW$1=Units!$Q15),IF(Units!$J15&lt;&gt;"",Units!$J15,Mkt!BW16),Inputs!$B$15*Mkt!BW16+(1-Inputs!$B$15)*MIN(Mkt!BW16,BV16*(1+Inputs!$B$18))),BV16)))</f>
        <v>1501.2599262185</v>
      </c>
      <c r="BX16" s="11" t="n">
        <f aca="false">IF(BX$1&lt;Units!$P15,0,IF(AND(Units!$K15=0,BX$1=Units!$O15),Units!$R15,IF(AND(BX$1&gt;=Units!$Q15,MOD(BX$1-Units!$Q15,12)=0),IF(AND(Units!$L15=1,BX$1=Units!$Q15),IF(Units!$J15&lt;&gt;"",Units!$J15,Mkt!BX16),Inputs!$B$15*Mkt!BX16+(1-Inputs!$B$15)*MIN(Mkt!BX16,BW16*(1+Inputs!$B$18))),BW16)))</f>
        <v>1501.2599262185</v>
      </c>
      <c r="BY16" s="11" t="n">
        <f aca="false">IF(BY$1&lt;Units!$P15,0,IF(AND(Units!$K15=0,BY$1=Units!$O15),Units!$R15,IF(AND(BY$1&gt;=Units!$Q15,MOD(BY$1-Units!$Q15,12)=0),IF(AND(Units!$L15=1,BY$1=Units!$Q15),IF(Units!$J15&lt;&gt;"",Units!$J15,Mkt!BY16),Inputs!$B$15*Mkt!BY16+(1-Inputs!$B$15)*MIN(Mkt!BY16,BX16*(1+Inputs!$B$18))),BX16)))</f>
        <v>1501.2599262185</v>
      </c>
      <c r="BZ16" s="11" t="n">
        <f aca="false">IF(BZ$1&lt;Units!$P15,0,IF(AND(Units!$K15=0,BZ$1=Units!$O15),Units!$R15,IF(AND(BZ$1&gt;=Units!$Q15,MOD(BZ$1-Units!$Q15,12)=0),IF(AND(Units!$L15=1,BZ$1=Units!$Q15),IF(Units!$J15&lt;&gt;"",Units!$J15,Mkt!BZ16),Inputs!$B$15*Mkt!BZ16+(1-Inputs!$B$15)*MIN(Mkt!BZ16,BY16*(1+Inputs!$B$18))),BY16)))</f>
        <v>1501.2599262185</v>
      </c>
      <c r="CA16" s="11" t="n">
        <f aca="false">IF(CA$1&lt;Units!$P15,0,IF(AND(Units!$K15=0,CA$1=Units!$O15),Units!$R15,IF(AND(CA$1&gt;=Units!$Q15,MOD(CA$1-Units!$Q15,12)=0),IF(AND(Units!$L15=1,CA$1=Units!$Q15),IF(Units!$J15&lt;&gt;"",Units!$J15,Mkt!CA16),Inputs!$B$15*Mkt!CA16+(1-Inputs!$B$15)*MIN(Mkt!CA16,BZ16*(1+Inputs!$B$18))),BZ16)))</f>
        <v>1501.2599262185</v>
      </c>
      <c r="CB16" s="11" t="n">
        <f aca="false">IF(CB$1&lt;Units!$P15,0,IF(AND(Units!$K15=0,CB$1=Units!$O15),Units!$R15,IF(AND(CB$1&gt;=Units!$Q15,MOD(CB$1-Units!$Q15,12)=0),IF(AND(Units!$L15=1,CB$1=Units!$Q15),IF(Units!$J15&lt;&gt;"",Units!$J15,Mkt!CB16),Inputs!$B$15*Mkt!CB16+(1-Inputs!$B$15)*MIN(Mkt!CB16,CA16*(1+Inputs!$B$18))),CA16)))</f>
        <v>1501.2599262185</v>
      </c>
      <c r="CC16" s="11" t="n">
        <f aca="false">IF(CC$1&lt;Units!$P15,0,IF(AND(Units!$K15=0,CC$1=Units!$O15),Units!$R15,IF(AND(CC$1&gt;=Units!$Q15,MOD(CC$1-Units!$Q15,12)=0),IF(AND(Units!$L15=1,CC$1=Units!$Q15),IF(Units!$J15&lt;&gt;"",Units!$J15,Mkt!CC16),Inputs!$B$15*Mkt!CC16+(1-Inputs!$B$15)*MIN(Mkt!CC16,CB16*(1+Inputs!$B$18))),CB16)))</f>
        <v>1501.2599262185</v>
      </c>
      <c r="CD16" s="11" t="n">
        <f aca="false">IF(CD$1&lt;Units!$P15,0,IF(AND(Units!$K15=0,CD$1=Units!$O15),Units!$R15,IF(AND(CD$1&gt;=Units!$Q15,MOD(CD$1-Units!$Q15,12)=0),IF(AND(Units!$L15=1,CD$1=Units!$Q15),IF(Units!$J15&lt;&gt;"",Units!$J15,Mkt!CD16),Inputs!$B$15*Mkt!CD16+(1-Inputs!$B$15)*MIN(Mkt!CD16,CC16*(1+Inputs!$B$18))),CC16)))</f>
        <v>1501.2599262185</v>
      </c>
      <c r="CE16" s="11" t="n">
        <f aca="false">IF(CE$1&lt;Units!$P15,0,IF(AND(Units!$K15=0,CE$1=Units!$O15),Units!$R15,IF(AND(CE$1&gt;=Units!$Q15,MOD(CE$1-Units!$Q15,12)=0),IF(AND(Units!$L15=1,CE$1=Units!$Q15),IF(Units!$J15&lt;&gt;"",Units!$J15,Mkt!CE16),Inputs!$B$15*Mkt!CE16+(1-Inputs!$B$15)*MIN(Mkt!CE16,CD16*(1+Inputs!$B$18))),CD16)))</f>
        <v>1501.2599262185</v>
      </c>
      <c r="CF16" s="11" t="n">
        <f aca="false">IF(CF$1&lt;Units!$P15,0,IF(AND(Units!$K15=0,CF$1=Units!$O15),Units!$R15,IF(AND(CF$1&gt;=Units!$Q15,MOD(CF$1-Units!$Q15,12)=0),IF(AND(Units!$L15=1,CF$1=Units!$Q15),IF(Units!$J15&lt;&gt;"",Units!$J15,Mkt!CF16),Inputs!$B$15*Mkt!CF16+(1-Inputs!$B$15)*MIN(Mkt!CF16,CE16*(1+Inputs!$B$18))),CE16)))</f>
        <v>1546.29772400506</v>
      </c>
      <c r="CG16" s="11" t="n">
        <f aca="false">IF(CG$1&lt;Units!$P15,0,IF(AND(Units!$K15=0,CG$1=Units!$O15),Units!$R15,IF(AND(CG$1&gt;=Units!$Q15,MOD(CG$1-Units!$Q15,12)=0),IF(AND(Units!$L15=1,CG$1=Units!$Q15),IF(Units!$J15&lt;&gt;"",Units!$J15,Mkt!CG16),Inputs!$B$15*Mkt!CG16+(1-Inputs!$B$15)*MIN(Mkt!CG16,CF16*(1+Inputs!$B$18))),CF16)))</f>
        <v>1546.29772400506</v>
      </c>
      <c r="CH16" s="11" t="n">
        <f aca="false">IF(CH$1&lt;Units!$P15,0,IF(AND(Units!$K15=0,CH$1=Units!$O15),Units!$R15,IF(AND(CH$1&gt;=Units!$Q15,MOD(CH$1-Units!$Q15,12)=0),IF(AND(Units!$L15=1,CH$1=Units!$Q15),IF(Units!$J15&lt;&gt;"",Units!$J15,Mkt!CH16),Inputs!$B$15*Mkt!CH16+(1-Inputs!$B$15)*MIN(Mkt!CH16,CG16*(1+Inputs!$B$18))),CG16)))</f>
        <v>1546.29772400506</v>
      </c>
      <c r="CI16" s="11" t="n">
        <f aca="false">IF(CI$1&lt;Units!$P15,0,IF(AND(Units!$K15=0,CI$1=Units!$O15),Units!$R15,IF(AND(CI$1&gt;=Units!$Q15,MOD(CI$1-Units!$Q15,12)=0),IF(AND(Units!$L15=1,CI$1=Units!$Q15),IF(Units!$J15&lt;&gt;"",Units!$J15,Mkt!CI16),Inputs!$B$15*Mkt!CI16+(1-Inputs!$B$15)*MIN(Mkt!CI16,CH16*(1+Inputs!$B$18))),CH16)))</f>
        <v>1546.29772400506</v>
      </c>
      <c r="CJ16" s="11" t="n">
        <f aca="false">IF(CJ$1&lt;Units!$P15,0,IF(AND(Units!$K15=0,CJ$1=Units!$O15),Units!$R15,IF(AND(CJ$1&gt;=Units!$Q15,MOD(CJ$1-Units!$Q15,12)=0),IF(AND(Units!$L15=1,CJ$1=Units!$Q15),IF(Units!$J15&lt;&gt;"",Units!$J15,Mkt!CJ16),Inputs!$B$15*Mkt!CJ16+(1-Inputs!$B$15)*MIN(Mkt!CJ16,CI16*(1+Inputs!$B$18))),CI16)))</f>
        <v>1546.29772400506</v>
      </c>
      <c r="CK16" s="11" t="n">
        <f aca="false">IF(CK$1&lt;Units!$P15,0,IF(AND(Units!$K15=0,CK$1=Units!$O15),Units!$R15,IF(AND(CK$1&gt;=Units!$Q15,MOD(CK$1-Units!$Q15,12)=0),IF(AND(Units!$L15=1,CK$1=Units!$Q15),IF(Units!$J15&lt;&gt;"",Units!$J15,Mkt!CK16),Inputs!$B$15*Mkt!CK16+(1-Inputs!$B$15)*MIN(Mkt!CK16,CJ16*(1+Inputs!$B$18))),CJ16)))</f>
        <v>1546.29772400506</v>
      </c>
      <c r="CL16" s="11" t="n">
        <f aca="false">IF(CL$1&lt;Units!$P15,0,IF(AND(Units!$K15=0,CL$1=Units!$O15),Units!$R15,IF(AND(CL$1&gt;=Units!$Q15,MOD(CL$1-Units!$Q15,12)=0),IF(AND(Units!$L15=1,CL$1=Units!$Q15),IF(Units!$J15&lt;&gt;"",Units!$J15,Mkt!CL16),Inputs!$B$15*Mkt!CL16+(1-Inputs!$B$15)*MIN(Mkt!CL16,CK16*(1+Inputs!$B$18))),CK16)))</f>
        <v>1546.29772400506</v>
      </c>
      <c r="CM16" s="11" t="n">
        <f aca="false">IF(CM$1&lt;Units!$P15,0,IF(AND(Units!$K15=0,CM$1=Units!$O15),Units!$R15,IF(AND(CM$1&gt;=Units!$Q15,MOD(CM$1-Units!$Q15,12)=0),IF(AND(Units!$L15=1,CM$1=Units!$Q15),IF(Units!$J15&lt;&gt;"",Units!$J15,Mkt!CM16),Inputs!$B$15*Mkt!CM16+(1-Inputs!$B$15)*MIN(Mkt!CM16,CL16*(1+Inputs!$B$18))),CL16)))</f>
        <v>1546.29772400506</v>
      </c>
      <c r="CN16" s="11" t="n">
        <f aca="false">IF(CN$1&lt;Units!$P15,0,IF(AND(Units!$K15=0,CN$1=Units!$O15),Units!$R15,IF(AND(CN$1&gt;=Units!$Q15,MOD(CN$1-Units!$Q15,12)=0),IF(AND(Units!$L15=1,CN$1=Units!$Q15),IF(Units!$J15&lt;&gt;"",Units!$J15,Mkt!CN16),Inputs!$B$15*Mkt!CN16+(1-Inputs!$B$15)*MIN(Mkt!CN16,CM16*(1+Inputs!$B$18))),CM16)))</f>
        <v>1546.29772400506</v>
      </c>
      <c r="CO16" s="11" t="n">
        <f aca="false">IF(CO$1&lt;Units!$P15,0,IF(AND(Units!$K15=0,CO$1=Units!$O15),Units!$R15,IF(AND(CO$1&gt;=Units!$Q15,MOD(CO$1-Units!$Q15,12)=0),IF(AND(Units!$L15=1,CO$1=Units!$Q15),IF(Units!$J15&lt;&gt;"",Units!$J15,Mkt!CO16),Inputs!$B$15*Mkt!CO16+(1-Inputs!$B$15)*MIN(Mkt!CO16,CN16*(1+Inputs!$B$18))),CN16)))</f>
        <v>1546.29772400506</v>
      </c>
      <c r="CP16" s="11" t="n">
        <f aca="false">IF(CP$1&lt;Units!$P15,0,IF(AND(Units!$K15=0,CP$1=Units!$O15),Units!$R15,IF(AND(CP$1&gt;=Units!$Q15,MOD(CP$1-Units!$Q15,12)=0),IF(AND(Units!$L15=1,CP$1=Units!$Q15),IF(Units!$J15&lt;&gt;"",Units!$J15,Mkt!CP16),Inputs!$B$15*Mkt!CP16+(1-Inputs!$B$15)*MIN(Mkt!CP16,CO16*(1+Inputs!$B$18))),CO16)))</f>
        <v>1546.29772400506</v>
      </c>
      <c r="CQ16" s="11" t="n">
        <f aca="false">IF(CQ$1&lt;Units!$P15,0,IF(AND(Units!$K15=0,CQ$1=Units!$O15),Units!$R15,IF(AND(CQ$1&gt;=Units!$Q15,MOD(CQ$1-Units!$Q15,12)=0),IF(AND(Units!$L15=1,CQ$1=Units!$Q15),IF(Units!$J15&lt;&gt;"",Units!$J15,Mkt!CQ16),Inputs!$B$15*Mkt!CQ16+(1-Inputs!$B$15)*MIN(Mkt!CQ16,CP16*(1+Inputs!$B$18))),CP16)))</f>
        <v>1546.29772400506</v>
      </c>
      <c r="CR16" s="11" t="n">
        <f aca="false">IF(CR$1&lt;Units!$P15,0,IF(AND(Units!$K15=0,CR$1=Units!$O15),Units!$R15,IF(AND(CR$1&gt;=Units!$Q15,MOD(CR$1-Units!$Q15,12)=0),IF(AND(Units!$L15=1,CR$1=Units!$Q15),IF(Units!$J15&lt;&gt;"",Units!$J15,Mkt!CR16),Inputs!$B$15*Mkt!CR16+(1-Inputs!$B$15)*MIN(Mkt!CR16,CQ16*(1+Inputs!$B$18))),CQ16)))</f>
        <v>1592.68665572521</v>
      </c>
      <c r="CS16" s="11" t="n">
        <f aca="false">IF(CS$1&lt;Units!$P15,0,IF(AND(Units!$K15=0,CS$1=Units!$O15),Units!$R15,IF(AND(CS$1&gt;=Units!$Q15,MOD(CS$1-Units!$Q15,12)=0),IF(AND(Units!$L15=1,CS$1=Units!$Q15),IF(Units!$J15&lt;&gt;"",Units!$J15,Mkt!CS16),Inputs!$B$15*Mkt!CS16+(1-Inputs!$B$15)*MIN(Mkt!CS16,CR16*(1+Inputs!$B$18))),CR16)))</f>
        <v>1592.68665572521</v>
      </c>
      <c r="CT16" s="11" t="n">
        <f aca="false">IF(CT$1&lt;Units!$P15,0,IF(AND(Units!$K15=0,CT$1=Units!$O15),Units!$R15,IF(AND(CT$1&gt;=Units!$Q15,MOD(CT$1-Units!$Q15,12)=0),IF(AND(Units!$L15=1,CT$1=Units!$Q15),IF(Units!$J15&lt;&gt;"",Units!$J15,Mkt!CT16),Inputs!$B$15*Mkt!CT16+(1-Inputs!$B$15)*MIN(Mkt!CT16,CS16*(1+Inputs!$B$18))),CS16)))</f>
        <v>1592.68665572521</v>
      </c>
      <c r="CU16" s="11" t="n">
        <f aca="false">IF(CU$1&lt;Units!$P15,0,IF(AND(Units!$K15=0,CU$1=Units!$O15),Units!$R15,IF(AND(CU$1&gt;=Units!$Q15,MOD(CU$1-Units!$Q15,12)=0),IF(AND(Units!$L15=1,CU$1=Units!$Q15),IF(Units!$J15&lt;&gt;"",Units!$J15,Mkt!CU16),Inputs!$B$15*Mkt!CU16+(1-Inputs!$B$15)*MIN(Mkt!CU16,CT16*(1+Inputs!$B$18))),CT16)))</f>
        <v>1592.68665572521</v>
      </c>
      <c r="CV16" s="11" t="n">
        <f aca="false">IF(CV$1&lt;Units!$P15,0,IF(AND(Units!$K15=0,CV$1=Units!$O15),Units!$R15,IF(AND(CV$1&gt;=Units!$Q15,MOD(CV$1-Units!$Q15,12)=0),IF(AND(Units!$L15=1,CV$1=Units!$Q15),IF(Units!$J15&lt;&gt;"",Units!$J15,Mkt!CV16),Inputs!$B$15*Mkt!CV16+(1-Inputs!$B$15)*MIN(Mkt!CV16,CU16*(1+Inputs!$B$18))),CU16)))</f>
        <v>1592.68665572521</v>
      </c>
      <c r="CW16" s="11" t="n">
        <f aca="false">IF(CW$1&lt;Units!$P15,0,IF(AND(Units!$K15=0,CW$1=Units!$O15),Units!$R15,IF(AND(CW$1&gt;=Units!$Q15,MOD(CW$1-Units!$Q15,12)=0),IF(AND(Units!$L15=1,CW$1=Units!$Q15),IF(Units!$J15&lt;&gt;"",Units!$J15,Mkt!CW16),Inputs!$B$15*Mkt!CW16+(1-Inputs!$B$15)*MIN(Mkt!CW16,CV16*(1+Inputs!$B$18))),CV16)))</f>
        <v>1592.68665572521</v>
      </c>
      <c r="CX16" s="11" t="n">
        <f aca="false">IF(CX$1&lt;Units!$P15,0,IF(AND(Units!$K15=0,CX$1=Units!$O15),Units!$R15,IF(AND(CX$1&gt;=Units!$Q15,MOD(CX$1-Units!$Q15,12)=0),IF(AND(Units!$L15=1,CX$1=Units!$Q15),IF(Units!$J15&lt;&gt;"",Units!$J15,Mkt!CX16),Inputs!$B$15*Mkt!CX16+(1-Inputs!$B$15)*MIN(Mkt!CX16,CW16*(1+Inputs!$B$18))),CW16)))</f>
        <v>1592.68665572521</v>
      </c>
      <c r="CY16" s="11" t="n">
        <f aca="false">IF(CY$1&lt;Units!$P15,0,IF(AND(Units!$K15=0,CY$1=Units!$O15),Units!$R15,IF(AND(CY$1&gt;=Units!$Q15,MOD(CY$1-Units!$Q15,12)=0),IF(AND(Units!$L15=1,CY$1=Units!$Q15),IF(Units!$J15&lt;&gt;"",Units!$J15,Mkt!CY16),Inputs!$B$15*Mkt!CY16+(1-Inputs!$B$15)*MIN(Mkt!CY16,CX16*(1+Inputs!$B$18))),CX16)))</f>
        <v>1592.68665572521</v>
      </c>
      <c r="CZ16" s="11" t="n">
        <f aca="false">IF(CZ$1&lt;Units!$P15,0,IF(AND(Units!$K15=0,CZ$1=Units!$O15),Units!$R15,IF(AND(CZ$1&gt;=Units!$Q15,MOD(CZ$1-Units!$Q15,12)=0),IF(AND(Units!$L15=1,CZ$1=Units!$Q15),IF(Units!$J15&lt;&gt;"",Units!$J15,Mkt!CZ16),Inputs!$B$15*Mkt!CZ16+(1-Inputs!$B$15)*MIN(Mkt!CZ16,CY16*(1+Inputs!$B$18))),CY16)))</f>
        <v>1592.68665572521</v>
      </c>
      <c r="DA16" s="11" t="n">
        <f aca="false">IF(DA$1&lt;Units!$P15,0,IF(AND(Units!$K15=0,DA$1=Units!$O15),Units!$R15,IF(AND(DA$1&gt;=Units!$Q15,MOD(DA$1-Units!$Q15,12)=0),IF(AND(Units!$L15=1,DA$1=Units!$Q15),IF(Units!$J15&lt;&gt;"",Units!$J15,Mkt!DA16),Inputs!$B$15*Mkt!DA16+(1-Inputs!$B$15)*MIN(Mkt!DA16,CZ16*(1+Inputs!$B$18))),CZ16)))</f>
        <v>1592.68665572521</v>
      </c>
      <c r="DB16" s="11" t="n">
        <f aca="false">IF(DB$1&lt;Units!$P15,0,IF(AND(Units!$K15=0,DB$1=Units!$O15),Units!$R15,IF(AND(DB$1&gt;=Units!$Q15,MOD(DB$1-Units!$Q15,12)=0),IF(AND(Units!$L15=1,DB$1=Units!$Q15),IF(Units!$J15&lt;&gt;"",Units!$J15,Mkt!DB16),Inputs!$B$15*Mkt!DB16+(1-Inputs!$B$15)*MIN(Mkt!DB16,DA16*(1+Inputs!$B$18))),DA16)))</f>
        <v>1592.68665572521</v>
      </c>
      <c r="DC16" s="11" t="n">
        <f aca="false">IF(DC$1&lt;Units!$P15,0,IF(AND(Units!$K15=0,DC$1=Units!$O15),Units!$R15,IF(AND(DC$1&gt;=Units!$Q15,MOD(DC$1-Units!$Q15,12)=0),IF(AND(Units!$L15=1,DC$1=Units!$Q15),IF(Units!$J15&lt;&gt;"",Units!$J15,Mkt!DC16),Inputs!$B$15*Mkt!DC16+(1-Inputs!$B$15)*MIN(Mkt!DC16,DB16*(1+Inputs!$B$18))),DB16)))</f>
        <v>1592.68665572521</v>
      </c>
      <c r="DD16" s="11" t="n">
        <f aca="false">IF(DD$1&lt;Units!$P15,0,IF(AND(Units!$K15=0,DD$1=Units!$O15),Units!$R15,IF(AND(DD$1&gt;=Units!$Q15,MOD(DD$1-Units!$Q15,12)=0),IF(AND(Units!$L15=1,DD$1=Units!$Q15),IF(Units!$J15&lt;&gt;"",Units!$J15,Mkt!DD16),Inputs!$B$15*Mkt!DD16+(1-Inputs!$B$15)*MIN(Mkt!DD16,DC16*(1+Inputs!$B$18))),DC16)))</f>
        <v>1640.46725539696</v>
      </c>
      <c r="DE16" s="11" t="n">
        <f aca="false">IF(DE$1&lt;Units!$P15,0,IF(AND(Units!$K15=0,DE$1=Units!$O15),Units!$R15,IF(AND(DE$1&gt;=Units!$Q15,MOD(DE$1-Units!$Q15,12)=0),IF(AND(Units!$L15=1,DE$1=Units!$Q15),IF(Units!$J15&lt;&gt;"",Units!$J15,Mkt!DE16),Inputs!$B$15*Mkt!DE16+(1-Inputs!$B$15)*MIN(Mkt!DE16,DD16*(1+Inputs!$B$18))),DD16)))</f>
        <v>1640.46725539696</v>
      </c>
      <c r="DF16" s="11" t="n">
        <f aca="false">IF(DF$1&lt;Units!$P15,0,IF(AND(Units!$K15=0,DF$1=Units!$O15),Units!$R15,IF(AND(DF$1&gt;=Units!$Q15,MOD(DF$1-Units!$Q15,12)=0),IF(AND(Units!$L15=1,DF$1=Units!$Q15),IF(Units!$J15&lt;&gt;"",Units!$J15,Mkt!DF16),Inputs!$B$15*Mkt!DF16+(1-Inputs!$B$15)*MIN(Mkt!DF16,DE16*(1+Inputs!$B$18))),DE16)))</f>
        <v>1640.46725539696</v>
      </c>
      <c r="DG16" s="11" t="n">
        <f aca="false">IF(DG$1&lt;Units!$P15,0,IF(AND(Units!$K15=0,DG$1=Units!$O15),Units!$R15,IF(AND(DG$1&gt;=Units!$Q15,MOD(DG$1-Units!$Q15,12)=0),IF(AND(Units!$L15=1,DG$1=Units!$Q15),IF(Units!$J15&lt;&gt;"",Units!$J15,Mkt!DG16),Inputs!$B$15*Mkt!DG16+(1-Inputs!$B$15)*MIN(Mkt!DG16,DF16*(1+Inputs!$B$18))),DF16)))</f>
        <v>1640.46725539696</v>
      </c>
      <c r="DH16" s="11" t="n">
        <f aca="false">IF(DH$1&lt;Units!$P15,0,IF(AND(Units!$K15=0,DH$1=Units!$O15),Units!$R15,IF(AND(DH$1&gt;=Units!$Q15,MOD(DH$1-Units!$Q15,12)=0),IF(AND(Units!$L15=1,DH$1=Units!$Q15),IF(Units!$J15&lt;&gt;"",Units!$J15,Mkt!DH16),Inputs!$B$15*Mkt!DH16+(1-Inputs!$B$15)*MIN(Mkt!DH16,DG16*(1+Inputs!$B$18))),DG16)))</f>
        <v>1640.46725539696</v>
      </c>
      <c r="DI16" s="11" t="n">
        <f aca="false">IF(DI$1&lt;Units!$P15,0,IF(AND(Units!$K15=0,DI$1=Units!$O15),Units!$R15,IF(AND(DI$1&gt;=Units!$Q15,MOD(DI$1-Units!$Q15,12)=0),IF(AND(Units!$L15=1,DI$1=Units!$Q15),IF(Units!$J15&lt;&gt;"",Units!$J15,Mkt!DI16),Inputs!$B$15*Mkt!DI16+(1-Inputs!$B$15)*MIN(Mkt!DI16,DH16*(1+Inputs!$B$18))),DH16)))</f>
        <v>1640.46725539696</v>
      </c>
      <c r="DJ16" s="11" t="n">
        <f aca="false">IF(DJ$1&lt;Units!$P15,0,IF(AND(Units!$K15=0,DJ$1=Units!$O15),Units!$R15,IF(AND(DJ$1&gt;=Units!$Q15,MOD(DJ$1-Units!$Q15,12)=0),IF(AND(Units!$L15=1,DJ$1=Units!$Q15),IF(Units!$J15&lt;&gt;"",Units!$J15,Mkt!DJ16),Inputs!$B$15*Mkt!DJ16+(1-Inputs!$B$15)*MIN(Mkt!DJ16,DI16*(1+Inputs!$B$18))),DI16)))</f>
        <v>1640.46725539696</v>
      </c>
      <c r="DK16" s="11" t="n">
        <f aca="false">IF(DK$1&lt;Units!$P15,0,IF(AND(Units!$K15=0,DK$1=Units!$O15),Units!$R15,IF(AND(DK$1&gt;=Units!$Q15,MOD(DK$1-Units!$Q15,12)=0),IF(AND(Units!$L15=1,DK$1=Units!$Q15),IF(Units!$J15&lt;&gt;"",Units!$J15,Mkt!DK16),Inputs!$B$15*Mkt!DK16+(1-Inputs!$B$15)*MIN(Mkt!DK16,DJ16*(1+Inputs!$B$18))),DJ16)))</f>
        <v>1640.46725539696</v>
      </c>
      <c r="DL16" s="11" t="n">
        <f aca="false">IF(DL$1&lt;Units!$P15,0,IF(AND(Units!$K15=0,DL$1=Units!$O15),Units!$R15,IF(AND(DL$1&gt;=Units!$Q15,MOD(DL$1-Units!$Q15,12)=0),IF(AND(Units!$L15=1,DL$1=Units!$Q15),IF(Units!$J15&lt;&gt;"",Units!$J15,Mkt!DL16),Inputs!$B$15*Mkt!DL16+(1-Inputs!$B$15)*MIN(Mkt!DL16,DK16*(1+Inputs!$B$18))),DK16)))</f>
        <v>1640.46725539696</v>
      </c>
      <c r="DM16" s="11" t="n">
        <f aca="false">IF(DM$1&lt;Units!$P15,0,IF(AND(Units!$K15=0,DM$1=Units!$O15),Units!$R15,IF(AND(DM$1&gt;=Units!$Q15,MOD(DM$1-Units!$Q15,12)=0),IF(AND(Units!$L15=1,DM$1=Units!$Q15),IF(Units!$J15&lt;&gt;"",Units!$J15,Mkt!DM16),Inputs!$B$15*Mkt!DM16+(1-Inputs!$B$15)*MIN(Mkt!DM16,DL16*(1+Inputs!$B$18))),DL16)))</f>
        <v>1640.46725539696</v>
      </c>
      <c r="DN16" s="11" t="n">
        <f aca="false">IF(DN$1&lt;Units!$P15,0,IF(AND(Units!$K15=0,DN$1=Units!$O15),Units!$R15,IF(AND(DN$1&gt;=Units!$Q15,MOD(DN$1-Units!$Q15,12)=0),IF(AND(Units!$L15=1,DN$1=Units!$Q15),IF(Units!$J15&lt;&gt;"",Units!$J15,Mkt!DN16),Inputs!$B$15*Mkt!DN16+(1-Inputs!$B$15)*MIN(Mkt!DN16,DM16*(1+Inputs!$B$18))),DM16)))</f>
        <v>1640.46725539696</v>
      </c>
      <c r="DO16" s="11" t="n">
        <f aca="false">IF(DO$1&lt;Units!$P15,0,IF(AND(Units!$K15=0,DO$1=Units!$O15),Units!$R15,IF(AND(DO$1&gt;=Units!$Q15,MOD(DO$1-Units!$Q15,12)=0),IF(AND(Units!$L15=1,DO$1=Units!$Q15),IF(Units!$J15&lt;&gt;"",Units!$J15,Mkt!DO16),Inputs!$B$15*Mkt!DO16+(1-Inputs!$B$15)*MIN(Mkt!DO16,DN16*(1+Inputs!$B$18))),DN16)))</f>
        <v>1640.46725539696</v>
      </c>
      <c r="DP16" s="11" t="n">
        <f aca="false">IF(DP$1&lt;Units!$P15,0,IF(AND(Units!$K15=0,DP$1=Units!$O15),Units!$R15,IF(AND(DP$1&gt;=Units!$Q15,MOD(DP$1-Units!$Q15,12)=0),IF(AND(Units!$L15=1,DP$1=Units!$Q15),IF(Units!$J15&lt;&gt;"",Units!$J15,Mkt!DP16),Inputs!$B$15*Mkt!DP16+(1-Inputs!$B$15)*MIN(Mkt!DP16,DO16*(1+Inputs!$B$18))),DO16)))</f>
        <v>1689.68127305887</v>
      </c>
      <c r="DQ16" s="11" t="n">
        <f aca="false">IF(DQ$1&lt;Units!$P15,0,IF(AND(Units!$K15=0,DQ$1=Units!$O15),Units!$R15,IF(AND(DQ$1&gt;=Units!$Q15,MOD(DQ$1-Units!$Q15,12)=0),IF(AND(Units!$L15=1,DQ$1=Units!$Q15),IF(Units!$J15&lt;&gt;"",Units!$J15,Mkt!DQ16),Inputs!$B$15*Mkt!DQ16+(1-Inputs!$B$15)*MIN(Mkt!DQ16,DP16*(1+Inputs!$B$18))),DP16)))</f>
        <v>1689.68127305887</v>
      </c>
      <c r="DR16" s="11" t="n">
        <f aca="false">IF(DR$1&lt;Units!$P15,0,IF(AND(Units!$K15=0,DR$1=Units!$O15),Units!$R15,IF(AND(DR$1&gt;=Units!$Q15,MOD(DR$1-Units!$Q15,12)=0),IF(AND(Units!$L15=1,DR$1=Units!$Q15),IF(Units!$J15&lt;&gt;"",Units!$J15,Mkt!DR16),Inputs!$B$15*Mkt!DR16+(1-Inputs!$B$15)*MIN(Mkt!DR16,DQ16*(1+Inputs!$B$18))),DQ16)))</f>
        <v>1689.68127305887</v>
      </c>
      <c r="DS16" s="11" t="n">
        <f aca="false">IF(DS$1&lt;Units!$P15,0,IF(AND(Units!$K15=0,DS$1=Units!$O15),Units!$R15,IF(AND(DS$1&gt;=Units!$Q15,MOD(DS$1-Units!$Q15,12)=0),IF(AND(Units!$L15=1,DS$1=Units!$Q15),IF(Units!$J15&lt;&gt;"",Units!$J15,Mkt!DS16),Inputs!$B$15*Mkt!DS16+(1-Inputs!$B$15)*MIN(Mkt!DS16,DR16*(1+Inputs!$B$18))),DR16)))</f>
        <v>1689.68127305887</v>
      </c>
      <c r="DT16" s="11" t="n">
        <f aca="false">IF(DT$1&lt;Units!$P15,0,IF(AND(Units!$K15=0,DT$1=Units!$O15),Units!$R15,IF(AND(DT$1&gt;=Units!$Q15,MOD(DT$1-Units!$Q15,12)=0),IF(AND(Units!$L15=1,DT$1=Units!$Q15),IF(Units!$J15&lt;&gt;"",Units!$J15,Mkt!DT16),Inputs!$B$15*Mkt!DT16+(1-Inputs!$B$15)*MIN(Mkt!DT16,DS16*(1+Inputs!$B$18))),DS16)))</f>
        <v>1689.68127305887</v>
      </c>
      <c r="DU16" s="11" t="n">
        <f aca="false">IF(DU$1&lt;Units!$P15,0,IF(AND(Units!$K15=0,DU$1=Units!$O15),Units!$R15,IF(AND(DU$1&gt;=Units!$Q15,MOD(DU$1-Units!$Q15,12)=0),IF(AND(Units!$L15=1,DU$1=Units!$Q15),IF(Units!$J15&lt;&gt;"",Units!$J15,Mkt!DU16),Inputs!$B$15*Mkt!DU16+(1-Inputs!$B$15)*MIN(Mkt!DU16,DT16*(1+Inputs!$B$18))),DT16)))</f>
        <v>1689.68127305887</v>
      </c>
      <c r="DV16" s="11" t="n">
        <f aca="false">IF(DV$1&lt;Units!$P15,0,IF(AND(Units!$K15=0,DV$1=Units!$O15),Units!$R15,IF(AND(DV$1&gt;=Units!$Q15,MOD(DV$1-Units!$Q15,12)=0),IF(AND(Units!$L15=1,DV$1=Units!$Q15),IF(Units!$J15&lt;&gt;"",Units!$J15,Mkt!DV16),Inputs!$B$15*Mkt!DV16+(1-Inputs!$B$15)*MIN(Mkt!DV16,DU16*(1+Inputs!$B$18))),DU16)))</f>
        <v>1689.68127305887</v>
      </c>
      <c r="DW16" s="11" t="n">
        <f aca="false">IF(DW$1&lt;Units!$P15,0,IF(AND(Units!$K15=0,DW$1=Units!$O15),Units!$R15,IF(AND(DW$1&gt;=Units!$Q15,MOD(DW$1-Units!$Q15,12)=0),IF(AND(Units!$L15=1,DW$1=Units!$Q15),IF(Units!$J15&lt;&gt;"",Units!$J15,Mkt!DW16),Inputs!$B$15*Mkt!DW16+(1-Inputs!$B$15)*MIN(Mkt!DW16,DV16*(1+Inputs!$B$18))),DV16)))</f>
        <v>1689.68127305887</v>
      </c>
      <c r="DX16" s="11" t="n">
        <f aca="false">IF(DX$1&lt;Units!$P15,0,IF(AND(Units!$K15=0,DX$1=Units!$O15),Units!$R15,IF(AND(DX$1&gt;=Units!$Q15,MOD(DX$1-Units!$Q15,12)=0),IF(AND(Units!$L15=1,DX$1=Units!$Q15),IF(Units!$J15&lt;&gt;"",Units!$J15,Mkt!DX16),Inputs!$B$15*Mkt!DX16+(1-Inputs!$B$15)*MIN(Mkt!DX16,DW16*(1+Inputs!$B$18))),DW16)))</f>
        <v>1689.68127305887</v>
      </c>
      <c r="DY16" s="11" t="n">
        <f aca="false">IF(DY$1&lt;Units!$P15,0,IF(AND(Units!$K15=0,DY$1=Units!$O15),Units!$R15,IF(AND(DY$1&gt;=Units!$Q15,MOD(DY$1-Units!$Q15,12)=0),IF(AND(Units!$L15=1,DY$1=Units!$Q15),IF(Units!$J15&lt;&gt;"",Units!$J15,Mkt!DY16),Inputs!$B$15*Mkt!DY16+(1-Inputs!$B$15)*MIN(Mkt!DY16,DX16*(1+Inputs!$B$18))),DX16)))</f>
        <v>1689.68127305887</v>
      </c>
      <c r="DZ16" s="11" t="n">
        <f aca="false">IF(DZ$1&lt;Units!$P15,0,IF(AND(Units!$K15=0,DZ$1=Units!$O15),Units!$R15,IF(AND(DZ$1&gt;=Units!$Q15,MOD(DZ$1-Units!$Q15,12)=0),IF(AND(Units!$L15=1,DZ$1=Units!$Q15),IF(Units!$J15&lt;&gt;"",Units!$J15,Mkt!DZ16),Inputs!$B$15*Mkt!DZ16+(1-Inputs!$B$15)*MIN(Mkt!DZ16,DY16*(1+Inputs!$B$18))),DY16)))</f>
        <v>1689.68127305887</v>
      </c>
      <c r="EA16" s="11" t="n">
        <f aca="false">IF(EA$1&lt;Units!$P15,0,IF(AND(Units!$K15=0,EA$1=Units!$O15),Units!$R15,IF(AND(EA$1&gt;=Units!$Q15,MOD(EA$1-Units!$Q15,12)=0),IF(AND(Units!$L15=1,EA$1=Units!$Q15),IF(Units!$J15&lt;&gt;"",Units!$J15,Mkt!EA16),Inputs!$B$15*Mkt!EA16+(1-Inputs!$B$15)*MIN(Mkt!EA16,DZ16*(1+Inputs!$B$18))),DZ16)))</f>
        <v>1689.68127305887</v>
      </c>
      <c r="EB16" s="11" t="n">
        <f aca="false">IF(EB$1&lt;Units!$P15,0,IF(AND(Units!$K15=0,EB$1=Units!$O15),Units!$R15,IF(AND(EB$1&gt;=Units!$Q15,MOD(EB$1-Units!$Q15,12)=0),IF(AND(Units!$L15=1,EB$1=Units!$Q15),IF(Units!$J15&lt;&gt;"",Units!$J15,Mkt!EB16),Inputs!$B$15*Mkt!EB16+(1-Inputs!$B$15)*MIN(Mkt!EB16,EA16*(1+Inputs!$B$18))),EA16)))</f>
        <v>1740.37171125064</v>
      </c>
      <c r="EC16" s="11" t="n">
        <f aca="false">IF(EC$1&lt;Units!$P15,0,IF(AND(Units!$K15=0,EC$1=Units!$O15),Units!$R15,IF(AND(EC$1&gt;=Units!$Q15,MOD(EC$1-Units!$Q15,12)=0),IF(AND(Units!$L15=1,EC$1=Units!$Q15),IF(Units!$J15&lt;&gt;"",Units!$J15,Mkt!EC16),Inputs!$B$15*Mkt!EC16+(1-Inputs!$B$15)*MIN(Mkt!EC16,EB16*(1+Inputs!$B$18))),EB16)))</f>
        <v>1740.37171125064</v>
      </c>
      <c r="ED16" s="11" t="n">
        <f aca="false">IF(ED$1&lt;Units!$P15,0,IF(AND(Units!$K15=0,ED$1=Units!$O15),Units!$R15,IF(AND(ED$1&gt;=Units!$Q15,MOD(ED$1-Units!$Q15,12)=0),IF(AND(Units!$L15=1,ED$1=Units!$Q15),IF(Units!$J15&lt;&gt;"",Units!$J15,Mkt!ED16),Inputs!$B$15*Mkt!ED16+(1-Inputs!$B$15)*MIN(Mkt!ED16,EC16*(1+Inputs!$B$18))),EC16)))</f>
        <v>1740.37171125064</v>
      </c>
    </row>
    <row r="17" customFormat="false" ht="15" hidden="false" customHeight="false" outlineLevel="0" collapsed="false">
      <c r="A17" s="22" t="n">
        <f aca="false">Units!A16</f>
        <v>115</v>
      </c>
      <c r="B17" s="24" t="n">
        <f aca="false">IF(Units!K16=1,Units!F16,0)</f>
        <v>1030</v>
      </c>
      <c r="C17" s="11" t="n">
        <f aca="false">IF(C$1&lt;Units!$P16,0,IF(AND(Units!$K16=0,C$1=Units!$O16),Units!$R16,IF(AND(C$1&gt;=Units!$Q16,MOD(C$1-Units!$Q16,12)=0),IF(AND(Units!$L16=1,C$1=Units!$Q16),IF(Units!$J16&lt;&gt;"",Units!$J16,Mkt!C17),Inputs!$B$15*Mkt!C17+(1-Inputs!$B$15)*MIN(Mkt!C17,B17*(1+Inputs!$B$18))),B17)))</f>
        <v>1030</v>
      </c>
      <c r="D17" s="11" t="n">
        <f aca="false">IF(D$1&lt;Units!$P16,0,IF(AND(Units!$K16=0,D$1=Units!$O16),Units!$R16,IF(AND(D$1&gt;=Units!$Q16,MOD(D$1-Units!$Q16,12)=0),IF(AND(Units!$L16=1,D$1=Units!$Q16),IF(Units!$J16&lt;&gt;"",Units!$J16,Mkt!D17),Inputs!$B$15*Mkt!D17+(1-Inputs!$B$15)*MIN(Mkt!D17,C17*(1+Inputs!$B$18))),C17)))</f>
        <v>1030</v>
      </c>
      <c r="E17" s="11" t="n">
        <f aca="false">IF(E$1&lt;Units!$P16,0,IF(AND(Units!$K16=0,E$1=Units!$O16),Units!$R16,IF(AND(E$1&gt;=Units!$Q16,MOD(E$1-Units!$Q16,12)=0),IF(AND(Units!$L16=1,E$1=Units!$Q16),IF(Units!$J16&lt;&gt;"",Units!$J16,Mkt!E17),Inputs!$B$15*Mkt!E17+(1-Inputs!$B$15)*MIN(Mkt!E17,D17*(1+Inputs!$B$18))),D17)))</f>
        <v>1030</v>
      </c>
      <c r="F17" s="11" t="n">
        <f aca="false">IF(F$1&lt;Units!$P16,0,IF(AND(Units!$K16=0,F$1=Units!$O16),Units!$R16,IF(AND(F$1&gt;=Units!$Q16,MOD(F$1-Units!$Q16,12)=0),IF(AND(Units!$L16=1,F$1=Units!$Q16),IF(Units!$J16&lt;&gt;"",Units!$J16,Mkt!F17),Inputs!$B$15*Mkt!F17+(1-Inputs!$B$15)*MIN(Mkt!F17,E17*(1+Inputs!$B$18))),E17)))</f>
        <v>1030</v>
      </c>
      <c r="G17" s="11" t="n">
        <f aca="false">IF(G$1&lt;Units!$P16,0,IF(AND(Units!$K16=0,G$1=Units!$O16),Units!$R16,IF(AND(G$1&gt;=Units!$Q16,MOD(G$1-Units!$Q16,12)=0),IF(AND(Units!$L16=1,G$1=Units!$Q16),IF(Units!$J16&lt;&gt;"",Units!$J16,Mkt!G17),Inputs!$B$15*Mkt!G17+(1-Inputs!$B$15)*MIN(Mkt!G17,F17*(1+Inputs!$B$18))),F17)))</f>
        <v>1030</v>
      </c>
      <c r="H17" s="11" t="n">
        <f aca="false">IF(H$1&lt;Units!$P16,0,IF(AND(Units!$K16=0,H$1=Units!$O16),Units!$R16,IF(AND(H$1&gt;=Units!$Q16,MOD(H$1-Units!$Q16,12)=0),IF(AND(Units!$L16=1,H$1=Units!$Q16),IF(Units!$J16&lt;&gt;"",Units!$J16,Mkt!H17),Inputs!$B$15*Mkt!H17+(1-Inputs!$B$15)*MIN(Mkt!H17,G17*(1+Inputs!$B$18))),G17)))</f>
        <v>1030</v>
      </c>
      <c r="I17" s="11" t="n">
        <f aca="false">IF(I$1&lt;Units!$P16,0,IF(AND(Units!$K16=0,I$1=Units!$O16),Units!$R16,IF(AND(I$1&gt;=Units!$Q16,MOD(I$1-Units!$Q16,12)=0),IF(AND(Units!$L16=1,I$1=Units!$Q16),IF(Units!$J16&lt;&gt;"",Units!$J16,Mkt!I17),Inputs!$B$15*Mkt!I17+(1-Inputs!$B$15)*MIN(Mkt!I17,H17*(1+Inputs!$B$18))),H17)))</f>
        <v>1030</v>
      </c>
      <c r="J17" s="11" t="n">
        <f aca="false">IF(J$1&lt;Units!$P16,0,IF(AND(Units!$K16=0,J$1=Units!$O16),Units!$R16,IF(AND(J$1&gt;=Units!$Q16,MOD(J$1-Units!$Q16,12)=0),IF(AND(Units!$L16=1,J$1=Units!$Q16),IF(Units!$J16&lt;&gt;"",Units!$J16,Mkt!J17),Inputs!$B$15*Mkt!J17+(1-Inputs!$B$15)*MIN(Mkt!J17,I17*(1+Inputs!$B$18))),I17)))</f>
        <v>1030</v>
      </c>
      <c r="K17" s="11" t="n">
        <f aca="false">IF(K$1&lt;Units!$P16,0,IF(AND(Units!$K16=0,K$1=Units!$O16),Units!$R16,IF(AND(K$1&gt;=Units!$Q16,MOD(K$1-Units!$Q16,12)=0),IF(AND(Units!$L16=1,K$1=Units!$Q16),IF(Units!$J16&lt;&gt;"",Units!$J16,Mkt!K17),Inputs!$B$15*Mkt!K17+(1-Inputs!$B$15)*MIN(Mkt!K17,J17*(1+Inputs!$B$18))),J17)))</f>
        <v>1030</v>
      </c>
      <c r="L17" s="11" t="n">
        <f aca="false">IF(L$1&lt;Units!$P16,0,IF(AND(Units!$K16=0,L$1=Units!$O16),Units!$R16,IF(AND(L$1&gt;=Units!$Q16,MOD(L$1-Units!$Q16,12)=0),IF(AND(Units!$L16=1,L$1=Units!$Q16),IF(Units!$J16&lt;&gt;"",Units!$J16,Mkt!L17),Inputs!$B$15*Mkt!L17+(1-Inputs!$B$15)*MIN(Mkt!L17,K17*(1+Inputs!$B$18))),K17)))</f>
        <v>1188.25</v>
      </c>
      <c r="M17" s="11" t="n">
        <f aca="false">IF(M$1&lt;Units!$P16,0,IF(AND(Units!$K16=0,M$1=Units!$O16),Units!$R16,IF(AND(M$1&gt;=Units!$Q16,MOD(M$1-Units!$Q16,12)=0),IF(AND(Units!$L16=1,M$1=Units!$Q16),IF(Units!$J16&lt;&gt;"",Units!$J16,Mkt!M17),Inputs!$B$15*Mkt!M17+(1-Inputs!$B$15)*MIN(Mkt!M17,L17*(1+Inputs!$B$18))),L17)))</f>
        <v>1188.25</v>
      </c>
      <c r="N17" s="11" t="n">
        <f aca="false">IF(N$1&lt;Units!$P16,0,IF(AND(Units!$K16=0,N$1=Units!$O16),Units!$R16,IF(AND(N$1&gt;=Units!$Q16,MOD(N$1-Units!$Q16,12)=0),IF(AND(Units!$L16=1,N$1=Units!$Q16),IF(Units!$J16&lt;&gt;"",Units!$J16,Mkt!N17),Inputs!$B$15*Mkt!N17+(1-Inputs!$B$15)*MIN(Mkt!N17,M17*(1+Inputs!$B$18))),M17)))</f>
        <v>1188.25</v>
      </c>
      <c r="O17" s="11" t="n">
        <f aca="false">IF(O$1&lt;Units!$P16,0,IF(AND(Units!$K16=0,O$1=Units!$O16),Units!$R16,IF(AND(O$1&gt;=Units!$Q16,MOD(O$1-Units!$Q16,12)=0),IF(AND(Units!$L16=1,O$1=Units!$Q16),IF(Units!$J16&lt;&gt;"",Units!$J16,Mkt!O17),Inputs!$B$15*Mkt!O17+(1-Inputs!$B$15)*MIN(Mkt!O17,N17*(1+Inputs!$B$18))),N17)))</f>
        <v>1188.25</v>
      </c>
      <c r="P17" s="11" t="n">
        <f aca="false">IF(P$1&lt;Units!$P16,0,IF(AND(Units!$K16=0,P$1=Units!$O16),Units!$R16,IF(AND(P$1&gt;=Units!$Q16,MOD(P$1-Units!$Q16,12)=0),IF(AND(Units!$L16=1,P$1=Units!$Q16),IF(Units!$J16&lt;&gt;"",Units!$J16,Mkt!P17),Inputs!$B$15*Mkt!P17+(1-Inputs!$B$15)*MIN(Mkt!P17,O17*(1+Inputs!$B$18))),O17)))</f>
        <v>1188.25</v>
      </c>
      <c r="Q17" s="11" t="n">
        <f aca="false">IF(Q$1&lt;Units!$P16,0,IF(AND(Units!$K16=0,Q$1=Units!$O16),Units!$R16,IF(AND(Q$1&gt;=Units!$Q16,MOD(Q$1-Units!$Q16,12)=0),IF(AND(Units!$L16=1,Q$1=Units!$Q16),IF(Units!$J16&lt;&gt;"",Units!$J16,Mkt!Q17),Inputs!$B$15*Mkt!Q17+(1-Inputs!$B$15)*MIN(Mkt!Q17,P17*(1+Inputs!$B$18))),P17)))</f>
        <v>1188.25</v>
      </c>
      <c r="R17" s="11" t="n">
        <f aca="false">IF(R$1&lt;Units!$P16,0,IF(AND(Units!$K16=0,R$1=Units!$O16),Units!$R16,IF(AND(R$1&gt;=Units!$Q16,MOD(R$1-Units!$Q16,12)=0),IF(AND(Units!$L16=1,R$1=Units!$Q16),IF(Units!$J16&lt;&gt;"",Units!$J16,Mkt!R17),Inputs!$B$15*Mkt!R17+(1-Inputs!$B$15)*MIN(Mkt!R17,Q17*(1+Inputs!$B$18))),Q17)))</f>
        <v>1188.25</v>
      </c>
      <c r="S17" s="11" t="n">
        <f aca="false">IF(S$1&lt;Units!$P16,0,IF(AND(Units!$K16=0,S$1=Units!$O16),Units!$R16,IF(AND(S$1&gt;=Units!$Q16,MOD(S$1-Units!$Q16,12)=0),IF(AND(Units!$L16=1,S$1=Units!$Q16),IF(Units!$J16&lt;&gt;"",Units!$J16,Mkt!S17),Inputs!$B$15*Mkt!S17+(1-Inputs!$B$15)*MIN(Mkt!S17,R17*(1+Inputs!$B$18))),R17)))</f>
        <v>1188.25</v>
      </c>
      <c r="T17" s="11" t="n">
        <f aca="false">IF(T$1&lt;Units!$P16,0,IF(AND(Units!$K16=0,T$1=Units!$O16),Units!$R16,IF(AND(T$1&gt;=Units!$Q16,MOD(T$1-Units!$Q16,12)=0),IF(AND(Units!$L16=1,T$1=Units!$Q16),IF(Units!$J16&lt;&gt;"",Units!$J16,Mkt!T17),Inputs!$B$15*Mkt!T17+(1-Inputs!$B$15)*MIN(Mkt!T17,S17*(1+Inputs!$B$18))),S17)))</f>
        <v>1188.25</v>
      </c>
      <c r="U17" s="11" t="n">
        <f aca="false">IF(U$1&lt;Units!$P16,0,IF(AND(Units!$K16=0,U$1=Units!$O16),Units!$R16,IF(AND(U$1&gt;=Units!$Q16,MOD(U$1-Units!$Q16,12)=0),IF(AND(Units!$L16=1,U$1=Units!$Q16),IF(Units!$J16&lt;&gt;"",Units!$J16,Mkt!U17),Inputs!$B$15*Mkt!U17+(1-Inputs!$B$15)*MIN(Mkt!U17,T17*(1+Inputs!$B$18))),T17)))</f>
        <v>1188.25</v>
      </c>
      <c r="V17" s="11" t="n">
        <f aca="false">IF(V$1&lt;Units!$P16,0,IF(AND(Units!$K16=0,V$1=Units!$O16),Units!$R16,IF(AND(V$1&gt;=Units!$Q16,MOD(V$1-Units!$Q16,12)=0),IF(AND(Units!$L16=1,V$1=Units!$Q16),IF(Units!$J16&lt;&gt;"",Units!$J16,Mkt!V17),Inputs!$B$15*Mkt!V17+(1-Inputs!$B$15)*MIN(Mkt!V17,U17*(1+Inputs!$B$18))),U17)))</f>
        <v>1188.25</v>
      </c>
      <c r="W17" s="11" t="n">
        <f aca="false">IF(W$1&lt;Units!$P16,0,IF(AND(Units!$K16=0,W$1=Units!$O16),Units!$R16,IF(AND(W$1&gt;=Units!$Q16,MOD(W$1-Units!$Q16,12)=0),IF(AND(Units!$L16=1,W$1=Units!$Q16),IF(Units!$J16&lt;&gt;"",Units!$J16,Mkt!W17),Inputs!$B$15*Mkt!W17+(1-Inputs!$B$15)*MIN(Mkt!W17,V17*(1+Inputs!$B$18))),V17)))</f>
        <v>1188.25</v>
      </c>
      <c r="X17" s="11" t="n">
        <f aca="false">IF(X$1&lt;Units!$P16,0,IF(AND(Units!$K16=0,X$1=Units!$O16),Units!$R16,IF(AND(X$1&gt;=Units!$Q16,MOD(X$1-Units!$Q16,12)=0),IF(AND(Units!$L16=1,X$1=Units!$Q16),IF(Units!$J16&lt;&gt;"",Units!$J16,Mkt!X17),Inputs!$B$15*Mkt!X17+(1-Inputs!$B$15)*MIN(Mkt!X17,W17*(1+Inputs!$B$18))),W17)))</f>
        <v>1290.75625</v>
      </c>
      <c r="Y17" s="11" t="n">
        <f aca="false">IF(Y$1&lt;Units!$P16,0,IF(AND(Units!$K16=0,Y$1=Units!$O16),Units!$R16,IF(AND(Y$1&gt;=Units!$Q16,MOD(Y$1-Units!$Q16,12)=0),IF(AND(Units!$L16=1,Y$1=Units!$Q16),IF(Units!$J16&lt;&gt;"",Units!$J16,Mkt!Y17),Inputs!$B$15*Mkt!Y17+(1-Inputs!$B$15)*MIN(Mkt!Y17,X17*(1+Inputs!$B$18))),X17)))</f>
        <v>1290.75625</v>
      </c>
      <c r="Z17" s="11" t="n">
        <f aca="false">IF(Z$1&lt;Units!$P16,0,IF(AND(Units!$K16=0,Z$1=Units!$O16),Units!$R16,IF(AND(Z$1&gt;=Units!$Q16,MOD(Z$1-Units!$Q16,12)=0),IF(AND(Units!$L16=1,Z$1=Units!$Q16),IF(Units!$J16&lt;&gt;"",Units!$J16,Mkt!Z17),Inputs!$B$15*Mkt!Z17+(1-Inputs!$B$15)*MIN(Mkt!Z17,Y17*(1+Inputs!$B$18))),Y17)))</f>
        <v>1290.75625</v>
      </c>
      <c r="AA17" s="11" t="n">
        <f aca="false">IF(AA$1&lt;Units!$P16,0,IF(AND(Units!$K16=0,AA$1=Units!$O16),Units!$R16,IF(AND(AA$1&gt;=Units!$Q16,MOD(AA$1-Units!$Q16,12)=0),IF(AND(Units!$L16=1,AA$1=Units!$Q16),IF(Units!$J16&lt;&gt;"",Units!$J16,Mkt!AA17),Inputs!$B$15*Mkt!AA17+(1-Inputs!$B$15)*MIN(Mkt!AA17,Z17*(1+Inputs!$B$18))),Z17)))</f>
        <v>1290.75625</v>
      </c>
      <c r="AB17" s="11" t="n">
        <f aca="false">IF(AB$1&lt;Units!$P16,0,IF(AND(Units!$K16=0,AB$1=Units!$O16),Units!$R16,IF(AND(AB$1&gt;=Units!$Q16,MOD(AB$1-Units!$Q16,12)=0),IF(AND(Units!$L16=1,AB$1=Units!$Q16),IF(Units!$J16&lt;&gt;"",Units!$J16,Mkt!AB17),Inputs!$B$15*Mkt!AB17+(1-Inputs!$B$15)*MIN(Mkt!AB17,AA17*(1+Inputs!$B$18))),AA17)))</f>
        <v>1290.75625</v>
      </c>
      <c r="AC17" s="11" t="n">
        <f aca="false">IF(AC$1&lt;Units!$P16,0,IF(AND(Units!$K16=0,AC$1=Units!$O16),Units!$R16,IF(AND(AC$1&gt;=Units!$Q16,MOD(AC$1-Units!$Q16,12)=0),IF(AND(Units!$L16=1,AC$1=Units!$Q16),IF(Units!$J16&lt;&gt;"",Units!$J16,Mkt!AC17),Inputs!$B$15*Mkt!AC17+(1-Inputs!$B$15)*MIN(Mkt!AC17,AB17*(1+Inputs!$B$18))),AB17)))</f>
        <v>1290.75625</v>
      </c>
      <c r="AD17" s="11" t="n">
        <f aca="false">IF(AD$1&lt;Units!$P16,0,IF(AND(Units!$K16=0,AD$1=Units!$O16),Units!$R16,IF(AND(AD$1&gt;=Units!$Q16,MOD(AD$1-Units!$Q16,12)=0),IF(AND(Units!$L16=1,AD$1=Units!$Q16),IF(Units!$J16&lt;&gt;"",Units!$J16,Mkt!AD17),Inputs!$B$15*Mkt!AD17+(1-Inputs!$B$15)*MIN(Mkt!AD17,AC17*(1+Inputs!$B$18))),AC17)))</f>
        <v>1290.75625</v>
      </c>
      <c r="AE17" s="11" t="n">
        <f aca="false">IF(AE$1&lt;Units!$P16,0,IF(AND(Units!$K16=0,AE$1=Units!$O16),Units!$R16,IF(AND(AE$1&gt;=Units!$Q16,MOD(AE$1-Units!$Q16,12)=0),IF(AND(Units!$L16=1,AE$1=Units!$Q16),IF(Units!$J16&lt;&gt;"",Units!$J16,Mkt!AE17),Inputs!$B$15*Mkt!AE17+(1-Inputs!$B$15)*MIN(Mkt!AE17,AD17*(1+Inputs!$B$18))),AD17)))</f>
        <v>1290.75625</v>
      </c>
      <c r="AF17" s="11" t="n">
        <f aca="false">IF(AF$1&lt;Units!$P16,0,IF(AND(Units!$K16=0,AF$1=Units!$O16),Units!$R16,IF(AND(AF$1&gt;=Units!$Q16,MOD(AF$1-Units!$Q16,12)=0),IF(AND(Units!$L16=1,AF$1=Units!$Q16),IF(Units!$J16&lt;&gt;"",Units!$J16,Mkt!AF17),Inputs!$B$15*Mkt!AF17+(1-Inputs!$B$15)*MIN(Mkt!AF17,AE17*(1+Inputs!$B$18))),AE17)))</f>
        <v>1290.75625</v>
      </c>
      <c r="AG17" s="11" t="n">
        <f aca="false">IF(AG$1&lt;Units!$P16,0,IF(AND(Units!$K16=0,AG$1=Units!$O16),Units!$R16,IF(AND(AG$1&gt;=Units!$Q16,MOD(AG$1-Units!$Q16,12)=0),IF(AND(Units!$L16=1,AG$1=Units!$Q16),IF(Units!$J16&lt;&gt;"",Units!$J16,Mkt!AG17),Inputs!$B$15*Mkt!AG17+(1-Inputs!$B$15)*MIN(Mkt!AG17,AF17*(1+Inputs!$B$18))),AF17)))</f>
        <v>1290.75625</v>
      </c>
      <c r="AH17" s="11" t="n">
        <f aca="false">IF(AH$1&lt;Units!$P16,0,IF(AND(Units!$K16=0,AH$1=Units!$O16),Units!$R16,IF(AND(AH$1&gt;=Units!$Q16,MOD(AH$1-Units!$Q16,12)=0),IF(AND(Units!$L16=1,AH$1=Units!$Q16),IF(Units!$J16&lt;&gt;"",Units!$J16,Mkt!AH17),Inputs!$B$15*Mkt!AH17+(1-Inputs!$B$15)*MIN(Mkt!AH17,AG17*(1+Inputs!$B$18))),AG17)))</f>
        <v>1290.75625</v>
      </c>
      <c r="AI17" s="11" t="n">
        <f aca="false">IF(AI$1&lt;Units!$P16,0,IF(AND(Units!$K16=0,AI$1=Units!$O16),Units!$R16,IF(AND(AI$1&gt;=Units!$Q16,MOD(AI$1-Units!$Q16,12)=0),IF(AND(Units!$L16=1,AI$1=Units!$Q16),IF(Units!$J16&lt;&gt;"",Units!$J16,Mkt!AI17),Inputs!$B$15*Mkt!AI17+(1-Inputs!$B$15)*MIN(Mkt!AI17,AH17*(1+Inputs!$B$18))),AH17)))</f>
        <v>1290.75625</v>
      </c>
      <c r="AJ17" s="11" t="n">
        <f aca="false">IF(AJ$1&lt;Units!$P16,0,IF(AND(Units!$K16=0,AJ$1=Units!$O16),Units!$R16,IF(AND(AJ$1&gt;=Units!$Q16,MOD(AJ$1-Units!$Q16,12)=0),IF(AND(Units!$L16=1,AJ$1=Units!$Q16),IF(Units!$J16&lt;&gt;"",Units!$J16,Mkt!AJ17),Inputs!$B$15*Mkt!AJ17+(1-Inputs!$B$15)*MIN(Mkt!AJ17,AI17*(1+Inputs!$B$18))),AI17)))</f>
        <v>1364.57978125</v>
      </c>
      <c r="AK17" s="11" t="n">
        <f aca="false">IF(AK$1&lt;Units!$P16,0,IF(AND(Units!$K16=0,AK$1=Units!$O16),Units!$R16,IF(AND(AK$1&gt;=Units!$Q16,MOD(AK$1-Units!$Q16,12)=0),IF(AND(Units!$L16=1,AK$1=Units!$Q16),IF(Units!$J16&lt;&gt;"",Units!$J16,Mkt!AK17),Inputs!$B$15*Mkt!AK17+(1-Inputs!$B$15)*MIN(Mkt!AK17,AJ17*(1+Inputs!$B$18))),AJ17)))</f>
        <v>1364.57978125</v>
      </c>
      <c r="AL17" s="11" t="n">
        <f aca="false">IF(AL$1&lt;Units!$P16,0,IF(AND(Units!$K16=0,AL$1=Units!$O16),Units!$R16,IF(AND(AL$1&gt;=Units!$Q16,MOD(AL$1-Units!$Q16,12)=0),IF(AND(Units!$L16=1,AL$1=Units!$Q16),IF(Units!$J16&lt;&gt;"",Units!$J16,Mkt!AL17),Inputs!$B$15*Mkt!AL17+(1-Inputs!$B$15)*MIN(Mkt!AL17,AK17*(1+Inputs!$B$18))),AK17)))</f>
        <v>1364.57978125</v>
      </c>
      <c r="AM17" s="11" t="n">
        <f aca="false">IF(AM$1&lt;Units!$P16,0,IF(AND(Units!$K16=0,AM$1=Units!$O16),Units!$R16,IF(AND(AM$1&gt;=Units!$Q16,MOD(AM$1-Units!$Q16,12)=0),IF(AND(Units!$L16=1,AM$1=Units!$Q16),IF(Units!$J16&lt;&gt;"",Units!$J16,Mkt!AM17),Inputs!$B$15*Mkt!AM17+(1-Inputs!$B$15)*MIN(Mkt!AM17,AL17*(1+Inputs!$B$18))),AL17)))</f>
        <v>1364.57978125</v>
      </c>
      <c r="AN17" s="11" t="n">
        <f aca="false">IF(AN$1&lt;Units!$P16,0,IF(AND(Units!$K16=0,AN$1=Units!$O16),Units!$R16,IF(AND(AN$1&gt;=Units!$Q16,MOD(AN$1-Units!$Q16,12)=0),IF(AND(Units!$L16=1,AN$1=Units!$Q16),IF(Units!$J16&lt;&gt;"",Units!$J16,Mkt!AN17),Inputs!$B$15*Mkt!AN17+(1-Inputs!$B$15)*MIN(Mkt!AN17,AM17*(1+Inputs!$B$18))),AM17)))</f>
        <v>1364.57978125</v>
      </c>
      <c r="AO17" s="11" t="n">
        <f aca="false">IF(AO$1&lt;Units!$P16,0,IF(AND(Units!$K16=0,AO$1=Units!$O16),Units!$R16,IF(AND(AO$1&gt;=Units!$Q16,MOD(AO$1-Units!$Q16,12)=0),IF(AND(Units!$L16=1,AO$1=Units!$Q16),IF(Units!$J16&lt;&gt;"",Units!$J16,Mkt!AO17),Inputs!$B$15*Mkt!AO17+(1-Inputs!$B$15)*MIN(Mkt!AO17,AN17*(1+Inputs!$B$18))),AN17)))</f>
        <v>1364.57978125</v>
      </c>
      <c r="AP17" s="11" t="n">
        <f aca="false">IF(AP$1&lt;Units!$P16,0,IF(AND(Units!$K16=0,AP$1=Units!$O16),Units!$R16,IF(AND(AP$1&gt;=Units!$Q16,MOD(AP$1-Units!$Q16,12)=0),IF(AND(Units!$L16=1,AP$1=Units!$Q16),IF(Units!$J16&lt;&gt;"",Units!$J16,Mkt!AP17),Inputs!$B$15*Mkt!AP17+(1-Inputs!$B$15)*MIN(Mkt!AP17,AO17*(1+Inputs!$B$18))),AO17)))</f>
        <v>1364.57978125</v>
      </c>
      <c r="AQ17" s="11" t="n">
        <f aca="false">IF(AQ$1&lt;Units!$P16,0,IF(AND(Units!$K16=0,AQ$1=Units!$O16),Units!$R16,IF(AND(AQ$1&gt;=Units!$Q16,MOD(AQ$1-Units!$Q16,12)=0),IF(AND(Units!$L16=1,AQ$1=Units!$Q16),IF(Units!$J16&lt;&gt;"",Units!$J16,Mkt!AQ17),Inputs!$B$15*Mkt!AQ17+(1-Inputs!$B$15)*MIN(Mkt!AQ17,AP17*(1+Inputs!$B$18))),AP17)))</f>
        <v>1364.57978125</v>
      </c>
      <c r="AR17" s="11" t="n">
        <f aca="false">IF(AR$1&lt;Units!$P16,0,IF(AND(Units!$K16=0,AR$1=Units!$O16),Units!$R16,IF(AND(AR$1&gt;=Units!$Q16,MOD(AR$1-Units!$Q16,12)=0),IF(AND(Units!$L16=1,AR$1=Units!$Q16),IF(Units!$J16&lt;&gt;"",Units!$J16,Mkt!AR17),Inputs!$B$15*Mkt!AR17+(1-Inputs!$B$15)*MIN(Mkt!AR17,AQ17*(1+Inputs!$B$18))),AQ17)))</f>
        <v>1364.57978125</v>
      </c>
      <c r="AS17" s="11" t="n">
        <f aca="false">IF(AS$1&lt;Units!$P16,0,IF(AND(Units!$K16=0,AS$1=Units!$O16),Units!$R16,IF(AND(AS$1&gt;=Units!$Q16,MOD(AS$1-Units!$Q16,12)=0),IF(AND(Units!$L16=1,AS$1=Units!$Q16),IF(Units!$J16&lt;&gt;"",Units!$J16,Mkt!AS17),Inputs!$B$15*Mkt!AS17+(1-Inputs!$B$15)*MIN(Mkt!AS17,AR17*(1+Inputs!$B$18))),AR17)))</f>
        <v>1364.57978125</v>
      </c>
      <c r="AT17" s="11" t="n">
        <f aca="false">IF(AT$1&lt;Units!$P16,0,IF(AND(Units!$K16=0,AT$1=Units!$O16),Units!$R16,IF(AND(AT$1&gt;=Units!$Q16,MOD(AT$1-Units!$Q16,12)=0),IF(AND(Units!$L16=1,AT$1=Units!$Q16),IF(Units!$J16&lt;&gt;"",Units!$J16,Mkt!AT17),Inputs!$B$15*Mkt!AT17+(1-Inputs!$B$15)*MIN(Mkt!AT17,AS17*(1+Inputs!$B$18))),AS17)))</f>
        <v>1364.57978125</v>
      </c>
      <c r="AU17" s="11" t="n">
        <f aca="false">IF(AU$1&lt;Units!$P16,0,IF(AND(Units!$K16=0,AU$1=Units!$O16),Units!$R16,IF(AND(AU$1&gt;=Units!$Q16,MOD(AU$1-Units!$Q16,12)=0),IF(AND(Units!$L16=1,AU$1=Units!$Q16),IF(Units!$J16&lt;&gt;"",Units!$J16,Mkt!AU17),Inputs!$B$15*Mkt!AU17+(1-Inputs!$B$15)*MIN(Mkt!AU17,AT17*(1+Inputs!$B$18))),AT17)))</f>
        <v>1364.57978125</v>
      </c>
      <c r="AV17" s="11" t="n">
        <f aca="false">IF(AV$1&lt;Units!$P16,0,IF(AND(Units!$K16=0,AV$1=Units!$O16),Units!$R16,IF(AND(AV$1&gt;=Units!$Q16,MOD(AV$1-Units!$Q16,12)=0),IF(AND(Units!$L16=1,AV$1=Units!$Q16),IF(Units!$J16&lt;&gt;"",Units!$J16,Mkt!AV17),Inputs!$B$15*Mkt!AV17+(1-Inputs!$B$15)*MIN(Mkt!AV17,AU17*(1+Inputs!$B$18))),AU17)))</f>
        <v>1415.081465</v>
      </c>
      <c r="AW17" s="11" t="n">
        <f aca="false">IF(AW$1&lt;Units!$P16,0,IF(AND(Units!$K16=0,AW$1=Units!$O16),Units!$R16,IF(AND(AW$1&gt;=Units!$Q16,MOD(AW$1-Units!$Q16,12)=0),IF(AND(Units!$L16=1,AW$1=Units!$Q16),IF(Units!$J16&lt;&gt;"",Units!$J16,Mkt!AW17),Inputs!$B$15*Mkt!AW17+(1-Inputs!$B$15)*MIN(Mkt!AW17,AV17*(1+Inputs!$B$18))),AV17)))</f>
        <v>1415.081465</v>
      </c>
      <c r="AX17" s="11" t="n">
        <f aca="false">IF(AX$1&lt;Units!$P16,0,IF(AND(Units!$K16=0,AX$1=Units!$O16),Units!$R16,IF(AND(AX$1&gt;=Units!$Q16,MOD(AX$1-Units!$Q16,12)=0),IF(AND(Units!$L16=1,AX$1=Units!$Q16),IF(Units!$J16&lt;&gt;"",Units!$J16,Mkt!AX17),Inputs!$B$15*Mkt!AX17+(1-Inputs!$B$15)*MIN(Mkt!AX17,AW17*(1+Inputs!$B$18))),AW17)))</f>
        <v>1415.081465</v>
      </c>
      <c r="AY17" s="11" t="n">
        <f aca="false">IF(AY$1&lt;Units!$P16,0,IF(AND(Units!$K16=0,AY$1=Units!$O16),Units!$R16,IF(AND(AY$1&gt;=Units!$Q16,MOD(AY$1-Units!$Q16,12)=0),IF(AND(Units!$L16=1,AY$1=Units!$Q16),IF(Units!$J16&lt;&gt;"",Units!$J16,Mkt!AY17),Inputs!$B$15*Mkt!AY17+(1-Inputs!$B$15)*MIN(Mkt!AY17,AX17*(1+Inputs!$B$18))),AX17)))</f>
        <v>1415.081465</v>
      </c>
      <c r="AZ17" s="11" t="n">
        <f aca="false">IF(AZ$1&lt;Units!$P16,0,IF(AND(Units!$K16=0,AZ$1=Units!$O16),Units!$R16,IF(AND(AZ$1&gt;=Units!$Q16,MOD(AZ$1-Units!$Q16,12)=0),IF(AND(Units!$L16=1,AZ$1=Units!$Q16),IF(Units!$J16&lt;&gt;"",Units!$J16,Mkt!AZ17),Inputs!$B$15*Mkt!AZ17+(1-Inputs!$B$15)*MIN(Mkt!AZ17,AY17*(1+Inputs!$B$18))),AY17)))</f>
        <v>1415.081465</v>
      </c>
      <c r="BA17" s="11" t="n">
        <f aca="false">IF(BA$1&lt;Units!$P16,0,IF(AND(Units!$K16=0,BA$1=Units!$O16),Units!$R16,IF(AND(BA$1&gt;=Units!$Q16,MOD(BA$1-Units!$Q16,12)=0),IF(AND(Units!$L16=1,BA$1=Units!$Q16),IF(Units!$J16&lt;&gt;"",Units!$J16,Mkt!BA17),Inputs!$B$15*Mkt!BA17+(1-Inputs!$B$15)*MIN(Mkt!BA17,AZ17*(1+Inputs!$B$18))),AZ17)))</f>
        <v>1415.081465</v>
      </c>
      <c r="BB17" s="11" t="n">
        <f aca="false">IF(BB$1&lt;Units!$P16,0,IF(AND(Units!$K16=0,BB$1=Units!$O16),Units!$R16,IF(AND(BB$1&gt;=Units!$Q16,MOD(BB$1-Units!$Q16,12)=0),IF(AND(Units!$L16=1,BB$1=Units!$Q16),IF(Units!$J16&lt;&gt;"",Units!$J16,Mkt!BB17),Inputs!$B$15*Mkt!BB17+(1-Inputs!$B$15)*MIN(Mkt!BB17,BA17*(1+Inputs!$B$18))),BA17)))</f>
        <v>1415.081465</v>
      </c>
      <c r="BC17" s="11" t="n">
        <f aca="false">IF(BC$1&lt;Units!$P16,0,IF(AND(Units!$K16=0,BC$1=Units!$O16),Units!$R16,IF(AND(BC$1&gt;=Units!$Q16,MOD(BC$1-Units!$Q16,12)=0),IF(AND(Units!$L16=1,BC$1=Units!$Q16),IF(Units!$J16&lt;&gt;"",Units!$J16,Mkt!BC17),Inputs!$B$15*Mkt!BC17+(1-Inputs!$B$15)*MIN(Mkt!BC17,BB17*(1+Inputs!$B$18))),BB17)))</f>
        <v>1415.081465</v>
      </c>
      <c r="BD17" s="11" t="n">
        <f aca="false">IF(BD$1&lt;Units!$P16,0,IF(AND(Units!$K16=0,BD$1=Units!$O16),Units!$R16,IF(AND(BD$1&gt;=Units!$Q16,MOD(BD$1-Units!$Q16,12)=0),IF(AND(Units!$L16=1,BD$1=Units!$Q16),IF(Units!$J16&lt;&gt;"",Units!$J16,Mkt!BD17),Inputs!$B$15*Mkt!BD17+(1-Inputs!$B$15)*MIN(Mkt!BD17,BC17*(1+Inputs!$B$18))),BC17)))</f>
        <v>1415.081465</v>
      </c>
      <c r="BE17" s="11" t="n">
        <f aca="false">IF(BE$1&lt;Units!$P16,0,IF(AND(Units!$K16=0,BE$1=Units!$O16),Units!$R16,IF(AND(BE$1&gt;=Units!$Q16,MOD(BE$1-Units!$Q16,12)=0),IF(AND(Units!$L16=1,BE$1=Units!$Q16),IF(Units!$J16&lt;&gt;"",Units!$J16,Mkt!BE17),Inputs!$B$15*Mkt!BE17+(1-Inputs!$B$15)*MIN(Mkt!BE17,BD17*(1+Inputs!$B$18))),BD17)))</f>
        <v>1415.081465</v>
      </c>
      <c r="BF17" s="11" t="n">
        <f aca="false">IF(BF$1&lt;Units!$P16,0,IF(AND(Units!$K16=0,BF$1=Units!$O16),Units!$R16,IF(AND(BF$1&gt;=Units!$Q16,MOD(BF$1-Units!$Q16,12)=0),IF(AND(Units!$L16=1,BF$1=Units!$Q16),IF(Units!$J16&lt;&gt;"",Units!$J16,Mkt!BF17),Inputs!$B$15*Mkt!BF17+(1-Inputs!$B$15)*MIN(Mkt!BF17,BE17*(1+Inputs!$B$18))),BE17)))</f>
        <v>1415.081465</v>
      </c>
      <c r="BG17" s="11" t="n">
        <f aca="false">IF(BG$1&lt;Units!$P16,0,IF(AND(Units!$K16=0,BG$1=Units!$O16),Units!$R16,IF(AND(BG$1&gt;=Units!$Q16,MOD(BG$1-Units!$Q16,12)=0),IF(AND(Units!$L16=1,BG$1=Units!$Q16),IF(Units!$J16&lt;&gt;"",Units!$J16,Mkt!BG17),Inputs!$B$15*Mkt!BG17+(1-Inputs!$B$15)*MIN(Mkt!BG17,BF17*(1+Inputs!$B$18))),BF17)))</f>
        <v>1415.081465</v>
      </c>
      <c r="BH17" s="11" t="n">
        <f aca="false">IF(BH$1&lt;Units!$P16,0,IF(AND(Units!$K16=0,BH$1=Units!$O16),Units!$R16,IF(AND(BH$1&gt;=Units!$Q16,MOD(BH$1-Units!$Q16,12)=0),IF(AND(Units!$L16=1,BH$1=Units!$Q16),IF(Units!$J16&lt;&gt;"",Units!$J16,Mkt!BH17),Inputs!$B$15*Mkt!BH17+(1-Inputs!$B$15)*MIN(Mkt!BH17,BG17*(1+Inputs!$B$18))),BG17)))</f>
        <v>1457.53390895</v>
      </c>
      <c r="BI17" s="11" t="n">
        <f aca="false">IF(BI$1&lt;Units!$P16,0,IF(AND(Units!$K16=0,BI$1=Units!$O16),Units!$R16,IF(AND(BI$1&gt;=Units!$Q16,MOD(BI$1-Units!$Q16,12)=0),IF(AND(Units!$L16=1,BI$1=Units!$Q16),IF(Units!$J16&lt;&gt;"",Units!$J16,Mkt!BI17),Inputs!$B$15*Mkt!BI17+(1-Inputs!$B$15)*MIN(Mkt!BI17,BH17*(1+Inputs!$B$18))),BH17)))</f>
        <v>1457.53390895</v>
      </c>
      <c r="BJ17" s="11" t="n">
        <f aca="false">IF(BJ$1&lt;Units!$P16,0,IF(AND(Units!$K16=0,BJ$1=Units!$O16),Units!$R16,IF(AND(BJ$1&gt;=Units!$Q16,MOD(BJ$1-Units!$Q16,12)=0),IF(AND(Units!$L16=1,BJ$1=Units!$Q16),IF(Units!$J16&lt;&gt;"",Units!$J16,Mkt!BJ17),Inputs!$B$15*Mkt!BJ17+(1-Inputs!$B$15)*MIN(Mkt!BJ17,BI17*(1+Inputs!$B$18))),BI17)))</f>
        <v>1457.53390895</v>
      </c>
      <c r="BK17" s="11" t="n">
        <f aca="false">IF(BK$1&lt;Units!$P16,0,IF(AND(Units!$K16=0,BK$1=Units!$O16),Units!$R16,IF(AND(BK$1&gt;=Units!$Q16,MOD(BK$1-Units!$Q16,12)=0),IF(AND(Units!$L16=1,BK$1=Units!$Q16),IF(Units!$J16&lt;&gt;"",Units!$J16,Mkt!BK17),Inputs!$B$15*Mkt!BK17+(1-Inputs!$B$15)*MIN(Mkt!BK17,BJ17*(1+Inputs!$B$18))),BJ17)))</f>
        <v>1457.53390895</v>
      </c>
      <c r="BL17" s="11" t="n">
        <f aca="false">IF(BL$1&lt;Units!$P16,0,IF(AND(Units!$K16=0,BL$1=Units!$O16),Units!$R16,IF(AND(BL$1&gt;=Units!$Q16,MOD(BL$1-Units!$Q16,12)=0),IF(AND(Units!$L16=1,BL$1=Units!$Q16),IF(Units!$J16&lt;&gt;"",Units!$J16,Mkt!BL17),Inputs!$B$15*Mkt!BL17+(1-Inputs!$B$15)*MIN(Mkt!BL17,BK17*(1+Inputs!$B$18))),BK17)))</f>
        <v>1457.53390895</v>
      </c>
      <c r="BM17" s="11" t="n">
        <f aca="false">IF(BM$1&lt;Units!$P16,0,IF(AND(Units!$K16=0,BM$1=Units!$O16),Units!$R16,IF(AND(BM$1&gt;=Units!$Q16,MOD(BM$1-Units!$Q16,12)=0),IF(AND(Units!$L16=1,BM$1=Units!$Q16),IF(Units!$J16&lt;&gt;"",Units!$J16,Mkt!BM17),Inputs!$B$15*Mkt!BM17+(1-Inputs!$B$15)*MIN(Mkt!BM17,BL17*(1+Inputs!$B$18))),BL17)))</f>
        <v>1457.53390895</v>
      </c>
      <c r="BN17" s="11" t="n">
        <f aca="false">IF(BN$1&lt;Units!$P16,0,IF(AND(Units!$K16=0,BN$1=Units!$O16),Units!$R16,IF(AND(BN$1&gt;=Units!$Q16,MOD(BN$1-Units!$Q16,12)=0),IF(AND(Units!$L16=1,BN$1=Units!$Q16),IF(Units!$J16&lt;&gt;"",Units!$J16,Mkt!BN17),Inputs!$B$15*Mkt!BN17+(1-Inputs!$B$15)*MIN(Mkt!BN17,BM17*(1+Inputs!$B$18))),BM17)))</f>
        <v>1457.53390895</v>
      </c>
      <c r="BO17" s="11" t="n">
        <f aca="false">IF(BO$1&lt;Units!$P16,0,IF(AND(Units!$K16=0,BO$1=Units!$O16),Units!$R16,IF(AND(BO$1&gt;=Units!$Q16,MOD(BO$1-Units!$Q16,12)=0),IF(AND(Units!$L16=1,BO$1=Units!$Q16),IF(Units!$J16&lt;&gt;"",Units!$J16,Mkt!BO17),Inputs!$B$15*Mkt!BO17+(1-Inputs!$B$15)*MIN(Mkt!BO17,BN17*(1+Inputs!$B$18))),BN17)))</f>
        <v>1457.53390895</v>
      </c>
      <c r="BP17" s="11" t="n">
        <f aca="false">IF(BP$1&lt;Units!$P16,0,IF(AND(Units!$K16=0,BP$1=Units!$O16),Units!$R16,IF(AND(BP$1&gt;=Units!$Q16,MOD(BP$1-Units!$Q16,12)=0),IF(AND(Units!$L16=1,BP$1=Units!$Q16),IF(Units!$J16&lt;&gt;"",Units!$J16,Mkt!BP17),Inputs!$B$15*Mkt!BP17+(1-Inputs!$B$15)*MIN(Mkt!BP17,BO17*(1+Inputs!$B$18))),BO17)))</f>
        <v>1457.53390895</v>
      </c>
      <c r="BQ17" s="11" t="n">
        <f aca="false">IF(BQ$1&lt;Units!$P16,0,IF(AND(Units!$K16=0,BQ$1=Units!$O16),Units!$R16,IF(AND(BQ$1&gt;=Units!$Q16,MOD(BQ$1-Units!$Q16,12)=0),IF(AND(Units!$L16=1,BQ$1=Units!$Q16),IF(Units!$J16&lt;&gt;"",Units!$J16,Mkt!BQ17),Inputs!$B$15*Mkt!BQ17+(1-Inputs!$B$15)*MIN(Mkt!BQ17,BP17*(1+Inputs!$B$18))),BP17)))</f>
        <v>1457.53390895</v>
      </c>
      <c r="BR17" s="11" t="n">
        <f aca="false">IF(BR$1&lt;Units!$P16,0,IF(AND(Units!$K16=0,BR$1=Units!$O16),Units!$R16,IF(AND(BR$1&gt;=Units!$Q16,MOD(BR$1-Units!$Q16,12)=0),IF(AND(Units!$L16=1,BR$1=Units!$Q16),IF(Units!$J16&lt;&gt;"",Units!$J16,Mkt!BR17),Inputs!$B$15*Mkt!BR17+(1-Inputs!$B$15)*MIN(Mkt!BR17,BQ17*(1+Inputs!$B$18))),BQ17)))</f>
        <v>1457.53390895</v>
      </c>
      <c r="BS17" s="11" t="n">
        <f aca="false">IF(BS$1&lt;Units!$P16,0,IF(AND(Units!$K16=0,BS$1=Units!$O16),Units!$R16,IF(AND(BS$1&gt;=Units!$Q16,MOD(BS$1-Units!$Q16,12)=0),IF(AND(Units!$L16=1,BS$1=Units!$Q16),IF(Units!$J16&lt;&gt;"",Units!$J16,Mkt!BS17),Inputs!$B$15*Mkt!BS17+(1-Inputs!$B$15)*MIN(Mkt!BS17,BR17*(1+Inputs!$B$18))),BR17)))</f>
        <v>1457.53390895</v>
      </c>
      <c r="BT17" s="11" t="n">
        <f aca="false">IF(BT$1&lt;Units!$P16,0,IF(AND(Units!$K16=0,BT$1=Units!$O16),Units!$R16,IF(AND(BT$1&gt;=Units!$Q16,MOD(BT$1-Units!$Q16,12)=0),IF(AND(Units!$L16=1,BT$1=Units!$Q16),IF(Units!$J16&lt;&gt;"",Units!$J16,Mkt!BT17),Inputs!$B$15*Mkt!BT17+(1-Inputs!$B$15)*MIN(Mkt!BT17,BS17*(1+Inputs!$B$18))),BS17)))</f>
        <v>1501.2599262185</v>
      </c>
      <c r="BU17" s="11" t="n">
        <f aca="false">IF(BU$1&lt;Units!$P16,0,IF(AND(Units!$K16=0,BU$1=Units!$O16),Units!$R16,IF(AND(BU$1&gt;=Units!$Q16,MOD(BU$1-Units!$Q16,12)=0),IF(AND(Units!$L16=1,BU$1=Units!$Q16),IF(Units!$J16&lt;&gt;"",Units!$J16,Mkt!BU17),Inputs!$B$15*Mkt!BU17+(1-Inputs!$B$15)*MIN(Mkt!BU17,BT17*(1+Inputs!$B$18))),BT17)))</f>
        <v>1501.2599262185</v>
      </c>
      <c r="BV17" s="11" t="n">
        <f aca="false">IF(BV$1&lt;Units!$P16,0,IF(AND(Units!$K16=0,BV$1=Units!$O16),Units!$R16,IF(AND(BV$1&gt;=Units!$Q16,MOD(BV$1-Units!$Q16,12)=0),IF(AND(Units!$L16=1,BV$1=Units!$Q16),IF(Units!$J16&lt;&gt;"",Units!$J16,Mkt!BV17),Inputs!$B$15*Mkt!BV17+(1-Inputs!$B$15)*MIN(Mkt!BV17,BU17*(1+Inputs!$B$18))),BU17)))</f>
        <v>1501.2599262185</v>
      </c>
      <c r="BW17" s="11" t="n">
        <f aca="false">IF(BW$1&lt;Units!$P16,0,IF(AND(Units!$K16=0,BW$1=Units!$O16),Units!$R16,IF(AND(BW$1&gt;=Units!$Q16,MOD(BW$1-Units!$Q16,12)=0),IF(AND(Units!$L16=1,BW$1=Units!$Q16),IF(Units!$J16&lt;&gt;"",Units!$J16,Mkt!BW17),Inputs!$B$15*Mkt!BW17+(1-Inputs!$B$15)*MIN(Mkt!BW17,BV17*(1+Inputs!$B$18))),BV17)))</f>
        <v>1501.2599262185</v>
      </c>
      <c r="BX17" s="11" t="n">
        <f aca="false">IF(BX$1&lt;Units!$P16,0,IF(AND(Units!$K16=0,BX$1=Units!$O16),Units!$R16,IF(AND(BX$1&gt;=Units!$Q16,MOD(BX$1-Units!$Q16,12)=0),IF(AND(Units!$L16=1,BX$1=Units!$Q16),IF(Units!$J16&lt;&gt;"",Units!$J16,Mkt!BX17),Inputs!$B$15*Mkt!BX17+(1-Inputs!$B$15)*MIN(Mkt!BX17,BW17*(1+Inputs!$B$18))),BW17)))</f>
        <v>1501.2599262185</v>
      </c>
      <c r="BY17" s="11" t="n">
        <f aca="false">IF(BY$1&lt;Units!$P16,0,IF(AND(Units!$K16=0,BY$1=Units!$O16),Units!$R16,IF(AND(BY$1&gt;=Units!$Q16,MOD(BY$1-Units!$Q16,12)=0),IF(AND(Units!$L16=1,BY$1=Units!$Q16),IF(Units!$J16&lt;&gt;"",Units!$J16,Mkt!BY17),Inputs!$B$15*Mkt!BY17+(1-Inputs!$B$15)*MIN(Mkt!BY17,BX17*(1+Inputs!$B$18))),BX17)))</f>
        <v>1501.2599262185</v>
      </c>
      <c r="BZ17" s="11" t="n">
        <f aca="false">IF(BZ$1&lt;Units!$P16,0,IF(AND(Units!$K16=0,BZ$1=Units!$O16),Units!$R16,IF(AND(BZ$1&gt;=Units!$Q16,MOD(BZ$1-Units!$Q16,12)=0),IF(AND(Units!$L16=1,BZ$1=Units!$Q16),IF(Units!$J16&lt;&gt;"",Units!$J16,Mkt!BZ17),Inputs!$B$15*Mkt!BZ17+(1-Inputs!$B$15)*MIN(Mkt!BZ17,BY17*(1+Inputs!$B$18))),BY17)))</f>
        <v>1501.2599262185</v>
      </c>
      <c r="CA17" s="11" t="n">
        <f aca="false">IF(CA$1&lt;Units!$P16,0,IF(AND(Units!$K16=0,CA$1=Units!$O16),Units!$R16,IF(AND(CA$1&gt;=Units!$Q16,MOD(CA$1-Units!$Q16,12)=0),IF(AND(Units!$L16=1,CA$1=Units!$Q16),IF(Units!$J16&lt;&gt;"",Units!$J16,Mkt!CA17),Inputs!$B$15*Mkt!CA17+(1-Inputs!$B$15)*MIN(Mkt!CA17,BZ17*(1+Inputs!$B$18))),BZ17)))</f>
        <v>1501.2599262185</v>
      </c>
      <c r="CB17" s="11" t="n">
        <f aca="false">IF(CB$1&lt;Units!$P16,0,IF(AND(Units!$K16=0,CB$1=Units!$O16),Units!$R16,IF(AND(CB$1&gt;=Units!$Q16,MOD(CB$1-Units!$Q16,12)=0),IF(AND(Units!$L16=1,CB$1=Units!$Q16),IF(Units!$J16&lt;&gt;"",Units!$J16,Mkt!CB17),Inputs!$B$15*Mkt!CB17+(1-Inputs!$B$15)*MIN(Mkt!CB17,CA17*(1+Inputs!$B$18))),CA17)))</f>
        <v>1501.2599262185</v>
      </c>
      <c r="CC17" s="11" t="n">
        <f aca="false">IF(CC$1&lt;Units!$P16,0,IF(AND(Units!$K16=0,CC$1=Units!$O16),Units!$R16,IF(AND(CC$1&gt;=Units!$Q16,MOD(CC$1-Units!$Q16,12)=0),IF(AND(Units!$L16=1,CC$1=Units!$Q16),IF(Units!$J16&lt;&gt;"",Units!$J16,Mkt!CC17),Inputs!$B$15*Mkt!CC17+(1-Inputs!$B$15)*MIN(Mkt!CC17,CB17*(1+Inputs!$B$18))),CB17)))</f>
        <v>1501.2599262185</v>
      </c>
      <c r="CD17" s="11" t="n">
        <f aca="false">IF(CD$1&lt;Units!$P16,0,IF(AND(Units!$K16=0,CD$1=Units!$O16),Units!$R16,IF(AND(CD$1&gt;=Units!$Q16,MOD(CD$1-Units!$Q16,12)=0),IF(AND(Units!$L16=1,CD$1=Units!$Q16),IF(Units!$J16&lt;&gt;"",Units!$J16,Mkt!CD17),Inputs!$B$15*Mkt!CD17+(1-Inputs!$B$15)*MIN(Mkt!CD17,CC17*(1+Inputs!$B$18))),CC17)))</f>
        <v>1501.2599262185</v>
      </c>
      <c r="CE17" s="11" t="n">
        <f aca="false">IF(CE$1&lt;Units!$P16,0,IF(AND(Units!$K16=0,CE$1=Units!$O16),Units!$R16,IF(AND(CE$1&gt;=Units!$Q16,MOD(CE$1-Units!$Q16,12)=0),IF(AND(Units!$L16=1,CE$1=Units!$Q16),IF(Units!$J16&lt;&gt;"",Units!$J16,Mkt!CE17),Inputs!$B$15*Mkt!CE17+(1-Inputs!$B$15)*MIN(Mkt!CE17,CD17*(1+Inputs!$B$18))),CD17)))</f>
        <v>1501.2599262185</v>
      </c>
      <c r="CF17" s="11" t="n">
        <f aca="false">IF(CF$1&lt;Units!$P16,0,IF(AND(Units!$K16=0,CF$1=Units!$O16),Units!$R16,IF(AND(CF$1&gt;=Units!$Q16,MOD(CF$1-Units!$Q16,12)=0),IF(AND(Units!$L16=1,CF$1=Units!$Q16),IF(Units!$J16&lt;&gt;"",Units!$J16,Mkt!CF17),Inputs!$B$15*Mkt!CF17+(1-Inputs!$B$15)*MIN(Mkt!CF17,CE17*(1+Inputs!$B$18))),CE17)))</f>
        <v>1546.29772400506</v>
      </c>
      <c r="CG17" s="11" t="n">
        <f aca="false">IF(CG$1&lt;Units!$P16,0,IF(AND(Units!$K16=0,CG$1=Units!$O16),Units!$R16,IF(AND(CG$1&gt;=Units!$Q16,MOD(CG$1-Units!$Q16,12)=0),IF(AND(Units!$L16=1,CG$1=Units!$Q16),IF(Units!$J16&lt;&gt;"",Units!$J16,Mkt!CG17),Inputs!$B$15*Mkt!CG17+(1-Inputs!$B$15)*MIN(Mkt!CG17,CF17*(1+Inputs!$B$18))),CF17)))</f>
        <v>1546.29772400506</v>
      </c>
      <c r="CH17" s="11" t="n">
        <f aca="false">IF(CH$1&lt;Units!$P16,0,IF(AND(Units!$K16=0,CH$1=Units!$O16),Units!$R16,IF(AND(CH$1&gt;=Units!$Q16,MOD(CH$1-Units!$Q16,12)=0),IF(AND(Units!$L16=1,CH$1=Units!$Q16),IF(Units!$J16&lt;&gt;"",Units!$J16,Mkt!CH17),Inputs!$B$15*Mkt!CH17+(1-Inputs!$B$15)*MIN(Mkt!CH17,CG17*(1+Inputs!$B$18))),CG17)))</f>
        <v>1546.29772400506</v>
      </c>
      <c r="CI17" s="11" t="n">
        <f aca="false">IF(CI$1&lt;Units!$P16,0,IF(AND(Units!$K16=0,CI$1=Units!$O16),Units!$R16,IF(AND(CI$1&gt;=Units!$Q16,MOD(CI$1-Units!$Q16,12)=0),IF(AND(Units!$L16=1,CI$1=Units!$Q16),IF(Units!$J16&lt;&gt;"",Units!$J16,Mkt!CI17),Inputs!$B$15*Mkt!CI17+(1-Inputs!$B$15)*MIN(Mkt!CI17,CH17*(1+Inputs!$B$18))),CH17)))</f>
        <v>1546.29772400506</v>
      </c>
      <c r="CJ17" s="11" t="n">
        <f aca="false">IF(CJ$1&lt;Units!$P16,0,IF(AND(Units!$K16=0,CJ$1=Units!$O16),Units!$R16,IF(AND(CJ$1&gt;=Units!$Q16,MOD(CJ$1-Units!$Q16,12)=0),IF(AND(Units!$L16=1,CJ$1=Units!$Q16),IF(Units!$J16&lt;&gt;"",Units!$J16,Mkt!CJ17),Inputs!$B$15*Mkt!CJ17+(1-Inputs!$B$15)*MIN(Mkt!CJ17,CI17*(1+Inputs!$B$18))),CI17)))</f>
        <v>1546.29772400506</v>
      </c>
      <c r="CK17" s="11" t="n">
        <f aca="false">IF(CK$1&lt;Units!$P16,0,IF(AND(Units!$K16=0,CK$1=Units!$O16),Units!$R16,IF(AND(CK$1&gt;=Units!$Q16,MOD(CK$1-Units!$Q16,12)=0),IF(AND(Units!$L16=1,CK$1=Units!$Q16),IF(Units!$J16&lt;&gt;"",Units!$J16,Mkt!CK17),Inputs!$B$15*Mkt!CK17+(1-Inputs!$B$15)*MIN(Mkt!CK17,CJ17*(1+Inputs!$B$18))),CJ17)))</f>
        <v>1546.29772400506</v>
      </c>
      <c r="CL17" s="11" t="n">
        <f aca="false">IF(CL$1&lt;Units!$P16,0,IF(AND(Units!$K16=0,CL$1=Units!$O16),Units!$R16,IF(AND(CL$1&gt;=Units!$Q16,MOD(CL$1-Units!$Q16,12)=0),IF(AND(Units!$L16=1,CL$1=Units!$Q16),IF(Units!$J16&lt;&gt;"",Units!$J16,Mkt!CL17),Inputs!$B$15*Mkt!CL17+(1-Inputs!$B$15)*MIN(Mkt!CL17,CK17*(1+Inputs!$B$18))),CK17)))</f>
        <v>1546.29772400506</v>
      </c>
      <c r="CM17" s="11" t="n">
        <f aca="false">IF(CM$1&lt;Units!$P16,0,IF(AND(Units!$K16=0,CM$1=Units!$O16),Units!$R16,IF(AND(CM$1&gt;=Units!$Q16,MOD(CM$1-Units!$Q16,12)=0),IF(AND(Units!$L16=1,CM$1=Units!$Q16),IF(Units!$J16&lt;&gt;"",Units!$J16,Mkt!CM17),Inputs!$B$15*Mkt!CM17+(1-Inputs!$B$15)*MIN(Mkt!CM17,CL17*(1+Inputs!$B$18))),CL17)))</f>
        <v>1546.29772400506</v>
      </c>
      <c r="CN17" s="11" t="n">
        <f aca="false">IF(CN$1&lt;Units!$P16,0,IF(AND(Units!$K16=0,CN$1=Units!$O16),Units!$R16,IF(AND(CN$1&gt;=Units!$Q16,MOD(CN$1-Units!$Q16,12)=0),IF(AND(Units!$L16=1,CN$1=Units!$Q16),IF(Units!$J16&lt;&gt;"",Units!$J16,Mkt!CN17),Inputs!$B$15*Mkt!CN17+(1-Inputs!$B$15)*MIN(Mkt!CN17,CM17*(1+Inputs!$B$18))),CM17)))</f>
        <v>1546.29772400506</v>
      </c>
      <c r="CO17" s="11" t="n">
        <f aca="false">IF(CO$1&lt;Units!$P16,0,IF(AND(Units!$K16=0,CO$1=Units!$O16),Units!$R16,IF(AND(CO$1&gt;=Units!$Q16,MOD(CO$1-Units!$Q16,12)=0),IF(AND(Units!$L16=1,CO$1=Units!$Q16),IF(Units!$J16&lt;&gt;"",Units!$J16,Mkt!CO17),Inputs!$B$15*Mkt!CO17+(1-Inputs!$B$15)*MIN(Mkt!CO17,CN17*(1+Inputs!$B$18))),CN17)))</f>
        <v>1546.29772400506</v>
      </c>
      <c r="CP17" s="11" t="n">
        <f aca="false">IF(CP$1&lt;Units!$P16,0,IF(AND(Units!$K16=0,CP$1=Units!$O16),Units!$R16,IF(AND(CP$1&gt;=Units!$Q16,MOD(CP$1-Units!$Q16,12)=0),IF(AND(Units!$L16=1,CP$1=Units!$Q16),IF(Units!$J16&lt;&gt;"",Units!$J16,Mkt!CP17),Inputs!$B$15*Mkt!CP17+(1-Inputs!$B$15)*MIN(Mkt!CP17,CO17*(1+Inputs!$B$18))),CO17)))</f>
        <v>1546.29772400506</v>
      </c>
      <c r="CQ17" s="11" t="n">
        <f aca="false">IF(CQ$1&lt;Units!$P16,0,IF(AND(Units!$K16=0,CQ$1=Units!$O16),Units!$R16,IF(AND(CQ$1&gt;=Units!$Q16,MOD(CQ$1-Units!$Q16,12)=0),IF(AND(Units!$L16=1,CQ$1=Units!$Q16),IF(Units!$J16&lt;&gt;"",Units!$J16,Mkt!CQ17),Inputs!$B$15*Mkt!CQ17+(1-Inputs!$B$15)*MIN(Mkt!CQ17,CP17*(1+Inputs!$B$18))),CP17)))</f>
        <v>1546.29772400506</v>
      </c>
      <c r="CR17" s="11" t="n">
        <f aca="false">IF(CR$1&lt;Units!$P16,0,IF(AND(Units!$K16=0,CR$1=Units!$O16),Units!$R16,IF(AND(CR$1&gt;=Units!$Q16,MOD(CR$1-Units!$Q16,12)=0),IF(AND(Units!$L16=1,CR$1=Units!$Q16),IF(Units!$J16&lt;&gt;"",Units!$J16,Mkt!CR17),Inputs!$B$15*Mkt!CR17+(1-Inputs!$B$15)*MIN(Mkt!CR17,CQ17*(1+Inputs!$B$18))),CQ17)))</f>
        <v>1592.68665572521</v>
      </c>
      <c r="CS17" s="11" t="n">
        <f aca="false">IF(CS$1&lt;Units!$P16,0,IF(AND(Units!$K16=0,CS$1=Units!$O16),Units!$R16,IF(AND(CS$1&gt;=Units!$Q16,MOD(CS$1-Units!$Q16,12)=0),IF(AND(Units!$L16=1,CS$1=Units!$Q16),IF(Units!$J16&lt;&gt;"",Units!$J16,Mkt!CS17),Inputs!$B$15*Mkt!CS17+(1-Inputs!$B$15)*MIN(Mkt!CS17,CR17*(1+Inputs!$B$18))),CR17)))</f>
        <v>1592.68665572521</v>
      </c>
      <c r="CT17" s="11" t="n">
        <f aca="false">IF(CT$1&lt;Units!$P16,0,IF(AND(Units!$K16=0,CT$1=Units!$O16),Units!$R16,IF(AND(CT$1&gt;=Units!$Q16,MOD(CT$1-Units!$Q16,12)=0),IF(AND(Units!$L16=1,CT$1=Units!$Q16),IF(Units!$J16&lt;&gt;"",Units!$J16,Mkt!CT17),Inputs!$B$15*Mkt!CT17+(1-Inputs!$B$15)*MIN(Mkt!CT17,CS17*(1+Inputs!$B$18))),CS17)))</f>
        <v>1592.68665572521</v>
      </c>
      <c r="CU17" s="11" t="n">
        <f aca="false">IF(CU$1&lt;Units!$P16,0,IF(AND(Units!$K16=0,CU$1=Units!$O16),Units!$R16,IF(AND(CU$1&gt;=Units!$Q16,MOD(CU$1-Units!$Q16,12)=0),IF(AND(Units!$L16=1,CU$1=Units!$Q16),IF(Units!$J16&lt;&gt;"",Units!$J16,Mkt!CU17),Inputs!$B$15*Mkt!CU17+(1-Inputs!$B$15)*MIN(Mkt!CU17,CT17*(1+Inputs!$B$18))),CT17)))</f>
        <v>1592.68665572521</v>
      </c>
      <c r="CV17" s="11" t="n">
        <f aca="false">IF(CV$1&lt;Units!$P16,0,IF(AND(Units!$K16=0,CV$1=Units!$O16),Units!$R16,IF(AND(CV$1&gt;=Units!$Q16,MOD(CV$1-Units!$Q16,12)=0),IF(AND(Units!$L16=1,CV$1=Units!$Q16),IF(Units!$J16&lt;&gt;"",Units!$J16,Mkt!CV17),Inputs!$B$15*Mkt!CV17+(1-Inputs!$B$15)*MIN(Mkt!CV17,CU17*(1+Inputs!$B$18))),CU17)))</f>
        <v>1592.68665572521</v>
      </c>
      <c r="CW17" s="11" t="n">
        <f aca="false">IF(CW$1&lt;Units!$P16,0,IF(AND(Units!$K16=0,CW$1=Units!$O16),Units!$R16,IF(AND(CW$1&gt;=Units!$Q16,MOD(CW$1-Units!$Q16,12)=0),IF(AND(Units!$L16=1,CW$1=Units!$Q16),IF(Units!$J16&lt;&gt;"",Units!$J16,Mkt!CW17),Inputs!$B$15*Mkt!CW17+(1-Inputs!$B$15)*MIN(Mkt!CW17,CV17*(1+Inputs!$B$18))),CV17)))</f>
        <v>1592.68665572521</v>
      </c>
      <c r="CX17" s="11" t="n">
        <f aca="false">IF(CX$1&lt;Units!$P16,0,IF(AND(Units!$K16=0,CX$1=Units!$O16),Units!$R16,IF(AND(CX$1&gt;=Units!$Q16,MOD(CX$1-Units!$Q16,12)=0),IF(AND(Units!$L16=1,CX$1=Units!$Q16),IF(Units!$J16&lt;&gt;"",Units!$J16,Mkt!CX17),Inputs!$B$15*Mkt!CX17+(1-Inputs!$B$15)*MIN(Mkt!CX17,CW17*(1+Inputs!$B$18))),CW17)))</f>
        <v>1592.68665572521</v>
      </c>
      <c r="CY17" s="11" t="n">
        <f aca="false">IF(CY$1&lt;Units!$P16,0,IF(AND(Units!$K16=0,CY$1=Units!$O16),Units!$R16,IF(AND(CY$1&gt;=Units!$Q16,MOD(CY$1-Units!$Q16,12)=0),IF(AND(Units!$L16=1,CY$1=Units!$Q16),IF(Units!$J16&lt;&gt;"",Units!$J16,Mkt!CY17),Inputs!$B$15*Mkt!CY17+(1-Inputs!$B$15)*MIN(Mkt!CY17,CX17*(1+Inputs!$B$18))),CX17)))</f>
        <v>1592.68665572521</v>
      </c>
      <c r="CZ17" s="11" t="n">
        <f aca="false">IF(CZ$1&lt;Units!$P16,0,IF(AND(Units!$K16=0,CZ$1=Units!$O16),Units!$R16,IF(AND(CZ$1&gt;=Units!$Q16,MOD(CZ$1-Units!$Q16,12)=0),IF(AND(Units!$L16=1,CZ$1=Units!$Q16),IF(Units!$J16&lt;&gt;"",Units!$J16,Mkt!CZ17),Inputs!$B$15*Mkt!CZ17+(1-Inputs!$B$15)*MIN(Mkt!CZ17,CY17*(1+Inputs!$B$18))),CY17)))</f>
        <v>1592.68665572521</v>
      </c>
      <c r="DA17" s="11" t="n">
        <f aca="false">IF(DA$1&lt;Units!$P16,0,IF(AND(Units!$K16=0,DA$1=Units!$O16),Units!$R16,IF(AND(DA$1&gt;=Units!$Q16,MOD(DA$1-Units!$Q16,12)=0),IF(AND(Units!$L16=1,DA$1=Units!$Q16),IF(Units!$J16&lt;&gt;"",Units!$J16,Mkt!DA17),Inputs!$B$15*Mkt!DA17+(1-Inputs!$B$15)*MIN(Mkt!DA17,CZ17*(1+Inputs!$B$18))),CZ17)))</f>
        <v>1592.68665572521</v>
      </c>
      <c r="DB17" s="11" t="n">
        <f aca="false">IF(DB$1&lt;Units!$P16,0,IF(AND(Units!$K16=0,DB$1=Units!$O16),Units!$R16,IF(AND(DB$1&gt;=Units!$Q16,MOD(DB$1-Units!$Q16,12)=0),IF(AND(Units!$L16=1,DB$1=Units!$Q16),IF(Units!$J16&lt;&gt;"",Units!$J16,Mkt!DB17),Inputs!$B$15*Mkt!DB17+(1-Inputs!$B$15)*MIN(Mkt!DB17,DA17*(1+Inputs!$B$18))),DA17)))</f>
        <v>1592.68665572521</v>
      </c>
      <c r="DC17" s="11" t="n">
        <f aca="false">IF(DC$1&lt;Units!$P16,0,IF(AND(Units!$K16=0,DC$1=Units!$O16),Units!$R16,IF(AND(DC$1&gt;=Units!$Q16,MOD(DC$1-Units!$Q16,12)=0),IF(AND(Units!$L16=1,DC$1=Units!$Q16),IF(Units!$J16&lt;&gt;"",Units!$J16,Mkt!DC17),Inputs!$B$15*Mkt!DC17+(1-Inputs!$B$15)*MIN(Mkt!DC17,DB17*(1+Inputs!$B$18))),DB17)))</f>
        <v>1592.68665572521</v>
      </c>
      <c r="DD17" s="11" t="n">
        <f aca="false">IF(DD$1&lt;Units!$P16,0,IF(AND(Units!$K16=0,DD$1=Units!$O16),Units!$R16,IF(AND(DD$1&gt;=Units!$Q16,MOD(DD$1-Units!$Q16,12)=0),IF(AND(Units!$L16=1,DD$1=Units!$Q16),IF(Units!$J16&lt;&gt;"",Units!$J16,Mkt!DD17),Inputs!$B$15*Mkt!DD17+(1-Inputs!$B$15)*MIN(Mkt!DD17,DC17*(1+Inputs!$B$18))),DC17)))</f>
        <v>1640.46725539696</v>
      </c>
      <c r="DE17" s="11" t="n">
        <f aca="false">IF(DE$1&lt;Units!$P16,0,IF(AND(Units!$K16=0,DE$1=Units!$O16),Units!$R16,IF(AND(DE$1&gt;=Units!$Q16,MOD(DE$1-Units!$Q16,12)=0),IF(AND(Units!$L16=1,DE$1=Units!$Q16),IF(Units!$J16&lt;&gt;"",Units!$J16,Mkt!DE17),Inputs!$B$15*Mkt!DE17+(1-Inputs!$B$15)*MIN(Mkt!DE17,DD17*(1+Inputs!$B$18))),DD17)))</f>
        <v>1640.46725539696</v>
      </c>
      <c r="DF17" s="11" t="n">
        <f aca="false">IF(DF$1&lt;Units!$P16,0,IF(AND(Units!$K16=0,DF$1=Units!$O16),Units!$R16,IF(AND(DF$1&gt;=Units!$Q16,MOD(DF$1-Units!$Q16,12)=0),IF(AND(Units!$L16=1,DF$1=Units!$Q16),IF(Units!$J16&lt;&gt;"",Units!$J16,Mkt!DF17),Inputs!$B$15*Mkt!DF17+(1-Inputs!$B$15)*MIN(Mkt!DF17,DE17*(1+Inputs!$B$18))),DE17)))</f>
        <v>1640.46725539696</v>
      </c>
      <c r="DG17" s="11" t="n">
        <f aca="false">IF(DG$1&lt;Units!$P16,0,IF(AND(Units!$K16=0,DG$1=Units!$O16),Units!$R16,IF(AND(DG$1&gt;=Units!$Q16,MOD(DG$1-Units!$Q16,12)=0),IF(AND(Units!$L16=1,DG$1=Units!$Q16),IF(Units!$J16&lt;&gt;"",Units!$J16,Mkt!DG17),Inputs!$B$15*Mkt!DG17+(1-Inputs!$B$15)*MIN(Mkt!DG17,DF17*(1+Inputs!$B$18))),DF17)))</f>
        <v>1640.46725539696</v>
      </c>
      <c r="DH17" s="11" t="n">
        <f aca="false">IF(DH$1&lt;Units!$P16,0,IF(AND(Units!$K16=0,DH$1=Units!$O16),Units!$R16,IF(AND(DH$1&gt;=Units!$Q16,MOD(DH$1-Units!$Q16,12)=0),IF(AND(Units!$L16=1,DH$1=Units!$Q16),IF(Units!$J16&lt;&gt;"",Units!$J16,Mkt!DH17),Inputs!$B$15*Mkt!DH17+(1-Inputs!$B$15)*MIN(Mkt!DH17,DG17*(1+Inputs!$B$18))),DG17)))</f>
        <v>1640.46725539696</v>
      </c>
      <c r="DI17" s="11" t="n">
        <f aca="false">IF(DI$1&lt;Units!$P16,0,IF(AND(Units!$K16=0,DI$1=Units!$O16),Units!$R16,IF(AND(DI$1&gt;=Units!$Q16,MOD(DI$1-Units!$Q16,12)=0),IF(AND(Units!$L16=1,DI$1=Units!$Q16),IF(Units!$J16&lt;&gt;"",Units!$J16,Mkt!DI17),Inputs!$B$15*Mkt!DI17+(1-Inputs!$B$15)*MIN(Mkt!DI17,DH17*(1+Inputs!$B$18))),DH17)))</f>
        <v>1640.46725539696</v>
      </c>
      <c r="DJ17" s="11" t="n">
        <f aca="false">IF(DJ$1&lt;Units!$P16,0,IF(AND(Units!$K16=0,DJ$1=Units!$O16),Units!$R16,IF(AND(DJ$1&gt;=Units!$Q16,MOD(DJ$1-Units!$Q16,12)=0),IF(AND(Units!$L16=1,DJ$1=Units!$Q16),IF(Units!$J16&lt;&gt;"",Units!$J16,Mkt!DJ17),Inputs!$B$15*Mkt!DJ17+(1-Inputs!$B$15)*MIN(Mkt!DJ17,DI17*(1+Inputs!$B$18))),DI17)))</f>
        <v>1640.46725539696</v>
      </c>
      <c r="DK17" s="11" t="n">
        <f aca="false">IF(DK$1&lt;Units!$P16,0,IF(AND(Units!$K16=0,DK$1=Units!$O16),Units!$R16,IF(AND(DK$1&gt;=Units!$Q16,MOD(DK$1-Units!$Q16,12)=0),IF(AND(Units!$L16=1,DK$1=Units!$Q16),IF(Units!$J16&lt;&gt;"",Units!$J16,Mkt!DK17),Inputs!$B$15*Mkt!DK17+(1-Inputs!$B$15)*MIN(Mkt!DK17,DJ17*(1+Inputs!$B$18))),DJ17)))</f>
        <v>1640.46725539696</v>
      </c>
      <c r="DL17" s="11" t="n">
        <f aca="false">IF(DL$1&lt;Units!$P16,0,IF(AND(Units!$K16=0,DL$1=Units!$O16),Units!$R16,IF(AND(DL$1&gt;=Units!$Q16,MOD(DL$1-Units!$Q16,12)=0),IF(AND(Units!$L16=1,DL$1=Units!$Q16),IF(Units!$J16&lt;&gt;"",Units!$J16,Mkt!DL17),Inputs!$B$15*Mkt!DL17+(1-Inputs!$B$15)*MIN(Mkt!DL17,DK17*(1+Inputs!$B$18))),DK17)))</f>
        <v>1640.46725539696</v>
      </c>
      <c r="DM17" s="11" t="n">
        <f aca="false">IF(DM$1&lt;Units!$P16,0,IF(AND(Units!$K16=0,DM$1=Units!$O16),Units!$R16,IF(AND(DM$1&gt;=Units!$Q16,MOD(DM$1-Units!$Q16,12)=0),IF(AND(Units!$L16=1,DM$1=Units!$Q16),IF(Units!$J16&lt;&gt;"",Units!$J16,Mkt!DM17),Inputs!$B$15*Mkt!DM17+(1-Inputs!$B$15)*MIN(Mkt!DM17,DL17*(1+Inputs!$B$18))),DL17)))</f>
        <v>1640.46725539696</v>
      </c>
      <c r="DN17" s="11" t="n">
        <f aca="false">IF(DN$1&lt;Units!$P16,0,IF(AND(Units!$K16=0,DN$1=Units!$O16),Units!$R16,IF(AND(DN$1&gt;=Units!$Q16,MOD(DN$1-Units!$Q16,12)=0),IF(AND(Units!$L16=1,DN$1=Units!$Q16),IF(Units!$J16&lt;&gt;"",Units!$J16,Mkt!DN17),Inputs!$B$15*Mkt!DN17+(1-Inputs!$B$15)*MIN(Mkt!DN17,DM17*(1+Inputs!$B$18))),DM17)))</f>
        <v>1640.46725539696</v>
      </c>
      <c r="DO17" s="11" t="n">
        <f aca="false">IF(DO$1&lt;Units!$P16,0,IF(AND(Units!$K16=0,DO$1=Units!$O16),Units!$R16,IF(AND(DO$1&gt;=Units!$Q16,MOD(DO$1-Units!$Q16,12)=0),IF(AND(Units!$L16=1,DO$1=Units!$Q16),IF(Units!$J16&lt;&gt;"",Units!$J16,Mkt!DO17),Inputs!$B$15*Mkt!DO17+(1-Inputs!$B$15)*MIN(Mkt!DO17,DN17*(1+Inputs!$B$18))),DN17)))</f>
        <v>1640.46725539696</v>
      </c>
      <c r="DP17" s="11" t="n">
        <f aca="false">IF(DP$1&lt;Units!$P16,0,IF(AND(Units!$K16=0,DP$1=Units!$O16),Units!$R16,IF(AND(DP$1&gt;=Units!$Q16,MOD(DP$1-Units!$Q16,12)=0),IF(AND(Units!$L16=1,DP$1=Units!$Q16),IF(Units!$J16&lt;&gt;"",Units!$J16,Mkt!DP17),Inputs!$B$15*Mkt!DP17+(1-Inputs!$B$15)*MIN(Mkt!DP17,DO17*(1+Inputs!$B$18))),DO17)))</f>
        <v>1689.68127305887</v>
      </c>
      <c r="DQ17" s="11" t="n">
        <f aca="false">IF(DQ$1&lt;Units!$P16,0,IF(AND(Units!$K16=0,DQ$1=Units!$O16),Units!$R16,IF(AND(DQ$1&gt;=Units!$Q16,MOD(DQ$1-Units!$Q16,12)=0),IF(AND(Units!$L16=1,DQ$1=Units!$Q16),IF(Units!$J16&lt;&gt;"",Units!$J16,Mkt!DQ17),Inputs!$B$15*Mkt!DQ17+(1-Inputs!$B$15)*MIN(Mkt!DQ17,DP17*(1+Inputs!$B$18))),DP17)))</f>
        <v>1689.68127305887</v>
      </c>
      <c r="DR17" s="11" t="n">
        <f aca="false">IF(DR$1&lt;Units!$P16,0,IF(AND(Units!$K16=0,DR$1=Units!$O16),Units!$R16,IF(AND(DR$1&gt;=Units!$Q16,MOD(DR$1-Units!$Q16,12)=0),IF(AND(Units!$L16=1,DR$1=Units!$Q16),IF(Units!$J16&lt;&gt;"",Units!$J16,Mkt!DR17),Inputs!$B$15*Mkt!DR17+(1-Inputs!$B$15)*MIN(Mkt!DR17,DQ17*(1+Inputs!$B$18))),DQ17)))</f>
        <v>1689.68127305887</v>
      </c>
      <c r="DS17" s="11" t="n">
        <f aca="false">IF(DS$1&lt;Units!$P16,0,IF(AND(Units!$K16=0,DS$1=Units!$O16),Units!$R16,IF(AND(DS$1&gt;=Units!$Q16,MOD(DS$1-Units!$Q16,12)=0),IF(AND(Units!$L16=1,DS$1=Units!$Q16),IF(Units!$J16&lt;&gt;"",Units!$J16,Mkt!DS17),Inputs!$B$15*Mkt!DS17+(1-Inputs!$B$15)*MIN(Mkt!DS17,DR17*(1+Inputs!$B$18))),DR17)))</f>
        <v>1689.68127305887</v>
      </c>
      <c r="DT17" s="11" t="n">
        <f aca="false">IF(DT$1&lt;Units!$P16,0,IF(AND(Units!$K16=0,DT$1=Units!$O16),Units!$R16,IF(AND(DT$1&gt;=Units!$Q16,MOD(DT$1-Units!$Q16,12)=0),IF(AND(Units!$L16=1,DT$1=Units!$Q16),IF(Units!$J16&lt;&gt;"",Units!$J16,Mkt!DT17),Inputs!$B$15*Mkt!DT17+(1-Inputs!$B$15)*MIN(Mkt!DT17,DS17*(1+Inputs!$B$18))),DS17)))</f>
        <v>1689.68127305887</v>
      </c>
      <c r="DU17" s="11" t="n">
        <f aca="false">IF(DU$1&lt;Units!$P16,0,IF(AND(Units!$K16=0,DU$1=Units!$O16),Units!$R16,IF(AND(DU$1&gt;=Units!$Q16,MOD(DU$1-Units!$Q16,12)=0),IF(AND(Units!$L16=1,DU$1=Units!$Q16),IF(Units!$J16&lt;&gt;"",Units!$J16,Mkt!DU17),Inputs!$B$15*Mkt!DU17+(1-Inputs!$B$15)*MIN(Mkt!DU17,DT17*(1+Inputs!$B$18))),DT17)))</f>
        <v>1689.68127305887</v>
      </c>
      <c r="DV17" s="11" t="n">
        <f aca="false">IF(DV$1&lt;Units!$P16,0,IF(AND(Units!$K16=0,DV$1=Units!$O16),Units!$R16,IF(AND(DV$1&gt;=Units!$Q16,MOD(DV$1-Units!$Q16,12)=0),IF(AND(Units!$L16=1,DV$1=Units!$Q16),IF(Units!$J16&lt;&gt;"",Units!$J16,Mkt!DV17),Inputs!$B$15*Mkt!DV17+(1-Inputs!$B$15)*MIN(Mkt!DV17,DU17*(1+Inputs!$B$18))),DU17)))</f>
        <v>1689.68127305887</v>
      </c>
      <c r="DW17" s="11" t="n">
        <f aca="false">IF(DW$1&lt;Units!$P16,0,IF(AND(Units!$K16=0,DW$1=Units!$O16),Units!$R16,IF(AND(DW$1&gt;=Units!$Q16,MOD(DW$1-Units!$Q16,12)=0),IF(AND(Units!$L16=1,DW$1=Units!$Q16),IF(Units!$J16&lt;&gt;"",Units!$J16,Mkt!DW17),Inputs!$B$15*Mkt!DW17+(1-Inputs!$B$15)*MIN(Mkt!DW17,DV17*(1+Inputs!$B$18))),DV17)))</f>
        <v>1689.68127305887</v>
      </c>
      <c r="DX17" s="11" t="n">
        <f aca="false">IF(DX$1&lt;Units!$P16,0,IF(AND(Units!$K16=0,DX$1=Units!$O16),Units!$R16,IF(AND(DX$1&gt;=Units!$Q16,MOD(DX$1-Units!$Q16,12)=0),IF(AND(Units!$L16=1,DX$1=Units!$Q16),IF(Units!$J16&lt;&gt;"",Units!$J16,Mkt!DX17),Inputs!$B$15*Mkt!DX17+(1-Inputs!$B$15)*MIN(Mkt!DX17,DW17*(1+Inputs!$B$18))),DW17)))</f>
        <v>1689.68127305887</v>
      </c>
      <c r="DY17" s="11" t="n">
        <f aca="false">IF(DY$1&lt;Units!$P16,0,IF(AND(Units!$K16=0,DY$1=Units!$O16),Units!$R16,IF(AND(DY$1&gt;=Units!$Q16,MOD(DY$1-Units!$Q16,12)=0),IF(AND(Units!$L16=1,DY$1=Units!$Q16),IF(Units!$J16&lt;&gt;"",Units!$J16,Mkt!DY17),Inputs!$B$15*Mkt!DY17+(1-Inputs!$B$15)*MIN(Mkt!DY17,DX17*(1+Inputs!$B$18))),DX17)))</f>
        <v>1689.68127305887</v>
      </c>
      <c r="DZ17" s="11" t="n">
        <f aca="false">IF(DZ$1&lt;Units!$P16,0,IF(AND(Units!$K16=0,DZ$1=Units!$O16),Units!$R16,IF(AND(DZ$1&gt;=Units!$Q16,MOD(DZ$1-Units!$Q16,12)=0),IF(AND(Units!$L16=1,DZ$1=Units!$Q16),IF(Units!$J16&lt;&gt;"",Units!$J16,Mkt!DZ17),Inputs!$B$15*Mkt!DZ17+(1-Inputs!$B$15)*MIN(Mkt!DZ17,DY17*(1+Inputs!$B$18))),DY17)))</f>
        <v>1689.68127305887</v>
      </c>
      <c r="EA17" s="11" t="n">
        <f aca="false">IF(EA$1&lt;Units!$P16,0,IF(AND(Units!$K16=0,EA$1=Units!$O16),Units!$R16,IF(AND(EA$1&gt;=Units!$Q16,MOD(EA$1-Units!$Q16,12)=0),IF(AND(Units!$L16=1,EA$1=Units!$Q16),IF(Units!$J16&lt;&gt;"",Units!$J16,Mkt!EA17),Inputs!$B$15*Mkt!EA17+(1-Inputs!$B$15)*MIN(Mkt!EA17,DZ17*(1+Inputs!$B$18))),DZ17)))</f>
        <v>1689.68127305887</v>
      </c>
      <c r="EB17" s="11" t="n">
        <f aca="false">IF(EB$1&lt;Units!$P16,0,IF(AND(Units!$K16=0,EB$1=Units!$O16),Units!$R16,IF(AND(EB$1&gt;=Units!$Q16,MOD(EB$1-Units!$Q16,12)=0),IF(AND(Units!$L16=1,EB$1=Units!$Q16),IF(Units!$J16&lt;&gt;"",Units!$J16,Mkt!EB17),Inputs!$B$15*Mkt!EB17+(1-Inputs!$B$15)*MIN(Mkt!EB17,EA17*(1+Inputs!$B$18))),EA17)))</f>
        <v>1740.37171125064</v>
      </c>
      <c r="EC17" s="11" t="n">
        <f aca="false">IF(EC$1&lt;Units!$P16,0,IF(AND(Units!$K16=0,EC$1=Units!$O16),Units!$R16,IF(AND(EC$1&gt;=Units!$Q16,MOD(EC$1-Units!$Q16,12)=0),IF(AND(Units!$L16=1,EC$1=Units!$Q16),IF(Units!$J16&lt;&gt;"",Units!$J16,Mkt!EC17),Inputs!$B$15*Mkt!EC17+(1-Inputs!$B$15)*MIN(Mkt!EC17,EB17*(1+Inputs!$B$18))),EB17)))</f>
        <v>1740.37171125064</v>
      </c>
      <c r="ED17" s="11" t="n">
        <f aca="false">IF(ED$1&lt;Units!$P16,0,IF(AND(Units!$K16=0,ED$1=Units!$O16),Units!$R16,IF(AND(ED$1&gt;=Units!$Q16,MOD(ED$1-Units!$Q16,12)=0),IF(AND(Units!$L16=1,ED$1=Units!$Q16),IF(Units!$J16&lt;&gt;"",Units!$J16,Mkt!ED17),Inputs!$B$15*Mkt!ED17+(1-Inputs!$B$15)*MIN(Mkt!ED17,EC17*(1+Inputs!$B$18))),EC17)))</f>
        <v>1740.37171125064</v>
      </c>
    </row>
    <row r="18" customFormat="false" ht="15" hidden="false" customHeight="false" outlineLevel="0" collapsed="false">
      <c r="A18" s="22" t="n">
        <f aca="false">Units!A17</f>
        <v>116</v>
      </c>
      <c r="B18" s="24" t="n">
        <f aca="false">IF(Units!K17=1,Units!F17,0)</f>
        <v>1330</v>
      </c>
      <c r="C18" s="11" t="n">
        <f aca="false">IF(C$1&lt;Units!$P17,0,IF(AND(Units!$K17=0,C$1=Units!$O17),Units!$R17,IF(AND(C$1&gt;=Units!$Q17,MOD(C$1-Units!$Q17,12)=0),IF(AND(Units!$L17=1,C$1=Units!$Q17),IF(Units!$J17&lt;&gt;"",Units!$J17,Mkt!C18),Inputs!$B$15*Mkt!C18+(1-Inputs!$B$15)*MIN(Mkt!C18,B18*(1+Inputs!$B$18))),B18)))</f>
        <v>1330</v>
      </c>
      <c r="D18" s="11" t="n">
        <f aca="false">IF(D$1&lt;Units!$P17,0,IF(AND(Units!$K17=0,D$1=Units!$O17),Units!$R17,IF(AND(D$1&gt;=Units!$Q17,MOD(D$1-Units!$Q17,12)=0),IF(AND(Units!$L17=1,D$1=Units!$Q17),IF(Units!$J17&lt;&gt;"",Units!$J17,Mkt!D18),Inputs!$B$15*Mkt!D18+(1-Inputs!$B$15)*MIN(Mkt!D18,C18*(1+Inputs!$B$18))),C18)))</f>
        <v>1295</v>
      </c>
      <c r="E18" s="11" t="n">
        <f aca="false">IF(E$1&lt;Units!$P17,0,IF(AND(Units!$K17=0,E$1=Units!$O17),Units!$R17,IF(AND(E$1&gt;=Units!$Q17,MOD(E$1-Units!$Q17,12)=0),IF(AND(Units!$L17=1,E$1=Units!$Q17),IF(Units!$J17&lt;&gt;"",Units!$J17,Mkt!E18),Inputs!$B$15*Mkt!E18+(1-Inputs!$B$15)*MIN(Mkt!E18,D18*(1+Inputs!$B$18))),D18)))</f>
        <v>1295</v>
      </c>
      <c r="F18" s="11" t="n">
        <f aca="false">IF(F$1&lt;Units!$P17,0,IF(AND(Units!$K17=0,F$1=Units!$O17),Units!$R17,IF(AND(F$1&gt;=Units!$Q17,MOD(F$1-Units!$Q17,12)=0),IF(AND(Units!$L17=1,F$1=Units!$Q17),IF(Units!$J17&lt;&gt;"",Units!$J17,Mkt!F18),Inputs!$B$15*Mkt!F18+(1-Inputs!$B$15)*MIN(Mkt!F18,E18*(1+Inputs!$B$18))),E18)))</f>
        <v>1295</v>
      </c>
      <c r="G18" s="11" t="n">
        <f aca="false">IF(G$1&lt;Units!$P17,0,IF(AND(Units!$K17=0,G$1=Units!$O17),Units!$R17,IF(AND(G$1&gt;=Units!$Q17,MOD(G$1-Units!$Q17,12)=0),IF(AND(Units!$L17=1,G$1=Units!$Q17),IF(Units!$J17&lt;&gt;"",Units!$J17,Mkt!G18),Inputs!$B$15*Mkt!G18+(1-Inputs!$B$15)*MIN(Mkt!G18,F18*(1+Inputs!$B$18))),F18)))</f>
        <v>1295</v>
      </c>
      <c r="H18" s="11" t="n">
        <f aca="false">IF(H$1&lt;Units!$P17,0,IF(AND(Units!$K17=0,H$1=Units!$O17),Units!$R17,IF(AND(H$1&gt;=Units!$Q17,MOD(H$1-Units!$Q17,12)=0),IF(AND(Units!$L17=1,H$1=Units!$Q17),IF(Units!$J17&lt;&gt;"",Units!$J17,Mkt!H18),Inputs!$B$15*Mkt!H18+(1-Inputs!$B$15)*MIN(Mkt!H18,G18*(1+Inputs!$B$18))),G18)))</f>
        <v>1295</v>
      </c>
      <c r="I18" s="11" t="n">
        <f aca="false">IF(I$1&lt;Units!$P17,0,IF(AND(Units!$K17=0,I$1=Units!$O17),Units!$R17,IF(AND(I$1&gt;=Units!$Q17,MOD(I$1-Units!$Q17,12)=0),IF(AND(Units!$L17=1,I$1=Units!$Q17),IF(Units!$J17&lt;&gt;"",Units!$J17,Mkt!I18),Inputs!$B$15*Mkt!I18+(1-Inputs!$B$15)*MIN(Mkt!I18,H18*(1+Inputs!$B$18))),H18)))</f>
        <v>1295</v>
      </c>
      <c r="J18" s="11" t="n">
        <f aca="false">IF(J$1&lt;Units!$P17,0,IF(AND(Units!$K17=0,J$1=Units!$O17),Units!$R17,IF(AND(J$1&gt;=Units!$Q17,MOD(J$1-Units!$Q17,12)=0),IF(AND(Units!$L17=1,J$1=Units!$Q17),IF(Units!$J17&lt;&gt;"",Units!$J17,Mkt!J18),Inputs!$B$15*Mkt!J18+(1-Inputs!$B$15)*MIN(Mkt!J18,I18*(1+Inputs!$B$18))),I18)))</f>
        <v>1295</v>
      </c>
      <c r="K18" s="11" t="n">
        <f aca="false">IF(K$1&lt;Units!$P17,0,IF(AND(Units!$K17=0,K$1=Units!$O17),Units!$R17,IF(AND(K$1&gt;=Units!$Q17,MOD(K$1-Units!$Q17,12)=0),IF(AND(Units!$L17=1,K$1=Units!$Q17),IF(Units!$J17&lt;&gt;"",Units!$J17,Mkt!K18),Inputs!$B$15*Mkt!K18+(1-Inputs!$B$15)*MIN(Mkt!K18,J18*(1+Inputs!$B$18))),J18)))</f>
        <v>1295</v>
      </c>
      <c r="L18" s="11" t="n">
        <f aca="false">IF(L$1&lt;Units!$P17,0,IF(AND(Units!$K17=0,L$1=Units!$O17),Units!$R17,IF(AND(L$1&gt;=Units!$Q17,MOD(L$1-Units!$Q17,12)=0),IF(AND(Units!$L17=1,L$1=Units!$Q17),IF(Units!$J17&lt;&gt;"",Units!$J17,Mkt!L18),Inputs!$B$15*Mkt!L18+(1-Inputs!$B$15)*MIN(Mkt!L18,K18*(1+Inputs!$B$18))),K18)))</f>
        <v>1295</v>
      </c>
      <c r="M18" s="11" t="n">
        <f aca="false">IF(M$1&lt;Units!$P17,0,IF(AND(Units!$K17=0,M$1=Units!$O17),Units!$R17,IF(AND(M$1&gt;=Units!$Q17,MOD(M$1-Units!$Q17,12)=0),IF(AND(Units!$L17=1,M$1=Units!$Q17),IF(Units!$J17&lt;&gt;"",Units!$J17,Mkt!M18),Inputs!$B$15*Mkt!M18+(1-Inputs!$B$15)*MIN(Mkt!M18,L18*(1+Inputs!$B$18))),L18)))</f>
        <v>1295</v>
      </c>
      <c r="N18" s="11" t="n">
        <f aca="false">IF(N$1&lt;Units!$P17,0,IF(AND(Units!$K17=0,N$1=Units!$O17),Units!$R17,IF(AND(N$1&gt;=Units!$Q17,MOD(N$1-Units!$Q17,12)=0),IF(AND(Units!$L17=1,N$1=Units!$Q17),IF(Units!$J17&lt;&gt;"",Units!$J17,Mkt!N18),Inputs!$B$15*Mkt!N18+(1-Inputs!$B$15)*MIN(Mkt!N18,M18*(1+Inputs!$B$18))),M18)))</f>
        <v>1295</v>
      </c>
      <c r="O18" s="11" t="n">
        <f aca="false">IF(O$1&lt;Units!$P17,0,IF(AND(Units!$K17=0,O$1=Units!$O17),Units!$R17,IF(AND(O$1&gt;=Units!$Q17,MOD(O$1-Units!$Q17,12)=0),IF(AND(Units!$L17=1,O$1=Units!$Q17),IF(Units!$J17&lt;&gt;"",Units!$J17,Mkt!O18),Inputs!$B$15*Mkt!O18+(1-Inputs!$B$15)*MIN(Mkt!O18,N18*(1+Inputs!$B$18))),N18)))</f>
        <v>1295</v>
      </c>
      <c r="P18" s="11" t="n">
        <f aca="false">IF(P$1&lt;Units!$P17,0,IF(AND(Units!$K17=0,P$1=Units!$O17),Units!$R17,IF(AND(P$1&gt;=Units!$Q17,MOD(P$1-Units!$Q17,12)=0),IF(AND(Units!$L17=1,P$1=Units!$Q17),IF(Units!$J17&lt;&gt;"",Units!$J17,Mkt!P18),Inputs!$B$15*Mkt!P18+(1-Inputs!$B$15)*MIN(Mkt!P18,O18*(1+Inputs!$B$18))),O18)))</f>
        <v>1333.85</v>
      </c>
      <c r="Q18" s="11" t="n">
        <f aca="false">IF(Q$1&lt;Units!$P17,0,IF(AND(Units!$K17=0,Q$1=Units!$O17),Units!$R17,IF(AND(Q$1&gt;=Units!$Q17,MOD(Q$1-Units!$Q17,12)=0),IF(AND(Units!$L17=1,Q$1=Units!$Q17),IF(Units!$J17&lt;&gt;"",Units!$J17,Mkt!Q18),Inputs!$B$15*Mkt!Q18+(1-Inputs!$B$15)*MIN(Mkt!Q18,P18*(1+Inputs!$B$18))),P18)))</f>
        <v>1333.85</v>
      </c>
      <c r="R18" s="11" t="n">
        <f aca="false">IF(R$1&lt;Units!$P17,0,IF(AND(Units!$K17=0,R$1=Units!$O17),Units!$R17,IF(AND(R$1&gt;=Units!$Q17,MOD(R$1-Units!$Q17,12)=0),IF(AND(Units!$L17=1,R$1=Units!$Q17),IF(Units!$J17&lt;&gt;"",Units!$J17,Mkt!R18),Inputs!$B$15*Mkt!R18+(1-Inputs!$B$15)*MIN(Mkt!R18,Q18*(1+Inputs!$B$18))),Q18)))</f>
        <v>1333.85</v>
      </c>
      <c r="S18" s="11" t="n">
        <f aca="false">IF(S$1&lt;Units!$P17,0,IF(AND(Units!$K17=0,S$1=Units!$O17),Units!$R17,IF(AND(S$1&gt;=Units!$Q17,MOD(S$1-Units!$Q17,12)=0),IF(AND(Units!$L17=1,S$1=Units!$Q17),IF(Units!$J17&lt;&gt;"",Units!$J17,Mkt!S18),Inputs!$B$15*Mkt!S18+(1-Inputs!$B$15)*MIN(Mkt!S18,R18*(1+Inputs!$B$18))),R18)))</f>
        <v>1333.85</v>
      </c>
      <c r="T18" s="11" t="n">
        <f aca="false">IF(T$1&lt;Units!$P17,0,IF(AND(Units!$K17=0,T$1=Units!$O17),Units!$R17,IF(AND(T$1&gt;=Units!$Q17,MOD(T$1-Units!$Q17,12)=0),IF(AND(Units!$L17=1,T$1=Units!$Q17),IF(Units!$J17&lt;&gt;"",Units!$J17,Mkt!T18),Inputs!$B$15*Mkt!T18+(1-Inputs!$B$15)*MIN(Mkt!T18,S18*(1+Inputs!$B$18))),S18)))</f>
        <v>1333.85</v>
      </c>
      <c r="U18" s="11" t="n">
        <f aca="false">IF(U$1&lt;Units!$P17,0,IF(AND(Units!$K17=0,U$1=Units!$O17),Units!$R17,IF(AND(U$1&gt;=Units!$Q17,MOD(U$1-Units!$Q17,12)=0),IF(AND(Units!$L17=1,U$1=Units!$Q17),IF(Units!$J17&lt;&gt;"",Units!$J17,Mkt!U18),Inputs!$B$15*Mkt!U18+(1-Inputs!$B$15)*MIN(Mkt!U18,T18*(1+Inputs!$B$18))),T18)))</f>
        <v>1333.85</v>
      </c>
      <c r="V18" s="11" t="n">
        <f aca="false">IF(V$1&lt;Units!$P17,0,IF(AND(Units!$K17=0,V$1=Units!$O17),Units!$R17,IF(AND(V$1&gt;=Units!$Q17,MOD(V$1-Units!$Q17,12)=0),IF(AND(Units!$L17=1,V$1=Units!$Q17),IF(Units!$J17&lt;&gt;"",Units!$J17,Mkt!V18),Inputs!$B$15*Mkt!V18+(1-Inputs!$B$15)*MIN(Mkt!V18,U18*(1+Inputs!$B$18))),U18)))</f>
        <v>1333.85</v>
      </c>
      <c r="W18" s="11" t="n">
        <f aca="false">IF(W$1&lt;Units!$P17,0,IF(AND(Units!$K17=0,W$1=Units!$O17),Units!$R17,IF(AND(W$1&gt;=Units!$Q17,MOD(W$1-Units!$Q17,12)=0),IF(AND(Units!$L17=1,W$1=Units!$Q17),IF(Units!$J17&lt;&gt;"",Units!$J17,Mkt!W18),Inputs!$B$15*Mkt!W18+(1-Inputs!$B$15)*MIN(Mkt!W18,V18*(1+Inputs!$B$18))),V18)))</f>
        <v>1333.85</v>
      </c>
      <c r="X18" s="11" t="n">
        <f aca="false">IF(X$1&lt;Units!$P17,0,IF(AND(Units!$K17=0,X$1=Units!$O17),Units!$R17,IF(AND(X$1&gt;=Units!$Q17,MOD(X$1-Units!$Q17,12)=0),IF(AND(Units!$L17=1,X$1=Units!$Q17),IF(Units!$J17&lt;&gt;"",Units!$J17,Mkt!X18),Inputs!$B$15*Mkt!X18+(1-Inputs!$B$15)*MIN(Mkt!X18,W18*(1+Inputs!$B$18))),W18)))</f>
        <v>1333.85</v>
      </c>
      <c r="Y18" s="11" t="n">
        <f aca="false">IF(Y$1&lt;Units!$P17,0,IF(AND(Units!$K17=0,Y$1=Units!$O17),Units!$R17,IF(AND(Y$1&gt;=Units!$Q17,MOD(Y$1-Units!$Q17,12)=0),IF(AND(Units!$L17=1,Y$1=Units!$Q17),IF(Units!$J17&lt;&gt;"",Units!$J17,Mkt!Y18),Inputs!$B$15*Mkt!Y18+(1-Inputs!$B$15)*MIN(Mkt!Y18,X18*(1+Inputs!$B$18))),X18)))</f>
        <v>1333.85</v>
      </c>
      <c r="Z18" s="11" t="n">
        <f aca="false">IF(Z$1&lt;Units!$P17,0,IF(AND(Units!$K17=0,Z$1=Units!$O17),Units!$R17,IF(AND(Z$1&gt;=Units!$Q17,MOD(Z$1-Units!$Q17,12)=0),IF(AND(Units!$L17=1,Z$1=Units!$Q17),IF(Units!$J17&lt;&gt;"",Units!$J17,Mkt!Z18),Inputs!$B$15*Mkt!Z18+(1-Inputs!$B$15)*MIN(Mkt!Z18,Y18*(1+Inputs!$B$18))),Y18)))</f>
        <v>1333.85</v>
      </c>
      <c r="AA18" s="11" t="n">
        <f aca="false">IF(AA$1&lt;Units!$P17,0,IF(AND(Units!$K17=0,AA$1=Units!$O17),Units!$R17,IF(AND(AA$1&gt;=Units!$Q17,MOD(AA$1-Units!$Q17,12)=0),IF(AND(Units!$L17=1,AA$1=Units!$Q17),IF(Units!$J17&lt;&gt;"",Units!$J17,Mkt!AA18),Inputs!$B$15*Mkt!AA18+(1-Inputs!$B$15)*MIN(Mkt!AA18,Z18*(1+Inputs!$B$18))),Z18)))</f>
        <v>1333.85</v>
      </c>
      <c r="AB18" s="11" t="n">
        <f aca="false">IF(AB$1&lt;Units!$P17,0,IF(AND(Units!$K17=0,AB$1=Units!$O17),Units!$R17,IF(AND(AB$1&gt;=Units!$Q17,MOD(AB$1-Units!$Q17,12)=0),IF(AND(Units!$L17=1,AB$1=Units!$Q17),IF(Units!$J17&lt;&gt;"",Units!$J17,Mkt!AB18),Inputs!$B$15*Mkt!AB18+(1-Inputs!$B$15)*MIN(Mkt!AB18,AA18*(1+Inputs!$B$18))),AA18)))</f>
        <v>1373.8655</v>
      </c>
      <c r="AC18" s="11" t="n">
        <f aca="false">IF(AC$1&lt;Units!$P17,0,IF(AND(Units!$K17=0,AC$1=Units!$O17),Units!$R17,IF(AND(AC$1&gt;=Units!$Q17,MOD(AC$1-Units!$Q17,12)=0),IF(AND(Units!$L17=1,AC$1=Units!$Q17),IF(Units!$J17&lt;&gt;"",Units!$J17,Mkt!AC18),Inputs!$B$15*Mkt!AC18+(1-Inputs!$B$15)*MIN(Mkt!AC18,AB18*(1+Inputs!$B$18))),AB18)))</f>
        <v>1373.8655</v>
      </c>
      <c r="AD18" s="11" t="n">
        <f aca="false">IF(AD$1&lt;Units!$P17,0,IF(AND(Units!$K17=0,AD$1=Units!$O17),Units!$R17,IF(AND(AD$1&gt;=Units!$Q17,MOD(AD$1-Units!$Q17,12)=0),IF(AND(Units!$L17=1,AD$1=Units!$Q17),IF(Units!$J17&lt;&gt;"",Units!$J17,Mkt!AD18),Inputs!$B$15*Mkt!AD18+(1-Inputs!$B$15)*MIN(Mkt!AD18,AC18*(1+Inputs!$B$18))),AC18)))</f>
        <v>1373.8655</v>
      </c>
      <c r="AE18" s="11" t="n">
        <f aca="false">IF(AE$1&lt;Units!$P17,0,IF(AND(Units!$K17=0,AE$1=Units!$O17),Units!$R17,IF(AND(AE$1&gt;=Units!$Q17,MOD(AE$1-Units!$Q17,12)=0),IF(AND(Units!$L17=1,AE$1=Units!$Q17),IF(Units!$J17&lt;&gt;"",Units!$J17,Mkt!AE18),Inputs!$B$15*Mkt!AE18+(1-Inputs!$B$15)*MIN(Mkt!AE18,AD18*(1+Inputs!$B$18))),AD18)))</f>
        <v>1373.8655</v>
      </c>
      <c r="AF18" s="11" t="n">
        <f aca="false">IF(AF$1&lt;Units!$P17,0,IF(AND(Units!$K17=0,AF$1=Units!$O17),Units!$R17,IF(AND(AF$1&gt;=Units!$Q17,MOD(AF$1-Units!$Q17,12)=0),IF(AND(Units!$L17=1,AF$1=Units!$Q17),IF(Units!$J17&lt;&gt;"",Units!$J17,Mkt!AF18),Inputs!$B$15*Mkt!AF18+(1-Inputs!$B$15)*MIN(Mkt!AF18,AE18*(1+Inputs!$B$18))),AE18)))</f>
        <v>1373.8655</v>
      </c>
      <c r="AG18" s="11" t="n">
        <f aca="false">IF(AG$1&lt;Units!$P17,0,IF(AND(Units!$K17=0,AG$1=Units!$O17),Units!$R17,IF(AND(AG$1&gt;=Units!$Q17,MOD(AG$1-Units!$Q17,12)=0),IF(AND(Units!$L17=1,AG$1=Units!$Q17),IF(Units!$J17&lt;&gt;"",Units!$J17,Mkt!AG18),Inputs!$B$15*Mkt!AG18+(1-Inputs!$B$15)*MIN(Mkt!AG18,AF18*(1+Inputs!$B$18))),AF18)))</f>
        <v>1373.8655</v>
      </c>
      <c r="AH18" s="11" t="n">
        <f aca="false">IF(AH$1&lt;Units!$P17,0,IF(AND(Units!$K17=0,AH$1=Units!$O17),Units!$R17,IF(AND(AH$1&gt;=Units!$Q17,MOD(AH$1-Units!$Q17,12)=0),IF(AND(Units!$L17=1,AH$1=Units!$Q17),IF(Units!$J17&lt;&gt;"",Units!$J17,Mkt!AH18),Inputs!$B$15*Mkt!AH18+(1-Inputs!$B$15)*MIN(Mkt!AH18,AG18*(1+Inputs!$B$18))),AG18)))</f>
        <v>1373.8655</v>
      </c>
      <c r="AI18" s="11" t="n">
        <f aca="false">IF(AI$1&lt;Units!$P17,0,IF(AND(Units!$K17=0,AI$1=Units!$O17),Units!$R17,IF(AND(AI$1&gt;=Units!$Q17,MOD(AI$1-Units!$Q17,12)=0),IF(AND(Units!$L17=1,AI$1=Units!$Q17),IF(Units!$J17&lt;&gt;"",Units!$J17,Mkt!AI18),Inputs!$B$15*Mkt!AI18+(1-Inputs!$B$15)*MIN(Mkt!AI18,AH18*(1+Inputs!$B$18))),AH18)))</f>
        <v>1373.8655</v>
      </c>
      <c r="AJ18" s="11" t="n">
        <f aca="false">IF(AJ$1&lt;Units!$P17,0,IF(AND(Units!$K17=0,AJ$1=Units!$O17),Units!$R17,IF(AND(AJ$1&gt;=Units!$Q17,MOD(AJ$1-Units!$Q17,12)=0),IF(AND(Units!$L17=1,AJ$1=Units!$Q17),IF(Units!$J17&lt;&gt;"",Units!$J17,Mkt!AJ18),Inputs!$B$15*Mkt!AJ18+(1-Inputs!$B$15)*MIN(Mkt!AJ18,AI18*(1+Inputs!$B$18))),AI18)))</f>
        <v>1373.8655</v>
      </c>
      <c r="AK18" s="11" t="n">
        <f aca="false">IF(AK$1&lt;Units!$P17,0,IF(AND(Units!$K17=0,AK$1=Units!$O17),Units!$R17,IF(AND(AK$1&gt;=Units!$Q17,MOD(AK$1-Units!$Q17,12)=0),IF(AND(Units!$L17=1,AK$1=Units!$Q17),IF(Units!$J17&lt;&gt;"",Units!$J17,Mkt!AK18),Inputs!$B$15*Mkt!AK18+(1-Inputs!$B$15)*MIN(Mkt!AK18,AJ18*(1+Inputs!$B$18))),AJ18)))</f>
        <v>1373.8655</v>
      </c>
      <c r="AL18" s="11" t="n">
        <f aca="false">IF(AL$1&lt;Units!$P17,0,IF(AND(Units!$K17=0,AL$1=Units!$O17),Units!$R17,IF(AND(AL$1&gt;=Units!$Q17,MOD(AL$1-Units!$Q17,12)=0),IF(AND(Units!$L17=1,AL$1=Units!$Q17),IF(Units!$J17&lt;&gt;"",Units!$J17,Mkt!AL18),Inputs!$B$15*Mkt!AL18+(1-Inputs!$B$15)*MIN(Mkt!AL18,AK18*(1+Inputs!$B$18))),AK18)))</f>
        <v>1373.8655</v>
      </c>
      <c r="AM18" s="11" t="n">
        <f aca="false">IF(AM$1&lt;Units!$P17,0,IF(AND(Units!$K17=0,AM$1=Units!$O17),Units!$R17,IF(AND(AM$1&gt;=Units!$Q17,MOD(AM$1-Units!$Q17,12)=0),IF(AND(Units!$L17=1,AM$1=Units!$Q17),IF(Units!$J17&lt;&gt;"",Units!$J17,Mkt!AM18),Inputs!$B$15*Mkt!AM18+(1-Inputs!$B$15)*MIN(Mkt!AM18,AL18*(1+Inputs!$B$18))),AL18)))</f>
        <v>1373.8655</v>
      </c>
      <c r="AN18" s="11" t="n">
        <f aca="false">IF(AN$1&lt;Units!$P17,0,IF(AND(Units!$K17=0,AN$1=Units!$O17),Units!$R17,IF(AND(AN$1&gt;=Units!$Q17,MOD(AN$1-Units!$Q17,12)=0),IF(AND(Units!$L17=1,AN$1=Units!$Q17),IF(Units!$J17&lt;&gt;"",Units!$J17,Mkt!AN18),Inputs!$B$15*Mkt!AN18+(1-Inputs!$B$15)*MIN(Mkt!AN18,AM18*(1+Inputs!$B$18))),AM18)))</f>
        <v>1415.081465</v>
      </c>
      <c r="AO18" s="11" t="n">
        <f aca="false">IF(AO$1&lt;Units!$P17,0,IF(AND(Units!$K17=0,AO$1=Units!$O17),Units!$R17,IF(AND(AO$1&gt;=Units!$Q17,MOD(AO$1-Units!$Q17,12)=0),IF(AND(Units!$L17=1,AO$1=Units!$Q17),IF(Units!$J17&lt;&gt;"",Units!$J17,Mkt!AO18),Inputs!$B$15*Mkt!AO18+(1-Inputs!$B$15)*MIN(Mkt!AO18,AN18*(1+Inputs!$B$18))),AN18)))</f>
        <v>1415.081465</v>
      </c>
      <c r="AP18" s="11" t="n">
        <f aca="false">IF(AP$1&lt;Units!$P17,0,IF(AND(Units!$K17=0,AP$1=Units!$O17),Units!$R17,IF(AND(AP$1&gt;=Units!$Q17,MOD(AP$1-Units!$Q17,12)=0),IF(AND(Units!$L17=1,AP$1=Units!$Q17),IF(Units!$J17&lt;&gt;"",Units!$J17,Mkt!AP18),Inputs!$B$15*Mkt!AP18+(1-Inputs!$B$15)*MIN(Mkt!AP18,AO18*(1+Inputs!$B$18))),AO18)))</f>
        <v>1415.081465</v>
      </c>
      <c r="AQ18" s="11" t="n">
        <f aca="false">IF(AQ$1&lt;Units!$P17,0,IF(AND(Units!$K17=0,AQ$1=Units!$O17),Units!$R17,IF(AND(AQ$1&gt;=Units!$Q17,MOD(AQ$1-Units!$Q17,12)=0),IF(AND(Units!$L17=1,AQ$1=Units!$Q17),IF(Units!$J17&lt;&gt;"",Units!$J17,Mkt!AQ18),Inputs!$B$15*Mkt!AQ18+(1-Inputs!$B$15)*MIN(Mkt!AQ18,AP18*(1+Inputs!$B$18))),AP18)))</f>
        <v>1415.081465</v>
      </c>
      <c r="AR18" s="11" t="n">
        <f aca="false">IF(AR$1&lt;Units!$P17,0,IF(AND(Units!$K17=0,AR$1=Units!$O17),Units!$R17,IF(AND(AR$1&gt;=Units!$Q17,MOD(AR$1-Units!$Q17,12)=0),IF(AND(Units!$L17=1,AR$1=Units!$Q17),IF(Units!$J17&lt;&gt;"",Units!$J17,Mkt!AR18),Inputs!$B$15*Mkt!AR18+(1-Inputs!$B$15)*MIN(Mkt!AR18,AQ18*(1+Inputs!$B$18))),AQ18)))</f>
        <v>1415.081465</v>
      </c>
      <c r="AS18" s="11" t="n">
        <f aca="false">IF(AS$1&lt;Units!$P17,0,IF(AND(Units!$K17=0,AS$1=Units!$O17),Units!$R17,IF(AND(AS$1&gt;=Units!$Q17,MOD(AS$1-Units!$Q17,12)=0),IF(AND(Units!$L17=1,AS$1=Units!$Q17),IF(Units!$J17&lt;&gt;"",Units!$J17,Mkt!AS18),Inputs!$B$15*Mkt!AS18+(1-Inputs!$B$15)*MIN(Mkt!AS18,AR18*(1+Inputs!$B$18))),AR18)))</f>
        <v>1415.081465</v>
      </c>
      <c r="AT18" s="11" t="n">
        <f aca="false">IF(AT$1&lt;Units!$P17,0,IF(AND(Units!$K17=0,AT$1=Units!$O17),Units!$R17,IF(AND(AT$1&gt;=Units!$Q17,MOD(AT$1-Units!$Q17,12)=0),IF(AND(Units!$L17=1,AT$1=Units!$Q17),IF(Units!$J17&lt;&gt;"",Units!$J17,Mkt!AT18),Inputs!$B$15*Mkt!AT18+(1-Inputs!$B$15)*MIN(Mkt!AT18,AS18*(1+Inputs!$B$18))),AS18)))</f>
        <v>1415.081465</v>
      </c>
      <c r="AU18" s="11" t="n">
        <f aca="false">IF(AU$1&lt;Units!$P17,0,IF(AND(Units!$K17=0,AU$1=Units!$O17),Units!$R17,IF(AND(AU$1&gt;=Units!$Q17,MOD(AU$1-Units!$Q17,12)=0),IF(AND(Units!$L17=1,AU$1=Units!$Q17),IF(Units!$J17&lt;&gt;"",Units!$J17,Mkt!AU18),Inputs!$B$15*Mkt!AU18+(1-Inputs!$B$15)*MIN(Mkt!AU18,AT18*(1+Inputs!$B$18))),AT18)))</f>
        <v>1415.081465</v>
      </c>
      <c r="AV18" s="11" t="n">
        <f aca="false">IF(AV$1&lt;Units!$P17,0,IF(AND(Units!$K17=0,AV$1=Units!$O17),Units!$R17,IF(AND(AV$1&gt;=Units!$Q17,MOD(AV$1-Units!$Q17,12)=0),IF(AND(Units!$L17=1,AV$1=Units!$Q17),IF(Units!$J17&lt;&gt;"",Units!$J17,Mkt!AV18),Inputs!$B$15*Mkt!AV18+(1-Inputs!$B$15)*MIN(Mkt!AV18,AU18*(1+Inputs!$B$18))),AU18)))</f>
        <v>1415.081465</v>
      </c>
      <c r="AW18" s="11" t="n">
        <f aca="false">IF(AW$1&lt;Units!$P17,0,IF(AND(Units!$K17=0,AW$1=Units!$O17),Units!$R17,IF(AND(AW$1&gt;=Units!$Q17,MOD(AW$1-Units!$Q17,12)=0),IF(AND(Units!$L17=1,AW$1=Units!$Q17),IF(Units!$J17&lt;&gt;"",Units!$J17,Mkt!AW18),Inputs!$B$15*Mkt!AW18+(1-Inputs!$B$15)*MIN(Mkt!AW18,AV18*(1+Inputs!$B$18))),AV18)))</f>
        <v>1415.081465</v>
      </c>
      <c r="AX18" s="11" t="n">
        <f aca="false">IF(AX$1&lt;Units!$P17,0,IF(AND(Units!$K17=0,AX$1=Units!$O17),Units!$R17,IF(AND(AX$1&gt;=Units!$Q17,MOD(AX$1-Units!$Q17,12)=0),IF(AND(Units!$L17=1,AX$1=Units!$Q17),IF(Units!$J17&lt;&gt;"",Units!$J17,Mkt!AX18),Inputs!$B$15*Mkt!AX18+(1-Inputs!$B$15)*MIN(Mkt!AX18,AW18*(1+Inputs!$B$18))),AW18)))</f>
        <v>1415.081465</v>
      </c>
      <c r="AY18" s="11" t="n">
        <f aca="false">IF(AY$1&lt;Units!$P17,0,IF(AND(Units!$K17=0,AY$1=Units!$O17),Units!$R17,IF(AND(AY$1&gt;=Units!$Q17,MOD(AY$1-Units!$Q17,12)=0),IF(AND(Units!$L17=1,AY$1=Units!$Q17),IF(Units!$J17&lt;&gt;"",Units!$J17,Mkt!AY18),Inputs!$B$15*Mkt!AY18+(1-Inputs!$B$15)*MIN(Mkt!AY18,AX18*(1+Inputs!$B$18))),AX18)))</f>
        <v>1415.081465</v>
      </c>
      <c r="AZ18" s="11" t="n">
        <f aca="false">IF(AZ$1&lt;Units!$P17,0,IF(AND(Units!$K17=0,AZ$1=Units!$O17),Units!$R17,IF(AND(AZ$1&gt;=Units!$Q17,MOD(AZ$1-Units!$Q17,12)=0),IF(AND(Units!$L17=1,AZ$1=Units!$Q17),IF(Units!$J17&lt;&gt;"",Units!$J17,Mkt!AZ18),Inputs!$B$15*Mkt!AZ18+(1-Inputs!$B$15)*MIN(Mkt!AZ18,AY18*(1+Inputs!$B$18))),AY18)))</f>
        <v>1457.53390895</v>
      </c>
      <c r="BA18" s="11" t="n">
        <f aca="false">IF(BA$1&lt;Units!$P17,0,IF(AND(Units!$K17=0,BA$1=Units!$O17),Units!$R17,IF(AND(BA$1&gt;=Units!$Q17,MOD(BA$1-Units!$Q17,12)=0),IF(AND(Units!$L17=1,BA$1=Units!$Q17),IF(Units!$J17&lt;&gt;"",Units!$J17,Mkt!BA18),Inputs!$B$15*Mkt!BA18+(1-Inputs!$B$15)*MIN(Mkt!BA18,AZ18*(1+Inputs!$B$18))),AZ18)))</f>
        <v>1457.53390895</v>
      </c>
      <c r="BB18" s="11" t="n">
        <f aca="false">IF(BB$1&lt;Units!$P17,0,IF(AND(Units!$K17=0,BB$1=Units!$O17),Units!$R17,IF(AND(BB$1&gt;=Units!$Q17,MOD(BB$1-Units!$Q17,12)=0),IF(AND(Units!$L17=1,BB$1=Units!$Q17),IF(Units!$J17&lt;&gt;"",Units!$J17,Mkt!BB18),Inputs!$B$15*Mkt!BB18+(1-Inputs!$B$15)*MIN(Mkt!BB18,BA18*(1+Inputs!$B$18))),BA18)))</f>
        <v>1457.53390895</v>
      </c>
      <c r="BC18" s="11" t="n">
        <f aca="false">IF(BC$1&lt;Units!$P17,0,IF(AND(Units!$K17=0,BC$1=Units!$O17),Units!$R17,IF(AND(BC$1&gt;=Units!$Q17,MOD(BC$1-Units!$Q17,12)=0),IF(AND(Units!$L17=1,BC$1=Units!$Q17),IF(Units!$J17&lt;&gt;"",Units!$J17,Mkt!BC18),Inputs!$B$15*Mkt!BC18+(1-Inputs!$B$15)*MIN(Mkt!BC18,BB18*(1+Inputs!$B$18))),BB18)))</f>
        <v>1457.53390895</v>
      </c>
      <c r="BD18" s="11" t="n">
        <f aca="false">IF(BD$1&lt;Units!$P17,0,IF(AND(Units!$K17=0,BD$1=Units!$O17),Units!$R17,IF(AND(BD$1&gt;=Units!$Q17,MOD(BD$1-Units!$Q17,12)=0),IF(AND(Units!$L17=1,BD$1=Units!$Q17),IF(Units!$J17&lt;&gt;"",Units!$J17,Mkt!BD18),Inputs!$B$15*Mkt!BD18+(1-Inputs!$B$15)*MIN(Mkt!BD18,BC18*(1+Inputs!$B$18))),BC18)))</f>
        <v>1457.53390895</v>
      </c>
      <c r="BE18" s="11" t="n">
        <f aca="false">IF(BE$1&lt;Units!$P17,0,IF(AND(Units!$K17=0,BE$1=Units!$O17),Units!$R17,IF(AND(BE$1&gt;=Units!$Q17,MOD(BE$1-Units!$Q17,12)=0),IF(AND(Units!$L17=1,BE$1=Units!$Q17),IF(Units!$J17&lt;&gt;"",Units!$J17,Mkt!BE18),Inputs!$B$15*Mkt!BE18+(1-Inputs!$B$15)*MIN(Mkt!BE18,BD18*(1+Inputs!$B$18))),BD18)))</f>
        <v>1457.53390895</v>
      </c>
      <c r="BF18" s="11" t="n">
        <f aca="false">IF(BF$1&lt;Units!$P17,0,IF(AND(Units!$K17=0,BF$1=Units!$O17),Units!$R17,IF(AND(BF$1&gt;=Units!$Q17,MOD(BF$1-Units!$Q17,12)=0),IF(AND(Units!$L17=1,BF$1=Units!$Q17),IF(Units!$J17&lt;&gt;"",Units!$J17,Mkt!BF18),Inputs!$B$15*Mkt!BF18+(1-Inputs!$B$15)*MIN(Mkt!BF18,BE18*(1+Inputs!$B$18))),BE18)))</f>
        <v>1457.53390895</v>
      </c>
      <c r="BG18" s="11" t="n">
        <f aca="false">IF(BG$1&lt;Units!$P17,0,IF(AND(Units!$K17=0,BG$1=Units!$O17),Units!$R17,IF(AND(BG$1&gt;=Units!$Q17,MOD(BG$1-Units!$Q17,12)=0),IF(AND(Units!$L17=1,BG$1=Units!$Q17),IF(Units!$J17&lt;&gt;"",Units!$J17,Mkt!BG18),Inputs!$B$15*Mkt!BG18+(1-Inputs!$B$15)*MIN(Mkt!BG18,BF18*(1+Inputs!$B$18))),BF18)))</f>
        <v>1457.53390895</v>
      </c>
      <c r="BH18" s="11" t="n">
        <f aca="false">IF(BH$1&lt;Units!$P17,0,IF(AND(Units!$K17=0,BH$1=Units!$O17),Units!$R17,IF(AND(BH$1&gt;=Units!$Q17,MOD(BH$1-Units!$Q17,12)=0),IF(AND(Units!$L17=1,BH$1=Units!$Q17),IF(Units!$J17&lt;&gt;"",Units!$J17,Mkt!BH18),Inputs!$B$15*Mkt!BH18+(1-Inputs!$B$15)*MIN(Mkt!BH18,BG18*(1+Inputs!$B$18))),BG18)))</f>
        <v>1457.53390895</v>
      </c>
      <c r="BI18" s="11" t="n">
        <f aca="false">IF(BI$1&lt;Units!$P17,0,IF(AND(Units!$K17=0,BI$1=Units!$O17),Units!$R17,IF(AND(BI$1&gt;=Units!$Q17,MOD(BI$1-Units!$Q17,12)=0),IF(AND(Units!$L17=1,BI$1=Units!$Q17),IF(Units!$J17&lt;&gt;"",Units!$J17,Mkt!BI18),Inputs!$B$15*Mkt!BI18+(1-Inputs!$B$15)*MIN(Mkt!BI18,BH18*(1+Inputs!$B$18))),BH18)))</f>
        <v>1457.53390895</v>
      </c>
      <c r="BJ18" s="11" t="n">
        <f aca="false">IF(BJ$1&lt;Units!$P17,0,IF(AND(Units!$K17=0,BJ$1=Units!$O17),Units!$R17,IF(AND(BJ$1&gt;=Units!$Q17,MOD(BJ$1-Units!$Q17,12)=0),IF(AND(Units!$L17=1,BJ$1=Units!$Q17),IF(Units!$J17&lt;&gt;"",Units!$J17,Mkt!BJ18),Inputs!$B$15*Mkt!BJ18+(1-Inputs!$B$15)*MIN(Mkt!BJ18,BI18*(1+Inputs!$B$18))),BI18)))</f>
        <v>1457.53390895</v>
      </c>
      <c r="BK18" s="11" t="n">
        <f aca="false">IF(BK$1&lt;Units!$P17,0,IF(AND(Units!$K17=0,BK$1=Units!$O17),Units!$R17,IF(AND(BK$1&gt;=Units!$Q17,MOD(BK$1-Units!$Q17,12)=0),IF(AND(Units!$L17=1,BK$1=Units!$Q17),IF(Units!$J17&lt;&gt;"",Units!$J17,Mkt!BK18),Inputs!$B$15*Mkt!BK18+(1-Inputs!$B$15)*MIN(Mkt!BK18,BJ18*(1+Inputs!$B$18))),BJ18)))</f>
        <v>1457.53390895</v>
      </c>
      <c r="BL18" s="11" t="n">
        <f aca="false">IF(BL$1&lt;Units!$P17,0,IF(AND(Units!$K17=0,BL$1=Units!$O17),Units!$R17,IF(AND(BL$1&gt;=Units!$Q17,MOD(BL$1-Units!$Q17,12)=0),IF(AND(Units!$L17=1,BL$1=Units!$Q17),IF(Units!$J17&lt;&gt;"",Units!$J17,Mkt!BL18),Inputs!$B$15*Mkt!BL18+(1-Inputs!$B$15)*MIN(Mkt!BL18,BK18*(1+Inputs!$B$18))),BK18)))</f>
        <v>1501.2599262185</v>
      </c>
      <c r="BM18" s="11" t="n">
        <f aca="false">IF(BM$1&lt;Units!$P17,0,IF(AND(Units!$K17=0,BM$1=Units!$O17),Units!$R17,IF(AND(BM$1&gt;=Units!$Q17,MOD(BM$1-Units!$Q17,12)=0),IF(AND(Units!$L17=1,BM$1=Units!$Q17),IF(Units!$J17&lt;&gt;"",Units!$J17,Mkt!BM18),Inputs!$B$15*Mkt!BM18+(1-Inputs!$B$15)*MIN(Mkt!BM18,BL18*(1+Inputs!$B$18))),BL18)))</f>
        <v>1501.2599262185</v>
      </c>
      <c r="BN18" s="11" t="n">
        <f aca="false">IF(BN$1&lt;Units!$P17,0,IF(AND(Units!$K17=0,BN$1=Units!$O17),Units!$R17,IF(AND(BN$1&gt;=Units!$Q17,MOD(BN$1-Units!$Q17,12)=0),IF(AND(Units!$L17=1,BN$1=Units!$Q17),IF(Units!$J17&lt;&gt;"",Units!$J17,Mkt!BN18),Inputs!$B$15*Mkt!BN18+(1-Inputs!$B$15)*MIN(Mkt!BN18,BM18*(1+Inputs!$B$18))),BM18)))</f>
        <v>1501.2599262185</v>
      </c>
      <c r="BO18" s="11" t="n">
        <f aca="false">IF(BO$1&lt;Units!$P17,0,IF(AND(Units!$K17=0,BO$1=Units!$O17),Units!$R17,IF(AND(BO$1&gt;=Units!$Q17,MOD(BO$1-Units!$Q17,12)=0),IF(AND(Units!$L17=1,BO$1=Units!$Q17),IF(Units!$J17&lt;&gt;"",Units!$J17,Mkt!BO18),Inputs!$B$15*Mkt!BO18+(1-Inputs!$B$15)*MIN(Mkt!BO18,BN18*(1+Inputs!$B$18))),BN18)))</f>
        <v>1501.2599262185</v>
      </c>
      <c r="BP18" s="11" t="n">
        <f aca="false">IF(BP$1&lt;Units!$P17,0,IF(AND(Units!$K17=0,BP$1=Units!$O17),Units!$R17,IF(AND(BP$1&gt;=Units!$Q17,MOD(BP$1-Units!$Q17,12)=0),IF(AND(Units!$L17=1,BP$1=Units!$Q17),IF(Units!$J17&lt;&gt;"",Units!$J17,Mkt!BP18),Inputs!$B$15*Mkt!BP18+(1-Inputs!$B$15)*MIN(Mkt!BP18,BO18*(1+Inputs!$B$18))),BO18)))</f>
        <v>1501.2599262185</v>
      </c>
      <c r="BQ18" s="11" t="n">
        <f aca="false">IF(BQ$1&lt;Units!$P17,0,IF(AND(Units!$K17=0,BQ$1=Units!$O17),Units!$R17,IF(AND(BQ$1&gt;=Units!$Q17,MOD(BQ$1-Units!$Q17,12)=0),IF(AND(Units!$L17=1,BQ$1=Units!$Q17),IF(Units!$J17&lt;&gt;"",Units!$J17,Mkt!BQ18),Inputs!$B$15*Mkt!BQ18+(1-Inputs!$B$15)*MIN(Mkt!BQ18,BP18*(1+Inputs!$B$18))),BP18)))</f>
        <v>1501.2599262185</v>
      </c>
      <c r="BR18" s="11" t="n">
        <f aca="false">IF(BR$1&lt;Units!$P17,0,IF(AND(Units!$K17=0,BR$1=Units!$O17),Units!$R17,IF(AND(BR$1&gt;=Units!$Q17,MOD(BR$1-Units!$Q17,12)=0),IF(AND(Units!$L17=1,BR$1=Units!$Q17),IF(Units!$J17&lt;&gt;"",Units!$J17,Mkt!BR18),Inputs!$B$15*Mkt!BR18+(1-Inputs!$B$15)*MIN(Mkt!BR18,BQ18*(1+Inputs!$B$18))),BQ18)))</f>
        <v>1501.2599262185</v>
      </c>
      <c r="BS18" s="11" t="n">
        <f aca="false">IF(BS$1&lt;Units!$P17,0,IF(AND(Units!$K17=0,BS$1=Units!$O17),Units!$R17,IF(AND(BS$1&gt;=Units!$Q17,MOD(BS$1-Units!$Q17,12)=0),IF(AND(Units!$L17=1,BS$1=Units!$Q17),IF(Units!$J17&lt;&gt;"",Units!$J17,Mkt!BS18),Inputs!$B$15*Mkt!BS18+(1-Inputs!$B$15)*MIN(Mkt!BS18,BR18*(1+Inputs!$B$18))),BR18)))</f>
        <v>1501.2599262185</v>
      </c>
      <c r="BT18" s="11" t="n">
        <f aca="false">IF(BT$1&lt;Units!$P17,0,IF(AND(Units!$K17=0,BT$1=Units!$O17),Units!$R17,IF(AND(BT$1&gt;=Units!$Q17,MOD(BT$1-Units!$Q17,12)=0),IF(AND(Units!$L17=1,BT$1=Units!$Q17),IF(Units!$J17&lt;&gt;"",Units!$J17,Mkt!BT18),Inputs!$B$15*Mkt!BT18+(1-Inputs!$B$15)*MIN(Mkt!BT18,BS18*(1+Inputs!$B$18))),BS18)))</f>
        <v>1501.2599262185</v>
      </c>
      <c r="BU18" s="11" t="n">
        <f aca="false">IF(BU$1&lt;Units!$P17,0,IF(AND(Units!$K17=0,BU$1=Units!$O17),Units!$R17,IF(AND(BU$1&gt;=Units!$Q17,MOD(BU$1-Units!$Q17,12)=0),IF(AND(Units!$L17=1,BU$1=Units!$Q17),IF(Units!$J17&lt;&gt;"",Units!$J17,Mkt!BU18),Inputs!$B$15*Mkt!BU18+(1-Inputs!$B$15)*MIN(Mkt!BU18,BT18*(1+Inputs!$B$18))),BT18)))</f>
        <v>1501.2599262185</v>
      </c>
      <c r="BV18" s="11" t="n">
        <f aca="false">IF(BV$1&lt;Units!$P17,0,IF(AND(Units!$K17=0,BV$1=Units!$O17),Units!$R17,IF(AND(BV$1&gt;=Units!$Q17,MOD(BV$1-Units!$Q17,12)=0),IF(AND(Units!$L17=1,BV$1=Units!$Q17),IF(Units!$J17&lt;&gt;"",Units!$J17,Mkt!BV18),Inputs!$B$15*Mkt!BV18+(1-Inputs!$B$15)*MIN(Mkt!BV18,BU18*(1+Inputs!$B$18))),BU18)))</f>
        <v>1501.2599262185</v>
      </c>
      <c r="BW18" s="11" t="n">
        <f aca="false">IF(BW$1&lt;Units!$P17,0,IF(AND(Units!$K17=0,BW$1=Units!$O17),Units!$R17,IF(AND(BW$1&gt;=Units!$Q17,MOD(BW$1-Units!$Q17,12)=0),IF(AND(Units!$L17=1,BW$1=Units!$Q17),IF(Units!$J17&lt;&gt;"",Units!$J17,Mkt!BW18),Inputs!$B$15*Mkt!BW18+(1-Inputs!$B$15)*MIN(Mkt!BW18,BV18*(1+Inputs!$B$18))),BV18)))</f>
        <v>1501.2599262185</v>
      </c>
      <c r="BX18" s="11" t="n">
        <f aca="false">IF(BX$1&lt;Units!$P17,0,IF(AND(Units!$K17=0,BX$1=Units!$O17),Units!$R17,IF(AND(BX$1&gt;=Units!$Q17,MOD(BX$1-Units!$Q17,12)=0),IF(AND(Units!$L17=1,BX$1=Units!$Q17),IF(Units!$J17&lt;&gt;"",Units!$J17,Mkt!BX18),Inputs!$B$15*Mkt!BX18+(1-Inputs!$B$15)*MIN(Mkt!BX18,BW18*(1+Inputs!$B$18))),BW18)))</f>
        <v>1546.29772400506</v>
      </c>
      <c r="BY18" s="11" t="n">
        <f aca="false">IF(BY$1&lt;Units!$P17,0,IF(AND(Units!$K17=0,BY$1=Units!$O17),Units!$R17,IF(AND(BY$1&gt;=Units!$Q17,MOD(BY$1-Units!$Q17,12)=0),IF(AND(Units!$L17=1,BY$1=Units!$Q17),IF(Units!$J17&lt;&gt;"",Units!$J17,Mkt!BY18),Inputs!$B$15*Mkt!BY18+(1-Inputs!$B$15)*MIN(Mkt!BY18,BX18*(1+Inputs!$B$18))),BX18)))</f>
        <v>1546.29772400506</v>
      </c>
      <c r="BZ18" s="11" t="n">
        <f aca="false">IF(BZ$1&lt;Units!$P17,0,IF(AND(Units!$K17=0,BZ$1=Units!$O17),Units!$R17,IF(AND(BZ$1&gt;=Units!$Q17,MOD(BZ$1-Units!$Q17,12)=0),IF(AND(Units!$L17=1,BZ$1=Units!$Q17),IF(Units!$J17&lt;&gt;"",Units!$J17,Mkt!BZ18),Inputs!$B$15*Mkt!BZ18+(1-Inputs!$B$15)*MIN(Mkt!BZ18,BY18*(1+Inputs!$B$18))),BY18)))</f>
        <v>1546.29772400506</v>
      </c>
      <c r="CA18" s="11" t="n">
        <f aca="false">IF(CA$1&lt;Units!$P17,0,IF(AND(Units!$K17=0,CA$1=Units!$O17),Units!$R17,IF(AND(CA$1&gt;=Units!$Q17,MOD(CA$1-Units!$Q17,12)=0),IF(AND(Units!$L17=1,CA$1=Units!$Q17),IF(Units!$J17&lt;&gt;"",Units!$J17,Mkt!CA18),Inputs!$B$15*Mkt!CA18+(1-Inputs!$B$15)*MIN(Mkt!CA18,BZ18*(1+Inputs!$B$18))),BZ18)))</f>
        <v>1546.29772400506</v>
      </c>
      <c r="CB18" s="11" t="n">
        <f aca="false">IF(CB$1&lt;Units!$P17,0,IF(AND(Units!$K17=0,CB$1=Units!$O17),Units!$R17,IF(AND(CB$1&gt;=Units!$Q17,MOD(CB$1-Units!$Q17,12)=0),IF(AND(Units!$L17=1,CB$1=Units!$Q17),IF(Units!$J17&lt;&gt;"",Units!$J17,Mkt!CB18),Inputs!$B$15*Mkt!CB18+(1-Inputs!$B$15)*MIN(Mkt!CB18,CA18*(1+Inputs!$B$18))),CA18)))</f>
        <v>1546.29772400506</v>
      </c>
      <c r="CC18" s="11" t="n">
        <f aca="false">IF(CC$1&lt;Units!$P17,0,IF(AND(Units!$K17=0,CC$1=Units!$O17),Units!$R17,IF(AND(CC$1&gt;=Units!$Q17,MOD(CC$1-Units!$Q17,12)=0),IF(AND(Units!$L17=1,CC$1=Units!$Q17),IF(Units!$J17&lt;&gt;"",Units!$J17,Mkt!CC18),Inputs!$B$15*Mkt!CC18+(1-Inputs!$B$15)*MIN(Mkt!CC18,CB18*(1+Inputs!$B$18))),CB18)))</f>
        <v>1546.29772400506</v>
      </c>
      <c r="CD18" s="11" t="n">
        <f aca="false">IF(CD$1&lt;Units!$P17,0,IF(AND(Units!$K17=0,CD$1=Units!$O17),Units!$R17,IF(AND(CD$1&gt;=Units!$Q17,MOD(CD$1-Units!$Q17,12)=0),IF(AND(Units!$L17=1,CD$1=Units!$Q17),IF(Units!$J17&lt;&gt;"",Units!$J17,Mkt!CD18),Inputs!$B$15*Mkt!CD18+(1-Inputs!$B$15)*MIN(Mkt!CD18,CC18*(1+Inputs!$B$18))),CC18)))</f>
        <v>1546.29772400506</v>
      </c>
      <c r="CE18" s="11" t="n">
        <f aca="false">IF(CE$1&lt;Units!$P17,0,IF(AND(Units!$K17=0,CE$1=Units!$O17),Units!$R17,IF(AND(CE$1&gt;=Units!$Q17,MOD(CE$1-Units!$Q17,12)=0),IF(AND(Units!$L17=1,CE$1=Units!$Q17),IF(Units!$J17&lt;&gt;"",Units!$J17,Mkt!CE18),Inputs!$B$15*Mkt!CE18+(1-Inputs!$B$15)*MIN(Mkt!CE18,CD18*(1+Inputs!$B$18))),CD18)))</f>
        <v>1546.29772400506</v>
      </c>
      <c r="CF18" s="11" t="n">
        <f aca="false">IF(CF$1&lt;Units!$P17,0,IF(AND(Units!$K17=0,CF$1=Units!$O17),Units!$R17,IF(AND(CF$1&gt;=Units!$Q17,MOD(CF$1-Units!$Q17,12)=0),IF(AND(Units!$L17=1,CF$1=Units!$Q17),IF(Units!$J17&lt;&gt;"",Units!$J17,Mkt!CF18),Inputs!$B$15*Mkt!CF18+(1-Inputs!$B$15)*MIN(Mkt!CF18,CE18*(1+Inputs!$B$18))),CE18)))</f>
        <v>1546.29772400506</v>
      </c>
      <c r="CG18" s="11" t="n">
        <f aca="false">IF(CG$1&lt;Units!$P17,0,IF(AND(Units!$K17=0,CG$1=Units!$O17),Units!$R17,IF(AND(CG$1&gt;=Units!$Q17,MOD(CG$1-Units!$Q17,12)=0),IF(AND(Units!$L17=1,CG$1=Units!$Q17),IF(Units!$J17&lt;&gt;"",Units!$J17,Mkt!CG18),Inputs!$B$15*Mkt!CG18+(1-Inputs!$B$15)*MIN(Mkt!CG18,CF18*(1+Inputs!$B$18))),CF18)))</f>
        <v>1546.29772400506</v>
      </c>
      <c r="CH18" s="11" t="n">
        <f aca="false">IF(CH$1&lt;Units!$P17,0,IF(AND(Units!$K17=0,CH$1=Units!$O17),Units!$R17,IF(AND(CH$1&gt;=Units!$Q17,MOD(CH$1-Units!$Q17,12)=0),IF(AND(Units!$L17=1,CH$1=Units!$Q17),IF(Units!$J17&lt;&gt;"",Units!$J17,Mkt!CH18),Inputs!$B$15*Mkt!CH18+(1-Inputs!$B$15)*MIN(Mkt!CH18,CG18*(1+Inputs!$B$18))),CG18)))</f>
        <v>1546.29772400506</v>
      </c>
      <c r="CI18" s="11" t="n">
        <f aca="false">IF(CI$1&lt;Units!$P17,0,IF(AND(Units!$K17=0,CI$1=Units!$O17),Units!$R17,IF(AND(CI$1&gt;=Units!$Q17,MOD(CI$1-Units!$Q17,12)=0),IF(AND(Units!$L17=1,CI$1=Units!$Q17),IF(Units!$J17&lt;&gt;"",Units!$J17,Mkt!CI18),Inputs!$B$15*Mkt!CI18+(1-Inputs!$B$15)*MIN(Mkt!CI18,CH18*(1+Inputs!$B$18))),CH18)))</f>
        <v>1546.29772400506</v>
      </c>
      <c r="CJ18" s="11" t="n">
        <f aca="false">IF(CJ$1&lt;Units!$P17,0,IF(AND(Units!$K17=0,CJ$1=Units!$O17),Units!$R17,IF(AND(CJ$1&gt;=Units!$Q17,MOD(CJ$1-Units!$Q17,12)=0),IF(AND(Units!$L17=1,CJ$1=Units!$Q17),IF(Units!$J17&lt;&gt;"",Units!$J17,Mkt!CJ18),Inputs!$B$15*Mkt!CJ18+(1-Inputs!$B$15)*MIN(Mkt!CJ18,CI18*(1+Inputs!$B$18))),CI18)))</f>
        <v>1592.68665572521</v>
      </c>
      <c r="CK18" s="11" t="n">
        <f aca="false">IF(CK$1&lt;Units!$P17,0,IF(AND(Units!$K17=0,CK$1=Units!$O17),Units!$R17,IF(AND(CK$1&gt;=Units!$Q17,MOD(CK$1-Units!$Q17,12)=0),IF(AND(Units!$L17=1,CK$1=Units!$Q17),IF(Units!$J17&lt;&gt;"",Units!$J17,Mkt!CK18),Inputs!$B$15*Mkt!CK18+(1-Inputs!$B$15)*MIN(Mkt!CK18,CJ18*(1+Inputs!$B$18))),CJ18)))</f>
        <v>1592.68665572521</v>
      </c>
      <c r="CL18" s="11" t="n">
        <f aca="false">IF(CL$1&lt;Units!$P17,0,IF(AND(Units!$K17=0,CL$1=Units!$O17),Units!$R17,IF(AND(CL$1&gt;=Units!$Q17,MOD(CL$1-Units!$Q17,12)=0),IF(AND(Units!$L17=1,CL$1=Units!$Q17),IF(Units!$J17&lt;&gt;"",Units!$J17,Mkt!CL18),Inputs!$B$15*Mkt!CL18+(1-Inputs!$B$15)*MIN(Mkt!CL18,CK18*(1+Inputs!$B$18))),CK18)))</f>
        <v>1592.68665572521</v>
      </c>
      <c r="CM18" s="11" t="n">
        <f aca="false">IF(CM$1&lt;Units!$P17,0,IF(AND(Units!$K17=0,CM$1=Units!$O17),Units!$R17,IF(AND(CM$1&gt;=Units!$Q17,MOD(CM$1-Units!$Q17,12)=0),IF(AND(Units!$L17=1,CM$1=Units!$Q17),IF(Units!$J17&lt;&gt;"",Units!$J17,Mkt!CM18),Inputs!$B$15*Mkt!CM18+(1-Inputs!$B$15)*MIN(Mkt!CM18,CL18*(1+Inputs!$B$18))),CL18)))</f>
        <v>1592.68665572521</v>
      </c>
      <c r="CN18" s="11" t="n">
        <f aca="false">IF(CN$1&lt;Units!$P17,0,IF(AND(Units!$K17=0,CN$1=Units!$O17),Units!$R17,IF(AND(CN$1&gt;=Units!$Q17,MOD(CN$1-Units!$Q17,12)=0),IF(AND(Units!$L17=1,CN$1=Units!$Q17),IF(Units!$J17&lt;&gt;"",Units!$J17,Mkt!CN18),Inputs!$B$15*Mkt!CN18+(1-Inputs!$B$15)*MIN(Mkt!CN18,CM18*(1+Inputs!$B$18))),CM18)))</f>
        <v>1592.68665572521</v>
      </c>
      <c r="CO18" s="11" t="n">
        <f aca="false">IF(CO$1&lt;Units!$P17,0,IF(AND(Units!$K17=0,CO$1=Units!$O17),Units!$R17,IF(AND(CO$1&gt;=Units!$Q17,MOD(CO$1-Units!$Q17,12)=0),IF(AND(Units!$L17=1,CO$1=Units!$Q17),IF(Units!$J17&lt;&gt;"",Units!$J17,Mkt!CO18),Inputs!$B$15*Mkt!CO18+(1-Inputs!$B$15)*MIN(Mkt!CO18,CN18*(1+Inputs!$B$18))),CN18)))</f>
        <v>1592.68665572521</v>
      </c>
      <c r="CP18" s="11" t="n">
        <f aca="false">IF(CP$1&lt;Units!$P17,0,IF(AND(Units!$K17=0,CP$1=Units!$O17),Units!$R17,IF(AND(CP$1&gt;=Units!$Q17,MOD(CP$1-Units!$Q17,12)=0),IF(AND(Units!$L17=1,CP$1=Units!$Q17),IF(Units!$J17&lt;&gt;"",Units!$J17,Mkt!CP18),Inputs!$B$15*Mkt!CP18+(1-Inputs!$B$15)*MIN(Mkt!CP18,CO18*(1+Inputs!$B$18))),CO18)))</f>
        <v>1592.68665572521</v>
      </c>
      <c r="CQ18" s="11" t="n">
        <f aca="false">IF(CQ$1&lt;Units!$P17,0,IF(AND(Units!$K17=0,CQ$1=Units!$O17),Units!$R17,IF(AND(CQ$1&gt;=Units!$Q17,MOD(CQ$1-Units!$Q17,12)=0),IF(AND(Units!$L17=1,CQ$1=Units!$Q17),IF(Units!$J17&lt;&gt;"",Units!$J17,Mkt!CQ18),Inputs!$B$15*Mkt!CQ18+(1-Inputs!$B$15)*MIN(Mkt!CQ18,CP18*(1+Inputs!$B$18))),CP18)))</f>
        <v>1592.68665572521</v>
      </c>
      <c r="CR18" s="11" t="n">
        <f aca="false">IF(CR$1&lt;Units!$P17,0,IF(AND(Units!$K17=0,CR$1=Units!$O17),Units!$R17,IF(AND(CR$1&gt;=Units!$Q17,MOD(CR$1-Units!$Q17,12)=0),IF(AND(Units!$L17=1,CR$1=Units!$Q17),IF(Units!$J17&lt;&gt;"",Units!$J17,Mkt!CR18),Inputs!$B$15*Mkt!CR18+(1-Inputs!$B$15)*MIN(Mkt!CR18,CQ18*(1+Inputs!$B$18))),CQ18)))</f>
        <v>1592.68665572521</v>
      </c>
      <c r="CS18" s="11" t="n">
        <f aca="false">IF(CS$1&lt;Units!$P17,0,IF(AND(Units!$K17=0,CS$1=Units!$O17),Units!$R17,IF(AND(CS$1&gt;=Units!$Q17,MOD(CS$1-Units!$Q17,12)=0),IF(AND(Units!$L17=1,CS$1=Units!$Q17),IF(Units!$J17&lt;&gt;"",Units!$J17,Mkt!CS18),Inputs!$B$15*Mkt!CS18+(1-Inputs!$B$15)*MIN(Mkt!CS18,CR18*(1+Inputs!$B$18))),CR18)))</f>
        <v>1592.68665572521</v>
      </c>
      <c r="CT18" s="11" t="n">
        <f aca="false">IF(CT$1&lt;Units!$P17,0,IF(AND(Units!$K17=0,CT$1=Units!$O17),Units!$R17,IF(AND(CT$1&gt;=Units!$Q17,MOD(CT$1-Units!$Q17,12)=0),IF(AND(Units!$L17=1,CT$1=Units!$Q17),IF(Units!$J17&lt;&gt;"",Units!$J17,Mkt!CT18),Inputs!$B$15*Mkt!CT18+(1-Inputs!$B$15)*MIN(Mkt!CT18,CS18*(1+Inputs!$B$18))),CS18)))</f>
        <v>1592.68665572521</v>
      </c>
      <c r="CU18" s="11" t="n">
        <f aca="false">IF(CU$1&lt;Units!$P17,0,IF(AND(Units!$K17=0,CU$1=Units!$O17),Units!$R17,IF(AND(CU$1&gt;=Units!$Q17,MOD(CU$1-Units!$Q17,12)=0),IF(AND(Units!$L17=1,CU$1=Units!$Q17),IF(Units!$J17&lt;&gt;"",Units!$J17,Mkt!CU18),Inputs!$B$15*Mkt!CU18+(1-Inputs!$B$15)*MIN(Mkt!CU18,CT18*(1+Inputs!$B$18))),CT18)))</f>
        <v>1592.68665572521</v>
      </c>
      <c r="CV18" s="11" t="n">
        <f aca="false">IF(CV$1&lt;Units!$P17,0,IF(AND(Units!$K17=0,CV$1=Units!$O17),Units!$R17,IF(AND(CV$1&gt;=Units!$Q17,MOD(CV$1-Units!$Q17,12)=0),IF(AND(Units!$L17=1,CV$1=Units!$Q17),IF(Units!$J17&lt;&gt;"",Units!$J17,Mkt!CV18),Inputs!$B$15*Mkt!CV18+(1-Inputs!$B$15)*MIN(Mkt!CV18,CU18*(1+Inputs!$B$18))),CU18)))</f>
        <v>1640.46725539696</v>
      </c>
      <c r="CW18" s="11" t="n">
        <f aca="false">IF(CW$1&lt;Units!$P17,0,IF(AND(Units!$K17=0,CW$1=Units!$O17),Units!$R17,IF(AND(CW$1&gt;=Units!$Q17,MOD(CW$1-Units!$Q17,12)=0),IF(AND(Units!$L17=1,CW$1=Units!$Q17),IF(Units!$J17&lt;&gt;"",Units!$J17,Mkt!CW18),Inputs!$B$15*Mkt!CW18+(1-Inputs!$B$15)*MIN(Mkt!CW18,CV18*(1+Inputs!$B$18))),CV18)))</f>
        <v>1640.46725539696</v>
      </c>
      <c r="CX18" s="11" t="n">
        <f aca="false">IF(CX$1&lt;Units!$P17,0,IF(AND(Units!$K17=0,CX$1=Units!$O17),Units!$R17,IF(AND(CX$1&gt;=Units!$Q17,MOD(CX$1-Units!$Q17,12)=0),IF(AND(Units!$L17=1,CX$1=Units!$Q17),IF(Units!$J17&lt;&gt;"",Units!$J17,Mkt!CX18),Inputs!$B$15*Mkt!CX18+(1-Inputs!$B$15)*MIN(Mkt!CX18,CW18*(1+Inputs!$B$18))),CW18)))</f>
        <v>1640.46725539696</v>
      </c>
      <c r="CY18" s="11" t="n">
        <f aca="false">IF(CY$1&lt;Units!$P17,0,IF(AND(Units!$K17=0,CY$1=Units!$O17),Units!$R17,IF(AND(CY$1&gt;=Units!$Q17,MOD(CY$1-Units!$Q17,12)=0),IF(AND(Units!$L17=1,CY$1=Units!$Q17),IF(Units!$J17&lt;&gt;"",Units!$J17,Mkt!CY18),Inputs!$B$15*Mkt!CY18+(1-Inputs!$B$15)*MIN(Mkt!CY18,CX18*(1+Inputs!$B$18))),CX18)))</f>
        <v>1640.46725539696</v>
      </c>
      <c r="CZ18" s="11" t="n">
        <f aca="false">IF(CZ$1&lt;Units!$P17,0,IF(AND(Units!$K17=0,CZ$1=Units!$O17),Units!$R17,IF(AND(CZ$1&gt;=Units!$Q17,MOD(CZ$1-Units!$Q17,12)=0),IF(AND(Units!$L17=1,CZ$1=Units!$Q17),IF(Units!$J17&lt;&gt;"",Units!$J17,Mkt!CZ18),Inputs!$B$15*Mkt!CZ18+(1-Inputs!$B$15)*MIN(Mkt!CZ18,CY18*(1+Inputs!$B$18))),CY18)))</f>
        <v>1640.46725539696</v>
      </c>
      <c r="DA18" s="11" t="n">
        <f aca="false">IF(DA$1&lt;Units!$P17,0,IF(AND(Units!$K17=0,DA$1=Units!$O17),Units!$R17,IF(AND(DA$1&gt;=Units!$Q17,MOD(DA$1-Units!$Q17,12)=0),IF(AND(Units!$L17=1,DA$1=Units!$Q17),IF(Units!$J17&lt;&gt;"",Units!$J17,Mkt!DA18),Inputs!$B$15*Mkt!DA18+(1-Inputs!$B$15)*MIN(Mkt!DA18,CZ18*(1+Inputs!$B$18))),CZ18)))</f>
        <v>1640.46725539696</v>
      </c>
      <c r="DB18" s="11" t="n">
        <f aca="false">IF(DB$1&lt;Units!$P17,0,IF(AND(Units!$K17=0,DB$1=Units!$O17),Units!$R17,IF(AND(DB$1&gt;=Units!$Q17,MOD(DB$1-Units!$Q17,12)=0),IF(AND(Units!$L17=1,DB$1=Units!$Q17),IF(Units!$J17&lt;&gt;"",Units!$J17,Mkt!DB18),Inputs!$B$15*Mkt!DB18+(1-Inputs!$B$15)*MIN(Mkt!DB18,DA18*(1+Inputs!$B$18))),DA18)))</f>
        <v>1640.46725539696</v>
      </c>
      <c r="DC18" s="11" t="n">
        <f aca="false">IF(DC$1&lt;Units!$P17,0,IF(AND(Units!$K17=0,DC$1=Units!$O17),Units!$R17,IF(AND(DC$1&gt;=Units!$Q17,MOD(DC$1-Units!$Q17,12)=0),IF(AND(Units!$L17=1,DC$1=Units!$Q17),IF(Units!$J17&lt;&gt;"",Units!$J17,Mkt!DC18),Inputs!$B$15*Mkt!DC18+(1-Inputs!$B$15)*MIN(Mkt!DC18,DB18*(1+Inputs!$B$18))),DB18)))</f>
        <v>1640.46725539696</v>
      </c>
      <c r="DD18" s="11" t="n">
        <f aca="false">IF(DD$1&lt;Units!$P17,0,IF(AND(Units!$K17=0,DD$1=Units!$O17),Units!$R17,IF(AND(DD$1&gt;=Units!$Q17,MOD(DD$1-Units!$Q17,12)=0),IF(AND(Units!$L17=1,DD$1=Units!$Q17),IF(Units!$J17&lt;&gt;"",Units!$J17,Mkt!DD18),Inputs!$B$15*Mkt!DD18+(1-Inputs!$B$15)*MIN(Mkt!DD18,DC18*(1+Inputs!$B$18))),DC18)))</f>
        <v>1640.46725539696</v>
      </c>
      <c r="DE18" s="11" t="n">
        <f aca="false">IF(DE$1&lt;Units!$P17,0,IF(AND(Units!$K17=0,DE$1=Units!$O17),Units!$R17,IF(AND(DE$1&gt;=Units!$Q17,MOD(DE$1-Units!$Q17,12)=0),IF(AND(Units!$L17=1,DE$1=Units!$Q17),IF(Units!$J17&lt;&gt;"",Units!$J17,Mkt!DE18),Inputs!$B$15*Mkt!DE18+(1-Inputs!$B$15)*MIN(Mkt!DE18,DD18*(1+Inputs!$B$18))),DD18)))</f>
        <v>1640.46725539696</v>
      </c>
      <c r="DF18" s="11" t="n">
        <f aca="false">IF(DF$1&lt;Units!$P17,0,IF(AND(Units!$K17=0,DF$1=Units!$O17),Units!$R17,IF(AND(DF$1&gt;=Units!$Q17,MOD(DF$1-Units!$Q17,12)=0),IF(AND(Units!$L17=1,DF$1=Units!$Q17),IF(Units!$J17&lt;&gt;"",Units!$J17,Mkt!DF18),Inputs!$B$15*Mkt!DF18+(1-Inputs!$B$15)*MIN(Mkt!DF18,DE18*(1+Inputs!$B$18))),DE18)))</f>
        <v>1640.46725539696</v>
      </c>
      <c r="DG18" s="11" t="n">
        <f aca="false">IF(DG$1&lt;Units!$P17,0,IF(AND(Units!$K17=0,DG$1=Units!$O17),Units!$R17,IF(AND(DG$1&gt;=Units!$Q17,MOD(DG$1-Units!$Q17,12)=0),IF(AND(Units!$L17=1,DG$1=Units!$Q17),IF(Units!$J17&lt;&gt;"",Units!$J17,Mkt!DG18),Inputs!$B$15*Mkt!DG18+(1-Inputs!$B$15)*MIN(Mkt!DG18,DF18*(1+Inputs!$B$18))),DF18)))</f>
        <v>1640.46725539696</v>
      </c>
      <c r="DH18" s="11" t="n">
        <f aca="false">IF(DH$1&lt;Units!$P17,0,IF(AND(Units!$K17=0,DH$1=Units!$O17),Units!$R17,IF(AND(DH$1&gt;=Units!$Q17,MOD(DH$1-Units!$Q17,12)=0),IF(AND(Units!$L17=1,DH$1=Units!$Q17),IF(Units!$J17&lt;&gt;"",Units!$J17,Mkt!DH18),Inputs!$B$15*Mkt!DH18+(1-Inputs!$B$15)*MIN(Mkt!DH18,DG18*(1+Inputs!$B$18))),DG18)))</f>
        <v>1689.68127305887</v>
      </c>
      <c r="DI18" s="11" t="n">
        <f aca="false">IF(DI$1&lt;Units!$P17,0,IF(AND(Units!$K17=0,DI$1=Units!$O17),Units!$R17,IF(AND(DI$1&gt;=Units!$Q17,MOD(DI$1-Units!$Q17,12)=0),IF(AND(Units!$L17=1,DI$1=Units!$Q17),IF(Units!$J17&lt;&gt;"",Units!$J17,Mkt!DI18),Inputs!$B$15*Mkt!DI18+(1-Inputs!$B$15)*MIN(Mkt!DI18,DH18*(1+Inputs!$B$18))),DH18)))</f>
        <v>1689.68127305887</v>
      </c>
      <c r="DJ18" s="11" t="n">
        <f aca="false">IF(DJ$1&lt;Units!$P17,0,IF(AND(Units!$K17=0,DJ$1=Units!$O17),Units!$R17,IF(AND(DJ$1&gt;=Units!$Q17,MOD(DJ$1-Units!$Q17,12)=0),IF(AND(Units!$L17=1,DJ$1=Units!$Q17),IF(Units!$J17&lt;&gt;"",Units!$J17,Mkt!DJ18),Inputs!$B$15*Mkt!DJ18+(1-Inputs!$B$15)*MIN(Mkt!DJ18,DI18*(1+Inputs!$B$18))),DI18)))</f>
        <v>1689.68127305887</v>
      </c>
      <c r="DK18" s="11" t="n">
        <f aca="false">IF(DK$1&lt;Units!$P17,0,IF(AND(Units!$K17=0,DK$1=Units!$O17),Units!$R17,IF(AND(DK$1&gt;=Units!$Q17,MOD(DK$1-Units!$Q17,12)=0),IF(AND(Units!$L17=1,DK$1=Units!$Q17),IF(Units!$J17&lt;&gt;"",Units!$J17,Mkt!DK18),Inputs!$B$15*Mkt!DK18+(1-Inputs!$B$15)*MIN(Mkt!DK18,DJ18*(1+Inputs!$B$18))),DJ18)))</f>
        <v>1689.68127305887</v>
      </c>
      <c r="DL18" s="11" t="n">
        <f aca="false">IF(DL$1&lt;Units!$P17,0,IF(AND(Units!$K17=0,DL$1=Units!$O17),Units!$R17,IF(AND(DL$1&gt;=Units!$Q17,MOD(DL$1-Units!$Q17,12)=0),IF(AND(Units!$L17=1,DL$1=Units!$Q17),IF(Units!$J17&lt;&gt;"",Units!$J17,Mkt!DL18),Inputs!$B$15*Mkt!DL18+(1-Inputs!$B$15)*MIN(Mkt!DL18,DK18*(1+Inputs!$B$18))),DK18)))</f>
        <v>1689.68127305887</v>
      </c>
      <c r="DM18" s="11" t="n">
        <f aca="false">IF(DM$1&lt;Units!$P17,0,IF(AND(Units!$K17=0,DM$1=Units!$O17),Units!$R17,IF(AND(DM$1&gt;=Units!$Q17,MOD(DM$1-Units!$Q17,12)=0),IF(AND(Units!$L17=1,DM$1=Units!$Q17),IF(Units!$J17&lt;&gt;"",Units!$J17,Mkt!DM18),Inputs!$B$15*Mkt!DM18+(1-Inputs!$B$15)*MIN(Mkt!DM18,DL18*(1+Inputs!$B$18))),DL18)))</f>
        <v>1689.68127305887</v>
      </c>
      <c r="DN18" s="11" t="n">
        <f aca="false">IF(DN$1&lt;Units!$P17,0,IF(AND(Units!$K17=0,DN$1=Units!$O17),Units!$R17,IF(AND(DN$1&gt;=Units!$Q17,MOD(DN$1-Units!$Q17,12)=0),IF(AND(Units!$L17=1,DN$1=Units!$Q17),IF(Units!$J17&lt;&gt;"",Units!$J17,Mkt!DN18),Inputs!$B$15*Mkt!DN18+(1-Inputs!$B$15)*MIN(Mkt!DN18,DM18*(1+Inputs!$B$18))),DM18)))</f>
        <v>1689.68127305887</v>
      </c>
      <c r="DO18" s="11" t="n">
        <f aca="false">IF(DO$1&lt;Units!$P17,0,IF(AND(Units!$K17=0,DO$1=Units!$O17),Units!$R17,IF(AND(DO$1&gt;=Units!$Q17,MOD(DO$1-Units!$Q17,12)=0),IF(AND(Units!$L17=1,DO$1=Units!$Q17),IF(Units!$J17&lt;&gt;"",Units!$J17,Mkt!DO18),Inputs!$B$15*Mkt!DO18+(1-Inputs!$B$15)*MIN(Mkt!DO18,DN18*(1+Inputs!$B$18))),DN18)))</f>
        <v>1689.68127305887</v>
      </c>
      <c r="DP18" s="11" t="n">
        <f aca="false">IF(DP$1&lt;Units!$P17,0,IF(AND(Units!$K17=0,DP$1=Units!$O17),Units!$R17,IF(AND(DP$1&gt;=Units!$Q17,MOD(DP$1-Units!$Q17,12)=0),IF(AND(Units!$L17=1,DP$1=Units!$Q17),IF(Units!$J17&lt;&gt;"",Units!$J17,Mkt!DP18),Inputs!$B$15*Mkt!DP18+(1-Inputs!$B$15)*MIN(Mkt!DP18,DO18*(1+Inputs!$B$18))),DO18)))</f>
        <v>1689.68127305887</v>
      </c>
      <c r="DQ18" s="11" t="n">
        <f aca="false">IF(DQ$1&lt;Units!$P17,0,IF(AND(Units!$K17=0,DQ$1=Units!$O17),Units!$R17,IF(AND(DQ$1&gt;=Units!$Q17,MOD(DQ$1-Units!$Q17,12)=0),IF(AND(Units!$L17=1,DQ$1=Units!$Q17),IF(Units!$J17&lt;&gt;"",Units!$J17,Mkt!DQ18),Inputs!$B$15*Mkt!DQ18+(1-Inputs!$B$15)*MIN(Mkt!DQ18,DP18*(1+Inputs!$B$18))),DP18)))</f>
        <v>1689.68127305887</v>
      </c>
      <c r="DR18" s="11" t="n">
        <f aca="false">IF(DR$1&lt;Units!$P17,0,IF(AND(Units!$K17=0,DR$1=Units!$O17),Units!$R17,IF(AND(DR$1&gt;=Units!$Q17,MOD(DR$1-Units!$Q17,12)=0),IF(AND(Units!$L17=1,DR$1=Units!$Q17),IF(Units!$J17&lt;&gt;"",Units!$J17,Mkt!DR18),Inputs!$B$15*Mkt!DR18+(1-Inputs!$B$15)*MIN(Mkt!DR18,DQ18*(1+Inputs!$B$18))),DQ18)))</f>
        <v>1689.68127305887</v>
      </c>
      <c r="DS18" s="11" t="n">
        <f aca="false">IF(DS$1&lt;Units!$P17,0,IF(AND(Units!$K17=0,DS$1=Units!$O17),Units!$R17,IF(AND(DS$1&gt;=Units!$Q17,MOD(DS$1-Units!$Q17,12)=0),IF(AND(Units!$L17=1,DS$1=Units!$Q17),IF(Units!$J17&lt;&gt;"",Units!$J17,Mkt!DS18),Inputs!$B$15*Mkt!DS18+(1-Inputs!$B$15)*MIN(Mkt!DS18,DR18*(1+Inputs!$B$18))),DR18)))</f>
        <v>1689.68127305887</v>
      </c>
      <c r="DT18" s="11" t="n">
        <f aca="false">IF(DT$1&lt;Units!$P17,0,IF(AND(Units!$K17=0,DT$1=Units!$O17),Units!$R17,IF(AND(DT$1&gt;=Units!$Q17,MOD(DT$1-Units!$Q17,12)=0),IF(AND(Units!$L17=1,DT$1=Units!$Q17),IF(Units!$J17&lt;&gt;"",Units!$J17,Mkt!DT18),Inputs!$B$15*Mkt!DT18+(1-Inputs!$B$15)*MIN(Mkt!DT18,DS18*(1+Inputs!$B$18))),DS18)))</f>
        <v>1740.37171125064</v>
      </c>
      <c r="DU18" s="11" t="n">
        <f aca="false">IF(DU$1&lt;Units!$P17,0,IF(AND(Units!$K17=0,DU$1=Units!$O17),Units!$R17,IF(AND(DU$1&gt;=Units!$Q17,MOD(DU$1-Units!$Q17,12)=0),IF(AND(Units!$L17=1,DU$1=Units!$Q17),IF(Units!$J17&lt;&gt;"",Units!$J17,Mkt!DU18),Inputs!$B$15*Mkt!DU18+(1-Inputs!$B$15)*MIN(Mkt!DU18,DT18*(1+Inputs!$B$18))),DT18)))</f>
        <v>1740.37171125064</v>
      </c>
      <c r="DV18" s="11" t="n">
        <f aca="false">IF(DV$1&lt;Units!$P17,0,IF(AND(Units!$K17=0,DV$1=Units!$O17),Units!$R17,IF(AND(DV$1&gt;=Units!$Q17,MOD(DV$1-Units!$Q17,12)=0),IF(AND(Units!$L17=1,DV$1=Units!$Q17),IF(Units!$J17&lt;&gt;"",Units!$J17,Mkt!DV18),Inputs!$B$15*Mkt!DV18+(1-Inputs!$B$15)*MIN(Mkt!DV18,DU18*(1+Inputs!$B$18))),DU18)))</f>
        <v>1740.37171125064</v>
      </c>
      <c r="DW18" s="11" t="n">
        <f aca="false">IF(DW$1&lt;Units!$P17,0,IF(AND(Units!$K17=0,DW$1=Units!$O17),Units!$R17,IF(AND(DW$1&gt;=Units!$Q17,MOD(DW$1-Units!$Q17,12)=0),IF(AND(Units!$L17=1,DW$1=Units!$Q17),IF(Units!$J17&lt;&gt;"",Units!$J17,Mkt!DW18),Inputs!$B$15*Mkt!DW18+(1-Inputs!$B$15)*MIN(Mkt!DW18,DV18*(1+Inputs!$B$18))),DV18)))</f>
        <v>1740.37171125064</v>
      </c>
      <c r="DX18" s="11" t="n">
        <f aca="false">IF(DX$1&lt;Units!$P17,0,IF(AND(Units!$K17=0,DX$1=Units!$O17),Units!$R17,IF(AND(DX$1&gt;=Units!$Q17,MOD(DX$1-Units!$Q17,12)=0),IF(AND(Units!$L17=1,DX$1=Units!$Q17),IF(Units!$J17&lt;&gt;"",Units!$J17,Mkt!DX18),Inputs!$B$15*Mkt!DX18+(1-Inputs!$B$15)*MIN(Mkt!DX18,DW18*(1+Inputs!$B$18))),DW18)))</f>
        <v>1740.37171125064</v>
      </c>
      <c r="DY18" s="11" t="n">
        <f aca="false">IF(DY$1&lt;Units!$P17,0,IF(AND(Units!$K17=0,DY$1=Units!$O17),Units!$R17,IF(AND(DY$1&gt;=Units!$Q17,MOD(DY$1-Units!$Q17,12)=0),IF(AND(Units!$L17=1,DY$1=Units!$Q17),IF(Units!$J17&lt;&gt;"",Units!$J17,Mkt!DY18),Inputs!$B$15*Mkt!DY18+(1-Inputs!$B$15)*MIN(Mkt!DY18,DX18*(1+Inputs!$B$18))),DX18)))</f>
        <v>1740.37171125064</v>
      </c>
      <c r="DZ18" s="11" t="n">
        <f aca="false">IF(DZ$1&lt;Units!$P17,0,IF(AND(Units!$K17=0,DZ$1=Units!$O17),Units!$R17,IF(AND(DZ$1&gt;=Units!$Q17,MOD(DZ$1-Units!$Q17,12)=0),IF(AND(Units!$L17=1,DZ$1=Units!$Q17),IF(Units!$J17&lt;&gt;"",Units!$J17,Mkt!DZ18),Inputs!$B$15*Mkt!DZ18+(1-Inputs!$B$15)*MIN(Mkt!DZ18,DY18*(1+Inputs!$B$18))),DY18)))</f>
        <v>1740.37171125064</v>
      </c>
      <c r="EA18" s="11" t="n">
        <f aca="false">IF(EA$1&lt;Units!$P17,0,IF(AND(Units!$K17=0,EA$1=Units!$O17),Units!$R17,IF(AND(EA$1&gt;=Units!$Q17,MOD(EA$1-Units!$Q17,12)=0),IF(AND(Units!$L17=1,EA$1=Units!$Q17),IF(Units!$J17&lt;&gt;"",Units!$J17,Mkt!EA18),Inputs!$B$15*Mkt!EA18+(1-Inputs!$B$15)*MIN(Mkt!EA18,DZ18*(1+Inputs!$B$18))),DZ18)))</f>
        <v>1740.37171125064</v>
      </c>
      <c r="EB18" s="11" t="n">
        <f aca="false">IF(EB$1&lt;Units!$P17,0,IF(AND(Units!$K17=0,EB$1=Units!$O17),Units!$R17,IF(AND(EB$1&gt;=Units!$Q17,MOD(EB$1-Units!$Q17,12)=0),IF(AND(Units!$L17=1,EB$1=Units!$Q17),IF(Units!$J17&lt;&gt;"",Units!$J17,Mkt!EB18),Inputs!$B$15*Mkt!EB18+(1-Inputs!$B$15)*MIN(Mkt!EB18,EA18*(1+Inputs!$B$18))),EA18)))</f>
        <v>1740.37171125064</v>
      </c>
      <c r="EC18" s="11" t="n">
        <f aca="false">IF(EC$1&lt;Units!$P17,0,IF(AND(Units!$K17=0,EC$1=Units!$O17),Units!$R17,IF(AND(EC$1&gt;=Units!$Q17,MOD(EC$1-Units!$Q17,12)=0),IF(AND(Units!$L17=1,EC$1=Units!$Q17),IF(Units!$J17&lt;&gt;"",Units!$J17,Mkt!EC18),Inputs!$B$15*Mkt!EC18+(1-Inputs!$B$15)*MIN(Mkt!EC18,EB18*(1+Inputs!$B$18))),EB18)))</f>
        <v>1740.37171125064</v>
      </c>
      <c r="ED18" s="11" t="n">
        <f aca="false">IF(ED$1&lt;Units!$P17,0,IF(AND(Units!$K17=0,ED$1=Units!$O17),Units!$R17,IF(AND(ED$1&gt;=Units!$Q17,MOD(ED$1-Units!$Q17,12)=0),IF(AND(Units!$L17=1,ED$1=Units!$Q17),IF(Units!$J17&lt;&gt;"",Units!$J17,Mkt!ED18),Inputs!$B$15*Mkt!ED18+(1-Inputs!$B$15)*MIN(Mkt!ED18,EC18*(1+Inputs!$B$18))),EC18)))</f>
        <v>1740.37171125064</v>
      </c>
    </row>
    <row r="19" customFormat="false" ht="15" hidden="false" customHeight="false" outlineLevel="0" collapsed="false">
      <c r="A19" s="22" t="n">
        <f aca="false">Units!A18</f>
        <v>117</v>
      </c>
      <c r="B19" s="24" t="n">
        <f aca="false">IF(Units!K18=1,Units!F18,0)</f>
        <v>0</v>
      </c>
      <c r="C19" s="11" t="n">
        <f aca="false">IF(C$1&lt;Units!$P18,0,IF(AND(Units!$K18=0,C$1=Units!$O18),Units!$R18,IF(AND(C$1&gt;=Units!$Q18,MOD(C$1-Units!$Q18,12)=0),IF(AND(Units!$L18=1,C$1=Units!$Q18),IF(Units!$J18&lt;&gt;"",Units!$J18,Mkt!C19),Inputs!$B$15*Mkt!C19+(1-Inputs!$B$15)*MIN(Mkt!C19,B19*(1+Inputs!$B$18))),B19)))</f>
        <v>1295</v>
      </c>
      <c r="D19" s="11" t="n">
        <f aca="false">IF(D$1&lt;Units!$P18,0,IF(AND(Units!$K18=0,D$1=Units!$O18),Units!$R18,IF(AND(D$1&gt;=Units!$Q18,MOD(D$1-Units!$Q18,12)=0),IF(AND(Units!$L18=1,D$1=Units!$Q18),IF(Units!$J18&lt;&gt;"",Units!$J18,Mkt!D19),Inputs!$B$15*Mkt!D19+(1-Inputs!$B$15)*MIN(Mkt!D19,C19*(1+Inputs!$B$18))),C19)))</f>
        <v>1295</v>
      </c>
      <c r="E19" s="11" t="n">
        <f aca="false">IF(E$1&lt;Units!$P18,0,IF(AND(Units!$K18=0,E$1=Units!$O18),Units!$R18,IF(AND(E$1&gt;=Units!$Q18,MOD(E$1-Units!$Q18,12)=0),IF(AND(Units!$L18=1,E$1=Units!$Q18),IF(Units!$J18&lt;&gt;"",Units!$J18,Mkt!E19),Inputs!$B$15*Mkt!E19+(1-Inputs!$B$15)*MIN(Mkt!E19,D19*(1+Inputs!$B$18))),D19)))</f>
        <v>1295</v>
      </c>
      <c r="F19" s="11" t="n">
        <f aca="false">IF(F$1&lt;Units!$P18,0,IF(AND(Units!$K18=0,F$1=Units!$O18),Units!$R18,IF(AND(F$1&gt;=Units!$Q18,MOD(F$1-Units!$Q18,12)=0),IF(AND(Units!$L18=1,F$1=Units!$Q18),IF(Units!$J18&lt;&gt;"",Units!$J18,Mkt!F19),Inputs!$B$15*Mkt!F19+(1-Inputs!$B$15)*MIN(Mkt!F19,E19*(1+Inputs!$B$18))),E19)))</f>
        <v>1295</v>
      </c>
      <c r="G19" s="11" t="n">
        <f aca="false">IF(G$1&lt;Units!$P18,0,IF(AND(Units!$K18=0,G$1=Units!$O18),Units!$R18,IF(AND(G$1&gt;=Units!$Q18,MOD(G$1-Units!$Q18,12)=0),IF(AND(Units!$L18=1,G$1=Units!$Q18),IF(Units!$J18&lt;&gt;"",Units!$J18,Mkt!G19),Inputs!$B$15*Mkt!G19+(1-Inputs!$B$15)*MIN(Mkt!G19,F19*(1+Inputs!$B$18))),F19)))</f>
        <v>1295</v>
      </c>
      <c r="H19" s="11" t="n">
        <f aca="false">IF(H$1&lt;Units!$P18,0,IF(AND(Units!$K18=0,H$1=Units!$O18),Units!$R18,IF(AND(H$1&gt;=Units!$Q18,MOD(H$1-Units!$Q18,12)=0),IF(AND(Units!$L18=1,H$1=Units!$Q18),IF(Units!$J18&lt;&gt;"",Units!$J18,Mkt!H19),Inputs!$B$15*Mkt!H19+(1-Inputs!$B$15)*MIN(Mkt!H19,G19*(1+Inputs!$B$18))),G19)))</f>
        <v>1295</v>
      </c>
      <c r="I19" s="11" t="n">
        <f aca="false">IF(I$1&lt;Units!$P18,0,IF(AND(Units!$K18=0,I$1=Units!$O18),Units!$R18,IF(AND(I$1&gt;=Units!$Q18,MOD(I$1-Units!$Q18,12)=0),IF(AND(Units!$L18=1,I$1=Units!$Q18),IF(Units!$J18&lt;&gt;"",Units!$J18,Mkt!I19),Inputs!$B$15*Mkt!I19+(1-Inputs!$B$15)*MIN(Mkt!I19,H19*(1+Inputs!$B$18))),H19)))</f>
        <v>1295</v>
      </c>
      <c r="J19" s="11" t="n">
        <f aca="false">IF(J$1&lt;Units!$P18,0,IF(AND(Units!$K18=0,J$1=Units!$O18),Units!$R18,IF(AND(J$1&gt;=Units!$Q18,MOD(J$1-Units!$Q18,12)=0),IF(AND(Units!$L18=1,J$1=Units!$Q18),IF(Units!$J18&lt;&gt;"",Units!$J18,Mkt!J19),Inputs!$B$15*Mkt!J19+(1-Inputs!$B$15)*MIN(Mkt!J19,I19*(1+Inputs!$B$18))),I19)))</f>
        <v>1295</v>
      </c>
      <c r="K19" s="11" t="n">
        <f aca="false">IF(K$1&lt;Units!$P18,0,IF(AND(Units!$K18=0,K$1=Units!$O18),Units!$R18,IF(AND(K$1&gt;=Units!$Q18,MOD(K$1-Units!$Q18,12)=0),IF(AND(Units!$L18=1,K$1=Units!$Q18),IF(Units!$J18&lt;&gt;"",Units!$J18,Mkt!K19),Inputs!$B$15*Mkt!K19+(1-Inputs!$B$15)*MIN(Mkt!K19,J19*(1+Inputs!$B$18))),J19)))</f>
        <v>1295</v>
      </c>
      <c r="L19" s="11" t="n">
        <f aca="false">IF(L$1&lt;Units!$P18,0,IF(AND(Units!$K18=0,L$1=Units!$O18),Units!$R18,IF(AND(L$1&gt;=Units!$Q18,MOD(L$1-Units!$Q18,12)=0),IF(AND(Units!$L18=1,L$1=Units!$Q18),IF(Units!$J18&lt;&gt;"",Units!$J18,Mkt!L19),Inputs!$B$15*Mkt!L19+(1-Inputs!$B$15)*MIN(Mkt!L19,K19*(1+Inputs!$B$18))),K19)))</f>
        <v>1295</v>
      </c>
      <c r="M19" s="11" t="n">
        <f aca="false">IF(M$1&lt;Units!$P18,0,IF(AND(Units!$K18=0,M$1=Units!$O18),Units!$R18,IF(AND(M$1&gt;=Units!$Q18,MOD(M$1-Units!$Q18,12)=0),IF(AND(Units!$L18=1,M$1=Units!$Q18),IF(Units!$J18&lt;&gt;"",Units!$J18,Mkt!M19),Inputs!$B$15*Mkt!M19+(1-Inputs!$B$15)*MIN(Mkt!M19,L19*(1+Inputs!$B$18))),L19)))</f>
        <v>1295</v>
      </c>
      <c r="N19" s="11" t="n">
        <f aca="false">IF(N$1&lt;Units!$P18,0,IF(AND(Units!$K18=0,N$1=Units!$O18),Units!$R18,IF(AND(N$1&gt;=Units!$Q18,MOD(N$1-Units!$Q18,12)=0),IF(AND(Units!$L18=1,N$1=Units!$Q18),IF(Units!$J18&lt;&gt;"",Units!$J18,Mkt!N19),Inputs!$B$15*Mkt!N19+(1-Inputs!$B$15)*MIN(Mkt!N19,M19*(1+Inputs!$B$18))),M19)))</f>
        <v>1295</v>
      </c>
      <c r="O19" s="11" t="n">
        <f aca="false">IF(O$1&lt;Units!$P18,0,IF(AND(Units!$K18=0,O$1=Units!$O18),Units!$R18,IF(AND(O$1&gt;=Units!$Q18,MOD(O$1-Units!$Q18,12)=0),IF(AND(Units!$L18=1,O$1=Units!$Q18),IF(Units!$J18&lt;&gt;"",Units!$J18,Mkt!O19),Inputs!$B$15*Mkt!O19+(1-Inputs!$B$15)*MIN(Mkt!O19,N19*(1+Inputs!$B$18))),N19)))</f>
        <v>1333.85</v>
      </c>
      <c r="P19" s="11" t="n">
        <f aca="false">IF(P$1&lt;Units!$P18,0,IF(AND(Units!$K18=0,P$1=Units!$O18),Units!$R18,IF(AND(P$1&gt;=Units!$Q18,MOD(P$1-Units!$Q18,12)=0),IF(AND(Units!$L18=1,P$1=Units!$Q18),IF(Units!$J18&lt;&gt;"",Units!$J18,Mkt!P19),Inputs!$B$15*Mkt!P19+(1-Inputs!$B$15)*MIN(Mkt!P19,O19*(1+Inputs!$B$18))),O19)))</f>
        <v>1333.85</v>
      </c>
      <c r="Q19" s="11" t="n">
        <f aca="false">IF(Q$1&lt;Units!$P18,0,IF(AND(Units!$K18=0,Q$1=Units!$O18),Units!$R18,IF(AND(Q$1&gt;=Units!$Q18,MOD(Q$1-Units!$Q18,12)=0),IF(AND(Units!$L18=1,Q$1=Units!$Q18),IF(Units!$J18&lt;&gt;"",Units!$J18,Mkt!Q19),Inputs!$B$15*Mkt!Q19+(1-Inputs!$B$15)*MIN(Mkt!Q19,P19*(1+Inputs!$B$18))),P19)))</f>
        <v>1333.85</v>
      </c>
      <c r="R19" s="11" t="n">
        <f aca="false">IF(R$1&lt;Units!$P18,0,IF(AND(Units!$K18=0,R$1=Units!$O18),Units!$R18,IF(AND(R$1&gt;=Units!$Q18,MOD(R$1-Units!$Q18,12)=0),IF(AND(Units!$L18=1,R$1=Units!$Q18),IF(Units!$J18&lt;&gt;"",Units!$J18,Mkt!R19),Inputs!$B$15*Mkt!R19+(1-Inputs!$B$15)*MIN(Mkt!R19,Q19*(1+Inputs!$B$18))),Q19)))</f>
        <v>1333.85</v>
      </c>
      <c r="S19" s="11" t="n">
        <f aca="false">IF(S$1&lt;Units!$P18,0,IF(AND(Units!$K18=0,S$1=Units!$O18),Units!$R18,IF(AND(S$1&gt;=Units!$Q18,MOD(S$1-Units!$Q18,12)=0),IF(AND(Units!$L18=1,S$1=Units!$Q18),IF(Units!$J18&lt;&gt;"",Units!$J18,Mkt!S19),Inputs!$B$15*Mkt!S19+(1-Inputs!$B$15)*MIN(Mkt!S19,R19*(1+Inputs!$B$18))),R19)))</f>
        <v>1333.85</v>
      </c>
      <c r="T19" s="11" t="n">
        <f aca="false">IF(T$1&lt;Units!$P18,0,IF(AND(Units!$K18=0,T$1=Units!$O18),Units!$R18,IF(AND(T$1&gt;=Units!$Q18,MOD(T$1-Units!$Q18,12)=0),IF(AND(Units!$L18=1,T$1=Units!$Q18),IF(Units!$J18&lt;&gt;"",Units!$J18,Mkt!T19),Inputs!$B$15*Mkt!T19+(1-Inputs!$B$15)*MIN(Mkt!T19,S19*(1+Inputs!$B$18))),S19)))</f>
        <v>1333.85</v>
      </c>
      <c r="U19" s="11" t="n">
        <f aca="false">IF(U$1&lt;Units!$P18,0,IF(AND(Units!$K18=0,U$1=Units!$O18),Units!$R18,IF(AND(U$1&gt;=Units!$Q18,MOD(U$1-Units!$Q18,12)=0),IF(AND(Units!$L18=1,U$1=Units!$Q18),IF(Units!$J18&lt;&gt;"",Units!$J18,Mkt!U19),Inputs!$B$15*Mkt!U19+(1-Inputs!$B$15)*MIN(Mkt!U19,T19*(1+Inputs!$B$18))),T19)))</f>
        <v>1333.85</v>
      </c>
      <c r="V19" s="11" t="n">
        <f aca="false">IF(V$1&lt;Units!$P18,0,IF(AND(Units!$K18=0,V$1=Units!$O18),Units!$R18,IF(AND(V$1&gt;=Units!$Q18,MOD(V$1-Units!$Q18,12)=0),IF(AND(Units!$L18=1,V$1=Units!$Q18),IF(Units!$J18&lt;&gt;"",Units!$J18,Mkt!V19),Inputs!$B$15*Mkt!V19+(1-Inputs!$B$15)*MIN(Mkt!V19,U19*(1+Inputs!$B$18))),U19)))</f>
        <v>1333.85</v>
      </c>
      <c r="W19" s="11" t="n">
        <f aca="false">IF(W$1&lt;Units!$P18,0,IF(AND(Units!$K18=0,W$1=Units!$O18),Units!$R18,IF(AND(W$1&gt;=Units!$Q18,MOD(W$1-Units!$Q18,12)=0),IF(AND(Units!$L18=1,W$1=Units!$Q18),IF(Units!$J18&lt;&gt;"",Units!$J18,Mkt!W19),Inputs!$B$15*Mkt!W19+(1-Inputs!$B$15)*MIN(Mkt!W19,V19*(1+Inputs!$B$18))),V19)))</f>
        <v>1333.85</v>
      </c>
      <c r="X19" s="11" t="n">
        <f aca="false">IF(X$1&lt;Units!$P18,0,IF(AND(Units!$K18=0,X$1=Units!$O18),Units!$R18,IF(AND(X$1&gt;=Units!$Q18,MOD(X$1-Units!$Q18,12)=0),IF(AND(Units!$L18=1,X$1=Units!$Q18),IF(Units!$J18&lt;&gt;"",Units!$J18,Mkt!X19),Inputs!$B$15*Mkt!X19+(1-Inputs!$B$15)*MIN(Mkt!X19,W19*(1+Inputs!$B$18))),W19)))</f>
        <v>1333.85</v>
      </c>
      <c r="Y19" s="11" t="n">
        <f aca="false">IF(Y$1&lt;Units!$P18,0,IF(AND(Units!$K18=0,Y$1=Units!$O18),Units!$R18,IF(AND(Y$1&gt;=Units!$Q18,MOD(Y$1-Units!$Q18,12)=0),IF(AND(Units!$L18=1,Y$1=Units!$Q18),IF(Units!$J18&lt;&gt;"",Units!$J18,Mkt!Y19),Inputs!$B$15*Mkt!Y19+(1-Inputs!$B$15)*MIN(Mkt!Y19,X19*(1+Inputs!$B$18))),X19)))</f>
        <v>1333.85</v>
      </c>
      <c r="Z19" s="11" t="n">
        <f aca="false">IF(Z$1&lt;Units!$P18,0,IF(AND(Units!$K18=0,Z$1=Units!$O18),Units!$R18,IF(AND(Z$1&gt;=Units!$Q18,MOD(Z$1-Units!$Q18,12)=0),IF(AND(Units!$L18=1,Z$1=Units!$Q18),IF(Units!$J18&lt;&gt;"",Units!$J18,Mkt!Z19),Inputs!$B$15*Mkt!Z19+(1-Inputs!$B$15)*MIN(Mkt!Z19,Y19*(1+Inputs!$B$18))),Y19)))</f>
        <v>1333.85</v>
      </c>
      <c r="AA19" s="11" t="n">
        <f aca="false">IF(AA$1&lt;Units!$P18,0,IF(AND(Units!$K18=0,AA$1=Units!$O18),Units!$R18,IF(AND(AA$1&gt;=Units!$Q18,MOD(AA$1-Units!$Q18,12)=0),IF(AND(Units!$L18=1,AA$1=Units!$Q18),IF(Units!$J18&lt;&gt;"",Units!$J18,Mkt!AA19),Inputs!$B$15*Mkt!AA19+(1-Inputs!$B$15)*MIN(Mkt!AA19,Z19*(1+Inputs!$B$18))),Z19)))</f>
        <v>1373.8655</v>
      </c>
      <c r="AB19" s="11" t="n">
        <f aca="false">IF(AB$1&lt;Units!$P18,0,IF(AND(Units!$K18=0,AB$1=Units!$O18),Units!$R18,IF(AND(AB$1&gt;=Units!$Q18,MOD(AB$1-Units!$Q18,12)=0),IF(AND(Units!$L18=1,AB$1=Units!$Q18),IF(Units!$J18&lt;&gt;"",Units!$J18,Mkt!AB19),Inputs!$B$15*Mkt!AB19+(1-Inputs!$B$15)*MIN(Mkt!AB19,AA19*(1+Inputs!$B$18))),AA19)))</f>
        <v>1373.8655</v>
      </c>
      <c r="AC19" s="11" t="n">
        <f aca="false">IF(AC$1&lt;Units!$P18,0,IF(AND(Units!$K18=0,AC$1=Units!$O18),Units!$R18,IF(AND(AC$1&gt;=Units!$Q18,MOD(AC$1-Units!$Q18,12)=0),IF(AND(Units!$L18=1,AC$1=Units!$Q18),IF(Units!$J18&lt;&gt;"",Units!$J18,Mkt!AC19),Inputs!$B$15*Mkt!AC19+(1-Inputs!$B$15)*MIN(Mkt!AC19,AB19*(1+Inputs!$B$18))),AB19)))</f>
        <v>1373.8655</v>
      </c>
      <c r="AD19" s="11" t="n">
        <f aca="false">IF(AD$1&lt;Units!$P18,0,IF(AND(Units!$K18=0,AD$1=Units!$O18),Units!$R18,IF(AND(AD$1&gt;=Units!$Q18,MOD(AD$1-Units!$Q18,12)=0),IF(AND(Units!$L18=1,AD$1=Units!$Q18),IF(Units!$J18&lt;&gt;"",Units!$J18,Mkt!AD19),Inputs!$B$15*Mkt!AD19+(1-Inputs!$B$15)*MIN(Mkt!AD19,AC19*(1+Inputs!$B$18))),AC19)))</f>
        <v>1373.8655</v>
      </c>
      <c r="AE19" s="11" t="n">
        <f aca="false">IF(AE$1&lt;Units!$P18,0,IF(AND(Units!$K18=0,AE$1=Units!$O18),Units!$R18,IF(AND(AE$1&gt;=Units!$Q18,MOD(AE$1-Units!$Q18,12)=0),IF(AND(Units!$L18=1,AE$1=Units!$Q18),IF(Units!$J18&lt;&gt;"",Units!$J18,Mkt!AE19),Inputs!$B$15*Mkt!AE19+(1-Inputs!$B$15)*MIN(Mkt!AE19,AD19*(1+Inputs!$B$18))),AD19)))</f>
        <v>1373.8655</v>
      </c>
      <c r="AF19" s="11" t="n">
        <f aca="false">IF(AF$1&lt;Units!$P18,0,IF(AND(Units!$K18=0,AF$1=Units!$O18),Units!$R18,IF(AND(AF$1&gt;=Units!$Q18,MOD(AF$1-Units!$Q18,12)=0),IF(AND(Units!$L18=1,AF$1=Units!$Q18),IF(Units!$J18&lt;&gt;"",Units!$J18,Mkt!AF19),Inputs!$B$15*Mkt!AF19+(1-Inputs!$B$15)*MIN(Mkt!AF19,AE19*(1+Inputs!$B$18))),AE19)))</f>
        <v>1373.8655</v>
      </c>
      <c r="AG19" s="11" t="n">
        <f aca="false">IF(AG$1&lt;Units!$P18,0,IF(AND(Units!$K18=0,AG$1=Units!$O18),Units!$R18,IF(AND(AG$1&gt;=Units!$Q18,MOD(AG$1-Units!$Q18,12)=0),IF(AND(Units!$L18=1,AG$1=Units!$Q18),IF(Units!$J18&lt;&gt;"",Units!$J18,Mkt!AG19),Inputs!$B$15*Mkt!AG19+(1-Inputs!$B$15)*MIN(Mkt!AG19,AF19*(1+Inputs!$B$18))),AF19)))</f>
        <v>1373.8655</v>
      </c>
      <c r="AH19" s="11" t="n">
        <f aca="false">IF(AH$1&lt;Units!$P18,0,IF(AND(Units!$K18=0,AH$1=Units!$O18),Units!$R18,IF(AND(AH$1&gt;=Units!$Q18,MOD(AH$1-Units!$Q18,12)=0),IF(AND(Units!$L18=1,AH$1=Units!$Q18),IF(Units!$J18&lt;&gt;"",Units!$J18,Mkt!AH19),Inputs!$B$15*Mkt!AH19+(1-Inputs!$B$15)*MIN(Mkt!AH19,AG19*(1+Inputs!$B$18))),AG19)))</f>
        <v>1373.8655</v>
      </c>
      <c r="AI19" s="11" t="n">
        <f aca="false">IF(AI$1&lt;Units!$P18,0,IF(AND(Units!$K18=0,AI$1=Units!$O18),Units!$R18,IF(AND(AI$1&gt;=Units!$Q18,MOD(AI$1-Units!$Q18,12)=0),IF(AND(Units!$L18=1,AI$1=Units!$Q18),IF(Units!$J18&lt;&gt;"",Units!$J18,Mkt!AI19),Inputs!$B$15*Mkt!AI19+(1-Inputs!$B$15)*MIN(Mkt!AI19,AH19*(1+Inputs!$B$18))),AH19)))</f>
        <v>1373.8655</v>
      </c>
      <c r="AJ19" s="11" t="n">
        <f aca="false">IF(AJ$1&lt;Units!$P18,0,IF(AND(Units!$K18=0,AJ$1=Units!$O18),Units!$R18,IF(AND(AJ$1&gt;=Units!$Q18,MOD(AJ$1-Units!$Q18,12)=0),IF(AND(Units!$L18=1,AJ$1=Units!$Q18),IF(Units!$J18&lt;&gt;"",Units!$J18,Mkt!AJ19),Inputs!$B$15*Mkt!AJ19+(1-Inputs!$B$15)*MIN(Mkt!AJ19,AI19*(1+Inputs!$B$18))),AI19)))</f>
        <v>1373.8655</v>
      </c>
      <c r="AK19" s="11" t="n">
        <f aca="false">IF(AK$1&lt;Units!$P18,0,IF(AND(Units!$K18=0,AK$1=Units!$O18),Units!$R18,IF(AND(AK$1&gt;=Units!$Q18,MOD(AK$1-Units!$Q18,12)=0),IF(AND(Units!$L18=1,AK$1=Units!$Q18),IF(Units!$J18&lt;&gt;"",Units!$J18,Mkt!AK19),Inputs!$B$15*Mkt!AK19+(1-Inputs!$B$15)*MIN(Mkt!AK19,AJ19*(1+Inputs!$B$18))),AJ19)))</f>
        <v>1373.8655</v>
      </c>
      <c r="AL19" s="11" t="n">
        <f aca="false">IF(AL$1&lt;Units!$P18,0,IF(AND(Units!$K18=0,AL$1=Units!$O18),Units!$R18,IF(AND(AL$1&gt;=Units!$Q18,MOD(AL$1-Units!$Q18,12)=0),IF(AND(Units!$L18=1,AL$1=Units!$Q18),IF(Units!$J18&lt;&gt;"",Units!$J18,Mkt!AL19),Inputs!$B$15*Mkt!AL19+(1-Inputs!$B$15)*MIN(Mkt!AL19,AK19*(1+Inputs!$B$18))),AK19)))</f>
        <v>1373.8655</v>
      </c>
      <c r="AM19" s="11" t="n">
        <f aca="false">IF(AM$1&lt;Units!$P18,0,IF(AND(Units!$K18=0,AM$1=Units!$O18),Units!$R18,IF(AND(AM$1&gt;=Units!$Q18,MOD(AM$1-Units!$Q18,12)=0),IF(AND(Units!$L18=1,AM$1=Units!$Q18),IF(Units!$J18&lt;&gt;"",Units!$J18,Mkt!AM19),Inputs!$B$15*Mkt!AM19+(1-Inputs!$B$15)*MIN(Mkt!AM19,AL19*(1+Inputs!$B$18))),AL19)))</f>
        <v>1415.081465</v>
      </c>
      <c r="AN19" s="11" t="n">
        <f aca="false">IF(AN$1&lt;Units!$P18,0,IF(AND(Units!$K18=0,AN$1=Units!$O18),Units!$R18,IF(AND(AN$1&gt;=Units!$Q18,MOD(AN$1-Units!$Q18,12)=0),IF(AND(Units!$L18=1,AN$1=Units!$Q18),IF(Units!$J18&lt;&gt;"",Units!$J18,Mkt!AN19),Inputs!$B$15*Mkt!AN19+(1-Inputs!$B$15)*MIN(Mkt!AN19,AM19*(1+Inputs!$B$18))),AM19)))</f>
        <v>1415.081465</v>
      </c>
      <c r="AO19" s="11" t="n">
        <f aca="false">IF(AO$1&lt;Units!$P18,0,IF(AND(Units!$K18=0,AO$1=Units!$O18),Units!$R18,IF(AND(AO$1&gt;=Units!$Q18,MOD(AO$1-Units!$Q18,12)=0),IF(AND(Units!$L18=1,AO$1=Units!$Q18),IF(Units!$J18&lt;&gt;"",Units!$J18,Mkt!AO19),Inputs!$B$15*Mkt!AO19+(1-Inputs!$B$15)*MIN(Mkt!AO19,AN19*(1+Inputs!$B$18))),AN19)))</f>
        <v>1415.081465</v>
      </c>
      <c r="AP19" s="11" t="n">
        <f aca="false">IF(AP$1&lt;Units!$P18,0,IF(AND(Units!$K18=0,AP$1=Units!$O18),Units!$R18,IF(AND(AP$1&gt;=Units!$Q18,MOD(AP$1-Units!$Q18,12)=0),IF(AND(Units!$L18=1,AP$1=Units!$Q18),IF(Units!$J18&lt;&gt;"",Units!$J18,Mkt!AP19),Inputs!$B$15*Mkt!AP19+(1-Inputs!$B$15)*MIN(Mkt!AP19,AO19*(1+Inputs!$B$18))),AO19)))</f>
        <v>1415.081465</v>
      </c>
      <c r="AQ19" s="11" t="n">
        <f aca="false">IF(AQ$1&lt;Units!$P18,0,IF(AND(Units!$K18=0,AQ$1=Units!$O18),Units!$R18,IF(AND(AQ$1&gt;=Units!$Q18,MOD(AQ$1-Units!$Q18,12)=0),IF(AND(Units!$L18=1,AQ$1=Units!$Q18),IF(Units!$J18&lt;&gt;"",Units!$J18,Mkt!AQ19),Inputs!$B$15*Mkt!AQ19+(1-Inputs!$B$15)*MIN(Mkt!AQ19,AP19*(1+Inputs!$B$18))),AP19)))</f>
        <v>1415.081465</v>
      </c>
      <c r="AR19" s="11" t="n">
        <f aca="false">IF(AR$1&lt;Units!$P18,0,IF(AND(Units!$K18=0,AR$1=Units!$O18),Units!$R18,IF(AND(AR$1&gt;=Units!$Q18,MOD(AR$1-Units!$Q18,12)=0),IF(AND(Units!$L18=1,AR$1=Units!$Q18),IF(Units!$J18&lt;&gt;"",Units!$J18,Mkt!AR19),Inputs!$B$15*Mkt!AR19+(1-Inputs!$B$15)*MIN(Mkt!AR19,AQ19*(1+Inputs!$B$18))),AQ19)))</f>
        <v>1415.081465</v>
      </c>
      <c r="AS19" s="11" t="n">
        <f aca="false">IF(AS$1&lt;Units!$P18,0,IF(AND(Units!$K18=0,AS$1=Units!$O18),Units!$R18,IF(AND(AS$1&gt;=Units!$Q18,MOD(AS$1-Units!$Q18,12)=0),IF(AND(Units!$L18=1,AS$1=Units!$Q18),IF(Units!$J18&lt;&gt;"",Units!$J18,Mkt!AS19),Inputs!$B$15*Mkt!AS19+(1-Inputs!$B$15)*MIN(Mkt!AS19,AR19*(1+Inputs!$B$18))),AR19)))</f>
        <v>1415.081465</v>
      </c>
      <c r="AT19" s="11" t="n">
        <f aca="false">IF(AT$1&lt;Units!$P18,0,IF(AND(Units!$K18=0,AT$1=Units!$O18),Units!$R18,IF(AND(AT$1&gt;=Units!$Q18,MOD(AT$1-Units!$Q18,12)=0),IF(AND(Units!$L18=1,AT$1=Units!$Q18),IF(Units!$J18&lt;&gt;"",Units!$J18,Mkt!AT19),Inputs!$B$15*Mkt!AT19+(1-Inputs!$B$15)*MIN(Mkt!AT19,AS19*(1+Inputs!$B$18))),AS19)))</f>
        <v>1415.081465</v>
      </c>
      <c r="AU19" s="11" t="n">
        <f aca="false">IF(AU$1&lt;Units!$P18,0,IF(AND(Units!$K18=0,AU$1=Units!$O18),Units!$R18,IF(AND(AU$1&gt;=Units!$Q18,MOD(AU$1-Units!$Q18,12)=0),IF(AND(Units!$L18=1,AU$1=Units!$Q18),IF(Units!$J18&lt;&gt;"",Units!$J18,Mkt!AU19),Inputs!$B$15*Mkt!AU19+(1-Inputs!$B$15)*MIN(Mkt!AU19,AT19*(1+Inputs!$B$18))),AT19)))</f>
        <v>1415.081465</v>
      </c>
      <c r="AV19" s="11" t="n">
        <f aca="false">IF(AV$1&lt;Units!$P18,0,IF(AND(Units!$K18=0,AV$1=Units!$O18),Units!$R18,IF(AND(AV$1&gt;=Units!$Q18,MOD(AV$1-Units!$Q18,12)=0),IF(AND(Units!$L18=1,AV$1=Units!$Q18),IF(Units!$J18&lt;&gt;"",Units!$J18,Mkt!AV19),Inputs!$B$15*Mkt!AV19+(1-Inputs!$B$15)*MIN(Mkt!AV19,AU19*(1+Inputs!$B$18))),AU19)))</f>
        <v>1415.081465</v>
      </c>
      <c r="AW19" s="11" t="n">
        <f aca="false">IF(AW$1&lt;Units!$P18,0,IF(AND(Units!$K18=0,AW$1=Units!$O18),Units!$R18,IF(AND(AW$1&gt;=Units!$Q18,MOD(AW$1-Units!$Q18,12)=0),IF(AND(Units!$L18=1,AW$1=Units!$Q18),IF(Units!$J18&lt;&gt;"",Units!$J18,Mkt!AW19),Inputs!$B$15*Mkt!AW19+(1-Inputs!$B$15)*MIN(Mkt!AW19,AV19*(1+Inputs!$B$18))),AV19)))</f>
        <v>1415.081465</v>
      </c>
      <c r="AX19" s="11" t="n">
        <f aca="false">IF(AX$1&lt;Units!$P18,0,IF(AND(Units!$K18=0,AX$1=Units!$O18),Units!$R18,IF(AND(AX$1&gt;=Units!$Q18,MOD(AX$1-Units!$Q18,12)=0),IF(AND(Units!$L18=1,AX$1=Units!$Q18),IF(Units!$J18&lt;&gt;"",Units!$J18,Mkt!AX19),Inputs!$B$15*Mkt!AX19+(1-Inputs!$B$15)*MIN(Mkt!AX19,AW19*(1+Inputs!$B$18))),AW19)))</f>
        <v>1415.081465</v>
      </c>
      <c r="AY19" s="11" t="n">
        <f aca="false">IF(AY$1&lt;Units!$P18,0,IF(AND(Units!$K18=0,AY$1=Units!$O18),Units!$R18,IF(AND(AY$1&gt;=Units!$Q18,MOD(AY$1-Units!$Q18,12)=0),IF(AND(Units!$L18=1,AY$1=Units!$Q18),IF(Units!$J18&lt;&gt;"",Units!$J18,Mkt!AY19),Inputs!$B$15*Mkt!AY19+(1-Inputs!$B$15)*MIN(Mkt!AY19,AX19*(1+Inputs!$B$18))),AX19)))</f>
        <v>1457.53390895</v>
      </c>
      <c r="AZ19" s="11" t="n">
        <f aca="false">IF(AZ$1&lt;Units!$P18,0,IF(AND(Units!$K18=0,AZ$1=Units!$O18),Units!$R18,IF(AND(AZ$1&gt;=Units!$Q18,MOD(AZ$1-Units!$Q18,12)=0),IF(AND(Units!$L18=1,AZ$1=Units!$Q18),IF(Units!$J18&lt;&gt;"",Units!$J18,Mkt!AZ19),Inputs!$B$15*Mkt!AZ19+(1-Inputs!$B$15)*MIN(Mkt!AZ19,AY19*(1+Inputs!$B$18))),AY19)))</f>
        <v>1457.53390895</v>
      </c>
      <c r="BA19" s="11" t="n">
        <f aca="false">IF(BA$1&lt;Units!$P18,0,IF(AND(Units!$K18=0,BA$1=Units!$O18),Units!$R18,IF(AND(BA$1&gt;=Units!$Q18,MOD(BA$1-Units!$Q18,12)=0),IF(AND(Units!$L18=1,BA$1=Units!$Q18),IF(Units!$J18&lt;&gt;"",Units!$J18,Mkt!BA19),Inputs!$B$15*Mkt!BA19+(1-Inputs!$B$15)*MIN(Mkt!BA19,AZ19*(1+Inputs!$B$18))),AZ19)))</f>
        <v>1457.53390895</v>
      </c>
      <c r="BB19" s="11" t="n">
        <f aca="false">IF(BB$1&lt;Units!$P18,0,IF(AND(Units!$K18=0,BB$1=Units!$O18),Units!$R18,IF(AND(BB$1&gt;=Units!$Q18,MOD(BB$1-Units!$Q18,12)=0),IF(AND(Units!$L18=1,BB$1=Units!$Q18),IF(Units!$J18&lt;&gt;"",Units!$J18,Mkt!BB19),Inputs!$B$15*Mkt!BB19+(1-Inputs!$B$15)*MIN(Mkt!BB19,BA19*(1+Inputs!$B$18))),BA19)))</f>
        <v>1457.53390895</v>
      </c>
      <c r="BC19" s="11" t="n">
        <f aca="false">IF(BC$1&lt;Units!$P18,0,IF(AND(Units!$K18=0,BC$1=Units!$O18),Units!$R18,IF(AND(BC$1&gt;=Units!$Q18,MOD(BC$1-Units!$Q18,12)=0),IF(AND(Units!$L18=1,BC$1=Units!$Q18),IF(Units!$J18&lt;&gt;"",Units!$J18,Mkt!BC19),Inputs!$B$15*Mkt!BC19+(1-Inputs!$B$15)*MIN(Mkt!BC19,BB19*(1+Inputs!$B$18))),BB19)))</f>
        <v>1457.53390895</v>
      </c>
      <c r="BD19" s="11" t="n">
        <f aca="false">IF(BD$1&lt;Units!$P18,0,IF(AND(Units!$K18=0,BD$1=Units!$O18),Units!$R18,IF(AND(BD$1&gt;=Units!$Q18,MOD(BD$1-Units!$Q18,12)=0),IF(AND(Units!$L18=1,BD$1=Units!$Q18),IF(Units!$J18&lt;&gt;"",Units!$J18,Mkt!BD19),Inputs!$B$15*Mkt!BD19+(1-Inputs!$B$15)*MIN(Mkt!BD19,BC19*(1+Inputs!$B$18))),BC19)))</f>
        <v>1457.53390895</v>
      </c>
      <c r="BE19" s="11" t="n">
        <f aca="false">IF(BE$1&lt;Units!$P18,0,IF(AND(Units!$K18=0,BE$1=Units!$O18),Units!$R18,IF(AND(BE$1&gt;=Units!$Q18,MOD(BE$1-Units!$Q18,12)=0),IF(AND(Units!$L18=1,BE$1=Units!$Q18),IF(Units!$J18&lt;&gt;"",Units!$J18,Mkt!BE19),Inputs!$B$15*Mkt!BE19+(1-Inputs!$B$15)*MIN(Mkt!BE19,BD19*(1+Inputs!$B$18))),BD19)))</f>
        <v>1457.53390895</v>
      </c>
      <c r="BF19" s="11" t="n">
        <f aca="false">IF(BF$1&lt;Units!$P18,0,IF(AND(Units!$K18=0,BF$1=Units!$O18),Units!$R18,IF(AND(BF$1&gt;=Units!$Q18,MOD(BF$1-Units!$Q18,12)=0),IF(AND(Units!$L18=1,BF$1=Units!$Q18),IF(Units!$J18&lt;&gt;"",Units!$J18,Mkt!BF19),Inputs!$B$15*Mkt!BF19+(1-Inputs!$B$15)*MIN(Mkt!BF19,BE19*(1+Inputs!$B$18))),BE19)))</f>
        <v>1457.53390895</v>
      </c>
      <c r="BG19" s="11" t="n">
        <f aca="false">IF(BG$1&lt;Units!$P18,0,IF(AND(Units!$K18=0,BG$1=Units!$O18),Units!$R18,IF(AND(BG$1&gt;=Units!$Q18,MOD(BG$1-Units!$Q18,12)=0),IF(AND(Units!$L18=1,BG$1=Units!$Q18),IF(Units!$J18&lt;&gt;"",Units!$J18,Mkt!BG19),Inputs!$B$15*Mkt!BG19+(1-Inputs!$B$15)*MIN(Mkt!BG19,BF19*(1+Inputs!$B$18))),BF19)))</f>
        <v>1457.53390895</v>
      </c>
      <c r="BH19" s="11" t="n">
        <f aca="false">IF(BH$1&lt;Units!$P18,0,IF(AND(Units!$K18=0,BH$1=Units!$O18),Units!$R18,IF(AND(BH$1&gt;=Units!$Q18,MOD(BH$1-Units!$Q18,12)=0),IF(AND(Units!$L18=1,BH$1=Units!$Q18),IF(Units!$J18&lt;&gt;"",Units!$J18,Mkt!BH19),Inputs!$B$15*Mkt!BH19+(1-Inputs!$B$15)*MIN(Mkt!BH19,BG19*(1+Inputs!$B$18))),BG19)))</f>
        <v>1457.53390895</v>
      </c>
      <c r="BI19" s="11" t="n">
        <f aca="false">IF(BI$1&lt;Units!$P18,0,IF(AND(Units!$K18=0,BI$1=Units!$O18),Units!$R18,IF(AND(BI$1&gt;=Units!$Q18,MOD(BI$1-Units!$Q18,12)=0),IF(AND(Units!$L18=1,BI$1=Units!$Q18),IF(Units!$J18&lt;&gt;"",Units!$J18,Mkt!BI19),Inputs!$B$15*Mkt!BI19+(1-Inputs!$B$15)*MIN(Mkt!BI19,BH19*(1+Inputs!$B$18))),BH19)))</f>
        <v>1457.53390895</v>
      </c>
      <c r="BJ19" s="11" t="n">
        <f aca="false">IF(BJ$1&lt;Units!$P18,0,IF(AND(Units!$K18=0,BJ$1=Units!$O18),Units!$R18,IF(AND(BJ$1&gt;=Units!$Q18,MOD(BJ$1-Units!$Q18,12)=0),IF(AND(Units!$L18=1,BJ$1=Units!$Q18),IF(Units!$J18&lt;&gt;"",Units!$J18,Mkt!BJ19),Inputs!$B$15*Mkt!BJ19+(1-Inputs!$B$15)*MIN(Mkt!BJ19,BI19*(1+Inputs!$B$18))),BI19)))</f>
        <v>1457.53390895</v>
      </c>
      <c r="BK19" s="11" t="n">
        <f aca="false">IF(BK$1&lt;Units!$P18,0,IF(AND(Units!$K18=0,BK$1=Units!$O18),Units!$R18,IF(AND(BK$1&gt;=Units!$Q18,MOD(BK$1-Units!$Q18,12)=0),IF(AND(Units!$L18=1,BK$1=Units!$Q18),IF(Units!$J18&lt;&gt;"",Units!$J18,Mkt!BK19),Inputs!$B$15*Mkt!BK19+(1-Inputs!$B$15)*MIN(Mkt!BK19,BJ19*(1+Inputs!$B$18))),BJ19)))</f>
        <v>1501.2599262185</v>
      </c>
      <c r="BL19" s="11" t="n">
        <f aca="false">IF(BL$1&lt;Units!$P18,0,IF(AND(Units!$K18=0,BL$1=Units!$O18),Units!$R18,IF(AND(BL$1&gt;=Units!$Q18,MOD(BL$1-Units!$Q18,12)=0),IF(AND(Units!$L18=1,BL$1=Units!$Q18),IF(Units!$J18&lt;&gt;"",Units!$J18,Mkt!BL19),Inputs!$B$15*Mkt!BL19+(1-Inputs!$B$15)*MIN(Mkt!BL19,BK19*(1+Inputs!$B$18))),BK19)))</f>
        <v>1501.2599262185</v>
      </c>
      <c r="BM19" s="11" t="n">
        <f aca="false">IF(BM$1&lt;Units!$P18,0,IF(AND(Units!$K18=0,BM$1=Units!$O18),Units!$R18,IF(AND(BM$1&gt;=Units!$Q18,MOD(BM$1-Units!$Q18,12)=0),IF(AND(Units!$L18=1,BM$1=Units!$Q18),IF(Units!$J18&lt;&gt;"",Units!$J18,Mkt!BM19),Inputs!$B$15*Mkt!BM19+(1-Inputs!$B$15)*MIN(Mkt!BM19,BL19*(1+Inputs!$B$18))),BL19)))</f>
        <v>1501.2599262185</v>
      </c>
      <c r="BN19" s="11" t="n">
        <f aca="false">IF(BN$1&lt;Units!$P18,0,IF(AND(Units!$K18=0,BN$1=Units!$O18),Units!$R18,IF(AND(BN$1&gt;=Units!$Q18,MOD(BN$1-Units!$Q18,12)=0),IF(AND(Units!$L18=1,BN$1=Units!$Q18),IF(Units!$J18&lt;&gt;"",Units!$J18,Mkt!BN19),Inputs!$B$15*Mkt!BN19+(1-Inputs!$B$15)*MIN(Mkt!BN19,BM19*(1+Inputs!$B$18))),BM19)))</f>
        <v>1501.2599262185</v>
      </c>
      <c r="BO19" s="11" t="n">
        <f aca="false">IF(BO$1&lt;Units!$P18,0,IF(AND(Units!$K18=0,BO$1=Units!$O18),Units!$R18,IF(AND(BO$1&gt;=Units!$Q18,MOD(BO$1-Units!$Q18,12)=0),IF(AND(Units!$L18=1,BO$1=Units!$Q18),IF(Units!$J18&lt;&gt;"",Units!$J18,Mkt!BO19),Inputs!$B$15*Mkt!BO19+(1-Inputs!$B$15)*MIN(Mkt!BO19,BN19*(1+Inputs!$B$18))),BN19)))</f>
        <v>1501.2599262185</v>
      </c>
      <c r="BP19" s="11" t="n">
        <f aca="false">IF(BP$1&lt;Units!$P18,0,IF(AND(Units!$K18=0,BP$1=Units!$O18),Units!$R18,IF(AND(BP$1&gt;=Units!$Q18,MOD(BP$1-Units!$Q18,12)=0),IF(AND(Units!$L18=1,BP$1=Units!$Q18),IF(Units!$J18&lt;&gt;"",Units!$J18,Mkt!BP19),Inputs!$B$15*Mkt!BP19+(1-Inputs!$B$15)*MIN(Mkt!BP19,BO19*(1+Inputs!$B$18))),BO19)))</f>
        <v>1501.2599262185</v>
      </c>
      <c r="BQ19" s="11" t="n">
        <f aca="false">IF(BQ$1&lt;Units!$P18,0,IF(AND(Units!$K18=0,BQ$1=Units!$O18),Units!$R18,IF(AND(BQ$1&gt;=Units!$Q18,MOD(BQ$1-Units!$Q18,12)=0),IF(AND(Units!$L18=1,BQ$1=Units!$Q18),IF(Units!$J18&lt;&gt;"",Units!$J18,Mkt!BQ19),Inputs!$B$15*Mkt!BQ19+(1-Inputs!$B$15)*MIN(Mkt!BQ19,BP19*(1+Inputs!$B$18))),BP19)))</f>
        <v>1501.2599262185</v>
      </c>
      <c r="BR19" s="11" t="n">
        <f aca="false">IF(BR$1&lt;Units!$P18,0,IF(AND(Units!$K18=0,BR$1=Units!$O18),Units!$R18,IF(AND(BR$1&gt;=Units!$Q18,MOD(BR$1-Units!$Q18,12)=0),IF(AND(Units!$L18=1,BR$1=Units!$Q18),IF(Units!$J18&lt;&gt;"",Units!$J18,Mkt!BR19),Inputs!$B$15*Mkt!BR19+(1-Inputs!$B$15)*MIN(Mkt!BR19,BQ19*(1+Inputs!$B$18))),BQ19)))</f>
        <v>1501.2599262185</v>
      </c>
      <c r="BS19" s="11" t="n">
        <f aca="false">IF(BS$1&lt;Units!$P18,0,IF(AND(Units!$K18=0,BS$1=Units!$O18),Units!$R18,IF(AND(BS$1&gt;=Units!$Q18,MOD(BS$1-Units!$Q18,12)=0),IF(AND(Units!$L18=1,BS$1=Units!$Q18),IF(Units!$J18&lt;&gt;"",Units!$J18,Mkt!BS19),Inputs!$B$15*Mkt!BS19+(1-Inputs!$B$15)*MIN(Mkt!BS19,BR19*(1+Inputs!$B$18))),BR19)))</f>
        <v>1501.2599262185</v>
      </c>
      <c r="BT19" s="11" t="n">
        <f aca="false">IF(BT$1&lt;Units!$P18,0,IF(AND(Units!$K18=0,BT$1=Units!$O18),Units!$R18,IF(AND(BT$1&gt;=Units!$Q18,MOD(BT$1-Units!$Q18,12)=0),IF(AND(Units!$L18=1,BT$1=Units!$Q18),IF(Units!$J18&lt;&gt;"",Units!$J18,Mkt!BT19),Inputs!$B$15*Mkt!BT19+(1-Inputs!$B$15)*MIN(Mkt!BT19,BS19*(1+Inputs!$B$18))),BS19)))</f>
        <v>1501.2599262185</v>
      </c>
      <c r="BU19" s="11" t="n">
        <f aca="false">IF(BU$1&lt;Units!$P18,0,IF(AND(Units!$K18=0,BU$1=Units!$O18),Units!$R18,IF(AND(BU$1&gt;=Units!$Q18,MOD(BU$1-Units!$Q18,12)=0),IF(AND(Units!$L18=1,BU$1=Units!$Q18),IF(Units!$J18&lt;&gt;"",Units!$J18,Mkt!BU19),Inputs!$B$15*Mkt!BU19+(1-Inputs!$B$15)*MIN(Mkt!BU19,BT19*(1+Inputs!$B$18))),BT19)))</f>
        <v>1501.2599262185</v>
      </c>
      <c r="BV19" s="11" t="n">
        <f aca="false">IF(BV$1&lt;Units!$P18,0,IF(AND(Units!$K18=0,BV$1=Units!$O18),Units!$R18,IF(AND(BV$1&gt;=Units!$Q18,MOD(BV$1-Units!$Q18,12)=0),IF(AND(Units!$L18=1,BV$1=Units!$Q18),IF(Units!$J18&lt;&gt;"",Units!$J18,Mkt!BV19),Inputs!$B$15*Mkt!BV19+(1-Inputs!$B$15)*MIN(Mkt!BV19,BU19*(1+Inputs!$B$18))),BU19)))</f>
        <v>1501.2599262185</v>
      </c>
      <c r="BW19" s="11" t="n">
        <f aca="false">IF(BW$1&lt;Units!$P18,0,IF(AND(Units!$K18=0,BW$1=Units!$O18),Units!$R18,IF(AND(BW$1&gt;=Units!$Q18,MOD(BW$1-Units!$Q18,12)=0),IF(AND(Units!$L18=1,BW$1=Units!$Q18),IF(Units!$J18&lt;&gt;"",Units!$J18,Mkt!BW19),Inputs!$B$15*Mkt!BW19+(1-Inputs!$B$15)*MIN(Mkt!BW19,BV19*(1+Inputs!$B$18))),BV19)))</f>
        <v>1546.29772400506</v>
      </c>
      <c r="BX19" s="11" t="n">
        <f aca="false">IF(BX$1&lt;Units!$P18,0,IF(AND(Units!$K18=0,BX$1=Units!$O18),Units!$R18,IF(AND(BX$1&gt;=Units!$Q18,MOD(BX$1-Units!$Q18,12)=0),IF(AND(Units!$L18=1,BX$1=Units!$Q18),IF(Units!$J18&lt;&gt;"",Units!$J18,Mkt!BX19),Inputs!$B$15*Mkt!BX19+(1-Inputs!$B$15)*MIN(Mkt!BX19,BW19*(1+Inputs!$B$18))),BW19)))</f>
        <v>1546.29772400506</v>
      </c>
      <c r="BY19" s="11" t="n">
        <f aca="false">IF(BY$1&lt;Units!$P18,0,IF(AND(Units!$K18=0,BY$1=Units!$O18),Units!$R18,IF(AND(BY$1&gt;=Units!$Q18,MOD(BY$1-Units!$Q18,12)=0),IF(AND(Units!$L18=1,BY$1=Units!$Q18),IF(Units!$J18&lt;&gt;"",Units!$J18,Mkt!BY19),Inputs!$B$15*Mkt!BY19+(1-Inputs!$B$15)*MIN(Mkt!BY19,BX19*(1+Inputs!$B$18))),BX19)))</f>
        <v>1546.29772400506</v>
      </c>
      <c r="BZ19" s="11" t="n">
        <f aca="false">IF(BZ$1&lt;Units!$P18,0,IF(AND(Units!$K18=0,BZ$1=Units!$O18),Units!$R18,IF(AND(BZ$1&gt;=Units!$Q18,MOD(BZ$1-Units!$Q18,12)=0),IF(AND(Units!$L18=1,BZ$1=Units!$Q18),IF(Units!$J18&lt;&gt;"",Units!$J18,Mkt!BZ19),Inputs!$B$15*Mkt!BZ19+(1-Inputs!$B$15)*MIN(Mkt!BZ19,BY19*(1+Inputs!$B$18))),BY19)))</f>
        <v>1546.29772400506</v>
      </c>
      <c r="CA19" s="11" t="n">
        <f aca="false">IF(CA$1&lt;Units!$P18,0,IF(AND(Units!$K18=0,CA$1=Units!$O18),Units!$R18,IF(AND(CA$1&gt;=Units!$Q18,MOD(CA$1-Units!$Q18,12)=0),IF(AND(Units!$L18=1,CA$1=Units!$Q18),IF(Units!$J18&lt;&gt;"",Units!$J18,Mkt!CA19),Inputs!$B$15*Mkt!CA19+(1-Inputs!$B$15)*MIN(Mkt!CA19,BZ19*(1+Inputs!$B$18))),BZ19)))</f>
        <v>1546.29772400506</v>
      </c>
      <c r="CB19" s="11" t="n">
        <f aca="false">IF(CB$1&lt;Units!$P18,0,IF(AND(Units!$K18=0,CB$1=Units!$O18),Units!$R18,IF(AND(CB$1&gt;=Units!$Q18,MOD(CB$1-Units!$Q18,12)=0),IF(AND(Units!$L18=1,CB$1=Units!$Q18),IF(Units!$J18&lt;&gt;"",Units!$J18,Mkt!CB19),Inputs!$B$15*Mkt!CB19+(1-Inputs!$B$15)*MIN(Mkt!CB19,CA19*(1+Inputs!$B$18))),CA19)))</f>
        <v>1546.29772400506</v>
      </c>
      <c r="CC19" s="11" t="n">
        <f aca="false">IF(CC$1&lt;Units!$P18,0,IF(AND(Units!$K18=0,CC$1=Units!$O18),Units!$R18,IF(AND(CC$1&gt;=Units!$Q18,MOD(CC$1-Units!$Q18,12)=0),IF(AND(Units!$L18=1,CC$1=Units!$Q18),IF(Units!$J18&lt;&gt;"",Units!$J18,Mkt!CC19),Inputs!$B$15*Mkt!CC19+(1-Inputs!$B$15)*MIN(Mkt!CC19,CB19*(1+Inputs!$B$18))),CB19)))</f>
        <v>1546.29772400506</v>
      </c>
      <c r="CD19" s="11" t="n">
        <f aca="false">IF(CD$1&lt;Units!$P18,0,IF(AND(Units!$K18=0,CD$1=Units!$O18),Units!$R18,IF(AND(CD$1&gt;=Units!$Q18,MOD(CD$1-Units!$Q18,12)=0),IF(AND(Units!$L18=1,CD$1=Units!$Q18),IF(Units!$J18&lt;&gt;"",Units!$J18,Mkt!CD19),Inputs!$B$15*Mkt!CD19+(1-Inputs!$B$15)*MIN(Mkt!CD19,CC19*(1+Inputs!$B$18))),CC19)))</f>
        <v>1546.29772400506</v>
      </c>
      <c r="CE19" s="11" t="n">
        <f aca="false">IF(CE$1&lt;Units!$P18,0,IF(AND(Units!$K18=0,CE$1=Units!$O18),Units!$R18,IF(AND(CE$1&gt;=Units!$Q18,MOD(CE$1-Units!$Q18,12)=0),IF(AND(Units!$L18=1,CE$1=Units!$Q18),IF(Units!$J18&lt;&gt;"",Units!$J18,Mkt!CE19),Inputs!$B$15*Mkt!CE19+(1-Inputs!$B$15)*MIN(Mkt!CE19,CD19*(1+Inputs!$B$18))),CD19)))</f>
        <v>1546.29772400506</v>
      </c>
      <c r="CF19" s="11" t="n">
        <f aca="false">IF(CF$1&lt;Units!$P18,0,IF(AND(Units!$K18=0,CF$1=Units!$O18),Units!$R18,IF(AND(CF$1&gt;=Units!$Q18,MOD(CF$1-Units!$Q18,12)=0),IF(AND(Units!$L18=1,CF$1=Units!$Q18),IF(Units!$J18&lt;&gt;"",Units!$J18,Mkt!CF19),Inputs!$B$15*Mkt!CF19+(1-Inputs!$B$15)*MIN(Mkt!CF19,CE19*(1+Inputs!$B$18))),CE19)))</f>
        <v>1546.29772400506</v>
      </c>
      <c r="CG19" s="11" t="n">
        <f aca="false">IF(CG$1&lt;Units!$P18,0,IF(AND(Units!$K18=0,CG$1=Units!$O18),Units!$R18,IF(AND(CG$1&gt;=Units!$Q18,MOD(CG$1-Units!$Q18,12)=0),IF(AND(Units!$L18=1,CG$1=Units!$Q18),IF(Units!$J18&lt;&gt;"",Units!$J18,Mkt!CG19),Inputs!$B$15*Mkt!CG19+(1-Inputs!$B$15)*MIN(Mkt!CG19,CF19*(1+Inputs!$B$18))),CF19)))</f>
        <v>1546.29772400506</v>
      </c>
      <c r="CH19" s="11" t="n">
        <f aca="false">IF(CH$1&lt;Units!$P18,0,IF(AND(Units!$K18=0,CH$1=Units!$O18),Units!$R18,IF(AND(CH$1&gt;=Units!$Q18,MOD(CH$1-Units!$Q18,12)=0),IF(AND(Units!$L18=1,CH$1=Units!$Q18),IF(Units!$J18&lt;&gt;"",Units!$J18,Mkt!CH19),Inputs!$B$15*Mkt!CH19+(1-Inputs!$B$15)*MIN(Mkt!CH19,CG19*(1+Inputs!$B$18))),CG19)))</f>
        <v>1546.29772400506</v>
      </c>
      <c r="CI19" s="11" t="n">
        <f aca="false">IF(CI$1&lt;Units!$P18,0,IF(AND(Units!$K18=0,CI$1=Units!$O18),Units!$R18,IF(AND(CI$1&gt;=Units!$Q18,MOD(CI$1-Units!$Q18,12)=0),IF(AND(Units!$L18=1,CI$1=Units!$Q18),IF(Units!$J18&lt;&gt;"",Units!$J18,Mkt!CI19),Inputs!$B$15*Mkt!CI19+(1-Inputs!$B$15)*MIN(Mkt!CI19,CH19*(1+Inputs!$B$18))),CH19)))</f>
        <v>1592.68665572521</v>
      </c>
      <c r="CJ19" s="11" t="n">
        <f aca="false">IF(CJ$1&lt;Units!$P18,0,IF(AND(Units!$K18=0,CJ$1=Units!$O18),Units!$R18,IF(AND(CJ$1&gt;=Units!$Q18,MOD(CJ$1-Units!$Q18,12)=0),IF(AND(Units!$L18=1,CJ$1=Units!$Q18),IF(Units!$J18&lt;&gt;"",Units!$J18,Mkt!CJ19),Inputs!$B$15*Mkt!CJ19+(1-Inputs!$B$15)*MIN(Mkt!CJ19,CI19*(1+Inputs!$B$18))),CI19)))</f>
        <v>1592.68665572521</v>
      </c>
      <c r="CK19" s="11" t="n">
        <f aca="false">IF(CK$1&lt;Units!$P18,0,IF(AND(Units!$K18=0,CK$1=Units!$O18),Units!$R18,IF(AND(CK$1&gt;=Units!$Q18,MOD(CK$1-Units!$Q18,12)=0),IF(AND(Units!$L18=1,CK$1=Units!$Q18),IF(Units!$J18&lt;&gt;"",Units!$J18,Mkt!CK19),Inputs!$B$15*Mkt!CK19+(1-Inputs!$B$15)*MIN(Mkt!CK19,CJ19*(1+Inputs!$B$18))),CJ19)))</f>
        <v>1592.68665572521</v>
      </c>
      <c r="CL19" s="11" t="n">
        <f aca="false">IF(CL$1&lt;Units!$P18,0,IF(AND(Units!$K18=0,CL$1=Units!$O18),Units!$R18,IF(AND(CL$1&gt;=Units!$Q18,MOD(CL$1-Units!$Q18,12)=0),IF(AND(Units!$L18=1,CL$1=Units!$Q18),IF(Units!$J18&lt;&gt;"",Units!$J18,Mkt!CL19),Inputs!$B$15*Mkt!CL19+(1-Inputs!$B$15)*MIN(Mkt!CL19,CK19*(1+Inputs!$B$18))),CK19)))</f>
        <v>1592.68665572521</v>
      </c>
      <c r="CM19" s="11" t="n">
        <f aca="false">IF(CM$1&lt;Units!$P18,0,IF(AND(Units!$K18=0,CM$1=Units!$O18),Units!$R18,IF(AND(CM$1&gt;=Units!$Q18,MOD(CM$1-Units!$Q18,12)=0),IF(AND(Units!$L18=1,CM$1=Units!$Q18),IF(Units!$J18&lt;&gt;"",Units!$J18,Mkt!CM19),Inputs!$B$15*Mkt!CM19+(1-Inputs!$B$15)*MIN(Mkt!CM19,CL19*(1+Inputs!$B$18))),CL19)))</f>
        <v>1592.68665572521</v>
      </c>
      <c r="CN19" s="11" t="n">
        <f aca="false">IF(CN$1&lt;Units!$P18,0,IF(AND(Units!$K18=0,CN$1=Units!$O18),Units!$R18,IF(AND(CN$1&gt;=Units!$Q18,MOD(CN$1-Units!$Q18,12)=0),IF(AND(Units!$L18=1,CN$1=Units!$Q18),IF(Units!$J18&lt;&gt;"",Units!$J18,Mkt!CN19),Inputs!$B$15*Mkt!CN19+(1-Inputs!$B$15)*MIN(Mkt!CN19,CM19*(1+Inputs!$B$18))),CM19)))</f>
        <v>1592.68665572521</v>
      </c>
      <c r="CO19" s="11" t="n">
        <f aca="false">IF(CO$1&lt;Units!$P18,0,IF(AND(Units!$K18=0,CO$1=Units!$O18),Units!$R18,IF(AND(CO$1&gt;=Units!$Q18,MOD(CO$1-Units!$Q18,12)=0),IF(AND(Units!$L18=1,CO$1=Units!$Q18),IF(Units!$J18&lt;&gt;"",Units!$J18,Mkt!CO19),Inputs!$B$15*Mkt!CO19+(1-Inputs!$B$15)*MIN(Mkt!CO19,CN19*(1+Inputs!$B$18))),CN19)))</f>
        <v>1592.68665572521</v>
      </c>
      <c r="CP19" s="11" t="n">
        <f aca="false">IF(CP$1&lt;Units!$P18,0,IF(AND(Units!$K18=0,CP$1=Units!$O18),Units!$R18,IF(AND(CP$1&gt;=Units!$Q18,MOD(CP$1-Units!$Q18,12)=0),IF(AND(Units!$L18=1,CP$1=Units!$Q18),IF(Units!$J18&lt;&gt;"",Units!$J18,Mkt!CP19),Inputs!$B$15*Mkt!CP19+(1-Inputs!$B$15)*MIN(Mkt!CP19,CO19*(1+Inputs!$B$18))),CO19)))</f>
        <v>1592.68665572521</v>
      </c>
      <c r="CQ19" s="11" t="n">
        <f aca="false">IF(CQ$1&lt;Units!$P18,0,IF(AND(Units!$K18=0,CQ$1=Units!$O18),Units!$R18,IF(AND(CQ$1&gt;=Units!$Q18,MOD(CQ$1-Units!$Q18,12)=0),IF(AND(Units!$L18=1,CQ$1=Units!$Q18),IF(Units!$J18&lt;&gt;"",Units!$J18,Mkt!CQ19),Inputs!$B$15*Mkt!CQ19+(1-Inputs!$B$15)*MIN(Mkt!CQ19,CP19*(1+Inputs!$B$18))),CP19)))</f>
        <v>1592.68665572521</v>
      </c>
      <c r="CR19" s="11" t="n">
        <f aca="false">IF(CR$1&lt;Units!$P18,0,IF(AND(Units!$K18=0,CR$1=Units!$O18),Units!$R18,IF(AND(CR$1&gt;=Units!$Q18,MOD(CR$1-Units!$Q18,12)=0),IF(AND(Units!$L18=1,CR$1=Units!$Q18),IF(Units!$J18&lt;&gt;"",Units!$J18,Mkt!CR19),Inputs!$B$15*Mkt!CR19+(1-Inputs!$B$15)*MIN(Mkt!CR19,CQ19*(1+Inputs!$B$18))),CQ19)))</f>
        <v>1592.68665572521</v>
      </c>
      <c r="CS19" s="11" t="n">
        <f aca="false">IF(CS$1&lt;Units!$P18,0,IF(AND(Units!$K18=0,CS$1=Units!$O18),Units!$R18,IF(AND(CS$1&gt;=Units!$Q18,MOD(CS$1-Units!$Q18,12)=0),IF(AND(Units!$L18=1,CS$1=Units!$Q18),IF(Units!$J18&lt;&gt;"",Units!$J18,Mkt!CS19),Inputs!$B$15*Mkt!CS19+(1-Inputs!$B$15)*MIN(Mkt!CS19,CR19*(1+Inputs!$B$18))),CR19)))</f>
        <v>1592.68665572521</v>
      </c>
      <c r="CT19" s="11" t="n">
        <f aca="false">IF(CT$1&lt;Units!$P18,0,IF(AND(Units!$K18=0,CT$1=Units!$O18),Units!$R18,IF(AND(CT$1&gt;=Units!$Q18,MOD(CT$1-Units!$Q18,12)=0),IF(AND(Units!$L18=1,CT$1=Units!$Q18),IF(Units!$J18&lt;&gt;"",Units!$J18,Mkt!CT19),Inputs!$B$15*Mkt!CT19+(1-Inputs!$B$15)*MIN(Mkt!CT19,CS19*(1+Inputs!$B$18))),CS19)))</f>
        <v>1592.68665572521</v>
      </c>
      <c r="CU19" s="11" t="n">
        <f aca="false">IF(CU$1&lt;Units!$P18,0,IF(AND(Units!$K18=0,CU$1=Units!$O18),Units!$R18,IF(AND(CU$1&gt;=Units!$Q18,MOD(CU$1-Units!$Q18,12)=0),IF(AND(Units!$L18=1,CU$1=Units!$Q18),IF(Units!$J18&lt;&gt;"",Units!$J18,Mkt!CU19),Inputs!$B$15*Mkt!CU19+(1-Inputs!$B$15)*MIN(Mkt!CU19,CT19*(1+Inputs!$B$18))),CT19)))</f>
        <v>1640.46725539696</v>
      </c>
      <c r="CV19" s="11" t="n">
        <f aca="false">IF(CV$1&lt;Units!$P18,0,IF(AND(Units!$K18=0,CV$1=Units!$O18),Units!$R18,IF(AND(CV$1&gt;=Units!$Q18,MOD(CV$1-Units!$Q18,12)=0),IF(AND(Units!$L18=1,CV$1=Units!$Q18),IF(Units!$J18&lt;&gt;"",Units!$J18,Mkt!CV19),Inputs!$B$15*Mkt!CV19+(1-Inputs!$B$15)*MIN(Mkt!CV19,CU19*(1+Inputs!$B$18))),CU19)))</f>
        <v>1640.46725539696</v>
      </c>
      <c r="CW19" s="11" t="n">
        <f aca="false">IF(CW$1&lt;Units!$P18,0,IF(AND(Units!$K18=0,CW$1=Units!$O18),Units!$R18,IF(AND(CW$1&gt;=Units!$Q18,MOD(CW$1-Units!$Q18,12)=0),IF(AND(Units!$L18=1,CW$1=Units!$Q18),IF(Units!$J18&lt;&gt;"",Units!$J18,Mkt!CW19),Inputs!$B$15*Mkt!CW19+(1-Inputs!$B$15)*MIN(Mkt!CW19,CV19*(1+Inputs!$B$18))),CV19)))</f>
        <v>1640.46725539696</v>
      </c>
      <c r="CX19" s="11" t="n">
        <f aca="false">IF(CX$1&lt;Units!$P18,0,IF(AND(Units!$K18=0,CX$1=Units!$O18),Units!$R18,IF(AND(CX$1&gt;=Units!$Q18,MOD(CX$1-Units!$Q18,12)=0),IF(AND(Units!$L18=1,CX$1=Units!$Q18),IF(Units!$J18&lt;&gt;"",Units!$J18,Mkt!CX19),Inputs!$B$15*Mkt!CX19+(1-Inputs!$B$15)*MIN(Mkt!CX19,CW19*(1+Inputs!$B$18))),CW19)))</f>
        <v>1640.46725539696</v>
      </c>
      <c r="CY19" s="11" t="n">
        <f aca="false">IF(CY$1&lt;Units!$P18,0,IF(AND(Units!$K18=0,CY$1=Units!$O18),Units!$R18,IF(AND(CY$1&gt;=Units!$Q18,MOD(CY$1-Units!$Q18,12)=0),IF(AND(Units!$L18=1,CY$1=Units!$Q18),IF(Units!$J18&lt;&gt;"",Units!$J18,Mkt!CY19),Inputs!$B$15*Mkt!CY19+(1-Inputs!$B$15)*MIN(Mkt!CY19,CX19*(1+Inputs!$B$18))),CX19)))</f>
        <v>1640.46725539696</v>
      </c>
      <c r="CZ19" s="11" t="n">
        <f aca="false">IF(CZ$1&lt;Units!$P18,0,IF(AND(Units!$K18=0,CZ$1=Units!$O18),Units!$R18,IF(AND(CZ$1&gt;=Units!$Q18,MOD(CZ$1-Units!$Q18,12)=0),IF(AND(Units!$L18=1,CZ$1=Units!$Q18),IF(Units!$J18&lt;&gt;"",Units!$J18,Mkt!CZ19),Inputs!$B$15*Mkt!CZ19+(1-Inputs!$B$15)*MIN(Mkt!CZ19,CY19*(1+Inputs!$B$18))),CY19)))</f>
        <v>1640.46725539696</v>
      </c>
      <c r="DA19" s="11" t="n">
        <f aca="false">IF(DA$1&lt;Units!$P18,0,IF(AND(Units!$K18=0,DA$1=Units!$O18),Units!$R18,IF(AND(DA$1&gt;=Units!$Q18,MOD(DA$1-Units!$Q18,12)=0),IF(AND(Units!$L18=1,DA$1=Units!$Q18),IF(Units!$J18&lt;&gt;"",Units!$J18,Mkt!DA19),Inputs!$B$15*Mkt!DA19+(1-Inputs!$B$15)*MIN(Mkt!DA19,CZ19*(1+Inputs!$B$18))),CZ19)))</f>
        <v>1640.46725539696</v>
      </c>
      <c r="DB19" s="11" t="n">
        <f aca="false">IF(DB$1&lt;Units!$P18,0,IF(AND(Units!$K18=0,DB$1=Units!$O18),Units!$R18,IF(AND(DB$1&gt;=Units!$Q18,MOD(DB$1-Units!$Q18,12)=0),IF(AND(Units!$L18=1,DB$1=Units!$Q18),IF(Units!$J18&lt;&gt;"",Units!$J18,Mkt!DB19),Inputs!$B$15*Mkt!DB19+(1-Inputs!$B$15)*MIN(Mkt!DB19,DA19*(1+Inputs!$B$18))),DA19)))</f>
        <v>1640.46725539696</v>
      </c>
      <c r="DC19" s="11" t="n">
        <f aca="false">IF(DC$1&lt;Units!$P18,0,IF(AND(Units!$K18=0,DC$1=Units!$O18),Units!$R18,IF(AND(DC$1&gt;=Units!$Q18,MOD(DC$1-Units!$Q18,12)=0),IF(AND(Units!$L18=1,DC$1=Units!$Q18),IF(Units!$J18&lt;&gt;"",Units!$J18,Mkt!DC19),Inputs!$B$15*Mkt!DC19+(1-Inputs!$B$15)*MIN(Mkt!DC19,DB19*(1+Inputs!$B$18))),DB19)))</f>
        <v>1640.46725539696</v>
      </c>
      <c r="DD19" s="11" t="n">
        <f aca="false">IF(DD$1&lt;Units!$P18,0,IF(AND(Units!$K18=0,DD$1=Units!$O18),Units!$R18,IF(AND(DD$1&gt;=Units!$Q18,MOD(DD$1-Units!$Q18,12)=0),IF(AND(Units!$L18=1,DD$1=Units!$Q18),IF(Units!$J18&lt;&gt;"",Units!$J18,Mkt!DD19),Inputs!$B$15*Mkt!DD19+(1-Inputs!$B$15)*MIN(Mkt!DD19,DC19*(1+Inputs!$B$18))),DC19)))</f>
        <v>1640.46725539696</v>
      </c>
      <c r="DE19" s="11" t="n">
        <f aca="false">IF(DE$1&lt;Units!$P18,0,IF(AND(Units!$K18=0,DE$1=Units!$O18),Units!$R18,IF(AND(DE$1&gt;=Units!$Q18,MOD(DE$1-Units!$Q18,12)=0),IF(AND(Units!$L18=1,DE$1=Units!$Q18),IF(Units!$J18&lt;&gt;"",Units!$J18,Mkt!DE19),Inputs!$B$15*Mkt!DE19+(1-Inputs!$B$15)*MIN(Mkt!DE19,DD19*(1+Inputs!$B$18))),DD19)))</f>
        <v>1640.46725539696</v>
      </c>
      <c r="DF19" s="11" t="n">
        <f aca="false">IF(DF$1&lt;Units!$P18,0,IF(AND(Units!$K18=0,DF$1=Units!$O18),Units!$R18,IF(AND(DF$1&gt;=Units!$Q18,MOD(DF$1-Units!$Q18,12)=0),IF(AND(Units!$L18=1,DF$1=Units!$Q18),IF(Units!$J18&lt;&gt;"",Units!$J18,Mkt!DF19),Inputs!$B$15*Mkt!DF19+(1-Inputs!$B$15)*MIN(Mkt!DF19,DE19*(1+Inputs!$B$18))),DE19)))</f>
        <v>1640.46725539696</v>
      </c>
      <c r="DG19" s="11" t="n">
        <f aca="false">IF(DG$1&lt;Units!$P18,0,IF(AND(Units!$K18=0,DG$1=Units!$O18),Units!$R18,IF(AND(DG$1&gt;=Units!$Q18,MOD(DG$1-Units!$Q18,12)=0),IF(AND(Units!$L18=1,DG$1=Units!$Q18),IF(Units!$J18&lt;&gt;"",Units!$J18,Mkt!DG19),Inputs!$B$15*Mkt!DG19+(1-Inputs!$B$15)*MIN(Mkt!DG19,DF19*(1+Inputs!$B$18))),DF19)))</f>
        <v>1689.68127305887</v>
      </c>
      <c r="DH19" s="11" t="n">
        <f aca="false">IF(DH$1&lt;Units!$P18,0,IF(AND(Units!$K18=0,DH$1=Units!$O18),Units!$R18,IF(AND(DH$1&gt;=Units!$Q18,MOD(DH$1-Units!$Q18,12)=0),IF(AND(Units!$L18=1,DH$1=Units!$Q18),IF(Units!$J18&lt;&gt;"",Units!$J18,Mkt!DH19),Inputs!$B$15*Mkt!DH19+(1-Inputs!$B$15)*MIN(Mkt!DH19,DG19*(1+Inputs!$B$18))),DG19)))</f>
        <v>1689.68127305887</v>
      </c>
      <c r="DI19" s="11" t="n">
        <f aca="false">IF(DI$1&lt;Units!$P18,0,IF(AND(Units!$K18=0,DI$1=Units!$O18),Units!$R18,IF(AND(DI$1&gt;=Units!$Q18,MOD(DI$1-Units!$Q18,12)=0),IF(AND(Units!$L18=1,DI$1=Units!$Q18),IF(Units!$J18&lt;&gt;"",Units!$J18,Mkt!DI19),Inputs!$B$15*Mkt!DI19+(1-Inputs!$B$15)*MIN(Mkt!DI19,DH19*(1+Inputs!$B$18))),DH19)))</f>
        <v>1689.68127305887</v>
      </c>
      <c r="DJ19" s="11" t="n">
        <f aca="false">IF(DJ$1&lt;Units!$P18,0,IF(AND(Units!$K18=0,DJ$1=Units!$O18),Units!$R18,IF(AND(DJ$1&gt;=Units!$Q18,MOD(DJ$1-Units!$Q18,12)=0),IF(AND(Units!$L18=1,DJ$1=Units!$Q18),IF(Units!$J18&lt;&gt;"",Units!$J18,Mkt!DJ19),Inputs!$B$15*Mkt!DJ19+(1-Inputs!$B$15)*MIN(Mkt!DJ19,DI19*(1+Inputs!$B$18))),DI19)))</f>
        <v>1689.68127305887</v>
      </c>
      <c r="DK19" s="11" t="n">
        <f aca="false">IF(DK$1&lt;Units!$P18,0,IF(AND(Units!$K18=0,DK$1=Units!$O18),Units!$R18,IF(AND(DK$1&gt;=Units!$Q18,MOD(DK$1-Units!$Q18,12)=0),IF(AND(Units!$L18=1,DK$1=Units!$Q18),IF(Units!$J18&lt;&gt;"",Units!$J18,Mkt!DK19),Inputs!$B$15*Mkt!DK19+(1-Inputs!$B$15)*MIN(Mkt!DK19,DJ19*(1+Inputs!$B$18))),DJ19)))</f>
        <v>1689.68127305887</v>
      </c>
      <c r="DL19" s="11" t="n">
        <f aca="false">IF(DL$1&lt;Units!$P18,0,IF(AND(Units!$K18=0,DL$1=Units!$O18),Units!$R18,IF(AND(DL$1&gt;=Units!$Q18,MOD(DL$1-Units!$Q18,12)=0),IF(AND(Units!$L18=1,DL$1=Units!$Q18),IF(Units!$J18&lt;&gt;"",Units!$J18,Mkt!DL19),Inputs!$B$15*Mkt!DL19+(1-Inputs!$B$15)*MIN(Mkt!DL19,DK19*(1+Inputs!$B$18))),DK19)))</f>
        <v>1689.68127305887</v>
      </c>
      <c r="DM19" s="11" t="n">
        <f aca="false">IF(DM$1&lt;Units!$P18,0,IF(AND(Units!$K18=0,DM$1=Units!$O18),Units!$R18,IF(AND(DM$1&gt;=Units!$Q18,MOD(DM$1-Units!$Q18,12)=0),IF(AND(Units!$L18=1,DM$1=Units!$Q18),IF(Units!$J18&lt;&gt;"",Units!$J18,Mkt!DM19),Inputs!$B$15*Mkt!DM19+(1-Inputs!$B$15)*MIN(Mkt!DM19,DL19*(1+Inputs!$B$18))),DL19)))</f>
        <v>1689.68127305887</v>
      </c>
      <c r="DN19" s="11" t="n">
        <f aca="false">IF(DN$1&lt;Units!$P18,0,IF(AND(Units!$K18=0,DN$1=Units!$O18),Units!$R18,IF(AND(DN$1&gt;=Units!$Q18,MOD(DN$1-Units!$Q18,12)=0),IF(AND(Units!$L18=1,DN$1=Units!$Q18),IF(Units!$J18&lt;&gt;"",Units!$J18,Mkt!DN19),Inputs!$B$15*Mkt!DN19+(1-Inputs!$B$15)*MIN(Mkt!DN19,DM19*(1+Inputs!$B$18))),DM19)))</f>
        <v>1689.68127305887</v>
      </c>
      <c r="DO19" s="11" t="n">
        <f aca="false">IF(DO$1&lt;Units!$P18,0,IF(AND(Units!$K18=0,DO$1=Units!$O18),Units!$R18,IF(AND(DO$1&gt;=Units!$Q18,MOD(DO$1-Units!$Q18,12)=0),IF(AND(Units!$L18=1,DO$1=Units!$Q18),IF(Units!$J18&lt;&gt;"",Units!$J18,Mkt!DO19),Inputs!$B$15*Mkt!DO19+(1-Inputs!$B$15)*MIN(Mkt!DO19,DN19*(1+Inputs!$B$18))),DN19)))</f>
        <v>1689.68127305887</v>
      </c>
      <c r="DP19" s="11" t="n">
        <f aca="false">IF(DP$1&lt;Units!$P18,0,IF(AND(Units!$K18=0,DP$1=Units!$O18),Units!$R18,IF(AND(DP$1&gt;=Units!$Q18,MOD(DP$1-Units!$Q18,12)=0),IF(AND(Units!$L18=1,DP$1=Units!$Q18),IF(Units!$J18&lt;&gt;"",Units!$J18,Mkt!DP19),Inputs!$B$15*Mkt!DP19+(1-Inputs!$B$15)*MIN(Mkt!DP19,DO19*(1+Inputs!$B$18))),DO19)))</f>
        <v>1689.68127305887</v>
      </c>
      <c r="DQ19" s="11" t="n">
        <f aca="false">IF(DQ$1&lt;Units!$P18,0,IF(AND(Units!$K18=0,DQ$1=Units!$O18),Units!$R18,IF(AND(DQ$1&gt;=Units!$Q18,MOD(DQ$1-Units!$Q18,12)=0),IF(AND(Units!$L18=1,DQ$1=Units!$Q18),IF(Units!$J18&lt;&gt;"",Units!$J18,Mkt!DQ19),Inputs!$B$15*Mkt!DQ19+(1-Inputs!$B$15)*MIN(Mkt!DQ19,DP19*(1+Inputs!$B$18))),DP19)))</f>
        <v>1689.68127305887</v>
      </c>
      <c r="DR19" s="11" t="n">
        <f aca="false">IF(DR$1&lt;Units!$P18,0,IF(AND(Units!$K18=0,DR$1=Units!$O18),Units!$R18,IF(AND(DR$1&gt;=Units!$Q18,MOD(DR$1-Units!$Q18,12)=0),IF(AND(Units!$L18=1,DR$1=Units!$Q18),IF(Units!$J18&lt;&gt;"",Units!$J18,Mkt!DR19),Inputs!$B$15*Mkt!DR19+(1-Inputs!$B$15)*MIN(Mkt!DR19,DQ19*(1+Inputs!$B$18))),DQ19)))</f>
        <v>1689.68127305887</v>
      </c>
      <c r="DS19" s="11" t="n">
        <f aca="false">IF(DS$1&lt;Units!$P18,0,IF(AND(Units!$K18=0,DS$1=Units!$O18),Units!$R18,IF(AND(DS$1&gt;=Units!$Q18,MOD(DS$1-Units!$Q18,12)=0),IF(AND(Units!$L18=1,DS$1=Units!$Q18),IF(Units!$J18&lt;&gt;"",Units!$J18,Mkt!DS19),Inputs!$B$15*Mkt!DS19+(1-Inputs!$B$15)*MIN(Mkt!DS19,DR19*(1+Inputs!$B$18))),DR19)))</f>
        <v>1740.37171125064</v>
      </c>
      <c r="DT19" s="11" t="n">
        <f aca="false">IF(DT$1&lt;Units!$P18,0,IF(AND(Units!$K18=0,DT$1=Units!$O18),Units!$R18,IF(AND(DT$1&gt;=Units!$Q18,MOD(DT$1-Units!$Q18,12)=0),IF(AND(Units!$L18=1,DT$1=Units!$Q18),IF(Units!$J18&lt;&gt;"",Units!$J18,Mkt!DT19),Inputs!$B$15*Mkt!DT19+(1-Inputs!$B$15)*MIN(Mkt!DT19,DS19*(1+Inputs!$B$18))),DS19)))</f>
        <v>1740.37171125064</v>
      </c>
      <c r="DU19" s="11" t="n">
        <f aca="false">IF(DU$1&lt;Units!$P18,0,IF(AND(Units!$K18=0,DU$1=Units!$O18),Units!$R18,IF(AND(DU$1&gt;=Units!$Q18,MOD(DU$1-Units!$Q18,12)=0),IF(AND(Units!$L18=1,DU$1=Units!$Q18),IF(Units!$J18&lt;&gt;"",Units!$J18,Mkt!DU19),Inputs!$B$15*Mkt!DU19+(1-Inputs!$B$15)*MIN(Mkt!DU19,DT19*(1+Inputs!$B$18))),DT19)))</f>
        <v>1740.37171125064</v>
      </c>
      <c r="DV19" s="11" t="n">
        <f aca="false">IF(DV$1&lt;Units!$P18,0,IF(AND(Units!$K18=0,DV$1=Units!$O18),Units!$R18,IF(AND(DV$1&gt;=Units!$Q18,MOD(DV$1-Units!$Q18,12)=0),IF(AND(Units!$L18=1,DV$1=Units!$Q18),IF(Units!$J18&lt;&gt;"",Units!$J18,Mkt!DV19),Inputs!$B$15*Mkt!DV19+(1-Inputs!$B$15)*MIN(Mkt!DV19,DU19*(1+Inputs!$B$18))),DU19)))</f>
        <v>1740.37171125064</v>
      </c>
      <c r="DW19" s="11" t="n">
        <f aca="false">IF(DW$1&lt;Units!$P18,0,IF(AND(Units!$K18=0,DW$1=Units!$O18),Units!$R18,IF(AND(DW$1&gt;=Units!$Q18,MOD(DW$1-Units!$Q18,12)=0),IF(AND(Units!$L18=1,DW$1=Units!$Q18),IF(Units!$J18&lt;&gt;"",Units!$J18,Mkt!DW19),Inputs!$B$15*Mkt!DW19+(1-Inputs!$B$15)*MIN(Mkt!DW19,DV19*(1+Inputs!$B$18))),DV19)))</f>
        <v>1740.37171125064</v>
      </c>
      <c r="DX19" s="11" t="n">
        <f aca="false">IF(DX$1&lt;Units!$P18,0,IF(AND(Units!$K18=0,DX$1=Units!$O18),Units!$R18,IF(AND(DX$1&gt;=Units!$Q18,MOD(DX$1-Units!$Q18,12)=0),IF(AND(Units!$L18=1,DX$1=Units!$Q18),IF(Units!$J18&lt;&gt;"",Units!$J18,Mkt!DX19),Inputs!$B$15*Mkt!DX19+(1-Inputs!$B$15)*MIN(Mkt!DX19,DW19*(1+Inputs!$B$18))),DW19)))</f>
        <v>1740.37171125064</v>
      </c>
      <c r="DY19" s="11" t="n">
        <f aca="false">IF(DY$1&lt;Units!$P18,0,IF(AND(Units!$K18=0,DY$1=Units!$O18),Units!$R18,IF(AND(DY$1&gt;=Units!$Q18,MOD(DY$1-Units!$Q18,12)=0),IF(AND(Units!$L18=1,DY$1=Units!$Q18),IF(Units!$J18&lt;&gt;"",Units!$J18,Mkt!DY19),Inputs!$B$15*Mkt!DY19+(1-Inputs!$B$15)*MIN(Mkt!DY19,DX19*(1+Inputs!$B$18))),DX19)))</f>
        <v>1740.37171125064</v>
      </c>
      <c r="DZ19" s="11" t="n">
        <f aca="false">IF(DZ$1&lt;Units!$P18,0,IF(AND(Units!$K18=0,DZ$1=Units!$O18),Units!$R18,IF(AND(DZ$1&gt;=Units!$Q18,MOD(DZ$1-Units!$Q18,12)=0),IF(AND(Units!$L18=1,DZ$1=Units!$Q18),IF(Units!$J18&lt;&gt;"",Units!$J18,Mkt!DZ19),Inputs!$B$15*Mkt!DZ19+(1-Inputs!$B$15)*MIN(Mkt!DZ19,DY19*(1+Inputs!$B$18))),DY19)))</f>
        <v>1740.37171125064</v>
      </c>
      <c r="EA19" s="11" t="n">
        <f aca="false">IF(EA$1&lt;Units!$P18,0,IF(AND(Units!$K18=0,EA$1=Units!$O18),Units!$R18,IF(AND(EA$1&gt;=Units!$Q18,MOD(EA$1-Units!$Q18,12)=0),IF(AND(Units!$L18=1,EA$1=Units!$Q18),IF(Units!$J18&lt;&gt;"",Units!$J18,Mkt!EA19),Inputs!$B$15*Mkt!EA19+(1-Inputs!$B$15)*MIN(Mkt!EA19,DZ19*(1+Inputs!$B$18))),DZ19)))</f>
        <v>1740.37171125064</v>
      </c>
      <c r="EB19" s="11" t="n">
        <f aca="false">IF(EB$1&lt;Units!$P18,0,IF(AND(Units!$K18=0,EB$1=Units!$O18),Units!$R18,IF(AND(EB$1&gt;=Units!$Q18,MOD(EB$1-Units!$Q18,12)=0),IF(AND(Units!$L18=1,EB$1=Units!$Q18),IF(Units!$J18&lt;&gt;"",Units!$J18,Mkt!EB19),Inputs!$B$15*Mkt!EB19+(1-Inputs!$B$15)*MIN(Mkt!EB19,EA19*(1+Inputs!$B$18))),EA19)))</f>
        <v>1740.37171125064</v>
      </c>
      <c r="EC19" s="11" t="n">
        <f aca="false">IF(EC$1&lt;Units!$P18,0,IF(AND(Units!$K18=0,EC$1=Units!$O18),Units!$R18,IF(AND(EC$1&gt;=Units!$Q18,MOD(EC$1-Units!$Q18,12)=0),IF(AND(Units!$L18=1,EC$1=Units!$Q18),IF(Units!$J18&lt;&gt;"",Units!$J18,Mkt!EC19),Inputs!$B$15*Mkt!EC19+(1-Inputs!$B$15)*MIN(Mkt!EC19,EB19*(1+Inputs!$B$18))),EB19)))</f>
        <v>1740.37171125064</v>
      </c>
      <c r="ED19" s="11" t="n">
        <f aca="false">IF(ED$1&lt;Units!$P18,0,IF(AND(Units!$K18=0,ED$1=Units!$O18),Units!$R18,IF(AND(ED$1&gt;=Units!$Q18,MOD(ED$1-Units!$Q18,12)=0),IF(AND(Units!$L18=1,ED$1=Units!$Q18),IF(Units!$J18&lt;&gt;"",Units!$J18,Mkt!ED19),Inputs!$B$15*Mkt!ED19+(1-Inputs!$B$15)*MIN(Mkt!ED19,EC19*(1+Inputs!$B$18))),EC19)))</f>
        <v>1740.37171125064</v>
      </c>
    </row>
    <row r="20" customFormat="false" ht="15" hidden="false" customHeight="false" outlineLevel="0" collapsed="false">
      <c r="A20" s="22" t="n">
        <f aca="false">Units!A19</f>
        <v>118</v>
      </c>
      <c r="B20" s="24" t="n">
        <f aca="false">IF(Units!K19=1,Units!F19,0)</f>
        <v>1225</v>
      </c>
      <c r="C20" s="11" t="n">
        <f aca="false">IF(C$1&lt;Units!$P19,0,IF(AND(Units!$K19=0,C$1=Units!$O19),Units!$R19,IF(AND(C$1&gt;=Units!$Q19,MOD(C$1-Units!$Q19,12)=0),IF(AND(Units!$L19=1,C$1=Units!$Q19),IF(Units!$J19&lt;&gt;"",Units!$J19,Mkt!C20),Inputs!$B$15*Mkt!C20+(1-Inputs!$B$15)*MIN(Mkt!C20,B20*(1+Inputs!$B$18))),B20)))</f>
        <v>1225</v>
      </c>
      <c r="D20" s="11" t="n">
        <f aca="false">IF(D$1&lt;Units!$P19,0,IF(AND(Units!$K19=0,D$1=Units!$O19),Units!$R19,IF(AND(D$1&gt;=Units!$Q19,MOD(D$1-Units!$Q19,12)=0),IF(AND(Units!$L19=1,D$1=Units!$Q19),IF(Units!$J19&lt;&gt;"",Units!$J19,Mkt!D20),Inputs!$B$15*Mkt!D20+(1-Inputs!$B$15)*MIN(Mkt!D20,C20*(1+Inputs!$B$18))),C20)))</f>
        <v>1225</v>
      </c>
      <c r="E20" s="11" t="n">
        <f aca="false">IF(E$1&lt;Units!$P19,0,IF(AND(Units!$K19=0,E$1=Units!$O19),Units!$R19,IF(AND(E$1&gt;=Units!$Q19,MOD(E$1-Units!$Q19,12)=0),IF(AND(Units!$L19=1,E$1=Units!$Q19),IF(Units!$J19&lt;&gt;"",Units!$J19,Mkt!E20),Inputs!$B$15*Mkt!E20+(1-Inputs!$B$15)*MIN(Mkt!E20,D20*(1+Inputs!$B$18))),D20)))</f>
        <v>1225</v>
      </c>
      <c r="F20" s="11" t="n">
        <f aca="false">IF(F$1&lt;Units!$P19,0,IF(AND(Units!$K19=0,F$1=Units!$O19),Units!$R19,IF(AND(F$1&gt;=Units!$Q19,MOD(F$1-Units!$Q19,12)=0),IF(AND(Units!$L19=1,F$1=Units!$Q19),IF(Units!$J19&lt;&gt;"",Units!$J19,Mkt!F20),Inputs!$B$15*Mkt!F20+(1-Inputs!$B$15)*MIN(Mkt!F20,E20*(1+Inputs!$B$18))),E20)))</f>
        <v>1225</v>
      </c>
      <c r="G20" s="11" t="n">
        <f aca="false">IF(G$1&lt;Units!$P19,0,IF(AND(Units!$K19=0,G$1=Units!$O19),Units!$R19,IF(AND(G$1&gt;=Units!$Q19,MOD(G$1-Units!$Q19,12)=0),IF(AND(Units!$L19=1,G$1=Units!$Q19),IF(Units!$J19&lt;&gt;"",Units!$J19,Mkt!G20),Inputs!$B$15*Mkt!G20+(1-Inputs!$B$15)*MIN(Mkt!G20,F20*(1+Inputs!$B$18))),F20)))</f>
        <v>1225</v>
      </c>
      <c r="H20" s="11" t="n">
        <f aca="false">IF(H$1&lt;Units!$P19,0,IF(AND(Units!$K19=0,H$1=Units!$O19),Units!$R19,IF(AND(H$1&gt;=Units!$Q19,MOD(H$1-Units!$Q19,12)=0),IF(AND(Units!$L19=1,H$1=Units!$Q19),IF(Units!$J19&lt;&gt;"",Units!$J19,Mkt!H20),Inputs!$B$15*Mkt!H20+(1-Inputs!$B$15)*MIN(Mkt!H20,G20*(1+Inputs!$B$18))),G20)))</f>
        <v>1225</v>
      </c>
      <c r="I20" s="11" t="n">
        <f aca="false">IF(I$1&lt;Units!$P19,0,IF(AND(Units!$K19=0,I$1=Units!$O19),Units!$R19,IF(AND(I$1&gt;=Units!$Q19,MOD(I$1-Units!$Q19,12)=0),IF(AND(Units!$L19=1,I$1=Units!$Q19),IF(Units!$J19&lt;&gt;"",Units!$J19,Mkt!I20),Inputs!$B$15*Mkt!I20+(1-Inputs!$B$15)*MIN(Mkt!I20,H20*(1+Inputs!$B$18))),H20)))</f>
        <v>1225</v>
      </c>
      <c r="J20" s="11" t="n">
        <f aca="false">IF(J$1&lt;Units!$P19,0,IF(AND(Units!$K19=0,J$1=Units!$O19),Units!$R19,IF(AND(J$1&gt;=Units!$Q19,MOD(J$1-Units!$Q19,12)=0),IF(AND(Units!$L19=1,J$1=Units!$Q19),IF(Units!$J19&lt;&gt;"",Units!$J19,Mkt!J20),Inputs!$B$15*Mkt!J20+(1-Inputs!$B$15)*MIN(Mkt!J20,I20*(1+Inputs!$B$18))),I20)))</f>
        <v>1225</v>
      </c>
      <c r="K20" s="11" t="n">
        <f aca="false">IF(K$1&lt;Units!$P19,0,IF(AND(Units!$K19=0,K$1=Units!$O19),Units!$R19,IF(AND(K$1&gt;=Units!$Q19,MOD(K$1-Units!$Q19,12)=0),IF(AND(Units!$L19=1,K$1=Units!$Q19),IF(Units!$J19&lt;&gt;"",Units!$J19,Mkt!K20),Inputs!$B$15*Mkt!K20+(1-Inputs!$B$15)*MIN(Mkt!K20,J20*(1+Inputs!$B$18))),J20)))</f>
        <v>1290.625</v>
      </c>
      <c r="L20" s="11" t="n">
        <f aca="false">IF(L$1&lt;Units!$P19,0,IF(AND(Units!$K19=0,L$1=Units!$O19),Units!$R19,IF(AND(L$1&gt;=Units!$Q19,MOD(L$1-Units!$Q19,12)=0),IF(AND(Units!$L19=1,L$1=Units!$Q19),IF(Units!$J19&lt;&gt;"",Units!$J19,Mkt!L20),Inputs!$B$15*Mkt!L20+(1-Inputs!$B$15)*MIN(Mkt!L20,K20*(1+Inputs!$B$18))),K20)))</f>
        <v>1290.625</v>
      </c>
      <c r="M20" s="11" t="n">
        <f aca="false">IF(M$1&lt;Units!$P19,0,IF(AND(Units!$K19=0,M$1=Units!$O19),Units!$R19,IF(AND(M$1&gt;=Units!$Q19,MOD(M$1-Units!$Q19,12)=0),IF(AND(Units!$L19=1,M$1=Units!$Q19),IF(Units!$J19&lt;&gt;"",Units!$J19,Mkt!M20),Inputs!$B$15*Mkt!M20+(1-Inputs!$B$15)*MIN(Mkt!M20,L20*(1+Inputs!$B$18))),L20)))</f>
        <v>1290.625</v>
      </c>
      <c r="N20" s="11" t="n">
        <f aca="false">IF(N$1&lt;Units!$P19,0,IF(AND(Units!$K19=0,N$1=Units!$O19),Units!$R19,IF(AND(N$1&gt;=Units!$Q19,MOD(N$1-Units!$Q19,12)=0),IF(AND(Units!$L19=1,N$1=Units!$Q19),IF(Units!$J19&lt;&gt;"",Units!$J19,Mkt!N20),Inputs!$B$15*Mkt!N20+(1-Inputs!$B$15)*MIN(Mkt!N20,M20*(1+Inputs!$B$18))),M20)))</f>
        <v>1290.625</v>
      </c>
      <c r="O20" s="11" t="n">
        <f aca="false">IF(O$1&lt;Units!$P19,0,IF(AND(Units!$K19=0,O$1=Units!$O19),Units!$R19,IF(AND(O$1&gt;=Units!$Q19,MOD(O$1-Units!$Q19,12)=0),IF(AND(Units!$L19=1,O$1=Units!$Q19),IF(Units!$J19&lt;&gt;"",Units!$J19,Mkt!O20),Inputs!$B$15*Mkt!O20+(1-Inputs!$B$15)*MIN(Mkt!O20,N20*(1+Inputs!$B$18))),N20)))</f>
        <v>1290.625</v>
      </c>
      <c r="P20" s="11" t="n">
        <f aca="false">IF(P$1&lt;Units!$P19,0,IF(AND(Units!$K19=0,P$1=Units!$O19),Units!$R19,IF(AND(P$1&gt;=Units!$Q19,MOD(P$1-Units!$Q19,12)=0),IF(AND(Units!$L19=1,P$1=Units!$Q19),IF(Units!$J19&lt;&gt;"",Units!$J19,Mkt!P20),Inputs!$B$15*Mkt!P20+(1-Inputs!$B$15)*MIN(Mkt!P20,O20*(1+Inputs!$B$18))),O20)))</f>
        <v>1290.625</v>
      </c>
      <c r="Q20" s="11" t="n">
        <f aca="false">IF(Q$1&lt;Units!$P19,0,IF(AND(Units!$K19=0,Q$1=Units!$O19),Units!$R19,IF(AND(Q$1&gt;=Units!$Q19,MOD(Q$1-Units!$Q19,12)=0),IF(AND(Units!$L19=1,Q$1=Units!$Q19),IF(Units!$J19&lt;&gt;"",Units!$J19,Mkt!Q20),Inputs!$B$15*Mkt!Q20+(1-Inputs!$B$15)*MIN(Mkt!Q20,P20*(1+Inputs!$B$18))),P20)))</f>
        <v>1290.625</v>
      </c>
      <c r="R20" s="11" t="n">
        <f aca="false">IF(R$1&lt;Units!$P19,0,IF(AND(Units!$K19=0,R$1=Units!$O19),Units!$R19,IF(AND(R$1&gt;=Units!$Q19,MOD(R$1-Units!$Q19,12)=0),IF(AND(Units!$L19=1,R$1=Units!$Q19),IF(Units!$J19&lt;&gt;"",Units!$J19,Mkt!R20),Inputs!$B$15*Mkt!R20+(1-Inputs!$B$15)*MIN(Mkt!R20,Q20*(1+Inputs!$B$18))),Q20)))</f>
        <v>1290.625</v>
      </c>
      <c r="S20" s="11" t="n">
        <f aca="false">IF(S$1&lt;Units!$P19,0,IF(AND(Units!$K19=0,S$1=Units!$O19),Units!$R19,IF(AND(S$1&gt;=Units!$Q19,MOD(S$1-Units!$Q19,12)=0),IF(AND(Units!$L19=1,S$1=Units!$Q19),IF(Units!$J19&lt;&gt;"",Units!$J19,Mkt!S20),Inputs!$B$15*Mkt!S20+(1-Inputs!$B$15)*MIN(Mkt!S20,R20*(1+Inputs!$B$18))),R20)))</f>
        <v>1290.625</v>
      </c>
      <c r="T20" s="11" t="n">
        <f aca="false">IF(T$1&lt;Units!$P19,0,IF(AND(Units!$K19=0,T$1=Units!$O19),Units!$R19,IF(AND(T$1&gt;=Units!$Q19,MOD(T$1-Units!$Q19,12)=0),IF(AND(Units!$L19=1,T$1=Units!$Q19),IF(Units!$J19&lt;&gt;"",Units!$J19,Mkt!T20),Inputs!$B$15*Mkt!T20+(1-Inputs!$B$15)*MIN(Mkt!T20,S20*(1+Inputs!$B$18))),S20)))</f>
        <v>1290.625</v>
      </c>
      <c r="U20" s="11" t="n">
        <f aca="false">IF(U$1&lt;Units!$P19,0,IF(AND(Units!$K19=0,U$1=Units!$O19),Units!$R19,IF(AND(U$1&gt;=Units!$Q19,MOD(U$1-Units!$Q19,12)=0),IF(AND(Units!$L19=1,U$1=Units!$Q19),IF(Units!$J19&lt;&gt;"",Units!$J19,Mkt!U20),Inputs!$B$15*Mkt!U20+(1-Inputs!$B$15)*MIN(Mkt!U20,T20*(1+Inputs!$B$18))),T20)))</f>
        <v>1290.625</v>
      </c>
      <c r="V20" s="11" t="n">
        <f aca="false">IF(V$1&lt;Units!$P19,0,IF(AND(Units!$K19=0,V$1=Units!$O19),Units!$R19,IF(AND(V$1&gt;=Units!$Q19,MOD(V$1-Units!$Q19,12)=0),IF(AND(Units!$L19=1,V$1=Units!$Q19),IF(Units!$J19&lt;&gt;"",Units!$J19,Mkt!V20),Inputs!$B$15*Mkt!V20+(1-Inputs!$B$15)*MIN(Mkt!V20,U20*(1+Inputs!$B$18))),U20)))</f>
        <v>1290.625</v>
      </c>
      <c r="W20" s="11" t="n">
        <f aca="false">IF(W$1&lt;Units!$P19,0,IF(AND(Units!$K19=0,W$1=Units!$O19),Units!$R19,IF(AND(W$1&gt;=Units!$Q19,MOD(W$1-Units!$Q19,12)=0),IF(AND(Units!$L19=1,W$1=Units!$Q19),IF(Units!$J19&lt;&gt;"",Units!$J19,Mkt!W20),Inputs!$B$15*Mkt!W20+(1-Inputs!$B$15)*MIN(Mkt!W20,V20*(1+Inputs!$B$18))),V20)))</f>
        <v>1333.85</v>
      </c>
      <c r="X20" s="11" t="n">
        <f aca="false">IF(X$1&lt;Units!$P19,0,IF(AND(Units!$K19=0,X$1=Units!$O19),Units!$R19,IF(AND(X$1&gt;=Units!$Q19,MOD(X$1-Units!$Q19,12)=0),IF(AND(Units!$L19=1,X$1=Units!$Q19),IF(Units!$J19&lt;&gt;"",Units!$J19,Mkt!X20),Inputs!$B$15*Mkt!X20+(1-Inputs!$B$15)*MIN(Mkt!X20,W20*(1+Inputs!$B$18))),W20)))</f>
        <v>1333.85</v>
      </c>
      <c r="Y20" s="11" t="n">
        <f aca="false">IF(Y$1&lt;Units!$P19,0,IF(AND(Units!$K19=0,Y$1=Units!$O19),Units!$R19,IF(AND(Y$1&gt;=Units!$Q19,MOD(Y$1-Units!$Q19,12)=0),IF(AND(Units!$L19=1,Y$1=Units!$Q19),IF(Units!$J19&lt;&gt;"",Units!$J19,Mkt!Y20),Inputs!$B$15*Mkt!Y20+(1-Inputs!$B$15)*MIN(Mkt!Y20,X20*(1+Inputs!$B$18))),X20)))</f>
        <v>1333.85</v>
      </c>
      <c r="Z20" s="11" t="n">
        <f aca="false">IF(Z$1&lt;Units!$P19,0,IF(AND(Units!$K19=0,Z$1=Units!$O19),Units!$R19,IF(AND(Z$1&gt;=Units!$Q19,MOD(Z$1-Units!$Q19,12)=0),IF(AND(Units!$L19=1,Z$1=Units!$Q19),IF(Units!$J19&lt;&gt;"",Units!$J19,Mkt!Z20),Inputs!$B$15*Mkt!Z20+(1-Inputs!$B$15)*MIN(Mkt!Z20,Y20*(1+Inputs!$B$18))),Y20)))</f>
        <v>1333.85</v>
      </c>
      <c r="AA20" s="11" t="n">
        <f aca="false">IF(AA$1&lt;Units!$P19,0,IF(AND(Units!$K19=0,AA$1=Units!$O19),Units!$R19,IF(AND(AA$1&gt;=Units!$Q19,MOD(AA$1-Units!$Q19,12)=0),IF(AND(Units!$L19=1,AA$1=Units!$Q19),IF(Units!$J19&lt;&gt;"",Units!$J19,Mkt!AA20),Inputs!$B$15*Mkt!AA20+(1-Inputs!$B$15)*MIN(Mkt!AA20,Z20*(1+Inputs!$B$18))),Z20)))</f>
        <v>1333.85</v>
      </c>
      <c r="AB20" s="11" t="n">
        <f aca="false">IF(AB$1&lt;Units!$P19,0,IF(AND(Units!$K19=0,AB$1=Units!$O19),Units!$R19,IF(AND(AB$1&gt;=Units!$Q19,MOD(AB$1-Units!$Q19,12)=0),IF(AND(Units!$L19=1,AB$1=Units!$Q19),IF(Units!$J19&lt;&gt;"",Units!$J19,Mkt!AB20),Inputs!$B$15*Mkt!AB20+(1-Inputs!$B$15)*MIN(Mkt!AB20,AA20*(1+Inputs!$B$18))),AA20)))</f>
        <v>1333.85</v>
      </c>
      <c r="AC20" s="11" t="n">
        <f aca="false">IF(AC$1&lt;Units!$P19,0,IF(AND(Units!$K19=0,AC$1=Units!$O19),Units!$R19,IF(AND(AC$1&gt;=Units!$Q19,MOD(AC$1-Units!$Q19,12)=0),IF(AND(Units!$L19=1,AC$1=Units!$Q19),IF(Units!$J19&lt;&gt;"",Units!$J19,Mkt!AC20),Inputs!$B$15*Mkt!AC20+(1-Inputs!$B$15)*MIN(Mkt!AC20,AB20*(1+Inputs!$B$18))),AB20)))</f>
        <v>1333.85</v>
      </c>
      <c r="AD20" s="11" t="n">
        <f aca="false">IF(AD$1&lt;Units!$P19,0,IF(AND(Units!$K19=0,AD$1=Units!$O19),Units!$R19,IF(AND(AD$1&gt;=Units!$Q19,MOD(AD$1-Units!$Q19,12)=0),IF(AND(Units!$L19=1,AD$1=Units!$Q19),IF(Units!$J19&lt;&gt;"",Units!$J19,Mkt!AD20),Inputs!$B$15*Mkt!AD20+(1-Inputs!$B$15)*MIN(Mkt!AD20,AC20*(1+Inputs!$B$18))),AC20)))</f>
        <v>1333.85</v>
      </c>
      <c r="AE20" s="11" t="n">
        <f aca="false">IF(AE$1&lt;Units!$P19,0,IF(AND(Units!$K19=0,AE$1=Units!$O19),Units!$R19,IF(AND(AE$1&gt;=Units!$Q19,MOD(AE$1-Units!$Q19,12)=0),IF(AND(Units!$L19=1,AE$1=Units!$Q19),IF(Units!$J19&lt;&gt;"",Units!$J19,Mkt!AE20),Inputs!$B$15*Mkt!AE20+(1-Inputs!$B$15)*MIN(Mkt!AE20,AD20*(1+Inputs!$B$18))),AD20)))</f>
        <v>1333.85</v>
      </c>
      <c r="AF20" s="11" t="n">
        <f aca="false">IF(AF$1&lt;Units!$P19,0,IF(AND(Units!$K19=0,AF$1=Units!$O19),Units!$R19,IF(AND(AF$1&gt;=Units!$Q19,MOD(AF$1-Units!$Q19,12)=0),IF(AND(Units!$L19=1,AF$1=Units!$Q19),IF(Units!$J19&lt;&gt;"",Units!$J19,Mkt!AF20),Inputs!$B$15*Mkt!AF20+(1-Inputs!$B$15)*MIN(Mkt!AF20,AE20*(1+Inputs!$B$18))),AE20)))</f>
        <v>1333.85</v>
      </c>
      <c r="AG20" s="11" t="n">
        <f aca="false">IF(AG$1&lt;Units!$P19,0,IF(AND(Units!$K19=0,AG$1=Units!$O19),Units!$R19,IF(AND(AG$1&gt;=Units!$Q19,MOD(AG$1-Units!$Q19,12)=0),IF(AND(Units!$L19=1,AG$1=Units!$Q19),IF(Units!$J19&lt;&gt;"",Units!$J19,Mkt!AG20),Inputs!$B$15*Mkt!AG20+(1-Inputs!$B$15)*MIN(Mkt!AG20,AF20*(1+Inputs!$B$18))),AF20)))</f>
        <v>1333.85</v>
      </c>
      <c r="AH20" s="11" t="n">
        <f aca="false">IF(AH$1&lt;Units!$P19,0,IF(AND(Units!$K19=0,AH$1=Units!$O19),Units!$R19,IF(AND(AH$1&gt;=Units!$Q19,MOD(AH$1-Units!$Q19,12)=0),IF(AND(Units!$L19=1,AH$1=Units!$Q19),IF(Units!$J19&lt;&gt;"",Units!$J19,Mkt!AH20),Inputs!$B$15*Mkt!AH20+(1-Inputs!$B$15)*MIN(Mkt!AH20,AG20*(1+Inputs!$B$18))),AG20)))</f>
        <v>1333.85</v>
      </c>
      <c r="AI20" s="11" t="n">
        <f aca="false">IF(AI$1&lt;Units!$P19,0,IF(AND(Units!$K19=0,AI$1=Units!$O19),Units!$R19,IF(AND(AI$1&gt;=Units!$Q19,MOD(AI$1-Units!$Q19,12)=0),IF(AND(Units!$L19=1,AI$1=Units!$Q19),IF(Units!$J19&lt;&gt;"",Units!$J19,Mkt!AI20),Inputs!$B$15*Mkt!AI20+(1-Inputs!$B$15)*MIN(Mkt!AI20,AH20*(1+Inputs!$B$18))),AH20)))</f>
        <v>1373.8655</v>
      </c>
      <c r="AJ20" s="11" t="n">
        <f aca="false">IF(AJ$1&lt;Units!$P19,0,IF(AND(Units!$K19=0,AJ$1=Units!$O19),Units!$R19,IF(AND(AJ$1&gt;=Units!$Q19,MOD(AJ$1-Units!$Q19,12)=0),IF(AND(Units!$L19=1,AJ$1=Units!$Q19),IF(Units!$J19&lt;&gt;"",Units!$J19,Mkt!AJ20),Inputs!$B$15*Mkt!AJ20+(1-Inputs!$B$15)*MIN(Mkt!AJ20,AI20*(1+Inputs!$B$18))),AI20)))</f>
        <v>1373.8655</v>
      </c>
      <c r="AK20" s="11" t="n">
        <f aca="false">IF(AK$1&lt;Units!$P19,0,IF(AND(Units!$K19=0,AK$1=Units!$O19),Units!$R19,IF(AND(AK$1&gt;=Units!$Q19,MOD(AK$1-Units!$Q19,12)=0),IF(AND(Units!$L19=1,AK$1=Units!$Q19),IF(Units!$J19&lt;&gt;"",Units!$J19,Mkt!AK20),Inputs!$B$15*Mkt!AK20+(1-Inputs!$B$15)*MIN(Mkt!AK20,AJ20*(1+Inputs!$B$18))),AJ20)))</f>
        <v>1373.8655</v>
      </c>
      <c r="AL20" s="11" t="n">
        <f aca="false">IF(AL$1&lt;Units!$P19,0,IF(AND(Units!$K19=0,AL$1=Units!$O19),Units!$R19,IF(AND(AL$1&gt;=Units!$Q19,MOD(AL$1-Units!$Q19,12)=0),IF(AND(Units!$L19=1,AL$1=Units!$Q19),IF(Units!$J19&lt;&gt;"",Units!$J19,Mkt!AL20),Inputs!$B$15*Mkt!AL20+(1-Inputs!$B$15)*MIN(Mkt!AL20,AK20*(1+Inputs!$B$18))),AK20)))</f>
        <v>1373.8655</v>
      </c>
      <c r="AM20" s="11" t="n">
        <f aca="false">IF(AM$1&lt;Units!$P19,0,IF(AND(Units!$K19=0,AM$1=Units!$O19),Units!$R19,IF(AND(AM$1&gt;=Units!$Q19,MOD(AM$1-Units!$Q19,12)=0),IF(AND(Units!$L19=1,AM$1=Units!$Q19),IF(Units!$J19&lt;&gt;"",Units!$J19,Mkt!AM20),Inputs!$B$15*Mkt!AM20+(1-Inputs!$B$15)*MIN(Mkt!AM20,AL20*(1+Inputs!$B$18))),AL20)))</f>
        <v>1373.8655</v>
      </c>
      <c r="AN20" s="11" t="n">
        <f aca="false">IF(AN$1&lt;Units!$P19,0,IF(AND(Units!$K19=0,AN$1=Units!$O19),Units!$R19,IF(AND(AN$1&gt;=Units!$Q19,MOD(AN$1-Units!$Q19,12)=0),IF(AND(Units!$L19=1,AN$1=Units!$Q19),IF(Units!$J19&lt;&gt;"",Units!$J19,Mkt!AN20),Inputs!$B$15*Mkt!AN20+(1-Inputs!$B$15)*MIN(Mkt!AN20,AM20*(1+Inputs!$B$18))),AM20)))</f>
        <v>1373.8655</v>
      </c>
      <c r="AO20" s="11" t="n">
        <f aca="false">IF(AO$1&lt;Units!$P19,0,IF(AND(Units!$K19=0,AO$1=Units!$O19),Units!$R19,IF(AND(AO$1&gt;=Units!$Q19,MOD(AO$1-Units!$Q19,12)=0),IF(AND(Units!$L19=1,AO$1=Units!$Q19),IF(Units!$J19&lt;&gt;"",Units!$J19,Mkt!AO20),Inputs!$B$15*Mkt!AO20+(1-Inputs!$B$15)*MIN(Mkt!AO20,AN20*(1+Inputs!$B$18))),AN20)))</f>
        <v>1373.8655</v>
      </c>
      <c r="AP20" s="11" t="n">
        <f aca="false">IF(AP$1&lt;Units!$P19,0,IF(AND(Units!$K19=0,AP$1=Units!$O19),Units!$R19,IF(AND(AP$1&gt;=Units!$Q19,MOD(AP$1-Units!$Q19,12)=0),IF(AND(Units!$L19=1,AP$1=Units!$Q19),IF(Units!$J19&lt;&gt;"",Units!$J19,Mkt!AP20),Inputs!$B$15*Mkt!AP20+(1-Inputs!$B$15)*MIN(Mkt!AP20,AO20*(1+Inputs!$B$18))),AO20)))</f>
        <v>1373.8655</v>
      </c>
      <c r="AQ20" s="11" t="n">
        <f aca="false">IF(AQ$1&lt;Units!$P19,0,IF(AND(Units!$K19=0,AQ$1=Units!$O19),Units!$R19,IF(AND(AQ$1&gt;=Units!$Q19,MOD(AQ$1-Units!$Q19,12)=0),IF(AND(Units!$L19=1,AQ$1=Units!$Q19),IF(Units!$J19&lt;&gt;"",Units!$J19,Mkt!AQ20),Inputs!$B$15*Mkt!AQ20+(1-Inputs!$B$15)*MIN(Mkt!AQ20,AP20*(1+Inputs!$B$18))),AP20)))</f>
        <v>1373.8655</v>
      </c>
      <c r="AR20" s="11" t="n">
        <f aca="false">IF(AR$1&lt;Units!$P19,0,IF(AND(Units!$K19=0,AR$1=Units!$O19),Units!$R19,IF(AND(AR$1&gt;=Units!$Q19,MOD(AR$1-Units!$Q19,12)=0),IF(AND(Units!$L19=1,AR$1=Units!$Q19),IF(Units!$J19&lt;&gt;"",Units!$J19,Mkt!AR20),Inputs!$B$15*Mkt!AR20+(1-Inputs!$B$15)*MIN(Mkt!AR20,AQ20*(1+Inputs!$B$18))),AQ20)))</f>
        <v>1373.8655</v>
      </c>
      <c r="AS20" s="11" t="n">
        <f aca="false">IF(AS$1&lt;Units!$P19,0,IF(AND(Units!$K19=0,AS$1=Units!$O19),Units!$R19,IF(AND(AS$1&gt;=Units!$Q19,MOD(AS$1-Units!$Q19,12)=0),IF(AND(Units!$L19=1,AS$1=Units!$Q19),IF(Units!$J19&lt;&gt;"",Units!$J19,Mkt!AS20),Inputs!$B$15*Mkt!AS20+(1-Inputs!$B$15)*MIN(Mkt!AS20,AR20*(1+Inputs!$B$18))),AR20)))</f>
        <v>1373.8655</v>
      </c>
      <c r="AT20" s="11" t="n">
        <f aca="false">IF(AT$1&lt;Units!$P19,0,IF(AND(Units!$K19=0,AT$1=Units!$O19),Units!$R19,IF(AND(AT$1&gt;=Units!$Q19,MOD(AT$1-Units!$Q19,12)=0),IF(AND(Units!$L19=1,AT$1=Units!$Q19),IF(Units!$J19&lt;&gt;"",Units!$J19,Mkt!AT20),Inputs!$B$15*Mkt!AT20+(1-Inputs!$B$15)*MIN(Mkt!AT20,AS20*(1+Inputs!$B$18))),AS20)))</f>
        <v>1373.8655</v>
      </c>
      <c r="AU20" s="11" t="n">
        <f aca="false">IF(AU$1&lt;Units!$P19,0,IF(AND(Units!$K19=0,AU$1=Units!$O19),Units!$R19,IF(AND(AU$1&gt;=Units!$Q19,MOD(AU$1-Units!$Q19,12)=0),IF(AND(Units!$L19=1,AU$1=Units!$Q19),IF(Units!$J19&lt;&gt;"",Units!$J19,Mkt!AU20),Inputs!$B$15*Mkt!AU20+(1-Inputs!$B$15)*MIN(Mkt!AU20,AT20*(1+Inputs!$B$18))),AT20)))</f>
        <v>1415.081465</v>
      </c>
      <c r="AV20" s="11" t="n">
        <f aca="false">IF(AV$1&lt;Units!$P19,0,IF(AND(Units!$K19=0,AV$1=Units!$O19),Units!$R19,IF(AND(AV$1&gt;=Units!$Q19,MOD(AV$1-Units!$Q19,12)=0),IF(AND(Units!$L19=1,AV$1=Units!$Q19),IF(Units!$J19&lt;&gt;"",Units!$J19,Mkt!AV20),Inputs!$B$15*Mkt!AV20+(1-Inputs!$B$15)*MIN(Mkt!AV20,AU20*(1+Inputs!$B$18))),AU20)))</f>
        <v>1415.081465</v>
      </c>
      <c r="AW20" s="11" t="n">
        <f aca="false">IF(AW$1&lt;Units!$P19,0,IF(AND(Units!$K19=0,AW$1=Units!$O19),Units!$R19,IF(AND(AW$1&gt;=Units!$Q19,MOD(AW$1-Units!$Q19,12)=0),IF(AND(Units!$L19=1,AW$1=Units!$Q19),IF(Units!$J19&lt;&gt;"",Units!$J19,Mkt!AW20),Inputs!$B$15*Mkt!AW20+(1-Inputs!$B$15)*MIN(Mkt!AW20,AV20*(1+Inputs!$B$18))),AV20)))</f>
        <v>1415.081465</v>
      </c>
      <c r="AX20" s="11" t="n">
        <f aca="false">IF(AX$1&lt;Units!$P19,0,IF(AND(Units!$K19=0,AX$1=Units!$O19),Units!$R19,IF(AND(AX$1&gt;=Units!$Q19,MOD(AX$1-Units!$Q19,12)=0),IF(AND(Units!$L19=1,AX$1=Units!$Q19),IF(Units!$J19&lt;&gt;"",Units!$J19,Mkt!AX20),Inputs!$B$15*Mkt!AX20+(1-Inputs!$B$15)*MIN(Mkt!AX20,AW20*(1+Inputs!$B$18))),AW20)))</f>
        <v>1415.081465</v>
      </c>
      <c r="AY20" s="11" t="n">
        <f aca="false">IF(AY$1&lt;Units!$P19,0,IF(AND(Units!$K19=0,AY$1=Units!$O19),Units!$R19,IF(AND(AY$1&gt;=Units!$Q19,MOD(AY$1-Units!$Q19,12)=0),IF(AND(Units!$L19=1,AY$1=Units!$Q19),IF(Units!$J19&lt;&gt;"",Units!$J19,Mkt!AY20),Inputs!$B$15*Mkt!AY20+(1-Inputs!$B$15)*MIN(Mkt!AY20,AX20*(1+Inputs!$B$18))),AX20)))</f>
        <v>1415.081465</v>
      </c>
      <c r="AZ20" s="11" t="n">
        <f aca="false">IF(AZ$1&lt;Units!$P19,0,IF(AND(Units!$K19=0,AZ$1=Units!$O19),Units!$R19,IF(AND(AZ$1&gt;=Units!$Q19,MOD(AZ$1-Units!$Q19,12)=0),IF(AND(Units!$L19=1,AZ$1=Units!$Q19),IF(Units!$J19&lt;&gt;"",Units!$J19,Mkt!AZ20),Inputs!$B$15*Mkt!AZ20+(1-Inputs!$B$15)*MIN(Mkt!AZ20,AY20*(1+Inputs!$B$18))),AY20)))</f>
        <v>1415.081465</v>
      </c>
      <c r="BA20" s="11" t="n">
        <f aca="false">IF(BA$1&lt;Units!$P19,0,IF(AND(Units!$K19=0,BA$1=Units!$O19),Units!$R19,IF(AND(BA$1&gt;=Units!$Q19,MOD(BA$1-Units!$Q19,12)=0),IF(AND(Units!$L19=1,BA$1=Units!$Q19),IF(Units!$J19&lt;&gt;"",Units!$J19,Mkt!BA20),Inputs!$B$15*Mkt!BA20+(1-Inputs!$B$15)*MIN(Mkt!BA20,AZ20*(1+Inputs!$B$18))),AZ20)))</f>
        <v>1415.081465</v>
      </c>
      <c r="BB20" s="11" t="n">
        <f aca="false">IF(BB$1&lt;Units!$P19,0,IF(AND(Units!$K19=0,BB$1=Units!$O19),Units!$R19,IF(AND(BB$1&gt;=Units!$Q19,MOD(BB$1-Units!$Q19,12)=0),IF(AND(Units!$L19=1,BB$1=Units!$Q19),IF(Units!$J19&lt;&gt;"",Units!$J19,Mkt!BB20),Inputs!$B$15*Mkt!BB20+(1-Inputs!$B$15)*MIN(Mkt!BB20,BA20*(1+Inputs!$B$18))),BA20)))</f>
        <v>1415.081465</v>
      </c>
      <c r="BC20" s="11" t="n">
        <f aca="false">IF(BC$1&lt;Units!$P19,0,IF(AND(Units!$K19=0,BC$1=Units!$O19),Units!$R19,IF(AND(BC$1&gt;=Units!$Q19,MOD(BC$1-Units!$Q19,12)=0),IF(AND(Units!$L19=1,BC$1=Units!$Q19),IF(Units!$J19&lt;&gt;"",Units!$J19,Mkt!BC20),Inputs!$B$15*Mkt!BC20+(1-Inputs!$B$15)*MIN(Mkt!BC20,BB20*(1+Inputs!$B$18))),BB20)))</f>
        <v>1415.081465</v>
      </c>
      <c r="BD20" s="11" t="n">
        <f aca="false">IF(BD$1&lt;Units!$P19,0,IF(AND(Units!$K19=0,BD$1=Units!$O19),Units!$R19,IF(AND(BD$1&gt;=Units!$Q19,MOD(BD$1-Units!$Q19,12)=0),IF(AND(Units!$L19=1,BD$1=Units!$Q19),IF(Units!$J19&lt;&gt;"",Units!$J19,Mkt!BD20),Inputs!$B$15*Mkt!BD20+(1-Inputs!$B$15)*MIN(Mkt!BD20,BC20*(1+Inputs!$B$18))),BC20)))</f>
        <v>1415.081465</v>
      </c>
      <c r="BE20" s="11" t="n">
        <f aca="false">IF(BE$1&lt;Units!$P19,0,IF(AND(Units!$K19=0,BE$1=Units!$O19),Units!$R19,IF(AND(BE$1&gt;=Units!$Q19,MOD(BE$1-Units!$Q19,12)=0),IF(AND(Units!$L19=1,BE$1=Units!$Q19),IF(Units!$J19&lt;&gt;"",Units!$J19,Mkt!BE20),Inputs!$B$15*Mkt!BE20+(1-Inputs!$B$15)*MIN(Mkt!BE20,BD20*(1+Inputs!$B$18))),BD20)))</f>
        <v>1415.081465</v>
      </c>
      <c r="BF20" s="11" t="n">
        <f aca="false">IF(BF$1&lt;Units!$P19,0,IF(AND(Units!$K19=0,BF$1=Units!$O19),Units!$R19,IF(AND(BF$1&gt;=Units!$Q19,MOD(BF$1-Units!$Q19,12)=0),IF(AND(Units!$L19=1,BF$1=Units!$Q19),IF(Units!$J19&lt;&gt;"",Units!$J19,Mkt!BF20),Inputs!$B$15*Mkt!BF20+(1-Inputs!$B$15)*MIN(Mkt!BF20,BE20*(1+Inputs!$B$18))),BE20)))</f>
        <v>1415.081465</v>
      </c>
      <c r="BG20" s="11" t="n">
        <f aca="false">IF(BG$1&lt;Units!$P19,0,IF(AND(Units!$K19=0,BG$1=Units!$O19),Units!$R19,IF(AND(BG$1&gt;=Units!$Q19,MOD(BG$1-Units!$Q19,12)=0),IF(AND(Units!$L19=1,BG$1=Units!$Q19),IF(Units!$J19&lt;&gt;"",Units!$J19,Mkt!BG20),Inputs!$B$15*Mkt!BG20+(1-Inputs!$B$15)*MIN(Mkt!BG20,BF20*(1+Inputs!$B$18))),BF20)))</f>
        <v>1457.53390895</v>
      </c>
      <c r="BH20" s="11" t="n">
        <f aca="false">IF(BH$1&lt;Units!$P19,0,IF(AND(Units!$K19=0,BH$1=Units!$O19),Units!$R19,IF(AND(BH$1&gt;=Units!$Q19,MOD(BH$1-Units!$Q19,12)=0),IF(AND(Units!$L19=1,BH$1=Units!$Q19),IF(Units!$J19&lt;&gt;"",Units!$J19,Mkt!BH20),Inputs!$B$15*Mkt!BH20+(1-Inputs!$B$15)*MIN(Mkt!BH20,BG20*(1+Inputs!$B$18))),BG20)))</f>
        <v>1457.53390895</v>
      </c>
      <c r="BI20" s="11" t="n">
        <f aca="false">IF(BI$1&lt;Units!$P19,0,IF(AND(Units!$K19=0,BI$1=Units!$O19),Units!$R19,IF(AND(BI$1&gt;=Units!$Q19,MOD(BI$1-Units!$Q19,12)=0),IF(AND(Units!$L19=1,BI$1=Units!$Q19),IF(Units!$J19&lt;&gt;"",Units!$J19,Mkt!BI20),Inputs!$B$15*Mkt!BI20+(1-Inputs!$B$15)*MIN(Mkt!BI20,BH20*(1+Inputs!$B$18))),BH20)))</f>
        <v>1457.53390895</v>
      </c>
      <c r="BJ20" s="11" t="n">
        <f aca="false">IF(BJ$1&lt;Units!$P19,0,IF(AND(Units!$K19=0,BJ$1=Units!$O19),Units!$R19,IF(AND(BJ$1&gt;=Units!$Q19,MOD(BJ$1-Units!$Q19,12)=0),IF(AND(Units!$L19=1,BJ$1=Units!$Q19),IF(Units!$J19&lt;&gt;"",Units!$J19,Mkt!BJ20),Inputs!$B$15*Mkt!BJ20+(1-Inputs!$B$15)*MIN(Mkt!BJ20,BI20*(1+Inputs!$B$18))),BI20)))</f>
        <v>1457.53390895</v>
      </c>
      <c r="BK20" s="11" t="n">
        <f aca="false">IF(BK$1&lt;Units!$P19,0,IF(AND(Units!$K19=0,BK$1=Units!$O19),Units!$R19,IF(AND(BK$1&gt;=Units!$Q19,MOD(BK$1-Units!$Q19,12)=0),IF(AND(Units!$L19=1,BK$1=Units!$Q19),IF(Units!$J19&lt;&gt;"",Units!$J19,Mkt!BK20),Inputs!$B$15*Mkt!BK20+(1-Inputs!$B$15)*MIN(Mkt!BK20,BJ20*(1+Inputs!$B$18))),BJ20)))</f>
        <v>1457.53390895</v>
      </c>
      <c r="BL20" s="11" t="n">
        <f aca="false">IF(BL$1&lt;Units!$P19,0,IF(AND(Units!$K19=0,BL$1=Units!$O19),Units!$R19,IF(AND(BL$1&gt;=Units!$Q19,MOD(BL$1-Units!$Q19,12)=0),IF(AND(Units!$L19=1,BL$1=Units!$Q19),IF(Units!$J19&lt;&gt;"",Units!$J19,Mkt!BL20),Inputs!$B$15*Mkt!BL20+(1-Inputs!$B$15)*MIN(Mkt!BL20,BK20*(1+Inputs!$B$18))),BK20)))</f>
        <v>1457.53390895</v>
      </c>
      <c r="BM20" s="11" t="n">
        <f aca="false">IF(BM$1&lt;Units!$P19,0,IF(AND(Units!$K19=0,BM$1=Units!$O19),Units!$R19,IF(AND(BM$1&gt;=Units!$Q19,MOD(BM$1-Units!$Q19,12)=0),IF(AND(Units!$L19=1,BM$1=Units!$Q19),IF(Units!$J19&lt;&gt;"",Units!$J19,Mkt!BM20),Inputs!$B$15*Mkt!BM20+(1-Inputs!$B$15)*MIN(Mkt!BM20,BL20*(1+Inputs!$B$18))),BL20)))</f>
        <v>1457.53390895</v>
      </c>
      <c r="BN20" s="11" t="n">
        <f aca="false">IF(BN$1&lt;Units!$P19,0,IF(AND(Units!$K19=0,BN$1=Units!$O19),Units!$R19,IF(AND(BN$1&gt;=Units!$Q19,MOD(BN$1-Units!$Q19,12)=0),IF(AND(Units!$L19=1,BN$1=Units!$Q19),IF(Units!$J19&lt;&gt;"",Units!$J19,Mkt!BN20),Inputs!$B$15*Mkt!BN20+(1-Inputs!$B$15)*MIN(Mkt!BN20,BM20*(1+Inputs!$B$18))),BM20)))</f>
        <v>1457.53390895</v>
      </c>
      <c r="BO20" s="11" t="n">
        <f aca="false">IF(BO$1&lt;Units!$P19,0,IF(AND(Units!$K19=0,BO$1=Units!$O19),Units!$R19,IF(AND(BO$1&gt;=Units!$Q19,MOD(BO$1-Units!$Q19,12)=0),IF(AND(Units!$L19=1,BO$1=Units!$Q19),IF(Units!$J19&lt;&gt;"",Units!$J19,Mkt!BO20),Inputs!$B$15*Mkt!BO20+(1-Inputs!$B$15)*MIN(Mkt!BO20,BN20*(1+Inputs!$B$18))),BN20)))</f>
        <v>1457.53390895</v>
      </c>
      <c r="BP20" s="11" t="n">
        <f aca="false">IF(BP$1&lt;Units!$P19,0,IF(AND(Units!$K19=0,BP$1=Units!$O19),Units!$R19,IF(AND(BP$1&gt;=Units!$Q19,MOD(BP$1-Units!$Q19,12)=0),IF(AND(Units!$L19=1,BP$1=Units!$Q19),IF(Units!$J19&lt;&gt;"",Units!$J19,Mkt!BP20),Inputs!$B$15*Mkt!BP20+(1-Inputs!$B$15)*MIN(Mkt!BP20,BO20*(1+Inputs!$B$18))),BO20)))</f>
        <v>1457.53390895</v>
      </c>
      <c r="BQ20" s="11" t="n">
        <f aca="false">IF(BQ$1&lt;Units!$P19,0,IF(AND(Units!$K19=0,BQ$1=Units!$O19),Units!$R19,IF(AND(BQ$1&gt;=Units!$Q19,MOD(BQ$1-Units!$Q19,12)=0),IF(AND(Units!$L19=1,BQ$1=Units!$Q19),IF(Units!$J19&lt;&gt;"",Units!$J19,Mkt!BQ20),Inputs!$B$15*Mkt!BQ20+(1-Inputs!$B$15)*MIN(Mkt!BQ20,BP20*(1+Inputs!$B$18))),BP20)))</f>
        <v>1457.53390895</v>
      </c>
      <c r="BR20" s="11" t="n">
        <f aca="false">IF(BR$1&lt;Units!$P19,0,IF(AND(Units!$K19=0,BR$1=Units!$O19),Units!$R19,IF(AND(BR$1&gt;=Units!$Q19,MOD(BR$1-Units!$Q19,12)=0),IF(AND(Units!$L19=1,BR$1=Units!$Q19),IF(Units!$J19&lt;&gt;"",Units!$J19,Mkt!BR20),Inputs!$B$15*Mkt!BR20+(1-Inputs!$B$15)*MIN(Mkt!BR20,BQ20*(1+Inputs!$B$18))),BQ20)))</f>
        <v>1457.53390895</v>
      </c>
      <c r="BS20" s="11" t="n">
        <f aca="false">IF(BS$1&lt;Units!$P19,0,IF(AND(Units!$K19=0,BS$1=Units!$O19),Units!$R19,IF(AND(BS$1&gt;=Units!$Q19,MOD(BS$1-Units!$Q19,12)=0),IF(AND(Units!$L19=1,BS$1=Units!$Q19),IF(Units!$J19&lt;&gt;"",Units!$J19,Mkt!BS20),Inputs!$B$15*Mkt!BS20+(1-Inputs!$B$15)*MIN(Mkt!BS20,BR20*(1+Inputs!$B$18))),BR20)))</f>
        <v>1501.2599262185</v>
      </c>
      <c r="BT20" s="11" t="n">
        <f aca="false">IF(BT$1&lt;Units!$P19,0,IF(AND(Units!$K19=0,BT$1=Units!$O19),Units!$R19,IF(AND(BT$1&gt;=Units!$Q19,MOD(BT$1-Units!$Q19,12)=0),IF(AND(Units!$L19=1,BT$1=Units!$Q19),IF(Units!$J19&lt;&gt;"",Units!$J19,Mkt!BT20),Inputs!$B$15*Mkt!BT20+(1-Inputs!$B$15)*MIN(Mkt!BT20,BS20*(1+Inputs!$B$18))),BS20)))</f>
        <v>1501.2599262185</v>
      </c>
      <c r="BU20" s="11" t="n">
        <f aca="false">IF(BU$1&lt;Units!$P19,0,IF(AND(Units!$K19=0,BU$1=Units!$O19),Units!$R19,IF(AND(BU$1&gt;=Units!$Q19,MOD(BU$1-Units!$Q19,12)=0),IF(AND(Units!$L19=1,BU$1=Units!$Q19),IF(Units!$J19&lt;&gt;"",Units!$J19,Mkt!BU20),Inputs!$B$15*Mkt!BU20+(1-Inputs!$B$15)*MIN(Mkt!BU20,BT20*(1+Inputs!$B$18))),BT20)))</f>
        <v>1501.2599262185</v>
      </c>
      <c r="BV20" s="11" t="n">
        <f aca="false">IF(BV$1&lt;Units!$P19,0,IF(AND(Units!$K19=0,BV$1=Units!$O19),Units!$R19,IF(AND(BV$1&gt;=Units!$Q19,MOD(BV$1-Units!$Q19,12)=0),IF(AND(Units!$L19=1,BV$1=Units!$Q19),IF(Units!$J19&lt;&gt;"",Units!$J19,Mkt!BV20),Inputs!$B$15*Mkt!BV20+(1-Inputs!$B$15)*MIN(Mkt!BV20,BU20*(1+Inputs!$B$18))),BU20)))</f>
        <v>1501.2599262185</v>
      </c>
      <c r="BW20" s="11" t="n">
        <f aca="false">IF(BW$1&lt;Units!$P19,0,IF(AND(Units!$K19=0,BW$1=Units!$O19),Units!$R19,IF(AND(BW$1&gt;=Units!$Q19,MOD(BW$1-Units!$Q19,12)=0),IF(AND(Units!$L19=1,BW$1=Units!$Q19),IF(Units!$J19&lt;&gt;"",Units!$J19,Mkt!BW20),Inputs!$B$15*Mkt!BW20+(1-Inputs!$B$15)*MIN(Mkt!BW20,BV20*(1+Inputs!$B$18))),BV20)))</f>
        <v>1501.2599262185</v>
      </c>
      <c r="BX20" s="11" t="n">
        <f aca="false">IF(BX$1&lt;Units!$P19,0,IF(AND(Units!$K19=0,BX$1=Units!$O19),Units!$R19,IF(AND(BX$1&gt;=Units!$Q19,MOD(BX$1-Units!$Q19,12)=0),IF(AND(Units!$L19=1,BX$1=Units!$Q19),IF(Units!$J19&lt;&gt;"",Units!$J19,Mkt!BX20),Inputs!$B$15*Mkt!BX20+(1-Inputs!$B$15)*MIN(Mkt!BX20,BW20*(1+Inputs!$B$18))),BW20)))</f>
        <v>1501.2599262185</v>
      </c>
      <c r="BY20" s="11" t="n">
        <f aca="false">IF(BY$1&lt;Units!$P19,0,IF(AND(Units!$K19=0,BY$1=Units!$O19),Units!$R19,IF(AND(BY$1&gt;=Units!$Q19,MOD(BY$1-Units!$Q19,12)=0),IF(AND(Units!$L19=1,BY$1=Units!$Q19),IF(Units!$J19&lt;&gt;"",Units!$J19,Mkt!BY20),Inputs!$B$15*Mkt!BY20+(1-Inputs!$B$15)*MIN(Mkt!BY20,BX20*(1+Inputs!$B$18))),BX20)))</f>
        <v>1501.2599262185</v>
      </c>
      <c r="BZ20" s="11" t="n">
        <f aca="false">IF(BZ$1&lt;Units!$P19,0,IF(AND(Units!$K19=0,BZ$1=Units!$O19),Units!$R19,IF(AND(BZ$1&gt;=Units!$Q19,MOD(BZ$1-Units!$Q19,12)=0),IF(AND(Units!$L19=1,BZ$1=Units!$Q19),IF(Units!$J19&lt;&gt;"",Units!$J19,Mkt!BZ20),Inputs!$B$15*Mkt!BZ20+(1-Inputs!$B$15)*MIN(Mkt!BZ20,BY20*(1+Inputs!$B$18))),BY20)))</f>
        <v>1501.2599262185</v>
      </c>
      <c r="CA20" s="11" t="n">
        <f aca="false">IF(CA$1&lt;Units!$P19,0,IF(AND(Units!$K19=0,CA$1=Units!$O19),Units!$R19,IF(AND(CA$1&gt;=Units!$Q19,MOD(CA$1-Units!$Q19,12)=0),IF(AND(Units!$L19=1,CA$1=Units!$Q19),IF(Units!$J19&lt;&gt;"",Units!$J19,Mkt!CA20),Inputs!$B$15*Mkt!CA20+(1-Inputs!$B$15)*MIN(Mkt!CA20,BZ20*(1+Inputs!$B$18))),BZ20)))</f>
        <v>1501.2599262185</v>
      </c>
      <c r="CB20" s="11" t="n">
        <f aca="false">IF(CB$1&lt;Units!$P19,0,IF(AND(Units!$K19=0,CB$1=Units!$O19),Units!$R19,IF(AND(CB$1&gt;=Units!$Q19,MOD(CB$1-Units!$Q19,12)=0),IF(AND(Units!$L19=1,CB$1=Units!$Q19),IF(Units!$J19&lt;&gt;"",Units!$J19,Mkt!CB20),Inputs!$B$15*Mkt!CB20+(1-Inputs!$B$15)*MIN(Mkt!CB20,CA20*(1+Inputs!$B$18))),CA20)))</f>
        <v>1501.2599262185</v>
      </c>
      <c r="CC20" s="11" t="n">
        <f aca="false">IF(CC$1&lt;Units!$P19,0,IF(AND(Units!$K19=0,CC$1=Units!$O19),Units!$R19,IF(AND(CC$1&gt;=Units!$Q19,MOD(CC$1-Units!$Q19,12)=0),IF(AND(Units!$L19=1,CC$1=Units!$Q19),IF(Units!$J19&lt;&gt;"",Units!$J19,Mkt!CC20),Inputs!$B$15*Mkt!CC20+(1-Inputs!$B$15)*MIN(Mkt!CC20,CB20*(1+Inputs!$B$18))),CB20)))</f>
        <v>1501.2599262185</v>
      </c>
      <c r="CD20" s="11" t="n">
        <f aca="false">IF(CD$1&lt;Units!$P19,0,IF(AND(Units!$K19=0,CD$1=Units!$O19),Units!$R19,IF(AND(CD$1&gt;=Units!$Q19,MOD(CD$1-Units!$Q19,12)=0),IF(AND(Units!$L19=1,CD$1=Units!$Q19),IF(Units!$J19&lt;&gt;"",Units!$J19,Mkt!CD20),Inputs!$B$15*Mkt!CD20+(1-Inputs!$B$15)*MIN(Mkt!CD20,CC20*(1+Inputs!$B$18))),CC20)))</f>
        <v>1501.2599262185</v>
      </c>
      <c r="CE20" s="11" t="n">
        <f aca="false">IF(CE$1&lt;Units!$P19,0,IF(AND(Units!$K19=0,CE$1=Units!$O19),Units!$R19,IF(AND(CE$1&gt;=Units!$Q19,MOD(CE$1-Units!$Q19,12)=0),IF(AND(Units!$L19=1,CE$1=Units!$Q19),IF(Units!$J19&lt;&gt;"",Units!$J19,Mkt!CE20),Inputs!$B$15*Mkt!CE20+(1-Inputs!$B$15)*MIN(Mkt!CE20,CD20*(1+Inputs!$B$18))),CD20)))</f>
        <v>1546.29772400506</v>
      </c>
      <c r="CF20" s="11" t="n">
        <f aca="false">IF(CF$1&lt;Units!$P19,0,IF(AND(Units!$K19=0,CF$1=Units!$O19),Units!$R19,IF(AND(CF$1&gt;=Units!$Q19,MOD(CF$1-Units!$Q19,12)=0),IF(AND(Units!$L19=1,CF$1=Units!$Q19),IF(Units!$J19&lt;&gt;"",Units!$J19,Mkt!CF20),Inputs!$B$15*Mkt!CF20+(1-Inputs!$B$15)*MIN(Mkt!CF20,CE20*(1+Inputs!$B$18))),CE20)))</f>
        <v>1546.29772400506</v>
      </c>
      <c r="CG20" s="11" t="n">
        <f aca="false">IF(CG$1&lt;Units!$P19,0,IF(AND(Units!$K19=0,CG$1=Units!$O19),Units!$R19,IF(AND(CG$1&gt;=Units!$Q19,MOD(CG$1-Units!$Q19,12)=0),IF(AND(Units!$L19=1,CG$1=Units!$Q19),IF(Units!$J19&lt;&gt;"",Units!$J19,Mkt!CG20),Inputs!$B$15*Mkt!CG20+(1-Inputs!$B$15)*MIN(Mkt!CG20,CF20*(1+Inputs!$B$18))),CF20)))</f>
        <v>1546.29772400506</v>
      </c>
      <c r="CH20" s="11" t="n">
        <f aca="false">IF(CH$1&lt;Units!$P19,0,IF(AND(Units!$K19=0,CH$1=Units!$O19),Units!$R19,IF(AND(CH$1&gt;=Units!$Q19,MOD(CH$1-Units!$Q19,12)=0),IF(AND(Units!$L19=1,CH$1=Units!$Q19),IF(Units!$J19&lt;&gt;"",Units!$J19,Mkt!CH20),Inputs!$B$15*Mkt!CH20+(1-Inputs!$B$15)*MIN(Mkt!CH20,CG20*(1+Inputs!$B$18))),CG20)))</f>
        <v>1546.29772400506</v>
      </c>
      <c r="CI20" s="11" t="n">
        <f aca="false">IF(CI$1&lt;Units!$P19,0,IF(AND(Units!$K19=0,CI$1=Units!$O19),Units!$R19,IF(AND(CI$1&gt;=Units!$Q19,MOD(CI$1-Units!$Q19,12)=0),IF(AND(Units!$L19=1,CI$1=Units!$Q19),IF(Units!$J19&lt;&gt;"",Units!$J19,Mkt!CI20),Inputs!$B$15*Mkt!CI20+(1-Inputs!$B$15)*MIN(Mkt!CI20,CH20*(1+Inputs!$B$18))),CH20)))</f>
        <v>1546.29772400506</v>
      </c>
      <c r="CJ20" s="11" t="n">
        <f aca="false">IF(CJ$1&lt;Units!$P19,0,IF(AND(Units!$K19=0,CJ$1=Units!$O19),Units!$R19,IF(AND(CJ$1&gt;=Units!$Q19,MOD(CJ$1-Units!$Q19,12)=0),IF(AND(Units!$L19=1,CJ$1=Units!$Q19),IF(Units!$J19&lt;&gt;"",Units!$J19,Mkt!CJ20),Inputs!$B$15*Mkt!CJ20+(1-Inputs!$B$15)*MIN(Mkt!CJ20,CI20*(1+Inputs!$B$18))),CI20)))</f>
        <v>1546.29772400506</v>
      </c>
      <c r="CK20" s="11" t="n">
        <f aca="false">IF(CK$1&lt;Units!$P19,0,IF(AND(Units!$K19=0,CK$1=Units!$O19),Units!$R19,IF(AND(CK$1&gt;=Units!$Q19,MOD(CK$1-Units!$Q19,12)=0),IF(AND(Units!$L19=1,CK$1=Units!$Q19),IF(Units!$J19&lt;&gt;"",Units!$J19,Mkt!CK20),Inputs!$B$15*Mkt!CK20+(1-Inputs!$B$15)*MIN(Mkt!CK20,CJ20*(1+Inputs!$B$18))),CJ20)))</f>
        <v>1546.29772400506</v>
      </c>
      <c r="CL20" s="11" t="n">
        <f aca="false">IF(CL$1&lt;Units!$P19,0,IF(AND(Units!$K19=0,CL$1=Units!$O19),Units!$R19,IF(AND(CL$1&gt;=Units!$Q19,MOD(CL$1-Units!$Q19,12)=0),IF(AND(Units!$L19=1,CL$1=Units!$Q19),IF(Units!$J19&lt;&gt;"",Units!$J19,Mkt!CL20),Inputs!$B$15*Mkt!CL20+(1-Inputs!$B$15)*MIN(Mkt!CL20,CK20*(1+Inputs!$B$18))),CK20)))</f>
        <v>1546.29772400506</v>
      </c>
      <c r="CM20" s="11" t="n">
        <f aca="false">IF(CM$1&lt;Units!$P19,0,IF(AND(Units!$K19=0,CM$1=Units!$O19),Units!$R19,IF(AND(CM$1&gt;=Units!$Q19,MOD(CM$1-Units!$Q19,12)=0),IF(AND(Units!$L19=1,CM$1=Units!$Q19),IF(Units!$J19&lt;&gt;"",Units!$J19,Mkt!CM20),Inputs!$B$15*Mkt!CM20+(1-Inputs!$B$15)*MIN(Mkt!CM20,CL20*(1+Inputs!$B$18))),CL20)))</f>
        <v>1546.29772400506</v>
      </c>
      <c r="CN20" s="11" t="n">
        <f aca="false">IF(CN$1&lt;Units!$P19,0,IF(AND(Units!$K19=0,CN$1=Units!$O19),Units!$R19,IF(AND(CN$1&gt;=Units!$Q19,MOD(CN$1-Units!$Q19,12)=0),IF(AND(Units!$L19=1,CN$1=Units!$Q19),IF(Units!$J19&lt;&gt;"",Units!$J19,Mkt!CN20),Inputs!$B$15*Mkt!CN20+(1-Inputs!$B$15)*MIN(Mkt!CN20,CM20*(1+Inputs!$B$18))),CM20)))</f>
        <v>1546.29772400506</v>
      </c>
      <c r="CO20" s="11" t="n">
        <f aca="false">IF(CO$1&lt;Units!$P19,0,IF(AND(Units!$K19=0,CO$1=Units!$O19),Units!$R19,IF(AND(CO$1&gt;=Units!$Q19,MOD(CO$1-Units!$Q19,12)=0),IF(AND(Units!$L19=1,CO$1=Units!$Q19),IF(Units!$J19&lt;&gt;"",Units!$J19,Mkt!CO20),Inputs!$B$15*Mkt!CO20+(1-Inputs!$B$15)*MIN(Mkt!CO20,CN20*(1+Inputs!$B$18))),CN20)))</f>
        <v>1546.29772400506</v>
      </c>
      <c r="CP20" s="11" t="n">
        <f aca="false">IF(CP$1&lt;Units!$P19,0,IF(AND(Units!$K19=0,CP$1=Units!$O19),Units!$R19,IF(AND(CP$1&gt;=Units!$Q19,MOD(CP$1-Units!$Q19,12)=0),IF(AND(Units!$L19=1,CP$1=Units!$Q19),IF(Units!$J19&lt;&gt;"",Units!$J19,Mkt!CP20),Inputs!$B$15*Mkt!CP20+(1-Inputs!$B$15)*MIN(Mkt!CP20,CO20*(1+Inputs!$B$18))),CO20)))</f>
        <v>1546.29772400506</v>
      </c>
      <c r="CQ20" s="11" t="n">
        <f aca="false">IF(CQ$1&lt;Units!$P19,0,IF(AND(Units!$K19=0,CQ$1=Units!$O19),Units!$R19,IF(AND(CQ$1&gt;=Units!$Q19,MOD(CQ$1-Units!$Q19,12)=0),IF(AND(Units!$L19=1,CQ$1=Units!$Q19),IF(Units!$J19&lt;&gt;"",Units!$J19,Mkt!CQ20),Inputs!$B$15*Mkt!CQ20+(1-Inputs!$B$15)*MIN(Mkt!CQ20,CP20*(1+Inputs!$B$18))),CP20)))</f>
        <v>1592.68665572521</v>
      </c>
      <c r="CR20" s="11" t="n">
        <f aca="false">IF(CR$1&lt;Units!$P19,0,IF(AND(Units!$K19=0,CR$1=Units!$O19),Units!$R19,IF(AND(CR$1&gt;=Units!$Q19,MOD(CR$1-Units!$Q19,12)=0),IF(AND(Units!$L19=1,CR$1=Units!$Q19),IF(Units!$J19&lt;&gt;"",Units!$J19,Mkt!CR20),Inputs!$B$15*Mkt!CR20+(1-Inputs!$B$15)*MIN(Mkt!CR20,CQ20*(1+Inputs!$B$18))),CQ20)))</f>
        <v>1592.68665572521</v>
      </c>
      <c r="CS20" s="11" t="n">
        <f aca="false">IF(CS$1&lt;Units!$P19,0,IF(AND(Units!$K19=0,CS$1=Units!$O19),Units!$R19,IF(AND(CS$1&gt;=Units!$Q19,MOD(CS$1-Units!$Q19,12)=0),IF(AND(Units!$L19=1,CS$1=Units!$Q19),IF(Units!$J19&lt;&gt;"",Units!$J19,Mkt!CS20),Inputs!$B$15*Mkt!CS20+(1-Inputs!$B$15)*MIN(Mkt!CS20,CR20*(1+Inputs!$B$18))),CR20)))</f>
        <v>1592.68665572521</v>
      </c>
      <c r="CT20" s="11" t="n">
        <f aca="false">IF(CT$1&lt;Units!$P19,0,IF(AND(Units!$K19=0,CT$1=Units!$O19),Units!$R19,IF(AND(CT$1&gt;=Units!$Q19,MOD(CT$1-Units!$Q19,12)=0),IF(AND(Units!$L19=1,CT$1=Units!$Q19),IF(Units!$J19&lt;&gt;"",Units!$J19,Mkt!CT20),Inputs!$B$15*Mkt!CT20+(1-Inputs!$B$15)*MIN(Mkt!CT20,CS20*(1+Inputs!$B$18))),CS20)))</f>
        <v>1592.68665572521</v>
      </c>
      <c r="CU20" s="11" t="n">
        <f aca="false">IF(CU$1&lt;Units!$P19,0,IF(AND(Units!$K19=0,CU$1=Units!$O19),Units!$R19,IF(AND(CU$1&gt;=Units!$Q19,MOD(CU$1-Units!$Q19,12)=0),IF(AND(Units!$L19=1,CU$1=Units!$Q19),IF(Units!$J19&lt;&gt;"",Units!$J19,Mkt!CU20),Inputs!$B$15*Mkt!CU20+(1-Inputs!$B$15)*MIN(Mkt!CU20,CT20*(1+Inputs!$B$18))),CT20)))</f>
        <v>1592.68665572521</v>
      </c>
      <c r="CV20" s="11" t="n">
        <f aca="false">IF(CV$1&lt;Units!$P19,0,IF(AND(Units!$K19=0,CV$1=Units!$O19),Units!$R19,IF(AND(CV$1&gt;=Units!$Q19,MOD(CV$1-Units!$Q19,12)=0),IF(AND(Units!$L19=1,CV$1=Units!$Q19),IF(Units!$J19&lt;&gt;"",Units!$J19,Mkt!CV20),Inputs!$B$15*Mkt!CV20+(1-Inputs!$B$15)*MIN(Mkt!CV20,CU20*(1+Inputs!$B$18))),CU20)))</f>
        <v>1592.68665572521</v>
      </c>
      <c r="CW20" s="11" t="n">
        <f aca="false">IF(CW$1&lt;Units!$P19,0,IF(AND(Units!$K19=0,CW$1=Units!$O19),Units!$R19,IF(AND(CW$1&gt;=Units!$Q19,MOD(CW$1-Units!$Q19,12)=0),IF(AND(Units!$L19=1,CW$1=Units!$Q19),IF(Units!$J19&lt;&gt;"",Units!$J19,Mkt!CW20),Inputs!$B$15*Mkt!CW20+(1-Inputs!$B$15)*MIN(Mkt!CW20,CV20*(1+Inputs!$B$18))),CV20)))</f>
        <v>1592.68665572521</v>
      </c>
      <c r="CX20" s="11" t="n">
        <f aca="false">IF(CX$1&lt;Units!$P19,0,IF(AND(Units!$K19=0,CX$1=Units!$O19),Units!$R19,IF(AND(CX$1&gt;=Units!$Q19,MOD(CX$1-Units!$Q19,12)=0),IF(AND(Units!$L19=1,CX$1=Units!$Q19),IF(Units!$J19&lt;&gt;"",Units!$J19,Mkt!CX20),Inputs!$B$15*Mkt!CX20+(1-Inputs!$B$15)*MIN(Mkt!CX20,CW20*(1+Inputs!$B$18))),CW20)))</f>
        <v>1592.68665572521</v>
      </c>
      <c r="CY20" s="11" t="n">
        <f aca="false">IF(CY$1&lt;Units!$P19,0,IF(AND(Units!$K19=0,CY$1=Units!$O19),Units!$R19,IF(AND(CY$1&gt;=Units!$Q19,MOD(CY$1-Units!$Q19,12)=0),IF(AND(Units!$L19=1,CY$1=Units!$Q19),IF(Units!$J19&lt;&gt;"",Units!$J19,Mkt!CY20),Inputs!$B$15*Mkt!CY20+(1-Inputs!$B$15)*MIN(Mkt!CY20,CX20*(1+Inputs!$B$18))),CX20)))</f>
        <v>1592.68665572521</v>
      </c>
      <c r="CZ20" s="11" t="n">
        <f aca="false">IF(CZ$1&lt;Units!$P19,0,IF(AND(Units!$K19=0,CZ$1=Units!$O19),Units!$R19,IF(AND(CZ$1&gt;=Units!$Q19,MOD(CZ$1-Units!$Q19,12)=0),IF(AND(Units!$L19=1,CZ$1=Units!$Q19),IF(Units!$J19&lt;&gt;"",Units!$J19,Mkt!CZ20),Inputs!$B$15*Mkt!CZ20+(1-Inputs!$B$15)*MIN(Mkt!CZ20,CY20*(1+Inputs!$B$18))),CY20)))</f>
        <v>1592.68665572521</v>
      </c>
      <c r="DA20" s="11" t="n">
        <f aca="false">IF(DA$1&lt;Units!$P19,0,IF(AND(Units!$K19=0,DA$1=Units!$O19),Units!$R19,IF(AND(DA$1&gt;=Units!$Q19,MOD(DA$1-Units!$Q19,12)=0),IF(AND(Units!$L19=1,DA$1=Units!$Q19),IF(Units!$J19&lt;&gt;"",Units!$J19,Mkt!DA20),Inputs!$B$15*Mkt!DA20+(1-Inputs!$B$15)*MIN(Mkt!DA20,CZ20*(1+Inputs!$B$18))),CZ20)))</f>
        <v>1592.68665572521</v>
      </c>
      <c r="DB20" s="11" t="n">
        <f aca="false">IF(DB$1&lt;Units!$P19,0,IF(AND(Units!$K19=0,DB$1=Units!$O19),Units!$R19,IF(AND(DB$1&gt;=Units!$Q19,MOD(DB$1-Units!$Q19,12)=0),IF(AND(Units!$L19=1,DB$1=Units!$Q19),IF(Units!$J19&lt;&gt;"",Units!$J19,Mkt!DB20),Inputs!$B$15*Mkt!DB20+(1-Inputs!$B$15)*MIN(Mkt!DB20,DA20*(1+Inputs!$B$18))),DA20)))</f>
        <v>1592.68665572521</v>
      </c>
      <c r="DC20" s="11" t="n">
        <f aca="false">IF(DC$1&lt;Units!$P19,0,IF(AND(Units!$K19=0,DC$1=Units!$O19),Units!$R19,IF(AND(DC$1&gt;=Units!$Q19,MOD(DC$1-Units!$Q19,12)=0),IF(AND(Units!$L19=1,DC$1=Units!$Q19),IF(Units!$J19&lt;&gt;"",Units!$J19,Mkt!DC20),Inputs!$B$15*Mkt!DC20+(1-Inputs!$B$15)*MIN(Mkt!DC20,DB20*(1+Inputs!$B$18))),DB20)))</f>
        <v>1640.46725539696</v>
      </c>
      <c r="DD20" s="11" t="n">
        <f aca="false">IF(DD$1&lt;Units!$P19,0,IF(AND(Units!$K19=0,DD$1=Units!$O19),Units!$R19,IF(AND(DD$1&gt;=Units!$Q19,MOD(DD$1-Units!$Q19,12)=0),IF(AND(Units!$L19=1,DD$1=Units!$Q19),IF(Units!$J19&lt;&gt;"",Units!$J19,Mkt!DD20),Inputs!$B$15*Mkt!DD20+(1-Inputs!$B$15)*MIN(Mkt!DD20,DC20*(1+Inputs!$B$18))),DC20)))</f>
        <v>1640.46725539696</v>
      </c>
      <c r="DE20" s="11" t="n">
        <f aca="false">IF(DE$1&lt;Units!$P19,0,IF(AND(Units!$K19=0,DE$1=Units!$O19),Units!$R19,IF(AND(DE$1&gt;=Units!$Q19,MOD(DE$1-Units!$Q19,12)=0),IF(AND(Units!$L19=1,DE$1=Units!$Q19),IF(Units!$J19&lt;&gt;"",Units!$J19,Mkt!DE20),Inputs!$B$15*Mkt!DE20+(1-Inputs!$B$15)*MIN(Mkt!DE20,DD20*(1+Inputs!$B$18))),DD20)))</f>
        <v>1640.46725539696</v>
      </c>
      <c r="DF20" s="11" t="n">
        <f aca="false">IF(DF$1&lt;Units!$P19,0,IF(AND(Units!$K19=0,DF$1=Units!$O19),Units!$R19,IF(AND(DF$1&gt;=Units!$Q19,MOD(DF$1-Units!$Q19,12)=0),IF(AND(Units!$L19=1,DF$1=Units!$Q19),IF(Units!$J19&lt;&gt;"",Units!$J19,Mkt!DF20),Inputs!$B$15*Mkt!DF20+(1-Inputs!$B$15)*MIN(Mkt!DF20,DE20*(1+Inputs!$B$18))),DE20)))</f>
        <v>1640.46725539696</v>
      </c>
      <c r="DG20" s="11" t="n">
        <f aca="false">IF(DG$1&lt;Units!$P19,0,IF(AND(Units!$K19=0,DG$1=Units!$O19),Units!$R19,IF(AND(DG$1&gt;=Units!$Q19,MOD(DG$1-Units!$Q19,12)=0),IF(AND(Units!$L19=1,DG$1=Units!$Q19),IF(Units!$J19&lt;&gt;"",Units!$J19,Mkt!DG20),Inputs!$B$15*Mkt!DG20+(1-Inputs!$B$15)*MIN(Mkt!DG20,DF20*(1+Inputs!$B$18))),DF20)))</f>
        <v>1640.46725539696</v>
      </c>
      <c r="DH20" s="11" t="n">
        <f aca="false">IF(DH$1&lt;Units!$P19,0,IF(AND(Units!$K19=0,DH$1=Units!$O19),Units!$R19,IF(AND(DH$1&gt;=Units!$Q19,MOD(DH$1-Units!$Q19,12)=0),IF(AND(Units!$L19=1,DH$1=Units!$Q19),IF(Units!$J19&lt;&gt;"",Units!$J19,Mkt!DH20),Inputs!$B$15*Mkt!DH20+(1-Inputs!$B$15)*MIN(Mkt!DH20,DG20*(1+Inputs!$B$18))),DG20)))</f>
        <v>1640.46725539696</v>
      </c>
      <c r="DI20" s="11" t="n">
        <f aca="false">IF(DI$1&lt;Units!$P19,0,IF(AND(Units!$K19=0,DI$1=Units!$O19),Units!$R19,IF(AND(DI$1&gt;=Units!$Q19,MOD(DI$1-Units!$Q19,12)=0),IF(AND(Units!$L19=1,DI$1=Units!$Q19),IF(Units!$J19&lt;&gt;"",Units!$J19,Mkt!DI20),Inputs!$B$15*Mkt!DI20+(1-Inputs!$B$15)*MIN(Mkt!DI20,DH20*(1+Inputs!$B$18))),DH20)))</f>
        <v>1640.46725539696</v>
      </c>
      <c r="DJ20" s="11" t="n">
        <f aca="false">IF(DJ$1&lt;Units!$P19,0,IF(AND(Units!$K19=0,DJ$1=Units!$O19),Units!$R19,IF(AND(DJ$1&gt;=Units!$Q19,MOD(DJ$1-Units!$Q19,12)=0),IF(AND(Units!$L19=1,DJ$1=Units!$Q19),IF(Units!$J19&lt;&gt;"",Units!$J19,Mkt!DJ20),Inputs!$B$15*Mkt!DJ20+(1-Inputs!$B$15)*MIN(Mkt!DJ20,DI20*(1+Inputs!$B$18))),DI20)))</f>
        <v>1640.46725539696</v>
      </c>
      <c r="DK20" s="11" t="n">
        <f aca="false">IF(DK$1&lt;Units!$P19,0,IF(AND(Units!$K19=0,DK$1=Units!$O19),Units!$R19,IF(AND(DK$1&gt;=Units!$Q19,MOD(DK$1-Units!$Q19,12)=0),IF(AND(Units!$L19=1,DK$1=Units!$Q19),IF(Units!$J19&lt;&gt;"",Units!$J19,Mkt!DK20),Inputs!$B$15*Mkt!DK20+(1-Inputs!$B$15)*MIN(Mkt!DK20,DJ20*(1+Inputs!$B$18))),DJ20)))</f>
        <v>1640.46725539696</v>
      </c>
      <c r="DL20" s="11" t="n">
        <f aca="false">IF(DL$1&lt;Units!$P19,0,IF(AND(Units!$K19=0,DL$1=Units!$O19),Units!$R19,IF(AND(DL$1&gt;=Units!$Q19,MOD(DL$1-Units!$Q19,12)=0),IF(AND(Units!$L19=1,DL$1=Units!$Q19),IF(Units!$J19&lt;&gt;"",Units!$J19,Mkt!DL20),Inputs!$B$15*Mkt!DL20+(1-Inputs!$B$15)*MIN(Mkt!DL20,DK20*(1+Inputs!$B$18))),DK20)))</f>
        <v>1640.46725539696</v>
      </c>
      <c r="DM20" s="11" t="n">
        <f aca="false">IF(DM$1&lt;Units!$P19,0,IF(AND(Units!$K19=0,DM$1=Units!$O19),Units!$R19,IF(AND(DM$1&gt;=Units!$Q19,MOD(DM$1-Units!$Q19,12)=0),IF(AND(Units!$L19=1,DM$1=Units!$Q19),IF(Units!$J19&lt;&gt;"",Units!$J19,Mkt!DM20),Inputs!$B$15*Mkt!DM20+(1-Inputs!$B$15)*MIN(Mkt!DM20,DL20*(1+Inputs!$B$18))),DL20)))</f>
        <v>1640.46725539696</v>
      </c>
      <c r="DN20" s="11" t="n">
        <f aca="false">IF(DN$1&lt;Units!$P19,0,IF(AND(Units!$K19=0,DN$1=Units!$O19),Units!$R19,IF(AND(DN$1&gt;=Units!$Q19,MOD(DN$1-Units!$Q19,12)=0),IF(AND(Units!$L19=1,DN$1=Units!$Q19),IF(Units!$J19&lt;&gt;"",Units!$J19,Mkt!DN20),Inputs!$B$15*Mkt!DN20+(1-Inputs!$B$15)*MIN(Mkt!DN20,DM20*(1+Inputs!$B$18))),DM20)))</f>
        <v>1640.46725539696</v>
      </c>
      <c r="DO20" s="11" t="n">
        <f aca="false">IF(DO$1&lt;Units!$P19,0,IF(AND(Units!$K19=0,DO$1=Units!$O19),Units!$R19,IF(AND(DO$1&gt;=Units!$Q19,MOD(DO$1-Units!$Q19,12)=0),IF(AND(Units!$L19=1,DO$1=Units!$Q19),IF(Units!$J19&lt;&gt;"",Units!$J19,Mkt!DO20),Inputs!$B$15*Mkt!DO20+(1-Inputs!$B$15)*MIN(Mkt!DO20,DN20*(1+Inputs!$B$18))),DN20)))</f>
        <v>1689.68127305887</v>
      </c>
      <c r="DP20" s="11" t="n">
        <f aca="false">IF(DP$1&lt;Units!$P19,0,IF(AND(Units!$K19=0,DP$1=Units!$O19),Units!$R19,IF(AND(DP$1&gt;=Units!$Q19,MOD(DP$1-Units!$Q19,12)=0),IF(AND(Units!$L19=1,DP$1=Units!$Q19),IF(Units!$J19&lt;&gt;"",Units!$J19,Mkt!DP20),Inputs!$B$15*Mkt!DP20+(1-Inputs!$B$15)*MIN(Mkt!DP20,DO20*(1+Inputs!$B$18))),DO20)))</f>
        <v>1689.68127305887</v>
      </c>
      <c r="DQ20" s="11" t="n">
        <f aca="false">IF(DQ$1&lt;Units!$P19,0,IF(AND(Units!$K19=0,DQ$1=Units!$O19),Units!$R19,IF(AND(DQ$1&gt;=Units!$Q19,MOD(DQ$1-Units!$Q19,12)=0),IF(AND(Units!$L19=1,DQ$1=Units!$Q19),IF(Units!$J19&lt;&gt;"",Units!$J19,Mkt!DQ20),Inputs!$B$15*Mkt!DQ20+(1-Inputs!$B$15)*MIN(Mkt!DQ20,DP20*(1+Inputs!$B$18))),DP20)))</f>
        <v>1689.68127305887</v>
      </c>
      <c r="DR20" s="11" t="n">
        <f aca="false">IF(DR$1&lt;Units!$P19,0,IF(AND(Units!$K19=0,DR$1=Units!$O19),Units!$R19,IF(AND(DR$1&gt;=Units!$Q19,MOD(DR$1-Units!$Q19,12)=0),IF(AND(Units!$L19=1,DR$1=Units!$Q19),IF(Units!$J19&lt;&gt;"",Units!$J19,Mkt!DR20),Inputs!$B$15*Mkt!DR20+(1-Inputs!$B$15)*MIN(Mkt!DR20,DQ20*(1+Inputs!$B$18))),DQ20)))</f>
        <v>1689.68127305887</v>
      </c>
      <c r="DS20" s="11" t="n">
        <f aca="false">IF(DS$1&lt;Units!$P19,0,IF(AND(Units!$K19=0,DS$1=Units!$O19),Units!$R19,IF(AND(DS$1&gt;=Units!$Q19,MOD(DS$1-Units!$Q19,12)=0),IF(AND(Units!$L19=1,DS$1=Units!$Q19),IF(Units!$J19&lt;&gt;"",Units!$J19,Mkt!DS20),Inputs!$B$15*Mkt!DS20+(1-Inputs!$B$15)*MIN(Mkt!DS20,DR20*(1+Inputs!$B$18))),DR20)))</f>
        <v>1689.68127305887</v>
      </c>
      <c r="DT20" s="11" t="n">
        <f aca="false">IF(DT$1&lt;Units!$P19,0,IF(AND(Units!$K19=0,DT$1=Units!$O19),Units!$R19,IF(AND(DT$1&gt;=Units!$Q19,MOD(DT$1-Units!$Q19,12)=0),IF(AND(Units!$L19=1,DT$1=Units!$Q19),IF(Units!$J19&lt;&gt;"",Units!$J19,Mkt!DT20),Inputs!$B$15*Mkt!DT20+(1-Inputs!$B$15)*MIN(Mkt!DT20,DS20*(1+Inputs!$B$18))),DS20)))</f>
        <v>1689.68127305887</v>
      </c>
      <c r="DU20" s="11" t="n">
        <f aca="false">IF(DU$1&lt;Units!$P19,0,IF(AND(Units!$K19=0,DU$1=Units!$O19),Units!$R19,IF(AND(DU$1&gt;=Units!$Q19,MOD(DU$1-Units!$Q19,12)=0),IF(AND(Units!$L19=1,DU$1=Units!$Q19),IF(Units!$J19&lt;&gt;"",Units!$J19,Mkt!DU20),Inputs!$B$15*Mkt!DU20+(1-Inputs!$B$15)*MIN(Mkt!DU20,DT20*(1+Inputs!$B$18))),DT20)))</f>
        <v>1689.68127305887</v>
      </c>
      <c r="DV20" s="11" t="n">
        <f aca="false">IF(DV$1&lt;Units!$P19,0,IF(AND(Units!$K19=0,DV$1=Units!$O19),Units!$R19,IF(AND(DV$1&gt;=Units!$Q19,MOD(DV$1-Units!$Q19,12)=0),IF(AND(Units!$L19=1,DV$1=Units!$Q19),IF(Units!$J19&lt;&gt;"",Units!$J19,Mkt!DV20),Inputs!$B$15*Mkt!DV20+(1-Inputs!$B$15)*MIN(Mkt!DV20,DU20*(1+Inputs!$B$18))),DU20)))</f>
        <v>1689.68127305887</v>
      </c>
      <c r="DW20" s="11" t="n">
        <f aca="false">IF(DW$1&lt;Units!$P19,0,IF(AND(Units!$K19=0,DW$1=Units!$O19),Units!$R19,IF(AND(DW$1&gt;=Units!$Q19,MOD(DW$1-Units!$Q19,12)=0),IF(AND(Units!$L19=1,DW$1=Units!$Q19),IF(Units!$J19&lt;&gt;"",Units!$J19,Mkt!DW20),Inputs!$B$15*Mkt!DW20+(1-Inputs!$B$15)*MIN(Mkt!DW20,DV20*(1+Inputs!$B$18))),DV20)))</f>
        <v>1689.68127305887</v>
      </c>
      <c r="DX20" s="11" t="n">
        <f aca="false">IF(DX$1&lt;Units!$P19,0,IF(AND(Units!$K19=0,DX$1=Units!$O19),Units!$R19,IF(AND(DX$1&gt;=Units!$Q19,MOD(DX$1-Units!$Q19,12)=0),IF(AND(Units!$L19=1,DX$1=Units!$Q19),IF(Units!$J19&lt;&gt;"",Units!$J19,Mkt!DX20),Inputs!$B$15*Mkt!DX20+(1-Inputs!$B$15)*MIN(Mkt!DX20,DW20*(1+Inputs!$B$18))),DW20)))</f>
        <v>1689.68127305887</v>
      </c>
      <c r="DY20" s="11" t="n">
        <f aca="false">IF(DY$1&lt;Units!$P19,0,IF(AND(Units!$K19=0,DY$1=Units!$O19),Units!$R19,IF(AND(DY$1&gt;=Units!$Q19,MOD(DY$1-Units!$Q19,12)=0),IF(AND(Units!$L19=1,DY$1=Units!$Q19),IF(Units!$J19&lt;&gt;"",Units!$J19,Mkt!DY20),Inputs!$B$15*Mkt!DY20+(1-Inputs!$B$15)*MIN(Mkt!DY20,DX20*(1+Inputs!$B$18))),DX20)))</f>
        <v>1689.68127305887</v>
      </c>
      <c r="DZ20" s="11" t="n">
        <f aca="false">IF(DZ$1&lt;Units!$P19,0,IF(AND(Units!$K19=0,DZ$1=Units!$O19),Units!$R19,IF(AND(DZ$1&gt;=Units!$Q19,MOD(DZ$1-Units!$Q19,12)=0),IF(AND(Units!$L19=1,DZ$1=Units!$Q19),IF(Units!$J19&lt;&gt;"",Units!$J19,Mkt!DZ20),Inputs!$B$15*Mkt!DZ20+(1-Inputs!$B$15)*MIN(Mkt!DZ20,DY20*(1+Inputs!$B$18))),DY20)))</f>
        <v>1689.68127305887</v>
      </c>
      <c r="EA20" s="11" t="n">
        <f aca="false">IF(EA$1&lt;Units!$P19,0,IF(AND(Units!$K19=0,EA$1=Units!$O19),Units!$R19,IF(AND(EA$1&gt;=Units!$Q19,MOD(EA$1-Units!$Q19,12)=0),IF(AND(Units!$L19=1,EA$1=Units!$Q19),IF(Units!$J19&lt;&gt;"",Units!$J19,Mkt!EA20),Inputs!$B$15*Mkt!EA20+(1-Inputs!$B$15)*MIN(Mkt!EA20,DZ20*(1+Inputs!$B$18))),DZ20)))</f>
        <v>1740.37171125064</v>
      </c>
      <c r="EB20" s="11" t="n">
        <f aca="false">IF(EB$1&lt;Units!$P19,0,IF(AND(Units!$K19=0,EB$1=Units!$O19),Units!$R19,IF(AND(EB$1&gt;=Units!$Q19,MOD(EB$1-Units!$Q19,12)=0),IF(AND(Units!$L19=1,EB$1=Units!$Q19),IF(Units!$J19&lt;&gt;"",Units!$J19,Mkt!EB20),Inputs!$B$15*Mkt!EB20+(1-Inputs!$B$15)*MIN(Mkt!EB20,EA20*(1+Inputs!$B$18))),EA20)))</f>
        <v>1740.37171125064</v>
      </c>
      <c r="EC20" s="11" t="n">
        <f aca="false">IF(EC$1&lt;Units!$P19,0,IF(AND(Units!$K19=0,EC$1=Units!$O19),Units!$R19,IF(AND(EC$1&gt;=Units!$Q19,MOD(EC$1-Units!$Q19,12)=0),IF(AND(Units!$L19=1,EC$1=Units!$Q19),IF(Units!$J19&lt;&gt;"",Units!$J19,Mkt!EC20),Inputs!$B$15*Mkt!EC20+(1-Inputs!$B$15)*MIN(Mkt!EC20,EB20*(1+Inputs!$B$18))),EB20)))</f>
        <v>1740.37171125064</v>
      </c>
      <c r="ED20" s="11" t="n">
        <f aca="false">IF(ED$1&lt;Units!$P19,0,IF(AND(Units!$K19=0,ED$1=Units!$O19),Units!$R19,IF(AND(ED$1&gt;=Units!$Q19,MOD(ED$1-Units!$Q19,12)=0),IF(AND(Units!$L19=1,ED$1=Units!$Q19),IF(Units!$J19&lt;&gt;"",Units!$J19,Mkt!ED20),Inputs!$B$15*Mkt!ED20+(1-Inputs!$B$15)*MIN(Mkt!ED20,EC20*(1+Inputs!$B$18))),EC20)))</f>
        <v>1740.37171125064</v>
      </c>
    </row>
    <row r="21" customFormat="false" ht="15" hidden="false" customHeight="false" outlineLevel="0" collapsed="false">
      <c r="A21" s="22" t="n">
        <f aca="false">Units!A20</f>
        <v>119</v>
      </c>
      <c r="B21" s="24" t="n">
        <f aca="false">IF(Units!K20=1,Units!F20,0)</f>
        <v>1270</v>
      </c>
      <c r="C21" s="11" t="n">
        <f aca="false">IF(C$1&lt;Units!$P20,0,IF(AND(Units!$K20=0,C$1=Units!$O20),Units!$R20,IF(AND(C$1&gt;=Units!$Q20,MOD(C$1-Units!$Q20,12)=0),IF(AND(Units!$L20=1,C$1=Units!$Q20),IF(Units!$J20&lt;&gt;"",Units!$J20,Mkt!C21),Inputs!$B$15*Mkt!C21+(1-Inputs!$B$15)*MIN(Mkt!C21,B21*(1+Inputs!$B$18))),B21)))</f>
        <v>1270</v>
      </c>
      <c r="D21" s="11" t="n">
        <f aca="false">IF(D$1&lt;Units!$P20,0,IF(AND(Units!$K20=0,D$1=Units!$O20),Units!$R20,IF(AND(D$1&gt;=Units!$Q20,MOD(D$1-Units!$Q20,12)=0),IF(AND(Units!$L20=1,D$1=Units!$Q20),IF(Units!$J20&lt;&gt;"",Units!$J20,Mkt!D21),Inputs!$B$15*Mkt!D21+(1-Inputs!$B$15)*MIN(Mkt!D21,C21*(1+Inputs!$B$18))),C21)))</f>
        <v>1270</v>
      </c>
      <c r="E21" s="11" t="n">
        <f aca="false">IF(E$1&lt;Units!$P20,0,IF(AND(Units!$K20=0,E$1=Units!$O20),Units!$R20,IF(AND(E$1&gt;=Units!$Q20,MOD(E$1-Units!$Q20,12)=0),IF(AND(Units!$L20=1,E$1=Units!$Q20),IF(Units!$J20&lt;&gt;"",Units!$J20,Mkt!E21),Inputs!$B$15*Mkt!E21+(1-Inputs!$B$15)*MIN(Mkt!E21,D21*(1+Inputs!$B$18))),D21)))</f>
        <v>1270</v>
      </c>
      <c r="F21" s="11" t="n">
        <f aca="false">IF(F$1&lt;Units!$P20,0,IF(AND(Units!$K20=0,F$1=Units!$O20),Units!$R20,IF(AND(F$1&gt;=Units!$Q20,MOD(F$1-Units!$Q20,12)=0),IF(AND(Units!$L20=1,F$1=Units!$Q20),IF(Units!$J20&lt;&gt;"",Units!$J20,Mkt!F21),Inputs!$B$15*Mkt!F21+(1-Inputs!$B$15)*MIN(Mkt!F21,E21*(1+Inputs!$B$18))),E21)))</f>
        <v>1270</v>
      </c>
      <c r="G21" s="11" t="n">
        <f aca="false">IF(G$1&lt;Units!$P20,0,IF(AND(Units!$K20=0,G$1=Units!$O20),Units!$R20,IF(AND(G$1&gt;=Units!$Q20,MOD(G$1-Units!$Q20,12)=0),IF(AND(Units!$L20=1,G$1=Units!$Q20),IF(Units!$J20&lt;&gt;"",Units!$J20,Mkt!G21),Inputs!$B$15*Mkt!G21+(1-Inputs!$B$15)*MIN(Mkt!G21,F21*(1+Inputs!$B$18))),F21)))</f>
        <v>1270</v>
      </c>
      <c r="H21" s="11" t="n">
        <f aca="false">IF(H$1&lt;Units!$P20,0,IF(AND(Units!$K20=0,H$1=Units!$O20),Units!$R20,IF(AND(H$1&gt;=Units!$Q20,MOD(H$1-Units!$Q20,12)=0),IF(AND(Units!$L20=1,H$1=Units!$Q20),IF(Units!$J20&lt;&gt;"",Units!$J20,Mkt!H21),Inputs!$B$15*Mkt!H21+(1-Inputs!$B$15)*MIN(Mkt!H21,G21*(1+Inputs!$B$18))),G21)))</f>
        <v>1270</v>
      </c>
      <c r="I21" s="11" t="n">
        <f aca="false">IF(I$1&lt;Units!$P20,0,IF(AND(Units!$K20=0,I$1=Units!$O20),Units!$R20,IF(AND(I$1&gt;=Units!$Q20,MOD(I$1-Units!$Q20,12)=0),IF(AND(Units!$L20=1,I$1=Units!$Q20),IF(Units!$J20&lt;&gt;"",Units!$J20,Mkt!I21),Inputs!$B$15*Mkt!I21+(1-Inputs!$B$15)*MIN(Mkt!I21,H21*(1+Inputs!$B$18))),H21)))</f>
        <v>1270</v>
      </c>
      <c r="J21" s="11" t="n">
        <f aca="false">IF(J$1&lt;Units!$P20,0,IF(AND(Units!$K20=0,J$1=Units!$O20),Units!$R20,IF(AND(J$1&gt;=Units!$Q20,MOD(J$1-Units!$Q20,12)=0),IF(AND(Units!$L20=1,J$1=Units!$Q20),IF(Units!$J20&lt;&gt;"",Units!$J20,Mkt!J21),Inputs!$B$15*Mkt!J21+(1-Inputs!$B$15)*MIN(Mkt!J21,I21*(1+Inputs!$B$18))),I21)))</f>
        <v>1270</v>
      </c>
      <c r="K21" s="11" t="n">
        <f aca="false">IF(K$1&lt;Units!$P20,0,IF(AND(Units!$K20=0,K$1=Units!$O20),Units!$R20,IF(AND(K$1&gt;=Units!$Q20,MOD(K$1-Units!$Q20,12)=0),IF(AND(Units!$L20=1,K$1=Units!$Q20),IF(Units!$J20&lt;&gt;"",Units!$J20,Mkt!K21),Inputs!$B$15*Mkt!K21+(1-Inputs!$B$15)*MIN(Mkt!K21,J21*(1+Inputs!$B$18))),J21)))</f>
        <v>1295</v>
      </c>
      <c r="L21" s="11" t="n">
        <f aca="false">IF(L$1&lt;Units!$P20,0,IF(AND(Units!$K20=0,L$1=Units!$O20),Units!$R20,IF(AND(L$1&gt;=Units!$Q20,MOD(L$1-Units!$Q20,12)=0),IF(AND(Units!$L20=1,L$1=Units!$Q20),IF(Units!$J20&lt;&gt;"",Units!$J20,Mkt!L21),Inputs!$B$15*Mkt!L21+(1-Inputs!$B$15)*MIN(Mkt!L21,K21*(1+Inputs!$B$18))),K21)))</f>
        <v>1295</v>
      </c>
      <c r="M21" s="11" t="n">
        <f aca="false">IF(M$1&lt;Units!$P20,0,IF(AND(Units!$K20=0,M$1=Units!$O20),Units!$R20,IF(AND(M$1&gt;=Units!$Q20,MOD(M$1-Units!$Q20,12)=0),IF(AND(Units!$L20=1,M$1=Units!$Q20),IF(Units!$J20&lt;&gt;"",Units!$J20,Mkt!M21),Inputs!$B$15*Mkt!M21+(1-Inputs!$B$15)*MIN(Mkt!M21,L21*(1+Inputs!$B$18))),L21)))</f>
        <v>1295</v>
      </c>
      <c r="N21" s="11" t="n">
        <f aca="false">IF(N$1&lt;Units!$P20,0,IF(AND(Units!$K20=0,N$1=Units!$O20),Units!$R20,IF(AND(N$1&gt;=Units!$Q20,MOD(N$1-Units!$Q20,12)=0),IF(AND(Units!$L20=1,N$1=Units!$Q20),IF(Units!$J20&lt;&gt;"",Units!$J20,Mkt!N21),Inputs!$B$15*Mkt!N21+(1-Inputs!$B$15)*MIN(Mkt!N21,M21*(1+Inputs!$B$18))),M21)))</f>
        <v>1295</v>
      </c>
      <c r="O21" s="11" t="n">
        <f aca="false">IF(O$1&lt;Units!$P20,0,IF(AND(Units!$K20=0,O$1=Units!$O20),Units!$R20,IF(AND(O$1&gt;=Units!$Q20,MOD(O$1-Units!$Q20,12)=0),IF(AND(Units!$L20=1,O$1=Units!$Q20),IF(Units!$J20&lt;&gt;"",Units!$J20,Mkt!O21),Inputs!$B$15*Mkt!O21+(1-Inputs!$B$15)*MIN(Mkt!O21,N21*(1+Inputs!$B$18))),N21)))</f>
        <v>1295</v>
      </c>
      <c r="P21" s="11" t="n">
        <f aca="false">IF(P$1&lt;Units!$P20,0,IF(AND(Units!$K20=0,P$1=Units!$O20),Units!$R20,IF(AND(P$1&gt;=Units!$Q20,MOD(P$1-Units!$Q20,12)=0),IF(AND(Units!$L20=1,P$1=Units!$Q20),IF(Units!$J20&lt;&gt;"",Units!$J20,Mkt!P21),Inputs!$B$15*Mkt!P21+(1-Inputs!$B$15)*MIN(Mkt!P21,O21*(1+Inputs!$B$18))),O21)))</f>
        <v>1295</v>
      </c>
      <c r="Q21" s="11" t="n">
        <f aca="false">IF(Q$1&lt;Units!$P20,0,IF(AND(Units!$K20=0,Q$1=Units!$O20),Units!$R20,IF(AND(Q$1&gt;=Units!$Q20,MOD(Q$1-Units!$Q20,12)=0),IF(AND(Units!$L20=1,Q$1=Units!$Q20),IF(Units!$J20&lt;&gt;"",Units!$J20,Mkt!Q21),Inputs!$B$15*Mkt!Q21+(1-Inputs!$B$15)*MIN(Mkt!Q21,P21*(1+Inputs!$B$18))),P21)))</f>
        <v>1295</v>
      </c>
      <c r="R21" s="11" t="n">
        <f aca="false">IF(R$1&lt;Units!$P20,0,IF(AND(Units!$K20=0,R$1=Units!$O20),Units!$R20,IF(AND(R$1&gt;=Units!$Q20,MOD(R$1-Units!$Q20,12)=0),IF(AND(Units!$L20=1,R$1=Units!$Q20),IF(Units!$J20&lt;&gt;"",Units!$J20,Mkt!R21),Inputs!$B$15*Mkt!R21+(1-Inputs!$B$15)*MIN(Mkt!R21,Q21*(1+Inputs!$B$18))),Q21)))</f>
        <v>1295</v>
      </c>
      <c r="S21" s="11" t="n">
        <f aca="false">IF(S$1&lt;Units!$P20,0,IF(AND(Units!$K20=0,S$1=Units!$O20),Units!$R20,IF(AND(S$1&gt;=Units!$Q20,MOD(S$1-Units!$Q20,12)=0),IF(AND(Units!$L20=1,S$1=Units!$Q20),IF(Units!$J20&lt;&gt;"",Units!$J20,Mkt!S21),Inputs!$B$15*Mkt!S21+(1-Inputs!$B$15)*MIN(Mkt!S21,R21*(1+Inputs!$B$18))),R21)))</f>
        <v>1295</v>
      </c>
      <c r="T21" s="11" t="n">
        <f aca="false">IF(T$1&lt;Units!$P20,0,IF(AND(Units!$K20=0,T$1=Units!$O20),Units!$R20,IF(AND(T$1&gt;=Units!$Q20,MOD(T$1-Units!$Q20,12)=0),IF(AND(Units!$L20=1,T$1=Units!$Q20),IF(Units!$J20&lt;&gt;"",Units!$J20,Mkt!T21),Inputs!$B$15*Mkt!T21+(1-Inputs!$B$15)*MIN(Mkt!T21,S21*(1+Inputs!$B$18))),S21)))</f>
        <v>1295</v>
      </c>
      <c r="U21" s="11" t="n">
        <f aca="false">IF(U$1&lt;Units!$P20,0,IF(AND(Units!$K20=0,U$1=Units!$O20),Units!$R20,IF(AND(U$1&gt;=Units!$Q20,MOD(U$1-Units!$Q20,12)=0),IF(AND(Units!$L20=1,U$1=Units!$Q20),IF(Units!$J20&lt;&gt;"",Units!$J20,Mkt!U21),Inputs!$B$15*Mkt!U21+(1-Inputs!$B$15)*MIN(Mkt!U21,T21*(1+Inputs!$B$18))),T21)))</f>
        <v>1295</v>
      </c>
      <c r="V21" s="11" t="n">
        <f aca="false">IF(V$1&lt;Units!$P20,0,IF(AND(Units!$K20=0,V$1=Units!$O20),Units!$R20,IF(AND(V$1&gt;=Units!$Q20,MOD(V$1-Units!$Q20,12)=0),IF(AND(Units!$L20=1,V$1=Units!$Q20),IF(Units!$J20&lt;&gt;"",Units!$J20,Mkt!V21),Inputs!$B$15*Mkt!V21+(1-Inputs!$B$15)*MIN(Mkt!V21,U21*(1+Inputs!$B$18))),U21)))</f>
        <v>1295</v>
      </c>
      <c r="W21" s="11" t="n">
        <f aca="false">IF(W$1&lt;Units!$P20,0,IF(AND(Units!$K20=0,W$1=Units!$O20),Units!$R20,IF(AND(W$1&gt;=Units!$Q20,MOD(W$1-Units!$Q20,12)=0),IF(AND(Units!$L20=1,W$1=Units!$Q20),IF(Units!$J20&lt;&gt;"",Units!$J20,Mkt!W21),Inputs!$B$15*Mkt!W21+(1-Inputs!$B$15)*MIN(Mkt!W21,V21*(1+Inputs!$B$18))),V21)))</f>
        <v>1333.85</v>
      </c>
      <c r="X21" s="11" t="n">
        <f aca="false">IF(X$1&lt;Units!$P20,0,IF(AND(Units!$K20=0,X$1=Units!$O20),Units!$R20,IF(AND(X$1&gt;=Units!$Q20,MOD(X$1-Units!$Q20,12)=0),IF(AND(Units!$L20=1,X$1=Units!$Q20),IF(Units!$J20&lt;&gt;"",Units!$J20,Mkt!X21),Inputs!$B$15*Mkt!X21+(1-Inputs!$B$15)*MIN(Mkt!X21,W21*(1+Inputs!$B$18))),W21)))</f>
        <v>1333.85</v>
      </c>
      <c r="Y21" s="11" t="n">
        <f aca="false">IF(Y$1&lt;Units!$P20,0,IF(AND(Units!$K20=0,Y$1=Units!$O20),Units!$R20,IF(AND(Y$1&gt;=Units!$Q20,MOD(Y$1-Units!$Q20,12)=0),IF(AND(Units!$L20=1,Y$1=Units!$Q20),IF(Units!$J20&lt;&gt;"",Units!$J20,Mkt!Y21),Inputs!$B$15*Mkt!Y21+(1-Inputs!$B$15)*MIN(Mkt!Y21,X21*(1+Inputs!$B$18))),X21)))</f>
        <v>1333.85</v>
      </c>
      <c r="Z21" s="11" t="n">
        <f aca="false">IF(Z$1&lt;Units!$P20,0,IF(AND(Units!$K20=0,Z$1=Units!$O20),Units!$R20,IF(AND(Z$1&gt;=Units!$Q20,MOD(Z$1-Units!$Q20,12)=0),IF(AND(Units!$L20=1,Z$1=Units!$Q20),IF(Units!$J20&lt;&gt;"",Units!$J20,Mkt!Z21),Inputs!$B$15*Mkt!Z21+(1-Inputs!$B$15)*MIN(Mkt!Z21,Y21*(1+Inputs!$B$18))),Y21)))</f>
        <v>1333.85</v>
      </c>
      <c r="AA21" s="11" t="n">
        <f aca="false">IF(AA$1&lt;Units!$P20,0,IF(AND(Units!$K20=0,AA$1=Units!$O20),Units!$R20,IF(AND(AA$1&gt;=Units!$Q20,MOD(AA$1-Units!$Q20,12)=0),IF(AND(Units!$L20=1,AA$1=Units!$Q20),IF(Units!$J20&lt;&gt;"",Units!$J20,Mkt!AA21),Inputs!$B$15*Mkt!AA21+(1-Inputs!$B$15)*MIN(Mkt!AA21,Z21*(1+Inputs!$B$18))),Z21)))</f>
        <v>1333.85</v>
      </c>
      <c r="AB21" s="11" t="n">
        <f aca="false">IF(AB$1&lt;Units!$P20,0,IF(AND(Units!$K20=0,AB$1=Units!$O20),Units!$R20,IF(AND(AB$1&gt;=Units!$Q20,MOD(AB$1-Units!$Q20,12)=0),IF(AND(Units!$L20=1,AB$1=Units!$Q20),IF(Units!$J20&lt;&gt;"",Units!$J20,Mkt!AB21),Inputs!$B$15*Mkt!AB21+(1-Inputs!$B$15)*MIN(Mkt!AB21,AA21*(1+Inputs!$B$18))),AA21)))</f>
        <v>1333.85</v>
      </c>
      <c r="AC21" s="11" t="n">
        <f aca="false">IF(AC$1&lt;Units!$P20,0,IF(AND(Units!$K20=0,AC$1=Units!$O20),Units!$R20,IF(AND(AC$1&gt;=Units!$Q20,MOD(AC$1-Units!$Q20,12)=0),IF(AND(Units!$L20=1,AC$1=Units!$Q20),IF(Units!$J20&lt;&gt;"",Units!$J20,Mkt!AC21),Inputs!$B$15*Mkt!AC21+(1-Inputs!$B$15)*MIN(Mkt!AC21,AB21*(1+Inputs!$B$18))),AB21)))</f>
        <v>1333.85</v>
      </c>
      <c r="AD21" s="11" t="n">
        <f aca="false">IF(AD$1&lt;Units!$P20,0,IF(AND(Units!$K20=0,AD$1=Units!$O20),Units!$R20,IF(AND(AD$1&gt;=Units!$Q20,MOD(AD$1-Units!$Q20,12)=0),IF(AND(Units!$L20=1,AD$1=Units!$Q20),IF(Units!$J20&lt;&gt;"",Units!$J20,Mkt!AD21),Inputs!$B$15*Mkt!AD21+(1-Inputs!$B$15)*MIN(Mkt!AD21,AC21*(1+Inputs!$B$18))),AC21)))</f>
        <v>1333.85</v>
      </c>
      <c r="AE21" s="11" t="n">
        <f aca="false">IF(AE$1&lt;Units!$P20,0,IF(AND(Units!$K20=0,AE$1=Units!$O20),Units!$R20,IF(AND(AE$1&gt;=Units!$Q20,MOD(AE$1-Units!$Q20,12)=0),IF(AND(Units!$L20=1,AE$1=Units!$Q20),IF(Units!$J20&lt;&gt;"",Units!$J20,Mkt!AE21),Inputs!$B$15*Mkt!AE21+(1-Inputs!$B$15)*MIN(Mkt!AE21,AD21*(1+Inputs!$B$18))),AD21)))</f>
        <v>1333.85</v>
      </c>
      <c r="AF21" s="11" t="n">
        <f aca="false">IF(AF$1&lt;Units!$P20,0,IF(AND(Units!$K20=0,AF$1=Units!$O20),Units!$R20,IF(AND(AF$1&gt;=Units!$Q20,MOD(AF$1-Units!$Q20,12)=0),IF(AND(Units!$L20=1,AF$1=Units!$Q20),IF(Units!$J20&lt;&gt;"",Units!$J20,Mkt!AF21),Inputs!$B$15*Mkt!AF21+(1-Inputs!$B$15)*MIN(Mkt!AF21,AE21*(1+Inputs!$B$18))),AE21)))</f>
        <v>1333.85</v>
      </c>
      <c r="AG21" s="11" t="n">
        <f aca="false">IF(AG$1&lt;Units!$P20,0,IF(AND(Units!$K20=0,AG$1=Units!$O20),Units!$R20,IF(AND(AG$1&gt;=Units!$Q20,MOD(AG$1-Units!$Q20,12)=0),IF(AND(Units!$L20=1,AG$1=Units!$Q20),IF(Units!$J20&lt;&gt;"",Units!$J20,Mkt!AG21),Inputs!$B$15*Mkt!AG21+(1-Inputs!$B$15)*MIN(Mkt!AG21,AF21*(1+Inputs!$B$18))),AF21)))</f>
        <v>1333.85</v>
      </c>
      <c r="AH21" s="11" t="n">
        <f aca="false">IF(AH$1&lt;Units!$P20,0,IF(AND(Units!$K20=0,AH$1=Units!$O20),Units!$R20,IF(AND(AH$1&gt;=Units!$Q20,MOD(AH$1-Units!$Q20,12)=0),IF(AND(Units!$L20=1,AH$1=Units!$Q20),IF(Units!$J20&lt;&gt;"",Units!$J20,Mkt!AH21),Inputs!$B$15*Mkt!AH21+(1-Inputs!$B$15)*MIN(Mkt!AH21,AG21*(1+Inputs!$B$18))),AG21)))</f>
        <v>1333.85</v>
      </c>
      <c r="AI21" s="11" t="n">
        <f aca="false">IF(AI$1&lt;Units!$P20,0,IF(AND(Units!$K20=0,AI$1=Units!$O20),Units!$R20,IF(AND(AI$1&gt;=Units!$Q20,MOD(AI$1-Units!$Q20,12)=0),IF(AND(Units!$L20=1,AI$1=Units!$Q20),IF(Units!$J20&lt;&gt;"",Units!$J20,Mkt!AI21),Inputs!$B$15*Mkt!AI21+(1-Inputs!$B$15)*MIN(Mkt!AI21,AH21*(1+Inputs!$B$18))),AH21)))</f>
        <v>1373.8655</v>
      </c>
      <c r="AJ21" s="11" t="n">
        <f aca="false">IF(AJ$1&lt;Units!$P20,0,IF(AND(Units!$K20=0,AJ$1=Units!$O20),Units!$R20,IF(AND(AJ$1&gt;=Units!$Q20,MOD(AJ$1-Units!$Q20,12)=0),IF(AND(Units!$L20=1,AJ$1=Units!$Q20),IF(Units!$J20&lt;&gt;"",Units!$J20,Mkt!AJ21),Inputs!$B$15*Mkt!AJ21+(1-Inputs!$B$15)*MIN(Mkt!AJ21,AI21*(1+Inputs!$B$18))),AI21)))</f>
        <v>1373.8655</v>
      </c>
      <c r="AK21" s="11" t="n">
        <f aca="false">IF(AK$1&lt;Units!$P20,0,IF(AND(Units!$K20=0,AK$1=Units!$O20),Units!$R20,IF(AND(AK$1&gt;=Units!$Q20,MOD(AK$1-Units!$Q20,12)=0),IF(AND(Units!$L20=1,AK$1=Units!$Q20),IF(Units!$J20&lt;&gt;"",Units!$J20,Mkt!AK21),Inputs!$B$15*Mkt!AK21+(1-Inputs!$B$15)*MIN(Mkt!AK21,AJ21*(1+Inputs!$B$18))),AJ21)))</f>
        <v>1373.8655</v>
      </c>
      <c r="AL21" s="11" t="n">
        <f aca="false">IF(AL$1&lt;Units!$P20,0,IF(AND(Units!$K20=0,AL$1=Units!$O20),Units!$R20,IF(AND(AL$1&gt;=Units!$Q20,MOD(AL$1-Units!$Q20,12)=0),IF(AND(Units!$L20=1,AL$1=Units!$Q20),IF(Units!$J20&lt;&gt;"",Units!$J20,Mkt!AL21),Inputs!$B$15*Mkt!AL21+(1-Inputs!$B$15)*MIN(Mkt!AL21,AK21*(1+Inputs!$B$18))),AK21)))</f>
        <v>1373.8655</v>
      </c>
      <c r="AM21" s="11" t="n">
        <f aca="false">IF(AM$1&lt;Units!$P20,0,IF(AND(Units!$K20=0,AM$1=Units!$O20),Units!$R20,IF(AND(AM$1&gt;=Units!$Q20,MOD(AM$1-Units!$Q20,12)=0),IF(AND(Units!$L20=1,AM$1=Units!$Q20),IF(Units!$J20&lt;&gt;"",Units!$J20,Mkt!AM21),Inputs!$B$15*Mkt!AM21+(1-Inputs!$B$15)*MIN(Mkt!AM21,AL21*(1+Inputs!$B$18))),AL21)))</f>
        <v>1373.8655</v>
      </c>
      <c r="AN21" s="11" t="n">
        <f aca="false">IF(AN$1&lt;Units!$P20,0,IF(AND(Units!$K20=0,AN$1=Units!$O20),Units!$R20,IF(AND(AN$1&gt;=Units!$Q20,MOD(AN$1-Units!$Q20,12)=0),IF(AND(Units!$L20=1,AN$1=Units!$Q20),IF(Units!$J20&lt;&gt;"",Units!$J20,Mkt!AN21),Inputs!$B$15*Mkt!AN21+(1-Inputs!$B$15)*MIN(Mkt!AN21,AM21*(1+Inputs!$B$18))),AM21)))</f>
        <v>1373.8655</v>
      </c>
      <c r="AO21" s="11" t="n">
        <f aca="false">IF(AO$1&lt;Units!$P20,0,IF(AND(Units!$K20=0,AO$1=Units!$O20),Units!$R20,IF(AND(AO$1&gt;=Units!$Q20,MOD(AO$1-Units!$Q20,12)=0),IF(AND(Units!$L20=1,AO$1=Units!$Q20),IF(Units!$J20&lt;&gt;"",Units!$J20,Mkt!AO21),Inputs!$B$15*Mkt!AO21+(1-Inputs!$B$15)*MIN(Mkt!AO21,AN21*(1+Inputs!$B$18))),AN21)))</f>
        <v>1373.8655</v>
      </c>
      <c r="AP21" s="11" t="n">
        <f aca="false">IF(AP$1&lt;Units!$P20,0,IF(AND(Units!$K20=0,AP$1=Units!$O20),Units!$R20,IF(AND(AP$1&gt;=Units!$Q20,MOD(AP$1-Units!$Q20,12)=0),IF(AND(Units!$L20=1,AP$1=Units!$Q20),IF(Units!$J20&lt;&gt;"",Units!$J20,Mkt!AP21),Inputs!$B$15*Mkt!AP21+(1-Inputs!$B$15)*MIN(Mkt!AP21,AO21*(1+Inputs!$B$18))),AO21)))</f>
        <v>1373.8655</v>
      </c>
      <c r="AQ21" s="11" t="n">
        <f aca="false">IF(AQ$1&lt;Units!$P20,0,IF(AND(Units!$K20=0,AQ$1=Units!$O20),Units!$R20,IF(AND(AQ$1&gt;=Units!$Q20,MOD(AQ$1-Units!$Q20,12)=0),IF(AND(Units!$L20=1,AQ$1=Units!$Q20),IF(Units!$J20&lt;&gt;"",Units!$J20,Mkt!AQ21),Inputs!$B$15*Mkt!AQ21+(1-Inputs!$B$15)*MIN(Mkt!AQ21,AP21*(1+Inputs!$B$18))),AP21)))</f>
        <v>1373.8655</v>
      </c>
      <c r="AR21" s="11" t="n">
        <f aca="false">IF(AR$1&lt;Units!$P20,0,IF(AND(Units!$K20=0,AR$1=Units!$O20),Units!$R20,IF(AND(AR$1&gt;=Units!$Q20,MOD(AR$1-Units!$Q20,12)=0),IF(AND(Units!$L20=1,AR$1=Units!$Q20),IF(Units!$J20&lt;&gt;"",Units!$J20,Mkt!AR21),Inputs!$B$15*Mkt!AR21+(1-Inputs!$B$15)*MIN(Mkt!AR21,AQ21*(1+Inputs!$B$18))),AQ21)))</f>
        <v>1373.8655</v>
      </c>
      <c r="AS21" s="11" t="n">
        <f aca="false">IF(AS$1&lt;Units!$P20,0,IF(AND(Units!$K20=0,AS$1=Units!$O20),Units!$R20,IF(AND(AS$1&gt;=Units!$Q20,MOD(AS$1-Units!$Q20,12)=0),IF(AND(Units!$L20=1,AS$1=Units!$Q20),IF(Units!$J20&lt;&gt;"",Units!$J20,Mkt!AS21),Inputs!$B$15*Mkt!AS21+(1-Inputs!$B$15)*MIN(Mkt!AS21,AR21*(1+Inputs!$B$18))),AR21)))</f>
        <v>1373.8655</v>
      </c>
      <c r="AT21" s="11" t="n">
        <f aca="false">IF(AT$1&lt;Units!$P20,0,IF(AND(Units!$K20=0,AT$1=Units!$O20),Units!$R20,IF(AND(AT$1&gt;=Units!$Q20,MOD(AT$1-Units!$Q20,12)=0),IF(AND(Units!$L20=1,AT$1=Units!$Q20),IF(Units!$J20&lt;&gt;"",Units!$J20,Mkt!AT21),Inputs!$B$15*Mkt!AT21+(1-Inputs!$B$15)*MIN(Mkt!AT21,AS21*(1+Inputs!$B$18))),AS21)))</f>
        <v>1373.8655</v>
      </c>
      <c r="AU21" s="11" t="n">
        <f aca="false">IF(AU$1&lt;Units!$P20,0,IF(AND(Units!$K20=0,AU$1=Units!$O20),Units!$R20,IF(AND(AU$1&gt;=Units!$Q20,MOD(AU$1-Units!$Q20,12)=0),IF(AND(Units!$L20=1,AU$1=Units!$Q20),IF(Units!$J20&lt;&gt;"",Units!$J20,Mkt!AU21),Inputs!$B$15*Mkt!AU21+(1-Inputs!$B$15)*MIN(Mkt!AU21,AT21*(1+Inputs!$B$18))),AT21)))</f>
        <v>1415.081465</v>
      </c>
      <c r="AV21" s="11" t="n">
        <f aca="false">IF(AV$1&lt;Units!$P20,0,IF(AND(Units!$K20=0,AV$1=Units!$O20),Units!$R20,IF(AND(AV$1&gt;=Units!$Q20,MOD(AV$1-Units!$Q20,12)=0),IF(AND(Units!$L20=1,AV$1=Units!$Q20),IF(Units!$J20&lt;&gt;"",Units!$J20,Mkt!AV21),Inputs!$B$15*Mkt!AV21+(1-Inputs!$B$15)*MIN(Mkt!AV21,AU21*(1+Inputs!$B$18))),AU21)))</f>
        <v>1415.081465</v>
      </c>
      <c r="AW21" s="11" t="n">
        <f aca="false">IF(AW$1&lt;Units!$P20,0,IF(AND(Units!$K20=0,AW$1=Units!$O20),Units!$R20,IF(AND(AW$1&gt;=Units!$Q20,MOD(AW$1-Units!$Q20,12)=0),IF(AND(Units!$L20=1,AW$1=Units!$Q20),IF(Units!$J20&lt;&gt;"",Units!$J20,Mkt!AW21),Inputs!$B$15*Mkt!AW21+(1-Inputs!$B$15)*MIN(Mkt!AW21,AV21*(1+Inputs!$B$18))),AV21)))</f>
        <v>1415.081465</v>
      </c>
      <c r="AX21" s="11" t="n">
        <f aca="false">IF(AX$1&lt;Units!$P20,0,IF(AND(Units!$K20=0,AX$1=Units!$O20),Units!$R20,IF(AND(AX$1&gt;=Units!$Q20,MOD(AX$1-Units!$Q20,12)=0),IF(AND(Units!$L20=1,AX$1=Units!$Q20),IF(Units!$J20&lt;&gt;"",Units!$J20,Mkt!AX21),Inputs!$B$15*Mkt!AX21+(1-Inputs!$B$15)*MIN(Mkt!AX21,AW21*(1+Inputs!$B$18))),AW21)))</f>
        <v>1415.081465</v>
      </c>
      <c r="AY21" s="11" t="n">
        <f aca="false">IF(AY$1&lt;Units!$P20,0,IF(AND(Units!$K20=0,AY$1=Units!$O20),Units!$R20,IF(AND(AY$1&gt;=Units!$Q20,MOD(AY$1-Units!$Q20,12)=0),IF(AND(Units!$L20=1,AY$1=Units!$Q20),IF(Units!$J20&lt;&gt;"",Units!$J20,Mkt!AY21),Inputs!$B$15*Mkt!AY21+(1-Inputs!$B$15)*MIN(Mkt!AY21,AX21*(1+Inputs!$B$18))),AX21)))</f>
        <v>1415.081465</v>
      </c>
      <c r="AZ21" s="11" t="n">
        <f aca="false">IF(AZ$1&lt;Units!$P20,0,IF(AND(Units!$K20=0,AZ$1=Units!$O20),Units!$R20,IF(AND(AZ$1&gt;=Units!$Q20,MOD(AZ$1-Units!$Q20,12)=0),IF(AND(Units!$L20=1,AZ$1=Units!$Q20),IF(Units!$J20&lt;&gt;"",Units!$J20,Mkt!AZ21),Inputs!$B$15*Mkt!AZ21+(1-Inputs!$B$15)*MIN(Mkt!AZ21,AY21*(1+Inputs!$B$18))),AY21)))</f>
        <v>1415.081465</v>
      </c>
      <c r="BA21" s="11" t="n">
        <f aca="false">IF(BA$1&lt;Units!$P20,0,IF(AND(Units!$K20=0,BA$1=Units!$O20),Units!$R20,IF(AND(BA$1&gt;=Units!$Q20,MOD(BA$1-Units!$Q20,12)=0),IF(AND(Units!$L20=1,BA$1=Units!$Q20),IF(Units!$J20&lt;&gt;"",Units!$J20,Mkt!BA21),Inputs!$B$15*Mkt!BA21+(1-Inputs!$B$15)*MIN(Mkt!BA21,AZ21*(1+Inputs!$B$18))),AZ21)))</f>
        <v>1415.081465</v>
      </c>
      <c r="BB21" s="11" t="n">
        <f aca="false">IF(BB$1&lt;Units!$P20,0,IF(AND(Units!$K20=0,BB$1=Units!$O20),Units!$R20,IF(AND(BB$1&gt;=Units!$Q20,MOD(BB$1-Units!$Q20,12)=0),IF(AND(Units!$L20=1,BB$1=Units!$Q20),IF(Units!$J20&lt;&gt;"",Units!$J20,Mkt!BB21),Inputs!$B$15*Mkt!BB21+(1-Inputs!$B$15)*MIN(Mkt!BB21,BA21*(1+Inputs!$B$18))),BA21)))</f>
        <v>1415.081465</v>
      </c>
      <c r="BC21" s="11" t="n">
        <f aca="false">IF(BC$1&lt;Units!$P20,0,IF(AND(Units!$K20=0,BC$1=Units!$O20),Units!$R20,IF(AND(BC$1&gt;=Units!$Q20,MOD(BC$1-Units!$Q20,12)=0),IF(AND(Units!$L20=1,BC$1=Units!$Q20),IF(Units!$J20&lt;&gt;"",Units!$J20,Mkt!BC21),Inputs!$B$15*Mkt!BC21+(1-Inputs!$B$15)*MIN(Mkt!BC21,BB21*(1+Inputs!$B$18))),BB21)))</f>
        <v>1415.081465</v>
      </c>
      <c r="BD21" s="11" t="n">
        <f aca="false">IF(BD$1&lt;Units!$P20,0,IF(AND(Units!$K20=0,BD$1=Units!$O20),Units!$R20,IF(AND(BD$1&gt;=Units!$Q20,MOD(BD$1-Units!$Q20,12)=0),IF(AND(Units!$L20=1,BD$1=Units!$Q20),IF(Units!$J20&lt;&gt;"",Units!$J20,Mkt!BD21),Inputs!$B$15*Mkt!BD21+(1-Inputs!$B$15)*MIN(Mkt!BD21,BC21*(1+Inputs!$B$18))),BC21)))</f>
        <v>1415.081465</v>
      </c>
      <c r="BE21" s="11" t="n">
        <f aca="false">IF(BE$1&lt;Units!$P20,0,IF(AND(Units!$K20=0,BE$1=Units!$O20),Units!$R20,IF(AND(BE$1&gt;=Units!$Q20,MOD(BE$1-Units!$Q20,12)=0),IF(AND(Units!$L20=1,BE$1=Units!$Q20),IF(Units!$J20&lt;&gt;"",Units!$J20,Mkt!BE21),Inputs!$B$15*Mkt!BE21+(1-Inputs!$B$15)*MIN(Mkt!BE21,BD21*(1+Inputs!$B$18))),BD21)))</f>
        <v>1415.081465</v>
      </c>
      <c r="BF21" s="11" t="n">
        <f aca="false">IF(BF$1&lt;Units!$P20,0,IF(AND(Units!$K20=0,BF$1=Units!$O20),Units!$R20,IF(AND(BF$1&gt;=Units!$Q20,MOD(BF$1-Units!$Q20,12)=0),IF(AND(Units!$L20=1,BF$1=Units!$Q20),IF(Units!$J20&lt;&gt;"",Units!$J20,Mkt!BF21),Inputs!$B$15*Mkt!BF21+(1-Inputs!$B$15)*MIN(Mkt!BF21,BE21*(1+Inputs!$B$18))),BE21)))</f>
        <v>1415.081465</v>
      </c>
      <c r="BG21" s="11" t="n">
        <f aca="false">IF(BG$1&lt;Units!$P20,0,IF(AND(Units!$K20=0,BG$1=Units!$O20),Units!$R20,IF(AND(BG$1&gt;=Units!$Q20,MOD(BG$1-Units!$Q20,12)=0),IF(AND(Units!$L20=1,BG$1=Units!$Q20),IF(Units!$J20&lt;&gt;"",Units!$J20,Mkt!BG21),Inputs!$B$15*Mkt!BG21+(1-Inputs!$B$15)*MIN(Mkt!BG21,BF21*(1+Inputs!$B$18))),BF21)))</f>
        <v>1457.53390895</v>
      </c>
      <c r="BH21" s="11" t="n">
        <f aca="false">IF(BH$1&lt;Units!$P20,0,IF(AND(Units!$K20=0,BH$1=Units!$O20),Units!$R20,IF(AND(BH$1&gt;=Units!$Q20,MOD(BH$1-Units!$Q20,12)=0),IF(AND(Units!$L20=1,BH$1=Units!$Q20),IF(Units!$J20&lt;&gt;"",Units!$J20,Mkt!BH21),Inputs!$B$15*Mkt!BH21+(1-Inputs!$B$15)*MIN(Mkt!BH21,BG21*(1+Inputs!$B$18))),BG21)))</f>
        <v>1457.53390895</v>
      </c>
      <c r="BI21" s="11" t="n">
        <f aca="false">IF(BI$1&lt;Units!$P20,0,IF(AND(Units!$K20=0,BI$1=Units!$O20),Units!$R20,IF(AND(BI$1&gt;=Units!$Q20,MOD(BI$1-Units!$Q20,12)=0),IF(AND(Units!$L20=1,BI$1=Units!$Q20),IF(Units!$J20&lt;&gt;"",Units!$J20,Mkt!BI21),Inputs!$B$15*Mkt!BI21+(1-Inputs!$B$15)*MIN(Mkt!BI21,BH21*(1+Inputs!$B$18))),BH21)))</f>
        <v>1457.53390895</v>
      </c>
      <c r="BJ21" s="11" t="n">
        <f aca="false">IF(BJ$1&lt;Units!$P20,0,IF(AND(Units!$K20=0,BJ$1=Units!$O20),Units!$R20,IF(AND(BJ$1&gt;=Units!$Q20,MOD(BJ$1-Units!$Q20,12)=0),IF(AND(Units!$L20=1,BJ$1=Units!$Q20),IF(Units!$J20&lt;&gt;"",Units!$J20,Mkt!BJ21),Inputs!$B$15*Mkt!BJ21+(1-Inputs!$B$15)*MIN(Mkt!BJ21,BI21*(1+Inputs!$B$18))),BI21)))</f>
        <v>1457.53390895</v>
      </c>
      <c r="BK21" s="11" t="n">
        <f aca="false">IF(BK$1&lt;Units!$P20,0,IF(AND(Units!$K20=0,BK$1=Units!$O20),Units!$R20,IF(AND(BK$1&gt;=Units!$Q20,MOD(BK$1-Units!$Q20,12)=0),IF(AND(Units!$L20=1,BK$1=Units!$Q20),IF(Units!$J20&lt;&gt;"",Units!$J20,Mkt!BK21),Inputs!$B$15*Mkt!BK21+(1-Inputs!$B$15)*MIN(Mkt!BK21,BJ21*(1+Inputs!$B$18))),BJ21)))</f>
        <v>1457.53390895</v>
      </c>
      <c r="BL21" s="11" t="n">
        <f aca="false">IF(BL$1&lt;Units!$P20,0,IF(AND(Units!$K20=0,BL$1=Units!$O20),Units!$R20,IF(AND(BL$1&gt;=Units!$Q20,MOD(BL$1-Units!$Q20,12)=0),IF(AND(Units!$L20=1,BL$1=Units!$Q20),IF(Units!$J20&lt;&gt;"",Units!$J20,Mkt!BL21),Inputs!$B$15*Mkt!BL21+(1-Inputs!$B$15)*MIN(Mkt!BL21,BK21*(1+Inputs!$B$18))),BK21)))</f>
        <v>1457.53390895</v>
      </c>
      <c r="BM21" s="11" t="n">
        <f aca="false">IF(BM$1&lt;Units!$P20,0,IF(AND(Units!$K20=0,BM$1=Units!$O20),Units!$R20,IF(AND(BM$1&gt;=Units!$Q20,MOD(BM$1-Units!$Q20,12)=0),IF(AND(Units!$L20=1,BM$1=Units!$Q20),IF(Units!$J20&lt;&gt;"",Units!$J20,Mkt!BM21),Inputs!$B$15*Mkt!BM21+(1-Inputs!$B$15)*MIN(Mkt!BM21,BL21*(1+Inputs!$B$18))),BL21)))</f>
        <v>1457.53390895</v>
      </c>
      <c r="BN21" s="11" t="n">
        <f aca="false">IF(BN$1&lt;Units!$P20,0,IF(AND(Units!$K20=0,BN$1=Units!$O20),Units!$R20,IF(AND(BN$1&gt;=Units!$Q20,MOD(BN$1-Units!$Q20,12)=0),IF(AND(Units!$L20=1,BN$1=Units!$Q20),IF(Units!$J20&lt;&gt;"",Units!$J20,Mkt!BN21),Inputs!$B$15*Mkt!BN21+(1-Inputs!$B$15)*MIN(Mkt!BN21,BM21*(1+Inputs!$B$18))),BM21)))</f>
        <v>1457.53390895</v>
      </c>
      <c r="BO21" s="11" t="n">
        <f aca="false">IF(BO$1&lt;Units!$P20,0,IF(AND(Units!$K20=0,BO$1=Units!$O20),Units!$R20,IF(AND(BO$1&gt;=Units!$Q20,MOD(BO$1-Units!$Q20,12)=0),IF(AND(Units!$L20=1,BO$1=Units!$Q20),IF(Units!$J20&lt;&gt;"",Units!$J20,Mkt!BO21),Inputs!$B$15*Mkt!BO21+(1-Inputs!$B$15)*MIN(Mkt!BO21,BN21*(1+Inputs!$B$18))),BN21)))</f>
        <v>1457.53390895</v>
      </c>
      <c r="BP21" s="11" t="n">
        <f aca="false">IF(BP$1&lt;Units!$P20,0,IF(AND(Units!$K20=0,BP$1=Units!$O20),Units!$R20,IF(AND(BP$1&gt;=Units!$Q20,MOD(BP$1-Units!$Q20,12)=0),IF(AND(Units!$L20=1,BP$1=Units!$Q20),IF(Units!$J20&lt;&gt;"",Units!$J20,Mkt!BP21),Inputs!$B$15*Mkt!BP21+(1-Inputs!$B$15)*MIN(Mkt!BP21,BO21*(1+Inputs!$B$18))),BO21)))</f>
        <v>1457.53390895</v>
      </c>
      <c r="BQ21" s="11" t="n">
        <f aca="false">IF(BQ$1&lt;Units!$P20,0,IF(AND(Units!$K20=0,BQ$1=Units!$O20),Units!$R20,IF(AND(BQ$1&gt;=Units!$Q20,MOD(BQ$1-Units!$Q20,12)=0),IF(AND(Units!$L20=1,BQ$1=Units!$Q20),IF(Units!$J20&lt;&gt;"",Units!$J20,Mkt!BQ21),Inputs!$B$15*Mkt!BQ21+(1-Inputs!$B$15)*MIN(Mkt!BQ21,BP21*(1+Inputs!$B$18))),BP21)))</f>
        <v>1457.53390895</v>
      </c>
      <c r="BR21" s="11" t="n">
        <f aca="false">IF(BR$1&lt;Units!$P20,0,IF(AND(Units!$K20=0,BR$1=Units!$O20),Units!$R20,IF(AND(BR$1&gt;=Units!$Q20,MOD(BR$1-Units!$Q20,12)=0),IF(AND(Units!$L20=1,BR$1=Units!$Q20),IF(Units!$J20&lt;&gt;"",Units!$J20,Mkt!BR21),Inputs!$B$15*Mkt!BR21+(1-Inputs!$B$15)*MIN(Mkt!BR21,BQ21*(1+Inputs!$B$18))),BQ21)))</f>
        <v>1457.53390895</v>
      </c>
      <c r="BS21" s="11" t="n">
        <f aca="false">IF(BS$1&lt;Units!$P20,0,IF(AND(Units!$K20=0,BS$1=Units!$O20),Units!$R20,IF(AND(BS$1&gt;=Units!$Q20,MOD(BS$1-Units!$Q20,12)=0),IF(AND(Units!$L20=1,BS$1=Units!$Q20),IF(Units!$J20&lt;&gt;"",Units!$J20,Mkt!BS21),Inputs!$B$15*Mkt!BS21+(1-Inputs!$B$15)*MIN(Mkt!BS21,BR21*(1+Inputs!$B$18))),BR21)))</f>
        <v>1501.2599262185</v>
      </c>
      <c r="BT21" s="11" t="n">
        <f aca="false">IF(BT$1&lt;Units!$P20,0,IF(AND(Units!$K20=0,BT$1=Units!$O20),Units!$R20,IF(AND(BT$1&gt;=Units!$Q20,MOD(BT$1-Units!$Q20,12)=0),IF(AND(Units!$L20=1,BT$1=Units!$Q20),IF(Units!$J20&lt;&gt;"",Units!$J20,Mkt!BT21),Inputs!$B$15*Mkt!BT21+(1-Inputs!$B$15)*MIN(Mkt!BT21,BS21*(1+Inputs!$B$18))),BS21)))</f>
        <v>1501.2599262185</v>
      </c>
      <c r="BU21" s="11" t="n">
        <f aca="false">IF(BU$1&lt;Units!$P20,0,IF(AND(Units!$K20=0,BU$1=Units!$O20),Units!$R20,IF(AND(BU$1&gt;=Units!$Q20,MOD(BU$1-Units!$Q20,12)=0),IF(AND(Units!$L20=1,BU$1=Units!$Q20),IF(Units!$J20&lt;&gt;"",Units!$J20,Mkt!BU21),Inputs!$B$15*Mkt!BU21+(1-Inputs!$B$15)*MIN(Mkt!BU21,BT21*(1+Inputs!$B$18))),BT21)))</f>
        <v>1501.2599262185</v>
      </c>
      <c r="BV21" s="11" t="n">
        <f aca="false">IF(BV$1&lt;Units!$P20,0,IF(AND(Units!$K20=0,BV$1=Units!$O20),Units!$R20,IF(AND(BV$1&gt;=Units!$Q20,MOD(BV$1-Units!$Q20,12)=0),IF(AND(Units!$L20=1,BV$1=Units!$Q20),IF(Units!$J20&lt;&gt;"",Units!$J20,Mkt!BV21),Inputs!$B$15*Mkt!BV21+(1-Inputs!$B$15)*MIN(Mkt!BV21,BU21*(1+Inputs!$B$18))),BU21)))</f>
        <v>1501.2599262185</v>
      </c>
      <c r="BW21" s="11" t="n">
        <f aca="false">IF(BW$1&lt;Units!$P20,0,IF(AND(Units!$K20=0,BW$1=Units!$O20),Units!$R20,IF(AND(BW$1&gt;=Units!$Q20,MOD(BW$1-Units!$Q20,12)=0),IF(AND(Units!$L20=1,BW$1=Units!$Q20),IF(Units!$J20&lt;&gt;"",Units!$J20,Mkt!BW21),Inputs!$B$15*Mkt!BW21+(1-Inputs!$B$15)*MIN(Mkt!BW21,BV21*(1+Inputs!$B$18))),BV21)))</f>
        <v>1501.2599262185</v>
      </c>
      <c r="BX21" s="11" t="n">
        <f aca="false">IF(BX$1&lt;Units!$P20,0,IF(AND(Units!$K20=0,BX$1=Units!$O20),Units!$R20,IF(AND(BX$1&gt;=Units!$Q20,MOD(BX$1-Units!$Q20,12)=0),IF(AND(Units!$L20=1,BX$1=Units!$Q20),IF(Units!$J20&lt;&gt;"",Units!$J20,Mkt!BX21),Inputs!$B$15*Mkt!BX21+(1-Inputs!$B$15)*MIN(Mkt!BX21,BW21*(1+Inputs!$B$18))),BW21)))</f>
        <v>1501.2599262185</v>
      </c>
      <c r="BY21" s="11" t="n">
        <f aca="false">IF(BY$1&lt;Units!$P20,0,IF(AND(Units!$K20=0,BY$1=Units!$O20),Units!$R20,IF(AND(BY$1&gt;=Units!$Q20,MOD(BY$1-Units!$Q20,12)=0),IF(AND(Units!$L20=1,BY$1=Units!$Q20),IF(Units!$J20&lt;&gt;"",Units!$J20,Mkt!BY21),Inputs!$B$15*Mkt!BY21+(1-Inputs!$B$15)*MIN(Mkt!BY21,BX21*(1+Inputs!$B$18))),BX21)))</f>
        <v>1501.2599262185</v>
      </c>
      <c r="BZ21" s="11" t="n">
        <f aca="false">IF(BZ$1&lt;Units!$P20,0,IF(AND(Units!$K20=0,BZ$1=Units!$O20),Units!$R20,IF(AND(BZ$1&gt;=Units!$Q20,MOD(BZ$1-Units!$Q20,12)=0),IF(AND(Units!$L20=1,BZ$1=Units!$Q20),IF(Units!$J20&lt;&gt;"",Units!$J20,Mkt!BZ21),Inputs!$B$15*Mkt!BZ21+(1-Inputs!$B$15)*MIN(Mkt!BZ21,BY21*(1+Inputs!$B$18))),BY21)))</f>
        <v>1501.2599262185</v>
      </c>
      <c r="CA21" s="11" t="n">
        <f aca="false">IF(CA$1&lt;Units!$P20,0,IF(AND(Units!$K20=0,CA$1=Units!$O20),Units!$R20,IF(AND(CA$1&gt;=Units!$Q20,MOD(CA$1-Units!$Q20,12)=0),IF(AND(Units!$L20=1,CA$1=Units!$Q20),IF(Units!$J20&lt;&gt;"",Units!$J20,Mkt!CA21),Inputs!$B$15*Mkt!CA21+(1-Inputs!$B$15)*MIN(Mkt!CA21,BZ21*(1+Inputs!$B$18))),BZ21)))</f>
        <v>1501.2599262185</v>
      </c>
      <c r="CB21" s="11" t="n">
        <f aca="false">IF(CB$1&lt;Units!$P20,0,IF(AND(Units!$K20=0,CB$1=Units!$O20),Units!$R20,IF(AND(CB$1&gt;=Units!$Q20,MOD(CB$1-Units!$Q20,12)=0),IF(AND(Units!$L20=1,CB$1=Units!$Q20),IF(Units!$J20&lt;&gt;"",Units!$J20,Mkt!CB21),Inputs!$B$15*Mkt!CB21+(1-Inputs!$B$15)*MIN(Mkt!CB21,CA21*(1+Inputs!$B$18))),CA21)))</f>
        <v>1501.2599262185</v>
      </c>
      <c r="CC21" s="11" t="n">
        <f aca="false">IF(CC$1&lt;Units!$P20,0,IF(AND(Units!$K20=0,CC$1=Units!$O20),Units!$R20,IF(AND(CC$1&gt;=Units!$Q20,MOD(CC$1-Units!$Q20,12)=0),IF(AND(Units!$L20=1,CC$1=Units!$Q20),IF(Units!$J20&lt;&gt;"",Units!$J20,Mkt!CC21),Inputs!$B$15*Mkt!CC21+(1-Inputs!$B$15)*MIN(Mkt!CC21,CB21*(1+Inputs!$B$18))),CB21)))</f>
        <v>1501.2599262185</v>
      </c>
      <c r="CD21" s="11" t="n">
        <f aca="false">IF(CD$1&lt;Units!$P20,0,IF(AND(Units!$K20=0,CD$1=Units!$O20),Units!$R20,IF(AND(CD$1&gt;=Units!$Q20,MOD(CD$1-Units!$Q20,12)=0),IF(AND(Units!$L20=1,CD$1=Units!$Q20),IF(Units!$J20&lt;&gt;"",Units!$J20,Mkt!CD21),Inputs!$B$15*Mkt!CD21+(1-Inputs!$B$15)*MIN(Mkt!CD21,CC21*(1+Inputs!$B$18))),CC21)))</f>
        <v>1501.2599262185</v>
      </c>
      <c r="CE21" s="11" t="n">
        <f aca="false">IF(CE$1&lt;Units!$P20,0,IF(AND(Units!$K20=0,CE$1=Units!$O20),Units!$R20,IF(AND(CE$1&gt;=Units!$Q20,MOD(CE$1-Units!$Q20,12)=0),IF(AND(Units!$L20=1,CE$1=Units!$Q20),IF(Units!$J20&lt;&gt;"",Units!$J20,Mkt!CE21),Inputs!$B$15*Mkt!CE21+(1-Inputs!$B$15)*MIN(Mkt!CE21,CD21*(1+Inputs!$B$18))),CD21)))</f>
        <v>1546.29772400506</v>
      </c>
      <c r="CF21" s="11" t="n">
        <f aca="false">IF(CF$1&lt;Units!$P20,0,IF(AND(Units!$K20=0,CF$1=Units!$O20),Units!$R20,IF(AND(CF$1&gt;=Units!$Q20,MOD(CF$1-Units!$Q20,12)=0),IF(AND(Units!$L20=1,CF$1=Units!$Q20),IF(Units!$J20&lt;&gt;"",Units!$J20,Mkt!CF21),Inputs!$B$15*Mkt!CF21+(1-Inputs!$B$15)*MIN(Mkt!CF21,CE21*(1+Inputs!$B$18))),CE21)))</f>
        <v>1546.29772400506</v>
      </c>
      <c r="CG21" s="11" t="n">
        <f aca="false">IF(CG$1&lt;Units!$P20,0,IF(AND(Units!$K20=0,CG$1=Units!$O20),Units!$R20,IF(AND(CG$1&gt;=Units!$Q20,MOD(CG$1-Units!$Q20,12)=0),IF(AND(Units!$L20=1,CG$1=Units!$Q20),IF(Units!$J20&lt;&gt;"",Units!$J20,Mkt!CG21),Inputs!$B$15*Mkt!CG21+(1-Inputs!$B$15)*MIN(Mkt!CG21,CF21*(1+Inputs!$B$18))),CF21)))</f>
        <v>1546.29772400506</v>
      </c>
      <c r="CH21" s="11" t="n">
        <f aca="false">IF(CH$1&lt;Units!$P20,0,IF(AND(Units!$K20=0,CH$1=Units!$O20),Units!$R20,IF(AND(CH$1&gt;=Units!$Q20,MOD(CH$1-Units!$Q20,12)=0),IF(AND(Units!$L20=1,CH$1=Units!$Q20),IF(Units!$J20&lt;&gt;"",Units!$J20,Mkt!CH21),Inputs!$B$15*Mkt!CH21+(1-Inputs!$B$15)*MIN(Mkt!CH21,CG21*(1+Inputs!$B$18))),CG21)))</f>
        <v>1546.29772400506</v>
      </c>
      <c r="CI21" s="11" t="n">
        <f aca="false">IF(CI$1&lt;Units!$P20,0,IF(AND(Units!$K20=0,CI$1=Units!$O20),Units!$R20,IF(AND(CI$1&gt;=Units!$Q20,MOD(CI$1-Units!$Q20,12)=0),IF(AND(Units!$L20=1,CI$1=Units!$Q20),IF(Units!$J20&lt;&gt;"",Units!$J20,Mkt!CI21),Inputs!$B$15*Mkt!CI21+(1-Inputs!$B$15)*MIN(Mkt!CI21,CH21*(1+Inputs!$B$18))),CH21)))</f>
        <v>1546.29772400506</v>
      </c>
      <c r="CJ21" s="11" t="n">
        <f aca="false">IF(CJ$1&lt;Units!$P20,0,IF(AND(Units!$K20=0,CJ$1=Units!$O20),Units!$R20,IF(AND(CJ$1&gt;=Units!$Q20,MOD(CJ$1-Units!$Q20,12)=0),IF(AND(Units!$L20=1,CJ$1=Units!$Q20),IF(Units!$J20&lt;&gt;"",Units!$J20,Mkt!CJ21),Inputs!$B$15*Mkt!CJ21+(1-Inputs!$B$15)*MIN(Mkt!CJ21,CI21*(1+Inputs!$B$18))),CI21)))</f>
        <v>1546.29772400506</v>
      </c>
      <c r="CK21" s="11" t="n">
        <f aca="false">IF(CK$1&lt;Units!$P20,0,IF(AND(Units!$K20=0,CK$1=Units!$O20),Units!$R20,IF(AND(CK$1&gt;=Units!$Q20,MOD(CK$1-Units!$Q20,12)=0),IF(AND(Units!$L20=1,CK$1=Units!$Q20),IF(Units!$J20&lt;&gt;"",Units!$J20,Mkt!CK21),Inputs!$B$15*Mkt!CK21+(1-Inputs!$B$15)*MIN(Mkt!CK21,CJ21*(1+Inputs!$B$18))),CJ21)))</f>
        <v>1546.29772400506</v>
      </c>
      <c r="CL21" s="11" t="n">
        <f aca="false">IF(CL$1&lt;Units!$P20,0,IF(AND(Units!$K20=0,CL$1=Units!$O20),Units!$R20,IF(AND(CL$1&gt;=Units!$Q20,MOD(CL$1-Units!$Q20,12)=0),IF(AND(Units!$L20=1,CL$1=Units!$Q20),IF(Units!$J20&lt;&gt;"",Units!$J20,Mkt!CL21),Inputs!$B$15*Mkt!CL21+(1-Inputs!$B$15)*MIN(Mkt!CL21,CK21*(1+Inputs!$B$18))),CK21)))</f>
        <v>1546.29772400506</v>
      </c>
      <c r="CM21" s="11" t="n">
        <f aca="false">IF(CM$1&lt;Units!$P20,0,IF(AND(Units!$K20=0,CM$1=Units!$O20),Units!$R20,IF(AND(CM$1&gt;=Units!$Q20,MOD(CM$1-Units!$Q20,12)=0),IF(AND(Units!$L20=1,CM$1=Units!$Q20),IF(Units!$J20&lt;&gt;"",Units!$J20,Mkt!CM21),Inputs!$B$15*Mkt!CM21+(1-Inputs!$B$15)*MIN(Mkt!CM21,CL21*(1+Inputs!$B$18))),CL21)))</f>
        <v>1546.29772400506</v>
      </c>
      <c r="CN21" s="11" t="n">
        <f aca="false">IF(CN$1&lt;Units!$P20,0,IF(AND(Units!$K20=0,CN$1=Units!$O20),Units!$R20,IF(AND(CN$1&gt;=Units!$Q20,MOD(CN$1-Units!$Q20,12)=0),IF(AND(Units!$L20=1,CN$1=Units!$Q20),IF(Units!$J20&lt;&gt;"",Units!$J20,Mkt!CN21),Inputs!$B$15*Mkt!CN21+(1-Inputs!$B$15)*MIN(Mkt!CN21,CM21*(1+Inputs!$B$18))),CM21)))</f>
        <v>1546.29772400506</v>
      </c>
      <c r="CO21" s="11" t="n">
        <f aca="false">IF(CO$1&lt;Units!$P20,0,IF(AND(Units!$K20=0,CO$1=Units!$O20),Units!$R20,IF(AND(CO$1&gt;=Units!$Q20,MOD(CO$1-Units!$Q20,12)=0),IF(AND(Units!$L20=1,CO$1=Units!$Q20),IF(Units!$J20&lt;&gt;"",Units!$J20,Mkt!CO21),Inputs!$B$15*Mkt!CO21+(1-Inputs!$B$15)*MIN(Mkt!CO21,CN21*(1+Inputs!$B$18))),CN21)))</f>
        <v>1546.29772400506</v>
      </c>
      <c r="CP21" s="11" t="n">
        <f aca="false">IF(CP$1&lt;Units!$P20,0,IF(AND(Units!$K20=0,CP$1=Units!$O20),Units!$R20,IF(AND(CP$1&gt;=Units!$Q20,MOD(CP$1-Units!$Q20,12)=0),IF(AND(Units!$L20=1,CP$1=Units!$Q20),IF(Units!$J20&lt;&gt;"",Units!$J20,Mkt!CP21),Inputs!$B$15*Mkt!CP21+(1-Inputs!$B$15)*MIN(Mkt!CP21,CO21*(1+Inputs!$B$18))),CO21)))</f>
        <v>1546.29772400506</v>
      </c>
      <c r="CQ21" s="11" t="n">
        <f aca="false">IF(CQ$1&lt;Units!$P20,0,IF(AND(Units!$K20=0,CQ$1=Units!$O20),Units!$R20,IF(AND(CQ$1&gt;=Units!$Q20,MOD(CQ$1-Units!$Q20,12)=0),IF(AND(Units!$L20=1,CQ$1=Units!$Q20),IF(Units!$J20&lt;&gt;"",Units!$J20,Mkt!CQ21),Inputs!$B$15*Mkt!CQ21+(1-Inputs!$B$15)*MIN(Mkt!CQ21,CP21*(1+Inputs!$B$18))),CP21)))</f>
        <v>1592.68665572521</v>
      </c>
      <c r="CR21" s="11" t="n">
        <f aca="false">IF(CR$1&lt;Units!$P20,0,IF(AND(Units!$K20=0,CR$1=Units!$O20),Units!$R20,IF(AND(CR$1&gt;=Units!$Q20,MOD(CR$1-Units!$Q20,12)=0),IF(AND(Units!$L20=1,CR$1=Units!$Q20),IF(Units!$J20&lt;&gt;"",Units!$J20,Mkt!CR21),Inputs!$B$15*Mkt!CR21+(1-Inputs!$B$15)*MIN(Mkt!CR21,CQ21*(1+Inputs!$B$18))),CQ21)))</f>
        <v>1592.68665572521</v>
      </c>
      <c r="CS21" s="11" t="n">
        <f aca="false">IF(CS$1&lt;Units!$P20,0,IF(AND(Units!$K20=0,CS$1=Units!$O20),Units!$R20,IF(AND(CS$1&gt;=Units!$Q20,MOD(CS$1-Units!$Q20,12)=0),IF(AND(Units!$L20=1,CS$1=Units!$Q20),IF(Units!$J20&lt;&gt;"",Units!$J20,Mkt!CS21),Inputs!$B$15*Mkt!CS21+(1-Inputs!$B$15)*MIN(Mkt!CS21,CR21*(1+Inputs!$B$18))),CR21)))</f>
        <v>1592.68665572521</v>
      </c>
      <c r="CT21" s="11" t="n">
        <f aca="false">IF(CT$1&lt;Units!$P20,0,IF(AND(Units!$K20=0,CT$1=Units!$O20),Units!$R20,IF(AND(CT$1&gt;=Units!$Q20,MOD(CT$1-Units!$Q20,12)=0),IF(AND(Units!$L20=1,CT$1=Units!$Q20),IF(Units!$J20&lt;&gt;"",Units!$J20,Mkt!CT21),Inputs!$B$15*Mkt!CT21+(1-Inputs!$B$15)*MIN(Mkt!CT21,CS21*(1+Inputs!$B$18))),CS21)))</f>
        <v>1592.68665572521</v>
      </c>
      <c r="CU21" s="11" t="n">
        <f aca="false">IF(CU$1&lt;Units!$P20,0,IF(AND(Units!$K20=0,CU$1=Units!$O20),Units!$R20,IF(AND(CU$1&gt;=Units!$Q20,MOD(CU$1-Units!$Q20,12)=0),IF(AND(Units!$L20=1,CU$1=Units!$Q20),IF(Units!$J20&lt;&gt;"",Units!$J20,Mkt!CU21),Inputs!$B$15*Mkt!CU21+(1-Inputs!$B$15)*MIN(Mkt!CU21,CT21*(1+Inputs!$B$18))),CT21)))</f>
        <v>1592.68665572521</v>
      </c>
      <c r="CV21" s="11" t="n">
        <f aca="false">IF(CV$1&lt;Units!$P20,0,IF(AND(Units!$K20=0,CV$1=Units!$O20),Units!$R20,IF(AND(CV$1&gt;=Units!$Q20,MOD(CV$1-Units!$Q20,12)=0),IF(AND(Units!$L20=1,CV$1=Units!$Q20),IF(Units!$J20&lt;&gt;"",Units!$J20,Mkt!CV21),Inputs!$B$15*Mkt!CV21+(1-Inputs!$B$15)*MIN(Mkt!CV21,CU21*(1+Inputs!$B$18))),CU21)))</f>
        <v>1592.68665572521</v>
      </c>
      <c r="CW21" s="11" t="n">
        <f aca="false">IF(CW$1&lt;Units!$P20,0,IF(AND(Units!$K20=0,CW$1=Units!$O20),Units!$R20,IF(AND(CW$1&gt;=Units!$Q20,MOD(CW$1-Units!$Q20,12)=0),IF(AND(Units!$L20=1,CW$1=Units!$Q20),IF(Units!$J20&lt;&gt;"",Units!$J20,Mkt!CW21),Inputs!$B$15*Mkt!CW21+(1-Inputs!$B$15)*MIN(Mkt!CW21,CV21*(1+Inputs!$B$18))),CV21)))</f>
        <v>1592.68665572521</v>
      </c>
      <c r="CX21" s="11" t="n">
        <f aca="false">IF(CX$1&lt;Units!$P20,0,IF(AND(Units!$K20=0,CX$1=Units!$O20),Units!$R20,IF(AND(CX$1&gt;=Units!$Q20,MOD(CX$1-Units!$Q20,12)=0),IF(AND(Units!$L20=1,CX$1=Units!$Q20),IF(Units!$J20&lt;&gt;"",Units!$J20,Mkt!CX21),Inputs!$B$15*Mkt!CX21+(1-Inputs!$B$15)*MIN(Mkt!CX21,CW21*(1+Inputs!$B$18))),CW21)))</f>
        <v>1592.68665572521</v>
      </c>
      <c r="CY21" s="11" t="n">
        <f aca="false">IF(CY$1&lt;Units!$P20,0,IF(AND(Units!$K20=0,CY$1=Units!$O20),Units!$R20,IF(AND(CY$1&gt;=Units!$Q20,MOD(CY$1-Units!$Q20,12)=0),IF(AND(Units!$L20=1,CY$1=Units!$Q20),IF(Units!$J20&lt;&gt;"",Units!$J20,Mkt!CY21),Inputs!$B$15*Mkt!CY21+(1-Inputs!$B$15)*MIN(Mkt!CY21,CX21*(1+Inputs!$B$18))),CX21)))</f>
        <v>1592.68665572521</v>
      </c>
      <c r="CZ21" s="11" t="n">
        <f aca="false">IF(CZ$1&lt;Units!$P20,0,IF(AND(Units!$K20=0,CZ$1=Units!$O20),Units!$R20,IF(AND(CZ$1&gt;=Units!$Q20,MOD(CZ$1-Units!$Q20,12)=0),IF(AND(Units!$L20=1,CZ$1=Units!$Q20),IF(Units!$J20&lt;&gt;"",Units!$J20,Mkt!CZ21),Inputs!$B$15*Mkt!CZ21+(1-Inputs!$B$15)*MIN(Mkt!CZ21,CY21*(1+Inputs!$B$18))),CY21)))</f>
        <v>1592.68665572521</v>
      </c>
      <c r="DA21" s="11" t="n">
        <f aca="false">IF(DA$1&lt;Units!$P20,0,IF(AND(Units!$K20=0,DA$1=Units!$O20),Units!$R20,IF(AND(DA$1&gt;=Units!$Q20,MOD(DA$1-Units!$Q20,12)=0),IF(AND(Units!$L20=1,DA$1=Units!$Q20),IF(Units!$J20&lt;&gt;"",Units!$J20,Mkt!DA21),Inputs!$B$15*Mkt!DA21+(1-Inputs!$B$15)*MIN(Mkt!DA21,CZ21*(1+Inputs!$B$18))),CZ21)))</f>
        <v>1592.68665572521</v>
      </c>
      <c r="DB21" s="11" t="n">
        <f aca="false">IF(DB$1&lt;Units!$P20,0,IF(AND(Units!$K20=0,DB$1=Units!$O20),Units!$R20,IF(AND(DB$1&gt;=Units!$Q20,MOD(DB$1-Units!$Q20,12)=0),IF(AND(Units!$L20=1,DB$1=Units!$Q20),IF(Units!$J20&lt;&gt;"",Units!$J20,Mkt!DB21),Inputs!$B$15*Mkt!DB21+(1-Inputs!$B$15)*MIN(Mkt!DB21,DA21*(1+Inputs!$B$18))),DA21)))</f>
        <v>1592.68665572521</v>
      </c>
      <c r="DC21" s="11" t="n">
        <f aca="false">IF(DC$1&lt;Units!$P20,0,IF(AND(Units!$K20=0,DC$1=Units!$O20),Units!$R20,IF(AND(DC$1&gt;=Units!$Q20,MOD(DC$1-Units!$Q20,12)=0),IF(AND(Units!$L20=1,DC$1=Units!$Q20),IF(Units!$J20&lt;&gt;"",Units!$J20,Mkt!DC21),Inputs!$B$15*Mkt!DC21+(1-Inputs!$B$15)*MIN(Mkt!DC21,DB21*(1+Inputs!$B$18))),DB21)))</f>
        <v>1640.46725539696</v>
      </c>
      <c r="DD21" s="11" t="n">
        <f aca="false">IF(DD$1&lt;Units!$P20,0,IF(AND(Units!$K20=0,DD$1=Units!$O20),Units!$R20,IF(AND(DD$1&gt;=Units!$Q20,MOD(DD$1-Units!$Q20,12)=0),IF(AND(Units!$L20=1,DD$1=Units!$Q20),IF(Units!$J20&lt;&gt;"",Units!$J20,Mkt!DD21),Inputs!$B$15*Mkt!DD21+(1-Inputs!$B$15)*MIN(Mkt!DD21,DC21*(1+Inputs!$B$18))),DC21)))</f>
        <v>1640.46725539696</v>
      </c>
      <c r="DE21" s="11" t="n">
        <f aca="false">IF(DE$1&lt;Units!$P20,0,IF(AND(Units!$K20=0,DE$1=Units!$O20),Units!$R20,IF(AND(DE$1&gt;=Units!$Q20,MOD(DE$1-Units!$Q20,12)=0),IF(AND(Units!$L20=1,DE$1=Units!$Q20),IF(Units!$J20&lt;&gt;"",Units!$J20,Mkt!DE21),Inputs!$B$15*Mkt!DE21+(1-Inputs!$B$15)*MIN(Mkt!DE21,DD21*(1+Inputs!$B$18))),DD21)))</f>
        <v>1640.46725539696</v>
      </c>
      <c r="DF21" s="11" t="n">
        <f aca="false">IF(DF$1&lt;Units!$P20,0,IF(AND(Units!$K20=0,DF$1=Units!$O20),Units!$R20,IF(AND(DF$1&gt;=Units!$Q20,MOD(DF$1-Units!$Q20,12)=0),IF(AND(Units!$L20=1,DF$1=Units!$Q20),IF(Units!$J20&lt;&gt;"",Units!$J20,Mkt!DF21),Inputs!$B$15*Mkt!DF21+(1-Inputs!$B$15)*MIN(Mkt!DF21,DE21*(1+Inputs!$B$18))),DE21)))</f>
        <v>1640.46725539696</v>
      </c>
      <c r="DG21" s="11" t="n">
        <f aca="false">IF(DG$1&lt;Units!$P20,0,IF(AND(Units!$K20=0,DG$1=Units!$O20),Units!$R20,IF(AND(DG$1&gt;=Units!$Q20,MOD(DG$1-Units!$Q20,12)=0),IF(AND(Units!$L20=1,DG$1=Units!$Q20),IF(Units!$J20&lt;&gt;"",Units!$J20,Mkt!DG21),Inputs!$B$15*Mkt!DG21+(1-Inputs!$B$15)*MIN(Mkt!DG21,DF21*(1+Inputs!$B$18))),DF21)))</f>
        <v>1640.46725539696</v>
      </c>
      <c r="DH21" s="11" t="n">
        <f aca="false">IF(DH$1&lt;Units!$P20,0,IF(AND(Units!$K20=0,DH$1=Units!$O20),Units!$R20,IF(AND(DH$1&gt;=Units!$Q20,MOD(DH$1-Units!$Q20,12)=0),IF(AND(Units!$L20=1,DH$1=Units!$Q20),IF(Units!$J20&lt;&gt;"",Units!$J20,Mkt!DH21),Inputs!$B$15*Mkt!DH21+(1-Inputs!$B$15)*MIN(Mkt!DH21,DG21*(1+Inputs!$B$18))),DG21)))</f>
        <v>1640.46725539696</v>
      </c>
      <c r="DI21" s="11" t="n">
        <f aca="false">IF(DI$1&lt;Units!$P20,0,IF(AND(Units!$K20=0,DI$1=Units!$O20),Units!$R20,IF(AND(DI$1&gt;=Units!$Q20,MOD(DI$1-Units!$Q20,12)=0),IF(AND(Units!$L20=1,DI$1=Units!$Q20),IF(Units!$J20&lt;&gt;"",Units!$J20,Mkt!DI21),Inputs!$B$15*Mkt!DI21+(1-Inputs!$B$15)*MIN(Mkt!DI21,DH21*(1+Inputs!$B$18))),DH21)))</f>
        <v>1640.46725539696</v>
      </c>
      <c r="DJ21" s="11" t="n">
        <f aca="false">IF(DJ$1&lt;Units!$P20,0,IF(AND(Units!$K20=0,DJ$1=Units!$O20),Units!$R20,IF(AND(DJ$1&gt;=Units!$Q20,MOD(DJ$1-Units!$Q20,12)=0),IF(AND(Units!$L20=1,DJ$1=Units!$Q20),IF(Units!$J20&lt;&gt;"",Units!$J20,Mkt!DJ21),Inputs!$B$15*Mkt!DJ21+(1-Inputs!$B$15)*MIN(Mkt!DJ21,DI21*(1+Inputs!$B$18))),DI21)))</f>
        <v>1640.46725539696</v>
      </c>
      <c r="DK21" s="11" t="n">
        <f aca="false">IF(DK$1&lt;Units!$P20,0,IF(AND(Units!$K20=0,DK$1=Units!$O20),Units!$R20,IF(AND(DK$1&gt;=Units!$Q20,MOD(DK$1-Units!$Q20,12)=0),IF(AND(Units!$L20=1,DK$1=Units!$Q20),IF(Units!$J20&lt;&gt;"",Units!$J20,Mkt!DK21),Inputs!$B$15*Mkt!DK21+(1-Inputs!$B$15)*MIN(Mkt!DK21,DJ21*(1+Inputs!$B$18))),DJ21)))</f>
        <v>1640.46725539696</v>
      </c>
      <c r="DL21" s="11" t="n">
        <f aca="false">IF(DL$1&lt;Units!$P20,0,IF(AND(Units!$K20=0,DL$1=Units!$O20),Units!$R20,IF(AND(DL$1&gt;=Units!$Q20,MOD(DL$1-Units!$Q20,12)=0),IF(AND(Units!$L20=1,DL$1=Units!$Q20),IF(Units!$J20&lt;&gt;"",Units!$J20,Mkt!DL21),Inputs!$B$15*Mkt!DL21+(1-Inputs!$B$15)*MIN(Mkt!DL21,DK21*(1+Inputs!$B$18))),DK21)))</f>
        <v>1640.46725539696</v>
      </c>
      <c r="DM21" s="11" t="n">
        <f aca="false">IF(DM$1&lt;Units!$P20,0,IF(AND(Units!$K20=0,DM$1=Units!$O20),Units!$R20,IF(AND(DM$1&gt;=Units!$Q20,MOD(DM$1-Units!$Q20,12)=0),IF(AND(Units!$L20=1,DM$1=Units!$Q20),IF(Units!$J20&lt;&gt;"",Units!$J20,Mkt!DM21),Inputs!$B$15*Mkt!DM21+(1-Inputs!$B$15)*MIN(Mkt!DM21,DL21*(1+Inputs!$B$18))),DL21)))</f>
        <v>1640.46725539696</v>
      </c>
      <c r="DN21" s="11" t="n">
        <f aca="false">IF(DN$1&lt;Units!$P20,0,IF(AND(Units!$K20=0,DN$1=Units!$O20),Units!$R20,IF(AND(DN$1&gt;=Units!$Q20,MOD(DN$1-Units!$Q20,12)=0),IF(AND(Units!$L20=1,DN$1=Units!$Q20),IF(Units!$J20&lt;&gt;"",Units!$J20,Mkt!DN21),Inputs!$B$15*Mkt!DN21+(1-Inputs!$B$15)*MIN(Mkt!DN21,DM21*(1+Inputs!$B$18))),DM21)))</f>
        <v>1640.46725539696</v>
      </c>
      <c r="DO21" s="11" t="n">
        <f aca="false">IF(DO$1&lt;Units!$P20,0,IF(AND(Units!$K20=0,DO$1=Units!$O20),Units!$R20,IF(AND(DO$1&gt;=Units!$Q20,MOD(DO$1-Units!$Q20,12)=0),IF(AND(Units!$L20=1,DO$1=Units!$Q20),IF(Units!$J20&lt;&gt;"",Units!$J20,Mkt!DO21),Inputs!$B$15*Mkt!DO21+(1-Inputs!$B$15)*MIN(Mkt!DO21,DN21*(1+Inputs!$B$18))),DN21)))</f>
        <v>1689.68127305887</v>
      </c>
      <c r="DP21" s="11" t="n">
        <f aca="false">IF(DP$1&lt;Units!$P20,0,IF(AND(Units!$K20=0,DP$1=Units!$O20),Units!$R20,IF(AND(DP$1&gt;=Units!$Q20,MOD(DP$1-Units!$Q20,12)=0),IF(AND(Units!$L20=1,DP$1=Units!$Q20),IF(Units!$J20&lt;&gt;"",Units!$J20,Mkt!DP21),Inputs!$B$15*Mkt!DP21+(1-Inputs!$B$15)*MIN(Mkt!DP21,DO21*(1+Inputs!$B$18))),DO21)))</f>
        <v>1689.68127305887</v>
      </c>
      <c r="DQ21" s="11" t="n">
        <f aca="false">IF(DQ$1&lt;Units!$P20,0,IF(AND(Units!$K20=0,DQ$1=Units!$O20),Units!$R20,IF(AND(DQ$1&gt;=Units!$Q20,MOD(DQ$1-Units!$Q20,12)=0),IF(AND(Units!$L20=1,DQ$1=Units!$Q20),IF(Units!$J20&lt;&gt;"",Units!$J20,Mkt!DQ21),Inputs!$B$15*Mkt!DQ21+(1-Inputs!$B$15)*MIN(Mkt!DQ21,DP21*(1+Inputs!$B$18))),DP21)))</f>
        <v>1689.68127305887</v>
      </c>
      <c r="DR21" s="11" t="n">
        <f aca="false">IF(DR$1&lt;Units!$P20,0,IF(AND(Units!$K20=0,DR$1=Units!$O20),Units!$R20,IF(AND(DR$1&gt;=Units!$Q20,MOD(DR$1-Units!$Q20,12)=0),IF(AND(Units!$L20=1,DR$1=Units!$Q20),IF(Units!$J20&lt;&gt;"",Units!$J20,Mkt!DR21),Inputs!$B$15*Mkt!DR21+(1-Inputs!$B$15)*MIN(Mkt!DR21,DQ21*(1+Inputs!$B$18))),DQ21)))</f>
        <v>1689.68127305887</v>
      </c>
      <c r="DS21" s="11" t="n">
        <f aca="false">IF(DS$1&lt;Units!$P20,0,IF(AND(Units!$K20=0,DS$1=Units!$O20),Units!$R20,IF(AND(DS$1&gt;=Units!$Q20,MOD(DS$1-Units!$Q20,12)=0),IF(AND(Units!$L20=1,DS$1=Units!$Q20),IF(Units!$J20&lt;&gt;"",Units!$J20,Mkt!DS21),Inputs!$B$15*Mkt!DS21+(1-Inputs!$B$15)*MIN(Mkt!DS21,DR21*(1+Inputs!$B$18))),DR21)))</f>
        <v>1689.68127305887</v>
      </c>
      <c r="DT21" s="11" t="n">
        <f aca="false">IF(DT$1&lt;Units!$P20,0,IF(AND(Units!$K20=0,DT$1=Units!$O20),Units!$R20,IF(AND(DT$1&gt;=Units!$Q20,MOD(DT$1-Units!$Q20,12)=0),IF(AND(Units!$L20=1,DT$1=Units!$Q20),IF(Units!$J20&lt;&gt;"",Units!$J20,Mkt!DT21),Inputs!$B$15*Mkt!DT21+(1-Inputs!$B$15)*MIN(Mkt!DT21,DS21*(1+Inputs!$B$18))),DS21)))</f>
        <v>1689.68127305887</v>
      </c>
      <c r="DU21" s="11" t="n">
        <f aca="false">IF(DU$1&lt;Units!$P20,0,IF(AND(Units!$K20=0,DU$1=Units!$O20),Units!$R20,IF(AND(DU$1&gt;=Units!$Q20,MOD(DU$1-Units!$Q20,12)=0),IF(AND(Units!$L20=1,DU$1=Units!$Q20),IF(Units!$J20&lt;&gt;"",Units!$J20,Mkt!DU21),Inputs!$B$15*Mkt!DU21+(1-Inputs!$B$15)*MIN(Mkt!DU21,DT21*(1+Inputs!$B$18))),DT21)))</f>
        <v>1689.68127305887</v>
      </c>
      <c r="DV21" s="11" t="n">
        <f aca="false">IF(DV$1&lt;Units!$P20,0,IF(AND(Units!$K20=0,DV$1=Units!$O20),Units!$R20,IF(AND(DV$1&gt;=Units!$Q20,MOD(DV$1-Units!$Q20,12)=0),IF(AND(Units!$L20=1,DV$1=Units!$Q20),IF(Units!$J20&lt;&gt;"",Units!$J20,Mkt!DV21),Inputs!$B$15*Mkt!DV21+(1-Inputs!$B$15)*MIN(Mkt!DV21,DU21*(1+Inputs!$B$18))),DU21)))</f>
        <v>1689.68127305887</v>
      </c>
      <c r="DW21" s="11" t="n">
        <f aca="false">IF(DW$1&lt;Units!$P20,0,IF(AND(Units!$K20=0,DW$1=Units!$O20),Units!$R20,IF(AND(DW$1&gt;=Units!$Q20,MOD(DW$1-Units!$Q20,12)=0),IF(AND(Units!$L20=1,DW$1=Units!$Q20),IF(Units!$J20&lt;&gt;"",Units!$J20,Mkt!DW21),Inputs!$B$15*Mkt!DW21+(1-Inputs!$B$15)*MIN(Mkt!DW21,DV21*(1+Inputs!$B$18))),DV21)))</f>
        <v>1689.68127305887</v>
      </c>
      <c r="DX21" s="11" t="n">
        <f aca="false">IF(DX$1&lt;Units!$P20,0,IF(AND(Units!$K20=0,DX$1=Units!$O20),Units!$R20,IF(AND(DX$1&gt;=Units!$Q20,MOD(DX$1-Units!$Q20,12)=0),IF(AND(Units!$L20=1,DX$1=Units!$Q20),IF(Units!$J20&lt;&gt;"",Units!$J20,Mkt!DX21),Inputs!$B$15*Mkt!DX21+(1-Inputs!$B$15)*MIN(Mkt!DX21,DW21*(1+Inputs!$B$18))),DW21)))</f>
        <v>1689.68127305887</v>
      </c>
      <c r="DY21" s="11" t="n">
        <f aca="false">IF(DY$1&lt;Units!$P20,0,IF(AND(Units!$K20=0,DY$1=Units!$O20),Units!$R20,IF(AND(DY$1&gt;=Units!$Q20,MOD(DY$1-Units!$Q20,12)=0),IF(AND(Units!$L20=1,DY$1=Units!$Q20),IF(Units!$J20&lt;&gt;"",Units!$J20,Mkt!DY21),Inputs!$B$15*Mkt!DY21+(1-Inputs!$B$15)*MIN(Mkt!DY21,DX21*(1+Inputs!$B$18))),DX21)))</f>
        <v>1689.68127305887</v>
      </c>
      <c r="DZ21" s="11" t="n">
        <f aca="false">IF(DZ$1&lt;Units!$P20,0,IF(AND(Units!$K20=0,DZ$1=Units!$O20),Units!$R20,IF(AND(DZ$1&gt;=Units!$Q20,MOD(DZ$1-Units!$Q20,12)=0),IF(AND(Units!$L20=1,DZ$1=Units!$Q20),IF(Units!$J20&lt;&gt;"",Units!$J20,Mkt!DZ21),Inputs!$B$15*Mkt!DZ21+(1-Inputs!$B$15)*MIN(Mkt!DZ21,DY21*(1+Inputs!$B$18))),DY21)))</f>
        <v>1689.68127305887</v>
      </c>
      <c r="EA21" s="11" t="n">
        <f aca="false">IF(EA$1&lt;Units!$P20,0,IF(AND(Units!$K20=0,EA$1=Units!$O20),Units!$R20,IF(AND(EA$1&gt;=Units!$Q20,MOD(EA$1-Units!$Q20,12)=0),IF(AND(Units!$L20=1,EA$1=Units!$Q20),IF(Units!$J20&lt;&gt;"",Units!$J20,Mkt!EA21),Inputs!$B$15*Mkt!EA21+(1-Inputs!$B$15)*MIN(Mkt!EA21,DZ21*(1+Inputs!$B$18))),DZ21)))</f>
        <v>1740.37171125064</v>
      </c>
      <c r="EB21" s="11" t="n">
        <f aca="false">IF(EB$1&lt;Units!$P20,0,IF(AND(Units!$K20=0,EB$1=Units!$O20),Units!$R20,IF(AND(EB$1&gt;=Units!$Q20,MOD(EB$1-Units!$Q20,12)=0),IF(AND(Units!$L20=1,EB$1=Units!$Q20),IF(Units!$J20&lt;&gt;"",Units!$J20,Mkt!EB21),Inputs!$B$15*Mkt!EB21+(1-Inputs!$B$15)*MIN(Mkt!EB21,EA21*(1+Inputs!$B$18))),EA21)))</f>
        <v>1740.37171125064</v>
      </c>
      <c r="EC21" s="11" t="n">
        <f aca="false">IF(EC$1&lt;Units!$P20,0,IF(AND(Units!$K20=0,EC$1=Units!$O20),Units!$R20,IF(AND(EC$1&gt;=Units!$Q20,MOD(EC$1-Units!$Q20,12)=0),IF(AND(Units!$L20=1,EC$1=Units!$Q20),IF(Units!$J20&lt;&gt;"",Units!$J20,Mkt!EC21),Inputs!$B$15*Mkt!EC21+(1-Inputs!$B$15)*MIN(Mkt!EC21,EB21*(1+Inputs!$B$18))),EB21)))</f>
        <v>1740.37171125064</v>
      </c>
      <c r="ED21" s="11" t="n">
        <f aca="false">IF(ED$1&lt;Units!$P20,0,IF(AND(Units!$K20=0,ED$1=Units!$O20),Units!$R20,IF(AND(ED$1&gt;=Units!$Q20,MOD(ED$1-Units!$Q20,12)=0),IF(AND(Units!$L20=1,ED$1=Units!$Q20),IF(Units!$J20&lt;&gt;"",Units!$J20,Mkt!ED21),Inputs!$B$15*Mkt!ED21+(1-Inputs!$B$15)*MIN(Mkt!ED21,EC21*(1+Inputs!$B$18))),EC21)))</f>
        <v>1740.37171125064</v>
      </c>
    </row>
    <row r="22" customFormat="false" ht="15" hidden="false" customHeight="false" outlineLevel="0" collapsed="false">
      <c r="A22" s="22" t="n">
        <f aca="false">Units!A21</f>
        <v>120</v>
      </c>
      <c r="B22" s="24" t="n">
        <f aca="false">IF(Units!K21=1,Units!F21,0)</f>
        <v>1190</v>
      </c>
      <c r="C22" s="11" t="n">
        <f aca="false">IF(C$1&lt;Units!$P21,0,IF(AND(Units!$K21=0,C$1=Units!$O21),Units!$R21,IF(AND(C$1&gt;=Units!$Q21,MOD(C$1-Units!$Q21,12)=0),IF(AND(Units!$L21=1,C$1=Units!$Q21),IF(Units!$J21&lt;&gt;"",Units!$J21,Mkt!C22),Inputs!$B$15*Mkt!C22+(1-Inputs!$B$15)*MIN(Mkt!C22,B22*(1+Inputs!$B$18))),B22)))</f>
        <v>1190</v>
      </c>
      <c r="D22" s="11" t="n">
        <f aca="false">IF(D$1&lt;Units!$P21,0,IF(AND(Units!$K21=0,D$1=Units!$O21),Units!$R21,IF(AND(D$1&gt;=Units!$Q21,MOD(D$1-Units!$Q21,12)=0),IF(AND(Units!$L21=1,D$1=Units!$Q21),IF(Units!$J21&lt;&gt;"",Units!$J21,Mkt!D22),Inputs!$B$15*Mkt!D22+(1-Inputs!$B$15)*MIN(Mkt!D22,C22*(1+Inputs!$B$18))),C22)))</f>
        <v>1190</v>
      </c>
      <c r="E22" s="11" t="n">
        <f aca="false">IF(E$1&lt;Units!$P21,0,IF(AND(Units!$K21=0,E$1=Units!$O21),Units!$R21,IF(AND(E$1&gt;=Units!$Q21,MOD(E$1-Units!$Q21,12)=0),IF(AND(Units!$L21=1,E$1=Units!$Q21),IF(Units!$J21&lt;&gt;"",Units!$J21,Mkt!E22),Inputs!$B$15*Mkt!E22+(1-Inputs!$B$15)*MIN(Mkt!E22,D22*(1+Inputs!$B$18))),D22)))</f>
        <v>1190</v>
      </c>
      <c r="F22" s="11" t="n">
        <f aca="false">IF(F$1&lt;Units!$P21,0,IF(AND(Units!$K21=0,F$1=Units!$O21),Units!$R21,IF(AND(F$1&gt;=Units!$Q21,MOD(F$1-Units!$Q21,12)=0),IF(AND(Units!$L21=1,F$1=Units!$Q21),IF(Units!$J21&lt;&gt;"",Units!$J21,Mkt!F22),Inputs!$B$15*Mkt!F22+(1-Inputs!$B$15)*MIN(Mkt!F22,E22*(1+Inputs!$B$18))),E22)))</f>
        <v>1190</v>
      </c>
      <c r="G22" s="11" t="n">
        <f aca="false">IF(G$1&lt;Units!$P21,0,IF(AND(Units!$K21=0,G$1=Units!$O21),Units!$R21,IF(AND(G$1&gt;=Units!$Q21,MOD(G$1-Units!$Q21,12)=0),IF(AND(Units!$L21=1,G$1=Units!$Q21),IF(Units!$J21&lt;&gt;"",Units!$J21,Mkt!G22),Inputs!$B$15*Mkt!G22+(1-Inputs!$B$15)*MIN(Mkt!G22,F22*(1+Inputs!$B$18))),F22)))</f>
        <v>1190</v>
      </c>
      <c r="H22" s="11" t="n">
        <f aca="false">IF(H$1&lt;Units!$P21,0,IF(AND(Units!$K21=0,H$1=Units!$O21),Units!$R21,IF(AND(H$1&gt;=Units!$Q21,MOD(H$1-Units!$Q21,12)=0),IF(AND(Units!$L21=1,H$1=Units!$Q21),IF(Units!$J21&lt;&gt;"",Units!$J21,Mkt!H22),Inputs!$B$15*Mkt!H22+(1-Inputs!$B$15)*MIN(Mkt!H22,G22*(1+Inputs!$B$18))),G22)))</f>
        <v>1190</v>
      </c>
      <c r="I22" s="11" t="n">
        <f aca="false">IF(I$1&lt;Units!$P21,0,IF(AND(Units!$K21=0,I$1=Units!$O21),Units!$R21,IF(AND(I$1&gt;=Units!$Q21,MOD(I$1-Units!$Q21,12)=0),IF(AND(Units!$L21=1,I$1=Units!$Q21),IF(Units!$J21&lt;&gt;"",Units!$J21,Mkt!I22),Inputs!$B$15*Mkt!I22+(1-Inputs!$B$15)*MIN(Mkt!I22,H22*(1+Inputs!$B$18))),H22)))</f>
        <v>1190</v>
      </c>
      <c r="J22" s="11" t="n">
        <f aca="false">IF(J$1&lt;Units!$P21,0,IF(AND(Units!$K21=0,J$1=Units!$O21),Units!$R21,IF(AND(J$1&gt;=Units!$Q21,MOD(J$1-Units!$Q21,12)=0),IF(AND(Units!$L21=1,J$1=Units!$Q21),IF(Units!$J21&lt;&gt;"",Units!$J21,Mkt!J22),Inputs!$B$15*Mkt!J22+(1-Inputs!$B$15)*MIN(Mkt!J22,I22*(1+Inputs!$B$18))),I22)))</f>
        <v>1190</v>
      </c>
      <c r="K22" s="11" t="n">
        <f aca="false">IF(K$1&lt;Units!$P21,0,IF(AND(Units!$K21=0,K$1=Units!$O21),Units!$R21,IF(AND(K$1&gt;=Units!$Q21,MOD(K$1-Units!$Q21,12)=0),IF(AND(Units!$L21=1,K$1=Units!$Q21),IF(Units!$J21&lt;&gt;"",Units!$J21,Mkt!K22),Inputs!$B$15*Mkt!K22+(1-Inputs!$B$15)*MIN(Mkt!K22,J22*(1+Inputs!$B$18))),J22)))</f>
        <v>1272.25</v>
      </c>
      <c r="L22" s="11" t="n">
        <f aca="false">IF(L$1&lt;Units!$P21,0,IF(AND(Units!$K21=0,L$1=Units!$O21),Units!$R21,IF(AND(L$1&gt;=Units!$Q21,MOD(L$1-Units!$Q21,12)=0),IF(AND(Units!$L21=1,L$1=Units!$Q21),IF(Units!$J21&lt;&gt;"",Units!$J21,Mkt!L22),Inputs!$B$15*Mkt!L22+(1-Inputs!$B$15)*MIN(Mkt!L22,K22*(1+Inputs!$B$18))),K22)))</f>
        <v>1272.25</v>
      </c>
      <c r="M22" s="11" t="n">
        <f aca="false">IF(M$1&lt;Units!$P21,0,IF(AND(Units!$K21=0,M$1=Units!$O21),Units!$R21,IF(AND(M$1&gt;=Units!$Q21,MOD(M$1-Units!$Q21,12)=0),IF(AND(Units!$L21=1,M$1=Units!$Q21),IF(Units!$J21&lt;&gt;"",Units!$J21,Mkt!M22),Inputs!$B$15*Mkt!M22+(1-Inputs!$B$15)*MIN(Mkt!M22,L22*(1+Inputs!$B$18))),L22)))</f>
        <v>1272.25</v>
      </c>
      <c r="N22" s="11" t="n">
        <f aca="false">IF(N$1&lt;Units!$P21,0,IF(AND(Units!$K21=0,N$1=Units!$O21),Units!$R21,IF(AND(N$1&gt;=Units!$Q21,MOD(N$1-Units!$Q21,12)=0),IF(AND(Units!$L21=1,N$1=Units!$Q21),IF(Units!$J21&lt;&gt;"",Units!$J21,Mkt!N22),Inputs!$B$15*Mkt!N22+(1-Inputs!$B$15)*MIN(Mkt!N22,M22*(1+Inputs!$B$18))),M22)))</f>
        <v>1272.25</v>
      </c>
      <c r="O22" s="11" t="n">
        <f aca="false">IF(O$1&lt;Units!$P21,0,IF(AND(Units!$K21=0,O$1=Units!$O21),Units!$R21,IF(AND(O$1&gt;=Units!$Q21,MOD(O$1-Units!$Q21,12)=0),IF(AND(Units!$L21=1,O$1=Units!$Q21),IF(Units!$J21&lt;&gt;"",Units!$J21,Mkt!O22),Inputs!$B$15*Mkt!O22+(1-Inputs!$B$15)*MIN(Mkt!O22,N22*(1+Inputs!$B$18))),N22)))</f>
        <v>1272.25</v>
      </c>
      <c r="P22" s="11" t="n">
        <f aca="false">IF(P$1&lt;Units!$P21,0,IF(AND(Units!$K21=0,P$1=Units!$O21),Units!$R21,IF(AND(P$1&gt;=Units!$Q21,MOD(P$1-Units!$Q21,12)=0),IF(AND(Units!$L21=1,P$1=Units!$Q21),IF(Units!$J21&lt;&gt;"",Units!$J21,Mkt!P22),Inputs!$B$15*Mkt!P22+(1-Inputs!$B$15)*MIN(Mkt!P22,O22*(1+Inputs!$B$18))),O22)))</f>
        <v>1272.25</v>
      </c>
      <c r="Q22" s="11" t="n">
        <f aca="false">IF(Q$1&lt;Units!$P21,0,IF(AND(Units!$K21=0,Q$1=Units!$O21),Units!$R21,IF(AND(Q$1&gt;=Units!$Q21,MOD(Q$1-Units!$Q21,12)=0),IF(AND(Units!$L21=1,Q$1=Units!$Q21),IF(Units!$J21&lt;&gt;"",Units!$J21,Mkt!Q22),Inputs!$B$15*Mkt!Q22+(1-Inputs!$B$15)*MIN(Mkt!Q22,P22*(1+Inputs!$B$18))),P22)))</f>
        <v>1272.25</v>
      </c>
      <c r="R22" s="11" t="n">
        <f aca="false">IF(R$1&lt;Units!$P21,0,IF(AND(Units!$K21=0,R$1=Units!$O21),Units!$R21,IF(AND(R$1&gt;=Units!$Q21,MOD(R$1-Units!$Q21,12)=0),IF(AND(Units!$L21=1,R$1=Units!$Q21),IF(Units!$J21&lt;&gt;"",Units!$J21,Mkt!R22),Inputs!$B$15*Mkt!R22+(1-Inputs!$B$15)*MIN(Mkt!R22,Q22*(1+Inputs!$B$18))),Q22)))</f>
        <v>1272.25</v>
      </c>
      <c r="S22" s="11" t="n">
        <f aca="false">IF(S$1&lt;Units!$P21,0,IF(AND(Units!$K21=0,S$1=Units!$O21),Units!$R21,IF(AND(S$1&gt;=Units!$Q21,MOD(S$1-Units!$Q21,12)=0),IF(AND(Units!$L21=1,S$1=Units!$Q21),IF(Units!$J21&lt;&gt;"",Units!$J21,Mkt!S22),Inputs!$B$15*Mkt!S22+(1-Inputs!$B$15)*MIN(Mkt!S22,R22*(1+Inputs!$B$18))),R22)))</f>
        <v>1272.25</v>
      </c>
      <c r="T22" s="11" t="n">
        <f aca="false">IF(T$1&lt;Units!$P21,0,IF(AND(Units!$K21=0,T$1=Units!$O21),Units!$R21,IF(AND(T$1&gt;=Units!$Q21,MOD(T$1-Units!$Q21,12)=0),IF(AND(Units!$L21=1,T$1=Units!$Q21),IF(Units!$J21&lt;&gt;"",Units!$J21,Mkt!T22),Inputs!$B$15*Mkt!T22+(1-Inputs!$B$15)*MIN(Mkt!T22,S22*(1+Inputs!$B$18))),S22)))</f>
        <v>1272.25</v>
      </c>
      <c r="U22" s="11" t="n">
        <f aca="false">IF(U$1&lt;Units!$P21,0,IF(AND(Units!$K21=0,U$1=Units!$O21),Units!$R21,IF(AND(U$1&gt;=Units!$Q21,MOD(U$1-Units!$Q21,12)=0),IF(AND(Units!$L21=1,U$1=Units!$Q21),IF(Units!$J21&lt;&gt;"",Units!$J21,Mkt!U22),Inputs!$B$15*Mkt!U22+(1-Inputs!$B$15)*MIN(Mkt!U22,T22*(1+Inputs!$B$18))),T22)))</f>
        <v>1272.25</v>
      </c>
      <c r="V22" s="11" t="n">
        <f aca="false">IF(V$1&lt;Units!$P21,0,IF(AND(Units!$K21=0,V$1=Units!$O21),Units!$R21,IF(AND(V$1&gt;=Units!$Q21,MOD(V$1-Units!$Q21,12)=0),IF(AND(Units!$L21=1,V$1=Units!$Q21),IF(Units!$J21&lt;&gt;"",Units!$J21,Mkt!V22),Inputs!$B$15*Mkt!V22+(1-Inputs!$B$15)*MIN(Mkt!V22,U22*(1+Inputs!$B$18))),U22)))</f>
        <v>1272.25</v>
      </c>
      <c r="W22" s="11" t="n">
        <f aca="false">IF(W$1&lt;Units!$P21,0,IF(AND(Units!$K21=0,W$1=Units!$O21),Units!$R21,IF(AND(W$1&gt;=Units!$Q21,MOD(W$1-Units!$Q21,12)=0),IF(AND(Units!$L21=1,W$1=Units!$Q21),IF(Units!$J21&lt;&gt;"",Units!$J21,Mkt!W22),Inputs!$B$15*Mkt!W22+(1-Inputs!$B$15)*MIN(Mkt!W22,V22*(1+Inputs!$B$18))),V22)))</f>
        <v>1333.85</v>
      </c>
      <c r="X22" s="11" t="n">
        <f aca="false">IF(X$1&lt;Units!$P21,0,IF(AND(Units!$K21=0,X$1=Units!$O21),Units!$R21,IF(AND(X$1&gt;=Units!$Q21,MOD(X$1-Units!$Q21,12)=0),IF(AND(Units!$L21=1,X$1=Units!$Q21),IF(Units!$J21&lt;&gt;"",Units!$J21,Mkt!X22),Inputs!$B$15*Mkt!X22+(1-Inputs!$B$15)*MIN(Mkt!X22,W22*(1+Inputs!$B$18))),W22)))</f>
        <v>1333.85</v>
      </c>
      <c r="Y22" s="11" t="n">
        <f aca="false">IF(Y$1&lt;Units!$P21,0,IF(AND(Units!$K21=0,Y$1=Units!$O21),Units!$R21,IF(AND(Y$1&gt;=Units!$Q21,MOD(Y$1-Units!$Q21,12)=0),IF(AND(Units!$L21=1,Y$1=Units!$Q21),IF(Units!$J21&lt;&gt;"",Units!$J21,Mkt!Y22),Inputs!$B$15*Mkt!Y22+(1-Inputs!$B$15)*MIN(Mkt!Y22,X22*(1+Inputs!$B$18))),X22)))</f>
        <v>1333.85</v>
      </c>
      <c r="Z22" s="11" t="n">
        <f aca="false">IF(Z$1&lt;Units!$P21,0,IF(AND(Units!$K21=0,Z$1=Units!$O21),Units!$R21,IF(AND(Z$1&gt;=Units!$Q21,MOD(Z$1-Units!$Q21,12)=0),IF(AND(Units!$L21=1,Z$1=Units!$Q21),IF(Units!$J21&lt;&gt;"",Units!$J21,Mkt!Z22),Inputs!$B$15*Mkt!Z22+(1-Inputs!$B$15)*MIN(Mkt!Z22,Y22*(1+Inputs!$B$18))),Y22)))</f>
        <v>1333.85</v>
      </c>
      <c r="AA22" s="11" t="n">
        <f aca="false">IF(AA$1&lt;Units!$P21,0,IF(AND(Units!$K21=0,AA$1=Units!$O21),Units!$R21,IF(AND(AA$1&gt;=Units!$Q21,MOD(AA$1-Units!$Q21,12)=0),IF(AND(Units!$L21=1,AA$1=Units!$Q21),IF(Units!$J21&lt;&gt;"",Units!$J21,Mkt!AA22),Inputs!$B$15*Mkt!AA22+(1-Inputs!$B$15)*MIN(Mkt!AA22,Z22*(1+Inputs!$B$18))),Z22)))</f>
        <v>1333.85</v>
      </c>
      <c r="AB22" s="11" t="n">
        <f aca="false">IF(AB$1&lt;Units!$P21,0,IF(AND(Units!$K21=0,AB$1=Units!$O21),Units!$R21,IF(AND(AB$1&gt;=Units!$Q21,MOD(AB$1-Units!$Q21,12)=0),IF(AND(Units!$L21=1,AB$1=Units!$Q21),IF(Units!$J21&lt;&gt;"",Units!$J21,Mkt!AB22),Inputs!$B$15*Mkt!AB22+(1-Inputs!$B$15)*MIN(Mkt!AB22,AA22*(1+Inputs!$B$18))),AA22)))</f>
        <v>1333.85</v>
      </c>
      <c r="AC22" s="11" t="n">
        <f aca="false">IF(AC$1&lt;Units!$P21,0,IF(AND(Units!$K21=0,AC$1=Units!$O21),Units!$R21,IF(AND(AC$1&gt;=Units!$Q21,MOD(AC$1-Units!$Q21,12)=0),IF(AND(Units!$L21=1,AC$1=Units!$Q21),IF(Units!$J21&lt;&gt;"",Units!$J21,Mkt!AC22),Inputs!$B$15*Mkt!AC22+(1-Inputs!$B$15)*MIN(Mkt!AC22,AB22*(1+Inputs!$B$18))),AB22)))</f>
        <v>1333.85</v>
      </c>
      <c r="AD22" s="11" t="n">
        <f aca="false">IF(AD$1&lt;Units!$P21,0,IF(AND(Units!$K21=0,AD$1=Units!$O21),Units!$R21,IF(AND(AD$1&gt;=Units!$Q21,MOD(AD$1-Units!$Q21,12)=0),IF(AND(Units!$L21=1,AD$1=Units!$Q21),IF(Units!$J21&lt;&gt;"",Units!$J21,Mkt!AD22),Inputs!$B$15*Mkt!AD22+(1-Inputs!$B$15)*MIN(Mkt!AD22,AC22*(1+Inputs!$B$18))),AC22)))</f>
        <v>1333.85</v>
      </c>
      <c r="AE22" s="11" t="n">
        <f aca="false">IF(AE$1&lt;Units!$P21,0,IF(AND(Units!$K21=0,AE$1=Units!$O21),Units!$R21,IF(AND(AE$1&gt;=Units!$Q21,MOD(AE$1-Units!$Q21,12)=0),IF(AND(Units!$L21=1,AE$1=Units!$Q21),IF(Units!$J21&lt;&gt;"",Units!$J21,Mkt!AE22),Inputs!$B$15*Mkt!AE22+(1-Inputs!$B$15)*MIN(Mkt!AE22,AD22*(1+Inputs!$B$18))),AD22)))</f>
        <v>1333.85</v>
      </c>
      <c r="AF22" s="11" t="n">
        <f aca="false">IF(AF$1&lt;Units!$P21,0,IF(AND(Units!$K21=0,AF$1=Units!$O21),Units!$R21,IF(AND(AF$1&gt;=Units!$Q21,MOD(AF$1-Units!$Q21,12)=0),IF(AND(Units!$L21=1,AF$1=Units!$Q21),IF(Units!$J21&lt;&gt;"",Units!$J21,Mkt!AF22),Inputs!$B$15*Mkt!AF22+(1-Inputs!$B$15)*MIN(Mkt!AF22,AE22*(1+Inputs!$B$18))),AE22)))</f>
        <v>1333.85</v>
      </c>
      <c r="AG22" s="11" t="n">
        <f aca="false">IF(AG$1&lt;Units!$P21,0,IF(AND(Units!$K21=0,AG$1=Units!$O21),Units!$R21,IF(AND(AG$1&gt;=Units!$Q21,MOD(AG$1-Units!$Q21,12)=0),IF(AND(Units!$L21=1,AG$1=Units!$Q21),IF(Units!$J21&lt;&gt;"",Units!$J21,Mkt!AG22),Inputs!$B$15*Mkt!AG22+(1-Inputs!$B$15)*MIN(Mkt!AG22,AF22*(1+Inputs!$B$18))),AF22)))</f>
        <v>1333.85</v>
      </c>
      <c r="AH22" s="11" t="n">
        <f aca="false">IF(AH$1&lt;Units!$P21,0,IF(AND(Units!$K21=0,AH$1=Units!$O21),Units!$R21,IF(AND(AH$1&gt;=Units!$Q21,MOD(AH$1-Units!$Q21,12)=0),IF(AND(Units!$L21=1,AH$1=Units!$Q21),IF(Units!$J21&lt;&gt;"",Units!$J21,Mkt!AH22),Inputs!$B$15*Mkt!AH22+(1-Inputs!$B$15)*MIN(Mkt!AH22,AG22*(1+Inputs!$B$18))),AG22)))</f>
        <v>1333.85</v>
      </c>
      <c r="AI22" s="11" t="n">
        <f aca="false">IF(AI$1&lt;Units!$P21,0,IF(AND(Units!$K21=0,AI$1=Units!$O21),Units!$R21,IF(AND(AI$1&gt;=Units!$Q21,MOD(AI$1-Units!$Q21,12)=0),IF(AND(Units!$L21=1,AI$1=Units!$Q21),IF(Units!$J21&lt;&gt;"",Units!$J21,Mkt!AI22),Inputs!$B$15*Mkt!AI22+(1-Inputs!$B$15)*MIN(Mkt!AI22,AH22*(1+Inputs!$B$18))),AH22)))</f>
        <v>1373.8655</v>
      </c>
      <c r="AJ22" s="11" t="n">
        <f aca="false">IF(AJ$1&lt;Units!$P21,0,IF(AND(Units!$K21=0,AJ$1=Units!$O21),Units!$R21,IF(AND(AJ$1&gt;=Units!$Q21,MOD(AJ$1-Units!$Q21,12)=0),IF(AND(Units!$L21=1,AJ$1=Units!$Q21),IF(Units!$J21&lt;&gt;"",Units!$J21,Mkt!AJ22),Inputs!$B$15*Mkt!AJ22+(1-Inputs!$B$15)*MIN(Mkt!AJ22,AI22*(1+Inputs!$B$18))),AI22)))</f>
        <v>1373.8655</v>
      </c>
      <c r="AK22" s="11" t="n">
        <f aca="false">IF(AK$1&lt;Units!$P21,0,IF(AND(Units!$K21=0,AK$1=Units!$O21),Units!$R21,IF(AND(AK$1&gt;=Units!$Q21,MOD(AK$1-Units!$Q21,12)=0),IF(AND(Units!$L21=1,AK$1=Units!$Q21),IF(Units!$J21&lt;&gt;"",Units!$J21,Mkt!AK22),Inputs!$B$15*Mkt!AK22+(1-Inputs!$B$15)*MIN(Mkt!AK22,AJ22*(1+Inputs!$B$18))),AJ22)))</f>
        <v>1373.8655</v>
      </c>
      <c r="AL22" s="11" t="n">
        <f aca="false">IF(AL$1&lt;Units!$P21,0,IF(AND(Units!$K21=0,AL$1=Units!$O21),Units!$R21,IF(AND(AL$1&gt;=Units!$Q21,MOD(AL$1-Units!$Q21,12)=0),IF(AND(Units!$L21=1,AL$1=Units!$Q21),IF(Units!$J21&lt;&gt;"",Units!$J21,Mkt!AL22),Inputs!$B$15*Mkt!AL22+(1-Inputs!$B$15)*MIN(Mkt!AL22,AK22*(1+Inputs!$B$18))),AK22)))</f>
        <v>1373.8655</v>
      </c>
      <c r="AM22" s="11" t="n">
        <f aca="false">IF(AM$1&lt;Units!$P21,0,IF(AND(Units!$K21=0,AM$1=Units!$O21),Units!$R21,IF(AND(AM$1&gt;=Units!$Q21,MOD(AM$1-Units!$Q21,12)=0),IF(AND(Units!$L21=1,AM$1=Units!$Q21),IF(Units!$J21&lt;&gt;"",Units!$J21,Mkt!AM22),Inputs!$B$15*Mkt!AM22+(1-Inputs!$B$15)*MIN(Mkt!AM22,AL22*(1+Inputs!$B$18))),AL22)))</f>
        <v>1373.8655</v>
      </c>
      <c r="AN22" s="11" t="n">
        <f aca="false">IF(AN$1&lt;Units!$P21,0,IF(AND(Units!$K21=0,AN$1=Units!$O21),Units!$R21,IF(AND(AN$1&gt;=Units!$Q21,MOD(AN$1-Units!$Q21,12)=0),IF(AND(Units!$L21=1,AN$1=Units!$Q21),IF(Units!$J21&lt;&gt;"",Units!$J21,Mkt!AN22),Inputs!$B$15*Mkt!AN22+(1-Inputs!$B$15)*MIN(Mkt!AN22,AM22*(1+Inputs!$B$18))),AM22)))</f>
        <v>1373.8655</v>
      </c>
      <c r="AO22" s="11" t="n">
        <f aca="false">IF(AO$1&lt;Units!$P21,0,IF(AND(Units!$K21=0,AO$1=Units!$O21),Units!$R21,IF(AND(AO$1&gt;=Units!$Q21,MOD(AO$1-Units!$Q21,12)=0),IF(AND(Units!$L21=1,AO$1=Units!$Q21),IF(Units!$J21&lt;&gt;"",Units!$J21,Mkt!AO22),Inputs!$B$15*Mkt!AO22+(1-Inputs!$B$15)*MIN(Mkt!AO22,AN22*(1+Inputs!$B$18))),AN22)))</f>
        <v>1373.8655</v>
      </c>
      <c r="AP22" s="11" t="n">
        <f aca="false">IF(AP$1&lt;Units!$P21,0,IF(AND(Units!$K21=0,AP$1=Units!$O21),Units!$R21,IF(AND(AP$1&gt;=Units!$Q21,MOD(AP$1-Units!$Q21,12)=0),IF(AND(Units!$L21=1,AP$1=Units!$Q21),IF(Units!$J21&lt;&gt;"",Units!$J21,Mkt!AP22),Inputs!$B$15*Mkt!AP22+(1-Inputs!$B$15)*MIN(Mkt!AP22,AO22*(1+Inputs!$B$18))),AO22)))</f>
        <v>1373.8655</v>
      </c>
      <c r="AQ22" s="11" t="n">
        <f aca="false">IF(AQ$1&lt;Units!$P21,0,IF(AND(Units!$K21=0,AQ$1=Units!$O21),Units!$R21,IF(AND(AQ$1&gt;=Units!$Q21,MOD(AQ$1-Units!$Q21,12)=0),IF(AND(Units!$L21=1,AQ$1=Units!$Q21),IF(Units!$J21&lt;&gt;"",Units!$J21,Mkt!AQ22),Inputs!$B$15*Mkt!AQ22+(1-Inputs!$B$15)*MIN(Mkt!AQ22,AP22*(1+Inputs!$B$18))),AP22)))</f>
        <v>1373.8655</v>
      </c>
      <c r="AR22" s="11" t="n">
        <f aca="false">IF(AR$1&lt;Units!$P21,0,IF(AND(Units!$K21=0,AR$1=Units!$O21),Units!$R21,IF(AND(AR$1&gt;=Units!$Q21,MOD(AR$1-Units!$Q21,12)=0),IF(AND(Units!$L21=1,AR$1=Units!$Q21),IF(Units!$J21&lt;&gt;"",Units!$J21,Mkt!AR22),Inputs!$B$15*Mkt!AR22+(1-Inputs!$B$15)*MIN(Mkt!AR22,AQ22*(1+Inputs!$B$18))),AQ22)))</f>
        <v>1373.8655</v>
      </c>
      <c r="AS22" s="11" t="n">
        <f aca="false">IF(AS$1&lt;Units!$P21,0,IF(AND(Units!$K21=0,AS$1=Units!$O21),Units!$R21,IF(AND(AS$1&gt;=Units!$Q21,MOD(AS$1-Units!$Q21,12)=0),IF(AND(Units!$L21=1,AS$1=Units!$Q21),IF(Units!$J21&lt;&gt;"",Units!$J21,Mkt!AS22),Inputs!$B$15*Mkt!AS22+(1-Inputs!$B$15)*MIN(Mkt!AS22,AR22*(1+Inputs!$B$18))),AR22)))</f>
        <v>1373.8655</v>
      </c>
      <c r="AT22" s="11" t="n">
        <f aca="false">IF(AT$1&lt;Units!$P21,0,IF(AND(Units!$K21=0,AT$1=Units!$O21),Units!$R21,IF(AND(AT$1&gt;=Units!$Q21,MOD(AT$1-Units!$Q21,12)=0),IF(AND(Units!$L21=1,AT$1=Units!$Q21),IF(Units!$J21&lt;&gt;"",Units!$J21,Mkt!AT22),Inputs!$B$15*Mkt!AT22+(1-Inputs!$B$15)*MIN(Mkt!AT22,AS22*(1+Inputs!$B$18))),AS22)))</f>
        <v>1373.8655</v>
      </c>
      <c r="AU22" s="11" t="n">
        <f aca="false">IF(AU$1&lt;Units!$P21,0,IF(AND(Units!$K21=0,AU$1=Units!$O21),Units!$R21,IF(AND(AU$1&gt;=Units!$Q21,MOD(AU$1-Units!$Q21,12)=0),IF(AND(Units!$L21=1,AU$1=Units!$Q21),IF(Units!$J21&lt;&gt;"",Units!$J21,Mkt!AU22),Inputs!$B$15*Mkt!AU22+(1-Inputs!$B$15)*MIN(Mkt!AU22,AT22*(1+Inputs!$B$18))),AT22)))</f>
        <v>1415.081465</v>
      </c>
      <c r="AV22" s="11" t="n">
        <f aca="false">IF(AV$1&lt;Units!$P21,0,IF(AND(Units!$K21=0,AV$1=Units!$O21),Units!$R21,IF(AND(AV$1&gt;=Units!$Q21,MOD(AV$1-Units!$Q21,12)=0),IF(AND(Units!$L21=1,AV$1=Units!$Q21),IF(Units!$J21&lt;&gt;"",Units!$J21,Mkt!AV22),Inputs!$B$15*Mkt!AV22+(1-Inputs!$B$15)*MIN(Mkt!AV22,AU22*(1+Inputs!$B$18))),AU22)))</f>
        <v>1415.081465</v>
      </c>
      <c r="AW22" s="11" t="n">
        <f aca="false">IF(AW$1&lt;Units!$P21,0,IF(AND(Units!$K21=0,AW$1=Units!$O21),Units!$R21,IF(AND(AW$1&gt;=Units!$Q21,MOD(AW$1-Units!$Q21,12)=0),IF(AND(Units!$L21=1,AW$1=Units!$Q21),IF(Units!$J21&lt;&gt;"",Units!$J21,Mkt!AW22),Inputs!$B$15*Mkt!AW22+(1-Inputs!$B$15)*MIN(Mkt!AW22,AV22*(1+Inputs!$B$18))),AV22)))</f>
        <v>1415.081465</v>
      </c>
      <c r="AX22" s="11" t="n">
        <f aca="false">IF(AX$1&lt;Units!$P21,0,IF(AND(Units!$K21=0,AX$1=Units!$O21),Units!$R21,IF(AND(AX$1&gt;=Units!$Q21,MOD(AX$1-Units!$Q21,12)=0),IF(AND(Units!$L21=1,AX$1=Units!$Q21),IF(Units!$J21&lt;&gt;"",Units!$J21,Mkt!AX22),Inputs!$B$15*Mkt!AX22+(1-Inputs!$B$15)*MIN(Mkt!AX22,AW22*(1+Inputs!$B$18))),AW22)))</f>
        <v>1415.081465</v>
      </c>
      <c r="AY22" s="11" t="n">
        <f aca="false">IF(AY$1&lt;Units!$P21,0,IF(AND(Units!$K21=0,AY$1=Units!$O21),Units!$R21,IF(AND(AY$1&gt;=Units!$Q21,MOD(AY$1-Units!$Q21,12)=0),IF(AND(Units!$L21=1,AY$1=Units!$Q21),IF(Units!$J21&lt;&gt;"",Units!$J21,Mkt!AY22),Inputs!$B$15*Mkt!AY22+(1-Inputs!$B$15)*MIN(Mkt!AY22,AX22*(1+Inputs!$B$18))),AX22)))</f>
        <v>1415.081465</v>
      </c>
      <c r="AZ22" s="11" t="n">
        <f aca="false">IF(AZ$1&lt;Units!$P21,0,IF(AND(Units!$K21=0,AZ$1=Units!$O21),Units!$R21,IF(AND(AZ$1&gt;=Units!$Q21,MOD(AZ$1-Units!$Q21,12)=0),IF(AND(Units!$L21=1,AZ$1=Units!$Q21),IF(Units!$J21&lt;&gt;"",Units!$J21,Mkt!AZ22),Inputs!$B$15*Mkt!AZ22+(1-Inputs!$B$15)*MIN(Mkt!AZ22,AY22*(1+Inputs!$B$18))),AY22)))</f>
        <v>1415.081465</v>
      </c>
      <c r="BA22" s="11" t="n">
        <f aca="false">IF(BA$1&lt;Units!$P21,0,IF(AND(Units!$K21=0,BA$1=Units!$O21),Units!$R21,IF(AND(BA$1&gt;=Units!$Q21,MOD(BA$1-Units!$Q21,12)=0),IF(AND(Units!$L21=1,BA$1=Units!$Q21),IF(Units!$J21&lt;&gt;"",Units!$J21,Mkt!BA22),Inputs!$B$15*Mkt!BA22+(1-Inputs!$B$15)*MIN(Mkt!BA22,AZ22*(1+Inputs!$B$18))),AZ22)))</f>
        <v>1415.081465</v>
      </c>
      <c r="BB22" s="11" t="n">
        <f aca="false">IF(BB$1&lt;Units!$P21,0,IF(AND(Units!$K21=0,BB$1=Units!$O21),Units!$R21,IF(AND(BB$1&gt;=Units!$Q21,MOD(BB$1-Units!$Q21,12)=0),IF(AND(Units!$L21=1,BB$1=Units!$Q21),IF(Units!$J21&lt;&gt;"",Units!$J21,Mkt!BB22),Inputs!$B$15*Mkt!BB22+(1-Inputs!$B$15)*MIN(Mkt!BB22,BA22*(1+Inputs!$B$18))),BA22)))</f>
        <v>1415.081465</v>
      </c>
      <c r="BC22" s="11" t="n">
        <f aca="false">IF(BC$1&lt;Units!$P21,0,IF(AND(Units!$K21=0,BC$1=Units!$O21),Units!$R21,IF(AND(BC$1&gt;=Units!$Q21,MOD(BC$1-Units!$Q21,12)=0),IF(AND(Units!$L21=1,BC$1=Units!$Q21),IF(Units!$J21&lt;&gt;"",Units!$J21,Mkt!BC22),Inputs!$B$15*Mkt!BC22+(1-Inputs!$B$15)*MIN(Mkt!BC22,BB22*(1+Inputs!$B$18))),BB22)))</f>
        <v>1415.081465</v>
      </c>
      <c r="BD22" s="11" t="n">
        <f aca="false">IF(BD$1&lt;Units!$P21,0,IF(AND(Units!$K21=0,BD$1=Units!$O21),Units!$R21,IF(AND(BD$1&gt;=Units!$Q21,MOD(BD$1-Units!$Q21,12)=0),IF(AND(Units!$L21=1,BD$1=Units!$Q21),IF(Units!$J21&lt;&gt;"",Units!$J21,Mkt!BD22),Inputs!$B$15*Mkt!BD22+(1-Inputs!$B$15)*MIN(Mkt!BD22,BC22*(1+Inputs!$B$18))),BC22)))</f>
        <v>1415.081465</v>
      </c>
      <c r="BE22" s="11" t="n">
        <f aca="false">IF(BE$1&lt;Units!$P21,0,IF(AND(Units!$K21=0,BE$1=Units!$O21),Units!$R21,IF(AND(BE$1&gt;=Units!$Q21,MOD(BE$1-Units!$Q21,12)=0),IF(AND(Units!$L21=1,BE$1=Units!$Q21),IF(Units!$J21&lt;&gt;"",Units!$J21,Mkt!BE22),Inputs!$B$15*Mkt!BE22+(1-Inputs!$B$15)*MIN(Mkt!BE22,BD22*(1+Inputs!$B$18))),BD22)))</f>
        <v>1415.081465</v>
      </c>
      <c r="BF22" s="11" t="n">
        <f aca="false">IF(BF$1&lt;Units!$P21,0,IF(AND(Units!$K21=0,BF$1=Units!$O21),Units!$R21,IF(AND(BF$1&gt;=Units!$Q21,MOD(BF$1-Units!$Q21,12)=0),IF(AND(Units!$L21=1,BF$1=Units!$Q21),IF(Units!$J21&lt;&gt;"",Units!$J21,Mkt!BF22),Inputs!$B$15*Mkt!BF22+(1-Inputs!$B$15)*MIN(Mkt!BF22,BE22*(1+Inputs!$B$18))),BE22)))</f>
        <v>1415.081465</v>
      </c>
      <c r="BG22" s="11" t="n">
        <f aca="false">IF(BG$1&lt;Units!$P21,0,IF(AND(Units!$K21=0,BG$1=Units!$O21),Units!$R21,IF(AND(BG$1&gt;=Units!$Q21,MOD(BG$1-Units!$Q21,12)=0),IF(AND(Units!$L21=1,BG$1=Units!$Q21),IF(Units!$J21&lt;&gt;"",Units!$J21,Mkt!BG22),Inputs!$B$15*Mkt!BG22+(1-Inputs!$B$15)*MIN(Mkt!BG22,BF22*(1+Inputs!$B$18))),BF22)))</f>
        <v>1457.53390895</v>
      </c>
      <c r="BH22" s="11" t="n">
        <f aca="false">IF(BH$1&lt;Units!$P21,0,IF(AND(Units!$K21=0,BH$1=Units!$O21),Units!$R21,IF(AND(BH$1&gt;=Units!$Q21,MOD(BH$1-Units!$Q21,12)=0),IF(AND(Units!$L21=1,BH$1=Units!$Q21),IF(Units!$J21&lt;&gt;"",Units!$J21,Mkt!BH22),Inputs!$B$15*Mkt!BH22+(1-Inputs!$B$15)*MIN(Mkt!BH22,BG22*(1+Inputs!$B$18))),BG22)))</f>
        <v>1457.53390895</v>
      </c>
      <c r="BI22" s="11" t="n">
        <f aca="false">IF(BI$1&lt;Units!$P21,0,IF(AND(Units!$K21=0,BI$1=Units!$O21),Units!$R21,IF(AND(BI$1&gt;=Units!$Q21,MOD(BI$1-Units!$Q21,12)=0),IF(AND(Units!$L21=1,BI$1=Units!$Q21),IF(Units!$J21&lt;&gt;"",Units!$J21,Mkt!BI22),Inputs!$B$15*Mkt!BI22+(1-Inputs!$B$15)*MIN(Mkt!BI22,BH22*(1+Inputs!$B$18))),BH22)))</f>
        <v>1457.53390895</v>
      </c>
      <c r="BJ22" s="11" t="n">
        <f aca="false">IF(BJ$1&lt;Units!$P21,0,IF(AND(Units!$K21=0,BJ$1=Units!$O21),Units!$R21,IF(AND(BJ$1&gt;=Units!$Q21,MOD(BJ$1-Units!$Q21,12)=0),IF(AND(Units!$L21=1,BJ$1=Units!$Q21),IF(Units!$J21&lt;&gt;"",Units!$J21,Mkt!BJ22),Inputs!$B$15*Mkt!BJ22+(1-Inputs!$B$15)*MIN(Mkt!BJ22,BI22*(1+Inputs!$B$18))),BI22)))</f>
        <v>1457.53390895</v>
      </c>
      <c r="BK22" s="11" t="n">
        <f aca="false">IF(BK$1&lt;Units!$P21,0,IF(AND(Units!$K21=0,BK$1=Units!$O21),Units!$R21,IF(AND(BK$1&gt;=Units!$Q21,MOD(BK$1-Units!$Q21,12)=0),IF(AND(Units!$L21=1,BK$1=Units!$Q21),IF(Units!$J21&lt;&gt;"",Units!$J21,Mkt!BK22),Inputs!$B$15*Mkt!BK22+(1-Inputs!$B$15)*MIN(Mkt!BK22,BJ22*(1+Inputs!$B$18))),BJ22)))</f>
        <v>1457.53390895</v>
      </c>
      <c r="BL22" s="11" t="n">
        <f aca="false">IF(BL$1&lt;Units!$P21,0,IF(AND(Units!$K21=0,BL$1=Units!$O21),Units!$R21,IF(AND(BL$1&gt;=Units!$Q21,MOD(BL$1-Units!$Q21,12)=0),IF(AND(Units!$L21=1,BL$1=Units!$Q21),IF(Units!$J21&lt;&gt;"",Units!$J21,Mkt!BL22),Inputs!$B$15*Mkt!BL22+(1-Inputs!$B$15)*MIN(Mkt!BL22,BK22*(1+Inputs!$B$18))),BK22)))</f>
        <v>1457.53390895</v>
      </c>
      <c r="BM22" s="11" t="n">
        <f aca="false">IF(BM$1&lt;Units!$P21,0,IF(AND(Units!$K21=0,BM$1=Units!$O21),Units!$R21,IF(AND(BM$1&gt;=Units!$Q21,MOD(BM$1-Units!$Q21,12)=0),IF(AND(Units!$L21=1,BM$1=Units!$Q21),IF(Units!$J21&lt;&gt;"",Units!$J21,Mkt!BM22),Inputs!$B$15*Mkt!BM22+(1-Inputs!$B$15)*MIN(Mkt!BM22,BL22*(1+Inputs!$B$18))),BL22)))</f>
        <v>1457.53390895</v>
      </c>
      <c r="BN22" s="11" t="n">
        <f aca="false">IF(BN$1&lt;Units!$P21,0,IF(AND(Units!$K21=0,BN$1=Units!$O21),Units!$R21,IF(AND(BN$1&gt;=Units!$Q21,MOD(BN$1-Units!$Q21,12)=0),IF(AND(Units!$L21=1,BN$1=Units!$Q21),IF(Units!$J21&lt;&gt;"",Units!$J21,Mkt!BN22),Inputs!$B$15*Mkt!BN22+(1-Inputs!$B$15)*MIN(Mkt!BN22,BM22*(1+Inputs!$B$18))),BM22)))</f>
        <v>1457.53390895</v>
      </c>
      <c r="BO22" s="11" t="n">
        <f aca="false">IF(BO$1&lt;Units!$P21,0,IF(AND(Units!$K21=0,BO$1=Units!$O21),Units!$R21,IF(AND(BO$1&gt;=Units!$Q21,MOD(BO$1-Units!$Q21,12)=0),IF(AND(Units!$L21=1,BO$1=Units!$Q21),IF(Units!$J21&lt;&gt;"",Units!$J21,Mkt!BO22),Inputs!$B$15*Mkt!BO22+(1-Inputs!$B$15)*MIN(Mkt!BO22,BN22*(1+Inputs!$B$18))),BN22)))</f>
        <v>1457.53390895</v>
      </c>
      <c r="BP22" s="11" t="n">
        <f aca="false">IF(BP$1&lt;Units!$P21,0,IF(AND(Units!$K21=0,BP$1=Units!$O21),Units!$R21,IF(AND(BP$1&gt;=Units!$Q21,MOD(BP$1-Units!$Q21,12)=0),IF(AND(Units!$L21=1,BP$1=Units!$Q21),IF(Units!$J21&lt;&gt;"",Units!$J21,Mkt!BP22),Inputs!$B$15*Mkt!BP22+(1-Inputs!$B$15)*MIN(Mkt!BP22,BO22*(1+Inputs!$B$18))),BO22)))</f>
        <v>1457.53390895</v>
      </c>
      <c r="BQ22" s="11" t="n">
        <f aca="false">IF(BQ$1&lt;Units!$P21,0,IF(AND(Units!$K21=0,BQ$1=Units!$O21),Units!$R21,IF(AND(BQ$1&gt;=Units!$Q21,MOD(BQ$1-Units!$Q21,12)=0),IF(AND(Units!$L21=1,BQ$1=Units!$Q21),IF(Units!$J21&lt;&gt;"",Units!$J21,Mkt!BQ22),Inputs!$B$15*Mkt!BQ22+(1-Inputs!$B$15)*MIN(Mkt!BQ22,BP22*(1+Inputs!$B$18))),BP22)))</f>
        <v>1457.53390895</v>
      </c>
      <c r="BR22" s="11" t="n">
        <f aca="false">IF(BR$1&lt;Units!$P21,0,IF(AND(Units!$K21=0,BR$1=Units!$O21),Units!$R21,IF(AND(BR$1&gt;=Units!$Q21,MOD(BR$1-Units!$Q21,12)=0),IF(AND(Units!$L21=1,BR$1=Units!$Q21),IF(Units!$J21&lt;&gt;"",Units!$J21,Mkt!BR22),Inputs!$B$15*Mkt!BR22+(1-Inputs!$B$15)*MIN(Mkt!BR22,BQ22*(1+Inputs!$B$18))),BQ22)))</f>
        <v>1457.53390895</v>
      </c>
      <c r="BS22" s="11" t="n">
        <f aca="false">IF(BS$1&lt;Units!$P21,0,IF(AND(Units!$K21=0,BS$1=Units!$O21),Units!$R21,IF(AND(BS$1&gt;=Units!$Q21,MOD(BS$1-Units!$Q21,12)=0),IF(AND(Units!$L21=1,BS$1=Units!$Q21),IF(Units!$J21&lt;&gt;"",Units!$J21,Mkt!BS22),Inputs!$B$15*Mkt!BS22+(1-Inputs!$B$15)*MIN(Mkt!BS22,BR22*(1+Inputs!$B$18))),BR22)))</f>
        <v>1501.2599262185</v>
      </c>
      <c r="BT22" s="11" t="n">
        <f aca="false">IF(BT$1&lt;Units!$P21,0,IF(AND(Units!$K21=0,BT$1=Units!$O21),Units!$R21,IF(AND(BT$1&gt;=Units!$Q21,MOD(BT$1-Units!$Q21,12)=0),IF(AND(Units!$L21=1,BT$1=Units!$Q21),IF(Units!$J21&lt;&gt;"",Units!$J21,Mkt!BT22),Inputs!$B$15*Mkt!BT22+(1-Inputs!$B$15)*MIN(Mkt!BT22,BS22*(1+Inputs!$B$18))),BS22)))</f>
        <v>1501.2599262185</v>
      </c>
      <c r="BU22" s="11" t="n">
        <f aca="false">IF(BU$1&lt;Units!$P21,0,IF(AND(Units!$K21=0,BU$1=Units!$O21),Units!$R21,IF(AND(BU$1&gt;=Units!$Q21,MOD(BU$1-Units!$Q21,12)=0),IF(AND(Units!$L21=1,BU$1=Units!$Q21),IF(Units!$J21&lt;&gt;"",Units!$J21,Mkt!BU22),Inputs!$B$15*Mkt!BU22+(1-Inputs!$B$15)*MIN(Mkt!BU22,BT22*(1+Inputs!$B$18))),BT22)))</f>
        <v>1501.2599262185</v>
      </c>
      <c r="BV22" s="11" t="n">
        <f aca="false">IF(BV$1&lt;Units!$P21,0,IF(AND(Units!$K21=0,BV$1=Units!$O21),Units!$R21,IF(AND(BV$1&gt;=Units!$Q21,MOD(BV$1-Units!$Q21,12)=0),IF(AND(Units!$L21=1,BV$1=Units!$Q21),IF(Units!$J21&lt;&gt;"",Units!$J21,Mkt!BV22),Inputs!$B$15*Mkt!BV22+(1-Inputs!$B$15)*MIN(Mkt!BV22,BU22*(1+Inputs!$B$18))),BU22)))</f>
        <v>1501.2599262185</v>
      </c>
      <c r="BW22" s="11" t="n">
        <f aca="false">IF(BW$1&lt;Units!$P21,0,IF(AND(Units!$K21=0,BW$1=Units!$O21),Units!$R21,IF(AND(BW$1&gt;=Units!$Q21,MOD(BW$1-Units!$Q21,12)=0),IF(AND(Units!$L21=1,BW$1=Units!$Q21),IF(Units!$J21&lt;&gt;"",Units!$J21,Mkt!BW22),Inputs!$B$15*Mkt!BW22+(1-Inputs!$B$15)*MIN(Mkt!BW22,BV22*(1+Inputs!$B$18))),BV22)))</f>
        <v>1501.2599262185</v>
      </c>
      <c r="BX22" s="11" t="n">
        <f aca="false">IF(BX$1&lt;Units!$P21,0,IF(AND(Units!$K21=0,BX$1=Units!$O21),Units!$R21,IF(AND(BX$1&gt;=Units!$Q21,MOD(BX$1-Units!$Q21,12)=0),IF(AND(Units!$L21=1,BX$1=Units!$Q21),IF(Units!$J21&lt;&gt;"",Units!$J21,Mkt!BX22),Inputs!$B$15*Mkt!BX22+(1-Inputs!$B$15)*MIN(Mkt!BX22,BW22*(1+Inputs!$B$18))),BW22)))</f>
        <v>1501.2599262185</v>
      </c>
      <c r="BY22" s="11" t="n">
        <f aca="false">IF(BY$1&lt;Units!$P21,0,IF(AND(Units!$K21=0,BY$1=Units!$O21),Units!$R21,IF(AND(BY$1&gt;=Units!$Q21,MOD(BY$1-Units!$Q21,12)=0),IF(AND(Units!$L21=1,BY$1=Units!$Q21),IF(Units!$J21&lt;&gt;"",Units!$J21,Mkt!BY22),Inputs!$B$15*Mkt!BY22+(1-Inputs!$B$15)*MIN(Mkt!BY22,BX22*(1+Inputs!$B$18))),BX22)))</f>
        <v>1501.2599262185</v>
      </c>
      <c r="BZ22" s="11" t="n">
        <f aca="false">IF(BZ$1&lt;Units!$P21,0,IF(AND(Units!$K21=0,BZ$1=Units!$O21),Units!$R21,IF(AND(BZ$1&gt;=Units!$Q21,MOD(BZ$1-Units!$Q21,12)=0),IF(AND(Units!$L21=1,BZ$1=Units!$Q21),IF(Units!$J21&lt;&gt;"",Units!$J21,Mkt!BZ22),Inputs!$B$15*Mkt!BZ22+(1-Inputs!$B$15)*MIN(Mkt!BZ22,BY22*(1+Inputs!$B$18))),BY22)))</f>
        <v>1501.2599262185</v>
      </c>
      <c r="CA22" s="11" t="n">
        <f aca="false">IF(CA$1&lt;Units!$P21,0,IF(AND(Units!$K21=0,CA$1=Units!$O21),Units!$R21,IF(AND(CA$1&gt;=Units!$Q21,MOD(CA$1-Units!$Q21,12)=0),IF(AND(Units!$L21=1,CA$1=Units!$Q21),IF(Units!$J21&lt;&gt;"",Units!$J21,Mkt!CA22),Inputs!$B$15*Mkt!CA22+(1-Inputs!$B$15)*MIN(Mkt!CA22,BZ22*(1+Inputs!$B$18))),BZ22)))</f>
        <v>1501.2599262185</v>
      </c>
      <c r="CB22" s="11" t="n">
        <f aca="false">IF(CB$1&lt;Units!$P21,0,IF(AND(Units!$K21=0,CB$1=Units!$O21),Units!$R21,IF(AND(CB$1&gt;=Units!$Q21,MOD(CB$1-Units!$Q21,12)=0),IF(AND(Units!$L21=1,CB$1=Units!$Q21),IF(Units!$J21&lt;&gt;"",Units!$J21,Mkt!CB22),Inputs!$B$15*Mkt!CB22+(1-Inputs!$B$15)*MIN(Mkt!CB22,CA22*(1+Inputs!$B$18))),CA22)))</f>
        <v>1501.2599262185</v>
      </c>
      <c r="CC22" s="11" t="n">
        <f aca="false">IF(CC$1&lt;Units!$P21,0,IF(AND(Units!$K21=0,CC$1=Units!$O21),Units!$R21,IF(AND(CC$1&gt;=Units!$Q21,MOD(CC$1-Units!$Q21,12)=0),IF(AND(Units!$L21=1,CC$1=Units!$Q21),IF(Units!$J21&lt;&gt;"",Units!$J21,Mkt!CC22),Inputs!$B$15*Mkt!CC22+(1-Inputs!$B$15)*MIN(Mkt!CC22,CB22*(1+Inputs!$B$18))),CB22)))</f>
        <v>1501.2599262185</v>
      </c>
      <c r="CD22" s="11" t="n">
        <f aca="false">IF(CD$1&lt;Units!$P21,0,IF(AND(Units!$K21=0,CD$1=Units!$O21),Units!$R21,IF(AND(CD$1&gt;=Units!$Q21,MOD(CD$1-Units!$Q21,12)=0),IF(AND(Units!$L21=1,CD$1=Units!$Q21),IF(Units!$J21&lt;&gt;"",Units!$J21,Mkt!CD22),Inputs!$B$15*Mkt!CD22+(1-Inputs!$B$15)*MIN(Mkt!CD22,CC22*(1+Inputs!$B$18))),CC22)))</f>
        <v>1501.2599262185</v>
      </c>
      <c r="CE22" s="11" t="n">
        <f aca="false">IF(CE$1&lt;Units!$P21,0,IF(AND(Units!$K21=0,CE$1=Units!$O21),Units!$R21,IF(AND(CE$1&gt;=Units!$Q21,MOD(CE$1-Units!$Q21,12)=0),IF(AND(Units!$L21=1,CE$1=Units!$Q21),IF(Units!$J21&lt;&gt;"",Units!$J21,Mkt!CE22),Inputs!$B$15*Mkt!CE22+(1-Inputs!$B$15)*MIN(Mkt!CE22,CD22*(1+Inputs!$B$18))),CD22)))</f>
        <v>1546.29772400506</v>
      </c>
      <c r="CF22" s="11" t="n">
        <f aca="false">IF(CF$1&lt;Units!$P21,0,IF(AND(Units!$K21=0,CF$1=Units!$O21),Units!$R21,IF(AND(CF$1&gt;=Units!$Q21,MOD(CF$1-Units!$Q21,12)=0),IF(AND(Units!$L21=1,CF$1=Units!$Q21),IF(Units!$J21&lt;&gt;"",Units!$J21,Mkt!CF22),Inputs!$B$15*Mkt!CF22+(1-Inputs!$B$15)*MIN(Mkt!CF22,CE22*(1+Inputs!$B$18))),CE22)))</f>
        <v>1546.29772400506</v>
      </c>
      <c r="CG22" s="11" t="n">
        <f aca="false">IF(CG$1&lt;Units!$P21,0,IF(AND(Units!$K21=0,CG$1=Units!$O21),Units!$R21,IF(AND(CG$1&gt;=Units!$Q21,MOD(CG$1-Units!$Q21,12)=0),IF(AND(Units!$L21=1,CG$1=Units!$Q21),IF(Units!$J21&lt;&gt;"",Units!$J21,Mkt!CG22),Inputs!$B$15*Mkt!CG22+(1-Inputs!$B$15)*MIN(Mkt!CG22,CF22*(1+Inputs!$B$18))),CF22)))</f>
        <v>1546.29772400506</v>
      </c>
      <c r="CH22" s="11" t="n">
        <f aca="false">IF(CH$1&lt;Units!$P21,0,IF(AND(Units!$K21=0,CH$1=Units!$O21),Units!$R21,IF(AND(CH$1&gt;=Units!$Q21,MOD(CH$1-Units!$Q21,12)=0),IF(AND(Units!$L21=1,CH$1=Units!$Q21),IF(Units!$J21&lt;&gt;"",Units!$J21,Mkt!CH22),Inputs!$B$15*Mkt!CH22+(1-Inputs!$B$15)*MIN(Mkt!CH22,CG22*(1+Inputs!$B$18))),CG22)))</f>
        <v>1546.29772400506</v>
      </c>
      <c r="CI22" s="11" t="n">
        <f aca="false">IF(CI$1&lt;Units!$P21,0,IF(AND(Units!$K21=0,CI$1=Units!$O21),Units!$R21,IF(AND(CI$1&gt;=Units!$Q21,MOD(CI$1-Units!$Q21,12)=0),IF(AND(Units!$L21=1,CI$1=Units!$Q21),IF(Units!$J21&lt;&gt;"",Units!$J21,Mkt!CI22),Inputs!$B$15*Mkt!CI22+(1-Inputs!$B$15)*MIN(Mkt!CI22,CH22*(1+Inputs!$B$18))),CH22)))</f>
        <v>1546.29772400506</v>
      </c>
      <c r="CJ22" s="11" t="n">
        <f aca="false">IF(CJ$1&lt;Units!$P21,0,IF(AND(Units!$K21=0,CJ$1=Units!$O21),Units!$R21,IF(AND(CJ$1&gt;=Units!$Q21,MOD(CJ$1-Units!$Q21,12)=0),IF(AND(Units!$L21=1,CJ$1=Units!$Q21),IF(Units!$J21&lt;&gt;"",Units!$J21,Mkt!CJ22),Inputs!$B$15*Mkt!CJ22+(1-Inputs!$B$15)*MIN(Mkt!CJ22,CI22*(1+Inputs!$B$18))),CI22)))</f>
        <v>1546.29772400506</v>
      </c>
      <c r="CK22" s="11" t="n">
        <f aca="false">IF(CK$1&lt;Units!$P21,0,IF(AND(Units!$K21=0,CK$1=Units!$O21),Units!$R21,IF(AND(CK$1&gt;=Units!$Q21,MOD(CK$1-Units!$Q21,12)=0),IF(AND(Units!$L21=1,CK$1=Units!$Q21),IF(Units!$J21&lt;&gt;"",Units!$J21,Mkt!CK22),Inputs!$B$15*Mkt!CK22+(1-Inputs!$B$15)*MIN(Mkt!CK22,CJ22*(1+Inputs!$B$18))),CJ22)))</f>
        <v>1546.29772400506</v>
      </c>
      <c r="CL22" s="11" t="n">
        <f aca="false">IF(CL$1&lt;Units!$P21,0,IF(AND(Units!$K21=0,CL$1=Units!$O21),Units!$R21,IF(AND(CL$1&gt;=Units!$Q21,MOD(CL$1-Units!$Q21,12)=0),IF(AND(Units!$L21=1,CL$1=Units!$Q21),IF(Units!$J21&lt;&gt;"",Units!$J21,Mkt!CL22),Inputs!$B$15*Mkt!CL22+(1-Inputs!$B$15)*MIN(Mkt!CL22,CK22*(1+Inputs!$B$18))),CK22)))</f>
        <v>1546.29772400506</v>
      </c>
      <c r="CM22" s="11" t="n">
        <f aca="false">IF(CM$1&lt;Units!$P21,0,IF(AND(Units!$K21=0,CM$1=Units!$O21),Units!$R21,IF(AND(CM$1&gt;=Units!$Q21,MOD(CM$1-Units!$Q21,12)=0),IF(AND(Units!$L21=1,CM$1=Units!$Q21),IF(Units!$J21&lt;&gt;"",Units!$J21,Mkt!CM22),Inputs!$B$15*Mkt!CM22+(1-Inputs!$B$15)*MIN(Mkt!CM22,CL22*(1+Inputs!$B$18))),CL22)))</f>
        <v>1546.29772400506</v>
      </c>
      <c r="CN22" s="11" t="n">
        <f aca="false">IF(CN$1&lt;Units!$P21,0,IF(AND(Units!$K21=0,CN$1=Units!$O21),Units!$R21,IF(AND(CN$1&gt;=Units!$Q21,MOD(CN$1-Units!$Q21,12)=0),IF(AND(Units!$L21=1,CN$1=Units!$Q21),IF(Units!$J21&lt;&gt;"",Units!$J21,Mkt!CN22),Inputs!$B$15*Mkt!CN22+(1-Inputs!$B$15)*MIN(Mkt!CN22,CM22*(1+Inputs!$B$18))),CM22)))</f>
        <v>1546.29772400506</v>
      </c>
      <c r="CO22" s="11" t="n">
        <f aca="false">IF(CO$1&lt;Units!$P21,0,IF(AND(Units!$K21=0,CO$1=Units!$O21),Units!$R21,IF(AND(CO$1&gt;=Units!$Q21,MOD(CO$1-Units!$Q21,12)=0),IF(AND(Units!$L21=1,CO$1=Units!$Q21),IF(Units!$J21&lt;&gt;"",Units!$J21,Mkt!CO22),Inputs!$B$15*Mkt!CO22+(1-Inputs!$B$15)*MIN(Mkt!CO22,CN22*(1+Inputs!$B$18))),CN22)))</f>
        <v>1546.29772400506</v>
      </c>
      <c r="CP22" s="11" t="n">
        <f aca="false">IF(CP$1&lt;Units!$P21,0,IF(AND(Units!$K21=0,CP$1=Units!$O21),Units!$R21,IF(AND(CP$1&gt;=Units!$Q21,MOD(CP$1-Units!$Q21,12)=0),IF(AND(Units!$L21=1,CP$1=Units!$Q21),IF(Units!$J21&lt;&gt;"",Units!$J21,Mkt!CP22),Inputs!$B$15*Mkt!CP22+(1-Inputs!$B$15)*MIN(Mkt!CP22,CO22*(1+Inputs!$B$18))),CO22)))</f>
        <v>1546.29772400506</v>
      </c>
      <c r="CQ22" s="11" t="n">
        <f aca="false">IF(CQ$1&lt;Units!$P21,0,IF(AND(Units!$K21=0,CQ$1=Units!$O21),Units!$R21,IF(AND(CQ$1&gt;=Units!$Q21,MOD(CQ$1-Units!$Q21,12)=0),IF(AND(Units!$L21=1,CQ$1=Units!$Q21),IF(Units!$J21&lt;&gt;"",Units!$J21,Mkt!CQ22),Inputs!$B$15*Mkt!CQ22+(1-Inputs!$B$15)*MIN(Mkt!CQ22,CP22*(1+Inputs!$B$18))),CP22)))</f>
        <v>1592.68665572521</v>
      </c>
      <c r="CR22" s="11" t="n">
        <f aca="false">IF(CR$1&lt;Units!$P21,0,IF(AND(Units!$K21=0,CR$1=Units!$O21),Units!$R21,IF(AND(CR$1&gt;=Units!$Q21,MOD(CR$1-Units!$Q21,12)=0),IF(AND(Units!$L21=1,CR$1=Units!$Q21),IF(Units!$J21&lt;&gt;"",Units!$J21,Mkt!CR22),Inputs!$B$15*Mkt!CR22+(1-Inputs!$B$15)*MIN(Mkt!CR22,CQ22*(1+Inputs!$B$18))),CQ22)))</f>
        <v>1592.68665572521</v>
      </c>
      <c r="CS22" s="11" t="n">
        <f aca="false">IF(CS$1&lt;Units!$P21,0,IF(AND(Units!$K21=0,CS$1=Units!$O21),Units!$R21,IF(AND(CS$1&gt;=Units!$Q21,MOD(CS$1-Units!$Q21,12)=0),IF(AND(Units!$L21=1,CS$1=Units!$Q21),IF(Units!$J21&lt;&gt;"",Units!$J21,Mkt!CS22),Inputs!$B$15*Mkt!CS22+(1-Inputs!$B$15)*MIN(Mkt!CS22,CR22*(1+Inputs!$B$18))),CR22)))</f>
        <v>1592.68665572521</v>
      </c>
      <c r="CT22" s="11" t="n">
        <f aca="false">IF(CT$1&lt;Units!$P21,0,IF(AND(Units!$K21=0,CT$1=Units!$O21),Units!$R21,IF(AND(CT$1&gt;=Units!$Q21,MOD(CT$1-Units!$Q21,12)=0),IF(AND(Units!$L21=1,CT$1=Units!$Q21),IF(Units!$J21&lt;&gt;"",Units!$J21,Mkt!CT22),Inputs!$B$15*Mkt!CT22+(1-Inputs!$B$15)*MIN(Mkt!CT22,CS22*(1+Inputs!$B$18))),CS22)))</f>
        <v>1592.68665572521</v>
      </c>
      <c r="CU22" s="11" t="n">
        <f aca="false">IF(CU$1&lt;Units!$P21,0,IF(AND(Units!$K21=0,CU$1=Units!$O21),Units!$R21,IF(AND(CU$1&gt;=Units!$Q21,MOD(CU$1-Units!$Q21,12)=0),IF(AND(Units!$L21=1,CU$1=Units!$Q21),IF(Units!$J21&lt;&gt;"",Units!$J21,Mkt!CU22),Inputs!$B$15*Mkt!CU22+(1-Inputs!$B$15)*MIN(Mkt!CU22,CT22*(1+Inputs!$B$18))),CT22)))</f>
        <v>1592.68665572521</v>
      </c>
      <c r="CV22" s="11" t="n">
        <f aca="false">IF(CV$1&lt;Units!$P21,0,IF(AND(Units!$K21=0,CV$1=Units!$O21),Units!$R21,IF(AND(CV$1&gt;=Units!$Q21,MOD(CV$1-Units!$Q21,12)=0),IF(AND(Units!$L21=1,CV$1=Units!$Q21),IF(Units!$J21&lt;&gt;"",Units!$J21,Mkt!CV22),Inputs!$B$15*Mkt!CV22+(1-Inputs!$B$15)*MIN(Mkt!CV22,CU22*(1+Inputs!$B$18))),CU22)))</f>
        <v>1592.68665572521</v>
      </c>
      <c r="CW22" s="11" t="n">
        <f aca="false">IF(CW$1&lt;Units!$P21,0,IF(AND(Units!$K21=0,CW$1=Units!$O21),Units!$R21,IF(AND(CW$1&gt;=Units!$Q21,MOD(CW$1-Units!$Q21,12)=0),IF(AND(Units!$L21=1,CW$1=Units!$Q21),IF(Units!$J21&lt;&gt;"",Units!$J21,Mkt!CW22),Inputs!$B$15*Mkt!CW22+(1-Inputs!$B$15)*MIN(Mkt!CW22,CV22*(1+Inputs!$B$18))),CV22)))</f>
        <v>1592.68665572521</v>
      </c>
      <c r="CX22" s="11" t="n">
        <f aca="false">IF(CX$1&lt;Units!$P21,0,IF(AND(Units!$K21=0,CX$1=Units!$O21),Units!$R21,IF(AND(CX$1&gt;=Units!$Q21,MOD(CX$1-Units!$Q21,12)=0),IF(AND(Units!$L21=1,CX$1=Units!$Q21),IF(Units!$J21&lt;&gt;"",Units!$J21,Mkt!CX22),Inputs!$B$15*Mkt!CX22+(1-Inputs!$B$15)*MIN(Mkt!CX22,CW22*(1+Inputs!$B$18))),CW22)))</f>
        <v>1592.68665572521</v>
      </c>
      <c r="CY22" s="11" t="n">
        <f aca="false">IF(CY$1&lt;Units!$P21,0,IF(AND(Units!$K21=0,CY$1=Units!$O21),Units!$R21,IF(AND(CY$1&gt;=Units!$Q21,MOD(CY$1-Units!$Q21,12)=0),IF(AND(Units!$L21=1,CY$1=Units!$Q21),IF(Units!$J21&lt;&gt;"",Units!$J21,Mkt!CY22),Inputs!$B$15*Mkt!CY22+(1-Inputs!$B$15)*MIN(Mkt!CY22,CX22*(1+Inputs!$B$18))),CX22)))</f>
        <v>1592.68665572521</v>
      </c>
      <c r="CZ22" s="11" t="n">
        <f aca="false">IF(CZ$1&lt;Units!$P21,0,IF(AND(Units!$K21=0,CZ$1=Units!$O21),Units!$R21,IF(AND(CZ$1&gt;=Units!$Q21,MOD(CZ$1-Units!$Q21,12)=0),IF(AND(Units!$L21=1,CZ$1=Units!$Q21),IF(Units!$J21&lt;&gt;"",Units!$J21,Mkt!CZ22),Inputs!$B$15*Mkt!CZ22+(1-Inputs!$B$15)*MIN(Mkt!CZ22,CY22*(1+Inputs!$B$18))),CY22)))</f>
        <v>1592.68665572521</v>
      </c>
      <c r="DA22" s="11" t="n">
        <f aca="false">IF(DA$1&lt;Units!$P21,0,IF(AND(Units!$K21=0,DA$1=Units!$O21),Units!$R21,IF(AND(DA$1&gt;=Units!$Q21,MOD(DA$1-Units!$Q21,12)=0),IF(AND(Units!$L21=1,DA$1=Units!$Q21),IF(Units!$J21&lt;&gt;"",Units!$J21,Mkt!DA22),Inputs!$B$15*Mkt!DA22+(1-Inputs!$B$15)*MIN(Mkt!DA22,CZ22*(1+Inputs!$B$18))),CZ22)))</f>
        <v>1592.68665572521</v>
      </c>
      <c r="DB22" s="11" t="n">
        <f aca="false">IF(DB$1&lt;Units!$P21,0,IF(AND(Units!$K21=0,DB$1=Units!$O21),Units!$R21,IF(AND(DB$1&gt;=Units!$Q21,MOD(DB$1-Units!$Q21,12)=0),IF(AND(Units!$L21=1,DB$1=Units!$Q21),IF(Units!$J21&lt;&gt;"",Units!$J21,Mkt!DB22),Inputs!$B$15*Mkt!DB22+(1-Inputs!$B$15)*MIN(Mkt!DB22,DA22*(1+Inputs!$B$18))),DA22)))</f>
        <v>1592.68665572521</v>
      </c>
      <c r="DC22" s="11" t="n">
        <f aca="false">IF(DC$1&lt;Units!$P21,0,IF(AND(Units!$K21=0,DC$1=Units!$O21),Units!$R21,IF(AND(DC$1&gt;=Units!$Q21,MOD(DC$1-Units!$Q21,12)=0),IF(AND(Units!$L21=1,DC$1=Units!$Q21),IF(Units!$J21&lt;&gt;"",Units!$J21,Mkt!DC22),Inputs!$B$15*Mkt!DC22+(1-Inputs!$B$15)*MIN(Mkt!DC22,DB22*(1+Inputs!$B$18))),DB22)))</f>
        <v>1640.46725539696</v>
      </c>
      <c r="DD22" s="11" t="n">
        <f aca="false">IF(DD$1&lt;Units!$P21,0,IF(AND(Units!$K21=0,DD$1=Units!$O21),Units!$R21,IF(AND(DD$1&gt;=Units!$Q21,MOD(DD$1-Units!$Q21,12)=0),IF(AND(Units!$L21=1,DD$1=Units!$Q21),IF(Units!$J21&lt;&gt;"",Units!$J21,Mkt!DD22),Inputs!$B$15*Mkt!DD22+(1-Inputs!$B$15)*MIN(Mkt!DD22,DC22*(1+Inputs!$B$18))),DC22)))</f>
        <v>1640.46725539696</v>
      </c>
      <c r="DE22" s="11" t="n">
        <f aca="false">IF(DE$1&lt;Units!$P21,0,IF(AND(Units!$K21=0,DE$1=Units!$O21),Units!$R21,IF(AND(DE$1&gt;=Units!$Q21,MOD(DE$1-Units!$Q21,12)=0),IF(AND(Units!$L21=1,DE$1=Units!$Q21),IF(Units!$J21&lt;&gt;"",Units!$J21,Mkt!DE22),Inputs!$B$15*Mkt!DE22+(1-Inputs!$B$15)*MIN(Mkt!DE22,DD22*(1+Inputs!$B$18))),DD22)))</f>
        <v>1640.46725539696</v>
      </c>
      <c r="DF22" s="11" t="n">
        <f aca="false">IF(DF$1&lt;Units!$P21,0,IF(AND(Units!$K21=0,DF$1=Units!$O21),Units!$R21,IF(AND(DF$1&gt;=Units!$Q21,MOD(DF$1-Units!$Q21,12)=0),IF(AND(Units!$L21=1,DF$1=Units!$Q21),IF(Units!$J21&lt;&gt;"",Units!$J21,Mkt!DF22),Inputs!$B$15*Mkt!DF22+(1-Inputs!$B$15)*MIN(Mkt!DF22,DE22*(1+Inputs!$B$18))),DE22)))</f>
        <v>1640.46725539696</v>
      </c>
      <c r="DG22" s="11" t="n">
        <f aca="false">IF(DG$1&lt;Units!$P21,0,IF(AND(Units!$K21=0,DG$1=Units!$O21),Units!$R21,IF(AND(DG$1&gt;=Units!$Q21,MOD(DG$1-Units!$Q21,12)=0),IF(AND(Units!$L21=1,DG$1=Units!$Q21),IF(Units!$J21&lt;&gt;"",Units!$J21,Mkt!DG22),Inputs!$B$15*Mkt!DG22+(1-Inputs!$B$15)*MIN(Mkt!DG22,DF22*(1+Inputs!$B$18))),DF22)))</f>
        <v>1640.46725539696</v>
      </c>
      <c r="DH22" s="11" t="n">
        <f aca="false">IF(DH$1&lt;Units!$P21,0,IF(AND(Units!$K21=0,DH$1=Units!$O21),Units!$R21,IF(AND(DH$1&gt;=Units!$Q21,MOD(DH$1-Units!$Q21,12)=0),IF(AND(Units!$L21=1,DH$1=Units!$Q21),IF(Units!$J21&lt;&gt;"",Units!$J21,Mkt!DH22),Inputs!$B$15*Mkt!DH22+(1-Inputs!$B$15)*MIN(Mkt!DH22,DG22*(1+Inputs!$B$18))),DG22)))</f>
        <v>1640.46725539696</v>
      </c>
      <c r="DI22" s="11" t="n">
        <f aca="false">IF(DI$1&lt;Units!$P21,0,IF(AND(Units!$K21=0,DI$1=Units!$O21),Units!$R21,IF(AND(DI$1&gt;=Units!$Q21,MOD(DI$1-Units!$Q21,12)=0),IF(AND(Units!$L21=1,DI$1=Units!$Q21),IF(Units!$J21&lt;&gt;"",Units!$J21,Mkt!DI22),Inputs!$B$15*Mkt!DI22+(1-Inputs!$B$15)*MIN(Mkt!DI22,DH22*(1+Inputs!$B$18))),DH22)))</f>
        <v>1640.46725539696</v>
      </c>
      <c r="DJ22" s="11" t="n">
        <f aca="false">IF(DJ$1&lt;Units!$P21,0,IF(AND(Units!$K21=0,DJ$1=Units!$O21),Units!$R21,IF(AND(DJ$1&gt;=Units!$Q21,MOD(DJ$1-Units!$Q21,12)=0),IF(AND(Units!$L21=1,DJ$1=Units!$Q21),IF(Units!$J21&lt;&gt;"",Units!$J21,Mkt!DJ22),Inputs!$B$15*Mkt!DJ22+(1-Inputs!$B$15)*MIN(Mkt!DJ22,DI22*(1+Inputs!$B$18))),DI22)))</f>
        <v>1640.46725539696</v>
      </c>
      <c r="DK22" s="11" t="n">
        <f aca="false">IF(DK$1&lt;Units!$P21,0,IF(AND(Units!$K21=0,DK$1=Units!$O21),Units!$R21,IF(AND(DK$1&gt;=Units!$Q21,MOD(DK$1-Units!$Q21,12)=0),IF(AND(Units!$L21=1,DK$1=Units!$Q21),IF(Units!$J21&lt;&gt;"",Units!$J21,Mkt!DK22),Inputs!$B$15*Mkt!DK22+(1-Inputs!$B$15)*MIN(Mkt!DK22,DJ22*(1+Inputs!$B$18))),DJ22)))</f>
        <v>1640.46725539696</v>
      </c>
      <c r="DL22" s="11" t="n">
        <f aca="false">IF(DL$1&lt;Units!$P21,0,IF(AND(Units!$K21=0,DL$1=Units!$O21),Units!$R21,IF(AND(DL$1&gt;=Units!$Q21,MOD(DL$1-Units!$Q21,12)=0),IF(AND(Units!$L21=1,DL$1=Units!$Q21),IF(Units!$J21&lt;&gt;"",Units!$J21,Mkt!DL22),Inputs!$B$15*Mkt!DL22+(1-Inputs!$B$15)*MIN(Mkt!DL22,DK22*(1+Inputs!$B$18))),DK22)))</f>
        <v>1640.46725539696</v>
      </c>
      <c r="DM22" s="11" t="n">
        <f aca="false">IF(DM$1&lt;Units!$P21,0,IF(AND(Units!$K21=0,DM$1=Units!$O21),Units!$R21,IF(AND(DM$1&gt;=Units!$Q21,MOD(DM$1-Units!$Q21,12)=0),IF(AND(Units!$L21=1,DM$1=Units!$Q21),IF(Units!$J21&lt;&gt;"",Units!$J21,Mkt!DM22),Inputs!$B$15*Mkt!DM22+(1-Inputs!$B$15)*MIN(Mkt!DM22,DL22*(1+Inputs!$B$18))),DL22)))</f>
        <v>1640.46725539696</v>
      </c>
      <c r="DN22" s="11" t="n">
        <f aca="false">IF(DN$1&lt;Units!$P21,0,IF(AND(Units!$K21=0,DN$1=Units!$O21),Units!$R21,IF(AND(DN$1&gt;=Units!$Q21,MOD(DN$1-Units!$Q21,12)=0),IF(AND(Units!$L21=1,DN$1=Units!$Q21),IF(Units!$J21&lt;&gt;"",Units!$J21,Mkt!DN22),Inputs!$B$15*Mkt!DN22+(1-Inputs!$B$15)*MIN(Mkt!DN22,DM22*(1+Inputs!$B$18))),DM22)))</f>
        <v>1640.46725539696</v>
      </c>
      <c r="DO22" s="11" t="n">
        <f aca="false">IF(DO$1&lt;Units!$P21,0,IF(AND(Units!$K21=0,DO$1=Units!$O21),Units!$R21,IF(AND(DO$1&gt;=Units!$Q21,MOD(DO$1-Units!$Q21,12)=0),IF(AND(Units!$L21=1,DO$1=Units!$Q21),IF(Units!$J21&lt;&gt;"",Units!$J21,Mkt!DO22),Inputs!$B$15*Mkt!DO22+(1-Inputs!$B$15)*MIN(Mkt!DO22,DN22*(1+Inputs!$B$18))),DN22)))</f>
        <v>1689.68127305887</v>
      </c>
      <c r="DP22" s="11" t="n">
        <f aca="false">IF(DP$1&lt;Units!$P21,0,IF(AND(Units!$K21=0,DP$1=Units!$O21),Units!$R21,IF(AND(DP$1&gt;=Units!$Q21,MOD(DP$1-Units!$Q21,12)=0),IF(AND(Units!$L21=1,DP$1=Units!$Q21),IF(Units!$J21&lt;&gt;"",Units!$J21,Mkt!DP22),Inputs!$B$15*Mkt!DP22+(1-Inputs!$B$15)*MIN(Mkt!DP22,DO22*(1+Inputs!$B$18))),DO22)))</f>
        <v>1689.68127305887</v>
      </c>
      <c r="DQ22" s="11" t="n">
        <f aca="false">IF(DQ$1&lt;Units!$P21,0,IF(AND(Units!$K21=0,DQ$1=Units!$O21),Units!$R21,IF(AND(DQ$1&gt;=Units!$Q21,MOD(DQ$1-Units!$Q21,12)=0),IF(AND(Units!$L21=1,DQ$1=Units!$Q21),IF(Units!$J21&lt;&gt;"",Units!$J21,Mkt!DQ22),Inputs!$B$15*Mkt!DQ22+(1-Inputs!$B$15)*MIN(Mkt!DQ22,DP22*(1+Inputs!$B$18))),DP22)))</f>
        <v>1689.68127305887</v>
      </c>
      <c r="DR22" s="11" t="n">
        <f aca="false">IF(DR$1&lt;Units!$P21,0,IF(AND(Units!$K21=0,DR$1=Units!$O21),Units!$R21,IF(AND(DR$1&gt;=Units!$Q21,MOD(DR$1-Units!$Q21,12)=0),IF(AND(Units!$L21=1,DR$1=Units!$Q21),IF(Units!$J21&lt;&gt;"",Units!$J21,Mkt!DR22),Inputs!$B$15*Mkt!DR22+(1-Inputs!$B$15)*MIN(Mkt!DR22,DQ22*(1+Inputs!$B$18))),DQ22)))</f>
        <v>1689.68127305887</v>
      </c>
      <c r="DS22" s="11" t="n">
        <f aca="false">IF(DS$1&lt;Units!$P21,0,IF(AND(Units!$K21=0,DS$1=Units!$O21),Units!$R21,IF(AND(DS$1&gt;=Units!$Q21,MOD(DS$1-Units!$Q21,12)=0),IF(AND(Units!$L21=1,DS$1=Units!$Q21),IF(Units!$J21&lt;&gt;"",Units!$J21,Mkt!DS22),Inputs!$B$15*Mkt!DS22+(1-Inputs!$B$15)*MIN(Mkt!DS22,DR22*(1+Inputs!$B$18))),DR22)))</f>
        <v>1689.68127305887</v>
      </c>
      <c r="DT22" s="11" t="n">
        <f aca="false">IF(DT$1&lt;Units!$P21,0,IF(AND(Units!$K21=0,DT$1=Units!$O21),Units!$R21,IF(AND(DT$1&gt;=Units!$Q21,MOD(DT$1-Units!$Q21,12)=0),IF(AND(Units!$L21=1,DT$1=Units!$Q21),IF(Units!$J21&lt;&gt;"",Units!$J21,Mkt!DT22),Inputs!$B$15*Mkt!DT22+(1-Inputs!$B$15)*MIN(Mkt!DT22,DS22*(1+Inputs!$B$18))),DS22)))</f>
        <v>1689.68127305887</v>
      </c>
      <c r="DU22" s="11" t="n">
        <f aca="false">IF(DU$1&lt;Units!$P21,0,IF(AND(Units!$K21=0,DU$1=Units!$O21),Units!$R21,IF(AND(DU$1&gt;=Units!$Q21,MOD(DU$1-Units!$Q21,12)=0),IF(AND(Units!$L21=1,DU$1=Units!$Q21),IF(Units!$J21&lt;&gt;"",Units!$J21,Mkt!DU22),Inputs!$B$15*Mkt!DU22+(1-Inputs!$B$15)*MIN(Mkt!DU22,DT22*(1+Inputs!$B$18))),DT22)))</f>
        <v>1689.68127305887</v>
      </c>
      <c r="DV22" s="11" t="n">
        <f aca="false">IF(DV$1&lt;Units!$P21,0,IF(AND(Units!$K21=0,DV$1=Units!$O21),Units!$R21,IF(AND(DV$1&gt;=Units!$Q21,MOD(DV$1-Units!$Q21,12)=0),IF(AND(Units!$L21=1,DV$1=Units!$Q21),IF(Units!$J21&lt;&gt;"",Units!$J21,Mkt!DV22),Inputs!$B$15*Mkt!DV22+(1-Inputs!$B$15)*MIN(Mkt!DV22,DU22*(1+Inputs!$B$18))),DU22)))</f>
        <v>1689.68127305887</v>
      </c>
      <c r="DW22" s="11" t="n">
        <f aca="false">IF(DW$1&lt;Units!$P21,0,IF(AND(Units!$K21=0,DW$1=Units!$O21),Units!$R21,IF(AND(DW$1&gt;=Units!$Q21,MOD(DW$1-Units!$Q21,12)=0),IF(AND(Units!$L21=1,DW$1=Units!$Q21),IF(Units!$J21&lt;&gt;"",Units!$J21,Mkt!DW22),Inputs!$B$15*Mkt!DW22+(1-Inputs!$B$15)*MIN(Mkt!DW22,DV22*(1+Inputs!$B$18))),DV22)))</f>
        <v>1689.68127305887</v>
      </c>
      <c r="DX22" s="11" t="n">
        <f aca="false">IF(DX$1&lt;Units!$P21,0,IF(AND(Units!$K21=0,DX$1=Units!$O21),Units!$R21,IF(AND(DX$1&gt;=Units!$Q21,MOD(DX$1-Units!$Q21,12)=0),IF(AND(Units!$L21=1,DX$1=Units!$Q21),IF(Units!$J21&lt;&gt;"",Units!$J21,Mkt!DX22),Inputs!$B$15*Mkt!DX22+(1-Inputs!$B$15)*MIN(Mkt!DX22,DW22*(1+Inputs!$B$18))),DW22)))</f>
        <v>1689.68127305887</v>
      </c>
      <c r="DY22" s="11" t="n">
        <f aca="false">IF(DY$1&lt;Units!$P21,0,IF(AND(Units!$K21=0,DY$1=Units!$O21),Units!$R21,IF(AND(DY$1&gt;=Units!$Q21,MOD(DY$1-Units!$Q21,12)=0),IF(AND(Units!$L21=1,DY$1=Units!$Q21),IF(Units!$J21&lt;&gt;"",Units!$J21,Mkt!DY22),Inputs!$B$15*Mkt!DY22+(1-Inputs!$B$15)*MIN(Mkt!DY22,DX22*(1+Inputs!$B$18))),DX22)))</f>
        <v>1689.68127305887</v>
      </c>
      <c r="DZ22" s="11" t="n">
        <f aca="false">IF(DZ$1&lt;Units!$P21,0,IF(AND(Units!$K21=0,DZ$1=Units!$O21),Units!$R21,IF(AND(DZ$1&gt;=Units!$Q21,MOD(DZ$1-Units!$Q21,12)=0),IF(AND(Units!$L21=1,DZ$1=Units!$Q21),IF(Units!$J21&lt;&gt;"",Units!$J21,Mkt!DZ22),Inputs!$B$15*Mkt!DZ22+(1-Inputs!$B$15)*MIN(Mkt!DZ22,DY22*(1+Inputs!$B$18))),DY22)))</f>
        <v>1689.68127305887</v>
      </c>
      <c r="EA22" s="11" t="n">
        <f aca="false">IF(EA$1&lt;Units!$P21,0,IF(AND(Units!$K21=0,EA$1=Units!$O21),Units!$R21,IF(AND(EA$1&gt;=Units!$Q21,MOD(EA$1-Units!$Q21,12)=0),IF(AND(Units!$L21=1,EA$1=Units!$Q21),IF(Units!$J21&lt;&gt;"",Units!$J21,Mkt!EA22),Inputs!$B$15*Mkt!EA22+(1-Inputs!$B$15)*MIN(Mkt!EA22,DZ22*(1+Inputs!$B$18))),DZ22)))</f>
        <v>1740.37171125064</v>
      </c>
      <c r="EB22" s="11" t="n">
        <f aca="false">IF(EB$1&lt;Units!$P21,0,IF(AND(Units!$K21=0,EB$1=Units!$O21),Units!$R21,IF(AND(EB$1&gt;=Units!$Q21,MOD(EB$1-Units!$Q21,12)=0),IF(AND(Units!$L21=1,EB$1=Units!$Q21),IF(Units!$J21&lt;&gt;"",Units!$J21,Mkt!EB22),Inputs!$B$15*Mkt!EB22+(1-Inputs!$B$15)*MIN(Mkt!EB22,EA22*(1+Inputs!$B$18))),EA22)))</f>
        <v>1740.37171125064</v>
      </c>
      <c r="EC22" s="11" t="n">
        <f aca="false">IF(EC$1&lt;Units!$P21,0,IF(AND(Units!$K21=0,EC$1=Units!$O21),Units!$R21,IF(AND(EC$1&gt;=Units!$Q21,MOD(EC$1-Units!$Q21,12)=0),IF(AND(Units!$L21=1,EC$1=Units!$Q21),IF(Units!$J21&lt;&gt;"",Units!$J21,Mkt!EC22),Inputs!$B$15*Mkt!EC22+(1-Inputs!$B$15)*MIN(Mkt!EC22,EB22*(1+Inputs!$B$18))),EB22)))</f>
        <v>1740.37171125064</v>
      </c>
      <c r="ED22" s="11" t="n">
        <f aca="false">IF(ED$1&lt;Units!$P21,0,IF(AND(Units!$K21=0,ED$1=Units!$O21),Units!$R21,IF(AND(ED$1&gt;=Units!$Q21,MOD(ED$1-Units!$Q21,12)=0),IF(AND(Units!$L21=1,ED$1=Units!$Q21),IF(Units!$J21&lt;&gt;"",Units!$J21,Mkt!ED22),Inputs!$B$15*Mkt!ED22+(1-Inputs!$B$15)*MIN(Mkt!ED22,EC22*(1+Inputs!$B$18))),EC22)))</f>
        <v>1740.37171125064</v>
      </c>
    </row>
    <row r="23" customFormat="false" ht="15" hidden="false" customHeight="false" outlineLevel="0" collapsed="false">
      <c r="A23" s="22" t="n">
        <f aca="false">Units!A22</f>
        <v>121</v>
      </c>
      <c r="B23" s="24" t="n">
        <f aca="false">IF(Units!K22=1,Units!F22,0)</f>
        <v>1800</v>
      </c>
      <c r="C23" s="11" t="n">
        <f aca="false">IF(C$1&lt;Units!$P22,0,IF(AND(Units!$K22=0,C$1=Units!$O22),Units!$R22,IF(AND(C$1&gt;=Units!$Q22,MOD(C$1-Units!$Q22,12)=0),IF(AND(Units!$L22=1,C$1=Units!$Q22),IF(Units!$J22&lt;&gt;"",Units!$J22,Mkt!C23),Inputs!$B$15*Mkt!C23+(1-Inputs!$B$15)*MIN(Mkt!C23,B23*(1+Inputs!$B$18))),B23)))</f>
        <v>1800</v>
      </c>
      <c r="D23" s="11" t="n">
        <f aca="false">IF(D$1&lt;Units!$P22,0,IF(AND(Units!$K22=0,D$1=Units!$O22),Units!$R22,IF(AND(D$1&gt;=Units!$Q22,MOD(D$1-Units!$Q22,12)=0),IF(AND(Units!$L22=1,D$1=Units!$Q22),IF(Units!$J22&lt;&gt;"",Units!$J22,Mkt!D23),Inputs!$B$15*Mkt!D23+(1-Inputs!$B$15)*MIN(Mkt!D23,C23*(1+Inputs!$B$18))),C23)))</f>
        <v>1800</v>
      </c>
      <c r="E23" s="11" t="n">
        <f aca="false">IF(E$1&lt;Units!$P22,0,IF(AND(Units!$K22=0,E$1=Units!$O22),Units!$R22,IF(AND(E$1&gt;=Units!$Q22,MOD(E$1-Units!$Q22,12)=0),IF(AND(Units!$L22=1,E$1=Units!$Q22),IF(Units!$J22&lt;&gt;"",Units!$J22,Mkt!E23),Inputs!$B$15*Mkt!E23+(1-Inputs!$B$15)*MIN(Mkt!E23,D23*(1+Inputs!$B$18))),D23)))</f>
        <v>1850</v>
      </c>
      <c r="F23" s="11" t="n">
        <f aca="false">IF(F$1&lt;Units!$P22,0,IF(AND(Units!$K22=0,F$1=Units!$O22),Units!$R22,IF(AND(F$1&gt;=Units!$Q22,MOD(F$1-Units!$Q22,12)=0),IF(AND(Units!$L22=1,F$1=Units!$Q22),IF(Units!$J22&lt;&gt;"",Units!$J22,Mkt!F23),Inputs!$B$15*Mkt!F23+(1-Inputs!$B$15)*MIN(Mkt!F23,E23*(1+Inputs!$B$18))),E23)))</f>
        <v>1850</v>
      </c>
      <c r="G23" s="11" t="n">
        <f aca="false">IF(G$1&lt;Units!$P22,0,IF(AND(Units!$K22=0,G$1=Units!$O22),Units!$R22,IF(AND(G$1&gt;=Units!$Q22,MOD(G$1-Units!$Q22,12)=0),IF(AND(Units!$L22=1,G$1=Units!$Q22),IF(Units!$J22&lt;&gt;"",Units!$J22,Mkt!G23),Inputs!$B$15*Mkt!G23+(1-Inputs!$B$15)*MIN(Mkt!G23,F23*(1+Inputs!$B$18))),F23)))</f>
        <v>1850</v>
      </c>
      <c r="H23" s="11" t="n">
        <f aca="false">IF(H$1&lt;Units!$P22,0,IF(AND(Units!$K22=0,H$1=Units!$O22),Units!$R22,IF(AND(H$1&gt;=Units!$Q22,MOD(H$1-Units!$Q22,12)=0),IF(AND(Units!$L22=1,H$1=Units!$Q22),IF(Units!$J22&lt;&gt;"",Units!$J22,Mkt!H23),Inputs!$B$15*Mkt!H23+(1-Inputs!$B$15)*MIN(Mkt!H23,G23*(1+Inputs!$B$18))),G23)))</f>
        <v>1850</v>
      </c>
      <c r="I23" s="11" t="n">
        <f aca="false">IF(I$1&lt;Units!$P22,0,IF(AND(Units!$K22=0,I$1=Units!$O22),Units!$R22,IF(AND(I$1&gt;=Units!$Q22,MOD(I$1-Units!$Q22,12)=0),IF(AND(Units!$L22=1,I$1=Units!$Q22),IF(Units!$J22&lt;&gt;"",Units!$J22,Mkt!I23),Inputs!$B$15*Mkt!I23+(1-Inputs!$B$15)*MIN(Mkt!I23,H23*(1+Inputs!$B$18))),H23)))</f>
        <v>1850</v>
      </c>
      <c r="J23" s="11" t="n">
        <f aca="false">IF(J$1&lt;Units!$P22,0,IF(AND(Units!$K22=0,J$1=Units!$O22),Units!$R22,IF(AND(J$1&gt;=Units!$Q22,MOD(J$1-Units!$Q22,12)=0),IF(AND(Units!$L22=1,J$1=Units!$Q22),IF(Units!$J22&lt;&gt;"",Units!$J22,Mkt!J23),Inputs!$B$15*Mkt!J23+(1-Inputs!$B$15)*MIN(Mkt!J23,I23*(1+Inputs!$B$18))),I23)))</f>
        <v>1850</v>
      </c>
      <c r="K23" s="11" t="n">
        <f aca="false">IF(K$1&lt;Units!$P22,0,IF(AND(Units!$K22=0,K$1=Units!$O22),Units!$R22,IF(AND(K$1&gt;=Units!$Q22,MOD(K$1-Units!$Q22,12)=0),IF(AND(Units!$L22=1,K$1=Units!$Q22),IF(Units!$J22&lt;&gt;"",Units!$J22,Mkt!K23),Inputs!$B$15*Mkt!K23+(1-Inputs!$B$15)*MIN(Mkt!K23,J23*(1+Inputs!$B$18))),J23)))</f>
        <v>1850</v>
      </c>
      <c r="L23" s="11" t="n">
        <f aca="false">IF(L$1&lt;Units!$P22,0,IF(AND(Units!$K22=0,L$1=Units!$O22),Units!$R22,IF(AND(L$1&gt;=Units!$Q22,MOD(L$1-Units!$Q22,12)=0),IF(AND(Units!$L22=1,L$1=Units!$Q22),IF(Units!$J22&lt;&gt;"",Units!$J22,Mkt!L23),Inputs!$B$15*Mkt!L23+(1-Inputs!$B$15)*MIN(Mkt!L23,K23*(1+Inputs!$B$18))),K23)))</f>
        <v>1850</v>
      </c>
      <c r="M23" s="11" t="n">
        <f aca="false">IF(M$1&lt;Units!$P22,0,IF(AND(Units!$K22=0,M$1=Units!$O22),Units!$R22,IF(AND(M$1&gt;=Units!$Q22,MOD(M$1-Units!$Q22,12)=0),IF(AND(Units!$L22=1,M$1=Units!$Q22),IF(Units!$J22&lt;&gt;"",Units!$J22,Mkt!M23),Inputs!$B$15*Mkt!M23+(1-Inputs!$B$15)*MIN(Mkt!M23,L23*(1+Inputs!$B$18))),L23)))</f>
        <v>1850</v>
      </c>
      <c r="N23" s="11" t="n">
        <f aca="false">IF(N$1&lt;Units!$P22,0,IF(AND(Units!$K22=0,N$1=Units!$O22),Units!$R22,IF(AND(N$1&gt;=Units!$Q22,MOD(N$1-Units!$Q22,12)=0),IF(AND(Units!$L22=1,N$1=Units!$Q22),IF(Units!$J22&lt;&gt;"",Units!$J22,Mkt!N23),Inputs!$B$15*Mkt!N23+(1-Inputs!$B$15)*MIN(Mkt!N23,M23*(1+Inputs!$B$18))),M23)))</f>
        <v>1850</v>
      </c>
      <c r="O23" s="11" t="n">
        <f aca="false">IF(O$1&lt;Units!$P22,0,IF(AND(Units!$K22=0,O$1=Units!$O22),Units!$R22,IF(AND(O$1&gt;=Units!$Q22,MOD(O$1-Units!$Q22,12)=0),IF(AND(Units!$L22=1,O$1=Units!$Q22),IF(Units!$J22&lt;&gt;"",Units!$J22,Mkt!O23),Inputs!$B$15*Mkt!O23+(1-Inputs!$B$15)*MIN(Mkt!O23,N23*(1+Inputs!$B$18))),N23)))</f>
        <v>1850</v>
      </c>
      <c r="P23" s="11" t="n">
        <f aca="false">IF(P$1&lt;Units!$P22,0,IF(AND(Units!$K22=0,P$1=Units!$O22),Units!$R22,IF(AND(P$1&gt;=Units!$Q22,MOD(P$1-Units!$Q22,12)=0),IF(AND(Units!$L22=1,P$1=Units!$Q22),IF(Units!$J22&lt;&gt;"",Units!$J22,Mkt!P23),Inputs!$B$15*Mkt!P23+(1-Inputs!$B$15)*MIN(Mkt!P23,O23*(1+Inputs!$B$18))),O23)))</f>
        <v>1850</v>
      </c>
      <c r="Q23" s="11" t="n">
        <f aca="false">IF(Q$1&lt;Units!$P22,0,IF(AND(Units!$K22=0,Q$1=Units!$O22),Units!$R22,IF(AND(Q$1&gt;=Units!$Q22,MOD(Q$1-Units!$Q22,12)=0),IF(AND(Units!$L22=1,Q$1=Units!$Q22),IF(Units!$J22&lt;&gt;"",Units!$J22,Mkt!Q23),Inputs!$B$15*Mkt!Q23+(1-Inputs!$B$15)*MIN(Mkt!Q23,P23*(1+Inputs!$B$18))),P23)))</f>
        <v>1905.5</v>
      </c>
      <c r="R23" s="11" t="n">
        <f aca="false">IF(R$1&lt;Units!$P22,0,IF(AND(Units!$K22=0,R$1=Units!$O22),Units!$R22,IF(AND(R$1&gt;=Units!$Q22,MOD(R$1-Units!$Q22,12)=0),IF(AND(Units!$L22=1,R$1=Units!$Q22),IF(Units!$J22&lt;&gt;"",Units!$J22,Mkt!R23),Inputs!$B$15*Mkt!R23+(1-Inputs!$B$15)*MIN(Mkt!R23,Q23*(1+Inputs!$B$18))),Q23)))</f>
        <v>1905.5</v>
      </c>
      <c r="S23" s="11" t="n">
        <f aca="false">IF(S$1&lt;Units!$P22,0,IF(AND(Units!$K22=0,S$1=Units!$O22),Units!$R22,IF(AND(S$1&gt;=Units!$Q22,MOD(S$1-Units!$Q22,12)=0),IF(AND(Units!$L22=1,S$1=Units!$Q22),IF(Units!$J22&lt;&gt;"",Units!$J22,Mkt!S23),Inputs!$B$15*Mkt!S23+(1-Inputs!$B$15)*MIN(Mkt!S23,R23*(1+Inputs!$B$18))),R23)))</f>
        <v>1905.5</v>
      </c>
      <c r="T23" s="11" t="n">
        <f aca="false">IF(T$1&lt;Units!$P22,0,IF(AND(Units!$K22=0,T$1=Units!$O22),Units!$R22,IF(AND(T$1&gt;=Units!$Q22,MOD(T$1-Units!$Q22,12)=0),IF(AND(Units!$L22=1,T$1=Units!$Q22),IF(Units!$J22&lt;&gt;"",Units!$J22,Mkt!T23),Inputs!$B$15*Mkt!T23+(1-Inputs!$B$15)*MIN(Mkt!T23,S23*(1+Inputs!$B$18))),S23)))</f>
        <v>1905.5</v>
      </c>
      <c r="U23" s="11" t="n">
        <f aca="false">IF(U$1&lt;Units!$P22,0,IF(AND(Units!$K22=0,U$1=Units!$O22),Units!$R22,IF(AND(U$1&gt;=Units!$Q22,MOD(U$1-Units!$Q22,12)=0),IF(AND(Units!$L22=1,U$1=Units!$Q22),IF(Units!$J22&lt;&gt;"",Units!$J22,Mkt!U23),Inputs!$B$15*Mkt!U23+(1-Inputs!$B$15)*MIN(Mkt!U23,T23*(1+Inputs!$B$18))),T23)))</f>
        <v>1905.5</v>
      </c>
      <c r="V23" s="11" t="n">
        <f aca="false">IF(V$1&lt;Units!$P22,0,IF(AND(Units!$K22=0,V$1=Units!$O22),Units!$R22,IF(AND(V$1&gt;=Units!$Q22,MOD(V$1-Units!$Q22,12)=0),IF(AND(Units!$L22=1,V$1=Units!$Q22),IF(Units!$J22&lt;&gt;"",Units!$J22,Mkt!V23),Inputs!$B$15*Mkt!V23+(1-Inputs!$B$15)*MIN(Mkt!V23,U23*(1+Inputs!$B$18))),U23)))</f>
        <v>1905.5</v>
      </c>
      <c r="W23" s="11" t="n">
        <f aca="false">IF(W$1&lt;Units!$P22,0,IF(AND(Units!$K22=0,W$1=Units!$O22),Units!$R22,IF(AND(W$1&gt;=Units!$Q22,MOD(W$1-Units!$Q22,12)=0),IF(AND(Units!$L22=1,W$1=Units!$Q22),IF(Units!$J22&lt;&gt;"",Units!$J22,Mkt!W23),Inputs!$B$15*Mkt!W23+(1-Inputs!$B$15)*MIN(Mkt!W23,V23*(1+Inputs!$B$18))),V23)))</f>
        <v>1905.5</v>
      </c>
      <c r="X23" s="11" t="n">
        <f aca="false">IF(X$1&lt;Units!$P22,0,IF(AND(Units!$K22=0,X$1=Units!$O22),Units!$R22,IF(AND(X$1&gt;=Units!$Q22,MOD(X$1-Units!$Q22,12)=0),IF(AND(Units!$L22=1,X$1=Units!$Q22),IF(Units!$J22&lt;&gt;"",Units!$J22,Mkt!X23),Inputs!$B$15*Mkt!X23+(1-Inputs!$B$15)*MIN(Mkt!X23,W23*(1+Inputs!$B$18))),W23)))</f>
        <v>1905.5</v>
      </c>
      <c r="Y23" s="11" t="n">
        <f aca="false">IF(Y$1&lt;Units!$P22,0,IF(AND(Units!$K22=0,Y$1=Units!$O22),Units!$R22,IF(AND(Y$1&gt;=Units!$Q22,MOD(Y$1-Units!$Q22,12)=0),IF(AND(Units!$L22=1,Y$1=Units!$Q22),IF(Units!$J22&lt;&gt;"",Units!$J22,Mkt!Y23),Inputs!$B$15*Mkt!Y23+(1-Inputs!$B$15)*MIN(Mkt!Y23,X23*(1+Inputs!$B$18))),X23)))</f>
        <v>1905.5</v>
      </c>
      <c r="Z23" s="11" t="n">
        <f aca="false">IF(Z$1&lt;Units!$P22,0,IF(AND(Units!$K22=0,Z$1=Units!$O22),Units!$R22,IF(AND(Z$1&gt;=Units!$Q22,MOD(Z$1-Units!$Q22,12)=0),IF(AND(Units!$L22=1,Z$1=Units!$Q22),IF(Units!$J22&lt;&gt;"",Units!$J22,Mkt!Z23),Inputs!$B$15*Mkt!Z23+(1-Inputs!$B$15)*MIN(Mkt!Z23,Y23*(1+Inputs!$B$18))),Y23)))</f>
        <v>1905.5</v>
      </c>
      <c r="AA23" s="11" t="n">
        <f aca="false">IF(AA$1&lt;Units!$P22,0,IF(AND(Units!$K22=0,AA$1=Units!$O22),Units!$R22,IF(AND(AA$1&gt;=Units!$Q22,MOD(AA$1-Units!$Q22,12)=0),IF(AND(Units!$L22=1,AA$1=Units!$Q22),IF(Units!$J22&lt;&gt;"",Units!$J22,Mkt!AA23),Inputs!$B$15*Mkt!AA23+(1-Inputs!$B$15)*MIN(Mkt!AA23,Z23*(1+Inputs!$B$18))),Z23)))</f>
        <v>1905.5</v>
      </c>
      <c r="AB23" s="11" t="n">
        <f aca="false">IF(AB$1&lt;Units!$P22,0,IF(AND(Units!$K22=0,AB$1=Units!$O22),Units!$R22,IF(AND(AB$1&gt;=Units!$Q22,MOD(AB$1-Units!$Q22,12)=0),IF(AND(Units!$L22=1,AB$1=Units!$Q22),IF(Units!$J22&lt;&gt;"",Units!$J22,Mkt!AB23),Inputs!$B$15*Mkt!AB23+(1-Inputs!$B$15)*MIN(Mkt!AB23,AA23*(1+Inputs!$B$18))),AA23)))</f>
        <v>1905.5</v>
      </c>
      <c r="AC23" s="11" t="n">
        <f aca="false">IF(AC$1&lt;Units!$P22,0,IF(AND(Units!$K22=0,AC$1=Units!$O22),Units!$R22,IF(AND(AC$1&gt;=Units!$Q22,MOD(AC$1-Units!$Q22,12)=0),IF(AND(Units!$L22=1,AC$1=Units!$Q22),IF(Units!$J22&lt;&gt;"",Units!$J22,Mkt!AC23),Inputs!$B$15*Mkt!AC23+(1-Inputs!$B$15)*MIN(Mkt!AC23,AB23*(1+Inputs!$B$18))),AB23)))</f>
        <v>1962.665</v>
      </c>
      <c r="AD23" s="11" t="n">
        <f aca="false">IF(AD$1&lt;Units!$P22,0,IF(AND(Units!$K22=0,AD$1=Units!$O22),Units!$R22,IF(AND(AD$1&gt;=Units!$Q22,MOD(AD$1-Units!$Q22,12)=0),IF(AND(Units!$L22=1,AD$1=Units!$Q22),IF(Units!$J22&lt;&gt;"",Units!$J22,Mkt!AD23),Inputs!$B$15*Mkt!AD23+(1-Inputs!$B$15)*MIN(Mkt!AD23,AC23*(1+Inputs!$B$18))),AC23)))</f>
        <v>1962.665</v>
      </c>
      <c r="AE23" s="11" t="n">
        <f aca="false">IF(AE$1&lt;Units!$P22,0,IF(AND(Units!$K22=0,AE$1=Units!$O22),Units!$R22,IF(AND(AE$1&gt;=Units!$Q22,MOD(AE$1-Units!$Q22,12)=0),IF(AND(Units!$L22=1,AE$1=Units!$Q22),IF(Units!$J22&lt;&gt;"",Units!$J22,Mkt!AE23),Inputs!$B$15*Mkt!AE23+(1-Inputs!$B$15)*MIN(Mkt!AE23,AD23*(1+Inputs!$B$18))),AD23)))</f>
        <v>1962.665</v>
      </c>
      <c r="AF23" s="11" t="n">
        <f aca="false">IF(AF$1&lt;Units!$P22,0,IF(AND(Units!$K22=0,AF$1=Units!$O22),Units!$R22,IF(AND(AF$1&gt;=Units!$Q22,MOD(AF$1-Units!$Q22,12)=0),IF(AND(Units!$L22=1,AF$1=Units!$Q22),IF(Units!$J22&lt;&gt;"",Units!$J22,Mkt!AF23),Inputs!$B$15*Mkt!AF23+(1-Inputs!$B$15)*MIN(Mkt!AF23,AE23*(1+Inputs!$B$18))),AE23)))</f>
        <v>1962.665</v>
      </c>
      <c r="AG23" s="11" t="n">
        <f aca="false">IF(AG$1&lt;Units!$P22,0,IF(AND(Units!$K22=0,AG$1=Units!$O22),Units!$R22,IF(AND(AG$1&gt;=Units!$Q22,MOD(AG$1-Units!$Q22,12)=0),IF(AND(Units!$L22=1,AG$1=Units!$Q22),IF(Units!$J22&lt;&gt;"",Units!$J22,Mkt!AG23),Inputs!$B$15*Mkt!AG23+(1-Inputs!$B$15)*MIN(Mkt!AG23,AF23*(1+Inputs!$B$18))),AF23)))</f>
        <v>1962.665</v>
      </c>
      <c r="AH23" s="11" t="n">
        <f aca="false">IF(AH$1&lt;Units!$P22,0,IF(AND(Units!$K22=0,AH$1=Units!$O22),Units!$R22,IF(AND(AH$1&gt;=Units!$Q22,MOD(AH$1-Units!$Q22,12)=0),IF(AND(Units!$L22=1,AH$1=Units!$Q22),IF(Units!$J22&lt;&gt;"",Units!$J22,Mkt!AH23),Inputs!$B$15*Mkt!AH23+(1-Inputs!$B$15)*MIN(Mkt!AH23,AG23*(1+Inputs!$B$18))),AG23)))</f>
        <v>1962.665</v>
      </c>
      <c r="AI23" s="11" t="n">
        <f aca="false">IF(AI$1&lt;Units!$P22,0,IF(AND(Units!$K22=0,AI$1=Units!$O22),Units!$R22,IF(AND(AI$1&gt;=Units!$Q22,MOD(AI$1-Units!$Q22,12)=0),IF(AND(Units!$L22=1,AI$1=Units!$Q22),IF(Units!$J22&lt;&gt;"",Units!$J22,Mkt!AI23),Inputs!$B$15*Mkt!AI23+(1-Inputs!$B$15)*MIN(Mkt!AI23,AH23*(1+Inputs!$B$18))),AH23)))</f>
        <v>1962.665</v>
      </c>
      <c r="AJ23" s="11" t="n">
        <f aca="false">IF(AJ$1&lt;Units!$P22,0,IF(AND(Units!$K22=0,AJ$1=Units!$O22),Units!$R22,IF(AND(AJ$1&gt;=Units!$Q22,MOD(AJ$1-Units!$Q22,12)=0),IF(AND(Units!$L22=1,AJ$1=Units!$Q22),IF(Units!$J22&lt;&gt;"",Units!$J22,Mkt!AJ23),Inputs!$B$15*Mkt!AJ23+(1-Inputs!$B$15)*MIN(Mkt!AJ23,AI23*(1+Inputs!$B$18))),AI23)))</f>
        <v>1962.665</v>
      </c>
      <c r="AK23" s="11" t="n">
        <f aca="false">IF(AK$1&lt;Units!$P22,0,IF(AND(Units!$K22=0,AK$1=Units!$O22),Units!$R22,IF(AND(AK$1&gt;=Units!$Q22,MOD(AK$1-Units!$Q22,12)=0),IF(AND(Units!$L22=1,AK$1=Units!$Q22),IF(Units!$J22&lt;&gt;"",Units!$J22,Mkt!AK23),Inputs!$B$15*Mkt!AK23+(1-Inputs!$B$15)*MIN(Mkt!AK23,AJ23*(1+Inputs!$B$18))),AJ23)))</f>
        <v>1962.665</v>
      </c>
      <c r="AL23" s="11" t="n">
        <f aca="false">IF(AL$1&lt;Units!$P22,0,IF(AND(Units!$K22=0,AL$1=Units!$O22),Units!$R22,IF(AND(AL$1&gt;=Units!$Q22,MOD(AL$1-Units!$Q22,12)=0),IF(AND(Units!$L22=1,AL$1=Units!$Q22),IF(Units!$J22&lt;&gt;"",Units!$J22,Mkt!AL23),Inputs!$B$15*Mkt!AL23+(1-Inputs!$B$15)*MIN(Mkt!AL23,AK23*(1+Inputs!$B$18))),AK23)))</f>
        <v>1962.665</v>
      </c>
      <c r="AM23" s="11" t="n">
        <f aca="false">IF(AM$1&lt;Units!$P22,0,IF(AND(Units!$K22=0,AM$1=Units!$O22),Units!$R22,IF(AND(AM$1&gt;=Units!$Q22,MOD(AM$1-Units!$Q22,12)=0),IF(AND(Units!$L22=1,AM$1=Units!$Q22),IF(Units!$J22&lt;&gt;"",Units!$J22,Mkt!AM23),Inputs!$B$15*Mkt!AM23+(1-Inputs!$B$15)*MIN(Mkt!AM23,AL23*(1+Inputs!$B$18))),AL23)))</f>
        <v>1962.665</v>
      </c>
      <c r="AN23" s="11" t="n">
        <f aca="false">IF(AN$1&lt;Units!$P22,0,IF(AND(Units!$K22=0,AN$1=Units!$O22),Units!$R22,IF(AND(AN$1&gt;=Units!$Q22,MOD(AN$1-Units!$Q22,12)=0),IF(AND(Units!$L22=1,AN$1=Units!$Q22),IF(Units!$J22&lt;&gt;"",Units!$J22,Mkt!AN23),Inputs!$B$15*Mkt!AN23+(1-Inputs!$B$15)*MIN(Mkt!AN23,AM23*(1+Inputs!$B$18))),AM23)))</f>
        <v>1962.665</v>
      </c>
      <c r="AO23" s="11" t="n">
        <f aca="false">IF(AO$1&lt;Units!$P22,0,IF(AND(Units!$K22=0,AO$1=Units!$O22),Units!$R22,IF(AND(AO$1&gt;=Units!$Q22,MOD(AO$1-Units!$Q22,12)=0),IF(AND(Units!$L22=1,AO$1=Units!$Q22),IF(Units!$J22&lt;&gt;"",Units!$J22,Mkt!AO23),Inputs!$B$15*Mkt!AO23+(1-Inputs!$B$15)*MIN(Mkt!AO23,AN23*(1+Inputs!$B$18))),AN23)))</f>
        <v>2021.54495</v>
      </c>
      <c r="AP23" s="11" t="n">
        <f aca="false">IF(AP$1&lt;Units!$P22,0,IF(AND(Units!$K22=0,AP$1=Units!$O22),Units!$R22,IF(AND(AP$1&gt;=Units!$Q22,MOD(AP$1-Units!$Q22,12)=0),IF(AND(Units!$L22=1,AP$1=Units!$Q22),IF(Units!$J22&lt;&gt;"",Units!$J22,Mkt!AP23),Inputs!$B$15*Mkt!AP23+(1-Inputs!$B$15)*MIN(Mkt!AP23,AO23*(1+Inputs!$B$18))),AO23)))</f>
        <v>2021.54495</v>
      </c>
      <c r="AQ23" s="11" t="n">
        <f aca="false">IF(AQ$1&lt;Units!$P22,0,IF(AND(Units!$K22=0,AQ$1=Units!$O22),Units!$R22,IF(AND(AQ$1&gt;=Units!$Q22,MOD(AQ$1-Units!$Q22,12)=0),IF(AND(Units!$L22=1,AQ$1=Units!$Q22),IF(Units!$J22&lt;&gt;"",Units!$J22,Mkt!AQ23),Inputs!$B$15*Mkt!AQ23+(1-Inputs!$B$15)*MIN(Mkt!AQ23,AP23*(1+Inputs!$B$18))),AP23)))</f>
        <v>2021.54495</v>
      </c>
      <c r="AR23" s="11" t="n">
        <f aca="false">IF(AR$1&lt;Units!$P22,0,IF(AND(Units!$K22=0,AR$1=Units!$O22),Units!$R22,IF(AND(AR$1&gt;=Units!$Q22,MOD(AR$1-Units!$Q22,12)=0),IF(AND(Units!$L22=1,AR$1=Units!$Q22),IF(Units!$J22&lt;&gt;"",Units!$J22,Mkt!AR23),Inputs!$B$15*Mkt!AR23+(1-Inputs!$B$15)*MIN(Mkt!AR23,AQ23*(1+Inputs!$B$18))),AQ23)))</f>
        <v>2021.54495</v>
      </c>
      <c r="AS23" s="11" t="n">
        <f aca="false">IF(AS$1&lt;Units!$P22,0,IF(AND(Units!$K22=0,AS$1=Units!$O22),Units!$R22,IF(AND(AS$1&gt;=Units!$Q22,MOD(AS$1-Units!$Q22,12)=0),IF(AND(Units!$L22=1,AS$1=Units!$Q22),IF(Units!$J22&lt;&gt;"",Units!$J22,Mkt!AS23),Inputs!$B$15*Mkt!AS23+(1-Inputs!$B$15)*MIN(Mkt!AS23,AR23*(1+Inputs!$B$18))),AR23)))</f>
        <v>2021.54495</v>
      </c>
      <c r="AT23" s="11" t="n">
        <f aca="false">IF(AT$1&lt;Units!$P22,0,IF(AND(Units!$K22=0,AT$1=Units!$O22),Units!$R22,IF(AND(AT$1&gt;=Units!$Q22,MOD(AT$1-Units!$Q22,12)=0),IF(AND(Units!$L22=1,AT$1=Units!$Q22),IF(Units!$J22&lt;&gt;"",Units!$J22,Mkt!AT23),Inputs!$B$15*Mkt!AT23+(1-Inputs!$B$15)*MIN(Mkt!AT23,AS23*(1+Inputs!$B$18))),AS23)))</f>
        <v>2021.54495</v>
      </c>
      <c r="AU23" s="11" t="n">
        <f aca="false">IF(AU$1&lt;Units!$P22,0,IF(AND(Units!$K22=0,AU$1=Units!$O22),Units!$R22,IF(AND(AU$1&gt;=Units!$Q22,MOD(AU$1-Units!$Q22,12)=0),IF(AND(Units!$L22=1,AU$1=Units!$Q22),IF(Units!$J22&lt;&gt;"",Units!$J22,Mkt!AU23),Inputs!$B$15*Mkt!AU23+(1-Inputs!$B$15)*MIN(Mkt!AU23,AT23*(1+Inputs!$B$18))),AT23)))</f>
        <v>2021.54495</v>
      </c>
      <c r="AV23" s="11" t="n">
        <f aca="false">IF(AV$1&lt;Units!$P22,0,IF(AND(Units!$K22=0,AV$1=Units!$O22),Units!$R22,IF(AND(AV$1&gt;=Units!$Q22,MOD(AV$1-Units!$Q22,12)=0),IF(AND(Units!$L22=1,AV$1=Units!$Q22),IF(Units!$J22&lt;&gt;"",Units!$J22,Mkt!AV23),Inputs!$B$15*Mkt!AV23+(1-Inputs!$B$15)*MIN(Mkt!AV23,AU23*(1+Inputs!$B$18))),AU23)))</f>
        <v>2021.54495</v>
      </c>
      <c r="AW23" s="11" t="n">
        <f aca="false">IF(AW$1&lt;Units!$P22,0,IF(AND(Units!$K22=0,AW$1=Units!$O22),Units!$R22,IF(AND(AW$1&gt;=Units!$Q22,MOD(AW$1-Units!$Q22,12)=0),IF(AND(Units!$L22=1,AW$1=Units!$Q22),IF(Units!$J22&lt;&gt;"",Units!$J22,Mkt!AW23),Inputs!$B$15*Mkt!AW23+(1-Inputs!$B$15)*MIN(Mkt!AW23,AV23*(1+Inputs!$B$18))),AV23)))</f>
        <v>2021.54495</v>
      </c>
      <c r="AX23" s="11" t="n">
        <f aca="false">IF(AX$1&lt;Units!$P22,0,IF(AND(Units!$K22=0,AX$1=Units!$O22),Units!$R22,IF(AND(AX$1&gt;=Units!$Q22,MOD(AX$1-Units!$Q22,12)=0),IF(AND(Units!$L22=1,AX$1=Units!$Q22),IF(Units!$J22&lt;&gt;"",Units!$J22,Mkt!AX23),Inputs!$B$15*Mkt!AX23+(1-Inputs!$B$15)*MIN(Mkt!AX23,AW23*(1+Inputs!$B$18))),AW23)))</f>
        <v>2021.54495</v>
      </c>
      <c r="AY23" s="11" t="n">
        <f aca="false">IF(AY$1&lt;Units!$P22,0,IF(AND(Units!$K22=0,AY$1=Units!$O22),Units!$R22,IF(AND(AY$1&gt;=Units!$Q22,MOD(AY$1-Units!$Q22,12)=0),IF(AND(Units!$L22=1,AY$1=Units!$Q22),IF(Units!$J22&lt;&gt;"",Units!$J22,Mkt!AY23),Inputs!$B$15*Mkt!AY23+(1-Inputs!$B$15)*MIN(Mkt!AY23,AX23*(1+Inputs!$B$18))),AX23)))</f>
        <v>2021.54495</v>
      </c>
      <c r="AZ23" s="11" t="n">
        <f aca="false">IF(AZ$1&lt;Units!$P22,0,IF(AND(Units!$K22=0,AZ$1=Units!$O22),Units!$R22,IF(AND(AZ$1&gt;=Units!$Q22,MOD(AZ$1-Units!$Q22,12)=0),IF(AND(Units!$L22=1,AZ$1=Units!$Q22),IF(Units!$J22&lt;&gt;"",Units!$J22,Mkt!AZ23),Inputs!$B$15*Mkt!AZ23+(1-Inputs!$B$15)*MIN(Mkt!AZ23,AY23*(1+Inputs!$B$18))),AY23)))</f>
        <v>2021.54495</v>
      </c>
      <c r="BA23" s="11" t="n">
        <f aca="false">IF(BA$1&lt;Units!$P22,0,IF(AND(Units!$K22=0,BA$1=Units!$O22),Units!$R22,IF(AND(BA$1&gt;=Units!$Q22,MOD(BA$1-Units!$Q22,12)=0),IF(AND(Units!$L22=1,BA$1=Units!$Q22),IF(Units!$J22&lt;&gt;"",Units!$J22,Mkt!BA23),Inputs!$B$15*Mkt!BA23+(1-Inputs!$B$15)*MIN(Mkt!BA23,AZ23*(1+Inputs!$B$18))),AZ23)))</f>
        <v>2082.1912985</v>
      </c>
      <c r="BB23" s="11" t="n">
        <f aca="false">IF(BB$1&lt;Units!$P22,0,IF(AND(Units!$K22=0,BB$1=Units!$O22),Units!$R22,IF(AND(BB$1&gt;=Units!$Q22,MOD(BB$1-Units!$Q22,12)=0),IF(AND(Units!$L22=1,BB$1=Units!$Q22),IF(Units!$J22&lt;&gt;"",Units!$J22,Mkt!BB23),Inputs!$B$15*Mkt!BB23+(1-Inputs!$B$15)*MIN(Mkt!BB23,BA23*(1+Inputs!$B$18))),BA23)))</f>
        <v>2082.1912985</v>
      </c>
      <c r="BC23" s="11" t="n">
        <f aca="false">IF(BC$1&lt;Units!$P22,0,IF(AND(Units!$K22=0,BC$1=Units!$O22),Units!$R22,IF(AND(BC$1&gt;=Units!$Q22,MOD(BC$1-Units!$Q22,12)=0),IF(AND(Units!$L22=1,BC$1=Units!$Q22),IF(Units!$J22&lt;&gt;"",Units!$J22,Mkt!BC23),Inputs!$B$15*Mkt!BC23+(1-Inputs!$B$15)*MIN(Mkt!BC23,BB23*(1+Inputs!$B$18))),BB23)))</f>
        <v>2082.1912985</v>
      </c>
      <c r="BD23" s="11" t="n">
        <f aca="false">IF(BD$1&lt;Units!$P22,0,IF(AND(Units!$K22=0,BD$1=Units!$O22),Units!$R22,IF(AND(BD$1&gt;=Units!$Q22,MOD(BD$1-Units!$Q22,12)=0),IF(AND(Units!$L22=1,BD$1=Units!$Q22),IF(Units!$J22&lt;&gt;"",Units!$J22,Mkt!BD23),Inputs!$B$15*Mkt!BD23+(1-Inputs!$B$15)*MIN(Mkt!BD23,BC23*(1+Inputs!$B$18))),BC23)))</f>
        <v>2082.1912985</v>
      </c>
      <c r="BE23" s="11" t="n">
        <f aca="false">IF(BE$1&lt;Units!$P22,0,IF(AND(Units!$K22=0,BE$1=Units!$O22),Units!$R22,IF(AND(BE$1&gt;=Units!$Q22,MOD(BE$1-Units!$Q22,12)=0),IF(AND(Units!$L22=1,BE$1=Units!$Q22),IF(Units!$J22&lt;&gt;"",Units!$J22,Mkt!BE23),Inputs!$B$15*Mkt!BE23+(1-Inputs!$B$15)*MIN(Mkt!BE23,BD23*(1+Inputs!$B$18))),BD23)))</f>
        <v>2082.1912985</v>
      </c>
      <c r="BF23" s="11" t="n">
        <f aca="false">IF(BF$1&lt;Units!$P22,0,IF(AND(Units!$K22=0,BF$1=Units!$O22),Units!$R22,IF(AND(BF$1&gt;=Units!$Q22,MOD(BF$1-Units!$Q22,12)=0),IF(AND(Units!$L22=1,BF$1=Units!$Q22),IF(Units!$J22&lt;&gt;"",Units!$J22,Mkt!BF23),Inputs!$B$15*Mkt!BF23+(1-Inputs!$B$15)*MIN(Mkt!BF23,BE23*(1+Inputs!$B$18))),BE23)))</f>
        <v>2082.1912985</v>
      </c>
      <c r="BG23" s="11" t="n">
        <f aca="false">IF(BG$1&lt;Units!$P22,0,IF(AND(Units!$K22=0,BG$1=Units!$O22),Units!$R22,IF(AND(BG$1&gt;=Units!$Q22,MOD(BG$1-Units!$Q22,12)=0),IF(AND(Units!$L22=1,BG$1=Units!$Q22),IF(Units!$J22&lt;&gt;"",Units!$J22,Mkt!BG23),Inputs!$B$15*Mkt!BG23+(1-Inputs!$B$15)*MIN(Mkt!BG23,BF23*(1+Inputs!$B$18))),BF23)))</f>
        <v>2082.1912985</v>
      </c>
      <c r="BH23" s="11" t="n">
        <f aca="false">IF(BH$1&lt;Units!$P22,0,IF(AND(Units!$K22=0,BH$1=Units!$O22),Units!$R22,IF(AND(BH$1&gt;=Units!$Q22,MOD(BH$1-Units!$Q22,12)=0),IF(AND(Units!$L22=1,BH$1=Units!$Q22),IF(Units!$J22&lt;&gt;"",Units!$J22,Mkt!BH23),Inputs!$B$15*Mkt!BH23+(1-Inputs!$B$15)*MIN(Mkt!BH23,BG23*(1+Inputs!$B$18))),BG23)))</f>
        <v>2082.1912985</v>
      </c>
      <c r="BI23" s="11" t="n">
        <f aca="false">IF(BI$1&lt;Units!$P22,0,IF(AND(Units!$K22=0,BI$1=Units!$O22),Units!$R22,IF(AND(BI$1&gt;=Units!$Q22,MOD(BI$1-Units!$Q22,12)=0),IF(AND(Units!$L22=1,BI$1=Units!$Q22),IF(Units!$J22&lt;&gt;"",Units!$J22,Mkt!BI23),Inputs!$B$15*Mkt!BI23+(1-Inputs!$B$15)*MIN(Mkt!BI23,BH23*(1+Inputs!$B$18))),BH23)))</f>
        <v>2082.1912985</v>
      </c>
      <c r="BJ23" s="11" t="n">
        <f aca="false">IF(BJ$1&lt;Units!$P22,0,IF(AND(Units!$K22=0,BJ$1=Units!$O22),Units!$R22,IF(AND(BJ$1&gt;=Units!$Q22,MOD(BJ$1-Units!$Q22,12)=0),IF(AND(Units!$L22=1,BJ$1=Units!$Q22),IF(Units!$J22&lt;&gt;"",Units!$J22,Mkt!BJ23),Inputs!$B$15*Mkt!BJ23+(1-Inputs!$B$15)*MIN(Mkt!BJ23,BI23*(1+Inputs!$B$18))),BI23)))</f>
        <v>2082.1912985</v>
      </c>
      <c r="BK23" s="11" t="n">
        <f aca="false">IF(BK$1&lt;Units!$P22,0,IF(AND(Units!$K22=0,BK$1=Units!$O22),Units!$R22,IF(AND(BK$1&gt;=Units!$Q22,MOD(BK$1-Units!$Q22,12)=0),IF(AND(Units!$L22=1,BK$1=Units!$Q22),IF(Units!$J22&lt;&gt;"",Units!$J22,Mkt!BK23),Inputs!$B$15*Mkt!BK23+(1-Inputs!$B$15)*MIN(Mkt!BK23,BJ23*(1+Inputs!$B$18))),BJ23)))</f>
        <v>2082.1912985</v>
      </c>
      <c r="BL23" s="11" t="n">
        <f aca="false">IF(BL$1&lt;Units!$P22,0,IF(AND(Units!$K22=0,BL$1=Units!$O22),Units!$R22,IF(AND(BL$1&gt;=Units!$Q22,MOD(BL$1-Units!$Q22,12)=0),IF(AND(Units!$L22=1,BL$1=Units!$Q22),IF(Units!$J22&lt;&gt;"",Units!$J22,Mkt!BL23),Inputs!$B$15*Mkt!BL23+(1-Inputs!$B$15)*MIN(Mkt!BL23,BK23*(1+Inputs!$B$18))),BK23)))</f>
        <v>2082.1912985</v>
      </c>
      <c r="BM23" s="11" t="n">
        <f aca="false">IF(BM$1&lt;Units!$P22,0,IF(AND(Units!$K22=0,BM$1=Units!$O22),Units!$R22,IF(AND(BM$1&gt;=Units!$Q22,MOD(BM$1-Units!$Q22,12)=0),IF(AND(Units!$L22=1,BM$1=Units!$Q22),IF(Units!$J22&lt;&gt;"",Units!$J22,Mkt!BM23),Inputs!$B$15*Mkt!BM23+(1-Inputs!$B$15)*MIN(Mkt!BM23,BL23*(1+Inputs!$B$18))),BL23)))</f>
        <v>2144.657037455</v>
      </c>
      <c r="BN23" s="11" t="n">
        <f aca="false">IF(BN$1&lt;Units!$P22,0,IF(AND(Units!$K22=0,BN$1=Units!$O22),Units!$R22,IF(AND(BN$1&gt;=Units!$Q22,MOD(BN$1-Units!$Q22,12)=0),IF(AND(Units!$L22=1,BN$1=Units!$Q22),IF(Units!$J22&lt;&gt;"",Units!$J22,Mkt!BN23),Inputs!$B$15*Mkt!BN23+(1-Inputs!$B$15)*MIN(Mkt!BN23,BM23*(1+Inputs!$B$18))),BM23)))</f>
        <v>2144.657037455</v>
      </c>
      <c r="BO23" s="11" t="n">
        <f aca="false">IF(BO$1&lt;Units!$P22,0,IF(AND(Units!$K22=0,BO$1=Units!$O22),Units!$R22,IF(AND(BO$1&gt;=Units!$Q22,MOD(BO$1-Units!$Q22,12)=0),IF(AND(Units!$L22=1,BO$1=Units!$Q22),IF(Units!$J22&lt;&gt;"",Units!$J22,Mkt!BO23),Inputs!$B$15*Mkt!BO23+(1-Inputs!$B$15)*MIN(Mkt!BO23,BN23*(1+Inputs!$B$18))),BN23)))</f>
        <v>2144.657037455</v>
      </c>
      <c r="BP23" s="11" t="n">
        <f aca="false">IF(BP$1&lt;Units!$P22,0,IF(AND(Units!$K22=0,BP$1=Units!$O22),Units!$R22,IF(AND(BP$1&gt;=Units!$Q22,MOD(BP$1-Units!$Q22,12)=0),IF(AND(Units!$L22=1,BP$1=Units!$Q22),IF(Units!$J22&lt;&gt;"",Units!$J22,Mkt!BP23),Inputs!$B$15*Mkt!BP23+(1-Inputs!$B$15)*MIN(Mkt!BP23,BO23*(1+Inputs!$B$18))),BO23)))</f>
        <v>2144.657037455</v>
      </c>
      <c r="BQ23" s="11" t="n">
        <f aca="false">IF(BQ$1&lt;Units!$P22,0,IF(AND(Units!$K22=0,BQ$1=Units!$O22),Units!$R22,IF(AND(BQ$1&gt;=Units!$Q22,MOD(BQ$1-Units!$Q22,12)=0),IF(AND(Units!$L22=1,BQ$1=Units!$Q22),IF(Units!$J22&lt;&gt;"",Units!$J22,Mkt!BQ23),Inputs!$B$15*Mkt!BQ23+(1-Inputs!$B$15)*MIN(Mkt!BQ23,BP23*(1+Inputs!$B$18))),BP23)))</f>
        <v>2144.657037455</v>
      </c>
      <c r="BR23" s="11" t="n">
        <f aca="false">IF(BR$1&lt;Units!$P22,0,IF(AND(Units!$K22=0,BR$1=Units!$O22),Units!$R22,IF(AND(BR$1&gt;=Units!$Q22,MOD(BR$1-Units!$Q22,12)=0),IF(AND(Units!$L22=1,BR$1=Units!$Q22),IF(Units!$J22&lt;&gt;"",Units!$J22,Mkt!BR23),Inputs!$B$15*Mkt!BR23+(1-Inputs!$B$15)*MIN(Mkt!BR23,BQ23*(1+Inputs!$B$18))),BQ23)))</f>
        <v>2144.657037455</v>
      </c>
      <c r="BS23" s="11" t="n">
        <f aca="false">IF(BS$1&lt;Units!$P22,0,IF(AND(Units!$K22=0,BS$1=Units!$O22),Units!$R22,IF(AND(BS$1&gt;=Units!$Q22,MOD(BS$1-Units!$Q22,12)=0),IF(AND(Units!$L22=1,BS$1=Units!$Q22),IF(Units!$J22&lt;&gt;"",Units!$J22,Mkt!BS23),Inputs!$B$15*Mkt!BS23+(1-Inputs!$B$15)*MIN(Mkt!BS23,BR23*(1+Inputs!$B$18))),BR23)))</f>
        <v>2144.657037455</v>
      </c>
      <c r="BT23" s="11" t="n">
        <f aca="false">IF(BT$1&lt;Units!$P22,0,IF(AND(Units!$K22=0,BT$1=Units!$O22),Units!$R22,IF(AND(BT$1&gt;=Units!$Q22,MOD(BT$1-Units!$Q22,12)=0),IF(AND(Units!$L22=1,BT$1=Units!$Q22),IF(Units!$J22&lt;&gt;"",Units!$J22,Mkt!BT23),Inputs!$B$15*Mkt!BT23+(1-Inputs!$B$15)*MIN(Mkt!BT23,BS23*(1+Inputs!$B$18))),BS23)))</f>
        <v>2144.657037455</v>
      </c>
      <c r="BU23" s="11" t="n">
        <f aca="false">IF(BU$1&lt;Units!$P22,0,IF(AND(Units!$K22=0,BU$1=Units!$O22),Units!$R22,IF(AND(BU$1&gt;=Units!$Q22,MOD(BU$1-Units!$Q22,12)=0),IF(AND(Units!$L22=1,BU$1=Units!$Q22),IF(Units!$J22&lt;&gt;"",Units!$J22,Mkt!BU23),Inputs!$B$15*Mkt!BU23+(1-Inputs!$B$15)*MIN(Mkt!BU23,BT23*(1+Inputs!$B$18))),BT23)))</f>
        <v>2144.657037455</v>
      </c>
      <c r="BV23" s="11" t="n">
        <f aca="false">IF(BV$1&lt;Units!$P22,0,IF(AND(Units!$K22=0,BV$1=Units!$O22),Units!$R22,IF(AND(BV$1&gt;=Units!$Q22,MOD(BV$1-Units!$Q22,12)=0),IF(AND(Units!$L22=1,BV$1=Units!$Q22),IF(Units!$J22&lt;&gt;"",Units!$J22,Mkt!BV23),Inputs!$B$15*Mkt!BV23+(1-Inputs!$B$15)*MIN(Mkt!BV23,BU23*(1+Inputs!$B$18))),BU23)))</f>
        <v>2144.657037455</v>
      </c>
      <c r="BW23" s="11" t="n">
        <f aca="false">IF(BW$1&lt;Units!$P22,0,IF(AND(Units!$K22=0,BW$1=Units!$O22),Units!$R22,IF(AND(BW$1&gt;=Units!$Q22,MOD(BW$1-Units!$Q22,12)=0),IF(AND(Units!$L22=1,BW$1=Units!$Q22),IF(Units!$J22&lt;&gt;"",Units!$J22,Mkt!BW23),Inputs!$B$15*Mkt!BW23+(1-Inputs!$B$15)*MIN(Mkt!BW23,BV23*(1+Inputs!$B$18))),BV23)))</f>
        <v>2144.657037455</v>
      </c>
      <c r="BX23" s="11" t="n">
        <f aca="false">IF(BX$1&lt;Units!$P22,0,IF(AND(Units!$K22=0,BX$1=Units!$O22),Units!$R22,IF(AND(BX$1&gt;=Units!$Q22,MOD(BX$1-Units!$Q22,12)=0),IF(AND(Units!$L22=1,BX$1=Units!$Q22),IF(Units!$J22&lt;&gt;"",Units!$J22,Mkt!BX23),Inputs!$B$15*Mkt!BX23+(1-Inputs!$B$15)*MIN(Mkt!BX23,BW23*(1+Inputs!$B$18))),BW23)))</f>
        <v>2144.657037455</v>
      </c>
      <c r="BY23" s="11" t="n">
        <f aca="false">IF(BY$1&lt;Units!$P22,0,IF(AND(Units!$K22=0,BY$1=Units!$O22),Units!$R22,IF(AND(BY$1&gt;=Units!$Q22,MOD(BY$1-Units!$Q22,12)=0),IF(AND(Units!$L22=1,BY$1=Units!$Q22),IF(Units!$J22&lt;&gt;"",Units!$J22,Mkt!BY23),Inputs!$B$15*Mkt!BY23+(1-Inputs!$B$15)*MIN(Mkt!BY23,BX23*(1+Inputs!$B$18))),BX23)))</f>
        <v>2208.99674857865</v>
      </c>
      <c r="BZ23" s="11" t="n">
        <f aca="false">IF(BZ$1&lt;Units!$P22,0,IF(AND(Units!$K22=0,BZ$1=Units!$O22),Units!$R22,IF(AND(BZ$1&gt;=Units!$Q22,MOD(BZ$1-Units!$Q22,12)=0),IF(AND(Units!$L22=1,BZ$1=Units!$Q22),IF(Units!$J22&lt;&gt;"",Units!$J22,Mkt!BZ23),Inputs!$B$15*Mkt!BZ23+(1-Inputs!$B$15)*MIN(Mkt!BZ23,BY23*(1+Inputs!$B$18))),BY23)))</f>
        <v>2208.99674857865</v>
      </c>
      <c r="CA23" s="11" t="n">
        <f aca="false">IF(CA$1&lt;Units!$P22,0,IF(AND(Units!$K22=0,CA$1=Units!$O22),Units!$R22,IF(AND(CA$1&gt;=Units!$Q22,MOD(CA$1-Units!$Q22,12)=0),IF(AND(Units!$L22=1,CA$1=Units!$Q22),IF(Units!$J22&lt;&gt;"",Units!$J22,Mkt!CA23),Inputs!$B$15*Mkt!CA23+(1-Inputs!$B$15)*MIN(Mkt!CA23,BZ23*(1+Inputs!$B$18))),BZ23)))</f>
        <v>2208.99674857865</v>
      </c>
      <c r="CB23" s="11" t="n">
        <f aca="false">IF(CB$1&lt;Units!$P22,0,IF(AND(Units!$K22=0,CB$1=Units!$O22),Units!$R22,IF(AND(CB$1&gt;=Units!$Q22,MOD(CB$1-Units!$Q22,12)=0),IF(AND(Units!$L22=1,CB$1=Units!$Q22),IF(Units!$J22&lt;&gt;"",Units!$J22,Mkt!CB23),Inputs!$B$15*Mkt!CB23+(1-Inputs!$B$15)*MIN(Mkt!CB23,CA23*(1+Inputs!$B$18))),CA23)))</f>
        <v>2208.99674857865</v>
      </c>
      <c r="CC23" s="11" t="n">
        <f aca="false">IF(CC$1&lt;Units!$P22,0,IF(AND(Units!$K22=0,CC$1=Units!$O22),Units!$R22,IF(AND(CC$1&gt;=Units!$Q22,MOD(CC$1-Units!$Q22,12)=0),IF(AND(Units!$L22=1,CC$1=Units!$Q22),IF(Units!$J22&lt;&gt;"",Units!$J22,Mkt!CC23),Inputs!$B$15*Mkt!CC23+(1-Inputs!$B$15)*MIN(Mkt!CC23,CB23*(1+Inputs!$B$18))),CB23)))</f>
        <v>2208.99674857865</v>
      </c>
      <c r="CD23" s="11" t="n">
        <f aca="false">IF(CD$1&lt;Units!$P22,0,IF(AND(Units!$K22=0,CD$1=Units!$O22),Units!$R22,IF(AND(CD$1&gt;=Units!$Q22,MOD(CD$1-Units!$Q22,12)=0),IF(AND(Units!$L22=1,CD$1=Units!$Q22),IF(Units!$J22&lt;&gt;"",Units!$J22,Mkt!CD23),Inputs!$B$15*Mkt!CD23+(1-Inputs!$B$15)*MIN(Mkt!CD23,CC23*(1+Inputs!$B$18))),CC23)))</f>
        <v>2208.99674857865</v>
      </c>
      <c r="CE23" s="11" t="n">
        <f aca="false">IF(CE$1&lt;Units!$P22,0,IF(AND(Units!$K22=0,CE$1=Units!$O22),Units!$R22,IF(AND(CE$1&gt;=Units!$Q22,MOD(CE$1-Units!$Q22,12)=0),IF(AND(Units!$L22=1,CE$1=Units!$Q22),IF(Units!$J22&lt;&gt;"",Units!$J22,Mkt!CE23),Inputs!$B$15*Mkt!CE23+(1-Inputs!$B$15)*MIN(Mkt!CE23,CD23*(1+Inputs!$B$18))),CD23)))</f>
        <v>2208.99674857865</v>
      </c>
      <c r="CF23" s="11" t="n">
        <f aca="false">IF(CF$1&lt;Units!$P22,0,IF(AND(Units!$K22=0,CF$1=Units!$O22),Units!$R22,IF(AND(CF$1&gt;=Units!$Q22,MOD(CF$1-Units!$Q22,12)=0),IF(AND(Units!$L22=1,CF$1=Units!$Q22),IF(Units!$J22&lt;&gt;"",Units!$J22,Mkt!CF23),Inputs!$B$15*Mkt!CF23+(1-Inputs!$B$15)*MIN(Mkt!CF23,CE23*(1+Inputs!$B$18))),CE23)))</f>
        <v>2208.99674857865</v>
      </c>
      <c r="CG23" s="11" t="n">
        <f aca="false">IF(CG$1&lt;Units!$P22,0,IF(AND(Units!$K22=0,CG$1=Units!$O22),Units!$R22,IF(AND(CG$1&gt;=Units!$Q22,MOD(CG$1-Units!$Q22,12)=0),IF(AND(Units!$L22=1,CG$1=Units!$Q22),IF(Units!$J22&lt;&gt;"",Units!$J22,Mkt!CG23),Inputs!$B$15*Mkt!CG23+(1-Inputs!$B$15)*MIN(Mkt!CG23,CF23*(1+Inputs!$B$18))),CF23)))</f>
        <v>2208.99674857865</v>
      </c>
      <c r="CH23" s="11" t="n">
        <f aca="false">IF(CH$1&lt;Units!$P22,0,IF(AND(Units!$K22=0,CH$1=Units!$O22),Units!$R22,IF(AND(CH$1&gt;=Units!$Q22,MOD(CH$1-Units!$Q22,12)=0),IF(AND(Units!$L22=1,CH$1=Units!$Q22),IF(Units!$J22&lt;&gt;"",Units!$J22,Mkt!CH23),Inputs!$B$15*Mkt!CH23+(1-Inputs!$B$15)*MIN(Mkt!CH23,CG23*(1+Inputs!$B$18))),CG23)))</f>
        <v>2208.99674857865</v>
      </c>
      <c r="CI23" s="11" t="n">
        <f aca="false">IF(CI$1&lt;Units!$P22,0,IF(AND(Units!$K22=0,CI$1=Units!$O22),Units!$R22,IF(AND(CI$1&gt;=Units!$Q22,MOD(CI$1-Units!$Q22,12)=0),IF(AND(Units!$L22=1,CI$1=Units!$Q22),IF(Units!$J22&lt;&gt;"",Units!$J22,Mkt!CI23),Inputs!$B$15*Mkt!CI23+(1-Inputs!$B$15)*MIN(Mkt!CI23,CH23*(1+Inputs!$B$18))),CH23)))</f>
        <v>2208.99674857865</v>
      </c>
      <c r="CJ23" s="11" t="n">
        <f aca="false">IF(CJ$1&lt;Units!$P22,0,IF(AND(Units!$K22=0,CJ$1=Units!$O22),Units!$R22,IF(AND(CJ$1&gt;=Units!$Q22,MOD(CJ$1-Units!$Q22,12)=0),IF(AND(Units!$L22=1,CJ$1=Units!$Q22),IF(Units!$J22&lt;&gt;"",Units!$J22,Mkt!CJ23),Inputs!$B$15*Mkt!CJ23+(1-Inputs!$B$15)*MIN(Mkt!CJ23,CI23*(1+Inputs!$B$18))),CI23)))</f>
        <v>2208.99674857865</v>
      </c>
      <c r="CK23" s="11" t="n">
        <f aca="false">IF(CK$1&lt;Units!$P22,0,IF(AND(Units!$K22=0,CK$1=Units!$O22),Units!$R22,IF(AND(CK$1&gt;=Units!$Q22,MOD(CK$1-Units!$Q22,12)=0),IF(AND(Units!$L22=1,CK$1=Units!$Q22),IF(Units!$J22&lt;&gt;"",Units!$J22,Mkt!CK23),Inputs!$B$15*Mkt!CK23+(1-Inputs!$B$15)*MIN(Mkt!CK23,CJ23*(1+Inputs!$B$18))),CJ23)))</f>
        <v>2275.26665103601</v>
      </c>
      <c r="CL23" s="11" t="n">
        <f aca="false">IF(CL$1&lt;Units!$P22,0,IF(AND(Units!$K22=0,CL$1=Units!$O22),Units!$R22,IF(AND(CL$1&gt;=Units!$Q22,MOD(CL$1-Units!$Q22,12)=0),IF(AND(Units!$L22=1,CL$1=Units!$Q22),IF(Units!$J22&lt;&gt;"",Units!$J22,Mkt!CL23),Inputs!$B$15*Mkt!CL23+(1-Inputs!$B$15)*MIN(Mkt!CL23,CK23*(1+Inputs!$B$18))),CK23)))</f>
        <v>2275.26665103601</v>
      </c>
      <c r="CM23" s="11" t="n">
        <f aca="false">IF(CM$1&lt;Units!$P22,0,IF(AND(Units!$K22=0,CM$1=Units!$O22),Units!$R22,IF(AND(CM$1&gt;=Units!$Q22,MOD(CM$1-Units!$Q22,12)=0),IF(AND(Units!$L22=1,CM$1=Units!$Q22),IF(Units!$J22&lt;&gt;"",Units!$J22,Mkt!CM23),Inputs!$B$15*Mkt!CM23+(1-Inputs!$B$15)*MIN(Mkt!CM23,CL23*(1+Inputs!$B$18))),CL23)))</f>
        <v>2275.26665103601</v>
      </c>
      <c r="CN23" s="11" t="n">
        <f aca="false">IF(CN$1&lt;Units!$P22,0,IF(AND(Units!$K22=0,CN$1=Units!$O22),Units!$R22,IF(AND(CN$1&gt;=Units!$Q22,MOD(CN$1-Units!$Q22,12)=0),IF(AND(Units!$L22=1,CN$1=Units!$Q22),IF(Units!$J22&lt;&gt;"",Units!$J22,Mkt!CN23),Inputs!$B$15*Mkt!CN23+(1-Inputs!$B$15)*MIN(Mkt!CN23,CM23*(1+Inputs!$B$18))),CM23)))</f>
        <v>2275.26665103601</v>
      </c>
      <c r="CO23" s="11" t="n">
        <f aca="false">IF(CO$1&lt;Units!$P22,0,IF(AND(Units!$K22=0,CO$1=Units!$O22),Units!$R22,IF(AND(CO$1&gt;=Units!$Q22,MOD(CO$1-Units!$Q22,12)=0),IF(AND(Units!$L22=1,CO$1=Units!$Q22),IF(Units!$J22&lt;&gt;"",Units!$J22,Mkt!CO23),Inputs!$B$15*Mkt!CO23+(1-Inputs!$B$15)*MIN(Mkt!CO23,CN23*(1+Inputs!$B$18))),CN23)))</f>
        <v>2275.26665103601</v>
      </c>
      <c r="CP23" s="11" t="n">
        <f aca="false">IF(CP$1&lt;Units!$P22,0,IF(AND(Units!$K22=0,CP$1=Units!$O22),Units!$R22,IF(AND(CP$1&gt;=Units!$Q22,MOD(CP$1-Units!$Q22,12)=0),IF(AND(Units!$L22=1,CP$1=Units!$Q22),IF(Units!$J22&lt;&gt;"",Units!$J22,Mkt!CP23),Inputs!$B$15*Mkt!CP23+(1-Inputs!$B$15)*MIN(Mkt!CP23,CO23*(1+Inputs!$B$18))),CO23)))</f>
        <v>2275.26665103601</v>
      </c>
      <c r="CQ23" s="11" t="n">
        <f aca="false">IF(CQ$1&lt;Units!$P22,0,IF(AND(Units!$K22=0,CQ$1=Units!$O22),Units!$R22,IF(AND(CQ$1&gt;=Units!$Q22,MOD(CQ$1-Units!$Q22,12)=0),IF(AND(Units!$L22=1,CQ$1=Units!$Q22),IF(Units!$J22&lt;&gt;"",Units!$J22,Mkt!CQ23),Inputs!$B$15*Mkt!CQ23+(1-Inputs!$B$15)*MIN(Mkt!CQ23,CP23*(1+Inputs!$B$18))),CP23)))</f>
        <v>2275.26665103601</v>
      </c>
      <c r="CR23" s="11" t="n">
        <f aca="false">IF(CR$1&lt;Units!$P22,0,IF(AND(Units!$K22=0,CR$1=Units!$O22),Units!$R22,IF(AND(CR$1&gt;=Units!$Q22,MOD(CR$1-Units!$Q22,12)=0),IF(AND(Units!$L22=1,CR$1=Units!$Q22),IF(Units!$J22&lt;&gt;"",Units!$J22,Mkt!CR23),Inputs!$B$15*Mkt!CR23+(1-Inputs!$B$15)*MIN(Mkt!CR23,CQ23*(1+Inputs!$B$18))),CQ23)))</f>
        <v>2275.26665103601</v>
      </c>
      <c r="CS23" s="11" t="n">
        <f aca="false">IF(CS$1&lt;Units!$P22,0,IF(AND(Units!$K22=0,CS$1=Units!$O22),Units!$R22,IF(AND(CS$1&gt;=Units!$Q22,MOD(CS$1-Units!$Q22,12)=0),IF(AND(Units!$L22=1,CS$1=Units!$Q22),IF(Units!$J22&lt;&gt;"",Units!$J22,Mkt!CS23),Inputs!$B$15*Mkt!CS23+(1-Inputs!$B$15)*MIN(Mkt!CS23,CR23*(1+Inputs!$B$18))),CR23)))</f>
        <v>2275.26665103601</v>
      </c>
      <c r="CT23" s="11" t="n">
        <f aca="false">IF(CT$1&lt;Units!$P22,0,IF(AND(Units!$K22=0,CT$1=Units!$O22),Units!$R22,IF(AND(CT$1&gt;=Units!$Q22,MOD(CT$1-Units!$Q22,12)=0),IF(AND(Units!$L22=1,CT$1=Units!$Q22),IF(Units!$J22&lt;&gt;"",Units!$J22,Mkt!CT23),Inputs!$B$15*Mkt!CT23+(1-Inputs!$B$15)*MIN(Mkt!CT23,CS23*(1+Inputs!$B$18))),CS23)))</f>
        <v>2275.26665103601</v>
      </c>
      <c r="CU23" s="11" t="n">
        <f aca="false">IF(CU$1&lt;Units!$P22,0,IF(AND(Units!$K22=0,CU$1=Units!$O22),Units!$R22,IF(AND(CU$1&gt;=Units!$Q22,MOD(CU$1-Units!$Q22,12)=0),IF(AND(Units!$L22=1,CU$1=Units!$Q22),IF(Units!$J22&lt;&gt;"",Units!$J22,Mkt!CU23),Inputs!$B$15*Mkt!CU23+(1-Inputs!$B$15)*MIN(Mkt!CU23,CT23*(1+Inputs!$B$18))),CT23)))</f>
        <v>2275.26665103601</v>
      </c>
      <c r="CV23" s="11" t="n">
        <f aca="false">IF(CV$1&lt;Units!$P22,0,IF(AND(Units!$K22=0,CV$1=Units!$O22),Units!$R22,IF(AND(CV$1&gt;=Units!$Q22,MOD(CV$1-Units!$Q22,12)=0),IF(AND(Units!$L22=1,CV$1=Units!$Q22),IF(Units!$J22&lt;&gt;"",Units!$J22,Mkt!CV23),Inputs!$B$15*Mkt!CV23+(1-Inputs!$B$15)*MIN(Mkt!CV23,CU23*(1+Inputs!$B$18))),CU23)))</f>
        <v>2275.26665103601</v>
      </c>
      <c r="CW23" s="11" t="n">
        <f aca="false">IF(CW$1&lt;Units!$P22,0,IF(AND(Units!$K22=0,CW$1=Units!$O22),Units!$R22,IF(AND(CW$1&gt;=Units!$Q22,MOD(CW$1-Units!$Q22,12)=0),IF(AND(Units!$L22=1,CW$1=Units!$Q22),IF(Units!$J22&lt;&gt;"",Units!$J22,Mkt!CW23),Inputs!$B$15*Mkt!CW23+(1-Inputs!$B$15)*MIN(Mkt!CW23,CV23*(1+Inputs!$B$18))),CV23)))</f>
        <v>2343.52465056709</v>
      </c>
      <c r="CX23" s="11" t="n">
        <f aca="false">IF(CX$1&lt;Units!$P22,0,IF(AND(Units!$K22=0,CX$1=Units!$O22),Units!$R22,IF(AND(CX$1&gt;=Units!$Q22,MOD(CX$1-Units!$Q22,12)=0),IF(AND(Units!$L22=1,CX$1=Units!$Q22),IF(Units!$J22&lt;&gt;"",Units!$J22,Mkt!CX23),Inputs!$B$15*Mkt!CX23+(1-Inputs!$B$15)*MIN(Mkt!CX23,CW23*(1+Inputs!$B$18))),CW23)))</f>
        <v>2343.52465056709</v>
      </c>
      <c r="CY23" s="11" t="n">
        <f aca="false">IF(CY$1&lt;Units!$P22,0,IF(AND(Units!$K22=0,CY$1=Units!$O22),Units!$R22,IF(AND(CY$1&gt;=Units!$Q22,MOD(CY$1-Units!$Q22,12)=0),IF(AND(Units!$L22=1,CY$1=Units!$Q22),IF(Units!$J22&lt;&gt;"",Units!$J22,Mkt!CY23),Inputs!$B$15*Mkt!CY23+(1-Inputs!$B$15)*MIN(Mkt!CY23,CX23*(1+Inputs!$B$18))),CX23)))</f>
        <v>2343.52465056709</v>
      </c>
      <c r="CZ23" s="11" t="n">
        <f aca="false">IF(CZ$1&lt;Units!$P22,0,IF(AND(Units!$K22=0,CZ$1=Units!$O22),Units!$R22,IF(AND(CZ$1&gt;=Units!$Q22,MOD(CZ$1-Units!$Q22,12)=0),IF(AND(Units!$L22=1,CZ$1=Units!$Q22),IF(Units!$J22&lt;&gt;"",Units!$J22,Mkt!CZ23),Inputs!$B$15*Mkt!CZ23+(1-Inputs!$B$15)*MIN(Mkt!CZ23,CY23*(1+Inputs!$B$18))),CY23)))</f>
        <v>2343.52465056709</v>
      </c>
      <c r="DA23" s="11" t="n">
        <f aca="false">IF(DA$1&lt;Units!$P22,0,IF(AND(Units!$K22=0,DA$1=Units!$O22),Units!$R22,IF(AND(DA$1&gt;=Units!$Q22,MOD(DA$1-Units!$Q22,12)=0),IF(AND(Units!$L22=1,DA$1=Units!$Q22),IF(Units!$J22&lt;&gt;"",Units!$J22,Mkt!DA23),Inputs!$B$15*Mkt!DA23+(1-Inputs!$B$15)*MIN(Mkt!DA23,CZ23*(1+Inputs!$B$18))),CZ23)))</f>
        <v>2343.52465056709</v>
      </c>
      <c r="DB23" s="11" t="n">
        <f aca="false">IF(DB$1&lt;Units!$P22,0,IF(AND(Units!$K22=0,DB$1=Units!$O22),Units!$R22,IF(AND(DB$1&gt;=Units!$Q22,MOD(DB$1-Units!$Q22,12)=0),IF(AND(Units!$L22=1,DB$1=Units!$Q22),IF(Units!$J22&lt;&gt;"",Units!$J22,Mkt!DB23),Inputs!$B$15*Mkt!DB23+(1-Inputs!$B$15)*MIN(Mkt!DB23,DA23*(1+Inputs!$B$18))),DA23)))</f>
        <v>2343.52465056709</v>
      </c>
      <c r="DC23" s="11" t="n">
        <f aca="false">IF(DC$1&lt;Units!$P22,0,IF(AND(Units!$K22=0,DC$1=Units!$O22),Units!$R22,IF(AND(DC$1&gt;=Units!$Q22,MOD(DC$1-Units!$Q22,12)=0),IF(AND(Units!$L22=1,DC$1=Units!$Q22),IF(Units!$J22&lt;&gt;"",Units!$J22,Mkt!DC23),Inputs!$B$15*Mkt!DC23+(1-Inputs!$B$15)*MIN(Mkt!DC23,DB23*(1+Inputs!$B$18))),DB23)))</f>
        <v>2343.52465056709</v>
      </c>
      <c r="DD23" s="11" t="n">
        <f aca="false">IF(DD$1&lt;Units!$P22,0,IF(AND(Units!$K22=0,DD$1=Units!$O22),Units!$R22,IF(AND(DD$1&gt;=Units!$Q22,MOD(DD$1-Units!$Q22,12)=0),IF(AND(Units!$L22=1,DD$1=Units!$Q22),IF(Units!$J22&lt;&gt;"",Units!$J22,Mkt!DD23),Inputs!$B$15*Mkt!DD23+(1-Inputs!$B$15)*MIN(Mkt!DD23,DC23*(1+Inputs!$B$18))),DC23)))</f>
        <v>2343.52465056709</v>
      </c>
      <c r="DE23" s="11" t="n">
        <f aca="false">IF(DE$1&lt;Units!$P22,0,IF(AND(Units!$K22=0,DE$1=Units!$O22),Units!$R22,IF(AND(DE$1&gt;=Units!$Q22,MOD(DE$1-Units!$Q22,12)=0),IF(AND(Units!$L22=1,DE$1=Units!$Q22),IF(Units!$J22&lt;&gt;"",Units!$J22,Mkt!DE23),Inputs!$B$15*Mkt!DE23+(1-Inputs!$B$15)*MIN(Mkt!DE23,DD23*(1+Inputs!$B$18))),DD23)))</f>
        <v>2343.52465056709</v>
      </c>
      <c r="DF23" s="11" t="n">
        <f aca="false">IF(DF$1&lt;Units!$P22,0,IF(AND(Units!$K22=0,DF$1=Units!$O22),Units!$R22,IF(AND(DF$1&gt;=Units!$Q22,MOD(DF$1-Units!$Q22,12)=0),IF(AND(Units!$L22=1,DF$1=Units!$Q22),IF(Units!$J22&lt;&gt;"",Units!$J22,Mkt!DF23),Inputs!$B$15*Mkt!DF23+(1-Inputs!$B$15)*MIN(Mkt!DF23,DE23*(1+Inputs!$B$18))),DE23)))</f>
        <v>2343.52465056709</v>
      </c>
      <c r="DG23" s="11" t="n">
        <f aca="false">IF(DG$1&lt;Units!$P22,0,IF(AND(Units!$K22=0,DG$1=Units!$O22),Units!$R22,IF(AND(DG$1&gt;=Units!$Q22,MOD(DG$1-Units!$Q22,12)=0),IF(AND(Units!$L22=1,DG$1=Units!$Q22),IF(Units!$J22&lt;&gt;"",Units!$J22,Mkt!DG23),Inputs!$B$15*Mkt!DG23+(1-Inputs!$B$15)*MIN(Mkt!DG23,DF23*(1+Inputs!$B$18))),DF23)))</f>
        <v>2343.52465056709</v>
      </c>
      <c r="DH23" s="11" t="n">
        <f aca="false">IF(DH$1&lt;Units!$P22,0,IF(AND(Units!$K22=0,DH$1=Units!$O22),Units!$R22,IF(AND(DH$1&gt;=Units!$Q22,MOD(DH$1-Units!$Q22,12)=0),IF(AND(Units!$L22=1,DH$1=Units!$Q22),IF(Units!$J22&lt;&gt;"",Units!$J22,Mkt!DH23),Inputs!$B$15*Mkt!DH23+(1-Inputs!$B$15)*MIN(Mkt!DH23,DG23*(1+Inputs!$B$18))),DG23)))</f>
        <v>2343.52465056709</v>
      </c>
      <c r="DI23" s="11" t="n">
        <f aca="false">IF(DI$1&lt;Units!$P22,0,IF(AND(Units!$K22=0,DI$1=Units!$O22),Units!$R22,IF(AND(DI$1&gt;=Units!$Q22,MOD(DI$1-Units!$Q22,12)=0),IF(AND(Units!$L22=1,DI$1=Units!$Q22),IF(Units!$J22&lt;&gt;"",Units!$J22,Mkt!DI23),Inputs!$B$15*Mkt!DI23+(1-Inputs!$B$15)*MIN(Mkt!DI23,DH23*(1+Inputs!$B$18))),DH23)))</f>
        <v>2413.8303900841</v>
      </c>
      <c r="DJ23" s="11" t="n">
        <f aca="false">IF(DJ$1&lt;Units!$P22,0,IF(AND(Units!$K22=0,DJ$1=Units!$O22),Units!$R22,IF(AND(DJ$1&gt;=Units!$Q22,MOD(DJ$1-Units!$Q22,12)=0),IF(AND(Units!$L22=1,DJ$1=Units!$Q22),IF(Units!$J22&lt;&gt;"",Units!$J22,Mkt!DJ23),Inputs!$B$15*Mkt!DJ23+(1-Inputs!$B$15)*MIN(Mkt!DJ23,DI23*(1+Inputs!$B$18))),DI23)))</f>
        <v>2413.8303900841</v>
      </c>
      <c r="DK23" s="11" t="n">
        <f aca="false">IF(DK$1&lt;Units!$P22,0,IF(AND(Units!$K22=0,DK$1=Units!$O22),Units!$R22,IF(AND(DK$1&gt;=Units!$Q22,MOD(DK$1-Units!$Q22,12)=0),IF(AND(Units!$L22=1,DK$1=Units!$Q22),IF(Units!$J22&lt;&gt;"",Units!$J22,Mkt!DK23),Inputs!$B$15*Mkt!DK23+(1-Inputs!$B$15)*MIN(Mkt!DK23,DJ23*(1+Inputs!$B$18))),DJ23)))</f>
        <v>2413.8303900841</v>
      </c>
      <c r="DL23" s="11" t="n">
        <f aca="false">IF(DL$1&lt;Units!$P22,0,IF(AND(Units!$K22=0,DL$1=Units!$O22),Units!$R22,IF(AND(DL$1&gt;=Units!$Q22,MOD(DL$1-Units!$Q22,12)=0),IF(AND(Units!$L22=1,DL$1=Units!$Q22),IF(Units!$J22&lt;&gt;"",Units!$J22,Mkt!DL23),Inputs!$B$15*Mkt!DL23+(1-Inputs!$B$15)*MIN(Mkt!DL23,DK23*(1+Inputs!$B$18))),DK23)))</f>
        <v>2413.8303900841</v>
      </c>
      <c r="DM23" s="11" t="n">
        <f aca="false">IF(DM$1&lt;Units!$P22,0,IF(AND(Units!$K22=0,DM$1=Units!$O22),Units!$R22,IF(AND(DM$1&gt;=Units!$Q22,MOD(DM$1-Units!$Q22,12)=0),IF(AND(Units!$L22=1,DM$1=Units!$Q22),IF(Units!$J22&lt;&gt;"",Units!$J22,Mkt!DM23),Inputs!$B$15*Mkt!DM23+(1-Inputs!$B$15)*MIN(Mkt!DM23,DL23*(1+Inputs!$B$18))),DL23)))</f>
        <v>2413.8303900841</v>
      </c>
      <c r="DN23" s="11" t="n">
        <f aca="false">IF(DN$1&lt;Units!$P22,0,IF(AND(Units!$K22=0,DN$1=Units!$O22),Units!$R22,IF(AND(DN$1&gt;=Units!$Q22,MOD(DN$1-Units!$Q22,12)=0),IF(AND(Units!$L22=1,DN$1=Units!$Q22),IF(Units!$J22&lt;&gt;"",Units!$J22,Mkt!DN23),Inputs!$B$15*Mkt!DN23+(1-Inputs!$B$15)*MIN(Mkt!DN23,DM23*(1+Inputs!$B$18))),DM23)))</f>
        <v>2413.8303900841</v>
      </c>
      <c r="DO23" s="11" t="n">
        <f aca="false">IF(DO$1&lt;Units!$P22,0,IF(AND(Units!$K22=0,DO$1=Units!$O22),Units!$R22,IF(AND(DO$1&gt;=Units!$Q22,MOD(DO$1-Units!$Q22,12)=0),IF(AND(Units!$L22=1,DO$1=Units!$Q22),IF(Units!$J22&lt;&gt;"",Units!$J22,Mkt!DO23),Inputs!$B$15*Mkt!DO23+(1-Inputs!$B$15)*MIN(Mkt!DO23,DN23*(1+Inputs!$B$18))),DN23)))</f>
        <v>2413.8303900841</v>
      </c>
      <c r="DP23" s="11" t="n">
        <f aca="false">IF(DP$1&lt;Units!$P22,0,IF(AND(Units!$K22=0,DP$1=Units!$O22),Units!$R22,IF(AND(DP$1&gt;=Units!$Q22,MOD(DP$1-Units!$Q22,12)=0),IF(AND(Units!$L22=1,DP$1=Units!$Q22),IF(Units!$J22&lt;&gt;"",Units!$J22,Mkt!DP23),Inputs!$B$15*Mkt!DP23+(1-Inputs!$B$15)*MIN(Mkt!DP23,DO23*(1+Inputs!$B$18))),DO23)))</f>
        <v>2413.8303900841</v>
      </c>
      <c r="DQ23" s="11" t="n">
        <f aca="false">IF(DQ$1&lt;Units!$P22,0,IF(AND(Units!$K22=0,DQ$1=Units!$O22),Units!$R22,IF(AND(DQ$1&gt;=Units!$Q22,MOD(DQ$1-Units!$Q22,12)=0),IF(AND(Units!$L22=1,DQ$1=Units!$Q22),IF(Units!$J22&lt;&gt;"",Units!$J22,Mkt!DQ23),Inputs!$B$15*Mkt!DQ23+(1-Inputs!$B$15)*MIN(Mkt!DQ23,DP23*(1+Inputs!$B$18))),DP23)))</f>
        <v>2413.8303900841</v>
      </c>
      <c r="DR23" s="11" t="n">
        <f aca="false">IF(DR$1&lt;Units!$P22,0,IF(AND(Units!$K22=0,DR$1=Units!$O22),Units!$R22,IF(AND(DR$1&gt;=Units!$Q22,MOD(DR$1-Units!$Q22,12)=0),IF(AND(Units!$L22=1,DR$1=Units!$Q22),IF(Units!$J22&lt;&gt;"",Units!$J22,Mkt!DR23),Inputs!$B$15*Mkt!DR23+(1-Inputs!$B$15)*MIN(Mkt!DR23,DQ23*(1+Inputs!$B$18))),DQ23)))</f>
        <v>2413.8303900841</v>
      </c>
      <c r="DS23" s="11" t="n">
        <f aca="false">IF(DS$1&lt;Units!$P22,0,IF(AND(Units!$K22=0,DS$1=Units!$O22),Units!$R22,IF(AND(DS$1&gt;=Units!$Q22,MOD(DS$1-Units!$Q22,12)=0),IF(AND(Units!$L22=1,DS$1=Units!$Q22),IF(Units!$J22&lt;&gt;"",Units!$J22,Mkt!DS23),Inputs!$B$15*Mkt!DS23+(1-Inputs!$B$15)*MIN(Mkt!DS23,DR23*(1+Inputs!$B$18))),DR23)))</f>
        <v>2413.8303900841</v>
      </c>
      <c r="DT23" s="11" t="n">
        <f aca="false">IF(DT$1&lt;Units!$P22,0,IF(AND(Units!$K22=0,DT$1=Units!$O22),Units!$R22,IF(AND(DT$1&gt;=Units!$Q22,MOD(DT$1-Units!$Q22,12)=0),IF(AND(Units!$L22=1,DT$1=Units!$Q22),IF(Units!$J22&lt;&gt;"",Units!$J22,Mkt!DT23),Inputs!$B$15*Mkt!DT23+(1-Inputs!$B$15)*MIN(Mkt!DT23,DS23*(1+Inputs!$B$18))),DS23)))</f>
        <v>2413.8303900841</v>
      </c>
      <c r="DU23" s="11" t="n">
        <f aca="false">IF(DU$1&lt;Units!$P22,0,IF(AND(Units!$K22=0,DU$1=Units!$O22),Units!$R22,IF(AND(DU$1&gt;=Units!$Q22,MOD(DU$1-Units!$Q22,12)=0),IF(AND(Units!$L22=1,DU$1=Units!$Q22),IF(Units!$J22&lt;&gt;"",Units!$J22,Mkt!DU23),Inputs!$B$15*Mkt!DU23+(1-Inputs!$B$15)*MIN(Mkt!DU23,DT23*(1+Inputs!$B$18))),DT23)))</f>
        <v>2486.24530178663</v>
      </c>
      <c r="DV23" s="11" t="n">
        <f aca="false">IF(DV$1&lt;Units!$P22,0,IF(AND(Units!$K22=0,DV$1=Units!$O22),Units!$R22,IF(AND(DV$1&gt;=Units!$Q22,MOD(DV$1-Units!$Q22,12)=0),IF(AND(Units!$L22=1,DV$1=Units!$Q22),IF(Units!$J22&lt;&gt;"",Units!$J22,Mkt!DV23),Inputs!$B$15*Mkt!DV23+(1-Inputs!$B$15)*MIN(Mkt!DV23,DU23*(1+Inputs!$B$18))),DU23)))</f>
        <v>2486.24530178663</v>
      </c>
      <c r="DW23" s="11" t="n">
        <f aca="false">IF(DW$1&lt;Units!$P22,0,IF(AND(Units!$K22=0,DW$1=Units!$O22),Units!$R22,IF(AND(DW$1&gt;=Units!$Q22,MOD(DW$1-Units!$Q22,12)=0),IF(AND(Units!$L22=1,DW$1=Units!$Q22),IF(Units!$J22&lt;&gt;"",Units!$J22,Mkt!DW23),Inputs!$B$15*Mkt!DW23+(1-Inputs!$B$15)*MIN(Mkt!DW23,DV23*(1+Inputs!$B$18))),DV23)))</f>
        <v>2486.24530178663</v>
      </c>
      <c r="DX23" s="11" t="n">
        <f aca="false">IF(DX$1&lt;Units!$P22,0,IF(AND(Units!$K22=0,DX$1=Units!$O22),Units!$R22,IF(AND(DX$1&gt;=Units!$Q22,MOD(DX$1-Units!$Q22,12)=0),IF(AND(Units!$L22=1,DX$1=Units!$Q22),IF(Units!$J22&lt;&gt;"",Units!$J22,Mkt!DX23),Inputs!$B$15*Mkt!DX23+(1-Inputs!$B$15)*MIN(Mkt!DX23,DW23*(1+Inputs!$B$18))),DW23)))</f>
        <v>2486.24530178663</v>
      </c>
      <c r="DY23" s="11" t="n">
        <f aca="false">IF(DY$1&lt;Units!$P22,0,IF(AND(Units!$K22=0,DY$1=Units!$O22),Units!$R22,IF(AND(DY$1&gt;=Units!$Q22,MOD(DY$1-Units!$Q22,12)=0),IF(AND(Units!$L22=1,DY$1=Units!$Q22),IF(Units!$J22&lt;&gt;"",Units!$J22,Mkt!DY23),Inputs!$B$15*Mkt!DY23+(1-Inputs!$B$15)*MIN(Mkt!DY23,DX23*(1+Inputs!$B$18))),DX23)))</f>
        <v>2486.24530178663</v>
      </c>
      <c r="DZ23" s="11" t="n">
        <f aca="false">IF(DZ$1&lt;Units!$P22,0,IF(AND(Units!$K22=0,DZ$1=Units!$O22),Units!$R22,IF(AND(DZ$1&gt;=Units!$Q22,MOD(DZ$1-Units!$Q22,12)=0),IF(AND(Units!$L22=1,DZ$1=Units!$Q22),IF(Units!$J22&lt;&gt;"",Units!$J22,Mkt!DZ23),Inputs!$B$15*Mkt!DZ23+(1-Inputs!$B$15)*MIN(Mkt!DZ23,DY23*(1+Inputs!$B$18))),DY23)))</f>
        <v>2486.24530178663</v>
      </c>
      <c r="EA23" s="11" t="n">
        <f aca="false">IF(EA$1&lt;Units!$P22,0,IF(AND(Units!$K22=0,EA$1=Units!$O22),Units!$R22,IF(AND(EA$1&gt;=Units!$Q22,MOD(EA$1-Units!$Q22,12)=0),IF(AND(Units!$L22=1,EA$1=Units!$Q22),IF(Units!$J22&lt;&gt;"",Units!$J22,Mkt!EA23),Inputs!$B$15*Mkt!EA23+(1-Inputs!$B$15)*MIN(Mkt!EA23,DZ23*(1+Inputs!$B$18))),DZ23)))</f>
        <v>2486.24530178663</v>
      </c>
      <c r="EB23" s="11" t="n">
        <f aca="false">IF(EB$1&lt;Units!$P22,0,IF(AND(Units!$K22=0,EB$1=Units!$O22),Units!$R22,IF(AND(EB$1&gt;=Units!$Q22,MOD(EB$1-Units!$Q22,12)=0),IF(AND(Units!$L22=1,EB$1=Units!$Q22),IF(Units!$J22&lt;&gt;"",Units!$J22,Mkt!EB23),Inputs!$B$15*Mkt!EB23+(1-Inputs!$B$15)*MIN(Mkt!EB23,EA23*(1+Inputs!$B$18))),EA23)))</f>
        <v>2486.24530178663</v>
      </c>
      <c r="EC23" s="11" t="n">
        <f aca="false">IF(EC$1&lt;Units!$P22,0,IF(AND(Units!$K22=0,EC$1=Units!$O22),Units!$R22,IF(AND(EC$1&gt;=Units!$Q22,MOD(EC$1-Units!$Q22,12)=0),IF(AND(Units!$L22=1,EC$1=Units!$Q22),IF(Units!$J22&lt;&gt;"",Units!$J22,Mkt!EC23),Inputs!$B$15*Mkt!EC23+(1-Inputs!$B$15)*MIN(Mkt!EC23,EB23*(1+Inputs!$B$18))),EB23)))</f>
        <v>2486.24530178663</v>
      </c>
      <c r="ED23" s="11" t="n">
        <f aca="false">IF(ED$1&lt;Units!$P22,0,IF(AND(Units!$K22=0,ED$1=Units!$O22),Units!$R22,IF(AND(ED$1&gt;=Units!$Q22,MOD(ED$1-Units!$Q22,12)=0),IF(AND(Units!$L22=1,ED$1=Units!$Q22),IF(Units!$J22&lt;&gt;"",Units!$J22,Mkt!ED23),Inputs!$B$15*Mkt!ED23+(1-Inputs!$B$15)*MIN(Mkt!ED23,EC23*(1+Inputs!$B$18))),EC23)))</f>
        <v>2486.24530178663</v>
      </c>
    </row>
    <row r="24" customFormat="false" ht="15" hidden="false" customHeight="false" outlineLevel="0" collapsed="false">
      <c r="A24" s="22" t="n">
        <f aca="false">Units!A23</f>
        <v>122</v>
      </c>
      <c r="B24" s="24" t="n">
        <f aca="false">IF(Units!K23=1,Units!F23,0)</f>
        <v>1725</v>
      </c>
      <c r="C24" s="11" t="n">
        <f aca="false">IF(C$1&lt;Units!$P23,0,IF(AND(Units!$K23=0,C$1=Units!$O23),Units!$R23,IF(AND(C$1&gt;=Units!$Q23,MOD(C$1-Units!$Q23,12)=0),IF(AND(Units!$L23=1,C$1=Units!$Q23),IF(Units!$J23&lt;&gt;"",Units!$J23,Mkt!C24),Inputs!$B$15*Mkt!C24+(1-Inputs!$B$15)*MIN(Mkt!C24,B24*(1+Inputs!$B$18))),B24)))</f>
        <v>1725</v>
      </c>
      <c r="D24" s="11" t="n">
        <f aca="false">IF(D$1&lt;Units!$P23,0,IF(AND(Units!$K23=0,D$1=Units!$O23),Units!$R23,IF(AND(D$1&gt;=Units!$Q23,MOD(D$1-Units!$Q23,12)=0),IF(AND(Units!$L23=1,D$1=Units!$Q23),IF(Units!$J23&lt;&gt;"",Units!$J23,Mkt!D24),Inputs!$B$15*Mkt!D24+(1-Inputs!$B$15)*MIN(Mkt!D24,C24*(1+Inputs!$B$18))),C24)))</f>
        <v>1725</v>
      </c>
      <c r="E24" s="11" t="n">
        <f aca="false">IF(E$1&lt;Units!$P23,0,IF(AND(Units!$K23=0,E$1=Units!$O23),Units!$R23,IF(AND(E$1&gt;=Units!$Q23,MOD(E$1-Units!$Q23,12)=0),IF(AND(Units!$L23=1,E$1=Units!$Q23),IF(Units!$J23&lt;&gt;"",Units!$J23,Mkt!E24),Inputs!$B$15*Mkt!E24+(1-Inputs!$B$15)*MIN(Mkt!E24,D24*(1+Inputs!$B$18))),D24)))</f>
        <v>1725</v>
      </c>
      <c r="F24" s="11" t="n">
        <f aca="false">IF(F$1&lt;Units!$P23,0,IF(AND(Units!$K23=0,F$1=Units!$O23),Units!$R23,IF(AND(F$1&gt;=Units!$Q23,MOD(F$1-Units!$Q23,12)=0),IF(AND(Units!$L23=1,F$1=Units!$Q23),IF(Units!$J23&lt;&gt;"",Units!$J23,Mkt!F24),Inputs!$B$15*Mkt!F24+(1-Inputs!$B$15)*MIN(Mkt!F24,E24*(1+Inputs!$B$18))),E24)))</f>
        <v>1725</v>
      </c>
      <c r="G24" s="11" t="n">
        <f aca="false">IF(G$1&lt;Units!$P23,0,IF(AND(Units!$K23=0,G$1=Units!$O23),Units!$R23,IF(AND(G$1&gt;=Units!$Q23,MOD(G$1-Units!$Q23,12)=0),IF(AND(Units!$L23=1,G$1=Units!$Q23),IF(Units!$J23&lt;&gt;"",Units!$J23,Mkt!G24),Inputs!$B$15*Mkt!G24+(1-Inputs!$B$15)*MIN(Mkt!G24,F24*(1+Inputs!$B$18))),F24)))</f>
        <v>1725</v>
      </c>
      <c r="H24" s="11" t="n">
        <f aca="false">IF(H$1&lt;Units!$P23,0,IF(AND(Units!$K23=0,H$1=Units!$O23),Units!$R23,IF(AND(H$1&gt;=Units!$Q23,MOD(H$1-Units!$Q23,12)=0),IF(AND(Units!$L23=1,H$1=Units!$Q23),IF(Units!$J23&lt;&gt;"",Units!$J23,Mkt!H24),Inputs!$B$15*Mkt!H24+(1-Inputs!$B$15)*MIN(Mkt!H24,G24*(1+Inputs!$B$18))),G24)))</f>
        <v>1725</v>
      </c>
      <c r="I24" s="11" t="n">
        <f aca="false">IF(I$1&lt;Units!$P23,0,IF(AND(Units!$K23=0,I$1=Units!$O23),Units!$R23,IF(AND(I$1&gt;=Units!$Q23,MOD(I$1-Units!$Q23,12)=0),IF(AND(Units!$L23=1,I$1=Units!$Q23),IF(Units!$J23&lt;&gt;"",Units!$J23,Mkt!I24),Inputs!$B$15*Mkt!I24+(1-Inputs!$B$15)*MIN(Mkt!I24,H24*(1+Inputs!$B$18))),H24)))</f>
        <v>1725</v>
      </c>
      <c r="J24" s="11" t="n">
        <f aca="false">IF(J$1&lt;Units!$P23,0,IF(AND(Units!$K23=0,J$1=Units!$O23),Units!$R23,IF(AND(J$1&gt;=Units!$Q23,MOD(J$1-Units!$Q23,12)=0),IF(AND(Units!$L23=1,J$1=Units!$Q23),IF(Units!$J23&lt;&gt;"",Units!$J23,Mkt!J24),Inputs!$B$15*Mkt!J24+(1-Inputs!$B$15)*MIN(Mkt!J24,I24*(1+Inputs!$B$18))),I24)))</f>
        <v>1725</v>
      </c>
      <c r="K24" s="11" t="n">
        <f aca="false">IF(K$1&lt;Units!$P23,0,IF(AND(Units!$K23=0,K$1=Units!$O23),Units!$R23,IF(AND(K$1&gt;=Units!$Q23,MOD(K$1-Units!$Q23,12)=0),IF(AND(Units!$L23=1,K$1=Units!$Q23),IF(Units!$J23&lt;&gt;"",Units!$J23,Mkt!K24),Inputs!$B$15*Mkt!K24+(1-Inputs!$B$15)*MIN(Mkt!K24,J24*(1+Inputs!$B$18))),J24)))</f>
        <v>1725</v>
      </c>
      <c r="L24" s="11" t="n">
        <f aca="false">IF(L$1&lt;Units!$P23,0,IF(AND(Units!$K23=0,L$1=Units!$O23),Units!$R23,IF(AND(L$1&gt;=Units!$Q23,MOD(L$1-Units!$Q23,12)=0),IF(AND(Units!$L23=1,L$1=Units!$Q23),IF(Units!$J23&lt;&gt;"",Units!$J23,Mkt!L24),Inputs!$B$15*Mkt!L24+(1-Inputs!$B$15)*MIN(Mkt!L24,K24*(1+Inputs!$B$18))),K24)))</f>
        <v>1830.625</v>
      </c>
      <c r="M24" s="11" t="n">
        <f aca="false">IF(M$1&lt;Units!$P23,0,IF(AND(Units!$K23=0,M$1=Units!$O23),Units!$R23,IF(AND(M$1&gt;=Units!$Q23,MOD(M$1-Units!$Q23,12)=0),IF(AND(Units!$L23=1,M$1=Units!$Q23),IF(Units!$J23&lt;&gt;"",Units!$J23,Mkt!M24),Inputs!$B$15*Mkt!M24+(1-Inputs!$B$15)*MIN(Mkt!M24,L24*(1+Inputs!$B$18))),L24)))</f>
        <v>1830.625</v>
      </c>
      <c r="N24" s="11" t="n">
        <f aca="false">IF(N$1&lt;Units!$P23,0,IF(AND(Units!$K23=0,N$1=Units!$O23),Units!$R23,IF(AND(N$1&gt;=Units!$Q23,MOD(N$1-Units!$Q23,12)=0),IF(AND(Units!$L23=1,N$1=Units!$Q23),IF(Units!$J23&lt;&gt;"",Units!$J23,Mkt!N24),Inputs!$B$15*Mkt!N24+(1-Inputs!$B$15)*MIN(Mkt!N24,M24*(1+Inputs!$B$18))),M24)))</f>
        <v>1830.625</v>
      </c>
      <c r="O24" s="11" t="n">
        <f aca="false">IF(O$1&lt;Units!$P23,0,IF(AND(Units!$K23=0,O$1=Units!$O23),Units!$R23,IF(AND(O$1&gt;=Units!$Q23,MOD(O$1-Units!$Q23,12)=0),IF(AND(Units!$L23=1,O$1=Units!$Q23),IF(Units!$J23&lt;&gt;"",Units!$J23,Mkt!O24),Inputs!$B$15*Mkt!O24+(1-Inputs!$B$15)*MIN(Mkt!O24,N24*(1+Inputs!$B$18))),N24)))</f>
        <v>1830.625</v>
      </c>
      <c r="P24" s="11" t="n">
        <f aca="false">IF(P$1&lt;Units!$P23,0,IF(AND(Units!$K23=0,P$1=Units!$O23),Units!$R23,IF(AND(P$1&gt;=Units!$Q23,MOD(P$1-Units!$Q23,12)=0),IF(AND(Units!$L23=1,P$1=Units!$Q23),IF(Units!$J23&lt;&gt;"",Units!$J23,Mkt!P24),Inputs!$B$15*Mkt!P24+(1-Inputs!$B$15)*MIN(Mkt!P24,O24*(1+Inputs!$B$18))),O24)))</f>
        <v>1830.625</v>
      </c>
      <c r="Q24" s="11" t="n">
        <f aca="false">IF(Q$1&lt;Units!$P23,0,IF(AND(Units!$K23=0,Q$1=Units!$O23),Units!$R23,IF(AND(Q$1&gt;=Units!$Q23,MOD(Q$1-Units!$Q23,12)=0),IF(AND(Units!$L23=1,Q$1=Units!$Q23),IF(Units!$J23&lt;&gt;"",Units!$J23,Mkt!Q24),Inputs!$B$15*Mkt!Q24+(1-Inputs!$B$15)*MIN(Mkt!Q24,P24*(1+Inputs!$B$18))),P24)))</f>
        <v>1830.625</v>
      </c>
      <c r="R24" s="11" t="n">
        <f aca="false">IF(R$1&lt;Units!$P23,0,IF(AND(Units!$K23=0,R$1=Units!$O23),Units!$R23,IF(AND(R$1&gt;=Units!$Q23,MOD(R$1-Units!$Q23,12)=0),IF(AND(Units!$L23=1,R$1=Units!$Q23),IF(Units!$J23&lt;&gt;"",Units!$J23,Mkt!R24),Inputs!$B$15*Mkt!R24+(1-Inputs!$B$15)*MIN(Mkt!R24,Q24*(1+Inputs!$B$18))),Q24)))</f>
        <v>1830.625</v>
      </c>
      <c r="S24" s="11" t="n">
        <f aca="false">IF(S$1&lt;Units!$P23,0,IF(AND(Units!$K23=0,S$1=Units!$O23),Units!$R23,IF(AND(S$1&gt;=Units!$Q23,MOD(S$1-Units!$Q23,12)=0),IF(AND(Units!$L23=1,S$1=Units!$Q23),IF(Units!$J23&lt;&gt;"",Units!$J23,Mkt!S24),Inputs!$B$15*Mkt!S24+(1-Inputs!$B$15)*MIN(Mkt!S24,R24*(1+Inputs!$B$18))),R24)))</f>
        <v>1830.625</v>
      </c>
      <c r="T24" s="11" t="n">
        <f aca="false">IF(T$1&lt;Units!$P23,0,IF(AND(Units!$K23=0,T$1=Units!$O23),Units!$R23,IF(AND(T$1&gt;=Units!$Q23,MOD(T$1-Units!$Q23,12)=0),IF(AND(Units!$L23=1,T$1=Units!$Q23),IF(Units!$J23&lt;&gt;"",Units!$J23,Mkt!T24),Inputs!$B$15*Mkt!T24+(1-Inputs!$B$15)*MIN(Mkt!T24,S24*(1+Inputs!$B$18))),S24)))</f>
        <v>1830.625</v>
      </c>
      <c r="U24" s="11" t="n">
        <f aca="false">IF(U$1&lt;Units!$P23,0,IF(AND(Units!$K23=0,U$1=Units!$O23),Units!$R23,IF(AND(U$1&gt;=Units!$Q23,MOD(U$1-Units!$Q23,12)=0),IF(AND(Units!$L23=1,U$1=Units!$Q23),IF(Units!$J23&lt;&gt;"",Units!$J23,Mkt!U24),Inputs!$B$15*Mkt!U24+(1-Inputs!$B$15)*MIN(Mkt!U24,T24*(1+Inputs!$B$18))),T24)))</f>
        <v>1830.625</v>
      </c>
      <c r="V24" s="11" t="n">
        <f aca="false">IF(V$1&lt;Units!$P23,0,IF(AND(Units!$K23=0,V$1=Units!$O23),Units!$R23,IF(AND(V$1&gt;=Units!$Q23,MOD(V$1-Units!$Q23,12)=0),IF(AND(Units!$L23=1,V$1=Units!$Q23),IF(Units!$J23&lt;&gt;"",Units!$J23,Mkt!V24),Inputs!$B$15*Mkt!V24+(1-Inputs!$B$15)*MIN(Mkt!V24,U24*(1+Inputs!$B$18))),U24)))</f>
        <v>1830.625</v>
      </c>
      <c r="W24" s="11" t="n">
        <f aca="false">IF(W$1&lt;Units!$P23,0,IF(AND(Units!$K23=0,W$1=Units!$O23),Units!$R23,IF(AND(W$1&gt;=Units!$Q23,MOD(W$1-Units!$Q23,12)=0),IF(AND(Units!$L23=1,W$1=Units!$Q23),IF(Units!$J23&lt;&gt;"",Units!$J23,Mkt!W24),Inputs!$B$15*Mkt!W24+(1-Inputs!$B$15)*MIN(Mkt!W24,V24*(1+Inputs!$B$18))),V24)))</f>
        <v>1830.625</v>
      </c>
      <c r="X24" s="11" t="n">
        <f aca="false">IF(X$1&lt;Units!$P23,0,IF(AND(Units!$K23=0,X$1=Units!$O23),Units!$R23,IF(AND(X$1&gt;=Units!$Q23,MOD(X$1-Units!$Q23,12)=0),IF(AND(Units!$L23=1,X$1=Units!$Q23),IF(Units!$J23&lt;&gt;"",Units!$J23,Mkt!X24),Inputs!$B$15*Mkt!X24+(1-Inputs!$B$15)*MIN(Mkt!X24,W24*(1+Inputs!$B$18))),W24)))</f>
        <v>1905.5</v>
      </c>
      <c r="Y24" s="11" t="n">
        <f aca="false">IF(Y$1&lt;Units!$P23,0,IF(AND(Units!$K23=0,Y$1=Units!$O23),Units!$R23,IF(AND(Y$1&gt;=Units!$Q23,MOD(Y$1-Units!$Q23,12)=0),IF(AND(Units!$L23=1,Y$1=Units!$Q23),IF(Units!$J23&lt;&gt;"",Units!$J23,Mkt!Y24),Inputs!$B$15*Mkt!Y24+(1-Inputs!$B$15)*MIN(Mkt!Y24,X24*(1+Inputs!$B$18))),X24)))</f>
        <v>1905.5</v>
      </c>
      <c r="Z24" s="11" t="n">
        <f aca="false">IF(Z$1&lt;Units!$P23,0,IF(AND(Units!$K23=0,Z$1=Units!$O23),Units!$R23,IF(AND(Z$1&gt;=Units!$Q23,MOD(Z$1-Units!$Q23,12)=0),IF(AND(Units!$L23=1,Z$1=Units!$Q23),IF(Units!$J23&lt;&gt;"",Units!$J23,Mkt!Z24),Inputs!$B$15*Mkt!Z24+(1-Inputs!$B$15)*MIN(Mkt!Z24,Y24*(1+Inputs!$B$18))),Y24)))</f>
        <v>1905.5</v>
      </c>
      <c r="AA24" s="11" t="n">
        <f aca="false">IF(AA$1&lt;Units!$P23,0,IF(AND(Units!$K23=0,AA$1=Units!$O23),Units!$R23,IF(AND(AA$1&gt;=Units!$Q23,MOD(AA$1-Units!$Q23,12)=0),IF(AND(Units!$L23=1,AA$1=Units!$Q23),IF(Units!$J23&lt;&gt;"",Units!$J23,Mkt!AA24),Inputs!$B$15*Mkt!AA24+(1-Inputs!$B$15)*MIN(Mkt!AA24,Z24*(1+Inputs!$B$18))),Z24)))</f>
        <v>1905.5</v>
      </c>
      <c r="AB24" s="11" t="n">
        <f aca="false">IF(AB$1&lt;Units!$P23,0,IF(AND(Units!$K23=0,AB$1=Units!$O23),Units!$R23,IF(AND(AB$1&gt;=Units!$Q23,MOD(AB$1-Units!$Q23,12)=0),IF(AND(Units!$L23=1,AB$1=Units!$Q23),IF(Units!$J23&lt;&gt;"",Units!$J23,Mkt!AB24),Inputs!$B$15*Mkt!AB24+(1-Inputs!$B$15)*MIN(Mkt!AB24,AA24*(1+Inputs!$B$18))),AA24)))</f>
        <v>1905.5</v>
      </c>
      <c r="AC24" s="11" t="n">
        <f aca="false">IF(AC$1&lt;Units!$P23,0,IF(AND(Units!$K23=0,AC$1=Units!$O23),Units!$R23,IF(AND(AC$1&gt;=Units!$Q23,MOD(AC$1-Units!$Q23,12)=0),IF(AND(Units!$L23=1,AC$1=Units!$Q23),IF(Units!$J23&lt;&gt;"",Units!$J23,Mkt!AC24),Inputs!$B$15*Mkt!AC24+(1-Inputs!$B$15)*MIN(Mkt!AC24,AB24*(1+Inputs!$B$18))),AB24)))</f>
        <v>1905.5</v>
      </c>
      <c r="AD24" s="11" t="n">
        <f aca="false">IF(AD$1&lt;Units!$P23,0,IF(AND(Units!$K23=0,AD$1=Units!$O23),Units!$R23,IF(AND(AD$1&gt;=Units!$Q23,MOD(AD$1-Units!$Q23,12)=0),IF(AND(Units!$L23=1,AD$1=Units!$Q23),IF(Units!$J23&lt;&gt;"",Units!$J23,Mkt!AD24),Inputs!$B$15*Mkt!AD24+(1-Inputs!$B$15)*MIN(Mkt!AD24,AC24*(1+Inputs!$B$18))),AC24)))</f>
        <v>1905.5</v>
      </c>
      <c r="AE24" s="11" t="n">
        <f aca="false">IF(AE$1&lt;Units!$P23,0,IF(AND(Units!$K23=0,AE$1=Units!$O23),Units!$R23,IF(AND(AE$1&gt;=Units!$Q23,MOD(AE$1-Units!$Q23,12)=0),IF(AND(Units!$L23=1,AE$1=Units!$Q23),IF(Units!$J23&lt;&gt;"",Units!$J23,Mkt!AE24),Inputs!$B$15*Mkt!AE24+(1-Inputs!$B$15)*MIN(Mkt!AE24,AD24*(1+Inputs!$B$18))),AD24)))</f>
        <v>1905.5</v>
      </c>
      <c r="AF24" s="11" t="n">
        <f aca="false">IF(AF$1&lt;Units!$P23,0,IF(AND(Units!$K23=0,AF$1=Units!$O23),Units!$R23,IF(AND(AF$1&gt;=Units!$Q23,MOD(AF$1-Units!$Q23,12)=0),IF(AND(Units!$L23=1,AF$1=Units!$Q23),IF(Units!$J23&lt;&gt;"",Units!$J23,Mkt!AF24),Inputs!$B$15*Mkt!AF24+(1-Inputs!$B$15)*MIN(Mkt!AF24,AE24*(1+Inputs!$B$18))),AE24)))</f>
        <v>1905.5</v>
      </c>
      <c r="AG24" s="11" t="n">
        <f aca="false">IF(AG$1&lt;Units!$P23,0,IF(AND(Units!$K23=0,AG$1=Units!$O23),Units!$R23,IF(AND(AG$1&gt;=Units!$Q23,MOD(AG$1-Units!$Q23,12)=0),IF(AND(Units!$L23=1,AG$1=Units!$Q23),IF(Units!$J23&lt;&gt;"",Units!$J23,Mkt!AG24),Inputs!$B$15*Mkt!AG24+(1-Inputs!$B$15)*MIN(Mkt!AG24,AF24*(1+Inputs!$B$18))),AF24)))</f>
        <v>1905.5</v>
      </c>
      <c r="AH24" s="11" t="n">
        <f aca="false">IF(AH$1&lt;Units!$P23,0,IF(AND(Units!$K23=0,AH$1=Units!$O23),Units!$R23,IF(AND(AH$1&gt;=Units!$Q23,MOD(AH$1-Units!$Q23,12)=0),IF(AND(Units!$L23=1,AH$1=Units!$Q23),IF(Units!$J23&lt;&gt;"",Units!$J23,Mkt!AH24),Inputs!$B$15*Mkt!AH24+(1-Inputs!$B$15)*MIN(Mkt!AH24,AG24*(1+Inputs!$B$18))),AG24)))</f>
        <v>1905.5</v>
      </c>
      <c r="AI24" s="11" t="n">
        <f aca="false">IF(AI$1&lt;Units!$P23,0,IF(AND(Units!$K23=0,AI$1=Units!$O23),Units!$R23,IF(AND(AI$1&gt;=Units!$Q23,MOD(AI$1-Units!$Q23,12)=0),IF(AND(Units!$L23=1,AI$1=Units!$Q23),IF(Units!$J23&lt;&gt;"",Units!$J23,Mkt!AI24),Inputs!$B$15*Mkt!AI24+(1-Inputs!$B$15)*MIN(Mkt!AI24,AH24*(1+Inputs!$B$18))),AH24)))</f>
        <v>1905.5</v>
      </c>
      <c r="AJ24" s="11" t="n">
        <f aca="false">IF(AJ$1&lt;Units!$P23,0,IF(AND(Units!$K23=0,AJ$1=Units!$O23),Units!$R23,IF(AND(AJ$1&gt;=Units!$Q23,MOD(AJ$1-Units!$Q23,12)=0),IF(AND(Units!$L23=1,AJ$1=Units!$Q23),IF(Units!$J23&lt;&gt;"",Units!$J23,Mkt!AJ24),Inputs!$B$15*Mkt!AJ24+(1-Inputs!$B$15)*MIN(Mkt!AJ24,AI24*(1+Inputs!$B$18))),AI24)))</f>
        <v>1962.665</v>
      </c>
      <c r="AK24" s="11" t="n">
        <f aca="false">IF(AK$1&lt;Units!$P23,0,IF(AND(Units!$K23=0,AK$1=Units!$O23),Units!$R23,IF(AND(AK$1&gt;=Units!$Q23,MOD(AK$1-Units!$Q23,12)=0),IF(AND(Units!$L23=1,AK$1=Units!$Q23),IF(Units!$J23&lt;&gt;"",Units!$J23,Mkt!AK24),Inputs!$B$15*Mkt!AK24+(1-Inputs!$B$15)*MIN(Mkt!AK24,AJ24*(1+Inputs!$B$18))),AJ24)))</f>
        <v>1962.665</v>
      </c>
      <c r="AL24" s="11" t="n">
        <f aca="false">IF(AL$1&lt;Units!$P23,0,IF(AND(Units!$K23=0,AL$1=Units!$O23),Units!$R23,IF(AND(AL$1&gt;=Units!$Q23,MOD(AL$1-Units!$Q23,12)=0),IF(AND(Units!$L23=1,AL$1=Units!$Q23),IF(Units!$J23&lt;&gt;"",Units!$J23,Mkt!AL24),Inputs!$B$15*Mkt!AL24+(1-Inputs!$B$15)*MIN(Mkt!AL24,AK24*(1+Inputs!$B$18))),AK24)))</f>
        <v>1962.665</v>
      </c>
      <c r="AM24" s="11" t="n">
        <f aca="false">IF(AM$1&lt;Units!$P23,0,IF(AND(Units!$K23=0,AM$1=Units!$O23),Units!$R23,IF(AND(AM$1&gt;=Units!$Q23,MOD(AM$1-Units!$Q23,12)=0),IF(AND(Units!$L23=1,AM$1=Units!$Q23),IF(Units!$J23&lt;&gt;"",Units!$J23,Mkt!AM24),Inputs!$B$15*Mkt!AM24+(1-Inputs!$B$15)*MIN(Mkt!AM24,AL24*(1+Inputs!$B$18))),AL24)))</f>
        <v>1962.665</v>
      </c>
      <c r="AN24" s="11" t="n">
        <f aca="false">IF(AN$1&lt;Units!$P23,0,IF(AND(Units!$K23=0,AN$1=Units!$O23),Units!$R23,IF(AND(AN$1&gt;=Units!$Q23,MOD(AN$1-Units!$Q23,12)=0),IF(AND(Units!$L23=1,AN$1=Units!$Q23),IF(Units!$J23&lt;&gt;"",Units!$J23,Mkt!AN24),Inputs!$B$15*Mkt!AN24+(1-Inputs!$B$15)*MIN(Mkt!AN24,AM24*(1+Inputs!$B$18))),AM24)))</f>
        <v>1962.665</v>
      </c>
      <c r="AO24" s="11" t="n">
        <f aca="false">IF(AO$1&lt;Units!$P23,0,IF(AND(Units!$K23=0,AO$1=Units!$O23),Units!$R23,IF(AND(AO$1&gt;=Units!$Q23,MOD(AO$1-Units!$Q23,12)=0),IF(AND(Units!$L23=1,AO$1=Units!$Q23),IF(Units!$J23&lt;&gt;"",Units!$J23,Mkt!AO24),Inputs!$B$15*Mkt!AO24+(1-Inputs!$B$15)*MIN(Mkt!AO24,AN24*(1+Inputs!$B$18))),AN24)))</f>
        <v>1962.665</v>
      </c>
      <c r="AP24" s="11" t="n">
        <f aca="false">IF(AP$1&lt;Units!$P23,0,IF(AND(Units!$K23=0,AP$1=Units!$O23),Units!$R23,IF(AND(AP$1&gt;=Units!$Q23,MOD(AP$1-Units!$Q23,12)=0),IF(AND(Units!$L23=1,AP$1=Units!$Q23),IF(Units!$J23&lt;&gt;"",Units!$J23,Mkt!AP24),Inputs!$B$15*Mkt!AP24+(1-Inputs!$B$15)*MIN(Mkt!AP24,AO24*(1+Inputs!$B$18))),AO24)))</f>
        <v>1962.665</v>
      </c>
      <c r="AQ24" s="11" t="n">
        <f aca="false">IF(AQ$1&lt;Units!$P23,0,IF(AND(Units!$K23=0,AQ$1=Units!$O23),Units!$R23,IF(AND(AQ$1&gt;=Units!$Q23,MOD(AQ$1-Units!$Q23,12)=0),IF(AND(Units!$L23=1,AQ$1=Units!$Q23),IF(Units!$J23&lt;&gt;"",Units!$J23,Mkt!AQ24),Inputs!$B$15*Mkt!AQ24+(1-Inputs!$B$15)*MIN(Mkt!AQ24,AP24*(1+Inputs!$B$18))),AP24)))</f>
        <v>1962.665</v>
      </c>
      <c r="AR24" s="11" t="n">
        <f aca="false">IF(AR$1&lt;Units!$P23,0,IF(AND(Units!$K23=0,AR$1=Units!$O23),Units!$R23,IF(AND(AR$1&gt;=Units!$Q23,MOD(AR$1-Units!$Q23,12)=0),IF(AND(Units!$L23=1,AR$1=Units!$Q23),IF(Units!$J23&lt;&gt;"",Units!$J23,Mkt!AR24),Inputs!$B$15*Mkt!AR24+(1-Inputs!$B$15)*MIN(Mkt!AR24,AQ24*(1+Inputs!$B$18))),AQ24)))</f>
        <v>1962.665</v>
      </c>
      <c r="AS24" s="11" t="n">
        <f aca="false">IF(AS$1&lt;Units!$P23,0,IF(AND(Units!$K23=0,AS$1=Units!$O23),Units!$R23,IF(AND(AS$1&gt;=Units!$Q23,MOD(AS$1-Units!$Q23,12)=0),IF(AND(Units!$L23=1,AS$1=Units!$Q23),IF(Units!$J23&lt;&gt;"",Units!$J23,Mkt!AS24),Inputs!$B$15*Mkt!AS24+(1-Inputs!$B$15)*MIN(Mkt!AS24,AR24*(1+Inputs!$B$18))),AR24)))</f>
        <v>1962.665</v>
      </c>
      <c r="AT24" s="11" t="n">
        <f aca="false">IF(AT$1&lt;Units!$P23,0,IF(AND(Units!$K23=0,AT$1=Units!$O23),Units!$R23,IF(AND(AT$1&gt;=Units!$Q23,MOD(AT$1-Units!$Q23,12)=0),IF(AND(Units!$L23=1,AT$1=Units!$Q23),IF(Units!$J23&lt;&gt;"",Units!$J23,Mkt!AT24),Inputs!$B$15*Mkt!AT24+(1-Inputs!$B$15)*MIN(Mkt!AT24,AS24*(1+Inputs!$B$18))),AS24)))</f>
        <v>1962.665</v>
      </c>
      <c r="AU24" s="11" t="n">
        <f aca="false">IF(AU$1&lt;Units!$P23,0,IF(AND(Units!$K23=0,AU$1=Units!$O23),Units!$R23,IF(AND(AU$1&gt;=Units!$Q23,MOD(AU$1-Units!$Q23,12)=0),IF(AND(Units!$L23=1,AU$1=Units!$Q23),IF(Units!$J23&lt;&gt;"",Units!$J23,Mkt!AU24),Inputs!$B$15*Mkt!AU24+(1-Inputs!$B$15)*MIN(Mkt!AU24,AT24*(1+Inputs!$B$18))),AT24)))</f>
        <v>1962.665</v>
      </c>
      <c r="AV24" s="11" t="n">
        <f aca="false">IF(AV$1&lt;Units!$P23,0,IF(AND(Units!$K23=0,AV$1=Units!$O23),Units!$R23,IF(AND(AV$1&gt;=Units!$Q23,MOD(AV$1-Units!$Q23,12)=0),IF(AND(Units!$L23=1,AV$1=Units!$Q23),IF(Units!$J23&lt;&gt;"",Units!$J23,Mkt!AV24),Inputs!$B$15*Mkt!AV24+(1-Inputs!$B$15)*MIN(Mkt!AV24,AU24*(1+Inputs!$B$18))),AU24)))</f>
        <v>2021.54495</v>
      </c>
      <c r="AW24" s="11" t="n">
        <f aca="false">IF(AW$1&lt;Units!$P23,0,IF(AND(Units!$K23=0,AW$1=Units!$O23),Units!$R23,IF(AND(AW$1&gt;=Units!$Q23,MOD(AW$1-Units!$Q23,12)=0),IF(AND(Units!$L23=1,AW$1=Units!$Q23),IF(Units!$J23&lt;&gt;"",Units!$J23,Mkt!AW24),Inputs!$B$15*Mkt!AW24+(1-Inputs!$B$15)*MIN(Mkt!AW24,AV24*(1+Inputs!$B$18))),AV24)))</f>
        <v>2021.54495</v>
      </c>
      <c r="AX24" s="11" t="n">
        <f aca="false">IF(AX$1&lt;Units!$P23,0,IF(AND(Units!$K23=0,AX$1=Units!$O23),Units!$R23,IF(AND(AX$1&gt;=Units!$Q23,MOD(AX$1-Units!$Q23,12)=0),IF(AND(Units!$L23=1,AX$1=Units!$Q23),IF(Units!$J23&lt;&gt;"",Units!$J23,Mkt!AX24),Inputs!$B$15*Mkt!AX24+(1-Inputs!$B$15)*MIN(Mkt!AX24,AW24*(1+Inputs!$B$18))),AW24)))</f>
        <v>2021.54495</v>
      </c>
      <c r="AY24" s="11" t="n">
        <f aca="false">IF(AY$1&lt;Units!$P23,0,IF(AND(Units!$K23=0,AY$1=Units!$O23),Units!$R23,IF(AND(AY$1&gt;=Units!$Q23,MOD(AY$1-Units!$Q23,12)=0),IF(AND(Units!$L23=1,AY$1=Units!$Q23),IF(Units!$J23&lt;&gt;"",Units!$J23,Mkt!AY24),Inputs!$B$15*Mkt!AY24+(1-Inputs!$B$15)*MIN(Mkt!AY24,AX24*(1+Inputs!$B$18))),AX24)))</f>
        <v>2021.54495</v>
      </c>
      <c r="AZ24" s="11" t="n">
        <f aca="false">IF(AZ$1&lt;Units!$P23,0,IF(AND(Units!$K23=0,AZ$1=Units!$O23),Units!$R23,IF(AND(AZ$1&gt;=Units!$Q23,MOD(AZ$1-Units!$Q23,12)=0),IF(AND(Units!$L23=1,AZ$1=Units!$Q23),IF(Units!$J23&lt;&gt;"",Units!$J23,Mkt!AZ24),Inputs!$B$15*Mkt!AZ24+(1-Inputs!$B$15)*MIN(Mkt!AZ24,AY24*(1+Inputs!$B$18))),AY24)))</f>
        <v>2021.54495</v>
      </c>
      <c r="BA24" s="11" t="n">
        <f aca="false">IF(BA$1&lt;Units!$P23,0,IF(AND(Units!$K23=0,BA$1=Units!$O23),Units!$R23,IF(AND(BA$1&gt;=Units!$Q23,MOD(BA$1-Units!$Q23,12)=0),IF(AND(Units!$L23=1,BA$1=Units!$Q23),IF(Units!$J23&lt;&gt;"",Units!$J23,Mkt!BA24),Inputs!$B$15*Mkt!BA24+(1-Inputs!$B$15)*MIN(Mkt!BA24,AZ24*(1+Inputs!$B$18))),AZ24)))</f>
        <v>2021.54495</v>
      </c>
      <c r="BB24" s="11" t="n">
        <f aca="false">IF(BB$1&lt;Units!$P23,0,IF(AND(Units!$K23=0,BB$1=Units!$O23),Units!$R23,IF(AND(BB$1&gt;=Units!$Q23,MOD(BB$1-Units!$Q23,12)=0),IF(AND(Units!$L23=1,BB$1=Units!$Q23),IF(Units!$J23&lt;&gt;"",Units!$J23,Mkt!BB24),Inputs!$B$15*Mkt!BB24+(1-Inputs!$B$15)*MIN(Mkt!BB24,BA24*(1+Inputs!$B$18))),BA24)))</f>
        <v>2021.54495</v>
      </c>
      <c r="BC24" s="11" t="n">
        <f aca="false">IF(BC$1&lt;Units!$P23,0,IF(AND(Units!$K23=0,BC$1=Units!$O23),Units!$R23,IF(AND(BC$1&gt;=Units!$Q23,MOD(BC$1-Units!$Q23,12)=0),IF(AND(Units!$L23=1,BC$1=Units!$Q23),IF(Units!$J23&lt;&gt;"",Units!$J23,Mkt!BC24),Inputs!$B$15*Mkt!BC24+(1-Inputs!$B$15)*MIN(Mkt!BC24,BB24*(1+Inputs!$B$18))),BB24)))</f>
        <v>2021.54495</v>
      </c>
      <c r="BD24" s="11" t="n">
        <f aca="false">IF(BD$1&lt;Units!$P23,0,IF(AND(Units!$K23=0,BD$1=Units!$O23),Units!$R23,IF(AND(BD$1&gt;=Units!$Q23,MOD(BD$1-Units!$Q23,12)=0),IF(AND(Units!$L23=1,BD$1=Units!$Q23),IF(Units!$J23&lt;&gt;"",Units!$J23,Mkt!BD24),Inputs!$B$15*Mkt!BD24+(1-Inputs!$B$15)*MIN(Mkt!BD24,BC24*(1+Inputs!$B$18))),BC24)))</f>
        <v>2021.54495</v>
      </c>
      <c r="BE24" s="11" t="n">
        <f aca="false">IF(BE$1&lt;Units!$P23,0,IF(AND(Units!$K23=0,BE$1=Units!$O23),Units!$R23,IF(AND(BE$1&gt;=Units!$Q23,MOD(BE$1-Units!$Q23,12)=0),IF(AND(Units!$L23=1,BE$1=Units!$Q23),IF(Units!$J23&lt;&gt;"",Units!$J23,Mkt!BE24),Inputs!$B$15*Mkt!BE24+(1-Inputs!$B$15)*MIN(Mkt!BE24,BD24*(1+Inputs!$B$18))),BD24)))</f>
        <v>2021.54495</v>
      </c>
      <c r="BF24" s="11" t="n">
        <f aca="false">IF(BF$1&lt;Units!$P23,0,IF(AND(Units!$K23=0,BF$1=Units!$O23),Units!$R23,IF(AND(BF$1&gt;=Units!$Q23,MOD(BF$1-Units!$Q23,12)=0),IF(AND(Units!$L23=1,BF$1=Units!$Q23),IF(Units!$J23&lt;&gt;"",Units!$J23,Mkt!BF24),Inputs!$B$15*Mkt!BF24+(1-Inputs!$B$15)*MIN(Mkt!BF24,BE24*(1+Inputs!$B$18))),BE24)))</f>
        <v>2021.54495</v>
      </c>
      <c r="BG24" s="11" t="n">
        <f aca="false">IF(BG$1&lt;Units!$P23,0,IF(AND(Units!$K23=0,BG$1=Units!$O23),Units!$R23,IF(AND(BG$1&gt;=Units!$Q23,MOD(BG$1-Units!$Q23,12)=0),IF(AND(Units!$L23=1,BG$1=Units!$Q23),IF(Units!$J23&lt;&gt;"",Units!$J23,Mkt!BG24),Inputs!$B$15*Mkt!BG24+(1-Inputs!$B$15)*MIN(Mkt!BG24,BF24*(1+Inputs!$B$18))),BF24)))</f>
        <v>2021.54495</v>
      </c>
      <c r="BH24" s="11" t="n">
        <f aca="false">IF(BH$1&lt;Units!$P23,0,IF(AND(Units!$K23=0,BH$1=Units!$O23),Units!$R23,IF(AND(BH$1&gt;=Units!$Q23,MOD(BH$1-Units!$Q23,12)=0),IF(AND(Units!$L23=1,BH$1=Units!$Q23),IF(Units!$J23&lt;&gt;"",Units!$J23,Mkt!BH24),Inputs!$B$15*Mkt!BH24+(1-Inputs!$B$15)*MIN(Mkt!BH24,BG24*(1+Inputs!$B$18))),BG24)))</f>
        <v>2082.1912985</v>
      </c>
      <c r="BI24" s="11" t="n">
        <f aca="false">IF(BI$1&lt;Units!$P23,0,IF(AND(Units!$K23=0,BI$1=Units!$O23),Units!$R23,IF(AND(BI$1&gt;=Units!$Q23,MOD(BI$1-Units!$Q23,12)=0),IF(AND(Units!$L23=1,BI$1=Units!$Q23),IF(Units!$J23&lt;&gt;"",Units!$J23,Mkt!BI24),Inputs!$B$15*Mkt!BI24+(1-Inputs!$B$15)*MIN(Mkt!BI24,BH24*(1+Inputs!$B$18))),BH24)))</f>
        <v>2082.1912985</v>
      </c>
      <c r="BJ24" s="11" t="n">
        <f aca="false">IF(BJ$1&lt;Units!$P23,0,IF(AND(Units!$K23=0,BJ$1=Units!$O23),Units!$R23,IF(AND(BJ$1&gt;=Units!$Q23,MOD(BJ$1-Units!$Q23,12)=0),IF(AND(Units!$L23=1,BJ$1=Units!$Q23),IF(Units!$J23&lt;&gt;"",Units!$J23,Mkt!BJ24),Inputs!$B$15*Mkt!BJ24+(1-Inputs!$B$15)*MIN(Mkt!BJ24,BI24*(1+Inputs!$B$18))),BI24)))</f>
        <v>2082.1912985</v>
      </c>
      <c r="BK24" s="11" t="n">
        <f aca="false">IF(BK$1&lt;Units!$P23,0,IF(AND(Units!$K23=0,BK$1=Units!$O23),Units!$R23,IF(AND(BK$1&gt;=Units!$Q23,MOD(BK$1-Units!$Q23,12)=0),IF(AND(Units!$L23=1,BK$1=Units!$Q23),IF(Units!$J23&lt;&gt;"",Units!$J23,Mkt!BK24),Inputs!$B$15*Mkt!BK24+(1-Inputs!$B$15)*MIN(Mkt!BK24,BJ24*(1+Inputs!$B$18))),BJ24)))</f>
        <v>2082.1912985</v>
      </c>
      <c r="BL24" s="11" t="n">
        <f aca="false">IF(BL$1&lt;Units!$P23,0,IF(AND(Units!$K23=0,BL$1=Units!$O23),Units!$R23,IF(AND(BL$1&gt;=Units!$Q23,MOD(BL$1-Units!$Q23,12)=0),IF(AND(Units!$L23=1,BL$1=Units!$Q23),IF(Units!$J23&lt;&gt;"",Units!$J23,Mkt!BL24),Inputs!$B$15*Mkt!BL24+(1-Inputs!$B$15)*MIN(Mkt!BL24,BK24*(1+Inputs!$B$18))),BK24)))</f>
        <v>2082.1912985</v>
      </c>
      <c r="BM24" s="11" t="n">
        <f aca="false">IF(BM$1&lt;Units!$P23,0,IF(AND(Units!$K23=0,BM$1=Units!$O23),Units!$R23,IF(AND(BM$1&gt;=Units!$Q23,MOD(BM$1-Units!$Q23,12)=0),IF(AND(Units!$L23=1,BM$1=Units!$Q23),IF(Units!$J23&lt;&gt;"",Units!$J23,Mkt!BM24),Inputs!$B$15*Mkt!BM24+(1-Inputs!$B$15)*MIN(Mkt!BM24,BL24*(1+Inputs!$B$18))),BL24)))</f>
        <v>2082.1912985</v>
      </c>
      <c r="BN24" s="11" t="n">
        <f aca="false">IF(BN$1&lt;Units!$P23,0,IF(AND(Units!$K23=0,BN$1=Units!$O23),Units!$R23,IF(AND(BN$1&gt;=Units!$Q23,MOD(BN$1-Units!$Q23,12)=0),IF(AND(Units!$L23=1,BN$1=Units!$Q23),IF(Units!$J23&lt;&gt;"",Units!$J23,Mkt!BN24),Inputs!$B$15*Mkt!BN24+(1-Inputs!$B$15)*MIN(Mkt!BN24,BM24*(1+Inputs!$B$18))),BM24)))</f>
        <v>2082.1912985</v>
      </c>
      <c r="BO24" s="11" t="n">
        <f aca="false">IF(BO$1&lt;Units!$P23,0,IF(AND(Units!$K23=0,BO$1=Units!$O23),Units!$R23,IF(AND(BO$1&gt;=Units!$Q23,MOD(BO$1-Units!$Q23,12)=0),IF(AND(Units!$L23=1,BO$1=Units!$Q23),IF(Units!$J23&lt;&gt;"",Units!$J23,Mkt!BO24),Inputs!$B$15*Mkt!BO24+(1-Inputs!$B$15)*MIN(Mkt!BO24,BN24*(1+Inputs!$B$18))),BN24)))</f>
        <v>2082.1912985</v>
      </c>
      <c r="BP24" s="11" t="n">
        <f aca="false">IF(BP$1&lt;Units!$P23,0,IF(AND(Units!$K23=0,BP$1=Units!$O23),Units!$R23,IF(AND(BP$1&gt;=Units!$Q23,MOD(BP$1-Units!$Q23,12)=0),IF(AND(Units!$L23=1,BP$1=Units!$Q23),IF(Units!$J23&lt;&gt;"",Units!$J23,Mkt!BP24),Inputs!$B$15*Mkt!BP24+(1-Inputs!$B$15)*MIN(Mkt!BP24,BO24*(1+Inputs!$B$18))),BO24)))</f>
        <v>2082.1912985</v>
      </c>
      <c r="BQ24" s="11" t="n">
        <f aca="false">IF(BQ$1&lt;Units!$P23,0,IF(AND(Units!$K23=0,BQ$1=Units!$O23),Units!$R23,IF(AND(BQ$1&gt;=Units!$Q23,MOD(BQ$1-Units!$Q23,12)=0),IF(AND(Units!$L23=1,BQ$1=Units!$Q23),IF(Units!$J23&lt;&gt;"",Units!$J23,Mkt!BQ24),Inputs!$B$15*Mkt!BQ24+(1-Inputs!$B$15)*MIN(Mkt!BQ24,BP24*(1+Inputs!$B$18))),BP24)))</f>
        <v>2082.1912985</v>
      </c>
      <c r="BR24" s="11" t="n">
        <f aca="false">IF(BR$1&lt;Units!$P23,0,IF(AND(Units!$K23=0,BR$1=Units!$O23),Units!$R23,IF(AND(BR$1&gt;=Units!$Q23,MOD(BR$1-Units!$Q23,12)=0),IF(AND(Units!$L23=1,BR$1=Units!$Q23),IF(Units!$J23&lt;&gt;"",Units!$J23,Mkt!BR24),Inputs!$B$15*Mkt!BR24+(1-Inputs!$B$15)*MIN(Mkt!BR24,BQ24*(1+Inputs!$B$18))),BQ24)))</f>
        <v>2082.1912985</v>
      </c>
      <c r="BS24" s="11" t="n">
        <f aca="false">IF(BS$1&lt;Units!$P23,0,IF(AND(Units!$K23=0,BS$1=Units!$O23),Units!$R23,IF(AND(BS$1&gt;=Units!$Q23,MOD(BS$1-Units!$Q23,12)=0),IF(AND(Units!$L23=1,BS$1=Units!$Q23),IF(Units!$J23&lt;&gt;"",Units!$J23,Mkt!BS24),Inputs!$B$15*Mkt!BS24+(1-Inputs!$B$15)*MIN(Mkt!BS24,BR24*(1+Inputs!$B$18))),BR24)))</f>
        <v>2082.1912985</v>
      </c>
      <c r="BT24" s="11" t="n">
        <f aca="false">IF(BT$1&lt;Units!$P23,0,IF(AND(Units!$K23=0,BT$1=Units!$O23),Units!$R23,IF(AND(BT$1&gt;=Units!$Q23,MOD(BT$1-Units!$Q23,12)=0),IF(AND(Units!$L23=1,BT$1=Units!$Q23),IF(Units!$J23&lt;&gt;"",Units!$J23,Mkt!BT24),Inputs!$B$15*Mkt!BT24+(1-Inputs!$B$15)*MIN(Mkt!BT24,BS24*(1+Inputs!$B$18))),BS24)))</f>
        <v>2144.657037455</v>
      </c>
      <c r="BU24" s="11" t="n">
        <f aca="false">IF(BU$1&lt;Units!$P23,0,IF(AND(Units!$K23=0,BU$1=Units!$O23),Units!$R23,IF(AND(BU$1&gt;=Units!$Q23,MOD(BU$1-Units!$Q23,12)=0),IF(AND(Units!$L23=1,BU$1=Units!$Q23),IF(Units!$J23&lt;&gt;"",Units!$J23,Mkt!BU24),Inputs!$B$15*Mkt!BU24+(1-Inputs!$B$15)*MIN(Mkt!BU24,BT24*(1+Inputs!$B$18))),BT24)))</f>
        <v>2144.657037455</v>
      </c>
      <c r="BV24" s="11" t="n">
        <f aca="false">IF(BV$1&lt;Units!$P23,0,IF(AND(Units!$K23=0,BV$1=Units!$O23),Units!$R23,IF(AND(BV$1&gt;=Units!$Q23,MOD(BV$1-Units!$Q23,12)=0),IF(AND(Units!$L23=1,BV$1=Units!$Q23),IF(Units!$J23&lt;&gt;"",Units!$J23,Mkt!BV24),Inputs!$B$15*Mkt!BV24+(1-Inputs!$B$15)*MIN(Mkt!BV24,BU24*(1+Inputs!$B$18))),BU24)))</f>
        <v>2144.657037455</v>
      </c>
      <c r="BW24" s="11" t="n">
        <f aca="false">IF(BW$1&lt;Units!$P23,0,IF(AND(Units!$K23=0,BW$1=Units!$O23),Units!$R23,IF(AND(BW$1&gt;=Units!$Q23,MOD(BW$1-Units!$Q23,12)=0),IF(AND(Units!$L23=1,BW$1=Units!$Q23),IF(Units!$J23&lt;&gt;"",Units!$J23,Mkt!BW24),Inputs!$B$15*Mkt!BW24+(1-Inputs!$B$15)*MIN(Mkt!BW24,BV24*(1+Inputs!$B$18))),BV24)))</f>
        <v>2144.657037455</v>
      </c>
      <c r="BX24" s="11" t="n">
        <f aca="false">IF(BX$1&lt;Units!$P23,0,IF(AND(Units!$K23=0,BX$1=Units!$O23),Units!$R23,IF(AND(BX$1&gt;=Units!$Q23,MOD(BX$1-Units!$Q23,12)=0),IF(AND(Units!$L23=1,BX$1=Units!$Q23),IF(Units!$J23&lt;&gt;"",Units!$J23,Mkt!BX24),Inputs!$B$15*Mkt!BX24+(1-Inputs!$B$15)*MIN(Mkt!BX24,BW24*(1+Inputs!$B$18))),BW24)))</f>
        <v>2144.657037455</v>
      </c>
      <c r="BY24" s="11" t="n">
        <f aca="false">IF(BY$1&lt;Units!$P23,0,IF(AND(Units!$K23=0,BY$1=Units!$O23),Units!$R23,IF(AND(BY$1&gt;=Units!$Q23,MOD(BY$1-Units!$Q23,12)=0),IF(AND(Units!$L23=1,BY$1=Units!$Q23),IF(Units!$J23&lt;&gt;"",Units!$J23,Mkt!BY24),Inputs!$B$15*Mkt!BY24+(1-Inputs!$B$15)*MIN(Mkt!BY24,BX24*(1+Inputs!$B$18))),BX24)))</f>
        <v>2144.657037455</v>
      </c>
      <c r="BZ24" s="11" t="n">
        <f aca="false">IF(BZ$1&lt;Units!$P23,0,IF(AND(Units!$K23=0,BZ$1=Units!$O23),Units!$R23,IF(AND(BZ$1&gt;=Units!$Q23,MOD(BZ$1-Units!$Q23,12)=0),IF(AND(Units!$L23=1,BZ$1=Units!$Q23),IF(Units!$J23&lt;&gt;"",Units!$J23,Mkt!BZ24),Inputs!$B$15*Mkt!BZ24+(1-Inputs!$B$15)*MIN(Mkt!BZ24,BY24*(1+Inputs!$B$18))),BY24)))</f>
        <v>2144.657037455</v>
      </c>
      <c r="CA24" s="11" t="n">
        <f aca="false">IF(CA$1&lt;Units!$P23,0,IF(AND(Units!$K23=0,CA$1=Units!$O23),Units!$R23,IF(AND(CA$1&gt;=Units!$Q23,MOD(CA$1-Units!$Q23,12)=0),IF(AND(Units!$L23=1,CA$1=Units!$Q23),IF(Units!$J23&lt;&gt;"",Units!$J23,Mkt!CA24),Inputs!$B$15*Mkt!CA24+(1-Inputs!$B$15)*MIN(Mkt!CA24,BZ24*(1+Inputs!$B$18))),BZ24)))</f>
        <v>2144.657037455</v>
      </c>
      <c r="CB24" s="11" t="n">
        <f aca="false">IF(CB$1&lt;Units!$P23,0,IF(AND(Units!$K23=0,CB$1=Units!$O23),Units!$R23,IF(AND(CB$1&gt;=Units!$Q23,MOD(CB$1-Units!$Q23,12)=0),IF(AND(Units!$L23=1,CB$1=Units!$Q23),IF(Units!$J23&lt;&gt;"",Units!$J23,Mkt!CB24),Inputs!$B$15*Mkt!CB24+(1-Inputs!$B$15)*MIN(Mkt!CB24,CA24*(1+Inputs!$B$18))),CA24)))</f>
        <v>2144.657037455</v>
      </c>
      <c r="CC24" s="11" t="n">
        <f aca="false">IF(CC$1&lt;Units!$P23,0,IF(AND(Units!$K23=0,CC$1=Units!$O23),Units!$R23,IF(AND(CC$1&gt;=Units!$Q23,MOD(CC$1-Units!$Q23,12)=0),IF(AND(Units!$L23=1,CC$1=Units!$Q23),IF(Units!$J23&lt;&gt;"",Units!$J23,Mkt!CC24),Inputs!$B$15*Mkt!CC24+(1-Inputs!$B$15)*MIN(Mkt!CC24,CB24*(1+Inputs!$B$18))),CB24)))</f>
        <v>2144.657037455</v>
      </c>
      <c r="CD24" s="11" t="n">
        <f aca="false">IF(CD$1&lt;Units!$P23,0,IF(AND(Units!$K23=0,CD$1=Units!$O23),Units!$R23,IF(AND(CD$1&gt;=Units!$Q23,MOD(CD$1-Units!$Q23,12)=0),IF(AND(Units!$L23=1,CD$1=Units!$Q23),IF(Units!$J23&lt;&gt;"",Units!$J23,Mkt!CD24),Inputs!$B$15*Mkt!CD24+(1-Inputs!$B$15)*MIN(Mkt!CD24,CC24*(1+Inputs!$B$18))),CC24)))</f>
        <v>2144.657037455</v>
      </c>
      <c r="CE24" s="11" t="n">
        <f aca="false">IF(CE$1&lt;Units!$P23,0,IF(AND(Units!$K23=0,CE$1=Units!$O23),Units!$R23,IF(AND(CE$1&gt;=Units!$Q23,MOD(CE$1-Units!$Q23,12)=0),IF(AND(Units!$L23=1,CE$1=Units!$Q23),IF(Units!$J23&lt;&gt;"",Units!$J23,Mkt!CE24),Inputs!$B$15*Mkt!CE24+(1-Inputs!$B$15)*MIN(Mkt!CE24,CD24*(1+Inputs!$B$18))),CD24)))</f>
        <v>2144.657037455</v>
      </c>
      <c r="CF24" s="11" t="n">
        <f aca="false">IF(CF$1&lt;Units!$P23,0,IF(AND(Units!$K23=0,CF$1=Units!$O23),Units!$R23,IF(AND(CF$1&gt;=Units!$Q23,MOD(CF$1-Units!$Q23,12)=0),IF(AND(Units!$L23=1,CF$1=Units!$Q23),IF(Units!$J23&lt;&gt;"",Units!$J23,Mkt!CF24),Inputs!$B$15*Mkt!CF24+(1-Inputs!$B$15)*MIN(Mkt!CF24,CE24*(1+Inputs!$B$18))),CE24)))</f>
        <v>2208.99674857865</v>
      </c>
      <c r="CG24" s="11" t="n">
        <f aca="false">IF(CG$1&lt;Units!$P23,0,IF(AND(Units!$K23=0,CG$1=Units!$O23),Units!$R23,IF(AND(CG$1&gt;=Units!$Q23,MOD(CG$1-Units!$Q23,12)=0),IF(AND(Units!$L23=1,CG$1=Units!$Q23),IF(Units!$J23&lt;&gt;"",Units!$J23,Mkt!CG24),Inputs!$B$15*Mkt!CG24+(1-Inputs!$B$15)*MIN(Mkt!CG24,CF24*(1+Inputs!$B$18))),CF24)))</f>
        <v>2208.99674857865</v>
      </c>
      <c r="CH24" s="11" t="n">
        <f aca="false">IF(CH$1&lt;Units!$P23,0,IF(AND(Units!$K23=0,CH$1=Units!$O23),Units!$R23,IF(AND(CH$1&gt;=Units!$Q23,MOD(CH$1-Units!$Q23,12)=0),IF(AND(Units!$L23=1,CH$1=Units!$Q23),IF(Units!$J23&lt;&gt;"",Units!$J23,Mkt!CH24),Inputs!$B$15*Mkt!CH24+(1-Inputs!$B$15)*MIN(Mkt!CH24,CG24*(1+Inputs!$B$18))),CG24)))</f>
        <v>2208.99674857865</v>
      </c>
      <c r="CI24" s="11" t="n">
        <f aca="false">IF(CI$1&lt;Units!$P23,0,IF(AND(Units!$K23=0,CI$1=Units!$O23),Units!$R23,IF(AND(CI$1&gt;=Units!$Q23,MOD(CI$1-Units!$Q23,12)=0),IF(AND(Units!$L23=1,CI$1=Units!$Q23),IF(Units!$J23&lt;&gt;"",Units!$J23,Mkt!CI24),Inputs!$B$15*Mkt!CI24+(1-Inputs!$B$15)*MIN(Mkt!CI24,CH24*(1+Inputs!$B$18))),CH24)))</f>
        <v>2208.99674857865</v>
      </c>
      <c r="CJ24" s="11" t="n">
        <f aca="false">IF(CJ$1&lt;Units!$P23,0,IF(AND(Units!$K23=0,CJ$1=Units!$O23),Units!$R23,IF(AND(CJ$1&gt;=Units!$Q23,MOD(CJ$1-Units!$Q23,12)=0),IF(AND(Units!$L23=1,CJ$1=Units!$Q23),IF(Units!$J23&lt;&gt;"",Units!$J23,Mkt!CJ24),Inputs!$B$15*Mkt!CJ24+(1-Inputs!$B$15)*MIN(Mkt!CJ24,CI24*(1+Inputs!$B$18))),CI24)))</f>
        <v>2208.99674857865</v>
      </c>
      <c r="CK24" s="11" t="n">
        <f aca="false">IF(CK$1&lt;Units!$P23,0,IF(AND(Units!$K23=0,CK$1=Units!$O23),Units!$R23,IF(AND(CK$1&gt;=Units!$Q23,MOD(CK$1-Units!$Q23,12)=0),IF(AND(Units!$L23=1,CK$1=Units!$Q23),IF(Units!$J23&lt;&gt;"",Units!$J23,Mkt!CK24),Inputs!$B$15*Mkt!CK24+(1-Inputs!$B$15)*MIN(Mkt!CK24,CJ24*(1+Inputs!$B$18))),CJ24)))</f>
        <v>2208.99674857865</v>
      </c>
      <c r="CL24" s="11" t="n">
        <f aca="false">IF(CL$1&lt;Units!$P23,0,IF(AND(Units!$K23=0,CL$1=Units!$O23),Units!$R23,IF(AND(CL$1&gt;=Units!$Q23,MOD(CL$1-Units!$Q23,12)=0),IF(AND(Units!$L23=1,CL$1=Units!$Q23),IF(Units!$J23&lt;&gt;"",Units!$J23,Mkt!CL24),Inputs!$B$15*Mkt!CL24+(1-Inputs!$B$15)*MIN(Mkt!CL24,CK24*(1+Inputs!$B$18))),CK24)))</f>
        <v>2208.99674857865</v>
      </c>
      <c r="CM24" s="11" t="n">
        <f aca="false">IF(CM$1&lt;Units!$P23,0,IF(AND(Units!$K23=0,CM$1=Units!$O23),Units!$R23,IF(AND(CM$1&gt;=Units!$Q23,MOD(CM$1-Units!$Q23,12)=0),IF(AND(Units!$L23=1,CM$1=Units!$Q23),IF(Units!$J23&lt;&gt;"",Units!$J23,Mkt!CM24),Inputs!$B$15*Mkt!CM24+(1-Inputs!$B$15)*MIN(Mkt!CM24,CL24*(1+Inputs!$B$18))),CL24)))</f>
        <v>2208.99674857865</v>
      </c>
      <c r="CN24" s="11" t="n">
        <f aca="false">IF(CN$1&lt;Units!$P23,0,IF(AND(Units!$K23=0,CN$1=Units!$O23),Units!$R23,IF(AND(CN$1&gt;=Units!$Q23,MOD(CN$1-Units!$Q23,12)=0),IF(AND(Units!$L23=1,CN$1=Units!$Q23),IF(Units!$J23&lt;&gt;"",Units!$J23,Mkt!CN24),Inputs!$B$15*Mkt!CN24+(1-Inputs!$B$15)*MIN(Mkt!CN24,CM24*(1+Inputs!$B$18))),CM24)))</f>
        <v>2208.99674857865</v>
      </c>
      <c r="CO24" s="11" t="n">
        <f aca="false">IF(CO$1&lt;Units!$P23,0,IF(AND(Units!$K23=0,CO$1=Units!$O23),Units!$R23,IF(AND(CO$1&gt;=Units!$Q23,MOD(CO$1-Units!$Q23,12)=0),IF(AND(Units!$L23=1,CO$1=Units!$Q23),IF(Units!$J23&lt;&gt;"",Units!$J23,Mkt!CO24),Inputs!$B$15*Mkt!CO24+(1-Inputs!$B$15)*MIN(Mkt!CO24,CN24*(1+Inputs!$B$18))),CN24)))</f>
        <v>2208.99674857865</v>
      </c>
      <c r="CP24" s="11" t="n">
        <f aca="false">IF(CP$1&lt;Units!$P23,0,IF(AND(Units!$K23=0,CP$1=Units!$O23),Units!$R23,IF(AND(CP$1&gt;=Units!$Q23,MOD(CP$1-Units!$Q23,12)=0),IF(AND(Units!$L23=1,CP$1=Units!$Q23),IF(Units!$J23&lt;&gt;"",Units!$J23,Mkt!CP24),Inputs!$B$15*Mkt!CP24+(1-Inputs!$B$15)*MIN(Mkt!CP24,CO24*(1+Inputs!$B$18))),CO24)))</f>
        <v>2208.99674857865</v>
      </c>
      <c r="CQ24" s="11" t="n">
        <f aca="false">IF(CQ$1&lt;Units!$P23,0,IF(AND(Units!$K23=0,CQ$1=Units!$O23),Units!$R23,IF(AND(CQ$1&gt;=Units!$Q23,MOD(CQ$1-Units!$Q23,12)=0),IF(AND(Units!$L23=1,CQ$1=Units!$Q23),IF(Units!$J23&lt;&gt;"",Units!$J23,Mkt!CQ24),Inputs!$B$15*Mkt!CQ24+(1-Inputs!$B$15)*MIN(Mkt!CQ24,CP24*(1+Inputs!$B$18))),CP24)))</f>
        <v>2208.99674857865</v>
      </c>
      <c r="CR24" s="11" t="n">
        <f aca="false">IF(CR$1&lt;Units!$P23,0,IF(AND(Units!$K23=0,CR$1=Units!$O23),Units!$R23,IF(AND(CR$1&gt;=Units!$Q23,MOD(CR$1-Units!$Q23,12)=0),IF(AND(Units!$L23=1,CR$1=Units!$Q23),IF(Units!$J23&lt;&gt;"",Units!$J23,Mkt!CR24),Inputs!$B$15*Mkt!CR24+(1-Inputs!$B$15)*MIN(Mkt!CR24,CQ24*(1+Inputs!$B$18))),CQ24)))</f>
        <v>2275.26665103601</v>
      </c>
      <c r="CS24" s="11" t="n">
        <f aca="false">IF(CS$1&lt;Units!$P23,0,IF(AND(Units!$K23=0,CS$1=Units!$O23),Units!$R23,IF(AND(CS$1&gt;=Units!$Q23,MOD(CS$1-Units!$Q23,12)=0),IF(AND(Units!$L23=1,CS$1=Units!$Q23),IF(Units!$J23&lt;&gt;"",Units!$J23,Mkt!CS24),Inputs!$B$15*Mkt!CS24+(1-Inputs!$B$15)*MIN(Mkt!CS24,CR24*(1+Inputs!$B$18))),CR24)))</f>
        <v>2275.26665103601</v>
      </c>
      <c r="CT24" s="11" t="n">
        <f aca="false">IF(CT$1&lt;Units!$P23,0,IF(AND(Units!$K23=0,CT$1=Units!$O23),Units!$R23,IF(AND(CT$1&gt;=Units!$Q23,MOD(CT$1-Units!$Q23,12)=0),IF(AND(Units!$L23=1,CT$1=Units!$Q23),IF(Units!$J23&lt;&gt;"",Units!$J23,Mkt!CT24),Inputs!$B$15*Mkt!CT24+(1-Inputs!$B$15)*MIN(Mkt!CT24,CS24*(1+Inputs!$B$18))),CS24)))</f>
        <v>2275.26665103601</v>
      </c>
      <c r="CU24" s="11" t="n">
        <f aca="false">IF(CU$1&lt;Units!$P23,0,IF(AND(Units!$K23=0,CU$1=Units!$O23),Units!$R23,IF(AND(CU$1&gt;=Units!$Q23,MOD(CU$1-Units!$Q23,12)=0),IF(AND(Units!$L23=1,CU$1=Units!$Q23),IF(Units!$J23&lt;&gt;"",Units!$J23,Mkt!CU24),Inputs!$B$15*Mkt!CU24+(1-Inputs!$B$15)*MIN(Mkt!CU24,CT24*(1+Inputs!$B$18))),CT24)))</f>
        <v>2275.26665103601</v>
      </c>
      <c r="CV24" s="11" t="n">
        <f aca="false">IF(CV$1&lt;Units!$P23,0,IF(AND(Units!$K23=0,CV$1=Units!$O23),Units!$R23,IF(AND(CV$1&gt;=Units!$Q23,MOD(CV$1-Units!$Q23,12)=0),IF(AND(Units!$L23=1,CV$1=Units!$Q23),IF(Units!$J23&lt;&gt;"",Units!$J23,Mkt!CV24),Inputs!$B$15*Mkt!CV24+(1-Inputs!$B$15)*MIN(Mkt!CV24,CU24*(1+Inputs!$B$18))),CU24)))</f>
        <v>2275.26665103601</v>
      </c>
      <c r="CW24" s="11" t="n">
        <f aca="false">IF(CW$1&lt;Units!$P23,0,IF(AND(Units!$K23=0,CW$1=Units!$O23),Units!$R23,IF(AND(CW$1&gt;=Units!$Q23,MOD(CW$1-Units!$Q23,12)=0),IF(AND(Units!$L23=1,CW$1=Units!$Q23),IF(Units!$J23&lt;&gt;"",Units!$J23,Mkt!CW24),Inputs!$B$15*Mkt!CW24+(1-Inputs!$B$15)*MIN(Mkt!CW24,CV24*(1+Inputs!$B$18))),CV24)))</f>
        <v>2275.26665103601</v>
      </c>
      <c r="CX24" s="11" t="n">
        <f aca="false">IF(CX$1&lt;Units!$P23,0,IF(AND(Units!$K23=0,CX$1=Units!$O23),Units!$R23,IF(AND(CX$1&gt;=Units!$Q23,MOD(CX$1-Units!$Q23,12)=0),IF(AND(Units!$L23=1,CX$1=Units!$Q23),IF(Units!$J23&lt;&gt;"",Units!$J23,Mkt!CX24),Inputs!$B$15*Mkt!CX24+(1-Inputs!$B$15)*MIN(Mkt!CX24,CW24*(1+Inputs!$B$18))),CW24)))</f>
        <v>2275.26665103601</v>
      </c>
      <c r="CY24" s="11" t="n">
        <f aca="false">IF(CY$1&lt;Units!$P23,0,IF(AND(Units!$K23=0,CY$1=Units!$O23),Units!$R23,IF(AND(CY$1&gt;=Units!$Q23,MOD(CY$1-Units!$Q23,12)=0),IF(AND(Units!$L23=1,CY$1=Units!$Q23),IF(Units!$J23&lt;&gt;"",Units!$J23,Mkt!CY24),Inputs!$B$15*Mkt!CY24+(1-Inputs!$B$15)*MIN(Mkt!CY24,CX24*(1+Inputs!$B$18))),CX24)))</f>
        <v>2275.26665103601</v>
      </c>
      <c r="CZ24" s="11" t="n">
        <f aca="false">IF(CZ$1&lt;Units!$P23,0,IF(AND(Units!$K23=0,CZ$1=Units!$O23),Units!$R23,IF(AND(CZ$1&gt;=Units!$Q23,MOD(CZ$1-Units!$Q23,12)=0),IF(AND(Units!$L23=1,CZ$1=Units!$Q23),IF(Units!$J23&lt;&gt;"",Units!$J23,Mkt!CZ24),Inputs!$B$15*Mkt!CZ24+(1-Inputs!$B$15)*MIN(Mkt!CZ24,CY24*(1+Inputs!$B$18))),CY24)))</f>
        <v>2275.26665103601</v>
      </c>
      <c r="DA24" s="11" t="n">
        <f aca="false">IF(DA$1&lt;Units!$P23,0,IF(AND(Units!$K23=0,DA$1=Units!$O23),Units!$R23,IF(AND(DA$1&gt;=Units!$Q23,MOD(DA$1-Units!$Q23,12)=0),IF(AND(Units!$L23=1,DA$1=Units!$Q23),IF(Units!$J23&lt;&gt;"",Units!$J23,Mkt!DA24),Inputs!$B$15*Mkt!DA24+(1-Inputs!$B$15)*MIN(Mkt!DA24,CZ24*(1+Inputs!$B$18))),CZ24)))</f>
        <v>2275.26665103601</v>
      </c>
      <c r="DB24" s="11" t="n">
        <f aca="false">IF(DB$1&lt;Units!$P23,0,IF(AND(Units!$K23=0,DB$1=Units!$O23),Units!$R23,IF(AND(DB$1&gt;=Units!$Q23,MOD(DB$1-Units!$Q23,12)=0),IF(AND(Units!$L23=1,DB$1=Units!$Q23),IF(Units!$J23&lt;&gt;"",Units!$J23,Mkt!DB24),Inputs!$B$15*Mkt!DB24+(1-Inputs!$B$15)*MIN(Mkt!DB24,DA24*(1+Inputs!$B$18))),DA24)))</f>
        <v>2275.26665103601</v>
      </c>
      <c r="DC24" s="11" t="n">
        <f aca="false">IF(DC$1&lt;Units!$P23,0,IF(AND(Units!$K23=0,DC$1=Units!$O23),Units!$R23,IF(AND(DC$1&gt;=Units!$Q23,MOD(DC$1-Units!$Q23,12)=0),IF(AND(Units!$L23=1,DC$1=Units!$Q23),IF(Units!$J23&lt;&gt;"",Units!$J23,Mkt!DC24),Inputs!$B$15*Mkt!DC24+(1-Inputs!$B$15)*MIN(Mkt!DC24,DB24*(1+Inputs!$B$18))),DB24)))</f>
        <v>2275.26665103601</v>
      </c>
      <c r="DD24" s="11" t="n">
        <f aca="false">IF(DD$1&lt;Units!$P23,0,IF(AND(Units!$K23=0,DD$1=Units!$O23),Units!$R23,IF(AND(DD$1&gt;=Units!$Q23,MOD(DD$1-Units!$Q23,12)=0),IF(AND(Units!$L23=1,DD$1=Units!$Q23),IF(Units!$J23&lt;&gt;"",Units!$J23,Mkt!DD24),Inputs!$B$15*Mkt!DD24+(1-Inputs!$B$15)*MIN(Mkt!DD24,DC24*(1+Inputs!$B$18))),DC24)))</f>
        <v>2343.52465056709</v>
      </c>
      <c r="DE24" s="11" t="n">
        <f aca="false">IF(DE$1&lt;Units!$P23,0,IF(AND(Units!$K23=0,DE$1=Units!$O23),Units!$R23,IF(AND(DE$1&gt;=Units!$Q23,MOD(DE$1-Units!$Q23,12)=0),IF(AND(Units!$L23=1,DE$1=Units!$Q23),IF(Units!$J23&lt;&gt;"",Units!$J23,Mkt!DE24),Inputs!$B$15*Mkt!DE24+(1-Inputs!$B$15)*MIN(Mkt!DE24,DD24*(1+Inputs!$B$18))),DD24)))</f>
        <v>2343.52465056709</v>
      </c>
      <c r="DF24" s="11" t="n">
        <f aca="false">IF(DF$1&lt;Units!$P23,0,IF(AND(Units!$K23=0,DF$1=Units!$O23),Units!$R23,IF(AND(DF$1&gt;=Units!$Q23,MOD(DF$1-Units!$Q23,12)=0),IF(AND(Units!$L23=1,DF$1=Units!$Q23),IF(Units!$J23&lt;&gt;"",Units!$J23,Mkt!DF24),Inputs!$B$15*Mkt!DF24+(1-Inputs!$B$15)*MIN(Mkt!DF24,DE24*(1+Inputs!$B$18))),DE24)))</f>
        <v>2343.52465056709</v>
      </c>
      <c r="DG24" s="11" t="n">
        <f aca="false">IF(DG$1&lt;Units!$P23,0,IF(AND(Units!$K23=0,DG$1=Units!$O23),Units!$R23,IF(AND(DG$1&gt;=Units!$Q23,MOD(DG$1-Units!$Q23,12)=0),IF(AND(Units!$L23=1,DG$1=Units!$Q23),IF(Units!$J23&lt;&gt;"",Units!$J23,Mkt!DG24),Inputs!$B$15*Mkt!DG24+(1-Inputs!$B$15)*MIN(Mkt!DG24,DF24*(1+Inputs!$B$18))),DF24)))</f>
        <v>2343.52465056709</v>
      </c>
      <c r="DH24" s="11" t="n">
        <f aca="false">IF(DH$1&lt;Units!$P23,0,IF(AND(Units!$K23=0,DH$1=Units!$O23),Units!$R23,IF(AND(DH$1&gt;=Units!$Q23,MOD(DH$1-Units!$Q23,12)=0),IF(AND(Units!$L23=1,DH$1=Units!$Q23),IF(Units!$J23&lt;&gt;"",Units!$J23,Mkt!DH24),Inputs!$B$15*Mkt!DH24+(1-Inputs!$B$15)*MIN(Mkt!DH24,DG24*(1+Inputs!$B$18))),DG24)))</f>
        <v>2343.52465056709</v>
      </c>
      <c r="DI24" s="11" t="n">
        <f aca="false">IF(DI$1&lt;Units!$P23,0,IF(AND(Units!$K23=0,DI$1=Units!$O23),Units!$R23,IF(AND(DI$1&gt;=Units!$Q23,MOD(DI$1-Units!$Q23,12)=0),IF(AND(Units!$L23=1,DI$1=Units!$Q23),IF(Units!$J23&lt;&gt;"",Units!$J23,Mkt!DI24),Inputs!$B$15*Mkt!DI24+(1-Inputs!$B$15)*MIN(Mkt!DI24,DH24*(1+Inputs!$B$18))),DH24)))</f>
        <v>2343.52465056709</v>
      </c>
      <c r="DJ24" s="11" t="n">
        <f aca="false">IF(DJ$1&lt;Units!$P23,0,IF(AND(Units!$K23=0,DJ$1=Units!$O23),Units!$R23,IF(AND(DJ$1&gt;=Units!$Q23,MOD(DJ$1-Units!$Q23,12)=0),IF(AND(Units!$L23=1,DJ$1=Units!$Q23),IF(Units!$J23&lt;&gt;"",Units!$J23,Mkt!DJ24),Inputs!$B$15*Mkt!DJ24+(1-Inputs!$B$15)*MIN(Mkt!DJ24,DI24*(1+Inputs!$B$18))),DI24)))</f>
        <v>2343.52465056709</v>
      </c>
      <c r="DK24" s="11" t="n">
        <f aca="false">IF(DK$1&lt;Units!$P23,0,IF(AND(Units!$K23=0,DK$1=Units!$O23),Units!$R23,IF(AND(DK$1&gt;=Units!$Q23,MOD(DK$1-Units!$Q23,12)=0),IF(AND(Units!$L23=1,DK$1=Units!$Q23),IF(Units!$J23&lt;&gt;"",Units!$J23,Mkt!DK24),Inputs!$B$15*Mkt!DK24+(1-Inputs!$B$15)*MIN(Mkt!DK24,DJ24*(1+Inputs!$B$18))),DJ24)))</f>
        <v>2343.52465056709</v>
      </c>
      <c r="DL24" s="11" t="n">
        <f aca="false">IF(DL$1&lt;Units!$P23,0,IF(AND(Units!$K23=0,DL$1=Units!$O23),Units!$R23,IF(AND(DL$1&gt;=Units!$Q23,MOD(DL$1-Units!$Q23,12)=0),IF(AND(Units!$L23=1,DL$1=Units!$Q23),IF(Units!$J23&lt;&gt;"",Units!$J23,Mkt!DL24),Inputs!$B$15*Mkt!DL24+(1-Inputs!$B$15)*MIN(Mkt!DL24,DK24*(1+Inputs!$B$18))),DK24)))</f>
        <v>2343.52465056709</v>
      </c>
      <c r="DM24" s="11" t="n">
        <f aca="false">IF(DM$1&lt;Units!$P23,0,IF(AND(Units!$K23=0,DM$1=Units!$O23),Units!$R23,IF(AND(DM$1&gt;=Units!$Q23,MOD(DM$1-Units!$Q23,12)=0),IF(AND(Units!$L23=1,DM$1=Units!$Q23),IF(Units!$J23&lt;&gt;"",Units!$J23,Mkt!DM24),Inputs!$B$15*Mkt!DM24+(1-Inputs!$B$15)*MIN(Mkt!DM24,DL24*(1+Inputs!$B$18))),DL24)))</f>
        <v>2343.52465056709</v>
      </c>
      <c r="DN24" s="11" t="n">
        <f aca="false">IF(DN$1&lt;Units!$P23,0,IF(AND(Units!$K23=0,DN$1=Units!$O23),Units!$R23,IF(AND(DN$1&gt;=Units!$Q23,MOD(DN$1-Units!$Q23,12)=0),IF(AND(Units!$L23=1,DN$1=Units!$Q23),IF(Units!$J23&lt;&gt;"",Units!$J23,Mkt!DN24),Inputs!$B$15*Mkt!DN24+(1-Inputs!$B$15)*MIN(Mkt!DN24,DM24*(1+Inputs!$B$18))),DM24)))</f>
        <v>2343.52465056709</v>
      </c>
      <c r="DO24" s="11" t="n">
        <f aca="false">IF(DO$1&lt;Units!$P23,0,IF(AND(Units!$K23=0,DO$1=Units!$O23),Units!$R23,IF(AND(DO$1&gt;=Units!$Q23,MOD(DO$1-Units!$Q23,12)=0),IF(AND(Units!$L23=1,DO$1=Units!$Q23),IF(Units!$J23&lt;&gt;"",Units!$J23,Mkt!DO24),Inputs!$B$15*Mkt!DO24+(1-Inputs!$B$15)*MIN(Mkt!DO24,DN24*(1+Inputs!$B$18))),DN24)))</f>
        <v>2343.52465056709</v>
      </c>
      <c r="DP24" s="11" t="n">
        <f aca="false">IF(DP$1&lt;Units!$P23,0,IF(AND(Units!$K23=0,DP$1=Units!$O23),Units!$R23,IF(AND(DP$1&gt;=Units!$Q23,MOD(DP$1-Units!$Q23,12)=0),IF(AND(Units!$L23=1,DP$1=Units!$Q23),IF(Units!$J23&lt;&gt;"",Units!$J23,Mkt!DP24),Inputs!$B$15*Mkt!DP24+(1-Inputs!$B$15)*MIN(Mkt!DP24,DO24*(1+Inputs!$B$18))),DO24)))</f>
        <v>2413.8303900841</v>
      </c>
      <c r="DQ24" s="11" t="n">
        <f aca="false">IF(DQ$1&lt;Units!$P23,0,IF(AND(Units!$K23=0,DQ$1=Units!$O23),Units!$R23,IF(AND(DQ$1&gt;=Units!$Q23,MOD(DQ$1-Units!$Q23,12)=0),IF(AND(Units!$L23=1,DQ$1=Units!$Q23),IF(Units!$J23&lt;&gt;"",Units!$J23,Mkt!DQ24),Inputs!$B$15*Mkt!DQ24+(1-Inputs!$B$15)*MIN(Mkt!DQ24,DP24*(1+Inputs!$B$18))),DP24)))</f>
        <v>2413.8303900841</v>
      </c>
      <c r="DR24" s="11" t="n">
        <f aca="false">IF(DR$1&lt;Units!$P23,0,IF(AND(Units!$K23=0,DR$1=Units!$O23),Units!$R23,IF(AND(DR$1&gt;=Units!$Q23,MOD(DR$1-Units!$Q23,12)=0),IF(AND(Units!$L23=1,DR$1=Units!$Q23),IF(Units!$J23&lt;&gt;"",Units!$J23,Mkt!DR24),Inputs!$B$15*Mkt!DR24+(1-Inputs!$B$15)*MIN(Mkt!DR24,DQ24*(1+Inputs!$B$18))),DQ24)))</f>
        <v>2413.8303900841</v>
      </c>
      <c r="DS24" s="11" t="n">
        <f aca="false">IF(DS$1&lt;Units!$P23,0,IF(AND(Units!$K23=0,DS$1=Units!$O23),Units!$R23,IF(AND(DS$1&gt;=Units!$Q23,MOD(DS$1-Units!$Q23,12)=0),IF(AND(Units!$L23=1,DS$1=Units!$Q23),IF(Units!$J23&lt;&gt;"",Units!$J23,Mkt!DS24),Inputs!$B$15*Mkt!DS24+(1-Inputs!$B$15)*MIN(Mkt!DS24,DR24*(1+Inputs!$B$18))),DR24)))</f>
        <v>2413.8303900841</v>
      </c>
      <c r="DT24" s="11" t="n">
        <f aca="false">IF(DT$1&lt;Units!$P23,0,IF(AND(Units!$K23=0,DT$1=Units!$O23),Units!$R23,IF(AND(DT$1&gt;=Units!$Q23,MOD(DT$1-Units!$Q23,12)=0),IF(AND(Units!$L23=1,DT$1=Units!$Q23),IF(Units!$J23&lt;&gt;"",Units!$J23,Mkt!DT24),Inputs!$B$15*Mkt!DT24+(1-Inputs!$B$15)*MIN(Mkt!DT24,DS24*(1+Inputs!$B$18))),DS24)))</f>
        <v>2413.8303900841</v>
      </c>
      <c r="DU24" s="11" t="n">
        <f aca="false">IF(DU$1&lt;Units!$P23,0,IF(AND(Units!$K23=0,DU$1=Units!$O23),Units!$R23,IF(AND(DU$1&gt;=Units!$Q23,MOD(DU$1-Units!$Q23,12)=0),IF(AND(Units!$L23=1,DU$1=Units!$Q23),IF(Units!$J23&lt;&gt;"",Units!$J23,Mkt!DU24),Inputs!$B$15*Mkt!DU24+(1-Inputs!$B$15)*MIN(Mkt!DU24,DT24*(1+Inputs!$B$18))),DT24)))</f>
        <v>2413.8303900841</v>
      </c>
      <c r="DV24" s="11" t="n">
        <f aca="false">IF(DV$1&lt;Units!$P23,0,IF(AND(Units!$K23=0,DV$1=Units!$O23),Units!$R23,IF(AND(DV$1&gt;=Units!$Q23,MOD(DV$1-Units!$Q23,12)=0),IF(AND(Units!$L23=1,DV$1=Units!$Q23),IF(Units!$J23&lt;&gt;"",Units!$J23,Mkt!DV24),Inputs!$B$15*Mkt!DV24+(1-Inputs!$B$15)*MIN(Mkt!DV24,DU24*(1+Inputs!$B$18))),DU24)))</f>
        <v>2413.8303900841</v>
      </c>
      <c r="DW24" s="11" t="n">
        <f aca="false">IF(DW$1&lt;Units!$P23,0,IF(AND(Units!$K23=0,DW$1=Units!$O23),Units!$R23,IF(AND(DW$1&gt;=Units!$Q23,MOD(DW$1-Units!$Q23,12)=0),IF(AND(Units!$L23=1,DW$1=Units!$Q23),IF(Units!$J23&lt;&gt;"",Units!$J23,Mkt!DW24),Inputs!$B$15*Mkt!DW24+(1-Inputs!$B$15)*MIN(Mkt!DW24,DV24*(1+Inputs!$B$18))),DV24)))</f>
        <v>2413.8303900841</v>
      </c>
      <c r="DX24" s="11" t="n">
        <f aca="false">IF(DX$1&lt;Units!$P23,0,IF(AND(Units!$K23=0,DX$1=Units!$O23),Units!$R23,IF(AND(DX$1&gt;=Units!$Q23,MOD(DX$1-Units!$Q23,12)=0),IF(AND(Units!$L23=1,DX$1=Units!$Q23),IF(Units!$J23&lt;&gt;"",Units!$J23,Mkt!DX24),Inputs!$B$15*Mkt!DX24+(1-Inputs!$B$15)*MIN(Mkt!DX24,DW24*(1+Inputs!$B$18))),DW24)))</f>
        <v>2413.8303900841</v>
      </c>
      <c r="DY24" s="11" t="n">
        <f aca="false">IF(DY$1&lt;Units!$P23,0,IF(AND(Units!$K23=0,DY$1=Units!$O23),Units!$R23,IF(AND(DY$1&gt;=Units!$Q23,MOD(DY$1-Units!$Q23,12)=0),IF(AND(Units!$L23=1,DY$1=Units!$Q23),IF(Units!$J23&lt;&gt;"",Units!$J23,Mkt!DY24),Inputs!$B$15*Mkt!DY24+(1-Inputs!$B$15)*MIN(Mkt!DY24,DX24*(1+Inputs!$B$18))),DX24)))</f>
        <v>2413.8303900841</v>
      </c>
      <c r="DZ24" s="11" t="n">
        <f aca="false">IF(DZ$1&lt;Units!$P23,0,IF(AND(Units!$K23=0,DZ$1=Units!$O23),Units!$R23,IF(AND(DZ$1&gt;=Units!$Q23,MOD(DZ$1-Units!$Q23,12)=0),IF(AND(Units!$L23=1,DZ$1=Units!$Q23),IF(Units!$J23&lt;&gt;"",Units!$J23,Mkt!DZ24),Inputs!$B$15*Mkt!DZ24+(1-Inputs!$B$15)*MIN(Mkt!DZ24,DY24*(1+Inputs!$B$18))),DY24)))</f>
        <v>2413.8303900841</v>
      </c>
      <c r="EA24" s="11" t="n">
        <f aca="false">IF(EA$1&lt;Units!$P23,0,IF(AND(Units!$K23=0,EA$1=Units!$O23),Units!$R23,IF(AND(EA$1&gt;=Units!$Q23,MOD(EA$1-Units!$Q23,12)=0),IF(AND(Units!$L23=1,EA$1=Units!$Q23),IF(Units!$J23&lt;&gt;"",Units!$J23,Mkt!EA24),Inputs!$B$15*Mkt!EA24+(1-Inputs!$B$15)*MIN(Mkt!EA24,DZ24*(1+Inputs!$B$18))),DZ24)))</f>
        <v>2413.8303900841</v>
      </c>
      <c r="EB24" s="11" t="n">
        <f aca="false">IF(EB$1&lt;Units!$P23,0,IF(AND(Units!$K23=0,EB$1=Units!$O23),Units!$R23,IF(AND(EB$1&gt;=Units!$Q23,MOD(EB$1-Units!$Q23,12)=0),IF(AND(Units!$L23=1,EB$1=Units!$Q23),IF(Units!$J23&lt;&gt;"",Units!$J23,Mkt!EB24),Inputs!$B$15*Mkt!EB24+(1-Inputs!$B$15)*MIN(Mkt!EB24,EA24*(1+Inputs!$B$18))),EA24)))</f>
        <v>2486.24530178663</v>
      </c>
      <c r="EC24" s="11" t="n">
        <f aca="false">IF(EC$1&lt;Units!$P23,0,IF(AND(Units!$K23=0,EC$1=Units!$O23),Units!$R23,IF(AND(EC$1&gt;=Units!$Q23,MOD(EC$1-Units!$Q23,12)=0),IF(AND(Units!$L23=1,EC$1=Units!$Q23),IF(Units!$J23&lt;&gt;"",Units!$J23,Mkt!EC24),Inputs!$B$15*Mkt!EC24+(1-Inputs!$B$15)*MIN(Mkt!EC24,EB24*(1+Inputs!$B$18))),EB24)))</f>
        <v>2486.24530178663</v>
      </c>
      <c r="ED24" s="11" t="n">
        <f aca="false">IF(ED$1&lt;Units!$P23,0,IF(AND(Units!$K23=0,ED$1=Units!$O23),Units!$R23,IF(AND(ED$1&gt;=Units!$Q23,MOD(ED$1-Units!$Q23,12)=0),IF(AND(Units!$L23=1,ED$1=Units!$Q23),IF(Units!$J23&lt;&gt;"",Units!$J23,Mkt!ED24),Inputs!$B$15*Mkt!ED24+(1-Inputs!$B$15)*MIN(Mkt!ED24,EC24*(1+Inputs!$B$18))),EC24)))</f>
        <v>2486.24530178663</v>
      </c>
    </row>
    <row r="25" customFormat="false" ht="15" hidden="false" customHeight="false" outlineLevel="0" collapsed="false">
      <c r="A25" s="22" t="n">
        <f aca="false">Units!A24</f>
        <v>123</v>
      </c>
      <c r="B25" s="24" t="n">
        <f aca="false">IF(Units!K24=1,Units!F24,0)</f>
        <v>1750</v>
      </c>
      <c r="C25" s="11" t="n">
        <f aca="false">IF(C$1&lt;Units!$P24,0,IF(AND(Units!$K24=0,C$1=Units!$O24),Units!$R24,IF(AND(C$1&gt;=Units!$Q24,MOD(C$1-Units!$Q24,12)=0),IF(AND(Units!$L24=1,C$1=Units!$Q24),IF(Units!$J24&lt;&gt;"",Units!$J24,Mkt!C25),Inputs!$B$15*Mkt!C25+(1-Inputs!$B$15)*MIN(Mkt!C25,B25*(1+Inputs!$B$18))),B25)))</f>
        <v>1750</v>
      </c>
      <c r="D25" s="11" t="n">
        <f aca="false">IF(D$1&lt;Units!$P24,0,IF(AND(Units!$K24=0,D$1=Units!$O24),Units!$R24,IF(AND(D$1&gt;=Units!$Q24,MOD(D$1-Units!$Q24,12)=0),IF(AND(Units!$L24=1,D$1=Units!$Q24),IF(Units!$J24&lt;&gt;"",Units!$J24,Mkt!D25),Inputs!$B$15*Mkt!D25+(1-Inputs!$B$15)*MIN(Mkt!D25,C25*(1+Inputs!$B$18))),C25)))</f>
        <v>1750</v>
      </c>
      <c r="E25" s="11" t="n">
        <f aca="false">IF(E$1&lt;Units!$P24,0,IF(AND(Units!$K24=0,E$1=Units!$O24),Units!$R24,IF(AND(E$1&gt;=Units!$Q24,MOD(E$1-Units!$Q24,12)=0),IF(AND(Units!$L24=1,E$1=Units!$Q24),IF(Units!$J24&lt;&gt;"",Units!$J24,Mkt!E25),Inputs!$B$15*Mkt!E25+(1-Inputs!$B$15)*MIN(Mkt!E25,D25*(1+Inputs!$B$18))),D25)))</f>
        <v>1750</v>
      </c>
      <c r="F25" s="11" t="n">
        <f aca="false">IF(F$1&lt;Units!$P24,0,IF(AND(Units!$K24=0,F$1=Units!$O24),Units!$R24,IF(AND(F$1&gt;=Units!$Q24,MOD(F$1-Units!$Q24,12)=0),IF(AND(Units!$L24=1,F$1=Units!$Q24),IF(Units!$J24&lt;&gt;"",Units!$J24,Mkt!F25),Inputs!$B$15*Mkt!F25+(1-Inputs!$B$15)*MIN(Mkt!F25,E25*(1+Inputs!$B$18))),E25)))</f>
        <v>1750</v>
      </c>
      <c r="G25" s="11" t="n">
        <f aca="false">IF(G$1&lt;Units!$P24,0,IF(AND(Units!$K24=0,G$1=Units!$O24),Units!$R24,IF(AND(G$1&gt;=Units!$Q24,MOD(G$1-Units!$Q24,12)=0),IF(AND(Units!$L24=1,G$1=Units!$Q24),IF(Units!$J24&lt;&gt;"",Units!$J24,Mkt!G25),Inputs!$B$15*Mkt!G25+(1-Inputs!$B$15)*MIN(Mkt!G25,F25*(1+Inputs!$B$18))),F25)))</f>
        <v>1750</v>
      </c>
      <c r="H25" s="11" t="n">
        <f aca="false">IF(H$1&lt;Units!$P24,0,IF(AND(Units!$K24=0,H$1=Units!$O24),Units!$R24,IF(AND(H$1&gt;=Units!$Q24,MOD(H$1-Units!$Q24,12)=0),IF(AND(Units!$L24=1,H$1=Units!$Q24),IF(Units!$J24&lt;&gt;"",Units!$J24,Mkt!H25),Inputs!$B$15*Mkt!H25+(1-Inputs!$B$15)*MIN(Mkt!H25,G25*(1+Inputs!$B$18))),G25)))</f>
        <v>1750</v>
      </c>
      <c r="I25" s="11" t="n">
        <f aca="false">IF(I$1&lt;Units!$P24,0,IF(AND(Units!$K24=0,I$1=Units!$O24),Units!$R24,IF(AND(I$1&gt;=Units!$Q24,MOD(I$1-Units!$Q24,12)=0),IF(AND(Units!$L24=1,I$1=Units!$Q24),IF(Units!$J24&lt;&gt;"",Units!$J24,Mkt!I25),Inputs!$B$15*Mkt!I25+(1-Inputs!$B$15)*MIN(Mkt!I25,H25*(1+Inputs!$B$18))),H25)))</f>
        <v>1843.75</v>
      </c>
      <c r="J25" s="11" t="n">
        <f aca="false">IF(J$1&lt;Units!$P24,0,IF(AND(Units!$K24=0,J$1=Units!$O24),Units!$R24,IF(AND(J$1&gt;=Units!$Q24,MOD(J$1-Units!$Q24,12)=0),IF(AND(Units!$L24=1,J$1=Units!$Q24),IF(Units!$J24&lt;&gt;"",Units!$J24,Mkt!J25),Inputs!$B$15*Mkt!J25+(1-Inputs!$B$15)*MIN(Mkt!J25,I25*(1+Inputs!$B$18))),I25)))</f>
        <v>1843.75</v>
      </c>
      <c r="K25" s="11" t="n">
        <f aca="false">IF(K$1&lt;Units!$P24,0,IF(AND(Units!$K24=0,K$1=Units!$O24),Units!$R24,IF(AND(K$1&gt;=Units!$Q24,MOD(K$1-Units!$Q24,12)=0),IF(AND(Units!$L24=1,K$1=Units!$Q24),IF(Units!$J24&lt;&gt;"",Units!$J24,Mkt!K25),Inputs!$B$15*Mkt!K25+(1-Inputs!$B$15)*MIN(Mkt!K25,J25*(1+Inputs!$B$18))),J25)))</f>
        <v>1843.75</v>
      </c>
      <c r="L25" s="11" t="n">
        <f aca="false">IF(L$1&lt;Units!$P24,0,IF(AND(Units!$K24=0,L$1=Units!$O24),Units!$R24,IF(AND(L$1&gt;=Units!$Q24,MOD(L$1-Units!$Q24,12)=0),IF(AND(Units!$L24=1,L$1=Units!$Q24),IF(Units!$J24&lt;&gt;"",Units!$J24,Mkt!L25),Inputs!$B$15*Mkt!L25+(1-Inputs!$B$15)*MIN(Mkt!L25,K25*(1+Inputs!$B$18))),K25)))</f>
        <v>1843.75</v>
      </c>
      <c r="M25" s="11" t="n">
        <f aca="false">IF(M$1&lt;Units!$P24,0,IF(AND(Units!$K24=0,M$1=Units!$O24),Units!$R24,IF(AND(M$1&gt;=Units!$Q24,MOD(M$1-Units!$Q24,12)=0),IF(AND(Units!$L24=1,M$1=Units!$Q24),IF(Units!$J24&lt;&gt;"",Units!$J24,Mkt!M25),Inputs!$B$15*Mkt!M25+(1-Inputs!$B$15)*MIN(Mkt!M25,L25*(1+Inputs!$B$18))),L25)))</f>
        <v>1843.75</v>
      </c>
      <c r="N25" s="11" t="n">
        <f aca="false">IF(N$1&lt;Units!$P24,0,IF(AND(Units!$K24=0,N$1=Units!$O24),Units!$R24,IF(AND(N$1&gt;=Units!$Q24,MOD(N$1-Units!$Q24,12)=0),IF(AND(Units!$L24=1,N$1=Units!$Q24),IF(Units!$J24&lt;&gt;"",Units!$J24,Mkt!N25),Inputs!$B$15*Mkt!N25+(1-Inputs!$B$15)*MIN(Mkt!N25,M25*(1+Inputs!$B$18))),M25)))</f>
        <v>1843.75</v>
      </c>
      <c r="O25" s="11" t="n">
        <f aca="false">IF(O$1&lt;Units!$P24,0,IF(AND(Units!$K24=0,O$1=Units!$O24),Units!$R24,IF(AND(O$1&gt;=Units!$Q24,MOD(O$1-Units!$Q24,12)=0),IF(AND(Units!$L24=1,O$1=Units!$Q24),IF(Units!$J24&lt;&gt;"",Units!$J24,Mkt!O25),Inputs!$B$15*Mkt!O25+(1-Inputs!$B$15)*MIN(Mkt!O25,N25*(1+Inputs!$B$18))),N25)))</f>
        <v>1843.75</v>
      </c>
      <c r="P25" s="11" t="n">
        <f aca="false">IF(P$1&lt;Units!$P24,0,IF(AND(Units!$K24=0,P$1=Units!$O24),Units!$R24,IF(AND(P$1&gt;=Units!$Q24,MOD(P$1-Units!$Q24,12)=0),IF(AND(Units!$L24=1,P$1=Units!$Q24),IF(Units!$J24&lt;&gt;"",Units!$J24,Mkt!P25),Inputs!$B$15*Mkt!P25+(1-Inputs!$B$15)*MIN(Mkt!P25,O25*(1+Inputs!$B$18))),O25)))</f>
        <v>1843.75</v>
      </c>
      <c r="Q25" s="11" t="n">
        <f aca="false">IF(Q$1&lt;Units!$P24,0,IF(AND(Units!$K24=0,Q$1=Units!$O24),Units!$R24,IF(AND(Q$1&gt;=Units!$Q24,MOD(Q$1-Units!$Q24,12)=0),IF(AND(Units!$L24=1,Q$1=Units!$Q24),IF(Units!$J24&lt;&gt;"",Units!$J24,Mkt!Q25),Inputs!$B$15*Mkt!Q25+(1-Inputs!$B$15)*MIN(Mkt!Q25,P25*(1+Inputs!$B$18))),P25)))</f>
        <v>1843.75</v>
      </c>
      <c r="R25" s="11" t="n">
        <f aca="false">IF(R$1&lt;Units!$P24,0,IF(AND(Units!$K24=0,R$1=Units!$O24),Units!$R24,IF(AND(R$1&gt;=Units!$Q24,MOD(R$1-Units!$Q24,12)=0),IF(AND(Units!$L24=1,R$1=Units!$Q24),IF(Units!$J24&lt;&gt;"",Units!$J24,Mkt!R25),Inputs!$B$15*Mkt!R25+(1-Inputs!$B$15)*MIN(Mkt!R25,Q25*(1+Inputs!$B$18))),Q25)))</f>
        <v>1843.75</v>
      </c>
      <c r="S25" s="11" t="n">
        <f aca="false">IF(S$1&lt;Units!$P24,0,IF(AND(Units!$K24=0,S$1=Units!$O24),Units!$R24,IF(AND(S$1&gt;=Units!$Q24,MOD(S$1-Units!$Q24,12)=0),IF(AND(Units!$L24=1,S$1=Units!$Q24),IF(Units!$J24&lt;&gt;"",Units!$J24,Mkt!S25),Inputs!$B$15*Mkt!S25+(1-Inputs!$B$15)*MIN(Mkt!S25,R25*(1+Inputs!$B$18))),R25)))</f>
        <v>1843.75</v>
      </c>
      <c r="T25" s="11" t="n">
        <f aca="false">IF(T$1&lt;Units!$P24,0,IF(AND(Units!$K24=0,T$1=Units!$O24),Units!$R24,IF(AND(T$1&gt;=Units!$Q24,MOD(T$1-Units!$Q24,12)=0),IF(AND(Units!$L24=1,T$1=Units!$Q24),IF(Units!$J24&lt;&gt;"",Units!$J24,Mkt!T25),Inputs!$B$15*Mkt!T25+(1-Inputs!$B$15)*MIN(Mkt!T25,S25*(1+Inputs!$B$18))),S25)))</f>
        <v>1843.75</v>
      </c>
      <c r="U25" s="11" t="n">
        <f aca="false">IF(U$1&lt;Units!$P24,0,IF(AND(Units!$K24=0,U$1=Units!$O24),Units!$R24,IF(AND(U$1&gt;=Units!$Q24,MOD(U$1-Units!$Q24,12)=0),IF(AND(Units!$L24=1,U$1=Units!$Q24),IF(Units!$J24&lt;&gt;"",Units!$J24,Mkt!U25),Inputs!$B$15*Mkt!U25+(1-Inputs!$B$15)*MIN(Mkt!U25,T25*(1+Inputs!$B$18))),T25)))</f>
        <v>1905.5</v>
      </c>
      <c r="V25" s="11" t="n">
        <f aca="false">IF(V$1&lt;Units!$P24,0,IF(AND(Units!$K24=0,V$1=Units!$O24),Units!$R24,IF(AND(V$1&gt;=Units!$Q24,MOD(V$1-Units!$Q24,12)=0),IF(AND(Units!$L24=1,V$1=Units!$Q24),IF(Units!$J24&lt;&gt;"",Units!$J24,Mkt!V25),Inputs!$B$15*Mkt!V25+(1-Inputs!$B$15)*MIN(Mkt!V25,U25*(1+Inputs!$B$18))),U25)))</f>
        <v>1905.5</v>
      </c>
      <c r="W25" s="11" t="n">
        <f aca="false">IF(W$1&lt;Units!$P24,0,IF(AND(Units!$K24=0,W$1=Units!$O24),Units!$R24,IF(AND(W$1&gt;=Units!$Q24,MOD(W$1-Units!$Q24,12)=0),IF(AND(Units!$L24=1,W$1=Units!$Q24),IF(Units!$J24&lt;&gt;"",Units!$J24,Mkt!W25),Inputs!$B$15*Mkt!W25+(1-Inputs!$B$15)*MIN(Mkt!W25,V25*(1+Inputs!$B$18))),V25)))</f>
        <v>1905.5</v>
      </c>
      <c r="X25" s="11" t="n">
        <f aca="false">IF(X$1&lt;Units!$P24,0,IF(AND(Units!$K24=0,X$1=Units!$O24),Units!$R24,IF(AND(X$1&gt;=Units!$Q24,MOD(X$1-Units!$Q24,12)=0),IF(AND(Units!$L24=1,X$1=Units!$Q24),IF(Units!$J24&lt;&gt;"",Units!$J24,Mkt!X25),Inputs!$B$15*Mkt!X25+(1-Inputs!$B$15)*MIN(Mkt!X25,W25*(1+Inputs!$B$18))),W25)))</f>
        <v>1905.5</v>
      </c>
      <c r="Y25" s="11" t="n">
        <f aca="false">IF(Y$1&lt;Units!$P24,0,IF(AND(Units!$K24=0,Y$1=Units!$O24),Units!$R24,IF(AND(Y$1&gt;=Units!$Q24,MOD(Y$1-Units!$Q24,12)=0),IF(AND(Units!$L24=1,Y$1=Units!$Q24),IF(Units!$J24&lt;&gt;"",Units!$J24,Mkt!Y25),Inputs!$B$15*Mkt!Y25+(1-Inputs!$B$15)*MIN(Mkt!Y25,X25*(1+Inputs!$B$18))),X25)))</f>
        <v>1905.5</v>
      </c>
      <c r="Z25" s="11" t="n">
        <f aca="false">IF(Z$1&lt;Units!$P24,0,IF(AND(Units!$K24=0,Z$1=Units!$O24),Units!$R24,IF(AND(Z$1&gt;=Units!$Q24,MOD(Z$1-Units!$Q24,12)=0),IF(AND(Units!$L24=1,Z$1=Units!$Q24),IF(Units!$J24&lt;&gt;"",Units!$J24,Mkt!Z25),Inputs!$B$15*Mkt!Z25+(1-Inputs!$B$15)*MIN(Mkt!Z25,Y25*(1+Inputs!$B$18))),Y25)))</f>
        <v>1905.5</v>
      </c>
      <c r="AA25" s="11" t="n">
        <f aca="false">IF(AA$1&lt;Units!$P24,0,IF(AND(Units!$K24=0,AA$1=Units!$O24),Units!$R24,IF(AND(AA$1&gt;=Units!$Q24,MOD(AA$1-Units!$Q24,12)=0),IF(AND(Units!$L24=1,AA$1=Units!$Q24),IF(Units!$J24&lt;&gt;"",Units!$J24,Mkt!AA25),Inputs!$B$15*Mkt!AA25+(1-Inputs!$B$15)*MIN(Mkt!AA25,Z25*(1+Inputs!$B$18))),Z25)))</f>
        <v>1905.5</v>
      </c>
      <c r="AB25" s="11" t="n">
        <f aca="false">IF(AB$1&lt;Units!$P24,0,IF(AND(Units!$K24=0,AB$1=Units!$O24),Units!$R24,IF(AND(AB$1&gt;=Units!$Q24,MOD(AB$1-Units!$Q24,12)=0),IF(AND(Units!$L24=1,AB$1=Units!$Q24),IF(Units!$J24&lt;&gt;"",Units!$J24,Mkt!AB25),Inputs!$B$15*Mkt!AB25+(1-Inputs!$B$15)*MIN(Mkt!AB25,AA25*(1+Inputs!$B$18))),AA25)))</f>
        <v>1905.5</v>
      </c>
      <c r="AC25" s="11" t="n">
        <f aca="false">IF(AC$1&lt;Units!$P24,0,IF(AND(Units!$K24=0,AC$1=Units!$O24),Units!$R24,IF(AND(AC$1&gt;=Units!$Q24,MOD(AC$1-Units!$Q24,12)=0),IF(AND(Units!$L24=1,AC$1=Units!$Q24),IF(Units!$J24&lt;&gt;"",Units!$J24,Mkt!AC25),Inputs!$B$15*Mkt!AC25+(1-Inputs!$B$15)*MIN(Mkt!AC25,AB25*(1+Inputs!$B$18))),AB25)))</f>
        <v>1905.5</v>
      </c>
      <c r="AD25" s="11" t="n">
        <f aca="false">IF(AD$1&lt;Units!$P24,0,IF(AND(Units!$K24=0,AD$1=Units!$O24),Units!$R24,IF(AND(AD$1&gt;=Units!$Q24,MOD(AD$1-Units!$Q24,12)=0),IF(AND(Units!$L24=1,AD$1=Units!$Q24),IF(Units!$J24&lt;&gt;"",Units!$J24,Mkt!AD25),Inputs!$B$15*Mkt!AD25+(1-Inputs!$B$15)*MIN(Mkt!AD25,AC25*(1+Inputs!$B$18))),AC25)))</f>
        <v>1905.5</v>
      </c>
      <c r="AE25" s="11" t="n">
        <f aca="false">IF(AE$1&lt;Units!$P24,0,IF(AND(Units!$K24=0,AE$1=Units!$O24),Units!$R24,IF(AND(AE$1&gt;=Units!$Q24,MOD(AE$1-Units!$Q24,12)=0),IF(AND(Units!$L24=1,AE$1=Units!$Q24),IF(Units!$J24&lt;&gt;"",Units!$J24,Mkt!AE25),Inputs!$B$15*Mkt!AE25+(1-Inputs!$B$15)*MIN(Mkt!AE25,AD25*(1+Inputs!$B$18))),AD25)))</f>
        <v>1905.5</v>
      </c>
      <c r="AF25" s="11" t="n">
        <f aca="false">IF(AF$1&lt;Units!$P24,0,IF(AND(Units!$K24=0,AF$1=Units!$O24),Units!$R24,IF(AND(AF$1&gt;=Units!$Q24,MOD(AF$1-Units!$Q24,12)=0),IF(AND(Units!$L24=1,AF$1=Units!$Q24),IF(Units!$J24&lt;&gt;"",Units!$J24,Mkt!AF25),Inputs!$B$15*Mkt!AF25+(1-Inputs!$B$15)*MIN(Mkt!AF25,AE25*(1+Inputs!$B$18))),AE25)))</f>
        <v>1905.5</v>
      </c>
      <c r="AG25" s="11" t="n">
        <f aca="false">IF(AG$1&lt;Units!$P24,0,IF(AND(Units!$K24=0,AG$1=Units!$O24),Units!$R24,IF(AND(AG$1&gt;=Units!$Q24,MOD(AG$1-Units!$Q24,12)=0),IF(AND(Units!$L24=1,AG$1=Units!$Q24),IF(Units!$J24&lt;&gt;"",Units!$J24,Mkt!AG25),Inputs!$B$15*Mkt!AG25+(1-Inputs!$B$15)*MIN(Mkt!AG25,AF25*(1+Inputs!$B$18))),AF25)))</f>
        <v>1962.665</v>
      </c>
      <c r="AH25" s="11" t="n">
        <f aca="false">IF(AH$1&lt;Units!$P24,0,IF(AND(Units!$K24=0,AH$1=Units!$O24),Units!$R24,IF(AND(AH$1&gt;=Units!$Q24,MOD(AH$1-Units!$Q24,12)=0),IF(AND(Units!$L24=1,AH$1=Units!$Q24),IF(Units!$J24&lt;&gt;"",Units!$J24,Mkt!AH25),Inputs!$B$15*Mkt!AH25+(1-Inputs!$B$15)*MIN(Mkt!AH25,AG25*(1+Inputs!$B$18))),AG25)))</f>
        <v>1962.665</v>
      </c>
      <c r="AI25" s="11" t="n">
        <f aca="false">IF(AI$1&lt;Units!$P24,0,IF(AND(Units!$K24=0,AI$1=Units!$O24),Units!$R24,IF(AND(AI$1&gt;=Units!$Q24,MOD(AI$1-Units!$Q24,12)=0),IF(AND(Units!$L24=1,AI$1=Units!$Q24),IF(Units!$J24&lt;&gt;"",Units!$J24,Mkt!AI25),Inputs!$B$15*Mkt!AI25+(1-Inputs!$B$15)*MIN(Mkt!AI25,AH25*(1+Inputs!$B$18))),AH25)))</f>
        <v>1962.665</v>
      </c>
      <c r="AJ25" s="11" t="n">
        <f aca="false">IF(AJ$1&lt;Units!$P24,0,IF(AND(Units!$K24=0,AJ$1=Units!$O24),Units!$R24,IF(AND(AJ$1&gt;=Units!$Q24,MOD(AJ$1-Units!$Q24,12)=0),IF(AND(Units!$L24=1,AJ$1=Units!$Q24),IF(Units!$J24&lt;&gt;"",Units!$J24,Mkt!AJ25),Inputs!$B$15*Mkt!AJ25+(1-Inputs!$B$15)*MIN(Mkt!AJ25,AI25*(1+Inputs!$B$18))),AI25)))</f>
        <v>1962.665</v>
      </c>
      <c r="AK25" s="11" t="n">
        <f aca="false">IF(AK$1&lt;Units!$P24,0,IF(AND(Units!$K24=0,AK$1=Units!$O24),Units!$R24,IF(AND(AK$1&gt;=Units!$Q24,MOD(AK$1-Units!$Q24,12)=0),IF(AND(Units!$L24=1,AK$1=Units!$Q24),IF(Units!$J24&lt;&gt;"",Units!$J24,Mkt!AK25),Inputs!$B$15*Mkt!AK25+(1-Inputs!$B$15)*MIN(Mkt!AK25,AJ25*(1+Inputs!$B$18))),AJ25)))</f>
        <v>1962.665</v>
      </c>
      <c r="AL25" s="11" t="n">
        <f aca="false">IF(AL$1&lt;Units!$P24,0,IF(AND(Units!$K24=0,AL$1=Units!$O24),Units!$R24,IF(AND(AL$1&gt;=Units!$Q24,MOD(AL$1-Units!$Q24,12)=0),IF(AND(Units!$L24=1,AL$1=Units!$Q24),IF(Units!$J24&lt;&gt;"",Units!$J24,Mkt!AL25),Inputs!$B$15*Mkt!AL25+(1-Inputs!$B$15)*MIN(Mkt!AL25,AK25*(1+Inputs!$B$18))),AK25)))</f>
        <v>1962.665</v>
      </c>
      <c r="AM25" s="11" t="n">
        <f aca="false">IF(AM$1&lt;Units!$P24,0,IF(AND(Units!$K24=0,AM$1=Units!$O24),Units!$R24,IF(AND(AM$1&gt;=Units!$Q24,MOD(AM$1-Units!$Q24,12)=0),IF(AND(Units!$L24=1,AM$1=Units!$Q24),IF(Units!$J24&lt;&gt;"",Units!$J24,Mkt!AM25),Inputs!$B$15*Mkt!AM25+(1-Inputs!$B$15)*MIN(Mkt!AM25,AL25*(1+Inputs!$B$18))),AL25)))</f>
        <v>1962.665</v>
      </c>
      <c r="AN25" s="11" t="n">
        <f aca="false">IF(AN$1&lt;Units!$P24,0,IF(AND(Units!$K24=0,AN$1=Units!$O24),Units!$R24,IF(AND(AN$1&gt;=Units!$Q24,MOD(AN$1-Units!$Q24,12)=0),IF(AND(Units!$L24=1,AN$1=Units!$Q24),IF(Units!$J24&lt;&gt;"",Units!$J24,Mkt!AN25),Inputs!$B$15*Mkt!AN25+(1-Inputs!$B$15)*MIN(Mkt!AN25,AM25*(1+Inputs!$B$18))),AM25)))</f>
        <v>1962.665</v>
      </c>
      <c r="AO25" s="11" t="n">
        <f aca="false">IF(AO$1&lt;Units!$P24,0,IF(AND(Units!$K24=0,AO$1=Units!$O24),Units!$R24,IF(AND(AO$1&gt;=Units!$Q24,MOD(AO$1-Units!$Q24,12)=0),IF(AND(Units!$L24=1,AO$1=Units!$Q24),IF(Units!$J24&lt;&gt;"",Units!$J24,Mkt!AO25),Inputs!$B$15*Mkt!AO25+(1-Inputs!$B$15)*MIN(Mkt!AO25,AN25*(1+Inputs!$B$18))),AN25)))</f>
        <v>1962.665</v>
      </c>
      <c r="AP25" s="11" t="n">
        <f aca="false">IF(AP$1&lt;Units!$P24,0,IF(AND(Units!$K24=0,AP$1=Units!$O24),Units!$R24,IF(AND(AP$1&gt;=Units!$Q24,MOD(AP$1-Units!$Q24,12)=0),IF(AND(Units!$L24=1,AP$1=Units!$Q24),IF(Units!$J24&lt;&gt;"",Units!$J24,Mkt!AP25),Inputs!$B$15*Mkt!AP25+(1-Inputs!$B$15)*MIN(Mkt!AP25,AO25*(1+Inputs!$B$18))),AO25)))</f>
        <v>1962.665</v>
      </c>
      <c r="AQ25" s="11" t="n">
        <f aca="false">IF(AQ$1&lt;Units!$P24,0,IF(AND(Units!$K24=0,AQ$1=Units!$O24),Units!$R24,IF(AND(AQ$1&gt;=Units!$Q24,MOD(AQ$1-Units!$Q24,12)=0),IF(AND(Units!$L24=1,AQ$1=Units!$Q24),IF(Units!$J24&lt;&gt;"",Units!$J24,Mkt!AQ25),Inputs!$B$15*Mkt!AQ25+(1-Inputs!$B$15)*MIN(Mkt!AQ25,AP25*(1+Inputs!$B$18))),AP25)))</f>
        <v>1962.665</v>
      </c>
      <c r="AR25" s="11" t="n">
        <f aca="false">IF(AR$1&lt;Units!$P24,0,IF(AND(Units!$K24=0,AR$1=Units!$O24),Units!$R24,IF(AND(AR$1&gt;=Units!$Q24,MOD(AR$1-Units!$Q24,12)=0),IF(AND(Units!$L24=1,AR$1=Units!$Q24),IF(Units!$J24&lt;&gt;"",Units!$J24,Mkt!AR25),Inputs!$B$15*Mkt!AR25+(1-Inputs!$B$15)*MIN(Mkt!AR25,AQ25*(1+Inputs!$B$18))),AQ25)))</f>
        <v>1962.665</v>
      </c>
      <c r="AS25" s="11" t="n">
        <f aca="false">IF(AS$1&lt;Units!$P24,0,IF(AND(Units!$K24=0,AS$1=Units!$O24),Units!$R24,IF(AND(AS$1&gt;=Units!$Q24,MOD(AS$1-Units!$Q24,12)=0),IF(AND(Units!$L24=1,AS$1=Units!$Q24),IF(Units!$J24&lt;&gt;"",Units!$J24,Mkt!AS25),Inputs!$B$15*Mkt!AS25+(1-Inputs!$B$15)*MIN(Mkt!AS25,AR25*(1+Inputs!$B$18))),AR25)))</f>
        <v>2021.54495</v>
      </c>
      <c r="AT25" s="11" t="n">
        <f aca="false">IF(AT$1&lt;Units!$P24,0,IF(AND(Units!$K24=0,AT$1=Units!$O24),Units!$R24,IF(AND(AT$1&gt;=Units!$Q24,MOD(AT$1-Units!$Q24,12)=0),IF(AND(Units!$L24=1,AT$1=Units!$Q24),IF(Units!$J24&lt;&gt;"",Units!$J24,Mkt!AT25),Inputs!$B$15*Mkt!AT25+(1-Inputs!$B$15)*MIN(Mkt!AT25,AS25*(1+Inputs!$B$18))),AS25)))</f>
        <v>2021.54495</v>
      </c>
      <c r="AU25" s="11" t="n">
        <f aca="false">IF(AU$1&lt;Units!$P24,0,IF(AND(Units!$K24=0,AU$1=Units!$O24),Units!$R24,IF(AND(AU$1&gt;=Units!$Q24,MOD(AU$1-Units!$Q24,12)=0),IF(AND(Units!$L24=1,AU$1=Units!$Q24),IF(Units!$J24&lt;&gt;"",Units!$J24,Mkt!AU25),Inputs!$B$15*Mkt!AU25+(1-Inputs!$B$15)*MIN(Mkt!AU25,AT25*(1+Inputs!$B$18))),AT25)))</f>
        <v>2021.54495</v>
      </c>
      <c r="AV25" s="11" t="n">
        <f aca="false">IF(AV$1&lt;Units!$P24,0,IF(AND(Units!$K24=0,AV$1=Units!$O24),Units!$R24,IF(AND(AV$1&gt;=Units!$Q24,MOD(AV$1-Units!$Q24,12)=0),IF(AND(Units!$L24=1,AV$1=Units!$Q24),IF(Units!$J24&lt;&gt;"",Units!$J24,Mkt!AV25),Inputs!$B$15*Mkt!AV25+(1-Inputs!$B$15)*MIN(Mkt!AV25,AU25*(1+Inputs!$B$18))),AU25)))</f>
        <v>2021.54495</v>
      </c>
      <c r="AW25" s="11" t="n">
        <f aca="false">IF(AW$1&lt;Units!$P24,0,IF(AND(Units!$K24=0,AW$1=Units!$O24),Units!$R24,IF(AND(AW$1&gt;=Units!$Q24,MOD(AW$1-Units!$Q24,12)=0),IF(AND(Units!$L24=1,AW$1=Units!$Q24),IF(Units!$J24&lt;&gt;"",Units!$J24,Mkt!AW25),Inputs!$B$15*Mkt!AW25+(1-Inputs!$B$15)*MIN(Mkt!AW25,AV25*(1+Inputs!$B$18))),AV25)))</f>
        <v>2021.54495</v>
      </c>
      <c r="AX25" s="11" t="n">
        <f aca="false">IF(AX$1&lt;Units!$P24,0,IF(AND(Units!$K24=0,AX$1=Units!$O24),Units!$R24,IF(AND(AX$1&gt;=Units!$Q24,MOD(AX$1-Units!$Q24,12)=0),IF(AND(Units!$L24=1,AX$1=Units!$Q24),IF(Units!$J24&lt;&gt;"",Units!$J24,Mkt!AX25),Inputs!$B$15*Mkt!AX25+(1-Inputs!$B$15)*MIN(Mkt!AX25,AW25*(1+Inputs!$B$18))),AW25)))</f>
        <v>2021.54495</v>
      </c>
      <c r="AY25" s="11" t="n">
        <f aca="false">IF(AY$1&lt;Units!$P24,0,IF(AND(Units!$K24=0,AY$1=Units!$O24),Units!$R24,IF(AND(AY$1&gt;=Units!$Q24,MOD(AY$1-Units!$Q24,12)=0),IF(AND(Units!$L24=1,AY$1=Units!$Q24),IF(Units!$J24&lt;&gt;"",Units!$J24,Mkt!AY25),Inputs!$B$15*Mkt!AY25+(1-Inputs!$B$15)*MIN(Mkt!AY25,AX25*(1+Inputs!$B$18))),AX25)))</f>
        <v>2021.54495</v>
      </c>
      <c r="AZ25" s="11" t="n">
        <f aca="false">IF(AZ$1&lt;Units!$P24,0,IF(AND(Units!$K24=0,AZ$1=Units!$O24),Units!$R24,IF(AND(AZ$1&gt;=Units!$Q24,MOD(AZ$1-Units!$Q24,12)=0),IF(AND(Units!$L24=1,AZ$1=Units!$Q24),IF(Units!$J24&lt;&gt;"",Units!$J24,Mkt!AZ25),Inputs!$B$15*Mkt!AZ25+(1-Inputs!$B$15)*MIN(Mkt!AZ25,AY25*(1+Inputs!$B$18))),AY25)))</f>
        <v>2021.54495</v>
      </c>
      <c r="BA25" s="11" t="n">
        <f aca="false">IF(BA$1&lt;Units!$P24,0,IF(AND(Units!$K24=0,BA$1=Units!$O24),Units!$R24,IF(AND(BA$1&gt;=Units!$Q24,MOD(BA$1-Units!$Q24,12)=0),IF(AND(Units!$L24=1,BA$1=Units!$Q24),IF(Units!$J24&lt;&gt;"",Units!$J24,Mkt!BA25),Inputs!$B$15*Mkt!BA25+(1-Inputs!$B$15)*MIN(Mkt!BA25,AZ25*(1+Inputs!$B$18))),AZ25)))</f>
        <v>2021.54495</v>
      </c>
      <c r="BB25" s="11" t="n">
        <f aca="false">IF(BB$1&lt;Units!$P24,0,IF(AND(Units!$K24=0,BB$1=Units!$O24),Units!$R24,IF(AND(BB$1&gt;=Units!$Q24,MOD(BB$1-Units!$Q24,12)=0),IF(AND(Units!$L24=1,BB$1=Units!$Q24),IF(Units!$J24&lt;&gt;"",Units!$J24,Mkt!BB25),Inputs!$B$15*Mkt!BB25+(1-Inputs!$B$15)*MIN(Mkt!BB25,BA25*(1+Inputs!$B$18))),BA25)))</f>
        <v>2021.54495</v>
      </c>
      <c r="BC25" s="11" t="n">
        <f aca="false">IF(BC$1&lt;Units!$P24,0,IF(AND(Units!$K24=0,BC$1=Units!$O24),Units!$R24,IF(AND(BC$1&gt;=Units!$Q24,MOD(BC$1-Units!$Q24,12)=0),IF(AND(Units!$L24=1,BC$1=Units!$Q24),IF(Units!$J24&lt;&gt;"",Units!$J24,Mkt!BC25),Inputs!$B$15*Mkt!BC25+(1-Inputs!$B$15)*MIN(Mkt!BC25,BB25*(1+Inputs!$B$18))),BB25)))</f>
        <v>2021.54495</v>
      </c>
      <c r="BD25" s="11" t="n">
        <f aca="false">IF(BD$1&lt;Units!$P24,0,IF(AND(Units!$K24=0,BD$1=Units!$O24),Units!$R24,IF(AND(BD$1&gt;=Units!$Q24,MOD(BD$1-Units!$Q24,12)=0),IF(AND(Units!$L24=1,BD$1=Units!$Q24),IF(Units!$J24&lt;&gt;"",Units!$J24,Mkt!BD25),Inputs!$B$15*Mkt!BD25+(1-Inputs!$B$15)*MIN(Mkt!BD25,BC25*(1+Inputs!$B$18))),BC25)))</f>
        <v>2021.54495</v>
      </c>
      <c r="BE25" s="11" t="n">
        <f aca="false">IF(BE$1&lt;Units!$P24,0,IF(AND(Units!$K24=0,BE$1=Units!$O24),Units!$R24,IF(AND(BE$1&gt;=Units!$Q24,MOD(BE$1-Units!$Q24,12)=0),IF(AND(Units!$L24=1,BE$1=Units!$Q24),IF(Units!$J24&lt;&gt;"",Units!$J24,Mkt!BE25),Inputs!$B$15*Mkt!BE25+(1-Inputs!$B$15)*MIN(Mkt!BE25,BD25*(1+Inputs!$B$18))),BD25)))</f>
        <v>2082.1912985</v>
      </c>
      <c r="BF25" s="11" t="n">
        <f aca="false">IF(BF$1&lt;Units!$P24,0,IF(AND(Units!$K24=0,BF$1=Units!$O24),Units!$R24,IF(AND(BF$1&gt;=Units!$Q24,MOD(BF$1-Units!$Q24,12)=0),IF(AND(Units!$L24=1,BF$1=Units!$Q24),IF(Units!$J24&lt;&gt;"",Units!$J24,Mkt!BF25),Inputs!$B$15*Mkt!BF25+(1-Inputs!$B$15)*MIN(Mkt!BF25,BE25*(1+Inputs!$B$18))),BE25)))</f>
        <v>2082.1912985</v>
      </c>
      <c r="BG25" s="11" t="n">
        <f aca="false">IF(BG$1&lt;Units!$P24,0,IF(AND(Units!$K24=0,BG$1=Units!$O24),Units!$R24,IF(AND(BG$1&gt;=Units!$Q24,MOD(BG$1-Units!$Q24,12)=0),IF(AND(Units!$L24=1,BG$1=Units!$Q24),IF(Units!$J24&lt;&gt;"",Units!$J24,Mkt!BG25),Inputs!$B$15*Mkt!BG25+(1-Inputs!$B$15)*MIN(Mkt!BG25,BF25*(1+Inputs!$B$18))),BF25)))</f>
        <v>2082.1912985</v>
      </c>
      <c r="BH25" s="11" t="n">
        <f aca="false">IF(BH$1&lt;Units!$P24,0,IF(AND(Units!$K24=0,BH$1=Units!$O24),Units!$R24,IF(AND(BH$1&gt;=Units!$Q24,MOD(BH$1-Units!$Q24,12)=0),IF(AND(Units!$L24=1,BH$1=Units!$Q24),IF(Units!$J24&lt;&gt;"",Units!$J24,Mkt!BH25),Inputs!$B$15*Mkt!BH25+(1-Inputs!$B$15)*MIN(Mkt!BH25,BG25*(1+Inputs!$B$18))),BG25)))</f>
        <v>2082.1912985</v>
      </c>
      <c r="BI25" s="11" t="n">
        <f aca="false">IF(BI$1&lt;Units!$P24,0,IF(AND(Units!$K24=0,BI$1=Units!$O24),Units!$R24,IF(AND(BI$1&gt;=Units!$Q24,MOD(BI$1-Units!$Q24,12)=0),IF(AND(Units!$L24=1,BI$1=Units!$Q24),IF(Units!$J24&lt;&gt;"",Units!$J24,Mkt!BI25),Inputs!$B$15*Mkt!BI25+(1-Inputs!$B$15)*MIN(Mkt!BI25,BH25*(1+Inputs!$B$18))),BH25)))</f>
        <v>2082.1912985</v>
      </c>
      <c r="BJ25" s="11" t="n">
        <f aca="false">IF(BJ$1&lt;Units!$P24,0,IF(AND(Units!$K24=0,BJ$1=Units!$O24),Units!$R24,IF(AND(BJ$1&gt;=Units!$Q24,MOD(BJ$1-Units!$Q24,12)=0),IF(AND(Units!$L24=1,BJ$1=Units!$Q24),IF(Units!$J24&lt;&gt;"",Units!$J24,Mkt!BJ25),Inputs!$B$15*Mkt!BJ25+(1-Inputs!$B$15)*MIN(Mkt!BJ25,BI25*(1+Inputs!$B$18))),BI25)))</f>
        <v>2082.1912985</v>
      </c>
      <c r="BK25" s="11" t="n">
        <f aca="false">IF(BK$1&lt;Units!$P24,0,IF(AND(Units!$K24=0,BK$1=Units!$O24),Units!$R24,IF(AND(BK$1&gt;=Units!$Q24,MOD(BK$1-Units!$Q24,12)=0),IF(AND(Units!$L24=1,BK$1=Units!$Q24),IF(Units!$J24&lt;&gt;"",Units!$J24,Mkt!BK25),Inputs!$B$15*Mkt!BK25+(1-Inputs!$B$15)*MIN(Mkt!BK25,BJ25*(1+Inputs!$B$18))),BJ25)))</f>
        <v>2082.1912985</v>
      </c>
      <c r="BL25" s="11" t="n">
        <f aca="false">IF(BL$1&lt;Units!$P24,0,IF(AND(Units!$K24=0,BL$1=Units!$O24),Units!$R24,IF(AND(BL$1&gt;=Units!$Q24,MOD(BL$1-Units!$Q24,12)=0),IF(AND(Units!$L24=1,BL$1=Units!$Q24),IF(Units!$J24&lt;&gt;"",Units!$J24,Mkt!BL25),Inputs!$B$15*Mkt!BL25+(1-Inputs!$B$15)*MIN(Mkt!BL25,BK25*(1+Inputs!$B$18))),BK25)))</f>
        <v>2082.1912985</v>
      </c>
      <c r="BM25" s="11" t="n">
        <f aca="false">IF(BM$1&lt;Units!$P24,0,IF(AND(Units!$K24=0,BM$1=Units!$O24),Units!$R24,IF(AND(BM$1&gt;=Units!$Q24,MOD(BM$1-Units!$Q24,12)=0),IF(AND(Units!$L24=1,BM$1=Units!$Q24),IF(Units!$J24&lt;&gt;"",Units!$J24,Mkt!BM25),Inputs!$B$15*Mkt!BM25+(1-Inputs!$B$15)*MIN(Mkt!BM25,BL25*(1+Inputs!$B$18))),BL25)))</f>
        <v>2082.1912985</v>
      </c>
      <c r="BN25" s="11" t="n">
        <f aca="false">IF(BN$1&lt;Units!$P24,0,IF(AND(Units!$K24=0,BN$1=Units!$O24),Units!$R24,IF(AND(BN$1&gt;=Units!$Q24,MOD(BN$1-Units!$Q24,12)=0),IF(AND(Units!$L24=1,BN$1=Units!$Q24),IF(Units!$J24&lt;&gt;"",Units!$J24,Mkt!BN25),Inputs!$B$15*Mkt!BN25+(1-Inputs!$B$15)*MIN(Mkt!BN25,BM25*(1+Inputs!$B$18))),BM25)))</f>
        <v>2082.1912985</v>
      </c>
      <c r="BO25" s="11" t="n">
        <f aca="false">IF(BO$1&lt;Units!$P24,0,IF(AND(Units!$K24=0,BO$1=Units!$O24),Units!$R24,IF(AND(BO$1&gt;=Units!$Q24,MOD(BO$1-Units!$Q24,12)=0),IF(AND(Units!$L24=1,BO$1=Units!$Q24),IF(Units!$J24&lt;&gt;"",Units!$J24,Mkt!BO25),Inputs!$B$15*Mkt!BO25+(1-Inputs!$B$15)*MIN(Mkt!BO25,BN25*(1+Inputs!$B$18))),BN25)))</f>
        <v>2082.1912985</v>
      </c>
      <c r="BP25" s="11" t="n">
        <f aca="false">IF(BP$1&lt;Units!$P24,0,IF(AND(Units!$K24=0,BP$1=Units!$O24),Units!$R24,IF(AND(BP$1&gt;=Units!$Q24,MOD(BP$1-Units!$Q24,12)=0),IF(AND(Units!$L24=1,BP$1=Units!$Q24),IF(Units!$J24&lt;&gt;"",Units!$J24,Mkt!BP25),Inputs!$B$15*Mkt!BP25+(1-Inputs!$B$15)*MIN(Mkt!BP25,BO25*(1+Inputs!$B$18))),BO25)))</f>
        <v>2082.1912985</v>
      </c>
      <c r="BQ25" s="11" t="n">
        <f aca="false">IF(BQ$1&lt;Units!$P24,0,IF(AND(Units!$K24=0,BQ$1=Units!$O24),Units!$R24,IF(AND(BQ$1&gt;=Units!$Q24,MOD(BQ$1-Units!$Q24,12)=0),IF(AND(Units!$L24=1,BQ$1=Units!$Q24),IF(Units!$J24&lt;&gt;"",Units!$J24,Mkt!BQ25),Inputs!$B$15*Mkt!BQ25+(1-Inputs!$B$15)*MIN(Mkt!BQ25,BP25*(1+Inputs!$B$18))),BP25)))</f>
        <v>2144.657037455</v>
      </c>
      <c r="BR25" s="11" t="n">
        <f aca="false">IF(BR$1&lt;Units!$P24,0,IF(AND(Units!$K24=0,BR$1=Units!$O24),Units!$R24,IF(AND(BR$1&gt;=Units!$Q24,MOD(BR$1-Units!$Q24,12)=0),IF(AND(Units!$L24=1,BR$1=Units!$Q24),IF(Units!$J24&lt;&gt;"",Units!$J24,Mkt!BR25),Inputs!$B$15*Mkt!BR25+(1-Inputs!$B$15)*MIN(Mkt!BR25,BQ25*(1+Inputs!$B$18))),BQ25)))</f>
        <v>2144.657037455</v>
      </c>
      <c r="BS25" s="11" t="n">
        <f aca="false">IF(BS$1&lt;Units!$P24,0,IF(AND(Units!$K24=0,BS$1=Units!$O24),Units!$R24,IF(AND(BS$1&gt;=Units!$Q24,MOD(BS$1-Units!$Q24,12)=0),IF(AND(Units!$L24=1,BS$1=Units!$Q24),IF(Units!$J24&lt;&gt;"",Units!$J24,Mkt!BS25),Inputs!$B$15*Mkt!BS25+(1-Inputs!$B$15)*MIN(Mkt!BS25,BR25*(1+Inputs!$B$18))),BR25)))</f>
        <v>2144.657037455</v>
      </c>
      <c r="BT25" s="11" t="n">
        <f aca="false">IF(BT$1&lt;Units!$P24,0,IF(AND(Units!$K24=0,BT$1=Units!$O24),Units!$R24,IF(AND(BT$1&gt;=Units!$Q24,MOD(BT$1-Units!$Q24,12)=0),IF(AND(Units!$L24=1,BT$1=Units!$Q24),IF(Units!$J24&lt;&gt;"",Units!$J24,Mkt!BT25),Inputs!$B$15*Mkt!BT25+(1-Inputs!$B$15)*MIN(Mkt!BT25,BS25*(1+Inputs!$B$18))),BS25)))</f>
        <v>2144.657037455</v>
      </c>
      <c r="BU25" s="11" t="n">
        <f aca="false">IF(BU$1&lt;Units!$P24,0,IF(AND(Units!$K24=0,BU$1=Units!$O24),Units!$R24,IF(AND(BU$1&gt;=Units!$Q24,MOD(BU$1-Units!$Q24,12)=0),IF(AND(Units!$L24=1,BU$1=Units!$Q24),IF(Units!$J24&lt;&gt;"",Units!$J24,Mkt!BU25),Inputs!$B$15*Mkt!BU25+(1-Inputs!$B$15)*MIN(Mkt!BU25,BT25*(1+Inputs!$B$18))),BT25)))</f>
        <v>2144.657037455</v>
      </c>
      <c r="BV25" s="11" t="n">
        <f aca="false">IF(BV$1&lt;Units!$P24,0,IF(AND(Units!$K24=0,BV$1=Units!$O24),Units!$R24,IF(AND(BV$1&gt;=Units!$Q24,MOD(BV$1-Units!$Q24,12)=0),IF(AND(Units!$L24=1,BV$1=Units!$Q24),IF(Units!$J24&lt;&gt;"",Units!$J24,Mkt!BV25),Inputs!$B$15*Mkt!BV25+(1-Inputs!$B$15)*MIN(Mkt!BV25,BU25*(1+Inputs!$B$18))),BU25)))</f>
        <v>2144.657037455</v>
      </c>
      <c r="BW25" s="11" t="n">
        <f aca="false">IF(BW$1&lt;Units!$P24,0,IF(AND(Units!$K24=0,BW$1=Units!$O24),Units!$R24,IF(AND(BW$1&gt;=Units!$Q24,MOD(BW$1-Units!$Q24,12)=0),IF(AND(Units!$L24=1,BW$1=Units!$Q24),IF(Units!$J24&lt;&gt;"",Units!$J24,Mkt!BW25),Inputs!$B$15*Mkt!BW25+(1-Inputs!$B$15)*MIN(Mkt!BW25,BV25*(1+Inputs!$B$18))),BV25)))</f>
        <v>2144.657037455</v>
      </c>
      <c r="BX25" s="11" t="n">
        <f aca="false">IF(BX$1&lt;Units!$P24,0,IF(AND(Units!$K24=0,BX$1=Units!$O24),Units!$R24,IF(AND(BX$1&gt;=Units!$Q24,MOD(BX$1-Units!$Q24,12)=0),IF(AND(Units!$L24=1,BX$1=Units!$Q24),IF(Units!$J24&lt;&gt;"",Units!$J24,Mkt!BX25),Inputs!$B$15*Mkt!BX25+(1-Inputs!$B$15)*MIN(Mkt!BX25,BW25*(1+Inputs!$B$18))),BW25)))</f>
        <v>2144.657037455</v>
      </c>
      <c r="BY25" s="11" t="n">
        <f aca="false">IF(BY$1&lt;Units!$P24,0,IF(AND(Units!$K24=0,BY$1=Units!$O24),Units!$R24,IF(AND(BY$1&gt;=Units!$Q24,MOD(BY$1-Units!$Q24,12)=0),IF(AND(Units!$L24=1,BY$1=Units!$Q24),IF(Units!$J24&lt;&gt;"",Units!$J24,Mkt!BY25),Inputs!$B$15*Mkt!BY25+(1-Inputs!$B$15)*MIN(Mkt!BY25,BX25*(1+Inputs!$B$18))),BX25)))</f>
        <v>2144.657037455</v>
      </c>
      <c r="BZ25" s="11" t="n">
        <f aca="false">IF(BZ$1&lt;Units!$P24,0,IF(AND(Units!$K24=0,BZ$1=Units!$O24),Units!$R24,IF(AND(BZ$1&gt;=Units!$Q24,MOD(BZ$1-Units!$Q24,12)=0),IF(AND(Units!$L24=1,BZ$1=Units!$Q24),IF(Units!$J24&lt;&gt;"",Units!$J24,Mkt!BZ25),Inputs!$B$15*Mkt!BZ25+(1-Inputs!$B$15)*MIN(Mkt!BZ25,BY25*(1+Inputs!$B$18))),BY25)))</f>
        <v>2144.657037455</v>
      </c>
      <c r="CA25" s="11" t="n">
        <f aca="false">IF(CA$1&lt;Units!$P24,0,IF(AND(Units!$K24=0,CA$1=Units!$O24),Units!$R24,IF(AND(CA$1&gt;=Units!$Q24,MOD(CA$1-Units!$Q24,12)=0),IF(AND(Units!$L24=1,CA$1=Units!$Q24),IF(Units!$J24&lt;&gt;"",Units!$J24,Mkt!CA25),Inputs!$B$15*Mkt!CA25+(1-Inputs!$B$15)*MIN(Mkt!CA25,BZ25*(1+Inputs!$B$18))),BZ25)))</f>
        <v>2144.657037455</v>
      </c>
      <c r="CB25" s="11" t="n">
        <f aca="false">IF(CB$1&lt;Units!$P24,0,IF(AND(Units!$K24=0,CB$1=Units!$O24),Units!$R24,IF(AND(CB$1&gt;=Units!$Q24,MOD(CB$1-Units!$Q24,12)=0),IF(AND(Units!$L24=1,CB$1=Units!$Q24),IF(Units!$J24&lt;&gt;"",Units!$J24,Mkt!CB25),Inputs!$B$15*Mkt!CB25+(1-Inputs!$B$15)*MIN(Mkt!CB25,CA25*(1+Inputs!$B$18))),CA25)))</f>
        <v>2144.657037455</v>
      </c>
      <c r="CC25" s="11" t="n">
        <f aca="false">IF(CC$1&lt;Units!$P24,0,IF(AND(Units!$K24=0,CC$1=Units!$O24),Units!$R24,IF(AND(CC$1&gt;=Units!$Q24,MOD(CC$1-Units!$Q24,12)=0),IF(AND(Units!$L24=1,CC$1=Units!$Q24),IF(Units!$J24&lt;&gt;"",Units!$J24,Mkt!CC25),Inputs!$B$15*Mkt!CC25+(1-Inputs!$B$15)*MIN(Mkt!CC25,CB25*(1+Inputs!$B$18))),CB25)))</f>
        <v>2208.99674857865</v>
      </c>
      <c r="CD25" s="11" t="n">
        <f aca="false">IF(CD$1&lt;Units!$P24,0,IF(AND(Units!$K24=0,CD$1=Units!$O24),Units!$R24,IF(AND(CD$1&gt;=Units!$Q24,MOD(CD$1-Units!$Q24,12)=0),IF(AND(Units!$L24=1,CD$1=Units!$Q24),IF(Units!$J24&lt;&gt;"",Units!$J24,Mkt!CD25),Inputs!$B$15*Mkt!CD25+(1-Inputs!$B$15)*MIN(Mkt!CD25,CC25*(1+Inputs!$B$18))),CC25)))</f>
        <v>2208.99674857865</v>
      </c>
      <c r="CE25" s="11" t="n">
        <f aca="false">IF(CE$1&lt;Units!$P24,0,IF(AND(Units!$K24=0,CE$1=Units!$O24),Units!$R24,IF(AND(CE$1&gt;=Units!$Q24,MOD(CE$1-Units!$Q24,12)=0),IF(AND(Units!$L24=1,CE$1=Units!$Q24),IF(Units!$J24&lt;&gt;"",Units!$J24,Mkt!CE25),Inputs!$B$15*Mkt!CE25+(1-Inputs!$B$15)*MIN(Mkt!CE25,CD25*(1+Inputs!$B$18))),CD25)))</f>
        <v>2208.99674857865</v>
      </c>
      <c r="CF25" s="11" t="n">
        <f aca="false">IF(CF$1&lt;Units!$P24,0,IF(AND(Units!$K24=0,CF$1=Units!$O24),Units!$R24,IF(AND(CF$1&gt;=Units!$Q24,MOD(CF$1-Units!$Q24,12)=0),IF(AND(Units!$L24=1,CF$1=Units!$Q24),IF(Units!$J24&lt;&gt;"",Units!$J24,Mkt!CF25),Inputs!$B$15*Mkt!CF25+(1-Inputs!$B$15)*MIN(Mkt!CF25,CE25*(1+Inputs!$B$18))),CE25)))</f>
        <v>2208.99674857865</v>
      </c>
      <c r="CG25" s="11" t="n">
        <f aca="false">IF(CG$1&lt;Units!$P24,0,IF(AND(Units!$K24=0,CG$1=Units!$O24),Units!$R24,IF(AND(CG$1&gt;=Units!$Q24,MOD(CG$1-Units!$Q24,12)=0),IF(AND(Units!$L24=1,CG$1=Units!$Q24),IF(Units!$J24&lt;&gt;"",Units!$J24,Mkt!CG25),Inputs!$B$15*Mkt!CG25+(1-Inputs!$B$15)*MIN(Mkt!CG25,CF25*(1+Inputs!$B$18))),CF25)))</f>
        <v>2208.99674857865</v>
      </c>
      <c r="CH25" s="11" t="n">
        <f aca="false">IF(CH$1&lt;Units!$P24,0,IF(AND(Units!$K24=0,CH$1=Units!$O24),Units!$R24,IF(AND(CH$1&gt;=Units!$Q24,MOD(CH$1-Units!$Q24,12)=0),IF(AND(Units!$L24=1,CH$1=Units!$Q24),IF(Units!$J24&lt;&gt;"",Units!$J24,Mkt!CH25),Inputs!$B$15*Mkt!CH25+(1-Inputs!$B$15)*MIN(Mkt!CH25,CG25*(1+Inputs!$B$18))),CG25)))</f>
        <v>2208.99674857865</v>
      </c>
      <c r="CI25" s="11" t="n">
        <f aca="false">IF(CI$1&lt;Units!$P24,0,IF(AND(Units!$K24=0,CI$1=Units!$O24),Units!$R24,IF(AND(CI$1&gt;=Units!$Q24,MOD(CI$1-Units!$Q24,12)=0),IF(AND(Units!$L24=1,CI$1=Units!$Q24),IF(Units!$J24&lt;&gt;"",Units!$J24,Mkt!CI25),Inputs!$B$15*Mkt!CI25+(1-Inputs!$B$15)*MIN(Mkt!CI25,CH25*(1+Inputs!$B$18))),CH25)))</f>
        <v>2208.99674857865</v>
      </c>
      <c r="CJ25" s="11" t="n">
        <f aca="false">IF(CJ$1&lt;Units!$P24,0,IF(AND(Units!$K24=0,CJ$1=Units!$O24),Units!$R24,IF(AND(CJ$1&gt;=Units!$Q24,MOD(CJ$1-Units!$Q24,12)=0),IF(AND(Units!$L24=1,CJ$1=Units!$Q24),IF(Units!$J24&lt;&gt;"",Units!$J24,Mkt!CJ25),Inputs!$B$15*Mkt!CJ25+(1-Inputs!$B$15)*MIN(Mkt!CJ25,CI25*(1+Inputs!$B$18))),CI25)))</f>
        <v>2208.99674857865</v>
      </c>
      <c r="CK25" s="11" t="n">
        <f aca="false">IF(CK$1&lt;Units!$P24,0,IF(AND(Units!$K24=0,CK$1=Units!$O24),Units!$R24,IF(AND(CK$1&gt;=Units!$Q24,MOD(CK$1-Units!$Q24,12)=0),IF(AND(Units!$L24=1,CK$1=Units!$Q24),IF(Units!$J24&lt;&gt;"",Units!$J24,Mkt!CK25),Inputs!$B$15*Mkt!CK25+(1-Inputs!$B$15)*MIN(Mkt!CK25,CJ25*(1+Inputs!$B$18))),CJ25)))</f>
        <v>2208.99674857865</v>
      </c>
      <c r="CL25" s="11" t="n">
        <f aca="false">IF(CL$1&lt;Units!$P24,0,IF(AND(Units!$K24=0,CL$1=Units!$O24),Units!$R24,IF(AND(CL$1&gt;=Units!$Q24,MOD(CL$1-Units!$Q24,12)=0),IF(AND(Units!$L24=1,CL$1=Units!$Q24),IF(Units!$J24&lt;&gt;"",Units!$J24,Mkt!CL25),Inputs!$B$15*Mkt!CL25+(1-Inputs!$B$15)*MIN(Mkt!CL25,CK25*(1+Inputs!$B$18))),CK25)))</f>
        <v>2208.99674857865</v>
      </c>
      <c r="CM25" s="11" t="n">
        <f aca="false">IF(CM$1&lt;Units!$P24,0,IF(AND(Units!$K24=0,CM$1=Units!$O24),Units!$R24,IF(AND(CM$1&gt;=Units!$Q24,MOD(CM$1-Units!$Q24,12)=0),IF(AND(Units!$L24=1,CM$1=Units!$Q24),IF(Units!$J24&lt;&gt;"",Units!$J24,Mkt!CM25),Inputs!$B$15*Mkt!CM25+(1-Inputs!$B$15)*MIN(Mkt!CM25,CL25*(1+Inputs!$B$18))),CL25)))</f>
        <v>2208.99674857865</v>
      </c>
      <c r="CN25" s="11" t="n">
        <f aca="false">IF(CN$1&lt;Units!$P24,0,IF(AND(Units!$K24=0,CN$1=Units!$O24),Units!$R24,IF(AND(CN$1&gt;=Units!$Q24,MOD(CN$1-Units!$Q24,12)=0),IF(AND(Units!$L24=1,CN$1=Units!$Q24),IF(Units!$J24&lt;&gt;"",Units!$J24,Mkt!CN25),Inputs!$B$15*Mkt!CN25+(1-Inputs!$B$15)*MIN(Mkt!CN25,CM25*(1+Inputs!$B$18))),CM25)))</f>
        <v>2208.99674857865</v>
      </c>
      <c r="CO25" s="11" t="n">
        <f aca="false">IF(CO$1&lt;Units!$P24,0,IF(AND(Units!$K24=0,CO$1=Units!$O24),Units!$R24,IF(AND(CO$1&gt;=Units!$Q24,MOD(CO$1-Units!$Q24,12)=0),IF(AND(Units!$L24=1,CO$1=Units!$Q24),IF(Units!$J24&lt;&gt;"",Units!$J24,Mkt!CO25),Inputs!$B$15*Mkt!CO25+(1-Inputs!$B$15)*MIN(Mkt!CO25,CN25*(1+Inputs!$B$18))),CN25)))</f>
        <v>2275.26665103601</v>
      </c>
      <c r="CP25" s="11" t="n">
        <f aca="false">IF(CP$1&lt;Units!$P24,0,IF(AND(Units!$K24=0,CP$1=Units!$O24),Units!$R24,IF(AND(CP$1&gt;=Units!$Q24,MOD(CP$1-Units!$Q24,12)=0),IF(AND(Units!$L24=1,CP$1=Units!$Q24),IF(Units!$J24&lt;&gt;"",Units!$J24,Mkt!CP25),Inputs!$B$15*Mkt!CP25+(1-Inputs!$B$15)*MIN(Mkt!CP25,CO25*(1+Inputs!$B$18))),CO25)))</f>
        <v>2275.26665103601</v>
      </c>
      <c r="CQ25" s="11" t="n">
        <f aca="false">IF(CQ$1&lt;Units!$P24,0,IF(AND(Units!$K24=0,CQ$1=Units!$O24),Units!$R24,IF(AND(CQ$1&gt;=Units!$Q24,MOD(CQ$1-Units!$Q24,12)=0),IF(AND(Units!$L24=1,CQ$1=Units!$Q24),IF(Units!$J24&lt;&gt;"",Units!$J24,Mkt!CQ25),Inputs!$B$15*Mkt!CQ25+(1-Inputs!$B$15)*MIN(Mkt!CQ25,CP25*(1+Inputs!$B$18))),CP25)))</f>
        <v>2275.26665103601</v>
      </c>
      <c r="CR25" s="11" t="n">
        <f aca="false">IF(CR$1&lt;Units!$P24,0,IF(AND(Units!$K24=0,CR$1=Units!$O24),Units!$R24,IF(AND(CR$1&gt;=Units!$Q24,MOD(CR$1-Units!$Q24,12)=0),IF(AND(Units!$L24=1,CR$1=Units!$Q24),IF(Units!$J24&lt;&gt;"",Units!$J24,Mkt!CR25),Inputs!$B$15*Mkt!CR25+(1-Inputs!$B$15)*MIN(Mkt!CR25,CQ25*(1+Inputs!$B$18))),CQ25)))</f>
        <v>2275.26665103601</v>
      </c>
      <c r="CS25" s="11" t="n">
        <f aca="false">IF(CS$1&lt;Units!$P24,0,IF(AND(Units!$K24=0,CS$1=Units!$O24),Units!$R24,IF(AND(CS$1&gt;=Units!$Q24,MOD(CS$1-Units!$Q24,12)=0),IF(AND(Units!$L24=1,CS$1=Units!$Q24),IF(Units!$J24&lt;&gt;"",Units!$J24,Mkt!CS25),Inputs!$B$15*Mkt!CS25+(1-Inputs!$B$15)*MIN(Mkt!CS25,CR25*(1+Inputs!$B$18))),CR25)))</f>
        <v>2275.26665103601</v>
      </c>
      <c r="CT25" s="11" t="n">
        <f aca="false">IF(CT$1&lt;Units!$P24,0,IF(AND(Units!$K24=0,CT$1=Units!$O24),Units!$R24,IF(AND(CT$1&gt;=Units!$Q24,MOD(CT$1-Units!$Q24,12)=0),IF(AND(Units!$L24=1,CT$1=Units!$Q24),IF(Units!$J24&lt;&gt;"",Units!$J24,Mkt!CT25),Inputs!$B$15*Mkt!CT25+(1-Inputs!$B$15)*MIN(Mkt!CT25,CS25*(1+Inputs!$B$18))),CS25)))</f>
        <v>2275.26665103601</v>
      </c>
      <c r="CU25" s="11" t="n">
        <f aca="false">IF(CU$1&lt;Units!$P24,0,IF(AND(Units!$K24=0,CU$1=Units!$O24),Units!$R24,IF(AND(CU$1&gt;=Units!$Q24,MOD(CU$1-Units!$Q24,12)=0),IF(AND(Units!$L24=1,CU$1=Units!$Q24),IF(Units!$J24&lt;&gt;"",Units!$J24,Mkt!CU25),Inputs!$B$15*Mkt!CU25+(1-Inputs!$B$15)*MIN(Mkt!CU25,CT25*(1+Inputs!$B$18))),CT25)))</f>
        <v>2275.26665103601</v>
      </c>
      <c r="CV25" s="11" t="n">
        <f aca="false">IF(CV$1&lt;Units!$P24,0,IF(AND(Units!$K24=0,CV$1=Units!$O24),Units!$R24,IF(AND(CV$1&gt;=Units!$Q24,MOD(CV$1-Units!$Q24,12)=0),IF(AND(Units!$L24=1,CV$1=Units!$Q24),IF(Units!$J24&lt;&gt;"",Units!$J24,Mkt!CV25),Inputs!$B$15*Mkt!CV25+(1-Inputs!$B$15)*MIN(Mkt!CV25,CU25*(1+Inputs!$B$18))),CU25)))</f>
        <v>2275.26665103601</v>
      </c>
      <c r="CW25" s="11" t="n">
        <f aca="false">IF(CW$1&lt;Units!$P24,0,IF(AND(Units!$K24=0,CW$1=Units!$O24),Units!$R24,IF(AND(CW$1&gt;=Units!$Q24,MOD(CW$1-Units!$Q24,12)=0),IF(AND(Units!$L24=1,CW$1=Units!$Q24),IF(Units!$J24&lt;&gt;"",Units!$J24,Mkt!CW25),Inputs!$B$15*Mkt!CW25+(1-Inputs!$B$15)*MIN(Mkt!CW25,CV25*(1+Inputs!$B$18))),CV25)))</f>
        <v>2275.26665103601</v>
      </c>
      <c r="CX25" s="11" t="n">
        <f aca="false">IF(CX$1&lt;Units!$P24,0,IF(AND(Units!$K24=0,CX$1=Units!$O24),Units!$R24,IF(AND(CX$1&gt;=Units!$Q24,MOD(CX$1-Units!$Q24,12)=0),IF(AND(Units!$L24=1,CX$1=Units!$Q24),IF(Units!$J24&lt;&gt;"",Units!$J24,Mkt!CX25),Inputs!$B$15*Mkt!CX25+(1-Inputs!$B$15)*MIN(Mkt!CX25,CW25*(1+Inputs!$B$18))),CW25)))</f>
        <v>2275.26665103601</v>
      </c>
      <c r="CY25" s="11" t="n">
        <f aca="false">IF(CY$1&lt;Units!$P24,0,IF(AND(Units!$K24=0,CY$1=Units!$O24),Units!$R24,IF(AND(CY$1&gt;=Units!$Q24,MOD(CY$1-Units!$Q24,12)=0),IF(AND(Units!$L24=1,CY$1=Units!$Q24),IF(Units!$J24&lt;&gt;"",Units!$J24,Mkt!CY25),Inputs!$B$15*Mkt!CY25+(1-Inputs!$B$15)*MIN(Mkt!CY25,CX25*(1+Inputs!$B$18))),CX25)))</f>
        <v>2275.26665103601</v>
      </c>
      <c r="CZ25" s="11" t="n">
        <f aca="false">IF(CZ$1&lt;Units!$P24,0,IF(AND(Units!$K24=0,CZ$1=Units!$O24),Units!$R24,IF(AND(CZ$1&gt;=Units!$Q24,MOD(CZ$1-Units!$Q24,12)=0),IF(AND(Units!$L24=1,CZ$1=Units!$Q24),IF(Units!$J24&lt;&gt;"",Units!$J24,Mkt!CZ25),Inputs!$B$15*Mkt!CZ25+(1-Inputs!$B$15)*MIN(Mkt!CZ25,CY25*(1+Inputs!$B$18))),CY25)))</f>
        <v>2275.26665103601</v>
      </c>
      <c r="DA25" s="11" t="n">
        <f aca="false">IF(DA$1&lt;Units!$P24,0,IF(AND(Units!$K24=0,DA$1=Units!$O24),Units!$R24,IF(AND(DA$1&gt;=Units!$Q24,MOD(DA$1-Units!$Q24,12)=0),IF(AND(Units!$L24=1,DA$1=Units!$Q24),IF(Units!$J24&lt;&gt;"",Units!$J24,Mkt!DA25),Inputs!$B$15*Mkt!DA25+(1-Inputs!$B$15)*MIN(Mkt!DA25,CZ25*(1+Inputs!$B$18))),CZ25)))</f>
        <v>2343.52465056709</v>
      </c>
      <c r="DB25" s="11" t="n">
        <f aca="false">IF(DB$1&lt;Units!$P24,0,IF(AND(Units!$K24=0,DB$1=Units!$O24),Units!$R24,IF(AND(DB$1&gt;=Units!$Q24,MOD(DB$1-Units!$Q24,12)=0),IF(AND(Units!$L24=1,DB$1=Units!$Q24),IF(Units!$J24&lt;&gt;"",Units!$J24,Mkt!DB25),Inputs!$B$15*Mkt!DB25+(1-Inputs!$B$15)*MIN(Mkt!DB25,DA25*(1+Inputs!$B$18))),DA25)))</f>
        <v>2343.52465056709</v>
      </c>
      <c r="DC25" s="11" t="n">
        <f aca="false">IF(DC$1&lt;Units!$P24,0,IF(AND(Units!$K24=0,DC$1=Units!$O24),Units!$R24,IF(AND(DC$1&gt;=Units!$Q24,MOD(DC$1-Units!$Q24,12)=0),IF(AND(Units!$L24=1,DC$1=Units!$Q24),IF(Units!$J24&lt;&gt;"",Units!$J24,Mkt!DC25),Inputs!$B$15*Mkt!DC25+(1-Inputs!$B$15)*MIN(Mkt!DC25,DB25*(1+Inputs!$B$18))),DB25)))</f>
        <v>2343.52465056709</v>
      </c>
      <c r="DD25" s="11" t="n">
        <f aca="false">IF(DD$1&lt;Units!$P24,0,IF(AND(Units!$K24=0,DD$1=Units!$O24),Units!$R24,IF(AND(DD$1&gt;=Units!$Q24,MOD(DD$1-Units!$Q24,12)=0),IF(AND(Units!$L24=1,DD$1=Units!$Q24),IF(Units!$J24&lt;&gt;"",Units!$J24,Mkt!DD25),Inputs!$B$15*Mkt!DD25+(1-Inputs!$B$15)*MIN(Mkt!DD25,DC25*(1+Inputs!$B$18))),DC25)))</f>
        <v>2343.52465056709</v>
      </c>
      <c r="DE25" s="11" t="n">
        <f aca="false">IF(DE$1&lt;Units!$P24,0,IF(AND(Units!$K24=0,DE$1=Units!$O24),Units!$R24,IF(AND(DE$1&gt;=Units!$Q24,MOD(DE$1-Units!$Q24,12)=0),IF(AND(Units!$L24=1,DE$1=Units!$Q24),IF(Units!$J24&lt;&gt;"",Units!$J24,Mkt!DE25),Inputs!$B$15*Mkt!DE25+(1-Inputs!$B$15)*MIN(Mkt!DE25,DD25*(1+Inputs!$B$18))),DD25)))</f>
        <v>2343.52465056709</v>
      </c>
      <c r="DF25" s="11" t="n">
        <f aca="false">IF(DF$1&lt;Units!$P24,0,IF(AND(Units!$K24=0,DF$1=Units!$O24),Units!$R24,IF(AND(DF$1&gt;=Units!$Q24,MOD(DF$1-Units!$Q24,12)=0),IF(AND(Units!$L24=1,DF$1=Units!$Q24),IF(Units!$J24&lt;&gt;"",Units!$J24,Mkt!DF25),Inputs!$B$15*Mkt!DF25+(1-Inputs!$B$15)*MIN(Mkt!DF25,DE25*(1+Inputs!$B$18))),DE25)))</f>
        <v>2343.52465056709</v>
      </c>
      <c r="DG25" s="11" t="n">
        <f aca="false">IF(DG$1&lt;Units!$P24,0,IF(AND(Units!$K24=0,DG$1=Units!$O24),Units!$R24,IF(AND(DG$1&gt;=Units!$Q24,MOD(DG$1-Units!$Q24,12)=0),IF(AND(Units!$L24=1,DG$1=Units!$Q24),IF(Units!$J24&lt;&gt;"",Units!$J24,Mkt!DG25),Inputs!$B$15*Mkt!DG25+(1-Inputs!$B$15)*MIN(Mkt!DG25,DF25*(1+Inputs!$B$18))),DF25)))</f>
        <v>2343.52465056709</v>
      </c>
      <c r="DH25" s="11" t="n">
        <f aca="false">IF(DH$1&lt;Units!$P24,0,IF(AND(Units!$K24=0,DH$1=Units!$O24),Units!$R24,IF(AND(DH$1&gt;=Units!$Q24,MOD(DH$1-Units!$Q24,12)=0),IF(AND(Units!$L24=1,DH$1=Units!$Q24),IF(Units!$J24&lt;&gt;"",Units!$J24,Mkt!DH25),Inputs!$B$15*Mkt!DH25+(1-Inputs!$B$15)*MIN(Mkt!DH25,DG25*(1+Inputs!$B$18))),DG25)))</f>
        <v>2343.52465056709</v>
      </c>
      <c r="DI25" s="11" t="n">
        <f aca="false">IF(DI$1&lt;Units!$P24,0,IF(AND(Units!$K24=0,DI$1=Units!$O24),Units!$R24,IF(AND(DI$1&gt;=Units!$Q24,MOD(DI$1-Units!$Q24,12)=0),IF(AND(Units!$L24=1,DI$1=Units!$Q24),IF(Units!$J24&lt;&gt;"",Units!$J24,Mkt!DI25),Inputs!$B$15*Mkt!DI25+(1-Inputs!$B$15)*MIN(Mkt!DI25,DH25*(1+Inputs!$B$18))),DH25)))</f>
        <v>2343.52465056709</v>
      </c>
      <c r="DJ25" s="11" t="n">
        <f aca="false">IF(DJ$1&lt;Units!$P24,0,IF(AND(Units!$K24=0,DJ$1=Units!$O24),Units!$R24,IF(AND(DJ$1&gt;=Units!$Q24,MOD(DJ$1-Units!$Q24,12)=0),IF(AND(Units!$L24=1,DJ$1=Units!$Q24),IF(Units!$J24&lt;&gt;"",Units!$J24,Mkt!DJ25),Inputs!$B$15*Mkt!DJ25+(1-Inputs!$B$15)*MIN(Mkt!DJ25,DI25*(1+Inputs!$B$18))),DI25)))</f>
        <v>2343.52465056709</v>
      </c>
      <c r="DK25" s="11" t="n">
        <f aca="false">IF(DK$1&lt;Units!$P24,0,IF(AND(Units!$K24=0,DK$1=Units!$O24),Units!$R24,IF(AND(DK$1&gt;=Units!$Q24,MOD(DK$1-Units!$Q24,12)=0),IF(AND(Units!$L24=1,DK$1=Units!$Q24),IF(Units!$J24&lt;&gt;"",Units!$J24,Mkt!DK25),Inputs!$B$15*Mkt!DK25+(1-Inputs!$B$15)*MIN(Mkt!DK25,DJ25*(1+Inputs!$B$18))),DJ25)))</f>
        <v>2343.52465056709</v>
      </c>
      <c r="DL25" s="11" t="n">
        <f aca="false">IF(DL$1&lt;Units!$P24,0,IF(AND(Units!$K24=0,DL$1=Units!$O24),Units!$R24,IF(AND(DL$1&gt;=Units!$Q24,MOD(DL$1-Units!$Q24,12)=0),IF(AND(Units!$L24=1,DL$1=Units!$Q24),IF(Units!$J24&lt;&gt;"",Units!$J24,Mkt!DL25),Inputs!$B$15*Mkt!DL25+(1-Inputs!$B$15)*MIN(Mkt!DL25,DK25*(1+Inputs!$B$18))),DK25)))</f>
        <v>2343.52465056709</v>
      </c>
      <c r="DM25" s="11" t="n">
        <f aca="false">IF(DM$1&lt;Units!$P24,0,IF(AND(Units!$K24=0,DM$1=Units!$O24),Units!$R24,IF(AND(DM$1&gt;=Units!$Q24,MOD(DM$1-Units!$Q24,12)=0),IF(AND(Units!$L24=1,DM$1=Units!$Q24),IF(Units!$J24&lt;&gt;"",Units!$J24,Mkt!DM25),Inputs!$B$15*Mkt!DM25+(1-Inputs!$B$15)*MIN(Mkt!DM25,DL25*(1+Inputs!$B$18))),DL25)))</f>
        <v>2413.8303900841</v>
      </c>
      <c r="DN25" s="11" t="n">
        <f aca="false">IF(DN$1&lt;Units!$P24,0,IF(AND(Units!$K24=0,DN$1=Units!$O24),Units!$R24,IF(AND(DN$1&gt;=Units!$Q24,MOD(DN$1-Units!$Q24,12)=0),IF(AND(Units!$L24=1,DN$1=Units!$Q24),IF(Units!$J24&lt;&gt;"",Units!$J24,Mkt!DN25),Inputs!$B$15*Mkt!DN25+(1-Inputs!$B$15)*MIN(Mkt!DN25,DM25*(1+Inputs!$B$18))),DM25)))</f>
        <v>2413.8303900841</v>
      </c>
      <c r="DO25" s="11" t="n">
        <f aca="false">IF(DO$1&lt;Units!$P24,0,IF(AND(Units!$K24=0,DO$1=Units!$O24),Units!$R24,IF(AND(DO$1&gt;=Units!$Q24,MOD(DO$1-Units!$Q24,12)=0),IF(AND(Units!$L24=1,DO$1=Units!$Q24),IF(Units!$J24&lt;&gt;"",Units!$J24,Mkt!DO25),Inputs!$B$15*Mkt!DO25+(1-Inputs!$B$15)*MIN(Mkt!DO25,DN25*(1+Inputs!$B$18))),DN25)))</f>
        <v>2413.8303900841</v>
      </c>
      <c r="DP25" s="11" t="n">
        <f aca="false">IF(DP$1&lt;Units!$P24,0,IF(AND(Units!$K24=0,DP$1=Units!$O24),Units!$R24,IF(AND(DP$1&gt;=Units!$Q24,MOD(DP$1-Units!$Q24,12)=0),IF(AND(Units!$L24=1,DP$1=Units!$Q24),IF(Units!$J24&lt;&gt;"",Units!$J24,Mkt!DP25),Inputs!$B$15*Mkt!DP25+(1-Inputs!$B$15)*MIN(Mkt!DP25,DO25*(1+Inputs!$B$18))),DO25)))</f>
        <v>2413.8303900841</v>
      </c>
      <c r="DQ25" s="11" t="n">
        <f aca="false">IF(DQ$1&lt;Units!$P24,0,IF(AND(Units!$K24=0,DQ$1=Units!$O24),Units!$R24,IF(AND(DQ$1&gt;=Units!$Q24,MOD(DQ$1-Units!$Q24,12)=0),IF(AND(Units!$L24=1,DQ$1=Units!$Q24),IF(Units!$J24&lt;&gt;"",Units!$J24,Mkt!DQ25),Inputs!$B$15*Mkt!DQ25+(1-Inputs!$B$15)*MIN(Mkt!DQ25,DP25*(1+Inputs!$B$18))),DP25)))</f>
        <v>2413.8303900841</v>
      </c>
      <c r="DR25" s="11" t="n">
        <f aca="false">IF(DR$1&lt;Units!$P24,0,IF(AND(Units!$K24=0,DR$1=Units!$O24),Units!$R24,IF(AND(DR$1&gt;=Units!$Q24,MOD(DR$1-Units!$Q24,12)=0),IF(AND(Units!$L24=1,DR$1=Units!$Q24),IF(Units!$J24&lt;&gt;"",Units!$J24,Mkt!DR25),Inputs!$B$15*Mkt!DR25+(1-Inputs!$B$15)*MIN(Mkt!DR25,DQ25*(1+Inputs!$B$18))),DQ25)))</f>
        <v>2413.8303900841</v>
      </c>
      <c r="DS25" s="11" t="n">
        <f aca="false">IF(DS$1&lt;Units!$P24,0,IF(AND(Units!$K24=0,DS$1=Units!$O24),Units!$R24,IF(AND(DS$1&gt;=Units!$Q24,MOD(DS$1-Units!$Q24,12)=0),IF(AND(Units!$L24=1,DS$1=Units!$Q24),IF(Units!$J24&lt;&gt;"",Units!$J24,Mkt!DS25),Inputs!$B$15*Mkt!DS25+(1-Inputs!$B$15)*MIN(Mkt!DS25,DR25*(1+Inputs!$B$18))),DR25)))</f>
        <v>2413.8303900841</v>
      </c>
      <c r="DT25" s="11" t="n">
        <f aca="false">IF(DT$1&lt;Units!$P24,0,IF(AND(Units!$K24=0,DT$1=Units!$O24),Units!$R24,IF(AND(DT$1&gt;=Units!$Q24,MOD(DT$1-Units!$Q24,12)=0),IF(AND(Units!$L24=1,DT$1=Units!$Q24),IF(Units!$J24&lt;&gt;"",Units!$J24,Mkt!DT25),Inputs!$B$15*Mkt!DT25+(1-Inputs!$B$15)*MIN(Mkt!DT25,DS25*(1+Inputs!$B$18))),DS25)))</f>
        <v>2413.8303900841</v>
      </c>
      <c r="DU25" s="11" t="n">
        <f aca="false">IF(DU$1&lt;Units!$P24,0,IF(AND(Units!$K24=0,DU$1=Units!$O24),Units!$R24,IF(AND(DU$1&gt;=Units!$Q24,MOD(DU$1-Units!$Q24,12)=0),IF(AND(Units!$L24=1,DU$1=Units!$Q24),IF(Units!$J24&lt;&gt;"",Units!$J24,Mkt!DU25),Inputs!$B$15*Mkt!DU25+(1-Inputs!$B$15)*MIN(Mkt!DU25,DT25*(1+Inputs!$B$18))),DT25)))</f>
        <v>2413.8303900841</v>
      </c>
      <c r="DV25" s="11" t="n">
        <f aca="false">IF(DV$1&lt;Units!$P24,0,IF(AND(Units!$K24=0,DV$1=Units!$O24),Units!$R24,IF(AND(DV$1&gt;=Units!$Q24,MOD(DV$1-Units!$Q24,12)=0),IF(AND(Units!$L24=1,DV$1=Units!$Q24),IF(Units!$J24&lt;&gt;"",Units!$J24,Mkt!DV25),Inputs!$B$15*Mkt!DV25+(1-Inputs!$B$15)*MIN(Mkt!DV25,DU25*(1+Inputs!$B$18))),DU25)))</f>
        <v>2413.8303900841</v>
      </c>
      <c r="DW25" s="11" t="n">
        <f aca="false">IF(DW$1&lt;Units!$P24,0,IF(AND(Units!$K24=0,DW$1=Units!$O24),Units!$R24,IF(AND(DW$1&gt;=Units!$Q24,MOD(DW$1-Units!$Q24,12)=0),IF(AND(Units!$L24=1,DW$1=Units!$Q24),IF(Units!$J24&lt;&gt;"",Units!$J24,Mkt!DW25),Inputs!$B$15*Mkt!DW25+(1-Inputs!$B$15)*MIN(Mkt!DW25,DV25*(1+Inputs!$B$18))),DV25)))</f>
        <v>2413.8303900841</v>
      </c>
      <c r="DX25" s="11" t="n">
        <f aca="false">IF(DX$1&lt;Units!$P24,0,IF(AND(Units!$K24=0,DX$1=Units!$O24),Units!$R24,IF(AND(DX$1&gt;=Units!$Q24,MOD(DX$1-Units!$Q24,12)=0),IF(AND(Units!$L24=1,DX$1=Units!$Q24),IF(Units!$J24&lt;&gt;"",Units!$J24,Mkt!DX25),Inputs!$B$15*Mkt!DX25+(1-Inputs!$B$15)*MIN(Mkt!DX25,DW25*(1+Inputs!$B$18))),DW25)))</f>
        <v>2413.8303900841</v>
      </c>
      <c r="DY25" s="11" t="n">
        <f aca="false">IF(DY$1&lt;Units!$P24,0,IF(AND(Units!$K24=0,DY$1=Units!$O24),Units!$R24,IF(AND(DY$1&gt;=Units!$Q24,MOD(DY$1-Units!$Q24,12)=0),IF(AND(Units!$L24=1,DY$1=Units!$Q24),IF(Units!$J24&lt;&gt;"",Units!$J24,Mkt!DY25),Inputs!$B$15*Mkt!DY25+(1-Inputs!$B$15)*MIN(Mkt!DY25,DX25*(1+Inputs!$B$18))),DX25)))</f>
        <v>2486.24530178663</v>
      </c>
      <c r="DZ25" s="11" t="n">
        <f aca="false">IF(DZ$1&lt;Units!$P24,0,IF(AND(Units!$K24=0,DZ$1=Units!$O24),Units!$R24,IF(AND(DZ$1&gt;=Units!$Q24,MOD(DZ$1-Units!$Q24,12)=0),IF(AND(Units!$L24=1,DZ$1=Units!$Q24),IF(Units!$J24&lt;&gt;"",Units!$J24,Mkt!DZ25),Inputs!$B$15*Mkt!DZ25+(1-Inputs!$B$15)*MIN(Mkt!DZ25,DY25*(1+Inputs!$B$18))),DY25)))</f>
        <v>2486.24530178663</v>
      </c>
      <c r="EA25" s="11" t="n">
        <f aca="false">IF(EA$1&lt;Units!$P24,0,IF(AND(Units!$K24=0,EA$1=Units!$O24),Units!$R24,IF(AND(EA$1&gt;=Units!$Q24,MOD(EA$1-Units!$Q24,12)=0),IF(AND(Units!$L24=1,EA$1=Units!$Q24),IF(Units!$J24&lt;&gt;"",Units!$J24,Mkt!EA25),Inputs!$B$15*Mkt!EA25+(1-Inputs!$B$15)*MIN(Mkt!EA25,DZ25*(1+Inputs!$B$18))),DZ25)))</f>
        <v>2486.24530178663</v>
      </c>
      <c r="EB25" s="11" t="n">
        <f aca="false">IF(EB$1&lt;Units!$P24,0,IF(AND(Units!$K24=0,EB$1=Units!$O24),Units!$R24,IF(AND(EB$1&gt;=Units!$Q24,MOD(EB$1-Units!$Q24,12)=0),IF(AND(Units!$L24=1,EB$1=Units!$Q24),IF(Units!$J24&lt;&gt;"",Units!$J24,Mkt!EB25),Inputs!$B$15*Mkt!EB25+(1-Inputs!$B$15)*MIN(Mkt!EB25,EA25*(1+Inputs!$B$18))),EA25)))</f>
        <v>2486.24530178663</v>
      </c>
      <c r="EC25" s="11" t="n">
        <f aca="false">IF(EC$1&lt;Units!$P24,0,IF(AND(Units!$K24=0,EC$1=Units!$O24),Units!$R24,IF(AND(EC$1&gt;=Units!$Q24,MOD(EC$1-Units!$Q24,12)=0),IF(AND(Units!$L24=1,EC$1=Units!$Q24),IF(Units!$J24&lt;&gt;"",Units!$J24,Mkt!EC25),Inputs!$B$15*Mkt!EC25+(1-Inputs!$B$15)*MIN(Mkt!EC25,EB25*(1+Inputs!$B$18))),EB25)))</f>
        <v>2486.24530178663</v>
      </c>
      <c r="ED25" s="11" t="n">
        <f aca="false">IF(ED$1&lt;Units!$P24,0,IF(AND(Units!$K24=0,ED$1=Units!$O24),Units!$R24,IF(AND(ED$1&gt;=Units!$Q24,MOD(ED$1-Units!$Q24,12)=0),IF(AND(Units!$L24=1,ED$1=Units!$Q24),IF(Units!$J24&lt;&gt;"",Units!$J24,Mkt!ED25),Inputs!$B$15*Mkt!ED25+(1-Inputs!$B$15)*MIN(Mkt!ED25,EC25*(1+Inputs!$B$18))),EC25)))</f>
        <v>2486.24530178663</v>
      </c>
    </row>
    <row r="26" customFormat="false" ht="15" hidden="false" customHeight="false" outlineLevel="0" collapsed="false">
      <c r="A26" s="22" t="n">
        <f aca="false">Units!A25</f>
        <v>124</v>
      </c>
      <c r="B26" s="24" t="n">
        <f aca="false">IF(Units!K25=1,Units!F25,0)</f>
        <v>1680</v>
      </c>
      <c r="C26" s="11" t="n">
        <f aca="false">IF(C$1&lt;Units!$P25,0,IF(AND(Units!$K25=0,C$1=Units!$O25),Units!$R25,IF(AND(C$1&gt;=Units!$Q25,MOD(C$1-Units!$Q25,12)=0),IF(AND(Units!$L25=1,C$1=Units!$Q25),IF(Units!$J25&lt;&gt;"",Units!$J25,Mkt!C26),Inputs!$B$15*Mkt!C26+(1-Inputs!$B$15)*MIN(Mkt!C26,B26*(1+Inputs!$B$18))),B26)))</f>
        <v>1680</v>
      </c>
      <c r="D26" s="11" t="n">
        <f aca="false">IF(D$1&lt;Units!$P25,0,IF(AND(Units!$K25=0,D$1=Units!$O25),Units!$R25,IF(AND(D$1&gt;=Units!$Q25,MOD(D$1-Units!$Q25,12)=0),IF(AND(Units!$L25=1,D$1=Units!$Q25),IF(Units!$J25&lt;&gt;"",Units!$J25,Mkt!D26),Inputs!$B$15*Mkt!D26+(1-Inputs!$B$15)*MIN(Mkt!D26,C26*(1+Inputs!$B$18))),C26)))</f>
        <v>1680</v>
      </c>
      <c r="E26" s="11" t="n">
        <f aca="false">IF(E$1&lt;Units!$P25,0,IF(AND(Units!$K25=0,E$1=Units!$O25),Units!$R25,IF(AND(E$1&gt;=Units!$Q25,MOD(E$1-Units!$Q25,12)=0),IF(AND(Units!$L25=1,E$1=Units!$Q25),IF(Units!$J25&lt;&gt;"",Units!$J25,Mkt!E26),Inputs!$B$15*Mkt!E26+(1-Inputs!$B$15)*MIN(Mkt!E26,D26*(1+Inputs!$B$18))),D26)))</f>
        <v>1680</v>
      </c>
      <c r="F26" s="11" t="n">
        <f aca="false">IF(F$1&lt;Units!$P25,0,IF(AND(Units!$K25=0,F$1=Units!$O25),Units!$R25,IF(AND(F$1&gt;=Units!$Q25,MOD(F$1-Units!$Q25,12)=0),IF(AND(Units!$L25=1,F$1=Units!$Q25),IF(Units!$J25&lt;&gt;"",Units!$J25,Mkt!F26),Inputs!$B$15*Mkt!F26+(1-Inputs!$B$15)*MIN(Mkt!F26,E26*(1+Inputs!$B$18))),E26)))</f>
        <v>1680</v>
      </c>
      <c r="G26" s="11" t="n">
        <f aca="false">IF(G$1&lt;Units!$P25,0,IF(AND(Units!$K25=0,G$1=Units!$O25),Units!$R25,IF(AND(G$1&gt;=Units!$Q25,MOD(G$1-Units!$Q25,12)=0),IF(AND(Units!$L25=1,G$1=Units!$Q25),IF(Units!$J25&lt;&gt;"",Units!$J25,Mkt!G26),Inputs!$B$15*Mkt!G26+(1-Inputs!$B$15)*MIN(Mkt!G26,F26*(1+Inputs!$B$18))),F26)))</f>
        <v>1680</v>
      </c>
      <c r="H26" s="11" t="n">
        <f aca="false">IF(H$1&lt;Units!$P25,0,IF(AND(Units!$K25=0,H$1=Units!$O25),Units!$R25,IF(AND(H$1&gt;=Units!$Q25,MOD(H$1-Units!$Q25,12)=0),IF(AND(Units!$L25=1,H$1=Units!$Q25),IF(Units!$J25&lt;&gt;"",Units!$J25,Mkt!H26),Inputs!$B$15*Mkt!H26+(1-Inputs!$B$15)*MIN(Mkt!H26,G26*(1+Inputs!$B$18))),G26)))</f>
        <v>1680</v>
      </c>
      <c r="I26" s="11" t="n">
        <f aca="false">IF(I$1&lt;Units!$P25,0,IF(AND(Units!$K25=0,I$1=Units!$O25),Units!$R25,IF(AND(I$1&gt;=Units!$Q25,MOD(I$1-Units!$Q25,12)=0),IF(AND(Units!$L25=1,I$1=Units!$Q25),IF(Units!$J25&lt;&gt;"",Units!$J25,Mkt!I26),Inputs!$B$15*Mkt!I26+(1-Inputs!$B$15)*MIN(Mkt!I26,H26*(1+Inputs!$B$18))),H26)))</f>
        <v>1680</v>
      </c>
      <c r="J26" s="11" t="n">
        <f aca="false">IF(J$1&lt;Units!$P25,0,IF(AND(Units!$K25=0,J$1=Units!$O25),Units!$R25,IF(AND(J$1&gt;=Units!$Q25,MOD(J$1-Units!$Q25,12)=0),IF(AND(Units!$L25=1,J$1=Units!$Q25),IF(Units!$J25&lt;&gt;"",Units!$J25,Mkt!J26),Inputs!$B$15*Mkt!J26+(1-Inputs!$B$15)*MIN(Mkt!J26,I26*(1+Inputs!$B$18))),I26)))</f>
        <v>1680</v>
      </c>
      <c r="K26" s="11" t="n">
        <f aca="false">IF(K$1&lt;Units!$P25,0,IF(AND(Units!$K25=0,K$1=Units!$O25),Units!$R25,IF(AND(K$1&gt;=Units!$Q25,MOD(K$1-Units!$Q25,12)=0),IF(AND(Units!$L25=1,K$1=Units!$Q25),IF(Units!$J25&lt;&gt;"",Units!$J25,Mkt!K26),Inputs!$B$15*Mkt!K26+(1-Inputs!$B$15)*MIN(Mkt!K26,J26*(1+Inputs!$B$18))),J26)))</f>
        <v>1680</v>
      </c>
      <c r="L26" s="11" t="n">
        <f aca="false">IF(L$1&lt;Units!$P25,0,IF(AND(Units!$K25=0,L$1=Units!$O25),Units!$R25,IF(AND(L$1&gt;=Units!$Q25,MOD(L$1-Units!$Q25,12)=0),IF(AND(Units!$L25=1,L$1=Units!$Q25),IF(Units!$J25&lt;&gt;"",Units!$J25,Mkt!L26),Inputs!$B$15*Mkt!L26+(1-Inputs!$B$15)*MIN(Mkt!L26,K26*(1+Inputs!$B$18))),K26)))</f>
        <v>1680</v>
      </c>
      <c r="M26" s="11" t="n">
        <f aca="false">IF(M$1&lt;Units!$P25,0,IF(AND(Units!$K25=0,M$1=Units!$O25),Units!$R25,IF(AND(M$1&gt;=Units!$Q25,MOD(M$1-Units!$Q25,12)=0),IF(AND(Units!$L25=1,M$1=Units!$Q25),IF(Units!$J25&lt;&gt;"",Units!$J25,Mkt!M26),Inputs!$B$15*Mkt!M26+(1-Inputs!$B$15)*MIN(Mkt!M26,L26*(1+Inputs!$B$18))),L26)))</f>
        <v>1807</v>
      </c>
      <c r="N26" s="11" t="n">
        <f aca="false">IF(N$1&lt;Units!$P25,0,IF(AND(Units!$K25=0,N$1=Units!$O25),Units!$R25,IF(AND(N$1&gt;=Units!$Q25,MOD(N$1-Units!$Q25,12)=0),IF(AND(Units!$L25=1,N$1=Units!$Q25),IF(Units!$J25&lt;&gt;"",Units!$J25,Mkt!N26),Inputs!$B$15*Mkt!N26+(1-Inputs!$B$15)*MIN(Mkt!N26,M26*(1+Inputs!$B$18))),M26)))</f>
        <v>1807</v>
      </c>
      <c r="O26" s="11" t="n">
        <f aca="false">IF(O$1&lt;Units!$P25,0,IF(AND(Units!$K25=0,O$1=Units!$O25),Units!$R25,IF(AND(O$1&gt;=Units!$Q25,MOD(O$1-Units!$Q25,12)=0),IF(AND(Units!$L25=1,O$1=Units!$Q25),IF(Units!$J25&lt;&gt;"",Units!$J25,Mkt!O26),Inputs!$B$15*Mkt!O26+(1-Inputs!$B$15)*MIN(Mkt!O26,N26*(1+Inputs!$B$18))),N26)))</f>
        <v>1807</v>
      </c>
      <c r="P26" s="11" t="n">
        <f aca="false">IF(P$1&lt;Units!$P25,0,IF(AND(Units!$K25=0,P$1=Units!$O25),Units!$R25,IF(AND(P$1&gt;=Units!$Q25,MOD(P$1-Units!$Q25,12)=0),IF(AND(Units!$L25=1,P$1=Units!$Q25),IF(Units!$J25&lt;&gt;"",Units!$J25,Mkt!P26),Inputs!$B$15*Mkt!P26+(1-Inputs!$B$15)*MIN(Mkt!P26,O26*(1+Inputs!$B$18))),O26)))</f>
        <v>1807</v>
      </c>
      <c r="Q26" s="11" t="n">
        <f aca="false">IF(Q$1&lt;Units!$P25,0,IF(AND(Units!$K25=0,Q$1=Units!$O25),Units!$R25,IF(AND(Q$1&gt;=Units!$Q25,MOD(Q$1-Units!$Q25,12)=0),IF(AND(Units!$L25=1,Q$1=Units!$Q25),IF(Units!$J25&lt;&gt;"",Units!$J25,Mkt!Q26),Inputs!$B$15*Mkt!Q26+(1-Inputs!$B$15)*MIN(Mkt!Q26,P26*(1+Inputs!$B$18))),P26)))</f>
        <v>1807</v>
      </c>
      <c r="R26" s="11" t="n">
        <f aca="false">IF(R$1&lt;Units!$P25,0,IF(AND(Units!$K25=0,R$1=Units!$O25),Units!$R25,IF(AND(R$1&gt;=Units!$Q25,MOD(R$1-Units!$Q25,12)=0),IF(AND(Units!$L25=1,R$1=Units!$Q25),IF(Units!$J25&lt;&gt;"",Units!$J25,Mkt!R26),Inputs!$B$15*Mkt!R26+(1-Inputs!$B$15)*MIN(Mkt!R26,Q26*(1+Inputs!$B$18))),Q26)))</f>
        <v>1807</v>
      </c>
      <c r="S26" s="11" t="n">
        <f aca="false">IF(S$1&lt;Units!$P25,0,IF(AND(Units!$K25=0,S$1=Units!$O25),Units!$R25,IF(AND(S$1&gt;=Units!$Q25,MOD(S$1-Units!$Q25,12)=0),IF(AND(Units!$L25=1,S$1=Units!$Q25),IF(Units!$J25&lt;&gt;"",Units!$J25,Mkt!S26),Inputs!$B$15*Mkt!S26+(1-Inputs!$B$15)*MIN(Mkt!S26,R26*(1+Inputs!$B$18))),R26)))</f>
        <v>1807</v>
      </c>
      <c r="T26" s="11" t="n">
        <f aca="false">IF(T$1&lt;Units!$P25,0,IF(AND(Units!$K25=0,T$1=Units!$O25),Units!$R25,IF(AND(T$1&gt;=Units!$Q25,MOD(T$1-Units!$Q25,12)=0),IF(AND(Units!$L25=1,T$1=Units!$Q25),IF(Units!$J25&lt;&gt;"",Units!$J25,Mkt!T26),Inputs!$B$15*Mkt!T26+(1-Inputs!$B$15)*MIN(Mkt!T26,S26*(1+Inputs!$B$18))),S26)))</f>
        <v>1807</v>
      </c>
      <c r="U26" s="11" t="n">
        <f aca="false">IF(U$1&lt;Units!$P25,0,IF(AND(Units!$K25=0,U$1=Units!$O25),Units!$R25,IF(AND(U$1&gt;=Units!$Q25,MOD(U$1-Units!$Q25,12)=0),IF(AND(Units!$L25=1,U$1=Units!$Q25),IF(Units!$J25&lt;&gt;"",Units!$J25,Mkt!U26),Inputs!$B$15*Mkt!U26+(1-Inputs!$B$15)*MIN(Mkt!U26,T26*(1+Inputs!$B$18))),T26)))</f>
        <v>1807</v>
      </c>
      <c r="V26" s="11" t="n">
        <f aca="false">IF(V$1&lt;Units!$P25,0,IF(AND(Units!$K25=0,V$1=Units!$O25),Units!$R25,IF(AND(V$1&gt;=Units!$Q25,MOD(V$1-Units!$Q25,12)=0),IF(AND(Units!$L25=1,V$1=Units!$Q25),IF(Units!$J25&lt;&gt;"",Units!$J25,Mkt!V26),Inputs!$B$15*Mkt!V26+(1-Inputs!$B$15)*MIN(Mkt!V26,U26*(1+Inputs!$B$18))),U26)))</f>
        <v>1807</v>
      </c>
      <c r="W26" s="11" t="n">
        <f aca="false">IF(W$1&lt;Units!$P25,0,IF(AND(Units!$K25=0,W$1=Units!$O25),Units!$R25,IF(AND(W$1&gt;=Units!$Q25,MOD(W$1-Units!$Q25,12)=0),IF(AND(Units!$L25=1,W$1=Units!$Q25),IF(Units!$J25&lt;&gt;"",Units!$J25,Mkt!W26),Inputs!$B$15*Mkt!W26+(1-Inputs!$B$15)*MIN(Mkt!W26,V26*(1+Inputs!$B$18))),V26)))</f>
        <v>1807</v>
      </c>
      <c r="X26" s="11" t="n">
        <f aca="false">IF(X$1&lt;Units!$P25,0,IF(AND(Units!$K25=0,X$1=Units!$O25),Units!$R25,IF(AND(X$1&gt;=Units!$Q25,MOD(X$1-Units!$Q25,12)=0),IF(AND(Units!$L25=1,X$1=Units!$Q25),IF(Units!$J25&lt;&gt;"",Units!$J25,Mkt!X26),Inputs!$B$15*Mkt!X26+(1-Inputs!$B$15)*MIN(Mkt!X26,W26*(1+Inputs!$B$18))),W26)))</f>
        <v>1807</v>
      </c>
      <c r="Y26" s="11" t="n">
        <f aca="false">IF(Y$1&lt;Units!$P25,0,IF(AND(Units!$K25=0,Y$1=Units!$O25),Units!$R25,IF(AND(Y$1&gt;=Units!$Q25,MOD(Y$1-Units!$Q25,12)=0),IF(AND(Units!$L25=1,Y$1=Units!$Q25),IF(Units!$J25&lt;&gt;"",Units!$J25,Mkt!Y26),Inputs!$B$15*Mkt!Y26+(1-Inputs!$B$15)*MIN(Mkt!Y26,X26*(1+Inputs!$B$18))),X26)))</f>
        <v>1901.425</v>
      </c>
      <c r="Z26" s="11" t="n">
        <f aca="false">IF(Z$1&lt;Units!$P25,0,IF(AND(Units!$K25=0,Z$1=Units!$O25),Units!$R25,IF(AND(Z$1&gt;=Units!$Q25,MOD(Z$1-Units!$Q25,12)=0),IF(AND(Units!$L25=1,Z$1=Units!$Q25),IF(Units!$J25&lt;&gt;"",Units!$J25,Mkt!Z26),Inputs!$B$15*Mkt!Z26+(1-Inputs!$B$15)*MIN(Mkt!Z26,Y26*(1+Inputs!$B$18))),Y26)))</f>
        <v>1901.425</v>
      </c>
      <c r="AA26" s="11" t="n">
        <f aca="false">IF(AA$1&lt;Units!$P25,0,IF(AND(Units!$K25=0,AA$1=Units!$O25),Units!$R25,IF(AND(AA$1&gt;=Units!$Q25,MOD(AA$1-Units!$Q25,12)=0),IF(AND(Units!$L25=1,AA$1=Units!$Q25),IF(Units!$J25&lt;&gt;"",Units!$J25,Mkt!AA26),Inputs!$B$15*Mkt!AA26+(1-Inputs!$B$15)*MIN(Mkt!AA26,Z26*(1+Inputs!$B$18))),Z26)))</f>
        <v>1901.425</v>
      </c>
      <c r="AB26" s="11" t="n">
        <f aca="false">IF(AB$1&lt;Units!$P25,0,IF(AND(Units!$K25=0,AB$1=Units!$O25),Units!$R25,IF(AND(AB$1&gt;=Units!$Q25,MOD(AB$1-Units!$Q25,12)=0),IF(AND(Units!$L25=1,AB$1=Units!$Q25),IF(Units!$J25&lt;&gt;"",Units!$J25,Mkt!AB26),Inputs!$B$15*Mkt!AB26+(1-Inputs!$B$15)*MIN(Mkt!AB26,AA26*(1+Inputs!$B$18))),AA26)))</f>
        <v>1901.425</v>
      </c>
      <c r="AC26" s="11" t="n">
        <f aca="false">IF(AC$1&lt;Units!$P25,0,IF(AND(Units!$K25=0,AC$1=Units!$O25),Units!$R25,IF(AND(AC$1&gt;=Units!$Q25,MOD(AC$1-Units!$Q25,12)=0),IF(AND(Units!$L25=1,AC$1=Units!$Q25),IF(Units!$J25&lt;&gt;"",Units!$J25,Mkt!AC26),Inputs!$B$15*Mkt!AC26+(1-Inputs!$B$15)*MIN(Mkt!AC26,AB26*(1+Inputs!$B$18))),AB26)))</f>
        <v>1901.425</v>
      </c>
      <c r="AD26" s="11" t="n">
        <f aca="false">IF(AD$1&lt;Units!$P25,0,IF(AND(Units!$K25=0,AD$1=Units!$O25),Units!$R25,IF(AND(AD$1&gt;=Units!$Q25,MOD(AD$1-Units!$Q25,12)=0),IF(AND(Units!$L25=1,AD$1=Units!$Q25),IF(Units!$J25&lt;&gt;"",Units!$J25,Mkt!AD26),Inputs!$B$15*Mkt!AD26+(1-Inputs!$B$15)*MIN(Mkt!AD26,AC26*(1+Inputs!$B$18))),AC26)))</f>
        <v>1901.425</v>
      </c>
      <c r="AE26" s="11" t="n">
        <f aca="false">IF(AE$1&lt;Units!$P25,0,IF(AND(Units!$K25=0,AE$1=Units!$O25),Units!$R25,IF(AND(AE$1&gt;=Units!$Q25,MOD(AE$1-Units!$Q25,12)=0),IF(AND(Units!$L25=1,AE$1=Units!$Q25),IF(Units!$J25&lt;&gt;"",Units!$J25,Mkt!AE26),Inputs!$B$15*Mkt!AE26+(1-Inputs!$B$15)*MIN(Mkt!AE26,AD26*(1+Inputs!$B$18))),AD26)))</f>
        <v>1901.425</v>
      </c>
      <c r="AF26" s="11" t="n">
        <f aca="false">IF(AF$1&lt;Units!$P25,0,IF(AND(Units!$K25=0,AF$1=Units!$O25),Units!$R25,IF(AND(AF$1&gt;=Units!$Q25,MOD(AF$1-Units!$Q25,12)=0),IF(AND(Units!$L25=1,AF$1=Units!$Q25),IF(Units!$J25&lt;&gt;"",Units!$J25,Mkt!AF26),Inputs!$B$15*Mkt!AF26+(1-Inputs!$B$15)*MIN(Mkt!AF26,AE26*(1+Inputs!$B$18))),AE26)))</f>
        <v>1901.425</v>
      </c>
      <c r="AG26" s="11" t="n">
        <f aca="false">IF(AG$1&lt;Units!$P25,0,IF(AND(Units!$K25=0,AG$1=Units!$O25),Units!$R25,IF(AND(AG$1&gt;=Units!$Q25,MOD(AG$1-Units!$Q25,12)=0),IF(AND(Units!$L25=1,AG$1=Units!$Q25),IF(Units!$J25&lt;&gt;"",Units!$J25,Mkt!AG26),Inputs!$B$15*Mkt!AG26+(1-Inputs!$B$15)*MIN(Mkt!AG26,AF26*(1+Inputs!$B$18))),AF26)))</f>
        <v>1901.425</v>
      </c>
      <c r="AH26" s="11" t="n">
        <f aca="false">IF(AH$1&lt;Units!$P25,0,IF(AND(Units!$K25=0,AH$1=Units!$O25),Units!$R25,IF(AND(AH$1&gt;=Units!$Q25,MOD(AH$1-Units!$Q25,12)=0),IF(AND(Units!$L25=1,AH$1=Units!$Q25),IF(Units!$J25&lt;&gt;"",Units!$J25,Mkt!AH26),Inputs!$B$15*Mkt!AH26+(1-Inputs!$B$15)*MIN(Mkt!AH26,AG26*(1+Inputs!$B$18))),AG26)))</f>
        <v>1901.425</v>
      </c>
      <c r="AI26" s="11" t="n">
        <f aca="false">IF(AI$1&lt;Units!$P25,0,IF(AND(Units!$K25=0,AI$1=Units!$O25),Units!$R25,IF(AND(AI$1&gt;=Units!$Q25,MOD(AI$1-Units!$Q25,12)=0),IF(AND(Units!$L25=1,AI$1=Units!$Q25),IF(Units!$J25&lt;&gt;"",Units!$J25,Mkt!AI26),Inputs!$B$15*Mkt!AI26+(1-Inputs!$B$15)*MIN(Mkt!AI26,AH26*(1+Inputs!$B$18))),AH26)))</f>
        <v>1901.425</v>
      </c>
      <c r="AJ26" s="11" t="n">
        <f aca="false">IF(AJ$1&lt;Units!$P25,0,IF(AND(Units!$K25=0,AJ$1=Units!$O25),Units!$R25,IF(AND(AJ$1&gt;=Units!$Q25,MOD(AJ$1-Units!$Q25,12)=0),IF(AND(Units!$L25=1,AJ$1=Units!$Q25),IF(Units!$J25&lt;&gt;"",Units!$J25,Mkt!AJ26),Inputs!$B$15*Mkt!AJ26+(1-Inputs!$B$15)*MIN(Mkt!AJ26,AI26*(1+Inputs!$B$18))),AI26)))</f>
        <v>1901.425</v>
      </c>
      <c r="AK26" s="11" t="n">
        <f aca="false">IF(AK$1&lt;Units!$P25,0,IF(AND(Units!$K25=0,AK$1=Units!$O25),Units!$R25,IF(AND(AK$1&gt;=Units!$Q25,MOD(AK$1-Units!$Q25,12)=0),IF(AND(Units!$L25=1,AK$1=Units!$Q25),IF(Units!$J25&lt;&gt;"",Units!$J25,Mkt!AK26),Inputs!$B$15*Mkt!AK26+(1-Inputs!$B$15)*MIN(Mkt!AK26,AJ26*(1+Inputs!$B$18))),AJ26)))</f>
        <v>1962.665</v>
      </c>
      <c r="AL26" s="11" t="n">
        <f aca="false">IF(AL$1&lt;Units!$P25,0,IF(AND(Units!$K25=0,AL$1=Units!$O25),Units!$R25,IF(AND(AL$1&gt;=Units!$Q25,MOD(AL$1-Units!$Q25,12)=0),IF(AND(Units!$L25=1,AL$1=Units!$Q25),IF(Units!$J25&lt;&gt;"",Units!$J25,Mkt!AL26),Inputs!$B$15*Mkt!AL26+(1-Inputs!$B$15)*MIN(Mkt!AL26,AK26*(1+Inputs!$B$18))),AK26)))</f>
        <v>1962.665</v>
      </c>
      <c r="AM26" s="11" t="n">
        <f aca="false">IF(AM$1&lt;Units!$P25,0,IF(AND(Units!$K25=0,AM$1=Units!$O25),Units!$R25,IF(AND(AM$1&gt;=Units!$Q25,MOD(AM$1-Units!$Q25,12)=0),IF(AND(Units!$L25=1,AM$1=Units!$Q25),IF(Units!$J25&lt;&gt;"",Units!$J25,Mkt!AM26),Inputs!$B$15*Mkt!AM26+(1-Inputs!$B$15)*MIN(Mkt!AM26,AL26*(1+Inputs!$B$18))),AL26)))</f>
        <v>1962.665</v>
      </c>
      <c r="AN26" s="11" t="n">
        <f aca="false">IF(AN$1&lt;Units!$P25,0,IF(AND(Units!$K25=0,AN$1=Units!$O25),Units!$R25,IF(AND(AN$1&gt;=Units!$Q25,MOD(AN$1-Units!$Q25,12)=0),IF(AND(Units!$L25=1,AN$1=Units!$Q25),IF(Units!$J25&lt;&gt;"",Units!$J25,Mkt!AN26),Inputs!$B$15*Mkt!AN26+(1-Inputs!$B$15)*MIN(Mkt!AN26,AM26*(1+Inputs!$B$18))),AM26)))</f>
        <v>1962.665</v>
      </c>
      <c r="AO26" s="11" t="n">
        <f aca="false">IF(AO$1&lt;Units!$P25,0,IF(AND(Units!$K25=0,AO$1=Units!$O25),Units!$R25,IF(AND(AO$1&gt;=Units!$Q25,MOD(AO$1-Units!$Q25,12)=0),IF(AND(Units!$L25=1,AO$1=Units!$Q25),IF(Units!$J25&lt;&gt;"",Units!$J25,Mkt!AO26),Inputs!$B$15*Mkt!AO26+(1-Inputs!$B$15)*MIN(Mkt!AO26,AN26*(1+Inputs!$B$18))),AN26)))</f>
        <v>1962.665</v>
      </c>
      <c r="AP26" s="11" t="n">
        <f aca="false">IF(AP$1&lt;Units!$P25,0,IF(AND(Units!$K25=0,AP$1=Units!$O25),Units!$R25,IF(AND(AP$1&gt;=Units!$Q25,MOD(AP$1-Units!$Q25,12)=0),IF(AND(Units!$L25=1,AP$1=Units!$Q25),IF(Units!$J25&lt;&gt;"",Units!$J25,Mkt!AP26),Inputs!$B$15*Mkt!AP26+(1-Inputs!$B$15)*MIN(Mkt!AP26,AO26*(1+Inputs!$B$18))),AO26)))</f>
        <v>1962.665</v>
      </c>
      <c r="AQ26" s="11" t="n">
        <f aca="false">IF(AQ$1&lt;Units!$P25,0,IF(AND(Units!$K25=0,AQ$1=Units!$O25),Units!$R25,IF(AND(AQ$1&gt;=Units!$Q25,MOD(AQ$1-Units!$Q25,12)=0),IF(AND(Units!$L25=1,AQ$1=Units!$Q25),IF(Units!$J25&lt;&gt;"",Units!$J25,Mkt!AQ26),Inputs!$B$15*Mkt!AQ26+(1-Inputs!$B$15)*MIN(Mkt!AQ26,AP26*(1+Inputs!$B$18))),AP26)))</f>
        <v>1962.665</v>
      </c>
      <c r="AR26" s="11" t="n">
        <f aca="false">IF(AR$1&lt;Units!$P25,0,IF(AND(Units!$K25=0,AR$1=Units!$O25),Units!$R25,IF(AND(AR$1&gt;=Units!$Q25,MOD(AR$1-Units!$Q25,12)=0),IF(AND(Units!$L25=1,AR$1=Units!$Q25),IF(Units!$J25&lt;&gt;"",Units!$J25,Mkt!AR26),Inputs!$B$15*Mkt!AR26+(1-Inputs!$B$15)*MIN(Mkt!AR26,AQ26*(1+Inputs!$B$18))),AQ26)))</f>
        <v>1962.665</v>
      </c>
      <c r="AS26" s="11" t="n">
        <f aca="false">IF(AS$1&lt;Units!$P25,0,IF(AND(Units!$K25=0,AS$1=Units!$O25),Units!$R25,IF(AND(AS$1&gt;=Units!$Q25,MOD(AS$1-Units!$Q25,12)=0),IF(AND(Units!$L25=1,AS$1=Units!$Q25),IF(Units!$J25&lt;&gt;"",Units!$J25,Mkt!AS26),Inputs!$B$15*Mkt!AS26+(1-Inputs!$B$15)*MIN(Mkt!AS26,AR26*(1+Inputs!$B$18))),AR26)))</f>
        <v>1962.665</v>
      </c>
      <c r="AT26" s="11" t="n">
        <f aca="false">IF(AT$1&lt;Units!$P25,0,IF(AND(Units!$K25=0,AT$1=Units!$O25),Units!$R25,IF(AND(AT$1&gt;=Units!$Q25,MOD(AT$1-Units!$Q25,12)=0),IF(AND(Units!$L25=1,AT$1=Units!$Q25),IF(Units!$J25&lt;&gt;"",Units!$J25,Mkt!AT26),Inputs!$B$15*Mkt!AT26+(1-Inputs!$B$15)*MIN(Mkt!AT26,AS26*(1+Inputs!$B$18))),AS26)))</f>
        <v>1962.665</v>
      </c>
      <c r="AU26" s="11" t="n">
        <f aca="false">IF(AU$1&lt;Units!$P25,0,IF(AND(Units!$K25=0,AU$1=Units!$O25),Units!$R25,IF(AND(AU$1&gt;=Units!$Q25,MOD(AU$1-Units!$Q25,12)=0),IF(AND(Units!$L25=1,AU$1=Units!$Q25),IF(Units!$J25&lt;&gt;"",Units!$J25,Mkt!AU26),Inputs!$B$15*Mkt!AU26+(1-Inputs!$B$15)*MIN(Mkt!AU26,AT26*(1+Inputs!$B$18))),AT26)))</f>
        <v>1962.665</v>
      </c>
      <c r="AV26" s="11" t="n">
        <f aca="false">IF(AV$1&lt;Units!$P25,0,IF(AND(Units!$K25=0,AV$1=Units!$O25),Units!$R25,IF(AND(AV$1&gt;=Units!$Q25,MOD(AV$1-Units!$Q25,12)=0),IF(AND(Units!$L25=1,AV$1=Units!$Q25),IF(Units!$J25&lt;&gt;"",Units!$J25,Mkt!AV26),Inputs!$B$15*Mkt!AV26+(1-Inputs!$B$15)*MIN(Mkt!AV26,AU26*(1+Inputs!$B$18))),AU26)))</f>
        <v>1962.665</v>
      </c>
      <c r="AW26" s="11" t="n">
        <f aca="false">IF(AW$1&lt;Units!$P25,0,IF(AND(Units!$K25=0,AW$1=Units!$O25),Units!$R25,IF(AND(AW$1&gt;=Units!$Q25,MOD(AW$1-Units!$Q25,12)=0),IF(AND(Units!$L25=1,AW$1=Units!$Q25),IF(Units!$J25&lt;&gt;"",Units!$J25,Mkt!AW26),Inputs!$B$15*Mkt!AW26+(1-Inputs!$B$15)*MIN(Mkt!AW26,AV26*(1+Inputs!$B$18))),AV26)))</f>
        <v>2021.54495</v>
      </c>
      <c r="AX26" s="11" t="n">
        <f aca="false">IF(AX$1&lt;Units!$P25,0,IF(AND(Units!$K25=0,AX$1=Units!$O25),Units!$R25,IF(AND(AX$1&gt;=Units!$Q25,MOD(AX$1-Units!$Q25,12)=0),IF(AND(Units!$L25=1,AX$1=Units!$Q25),IF(Units!$J25&lt;&gt;"",Units!$J25,Mkt!AX26),Inputs!$B$15*Mkt!AX26+(1-Inputs!$B$15)*MIN(Mkt!AX26,AW26*(1+Inputs!$B$18))),AW26)))</f>
        <v>2021.54495</v>
      </c>
      <c r="AY26" s="11" t="n">
        <f aca="false">IF(AY$1&lt;Units!$P25,0,IF(AND(Units!$K25=0,AY$1=Units!$O25),Units!$R25,IF(AND(AY$1&gt;=Units!$Q25,MOD(AY$1-Units!$Q25,12)=0),IF(AND(Units!$L25=1,AY$1=Units!$Q25),IF(Units!$J25&lt;&gt;"",Units!$J25,Mkt!AY26),Inputs!$B$15*Mkt!AY26+(1-Inputs!$B$15)*MIN(Mkt!AY26,AX26*(1+Inputs!$B$18))),AX26)))</f>
        <v>2021.54495</v>
      </c>
      <c r="AZ26" s="11" t="n">
        <f aca="false">IF(AZ$1&lt;Units!$P25,0,IF(AND(Units!$K25=0,AZ$1=Units!$O25),Units!$R25,IF(AND(AZ$1&gt;=Units!$Q25,MOD(AZ$1-Units!$Q25,12)=0),IF(AND(Units!$L25=1,AZ$1=Units!$Q25),IF(Units!$J25&lt;&gt;"",Units!$J25,Mkt!AZ26),Inputs!$B$15*Mkt!AZ26+(1-Inputs!$B$15)*MIN(Mkt!AZ26,AY26*(1+Inputs!$B$18))),AY26)))</f>
        <v>2021.54495</v>
      </c>
      <c r="BA26" s="11" t="n">
        <f aca="false">IF(BA$1&lt;Units!$P25,0,IF(AND(Units!$K25=0,BA$1=Units!$O25),Units!$R25,IF(AND(BA$1&gt;=Units!$Q25,MOD(BA$1-Units!$Q25,12)=0),IF(AND(Units!$L25=1,BA$1=Units!$Q25),IF(Units!$J25&lt;&gt;"",Units!$J25,Mkt!BA26),Inputs!$B$15*Mkt!BA26+(1-Inputs!$B$15)*MIN(Mkt!BA26,AZ26*(1+Inputs!$B$18))),AZ26)))</f>
        <v>2021.54495</v>
      </c>
      <c r="BB26" s="11" t="n">
        <f aca="false">IF(BB$1&lt;Units!$P25,0,IF(AND(Units!$K25=0,BB$1=Units!$O25),Units!$R25,IF(AND(BB$1&gt;=Units!$Q25,MOD(BB$1-Units!$Q25,12)=0),IF(AND(Units!$L25=1,BB$1=Units!$Q25),IF(Units!$J25&lt;&gt;"",Units!$J25,Mkt!BB26),Inputs!$B$15*Mkt!BB26+(1-Inputs!$B$15)*MIN(Mkt!BB26,BA26*(1+Inputs!$B$18))),BA26)))</f>
        <v>2021.54495</v>
      </c>
      <c r="BC26" s="11" t="n">
        <f aca="false">IF(BC$1&lt;Units!$P25,0,IF(AND(Units!$K25=0,BC$1=Units!$O25),Units!$R25,IF(AND(BC$1&gt;=Units!$Q25,MOD(BC$1-Units!$Q25,12)=0),IF(AND(Units!$L25=1,BC$1=Units!$Q25),IF(Units!$J25&lt;&gt;"",Units!$J25,Mkt!BC26),Inputs!$B$15*Mkt!BC26+(1-Inputs!$B$15)*MIN(Mkt!BC26,BB26*(1+Inputs!$B$18))),BB26)))</f>
        <v>2021.54495</v>
      </c>
      <c r="BD26" s="11" t="n">
        <f aca="false">IF(BD$1&lt;Units!$P25,0,IF(AND(Units!$K25=0,BD$1=Units!$O25),Units!$R25,IF(AND(BD$1&gt;=Units!$Q25,MOD(BD$1-Units!$Q25,12)=0),IF(AND(Units!$L25=1,BD$1=Units!$Q25),IF(Units!$J25&lt;&gt;"",Units!$J25,Mkt!BD26),Inputs!$B$15*Mkt!BD26+(1-Inputs!$B$15)*MIN(Mkt!BD26,BC26*(1+Inputs!$B$18))),BC26)))</f>
        <v>2021.54495</v>
      </c>
      <c r="BE26" s="11" t="n">
        <f aca="false">IF(BE$1&lt;Units!$P25,0,IF(AND(Units!$K25=0,BE$1=Units!$O25),Units!$R25,IF(AND(BE$1&gt;=Units!$Q25,MOD(BE$1-Units!$Q25,12)=0),IF(AND(Units!$L25=1,BE$1=Units!$Q25),IF(Units!$J25&lt;&gt;"",Units!$J25,Mkt!BE26),Inputs!$B$15*Mkt!BE26+(1-Inputs!$B$15)*MIN(Mkt!BE26,BD26*(1+Inputs!$B$18))),BD26)))</f>
        <v>2021.54495</v>
      </c>
      <c r="BF26" s="11" t="n">
        <f aca="false">IF(BF$1&lt;Units!$P25,0,IF(AND(Units!$K25=0,BF$1=Units!$O25),Units!$R25,IF(AND(BF$1&gt;=Units!$Q25,MOD(BF$1-Units!$Q25,12)=0),IF(AND(Units!$L25=1,BF$1=Units!$Q25),IF(Units!$J25&lt;&gt;"",Units!$J25,Mkt!BF26),Inputs!$B$15*Mkt!BF26+(1-Inputs!$B$15)*MIN(Mkt!BF26,BE26*(1+Inputs!$B$18))),BE26)))</f>
        <v>2021.54495</v>
      </c>
      <c r="BG26" s="11" t="n">
        <f aca="false">IF(BG$1&lt;Units!$P25,0,IF(AND(Units!$K25=0,BG$1=Units!$O25),Units!$R25,IF(AND(BG$1&gt;=Units!$Q25,MOD(BG$1-Units!$Q25,12)=0),IF(AND(Units!$L25=1,BG$1=Units!$Q25),IF(Units!$J25&lt;&gt;"",Units!$J25,Mkt!BG26),Inputs!$B$15*Mkt!BG26+(1-Inputs!$B$15)*MIN(Mkt!BG26,BF26*(1+Inputs!$B$18))),BF26)))</f>
        <v>2021.54495</v>
      </c>
      <c r="BH26" s="11" t="n">
        <f aca="false">IF(BH$1&lt;Units!$P25,0,IF(AND(Units!$K25=0,BH$1=Units!$O25),Units!$R25,IF(AND(BH$1&gt;=Units!$Q25,MOD(BH$1-Units!$Q25,12)=0),IF(AND(Units!$L25=1,BH$1=Units!$Q25),IF(Units!$J25&lt;&gt;"",Units!$J25,Mkt!BH26),Inputs!$B$15*Mkt!BH26+(1-Inputs!$B$15)*MIN(Mkt!BH26,BG26*(1+Inputs!$B$18))),BG26)))</f>
        <v>2021.54495</v>
      </c>
      <c r="BI26" s="11" t="n">
        <f aca="false">IF(BI$1&lt;Units!$P25,0,IF(AND(Units!$K25=0,BI$1=Units!$O25),Units!$R25,IF(AND(BI$1&gt;=Units!$Q25,MOD(BI$1-Units!$Q25,12)=0),IF(AND(Units!$L25=1,BI$1=Units!$Q25),IF(Units!$J25&lt;&gt;"",Units!$J25,Mkt!BI26),Inputs!$B$15*Mkt!BI26+(1-Inputs!$B$15)*MIN(Mkt!BI26,BH26*(1+Inputs!$B$18))),BH26)))</f>
        <v>2082.1912985</v>
      </c>
      <c r="BJ26" s="11" t="n">
        <f aca="false">IF(BJ$1&lt;Units!$P25,0,IF(AND(Units!$K25=0,BJ$1=Units!$O25),Units!$R25,IF(AND(BJ$1&gt;=Units!$Q25,MOD(BJ$1-Units!$Q25,12)=0),IF(AND(Units!$L25=1,BJ$1=Units!$Q25),IF(Units!$J25&lt;&gt;"",Units!$J25,Mkt!BJ26),Inputs!$B$15*Mkt!BJ26+(1-Inputs!$B$15)*MIN(Mkt!BJ26,BI26*(1+Inputs!$B$18))),BI26)))</f>
        <v>2082.1912985</v>
      </c>
      <c r="BK26" s="11" t="n">
        <f aca="false">IF(BK$1&lt;Units!$P25,0,IF(AND(Units!$K25=0,BK$1=Units!$O25),Units!$R25,IF(AND(BK$1&gt;=Units!$Q25,MOD(BK$1-Units!$Q25,12)=0),IF(AND(Units!$L25=1,BK$1=Units!$Q25),IF(Units!$J25&lt;&gt;"",Units!$J25,Mkt!BK26),Inputs!$B$15*Mkt!BK26+(1-Inputs!$B$15)*MIN(Mkt!BK26,BJ26*(1+Inputs!$B$18))),BJ26)))</f>
        <v>2082.1912985</v>
      </c>
      <c r="BL26" s="11" t="n">
        <f aca="false">IF(BL$1&lt;Units!$P25,0,IF(AND(Units!$K25=0,BL$1=Units!$O25),Units!$R25,IF(AND(BL$1&gt;=Units!$Q25,MOD(BL$1-Units!$Q25,12)=0),IF(AND(Units!$L25=1,BL$1=Units!$Q25),IF(Units!$J25&lt;&gt;"",Units!$J25,Mkt!BL26),Inputs!$B$15*Mkt!BL26+(1-Inputs!$B$15)*MIN(Mkt!BL26,BK26*(1+Inputs!$B$18))),BK26)))</f>
        <v>2082.1912985</v>
      </c>
      <c r="BM26" s="11" t="n">
        <f aca="false">IF(BM$1&lt;Units!$P25,0,IF(AND(Units!$K25=0,BM$1=Units!$O25),Units!$R25,IF(AND(BM$1&gt;=Units!$Q25,MOD(BM$1-Units!$Q25,12)=0),IF(AND(Units!$L25=1,BM$1=Units!$Q25),IF(Units!$J25&lt;&gt;"",Units!$J25,Mkt!BM26),Inputs!$B$15*Mkt!BM26+(1-Inputs!$B$15)*MIN(Mkt!BM26,BL26*(1+Inputs!$B$18))),BL26)))</f>
        <v>2082.1912985</v>
      </c>
      <c r="BN26" s="11" t="n">
        <f aca="false">IF(BN$1&lt;Units!$P25,0,IF(AND(Units!$K25=0,BN$1=Units!$O25),Units!$R25,IF(AND(BN$1&gt;=Units!$Q25,MOD(BN$1-Units!$Q25,12)=0),IF(AND(Units!$L25=1,BN$1=Units!$Q25),IF(Units!$J25&lt;&gt;"",Units!$J25,Mkt!BN26),Inputs!$B$15*Mkt!BN26+(1-Inputs!$B$15)*MIN(Mkt!BN26,BM26*(1+Inputs!$B$18))),BM26)))</f>
        <v>2082.1912985</v>
      </c>
      <c r="BO26" s="11" t="n">
        <f aca="false">IF(BO$1&lt;Units!$P25,0,IF(AND(Units!$K25=0,BO$1=Units!$O25),Units!$R25,IF(AND(BO$1&gt;=Units!$Q25,MOD(BO$1-Units!$Q25,12)=0),IF(AND(Units!$L25=1,BO$1=Units!$Q25),IF(Units!$J25&lt;&gt;"",Units!$J25,Mkt!BO26),Inputs!$B$15*Mkt!BO26+(1-Inputs!$B$15)*MIN(Mkt!BO26,BN26*(1+Inputs!$B$18))),BN26)))</f>
        <v>2082.1912985</v>
      </c>
      <c r="BP26" s="11" t="n">
        <f aca="false">IF(BP$1&lt;Units!$P25,0,IF(AND(Units!$K25=0,BP$1=Units!$O25),Units!$R25,IF(AND(BP$1&gt;=Units!$Q25,MOD(BP$1-Units!$Q25,12)=0),IF(AND(Units!$L25=1,BP$1=Units!$Q25),IF(Units!$J25&lt;&gt;"",Units!$J25,Mkt!BP26),Inputs!$B$15*Mkt!BP26+(1-Inputs!$B$15)*MIN(Mkt!BP26,BO26*(1+Inputs!$B$18))),BO26)))</f>
        <v>2082.1912985</v>
      </c>
      <c r="BQ26" s="11" t="n">
        <f aca="false">IF(BQ$1&lt;Units!$P25,0,IF(AND(Units!$K25=0,BQ$1=Units!$O25),Units!$R25,IF(AND(BQ$1&gt;=Units!$Q25,MOD(BQ$1-Units!$Q25,12)=0),IF(AND(Units!$L25=1,BQ$1=Units!$Q25),IF(Units!$J25&lt;&gt;"",Units!$J25,Mkt!BQ26),Inputs!$B$15*Mkt!BQ26+(1-Inputs!$B$15)*MIN(Mkt!BQ26,BP26*(1+Inputs!$B$18))),BP26)))</f>
        <v>2082.1912985</v>
      </c>
      <c r="BR26" s="11" t="n">
        <f aca="false">IF(BR$1&lt;Units!$P25,0,IF(AND(Units!$K25=0,BR$1=Units!$O25),Units!$R25,IF(AND(BR$1&gt;=Units!$Q25,MOD(BR$1-Units!$Q25,12)=0),IF(AND(Units!$L25=1,BR$1=Units!$Q25),IF(Units!$J25&lt;&gt;"",Units!$J25,Mkt!BR26),Inputs!$B$15*Mkt!BR26+(1-Inputs!$B$15)*MIN(Mkt!BR26,BQ26*(1+Inputs!$B$18))),BQ26)))</f>
        <v>2082.1912985</v>
      </c>
      <c r="BS26" s="11" t="n">
        <f aca="false">IF(BS$1&lt;Units!$P25,0,IF(AND(Units!$K25=0,BS$1=Units!$O25),Units!$R25,IF(AND(BS$1&gt;=Units!$Q25,MOD(BS$1-Units!$Q25,12)=0),IF(AND(Units!$L25=1,BS$1=Units!$Q25),IF(Units!$J25&lt;&gt;"",Units!$J25,Mkt!BS26),Inputs!$B$15*Mkt!BS26+(1-Inputs!$B$15)*MIN(Mkt!BS26,BR26*(1+Inputs!$B$18))),BR26)))</f>
        <v>2082.1912985</v>
      </c>
      <c r="BT26" s="11" t="n">
        <f aca="false">IF(BT$1&lt;Units!$P25,0,IF(AND(Units!$K25=0,BT$1=Units!$O25),Units!$R25,IF(AND(BT$1&gt;=Units!$Q25,MOD(BT$1-Units!$Q25,12)=0),IF(AND(Units!$L25=1,BT$1=Units!$Q25),IF(Units!$J25&lt;&gt;"",Units!$J25,Mkt!BT26),Inputs!$B$15*Mkt!BT26+(1-Inputs!$B$15)*MIN(Mkt!BT26,BS26*(1+Inputs!$B$18))),BS26)))</f>
        <v>2082.1912985</v>
      </c>
      <c r="BU26" s="11" t="n">
        <f aca="false">IF(BU$1&lt;Units!$P25,0,IF(AND(Units!$K25=0,BU$1=Units!$O25),Units!$R25,IF(AND(BU$1&gt;=Units!$Q25,MOD(BU$1-Units!$Q25,12)=0),IF(AND(Units!$L25=1,BU$1=Units!$Q25),IF(Units!$J25&lt;&gt;"",Units!$J25,Mkt!BU26),Inputs!$B$15*Mkt!BU26+(1-Inputs!$B$15)*MIN(Mkt!BU26,BT26*(1+Inputs!$B$18))),BT26)))</f>
        <v>2144.657037455</v>
      </c>
      <c r="BV26" s="11" t="n">
        <f aca="false">IF(BV$1&lt;Units!$P25,0,IF(AND(Units!$K25=0,BV$1=Units!$O25),Units!$R25,IF(AND(BV$1&gt;=Units!$Q25,MOD(BV$1-Units!$Q25,12)=0),IF(AND(Units!$L25=1,BV$1=Units!$Q25),IF(Units!$J25&lt;&gt;"",Units!$J25,Mkt!BV26),Inputs!$B$15*Mkt!BV26+(1-Inputs!$B$15)*MIN(Mkt!BV26,BU26*(1+Inputs!$B$18))),BU26)))</f>
        <v>2144.657037455</v>
      </c>
      <c r="BW26" s="11" t="n">
        <f aca="false">IF(BW$1&lt;Units!$P25,0,IF(AND(Units!$K25=0,BW$1=Units!$O25),Units!$R25,IF(AND(BW$1&gt;=Units!$Q25,MOD(BW$1-Units!$Q25,12)=0),IF(AND(Units!$L25=1,BW$1=Units!$Q25),IF(Units!$J25&lt;&gt;"",Units!$J25,Mkt!BW26),Inputs!$B$15*Mkt!BW26+(1-Inputs!$B$15)*MIN(Mkt!BW26,BV26*(1+Inputs!$B$18))),BV26)))</f>
        <v>2144.657037455</v>
      </c>
      <c r="BX26" s="11" t="n">
        <f aca="false">IF(BX$1&lt;Units!$P25,0,IF(AND(Units!$K25=0,BX$1=Units!$O25),Units!$R25,IF(AND(BX$1&gt;=Units!$Q25,MOD(BX$1-Units!$Q25,12)=0),IF(AND(Units!$L25=1,BX$1=Units!$Q25),IF(Units!$J25&lt;&gt;"",Units!$J25,Mkt!BX26),Inputs!$B$15*Mkt!BX26+(1-Inputs!$B$15)*MIN(Mkt!BX26,BW26*(1+Inputs!$B$18))),BW26)))</f>
        <v>2144.657037455</v>
      </c>
      <c r="BY26" s="11" t="n">
        <f aca="false">IF(BY$1&lt;Units!$P25,0,IF(AND(Units!$K25=0,BY$1=Units!$O25),Units!$R25,IF(AND(BY$1&gt;=Units!$Q25,MOD(BY$1-Units!$Q25,12)=0),IF(AND(Units!$L25=1,BY$1=Units!$Q25),IF(Units!$J25&lt;&gt;"",Units!$J25,Mkt!BY26),Inputs!$B$15*Mkt!BY26+(1-Inputs!$B$15)*MIN(Mkt!BY26,BX26*(1+Inputs!$B$18))),BX26)))</f>
        <v>2144.657037455</v>
      </c>
      <c r="BZ26" s="11" t="n">
        <f aca="false">IF(BZ$1&lt;Units!$P25,0,IF(AND(Units!$K25=0,BZ$1=Units!$O25),Units!$R25,IF(AND(BZ$1&gt;=Units!$Q25,MOD(BZ$1-Units!$Q25,12)=0),IF(AND(Units!$L25=1,BZ$1=Units!$Q25),IF(Units!$J25&lt;&gt;"",Units!$J25,Mkt!BZ26),Inputs!$B$15*Mkt!BZ26+(1-Inputs!$B$15)*MIN(Mkt!BZ26,BY26*(1+Inputs!$B$18))),BY26)))</f>
        <v>2144.657037455</v>
      </c>
      <c r="CA26" s="11" t="n">
        <f aca="false">IF(CA$1&lt;Units!$P25,0,IF(AND(Units!$K25=0,CA$1=Units!$O25),Units!$R25,IF(AND(CA$1&gt;=Units!$Q25,MOD(CA$1-Units!$Q25,12)=0),IF(AND(Units!$L25=1,CA$1=Units!$Q25),IF(Units!$J25&lt;&gt;"",Units!$J25,Mkt!CA26),Inputs!$B$15*Mkt!CA26+(1-Inputs!$B$15)*MIN(Mkt!CA26,BZ26*(1+Inputs!$B$18))),BZ26)))</f>
        <v>2144.657037455</v>
      </c>
      <c r="CB26" s="11" t="n">
        <f aca="false">IF(CB$1&lt;Units!$P25,0,IF(AND(Units!$K25=0,CB$1=Units!$O25),Units!$R25,IF(AND(CB$1&gt;=Units!$Q25,MOD(CB$1-Units!$Q25,12)=0),IF(AND(Units!$L25=1,CB$1=Units!$Q25),IF(Units!$J25&lt;&gt;"",Units!$J25,Mkt!CB26),Inputs!$B$15*Mkt!CB26+(1-Inputs!$B$15)*MIN(Mkt!CB26,CA26*(1+Inputs!$B$18))),CA26)))</f>
        <v>2144.657037455</v>
      </c>
      <c r="CC26" s="11" t="n">
        <f aca="false">IF(CC$1&lt;Units!$P25,0,IF(AND(Units!$K25=0,CC$1=Units!$O25),Units!$R25,IF(AND(CC$1&gt;=Units!$Q25,MOD(CC$1-Units!$Q25,12)=0),IF(AND(Units!$L25=1,CC$1=Units!$Q25),IF(Units!$J25&lt;&gt;"",Units!$J25,Mkt!CC26),Inputs!$B$15*Mkt!CC26+(1-Inputs!$B$15)*MIN(Mkt!CC26,CB26*(1+Inputs!$B$18))),CB26)))</f>
        <v>2144.657037455</v>
      </c>
      <c r="CD26" s="11" t="n">
        <f aca="false">IF(CD$1&lt;Units!$P25,0,IF(AND(Units!$K25=0,CD$1=Units!$O25),Units!$R25,IF(AND(CD$1&gt;=Units!$Q25,MOD(CD$1-Units!$Q25,12)=0),IF(AND(Units!$L25=1,CD$1=Units!$Q25),IF(Units!$J25&lt;&gt;"",Units!$J25,Mkt!CD26),Inputs!$B$15*Mkt!CD26+(1-Inputs!$B$15)*MIN(Mkt!CD26,CC26*(1+Inputs!$B$18))),CC26)))</f>
        <v>2144.657037455</v>
      </c>
      <c r="CE26" s="11" t="n">
        <f aca="false">IF(CE$1&lt;Units!$P25,0,IF(AND(Units!$K25=0,CE$1=Units!$O25),Units!$R25,IF(AND(CE$1&gt;=Units!$Q25,MOD(CE$1-Units!$Q25,12)=0),IF(AND(Units!$L25=1,CE$1=Units!$Q25),IF(Units!$J25&lt;&gt;"",Units!$J25,Mkt!CE26),Inputs!$B$15*Mkt!CE26+(1-Inputs!$B$15)*MIN(Mkt!CE26,CD26*(1+Inputs!$B$18))),CD26)))</f>
        <v>2144.657037455</v>
      </c>
      <c r="CF26" s="11" t="n">
        <f aca="false">IF(CF$1&lt;Units!$P25,0,IF(AND(Units!$K25=0,CF$1=Units!$O25),Units!$R25,IF(AND(CF$1&gt;=Units!$Q25,MOD(CF$1-Units!$Q25,12)=0),IF(AND(Units!$L25=1,CF$1=Units!$Q25),IF(Units!$J25&lt;&gt;"",Units!$J25,Mkt!CF26),Inputs!$B$15*Mkt!CF26+(1-Inputs!$B$15)*MIN(Mkt!CF26,CE26*(1+Inputs!$B$18))),CE26)))</f>
        <v>2144.657037455</v>
      </c>
      <c r="CG26" s="11" t="n">
        <f aca="false">IF(CG$1&lt;Units!$P25,0,IF(AND(Units!$K25=0,CG$1=Units!$O25),Units!$R25,IF(AND(CG$1&gt;=Units!$Q25,MOD(CG$1-Units!$Q25,12)=0),IF(AND(Units!$L25=1,CG$1=Units!$Q25),IF(Units!$J25&lt;&gt;"",Units!$J25,Mkt!CG26),Inputs!$B$15*Mkt!CG26+(1-Inputs!$B$15)*MIN(Mkt!CG26,CF26*(1+Inputs!$B$18))),CF26)))</f>
        <v>2208.99674857865</v>
      </c>
      <c r="CH26" s="11" t="n">
        <f aca="false">IF(CH$1&lt;Units!$P25,0,IF(AND(Units!$K25=0,CH$1=Units!$O25),Units!$R25,IF(AND(CH$1&gt;=Units!$Q25,MOD(CH$1-Units!$Q25,12)=0),IF(AND(Units!$L25=1,CH$1=Units!$Q25),IF(Units!$J25&lt;&gt;"",Units!$J25,Mkt!CH26),Inputs!$B$15*Mkt!CH26+(1-Inputs!$B$15)*MIN(Mkt!CH26,CG26*(1+Inputs!$B$18))),CG26)))</f>
        <v>2208.99674857865</v>
      </c>
      <c r="CI26" s="11" t="n">
        <f aca="false">IF(CI$1&lt;Units!$P25,0,IF(AND(Units!$K25=0,CI$1=Units!$O25),Units!$R25,IF(AND(CI$1&gt;=Units!$Q25,MOD(CI$1-Units!$Q25,12)=0),IF(AND(Units!$L25=1,CI$1=Units!$Q25),IF(Units!$J25&lt;&gt;"",Units!$J25,Mkt!CI26),Inputs!$B$15*Mkt!CI26+(1-Inputs!$B$15)*MIN(Mkt!CI26,CH26*(1+Inputs!$B$18))),CH26)))</f>
        <v>2208.99674857865</v>
      </c>
      <c r="CJ26" s="11" t="n">
        <f aca="false">IF(CJ$1&lt;Units!$P25,0,IF(AND(Units!$K25=0,CJ$1=Units!$O25),Units!$R25,IF(AND(CJ$1&gt;=Units!$Q25,MOD(CJ$1-Units!$Q25,12)=0),IF(AND(Units!$L25=1,CJ$1=Units!$Q25),IF(Units!$J25&lt;&gt;"",Units!$J25,Mkt!CJ26),Inputs!$B$15*Mkt!CJ26+(1-Inputs!$B$15)*MIN(Mkt!CJ26,CI26*(1+Inputs!$B$18))),CI26)))</f>
        <v>2208.99674857865</v>
      </c>
      <c r="CK26" s="11" t="n">
        <f aca="false">IF(CK$1&lt;Units!$P25,0,IF(AND(Units!$K25=0,CK$1=Units!$O25),Units!$R25,IF(AND(CK$1&gt;=Units!$Q25,MOD(CK$1-Units!$Q25,12)=0),IF(AND(Units!$L25=1,CK$1=Units!$Q25),IF(Units!$J25&lt;&gt;"",Units!$J25,Mkt!CK26),Inputs!$B$15*Mkt!CK26+(1-Inputs!$B$15)*MIN(Mkt!CK26,CJ26*(1+Inputs!$B$18))),CJ26)))</f>
        <v>2208.99674857865</v>
      </c>
      <c r="CL26" s="11" t="n">
        <f aca="false">IF(CL$1&lt;Units!$P25,0,IF(AND(Units!$K25=0,CL$1=Units!$O25),Units!$R25,IF(AND(CL$1&gt;=Units!$Q25,MOD(CL$1-Units!$Q25,12)=0),IF(AND(Units!$L25=1,CL$1=Units!$Q25),IF(Units!$J25&lt;&gt;"",Units!$J25,Mkt!CL26),Inputs!$B$15*Mkt!CL26+(1-Inputs!$B$15)*MIN(Mkt!CL26,CK26*(1+Inputs!$B$18))),CK26)))</f>
        <v>2208.99674857865</v>
      </c>
      <c r="CM26" s="11" t="n">
        <f aca="false">IF(CM$1&lt;Units!$P25,0,IF(AND(Units!$K25=0,CM$1=Units!$O25),Units!$R25,IF(AND(CM$1&gt;=Units!$Q25,MOD(CM$1-Units!$Q25,12)=0),IF(AND(Units!$L25=1,CM$1=Units!$Q25),IF(Units!$J25&lt;&gt;"",Units!$J25,Mkt!CM26),Inputs!$B$15*Mkt!CM26+(1-Inputs!$B$15)*MIN(Mkt!CM26,CL26*(1+Inputs!$B$18))),CL26)))</f>
        <v>2208.99674857865</v>
      </c>
      <c r="CN26" s="11" t="n">
        <f aca="false">IF(CN$1&lt;Units!$P25,0,IF(AND(Units!$K25=0,CN$1=Units!$O25),Units!$R25,IF(AND(CN$1&gt;=Units!$Q25,MOD(CN$1-Units!$Q25,12)=0),IF(AND(Units!$L25=1,CN$1=Units!$Q25),IF(Units!$J25&lt;&gt;"",Units!$J25,Mkt!CN26),Inputs!$B$15*Mkt!CN26+(1-Inputs!$B$15)*MIN(Mkt!CN26,CM26*(1+Inputs!$B$18))),CM26)))</f>
        <v>2208.99674857865</v>
      </c>
      <c r="CO26" s="11" t="n">
        <f aca="false">IF(CO$1&lt;Units!$P25,0,IF(AND(Units!$K25=0,CO$1=Units!$O25),Units!$R25,IF(AND(CO$1&gt;=Units!$Q25,MOD(CO$1-Units!$Q25,12)=0),IF(AND(Units!$L25=1,CO$1=Units!$Q25),IF(Units!$J25&lt;&gt;"",Units!$J25,Mkt!CO26),Inputs!$B$15*Mkt!CO26+(1-Inputs!$B$15)*MIN(Mkt!CO26,CN26*(1+Inputs!$B$18))),CN26)))</f>
        <v>2208.99674857865</v>
      </c>
      <c r="CP26" s="11" t="n">
        <f aca="false">IF(CP$1&lt;Units!$P25,0,IF(AND(Units!$K25=0,CP$1=Units!$O25),Units!$R25,IF(AND(CP$1&gt;=Units!$Q25,MOD(CP$1-Units!$Q25,12)=0),IF(AND(Units!$L25=1,CP$1=Units!$Q25),IF(Units!$J25&lt;&gt;"",Units!$J25,Mkt!CP26),Inputs!$B$15*Mkt!CP26+(1-Inputs!$B$15)*MIN(Mkt!CP26,CO26*(1+Inputs!$B$18))),CO26)))</f>
        <v>2208.99674857865</v>
      </c>
      <c r="CQ26" s="11" t="n">
        <f aca="false">IF(CQ$1&lt;Units!$P25,0,IF(AND(Units!$K25=0,CQ$1=Units!$O25),Units!$R25,IF(AND(CQ$1&gt;=Units!$Q25,MOD(CQ$1-Units!$Q25,12)=0),IF(AND(Units!$L25=1,CQ$1=Units!$Q25),IF(Units!$J25&lt;&gt;"",Units!$J25,Mkt!CQ26),Inputs!$B$15*Mkt!CQ26+(1-Inputs!$B$15)*MIN(Mkt!CQ26,CP26*(1+Inputs!$B$18))),CP26)))</f>
        <v>2208.99674857865</v>
      </c>
      <c r="CR26" s="11" t="n">
        <f aca="false">IF(CR$1&lt;Units!$P25,0,IF(AND(Units!$K25=0,CR$1=Units!$O25),Units!$R25,IF(AND(CR$1&gt;=Units!$Q25,MOD(CR$1-Units!$Q25,12)=0),IF(AND(Units!$L25=1,CR$1=Units!$Q25),IF(Units!$J25&lt;&gt;"",Units!$J25,Mkt!CR26),Inputs!$B$15*Mkt!CR26+(1-Inputs!$B$15)*MIN(Mkt!CR26,CQ26*(1+Inputs!$B$18))),CQ26)))</f>
        <v>2208.99674857865</v>
      </c>
      <c r="CS26" s="11" t="n">
        <f aca="false">IF(CS$1&lt;Units!$P25,0,IF(AND(Units!$K25=0,CS$1=Units!$O25),Units!$R25,IF(AND(CS$1&gt;=Units!$Q25,MOD(CS$1-Units!$Q25,12)=0),IF(AND(Units!$L25=1,CS$1=Units!$Q25),IF(Units!$J25&lt;&gt;"",Units!$J25,Mkt!CS26),Inputs!$B$15*Mkt!CS26+(1-Inputs!$B$15)*MIN(Mkt!CS26,CR26*(1+Inputs!$B$18))),CR26)))</f>
        <v>2275.26665103601</v>
      </c>
      <c r="CT26" s="11" t="n">
        <f aca="false">IF(CT$1&lt;Units!$P25,0,IF(AND(Units!$K25=0,CT$1=Units!$O25),Units!$R25,IF(AND(CT$1&gt;=Units!$Q25,MOD(CT$1-Units!$Q25,12)=0),IF(AND(Units!$L25=1,CT$1=Units!$Q25),IF(Units!$J25&lt;&gt;"",Units!$J25,Mkt!CT26),Inputs!$B$15*Mkt!CT26+(1-Inputs!$B$15)*MIN(Mkt!CT26,CS26*(1+Inputs!$B$18))),CS26)))</f>
        <v>2275.26665103601</v>
      </c>
      <c r="CU26" s="11" t="n">
        <f aca="false">IF(CU$1&lt;Units!$P25,0,IF(AND(Units!$K25=0,CU$1=Units!$O25),Units!$R25,IF(AND(CU$1&gt;=Units!$Q25,MOD(CU$1-Units!$Q25,12)=0),IF(AND(Units!$L25=1,CU$1=Units!$Q25),IF(Units!$J25&lt;&gt;"",Units!$J25,Mkt!CU26),Inputs!$B$15*Mkt!CU26+(1-Inputs!$B$15)*MIN(Mkt!CU26,CT26*(1+Inputs!$B$18))),CT26)))</f>
        <v>2275.26665103601</v>
      </c>
      <c r="CV26" s="11" t="n">
        <f aca="false">IF(CV$1&lt;Units!$P25,0,IF(AND(Units!$K25=0,CV$1=Units!$O25),Units!$R25,IF(AND(CV$1&gt;=Units!$Q25,MOD(CV$1-Units!$Q25,12)=0),IF(AND(Units!$L25=1,CV$1=Units!$Q25),IF(Units!$J25&lt;&gt;"",Units!$J25,Mkt!CV26),Inputs!$B$15*Mkt!CV26+(1-Inputs!$B$15)*MIN(Mkt!CV26,CU26*(1+Inputs!$B$18))),CU26)))</f>
        <v>2275.26665103601</v>
      </c>
      <c r="CW26" s="11" t="n">
        <f aca="false">IF(CW$1&lt;Units!$P25,0,IF(AND(Units!$K25=0,CW$1=Units!$O25),Units!$R25,IF(AND(CW$1&gt;=Units!$Q25,MOD(CW$1-Units!$Q25,12)=0),IF(AND(Units!$L25=1,CW$1=Units!$Q25),IF(Units!$J25&lt;&gt;"",Units!$J25,Mkt!CW26),Inputs!$B$15*Mkt!CW26+(1-Inputs!$B$15)*MIN(Mkt!CW26,CV26*(1+Inputs!$B$18))),CV26)))</f>
        <v>2275.26665103601</v>
      </c>
      <c r="CX26" s="11" t="n">
        <f aca="false">IF(CX$1&lt;Units!$P25,0,IF(AND(Units!$K25=0,CX$1=Units!$O25),Units!$R25,IF(AND(CX$1&gt;=Units!$Q25,MOD(CX$1-Units!$Q25,12)=0),IF(AND(Units!$L25=1,CX$1=Units!$Q25),IF(Units!$J25&lt;&gt;"",Units!$J25,Mkt!CX26),Inputs!$B$15*Mkt!CX26+(1-Inputs!$B$15)*MIN(Mkt!CX26,CW26*(1+Inputs!$B$18))),CW26)))</f>
        <v>2275.26665103601</v>
      </c>
      <c r="CY26" s="11" t="n">
        <f aca="false">IF(CY$1&lt;Units!$P25,0,IF(AND(Units!$K25=0,CY$1=Units!$O25),Units!$R25,IF(AND(CY$1&gt;=Units!$Q25,MOD(CY$1-Units!$Q25,12)=0),IF(AND(Units!$L25=1,CY$1=Units!$Q25),IF(Units!$J25&lt;&gt;"",Units!$J25,Mkt!CY26),Inputs!$B$15*Mkt!CY26+(1-Inputs!$B$15)*MIN(Mkt!CY26,CX26*(1+Inputs!$B$18))),CX26)))</f>
        <v>2275.26665103601</v>
      </c>
      <c r="CZ26" s="11" t="n">
        <f aca="false">IF(CZ$1&lt;Units!$P25,0,IF(AND(Units!$K25=0,CZ$1=Units!$O25),Units!$R25,IF(AND(CZ$1&gt;=Units!$Q25,MOD(CZ$1-Units!$Q25,12)=0),IF(AND(Units!$L25=1,CZ$1=Units!$Q25),IF(Units!$J25&lt;&gt;"",Units!$J25,Mkt!CZ26),Inputs!$B$15*Mkt!CZ26+(1-Inputs!$B$15)*MIN(Mkt!CZ26,CY26*(1+Inputs!$B$18))),CY26)))</f>
        <v>2275.26665103601</v>
      </c>
      <c r="DA26" s="11" t="n">
        <f aca="false">IF(DA$1&lt;Units!$P25,0,IF(AND(Units!$K25=0,DA$1=Units!$O25),Units!$R25,IF(AND(DA$1&gt;=Units!$Q25,MOD(DA$1-Units!$Q25,12)=0),IF(AND(Units!$L25=1,DA$1=Units!$Q25),IF(Units!$J25&lt;&gt;"",Units!$J25,Mkt!DA26),Inputs!$B$15*Mkt!DA26+(1-Inputs!$B$15)*MIN(Mkt!DA26,CZ26*(1+Inputs!$B$18))),CZ26)))</f>
        <v>2275.26665103601</v>
      </c>
      <c r="DB26" s="11" t="n">
        <f aca="false">IF(DB$1&lt;Units!$P25,0,IF(AND(Units!$K25=0,DB$1=Units!$O25),Units!$R25,IF(AND(DB$1&gt;=Units!$Q25,MOD(DB$1-Units!$Q25,12)=0),IF(AND(Units!$L25=1,DB$1=Units!$Q25),IF(Units!$J25&lt;&gt;"",Units!$J25,Mkt!DB26),Inputs!$B$15*Mkt!DB26+(1-Inputs!$B$15)*MIN(Mkt!DB26,DA26*(1+Inputs!$B$18))),DA26)))</f>
        <v>2275.26665103601</v>
      </c>
      <c r="DC26" s="11" t="n">
        <f aca="false">IF(DC$1&lt;Units!$P25,0,IF(AND(Units!$K25=0,DC$1=Units!$O25),Units!$R25,IF(AND(DC$1&gt;=Units!$Q25,MOD(DC$1-Units!$Q25,12)=0),IF(AND(Units!$L25=1,DC$1=Units!$Q25),IF(Units!$J25&lt;&gt;"",Units!$J25,Mkt!DC26),Inputs!$B$15*Mkt!DC26+(1-Inputs!$B$15)*MIN(Mkt!DC26,DB26*(1+Inputs!$B$18))),DB26)))</f>
        <v>2275.26665103601</v>
      </c>
      <c r="DD26" s="11" t="n">
        <f aca="false">IF(DD$1&lt;Units!$P25,0,IF(AND(Units!$K25=0,DD$1=Units!$O25),Units!$R25,IF(AND(DD$1&gt;=Units!$Q25,MOD(DD$1-Units!$Q25,12)=0),IF(AND(Units!$L25=1,DD$1=Units!$Q25),IF(Units!$J25&lt;&gt;"",Units!$J25,Mkt!DD26),Inputs!$B$15*Mkt!DD26+(1-Inputs!$B$15)*MIN(Mkt!DD26,DC26*(1+Inputs!$B$18))),DC26)))</f>
        <v>2275.26665103601</v>
      </c>
      <c r="DE26" s="11" t="n">
        <f aca="false">IF(DE$1&lt;Units!$P25,0,IF(AND(Units!$K25=0,DE$1=Units!$O25),Units!$R25,IF(AND(DE$1&gt;=Units!$Q25,MOD(DE$1-Units!$Q25,12)=0),IF(AND(Units!$L25=1,DE$1=Units!$Q25),IF(Units!$J25&lt;&gt;"",Units!$J25,Mkt!DE26),Inputs!$B$15*Mkt!DE26+(1-Inputs!$B$15)*MIN(Mkt!DE26,DD26*(1+Inputs!$B$18))),DD26)))</f>
        <v>2343.52465056709</v>
      </c>
      <c r="DF26" s="11" t="n">
        <f aca="false">IF(DF$1&lt;Units!$P25,0,IF(AND(Units!$K25=0,DF$1=Units!$O25),Units!$R25,IF(AND(DF$1&gt;=Units!$Q25,MOD(DF$1-Units!$Q25,12)=0),IF(AND(Units!$L25=1,DF$1=Units!$Q25),IF(Units!$J25&lt;&gt;"",Units!$J25,Mkt!DF26),Inputs!$B$15*Mkt!DF26+(1-Inputs!$B$15)*MIN(Mkt!DF26,DE26*(1+Inputs!$B$18))),DE26)))</f>
        <v>2343.52465056709</v>
      </c>
      <c r="DG26" s="11" t="n">
        <f aca="false">IF(DG$1&lt;Units!$P25,0,IF(AND(Units!$K25=0,DG$1=Units!$O25),Units!$R25,IF(AND(DG$1&gt;=Units!$Q25,MOD(DG$1-Units!$Q25,12)=0),IF(AND(Units!$L25=1,DG$1=Units!$Q25),IF(Units!$J25&lt;&gt;"",Units!$J25,Mkt!DG26),Inputs!$B$15*Mkt!DG26+(1-Inputs!$B$15)*MIN(Mkt!DG26,DF26*(1+Inputs!$B$18))),DF26)))</f>
        <v>2343.52465056709</v>
      </c>
      <c r="DH26" s="11" t="n">
        <f aca="false">IF(DH$1&lt;Units!$P25,0,IF(AND(Units!$K25=0,DH$1=Units!$O25),Units!$R25,IF(AND(DH$1&gt;=Units!$Q25,MOD(DH$1-Units!$Q25,12)=0),IF(AND(Units!$L25=1,DH$1=Units!$Q25),IF(Units!$J25&lt;&gt;"",Units!$J25,Mkt!DH26),Inputs!$B$15*Mkt!DH26+(1-Inputs!$B$15)*MIN(Mkt!DH26,DG26*(1+Inputs!$B$18))),DG26)))</f>
        <v>2343.52465056709</v>
      </c>
      <c r="DI26" s="11" t="n">
        <f aca="false">IF(DI$1&lt;Units!$P25,0,IF(AND(Units!$K25=0,DI$1=Units!$O25),Units!$R25,IF(AND(DI$1&gt;=Units!$Q25,MOD(DI$1-Units!$Q25,12)=0),IF(AND(Units!$L25=1,DI$1=Units!$Q25),IF(Units!$J25&lt;&gt;"",Units!$J25,Mkt!DI26),Inputs!$B$15*Mkt!DI26+(1-Inputs!$B$15)*MIN(Mkt!DI26,DH26*(1+Inputs!$B$18))),DH26)))</f>
        <v>2343.52465056709</v>
      </c>
      <c r="DJ26" s="11" t="n">
        <f aca="false">IF(DJ$1&lt;Units!$P25,0,IF(AND(Units!$K25=0,DJ$1=Units!$O25),Units!$R25,IF(AND(DJ$1&gt;=Units!$Q25,MOD(DJ$1-Units!$Q25,12)=0),IF(AND(Units!$L25=1,DJ$1=Units!$Q25),IF(Units!$J25&lt;&gt;"",Units!$J25,Mkt!DJ26),Inputs!$B$15*Mkt!DJ26+(1-Inputs!$B$15)*MIN(Mkt!DJ26,DI26*(1+Inputs!$B$18))),DI26)))</f>
        <v>2343.52465056709</v>
      </c>
      <c r="DK26" s="11" t="n">
        <f aca="false">IF(DK$1&lt;Units!$P25,0,IF(AND(Units!$K25=0,DK$1=Units!$O25),Units!$R25,IF(AND(DK$1&gt;=Units!$Q25,MOD(DK$1-Units!$Q25,12)=0),IF(AND(Units!$L25=1,DK$1=Units!$Q25),IF(Units!$J25&lt;&gt;"",Units!$J25,Mkt!DK26),Inputs!$B$15*Mkt!DK26+(1-Inputs!$B$15)*MIN(Mkt!DK26,DJ26*(1+Inputs!$B$18))),DJ26)))</f>
        <v>2343.52465056709</v>
      </c>
      <c r="DL26" s="11" t="n">
        <f aca="false">IF(DL$1&lt;Units!$P25,0,IF(AND(Units!$K25=0,DL$1=Units!$O25),Units!$R25,IF(AND(DL$1&gt;=Units!$Q25,MOD(DL$1-Units!$Q25,12)=0),IF(AND(Units!$L25=1,DL$1=Units!$Q25),IF(Units!$J25&lt;&gt;"",Units!$J25,Mkt!DL26),Inputs!$B$15*Mkt!DL26+(1-Inputs!$B$15)*MIN(Mkt!DL26,DK26*(1+Inputs!$B$18))),DK26)))</f>
        <v>2343.52465056709</v>
      </c>
      <c r="DM26" s="11" t="n">
        <f aca="false">IF(DM$1&lt;Units!$P25,0,IF(AND(Units!$K25=0,DM$1=Units!$O25),Units!$R25,IF(AND(DM$1&gt;=Units!$Q25,MOD(DM$1-Units!$Q25,12)=0),IF(AND(Units!$L25=1,DM$1=Units!$Q25),IF(Units!$J25&lt;&gt;"",Units!$J25,Mkt!DM26),Inputs!$B$15*Mkt!DM26+(1-Inputs!$B$15)*MIN(Mkt!DM26,DL26*(1+Inputs!$B$18))),DL26)))</f>
        <v>2343.52465056709</v>
      </c>
      <c r="DN26" s="11" t="n">
        <f aca="false">IF(DN$1&lt;Units!$P25,0,IF(AND(Units!$K25=0,DN$1=Units!$O25),Units!$R25,IF(AND(DN$1&gt;=Units!$Q25,MOD(DN$1-Units!$Q25,12)=0),IF(AND(Units!$L25=1,DN$1=Units!$Q25),IF(Units!$J25&lt;&gt;"",Units!$J25,Mkt!DN26),Inputs!$B$15*Mkt!DN26+(1-Inputs!$B$15)*MIN(Mkt!DN26,DM26*(1+Inputs!$B$18))),DM26)))</f>
        <v>2343.52465056709</v>
      </c>
      <c r="DO26" s="11" t="n">
        <f aca="false">IF(DO$1&lt;Units!$P25,0,IF(AND(Units!$K25=0,DO$1=Units!$O25),Units!$R25,IF(AND(DO$1&gt;=Units!$Q25,MOD(DO$1-Units!$Q25,12)=0),IF(AND(Units!$L25=1,DO$1=Units!$Q25),IF(Units!$J25&lt;&gt;"",Units!$J25,Mkt!DO26),Inputs!$B$15*Mkt!DO26+(1-Inputs!$B$15)*MIN(Mkt!DO26,DN26*(1+Inputs!$B$18))),DN26)))</f>
        <v>2343.52465056709</v>
      </c>
      <c r="DP26" s="11" t="n">
        <f aca="false">IF(DP$1&lt;Units!$P25,0,IF(AND(Units!$K25=0,DP$1=Units!$O25),Units!$R25,IF(AND(DP$1&gt;=Units!$Q25,MOD(DP$1-Units!$Q25,12)=0),IF(AND(Units!$L25=1,DP$1=Units!$Q25),IF(Units!$J25&lt;&gt;"",Units!$J25,Mkt!DP26),Inputs!$B$15*Mkt!DP26+(1-Inputs!$B$15)*MIN(Mkt!DP26,DO26*(1+Inputs!$B$18))),DO26)))</f>
        <v>2343.52465056709</v>
      </c>
      <c r="DQ26" s="11" t="n">
        <f aca="false">IF(DQ$1&lt;Units!$P25,0,IF(AND(Units!$K25=0,DQ$1=Units!$O25),Units!$R25,IF(AND(DQ$1&gt;=Units!$Q25,MOD(DQ$1-Units!$Q25,12)=0),IF(AND(Units!$L25=1,DQ$1=Units!$Q25),IF(Units!$J25&lt;&gt;"",Units!$J25,Mkt!DQ26),Inputs!$B$15*Mkt!DQ26+(1-Inputs!$B$15)*MIN(Mkt!DQ26,DP26*(1+Inputs!$B$18))),DP26)))</f>
        <v>2413.8303900841</v>
      </c>
      <c r="DR26" s="11" t="n">
        <f aca="false">IF(DR$1&lt;Units!$P25,0,IF(AND(Units!$K25=0,DR$1=Units!$O25),Units!$R25,IF(AND(DR$1&gt;=Units!$Q25,MOD(DR$1-Units!$Q25,12)=0),IF(AND(Units!$L25=1,DR$1=Units!$Q25),IF(Units!$J25&lt;&gt;"",Units!$J25,Mkt!DR26),Inputs!$B$15*Mkt!DR26+(1-Inputs!$B$15)*MIN(Mkt!DR26,DQ26*(1+Inputs!$B$18))),DQ26)))</f>
        <v>2413.8303900841</v>
      </c>
      <c r="DS26" s="11" t="n">
        <f aca="false">IF(DS$1&lt;Units!$P25,0,IF(AND(Units!$K25=0,DS$1=Units!$O25),Units!$R25,IF(AND(DS$1&gt;=Units!$Q25,MOD(DS$1-Units!$Q25,12)=0),IF(AND(Units!$L25=1,DS$1=Units!$Q25),IF(Units!$J25&lt;&gt;"",Units!$J25,Mkt!DS26),Inputs!$B$15*Mkt!DS26+(1-Inputs!$B$15)*MIN(Mkt!DS26,DR26*(1+Inputs!$B$18))),DR26)))</f>
        <v>2413.8303900841</v>
      </c>
      <c r="DT26" s="11" t="n">
        <f aca="false">IF(DT$1&lt;Units!$P25,0,IF(AND(Units!$K25=0,DT$1=Units!$O25),Units!$R25,IF(AND(DT$1&gt;=Units!$Q25,MOD(DT$1-Units!$Q25,12)=0),IF(AND(Units!$L25=1,DT$1=Units!$Q25),IF(Units!$J25&lt;&gt;"",Units!$J25,Mkt!DT26),Inputs!$B$15*Mkt!DT26+(1-Inputs!$B$15)*MIN(Mkt!DT26,DS26*(1+Inputs!$B$18))),DS26)))</f>
        <v>2413.8303900841</v>
      </c>
      <c r="DU26" s="11" t="n">
        <f aca="false">IF(DU$1&lt;Units!$P25,0,IF(AND(Units!$K25=0,DU$1=Units!$O25),Units!$R25,IF(AND(DU$1&gt;=Units!$Q25,MOD(DU$1-Units!$Q25,12)=0),IF(AND(Units!$L25=1,DU$1=Units!$Q25),IF(Units!$J25&lt;&gt;"",Units!$J25,Mkt!DU26),Inputs!$B$15*Mkt!DU26+(1-Inputs!$B$15)*MIN(Mkt!DU26,DT26*(1+Inputs!$B$18))),DT26)))</f>
        <v>2413.8303900841</v>
      </c>
      <c r="DV26" s="11" t="n">
        <f aca="false">IF(DV$1&lt;Units!$P25,0,IF(AND(Units!$K25=0,DV$1=Units!$O25),Units!$R25,IF(AND(DV$1&gt;=Units!$Q25,MOD(DV$1-Units!$Q25,12)=0),IF(AND(Units!$L25=1,DV$1=Units!$Q25),IF(Units!$J25&lt;&gt;"",Units!$J25,Mkt!DV26),Inputs!$B$15*Mkt!DV26+(1-Inputs!$B$15)*MIN(Mkt!DV26,DU26*(1+Inputs!$B$18))),DU26)))</f>
        <v>2413.8303900841</v>
      </c>
      <c r="DW26" s="11" t="n">
        <f aca="false">IF(DW$1&lt;Units!$P25,0,IF(AND(Units!$K25=0,DW$1=Units!$O25),Units!$R25,IF(AND(DW$1&gt;=Units!$Q25,MOD(DW$1-Units!$Q25,12)=0),IF(AND(Units!$L25=1,DW$1=Units!$Q25),IF(Units!$J25&lt;&gt;"",Units!$J25,Mkt!DW26),Inputs!$B$15*Mkt!DW26+(1-Inputs!$B$15)*MIN(Mkt!DW26,DV26*(1+Inputs!$B$18))),DV26)))</f>
        <v>2413.8303900841</v>
      </c>
      <c r="DX26" s="11" t="n">
        <f aca="false">IF(DX$1&lt;Units!$P25,0,IF(AND(Units!$K25=0,DX$1=Units!$O25),Units!$R25,IF(AND(DX$1&gt;=Units!$Q25,MOD(DX$1-Units!$Q25,12)=0),IF(AND(Units!$L25=1,DX$1=Units!$Q25),IF(Units!$J25&lt;&gt;"",Units!$J25,Mkt!DX26),Inputs!$B$15*Mkt!DX26+(1-Inputs!$B$15)*MIN(Mkt!DX26,DW26*(1+Inputs!$B$18))),DW26)))</f>
        <v>2413.8303900841</v>
      </c>
      <c r="DY26" s="11" t="n">
        <f aca="false">IF(DY$1&lt;Units!$P25,0,IF(AND(Units!$K25=0,DY$1=Units!$O25),Units!$R25,IF(AND(DY$1&gt;=Units!$Q25,MOD(DY$1-Units!$Q25,12)=0),IF(AND(Units!$L25=1,DY$1=Units!$Q25),IF(Units!$J25&lt;&gt;"",Units!$J25,Mkt!DY26),Inputs!$B$15*Mkt!DY26+(1-Inputs!$B$15)*MIN(Mkt!DY26,DX26*(1+Inputs!$B$18))),DX26)))</f>
        <v>2413.8303900841</v>
      </c>
      <c r="DZ26" s="11" t="n">
        <f aca="false">IF(DZ$1&lt;Units!$P25,0,IF(AND(Units!$K25=0,DZ$1=Units!$O25),Units!$R25,IF(AND(DZ$1&gt;=Units!$Q25,MOD(DZ$1-Units!$Q25,12)=0),IF(AND(Units!$L25=1,DZ$1=Units!$Q25),IF(Units!$J25&lt;&gt;"",Units!$J25,Mkt!DZ26),Inputs!$B$15*Mkt!DZ26+(1-Inputs!$B$15)*MIN(Mkt!DZ26,DY26*(1+Inputs!$B$18))),DY26)))</f>
        <v>2413.8303900841</v>
      </c>
      <c r="EA26" s="11" t="n">
        <f aca="false">IF(EA$1&lt;Units!$P25,0,IF(AND(Units!$K25=0,EA$1=Units!$O25),Units!$R25,IF(AND(EA$1&gt;=Units!$Q25,MOD(EA$1-Units!$Q25,12)=0),IF(AND(Units!$L25=1,EA$1=Units!$Q25),IF(Units!$J25&lt;&gt;"",Units!$J25,Mkt!EA26),Inputs!$B$15*Mkt!EA26+(1-Inputs!$B$15)*MIN(Mkt!EA26,DZ26*(1+Inputs!$B$18))),DZ26)))</f>
        <v>2413.8303900841</v>
      </c>
      <c r="EB26" s="11" t="n">
        <f aca="false">IF(EB$1&lt;Units!$P25,0,IF(AND(Units!$K25=0,EB$1=Units!$O25),Units!$R25,IF(AND(EB$1&gt;=Units!$Q25,MOD(EB$1-Units!$Q25,12)=0),IF(AND(Units!$L25=1,EB$1=Units!$Q25),IF(Units!$J25&lt;&gt;"",Units!$J25,Mkt!EB26),Inputs!$B$15*Mkt!EB26+(1-Inputs!$B$15)*MIN(Mkt!EB26,EA26*(1+Inputs!$B$18))),EA26)))</f>
        <v>2413.8303900841</v>
      </c>
      <c r="EC26" s="11" t="n">
        <f aca="false">IF(EC$1&lt;Units!$P25,0,IF(AND(Units!$K25=0,EC$1=Units!$O25),Units!$R25,IF(AND(EC$1&gt;=Units!$Q25,MOD(EC$1-Units!$Q25,12)=0),IF(AND(Units!$L25=1,EC$1=Units!$Q25),IF(Units!$J25&lt;&gt;"",Units!$J25,Mkt!EC26),Inputs!$B$15*Mkt!EC26+(1-Inputs!$B$15)*MIN(Mkt!EC26,EB26*(1+Inputs!$B$18))),EB26)))</f>
        <v>2486.24530178663</v>
      </c>
      <c r="ED26" s="11" t="n">
        <f aca="false">IF(ED$1&lt;Units!$P25,0,IF(AND(Units!$K25=0,ED$1=Units!$O25),Units!$R25,IF(AND(ED$1&gt;=Units!$Q25,MOD(ED$1-Units!$Q25,12)=0),IF(AND(Units!$L25=1,ED$1=Units!$Q25),IF(Units!$J25&lt;&gt;"",Units!$J25,Mkt!ED26),Inputs!$B$15*Mkt!ED26+(1-Inputs!$B$15)*MIN(Mkt!ED26,EC26*(1+Inputs!$B$18))),EC26)))</f>
        <v>2486.24530178663</v>
      </c>
    </row>
    <row r="27" customFormat="false" ht="15" hidden="false" customHeight="false" outlineLevel="0" collapsed="false">
      <c r="A27" s="22" t="n">
        <f aca="false">Units!A26</f>
        <v>125</v>
      </c>
      <c r="B27" s="24" t="n">
        <f aca="false">IF(Units!K26=1,Units!F26,0)</f>
        <v>1895</v>
      </c>
      <c r="C27" s="11" t="n">
        <f aca="false">IF(C$1&lt;Units!$P26,0,IF(AND(Units!$K26=0,C$1=Units!$O26),Units!$R26,IF(AND(C$1&gt;=Units!$Q26,MOD(C$1-Units!$Q26,12)=0),IF(AND(Units!$L26=1,C$1=Units!$Q26),IF(Units!$J26&lt;&gt;"",Units!$J26,Mkt!C27),Inputs!$B$15*Mkt!C27+(1-Inputs!$B$15)*MIN(Mkt!C27,B27*(1+Inputs!$B$18))),B27)))</f>
        <v>1895</v>
      </c>
      <c r="D27" s="11" t="n">
        <f aca="false">IF(D$1&lt;Units!$P26,0,IF(AND(Units!$K26=0,D$1=Units!$O26),Units!$R26,IF(AND(D$1&gt;=Units!$Q26,MOD(D$1-Units!$Q26,12)=0),IF(AND(Units!$L26=1,D$1=Units!$Q26),IF(Units!$J26&lt;&gt;"",Units!$J26,Mkt!D27),Inputs!$B$15*Mkt!D27+(1-Inputs!$B$15)*MIN(Mkt!D27,C27*(1+Inputs!$B$18))),C27)))</f>
        <v>1895</v>
      </c>
      <c r="E27" s="11" t="n">
        <f aca="false">IF(E$1&lt;Units!$P26,0,IF(AND(Units!$K26=0,E$1=Units!$O26),Units!$R26,IF(AND(E$1&gt;=Units!$Q26,MOD(E$1-Units!$Q26,12)=0),IF(AND(Units!$L26=1,E$1=Units!$Q26),IF(Units!$J26&lt;&gt;"",Units!$J26,Mkt!E27),Inputs!$B$15*Mkt!E27+(1-Inputs!$B$15)*MIN(Mkt!E27,D27*(1+Inputs!$B$18))),D27)))</f>
        <v>1895</v>
      </c>
      <c r="F27" s="11" t="n">
        <f aca="false">IF(F$1&lt;Units!$P26,0,IF(AND(Units!$K26=0,F$1=Units!$O26),Units!$R26,IF(AND(F$1&gt;=Units!$Q26,MOD(F$1-Units!$Q26,12)=0),IF(AND(Units!$L26=1,F$1=Units!$Q26),IF(Units!$J26&lt;&gt;"",Units!$J26,Mkt!F27),Inputs!$B$15*Mkt!F27+(1-Inputs!$B$15)*MIN(Mkt!F27,E27*(1+Inputs!$B$18))),E27)))</f>
        <v>1895</v>
      </c>
      <c r="G27" s="11" t="n">
        <f aca="false">IF(G$1&lt;Units!$P26,0,IF(AND(Units!$K26=0,G$1=Units!$O26),Units!$R26,IF(AND(G$1&gt;=Units!$Q26,MOD(G$1-Units!$Q26,12)=0),IF(AND(Units!$L26=1,G$1=Units!$Q26),IF(Units!$J26&lt;&gt;"",Units!$J26,Mkt!G27),Inputs!$B$15*Mkt!G27+(1-Inputs!$B$15)*MIN(Mkt!G27,F27*(1+Inputs!$B$18))),F27)))</f>
        <v>1895</v>
      </c>
      <c r="H27" s="11" t="n">
        <f aca="false">IF(H$1&lt;Units!$P26,0,IF(AND(Units!$K26=0,H$1=Units!$O26),Units!$R26,IF(AND(H$1&gt;=Units!$Q26,MOD(H$1-Units!$Q26,12)=0),IF(AND(Units!$L26=1,H$1=Units!$Q26),IF(Units!$J26&lt;&gt;"",Units!$J26,Mkt!H27),Inputs!$B$15*Mkt!H27+(1-Inputs!$B$15)*MIN(Mkt!H27,G27*(1+Inputs!$B$18))),G27)))</f>
        <v>1895</v>
      </c>
      <c r="I27" s="11" t="n">
        <f aca="false">IF(I$1&lt;Units!$P26,0,IF(AND(Units!$K26=0,I$1=Units!$O26),Units!$R26,IF(AND(I$1&gt;=Units!$Q26,MOD(I$1-Units!$Q26,12)=0),IF(AND(Units!$L26=1,I$1=Units!$Q26),IF(Units!$J26&lt;&gt;"",Units!$J26,Mkt!I27),Inputs!$B$15*Mkt!I27+(1-Inputs!$B$15)*MIN(Mkt!I27,H27*(1+Inputs!$B$18))),H27)))</f>
        <v>1895</v>
      </c>
      <c r="J27" s="11" t="n">
        <f aca="false">IF(J$1&lt;Units!$P26,0,IF(AND(Units!$K26=0,J$1=Units!$O26),Units!$R26,IF(AND(J$1&gt;=Units!$Q26,MOD(J$1-Units!$Q26,12)=0),IF(AND(Units!$L26=1,J$1=Units!$Q26),IF(Units!$J26&lt;&gt;"",Units!$J26,Mkt!J27),Inputs!$B$15*Mkt!J27+(1-Inputs!$B$15)*MIN(Mkt!J27,I27*(1+Inputs!$B$18))),I27)))</f>
        <v>1895</v>
      </c>
      <c r="K27" s="11" t="n">
        <f aca="false">IF(K$1&lt;Units!$P26,0,IF(AND(Units!$K26=0,K$1=Units!$O26),Units!$R26,IF(AND(K$1&gt;=Units!$Q26,MOD(K$1-Units!$Q26,12)=0),IF(AND(Units!$L26=1,K$1=Units!$Q26),IF(Units!$J26&lt;&gt;"",Units!$J26,Mkt!K27),Inputs!$B$15*Mkt!K27+(1-Inputs!$B$15)*MIN(Mkt!K27,J27*(1+Inputs!$B$18))),J27)))</f>
        <v>1895</v>
      </c>
      <c r="L27" s="11" t="n">
        <f aca="false">IF(L$1&lt;Units!$P26,0,IF(AND(Units!$K26=0,L$1=Units!$O26),Units!$R26,IF(AND(L$1&gt;=Units!$Q26,MOD(L$1-Units!$Q26,12)=0),IF(AND(Units!$L26=1,L$1=Units!$Q26),IF(Units!$J26&lt;&gt;"",Units!$J26,Mkt!L27),Inputs!$B$15*Mkt!L27+(1-Inputs!$B$15)*MIN(Mkt!L27,K27*(1+Inputs!$B$18))),K27)))</f>
        <v>1895</v>
      </c>
      <c r="M27" s="11" t="n">
        <f aca="false">IF(M$1&lt;Units!$P26,0,IF(AND(Units!$K26=0,M$1=Units!$O26),Units!$R26,IF(AND(M$1&gt;=Units!$Q26,MOD(M$1-Units!$Q26,12)=0),IF(AND(Units!$L26=1,M$1=Units!$Q26),IF(Units!$J26&lt;&gt;"",Units!$J26,Mkt!M27),Inputs!$B$15*Mkt!M27+(1-Inputs!$B$15)*MIN(Mkt!M27,L27*(1+Inputs!$B$18))),L27)))</f>
        <v>1895</v>
      </c>
      <c r="N27" s="11" t="n">
        <f aca="false">IF(N$1&lt;Units!$P26,0,IF(AND(Units!$K26=0,N$1=Units!$O26),Units!$R26,IF(AND(N$1&gt;=Units!$Q26,MOD(N$1-Units!$Q26,12)=0),IF(AND(Units!$L26=1,N$1=Units!$Q26),IF(Units!$J26&lt;&gt;"",Units!$J26,Mkt!N27),Inputs!$B$15*Mkt!N27+(1-Inputs!$B$15)*MIN(Mkt!N27,M27*(1+Inputs!$B$18))),M27)))</f>
        <v>1850</v>
      </c>
      <c r="O27" s="11" t="n">
        <f aca="false">IF(O$1&lt;Units!$P26,0,IF(AND(Units!$K26=0,O$1=Units!$O26),Units!$R26,IF(AND(O$1&gt;=Units!$Q26,MOD(O$1-Units!$Q26,12)=0),IF(AND(Units!$L26=1,O$1=Units!$Q26),IF(Units!$J26&lt;&gt;"",Units!$J26,Mkt!O27),Inputs!$B$15*Mkt!O27+(1-Inputs!$B$15)*MIN(Mkt!O27,N27*(1+Inputs!$B$18))),N27)))</f>
        <v>1850</v>
      </c>
      <c r="P27" s="11" t="n">
        <f aca="false">IF(P$1&lt;Units!$P26,0,IF(AND(Units!$K26=0,P$1=Units!$O26),Units!$R26,IF(AND(P$1&gt;=Units!$Q26,MOD(P$1-Units!$Q26,12)=0),IF(AND(Units!$L26=1,P$1=Units!$Q26),IF(Units!$J26&lt;&gt;"",Units!$J26,Mkt!P27),Inputs!$B$15*Mkt!P27+(1-Inputs!$B$15)*MIN(Mkt!P27,O27*(1+Inputs!$B$18))),O27)))</f>
        <v>1850</v>
      </c>
      <c r="Q27" s="11" t="n">
        <f aca="false">IF(Q$1&lt;Units!$P26,0,IF(AND(Units!$K26=0,Q$1=Units!$O26),Units!$R26,IF(AND(Q$1&gt;=Units!$Q26,MOD(Q$1-Units!$Q26,12)=0),IF(AND(Units!$L26=1,Q$1=Units!$Q26),IF(Units!$J26&lt;&gt;"",Units!$J26,Mkt!Q27),Inputs!$B$15*Mkt!Q27+(1-Inputs!$B$15)*MIN(Mkt!Q27,P27*(1+Inputs!$B$18))),P27)))</f>
        <v>1850</v>
      </c>
      <c r="R27" s="11" t="n">
        <f aca="false">IF(R$1&lt;Units!$P26,0,IF(AND(Units!$K26=0,R$1=Units!$O26),Units!$R26,IF(AND(R$1&gt;=Units!$Q26,MOD(R$1-Units!$Q26,12)=0),IF(AND(Units!$L26=1,R$1=Units!$Q26),IF(Units!$J26&lt;&gt;"",Units!$J26,Mkt!R27),Inputs!$B$15*Mkt!R27+(1-Inputs!$B$15)*MIN(Mkt!R27,Q27*(1+Inputs!$B$18))),Q27)))</f>
        <v>1850</v>
      </c>
      <c r="S27" s="11" t="n">
        <f aca="false">IF(S$1&lt;Units!$P26,0,IF(AND(Units!$K26=0,S$1=Units!$O26),Units!$R26,IF(AND(S$1&gt;=Units!$Q26,MOD(S$1-Units!$Q26,12)=0),IF(AND(Units!$L26=1,S$1=Units!$Q26),IF(Units!$J26&lt;&gt;"",Units!$J26,Mkt!S27),Inputs!$B$15*Mkt!S27+(1-Inputs!$B$15)*MIN(Mkt!S27,R27*(1+Inputs!$B$18))),R27)))</f>
        <v>1850</v>
      </c>
      <c r="T27" s="11" t="n">
        <f aca="false">IF(T$1&lt;Units!$P26,0,IF(AND(Units!$K26=0,T$1=Units!$O26),Units!$R26,IF(AND(T$1&gt;=Units!$Q26,MOD(T$1-Units!$Q26,12)=0),IF(AND(Units!$L26=1,T$1=Units!$Q26),IF(Units!$J26&lt;&gt;"",Units!$J26,Mkt!T27),Inputs!$B$15*Mkt!T27+(1-Inputs!$B$15)*MIN(Mkt!T27,S27*(1+Inputs!$B$18))),S27)))</f>
        <v>1850</v>
      </c>
      <c r="U27" s="11" t="n">
        <f aca="false">IF(U$1&lt;Units!$P26,0,IF(AND(Units!$K26=0,U$1=Units!$O26),Units!$R26,IF(AND(U$1&gt;=Units!$Q26,MOD(U$1-Units!$Q26,12)=0),IF(AND(Units!$L26=1,U$1=Units!$Q26),IF(Units!$J26&lt;&gt;"",Units!$J26,Mkt!U27),Inputs!$B$15*Mkt!U27+(1-Inputs!$B$15)*MIN(Mkt!U27,T27*(1+Inputs!$B$18))),T27)))</f>
        <v>1850</v>
      </c>
      <c r="V27" s="11" t="n">
        <f aca="false">IF(V$1&lt;Units!$P26,0,IF(AND(Units!$K26=0,V$1=Units!$O26),Units!$R26,IF(AND(V$1&gt;=Units!$Q26,MOD(V$1-Units!$Q26,12)=0),IF(AND(Units!$L26=1,V$1=Units!$Q26),IF(Units!$J26&lt;&gt;"",Units!$J26,Mkt!V27),Inputs!$B$15*Mkt!V27+(1-Inputs!$B$15)*MIN(Mkt!V27,U27*(1+Inputs!$B$18))),U27)))</f>
        <v>1850</v>
      </c>
      <c r="W27" s="11" t="n">
        <f aca="false">IF(W$1&lt;Units!$P26,0,IF(AND(Units!$K26=0,W$1=Units!$O26),Units!$R26,IF(AND(W$1&gt;=Units!$Q26,MOD(W$1-Units!$Q26,12)=0),IF(AND(Units!$L26=1,W$1=Units!$Q26),IF(Units!$J26&lt;&gt;"",Units!$J26,Mkt!W27),Inputs!$B$15*Mkt!W27+(1-Inputs!$B$15)*MIN(Mkt!W27,V27*(1+Inputs!$B$18))),V27)))</f>
        <v>1850</v>
      </c>
      <c r="X27" s="11" t="n">
        <f aca="false">IF(X$1&lt;Units!$P26,0,IF(AND(Units!$K26=0,X$1=Units!$O26),Units!$R26,IF(AND(X$1&gt;=Units!$Q26,MOD(X$1-Units!$Q26,12)=0),IF(AND(Units!$L26=1,X$1=Units!$Q26),IF(Units!$J26&lt;&gt;"",Units!$J26,Mkt!X27),Inputs!$B$15*Mkt!X27+(1-Inputs!$B$15)*MIN(Mkt!X27,W27*(1+Inputs!$B$18))),W27)))</f>
        <v>1850</v>
      </c>
      <c r="Y27" s="11" t="n">
        <f aca="false">IF(Y$1&lt;Units!$P26,0,IF(AND(Units!$K26=0,Y$1=Units!$O26),Units!$R26,IF(AND(Y$1&gt;=Units!$Q26,MOD(Y$1-Units!$Q26,12)=0),IF(AND(Units!$L26=1,Y$1=Units!$Q26),IF(Units!$J26&lt;&gt;"",Units!$J26,Mkt!Y27),Inputs!$B$15*Mkt!Y27+(1-Inputs!$B$15)*MIN(Mkt!Y27,X27*(1+Inputs!$B$18))),X27)))</f>
        <v>1850</v>
      </c>
      <c r="Z27" s="11" t="n">
        <f aca="false">IF(Z$1&lt;Units!$P26,0,IF(AND(Units!$K26=0,Z$1=Units!$O26),Units!$R26,IF(AND(Z$1&gt;=Units!$Q26,MOD(Z$1-Units!$Q26,12)=0),IF(AND(Units!$L26=1,Z$1=Units!$Q26),IF(Units!$J26&lt;&gt;"",Units!$J26,Mkt!Z27),Inputs!$B$15*Mkt!Z27+(1-Inputs!$B$15)*MIN(Mkt!Z27,Y27*(1+Inputs!$B$18))),Y27)))</f>
        <v>1905.5</v>
      </c>
      <c r="AA27" s="11" t="n">
        <f aca="false">IF(AA$1&lt;Units!$P26,0,IF(AND(Units!$K26=0,AA$1=Units!$O26),Units!$R26,IF(AND(AA$1&gt;=Units!$Q26,MOD(AA$1-Units!$Q26,12)=0),IF(AND(Units!$L26=1,AA$1=Units!$Q26),IF(Units!$J26&lt;&gt;"",Units!$J26,Mkt!AA27),Inputs!$B$15*Mkt!AA27+(1-Inputs!$B$15)*MIN(Mkt!AA27,Z27*(1+Inputs!$B$18))),Z27)))</f>
        <v>1905.5</v>
      </c>
      <c r="AB27" s="11" t="n">
        <f aca="false">IF(AB$1&lt;Units!$P26,0,IF(AND(Units!$K26=0,AB$1=Units!$O26),Units!$R26,IF(AND(AB$1&gt;=Units!$Q26,MOD(AB$1-Units!$Q26,12)=0),IF(AND(Units!$L26=1,AB$1=Units!$Q26),IF(Units!$J26&lt;&gt;"",Units!$J26,Mkt!AB27),Inputs!$B$15*Mkt!AB27+(1-Inputs!$B$15)*MIN(Mkt!AB27,AA27*(1+Inputs!$B$18))),AA27)))</f>
        <v>1905.5</v>
      </c>
      <c r="AC27" s="11" t="n">
        <f aca="false">IF(AC$1&lt;Units!$P26,0,IF(AND(Units!$K26=0,AC$1=Units!$O26),Units!$R26,IF(AND(AC$1&gt;=Units!$Q26,MOD(AC$1-Units!$Q26,12)=0),IF(AND(Units!$L26=1,AC$1=Units!$Q26),IF(Units!$J26&lt;&gt;"",Units!$J26,Mkt!AC27),Inputs!$B$15*Mkt!AC27+(1-Inputs!$B$15)*MIN(Mkt!AC27,AB27*(1+Inputs!$B$18))),AB27)))</f>
        <v>1905.5</v>
      </c>
      <c r="AD27" s="11" t="n">
        <f aca="false">IF(AD$1&lt;Units!$P26,0,IF(AND(Units!$K26=0,AD$1=Units!$O26),Units!$R26,IF(AND(AD$1&gt;=Units!$Q26,MOD(AD$1-Units!$Q26,12)=0),IF(AND(Units!$L26=1,AD$1=Units!$Q26),IF(Units!$J26&lt;&gt;"",Units!$J26,Mkt!AD27),Inputs!$B$15*Mkt!AD27+(1-Inputs!$B$15)*MIN(Mkt!AD27,AC27*(1+Inputs!$B$18))),AC27)))</f>
        <v>1905.5</v>
      </c>
      <c r="AE27" s="11" t="n">
        <f aca="false">IF(AE$1&lt;Units!$P26,0,IF(AND(Units!$K26=0,AE$1=Units!$O26),Units!$R26,IF(AND(AE$1&gt;=Units!$Q26,MOD(AE$1-Units!$Q26,12)=0),IF(AND(Units!$L26=1,AE$1=Units!$Q26),IF(Units!$J26&lt;&gt;"",Units!$J26,Mkt!AE27),Inputs!$B$15*Mkt!AE27+(1-Inputs!$B$15)*MIN(Mkt!AE27,AD27*(1+Inputs!$B$18))),AD27)))</f>
        <v>1905.5</v>
      </c>
      <c r="AF27" s="11" t="n">
        <f aca="false">IF(AF$1&lt;Units!$P26,0,IF(AND(Units!$K26=0,AF$1=Units!$O26),Units!$R26,IF(AND(AF$1&gt;=Units!$Q26,MOD(AF$1-Units!$Q26,12)=0),IF(AND(Units!$L26=1,AF$1=Units!$Q26),IF(Units!$J26&lt;&gt;"",Units!$J26,Mkt!AF27),Inputs!$B$15*Mkt!AF27+(1-Inputs!$B$15)*MIN(Mkt!AF27,AE27*(1+Inputs!$B$18))),AE27)))</f>
        <v>1905.5</v>
      </c>
      <c r="AG27" s="11" t="n">
        <f aca="false">IF(AG$1&lt;Units!$P26,0,IF(AND(Units!$K26=0,AG$1=Units!$O26),Units!$R26,IF(AND(AG$1&gt;=Units!$Q26,MOD(AG$1-Units!$Q26,12)=0),IF(AND(Units!$L26=1,AG$1=Units!$Q26),IF(Units!$J26&lt;&gt;"",Units!$J26,Mkt!AG27),Inputs!$B$15*Mkt!AG27+(1-Inputs!$B$15)*MIN(Mkt!AG27,AF27*(1+Inputs!$B$18))),AF27)))</f>
        <v>1905.5</v>
      </c>
      <c r="AH27" s="11" t="n">
        <f aca="false">IF(AH$1&lt;Units!$P26,0,IF(AND(Units!$K26=0,AH$1=Units!$O26),Units!$R26,IF(AND(AH$1&gt;=Units!$Q26,MOD(AH$1-Units!$Q26,12)=0),IF(AND(Units!$L26=1,AH$1=Units!$Q26),IF(Units!$J26&lt;&gt;"",Units!$J26,Mkt!AH27),Inputs!$B$15*Mkt!AH27+(1-Inputs!$B$15)*MIN(Mkt!AH27,AG27*(1+Inputs!$B$18))),AG27)))</f>
        <v>1905.5</v>
      </c>
      <c r="AI27" s="11" t="n">
        <f aca="false">IF(AI$1&lt;Units!$P26,0,IF(AND(Units!$K26=0,AI$1=Units!$O26),Units!$R26,IF(AND(AI$1&gt;=Units!$Q26,MOD(AI$1-Units!$Q26,12)=0),IF(AND(Units!$L26=1,AI$1=Units!$Q26),IF(Units!$J26&lt;&gt;"",Units!$J26,Mkt!AI27),Inputs!$B$15*Mkt!AI27+(1-Inputs!$B$15)*MIN(Mkt!AI27,AH27*(1+Inputs!$B$18))),AH27)))</f>
        <v>1905.5</v>
      </c>
      <c r="AJ27" s="11" t="n">
        <f aca="false">IF(AJ$1&lt;Units!$P26,0,IF(AND(Units!$K26=0,AJ$1=Units!$O26),Units!$R26,IF(AND(AJ$1&gt;=Units!$Q26,MOD(AJ$1-Units!$Q26,12)=0),IF(AND(Units!$L26=1,AJ$1=Units!$Q26),IF(Units!$J26&lt;&gt;"",Units!$J26,Mkt!AJ27),Inputs!$B$15*Mkt!AJ27+(1-Inputs!$B$15)*MIN(Mkt!AJ27,AI27*(1+Inputs!$B$18))),AI27)))</f>
        <v>1905.5</v>
      </c>
      <c r="AK27" s="11" t="n">
        <f aca="false">IF(AK$1&lt;Units!$P26,0,IF(AND(Units!$K26=0,AK$1=Units!$O26),Units!$R26,IF(AND(AK$1&gt;=Units!$Q26,MOD(AK$1-Units!$Q26,12)=0),IF(AND(Units!$L26=1,AK$1=Units!$Q26),IF(Units!$J26&lt;&gt;"",Units!$J26,Mkt!AK27),Inputs!$B$15*Mkt!AK27+(1-Inputs!$B$15)*MIN(Mkt!AK27,AJ27*(1+Inputs!$B$18))),AJ27)))</f>
        <v>1905.5</v>
      </c>
      <c r="AL27" s="11" t="n">
        <f aca="false">IF(AL$1&lt;Units!$P26,0,IF(AND(Units!$K26=0,AL$1=Units!$O26),Units!$R26,IF(AND(AL$1&gt;=Units!$Q26,MOD(AL$1-Units!$Q26,12)=0),IF(AND(Units!$L26=1,AL$1=Units!$Q26),IF(Units!$J26&lt;&gt;"",Units!$J26,Mkt!AL27),Inputs!$B$15*Mkt!AL27+(1-Inputs!$B$15)*MIN(Mkt!AL27,AK27*(1+Inputs!$B$18))),AK27)))</f>
        <v>1962.665</v>
      </c>
      <c r="AM27" s="11" t="n">
        <f aca="false">IF(AM$1&lt;Units!$P26,0,IF(AND(Units!$K26=0,AM$1=Units!$O26),Units!$R26,IF(AND(AM$1&gt;=Units!$Q26,MOD(AM$1-Units!$Q26,12)=0),IF(AND(Units!$L26=1,AM$1=Units!$Q26),IF(Units!$J26&lt;&gt;"",Units!$J26,Mkt!AM27),Inputs!$B$15*Mkt!AM27+(1-Inputs!$B$15)*MIN(Mkt!AM27,AL27*(1+Inputs!$B$18))),AL27)))</f>
        <v>1962.665</v>
      </c>
      <c r="AN27" s="11" t="n">
        <f aca="false">IF(AN$1&lt;Units!$P26,0,IF(AND(Units!$K26=0,AN$1=Units!$O26),Units!$R26,IF(AND(AN$1&gt;=Units!$Q26,MOD(AN$1-Units!$Q26,12)=0),IF(AND(Units!$L26=1,AN$1=Units!$Q26),IF(Units!$J26&lt;&gt;"",Units!$J26,Mkt!AN27),Inputs!$B$15*Mkt!AN27+(1-Inputs!$B$15)*MIN(Mkt!AN27,AM27*(1+Inputs!$B$18))),AM27)))</f>
        <v>1962.665</v>
      </c>
      <c r="AO27" s="11" t="n">
        <f aca="false">IF(AO$1&lt;Units!$P26,0,IF(AND(Units!$K26=0,AO$1=Units!$O26),Units!$R26,IF(AND(AO$1&gt;=Units!$Q26,MOD(AO$1-Units!$Q26,12)=0),IF(AND(Units!$L26=1,AO$1=Units!$Q26),IF(Units!$J26&lt;&gt;"",Units!$J26,Mkt!AO27),Inputs!$B$15*Mkt!AO27+(1-Inputs!$B$15)*MIN(Mkt!AO27,AN27*(1+Inputs!$B$18))),AN27)))</f>
        <v>1962.665</v>
      </c>
      <c r="AP27" s="11" t="n">
        <f aca="false">IF(AP$1&lt;Units!$P26,0,IF(AND(Units!$K26=0,AP$1=Units!$O26),Units!$R26,IF(AND(AP$1&gt;=Units!$Q26,MOD(AP$1-Units!$Q26,12)=0),IF(AND(Units!$L26=1,AP$1=Units!$Q26),IF(Units!$J26&lt;&gt;"",Units!$J26,Mkt!AP27),Inputs!$B$15*Mkt!AP27+(1-Inputs!$B$15)*MIN(Mkt!AP27,AO27*(1+Inputs!$B$18))),AO27)))</f>
        <v>1962.665</v>
      </c>
      <c r="AQ27" s="11" t="n">
        <f aca="false">IF(AQ$1&lt;Units!$P26,0,IF(AND(Units!$K26=0,AQ$1=Units!$O26),Units!$R26,IF(AND(AQ$1&gt;=Units!$Q26,MOD(AQ$1-Units!$Q26,12)=0),IF(AND(Units!$L26=1,AQ$1=Units!$Q26),IF(Units!$J26&lt;&gt;"",Units!$J26,Mkt!AQ27),Inputs!$B$15*Mkt!AQ27+(1-Inputs!$B$15)*MIN(Mkt!AQ27,AP27*(1+Inputs!$B$18))),AP27)))</f>
        <v>1962.665</v>
      </c>
      <c r="AR27" s="11" t="n">
        <f aca="false">IF(AR$1&lt;Units!$P26,0,IF(AND(Units!$K26=0,AR$1=Units!$O26),Units!$R26,IF(AND(AR$1&gt;=Units!$Q26,MOD(AR$1-Units!$Q26,12)=0),IF(AND(Units!$L26=1,AR$1=Units!$Q26),IF(Units!$J26&lt;&gt;"",Units!$J26,Mkt!AR27),Inputs!$B$15*Mkt!AR27+(1-Inputs!$B$15)*MIN(Mkt!AR27,AQ27*(1+Inputs!$B$18))),AQ27)))</f>
        <v>1962.665</v>
      </c>
      <c r="AS27" s="11" t="n">
        <f aca="false">IF(AS$1&lt;Units!$P26,0,IF(AND(Units!$K26=0,AS$1=Units!$O26),Units!$R26,IF(AND(AS$1&gt;=Units!$Q26,MOD(AS$1-Units!$Q26,12)=0),IF(AND(Units!$L26=1,AS$1=Units!$Q26),IF(Units!$J26&lt;&gt;"",Units!$J26,Mkt!AS27),Inputs!$B$15*Mkt!AS27+(1-Inputs!$B$15)*MIN(Mkt!AS27,AR27*(1+Inputs!$B$18))),AR27)))</f>
        <v>1962.665</v>
      </c>
      <c r="AT27" s="11" t="n">
        <f aca="false">IF(AT$1&lt;Units!$P26,0,IF(AND(Units!$K26=0,AT$1=Units!$O26),Units!$R26,IF(AND(AT$1&gt;=Units!$Q26,MOD(AT$1-Units!$Q26,12)=0),IF(AND(Units!$L26=1,AT$1=Units!$Q26),IF(Units!$J26&lt;&gt;"",Units!$J26,Mkt!AT27),Inputs!$B$15*Mkt!AT27+(1-Inputs!$B$15)*MIN(Mkt!AT27,AS27*(1+Inputs!$B$18))),AS27)))</f>
        <v>1962.665</v>
      </c>
      <c r="AU27" s="11" t="n">
        <f aca="false">IF(AU$1&lt;Units!$P26,0,IF(AND(Units!$K26=0,AU$1=Units!$O26),Units!$R26,IF(AND(AU$1&gt;=Units!$Q26,MOD(AU$1-Units!$Q26,12)=0),IF(AND(Units!$L26=1,AU$1=Units!$Q26),IF(Units!$J26&lt;&gt;"",Units!$J26,Mkt!AU27),Inputs!$B$15*Mkt!AU27+(1-Inputs!$B$15)*MIN(Mkt!AU27,AT27*(1+Inputs!$B$18))),AT27)))</f>
        <v>1962.665</v>
      </c>
      <c r="AV27" s="11" t="n">
        <f aca="false">IF(AV$1&lt;Units!$P26,0,IF(AND(Units!$K26=0,AV$1=Units!$O26),Units!$R26,IF(AND(AV$1&gt;=Units!$Q26,MOD(AV$1-Units!$Q26,12)=0),IF(AND(Units!$L26=1,AV$1=Units!$Q26),IF(Units!$J26&lt;&gt;"",Units!$J26,Mkt!AV27),Inputs!$B$15*Mkt!AV27+(1-Inputs!$B$15)*MIN(Mkt!AV27,AU27*(1+Inputs!$B$18))),AU27)))</f>
        <v>1962.665</v>
      </c>
      <c r="AW27" s="11" t="n">
        <f aca="false">IF(AW$1&lt;Units!$P26,0,IF(AND(Units!$K26=0,AW$1=Units!$O26),Units!$R26,IF(AND(AW$1&gt;=Units!$Q26,MOD(AW$1-Units!$Q26,12)=0),IF(AND(Units!$L26=1,AW$1=Units!$Q26),IF(Units!$J26&lt;&gt;"",Units!$J26,Mkt!AW27),Inputs!$B$15*Mkt!AW27+(1-Inputs!$B$15)*MIN(Mkt!AW27,AV27*(1+Inputs!$B$18))),AV27)))</f>
        <v>1962.665</v>
      </c>
      <c r="AX27" s="11" t="n">
        <f aca="false">IF(AX$1&lt;Units!$P26,0,IF(AND(Units!$K26=0,AX$1=Units!$O26),Units!$R26,IF(AND(AX$1&gt;=Units!$Q26,MOD(AX$1-Units!$Q26,12)=0),IF(AND(Units!$L26=1,AX$1=Units!$Q26),IF(Units!$J26&lt;&gt;"",Units!$J26,Mkt!AX27),Inputs!$B$15*Mkt!AX27+(1-Inputs!$B$15)*MIN(Mkt!AX27,AW27*(1+Inputs!$B$18))),AW27)))</f>
        <v>2021.54495</v>
      </c>
      <c r="AY27" s="11" t="n">
        <f aca="false">IF(AY$1&lt;Units!$P26,0,IF(AND(Units!$K26=0,AY$1=Units!$O26),Units!$R26,IF(AND(AY$1&gt;=Units!$Q26,MOD(AY$1-Units!$Q26,12)=0),IF(AND(Units!$L26=1,AY$1=Units!$Q26),IF(Units!$J26&lt;&gt;"",Units!$J26,Mkt!AY27),Inputs!$B$15*Mkt!AY27+(1-Inputs!$B$15)*MIN(Mkt!AY27,AX27*(1+Inputs!$B$18))),AX27)))</f>
        <v>2021.54495</v>
      </c>
      <c r="AZ27" s="11" t="n">
        <f aca="false">IF(AZ$1&lt;Units!$P26,0,IF(AND(Units!$K26=0,AZ$1=Units!$O26),Units!$R26,IF(AND(AZ$1&gt;=Units!$Q26,MOD(AZ$1-Units!$Q26,12)=0),IF(AND(Units!$L26=1,AZ$1=Units!$Q26),IF(Units!$J26&lt;&gt;"",Units!$J26,Mkt!AZ27),Inputs!$B$15*Mkt!AZ27+(1-Inputs!$B$15)*MIN(Mkt!AZ27,AY27*(1+Inputs!$B$18))),AY27)))</f>
        <v>2021.54495</v>
      </c>
      <c r="BA27" s="11" t="n">
        <f aca="false">IF(BA$1&lt;Units!$P26,0,IF(AND(Units!$K26=0,BA$1=Units!$O26),Units!$R26,IF(AND(BA$1&gt;=Units!$Q26,MOD(BA$1-Units!$Q26,12)=0),IF(AND(Units!$L26=1,BA$1=Units!$Q26),IF(Units!$J26&lt;&gt;"",Units!$J26,Mkt!BA27),Inputs!$B$15*Mkt!BA27+(1-Inputs!$B$15)*MIN(Mkt!BA27,AZ27*(1+Inputs!$B$18))),AZ27)))</f>
        <v>2021.54495</v>
      </c>
      <c r="BB27" s="11" t="n">
        <f aca="false">IF(BB$1&lt;Units!$P26,0,IF(AND(Units!$K26=0,BB$1=Units!$O26),Units!$R26,IF(AND(BB$1&gt;=Units!$Q26,MOD(BB$1-Units!$Q26,12)=0),IF(AND(Units!$L26=1,BB$1=Units!$Q26),IF(Units!$J26&lt;&gt;"",Units!$J26,Mkt!BB27),Inputs!$B$15*Mkt!BB27+(1-Inputs!$B$15)*MIN(Mkt!BB27,BA27*(1+Inputs!$B$18))),BA27)))</f>
        <v>2021.54495</v>
      </c>
      <c r="BC27" s="11" t="n">
        <f aca="false">IF(BC$1&lt;Units!$P26,0,IF(AND(Units!$K26=0,BC$1=Units!$O26),Units!$R26,IF(AND(BC$1&gt;=Units!$Q26,MOD(BC$1-Units!$Q26,12)=0),IF(AND(Units!$L26=1,BC$1=Units!$Q26),IF(Units!$J26&lt;&gt;"",Units!$J26,Mkt!BC27),Inputs!$B$15*Mkt!BC27+(1-Inputs!$B$15)*MIN(Mkt!BC27,BB27*(1+Inputs!$B$18))),BB27)))</f>
        <v>2021.54495</v>
      </c>
      <c r="BD27" s="11" t="n">
        <f aca="false">IF(BD$1&lt;Units!$P26,0,IF(AND(Units!$K26=0,BD$1=Units!$O26),Units!$R26,IF(AND(BD$1&gt;=Units!$Q26,MOD(BD$1-Units!$Q26,12)=0),IF(AND(Units!$L26=1,BD$1=Units!$Q26),IF(Units!$J26&lt;&gt;"",Units!$J26,Mkt!BD27),Inputs!$B$15*Mkt!BD27+(1-Inputs!$B$15)*MIN(Mkt!BD27,BC27*(1+Inputs!$B$18))),BC27)))</f>
        <v>2021.54495</v>
      </c>
      <c r="BE27" s="11" t="n">
        <f aca="false">IF(BE$1&lt;Units!$P26,0,IF(AND(Units!$K26=0,BE$1=Units!$O26),Units!$R26,IF(AND(BE$1&gt;=Units!$Q26,MOD(BE$1-Units!$Q26,12)=0),IF(AND(Units!$L26=1,BE$1=Units!$Q26),IF(Units!$J26&lt;&gt;"",Units!$J26,Mkt!BE27),Inputs!$B$15*Mkt!BE27+(1-Inputs!$B$15)*MIN(Mkt!BE27,BD27*(1+Inputs!$B$18))),BD27)))</f>
        <v>2021.54495</v>
      </c>
      <c r="BF27" s="11" t="n">
        <f aca="false">IF(BF$1&lt;Units!$P26,0,IF(AND(Units!$K26=0,BF$1=Units!$O26),Units!$R26,IF(AND(BF$1&gt;=Units!$Q26,MOD(BF$1-Units!$Q26,12)=0),IF(AND(Units!$L26=1,BF$1=Units!$Q26),IF(Units!$J26&lt;&gt;"",Units!$J26,Mkt!BF27),Inputs!$B$15*Mkt!BF27+(1-Inputs!$B$15)*MIN(Mkt!BF27,BE27*(1+Inputs!$B$18))),BE27)))</f>
        <v>2021.54495</v>
      </c>
      <c r="BG27" s="11" t="n">
        <f aca="false">IF(BG$1&lt;Units!$P26,0,IF(AND(Units!$K26=0,BG$1=Units!$O26),Units!$R26,IF(AND(BG$1&gt;=Units!$Q26,MOD(BG$1-Units!$Q26,12)=0),IF(AND(Units!$L26=1,BG$1=Units!$Q26),IF(Units!$J26&lt;&gt;"",Units!$J26,Mkt!BG27),Inputs!$B$15*Mkt!BG27+(1-Inputs!$B$15)*MIN(Mkt!BG27,BF27*(1+Inputs!$B$18))),BF27)))</f>
        <v>2021.54495</v>
      </c>
      <c r="BH27" s="11" t="n">
        <f aca="false">IF(BH$1&lt;Units!$P26,0,IF(AND(Units!$K26=0,BH$1=Units!$O26),Units!$R26,IF(AND(BH$1&gt;=Units!$Q26,MOD(BH$1-Units!$Q26,12)=0),IF(AND(Units!$L26=1,BH$1=Units!$Q26),IF(Units!$J26&lt;&gt;"",Units!$J26,Mkt!BH27),Inputs!$B$15*Mkt!BH27+(1-Inputs!$B$15)*MIN(Mkt!BH27,BG27*(1+Inputs!$B$18))),BG27)))</f>
        <v>2021.54495</v>
      </c>
      <c r="BI27" s="11" t="n">
        <f aca="false">IF(BI$1&lt;Units!$P26,0,IF(AND(Units!$K26=0,BI$1=Units!$O26),Units!$R26,IF(AND(BI$1&gt;=Units!$Q26,MOD(BI$1-Units!$Q26,12)=0),IF(AND(Units!$L26=1,BI$1=Units!$Q26),IF(Units!$J26&lt;&gt;"",Units!$J26,Mkt!BI27),Inputs!$B$15*Mkt!BI27+(1-Inputs!$B$15)*MIN(Mkt!BI27,BH27*(1+Inputs!$B$18))),BH27)))</f>
        <v>2021.54495</v>
      </c>
      <c r="BJ27" s="11" t="n">
        <f aca="false">IF(BJ$1&lt;Units!$P26,0,IF(AND(Units!$K26=0,BJ$1=Units!$O26),Units!$R26,IF(AND(BJ$1&gt;=Units!$Q26,MOD(BJ$1-Units!$Q26,12)=0),IF(AND(Units!$L26=1,BJ$1=Units!$Q26),IF(Units!$J26&lt;&gt;"",Units!$J26,Mkt!BJ27),Inputs!$B$15*Mkt!BJ27+(1-Inputs!$B$15)*MIN(Mkt!BJ27,BI27*(1+Inputs!$B$18))),BI27)))</f>
        <v>2082.1912985</v>
      </c>
      <c r="BK27" s="11" t="n">
        <f aca="false">IF(BK$1&lt;Units!$P26,0,IF(AND(Units!$K26=0,BK$1=Units!$O26),Units!$R26,IF(AND(BK$1&gt;=Units!$Q26,MOD(BK$1-Units!$Q26,12)=0),IF(AND(Units!$L26=1,BK$1=Units!$Q26),IF(Units!$J26&lt;&gt;"",Units!$J26,Mkt!BK27),Inputs!$B$15*Mkt!BK27+(1-Inputs!$B$15)*MIN(Mkt!BK27,BJ27*(1+Inputs!$B$18))),BJ27)))</f>
        <v>2082.1912985</v>
      </c>
      <c r="BL27" s="11" t="n">
        <f aca="false">IF(BL$1&lt;Units!$P26,0,IF(AND(Units!$K26=0,BL$1=Units!$O26),Units!$R26,IF(AND(BL$1&gt;=Units!$Q26,MOD(BL$1-Units!$Q26,12)=0),IF(AND(Units!$L26=1,BL$1=Units!$Q26),IF(Units!$J26&lt;&gt;"",Units!$J26,Mkt!BL27),Inputs!$B$15*Mkt!BL27+(1-Inputs!$B$15)*MIN(Mkt!BL27,BK27*(1+Inputs!$B$18))),BK27)))</f>
        <v>2082.1912985</v>
      </c>
      <c r="BM27" s="11" t="n">
        <f aca="false">IF(BM$1&lt;Units!$P26,0,IF(AND(Units!$K26=0,BM$1=Units!$O26),Units!$R26,IF(AND(BM$1&gt;=Units!$Q26,MOD(BM$1-Units!$Q26,12)=0),IF(AND(Units!$L26=1,BM$1=Units!$Q26),IF(Units!$J26&lt;&gt;"",Units!$J26,Mkt!BM27),Inputs!$B$15*Mkt!BM27+(1-Inputs!$B$15)*MIN(Mkt!BM27,BL27*(1+Inputs!$B$18))),BL27)))</f>
        <v>2082.1912985</v>
      </c>
      <c r="BN27" s="11" t="n">
        <f aca="false">IF(BN$1&lt;Units!$P26,0,IF(AND(Units!$K26=0,BN$1=Units!$O26),Units!$R26,IF(AND(BN$1&gt;=Units!$Q26,MOD(BN$1-Units!$Q26,12)=0),IF(AND(Units!$L26=1,BN$1=Units!$Q26),IF(Units!$J26&lt;&gt;"",Units!$J26,Mkt!BN27),Inputs!$B$15*Mkt!BN27+(1-Inputs!$B$15)*MIN(Mkt!BN27,BM27*(1+Inputs!$B$18))),BM27)))</f>
        <v>2082.1912985</v>
      </c>
      <c r="BO27" s="11" t="n">
        <f aca="false">IF(BO$1&lt;Units!$P26,0,IF(AND(Units!$K26=0,BO$1=Units!$O26),Units!$R26,IF(AND(BO$1&gt;=Units!$Q26,MOD(BO$1-Units!$Q26,12)=0),IF(AND(Units!$L26=1,BO$1=Units!$Q26),IF(Units!$J26&lt;&gt;"",Units!$J26,Mkt!BO27),Inputs!$B$15*Mkt!BO27+(1-Inputs!$B$15)*MIN(Mkt!BO27,BN27*(1+Inputs!$B$18))),BN27)))</f>
        <v>2082.1912985</v>
      </c>
      <c r="BP27" s="11" t="n">
        <f aca="false">IF(BP$1&lt;Units!$P26,0,IF(AND(Units!$K26=0,BP$1=Units!$O26),Units!$R26,IF(AND(BP$1&gt;=Units!$Q26,MOD(BP$1-Units!$Q26,12)=0),IF(AND(Units!$L26=1,BP$1=Units!$Q26),IF(Units!$J26&lt;&gt;"",Units!$J26,Mkt!BP27),Inputs!$B$15*Mkt!BP27+(1-Inputs!$B$15)*MIN(Mkt!BP27,BO27*(1+Inputs!$B$18))),BO27)))</f>
        <v>2082.1912985</v>
      </c>
      <c r="BQ27" s="11" t="n">
        <f aca="false">IF(BQ$1&lt;Units!$P26,0,IF(AND(Units!$K26=0,BQ$1=Units!$O26),Units!$R26,IF(AND(BQ$1&gt;=Units!$Q26,MOD(BQ$1-Units!$Q26,12)=0),IF(AND(Units!$L26=1,BQ$1=Units!$Q26),IF(Units!$J26&lt;&gt;"",Units!$J26,Mkt!BQ27),Inputs!$B$15*Mkt!BQ27+(1-Inputs!$B$15)*MIN(Mkt!BQ27,BP27*(1+Inputs!$B$18))),BP27)))</f>
        <v>2082.1912985</v>
      </c>
      <c r="BR27" s="11" t="n">
        <f aca="false">IF(BR$1&lt;Units!$P26,0,IF(AND(Units!$K26=0,BR$1=Units!$O26),Units!$R26,IF(AND(BR$1&gt;=Units!$Q26,MOD(BR$1-Units!$Q26,12)=0),IF(AND(Units!$L26=1,BR$1=Units!$Q26),IF(Units!$J26&lt;&gt;"",Units!$J26,Mkt!BR27),Inputs!$B$15*Mkt!BR27+(1-Inputs!$B$15)*MIN(Mkt!BR27,BQ27*(1+Inputs!$B$18))),BQ27)))</f>
        <v>2082.1912985</v>
      </c>
      <c r="BS27" s="11" t="n">
        <f aca="false">IF(BS$1&lt;Units!$P26,0,IF(AND(Units!$K26=0,BS$1=Units!$O26),Units!$R26,IF(AND(BS$1&gt;=Units!$Q26,MOD(BS$1-Units!$Q26,12)=0),IF(AND(Units!$L26=1,BS$1=Units!$Q26),IF(Units!$J26&lt;&gt;"",Units!$J26,Mkt!BS27),Inputs!$B$15*Mkt!BS27+(1-Inputs!$B$15)*MIN(Mkt!BS27,BR27*(1+Inputs!$B$18))),BR27)))</f>
        <v>2082.1912985</v>
      </c>
      <c r="BT27" s="11" t="n">
        <f aca="false">IF(BT$1&lt;Units!$P26,0,IF(AND(Units!$K26=0,BT$1=Units!$O26),Units!$R26,IF(AND(BT$1&gt;=Units!$Q26,MOD(BT$1-Units!$Q26,12)=0),IF(AND(Units!$L26=1,BT$1=Units!$Q26),IF(Units!$J26&lt;&gt;"",Units!$J26,Mkt!BT27),Inputs!$B$15*Mkt!BT27+(1-Inputs!$B$15)*MIN(Mkt!BT27,BS27*(1+Inputs!$B$18))),BS27)))</f>
        <v>2082.1912985</v>
      </c>
      <c r="BU27" s="11" t="n">
        <f aca="false">IF(BU$1&lt;Units!$P26,0,IF(AND(Units!$K26=0,BU$1=Units!$O26),Units!$R26,IF(AND(BU$1&gt;=Units!$Q26,MOD(BU$1-Units!$Q26,12)=0),IF(AND(Units!$L26=1,BU$1=Units!$Q26),IF(Units!$J26&lt;&gt;"",Units!$J26,Mkt!BU27),Inputs!$B$15*Mkt!BU27+(1-Inputs!$B$15)*MIN(Mkt!BU27,BT27*(1+Inputs!$B$18))),BT27)))</f>
        <v>2082.1912985</v>
      </c>
      <c r="BV27" s="11" t="n">
        <f aca="false">IF(BV$1&lt;Units!$P26,0,IF(AND(Units!$K26=0,BV$1=Units!$O26),Units!$R26,IF(AND(BV$1&gt;=Units!$Q26,MOD(BV$1-Units!$Q26,12)=0),IF(AND(Units!$L26=1,BV$1=Units!$Q26),IF(Units!$J26&lt;&gt;"",Units!$J26,Mkt!BV27),Inputs!$B$15*Mkt!BV27+(1-Inputs!$B$15)*MIN(Mkt!BV27,BU27*(1+Inputs!$B$18))),BU27)))</f>
        <v>2144.657037455</v>
      </c>
      <c r="BW27" s="11" t="n">
        <f aca="false">IF(BW$1&lt;Units!$P26,0,IF(AND(Units!$K26=0,BW$1=Units!$O26),Units!$R26,IF(AND(BW$1&gt;=Units!$Q26,MOD(BW$1-Units!$Q26,12)=0),IF(AND(Units!$L26=1,BW$1=Units!$Q26),IF(Units!$J26&lt;&gt;"",Units!$J26,Mkt!BW27),Inputs!$B$15*Mkt!BW27+(1-Inputs!$B$15)*MIN(Mkt!BW27,BV27*(1+Inputs!$B$18))),BV27)))</f>
        <v>2144.657037455</v>
      </c>
      <c r="BX27" s="11" t="n">
        <f aca="false">IF(BX$1&lt;Units!$P26,0,IF(AND(Units!$K26=0,BX$1=Units!$O26),Units!$R26,IF(AND(BX$1&gt;=Units!$Q26,MOD(BX$1-Units!$Q26,12)=0),IF(AND(Units!$L26=1,BX$1=Units!$Q26),IF(Units!$J26&lt;&gt;"",Units!$J26,Mkt!BX27),Inputs!$B$15*Mkt!BX27+(1-Inputs!$B$15)*MIN(Mkt!BX27,BW27*(1+Inputs!$B$18))),BW27)))</f>
        <v>2144.657037455</v>
      </c>
      <c r="BY27" s="11" t="n">
        <f aca="false">IF(BY$1&lt;Units!$P26,0,IF(AND(Units!$K26=0,BY$1=Units!$O26),Units!$R26,IF(AND(BY$1&gt;=Units!$Q26,MOD(BY$1-Units!$Q26,12)=0),IF(AND(Units!$L26=1,BY$1=Units!$Q26),IF(Units!$J26&lt;&gt;"",Units!$J26,Mkt!BY27),Inputs!$B$15*Mkt!BY27+(1-Inputs!$B$15)*MIN(Mkt!BY27,BX27*(1+Inputs!$B$18))),BX27)))</f>
        <v>2144.657037455</v>
      </c>
      <c r="BZ27" s="11" t="n">
        <f aca="false">IF(BZ$1&lt;Units!$P26,0,IF(AND(Units!$K26=0,BZ$1=Units!$O26),Units!$R26,IF(AND(BZ$1&gt;=Units!$Q26,MOD(BZ$1-Units!$Q26,12)=0),IF(AND(Units!$L26=1,BZ$1=Units!$Q26),IF(Units!$J26&lt;&gt;"",Units!$J26,Mkt!BZ27),Inputs!$B$15*Mkt!BZ27+(1-Inputs!$B$15)*MIN(Mkt!BZ27,BY27*(1+Inputs!$B$18))),BY27)))</f>
        <v>2144.657037455</v>
      </c>
      <c r="CA27" s="11" t="n">
        <f aca="false">IF(CA$1&lt;Units!$P26,0,IF(AND(Units!$K26=0,CA$1=Units!$O26),Units!$R26,IF(AND(CA$1&gt;=Units!$Q26,MOD(CA$1-Units!$Q26,12)=0),IF(AND(Units!$L26=1,CA$1=Units!$Q26),IF(Units!$J26&lt;&gt;"",Units!$J26,Mkt!CA27),Inputs!$B$15*Mkt!CA27+(1-Inputs!$B$15)*MIN(Mkt!CA27,BZ27*(1+Inputs!$B$18))),BZ27)))</f>
        <v>2144.657037455</v>
      </c>
      <c r="CB27" s="11" t="n">
        <f aca="false">IF(CB$1&lt;Units!$P26,0,IF(AND(Units!$K26=0,CB$1=Units!$O26),Units!$R26,IF(AND(CB$1&gt;=Units!$Q26,MOD(CB$1-Units!$Q26,12)=0),IF(AND(Units!$L26=1,CB$1=Units!$Q26),IF(Units!$J26&lt;&gt;"",Units!$J26,Mkt!CB27),Inputs!$B$15*Mkt!CB27+(1-Inputs!$B$15)*MIN(Mkt!CB27,CA27*(1+Inputs!$B$18))),CA27)))</f>
        <v>2144.657037455</v>
      </c>
      <c r="CC27" s="11" t="n">
        <f aca="false">IF(CC$1&lt;Units!$P26,0,IF(AND(Units!$K26=0,CC$1=Units!$O26),Units!$R26,IF(AND(CC$1&gt;=Units!$Q26,MOD(CC$1-Units!$Q26,12)=0),IF(AND(Units!$L26=1,CC$1=Units!$Q26),IF(Units!$J26&lt;&gt;"",Units!$J26,Mkt!CC27),Inputs!$B$15*Mkt!CC27+(1-Inputs!$B$15)*MIN(Mkt!CC27,CB27*(1+Inputs!$B$18))),CB27)))</f>
        <v>2144.657037455</v>
      </c>
      <c r="CD27" s="11" t="n">
        <f aca="false">IF(CD$1&lt;Units!$P26,0,IF(AND(Units!$K26=0,CD$1=Units!$O26),Units!$R26,IF(AND(CD$1&gt;=Units!$Q26,MOD(CD$1-Units!$Q26,12)=0),IF(AND(Units!$L26=1,CD$1=Units!$Q26),IF(Units!$J26&lt;&gt;"",Units!$J26,Mkt!CD27),Inputs!$B$15*Mkt!CD27+(1-Inputs!$B$15)*MIN(Mkt!CD27,CC27*(1+Inputs!$B$18))),CC27)))</f>
        <v>2144.657037455</v>
      </c>
      <c r="CE27" s="11" t="n">
        <f aca="false">IF(CE$1&lt;Units!$P26,0,IF(AND(Units!$K26=0,CE$1=Units!$O26),Units!$R26,IF(AND(CE$1&gt;=Units!$Q26,MOD(CE$1-Units!$Q26,12)=0),IF(AND(Units!$L26=1,CE$1=Units!$Q26),IF(Units!$J26&lt;&gt;"",Units!$J26,Mkt!CE27),Inputs!$B$15*Mkt!CE27+(1-Inputs!$B$15)*MIN(Mkt!CE27,CD27*(1+Inputs!$B$18))),CD27)))</f>
        <v>2144.657037455</v>
      </c>
      <c r="CF27" s="11" t="n">
        <f aca="false">IF(CF$1&lt;Units!$P26,0,IF(AND(Units!$K26=0,CF$1=Units!$O26),Units!$R26,IF(AND(CF$1&gt;=Units!$Q26,MOD(CF$1-Units!$Q26,12)=0),IF(AND(Units!$L26=1,CF$1=Units!$Q26),IF(Units!$J26&lt;&gt;"",Units!$J26,Mkt!CF27),Inputs!$B$15*Mkt!CF27+(1-Inputs!$B$15)*MIN(Mkt!CF27,CE27*(1+Inputs!$B$18))),CE27)))</f>
        <v>2144.657037455</v>
      </c>
      <c r="CG27" s="11" t="n">
        <f aca="false">IF(CG$1&lt;Units!$P26,0,IF(AND(Units!$K26=0,CG$1=Units!$O26),Units!$R26,IF(AND(CG$1&gt;=Units!$Q26,MOD(CG$1-Units!$Q26,12)=0),IF(AND(Units!$L26=1,CG$1=Units!$Q26),IF(Units!$J26&lt;&gt;"",Units!$J26,Mkt!CG27),Inputs!$B$15*Mkt!CG27+(1-Inputs!$B$15)*MIN(Mkt!CG27,CF27*(1+Inputs!$B$18))),CF27)))</f>
        <v>2144.657037455</v>
      </c>
      <c r="CH27" s="11" t="n">
        <f aca="false">IF(CH$1&lt;Units!$P26,0,IF(AND(Units!$K26=0,CH$1=Units!$O26),Units!$R26,IF(AND(CH$1&gt;=Units!$Q26,MOD(CH$1-Units!$Q26,12)=0),IF(AND(Units!$L26=1,CH$1=Units!$Q26),IF(Units!$J26&lt;&gt;"",Units!$J26,Mkt!CH27),Inputs!$B$15*Mkt!CH27+(1-Inputs!$B$15)*MIN(Mkt!CH27,CG27*(1+Inputs!$B$18))),CG27)))</f>
        <v>2208.99674857865</v>
      </c>
      <c r="CI27" s="11" t="n">
        <f aca="false">IF(CI$1&lt;Units!$P26,0,IF(AND(Units!$K26=0,CI$1=Units!$O26),Units!$R26,IF(AND(CI$1&gt;=Units!$Q26,MOD(CI$1-Units!$Q26,12)=0),IF(AND(Units!$L26=1,CI$1=Units!$Q26),IF(Units!$J26&lt;&gt;"",Units!$J26,Mkt!CI27),Inputs!$B$15*Mkt!CI27+(1-Inputs!$B$15)*MIN(Mkt!CI27,CH27*(1+Inputs!$B$18))),CH27)))</f>
        <v>2208.99674857865</v>
      </c>
      <c r="CJ27" s="11" t="n">
        <f aca="false">IF(CJ$1&lt;Units!$P26,0,IF(AND(Units!$K26=0,CJ$1=Units!$O26),Units!$R26,IF(AND(CJ$1&gt;=Units!$Q26,MOD(CJ$1-Units!$Q26,12)=0),IF(AND(Units!$L26=1,CJ$1=Units!$Q26),IF(Units!$J26&lt;&gt;"",Units!$J26,Mkt!CJ27),Inputs!$B$15*Mkt!CJ27+(1-Inputs!$B$15)*MIN(Mkt!CJ27,CI27*(1+Inputs!$B$18))),CI27)))</f>
        <v>2208.99674857865</v>
      </c>
      <c r="CK27" s="11" t="n">
        <f aca="false">IF(CK$1&lt;Units!$P26,0,IF(AND(Units!$K26=0,CK$1=Units!$O26),Units!$R26,IF(AND(CK$1&gt;=Units!$Q26,MOD(CK$1-Units!$Q26,12)=0),IF(AND(Units!$L26=1,CK$1=Units!$Q26),IF(Units!$J26&lt;&gt;"",Units!$J26,Mkt!CK27),Inputs!$B$15*Mkt!CK27+(1-Inputs!$B$15)*MIN(Mkt!CK27,CJ27*(1+Inputs!$B$18))),CJ27)))</f>
        <v>2208.99674857865</v>
      </c>
      <c r="CL27" s="11" t="n">
        <f aca="false">IF(CL$1&lt;Units!$P26,0,IF(AND(Units!$K26=0,CL$1=Units!$O26),Units!$R26,IF(AND(CL$1&gt;=Units!$Q26,MOD(CL$1-Units!$Q26,12)=0),IF(AND(Units!$L26=1,CL$1=Units!$Q26),IF(Units!$J26&lt;&gt;"",Units!$J26,Mkt!CL27),Inputs!$B$15*Mkt!CL27+(1-Inputs!$B$15)*MIN(Mkt!CL27,CK27*(1+Inputs!$B$18))),CK27)))</f>
        <v>2208.99674857865</v>
      </c>
      <c r="CM27" s="11" t="n">
        <f aca="false">IF(CM$1&lt;Units!$P26,0,IF(AND(Units!$K26=0,CM$1=Units!$O26),Units!$R26,IF(AND(CM$1&gt;=Units!$Q26,MOD(CM$1-Units!$Q26,12)=0),IF(AND(Units!$L26=1,CM$1=Units!$Q26),IF(Units!$J26&lt;&gt;"",Units!$J26,Mkt!CM27),Inputs!$B$15*Mkt!CM27+(1-Inputs!$B$15)*MIN(Mkt!CM27,CL27*(1+Inputs!$B$18))),CL27)))</f>
        <v>2208.99674857865</v>
      </c>
      <c r="CN27" s="11" t="n">
        <f aca="false">IF(CN$1&lt;Units!$P26,0,IF(AND(Units!$K26=0,CN$1=Units!$O26),Units!$R26,IF(AND(CN$1&gt;=Units!$Q26,MOD(CN$1-Units!$Q26,12)=0),IF(AND(Units!$L26=1,CN$1=Units!$Q26),IF(Units!$J26&lt;&gt;"",Units!$J26,Mkt!CN27),Inputs!$B$15*Mkt!CN27+(1-Inputs!$B$15)*MIN(Mkt!CN27,CM27*(1+Inputs!$B$18))),CM27)))</f>
        <v>2208.99674857865</v>
      </c>
      <c r="CO27" s="11" t="n">
        <f aca="false">IF(CO$1&lt;Units!$P26,0,IF(AND(Units!$K26=0,CO$1=Units!$O26),Units!$R26,IF(AND(CO$1&gt;=Units!$Q26,MOD(CO$1-Units!$Q26,12)=0),IF(AND(Units!$L26=1,CO$1=Units!$Q26),IF(Units!$J26&lt;&gt;"",Units!$J26,Mkt!CO27),Inputs!$B$15*Mkt!CO27+(1-Inputs!$B$15)*MIN(Mkt!CO27,CN27*(1+Inputs!$B$18))),CN27)))</f>
        <v>2208.99674857865</v>
      </c>
      <c r="CP27" s="11" t="n">
        <f aca="false">IF(CP$1&lt;Units!$P26,0,IF(AND(Units!$K26=0,CP$1=Units!$O26),Units!$R26,IF(AND(CP$1&gt;=Units!$Q26,MOD(CP$1-Units!$Q26,12)=0),IF(AND(Units!$L26=1,CP$1=Units!$Q26),IF(Units!$J26&lt;&gt;"",Units!$J26,Mkt!CP27),Inputs!$B$15*Mkt!CP27+(1-Inputs!$B$15)*MIN(Mkt!CP27,CO27*(1+Inputs!$B$18))),CO27)))</f>
        <v>2208.99674857865</v>
      </c>
      <c r="CQ27" s="11" t="n">
        <f aca="false">IF(CQ$1&lt;Units!$P26,0,IF(AND(Units!$K26=0,CQ$1=Units!$O26),Units!$R26,IF(AND(CQ$1&gt;=Units!$Q26,MOD(CQ$1-Units!$Q26,12)=0),IF(AND(Units!$L26=1,CQ$1=Units!$Q26),IF(Units!$J26&lt;&gt;"",Units!$J26,Mkt!CQ27),Inputs!$B$15*Mkt!CQ27+(1-Inputs!$B$15)*MIN(Mkt!CQ27,CP27*(1+Inputs!$B$18))),CP27)))</f>
        <v>2208.99674857865</v>
      </c>
      <c r="CR27" s="11" t="n">
        <f aca="false">IF(CR$1&lt;Units!$P26,0,IF(AND(Units!$K26=0,CR$1=Units!$O26),Units!$R26,IF(AND(CR$1&gt;=Units!$Q26,MOD(CR$1-Units!$Q26,12)=0),IF(AND(Units!$L26=1,CR$1=Units!$Q26),IF(Units!$J26&lt;&gt;"",Units!$J26,Mkt!CR27),Inputs!$B$15*Mkt!CR27+(1-Inputs!$B$15)*MIN(Mkt!CR27,CQ27*(1+Inputs!$B$18))),CQ27)))</f>
        <v>2208.99674857865</v>
      </c>
      <c r="CS27" s="11" t="n">
        <f aca="false">IF(CS$1&lt;Units!$P26,0,IF(AND(Units!$K26=0,CS$1=Units!$O26),Units!$R26,IF(AND(CS$1&gt;=Units!$Q26,MOD(CS$1-Units!$Q26,12)=0),IF(AND(Units!$L26=1,CS$1=Units!$Q26),IF(Units!$J26&lt;&gt;"",Units!$J26,Mkt!CS27),Inputs!$B$15*Mkt!CS27+(1-Inputs!$B$15)*MIN(Mkt!CS27,CR27*(1+Inputs!$B$18))),CR27)))</f>
        <v>2208.99674857865</v>
      </c>
      <c r="CT27" s="11" t="n">
        <f aca="false">IF(CT$1&lt;Units!$P26,0,IF(AND(Units!$K26=0,CT$1=Units!$O26),Units!$R26,IF(AND(CT$1&gt;=Units!$Q26,MOD(CT$1-Units!$Q26,12)=0),IF(AND(Units!$L26=1,CT$1=Units!$Q26),IF(Units!$J26&lt;&gt;"",Units!$J26,Mkt!CT27),Inputs!$B$15*Mkt!CT27+(1-Inputs!$B$15)*MIN(Mkt!CT27,CS27*(1+Inputs!$B$18))),CS27)))</f>
        <v>2275.26665103601</v>
      </c>
      <c r="CU27" s="11" t="n">
        <f aca="false">IF(CU$1&lt;Units!$P26,0,IF(AND(Units!$K26=0,CU$1=Units!$O26),Units!$R26,IF(AND(CU$1&gt;=Units!$Q26,MOD(CU$1-Units!$Q26,12)=0),IF(AND(Units!$L26=1,CU$1=Units!$Q26),IF(Units!$J26&lt;&gt;"",Units!$J26,Mkt!CU27),Inputs!$B$15*Mkt!CU27+(1-Inputs!$B$15)*MIN(Mkt!CU27,CT27*(1+Inputs!$B$18))),CT27)))</f>
        <v>2275.26665103601</v>
      </c>
      <c r="CV27" s="11" t="n">
        <f aca="false">IF(CV$1&lt;Units!$P26,0,IF(AND(Units!$K26=0,CV$1=Units!$O26),Units!$R26,IF(AND(CV$1&gt;=Units!$Q26,MOD(CV$1-Units!$Q26,12)=0),IF(AND(Units!$L26=1,CV$1=Units!$Q26),IF(Units!$J26&lt;&gt;"",Units!$J26,Mkt!CV27),Inputs!$B$15*Mkt!CV27+(1-Inputs!$B$15)*MIN(Mkt!CV27,CU27*(1+Inputs!$B$18))),CU27)))</f>
        <v>2275.26665103601</v>
      </c>
      <c r="CW27" s="11" t="n">
        <f aca="false">IF(CW$1&lt;Units!$P26,0,IF(AND(Units!$K26=0,CW$1=Units!$O26),Units!$R26,IF(AND(CW$1&gt;=Units!$Q26,MOD(CW$1-Units!$Q26,12)=0),IF(AND(Units!$L26=1,CW$1=Units!$Q26),IF(Units!$J26&lt;&gt;"",Units!$J26,Mkt!CW27),Inputs!$B$15*Mkt!CW27+(1-Inputs!$B$15)*MIN(Mkt!CW27,CV27*(1+Inputs!$B$18))),CV27)))</f>
        <v>2275.26665103601</v>
      </c>
      <c r="CX27" s="11" t="n">
        <f aca="false">IF(CX$1&lt;Units!$P26,0,IF(AND(Units!$K26=0,CX$1=Units!$O26),Units!$R26,IF(AND(CX$1&gt;=Units!$Q26,MOD(CX$1-Units!$Q26,12)=0),IF(AND(Units!$L26=1,CX$1=Units!$Q26),IF(Units!$J26&lt;&gt;"",Units!$J26,Mkt!CX27),Inputs!$B$15*Mkt!CX27+(1-Inputs!$B$15)*MIN(Mkt!CX27,CW27*(1+Inputs!$B$18))),CW27)))</f>
        <v>2275.26665103601</v>
      </c>
      <c r="CY27" s="11" t="n">
        <f aca="false">IF(CY$1&lt;Units!$P26,0,IF(AND(Units!$K26=0,CY$1=Units!$O26),Units!$R26,IF(AND(CY$1&gt;=Units!$Q26,MOD(CY$1-Units!$Q26,12)=0),IF(AND(Units!$L26=1,CY$1=Units!$Q26),IF(Units!$J26&lt;&gt;"",Units!$J26,Mkt!CY27),Inputs!$B$15*Mkt!CY27+(1-Inputs!$B$15)*MIN(Mkt!CY27,CX27*(1+Inputs!$B$18))),CX27)))</f>
        <v>2275.26665103601</v>
      </c>
      <c r="CZ27" s="11" t="n">
        <f aca="false">IF(CZ$1&lt;Units!$P26,0,IF(AND(Units!$K26=0,CZ$1=Units!$O26),Units!$R26,IF(AND(CZ$1&gt;=Units!$Q26,MOD(CZ$1-Units!$Q26,12)=0),IF(AND(Units!$L26=1,CZ$1=Units!$Q26),IF(Units!$J26&lt;&gt;"",Units!$J26,Mkt!CZ27),Inputs!$B$15*Mkt!CZ27+(1-Inputs!$B$15)*MIN(Mkt!CZ27,CY27*(1+Inputs!$B$18))),CY27)))</f>
        <v>2275.26665103601</v>
      </c>
      <c r="DA27" s="11" t="n">
        <f aca="false">IF(DA$1&lt;Units!$P26,0,IF(AND(Units!$K26=0,DA$1=Units!$O26),Units!$R26,IF(AND(DA$1&gt;=Units!$Q26,MOD(DA$1-Units!$Q26,12)=0),IF(AND(Units!$L26=1,DA$1=Units!$Q26),IF(Units!$J26&lt;&gt;"",Units!$J26,Mkt!DA27),Inputs!$B$15*Mkt!DA27+(1-Inputs!$B$15)*MIN(Mkt!DA27,CZ27*(1+Inputs!$B$18))),CZ27)))</f>
        <v>2275.26665103601</v>
      </c>
      <c r="DB27" s="11" t="n">
        <f aca="false">IF(DB$1&lt;Units!$P26,0,IF(AND(Units!$K26=0,DB$1=Units!$O26),Units!$R26,IF(AND(DB$1&gt;=Units!$Q26,MOD(DB$1-Units!$Q26,12)=0),IF(AND(Units!$L26=1,DB$1=Units!$Q26),IF(Units!$J26&lt;&gt;"",Units!$J26,Mkt!DB27),Inputs!$B$15*Mkt!DB27+(1-Inputs!$B$15)*MIN(Mkt!DB27,DA27*(1+Inputs!$B$18))),DA27)))</f>
        <v>2275.26665103601</v>
      </c>
      <c r="DC27" s="11" t="n">
        <f aca="false">IF(DC$1&lt;Units!$P26,0,IF(AND(Units!$K26=0,DC$1=Units!$O26),Units!$R26,IF(AND(DC$1&gt;=Units!$Q26,MOD(DC$1-Units!$Q26,12)=0),IF(AND(Units!$L26=1,DC$1=Units!$Q26),IF(Units!$J26&lt;&gt;"",Units!$J26,Mkt!DC27),Inputs!$B$15*Mkt!DC27+(1-Inputs!$B$15)*MIN(Mkt!DC27,DB27*(1+Inputs!$B$18))),DB27)))</f>
        <v>2275.26665103601</v>
      </c>
      <c r="DD27" s="11" t="n">
        <f aca="false">IF(DD$1&lt;Units!$P26,0,IF(AND(Units!$K26=0,DD$1=Units!$O26),Units!$R26,IF(AND(DD$1&gt;=Units!$Q26,MOD(DD$1-Units!$Q26,12)=0),IF(AND(Units!$L26=1,DD$1=Units!$Q26),IF(Units!$J26&lt;&gt;"",Units!$J26,Mkt!DD27),Inputs!$B$15*Mkt!DD27+(1-Inputs!$B$15)*MIN(Mkt!DD27,DC27*(1+Inputs!$B$18))),DC27)))</f>
        <v>2275.26665103601</v>
      </c>
      <c r="DE27" s="11" t="n">
        <f aca="false">IF(DE$1&lt;Units!$P26,0,IF(AND(Units!$K26=0,DE$1=Units!$O26),Units!$R26,IF(AND(DE$1&gt;=Units!$Q26,MOD(DE$1-Units!$Q26,12)=0),IF(AND(Units!$L26=1,DE$1=Units!$Q26),IF(Units!$J26&lt;&gt;"",Units!$J26,Mkt!DE27),Inputs!$B$15*Mkt!DE27+(1-Inputs!$B$15)*MIN(Mkt!DE27,DD27*(1+Inputs!$B$18))),DD27)))</f>
        <v>2275.26665103601</v>
      </c>
      <c r="DF27" s="11" t="n">
        <f aca="false">IF(DF$1&lt;Units!$P26,0,IF(AND(Units!$K26=0,DF$1=Units!$O26),Units!$R26,IF(AND(DF$1&gt;=Units!$Q26,MOD(DF$1-Units!$Q26,12)=0),IF(AND(Units!$L26=1,DF$1=Units!$Q26),IF(Units!$J26&lt;&gt;"",Units!$J26,Mkt!DF27),Inputs!$B$15*Mkt!DF27+(1-Inputs!$B$15)*MIN(Mkt!DF27,DE27*(1+Inputs!$B$18))),DE27)))</f>
        <v>2343.52465056709</v>
      </c>
      <c r="DG27" s="11" t="n">
        <f aca="false">IF(DG$1&lt;Units!$P26,0,IF(AND(Units!$K26=0,DG$1=Units!$O26),Units!$R26,IF(AND(DG$1&gt;=Units!$Q26,MOD(DG$1-Units!$Q26,12)=0),IF(AND(Units!$L26=1,DG$1=Units!$Q26),IF(Units!$J26&lt;&gt;"",Units!$J26,Mkt!DG27),Inputs!$B$15*Mkt!DG27+(1-Inputs!$B$15)*MIN(Mkt!DG27,DF27*(1+Inputs!$B$18))),DF27)))</f>
        <v>2343.52465056709</v>
      </c>
      <c r="DH27" s="11" t="n">
        <f aca="false">IF(DH$1&lt;Units!$P26,0,IF(AND(Units!$K26=0,DH$1=Units!$O26),Units!$R26,IF(AND(DH$1&gt;=Units!$Q26,MOD(DH$1-Units!$Q26,12)=0),IF(AND(Units!$L26=1,DH$1=Units!$Q26),IF(Units!$J26&lt;&gt;"",Units!$J26,Mkt!DH27),Inputs!$B$15*Mkt!DH27+(1-Inputs!$B$15)*MIN(Mkt!DH27,DG27*(1+Inputs!$B$18))),DG27)))</f>
        <v>2343.52465056709</v>
      </c>
      <c r="DI27" s="11" t="n">
        <f aca="false">IF(DI$1&lt;Units!$P26,0,IF(AND(Units!$K26=0,DI$1=Units!$O26),Units!$R26,IF(AND(DI$1&gt;=Units!$Q26,MOD(DI$1-Units!$Q26,12)=0),IF(AND(Units!$L26=1,DI$1=Units!$Q26),IF(Units!$J26&lt;&gt;"",Units!$J26,Mkt!DI27),Inputs!$B$15*Mkt!DI27+(1-Inputs!$B$15)*MIN(Mkt!DI27,DH27*(1+Inputs!$B$18))),DH27)))</f>
        <v>2343.52465056709</v>
      </c>
      <c r="DJ27" s="11" t="n">
        <f aca="false">IF(DJ$1&lt;Units!$P26,0,IF(AND(Units!$K26=0,DJ$1=Units!$O26),Units!$R26,IF(AND(DJ$1&gt;=Units!$Q26,MOD(DJ$1-Units!$Q26,12)=0),IF(AND(Units!$L26=1,DJ$1=Units!$Q26),IF(Units!$J26&lt;&gt;"",Units!$J26,Mkt!DJ27),Inputs!$B$15*Mkt!DJ27+(1-Inputs!$B$15)*MIN(Mkt!DJ27,DI27*(1+Inputs!$B$18))),DI27)))</f>
        <v>2343.52465056709</v>
      </c>
      <c r="DK27" s="11" t="n">
        <f aca="false">IF(DK$1&lt;Units!$P26,0,IF(AND(Units!$K26=0,DK$1=Units!$O26),Units!$R26,IF(AND(DK$1&gt;=Units!$Q26,MOD(DK$1-Units!$Q26,12)=0),IF(AND(Units!$L26=1,DK$1=Units!$Q26),IF(Units!$J26&lt;&gt;"",Units!$J26,Mkt!DK27),Inputs!$B$15*Mkt!DK27+(1-Inputs!$B$15)*MIN(Mkt!DK27,DJ27*(1+Inputs!$B$18))),DJ27)))</f>
        <v>2343.52465056709</v>
      </c>
      <c r="DL27" s="11" t="n">
        <f aca="false">IF(DL$1&lt;Units!$P26,0,IF(AND(Units!$K26=0,DL$1=Units!$O26),Units!$R26,IF(AND(DL$1&gt;=Units!$Q26,MOD(DL$1-Units!$Q26,12)=0),IF(AND(Units!$L26=1,DL$1=Units!$Q26),IF(Units!$J26&lt;&gt;"",Units!$J26,Mkt!DL27),Inputs!$B$15*Mkt!DL27+(1-Inputs!$B$15)*MIN(Mkt!DL27,DK27*(1+Inputs!$B$18))),DK27)))</f>
        <v>2343.52465056709</v>
      </c>
      <c r="DM27" s="11" t="n">
        <f aca="false">IF(DM$1&lt;Units!$P26,0,IF(AND(Units!$K26=0,DM$1=Units!$O26),Units!$R26,IF(AND(DM$1&gt;=Units!$Q26,MOD(DM$1-Units!$Q26,12)=0),IF(AND(Units!$L26=1,DM$1=Units!$Q26),IF(Units!$J26&lt;&gt;"",Units!$J26,Mkt!DM27),Inputs!$B$15*Mkt!DM27+(1-Inputs!$B$15)*MIN(Mkt!DM27,DL27*(1+Inputs!$B$18))),DL27)))</f>
        <v>2343.52465056709</v>
      </c>
      <c r="DN27" s="11" t="n">
        <f aca="false">IF(DN$1&lt;Units!$P26,0,IF(AND(Units!$K26=0,DN$1=Units!$O26),Units!$R26,IF(AND(DN$1&gt;=Units!$Q26,MOD(DN$1-Units!$Q26,12)=0),IF(AND(Units!$L26=1,DN$1=Units!$Q26),IF(Units!$J26&lt;&gt;"",Units!$J26,Mkt!DN27),Inputs!$B$15*Mkt!DN27+(1-Inputs!$B$15)*MIN(Mkt!DN27,DM27*(1+Inputs!$B$18))),DM27)))</f>
        <v>2343.52465056709</v>
      </c>
      <c r="DO27" s="11" t="n">
        <f aca="false">IF(DO$1&lt;Units!$P26,0,IF(AND(Units!$K26=0,DO$1=Units!$O26),Units!$R26,IF(AND(DO$1&gt;=Units!$Q26,MOD(DO$1-Units!$Q26,12)=0),IF(AND(Units!$L26=1,DO$1=Units!$Q26),IF(Units!$J26&lt;&gt;"",Units!$J26,Mkt!DO27),Inputs!$B$15*Mkt!DO27+(1-Inputs!$B$15)*MIN(Mkt!DO27,DN27*(1+Inputs!$B$18))),DN27)))</f>
        <v>2343.52465056709</v>
      </c>
      <c r="DP27" s="11" t="n">
        <f aca="false">IF(DP$1&lt;Units!$P26,0,IF(AND(Units!$K26=0,DP$1=Units!$O26),Units!$R26,IF(AND(DP$1&gt;=Units!$Q26,MOD(DP$1-Units!$Q26,12)=0),IF(AND(Units!$L26=1,DP$1=Units!$Q26),IF(Units!$J26&lt;&gt;"",Units!$J26,Mkt!DP27),Inputs!$B$15*Mkt!DP27+(1-Inputs!$B$15)*MIN(Mkt!DP27,DO27*(1+Inputs!$B$18))),DO27)))</f>
        <v>2343.52465056709</v>
      </c>
      <c r="DQ27" s="11" t="n">
        <f aca="false">IF(DQ$1&lt;Units!$P26,0,IF(AND(Units!$K26=0,DQ$1=Units!$O26),Units!$R26,IF(AND(DQ$1&gt;=Units!$Q26,MOD(DQ$1-Units!$Q26,12)=0),IF(AND(Units!$L26=1,DQ$1=Units!$Q26),IF(Units!$J26&lt;&gt;"",Units!$J26,Mkt!DQ27),Inputs!$B$15*Mkt!DQ27+(1-Inputs!$B$15)*MIN(Mkt!DQ27,DP27*(1+Inputs!$B$18))),DP27)))</f>
        <v>2343.52465056709</v>
      </c>
      <c r="DR27" s="11" t="n">
        <f aca="false">IF(DR$1&lt;Units!$P26,0,IF(AND(Units!$K26=0,DR$1=Units!$O26),Units!$R26,IF(AND(DR$1&gt;=Units!$Q26,MOD(DR$1-Units!$Q26,12)=0),IF(AND(Units!$L26=1,DR$1=Units!$Q26),IF(Units!$J26&lt;&gt;"",Units!$J26,Mkt!DR27),Inputs!$B$15*Mkt!DR27+(1-Inputs!$B$15)*MIN(Mkt!DR27,DQ27*(1+Inputs!$B$18))),DQ27)))</f>
        <v>2413.8303900841</v>
      </c>
      <c r="DS27" s="11" t="n">
        <f aca="false">IF(DS$1&lt;Units!$P26,0,IF(AND(Units!$K26=0,DS$1=Units!$O26),Units!$R26,IF(AND(DS$1&gt;=Units!$Q26,MOD(DS$1-Units!$Q26,12)=0),IF(AND(Units!$L26=1,DS$1=Units!$Q26),IF(Units!$J26&lt;&gt;"",Units!$J26,Mkt!DS27),Inputs!$B$15*Mkt!DS27+(1-Inputs!$B$15)*MIN(Mkt!DS27,DR27*(1+Inputs!$B$18))),DR27)))</f>
        <v>2413.8303900841</v>
      </c>
      <c r="DT27" s="11" t="n">
        <f aca="false">IF(DT$1&lt;Units!$P26,0,IF(AND(Units!$K26=0,DT$1=Units!$O26),Units!$R26,IF(AND(DT$1&gt;=Units!$Q26,MOD(DT$1-Units!$Q26,12)=0),IF(AND(Units!$L26=1,DT$1=Units!$Q26),IF(Units!$J26&lt;&gt;"",Units!$J26,Mkt!DT27),Inputs!$B$15*Mkt!DT27+(1-Inputs!$B$15)*MIN(Mkt!DT27,DS27*(1+Inputs!$B$18))),DS27)))</f>
        <v>2413.8303900841</v>
      </c>
      <c r="DU27" s="11" t="n">
        <f aca="false">IF(DU$1&lt;Units!$P26,0,IF(AND(Units!$K26=0,DU$1=Units!$O26),Units!$R26,IF(AND(DU$1&gt;=Units!$Q26,MOD(DU$1-Units!$Q26,12)=0),IF(AND(Units!$L26=1,DU$1=Units!$Q26),IF(Units!$J26&lt;&gt;"",Units!$J26,Mkt!DU27),Inputs!$B$15*Mkt!DU27+(1-Inputs!$B$15)*MIN(Mkt!DU27,DT27*(1+Inputs!$B$18))),DT27)))</f>
        <v>2413.8303900841</v>
      </c>
      <c r="DV27" s="11" t="n">
        <f aca="false">IF(DV$1&lt;Units!$P26,0,IF(AND(Units!$K26=0,DV$1=Units!$O26),Units!$R26,IF(AND(DV$1&gt;=Units!$Q26,MOD(DV$1-Units!$Q26,12)=0),IF(AND(Units!$L26=1,DV$1=Units!$Q26),IF(Units!$J26&lt;&gt;"",Units!$J26,Mkt!DV27),Inputs!$B$15*Mkt!DV27+(1-Inputs!$B$15)*MIN(Mkt!DV27,DU27*(1+Inputs!$B$18))),DU27)))</f>
        <v>2413.8303900841</v>
      </c>
      <c r="DW27" s="11" t="n">
        <f aca="false">IF(DW$1&lt;Units!$P26,0,IF(AND(Units!$K26=0,DW$1=Units!$O26),Units!$R26,IF(AND(DW$1&gt;=Units!$Q26,MOD(DW$1-Units!$Q26,12)=0),IF(AND(Units!$L26=1,DW$1=Units!$Q26),IF(Units!$J26&lt;&gt;"",Units!$J26,Mkt!DW27),Inputs!$B$15*Mkt!DW27+(1-Inputs!$B$15)*MIN(Mkt!DW27,DV27*(1+Inputs!$B$18))),DV27)))</f>
        <v>2413.8303900841</v>
      </c>
      <c r="DX27" s="11" t="n">
        <f aca="false">IF(DX$1&lt;Units!$P26,0,IF(AND(Units!$K26=0,DX$1=Units!$O26),Units!$R26,IF(AND(DX$1&gt;=Units!$Q26,MOD(DX$1-Units!$Q26,12)=0),IF(AND(Units!$L26=1,DX$1=Units!$Q26),IF(Units!$J26&lt;&gt;"",Units!$J26,Mkt!DX27),Inputs!$B$15*Mkt!DX27+(1-Inputs!$B$15)*MIN(Mkt!DX27,DW27*(1+Inputs!$B$18))),DW27)))</f>
        <v>2413.8303900841</v>
      </c>
      <c r="DY27" s="11" t="n">
        <f aca="false">IF(DY$1&lt;Units!$P26,0,IF(AND(Units!$K26=0,DY$1=Units!$O26),Units!$R26,IF(AND(DY$1&gt;=Units!$Q26,MOD(DY$1-Units!$Q26,12)=0),IF(AND(Units!$L26=1,DY$1=Units!$Q26),IF(Units!$J26&lt;&gt;"",Units!$J26,Mkt!DY27),Inputs!$B$15*Mkt!DY27+(1-Inputs!$B$15)*MIN(Mkt!DY27,DX27*(1+Inputs!$B$18))),DX27)))</f>
        <v>2413.8303900841</v>
      </c>
      <c r="DZ27" s="11" t="n">
        <f aca="false">IF(DZ$1&lt;Units!$P26,0,IF(AND(Units!$K26=0,DZ$1=Units!$O26),Units!$R26,IF(AND(DZ$1&gt;=Units!$Q26,MOD(DZ$1-Units!$Q26,12)=0),IF(AND(Units!$L26=1,DZ$1=Units!$Q26),IF(Units!$J26&lt;&gt;"",Units!$J26,Mkt!DZ27),Inputs!$B$15*Mkt!DZ27+(1-Inputs!$B$15)*MIN(Mkt!DZ27,DY27*(1+Inputs!$B$18))),DY27)))</f>
        <v>2413.8303900841</v>
      </c>
      <c r="EA27" s="11" t="n">
        <f aca="false">IF(EA$1&lt;Units!$P26,0,IF(AND(Units!$K26=0,EA$1=Units!$O26),Units!$R26,IF(AND(EA$1&gt;=Units!$Q26,MOD(EA$1-Units!$Q26,12)=0),IF(AND(Units!$L26=1,EA$1=Units!$Q26),IF(Units!$J26&lt;&gt;"",Units!$J26,Mkt!EA27),Inputs!$B$15*Mkt!EA27+(1-Inputs!$B$15)*MIN(Mkt!EA27,DZ27*(1+Inputs!$B$18))),DZ27)))</f>
        <v>2413.8303900841</v>
      </c>
      <c r="EB27" s="11" t="n">
        <f aca="false">IF(EB$1&lt;Units!$P26,0,IF(AND(Units!$K26=0,EB$1=Units!$O26),Units!$R26,IF(AND(EB$1&gt;=Units!$Q26,MOD(EB$1-Units!$Q26,12)=0),IF(AND(Units!$L26=1,EB$1=Units!$Q26),IF(Units!$J26&lt;&gt;"",Units!$J26,Mkt!EB27),Inputs!$B$15*Mkt!EB27+(1-Inputs!$B$15)*MIN(Mkt!EB27,EA27*(1+Inputs!$B$18))),EA27)))</f>
        <v>2413.8303900841</v>
      </c>
      <c r="EC27" s="11" t="n">
        <f aca="false">IF(EC$1&lt;Units!$P26,0,IF(AND(Units!$K26=0,EC$1=Units!$O26),Units!$R26,IF(AND(EC$1&gt;=Units!$Q26,MOD(EC$1-Units!$Q26,12)=0),IF(AND(Units!$L26=1,EC$1=Units!$Q26),IF(Units!$J26&lt;&gt;"",Units!$J26,Mkt!EC27),Inputs!$B$15*Mkt!EC27+(1-Inputs!$B$15)*MIN(Mkt!EC27,EB27*(1+Inputs!$B$18))),EB27)))</f>
        <v>2413.8303900841</v>
      </c>
      <c r="ED27" s="11" t="n">
        <f aca="false">IF(ED$1&lt;Units!$P26,0,IF(AND(Units!$K26=0,ED$1=Units!$O26),Units!$R26,IF(AND(ED$1&gt;=Units!$Q26,MOD(ED$1-Units!$Q26,12)=0),IF(AND(Units!$L26=1,ED$1=Units!$Q26),IF(Units!$J26&lt;&gt;"",Units!$J26,Mkt!ED27),Inputs!$B$15*Mkt!ED27+(1-Inputs!$B$15)*MIN(Mkt!ED27,EC27*(1+Inputs!$B$18))),EC27)))</f>
        <v>2486.24530178663</v>
      </c>
    </row>
    <row r="28" customFormat="false" ht="15" hidden="false" customHeight="false" outlineLevel="0" collapsed="false">
      <c r="A28" s="22" t="n">
        <f aca="false">Units!A27</f>
        <v>126</v>
      </c>
      <c r="B28" s="24" t="n">
        <f aca="false">IF(Units!K27=1,Units!F27,0)</f>
        <v>1895</v>
      </c>
      <c r="C28" s="11" t="n">
        <f aca="false">IF(C$1&lt;Units!$P27,0,IF(AND(Units!$K27=0,C$1=Units!$O27),Units!$R27,IF(AND(C$1&gt;=Units!$Q27,MOD(C$1-Units!$Q27,12)=0),IF(AND(Units!$L27=1,C$1=Units!$Q27),IF(Units!$J27&lt;&gt;"",Units!$J27,Mkt!C28),Inputs!$B$15*Mkt!C28+(1-Inputs!$B$15)*MIN(Mkt!C28,B28*(1+Inputs!$B$18))),B28)))</f>
        <v>1850</v>
      </c>
      <c r="D28" s="11" t="n">
        <f aca="false">IF(D$1&lt;Units!$P27,0,IF(AND(Units!$K27=0,D$1=Units!$O27),Units!$R27,IF(AND(D$1&gt;=Units!$Q27,MOD(D$1-Units!$Q27,12)=0),IF(AND(Units!$L27=1,D$1=Units!$Q27),IF(Units!$J27&lt;&gt;"",Units!$J27,Mkt!D28),Inputs!$B$15*Mkt!D28+(1-Inputs!$B$15)*MIN(Mkt!D28,C28*(1+Inputs!$B$18))),C28)))</f>
        <v>1850</v>
      </c>
      <c r="E28" s="11" t="n">
        <f aca="false">IF(E$1&lt;Units!$P27,0,IF(AND(Units!$K27=0,E$1=Units!$O27),Units!$R27,IF(AND(E$1&gt;=Units!$Q27,MOD(E$1-Units!$Q27,12)=0),IF(AND(Units!$L27=1,E$1=Units!$Q27),IF(Units!$J27&lt;&gt;"",Units!$J27,Mkt!E28),Inputs!$B$15*Mkt!E28+(1-Inputs!$B$15)*MIN(Mkt!E28,D28*(1+Inputs!$B$18))),D28)))</f>
        <v>1850</v>
      </c>
      <c r="F28" s="11" t="n">
        <f aca="false">IF(F$1&lt;Units!$P27,0,IF(AND(Units!$K27=0,F$1=Units!$O27),Units!$R27,IF(AND(F$1&gt;=Units!$Q27,MOD(F$1-Units!$Q27,12)=0),IF(AND(Units!$L27=1,F$1=Units!$Q27),IF(Units!$J27&lt;&gt;"",Units!$J27,Mkt!F28),Inputs!$B$15*Mkt!F28+(1-Inputs!$B$15)*MIN(Mkt!F28,E28*(1+Inputs!$B$18))),E28)))</f>
        <v>1850</v>
      </c>
      <c r="G28" s="11" t="n">
        <f aca="false">IF(G$1&lt;Units!$P27,0,IF(AND(Units!$K27=0,G$1=Units!$O27),Units!$R27,IF(AND(G$1&gt;=Units!$Q27,MOD(G$1-Units!$Q27,12)=0),IF(AND(Units!$L27=1,G$1=Units!$Q27),IF(Units!$J27&lt;&gt;"",Units!$J27,Mkt!G28),Inputs!$B$15*Mkt!G28+(1-Inputs!$B$15)*MIN(Mkt!G28,F28*(1+Inputs!$B$18))),F28)))</f>
        <v>1850</v>
      </c>
      <c r="H28" s="11" t="n">
        <f aca="false">IF(H$1&lt;Units!$P27,0,IF(AND(Units!$K27=0,H$1=Units!$O27),Units!$R27,IF(AND(H$1&gt;=Units!$Q27,MOD(H$1-Units!$Q27,12)=0),IF(AND(Units!$L27=1,H$1=Units!$Q27),IF(Units!$J27&lt;&gt;"",Units!$J27,Mkt!H28),Inputs!$B$15*Mkt!H28+(1-Inputs!$B$15)*MIN(Mkt!H28,G28*(1+Inputs!$B$18))),G28)))</f>
        <v>1850</v>
      </c>
      <c r="I28" s="11" t="n">
        <f aca="false">IF(I$1&lt;Units!$P27,0,IF(AND(Units!$K27=0,I$1=Units!$O27),Units!$R27,IF(AND(I$1&gt;=Units!$Q27,MOD(I$1-Units!$Q27,12)=0),IF(AND(Units!$L27=1,I$1=Units!$Q27),IF(Units!$J27&lt;&gt;"",Units!$J27,Mkt!I28),Inputs!$B$15*Mkt!I28+(1-Inputs!$B$15)*MIN(Mkt!I28,H28*(1+Inputs!$B$18))),H28)))</f>
        <v>1850</v>
      </c>
      <c r="J28" s="11" t="n">
        <f aca="false">IF(J$1&lt;Units!$P27,0,IF(AND(Units!$K27=0,J$1=Units!$O27),Units!$R27,IF(AND(J$1&gt;=Units!$Q27,MOD(J$1-Units!$Q27,12)=0),IF(AND(Units!$L27=1,J$1=Units!$Q27),IF(Units!$J27&lt;&gt;"",Units!$J27,Mkt!J28),Inputs!$B$15*Mkt!J28+(1-Inputs!$B$15)*MIN(Mkt!J28,I28*(1+Inputs!$B$18))),I28)))</f>
        <v>1850</v>
      </c>
      <c r="K28" s="11" t="n">
        <f aca="false">IF(K$1&lt;Units!$P27,0,IF(AND(Units!$K27=0,K$1=Units!$O27),Units!$R27,IF(AND(K$1&gt;=Units!$Q27,MOD(K$1-Units!$Q27,12)=0),IF(AND(Units!$L27=1,K$1=Units!$Q27),IF(Units!$J27&lt;&gt;"",Units!$J27,Mkt!K28),Inputs!$B$15*Mkt!K28+(1-Inputs!$B$15)*MIN(Mkt!K28,J28*(1+Inputs!$B$18))),J28)))</f>
        <v>1850</v>
      </c>
      <c r="L28" s="11" t="n">
        <f aca="false">IF(L$1&lt;Units!$P27,0,IF(AND(Units!$K27=0,L$1=Units!$O27),Units!$R27,IF(AND(L$1&gt;=Units!$Q27,MOD(L$1-Units!$Q27,12)=0),IF(AND(Units!$L27=1,L$1=Units!$Q27),IF(Units!$J27&lt;&gt;"",Units!$J27,Mkt!L28),Inputs!$B$15*Mkt!L28+(1-Inputs!$B$15)*MIN(Mkt!L28,K28*(1+Inputs!$B$18))),K28)))</f>
        <v>1850</v>
      </c>
      <c r="M28" s="11" t="n">
        <f aca="false">IF(M$1&lt;Units!$P27,0,IF(AND(Units!$K27=0,M$1=Units!$O27),Units!$R27,IF(AND(M$1&gt;=Units!$Q27,MOD(M$1-Units!$Q27,12)=0),IF(AND(Units!$L27=1,M$1=Units!$Q27),IF(Units!$J27&lt;&gt;"",Units!$J27,Mkt!M28),Inputs!$B$15*Mkt!M28+(1-Inputs!$B$15)*MIN(Mkt!M28,L28*(1+Inputs!$B$18))),L28)))</f>
        <v>1850</v>
      </c>
      <c r="N28" s="11" t="n">
        <f aca="false">IF(N$1&lt;Units!$P27,0,IF(AND(Units!$K27=0,N$1=Units!$O27),Units!$R27,IF(AND(N$1&gt;=Units!$Q27,MOD(N$1-Units!$Q27,12)=0),IF(AND(Units!$L27=1,N$1=Units!$Q27),IF(Units!$J27&lt;&gt;"",Units!$J27,Mkt!N28),Inputs!$B$15*Mkt!N28+(1-Inputs!$B$15)*MIN(Mkt!N28,M28*(1+Inputs!$B$18))),M28)))</f>
        <v>1850</v>
      </c>
      <c r="O28" s="11" t="n">
        <f aca="false">IF(O$1&lt;Units!$P27,0,IF(AND(Units!$K27=0,O$1=Units!$O27),Units!$R27,IF(AND(O$1&gt;=Units!$Q27,MOD(O$1-Units!$Q27,12)=0),IF(AND(Units!$L27=1,O$1=Units!$Q27),IF(Units!$J27&lt;&gt;"",Units!$J27,Mkt!O28),Inputs!$B$15*Mkt!O28+(1-Inputs!$B$15)*MIN(Mkt!O28,N28*(1+Inputs!$B$18))),N28)))</f>
        <v>1905.5</v>
      </c>
      <c r="P28" s="11" t="n">
        <f aca="false">IF(P$1&lt;Units!$P27,0,IF(AND(Units!$K27=0,P$1=Units!$O27),Units!$R27,IF(AND(P$1&gt;=Units!$Q27,MOD(P$1-Units!$Q27,12)=0),IF(AND(Units!$L27=1,P$1=Units!$Q27),IF(Units!$J27&lt;&gt;"",Units!$J27,Mkt!P28),Inputs!$B$15*Mkt!P28+(1-Inputs!$B$15)*MIN(Mkt!P28,O28*(1+Inputs!$B$18))),O28)))</f>
        <v>1905.5</v>
      </c>
      <c r="Q28" s="11" t="n">
        <f aca="false">IF(Q$1&lt;Units!$P27,0,IF(AND(Units!$K27=0,Q$1=Units!$O27),Units!$R27,IF(AND(Q$1&gt;=Units!$Q27,MOD(Q$1-Units!$Q27,12)=0),IF(AND(Units!$L27=1,Q$1=Units!$Q27),IF(Units!$J27&lt;&gt;"",Units!$J27,Mkt!Q28),Inputs!$B$15*Mkt!Q28+(1-Inputs!$B$15)*MIN(Mkt!Q28,P28*(1+Inputs!$B$18))),P28)))</f>
        <v>1905.5</v>
      </c>
      <c r="R28" s="11" t="n">
        <f aca="false">IF(R$1&lt;Units!$P27,0,IF(AND(Units!$K27=0,R$1=Units!$O27),Units!$R27,IF(AND(R$1&gt;=Units!$Q27,MOD(R$1-Units!$Q27,12)=0),IF(AND(Units!$L27=1,R$1=Units!$Q27),IF(Units!$J27&lt;&gt;"",Units!$J27,Mkt!R28),Inputs!$B$15*Mkt!R28+(1-Inputs!$B$15)*MIN(Mkt!R28,Q28*(1+Inputs!$B$18))),Q28)))</f>
        <v>1905.5</v>
      </c>
      <c r="S28" s="11" t="n">
        <f aca="false">IF(S$1&lt;Units!$P27,0,IF(AND(Units!$K27=0,S$1=Units!$O27),Units!$R27,IF(AND(S$1&gt;=Units!$Q27,MOD(S$1-Units!$Q27,12)=0),IF(AND(Units!$L27=1,S$1=Units!$Q27),IF(Units!$J27&lt;&gt;"",Units!$J27,Mkt!S28),Inputs!$B$15*Mkt!S28+(1-Inputs!$B$15)*MIN(Mkt!S28,R28*(1+Inputs!$B$18))),R28)))</f>
        <v>1905.5</v>
      </c>
      <c r="T28" s="11" t="n">
        <f aca="false">IF(T$1&lt;Units!$P27,0,IF(AND(Units!$K27=0,T$1=Units!$O27),Units!$R27,IF(AND(T$1&gt;=Units!$Q27,MOD(T$1-Units!$Q27,12)=0),IF(AND(Units!$L27=1,T$1=Units!$Q27),IF(Units!$J27&lt;&gt;"",Units!$J27,Mkt!T28),Inputs!$B$15*Mkt!T28+(1-Inputs!$B$15)*MIN(Mkt!T28,S28*(1+Inputs!$B$18))),S28)))</f>
        <v>1905.5</v>
      </c>
      <c r="U28" s="11" t="n">
        <f aca="false">IF(U$1&lt;Units!$P27,0,IF(AND(Units!$K27=0,U$1=Units!$O27),Units!$R27,IF(AND(U$1&gt;=Units!$Q27,MOD(U$1-Units!$Q27,12)=0),IF(AND(Units!$L27=1,U$1=Units!$Q27),IF(Units!$J27&lt;&gt;"",Units!$J27,Mkt!U28),Inputs!$B$15*Mkt!U28+(1-Inputs!$B$15)*MIN(Mkt!U28,T28*(1+Inputs!$B$18))),T28)))</f>
        <v>1905.5</v>
      </c>
      <c r="V28" s="11" t="n">
        <f aca="false">IF(V$1&lt;Units!$P27,0,IF(AND(Units!$K27=0,V$1=Units!$O27),Units!$R27,IF(AND(V$1&gt;=Units!$Q27,MOD(V$1-Units!$Q27,12)=0),IF(AND(Units!$L27=1,V$1=Units!$Q27),IF(Units!$J27&lt;&gt;"",Units!$J27,Mkt!V28),Inputs!$B$15*Mkt!V28+(1-Inputs!$B$15)*MIN(Mkt!V28,U28*(1+Inputs!$B$18))),U28)))</f>
        <v>1905.5</v>
      </c>
      <c r="W28" s="11" t="n">
        <f aca="false">IF(W$1&lt;Units!$P27,0,IF(AND(Units!$K27=0,W$1=Units!$O27),Units!$R27,IF(AND(W$1&gt;=Units!$Q27,MOD(W$1-Units!$Q27,12)=0),IF(AND(Units!$L27=1,W$1=Units!$Q27),IF(Units!$J27&lt;&gt;"",Units!$J27,Mkt!W28),Inputs!$B$15*Mkt!W28+(1-Inputs!$B$15)*MIN(Mkt!W28,V28*(1+Inputs!$B$18))),V28)))</f>
        <v>1905.5</v>
      </c>
      <c r="X28" s="11" t="n">
        <f aca="false">IF(X$1&lt;Units!$P27,0,IF(AND(Units!$K27=0,X$1=Units!$O27),Units!$R27,IF(AND(X$1&gt;=Units!$Q27,MOD(X$1-Units!$Q27,12)=0),IF(AND(Units!$L27=1,X$1=Units!$Q27),IF(Units!$J27&lt;&gt;"",Units!$J27,Mkt!X28),Inputs!$B$15*Mkt!X28+(1-Inputs!$B$15)*MIN(Mkt!X28,W28*(1+Inputs!$B$18))),W28)))</f>
        <v>1905.5</v>
      </c>
      <c r="Y28" s="11" t="n">
        <f aca="false">IF(Y$1&lt;Units!$P27,0,IF(AND(Units!$K27=0,Y$1=Units!$O27),Units!$R27,IF(AND(Y$1&gt;=Units!$Q27,MOD(Y$1-Units!$Q27,12)=0),IF(AND(Units!$L27=1,Y$1=Units!$Q27),IF(Units!$J27&lt;&gt;"",Units!$J27,Mkt!Y28),Inputs!$B$15*Mkt!Y28+(1-Inputs!$B$15)*MIN(Mkt!Y28,X28*(1+Inputs!$B$18))),X28)))</f>
        <v>1905.5</v>
      </c>
      <c r="Z28" s="11" t="n">
        <f aca="false">IF(Z$1&lt;Units!$P27,0,IF(AND(Units!$K27=0,Z$1=Units!$O27),Units!$R27,IF(AND(Z$1&gt;=Units!$Q27,MOD(Z$1-Units!$Q27,12)=0),IF(AND(Units!$L27=1,Z$1=Units!$Q27),IF(Units!$J27&lt;&gt;"",Units!$J27,Mkt!Z28),Inputs!$B$15*Mkt!Z28+(1-Inputs!$B$15)*MIN(Mkt!Z28,Y28*(1+Inputs!$B$18))),Y28)))</f>
        <v>1905.5</v>
      </c>
      <c r="AA28" s="11" t="n">
        <f aca="false">IF(AA$1&lt;Units!$P27,0,IF(AND(Units!$K27=0,AA$1=Units!$O27),Units!$R27,IF(AND(AA$1&gt;=Units!$Q27,MOD(AA$1-Units!$Q27,12)=0),IF(AND(Units!$L27=1,AA$1=Units!$Q27),IF(Units!$J27&lt;&gt;"",Units!$J27,Mkt!AA28),Inputs!$B$15*Mkt!AA28+(1-Inputs!$B$15)*MIN(Mkt!AA28,Z28*(1+Inputs!$B$18))),Z28)))</f>
        <v>1962.665</v>
      </c>
      <c r="AB28" s="11" t="n">
        <f aca="false">IF(AB$1&lt;Units!$P27,0,IF(AND(Units!$K27=0,AB$1=Units!$O27),Units!$R27,IF(AND(AB$1&gt;=Units!$Q27,MOD(AB$1-Units!$Q27,12)=0),IF(AND(Units!$L27=1,AB$1=Units!$Q27),IF(Units!$J27&lt;&gt;"",Units!$J27,Mkt!AB28),Inputs!$B$15*Mkt!AB28+(1-Inputs!$B$15)*MIN(Mkt!AB28,AA28*(1+Inputs!$B$18))),AA28)))</f>
        <v>1962.665</v>
      </c>
      <c r="AC28" s="11" t="n">
        <f aca="false">IF(AC$1&lt;Units!$P27,0,IF(AND(Units!$K27=0,AC$1=Units!$O27),Units!$R27,IF(AND(AC$1&gt;=Units!$Q27,MOD(AC$1-Units!$Q27,12)=0),IF(AND(Units!$L27=1,AC$1=Units!$Q27),IF(Units!$J27&lt;&gt;"",Units!$J27,Mkt!AC28),Inputs!$B$15*Mkt!AC28+(1-Inputs!$B$15)*MIN(Mkt!AC28,AB28*(1+Inputs!$B$18))),AB28)))</f>
        <v>1962.665</v>
      </c>
      <c r="AD28" s="11" t="n">
        <f aca="false">IF(AD$1&lt;Units!$P27,0,IF(AND(Units!$K27=0,AD$1=Units!$O27),Units!$R27,IF(AND(AD$1&gt;=Units!$Q27,MOD(AD$1-Units!$Q27,12)=0),IF(AND(Units!$L27=1,AD$1=Units!$Q27),IF(Units!$J27&lt;&gt;"",Units!$J27,Mkt!AD28),Inputs!$B$15*Mkt!AD28+(1-Inputs!$B$15)*MIN(Mkt!AD28,AC28*(1+Inputs!$B$18))),AC28)))</f>
        <v>1962.665</v>
      </c>
      <c r="AE28" s="11" t="n">
        <f aca="false">IF(AE$1&lt;Units!$P27,0,IF(AND(Units!$K27=0,AE$1=Units!$O27),Units!$R27,IF(AND(AE$1&gt;=Units!$Q27,MOD(AE$1-Units!$Q27,12)=0),IF(AND(Units!$L27=1,AE$1=Units!$Q27),IF(Units!$J27&lt;&gt;"",Units!$J27,Mkt!AE28),Inputs!$B$15*Mkt!AE28+(1-Inputs!$B$15)*MIN(Mkt!AE28,AD28*(1+Inputs!$B$18))),AD28)))</f>
        <v>1962.665</v>
      </c>
      <c r="AF28" s="11" t="n">
        <f aca="false">IF(AF$1&lt;Units!$P27,0,IF(AND(Units!$K27=0,AF$1=Units!$O27),Units!$R27,IF(AND(AF$1&gt;=Units!$Q27,MOD(AF$1-Units!$Q27,12)=0),IF(AND(Units!$L27=1,AF$1=Units!$Q27),IF(Units!$J27&lt;&gt;"",Units!$J27,Mkt!AF28),Inputs!$B$15*Mkt!AF28+(1-Inputs!$B$15)*MIN(Mkt!AF28,AE28*(1+Inputs!$B$18))),AE28)))</f>
        <v>1962.665</v>
      </c>
      <c r="AG28" s="11" t="n">
        <f aca="false">IF(AG$1&lt;Units!$P27,0,IF(AND(Units!$K27=0,AG$1=Units!$O27),Units!$R27,IF(AND(AG$1&gt;=Units!$Q27,MOD(AG$1-Units!$Q27,12)=0),IF(AND(Units!$L27=1,AG$1=Units!$Q27),IF(Units!$J27&lt;&gt;"",Units!$J27,Mkt!AG28),Inputs!$B$15*Mkt!AG28+(1-Inputs!$B$15)*MIN(Mkt!AG28,AF28*(1+Inputs!$B$18))),AF28)))</f>
        <v>1962.665</v>
      </c>
      <c r="AH28" s="11" t="n">
        <f aca="false">IF(AH$1&lt;Units!$P27,0,IF(AND(Units!$K27=0,AH$1=Units!$O27),Units!$R27,IF(AND(AH$1&gt;=Units!$Q27,MOD(AH$1-Units!$Q27,12)=0),IF(AND(Units!$L27=1,AH$1=Units!$Q27),IF(Units!$J27&lt;&gt;"",Units!$J27,Mkt!AH28),Inputs!$B$15*Mkt!AH28+(1-Inputs!$B$15)*MIN(Mkt!AH28,AG28*(1+Inputs!$B$18))),AG28)))</f>
        <v>1962.665</v>
      </c>
      <c r="AI28" s="11" t="n">
        <f aca="false">IF(AI$1&lt;Units!$P27,0,IF(AND(Units!$K27=0,AI$1=Units!$O27),Units!$R27,IF(AND(AI$1&gt;=Units!$Q27,MOD(AI$1-Units!$Q27,12)=0),IF(AND(Units!$L27=1,AI$1=Units!$Q27),IF(Units!$J27&lt;&gt;"",Units!$J27,Mkt!AI28),Inputs!$B$15*Mkt!AI28+(1-Inputs!$B$15)*MIN(Mkt!AI28,AH28*(1+Inputs!$B$18))),AH28)))</f>
        <v>1962.665</v>
      </c>
      <c r="AJ28" s="11" t="n">
        <f aca="false">IF(AJ$1&lt;Units!$P27,0,IF(AND(Units!$K27=0,AJ$1=Units!$O27),Units!$R27,IF(AND(AJ$1&gt;=Units!$Q27,MOD(AJ$1-Units!$Q27,12)=0),IF(AND(Units!$L27=1,AJ$1=Units!$Q27),IF(Units!$J27&lt;&gt;"",Units!$J27,Mkt!AJ28),Inputs!$B$15*Mkt!AJ28+(1-Inputs!$B$15)*MIN(Mkt!AJ28,AI28*(1+Inputs!$B$18))),AI28)))</f>
        <v>1962.665</v>
      </c>
      <c r="AK28" s="11" t="n">
        <f aca="false">IF(AK$1&lt;Units!$P27,0,IF(AND(Units!$K27=0,AK$1=Units!$O27),Units!$R27,IF(AND(AK$1&gt;=Units!$Q27,MOD(AK$1-Units!$Q27,12)=0),IF(AND(Units!$L27=1,AK$1=Units!$Q27),IF(Units!$J27&lt;&gt;"",Units!$J27,Mkt!AK28),Inputs!$B$15*Mkt!AK28+(1-Inputs!$B$15)*MIN(Mkt!AK28,AJ28*(1+Inputs!$B$18))),AJ28)))</f>
        <v>1962.665</v>
      </c>
      <c r="AL28" s="11" t="n">
        <f aca="false">IF(AL$1&lt;Units!$P27,0,IF(AND(Units!$K27=0,AL$1=Units!$O27),Units!$R27,IF(AND(AL$1&gt;=Units!$Q27,MOD(AL$1-Units!$Q27,12)=0),IF(AND(Units!$L27=1,AL$1=Units!$Q27),IF(Units!$J27&lt;&gt;"",Units!$J27,Mkt!AL28),Inputs!$B$15*Mkt!AL28+(1-Inputs!$B$15)*MIN(Mkt!AL28,AK28*(1+Inputs!$B$18))),AK28)))</f>
        <v>1962.665</v>
      </c>
      <c r="AM28" s="11" t="n">
        <f aca="false">IF(AM$1&lt;Units!$P27,0,IF(AND(Units!$K27=0,AM$1=Units!$O27),Units!$R27,IF(AND(AM$1&gt;=Units!$Q27,MOD(AM$1-Units!$Q27,12)=0),IF(AND(Units!$L27=1,AM$1=Units!$Q27),IF(Units!$J27&lt;&gt;"",Units!$J27,Mkt!AM28),Inputs!$B$15*Mkt!AM28+(1-Inputs!$B$15)*MIN(Mkt!AM28,AL28*(1+Inputs!$B$18))),AL28)))</f>
        <v>2021.54495</v>
      </c>
      <c r="AN28" s="11" t="n">
        <f aca="false">IF(AN$1&lt;Units!$P27,0,IF(AND(Units!$K27=0,AN$1=Units!$O27),Units!$R27,IF(AND(AN$1&gt;=Units!$Q27,MOD(AN$1-Units!$Q27,12)=0),IF(AND(Units!$L27=1,AN$1=Units!$Q27),IF(Units!$J27&lt;&gt;"",Units!$J27,Mkt!AN28),Inputs!$B$15*Mkt!AN28+(1-Inputs!$B$15)*MIN(Mkt!AN28,AM28*(1+Inputs!$B$18))),AM28)))</f>
        <v>2021.54495</v>
      </c>
      <c r="AO28" s="11" t="n">
        <f aca="false">IF(AO$1&lt;Units!$P27,0,IF(AND(Units!$K27=0,AO$1=Units!$O27),Units!$R27,IF(AND(AO$1&gt;=Units!$Q27,MOD(AO$1-Units!$Q27,12)=0),IF(AND(Units!$L27=1,AO$1=Units!$Q27),IF(Units!$J27&lt;&gt;"",Units!$J27,Mkt!AO28),Inputs!$B$15*Mkt!AO28+(1-Inputs!$B$15)*MIN(Mkt!AO28,AN28*(1+Inputs!$B$18))),AN28)))</f>
        <v>2021.54495</v>
      </c>
      <c r="AP28" s="11" t="n">
        <f aca="false">IF(AP$1&lt;Units!$P27,0,IF(AND(Units!$K27=0,AP$1=Units!$O27),Units!$R27,IF(AND(AP$1&gt;=Units!$Q27,MOD(AP$1-Units!$Q27,12)=0),IF(AND(Units!$L27=1,AP$1=Units!$Q27),IF(Units!$J27&lt;&gt;"",Units!$J27,Mkt!AP28),Inputs!$B$15*Mkt!AP28+(1-Inputs!$B$15)*MIN(Mkt!AP28,AO28*(1+Inputs!$B$18))),AO28)))</f>
        <v>2021.54495</v>
      </c>
      <c r="AQ28" s="11" t="n">
        <f aca="false">IF(AQ$1&lt;Units!$P27,0,IF(AND(Units!$K27=0,AQ$1=Units!$O27),Units!$R27,IF(AND(AQ$1&gt;=Units!$Q27,MOD(AQ$1-Units!$Q27,12)=0),IF(AND(Units!$L27=1,AQ$1=Units!$Q27),IF(Units!$J27&lt;&gt;"",Units!$J27,Mkt!AQ28),Inputs!$B$15*Mkt!AQ28+(1-Inputs!$B$15)*MIN(Mkt!AQ28,AP28*(1+Inputs!$B$18))),AP28)))</f>
        <v>2021.54495</v>
      </c>
      <c r="AR28" s="11" t="n">
        <f aca="false">IF(AR$1&lt;Units!$P27,0,IF(AND(Units!$K27=0,AR$1=Units!$O27),Units!$R27,IF(AND(AR$1&gt;=Units!$Q27,MOD(AR$1-Units!$Q27,12)=0),IF(AND(Units!$L27=1,AR$1=Units!$Q27),IF(Units!$J27&lt;&gt;"",Units!$J27,Mkt!AR28),Inputs!$B$15*Mkt!AR28+(1-Inputs!$B$15)*MIN(Mkt!AR28,AQ28*(1+Inputs!$B$18))),AQ28)))</f>
        <v>2021.54495</v>
      </c>
      <c r="AS28" s="11" t="n">
        <f aca="false">IF(AS$1&lt;Units!$P27,0,IF(AND(Units!$K27=0,AS$1=Units!$O27),Units!$R27,IF(AND(AS$1&gt;=Units!$Q27,MOD(AS$1-Units!$Q27,12)=0),IF(AND(Units!$L27=1,AS$1=Units!$Q27),IF(Units!$J27&lt;&gt;"",Units!$J27,Mkt!AS28),Inputs!$B$15*Mkt!AS28+(1-Inputs!$B$15)*MIN(Mkt!AS28,AR28*(1+Inputs!$B$18))),AR28)))</f>
        <v>2021.54495</v>
      </c>
      <c r="AT28" s="11" t="n">
        <f aca="false">IF(AT$1&lt;Units!$P27,0,IF(AND(Units!$K27=0,AT$1=Units!$O27),Units!$R27,IF(AND(AT$1&gt;=Units!$Q27,MOD(AT$1-Units!$Q27,12)=0),IF(AND(Units!$L27=1,AT$1=Units!$Q27),IF(Units!$J27&lt;&gt;"",Units!$J27,Mkt!AT28),Inputs!$B$15*Mkt!AT28+(1-Inputs!$B$15)*MIN(Mkt!AT28,AS28*(1+Inputs!$B$18))),AS28)))</f>
        <v>2021.54495</v>
      </c>
      <c r="AU28" s="11" t="n">
        <f aca="false">IF(AU$1&lt;Units!$P27,0,IF(AND(Units!$K27=0,AU$1=Units!$O27),Units!$R27,IF(AND(AU$1&gt;=Units!$Q27,MOD(AU$1-Units!$Q27,12)=0),IF(AND(Units!$L27=1,AU$1=Units!$Q27),IF(Units!$J27&lt;&gt;"",Units!$J27,Mkt!AU28),Inputs!$B$15*Mkt!AU28+(1-Inputs!$B$15)*MIN(Mkt!AU28,AT28*(1+Inputs!$B$18))),AT28)))</f>
        <v>2021.54495</v>
      </c>
      <c r="AV28" s="11" t="n">
        <f aca="false">IF(AV$1&lt;Units!$P27,0,IF(AND(Units!$K27=0,AV$1=Units!$O27),Units!$R27,IF(AND(AV$1&gt;=Units!$Q27,MOD(AV$1-Units!$Q27,12)=0),IF(AND(Units!$L27=1,AV$1=Units!$Q27),IF(Units!$J27&lt;&gt;"",Units!$J27,Mkt!AV28),Inputs!$B$15*Mkt!AV28+(1-Inputs!$B$15)*MIN(Mkt!AV28,AU28*(1+Inputs!$B$18))),AU28)))</f>
        <v>2021.54495</v>
      </c>
      <c r="AW28" s="11" t="n">
        <f aca="false">IF(AW$1&lt;Units!$P27,0,IF(AND(Units!$K27=0,AW$1=Units!$O27),Units!$R27,IF(AND(AW$1&gt;=Units!$Q27,MOD(AW$1-Units!$Q27,12)=0),IF(AND(Units!$L27=1,AW$1=Units!$Q27),IF(Units!$J27&lt;&gt;"",Units!$J27,Mkt!AW28),Inputs!$B$15*Mkt!AW28+(1-Inputs!$B$15)*MIN(Mkt!AW28,AV28*(1+Inputs!$B$18))),AV28)))</f>
        <v>2021.54495</v>
      </c>
      <c r="AX28" s="11" t="n">
        <f aca="false">IF(AX$1&lt;Units!$P27,0,IF(AND(Units!$K27=0,AX$1=Units!$O27),Units!$R27,IF(AND(AX$1&gt;=Units!$Q27,MOD(AX$1-Units!$Q27,12)=0),IF(AND(Units!$L27=1,AX$1=Units!$Q27),IF(Units!$J27&lt;&gt;"",Units!$J27,Mkt!AX28),Inputs!$B$15*Mkt!AX28+(1-Inputs!$B$15)*MIN(Mkt!AX28,AW28*(1+Inputs!$B$18))),AW28)))</f>
        <v>2021.54495</v>
      </c>
      <c r="AY28" s="11" t="n">
        <f aca="false">IF(AY$1&lt;Units!$P27,0,IF(AND(Units!$K27=0,AY$1=Units!$O27),Units!$R27,IF(AND(AY$1&gt;=Units!$Q27,MOD(AY$1-Units!$Q27,12)=0),IF(AND(Units!$L27=1,AY$1=Units!$Q27),IF(Units!$J27&lt;&gt;"",Units!$J27,Mkt!AY28),Inputs!$B$15*Mkt!AY28+(1-Inputs!$B$15)*MIN(Mkt!AY28,AX28*(1+Inputs!$B$18))),AX28)))</f>
        <v>2082.1912985</v>
      </c>
      <c r="AZ28" s="11" t="n">
        <f aca="false">IF(AZ$1&lt;Units!$P27,0,IF(AND(Units!$K27=0,AZ$1=Units!$O27),Units!$R27,IF(AND(AZ$1&gt;=Units!$Q27,MOD(AZ$1-Units!$Q27,12)=0),IF(AND(Units!$L27=1,AZ$1=Units!$Q27),IF(Units!$J27&lt;&gt;"",Units!$J27,Mkt!AZ28),Inputs!$B$15*Mkt!AZ28+(1-Inputs!$B$15)*MIN(Mkt!AZ28,AY28*(1+Inputs!$B$18))),AY28)))</f>
        <v>2082.1912985</v>
      </c>
      <c r="BA28" s="11" t="n">
        <f aca="false">IF(BA$1&lt;Units!$P27,0,IF(AND(Units!$K27=0,BA$1=Units!$O27),Units!$R27,IF(AND(BA$1&gt;=Units!$Q27,MOD(BA$1-Units!$Q27,12)=0),IF(AND(Units!$L27=1,BA$1=Units!$Q27),IF(Units!$J27&lt;&gt;"",Units!$J27,Mkt!BA28),Inputs!$B$15*Mkt!BA28+(1-Inputs!$B$15)*MIN(Mkt!BA28,AZ28*(1+Inputs!$B$18))),AZ28)))</f>
        <v>2082.1912985</v>
      </c>
      <c r="BB28" s="11" t="n">
        <f aca="false">IF(BB$1&lt;Units!$P27,0,IF(AND(Units!$K27=0,BB$1=Units!$O27),Units!$R27,IF(AND(BB$1&gt;=Units!$Q27,MOD(BB$1-Units!$Q27,12)=0),IF(AND(Units!$L27=1,BB$1=Units!$Q27),IF(Units!$J27&lt;&gt;"",Units!$J27,Mkt!BB28),Inputs!$B$15*Mkt!BB28+(1-Inputs!$B$15)*MIN(Mkt!BB28,BA28*(1+Inputs!$B$18))),BA28)))</f>
        <v>2082.1912985</v>
      </c>
      <c r="BC28" s="11" t="n">
        <f aca="false">IF(BC$1&lt;Units!$P27,0,IF(AND(Units!$K27=0,BC$1=Units!$O27),Units!$R27,IF(AND(BC$1&gt;=Units!$Q27,MOD(BC$1-Units!$Q27,12)=0),IF(AND(Units!$L27=1,BC$1=Units!$Q27),IF(Units!$J27&lt;&gt;"",Units!$J27,Mkt!BC28),Inputs!$B$15*Mkt!BC28+(1-Inputs!$B$15)*MIN(Mkt!BC28,BB28*(1+Inputs!$B$18))),BB28)))</f>
        <v>2082.1912985</v>
      </c>
      <c r="BD28" s="11" t="n">
        <f aca="false">IF(BD$1&lt;Units!$P27,0,IF(AND(Units!$K27=0,BD$1=Units!$O27),Units!$R27,IF(AND(BD$1&gt;=Units!$Q27,MOD(BD$1-Units!$Q27,12)=0),IF(AND(Units!$L27=1,BD$1=Units!$Q27),IF(Units!$J27&lt;&gt;"",Units!$J27,Mkt!BD28),Inputs!$B$15*Mkt!BD28+(1-Inputs!$B$15)*MIN(Mkt!BD28,BC28*(1+Inputs!$B$18))),BC28)))</f>
        <v>2082.1912985</v>
      </c>
      <c r="BE28" s="11" t="n">
        <f aca="false">IF(BE$1&lt;Units!$P27,0,IF(AND(Units!$K27=0,BE$1=Units!$O27),Units!$R27,IF(AND(BE$1&gt;=Units!$Q27,MOD(BE$1-Units!$Q27,12)=0),IF(AND(Units!$L27=1,BE$1=Units!$Q27),IF(Units!$J27&lt;&gt;"",Units!$J27,Mkt!BE28),Inputs!$B$15*Mkt!BE28+(1-Inputs!$B$15)*MIN(Mkt!BE28,BD28*(1+Inputs!$B$18))),BD28)))</f>
        <v>2082.1912985</v>
      </c>
      <c r="BF28" s="11" t="n">
        <f aca="false">IF(BF$1&lt;Units!$P27,0,IF(AND(Units!$K27=0,BF$1=Units!$O27),Units!$R27,IF(AND(BF$1&gt;=Units!$Q27,MOD(BF$1-Units!$Q27,12)=0),IF(AND(Units!$L27=1,BF$1=Units!$Q27),IF(Units!$J27&lt;&gt;"",Units!$J27,Mkt!BF28),Inputs!$B$15*Mkt!BF28+(1-Inputs!$B$15)*MIN(Mkt!BF28,BE28*(1+Inputs!$B$18))),BE28)))</f>
        <v>2082.1912985</v>
      </c>
      <c r="BG28" s="11" t="n">
        <f aca="false">IF(BG$1&lt;Units!$P27,0,IF(AND(Units!$K27=0,BG$1=Units!$O27),Units!$R27,IF(AND(BG$1&gt;=Units!$Q27,MOD(BG$1-Units!$Q27,12)=0),IF(AND(Units!$L27=1,BG$1=Units!$Q27),IF(Units!$J27&lt;&gt;"",Units!$J27,Mkt!BG28),Inputs!$B$15*Mkt!BG28+(1-Inputs!$B$15)*MIN(Mkt!BG28,BF28*(1+Inputs!$B$18))),BF28)))</f>
        <v>2082.1912985</v>
      </c>
      <c r="BH28" s="11" t="n">
        <f aca="false">IF(BH$1&lt;Units!$P27,0,IF(AND(Units!$K27=0,BH$1=Units!$O27),Units!$R27,IF(AND(BH$1&gt;=Units!$Q27,MOD(BH$1-Units!$Q27,12)=0),IF(AND(Units!$L27=1,BH$1=Units!$Q27),IF(Units!$J27&lt;&gt;"",Units!$J27,Mkt!BH28),Inputs!$B$15*Mkt!BH28+(1-Inputs!$B$15)*MIN(Mkt!BH28,BG28*(1+Inputs!$B$18))),BG28)))</f>
        <v>2082.1912985</v>
      </c>
      <c r="BI28" s="11" t="n">
        <f aca="false">IF(BI$1&lt;Units!$P27,0,IF(AND(Units!$K27=0,BI$1=Units!$O27),Units!$R27,IF(AND(BI$1&gt;=Units!$Q27,MOD(BI$1-Units!$Q27,12)=0),IF(AND(Units!$L27=1,BI$1=Units!$Q27),IF(Units!$J27&lt;&gt;"",Units!$J27,Mkt!BI28),Inputs!$B$15*Mkt!BI28+(1-Inputs!$B$15)*MIN(Mkt!BI28,BH28*(1+Inputs!$B$18))),BH28)))</f>
        <v>2082.1912985</v>
      </c>
      <c r="BJ28" s="11" t="n">
        <f aca="false">IF(BJ$1&lt;Units!$P27,0,IF(AND(Units!$K27=0,BJ$1=Units!$O27),Units!$R27,IF(AND(BJ$1&gt;=Units!$Q27,MOD(BJ$1-Units!$Q27,12)=0),IF(AND(Units!$L27=1,BJ$1=Units!$Q27),IF(Units!$J27&lt;&gt;"",Units!$J27,Mkt!BJ28),Inputs!$B$15*Mkt!BJ28+(1-Inputs!$B$15)*MIN(Mkt!BJ28,BI28*(1+Inputs!$B$18))),BI28)))</f>
        <v>2082.1912985</v>
      </c>
      <c r="BK28" s="11" t="n">
        <f aca="false">IF(BK$1&lt;Units!$P27,0,IF(AND(Units!$K27=0,BK$1=Units!$O27),Units!$R27,IF(AND(BK$1&gt;=Units!$Q27,MOD(BK$1-Units!$Q27,12)=0),IF(AND(Units!$L27=1,BK$1=Units!$Q27),IF(Units!$J27&lt;&gt;"",Units!$J27,Mkt!BK28),Inputs!$B$15*Mkt!BK28+(1-Inputs!$B$15)*MIN(Mkt!BK28,BJ28*(1+Inputs!$B$18))),BJ28)))</f>
        <v>2144.657037455</v>
      </c>
      <c r="BL28" s="11" t="n">
        <f aca="false">IF(BL$1&lt;Units!$P27,0,IF(AND(Units!$K27=0,BL$1=Units!$O27),Units!$R27,IF(AND(BL$1&gt;=Units!$Q27,MOD(BL$1-Units!$Q27,12)=0),IF(AND(Units!$L27=1,BL$1=Units!$Q27),IF(Units!$J27&lt;&gt;"",Units!$J27,Mkt!BL28),Inputs!$B$15*Mkt!BL28+(1-Inputs!$B$15)*MIN(Mkt!BL28,BK28*(1+Inputs!$B$18))),BK28)))</f>
        <v>2144.657037455</v>
      </c>
      <c r="BM28" s="11" t="n">
        <f aca="false">IF(BM$1&lt;Units!$P27,0,IF(AND(Units!$K27=0,BM$1=Units!$O27),Units!$R27,IF(AND(BM$1&gt;=Units!$Q27,MOD(BM$1-Units!$Q27,12)=0),IF(AND(Units!$L27=1,BM$1=Units!$Q27),IF(Units!$J27&lt;&gt;"",Units!$J27,Mkt!BM28),Inputs!$B$15*Mkt!BM28+(1-Inputs!$B$15)*MIN(Mkt!BM28,BL28*(1+Inputs!$B$18))),BL28)))</f>
        <v>2144.657037455</v>
      </c>
      <c r="BN28" s="11" t="n">
        <f aca="false">IF(BN$1&lt;Units!$P27,0,IF(AND(Units!$K27=0,BN$1=Units!$O27),Units!$R27,IF(AND(BN$1&gt;=Units!$Q27,MOD(BN$1-Units!$Q27,12)=0),IF(AND(Units!$L27=1,BN$1=Units!$Q27),IF(Units!$J27&lt;&gt;"",Units!$J27,Mkt!BN28),Inputs!$B$15*Mkt!BN28+(1-Inputs!$B$15)*MIN(Mkt!BN28,BM28*(1+Inputs!$B$18))),BM28)))</f>
        <v>2144.657037455</v>
      </c>
      <c r="BO28" s="11" t="n">
        <f aca="false">IF(BO$1&lt;Units!$P27,0,IF(AND(Units!$K27=0,BO$1=Units!$O27),Units!$R27,IF(AND(BO$1&gt;=Units!$Q27,MOD(BO$1-Units!$Q27,12)=0),IF(AND(Units!$L27=1,BO$1=Units!$Q27),IF(Units!$J27&lt;&gt;"",Units!$J27,Mkt!BO28),Inputs!$B$15*Mkt!BO28+(1-Inputs!$B$15)*MIN(Mkt!BO28,BN28*(1+Inputs!$B$18))),BN28)))</f>
        <v>2144.657037455</v>
      </c>
      <c r="BP28" s="11" t="n">
        <f aca="false">IF(BP$1&lt;Units!$P27,0,IF(AND(Units!$K27=0,BP$1=Units!$O27),Units!$R27,IF(AND(BP$1&gt;=Units!$Q27,MOD(BP$1-Units!$Q27,12)=0),IF(AND(Units!$L27=1,BP$1=Units!$Q27),IF(Units!$J27&lt;&gt;"",Units!$J27,Mkt!BP28),Inputs!$B$15*Mkt!BP28+(1-Inputs!$B$15)*MIN(Mkt!BP28,BO28*(1+Inputs!$B$18))),BO28)))</f>
        <v>2144.657037455</v>
      </c>
      <c r="BQ28" s="11" t="n">
        <f aca="false">IF(BQ$1&lt;Units!$P27,0,IF(AND(Units!$K27=0,BQ$1=Units!$O27),Units!$R27,IF(AND(BQ$1&gt;=Units!$Q27,MOD(BQ$1-Units!$Q27,12)=0),IF(AND(Units!$L27=1,BQ$1=Units!$Q27),IF(Units!$J27&lt;&gt;"",Units!$J27,Mkt!BQ28),Inputs!$B$15*Mkt!BQ28+(1-Inputs!$B$15)*MIN(Mkt!BQ28,BP28*(1+Inputs!$B$18))),BP28)))</f>
        <v>2144.657037455</v>
      </c>
      <c r="BR28" s="11" t="n">
        <f aca="false">IF(BR$1&lt;Units!$P27,0,IF(AND(Units!$K27=0,BR$1=Units!$O27),Units!$R27,IF(AND(BR$1&gt;=Units!$Q27,MOD(BR$1-Units!$Q27,12)=0),IF(AND(Units!$L27=1,BR$1=Units!$Q27),IF(Units!$J27&lt;&gt;"",Units!$J27,Mkt!BR28),Inputs!$B$15*Mkt!BR28+(1-Inputs!$B$15)*MIN(Mkt!BR28,BQ28*(1+Inputs!$B$18))),BQ28)))</f>
        <v>2144.657037455</v>
      </c>
      <c r="BS28" s="11" t="n">
        <f aca="false">IF(BS$1&lt;Units!$P27,0,IF(AND(Units!$K27=0,BS$1=Units!$O27),Units!$R27,IF(AND(BS$1&gt;=Units!$Q27,MOD(BS$1-Units!$Q27,12)=0),IF(AND(Units!$L27=1,BS$1=Units!$Q27),IF(Units!$J27&lt;&gt;"",Units!$J27,Mkt!BS28),Inputs!$B$15*Mkt!BS28+(1-Inputs!$B$15)*MIN(Mkt!BS28,BR28*(1+Inputs!$B$18))),BR28)))</f>
        <v>2144.657037455</v>
      </c>
      <c r="BT28" s="11" t="n">
        <f aca="false">IF(BT$1&lt;Units!$P27,0,IF(AND(Units!$K27=0,BT$1=Units!$O27),Units!$R27,IF(AND(BT$1&gt;=Units!$Q27,MOD(BT$1-Units!$Q27,12)=0),IF(AND(Units!$L27=1,BT$1=Units!$Q27),IF(Units!$J27&lt;&gt;"",Units!$J27,Mkt!BT28),Inputs!$B$15*Mkt!BT28+(1-Inputs!$B$15)*MIN(Mkt!BT28,BS28*(1+Inputs!$B$18))),BS28)))</f>
        <v>2144.657037455</v>
      </c>
      <c r="BU28" s="11" t="n">
        <f aca="false">IF(BU$1&lt;Units!$P27,0,IF(AND(Units!$K27=0,BU$1=Units!$O27),Units!$R27,IF(AND(BU$1&gt;=Units!$Q27,MOD(BU$1-Units!$Q27,12)=0),IF(AND(Units!$L27=1,BU$1=Units!$Q27),IF(Units!$J27&lt;&gt;"",Units!$J27,Mkt!BU28),Inputs!$B$15*Mkt!BU28+(1-Inputs!$B$15)*MIN(Mkt!BU28,BT28*(1+Inputs!$B$18))),BT28)))</f>
        <v>2144.657037455</v>
      </c>
      <c r="BV28" s="11" t="n">
        <f aca="false">IF(BV$1&lt;Units!$P27,0,IF(AND(Units!$K27=0,BV$1=Units!$O27),Units!$R27,IF(AND(BV$1&gt;=Units!$Q27,MOD(BV$1-Units!$Q27,12)=0),IF(AND(Units!$L27=1,BV$1=Units!$Q27),IF(Units!$J27&lt;&gt;"",Units!$J27,Mkt!BV28),Inputs!$B$15*Mkt!BV28+(1-Inputs!$B$15)*MIN(Mkt!BV28,BU28*(1+Inputs!$B$18))),BU28)))</f>
        <v>2144.657037455</v>
      </c>
      <c r="BW28" s="11" t="n">
        <f aca="false">IF(BW$1&lt;Units!$P27,0,IF(AND(Units!$K27=0,BW$1=Units!$O27),Units!$R27,IF(AND(BW$1&gt;=Units!$Q27,MOD(BW$1-Units!$Q27,12)=0),IF(AND(Units!$L27=1,BW$1=Units!$Q27),IF(Units!$J27&lt;&gt;"",Units!$J27,Mkt!BW28),Inputs!$B$15*Mkt!BW28+(1-Inputs!$B$15)*MIN(Mkt!BW28,BV28*(1+Inputs!$B$18))),BV28)))</f>
        <v>2208.99674857865</v>
      </c>
      <c r="BX28" s="11" t="n">
        <f aca="false">IF(BX$1&lt;Units!$P27,0,IF(AND(Units!$K27=0,BX$1=Units!$O27),Units!$R27,IF(AND(BX$1&gt;=Units!$Q27,MOD(BX$1-Units!$Q27,12)=0),IF(AND(Units!$L27=1,BX$1=Units!$Q27),IF(Units!$J27&lt;&gt;"",Units!$J27,Mkt!BX28),Inputs!$B$15*Mkt!BX28+(1-Inputs!$B$15)*MIN(Mkt!BX28,BW28*(1+Inputs!$B$18))),BW28)))</f>
        <v>2208.99674857865</v>
      </c>
      <c r="BY28" s="11" t="n">
        <f aca="false">IF(BY$1&lt;Units!$P27,0,IF(AND(Units!$K27=0,BY$1=Units!$O27),Units!$R27,IF(AND(BY$1&gt;=Units!$Q27,MOD(BY$1-Units!$Q27,12)=0),IF(AND(Units!$L27=1,BY$1=Units!$Q27),IF(Units!$J27&lt;&gt;"",Units!$J27,Mkt!BY28),Inputs!$B$15*Mkt!BY28+(1-Inputs!$B$15)*MIN(Mkt!BY28,BX28*(1+Inputs!$B$18))),BX28)))</f>
        <v>2208.99674857865</v>
      </c>
      <c r="BZ28" s="11" t="n">
        <f aca="false">IF(BZ$1&lt;Units!$P27,0,IF(AND(Units!$K27=0,BZ$1=Units!$O27),Units!$R27,IF(AND(BZ$1&gt;=Units!$Q27,MOD(BZ$1-Units!$Q27,12)=0),IF(AND(Units!$L27=1,BZ$1=Units!$Q27),IF(Units!$J27&lt;&gt;"",Units!$J27,Mkt!BZ28),Inputs!$B$15*Mkt!BZ28+(1-Inputs!$B$15)*MIN(Mkt!BZ28,BY28*(1+Inputs!$B$18))),BY28)))</f>
        <v>2208.99674857865</v>
      </c>
      <c r="CA28" s="11" t="n">
        <f aca="false">IF(CA$1&lt;Units!$P27,0,IF(AND(Units!$K27=0,CA$1=Units!$O27),Units!$R27,IF(AND(CA$1&gt;=Units!$Q27,MOD(CA$1-Units!$Q27,12)=0),IF(AND(Units!$L27=1,CA$1=Units!$Q27),IF(Units!$J27&lt;&gt;"",Units!$J27,Mkt!CA28),Inputs!$B$15*Mkt!CA28+(1-Inputs!$B$15)*MIN(Mkt!CA28,BZ28*(1+Inputs!$B$18))),BZ28)))</f>
        <v>2208.99674857865</v>
      </c>
      <c r="CB28" s="11" t="n">
        <f aca="false">IF(CB$1&lt;Units!$P27,0,IF(AND(Units!$K27=0,CB$1=Units!$O27),Units!$R27,IF(AND(CB$1&gt;=Units!$Q27,MOD(CB$1-Units!$Q27,12)=0),IF(AND(Units!$L27=1,CB$1=Units!$Q27),IF(Units!$J27&lt;&gt;"",Units!$J27,Mkt!CB28),Inputs!$B$15*Mkt!CB28+(1-Inputs!$B$15)*MIN(Mkt!CB28,CA28*(1+Inputs!$B$18))),CA28)))</f>
        <v>2208.99674857865</v>
      </c>
      <c r="CC28" s="11" t="n">
        <f aca="false">IF(CC$1&lt;Units!$P27,0,IF(AND(Units!$K27=0,CC$1=Units!$O27),Units!$R27,IF(AND(CC$1&gt;=Units!$Q27,MOD(CC$1-Units!$Q27,12)=0),IF(AND(Units!$L27=1,CC$1=Units!$Q27),IF(Units!$J27&lt;&gt;"",Units!$J27,Mkt!CC28),Inputs!$B$15*Mkt!CC28+(1-Inputs!$B$15)*MIN(Mkt!CC28,CB28*(1+Inputs!$B$18))),CB28)))</f>
        <v>2208.99674857865</v>
      </c>
      <c r="CD28" s="11" t="n">
        <f aca="false">IF(CD$1&lt;Units!$P27,0,IF(AND(Units!$K27=0,CD$1=Units!$O27),Units!$R27,IF(AND(CD$1&gt;=Units!$Q27,MOD(CD$1-Units!$Q27,12)=0),IF(AND(Units!$L27=1,CD$1=Units!$Q27),IF(Units!$J27&lt;&gt;"",Units!$J27,Mkt!CD28),Inputs!$B$15*Mkt!CD28+(1-Inputs!$B$15)*MIN(Mkt!CD28,CC28*(1+Inputs!$B$18))),CC28)))</f>
        <v>2208.99674857865</v>
      </c>
      <c r="CE28" s="11" t="n">
        <f aca="false">IF(CE$1&lt;Units!$P27,0,IF(AND(Units!$K27=0,CE$1=Units!$O27),Units!$R27,IF(AND(CE$1&gt;=Units!$Q27,MOD(CE$1-Units!$Q27,12)=0),IF(AND(Units!$L27=1,CE$1=Units!$Q27),IF(Units!$J27&lt;&gt;"",Units!$J27,Mkt!CE28),Inputs!$B$15*Mkt!CE28+(1-Inputs!$B$15)*MIN(Mkt!CE28,CD28*(1+Inputs!$B$18))),CD28)))</f>
        <v>2208.99674857865</v>
      </c>
      <c r="CF28" s="11" t="n">
        <f aca="false">IF(CF$1&lt;Units!$P27,0,IF(AND(Units!$K27=0,CF$1=Units!$O27),Units!$R27,IF(AND(CF$1&gt;=Units!$Q27,MOD(CF$1-Units!$Q27,12)=0),IF(AND(Units!$L27=1,CF$1=Units!$Q27),IF(Units!$J27&lt;&gt;"",Units!$J27,Mkt!CF28),Inputs!$B$15*Mkt!CF28+(1-Inputs!$B$15)*MIN(Mkt!CF28,CE28*(1+Inputs!$B$18))),CE28)))</f>
        <v>2208.99674857865</v>
      </c>
      <c r="CG28" s="11" t="n">
        <f aca="false">IF(CG$1&lt;Units!$P27,0,IF(AND(Units!$K27=0,CG$1=Units!$O27),Units!$R27,IF(AND(CG$1&gt;=Units!$Q27,MOD(CG$1-Units!$Q27,12)=0),IF(AND(Units!$L27=1,CG$1=Units!$Q27),IF(Units!$J27&lt;&gt;"",Units!$J27,Mkt!CG28),Inputs!$B$15*Mkt!CG28+(1-Inputs!$B$15)*MIN(Mkt!CG28,CF28*(1+Inputs!$B$18))),CF28)))</f>
        <v>2208.99674857865</v>
      </c>
      <c r="CH28" s="11" t="n">
        <f aca="false">IF(CH$1&lt;Units!$P27,0,IF(AND(Units!$K27=0,CH$1=Units!$O27),Units!$R27,IF(AND(CH$1&gt;=Units!$Q27,MOD(CH$1-Units!$Q27,12)=0),IF(AND(Units!$L27=1,CH$1=Units!$Q27),IF(Units!$J27&lt;&gt;"",Units!$J27,Mkt!CH28),Inputs!$B$15*Mkt!CH28+(1-Inputs!$B$15)*MIN(Mkt!CH28,CG28*(1+Inputs!$B$18))),CG28)))</f>
        <v>2208.99674857865</v>
      </c>
      <c r="CI28" s="11" t="n">
        <f aca="false">IF(CI$1&lt;Units!$P27,0,IF(AND(Units!$K27=0,CI$1=Units!$O27),Units!$R27,IF(AND(CI$1&gt;=Units!$Q27,MOD(CI$1-Units!$Q27,12)=0),IF(AND(Units!$L27=1,CI$1=Units!$Q27),IF(Units!$J27&lt;&gt;"",Units!$J27,Mkt!CI28),Inputs!$B$15*Mkt!CI28+(1-Inputs!$B$15)*MIN(Mkt!CI28,CH28*(1+Inputs!$B$18))),CH28)))</f>
        <v>2275.26665103601</v>
      </c>
      <c r="CJ28" s="11" t="n">
        <f aca="false">IF(CJ$1&lt;Units!$P27,0,IF(AND(Units!$K27=0,CJ$1=Units!$O27),Units!$R27,IF(AND(CJ$1&gt;=Units!$Q27,MOD(CJ$1-Units!$Q27,12)=0),IF(AND(Units!$L27=1,CJ$1=Units!$Q27),IF(Units!$J27&lt;&gt;"",Units!$J27,Mkt!CJ28),Inputs!$B$15*Mkt!CJ28+(1-Inputs!$B$15)*MIN(Mkt!CJ28,CI28*(1+Inputs!$B$18))),CI28)))</f>
        <v>2275.26665103601</v>
      </c>
      <c r="CK28" s="11" t="n">
        <f aca="false">IF(CK$1&lt;Units!$P27,0,IF(AND(Units!$K27=0,CK$1=Units!$O27),Units!$R27,IF(AND(CK$1&gt;=Units!$Q27,MOD(CK$1-Units!$Q27,12)=0),IF(AND(Units!$L27=1,CK$1=Units!$Q27),IF(Units!$J27&lt;&gt;"",Units!$J27,Mkt!CK28),Inputs!$B$15*Mkt!CK28+(1-Inputs!$B$15)*MIN(Mkt!CK28,CJ28*(1+Inputs!$B$18))),CJ28)))</f>
        <v>2275.26665103601</v>
      </c>
      <c r="CL28" s="11" t="n">
        <f aca="false">IF(CL$1&lt;Units!$P27,0,IF(AND(Units!$K27=0,CL$1=Units!$O27),Units!$R27,IF(AND(CL$1&gt;=Units!$Q27,MOD(CL$1-Units!$Q27,12)=0),IF(AND(Units!$L27=1,CL$1=Units!$Q27),IF(Units!$J27&lt;&gt;"",Units!$J27,Mkt!CL28),Inputs!$B$15*Mkt!CL28+(1-Inputs!$B$15)*MIN(Mkt!CL28,CK28*(1+Inputs!$B$18))),CK28)))</f>
        <v>2275.26665103601</v>
      </c>
      <c r="CM28" s="11" t="n">
        <f aca="false">IF(CM$1&lt;Units!$P27,0,IF(AND(Units!$K27=0,CM$1=Units!$O27),Units!$R27,IF(AND(CM$1&gt;=Units!$Q27,MOD(CM$1-Units!$Q27,12)=0),IF(AND(Units!$L27=1,CM$1=Units!$Q27),IF(Units!$J27&lt;&gt;"",Units!$J27,Mkt!CM28),Inputs!$B$15*Mkt!CM28+(1-Inputs!$B$15)*MIN(Mkt!CM28,CL28*(1+Inputs!$B$18))),CL28)))</f>
        <v>2275.26665103601</v>
      </c>
      <c r="CN28" s="11" t="n">
        <f aca="false">IF(CN$1&lt;Units!$P27,0,IF(AND(Units!$K27=0,CN$1=Units!$O27),Units!$R27,IF(AND(CN$1&gt;=Units!$Q27,MOD(CN$1-Units!$Q27,12)=0),IF(AND(Units!$L27=1,CN$1=Units!$Q27),IF(Units!$J27&lt;&gt;"",Units!$J27,Mkt!CN28),Inputs!$B$15*Mkt!CN28+(1-Inputs!$B$15)*MIN(Mkt!CN28,CM28*(1+Inputs!$B$18))),CM28)))</f>
        <v>2275.26665103601</v>
      </c>
      <c r="CO28" s="11" t="n">
        <f aca="false">IF(CO$1&lt;Units!$P27,0,IF(AND(Units!$K27=0,CO$1=Units!$O27),Units!$R27,IF(AND(CO$1&gt;=Units!$Q27,MOD(CO$1-Units!$Q27,12)=0),IF(AND(Units!$L27=1,CO$1=Units!$Q27),IF(Units!$J27&lt;&gt;"",Units!$J27,Mkt!CO28),Inputs!$B$15*Mkt!CO28+(1-Inputs!$B$15)*MIN(Mkt!CO28,CN28*(1+Inputs!$B$18))),CN28)))</f>
        <v>2275.26665103601</v>
      </c>
      <c r="CP28" s="11" t="n">
        <f aca="false">IF(CP$1&lt;Units!$P27,0,IF(AND(Units!$K27=0,CP$1=Units!$O27),Units!$R27,IF(AND(CP$1&gt;=Units!$Q27,MOD(CP$1-Units!$Q27,12)=0),IF(AND(Units!$L27=1,CP$1=Units!$Q27),IF(Units!$J27&lt;&gt;"",Units!$J27,Mkt!CP28),Inputs!$B$15*Mkt!CP28+(1-Inputs!$B$15)*MIN(Mkt!CP28,CO28*(1+Inputs!$B$18))),CO28)))</f>
        <v>2275.26665103601</v>
      </c>
      <c r="CQ28" s="11" t="n">
        <f aca="false">IF(CQ$1&lt;Units!$P27,0,IF(AND(Units!$K27=0,CQ$1=Units!$O27),Units!$R27,IF(AND(CQ$1&gt;=Units!$Q27,MOD(CQ$1-Units!$Q27,12)=0),IF(AND(Units!$L27=1,CQ$1=Units!$Q27),IF(Units!$J27&lt;&gt;"",Units!$J27,Mkt!CQ28),Inputs!$B$15*Mkt!CQ28+(1-Inputs!$B$15)*MIN(Mkt!CQ28,CP28*(1+Inputs!$B$18))),CP28)))</f>
        <v>2275.26665103601</v>
      </c>
      <c r="CR28" s="11" t="n">
        <f aca="false">IF(CR$1&lt;Units!$P27,0,IF(AND(Units!$K27=0,CR$1=Units!$O27),Units!$R27,IF(AND(CR$1&gt;=Units!$Q27,MOD(CR$1-Units!$Q27,12)=0),IF(AND(Units!$L27=1,CR$1=Units!$Q27),IF(Units!$J27&lt;&gt;"",Units!$J27,Mkt!CR28),Inputs!$B$15*Mkt!CR28+(1-Inputs!$B$15)*MIN(Mkt!CR28,CQ28*(1+Inputs!$B$18))),CQ28)))</f>
        <v>2275.26665103601</v>
      </c>
      <c r="CS28" s="11" t="n">
        <f aca="false">IF(CS$1&lt;Units!$P27,0,IF(AND(Units!$K27=0,CS$1=Units!$O27),Units!$R27,IF(AND(CS$1&gt;=Units!$Q27,MOD(CS$1-Units!$Q27,12)=0),IF(AND(Units!$L27=1,CS$1=Units!$Q27),IF(Units!$J27&lt;&gt;"",Units!$J27,Mkt!CS28),Inputs!$B$15*Mkt!CS28+(1-Inputs!$B$15)*MIN(Mkt!CS28,CR28*(1+Inputs!$B$18))),CR28)))</f>
        <v>2275.26665103601</v>
      </c>
      <c r="CT28" s="11" t="n">
        <f aca="false">IF(CT$1&lt;Units!$P27,0,IF(AND(Units!$K27=0,CT$1=Units!$O27),Units!$R27,IF(AND(CT$1&gt;=Units!$Q27,MOD(CT$1-Units!$Q27,12)=0),IF(AND(Units!$L27=1,CT$1=Units!$Q27),IF(Units!$J27&lt;&gt;"",Units!$J27,Mkt!CT28),Inputs!$B$15*Mkt!CT28+(1-Inputs!$B$15)*MIN(Mkt!CT28,CS28*(1+Inputs!$B$18))),CS28)))</f>
        <v>2275.26665103601</v>
      </c>
      <c r="CU28" s="11" t="n">
        <f aca="false">IF(CU$1&lt;Units!$P27,0,IF(AND(Units!$K27=0,CU$1=Units!$O27),Units!$R27,IF(AND(CU$1&gt;=Units!$Q27,MOD(CU$1-Units!$Q27,12)=0),IF(AND(Units!$L27=1,CU$1=Units!$Q27),IF(Units!$J27&lt;&gt;"",Units!$J27,Mkt!CU28),Inputs!$B$15*Mkt!CU28+(1-Inputs!$B$15)*MIN(Mkt!CU28,CT28*(1+Inputs!$B$18))),CT28)))</f>
        <v>2343.52465056709</v>
      </c>
      <c r="CV28" s="11" t="n">
        <f aca="false">IF(CV$1&lt;Units!$P27,0,IF(AND(Units!$K27=0,CV$1=Units!$O27),Units!$R27,IF(AND(CV$1&gt;=Units!$Q27,MOD(CV$1-Units!$Q27,12)=0),IF(AND(Units!$L27=1,CV$1=Units!$Q27),IF(Units!$J27&lt;&gt;"",Units!$J27,Mkt!CV28),Inputs!$B$15*Mkt!CV28+(1-Inputs!$B$15)*MIN(Mkt!CV28,CU28*(1+Inputs!$B$18))),CU28)))</f>
        <v>2343.52465056709</v>
      </c>
      <c r="CW28" s="11" t="n">
        <f aca="false">IF(CW$1&lt;Units!$P27,0,IF(AND(Units!$K27=0,CW$1=Units!$O27),Units!$R27,IF(AND(CW$1&gt;=Units!$Q27,MOD(CW$1-Units!$Q27,12)=0),IF(AND(Units!$L27=1,CW$1=Units!$Q27),IF(Units!$J27&lt;&gt;"",Units!$J27,Mkt!CW28),Inputs!$B$15*Mkt!CW28+(1-Inputs!$B$15)*MIN(Mkt!CW28,CV28*(1+Inputs!$B$18))),CV28)))</f>
        <v>2343.52465056709</v>
      </c>
      <c r="CX28" s="11" t="n">
        <f aca="false">IF(CX$1&lt;Units!$P27,0,IF(AND(Units!$K27=0,CX$1=Units!$O27),Units!$R27,IF(AND(CX$1&gt;=Units!$Q27,MOD(CX$1-Units!$Q27,12)=0),IF(AND(Units!$L27=1,CX$1=Units!$Q27),IF(Units!$J27&lt;&gt;"",Units!$J27,Mkt!CX28),Inputs!$B$15*Mkt!CX28+(1-Inputs!$B$15)*MIN(Mkt!CX28,CW28*(1+Inputs!$B$18))),CW28)))</f>
        <v>2343.52465056709</v>
      </c>
      <c r="CY28" s="11" t="n">
        <f aca="false">IF(CY$1&lt;Units!$P27,0,IF(AND(Units!$K27=0,CY$1=Units!$O27),Units!$R27,IF(AND(CY$1&gt;=Units!$Q27,MOD(CY$1-Units!$Q27,12)=0),IF(AND(Units!$L27=1,CY$1=Units!$Q27),IF(Units!$J27&lt;&gt;"",Units!$J27,Mkt!CY28),Inputs!$B$15*Mkt!CY28+(1-Inputs!$B$15)*MIN(Mkt!CY28,CX28*(1+Inputs!$B$18))),CX28)))</f>
        <v>2343.52465056709</v>
      </c>
      <c r="CZ28" s="11" t="n">
        <f aca="false">IF(CZ$1&lt;Units!$P27,0,IF(AND(Units!$K27=0,CZ$1=Units!$O27),Units!$R27,IF(AND(CZ$1&gt;=Units!$Q27,MOD(CZ$1-Units!$Q27,12)=0),IF(AND(Units!$L27=1,CZ$1=Units!$Q27),IF(Units!$J27&lt;&gt;"",Units!$J27,Mkt!CZ28),Inputs!$B$15*Mkt!CZ28+(1-Inputs!$B$15)*MIN(Mkt!CZ28,CY28*(1+Inputs!$B$18))),CY28)))</f>
        <v>2343.52465056709</v>
      </c>
      <c r="DA28" s="11" t="n">
        <f aca="false">IF(DA$1&lt;Units!$P27,0,IF(AND(Units!$K27=0,DA$1=Units!$O27),Units!$R27,IF(AND(DA$1&gt;=Units!$Q27,MOD(DA$1-Units!$Q27,12)=0),IF(AND(Units!$L27=1,DA$1=Units!$Q27),IF(Units!$J27&lt;&gt;"",Units!$J27,Mkt!DA28),Inputs!$B$15*Mkt!DA28+(1-Inputs!$B$15)*MIN(Mkt!DA28,CZ28*(1+Inputs!$B$18))),CZ28)))</f>
        <v>2343.52465056709</v>
      </c>
      <c r="DB28" s="11" t="n">
        <f aca="false">IF(DB$1&lt;Units!$P27,0,IF(AND(Units!$K27=0,DB$1=Units!$O27),Units!$R27,IF(AND(DB$1&gt;=Units!$Q27,MOD(DB$1-Units!$Q27,12)=0),IF(AND(Units!$L27=1,DB$1=Units!$Q27),IF(Units!$J27&lt;&gt;"",Units!$J27,Mkt!DB28),Inputs!$B$15*Mkt!DB28+(1-Inputs!$B$15)*MIN(Mkt!DB28,DA28*(1+Inputs!$B$18))),DA28)))</f>
        <v>2343.52465056709</v>
      </c>
      <c r="DC28" s="11" t="n">
        <f aca="false">IF(DC$1&lt;Units!$P27,0,IF(AND(Units!$K27=0,DC$1=Units!$O27),Units!$R27,IF(AND(DC$1&gt;=Units!$Q27,MOD(DC$1-Units!$Q27,12)=0),IF(AND(Units!$L27=1,DC$1=Units!$Q27),IF(Units!$J27&lt;&gt;"",Units!$J27,Mkt!DC28),Inputs!$B$15*Mkt!DC28+(1-Inputs!$B$15)*MIN(Mkt!DC28,DB28*(1+Inputs!$B$18))),DB28)))</f>
        <v>2343.52465056709</v>
      </c>
      <c r="DD28" s="11" t="n">
        <f aca="false">IF(DD$1&lt;Units!$P27,0,IF(AND(Units!$K27=0,DD$1=Units!$O27),Units!$R27,IF(AND(DD$1&gt;=Units!$Q27,MOD(DD$1-Units!$Q27,12)=0),IF(AND(Units!$L27=1,DD$1=Units!$Q27),IF(Units!$J27&lt;&gt;"",Units!$J27,Mkt!DD28),Inputs!$B$15*Mkt!DD28+(1-Inputs!$B$15)*MIN(Mkt!DD28,DC28*(1+Inputs!$B$18))),DC28)))</f>
        <v>2343.52465056709</v>
      </c>
      <c r="DE28" s="11" t="n">
        <f aca="false">IF(DE$1&lt;Units!$P27,0,IF(AND(Units!$K27=0,DE$1=Units!$O27),Units!$R27,IF(AND(DE$1&gt;=Units!$Q27,MOD(DE$1-Units!$Q27,12)=0),IF(AND(Units!$L27=1,DE$1=Units!$Q27),IF(Units!$J27&lt;&gt;"",Units!$J27,Mkt!DE28),Inputs!$B$15*Mkt!DE28+(1-Inputs!$B$15)*MIN(Mkt!DE28,DD28*(1+Inputs!$B$18))),DD28)))</f>
        <v>2343.52465056709</v>
      </c>
      <c r="DF28" s="11" t="n">
        <f aca="false">IF(DF$1&lt;Units!$P27,0,IF(AND(Units!$K27=0,DF$1=Units!$O27),Units!$R27,IF(AND(DF$1&gt;=Units!$Q27,MOD(DF$1-Units!$Q27,12)=0),IF(AND(Units!$L27=1,DF$1=Units!$Q27),IF(Units!$J27&lt;&gt;"",Units!$J27,Mkt!DF28),Inputs!$B$15*Mkt!DF28+(1-Inputs!$B$15)*MIN(Mkt!DF28,DE28*(1+Inputs!$B$18))),DE28)))</f>
        <v>2343.52465056709</v>
      </c>
      <c r="DG28" s="11" t="n">
        <f aca="false">IF(DG$1&lt;Units!$P27,0,IF(AND(Units!$K27=0,DG$1=Units!$O27),Units!$R27,IF(AND(DG$1&gt;=Units!$Q27,MOD(DG$1-Units!$Q27,12)=0),IF(AND(Units!$L27=1,DG$1=Units!$Q27),IF(Units!$J27&lt;&gt;"",Units!$J27,Mkt!DG28),Inputs!$B$15*Mkt!DG28+(1-Inputs!$B$15)*MIN(Mkt!DG28,DF28*(1+Inputs!$B$18))),DF28)))</f>
        <v>2413.8303900841</v>
      </c>
      <c r="DH28" s="11" t="n">
        <f aca="false">IF(DH$1&lt;Units!$P27,0,IF(AND(Units!$K27=0,DH$1=Units!$O27),Units!$R27,IF(AND(DH$1&gt;=Units!$Q27,MOD(DH$1-Units!$Q27,12)=0),IF(AND(Units!$L27=1,DH$1=Units!$Q27),IF(Units!$J27&lt;&gt;"",Units!$J27,Mkt!DH28),Inputs!$B$15*Mkt!DH28+(1-Inputs!$B$15)*MIN(Mkt!DH28,DG28*(1+Inputs!$B$18))),DG28)))</f>
        <v>2413.8303900841</v>
      </c>
      <c r="DI28" s="11" t="n">
        <f aca="false">IF(DI$1&lt;Units!$P27,0,IF(AND(Units!$K27=0,DI$1=Units!$O27),Units!$R27,IF(AND(DI$1&gt;=Units!$Q27,MOD(DI$1-Units!$Q27,12)=0),IF(AND(Units!$L27=1,DI$1=Units!$Q27),IF(Units!$J27&lt;&gt;"",Units!$J27,Mkt!DI28),Inputs!$B$15*Mkt!DI28+(1-Inputs!$B$15)*MIN(Mkt!DI28,DH28*(1+Inputs!$B$18))),DH28)))</f>
        <v>2413.8303900841</v>
      </c>
      <c r="DJ28" s="11" t="n">
        <f aca="false">IF(DJ$1&lt;Units!$P27,0,IF(AND(Units!$K27=0,DJ$1=Units!$O27),Units!$R27,IF(AND(DJ$1&gt;=Units!$Q27,MOD(DJ$1-Units!$Q27,12)=0),IF(AND(Units!$L27=1,DJ$1=Units!$Q27),IF(Units!$J27&lt;&gt;"",Units!$J27,Mkt!DJ28),Inputs!$B$15*Mkt!DJ28+(1-Inputs!$B$15)*MIN(Mkt!DJ28,DI28*(1+Inputs!$B$18))),DI28)))</f>
        <v>2413.8303900841</v>
      </c>
      <c r="DK28" s="11" t="n">
        <f aca="false">IF(DK$1&lt;Units!$P27,0,IF(AND(Units!$K27=0,DK$1=Units!$O27),Units!$R27,IF(AND(DK$1&gt;=Units!$Q27,MOD(DK$1-Units!$Q27,12)=0),IF(AND(Units!$L27=1,DK$1=Units!$Q27),IF(Units!$J27&lt;&gt;"",Units!$J27,Mkt!DK28),Inputs!$B$15*Mkt!DK28+(1-Inputs!$B$15)*MIN(Mkt!DK28,DJ28*(1+Inputs!$B$18))),DJ28)))</f>
        <v>2413.8303900841</v>
      </c>
      <c r="DL28" s="11" t="n">
        <f aca="false">IF(DL$1&lt;Units!$P27,0,IF(AND(Units!$K27=0,DL$1=Units!$O27),Units!$R27,IF(AND(DL$1&gt;=Units!$Q27,MOD(DL$1-Units!$Q27,12)=0),IF(AND(Units!$L27=1,DL$1=Units!$Q27),IF(Units!$J27&lt;&gt;"",Units!$J27,Mkt!DL28),Inputs!$B$15*Mkt!DL28+(1-Inputs!$B$15)*MIN(Mkt!DL28,DK28*(1+Inputs!$B$18))),DK28)))</f>
        <v>2413.8303900841</v>
      </c>
      <c r="DM28" s="11" t="n">
        <f aca="false">IF(DM$1&lt;Units!$P27,0,IF(AND(Units!$K27=0,DM$1=Units!$O27),Units!$R27,IF(AND(DM$1&gt;=Units!$Q27,MOD(DM$1-Units!$Q27,12)=0),IF(AND(Units!$L27=1,DM$1=Units!$Q27),IF(Units!$J27&lt;&gt;"",Units!$J27,Mkt!DM28),Inputs!$B$15*Mkt!DM28+(1-Inputs!$B$15)*MIN(Mkt!DM28,DL28*(1+Inputs!$B$18))),DL28)))</f>
        <v>2413.8303900841</v>
      </c>
      <c r="DN28" s="11" t="n">
        <f aca="false">IF(DN$1&lt;Units!$P27,0,IF(AND(Units!$K27=0,DN$1=Units!$O27),Units!$R27,IF(AND(DN$1&gt;=Units!$Q27,MOD(DN$1-Units!$Q27,12)=0),IF(AND(Units!$L27=1,DN$1=Units!$Q27),IF(Units!$J27&lt;&gt;"",Units!$J27,Mkt!DN28),Inputs!$B$15*Mkt!DN28+(1-Inputs!$B$15)*MIN(Mkt!DN28,DM28*(1+Inputs!$B$18))),DM28)))</f>
        <v>2413.8303900841</v>
      </c>
      <c r="DO28" s="11" t="n">
        <f aca="false">IF(DO$1&lt;Units!$P27,0,IF(AND(Units!$K27=0,DO$1=Units!$O27),Units!$R27,IF(AND(DO$1&gt;=Units!$Q27,MOD(DO$1-Units!$Q27,12)=0),IF(AND(Units!$L27=1,DO$1=Units!$Q27),IF(Units!$J27&lt;&gt;"",Units!$J27,Mkt!DO28),Inputs!$B$15*Mkt!DO28+(1-Inputs!$B$15)*MIN(Mkt!DO28,DN28*(1+Inputs!$B$18))),DN28)))</f>
        <v>2413.8303900841</v>
      </c>
      <c r="DP28" s="11" t="n">
        <f aca="false">IF(DP$1&lt;Units!$P27,0,IF(AND(Units!$K27=0,DP$1=Units!$O27),Units!$R27,IF(AND(DP$1&gt;=Units!$Q27,MOD(DP$1-Units!$Q27,12)=0),IF(AND(Units!$L27=1,DP$1=Units!$Q27),IF(Units!$J27&lt;&gt;"",Units!$J27,Mkt!DP28),Inputs!$B$15*Mkt!DP28+(1-Inputs!$B$15)*MIN(Mkt!DP28,DO28*(1+Inputs!$B$18))),DO28)))</f>
        <v>2413.8303900841</v>
      </c>
      <c r="DQ28" s="11" t="n">
        <f aca="false">IF(DQ$1&lt;Units!$P27,0,IF(AND(Units!$K27=0,DQ$1=Units!$O27),Units!$R27,IF(AND(DQ$1&gt;=Units!$Q27,MOD(DQ$1-Units!$Q27,12)=0),IF(AND(Units!$L27=1,DQ$1=Units!$Q27),IF(Units!$J27&lt;&gt;"",Units!$J27,Mkt!DQ28),Inputs!$B$15*Mkt!DQ28+(1-Inputs!$B$15)*MIN(Mkt!DQ28,DP28*(1+Inputs!$B$18))),DP28)))</f>
        <v>2413.8303900841</v>
      </c>
      <c r="DR28" s="11" t="n">
        <f aca="false">IF(DR$1&lt;Units!$P27,0,IF(AND(Units!$K27=0,DR$1=Units!$O27),Units!$R27,IF(AND(DR$1&gt;=Units!$Q27,MOD(DR$1-Units!$Q27,12)=0),IF(AND(Units!$L27=1,DR$1=Units!$Q27),IF(Units!$J27&lt;&gt;"",Units!$J27,Mkt!DR28),Inputs!$B$15*Mkt!DR28+(1-Inputs!$B$15)*MIN(Mkt!DR28,DQ28*(1+Inputs!$B$18))),DQ28)))</f>
        <v>2413.8303900841</v>
      </c>
      <c r="DS28" s="11" t="n">
        <f aca="false">IF(DS$1&lt;Units!$P27,0,IF(AND(Units!$K27=0,DS$1=Units!$O27),Units!$R27,IF(AND(DS$1&gt;=Units!$Q27,MOD(DS$1-Units!$Q27,12)=0),IF(AND(Units!$L27=1,DS$1=Units!$Q27),IF(Units!$J27&lt;&gt;"",Units!$J27,Mkt!DS28),Inputs!$B$15*Mkt!DS28+(1-Inputs!$B$15)*MIN(Mkt!DS28,DR28*(1+Inputs!$B$18))),DR28)))</f>
        <v>2486.24530178663</v>
      </c>
      <c r="DT28" s="11" t="n">
        <f aca="false">IF(DT$1&lt;Units!$P27,0,IF(AND(Units!$K27=0,DT$1=Units!$O27),Units!$R27,IF(AND(DT$1&gt;=Units!$Q27,MOD(DT$1-Units!$Q27,12)=0),IF(AND(Units!$L27=1,DT$1=Units!$Q27),IF(Units!$J27&lt;&gt;"",Units!$J27,Mkt!DT28),Inputs!$B$15*Mkt!DT28+(1-Inputs!$B$15)*MIN(Mkt!DT28,DS28*(1+Inputs!$B$18))),DS28)))</f>
        <v>2486.24530178663</v>
      </c>
      <c r="DU28" s="11" t="n">
        <f aca="false">IF(DU$1&lt;Units!$P27,0,IF(AND(Units!$K27=0,DU$1=Units!$O27),Units!$R27,IF(AND(DU$1&gt;=Units!$Q27,MOD(DU$1-Units!$Q27,12)=0),IF(AND(Units!$L27=1,DU$1=Units!$Q27),IF(Units!$J27&lt;&gt;"",Units!$J27,Mkt!DU28),Inputs!$B$15*Mkt!DU28+(1-Inputs!$B$15)*MIN(Mkt!DU28,DT28*(1+Inputs!$B$18))),DT28)))</f>
        <v>2486.24530178663</v>
      </c>
      <c r="DV28" s="11" t="n">
        <f aca="false">IF(DV$1&lt;Units!$P27,0,IF(AND(Units!$K27=0,DV$1=Units!$O27),Units!$R27,IF(AND(DV$1&gt;=Units!$Q27,MOD(DV$1-Units!$Q27,12)=0),IF(AND(Units!$L27=1,DV$1=Units!$Q27),IF(Units!$J27&lt;&gt;"",Units!$J27,Mkt!DV28),Inputs!$B$15*Mkt!DV28+(1-Inputs!$B$15)*MIN(Mkt!DV28,DU28*(1+Inputs!$B$18))),DU28)))</f>
        <v>2486.24530178663</v>
      </c>
      <c r="DW28" s="11" t="n">
        <f aca="false">IF(DW$1&lt;Units!$P27,0,IF(AND(Units!$K27=0,DW$1=Units!$O27),Units!$R27,IF(AND(DW$1&gt;=Units!$Q27,MOD(DW$1-Units!$Q27,12)=0),IF(AND(Units!$L27=1,DW$1=Units!$Q27),IF(Units!$J27&lt;&gt;"",Units!$J27,Mkt!DW28),Inputs!$B$15*Mkt!DW28+(1-Inputs!$B$15)*MIN(Mkt!DW28,DV28*(1+Inputs!$B$18))),DV28)))</f>
        <v>2486.24530178663</v>
      </c>
      <c r="DX28" s="11" t="n">
        <f aca="false">IF(DX$1&lt;Units!$P27,0,IF(AND(Units!$K27=0,DX$1=Units!$O27),Units!$R27,IF(AND(DX$1&gt;=Units!$Q27,MOD(DX$1-Units!$Q27,12)=0),IF(AND(Units!$L27=1,DX$1=Units!$Q27),IF(Units!$J27&lt;&gt;"",Units!$J27,Mkt!DX28),Inputs!$B$15*Mkt!DX28+(1-Inputs!$B$15)*MIN(Mkt!DX28,DW28*(1+Inputs!$B$18))),DW28)))</f>
        <v>2486.24530178663</v>
      </c>
      <c r="DY28" s="11" t="n">
        <f aca="false">IF(DY$1&lt;Units!$P27,0,IF(AND(Units!$K27=0,DY$1=Units!$O27),Units!$R27,IF(AND(DY$1&gt;=Units!$Q27,MOD(DY$1-Units!$Q27,12)=0),IF(AND(Units!$L27=1,DY$1=Units!$Q27),IF(Units!$J27&lt;&gt;"",Units!$J27,Mkt!DY28),Inputs!$B$15*Mkt!DY28+(1-Inputs!$B$15)*MIN(Mkt!DY28,DX28*(1+Inputs!$B$18))),DX28)))</f>
        <v>2486.24530178663</v>
      </c>
      <c r="DZ28" s="11" t="n">
        <f aca="false">IF(DZ$1&lt;Units!$P27,0,IF(AND(Units!$K27=0,DZ$1=Units!$O27),Units!$R27,IF(AND(DZ$1&gt;=Units!$Q27,MOD(DZ$1-Units!$Q27,12)=0),IF(AND(Units!$L27=1,DZ$1=Units!$Q27),IF(Units!$J27&lt;&gt;"",Units!$J27,Mkt!DZ28),Inputs!$B$15*Mkt!DZ28+(1-Inputs!$B$15)*MIN(Mkt!DZ28,DY28*(1+Inputs!$B$18))),DY28)))</f>
        <v>2486.24530178663</v>
      </c>
      <c r="EA28" s="11" t="n">
        <f aca="false">IF(EA$1&lt;Units!$P27,0,IF(AND(Units!$K27=0,EA$1=Units!$O27),Units!$R27,IF(AND(EA$1&gt;=Units!$Q27,MOD(EA$1-Units!$Q27,12)=0),IF(AND(Units!$L27=1,EA$1=Units!$Q27),IF(Units!$J27&lt;&gt;"",Units!$J27,Mkt!EA28),Inputs!$B$15*Mkt!EA28+(1-Inputs!$B$15)*MIN(Mkt!EA28,DZ28*(1+Inputs!$B$18))),DZ28)))</f>
        <v>2486.24530178663</v>
      </c>
      <c r="EB28" s="11" t="n">
        <f aca="false">IF(EB$1&lt;Units!$P27,0,IF(AND(Units!$K27=0,EB$1=Units!$O27),Units!$R27,IF(AND(EB$1&gt;=Units!$Q27,MOD(EB$1-Units!$Q27,12)=0),IF(AND(Units!$L27=1,EB$1=Units!$Q27),IF(Units!$J27&lt;&gt;"",Units!$J27,Mkt!EB28),Inputs!$B$15*Mkt!EB28+(1-Inputs!$B$15)*MIN(Mkt!EB28,EA28*(1+Inputs!$B$18))),EA28)))</f>
        <v>2486.24530178663</v>
      </c>
      <c r="EC28" s="11" t="n">
        <f aca="false">IF(EC$1&lt;Units!$P27,0,IF(AND(Units!$K27=0,EC$1=Units!$O27),Units!$R27,IF(AND(EC$1&gt;=Units!$Q27,MOD(EC$1-Units!$Q27,12)=0),IF(AND(Units!$L27=1,EC$1=Units!$Q27),IF(Units!$J27&lt;&gt;"",Units!$J27,Mkt!EC28),Inputs!$B$15*Mkt!EC28+(1-Inputs!$B$15)*MIN(Mkt!EC28,EB28*(1+Inputs!$B$18))),EB28)))</f>
        <v>2486.24530178663</v>
      </c>
      <c r="ED28" s="11" t="n">
        <f aca="false">IF(ED$1&lt;Units!$P27,0,IF(AND(Units!$K27=0,ED$1=Units!$O27),Units!$R27,IF(AND(ED$1&gt;=Units!$Q27,MOD(ED$1-Units!$Q27,12)=0),IF(AND(Units!$L27=1,ED$1=Units!$Q27),IF(Units!$J27&lt;&gt;"",Units!$J27,Mkt!ED28),Inputs!$B$15*Mkt!ED28+(1-Inputs!$B$15)*MIN(Mkt!ED28,EC28*(1+Inputs!$B$18))),EC28)))</f>
        <v>2486.24530178663</v>
      </c>
    </row>
    <row r="29" customFormat="false" ht="15" hidden="false" customHeight="false" outlineLevel="0" collapsed="false">
      <c r="A29" s="22" t="n">
        <f aca="false">Units!A28</f>
        <v>127</v>
      </c>
      <c r="B29" s="24" t="n">
        <f aca="false">IF(Units!K28=1,Units!F28,0)</f>
        <v>1855</v>
      </c>
      <c r="C29" s="11" t="n">
        <f aca="false">IF(C$1&lt;Units!$P28,0,IF(AND(Units!$K28=0,C$1=Units!$O28),Units!$R28,IF(AND(C$1&gt;=Units!$Q28,MOD(C$1-Units!$Q28,12)=0),IF(AND(Units!$L28=1,C$1=Units!$Q28),IF(Units!$J28&lt;&gt;"",Units!$J28,Mkt!C29),Inputs!$B$15*Mkt!C29+(1-Inputs!$B$15)*MIN(Mkt!C29,B29*(1+Inputs!$B$18))),B29)))</f>
        <v>1855</v>
      </c>
      <c r="D29" s="11" t="n">
        <f aca="false">IF(D$1&lt;Units!$P28,0,IF(AND(Units!$K28=0,D$1=Units!$O28),Units!$R28,IF(AND(D$1&gt;=Units!$Q28,MOD(D$1-Units!$Q28,12)=0),IF(AND(Units!$L28=1,D$1=Units!$Q28),IF(Units!$J28&lt;&gt;"",Units!$J28,Mkt!D29),Inputs!$B$15*Mkt!D29+(1-Inputs!$B$15)*MIN(Mkt!D29,C29*(1+Inputs!$B$18))),C29)))</f>
        <v>1855</v>
      </c>
      <c r="E29" s="11" t="n">
        <f aca="false">IF(E$1&lt;Units!$P28,0,IF(AND(Units!$K28=0,E$1=Units!$O28),Units!$R28,IF(AND(E$1&gt;=Units!$Q28,MOD(E$1-Units!$Q28,12)=0),IF(AND(Units!$L28=1,E$1=Units!$Q28),IF(Units!$J28&lt;&gt;"",Units!$J28,Mkt!E29),Inputs!$B$15*Mkt!E29+(1-Inputs!$B$15)*MIN(Mkt!E29,D29*(1+Inputs!$B$18))),D29)))</f>
        <v>1855</v>
      </c>
      <c r="F29" s="11" t="n">
        <f aca="false">IF(F$1&lt;Units!$P28,0,IF(AND(Units!$K28=0,F$1=Units!$O28),Units!$R28,IF(AND(F$1&gt;=Units!$Q28,MOD(F$1-Units!$Q28,12)=0),IF(AND(Units!$L28=1,F$1=Units!$Q28),IF(Units!$J28&lt;&gt;"",Units!$J28,Mkt!F29),Inputs!$B$15*Mkt!F29+(1-Inputs!$B$15)*MIN(Mkt!F29,E29*(1+Inputs!$B$18))),E29)))</f>
        <v>1850</v>
      </c>
      <c r="G29" s="11" t="n">
        <f aca="false">IF(G$1&lt;Units!$P28,0,IF(AND(Units!$K28=0,G$1=Units!$O28),Units!$R28,IF(AND(G$1&gt;=Units!$Q28,MOD(G$1-Units!$Q28,12)=0),IF(AND(Units!$L28=1,G$1=Units!$Q28),IF(Units!$J28&lt;&gt;"",Units!$J28,Mkt!G29),Inputs!$B$15*Mkt!G29+(1-Inputs!$B$15)*MIN(Mkt!G29,F29*(1+Inputs!$B$18))),F29)))</f>
        <v>1850</v>
      </c>
      <c r="H29" s="11" t="n">
        <f aca="false">IF(H$1&lt;Units!$P28,0,IF(AND(Units!$K28=0,H$1=Units!$O28),Units!$R28,IF(AND(H$1&gt;=Units!$Q28,MOD(H$1-Units!$Q28,12)=0),IF(AND(Units!$L28=1,H$1=Units!$Q28),IF(Units!$J28&lt;&gt;"",Units!$J28,Mkt!H29),Inputs!$B$15*Mkt!H29+(1-Inputs!$B$15)*MIN(Mkt!H29,G29*(1+Inputs!$B$18))),G29)))</f>
        <v>1850</v>
      </c>
      <c r="I29" s="11" t="n">
        <f aca="false">IF(I$1&lt;Units!$P28,0,IF(AND(Units!$K28=0,I$1=Units!$O28),Units!$R28,IF(AND(I$1&gt;=Units!$Q28,MOD(I$1-Units!$Q28,12)=0),IF(AND(Units!$L28=1,I$1=Units!$Q28),IF(Units!$J28&lt;&gt;"",Units!$J28,Mkt!I29),Inputs!$B$15*Mkt!I29+(1-Inputs!$B$15)*MIN(Mkt!I29,H29*(1+Inputs!$B$18))),H29)))</f>
        <v>1850</v>
      </c>
      <c r="J29" s="11" t="n">
        <f aca="false">IF(J$1&lt;Units!$P28,0,IF(AND(Units!$K28=0,J$1=Units!$O28),Units!$R28,IF(AND(J$1&gt;=Units!$Q28,MOD(J$1-Units!$Q28,12)=0),IF(AND(Units!$L28=1,J$1=Units!$Q28),IF(Units!$J28&lt;&gt;"",Units!$J28,Mkt!J29),Inputs!$B$15*Mkt!J29+(1-Inputs!$B$15)*MIN(Mkt!J29,I29*(1+Inputs!$B$18))),I29)))</f>
        <v>1850</v>
      </c>
      <c r="K29" s="11" t="n">
        <f aca="false">IF(K$1&lt;Units!$P28,0,IF(AND(Units!$K28=0,K$1=Units!$O28),Units!$R28,IF(AND(K$1&gt;=Units!$Q28,MOD(K$1-Units!$Q28,12)=0),IF(AND(Units!$L28=1,K$1=Units!$Q28),IF(Units!$J28&lt;&gt;"",Units!$J28,Mkt!K29),Inputs!$B$15*Mkt!K29+(1-Inputs!$B$15)*MIN(Mkt!K29,J29*(1+Inputs!$B$18))),J29)))</f>
        <v>1850</v>
      </c>
      <c r="L29" s="11" t="n">
        <f aca="false">IF(L$1&lt;Units!$P28,0,IF(AND(Units!$K28=0,L$1=Units!$O28),Units!$R28,IF(AND(L$1&gt;=Units!$Q28,MOD(L$1-Units!$Q28,12)=0),IF(AND(Units!$L28=1,L$1=Units!$Q28),IF(Units!$J28&lt;&gt;"",Units!$J28,Mkt!L29),Inputs!$B$15*Mkt!L29+(1-Inputs!$B$15)*MIN(Mkt!L29,K29*(1+Inputs!$B$18))),K29)))</f>
        <v>1850</v>
      </c>
      <c r="M29" s="11" t="n">
        <f aca="false">IF(M$1&lt;Units!$P28,0,IF(AND(Units!$K28=0,M$1=Units!$O28),Units!$R28,IF(AND(M$1&gt;=Units!$Q28,MOD(M$1-Units!$Q28,12)=0),IF(AND(Units!$L28=1,M$1=Units!$Q28),IF(Units!$J28&lt;&gt;"",Units!$J28,Mkt!M29),Inputs!$B$15*Mkt!M29+(1-Inputs!$B$15)*MIN(Mkt!M29,L29*(1+Inputs!$B$18))),L29)))</f>
        <v>1850</v>
      </c>
      <c r="N29" s="11" t="n">
        <f aca="false">IF(N$1&lt;Units!$P28,0,IF(AND(Units!$K28=0,N$1=Units!$O28),Units!$R28,IF(AND(N$1&gt;=Units!$Q28,MOD(N$1-Units!$Q28,12)=0),IF(AND(Units!$L28=1,N$1=Units!$Q28),IF(Units!$J28&lt;&gt;"",Units!$J28,Mkt!N29),Inputs!$B$15*Mkt!N29+(1-Inputs!$B$15)*MIN(Mkt!N29,M29*(1+Inputs!$B$18))),M29)))</f>
        <v>1850</v>
      </c>
      <c r="O29" s="11" t="n">
        <f aca="false">IF(O$1&lt;Units!$P28,0,IF(AND(Units!$K28=0,O$1=Units!$O28),Units!$R28,IF(AND(O$1&gt;=Units!$Q28,MOD(O$1-Units!$Q28,12)=0),IF(AND(Units!$L28=1,O$1=Units!$Q28),IF(Units!$J28&lt;&gt;"",Units!$J28,Mkt!O29),Inputs!$B$15*Mkt!O29+(1-Inputs!$B$15)*MIN(Mkt!O29,N29*(1+Inputs!$B$18))),N29)))</f>
        <v>1850</v>
      </c>
      <c r="P29" s="11" t="n">
        <f aca="false">IF(P$1&lt;Units!$P28,0,IF(AND(Units!$K28=0,P$1=Units!$O28),Units!$R28,IF(AND(P$1&gt;=Units!$Q28,MOD(P$1-Units!$Q28,12)=0),IF(AND(Units!$L28=1,P$1=Units!$Q28),IF(Units!$J28&lt;&gt;"",Units!$J28,Mkt!P29),Inputs!$B$15*Mkt!P29+(1-Inputs!$B$15)*MIN(Mkt!P29,O29*(1+Inputs!$B$18))),O29)))</f>
        <v>1850</v>
      </c>
      <c r="Q29" s="11" t="n">
        <f aca="false">IF(Q$1&lt;Units!$P28,0,IF(AND(Units!$K28=0,Q$1=Units!$O28),Units!$R28,IF(AND(Q$1&gt;=Units!$Q28,MOD(Q$1-Units!$Q28,12)=0),IF(AND(Units!$L28=1,Q$1=Units!$Q28),IF(Units!$J28&lt;&gt;"",Units!$J28,Mkt!Q29),Inputs!$B$15*Mkt!Q29+(1-Inputs!$B$15)*MIN(Mkt!Q29,P29*(1+Inputs!$B$18))),P29)))</f>
        <v>1850</v>
      </c>
      <c r="R29" s="11" t="n">
        <f aca="false">IF(R$1&lt;Units!$P28,0,IF(AND(Units!$K28=0,R$1=Units!$O28),Units!$R28,IF(AND(R$1&gt;=Units!$Q28,MOD(R$1-Units!$Q28,12)=0),IF(AND(Units!$L28=1,R$1=Units!$Q28),IF(Units!$J28&lt;&gt;"",Units!$J28,Mkt!R29),Inputs!$B$15*Mkt!R29+(1-Inputs!$B$15)*MIN(Mkt!R29,Q29*(1+Inputs!$B$18))),Q29)))</f>
        <v>1905.5</v>
      </c>
      <c r="S29" s="11" t="n">
        <f aca="false">IF(S$1&lt;Units!$P28,0,IF(AND(Units!$K28=0,S$1=Units!$O28),Units!$R28,IF(AND(S$1&gt;=Units!$Q28,MOD(S$1-Units!$Q28,12)=0),IF(AND(Units!$L28=1,S$1=Units!$Q28),IF(Units!$J28&lt;&gt;"",Units!$J28,Mkt!S29),Inputs!$B$15*Mkt!S29+(1-Inputs!$B$15)*MIN(Mkt!S29,R29*(1+Inputs!$B$18))),R29)))</f>
        <v>1905.5</v>
      </c>
      <c r="T29" s="11" t="n">
        <f aca="false">IF(T$1&lt;Units!$P28,0,IF(AND(Units!$K28=0,T$1=Units!$O28),Units!$R28,IF(AND(T$1&gt;=Units!$Q28,MOD(T$1-Units!$Q28,12)=0),IF(AND(Units!$L28=1,T$1=Units!$Q28),IF(Units!$J28&lt;&gt;"",Units!$J28,Mkt!T29),Inputs!$B$15*Mkt!T29+(1-Inputs!$B$15)*MIN(Mkt!T29,S29*(1+Inputs!$B$18))),S29)))</f>
        <v>1905.5</v>
      </c>
      <c r="U29" s="11" t="n">
        <f aca="false">IF(U$1&lt;Units!$P28,0,IF(AND(Units!$K28=0,U$1=Units!$O28),Units!$R28,IF(AND(U$1&gt;=Units!$Q28,MOD(U$1-Units!$Q28,12)=0),IF(AND(Units!$L28=1,U$1=Units!$Q28),IF(Units!$J28&lt;&gt;"",Units!$J28,Mkt!U29),Inputs!$B$15*Mkt!U29+(1-Inputs!$B$15)*MIN(Mkt!U29,T29*(1+Inputs!$B$18))),T29)))</f>
        <v>1905.5</v>
      </c>
      <c r="V29" s="11" t="n">
        <f aca="false">IF(V$1&lt;Units!$P28,0,IF(AND(Units!$K28=0,V$1=Units!$O28),Units!$R28,IF(AND(V$1&gt;=Units!$Q28,MOD(V$1-Units!$Q28,12)=0),IF(AND(Units!$L28=1,V$1=Units!$Q28),IF(Units!$J28&lt;&gt;"",Units!$J28,Mkt!V29),Inputs!$B$15*Mkt!V29+(1-Inputs!$B$15)*MIN(Mkt!V29,U29*(1+Inputs!$B$18))),U29)))</f>
        <v>1905.5</v>
      </c>
      <c r="W29" s="11" t="n">
        <f aca="false">IF(W$1&lt;Units!$P28,0,IF(AND(Units!$K28=0,W$1=Units!$O28),Units!$R28,IF(AND(W$1&gt;=Units!$Q28,MOD(W$1-Units!$Q28,12)=0),IF(AND(Units!$L28=1,W$1=Units!$Q28),IF(Units!$J28&lt;&gt;"",Units!$J28,Mkt!W29),Inputs!$B$15*Mkt!W29+(1-Inputs!$B$15)*MIN(Mkt!W29,V29*(1+Inputs!$B$18))),V29)))</f>
        <v>1905.5</v>
      </c>
      <c r="X29" s="11" t="n">
        <f aca="false">IF(X$1&lt;Units!$P28,0,IF(AND(Units!$K28=0,X$1=Units!$O28),Units!$R28,IF(AND(X$1&gt;=Units!$Q28,MOD(X$1-Units!$Q28,12)=0),IF(AND(Units!$L28=1,X$1=Units!$Q28),IF(Units!$J28&lt;&gt;"",Units!$J28,Mkt!X29),Inputs!$B$15*Mkt!X29+(1-Inputs!$B$15)*MIN(Mkt!X29,W29*(1+Inputs!$B$18))),W29)))</f>
        <v>1905.5</v>
      </c>
      <c r="Y29" s="11" t="n">
        <f aca="false">IF(Y$1&lt;Units!$P28,0,IF(AND(Units!$K28=0,Y$1=Units!$O28),Units!$R28,IF(AND(Y$1&gt;=Units!$Q28,MOD(Y$1-Units!$Q28,12)=0),IF(AND(Units!$L28=1,Y$1=Units!$Q28),IF(Units!$J28&lt;&gt;"",Units!$J28,Mkt!Y29),Inputs!$B$15*Mkt!Y29+(1-Inputs!$B$15)*MIN(Mkt!Y29,X29*(1+Inputs!$B$18))),X29)))</f>
        <v>1905.5</v>
      </c>
      <c r="Z29" s="11" t="n">
        <f aca="false">IF(Z$1&lt;Units!$P28,0,IF(AND(Units!$K28=0,Z$1=Units!$O28),Units!$R28,IF(AND(Z$1&gt;=Units!$Q28,MOD(Z$1-Units!$Q28,12)=0),IF(AND(Units!$L28=1,Z$1=Units!$Q28),IF(Units!$J28&lt;&gt;"",Units!$J28,Mkt!Z29),Inputs!$B$15*Mkt!Z29+(1-Inputs!$B$15)*MIN(Mkt!Z29,Y29*(1+Inputs!$B$18))),Y29)))</f>
        <v>1905.5</v>
      </c>
      <c r="AA29" s="11" t="n">
        <f aca="false">IF(AA$1&lt;Units!$P28,0,IF(AND(Units!$K28=0,AA$1=Units!$O28),Units!$R28,IF(AND(AA$1&gt;=Units!$Q28,MOD(AA$1-Units!$Q28,12)=0),IF(AND(Units!$L28=1,AA$1=Units!$Q28),IF(Units!$J28&lt;&gt;"",Units!$J28,Mkt!AA29),Inputs!$B$15*Mkt!AA29+(1-Inputs!$B$15)*MIN(Mkt!AA29,Z29*(1+Inputs!$B$18))),Z29)))</f>
        <v>1905.5</v>
      </c>
      <c r="AB29" s="11" t="n">
        <f aca="false">IF(AB$1&lt;Units!$P28,0,IF(AND(Units!$K28=0,AB$1=Units!$O28),Units!$R28,IF(AND(AB$1&gt;=Units!$Q28,MOD(AB$1-Units!$Q28,12)=0),IF(AND(Units!$L28=1,AB$1=Units!$Q28),IF(Units!$J28&lt;&gt;"",Units!$J28,Mkt!AB29),Inputs!$B$15*Mkt!AB29+(1-Inputs!$B$15)*MIN(Mkt!AB29,AA29*(1+Inputs!$B$18))),AA29)))</f>
        <v>1905.5</v>
      </c>
      <c r="AC29" s="11" t="n">
        <f aca="false">IF(AC$1&lt;Units!$P28,0,IF(AND(Units!$K28=0,AC$1=Units!$O28),Units!$R28,IF(AND(AC$1&gt;=Units!$Q28,MOD(AC$1-Units!$Q28,12)=0),IF(AND(Units!$L28=1,AC$1=Units!$Q28),IF(Units!$J28&lt;&gt;"",Units!$J28,Mkt!AC29),Inputs!$B$15*Mkt!AC29+(1-Inputs!$B$15)*MIN(Mkt!AC29,AB29*(1+Inputs!$B$18))),AB29)))</f>
        <v>1905.5</v>
      </c>
      <c r="AD29" s="11" t="n">
        <f aca="false">IF(AD$1&lt;Units!$P28,0,IF(AND(Units!$K28=0,AD$1=Units!$O28),Units!$R28,IF(AND(AD$1&gt;=Units!$Q28,MOD(AD$1-Units!$Q28,12)=0),IF(AND(Units!$L28=1,AD$1=Units!$Q28),IF(Units!$J28&lt;&gt;"",Units!$J28,Mkt!AD29),Inputs!$B$15*Mkt!AD29+(1-Inputs!$B$15)*MIN(Mkt!AD29,AC29*(1+Inputs!$B$18))),AC29)))</f>
        <v>1962.665</v>
      </c>
      <c r="AE29" s="11" t="n">
        <f aca="false">IF(AE$1&lt;Units!$P28,0,IF(AND(Units!$K28=0,AE$1=Units!$O28),Units!$R28,IF(AND(AE$1&gt;=Units!$Q28,MOD(AE$1-Units!$Q28,12)=0),IF(AND(Units!$L28=1,AE$1=Units!$Q28),IF(Units!$J28&lt;&gt;"",Units!$J28,Mkt!AE29),Inputs!$B$15*Mkt!AE29+(1-Inputs!$B$15)*MIN(Mkt!AE29,AD29*(1+Inputs!$B$18))),AD29)))</f>
        <v>1962.665</v>
      </c>
      <c r="AF29" s="11" t="n">
        <f aca="false">IF(AF$1&lt;Units!$P28,0,IF(AND(Units!$K28=0,AF$1=Units!$O28),Units!$R28,IF(AND(AF$1&gt;=Units!$Q28,MOD(AF$1-Units!$Q28,12)=0),IF(AND(Units!$L28=1,AF$1=Units!$Q28),IF(Units!$J28&lt;&gt;"",Units!$J28,Mkt!AF29),Inputs!$B$15*Mkt!AF29+(1-Inputs!$B$15)*MIN(Mkt!AF29,AE29*(1+Inputs!$B$18))),AE29)))</f>
        <v>1962.665</v>
      </c>
      <c r="AG29" s="11" t="n">
        <f aca="false">IF(AG$1&lt;Units!$P28,0,IF(AND(Units!$K28=0,AG$1=Units!$O28),Units!$R28,IF(AND(AG$1&gt;=Units!$Q28,MOD(AG$1-Units!$Q28,12)=0),IF(AND(Units!$L28=1,AG$1=Units!$Q28),IF(Units!$J28&lt;&gt;"",Units!$J28,Mkt!AG29),Inputs!$B$15*Mkt!AG29+(1-Inputs!$B$15)*MIN(Mkt!AG29,AF29*(1+Inputs!$B$18))),AF29)))</f>
        <v>1962.665</v>
      </c>
      <c r="AH29" s="11" t="n">
        <f aca="false">IF(AH$1&lt;Units!$P28,0,IF(AND(Units!$K28=0,AH$1=Units!$O28),Units!$R28,IF(AND(AH$1&gt;=Units!$Q28,MOD(AH$1-Units!$Q28,12)=0),IF(AND(Units!$L28=1,AH$1=Units!$Q28),IF(Units!$J28&lt;&gt;"",Units!$J28,Mkt!AH29),Inputs!$B$15*Mkt!AH29+(1-Inputs!$B$15)*MIN(Mkt!AH29,AG29*(1+Inputs!$B$18))),AG29)))</f>
        <v>1962.665</v>
      </c>
      <c r="AI29" s="11" t="n">
        <f aca="false">IF(AI$1&lt;Units!$P28,0,IF(AND(Units!$K28=0,AI$1=Units!$O28),Units!$R28,IF(AND(AI$1&gt;=Units!$Q28,MOD(AI$1-Units!$Q28,12)=0),IF(AND(Units!$L28=1,AI$1=Units!$Q28),IF(Units!$J28&lt;&gt;"",Units!$J28,Mkt!AI29),Inputs!$B$15*Mkt!AI29+(1-Inputs!$B$15)*MIN(Mkt!AI29,AH29*(1+Inputs!$B$18))),AH29)))</f>
        <v>1962.665</v>
      </c>
      <c r="AJ29" s="11" t="n">
        <f aca="false">IF(AJ$1&lt;Units!$P28,0,IF(AND(Units!$K28=0,AJ$1=Units!$O28),Units!$R28,IF(AND(AJ$1&gt;=Units!$Q28,MOD(AJ$1-Units!$Q28,12)=0),IF(AND(Units!$L28=1,AJ$1=Units!$Q28),IF(Units!$J28&lt;&gt;"",Units!$J28,Mkt!AJ29),Inputs!$B$15*Mkt!AJ29+(1-Inputs!$B$15)*MIN(Mkt!AJ29,AI29*(1+Inputs!$B$18))),AI29)))</f>
        <v>1962.665</v>
      </c>
      <c r="AK29" s="11" t="n">
        <f aca="false">IF(AK$1&lt;Units!$P28,0,IF(AND(Units!$K28=0,AK$1=Units!$O28),Units!$R28,IF(AND(AK$1&gt;=Units!$Q28,MOD(AK$1-Units!$Q28,12)=0),IF(AND(Units!$L28=1,AK$1=Units!$Q28),IF(Units!$J28&lt;&gt;"",Units!$J28,Mkt!AK29),Inputs!$B$15*Mkt!AK29+(1-Inputs!$B$15)*MIN(Mkt!AK29,AJ29*(1+Inputs!$B$18))),AJ29)))</f>
        <v>1962.665</v>
      </c>
      <c r="AL29" s="11" t="n">
        <f aca="false">IF(AL$1&lt;Units!$P28,0,IF(AND(Units!$K28=0,AL$1=Units!$O28),Units!$R28,IF(AND(AL$1&gt;=Units!$Q28,MOD(AL$1-Units!$Q28,12)=0),IF(AND(Units!$L28=1,AL$1=Units!$Q28),IF(Units!$J28&lt;&gt;"",Units!$J28,Mkt!AL29),Inputs!$B$15*Mkt!AL29+(1-Inputs!$B$15)*MIN(Mkt!AL29,AK29*(1+Inputs!$B$18))),AK29)))</f>
        <v>1962.665</v>
      </c>
      <c r="AM29" s="11" t="n">
        <f aca="false">IF(AM$1&lt;Units!$P28,0,IF(AND(Units!$K28=0,AM$1=Units!$O28),Units!$R28,IF(AND(AM$1&gt;=Units!$Q28,MOD(AM$1-Units!$Q28,12)=0),IF(AND(Units!$L28=1,AM$1=Units!$Q28),IF(Units!$J28&lt;&gt;"",Units!$J28,Mkt!AM29),Inputs!$B$15*Mkt!AM29+(1-Inputs!$B$15)*MIN(Mkt!AM29,AL29*(1+Inputs!$B$18))),AL29)))</f>
        <v>1962.665</v>
      </c>
      <c r="AN29" s="11" t="n">
        <f aca="false">IF(AN$1&lt;Units!$P28,0,IF(AND(Units!$K28=0,AN$1=Units!$O28),Units!$R28,IF(AND(AN$1&gt;=Units!$Q28,MOD(AN$1-Units!$Q28,12)=0),IF(AND(Units!$L28=1,AN$1=Units!$Q28),IF(Units!$J28&lt;&gt;"",Units!$J28,Mkt!AN29),Inputs!$B$15*Mkt!AN29+(1-Inputs!$B$15)*MIN(Mkt!AN29,AM29*(1+Inputs!$B$18))),AM29)))</f>
        <v>1962.665</v>
      </c>
      <c r="AO29" s="11" t="n">
        <f aca="false">IF(AO$1&lt;Units!$P28,0,IF(AND(Units!$K28=0,AO$1=Units!$O28),Units!$R28,IF(AND(AO$1&gt;=Units!$Q28,MOD(AO$1-Units!$Q28,12)=0),IF(AND(Units!$L28=1,AO$1=Units!$Q28),IF(Units!$J28&lt;&gt;"",Units!$J28,Mkt!AO29),Inputs!$B$15*Mkt!AO29+(1-Inputs!$B$15)*MIN(Mkt!AO29,AN29*(1+Inputs!$B$18))),AN29)))</f>
        <v>1962.665</v>
      </c>
      <c r="AP29" s="11" t="n">
        <f aca="false">IF(AP$1&lt;Units!$P28,0,IF(AND(Units!$K28=0,AP$1=Units!$O28),Units!$R28,IF(AND(AP$1&gt;=Units!$Q28,MOD(AP$1-Units!$Q28,12)=0),IF(AND(Units!$L28=1,AP$1=Units!$Q28),IF(Units!$J28&lt;&gt;"",Units!$J28,Mkt!AP29),Inputs!$B$15*Mkt!AP29+(1-Inputs!$B$15)*MIN(Mkt!AP29,AO29*(1+Inputs!$B$18))),AO29)))</f>
        <v>2021.54495</v>
      </c>
      <c r="AQ29" s="11" t="n">
        <f aca="false">IF(AQ$1&lt;Units!$P28,0,IF(AND(Units!$K28=0,AQ$1=Units!$O28),Units!$R28,IF(AND(AQ$1&gt;=Units!$Q28,MOD(AQ$1-Units!$Q28,12)=0),IF(AND(Units!$L28=1,AQ$1=Units!$Q28),IF(Units!$J28&lt;&gt;"",Units!$J28,Mkt!AQ29),Inputs!$B$15*Mkt!AQ29+(1-Inputs!$B$15)*MIN(Mkt!AQ29,AP29*(1+Inputs!$B$18))),AP29)))</f>
        <v>2021.54495</v>
      </c>
      <c r="AR29" s="11" t="n">
        <f aca="false">IF(AR$1&lt;Units!$P28,0,IF(AND(Units!$K28=0,AR$1=Units!$O28),Units!$R28,IF(AND(AR$1&gt;=Units!$Q28,MOD(AR$1-Units!$Q28,12)=0),IF(AND(Units!$L28=1,AR$1=Units!$Q28),IF(Units!$J28&lt;&gt;"",Units!$J28,Mkt!AR29),Inputs!$B$15*Mkt!AR29+(1-Inputs!$B$15)*MIN(Mkt!AR29,AQ29*(1+Inputs!$B$18))),AQ29)))</f>
        <v>2021.54495</v>
      </c>
      <c r="AS29" s="11" t="n">
        <f aca="false">IF(AS$1&lt;Units!$P28,0,IF(AND(Units!$K28=0,AS$1=Units!$O28),Units!$R28,IF(AND(AS$1&gt;=Units!$Q28,MOD(AS$1-Units!$Q28,12)=0),IF(AND(Units!$L28=1,AS$1=Units!$Q28),IF(Units!$J28&lt;&gt;"",Units!$J28,Mkt!AS29),Inputs!$B$15*Mkt!AS29+(1-Inputs!$B$15)*MIN(Mkt!AS29,AR29*(1+Inputs!$B$18))),AR29)))</f>
        <v>2021.54495</v>
      </c>
      <c r="AT29" s="11" t="n">
        <f aca="false">IF(AT$1&lt;Units!$P28,0,IF(AND(Units!$K28=0,AT$1=Units!$O28),Units!$R28,IF(AND(AT$1&gt;=Units!$Q28,MOD(AT$1-Units!$Q28,12)=0),IF(AND(Units!$L28=1,AT$1=Units!$Q28),IF(Units!$J28&lt;&gt;"",Units!$J28,Mkt!AT29),Inputs!$B$15*Mkt!AT29+(1-Inputs!$B$15)*MIN(Mkt!AT29,AS29*(1+Inputs!$B$18))),AS29)))</f>
        <v>2021.54495</v>
      </c>
      <c r="AU29" s="11" t="n">
        <f aca="false">IF(AU$1&lt;Units!$P28,0,IF(AND(Units!$K28=0,AU$1=Units!$O28),Units!$R28,IF(AND(AU$1&gt;=Units!$Q28,MOD(AU$1-Units!$Q28,12)=0),IF(AND(Units!$L28=1,AU$1=Units!$Q28),IF(Units!$J28&lt;&gt;"",Units!$J28,Mkt!AU29),Inputs!$B$15*Mkt!AU29+(1-Inputs!$B$15)*MIN(Mkt!AU29,AT29*(1+Inputs!$B$18))),AT29)))</f>
        <v>2021.54495</v>
      </c>
      <c r="AV29" s="11" t="n">
        <f aca="false">IF(AV$1&lt;Units!$P28,0,IF(AND(Units!$K28=0,AV$1=Units!$O28),Units!$R28,IF(AND(AV$1&gt;=Units!$Q28,MOD(AV$1-Units!$Q28,12)=0),IF(AND(Units!$L28=1,AV$1=Units!$Q28),IF(Units!$J28&lt;&gt;"",Units!$J28,Mkt!AV29),Inputs!$B$15*Mkt!AV29+(1-Inputs!$B$15)*MIN(Mkt!AV29,AU29*(1+Inputs!$B$18))),AU29)))</f>
        <v>2021.54495</v>
      </c>
      <c r="AW29" s="11" t="n">
        <f aca="false">IF(AW$1&lt;Units!$P28,0,IF(AND(Units!$K28=0,AW$1=Units!$O28),Units!$R28,IF(AND(AW$1&gt;=Units!$Q28,MOD(AW$1-Units!$Q28,12)=0),IF(AND(Units!$L28=1,AW$1=Units!$Q28),IF(Units!$J28&lt;&gt;"",Units!$J28,Mkt!AW29),Inputs!$B$15*Mkt!AW29+(1-Inputs!$B$15)*MIN(Mkt!AW29,AV29*(1+Inputs!$B$18))),AV29)))</f>
        <v>2021.54495</v>
      </c>
      <c r="AX29" s="11" t="n">
        <f aca="false">IF(AX$1&lt;Units!$P28,0,IF(AND(Units!$K28=0,AX$1=Units!$O28),Units!$R28,IF(AND(AX$1&gt;=Units!$Q28,MOD(AX$1-Units!$Q28,12)=0),IF(AND(Units!$L28=1,AX$1=Units!$Q28),IF(Units!$J28&lt;&gt;"",Units!$J28,Mkt!AX29),Inputs!$B$15*Mkt!AX29+(1-Inputs!$B$15)*MIN(Mkt!AX29,AW29*(1+Inputs!$B$18))),AW29)))</f>
        <v>2021.54495</v>
      </c>
      <c r="AY29" s="11" t="n">
        <f aca="false">IF(AY$1&lt;Units!$P28,0,IF(AND(Units!$K28=0,AY$1=Units!$O28),Units!$R28,IF(AND(AY$1&gt;=Units!$Q28,MOD(AY$1-Units!$Q28,12)=0),IF(AND(Units!$L28=1,AY$1=Units!$Q28),IF(Units!$J28&lt;&gt;"",Units!$J28,Mkt!AY29),Inputs!$B$15*Mkt!AY29+(1-Inputs!$B$15)*MIN(Mkt!AY29,AX29*(1+Inputs!$B$18))),AX29)))</f>
        <v>2021.54495</v>
      </c>
      <c r="AZ29" s="11" t="n">
        <f aca="false">IF(AZ$1&lt;Units!$P28,0,IF(AND(Units!$K28=0,AZ$1=Units!$O28),Units!$R28,IF(AND(AZ$1&gt;=Units!$Q28,MOD(AZ$1-Units!$Q28,12)=0),IF(AND(Units!$L28=1,AZ$1=Units!$Q28),IF(Units!$J28&lt;&gt;"",Units!$J28,Mkt!AZ29),Inputs!$B$15*Mkt!AZ29+(1-Inputs!$B$15)*MIN(Mkt!AZ29,AY29*(1+Inputs!$B$18))),AY29)))</f>
        <v>2021.54495</v>
      </c>
      <c r="BA29" s="11" t="n">
        <f aca="false">IF(BA$1&lt;Units!$P28,0,IF(AND(Units!$K28=0,BA$1=Units!$O28),Units!$R28,IF(AND(BA$1&gt;=Units!$Q28,MOD(BA$1-Units!$Q28,12)=0),IF(AND(Units!$L28=1,BA$1=Units!$Q28),IF(Units!$J28&lt;&gt;"",Units!$J28,Mkt!BA29),Inputs!$B$15*Mkt!BA29+(1-Inputs!$B$15)*MIN(Mkt!BA29,AZ29*(1+Inputs!$B$18))),AZ29)))</f>
        <v>2021.54495</v>
      </c>
      <c r="BB29" s="11" t="n">
        <f aca="false">IF(BB$1&lt;Units!$P28,0,IF(AND(Units!$K28=0,BB$1=Units!$O28),Units!$R28,IF(AND(BB$1&gt;=Units!$Q28,MOD(BB$1-Units!$Q28,12)=0),IF(AND(Units!$L28=1,BB$1=Units!$Q28),IF(Units!$J28&lt;&gt;"",Units!$J28,Mkt!BB29),Inputs!$B$15*Mkt!BB29+(1-Inputs!$B$15)*MIN(Mkt!BB29,BA29*(1+Inputs!$B$18))),BA29)))</f>
        <v>2082.1912985</v>
      </c>
      <c r="BC29" s="11" t="n">
        <f aca="false">IF(BC$1&lt;Units!$P28,0,IF(AND(Units!$K28=0,BC$1=Units!$O28),Units!$R28,IF(AND(BC$1&gt;=Units!$Q28,MOD(BC$1-Units!$Q28,12)=0),IF(AND(Units!$L28=1,BC$1=Units!$Q28),IF(Units!$J28&lt;&gt;"",Units!$J28,Mkt!BC29),Inputs!$B$15*Mkt!BC29+(1-Inputs!$B$15)*MIN(Mkt!BC29,BB29*(1+Inputs!$B$18))),BB29)))</f>
        <v>2082.1912985</v>
      </c>
      <c r="BD29" s="11" t="n">
        <f aca="false">IF(BD$1&lt;Units!$P28,0,IF(AND(Units!$K28=0,BD$1=Units!$O28),Units!$R28,IF(AND(BD$1&gt;=Units!$Q28,MOD(BD$1-Units!$Q28,12)=0),IF(AND(Units!$L28=1,BD$1=Units!$Q28),IF(Units!$J28&lt;&gt;"",Units!$J28,Mkt!BD29),Inputs!$B$15*Mkt!BD29+(1-Inputs!$B$15)*MIN(Mkt!BD29,BC29*(1+Inputs!$B$18))),BC29)))</f>
        <v>2082.1912985</v>
      </c>
      <c r="BE29" s="11" t="n">
        <f aca="false">IF(BE$1&lt;Units!$P28,0,IF(AND(Units!$K28=0,BE$1=Units!$O28),Units!$R28,IF(AND(BE$1&gt;=Units!$Q28,MOD(BE$1-Units!$Q28,12)=0),IF(AND(Units!$L28=1,BE$1=Units!$Q28),IF(Units!$J28&lt;&gt;"",Units!$J28,Mkt!BE29),Inputs!$B$15*Mkt!BE29+(1-Inputs!$B$15)*MIN(Mkt!BE29,BD29*(1+Inputs!$B$18))),BD29)))</f>
        <v>2082.1912985</v>
      </c>
      <c r="BF29" s="11" t="n">
        <f aca="false">IF(BF$1&lt;Units!$P28,0,IF(AND(Units!$K28=0,BF$1=Units!$O28),Units!$R28,IF(AND(BF$1&gt;=Units!$Q28,MOD(BF$1-Units!$Q28,12)=0),IF(AND(Units!$L28=1,BF$1=Units!$Q28),IF(Units!$J28&lt;&gt;"",Units!$J28,Mkt!BF29),Inputs!$B$15*Mkt!BF29+(1-Inputs!$B$15)*MIN(Mkt!BF29,BE29*(1+Inputs!$B$18))),BE29)))</f>
        <v>2082.1912985</v>
      </c>
      <c r="BG29" s="11" t="n">
        <f aca="false">IF(BG$1&lt;Units!$P28,0,IF(AND(Units!$K28=0,BG$1=Units!$O28),Units!$R28,IF(AND(BG$1&gt;=Units!$Q28,MOD(BG$1-Units!$Q28,12)=0),IF(AND(Units!$L28=1,BG$1=Units!$Q28),IF(Units!$J28&lt;&gt;"",Units!$J28,Mkt!BG29),Inputs!$B$15*Mkt!BG29+(1-Inputs!$B$15)*MIN(Mkt!BG29,BF29*(1+Inputs!$B$18))),BF29)))</f>
        <v>2082.1912985</v>
      </c>
      <c r="BH29" s="11" t="n">
        <f aca="false">IF(BH$1&lt;Units!$P28,0,IF(AND(Units!$K28=0,BH$1=Units!$O28),Units!$R28,IF(AND(BH$1&gt;=Units!$Q28,MOD(BH$1-Units!$Q28,12)=0),IF(AND(Units!$L28=1,BH$1=Units!$Q28),IF(Units!$J28&lt;&gt;"",Units!$J28,Mkt!BH29),Inputs!$B$15*Mkt!BH29+(1-Inputs!$B$15)*MIN(Mkt!BH29,BG29*(1+Inputs!$B$18))),BG29)))</f>
        <v>2082.1912985</v>
      </c>
      <c r="BI29" s="11" t="n">
        <f aca="false">IF(BI$1&lt;Units!$P28,0,IF(AND(Units!$K28=0,BI$1=Units!$O28),Units!$R28,IF(AND(BI$1&gt;=Units!$Q28,MOD(BI$1-Units!$Q28,12)=0),IF(AND(Units!$L28=1,BI$1=Units!$Q28),IF(Units!$J28&lt;&gt;"",Units!$J28,Mkt!BI29),Inputs!$B$15*Mkt!BI29+(1-Inputs!$B$15)*MIN(Mkt!BI29,BH29*(1+Inputs!$B$18))),BH29)))</f>
        <v>2082.1912985</v>
      </c>
      <c r="BJ29" s="11" t="n">
        <f aca="false">IF(BJ$1&lt;Units!$P28,0,IF(AND(Units!$K28=0,BJ$1=Units!$O28),Units!$R28,IF(AND(BJ$1&gt;=Units!$Q28,MOD(BJ$1-Units!$Q28,12)=0),IF(AND(Units!$L28=1,BJ$1=Units!$Q28),IF(Units!$J28&lt;&gt;"",Units!$J28,Mkt!BJ29),Inputs!$B$15*Mkt!BJ29+(1-Inputs!$B$15)*MIN(Mkt!BJ29,BI29*(1+Inputs!$B$18))),BI29)))</f>
        <v>2082.1912985</v>
      </c>
      <c r="BK29" s="11" t="n">
        <f aca="false">IF(BK$1&lt;Units!$P28,0,IF(AND(Units!$K28=0,BK$1=Units!$O28),Units!$R28,IF(AND(BK$1&gt;=Units!$Q28,MOD(BK$1-Units!$Q28,12)=0),IF(AND(Units!$L28=1,BK$1=Units!$Q28),IF(Units!$J28&lt;&gt;"",Units!$J28,Mkt!BK29),Inputs!$B$15*Mkt!BK29+(1-Inputs!$B$15)*MIN(Mkt!BK29,BJ29*(1+Inputs!$B$18))),BJ29)))</f>
        <v>2082.1912985</v>
      </c>
      <c r="BL29" s="11" t="n">
        <f aca="false">IF(BL$1&lt;Units!$P28,0,IF(AND(Units!$K28=0,BL$1=Units!$O28),Units!$R28,IF(AND(BL$1&gt;=Units!$Q28,MOD(BL$1-Units!$Q28,12)=0),IF(AND(Units!$L28=1,BL$1=Units!$Q28),IF(Units!$J28&lt;&gt;"",Units!$J28,Mkt!BL29),Inputs!$B$15*Mkt!BL29+(1-Inputs!$B$15)*MIN(Mkt!BL29,BK29*(1+Inputs!$B$18))),BK29)))</f>
        <v>2082.1912985</v>
      </c>
      <c r="BM29" s="11" t="n">
        <f aca="false">IF(BM$1&lt;Units!$P28,0,IF(AND(Units!$K28=0,BM$1=Units!$O28),Units!$R28,IF(AND(BM$1&gt;=Units!$Q28,MOD(BM$1-Units!$Q28,12)=0),IF(AND(Units!$L28=1,BM$1=Units!$Q28),IF(Units!$J28&lt;&gt;"",Units!$J28,Mkt!BM29),Inputs!$B$15*Mkt!BM29+(1-Inputs!$B$15)*MIN(Mkt!BM29,BL29*(1+Inputs!$B$18))),BL29)))</f>
        <v>2082.1912985</v>
      </c>
      <c r="BN29" s="11" t="n">
        <f aca="false">IF(BN$1&lt;Units!$P28,0,IF(AND(Units!$K28=0,BN$1=Units!$O28),Units!$R28,IF(AND(BN$1&gt;=Units!$Q28,MOD(BN$1-Units!$Q28,12)=0),IF(AND(Units!$L28=1,BN$1=Units!$Q28),IF(Units!$J28&lt;&gt;"",Units!$J28,Mkt!BN29),Inputs!$B$15*Mkt!BN29+(1-Inputs!$B$15)*MIN(Mkt!BN29,BM29*(1+Inputs!$B$18))),BM29)))</f>
        <v>2144.657037455</v>
      </c>
      <c r="BO29" s="11" t="n">
        <f aca="false">IF(BO$1&lt;Units!$P28,0,IF(AND(Units!$K28=0,BO$1=Units!$O28),Units!$R28,IF(AND(BO$1&gt;=Units!$Q28,MOD(BO$1-Units!$Q28,12)=0),IF(AND(Units!$L28=1,BO$1=Units!$Q28),IF(Units!$J28&lt;&gt;"",Units!$J28,Mkt!BO29),Inputs!$B$15*Mkt!BO29+(1-Inputs!$B$15)*MIN(Mkt!BO29,BN29*(1+Inputs!$B$18))),BN29)))</f>
        <v>2144.657037455</v>
      </c>
      <c r="BP29" s="11" t="n">
        <f aca="false">IF(BP$1&lt;Units!$P28,0,IF(AND(Units!$K28=0,BP$1=Units!$O28),Units!$R28,IF(AND(BP$1&gt;=Units!$Q28,MOD(BP$1-Units!$Q28,12)=0),IF(AND(Units!$L28=1,BP$1=Units!$Q28),IF(Units!$J28&lt;&gt;"",Units!$J28,Mkt!BP29),Inputs!$B$15*Mkt!BP29+(1-Inputs!$B$15)*MIN(Mkt!BP29,BO29*(1+Inputs!$B$18))),BO29)))</f>
        <v>2144.657037455</v>
      </c>
      <c r="BQ29" s="11" t="n">
        <f aca="false">IF(BQ$1&lt;Units!$P28,0,IF(AND(Units!$K28=0,BQ$1=Units!$O28),Units!$R28,IF(AND(BQ$1&gt;=Units!$Q28,MOD(BQ$1-Units!$Q28,12)=0),IF(AND(Units!$L28=1,BQ$1=Units!$Q28),IF(Units!$J28&lt;&gt;"",Units!$J28,Mkt!BQ29),Inputs!$B$15*Mkt!BQ29+(1-Inputs!$B$15)*MIN(Mkt!BQ29,BP29*(1+Inputs!$B$18))),BP29)))</f>
        <v>2144.657037455</v>
      </c>
      <c r="BR29" s="11" t="n">
        <f aca="false">IF(BR$1&lt;Units!$P28,0,IF(AND(Units!$K28=0,BR$1=Units!$O28),Units!$R28,IF(AND(BR$1&gt;=Units!$Q28,MOD(BR$1-Units!$Q28,12)=0),IF(AND(Units!$L28=1,BR$1=Units!$Q28),IF(Units!$J28&lt;&gt;"",Units!$J28,Mkt!BR29),Inputs!$B$15*Mkt!BR29+(1-Inputs!$B$15)*MIN(Mkt!BR29,BQ29*(1+Inputs!$B$18))),BQ29)))</f>
        <v>2144.657037455</v>
      </c>
      <c r="BS29" s="11" t="n">
        <f aca="false">IF(BS$1&lt;Units!$P28,0,IF(AND(Units!$K28=0,BS$1=Units!$O28),Units!$R28,IF(AND(BS$1&gt;=Units!$Q28,MOD(BS$1-Units!$Q28,12)=0),IF(AND(Units!$L28=1,BS$1=Units!$Q28),IF(Units!$J28&lt;&gt;"",Units!$J28,Mkt!BS29),Inputs!$B$15*Mkt!BS29+(1-Inputs!$B$15)*MIN(Mkt!BS29,BR29*(1+Inputs!$B$18))),BR29)))</f>
        <v>2144.657037455</v>
      </c>
      <c r="BT29" s="11" t="n">
        <f aca="false">IF(BT$1&lt;Units!$P28,0,IF(AND(Units!$K28=0,BT$1=Units!$O28),Units!$R28,IF(AND(BT$1&gt;=Units!$Q28,MOD(BT$1-Units!$Q28,12)=0),IF(AND(Units!$L28=1,BT$1=Units!$Q28),IF(Units!$J28&lt;&gt;"",Units!$J28,Mkt!BT29),Inputs!$B$15*Mkt!BT29+(1-Inputs!$B$15)*MIN(Mkt!BT29,BS29*(1+Inputs!$B$18))),BS29)))</f>
        <v>2144.657037455</v>
      </c>
      <c r="BU29" s="11" t="n">
        <f aca="false">IF(BU$1&lt;Units!$P28,0,IF(AND(Units!$K28=0,BU$1=Units!$O28),Units!$R28,IF(AND(BU$1&gt;=Units!$Q28,MOD(BU$1-Units!$Q28,12)=0),IF(AND(Units!$L28=1,BU$1=Units!$Q28),IF(Units!$J28&lt;&gt;"",Units!$J28,Mkt!BU29),Inputs!$B$15*Mkt!BU29+(1-Inputs!$B$15)*MIN(Mkt!BU29,BT29*(1+Inputs!$B$18))),BT29)))</f>
        <v>2144.657037455</v>
      </c>
      <c r="BV29" s="11" t="n">
        <f aca="false">IF(BV$1&lt;Units!$P28,0,IF(AND(Units!$K28=0,BV$1=Units!$O28),Units!$R28,IF(AND(BV$1&gt;=Units!$Q28,MOD(BV$1-Units!$Q28,12)=0),IF(AND(Units!$L28=1,BV$1=Units!$Q28),IF(Units!$J28&lt;&gt;"",Units!$J28,Mkt!BV29),Inputs!$B$15*Mkt!BV29+(1-Inputs!$B$15)*MIN(Mkt!BV29,BU29*(1+Inputs!$B$18))),BU29)))</f>
        <v>2144.657037455</v>
      </c>
      <c r="BW29" s="11" t="n">
        <f aca="false">IF(BW$1&lt;Units!$P28,0,IF(AND(Units!$K28=0,BW$1=Units!$O28),Units!$R28,IF(AND(BW$1&gt;=Units!$Q28,MOD(BW$1-Units!$Q28,12)=0),IF(AND(Units!$L28=1,BW$1=Units!$Q28),IF(Units!$J28&lt;&gt;"",Units!$J28,Mkt!BW29),Inputs!$B$15*Mkt!BW29+(1-Inputs!$B$15)*MIN(Mkt!BW29,BV29*(1+Inputs!$B$18))),BV29)))</f>
        <v>2144.657037455</v>
      </c>
      <c r="BX29" s="11" t="n">
        <f aca="false">IF(BX$1&lt;Units!$P28,0,IF(AND(Units!$K28=0,BX$1=Units!$O28),Units!$R28,IF(AND(BX$1&gt;=Units!$Q28,MOD(BX$1-Units!$Q28,12)=0),IF(AND(Units!$L28=1,BX$1=Units!$Q28),IF(Units!$J28&lt;&gt;"",Units!$J28,Mkt!BX29),Inputs!$B$15*Mkt!BX29+(1-Inputs!$B$15)*MIN(Mkt!BX29,BW29*(1+Inputs!$B$18))),BW29)))</f>
        <v>2144.657037455</v>
      </c>
      <c r="BY29" s="11" t="n">
        <f aca="false">IF(BY$1&lt;Units!$P28,0,IF(AND(Units!$K28=0,BY$1=Units!$O28),Units!$R28,IF(AND(BY$1&gt;=Units!$Q28,MOD(BY$1-Units!$Q28,12)=0),IF(AND(Units!$L28=1,BY$1=Units!$Q28),IF(Units!$J28&lt;&gt;"",Units!$J28,Mkt!BY29),Inputs!$B$15*Mkt!BY29+(1-Inputs!$B$15)*MIN(Mkt!BY29,BX29*(1+Inputs!$B$18))),BX29)))</f>
        <v>2144.657037455</v>
      </c>
      <c r="BZ29" s="11" t="n">
        <f aca="false">IF(BZ$1&lt;Units!$P28,0,IF(AND(Units!$K28=0,BZ$1=Units!$O28),Units!$R28,IF(AND(BZ$1&gt;=Units!$Q28,MOD(BZ$1-Units!$Q28,12)=0),IF(AND(Units!$L28=1,BZ$1=Units!$Q28),IF(Units!$J28&lt;&gt;"",Units!$J28,Mkt!BZ29),Inputs!$B$15*Mkt!BZ29+(1-Inputs!$B$15)*MIN(Mkt!BZ29,BY29*(1+Inputs!$B$18))),BY29)))</f>
        <v>2208.99674857865</v>
      </c>
      <c r="CA29" s="11" t="n">
        <f aca="false">IF(CA$1&lt;Units!$P28,0,IF(AND(Units!$K28=0,CA$1=Units!$O28),Units!$R28,IF(AND(CA$1&gt;=Units!$Q28,MOD(CA$1-Units!$Q28,12)=0),IF(AND(Units!$L28=1,CA$1=Units!$Q28),IF(Units!$J28&lt;&gt;"",Units!$J28,Mkt!CA29),Inputs!$B$15*Mkt!CA29+(1-Inputs!$B$15)*MIN(Mkt!CA29,BZ29*(1+Inputs!$B$18))),BZ29)))</f>
        <v>2208.99674857865</v>
      </c>
      <c r="CB29" s="11" t="n">
        <f aca="false">IF(CB$1&lt;Units!$P28,0,IF(AND(Units!$K28=0,CB$1=Units!$O28),Units!$R28,IF(AND(CB$1&gt;=Units!$Q28,MOD(CB$1-Units!$Q28,12)=0),IF(AND(Units!$L28=1,CB$1=Units!$Q28),IF(Units!$J28&lt;&gt;"",Units!$J28,Mkt!CB29),Inputs!$B$15*Mkt!CB29+(1-Inputs!$B$15)*MIN(Mkt!CB29,CA29*(1+Inputs!$B$18))),CA29)))</f>
        <v>2208.99674857865</v>
      </c>
      <c r="CC29" s="11" t="n">
        <f aca="false">IF(CC$1&lt;Units!$P28,0,IF(AND(Units!$K28=0,CC$1=Units!$O28),Units!$R28,IF(AND(CC$1&gt;=Units!$Q28,MOD(CC$1-Units!$Q28,12)=0),IF(AND(Units!$L28=1,CC$1=Units!$Q28),IF(Units!$J28&lt;&gt;"",Units!$J28,Mkt!CC29),Inputs!$B$15*Mkt!CC29+(1-Inputs!$B$15)*MIN(Mkt!CC29,CB29*(1+Inputs!$B$18))),CB29)))</f>
        <v>2208.99674857865</v>
      </c>
      <c r="CD29" s="11" t="n">
        <f aca="false">IF(CD$1&lt;Units!$P28,0,IF(AND(Units!$K28=0,CD$1=Units!$O28),Units!$R28,IF(AND(CD$1&gt;=Units!$Q28,MOD(CD$1-Units!$Q28,12)=0),IF(AND(Units!$L28=1,CD$1=Units!$Q28),IF(Units!$J28&lt;&gt;"",Units!$J28,Mkt!CD29),Inputs!$B$15*Mkt!CD29+(1-Inputs!$B$15)*MIN(Mkt!CD29,CC29*(1+Inputs!$B$18))),CC29)))</f>
        <v>2208.99674857865</v>
      </c>
      <c r="CE29" s="11" t="n">
        <f aca="false">IF(CE$1&lt;Units!$P28,0,IF(AND(Units!$K28=0,CE$1=Units!$O28),Units!$R28,IF(AND(CE$1&gt;=Units!$Q28,MOD(CE$1-Units!$Q28,12)=0),IF(AND(Units!$L28=1,CE$1=Units!$Q28),IF(Units!$J28&lt;&gt;"",Units!$J28,Mkt!CE29),Inputs!$B$15*Mkt!CE29+(1-Inputs!$B$15)*MIN(Mkt!CE29,CD29*(1+Inputs!$B$18))),CD29)))</f>
        <v>2208.99674857865</v>
      </c>
      <c r="CF29" s="11" t="n">
        <f aca="false">IF(CF$1&lt;Units!$P28,0,IF(AND(Units!$K28=0,CF$1=Units!$O28),Units!$R28,IF(AND(CF$1&gt;=Units!$Q28,MOD(CF$1-Units!$Q28,12)=0),IF(AND(Units!$L28=1,CF$1=Units!$Q28),IF(Units!$J28&lt;&gt;"",Units!$J28,Mkt!CF29),Inputs!$B$15*Mkt!CF29+(1-Inputs!$B$15)*MIN(Mkt!CF29,CE29*(1+Inputs!$B$18))),CE29)))</f>
        <v>2208.99674857865</v>
      </c>
      <c r="CG29" s="11" t="n">
        <f aca="false">IF(CG$1&lt;Units!$P28,0,IF(AND(Units!$K28=0,CG$1=Units!$O28),Units!$R28,IF(AND(CG$1&gt;=Units!$Q28,MOD(CG$1-Units!$Q28,12)=0),IF(AND(Units!$L28=1,CG$1=Units!$Q28),IF(Units!$J28&lt;&gt;"",Units!$J28,Mkt!CG29),Inputs!$B$15*Mkt!CG29+(1-Inputs!$B$15)*MIN(Mkt!CG29,CF29*(1+Inputs!$B$18))),CF29)))</f>
        <v>2208.99674857865</v>
      </c>
      <c r="CH29" s="11" t="n">
        <f aca="false">IF(CH$1&lt;Units!$P28,0,IF(AND(Units!$K28=0,CH$1=Units!$O28),Units!$R28,IF(AND(CH$1&gt;=Units!$Q28,MOD(CH$1-Units!$Q28,12)=0),IF(AND(Units!$L28=1,CH$1=Units!$Q28),IF(Units!$J28&lt;&gt;"",Units!$J28,Mkt!CH29),Inputs!$B$15*Mkt!CH29+(1-Inputs!$B$15)*MIN(Mkt!CH29,CG29*(1+Inputs!$B$18))),CG29)))</f>
        <v>2208.99674857865</v>
      </c>
      <c r="CI29" s="11" t="n">
        <f aca="false">IF(CI$1&lt;Units!$P28,0,IF(AND(Units!$K28=0,CI$1=Units!$O28),Units!$R28,IF(AND(CI$1&gt;=Units!$Q28,MOD(CI$1-Units!$Q28,12)=0),IF(AND(Units!$L28=1,CI$1=Units!$Q28),IF(Units!$J28&lt;&gt;"",Units!$J28,Mkt!CI29),Inputs!$B$15*Mkt!CI29+(1-Inputs!$B$15)*MIN(Mkt!CI29,CH29*(1+Inputs!$B$18))),CH29)))</f>
        <v>2208.99674857865</v>
      </c>
      <c r="CJ29" s="11" t="n">
        <f aca="false">IF(CJ$1&lt;Units!$P28,0,IF(AND(Units!$K28=0,CJ$1=Units!$O28),Units!$R28,IF(AND(CJ$1&gt;=Units!$Q28,MOD(CJ$1-Units!$Q28,12)=0),IF(AND(Units!$L28=1,CJ$1=Units!$Q28),IF(Units!$J28&lt;&gt;"",Units!$J28,Mkt!CJ29),Inputs!$B$15*Mkt!CJ29+(1-Inputs!$B$15)*MIN(Mkt!CJ29,CI29*(1+Inputs!$B$18))),CI29)))</f>
        <v>2208.99674857865</v>
      </c>
      <c r="CK29" s="11" t="n">
        <f aca="false">IF(CK$1&lt;Units!$P28,0,IF(AND(Units!$K28=0,CK$1=Units!$O28),Units!$R28,IF(AND(CK$1&gt;=Units!$Q28,MOD(CK$1-Units!$Q28,12)=0),IF(AND(Units!$L28=1,CK$1=Units!$Q28),IF(Units!$J28&lt;&gt;"",Units!$J28,Mkt!CK29),Inputs!$B$15*Mkt!CK29+(1-Inputs!$B$15)*MIN(Mkt!CK29,CJ29*(1+Inputs!$B$18))),CJ29)))</f>
        <v>2208.99674857865</v>
      </c>
      <c r="CL29" s="11" t="n">
        <f aca="false">IF(CL$1&lt;Units!$P28,0,IF(AND(Units!$K28=0,CL$1=Units!$O28),Units!$R28,IF(AND(CL$1&gt;=Units!$Q28,MOD(CL$1-Units!$Q28,12)=0),IF(AND(Units!$L28=1,CL$1=Units!$Q28),IF(Units!$J28&lt;&gt;"",Units!$J28,Mkt!CL29),Inputs!$B$15*Mkt!CL29+(1-Inputs!$B$15)*MIN(Mkt!CL29,CK29*(1+Inputs!$B$18))),CK29)))</f>
        <v>2275.26665103601</v>
      </c>
      <c r="CM29" s="11" t="n">
        <f aca="false">IF(CM$1&lt;Units!$P28,0,IF(AND(Units!$K28=0,CM$1=Units!$O28),Units!$R28,IF(AND(CM$1&gt;=Units!$Q28,MOD(CM$1-Units!$Q28,12)=0),IF(AND(Units!$L28=1,CM$1=Units!$Q28),IF(Units!$J28&lt;&gt;"",Units!$J28,Mkt!CM29),Inputs!$B$15*Mkt!CM29+(1-Inputs!$B$15)*MIN(Mkt!CM29,CL29*(1+Inputs!$B$18))),CL29)))</f>
        <v>2275.26665103601</v>
      </c>
      <c r="CN29" s="11" t="n">
        <f aca="false">IF(CN$1&lt;Units!$P28,0,IF(AND(Units!$K28=0,CN$1=Units!$O28),Units!$R28,IF(AND(CN$1&gt;=Units!$Q28,MOD(CN$1-Units!$Q28,12)=0),IF(AND(Units!$L28=1,CN$1=Units!$Q28),IF(Units!$J28&lt;&gt;"",Units!$J28,Mkt!CN29),Inputs!$B$15*Mkt!CN29+(1-Inputs!$B$15)*MIN(Mkt!CN29,CM29*(1+Inputs!$B$18))),CM29)))</f>
        <v>2275.26665103601</v>
      </c>
      <c r="CO29" s="11" t="n">
        <f aca="false">IF(CO$1&lt;Units!$P28,0,IF(AND(Units!$K28=0,CO$1=Units!$O28),Units!$R28,IF(AND(CO$1&gt;=Units!$Q28,MOD(CO$1-Units!$Q28,12)=0),IF(AND(Units!$L28=1,CO$1=Units!$Q28),IF(Units!$J28&lt;&gt;"",Units!$J28,Mkt!CO29),Inputs!$B$15*Mkt!CO29+(1-Inputs!$B$15)*MIN(Mkt!CO29,CN29*(1+Inputs!$B$18))),CN29)))</f>
        <v>2275.26665103601</v>
      </c>
      <c r="CP29" s="11" t="n">
        <f aca="false">IF(CP$1&lt;Units!$P28,0,IF(AND(Units!$K28=0,CP$1=Units!$O28),Units!$R28,IF(AND(CP$1&gt;=Units!$Q28,MOD(CP$1-Units!$Q28,12)=0),IF(AND(Units!$L28=1,CP$1=Units!$Q28),IF(Units!$J28&lt;&gt;"",Units!$J28,Mkt!CP29),Inputs!$B$15*Mkt!CP29+(1-Inputs!$B$15)*MIN(Mkt!CP29,CO29*(1+Inputs!$B$18))),CO29)))</f>
        <v>2275.26665103601</v>
      </c>
      <c r="CQ29" s="11" t="n">
        <f aca="false">IF(CQ$1&lt;Units!$P28,0,IF(AND(Units!$K28=0,CQ$1=Units!$O28),Units!$R28,IF(AND(CQ$1&gt;=Units!$Q28,MOD(CQ$1-Units!$Q28,12)=0),IF(AND(Units!$L28=1,CQ$1=Units!$Q28),IF(Units!$J28&lt;&gt;"",Units!$J28,Mkt!CQ29),Inputs!$B$15*Mkt!CQ29+(1-Inputs!$B$15)*MIN(Mkt!CQ29,CP29*(1+Inputs!$B$18))),CP29)))</f>
        <v>2275.26665103601</v>
      </c>
      <c r="CR29" s="11" t="n">
        <f aca="false">IF(CR$1&lt;Units!$P28,0,IF(AND(Units!$K28=0,CR$1=Units!$O28),Units!$R28,IF(AND(CR$1&gt;=Units!$Q28,MOD(CR$1-Units!$Q28,12)=0),IF(AND(Units!$L28=1,CR$1=Units!$Q28),IF(Units!$J28&lt;&gt;"",Units!$J28,Mkt!CR29),Inputs!$B$15*Mkt!CR29+(1-Inputs!$B$15)*MIN(Mkt!CR29,CQ29*(1+Inputs!$B$18))),CQ29)))</f>
        <v>2275.26665103601</v>
      </c>
      <c r="CS29" s="11" t="n">
        <f aca="false">IF(CS$1&lt;Units!$P28,0,IF(AND(Units!$K28=0,CS$1=Units!$O28),Units!$R28,IF(AND(CS$1&gt;=Units!$Q28,MOD(CS$1-Units!$Q28,12)=0),IF(AND(Units!$L28=1,CS$1=Units!$Q28),IF(Units!$J28&lt;&gt;"",Units!$J28,Mkt!CS29),Inputs!$B$15*Mkt!CS29+(1-Inputs!$B$15)*MIN(Mkt!CS29,CR29*(1+Inputs!$B$18))),CR29)))</f>
        <v>2275.26665103601</v>
      </c>
      <c r="CT29" s="11" t="n">
        <f aca="false">IF(CT$1&lt;Units!$P28,0,IF(AND(Units!$K28=0,CT$1=Units!$O28),Units!$R28,IF(AND(CT$1&gt;=Units!$Q28,MOD(CT$1-Units!$Q28,12)=0),IF(AND(Units!$L28=1,CT$1=Units!$Q28),IF(Units!$J28&lt;&gt;"",Units!$J28,Mkt!CT29),Inputs!$B$15*Mkt!CT29+(1-Inputs!$B$15)*MIN(Mkt!CT29,CS29*(1+Inputs!$B$18))),CS29)))</f>
        <v>2275.26665103601</v>
      </c>
      <c r="CU29" s="11" t="n">
        <f aca="false">IF(CU$1&lt;Units!$P28,0,IF(AND(Units!$K28=0,CU$1=Units!$O28),Units!$R28,IF(AND(CU$1&gt;=Units!$Q28,MOD(CU$1-Units!$Q28,12)=0),IF(AND(Units!$L28=1,CU$1=Units!$Q28),IF(Units!$J28&lt;&gt;"",Units!$J28,Mkt!CU29),Inputs!$B$15*Mkt!CU29+(1-Inputs!$B$15)*MIN(Mkt!CU29,CT29*(1+Inputs!$B$18))),CT29)))</f>
        <v>2275.26665103601</v>
      </c>
      <c r="CV29" s="11" t="n">
        <f aca="false">IF(CV$1&lt;Units!$P28,0,IF(AND(Units!$K28=0,CV$1=Units!$O28),Units!$R28,IF(AND(CV$1&gt;=Units!$Q28,MOD(CV$1-Units!$Q28,12)=0),IF(AND(Units!$L28=1,CV$1=Units!$Q28),IF(Units!$J28&lt;&gt;"",Units!$J28,Mkt!CV29),Inputs!$B$15*Mkt!CV29+(1-Inputs!$B$15)*MIN(Mkt!CV29,CU29*(1+Inputs!$B$18))),CU29)))</f>
        <v>2275.26665103601</v>
      </c>
      <c r="CW29" s="11" t="n">
        <f aca="false">IF(CW$1&lt;Units!$P28,0,IF(AND(Units!$K28=0,CW$1=Units!$O28),Units!$R28,IF(AND(CW$1&gt;=Units!$Q28,MOD(CW$1-Units!$Q28,12)=0),IF(AND(Units!$L28=1,CW$1=Units!$Q28),IF(Units!$J28&lt;&gt;"",Units!$J28,Mkt!CW29),Inputs!$B$15*Mkt!CW29+(1-Inputs!$B$15)*MIN(Mkt!CW29,CV29*(1+Inputs!$B$18))),CV29)))</f>
        <v>2275.26665103601</v>
      </c>
      <c r="CX29" s="11" t="n">
        <f aca="false">IF(CX$1&lt;Units!$P28,0,IF(AND(Units!$K28=0,CX$1=Units!$O28),Units!$R28,IF(AND(CX$1&gt;=Units!$Q28,MOD(CX$1-Units!$Q28,12)=0),IF(AND(Units!$L28=1,CX$1=Units!$Q28),IF(Units!$J28&lt;&gt;"",Units!$J28,Mkt!CX29),Inputs!$B$15*Mkt!CX29+(1-Inputs!$B$15)*MIN(Mkt!CX29,CW29*(1+Inputs!$B$18))),CW29)))</f>
        <v>2343.52465056709</v>
      </c>
      <c r="CY29" s="11" t="n">
        <f aca="false">IF(CY$1&lt;Units!$P28,0,IF(AND(Units!$K28=0,CY$1=Units!$O28),Units!$R28,IF(AND(CY$1&gt;=Units!$Q28,MOD(CY$1-Units!$Q28,12)=0),IF(AND(Units!$L28=1,CY$1=Units!$Q28),IF(Units!$J28&lt;&gt;"",Units!$J28,Mkt!CY29),Inputs!$B$15*Mkt!CY29+(1-Inputs!$B$15)*MIN(Mkt!CY29,CX29*(1+Inputs!$B$18))),CX29)))</f>
        <v>2343.52465056709</v>
      </c>
      <c r="CZ29" s="11" t="n">
        <f aca="false">IF(CZ$1&lt;Units!$P28,0,IF(AND(Units!$K28=0,CZ$1=Units!$O28),Units!$R28,IF(AND(CZ$1&gt;=Units!$Q28,MOD(CZ$1-Units!$Q28,12)=0),IF(AND(Units!$L28=1,CZ$1=Units!$Q28),IF(Units!$J28&lt;&gt;"",Units!$J28,Mkt!CZ29),Inputs!$B$15*Mkt!CZ29+(1-Inputs!$B$15)*MIN(Mkt!CZ29,CY29*(1+Inputs!$B$18))),CY29)))</f>
        <v>2343.52465056709</v>
      </c>
      <c r="DA29" s="11" t="n">
        <f aca="false">IF(DA$1&lt;Units!$P28,0,IF(AND(Units!$K28=0,DA$1=Units!$O28),Units!$R28,IF(AND(DA$1&gt;=Units!$Q28,MOD(DA$1-Units!$Q28,12)=0),IF(AND(Units!$L28=1,DA$1=Units!$Q28),IF(Units!$J28&lt;&gt;"",Units!$J28,Mkt!DA29),Inputs!$B$15*Mkt!DA29+(1-Inputs!$B$15)*MIN(Mkt!DA29,CZ29*(1+Inputs!$B$18))),CZ29)))</f>
        <v>2343.52465056709</v>
      </c>
      <c r="DB29" s="11" t="n">
        <f aca="false">IF(DB$1&lt;Units!$P28,0,IF(AND(Units!$K28=0,DB$1=Units!$O28),Units!$R28,IF(AND(DB$1&gt;=Units!$Q28,MOD(DB$1-Units!$Q28,12)=0),IF(AND(Units!$L28=1,DB$1=Units!$Q28),IF(Units!$J28&lt;&gt;"",Units!$J28,Mkt!DB29),Inputs!$B$15*Mkt!DB29+(1-Inputs!$B$15)*MIN(Mkt!DB29,DA29*(1+Inputs!$B$18))),DA29)))</f>
        <v>2343.52465056709</v>
      </c>
      <c r="DC29" s="11" t="n">
        <f aca="false">IF(DC$1&lt;Units!$P28,0,IF(AND(Units!$K28=0,DC$1=Units!$O28),Units!$R28,IF(AND(DC$1&gt;=Units!$Q28,MOD(DC$1-Units!$Q28,12)=0),IF(AND(Units!$L28=1,DC$1=Units!$Q28),IF(Units!$J28&lt;&gt;"",Units!$J28,Mkt!DC29),Inputs!$B$15*Mkt!DC29+(1-Inputs!$B$15)*MIN(Mkt!DC29,DB29*(1+Inputs!$B$18))),DB29)))</f>
        <v>2343.52465056709</v>
      </c>
      <c r="DD29" s="11" t="n">
        <f aca="false">IF(DD$1&lt;Units!$P28,0,IF(AND(Units!$K28=0,DD$1=Units!$O28),Units!$R28,IF(AND(DD$1&gt;=Units!$Q28,MOD(DD$1-Units!$Q28,12)=0),IF(AND(Units!$L28=1,DD$1=Units!$Q28),IF(Units!$J28&lt;&gt;"",Units!$J28,Mkt!DD29),Inputs!$B$15*Mkt!DD29+(1-Inputs!$B$15)*MIN(Mkt!DD29,DC29*(1+Inputs!$B$18))),DC29)))</f>
        <v>2343.52465056709</v>
      </c>
      <c r="DE29" s="11" t="n">
        <f aca="false">IF(DE$1&lt;Units!$P28,0,IF(AND(Units!$K28=0,DE$1=Units!$O28),Units!$R28,IF(AND(DE$1&gt;=Units!$Q28,MOD(DE$1-Units!$Q28,12)=0),IF(AND(Units!$L28=1,DE$1=Units!$Q28),IF(Units!$J28&lt;&gt;"",Units!$J28,Mkt!DE29),Inputs!$B$15*Mkt!DE29+(1-Inputs!$B$15)*MIN(Mkt!DE29,DD29*(1+Inputs!$B$18))),DD29)))</f>
        <v>2343.52465056709</v>
      </c>
      <c r="DF29" s="11" t="n">
        <f aca="false">IF(DF$1&lt;Units!$P28,0,IF(AND(Units!$K28=0,DF$1=Units!$O28),Units!$R28,IF(AND(DF$1&gt;=Units!$Q28,MOD(DF$1-Units!$Q28,12)=0),IF(AND(Units!$L28=1,DF$1=Units!$Q28),IF(Units!$J28&lt;&gt;"",Units!$J28,Mkt!DF29),Inputs!$B$15*Mkt!DF29+(1-Inputs!$B$15)*MIN(Mkt!DF29,DE29*(1+Inputs!$B$18))),DE29)))</f>
        <v>2343.52465056709</v>
      </c>
      <c r="DG29" s="11" t="n">
        <f aca="false">IF(DG$1&lt;Units!$P28,0,IF(AND(Units!$K28=0,DG$1=Units!$O28),Units!$R28,IF(AND(DG$1&gt;=Units!$Q28,MOD(DG$1-Units!$Q28,12)=0),IF(AND(Units!$L28=1,DG$1=Units!$Q28),IF(Units!$J28&lt;&gt;"",Units!$J28,Mkt!DG29),Inputs!$B$15*Mkt!DG29+(1-Inputs!$B$15)*MIN(Mkt!DG29,DF29*(1+Inputs!$B$18))),DF29)))</f>
        <v>2343.52465056709</v>
      </c>
      <c r="DH29" s="11" t="n">
        <f aca="false">IF(DH$1&lt;Units!$P28,0,IF(AND(Units!$K28=0,DH$1=Units!$O28),Units!$R28,IF(AND(DH$1&gt;=Units!$Q28,MOD(DH$1-Units!$Q28,12)=0),IF(AND(Units!$L28=1,DH$1=Units!$Q28),IF(Units!$J28&lt;&gt;"",Units!$J28,Mkt!DH29),Inputs!$B$15*Mkt!DH29+(1-Inputs!$B$15)*MIN(Mkt!DH29,DG29*(1+Inputs!$B$18))),DG29)))</f>
        <v>2343.52465056709</v>
      </c>
      <c r="DI29" s="11" t="n">
        <f aca="false">IF(DI$1&lt;Units!$P28,0,IF(AND(Units!$K28=0,DI$1=Units!$O28),Units!$R28,IF(AND(DI$1&gt;=Units!$Q28,MOD(DI$1-Units!$Q28,12)=0),IF(AND(Units!$L28=1,DI$1=Units!$Q28),IF(Units!$J28&lt;&gt;"",Units!$J28,Mkt!DI29),Inputs!$B$15*Mkt!DI29+(1-Inputs!$B$15)*MIN(Mkt!DI29,DH29*(1+Inputs!$B$18))),DH29)))</f>
        <v>2343.52465056709</v>
      </c>
      <c r="DJ29" s="11" t="n">
        <f aca="false">IF(DJ$1&lt;Units!$P28,0,IF(AND(Units!$K28=0,DJ$1=Units!$O28),Units!$R28,IF(AND(DJ$1&gt;=Units!$Q28,MOD(DJ$1-Units!$Q28,12)=0),IF(AND(Units!$L28=1,DJ$1=Units!$Q28),IF(Units!$J28&lt;&gt;"",Units!$J28,Mkt!DJ29),Inputs!$B$15*Mkt!DJ29+(1-Inputs!$B$15)*MIN(Mkt!DJ29,DI29*(1+Inputs!$B$18))),DI29)))</f>
        <v>2413.8303900841</v>
      </c>
      <c r="DK29" s="11" t="n">
        <f aca="false">IF(DK$1&lt;Units!$P28,0,IF(AND(Units!$K28=0,DK$1=Units!$O28),Units!$R28,IF(AND(DK$1&gt;=Units!$Q28,MOD(DK$1-Units!$Q28,12)=0),IF(AND(Units!$L28=1,DK$1=Units!$Q28),IF(Units!$J28&lt;&gt;"",Units!$J28,Mkt!DK29),Inputs!$B$15*Mkt!DK29+(1-Inputs!$B$15)*MIN(Mkt!DK29,DJ29*(1+Inputs!$B$18))),DJ29)))</f>
        <v>2413.8303900841</v>
      </c>
      <c r="DL29" s="11" t="n">
        <f aca="false">IF(DL$1&lt;Units!$P28,0,IF(AND(Units!$K28=0,DL$1=Units!$O28),Units!$R28,IF(AND(DL$1&gt;=Units!$Q28,MOD(DL$1-Units!$Q28,12)=0),IF(AND(Units!$L28=1,DL$1=Units!$Q28),IF(Units!$J28&lt;&gt;"",Units!$J28,Mkt!DL29),Inputs!$B$15*Mkt!DL29+(1-Inputs!$B$15)*MIN(Mkt!DL29,DK29*(1+Inputs!$B$18))),DK29)))</f>
        <v>2413.8303900841</v>
      </c>
      <c r="DM29" s="11" t="n">
        <f aca="false">IF(DM$1&lt;Units!$P28,0,IF(AND(Units!$K28=0,DM$1=Units!$O28),Units!$R28,IF(AND(DM$1&gt;=Units!$Q28,MOD(DM$1-Units!$Q28,12)=0),IF(AND(Units!$L28=1,DM$1=Units!$Q28),IF(Units!$J28&lt;&gt;"",Units!$J28,Mkt!DM29),Inputs!$B$15*Mkt!DM29+(1-Inputs!$B$15)*MIN(Mkt!DM29,DL29*(1+Inputs!$B$18))),DL29)))</f>
        <v>2413.8303900841</v>
      </c>
      <c r="DN29" s="11" t="n">
        <f aca="false">IF(DN$1&lt;Units!$P28,0,IF(AND(Units!$K28=0,DN$1=Units!$O28),Units!$R28,IF(AND(DN$1&gt;=Units!$Q28,MOD(DN$1-Units!$Q28,12)=0),IF(AND(Units!$L28=1,DN$1=Units!$Q28),IF(Units!$J28&lt;&gt;"",Units!$J28,Mkt!DN29),Inputs!$B$15*Mkt!DN29+(1-Inputs!$B$15)*MIN(Mkt!DN29,DM29*(1+Inputs!$B$18))),DM29)))</f>
        <v>2413.8303900841</v>
      </c>
      <c r="DO29" s="11" t="n">
        <f aca="false">IF(DO$1&lt;Units!$P28,0,IF(AND(Units!$K28=0,DO$1=Units!$O28),Units!$R28,IF(AND(DO$1&gt;=Units!$Q28,MOD(DO$1-Units!$Q28,12)=0),IF(AND(Units!$L28=1,DO$1=Units!$Q28),IF(Units!$J28&lt;&gt;"",Units!$J28,Mkt!DO29),Inputs!$B$15*Mkt!DO29+(1-Inputs!$B$15)*MIN(Mkt!DO29,DN29*(1+Inputs!$B$18))),DN29)))</f>
        <v>2413.8303900841</v>
      </c>
      <c r="DP29" s="11" t="n">
        <f aca="false">IF(DP$1&lt;Units!$P28,0,IF(AND(Units!$K28=0,DP$1=Units!$O28),Units!$R28,IF(AND(DP$1&gt;=Units!$Q28,MOD(DP$1-Units!$Q28,12)=0),IF(AND(Units!$L28=1,DP$1=Units!$Q28),IF(Units!$J28&lt;&gt;"",Units!$J28,Mkt!DP29),Inputs!$B$15*Mkt!DP29+(1-Inputs!$B$15)*MIN(Mkt!DP29,DO29*(1+Inputs!$B$18))),DO29)))</f>
        <v>2413.8303900841</v>
      </c>
      <c r="DQ29" s="11" t="n">
        <f aca="false">IF(DQ$1&lt;Units!$P28,0,IF(AND(Units!$K28=0,DQ$1=Units!$O28),Units!$R28,IF(AND(DQ$1&gt;=Units!$Q28,MOD(DQ$1-Units!$Q28,12)=0),IF(AND(Units!$L28=1,DQ$1=Units!$Q28),IF(Units!$J28&lt;&gt;"",Units!$J28,Mkt!DQ29),Inputs!$B$15*Mkt!DQ29+(1-Inputs!$B$15)*MIN(Mkt!DQ29,DP29*(1+Inputs!$B$18))),DP29)))</f>
        <v>2413.8303900841</v>
      </c>
      <c r="DR29" s="11" t="n">
        <f aca="false">IF(DR$1&lt;Units!$P28,0,IF(AND(Units!$K28=0,DR$1=Units!$O28),Units!$R28,IF(AND(DR$1&gt;=Units!$Q28,MOD(DR$1-Units!$Q28,12)=0),IF(AND(Units!$L28=1,DR$1=Units!$Q28),IF(Units!$J28&lt;&gt;"",Units!$J28,Mkt!DR29),Inputs!$B$15*Mkt!DR29+(1-Inputs!$B$15)*MIN(Mkt!DR29,DQ29*(1+Inputs!$B$18))),DQ29)))</f>
        <v>2413.8303900841</v>
      </c>
      <c r="DS29" s="11" t="n">
        <f aca="false">IF(DS$1&lt;Units!$P28,0,IF(AND(Units!$K28=0,DS$1=Units!$O28),Units!$R28,IF(AND(DS$1&gt;=Units!$Q28,MOD(DS$1-Units!$Q28,12)=0),IF(AND(Units!$L28=1,DS$1=Units!$Q28),IF(Units!$J28&lt;&gt;"",Units!$J28,Mkt!DS29),Inputs!$B$15*Mkt!DS29+(1-Inputs!$B$15)*MIN(Mkt!DS29,DR29*(1+Inputs!$B$18))),DR29)))</f>
        <v>2413.8303900841</v>
      </c>
      <c r="DT29" s="11" t="n">
        <f aca="false">IF(DT$1&lt;Units!$P28,0,IF(AND(Units!$K28=0,DT$1=Units!$O28),Units!$R28,IF(AND(DT$1&gt;=Units!$Q28,MOD(DT$1-Units!$Q28,12)=0),IF(AND(Units!$L28=1,DT$1=Units!$Q28),IF(Units!$J28&lt;&gt;"",Units!$J28,Mkt!DT29),Inputs!$B$15*Mkt!DT29+(1-Inputs!$B$15)*MIN(Mkt!DT29,DS29*(1+Inputs!$B$18))),DS29)))</f>
        <v>2413.8303900841</v>
      </c>
      <c r="DU29" s="11" t="n">
        <f aca="false">IF(DU$1&lt;Units!$P28,0,IF(AND(Units!$K28=0,DU$1=Units!$O28),Units!$R28,IF(AND(DU$1&gt;=Units!$Q28,MOD(DU$1-Units!$Q28,12)=0),IF(AND(Units!$L28=1,DU$1=Units!$Q28),IF(Units!$J28&lt;&gt;"",Units!$J28,Mkt!DU29),Inputs!$B$15*Mkt!DU29+(1-Inputs!$B$15)*MIN(Mkt!DU29,DT29*(1+Inputs!$B$18))),DT29)))</f>
        <v>2413.8303900841</v>
      </c>
      <c r="DV29" s="11" t="n">
        <f aca="false">IF(DV$1&lt;Units!$P28,0,IF(AND(Units!$K28=0,DV$1=Units!$O28),Units!$R28,IF(AND(DV$1&gt;=Units!$Q28,MOD(DV$1-Units!$Q28,12)=0),IF(AND(Units!$L28=1,DV$1=Units!$Q28),IF(Units!$J28&lt;&gt;"",Units!$J28,Mkt!DV29),Inputs!$B$15*Mkt!DV29+(1-Inputs!$B$15)*MIN(Mkt!DV29,DU29*(1+Inputs!$B$18))),DU29)))</f>
        <v>2486.24530178663</v>
      </c>
      <c r="DW29" s="11" t="n">
        <f aca="false">IF(DW$1&lt;Units!$P28,0,IF(AND(Units!$K28=0,DW$1=Units!$O28),Units!$R28,IF(AND(DW$1&gt;=Units!$Q28,MOD(DW$1-Units!$Q28,12)=0),IF(AND(Units!$L28=1,DW$1=Units!$Q28),IF(Units!$J28&lt;&gt;"",Units!$J28,Mkt!DW29),Inputs!$B$15*Mkt!DW29+(1-Inputs!$B$15)*MIN(Mkt!DW29,DV29*(1+Inputs!$B$18))),DV29)))</f>
        <v>2486.24530178663</v>
      </c>
      <c r="DX29" s="11" t="n">
        <f aca="false">IF(DX$1&lt;Units!$P28,0,IF(AND(Units!$K28=0,DX$1=Units!$O28),Units!$R28,IF(AND(DX$1&gt;=Units!$Q28,MOD(DX$1-Units!$Q28,12)=0),IF(AND(Units!$L28=1,DX$1=Units!$Q28),IF(Units!$J28&lt;&gt;"",Units!$J28,Mkt!DX29),Inputs!$B$15*Mkt!DX29+(1-Inputs!$B$15)*MIN(Mkt!DX29,DW29*(1+Inputs!$B$18))),DW29)))</f>
        <v>2486.24530178663</v>
      </c>
      <c r="DY29" s="11" t="n">
        <f aca="false">IF(DY$1&lt;Units!$P28,0,IF(AND(Units!$K28=0,DY$1=Units!$O28),Units!$R28,IF(AND(DY$1&gt;=Units!$Q28,MOD(DY$1-Units!$Q28,12)=0),IF(AND(Units!$L28=1,DY$1=Units!$Q28),IF(Units!$J28&lt;&gt;"",Units!$J28,Mkt!DY29),Inputs!$B$15*Mkt!DY29+(1-Inputs!$B$15)*MIN(Mkt!DY29,DX29*(1+Inputs!$B$18))),DX29)))</f>
        <v>2486.24530178663</v>
      </c>
      <c r="DZ29" s="11" t="n">
        <f aca="false">IF(DZ$1&lt;Units!$P28,0,IF(AND(Units!$K28=0,DZ$1=Units!$O28),Units!$R28,IF(AND(DZ$1&gt;=Units!$Q28,MOD(DZ$1-Units!$Q28,12)=0),IF(AND(Units!$L28=1,DZ$1=Units!$Q28),IF(Units!$J28&lt;&gt;"",Units!$J28,Mkt!DZ29),Inputs!$B$15*Mkt!DZ29+(1-Inputs!$B$15)*MIN(Mkt!DZ29,DY29*(1+Inputs!$B$18))),DY29)))</f>
        <v>2486.24530178663</v>
      </c>
      <c r="EA29" s="11" t="n">
        <f aca="false">IF(EA$1&lt;Units!$P28,0,IF(AND(Units!$K28=0,EA$1=Units!$O28),Units!$R28,IF(AND(EA$1&gt;=Units!$Q28,MOD(EA$1-Units!$Q28,12)=0),IF(AND(Units!$L28=1,EA$1=Units!$Q28),IF(Units!$J28&lt;&gt;"",Units!$J28,Mkt!EA29),Inputs!$B$15*Mkt!EA29+(1-Inputs!$B$15)*MIN(Mkt!EA29,DZ29*(1+Inputs!$B$18))),DZ29)))</f>
        <v>2486.24530178663</v>
      </c>
      <c r="EB29" s="11" t="n">
        <f aca="false">IF(EB$1&lt;Units!$P28,0,IF(AND(Units!$K28=0,EB$1=Units!$O28),Units!$R28,IF(AND(EB$1&gt;=Units!$Q28,MOD(EB$1-Units!$Q28,12)=0),IF(AND(Units!$L28=1,EB$1=Units!$Q28),IF(Units!$J28&lt;&gt;"",Units!$J28,Mkt!EB29),Inputs!$B$15*Mkt!EB29+(1-Inputs!$B$15)*MIN(Mkt!EB29,EA29*(1+Inputs!$B$18))),EA29)))</f>
        <v>2486.24530178663</v>
      </c>
      <c r="EC29" s="11" t="n">
        <f aca="false">IF(EC$1&lt;Units!$P28,0,IF(AND(Units!$K28=0,EC$1=Units!$O28),Units!$R28,IF(AND(EC$1&gt;=Units!$Q28,MOD(EC$1-Units!$Q28,12)=0),IF(AND(Units!$L28=1,EC$1=Units!$Q28),IF(Units!$J28&lt;&gt;"",Units!$J28,Mkt!EC29),Inputs!$B$15*Mkt!EC29+(1-Inputs!$B$15)*MIN(Mkt!EC29,EB29*(1+Inputs!$B$18))),EB29)))</f>
        <v>2486.24530178663</v>
      </c>
      <c r="ED29" s="11" t="n">
        <f aca="false">IF(ED$1&lt;Units!$P28,0,IF(AND(Units!$K28=0,ED$1=Units!$O28),Units!$R28,IF(AND(ED$1&gt;=Units!$Q28,MOD(ED$1-Units!$Q28,12)=0),IF(AND(Units!$L28=1,ED$1=Units!$Q28),IF(Units!$J28&lt;&gt;"",Units!$J28,Mkt!ED29),Inputs!$B$15*Mkt!ED29+(1-Inputs!$B$15)*MIN(Mkt!ED29,EC29*(1+Inputs!$B$18))),EC29)))</f>
        <v>2486.24530178663</v>
      </c>
    </row>
    <row r="30" customFormat="false" ht="15" hidden="false" customHeight="false" outlineLevel="0" collapsed="false">
      <c r="A30" s="22" t="n">
        <f aca="false">Units!A29</f>
        <v>128</v>
      </c>
      <c r="B30" s="24" t="n">
        <f aca="false">IF(Units!K29=1,Units!F29,0)</f>
        <v>2130</v>
      </c>
      <c r="C30" s="11" t="n">
        <f aca="false">IF(C$1&lt;Units!$P29,0,IF(AND(Units!$K29=0,C$1=Units!$O29),Units!$R29,IF(AND(C$1&gt;=Units!$Q29,MOD(C$1-Units!$Q29,12)=0),IF(AND(Units!$L29=1,C$1=Units!$Q29),IF(Units!$J29&lt;&gt;"",Units!$J29,Mkt!C30),Inputs!$B$15*Mkt!C30+(1-Inputs!$B$15)*MIN(Mkt!C30,B30*(1+Inputs!$B$18))),B30)))</f>
        <v>2130</v>
      </c>
      <c r="D30" s="11" t="n">
        <f aca="false">IF(D$1&lt;Units!$P29,0,IF(AND(Units!$K29=0,D$1=Units!$O29),Units!$R29,IF(AND(D$1&gt;=Units!$Q29,MOD(D$1-Units!$Q29,12)=0),IF(AND(Units!$L29=1,D$1=Units!$Q29),IF(Units!$J29&lt;&gt;"",Units!$J29,Mkt!D30),Inputs!$B$15*Mkt!D30+(1-Inputs!$B$15)*MIN(Mkt!D30,C30*(1+Inputs!$B$18))),C30)))</f>
        <v>2130</v>
      </c>
      <c r="E30" s="11" t="n">
        <f aca="false">IF(E$1&lt;Units!$P29,0,IF(AND(Units!$K29=0,E$1=Units!$O29),Units!$R29,IF(AND(E$1&gt;=Units!$Q29,MOD(E$1-Units!$Q29,12)=0),IF(AND(Units!$L29=1,E$1=Units!$Q29),IF(Units!$J29&lt;&gt;"",Units!$J29,Mkt!E30),Inputs!$B$15*Mkt!E30+(1-Inputs!$B$15)*MIN(Mkt!E30,D30*(1+Inputs!$B$18))),D30)))</f>
        <v>2130</v>
      </c>
      <c r="F30" s="11" t="n">
        <f aca="false">IF(F$1&lt;Units!$P29,0,IF(AND(Units!$K29=0,F$1=Units!$O29),Units!$R29,IF(AND(F$1&gt;=Units!$Q29,MOD(F$1-Units!$Q29,12)=0),IF(AND(Units!$L29=1,F$1=Units!$Q29),IF(Units!$J29&lt;&gt;"",Units!$J29,Mkt!F30),Inputs!$B$15*Mkt!F30+(1-Inputs!$B$15)*MIN(Mkt!F30,E30*(1+Inputs!$B$18))),E30)))</f>
        <v>2130</v>
      </c>
      <c r="G30" s="11" t="n">
        <f aca="false">IF(G$1&lt;Units!$P29,0,IF(AND(Units!$K29=0,G$1=Units!$O29),Units!$R29,IF(AND(G$1&gt;=Units!$Q29,MOD(G$1-Units!$Q29,12)=0),IF(AND(Units!$L29=1,G$1=Units!$Q29),IF(Units!$J29&lt;&gt;"",Units!$J29,Mkt!G30),Inputs!$B$15*Mkt!G30+(1-Inputs!$B$15)*MIN(Mkt!G30,F30*(1+Inputs!$B$18))),F30)))</f>
        <v>2130</v>
      </c>
      <c r="H30" s="11" t="n">
        <f aca="false">IF(H$1&lt;Units!$P29,0,IF(AND(Units!$K29=0,H$1=Units!$O29),Units!$R29,IF(AND(H$1&gt;=Units!$Q29,MOD(H$1-Units!$Q29,12)=0),IF(AND(Units!$L29=1,H$1=Units!$Q29),IF(Units!$J29&lt;&gt;"",Units!$J29,Mkt!H30),Inputs!$B$15*Mkt!H30+(1-Inputs!$B$15)*MIN(Mkt!H30,G30*(1+Inputs!$B$18))),G30)))</f>
        <v>2130</v>
      </c>
      <c r="I30" s="11" t="n">
        <f aca="false">IF(I$1&lt;Units!$P29,0,IF(AND(Units!$K29=0,I$1=Units!$O29),Units!$R29,IF(AND(I$1&gt;=Units!$Q29,MOD(I$1-Units!$Q29,12)=0),IF(AND(Units!$L29=1,I$1=Units!$Q29),IF(Units!$J29&lt;&gt;"",Units!$J29,Mkt!I30),Inputs!$B$15*Mkt!I30+(1-Inputs!$B$15)*MIN(Mkt!I30,H30*(1+Inputs!$B$18))),H30)))</f>
        <v>2130</v>
      </c>
      <c r="J30" s="11" t="n">
        <f aca="false">IF(J$1&lt;Units!$P29,0,IF(AND(Units!$K29=0,J$1=Units!$O29),Units!$R29,IF(AND(J$1&gt;=Units!$Q29,MOD(J$1-Units!$Q29,12)=0),IF(AND(Units!$L29=1,J$1=Units!$Q29),IF(Units!$J29&lt;&gt;"",Units!$J29,Mkt!J30),Inputs!$B$15*Mkt!J30+(1-Inputs!$B$15)*MIN(Mkt!J30,I30*(1+Inputs!$B$18))),I30)))</f>
        <v>2130</v>
      </c>
      <c r="K30" s="11" t="n">
        <f aca="false">IF(K$1&lt;Units!$P29,0,IF(AND(Units!$K29=0,K$1=Units!$O29),Units!$R29,IF(AND(K$1&gt;=Units!$Q29,MOD(K$1-Units!$Q29,12)=0),IF(AND(Units!$L29=1,K$1=Units!$Q29),IF(Units!$J29&lt;&gt;"",Units!$J29,Mkt!K30),Inputs!$B$15*Mkt!K30+(1-Inputs!$B$15)*MIN(Mkt!K30,J30*(1+Inputs!$B$18))),J30)))</f>
        <v>2130</v>
      </c>
      <c r="L30" s="11" t="n">
        <f aca="false">IF(L$1&lt;Units!$P29,0,IF(AND(Units!$K29=0,L$1=Units!$O29),Units!$R29,IF(AND(L$1&gt;=Units!$Q29,MOD(L$1-Units!$Q29,12)=0),IF(AND(Units!$L29=1,L$1=Units!$Q29),IF(Units!$J29&lt;&gt;"",Units!$J29,Mkt!L30),Inputs!$B$15*Mkt!L30+(1-Inputs!$B$15)*MIN(Mkt!L30,K30*(1+Inputs!$B$18))),K30)))</f>
        <v>2130</v>
      </c>
      <c r="M30" s="11" t="n">
        <f aca="false">IF(M$1&lt;Units!$P29,0,IF(AND(Units!$K29=0,M$1=Units!$O29),Units!$R29,IF(AND(M$1&gt;=Units!$Q29,MOD(M$1-Units!$Q29,12)=0),IF(AND(Units!$L29=1,M$1=Units!$Q29),IF(Units!$J29&lt;&gt;"",Units!$J29,Mkt!M30),Inputs!$B$15*Mkt!M30+(1-Inputs!$B$15)*MIN(Mkt!M30,L30*(1+Inputs!$B$18))),L30)))</f>
        <v>2238.25</v>
      </c>
      <c r="N30" s="11" t="n">
        <f aca="false">IF(N$1&lt;Units!$P29,0,IF(AND(Units!$K29=0,N$1=Units!$O29),Units!$R29,IF(AND(N$1&gt;=Units!$Q29,MOD(N$1-Units!$Q29,12)=0),IF(AND(Units!$L29=1,N$1=Units!$Q29),IF(Units!$J29&lt;&gt;"",Units!$J29,Mkt!N30),Inputs!$B$15*Mkt!N30+(1-Inputs!$B$15)*MIN(Mkt!N30,M30*(1+Inputs!$B$18))),M30)))</f>
        <v>2238.25</v>
      </c>
      <c r="O30" s="11" t="n">
        <f aca="false">IF(O$1&lt;Units!$P29,0,IF(AND(Units!$K29=0,O$1=Units!$O29),Units!$R29,IF(AND(O$1&gt;=Units!$Q29,MOD(O$1-Units!$Q29,12)=0),IF(AND(Units!$L29=1,O$1=Units!$Q29),IF(Units!$J29&lt;&gt;"",Units!$J29,Mkt!O30),Inputs!$B$15*Mkt!O30+(1-Inputs!$B$15)*MIN(Mkt!O30,N30*(1+Inputs!$B$18))),N30)))</f>
        <v>2238.25</v>
      </c>
      <c r="P30" s="11" t="n">
        <f aca="false">IF(P$1&lt;Units!$P29,0,IF(AND(Units!$K29=0,P$1=Units!$O29),Units!$R29,IF(AND(P$1&gt;=Units!$Q29,MOD(P$1-Units!$Q29,12)=0),IF(AND(Units!$L29=1,P$1=Units!$Q29),IF(Units!$J29&lt;&gt;"",Units!$J29,Mkt!P30),Inputs!$B$15*Mkt!P30+(1-Inputs!$B$15)*MIN(Mkt!P30,O30*(1+Inputs!$B$18))),O30)))</f>
        <v>2238.25</v>
      </c>
      <c r="Q30" s="11" t="n">
        <f aca="false">IF(Q$1&lt;Units!$P29,0,IF(AND(Units!$K29=0,Q$1=Units!$O29),Units!$R29,IF(AND(Q$1&gt;=Units!$Q29,MOD(Q$1-Units!$Q29,12)=0),IF(AND(Units!$L29=1,Q$1=Units!$Q29),IF(Units!$J29&lt;&gt;"",Units!$J29,Mkt!Q30),Inputs!$B$15*Mkt!Q30+(1-Inputs!$B$15)*MIN(Mkt!Q30,P30*(1+Inputs!$B$18))),P30)))</f>
        <v>2238.25</v>
      </c>
      <c r="R30" s="11" t="n">
        <f aca="false">IF(R$1&lt;Units!$P29,0,IF(AND(Units!$K29=0,R$1=Units!$O29),Units!$R29,IF(AND(R$1&gt;=Units!$Q29,MOD(R$1-Units!$Q29,12)=0),IF(AND(Units!$L29=1,R$1=Units!$Q29),IF(Units!$J29&lt;&gt;"",Units!$J29,Mkt!R30),Inputs!$B$15*Mkt!R30+(1-Inputs!$B$15)*MIN(Mkt!R30,Q30*(1+Inputs!$B$18))),Q30)))</f>
        <v>2238.25</v>
      </c>
      <c r="S30" s="11" t="n">
        <f aca="false">IF(S$1&lt;Units!$P29,0,IF(AND(Units!$K29=0,S$1=Units!$O29),Units!$R29,IF(AND(S$1&gt;=Units!$Q29,MOD(S$1-Units!$Q29,12)=0),IF(AND(Units!$L29=1,S$1=Units!$Q29),IF(Units!$J29&lt;&gt;"",Units!$J29,Mkt!S30),Inputs!$B$15*Mkt!S30+(1-Inputs!$B$15)*MIN(Mkt!S30,R30*(1+Inputs!$B$18))),R30)))</f>
        <v>2238.25</v>
      </c>
      <c r="T30" s="11" t="n">
        <f aca="false">IF(T$1&lt;Units!$P29,0,IF(AND(Units!$K29=0,T$1=Units!$O29),Units!$R29,IF(AND(T$1&gt;=Units!$Q29,MOD(T$1-Units!$Q29,12)=0),IF(AND(Units!$L29=1,T$1=Units!$Q29),IF(Units!$J29&lt;&gt;"",Units!$J29,Mkt!T30),Inputs!$B$15*Mkt!T30+(1-Inputs!$B$15)*MIN(Mkt!T30,S30*(1+Inputs!$B$18))),S30)))</f>
        <v>2238.25</v>
      </c>
      <c r="U30" s="11" t="n">
        <f aca="false">IF(U$1&lt;Units!$P29,0,IF(AND(Units!$K29=0,U$1=Units!$O29),Units!$R29,IF(AND(U$1&gt;=Units!$Q29,MOD(U$1-Units!$Q29,12)=0),IF(AND(Units!$L29=1,U$1=Units!$Q29),IF(Units!$J29&lt;&gt;"",Units!$J29,Mkt!U30),Inputs!$B$15*Mkt!U30+(1-Inputs!$B$15)*MIN(Mkt!U30,T30*(1+Inputs!$B$18))),T30)))</f>
        <v>2238.25</v>
      </c>
      <c r="V30" s="11" t="n">
        <f aca="false">IF(V$1&lt;Units!$P29,0,IF(AND(Units!$K29=0,V$1=Units!$O29),Units!$R29,IF(AND(V$1&gt;=Units!$Q29,MOD(V$1-Units!$Q29,12)=0),IF(AND(Units!$L29=1,V$1=Units!$Q29),IF(Units!$J29&lt;&gt;"",Units!$J29,Mkt!V30),Inputs!$B$15*Mkt!V30+(1-Inputs!$B$15)*MIN(Mkt!V30,U30*(1+Inputs!$B$18))),U30)))</f>
        <v>2238.25</v>
      </c>
      <c r="W30" s="11" t="n">
        <f aca="false">IF(W$1&lt;Units!$P29,0,IF(AND(Units!$K29=0,W$1=Units!$O29),Units!$R29,IF(AND(W$1&gt;=Units!$Q29,MOD(W$1-Units!$Q29,12)=0),IF(AND(Units!$L29=1,W$1=Units!$Q29),IF(Units!$J29&lt;&gt;"",Units!$J29,Mkt!W30),Inputs!$B$15*Mkt!W30+(1-Inputs!$B$15)*MIN(Mkt!W30,V30*(1+Inputs!$B$18))),V30)))</f>
        <v>2238.25</v>
      </c>
      <c r="X30" s="11" t="n">
        <f aca="false">IF(X$1&lt;Units!$P29,0,IF(AND(Units!$K29=0,X$1=Units!$O29),Units!$R29,IF(AND(X$1&gt;=Units!$Q29,MOD(X$1-Units!$Q29,12)=0),IF(AND(Units!$L29=1,X$1=Units!$Q29),IF(Units!$J29&lt;&gt;"",Units!$J29,Mkt!X30),Inputs!$B$15*Mkt!X30+(1-Inputs!$B$15)*MIN(Mkt!X30,W30*(1+Inputs!$B$18))),W30)))</f>
        <v>2238.25</v>
      </c>
      <c r="Y30" s="11" t="n">
        <f aca="false">IF(Y$1&lt;Units!$P29,0,IF(AND(Units!$K29=0,Y$1=Units!$O29),Units!$R29,IF(AND(Y$1&gt;=Units!$Q29,MOD(Y$1-Units!$Q29,12)=0),IF(AND(Units!$L29=1,Y$1=Units!$Q29),IF(Units!$J29&lt;&gt;"",Units!$J29,Mkt!Y30),Inputs!$B$15*Mkt!Y30+(1-Inputs!$B$15)*MIN(Mkt!Y30,X30*(1+Inputs!$B$18))),X30)))</f>
        <v>2307.2</v>
      </c>
      <c r="Z30" s="11" t="n">
        <f aca="false">IF(Z$1&lt;Units!$P29,0,IF(AND(Units!$K29=0,Z$1=Units!$O29),Units!$R29,IF(AND(Z$1&gt;=Units!$Q29,MOD(Z$1-Units!$Q29,12)=0),IF(AND(Units!$L29=1,Z$1=Units!$Q29),IF(Units!$J29&lt;&gt;"",Units!$J29,Mkt!Z30),Inputs!$B$15*Mkt!Z30+(1-Inputs!$B$15)*MIN(Mkt!Z30,Y30*(1+Inputs!$B$18))),Y30)))</f>
        <v>2307.2</v>
      </c>
      <c r="AA30" s="11" t="n">
        <f aca="false">IF(AA$1&lt;Units!$P29,0,IF(AND(Units!$K29=0,AA$1=Units!$O29),Units!$R29,IF(AND(AA$1&gt;=Units!$Q29,MOD(AA$1-Units!$Q29,12)=0),IF(AND(Units!$L29=1,AA$1=Units!$Q29),IF(Units!$J29&lt;&gt;"",Units!$J29,Mkt!AA30),Inputs!$B$15*Mkt!AA30+(1-Inputs!$B$15)*MIN(Mkt!AA30,Z30*(1+Inputs!$B$18))),Z30)))</f>
        <v>2307.2</v>
      </c>
      <c r="AB30" s="11" t="n">
        <f aca="false">IF(AB$1&lt;Units!$P29,0,IF(AND(Units!$K29=0,AB$1=Units!$O29),Units!$R29,IF(AND(AB$1&gt;=Units!$Q29,MOD(AB$1-Units!$Q29,12)=0),IF(AND(Units!$L29=1,AB$1=Units!$Q29),IF(Units!$J29&lt;&gt;"",Units!$J29,Mkt!AB30),Inputs!$B$15*Mkt!AB30+(1-Inputs!$B$15)*MIN(Mkt!AB30,AA30*(1+Inputs!$B$18))),AA30)))</f>
        <v>2307.2</v>
      </c>
      <c r="AC30" s="11" t="n">
        <f aca="false">IF(AC$1&lt;Units!$P29,0,IF(AND(Units!$K29=0,AC$1=Units!$O29),Units!$R29,IF(AND(AC$1&gt;=Units!$Q29,MOD(AC$1-Units!$Q29,12)=0),IF(AND(Units!$L29=1,AC$1=Units!$Q29),IF(Units!$J29&lt;&gt;"",Units!$J29,Mkt!AC30),Inputs!$B$15*Mkt!AC30+(1-Inputs!$B$15)*MIN(Mkt!AC30,AB30*(1+Inputs!$B$18))),AB30)))</f>
        <v>2307.2</v>
      </c>
      <c r="AD30" s="11" t="n">
        <f aca="false">IF(AD$1&lt;Units!$P29,0,IF(AND(Units!$K29=0,AD$1=Units!$O29),Units!$R29,IF(AND(AD$1&gt;=Units!$Q29,MOD(AD$1-Units!$Q29,12)=0),IF(AND(Units!$L29=1,AD$1=Units!$Q29),IF(Units!$J29&lt;&gt;"",Units!$J29,Mkt!AD30),Inputs!$B$15*Mkt!AD30+(1-Inputs!$B$15)*MIN(Mkt!AD30,AC30*(1+Inputs!$B$18))),AC30)))</f>
        <v>2307.2</v>
      </c>
      <c r="AE30" s="11" t="n">
        <f aca="false">IF(AE$1&lt;Units!$P29,0,IF(AND(Units!$K29=0,AE$1=Units!$O29),Units!$R29,IF(AND(AE$1&gt;=Units!$Q29,MOD(AE$1-Units!$Q29,12)=0),IF(AND(Units!$L29=1,AE$1=Units!$Q29),IF(Units!$J29&lt;&gt;"",Units!$J29,Mkt!AE30),Inputs!$B$15*Mkt!AE30+(1-Inputs!$B$15)*MIN(Mkt!AE30,AD30*(1+Inputs!$B$18))),AD30)))</f>
        <v>2307.2</v>
      </c>
      <c r="AF30" s="11" t="n">
        <f aca="false">IF(AF$1&lt;Units!$P29,0,IF(AND(Units!$K29=0,AF$1=Units!$O29),Units!$R29,IF(AND(AF$1&gt;=Units!$Q29,MOD(AF$1-Units!$Q29,12)=0),IF(AND(Units!$L29=1,AF$1=Units!$Q29),IF(Units!$J29&lt;&gt;"",Units!$J29,Mkt!AF30),Inputs!$B$15*Mkt!AF30+(1-Inputs!$B$15)*MIN(Mkt!AF30,AE30*(1+Inputs!$B$18))),AE30)))</f>
        <v>2307.2</v>
      </c>
      <c r="AG30" s="11" t="n">
        <f aca="false">IF(AG$1&lt;Units!$P29,0,IF(AND(Units!$K29=0,AG$1=Units!$O29),Units!$R29,IF(AND(AG$1&gt;=Units!$Q29,MOD(AG$1-Units!$Q29,12)=0),IF(AND(Units!$L29=1,AG$1=Units!$Q29),IF(Units!$J29&lt;&gt;"",Units!$J29,Mkt!AG30),Inputs!$B$15*Mkt!AG30+(1-Inputs!$B$15)*MIN(Mkt!AG30,AF30*(1+Inputs!$B$18))),AF30)))</f>
        <v>2307.2</v>
      </c>
      <c r="AH30" s="11" t="n">
        <f aca="false">IF(AH$1&lt;Units!$P29,0,IF(AND(Units!$K29=0,AH$1=Units!$O29),Units!$R29,IF(AND(AH$1&gt;=Units!$Q29,MOD(AH$1-Units!$Q29,12)=0),IF(AND(Units!$L29=1,AH$1=Units!$Q29),IF(Units!$J29&lt;&gt;"",Units!$J29,Mkt!AH30),Inputs!$B$15*Mkt!AH30+(1-Inputs!$B$15)*MIN(Mkt!AH30,AG30*(1+Inputs!$B$18))),AG30)))</f>
        <v>2307.2</v>
      </c>
      <c r="AI30" s="11" t="n">
        <f aca="false">IF(AI$1&lt;Units!$P29,0,IF(AND(Units!$K29=0,AI$1=Units!$O29),Units!$R29,IF(AND(AI$1&gt;=Units!$Q29,MOD(AI$1-Units!$Q29,12)=0),IF(AND(Units!$L29=1,AI$1=Units!$Q29),IF(Units!$J29&lt;&gt;"",Units!$J29,Mkt!AI30),Inputs!$B$15*Mkt!AI30+(1-Inputs!$B$15)*MIN(Mkt!AI30,AH30*(1+Inputs!$B$18))),AH30)))</f>
        <v>2307.2</v>
      </c>
      <c r="AJ30" s="11" t="n">
        <f aca="false">IF(AJ$1&lt;Units!$P29,0,IF(AND(Units!$K29=0,AJ$1=Units!$O29),Units!$R29,IF(AND(AJ$1&gt;=Units!$Q29,MOD(AJ$1-Units!$Q29,12)=0),IF(AND(Units!$L29=1,AJ$1=Units!$Q29),IF(Units!$J29&lt;&gt;"",Units!$J29,Mkt!AJ30),Inputs!$B$15*Mkt!AJ30+(1-Inputs!$B$15)*MIN(Mkt!AJ30,AI30*(1+Inputs!$B$18))),AI30)))</f>
        <v>2307.2</v>
      </c>
      <c r="AK30" s="11" t="n">
        <f aca="false">IF(AK$1&lt;Units!$P29,0,IF(AND(Units!$K29=0,AK$1=Units!$O29),Units!$R29,IF(AND(AK$1&gt;=Units!$Q29,MOD(AK$1-Units!$Q29,12)=0),IF(AND(Units!$L29=1,AK$1=Units!$Q29),IF(Units!$J29&lt;&gt;"",Units!$J29,Mkt!AK30),Inputs!$B$15*Mkt!AK30+(1-Inputs!$B$15)*MIN(Mkt!AK30,AJ30*(1+Inputs!$B$18))),AJ30)))</f>
        <v>2376.416</v>
      </c>
      <c r="AL30" s="11" t="n">
        <f aca="false">IF(AL$1&lt;Units!$P29,0,IF(AND(Units!$K29=0,AL$1=Units!$O29),Units!$R29,IF(AND(AL$1&gt;=Units!$Q29,MOD(AL$1-Units!$Q29,12)=0),IF(AND(Units!$L29=1,AL$1=Units!$Q29),IF(Units!$J29&lt;&gt;"",Units!$J29,Mkt!AL30),Inputs!$B$15*Mkt!AL30+(1-Inputs!$B$15)*MIN(Mkt!AL30,AK30*(1+Inputs!$B$18))),AK30)))</f>
        <v>2376.416</v>
      </c>
      <c r="AM30" s="11" t="n">
        <f aca="false">IF(AM$1&lt;Units!$P29,0,IF(AND(Units!$K29=0,AM$1=Units!$O29),Units!$R29,IF(AND(AM$1&gt;=Units!$Q29,MOD(AM$1-Units!$Q29,12)=0),IF(AND(Units!$L29=1,AM$1=Units!$Q29),IF(Units!$J29&lt;&gt;"",Units!$J29,Mkt!AM30),Inputs!$B$15*Mkt!AM30+(1-Inputs!$B$15)*MIN(Mkt!AM30,AL30*(1+Inputs!$B$18))),AL30)))</f>
        <v>2376.416</v>
      </c>
      <c r="AN30" s="11" t="n">
        <f aca="false">IF(AN$1&lt;Units!$P29,0,IF(AND(Units!$K29=0,AN$1=Units!$O29),Units!$R29,IF(AND(AN$1&gt;=Units!$Q29,MOD(AN$1-Units!$Q29,12)=0),IF(AND(Units!$L29=1,AN$1=Units!$Q29),IF(Units!$J29&lt;&gt;"",Units!$J29,Mkt!AN30),Inputs!$B$15*Mkt!AN30+(1-Inputs!$B$15)*MIN(Mkt!AN30,AM30*(1+Inputs!$B$18))),AM30)))</f>
        <v>2376.416</v>
      </c>
      <c r="AO30" s="11" t="n">
        <f aca="false">IF(AO$1&lt;Units!$P29,0,IF(AND(Units!$K29=0,AO$1=Units!$O29),Units!$R29,IF(AND(AO$1&gt;=Units!$Q29,MOD(AO$1-Units!$Q29,12)=0),IF(AND(Units!$L29=1,AO$1=Units!$Q29),IF(Units!$J29&lt;&gt;"",Units!$J29,Mkt!AO30),Inputs!$B$15*Mkt!AO30+(1-Inputs!$B$15)*MIN(Mkt!AO30,AN30*(1+Inputs!$B$18))),AN30)))</f>
        <v>2376.416</v>
      </c>
      <c r="AP30" s="11" t="n">
        <f aca="false">IF(AP$1&lt;Units!$P29,0,IF(AND(Units!$K29=0,AP$1=Units!$O29),Units!$R29,IF(AND(AP$1&gt;=Units!$Q29,MOD(AP$1-Units!$Q29,12)=0),IF(AND(Units!$L29=1,AP$1=Units!$Q29),IF(Units!$J29&lt;&gt;"",Units!$J29,Mkt!AP30),Inputs!$B$15*Mkt!AP30+(1-Inputs!$B$15)*MIN(Mkt!AP30,AO30*(1+Inputs!$B$18))),AO30)))</f>
        <v>2376.416</v>
      </c>
      <c r="AQ30" s="11" t="n">
        <f aca="false">IF(AQ$1&lt;Units!$P29,0,IF(AND(Units!$K29=0,AQ$1=Units!$O29),Units!$R29,IF(AND(AQ$1&gt;=Units!$Q29,MOD(AQ$1-Units!$Q29,12)=0),IF(AND(Units!$L29=1,AQ$1=Units!$Q29),IF(Units!$J29&lt;&gt;"",Units!$J29,Mkt!AQ30),Inputs!$B$15*Mkt!AQ30+(1-Inputs!$B$15)*MIN(Mkt!AQ30,AP30*(1+Inputs!$B$18))),AP30)))</f>
        <v>2376.416</v>
      </c>
      <c r="AR30" s="11" t="n">
        <f aca="false">IF(AR$1&lt;Units!$P29,0,IF(AND(Units!$K29=0,AR$1=Units!$O29),Units!$R29,IF(AND(AR$1&gt;=Units!$Q29,MOD(AR$1-Units!$Q29,12)=0),IF(AND(Units!$L29=1,AR$1=Units!$Q29),IF(Units!$J29&lt;&gt;"",Units!$J29,Mkt!AR30),Inputs!$B$15*Mkt!AR30+(1-Inputs!$B$15)*MIN(Mkt!AR30,AQ30*(1+Inputs!$B$18))),AQ30)))</f>
        <v>2376.416</v>
      </c>
      <c r="AS30" s="11" t="n">
        <f aca="false">IF(AS$1&lt;Units!$P29,0,IF(AND(Units!$K29=0,AS$1=Units!$O29),Units!$R29,IF(AND(AS$1&gt;=Units!$Q29,MOD(AS$1-Units!$Q29,12)=0),IF(AND(Units!$L29=1,AS$1=Units!$Q29),IF(Units!$J29&lt;&gt;"",Units!$J29,Mkt!AS30),Inputs!$B$15*Mkt!AS30+(1-Inputs!$B$15)*MIN(Mkt!AS30,AR30*(1+Inputs!$B$18))),AR30)))</f>
        <v>2376.416</v>
      </c>
      <c r="AT30" s="11" t="n">
        <f aca="false">IF(AT$1&lt;Units!$P29,0,IF(AND(Units!$K29=0,AT$1=Units!$O29),Units!$R29,IF(AND(AT$1&gt;=Units!$Q29,MOD(AT$1-Units!$Q29,12)=0),IF(AND(Units!$L29=1,AT$1=Units!$Q29),IF(Units!$J29&lt;&gt;"",Units!$J29,Mkt!AT30),Inputs!$B$15*Mkt!AT30+(1-Inputs!$B$15)*MIN(Mkt!AT30,AS30*(1+Inputs!$B$18))),AS30)))</f>
        <v>2376.416</v>
      </c>
      <c r="AU30" s="11" t="n">
        <f aca="false">IF(AU$1&lt;Units!$P29,0,IF(AND(Units!$K29=0,AU$1=Units!$O29),Units!$R29,IF(AND(AU$1&gt;=Units!$Q29,MOD(AU$1-Units!$Q29,12)=0),IF(AND(Units!$L29=1,AU$1=Units!$Q29),IF(Units!$J29&lt;&gt;"",Units!$J29,Mkt!AU30),Inputs!$B$15*Mkt!AU30+(1-Inputs!$B$15)*MIN(Mkt!AU30,AT30*(1+Inputs!$B$18))),AT30)))</f>
        <v>2376.416</v>
      </c>
      <c r="AV30" s="11" t="n">
        <f aca="false">IF(AV$1&lt;Units!$P29,0,IF(AND(Units!$K29=0,AV$1=Units!$O29),Units!$R29,IF(AND(AV$1&gt;=Units!$Q29,MOD(AV$1-Units!$Q29,12)=0),IF(AND(Units!$L29=1,AV$1=Units!$Q29),IF(Units!$J29&lt;&gt;"",Units!$J29,Mkt!AV30),Inputs!$B$15*Mkt!AV30+(1-Inputs!$B$15)*MIN(Mkt!AV30,AU30*(1+Inputs!$B$18))),AU30)))</f>
        <v>2376.416</v>
      </c>
      <c r="AW30" s="11" t="n">
        <f aca="false">IF(AW$1&lt;Units!$P29,0,IF(AND(Units!$K29=0,AW$1=Units!$O29),Units!$R29,IF(AND(AW$1&gt;=Units!$Q29,MOD(AW$1-Units!$Q29,12)=0),IF(AND(Units!$L29=1,AW$1=Units!$Q29),IF(Units!$J29&lt;&gt;"",Units!$J29,Mkt!AW30),Inputs!$B$15*Mkt!AW30+(1-Inputs!$B$15)*MIN(Mkt!AW30,AV30*(1+Inputs!$B$18))),AV30)))</f>
        <v>2447.70848</v>
      </c>
      <c r="AX30" s="11" t="n">
        <f aca="false">IF(AX$1&lt;Units!$P29,0,IF(AND(Units!$K29=0,AX$1=Units!$O29),Units!$R29,IF(AND(AX$1&gt;=Units!$Q29,MOD(AX$1-Units!$Q29,12)=0),IF(AND(Units!$L29=1,AX$1=Units!$Q29),IF(Units!$J29&lt;&gt;"",Units!$J29,Mkt!AX30),Inputs!$B$15*Mkt!AX30+(1-Inputs!$B$15)*MIN(Mkt!AX30,AW30*(1+Inputs!$B$18))),AW30)))</f>
        <v>2447.70848</v>
      </c>
      <c r="AY30" s="11" t="n">
        <f aca="false">IF(AY$1&lt;Units!$P29,0,IF(AND(Units!$K29=0,AY$1=Units!$O29),Units!$R29,IF(AND(AY$1&gt;=Units!$Q29,MOD(AY$1-Units!$Q29,12)=0),IF(AND(Units!$L29=1,AY$1=Units!$Q29),IF(Units!$J29&lt;&gt;"",Units!$J29,Mkt!AY30),Inputs!$B$15*Mkt!AY30+(1-Inputs!$B$15)*MIN(Mkt!AY30,AX30*(1+Inputs!$B$18))),AX30)))</f>
        <v>2447.70848</v>
      </c>
      <c r="AZ30" s="11" t="n">
        <f aca="false">IF(AZ$1&lt;Units!$P29,0,IF(AND(Units!$K29=0,AZ$1=Units!$O29),Units!$R29,IF(AND(AZ$1&gt;=Units!$Q29,MOD(AZ$1-Units!$Q29,12)=0),IF(AND(Units!$L29=1,AZ$1=Units!$Q29),IF(Units!$J29&lt;&gt;"",Units!$J29,Mkt!AZ30),Inputs!$B$15*Mkt!AZ30+(1-Inputs!$B$15)*MIN(Mkt!AZ30,AY30*(1+Inputs!$B$18))),AY30)))</f>
        <v>2447.70848</v>
      </c>
      <c r="BA30" s="11" t="n">
        <f aca="false">IF(BA$1&lt;Units!$P29,0,IF(AND(Units!$K29=0,BA$1=Units!$O29),Units!$R29,IF(AND(BA$1&gt;=Units!$Q29,MOD(BA$1-Units!$Q29,12)=0),IF(AND(Units!$L29=1,BA$1=Units!$Q29),IF(Units!$J29&lt;&gt;"",Units!$J29,Mkt!BA30),Inputs!$B$15*Mkt!BA30+(1-Inputs!$B$15)*MIN(Mkt!BA30,AZ30*(1+Inputs!$B$18))),AZ30)))</f>
        <v>2447.70848</v>
      </c>
      <c r="BB30" s="11" t="n">
        <f aca="false">IF(BB$1&lt;Units!$P29,0,IF(AND(Units!$K29=0,BB$1=Units!$O29),Units!$R29,IF(AND(BB$1&gt;=Units!$Q29,MOD(BB$1-Units!$Q29,12)=0),IF(AND(Units!$L29=1,BB$1=Units!$Q29),IF(Units!$J29&lt;&gt;"",Units!$J29,Mkt!BB30),Inputs!$B$15*Mkt!BB30+(1-Inputs!$B$15)*MIN(Mkt!BB30,BA30*(1+Inputs!$B$18))),BA30)))</f>
        <v>2447.70848</v>
      </c>
      <c r="BC30" s="11" t="n">
        <f aca="false">IF(BC$1&lt;Units!$P29,0,IF(AND(Units!$K29=0,BC$1=Units!$O29),Units!$R29,IF(AND(BC$1&gt;=Units!$Q29,MOD(BC$1-Units!$Q29,12)=0),IF(AND(Units!$L29=1,BC$1=Units!$Q29),IF(Units!$J29&lt;&gt;"",Units!$J29,Mkt!BC30),Inputs!$B$15*Mkt!BC30+(1-Inputs!$B$15)*MIN(Mkt!BC30,BB30*(1+Inputs!$B$18))),BB30)))</f>
        <v>2447.70848</v>
      </c>
      <c r="BD30" s="11" t="n">
        <f aca="false">IF(BD$1&lt;Units!$P29,0,IF(AND(Units!$K29=0,BD$1=Units!$O29),Units!$R29,IF(AND(BD$1&gt;=Units!$Q29,MOD(BD$1-Units!$Q29,12)=0),IF(AND(Units!$L29=1,BD$1=Units!$Q29),IF(Units!$J29&lt;&gt;"",Units!$J29,Mkt!BD30),Inputs!$B$15*Mkt!BD30+(1-Inputs!$B$15)*MIN(Mkt!BD30,BC30*(1+Inputs!$B$18))),BC30)))</f>
        <v>2447.70848</v>
      </c>
      <c r="BE30" s="11" t="n">
        <f aca="false">IF(BE$1&lt;Units!$P29,0,IF(AND(Units!$K29=0,BE$1=Units!$O29),Units!$R29,IF(AND(BE$1&gt;=Units!$Q29,MOD(BE$1-Units!$Q29,12)=0),IF(AND(Units!$L29=1,BE$1=Units!$Q29),IF(Units!$J29&lt;&gt;"",Units!$J29,Mkt!BE30),Inputs!$B$15*Mkt!BE30+(1-Inputs!$B$15)*MIN(Mkt!BE30,BD30*(1+Inputs!$B$18))),BD30)))</f>
        <v>2447.70848</v>
      </c>
      <c r="BF30" s="11" t="n">
        <f aca="false">IF(BF$1&lt;Units!$P29,0,IF(AND(Units!$K29=0,BF$1=Units!$O29),Units!$R29,IF(AND(BF$1&gt;=Units!$Q29,MOD(BF$1-Units!$Q29,12)=0),IF(AND(Units!$L29=1,BF$1=Units!$Q29),IF(Units!$J29&lt;&gt;"",Units!$J29,Mkt!BF30),Inputs!$B$15*Mkt!BF30+(1-Inputs!$B$15)*MIN(Mkt!BF30,BE30*(1+Inputs!$B$18))),BE30)))</f>
        <v>2447.70848</v>
      </c>
      <c r="BG30" s="11" t="n">
        <f aca="false">IF(BG$1&lt;Units!$P29,0,IF(AND(Units!$K29=0,BG$1=Units!$O29),Units!$R29,IF(AND(BG$1&gt;=Units!$Q29,MOD(BG$1-Units!$Q29,12)=0),IF(AND(Units!$L29=1,BG$1=Units!$Q29),IF(Units!$J29&lt;&gt;"",Units!$J29,Mkt!BG30),Inputs!$B$15*Mkt!BG30+(1-Inputs!$B$15)*MIN(Mkt!BG30,BF30*(1+Inputs!$B$18))),BF30)))</f>
        <v>2447.70848</v>
      </c>
      <c r="BH30" s="11" t="n">
        <f aca="false">IF(BH$1&lt;Units!$P29,0,IF(AND(Units!$K29=0,BH$1=Units!$O29),Units!$R29,IF(AND(BH$1&gt;=Units!$Q29,MOD(BH$1-Units!$Q29,12)=0),IF(AND(Units!$L29=1,BH$1=Units!$Q29),IF(Units!$J29&lt;&gt;"",Units!$J29,Mkt!BH30),Inputs!$B$15*Mkt!BH30+(1-Inputs!$B$15)*MIN(Mkt!BH30,BG30*(1+Inputs!$B$18))),BG30)))</f>
        <v>2447.70848</v>
      </c>
      <c r="BI30" s="11" t="n">
        <f aca="false">IF(BI$1&lt;Units!$P29,0,IF(AND(Units!$K29=0,BI$1=Units!$O29),Units!$R29,IF(AND(BI$1&gt;=Units!$Q29,MOD(BI$1-Units!$Q29,12)=0),IF(AND(Units!$L29=1,BI$1=Units!$Q29),IF(Units!$J29&lt;&gt;"",Units!$J29,Mkt!BI30),Inputs!$B$15*Mkt!BI30+(1-Inputs!$B$15)*MIN(Mkt!BI30,BH30*(1+Inputs!$B$18))),BH30)))</f>
        <v>2521.1397344</v>
      </c>
      <c r="BJ30" s="11" t="n">
        <f aca="false">IF(BJ$1&lt;Units!$P29,0,IF(AND(Units!$K29=0,BJ$1=Units!$O29),Units!$R29,IF(AND(BJ$1&gt;=Units!$Q29,MOD(BJ$1-Units!$Q29,12)=0),IF(AND(Units!$L29=1,BJ$1=Units!$Q29),IF(Units!$J29&lt;&gt;"",Units!$J29,Mkt!BJ30),Inputs!$B$15*Mkt!BJ30+(1-Inputs!$B$15)*MIN(Mkt!BJ30,BI30*(1+Inputs!$B$18))),BI30)))</f>
        <v>2521.1397344</v>
      </c>
      <c r="BK30" s="11" t="n">
        <f aca="false">IF(BK$1&lt;Units!$P29,0,IF(AND(Units!$K29=0,BK$1=Units!$O29),Units!$R29,IF(AND(BK$1&gt;=Units!$Q29,MOD(BK$1-Units!$Q29,12)=0),IF(AND(Units!$L29=1,BK$1=Units!$Q29),IF(Units!$J29&lt;&gt;"",Units!$J29,Mkt!BK30),Inputs!$B$15*Mkt!BK30+(1-Inputs!$B$15)*MIN(Mkt!BK30,BJ30*(1+Inputs!$B$18))),BJ30)))</f>
        <v>2521.1397344</v>
      </c>
      <c r="BL30" s="11" t="n">
        <f aca="false">IF(BL$1&lt;Units!$P29,0,IF(AND(Units!$K29=0,BL$1=Units!$O29),Units!$R29,IF(AND(BL$1&gt;=Units!$Q29,MOD(BL$1-Units!$Q29,12)=0),IF(AND(Units!$L29=1,BL$1=Units!$Q29),IF(Units!$J29&lt;&gt;"",Units!$J29,Mkt!BL30),Inputs!$B$15*Mkt!BL30+(1-Inputs!$B$15)*MIN(Mkt!BL30,BK30*(1+Inputs!$B$18))),BK30)))</f>
        <v>2521.1397344</v>
      </c>
      <c r="BM30" s="11" t="n">
        <f aca="false">IF(BM$1&lt;Units!$P29,0,IF(AND(Units!$K29=0,BM$1=Units!$O29),Units!$R29,IF(AND(BM$1&gt;=Units!$Q29,MOD(BM$1-Units!$Q29,12)=0),IF(AND(Units!$L29=1,BM$1=Units!$Q29),IF(Units!$J29&lt;&gt;"",Units!$J29,Mkt!BM30),Inputs!$B$15*Mkt!BM30+(1-Inputs!$B$15)*MIN(Mkt!BM30,BL30*(1+Inputs!$B$18))),BL30)))</f>
        <v>2521.1397344</v>
      </c>
      <c r="BN30" s="11" t="n">
        <f aca="false">IF(BN$1&lt;Units!$P29,0,IF(AND(Units!$K29=0,BN$1=Units!$O29),Units!$R29,IF(AND(BN$1&gt;=Units!$Q29,MOD(BN$1-Units!$Q29,12)=0),IF(AND(Units!$L29=1,BN$1=Units!$Q29),IF(Units!$J29&lt;&gt;"",Units!$J29,Mkt!BN30),Inputs!$B$15*Mkt!BN30+(1-Inputs!$B$15)*MIN(Mkt!BN30,BM30*(1+Inputs!$B$18))),BM30)))</f>
        <v>2521.1397344</v>
      </c>
      <c r="BO30" s="11" t="n">
        <f aca="false">IF(BO$1&lt;Units!$P29,0,IF(AND(Units!$K29=0,BO$1=Units!$O29),Units!$R29,IF(AND(BO$1&gt;=Units!$Q29,MOD(BO$1-Units!$Q29,12)=0),IF(AND(Units!$L29=1,BO$1=Units!$Q29),IF(Units!$J29&lt;&gt;"",Units!$J29,Mkt!BO30),Inputs!$B$15*Mkt!BO30+(1-Inputs!$B$15)*MIN(Mkt!BO30,BN30*(1+Inputs!$B$18))),BN30)))</f>
        <v>2521.1397344</v>
      </c>
      <c r="BP30" s="11" t="n">
        <f aca="false">IF(BP$1&lt;Units!$P29,0,IF(AND(Units!$K29=0,BP$1=Units!$O29),Units!$R29,IF(AND(BP$1&gt;=Units!$Q29,MOD(BP$1-Units!$Q29,12)=0),IF(AND(Units!$L29=1,BP$1=Units!$Q29),IF(Units!$J29&lt;&gt;"",Units!$J29,Mkt!BP30),Inputs!$B$15*Mkt!BP30+(1-Inputs!$B$15)*MIN(Mkt!BP30,BO30*(1+Inputs!$B$18))),BO30)))</f>
        <v>2521.1397344</v>
      </c>
      <c r="BQ30" s="11" t="n">
        <f aca="false">IF(BQ$1&lt;Units!$P29,0,IF(AND(Units!$K29=0,BQ$1=Units!$O29),Units!$R29,IF(AND(BQ$1&gt;=Units!$Q29,MOD(BQ$1-Units!$Q29,12)=0),IF(AND(Units!$L29=1,BQ$1=Units!$Q29),IF(Units!$J29&lt;&gt;"",Units!$J29,Mkt!BQ30),Inputs!$B$15*Mkt!BQ30+(1-Inputs!$B$15)*MIN(Mkt!BQ30,BP30*(1+Inputs!$B$18))),BP30)))</f>
        <v>2521.1397344</v>
      </c>
      <c r="BR30" s="11" t="n">
        <f aca="false">IF(BR$1&lt;Units!$P29,0,IF(AND(Units!$K29=0,BR$1=Units!$O29),Units!$R29,IF(AND(BR$1&gt;=Units!$Q29,MOD(BR$1-Units!$Q29,12)=0),IF(AND(Units!$L29=1,BR$1=Units!$Q29),IF(Units!$J29&lt;&gt;"",Units!$J29,Mkt!BR30),Inputs!$B$15*Mkt!BR30+(1-Inputs!$B$15)*MIN(Mkt!BR30,BQ30*(1+Inputs!$B$18))),BQ30)))</f>
        <v>2521.1397344</v>
      </c>
      <c r="BS30" s="11" t="n">
        <f aca="false">IF(BS$1&lt;Units!$P29,0,IF(AND(Units!$K29=0,BS$1=Units!$O29),Units!$R29,IF(AND(BS$1&gt;=Units!$Q29,MOD(BS$1-Units!$Q29,12)=0),IF(AND(Units!$L29=1,BS$1=Units!$Q29),IF(Units!$J29&lt;&gt;"",Units!$J29,Mkt!BS30),Inputs!$B$15*Mkt!BS30+(1-Inputs!$B$15)*MIN(Mkt!BS30,BR30*(1+Inputs!$B$18))),BR30)))</f>
        <v>2521.1397344</v>
      </c>
      <c r="BT30" s="11" t="n">
        <f aca="false">IF(BT$1&lt;Units!$P29,0,IF(AND(Units!$K29=0,BT$1=Units!$O29),Units!$R29,IF(AND(BT$1&gt;=Units!$Q29,MOD(BT$1-Units!$Q29,12)=0),IF(AND(Units!$L29=1,BT$1=Units!$Q29),IF(Units!$J29&lt;&gt;"",Units!$J29,Mkt!BT30),Inputs!$B$15*Mkt!BT30+(1-Inputs!$B$15)*MIN(Mkt!BT30,BS30*(1+Inputs!$B$18))),BS30)))</f>
        <v>2521.1397344</v>
      </c>
      <c r="BU30" s="11" t="n">
        <f aca="false">IF(BU$1&lt;Units!$P29,0,IF(AND(Units!$K29=0,BU$1=Units!$O29),Units!$R29,IF(AND(BU$1&gt;=Units!$Q29,MOD(BU$1-Units!$Q29,12)=0),IF(AND(Units!$L29=1,BU$1=Units!$Q29),IF(Units!$J29&lt;&gt;"",Units!$J29,Mkt!BU30),Inputs!$B$15*Mkt!BU30+(1-Inputs!$B$15)*MIN(Mkt!BU30,BT30*(1+Inputs!$B$18))),BT30)))</f>
        <v>2596.773926432</v>
      </c>
      <c r="BV30" s="11" t="n">
        <f aca="false">IF(BV$1&lt;Units!$P29,0,IF(AND(Units!$K29=0,BV$1=Units!$O29),Units!$R29,IF(AND(BV$1&gt;=Units!$Q29,MOD(BV$1-Units!$Q29,12)=0),IF(AND(Units!$L29=1,BV$1=Units!$Q29),IF(Units!$J29&lt;&gt;"",Units!$J29,Mkt!BV30),Inputs!$B$15*Mkt!BV30+(1-Inputs!$B$15)*MIN(Mkt!BV30,BU30*(1+Inputs!$B$18))),BU30)))</f>
        <v>2596.773926432</v>
      </c>
      <c r="BW30" s="11" t="n">
        <f aca="false">IF(BW$1&lt;Units!$P29,0,IF(AND(Units!$K29=0,BW$1=Units!$O29),Units!$R29,IF(AND(BW$1&gt;=Units!$Q29,MOD(BW$1-Units!$Q29,12)=0),IF(AND(Units!$L29=1,BW$1=Units!$Q29),IF(Units!$J29&lt;&gt;"",Units!$J29,Mkt!BW30),Inputs!$B$15*Mkt!BW30+(1-Inputs!$B$15)*MIN(Mkt!BW30,BV30*(1+Inputs!$B$18))),BV30)))</f>
        <v>2596.773926432</v>
      </c>
      <c r="BX30" s="11" t="n">
        <f aca="false">IF(BX$1&lt;Units!$P29,0,IF(AND(Units!$K29=0,BX$1=Units!$O29),Units!$R29,IF(AND(BX$1&gt;=Units!$Q29,MOD(BX$1-Units!$Q29,12)=0),IF(AND(Units!$L29=1,BX$1=Units!$Q29),IF(Units!$J29&lt;&gt;"",Units!$J29,Mkt!BX30),Inputs!$B$15*Mkt!BX30+(1-Inputs!$B$15)*MIN(Mkt!BX30,BW30*(1+Inputs!$B$18))),BW30)))</f>
        <v>2596.773926432</v>
      </c>
      <c r="BY30" s="11" t="n">
        <f aca="false">IF(BY$1&lt;Units!$P29,0,IF(AND(Units!$K29=0,BY$1=Units!$O29),Units!$R29,IF(AND(BY$1&gt;=Units!$Q29,MOD(BY$1-Units!$Q29,12)=0),IF(AND(Units!$L29=1,BY$1=Units!$Q29),IF(Units!$J29&lt;&gt;"",Units!$J29,Mkt!BY30),Inputs!$B$15*Mkt!BY30+(1-Inputs!$B$15)*MIN(Mkt!BY30,BX30*(1+Inputs!$B$18))),BX30)))</f>
        <v>2596.773926432</v>
      </c>
      <c r="BZ30" s="11" t="n">
        <f aca="false">IF(BZ$1&lt;Units!$P29,0,IF(AND(Units!$K29=0,BZ$1=Units!$O29),Units!$R29,IF(AND(BZ$1&gt;=Units!$Q29,MOD(BZ$1-Units!$Q29,12)=0),IF(AND(Units!$L29=1,BZ$1=Units!$Q29),IF(Units!$J29&lt;&gt;"",Units!$J29,Mkt!BZ30),Inputs!$B$15*Mkt!BZ30+(1-Inputs!$B$15)*MIN(Mkt!BZ30,BY30*(1+Inputs!$B$18))),BY30)))</f>
        <v>2596.773926432</v>
      </c>
      <c r="CA30" s="11" t="n">
        <f aca="false">IF(CA$1&lt;Units!$P29,0,IF(AND(Units!$K29=0,CA$1=Units!$O29),Units!$R29,IF(AND(CA$1&gt;=Units!$Q29,MOD(CA$1-Units!$Q29,12)=0),IF(AND(Units!$L29=1,CA$1=Units!$Q29),IF(Units!$J29&lt;&gt;"",Units!$J29,Mkt!CA30),Inputs!$B$15*Mkt!CA30+(1-Inputs!$B$15)*MIN(Mkt!CA30,BZ30*(1+Inputs!$B$18))),BZ30)))</f>
        <v>2596.773926432</v>
      </c>
      <c r="CB30" s="11" t="n">
        <f aca="false">IF(CB$1&lt;Units!$P29,0,IF(AND(Units!$K29=0,CB$1=Units!$O29),Units!$R29,IF(AND(CB$1&gt;=Units!$Q29,MOD(CB$1-Units!$Q29,12)=0),IF(AND(Units!$L29=1,CB$1=Units!$Q29),IF(Units!$J29&lt;&gt;"",Units!$J29,Mkt!CB30),Inputs!$B$15*Mkt!CB30+(1-Inputs!$B$15)*MIN(Mkt!CB30,CA30*(1+Inputs!$B$18))),CA30)))</f>
        <v>2596.773926432</v>
      </c>
      <c r="CC30" s="11" t="n">
        <f aca="false">IF(CC$1&lt;Units!$P29,0,IF(AND(Units!$K29=0,CC$1=Units!$O29),Units!$R29,IF(AND(CC$1&gt;=Units!$Q29,MOD(CC$1-Units!$Q29,12)=0),IF(AND(Units!$L29=1,CC$1=Units!$Q29),IF(Units!$J29&lt;&gt;"",Units!$J29,Mkt!CC30),Inputs!$B$15*Mkt!CC30+(1-Inputs!$B$15)*MIN(Mkt!CC30,CB30*(1+Inputs!$B$18))),CB30)))</f>
        <v>2596.773926432</v>
      </c>
      <c r="CD30" s="11" t="n">
        <f aca="false">IF(CD$1&lt;Units!$P29,0,IF(AND(Units!$K29=0,CD$1=Units!$O29),Units!$R29,IF(AND(CD$1&gt;=Units!$Q29,MOD(CD$1-Units!$Q29,12)=0),IF(AND(Units!$L29=1,CD$1=Units!$Q29),IF(Units!$J29&lt;&gt;"",Units!$J29,Mkt!CD30),Inputs!$B$15*Mkt!CD30+(1-Inputs!$B$15)*MIN(Mkt!CD30,CC30*(1+Inputs!$B$18))),CC30)))</f>
        <v>2596.773926432</v>
      </c>
      <c r="CE30" s="11" t="n">
        <f aca="false">IF(CE$1&lt;Units!$P29,0,IF(AND(Units!$K29=0,CE$1=Units!$O29),Units!$R29,IF(AND(CE$1&gt;=Units!$Q29,MOD(CE$1-Units!$Q29,12)=0),IF(AND(Units!$L29=1,CE$1=Units!$Q29),IF(Units!$J29&lt;&gt;"",Units!$J29,Mkt!CE30),Inputs!$B$15*Mkt!CE30+(1-Inputs!$B$15)*MIN(Mkt!CE30,CD30*(1+Inputs!$B$18))),CD30)))</f>
        <v>2596.773926432</v>
      </c>
      <c r="CF30" s="11" t="n">
        <f aca="false">IF(CF$1&lt;Units!$P29,0,IF(AND(Units!$K29=0,CF$1=Units!$O29),Units!$R29,IF(AND(CF$1&gt;=Units!$Q29,MOD(CF$1-Units!$Q29,12)=0),IF(AND(Units!$L29=1,CF$1=Units!$Q29),IF(Units!$J29&lt;&gt;"",Units!$J29,Mkt!CF30),Inputs!$B$15*Mkt!CF30+(1-Inputs!$B$15)*MIN(Mkt!CF30,CE30*(1+Inputs!$B$18))),CE30)))</f>
        <v>2596.773926432</v>
      </c>
      <c r="CG30" s="11" t="n">
        <f aca="false">IF(CG$1&lt;Units!$P29,0,IF(AND(Units!$K29=0,CG$1=Units!$O29),Units!$R29,IF(AND(CG$1&gt;=Units!$Q29,MOD(CG$1-Units!$Q29,12)=0),IF(AND(Units!$L29=1,CG$1=Units!$Q29),IF(Units!$J29&lt;&gt;"",Units!$J29,Mkt!CG30),Inputs!$B$15*Mkt!CG30+(1-Inputs!$B$15)*MIN(Mkt!CG30,CF30*(1+Inputs!$B$18))),CF30)))</f>
        <v>2674.67714422496</v>
      </c>
      <c r="CH30" s="11" t="n">
        <f aca="false">IF(CH$1&lt;Units!$P29,0,IF(AND(Units!$K29=0,CH$1=Units!$O29),Units!$R29,IF(AND(CH$1&gt;=Units!$Q29,MOD(CH$1-Units!$Q29,12)=0),IF(AND(Units!$L29=1,CH$1=Units!$Q29),IF(Units!$J29&lt;&gt;"",Units!$J29,Mkt!CH30),Inputs!$B$15*Mkt!CH30+(1-Inputs!$B$15)*MIN(Mkt!CH30,CG30*(1+Inputs!$B$18))),CG30)))</f>
        <v>2674.67714422496</v>
      </c>
      <c r="CI30" s="11" t="n">
        <f aca="false">IF(CI$1&lt;Units!$P29,0,IF(AND(Units!$K29=0,CI$1=Units!$O29),Units!$R29,IF(AND(CI$1&gt;=Units!$Q29,MOD(CI$1-Units!$Q29,12)=0),IF(AND(Units!$L29=1,CI$1=Units!$Q29),IF(Units!$J29&lt;&gt;"",Units!$J29,Mkt!CI30),Inputs!$B$15*Mkt!CI30+(1-Inputs!$B$15)*MIN(Mkt!CI30,CH30*(1+Inputs!$B$18))),CH30)))</f>
        <v>2674.67714422496</v>
      </c>
      <c r="CJ30" s="11" t="n">
        <f aca="false">IF(CJ$1&lt;Units!$P29,0,IF(AND(Units!$K29=0,CJ$1=Units!$O29),Units!$R29,IF(AND(CJ$1&gt;=Units!$Q29,MOD(CJ$1-Units!$Q29,12)=0),IF(AND(Units!$L29=1,CJ$1=Units!$Q29),IF(Units!$J29&lt;&gt;"",Units!$J29,Mkt!CJ30),Inputs!$B$15*Mkt!CJ30+(1-Inputs!$B$15)*MIN(Mkt!CJ30,CI30*(1+Inputs!$B$18))),CI30)))</f>
        <v>2674.67714422496</v>
      </c>
      <c r="CK30" s="11" t="n">
        <f aca="false">IF(CK$1&lt;Units!$P29,0,IF(AND(Units!$K29=0,CK$1=Units!$O29),Units!$R29,IF(AND(CK$1&gt;=Units!$Q29,MOD(CK$1-Units!$Q29,12)=0),IF(AND(Units!$L29=1,CK$1=Units!$Q29),IF(Units!$J29&lt;&gt;"",Units!$J29,Mkt!CK30),Inputs!$B$15*Mkt!CK30+(1-Inputs!$B$15)*MIN(Mkt!CK30,CJ30*(1+Inputs!$B$18))),CJ30)))</f>
        <v>2674.67714422496</v>
      </c>
      <c r="CL30" s="11" t="n">
        <f aca="false">IF(CL$1&lt;Units!$P29,0,IF(AND(Units!$K29=0,CL$1=Units!$O29),Units!$R29,IF(AND(CL$1&gt;=Units!$Q29,MOD(CL$1-Units!$Q29,12)=0),IF(AND(Units!$L29=1,CL$1=Units!$Q29),IF(Units!$J29&lt;&gt;"",Units!$J29,Mkt!CL30),Inputs!$B$15*Mkt!CL30+(1-Inputs!$B$15)*MIN(Mkt!CL30,CK30*(1+Inputs!$B$18))),CK30)))</f>
        <v>2674.67714422496</v>
      </c>
      <c r="CM30" s="11" t="n">
        <f aca="false">IF(CM$1&lt;Units!$P29,0,IF(AND(Units!$K29=0,CM$1=Units!$O29),Units!$R29,IF(AND(CM$1&gt;=Units!$Q29,MOD(CM$1-Units!$Q29,12)=0),IF(AND(Units!$L29=1,CM$1=Units!$Q29),IF(Units!$J29&lt;&gt;"",Units!$J29,Mkt!CM30),Inputs!$B$15*Mkt!CM30+(1-Inputs!$B$15)*MIN(Mkt!CM30,CL30*(1+Inputs!$B$18))),CL30)))</f>
        <v>2674.67714422496</v>
      </c>
      <c r="CN30" s="11" t="n">
        <f aca="false">IF(CN$1&lt;Units!$P29,0,IF(AND(Units!$K29=0,CN$1=Units!$O29),Units!$R29,IF(AND(CN$1&gt;=Units!$Q29,MOD(CN$1-Units!$Q29,12)=0),IF(AND(Units!$L29=1,CN$1=Units!$Q29),IF(Units!$J29&lt;&gt;"",Units!$J29,Mkt!CN30),Inputs!$B$15*Mkt!CN30+(1-Inputs!$B$15)*MIN(Mkt!CN30,CM30*(1+Inputs!$B$18))),CM30)))</f>
        <v>2674.67714422496</v>
      </c>
      <c r="CO30" s="11" t="n">
        <f aca="false">IF(CO$1&lt;Units!$P29,0,IF(AND(Units!$K29=0,CO$1=Units!$O29),Units!$R29,IF(AND(CO$1&gt;=Units!$Q29,MOD(CO$1-Units!$Q29,12)=0),IF(AND(Units!$L29=1,CO$1=Units!$Q29),IF(Units!$J29&lt;&gt;"",Units!$J29,Mkt!CO30),Inputs!$B$15*Mkt!CO30+(1-Inputs!$B$15)*MIN(Mkt!CO30,CN30*(1+Inputs!$B$18))),CN30)))</f>
        <v>2674.67714422496</v>
      </c>
      <c r="CP30" s="11" t="n">
        <f aca="false">IF(CP$1&lt;Units!$P29,0,IF(AND(Units!$K29=0,CP$1=Units!$O29),Units!$R29,IF(AND(CP$1&gt;=Units!$Q29,MOD(CP$1-Units!$Q29,12)=0),IF(AND(Units!$L29=1,CP$1=Units!$Q29),IF(Units!$J29&lt;&gt;"",Units!$J29,Mkt!CP30),Inputs!$B$15*Mkt!CP30+(1-Inputs!$B$15)*MIN(Mkt!CP30,CO30*(1+Inputs!$B$18))),CO30)))</f>
        <v>2674.67714422496</v>
      </c>
      <c r="CQ30" s="11" t="n">
        <f aca="false">IF(CQ$1&lt;Units!$P29,0,IF(AND(Units!$K29=0,CQ$1=Units!$O29),Units!$R29,IF(AND(CQ$1&gt;=Units!$Q29,MOD(CQ$1-Units!$Q29,12)=0),IF(AND(Units!$L29=1,CQ$1=Units!$Q29),IF(Units!$J29&lt;&gt;"",Units!$J29,Mkt!CQ30),Inputs!$B$15*Mkt!CQ30+(1-Inputs!$B$15)*MIN(Mkt!CQ30,CP30*(1+Inputs!$B$18))),CP30)))</f>
        <v>2674.67714422496</v>
      </c>
      <c r="CR30" s="11" t="n">
        <f aca="false">IF(CR$1&lt;Units!$P29,0,IF(AND(Units!$K29=0,CR$1=Units!$O29),Units!$R29,IF(AND(CR$1&gt;=Units!$Q29,MOD(CR$1-Units!$Q29,12)=0),IF(AND(Units!$L29=1,CR$1=Units!$Q29),IF(Units!$J29&lt;&gt;"",Units!$J29,Mkt!CR30),Inputs!$B$15*Mkt!CR30+(1-Inputs!$B$15)*MIN(Mkt!CR30,CQ30*(1+Inputs!$B$18))),CQ30)))</f>
        <v>2674.67714422496</v>
      </c>
      <c r="CS30" s="11" t="n">
        <f aca="false">IF(CS$1&lt;Units!$P29,0,IF(AND(Units!$K29=0,CS$1=Units!$O29),Units!$R29,IF(AND(CS$1&gt;=Units!$Q29,MOD(CS$1-Units!$Q29,12)=0),IF(AND(Units!$L29=1,CS$1=Units!$Q29),IF(Units!$J29&lt;&gt;"",Units!$J29,Mkt!CS30),Inputs!$B$15*Mkt!CS30+(1-Inputs!$B$15)*MIN(Mkt!CS30,CR30*(1+Inputs!$B$18))),CR30)))</f>
        <v>2754.91745855171</v>
      </c>
      <c r="CT30" s="11" t="n">
        <f aca="false">IF(CT$1&lt;Units!$P29,0,IF(AND(Units!$K29=0,CT$1=Units!$O29),Units!$R29,IF(AND(CT$1&gt;=Units!$Q29,MOD(CT$1-Units!$Q29,12)=0),IF(AND(Units!$L29=1,CT$1=Units!$Q29),IF(Units!$J29&lt;&gt;"",Units!$J29,Mkt!CT30),Inputs!$B$15*Mkt!CT30+(1-Inputs!$B$15)*MIN(Mkt!CT30,CS30*(1+Inputs!$B$18))),CS30)))</f>
        <v>2754.91745855171</v>
      </c>
      <c r="CU30" s="11" t="n">
        <f aca="false">IF(CU$1&lt;Units!$P29,0,IF(AND(Units!$K29=0,CU$1=Units!$O29),Units!$R29,IF(AND(CU$1&gt;=Units!$Q29,MOD(CU$1-Units!$Q29,12)=0),IF(AND(Units!$L29=1,CU$1=Units!$Q29),IF(Units!$J29&lt;&gt;"",Units!$J29,Mkt!CU30),Inputs!$B$15*Mkt!CU30+(1-Inputs!$B$15)*MIN(Mkt!CU30,CT30*(1+Inputs!$B$18))),CT30)))</f>
        <v>2754.91745855171</v>
      </c>
      <c r="CV30" s="11" t="n">
        <f aca="false">IF(CV$1&lt;Units!$P29,0,IF(AND(Units!$K29=0,CV$1=Units!$O29),Units!$R29,IF(AND(CV$1&gt;=Units!$Q29,MOD(CV$1-Units!$Q29,12)=0),IF(AND(Units!$L29=1,CV$1=Units!$Q29),IF(Units!$J29&lt;&gt;"",Units!$J29,Mkt!CV30),Inputs!$B$15*Mkt!CV30+(1-Inputs!$B$15)*MIN(Mkt!CV30,CU30*(1+Inputs!$B$18))),CU30)))</f>
        <v>2754.91745855171</v>
      </c>
      <c r="CW30" s="11" t="n">
        <f aca="false">IF(CW$1&lt;Units!$P29,0,IF(AND(Units!$K29=0,CW$1=Units!$O29),Units!$R29,IF(AND(CW$1&gt;=Units!$Q29,MOD(CW$1-Units!$Q29,12)=0),IF(AND(Units!$L29=1,CW$1=Units!$Q29),IF(Units!$J29&lt;&gt;"",Units!$J29,Mkt!CW30),Inputs!$B$15*Mkt!CW30+(1-Inputs!$B$15)*MIN(Mkt!CW30,CV30*(1+Inputs!$B$18))),CV30)))</f>
        <v>2754.91745855171</v>
      </c>
      <c r="CX30" s="11" t="n">
        <f aca="false">IF(CX$1&lt;Units!$P29,0,IF(AND(Units!$K29=0,CX$1=Units!$O29),Units!$R29,IF(AND(CX$1&gt;=Units!$Q29,MOD(CX$1-Units!$Q29,12)=0),IF(AND(Units!$L29=1,CX$1=Units!$Q29),IF(Units!$J29&lt;&gt;"",Units!$J29,Mkt!CX30),Inputs!$B$15*Mkt!CX30+(1-Inputs!$B$15)*MIN(Mkt!CX30,CW30*(1+Inputs!$B$18))),CW30)))</f>
        <v>2754.91745855171</v>
      </c>
      <c r="CY30" s="11" t="n">
        <f aca="false">IF(CY$1&lt;Units!$P29,0,IF(AND(Units!$K29=0,CY$1=Units!$O29),Units!$R29,IF(AND(CY$1&gt;=Units!$Q29,MOD(CY$1-Units!$Q29,12)=0),IF(AND(Units!$L29=1,CY$1=Units!$Q29),IF(Units!$J29&lt;&gt;"",Units!$J29,Mkt!CY30),Inputs!$B$15*Mkt!CY30+(1-Inputs!$B$15)*MIN(Mkt!CY30,CX30*(1+Inputs!$B$18))),CX30)))</f>
        <v>2754.91745855171</v>
      </c>
      <c r="CZ30" s="11" t="n">
        <f aca="false">IF(CZ$1&lt;Units!$P29,0,IF(AND(Units!$K29=0,CZ$1=Units!$O29),Units!$R29,IF(AND(CZ$1&gt;=Units!$Q29,MOD(CZ$1-Units!$Q29,12)=0),IF(AND(Units!$L29=1,CZ$1=Units!$Q29),IF(Units!$J29&lt;&gt;"",Units!$J29,Mkt!CZ30),Inputs!$B$15*Mkt!CZ30+(1-Inputs!$B$15)*MIN(Mkt!CZ30,CY30*(1+Inputs!$B$18))),CY30)))</f>
        <v>2754.91745855171</v>
      </c>
      <c r="DA30" s="11" t="n">
        <f aca="false">IF(DA$1&lt;Units!$P29,0,IF(AND(Units!$K29=0,DA$1=Units!$O29),Units!$R29,IF(AND(DA$1&gt;=Units!$Q29,MOD(DA$1-Units!$Q29,12)=0),IF(AND(Units!$L29=1,DA$1=Units!$Q29),IF(Units!$J29&lt;&gt;"",Units!$J29,Mkt!DA30),Inputs!$B$15*Mkt!DA30+(1-Inputs!$B$15)*MIN(Mkt!DA30,CZ30*(1+Inputs!$B$18))),CZ30)))</f>
        <v>2754.91745855171</v>
      </c>
      <c r="DB30" s="11" t="n">
        <f aca="false">IF(DB$1&lt;Units!$P29,0,IF(AND(Units!$K29=0,DB$1=Units!$O29),Units!$R29,IF(AND(DB$1&gt;=Units!$Q29,MOD(DB$1-Units!$Q29,12)=0),IF(AND(Units!$L29=1,DB$1=Units!$Q29),IF(Units!$J29&lt;&gt;"",Units!$J29,Mkt!DB30),Inputs!$B$15*Mkt!DB30+(1-Inputs!$B$15)*MIN(Mkt!DB30,DA30*(1+Inputs!$B$18))),DA30)))</f>
        <v>2754.91745855171</v>
      </c>
      <c r="DC30" s="11" t="n">
        <f aca="false">IF(DC$1&lt;Units!$P29,0,IF(AND(Units!$K29=0,DC$1=Units!$O29),Units!$R29,IF(AND(DC$1&gt;=Units!$Q29,MOD(DC$1-Units!$Q29,12)=0),IF(AND(Units!$L29=1,DC$1=Units!$Q29),IF(Units!$J29&lt;&gt;"",Units!$J29,Mkt!DC30),Inputs!$B$15*Mkt!DC30+(1-Inputs!$B$15)*MIN(Mkt!DC30,DB30*(1+Inputs!$B$18))),DB30)))</f>
        <v>2754.91745855171</v>
      </c>
      <c r="DD30" s="11" t="n">
        <f aca="false">IF(DD$1&lt;Units!$P29,0,IF(AND(Units!$K29=0,DD$1=Units!$O29),Units!$R29,IF(AND(DD$1&gt;=Units!$Q29,MOD(DD$1-Units!$Q29,12)=0),IF(AND(Units!$L29=1,DD$1=Units!$Q29),IF(Units!$J29&lt;&gt;"",Units!$J29,Mkt!DD30),Inputs!$B$15*Mkt!DD30+(1-Inputs!$B$15)*MIN(Mkt!DD30,DC30*(1+Inputs!$B$18))),DC30)))</f>
        <v>2754.91745855171</v>
      </c>
      <c r="DE30" s="11" t="n">
        <f aca="false">IF(DE$1&lt;Units!$P29,0,IF(AND(Units!$K29=0,DE$1=Units!$O29),Units!$R29,IF(AND(DE$1&gt;=Units!$Q29,MOD(DE$1-Units!$Q29,12)=0),IF(AND(Units!$L29=1,DE$1=Units!$Q29),IF(Units!$J29&lt;&gt;"",Units!$J29,Mkt!DE30),Inputs!$B$15*Mkt!DE30+(1-Inputs!$B$15)*MIN(Mkt!DE30,DD30*(1+Inputs!$B$18))),DD30)))</f>
        <v>2837.56498230826</v>
      </c>
      <c r="DF30" s="11" t="n">
        <f aca="false">IF(DF$1&lt;Units!$P29,0,IF(AND(Units!$K29=0,DF$1=Units!$O29),Units!$R29,IF(AND(DF$1&gt;=Units!$Q29,MOD(DF$1-Units!$Q29,12)=0),IF(AND(Units!$L29=1,DF$1=Units!$Q29),IF(Units!$J29&lt;&gt;"",Units!$J29,Mkt!DF30),Inputs!$B$15*Mkt!DF30+(1-Inputs!$B$15)*MIN(Mkt!DF30,DE30*(1+Inputs!$B$18))),DE30)))</f>
        <v>2837.56498230826</v>
      </c>
      <c r="DG30" s="11" t="n">
        <f aca="false">IF(DG$1&lt;Units!$P29,0,IF(AND(Units!$K29=0,DG$1=Units!$O29),Units!$R29,IF(AND(DG$1&gt;=Units!$Q29,MOD(DG$1-Units!$Q29,12)=0),IF(AND(Units!$L29=1,DG$1=Units!$Q29),IF(Units!$J29&lt;&gt;"",Units!$J29,Mkt!DG30),Inputs!$B$15*Mkt!DG30+(1-Inputs!$B$15)*MIN(Mkt!DG30,DF30*(1+Inputs!$B$18))),DF30)))</f>
        <v>2837.56498230826</v>
      </c>
      <c r="DH30" s="11" t="n">
        <f aca="false">IF(DH$1&lt;Units!$P29,0,IF(AND(Units!$K29=0,DH$1=Units!$O29),Units!$R29,IF(AND(DH$1&gt;=Units!$Q29,MOD(DH$1-Units!$Q29,12)=0),IF(AND(Units!$L29=1,DH$1=Units!$Q29),IF(Units!$J29&lt;&gt;"",Units!$J29,Mkt!DH30),Inputs!$B$15*Mkt!DH30+(1-Inputs!$B$15)*MIN(Mkt!DH30,DG30*(1+Inputs!$B$18))),DG30)))</f>
        <v>2837.56498230826</v>
      </c>
      <c r="DI30" s="11" t="n">
        <f aca="false">IF(DI$1&lt;Units!$P29,0,IF(AND(Units!$K29=0,DI$1=Units!$O29),Units!$R29,IF(AND(DI$1&gt;=Units!$Q29,MOD(DI$1-Units!$Q29,12)=0),IF(AND(Units!$L29=1,DI$1=Units!$Q29),IF(Units!$J29&lt;&gt;"",Units!$J29,Mkt!DI30),Inputs!$B$15*Mkt!DI30+(1-Inputs!$B$15)*MIN(Mkt!DI30,DH30*(1+Inputs!$B$18))),DH30)))</f>
        <v>2837.56498230826</v>
      </c>
      <c r="DJ30" s="11" t="n">
        <f aca="false">IF(DJ$1&lt;Units!$P29,0,IF(AND(Units!$K29=0,DJ$1=Units!$O29),Units!$R29,IF(AND(DJ$1&gt;=Units!$Q29,MOD(DJ$1-Units!$Q29,12)=0),IF(AND(Units!$L29=1,DJ$1=Units!$Q29),IF(Units!$J29&lt;&gt;"",Units!$J29,Mkt!DJ30),Inputs!$B$15*Mkt!DJ30+(1-Inputs!$B$15)*MIN(Mkt!DJ30,DI30*(1+Inputs!$B$18))),DI30)))</f>
        <v>2837.56498230826</v>
      </c>
      <c r="DK30" s="11" t="n">
        <f aca="false">IF(DK$1&lt;Units!$P29,0,IF(AND(Units!$K29=0,DK$1=Units!$O29),Units!$R29,IF(AND(DK$1&gt;=Units!$Q29,MOD(DK$1-Units!$Q29,12)=0),IF(AND(Units!$L29=1,DK$1=Units!$Q29),IF(Units!$J29&lt;&gt;"",Units!$J29,Mkt!DK30),Inputs!$B$15*Mkt!DK30+(1-Inputs!$B$15)*MIN(Mkt!DK30,DJ30*(1+Inputs!$B$18))),DJ30)))</f>
        <v>2837.56498230826</v>
      </c>
      <c r="DL30" s="11" t="n">
        <f aca="false">IF(DL$1&lt;Units!$P29,0,IF(AND(Units!$K29=0,DL$1=Units!$O29),Units!$R29,IF(AND(DL$1&gt;=Units!$Q29,MOD(DL$1-Units!$Q29,12)=0),IF(AND(Units!$L29=1,DL$1=Units!$Q29),IF(Units!$J29&lt;&gt;"",Units!$J29,Mkt!DL30),Inputs!$B$15*Mkt!DL30+(1-Inputs!$B$15)*MIN(Mkt!DL30,DK30*(1+Inputs!$B$18))),DK30)))</f>
        <v>2837.56498230826</v>
      </c>
      <c r="DM30" s="11" t="n">
        <f aca="false">IF(DM$1&lt;Units!$P29,0,IF(AND(Units!$K29=0,DM$1=Units!$O29),Units!$R29,IF(AND(DM$1&gt;=Units!$Q29,MOD(DM$1-Units!$Q29,12)=0),IF(AND(Units!$L29=1,DM$1=Units!$Q29),IF(Units!$J29&lt;&gt;"",Units!$J29,Mkt!DM30),Inputs!$B$15*Mkt!DM30+(1-Inputs!$B$15)*MIN(Mkt!DM30,DL30*(1+Inputs!$B$18))),DL30)))</f>
        <v>2837.56498230826</v>
      </c>
      <c r="DN30" s="11" t="n">
        <f aca="false">IF(DN$1&lt;Units!$P29,0,IF(AND(Units!$K29=0,DN$1=Units!$O29),Units!$R29,IF(AND(DN$1&gt;=Units!$Q29,MOD(DN$1-Units!$Q29,12)=0),IF(AND(Units!$L29=1,DN$1=Units!$Q29),IF(Units!$J29&lt;&gt;"",Units!$J29,Mkt!DN30),Inputs!$B$15*Mkt!DN30+(1-Inputs!$B$15)*MIN(Mkt!DN30,DM30*(1+Inputs!$B$18))),DM30)))</f>
        <v>2837.56498230826</v>
      </c>
      <c r="DO30" s="11" t="n">
        <f aca="false">IF(DO$1&lt;Units!$P29,0,IF(AND(Units!$K29=0,DO$1=Units!$O29),Units!$R29,IF(AND(DO$1&gt;=Units!$Q29,MOD(DO$1-Units!$Q29,12)=0),IF(AND(Units!$L29=1,DO$1=Units!$Q29),IF(Units!$J29&lt;&gt;"",Units!$J29,Mkt!DO30),Inputs!$B$15*Mkt!DO30+(1-Inputs!$B$15)*MIN(Mkt!DO30,DN30*(1+Inputs!$B$18))),DN30)))</f>
        <v>2837.56498230826</v>
      </c>
      <c r="DP30" s="11" t="n">
        <f aca="false">IF(DP$1&lt;Units!$P29,0,IF(AND(Units!$K29=0,DP$1=Units!$O29),Units!$R29,IF(AND(DP$1&gt;=Units!$Q29,MOD(DP$1-Units!$Q29,12)=0),IF(AND(Units!$L29=1,DP$1=Units!$Q29),IF(Units!$J29&lt;&gt;"",Units!$J29,Mkt!DP30),Inputs!$B$15*Mkt!DP30+(1-Inputs!$B$15)*MIN(Mkt!DP30,DO30*(1+Inputs!$B$18))),DO30)))</f>
        <v>2837.56498230826</v>
      </c>
      <c r="DQ30" s="11" t="n">
        <f aca="false">IF(DQ$1&lt;Units!$P29,0,IF(AND(Units!$K29=0,DQ$1=Units!$O29),Units!$R29,IF(AND(DQ$1&gt;=Units!$Q29,MOD(DQ$1-Units!$Q29,12)=0),IF(AND(Units!$L29=1,DQ$1=Units!$Q29),IF(Units!$J29&lt;&gt;"",Units!$J29,Mkt!DQ30),Inputs!$B$15*Mkt!DQ30+(1-Inputs!$B$15)*MIN(Mkt!DQ30,DP30*(1+Inputs!$B$18))),DP30)))</f>
        <v>2922.69193177751</v>
      </c>
      <c r="DR30" s="11" t="n">
        <f aca="false">IF(DR$1&lt;Units!$P29,0,IF(AND(Units!$K29=0,DR$1=Units!$O29),Units!$R29,IF(AND(DR$1&gt;=Units!$Q29,MOD(DR$1-Units!$Q29,12)=0),IF(AND(Units!$L29=1,DR$1=Units!$Q29),IF(Units!$J29&lt;&gt;"",Units!$J29,Mkt!DR30),Inputs!$B$15*Mkt!DR30+(1-Inputs!$B$15)*MIN(Mkt!DR30,DQ30*(1+Inputs!$B$18))),DQ30)))</f>
        <v>2922.69193177751</v>
      </c>
      <c r="DS30" s="11" t="n">
        <f aca="false">IF(DS$1&lt;Units!$P29,0,IF(AND(Units!$K29=0,DS$1=Units!$O29),Units!$R29,IF(AND(DS$1&gt;=Units!$Q29,MOD(DS$1-Units!$Q29,12)=0),IF(AND(Units!$L29=1,DS$1=Units!$Q29),IF(Units!$J29&lt;&gt;"",Units!$J29,Mkt!DS30),Inputs!$B$15*Mkt!DS30+(1-Inputs!$B$15)*MIN(Mkt!DS30,DR30*(1+Inputs!$B$18))),DR30)))</f>
        <v>2922.69193177751</v>
      </c>
      <c r="DT30" s="11" t="n">
        <f aca="false">IF(DT$1&lt;Units!$P29,0,IF(AND(Units!$K29=0,DT$1=Units!$O29),Units!$R29,IF(AND(DT$1&gt;=Units!$Q29,MOD(DT$1-Units!$Q29,12)=0),IF(AND(Units!$L29=1,DT$1=Units!$Q29),IF(Units!$J29&lt;&gt;"",Units!$J29,Mkt!DT30),Inputs!$B$15*Mkt!DT30+(1-Inputs!$B$15)*MIN(Mkt!DT30,DS30*(1+Inputs!$B$18))),DS30)))</f>
        <v>2922.69193177751</v>
      </c>
      <c r="DU30" s="11" t="n">
        <f aca="false">IF(DU$1&lt;Units!$P29,0,IF(AND(Units!$K29=0,DU$1=Units!$O29),Units!$R29,IF(AND(DU$1&gt;=Units!$Q29,MOD(DU$1-Units!$Q29,12)=0),IF(AND(Units!$L29=1,DU$1=Units!$Q29),IF(Units!$J29&lt;&gt;"",Units!$J29,Mkt!DU30),Inputs!$B$15*Mkt!DU30+(1-Inputs!$B$15)*MIN(Mkt!DU30,DT30*(1+Inputs!$B$18))),DT30)))</f>
        <v>2922.69193177751</v>
      </c>
      <c r="DV30" s="11" t="n">
        <f aca="false">IF(DV$1&lt;Units!$P29,0,IF(AND(Units!$K29=0,DV$1=Units!$O29),Units!$R29,IF(AND(DV$1&gt;=Units!$Q29,MOD(DV$1-Units!$Q29,12)=0),IF(AND(Units!$L29=1,DV$1=Units!$Q29),IF(Units!$J29&lt;&gt;"",Units!$J29,Mkt!DV30),Inputs!$B$15*Mkt!DV30+(1-Inputs!$B$15)*MIN(Mkt!DV30,DU30*(1+Inputs!$B$18))),DU30)))</f>
        <v>2922.69193177751</v>
      </c>
      <c r="DW30" s="11" t="n">
        <f aca="false">IF(DW$1&lt;Units!$P29,0,IF(AND(Units!$K29=0,DW$1=Units!$O29),Units!$R29,IF(AND(DW$1&gt;=Units!$Q29,MOD(DW$1-Units!$Q29,12)=0),IF(AND(Units!$L29=1,DW$1=Units!$Q29),IF(Units!$J29&lt;&gt;"",Units!$J29,Mkt!DW30),Inputs!$B$15*Mkt!DW30+(1-Inputs!$B$15)*MIN(Mkt!DW30,DV30*(1+Inputs!$B$18))),DV30)))</f>
        <v>2922.69193177751</v>
      </c>
      <c r="DX30" s="11" t="n">
        <f aca="false">IF(DX$1&lt;Units!$P29,0,IF(AND(Units!$K29=0,DX$1=Units!$O29),Units!$R29,IF(AND(DX$1&gt;=Units!$Q29,MOD(DX$1-Units!$Q29,12)=0),IF(AND(Units!$L29=1,DX$1=Units!$Q29),IF(Units!$J29&lt;&gt;"",Units!$J29,Mkt!DX30),Inputs!$B$15*Mkt!DX30+(1-Inputs!$B$15)*MIN(Mkt!DX30,DW30*(1+Inputs!$B$18))),DW30)))</f>
        <v>2922.69193177751</v>
      </c>
      <c r="DY30" s="11" t="n">
        <f aca="false">IF(DY$1&lt;Units!$P29,0,IF(AND(Units!$K29=0,DY$1=Units!$O29),Units!$R29,IF(AND(DY$1&gt;=Units!$Q29,MOD(DY$1-Units!$Q29,12)=0),IF(AND(Units!$L29=1,DY$1=Units!$Q29),IF(Units!$J29&lt;&gt;"",Units!$J29,Mkt!DY30),Inputs!$B$15*Mkt!DY30+(1-Inputs!$B$15)*MIN(Mkt!DY30,DX30*(1+Inputs!$B$18))),DX30)))</f>
        <v>2922.69193177751</v>
      </c>
      <c r="DZ30" s="11" t="n">
        <f aca="false">IF(DZ$1&lt;Units!$P29,0,IF(AND(Units!$K29=0,DZ$1=Units!$O29),Units!$R29,IF(AND(DZ$1&gt;=Units!$Q29,MOD(DZ$1-Units!$Q29,12)=0),IF(AND(Units!$L29=1,DZ$1=Units!$Q29),IF(Units!$J29&lt;&gt;"",Units!$J29,Mkt!DZ30),Inputs!$B$15*Mkt!DZ30+(1-Inputs!$B$15)*MIN(Mkt!DZ30,DY30*(1+Inputs!$B$18))),DY30)))</f>
        <v>2922.69193177751</v>
      </c>
      <c r="EA30" s="11" t="n">
        <f aca="false">IF(EA$1&lt;Units!$P29,0,IF(AND(Units!$K29=0,EA$1=Units!$O29),Units!$R29,IF(AND(EA$1&gt;=Units!$Q29,MOD(EA$1-Units!$Q29,12)=0),IF(AND(Units!$L29=1,EA$1=Units!$Q29),IF(Units!$J29&lt;&gt;"",Units!$J29,Mkt!EA30),Inputs!$B$15*Mkt!EA30+(1-Inputs!$B$15)*MIN(Mkt!EA30,DZ30*(1+Inputs!$B$18))),DZ30)))</f>
        <v>2922.69193177751</v>
      </c>
      <c r="EB30" s="11" t="n">
        <f aca="false">IF(EB$1&lt;Units!$P29,0,IF(AND(Units!$K29=0,EB$1=Units!$O29),Units!$R29,IF(AND(EB$1&gt;=Units!$Q29,MOD(EB$1-Units!$Q29,12)=0),IF(AND(Units!$L29=1,EB$1=Units!$Q29),IF(Units!$J29&lt;&gt;"",Units!$J29,Mkt!EB30),Inputs!$B$15*Mkt!EB30+(1-Inputs!$B$15)*MIN(Mkt!EB30,EA30*(1+Inputs!$B$18))),EA30)))</f>
        <v>2922.69193177751</v>
      </c>
      <c r="EC30" s="11" t="n">
        <f aca="false">IF(EC$1&lt;Units!$P29,0,IF(AND(Units!$K29=0,EC$1=Units!$O29),Units!$R29,IF(AND(EC$1&gt;=Units!$Q29,MOD(EC$1-Units!$Q29,12)=0),IF(AND(Units!$L29=1,EC$1=Units!$Q29),IF(Units!$J29&lt;&gt;"",Units!$J29,Mkt!EC30),Inputs!$B$15*Mkt!EC30+(1-Inputs!$B$15)*MIN(Mkt!EC30,EB30*(1+Inputs!$B$18))),EB30)))</f>
        <v>3010.37268973083</v>
      </c>
      <c r="ED30" s="11" t="n">
        <f aca="false">IF(ED$1&lt;Units!$P29,0,IF(AND(Units!$K29=0,ED$1=Units!$O29),Units!$R29,IF(AND(ED$1&gt;=Units!$Q29,MOD(ED$1-Units!$Q29,12)=0),IF(AND(Units!$L29=1,ED$1=Units!$Q29),IF(Units!$J29&lt;&gt;"",Units!$J29,Mkt!ED30),Inputs!$B$15*Mkt!ED30+(1-Inputs!$B$15)*MIN(Mkt!ED30,EC30*(1+Inputs!$B$18))),EC30)))</f>
        <v>3010.37268973083</v>
      </c>
    </row>
    <row r="31" customFormat="false" ht="15" hidden="false" customHeight="false" outlineLevel="0" collapsed="false">
      <c r="A31" s="22" t="n">
        <f aca="false">Units!A30</f>
        <v>129</v>
      </c>
      <c r="B31" s="24" t="n">
        <f aca="false">IF(Units!K30=1,Units!F30,0)</f>
        <v>2280</v>
      </c>
      <c r="C31" s="11" t="n">
        <f aca="false">IF(C$1&lt;Units!$P30,0,IF(AND(Units!$K30=0,C$1=Units!$O30),Units!$R30,IF(AND(C$1&gt;=Units!$Q30,MOD(C$1-Units!$Q30,12)=0),IF(AND(Units!$L30=1,C$1=Units!$Q30),IF(Units!$J30&lt;&gt;"",Units!$J30,Mkt!C31),Inputs!$B$15*Mkt!C31+(1-Inputs!$B$15)*MIN(Mkt!C31,B31*(1+Inputs!$B$18))),B31)))</f>
        <v>2280</v>
      </c>
      <c r="D31" s="11" t="n">
        <f aca="false">IF(D$1&lt;Units!$P30,0,IF(AND(Units!$K30=0,D$1=Units!$O30),Units!$R30,IF(AND(D$1&gt;=Units!$Q30,MOD(D$1-Units!$Q30,12)=0),IF(AND(Units!$L30=1,D$1=Units!$Q30),IF(Units!$J30&lt;&gt;"",Units!$J30,Mkt!D31),Inputs!$B$15*Mkt!D31+(1-Inputs!$B$15)*MIN(Mkt!D31,C31*(1+Inputs!$B$18))),C31)))</f>
        <v>2280</v>
      </c>
      <c r="E31" s="11" t="n">
        <f aca="false">IF(E$1&lt;Units!$P30,0,IF(AND(Units!$K30=0,E$1=Units!$O30),Units!$R30,IF(AND(E$1&gt;=Units!$Q30,MOD(E$1-Units!$Q30,12)=0),IF(AND(Units!$L30=1,E$1=Units!$Q30),IF(Units!$J30&lt;&gt;"",Units!$J30,Mkt!E31),Inputs!$B$15*Mkt!E31+(1-Inputs!$B$15)*MIN(Mkt!E31,D31*(1+Inputs!$B$18))),D31)))</f>
        <v>2280</v>
      </c>
      <c r="F31" s="11" t="n">
        <f aca="false">IF(F$1&lt;Units!$P30,0,IF(AND(Units!$K30=0,F$1=Units!$O30),Units!$R30,IF(AND(F$1&gt;=Units!$Q30,MOD(F$1-Units!$Q30,12)=0),IF(AND(Units!$L30=1,F$1=Units!$Q30),IF(Units!$J30&lt;&gt;"",Units!$J30,Mkt!F31),Inputs!$B$15*Mkt!F31+(1-Inputs!$B$15)*MIN(Mkt!F31,E31*(1+Inputs!$B$18))),E31)))</f>
        <v>2280</v>
      </c>
      <c r="G31" s="11" t="n">
        <f aca="false">IF(G$1&lt;Units!$P30,0,IF(AND(Units!$K30=0,G$1=Units!$O30),Units!$R30,IF(AND(G$1&gt;=Units!$Q30,MOD(G$1-Units!$Q30,12)=0),IF(AND(Units!$L30=1,G$1=Units!$Q30),IF(Units!$J30&lt;&gt;"",Units!$J30,Mkt!G31),Inputs!$B$15*Mkt!G31+(1-Inputs!$B$15)*MIN(Mkt!G31,F31*(1+Inputs!$B$18))),F31)))</f>
        <v>2280</v>
      </c>
      <c r="H31" s="11" t="n">
        <f aca="false">IF(H$1&lt;Units!$P30,0,IF(AND(Units!$K30=0,H$1=Units!$O30),Units!$R30,IF(AND(H$1&gt;=Units!$Q30,MOD(H$1-Units!$Q30,12)=0),IF(AND(Units!$L30=1,H$1=Units!$Q30),IF(Units!$J30&lt;&gt;"",Units!$J30,Mkt!H31),Inputs!$B$15*Mkt!H31+(1-Inputs!$B$15)*MIN(Mkt!H31,G31*(1+Inputs!$B$18))),G31)))</f>
        <v>2280</v>
      </c>
      <c r="I31" s="11" t="n">
        <f aca="false">IF(I$1&lt;Units!$P30,0,IF(AND(Units!$K30=0,I$1=Units!$O30),Units!$R30,IF(AND(I$1&gt;=Units!$Q30,MOD(I$1-Units!$Q30,12)=0),IF(AND(Units!$L30=1,I$1=Units!$Q30),IF(Units!$J30&lt;&gt;"",Units!$J30,Mkt!I31),Inputs!$B$15*Mkt!I31+(1-Inputs!$B$15)*MIN(Mkt!I31,H31*(1+Inputs!$B$18))),H31)))</f>
        <v>2280</v>
      </c>
      <c r="J31" s="11" t="n">
        <f aca="false">IF(J$1&lt;Units!$P30,0,IF(AND(Units!$K30=0,J$1=Units!$O30),Units!$R30,IF(AND(J$1&gt;=Units!$Q30,MOD(J$1-Units!$Q30,12)=0),IF(AND(Units!$L30=1,J$1=Units!$Q30),IF(Units!$J30&lt;&gt;"",Units!$J30,Mkt!J31),Inputs!$B$15*Mkt!J31+(1-Inputs!$B$15)*MIN(Mkt!J31,I31*(1+Inputs!$B$18))),I31)))</f>
        <v>2240</v>
      </c>
      <c r="K31" s="11" t="n">
        <f aca="false">IF(K$1&lt;Units!$P30,0,IF(AND(Units!$K30=0,K$1=Units!$O30),Units!$R30,IF(AND(K$1&gt;=Units!$Q30,MOD(K$1-Units!$Q30,12)=0),IF(AND(Units!$L30=1,K$1=Units!$Q30),IF(Units!$J30&lt;&gt;"",Units!$J30,Mkt!K31),Inputs!$B$15*Mkt!K31+(1-Inputs!$B$15)*MIN(Mkt!K31,J31*(1+Inputs!$B$18))),J31)))</f>
        <v>2240</v>
      </c>
      <c r="L31" s="11" t="n">
        <f aca="false">IF(L$1&lt;Units!$P30,0,IF(AND(Units!$K30=0,L$1=Units!$O30),Units!$R30,IF(AND(L$1&gt;=Units!$Q30,MOD(L$1-Units!$Q30,12)=0),IF(AND(Units!$L30=1,L$1=Units!$Q30),IF(Units!$J30&lt;&gt;"",Units!$J30,Mkt!L31),Inputs!$B$15*Mkt!L31+(1-Inputs!$B$15)*MIN(Mkt!L31,K31*(1+Inputs!$B$18))),K31)))</f>
        <v>2240</v>
      </c>
      <c r="M31" s="11" t="n">
        <f aca="false">IF(M$1&lt;Units!$P30,0,IF(AND(Units!$K30=0,M$1=Units!$O30),Units!$R30,IF(AND(M$1&gt;=Units!$Q30,MOD(M$1-Units!$Q30,12)=0),IF(AND(Units!$L30=1,M$1=Units!$Q30),IF(Units!$J30&lt;&gt;"",Units!$J30,Mkt!M31),Inputs!$B$15*Mkt!M31+(1-Inputs!$B$15)*MIN(Mkt!M31,L31*(1+Inputs!$B$18))),L31)))</f>
        <v>2240</v>
      </c>
      <c r="N31" s="11" t="n">
        <f aca="false">IF(N$1&lt;Units!$P30,0,IF(AND(Units!$K30=0,N$1=Units!$O30),Units!$R30,IF(AND(N$1&gt;=Units!$Q30,MOD(N$1-Units!$Q30,12)=0),IF(AND(Units!$L30=1,N$1=Units!$Q30),IF(Units!$J30&lt;&gt;"",Units!$J30,Mkt!N31),Inputs!$B$15*Mkt!N31+(1-Inputs!$B$15)*MIN(Mkt!N31,M31*(1+Inputs!$B$18))),M31)))</f>
        <v>2240</v>
      </c>
      <c r="O31" s="11" t="n">
        <f aca="false">IF(O$1&lt;Units!$P30,0,IF(AND(Units!$K30=0,O$1=Units!$O30),Units!$R30,IF(AND(O$1&gt;=Units!$Q30,MOD(O$1-Units!$Q30,12)=0),IF(AND(Units!$L30=1,O$1=Units!$Q30),IF(Units!$J30&lt;&gt;"",Units!$J30,Mkt!O31),Inputs!$B$15*Mkt!O31+(1-Inputs!$B$15)*MIN(Mkt!O31,N31*(1+Inputs!$B$18))),N31)))</f>
        <v>2240</v>
      </c>
      <c r="P31" s="11" t="n">
        <f aca="false">IF(P$1&lt;Units!$P30,0,IF(AND(Units!$K30=0,P$1=Units!$O30),Units!$R30,IF(AND(P$1&gt;=Units!$Q30,MOD(P$1-Units!$Q30,12)=0),IF(AND(Units!$L30=1,P$1=Units!$Q30),IF(Units!$J30&lt;&gt;"",Units!$J30,Mkt!P31),Inputs!$B$15*Mkt!P31+(1-Inputs!$B$15)*MIN(Mkt!P31,O31*(1+Inputs!$B$18))),O31)))</f>
        <v>2240</v>
      </c>
      <c r="Q31" s="11" t="n">
        <f aca="false">IF(Q$1&lt;Units!$P30,0,IF(AND(Units!$K30=0,Q$1=Units!$O30),Units!$R30,IF(AND(Q$1&gt;=Units!$Q30,MOD(Q$1-Units!$Q30,12)=0),IF(AND(Units!$L30=1,Q$1=Units!$Q30),IF(Units!$J30&lt;&gt;"",Units!$J30,Mkt!Q31),Inputs!$B$15*Mkt!Q31+(1-Inputs!$B$15)*MIN(Mkt!Q31,P31*(1+Inputs!$B$18))),P31)))</f>
        <v>2240</v>
      </c>
      <c r="R31" s="11" t="n">
        <f aca="false">IF(R$1&lt;Units!$P30,0,IF(AND(Units!$K30=0,R$1=Units!$O30),Units!$R30,IF(AND(R$1&gt;=Units!$Q30,MOD(R$1-Units!$Q30,12)=0),IF(AND(Units!$L30=1,R$1=Units!$Q30),IF(Units!$J30&lt;&gt;"",Units!$J30,Mkt!R31),Inputs!$B$15*Mkt!R31+(1-Inputs!$B$15)*MIN(Mkt!R31,Q31*(1+Inputs!$B$18))),Q31)))</f>
        <v>2240</v>
      </c>
      <c r="S31" s="11" t="n">
        <f aca="false">IF(S$1&lt;Units!$P30,0,IF(AND(Units!$K30=0,S$1=Units!$O30),Units!$R30,IF(AND(S$1&gt;=Units!$Q30,MOD(S$1-Units!$Q30,12)=0),IF(AND(Units!$L30=1,S$1=Units!$Q30),IF(Units!$J30&lt;&gt;"",Units!$J30,Mkt!S31),Inputs!$B$15*Mkt!S31+(1-Inputs!$B$15)*MIN(Mkt!S31,R31*(1+Inputs!$B$18))),R31)))</f>
        <v>2240</v>
      </c>
      <c r="T31" s="11" t="n">
        <f aca="false">IF(T$1&lt;Units!$P30,0,IF(AND(Units!$K30=0,T$1=Units!$O30),Units!$R30,IF(AND(T$1&gt;=Units!$Q30,MOD(T$1-Units!$Q30,12)=0),IF(AND(Units!$L30=1,T$1=Units!$Q30),IF(Units!$J30&lt;&gt;"",Units!$J30,Mkt!T31),Inputs!$B$15*Mkt!T31+(1-Inputs!$B$15)*MIN(Mkt!T31,S31*(1+Inputs!$B$18))),S31)))</f>
        <v>2240</v>
      </c>
      <c r="U31" s="11" t="n">
        <f aca="false">IF(U$1&lt;Units!$P30,0,IF(AND(Units!$K30=0,U$1=Units!$O30),Units!$R30,IF(AND(U$1&gt;=Units!$Q30,MOD(U$1-Units!$Q30,12)=0),IF(AND(Units!$L30=1,U$1=Units!$Q30),IF(Units!$J30&lt;&gt;"",Units!$J30,Mkt!U31),Inputs!$B$15*Mkt!U31+(1-Inputs!$B$15)*MIN(Mkt!U31,T31*(1+Inputs!$B$18))),T31)))</f>
        <v>2240</v>
      </c>
      <c r="V31" s="11" t="n">
        <f aca="false">IF(V$1&lt;Units!$P30,0,IF(AND(Units!$K30=0,V$1=Units!$O30),Units!$R30,IF(AND(V$1&gt;=Units!$Q30,MOD(V$1-Units!$Q30,12)=0),IF(AND(Units!$L30=1,V$1=Units!$Q30),IF(Units!$J30&lt;&gt;"",Units!$J30,Mkt!V31),Inputs!$B$15*Mkt!V31+(1-Inputs!$B$15)*MIN(Mkt!V31,U31*(1+Inputs!$B$18))),U31)))</f>
        <v>2307.2</v>
      </c>
      <c r="W31" s="11" t="n">
        <f aca="false">IF(W$1&lt;Units!$P30,0,IF(AND(Units!$K30=0,W$1=Units!$O30),Units!$R30,IF(AND(W$1&gt;=Units!$Q30,MOD(W$1-Units!$Q30,12)=0),IF(AND(Units!$L30=1,W$1=Units!$Q30),IF(Units!$J30&lt;&gt;"",Units!$J30,Mkt!W31),Inputs!$B$15*Mkt!W31+(1-Inputs!$B$15)*MIN(Mkt!W31,V31*(1+Inputs!$B$18))),V31)))</f>
        <v>2307.2</v>
      </c>
      <c r="X31" s="11" t="n">
        <f aca="false">IF(X$1&lt;Units!$P30,0,IF(AND(Units!$K30=0,X$1=Units!$O30),Units!$R30,IF(AND(X$1&gt;=Units!$Q30,MOD(X$1-Units!$Q30,12)=0),IF(AND(Units!$L30=1,X$1=Units!$Q30),IF(Units!$J30&lt;&gt;"",Units!$J30,Mkt!X31),Inputs!$B$15*Mkt!X31+(1-Inputs!$B$15)*MIN(Mkt!X31,W31*(1+Inputs!$B$18))),W31)))</f>
        <v>2307.2</v>
      </c>
      <c r="Y31" s="11" t="n">
        <f aca="false">IF(Y$1&lt;Units!$P30,0,IF(AND(Units!$K30=0,Y$1=Units!$O30),Units!$R30,IF(AND(Y$1&gt;=Units!$Q30,MOD(Y$1-Units!$Q30,12)=0),IF(AND(Units!$L30=1,Y$1=Units!$Q30),IF(Units!$J30&lt;&gt;"",Units!$J30,Mkt!Y31),Inputs!$B$15*Mkt!Y31+(1-Inputs!$B$15)*MIN(Mkt!Y31,X31*(1+Inputs!$B$18))),X31)))</f>
        <v>2307.2</v>
      </c>
      <c r="Z31" s="11" t="n">
        <f aca="false">IF(Z$1&lt;Units!$P30,0,IF(AND(Units!$K30=0,Z$1=Units!$O30),Units!$R30,IF(AND(Z$1&gt;=Units!$Q30,MOD(Z$1-Units!$Q30,12)=0),IF(AND(Units!$L30=1,Z$1=Units!$Q30),IF(Units!$J30&lt;&gt;"",Units!$J30,Mkt!Z31),Inputs!$B$15*Mkt!Z31+(1-Inputs!$B$15)*MIN(Mkt!Z31,Y31*(1+Inputs!$B$18))),Y31)))</f>
        <v>2307.2</v>
      </c>
      <c r="AA31" s="11" t="n">
        <f aca="false">IF(AA$1&lt;Units!$P30,0,IF(AND(Units!$K30=0,AA$1=Units!$O30),Units!$R30,IF(AND(AA$1&gt;=Units!$Q30,MOD(AA$1-Units!$Q30,12)=0),IF(AND(Units!$L30=1,AA$1=Units!$Q30),IF(Units!$J30&lt;&gt;"",Units!$J30,Mkt!AA31),Inputs!$B$15*Mkt!AA31+(1-Inputs!$B$15)*MIN(Mkt!AA31,Z31*(1+Inputs!$B$18))),Z31)))</f>
        <v>2307.2</v>
      </c>
      <c r="AB31" s="11" t="n">
        <f aca="false">IF(AB$1&lt;Units!$P30,0,IF(AND(Units!$K30=0,AB$1=Units!$O30),Units!$R30,IF(AND(AB$1&gt;=Units!$Q30,MOD(AB$1-Units!$Q30,12)=0),IF(AND(Units!$L30=1,AB$1=Units!$Q30),IF(Units!$J30&lt;&gt;"",Units!$J30,Mkt!AB31),Inputs!$B$15*Mkt!AB31+(1-Inputs!$B$15)*MIN(Mkt!AB31,AA31*(1+Inputs!$B$18))),AA31)))</f>
        <v>2307.2</v>
      </c>
      <c r="AC31" s="11" t="n">
        <f aca="false">IF(AC$1&lt;Units!$P30,0,IF(AND(Units!$K30=0,AC$1=Units!$O30),Units!$R30,IF(AND(AC$1&gt;=Units!$Q30,MOD(AC$1-Units!$Q30,12)=0),IF(AND(Units!$L30=1,AC$1=Units!$Q30),IF(Units!$J30&lt;&gt;"",Units!$J30,Mkt!AC31),Inputs!$B$15*Mkt!AC31+(1-Inputs!$B$15)*MIN(Mkt!AC31,AB31*(1+Inputs!$B$18))),AB31)))</f>
        <v>2307.2</v>
      </c>
      <c r="AD31" s="11" t="n">
        <f aca="false">IF(AD$1&lt;Units!$P30,0,IF(AND(Units!$K30=0,AD$1=Units!$O30),Units!$R30,IF(AND(AD$1&gt;=Units!$Q30,MOD(AD$1-Units!$Q30,12)=0),IF(AND(Units!$L30=1,AD$1=Units!$Q30),IF(Units!$J30&lt;&gt;"",Units!$J30,Mkt!AD31),Inputs!$B$15*Mkt!AD31+(1-Inputs!$B$15)*MIN(Mkt!AD31,AC31*(1+Inputs!$B$18))),AC31)))</f>
        <v>2307.2</v>
      </c>
      <c r="AE31" s="11" t="n">
        <f aca="false">IF(AE$1&lt;Units!$P30,0,IF(AND(Units!$K30=0,AE$1=Units!$O30),Units!$R30,IF(AND(AE$1&gt;=Units!$Q30,MOD(AE$1-Units!$Q30,12)=0),IF(AND(Units!$L30=1,AE$1=Units!$Q30),IF(Units!$J30&lt;&gt;"",Units!$J30,Mkt!AE31),Inputs!$B$15*Mkt!AE31+(1-Inputs!$B$15)*MIN(Mkt!AE31,AD31*(1+Inputs!$B$18))),AD31)))</f>
        <v>2307.2</v>
      </c>
      <c r="AF31" s="11" t="n">
        <f aca="false">IF(AF$1&lt;Units!$P30,0,IF(AND(Units!$K30=0,AF$1=Units!$O30),Units!$R30,IF(AND(AF$1&gt;=Units!$Q30,MOD(AF$1-Units!$Q30,12)=0),IF(AND(Units!$L30=1,AF$1=Units!$Q30),IF(Units!$J30&lt;&gt;"",Units!$J30,Mkt!AF31),Inputs!$B$15*Mkt!AF31+(1-Inputs!$B$15)*MIN(Mkt!AF31,AE31*(1+Inputs!$B$18))),AE31)))</f>
        <v>2307.2</v>
      </c>
      <c r="AG31" s="11" t="n">
        <f aca="false">IF(AG$1&lt;Units!$P30,0,IF(AND(Units!$K30=0,AG$1=Units!$O30),Units!$R30,IF(AND(AG$1&gt;=Units!$Q30,MOD(AG$1-Units!$Q30,12)=0),IF(AND(Units!$L30=1,AG$1=Units!$Q30),IF(Units!$J30&lt;&gt;"",Units!$J30,Mkt!AG31),Inputs!$B$15*Mkt!AG31+(1-Inputs!$B$15)*MIN(Mkt!AG31,AF31*(1+Inputs!$B$18))),AF31)))</f>
        <v>2307.2</v>
      </c>
      <c r="AH31" s="11" t="n">
        <f aca="false">IF(AH$1&lt;Units!$P30,0,IF(AND(Units!$K30=0,AH$1=Units!$O30),Units!$R30,IF(AND(AH$1&gt;=Units!$Q30,MOD(AH$1-Units!$Q30,12)=0),IF(AND(Units!$L30=1,AH$1=Units!$Q30),IF(Units!$J30&lt;&gt;"",Units!$J30,Mkt!AH31),Inputs!$B$15*Mkt!AH31+(1-Inputs!$B$15)*MIN(Mkt!AH31,AG31*(1+Inputs!$B$18))),AG31)))</f>
        <v>2376.416</v>
      </c>
      <c r="AI31" s="11" t="n">
        <f aca="false">IF(AI$1&lt;Units!$P30,0,IF(AND(Units!$K30=0,AI$1=Units!$O30),Units!$R30,IF(AND(AI$1&gt;=Units!$Q30,MOD(AI$1-Units!$Q30,12)=0),IF(AND(Units!$L30=1,AI$1=Units!$Q30),IF(Units!$J30&lt;&gt;"",Units!$J30,Mkt!AI31),Inputs!$B$15*Mkt!AI31+(1-Inputs!$B$15)*MIN(Mkt!AI31,AH31*(1+Inputs!$B$18))),AH31)))</f>
        <v>2376.416</v>
      </c>
      <c r="AJ31" s="11" t="n">
        <f aca="false">IF(AJ$1&lt;Units!$P30,0,IF(AND(Units!$K30=0,AJ$1=Units!$O30),Units!$R30,IF(AND(AJ$1&gt;=Units!$Q30,MOD(AJ$1-Units!$Q30,12)=0),IF(AND(Units!$L30=1,AJ$1=Units!$Q30),IF(Units!$J30&lt;&gt;"",Units!$J30,Mkt!AJ31),Inputs!$B$15*Mkt!AJ31+(1-Inputs!$B$15)*MIN(Mkt!AJ31,AI31*(1+Inputs!$B$18))),AI31)))</f>
        <v>2376.416</v>
      </c>
      <c r="AK31" s="11" t="n">
        <f aca="false">IF(AK$1&lt;Units!$P30,0,IF(AND(Units!$K30=0,AK$1=Units!$O30),Units!$R30,IF(AND(AK$1&gt;=Units!$Q30,MOD(AK$1-Units!$Q30,12)=0),IF(AND(Units!$L30=1,AK$1=Units!$Q30),IF(Units!$J30&lt;&gt;"",Units!$J30,Mkt!AK31),Inputs!$B$15*Mkt!AK31+(1-Inputs!$B$15)*MIN(Mkt!AK31,AJ31*(1+Inputs!$B$18))),AJ31)))</f>
        <v>2376.416</v>
      </c>
      <c r="AL31" s="11" t="n">
        <f aca="false">IF(AL$1&lt;Units!$P30,0,IF(AND(Units!$K30=0,AL$1=Units!$O30),Units!$R30,IF(AND(AL$1&gt;=Units!$Q30,MOD(AL$1-Units!$Q30,12)=0),IF(AND(Units!$L30=1,AL$1=Units!$Q30),IF(Units!$J30&lt;&gt;"",Units!$J30,Mkt!AL31),Inputs!$B$15*Mkt!AL31+(1-Inputs!$B$15)*MIN(Mkt!AL31,AK31*(1+Inputs!$B$18))),AK31)))</f>
        <v>2376.416</v>
      </c>
      <c r="AM31" s="11" t="n">
        <f aca="false">IF(AM$1&lt;Units!$P30,0,IF(AND(Units!$K30=0,AM$1=Units!$O30),Units!$R30,IF(AND(AM$1&gt;=Units!$Q30,MOD(AM$1-Units!$Q30,12)=0),IF(AND(Units!$L30=1,AM$1=Units!$Q30),IF(Units!$J30&lt;&gt;"",Units!$J30,Mkt!AM31),Inputs!$B$15*Mkt!AM31+(1-Inputs!$B$15)*MIN(Mkt!AM31,AL31*(1+Inputs!$B$18))),AL31)))</f>
        <v>2376.416</v>
      </c>
      <c r="AN31" s="11" t="n">
        <f aca="false">IF(AN$1&lt;Units!$P30,0,IF(AND(Units!$K30=0,AN$1=Units!$O30),Units!$R30,IF(AND(AN$1&gt;=Units!$Q30,MOD(AN$1-Units!$Q30,12)=0),IF(AND(Units!$L30=1,AN$1=Units!$Q30),IF(Units!$J30&lt;&gt;"",Units!$J30,Mkt!AN31),Inputs!$B$15*Mkt!AN31+(1-Inputs!$B$15)*MIN(Mkt!AN31,AM31*(1+Inputs!$B$18))),AM31)))</f>
        <v>2376.416</v>
      </c>
      <c r="AO31" s="11" t="n">
        <f aca="false">IF(AO$1&lt;Units!$P30,0,IF(AND(Units!$K30=0,AO$1=Units!$O30),Units!$R30,IF(AND(AO$1&gt;=Units!$Q30,MOD(AO$1-Units!$Q30,12)=0),IF(AND(Units!$L30=1,AO$1=Units!$Q30),IF(Units!$J30&lt;&gt;"",Units!$J30,Mkt!AO31),Inputs!$B$15*Mkt!AO31+(1-Inputs!$B$15)*MIN(Mkt!AO31,AN31*(1+Inputs!$B$18))),AN31)))</f>
        <v>2376.416</v>
      </c>
      <c r="AP31" s="11" t="n">
        <f aca="false">IF(AP$1&lt;Units!$P30,0,IF(AND(Units!$K30=0,AP$1=Units!$O30),Units!$R30,IF(AND(AP$1&gt;=Units!$Q30,MOD(AP$1-Units!$Q30,12)=0),IF(AND(Units!$L30=1,AP$1=Units!$Q30),IF(Units!$J30&lt;&gt;"",Units!$J30,Mkt!AP31),Inputs!$B$15*Mkt!AP31+(1-Inputs!$B$15)*MIN(Mkt!AP31,AO31*(1+Inputs!$B$18))),AO31)))</f>
        <v>2376.416</v>
      </c>
      <c r="AQ31" s="11" t="n">
        <f aca="false">IF(AQ$1&lt;Units!$P30,0,IF(AND(Units!$K30=0,AQ$1=Units!$O30),Units!$R30,IF(AND(AQ$1&gt;=Units!$Q30,MOD(AQ$1-Units!$Q30,12)=0),IF(AND(Units!$L30=1,AQ$1=Units!$Q30),IF(Units!$J30&lt;&gt;"",Units!$J30,Mkt!AQ31),Inputs!$B$15*Mkt!AQ31+(1-Inputs!$B$15)*MIN(Mkt!AQ31,AP31*(1+Inputs!$B$18))),AP31)))</f>
        <v>2376.416</v>
      </c>
      <c r="AR31" s="11" t="n">
        <f aca="false">IF(AR$1&lt;Units!$P30,0,IF(AND(Units!$K30=0,AR$1=Units!$O30),Units!$R30,IF(AND(AR$1&gt;=Units!$Q30,MOD(AR$1-Units!$Q30,12)=0),IF(AND(Units!$L30=1,AR$1=Units!$Q30),IF(Units!$J30&lt;&gt;"",Units!$J30,Mkt!AR31),Inputs!$B$15*Mkt!AR31+(1-Inputs!$B$15)*MIN(Mkt!AR31,AQ31*(1+Inputs!$B$18))),AQ31)))</f>
        <v>2376.416</v>
      </c>
      <c r="AS31" s="11" t="n">
        <f aca="false">IF(AS$1&lt;Units!$P30,0,IF(AND(Units!$K30=0,AS$1=Units!$O30),Units!$R30,IF(AND(AS$1&gt;=Units!$Q30,MOD(AS$1-Units!$Q30,12)=0),IF(AND(Units!$L30=1,AS$1=Units!$Q30),IF(Units!$J30&lt;&gt;"",Units!$J30,Mkt!AS31),Inputs!$B$15*Mkt!AS31+(1-Inputs!$B$15)*MIN(Mkt!AS31,AR31*(1+Inputs!$B$18))),AR31)))</f>
        <v>2376.416</v>
      </c>
      <c r="AT31" s="11" t="n">
        <f aca="false">IF(AT$1&lt;Units!$P30,0,IF(AND(Units!$K30=0,AT$1=Units!$O30),Units!$R30,IF(AND(AT$1&gt;=Units!$Q30,MOD(AT$1-Units!$Q30,12)=0),IF(AND(Units!$L30=1,AT$1=Units!$Q30),IF(Units!$J30&lt;&gt;"",Units!$J30,Mkt!AT31),Inputs!$B$15*Mkt!AT31+(1-Inputs!$B$15)*MIN(Mkt!AT31,AS31*(1+Inputs!$B$18))),AS31)))</f>
        <v>2447.70848</v>
      </c>
      <c r="AU31" s="11" t="n">
        <f aca="false">IF(AU$1&lt;Units!$P30,0,IF(AND(Units!$K30=0,AU$1=Units!$O30),Units!$R30,IF(AND(AU$1&gt;=Units!$Q30,MOD(AU$1-Units!$Q30,12)=0),IF(AND(Units!$L30=1,AU$1=Units!$Q30),IF(Units!$J30&lt;&gt;"",Units!$J30,Mkt!AU31),Inputs!$B$15*Mkt!AU31+(1-Inputs!$B$15)*MIN(Mkt!AU31,AT31*(1+Inputs!$B$18))),AT31)))</f>
        <v>2447.70848</v>
      </c>
      <c r="AV31" s="11" t="n">
        <f aca="false">IF(AV$1&lt;Units!$P30,0,IF(AND(Units!$K30=0,AV$1=Units!$O30),Units!$R30,IF(AND(AV$1&gt;=Units!$Q30,MOD(AV$1-Units!$Q30,12)=0),IF(AND(Units!$L30=1,AV$1=Units!$Q30),IF(Units!$J30&lt;&gt;"",Units!$J30,Mkt!AV31),Inputs!$B$15*Mkt!AV31+(1-Inputs!$B$15)*MIN(Mkt!AV31,AU31*(1+Inputs!$B$18))),AU31)))</f>
        <v>2447.70848</v>
      </c>
      <c r="AW31" s="11" t="n">
        <f aca="false">IF(AW$1&lt;Units!$P30,0,IF(AND(Units!$K30=0,AW$1=Units!$O30),Units!$R30,IF(AND(AW$1&gt;=Units!$Q30,MOD(AW$1-Units!$Q30,12)=0),IF(AND(Units!$L30=1,AW$1=Units!$Q30),IF(Units!$J30&lt;&gt;"",Units!$J30,Mkt!AW31),Inputs!$B$15*Mkt!AW31+(1-Inputs!$B$15)*MIN(Mkt!AW31,AV31*(1+Inputs!$B$18))),AV31)))</f>
        <v>2447.70848</v>
      </c>
      <c r="AX31" s="11" t="n">
        <f aca="false">IF(AX$1&lt;Units!$P30,0,IF(AND(Units!$K30=0,AX$1=Units!$O30),Units!$R30,IF(AND(AX$1&gt;=Units!$Q30,MOD(AX$1-Units!$Q30,12)=0),IF(AND(Units!$L30=1,AX$1=Units!$Q30),IF(Units!$J30&lt;&gt;"",Units!$J30,Mkt!AX31),Inputs!$B$15*Mkt!AX31+(1-Inputs!$B$15)*MIN(Mkt!AX31,AW31*(1+Inputs!$B$18))),AW31)))</f>
        <v>2447.70848</v>
      </c>
      <c r="AY31" s="11" t="n">
        <f aca="false">IF(AY$1&lt;Units!$P30,0,IF(AND(Units!$K30=0,AY$1=Units!$O30),Units!$R30,IF(AND(AY$1&gt;=Units!$Q30,MOD(AY$1-Units!$Q30,12)=0),IF(AND(Units!$L30=1,AY$1=Units!$Q30),IF(Units!$J30&lt;&gt;"",Units!$J30,Mkt!AY31),Inputs!$B$15*Mkt!AY31+(1-Inputs!$B$15)*MIN(Mkt!AY31,AX31*(1+Inputs!$B$18))),AX31)))</f>
        <v>2447.70848</v>
      </c>
      <c r="AZ31" s="11" t="n">
        <f aca="false">IF(AZ$1&lt;Units!$P30,0,IF(AND(Units!$K30=0,AZ$1=Units!$O30),Units!$R30,IF(AND(AZ$1&gt;=Units!$Q30,MOD(AZ$1-Units!$Q30,12)=0),IF(AND(Units!$L30=1,AZ$1=Units!$Q30),IF(Units!$J30&lt;&gt;"",Units!$J30,Mkt!AZ31),Inputs!$B$15*Mkt!AZ31+(1-Inputs!$B$15)*MIN(Mkt!AZ31,AY31*(1+Inputs!$B$18))),AY31)))</f>
        <v>2447.70848</v>
      </c>
      <c r="BA31" s="11" t="n">
        <f aca="false">IF(BA$1&lt;Units!$P30,0,IF(AND(Units!$K30=0,BA$1=Units!$O30),Units!$R30,IF(AND(BA$1&gt;=Units!$Q30,MOD(BA$1-Units!$Q30,12)=0),IF(AND(Units!$L30=1,BA$1=Units!$Q30),IF(Units!$J30&lt;&gt;"",Units!$J30,Mkt!BA31),Inputs!$B$15*Mkt!BA31+(1-Inputs!$B$15)*MIN(Mkt!BA31,AZ31*(1+Inputs!$B$18))),AZ31)))</f>
        <v>2447.70848</v>
      </c>
      <c r="BB31" s="11" t="n">
        <f aca="false">IF(BB$1&lt;Units!$P30,0,IF(AND(Units!$K30=0,BB$1=Units!$O30),Units!$R30,IF(AND(BB$1&gt;=Units!$Q30,MOD(BB$1-Units!$Q30,12)=0),IF(AND(Units!$L30=1,BB$1=Units!$Q30),IF(Units!$J30&lt;&gt;"",Units!$J30,Mkt!BB31),Inputs!$B$15*Mkt!BB31+(1-Inputs!$B$15)*MIN(Mkt!BB31,BA31*(1+Inputs!$B$18))),BA31)))</f>
        <v>2447.70848</v>
      </c>
      <c r="BC31" s="11" t="n">
        <f aca="false">IF(BC$1&lt;Units!$P30,0,IF(AND(Units!$K30=0,BC$1=Units!$O30),Units!$R30,IF(AND(BC$1&gt;=Units!$Q30,MOD(BC$1-Units!$Q30,12)=0),IF(AND(Units!$L30=1,BC$1=Units!$Q30),IF(Units!$J30&lt;&gt;"",Units!$J30,Mkt!BC31),Inputs!$B$15*Mkt!BC31+(1-Inputs!$B$15)*MIN(Mkt!BC31,BB31*(1+Inputs!$B$18))),BB31)))</f>
        <v>2447.70848</v>
      </c>
      <c r="BD31" s="11" t="n">
        <f aca="false">IF(BD$1&lt;Units!$P30,0,IF(AND(Units!$K30=0,BD$1=Units!$O30),Units!$R30,IF(AND(BD$1&gt;=Units!$Q30,MOD(BD$1-Units!$Q30,12)=0),IF(AND(Units!$L30=1,BD$1=Units!$Q30),IF(Units!$J30&lt;&gt;"",Units!$J30,Mkt!BD31),Inputs!$B$15*Mkt!BD31+(1-Inputs!$B$15)*MIN(Mkt!BD31,BC31*(1+Inputs!$B$18))),BC31)))</f>
        <v>2447.70848</v>
      </c>
      <c r="BE31" s="11" t="n">
        <f aca="false">IF(BE$1&lt;Units!$P30,0,IF(AND(Units!$K30=0,BE$1=Units!$O30),Units!$R30,IF(AND(BE$1&gt;=Units!$Q30,MOD(BE$1-Units!$Q30,12)=0),IF(AND(Units!$L30=1,BE$1=Units!$Q30),IF(Units!$J30&lt;&gt;"",Units!$J30,Mkt!BE31),Inputs!$B$15*Mkt!BE31+(1-Inputs!$B$15)*MIN(Mkt!BE31,BD31*(1+Inputs!$B$18))),BD31)))</f>
        <v>2447.70848</v>
      </c>
      <c r="BF31" s="11" t="n">
        <f aca="false">IF(BF$1&lt;Units!$P30,0,IF(AND(Units!$K30=0,BF$1=Units!$O30),Units!$R30,IF(AND(BF$1&gt;=Units!$Q30,MOD(BF$1-Units!$Q30,12)=0),IF(AND(Units!$L30=1,BF$1=Units!$Q30),IF(Units!$J30&lt;&gt;"",Units!$J30,Mkt!BF31),Inputs!$B$15*Mkt!BF31+(1-Inputs!$B$15)*MIN(Mkt!BF31,BE31*(1+Inputs!$B$18))),BE31)))</f>
        <v>2521.1397344</v>
      </c>
      <c r="BG31" s="11" t="n">
        <f aca="false">IF(BG$1&lt;Units!$P30,0,IF(AND(Units!$K30=0,BG$1=Units!$O30),Units!$R30,IF(AND(BG$1&gt;=Units!$Q30,MOD(BG$1-Units!$Q30,12)=0),IF(AND(Units!$L30=1,BG$1=Units!$Q30),IF(Units!$J30&lt;&gt;"",Units!$J30,Mkt!BG31),Inputs!$B$15*Mkt!BG31+(1-Inputs!$B$15)*MIN(Mkt!BG31,BF31*(1+Inputs!$B$18))),BF31)))</f>
        <v>2521.1397344</v>
      </c>
      <c r="BH31" s="11" t="n">
        <f aca="false">IF(BH$1&lt;Units!$P30,0,IF(AND(Units!$K30=0,BH$1=Units!$O30),Units!$R30,IF(AND(BH$1&gt;=Units!$Q30,MOD(BH$1-Units!$Q30,12)=0),IF(AND(Units!$L30=1,BH$1=Units!$Q30),IF(Units!$J30&lt;&gt;"",Units!$J30,Mkt!BH31),Inputs!$B$15*Mkt!BH31+(1-Inputs!$B$15)*MIN(Mkt!BH31,BG31*(1+Inputs!$B$18))),BG31)))</f>
        <v>2521.1397344</v>
      </c>
      <c r="BI31" s="11" t="n">
        <f aca="false">IF(BI$1&lt;Units!$P30,0,IF(AND(Units!$K30=0,BI$1=Units!$O30),Units!$R30,IF(AND(BI$1&gt;=Units!$Q30,MOD(BI$1-Units!$Q30,12)=0),IF(AND(Units!$L30=1,BI$1=Units!$Q30),IF(Units!$J30&lt;&gt;"",Units!$J30,Mkt!BI31),Inputs!$B$15*Mkt!BI31+(1-Inputs!$B$15)*MIN(Mkt!BI31,BH31*(1+Inputs!$B$18))),BH31)))</f>
        <v>2521.1397344</v>
      </c>
      <c r="BJ31" s="11" t="n">
        <f aca="false">IF(BJ$1&lt;Units!$P30,0,IF(AND(Units!$K30=0,BJ$1=Units!$O30),Units!$R30,IF(AND(BJ$1&gt;=Units!$Q30,MOD(BJ$1-Units!$Q30,12)=0),IF(AND(Units!$L30=1,BJ$1=Units!$Q30),IF(Units!$J30&lt;&gt;"",Units!$J30,Mkt!BJ31),Inputs!$B$15*Mkt!BJ31+(1-Inputs!$B$15)*MIN(Mkt!BJ31,BI31*(1+Inputs!$B$18))),BI31)))</f>
        <v>2521.1397344</v>
      </c>
      <c r="BK31" s="11" t="n">
        <f aca="false">IF(BK$1&lt;Units!$P30,0,IF(AND(Units!$K30=0,BK$1=Units!$O30),Units!$R30,IF(AND(BK$1&gt;=Units!$Q30,MOD(BK$1-Units!$Q30,12)=0),IF(AND(Units!$L30=1,BK$1=Units!$Q30),IF(Units!$J30&lt;&gt;"",Units!$J30,Mkt!BK31),Inputs!$B$15*Mkt!BK31+(1-Inputs!$B$15)*MIN(Mkt!BK31,BJ31*(1+Inputs!$B$18))),BJ31)))</f>
        <v>2521.1397344</v>
      </c>
      <c r="BL31" s="11" t="n">
        <f aca="false">IF(BL$1&lt;Units!$P30,0,IF(AND(Units!$K30=0,BL$1=Units!$O30),Units!$R30,IF(AND(BL$1&gt;=Units!$Q30,MOD(BL$1-Units!$Q30,12)=0),IF(AND(Units!$L30=1,BL$1=Units!$Q30),IF(Units!$J30&lt;&gt;"",Units!$J30,Mkt!BL31),Inputs!$B$15*Mkt!BL31+(1-Inputs!$B$15)*MIN(Mkt!BL31,BK31*(1+Inputs!$B$18))),BK31)))</f>
        <v>2521.1397344</v>
      </c>
      <c r="BM31" s="11" t="n">
        <f aca="false">IF(BM$1&lt;Units!$P30,0,IF(AND(Units!$K30=0,BM$1=Units!$O30),Units!$R30,IF(AND(BM$1&gt;=Units!$Q30,MOD(BM$1-Units!$Q30,12)=0),IF(AND(Units!$L30=1,BM$1=Units!$Q30),IF(Units!$J30&lt;&gt;"",Units!$J30,Mkt!BM31),Inputs!$B$15*Mkt!BM31+(1-Inputs!$B$15)*MIN(Mkt!BM31,BL31*(1+Inputs!$B$18))),BL31)))</f>
        <v>2521.1397344</v>
      </c>
      <c r="BN31" s="11" t="n">
        <f aca="false">IF(BN$1&lt;Units!$P30,0,IF(AND(Units!$K30=0,BN$1=Units!$O30),Units!$R30,IF(AND(BN$1&gt;=Units!$Q30,MOD(BN$1-Units!$Q30,12)=0),IF(AND(Units!$L30=1,BN$1=Units!$Q30),IF(Units!$J30&lt;&gt;"",Units!$J30,Mkt!BN31),Inputs!$B$15*Mkt!BN31+(1-Inputs!$B$15)*MIN(Mkt!BN31,BM31*(1+Inputs!$B$18))),BM31)))</f>
        <v>2521.1397344</v>
      </c>
      <c r="BO31" s="11" t="n">
        <f aca="false">IF(BO$1&lt;Units!$P30,0,IF(AND(Units!$K30=0,BO$1=Units!$O30),Units!$R30,IF(AND(BO$1&gt;=Units!$Q30,MOD(BO$1-Units!$Q30,12)=0),IF(AND(Units!$L30=1,BO$1=Units!$Q30),IF(Units!$J30&lt;&gt;"",Units!$J30,Mkt!BO31),Inputs!$B$15*Mkt!BO31+(1-Inputs!$B$15)*MIN(Mkt!BO31,BN31*(1+Inputs!$B$18))),BN31)))</f>
        <v>2521.1397344</v>
      </c>
      <c r="BP31" s="11" t="n">
        <f aca="false">IF(BP$1&lt;Units!$P30,0,IF(AND(Units!$K30=0,BP$1=Units!$O30),Units!$R30,IF(AND(BP$1&gt;=Units!$Q30,MOD(BP$1-Units!$Q30,12)=0),IF(AND(Units!$L30=1,BP$1=Units!$Q30),IF(Units!$J30&lt;&gt;"",Units!$J30,Mkt!BP31),Inputs!$B$15*Mkt!BP31+(1-Inputs!$B$15)*MIN(Mkt!BP31,BO31*(1+Inputs!$B$18))),BO31)))</f>
        <v>2521.1397344</v>
      </c>
      <c r="BQ31" s="11" t="n">
        <f aca="false">IF(BQ$1&lt;Units!$P30,0,IF(AND(Units!$K30=0,BQ$1=Units!$O30),Units!$R30,IF(AND(BQ$1&gt;=Units!$Q30,MOD(BQ$1-Units!$Q30,12)=0),IF(AND(Units!$L30=1,BQ$1=Units!$Q30),IF(Units!$J30&lt;&gt;"",Units!$J30,Mkt!BQ31),Inputs!$B$15*Mkt!BQ31+(1-Inputs!$B$15)*MIN(Mkt!BQ31,BP31*(1+Inputs!$B$18))),BP31)))</f>
        <v>2521.1397344</v>
      </c>
      <c r="BR31" s="11" t="n">
        <f aca="false">IF(BR$1&lt;Units!$P30,0,IF(AND(Units!$K30=0,BR$1=Units!$O30),Units!$R30,IF(AND(BR$1&gt;=Units!$Q30,MOD(BR$1-Units!$Q30,12)=0),IF(AND(Units!$L30=1,BR$1=Units!$Q30),IF(Units!$J30&lt;&gt;"",Units!$J30,Mkt!BR31),Inputs!$B$15*Mkt!BR31+(1-Inputs!$B$15)*MIN(Mkt!BR31,BQ31*(1+Inputs!$B$18))),BQ31)))</f>
        <v>2596.773926432</v>
      </c>
      <c r="BS31" s="11" t="n">
        <f aca="false">IF(BS$1&lt;Units!$P30,0,IF(AND(Units!$K30=0,BS$1=Units!$O30),Units!$R30,IF(AND(BS$1&gt;=Units!$Q30,MOD(BS$1-Units!$Q30,12)=0),IF(AND(Units!$L30=1,BS$1=Units!$Q30),IF(Units!$J30&lt;&gt;"",Units!$J30,Mkt!BS31),Inputs!$B$15*Mkt!BS31+(1-Inputs!$B$15)*MIN(Mkt!BS31,BR31*(1+Inputs!$B$18))),BR31)))</f>
        <v>2596.773926432</v>
      </c>
      <c r="BT31" s="11" t="n">
        <f aca="false">IF(BT$1&lt;Units!$P30,0,IF(AND(Units!$K30=0,BT$1=Units!$O30),Units!$R30,IF(AND(BT$1&gt;=Units!$Q30,MOD(BT$1-Units!$Q30,12)=0),IF(AND(Units!$L30=1,BT$1=Units!$Q30),IF(Units!$J30&lt;&gt;"",Units!$J30,Mkt!BT31),Inputs!$B$15*Mkt!BT31+(1-Inputs!$B$15)*MIN(Mkt!BT31,BS31*(1+Inputs!$B$18))),BS31)))</f>
        <v>2596.773926432</v>
      </c>
      <c r="BU31" s="11" t="n">
        <f aca="false">IF(BU$1&lt;Units!$P30,0,IF(AND(Units!$K30=0,BU$1=Units!$O30),Units!$R30,IF(AND(BU$1&gt;=Units!$Q30,MOD(BU$1-Units!$Q30,12)=0),IF(AND(Units!$L30=1,BU$1=Units!$Q30),IF(Units!$J30&lt;&gt;"",Units!$J30,Mkt!BU31),Inputs!$B$15*Mkt!BU31+(1-Inputs!$B$15)*MIN(Mkt!BU31,BT31*(1+Inputs!$B$18))),BT31)))</f>
        <v>2596.773926432</v>
      </c>
      <c r="BV31" s="11" t="n">
        <f aca="false">IF(BV$1&lt;Units!$P30,0,IF(AND(Units!$K30=0,BV$1=Units!$O30),Units!$R30,IF(AND(BV$1&gt;=Units!$Q30,MOD(BV$1-Units!$Q30,12)=0),IF(AND(Units!$L30=1,BV$1=Units!$Q30),IF(Units!$J30&lt;&gt;"",Units!$J30,Mkt!BV31),Inputs!$B$15*Mkt!BV31+(1-Inputs!$B$15)*MIN(Mkt!BV31,BU31*(1+Inputs!$B$18))),BU31)))</f>
        <v>2596.773926432</v>
      </c>
      <c r="BW31" s="11" t="n">
        <f aca="false">IF(BW$1&lt;Units!$P30,0,IF(AND(Units!$K30=0,BW$1=Units!$O30),Units!$R30,IF(AND(BW$1&gt;=Units!$Q30,MOD(BW$1-Units!$Q30,12)=0),IF(AND(Units!$L30=1,BW$1=Units!$Q30),IF(Units!$J30&lt;&gt;"",Units!$J30,Mkt!BW31),Inputs!$B$15*Mkt!BW31+(1-Inputs!$B$15)*MIN(Mkt!BW31,BV31*(1+Inputs!$B$18))),BV31)))</f>
        <v>2596.773926432</v>
      </c>
      <c r="BX31" s="11" t="n">
        <f aca="false">IF(BX$1&lt;Units!$P30,0,IF(AND(Units!$K30=0,BX$1=Units!$O30),Units!$R30,IF(AND(BX$1&gt;=Units!$Q30,MOD(BX$1-Units!$Q30,12)=0),IF(AND(Units!$L30=1,BX$1=Units!$Q30),IF(Units!$J30&lt;&gt;"",Units!$J30,Mkt!BX31),Inputs!$B$15*Mkt!BX31+(1-Inputs!$B$15)*MIN(Mkt!BX31,BW31*(1+Inputs!$B$18))),BW31)))</f>
        <v>2596.773926432</v>
      </c>
      <c r="BY31" s="11" t="n">
        <f aca="false">IF(BY$1&lt;Units!$P30,0,IF(AND(Units!$K30=0,BY$1=Units!$O30),Units!$R30,IF(AND(BY$1&gt;=Units!$Q30,MOD(BY$1-Units!$Q30,12)=0),IF(AND(Units!$L30=1,BY$1=Units!$Q30),IF(Units!$J30&lt;&gt;"",Units!$J30,Mkt!BY31),Inputs!$B$15*Mkt!BY31+(1-Inputs!$B$15)*MIN(Mkt!BY31,BX31*(1+Inputs!$B$18))),BX31)))</f>
        <v>2596.773926432</v>
      </c>
      <c r="BZ31" s="11" t="n">
        <f aca="false">IF(BZ$1&lt;Units!$P30,0,IF(AND(Units!$K30=0,BZ$1=Units!$O30),Units!$R30,IF(AND(BZ$1&gt;=Units!$Q30,MOD(BZ$1-Units!$Q30,12)=0),IF(AND(Units!$L30=1,BZ$1=Units!$Q30),IF(Units!$J30&lt;&gt;"",Units!$J30,Mkt!BZ31),Inputs!$B$15*Mkt!BZ31+(1-Inputs!$B$15)*MIN(Mkt!BZ31,BY31*(1+Inputs!$B$18))),BY31)))</f>
        <v>2596.773926432</v>
      </c>
      <c r="CA31" s="11" t="n">
        <f aca="false">IF(CA$1&lt;Units!$P30,0,IF(AND(Units!$K30=0,CA$1=Units!$O30),Units!$R30,IF(AND(CA$1&gt;=Units!$Q30,MOD(CA$1-Units!$Q30,12)=0),IF(AND(Units!$L30=1,CA$1=Units!$Q30),IF(Units!$J30&lt;&gt;"",Units!$J30,Mkt!CA31),Inputs!$B$15*Mkt!CA31+(1-Inputs!$B$15)*MIN(Mkt!CA31,BZ31*(1+Inputs!$B$18))),BZ31)))</f>
        <v>2596.773926432</v>
      </c>
      <c r="CB31" s="11" t="n">
        <f aca="false">IF(CB$1&lt;Units!$P30,0,IF(AND(Units!$K30=0,CB$1=Units!$O30),Units!$R30,IF(AND(CB$1&gt;=Units!$Q30,MOD(CB$1-Units!$Q30,12)=0),IF(AND(Units!$L30=1,CB$1=Units!$Q30),IF(Units!$J30&lt;&gt;"",Units!$J30,Mkt!CB31),Inputs!$B$15*Mkt!CB31+(1-Inputs!$B$15)*MIN(Mkt!CB31,CA31*(1+Inputs!$B$18))),CA31)))</f>
        <v>2596.773926432</v>
      </c>
      <c r="CC31" s="11" t="n">
        <f aca="false">IF(CC$1&lt;Units!$P30,0,IF(AND(Units!$K30=0,CC$1=Units!$O30),Units!$R30,IF(AND(CC$1&gt;=Units!$Q30,MOD(CC$1-Units!$Q30,12)=0),IF(AND(Units!$L30=1,CC$1=Units!$Q30),IF(Units!$J30&lt;&gt;"",Units!$J30,Mkt!CC31),Inputs!$B$15*Mkt!CC31+(1-Inputs!$B$15)*MIN(Mkt!CC31,CB31*(1+Inputs!$B$18))),CB31)))</f>
        <v>2596.773926432</v>
      </c>
      <c r="CD31" s="11" t="n">
        <f aca="false">IF(CD$1&lt;Units!$P30,0,IF(AND(Units!$K30=0,CD$1=Units!$O30),Units!$R30,IF(AND(CD$1&gt;=Units!$Q30,MOD(CD$1-Units!$Q30,12)=0),IF(AND(Units!$L30=1,CD$1=Units!$Q30),IF(Units!$J30&lt;&gt;"",Units!$J30,Mkt!CD31),Inputs!$B$15*Mkt!CD31+(1-Inputs!$B$15)*MIN(Mkt!CD31,CC31*(1+Inputs!$B$18))),CC31)))</f>
        <v>2674.67714422496</v>
      </c>
      <c r="CE31" s="11" t="n">
        <f aca="false">IF(CE$1&lt;Units!$P30,0,IF(AND(Units!$K30=0,CE$1=Units!$O30),Units!$R30,IF(AND(CE$1&gt;=Units!$Q30,MOD(CE$1-Units!$Q30,12)=0),IF(AND(Units!$L30=1,CE$1=Units!$Q30),IF(Units!$J30&lt;&gt;"",Units!$J30,Mkt!CE31),Inputs!$B$15*Mkt!CE31+(1-Inputs!$B$15)*MIN(Mkt!CE31,CD31*(1+Inputs!$B$18))),CD31)))</f>
        <v>2674.67714422496</v>
      </c>
      <c r="CF31" s="11" t="n">
        <f aca="false">IF(CF$1&lt;Units!$P30,0,IF(AND(Units!$K30=0,CF$1=Units!$O30),Units!$R30,IF(AND(CF$1&gt;=Units!$Q30,MOD(CF$1-Units!$Q30,12)=0),IF(AND(Units!$L30=1,CF$1=Units!$Q30),IF(Units!$J30&lt;&gt;"",Units!$J30,Mkt!CF31),Inputs!$B$15*Mkt!CF31+(1-Inputs!$B$15)*MIN(Mkt!CF31,CE31*(1+Inputs!$B$18))),CE31)))</f>
        <v>2674.67714422496</v>
      </c>
      <c r="CG31" s="11" t="n">
        <f aca="false">IF(CG$1&lt;Units!$P30,0,IF(AND(Units!$K30=0,CG$1=Units!$O30),Units!$R30,IF(AND(CG$1&gt;=Units!$Q30,MOD(CG$1-Units!$Q30,12)=0),IF(AND(Units!$L30=1,CG$1=Units!$Q30),IF(Units!$J30&lt;&gt;"",Units!$J30,Mkt!CG31),Inputs!$B$15*Mkt!CG31+(1-Inputs!$B$15)*MIN(Mkt!CG31,CF31*(1+Inputs!$B$18))),CF31)))</f>
        <v>2674.67714422496</v>
      </c>
      <c r="CH31" s="11" t="n">
        <f aca="false">IF(CH$1&lt;Units!$P30,0,IF(AND(Units!$K30=0,CH$1=Units!$O30),Units!$R30,IF(AND(CH$1&gt;=Units!$Q30,MOD(CH$1-Units!$Q30,12)=0),IF(AND(Units!$L30=1,CH$1=Units!$Q30),IF(Units!$J30&lt;&gt;"",Units!$J30,Mkt!CH31),Inputs!$B$15*Mkt!CH31+(1-Inputs!$B$15)*MIN(Mkt!CH31,CG31*(1+Inputs!$B$18))),CG31)))</f>
        <v>2674.67714422496</v>
      </c>
      <c r="CI31" s="11" t="n">
        <f aca="false">IF(CI$1&lt;Units!$P30,0,IF(AND(Units!$K30=0,CI$1=Units!$O30),Units!$R30,IF(AND(CI$1&gt;=Units!$Q30,MOD(CI$1-Units!$Q30,12)=0),IF(AND(Units!$L30=1,CI$1=Units!$Q30),IF(Units!$J30&lt;&gt;"",Units!$J30,Mkt!CI31),Inputs!$B$15*Mkt!CI31+(1-Inputs!$B$15)*MIN(Mkt!CI31,CH31*(1+Inputs!$B$18))),CH31)))</f>
        <v>2674.67714422496</v>
      </c>
      <c r="CJ31" s="11" t="n">
        <f aca="false">IF(CJ$1&lt;Units!$P30,0,IF(AND(Units!$K30=0,CJ$1=Units!$O30),Units!$R30,IF(AND(CJ$1&gt;=Units!$Q30,MOD(CJ$1-Units!$Q30,12)=0),IF(AND(Units!$L30=1,CJ$1=Units!$Q30),IF(Units!$J30&lt;&gt;"",Units!$J30,Mkt!CJ31),Inputs!$B$15*Mkt!CJ31+(1-Inputs!$B$15)*MIN(Mkt!CJ31,CI31*(1+Inputs!$B$18))),CI31)))</f>
        <v>2674.67714422496</v>
      </c>
      <c r="CK31" s="11" t="n">
        <f aca="false">IF(CK$1&lt;Units!$P30,0,IF(AND(Units!$K30=0,CK$1=Units!$O30),Units!$R30,IF(AND(CK$1&gt;=Units!$Q30,MOD(CK$1-Units!$Q30,12)=0),IF(AND(Units!$L30=1,CK$1=Units!$Q30),IF(Units!$J30&lt;&gt;"",Units!$J30,Mkt!CK31),Inputs!$B$15*Mkt!CK31+(1-Inputs!$B$15)*MIN(Mkt!CK31,CJ31*(1+Inputs!$B$18))),CJ31)))</f>
        <v>2674.67714422496</v>
      </c>
      <c r="CL31" s="11" t="n">
        <f aca="false">IF(CL$1&lt;Units!$P30,0,IF(AND(Units!$K30=0,CL$1=Units!$O30),Units!$R30,IF(AND(CL$1&gt;=Units!$Q30,MOD(CL$1-Units!$Q30,12)=0),IF(AND(Units!$L30=1,CL$1=Units!$Q30),IF(Units!$J30&lt;&gt;"",Units!$J30,Mkt!CL31),Inputs!$B$15*Mkt!CL31+(1-Inputs!$B$15)*MIN(Mkt!CL31,CK31*(1+Inputs!$B$18))),CK31)))</f>
        <v>2674.67714422496</v>
      </c>
      <c r="CM31" s="11" t="n">
        <f aca="false">IF(CM$1&lt;Units!$P30,0,IF(AND(Units!$K30=0,CM$1=Units!$O30),Units!$R30,IF(AND(CM$1&gt;=Units!$Q30,MOD(CM$1-Units!$Q30,12)=0),IF(AND(Units!$L30=1,CM$1=Units!$Q30),IF(Units!$J30&lt;&gt;"",Units!$J30,Mkt!CM31),Inputs!$B$15*Mkt!CM31+(1-Inputs!$B$15)*MIN(Mkt!CM31,CL31*(1+Inputs!$B$18))),CL31)))</f>
        <v>2674.67714422496</v>
      </c>
      <c r="CN31" s="11" t="n">
        <f aca="false">IF(CN$1&lt;Units!$P30,0,IF(AND(Units!$K30=0,CN$1=Units!$O30),Units!$R30,IF(AND(CN$1&gt;=Units!$Q30,MOD(CN$1-Units!$Q30,12)=0),IF(AND(Units!$L30=1,CN$1=Units!$Q30),IF(Units!$J30&lt;&gt;"",Units!$J30,Mkt!CN31),Inputs!$B$15*Mkt!CN31+(1-Inputs!$B$15)*MIN(Mkt!CN31,CM31*(1+Inputs!$B$18))),CM31)))</f>
        <v>2674.67714422496</v>
      </c>
      <c r="CO31" s="11" t="n">
        <f aca="false">IF(CO$1&lt;Units!$P30,0,IF(AND(Units!$K30=0,CO$1=Units!$O30),Units!$R30,IF(AND(CO$1&gt;=Units!$Q30,MOD(CO$1-Units!$Q30,12)=0),IF(AND(Units!$L30=1,CO$1=Units!$Q30),IF(Units!$J30&lt;&gt;"",Units!$J30,Mkt!CO31),Inputs!$B$15*Mkt!CO31+(1-Inputs!$B$15)*MIN(Mkt!CO31,CN31*(1+Inputs!$B$18))),CN31)))</f>
        <v>2674.67714422496</v>
      </c>
      <c r="CP31" s="11" t="n">
        <f aca="false">IF(CP$1&lt;Units!$P30,0,IF(AND(Units!$K30=0,CP$1=Units!$O30),Units!$R30,IF(AND(CP$1&gt;=Units!$Q30,MOD(CP$1-Units!$Q30,12)=0),IF(AND(Units!$L30=1,CP$1=Units!$Q30),IF(Units!$J30&lt;&gt;"",Units!$J30,Mkt!CP31),Inputs!$B$15*Mkt!CP31+(1-Inputs!$B$15)*MIN(Mkt!CP31,CO31*(1+Inputs!$B$18))),CO31)))</f>
        <v>2754.91745855171</v>
      </c>
      <c r="CQ31" s="11" t="n">
        <f aca="false">IF(CQ$1&lt;Units!$P30,0,IF(AND(Units!$K30=0,CQ$1=Units!$O30),Units!$R30,IF(AND(CQ$1&gt;=Units!$Q30,MOD(CQ$1-Units!$Q30,12)=0),IF(AND(Units!$L30=1,CQ$1=Units!$Q30),IF(Units!$J30&lt;&gt;"",Units!$J30,Mkt!CQ31),Inputs!$B$15*Mkt!CQ31+(1-Inputs!$B$15)*MIN(Mkt!CQ31,CP31*(1+Inputs!$B$18))),CP31)))</f>
        <v>2754.91745855171</v>
      </c>
      <c r="CR31" s="11" t="n">
        <f aca="false">IF(CR$1&lt;Units!$P30,0,IF(AND(Units!$K30=0,CR$1=Units!$O30),Units!$R30,IF(AND(CR$1&gt;=Units!$Q30,MOD(CR$1-Units!$Q30,12)=0),IF(AND(Units!$L30=1,CR$1=Units!$Q30),IF(Units!$J30&lt;&gt;"",Units!$J30,Mkt!CR31),Inputs!$B$15*Mkt!CR31+(1-Inputs!$B$15)*MIN(Mkt!CR31,CQ31*(1+Inputs!$B$18))),CQ31)))</f>
        <v>2754.91745855171</v>
      </c>
      <c r="CS31" s="11" t="n">
        <f aca="false">IF(CS$1&lt;Units!$P30,0,IF(AND(Units!$K30=0,CS$1=Units!$O30),Units!$R30,IF(AND(CS$1&gt;=Units!$Q30,MOD(CS$1-Units!$Q30,12)=0),IF(AND(Units!$L30=1,CS$1=Units!$Q30),IF(Units!$J30&lt;&gt;"",Units!$J30,Mkt!CS31),Inputs!$B$15*Mkt!CS31+(1-Inputs!$B$15)*MIN(Mkt!CS31,CR31*(1+Inputs!$B$18))),CR31)))</f>
        <v>2754.91745855171</v>
      </c>
      <c r="CT31" s="11" t="n">
        <f aca="false">IF(CT$1&lt;Units!$P30,0,IF(AND(Units!$K30=0,CT$1=Units!$O30),Units!$R30,IF(AND(CT$1&gt;=Units!$Q30,MOD(CT$1-Units!$Q30,12)=0),IF(AND(Units!$L30=1,CT$1=Units!$Q30),IF(Units!$J30&lt;&gt;"",Units!$J30,Mkt!CT31),Inputs!$B$15*Mkt!CT31+(1-Inputs!$B$15)*MIN(Mkt!CT31,CS31*(1+Inputs!$B$18))),CS31)))</f>
        <v>2754.91745855171</v>
      </c>
      <c r="CU31" s="11" t="n">
        <f aca="false">IF(CU$1&lt;Units!$P30,0,IF(AND(Units!$K30=0,CU$1=Units!$O30),Units!$R30,IF(AND(CU$1&gt;=Units!$Q30,MOD(CU$1-Units!$Q30,12)=0),IF(AND(Units!$L30=1,CU$1=Units!$Q30),IF(Units!$J30&lt;&gt;"",Units!$J30,Mkt!CU31),Inputs!$B$15*Mkt!CU31+(1-Inputs!$B$15)*MIN(Mkt!CU31,CT31*(1+Inputs!$B$18))),CT31)))</f>
        <v>2754.91745855171</v>
      </c>
      <c r="CV31" s="11" t="n">
        <f aca="false">IF(CV$1&lt;Units!$P30,0,IF(AND(Units!$K30=0,CV$1=Units!$O30),Units!$R30,IF(AND(CV$1&gt;=Units!$Q30,MOD(CV$1-Units!$Q30,12)=0),IF(AND(Units!$L30=1,CV$1=Units!$Q30),IF(Units!$J30&lt;&gt;"",Units!$J30,Mkt!CV31),Inputs!$B$15*Mkt!CV31+(1-Inputs!$B$15)*MIN(Mkt!CV31,CU31*(1+Inputs!$B$18))),CU31)))</f>
        <v>2754.91745855171</v>
      </c>
      <c r="CW31" s="11" t="n">
        <f aca="false">IF(CW$1&lt;Units!$P30,0,IF(AND(Units!$K30=0,CW$1=Units!$O30),Units!$R30,IF(AND(CW$1&gt;=Units!$Q30,MOD(CW$1-Units!$Q30,12)=0),IF(AND(Units!$L30=1,CW$1=Units!$Q30),IF(Units!$J30&lt;&gt;"",Units!$J30,Mkt!CW31),Inputs!$B$15*Mkt!CW31+(1-Inputs!$B$15)*MIN(Mkt!CW31,CV31*(1+Inputs!$B$18))),CV31)))</f>
        <v>2754.91745855171</v>
      </c>
      <c r="CX31" s="11" t="n">
        <f aca="false">IF(CX$1&lt;Units!$P30,0,IF(AND(Units!$K30=0,CX$1=Units!$O30),Units!$R30,IF(AND(CX$1&gt;=Units!$Q30,MOD(CX$1-Units!$Q30,12)=0),IF(AND(Units!$L30=1,CX$1=Units!$Q30),IF(Units!$J30&lt;&gt;"",Units!$J30,Mkt!CX31),Inputs!$B$15*Mkt!CX31+(1-Inputs!$B$15)*MIN(Mkt!CX31,CW31*(1+Inputs!$B$18))),CW31)))</f>
        <v>2754.91745855171</v>
      </c>
      <c r="CY31" s="11" t="n">
        <f aca="false">IF(CY$1&lt;Units!$P30,0,IF(AND(Units!$K30=0,CY$1=Units!$O30),Units!$R30,IF(AND(CY$1&gt;=Units!$Q30,MOD(CY$1-Units!$Q30,12)=0),IF(AND(Units!$L30=1,CY$1=Units!$Q30),IF(Units!$J30&lt;&gt;"",Units!$J30,Mkt!CY31),Inputs!$B$15*Mkt!CY31+(1-Inputs!$B$15)*MIN(Mkt!CY31,CX31*(1+Inputs!$B$18))),CX31)))</f>
        <v>2754.91745855171</v>
      </c>
      <c r="CZ31" s="11" t="n">
        <f aca="false">IF(CZ$1&lt;Units!$P30,0,IF(AND(Units!$K30=0,CZ$1=Units!$O30),Units!$R30,IF(AND(CZ$1&gt;=Units!$Q30,MOD(CZ$1-Units!$Q30,12)=0),IF(AND(Units!$L30=1,CZ$1=Units!$Q30),IF(Units!$J30&lt;&gt;"",Units!$J30,Mkt!CZ31),Inputs!$B$15*Mkt!CZ31+(1-Inputs!$B$15)*MIN(Mkt!CZ31,CY31*(1+Inputs!$B$18))),CY31)))</f>
        <v>2754.91745855171</v>
      </c>
      <c r="DA31" s="11" t="n">
        <f aca="false">IF(DA$1&lt;Units!$P30,0,IF(AND(Units!$K30=0,DA$1=Units!$O30),Units!$R30,IF(AND(DA$1&gt;=Units!$Q30,MOD(DA$1-Units!$Q30,12)=0),IF(AND(Units!$L30=1,DA$1=Units!$Q30),IF(Units!$J30&lt;&gt;"",Units!$J30,Mkt!DA31),Inputs!$B$15*Mkt!DA31+(1-Inputs!$B$15)*MIN(Mkt!DA31,CZ31*(1+Inputs!$B$18))),CZ31)))</f>
        <v>2754.91745855171</v>
      </c>
      <c r="DB31" s="11" t="n">
        <f aca="false">IF(DB$1&lt;Units!$P30,0,IF(AND(Units!$K30=0,DB$1=Units!$O30),Units!$R30,IF(AND(DB$1&gt;=Units!$Q30,MOD(DB$1-Units!$Q30,12)=0),IF(AND(Units!$L30=1,DB$1=Units!$Q30),IF(Units!$J30&lt;&gt;"",Units!$J30,Mkt!DB31),Inputs!$B$15*Mkt!DB31+(1-Inputs!$B$15)*MIN(Mkt!DB31,DA31*(1+Inputs!$B$18))),DA31)))</f>
        <v>2837.56498230826</v>
      </c>
      <c r="DC31" s="11" t="n">
        <f aca="false">IF(DC$1&lt;Units!$P30,0,IF(AND(Units!$K30=0,DC$1=Units!$O30),Units!$R30,IF(AND(DC$1&gt;=Units!$Q30,MOD(DC$1-Units!$Q30,12)=0),IF(AND(Units!$L30=1,DC$1=Units!$Q30),IF(Units!$J30&lt;&gt;"",Units!$J30,Mkt!DC31),Inputs!$B$15*Mkt!DC31+(1-Inputs!$B$15)*MIN(Mkt!DC31,DB31*(1+Inputs!$B$18))),DB31)))</f>
        <v>2837.56498230826</v>
      </c>
      <c r="DD31" s="11" t="n">
        <f aca="false">IF(DD$1&lt;Units!$P30,0,IF(AND(Units!$K30=0,DD$1=Units!$O30),Units!$R30,IF(AND(DD$1&gt;=Units!$Q30,MOD(DD$1-Units!$Q30,12)=0),IF(AND(Units!$L30=1,DD$1=Units!$Q30),IF(Units!$J30&lt;&gt;"",Units!$J30,Mkt!DD31),Inputs!$B$15*Mkt!DD31+(1-Inputs!$B$15)*MIN(Mkt!DD31,DC31*(1+Inputs!$B$18))),DC31)))</f>
        <v>2837.56498230826</v>
      </c>
      <c r="DE31" s="11" t="n">
        <f aca="false">IF(DE$1&lt;Units!$P30,0,IF(AND(Units!$K30=0,DE$1=Units!$O30),Units!$R30,IF(AND(DE$1&gt;=Units!$Q30,MOD(DE$1-Units!$Q30,12)=0),IF(AND(Units!$L30=1,DE$1=Units!$Q30),IF(Units!$J30&lt;&gt;"",Units!$J30,Mkt!DE31),Inputs!$B$15*Mkt!DE31+(1-Inputs!$B$15)*MIN(Mkt!DE31,DD31*(1+Inputs!$B$18))),DD31)))</f>
        <v>2837.56498230826</v>
      </c>
      <c r="DF31" s="11" t="n">
        <f aca="false">IF(DF$1&lt;Units!$P30,0,IF(AND(Units!$K30=0,DF$1=Units!$O30),Units!$R30,IF(AND(DF$1&gt;=Units!$Q30,MOD(DF$1-Units!$Q30,12)=0),IF(AND(Units!$L30=1,DF$1=Units!$Q30),IF(Units!$J30&lt;&gt;"",Units!$J30,Mkt!DF31),Inputs!$B$15*Mkt!DF31+(1-Inputs!$B$15)*MIN(Mkt!DF31,DE31*(1+Inputs!$B$18))),DE31)))</f>
        <v>2837.56498230826</v>
      </c>
      <c r="DG31" s="11" t="n">
        <f aca="false">IF(DG$1&lt;Units!$P30,0,IF(AND(Units!$K30=0,DG$1=Units!$O30),Units!$R30,IF(AND(DG$1&gt;=Units!$Q30,MOD(DG$1-Units!$Q30,12)=0),IF(AND(Units!$L30=1,DG$1=Units!$Q30),IF(Units!$J30&lt;&gt;"",Units!$J30,Mkt!DG31),Inputs!$B$15*Mkt!DG31+(1-Inputs!$B$15)*MIN(Mkt!DG31,DF31*(1+Inputs!$B$18))),DF31)))</f>
        <v>2837.56498230826</v>
      </c>
      <c r="DH31" s="11" t="n">
        <f aca="false">IF(DH$1&lt;Units!$P30,0,IF(AND(Units!$K30=0,DH$1=Units!$O30),Units!$R30,IF(AND(DH$1&gt;=Units!$Q30,MOD(DH$1-Units!$Q30,12)=0),IF(AND(Units!$L30=1,DH$1=Units!$Q30),IF(Units!$J30&lt;&gt;"",Units!$J30,Mkt!DH31),Inputs!$B$15*Mkt!DH31+(1-Inputs!$B$15)*MIN(Mkt!DH31,DG31*(1+Inputs!$B$18))),DG31)))</f>
        <v>2837.56498230826</v>
      </c>
      <c r="DI31" s="11" t="n">
        <f aca="false">IF(DI$1&lt;Units!$P30,0,IF(AND(Units!$K30=0,DI$1=Units!$O30),Units!$R30,IF(AND(DI$1&gt;=Units!$Q30,MOD(DI$1-Units!$Q30,12)=0),IF(AND(Units!$L30=1,DI$1=Units!$Q30),IF(Units!$J30&lt;&gt;"",Units!$J30,Mkt!DI31),Inputs!$B$15*Mkt!DI31+(1-Inputs!$B$15)*MIN(Mkt!DI31,DH31*(1+Inputs!$B$18))),DH31)))</f>
        <v>2837.56498230826</v>
      </c>
      <c r="DJ31" s="11" t="n">
        <f aca="false">IF(DJ$1&lt;Units!$P30,0,IF(AND(Units!$K30=0,DJ$1=Units!$O30),Units!$R30,IF(AND(DJ$1&gt;=Units!$Q30,MOD(DJ$1-Units!$Q30,12)=0),IF(AND(Units!$L30=1,DJ$1=Units!$Q30),IF(Units!$J30&lt;&gt;"",Units!$J30,Mkt!DJ31),Inputs!$B$15*Mkt!DJ31+(1-Inputs!$B$15)*MIN(Mkt!DJ31,DI31*(1+Inputs!$B$18))),DI31)))</f>
        <v>2837.56498230826</v>
      </c>
      <c r="DK31" s="11" t="n">
        <f aca="false">IF(DK$1&lt;Units!$P30,0,IF(AND(Units!$K30=0,DK$1=Units!$O30),Units!$R30,IF(AND(DK$1&gt;=Units!$Q30,MOD(DK$1-Units!$Q30,12)=0),IF(AND(Units!$L30=1,DK$1=Units!$Q30),IF(Units!$J30&lt;&gt;"",Units!$J30,Mkt!DK31),Inputs!$B$15*Mkt!DK31+(1-Inputs!$B$15)*MIN(Mkt!DK31,DJ31*(1+Inputs!$B$18))),DJ31)))</f>
        <v>2837.56498230826</v>
      </c>
      <c r="DL31" s="11" t="n">
        <f aca="false">IF(DL$1&lt;Units!$P30,0,IF(AND(Units!$K30=0,DL$1=Units!$O30),Units!$R30,IF(AND(DL$1&gt;=Units!$Q30,MOD(DL$1-Units!$Q30,12)=0),IF(AND(Units!$L30=1,DL$1=Units!$Q30),IF(Units!$J30&lt;&gt;"",Units!$J30,Mkt!DL31),Inputs!$B$15*Mkt!DL31+(1-Inputs!$B$15)*MIN(Mkt!DL31,DK31*(1+Inputs!$B$18))),DK31)))</f>
        <v>2837.56498230826</v>
      </c>
      <c r="DM31" s="11" t="n">
        <f aca="false">IF(DM$1&lt;Units!$P30,0,IF(AND(Units!$K30=0,DM$1=Units!$O30),Units!$R30,IF(AND(DM$1&gt;=Units!$Q30,MOD(DM$1-Units!$Q30,12)=0),IF(AND(Units!$L30=1,DM$1=Units!$Q30),IF(Units!$J30&lt;&gt;"",Units!$J30,Mkt!DM31),Inputs!$B$15*Mkt!DM31+(1-Inputs!$B$15)*MIN(Mkt!DM31,DL31*(1+Inputs!$B$18))),DL31)))</f>
        <v>2837.56498230826</v>
      </c>
      <c r="DN31" s="11" t="n">
        <f aca="false">IF(DN$1&lt;Units!$P30,0,IF(AND(Units!$K30=0,DN$1=Units!$O30),Units!$R30,IF(AND(DN$1&gt;=Units!$Q30,MOD(DN$1-Units!$Q30,12)=0),IF(AND(Units!$L30=1,DN$1=Units!$Q30),IF(Units!$J30&lt;&gt;"",Units!$J30,Mkt!DN31),Inputs!$B$15*Mkt!DN31+(1-Inputs!$B$15)*MIN(Mkt!DN31,DM31*(1+Inputs!$B$18))),DM31)))</f>
        <v>2922.69193177751</v>
      </c>
      <c r="DO31" s="11" t="n">
        <f aca="false">IF(DO$1&lt;Units!$P30,0,IF(AND(Units!$K30=0,DO$1=Units!$O30),Units!$R30,IF(AND(DO$1&gt;=Units!$Q30,MOD(DO$1-Units!$Q30,12)=0),IF(AND(Units!$L30=1,DO$1=Units!$Q30),IF(Units!$J30&lt;&gt;"",Units!$J30,Mkt!DO31),Inputs!$B$15*Mkt!DO31+(1-Inputs!$B$15)*MIN(Mkt!DO31,DN31*(1+Inputs!$B$18))),DN31)))</f>
        <v>2922.69193177751</v>
      </c>
      <c r="DP31" s="11" t="n">
        <f aca="false">IF(DP$1&lt;Units!$P30,0,IF(AND(Units!$K30=0,DP$1=Units!$O30),Units!$R30,IF(AND(DP$1&gt;=Units!$Q30,MOD(DP$1-Units!$Q30,12)=0),IF(AND(Units!$L30=1,DP$1=Units!$Q30),IF(Units!$J30&lt;&gt;"",Units!$J30,Mkt!DP31),Inputs!$B$15*Mkt!DP31+(1-Inputs!$B$15)*MIN(Mkt!DP31,DO31*(1+Inputs!$B$18))),DO31)))</f>
        <v>2922.69193177751</v>
      </c>
      <c r="DQ31" s="11" t="n">
        <f aca="false">IF(DQ$1&lt;Units!$P30,0,IF(AND(Units!$K30=0,DQ$1=Units!$O30),Units!$R30,IF(AND(DQ$1&gt;=Units!$Q30,MOD(DQ$1-Units!$Q30,12)=0),IF(AND(Units!$L30=1,DQ$1=Units!$Q30),IF(Units!$J30&lt;&gt;"",Units!$J30,Mkt!DQ31),Inputs!$B$15*Mkt!DQ31+(1-Inputs!$B$15)*MIN(Mkt!DQ31,DP31*(1+Inputs!$B$18))),DP31)))</f>
        <v>2922.69193177751</v>
      </c>
      <c r="DR31" s="11" t="n">
        <f aca="false">IF(DR$1&lt;Units!$P30,0,IF(AND(Units!$K30=0,DR$1=Units!$O30),Units!$R30,IF(AND(DR$1&gt;=Units!$Q30,MOD(DR$1-Units!$Q30,12)=0),IF(AND(Units!$L30=1,DR$1=Units!$Q30),IF(Units!$J30&lt;&gt;"",Units!$J30,Mkt!DR31),Inputs!$B$15*Mkt!DR31+(1-Inputs!$B$15)*MIN(Mkt!DR31,DQ31*(1+Inputs!$B$18))),DQ31)))</f>
        <v>2922.69193177751</v>
      </c>
      <c r="DS31" s="11" t="n">
        <f aca="false">IF(DS$1&lt;Units!$P30,0,IF(AND(Units!$K30=0,DS$1=Units!$O30),Units!$R30,IF(AND(DS$1&gt;=Units!$Q30,MOD(DS$1-Units!$Q30,12)=0),IF(AND(Units!$L30=1,DS$1=Units!$Q30),IF(Units!$J30&lt;&gt;"",Units!$J30,Mkt!DS31),Inputs!$B$15*Mkt!DS31+(1-Inputs!$B$15)*MIN(Mkt!DS31,DR31*(1+Inputs!$B$18))),DR31)))</f>
        <v>2922.69193177751</v>
      </c>
      <c r="DT31" s="11" t="n">
        <f aca="false">IF(DT$1&lt;Units!$P30,0,IF(AND(Units!$K30=0,DT$1=Units!$O30),Units!$R30,IF(AND(DT$1&gt;=Units!$Q30,MOD(DT$1-Units!$Q30,12)=0),IF(AND(Units!$L30=1,DT$1=Units!$Q30),IF(Units!$J30&lt;&gt;"",Units!$J30,Mkt!DT31),Inputs!$B$15*Mkt!DT31+(1-Inputs!$B$15)*MIN(Mkt!DT31,DS31*(1+Inputs!$B$18))),DS31)))</f>
        <v>2922.69193177751</v>
      </c>
      <c r="DU31" s="11" t="n">
        <f aca="false">IF(DU$1&lt;Units!$P30,0,IF(AND(Units!$K30=0,DU$1=Units!$O30),Units!$R30,IF(AND(DU$1&gt;=Units!$Q30,MOD(DU$1-Units!$Q30,12)=0),IF(AND(Units!$L30=1,DU$1=Units!$Q30),IF(Units!$J30&lt;&gt;"",Units!$J30,Mkt!DU31),Inputs!$B$15*Mkt!DU31+(1-Inputs!$B$15)*MIN(Mkt!DU31,DT31*(1+Inputs!$B$18))),DT31)))</f>
        <v>2922.69193177751</v>
      </c>
      <c r="DV31" s="11" t="n">
        <f aca="false">IF(DV$1&lt;Units!$P30,0,IF(AND(Units!$K30=0,DV$1=Units!$O30),Units!$R30,IF(AND(DV$1&gt;=Units!$Q30,MOD(DV$1-Units!$Q30,12)=0),IF(AND(Units!$L30=1,DV$1=Units!$Q30),IF(Units!$J30&lt;&gt;"",Units!$J30,Mkt!DV31),Inputs!$B$15*Mkt!DV31+(1-Inputs!$B$15)*MIN(Mkt!DV31,DU31*(1+Inputs!$B$18))),DU31)))</f>
        <v>2922.69193177751</v>
      </c>
      <c r="DW31" s="11" t="n">
        <f aca="false">IF(DW$1&lt;Units!$P30,0,IF(AND(Units!$K30=0,DW$1=Units!$O30),Units!$R30,IF(AND(DW$1&gt;=Units!$Q30,MOD(DW$1-Units!$Q30,12)=0),IF(AND(Units!$L30=1,DW$1=Units!$Q30),IF(Units!$J30&lt;&gt;"",Units!$J30,Mkt!DW31),Inputs!$B$15*Mkt!DW31+(1-Inputs!$B$15)*MIN(Mkt!DW31,DV31*(1+Inputs!$B$18))),DV31)))</f>
        <v>2922.69193177751</v>
      </c>
      <c r="DX31" s="11" t="n">
        <f aca="false">IF(DX$1&lt;Units!$P30,0,IF(AND(Units!$K30=0,DX$1=Units!$O30),Units!$R30,IF(AND(DX$1&gt;=Units!$Q30,MOD(DX$1-Units!$Q30,12)=0),IF(AND(Units!$L30=1,DX$1=Units!$Q30),IF(Units!$J30&lt;&gt;"",Units!$J30,Mkt!DX31),Inputs!$B$15*Mkt!DX31+(1-Inputs!$B$15)*MIN(Mkt!DX31,DW31*(1+Inputs!$B$18))),DW31)))</f>
        <v>2922.69193177751</v>
      </c>
      <c r="DY31" s="11" t="n">
        <f aca="false">IF(DY$1&lt;Units!$P30,0,IF(AND(Units!$K30=0,DY$1=Units!$O30),Units!$R30,IF(AND(DY$1&gt;=Units!$Q30,MOD(DY$1-Units!$Q30,12)=0),IF(AND(Units!$L30=1,DY$1=Units!$Q30),IF(Units!$J30&lt;&gt;"",Units!$J30,Mkt!DY31),Inputs!$B$15*Mkt!DY31+(1-Inputs!$B$15)*MIN(Mkt!DY31,DX31*(1+Inputs!$B$18))),DX31)))</f>
        <v>2922.69193177751</v>
      </c>
      <c r="DZ31" s="11" t="n">
        <f aca="false">IF(DZ$1&lt;Units!$P30,0,IF(AND(Units!$K30=0,DZ$1=Units!$O30),Units!$R30,IF(AND(DZ$1&gt;=Units!$Q30,MOD(DZ$1-Units!$Q30,12)=0),IF(AND(Units!$L30=1,DZ$1=Units!$Q30),IF(Units!$J30&lt;&gt;"",Units!$J30,Mkt!DZ31),Inputs!$B$15*Mkt!DZ31+(1-Inputs!$B$15)*MIN(Mkt!DZ31,DY31*(1+Inputs!$B$18))),DY31)))</f>
        <v>3010.37268973083</v>
      </c>
      <c r="EA31" s="11" t="n">
        <f aca="false">IF(EA$1&lt;Units!$P30,0,IF(AND(Units!$K30=0,EA$1=Units!$O30),Units!$R30,IF(AND(EA$1&gt;=Units!$Q30,MOD(EA$1-Units!$Q30,12)=0),IF(AND(Units!$L30=1,EA$1=Units!$Q30),IF(Units!$J30&lt;&gt;"",Units!$J30,Mkt!EA31),Inputs!$B$15*Mkt!EA31+(1-Inputs!$B$15)*MIN(Mkt!EA31,DZ31*(1+Inputs!$B$18))),DZ31)))</f>
        <v>3010.37268973083</v>
      </c>
      <c r="EB31" s="11" t="n">
        <f aca="false">IF(EB$1&lt;Units!$P30,0,IF(AND(Units!$K30=0,EB$1=Units!$O30),Units!$R30,IF(AND(EB$1&gt;=Units!$Q30,MOD(EB$1-Units!$Q30,12)=0),IF(AND(Units!$L30=1,EB$1=Units!$Q30),IF(Units!$J30&lt;&gt;"",Units!$J30,Mkt!EB31),Inputs!$B$15*Mkt!EB31+(1-Inputs!$B$15)*MIN(Mkt!EB31,EA31*(1+Inputs!$B$18))),EA31)))</f>
        <v>3010.37268973083</v>
      </c>
      <c r="EC31" s="11" t="n">
        <f aca="false">IF(EC$1&lt;Units!$P30,0,IF(AND(Units!$K30=0,EC$1=Units!$O30),Units!$R30,IF(AND(EC$1&gt;=Units!$Q30,MOD(EC$1-Units!$Q30,12)=0),IF(AND(Units!$L30=1,EC$1=Units!$Q30),IF(Units!$J30&lt;&gt;"",Units!$J30,Mkt!EC31),Inputs!$B$15*Mkt!EC31+(1-Inputs!$B$15)*MIN(Mkt!EC31,EB31*(1+Inputs!$B$18))),EB31)))</f>
        <v>3010.37268973083</v>
      </c>
      <c r="ED31" s="11" t="n">
        <f aca="false">IF(ED$1&lt;Units!$P30,0,IF(AND(Units!$K30=0,ED$1=Units!$O30),Units!$R30,IF(AND(ED$1&gt;=Units!$Q30,MOD(ED$1-Units!$Q30,12)=0),IF(AND(Units!$L30=1,ED$1=Units!$Q30),IF(Units!$J30&lt;&gt;"",Units!$J30,Mkt!ED31),Inputs!$B$15*Mkt!ED31+(1-Inputs!$B$15)*MIN(Mkt!ED31,EC31*(1+Inputs!$B$18))),EC31)))</f>
        <v>3010.37268973083</v>
      </c>
    </row>
    <row r="32" customFormat="false" ht="15" hidden="false" customHeight="false" outlineLevel="0" collapsed="false">
      <c r="A32" s="22" t="n">
        <f aca="false">Units!A31</f>
        <v>130</v>
      </c>
      <c r="B32" s="24" t="n">
        <f aca="false">IF(Units!K31=1,Units!F31,0)</f>
        <v>2300</v>
      </c>
      <c r="C32" s="11" t="n">
        <f aca="false">IF(C$1&lt;Units!$P31,0,IF(AND(Units!$K31=0,C$1=Units!$O31),Units!$R31,IF(AND(C$1&gt;=Units!$Q31,MOD(C$1-Units!$Q31,12)=0),IF(AND(Units!$L31=1,C$1=Units!$Q31),IF(Units!$J31&lt;&gt;"",Units!$J31,Mkt!C32),Inputs!$B$15*Mkt!C32+(1-Inputs!$B$15)*MIN(Mkt!C32,B32*(1+Inputs!$B$18))),B32)))</f>
        <v>2300</v>
      </c>
      <c r="D32" s="11" t="n">
        <f aca="false">IF(D$1&lt;Units!$P31,0,IF(AND(Units!$K31=0,D$1=Units!$O31),Units!$R31,IF(AND(D$1&gt;=Units!$Q31,MOD(D$1-Units!$Q31,12)=0),IF(AND(Units!$L31=1,D$1=Units!$Q31),IF(Units!$J31&lt;&gt;"",Units!$J31,Mkt!D32),Inputs!$B$15*Mkt!D32+(1-Inputs!$B$15)*MIN(Mkt!D32,C32*(1+Inputs!$B$18))),C32)))</f>
        <v>2300</v>
      </c>
      <c r="E32" s="11" t="n">
        <f aca="false">IF(E$1&lt;Units!$P31,0,IF(AND(Units!$K31=0,E$1=Units!$O31),Units!$R31,IF(AND(E$1&gt;=Units!$Q31,MOD(E$1-Units!$Q31,12)=0),IF(AND(Units!$L31=1,E$1=Units!$Q31),IF(Units!$J31&lt;&gt;"",Units!$J31,Mkt!E32),Inputs!$B$15*Mkt!E32+(1-Inputs!$B$15)*MIN(Mkt!E32,D32*(1+Inputs!$B$18))),D32)))</f>
        <v>2300</v>
      </c>
      <c r="F32" s="11" t="n">
        <f aca="false">IF(F$1&lt;Units!$P31,0,IF(AND(Units!$K31=0,F$1=Units!$O31),Units!$R31,IF(AND(F$1&gt;=Units!$Q31,MOD(F$1-Units!$Q31,12)=0),IF(AND(Units!$L31=1,F$1=Units!$Q31),IF(Units!$J31&lt;&gt;"",Units!$J31,Mkt!F32),Inputs!$B$15*Mkt!F32+(1-Inputs!$B$15)*MIN(Mkt!F32,E32*(1+Inputs!$B$18))),E32)))</f>
        <v>2300</v>
      </c>
      <c r="G32" s="11" t="n">
        <f aca="false">IF(G$1&lt;Units!$P31,0,IF(AND(Units!$K31=0,G$1=Units!$O31),Units!$R31,IF(AND(G$1&gt;=Units!$Q31,MOD(G$1-Units!$Q31,12)=0),IF(AND(Units!$L31=1,G$1=Units!$Q31),IF(Units!$J31&lt;&gt;"",Units!$J31,Mkt!G32),Inputs!$B$15*Mkt!G32+(1-Inputs!$B$15)*MIN(Mkt!G32,F32*(1+Inputs!$B$18))),F32)))</f>
        <v>2300</v>
      </c>
      <c r="H32" s="11" t="n">
        <f aca="false">IF(H$1&lt;Units!$P31,0,IF(AND(Units!$K31=0,H$1=Units!$O31),Units!$R31,IF(AND(H$1&gt;=Units!$Q31,MOD(H$1-Units!$Q31,12)=0),IF(AND(Units!$L31=1,H$1=Units!$Q31),IF(Units!$J31&lt;&gt;"",Units!$J31,Mkt!H32),Inputs!$B$15*Mkt!H32+(1-Inputs!$B$15)*MIN(Mkt!H32,G32*(1+Inputs!$B$18))),G32)))</f>
        <v>2300</v>
      </c>
      <c r="I32" s="11" t="n">
        <f aca="false">IF(I$1&lt;Units!$P31,0,IF(AND(Units!$K31=0,I$1=Units!$O31),Units!$R31,IF(AND(I$1&gt;=Units!$Q31,MOD(I$1-Units!$Q31,12)=0),IF(AND(Units!$L31=1,I$1=Units!$Q31),IF(Units!$J31&lt;&gt;"",Units!$J31,Mkt!I32),Inputs!$B$15*Mkt!I32+(1-Inputs!$B$15)*MIN(Mkt!I32,H32*(1+Inputs!$B$18))),H32)))</f>
        <v>2300</v>
      </c>
      <c r="J32" s="11" t="n">
        <f aca="false">IF(J$1&lt;Units!$P31,0,IF(AND(Units!$K31=0,J$1=Units!$O31),Units!$R31,IF(AND(J$1&gt;=Units!$Q31,MOD(J$1-Units!$Q31,12)=0),IF(AND(Units!$L31=1,J$1=Units!$Q31),IF(Units!$J31&lt;&gt;"",Units!$J31,Mkt!J32),Inputs!$B$15*Mkt!J32+(1-Inputs!$B$15)*MIN(Mkt!J32,I32*(1+Inputs!$B$18))),I32)))</f>
        <v>2300</v>
      </c>
      <c r="K32" s="11" t="n">
        <f aca="false">IF(K$1&lt;Units!$P31,0,IF(AND(Units!$K31=0,K$1=Units!$O31),Units!$R31,IF(AND(K$1&gt;=Units!$Q31,MOD(K$1-Units!$Q31,12)=0),IF(AND(Units!$L31=1,K$1=Units!$Q31),IF(Units!$J31&lt;&gt;"",Units!$J31,Mkt!K32),Inputs!$B$15*Mkt!K32+(1-Inputs!$B$15)*MIN(Mkt!K32,J32*(1+Inputs!$B$18))),J32)))</f>
        <v>2240</v>
      </c>
      <c r="L32" s="11" t="n">
        <f aca="false">IF(L$1&lt;Units!$P31,0,IF(AND(Units!$K31=0,L$1=Units!$O31),Units!$R31,IF(AND(L$1&gt;=Units!$Q31,MOD(L$1-Units!$Q31,12)=0),IF(AND(Units!$L31=1,L$1=Units!$Q31),IF(Units!$J31&lt;&gt;"",Units!$J31,Mkt!L32),Inputs!$B$15*Mkt!L32+(1-Inputs!$B$15)*MIN(Mkt!L32,K32*(1+Inputs!$B$18))),K32)))</f>
        <v>2240</v>
      </c>
      <c r="M32" s="11" t="n">
        <f aca="false">IF(M$1&lt;Units!$P31,0,IF(AND(Units!$K31=0,M$1=Units!$O31),Units!$R31,IF(AND(M$1&gt;=Units!$Q31,MOD(M$1-Units!$Q31,12)=0),IF(AND(Units!$L31=1,M$1=Units!$Q31),IF(Units!$J31&lt;&gt;"",Units!$J31,Mkt!M32),Inputs!$B$15*Mkt!M32+(1-Inputs!$B$15)*MIN(Mkt!M32,L32*(1+Inputs!$B$18))),L32)))</f>
        <v>2240</v>
      </c>
      <c r="N32" s="11" t="n">
        <f aca="false">IF(N$1&lt;Units!$P31,0,IF(AND(Units!$K31=0,N$1=Units!$O31),Units!$R31,IF(AND(N$1&gt;=Units!$Q31,MOD(N$1-Units!$Q31,12)=0),IF(AND(Units!$L31=1,N$1=Units!$Q31),IF(Units!$J31&lt;&gt;"",Units!$J31,Mkt!N32),Inputs!$B$15*Mkt!N32+(1-Inputs!$B$15)*MIN(Mkt!N32,M32*(1+Inputs!$B$18))),M32)))</f>
        <v>2240</v>
      </c>
      <c r="O32" s="11" t="n">
        <f aca="false">IF(O$1&lt;Units!$P31,0,IF(AND(Units!$K31=0,O$1=Units!$O31),Units!$R31,IF(AND(O$1&gt;=Units!$Q31,MOD(O$1-Units!$Q31,12)=0),IF(AND(Units!$L31=1,O$1=Units!$Q31),IF(Units!$J31&lt;&gt;"",Units!$J31,Mkt!O32),Inputs!$B$15*Mkt!O32+(1-Inputs!$B$15)*MIN(Mkt!O32,N32*(1+Inputs!$B$18))),N32)))</f>
        <v>2240</v>
      </c>
      <c r="P32" s="11" t="n">
        <f aca="false">IF(P$1&lt;Units!$P31,0,IF(AND(Units!$K31=0,P$1=Units!$O31),Units!$R31,IF(AND(P$1&gt;=Units!$Q31,MOD(P$1-Units!$Q31,12)=0),IF(AND(Units!$L31=1,P$1=Units!$Q31),IF(Units!$J31&lt;&gt;"",Units!$J31,Mkt!P32),Inputs!$B$15*Mkt!P32+(1-Inputs!$B$15)*MIN(Mkt!P32,O32*(1+Inputs!$B$18))),O32)))</f>
        <v>2240</v>
      </c>
      <c r="Q32" s="11" t="n">
        <f aca="false">IF(Q$1&lt;Units!$P31,0,IF(AND(Units!$K31=0,Q$1=Units!$O31),Units!$R31,IF(AND(Q$1&gt;=Units!$Q31,MOD(Q$1-Units!$Q31,12)=0),IF(AND(Units!$L31=1,Q$1=Units!$Q31),IF(Units!$J31&lt;&gt;"",Units!$J31,Mkt!Q32),Inputs!$B$15*Mkt!Q32+(1-Inputs!$B$15)*MIN(Mkt!Q32,P32*(1+Inputs!$B$18))),P32)))</f>
        <v>2240</v>
      </c>
      <c r="R32" s="11" t="n">
        <f aca="false">IF(R$1&lt;Units!$P31,0,IF(AND(Units!$K31=0,R$1=Units!$O31),Units!$R31,IF(AND(R$1&gt;=Units!$Q31,MOD(R$1-Units!$Q31,12)=0),IF(AND(Units!$L31=1,R$1=Units!$Q31),IF(Units!$J31&lt;&gt;"",Units!$J31,Mkt!R32),Inputs!$B$15*Mkt!R32+(1-Inputs!$B$15)*MIN(Mkt!R32,Q32*(1+Inputs!$B$18))),Q32)))</f>
        <v>2240</v>
      </c>
      <c r="S32" s="11" t="n">
        <f aca="false">IF(S$1&lt;Units!$P31,0,IF(AND(Units!$K31=0,S$1=Units!$O31),Units!$R31,IF(AND(S$1&gt;=Units!$Q31,MOD(S$1-Units!$Q31,12)=0),IF(AND(Units!$L31=1,S$1=Units!$Q31),IF(Units!$J31&lt;&gt;"",Units!$J31,Mkt!S32),Inputs!$B$15*Mkt!S32+(1-Inputs!$B$15)*MIN(Mkt!S32,R32*(1+Inputs!$B$18))),R32)))</f>
        <v>2240</v>
      </c>
      <c r="T32" s="11" t="n">
        <f aca="false">IF(T$1&lt;Units!$P31,0,IF(AND(Units!$K31=0,T$1=Units!$O31),Units!$R31,IF(AND(T$1&gt;=Units!$Q31,MOD(T$1-Units!$Q31,12)=0),IF(AND(Units!$L31=1,T$1=Units!$Q31),IF(Units!$J31&lt;&gt;"",Units!$J31,Mkt!T32),Inputs!$B$15*Mkt!T32+(1-Inputs!$B$15)*MIN(Mkt!T32,S32*(1+Inputs!$B$18))),S32)))</f>
        <v>2240</v>
      </c>
      <c r="U32" s="11" t="n">
        <f aca="false">IF(U$1&lt;Units!$P31,0,IF(AND(Units!$K31=0,U$1=Units!$O31),Units!$R31,IF(AND(U$1&gt;=Units!$Q31,MOD(U$1-Units!$Q31,12)=0),IF(AND(Units!$L31=1,U$1=Units!$Q31),IF(Units!$J31&lt;&gt;"",Units!$J31,Mkt!U32),Inputs!$B$15*Mkt!U32+(1-Inputs!$B$15)*MIN(Mkt!U32,T32*(1+Inputs!$B$18))),T32)))</f>
        <v>2240</v>
      </c>
      <c r="V32" s="11" t="n">
        <f aca="false">IF(V$1&lt;Units!$P31,0,IF(AND(Units!$K31=0,V$1=Units!$O31),Units!$R31,IF(AND(V$1&gt;=Units!$Q31,MOD(V$1-Units!$Q31,12)=0),IF(AND(Units!$L31=1,V$1=Units!$Q31),IF(Units!$J31&lt;&gt;"",Units!$J31,Mkt!V32),Inputs!$B$15*Mkt!V32+(1-Inputs!$B$15)*MIN(Mkt!V32,U32*(1+Inputs!$B$18))),U32)))</f>
        <v>2240</v>
      </c>
      <c r="W32" s="11" t="n">
        <f aca="false">IF(W$1&lt;Units!$P31,0,IF(AND(Units!$K31=0,W$1=Units!$O31),Units!$R31,IF(AND(W$1&gt;=Units!$Q31,MOD(W$1-Units!$Q31,12)=0),IF(AND(Units!$L31=1,W$1=Units!$Q31),IF(Units!$J31&lt;&gt;"",Units!$J31,Mkt!W32),Inputs!$B$15*Mkt!W32+(1-Inputs!$B$15)*MIN(Mkt!W32,V32*(1+Inputs!$B$18))),V32)))</f>
        <v>2307.2</v>
      </c>
      <c r="X32" s="11" t="n">
        <f aca="false">IF(X$1&lt;Units!$P31,0,IF(AND(Units!$K31=0,X$1=Units!$O31),Units!$R31,IF(AND(X$1&gt;=Units!$Q31,MOD(X$1-Units!$Q31,12)=0),IF(AND(Units!$L31=1,X$1=Units!$Q31),IF(Units!$J31&lt;&gt;"",Units!$J31,Mkt!X32),Inputs!$B$15*Mkt!X32+(1-Inputs!$B$15)*MIN(Mkt!X32,W32*(1+Inputs!$B$18))),W32)))</f>
        <v>2307.2</v>
      </c>
      <c r="Y32" s="11" t="n">
        <f aca="false">IF(Y$1&lt;Units!$P31,0,IF(AND(Units!$K31=0,Y$1=Units!$O31),Units!$R31,IF(AND(Y$1&gt;=Units!$Q31,MOD(Y$1-Units!$Q31,12)=0),IF(AND(Units!$L31=1,Y$1=Units!$Q31),IF(Units!$J31&lt;&gt;"",Units!$J31,Mkt!Y32),Inputs!$B$15*Mkt!Y32+(1-Inputs!$B$15)*MIN(Mkt!Y32,X32*(1+Inputs!$B$18))),X32)))</f>
        <v>2307.2</v>
      </c>
      <c r="Z32" s="11" t="n">
        <f aca="false">IF(Z$1&lt;Units!$P31,0,IF(AND(Units!$K31=0,Z$1=Units!$O31),Units!$R31,IF(AND(Z$1&gt;=Units!$Q31,MOD(Z$1-Units!$Q31,12)=0),IF(AND(Units!$L31=1,Z$1=Units!$Q31),IF(Units!$J31&lt;&gt;"",Units!$J31,Mkt!Z32),Inputs!$B$15*Mkt!Z32+(1-Inputs!$B$15)*MIN(Mkt!Z32,Y32*(1+Inputs!$B$18))),Y32)))</f>
        <v>2307.2</v>
      </c>
      <c r="AA32" s="11" t="n">
        <f aca="false">IF(AA$1&lt;Units!$P31,0,IF(AND(Units!$K31=0,AA$1=Units!$O31),Units!$R31,IF(AND(AA$1&gt;=Units!$Q31,MOD(AA$1-Units!$Q31,12)=0),IF(AND(Units!$L31=1,AA$1=Units!$Q31),IF(Units!$J31&lt;&gt;"",Units!$J31,Mkt!AA32),Inputs!$B$15*Mkt!AA32+(1-Inputs!$B$15)*MIN(Mkt!AA32,Z32*(1+Inputs!$B$18))),Z32)))</f>
        <v>2307.2</v>
      </c>
      <c r="AB32" s="11" t="n">
        <f aca="false">IF(AB$1&lt;Units!$P31,0,IF(AND(Units!$K31=0,AB$1=Units!$O31),Units!$R31,IF(AND(AB$1&gt;=Units!$Q31,MOD(AB$1-Units!$Q31,12)=0),IF(AND(Units!$L31=1,AB$1=Units!$Q31),IF(Units!$J31&lt;&gt;"",Units!$J31,Mkt!AB32),Inputs!$B$15*Mkt!AB32+(1-Inputs!$B$15)*MIN(Mkt!AB32,AA32*(1+Inputs!$B$18))),AA32)))</f>
        <v>2307.2</v>
      </c>
      <c r="AC32" s="11" t="n">
        <f aca="false">IF(AC$1&lt;Units!$P31,0,IF(AND(Units!$K31=0,AC$1=Units!$O31),Units!$R31,IF(AND(AC$1&gt;=Units!$Q31,MOD(AC$1-Units!$Q31,12)=0),IF(AND(Units!$L31=1,AC$1=Units!$Q31),IF(Units!$J31&lt;&gt;"",Units!$J31,Mkt!AC32),Inputs!$B$15*Mkt!AC32+(1-Inputs!$B$15)*MIN(Mkt!AC32,AB32*(1+Inputs!$B$18))),AB32)))</f>
        <v>2307.2</v>
      </c>
      <c r="AD32" s="11" t="n">
        <f aca="false">IF(AD$1&lt;Units!$P31,0,IF(AND(Units!$K31=0,AD$1=Units!$O31),Units!$R31,IF(AND(AD$1&gt;=Units!$Q31,MOD(AD$1-Units!$Q31,12)=0),IF(AND(Units!$L31=1,AD$1=Units!$Q31),IF(Units!$J31&lt;&gt;"",Units!$J31,Mkt!AD32),Inputs!$B$15*Mkt!AD32+(1-Inputs!$B$15)*MIN(Mkt!AD32,AC32*(1+Inputs!$B$18))),AC32)))</f>
        <v>2307.2</v>
      </c>
      <c r="AE32" s="11" t="n">
        <f aca="false">IF(AE$1&lt;Units!$P31,0,IF(AND(Units!$K31=0,AE$1=Units!$O31),Units!$R31,IF(AND(AE$1&gt;=Units!$Q31,MOD(AE$1-Units!$Q31,12)=0),IF(AND(Units!$L31=1,AE$1=Units!$Q31),IF(Units!$J31&lt;&gt;"",Units!$J31,Mkt!AE32),Inputs!$B$15*Mkt!AE32+(1-Inputs!$B$15)*MIN(Mkt!AE32,AD32*(1+Inputs!$B$18))),AD32)))</f>
        <v>2307.2</v>
      </c>
      <c r="AF32" s="11" t="n">
        <f aca="false">IF(AF$1&lt;Units!$P31,0,IF(AND(Units!$K31=0,AF$1=Units!$O31),Units!$R31,IF(AND(AF$1&gt;=Units!$Q31,MOD(AF$1-Units!$Q31,12)=0),IF(AND(Units!$L31=1,AF$1=Units!$Q31),IF(Units!$J31&lt;&gt;"",Units!$J31,Mkt!AF32),Inputs!$B$15*Mkt!AF32+(1-Inputs!$B$15)*MIN(Mkt!AF32,AE32*(1+Inputs!$B$18))),AE32)))</f>
        <v>2307.2</v>
      </c>
      <c r="AG32" s="11" t="n">
        <f aca="false">IF(AG$1&lt;Units!$P31,0,IF(AND(Units!$K31=0,AG$1=Units!$O31),Units!$R31,IF(AND(AG$1&gt;=Units!$Q31,MOD(AG$1-Units!$Q31,12)=0),IF(AND(Units!$L31=1,AG$1=Units!$Q31),IF(Units!$J31&lt;&gt;"",Units!$J31,Mkt!AG32),Inputs!$B$15*Mkt!AG32+(1-Inputs!$B$15)*MIN(Mkt!AG32,AF32*(1+Inputs!$B$18))),AF32)))</f>
        <v>2307.2</v>
      </c>
      <c r="AH32" s="11" t="n">
        <f aca="false">IF(AH$1&lt;Units!$P31,0,IF(AND(Units!$K31=0,AH$1=Units!$O31),Units!$R31,IF(AND(AH$1&gt;=Units!$Q31,MOD(AH$1-Units!$Q31,12)=0),IF(AND(Units!$L31=1,AH$1=Units!$Q31),IF(Units!$J31&lt;&gt;"",Units!$J31,Mkt!AH32),Inputs!$B$15*Mkt!AH32+(1-Inputs!$B$15)*MIN(Mkt!AH32,AG32*(1+Inputs!$B$18))),AG32)))</f>
        <v>2307.2</v>
      </c>
      <c r="AI32" s="11" t="n">
        <f aca="false">IF(AI$1&lt;Units!$P31,0,IF(AND(Units!$K31=0,AI$1=Units!$O31),Units!$R31,IF(AND(AI$1&gt;=Units!$Q31,MOD(AI$1-Units!$Q31,12)=0),IF(AND(Units!$L31=1,AI$1=Units!$Q31),IF(Units!$J31&lt;&gt;"",Units!$J31,Mkt!AI32),Inputs!$B$15*Mkt!AI32+(1-Inputs!$B$15)*MIN(Mkt!AI32,AH32*(1+Inputs!$B$18))),AH32)))</f>
        <v>2376.416</v>
      </c>
      <c r="AJ32" s="11" t="n">
        <f aca="false">IF(AJ$1&lt;Units!$P31,0,IF(AND(Units!$K31=0,AJ$1=Units!$O31),Units!$R31,IF(AND(AJ$1&gt;=Units!$Q31,MOD(AJ$1-Units!$Q31,12)=0),IF(AND(Units!$L31=1,AJ$1=Units!$Q31),IF(Units!$J31&lt;&gt;"",Units!$J31,Mkt!AJ32),Inputs!$B$15*Mkt!AJ32+(1-Inputs!$B$15)*MIN(Mkt!AJ32,AI32*(1+Inputs!$B$18))),AI32)))</f>
        <v>2376.416</v>
      </c>
      <c r="AK32" s="11" t="n">
        <f aca="false">IF(AK$1&lt;Units!$P31,0,IF(AND(Units!$K31=0,AK$1=Units!$O31),Units!$R31,IF(AND(AK$1&gt;=Units!$Q31,MOD(AK$1-Units!$Q31,12)=0),IF(AND(Units!$L31=1,AK$1=Units!$Q31),IF(Units!$J31&lt;&gt;"",Units!$J31,Mkt!AK32),Inputs!$B$15*Mkt!AK32+(1-Inputs!$B$15)*MIN(Mkt!AK32,AJ32*(1+Inputs!$B$18))),AJ32)))</f>
        <v>2376.416</v>
      </c>
      <c r="AL32" s="11" t="n">
        <f aca="false">IF(AL$1&lt;Units!$P31,0,IF(AND(Units!$K31=0,AL$1=Units!$O31),Units!$R31,IF(AND(AL$1&gt;=Units!$Q31,MOD(AL$1-Units!$Q31,12)=0),IF(AND(Units!$L31=1,AL$1=Units!$Q31),IF(Units!$J31&lt;&gt;"",Units!$J31,Mkt!AL32),Inputs!$B$15*Mkt!AL32+(1-Inputs!$B$15)*MIN(Mkt!AL32,AK32*(1+Inputs!$B$18))),AK32)))</f>
        <v>2376.416</v>
      </c>
      <c r="AM32" s="11" t="n">
        <f aca="false">IF(AM$1&lt;Units!$P31,0,IF(AND(Units!$K31=0,AM$1=Units!$O31),Units!$R31,IF(AND(AM$1&gt;=Units!$Q31,MOD(AM$1-Units!$Q31,12)=0),IF(AND(Units!$L31=1,AM$1=Units!$Q31),IF(Units!$J31&lt;&gt;"",Units!$J31,Mkt!AM32),Inputs!$B$15*Mkt!AM32+(1-Inputs!$B$15)*MIN(Mkt!AM32,AL32*(1+Inputs!$B$18))),AL32)))</f>
        <v>2376.416</v>
      </c>
      <c r="AN32" s="11" t="n">
        <f aca="false">IF(AN$1&lt;Units!$P31,0,IF(AND(Units!$K31=0,AN$1=Units!$O31),Units!$R31,IF(AND(AN$1&gt;=Units!$Q31,MOD(AN$1-Units!$Q31,12)=0),IF(AND(Units!$L31=1,AN$1=Units!$Q31),IF(Units!$J31&lt;&gt;"",Units!$J31,Mkt!AN32),Inputs!$B$15*Mkt!AN32+(1-Inputs!$B$15)*MIN(Mkt!AN32,AM32*(1+Inputs!$B$18))),AM32)))</f>
        <v>2376.416</v>
      </c>
      <c r="AO32" s="11" t="n">
        <f aca="false">IF(AO$1&lt;Units!$P31,0,IF(AND(Units!$K31=0,AO$1=Units!$O31),Units!$R31,IF(AND(AO$1&gt;=Units!$Q31,MOD(AO$1-Units!$Q31,12)=0),IF(AND(Units!$L31=1,AO$1=Units!$Q31),IF(Units!$J31&lt;&gt;"",Units!$J31,Mkt!AO32),Inputs!$B$15*Mkt!AO32+(1-Inputs!$B$15)*MIN(Mkt!AO32,AN32*(1+Inputs!$B$18))),AN32)))</f>
        <v>2376.416</v>
      </c>
      <c r="AP32" s="11" t="n">
        <f aca="false">IF(AP$1&lt;Units!$P31,0,IF(AND(Units!$K31=0,AP$1=Units!$O31),Units!$R31,IF(AND(AP$1&gt;=Units!$Q31,MOD(AP$1-Units!$Q31,12)=0),IF(AND(Units!$L31=1,AP$1=Units!$Q31),IF(Units!$J31&lt;&gt;"",Units!$J31,Mkt!AP32),Inputs!$B$15*Mkt!AP32+(1-Inputs!$B$15)*MIN(Mkt!AP32,AO32*(1+Inputs!$B$18))),AO32)))</f>
        <v>2376.416</v>
      </c>
      <c r="AQ32" s="11" t="n">
        <f aca="false">IF(AQ$1&lt;Units!$P31,0,IF(AND(Units!$K31=0,AQ$1=Units!$O31),Units!$R31,IF(AND(AQ$1&gt;=Units!$Q31,MOD(AQ$1-Units!$Q31,12)=0),IF(AND(Units!$L31=1,AQ$1=Units!$Q31),IF(Units!$J31&lt;&gt;"",Units!$J31,Mkt!AQ32),Inputs!$B$15*Mkt!AQ32+(1-Inputs!$B$15)*MIN(Mkt!AQ32,AP32*(1+Inputs!$B$18))),AP32)))</f>
        <v>2376.416</v>
      </c>
      <c r="AR32" s="11" t="n">
        <f aca="false">IF(AR$1&lt;Units!$P31,0,IF(AND(Units!$K31=0,AR$1=Units!$O31),Units!$R31,IF(AND(AR$1&gt;=Units!$Q31,MOD(AR$1-Units!$Q31,12)=0),IF(AND(Units!$L31=1,AR$1=Units!$Q31),IF(Units!$J31&lt;&gt;"",Units!$J31,Mkt!AR32),Inputs!$B$15*Mkt!AR32+(1-Inputs!$B$15)*MIN(Mkt!AR32,AQ32*(1+Inputs!$B$18))),AQ32)))</f>
        <v>2376.416</v>
      </c>
      <c r="AS32" s="11" t="n">
        <f aca="false">IF(AS$1&lt;Units!$P31,0,IF(AND(Units!$K31=0,AS$1=Units!$O31),Units!$R31,IF(AND(AS$1&gt;=Units!$Q31,MOD(AS$1-Units!$Q31,12)=0),IF(AND(Units!$L31=1,AS$1=Units!$Q31),IF(Units!$J31&lt;&gt;"",Units!$J31,Mkt!AS32),Inputs!$B$15*Mkt!AS32+(1-Inputs!$B$15)*MIN(Mkt!AS32,AR32*(1+Inputs!$B$18))),AR32)))</f>
        <v>2376.416</v>
      </c>
      <c r="AT32" s="11" t="n">
        <f aca="false">IF(AT$1&lt;Units!$P31,0,IF(AND(Units!$K31=0,AT$1=Units!$O31),Units!$R31,IF(AND(AT$1&gt;=Units!$Q31,MOD(AT$1-Units!$Q31,12)=0),IF(AND(Units!$L31=1,AT$1=Units!$Q31),IF(Units!$J31&lt;&gt;"",Units!$J31,Mkt!AT32),Inputs!$B$15*Mkt!AT32+(1-Inputs!$B$15)*MIN(Mkt!AT32,AS32*(1+Inputs!$B$18))),AS32)))</f>
        <v>2376.416</v>
      </c>
      <c r="AU32" s="11" t="n">
        <f aca="false">IF(AU$1&lt;Units!$P31,0,IF(AND(Units!$K31=0,AU$1=Units!$O31),Units!$R31,IF(AND(AU$1&gt;=Units!$Q31,MOD(AU$1-Units!$Q31,12)=0),IF(AND(Units!$L31=1,AU$1=Units!$Q31),IF(Units!$J31&lt;&gt;"",Units!$J31,Mkt!AU32),Inputs!$B$15*Mkt!AU32+(1-Inputs!$B$15)*MIN(Mkt!AU32,AT32*(1+Inputs!$B$18))),AT32)))</f>
        <v>2447.70848</v>
      </c>
      <c r="AV32" s="11" t="n">
        <f aca="false">IF(AV$1&lt;Units!$P31,0,IF(AND(Units!$K31=0,AV$1=Units!$O31),Units!$R31,IF(AND(AV$1&gt;=Units!$Q31,MOD(AV$1-Units!$Q31,12)=0),IF(AND(Units!$L31=1,AV$1=Units!$Q31),IF(Units!$J31&lt;&gt;"",Units!$J31,Mkt!AV32),Inputs!$B$15*Mkt!AV32+(1-Inputs!$B$15)*MIN(Mkt!AV32,AU32*(1+Inputs!$B$18))),AU32)))</f>
        <v>2447.70848</v>
      </c>
      <c r="AW32" s="11" t="n">
        <f aca="false">IF(AW$1&lt;Units!$P31,0,IF(AND(Units!$K31=0,AW$1=Units!$O31),Units!$R31,IF(AND(AW$1&gt;=Units!$Q31,MOD(AW$1-Units!$Q31,12)=0),IF(AND(Units!$L31=1,AW$1=Units!$Q31),IF(Units!$J31&lt;&gt;"",Units!$J31,Mkt!AW32),Inputs!$B$15*Mkt!AW32+(1-Inputs!$B$15)*MIN(Mkt!AW32,AV32*(1+Inputs!$B$18))),AV32)))</f>
        <v>2447.70848</v>
      </c>
      <c r="AX32" s="11" t="n">
        <f aca="false">IF(AX$1&lt;Units!$P31,0,IF(AND(Units!$K31=0,AX$1=Units!$O31),Units!$R31,IF(AND(AX$1&gt;=Units!$Q31,MOD(AX$1-Units!$Q31,12)=0),IF(AND(Units!$L31=1,AX$1=Units!$Q31),IF(Units!$J31&lt;&gt;"",Units!$J31,Mkt!AX32),Inputs!$B$15*Mkt!AX32+(1-Inputs!$B$15)*MIN(Mkt!AX32,AW32*(1+Inputs!$B$18))),AW32)))</f>
        <v>2447.70848</v>
      </c>
      <c r="AY32" s="11" t="n">
        <f aca="false">IF(AY$1&lt;Units!$P31,0,IF(AND(Units!$K31=0,AY$1=Units!$O31),Units!$R31,IF(AND(AY$1&gt;=Units!$Q31,MOD(AY$1-Units!$Q31,12)=0),IF(AND(Units!$L31=1,AY$1=Units!$Q31),IF(Units!$J31&lt;&gt;"",Units!$J31,Mkt!AY32),Inputs!$B$15*Mkt!AY32+(1-Inputs!$B$15)*MIN(Mkt!AY32,AX32*(1+Inputs!$B$18))),AX32)))</f>
        <v>2447.70848</v>
      </c>
      <c r="AZ32" s="11" t="n">
        <f aca="false">IF(AZ$1&lt;Units!$P31,0,IF(AND(Units!$K31=0,AZ$1=Units!$O31),Units!$R31,IF(AND(AZ$1&gt;=Units!$Q31,MOD(AZ$1-Units!$Q31,12)=0),IF(AND(Units!$L31=1,AZ$1=Units!$Q31),IF(Units!$J31&lt;&gt;"",Units!$J31,Mkt!AZ32),Inputs!$B$15*Mkt!AZ32+(1-Inputs!$B$15)*MIN(Mkt!AZ32,AY32*(1+Inputs!$B$18))),AY32)))</f>
        <v>2447.70848</v>
      </c>
      <c r="BA32" s="11" t="n">
        <f aca="false">IF(BA$1&lt;Units!$P31,0,IF(AND(Units!$K31=0,BA$1=Units!$O31),Units!$R31,IF(AND(BA$1&gt;=Units!$Q31,MOD(BA$1-Units!$Q31,12)=0),IF(AND(Units!$L31=1,BA$1=Units!$Q31),IF(Units!$J31&lt;&gt;"",Units!$J31,Mkt!BA32),Inputs!$B$15*Mkt!BA32+(1-Inputs!$B$15)*MIN(Mkt!BA32,AZ32*(1+Inputs!$B$18))),AZ32)))</f>
        <v>2447.70848</v>
      </c>
      <c r="BB32" s="11" t="n">
        <f aca="false">IF(BB$1&lt;Units!$P31,0,IF(AND(Units!$K31=0,BB$1=Units!$O31),Units!$R31,IF(AND(BB$1&gt;=Units!$Q31,MOD(BB$1-Units!$Q31,12)=0),IF(AND(Units!$L31=1,BB$1=Units!$Q31),IF(Units!$J31&lt;&gt;"",Units!$J31,Mkt!BB32),Inputs!$B$15*Mkt!BB32+(1-Inputs!$B$15)*MIN(Mkt!BB32,BA32*(1+Inputs!$B$18))),BA32)))</f>
        <v>2447.70848</v>
      </c>
      <c r="BC32" s="11" t="n">
        <f aca="false">IF(BC$1&lt;Units!$P31,0,IF(AND(Units!$K31=0,BC$1=Units!$O31),Units!$R31,IF(AND(BC$1&gt;=Units!$Q31,MOD(BC$1-Units!$Q31,12)=0),IF(AND(Units!$L31=1,BC$1=Units!$Q31),IF(Units!$J31&lt;&gt;"",Units!$J31,Mkt!BC32),Inputs!$B$15*Mkt!BC32+(1-Inputs!$B$15)*MIN(Mkt!BC32,BB32*(1+Inputs!$B$18))),BB32)))</f>
        <v>2447.70848</v>
      </c>
      <c r="BD32" s="11" t="n">
        <f aca="false">IF(BD$1&lt;Units!$P31,0,IF(AND(Units!$K31=0,BD$1=Units!$O31),Units!$R31,IF(AND(BD$1&gt;=Units!$Q31,MOD(BD$1-Units!$Q31,12)=0),IF(AND(Units!$L31=1,BD$1=Units!$Q31),IF(Units!$J31&lt;&gt;"",Units!$J31,Mkt!BD32),Inputs!$B$15*Mkt!BD32+(1-Inputs!$B$15)*MIN(Mkt!BD32,BC32*(1+Inputs!$B$18))),BC32)))</f>
        <v>2447.70848</v>
      </c>
      <c r="BE32" s="11" t="n">
        <f aca="false">IF(BE$1&lt;Units!$P31,0,IF(AND(Units!$K31=0,BE$1=Units!$O31),Units!$R31,IF(AND(BE$1&gt;=Units!$Q31,MOD(BE$1-Units!$Q31,12)=0),IF(AND(Units!$L31=1,BE$1=Units!$Q31),IF(Units!$J31&lt;&gt;"",Units!$J31,Mkt!BE32),Inputs!$B$15*Mkt!BE32+(1-Inputs!$B$15)*MIN(Mkt!BE32,BD32*(1+Inputs!$B$18))),BD32)))</f>
        <v>2447.70848</v>
      </c>
      <c r="BF32" s="11" t="n">
        <f aca="false">IF(BF$1&lt;Units!$P31,0,IF(AND(Units!$K31=0,BF$1=Units!$O31),Units!$R31,IF(AND(BF$1&gt;=Units!$Q31,MOD(BF$1-Units!$Q31,12)=0),IF(AND(Units!$L31=1,BF$1=Units!$Q31),IF(Units!$J31&lt;&gt;"",Units!$J31,Mkt!BF32),Inputs!$B$15*Mkt!BF32+(1-Inputs!$B$15)*MIN(Mkt!BF32,BE32*(1+Inputs!$B$18))),BE32)))</f>
        <v>2447.70848</v>
      </c>
      <c r="BG32" s="11" t="n">
        <f aca="false">IF(BG$1&lt;Units!$P31,0,IF(AND(Units!$K31=0,BG$1=Units!$O31),Units!$R31,IF(AND(BG$1&gt;=Units!$Q31,MOD(BG$1-Units!$Q31,12)=0),IF(AND(Units!$L31=1,BG$1=Units!$Q31),IF(Units!$J31&lt;&gt;"",Units!$J31,Mkt!BG32),Inputs!$B$15*Mkt!BG32+(1-Inputs!$B$15)*MIN(Mkt!BG32,BF32*(1+Inputs!$B$18))),BF32)))</f>
        <v>2521.1397344</v>
      </c>
      <c r="BH32" s="11" t="n">
        <f aca="false">IF(BH$1&lt;Units!$P31,0,IF(AND(Units!$K31=0,BH$1=Units!$O31),Units!$R31,IF(AND(BH$1&gt;=Units!$Q31,MOD(BH$1-Units!$Q31,12)=0),IF(AND(Units!$L31=1,BH$1=Units!$Q31),IF(Units!$J31&lt;&gt;"",Units!$J31,Mkt!BH32),Inputs!$B$15*Mkt!BH32+(1-Inputs!$B$15)*MIN(Mkt!BH32,BG32*(1+Inputs!$B$18))),BG32)))</f>
        <v>2521.1397344</v>
      </c>
      <c r="BI32" s="11" t="n">
        <f aca="false">IF(BI$1&lt;Units!$P31,0,IF(AND(Units!$K31=0,BI$1=Units!$O31),Units!$R31,IF(AND(BI$1&gt;=Units!$Q31,MOD(BI$1-Units!$Q31,12)=0),IF(AND(Units!$L31=1,BI$1=Units!$Q31),IF(Units!$J31&lt;&gt;"",Units!$J31,Mkt!BI32),Inputs!$B$15*Mkt!BI32+(1-Inputs!$B$15)*MIN(Mkt!BI32,BH32*(1+Inputs!$B$18))),BH32)))</f>
        <v>2521.1397344</v>
      </c>
      <c r="BJ32" s="11" t="n">
        <f aca="false">IF(BJ$1&lt;Units!$P31,0,IF(AND(Units!$K31=0,BJ$1=Units!$O31),Units!$R31,IF(AND(BJ$1&gt;=Units!$Q31,MOD(BJ$1-Units!$Q31,12)=0),IF(AND(Units!$L31=1,BJ$1=Units!$Q31),IF(Units!$J31&lt;&gt;"",Units!$J31,Mkt!BJ32),Inputs!$B$15*Mkt!BJ32+(1-Inputs!$B$15)*MIN(Mkt!BJ32,BI32*(1+Inputs!$B$18))),BI32)))</f>
        <v>2521.1397344</v>
      </c>
      <c r="BK32" s="11" t="n">
        <f aca="false">IF(BK$1&lt;Units!$P31,0,IF(AND(Units!$K31=0,BK$1=Units!$O31),Units!$R31,IF(AND(BK$1&gt;=Units!$Q31,MOD(BK$1-Units!$Q31,12)=0),IF(AND(Units!$L31=1,BK$1=Units!$Q31),IF(Units!$J31&lt;&gt;"",Units!$J31,Mkt!BK32),Inputs!$B$15*Mkt!BK32+(1-Inputs!$B$15)*MIN(Mkt!BK32,BJ32*(1+Inputs!$B$18))),BJ32)))</f>
        <v>2521.1397344</v>
      </c>
      <c r="BL32" s="11" t="n">
        <f aca="false">IF(BL$1&lt;Units!$P31,0,IF(AND(Units!$K31=0,BL$1=Units!$O31),Units!$R31,IF(AND(BL$1&gt;=Units!$Q31,MOD(BL$1-Units!$Q31,12)=0),IF(AND(Units!$L31=1,BL$1=Units!$Q31),IF(Units!$J31&lt;&gt;"",Units!$J31,Mkt!BL32),Inputs!$B$15*Mkt!BL32+(1-Inputs!$B$15)*MIN(Mkt!BL32,BK32*(1+Inputs!$B$18))),BK32)))</f>
        <v>2521.1397344</v>
      </c>
      <c r="BM32" s="11" t="n">
        <f aca="false">IF(BM$1&lt;Units!$P31,0,IF(AND(Units!$K31=0,BM$1=Units!$O31),Units!$R31,IF(AND(BM$1&gt;=Units!$Q31,MOD(BM$1-Units!$Q31,12)=0),IF(AND(Units!$L31=1,BM$1=Units!$Q31),IF(Units!$J31&lt;&gt;"",Units!$J31,Mkt!BM32),Inputs!$B$15*Mkt!BM32+(1-Inputs!$B$15)*MIN(Mkt!BM32,BL32*(1+Inputs!$B$18))),BL32)))</f>
        <v>2521.1397344</v>
      </c>
      <c r="BN32" s="11" t="n">
        <f aca="false">IF(BN$1&lt;Units!$P31,0,IF(AND(Units!$K31=0,BN$1=Units!$O31),Units!$R31,IF(AND(BN$1&gt;=Units!$Q31,MOD(BN$1-Units!$Q31,12)=0),IF(AND(Units!$L31=1,BN$1=Units!$Q31),IF(Units!$J31&lt;&gt;"",Units!$J31,Mkt!BN32),Inputs!$B$15*Mkt!BN32+(1-Inputs!$B$15)*MIN(Mkt!BN32,BM32*(1+Inputs!$B$18))),BM32)))</f>
        <v>2521.1397344</v>
      </c>
      <c r="BO32" s="11" t="n">
        <f aca="false">IF(BO$1&lt;Units!$P31,0,IF(AND(Units!$K31=0,BO$1=Units!$O31),Units!$R31,IF(AND(BO$1&gt;=Units!$Q31,MOD(BO$1-Units!$Q31,12)=0),IF(AND(Units!$L31=1,BO$1=Units!$Q31),IF(Units!$J31&lt;&gt;"",Units!$J31,Mkt!BO32),Inputs!$B$15*Mkt!BO32+(1-Inputs!$B$15)*MIN(Mkt!BO32,BN32*(1+Inputs!$B$18))),BN32)))</f>
        <v>2521.1397344</v>
      </c>
      <c r="BP32" s="11" t="n">
        <f aca="false">IF(BP$1&lt;Units!$P31,0,IF(AND(Units!$K31=0,BP$1=Units!$O31),Units!$R31,IF(AND(BP$1&gt;=Units!$Q31,MOD(BP$1-Units!$Q31,12)=0),IF(AND(Units!$L31=1,BP$1=Units!$Q31),IF(Units!$J31&lt;&gt;"",Units!$J31,Mkt!BP32),Inputs!$B$15*Mkt!BP32+(1-Inputs!$B$15)*MIN(Mkt!BP32,BO32*(1+Inputs!$B$18))),BO32)))</f>
        <v>2521.1397344</v>
      </c>
      <c r="BQ32" s="11" t="n">
        <f aca="false">IF(BQ$1&lt;Units!$P31,0,IF(AND(Units!$K31=0,BQ$1=Units!$O31),Units!$R31,IF(AND(BQ$1&gt;=Units!$Q31,MOD(BQ$1-Units!$Q31,12)=0),IF(AND(Units!$L31=1,BQ$1=Units!$Q31),IF(Units!$J31&lt;&gt;"",Units!$J31,Mkt!BQ32),Inputs!$B$15*Mkt!BQ32+(1-Inputs!$B$15)*MIN(Mkt!BQ32,BP32*(1+Inputs!$B$18))),BP32)))</f>
        <v>2521.1397344</v>
      </c>
      <c r="BR32" s="11" t="n">
        <f aca="false">IF(BR$1&lt;Units!$P31,0,IF(AND(Units!$K31=0,BR$1=Units!$O31),Units!$R31,IF(AND(BR$1&gt;=Units!$Q31,MOD(BR$1-Units!$Q31,12)=0),IF(AND(Units!$L31=1,BR$1=Units!$Q31),IF(Units!$J31&lt;&gt;"",Units!$J31,Mkt!BR32),Inputs!$B$15*Mkt!BR32+(1-Inputs!$B$15)*MIN(Mkt!BR32,BQ32*(1+Inputs!$B$18))),BQ32)))</f>
        <v>2521.1397344</v>
      </c>
      <c r="BS32" s="11" t="n">
        <f aca="false">IF(BS$1&lt;Units!$P31,0,IF(AND(Units!$K31=0,BS$1=Units!$O31),Units!$R31,IF(AND(BS$1&gt;=Units!$Q31,MOD(BS$1-Units!$Q31,12)=0),IF(AND(Units!$L31=1,BS$1=Units!$Q31),IF(Units!$J31&lt;&gt;"",Units!$J31,Mkt!BS32),Inputs!$B$15*Mkt!BS32+(1-Inputs!$B$15)*MIN(Mkt!BS32,BR32*(1+Inputs!$B$18))),BR32)))</f>
        <v>2596.773926432</v>
      </c>
      <c r="BT32" s="11" t="n">
        <f aca="false">IF(BT$1&lt;Units!$P31,0,IF(AND(Units!$K31=0,BT$1=Units!$O31),Units!$R31,IF(AND(BT$1&gt;=Units!$Q31,MOD(BT$1-Units!$Q31,12)=0),IF(AND(Units!$L31=1,BT$1=Units!$Q31),IF(Units!$J31&lt;&gt;"",Units!$J31,Mkt!BT32),Inputs!$B$15*Mkt!BT32+(1-Inputs!$B$15)*MIN(Mkt!BT32,BS32*(1+Inputs!$B$18))),BS32)))</f>
        <v>2596.773926432</v>
      </c>
      <c r="BU32" s="11" t="n">
        <f aca="false">IF(BU$1&lt;Units!$P31,0,IF(AND(Units!$K31=0,BU$1=Units!$O31),Units!$R31,IF(AND(BU$1&gt;=Units!$Q31,MOD(BU$1-Units!$Q31,12)=0),IF(AND(Units!$L31=1,BU$1=Units!$Q31),IF(Units!$J31&lt;&gt;"",Units!$J31,Mkt!BU32),Inputs!$B$15*Mkt!BU32+(1-Inputs!$B$15)*MIN(Mkt!BU32,BT32*(1+Inputs!$B$18))),BT32)))</f>
        <v>2596.773926432</v>
      </c>
      <c r="BV32" s="11" t="n">
        <f aca="false">IF(BV$1&lt;Units!$P31,0,IF(AND(Units!$K31=0,BV$1=Units!$O31),Units!$R31,IF(AND(BV$1&gt;=Units!$Q31,MOD(BV$1-Units!$Q31,12)=0),IF(AND(Units!$L31=1,BV$1=Units!$Q31),IF(Units!$J31&lt;&gt;"",Units!$J31,Mkt!BV32),Inputs!$B$15*Mkt!BV32+(1-Inputs!$B$15)*MIN(Mkt!BV32,BU32*(1+Inputs!$B$18))),BU32)))</f>
        <v>2596.773926432</v>
      </c>
      <c r="BW32" s="11" t="n">
        <f aca="false">IF(BW$1&lt;Units!$P31,0,IF(AND(Units!$K31=0,BW$1=Units!$O31),Units!$R31,IF(AND(BW$1&gt;=Units!$Q31,MOD(BW$1-Units!$Q31,12)=0),IF(AND(Units!$L31=1,BW$1=Units!$Q31),IF(Units!$J31&lt;&gt;"",Units!$J31,Mkt!BW32),Inputs!$B$15*Mkt!BW32+(1-Inputs!$B$15)*MIN(Mkt!BW32,BV32*(1+Inputs!$B$18))),BV32)))</f>
        <v>2596.773926432</v>
      </c>
      <c r="BX32" s="11" t="n">
        <f aca="false">IF(BX$1&lt;Units!$P31,0,IF(AND(Units!$K31=0,BX$1=Units!$O31),Units!$R31,IF(AND(BX$1&gt;=Units!$Q31,MOD(BX$1-Units!$Q31,12)=0),IF(AND(Units!$L31=1,BX$1=Units!$Q31),IF(Units!$J31&lt;&gt;"",Units!$J31,Mkt!BX32),Inputs!$B$15*Mkt!BX32+(1-Inputs!$B$15)*MIN(Mkt!BX32,BW32*(1+Inputs!$B$18))),BW32)))</f>
        <v>2596.773926432</v>
      </c>
      <c r="BY32" s="11" t="n">
        <f aca="false">IF(BY$1&lt;Units!$P31,0,IF(AND(Units!$K31=0,BY$1=Units!$O31),Units!$R31,IF(AND(BY$1&gt;=Units!$Q31,MOD(BY$1-Units!$Q31,12)=0),IF(AND(Units!$L31=1,BY$1=Units!$Q31),IF(Units!$J31&lt;&gt;"",Units!$J31,Mkt!BY32),Inputs!$B$15*Mkt!BY32+(1-Inputs!$B$15)*MIN(Mkt!BY32,BX32*(1+Inputs!$B$18))),BX32)))</f>
        <v>2596.773926432</v>
      </c>
      <c r="BZ32" s="11" t="n">
        <f aca="false">IF(BZ$1&lt;Units!$P31,0,IF(AND(Units!$K31=0,BZ$1=Units!$O31),Units!$R31,IF(AND(BZ$1&gt;=Units!$Q31,MOD(BZ$1-Units!$Q31,12)=0),IF(AND(Units!$L31=1,BZ$1=Units!$Q31),IF(Units!$J31&lt;&gt;"",Units!$J31,Mkt!BZ32),Inputs!$B$15*Mkt!BZ32+(1-Inputs!$B$15)*MIN(Mkt!BZ32,BY32*(1+Inputs!$B$18))),BY32)))</f>
        <v>2596.773926432</v>
      </c>
      <c r="CA32" s="11" t="n">
        <f aca="false">IF(CA$1&lt;Units!$P31,0,IF(AND(Units!$K31=0,CA$1=Units!$O31),Units!$R31,IF(AND(CA$1&gt;=Units!$Q31,MOD(CA$1-Units!$Q31,12)=0),IF(AND(Units!$L31=1,CA$1=Units!$Q31),IF(Units!$J31&lt;&gt;"",Units!$J31,Mkt!CA32),Inputs!$B$15*Mkt!CA32+(1-Inputs!$B$15)*MIN(Mkt!CA32,BZ32*(1+Inputs!$B$18))),BZ32)))</f>
        <v>2596.773926432</v>
      </c>
      <c r="CB32" s="11" t="n">
        <f aca="false">IF(CB$1&lt;Units!$P31,0,IF(AND(Units!$K31=0,CB$1=Units!$O31),Units!$R31,IF(AND(CB$1&gt;=Units!$Q31,MOD(CB$1-Units!$Q31,12)=0),IF(AND(Units!$L31=1,CB$1=Units!$Q31),IF(Units!$J31&lt;&gt;"",Units!$J31,Mkt!CB32),Inputs!$B$15*Mkt!CB32+(1-Inputs!$B$15)*MIN(Mkt!CB32,CA32*(1+Inputs!$B$18))),CA32)))</f>
        <v>2596.773926432</v>
      </c>
      <c r="CC32" s="11" t="n">
        <f aca="false">IF(CC$1&lt;Units!$P31,0,IF(AND(Units!$K31=0,CC$1=Units!$O31),Units!$R31,IF(AND(CC$1&gt;=Units!$Q31,MOD(CC$1-Units!$Q31,12)=0),IF(AND(Units!$L31=1,CC$1=Units!$Q31),IF(Units!$J31&lt;&gt;"",Units!$J31,Mkt!CC32),Inputs!$B$15*Mkt!CC32+(1-Inputs!$B$15)*MIN(Mkt!CC32,CB32*(1+Inputs!$B$18))),CB32)))</f>
        <v>2596.773926432</v>
      </c>
      <c r="CD32" s="11" t="n">
        <f aca="false">IF(CD$1&lt;Units!$P31,0,IF(AND(Units!$K31=0,CD$1=Units!$O31),Units!$R31,IF(AND(CD$1&gt;=Units!$Q31,MOD(CD$1-Units!$Q31,12)=0),IF(AND(Units!$L31=1,CD$1=Units!$Q31),IF(Units!$J31&lt;&gt;"",Units!$J31,Mkt!CD32),Inputs!$B$15*Mkt!CD32+(1-Inputs!$B$15)*MIN(Mkt!CD32,CC32*(1+Inputs!$B$18))),CC32)))</f>
        <v>2596.773926432</v>
      </c>
      <c r="CE32" s="11" t="n">
        <f aca="false">IF(CE$1&lt;Units!$P31,0,IF(AND(Units!$K31=0,CE$1=Units!$O31),Units!$R31,IF(AND(CE$1&gt;=Units!$Q31,MOD(CE$1-Units!$Q31,12)=0),IF(AND(Units!$L31=1,CE$1=Units!$Q31),IF(Units!$J31&lt;&gt;"",Units!$J31,Mkt!CE32),Inputs!$B$15*Mkt!CE32+(1-Inputs!$B$15)*MIN(Mkt!CE32,CD32*(1+Inputs!$B$18))),CD32)))</f>
        <v>2674.67714422496</v>
      </c>
      <c r="CF32" s="11" t="n">
        <f aca="false">IF(CF$1&lt;Units!$P31,0,IF(AND(Units!$K31=0,CF$1=Units!$O31),Units!$R31,IF(AND(CF$1&gt;=Units!$Q31,MOD(CF$1-Units!$Q31,12)=0),IF(AND(Units!$L31=1,CF$1=Units!$Q31),IF(Units!$J31&lt;&gt;"",Units!$J31,Mkt!CF32),Inputs!$B$15*Mkt!CF32+(1-Inputs!$B$15)*MIN(Mkt!CF32,CE32*(1+Inputs!$B$18))),CE32)))</f>
        <v>2674.67714422496</v>
      </c>
      <c r="CG32" s="11" t="n">
        <f aca="false">IF(CG$1&lt;Units!$P31,0,IF(AND(Units!$K31=0,CG$1=Units!$O31),Units!$R31,IF(AND(CG$1&gt;=Units!$Q31,MOD(CG$1-Units!$Q31,12)=0),IF(AND(Units!$L31=1,CG$1=Units!$Q31),IF(Units!$J31&lt;&gt;"",Units!$J31,Mkt!CG32),Inputs!$B$15*Mkt!CG32+(1-Inputs!$B$15)*MIN(Mkt!CG32,CF32*(1+Inputs!$B$18))),CF32)))</f>
        <v>2674.67714422496</v>
      </c>
      <c r="CH32" s="11" t="n">
        <f aca="false">IF(CH$1&lt;Units!$P31,0,IF(AND(Units!$K31=0,CH$1=Units!$O31),Units!$R31,IF(AND(CH$1&gt;=Units!$Q31,MOD(CH$1-Units!$Q31,12)=0),IF(AND(Units!$L31=1,CH$1=Units!$Q31),IF(Units!$J31&lt;&gt;"",Units!$J31,Mkt!CH32),Inputs!$B$15*Mkt!CH32+(1-Inputs!$B$15)*MIN(Mkt!CH32,CG32*(1+Inputs!$B$18))),CG32)))</f>
        <v>2674.67714422496</v>
      </c>
      <c r="CI32" s="11" t="n">
        <f aca="false">IF(CI$1&lt;Units!$P31,0,IF(AND(Units!$K31=0,CI$1=Units!$O31),Units!$R31,IF(AND(CI$1&gt;=Units!$Q31,MOD(CI$1-Units!$Q31,12)=0),IF(AND(Units!$L31=1,CI$1=Units!$Q31),IF(Units!$J31&lt;&gt;"",Units!$J31,Mkt!CI32),Inputs!$B$15*Mkt!CI32+(1-Inputs!$B$15)*MIN(Mkt!CI32,CH32*(1+Inputs!$B$18))),CH32)))</f>
        <v>2674.67714422496</v>
      </c>
      <c r="CJ32" s="11" t="n">
        <f aca="false">IF(CJ$1&lt;Units!$P31,0,IF(AND(Units!$K31=0,CJ$1=Units!$O31),Units!$R31,IF(AND(CJ$1&gt;=Units!$Q31,MOD(CJ$1-Units!$Q31,12)=0),IF(AND(Units!$L31=1,CJ$1=Units!$Q31),IF(Units!$J31&lt;&gt;"",Units!$J31,Mkt!CJ32),Inputs!$B$15*Mkt!CJ32+(1-Inputs!$B$15)*MIN(Mkt!CJ32,CI32*(1+Inputs!$B$18))),CI32)))</f>
        <v>2674.67714422496</v>
      </c>
      <c r="CK32" s="11" t="n">
        <f aca="false">IF(CK$1&lt;Units!$P31,0,IF(AND(Units!$K31=0,CK$1=Units!$O31),Units!$R31,IF(AND(CK$1&gt;=Units!$Q31,MOD(CK$1-Units!$Q31,12)=0),IF(AND(Units!$L31=1,CK$1=Units!$Q31),IF(Units!$J31&lt;&gt;"",Units!$J31,Mkt!CK32),Inputs!$B$15*Mkt!CK32+(1-Inputs!$B$15)*MIN(Mkt!CK32,CJ32*(1+Inputs!$B$18))),CJ32)))</f>
        <v>2674.67714422496</v>
      </c>
      <c r="CL32" s="11" t="n">
        <f aca="false">IF(CL$1&lt;Units!$P31,0,IF(AND(Units!$K31=0,CL$1=Units!$O31),Units!$R31,IF(AND(CL$1&gt;=Units!$Q31,MOD(CL$1-Units!$Q31,12)=0),IF(AND(Units!$L31=1,CL$1=Units!$Q31),IF(Units!$J31&lt;&gt;"",Units!$J31,Mkt!CL32),Inputs!$B$15*Mkt!CL32+(1-Inputs!$B$15)*MIN(Mkt!CL32,CK32*(1+Inputs!$B$18))),CK32)))</f>
        <v>2674.67714422496</v>
      </c>
      <c r="CM32" s="11" t="n">
        <f aca="false">IF(CM$1&lt;Units!$P31,0,IF(AND(Units!$K31=0,CM$1=Units!$O31),Units!$R31,IF(AND(CM$1&gt;=Units!$Q31,MOD(CM$1-Units!$Q31,12)=0),IF(AND(Units!$L31=1,CM$1=Units!$Q31),IF(Units!$J31&lt;&gt;"",Units!$J31,Mkt!CM32),Inputs!$B$15*Mkt!CM32+(1-Inputs!$B$15)*MIN(Mkt!CM32,CL32*(1+Inputs!$B$18))),CL32)))</f>
        <v>2674.67714422496</v>
      </c>
      <c r="CN32" s="11" t="n">
        <f aca="false">IF(CN$1&lt;Units!$P31,0,IF(AND(Units!$K31=0,CN$1=Units!$O31),Units!$R31,IF(AND(CN$1&gt;=Units!$Q31,MOD(CN$1-Units!$Q31,12)=0),IF(AND(Units!$L31=1,CN$1=Units!$Q31),IF(Units!$J31&lt;&gt;"",Units!$J31,Mkt!CN32),Inputs!$B$15*Mkt!CN32+(1-Inputs!$B$15)*MIN(Mkt!CN32,CM32*(1+Inputs!$B$18))),CM32)))</f>
        <v>2674.67714422496</v>
      </c>
      <c r="CO32" s="11" t="n">
        <f aca="false">IF(CO$1&lt;Units!$P31,0,IF(AND(Units!$K31=0,CO$1=Units!$O31),Units!$R31,IF(AND(CO$1&gt;=Units!$Q31,MOD(CO$1-Units!$Q31,12)=0),IF(AND(Units!$L31=1,CO$1=Units!$Q31),IF(Units!$J31&lt;&gt;"",Units!$J31,Mkt!CO32),Inputs!$B$15*Mkt!CO32+(1-Inputs!$B$15)*MIN(Mkt!CO32,CN32*(1+Inputs!$B$18))),CN32)))</f>
        <v>2674.67714422496</v>
      </c>
      <c r="CP32" s="11" t="n">
        <f aca="false">IF(CP$1&lt;Units!$P31,0,IF(AND(Units!$K31=0,CP$1=Units!$O31),Units!$R31,IF(AND(CP$1&gt;=Units!$Q31,MOD(CP$1-Units!$Q31,12)=0),IF(AND(Units!$L31=1,CP$1=Units!$Q31),IF(Units!$J31&lt;&gt;"",Units!$J31,Mkt!CP32),Inputs!$B$15*Mkt!CP32+(1-Inputs!$B$15)*MIN(Mkt!CP32,CO32*(1+Inputs!$B$18))),CO32)))</f>
        <v>2674.67714422496</v>
      </c>
      <c r="CQ32" s="11" t="n">
        <f aca="false">IF(CQ$1&lt;Units!$P31,0,IF(AND(Units!$K31=0,CQ$1=Units!$O31),Units!$R31,IF(AND(CQ$1&gt;=Units!$Q31,MOD(CQ$1-Units!$Q31,12)=0),IF(AND(Units!$L31=1,CQ$1=Units!$Q31),IF(Units!$J31&lt;&gt;"",Units!$J31,Mkt!CQ32),Inputs!$B$15*Mkt!CQ32+(1-Inputs!$B$15)*MIN(Mkt!CQ32,CP32*(1+Inputs!$B$18))),CP32)))</f>
        <v>2754.91745855171</v>
      </c>
      <c r="CR32" s="11" t="n">
        <f aca="false">IF(CR$1&lt;Units!$P31,0,IF(AND(Units!$K31=0,CR$1=Units!$O31),Units!$R31,IF(AND(CR$1&gt;=Units!$Q31,MOD(CR$1-Units!$Q31,12)=0),IF(AND(Units!$L31=1,CR$1=Units!$Q31),IF(Units!$J31&lt;&gt;"",Units!$J31,Mkt!CR32),Inputs!$B$15*Mkt!CR32+(1-Inputs!$B$15)*MIN(Mkt!CR32,CQ32*(1+Inputs!$B$18))),CQ32)))</f>
        <v>2754.91745855171</v>
      </c>
      <c r="CS32" s="11" t="n">
        <f aca="false">IF(CS$1&lt;Units!$P31,0,IF(AND(Units!$K31=0,CS$1=Units!$O31),Units!$R31,IF(AND(CS$1&gt;=Units!$Q31,MOD(CS$1-Units!$Q31,12)=0),IF(AND(Units!$L31=1,CS$1=Units!$Q31),IF(Units!$J31&lt;&gt;"",Units!$J31,Mkt!CS32),Inputs!$B$15*Mkt!CS32+(1-Inputs!$B$15)*MIN(Mkt!CS32,CR32*(1+Inputs!$B$18))),CR32)))</f>
        <v>2754.91745855171</v>
      </c>
      <c r="CT32" s="11" t="n">
        <f aca="false">IF(CT$1&lt;Units!$P31,0,IF(AND(Units!$K31=0,CT$1=Units!$O31),Units!$R31,IF(AND(CT$1&gt;=Units!$Q31,MOD(CT$1-Units!$Q31,12)=0),IF(AND(Units!$L31=1,CT$1=Units!$Q31),IF(Units!$J31&lt;&gt;"",Units!$J31,Mkt!CT32),Inputs!$B$15*Mkt!CT32+(1-Inputs!$B$15)*MIN(Mkt!CT32,CS32*(1+Inputs!$B$18))),CS32)))</f>
        <v>2754.91745855171</v>
      </c>
      <c r="CU32" s="11" t="n">
        <f aca="false">IF(CU$1&lt;Units!$P31,0,IF(AND(Units!$K31=0,CU$1=Units!$O31),Units!$R31,IF(AND(CU$1&gt;=Units!$Q31,MOD(CU$1-Units!$Q31,12)=0),IF(AND(Units!$L31=1,CU$1=Units!$Q31),IF(Units!$J31&lt;&gt;"",Units!$J31,Mkt!CU32),Inputs!$B$15*Mkt!CU32+(1-Inputs!$B$15)*MIN(Mkt!CU32,CT32*(1+Inputs!$B$18))),CT32)))</f>
        <v>2754.91745855171</v>
      </c>
      <c r="CV32" s="11" t="n">
        <f aca="false">IF(CV$1&lt;Units!$P31,0,IF(AND(Units!$K31=0,CV$1=Units!$O31),Units!$R31,IF(AND(CV$1&gt;=Units!$Q31,MOD(CV$1-Units!$Q31,12)=0),IF(AND(Units!$L31=1,CV$1=Units!$Q31),IF(Units!$J31&lt;&gt;"",Units!$J31,Mkt!CV32),Inputs!$B$15*Mkt!CV32+(1-Inputs!$B$15)*MIN(Mkt!CV32,CU32*(1+Inputs!$B$18))),CU32)))</f>
        <v>2754.91745855171</v>
      </c>
      <c r="CW32" s="11" t="n">
        <f aca="false">IF(CW$1&lt;Units!$P31,0,IF(AND(Units!$K31=0,CW$1=Units!$O31),Units!$R31,IF(AND(CW$1&gt;=Units!$Q31,MOD(CW$1-Units!$Q31,12)=0),IF(AND(Units!$L31=1,CW$1=Units!$Q31),IF(Units!$J31&lt;&gt;"",Units!$J31,Mkt!CW32),Inputs!$B$15*Mkt!CW32+(1-Inputs!$B$15)*MIN(Mkt!CW32,CV32*(1+Inputs!$B$18))),CV32)))</f>
        <v>2754.91745855171</v>
      </c>
      <c r="CX32" s="11" t="n">
        <f aca="false">IF(CX$1&lt;Units!$P31,0,IF(AND(Units!$K31=0,CX$1=Units!$O31),Units!$R31,IF(AND(CX$1&gt;=Units!$Q31,MOD(CX$1-Units!$Q31,12)=0),IF(AND(Units!$L31=1,CX$1=Units!$Q31),IF(Units!$J31&lt;&gt;"",Units!$J31,Mkt!CX32),Inputs!$B$15*Mkt!CX32+(1-Inputs!$B$15)*MIN(Mkt!CX32,CW32*(1+Inputs!$B$18))),CW32)))</f>
        <v>2754.91745855171</v>
      </c>
      <c r="CY32" s="11" t="n">
        <f aca="false">IF(CY$1&lt;Units!$P31,0,IF(AND(Units!$K31=0,CY$1=Units!$O31),Units!$R31,IF(AND(CY$1&gt;=Units!$Q31,MOD(CY$1-Units!$Q31,12)=0),IF(AND(Units!$L31=1,CY$1=Units!$Q31),IF(Units!$J31&lt;&gt;"",Units!$J31,Mkt!CY32),Inputs!$B$15*Mkt!CY32+(1-Inputs!$B$15)*MIN(Mkt!CY32,CX32*(1+Inputs!$B$18))),CX32)))</f>
        <v>2754.91745855171</v>
      </c>
      <c r="CZ32" s="11" t="n">
        <f aca="false">IF(CZ$1&lt;Units!$P31,0,IF(AND(Units!$K31=0,CZ$1=Units!$O31),Units!$R31,IF(AND(CZ$1&gt;=Units!$Q31,MOD(CZ$1-Units!$Q31,12)=0),IF(AND(Units!$L31=1,CZ$1=Units!$Q31),IF(Units!$J31&lt;&gt;"",Units!$J31,Mkt!CZ32),Inputs!$B$15*Mkt!CZ32+(1-Inputs!$B$15)*MIN(Mkt!CZ32,CY32*(1+Inputs!$B$18))),CY32)))</f>
        <v>2754.91745855171</v>
      </c>
      <c r="DA32" s="11" t="n">
        <f aca="false">IF(DA$1&lt;Units!$P31,0,IF(AND(Units!$K31=0,DA$1=Units!$O31),Units!$R31,IF(AND(DA$1&gt;=Units!$Q31,MOD(DA$1-Units!$Q31,12)=0),IF(AND(Units!$L31=1,DA$1=Units!$Q31),IF(Units!$J31&lt;&gt;"",Units!$J31,Mkt!DA32),Inputs!$B$15*Mkt!DA32+(1-Inputs!$B$15)*MIN(Mkt!DA32,CZ32*(1+Inputs!$B$18))),CZ32)))</f>
        <v>2754.91745855171</v>
      </c>
      <c r="DB32" s="11" t="n">
        <f aca="false">IF(DB$1&lt;Units!$P31,0,IF(AND(Units!$K31=0,DB$1=Units!$O31),Units!$R31,IF(AND(DB$1&gt;=Units!$Q31,MOD(DB$1-Units!$Q31,12)=0),IF(AND(Units!$L31=1,DB$1=Units!$Q31),IF(Units!$J31&lt;&gt;"",Units!$J31,Mkt!DB32),Inputs!$B$15*Mkt!DB32+(1-Inputs!$B$15)*MIN(Mkt!DB32,DA32*(1+Inputs!$B$18))),DA32)))</f>
        <v>2754.91745855171</v>
      </c>
      <c r="DC32" s="11" t="n">
        <f aca="false">IF(DC$1&lt;Units!$P31,0,IF(AND(Units!$K31=0,DC$1=Units!$O31),Units!$R31,IF(AND(DC$1&gt;=Units!$Q31,MOD(DC$1-Units!$Q31,12)=0),IF(AND(Units!$L31=1,DC$1=Units!$Q31),IF(Units!$J31&lt;&gt;"",Units!$J31,Mkt!DC32),Inputs!$B$15*Mkt!DC32+(1-Inputs!$B$15)*MIN(Mkt!DC32,DB32*(1+Inputs!$B$18))),DB32)))</f>
        <v>2837.56498230826</v>
      </c>
      <c r="DD32" s="11" t="n">
        <f aca="false">IF(DD$1&lt;Units!$P31,0,IF(AND(Units!$K31=0,DD$1=Units!$O31),Units!$R31,IF(AND(DD$1&gt;=Units!$Q31,MOD(DD$1-Units!$Q31,12)=0),IF(AND(Units!$L31=1,DD$1=Units!$Q31),IF(Units!$J31&lt;&gt;"",Units!$J31,Mkt!DD32),Inputs!$B$15*Mkt!DD32+(1-Inputs!$B$15)*MIN(Mkt!DD32,DC32*(1+Inputs!$B$18))),DC32)))</f>
        <v>2837.56498230826</v>
      </c>
      <c r="DE32" s="11" t="n">
        <f aca="false">IF(DE$1&lt;Units!$P31,0,IF(AND(Units!$K31=0,DE$1=Units!$O31),Units!$R31,IF(AND(DE$1&gt;=Units!$Q31,MOD(DE$1-Units!$Q31,12)=0),IF(AND(Units!$L31=1,DE$1=Units!$Q31),IF(Units!$J31&lt;&gt;"",Units!$J31,Mkt!DE32),Inputs!$B$15*Mkt!DE32+(1-Inputs!$B$15)*MIN(Mkt!DE32,DD32*(1+Inputs!$B$18))),DD32)))</f>
        <v>2837.56498230826</v>
      </c>
      <c r="DF32" s="11" t="n">
        <f aca="false">IF(DF$1&lt;Units!$P31,0,IF(AND(Units!$K31=0,DF$1=Units!$O31),Units!$R31,IF(AND(DF$1&gt;=Units!$Q31,MOD(DF$1-Units!$Q31,12)=0),IF(AND(Units!$L31=1,DF$1=Units!$Q31),IF(Units!$J31&lt;&gt;"",Units!$J31,Mkt!DF32),Inputs!$B$15*Mkt!DF32+(1-Inputs!$B$15)*MIN(Mkt!DF32,DE32*(1+Inputs!$B$18))),DE32)))</f>
        <v>2837.56498230826</v>
      </c>
      <c r="DG32" s="11" t="n">
        <f aca="false">IF(DG$1&lt;Units!$P31,0,IF(AND(Units!$K31=0,DG$1=Units!$O31),Units!$R31,IF(AND(DG$1&gt;=Units!$Q31,MOD(DG$1-Units!$Q31,12)=0),IF(AND(Units!$L31=1,DG$1=Units!$Q31),IF(Units!$J31&lt;&gt;"",Units!$J31,Mkt!DG32),Inputs!$B$15*Mkt!DG32+(1-Inputs!$B$15)*MIN(Mkt!DG32,DF32*(1+Inputs!$B$18))),DF32)))</f>
        <v>2837.56498230826</v>
      </c>
      <c r="DH32" s="11" t="n">
        <f aca="false">IF(DH$1&lt;Units!$P31,0,IF(AND(Units!$K31=0,DH$1=Units!$O31),Units!$R31,IF(AND(DH$1&gt;=Units!$Q31,MOD(DH$1-Units!$Q31,12)=0),IF(AND(Units!$L31=1,DH$1=Units!$Q31),IF(Units!$J31&lt;&gt;"",Units!$J31,Mkt!DH32),Inputs!$B$15*Mkt!DH32+(1-Inputs!$B$15)*MIN(Mkt!DH32,DG32*(1+Inputs!$B$18))),DG32)))</f>
        <v>2837.56498230826</v>
      </c>
      <c r="DI32" s="11" t="n">
        <f aca="false">IF(DI$1&lt;Units!$P31,0,IF(AND(Units!$K31=0,DI$1=Units!$O31),Units!$R31,IF(AND(DI$1&gt;=Units!$Q31,MOD(DI$1-Units!$Q31,12)=0),IF(AND(Units!$L31=1,DI$1=Units!$Q31),IF(Units!$J31&lt;&gt;"",Units!$J31,Mkt!DI32),Inputs!$B$15*Mkt!DI32+(1-Inputs!$B$15)*MIN(Mkt!DI32,DH32*(1+Inputs!$B$18))),DH32)))</f>
        <v>2837.56498230826</v>
      </c>
      <c r="DJ32" s="11" t="n">
        <f aca="false">IF(DJ$1&lt;Units!$P31,0,IF(AND(Units!$K31=0,DJ$1=Units!$O31),Units!$R31,IF(AND(DJ$1&gt;=Units!$Q31,MOD(DJ$1-Units!$Q31,12)=0),IF(AND(Units!$L31=1,DJ$1=Units!$Q31),IF(Units!$J31&lt;&gt;"",Units!$J31,Mkt!DJ32),Inputs!$B$15*Mkt!DJ32+(1-Inputs!$B$15)*MIN(Mkt!DJ32,DI32*(1+Inputs!$B$18))),DI32)))</f>
        <v>2837.56498230826</v>
      </c>
      <c r="DK32" s="11" t="n">
        <f aca="false">IF(DK$1&lt;Units!$P31,0,IF(AND(Units!$K31=0,DK$1=Units!$O31),Units!$R31,IF(AND(DK$1&gt;=Units!$Q31,MOD(DK$1-Units!$Q31,12)=0),IF(AND(Units!$L31=1,DK$1=Units!$Q31),IF(Units!$J31&lt;&gt;"",Units!$J31,Mkt!DK32),Inputs!$B$15*Mkt!DK32+(1-Inputs!$B$15)*MIN(Mkt!DK32,DJ32*(1+Inputs!$B$18))),DJ32)))</f>
        <v>2837.56498230826</v>
      </c>
      <c r="DL32" s="11" t="n">
        <f aca="false">IF(DL$1&lt;Units!$P31,0,IF(AND(Units!$K31=0,DL$1=Units!$O31),Units!$R31,IF(AND(DL$1&gt;=Units!$Q31,MOD(DL$1-Units!$Q31,12)=0),IF(AND(Units!$L31=1,DL$1=Units!$Q31),IF(Units!$J31&lt;&gt;"",Units!$J31,Mkt!DL32),Inputs!$B$15*Mkt!DL32+(1-Inputs!$B$15)*MIN(Mkt!DL32,DK32*(1+Inputs!$B$18))),DK32)))</f>
        <v>2837.56498230826</v>
      </c>
      <c r="DM32" s="11" t="n">
        <f aca="false">IF(DM$1&lt;Units!$P31,0,IF(AND(Units!$K31=0,DM$1=Units!$O31),Units!$R31,IF(AND(DM$1&gt;=Units!$Q31,MOD(DM$1-Units!$Q31,12)=0),IF(AND(Units!$L31=1,DM$1=Units!$Q31),IF(Units!$J31&lt;&gt;"",Units!$J31,Mkt!DM32),Inputs!$B$15*Mkt!DM32+(1-Inputs!$B$15)*MIN(Mkt!DM32,DL32*(1+Inputs!$B$18))),DL32)))</f>
        <v>2837.56498230826</v>
      </c>
      <c r="DN32" s="11" t="n">
        <f aca="false">IF(DN$1&lt;Units!$P31,0,IF(AND(Units!$K31=0,DN$1=Units!$O31),Units!$R31,IF(AND(DN$1&gt;=Units!$Q31,MOD(DN$1-Units!$Q31,12)=0),IF(AND(Units!$L31=1,DN$1=Units!$Q31),IF(Units!$J31&lt;&gt;"",Units!$J31,Mkt!DN32),Inputs!$B$15*Mkt!DN32+(1-Inputs!$B$15)*MIN(Mkt!DN32,DM32*(1+Inputs!$B$18))),DM32)))</f>
        <v>2837.56498230826</v>
      </c>
      <c r="DO32" s="11" t="n">
        <f aca="false">IF(DO$1&lt;Units!$P31,0,IF(AND(Units!$K31=0,DO$1=Units!$O31),Units!$R31,IF(AND(DO$1&gt;=Units!$Q31,MOD(DO$1-Units!$Q31,12)=0),IF(AND(Units!$L31=1,DO$1=Units!$Q31),IF(Units!$J31&lt;&gt;"",Units!$J31,Mkt!DO32),Inputs!$B$15*Mkt!DO32+(1-Inputs!$B$15)*MIN(Mkt!DO32,DN32*(1+Inputs!$B$18))),DN32)))</f>
        <v>2922.69193177751</v>
      </c>
      <c r="DP32" s="11" t="n">
        <f aca="false">IF(DP$1&lt;Units!$P31,0,IF(AND(Units!$K31=0,DP$1=Units!$O31),Units!$R31,IF(AND(DP$1&gt;=Units!$Q31,MOD(DP$1-Units!$Q31,12)=0),IF(AND(Units!$L31=1,DP$1=Units!$Q31),IF(Units!$J31&lt;&gt;"",Units!$J31,Mkt!DP32),Inputs!$B$15*Mkt!DP32+(1-Inputs!$B$15)*MIN(Mkt!DP32,DO32*(1+Inputs!$B$18))),DO32)))</f>
        <v>2922.69193177751</v>
      </c>
      <c r="DQ32" s="11" t="n">
        <f aca="false">IF(DQ$1&lt;Units!$P31,0,IF(AND(Units!$K31=0,DQ$1=Units!$O31),Units!$R31,IF(AND(DQ$1&gt;=Units!$Q31,MOD(DQ$1-Units!$Q31,12)=0),IF(AND(Units!$L31=1,DQ$1=Units!$Q31),IF(Units!$J31&lt;&gt;"",Units!$J31,Mkt!DQ32),Inputs!$B$15*Mkt!DQ32+(1-Inputs!$B$15)*MIN(Mkt!DQ32,DP32*(1+Inputs!$B$18))),DP32)))</f>
        <v>2922.69193177751</v>
      </c>
      <c r="DR32" s="11" t="n">
        <f aca="false">IF(DR$1&lt;Units!$P31,0,IF(AND(Units!$K31=0,DR$1=Units!$O31),Units!$R31,IF(AND(DR$1&gt;=Units!$Q31,MOD(DR$1-Units!$Q31,12)=0),IF(AND(Units!$L31=1,DR$1=Units!$Q31),IF(Units!$J31&lt;&gt;"",Units!$J31,Mkt!DR32),Inputs!$B$15*Mkt!DR32+(1-Inputs!$B$15)*MIN(Mkt!DR32,DQ32*(1+Inputs!$B$18))),DQ32)))</f>
        <v>2922.69193177751</v>
      </c>
      <c r="DS32" s="11" t="n">
        <f aca="false">IF(DS$1&lt;Units!$P31,0,IF(AND(Units!$K31=0,DS$1=Units!$O31),Units!$R31,IF(AND(DS$1&gt;=Units!$Q31,MOD(DS$1-Units!$Q31,12)=0),IF(AND(Units!$L31=1,DS$1=Units!$Q31),IF(Units!$J31&lt;&gt;"",Units!$J31,Mkt!DS32),Inputs!$B$15*Mkt!DS32+(1-Inputs!$B$15)*MIN(Mkt!DS32,DR32*(1+Inputs!$B$18))),DR32)))</f>
        <v>2922.69193177751</v>
      </c>
      <c r="DT32" s="11" t="n">
        <f aca="false">IF(DT$1&lt;Units!$P31,0,IF(AND(Units!$K31=0,DT$1=Units!$O31),Units!$R31,IF(AND(DT$1&gt;=Units!$Q31,MOD(DT$1-Units!$Q31,12)=0),IF(AND(Units!$L31=1,DT$1=Units!$Q31),IF(Units!$J31&lt;&gt;"",Units!$J31,Mkt!DT32),Inputs!$B$15*Mkt!DT32+(1-Inputs!$B$15)*MIN(Mkt!DT32,DS32*(1+Inputs!$B$18))),DS32)))</f>
        <v>2922.69193177751</v>
      </c>
      <c r="DU32" s="11" t="n">
        <f aca="false">IF(DU$1&lt;Units!$P31,0,IF(AND(Units!$K31=0,DU$1=Units!$O31),Units!$R31,IF(AND(DU$1&gt;=Units!$Q31,MOD(DU$1-Units!$Q31,12)=0),IF(AND(Units!$L31=1,DU$1=Units!$Q31),IF(Units!$J31&lt;&gt;"",Units!$J31,Mkt!DU32),Inputs!$B$15*Mkt!DU32+(1-Inputs!$B$15)*MIN(Mkt!DU32,DT32*(1+Inputs!$B$18))),DT32)))</f>
        <v>2922.69193177751</v>
      </c>
      <c r="DV32" s="11" t="n">
        <f aca="false">IF(DV$1&lt;Units!$P31,0,IF(AND(Units!$K31=0,DV$1=Units!$O31),Units!$R31,IF(AND(DV$1&gt;=Units!$Q31,MOD(DV$1-Units!$Q31,12)=0),IF(AND(Units!$L31=1,DV$1=Units!$Q31),IF(Units!$J31&lt;&gt;"",Units!$J31,Mkt!DV32),Inputs!$B$15*Mkt!DV32+(1-Inputs!$B$15)*MIN(Mkt!DV32,DU32*(1+Inputs!$B$18))),DU32)))</f>
        <v>2922.69193177751</v>
      </c>
      <c r="DW32" s="11" t="n">
        <f aca="false">IF(DW$1&lt;Units!$P31,0,IF(AND(Units!$K31=0,DW$1=Units!$O31),Units!$R31,IF(AND(DW$1&gt;=Units!$Q31,MOD(DW$1-Units!$Q31,12)=0),IF(AND(Units!$L31=1,DW$1=Units!$Q31),IF(Units!$J31&lt;&gt;"",Units!$J31,Mkt!DW32),Inputs!$B$15*Mkt!DW32+(1-Inputs!$B$15)*MIN(Mkt!DW32,DV32*(1+Inputs!$B$18))),DV32)))</f>
        <v>2922.69193177751</v>
      </c>
      <c r="DX32" s="11" t="n">
        <f aca="false">IF(DX$1&lt;Units!$P31,0,IF(AND(Units!$K31=0,DX$1=Units!$O31),Units!$R31,IF(AND(DX$1&gt;=Units!$Q31,MOD(DX$1-Units!$Q31,12)=0),IF(AND(Units!$L31=1,DX$1=Units!$Q31),IF(Units!$J31&lt;&gt;"",Units!$J31,Mkt!DX32),Inputs!$B$15*Mkt!DX32+(1-Inputs!$B$15)*MIN(Mkt!DX32,DW32*(1+Inputs!$B$18))),DW32)))</f>
        <v>2922.69193177751</v>
      </c>
      <c r="DY32" s="11" t="n">
        <f aca="false">IF(DY$1&lt;Units!$P31,0,IF(AND(Units!$K31=0,DY$1=Units!$O31),Units!$R31,IF(AND(DY$1&gt;=Units!$Q31,MOD(DY$1-Units!$Q31,12)=0),IF(AND(Units!$L31=1,DY$1=Units!$Q31),IF(Units!$J31&lt;&gt;"",Units!$J31,Mkt!DY32),Inputs!$B$15*Mkt!DY32+(1-Inputs!$B$15)*MIN(Mkt!DY32,DX32*(1+Inputs!$B$18))),DX32)))</f>
        <v>2922.69193177751</v>
      </c>
      <c r="DZ32" s="11" t="n">
        <f aca="false">IF(DZ$1&lt;Units!$P31,0,IF(AND(Units!$K31=0,DZ$1=Units!$O31),Units!$R31,IF(AND(DZ$1&gt;=Units!$Q31,MOD(DZ$1-Units!$Q31,12)=0),IF(AND(Units!$L31=1,DZ$1=Units!$Q31),IF(Units!$J31&lt;&gt;"",Units!$J31,Mkt!DZ32),Inputs!$B$15*Mkt!DZ32+(1-Inputs!$B$15)*MIN(Mkt!DZ32,DY32*(1+Inputs!$B$18))),DY32)))</f>
        <v>2922.69193177751</v>
      </c>
      <c r="EA32" s="11" t="n">
        <f aca="false">IF(EA$1&lt;Units!$P31,0,IF(AND(Units!$K31=0,EA$1=Units!$O31),Units!$R31,IF(AND(EA$1&gt;=Units!$Q31,MOD(EA$1-Units!$Q31,12)=0),IF(AND(Units!$L31=1,EA$1=Units!$Q31),IF(Units!$J31&lt;&gt;"",Units!$J31,Mkt!EA32),Inputs!$B$15*Mkt!EA32+(1-Inputs!$B$15)*MIN(Mkt!EA32,DZ32*(1+Inputs!$B$18))),DZ32)))</f>
        <v>3010.37268973083</v>
      </c>
      <c r="EB32" s="11" t="n">
        <f aca="false">IF(EB$1&lt;Units!$P31,0,IF(AND(Units!$K31=0,EB$1=Units!$O31),Units!$R31,IF(AND(EB$1&gt;=Units!$Q31,MOD(EB$1-Units!$Q31,12)=0),IF(AND(Units!$L31=1,EB$1=Units!$Q31),IF(Units!$J31&lt;&gt;"",Units!$J31,Mkt!EB32),Inputs!$B$15*Mkt!EB32+(1-Inputs!$B$15)*MIN(Mkt!EB32,EA32*(1+Inputs!$B$18))),EA32)))</f>
        <v>3010.37268973083</v>
      </c>
      <c r="EC32" s="11" t="n">
        <f aca="false">IF(EC$1&lt;Units!$P31,0,IF(AND(Units!$K31=0,EC$1=Units!$O31),Units!$R31,IF(AND(EC$1&gt;=Units!$Q31,MOD(EC$1-Units!$Q31,12)=0),IF(AND(Units!$L31=1,EC$1=Units!$Q31),IF(Units!$J31&lt;&gt;"",Units!$J31,Mkt!EC32),Inputs!$B$15*Mkt!EC32+(1-Inputs!$B$15)*MIN(Mkt!EC32,EB32*(1+Inputs!$B$18))),EB32)))</f>
        <v>3010.37268973083</v>
      </c>
      <c r="ED32" s="11" t="n">
        <f aca="false">IF(ED$1&lt;Units!$P31,0,IF(AND(Units!$K31=0,ED$1=Units!$O31),Units!$R31,IF(AND(ED$1&gt;=Units!$Q31,MOD(ED$1-Units!$Q31,12)=0),IF(AND(Units!$L31=1,ED$1=Units!$Q31),IF(Units!$J31&lt;&gt;"",Units!$J31,Mkt!ED32),Inputs!$B$15*Mkt!ED32+(1-Inputs!$B$15)*MIN(Mkt!ED32,EC32*(1+Inputs!$B$18))),EC32)))</f>
        <v>3010.37268973083</v>
      </c>
    </row>
    <row r="33" customFormat="false" ht="15" hidden="false" customHeight="false" outlineLevel="0" collapsed="false">
      <c r="A33" s="22" t="n">
        <f aca="false">Units!A32</f>
        <v>201</v>
      </c>
      <c r="B33" s="24" t="n">
        <f aca="false">IF(Units!K32=1,Units!F32,0)</f>
        <v>1420</v>
      </c>
      <c r="C33" s="11" t="n">
        <f aca="false">IF(C$1&lt;Units!$P32,0,IF(AND(Units!$K32=0,C$1=Units!$O32),Units!$R32,IF(AND(C$1&gt;=Units!$Q32,MOD(C$1-Units!$Q32,12)=0),IF(AND(Units!$L32=1,C$1=Units!$Q32),IF(Units!$J32&lt;&gt;"",Units!$J32,Mkt!C33),Inputs!$B$15*Mkt!C33+(1-Inputs!$B$15)*MIN(Mkt!C33,B33*(1+Inputs!$B$18))),B33)))</f>
        <v>1508</v>
      </c>
      <c r="D33" s="11" t="n">
        <f aca="false">IF(D$1&lt;Units!$P32,0,IF(AND(Units!$K32=0,D$1=Units!$O32),Units!$R32,IF(AND(D$1&gt;=Units!$Q32,MOD(D$1-Units!$Q32,12)=0),IF(AND(Units!$L32=1,D$1=Units!$Q32),IF(Units!$J32&lt;&gt;"",Units!$J32,Mkt!D33),Inputs!$B$15*Mkt!D33+(1-Inputs!$B$15)*MIN(Mkt!D33,C33*(1+Inputs!$B$18))),C33)))</f>
        <v>1508</v>
      </c>
      <c r="E33" s="11" t="n">
        <f aca="false">IF(E$1&lt;Units!$P32,0,IF(AND(Units!$K32=0,E$1=Units!$O32),Units!$R32,IF(AND(E$1&gt;=Units!$Q32,MOD(E$1-Units!$Q32,12)=0),IF(AND(Units!$L32=1,E$1=Units!$Q32),IF(Units!$J32&lt;&gt;"",Units!$J32,Mkt!E33),Inputs!$B$15*Mkt!E33+(1-Inputs!$B$15)*MIN(Mkt!E33,D33*(1+Inputs!$B$18))),D33)))</f>
        <v>1508</v>
      </c>
      <c r="F33" s="11" t="n">
        <f aca="false">IF(F$1&lt;Units!$P32,0,IF(AND(Units!$K32=0,F$1=Units!$O32),Units!$R32,IF(AND(F$1&gt;=Units!$Q32,MOD(F$1-Units!$Q32,12)=0),IF(AND(Units!$L32=1,F$1=Units!$Q32),IF(Units!$J32&lt;&gt;"",Units!$J32,Mkt!F33),Inputs!$B$15*Mkt!F33+(1-Inputs!$B$15)*MIN(Mkt!F33,E33*(1+Inputs!$B$18))),E33)))</f>
        <v>1508</v>
      </c>
      <c r="G33" s="11" t="n">
        <f aca="false">IF(G$1&lt;Units!$P32,0,IF(AND(Units!$K32=0,G$1=Units!$O32),Units!$R32,IF(AND(G$1&gt;=Units!$Q32,MOD(G$1-Units!$Q32,12)=0),IF(AND(Units!$L32=1,G$1=Units!$Q32),IF(Units!$J32&lt;&gt;"",Units!$J32,Mkt!G33),Inputs!$B$15*Mkt!G33+(1-Inputs!$B$15)*MIN(Mkt!G33,F33*(1+Inputs!$B$18))),F33)))</f>
        <v>1508</v>
      </c>
      <c r="H33" s="11" t="n">
        <f aca="false">IF(H$1&lt;Units!$P32,0,IF(AND(Units!$K32=0,H$1=Units!$O32),Units!$R32,IF(AND(H$1&gt;=Units!$Q32,MOD(H$1-Units!$Q32,12)=0),IF(AND(Units!$L32=1,H$1=Units!$Q32),IF(Units!$J32&lt;&gt;"",Units!$J32,Mkt!H33),Inputs!$B$15*Mkt!H33+(1-Inputs!$B$15)*MIN(Mkt!H33,G33*(1+Inputs!$B$18))),G33)))</f>
        <v>1508</v>
      </c>
      <c r="I33" s="11" t="n">
        <f aca="false">IF(I$1&lt;Units!$P32,0,IF(AND(Units!$K32=0,I$1=Units!$O32),Units!$R32,IF(AND(I$1&gt;=Units!$Q32,MOD(I$1-Units!$Q32,12)=0),IF(AND(Units!$L32=1,I$1=Units!$Q32),IF(Units!$J32&lt;&gt;"",Units!$J32,Mkt!I33),Inputs!$B$15*Mkt!I33+(1-Inputs!$B$15)*MIN(Mkt!I33,H33*(1+Inputs!$B$18))),H33)))</f>
        <v>1508</v>
      </c>
      <c r="J33" s="11" t="n">
        <f aca="false">IF(J$1&lt;Units!$P32,0,IF(AND(Units!$K32=0,J$1=Units!$O32),Units!$R32,IF(AND(J$1&gt;=Units!$Q32,MOD(J$1-Units!$Q32,12)=0),IF(AND(Units!$L32=1,J$1=Units!$Q32),IF(Units!$J32&lt;&gt;"",Units!$J32,Mkt!J33),Inputs!$B$15*Mkt!J33+(1-Inputs!$B$15)*MIN(Mkt!J33,I33*(1+Inputs!$B$18))),I33)))</f>
        <v>1508</v>
      </c>
      <c r="K33" s="11" t="n">
        <f aca="false">IF(K$1&lt;Units!$P32,0,IF(AND(Units!$K32=0,K$1=Units!$O32),Units!$R32,IF(AND(K$1&gt;=Units!$Q32,MOD(K$1-Units!$Q32,12)=0),IF(AND(Units!$L32=1,K$1=Units!$Q32),IF(Units!$J32&lt;&gt;"",Units!$J32,Mkt!K33),Inputs!$B$15*Mkt!K33+(1-Inputs!$B$15)*MIN(Mkt!K33,J33*(1+Inputs!$B$18))),J33)))</f>
        <v>1508</v>
      </c>
      <c r="L33" s="11" t="n">
        <f aca="false">IF(L$1&lt;Units!$P32,0,IF(AND(Units!$K32=0,L$1=Units!$O32),Units!$R32,IF(AND(L$1&gt;=Units!$Q32,MOD(L$1-Units!$Q32,12)=0),IF(AND(Units!$L32=1,L$1=Units!$Q32),IF(Units!$J32&lt;&gt;"",Units!$J32,Mkt!L33),Inputs!$B$15*Mkt!L33+(1-Inputs!$B$15)*MIN(Mkt!L33,K33*(1+Inputs!$B$18))),K33)))</f>
        <v>1508</v>
      </c>
      <c r="M33" s="11" t="n">
        <f aca="false">IF(M$1&lt;Units!$P32,0,IF(AND(Units!$K32=0,M$1=Units!$O32),Units!$R32,IF(AND(M$1&gt;=Units!$Q32,MOD(M$1-Units!$Q32,12)=0),IF(AND(Units!$L32=1,M$1=Units!$Q32),IF(Units!$J32&lt;&gt;"",Units!$J32,Mkt!M33),Inputs!$B$15*Mkt!M33+(1-Inputs!$B$15)*MIN(Mkt!M33,L33*(1+Inputs!$B$18))),L33)))</f>
        <v>1508</v>
      </c>
      <c r="N33" s="11" t="n">
        <f aca="false">IF(N$1&lt;Units!$P32,0,IF(AND(Units!$K32=0,N$1=Units!$O32),Units!$R32,IF(AND(N$1&gt;=Units!$Q32,MOD(N$1-Units!$Q32,12)=0),IF(AND(Units!$L32=1,N$1=Units!$Q32),IF(Units!$J32&lt;&gt;"",Units!$J32,Mkt!N33),Inputs!$B$15*Mkt!N33+(1-Inputs!$B$15)*MIN(Mkt!N33,M33*(1+Inputs!$B$18))),M33)))</f>
        <v>1508</v>
      </c>
      <c r="O33" s="11" t="n">
        <f aca="false">IF(O$1&lt;Units!$P32,0,IF(AND(Units!$K32=0,O$1=Units!$O32),Units!$R32,IF(AND(O$1&gt;=Units!$Q32,MOD(O$1-Units!$Q32,12)=0),IF(AND(Units!$L32=1,O$1=Units!$Q32),IF(Units!$J32&lt;&gt;"",Units!$J32,Mkt!O33),Inputs!$B$15*Mkt!O33+(1-Inputs!$B$15)*MIN(Mkt!O33,N33*(1+Inputs!$B$18))),N33)))</f>
        <v>1570.75</v>
      </c>
      <c r="P33" s="11" t="n">
        <f aca="false">IF(P$1&lt;Units!$P32,0,IF(AND(Units!$K32=0,P$1=Units!$O32),Units!$R32,IF(AND(P$1&gt;=Units!$Q32,MOD(P$1-Units!$Q32,12)=0),IF(AND(Units!$L32=1,P$1=Units!$Q32),IF(Units!$J32&lt;&gt;"",Units!$J32,Mkt!P33),Inputs!$B$15*Mkt!P33+(1-Inputs!$B$15)*MIN(Mkt!P33,O33*(1+Inputs!$B$18))),O33)))</f>
        <v>1570.75</v>
      </c>
      <c r="Q33" s="11" t="n">
        <f aca="false">IF(Q$1&lt;Units!$P32,0,IF(AND(Units!$K32=0,Q$1=Units!$O32),Units!$R32,IF(AND(Q$1&gt;=Units!$Q32,MOD(Q$1-Units!$Q32,12)=0),IF(AND(Units!$L32=1,Q$1=Units!$Q32),IF(Units!$J32&lt;&gt;"",Units!$J32,Mkt!Q33),Inputs!$B$15*Mkt!Q33+(1-Inputs!$B$15)*MIN(Mkt!Q33,P33*(1+Inputs!$B$18))),P33)))</f>
        <v>1570.75</v>
      </c>
      <c r="R33" s="11" t="n">
        <f aca="false">IF(R$1&lt;Units!$P32,0,IF(AND(Units!$K32=0,R$1=Units!$O32),Units!$R32,IF(AND(R$1&gt;=Units!$Q32,MOD(R$1-Units!$Q32,12)=0),IF(AND(Units!$L32=1,R$1=Units!$Q32),IF(Units!$J32&lt;&gt;"",Units!$J32,Mkt!R33),Inputs!$B$15*Mkt!R33+(1-Inputs!$B$15)*MIN(Mkt!R33,Q33*(1+Inputs!$B$18))),Q33)))</f>
        <v>1570.75</v>
      </c>
      <c r="S33" s="11" t="n">
        <f aca="false">IF(S$1&lt;Units!$P32,0,IF(AND(Units!$K32=0,S$1=Units!$O32),Units!$R32,IF(AND(S$1&gt;=Units!$Q32,MOD(S$1-Units!$Q32,12)=0),IF(AND(Units!$L32=1,S$1=Units!$Q32),IF(Units!$J32&lt;&gt;"",Units!$J32,Mkt!S33),Inputs!$B$15*Mkt!S33+(1-Inputs!$B$15)*MIN(Mkt!S33,R33*(1+Inputs!$B$18))),R33)))</f>
        <v>1570.75</v>
      </c>
      <c r="T33" s="11" t="n">
        <f aca="false">IF(T$1&lt;Units!$P32,0,IF(AND(Units!$K32=0,T$1=Units!$O32),Units!$R32,IF(AND(T$1&gt;=Units!$Q32,MOD(T$1-Units!$Q32,12)=0),IF(AND(Units!$L32=1,T$1=Units!$Q32),IF(Units!$J32&lt;&gt;"",Units!$J32,Mkt!T33),Inputs!$B$15*Mkt!T33+(1-Inputs!$B$15)*MIN(Mkt!T33,S33*(1+Inputs!$B$18))),S33)))</f>
        <v>1570.75</v>
      </c>
      <c r="U33" s="11" t="n">
        <f aca="false">IF(U$1&lt;Units!$P32,0,IF(AND(Units!$K32=0,U$1=Units!$O32),Units!$R32,IF(AND(U$1&gt;=Units!$Q32,MOD(U$1-Units!$Q32,12)=0),IF(AND(Units!$L32=1,U$1=Units!$Q32),IF(Units!$J32&lt;&gt;"",Units!$J32,Mkt!U33),Inputs!$B$15*Mkt!U33+(1-Inputs!$B$15)*MIN(Mkt!U33,T33*(1+Inputs!$B$18))),T33)))</f>
        <v>1570.75</v>
      </c>
      <c r="V33" s="11" t="n">
        <f aca="false">IF(V$1&lt;Units!$P32,0,IF(AND(Units!$K32=0,V$1=Units!$O32),Units!$R32,IF(AND(V$1&gt;=Units!$Q32,MOD(V$1-Units!$Q32,12)=0),IF(AND(Units!$L32=1,V$1=Units!$Q32),IF(Units!$J32&lt;&gt;"",Units!$J32,Mkt!V33),Inputs!$B$15*Mkt!V33+(1-Inputs!$B$15)*MIN(Mkt!V33,U33*(1+Inputs!$B$18))),U33)))</f>
        <v>1570.75</v>
      </c>
      <c r="W33" s="11" t="n">
        <f aca="false">IF(W$1&lt;Units!$P32,0,IF(AND(Units!$K32=0,W$1=Units!$O32),Units!$R32,IF(AND(W$1&gt;=Units!$Q32,MOD(W$1-Units!$Q32,12)=0),IF(AND(Units!$L32=1,W$1=Units!$Q32),IF(Units!$J32&lt;&gt;"",Units!$J32,Mkt!W33),Inputs!$B$15*Mkt!W33+(1-Inputs!$B$15)*MIN(Mkt!W33,V33*(1+Inputs!$B$18))),V33)))</f>
        <v>1570.75</v>
      </c>
      <c r="X33" s="11" t="n">
        <f aca="false">IF(X$1&lt;Units!$P32,0,IF(AND(Units!$K32=0,X$1=Units!$O32),Units!$R32,IF(AND(X$1&gt;=Units!$Q32,MOD(X$1-Units!$Q32,12)=0),IF(AND(Units!$L32=1,X$1=Units!$Q32),IF(Units!$J32&lt;&gt;"",Units!$J32,Mkt!X33),Inputs!$B$15*Mkt!X33+(1-Inputs!$B$15)*MIN(Mkt!X33,W33*(1+Inputs!$B$18))),W33)))</f>
        <v>1570.75</v>
      </c>
      <c r="Y33" s="11" t="n">
        <f aca="false">IF(Y$1&lt;Units!$P32,0,IF(AND(Units!$K32=0,Y$1=Units!$O32),Units!$R32,IF(AND(Y$1&gt;=Units!$Q32,MOD(Y$1-Units!$Q32,12)=0),IF(AND(Units!$L32=1,Y$1=Units!$Q32),IF(Units!$J32&lt;&gt;"",Units!$J32,Mkt!Y33),Inputs!$B$15*Mkt!Y33+(1-Inputs!$B$15)*MIN(Mkt!Y33,X33*(1+Inputs!$B$18))),X33)))</f>
        <v>1570.75</v>
      </c>
      <c r="Z33" s="11" t="n">
        <f aca="false">IF(Z$1&lt;Units!$P32,0,IF(AND(Units!$K32=0,Z$1=Units!$O32),Units!$R32,IF(AND(Z$1&gt;=Units!$Q32,MOD(Z$1-Units!$Q32,12)=0),IF(AND(Units!$L32=1,Z$1=Units!$Q32),IF(Units!$J32&lt;&gt;"",Units!$J32,Mkt!Z33),Inputs!$B$15*Mkt!Z33+(1-Inputs!$B$15)*MIN(Mkt!Z33,Y33*(1+Inputs!$B$18))),Y33)))</f>
        <v>1570.75</v>
      </c>
      <c r="AA33" s="11" t="n">
        <f aca="false">IF(AA$1&lt;Units!$P32,0,IF(AND(Units!$K32=0,AA$1=Units!$O32),Units!$R32,IF(AND(AA$1&gt;=Units!$Q32,MOD(AA$1-Units!$Q32,12)=0),IF(AND(Units!$L32=1,AA$1=Units!$Q32),IF(Units!$J32&lt;&gt;"",Units!$J32,Mkt!AA33),Inputs!$B$15*Mkt!AA33+(1-Inputs!$B$15)*MIN(Mkt!AA33,Z33*(1+Inputs!$B$18))),Z33)))</f>
        <v>1617.8725</v>
      </c>
      <c r="AB33" s="11" t="n">
        <f aca="false">IF(AB$1&lt;Units!$P32,0,IF(AND(Units!$K32=0,AB$1=Units!$O32),Units!$R32,IF(AND(AB$1&gt;=Units!$Q32,MOD(AB$1-Units!$Q32,12)=0),IF(AND(Units!$L32=1,AB$1=Units!$Q32),IF(Units!$J32&lt;&gt;"",Units!$J32,Mkt!AB33),Inputs!$B$15*Mkt!AB33+(1-Inputs!$B$15)*MIN(Mkt!AB33,AA33*(1+Inputs!$B$18))),AA33)))</f>
        <v>1617.8725</v>
      </c>
      <c r="AC33" s="11" t="n">
        <f aca="false">IF(AC$1&lt;Units!$P32,0,IF(AND(Units!$K32=0,AC$1=Units!$O32),Units!$R32,IF(AND(AC$1&gt;=Units!$Q32,MOD(AC$1-Units!$Q32,12)=0),IF(AND(Units!$L32=1,AC$1=Units!$Q32),IF(Units!$J32&lt;&gt;"",Units!$J32,Mkt!AC33),Inputs!$B$15*Mkt!AC33+(1-Inputs!$B$15)*MIN(Mkt!AC33,AB33*(1+Inputs!$B$18))),AB33)))</f>
        <v>1617.8725</v>
      </c>
      <c r="AD33" s="11" t="n">
        <f aca="false">IF(AD$1&lt;Units!$P32,0,IF(AND(Units!$K32=0,AD$1=Units!$O32),Units!$R32,IF(AND(AD$1&gt;=Units!$Q32,MOD(AD$1-Units!$Q32,12)=0),IF(AND(Units!$L32=1,AD$1=Units!$Q32),IF(Units!$J32&lt;&gt;"",Units!$J32,Mkt!AD33),Inputs!$B$15*Mkt!AD33+(1-Inputs!$B$15)*MIN(Mkt!AD33,AC33*(1+Inputs!$B$18))),AC33)))</f>
        <v>1617.8725</v>
      </c>
      <c r="AE33" s="11" t="n">
        <f aca="false">IF(AE$1&lt;Units!$P32,0,IF(AND(Units!$K32=0,AE$1=Units!$O32),Units!$R32,IF(AND(AE$1&gt;=Units!$Q32,MOD(AE$1-Units!$Q32,12)=0),IF(AND(Units!$L32=1,AE$1=Units!$Q32),IF(Units!$J32&lt;&gt;"",Units!$J32,Mkt!AE33),Inputs!$B$15*Mkt!AE33+(1-Inputs!$B$15)*MIN(Mkt!AE33,AD33*(1+Inputs!$B$18))),AD33)))</f>
        <v>1617.8725</v>
      </c>
      <c r="AF33" s="11" t="n">
        <f aca="false">IF(AF$1&lt;Units!$P32,0,IF(AND(Units!$K32=0,AF$1=Units!$O32),Units!$R32,IF(AND(AF$1&gt;=Units!$Q32,MOD(AF$1-Units!$Q32,12)=0),IF(AND(Units!$L32=1,AF$1=Units!$Q32),IF(Units!$J32&lt;&gt;"",Units!$J32,Mkt!AF33),Inputs!$B$15*Mkt!AF33+(1-Inputs!$B$15)*MIN(Mkt!AF33,AE33*(1+Inputs!$B$18))),AE33)))</f>
        <v>1617.8725</v>
      </c>
      <c r="AG33" s="11" t="n">
        <f aca="false">IF(AG$1&lt;Units!$P32,0,IF(AND(Units!$K32=0,AG$1=Units!$O32),Units!$R32,IF(AND(AG$1&gt;=Units!$Q32,MOD(AG$1-Units!$Q32,12)=0),IF(AND(Units!$L32=1,AG$1=Units!$Q32),IF(Units!$J32&lt;&gt;"",Units!$J32,Mkt!AG33),Inputs!$B$15*Mkt!AG33+(1-Inputs!$B$15)*MIN(Mkt!AG33,AF33*(1+Inputs!$B$18))),AF33)))</f>
        <v>1617.8725</v>
      </c>
      <c r="AH33" s="11" t="n">
        <f aca="false">IF(AH$1&lt;Units!$P32,0,IF(AND(Units!$K32=0,AH$1=Units!$O32),Units!$R32,IF(AND(AH$1&gt;=Units!$Q32,MOD(AH$1-Units!$Q32,12)=0),IF(AND(Units!$L32=1,AH$1=Units!$Q32),IF(Units!$J32&lt;&gt;"",Units!$J32,Mkt!AH33),Inputs!$B$15*Mkt!AH33+(1-Inputs!$B$15)*MIN(Mkt!AH33,AG33*(1+Inputs!$B$18))),AG33)))</f>
        <v>1617.8725</v>
      </c>
      <c r="AI33" s="11" t="n">
        <f aca="false">IF(AI$1&lt;Units!$P32,0,IF(AND(Units!$K32=0,AI$1=Units!$O32),Units!$R32,IF(AND(AI$1&gt;=Units!$Q32,MOD(AI$1-Units!$Q32,12)=0),IF(AND(Units!$L32=1,AI$1=Units!$Q32),IF(Units!$J32&lt;&gt;"",Units!$J32,Mkt!AI33),Inputs!$B$15*Mkt!AI33+(1-Inputs!$B$15)*MIN(Mkt!AI33,AH33*(1+Inputs!$B$18))),AH33)))</f>
        <v>1617.8725</v>
      </c>
      <c r="AJ33" s="11" t="n">
        <f aca="false">IF(AJ$1&lt;Units!$P32,0,IF(AND(Units!$K32=0,AJ$1=Units!$O32),Units!$R32,IF(AND(AJ$1&gt;=Units!$Q32,MOD(AJ$1-Units!$Q32,12)=0),IF(AND(Units!$L32=1,AJ$1=Units!$Q32),IF(Units!$J32&lt;&gt;"",Units!$J32,Mkt!AJ33),Inputs!$B$15*Mkt!AJ33+(1-Inputs!$B$15)*MIN(Mkt!AJ33,AI33*(1+Inputs!$B$18))),AI33)))</f>
        <v>1617.8725</v>
      </c>
      <c r="AK33" s="11" t="n">
        <f aca="false">IF(AK$1&lt;Units!$P32,0,IF(AND(Units!$K32=0,AK$1=Units!$O32),Units!$R32,IF(AND(AK$1&gt;=Units!$Q32,MOD(AK$1-Units!$Q32,12)=0),IF(AND(Units!$L32=1,AK$1=Units!$Q32),IF(Units!$J32&lt;&gt;"",Units!$J32,Mkt!AK33),Inputs!$B$15*Mkt!AK33+(1-Inputs!$B$15)*MIN(Mkt!AK33,AJ33*(1+Inputs!$B$18))),AJ33)))</f>
        <v>1617.8725</v>
      </c>
      <c r="AL33" s="11" t="n">
        <f aca="false">IF(AL$1&lt;Units!$P32,0,IF(AND(Units!$K32=0,AL$1=Units!$O32),Units!$R32,IF(AND(AL$1&gt;=Units!$Q32,MOD(AL$1-Units!$Q32,12)=0),IF(AND(Units!$L32=1,AL$1=Units!$Q32),IF(Units!$J32&lt;&gt;"",Units!$J32,Mkt!AL33),Inputs!$B$15*Mkt!AL33+(1-Inputs!$B$15)*MIN(Mkt!AL33,AK33*(1+Inputs!$B$18))),AK33)))</f>
        <v>1617.8725</v>
      </c>
      <c r="AM33" s="11" t="n">
        <f aca="false">IF(AM$1&lt;Units!$P32,0,IF(AND(Units!$K32=0,AM$1=Units!$O32),Units!$R32,IF(AND(AM$1&gt;=Units!$Q32,MOD(AM$1-Units!$Q32,12)=0),IF(AND(Units!$L32=1,AM$1=Units!$Q32),IF(Units!$J32&lt;&gt;"",Units!$J32,Mkt!AM33),Inputs!$B$15*Mkt!AM33+(1-Inputs!$B$15)*MIN(Mkt!AM33,AL33*(1+Inputs!$B$18))),AL33)))</f>
        <v>1666.408675</v>
      </c>
      <c r="AN33" s="11" t="n">
        <f aca="false">IF(AN$1&lt;Units!$P32,0,IF(AND(Units!$K32=0,AN$1=Units!$O32),Units!$R32,IF(AND(AN$1&gt;=Units!$Q32,MOD(AN$1-Units!$Q32,12)=0),IF(AND(Units!$L32=1,AN$1=Units!$Q32),IF(Units!$J32&lt;&gt;"",Units!$J32,Mkt!AN33),Inputs!$B$15*Mkt!AN33+(1-Inputs!$B$15)*MIN(Mkt!AN33,AM33*(1+Inputs!$B$18))),AM33)))</f>
        <v>1666.408675</v>
      </c>
      <c r="AO33" s="11" t="n">
        <f aca="false">IF(AO$1&lt;Units!$P32,0,IF(AND(Units!$K32=0,AO$1=Units!$O32),Units!$R32,IF(AND(AO$1&gt;=Units!$Q32,MOD(AO$1-Units!$Q32,12)=0),IF(AND(Units!$L32=1,AO$1=Units!$Q32),IF(Units!$J32&lt;&gt;"",Units!$J32,Mkt!AO33),Inputs!$B$15*Mkt!AO33+(1-Inputs!$B$15)*MIN(Mkt!AO33,AN33*(1+Inputs!$B$18))),AN33)))</f>
        <v>1666.408675</v>
      </c>
      <c r="AP33" s="11" t="n">
        <f aca="false">IF(AP$1&lt;Units!$P32,0,IF(AND(Units!$K32=0,AP$1=Units!$O32),Units!$R32,IF(AND(AP$1&gt;=Units!$Q32,MOD(AP$1-Units!$Q32,12)=0),IF(AND(Units!$L32=1,AP$1=Units!$Q32),IF(Units!$J32&lt;&gt;"",Units!$J32,Mkt!AP33),Inputs!$B$15*Mkt!AP33+(1-Inputs!$B$15)*MIN(Mkt!AP33,AO33*(1+Inputs!$B$18))),AO33)))</f>
        <v>1666.408675</v>
      </c>
      <c r="AQ33" s="11" t="n">
        <f aca="false">IF(AQ$1&lt;Units!$P32,0,IF(AND(Units!$K32=0,AQ$1=Units!$O32),Units!$R32,IF(AND(AQ$1&gt;=Units!$Q32,MOD(AQ$1-Units!$Q32,12)=0),IF(AND(Units!$L32=1,AQ$1=Units!$Q32),IF(Units!$J32&lt;&gt;"",Units!$J32,Mkt!AQ33),Inputs!$B$15*Mkt!AQ33+(1-Inputs!$B$15)*MIN(Mkt!AQ33,AP33*(1+Inputs!$B$18))),AP33)))</f>
        <v>1666.408675</v>
      </c>
      <c r="AR33" s="11" t="n">
        <f aca="false">IF(AR$1&lt;Units!$P32,0,IF(AND(Units!$K32=0,AR$1=Units!$O32),Units!$R32,IF(AND(AR$1&gt;=Units!$Q32,MOD(AR$1-Units!$Q32,12)=0),IF(AND(Units!$L32=1,AR$1=Units!$Q32),IF(Units!$J32&lt;&gt;"",Units!$J32,Mkt!AR33),Inputs!$B$15*Mkt!AR33+(1-Inputs!$B$15)*MIN(Mkt!AR33,AQ33*(1+Inputs!$B$18))),AQ33)))</f>
        <v>1666.408675</v>
      </c>
      <c r="AS33" s="11" t="n">
        <f aca="false">IF(AS$1&lt;Units!$P32,0,IF(AND(Units!$K32=0,AS$1=Units!$O32),Units!$R32,IF(AND(AS$1&gt;=Units!$Q32,MOD(AS$1-Units!$Q32,12)=0),IF(AND(Units!$L32=1,AS$1=Units!$Q32),IF(Units!$J32&lt;&gt;"",Units!$J32,Mkt!AS33),Inputs!$B$15*Mkt!AS33+(1-Inputs!$B$15)*MIN(Mkt!AS33,AR33*(1+Inputs!$B$18))),AR33)))</f>
        <v>1666.408675</v>
      </c>
      <c r="AT33" s="11" t="n">
        <f aca="false">IF(AT$1&lt;Units!$P32,0,IF(AND(Units!$K32=0,AT$1=Units!$O32),Units!$R32,IF(AND(AT$1&gt;=Units!$Q32,MOD(AT$1-Units!$Q32,12)=0),IF(AND(Units!$L32=1,AT$1=Units!$Q32),IF(Units!$J32&lt;&gt;"",Units!$J32,Mkt!AT33),Inputs!$B$15*Mkt!AT33+(1-Inputs!$B$15)*MIN(Mkt!AT33,AS33*(1+Inputs!$B$18))),AS33)))</f>
        <v>1666.408675</v>
      </c>
      <c r="AU33" s="11" t="n">
        <f aca="false">IF(AU$1&lt;Units!$P32,0,IF(AND(Units!$K32=0,AU$1=Units!$O32),Units!$R32,IF(AND(AU$1&gt;=Units!$Q32,MOD(AU$1-Units!$Q32,12)=0),IF(AND(Units!$L32=1,AU$1=Units!$Q32),IF(Units!$J32&lt;&gt;"",Units!$J32,Mkt!AU33),Inputs!$B$15*Mkt!AU33+(1-Inputs!$B$15)*MIN(Mkt!AU33,AT33*(1+Inputs!$B$18))),AT33)))</f>
        <v>1666.408675</v>
      </c>
      <c r="AV33" s="11" t="n">
        <f aca="false">IF(AV$1&lt;Units!$P32,0,IF(AND(Units!$K32=0,AV$1=Units!$O32),Units!$R32,IF(AND(AV$1&gt;=Units!$Q32,MOD(AV$1-Units!$Q32,12)=0),IF(AND(Units!$L32=1,AV$1=Units!$Q32),IF(Units!$J32&lt;&gt;"",Units!$J32,Mkt!AV33),Inputs!$B$15*Mkt!AV33+(1-Inputs!$B$15)*MIN(Mkt!AV33,AU33*(1+Inputs!$B$18))),AU33)))</f>
        <v>1666.408675</v>
      </c>
      <c r="AW33" s="11" t="n">
        <f aca="false">IF(AW$1&lt;Units!$P32,0,IF(AND(Units!$K32=0,AW$1=Units!$O32),Units!$R32,IF(AND(AW$1&gt;=Units!$Q32,MOD(AW$1-Units!$Q32,12)=0),IF(AND(Units!$L32=1,AW$1=Units!$Q32),IF(Units!$J32&lt;&gt;"",Units!$J32,Mkt!AW33),Inputs!$B$15*Mkt!AW33+(1-Inputs!$B$15)*MIN(Mkt!AW33,AV33*(1+Inputs!$B$18))),AV33)))</f>
        <v>1666.408675</v>
      </c>
      <c r="AX33" s="11" t="n">
        <f aca="false">IF(AX$1&lt;Units!$P32,0,IF(AND(Units!$K32=0,AX$1=Units!$O32),Units!$R32,IF(AND(AX$1&gt;=Units!$Q32,MOD(AX$1-Units!$Q32,12)=0),IF(AND(Units!$L32=1,AX$1=Units!$Q32),IF(Units!$J32&lt;&gt;"",Units!$J32,Mkt!AX33),Inputs!$B$15*Mkt!AX33+(1-Inputs!$B$15)*MIN(Mkt!AX33,AW33*(1+Inputs!$B$18))),AW33)))</f>
        <v>1666.408675</v>
      </c>
      <c r="AY33" s="11" t="n">
        <f aca="false">IF(AY$1&lt;Units!$P32,0,IF(AND(Units!$K32=0,AY$1=Units!$O32),Units!$R32,IF(AND(AY$1&gt;=Units!$Q32,MOD(AY$1-Units!$Q32,12)=0),IF(AND(Units!$L32=1,AY$1=Units!$Q32),IF(Units!$J32&lt;&gt;"",Units!$J32,Mkt!AY33),Inputs!$B$15*Mkt!AY33+(1-Inputs!$B$15)*MIN(Mkt!AY33,AX33*(1+Inputs!$B$18))),AX33)))</f>
        <v>1716.40093525</v>
      </c>
      <c r="AZ33" s="11" t="n">
        <f aca="false">IF(AZ$1&lt;Units!$P32,0,IF(AND(Units!$K32=0,AZ$1=Units!$O32),Units!$R32,IF(AND(AZ$1&gt;=Units!$Q32,MOD(AZ$1-Units!$Q32,12)=0),IF(AND(Units!$L32=1,AZ$1=Units!$Q32),IF(Units!$J32&lt;&gt;"",Units!$J32,Mkt!AZ33),Inputs!$B$15*Mkt!AZ33+(1-Inputs!$B$15)*MIN(Mkt!AZ33,AY33*(1+Inputs!$B$18))),AY33)))</f>
        <v>1716.40093525</v>
      </c>
      <c r="BA33" s="11" t="n">
        <f aca="false">IF(BA$1&lt;Units!$P32,0,IF(AND(Units!$K32=0,BA$1=Units!$O32),Units!$R32,IF(AND(BA$1&gt;=Units!$Q32,MOD(BA$1-Units!$Q32,12)=0),IF(AND(Units!$L32=1,BA$1=Units!$Q32),IF(Units!$J32&lt;&gt;"",Units!$J32,Mkt!BA33),Inputs!$B$15*Mkt!BA33+(1-Inputs!$B$15)*MIN(Mkt!BA33,AZ33*(1+Inputs!$B$18))),AZ33)))</f>
        <v>1716.40093525</v>
      </c>
      <c r="BB33" s="11" t="n">
        <f aca="false">IF(BB$1&lt;Units!$P32,0,IF(AND(Units!$K32=0,BB$1=Units!$O32),Units!$R32,IF(AND(BB$1&gt;=Units!$Q32,MOD(BB$1-Units!$Q32,12)=0),IF(AND(Units!$L32=1,BB$1=Units!$Q32),IF(Units!$J32&lt;&gt;"",Units!$J32,Mkt!BB33),Inputs!$B$15*Mkt!BB33+(1-Inputs!$B$15)*MIN(Mkt!BB33,BA33*(1+Inputs!$B$18))),BA33)))</f>
        <v>1716.40093525</v>
      </c>
      <c r="BC33" s="11" t="n">
        <f aca="false">IF(BC$1&lt;Units!$P32,0,IF(AND(Units!$K32=0,BC$1=Units!$O32),Units!$R32,IF(AND(BC$1&gt;=Units!$Q32,MOD(BC$1-Units!$Q32,12)=0),IF(AND(Units!$L32=1,BC$1=Units!$Q32),IF(Units!$J32&lt;&gt;"",Units!$J32,Mkt!BC33),Inputs!$B$15*Mkt!BC33+(1-Inputs!$B$15)*MIN(Mkt!BC33,BB33*(1+Inputs!$B$18))),BB33)))</f>
        <v>1716.40093525</v>
      </c>
      <c r="BD33" s="11" t="n">
        <f aca="false">IF(BD$1&lt;Units!$P32,0,IF(AND(Units!$K32=0,BD$1=Units!$O32),Units!$R32,IF(AND(BD$1&gt;=Units!$Q32,MOD(BD$1-Units!$Q32,12)=0),IF(AND(Units!$L32=1,BD$1=Units!$Q32),IF(Units!$J32&lt;&gt;"",Units!$J32,Mkt!BD33),Inputs!$B$15*Mkt!BD33+(1-Inputs!$B$15)*MIN(Mkt!BD33,BC33*(1+Inputs!$B$18))),BC33)))</f>
        <v>1716.40093525</v>
      </c>
      <c r="BE33" s="11" t="n">
        <f aca="false">IF(BE$1&lt;Units!$P32,0,IF(AND(Units!$K32=0,BE$1=Units!$O32),Units!$R32,IF(AND(BE$1&gt;=Units!$Q32,MOD(BE$1-Units!$Q32,12)=0),IF(AND(Units!$L32=1,BE$1=Units!$Q32),IF(Units!$J32&lt;&gt;"",Units!$J32,Mkt!BE33),Inputs!$B$15*Mkt!BE33+(1-Inputs!$B$15)*MIN(Mkt!BE33,BD33*(1+Inputs!$B$18))),BD33)))</f>
        <v>1716.40093525</v>
      </c>
      <c r="BF33" s="11" t="n">
        <f aca="false">IF(BF$1&lt;Units!$P32,0,IF(AND(Units!$K32=0,BF$1=Units!$O32),Units!$R32,IF(AND(BF$1&gt;=Units!$Q32,MOD(BF$1-Units!$Q32,12)=0),IF(AND(Units!$L32=1,BF$1=Units!$Q32),IF(Units!$J32&lt;&gt;"",Units!$J32,Mkt!BF33),Inputs!$B$15*Mkt!BF33+(1-Inputs!$B$15)*MIN(Mkt!BF33,BE33*(1+Inputs!$B$18))),BE33)))</f>
        <v>1716.40093525</v>
      </c>
      <c r="BG33" s="11" t="n">
        <f aca="false">IF(BG$1&lt;Units!$P32,0,IF(AND(Units!$K32=0,BG$1=Units!$O32),Units!$R32,IF(AND(BG$1&gt;=Units!$Q32,MOD(BG$1-Units!$Q32,12)=0),IF(AND(Units!$L32=1,BG$1=Units!$Q32),IF(Units!$J32&lt;&gt;"",Units!$J32,Mkt!BG33),Inputs!$B$15*Mkt!BG33+(1-Inputs!$B$15)*MIN(Mkt!BG33,BF33*(1+Inputs!$B$18))),BF33)))</f>
        <v>1716.40093525</v>
      </c>
      <c r="BH33" s="11" t="n">
        <f aca="false">IF(BH$1&lt;Units!$P32,0,IF(AND(Units!$K32=0,BH$1=Units!$O32),Units!$R32,IF(AND(BH$1&gt;=Units!$Q32,MOD(BH$1-Units!$Q32,12)=0),IF(AND(Units!$L32=1,BH$1=Units!$Q32),IF(Units!$J32&lt;&gt;"",Units!$J32,Mkt!BH33),Inputs!$B$15*Mkt!BH33+(1-Inputs!$B$15)*MIN(Mkt!BH33,BG33*(1+Inputs!$B$18))),BG33)))</f>
        <v>1716.40093525</v>
      </c>
      <c r="BI33" s="11" t="n">
        <f aca="false">IF(BI$1&lt;Units!$P32,0,IF(AND(Units!$K32=0,BI$1=Units!$O32),Units!$R32,IF(AND(BI$1&gt;=Units!$Q32,MOD(BI$1-Units!$Q32,12)=0),IF(AND(Units!$L32=1,BI$1=Units!$Q32),IF(Units!$J32&lt;&gt;"",Units!$J32,Mkt!BI33),Inputs!$B$15*Mkt!BI33+(1-Inputs!$B$15)*MIN(Mkt!BI33,BH33*(1+Inputs!$B$18))),BH33)))</f>
        <v>1716.40093525</v>
      </c>
      <c r="BJ33" s="11" t="n">
        <f aca="false">IF(BJ$1&lt;Units!$P32,0,IF(AND(Units!$K32=0,BJ$1=Units!$O32),Units!$R32,IF(AND(BJ$1&gt;=Units!$Q32,MOD(BJ$1-Units!$Q32,12)=0),IF(AND(Units!$L32=1,BJ$1=Units!$Q32),IF(Units!$J32&lt;&gt;"",Units!$J32,Mkt!BJ33),Inputs!$B$15*Mkt!BJ33+(1-Inputs!$B$15)*MIN(Mkt!BJ33,BI33*(1+Inputs!$B$18))),BI33)))</f>
        <v>1716.40093525</v>
      </c>
      <c r="BK33" s="11" t="n">
        <f aca="false">IF(BK$1&lt;Units!$P32,0,IF(AND(Units!$K32=0,BK$1=Units!$O32),Units!$R32,IF(AND(BK$1&gt;=Units!$Q32,MOD(BK$1-Units!$Q32,12)=0),IF(AND(Units!$L32=1,BK$1=Units!$Q32),IF(Units!$J32&lt;&gt;"",Units!$J32,Mkt!BK33),Inputs!$B$15*Mkt!BK33+(1-Inputs!$B$15)*MIN(Mkt!BK33,BJ33*(1+Inputs!$B$18))),BJ33)))</f>
        <v>1767.8929633075</v>
      </c>
      <c r="BL33" s="11" t="n">
        <f aca="false">IF(BL$1&lt;Units!$P32,0,IF(AND(Units!$K32=0,BL$1=Units!$O32),Units!$R32,IF(AND(BL$1&gt;=Units!$Q32,MOD(BL$1-Units!$Q32,12)=0),IF(AND(Units!$L32=1,BL$1=Units!$Q32),IF(Units!$J32&lt;&gt;"",Units!$J32,Mkt!BL33),Inputs!$B$15*Mkt!BL33+(1-Inputs!$B$15)*MIN(Mkt!BL33,BK33*(1+Inputs!$B$18))),BK33)))</f>
        <v>1767.8929633075</v>
      </c>
      <c r="BM33" s="11" t="n">
        <f aca="false">IF(BM$1&lt;Units!$P32,0,IF(AND(Units!$K32=0,BM$1=Units!$O32),Units!$R32,IF(AND(BM$1&gt;=Units!$Q32,MOD(BM$1-Units!$Q32,12)=0),IF(AND(Units!$L32=1,BM$1=Units!$Q32),IF(Units!$J32&lt;&gt;"",Units!$J32,Mkt!BM33),Inputs!$B$15*Mkt!BM33+(1-Inputs!$B$15)*MIN(Mkt!BM33,BL33*(1+Inputs!$B$18))),BL33)))</f>
        <v>1767.8929633075</v>
      </c>
      <c r="BN33" s="11" t="n">
        <f aca="false">IF(BN$1&lt;Units!$P32,0,IF(AND(Units!$K32=0,BN$1=Units!$O32),Units!$R32,IF(AND(BN$1&gt;=Units!$Q32,MOD(BN$1-Units!$Q32,12)=0),IF(AND(Units!$L32=1,BN$1=Units!$Q32),IF(Units!$J32&lt;&gt;"",Units!$J32,Mkt!BN33),Inputs!$B$15*Mkt!BN33+(1-Inputs!$B$15)*MIN(Mkt!BN33,BM33*(1+Inputs!$B$18))),BM33)))</f>
        <v>1767.8929633075</v>
      </c>
      <c r="BO33" s="11" t="n">
        <f aca="false">IF(BO$1&lt;Units!$P32,0,IF(AND(Units!$K32=0,BO$1=Units!$O32),Units!$R32,IF(AND(BO$1&gt;=Units!$Q32,MOD(BO$1-Units!$Q32,12)=0),IF(AND(Units!$L32=1,BO$1=Units!$Q32),IF(Units!$J32&lt;&gt;"",Units!$J32,Mkt!BO33),Inputs!$B$15*Mkt!BO33+(1-Inputs!$B$15)*MIN(Mkt!BO33,BN33*(1+Inputs!$B$18))),BN33)))</f>
        <v>1767.8929633075</v>
      </c>
      <c r="BP33" s="11" t="n">
        <f aca="false">IF(BP$1&lt;Units!$P32,0,IF(AND(Units!$K32=0,BP$1=Units!$O32),Units!$R32,IF(AND(BP$1&gt;=Units!$Q32,MOD(BP$1-Units!$Q32,12)=0),IF(AND(Units!$L32=1,BP$1=Units!$Q32),IF(Units!$J32&lt;&gt;"",Units!$J32,Mkt!BP33),Inputs!$B$15*Mkt!BP33+(1-Inputs!$B$15)*MIN(Mkt!BP33,BO33*(1+Inputs!$B$18))),BO33)))</f>
        <v>1767.8929633075</v>
      </c>
      <c r="BQ33" s="11" t="n">
        <f aca="false">IF(BQ$1&lt;Units!$P32,0,IF(AND(Units!$K32=0,BQ$1=Units!$O32),Units!$R32,IF(AND(BQ$1&gt;=Units!$Q32,MOD(BQ$1-Units!$Q32,12)=0),IF(AND(Units!$L32=1,BQ$1=Units!$Q32),IF(Units!$J32&lt;&gt;"",Units!$J32,Mkt!BQ33),Inputs!$B$15*Mkt!BQ33+(1-Inputs!$B$15)*MIN(Mkt!BQ33,BP33*(1+Inputs!$B$18))),BP33)))</f>
        <v>1767.8929633075</v>
      </c>
      <c r="BR33" s="11" t="n">
        <f aca="false">IF(BR$1&lt;Units!$P32,0,IF(AND(Units!$K32=0,BR$1=Units!$O32),Units!$R32,IF(AND(BR$1&gt;=Units!$Q32,MOD(BR$1-Units!$Q32,12)=0),IF(AND(Units!$L32=1,BR$1=Units!$Q32),IF(Units!$J32&lt;&gt;"",Units!$J32,Mkt!BR33),Inputs!$B$15*Mkt!BR33+(1-Inputs!$B$15)*MIN(Mkt!BR33,BQ33*(1+Inputs!$B$18))),BQ33)))</f>
        <v>1767.8929633075</v>
      </c>
      <c r="BS33" s="11" t="n">
        <f aca="false">IF(BS$1&lt;Units!$P32,0,IF(AND(Units!$K32=0,BS$1=Units!$O32),Units!$R32,IF(AND(BS$1&gt;=Units!$Q32,MOD(BS$1-Units!$Q32,12)=0),IF(AND(Units!$L32=1,BS$1=Units!$Q32),IF(Units!$J32&lt;&gt;"",Units!$J32,Mkt!BS33),Inputs!$B$15*Mkt!BS33+(1-Inputs!$B$15)*MIN(Mkt!BS33,BR33*(1+Inputs!$B$18))),BR33)))</f>
        <v>1767.8929633075</v>
      </c>
      <c r="BT33" s="11" t="n">
        <f aca="false">IF(BT$1&lt;Units!$P32,0,IF(AND(Units!$K32=0,BT$1=Units!$O32),Units!$R32,IF(AND(BT$1&gt;=Units!$Q32,MOD(BT$1-Units!$Q32,12)=0),IF(AND(Units!$L32=1,BT$1=Units!$Q32),IF(Units!$J32&lt;&gt;"",Units!$J32,Mkt!BT33),Inputs!$B$15*Mkt!BT33+(1-Inputs!$B$15)*MIN(Mkt!BT33,BS33*(1+Inputs!$B$18))),BS33)))</f>
        <v>1767.8929633075</v>
      </c>
      <c r="BU33" s="11" t="n">
        <f aca="false">IF(BU$1&lt;Units!$P32,0,IF(AND(Units!$K32=0,BU$1=Units!$O32),Units!$R32,IF(AND(BU$1&gt;=Units!$Q32,MOD(BU$1-Units!$Q32,12)=0),IF(AND(Units!$L32=1,BU$1=Units!$Q32),IF(Units!$J32&lt;&gt;"",Units!$J32,Mkt!BU33),Inputs!$B$15*Mkt!BU33+(1-Inputs!$B$15)*MIN(Mkt!BU33,BT33*(1+Inputs!$B$18))),BT33)))</f>
        <v>1767.8929633075</v>
      </c>
      <c r="BV33" s="11" t="n">
        <f aca="false">IF(BV$1&lt;Units!$P32,0,IF(AND(Units!$K32=0,BV$1=Units!$O32),Units!$R32,IF(AND(BV$1&gt;=Units!$Q32,MOD(BV$1-Units!$Q32,12)=0),IF(AND(Units!$L32=1,BV$1=Units!$Q32),IF(Units!$J32&lt;&gt;"",Units!$J32,Mkt!BV33),Inputs!$B$15*Mkt!BV33+(1-Inputs!$B$15)*MIN(Mkt!BV33,BU33*(1+Inputs!$B$18))),BU33)))</f>
        <v>1767.8929633075</v>
      </c>
      <c r="BW33" s="11" t="n">
        <f aca="false">IF(BW$1&lt;Units!$P32,0,IF(AND(Units!$K32=0,BW$1=Units!$O32),Units!$R32,IF(AND(BW$1&gt;=Units!$Q32,MOD(BW$1-Units!$Q32,12)=0),IF(AND(Units!$L32=1,BW$1=Units!$Q32),IF(Units!$J32&lt;&gt;"",Units!$J32,Mkt!BW33),Inputs!$B$15*Mkt!BW33+(1-Inputs!$B$15)*MIN(Mkt!BW33,BV33*(1+Inputs!$B$18))),BV33)))</f>
        <v>1820.92975220673</v>
      </c>
      <c r="BX33" s="11" t="n">
        <f aca="false">IF(BX$1&lt;Units!$P32,0,IF(AND(Units!$K32=0,BX$1=Units!$O32),Units!$R32,IF(AND(BX$1&gt;=Units!$Q32,MOD(BX$1-Units!$Q32,12)=0),IF(AND(Units!$L32=1,BX$1=Units!$Q32),IF(Units!$J32&lt;&gt;"",Units!$J32,Mkt!BX33),Inputs!$B$15*Mkt!BX33+(1-Inputs!$B$15)*MIN(Mkt!BX33,BW33*(1+Inputs!$B$18))),BW33)))</f>
        <v>1820.92975220673</v>
      </c>
      <c r="BY33" s="11" t="n">
        <f aca="false">IF(BY$1&lt;Units!$P32,0,IF(AND(Units!$K32=0,BY$1=Units!$O32),Units!$R32,IF(AND(BY$1&gt;=Units!$Q32,MOD(BY$1-Units!$Q32,12)=0),IF(AND(Units!$L32=1,BY$1=Units!$Q32),IF(Units!$J32&lt;&gt;"",Units!$J32,Mkt!BY33),Inputs!$B$15*Mkt!BY33+(1-Inputs!$B$15)*MIN(Mkt!BY33,BX33*(1+Inputs!$B$18))),BX33)))</f>
        <v>1820.92975220673</v>
      </c>
      <c r="BZ33" s="11" t="n">
        <f aca="false">IF(BZ$1&lt;Units!$P32,0,IF(AND(Units!$K32=0,BZ$1=Units!$O32),Units!$R32,IF(AND(BZ$1&gt;=Units!$Q32,MOD(BZ$1-Units!$Q32,12)=0),IF(AND(Units!$L32=1,BZ$1=Units!$Q32),IF(Units!$J32&lt;&gt;"",Units!$J32,Mkt!BZ33),Inputs!$B$15*Mkt!BZ33+(1-Inputs!$B$15)*MIN(Mkt!BZ33,BY33*(1+Inputs!$B$18))),BY33)))</f>
        <v>1820.92975220673</v>
      </c>
      <c r="CA33" s="11" t="n">
        <f aca="false">IF(CA$1&lt;Units!$P32,0,IF(AND(Units!$K32=0,CA$1=Units!$O32),Units!$R32,IF(AND(CA$1&gt;=Units!$Q32,MOD(CA$1-Units!$Q32,12)=0),IF(AND(Units!$L32=1,CA$1=Units!$Q32),IF(Units!$J32&lt;&gt;"",Units!$J32,Mkt!CA33),Inputs!$B$15*Mkt!CA33+(1-Inputs!$B$15)*MIN(Mkt!CA33,BZ33*(1+Inputs!$B$18))),BZ33)))</f>
        <v>1820.92975220673</v>
      </c>
      <c r="CB33" s="11" t="n">
        <f aca="false">IF(CB$1&lt;Units!$P32,0,IF(AND(Units!$K32=0,CB$1=Units!$O32),Units!$R32,IF(AND(CB$1&gt;=Units!$Q32,MOD(CB$1-Units!$Q32,12)=0),IF(AND(Units!$L32=1,CB$1=Units!$Q32),IF(Units!$J32&lt;&gt;"",Units!$J32,Mkt!CB33),Inputs!$B$15*Mkt!CB33+(1-Inputs!$B$15)*MIN(Mkt!CB33,CA33*(1+Inputs!$B$18))),CA33)))</f>
        <v>1820.92975220673</v>
      </c>
      <c r="CC33" s="11" t="n">
        <f aca="false">IF(CC$1&lt;Units!$P32,0,IF(AND(Units!$K32=0,CC$1=Units!$O32),Units!$R32,IF(AND(CC$1&gt;=Units!$Q32,MOD(CC$1-Units!$Q32,12)=0),IF(AND(Units!$L32=1,CC$1=Units!$Q32),IF(Units!$J32&lt;&gt;"",Units!$J32,Mkt!CC33),Inputs!$B$15*Mkt!CC33+(1-Inputs!$B$15)*MIN(Mkt!CC33,CB33*(1+Inputs!$B$18))),CB33)))</f>
        <v>1820.92975220673</v>
      </c>
      <c r="CD33" s="11" t="n">
        <f aca="false">IF(CD$1&lt;Units!$P32,0,IF(AND(Units!$K32=0,CD$1=Units!$O32),Units!$R32,IF(AND(CD$1&gt;=Units!$Q32,MOD(CD$1-Units!$Q32,12)=0),IF(AND(Units!$L32=1,CD$1=Units!$Q32),IF(Units!$J32&lt;&gt;"",Units!$J32,Mkt!CD33),Inputs!$B$15*Mkt!CD33+(1-Inputs!$B$15)*MIN(Mkt!CD33,CC33*(1+Inputs!$B$18))),CC33)))</f>
        <v>1820.92975220673</v>
      </c>
      <c r="CE33" s="11" t="n">
        <f aca="false">IF(CE$1&lt;Units!$P32,0,IF(AND(Units!$K32=0,CE$1=Units!$O32),Units!$R32,IF(AND(CE$1&gt;=Units!$Q32,MOD(CE$1-Units!$Q32,12)=0),IF(AND(Units!$L32=1,CE$1=Units!$Q32),IF(Units!$J32&lt;&gt;"",Units!$J32,Mkt!CE33),Inputs!$B$15*Mkt!CE33+(1-Inputs!$B$15)*MIN(Mkt!CE33,CD33*(1+Inputs!$B$18))),CD33)))</f>
        <v>1820.92975220673</v>
      </c>
      <c r="CF33" s="11" t="n">
        <f aca="false">IF(CF$1&lt;Units!$P32,0,IF(AND(Units!$K32=0,CF$1=Units!$O32),Units!$R32,IF(AND(CF$1&gt;=Units!$Q32,MOD(CF$1-Units!$Q32,12)=0),IF(AND(Units!$L32=1,CF$1=Units!$Q32),IF(Units!$J32&lt;&gt;"",Units!$J32,Mkt!CF33),Inputs!$B$15*Mkt!CF33+(1-Inputs!$B$15)*MIN(Mkt!CF33,CE33*(1+Inputs!$B$18))),CE33)))</f>
        <v>1820.92975220673</v>
      </c>
      <c r="CG33" s="11" t="n">
        <f aca="false">IF(CG$1&lt;Units!$P32,0,IF(AND(Units!$K32=0,CG$1=Units!$O32),Units!$R32,IF(AND(CG$1&gt;=Units!$Q32,MOD(CG$1-Units!$Q32,12)=0),IF(AND(Units!$L32=1,CG$1=Units!$Q32),IF(Units!$J32&lt;&gt;"",Units!$J32,Mkt!CG33),Inputs!$B$15*Mkt!CG33+(1-Inputs!$B$15)*MIN(Mkt!CG33,CF33*(1+Inputs!$B$18))),CF33)))</f>
        <v>1820.92975220673</v>
      </c>
      <c r="CH33" s="11" t="n">
        <f aca="false">IF(CH$1&lt;Units!$P32,0,IF(AND(Units!$K32=0,CH$1=Units!$O32),Units!$R32,IF(AND(CH$1&gt;=Units!$Q32,MOD(CH$1-Units!$Q32,12)=0),IF(AND(Units!$L32=1,CH$1=Units!$Q32),IF(Units!$J32&lt;&gt;"",Units!$J32,Mkt!CH33),Inputs!$B$15*Mkt!CH33+(1-Inputs!$B$15)*MIN(Mkt!CH33,CG33*(1+Inputs!$B$18))),CG33)))</f>
        <v>1820.92975220673</v>
      </c>
      <c r="CI33" s="11" t="n">
        <f aca="false">IF(CI$1&lt;Units!$P32,0,IF(AND(Units!$K32=0,CI$1=Units!$O32),Units!$R32,IF(AND(CI$1&gt;=Units!$Q32,MOD(CI$1-Units!$Q32,12)=0),IF(AND(Units!$L32=1,CI$1=Units!$Q32),IF(Units!$J32&lt;&gt;"",Units!$J32,Mkt!CI33),Inputs!$B$15*Mkt!CI33+(1-Inputs!$B$15)*MIN(Mkt!CI33,CH33*(1+Inputs!$B$18))),CH33)))</f>
        <v>1875.55764477293</v>
      </c>
      <c r="CJ33" s="11" t="n">
        <f aca="false">IF(CJ$1&lt;Units!$P32,0,IF(AND(Units!$K32=0,CJ$1=Units!$O32),Units!$R32,IF(AND(CJ$1&gt;=Units!$Q32,MOD(CJ$1-Units!$Q32,12)=0),IF(AND(Units!$L32=1,CJ$1=Units!$Q32),IF(Units!$J32&lt;&gt;"",Units!$J32,Mkt!CJ33),Inputs!$B$15*Mkt!CJ33+(1-Inputs!$B$15)*MIN(Mkt!CJ33,CI33*(1+Inputs!$B$18))),CI33)))</f>
        <v>1875.55764477293</v>
      </c>
      <c r="CK33" s="11" t="n">
        <f aca="false">IF(CK$1&lt;Units!$P32,0,IF(AND(Units!$K32=0,CK$1=Units!$O32),Units!$R32,IF(AND(CK$1&gt;=Units!$Q32,MOD(CK$1-Units!$Q32,12)=0),IF(AND(Units!$L32=1,CK$1=Units!$Q32),IF(Units!$J32&lt;&gt;"",Units!$J32,Mkt!CK33),Inputs!$B$15*Mkt!CK33+(1-Inputs!$B$15)*MIN(Mkt!CK33,CJ33*(1+Inputs!$B$18))),CJ33)))</f>
        <v>1875.55764477293</v>
      </c>
      <c r="CL33" s="11" t="n">
        <f aca="false">IF(CL$1&lt;Units!$P32,0,IF(AND(Units!$K32=0,CL$1=Units!$O32),Units!$R32,IF(AND(CL$1&gt;=Units!$Q32,MOD(CL$1-Units!$Q32,12)=0),IF(AND(Units!$L32=1,CL$1=Units!$Q32),IF(Units!$J32&lt;&gt;"",Units!$J32,Mkt!CL33),Inputs!$B$15*Mkt!CL33+(1-Inputs!$B$15)*MIN(Mkt!CL33,CK33*(1+Inputs!$B$18))),CK33)))</f>
        <v>1875.55764477293</v>
      </c>
      <c r="CM33" s="11" t="n">
        <f aca="false">IF(CM$1&lt;Units!$P32,0,IF(AND(Units!$K32=0,CM$1=Units!$O32),Units!$R32,IF(AND(CM$1&gt;=Units!$Q32,MOD(CM$1-Units!$Q32,12)=0),IF(AND(Units!$L32=1,CM$1=Units!$Q32),IF(Units!$J32&lt;&gt;"",Units!$J32,Mkt!CM33),Inputs!$B$15*Mkt!CM33+(1-Inputs!$B$15)*MIN(Mkt!CM33,CL33*(1+Inputs!$B$18))),CL33)))</f>
        <v>1875.55764477293</v>
      </c>
      <c r="CN33" s="11" t="n">
        <f aca="false">IF(CN$1&lt;Units!$P32,0,IF(AND(Units!$K32=0,CN$1=Units!$O32),Units!$R32,IF(AND(CN$1&gt;=Units!$Q32,MOD(CN$1-Units!$Q32,12)=0),IF(AND(Units!$L32=1,CN$1=Units!$Q32),IF(Units!$J32&lt;&gt;"",Units!$J32,Mkt!CN33),Inputs!$B$15*Mkt!CN33+(1-Inputs!$B$15)*MIN(Mkt!CN33,CM33*(1+Inputs!$B$18))),CM33)))</f>
        <v>1875.55764477293</v>
      </c>
      <c r="CO33" s="11" t="n">
        <f aca="false">IF(CO$1&lt;Units!$P32,0,IF(AND(Units!$K32=0,CO$1=Units!$O32),Units!$R32,IF(AND(CO$1&gt;=Units!$Q32,MOD(CO$1-Units!$Q32,12)=0),IF(AND(Units!$L32=1,CO$1=Units!$Q32),IF(Units!$J32&lt;&gt;"",Units!$J32,Mkt!CO33),Inputs!$B$15*Mkt!CO33+(1-Inputs!$B$15)*MIN(Mkt!CO33,CN33*(1+Inputs!$B$18))),CN33)))</f>
        <v>1875.55764477293</v>
      </c>
      <c r="CP33" s="11" t="n">
        <f aca="false">IF(CP$1&lt;Units!$P32,0,IF(AND(Units!$K32=0,CP$1=Units!$O32),Units!$R32,IF(AND(CP$1&gt;=Units!$Q32,MOD(CP$1-Units!$Q32,12)=0),IF(AND(Units!$L32=1,CP$1=Units!$Q32),IF(Units!$J32&lt;&gt;"",Units!$J32,Mkt!CP33),Inputs!$B$15*Mkt!CP33+(1-Inputs!$B$15)*MIN(Mkt!CP33,CO33*(1+Inputs!$B$18))),CO33)))</f>
        <v>1875.55764477293</v>
      </c>
      <c r="CQ33" s="11" t="n">
        <f aca="false">IF(CQ$1&lt;Units!$P32,0,IF(AND(Units!$K32=0,CQ$1=Units!$O32),Units!$R32,IF(AND(CQ$1&gt;=Units!$Q32,MOD(CQ$1-Units!$Q32,12)=0),IF(AND(Units!$L32=1,CQ$1=Units!$Q32),IF(Units!$J32&lt;&gt;"",Units!$J32,Mkt!CQ33),Inputs!$B$15*Mkt!CQ33+(1-Inputs!$B$15)*MIN(Mkt!CQ33,CP33*(1+Inputs!$B$18))),CP33)))</f>
        <v>1875.55764477293</v>
      </c>
      <c r="CR33" s="11" t="n">
        <f aca="false">IF(CR$1&lt;Units!$P32,0,IF(AND(Units!$K32=0,CR$1=Units!$O32),Units!$R32,IF(AND(CR$1&gt;=Units!$Q32,MOD(CR$1-Units!$Q32,12)=0),IF(AND(Units!$L32=1,CR$1=Units!$Q32),IF(Units!$J32&lt;&gt;"",Units!$J32,Mkt!CR33),Inputs!$B$15*Mkt!CR33+(1-Inputs!$B$15)*MIN(Mkt!CR33,CQ33*(1+Inputs!$B$18))),CQ33)))</f>
        <v>1875.55764477293</v>
      </c>
      <c r="CS33" s="11" t="n">
        <f aca="false">IF(CS$1&lt;Units!$P32,0,IF(AND(Units!$K32=0,CS$1=Units!$O32),Units!$R32,IF(AND(CS$1&gt;=Units!$Q32,MOD(CS$1-Units!$Q32,12)=0),IF(AND(Units!$L32=1,CS$1=Units!$Q32),IF(Units!$J32&lt;&gt;"",Units!$J32,Mkt!CS33),Inputs!$B$15*Mkt!CS33+(1-Inputs!$B$15)*MIN(Mkt!CS33,CR33*(1+Inputs!$B$18))),CR33)))</f>
        <v>1875.55764477293</v>
      </c>
      <c r="CT33" s="11" t="n">
        <f aca="false">IF(CT$1&lt;Units!$P32,0,IF(AND(Units!$K32=0,CT$1=Units!$O32),Units!$R32,IF(AND(CT$1&gt;=Units!$Q32,MOD(CT$1-Units!$Q32,12)=0),IF(AND(Units!$L32=1,CT$1=Units!$Q32),IF(Units!$J32&lt;&gt;"",Units!$J32,Mkt!CT33),Inputs!$B$15*Mkt!CT33+(1-Inputs!$B$15)*MIN(Mkt!CT33,CS33*(1+Inputs!$B$18))),CS33)))</f>
        <v>1875.55764477293</v>
      </c>
      <c r="CU33" s="11" t="n">
        <f aca="false">IF(CU$1&lt;Units!$P32,0,IF(AND(Units!$K32=0,CU$1=Units!$O32),Units!$R32,IF(AND(CU$1&gt;=Units!$Q32,MOD(CU$1-Units!$Q32,12)=0),IF(AND(Units!$L32=1,CU$1=Units!$Q32),IF(Units!$J32&lt;&gt;"",Units!$J32,Mkt!CU33),Inputs!$B$15*Mkt!CU33+(1-Inputs!$B$15)*MIN(Mkt!CU33,CT33*(1+Inputs!$B$18))),CT33)))</f>
        <v>1931.82437411612</v>
      </c>
      <c r="CV33" s="11" t="n">
        <f aca="false">IF(CV$1&lt;Units!$P32,0,IF(AND(Units!$K32=0,CV$1=Units!$O32),Units!$R32,IF(AND(CV$1&gt;=Units!$Q32,MOD(CV$1-Units!$Q32,12)=0),IF(AND(Units!$L32=1,CV$1=Units!$Q32),IF(Units!$J32&lt;&gt;"",Units!$J32,Mkt!CV33),Inputs!$B$15*Mkt!CV33+(1-Inputs!$B$15)*MIN(Mkt!CV33,CU33*(1+Inputs!$B$18))),CU33)))</f>
        <v>1931.82437411612</v>
      </c>
      <c r="CW33" s="11" t="n">
        <f aca="false">IF(CW$1&lt;Units!$P32,0,IF(AND(Units!$K32=0,CW$1=Units!$O32),Units!$R32,IF(AND(CW$1&gt;=Units!$Q32,MOD(CW$1-Units!$Q32,12)=0),IF(AND(Units!$L32=1,CW$1=Units!$Q32),IF(Units!$J32&lt;&gt;"",Units!$J32,Mkt!CW33),Inputs!$B$15*Mkt!CW33+(1-Inputs!$B$15)*MIN(Mkt!CW33,CV33*(1+Inputs!$B$18))),CV33)))</f>
        <v>1931.82437411612</v>
      </c>
      <c r="CX33" s="11" t="n">
        <f aca="false">IF(CX$1&lt;Units!$P32,0,IF(AND(Units!$K32=0,CX$1=Units!$O32),Units!$R32,IF(AND(CX$1&gt;=Units!$Q32,MOD(CX$1-Units!$Q32,12)=0),IF(AND(Units!$L32=1,CX$1=Units!$Q32),IF(Units!$J32&lt;&gt;"",Units!$J32,Mkt!CX33),Inputs!$B$15*Mkt!CX33+(1-Inputs!$B$15)*MIN(Mkt!CX33,CW33*(1+Inputs!$B$18))),CW33)))</f>
        <v>1931.82437411612</v>
      </c>
      <c r="CY33" s="11" t="n">
        <f aca="false">IF(CY$1&lt;Units!$P32,0,IF(AND(Units!$K32=0,CY$1=Units!$O32),Units!$R32,IF(AND(CY$1&gt;=Units!$Q32,MOD(CY$1-Units!$Q32,12)=0),IF(AND(Units!$L32=1,CY$1=Units!$Q32),IF(Units!$J32&lt;&gt;"",Units!$J32,Mkt!CY33),Inputs!$B$15*Mkt!CY33+(1-Inputs!$B$15)*MIN(Mkt!CY33,CX33*(1+Inputs!$B$18))),CX33)))</f>
        <v>1931.82437411612</v>
      </c>
      <c r="CZ33" s="11" t="n">
        <f aca="false">IF(CZ$1&lt;Units!$P32,0,IF(AND(Units!$K32=0,CZ$1=Units!$O32),Units!$R32,IF(AND(CZ$1&gt;=Units!$Q32,MOD(CZ$1-Units!$Q32,12)=0),IF(AND(Units!$L32=1,CZ$1=Units!$Q32),IF(Units!$J32&lt;&gt;"",Units!$J32,Mkt!CZ33),Inputs!$B$15*Mkt!CZ33+(1-Inputs!$B$15)*MIN(Mkt!CZ33,CY33*(1+Inputs!$B$18))),CY33)))</f>
        <v>1931.82437411612</v>
      </c>
      <c r="DA33" s="11" t="n">
        <f aca="false">IF(DA$1&lt;Units!$P32,0,IF(AND(Units!$K32=0,DA$1=Units!$O32),Units!$R32,IF(AND(DA$1&gt;=Units!$Q32,MOD(DA$1-Units!$Q32,12)=0),IF(AND(Units!$L32=1,DA$1=Units!$Q32),IF(Units!$J32&lt;&gt;"",Units!$J32,Mkt!DA33),Inputs!$B$15*Mkt!DA33+(1-Inputs!$B$15)*MIN(Mkt!DA33,CZ33*(1+Inputs!$B$18))),CZ33)))</f>
        <v>1931.82437411612</v>
      </c>
      <c r="DB33" s="11" t="n">
        <f aca="false">IF(DB$1&lt;Units!$P32,0,IF(AND(Units!$K32=0,DB$1=Units!$O32),Units!$R32,IF(AND(DB$1&gt;=Units!$Q32,MOD(DB$1-Units!$Q32,12)=0),IF(AND(Units!$L32=1,DB$1=Units!$Q32),IF(Units!$J32&lt;&gt;"",Units!$J32,Mkt!DB33),Inputs!$B$15*Mkt!DB33+(1-Inputs!$B$15)*MIN(Mkt!DB33,DA33*(1+Inputs!$B$18))),DA33)))</f>
        <v>1931.82437411612</v>
      </c>
      <c r="DC33" s="11" t="n">
        <f aca="false">IF(DC$1&lt;Units!$P32,0,IF(AND(Units!$K32=0,DC$1=Units!$O32),Units!$R32,IF(AND(DC$1&gt;=Units!$Q32,MOD(DC$1-Units!$Q32,12)=0),IF(AND(Units!$L32=1,DC$1=Units!$Q32),IF(Units!$J32&lt;&gt;"",Units!$J32,Mkt!DC33),Inputs!$B$15*Mkt!DC33+(1-Inputs!$B$15)*MIN(Mkt!DC33,DB33*(1+Inputs!$B$18))),DB33)))</f>
        <v>1931.82437411612</v>
      </c>
      <c r="DD33" s="11" t="n">
        <f aca="false">IF(DD$1&lt;Units!$P32,0,IF(AND(Units!$K32=0,DD$1=Units!$O32),Units!$R32,IF(AND(DD$1&gt;=Units!$Q32,MOD(DD$1-Units!$Q32,12)=0),IF(AND(Units!$L32=1,DD$1=Units!$Q32),IF(Units!$J32&lt;&gt;"",Units!$J32,Mkt!DD33),Inputs!$B$15*Mkt!DD33+(1-Inputs!$B$15)*MIN(Mkt!DD33,DC33*(1+Inputs!$B$18))),DC33)))</f>
        <v>1931.82437411612</v>
      </c>
      <c r="DE33" s="11" t="n">
        <f aca="false">IF(DE$1&lt;Units!$P32,0,IF(AND(Units!$K32=0,DE$1=Units!$O32),Units!$R32,IF(AND(DE$1&gt;=Units!$Q32,MOD(DE$1-Units!$Q32,12)=0),IF(AND(Units!$L32=1,DE$1=Units!$Q32),IF(Units!$J32&lt;&gt;"",Units!$J32,Mkt!DE33),Inputs!$B$15*Mkt!DE33+(1-Inputs!$B$15)*MIN(Mkt!DE33,DD33*(1+Inputs!$B$18))),DD33)))</f>
        <v>1931.82437411612</v>
      </c>
      <c r="DF33" s="11" t="n">
        <f aca="false">IF(DF$1&lt;Units!$P32,0,IF(AND(Units!$K32=0,DF$1=Units!$O32),Units!$R32,IF(AND(DF$1&gt;=Units!$Q32,MOD(DF$1-Units!$Q32,12)=0),IF(AND(Units!$L32=1,DF$1=Units!$Q32),IF(Units!$J32&lt;&gt;"",Units!$J32,Mkt!DF33),Inputs!$B$15*Mkt!DF33+(1-Inputs!$B$15)*MIN(Mkt!DF33,DE33*(1+Inputs!$B$18))),DE33)))</f>
        <v>1931.82437411612</v>
      </c>
      <c r="DG33" s="11" t="n">
        <f aca="false">IF(DG$1&lt;Units!$P32,0,IF(AND(Units!$K32=0,DG$1=Units!$O32),Units!$R32,IF(AND(DG$1&gt;=Units!$Q32,MOD(DG$1-Units!$Q32,12)=0),IF(AND(Units!$L32=1,DG$1=Units!$Q32),IF(Units!$J32&lt;&gt;"",Units!$J32,Mkt!DG33),Inputs!$B$15*Mkt!DG33+(1-Inputs!$B$15)*MIN(Mkt!DG33,DF33*(1+Inputs!$B$18))),DF33)))</f>
        <v>1989.7791053396</v>
      </c>
      <c r="DH33" s="11" t="n">
        <f aca="false">IF(DH$1&lt;Units!$P32,0,IF(AND(Units!$K32=0,DH$1=Units!$O32),Units!$R32,IF(AND(DH$1&gt;=Units!$Q32,MOD(DH$1-Units!$Q32,12)=0),IF(AND(Units!$L32=1,DH$1=Units!$Q32),IF(Units!$J32&lt;&gt;"",Units!$J32,Mkt!DH33),Inputs!$B$15*Mkt!DH33+(1-Inputs!$B$15)*MIN(Mkt!DH33,DG33*(1+Inputs!$B$18))),DG33)))</f>
        <v>1989.7791053396</v>
      </c>
      <c r="DI33" s="11" t="n">
        <f aca="false">IF(DI$1&lt;Units!$P32,0,IF(AND(Units!$K32=0,DI$1=Units!$O32),Units!$R32,IF(AND(DI$1&gt;=Units!$Q32,MOD(DI$1-Units!$Q32,12)=0),IF(AND(Units!$L32=1,DI$1=Units!$Q32),IF(Units!$J32&lt;&gt;"",Units!$J32,Mkt!DI33),Inputs!$B$15*Mkt!DI33+(1-Inputs!$B$15)*MIN(Mkt!DI33,DH33*(1+Inputs!$B$18))),DH33)))</f>
        <v>1989.7791053396</v>
      </c>
      <c r="DJ33" s="11" t="n">
        <f aca="false">IF(DJ$1&lt;Units!$P32,0,IF(AND(Units!$K32=0,DJ$1=Units!$O32),Units!$R32,IF(AND(DJ$1&gt;=Units!$Q32,MOD(DJ$1-Units!$Q32,12)=0),IF(AND(Units!$L32=1,DJ$1=Units!$Q32),IF(Units!$J32&lt;&gt;"",Units!$J32,Mkt!DJ33),Inputs!$B$15*Mkt!DJ33+(1-Inputs!$B$15)*MIN(Mkt!DJ33,DI33*(1+Inputs!$B$18))),DI33)))</f>
        <v>1989.7791053396</v>
      </c>
      <c r="DK33" s="11" t="n">
        <f aca="false">IF(DK$1&lt;Units!$P32,0,IF(AND(Units!$K32=0,DK$1=Units!$O32),Units!$R32,IF(AND(DK$1&gt;=Units!$Q32,MOD(DK$1-Units!$Q32,12)=0),IF(AND(Units!$L32=1,DK$1=Units!$Q32),IF(Units!$J32&lt;&gt;"",Units!$J32,Mkt!DK33),Inputs!$B$15*Mkt!DK33+(1-Inputs!$B$15)*MIN(Mkt!DK33,DJ33*(1+Inputs!$B$18))),DJ33)))</f>
        <v>1989.7791053396</v>
      </c>
      <c r="DL33" s="11" t="n">
        <f aca="false">IF(DL$1&lt;Units!$P32,0,IF(AND(Units!$K32=0,DL$1=Units!$O32),Units!$R32,IF(AND(DL$1&gt;=Units!$Q32,MOD(DL$1-Units!$Q32,12)=0),IF(AND(Units!$L32=1,DL$1=Units!$Q32),IF(Units!$J32&lt;&gt;"",Units!$J32,Mkt!DL33),Inputs!$B$15*Mkt!DL33+(1-Inputs!$B$15)*MIN(Mkt!DL33,DK33*(1+Inputs!$B$18))),DK33)))</f>
        <v>1989.7791053396</v>
      </c>
      <c r="DM33" s="11" t="n">
        <f aca="false">IF(DM$1&lt;Units!$P32,0,IF(AND(Units!$K32=0,DM$1=Units!$O32),Units!$R32,IF(AND(DM$1&gt;=Units!$Q32,MOD(DM$1-Units!$Q32,12)=0),IF(AND(Units!$L32=1,DM$1=Units!$Q32),IF(Units!$J32&lt;&gt;"",Units!$J32,Mkt!DM33),Inputs!$B$15*Mkt!DM33+(1-Inputs!$B$15)*MIN(Mkt!DM33,DL33*(1+Inputs!$B$18))),DL33)))</f>
        <v>1989.7791053396</v>
      </c>
      <c r="DN33" s="11" t="n">
        <f aca="false">IF(DN$1&lt;Units!$P32,0,IF(AND(Units!$K32=0,DN$1=Units!$O32),Units!$R32,IF(AND(DN$1&gt;=Units!$Q32,MOD(DN$1-Units!$Q32,12)=0),IF(AND(Units!$L32=1,DN$1=Units!$Q32),IF(Units!$J32&lt;&gt;"",Units!$J32,Mkt!DN33),Inputs!$B$15*Mkt!DN33+(1-Inputs!$B$15)*MIN(Mkt!DN33,DM33*(1+Inputs!$B$18))),DM33)))</f>
        <v>1989.7791053396</v>
      </c>
      <c r="DO33" s="11" t="n">
        <f aca="false">IF(DO$1&lt;Units!$P32,0,IF(AND(Units!$K32=0,DO$1=Units!$O32),Units!$R32,IF(AND(DO$1&gt;=Units!$Q32,MOD(DO$1-Units!$Q32,12)=0),IF(AND(Units!$L32=1,DO$1=Units!$Q32),IF(Units!$J32&lt;&gt;"",Units!$J32,Mkt!DO33),Inputs!$B$15*Mkt!DO33+(1-Inputs!$B$15)*MIN(Mkt!DO33,DN33*(1+Inputs!$B$18))),DN33)))</f>
        <v>1989.7791053396</v>
      </c>
      <c r="DP33" s="11" t="n">
        <f aca="false">IF(DP$1&lt;Units!$P32,0,IF(AND(Units!$K32=0,DP$1=Units!$O32),Units!$R32,IF(AND(DP$1&gt;=Units!$Q32,MOD(DP$1-Units!$Q32,12)=0),IF(AND(Units!$L32=1,DP$1=Units!$Q32),IF(Units!$J32&lt;&gt;"",Units!$J32,Mkt!DP33),Inputs!$B$15*Mkt!DP33+(1-Inputs!$B$15)*MIN(Mkt!DP33,DO33*(1+Inputs!$B$18))),DO33)))</f>
        <v>1989.7791053396</v>
      </c>
      <c r="DQ33" s="11" t="n">
        <f aca="false">IF(DQ$1&lt;Units!$P32,0,IF(AND(Units!$K32=0,DQ$1=Units!$O32),Units!$R32,IF(AND(DQ$1&gt;=Units!$Q32,MOD(DQ$1-Units!$Q32,12)=0),IF(AND(Units!$L32=1,DQ$1=Units!$Q32),IF(Units!$J32&lt;&gt;"",Units!$J32,Mkt!DQ33),Inputs!$B$15*Mkt!DQ33+(1-Inputs!$B$15)*MIN(Mkt!DQ33,DP33*(1+Inputs!$B$18))),DP33)))</f>
        <v>1989.7791053396</v>
      </c>
      <c r="DR33" s="11" t="n">
        <f aca="false">IF(DR$1&lt;Units!$P32,0,IF(AND(Units!$K32=0,DR$1=Units!$O32),Units!$R32,IF(AND(DR$1&gt;=Units!$Q32,MOD(DR$1-Units!$Q32,12)=0),IF(AND(Units!$L32=1,DR$1=Units!$Q32),IF(Units!$J32&lt;&gt;"",Units!$J32,Mkt!DR33),Inputs!$B$15*Mkt!DR33+(1-Inputs!$B$15)*MIN(Mkt!DR33,DQ33*(1+Inputs!$B$18))),DQ33)))</f>
        <v>1989.7791053396</v>
      </c>
      <c r="DS33" s="11" t="n">
        <f aca="false">IF(DS$1&lt;Units!$P32,0,IF(AND(Units!$K32=0,DS$1=Units!$O32),Units!$R32,IF(AND(DS$1&gt;=Units!$Q32,MOD(DS$1-Units!$Q32,12)=0),IF(AND(Units!$L32=1,DS$1=Units!$Q32),IF(Units!$J32&lt;&gt;"",Units!$J32,Mkt!DS33),Inputs!$B$15*Mkt!DS33+(1-Inputs!$B$15)*MIN(Mkt!DS33,DR33*(1+Inputs!$B$18))),DR33)))</f>
        <v>2049.47247849979</v>
      </c>
      <c r="DT33" s="11" t="n">
        <f aca="false">IF(DT$1&lt;Units!$P32,0,IF(AND(Units!$K32=0,DT$1=Units!$O32),Units!$R32,IF(AND(DT$1&gt;=Units!$Q32,MOD(DT$1-Units!$Q32,12)=0),IF(AND(Units!$L32=1,DT$1=Units!$Q32),IF(Units!$J32&lt;&gt;"",Units!$J32,Mkt!DT33),Inputs!$B$15*Mkt!DT33+(1-Inputs!$B$15)*MIN(Mkt!DT33,DS33*(1+Inputs!$B$18))),DS33)))</f>
        <v>2049.47247849979</v>
      </c>
      <c r="DU33" s="11" t="n">
        <f aca="false">IF(DU$1&lt;Units!$P32,0,IF(AND(Units!$K32=0,DU$1=Units!$O32),Units!$R32,IF(AND(DU$1&gt;=Units!$Q32,MOD(DU$1-Units!$Q32,12)=0),IF(AND(Units!$L32=1,DU$1=Units!$Q32),IF(Units!$J32&lt;&gt;"",Units!$J32,Mkt!DU33),Inputs!$B$15*Mkt!DU33+(1-Inputs!$B$15)*MIN(Mkt!DU33,DT33*(1+Inputs!$B$18))),DT33)))</f>
        <v>2049.47247849979</v>
      </c>
      <c r="DV33" s="11" t="n">
        <f aca="false">IF(DV$1&lt;Units!$P32,0,IF(AND(Units!$K32=0,DV$1=Units!$O32),Units!$R32,IF(AND(DV$1&gt;=Units!$Q32,MOD(DV$1-Units!$Q32,12)=0),IF(AND(Units!$L32=1,DV$1=Units!$Q32),IF(Units!$J32&lt;&gt;"",Units!$J32,Mkt!DV33),Inputs!$B$15*Mkt!DV33+(1-Inputs!$B$15)*MIN(Mkt!DV33,DU33*(1+Inputs!$B$18))),DU33)))</f>
        <v>2049.47247849979</v>
      </c>
      <c r="DW33" s="11" t="n">
        <f aca="false">IF(DW$1&lt;Units!$P32,0,IF(AND(Units!$K32=0,DW$1=Units!$O32),Units!$R32,IF(AND(DW$1&gt;=Units!$Q32,MOD(DW$1-Units!$Q32,12)=0),IF(AND(Units!$L32=1,DW$1=Units!$Q32),IF(Units!$J32&lt;&gt;"",Units!$J32,Mkt!DW33),Inputs!$B$15*Mkt!DW33+(1-Inputs!$B$15)*MIN(Mkt!DW33,DV33*(1+Inputs!$B$18))),DV33)))</f>
        <v>2049.47247849979</v>
      </c>
      <c r="DX33" s="11" t="n">
        <f aca="false">IF(DX$1&lt;Units!$P32,0,IF(AND(Units!$K32=0,DX$1=Units!$O32),Units!$R32,IF(AND(DX$1&gt;=Units!$Q32,MOD(DX$1-Units!$Q32,12)=0),IF(AND(Units!$L32=1,DX$1=Units!$Q32),IF(Units!$J32&lt;&gt;"",Units!$J32,Mkt!DX33),Inputs!$B$15*Mkt!DX33+(1-Inputs!$B$15)*MIN(Mkt!DX33,DW33*(1+Inputs!$B$18))),DW33)))</f>
        <v>2049.47247849979</v>
      </c>
      <c r="DY33" s="11" t="n">
        <f aca="false">IF(DY$1&lt;Units!$P32,0,IF(AND(Units!$K32=0,DY$1=Units!$O32),Units!$R32,IF(AND(DY$1&gt;=Units!$Q32,MOD(DY$1-Units!$Q32,12)=0),IF(AND(Units!$L32=1,DY$1=Units!$Q32),IF(Units!$J32&lt;&gt;"",Units!$J32,Mkt!DY33),Inputs!$B$15*Mkt!DY33+(1-Inputs!$B$15)*MIN(Mkt!DY33,DX33*(1+Inputs!$B$18))),DX33)))</f>
        <v>2049.47247849979</v>
      </c>
      <c r="DZ33" s="11" t="n">
        <f aca="false">IF(DZ$1&lt;Units!$P32,0,IF(AND(Units!$K32=0,DZ$1=Units!$O32),Units!$R32,IF(AND(DZ$1&gt;=Units!$Q32,MOD(DZ$1-Units!$Q32,12)=0),IF(AND(Units!$L32=1,DZ$1=Units!$Q32),IF(Units!$J32&lt;&gt;"",Units!$J32,Mkt!DZ33),Inputs!$B$15*Mkt!DZ33+(1-Inputs!$B$15)*MIN(Mkt!DZ33,DY33*(1+Inputs!$B$18))),DY33)))</f>
        <v>2049.47247849979</v>
      </c>
      <c r="EA33" s="11" t="n">
        <f aca="false">IF(EA$1&lt;Units!$P32,0,IF(AND(Units!$K32=0,EA$1=Units!$O32),Units!$R32,IF(AND(EA$1&gt;=Units!$Q32,MOD(EA$1-Units!$Q32,12)=0),IF(AND(Units!$L32=1,EA$1=Units!$Q32),IF(Units!$J32&lt;&gt;"",Units!$J32,Mkt!EA33),Inputs!$B$15*Mkt!EA33+(1-Inputs!$B$15)*MIN(Mkt!EA33,DZ33*(1+Inputs!$B$18))),DZ33)))</f>
        <v>2049.47247849979</v>
      </c>
      <c r="EB33" s="11" t="n">
        <f aca="false">IF(EB$1&lt;Units!$P32,0,IF(AND(Units!$K32=0,EB$1=Units!$O32),Units!$R32,IF(AND(EB$1&gt;=Units!$Q32,MOD(EB$1-Units!$Q32,12)=0),IF(AND(Units!$L32=1,EB$1=Units!$Q32),IF(Units!$J32&lt;&gt;"",Units!$J32,Mkt!EB33),Inputs!$B$15*Mkt!EB33+(1-Inputs!$B$15)*MIN(Mkt!EB33,EA33*(1+Inputs!$B$18))),EA33)))</f>
        <v>2049.47247849979</v>
      </c>
      <c r="EC33" s="11" t="n">
        <f aca="false">IF(EC$1&lt;Units!$P32,0,IF(AND(Units!$K32=0,EC$1=Units!$O32),Units!$R32,IF(AND(EC$1&gt;=Units!$Q32,MOD(EC$1-Units!$Q32,12)=0),IF(AND(Units!$L32=1,EC$1=Units!$Q32),IF(Units!$J32&lt;&gt;"",Units!$J32,Mkt!EC33),Inputs!$B$15*Mkt!EC33+(1-Inputs!$B$15)*MIN(Mkt!EC33,EB33*(1+Inputs!$B$18))),EB33)))</f>
        <v>2049.47247849979</v>
      </c>
      <c r="ED33" s="11" t="n">
        <f aca="false">IF(ED$1&lt;Units!$P32,0,IF(AND(Units!$K32=0,ED$1=Units!$O32),Units!$R32,IF(AND(ED$1&gt;=Units!$Q32,MOD(ED$1-Units!$Q32,12)=0),IF(AND(Units!$L32=1,ED$1=Units!$Q32),IF(Units!$J32&lt;&gt;"",Units!$J32,Mkt!ED33),Inputs!$B$15*Mkt!ED33+(1-Inputs!$B$15)*MIN(Mkt!ED33,EC33*(1+Inputs!$B$18))),EC33)))</f>
        <v>2049.47247849979</v>
      </c>
    </row>
    <row r="34" customFormat="false" ht="15" hidden="false" customHeight="false" outlineLevel="0" collapsed="false">
      <c r="A34" s="22" t="n">
        <f aca="false">Units!A33</f>
        <v>202</v>
      </c>
      <c r="B34" s="24" t="n">
        <f aca="false">IF(Units!K33=1,Units!F33,0)</f>
        <v>1430</v>
      </c>
      <c r="C34" s="11" t="n">
        <f aca="false">IF(C$1&lt;Units!$P33,0,IF(AND(Units!$K33=0,C$1=Units!$O33),Units!$R33,IF(AND(C$1&gt;=Units!$Q33,MOD(C$1-Units!$Q33,12)=0),IF(AND(Units!$L33=1,C$1=Units!$Q33),IF(Units!$J33&lt;&gt;"",Units!$J33,Mkt!C34),Inputs!$B$15*Mkt!C34+(1-Inputs!$B$15)*MIN(Mkt!C34,B34*(1+Inputs!$B$18))),B34)))</f>
        <v>1430</v>
      </c>
      <c r="D34" s="11" t="n">
        <f aca="false">IF(D$1&lt;Units!$P33,0,IF(AND(Units!$K33=0,D$1=Units!$O33),Units!$R33,IF(AND(D$1&gt;=Units!$Q33,MOD(D$1-Units!$Q33,12)=0),IF(AND(Units!$L33=1,D$1=Units!$Q33),IF(Units!$J33&lt;&gt;"",Units!$J33,Mkt!D34),Inputs!$B$15*Mkt!D34+(1-Inputs!$B$15)*MIN(Mkt!D34,C34*(1+Inputs!$B$18))),C34)))</f>
        <v>1430</v>
      </c>
      <c r="E34" s="11" t="n">
        <f aca="false">IF(E$1&lt;Units!$P33,0,IF(AND(Units!$K33=0,E$1=Units!$O33),Units!$R33,IF(AND(E$1&gt;=Units!$Q33,MOD(E$1-Units!$Q33,12)=0),IF(AND(Units!$L33=1,E$1=Units!$Q33),IF(Units!$J33&lt;&gt;"",Units!$J33,Mkt!E34),Inputs!$B$15*Mkt!E34+(1-Inputs!$B$15)*MIN(Mkt!E34,D34*(1+Inputs!$B$18))),D34)))</f>
        <v>1430</v>
      </c>
      <c r="F34" s="11" t="n">
        <f aca="false">IF(F$1&lt;Units!$P33,0,IF(AND(Units!$K33=0,F$1=Units!$O33),Units!$R33,IF(AND(F$1&gt;=Units!$Q33,MOD(F$1-Units!$Q33,12)=0),IF(AND(Units!$L33=1,F$1=Units!$Q33),IF(Units!$J33&lt;&gt;"",Units!$J33,Mkt!F34),Inputs!$B$15*Mkt!F34+(1-Inputs!$B$15)*MIN(Mkt!F34,E34*(1+Inputs!$B$18))),E34)))</f>
        <v>1430</v>
      </c>
      <c r="G34" s="11" t="n">
        <f aca="false">IF(G$1&lt;Units!$P33,0,IF(AND(Units!$K33=0,G$1=Units!$O33),Units!$R33,IF(AND(G$1&gt;=Units!$Q33,MOD(G$1-Units!$Q33,12)=0),IF(AND(Units!$L33=1,G$1=Units!$Q33),IF(Units!$J33&lt;&gt;"",Units!$J33,Mkt!G34),Inputs!$B$15*Mkt!G34+(1-Inputs!$B$15)*MIN(Mkt!G34,F34*(1+Inputs!$B$18))),F34)))</f>
        <v>1430</v>
      </c>
      <c r="H34" s="11" t="n">
        <f aca="false">IF(H$1&lt;Units!$P33,0,IF(AND(Units!$K33=0,H$1=Units!$O33),Units!$R33,IF(AND(H$1&gt;=Units!$Q33,MOD(H$1-Units!$Q33,12)=0),IF(AND(Units!$L33=1,H$1=Units!$Q33),IF(Units!$J33&lt;&gt;"",Units!$J33,Mkt!H34),Inputs!$B$15*Mkt!H34+(1-Inputs!$B$15)*MIN(Mkt!H34,G34*(1+Inputs!$B$18))),G34)))</f>
        <v>1430</v>
      </c>
      <c r="I34" s="11" t="n">
        <f aca="false">IF(I$1&lt;Units!$P33,0,IF(AND(Units!$K33=0,I$1=Units!$O33),Units!$R33,IF(AND(I$1&gt;=Units!$Q33,MOD(I$1-Units!$Q33,12)=0),IF(AND(Units!$L33=1,I$1=Units!$Q33),IF(Units!$J33&lt;&gt;"",Units!$J33,Mkt!I34),Inputs!$B$15*Mkt!I34+(1-Inputs!$B$15)*MIN(Mkt!I34,H34*(1+Inputs!$B$18))),H34)))</f>
        <v>1430</v>
      </c>
      <c r="J34" s="11" t="n">
        <f aca="false">IF(J$1&lt;Units!$P33,0,IF(AND(Units!$K33=0,J$1=Units!$O33),Units!$R33,IF(AND(J$1&gt;=Units!$Q33,MOD(J$1-Units!$Q33,12)=0),IF(AND(Units!$L33=1,J$1=Units!$Q33),IF(Units!$J33&lt;&gt;"",Units!$J33,Mkt!J34),Inputs!$B$15*Mkt!J34+(1-Inputs!$B$15)*MIN(Mkt!J34,I34*(1+Inputs!$B$18))),I34)))</f>
        <v>1430</v>
      </c>
      <c r="K34" s="11" t="n">
        <f aca="false">IF(K$1&lt;Units!$P33,0,IF(AND(Units!$K33=0,K$1=Units!$O33),Units!$R33,IF(AND(K$1&gt;=Units!$Q33,MOD(K$1-Units!$Q33,12)=0),IF(AND(Units!$L33=1,K$1=Units!$Q33),IF(Units!$J33&lt;&gt;"",Units!$J33,Mkt!K34),Inputs!$B$15*Mkt!K34+(1-Inputs!$B$15)*MIN(Mkt!K34,J34*(1+Inputs!$B$18))),J34)))</f>
        <v>1430</v>
      </c>
      <c r="L34" s="11" t="n">
        <f aca="false">IF(L$1&lt;Units!$P33,0,IF(AND(Units!$K33=0,L$1=Units!$O33),Units!$R33,IF(AND(L$1&gt;=Units!$Q33,MOD(L$1-Units!$Q33,12)=0),IF(AND(Units!$L33=1,L$1=Units!$Q33),IF(Units!$J33&lt;&gt;"",Units!$J33,Mkt!L34),Inputs!$B$15*Mkt!L34+(1-Inputs!$B$15)*MIN(Mkt!L34,K34*(1+Inputs!$B$18))),K34)))</f>
        <v>1513.25</v>
      </c>
      <c r="M34" s="11" t="n">
        <f aca="false">IF(M$1&lt;Units!$P33,0,IF(AND(Units!$K33=0,M$1=Units!$O33),Units!$R33,IF(AND(M$1&gt;=Units!$Q33,MOD(M$1-Units!$Q33,12)=0),IF(AND(Units!$L33=1,M$1=Units!$Q33),IF(Units!$J33&lt;&gt;"",Units!$J33,Mkt!M34),Inputs!$B$15*Mkt!M34+(1-Inputs!$B$15)*MIN(Mkt!M34,L34*(1+Inputs!$B$18))),L34)))</f>
        <v>1513.25</v>
      </c>
      <c r="N34" s="11" t="n">
        <f aca="false">IF(N$1&lt;Units!$P33,0,IF(AND(Units!$K33=0,N$1=Units!$O33),Units!$R33,IF(AND(N$1&gt;=Units!$Q33,MOD(N$1-Units!$Q33,12)=0),IF(AND(Units!$L33=1,N$1=Units!$Q33),IF(Units!$J33&lt;&gt;"",Units!$J33,Mkt!N34),Inputs!$B$15*Mkt!N34+(1-Inputs!$B$15)*MIN(Mkt!N34,M34*(1+Inputs!$B$18))),M34)))</f>
        <v>1513.25</v>
      </c>
      <c r="O34" s="11" t="n">
        <f aca="false">IF(O$1&lt;Units!$P33,0,IF(AND(Units!$K33=0,O$1=Units!$O33),Units!$R33,IF(AND(O$1&gt;=Units!$Q33,MOD(O$1-Units!$Q33,12)=0),IF(AND(Units!$L33=1,O$1=Units!$Q33),IF(Units!$J33&lt;&gt;"",Units!$J33,Mkt!O34),Inputs!$B$15*Mkt!O34+(1-Inputs!$B$15)*MIN(Mkt!O34,N34*(1+Inputs!$B$18))),N34)))</f>
        <v>1513.25</v>
      </c>
      <c r="P34" s="11" t="n">
        <f aca="false">IF(P$1&lt;Units!$P33,0,IF(AND(Units!$K33=0,P$1=Units!$O33),Units!$R33,IF(AND(P$1&gt;=Units!$Q33,MOD(P$1-Units!$Q33,12)=0),IF(AND(Units!$L33=1,P$1=Units!$Q33),IF(Units!$J33&lt;&gt;"",Units!$J33,Mkt!P34),Inputs!$B$15*Mkt!P34+(1-Inputs!$B$15)*MIN(Mkt!P34,O34*(1+Inputs!$B$18))),O34)))</f>
        <v>1513.25</v>
      </c>
      <c r="Q34" s="11" t="n">
        <f aca="false">IF(Q$1&lt;Units!$P33,0,IF(AND(Units!$K33=0,Q$1=Units!$O33),Units!$R33,IF(AND(Q$1&gt;=Units!$Q33,MOD(Q$1-Units!$Q33,12)=0),IF(AND(Units!$L33=1,Q$1=Units!$Q33),IF(Units!$J33&lt;&gt;"",Units!$J33,Mkt!Q34),Inputs!$B$15*Mkt!Q34+(1-Inputs!$B$15)*MIN(Mkt!Q34,P34*(1+Inputs!$B$18))),P34)))</f>
        <v>1513.25</v>
      </c>
      <c r="R34" s="11" t="n">
        <f aca="false">IF(R$1&lt;Units!$P33,0,IF(AND(Units!$K33=0,R$1=Units!$O33),Units!$R33,IF(AND(R$1&gt;=Units!$Q33,MOD(R$1-Units!$Q33,12)=0),IF(AND(Units!$L33=1,R$1=Units!$Q33),IF(Units!$J33&lt;&gt;"",Units!$J33,Mkt!R34),Inputs!$B$15*Mkt!R34+(1-Inputs!$B$15)*MIN(Mkt!R34,Q34*(1+Inputs!$B$18))),Q34)))</f>
        <v>1513.25</v>
      </c>
      <c r="S34" s="11" t="n">
        <f aca="false">IF(S$1&lt;Units!$P33,0,IF(AND(Units!$K33=0,S$1=Units!$O33),Units!$R33,IF(AND(S$1&gt;=Units!$Q33,MOD(S$1-Units!$Q33,12)=0),IF(AND(Units!$L33=1,S$1=Units!$Q33),IF(Units!$J33&lt;&gt;"",Units!$J33,Mkt!S34),Inputs!$B$15*Mkt!S34+(1-Inputs!$B$15)*MIN(Mkt!S34,R34*(1+Inputs!$B$18))),R34)))</f>
        <v>1513.25</v>
      </c>
      <c r="T34" s="11" t="n">
        <f aca="false">IF(T$1&lt;Units!$P33,0,IF(AND(Units!$K33=0,T$1=Units!$O33),Units!$R33,IF(AND(T$1&gt;=Units!$Q33,MOD(T$1-Units!$Q33,12)=0),IF(AND(Units!$L33=1,T$1=Units!$Q33),IF(Units!$J33&lt;&gt;"",Units!$J33,Mkt!T34),Inputs!$B$15*Mkt!T34+(1-Inputs!$B$15)*MIN(Mkt!T34,S34*(1+Inputs!$B$18))),S34)))</f>
        <v>1513.25</v>
      </c>
      <c r="U34" s="11" t="n">
        <f aca="false">IF(U$1&lt;Units!$P33,0,IF(AND(Units!$K33=0,U$1=Units!$O33),Units!$R33,IF(AND(U$1&gt;=Units!$Q33,MOD(U$1-Units!$Q33,12)=0),IF(AND(Units!$L33=1,U$1=Units!$Q33),IF(Units!$J33&lt;&gt;"",Units!$J33,Mkt!U34),Inputs!$B$15*Mkt!U34+(1-Inputs!$B$15)*MIN(Mkt!U34,T34*(1+Inputs!$B$18))),T34)))</f>
        <v>1513.25</v>
      </c>
      <c r="V34" s="11" t="n">
        <f aca="false">IF(V$1&lt;Units!$P33,0,IF(AND(Units!$K33=0,V$1=Units!$O33),Units!$R33,IF(AND(V$1&gt;=Units!$Q33,MOD(V$1-Units!$Q33,12)=0),IF(AND(Units!$L33=1,V$1=Units!$Q33),IF(Units!$J33&lt;&gt;"",Units!$J33,Mkt!V34),Inputs!$B$15*Mkt!V34+(1-Inputs!$B$15)*MIN(Mkt!V34,U34*(1+Inputs!$B$18))),U34)))</f>
        <v>1513.25</v>
      </c>
      <c r="W34" s="11" t="n">
        <f aca="false">IF(W$1&lt;Units!$P33,0,IF(AND(Units!$K33=0,W$1=Units!$O33),Units!$R33,IF(AND(W$1&gt;=Units!$Q33,MOD(W$1-Units!$Q33,12)=0),IF(AND(Units!$L33=1,W$1=Units!$Q33),IF(Units!$J33&lt;&gt;"",Units!$J33,Mkt!W34),Inputs!$B$15*Mkt!W34+(1-Inputs!$B$15)*MIN(Mkt!W34,V34*(1+Inputs!$B$18))),V34)))</f>
        <v>1513.25</v>
      </c>
      <c r="X34" s="11" t="n">
        <f aca="false">IF(X$1&lt;Units!$P33,0,IF(AND(Units!$K33=0,X$1=Units!$O33),Units!$R33,IF(AND(X$1&gt;=Units!$Q33,MOD(X$1-Units!$Q33,12)=0),IF(AND(Units!$L33=1,X$1=Units!$Q33),IF(Units!$J33&lt;&gt;"",Units!$J33,Mkt!X34),Inputs!$B$15*Mkt!X34+(1-Inputs!$B$15)*MIN(Mkt!X34,W34*(1+Inputs!$B$18))),W34)))</f>
        <v>1570.75</v>
      </c>
      <c r="Y34" s="11" t="n">
        <f aca="false">IF(Y$1&lt;Units!$P33,0,IF(AND(Units!$K33=0,Y$1=Units!$O33),Units!$R33,IF(AND(Y$1&gt;=Units!$Q33,MOD(Y$1-Units!$Q33,12)=0),IF(AND(Units!$L33=1,Y$1=Units!$Q33),IF(Units!$J33&lt;&gt;"",Units!$J33,Mkt!Y34),Inputs!$B$15*Mkt!Y34+(1-Inputs!$B$15)*MIN(Mkt!Y34,X34*(1+Inputs!$B$18))),X34)))</f>
        <v>1570.75</v>
      </c>
      <c r="Z34" s="11" t="n">
        <f aca="false">IF(Z$1&lt;Units!$P33,0,IF(AND(Units!$K33=0,Z$1=Units!$O33),Units!$R33,IF(AND(Z$1&gt;=Units!$Q33,MOD(Z$1-Units!$Q33,12)=0),IF(AND(Units!$L33=1,Z$1=Units!$Q33),IF(Units!$J33&lt;&gt;"",Units!$J33,Mkt!Z34),Inputs!$B$15*Mkt!Z34+(1-Inputs!$B$15)*MIN(Mkt!Z34,Y34*(1+Inputs!$B$18))),Y34)))</f>
        <v>1570.75</v>
      </c>
      <c r="AA34" s="11" t="n">
        <f aca="false">IF(AA$1&lt;Units!$P33,0,IF(AND(Units!$K33=0,AA$1=Units!$O33),Units!$R33,IF(AND(AA$1&gt;=Units!$Q33,MOD(AA$1-Units!$Q33,12)=0),IF(AND(Units!$L33=1,AA$1=Units!$Q33),IF(Units!$J33&lt;&gt;"",Units!$J33,Mkt!AA34),Inputs!$B$15*Mkt!AA34+(1-Inputs!$B$15)*MIN(Mkt!AA34,Z34*(1+Inputs!$B$18))),Z34)))</f>
        <v>1570.75</v>
      </c>
      <c r="AB34" s="11" t="n">
        <f aca="false">IF(AB$1&lt;Units!$P33,0,IF(AND(Units!$K33=0,AB$1=Units!$O33),Units!$R33,IF(AND(AB$1&gt;=Units!$Q33,MOD(AB$1-Units!$Q33,12)=0),IF(AND(Units!$L33=1,AB$1=Units!$Q33),IF(Units!$J33&lt;&gt;"",Units!$J33,Mkt!AB34),Inputs!$B$15*Mkt!AB34+(1-Inputs!$B$15)*MIN(Mkt!AB34,AA34*(1+Inputs!$B$18))),AA34)))</f>
        <v>1570.75</v>
      </c>
      <c r="AC34" s="11" t="n">
        <f aca="false">IF(AC$1&lt;Units!$P33,0,IF(AND(Units!$K33=0,AC$1=Units!$O33),Units!$R33,IF(AND(AC$1&gt;=Units!$Q33,MOD(AC$1-Units!$Q33,12)=0),IF(AND(Units!$L33=1,AC$1=Units!$Q33),IF(Units!$J33&lt;&gt;"",Units!$J33,Mkt!AC34),Inputs!$B$15*Mkt!AC34+(1-Inputs!$B$15)*MIN(Mkt!AC34,AB34*(1+Inputs!$B$18))),AB34)))</f>
        <v>1570.75</v>
      </c>
      <c r="AD34" s="11" t="n">
        <f aca="false">IF(AD$1&lt;Units!$P33,0,IF(AND(Units!$K33=0,AD$1=Units!$O33),Units!$R33,IF(AND(AD$1&gt;=Units!$Q33,MOD(AD$1-Units!$Q33,12)=0),IF(AND(Units!$L33=1,AD$1=Units!$Q33),IF(Units!$J33&lt;&gt;"",Units!$J33,Mkt!AD34),Inputs!$B$15*Mkt!AD34+(1-Inputs!$B$15)*MIN(Mkt!AD34,AC34*(1+Inputs!$B$18))),AC34)))</f>
        <v>1570.75</v>
      </c>
      <c r="AE34" s="11" t="n">
        <f aca="false">IF(AE$1&lt;Units!$P33,0,IF(AND(Units!$K33=0,AE$1=Units!$O33),Units!$R33,IF(AND(AE$1&gt;=Units!$Q33,MOD(AE$1-Units!$Q33,12)=0),IF(AND(Units!$L33=1,AE$1=Units!$Q33),IF(Units!$J33&lt;&gt;"",Units!$J33,Mkt!AE34),Inputs!$B$15*Mkt!AE34+(1-Inputs!$B$15)*MIN(Mkt!AE34,AD34*(1+Inputs!$B$18))),AD34)))</f>
        <v>1570.75</v>
      </c>
      <c r="AF34" s="11" t="n">
        <f aca="false">IF(AF$1&lt;Units!$P33,0,IF(AND(Units!$K33=0,AF$1=Units!$O33),Units!$R33,IF(AND(AF$1&gt;=Units!$Q33,MOD(AF$1-Units!$Q33,12)=0),IF(AND(Units!$L33=1,AF$1=Units!$Q33),IF(Units!$J33&lt;&gt;"",Units!$J33,Mkt!AF34),Inputs!$B$15*Mkt!AF34+(1-Inputs!$B$15)*MIN(Mkt!AF34,AE34*(1+Inputs!$B$18))),AE34)))</f>
        <v>1570.75</v>
      </c>
      <c r="AG34" s="11" t="n">
        <f aca="false">IF(AG$1&lt;Units!$P33,0,IF(AND(Units!$K33=0,AG$1=Units!$O33),Units!$R33,IF(AND(AG$1&gt;=Units!$Q33,MOD(AG$1-Units!$Q33,12)=0),IF(AND(Units!$L33=1,AG$1=Units!$Q33),IF(Units!$J33&lt;&gt;"",Units!$J33,Mkt!AG34),Inputs!$B$15*Mkt!AG34+(1-Inputs!$B$15)*MIN(Mkt!AG34,AF34*(1+Inputs!$B$18))),AF34)))</f>
        <v>1570.75</v>
      </c>
      <c r="AH34" s="11" t="n">
        <f aca="false">IF(AH$1&lt;Units!$P33,0,IF(AND(Units!$K33=0,AH$1=Units!$O33),Units!$R33,IF(AND(AH$1&gt;=Units!$Q33,MOD(AH$1-Units!$Q33,12)=0),IF(AND(Units!$L33=1,AH$1=Units!$Q33),IF(Units!$J33&lt;&gt;"",Units!$J33,Mkt!AH34),Inputs!$B$15*Mkt!AH34+(1-Inputs!$B$15)*MIN(Mkt!AH34,AG34*(1+Inputs!$B$18))),AG34)))</f>
        <v>1570.75</v>
      </c>
      <c r="AI34" s="11" t="n">
        <f aca="false">IF(AI$1&lt;Units!$P33,0,IF(AND(Units!$K33=0,AI$1=Units!$O33),Units!$R33,IF(AND(AI$1&gt;=Units!$Q33,MOD(AI$1-Units!$Q33,12)=0),IF(AND(Units!$L33=1,AI$1=Units!$Q33),IF(Units!$J33&lt;&gt;"",Units!$J33,Mkt!AI34),Inputs!$B$15*Mkt!AI34+(1-Inputs!$B$15)*MIN(Mkt!AI34,AH34*(1+Inputs!$B$18))),AH34)))</f>
        <v>1570.75</v>
      </c>
      <c r="AJ34" s="11" t="n">
        <f aca="false">IF(AJ$1&lt;Units!$P33,0,IF(AND(Units!$K33=0,AJ$1=Units!$O33),Units!$R33,IF(AND(AJ$1&gt;=Units!$Q33,MOD(AJ$1-Units!$Q33,12)=0),IF(AND(Units!$L33=1,AJ$1=Units!$Q33),IF(Units!$J33&lt;&gt;"",Units!$J33,Mkt!AJ34),Inputs!$B$15*Mkt!AJ34+(1-Inputs!$B$15)*MIN(Mkt!AJ34,AI34*(1+Inputs!$B$18))),AI34)))</f>
        <v>1617.8725</v>
      </c>
      <c r="AK34" s="11" t="n">
        <f aca="false">IF(AK$1&lt;Units!$P33,0,IF(AND(Units!$K33=0,AK$1=Units!$O33),Units!$R33,IF(AND(AK$1&gt;=Units!$Q33,MOD(AK$1-Units!$Q33,12)=0),IF(AND(Units!$L33=1,AK$1=Units!$Q33),IF(Units!$J33&lt;&gt;"",Units!$J33,Mkt!AK34),Inputs!$B$15*Mkt!AK34+(1-Inputs!$B$15)*MIN(Mkt!AK34,AJ34*(1+Inputs!$B$18))),AJ34)))</f>
        <v>1617.8725</v>
      </c>
      <c r="AL34" s="11" t="n">
        <f aca="false">IF(AL$1&lt;Units!$P33,0,IF(AND(Units!$K33=0,AL$1=Units!$O33),Units!$R33,IF(AND(AL$1&gt;=Units!$Q33,MOD(AL$1-Units!$Q33,12)=0),IF(AND(Units!$L33=1,AL$1=Units!$Q33),IF(Units!$J33&lt;&gt;"",Units!$J33,Mkt!AL34),Inputs!$B$15*Mkt!AL34+(1-Inputs!$B$15)*MIN(Mkt!AL34,AK34*(1+Inputs!$B$18))),AK34)))</f>
        <v>1617.8725</v>
      </c>
      <c r="AM34" s="11" t="n">
        <f aca="false">IF(AM$1&lt;Units!$P33,0,IF(AND(Units!$K33=0,AM$1=Units!$O33),Units!$R33,IF(AND(AM$1&gt;=Units!$Q33,MOD(AM$1-Units!$Q33,12)=0),IF(AND(Units!$L33=1,AM$1=Units!$Q33),IF(Units!$J33&lt;&gt;"",Units!$J33,Mkt!AM34),Inputs!$B$15*Mkt!AM34+(1-Inputs!$B$15)*MIN(Mkt!AM34,AL34*(1+Inputs!$B$18))),AL34)))</f>
        <v>1617.8725</v>
      </c>
      <c r="AN34" s="11" t="n">
        <f aca="false">IF(AN$1&lt;Units!$P33,0,IF(AND(Units!$K33=0,AN$1=Units!$O33),Units!$R33,IF(AND(AN$1&gt;=Units!$Q33,MOD(AN$1-Units!$Q33,12)=0),IF(AND(Units!$L33=1,AN$1=Units!$Q33),IF(Units!$J33&lt;&gt;"",Units!$J33,Mkt!AN34),Inputs!$B$15*Mkt!AN34+(1-Inputs!$B$15)*MIN(Mkt!AN34,AM34*(1+Inputs!$B$18))),AM34)))</f>
        <v>1617.8725</v>
      </c>
      <c r="AO34" s="11" t="n">
        <f aca="false">IF(AO$1&lt;Units!$P33,0,IF(AND(Units!$K33=0,AO$1=Units!$O33),Units!$R33,IF(AND(AO$1&gt;=Units!$Q33,MOD(AO$1-Units!$Q33,12)=0),IF(AND(Units!$L33=1,AO$1=Units!$Q33),IF(Units!$J33&lt;&gt;"",Units!$J33,Mkt!AO34),Inputs!$B$15*Mkt!AO34+(1-Inputs!$B$15)*MIN(Mkt!AO34,AN34*(1+Inputs!$B$18))),AN34)))</f>
        <v>1617.8725</v>
      </c>
      <c r="AP34" s="11" t="n">
        <f aca="false">IF(AP$1&lt;Units!$P33,0,IF(AND(Units!$K33=0,AP$1=Units!$O33),Units!$R33,IF(AND(AP$1&gt;=Units!$Q33,MOD(AP$1-Units!$Q33,12)=0),IF(AND(Units!$L33=1,AP$1=Units!$Q33),IF(Units!$J33&lt;&gt;"",Units!$J33,Mkt!AP34),Inputs!$B$15*Mkt!AP34+(1-Inputs!$B$15)*MIN(Mkt!AP34,AO34*(1+Inputs!$B$18))),AO34)))</f>
        <v>1617.8725</v>
      </c>
      <c r="AQ34" s="11" t="n">
        <f aca="false">IF(AQ$1&lt;Units!$P33,0,IF(AND(Units!$K33=0,AQ$1=Units!$O33),Units!$R33,IF(AND(AQ$1&gt;=Units!$Q33,MOD(AQ$1-Units!$Q33,12)=0),IF(AND(Units!$L33=1,AQ$1=Units!$Q33),IF(Units!$J33&lt;&gt;"",Units!$J33,Mkt!AQ34),Inputs!$B$15*Mkt!AQ34+(1-Inputs!$B$15)*MIN(Mkt!AQ34,AP34*(1+Inputs!$B$18))),AP34)))</f>
        <v>1617.8725</v>
      </c>
      <c r="AR34" s="11" t="n">
        <f aca="false">IF(AR$1&lt;Units!$P33,0,IF(AND(Units!$K33=0,AR$1=Units!$O33),Units!$R33,IF(AND(AR$1&gt;=Units!$Q33,MOD(AR$1-Units!$Q33,12)=0),IF(AND(Units!$L33=1,AR$1=Units!$Q33),IF(Units!$J33&lt;&gt;"",Units!$J33,Mkt!AR34),Inputs!$B$15*Mkt!AR34+(1-Inputs!$B$15)*MIN(Mkt!AR34,AQ34*(1+Inputs!$B$18))),AQ34)))</f>
        <v>1617.8725</v>
      </c>
      <c r="AS34" s="11" t="n">
        <f aca="false">IF(AS$1&lt;Units!$P33,0,IF(AND(Units!$K33=0,AS$1=Units!$O33),Units!$R33,IF(AND(AS$1&gt;=Units!$Q33,MOD(AS$1-Units!$Q33,12)=0),IF(AND(Units!$L33=1,AS$1=Units!$Q33),IF(Units!$J33&lt;&gt;"",Units!$J33,Mkt!AS34),Inputs!$B$15*Mkt!AS34+(1-Inputs!$B$15)*MIN(Mkt!AS34,AR34*(1+Inputs!$B$18))),AR34)))</f>
        <v>1617.8725</v>
      </c>
      <c r="AT34" s="11" t="n">
        <f aca="false">IF(AT$1&lt;Units!$P33,0,IF(AND(Units!$K33=0,AT$1=Units!$O33),Units!$R33,IF(AND(AT$1&gt;=Units!$Q33,MOD(AT$1-Units!$Q33,12)=0),IF(AND(Units!$L33=1,AT$1=Units!$Q33),IF(Units!$J33&lt;&gt;"",Units!$J33,Mkt!AT34),Inputs!$B$15*Mkt!AT34+(1-Inputs!$B$15)*MIN(Mkt!AT34,AS34*(1+Inputs!$B$18))),AS34)))</f>
        <v>1617.8725</v>
      </c>
      <c r="AU34" s="11" t="n">
        <f aca="false">IF(AU$1&lt;Units!$P33,0,IF(AND(Units!$K33=0,AU$1=Units!$O33),Units!$R33,IF(AND(AU$1&gt;=Units!$Q33,MOD(AU$1-Units!$Q33,12)=0),IF(AND(Units!$L33=1,AU$1=Units!$Q33),IF(Units!$J33&lt;&gt;"",Units!$J33,Mkt!AU34),Inputs!$B$15*Mkt!AU34+(1-Inputs!$B$15)*MIN(Mkt!AU34,AT34*(1+Inputs!$B$18))),AT34)))</f>
        <v>1617.8725</v>
      </c>
      <c r="AV34" s="11" t="n">
        <f aca="false">IF(AV$1&lt;Units!$P33,0,IF(AND(Units!$K33=0,AV$1=Units!$O33),Units!$R33,IF(AND(AV$1&gt;=Units!$Q33,MOD(AV$1-Units!$Q33,12)=0),IF(AND(Units!$L33=1,AV$1=Units!$Q33),IF(Units!$J33&lt;&gt;"",Units!$J33,Mkt!AV34),Inputs!$B$15*Mkt!AV34+(1-Inputs!$B$15)*MIN(Mkt!AV34,AU34*(1+Inputs!$B$18))),AU34)))</f>
        <v>1666.408675</v>
      </c>
      <c r="AW34" s="11" t="n">
        <f aca="false">IF(AW$1&lt;Units!$P33,0,IF(AND(Units!$K33=0,AW$1=Units!$O33),Units!$R33,IF(AND(AW$1&gt;=Units!$Q33,MOD(AW$1-Units!$Q33,12)=0),IF(AND(Units!$L33=1,AW$1=Units!$Q33),IF(Units!$J33&lt;&gt;"",Units!$J33,Mkt!AW34),Inputs!$B$15*Mkt!AW34+(1-Inputs!$B$15)*MIN(Mkt!AW34,AV34*(1+Inputs!$B$18))),AV34)))</f>
        <v>1666.408675</v>
      </c>
      <c r="AX34" s="11" t="n">
        <f aca="false">IF(AX$1&lt;Units!$P33,0,IF(AND(Units!$K33=0,AX$1=Units!$O33),Units!$R33,IF(AND(AX$1&gt;=Units!$Q33,MOD(AX$1-Units!$Q33,12)=0),IF(AND(Units!$L33=1,AX$1=Units!$Q33),IF(Units!$J33&lt;&gt;"",Units!$J33,Mkt!AX34),Inputs!$B$15*Mkt!AX34+(1-Inputs!$B$15)*MIN(Mkt!AX34,AW34*(1+Inputs!$B$18))),AW34)))</f>
        <v>1666.408675</v>
      </c>
      <c r="AY34" s="11" t="n">
        <f aca="false">IF(AY$1&lt;Units!$P33,0,IF(AND(Units!$K33=0,AY$1=Units!$O33),Units!$R33,IF(AND(AY$1&gt;=Units!$Q33,MOD(AY$1-Units!$Q33,12)=0),IF(AND(Units!$L33=1,AY$1=Units!$Q33),IF(Units!$J33&lt;&gt;"",Units!$J33,Mkt!AY34),Inputs!$B$15*Mkt!AY34+(1-Inputs!$B$15)*MIN(Mkt!AY34,AX34*(1+Inputs!$B$18))),AX34)))</f>
        <v>1666.408675</v>
      </c>
      <c r="AZ34" s="11" t="n">
        <f aca="false">IF(AZ$1&lt;Units!$P33,0,IF(AND(Units!$K33=0,AZ$1=Units!$O33),Units!$R33,IF(AND(AZ$1&gt;=Units!$Q33,MOD(AZ$1-Units!$Q33,12)=0),IF(AND(Units!$L33=1,AZ$1=Units!$Q33),IF(Units!$J33&lt;&gt;"",Units!$J33,Mkt!AZ34),Inputs!$B$15*Mkt!AZ34+(1-Inputs!$B$15)*MIN(Mkt!AZ34,AY34*(1+Inputs!$B$18))),AY34)))</f>
        <v>1666.408675</v>
      </c>
      <c r="BA34" s="11" t="n">
        <f aca="false">IF(BA$1&lt;Units!$P33,0,IF(AND(Units!$K33=0,BA$1=Units!$O33),Units!$R33,IF(AND(BA$1&gt;=Units!$Q33,MOD(BA$1-Units!$Q33,12)=0),IF(AND(Units!$L33=1,BA$1=Units!$Q33),IF(Units!$J33&lt;&gt;"",Units!$J33,Mkt!BA34),Inputs!$B$15*Mkt!BA34+(1-Inputs!$B$15)*MIN(Mkt!BA34,AZ34*(1+Inputs!$B$18))),AZ34)))</f>
        <v>1666.408675</v>
      </c>
      <c r="BB34" s="11" t="n">
        <f aca="false">IF(BB$1&lt;Units!$P33,0,IF(AND(Units!$K33=0,BB$1=Units!$O33),Units!$R33,IF(AND(BB$1&gt;=Units!$Q33,MOD(BB$1-Units!$Q33,12)=0),IF(AND(Units!$L33=1,BB$1=Units!$Q33),IF(Units!$J33&lt;&gt;"",Units!$J33,Mkt!BB34),Inputs!$B$15*Mkt!BB34+(1-Inputs!$B$15)*MIN(Mkt!BB34,BA34*(1+Inputs!$B$18))),BA34)))</f>
        <v>1666.408675</v>
      </c>
      <c r="BC34" s="11" t="n">
        <f aca="false">IF(BC$1&lt;Units!$P33,0,IF(AND(Units!$K33=0,BC$1=Units!$O33),Units!$R33,IF(AND(BC$1&gt;=Units!$Q33,MOD(BC$1-Units!$Q33,12)=0),IF(AND(Units!$L33=1,BC$1=Units!$Q33),IF(Units!$J33&lt;&gt;"",Units!$J33,Mkt!BC34),Inputs!$B$15*Mkt!BC34+(1-Inputs!$B$15)*MIN(Mkt!BC34,BB34*(1+Inputs!$B$18))),BB34)))</f>
        <v>1666.408675</v>
      </c>
      <c r="BD34" s="11" t="n">
        <f aca="false">IF(BD$1&lt;Units!$P33,0,IF(AND(Units!$K33=0,BD$1=Units!$O33),Units!$R33,IF(AND(BD$1&gt;=Units!$Q33,MOD(BD$1-Units!$Q33,12)=0),IF(AND(Units!$L33=1,BD$1=Units!$Q33),IF(Units!$J33&lt;&gt;"",Units!$J33,Mkt!BD34),Inputs!$B$15*Mkt!BD34+(1-Inputs!$B$15)*MIN(Mkt!BD34,BC34*(1+Inputs!$B$18))),BC34)))</f>
        <v>1666.408675</v>
      </c>
      <c r="BE34" s="11" t="n">
        <f aca="false">IF(BE$1&lt;Units!$P33,0,IF(AND(Units!$K33=0,BE$1=Units!$O33),Units!$R33,IF(AND(BE$1&gt;=Units!$Q33,MOD(BE$1-Units!$Q33,12)=0),IF(AND(Units!$L33=1,BE$1=Units!$Q33),IF(Units!$J33&lt;&gt;"",Units!$J33,Mkt!BE34),Inputs!$B$15*Mkt!BE34+(1-Inputs!$B$15)*MIN(Mkt!BE34,BD34*(1+Inputs!$B$18))),BD34)))</f>
        <v>1666.408675</v>
      </c>
      <c r="BF34" s="11" t="n">
        <f aca="false">IF(BF$1&lt;Units!$P33,0,IF(AND(Units!$K33=0,BF$1=Units!$O33),Units!$R33,IF(AND(BF$1&gt;=Units!$Q33,MOD(BF$1-Units!$Q33,12)=0),IF(AND(Units!$L33=1,BF$1=Units!$Q33),IF(Units!$J33&lt;&gt;"",Units!$J33,Mkt!BF34),Inputs!$B$15*Mkt!BF34+(1-Inputs!$B$15)*MIN(Mkt!BF34,BE34*(1+Inputs!$B$18))),BE34)))</f>
        <v>1666.408675</v>
      </c>
      <c r="BG34" s="11" t="n">
        <f aca="false">IF(BG$1&lt;Units!$P33,0,IF(AND(Units!$K33=0,BG$1=Units!$O33),Units!$R33,IF(AND(BG$1&gt;=Units!$Q33,MOD(BG$1-Units!$Q33,12)=0),IF(AND(Units!$L33=1,BG$1=Units!$Q33),IF(Units!$J33&lt;&gt;"",Units!$J33,Mkt!BG34),Inputs!$B$15*Mkt!BG34+(1-Inputs!$B$15)*MIN(Mkt!BG34,BF34*(1+Inputs!$B$18))),BF34)))</f>
        <v>1666.408675</v>
      </c>
      <c r="BH34" s="11" t="n">
        <f aca="false">IF(BH$1&lt;Units!$P33,0,IF(AND(Units!$K33=0,BH$1=Units!$O33),Units!$R33,IF(AND(BH$1&gt;=Units!$Q33,MOD(BH$1-Units!$Q33,12)=0),IF(AND(Units!$L33=1,BH$1=Units!$Q33),IF(Units!$J33&lt;&gt;"",Units!$J33,Mkt!BH34),Inputs!$B$15*Mkt!BH34+(1-Inputs!$B$15)*MIN(Mkt!BH34,BG34*(1+Inputs!$B$18))),BG34)))</f>
        <v>1716.40093525</v>
      </c>
      <c r="BI34" s="11" t="n">
        <f aca="false">IF(BI$1&lt;Units!$P33,0,IF(AND(Units!$K33=0,BI$1=Units!$O33),Units!$R33,IF(AND(BI$1&gt;=Units!$Q33,MOD(BI$1-Units!$Q33,12)=0),IF(AND(Units!$L33=1,BI$1=Units!$Q33),IF(Units!$J33&lt;&gt;"",Units!$J33,Mkt!BI34),Inputs!$B$15*Mkt!BI34+(1-Inputs!$B$15)*MIN(Mkt!BI34,BH34*(1+Inputs!$B$18))),BH34)))</f>
        <v>1716.40093525</v>
      </c>
      <c r="BJ34" s="11" t="n">
        <f aca="false">IF(BJ$1&lt;Units!$P33,0,IF(AND(Units!$K33=0,BJ$1=Units!$O33),Units!$R33,IF(AND(BJ$1&gt;=Units!$Q33,MOD(BJ$1-Units!$Q33,12)=0),IF(AND(Units!$L33=1,BJ$1=Units!$Q33),IF(Units!$J33&lt;&gt;"",Units!$J33,Mkt!BJ34),Inputs!$B$15*Mkt!BJ34+(1-Inputs!$B$15)*MIN(Mkt!BJ34,BI34*(1+Inputs!$B$18))),BI34)))</f>
        <v>1716.40093525</v>
      </c>
      <c r="BK34" s="11" t="n">
        <f aca="false">IF(BK$1&lt;Units!$P33,0,IF(AND(Units!$K33=0,BK$1=Units!$O33),Units!$R33,IF(AND(BK$1&gt;=Units!$Q33,MOD(BK$1-Units!$Q33,12)=0),IF(AND(Units!$L33=1,BK$1=Units!$Q33),IF(Units!$J33&lt;&gt;"",Units!$J33,Mkt!BK34),Inputs!$B$15*Mkt!BK34+(1-Inputs!$B$15)*MIN(Mkt!BK34,BJ34*(1+Inputs!$B$18))),BJ34)))</f>
        <v>1716.40093525</v>
      </c>
      <c r="BL34" s="11" t="n">
        <f aca="false">IF(BL$1&lt;Units!$P33,0,IF(AND(Units!$K33=0,BL$1=Units!$O33),Units!$R33,IF(AND(BL$1&gt;=Units!$Q33,MOD(BL$1-Units!$Q33,12)=0),IF(AND(Units!$L33=1,BL$1=Units!$Q33),IF(Units!$J33&lt;&gt;"",Units!$J33,Mkt!BL34),Inputs!$B$15*Mkt!BL34+(1-Inputs!$B$15)*MIN(Mkt!BL34,BK34*(1+Inputs!$B$18))),BK34)))</f>
        <v>1716.40093525</v>
      </c>
      <c r="BM34" s="11" t="n">
        <f aca="false">IF(BM$1&lt;Units!$P33,0,IF(AND(Units!$K33=0,BM$1=Units!$O33),Units!$R33,IF(AND(BM$1&gt;=Units!$Q33,MOD(BM$1-Units!$Q33,12)=0),IF(AND(Units!$L33=1,BM$1=Units!$Q33),IF(Units!$J33&lt;&gt;"",Units!$J33,Mkt!BM34),Inputs!$B$15*Mkt!BM34+(1-Inputs!$B$15)*MIN(Mkt!BM34,BL34*(1+Inputs!$B$18))),BL34)))</f>
        <v>1716.40093525</v>
      </c>
      <c r="BN34" s="11" t="n">
        <f aca="false">IF(BN$1&lt;Units!$P33,0,IF(AND(Units!$K33=0,BN$1=Units!$O33),Units!$R33,IF(AND(BN$1&gt;=Units!$Q33,MOD(BN$1-Units!$Q33,12)=0),IF(AND(Units!$L33=1,BN$1=Units!$Q33),IF(Units!$J33&lt;&gt;"",Units!$J33,Mkt!BN34),Inputs!$B$15*Mkt!BN34+(1-Inputs!$B$15)*MIN(Mkt!BN34,BM34*(1+Inputs!$B$18))),BM34)))</f>
        <v>1716.40093525</v>
      </c>
      <c r="BO34" s="11" t="n">
        <f aca="false">IF(BO$1&lt;Units!$P33,0,IF(AND(Units!$K33=0,BO$1=Units!$O33),Units!$R33,IF(AND(BO$1&gt;=Units!$Q33,MOD(BO$1-Units!$Q33,12)=0),IF(AND(Units!$L33=1,BO$1=Units!$Q33),IF(Units!$J33&lt;&gt;"",Units!$J33,Mkt!BO34),Inputs!$B$15*Mkt!BO34+(1-Inputs!$B$15)*MIN(Mkt!BO34,BN34*(1+Inputs!$B$18))),BN34)))</f>
        <v>1716.40093525</v>
      </c>
      <c r="BP34" s="11" t="n">
        <f aca="false">IF(BP$1&lt;Units!$P33,0,IF(AND(Units!$K33=0,BP$1=Units!$O33),Units!$R33,IF(AND(BP$1&gt;=Units!$Q33,MOD(BP$1-Units!$Q33,12)=0),IF(AND(Units!$L33=1,BP$1=Units!$Q33),IF(Units!$J33&lt;&gt;"",Units!$J33,Mkt!BP34),Inputs!$B$15*Mkt!BP34+(1-Inputs!$B$15)*MIN(Mkt!BP34,BO34*(1+Inputs!$B$18))),BO34)))</f>
        <v>1716.40093525</v>
      </c>
      <c r="BQ34" s="11" t="n">
        <f aca="false">IF(BQ$1&lt;Units!$P33,0,IF(AND(Units!$K33=0,BQ$1=Units!$O33),Units!$R33,IF(AND(BQ$1&gt;=Units!$Q33,MOD(BQ$1-Units!$Q33,12)=0),IF(AND(Units!$L33=1,BQ$1=Units!$Q33),IF(Units!$J33&lt;&gt;"",Units!$J33,Mkt!BQ34),Inputs!$B$15*Mkt!BQ34+(1-Inputs!$B$15)*MIN(Mkt!BQ34,BP34*(1+Inputs!$B$18))),BP34)))</f>
        <v>1716.40093525</v>
      </c>
      <c r="BR34" s="11" t="n">
        <f aca="false">IF(BR$1&lt;Units!$P33,0,IF(AND(Units!$K33=0,BR$1=Units!$O33),Units!$R33,IF(AND(BR$1&gt;=Units!$Q33,MOD(BR$1-Units!$Q33,12)=0),IF(AND(Units!$L33=1,BR$1=Units!$Q33),IF(Units!$J33&lt;&gt;"",Units!$J33,Mkt!BR34),Inputs!$B$15*Mkt!BR34+(1-Inputs!$B$15)*MIN(Mkt!BR34,BQ34*(1+Inputs!$B$18))),BQ34)))</f>
        <v>1716.40093525</v>
      </c>
      <c r="BS34" s="11" t="n">
        <f aca="false">IF(BS$1&lt;Units!$P33,0,IF(AND(Units!$K33=0,BS$1=Units!$O33),Units!$R33,IF(AND(BS$1&gt;=Units!$Q33,MOD(BS$1-Units!$Q33,12)=0),IF(AND(Units!$L33=1,BS$1=Units!$Q33),IF(Units!$J33&lt;&gt;"",Units!$J33,Mkt!BS34),Inputs!$B$15*Mkt!BS34+(1-Inputs!$B$15)*MIN(Mkt!BS34,BR34*(1+Inputs!$B$18))),BR34)))</f>
        <v>1716.40093525</v>
      </c>
      <c r="BT34" s="11" t="n">
        <f aca="false">IF(BT$1&lt;Units!$P33,0,IF(AND(Units!$K33=0,BT$1=Units!$O33),Units!$R33,IF(AND(BT$1&gt;=Units!$Q33,MOD(BT$1-Units!$Q33,12)=0),IF(AND(Units!$L33=1,BT$1=Units!$Q33),IF(Units!$J33&lt;&gt;"",Units!$J33,Mkt!BT34),Inputs!$B$15*Mkt!BT34+(1-Inputs!$B$15)*MIN(Mkt!BT34,BS34*(1+Inputs!$B$18))),BS34)))</f>
        <v>1767.8929633075</v>
      </c>
      <c r="BU34" s="11" t="n">
        <f aca="false">IF(BU$1&lt;Units!$P33,0,IF(AND(Units!$K33=0,BU$1=Units!$O33),Units!$R33,IF(AND(BU$1&gt;=Units!$Q33,MOD(BU$1-Units!$Q33,12)=0),IF(AND(Units!$L33=1,BU$1=Units!$Q33),IF(Units!$J33&lt;&gt;"",Units!$J33,Mkt!BU34),Inputs!$B$15*Mkt!BU34+(1-Inputs!$B$15)*MIN(Mkt!BU34,BT34*(1+Inputs!$B$18))),BT34)))</f>
        <v>1767.8929633075</v>
      </c>
      <c r="BV34" s="11" t="n">
        <f aca="false">IF(BV$1&lt;Units!$P33,0,IF(AND(Units!$K33=0,BV$1=Units!$O33),Units!$R33,IF(AND(BV$1&gt;=Units!$Q33,MOD(BV$1-Units!$Q33,12)=0),IF(AND(Units!$L33=1,BV$1=Units!$Q33),IF(Units!$J33&lt;&gt;"",Units!$J33,Mkt!BV34),Inputs!$B$15*Mkt!BV34+(1-Inputs!$B$15)*MIN(Mkt!BV34,BU34*(1+Inputs!$B$18))),BU34)))</f>
        <v>1767.8929633075</v>
      </c>
      <c r="BW34" s="11" t="n">
        <f aca="false">IF(BW$1&lt;Units!$P33,0,IF(AND(Units!$K33=0,BW$1=Units!$O33),Units!$R33,IF(AND(BW$1&gt;=Units!$Q33,MOD(BW$1-Units!$Q33,12)=0),IF(AND(Units!$L33=1,BW$1=Units!$Q33),IF(Units!$J33&lt;&gt;"",Units!$J33,Mkt!BW34),Inputs!$B$15*Mkt!BW34+(1-Inputs!$B$15)*MIN(Mkt!BW34,BV34*(1+Inputs!$B$18))),BV34)))</f>
        <v>1767.8929633075</v>
      </c>
      <c r="BX34" s="11" t="n">
        <f aca="false">IF(BX$1&lt;Units!$P33,0,IF(AND(Units!$K33=0,BX$1=Units!$O33),Units!$R33,IF(AND(BX$1&gt;=Units!$Q33,MOD(BX$1-Units!$Q33,12)=0),IF(AND(Units!$L33=1,BX$1=Units!$Q33),IF(Units!$J33&lt;&gt;"",Units!$J33,Mkt!BX34),Inputs!$B$15*Mkt!BX34+(1-Inputs!$B$15)*MIN(Mkt!BX34,BW34*(1+Inputs!$B$18))),BW34)))</f>
        <v>1767.8929633075</v>
      </c>
      <c r="BY34" s="11" t="n">
        <f aca="false">IF(BY$1&lt;Units!$P33,0,IF(AND(Units!$K33=0,BY$1=Units!$O33),Units!$R33,IF(AND(BY$1&gt;=Units!$Q33,MOD(BY$1-Units!$Q33,12)=0),IF(AND(Units!$L33=1,BY$1=Units!$Q33),IF(Units!$J33&lt;&gt;"",Units!$J33,Mkt!BY34),Inputs!$B$15*Mkt!BY34+(1-Inputs!$B$15)*MIN(Mkt!BY34,BX34*(1+Inputs!$B$18))),BX34)))</f>
        <v>1767.8929633075</v>
      </c>
      <c r="BZ34" s="11" t="n">
        <f aca="false">IF(BZ$1&lt;Units!$P33,0,IF(AND(Units!$K33=0,BZ$1=Units!$O33),Units!$R33,IF(AND(BZ$1&gt;=Units!$Q33,MOD(BZ$1-Units!$Q33,12)=0),IF(AND(Units!$L33=1,BZ$1=Units!$Q33),IF(Units!$J33&lt;&gt;"",Units!$J33,Mkt!BZ34),Inputs!$B$15*Mkt!BZ34+(1-Inputs!$B$15)*MIN(Mkt!BZ34,BY34*(1+Inputs!$B$18))),BY34)))</f>
        <v>1767.8929633075</v>
      </c>
      <c r="CA34" s="11" t="n">
        <f aca="false">IF(CA$1&lt;Units!$P33,0,IF(AND(Units!$K33=0,CA$1=Units!$O33),Units!$R33,IF(AND(CA$1&gt;=Units!$Q33,MOD(CA$1-Units!$Q33,12)=0),IF(AND(Units!$L33=1,CA$1=Units!$Q33),IF(Units!$J33&lt;&gt;"",Units!$J33,Mkt!CA34),Inputs!$B$15*Mkt!CA34+(1-Inputs!$B$15)*MIN(Mkt!CA34,BZ34*(1+Inputs!$B$18))),BZ34)))</f>
        <v>1767.8929633075</v>
      </c>
      <c r="CB34" s="11" t="n">
        <f aca="false">IF(CB$1&lt;Units!$P33,0,IF(AND(Units!$K33=0,CB$1=Units!$O33),Units!$R33,IF(AND(CB$1&gt;=Units!$Q33,MOD(CB$1-Units!$Q33,12)=0),IF(AND(Units!$L33=1,CB$1=Units!$Q33),IF(Units!$J33&lt;&gt;"",Units!$J33,Mkt!CB34),Inputs!$B$15*Mkt!CB34+(1-Inputs!$B$15)*MIN(Mkt!CB34,CA34*(1+Inputs!$B$18))),CA34)))</f>
        <v>1767.8929633075</v>
      </c>
      <c r="CC34" s="11" t="n">
        <f aca="false">IF(CC$1&lt;Units!$P33,0,IF(AND(Units!$K33=0,CC$1=Units!$O33),Units!$R33,IF(AND(CC$1&gt;=Units!$Q33,MOD(CC$1-Units!$Q33,12)=0),IF(AND(Units!$L33=1,CC$1=Units!$Q33),IF(Units!$J33&lt;&gt;"",Units!$J33,Mkt!CC34),Inputs!$B$15*Mkt!CC34+(1-Inputs!$B$15)*MIN(Mkt!CC34,CB34*(1+Inputs!$B$18))),CB34)))</f>
        <v>1767.8929633075</v>
      </c>
      <c r="CD34" s="11" t="n">
        <f aca="false">IF(CD$1&lt;Units!$P33,0,IF(AND(Units!$K33=0,CD$1=Units!$O33),Units!$R33,IF(AND(CD$1&gt;=Units!$Q33,MOD(CD$1-Units!$Q33,12)=0),IF(AND(Units!$L33=1,CD$1=Units!$Q33),IF(Units!$J33&lt;&gt;"",Units!$J33,Mkt!CD34),Inputs!$B$15*Mkt!CD34+(1-Inputs!$B$15)*MIN(Mkt!CD34,CC34*(1+Inputs!$B$18))),CC34)))</f>
        <v>1767.8929633075</v>
      </c>
      <c r="CE34" s="11" t="n">
        <f aca="false">IF(CE$1&lt;Units!$P33,0,IF(AND(Units!$K33=0,CE$1=Units!$O33),Units!$R33,IF(AND(CE$1&gt;=Units!$Q33,MOD(CE$1-Units!$Q33,12)=0),IF(AND(Units!$L33=1,CE$1=Units!$Q33),IF(Units!$J33&lt;&gt;"",Units!$J33,Mkt!CE34),Inputs!$B$15*Mkt!CE34+(1-Inputs!$B$15)*MIN(Mkt!CE34,CD34*(1+Inputs!$B$18))),CD34)))</f>
        <v>1767.8929633075</v>
      </c>
      <c r="CF34" s="11" t="n">
        <f aca="false">IF(CF$1&lt;Units!$P33,0,IF(AND(Units!$K33=0,CF$1=Units!$O33),Units!$R33,IF(AND(CF$1&gt;=Units!$Q33,MOD(CF$1-Units!$Q33,12)=0),IF(AND(Units!$L33=1,CF$1=Units!$Q33),IF(Units!$J33&lt;&gt;"",Units!$J33,Mkt!CF34),Inputs!$B$15*Mkt!CF34+(1-Inputs!$B$15)*MIN(Mkt!CF34,CE34*(1+Inputs!$B$18))),CE34)))</f>
        <v>1820.92975220673</v>
      </c>
      <c r="CG34" s="11" t="n">
        <f aca="false">IF(CG$1&lt;Units!$P33,0,IF(AND(Units!$K33=0,CG$1=Units!$O33),Units!$R33,IF(AND(CG$1&gt;=Units!$Q33,MOD(CG$1-Units!$Q33,12)=0),IF(AND(Units!$L33=1,CG$1=Units!$Q33),IF(Units!$J33&lt;&gt;"",Units!$J33,Mkt!CG34),Inputs!$B$15*Mkt!CG34+(1-Inputs!$B$15)*MIN(Mkt!CG34,CF34*(1+Inputs!$B$18))),CF34)))</f>
        <v>1820.92975220673</v>
      </c>
      <c r="CH34" s="11" t="n">
        <f aca="false">IF(CH$1&lt;Units!$P33,0,IF(AND(Units!$K33=0,CH$1=Units!$O33),Units!$R33,IF(AND(CH$1&gt;=Units!$Q33,MOD(CH$1-Units!$Q33,12)=0),IF(AND(Units!$L33=1,CH$1=Units!$Q33),IF(Units!$J33&lt;&gt;"",Units!$J33,Mkt!CH34),Inputs!$B$15*Mkt!CH34+(1-Inputs!$B$15)*MIN(Mkt!CH34,CG34*(1+Inputs!$B$18))),CG34)))</f>
        <v>1820.92975220673</v>
      </c>
      <c r="CI34" s="11" t="n">
        <f aca="false">IF(CI$1&lt;Units!$P33,0,IF(AND(Units!$K33=0,CI$1=Units!$O33),Units!$R33,IF(AND(CI$1&gt;=Units!$Q33,MOD(CI$1-Units!$Q33,12)=0),IF(AND(Units!$L33=1,CI$1=Units!$Q33),IF(Units!$J33&lt;&gt;"",Units!$J33,Mkt!CI34),Inputs!$B$15*Mkt!CI34+(1-Inputs!$B$15)*MIN(Mkt!CI34,CH34*(1+Inputs!$B$18))),CH34)))</f>
        <v>1820.92975220673</v>
      </c>
      <c r="CJ34" s="11" t="n">
        <f aca="false">IF(CJ$1&lt;Units!$P33,0,IF(AND(Units!$K33=0,CJ$1=Units!$O33),Units!$R33,IF(AND(CJ$1&gt;=Units!$Q33,MOD(CJ$1-Units!$Q33,12)=0),IF(AND(Units!$L33=1,CJ$1=Units!$Q33),IF(Units!$J33&lt;&gt;"",Units!$J33,Mkt!CJ34),Inputs!$B$15*Mkt!CJ34+(1-Inputs!$B$15)*MIN(Mkt!CJ34,CI34*(1+Inputs!$B$18))),CI34)))</f>
        <v>1820.92975220673</v>
      </c>
      <c r="CK34" s="11" t="n">
        <f aca="false">IF(CK$1&lt;Units!$P33,0,IF(AND(Units!$K33=0,CK$1=Units!$O33),Units!$R33,IF(AND(CK$1&gt;=Units!$Q33,MOD(CK$1-Units!$Q33,12)=0),IF(AND(Units!$L33=1,CK$1=Units!$Q33),IF(Units!$J33&lt;&gt;"",Units!$J33,Mkt!CK34),Inputs!$B$15*Mkt!CK34+(1-Inputs!$B$15)*MIN(Mkt!CK34,CJ34*(1+Inputs!$B$18))),CJ34)))</f>
        <v>1820.92975220673</v>
      </c>
      <c r="CL34" s="11" t="n">
        <f aca="false">IF(CL$1&lt;Units!$P33,0,IF(AND(Units!$K33=0,CL$1=Units!$O33),Units!$R33,IF(AND(CL$1&gt;=Units!$Q33,MOD(CL$1-Units!$Q33,12)=0),IF(AND(Units!$L33=1,CL$1=Units!$Q33),IF(Units!$J33&lt;&gt;"",Units!$J33,Mkt!CL34),Inputs!$B$15*Mkt!CL34+(1-Inputs!$B$15)*MIN(Mkt!CL34,CK34*(1+Inputs!$B$18))),CK34)))</f>
        <v>1820.92975220673</v>
      </c>
      <c r="CM34" s="11" t="n">
        <f aca="false">IF(CM$1&lt;Units!$P33,0,IF(AND(Units!$K33=0,CM$1=Units!$O33),Units!$R33,IF(AND(CM$1&gt;=Units!$Q33,MOD(CM$1-Units!$Q33,12)=0),IF(AND(Units!$L33=1,CM$1=Units!$Q33),IF(Units!$J33&lt;&gt;"",Units!$J33,Mkt!CM34),Inputs!$B$15*Mkt!CM34+(1-Inputs!$B$15)*MIN(Mkt!CM34,CL34*(1+Inputs!$B$18))),CL34)))</f>
        <v>1820.92975220673</v>
      </c>
      <c r="CN34" s="11" t="n">
        <f aca="false">IF(CN$1&lt;Units!$P33,0,IF(AND(Units!$K33=0,CN$1=Units!$O33),Units!$R33,IF(AND(CN$1&gt;=Units!$Q33,MOD(CN$1-Units!$Q33,12)=0),IF(AND(Units!$L33=1,CN$1=Units!$Q33),IF(Units!$J33&lt;&gt;"",Units!$J33,Mkt!CN34),Inputs!$B$15*Mkt!CN34+(1-Inputs!$B$15)*MIN(Mkt!CN34,CM34*(1+Inputs!$B$18))),CM34)))</f>
        <v>1820.92975220673</v>
      </c>
      <c r="CO34" s="11" t="n">
        <f aca="false">IF(CO$1&lt;Units!$P33,0,IF(AND(Units!$K33=0,CO$1=Units!$O33),Units!$R33,IF(AND(CO$1&gt;=Units!$Q33,MOD(CO$1-Units!$Q33,12)=0),IF(AND(Units!$L33=1,CO$1=Units!$Q33),IF(Units!$J33&lt;&gt;"",Units!$J33,Mkt!CO34),Inputs!$B$15*Mkt!CO34+(1-Inputs!$B$15)*MIN(Mkt!CO34,CN34*(1+Inputs!$B$18))),CN34)))</f>
        <v>1820.92975220673</v>
      </c>
      <c r="CP34" s="11" t="n">
        <f aca="false">IF(CP$1&lt;Units!$P33,0,IF(AND(Units!$K33=0,CP$1=Units!$O33),Units!$R33,IF(AND(CP$1&gt;=Units!$Q33,MOD(CP$1-Units!$Q33,12)=0),IF(AND(Units!$L33=1,CP$1=Units!$Q33),IF(Units!$J33&lt;&gt;"",Units!$J33,Mkt!CP34),Inputs!$B$15*Mkt!CP34+(1-Inputs!$B$15)*MIN(Mkt!CP34,CO34*(1+Inputs!$B$18))),CO34)))</f>
        <v>1820.92975220673</v>
      </c>
      <c r="CQ34" s="11" t="n">
        <f aca="false">IF(CQ$1&lt;Units!$P33,0,IF(AND(Units!$K33=0,CQ$1=Units!$O33),Units!$R33,IF(AND(CQ$1&gt;=Units!$Q33,MOD(CQ$1-Units!$Q33,12)=0),IF(AND(Units!$L33=1,CQ$1=Units!$Q33),IF(Units!$J33&lt;&gt;"",Units!$J33,Mkt!CQ34),Inputs!$B$15*Mkt!CQ34+(1-Inputs!$B$15)*MIN(Mkt!CQ34,CP34*(1+Inputs!$B$18))),CP34)))</f>
        <v>1820.92975220673</v>
      </c>
      <c r="CR34" s="11" t="n">
        <f aca="false">IF(CR$1&lt;Units!$P33,0,IF(AND(Units!$K33=0,CR$1=Units!$O33),Units!$R33,IF(AND(CR$1&gt;=Units!$Q33,MOD(CR$1-Units!$Q33,12)=0),IF(AND(Units!$L33=1,CR$1=Units!$Q33),IF(Units!$J33&lt;&gt;"",Units!$J33,Mkt!CR34),Inputs!$B$15*Mkt!CR34+(1-Inputs!$B$15)*MIN(Mkt!CR34,CQ34*(1+Inputs!$B$18))),CQ34)))</f>
        <v>1875.55764477293</v>
      </c>
      <c r="CS34" s="11" t="n">
        <f aca="false">IF(CS$1&lt;Units!$P33,0,IF(AND(Units!$K33=0,CS$1=Units!$O33),Units!$R33,IF(AND(CS$1&gt;=Units!$Q33,MOD(CS$1-Units!$Q33,12)=0),IF(AND(Units!$L33=1,CS$1=Units!$Q33),IF(Units!$J33&lt;&gt;"",Units!$J33,Mkt!CS34),Inputs!$B$15*Mkt!CS34+(1-Inputs!$B$15)*MIN(Mkt!CS34,CR34*(1+Inputs!$B$18))),CR34)))</f>
        <v>1875.55764477293</v>
      </c>
      <c r="CT34" s="11" t="n">
        <f aca="false">IF(CT$1&lt;Units!$P33,0,IF(AND(Units!$K33=0,CT$1=Units!$O33),Units!$R33,IF(AND(CT$1&gt;=Units!$Q33,MOD(CT$1-Units!$Q33,12)=0),IF(AND(Units!$L33=1,CT$1=Units!$Q33),IF(Units!$J33&lt;&gt;"",Units!$J33,Mkt!CT34),Inputs!$B$15*Mkt!CT34+(1-Inputs!$B$15)*MIN(Mkt!CT34,CS34*(1+Inputs!$B$18))),CS34)))</f>
        <v>1875.55764477293</v>
      </c>
      <c r="CU34" s="11" t="n">
        <f aca="false">IF(CU$1&lt;Units!$P33,0,IF(AND(Units!$K33=0,CU$1=Units!$O33),Units!$R33,IF(AND(CU$1&gt;=Units!$Q33,MOD(CU$1-Units!$Q33,12)=0),IF(AND(Units!$L33=1,CU$1=Units!$Q33),IF(Units!$J33&lt;&gt;"",Units!$J33,Mkt!CU34),Inputs!$B$15*Mkt!CU34+(1-Inputs!$B$15)*MIN(Mkt!CU34,CT34*(1+Inputs!$B$18))),CT34)))</f>
        <v>1875.55764477293</v>
      </c>
      <c r="CV34" s="11" t="n">
        <f aca="false">IF(CV$1&lt;Units!$P33,0,IF(AND(Units!$K33=0,CV$1=Units!$O33),Units!$R33,IF(AND(CV$1&gt;=Units!$Q33,MOD(CV$1-Units!$Q33,12)=0),IF(AND(Units!$L33=1,CV$1=Units!$Q33),IF(Units!$J33&lt;&gt;"",Units!$J33,Mkt!CV34),Inputs!$B$15*Mkt!CV34+(1-Inputs!$B$15)*MIN(Mkt!CV34,CU34*(1+Inputs!$B$18))),CU34)))</f>
        <v>1875.55764477293</v>
      </c>
      <c r="CW34" s="11" t="n">
        <f aca="false">IF(CW$1&lt;Units!$P33,0,IF(AND(Units!$K33=0,CW$1=Units!$O33),Units!$R33,IF(AND(CW$1&gt;=Units!$Q33,MOD(CW$1-Units!$Q33,12)=0),IF(AND(Units!$L33=1,CW$1=Units!$Q33),IF(Units!$J33&lt;&gt;"",Units!$J33,Mkt!CW34),Inputs!$B$15*Mkt!CW34+(1-Inputs!$B$15)*MIN(Mkt!CW34,CV34*(1+Inputs!$B$18))),CV34)))</f>
        <v>1875.55764477293</v>
      </c>
      <c r="CX34" s="11" t="n">
        <f aca="false">IF(CX$1&lt;Units!$P33,0,IF(AND(Units!$K33=0,CX$1=Units!$O33),Units!$R33,IF(AND(CX$1&gt;=Units!$Q33,MOD(CX$1-Units!$Q33,12)=0),IF(AND(Units!$L33=1,CX$1=Units!$Q33),IF(Units!$J33&lt;&gt;"",Units!$J33,Mkt!CX34),Inputs!$B$15*Mkt!CX34+(1-Inputs!$B$15)*MIN(Mkt!CX34,CW34*(1+Inputs!$B$18))),CW34)))</f>
        <v>1875.55764477293</v>
      </c>
      <c r="CY34" s="11" t="n">
        <f aca="false">IF(CY$1&lt;Units!$P33,0,IF(AND(Units!$K33=0,CY$1=Units!$O33),Units!$R33,IF(AND(CY$1&gt;=Units!$Q33,MOD(CY$1-Units!$Q33,12)=0),IF(AND(Units!$L33=1,CY$1=Units!$Q33),IF(Units!$J33&lt;&gt;"",Units!$J33,Mkt!CY34),Inputs!$B$15*Mkt!CY34+(1-Inputs!$B$15)*MIN(Mkt!CY34,CX34*(1+Inputs!$B$18))),CX34)))</f>
        <v>1875.55764477293</v>
      </c>
      <c r="CZ34" s="11" t="n">
        <f aca="false">IF(CZ$1&lt;Units!$P33,0,IF(AND(Units!$K33=0,CZ$1=Units!$O33),Units!$R33,IF(AND(CZ$1&gt;=Units!$Q33,MOD(CZ$1-Units!$Q33,12)=0),IF(AND(Units!$L33=1,CZ$1=Units!$Q33),IF(Units!$J33&lt;&gt;"",Units!$J33,Mkt!CZ34),Inputs!$B$15*Mkt!CZ34+(1-Inputs!$B$15)*MIN(Mkt!CZ34,CY34*(1+Inputs!$B$18))),CY34)))</f>
        <v>1875.55764477293</v>
      </c>
      <c r="DA34" s="11" t="n">
        <f aca="false">IF(DA$1&lt;Units!$P33,0,IF(AND(Units!$K33=0,DA$1=Units!$O33),Units!$R33,IF(AND(DA$1&gt;=Units!$Q33,MOD(DA$1-Units!$Q33,12)=0),IF(AND(Units!$L33=1,DA$1=Units!$Q33),IF(Units!$J33&lt;&gt;"",Units!$J33,Mkt!DA34),Inputs!$B$15*Mkt!DA34+(1-Inputs!$B$15)*MIN(Mkt!DA34,CZ34*(1+Inputs!$B$18))),CZ34)))</f>
        <v>1875.55764477293</v>
      </c>
      <c r="DB34" s="11" t="n">
        <f aca="false">IF(DB$1&lt;Units!$P33,0,IF(AND(Units!$K33=0,DB$1=Units!$O33),Units!$R33,IF(AND(DB$1&gt;=Units!$Q33,MOD(DB$1-Units!$Q33,12)=0),IF(AND(Units!$L33=1,DB$1=Units!$Q33),IF(Units!$J33&lt;&gt;"",Units!$J33,Mkt!DB34),Inputs!$B$15*Mkt!DB34+(1-Inputs!$B$15)*MIN(Mkt!DB34,DA34*(1+Inputs!$B$18))),DA34)))</f>
        <v>1875.55764477293</v>
      </c>
      <c r="DC34" s="11" t="n">
        <f aca="false">IF(DC$1&lt;Units!$P33,0,IF(AND(Units!$K33=0,DC$1=Units!$O33),Units!$R33,IF(AND(DC$1&gt;=Units!$Q33,MOD(DC$1-Units!$Q33,12)=0),IF(AND(Units!$L33=1,DC$1=Units!$Q33),IF(Units!$J33&lt;&gt;"",Units!$J33,Mkt!DC34),Inputs!$B$15*Mkt!DC34+(1-Inputs!$B$15)*MIN(Mkt!DC34,DB34*(1+Inputs!$B$18))),DB34)))</f>
        <v>1875.55764477293</v>
      </c>
      <c r="DD34" s="11" t="n">
        <f aca="false">IF(DD$1&lt;Units!$P33,0,IF(AND(Units!$K33=0,DD$1=Units!$O33),Units!$R33,IF(AND(DD$1&gt;=Units!$Q33,MOD(DD$1-Units!$Q33,12)=0),IF(AND(Units!$L33=1,DD$1=Units!$Q33),IF(Units!$J33&lt;&gt;"",Units!$J33,Mkt!DD34),Inputs!$B$15*Mkt!DD34+(1-Inputs!$B$15)*MIN(Mkt!DD34,DC34*(1+Inputs!$B$18))),DC34)))</f>
        <v>1931.82437411612</v>
      </c>
      <c r="DE34" s="11" t="n">
        <f aca="false">IF(DE$1&lt;Units!$P33,0,IF(AND(Units!$K33=0,DE$1=Units!$O33),Units!$R33,IF(AND(DE$1&gt;=Units!$Q33,MOD(DE$1-Units!$Q33,12)=0),IF(AND(Units!$L33=1,DE$1=Units!$Q33),IF(Units!$J33&lt;&gt;"",Units!$J33,Mkt!DE34),Inputs!$B$15*Mkt!DE34+(1-Inputs!$B$15)*MIN(Mkt!DE34,DD34*(1+Inputs!$B$18))),DD34)))</f>
        <v>1931.82437411612</v>
      </c>
      <c r="DF34" s="11" t="n">
        <f aca="false">IF(DF$1&lt;Units!$P33,0,IF(AND(Units!$K33=0,DF$1=Units!$O33),Units!$R33,IF(AND(DF$1&gt;=Units!$Q33,MOD(DF$1-Units!$Q33,12)=0),IF(AND(Units!$L33=1,DF$1=Units!$Q33),IF(Units!$J33&lt;&gt;"",Units!$J33,Mkt!DF34),Inputs!$B$15*Mkt!DF34+(1-Inputs!$B$15)*MIN(Mkt!DF34,DE34*(1+Inputs!$B$18))),DE34)))</f>
        <v>1931.82437411612</v>
      </c>
      <c r="DG34" s="11" t="n">
        <f aca="false">IF(DG$1&lt;Units!$P33,0,IF(AND(Units!$K33=0,DG$1=Units!$O33),Units!$R33,IF(AND(DG$1&gt;=Units!$Q33,MOD(DG$1-Units!$Q33,12)=0),IF(AND(Units!$L33=1,DG$1=Units!$Q33),IF(Units!$J33&lt;&gt;"",Units!$J33,Mkt!DG34),Inputs!$B$15*Mkt!DG34+(1-Inputs!$B$15)*MIN(Mkt!DG34,DF34*(1+Inputs!$B$18))),DF34)))</f>
        <v>1931.82437411612</v>
      </c>
      <c r="DH34" s="11" t="n">
        <f aca="false">IF(DH$1&lt;Units!$P33,0,IF(AND(Units!$K33=0,DH$1=Units!$O33),Units!$R33,IF(AND(DH$1&gt;=Units!$Q33,MOD(DH$1-Units!$Q33,12)=0),IF(AND(Units!$L33=1,DH$1=Units!$Q33),IF(Units!$J33&lt;&gt;"",Units!$J33,Mkt!DH34),Inputs!$B$15*Mkt!DH34+(1-Inputs!$B$15)*MIN(Mkt!DH34,DG34*(1+Inputs!$B$18))),DG34)))</f>
        <v>1931.82437411612</v>
      </c>
      <c r="DI34" s="11" t="n">
        <f aca="false">IF(DI$1&lt;Units!$P33,0,IF(AND(Units!$K33=0,DI$1=Units!$O33),Units!$R33,IF(AND(DI$1&gt;=Units!$Q33,MOD(DI$1-Units!$Q33,12)=0),IF(AND(Units!$L33=1,DI$1=Units!$Q33),IF(Units!$J33&lt;&gt;"",Units!$J33,Mkt!DI34),Inputs!$B$15*Mkt!DI34+(1-Inputs!$B$15)*MIN(Mkt!DI34,DH34*(1+Inputs!$B$18))),DH34)))</f>
        <v>1931.82437411612</v>
      </c>
      <c r="DJ34" s="11" t="n">
        <f aca="false">IF(DJ$1&lt;Units!$P33,0,IF(AND(Units!$K33=0,DJ$1=Units!$O33),Units!$R33,IF(AND(DJ$1&gt;=Units!$Q33,MOD(DJ$1-Units!$Q33,12)=0),IF(AND(Units!$L33=1,DJ$1=Units!$Q33),IF(Units!$J33&lt;&gt;"",Units!$J33,Mkt!DJ34),Inputs!$B$15*Mkt!DJ34+(1-Inputs!$B$15)*MIN(Mkt!DJ34,DI34*(1+Inputs!$B$18))),DI34)))</f>
        <v>1931.82437411612</v>
      </c>
      <c r="DK34" s="11" t="n">
        <f aca="false">IF(DK$1&lt;Units!$P33,0,IF(AND(Units!$K33=0,DK$1=Units!$O33),Units!$R33,IF(AND(DK$1&gt;=Units!$Q33,MOD(DK$1-Units!$Q33,12)=0),IF(AND(Units!$L33=1,DK$1=Units!$Q33),IF(Units!$J33&lt;&gt;"",Units!$J33,Mkt!DK34),Inputs!$B$15*Mkt!DK34+(1-Inputs!$B$15)*MIN(Mkt!DK34,DJ34*(1+Inputs!$B$18))),DJ34)))</f>
        <v>1931.82437411612</v>
      </c>
      <c r="DL34" s="11" t="n">
        <f aca="false">IF(DL$1&lt;Units!$P33,0,IF(AND(Units!$K33=0,DL$1=Units!$O33),Units!$R33,IF(AND(DL$1&gt;=Units!$Q33,MOD(DL$1-Units!$Q33,12)=0),IF(AND(Units!$L33=1,DL$1=Units!$Q33),IF(Units!$J33&lt;&gt;"",Units!$J33,Mkt!DL34),Inputs!$B$15*Mkt!DL34+(1-Inputs!$B$15)*MIN(Mkt!DL34,DK34*(1+Inputs!$B$18))),DK34)))</f>
        <v>1931.82437411612</v>
      </c>
      <c r="DM34" s="11" t="n">
        <f aca="false">IF(DM$1&lt;Units!$P33,0,IF(AND(Units!$K33=0,DM$1=Units!$O33),Units!$R33,IF(AND(DM$1&gt;=Units!$Q33,MOD(DM$1-Units!$Q33,12)=0),IF(AND(Units!$L33=1,DM$1=Units!$Q33),IF(Units!$J33&lt;&gt;"",Units!$J33,Mkt!DM34),Inputs!$B$15*Mkt!DM34+(1-Inputs!$B$15)*MIN(Mkt!DM34,DL34*(1+Inputs!$B$18))),DL34)))</f>
        <v>1931.82437411612</v>
      </c>
      <c r="DN34" s="11" t="n">
        <f aca="false">IF(DN$1&lt;Units!$P33,0,IF(AND(Units!$K33=0,DN$1=Units!$O33),Units!$R33,IF(AND(DN$1&gt;=Units!$Q33,MOD(DN$1-Units!$Q33,12)=0),IF(AND(Units!$L33=1,DN$1=Units!$Q33),IF(Units!$J33&lt;&gt;"",Units!$J33,Mkt!DN34),Inputs!$B$15*Mkt!DN34+(1-Inputs!$B$15)*MIN(Mkt!DN34,DM34*(1+Inputs!$B$18))),DM34)))</f>
        <v>1931.82437411612</v>
      </c>
      <c r="DO34" s="11" t="n">
        <f aca="false">IF(DO$1&lt;Units!$P33,0,IF(AND(Units!$K33=0,DO$1=Units!$O33),Units!$R33,IF(AND(DO$1&gt;=Units!$Q33,MOD(DO$1-Units!$Q33,12)=0),IF(AND(Units!$L33=1,DO$1=Units!$Q33),IF(Units!$J33&lt;&gt;"",Units!$J33,Mkt!DO34),Inputs!$B$15*Mkt!DO34+(1-Inputs!$B$15)*MIN(Mkt!DO34,DN34*(1+Inputs!$B$18))),DN34)))</f>
        <v>1931.82437411612</v>
      </c>
      <c r="DP34" s="11" t="n">
        <f aca="false">IF(DP$1&lt;Units!$P33,0,IF(AND(Units!$K33=0,DP$1=Units!$O33),Units!$R33,IF(AND(DP$1&gt;=Units!$Q33,MOD(DP$1-Units!$Q33,12)=0),IF(AND(Units!$L33=1,DP$1=Units!$Q33),IF(Units!$J33&lt;&gt;"",Units!$J33,Mkt!DP34),Inputs!$B$15*Mkt!DP34+(1-Inputs!$B$15)*MIN(Mkt!DP34,DO34*(1+Inputs!$B$18))),DO34)))</f>
        <v>1989.7791053396</v>
      </c>
      <c r="DQ34" s="11" t="n">
        <f aca="false">IF(DQ$1&lt;Units!$P33,0,IF(AND(Units!$K33=0,DQ$1=Units!$O33),Units!$R33,IF(AND(DQ$1&gt;=Units!$Q33,MOD(DQ$1-Units!$Q33,12)=0),IF(AND(Units!$L33=1,DQ$1=Units!$Q33),IF(Units!$J33&lt;&gt;"",Units!$J33,Mkt!DQ34),Inputs!$B$15*Mkt!DQ34+(1-Inputs!$B$15)*MIN(Mkt!DQ34,DP34*(1+Inputs!$B$18))),DP34)))</f>
        <v>1989.7791053396</v>
      </c>
      <c r="DR34" s="11" t="n">
        <f aca="false">IF(DR$1&lt;Units!$P33,0,IF(AND(Units!$K33=0,DR$1=Units!$O33),Units!$R33,IF(AND(DR$1&gt;=Units!$Q33,MOD(DR$1-Units!$Q33,12)=0),IF(AND(Units!$L33=1,DR$1=Units!$Q33),IF(Units!$J33&lt;&gt;"",Units!$J33,Mkt!DR34),Inputs!$B$15*Mkt!DR34+(1-Inputs!$B$15)*MIN(Mkt!DR34,DQ34*(1+Inputs!$B$18))),DQ34)))</f>
        <v>1989.7791053396</v>
      </c>
      <c r="DS34" s="11" t="n">
        <f aca="false">IF(DS$1&lt;Units!$P33,0,IF(AND(Units!$K33=0,DS$1=Units!$O33),Units!$R33,IF(AND(DS$1&gt;=Units!$Q33,MOD(DS$1-Units!$Q33,12)=0),IF(AND(Units!$L33=1,DS$1=Units!$Q33),IF(Units!$J33&lt;&gt;"",Units!$J33,Mkt!DS34),Inputs!$B$15*Mkt!DS34+(1-Inputs!$B$15)*MIN(Mkt!DS34,DR34*(1+Inputs!$B$18))),DR34)))</f>
        <v>1989.7791053396</v>
      </c>
      <c r="DT34" s="11" t="n">
        <f aca="false">IF(DT$1&lt;Units!$P33,0,IF(AND(Units!$K33=0,DT$1=Units!$O33),Units!$R33,IF(AND(DT$1&gt;=Units!$Q33,MOD(DT$1-Units!$Q33,12)=0),IF(AND(Units!$L33=1,DT$1=Units!$Q33),IF(Units!$J33&lt;&gt;"",Units!$J33,Mkt!DT34),Inputs!$B$15*Mkt!DT34+(1-Inputs!$B$15)*MIN(Mkt!DT34,DS34*(1+Inputs!$B$18))),DS34)))</f>
        <v>1989.7791053396</v>
      </c>
      <c r="DU34" s="11" t="n">
        <f aca="false">IF(DU$1&lt;Units!$P33,0,IF(AND(Units!$K33=0,DU$1=Units!$O33),Units!$R33,IF(AND(DU$1&gt;=Units!$Q33,MOD(DU$1-Units!$Q33,12)=0),IF(AND(Units!$L33=1,DU$1=Units!$Q33),IF(Units!$J33&lt;&gt;"",Units!$J33,Mkt!DU34),Inputs!$B$15*Mkt!DU34+(1-Inputs!$B$15)*MIN(Mkt!DU34,DT34*(1+Inputs!$B$18))),DT34)))</f>
        <v>1989.7791053396</v>
      </c>
      <c r="DV34" s="11" t="n">
        <f aca="false">IF(DV$1&lt;Units!$P33,0,IF(AND(Units!$K33=0,DV$1=Units!$O33),Units!$R33,IF(AND(DV$1&gt;=Units!$Q33,MOD(DV$1-Units!$Q33,12)=0),IF(AND(Units!$L33=1,DV$1=Units!$Q33),IF(Units!$J33&lt;&gt;"",Units!$J33,Mkt!DV34),Inputs!$B$15*Mkt!DV34+(1-Inputs!$B$15)*MIN(Mkt!DV34,DU34*(1+Inputs!$B$18))),DU34)))</f>
        <v>1989.7791053396</v>
      </c>
      <c r="DW34" s="11" t="n">
        <f aca="false">IF(DW$1&lt;Units!$P33,0,IF(AND(Units!$K33=0,DW$1=Units!$O33),Units!$R33,IF(AND(DW$1&gt;=Units!$Q33,MOD(DW$1-Units!$Q33,12)=0),IF(AND(Units!$L33=1,DW$1=Units!$Q33),IF(Units!$J33&lt;&gt;"",Units!$J33,Mkt!DW34),Inputs!$B$15*Mkt!DW34+(1-Inputs!$B$15)*MIN(Mkt!DW34,DV34*(1+Inputs!$B$18))),DV34)))</f>
        <v>1989.7791053396</v>
      </c>
      <c r="DX34" s="11" t="n">
        <f aca="false">IF(DX$1&lt;Units!$P33,0,IF(AND(Units!$K33=0,DX$1=Units!$O33),Units!$R33,IF(AND(DX$1&gt;=Units!$Q33,MOD(DX$1-Units!$Q33,12)=0),IF(AND(Units!$L33=1,DX$1=Units!$Q33),IF(Units!$J33&lt;&gt;"",Units!$J33,Mkt!DX34),Inputs!$B$15*Mkt!DX34+(1-Inputs!$B$15)*MIN(Mkt!DX34,DW34*(1+Inputs!$B$18))),DW34)))</f>
        <v>1989.7791053396</v>
      </c>
      <c r="DY34" s="11" t="n">
        <f aca="false">IF(DY$1&lt;Units!$P33,0,IF(AND(Units!$K33=0,DY$1=Units!$O33),Units!$R33,IF(AND(DY$1&gt;=Units!$Q33,MOD(DY$1-Units!$Q33,12)=0),IF(AND(Units!$L33=1,DY$1=Units!$Q33),IF(Units!$J33&lt;&gt;"",Units!$J33,Mkt!DY34),Inputs!$B$15*Mkt!DY34+(1-Inputs!$B$15)*MIN(Mkt!DY34,DX34*(1+Inputs!$B$18))),DX34)))</f>
        <v>1989.7791053396</v>
      </c>
      <c r="DZ34" s="11" t="n">
        <f aca="false">IF(DZ$1&lt;Units!$P33,0,IF(AND(Units!$K33=0,DZ$1=Units!$O33),Units!$R33,IF(AND(DZ$1&gt;=Units!$Q33,MOD(DZ$1-Units!$Q33,12)=0),IF(AND(Units!$L33=1,DZ$1=Units!$Q33),IF(Units!$J33&lt;&gt;"",Units!$J33,Mkt!DZ34),Inputs!$B$15*Mkt!DZ34+(1-Inputs!$B$15)*MIN(Mkt!DZ34,DY34*(1+Inputs!$B$18))),DY34)))</f>
        <v>1989.7791053396</v>
      </c>
      <c r="EA34" s="11" t="n">
        <f aca="false">IF(EA$1&lt;Units!$P33,0,IF(AND(Units!$K33=0,EA$1=Units!$O33),Units!$R33,IF(AND(EA$1&gt;=Units!$Q33,MOD(EA$1-Units!$Q33,12)=0),IF(AND(Units!$L33=1,EA$1=Units!$Q33),IF(Units!$J33&lt;&gt;"",Units!$J33,Mkt!EA34),Inputs!$B$15*Mkt!EA34+(1-Inputs!$B$15)*MIN(Mkt!EA34,DZ34*(1+Inputs!$B$18))),DZ34)))</f>
        <v>1989.7791053396</v>
      </c>
      <c r="EB34" s="11" t="n">
        <f aca="false">IF(EB$1&lt;Units!$P33,0,IF(AND(Units!$K33=0,EB$1=Units!$O33),Units!$R33,IF(AND(EB$1&gt;=Units!$Q33,MOD(EB$1-Units!$Q33,12)=0),IF(AND(Units!$L33=1,EB$1=Units!$Q33),IF(Units!$J33&lt;&gt;"",Units!$J33,Mkt!EB34),Inputs!$B$15*Mkt!EB34+(1-Inputs!$B$15)*MIN(Mkt!EB34,EA34*(1+Inputs!$B$18))),EA34)))</f>
        <v>2049.47247849979</v>
      </c>
      <c r="EC34" s="11" t="n">
        <f aca="false">IF(EC$1&lt;Units!$P33,0,IF(AND(Units!$K33=0,EC$1=Units!$O33),Units!$R33,IF(AND(EC$1&gt;=Units!$Q33,MOD(EC$1-Units!$Q33,12)=0),IF(AND(Units!$L33=1,EC$1=Units!$Q33),IF(Units!$J33&lt;&gt;"",Units!$J33,Mkt!EC34),Inputs!$B$15*Mkt!EC34+(1-Inputs!$B$15)*MIN(Mkt!EC34,EB34*(1+Inputs!$B$18))),EB34)))</f>
        <v>2049.47247849979</v>
      </c>
      <c r="ED34" s="11" t="n">
        <f aca="false">IF(ED$1&lt;Units!$P33,0,IF(AND(Units!$K33=0,ED$1=Units!$O33),Units!$R33,IF(AND(ED$1&gt;=Units!$Q33,MOD(ED$1-Units!$Q33,12)=0),IF(AND(Units!$L33=1,ED$1=Units!$Q33),IF(Units!$J33&lt;&gt;"",Units!$J33,Mkt!ED34),Inputs!$B$15*Mkt!ED34+(1-Inputs!$B$15)*MIN(Mkt!ED34,EC34*(1+Inputs!$B$18))),EC34)))</f>
        <v>2049.47247849979</v>
      </c>
    </row>
    <row r="35" customFormat="false" ht="15" hidden="false" customHeight="false" outlineLevel="0" collapsed="false">
      <c r="A35" s="22" t="n">
        <f aca="false">Units!A34</f>
        <v>203</v>
      </c>
      <c r="B35" s="24" t="n">
        <f aca="false">IF(Units!K34=1,Units!F34,0)</f>
        <v>1220</v>
      </c>
      <c r="C35" s="11" t="n">
        <f aca="false">IF(C$1&lt;Units!$P34,0,IF(AND(Units!$K34=0,C$1=Units!$O34),Units!$R34,IF(AND(C$1&gt;=Units!$Q34,MOD(C$1-Units!$Q34,12)=0),IF(AND(Units!$L34=1,C$1=Units!$Q34),IF(Units!$J34&lt;&gt;"",Units!$J34,Mkt!C35),Inputs!$B$15*Mkt!C35+(1-Inputs!$B$15)*MIN(Mkt!C35,B35*(1+Inputs!$B$18))),B35)))</f>
        <v>1220</v>
      </c>
      <c r="D35" s="11" t="n">
        <f aca="false">IF(D$1&lt;Units!$P34,0,IF(AND(Units!$K34=0,D$1=Units!$O34),Units!$R34,IF(AND(D$1&gt;=Units!$Q34,MOD(D$1-Units!$Q34,12)=0),IF(AND(Units!$L34=1,D$1=Units!$Q34),IF(Units!$J34&lt;&gt;"",Units!$J34,Mkt!D35),Inputs!$B$15*Mkt!D35+(1-Inputs!$B$15)*MIN(Mkt!D35,C35*(1+Inputs!$B$18))),C35)))</f>
        <v>1220</v>
      </c>
      <c r="E35" s="11" t="n">
        <f aca="false">IF(E$1&lt;Units!$P34,0,IF(AND(Units!$K34=0,E$1=Units!$O34),Units!$R34,IF(AND(E$1&gt;=Units!$Q34,MOD(E$1-Units!$Q34,12)=0),IF(AND(Units!$L34=1,E$1=Units!$Q34),IF(Units!$J34&lt;&gt;"",Units!$J34,Mkt!E35),Inputs!$B$15*Mkt!E35+(1-Inputs!$B$15)*MIN(Mkt!E35,D35*(1+Inputs!$B$18))),D35)))</f>
        <v>1220</v>
      </c>
      <c r="F35" s="11" t="n">
        <f aca="false">IF(F$1&lt;Units!$P34,0,IF(AND(Units!$K34=0,F$1=Units!$O34),Units!$R34,IF(AND(F$1&gt;=Units!$Q34,MOD(F$1-Units!$Q34,12)=0),IF(AND(Units!$L34=1,F$1=Units!$Q34),IF(Units!$J34&lt;&gt;"",Units!$J34,Mkt!F35),Inputs!$B$15*Mkt!F35+(1-Inputs!$B$15)*MIN(Mkt!F35,E35*(1+Inputs!$B$18))),E35)))</f>
        <v>1220</v>
      </c>
      <c r="G35" s="11" t="n">
        <f aca="false">IF(G$1&lt;Units!$P34,0,IF(AND(Units!$K34=0,G$1=Units!$O34),Units!$R34,IF(AND(G$1&gt;=Units!$Q34,MOD(G$1-Units!$Q34,12)=0),IF(AND(Units!$L34=1,G$1=Units!$Q34),IF(Units!$J34&lt;&gt;"",Units!$J34,Mkt!G35),Inputs!$B$15*Mkt!G35+(1-Inputs!$B$15)*MIN(Mkt!G35,F35*(1+Inputs!$B$18))),F35)))</f>
        <v>1220</v>
      </c>
      <c r="H35" s="11" t="n">
        <f aca="false">IF(H$1&lt;Units!$P34,0,IF(AND(Units!$K34=0,H$1=Units!$O34),Units!$R34,IF(AND(H$1&gt;=Units!$Q34,MOD(H$1-Units!$Q34,12)=0),IF(AND(Units!$L34=1,H$1=Units!$Q34),IF(Units!$J34&lt;&gt;"",Units!$J34,Mkt!H35),Inputs!$B$15*Mkt!H35+(1-Inputs!$B$15)*MIN(Mkt!H35,G35*(1+Inputs!$B$18))),G35)))</f>
        <v>1220</v>
      </c>
      <c r="I35" s="11" t="n">
        <f aca="false">IF(I$1&lt;Units!$P34,0,IF(AND(Units!$K34=0,I$1=Units!$O34),Units!$R34,IF(AND(I$1&gt;=Units!$Q34,MOD(I$1-Units!$Q34,12)=0),IF(AND(Units!$L34=1,I$1=Units!$Q34),IF(Units!$J34&lt;&gt;"",Units!$J34,Mkt!I35),Inputs!$B$15*Mkt!I35+(1-Inputs!$B$15)*MIN(Mkt!I35,H35*(1+Inputs!$B$18))),H35)))</f>
        <v>1220</v>
      </c>
      <c r="J35" s="11" t="n">
        <f aca="false">IF(J$1&lt;Units!$P34,0,IF(AND(Units!$K34=0,J$1=Units!$O34),Units!$R34,IF(AND(J$1&gt;=Units!$Q34,MOD(J$1-Units!$Q34,12)=0),IF(AND(Units!$L34=1,J$1=Units!$Q34),IF(Units!$J34&lt;&gt;"",Units!$J34,Mkt!J35),Inputs!$B$15*Mkt!J35+(1-Inputs!$B$15)*MIN(Mkt!J35,I35*(1+Inputs!$B$18))),I35)))</f>
        <v>1403</v>
      </c>
      <c r="K35" s="11" t="n">
        <f aca="false">IF(K$1&lt;Units!$P34,0,IF(AND(Units!$K34=0,K$1=Units!$O34),Units!$R34,IF(AND(K$1&gt;=Units!$Q34,MOD(K$1-Units!$Q34,12)=0),IF(AND(Units!$L34=1,K$1=Units!$Q34),IF(Units!$J34&lt;&gt;"",Units!$J34,Mkt!K35),Inputs!$B$15*Mkt!K35+(1-Inputs!$B$15)*MIN(Mkt!K35,J35*(1+Inputs!$B$18))),J35)))</f>
        <v>1403</v>
      </c>
      <c r="L35" s="11" t="n">
        <f aca="false">IF(L$1&lt;Units!$P34,0,IF(AND(Units!$K34=0,L$1=Units!$O34),Units!$R34,IF(AND(L$1&gt;=Units!$Q34,MOD(L$1-Units!$Q34,12)=0),IF(AND(Units!$L34=1,L$1=Units!$Q34),IF(Units!$J34&lt;&gt;"",Units!$J34,Mkt!L35),Inputs!$B$15*Mkt!L35+(1-Inputs!$B$15)*MIN(Mkt!L35,K35*(1+Inputs!$B$18))),K35)))</f>
        <v>1403</v>
      </c>
      <c r="M35" s="11" t="n">
        <f aca="false">IF(M$1&lt;Units!$P34,0,IF(AND(Units!$K34=0,M$1=Units!$O34),Units!$R34,IF(AND(M$1&gt;=Units!$Q34,MOD(M$1-Units!$Q34,12)=0),IF(AND(Units!$L34=1,M$1=Units!$Q34),IF(Units!$J34&lt;&gt;"",Units!$J34,Mkt!M35),Inputs!$B$15*Mkt!M35+(1-Inputs!$B$15)*MIN(Mkt!M35,L35*(1+Inputs!$B$18))),L35)))</f>
        <v>1403</v>
      </c>
      <c r="N35" s="11" t="n">
        <f aca="false">IF(N$1&lt;Units!$P34,0,IF(AND(Units!$K34=0,N$1=Units!$O34),Units!$R34,IF(AND(N$1&gt;=Units!$Q34,MOD(N$1-Units!$Q34,12)=0),IF(AND(Units!$L34=1,N$1=Units!$Q34),IF(Units!$J34&lt;&gt;"",Units!$J34,Mkt!N35),Inputs!$B$15*Mkt!N35+(1-Inputs!$B$15)*MIN(Mkt!N35,M35*(1+Inputs!$B$18))),M35)))</f>
        <v>1403</v>
      </c>
      <c r="O35" s="11" t="n">
        <f aca="false">IF(O$1&lt;Units!$P34,0,IF(AND(Units!$K34=0,O$1=Units!$O34),Units!$R34,IF(AND(O$1&gt;=Units!$Q34,MOD(O$1-Units!$Q34,12)=0),IF(AND(Units!$L34=1,O$1=Units!$Q34),IF(Units!$J34&lt;&gt;"",Units!$J34,Mkt!O35),Inputs!$B$15*Mkt!O35+(1-Inputs!$B$15)*MIN(Mkt!O35,N35*(1+Inputs!$B$18))),N35)))</f>
        <v>1403</v>
      </c>
      <c r="P35" s="11" t="n">
        <f aca="false">IF(P$1&lt;Units!$P34,0,IF(AND(Units!$K34=0,P$1=Units!$O34),Units!$R34,IF(AND(P$1&gt;=Units!$Q34,MOD(P$1-Units!$Q34,12)=0),IF(AND(Units!$L34=1,P$1=Units!$Q34),IF(Units!$J34&lt;&gt;"",Units!$J34,Mkt!P35),Inputs!$B$15*Mkt!P35+(1-Inputs!$B$15)*MIN(Mkt!P35,O35*(1+Inputs!$B$18))),O35)))</f>
        <v>1403</v>
      </c>
      <c r="Q35" s="11" t="n">
        <f aca="false">IF(Q$1&lt;Units!$P34,0,IF(AND(Units!$K34=0,Q$1=Units!$O34),Units!$R34,IF(AND(Q$1&gt;=Units!$Q34,MOD(Q$1-Units!$Q34,12)=0),IF(AND(Units!$L34=1,Q$1=Units!$Q34),IF(Units!$J34&lt;&gt;"",Units!$J34,Mkt!Q35),Inputs!$B$15*Mkt!Q35+(1-Inputs!$B$15)*MIN(Mkt!Q35,P35*(1+Inputs!$B$18))),P35)))</f>
        <v>1403</v>
      </c>
      <c r="R35" s="11" t="n">
        <f aca="false">IF(R$1&lt;Units!$P34,0,IF(AND(Units!$K34=0,R$1=Units!$O34),Units!$R34,IF(AND(R$1&gt;=Units!$Q34,MOD(R$1-Units!$Q34,12)=0),IF(AND(Units!$L34=1,R$1=Units!$Q34),IF(Units!$J34&lt;&gt;"",Units!$J34,Mkt!R35),Inputs!$B$15*Mkt!R35+(1-Inputs!$B$15)*MIN(Mkt!R35,Q35*(1+Inputs!$B$18))),Q35)))</f>
        <v>1403</v>
      </c>
      <c r="S35" s="11" t="n">
        <f aca="false">IF(S$1&lt;Units!$P34,0,IF(AND(Units!$K34=0,S$1=Units!$O34),Units!$R34,IF(AND(S$1&gt;=Units!$Q34,MOD(S$1-Units!$Q34,12)=0),IF(AND(Units!$L34=1,S$1=Units!$Q34),IF(Units!$J34&lt;&gt;"",Units!$J34,Mkt!S35),Inputs!$B$15*Mkt!S35+(1-Inputs!$B$15)*MIN(Mkt!S35,R35*(1+Inputs!$B$18))),R35)))</f>
        <v>1403</v>
      </c>
      <c r="T35" s="11" t="n">
        <f aca="false">IF(T$1&lt;Units!$P34,0,IF(AND(Units!$K34=0,T$1=Units!$O34),Units!$R34,IF(AND(T$1&gt;=Units!$Q34,MOD(T$1-Units!$Q34,12)=0),IF(AND(Units!$L34=1,T$1=Units!$Q34),IF(Units!$J34&lt;&gt;"",Units!$J34,Mkt!T35),Inputs!$B$15*Mkt!T35+(1-Inputs!$B$15)*MIN(Mkt!T35,S35*(1+Inputs!$B$18))),S35)))</f>
        <v>1403</v>
      </c>
      <c r="U35" s="11" t="n">
        <f aca="false">IF(U$1&lt;Units!$P34,0,IF(AND(Units!$K34=0,U$1=Units!$O34),Units!$R34,IF(AND(U$1&gt;=Units!$Q34,MOD(U$1-Units!$Q34,12)=0),IF(AND(Units!$L34=1,U$1=Units!$Q34),IF(Units!$J34&lt;&gt;"",Units!$J34,Mkt!U35),Inputs!$B$15*Mkt!U35+(1-Inputs!$B$15)*MIN(Mkt!U35,T35*(1+Inputs!$B$18))),T35)))</f>
        <v>1403</v>
      </c>
      <c r="V35" s="11" t="n">
        <f aca="false">IF(V$1&lt;Units!$P34,0,IF(AND(Units!$K34=0,V$1=Units!$O34),Units!$R34,IF(AND(V$1&gt;=Units!$Q34,MOD(V$1-Units!$Q34,12)=0),IF(AND(Units!$L34=1,V$1=Units!$Q34),IF(Units!$J34&lt;&gt;"",Units!$J34,Mkt!V35),Inputs!$B$15*Mkt!V35+(1-Inputs!$B$15)*MIN(Mkt!V35,U35*(1+Inputs!$B$18))),U35)))</f>
        <v>1521.95</v>
      </c>
      <c r="W35" s="11" t="n">
        <f aca="false">IF(W$1&lt;Units!$P34,0,IF(AND(Units!$K34=0,W$1=Units!$O34),Units!$R34,IF(AND(W$1&gt;=Units!$Q34,MOD(W$1-Units!$Q34,12)=0),IF(AND(Units!$L34=1,W$1=Units!$Q34),IF(Units!$J34&lt;&gt;"",Units!$J34,Mkt!W35),Inputs!$B$15*Mkt!W35+(1-Inputs!$B$15)*MIN(Mkt!W35,V35*(1+Inputs!$B$18))),V35)))</f>
        <v>1521.95</v>
      </c>
      <c r="X35" s="11" t="n">
        <f aca="false">IF(X$1&lt;Units!$P34,0,IF(AND(Units!$K34=0,X$1=Units!$O34),Units!$R34,IF(AND(X$1&gt;=Units!$Q34,MOD(X$1-Units!$Q34,12)=0),IF(AND(Units!$L34=1,X$1=Units!$Q34),IF(Units!$J34&lt;&gt;"",Units!$J34,Mkt!X35),Inputs!$B$15*Mkt!X35+(1-Inputs!$B$15)*MIN(Mkt!X35,W35*(1+Inputs!$B$18))),W35)))</f>
        <v>1521.95</v>
      </c>
      <c r="Y35" s="11" t="n">
        <f aca="false">IF(Y$1&lt;Units!$P34,0,IF(AND(Units!$K34=0,Y$1=Units!$O34),Units!$R34,IF(AND(Y$1&gt;=Units!$Q34,MOD(Y$1-Units!$Q34,12)=0),IF(AND(Units!$L34=1,Y$1=Units!$Q34),IF(Units!$J34&lt;&gt;"",Units!$J34,Mkt!Y35),Inputs!$B$15*Mkt!Y35+(1-Inputs!$B$15)*MIN(Mkt!Y35,X35*(1+Inputs!$B$18))),X35)))</f>
        <v>1521.95</v>
      </c>
      <c r="Z35" s="11" t="n">
        <f aca="false">IF(Z$1&lt;Units!$P34,0,IF(AND(Units!$K34=0,Z$1=Units!$O34),Units!$R34,IF(AND(Z$1&gt;=Units!$Q34,MOD(Z$1-Units!$Q34,12)=0),IF(AND(Units!$L34=1,Z$1=Units!$Q34),IF(Units!$J34&lt;&gt;"",Units!$J34,Mkt!Z35),Inputs!$B$15*Mkt!Z35+(1-Inputs!$B$15)*MIN(Mkt!Z35,Y35*(1+Inputs!$B$18))),Y35)))</f>
        <v>1521.95</v>
      </c>
      <c r="AA35" s="11" t="n">
        <f aca="false">IF(AA$1&lt;Units!$P34,0,IF(AND(Units!$K34=0,AA$1=Units!$O34),Units!$R34,IF(AND(AA$1&gt;=Units!$Q34,MOD(AA$1-Units!$Q34,12)=0),IF(AND(Units!$L34=1,AA$1=Units!$Q34),IF(Units!$J34&lt;&gt;"",Units!$J34,Mkt!AA35),Inputs!$B$15*Mkt!AA35+(1-Inputs!$B$15)*MIN(Mkt!AA35,Z35*(1+Inputs!$B$18))),Z35)))</f>
        <v>1521.95</v>
      </c>
      <c r="AB35" s="11" t="n">
        <f aca="false">IF(AB$1&lt;Units!$P34,0,IF(AND(Units!$K34=0,AB$1=Units!$O34),Units!$R34,IF(AND(AB$1&gt;=Units!$Q34,MOD(AB$1-Units!$Q34,12)=0),IF(AND(Units!$L34=1,AB$1=Units!$Q34),IF(Units!$J34&lt;&gt;"",Units!$J34,Mkt!AB35),Inputs!$B$15*Mkt!AB35+(1-Inputs!$B$15)*MIN(Mkt!AB35,AA35*(1+Inputs!$B$18))),AA35)))</f>
        <v>1521.95</v>
      </c>
      <c r="AC35" s="11" t="n">
        <f aca="false">IF(AC$1&lt;Units!$P34,0,IF(AND(Units!$K34=0,AC$1=Units!$O34),Units!$R34,IF(AND(AC$1&gt;=Units!$Q34,MOD(AC$1-Units!$Q34,12)=0),IF(AND(Units!$L34=1,AC$1=Units!$Q34),IF(Units!$J34&lt;&gt;"",Units!$J34,Mkt!AC35),Inputs!$B$15*Mkt!AC35+(1-Inputs!$B$15)*MIN(Mkt!AC35,AB35*(1+Inputs!$B$18))),AB35)))</f>
        <v>1521.95</v>
      </c>
      <c r="AD35" s="11" t="n">
        <f aca="false">IF(AD$1&lt;Units!$P34,0,IF(AND(Units!$K34=0,AD$1=Units!$O34),Units!$R34,IF(AND(AD$1&gt;=Units!$Q34,MOD(AD$1-Units!$Q34,12)=0),IF(AND(Units!$L34=1,AD$1=Units!$Q34),IF(Units!$J34&lt;&gt;"",Units!$J34,Mkt!AD35),Inputs!$B$15*Mkt!AD35+(1-Inputs!$B$15)*MIN(Mkt!AD35,AC35*(1+Inputs!$B$18))),AC35)))</f>
        <v>1521.95</v>
      </c>
      <c r="AE35" s="11" t="n">
        <f aca="false">IF(AE$1&lt;Units!$P34,0,IF(AND(Units!$K34=0,AE$1=Units!$O34),Units!$R34,IF(AND(AE$1&gt;=Units!$Q34,MOD(AE$1-Units!$Q34,12)=0),IF(AND(Units!$L34=1,AE$1=Units!$Q34),IF(Units!$J34&lt;&gt;"",Units!$J34,Mkt!AE35),Inputs!$B$15*Mkt!AE35+(1-Inputs!$B$15)*MIN(Mkt!AE35,AD35*(1+Inputs!$B$18))),AD35)))</f>
        <v>1521.95</v>
      </c>
      <c r="AF35" s="11" t="n">
        <f aca="false">IF(AF$1&lt;Units!$P34,0,IF(AND(Units!$K34=0,AF$1=Units!$O34),Units!$R34,IF(AND(AF$1&gt;=Units!$Q34,MOD(AF$1-Units!$Q34,12)=0),IF(AND(Units!$L34=1,AF$1=Units!$Q34),IF(Units!$J34&lt;&gt;"",Units!$J34,Mkt!AF35),Inputs!$B$15*Mkt!AF35+(1-Inputs!$B$15)*MIN(Mkt!AF35,AE35*(1+Inputs!$B$18))),AE35)))</f>
        <v>1521.95</v>
      </c>
      <c r="AG35" s="11" t="n">
        <f aca="false">IF(AG$1&lt;Units!$P34,0,IF(AND(Units!$K34=0,AG$1=Units!$O34),Units!$R34,IF(AND(AG$1&gt;=Units!$Q34,MOD(AG$1-Units!$Q34,12)=0),IF(AND(Units!$L34=1,AG$1=Units!$Q34),IF(Units!$J34&lt;&gt;"",Units!$J34,Mkt!AG35),Inputs!$B$15*Mkt!AG35+(1-Inputs!$B$15)*MIN(Mkt!AG35,AF35*(1+Inputs!$B$18))),AF35)))</f>
        <v>1521.95</v>
      </c>
      <c r="AH35" s="11" t="n">
        <f aca="false">IF(AH$1&lt;Units!$P34,0,IF(AND(Units!$K34=0,AH$1=Units!$O34),Units!$R34,IF(AND(AH$1&gt;=Units!$Q34,MOD(AH$1-Units!$Q34,12)=0),IF(AND(Units!$L34=1,AH$1=Units!$Q34),IF(Units!$J34&lt;&gt;"",Units!$J34,Mkt!AH35),Inputs!$B$15*Mkt!AH35+(1-Inputs!$B$15)*MIN(Mkt!AH35,AG35*(1+Inputs!$B$18))),AG35)))</f>
        <v>1607.96</v>
      </c>
      <c r="AI35" s="11" t="n">
        <f aca="false">IF(AI$1&lt;Units!$P34,0,IF(AND(Units!$K34=0,AI$1=Units!$O34),Units!$R34,IF(AND(AI$1&gt;=Units!$Q34,MOD(AI$1-Units!$Q34,12)=0),IF(AND(Units!$L34=1,AI$1=Units!$Q34),IF(Units!$J34&lt;&gt;"",Units!$J34,Mkt!AI35),Inputs!$B$15*Mkt!AI35+(1-Inputs!$B$15)*MIN(Mkt!AI35,AH35*(1+Inputs!$B$18))),AH35)))</f>
        <v>1607.96</v>
      </c>
      <c r="AJ35" s="11" t="n">
        <f aca="false">IF(AJ$1&lt;Units!$P34,0,IF(AND(Units!$K34=0,AJ$1=Units!$O34),Units!$R34,IF(AND(AJ$1&gt;=Units!$Q34,MOD(AJ$1-Units!$Q34,12)=0),IF(AND(Units!$L34=1,AJ$1=Units!$Q34),IF(Units!$J34&lt;&gt;"",Units!$J34,Mkt!AJ35),Inputs!$B$15*Mkt!AJ35+(1-Inputs!$B$15)*MIN(Mkt!AJ35,AI35*(1+Inputs!$B$18))),AI35)))</f>
        <v>1607.96</v>
      </c>
      <c r="AK35" s="11" t="n">
        <f aca="false">IF(AK$1&lt;Units!$P34,0,IF(AND(Units!$K34=0,AK$1=Units!$O34),Units!$R34,IF(AND(AK$1&gt;=Units!$Q34,MOD(AK$1-Units!$Q34,12)=0),IF(AND(Units!$L34=1,AK$1=Units!$Q34),IF(Units!$J34&lt;&gt;"",Units!$J34,Mkt!AK35),Inputs!$B$15*Mkt!AK35+(1-Inputs!$B$15)*MIN(Mkt!AK35,AJ35*(1+Inputs!$B$18))),AJ35)))</f>
        <v>1607.96</v>
      </c>
      <c r="AL35" s="11" t="n">
        <f aca="false">IF(AL$1&lt;Units!$P34,0,IF(AND(Units!$K34=0,AL$1=Units!$O34),Units!$R34,IF(AND(AL$1&gt;=Units!$Q34,MOD(AL$1-Units!$Q34,12)=0),IF(AND(Units!$L34=1,AL$1=Units!$Q34),IF(Units!$J34&lt;&gt;"",Units!$J34,Mkt!AL35),Inputs!$B$15*Mkt!AL35+(1-Inputs!$B$15)*MIN(Mkt!AL35,AK35*(1+Inputs!$B$18))),AK35)))</f>
        <v>1607.96</v>
      </c>
      <c r="AM35" s="11" t="n">
        <f aca="false">IF(AM$1&lt;Units!$P34,0,IF(AND(Units!$K34=0,AM$1=Units!$O34),Units!$R34,IF(AND(AM$1&gt;=Units!$Q34,MOD(AM$1-Units!$Q34,12)=0),IF(AND(Units!$L34=1,AM$1=Units!$Q34),IF(Units!$J34&lt;&gt;"",Units!$J34,Mkt!AM35),Inputs!$B$15*Mkt!AM35+(1-Inputs!$B$15)*MIN(Mkt!AM35,AL35*(1+Inputs!$B$18))),AL35)))</f>
        <v>1607.96</v>
      </c>
      <c r="AN35" s="11" t="n">
        <f aca="false">IF(AN$1&lt;Units!$P34,0,IF(AND(Units!$K34=0,AN$1=Units!$O34),Units!$R34,IF(AND(AN$1&gt;=Units!$Q34,MOD(AN$1-Units!$Q34,12)=0),IF(AND(Units!$L34=1,AN$1=Units!$Q34),IF(Units!$J34&lt;&gt;"",Units!$J34,Mkt!AN35),Inputs!$B$15*Mkt!AN35+(1-Inputs!$B$15)*MIN(Mkt!AN35,AM35*(1+Inputs!$B$18))),AM35)))</f>
        <v>1607.96</v>
      </c>
      <c r="AO35" s="11" t="n">
        <f aca="false">IF(AO$1&lt;Units!$P34,0,IF(AND(Units!$K34=0,AO$1=Units!$O34),Units!$R34,IF(AND(AO$1&gt;=Units!$Q34,MOD(AO$1-Units!$Q34,12)=0),IF(AND(Units!$L34=1,AO$1=Units!$Q34),IF(Units!$J34&lt;&gt;"",Units!$J34,Mkt!AO35),Inputs!$B$15*Mkt!AO35+(1-Inputs!$B$15)*MIN(Mkt!AO35,AN35*(1+Inputs!$B$18))),AN35)))</f>
        <v>1607.96</v>
      </c>
      <c r="AP35" s="11" t="n">
        <f aca="false">IF(AP$1&lt;Units!$P34,0,IF(AND(Units!$K34=0,AP$1=Units!$O34),Units!$R34,IF(AND(AP$1&gt;=Units!$Q34,MOD(AP$1-Units!$Q34,12)=0),IF(AND(Units!$L34=1,AP$1=Units!$Q34),IF(Units!$J34&lt;&gt;"",Units!$J34,Mkt!AP35),Inputs!$B$15*Mkt!AP35+(1-Inputs!$B$15)*MIN(Mkt!AP35,AO35*(1+Inputs!$B$18))),AO35)))</f>
        <v>1607.96</v>
      </c>
      <c r="AQ35" s="11" t="n">
        <f aca="false">IF(AQ$1&lt;Units!$P34,0,IF(AND(Units!$K34=0,AQ$1=Units!$O34),Units!$R34,IF(AND(AQ$1&gt;=Units!$Q34,MOD(AQ$1-Units!$Q34,12)=0),IF(AND(Units!$L34=1,AQ$1=Units!$Q34),IF(Units!$J34&lt;&gt;"",Units!$J34,Mkt!AQ35),Inputs!$B$15*Mkt!AQ35+(1-Inputs!$B$15)*MIN(Mkt!AQ35,AP35*(1+Inputs!$B$18))),AP35)))</f>
        <v>1607.96</v>
      </c>
      <c r="AR35" s="11" t="n">
        <f aca="false">IF(AR$1&lt;Units!$P34,0,IF(AND(Units!$K34=0,AR$1=Units!$O34),Units!$R34,IF(AND(AR$1&gt;=Units!$Q34,MOD(AR$1-Units!$Q34,12)=0),IF(AND(Units!$L34=1,AR$1=Units!$Q34),IF(Units!$J34&lt;&gt;"",Units!$J34,Mkt!AR35),Inputs!$B$15*Mkt!AR35+(1-Inputs!$B$15)*MIN(Mkt!AR35,AQ35*(1+Inputs!$B$18))),AQ35)))</f>
        <v>1607.96</v>
      </c>
      <c r="AS35" s="11" t="n">
        <f aca="false">IF(AS$1&lt;Units!$P34,0,IF(AND(Units!$K34=0,AS$1=Units!$O34),Units!$R34,IF(AND(AS$1&gt;=Units!$Q34,MOD(AS$1-Units!$Q34,12)=0),IF(AND(Units!$L34=1,AS$1=Units!$Q34),IF(Units!$J34&lt;&gt;"",Units!$J34,Mkt!AS35),Inputs!$B$15*Mkt!AS35+(1-Inputs!$B$15)*MIN(Mkt!AS35,AR35*(1+Inputs!$B$18))),AR35)))</f>
        <v>1607.96</v>
      </c>
      <c r="AT35" s="11" t="n">
        <f aca="false">IF(AT$1&lt;Units!$P34,0,IF(AND(Units!$K34=0,AT$1=Units!$O34),Units!$R34,IF(AND(AT$1&gt;=Units!$Q34,MOD(AT$1-Units!$Q34,12)=0),IF(AND(Units!$L34=1,AT$1=Units!$Q34),IF(Units!$J34&lt;&gt;"",Units!$J34,Mkt!AT35),Inputs!$B$15*Mkt!AT35+(1-Inputs!$B$15)*MIN(Mkt!AT35,AS35*(1+Inputs!$B$18))),AS35)))</f>
        <v>1666.408675</v>
      </c>
      <c r="AU35" s="11" t="n">
        <f aca="false">IF(AU$1&lt;Units!$P34,0,IF(AND(Units!$K34=0,AU$1=Units!$O34),Units!$R34,IF(AND(AU$1&gt;=Units!$Q34,MOD(AU$1-Units!$Q34,12)=0),IF(AND(Units!$L34=1,AU$1=Units!$Q34),IF(Units!$J34&lt;&gt;"",Units!$J34,Mkt!AU35),Inputs!$B$15*Mkt!AU35+(1-Inputs!$B$15)*MIN(Mkt!AU35,AT35*(1+Inputs!$B$18))),AT35)))</f>
        <v>1666.408675</v>
      </c>
      <c r="AV35" s="11" t="n">
        <f aca="false">IF(AV$1&lt;Units!$P34,0,IF(AND(Units!$K34=0,AV$1=Units!$O34),Units!$R34,IF(AND(AV$1&gt;=Units!$Q34,MOD(AV$1-Units!$Q34,12)=0),IF(AND(Units!$L34=1,AV$1=Units!$Q34),IF(Units!$J34&lt;&gt;"",Units!$J34,Mkt!AV35),Inputs!$B$15*Mkt!AV35+(1-Inputs!$B$15)*MIN(Mkt!AV35,AU35*(1+Inputs!$B$18))),AU35)))</f>
        <v>1666.408675</v>
      </c>
      <c r="AW35" s="11" t="n">
        <f aca="false">IF(AW$1&lt;Units!$P34,0,IF(AND(Units!$K34=0,AW$1=Units!$O34),Units!$R34,IF(AND(AW$1&gt;=Units!$Q34,MOD(AW$1-Units!$Q34,12)=0),IF(AND(Units!$L34=1,AW$1=Units!$Q34),IF(Units!$J34&lt;&gt;"",Units!$J34,Mkt!AW35),Inputs!$B$15*Mkt!AW35+(1-Inputs!$B$15)*MIN(Mkt!AW35,AV35*(1+Inputs!$B$18))),AV35)))</f>
        <v>1666.408675</v>
      </c>
      <c r="AX35" s="11" t="n">
        <f aca="false">IF(AX$1&lt;Units!$P34,0,IF(AND(Units!$K34=0,AX$1=Units!$O34),Units!$R34,IF(AND(AX$1&gt;=Units!$Q34,MOD(AX$1-Units!$Q34,12)=0),IF(AND(Units!$L34=1,AX$1=Units!$Q34),IF(Units!$J34&lt;&gt;"",Units!$J34,Mkt!AX35),Inputs!$B$15*Mkt!AX35+(1-Inputs!$B$15)*MIN(Mkt!AX35,AW35*(1+Inputs!$B$18))),AW35)))</f>
        <v>1666.408675</v>
      </c>
      <c r="AY35" s="11" t="n">
        <f aca="false">IF(AY$1&lt;Units!$P34,0,IF(AND(Units!$K34=0,AY$1=Units!$O34),Units!$R34,IF(AND(AY$1&gt;=Units!$Q34,MOD(AY$1-Units!$Q34,12)=0),IF(AND(Units!$L34=1,AY$1=Units!$Q34),IF(Units!$J34&lt;&gt;"",Units!$J34,Mkt!AY35),Inputs!$B$15*Mkt!AY35+(1-Inputs!$B$15)*MIN(Mkt!AY35,AX35*(1+Inputs!$B$18))),AX35)))</f>
        <v>1666.408675</v>
      </c>
      <c r="AZ35" s="11" t="n">
        <f aca="false">IF(AZ$1&lt;Units!$P34,0,IF(AND(Units!$K34=0,AZ$1=Units!$O34),Units!$R34,IF(AND(AZ$1&gt;=Units!$Q34,MOD(AZ$1-Units!$Q34,12)=0),IF(AND(Units!$L34=1,AZ$1=Units!$Q34),IF(Units!$J34&lt;&gt;"",Units!$J34,Mkt!AZ35),Inputs!$B$15*Mkt!AZ35+(1-Inputs!$B$15)*MIN(Mkt!AZ35,AY35*(1+Inputs!$B$18))),AY35)))</f>
        <v>1666.408675</v>
      </c>
      <c r="BA35" s="11" t="n">
        <f aca="false">IF(BA$1&lt;Units!$P34,0,IF(AND(Units!$K34=0,BA$1=Units!$O34),Units!$R34,IF(AND(BA$1&gt;=Units!$Q34,MOD(BA$1-Units!$Q34,12)=0),IF(AND(Units!$L34=1,BA$1=Units!$Q34),IF(Units!$J34&lt;&gt;"",Units!$J34,Mkt!BA35),Inputs!$B$15*Mkt!BA35+(1-Inputs!$B$15)*MIN(Mkt!BA35,AZ35*(1+Inputs!$B$18))),AZ35)))</f>
        <v>1666.408675</v>
      </c>
      <c r="BB35" s="11" t="n">
        <f aca="false">IF(BB$1&lt;Units!$P34,0,IF(AND(Units!$K34=0,BB$1=Units!$O34),Units!$R34,IF(AND(BB$1&gt;=Units!$Q34,MOD(BB$1-Units!$Q34,12)=0),IF(AND(Units!$L34=1,BB$1=Units!$Q34),IF(Units!$J34&lt;&gt;"",Units!$J34,Mkt!BB35),Inputs!$B$15*Mkt!BB35+(1-Inputs!$B$15)*MIN(Mkt!BB35,BA35*(1+Inputs!$B$18))),BA35)))</f>
        <v>1666.408675</v>
      </c>
      <c r="BC35" s="11" t="n">
        <f aca="false">IF(BC$1&lt;Units!$P34,0,IF(AND(Units!$K34=0,BC$1=Units!$O34),Units!$R34,IF(AND(BC$1&gt;=Units!$Q34,MOD(BC$1-Units!$Q34,12)=0),IF(AND(Units!$L34=1,BC$1=Units!$Q34),IF(Units!$J34&lt;&gt;"",Units!$J34,Mkt!BC35),Inputs!$B$15*Mkt!BC35+(1-Inputs!$B$15)*MIN(Mkt!BC35,BB35*(1+Inputs!$B$18))),BB35)))</f>
        <v>1666.408675</v>
      </c>
      <c r="BD35" s="11" t="n">
        <f aca="false">IF(BD$1&lt;Units!$P34,0,IF(AND(Units!$K34=0,BD$1=Units!$O34),Units!$R34,IF(AND(BD$1&gt;=Units!$Q34,MOD(BD$1-Units!$Q34,12)=0),IF(AND(Units!$L34=1,BD$1=Units!$Q34),IF(Units!$J34&lt;&gt;"",Units!$J34,Mkt!BD35),Inputs!$B$15*Mkt!BD35+(1-Inputs!$B$15)*MIN(Mkt!BD35,BC35*(1+Inputs!$B$18))),BC35)))</f>
        <v>1666.408675</v>
      </c>
      <c r="BE35" s="11" t="n">
        <f aca="false">IF(BE$1&lt;Units!$P34,0,IF(AND(Units!$K34=0,BE$1=Units!$O34),Units!$R34,IF(AND(BE$1&gt;=Units!$Q34,MOD(BE$1-Units!$Q34,12)=0),IF(AND(Units!$L34=1,BE$1=Units!$Q34),IF(Units!$J34&lt;&gt;"",Units!$J34,Mkt!BE35),Inputs!$B$15*Mkt!BE35+(1-Inputs!$B$15)*MIN(Mkt!BE35,BD35*(1+Inputs!$B$18))),BD35)))</f>
        <v>1666.408675</v>
      </c>
      <c r="BF35" s="11" t="n">
        <f aca="false">IF(BF$1&lt;Units!$P34,0,IF(AND(Units!$K34=0,BF$1=Units!$O34),Units!$R34,IF(AND(BF$1&gt;=Units!$Q34,MOD(BF$1-Units!$Q34,12)=0),IF(AND(Units!$L34=1,BF$1=Units!$Q34),IF(Units!$J34&lt;&gt;"",Units!$J34,Mkt!BF35),Inputs!$B$15*Mkt!BF35+(1-Inputs!$B$15)*MIN(Mkt!BF35,BE35*(1+Inputs!$B$18))),BE35)))</f>
        <v>1716.40093525</v>
      </c>
      <c r="BG35" s="11" t="n">
        <f aca="false">IF(BG$1&lt;Units!$P34,0,IF(AND(Units!$K34=0,BG$1=Units!$O34),Units!$R34,IF(AND(BG$1&gt;=Units!$Q34,MOD(BG$1-Units!$Q34,12)=0),IF(AND(Units!$L34=1,BG$1=Units!$Q34),IF(Units!$J34&lt;&gt;"",Units!$J34,Mkt!BG35),Inputs!$B$15*Mkt!BG35+(1-Inputs!$B$15)*MIN(Mkt!BG35,BF35*(1+Inputs!$B$18))),BF35)))</f>
        <v>1716.40093525</v>
      </c>
      <c r="BH35" s="11" t="n">
        <f aca="false">IF(BH$1&lt;Units!$P34,0,IF(AND(Units!$K34=0,BH$1=Units!$O34),Units!$R34,IF(AND(BH$1&gt;=Units!$Q34,MOD(BH$1-Units!$Q34,12)=0),IF(AND(Units!$L34=1,BH$1=Units!$Q34),IF(Units!$J34&lt;&gt;"",Units!$J34,Mkt!BH35),Inputs!$B$15*Mkt!BH35+(1-Inputs!$B$15)*MIN(Mkt!BH35,BG35*(1+Inputs!$B$18))),BG35)))</f>
        <v>1716.40093525</v>
      </c>
      <c r="BI35" s="11" t="n">
        <f aca="false">IF(BI$1&lt;Units!$P34,0,IF(AND(Units!$K34=0,BI$1=Units!$O34),Units!$R34,IF(AND(BI$1&gt;=Units!$Q34,MOD(BI$1-Units!$Q34,12)=0),IF(AND(Units!$L34=1,BI$1=Units!$Q34),IF(Units!$J34&lt;&gt;"",Units!$J34,Mkt!BI35),Inputs!$B$15*Mkt!BI35+(1-Inputs!$B$15)*MIN(Mkt!BI35,BH35*(1+Inputs!$B$18))),BH35)))</f>
        <v>1716.40093525</v>
      </c>
      <c r="BJ35" s="11" t="n">
        <f aca="false">IF(BJ$1&lt;Units!$P34,0,IF(AND(Units!$K34=0,BJ$1=Units!$O34),Units!$R34,IF(AND(BJ$1&gt;=Units!$Q34,MOD(BJ$1-Units!$Q34,12)=0),IF(AND(Units!$L34=1,BJ$1=Units!$Q34),IF(Units!$J34&lt;&gt;"",Units!$J34,Mkt!BJ35),Inputs!$B$15*Mkt!BJ35+(1-Inputs!$B$15)*MIN(Mkt!BJ35,BI35*(1+Inputs!$B$18))),BI35)))</f>
        <v>1716.40093525</v>
      </c>
      <c r="BK35" s="11" t="n">
        <f aca="false">IF(BK$1&lt;Units!$P34,0,IF(AND(Units!$K34=0,BK$1=Units!$O34),Units!$R34,IF(AND(BK$1&gt;=Units!$Q34,MOD(BK$1-Units!$Q34,12)=0),IF(AND(Units!$L34=1,BK$1=Units!$Q34),IF(Units!$J34&lt;&gt;"",Units!$J34,Mkt!BK35),Inputs!$B$15*Mkt!BK35+(1-Inputs!$B$15)*MIN(Mkt!BK35,BJ35*(1+Inputs!$B$18))),BJ35)))</f>
        <v>1716.40093525</v>
      </c>
      <c r="BL35" s="11" t="n">
        <f aca="false">IF(BL$1&lt;Units!$P34,0,IF(AND(Units!$K34=0,BL$1=Units!$O34),Units!$R34,IF(AND(BL$1&gt;=Units!$Q34,MOD(BL$1-Units!$Q34,12)=0),IF(AND(Units!$L34=1,BL$1=Units!$Q34),IF(Units!$J34&lt;&gt;"",Units!$J34,Mkt!BL35),Inputs!$B$15*Mkt!BL35+(1-Inputs!$B$15)*MIN(Mkt!BL35,BK35*(1+Inputs!$B$18))),BK35)))</f>
        <v>1716.40093525</v>
      </c>
      <c r="BM35" s="11" t="n">
        <f aca="false">IF(BM$1&lt;Units!$P34,0,IF(AND(Units!$K34=0,BM$1=Units!$O34),Units!$R34,IF(AND(BM$1&gt;=Units!$Q34,MOD(BM$1-Units!$Q34,12)=0),IF(AND(Units!$L34=1,BM$1=Units!$Q34),IF(Units!$J34&lt;&gt;"",Units!$J34,Mkt!BM35),Inputs!$B$15*Mkt!BM35+(1-Inputs!$B$15)*MIN(Mkt!BM35,BL35*(1+Inputs!$B$18))),BL35)))</f>
        <v>1716.40093525</v>
      </c>
      <c r="BN35" s="11" t="n">
        <f aca="false">IF(BN$1&lt;Units!$P34,0,IF(AND(Units!$K34=0,BN$1=Units!$O34),Units!$R34,IF(AND(BN$1&gt;=Units!$Q34,MOD(BN$1-Units!$Q34,12)=0),IF(AND(Units!$L34=1,BN$1=Units!$Q34),IF(Units!$J34&lt;&gt;"",Units!$J34,Mkt!BN35),Inputs!$B$15*Mkt!BN35+(1-Inputs!$B$15)*MIN(Mkt!BN35,BM35*(1+Inputs!$B$18))),BM35)))</f>
        <v>1716.40093525</v>
      </c>
      <c r="BO35" s="11" t="n">
        <f aca="false">IF(BO$1&lt;Units!$P34,0,IF(AND(Units!$K34=0,BO$1=Units!$O34),Units!$R34,IF(AND(BO$1&gt;=Units!$Q34,MOD(BO$1-Units!$Q34,12)=0),IF(AND(Units!$L34=1,BO$1=Units!$Q34),IF(Units!$J34&lt;&gt;"",Units!$J34,Mkt!BO35),Inputs!$B$15*Mkt!BO35+(1-Inputs!$B$15)*MIN(Mkt!BO35,BN35*(1+Inputs!$B$18))),BN35)))</f>
        <v>1716.40093525</v>
      </c>
      <c r="BP35" s="11" t="n">
        <f aca="false">IF(BP$1&lt;Units!$P34,0,IF(AND(Units!$K34=0,BP$1=Units!$O34),Units!$R34,IF(AND(BP$1&gt;=Units!$Q34,MOD(BP$1-Units!$Q34,12)=0),IF(AND(Units!$L34=1,BP$1=Units!$Q34),IF(Units!$J34&lt;&gt;"",Units!$J34,Mkt!BP35),Inputs!$B$15*Mkt!BP35+(1-Inputs!$B$15)*MIN(Mkt!BP35,BO35*(1+Inputs!$B$18))),BO35)))</f>
        <v>1716.40093525</v>
      </c>
      <c r="BQ35" s="11" t="n">
        <f aca="false">IF(BQ$1&lt;Units!$P34,0,IF(AND(Units!$K34=0,BQ$1=Units!$O34),Units!$R34,IF(AND(BQ$1&gt;=Units!$Q34,MOD(BQ$1-Units!$Q34,12)=0),IF(AND(Units!$L34=1,BQ$1=Units!$Q34),IF(Units!$J34&lt;&gt;"",Units!$J34,Mkt!BQ35),Inputs!$B$15*Mkt!BQ35+(1-Inputs!$B$15)*MIN(Mkt!BQ35,BP35*(1+Inputs!$B$18))),BP35)))</f>
        <v>1716.40093525</v>
      </c>
      <c r="BR35" s="11" t="n">
        <f aca="false">IF(BR$1&lt;Units!$P34,0,IF(AND(Units!$K34=0,BR$1=Units!$O34),Units!$R34,IF(AND(BR$1&gt;=Units!$Q34,MOD(BR$1-Units!$Q34,12)=0),IF(AND(Units!$L34=1,BR$1=Units!$Q34),IF(Units!$J34&lt;&gt;"",Units!$J34,Mkt!BR35),Inputs!$B$15*Mkt!BR35+(1-Inputs!$B$15)*MIN(Mkt!BR35,BQ35*(1+Inputs!$B$18))),BQ35)))</f>
        <v>1767.8929633075</v>
      </c>
      <c r="BS35" s="11" t="n">
        <f aca="false">IF(BS$1&lt;Units!$P34,0,IF(AND(Units!$K34=0,BS$1=Units!$O34),Units!$R34,IF(AND(BS$1&gt;=Units!$Q34,MOD(BS$1-Units!$Q34,12)=0),IF(AND(Units!$L34=1,BS$1=Units!$Q34),IF(Units!$J34&lt;&gt;"",Units!$J34,Mkt!BS35),Inputs!$B$15*Mkt!BS35+(1-Inputs!$B$15)*MIN(Mkt!BS35,BR35*(1+Inputs!$B$18))),BR35)))</f>
        <v>1767.8929633075</v>
      </c>
      <c r="BT35" s="11" t="n">
        <f aca="false">IF(BT$1&lt;Units!$P34,0,IF(AND(Units!$K34=0,BT$1=Units!$O34),Units!$R34,IF(AND(BT$1&gt;=Units!$Q34,MOD(BT$1-Units!$Q34,12)=0),IF(AND(Units!$L34=1,BT$1=Units!$Q34),IF(Units!$J34&lt;&gt;"",Units!$J34,Mkt!BT35),Inputs!$B$15*Mkt!BT35+(1-Inputs!$B$15)*MIN(Mkt!BT35,BS35*(1+Inputs!$B$18))),BS35)))</f>
        <v>1767.8929633075</v>
      </c>
      <c r="BU35" s="11" t="n">
        <f aca="false">IF(BU$1&lt;Units!$P34,0,IF(AND(Units!$K34=0,BU$1=Units!$O34),Units!$R34,IF(AND(BU$1&gt;=Units!$Q34,MOD(BU$1-Units!$Q34,12)=0),IF(AND(Units!$L34=1,BU$1=Units!$Q34),IF(Units!$J34&lt;&gt;"",Units!$J34,Mkt!BU35),Inputs!$B$15*Mkt!BU35+(1-Inputs!$B$15)*MIN(Mkt!BU35,BT35*(1+Inputs!$B$18))),BT35)))</f>
        <v>1767.8929633075</v>
      </c>
      <c r="BV35" s="11" t="n">
        <f aca="false">IF(BV$1&lt;Units!$P34,0,IF(AND(Units!$K34=0,BV$1=Units!$O34),Units!$R34,IF(AND(BV$1&gt;=Units!$Q34,MOD(BV$1-Units!$Q34,12)=0),IF(AND(Units!$L34=1,BV$1=Units!$Q34),IF(Units!$J34&lt;&gt;"",Units!$J34,Mkt!BV35),Inputs!$B$15*Mkt!BV35+(1-Inputs!$B$15)*MIN(Mkt!BV35,BU35*(1+Inputs!$B$18))),BU35)))</f>
        <v>1767.8929633075</v>
      </c>
      <c r="BW35" s="11" t="n">
        <f aca="false">IF(BW$1&lt;Units!$P34,0,IF(AND(Units!$K34=0,BW$1=Units!$O34),Units!$R34,IF(AND(BW$1&gt;=Units!$Q34,MOD(BW$1-Units!$Q34,12)=0),IF(AND(Units!$L34=1,BW$1=Units!$Q34),IF(Units!$J34&lt;&gt;"",Units!$J34,Mkt!BW35),Inputs!$B$15*Mkt!BW35+(1-Inputs!$B$15)*MIN(Mkt!BW35,BV35*(1+Inputs!$B$18))),BV35)))</f>
        <v>1767.8929633075</v>
      </c>
      <c r="BX35" s="11" t="n">
        <f aca="false">IF(BX$1&lt;Units!$P34,0,IF(AND(Units!$K34=0,BX$1=Units!$O34),Units!$R34,IF(AND(BX$1&gt;=Units!$Q34,MOD(BX$1-Units!$Q34,12)=0),IF(AND(Units!$L34=1,BX$1=Units!$Q34),IF(Units!$J34&lt;&gt;"",Units!$J34,Mkt!BX35),Inputs!$B$15*Mkt!BX35+(1-Inputs!$B$15)*MIN(Mkt!BX35,BW35*(1+Inputs!$B$18))),BW35)))</f>
        <v>1767.8929633075</v>
      </c>
      <c r="BY35" s="11" t="n">
        <f aca="false">IF(BY$1&lt;Units!$P34,0,IF(AND(Units!$K34=0,BY$1=Units!$O34),Units!$R34,IF(AND(BY$1&gt;=Units!$Q34,MOD(BY$1-Units!$Q34,12)=0),IF(AND(Units!$L34=1,BY$1=Units!$Q34),IF(Units!$J34&lt;&gt;"",Units!$J34,Mkt!BY35),Inputs!$B$15*Mkt!BY35+(1-Inputs!$B$15)*MIN(Mkt!BY35,BX35*(1+Inputs!$B$18))),BX35)))</f>
        <v>1767.8929633075</v>
      </c>
      <c r="BZ35" s="11" t="n">
        <f aca="false">IF(BZ$1&lt;Units!$P34,0,IF(AND(Units!$K34=0,BZ$1=Units!$O34),Units!$R34,IF(AND(BZ$1&gt;=Units!$Q34,MOD(BZ$1-Units!$Q34,12)=0),IF(AND(Units!$L34=1,BZ$1=Units!$Q34),IF(Units!$J34&lt;&gt;"",Units!$J34,Mkt!BZ35),Inputs!$B$15*Mkt!BZ35+(1-Inputs!$B$15)*MIN(Mkt!BZ35,BY35*(1+Inputs!$B$18))),BY35)))</f>
        <v>1767.8929633075</v>
      </c>
      <c r="CA35" s="11" t="n">
        <f aca="false">IF(CA$1&lt;Units!$P34,0,IF(AND(Units!$K34=0,CA$1=Units!$O34),Units!$R34,IF(AND(CA$1&gt;=Units!$Q34,MOD(CA$1-Units!$Q34,12)=0),IF(AND(Units!$L34=1,CA$1=Units!$Q34),IF(Units!$J34&lt;&gt;"",Units!$J34,Mkt!CA35),Inputs!$B$15*Mkt!CA35+(1-Inputs!$B$15)*MIN(Mkt!CA35,BZ35*(1+Inputs!$B$18))),BZ35)))</f>
        <v>1767.8929633075</v>
      </c>
      <c r="CB35" s="11" t="n">
        <f aca="false">IF(CB$1&lt;Units!$P34,0,IF(AND(Units!$K34=0,CB$1=Units!$O34),Units!$R34,IF(AND(CB$1&gt;=Units!$Q34,MOD(CB$1-Units!$Q34,12)=0),IF(AND(Units!$L34=1,CB$1=Units!$Q34),IF(Units!$J34&lt;&gt;"",Units!$J34,Mkt!CB35),Inputs!$B$15*Mkt!CB35+(1-Inputs!$B$15)*MIN(Mkt!CB35,CA35*(1+Inputs!$B$18))),CA35)))</f>
        <v>1767.8929633075</v>
      </c>
      <c r="CC35" s="11" t="n">
        <f aca="false">IF(CC$1&lt;Units!$P34,0,IF(AND(Units!$K34=0,CC$1=Units!$O34),Units!$R34,IF(AND(CC$1&gt;=Units!$Q34,MOD(CC$1-Units!$Q34,12)=0),IF(AND(Units!$L34=1,CC$1=Units!$Q34),IF(Units!$J34&lt;&gt;"",Units!$J34,Mkt!CC35),Inputs!$B$15*Mkt!CC35+(1-Inputs!$B$15)*MIN(Mkt!CC35,CB35*(1+Inputs!$B$18))),CB35)))</f>
        <v>1767.8929633075</v>
      </c>
      <c r="CD35" s="11" t="n">
        <f aca="false">IF(CD$1&lt;Units!$P34,0,IF(AND(Units!$K34=0,CD$1=Units!$O34),Units!$R34,IF(AND(CD$1&gt;=Units!$Q34,MOD(CD$1-Units!$Q34,12)=0),IF(AND(Units!$L34=1,CD$1=Units!$Q34),IF(Units!$J34&lt;&gt;"",Units!$J34,Mkt!CD35),Inputs!$B$15*Mkt!CD35+(1-Inputs!$B$15)*MIN(Mkt!CD35,CC35*(1+Inputs!$B$18))),CC35)))</f>
        <v>1820.92975220673</v>
      </c>
      <c r="CE35" s="11" t="n">
        <f aca="false">IF(CE$1&lt;Units!$P34,0,IF(AND(Units!$K34=0,CE$1=Units!$O34),Units!$R34,IF(AND(CE$1&gt;=Units!$Q34,MOD(CE$1-Units!$Q34,12)=0),IF(AND(Units!$L34=1,CE$1=Units!$Q34),IF(Units!$J34&lt;&gt;"",Units!$J34,Mkt!CE35),Inputs!$B$15*Mkt!CE35+(1-Inputs!$B$15)*MIN(Mkt!CE35,CD35*(1+Inputs!$B$18))),CD35)))</f>
        <v>1820.92975220673</v>
      </c>
      <c r="CF35" s="11" t="n">
        <f aca="false">IF(CF$1&lt;Units!$P34,0,IF(AND(Units!$K34=0,CF$1=Units!$O34),Units!$R34,IF(AND(CF$1&gt;=Units!$Q34,MOD(CF$1-Units!$Q34,12)=0),IF(AND(Units!$L34=1,CF$1=Units!$Q34),IF(Units!$J34&lt;&gt;"",Units!$J34,Mkt!CF35),Inputs!$B$15*Mkt!CF35+(1-Inputs!$B$15)*MIN(Mkt!CF35,CE35*(1+Inputs!$B$18))),CE35)))</f>
        <v>1820.92975220673</v>
      </c>
      <c r="CG35" s="11" t="n">
        <f aca="false">IF(CG$1&lt;Units!$P34,0,IF(AND(Units!$K34=0,CG$1=Units!$O34),Units!$R34,IF(AND(CG$1&gt;=Units!$Q34,MOD(CG$1-Units!$Q34,12)=0),IF(AND(Units!$L34=1,CG$1=Units!$Q34),IF(Units!$J34&lt;&gt;"",Units!$J34,Mkt!CG35),Inputs!$B$15*Mkt!CG35+(1-Inputs!$B$15)*MIN(Mkt!CG35,CF35*(1+Inputs!$B$18))),CF35)))</f>
        <v>1820.92975220673</v>
      </c>
      <c r="CH35" s="11" t="n">
        <f aca="false">IF(CH$1&lt;Units!$P34,0,IF(AND(Units!$K34=0,CH$1=Units!$O34),Units!$R34,IF(AND(CH$1&gt;=Units!$Q34,MOD(CH$1-Units!$Q34,12)=0),IF(AND(Units!$L34=1,CH$1=Units!$Q34),IF(Units!$J34&lt;&gt;"",Units!$J34,Mkt!CH35),Inputs!$B$15*Mkt!CH35+(1-Inputs!$B$15)*MIN(Mkt!CH35,CG35*(1+Inputs!$B$18))),CG35)))</f>
        <v>1820.92975220673</v>
      </c>
      <c r="CI35" s="11" t="n">
        <f aca="false">IF(CI$1&lt;Units!$P34,0,IF(AND(Units!$K34=0,CI$1=Units!$O34),Units!$R34,IF(AND(CI$1&gt;=Units!$Q34,MOD(CI$1-Units!$Q34,12)=0),IF(AND(Units!$L34=1,CI$1=Units!$Q34),IF(Units!$J34&lt;&gt;"",Units!$J34,Mkt!CI35),Inputs!$B$15*Mkt!CI35+(1-Inputs!$B$15)*MIN(Mkt!CI35,CH35*(1+Inputs!$B$18))),CH35)))</f>
        <v>1820.92975220673</v>
      </c>
      <c r="CJ35" s="11" t="n">
        <f aca="false">IF(CJ$1&lt;Units!$P34,0,IF(AND(Units!$K34=0,CJ$1=Units!$O34),Units!$R34,IF(AND(CJ$1&gt;=Units!$Q34,MOD(CJ$1-Units!$Q34,12)=0),IF(AND(Units!$L34=1,CJ$1=Units!$Q34),IF(Units!$J34&lt;&gt;"",Units!$J34,Mkt!CJ35),Inputs!$B$15*Mkt!CJ35+(1-Inputs!$B$15)*MIN(Mkt!CJ35,CI35*(1+Inputs!$B$18))),CI35)))</f>
        <v>1820.92975220673</v>
      </c>
      <c r="CK35" s="11" t="n">
        <f aca="false">IF(CK$1&lt;Units!$P34,0,IF(AND(Units!$K34=0,CK$1=Units!$O34),Units!$R34,IF(AND(CK$1&gt;=Units!$Q34,MOD(CK$1-Units!$Q34,12)=0),IF(AND(Units!$L34=1,CK$1=Units!$Q34),IF(Units!$J34&lt;&gt;"",Units!$J34,Mkt!CK35),Inputs!$B$15*Mkt!CK35+(1-Inputs!$B$15)*MIN(Mkt!CK35,CJ35*(1+Inputs!$B$18))),CJ35)))</f>
        <v>1820.92975220673</v>
      </c>
      <c r="CL35" s="11" t="n">
        <f aca="false">IF(CL$1&lt;Units!$P34,0,IF(AND(Units!$K34=0,CL$1=Units!$O34),Units!$R34,IF(AND(CL$1&gt;=Units!$Q34,MOD(CL$1-Units!$Q34,12)=0),IF(AND(Units!$L34=1,CL$1=Units!$Q34),IF(Units!$J34&lt;&gt;"",Units!$J34,Mkt!CL35),Inputs!$B$15*Mkt!CL35+(1-Inputs!$B$15)*MIN(Mkt!CL35,CK35*(1+Inputs!$B$18))),CK35)))</f>
        <v>1820.92975220673</v>
      </c>
      <c r="CM35" s="11" t="n">
        <f aca="false">IF(CM$1&lt;Units!$P34,0,IF(AND(Units!$K34=0,CM$1=Units!$O34),Units!$R34,IF(AND(CM$1&gt;=Units!$Q34,MOD(CM$1-Units!$Q34,12)=0),IF(AND(Units!$L34=1,CM$1=Units!$Q34),IF(Units!$J34&lt;&gt;"",Units!$J34,Mkt!CM35),Inputs!$B$15*Mkt!CM35+(1-Inputs!$B$15)*MIN(Mkt!CM35,CL35*(1+Inputs!$B$18))),CL35)))</f>
        <v>1820.92975220673</v>
      </c>
      <c r="CN35" s="11" t="n">
        <f aca="false">IF(CN$1&lt;Units!$P34,0,IF(AND(Units!$K34=0,CN$1=Units!$O34),Units!$R34,IF(AND(CN$1&gt;=Units!$Q34,MOD(CN$1-Units!$Q34,12)=0),IF(AND(Units!$L34=1,CN$1=Units!$Q34),IF(Units!$J34&lt;&gt;"",Units!$J34,Mkt!CN35),Inputs!$B$15*Mkt!CN35+(1-Inputs!$B$15)*MIN(Mkt!CN35,CM35*(1+Inputs!$B$18))),CM35)))</f>
        <v>1820.92975220673</v>
      </c>
      <c r="CO35" s="11" t="n">
        <f aca="false">IF(CO$1&lt;Units!$P34,0,IF(AND(Units!$K34=0,CO$1=Units!$O34),Units!$R34,IF(AND(CO$1&gt;=Units!$Q34,MOD(CO$1-Units!$Q34,12)=0),IF(AND(Units!$L34=1,CO$1=Units!$Q34),IF(Units!$J34&lt;&gt;"",Units!$J34,Mkt!CO35),Inputs!$B$15*Mkt!CO35+(1-Inputs!$B$15)*MIN(Mkt!CO35,CN35*(1+Inputs!$B$18))),CN35)))</f>
        <v>1820.92975220673</v>
      </c>
      <c r="CP35" s="11" t="n">
        <f aca="false">IF(CP$1&lt;Units!$P34,0,IF(AND(Units!$K34=0,CP$1=Units!$O34),Units!$R34,IF(AND(CP$1&gt;=Units!$Q34,MOD(CP$1-Units!$Q34,12)=0),IF(AND(Units!$L34=1,CP$1=Units!$Q34),IF(Units!$J34&lt;&gt;"",Units!$J34,Mkt!CP35),Inputs!$B$15*Mkt!CP35+(1-Inputs!$B$15)*MIN(Mkt!CP35,CO35*(1+Inputs!$B$18))),CO35)))</f>
        <v>1875.55764477293</v>
      </c>
      <c r="CQ35" s="11" t="n">
        <f aca="false">IF(CQ$1&lt;Units!$P34,0,IF(AND(Units!$K34=0,CQ$1=Units!$O34),Units!$R34,IF(AND(CQ$1&gt;=Units!$Q34,MOD(CQ$1-Units!$Q34,12)=0),IF(AND(Units!$L34=1,CQ$1=Units!$Q34),IF(Units!$J34&lt;&gt;"",Units!$J34,Mkt!CQ35),Inputs!$B$15*Mkt!CQ35+(1-Inputs!$B$15)*MIN(Mkt!CQ35,CP35*(1+Inputs!$B$18))),CP35)))</f>
        <v>1875.55764477293</v>
      </c>
      <c r="CR35" s="11" t="n">
        <f aca="false">IF(CR$1&lt;Units!$P34,0,IF(AND(Units!$K34=0,CR$1=Units!$O34),Units!$R34,IF(AND(CR$1&gt;=Units!$Q34,MOD(CR$1-Units!$Q34,12)=0),IF(AND(Units!$L34=1,CR$1=Units!$Q34),IF(Units!$J34&lt;&gt;"",Units!$J34,Mkt!CR35),Inputs!$B$15*Mkt!CR35+(1-Inputs!$B$15)*MIN(Mkt!CR35,CQ35*(1+Inputs!$B$18))),CQ35)))</f>
        <v>1875.55764477293</v>
      </c>
      <c r="CS35" s="11" t="n">
        <f aca="false">IF(CS$1&lt;Units!$P34,0,IF(AND(Units!$K34=0,CS$1=Units!$O34),Units!$R34,IF(AND(CS$1&gt;=Units!$Q34,MOD(CS$1-Units!$Q34,12)=0),IF(AND(Units!$L34=1,CS$1=Units!$Q34),IF(Units!$J34&lt;&gt;"",Units!$J34,Mkt!CS35),Inputs!$B$15*Mkt!CS35+(1-Inputs!$B$15)*MIN(Mkt!CS35,CR35*(1+Inputs!$B$18))),CR35)))</f>
        <v>1875.55764477293</v>
      </c>
      <c r="CT35" s="11" t="n">
        <f aca="false">IF(CT$1&lt;Units!$P34,0,IF(AND(Units!$K34=0,CT$1=Units!$O34),Units!$R34,IF(AND(CT$1&gt;=Units!$Q34,MOD(CT$1-Units!$Q34,12)=0),IF(AND(Units!$L34=1,CT$1=Units!$Q34),IF(Units!$J34&lt;&gt;"",Units!$J34,Mkt!CT35),Inputs!$B$15*Mkt!CT35+(1-Inputs!$B$15)*MIN(Mkt!CT35,CS35*(1+Inputs!$B$18))),CS35)))</f>
        <v>1875.55764477293</v>
      </c>
      <c r="CU35" s="11" t="n">
        <f aca="false">IF(CU$1&lt;Units!$P34,0,IF(AND(Units!$K34=0,CU$1=Units!$O34),Units!$R34,IF(AND(CU$1&gt;=Units!$Q34,MOD(CU$1-Units!$Q34,12)=0),IF(AND(Units!$L34=1,CU$1=Units!$Q34),IF(Units!$J34&lt;&gt;"",Units!$J34,Mkt!CU35),Inputs!$B$15*Mkt!CU35+(1-Inputs!$B$15)*MIN(Mkt!CU35,CT35*(1+Inputs!$B$18))),CT35)))</f>
        <v>1875.55764477293</v>
      </c>
      <c r="CV35" s="11" t="n">
        <f aca="false">IF(CV$1&lt;Units!$P34,0,IF(AND(Units!$K34=0,CV$1=Units!$O34),Units!$R34,IF(AND(CV$1&gt;=Units!$Q34,MOD(CV$1-Units!$Q34,12)=0),IF(AND(Units!$L34=1,CV$1=Units!$Q34),IF(Units!$J34&lt;&gt;"",Units!$J34,Mkt!CV35),Inputs!$B$15*Mkt!CV35+(1-Inputs!$B$15)*MIN(Mkt!CV35,CU35*(1+Inputs!$B$18))),CU35)))</f>
        <v>1875.55764477293</v>
      </c>
      <c r="CW35" s="11" t="n">
        <f aca="false">IF(CW$1&lt;Units!$P34,0,IF(AND(Units!$K34=0,CW$1=Units!$O34),Units!$R34,IF(AND(CW$1&gt;=Units!$Q34,MOD(CW$1-Units!$Q34,12)=0),IF(AND(Units!$L34=1,CW$1=Units!$Q34),IF(Units!$J34&lt;&gt;"",Units!$J34,Mkt!CW35),Inputs!$B$15*Mkt!CW35+(1-Inputs!$B$15)*MIN(Mkt!CW35,CV35*(1+Inputs!$B$18))),CV35)))</f>
        <v>1875.55764477293</v>
      </c>
      <c r="CX35" s="11" t="n">
        <f aca="false">IF(CX$1&lt;Units!$P34,0,IF(AND(Units!$K34=0,CX$1=Units!$O34),Units!$R34,IF(AND(CX$1&gt;=Units!$Q34,MOD(CX$1-Units!$Q34,12)=0),IF(AND(Units!$L34=1,CX$1=Units!$Q34),IF(Units!$J34&lt;&gt;"",Units!$J34,Mkt!CX35),Inputs!$B$15*Mkt!CX35+(1-Inputs!$B$15)*MIN(Mkt!CX35,CW35*(1+Inputs!$B$18))),CW35)))</f>
        <v>1875.55764477293</v>
      </c>
      <c r="CY35" s="11" t="n">
        <f aca="false">IF(CY$1&lt;Units!$P34,0,IF(AND(Units!$K34=0,CY$1=Units!$O34),Units!$R34,IF(AND(CY$1&gt;=Units!$Q34,MOD(CY$1-Units!$Q34,12)=0),IF(AND(Units!$L34=1,CY$1=Units!$Q34),IF(Units!$J34&lt;&gt;"",Units!$J34,Mkt!CY35),Inputs!$B$15*Mkt!CY35+(1-Inputs!$B$15)*MIN(Mkt!CY35,CX35*(1+Inputs!$B$18))),CX35)))</f>
        <v>1875.55764477293</v>
      </c>
      <c r="CZ35" s="11" t="n">
        <f aca="false">IF(CZ$1&lt;Units!$P34,0,IF(AND(Units!$K34=0,CZ$1=Units!$O34),Units!$R34,IF(AND(CZ$1&gt;=Units!$Q34,MOD(CZ$1-Units!$Q34,12)=0),IF(AND(Units!$L34=1,CZ$1=Units!$Q34),IF(Units!$J34&lt;&gt;"",Units!$J34,Mkt!CZ35),Inputs!$B$15*Mkt!CZ35+(1-Inputs!$B$15)*MIN(Mkt!CZ35,CY35*(1+Inputs!$B$18))),CY35)))</f>
        <v>1875.55764477293</v>
      </c>
      <c r="DA35" s="11" t="n">
        <f aca="false">IF(DA$1&lt;Units!$P34,0,IF(AND(Units!$K34=0,DA$1=Units!$O34),Units!$R34,IF(AND(DA$1&gt;=Units!$Q34,MOD(DA$1-Units!$Q34,12)=0),IF(AND(Units!$L34=1,DA$1=Units!$Q34),IF(Units!$J34&lt;&gt;"",Units!$J34,Mkt!DA35),Inputs!$B$15*Mkt!DA35+(1-Inputs!$B$15)*MIN(Mkt!DA35,CZ35*(1+Inputs!$B$18))),CZ35)))</f>
        <v>1875.55764477293</v>
      </c>
      <c r="DB35" s="11" t="n">
        <f aca="false">IF(DB$1&lt;Units!$P34,0,IF(AND(Units!$K34=0,DB$1=Units!$O34),Units!$R34,IF(AND(DB$1&gt;=Units!$Q34,MOD(DB$1-Units!$Q34,12)=0),IF(AND(Units!$L34=1,DB$1=Units!$Q34),IF(Units!$J34&lt;&gt;"",Units!$J34,Mkt!DB35),Inputs!$B$15*Mkt!DB35+(1-Inputs!$B$15)*MIN(Mkt!DB35,DA35*(1+Inputs!$B$18))),DA35)))</f>
        <v>1931.82437411612</v>
      </c>
      <c r="DC35" s="11" t="n">
        <f aca="false">IF(DC$1&lt;Units!$P34,0,IF(AND(Units!$K34=0,DC$1=Units!$O34),Units!$R34,IF(AND(DC$1&gt;=Units!$Q34,MOD(DC$1-Units!$Q34,12)=0),IF(AND(Units!$L34=1,DC$1=Units!$Q34),IF(Units!$J34&lt;&gt;"",Units!$J34,Mkt!DC35),Inputs!$B$15*Mkt!DC35+(1-Inputs!$B$15)*MIN(Mkt!DC35,DB35*(1+Inputs!$B$18))),DB35)))</f>
        <v>1931.82437411612</v>
      </c>
      <c r="DD35" s="11" t="n">
        <f aca="false">IF(DD$1&lt;Units!$P34,0,IF(AND(Units!$K34=0,DD$1=Units!$O34),Units!$R34,IF(AND(DD$1&gt;=Units!$Q34,MOD(DD$1-Units!$Q34,12)=0),IF(AND(Units!$L34=1,DD$1=Units!$Q34),IF(Units!$J34&lt;&gt;"",Units!$J34,Mkt!DD35),Inputs!$B$15*Mkt!DD35+(1-Inputs!$B$15)*MIN(Mkt!DD35,DC35*(1+Inputs!$B$18))),DC35)))</f>
        <v>1931.82437411612</v>
      </c>
      <c r="DE35" s="11" t="n">
        <f aca="false">IF(DE$1&lt;Units!$P34,0,IF(AND(Units!$K34=0,DE$1=Units!$O34),Units!$R34,IF(AND(DE$1&gt;=Units!$Q34,MOD(DE$1-Units!$Q34,12)=0),IF(AND(Units!$L34=1,DE$1=Units!$Q34),IF(Units!$J34&lt;&gt;"",Units!$J34,Mkt!DE35),Inputs!$B$15*Mkt!DE35+(1-Inputs!$B$15)*MIN(Mkt!DE35,DD35*(1+Inputs!$B$18))),DD35)))</f>
        <v>1931.82437411612</v>
      </c>
      <c r="DF35" s="11" t="n">
        <f aca="false">IF(DF$1&lt;Units!$P34,0,IF(AND(Units!$K34=0,DF$1=Units!$O34),Units!$R34,IF(AND(DF$1&gt;=Units!$Q34,MOD(DF$1-Units!$Q34,12)=0),IF(AND(Units!$L34=1,DF$1=Units!$Q34),IF(Units!$J34&lt;&gt;"",Units!$J34,Mkt!DF35),Inputs!$B$15*Mkt!DF35+(1-Inputs!$B$15)*MIN(Mkt!DF35,DE35*(1+Inputs!$B$18))),DE35)))</f>
        <v>1931.82437411612</v>
      </c>
      <c r="DG35" s="11" t="n">
        <f aca="false">IF(DG$1&lt;Units!$P34,0,IF(AND(Units!$K34=0,DG$1=Units!$O34),Units!$R34,IF(AND(DG$1&gt;=Units!$Q34,MOD(DG$1-Units!$Q34,12)=0),IF(AND(Units!$L34=1,DG$1=Units!$Q34),IF(Units!$J34&lt;&gt;"",Units!$J34,Mkt!DG35),Inputs!$B$15*Mkt!DG35+(1-Inputs!$B$15)*MIN(Mkt!DG35,DF35*(1+Inputs!$B$18))),DF35)))</f>
        <v>1931.82437411612</v>
      </c>
      <c r="DH35" s="11" t="n">
        <f aca="false">IF(DH$1&lt;Units!$P34,0,IF(AND(Units!$K34=0,DH$1=Units!$O34),Units!$R34,IF(AND(DH$1&gt;=Units!$Q34,MOD(DH$1-Units!$Q34,12)=0),IF(AND(Units!$L34=1,DH$1=Units!$Q34),IF(Units!$J34&lt;&gt;"",Units!$J34,Mkt!DH35),Inputs!$B$15*Mkt!DH35+(1-Inputs!$B$15)*MIN(Mkt!DH35,DG35*(1+Inputs!$B$18))),DG35)))</f>
        <v>1931.82437411612</v>
      </c>
      <c r="DI35" s="11" t="n">
        <f aca="false">IF(DI$1&lt;Units!$P34,0,IF(AND(Units!$K34=0,DI$1=Units!$O34),Units!$R34,IF(AND(DI$1&gt;=Units!$Q34,MOD(DI$1-Units!$Q34,12)=0),IF(AND(Units!$L34=1,DI$1=Units!$Q34),IF(Units!$J34&lt;&gt;"",Units!$J34,Mkt!DI35),Inputs!$B$15*Mkt!DI35+(1-Inputs!$B$15)*MIN(Mkt!DI35,DH35*(1+Inputs!$B$18))),DH35)))</f>
        <v>1931.82437411612</v>
      </c>
      <c r="DJ35" s="11" t="n">
        <f aca="false">IF(DJ$1&lt;Units!$P34,0,IF(AND(Units!$K34=0,DJ$1=Units!$O34),Units!$R34,IF(AND(DJ$1&gt;=Units!$Q34,MOD(DJ$1-Units!$Q34,12)=0),IF(AND(Units!$L34=1,DJ$1=Units!$Q34),IF(Units!$J34&lt;&gt;"",Units!$J34,Mkt!DJ35),Inputs!$B$15*Mkt!DJ35+(1-Inputs!$B$15)*MIN(Mkt!DJ35,DI35*(1+Inputs!$B$18))),DI35)))</f>
        <v>1931.82437411612</v>
      </c>
      <c r="DK35" s="11" t="n">
        <f aca="false">IF(DK$1&lt;Units!$P34,0,IF(AND(Units!$K34=0,DK$1=Units!$O34),Units!$R34,IF(AND(DK$1&gt;=Units!$Q34,MOD(DK$1-Units!$Q34,12)=0),IF(AND(Units!$L34=1,DK$1=Units!$Q34),IF(Units!$J34&lt;&gt;"",Units!$J34,Mkt!DK35),Inputs!$B$15*Mkt!DK35+(1-Inputs!$B$15)*MIN(Mkt!DK35,DJ35*(1+Inputs!$B$18))),DJ35)))</f>
        <v>1931.82437411612</v>
      </c>
      <c r="DL35" s="11" t="n">
        <f aca="false">IF(DL$1&lt;Units!$P34,0,IF(AND(Units!$K34=0,DL$1=Units!$O34),Units!$R34,IF(AND(DL$1&gt;=Units!$Q34,MOD(DL$1-Units!$Q34,12)=0),IF(AND(Units!$L34=1,DL$1=Units!$Q34),IF(Units!$J34&lt;&gt;"",Units!$J34,Mkt!DL35),Inputs!$B$15*Mkt!DL35+(1-Inputs!$B$15)*MIN(Mkt!DL35,DK35*(1+Inputs!$B$18))),DK35)))</f>
        <v>1931.82437411612</v>
      </c>
      <c r="DM35" s="11" t="n">
        <f aca="false">IF(DM$1&lt;Units!$P34,0,IF(AND(Units!$K34=0,DM$1=Units!$O34),Units!$R34,IF(AND(DM$1&gt;=Units!$Q34,MOD(DM$1-Units!$Q34,12)=0),IF(AND(Units!$L34=1,DM$1=Units!$Q34),IF(Units!$J34&lt;&gt;"",Units!$J34,Mkt!DM35),Inputs!$B$15*Mkt!DM35+(1-Inputs!$B$15)*MIN(Mkt!DM35,DL35*(1+Inputs!$B$18))),DL35)))</f>
        <v>1931.82437411612</v>
      </c>
      <c r="DN35" s="11" t="n">
        <f aca="false">IF(DN$1&lt;Units!$P34,0,IF(AND(Units!$K34=0,DN$1=Units!$O34),Units!$R34,IF(AND(DN$1&gt;=Units!$Q34,MOD(DN$1-Units!$Q34,12)=0),IF(AND(Units!$L34=1,DN$1=Units!$Q34),IF(Units!$J34&lt;&gt;"",Units!$J34,Mkt!DN35),Inputs!$B$15*Mkt!DN35+(1-Inputs!$B$15)*MIN(Mkt!DN35,DM35*(1+Inputs!$B$18))),DM35)))</f>
        <v>1989.7791053396</v>
      </c>
      <c r="DO35" s="11" t="n">
        <f aca="false">IF(DO$1&lt;Units!$P34,0,IF(AND(Units!$K34=0,DO$1=Units!$O34),Units!$R34,IF(AND(DO$1&gt;=Units!$Q34,MOD(DO$1-Units!$Q34,12)=0),IF(AND(Units!$L34=1,DO$1=Units!$Q34),IF(Units!$J34&lt;&gt;"",Units!$J34,Mkt!DO35),Inputs!$B$15*Mkt!DO35+(1-Inputs!$B$15)*MIN(Mkt!DO35,DN35*(1+Inputs!$B$18))),DN35)))</f>
        <v>1989.7791053396</v>
      </c>
      <c r="DP35" s="11" t="n">
        <f aca="false">IF(DP$1&lt;Units!$P34,0,IF(AND(Units!$K34=0,DP$1=Units!$O34),Units!$R34,IF(AND(DP$1&gt;=Units!$Q34,MOD(DP$1-Units!$Q34,12)=0),IF(AND(Units!$L34=1,DP$1=Units!$Q34),IF(Units!$J34&lt;&gt;"",Units!$J34,Mkt!DP35),Inputs!$B$15*Mkt!DP35+(1-Inputs!$B$15)*MIN(Mkt!DP35,DO35*(1+Inputs!$B$18))),DO35)))</f>
        <v>1989.7791053396</v>
      </c>
      <c r="DQ35" s="11" t="n">
        <f aca="false">IF(DQ$1&lt;Units!$P34,0,IF(AND(Units!$K34=0,DQ$1=Units!$O34),Units!$R34,IF(AND(DQ$1&gt;=Units!$Q34,MOD(DQ$1-Units!$Q34,12)=0),IF(AND(Units!$L34=1,DQ$1=Units!$Q34),IF(Units!$J34&lt;&gt;"",Units!$J34,Mkt!DQ35),Inputs!$B$15*Mkt!DQ35+(1-Inputs!$B$15)*MIN(Mkt!DQ35,DP35*(1+Inputs!$B$18))),DP35)))</f>
        <v>1989.7791053396</v>
      </c>
      <c r="DR35" s="11" t="n">
        <f aca="false">IF(DR$1&lt;Units!$P34,0,IF(AND(Units!$K34=0,DR$1=Units!$O34),Units!$R34,IF(AND(DR$1&gt;=Units!$Q34,MOD(DR$1-Units!$Q34,12)=0),IF(AND(Units!$L34=1,DR$1=Units!$Q34),IF(Units!$J34&lt;&gt;"",Units!$J34,Mkt!DR35),Inputs!$B$15*Mkt!DR35+(1-Inputs!$B$15)*MIN(Mkt!DR35,DQ35*(1+Inputs!$B$18))),DQ35)))</f>
        <v>1989.7791053396</v>
      </c>
      <c r="DS35" s="11" t="n">
        <f aca="false">IF(DS$1&lt;Units!$P34,0,IF(AND(Units!$K34=0,DS$1=Units!$O34),Units!$R34,IF(AND(DS$1&gt;=Units!$Q34,MOD(DS$1-Units!$Q34,12)=0),IF(AND(Units!$L34=1,DS$1=Units!$Q34),IF(Units!$J34&lt;&gt;"",Units!$J34,Mkt!DS35),Inputs!$B$15*Mkt!DS35+(1-Inputs!$B$15)*MIN(Mkt!DS35,DR35*(1+Inputs!$B$18))),DR35)))</f>
        <v>1989.7791053396</v>
      </c>
      <c r="DT35" s="11" t="n">
        <f aca="false">IF(DT$1&lt;Units!$P34,0,IF(AND(Units!$K34=0,DT$1=Units!$O34),Units!$R34,IF(AND(DT$1&gt;=Units!$Q34,MOD(DT$1-Units!$Q34,12)=0),IF(AND(Units!$L34=1,DT$1=Units!$Q34),IF(Units!$J34&lt;&gt;"",Units!$J34,Mkt!DT35),Inputs!$B$15*Mkt!DT35+(1-Inputs!$B$15)*MIN(Mkt!DT35,DS35*(1+Inputs!$B$18))),DS35)))</f>
        <v>1989.7791053396</v>
      </c>
      <c r="DU35" s="11" t="n">
        <f aca="false">IF(DU$1&lt;Units!$P34,0,IF(AND(Units!$K34=0,DU$1=Units!$O34),Units!$R34,IF(AND(DU$1&gt;=Units!$Q34,MOD(DU$1-Units!$Q34,12)=0),IF(AND(Units!$L34=1,DU$1=Units!$Q34),IF(Units!$J34&lt;&gt;"",Units!$J34,Mkt!DU35),Inputs!$B$15*Mkt!DU35+(1-Inputs!$B$15)*MIN(Mkt!DU35,DT35*(1+Inputs!$B$18))),DT35)))</f>
        <v>1989.7791053396</v>
      </c>
      <c r="DV35" s="11" t="n">
        <f aca="false">IF(DV$1&lt;Units!$P34,0,IF(AND(Units!$K34=0,DV$1=Units!$O34),Units!$R34,IF(AND(DV$1&gt;=Units!$Q34,MOD(DV$1-Units!$Q34,12)=0),IF(AND(Units!$L34=1,DV$1=Units!$Q34),IF(Units!$J34&lt;&gt;"",Units!$J34,Mkt!DV35),Inputs!$B$15*Mkt!DV35+(1-Inputs!$B$15)*MIN(Mkt!DV35,DU35*(1+Inputs!$B$18))),DU35)))</f>
        <v>1989.7791053396</v>
      </c>
      <c r="DW35" s="11" t="n">
        <f aca="false">IF(DW$1&lt;Units!$P34,0,IF(AND(Units!$K34=0,DW$1=Units!$O34),Units!$R34,IF(AND(DW$1&gt;=Units!$Q34,MOD(DW$1-Units!$Q34,12)=0),IF(AND(Units!$L34=1,DW$1=Units!$Q34),IF(Units!$J34&lt;&gt;"",Units!$J34,Mkt!DW35),Inputs!$B$15*Mkt!DW35+(1-Inputs!$B$15)*MIN(Mkt!DW35,DV35*(1+Inputs!$B$18))),DV35)))</f>
        <v>1989.7791053396</v>
      </c>
      <c r="DX35" s="11" t="n">
        <f aca="false">IF(DX$1&lt;Units!$P34,0,IF(AND(Units!$K34=0,DX$1=Units!$O34),Units!$R34,IF(AND(DX$1&gt;=Units!$Q34,MOD(DX$1-Units!$Q34,12)=0),IF(AND(Units!$L34=1,DX$1=Units!$Q34),IF(Units!$J34&lt;&gt;"",Units!$J34,Mkt!DX35),Inputs!$B$15*Mkt!DX35+(1-Inputs!$B$15)*MIN(Mkt!DX35,DW35*(1+Inputs!$B$18))),DW35)))</f>
        <v>1989.7791053396</v>
      </c>
      <c r="DY35" s="11" t="n">
        <f aca="false">IF(DY$1&lt;Units!$P34,0,IF(AND(Units!$K34=0,DY$1=Units!$O34),Units!$R34,IF(AND(DY$1&gt;=Units!$Q34,MOD(DY$1-Units!$Q34,12)=0),IF(AND(Units!$L34=1,DY$1=Units!$Q34),IF(Units!$J34&lt;&gt;"",Units!$J34,Mkt!DY35),Inputs!$B$15*Mkt!DY35+(1-Inputs!$B$15)*MIN(Mkt!DY35,DX35*(1+Inputs!$B$18))),DX35)))</f>
        <v>1989.7791053396</v>
      </c>
      <c r="DZ35" s="11" t="n">
        <f aca="false">IF(DZ$1&lt;Units!$P34,0,IF(AND(Units!$K34=0,DZ$1=Units!$O34),Units!$R34,IF(AND(DZ$1&gt;=Units!$Q34,MOD(DZ$1-Units!$Q34,12)=0),IF(AND(Units!$L34=1,DZ$1=Units!$Q34),IF(Units!$J34&lt;&gt;"",Units!$J34,Mkt!DZ35),Inputs!$B$15*Mkt!DZ35+(1-Inputs!$B$15)*MIN(Mkt!DZ35,DY35*(1+Inputs!$B$18))),DY35)))</f>
        <v>2049.47247849979</v>
      </c>
      <c r="EA35" s="11" t="n">
        <f aca="false">IF(EA$1&lt;Units!$P34,0,IF(AND(Units!$K34=0,EA$1=Units!$O34),Units!$R34,IF(AND(EA$1&gt;=Units!$Q34,MOD(EA$1-Units!$Q34,12)=0),IF(AND(Units!$L34=1,EA$1=Units!$Q34),IF(Units!$J34&lt;&gt;"",Units!$J34,Mkt!EA35),Inputs!$B$15*Mkt!EA35+(1-Inputs!$B$15)*MIN(Mkt!EA35,DZ35*(1+Inputs!$B$18))),DZ35)))</f>
        <v>2049.47247849979</v>
      </c>
      <c r="EB35" s="11" t="n">
        <f aca="false">IF(EB$1&lt;Units!$P34,0,IF(AND(Units!$K34=0,EB$1=Units!$O34),Units!$R34,IF(AND(EB$1&gt;=Units!$Q34,MOD(EB$1-Units!$Q34,12)=0),IF(AND(Units!$L34=1,EB$1=Units!$Q34),IF(Units!$J34&lt;&gt;"",Units!$J34,Mkt!EB35),Inputs!$B$15*Mkt!EB35+(1-Inputs!$B$15)*MIN(Mkt!EB35,EA35*(1+Inputs!$B$18))),EA35)))</f>
        <v>2049.47247849979</v>
      </c>
      <c r="EC35" s="11" t="n">
        <f aca="false">IF(EC$1&lt;Units!$P34,0,IF(AND(Units!$K34=0,EC$1=Units!$O34),Units!$R34,IF(AND(EC$1&gt;=Units!$Q34,MOD(EC$1-Units!$Q34,12)=0),IF(AND(Units!$L34=1,EC$1=Units!$Q34),IF(Units!$J34&lt;&gt;"",Units!$J34,Mkt!EC35),Inputs!$B$15*Mkt!EC35+(1-Inputs!$B$15)*MIN(Mkt!EC35,EB35*(1+Inputs!$B$18))),EB35)))</f>
        <v>2049.47247849979</v>
      </c>
      <c r="ED35" s="11" t="n">
        <f aca="false">IF(ED$1&lt;Units!$P34,0,IF(AND(Units!$K34=0,ED$1=Units!$O34),Units!$R34,IF(AND(ED$1&gt;=Units!$Q34,MOD(ED$1-Units!$Q34,12)=0),IF(AND(Units!$L34=1,ED$1=Units!$Q34),IF(Units!$J34&lt;&gt;"",Units!$J34,Mkt!ED35),Inputs!$B$15*Mkt!ED35+(1-Inputs!$B$15)*MIN(Mkt!ED35,EC35*(1+Inputs!$B$18))),EC35)))</f>
        <v>2049.47247849979</v>
      </c>
    </row>
    <row r="36" customFormat="false" ht="15" hidden="false" customHeight="false" outlineLevel="0" collapsed="false">
      <c r="A36" s="22" t="n">
        <f aca="false">Units!A35</f>
        <v>204</v>
      </c>
      <c r="B36" s="24" t="n">
        <f aca="false">IF(Units!K35=1,Units!F35,0)</f>
        <v>1380</v>
      </c>
      <c r="C36" s="11" t="n">
        <f aca="false">IF(C$1&lt;Units!$P35,0,IF(AND(Units!$K35=0,C$1=Units!$O35),Units!$R35,IF(AND(C$1&gt;=Units!$Q35,MOD(C$1-Units!$Q35,12)=0),IF(AND(Units!$L35=1,C$1=Units!$Q35),IF(Units!$J35&lt;&gt;"",Units!$J35,Mkt!C36),Inputs!$B$15*Mkt!C36+(1-Inputs!$B$15)*MIN(Mkt!C36,B36*(1+Inputs!$B$18))),B36)))</f>
        <v>1380</v>
      </c>
      <c r="D36" s="11" t="n">
        <f aca="false">IF(D$1&lt;Units!$P35,0,IF(AND(Units!$K35=0,D$1=Units!$O35),Units!$R35,IF(AND(D$1&gt;=Units!$Q35,MOD(D$1-Units!$Q35,12)=0),IF(AND(Units!$L35=1,D$1=Units!$Q35),IF(Units!$J35&lt;&gt;"",Units!$J35,Mkt!D36),Inputs!$B$15*Mkt!D36+(1-Inputs!$B$15)*MIN(Mkt!D36,C36*(1+Inputs!$B$18))),C36)))</f>
        <v>1380</v>
      </c>
      <c r="E36" s="11" t="n">
        <f aca="false">IF(E$1&lt;Units!$P35,0,IF(AND(Units!$K35=0,E$1=Units!$O35),Units!$R35,IF(AND(E$1&gt;=Units!$Q35,MOD(E$1-Units!$Q35,12)=0),IF(AND(Units!$L35=1,E$1=Units!$Q35),IF(Units!$J35&lt;&gt;"",Units!$J35,Mkt!E36),Inputs!$B$15*Mkt!E36+(1-Inputs!$B$15)*MIN(Mkt!E36,D36*(1+Inputs!$B$18))),D36)))</f>
        <v>1380</v>
      </c>
      <c r="F36" s="11" t="n">
        <f aca="false">IF(F$1&lt;Units!$P35,0,IF(AND(Units!$K35=0,F$1=Units!$O35),Units!$R35,IF(AND(F$1&gt;=Units!$Q35,MOD(F$1-Units!$Q35,12)=0),IF(AND(Units!$L35=1,F$1=Units!$Q35),IF(Units!$J35&lt;&gt;"",Units!$J35,Mkt!F36),Inputs!$B$15*Mkt!F36+(1-Inputs!$B$15)*MIN(Mkt!F36,E36*(1+Inputs!$B$18))),E36)))</f>
        <v>1380</v>
      </c>
      <c r="G36" s="11" t="n">
        <f aca="false">IF(G$1&lt;Units!$P35,0,IF(AND(Units!$K35=0,G$1=Units!$O35),Units!$R35,IF(AND(G$1&gt;=Units!$Q35,MOD(G$1-Units!$Q35,12)=0),IF(AND(Units!$L35=1,G$1=Units!$Q35),IF(Units!$J35&lt;&gt;"",Units!$J35,Mkt!G36),Inputs!$B$15*Mkt!G36+(1-Inputs!$B$15)*MIN(Mkt!G36,F36*(1+Inputs!$B$18))),F36)))</f>
        <v>1380</v>
      </c>
      <c r="H36" s="11" t="n">
        <f aca="false">IF(H$1&lt;Units!$P35,0,IF(AND(Units!$K35=0,H$1=Units!$O35),Units!$R35,IF(AND(H$1&gt;=Units!$Q35,MOD(H$1-Units!$Q35,12)=0),IF(AND(Units!$L35=1,H$1=Units!$Q35),IF(Units!$J35&lt;&gt;"",Units!$J35,Mkt!H36),Inputs!$B$15*Mkt!H36+(1-Inputs!$B$15)*MIN(Mkt!H36,G36*(1+Inputs!$B$18))),G36)))</f>
        <v>1380</v>
      </c>
      <c r="I36" s="11" t="n">
        <f aca="false">IF(I$1&lt;Units!$P35,0,IF(AND(Units!$K35=0,I$1=Units!$O35),Units!$R35,IF(AND(I$1&gt;=Units!$Q35,MOD(I$1-Units!$Q35,12)=0),IF(AND(Units!$L35=1,I$1=Units!$Q35),IF(Units!$J35&lt;&gt;"",Units!$J35,Mkt!I36),Inputs!$B$15*Mkt!I36+(1-Inputs!$B$15)*MIN(Mkt!I36,H36*(1+Inputs!$B$18))),H36)))</f>
        <v>1380</v>
      </c>
      <c r="J36" s="11" t="n">
        <f aca="false">IF(J$1&lt;Units!$P35,0,IF(AND(Units!$K35=0,J$1=Units!$O35),Units!$R35,IF(AND(J$1&gt;=Units!$Q35,MOD(J$1-Units!$Q35,12)=0),IF(AND(Units!$L35=1,J$1=Units!$Q35),IF(Units!$J35&lt;&gt;"",Units!$J35,Mkt!J36),Inputs!$B$15*Mkt!J36+(1-Inputs!$B$15)*MIN(Mkt!J36,I36*(1+Inputs!$B$18))),I36)))</f>
        <v>1487</v>
      </c>
      <c r="K36" s="11" t="n">
        <f aca="false">IF(K$1&lt;Units!$P35,0,IF(AND(Units!$K35=0,K$1=Units!$O35),Units!$R35,IF(AND(K$1&gt;=Units!$Q35,MOD(K$1-Units!$Q35,12)=0),IF(AND(Units!$L35=1,K$1=Units!$Q35),IF(Units!$J35&lt;&gt;"",Units!$J35,Mkt!K36),Inputs!$B$15*Mkt!K36+(1-Inputs!$B$15)*MIN(Mkt!K36,J36*(1+Inputs!$B$18))),J36)))</f>
        <v>1487</v>
      </c>
      <c r="L36" s="11" t="n">
        <f aca="false">IF(L$1&lt;Units!$P35,0,IF(AND(Units!$K35=0,L$1=Units!$O35),Units!$R35,IF(AND(L$1&gt;=Units!$Q35,MOD(L$1-Units!$Q35,12)=0),IF(AND(Units!$L35=1,L$1=Units!$Q35),IF(Units!$J35&lt;&gt;"",Units!$J35,Mkt!L36),Inputs!$B$15*Mkt!L36+(1-Inputs!$B$15)*MIN(Mkt!L36,K36*(1+Inputs!$B$18))),K36)))</f>
        <v>1487</v>
      </c>
      <c r="M36" s="11" t="n">
        <f aca="false">IF(M$1&lt;Units!$P35,0,IF(AND(Units!$K35=0,M$1=Units!$O35),Units!$R35,IF(AND(M$1&gt;=Units!$Q35,MOD(M$1-Units!$Q35,12)=0),IF(AND(Units!$L35=1,M$1=Units!$Q35),IF(Units!$J35&lt;&gt;"",Units!$J35,Mkt!M36),Inputs!$B$15*Mkt!M36+(1-Inputs!$B$15)*MIN(Mkt!M36,L36*(1+Inputs!$B$18))),L36)))</f>
        <v>1487</v>
      </c>
      <c r="N36" s="11" t="n">
        <f aca="false">IF(N$1&lt;Units!$P35,0,IF(AND(Units!$K35=0,N$1=Units!$O35),Units!$R35,IF(AND(N$1&gt;=Units!$Q35,MOD(N$1-Units!$Q35,12)=0),IF(AND(Units!$L35=1,N$1=Units!$Q35),IF(Units!$J35&lt;&gt;"",Units!$J35,Mkt!N36),Inputs!$B$15*Mkt!N36+(1-Inputs!$B$15)*MIN(Mkt!N36,M36*(1+Inputs!$B$18))),M36)))</f>
        <v>1487</v>
      </c>
      <c r="O36" s="11" t="n">
        <f aca="false">IF(O$1&lt;Units!$P35,0,IF(AND(Units!$K35=0,O$1=Units!$O35),Units!$R35,IF(AND(O$1&gt;=Units!$Q35,MOD(O$1-Units!$Q35,12)=0),IF(AND(Units!$L35=1,O$1=Units!$Q35),IF(Units!$J35&lt;&gt;"",Units!$J35,Mkt!O36),Inputs!$B$15*Mkt!O36+(1-Inputs!$B$15)*MIN(Mkt!O36,N36*(1+Inputs!$B$18))),N36)))</f>
        <v>1487</v>
      </c>
      <c r="P36" s="11" t="n">
        <f aca="false">IF(P$1&lt;Units!$P35,0,IF(AND(Units!$K35=0,P$1=Units!$O35),Units!$R35,IF(AND(P$1&gt;=Units!$Q35,MOD(P$1-Units!$Q35,12)=0),IF(AND(Units!$L35=1,P$1=Units!$Q35),IF(Units!$J35&lt;&gt;"",Units!$J35,Mkt!P36),Inputs!$B$15*Mkt!P36+(1-Inputs!$B$15)*MIN(Mkt!P36,O36*(1+Inputs!$B$18))),O36)))</f>
        <v>1487</v>
      </c>
      <c r="Q36" s="11" t="n">
        <f aca="false">IF(Q$1&lt;Units!$P35,0,IF(AND(Units!$K35=0,Q$1=Units!$O35),Units!$R35,IF(AND(Q$1&gt;=Units!$Q35,MOD(Q$1-Units!$Q35,12)=0),IF(AND(Units!$L35=1,Q$1=Units!$Q35),IF(Units!$J35&lt;&gt;"",Units!$J35,Mkt!Q36),Inputs!$B$15*Mkt!Q36+(1-Inputs!$B$15)*MIN(Mkt!Q36,P36*(1+Inputs!$B$18))),P36)))</f>
        <v>1487</v>
      </c>
      <c r="R36" s="11" t="n">
        <f aca="false">IF(R$1&lt;Units!$P35,0,IF(AND(Units!$K35=0,R$1=Units!$O35),Units!$R35,IF(AND(R$1&gt;=Units!$Q35,MOD(R$1-Units!$Q35,12)=0),IF(AND(Units!$L35=1,R$1=Units!$Q35),IF(Units!$J35&lt;&gt;"",Units!$J35,Mkt!R36),Inputs!$B$15*Mkt!R36+(1-Inputs!$B$15)*MIN(Mkt!R36,Q36*(1+Inputs!$B$18))),Q36)))</f>
        <v>1487</v>
      </c>
      <c r="S36" s="11" t="n">
        <f aca="false">IF(S$1&lt;Units!$P35,0,IF(AND(Units!$K35=0,S$1=Units!$O35),Units!$R35,IF(AND(S$1&gt;=Units!$Q35,MOD(S$1-Units!$Q35,12)=0),IF(AND(Units!$L35=1,S$1=Units!$Q35),IF(Units!$J35&lt;&gt;"",Units!$J35,Mkt!S36),Inputs!$B$15*Mkt!S36+(1-Inputs!$B$15)*MIN(Mkt!S36,R36*(1+Inputs!$B$18))),R36)))</f>
        <v>1487</v>
      </c>
      <c r="T36" s="11" t="n">
        <f aca="false">IF(T$1&lt;Units!$P35,0,IF(AND(Units!$K35=0,T$1=Units!$O35),Units!$R35,IF(AND(T$1&gt;=Units!$Q35,MOD(T$1-Units!$Q35,12)=0),IF(AND(Units!$L35=1,T$1=Units!$Q35),IF(Units!$J35&lt;&gt;"",Units!$J35,Mkt!T36),Inputs!$B$15*Mkt!T36+(1-Inputs!$B$15)*MIN(Mkt!T36,S36*(1+Inputs!$B$18))),S36)))</f>
        <v>1487</v>
      </c>
      <c r="U36" s="11" t="n">
        <f aca="false">IF(U$1&lt;Units!$P35,0,IF(AND(Units!$K35=0,U$1=Units!$O35),Units!$R35,IF(AND(U$1&gt;=Units!$Q35,MOD(U$1-Units!$Q35,12)=0),IF(AND(Units!$L35=1,U$1=Units!$Q35),IF(Units!$J35&lt;&gt;"",Units!$J35,Mkt!U36),Inputs!$B$15*Mkt!U36+(1-Inputs!$B$15)*MIN(Mkt!U36,T36*(1+Inputs!$B$18))),T36)))</f>
        <v>1487</v>
      </c>
      <c r="V36" s="11" t="n">
        <f aca="false">IF(V$1&lt;Units!$P35,0,IF(AND(Units!$K35=0,V$1=Units!$O35),Units!$R35,IF(AND(V$1&gt;=Units!$Q35,MOD(V$1-Units!$Q35,12)=0),IF(AND(Units!$L35=1,V$1=Units!$Q35),IF(Units!$J35&lt;&gt;"",Units!$J35,Mkt!V36),Inputs!$B$15*Mkt!V36+(1-Inputs!$B$15)*MIN(Mkt!V36,U36*(1+Inputs!$B$18))),U36)))</f>
        <v>1566.05</v>
      </c>
      <c r="W36" s="11" t="n">
        <f aca="false">IF(W$1&lt;Units!$P35,0,IF(AND(Units!$K35=0,W$1=Units!$O35),Units!$R35,IF(AND(W$1&gt;=Units!$Q35,MOD(W$1-Units!$Q35,12)=0),IF(AND(Units!$L35=1,W$1=Units!$Q35),IF(Units!$J35&lt;&gt;"",Units!$J35,Mkt!W36),Inputs!$B$15*Mkt!W36+(1-Inputs!$B$15)*MIN(Mkt!W36,V36*(1+Inputs!$B$18))),V36)))</f>
        <v>1566.05</v>
      </c>
      <c r="X36" s="11" t="n">
        <f aca="false">IF(X$1&lt;Units!$P35,0,IF(AND(Units!$K35=0,X$1=Units!$O35),Units!$R35,IF(AND(X$1&gt;=Units!$Q35,MOD(X$1-Units!$Q35,12)=0),IF(AND(Units!$L35=1,X$1=Units!$Q35),IF(Units!$J35&lt;&gt;"",Units!$J35,Mkt!X36),Inputs!$B$15*Mkt!X36+(1-Inputs!$B$15)*MIN(Mkt!X36,W36*(1+Inputs!$B$18))),W36)))</f>
        <v>1566.05</v>
      </c>
      <c r="Y36" s="11" t="n">
        <f aca="false">IF(Y$1&lt;Units!$P35,0,IF(AND(Units!$K35=0,Y$1=Units!$O35),Units!$R35,IF(AND(Y$1&gt;=Units!$Q35,MOD(Y$1-Units!$Q35,12)=0),IF(AND(Units!$L35=1,Y$1=Units!$Q35),IF(Units!$J35&lt;&gt;"",Units!$J35,Mkt!Y36),Inputs!$B$15*Mkt!Y36+(1-Inputs!$B$15)*MIN(Mkt!Y36,X36*(1+Inputs!$B$18))),X36)))</f>
        <v>1566.05</v>
      </c>
      <c r="Z36" s="11" t="n">
        <f aca="false">IF(Z$1&lt;Units!$P35,0,IF(AND(Units!$K35=0,Z$1=Units!$O35),Units!$R35,IF(AND(Z$1&gt;=Units!$Q35,MOD(Z$1-Units!$Q35,12)=0),IF(AND(Units!$L35=1,Z$1=Units!$Q35),IF(Units!$J35&lt;&gt;"",Units!$J35,Mkt!Z36),Inputs!$B$15*Mkt!Z36+(1-Inputs!$B$15)*MIN(Mkt!Z36,Y36*(1+Inputs!$B$18))),Y36)))</f>
        <v>1566.05</v>
      </c>
      <c r="AA36" s="11" t="n">
        <f aca="false">IF(AA$1&lt;Units!$P35,0,IF(AND(Units!$K35=0,AA$1=Units!$O35),Units!$R35,IF(AND(AA$1&gt;=Units!$Q35,MOD(AA$1-Units!$Q35,12)=0),IF(AND(Units!$L35=1,AA$1=Units!$Q35),IF(Units!$J35&lt;&gt;"",Units!$J35,Mkt!AA36),Inputs!$B$15*Mkt!AA36+(1-Inputs!$B$15)*MIN(Mkt!AA36,Z36*(1+Inputs!$B$18))),Z36)))</f>
        <v>1566.05</v>
      </c>
      <c r="AB36" s="11" t="n">
        <f aca="false">IF(AB$1&lt;Units!$P35,0,IF(AND(Units!$K35=0,AB$1=Units!$O35),Units!$R35,IF(AND(AB$1&gt;=Units!$Q35,MOD(AB$1-Units!$Q35,12)=0),IF(AND(Units!$L35=1,AB$1=Units!$Q35),IF(Units!$J35&lt;&gt;"",Units!$J35,Mkt!AB36),Inputs!$B$15*Mkt!AB36+(1-Inputs!$B$15)*MIN(Mkt!AB36,AA36*(1+Inputs!$B$18))),AA36)))</f>
        <v>1566.05</v>
      </c>
      <c r="AC36" s="11" t="n">
        <f aca="false">IF(AC$1&lt;Units!$P35,0,IF(AND(Units!$K35=0,AC$1=Units!$O35),Units!$R35,IF(AND(AC$1&gt;=Units!$Q35,MOD(AC$1-Units!$Q35,12)=0),IF(AND(Units!$L35=1,AC$1=Units!$Q35),IF(Units!$J35&lt;&gt;"",Units!$J35,Mkt!AC36),Inputs!$B$15*Mkt!AC36+(1-Inputs!$B$15)*MIN(Mkt!AC36,AB36*(1+Inputs!$B$18))),AB36)))</f>
        <v>1566.05</v>
      </c>
      <c r="AD36" s="11" t="n">
        <f aca="false">IF(AD$1&lt;Units!$P35,0,IF(AND(Units!$K35=0,AD$1=Units!$O35),Units!$R35,IF(AND(AD$1&gt;=Units!$Q35,MOD(AD$1-Units!$Q35,12)=0),IF(AND(Units!$L35=1,AD$1=Units!$Q35),IF(Units!$J35&lt;&gt;"",Units!$J35,Mkt!AD36),Inputs!$B$15*Mkt!AD36+(1-Inputs!$B$15)*MIN(Mkt!AD36,AC36*(1+Inputs!$B$18))),AC36)))</f>
        <v>1566.05</v>
      </c>
      <c r="AE36" s="11" t="n">
        <f aca="false">IF(AE$1&lt;Units!$P35,0,IF(AND(Units!$K35=0,AE$1=Units!$O35),Units!$R35,IF(AND(AE$1&gt;=Units!$Q35,MOD(AE$1-Units!$Q35,12)=0),IF(AND(Units!$L35=1,AE$1=Units!$Q35),IF(Units!$J35&lt;&gt;"",Units!$J35,Mkt!AE36),Inputs!$B$15*Mkt!AE36+(1-Inputs!$B$15)*MIN(Mkt!AE36,AD36*(1+Inputs!$B$18))),AD36)))</f>
        <v>1566.05</v>
      </c>
      <c r="AF36" s="11" t="n">
        <f aca="false">IF(AF$1&lt;Units!$P35,0,IF(AND(Units!$K35=0,AF$1=Units!$O35),Units!$R35,IF(AND(AF$1&gt;=Units!$Q35,MOD(AF$1-Units!$Q35,12)=0),IF(AND(Units!$L35=1,AF$1=Units!$Q35),IF(Units!$J35&lt;&gt;"",Units!$J35,Mkt!AF36),Inputs!$B$15*Mkt!AF36+(1-Inputs!$B$15)*MIN(Mkt!AF36,AE36*(1+Inputs!$B$18))),AE36)))</f>
        <v>1566.05</v>
      </c>
      <c r="AG36" s="11" t="n">
        <f aca="false">IF(AG$1&lt;Units!$P35,0,IF(AND(Units!$K35=0,AG$1=Units!$O35),Units!$R35,IF(AND(AG$1&gt;=Units!$Q35,MOD(AG$1-Units!$Q35,12)=0),IF(AND(Units!$L35=1,AG$1=Units!$Q35),IF(Units!$J35&lt;&gt;"",Units!$J35,Mkt!AG36),Inputs!$B$15*Mkt!AG36+(1-Inputs!$B$15)*MIN(Mkt!AG36,AF36*(1+Inputs!$B$18))),AF36)))</f>
        <v>1566.05</v>
      </c>
      <c r="AH36" s="11" t="n">
        <f aca="false">IF(AH$1&lt;Units!$P35,0,IF(AND(Units!$K35=0,AH$1=Units!$O35),Units!$R35,IF(AND(AH$1&gt;=Units!$Q35,MOD(AH$1-Units!$Q35,12)=0),IF(AND(Units!$L35=1,AH$1=Units!$Q35),IF(Units!$J35&lt;&gt;"",Units!$J35,Mkt!AH36),Inputs!$B$15*Mkt!AH36+(1-Inputs!$B$15)*MIN(Mkt!AH36,AG36*(1+Inputs!$B$18))),AG36)))</f>
        <v>1617.8725</v>
      </c>
      <c r="AI36" s="11" t="n">
        <f aca="false">IF(AI$1&lt;Units!$P35,0,IF(AND(Units!$K35=0,AI$1=Units!$O35),Units!$R35,IF(AND(AI$1&gt;=Units!$Q35,MOD(AI$1-Units!$Q35,12)=0),IF(AND(Units!$L35=1,AI$1=Units!$Q35),IF(Units!$J35&lt;&gt;"",Units!$J35,Mkt!AI36),Inputs!$B$15*Mkt!AI36+(1-Inputs!$B$15)*MIN(Mkt!AI36,AH36*(1+Inputs!$B$18))),AH36)))</f>
        <v>1617.8725</v>
      </c>
      <c r="AJ36" s="11" t="n">
        <f aca="false">IF(AJ$1&lt;Units!$P35,0,IF(AND(Units!$K35=0,AJ$1=Units!$O35),Units!$R35,IF(AND(AJ$1&gt;=Units!$Q35,MOD(AJ$1-Units!$Q35,12)=0),IF(AND(Units!$L35=1,AJ$1=Units!$Q35),IF(Units!$J35&lt;&gt;"",Units!$J35,Mkt!AJ36),Inputs!$B$15*Mkt!AJ36+(1-Inputs!$B$15)*MIN(Mkt!AJ36,AI36*(1+Inputs!$B$18))),AI36)))</f>
        <v>1617.8725</v>
      </c>
      <c r="AK36" s="11" t="n">
        <f aca="false">IF(AK$1&lt;Units!$P35,0,IF(AND(Units!$K35=0,AK$1=Units!$O35),Units!$R35,IF(AND(AK$1&gt;=Units!$Q35,MOD(AK$1-Units!$Q35,12)=0),IF(AND(Units!$L35=1,AK$1=Units!$Q35),IF(Units!$J35&lt;&gt;"",Units!$J35,Mkt!AK36),Inputs!$B$15*Mkt!AK36+(1-Inputs!$B$15)*MIN(Mkt!AK36,AJ36*(1+Inputs!$B$18))),AJ36)))</f>
        <v>1617.8725</v>
      </c>
      <c r="AL36" s="11" t="n">
        <f aca="false">IF(AL$1&lt;Units!$P35,0,IF(AND(Units!$K35=0,AL$1=Units!$O35),Units!$R35,IF(AND(AL$1&gt;=Units!$Q35,MOD(AL$1-Units!$Q35,12)=0),IF(AND(Units!$L35=1,AL$1=Units!$Q35),IF(Units!$J35&lt;&gt;"",Units!$J35,Mkt!AL36),Inputs!$B$15*Mkt!AL36+(1-Inputs!$B$15)*MIN(Mkt!AL36,AK36*(1+Inputs!$B$18))),AK36)))</f>
        <v>1617.8725</v>
      </c>
      <c r="AM36" s="11" t="n">
        <f aca="false">IF(AM$1&lt;Units!$P35,0,IF(AND(Units!$K35=0,AM$1=Units!$O35),Units!$R35,IF(AND(AM$1&gt;=Units!$Q35,MOD(AM$1-Units!$Q35,12)=0),IF(AND(Units!$L35=1,AM$1=Units!$Q35),IF(Units!$J35&lt;&gt;"",Units!$J35,Mkt!AM36),Inputs!$B$15*Mkt!AM36+(1-Inputs!$B$15)*MIN(Mkt!AM36,AL36*(1+Inputs!$B$18))),AL36)))</f>
        <v>1617.8725</v>
      </c>
      <c r="AN36" s="11" t="n">
        <f aca="false">IF(AN$1&lt;Units!$P35,0,IF(AND(Units!$K35=0,AN$1=Units!$O35),Units!$R35,IF(AND(AN$1&gt;=Units!$Q35,MOD(AN$1-Units!$Q35,12)=0),IF(AND(Units!$L35=1,AN$1=Units!$Q35),IF(Units!$J35&lt;&gt;"",Units!$J35,Mkt!AN36),Inputs!$B$15*Mkt!AN36+(1-Inputs!$B$15)*MIN(Mkt!AN36,AM36*(1+Inputs!$B$18))),AM36)))</f>
        <v>1617.8725</v>
      </c>
      <c r="AO36" s="11" t="n">
        <f aca="false">IF(AO$1&lt;Units!$P35,0,IF(AND(Units!$K35=0,AO$1=Units!$O35),Units!$R35,IF(AND(AO$1&gt;=Units!$Q35,MOD(AO$1-Units!$Q35,12)=0),IF(AND(Units!$L35=1,AO$1=Units!$Q35),IF(Units!$J35&lt;&gt;"",Units!$J35,Mkt!AO36),Inputs!$B$15*Mkt!AO36+(1-Inputs!$B$15)*MIN(Mkt!AO36,AN36*(1+Inputs!$B$18))),AN36)))</f>
        <v>1617.8725</v>
      </c>
      <c r="AP36" s="11" t="n">
        <f aca="false">IF(AP$1&lt;Units!$P35,0,IF(AND(Units!$K35=0,AP$1=Units!$O35),Units!$R35,IF(AND(AP$1&gt;=Units!$Q35,MOD(AP$1-Units!$Q35,12)=0),IF(AND(Units!$L35=1,AP$1=Units!$Q35),IF(Units!$J35&lt;&gt;"",Units!$J35,Mkt!AP36),Inputs!$B$15*Mkt!AP36+(1-Inputs!$B$15)*MIN(Mkt!AP36,AO36*(1+Inputs!$B$18))),AO36)))</f>
        <v>1617.8725</v>
      </c>
      <c r="AQ36" s="11" t="n">
        <f aca="false">IF(AQ$1&lt;Units!$P35,0,IF(AND(Units!$K35=0,AQ$1=Units!$O35),Units!$R35,IF(AND(AQ$1&gt;=Units!$Q35,MOD(AQ$1-Units!$Q35,12)=0),IF(AND(Units!$L35=1,AQ$1=Units!$Q35),IF(Units!$J35&lt;&gt;"",Units!$J35,Mkt!AQ36),Inputs!$B$15*Mkt!AQ36+(1-Inputs!$B$15)*MIN(Mkt!AQ36,AP36*(1+Inputs!$B$18))),AP36)))</f>
        <v>1617.8725</v>
      </c>
      <c r="AR36" s="11" t="n">
        <f aca="false">IF(AR$1&lt;Units!$P35,0,IF(AND(Units!$K35=0,AR$1=Units!$O35),Units!$R35,IF(AND(AR$1&gt;=Units!$Q35,MOD(AR$1-Units!$Q35,12)=0),IF(AND(Units!$L35=1,AR$1=Units!$Q35),IF(Units!$J35&lt;&gt;"",Units!$J35,Mkt!AR36),Inputs!$B$15*Mkt!AR36+(1-Inputs!$B$15)*MIN(Mkt!AR36,AQ36*(1+Inputs!$B$18))),AQ36)))</f>
        <v>1617.8725</v>
      </c>
      <c r="AS36" s="11" t="n">
        <f aca="false">IF(AS$1&lt;Units!$P35,0,IF(AND(Units!$K35=0,AS$1=Units!$O35),Units!$R35,IF(AND(AS$1&gt;=Units!$Q35,MOD(AS$1-Units!$Q35,12)=0),IF(AND(Units!$L35=1,AS$1=Units!$Q35),IF(Units!$J35&lt;&gt;"",Units!$J35,Mkt!AS36),Inputs!$B$15*Mkt!AS36+(1-Inputs!$B$15)*MIN(Mkt!AS36,AR36*(1+Inputs!$B$18))),AR36)))</f>
        <v>1617.8725</v>
      </c>
      <c r="AT36" s="11" t="n">
        <f aca="false">IF(AT$1&lt;Units!$P35,0,IF(AND(Units!$K35=0,AT$1=Units!$O35),Units!$R35,IF(AND(AT$1&gt;=Units!$Q35,MOD(AT$1-Units!$Q35,12)=0),IF(AND(Units!$L35=1,AT$1=Units!$Q35),IF(Units!$J35&lt;&gt;"",Units!$J35,Mkt!AT36),Inputs!$B$15*Mkt!AT36+(1-Inputs!$B$15)*MIN(Mkt!AT36,AS36*(1+Inputs!$B$18))),AS36)))</f>
        <v>1666.408675</v>
      </c>
      <c r="AU36" s="11" t="n">
        <f aca="false">IF(AU$1&lt;Units!$P35,0,IF(AND(Units!$K35=0,AU$1=Units!$O35),Units!$R35,IF(AND(AU$1&gt;=Units!$Q35,MOD(AU$1-Units!$Q35,12)=0),IF(AND(Units!$L35=1,AU$1=Units!$Q35),IF(Units!$J35&lt;&gt;"",Units!$J35,Mkt!AU36),Inputs!$B$15*Mkt!AU36+(1-Inputs!$B$15)*MIN(Mkt!AU36,AT36*(1+Inputs!$B$18))),AT36)))</f>
        <v>1666.408675</v>
      </c>
      <c r="AV36" s="11" t="n">
        <f aca="false">IF(AV$1&lt;Units!$P35,0,IF(AND(Units!$K35=0,AV$1=Units!$O35),Units!$R35,IF(AND(AV$1&gt;=Units!$Q35,MOD(AV$1-Units!$Q35,12)=0),IF(AND(Units!$L35=1,AV$1=Units!$Q35),IF(Units!$J35&lt;&gt;"",Units!$J35,Mkt!AV36),Inputs!$B$15*Mkt!AV36+(1-Inputs!$B$15)*MIN(Mkt!AV36,AU36*(1+Inputs!$B$18))),AU36)))</f>
        <v>1666.408675</v>
      </c>
      <c r="AW36" s="11" t="n">
        <f aca="false">IF(AW$1&lt;Units!$P35,0,IF(AND(Units!$K35=0,AW$1=Units!$O35),Units!$R35,IF(AND(AW$1&gt;=Units!$Q35,MOD(AW$1-Units!$Q35,12)=0),IF(AND(Units!$L35=1,AW$1=Units!$Q35),IF(Units!$J35&lt;&gt;"",Units!$J35,Mkt!AW36),Inputs!$B$15*Mkt!AW36+(1-Inputs!$B$15)*MIN(Mkt!AW36,AV36*(1+Inputs!$B$18))),AV36)))</f>
        <v>1666.408675</v>
      </c>
      <c r="AX36" s="11" t="n">
        <f aca="false">IF(AX$1&lt;Units!$P35,0,IF(AND(Units!$K35=0,AX$1=Units!$O35),Units!$R35,IF(AND(AX$1&gt;=Units!$Q35,MOD(AX$1-Units!$Q35,12)=0),IF(AND(Units!$L35=1,AX$1=Units!$Q35),IF(Units!$J35&lt;&gt;"",Units!$J35,Mkt!AX36),Inputs!$B$15*Mkt!AX36+(1-Inputs!$B$15)*MIN(Mkt!AX36,AW36*(1+Inputs!$B$18))),AW36)))</f>
        <v>1666.408675</v>
      </c>
      <c r="AY36" s="11" t="n">
        <f aca="false">IF(AY$1&lt;Units!$P35,0,IF(AND(Units!$K35=0,AY$1=Units!$O35),Units!$R35,IF(AND(AY$1&gt;=Units!$Q35,MOD(AY$1-Units!$Q35,12)=0),IF(AND(Units!$L35=1,AY$1=Units!$Q35),IF(Units!$J35&lt;&gt;"",Units!$J35,Mkt!AY36),Inputs!$B$15*Mkt!AY36+(1-Inputs!$B$15)*MIN(Mkt!AY36,AX36*(1+Inputs!$B$18))),AX36)))</f>
        <v>1666.408675</v>
      </c>
      <c r="AZ36" s="11" t="n">
        <f aca="false">IF(AZ$1&lt;Units!$P35,0,IF(AND(Units!$K35=0,AZ$1=Units!$O35),Units!$R35,IF(AND(AZ$1&gt;=Units!$Q35,MOD(AZ$1-Units!$Q35,12)=0),IF(AND(Units!$L35=1,AZ$1=Units!$Q35),IF(Units!$J35&lt;&gt;"",Units!$J35,Mkt!AZ36),Inputs!$B$15*Mkt!AZ36+(1-Inputs!$B$15)*MIN(Mkt!AZ36,AY36*(1+Inputs!$B$18))),AY36)))</f>
        <v>1666.408675</v>
      </c>
      <c r="BA36" s="11" t="n">
        <f aca="false">IF(BA$1&lt;Units!$P35,0,IF(AND(Units!$K35=0,BA$1=Units!$O35),Units!$R35,IF(AND(BA$1&gt;=Units!$Q35,MOD(BA$1-Units!$Q35,12)=0),IF(AND(Units!$L35=1,BA$1=Units!$Q35),IF(Units!$J35&lt;&gt;"",Units!$J35,Mkt!BA36),Inputs!$B$15*Mkt!BA36+(1-Inputs!$B$15)*MIN(Mkt!BA36,AZ36*(1+Inputs!$B$18))),AZ36)))</f>
        <v>1666.408675</v>
      </c>
      <c r="BB36" s="11" t="n">
        <f aca="false">IF(BB$1&lt;Units!$P35,0,IF(AND(Units!$K35=0,BB$1=Units!$O35),Units!$R35,IF(AND(BB$1&gt;=Units!$Q35,MOD(BB$1-Units!$Q35,12)=0),IF(AND(Units!$L35=1,BB$1=Units!$Q35),IF(Units!$J35&lt;&gt;"",Units!$J35,Mkt!BB36),Inputs!$B$15*Mkt!BB36+(1-Inputs!$B$15)*MIN(Mkt!BB36,BA36*(1+Inputs!$B$18))),BA36)))</f>
        <v>1666.408675</v>
      </c>
      <c r="BC36" s="11" t="n">
        <f aca="false">IF(BC$1&lt;Units!$P35,0,IF(AND(Units!$K35=0,BC$1=Units!$O35),Units!$R35,IF(AND(BC$1&gt;=Units!$Q35,MOD(BC$1-Units!$Q35,12)=0),IF(AND(Units!$L35=1,BC$1=Units!$Q35),IF(Units!$J35&lt;&gt;"",Units!$J35,Mkt!BC36),Inputs!$B$15*Mkt!BC36+(1-Inputs!$B$15)*MIN(Mkt!BC36,BB36*(1+Inputs!$B$18))),BB36)))</f>
        <v>1666.408675</v>
      </c>
      <c r="BD36" s="11" t="n">
        <f aca="false">IF(BD$1&lt;Units!$P35,0,IF(AND(Units!$K35=0,BD$1=Units!$O35),Units!$R35,IF(AND(BD$1&gt;=Units!$Q35,MOD(BD$1-Units!$Q35,12)=0),IF(AND(Units!$L35=1,BD$1=Units!$Q35),IF(Units!$J35&lt;&gt;"",Units!$J35,Mkt!BD36),Inputs!$B$15*Mkt!BD36+(1-Inputs!$B$15)*MIN(Mkt!BD36,BC36*(1+Inputs!$B$18))),BC36)))</f>
        <v>1666.408675</v>
      </c>
      <c r="BE36" s="11" t="n">
        <f aca="false">IF(BE$1&lt;Units!$P35,0,IF(AND(Units!$K35=0,BE$1=Units!$O35),Units!$R35,IF(AND(BE$1&gt;=Units!$Q35,MOD(BE$1-Units!$Q35,12)=0),IF(AND(Units!$L35=1,BE$1=Units!$Q35),IF(Units!$J35&lt;&gt;"",Units!$J35,Mkt!BE36),Inputs!$B$15*Mkt!BE36+(1-Inputs!$B$15)*MIN(Mkt!BE36,BD36*(1+Inputs!$B$18))),BD36)))</f>
        <v>1666.408675</v>
      </c>
      <c r="BF36" s="11" t="n">
        <f aca="false">IF(BF$1&lt;Units!$P35,0,IF(AND(Units!$K35=0,BF$1=Units!$O35),Units!$R35,IF(AND(BF$1&gt;=Units!$Q35,MOD(BF$1-Units!$Q35,12)=0),IF(AND(Units!$L35=1,BF$1=Units!$Q35),IF(Units!$J35&lt;&gt;"",Units!$J35,Mkt!BF36),Inputs!$B$15*Mkt!BF36+(1-Inputs!$B$15)*MIN(Mkt!BF36,BE36*(1+Inputs!$B$18))),BE36)))</f>
        <v>1716.40093525</v>
      </c>
      <c r="BG36" s="11" t="n">
        <f aca="false">IF(BG$1&lt;Units!$P35,0,IF(AND(Units!$K35=0,BG$1=Units!$O35),Units!$R35,IF(AND(BG$1&gt;=Units!$Q35,MOD(BG$1-Units!$Q35,12)=0),IF(AND(Units!$L35=1,BG$1=Units!$Q35),IF(Units!$J35&lt;&gt;"",Units!$J35,Mkt!BG36),Inputs!$B$15*Mkt!BG36+(1-Inputs!$B$15)*MIN(Mkt!BG36,BF36*(1+Inputs!$B$18))),BF36)))</f>
        <v>1716.40093525</v>
      </c>
      <c r="BH36" s="11" t="n">
        <f aca="false">IF(BH$1&lt;Units!$P35,0,IF(AND(Units!$K35=0,BH$1=Units!$O35),Units!$R35,IF(AND(BH$1&gt;=Units!$Q35,MOD(BH$1-Units!$Q35,12)=0),IF(AND(Units!$L35=1,BH$1=Units!$Q35),IF(Units!$J35&lt;&gt;"",Units!$J35,Mkt!BH36),Inputs!$B$15*Mkt!BH36+(1-Inputs!$B$15)*MIN(Mkt!BH36,BG36*(1+Inputs!$B$18))),BG36)))</f>
        <v>1716.40093525</v>
      </c>
      <c r="BI36" s="11" t="n">
        <f aca="false">IF(BI$1&lt;Units!$P35,0,IF(AND(Units!$K35=0,BI$1=Units!$O35),Units!$R35,IF(AND(BI$1&gt;=Units!$Q35,MOD(BI$1-Units!$Q35,12)=0),IF(AND(Units!$L35=1,BI$1=Units!$Q35),IF(Units!$J35&lt;&gt;"",Units!$J35,Mkt!BI36),Inputs!$B$15*Mkt!BI36+(1-Inputs!$B$15)*MIN(Mkt!BI36,BH36*(1+Inputs!$B$18))),BH36)))</f>
        <v>1716.40093525</v>
      </c>
      <c r="BJ36" s="11" t="n">
        <f aca="false">IF(BJ$1&lt;Units!$P35,0,IF(AND(Units!$K35=0,BJ$1=Units!$O35),Units!$R35,IF(AND(BJ$1&gt;=Units!$Q35,MOD(BJ$1-Units!$Q35,12)=0),IF(AND(Units!$L35=1,BJ$1=Units!$Q35),IF(Units!$J35&lt;&gt;"",Units!$J35,Mkt!BJ36),Inputs!$B$15*Mkt!BJ36+(1-Inputs!$B$15)*MIN(Mkt!BJ36,BI36*(1+Inputs!$B$18))),BI36)))</f>
        <v>1716.40093525</v>
      </c>
      <c r="BK36" s="11" t="n">
        <f aca="false">IF(BK$1&lt;Units!$P35,0,IF(AND(Units!$K35=0,BK$1=Units!$O35),Units!$R35,IF(AND(BK$1&gt;=Units!$Q35,MOD(BK$1-Units!$Q35,12)=0),IF(AND(Units!$L35=1,BK$1=Units!$Q35),IF(Units!$J35&lt;&gt;"",Units!$J35,Mkt!BK36),Inputs!$B$15*Mkt!BK36+(1-Inputs!$B$15)*MIN(Mkt!BK36,BJ36*(1+Inputs!$B$18))),BJ36)))</f>
        <v>1716.40093525</v>
      </c>
      <c r="BL36" s="11" t="n">
        <f aca="false">IF(BL$1&lt;Units!$P35,0,IF(AND(Units!$K35=0,BL$1=Units!$O35),Units!$R35,IF(AND(BL$1&gt;=Units!$Q35,MOD(BL$1-Units!$Q35,12)=0),IF(AND(Units!$L35=1,BL$1=Units!$Q35),IF(Units!$J35&lt;&gt;"",Units!$J35,Mkt!BL36),Inputs!$B$15*Mkt!BL36+(1-Inputs!$B$15)*MIN(Mkt!BL36,BK36*(1+Inputs!$B$18))),BK36)))</f>
        <v>1716.40093525</v>
      </c>
      <c r="BM36" s="11" t="n">
        <f aca="false">IF(BM$1&lt;Units!$P35,0,IF(AND(Units!$K35=0,BM$1=Units!$O35),Units!$R35,IF(AND(BM$1&gt;=Units!$Q35,MOD(BM$1-Units!$Q35,12)=0),IF(AND(Units!$L35=1,BM$1=Units!$Q35),IF(Units!$J35&lt;&gt;"",Units!$J35,Mkt!BM36),Inputs!$B$15*Mkt!BM36+(1-Inputs!$B$15)*MIN(Mkt!BM36,BL36*(1+Inputs!$B$18))),BL36)))</f>
        <v>1716.40093525</v>
      </c>
      <c r="BN36" s="11" t="n">
        <f aca="false">IF(BN$1&lt;Units!$P35,0,IF(AND(Units!$K35=0,BN$1=Units!$O35),Units!$R35,IF(AND(BN$1&gt;=Units!$Q35,MOD(BN$1-Units!$Q35,12)=0),IF(AND(Units!$L35=1,BN$1=Units!$Q35),IF(Units!$J35&lt;&gt;"",Units!$J35,Mkt!BN36),Inputs!$B$15*Mkt!BN36+(1-Inputs!$B$15)*MIN(Mkt!BN36,BM36*(1+Inputs!$B$18))),BM36)))</f>
        <v>1716.40093525</v>
      </c>
      <c r="BO36" s="11" t="n">
        <f aca="false">IF(BO$1&lt;Units!$P35,0,IF(AND(Units!$K35=0,BO$1=Units!$O35),Units!$R35,IF(AND(BO$1&gt;=Units!$Q35,MOD(BO$1-Units!$Q35,12)=0),IF(AND(Units!$L35=1,BO$1=Units!$Q35),IF(Units!$J35&lt;&gt;"",Units!$J35,Mkt!BO36),Inputs!$B$15*Mkt!BO36+(1-Inputs!$B$15)*MIN(Mkt!BO36,BN36*(1+Inputs!$B$18))),BN36)))</f>
        <v>1716.40093525</v>
      </c>
      <c r="BP36" s="11" t="n">
        <f aca="false">IF(BP$1&lt;Units!$P35,0,IF(AND(Units!$K35=0,BP$1=Units!$O35),Units!$R35,IF(AND(BP$1&gt;=Units!$Q35,MOD(BP$1-Units!$Q35,12)=0),IF(AND(Units!$L35=1,BP$1=Units!$Q35),IF(Units!$J35&lt;&gt;"",Units!$J35,Mkt!BP36),Inputs!$B$15*Mkt!BP36+(1-Inputs!$B$15)*MIN(Mkt!BP36,BO36*(1+Inputs!$B$18))),BO36)))</f>
        <v>1716.40093525</v>
      </c>
      <c r="BQ36" s="11" t="n">
        <f aca="false">IF(BQ$1&lt;Units!$P35,0,IF(AND(Units!$K35=0,BQ$1=Units!$O35),Units!$R35,IF(AND(BQ$1&gt;=Units!$Q35,MOD(BQ$1-Units!$Q35,12)=0),IF(AND(Units!$L35=1,BQ$1=Units!$Q35),IF(Units!$J35&lt;&gt;"",Units!$J35,Mkt!BQ36),Inputs!$B$15*Mkt!BQ36+(1-Inputs!$B$15)*MIN(Mkt!BQ36,BP36*(1+Inputs!$B$18))),BP36)))</f>
        <v>1716.40093525</v>
      </c>
      <c r="BR36" s="11" t="n">
        <f aca="false">IF(BR$1&lt;Units!$P35,0,IF(AND(Units!$K35=0,BR$1=Units!$O35),Units!$R35,IF(AND(BR$1&gt;=Units!$Q35,MOD(BR$1-Units!$Q35,12)=0),IF(AND(Units!$L35=1,BR$1=Units!$Q35),IF(Units!$J35&lt;&gt;"",Units!$J35,Mkt!BR36),Inputs!$B$15*Mkt!BR36+(1-Inputs!$B$15)*MIN(Mkt!BR36,BQ36*(1+Inputs!$B$18))),BQ36)))</f>
        <v>1767.8929633075</v>
      </c>
      <c r="BS36" s="11" t="n">
        <f aca="false">IF(BS$1&lt;Units!$P35,0,IF(AND(Units!$K35=0,BS$1=Units!$O35),Units!$R35,IF(AND(BS$1&gt;=Units!$Q35,MOD(BS$1-Units!$Q35,12)=0),IF(AND(Units!$L35=1,BS$1=Units!$Q35),IF(Units!$J35&lt;&gt;"",Units!$J35,Mkt!BS36),Inputs!$B$15*Mkt!BS36+(1-Inputs!$B$15)*MIN(Mkt!BS36,BR36*(1+Inputs!$B$18))),BR36)))</f>
        <v>1767.8929633075</v>
      </c>
      <c r="BT36" s="11" t="n">
        <f aca="false">IF(BT$1&lt;Units!$P35,0,IF(AND(Units!$K35=0,BT$1=Units!$O35),Units!$R35,IF(AND(BT$1&gt;=Units!$Q35,MOD(BT$1-Units!$Q35,12)=0),IF(AND(Units!$L35=1,BT$1=Units!$Q35),IF(Units!$J35&lt;&gt;"",Units!$J35,Mkt!BT36),Inputs!$B$15*Mkt!BT36+(1-Inputs!$B$15)*MIN(Mkt!BT36,BS36*(1+Inputs!$B$18))),BS36)))</f>
        <v>1767.8929633075</v>
      </c>
      <c r="BU36" s="11" t="n">
        <f aca="false">IF(BU$1&lt;Units!$P35,0,IF(AND(Units!$K35=0,BU$1=Units!$O35),Units!$R35,IF(AND(BU$1&gt;=Units!$Q35,MOD(BU$1-Units!$Q35,12)=0),IF(AND(Units!$L35=1,BU$1=Units!$Q35),IF(Units!$J35&lt;&gt;"",Units!$J35,Mkt!BU36),Inputs!$B$15*Mkt!BU36+(1-Inputs!$B$15)*MIN(Mkt!BU36,BT36*(1+Inputs!$B$18))),BT36)))</f>
        <v>1767.8929633075</v>
      </c>
      <c r="BV36" s="11" t="n">
        <f aca="false">IF(BV$1&lt;Units!$P35,0,IF(AND(Units!$K35=0,BV$1=Units!$O35),Units!$R35,IF(AND(BV$1&gt;=Units!$Q35,MOD(BV$1-Units!$Q35,12)=0),IF(AND(Units!$L35=1,BV$1=Units!$Q35),IF(Units!$J35&lt;&gt;"",Units!$J35,Mkt!BV36),Inputs!$B$15*Mkt!BV36+(1-Inputs!$B$15)*MIN(Mkt!BV36,BU36*(1+Inputs!$B$18))),BU36)))</f>
        <v>1767.8929633075</v>
      </c>
      <c r="BW36" s="11" t="n">
        <f aca="false">IF(BW$1&lt;Units!$P35,0,IF(AND(Units!$K35=0,BW$1=Units!$O35),Units!$R35,IF(AND(BW$1&gt;=Units!$Q35,MOD(BW$1-Units!$Q35,12)=0),IF(AND(Units!$L35=1,BW$1=Units!$Q35),IF(Units!$J35&lt;&gt;"",Units!$J35,Mkt!BW36),Inputs!$B$15*Mkt!BW36+(1-Inputs!$B$15)*MIN(Mkt!BW36,BV36*(1+Inputs!$B$18))),BV36)))</f>
        <v>1767.8929633075</v>
      </c>
      <c r="BX36" s="11" t="n">
        <f aca="false">IF(BX$1&lt;Units!$P35,0,IF(AND(Units!$K35=0,BX$1=Units!$O35),Units!$R35,IF(AND(BX$1&gt;=Units!$Q35,MOD(BX$1-Units!$Q35,12)=0),IF(AND(Units!$L35=1,BX$1=Units!$Q35),IF(Units!$J35&lt;&gt;"",Units!$J35,Mkt!BX36),Inputs!$B$15*Mkt!BX36+(1-Inputs!$B$15)*MIN(Mkt!BX36,BW36*(1+Inputs!$B$18))),BW36)))</f>
        <v>1767.8929633075</v>
      </c>
      <c r="BY36" s="11" t="n">
        <f aca="false">IF(BY$1&lt;Units!$P35,0,IF(AND(Units!$K35=0,BY$1=Units!$O35),Units!$R35,IF(AND(BY$1&gt;=Units!$Q35,MOD(BY$1-Units!$Q35,12)=0),IF(AND(Units!$L35=1,BY$1=Units!$Q35),IF(Units!$J35&lt;&gt;"",Units!$J35,Mkt!BY36),Inputs!$B$15*Mkt!BY36+(1-Inputs!$B$15)*MIN(Mkt!BY36,BX36*(1+Inputs!$B$18))),BX36)))</f>
        <v>1767.8929633075</v>
      </c>
      <c r="BZ36" s="11" t="n">
        <f aca="false">IF(BZ$1&lt;Units!$P35,0,IF(AND(Units!$K35=0,BZ$1=Units!$O35),Units!$R35,IF(AND(BZ$1&gt;=Units!$Q35,MOD(BZ$1-Units!$Q35,12)=0),IF(AND(Units!$L35=1,BZ$1=Units!$Q35),IF(Units!$J35&lt;&gt;"",Units!$J35,Mkt!BZ36),Inputs!$B$15*Mkt!BZ36+(1-Inputs!$B$15)*MIN(Mkt!BZ36,BY36*(1+Inputs!$B$18))),BY36)))</f>
        <v>1767.8929633075</v>
      </c>
      <c r="CA36" s="11" t="n">
        <f aca="false">IF(CA$1&lt;Units!$P35,0,IF(AND(Units!$K35=0,CA$1=Units!$O35),Units!$R35,IF(AND(CA$1&gt;=Units!$Q35,MOD(CA$1-Units!$Q35,12)=0),IF(AND(Units!$L35=1,CA$1=Units!$Q35),IF(Units!$J35&lt;&gt;"",Units!$J35,Mkt!CA36),Inputs!$B$15*Mkt!CA36+(1-Inputs!$B$15)*MIN(Mkt!CA36,BZ36*(1+Inputs!$B$18))),BZ36)))</f>
        <v>1767.8929633075</v>
      </c>
      <c r="CB36" s="11" t="n">
        <f aca="false">IF(CB$1&lt;Units!$P35,0,IF(AND(Units!$K35=0,CB$1=Units!$O35),Units!$R35,IF(AND(CB$1&gt;=Units!$Q35,MOD(CB$1-Units!$Q35,12)=0),IF(AND(Units!$L35=1,CB$1=Units!$Q35),IF(Units!$J35&lt;&gt;"",Units!$J35,Mkt!CB36),Inputs!$B$15*Mkt!CB36+(1-Inputs!$B$15)*MIN(Mkt!CB36,CA36*(1+Inputs!$B$18))),CA36)))</f>
        <v>1767.8929633075</v>
      </c>
      <c r="CC36" s="11" t="n">
        <f aca="false">IF(CC$1&lt;Units!$P35,0,IF(AND(Units!$K35=0,CC$1=Units!$O35),Units!$R35,IF(AND(CC$1&gt;=Units!$Q35,MOD(CC$1-Units!$Q35,12)=0),IF(AND(Units!$L35=1,CC$1=Units!$Q35),IF(Units!$J35&lt;&gt;"",Units!$J35,Mkt!CC36),Inputs!$B$15*Mkt!CC36+(1-Inputs!$B$15)*MIN(Mkt!CC36,CB36*(1+Inputs!$B$18))),CB36)))</f>
        <v>1767.8929633075</v>
      </c>
      <c r="CD36" s="11" t="n">
        <f aca="false">IF(CD$1&lt;Units!$P35,0,IF(AND(Units!$K35=0,CD$1=Units!$O35),Units!$R35,IF(AND(CD$1&gt;=Units!$Q35,MOD(CD$1-Units!$Q35,12)=0),IF(AND(Units!$L35=1,CD$1=Units!$Q35),IF(Units!$J35&lt;&gt;"",Units!$J35,Mkt!CD36),Inputs!$B$15*Mkt!CD36+(1-Inputs!$B$15)*MIN(Mkt!CD36,CC36*(1+Inputs!$B$18))),CC36)))</f>
        <v>1820.92975220673</v>
      </c>
      <c r="CE36" s="11" t="n">
        <f aca="false">IF(CE$1&lt;Units!$P35,0,IF(AND(Units!$K35=0,CE$1=Units!$O35),Units!$R35,IF(AND(CE$1&gt;=Units!$Q35,MOD(CE$1-Units!$Q35,12)=0),IF(AND(Units!$L35=1,CE$1=Units!$Q35),IF(Units!$J35&lt;&gt;"",Units!$J35,Mkt!CE36),Inputs!$B$15*Mkt!CE36+(1-Inputs!$B$15)*MIN(Mkt!CE36,CD36*(1+Inputs!$B$18))),CD36)))</f>
        <v>1820.92975220673</v>
      </c>
      <c r="CF36" s="11" t="n">
        <f aca="false">IF(CF$1&lt;Units!$P35,0,IF(AND(Units!$K35=0,CF$1=Units!$O35),Units!$R35,IF(AND(CF$1&gt;=Units!$Q35,MOD(CF$1-Units!$Q35,12)=0),IF(AND(Units!$L35=1,CF$1=Units!$Q35),IF(Units!$J35&lt;&gt;"",Units!$J35,Mkt!CF36),Inputs!$B$15*Mkt!CF36+(1-Inputs!$B$15)*MIN(Mkt!CF36,CE36*(1+Inputs!$B$18))),CE36)))</f>
        <v>1820.92975220673</v>
      </c>
      <c r="CG36" s="11" t="n">
        <f aca="false">IF(CG$1&lt;Units!$P35,0,IF(AND(Units!$K35=0,CG$1=Units!$O35),Units!$R35,IF(AND(CG$1&gt;=Units!$Q35,MOD(CG$1-Units!$Q35,12)=0),IF(AND(Units!$L35=1,CG$1=Units!$Q35),IF(Units!$J35&lt;&gt;"",Units!$J35,Mkt!CG36),Inputs!$B$15*Mkt!CG36+(1-Inputs!$B$15)*MIN(Mkt!CG36,CF36*(1+Inputs!$B$18))),CF36)))</f>
        <v>1820.92975220673</v>
      </c>
      <c r="CH36" s="11" t="n">
        <f aca="false">IF(CH$1&lt;Units!$P35,0,IF(AND(Units!$K35=0,CH$1=Units!$O35),Units!$R35,IF(AND(CH$1&gt;=Units!$Q35,MOD(CH$1-Units!$Q35,12)=0),IF(AND(Units!$L35=1,CH$1=Units!$Q35),IF(Units!$J35&lt;&gt;"",Units!$J35,Mkt!CH36),Inputs!$B$15*Mkt!CH36+(1-Inputs!$B$15)*MIN(Mkt!CH36,CG36*(1+Inputs!$B$18))),CG36)))</f>
        <v>1820.92975220673</v>
      </c>
      <c r="CI36" s="11" t="n">
        <f aca="false">IF(CI$1&lt;Units!$P35,0,IF(AND(Units!$K35=0,CI$1=Units!$O35),Units!$R35,IF(AND(CI$1&gt;=Units!$Q35,MOD(CI$1-Units!$Q35,12)=0),IF(AND(Units!$L35=1,CI$1=Units!$Q35),IF(Units!$J35&lt;&gt;"",Units!$J35,Mkt!CI36),Inputs!$B$15*Mkt!CI36+(1-Inputs!$B$15)*MIN(Mkt!CI36,CH36*(1+Inputs!$B$18))),CH36)))</f>
        <v>1820.92975220673</v>
      </c>
      <c r="CJ36" s="11" t="n">
        <f aca="false">IF(CJ$1&lt;Units!$P35,0,IF(AND(Units!$K35=0,CJ$1=Units!$O35),Units!$R35,IF(AND(CJ$1&gt;=Units!$Q35,MOD(CJ$1-Units!$Q35,12)=0),IF(AND(Units!$L35=1,CJ$1=Units!$Q35),IF(Units!$J35&lt;&gt;"",Units!$J35,Mkt!CJ36),Inputs!$B$15*Mkt!CJ36+(1-Inputs!$B$15)*MIN(Mkt!CJ36,CI36*(1+Inputs!$B$18))),CI36)))</f>
        <v>1820.92975220673</v>
      </c>
      <c r="CK36" s="11" t="n">
        <f aca="false">IF(CK$1&lt;Units!$P35,0,IF(AND(Units!$K35=0,CK$1=Units!$O35),Units!$R35,IF(AND(CK$1&gt;=Units!$Q35,MOD(CK$1-Units!$Q35,12)=0),IF(AND(Units!$L35=1,CK$1=Units!$Q35),IF(Units!$J35&lt;&gt;"",Units!$J35,Mkt!CK36),Inputs!$B$15*Mkt!CK36+(1-Inputs!$B$15)*MIN(Mkt!CK36,CJ36*(1+Inputs!$B$18))),CJ36)))</f>
        <v>1820.92975220673</v>
      </c>
      <c r="CL36" s="11" t="n">
        <f aca="false">IF(CL$1&lt;Units!$P35,0,IF(AND(Units!$K35=0,CL$1=Units!$O35),Units!$R35,IF(AND(CL$1&gt;=Units!$Q35,MOD(CL$1-Units!$Q35,12)=0),IF(AND(Units!$L35=1,CL$1=Units!$Q35),IF(Units!$J35&lt;&gt;"",Units!$J35,Mkt!CL36),Inputs!$B$15*Mkt!CL36+(1-Inputs!$B$15)*MIN(Mkt!CL36,CK36*(1+Inputs!$B$18))),CK36)))</f>
        <v>1820.92975220673</v>
      </c>
      <c r="CM36" s="11" t="n">
        <f aca="false">IF(CM$1&lt;Units!$P35,0,IF(AND(Units!$K35=0,CM$1=Units!$O35),Units!$R35,IF(AND(CM$1&gt;=Units!$Q35,MOD(CM$1-Units!$Q35,12)=0),IF(AND(Units!$L35=1,CM$1=Units!$Q35),IF(Units!$J35&lt;&gt;"",Units!$J35,Mkt!CM36),Inputs!$B$15*Mkt!CM36+(1-Inputs!$B$15)*MIN(Mkt!CM36,CL36*(1+Inputs!$B$18))),CL36)))</f>
        <v>1820.92975220673</v>
      </c>
      <c r="CN36" s="11" t="n">
        <f aca="false">IF(CN$1&lt;Units!$P35,0,IF(AND(Units!$K35=0,CN$1=Units!$O35),Units!$R35,IF(AND(CN$1&gt;=Units!$Q35,MOD(CN$1-Units!$Q35,12)=0),IF(AND(Units!$L35=1,CN$1=Units!$Q35),IF(Units!$J35&lt;&gt;"",Units!$J35,Mkt!CN36),Inputs!$B$15*Mkt!CN36+(1-Inputs!$B$15)*MIN(Mkt!CN36,CM36*(1+Inputs!$B$18))),CM36)))</f>
        <v>1820.92975220673</v>
      </c>
      <c r="CO36" s="11" t="n">
        <f aca="false">IF(CO$1&lt;Units!$P35,0,IF(AND(Units!$K35=0,CO$1=Units!$O35),Units!$R35,IF(AND(CO$1&gt;=Units!$Q35,MOD(CO$1-Units!$Q35,12)=0),IF(AND(Units!$L35=1,CO$1=Units!$Q35),IF(Units!$J35&lt;&gt;"",Units!$J35,Mkt!CO36),Inputs!$B$15*Mkt!CO36+(1-Inputs!$B$15)*MIN(Mkt!CO36,CN36*(1+Inputs!$B$18))),CN36)))</f>
        <v>1820.92975220673</v>
      </c>
      <c r="CP36" s="11" t="n">
        <f aca="false">IF(CP$1&lt;Units!$P35,0,IF(AND(Units!$K35=0,CP$1=Units!$O35),Units!$R35,IF(AND(CP$1&gt;=Units!$Q35,MOD(CP$1-Units!$Q35,12)=0),IF(AND(Units!$L35=1,CP$1=Units!$Q35),IF(Units!$J35&lt;&gt;"",Units!$J35,Mkt!CP36),Inputs!$B$15*Mkt!CP36+(1-Inputs!$B$15)*MIN(Mkt!CP36,CO36*(1+Inputs!$B$18))),CO36)))</f>
        <v>1875.55764477293</v>
      </c>
      <c r="CQ36" s="11" t="n">
        <f aca="false">IF(CQ$1&lt;Units!$P35,0,IF(AND(Units!$K35=0,CQ$1=Units!$O35),Units!$R35,IF(AND(CQ$1&gt;=Units!$Q35,MOD(CQ$1-Units!$Q35,12)=0),IF(AND(Units!$L35=1,CQ$1=Units!$Q35),IF(Units!$J35&lt;&gt;"",Units!$J35,Mkt!CQ36),Inputs!$B$15*Mkt!CQ36+(1-Inputs!$B$15)*MIN(Mkt!CQ36,CP36*(1+Inputs!$B$18))),CP36)))</f>
        <v>1875.55764477293</v>
      </c>
      <c r="CR36" s="11" t="n">
        <f aca="false">IF(CR$1&lt;Units!$P35,0,IF(AND(Units!$K35=0,CR$1=Units!$O35),Units!$R35,IF(AND(CR$1&gt;=Units!$Q35,MOD(CR$1-Units!$Q35,12)=0),IF(AND(Units!$L35=1,CR$1=Units!$Q35),IF(Units!$J35&lt;&gt;"",Units!$J35,Mkt!CR36),Inputs!$B$15*Mkt!CR36+(1-Inputs!$B$15)*MIN(Mkt!CR36,CQ36*(1+Inputs!$B$18))),CQ36)))</f>
        <v>1875.55764477293</v>
      </c>
      <c r="CS36" s="11" t="n">
        <f aca="false">IF(CS$1&lt;Units!$P35,0,IF(AND(Units!$K35=0,CS$1=Units!$O35),Units!$R35,IF(AND(CS$1&gt;=Units!$Q35,MOD(CS$1-Units!$Q35,12)=0),IF(AND(Units!$L35=1,CS$1=Units!$Q35),IF(Units!$J35&lt;&gt;"",Units!$J35,Mkt!CS36),Inputs!$B$15*Mkt!CS36+(1-Inputs!$B$15)*MIN(Mkt!CS36,CR36*(1+Inputs!$B$18))),CR36)))</f>
        <v>1875.55764477293</v>
      </c>
      <c r="CT36" s="11" t="n">
        <f aca="false">IF(CT$1&lt;Units!$P35,0,IF(AND(Units!$K35=0,CT$1=Units!$O35),Units!$R35,IF(AND(CT$1&gt;=Units!$Q35,MOD(CT$1-Units!$Q35,12)=0),IF(AND(Units!$L35=1,CT$1=Units!$Q35),IF(Units!$J35&lt;&gt;"",Units!$J35,Mkt!CT36),Inputs!$B$15*Mkt!CT36+(1-Inputs!$B$15)*MIN(Mkt!CT36,CS36*(1+Inputs!$B$18))),CS36)))</f>
        <v>1875.55764477293</v>
      </c>
      <c r="CU36" s="11" t="n">
        <f aca="false">IF(CU$1&lt;Units!$P35,0,IF(AND(Units!$K35=0,CU$1=Units!$O35),Units!$R35,IF(AND(CU$1&gt;=Units!$Q35,MOD(CU$1-Units!$Q35,12)=0),IF(AND(Units!$L35=1,CU$1=Units!$Q35),IF(Units!$J35&lt;&gt;"",Units!$J35,Mkt!CU36),Inputs!$B$15*Mkt!CU36+(1-Inputs!$B$15)*MIN(Mkt!CU36,CT36*(1+Inputs!$B$18))),CT36)))</f>
        <v>1875.55764477293</v>
      </c>
      <c r="CV36" s="11" t="n">
        <f aca="false">IF(CV$1&lt;Units!$P35,0,IF(AND(Units!$K35=0,CV$1=Units!$O35),Units!$R35,IF(AND(CV$1&gt;=Units!$Q35,MOD(CV$1-Units!$Q35,12)=0),IF(AND(Units!$L35=1,CV$1=Units!$Q35),IF(Units!$J35&lt;&gt;"",Units!$J35,Mkt!CV36),Inputs!$B$15*Mkt!CV36+(1-Inputs!$B$15)*MIN(Mkt!CV36,CU36*(1+Inputs!$B$18))),CU36)))</f>
        <v>1875.55764477293</v>
      </c>
      <c r="CW36" s="11" t="n">
        <f aca="false">IF(CW$1&lt;Units!$P35,0,IF(AND(Units!$K35=0,CW$1=Units!$O35),Units!$R35,IF(AND(CW$1&gt;=Units!$Q35,MOD(CW$1-Units!$Q35,12)=0),IF(AND(Units!$L35=1,CW$1=Units!$Q35),IF(Units!$J35&lt;&gt;"",Units!$J35,Mkt!CW36),Inputs!$B$15*Mkt!CW36+(1-Inputs!$B$15)*MIN(Mkt!CW36,CV36*(1+Inputs!$B$18))),CV36)))</f>
        <v>1875.55764477293</v>
      </c>
      <c r="CX36" s="11" t="n">
        <f aca="false">IF(CX$1&lt;Units!$P35,0,IF(AND(Units!$K35=0,CX$1=Units!$O35),Units!$R35,IF(AND(CX$1&gt;=Units!$Q35,MOD(CX$1-Units!$Q35,12)=0),IF(AND(Units!$L35=1,CX$1=Units!$Q35),IF(Units!$J35&lt;&gt;"",Units!$J35,Mkt!CX36),Inputs!$B$15*Mkt!CX36+(1-Inputs!$B$15)*MIN(Mkt!CX36,CW36*(1+Inputs!$B$18))),CW36)))</f>
        <v>1875.55764477293</v>
      </c>
      <c r="CY36" s="11" t="n">
        <f aca="false">IF(CY$1&lt;Units!$P35,0,IF(AND(Units!$K35=0,CY$1=Units!$O35),Units!$R35,IF(AND(CY$1&gt;=Units!$Q35,MOD(CY$1-Units!$Q35,12)=0),IF(AND(Units!$L35=1,CY$1=Units!$Q35),IF(Units!$J35&lt;&gt;"",Units!$J35,Mkt!CY36),Inputs!$B$15*Mkt!CY36+(1-Inputs!$B$15)*MIN(Mkt!CY36,CX36*(1+Inputs!$B$18))),CX36)))</f>
        <v>1875.55764477293</v>
      </c>
      <c r="CZ36" s="11" t="n">
        <f aca="false">IF(CZ$1&lt;Units!$P35,0,IF(AND(Units!$K35=0,CZ$1=Units!$O35),Units!$R35,IF(AND(CZ$1&gt;=Units!$Q35,MOD(CZ$1-Units!$Q35,12)=0),IF(AND(Units!$L35=1,CZ$1=Units!$Q35),IF(Units!$J35&lt;&gt;"",Units!$J35,Mkt!CZ36),Inputs!$B$15*Mkt!CZ36+(1-Inputs!$B$15)*MIN(Mkt!CZ36,CY36*(1+Inputs!$B$18))),CY36)))</f>
        <v>1875.55764477293</v>
      </c>
      <c r="DA36" s="11" t="n">
        <f aca="false">IF(DA$1&lt;Units!$P35,0,IF(AND(Units!$K35=0,DA$1=Units!$O35),Units!$R35,IF(AND(DA$1&gt;=Units!$Q35,MOD(DA$1-Units!$Q35,12)=0),IF(AND(Units!$L35=1,DA$1=Units!$Q35),IF(Units!$J35&lt;&gt;"",Units!$J35,Mkt!DA36),Inputs!$B$15*Mkt!DA36+(1-Inputs!$B$15)*MIN(Mkt!DA36,CZ36*(1+Inputs!$B$18))),CZ36)))</f>
        <v>1875.55764477293</v>
      </c>
      <c r="DB36" s="11" t="n">
        <f aca="false">IF(DB$1&lt;Units!$P35,0,IF(AND(Units!$K35=0,DB$1=Units!$O35),Units!$R35,IF(AND(DB$1&gt;=Units!$Q35,MOD(DB$1-Units!$Q35,12)=0),IF(AND(Units!$L35=1,DB$1=Units!$Q35),IF(Units!$J35&lt;&gt;"",Units!$J35,Mkt!DB36),Inputs!$B$15*Mkt!DB36+(1-Inputs!$B$15)*MIN(Mkt!DB36,DA36*(1+Inputs!$B$18))),DA36)))</f>
        <v>1931.82437411612</v>
      </c>
      <c r="DC36" s="11" t="n">
        <f aca="false">IF(DC$1&lt;Units!$P35,0,IF(AND(Units!$K35=0,DC$1=Units!$O35),Units!$R35,IF(AND(DC$1&gt;=Units!$Q35,MOD(DC$1-Units!$Q35,12)=0),IF(AND(Units!$L35=1,DC$1=Units!$Q35),IF(Units!$J35&lt;&gt;"",Units!$J35,Mkt!DC36),Inputs!$B$15*Mkt!DC36+(1-Inputs!$B$15)*MIN(Mkt!DC36,DB36*(1+Inputs!$B$18))),DB36)))</f>
        <v>1931.82437411612</v>
      </c>
      <c r="DD36" s="11" t="n">
        <f aca="false">IF(DD$1&lt;Units!$P35,0,IF(AND(Units!$K35=0,DD$1=Units!$O35),Units!$R35,IF(AND(DD$1&gt;=Units!$Q35,MOD(DD$1-Units!$Q35,12)=0),IF(AND(Units!$L35=1,DD$1=Units!$Q35),IF(Units!$J35&lt;&gt;"",Units!$J35,Mkt!DD36),Inputs!$B$15*Mkt!DD36+(1-Inputs!$B$15)*MIN(Mkt!DD36,DC36*(1+Inputs!$B$18))),DC36)))</f>
        <v>1931.82437411612</v>
      </c>
      <c r="DE36" s="11" t="n">
        <f aca="false">IF(DE$1&lt;Units!$P35,0,IF(AND(Units!$K35=0,DE$1=Units!$O35),Units!$R35,IF(AND(DE$1&gt;=Units!$Q35,MOD(DE$1-Units!$Q35,12)=0),IF(AND(Units!$L35=1,DE$1=Units!$Q35),IF(Units!$J35&lt;&gt;"",Units!$J35,Mkt!DE36),Inputs!$B$15*Mkt!DE36+(1-Inputs!$B$15)*MIN(Mkt!DE36,DD36*(1+Inputs!$B$18))),DD36)))</f>
        <v>1931.82437411612</v>
      </c>
      <c r="DF36" s="11" t="n">
        <f aca="false">IF(DF$1&lt;Units!$P35,0,IF(AND(Units!$K35=0,DF$1=Units!$O35),Units!$R35,IF(AND(DF$1&gt;=Units!$Q35,MOD(DF$1-Units!$Q35,12)=0),IF(AND(Units!$L35=1,DF$1=Units!$Q35),IF(Units!$J35&lt;&gt;"",Units!$J35,Mkt!DF36),Inputs!$B$15*Mkt!DF36+(1-Inputs!$B$15)*MIN(Mkt!DF36,DE36*(1+Inputs!$B$18))),DE36)))</f>
        <v>1931.82437411612</v>
      </c>
      <c r="DG36" s="11" t="n">
        <f aca="false">IF(DG$1&lt;Units!$P35,0,IF(AND(Units!$K35=0,DG$1=Units!$O35),Units!$R35,IF(AND(DG$1&gt;=Units!$Q35,MOD(DG$1-Units!$Q35,12)=0),IF(AND(Units!$L35=1,DG$1=Units!$Q35),IF(Units!$J35&lt;&gt;"",Units!$J35,Mkt!DG36),Inputs!$B$15*Mkt!DG36+(1-Inputs!$B$15)*MIN(Mkt!DG36,DF36*(1+Inputs!$B$18))),DF36)))</f>
        <v>1931.82437411612</v>
      </c>
      <c r="DH36" s="11" t="n">
        <f aca="false">IF(DH$1&lt;Units!$P35,0,IF(AND(Units!$K35=0,DH$1=Units!$O35),Units!$R35,IF(AND(DH$1&gt;=Units!$Q35,MOD(DH$1-Units!$Q35,12)=0),IF(AND(Units!$L35=1,DH$1=Units!$Q35),IF(Units!$J35&lt;&gt;"",Units!$J35,Mkt!DH36),Inputs!$B$15*Mkt!DH36+(1-Inputs!$B$15)*MIN(Mkt!DH36,DG36*(1+Inputs!$B$18))),DG36)))</f>
        <v>1931.82437411612</v>
      </c>
      <c r="DI36" s="11" t="n">
        <f aca="false">IF(DI$1&lt;Units!$P35,0,IF(AND(Units!$K35=0,DI$1=Units!$O35),Units!$R35,IF(AND(DI$1&gt;=Units!$Q35,MOD(DI$1-Units!$Q35,12)=0),IF(AND(Units!$L35=1,DI$1=Units!$Q35),IF(Units!$J35&lt;&gt;"",Units!$J35,Mkt!DI36),Inputs!$B$15*Mkt!DI36+(1-Inputs!$B$15)*MIN(Mkt!DI36,DH36*(1+Inputs!$B$18))),DH36)))</f>
        <v>1931.82437411612</v>
      </c>
      <c r="DJ36" s="11" t="n">
        <f aca="false">IF(DJ$1&lt;Units!$P35,0,IF(AND(Units!$K35=0,DJ$1=Units!$O35),Units!$R35,IF(AND(DJ$1&gt;=Units!$Q35,MOD(DJ$1-Units!$Q35,12)=0),IF(AND(Units!$L35=1,DJ$1=Units!$Q35),IF(Units!$J35&lt;&gt;"",Units!$J35,Mkt!DJ36),Inputs!$B$15*Mkt!DJ36+(1-Inputs!$B$15)*MIN(Mkt!DJ36,DI36*(1+Inputs!$B$18))),DI36)))</f>
        <v>1931.82437411612</v>
      </c>
      <c r="DK36" s="11" t="n">
        <f aca="false">IF(DK$1&lt;Units!$P35,0,IF(AND(Units!$K35=0,DK$1=Units!$O35),Units!$R35,IF(AND(DK$1&gt;=Units!$Q35,MOD(DK$1-Units!$Q35,12)=0),IF(AND(Units!$L35=1,DK$1=Units!$Q35),IF(Units!$J35&lt;&gt;"",Units!$J35,Mkt!DK36),Inputs!$B$15*Mkt!DK36+(1-Inputs!$B$15)*MIN(Mkt!DK36,DJ36*(1+Inputs!$B$18))),DJ36)))</f>
        <v>1931.82437411612</v>
      </c>
      <c r="DL36" s="11" t="n">
        <f aca="false">IF(DL$1&lt;Units!$P35,0,IF(AND(Units!$K35=0,DL$1=Units!$O35),Units!$R35,IF(AND(DL$1&gt;=Units!$Q35,MOD(DL$1-Units!$Q35,12)=0),IF(AND(Units!$L35=1,DL$1=Units!$Q35),IF(Units!$J35&lt;&gt;"",Units!$J35,Mkt!DL36),Inputs!$B$15*Mkt!DL36+(1-Inputs!$B$15)*MIN(Mkt!DL36,DK36*(1+Inputs!$B$18))),DK36)))</f>
        <v>1931.82437411612</v>
      </c>
      <c r="DM36" s="11" t="n">
        <f aca="false">IF(DM$1&lt;Units!$P35,0,IF(AND(Units!$K35=0,DM$1=Units!$O35),Units!$R35,IF(AND(DM$1&gt;=Units!$Q35,MOD(DM$1-Units!$Q35,12)=0),IF(AND(Units!$L35=1,DM$1=Units!$Q35),IF(Units!$J35&lt;&gt;"",Units!$J35,Mkt!DM36),Inputs!$B$15*Mkt!DM36+(1-Inputs!$B$15)*MIN(Mkt!DM36,DL36*(1+Inputs!$B$18))),DL36)))</f>
        <v>1931.82437411612</v>
      </c>
      <c r="DN36" s="11" t="n">
        <f aca="false">IF(DN$1&lt;Units!$P35,0,IF(AND(Units!$K35=0,DN$1=Units!$O35),Units!$R35,IF(AND(DN$1&gt;=Units!$Q35,MOD(DN$1-Units!$Q35,12)=0),IF(AND(Units!$L35=1,DN$1=Units!$Q35),IF(Units!$J35&lt;&gt;"",Units!$J35,Mkt!DN36),Inputs!$B$15*Mkt!DN36+(1-Inputs!$B$15)*MIN(Mkt!DN36,DM36*(1+Inputs!$B$18))),DM36)))</f>
        <v>1989.7791053396</v>
      </c>
      <c r="DO36" s="11" t="n">
        <f aca="false">IF(DO$1&lt;Units!$P35,0,IF(AND(Units!$K35=0,DO$1=Units!$O35),Units!$R35,IF(AND(DO$1&gt;=Units!$Q35,MOD(DO$1-Units!$Q35,12)=0),IF(AND(Units!$L35=1,DO$1=Units!$Q35),IF(Units!$J35&lt;&gt;"",Units!$J35,Mkt!DO36),Inputs!$B$15*Mkt!DO36+(1-Inputs!$B$15)*MIN(Mkt!DO36,DN36*(1+Inputs!$B$18))),DN36)))</f>
        <v>1989.7791053396</v>
      </c>
      <c r="DP36" s="11" t="n">
        <f aca="false">IF(DP$1&lt;Units!$P35,0,IF(AND(Units!$K35=0,DP$1=Units!$O35),Units!$R35,IF(AND(DP$1&gt;=Units!$Q35,MOD(DP$1-Units!$Q35,12)=0),IF(AND(Units!$L35=1,DP$1=Units!$Q35),IF(Units!$J35&lt;&gt;"",Units!$J35,Mkt!DP36),Inputs!$B$15*Mkt!DP36+(1-Inputs!$B$15)*MIN(Mkt!DP36,DO36*(1+Inputs!$B$18))),DO36)))</f>
        <v>1989.7791053396</v>
      </c>
      <c r="DQ36" s="11" t="n">
        <f aca="false">IF(DQ$1&lt;Units!$P35,0,IF(AND(Units!$K35=0,DQ$1=Units!$O35),Units!$R35,IF(AND(DQ$1&gt;=Units!$Q35,MOD(DQ$1-Units!$Q35,12)=0),IF(AND(Units!$L35=1,DQ$1=Units!$Q35),IF(Units!$J35&lt;&gt;"",Units!$J35,Mkt!DQ36),Inputs!$B$15*Mkt!DQ36+(1-Inputs!$B$15)*MIN(Mkt!DQ36,DP36*(1+Inputs!$B$18))),DP36)))</f>
        <v>1989.7791053396</v>
      </c>
      <c r="DR36" s="11" t="n">
        <f aca="false">IF(DR$1&lt;Units!$P35,0,IF(AND(Units!$K35=0,DR$1=Units!$O35),Units!$R35,IF(AND(DR$1&gt;=Units!$Q35,MOD(DR$1-Units!$Q35,12)=0),IF(AND(Units!$L35=1,DR$1=Units!$Q35),IF(Units!$J35&lt;&gt;"",Units!$J35,Mkt!DR36),Inputs!$B$15*Mkt!DR36+(1-Inputs!$B$15)*MIN(Mkt!DR36,DQ36*(1+Inputs!$B$18))),DQ36)))</f>
        <v>1989.7791053396</v>
      </c>
      <c r="DS36" s="11" t="n">
        <f aca="false">IF(DS$1&lt;Units!$P35,0,IF(AND(Units!$K35=0,DS$1=Units!$O35),Units!$R35,IF(AND(DS$1&gt;=Units!$Q35,MOD(DS$1-Units!$Q35,12)=0),IF(AND(Units!$L35=1,DS$1=Units!$Q35),IF(Units!$J35&lt;&gt;"",Units!$J35,Mkt!DS36),Inputs!$B$15*Mkt!DS36+(1-Inputs!$B$15)*MIN(Mkt!DS36,DR36*(1+Inputs!$B$18))),DR36)))</f>
        <v>1989.7791053396</v>
      </c>
      <c r="DT36" s="11" t="n">
        <f aca="false">IF(DT$1&lt;Units!$P35,0,IF(AND(Units!$K35=0,DT$1=Units!$O35),Units!$R35,IF(AND(DT$1&gt;=Units!$Q35,MOD(DT$1-Units!$Q35,12)=0),IF(AND(Units!$L35=1,DT$1=Units!$Q35),IF(Units!$J35&lt;&gt;"",Units!$J35,Mkt!DT36),Inputs!$B$15*Mkt!DT36+(1-Inputs!$B$15)*MIN(Mkt!DT36,DS36*(1+Inputs!$B$18))),DS36)))</f>
        <v>1989.7791053396</v>
      </c>
      <c r="DU36" s="11" t="n">
        <f aca="false">IF(DU$1&lt;Units!$P35,0,IF(AND(Units!$K35=0,DU$1=Units!$O35),Units!$R35,IF(AND(DU$1&gt;=Units!$Q35,MOD(DU$1-Units!$Q35,12)=0),IF(AND(Units!$L35=1,DU$1=Units!$Q35),IF(Units!$J35&lt;&gt;"",Units!$J35,Mkt!DU36),Inputs!$B$15*Mkt!DU36+(1-Inputs!$B$15)*MIN(Mkt!DU36,DT36*(1+Inputs!$B$18))),DT36)))</f>
        <v>1989.7791053396</v>
      </c>
      <c r="DV36" s="11" t="n">
        <f aca="false">IF(DV$1&lt;Units!$P35,0,IF(AND(Units!$K35=0,DV$1=Units!$O35),Units!$R35,IF(AND(DV$1&gt;=Units!$Q35,MOD(DV$1-Units!$Q35,12)=0),IF(AND(Units!$L35=1,DV$1=Units!$Q35),IF(Units!$J35&lt;&gt;"",Units!$J35,Mkt!DV36),Inputs!$B$15*Mkt!DV36+(1-Inputs!$B$15)*MIN(Mkt!DV36,DU36*(1+Inputs!$B$18))),DU36)))</f>
        <v>1989.7791053396</v>
      </c>
      <c r="DW36" s="11" t="n">
        <f aca="false">IF(DW$1&lt;Units!$P35,0,IF(AND(Units!$K35=0,DW$1=Units!$O35),Units!$R35,IF(AND(DW$1&gt;=Units!$Q35,MOD(DW$1-Units!$Q35,12)=0),IF(AND(Units!$L35=1,DW$1=Units!$Q35),IF(Units!$J35&lt;&gt;"",Units!$J35,Mkt!DW36),Inputs!$B$15*Mkt!DW36+(1-Inputs!$B$15)*MIN(Mkt!DW36,DV36*(1+Inputs!$B$18))),DV36)))</f>
        <v>1989.7791053396</v>
      </c>
      <c r="DX36" s="11" t="n">
        <f aca="false">IF(DX$1&lt;Units!$P35,0,IF(AND(Units!$K35=0,DX$1=Units!$O35),Units!$R35,IF(AND(DX$1&gt;=Units!$Q35,MOD(DX$1-Units!$Q35,12)=0),IF(AND(Units!$L35=1,DX$1=Units!$Q35),IF(Units!$J35&lt;&gt;"",Units!$J35,Mkt!DX36),Inputs!$B$15*Mkt!DX36+(1-Inputs!$B$15)*MIN(Mkt!DX36,DW36*(1+Inputs!$B$18))),DW36)))</f>
        <v>1989.7791053396</v>
      </c>
      <c r="DY36" s="11" t="n">
        <f aca="false">IF(DY$1&lt;Units!$P35,0,IF(AND(Units!$K35=0,DY$1=Units!$O35),Units!$R35,IF(AND(DY$1&gt;=Units!$Q35,MOD(DY$1-Units!$Q35,12)=0),IF(AND(Units!$L35=1,DY$1=Units!$Q35),IF(Units!$J35&lt;&gt;"",Units!$J35,Mkt!DY36),Inputs!$B$15*Mkt!DY36+(1-Inputs!$B$15)*MIN(Mkt!DY36,DX36*(1+Inputs!$B$18))),DX36)))</f>
        <v>1989.7791053396</v>
      </c>
      <c r="DZ36" s="11" t="n">
        <f aca="false">IF(DZ$1&lt;Units!$P35,0,IF(AND(Units!$K35=0,DZ$1=Units!$O35),Units!$R35,IF(AND(DZ$1&gt;=Units!$Q35,MOD(DZ$1-Units!$Q35,12)=0),IF(AND(Units!$L35=1,DZ$1=Units!$Q35),IF(Units!$J35&lt;&gt;"",Units!$J35,Mkt!DZ36),Inputs!$B$15*Mkt!DZ36+(1-Inputs!$B$15)*MIN(Mkt!DZ36,DY36*(1+Inputs!$B$18))),DY36)))</f>
        <v>2049.47247849979</v>
      </c>
      <c r="EA36" s="11" t="n">
        <f aca="false">IF(EA$1&lt;Units!$P35,0,IF(AND(Units!$K35=0,EA$1=Units!$O35),Units!$R35,IF(AND(EA$1&gt;=Units!$Q35,MOD(EA$1-Units!$Q35,12)=0),IF(AND(Units!$L35=1,EA$1=Units!$Q35),IF(Units!$J35&lt;&gt;"",Units!$J35,Mkt!EA36),Inputs!$B$15*Mkt!EA36+(1-Inputs!$B$15)*MIN(Mkt!EA36,DZ36*(1+Inputs!$B$18))),DZ36)))</f>
        <v>2049.47247849979</v>
      </c>
      <c r="EB36" s="11" t="n">
        <f aca="false">IF(EB$1&lt;Units!$P35,0,IF(AND(Units!$K35=0,EB$1=Units!$O35),Units!$R35,IF(AND(EB$1&gt;=Units!$Q35,MOD(EB$1-Units!$Q35,12)=0),IF(AND(Units!$L35=1,EB$1=Units!$Q35),IF(Units!$J35&lt;&gt;"",Units!$J35,Mkt!EB36),Inputs!$B$15*Mkt!EB36+(1-Inputs!$B$15)*MIN(Mkt!EB36,EA36*(1+Inputs!$B$18))),EA36)))</f>
        <v>2049.47247849979</v>
      </c>
      <c r="EC36" s="11" t="n">
        <f aca="false">IF(EC$1&lt;Units!$P35,0,IF(AND(Units!$K35=0,EC$1=Units!$O35),Units!$R35,IF(AND(EC$1&gt;=Units!$Q35,MOD(EC$1-Units!$Q35,12)=0),IF(AND(Units!$L35=1,EC$1=Units!$Q35),IF(Units!$J35&lt;&gt;"",Units!$J35,Mkt!EC36),Inputs!$B$15*Mkt!EC36+(1-Inputs!$B$15)*MIN(Mkt!EC36,EB36*(1+Inputs!$B$18))),EB36)))</f>
        <v>2049.47247849979</v>
      </c>
      <c r="ED36" s="11" t="n">
        <f aca="false">IF(ED$1&lt;Units!$P35,0,IF(AND(Units!$K35=0,ED$1=Units!$O35),Units!$R35,IF(AND(ED$1&gt;=Units!$Q35,MOD(ED$1-Units!$Q35,12)=0),IF(AND(Units!$L35=1,ED$1=Units!$Q35),IF(Units!$J35&lt;&gt;"",Units!$J35,Mkt!ED36),Inputs!$B$15*Mkt!ED36+(1-Inputs!$B$15)*MIN(Mkt!ED36,EC36*(1+Inputs!$B$18))),EC36)))</f>
        <v>2049.47247849979</v>
      </c>
    </row>
    <row r="37" customFormat="false" ht="15" hidden="false" customHeight="false" outlineLevel="0" collapsed="false">
      <c r="A37" s="22" t="n">
        <f aca="false">Units!A36</f>
        <v>205</v>
      </c>
      <c r="B37" s="24" t="n">
        <f aca="false">IF(Units!K36=1,Units!F36,0)</f>
        <v>1380</v>
      </c>
      <c r="C37" s="11" t="n">
        <f aca="false">IF(C$1&lt;Units!$P36,0,IF(AND(Units!$K36=0,C$1=Units!$O36),Units!$R36,IF(AND(C$1&gt;=Units!$Q36,MOD(C$1-Units!$Q36,12)=0),IF(AND(Units!$L36=1,C$1=Units!$Q36),IF(Units!$J36&lt;&gt;"",Units!$J36,Mkt!C37),Inputs!$B$15*Mkt!C37+(1-Inputs!$B$15)*MIN(Mkt!C37,B37*(1+Inputs!$B$18))),B37)))</f>
        <v>1487</v>
      </c>
      <c r="D37" s="11" t="n">
        <f aca="false">IF(D$1&lt;Units!$P36,0,IF(AND(Units!$K36=0,D$1=Units!$O36),Units!$R36,IF(AND(D$1&gt;=Units!$Q36,MOD(D$1-Units!$Q36,12)=0),IF(AND(Units!$L36=1,D$1=Units!$Q36),IF(Units!$J36&lt;&gt;"",Units!$J36,Mkt!D37),Inputs!$B$15*Mkt!D37+(1-Inputs!$B$15)*MIN(Mkt!D37,C37*(1+Inputs!$B$18))),C37)))</f>
        <v>1487</v>
      </c>
      <c r="E37" s="11" t="n">
        <f aca="false">IF(E$1&lt;Units!$P36,0,IF(AND(Units!$K36=0,E$1=Units!$O36),Units!$R36,IF(AND(E$1&gt;=Units!$Q36,MOD(E$1-Units!$Q36,12)=0),IF(AND(Units!$L36=1,E$1=Units!$Q36),IF(Units!$J36&lt;&gt;"",Units!$J36,Mkt!E37),Inputs!$B$15*Mkt!E37+(1-Inputs!$B$15)*MIN(Mkt!E37,D37*(1+Inputs!$B$18))),D37)))</f>
        <v>1487</v>
      </c>
      <c r="F37" s="11" t="n">
        <f aca="false">IF(F$1&lt;Units!$P36,0,IF(AND(Units!$K36=0,F$1=Units!$O36),Units!$R36,IF(AND(F$1&gt;=Units!$Q36,MOD(F$1-Units!$Q36,12)=0),IF(AND(Units!$L36=1,F$1=Units!$Q36),IF(Units!$J36&lt;&gt;"",Units!$J36,Mkt!F37),Inputs!$B$15*Mkt!F37+(1-Inputs!$B$15)*MIN(Mkt!F37,E37*(1+Inputs!$B$18))),E37)))</f>
        <v>1487</v>
      </c>
      <c r="G37" s="11" t="n">
        <f aca="false">IF(G$1&lt;Units!$P36,0,IF(AND(Units!$K36=0,G$1=Units!$O36),Units!$R36,IF(AND(G$1&gt;=Units!$Q36,MOD(G$1-Units!$Q36,12)=0),IF(AND(Units!$L36=1,G$1=Units!$Q36),IF(Units!$J36&lt;&gt;"",Units!$J36,Mkt!G37),Inputs!$B$15*Mkt!G37+(1-Inputs!$B$15)*MIN(Mkt!G37,F37*(1+Inputs!$B$18))),F37)))</f>
        <v>1487</v>
      </c>
      <c r="H37" s="11" t="n">
        <f aca="false">IF(H$1&lt;Units!$P36,0,IF(AND(Units!$K36=0,H$1=Units!$O36),Units!$R36,IF(AND(H$1&gt;=Units!$Q36,MOD(H$1-Units!$Q36,12)=0),IF(AND(Units!$L36=1,H$1=Units!$Q36),IF(Units!$J36&lt;&gt;"",Units!$J36,Mkt!H37),Inputs!$B$15*Mkt!H37+(1-Inputs!$B$15)*MIN(Mkt!H37,G37*(1+Inputs!$B$18))),G37)))</f>
        <v>1487</v>
      </c>
      <c r="I37" s="11" t="n">
        <f aca="false">IF(I$1&lt;Units!$P36,0,IF(AND(Units!$K36=0,I$1=Units!$O36),Units!$R36,IF(AND(I$1&gt;=Units!$Q36,MOD(I$1-Units!$Q36,12)=0),IF(AND(Units!$L36=1,I$1=Units!$Q36),IF(Units!$J36&lt;&gt;"",Units!$J36,Mkt!I37),Inputs!$B$15*Mkt!I37+(1-Inputs!$B$15)*MIN(Mkt!I37,H37*(1+Inputs!$B$18))),H37)))</f>
        <v>1487</v>
      </c>
      <c r="J37" s="11" t="n">
        <f aca="false">IF(J$1&lt;Units!$P36,0,IF(AND(Units!$K36=0,J$1=Units!$O36),Units!$R36,IF(AND(J$1&gt;=Units!$Q36,MOD(J$1-Units!$Q36,12)=0),IF(AND(Units!$L36=1,J$1=Units!$Q36),IF(Units!$J36&lt;&gt;"",Units!$J36,Mkt!J37),Inputs!$B$15*Mkt!J37+(1-Inputs!$B$15)*MIN(Mkt!J37,I37*(1+Inputs!$B$18))),I37)))</f>
        <v>1487</v>
      </c>
      <c r="K37" s="11" t="n">
        <f aca="false">IF(K$1&lt;Units!$P36,0,IF(AND(Units!$K36=0,K$1=Units!$O36),Units!$R36,IF(AND(K$1&gt;=Units!$Q36,MOD(K$1-Units!$Q36,12)=0),IF(AND(Units!$L36=1,K$1=Units!$Q36),IF(Units!$J36&lt;&gt;"",Units!$J36,Mkt!K37),Inputs!$B$15*Mkt!K37+(1-Inputs!$B$15)*MIN(Mkt!K37,J37*(1+Inputs!$B$18))),J37)))</f>
        <v>1487</v>
      </c>
      <c r="L37" s="11" t="n">
        <f aca="false">IF(L$1&lt;Units!$P36,0,IF(AND(Units!$K36=0,L$1=Units!$O36),Units!$R36,IF(AND(L$1&gt;=Units!$Q36,MOD(L$1-Units!$Q36,12)=0),IF(AND(Units!$L36=1,L$1=Units!$Q36),IF(Units!$J36&lt;&gt;"",Units!$J36,Mkt!L37),Inputs!$B$15*Mkt!L37+(1-Inputs!$B$15)*MIN(Mkt!L37,K37*(1+Inputs!$B$18))),K37)))</f>
        <v>1487</v>
      </c>
      <c r="M37" s="11" t="n">
        <f aca="false">IF(M$1&lt;Units!$P36,0,IF(AND(Units!$K36=0,M$1=Units!$O36),Units!$R36,IF(AND(M$1&gt;=Units!$Q36,MOD(M$1-Units!$Q36,12)=0),IF(AND(Units!$L36=1,M$1=Units!$Q36),IF(Units!$J36&lt;&gt;"",Units!$J36,Mkt!M37),Inputs!$B$15*Mkt!M37+(1-Inputs!$B$15)*MIN(Mkt!M37,L37*(1+Inputs!$B$18))),L37)))</f>
        <v>1487</v>
      </c>
      <c r="N37" s="11" t="n">
        <f aca="false">IF(N$1&lt;Units!$P36,0,IF(AND(Units!$K36=0,N$1=Units!$O36),Units!$R36,IF(AND(N$1&gt;=Units!$Q36,MOD(N$1-Units!$Q36,12)=0),IF(AND(Units!$L36=1,N$1=Units!$Q36),IF(Units!$J36&lt;&gt;"",Units!$J36,Mkt!N37),Inputs!$B$15*Mkt!N37+(1-Inputs!$B$15)*MIN(Mkt!N37,M37*(1+Inputs!$B$18))),M37)))</f>
        <v>1487</v>
      </c>
      <c r="O37" s="11" t="n">
        <f aca="false">IF(O$1&lt;Units!$P36,0,IF(AND(Units!$K36=0,O$1=Units!$O36),Units!$R36,IF(AND(O$1&gt;=Units!$Q36,MOD(O$1-Units!$Q36,12)=0),IF(AND(Units!$L36=1,O$1=Units!$Q36),IF(Units!$J36&lt;&gt;"",Units!$J36,Mkt!O37),Inputs!$B$15*Mkt!O37+(1-Inputs!$B$15)*MIN(Mkt!O37,N37*(1+Inputs!$B$18))),N37)))</f>
        <v>1566.05</v>
      </c>
      <c r="P37" s="11" t="n">
        <f aca="false">IF(P$1&lt;Units!$P36,0,IF(AND(Units!$K36=0,P$1=Units!$O36),Units!$R36,IF(AND(P$1&gt;=Units!$Q36,MOD(P$1-Units!$Q36,12)=0),IF(AND(Units!$L36=1,P$1=Units!$Q36),IF(Units!$J36&lt;&gt;"",Units!$J36,Mkt!P37),Inputs!$B$15*Mkt!P37+(1-Inputs!$B$15)*MIN(Mkt!P37,O37*(1+Inputs!$B$18))),O37)))</f>
        <v>1566.05</v>
      </c>
      <c r="Q37" s="11" t="n">
        <f aca="false">IF(Q$1&lt;Units!$P36,0,IF(AND(Units!$K36=0,Q$1=Units!$O36),Units!$R36,IF(AND(Q$1&gt;=Units!$Q36,MOD(Q$1-Units!$Q36,12)=0),IF(AND(Units!$L36=1,Q$1=Units!$Q36),IF(Units!$J36&lt;&gt;"",Units!$J36,Mkt!Q37),Inputs!$B$15*Mkt!Q37+(1-Inputs!$B$15)*MIN(Mkt!Q37,P37*(1+Inputs!$B$18))),P37)))</f>
        <v>1566.05</v>
      </c>
      <c r="R37" s="11" t="n">
        <f aca="false">IF(R$1&lt;Units!$P36,0,IF(AND(Units!$K36=0,R$1=Units!$O36),Units!$R36,IF(AND(R$1&gt;=Units!$Q36,MOD(R$1-Units!$Q36,12)=0),IF(AND(Units!$L36=1,R$1=Units!$Q36),IF(Units!$J36&lt;&gt;"",Units!$J36,Mkt!R37),Inputs!$B$15*Mkt!R37+(1-Inputs!$B$15)*MIN(Mkt!R37,Q37*(1+Inputs!$B$18))),Q37)))</f>
        <v>1566.05</v>
      </c>
      <c r="S37" s="11" t="n">
        <f aca="false">IF(S$1&lt;Units!$P36,0,IF(AND(Units!$K36=0,S$1=Units!$O36),Units!$R36,IF(AND(S$1&gt;=Units!$Q36,MOD(S$1-Units!$Q36,12)=0),IF(AND(Units!$L36=1,S$1=Units!$Q36),IF(Units!$J36&lt;&gt;"",Units!$J36,Mkt!S37),Inputs!$B$15*Mkt!S37+(1-Inputs!$B$15)*MIN(Mkt!S37,R37*(1+Inputs!$B$18))),R37)))</f>
        <v>1566.05</v>
      </c>
      <c r="T37" s="11" t="n">
        <f aca="false">IF(T$1&lt;Units!$P36,0,IF(AND(Units!$K36=0,T$1=Units!$O36),Units!$R36,IF(AND(T$1&gt;=Units!$Q36,MOD(T$1-Units!$Q36,12)=0),IF(AND(Units!$L36=1,T$1=Units!$Q36),IF(Units!$J36&lt;&gt;"",Units!$J36,Mkt!T37),Inputs!$B$15*Mkt!T37+(1-Inputs!$B$15)*MIN(Mkt!T37,S37*(1+Inputs!$B$18))),S37)))</f>
        <v>1566.05</v>
      </c>
      <c r="U37" s="11" t="n">
        <f aca="false">IF(U$1&lt;Units!$P36,0,IF(AND(Units!$K36=0,U$1=Units!$O36),Units!$R36,IF(AND(U$1&gt;=Units!$Q36,MOD(U$1-Units!$Q36,12)=0),IF(AND(Units!$L36=1,U$1=Units!$Q36),IF(Units!$J36&lt;&gt;"",Units!$J36,Mkt!U37),Inputs!$B$15*Mkt!U37+(1-Inputs!$B$15)*MIN(Mkt!U37,T37*(1+Inputs!$B$18))),T37)))</f>
        <v>1566.05</v>
      </c>
      <c r="V37" s="11" t="n">
        <f aca="false">IF(V$1&lt;Units!$P36,0,IF(AND(Units!$K36=0,V$1=Units!$O36),Units!$R36,IF(AND(V$1&gt;=Units!$Q36,MOD(V$1-Units!$Q36,12)=0),IF(AND(Units!$L36=1,V$1=Units!$Q36),IF(Units!$J36&lt;&gt;"",Units!$J36,Mkt!V37),Inputs!$B$15*Mkt!V37+(1-Inputs!$B$15)*MIN(Mkt!V37,U37*(1+Inputs!$B$18))),U37)))</f>
        <v>1566.05</v>
      </c>
      <c r="W37" s="11" t="n">
        <f aca="false">IF(W$1&lt;Units!$P36,0,IF(AND(Units!$K36=0,W$1=Units!$O36),Units!$R36,IF(AND(W$1&gt;=Units!$Q36,MOD(W$1-Units!$Q36,12)=0),IF(AND(Units!$L36=1,W$1=Units!$Q36),IF(Units!$J36&lt;&gt;"",Units!$J36,Mkt!W37),Inputs!$B$15*Mkt!W37+(1-Inputs!$B$15)*MIN(Mkt!W37,V37*(1+Inputs!$B$18))),V37)))</f>
        <v>1566.05</v>
      </c>
      <c r="X37" s="11" t="n">
        <f aca="false">IF(X$1&lt;Units!$P36,0,IF(AND(Units!$K36=0,X$1=Units!$O36),Units!$R36,IF(AND(X$1&gt;=Units!$Q36,MOD(X$1-Units!$Q36,12)=0),IF(AND(Units!$L36=1,X$1=Units!$Q36),IF(Units!$J36&lt;&gt;"",Units!$J36,Mkt!X37),Inputs!$B$15*Mkt!X37+(1-Inputs!$B$15)*MIN(Mkt!X37,W37*(1+Inputs!$B$18))),W37)))</f>
        <v>1566.05</v>
      </c>
      <c r="Y37" s="11" t="n">
        <f aca="false">IF(Y$1&lt;Units!$P36,0,IF(AND(Units!$K36=0,Y$1=Units!$O36),Units!$R36,IF(AND(Y$1&gt;=Units!$Q36,MOD(Y$1-Units!$Q36,12)=0),IF(AND(Units!$L36=1,Y$1=Units!$Q36),IF(Units!$J36&lt;&gt;"",Units!$J36,Mkt!Y37),Inputs!$B$15*Mkt!Y37+(1-Inputs!$B$15)*MIN(Mkt!Y37,X37*(1+Inputs!$B$18))),X37)))</f>
        <v>1566.05</v>
      </c>
      <c r="Z37" s="11" t="n">
        <f aca="false">IF(Z$1&lt;Units!$P36,0,IF(AND(Units!$K36=0,Z$1=Units!$O36),Units!$R36,IF(AND(Z$1&gt;=Units!$Q36,MOD(Z$1-Units!$Q36,12)=0),IF(AND(Units!$L36=1,Z$1=Units!$Q36),IF(Units!$J36&lt;&gt;"",Units!$J36,Mkt!Z37),Inputs!$B$15*Mkt!Z37+(1-Inputs!$B$15)*MIN(Mkt!Z37,Y37*(1+Inputs!$B$18))),Y37)))</f>
        <v>1566.05</v>
      </c>
      <c r="AA37" s="11" t="n">
        <f aca="false">IF(AA$1&lt;Units!$P36,0,IF(AND(Units!$K36=0,AA$1=Units!$O36),Units!$R36,IF(AND(AA$1&gt;=Units!$Q36,MOD(AA$1-Units!$Q36,12)=0),IF(AND(Units!$L36=1,AA$1=Units!$Q36),IF(Units!$J36&lt;&gt;"",Units!$J36,Mkt!AA37),Inputs!$B$15*Mkt!AA37+(1-Inputs!$B$15)*MIN(Mkt!AA37,Z37*(1+Inputs!$B$18))),Z37)))</f>
        <v>1617.8725</v>
      </c>
      <c r="AB37" s="11" t="n">
        <f aca="false">IF(AB$1&lt;Units!$P36,0,IF(AND(Units!$K36=0,AB$1=Units!$O36),Units!$R36,IF(AND(AB$1&gt;=Units!$Q36,MOD(AB$1-Units!$Q36,12)=0),IF(AND(Units!$L36=1,AB$1=Units!$Q36),IF(Units!$J36&lt;&gt;"",Units!$J36,Mkt!AB37),Inputs!$B$15*Mkt!AB37+(1-Inputs!$B$15)*MIN(Mkt!AB37,AA37*(1+Inputs!$B$18))),AA37)))</f>
        <v>1617.8725</v>
      </c>
      <c r="AC37" s="11" t="n">
        <f aca="false">IF(AC$1&lt;Units!$P36,0,IF(AND(Units!$K36=0,AC$1=Units!$O36),Units!$R36,IF(AND(AC$1&gt;=Units!$Q36,MOD(AC$1-Units!$Q36,12)=0),IF(AND(Units!$L36=1,AC$1=Units!$Q36),IF(Units!$J36&lt;&gt;"",Units!$J36,Mkt!AC37),Inputs!$B$15*Mkt!AC37+(1-Inputs!$B$15)*MIN(Mkt!AC37,AB37*(1+Inputs!$B$18))),AB37)))</f>
        <v>1617.8725</v>
      </c>
      <c r="AD37" s="11" t="n">
        <f aca="false">IF(AD$1&lt;Units!$P36,0,IF(AND(Units!$K36=0,AD$1=Units!$O36),Units!$R36,IF(AND(AD$1&gt;=Units!$Q36,MOD(AD$1-Units!$Q36,12)=0),IF(AND(Units!$L36=1,AD$1=Units!$Q36),IF(Units!$J36&lt;&gt;"",Units!$J36,Mkt!AD37),Inputs!$B$15*Mkt!AD37+(1-Inputs!$B$15)*MIN(Mkt!AD37,AC37*(1+Inputs!$B$18))),AC37)))</f>
        <v>1617.8725</v>
      </c>
      <c r="AE37" s="11" t="n">
        <f aca="false">IF(AE$1&lt;Units!$P36,0,IF(AND(Units!$K36=0,AE$1=Units!$O36),Units!$R36,IF(AND(AE$1&gt;=Units!$Q36,MOD(AE$1-Units!$Q36,12)=0),IF(AND(Units!$L36=1,AE$1=Units!$Q36),IF(Units!$J36&lt;&gt;"",Units!$J36,Mkt!AE37),Inputs!$B$15*Mkt!AE37+(1-Inputs!$B$15)*MIN(Mkt!AE37,AD37*(1+Inputs!$B$18))),AD37)))</f>
        <v>1617.8725</v>
      </c>
      <c r="AF37" s="11" t="n">
        <f aca="false">IF(AF$1&lt;Units!$P36,0,IF(AND(Units!$K36=0,AF$1=Units!$O36),Units!$R36,IF(AND(AF$1&gt;=Units!$Q36,MOD(AF$1-Units!$Q36,12)=0),IF(AND(Units!$L36=1,AF$1=Units!$Q36),IF(Units!$J36&lt;&gt;"",Units!$J36,Mkt!AF37),Inputs!$B$15*Mkt!AF37+(1-Inputs!$B$15)*MIN(Mkt!AF37,AE37*(1+Inputs!$B$18))),AE37)))</f>
        <v>1617.8725</v>
      </c>
      <c r="AG37" s="11" t="n">
        <f aca="false">IF(AG$1&lt;Units!$P36,0,IF(AND(Units!$K36=0,AG$1=Units!$O36),Units!$R36,IF(AND(AG$1&gt;=Units!$Q36,MOD(AG$1-Units!$Q36,12)=0),IF(AND(Units!$L36=1,AG$1=Units!$Q36),IF(Units!$J36&lt;&gt;"",Units!$J36,Mkt!AG37),Inputs!$B$15*Mkt!AG37+(1-Inputs!$B$15)*MIN(Mkt!AG37,AF37*(1+Inputs!$B$18))),AF37)))</f>
        <v>1617.8725</v>
      </c>
      <c r="AH37" s="11" t="n">
        <f aca="false">IF(AH$1&lt;Units!$P36,0,IF(AND(Units!$K36=0,AH$1=Units!$O36),Units!$R36,IF(AND(AH$1&gt;=Units!$Q36,MOD(AH$1-Units!$Q36,12)=0),IF(AND(Units!$L36=1,AH$1=Units!$Q36),IF(Units!$J36&lt;&gt;"",Units!$J36,Mkt!AH37),Inputs!$B$15*Mkt!AH37+(1-Inputs!$B$15)*MIN(Mkt!AH37,AG37*(1+Inputs!$B$18))),AG37)))</f>
        <v>1617.8725</v>
      </c>
      <c r="AI37" s="11" t="n">
        <f aca="false">IF(AI$1&lt;Units!$P36,0,IF(AND(Units!$K36=0,AI$1=Units!$O36),Units!$R36,IF(AND(AI$1&gt;=Units!$Q36,MOD(AI$1-Units!$Q36,12)=0),IF(AND(Units!$L36=1,AI$1=Units!$Q36),IF(Units!$J36&lt;&gt;"",Units!$J36,Mkt!AI37),Inputs!$B$15*Mkt!AI37+(1-Inputs!$B$15)*MIN(Mkt!AI37,AH37*(1+Inputs!$B$18))),AH37)))</f>
        <v>1617.8725</v>
      </c>
      <c r="AJ37" s="11" t="n">
        <f aca="false">IF(AJ$1&lt;Units!$P36,0,IF(AND(Units!$K36=0,AJ$1=Units!$O36),Units!$R36,IF(AND(AJ$1&gt;=Units!$Q36,MOD(AJ$1-Units!$Q36,12)=0),IF(AND(Units!$L36=1,AJ$1=Units!$Q36),IF(Units!$J36&lt;&gt;"",Units!$J36,Mkt!AJ37),Inputs!$B$15*Mkt!AJ37+(1-Inputs!$B$15)*MIN(Mkt!AJ37,AI37*(1+Inputs!$B$18))),AI37)))</f>
        <v>1617.8725</v>
      </c>
      <c r="AK37" s="11" t="n">
        <f aca="false">IF(AK$1&lt;Units!$P36,0,IF(AND(Units!$K36=0,AK$1=Units!$O36),Units!$R36,IF(AND(AK$1&gt;=Units!$Q36,MOD(AK$1-Units!$Q36,12)=0),IF(AND(Units!$L36=1,AK$1=Units!$Q36),IF(Units!$J36&lt;&gt;"",Units!$J36,Mkt!AK37),Inputs!$B$15*Mkt!AK37+(1-Inputs!$B$15)*MIN(Mkt!AK37,AJ37*(1+Inputs!$B$18))),AJ37)))</f>
        <v>1617.8725</v>
      </c>
      <c r="AL37" s="11" t="n">
        <f aca="false">IF(AL$1&lt;Units!$P36,0,IF(AND(Units!$K36=0,AL$1=Units!$O36),Units!$R36,IF(AND(AL$1&gt;=Units!$Q36,MOD(AL$1-Units!$Q36,12)=0),IF(AND(Units!$L36=1,AL$1=Units!$Q36),IF(Units!$J36&lt;&gt;"",Units!$J36,Mkt!AL37),Inputs!$B$15*Mkt!AL37+(1-Inputs!$B$15)*MIN(Mkt!AL37,AK37*(1+Inputs!$B$18))),AK37)))</f>
        <v>1617.8725</v>
      </c>
      <c r="AM37" s="11" t="n">
        <f aca="false">IF(AM$1&lt;Units!$P36,0,IF(AND(Units!$K36=0,AM$1=Units!$O36),Units!$R36,IF(AND(AM$1&gt;=Units!$Q36,MOD(AM$1-Units!$Q36,12)=0),IF(AND(Units!$L36=1,AM$1=Units!$Q36),IF(Units!$J36&lt;&gt;"",Units!$J36,Mkt!AM37),Inputs!$B$15*Mkt!AM37+(1-Inputs!$B$15)*MIN(Mkt!AM37,AL37*(1+Inputs!$B$18))),AL37)))</f>
        <v>1666.408675</v>
      </c>
      <c r="AN37" s="11" t="n">
        <f aca="false">IF(AN$1&lt;Units!$P36,0,IF(AND(Units!$K36=0,AN$1=Units!$O36),Units!$R36,IF(AND(AN$1&gt;=Units!$Q36,MOD(AN$1-Units!$Q36,12)=0),IF(AND(Units!$L36=1,AN$1=Units!$Q36),IF(Units!$J36&lt;&gt;"",Units!$J36,Mkt!AN37),Inputs!$B$15*Mkt!AN37+(1-Inputs!$B$15)*MIN(Mkt!AN37,AM37*(1+Inputs!$B$18))),AM37)))</f>
        <v>1666.408675</v>
      </c>
      <c r="AO37" s="11" t="n">
        <f aca="false">IF(AO$1&lt;Units!$P36,0,IF(AND(Units!$K36=0,AO$1=Units!$O36),Units!$R36,IF(AND(AO$1&gt;=Units!$Q36,MOD(AO$1-Units!$Q36,12)=0),IF(AND(Units!$L36=1,AO$1=Units!$Q36),IF(Units!$J36&lt;&gt;"",Units!$J36,Mkt!AO37),Inputs!$B$15*Mkt!AO37+(1-Inputs!$B$15)*MIN(Mkt!AO37,AN37*(1+Inputs!$B$18))),AN37)))</f>
        <v>1666.408675</v>
      </c>
      <c r="AP37" s="11" t="n">
        <f aca="false">IF(AP$1&lt;Units!$P36,0,IF(AND(Units!$K36=0,AP$1=Units!$O36),Units!$R36,IF(AND(AP$1&gt;=Units!$Q36,MOD(AP$1-Units!$Q36,12)=0),IF(AND(Units!$L36=1,AP$1=Units!$Q36),IF(Units!$J36&lt;&gt;"",Units!$J36,Mkt!AP37),Inputs!$B$15*Mkt!AP37+(1-Inputs!$B$15)*MIN(Mkt!AP37,AO37*(1+Inputs!$B$18))),AO37)))</f>
        <v>1666.408675</v>
      </c>
      <c r="AQ37" s="11" t="n">
        <f aca="false">IF(AQ$1&lt;Units!$P36,0,IF(AND(Units!$K36=0,AQ$1=Units!$O36),Units!$R36,IF(AND(AQ$1&gt;=Units!$Q36,MOD(AQ$1-Units!$Q36,12)=0),IF(AND(Units!$L36=1,AQ$1=Units!$Q36),IF(Units!$J36&lt;&gt;"",Units!$J36,Mkt!AQ37),Inputs!$B$15*Mkt!AQ37+(1-Inputs!$B$15)*MIN(Mkt!AQ37,AP37*(1+Inputs!$B$18))),AP37)))</f>
        <v>1666.408675</v>
      </c>
      <c r="AR37" s="11" t="n">
        <f aca="false">IF(AR$1&lt;Units!$P36,0,IF(AND(Units!$K36=0,AR$1=Units!$O36),Units!$R36,IF(AND(AR$1&gt;=Units!$Q36,MOD(AR$1-Units!$Q36,12)=0),IF(AND(Units!$L36=1,AR$1=Units!$Q36),IF(Units!$J36&lt;&gt;"",Units!$J36,Mkt!AR37),Inputs!$B$15*Mkt!AR37+(1-Inputs!$B$15)*MIN(Mkt!AR37,AQ37*(1+Inputs!$B$18))),AQ37)))</f>
        <v>1666.408675</v>
      </c>
      <c r="AS37" s="11" t="n">
        <f aca="false">IF(AS$1&lt;Units!$P36,0,IF(AND(Units!$K36=0,AS$1=Units!$O36),Units!$R36,IF(AND(AS$1&gt;=Units!$Q36,MOD(AS$1-Units!$Q36,12)=0),IF(AND(Units!$L36=1,AS$1=Units!$Q36),IF(Units!$J36&lt;&gt;"",Units!$J36,Mkt!AS37),Inputs!$B$15*Mkt!AS37+(1-Inputs!$B$15)*MIN(Mkt!AS37,AR37*(1+Inputs!$B$18))),AR37)))</f>
        <v>1666.408675</v>
      </c>
      <c r="AT37" s="11" t="n">
        <f aca="false">IF(AT$1&lt;Units!$P36,0,IF(AND(Units!$K36=0,AT$1=Units!$O36),Units!$R36,IF(AND(AT$1&gt;=Units!$Q36,MOD(AT$1-Units!$Q36,12)=0),IF(AND(Units!$L36=1,AT$1=Units!$Q36),IF(Units!$J36&lt;&gt;"",Units!$J36,Mkt!AT37),Inputs!$B$15*Mkt!AT37+(1-Inputs!$B$15)*MIN(Mkt!AT37,AS37*(1+Inputs!$B$18))),AS37)))</f>
        <v>1666.408675</v>
      </c>
      <c r="AU37" s="11" t="n">
        <f aca="false">IF(AU$1&lt;Units!$P36,0,IF(AND(Units!$K36=0,AU$1=Units!$O36),Units!$R36,IF(AND(AU$1&gt;=Units!$Q36,MOD(AU$1-Units!$Q36,12)=0),IF(AND(Units!$L36=1,AU$1=Units!$Q36),IF(Units!$J36&lt;&gt;"",Units!$J36,Mkt!AU37),Inputs!$B$15*Mkt!AU37+(1-Inputs!$B$15)*MIN(Mkt!AU37,AT37*(1+Inputs!$B$18))),AT37)))</f>
        <v>1666.408675</v>
      </c>
      <c r="AV37" s="11" t="n">
        <f aca="false">IF(AV$1&lt;Units!$P36,0,IF(AND(Units!$K36=0,AV$1=Units!$O36),Units!$R36,IF(AND(AV$1&gt;=Units!$Q36,MOD(AV$1-Units!$Q36,12)=0),IF(AND(Units!$L36=1,AV$1=Units!$Q36),IF(Units!$J36&lt;&gt;"",Units!$J36,Mkt!AV37),Inputs!$B$15*Mkt!AV37+(1-Inputs!$B$15)*MIN(Mkt!AV37,AU37*(1+Inputs!$B$18))),AU37)))</f>
        <v>1666.408675</v>
      </c>
      <c r="AW37" s="11" t="n">
        <f aca="false">IF(AW$1&lt;Units!$P36,0,IF(AND(Units!$K36=0,AW$1=Units!$O36),Units!$R36,IF(AND(AW$1&gt;=Units!$Q36,MOD(AW$1-Units!$Q36,12)=0),IF(AND(Units!$L36=1,AW$1=Units!$Q36),IF(Units!$J36&lt;&gt;"",Units!$J36,Mkt!AW37),Inputs!$B$15*Mkt!AW37+(1-Inputs!$B$15)*MIN(Mkt!AW37,AV37*(1+Inputs!$B$18))),AV37)))</f>
        <v>1666.408675</v>
      </c>
      <c r="AX37" s="11" t="n">
        <f aca="false">IF(AX$1&lt;Units!$P36,0,IF(AND(Units!$K36=0,AX$1=Units!$O36),Units!$R36,IF(AND(AX$1&gt;=Units!$Q36,MOD(AX$1-Units!$Q36,12)=0),IF(AND(Units!$L36=1,AX$1=Units!$Q36),IF(Units!$J36&lt;&gt;"",Units!$J36,Mkt!AX37),Inputs!$B$15*Mkt!AX37+(1-Inputs!$B$15)*MIN(Mkt!AX37,AW37*(1+Inputs!$B$18))),AW37)))</f>
        <v>1666.408675</v>
      </c>
      <c r="AY37" s="11" t="n">
        <f aca="false">IF(AY$1&lt;Units!$P36,0,IF(AND(Units!$K36=0,AY$1=Units!$O36),Units!$R36,IF(AND(AY$1&gt;=Units!$Q36,MOD(AY$1-Units!$Q36,12)=0),IF(AND(Units!$L36=1,AY$1=Units!$Q36),IF(Units!$J36&lt;&gt;"",Units!$J36,Mkt!AY37),Inputs!$B$15*Mkt!AY37+(1-Inputs!$B$15)*MIN(Mkt!AY37,AX37*(1+Inputs!$B$18))),AX37)))</f>
        <v>1716.40093525</v>
      </c>
      <c r="AZ37" s="11" t="n">
        <f aca="false">IF(AZ$1&lt;Units!$P36,0,IF(AND(Units!$K36=0,AZ$1=Units!$O36),Units!$R36,IF(AND(AZ$1&gt;=Units!$Q36,MOD(AZ$1-Units!$Q36,12)=0),IF(AND(Units!$L36=1,AZ$1=Units!$Q36),IF(Units!$J36&lt;&gt;"",Units!$J36,Mkt!AZ37),Inputs!$B$15*Mkt!AZ37+(1-Inputs!$B$15)*MIN(Mkt!AZ37,AY37*(1+Inputs!$B$18))),AY37)))</f>
        <v>1716.40093525</v>
      </c>
      <c r="BA37" s="11" t="n">
        <f aca="false">IF(BA$1&lt;Units!$P36,0,IF(AND(Units!$K36=0,BA$1=Units!$O36),Units!$R36,IF(AND(BA$1&gt;=Units!$Q36,MOD(BA$1-Units!$Q36,12)=0),IF(AND(Units!$L36=1,BA$1=Units!$Q36),IF(Units!$J36&lt;&gt;"",Units!$J36,Mkt!BA37),Inputs!$B$15*Mkt!BA37+(1-Inputs!$B$15)*MIN(Mkt!BA37,AZ37*(1+Inputs!$B$18))),AZ37)))</f>
        <v>1716.40093525</v>
      </c>
      <c r="BB37" s="11" t="n">
        <f aca="false">IF(BB$1&lt;Units!$P36,0,IF(AND(Units!$K36=0,BB$1=Units!$O36),Units!$R36,IF(AND(BB$1&gt;=Units!$Q36,MOD(BB$1-Units!$Q36,12)=0),IF(AND(Units!$L36=1,BB$1=Units!$Q36),IF(Units!$J36&lt;&gt;"",Units!$J36,Mkt!BB37),Inputs!$B$15*Mkt!BB37+(1-Inputs!$B$15)*MIN(Mkt!BB37,BA37*(1+Inputs!$B$18))),BA37)))</f>
        <v>1716.40093525</v>
      </c>
      <c r="BC37" s="11" t="n">
        <f aca="false">IF(BC$1&lt;Units!$P36,0,IF(AND(Units!$K36=0,BC$1=Units!$O36),Units!$R36,IF(AND(BC$1&gt;=Units!$Q36,MOD(BC$1-Units!$Q36,12)=0),IF(AND(Units!$L36=1,BC$1=Units!$Q36),IF(Units!$J36&lt;&gt;"",Units!$J36,Mkt!BC37),Inputs!$B$15*Mkt!BC37+(1-Inputs!$B$15)*MIN(Mkt!BC37,BB37*(1+Inputs!$B$18))),BB37)))</f>
        <v>1716.40093525</v>
      </c>
      <c r="BD37" s="11" t="n">
        <f aca="false">IF(BD$1&lt;Units!$P36,0,IF(AND(Units!$K36=0,BD$1=Units!$O36),Units!$R36,IF(AND(BD$1&gt;=Units!$Q36,MOD(BD$1-Units!$Q36,12)=0),IF(AND(Units!$L36=1,BD$1=Units!$Q36),IF(Units!$J36&lt;&gt;"",Units!$J36,Mkt!BD37),Inputs!$B$15*Mkt!BD37+(1-Inputs!$B$15)*MIN(Mkt!BD37,BC37*(1+Inputs!$B$18))),BC37)))</f>
        <v>1716.40093525</v>
      </c>
      <c r="BE37" s="11" t="n">
        <f aca="false">IF(BE$1&lt;Units!$P36,0,IF(AND(Units!$K36=0,BE$1=Units!$O36),Units!$R36,IF(AND(BE$1&gt;=Units!$Q36,MOD(BE$1-Units!$Q36,12)=0),IF(AND(Units!$L36=1,BE$1=Units!$Q36),IF(Units!$J36&lt;&gt;"",Units!$J36,Mkt!BE37),Inputs!$B$15*Mkt!BE37+(1-Inputs!$B$15)*MIN(Mkt!BE37,BD37*(1+Inputs!$B$18))),BD37)))</f>
        <v>1716.40093525</v>
      </c>
      <c r="BF37" s="11" t="n">
        <f aca="false">IF(BF$1&lt;Units!$P36,0,IF(AND(Units!$K36=0,BF$1=Units!$O36),Units!$R36,IF(AND(BF$1&gt;=Units!$Q36,MOD(BF$1-Units!$Q36,12)=0),IF(AND(Units!$L36=1,BF$1=Units!$Q36),IF(Units!$J36&lt;&gt;"",Units!$J36,Mkt!BF37),Inputs!$B$15*Mkt!BF37+(1-Inputs!$B$15)*MIN(Mkt!BF37,BE37*(1+Inputs!$B$18))),BE37)))</f>
        <v>1716.40093525</v>
      </c>
      <c r="BG37" s="11" t="n">
        <f aca="false">IF(BG$1&lt;Units!$P36,0,IF(AND(Units!$K36=0,BG$1=Units!$O36),Units!$R36,IF(AND(BG$1&gt;=Units!$Q36,MOD(BG$1-Units!$Q36,12)=0),IF(AND(Units!$L36=1,BG$1=Units!$Q36),IF(Units!$J36&lt;&gt;"",Units!$J36,Mkt!BG37),Inputs!$B$15*Mkt!BG37+(1-Inputs!$B$15)*MIN(Mkt!BG37,BF37*(1+Inputs!$B$18))),BF37)))</f>
        <v>1716.40093525</v>
      </c>
      <c r="BH37" s="11" t="n">
        <f aca="false">IF(BH$1&lt;Units!$P36,0,IF(AND(Units!$K36=0,BH$1=Units!$O36),Units!$R36,IF(AND(BH$1&gt;=Units!$Q36,MOD(BH$1-Units!$Q36,12)=0),IF(AND(Units!$L36=1,BH$1=Units!$Q36),IF(Units!$J36&lt;&gt;"",Units!$J36,Mkt!BH37),Inputs!$B$15*Mkt!BH37+(1-Inputs!$B$15)*MIN(Mkt!BH37,BG37*(1+Inputs!$B$18))),BG37)))</f>
        <v>1716.40093525</v>
      </c>
      <c r="BI37" s="11" t="n">
        <f aca="false">IF(BI$1&lt;Units!$P36,0,IF(AND(Units!$K36=0,BI$1=Units!$O36),Units!$R36,IF(AND(BI$1&gt;=Units!$Q36,MOD(BI$1-Units!$Q36,12)=0),IF(AND(Units!$L36=1,BI$1=Units!$Q36),IF(Units!$J36&lt;&gt;"",Units!$J36,Mkt!BI37),Inputs!$B$15*Mkt!BI37+(1-Inputs!$B$15)*MIN(Mkt!BI37,BH37*(1+Inputs!$B$18))),BH37)))</f>
        <v>1716.40093525</v>
      </c>
      <c r="BJ37" s="11" t="n">
        <f aca="false">IF(BJ$1&lt;Units!$P36,0,IF(AND(Units!$K36=0,BJ$1=Units!$O36),Units!$R36,IF(AND(BJ$1&gt;=Units!$Q36,MOD(BJ$1-Units!$Q36,12)=0),IF(AND(Units!$L36=1,BJ$1=Units!$Q36),IF(Units!$J36&lt;&gt;"",Units!$J36,Mkt!BJ37),Inputs!$B$15*Mkt!BJ37+(1-Inputs!$B$15)*MIN(Mkt!BJ37,BI37*(1+Inputs!$B$18))),BI37)))</f>
        <v>1716.40093525</v>
      </c>
      <c r="BK37" s="11" t="n">
        <f aca="false">IF(BK$1&lt;Units!$P36,0,IF(AND(Units!$K36=0,BK$1=Units!$O36),Units!$R36,IF(AND(BK$1&gt;=Units!$Q36,MOD(BK$1-Units!$Q36,12)=0),IF(AND(Units!$L36=1,BK$1=Units!$Q36),IF(Units!$J36&lt;&gt;"",Units!$J36,Mkt!BK37),Inputs!$B$15*Mkt!BK37+(1-Inputs!$B$15)*MIN(Mkt!BK37,BJ37*(1+Inputs!$B$18))),BJ37)))</f>
        <v>1767.8929633075</v>
      </c>
      <c r="BL37" s="11" t="n">
        <f aca="false">IF(BL$1&lt;Units!$P36,0,IF(AND(Units!$K36=0,BL$1=Units!$O36),Units!$R36,IF(AND(BL$1&gt;=Units!$Q36,MOD(BL$1-Units!$Q36,12)=0),IF(AND(Units!$L36=1,BL$1=Units!$Q36),IF(Units!$J36&lt;&gt;"",Units!$J36,Mkt!BL37),Inputs!$B$15*Mkt!BL37+(1-Inputs!$B$15)*MIN(Mkt!BL37,BK37*(1+Inputs!$B$18))),BK37)))</f>
        <v>1767.8929633075</v>
      </c>
      <c r="BM37" s="11" t="n">
        <f aca="false">IF(BM$1&lt;Units!$P36,0,IF(AND(Units!$K36=0,BM$1=Units!$O36),Units!$R36,IF(AND(BM$1&gt;=Units!$Q36,MOD(BM$1-Units!$Q36,12)=0),IF(AND(Units!$L36=1,BM$1=Units!$Q36),IF(Units!$J36&lt;&gt;"",Units!$J36,Mkt!BM37),Inputs!$B$15*Mkt!BM37+(1-Inputs!$B$15)*MIN(Mkt!BM37,BL37*(1+Inputs!$B$18))),BL37)))</f>
        <v>1767.8929633075</v>
      </c>
      <c r="BN37" s="11" t="n">
        <f aca="false">IF(BN$1&lt;Units!$P36,0,IF(AND(Units!$K36=0,BN$1=Units!$O36),Units!$R36,IF(AND(BN$1&gt;=Units!$Q36,MOD(BN$1-Units!$Q36,12)=0),IF(AND(Units!$L36=1,BN$1=Units!$Q36),IF(Units!$J36&lt;&gt;"",Units!$J36,Mkt!BN37),Inputs!$B$15*Mkt!BN37+(1-Inputs!$B$15)*MIN(Mkt!BN37,BM37*(1+Inputs!$B$18))),BM37)))</f>
        <v>1767.8929633075</v>
      </c>
      <c r="BO37" s="11" t="n">
        <f aca="false">IF(BO$1&lt;Units!$P36,0,IF(AND(Units!$K36=0,BO$1=Units!$O36),Units!$R36,IF(AND(BO$1&gt;=Units!$Q36,MOD(BO$1-Units!$Q36,12)=0),IF(AND(Units!$L36=1,BO$1=Units!$Q36),IF(Units!$J36&lt;&gt;"",Units!$J36,Mkt!BO37),Inputs!$B$15*Mkt!BO37+(1-Inputs!$B$15)*MIN(Mkt!BO37,BN37*(1+Inputs!$B$18))),BN37)))</f>
        <v>1767.8929633075</v>
      </c>
      <c r="BP37" s="11" t="n">
        <f aca="false">IF(BP$1&lt;Units!$P36,0,IF(AND(Units!$K36=0,BP$1=Units!$O36),Units!$R36,IF(AND(BP$1&gt;=Units!$Q36,MOD(BP$1-Units!$Q36,12)=0),IF(AND(Units!$L36=1,BP$1=Units!$Q36),IF(Units!$J36&lt;&gt;"",Units!$J36,Mkt!BP37),Inputs!$B$15*Mkt!BP37+(1-Inputs!$B$15)*MIN(Mkt!BP37,BO37*(1+Inputs!$B$18))),BO37)))</f>
        <v>1767.8929633075</v>
      </c>
      <c r="BQ37" s="11" t="n">
        <f aca="false">IF(BQ$1&lt;Units!$P36,0,IF(AND(Units!$K36=0,BQ$1=Units!$O36),Units!$R36,IF(AND(BQ$1&gt;=Units!$Q36,MOD(BQ$1-Units!$Q36,12)=0),IF(AND(Units!$L36=1,BQ$1=Units!$Q36),IF(Units!$J36&lt;&gt;"",Units!$J36,Mkt!BQ37),Inputs!$B$15*Mkt!BQ37+(1-Inputs!$B$15)*MIN(Mkt!BQ37,BP37*(1+Inputs!$B$18))),BP37)))</f>
        <v>1767.8929633075</v>
      </c>
      <c r="BR37" s="11" t="n">
        <f aca="false">IF(BR$1&lt;Units!$P36,0,IF(AND(Units!$K36=0,BR$1=Units!$O36),Units!$R36,IF(AND(BR$1&gt;=Units!$Q36,MOD(BR$1-Units!$Q36,12)=0),IF(AND(Units!$L36=1,BR$1=Units!$Q36),IF(Units!$J36&lt;&gt;"",Units!$J36,Mkt!BR37),Inputs!$B$15*Mkt!BR37+(1-Inputs!$B$15)*MIN(Mkt!BR37,BQ37*(1+Inputs!$B$18))),BQ37)))</f>
        <v>1767.8929633075</v>
      </c>
      <c r="BS37" s="11" t="n">
        <f aca="false">IF(BS$1&lt;Units!$P36,0,IF(AND(Units!$K36=0,BS$1=Units!$O36),Units!$R36,IF(AND(BS$1&gt;=Units!$Q36,MOD(BS$1-Units!$Q36,12)=0),IF(AND(Units!$L36=1,BS$1=Units!$Q36),IF(Units!$J36&lt;&gt;"",Units!$J36,Mkt!BS37),Inputs!$B$15*Mkt!BS37+(1-Inputs!$B$15)*MIN(Mkt!BS37,BR37*(1+Inputs!$B$18))),BR37)))</f>
        <v>1767.8929633075</v>
      </c>
      <c r="BT37" s="11" t="n">
        <f aca="false">IF(BT$1&lt;Units!$P36,0,IF(AND(Units!$K36=0,BT$1=Units!$O36),Units!$R36,IF(AND(BT$1&gt;=Units!$Q36,MOD(BT$1-Units!$Q36,12)=0),IF(AND(Units!$L36=1,BT$1=Units!$Q36),IF(Units!$J36&lt;&gt;"",Units!$J36,Mkt!BT37),Inputs!$B$15*Mkt!BT37+(1-Inputs!$B$15)*MIN(Mkt!BT37,BS37*(1+Inputs!$B$18))),BS37)))</f>
        <v>1767.8929633075</v>
      </c>
      <c r="BU37" s="11" t="n">
        <f aca="false">IF(BU$1&lt;Units!$P36,0,IF(AND(Units!$K36=0,BU$1=Units!$O36),Units!$R36,IF(AND(BU$1&gt;=Units!$Q36,MOD(BU$1-Units!$Q36,12)=0),IF(AND(Units!$L36=1,BU$1=Units!$Q36),IF(Units!$J36&lt;&gt;"",Units!$J36,Mkt!BU37),Inputs!$B$15*Mkt!BU37+(1-Inputs!$B$15)*MIN(Mkt!BU37,BT37*(1+Inputs!$B$18))),BT37)))</f>
        <v>1767.8929633075</v>
      </c>
      <c r="BV37" s="11" t="n">
        <f aca="false">IF(BV$1&lt;Units!$P36,0,IF(AND(Units!$K36=0,BV$1=Units!$O36),Units!$R36,IF(AND(BV$1&gt;=Units!$Q36,MOD(BV$1-Units!$Q36,12)=0),IF(AND(Units!$L36=1,BV$1=Units!$Q36),IF(Units!$J36&lt;&gt;"",Units!$J36,Mkt!BV37),Inputs!$B$15*Mkt!BV37+(1-Inputs!$B$15)*MIN(Mkt!BV37,BU37*(1+Inputs!$B$18))),BU37)))</f>
        <v>1767.8929633075</v>
      </c>
      <c r="BW37" s="11" t="n">
        <f aca="false">IF(BW$1&lt;Units!$P36,0,IF(AND(Units!$K36=0,BW$1=Units!$O36),Units!$R36,IF(AND(BW$1&gt;=Units!$Q36,MOD(BW$1-Units!$Q36,12)=0),IF(AND(Units!$L36=1,BW$1=Units!$Q36),IF(Units!$J36&lt;&gt;"",Units!$J36,Mkt!BW37),Inputs!$B$15*Mkt!BW37+(1-Inputs!$B$15)*MIN(Mkt!BW37,BV37*(1+Inputs!$B$18))),BV37)))</f>
        <v>1820.92975220673</v>
      </c>
      <c r="BX37" s="11" t="n">
        <f aca="false">IF(BX$1&lt;Units!$P36,0,IF(AND(Units!$K36=0,BX$1=Units!$O36),Units!$R36,IF(AND(BX$1&gt;=Units!$Q36,MOD(BX$1-Units!$Q36,12)=0),IF(AND(Units!$L36=1,BX$1=Units!$Q36),IF(Units!$J36&lt;&gt;"",Units!$J36,Mkt!BX37),Inputs!$B$15*Mkt!BX37+(1-Inputs!$B$15)*MIN(Mkt!BX37,BW37*(1+Inputs!$B$18))),BW37)))</f>
        <v>1820.92975220673</v>
      </c>
      <c r="BY37" s="11" t="n">
        <f aca="false">IF(BY$1&lt;Units!$P36,0,IF(AND(Units!$K36=0,BY$1=Units!$O36),Units!$R36,IF(AND(BY$1&gt;=Units!$Q36,MOD(BY$1-Units!$Q36,12)=0),IF(AND(Units!$L36=1,BY$1=Units!$Q36),IF(Units!$J36&lt;&gt;"",Units!$J36,Mkt!BY37),Inputs!$B$15*Mkt!BY37+(1-Inputs!$B$15)*MIN(Mkt!BY37,BX37*(1+Inputs!$B$18))),BX37)))</f>
        <v>1820.92975220673</v>
      </c>
      <c r="BZ37" s="11" t="n">
        <f aca="false">IF(BZ$1&lt;Units!$P36,0,IF(AND(Units!$K36=0,BZ$1=Units!$O36),Units!$R36,IF(AND(BZ$1&gt;=Units!$Q36,MOD(BZ$1-Units!$Q36,12)=0),IF(AND(Units!$L36=1,BZ$1=Units!$Q36),IF(Units!$J36&lt;&gt;"",Units!$J36,Mkt!BZ37),Inputs!$B$15*Mkt!BZ37+(1-Inputs!$B$15)*MIN(Mkt!BZ37,BY37*(1+Inputs!$B$18))),BY37)))</f>
        <v>1820.92975220673</v>
      </c>
      <c r="CA37" s="11" t="n">
        <f aca="false">IF(CA$1&lt;Units!$P36,0,IF(AND(Units!$K36=0,CA$1=Units!$O36),Units!$R36,IF(AND(CA$1&gt;=Units!$Q36,MOD(CA$1-Units!$Q36,12)=0),IF(AND(Units!$L36=1,CA$1=Units!$Q36),IF(Units!$J36&lt;&gt;"",Units!$J36,Mkt!CA37),Inputs!$B$15*Mkt!CA37+(1-Inputs!$B$15)*MIN(Mkt!CA37,BZ37*(1+Inputs!$B$18))),BZ37)))</f>
        <v>1820.92975220673</v>
      </c>
      <c r="CB37" s="11" t="n">
        <f aca="false">IF(CB$1&lt;Units!$P36,0,IF(AND(Units!$K36=0,CB$1=Units!$O36),Units!$R36,IF(AND(CB$1&gt;=Units!$Q36,MOD(CB$1-Units!$Q36,12)=0),IF(AND(Units!$L36=1,CB$1=Units!$Q36),IF(Units!$J36&lt;&gt;"",Units!$J36,Mkt!CB37),Inputs!$B$15*Mkt!CB37+(1-Inputs!$B$15)*MIN(Mkt!CB37,CA37*(1+Inputs!$B$18))),CA37)))</f>
        <v>1820.92975220673</v>
      </c>
      <c r="CC37" s="11" t="n">
        <f aca="false">IF(CC$1&lt;Units!$P36,0,IF(AND(Units!$K36=0,CC$1=Units!$O36),Units!$R36,IF(AND(CC$1&gt;=Units!$Q36,MOD(CC$1-Units!$Q36,12)=0),IF(AND(Units!$L36=1,CC$1=Units!$Q36),IF(Units!$J36&lt;&gt;"",Units!$J36,Mkt!CC37),Inputs!$B$15*Mkt!CC37+(1-Inputs!$B$15)*MIN(Mkt!CC37,CB37*(1+Inputs!$B$18))),CB37)))</f>
        <v>1820.92975220673</v>
      </c>
      <c r="CD37" s="11" t="n">
        <f aca="false">IF(CD$1&lt;Units!$P36,0,IF(AND(Units!$K36=0,CD$1=Units!$O36),Units!$R36,IF(AND(CD$1&gt;=Units!$Q36,MOD(CD$1-Units!$Q36,12)=0),IF(AND(Units!$L36=1,CD$1=Units!$Q36),IF(Units!$J36&lt;&gt;"",Units!$J36,Mkt!CD37),Inputs!$B$15*Mkt!CD37+(1-Inputs!$B$15)*MIN(Mkt!CD37,CC37*(1+Inputs!$B$18))),CC37)))</f>
        <v>1820.92975220673</v>
      </c>
      <c r="CE37" s="11" t="n">
        <f aca="false">IF(CE$1&lt;Units!$P36,0,IF(AND(Units!$K36=0,CE$1=Units!$O36),Units!$R36,IF(AND(CE$1&gt;=Units!$Q36,MOD(CE$1-Units!$Q36,12)=0),IF(AND(Units!$L36=1,CE$1=Units!$Q36),IF(Units!$J36&lt;&gt;"",Units!$J36,Mkt!CE37),Inputs!$B$15*Mkt!CE37+(1-Inputs!$B$15)*MIN(Mkt!CE37,CD37*(1+Inputs!$B$18))),CD37)))</f>
        <v>1820.92975220673</v>
      </c>
      <c r="CF37" s="11" t="n">
        <f aca="false">IF(CF$1&lt;Units!$P36,0,IF(AND(Units!$K36=0,CF$1=Units!$O36),Units!$R36,IF(AND(CF$1&gt;=Units!$Q36,MOD(CF$1-Units!$Q36,12)=0),IF(AND(Units!$L36=1,CF$1=Units!$Q36),IF(Units!$J36&lt;&gt;"",Units!$J36,Mkt!CF37),Inputs!$B$15*Mkt!CF37+(1-Inputs!$B$15)*MIN(Mkt!CF37,CE37*(1+Inputs!$B$18))),CE37)))</f>
        <v>1820.92975220673</v>
      </c>
      <c r="CG37" s="11" t="n">
        <f aca="false">IF(CG$1&lt;Units!$P36,0,IF(AND(Units!$K36=0,CG$1=Units!$O36),Units!$R36,IF(AND(CG$1&gt;=Units!$Q36,MOD(CG$1-Units!$Q36,12)=0),IF(AND(Units!$L36=1,CG$1=Units!$Q36),IF(Units!$J36&lt;&gt;"",Units!$J36,Mkt!CG37),Inputs!$B$15*Mkt!CG37+(1-Inputs!$B$15)*MIN(Mkt!CG37,CF37*(1+Inputs!$B$18))),CF37)))</f>
        <v>1820.92975220673</v>
      </c>
      <c r="CH37" s="11" t="n">
        <f aca="false">IF(CH$1&lt;Units!$P36,0,IF(AND(Units!$K36=0,CH$1=Units!$O36),Units!$R36,IF(AND(CH$1&gt;=Units!$Q36,MOD(CH$1-Units!$Q36,12)=0),IF(AND(Units!$L36=1,CH$1=Units!$Q36),IF(Units!$J36&lt;&gt;"",Units!$J36,Mkt!CH37),Inputs!$B$15*Mkt!CH37+(1-Inputs!$B$15)*MIN(Mkt!CH37,CG37*(1+Inputs!$B$18))),CG37)))</f>
        <v>1820.92975220673</v>
      </c>
      <c r="CI37" s="11" t="n">
        <f aca="false">IF(CI$1&lt;Units!$P36,0,IF(AND(Units!$K36=0,CI$1=Units!$O36),Units!$R36,IF(AND(CI$1&gt;=Units!$Q36,MOD(CI$1-Units!$Q36,12)=0),IF(AND(Units!$L36=1,CI$1=Units!$Q36),IF(Units!$J36&lt;&gt;"",Units!$J36,Mkt!CI37),Inputs!$B$15*Mkt!CI37+(1-Inputs!$B$15)*MIN(Mkt!CI37,CH37*(1+Inputs!$B$18))),CH37)))</f>
        <v>1875.55764477293</v>
      </c>
      <c r="CJ37" s="11" t="n">
        <f aca="false">IF(CJ$1&lt;Units!$P36,0,IF(AND(Units!$K36=0,CJ$1=Units!$O36),Units!$R36,IF(AND(CJ$1&gt;=Units!$Q36,MOD(CJ$1-Units!$Q36,12)=0),IF(AND(Units!$L36=1,CJ$1=Units!$Q36),IF(Units!$J36&lt;&gt;"",Units!$J36,Mkt!CJ37),Inputs!$B$15*Mkt!CJ37+(1-Inputs!$B$15)*MIN(Mkt!CJ37,CI37*(1+Inputs!$B$18))),CI37)))</f>
        <v>1875.55764477293</v>
      </c>
      <c r="CK37" s="11" t="n">
        <f aca="false">IF(CK$1&lt;Units!$P36,0,IF(AND(Units!$K36=0,CK$1=Units!$O36),Units!$R36,IF(AND(CK$1&gt;=Units!$Q36,MOD(CK$1-Units!$Q36,12)=0),IF(AND(Units!$L36=1,CK$1=Units!$Q36),IF(Units!$J36&lt;&gt;"",Units!$J36,Mkt!CK37),Inputs!$B$15*Mkt!CK37+(1-Inputs!$B$15)*MIN(Mkt!CK37,CJ37*(1+Inputs!$B$18))),CJ37)))</f>
        <v>1875.55764477293</v>
      </c>
      <c r="CL37" s="11" t="n">
        <f aca="false">IF(CL$1&lt;Units!$P36,0,IF(AND(Units!$K36=0,CL$1=Units!$O36),Units!$R36,IF(AND(CL$1&gt;=Units!$Q36,MOD(CL$1-Units!$Q36,12)=0),IF(AND(Units!$L36=1,CL$1=Units!$Q36),IF(Units!$J36&lt;&gt;"",Units!$J36,Mkt!CL37),Inputs!$B$15*Mkt!CL37+(1-Inputs!$B$15)*MIN(Mkt!CL37,CK37*(1+Inputs!$B$18))),CK37)))</f>
        <v>1875.55764477293</v>
      </c>
      <c r="CM37" s="11" t="n">
        <f aca="false">IF(CM$1&lt;Units!$P36,0,IF(AND(Units!$K36=0,CM$1=Units!$O36),Units!$R36,IF(AND(CM$1&gt;=Units!$Q36,MOD(CM$1-Units!$Q36,12)=0),IF(AND(Units!$L36=1,CM$1=Units!$Q36),IF(Units!$J36&lt;&gt;"",Units!$J36,Mkt!CM37),Inputs!$B$15*Mkt!CM37+(1-Inputs!$B$15)*MIN(Mkt!CM37,CL37*(1+Inputs!$B$18))),CL37)))</f>
        <v>1875.55764477293</v>
      </c>
      <c r="CN37" s="11" t="n">
        <f aca="false">IF(CN$1&lt;Units!$P36,0,IF(AND(Units!$K36=0,CN$1=Units!$O36),Units!$R36,IF(AND(CN$1&gt;=Units!$Q36,MOD(CN$1-Units!$Q36,12)=0),IF(AND(Units!$L36=1,CN$1=Units!$Q36),IF(Units!$J36&lt;&gt;"",Units!$J36,Mkt!CN37),Inputs!$B$15*Mkt!CN37+(1-Inputs!$B$15)*MIN(Mkt!CN37,CM37*(1+Inputs!$B$18))),CM37)))</f>
        <v>1875.55764477293</v>
      </c>
      <c r="CO37" s="11" t="n">
        <f aca="false">IF(CO$1&lt;Units!$P36,0,IF(AND(Units!$K36=0,CO$1=Units!$O36),Units!$R36,IF(AND(CO$1&gt;=Units!$Q36,MOD(CO$1-Units!$Q36,12)=0),IF(AND(Units!$L36=1,CO$1=Units!$Q36),IF(Units!$J36&lt;&gt;"",Units!$J36,Mkt!CO37),Inputs!$B$15*Mkt!CO37+(1-Inputs!$B$15)*MIN(Mkt!CO37,CN37*(1+Inputs!$B$18))),CN37)))</f>
        <v>1875.55764477293</v>
      </c>
      <c r="CP37" s="11" t="n">
        <f aca="false">IF(CP$1&lt;Units!$P36,0,IF(AND(Units!$K36=0,CP$1=Units!$O36),Units!$R36,IF(AND(CP$1&gt;=Units!$Q36,MOD(CP$1-Units!$Q36,12)=0),IF(AND(Units!$L36=1,CP$1=Units!$Q36),IF(Units!$J36&lt;&gt;"",Units!$J36,Mkt!CP37),Inputs!$B$15*Mkt!CP37+(1-Inputs!$B$15)*MIN(Mkt!CP37,CO37*(1+Inputs!$B$18))),CO37)))</f>
        <v>1875.55764477293</v>
      </c>
      <c r="CQ37" s="11" t="n">
        <f aca="false">IF(CQ$1&lt;Units!$P36,0,IF(AND(Units!$K36=0,CQ$1=Units!$O36),Units!$R36,IF(AND(CQ$1&gt;=Units!$Q36,MOD(CQ$1-Units!$Q36,12)=0),IF(AND(Units!$L36=1,CQ$1=Units!$Q36),IF(Units!$J36&lt;&gt;"",Units!$J36,Mkt!CQ37),Inputs!$B$15*Mkt!CQ37+(1-Inputs!$B$15)*MIN(Mkt!CQ37,CP37*(1+Inputs!$B$18))),CP37)))</f>
        <v>1875.55764477293</v>
      </c>
      <c r="CR37" s="11" t="n">
        <f aca="false">IF(CR$1&lt;Units!$P36,0,IF(AND(Units!$K36=0,CR$1=Units!$O36),Units!$R36,IF(AND(CR$1&gt;=Units!$Q36,MOD(CR$1-Units!$Q36,12)=0),IF(AND(Units!$L36=1,CR$1=Units!$Q36),IF(Units!$J36&lt;&gt;"",Units!$J36,Mkt!CR37),Inputs!$B$15*Mkt!CR37+(1-Inputs!$B$15)*MIN(Mkt!CR37,CQ37*(1+Inputs!$B$18))),CQ37)))</f>
        <v>1875.55764477293</v>
      </c>
      <c r="CS37" s="11" t="n">
        <f aca="false">IF(CS$1&lt;Units!$P36,0,IF(AND(Units!$K36=0,CS$1=Units!$O36),Units!$R36,IF(AND(CS$1&gt;=Units!$Q36,MOD(CS$1-Units!$Q36,12)=0),IF(AND(Units!$L36=1,CS$1=Units!$Q36),IF(Units!$J36&lt;&gt;"",Units!$J36,Mkt!CS37),Inputs!$B$15*Mkt!CS37+(1-Inputs!$B$15)*MIN(Mkt!CS37,CR37*(1+Inputs!$B$18))),CR37)))</f>
        <v>1875.55764477293</v>
      </c>
      <c r="CT37" s="11" t="n">
        <f aca="false">IF(CT$1&lt;Units!$P36,0,IF(AND(Units!$K36=0,CT$1=Units!$O36),Units!$R36,IF(AND(CT$1&gt;=Units!$Q36,MOD(CT$1-Units!$Q36,12)=0),IF(AND(Units!$L36=1,CT$1=Units!$Q36),IF(Units!$J36&lt;&gt;"",Units!$J36,Mkt!CT37),Inputs!$B$15*Mkt!CT37+(1-Inputs!$B$15)*MIN(Mkt!CT37,CS37*(1+Inputs!$B$18))),CS37)))</f>
        <v>1875.55764477293</v>
      </c>
      <c r="CU37" s="11" t="n">
        <f aca="false">IF(CU$1&lt;Units!$P36,0,IF(AND(Units!$K36=0,CU$1=Units!$O36),Units!$R36,IF(AND(CU$1&gt;=Units!$Q36,MOD(CU$1-Units!$Q36,12)=0),IF(AND(Units!$L36=1,CU$1=Units!$Q36),IF(Units!$J36&lt;&gt;"",Units!$J36,Mkt!CU37),Inputs!$B$15*Mkt!CU37+(1-Inputs!$B$15)*MIN(Mkt!CU37,CT37*(1+Inputs!$B$18))),CT37)))</f>
        <v>1931.82437411612</v>
      </c>
      <c r="CV37" s="11" t="n">
        <f aca="false">IF(CV$1&lt;Units!$P36,0,IF(AND(Units!$K36=0,CV$1=Units!$O36),Units!$R36,IF(AND(CV$1&gt;=Units!$Q36,MOD(CV$1-Units!$Q36,12)=0),IF(AND(Units!$L36=1,CV$1=Units!$Q36),IF(Units!$J36&lt;&gt;"",Units!$J36,Mkt!CV37),Inputs!$B$15*Mkt!CV37+(1-Inputs!$B$15)*MIN(Mkt!CV37,CU37*(1+Inputs!$B$18))),CU37)))</f>
        <v>1931.82437411612</v>
      </c>
      <c r="CW37" s="11" t="n">
        <f aca="false">IF(CW$1&lt;Units!$P36,0,IF(AND(Units!$K36=0,CW$1=Units!$O36),Units!$R36,IF(AND(CW$1&gt;=Units!$Q36,MOD(CW$1-Units!$Q36,12)=0),IF(AND(Units!$L36=1,CW$1=Units!$Q36),IF(Units!$J36&lt;&gt;"",Units!$J36,Mkt!CW37),Inputs!$B$15*Mkt!CW37+(1-Inputs!$B$15)*MIN(Mkt!CW37,CV37*(1+Inputs!$B$18))),CV37)))</f>
        <v>1931.82437411612</v>
      </c>
      <c r="CX37" s="11" t="n">
        <f aca="false">IF(CX$1&lt;Units!$P36,0,IF(AND(Units!$K36=0,CX$1=Units!$O36),Units!$R36,IF(AND(CX$1&gt;=Units!$Q36,MOD(CX$1-Units!$Q36,12)=0),IF(AND(Units!$L36=1,CX$1=Units!$Q36),IF(Units!$J36&lt;&gt;"",Units!$J36,Mkt!CX37),Inputs!$B$15*Mkt!CX37+(1-Inputs!$B$15)*MIN(Mkt!CX37,CW37*(1+Inputs!$B$18))),CW37)))</f>
        <v>1931.82437411612</v>
      </c>
      <c r="CY37" s="11" t="n">
        <f aca="false">IF(CY$1&lt;Units!$P36,0,IF(AND(Units!$K36=0,CY$1=Units!$O36),Units!$R36,IF(AND(CY$1&gt;=Units!$Q36,MOD(CY$1-Units!$Q36,12)=0),IF(AND(Units!$L36=1,CY$1=Units!$Q36),IF(Units!$J36&lt;&gt;"",Units!$J36,Mkt!CY37),Inputs!$B$15*Mkt!CY37+(1-Inputs!$B$15)*MIN(Mkt!CY37,CX37*(1+Inputs!$B$18))),CX37)))</f>
        <v>1931.82437411612</v>
      </c>
      <c r="CZ37" s="11" t="n">
        <f aca="false">IF(CZ$1&lt;Units!$P36,0,IF(AND(Units!$K36=0,CZ$1=Units!$O36),Units!$R36,IF(AND(CZ$1&gt;=Units!$Q36,MOD(CZ$1-Units!$Q36,12)=0),IF(AND(Units!$L36=1,CZ$1=Units!$Q36),IF(Units!$J36&lt;&gt;"",Units!$J36,Mkt!CZ37),Inputs!$B$15*Mkt!CZ37+(1-Inputs!$B$15)*MIN(Mkt!CZ37,CY37*(1+Inputs!$B$18))),CY37)))</f>
        <v>1931.82437411612</v>
      </c>
      <c r="DA37" s="11" t="n">
        <f aca="false">IF(DA$1&lt;Units!$P36,0,IF(AND(Units!$K36=0,DA$1=Units!$O36),Units!$R36,IF(AND(DA$1&gt;=Units!$Q36,MOD(DA$1-Units!$Q36,12)=0),IF(AND(Units!$L36=1,DA$1=Units!$Q36),IF(Units!$J36&lt;&gt;"",Units!$J36,Mkt!DA37),Inputs!$B$15*Mkt!DA37+(1-Inputs!$B$15)*MIN(Mkt!DA37,CZ37*(1+Inputs!$B$18))),CZ37)))</f>
        <v>1931.82437411612</v>
      </c>
      <c r="DB37" s="11" t="n">
        <f aca="false">IF(DB$1&lt;Units!$P36,0,IF(AND(Units!$K36=0,DB$1=Units!$O36),Units!$R36,IF(AND(DB$1&gt;=Units!$Q36,MOD(DB$1-Units!$Q36,12)=0),IF(AND(Units!$L36=1,DB$1=Units!$Q36),IF(Units!$J36&lt;&gt;"",Units!$J36,Mkt!DB37),Inputs!$B$15*Mkt!DB37+(1-Inputs!$B$15)*MIN(Mkt!DB37,DA37*(1+Inputs!$B$18))),DA37)))</f>
        <v>1931.82437411612</v>
      </c>
      <c r="DC37" s="11" t="n">
        <f aca="false">IF(DC$1&lt;Units!$P36,0,IF(AND(Units!$K36=0,DC$1=Units!$O36),Units!$R36,IF(AND(DC$1&gt;=Units!$Q36,MOD(DC$1-Units!$Q36,12)=0),IF(AND(Units!$L36=1,DC$1=Units!$Q36),IF(Units!$J36&lt;&gt;"",Units!$J36,Mkt!DC37),Inputs!$B$15*Mkt!DC37+(1-Inputs!$B$15)*MIN(Mkt!DC37,DB37*(1+Inputs!$B$18))),DB37)))</f>
        <v>1931.82437411612</v>
      </c>
      <c r="DD37" s="11" t="n">
        <f aca="false">IF(DD$1&lt;Units!$P36,0,IF(AND(Units!$K36=0,DD$1=Units!$O36),Units!$R36,IF(AND(DD$1&gt;=Units!$Q36,MOD(DD$1-Units!$Q36,12)=0),IF(AND(Units!$L36=1,DD$1=Units!$Q36),IF(Units!$J36&lt;&gt;"",Units!$J36,Mkt!DD37),Inputs!$B$15*Mkt!DD37+(1-Inputs!$B$15)*MIN(Mkt!DD37,DC37*(1+Inputs!$B$18))),DC37)))</f>
        <v>1931.82437411612</v>
      </c>
      <c r="DE37" s="11" t="n">
        <f aca="false">IF(DE$1&lt;Units!$P36,0,IF(AND(Units!$K36=0,DE$1=Units!$O36),Units!$R36,IF(AND(DE$1&gt;=Units!$Q36,MOD(DE$1-Units!$Q36,12)=0),IF(AND(Units!$L36=1,DE$1=Units!$Q36),IF(Units!$J36&lt;&gt;"",Units!$J36,Mkt!DE37),Inputs!$B$15*Mkt!DE37+(1-Inputs!$B$15)*MIN(Mkt!DE37,DD37*(1+Inputs!$B$18))),DD37)))</f>
        <v>1931.82437411612</v>
      </c>
      <c r="DF37" s="11" t="n">
        <f aca="false">IF(DF$1&lt;Units!$P36,0,IF(AND(Units!$K36=0,DF$1=Units!$O36),Units!$R36,IF(AND(DF$1&gt;=Units!$Q36,MOD(DF$1-Units!$Q36,12)=0),IF(AND(Units!$L36=1,DF$1=Units!$Q36),IF(Units!$J36&lt;&gt;"",Units!$J36,Mkt!DF37),Inputs!$B$15*Mkt!DF37+(1-Inputs!$B$15)*MIN(Mkt!DF37,DE37*(1+Inputs!$B$18))),DE37)))</f>
        <v>1931.82437411612</v>
      </c>
      <c r="DG37" s="11" t="n">
        <f aca="false">IF(DG$1&lt;Units!$P36,0,IF(AND(Units!$K36=0,DG$1=Units!$O36),Units!$R36,IF(AND(DG$1&gt;=Units!$Q36,MOD(DG$1-Units!$Q36,12)=0),IF(AND(Units!$L36=1,DG$1=Units!$Q36),IF(Units!$J36&lt;&gt;"",Units!$J36,Mkt!DG37),Inputs!$B$15*Mkt!DG37+(1-Inputs!$B$15)*MIN(Mkt!DG37,DF37*(1+Inputs!$B$18))),DF37)))</f>
        <v>1989.7791053396</v>
      </c>
      <c r="DH37" s="11" t="n">
        <f aca="false">IF(DH$1&lt;Units!$P36,0,IF(AND(Units!$K36=0,DH$1=Units!$O36),Units!$R36,IF(AND(DH$1&gt;=Units!$Q36,MOD(DH$1-Units!$Q36,12)=0),IF(AND(Units!$L36=1,DH$1=Units!$Q36),IF(Units!$J36&lt;&gt;"",Units!$J36,Mkt!DH37),Inputs!$B$15*Mkt!DH37+(1-Inputs!$B$15)*MIN(Mkt!DH37,DG37*(1+Inputs!$B$18))),DG37)))</f>
        <v>1989.7791053396</v>
      </c>
      <c r="DI37" s="11" t="n">
        <f aca="false">IF(DI$1&lt;Units!$P36,0,IF(AND(Units!$K36=0,DI$1=Units!$O36),Units!$R36,IF(AND(DI$1&gt;=Units!$Q36,MOD(DI$1-Units!$Q36,12)=0),IF(AND(Units!$L36=1,DI$1=Units!$Q36),IF(Units!$J36&lt;&gt;"",Units!$J36,Mkt!DI37),Inputs!$B$15*Mkt!DI37+(1-Inputs!$B$15)*MIN(Mkt!DI37,DH37*(1+Inputs!$B$18))),DH37)))</f>
        <v>1989.7791053396</v>
      </c>
      <c r="DJ37" s="11" t="n">
        <f aca="false">IF(DJ$1&lt;Units!$P36,0,IF(AND(Units!$K36=0,DJ$1=Units!$O36),Units!$R36,IF(AND(DJ$1&gt;=Units!$Q36,MOD(DJ$1-Units!$Q36,12)=0),IF(AND(Units!$L36=1,DJ$1=Units!$Q36),IF(Units!$J36&lt;&gt;"",Units!$J36,Mkt!DJ37),Inputs!$B$15*Mkt!DJ37+(1-Inputs!$B$15)*MIN(Mkt!DJ37,DI37*(1+Inputs!$B$18))),DI37)))</f>
        <v>1989.7791053396</v>
      </c>
      <c r="DK37" s="11" t="n">
        <f aca="false">IF(DK$1&lt;Units!$P36,0,IF(AND(Units!$K36=0,DK$1=Units!$O36),Units!$R36,IF(AND(DK$1&gt;=Units!$Q36,MOD(DK$1-Units!$Q36,12)=0),IF(AND(Units!$L36=1,DK$1=Units!$Q36),IF(Units!$J36&lt;&gt;"",Units!$J36,Mkt!DK37),Inputs!$B$15*Mkt!DK37+(1-Inputs!$B$15)*MIN(Mkt!DK37,DJ37*(1+Inputs!$B$18))),DJ37)))</f>
        <v>1989.7791053396</v>
      </c>
      <c r="DL37" s="11" t="n">
        <f aca="false">IF(DL$1&lt;Units!$P36,0,IF(AND(Units!$K36=0,DL$1=Units!$O36),Units!$R36,IF(AND(DL$1&gt;=Units!$Q36,MOD(DL$1-Units!$Q36,12)=0),IF(AND(Units!$L36=1,DL$1=Units!$Q36),IF(Units!$J36&lt;&gt;"",Units!$J36,Mkt!DL37),Inputs!$B$15*Mkt!DL37+(1-Inputs!$B$15)*MIN(Mkt!DL37,DK37*(1+Inputs!$B$18))),DK37)))</f>
        <v>1989.7791053396</v>
      </c>
      <c r="DM37" s="11" t="n">
        <f aca="false">IF(DM$1&lt;Units!$P36,0,IF(AND(Units!$K36=0,DM$1=Units!$O36),Units!$R36,IF(AND(DM$1&gt;=Units!$Q36,MOD(DM$1-Units!$Q36,12)=0),IF(AND(Units!$L36=1,DM$1=Units!$Q36),IF(Units!$J36&lt;&gt;"",Units!$J36,Mkt!DM37),Inputs!$B$15*Mkt!DM37+(1-Inputs!$B$15)*MIN(Mkt!DM37,DL37*(1+Inputs!$B$18))),DL37)))</f>
        <v>1989.7791053396</v>
      </c>
      <c r="DN37" s="11" t="n">
        <f aca="false">IF(DN$1&lt;Units!$P36,0,IF(AND(Units!$K36=0,DN$1=Units!$O36),Units!$R36,IF(AND(DN$1&gt;=Units!$Q36,MOD(DN$1-Units!$Q36,12)=0),IF(AND(Units!$L36=1,DN$1=Units!$Q36),IF(Units!$J36&lt;&gt;"",Units!$J36,Mkt!DN37),Inputs!$B$15*Mkt!DN37+(1-Inputs!$B$15)*MIN(Mkt!DN37,DM37*(1+Inputs!$B$18))),DM37)))</f>
        <v>1989.7791053396</v>
      </c>
      <c r="DO37" s="11" t="n">
        <f aca="false">IF(DO$1&lt;Units!$P36,0,IF(AND(Units!$K36=0,DO$1=Units!$O36),Units!$R36,IF(AND(DO$1&gt;=Units!$Q36,MOD(DO$1-Units!$Q36,12)=0),IF(AND(Units!$L36=1,DO$1=Units!$Q36),IF(Units!$J36&lt;&gt;"",Units!$J36,Mkt!DO37),Inputs!$B$15*Mkt!DO37+(1-Inputs!$B$15)*MIN(Mkt!DO37,DN37*(1+Inputs!$B$18))),DN37)))</f>
        <v>1989.7791053396</v>
      </c>
      <c r="DP37" s="11" t="n">
        <f aca="false">IF(DP$1&lt;Units!$P36,0,IF(AND(Units!$K36=0,DP$1=Units!$O36),Units!$R36,IF(AND(DP$1&gt;=Units!$Q36,MOD(DP$1-Units!$Q36,12)=0),IF(AND(Units!$L36=1,DP$1=Units!$Q36),IF(Units!$J36&lt;&gt;"",Units!$J36,Mkt!DP37),Inputs!$B$15*Mkt!DP37+(1-Inputs!$B$15)*MIN(Mkt!DP37,DO37*(1+Inputs!$B$18))),DO37)))</f>
        <v>1989.7791053396</v>
      </c>
      <c r="DQ37" s="11" t="n">
        <f aca="false">IF(DQ$1&lt;Units!$P36,0,IF(AND(Units!$K36=0,DQ$1=Units!$O36),Units!$R36,IF(AND(DQ$1&gt;=Units!$Q36,MOD(DQ$1-Units!$Q36,12)=0),IF(AND(Units!$L36=1,DQ$1=Units!$Q36),IF(Units!$J36&lt;&gt;"",Units!$J36,Mkt!DQ37),Inputs!$B$15*Mkt!DQ37+(1-Inputs!$B$15)*MIN(Mkt!DQ37,DP37*(1+Inputs!$B$18))),DP37)))</f>
        <v>1989.7791053396</v>
      </c>
      <c r="DR37" s="11" t="n">
        <f aca="false">IF(DR$1&lt;Units!$P36,0,IF(AND(Units!$K36=0,DR$1=Units!$O36),Units!$R36,IF(AND(DR$1&gt;=Units!$Q36,MOD(DR$1-Units!$Q36,12)=0),IF(AND(Units!$L36=1,DR$1=Units!$Q36),IF(Units!$J36&lt;&gt;"",Units!$J36,Mkt!DR37),Inputs!$B$15*Mkt!DR37+(1-Inputs!$B$15)*MIN(Mkt!DR37,DQ37*(1+Inputs!$B$18))),DQ37)))</f>
        <v>1989.7791053396</v>
      </c>
      <c r="DS37" s="11" t="n">
        <f aca="false">IF(DS$1&lt;Units!$P36,0,IF(AND(Units!$K36=0,DS$1=Units!$O36),Units!$R36,IF(AND(DS$1&gt;=Units!$Q36,MOD(DS$1-Units!$Q36,12)=0),IF(AND(Units!$L36=1,DS$1=Units!$Q36),IF(Units!$J36&lt;&gt;"",Units!$J36,Mkt!DS37),Inputs!$B$15*Mkt!DS37+(1-Inputs!$B$15)*MIN(Mkt!DS37,DR37*(1+Inputs!$B$18))),DR37)))</f>
        <v>2049.47247849979</v>
      </c>
      <c r="DT37" s="11" t="n">
        <f aca="false">IF(DT$1&lt;Units!$P36,0,IF(AND(Units!$K36=0,DT$1=Units!$O36),Units!$R36,IF(AND(DT$1&gt;=Units!$Q36,MOD(DT$1-Units!$Q36,12)=0),IF(AND(Units!$L36=1,DT$1=Units!$Q36),IF(Units!$J36&lt;&gt;"",Units!$J36,Mkt!DT37),Inputs!$B$15*Mkt!DT37+(1-Inputs!$B$15)*MIN(Mkt!DT37,DS37*(1+Inputs!$B$18))),DS37)))</f>
        <v>2049.47247849979</v>
      </c>
      <c r="DU37" s="11" t="n">
        <f aca="false">IF(DU$1&lt;Units!$P36,0,IF(AND(Units!$K36=0,DU$1=Units!$O36),Units!$R36,IF(AND(DU$1&gt;=Units!$Q36,MOD(DU$1-Units!$Q36,12)=0),IF(AND(Units!$L36=1,DU$1=Units!$Q36),IF(Units!$J36&lt;&gt;"",Units!$J36,Mkt!DU37),Inputs!$B$15*Mkt!DU37+(1-Inputs!$B$15)*MIN(Mkt!DU37,DT37*(1+Inputs!$B$18))),DT37)))</f>
        <v>2049.47247849979</v>
      </c>
      <c r="DV37" s="11" t="n">
        <f aca="false">IF(DV$1&lt;Units!$P36,0,IF(AND(Units!$K36=0,DV$1=Units!$O36),Units!$R36,IF(AND(DV$1&gt;=Units!$Q36,MOD(DV$1-Units!$Q36,12)=0),IF(AND(Units!$L36=1,DV$1=Units!$Q36),IF(Units!$J36&lt;&gt;"",Units!$J36,Mkt!DV37),Inputs!$B$15*Mkt!DV37+(1-Inputs!$B$15)*MIN(Mkt!DV37,DU37*(1+Inputs!$B$18))),DU37)))</f>
        <v>2049.47247849979</v>
      </c>
      <c r="DW37" s="11" t="n">
        <f aca="false">IF(DW$1&lt;Units!$P36,0,IF(AND(Units!$K36=0,DW$1=Units!$O36),Units!$R36,IF(AND(DW$1&gt;=Units!$Q36,MOD(DW$1-Units!$Q36,12)=0),IF(AND(Units!$L36=1,DW$1=Units!$Q36),IF(Units!$J36&lt;&gt;"",Units!$J36,Mkt!DW37),Inputs!$B$15*Mkt!DW37+(1-Inputs!$B$15)*MIN(Mkt!DW37,DV37*(1+Inputs!$B$18))),DV37)))</f>
        <v>2049.47247849979</v>
      </c>
      <c r="DX37" s="11" t="n">
        <f aca="false">IF(DX$1&lt;Units!$P36,0,IF(AND(Units!$K36=0,DX$1=Units!$O36),Units!$R36,IF(AND(DX$1&gt;=Units!$Q36,MOD(DX$1-Units!$Q36,12)=0),IF(AND(Units!$L36=1,DX$1=Units!$Q36),IF(Units!$J36&lt;&gt;"",Units!$J36,Mkt!DX37),Inputs!$B$15*Mkt!DX37+(1-Inputs!$B$15)*MIN(Mkt!DX37,DW37*(1+Inputs!$B$18))),DW37)))</f>
        <v>2049.47247849979</v>
      </c>
      <c r="DY37" s="11" t="n">
        <f aca="false">IF(DY$1&lt;Units!$P36,0,IF(AND(Units!$K36=0,DY$1=Units!$O36),Units!$R36,IF(AND(DY$1&gt;=Units!$Q36,MOD(DY$1-Units!$Q36,12)=0),IF(AND(Units!$L36=1,DY$1=Units!$Q36),IF(Units!$J36&lt;&gt;"",Units!$J36,Mkt!DY37),Inputs!$B$15*Mkt!DY37+(1-Inputs!$B$15)*MIN(Mkt!DY37,DX37*(1+Inputs!$B$18))),DX37)))</f>
        <v>2049.47247849979</v>
      </c>
      <c r="DZ37" s="11" t="n">
        <f aca="false">IF(DZ$1&lt;Units!$P36,0,IF(AND(Units!$K36=0,DZ$1=Units!$O36),Units!$R36,IF(AND(DZ$1&gt;=Units!$Q36,MOD(DZ$1-Units!$Q36,12)=0),IF(AND(Units!$L36=1,DZ$1=Units!$Q36),IF(Units!$J36&lt;&gt;"",Units!$J36,Mkt!DZ37),Inputs!$B$15*Mkt!DZ37+(1-Inputs!$B$15)*MIN(Mkt!DZ37,DY37*(1+Inputs!$B$18))),DY37)))</f>
        <v>2049.47247849979</v>
      </c>
      <c r="EA37" s="11" t="n">
        <f aca="false">IF(EA$1&lt;Units!$P36,0,IF(AND(Units!$K36=0,EA$1=Units!$O36),Units!$R36,IF(AND(EA$1&gt;=Units!$Q36,MOD(EA$1-Units!$Q36,12)=0),IF(AND(Units!$L36=1,EA$1=Units!$Q36),IF(Units!$J36&lt;&gt;"",Units!$J36,Mkt!EA37),Inputs!$B$15*Mkt!EA37+(1-Inputs!$B$15)*MIN(Mkt!EA37,DZ37*(1+Inputs!$B$18))),DZ37)))</f>
        <v>2049.47247849979</v>
      </c>
      <c r="EB37" s="11" t="n">
        <f aca="false">IF(EB$1&lt;Units!$P36,0,IF(AND(Units!$K36=0,EB$1=Units!$O36),Units!$R36,IF(AND(EB$1&gt;=Units!$Q36,MOD(EB$1-Units!$Q36,12)=0),IF(AND(Units!$L36=1,EB$1=Units!$Q36),IF(Units!$J36&lt;&gt;"",Units!$J36,Mkt!EB37),Inputs!$B$15*Mkt!EB37+(1-Inputs!$B$15)*MIN(Mkt!EB37,EA37*(1+Inputs!$B$18))),EA37)))</f>
        <v>2049.47247849979</v>
      </c>
      <c r="EC37" s="11" t="n">
        <f aca="false">IF(EC$1&lt;Units!$P36,0,IF(AND(Units!$K36=0,EC$1=Units!$O36),Units!$R36,IF(AND(EC$1&gt;=Units!$Q36,MOD(EC$1-Units!$Q36,12)=0),IF(AND(Units!$L36=1,EC$1=Units!$Q36),IF(Units!$J36&lt;&gt;"",Units!$J36,Mkt!EC37),Inputs!$B$15*Mkt!EC37+(1-Inputs!$B$15)*MIN(Mkt!EC37,EB37*(1+Inputs!$B$18))),EB37)))</f>
        <v>2049.47247849979</v>
      </c>
      <c r="ED37" s="11" t="n">
        <f aca="false">IF(ED$1&lt;Units!$P36,0,IF(AND(Units!$K36=0,ED$1=Units!$O36),Units!$R36,IF(AND(ED$1&gt;=Units!$Q36,MOD(ED$1-Units!$Q36,12)=0),IF(AND(Units!$L36=1,ED$1=Units!$Q36),IF(Units!$J36&lt;&gt;"",Units!$J36,Mkt!ED37),Inputs!$B$15*Mkt!ED37+(1-Inputs!$B$15)*MIN(Mkt!ED37,EC37*(1+Inputs!$B$18))),EC37)))</f>
        <v>2049.47247849979</v>
      </c>
    </row>
    <row r="38" customFormat="false" ht="15" hidden="false" customHeight="false" outlineLevel="0" collapsed="false">
      <c r="A38" s="22" t="n">
        <f aca="false">Units!A37</f>
        <v>206</v>
      </c>
      <c r="B38" s="24" t="n">
        <f aca="false">IF(Units!K37=1,Units!F37,0)</f>
        <v>1425</v>
      </c>
      <c r="C38" s="11" t="n">
        <f aca="false">IF(C$1&lt;Units!$P37,0,IF(AND(Units!$K37=0,C$1=Units!$O37),Units!$R37,IF(AND(C$1&gt;=Units!$Q37,MOD(C$1-Units!$Q37,12)=0),IF(AND(Units!$L37=1,C$1=Units!$Q37),IF(Units!$J37&lt;&gt;"",Units!$J37,Mkt!C38),Inputs!$B$15*Mkt!C38+(1-Inputs!$B$15)*MIN(Mkt!C38,B38*(1+Inputs!$B$18))),B38)))</f>
        <v>1425</v>
      </c>
      <c r="D38" s="11" t="n">
        <f aca="false">IF(D$1&lt;Units!$P37,0,IF(AND(Units!$K37=0,D$1=Units!$O37),Units!$R37,IF(AND(D$1&gt;=Units!$Q37,MOD(D$1-Units!$Q37,12)=0),IF(AND(Units!$L37=1,D$1=Units!$Q37),IF(Units!$J37&lt;&gt;"",Units!$J37,Mkt!D38),Inputs!$B$15*Mkt!D38+(1-Inputs!$B$15)*MIN(Mkt!D38,C38*(1+Inputs!$B$18))),C38)))</f>
        <v>1425</v>
      </c>
      <c r="E38" s="11" t="n">
        <f aca="false">IF(E$1&lt;Units!$P37,0,IF(AND(Units!$K37=0,E$1=Units!$O37),Units!$R37,IF(AND(E$1&gt;=Units!$Q37,MOD(E$1-Units!$Q37,12)=0),IF(AND(Units!$L37=1,E$1=Units!$Q37),IF(Units!$J37&lt;&gt;"",Units!$J37,Mkt!E38),Inputs!$B$15*Mkt!E38+(1-Inputs!$B$15)*MIN(Mkt!E38,D38*(1+Inputs!$B$18))),D38)))</f>
        <v>1425</v>
      </c>
      <c r="F38" s="11" t="n">
        <f aca="false">IF(F$1&lt;Units!$P37,0,IF(AND(Units!$K37=0,F$1=Units!$O37),Units!$R37,IF(AND(F$1&gt;=Units!$Q37,MOD(F$1-Units!$Q37,12)=0),IF(AND(Units!$L37=1,F$1=Units!$Q37),IF(Units!$J37&lt;&gt;"",Units!$J37,Mkt!F38),Inputs!$B$15*Mkt!F38+(1-Inputs!$B$15)*MIN(Mkt!F38,E38*(1+Inputs!$B$18))),E38)))</f>
        <v>1425</v>
      </c>
      <c r="G38" s="11" t="n">
        <f aca="false">IF(G$1&lt;Units!$P37,0,IF(AND(Units!$K37=0,G$1=Units!$O37),Units!$R37,IF(AND(G$1&gt;=Units!$Q37,MOD(G$1-Units!$Q37,12)=0),IF(AND(Units!$L37=1,G$1=Units!$Q37),IF(Units!$J37&lt;&gt;"",Units!$J37,Mkt!G38),Inputs!$B$15*Mkt!G38+(1-Inputs!$B$15)*MIN(Mkt!G38,F38*(1+Inputs!$B$18))),F38)))</f>
        <v>1425</v>
      </c>
      <c r="H38" s="11" t="n">
        <f aca="false">IF(H$1&lt;Units!$P37,0,IF(AND(Units!$K37=0,H$1=Units!$O37),Units!$R37,IF(AND(H$1&gt;=Units!$Q37,MOD(H$1-Units!$Q37,12)=0),IF(AND(Units!$L37=1,H$1=Units!$Q37),IF(Units!$J37&lt;&gt;"",Units!$J37,Mkt!H38),Inputs!$B$15*Mkt!H38+(1-Inputs!$B$15)*MIN(Mkt!H38,G38*(1+Inputs!$B$18))),G38)))</f>
        <v>1425</v>
      </c>
      <c r="I38" s="11" t="n">
        <f aca="false">IF(I$1&lt;Units!$P37,0,IF(AND(Units!$K37=0,I$1=Units!$O37),Units!$R37,IF(AND(I$1&gt;=Units!$Q37,MOD(I$1-Units!$Q37,12)=0),IF(AND(Units!$L37=1,I$1=Units!$Q37),IF(Units!$J37&lt;&gt;"",Units!$J37,Mkt!I38),Inputs!$B$15*Mkt!I38+(1-Inputs!$B$15)*MIN(Mkt!I38,H38*(1+Inputs!$B$18))),H38)))</f>
        <v>1425</v>
      </c>
      <c r="J38" s="11" t="n">
        <f aca="false">IF(J$1&lt;Units!$P37,0,IF(AND(Units!$K37=0,J$1=Units!$O37),Units!$R37,IF(AND(J$1&gt;=Units!$Q37,MOD(J$1-Units!$Q37,12)=0),IF(AND(Units!$L37=1,J$1=Units!$Q37),IF(Units!$J37&lt;&gt;"",Units!$J37,Mkt!J38),Inputs!$B$15*Mkt!J38+(1-Inputs!$B$15)*MIN(Mkt!J38,I38*(1+Inputs!$B$18))),I38)))</f>
        <v>1425</v>
      </c>
      <c r="K38" s="11" t="n">
        <f aca="false">IF(K$1&lt;Units!$P37,0,IF(AND(Units!$K37=0,K$1=Units!$O37),Units!$R37,IF(AND(K$1&gt;=Units!$Q37,MOD(K$1-Units!$Q37,12)=0),IF(AND(Units!$L37=1,K$1=Units!$Q37),IF(Units!$J37&lt;&gt;"",Units!$J37,Mkt!K38),Inputs!$B$15*Mkt!K38+(1-Inputs!$B$15)*MIN(Mkt!K38,J38*(1+Inputs!$B$18))),J38)))</f>
        <v>1425</v>
      </c>
      <c r="L38" s="11" t="n">
        <f aca="false">IF(L$1&lt;Units!$P37,0,IF(AND(Units!$K37=0,L$1=Units!$O37),Units!$R37,IF(AND(L$1&gt;=Units!$Q37,MOD(L$1-Units!$Q37,12)=0),IF(AND(Units!$L37=1,L$1=Units!$Q37),IF(Units!$J37&lt;&gt;"",Units!$J37,Mkt!L38),Inputs!$B$15*Mkt!L38+(1-Inputs!$B$15)*MIN(Mkt!L38,K38*(1+Inputs!$B$18))),K38)))</f>
        <v>1425</v>
      </c>
      <c r="M38" s="11" t="n">
        <f aca="false">IF(M$1&lt;Units!$P37,0,IF(AND(Units!$K37=0,M$1=Units!$O37),Units!$R37,IF(AND(M$1&gt;=Units!$Q37,MOD(M$1-Units!$Q37,12)=0),IF(AND(Units!$L37=1,M$1=Units!$Q37),IF(Units!$J37&lt;&gt;"",Units!$J37,Mkt!M38),Inputs!$B$15*Mkt!M38+(1-Inputs!$B$15)*MIN(Mkt!M38,L38*(1+Inputs!$B$18))),L38)))</f>
        <v>1425</v>
      </c>
      <c r="N38" s="11" t="n">
        <f aca="false">IF(N$1&lt;Units!$P37,0,IF(AND(Units!$K37=0,N$1=Units!$O37),Units!$R37,IF(AND(N$1&gt;=Units!$Q37,MOD(N$1-Units!$Q37,12)=0),IF(AND(Units!$L37=1,N$1=Units!$Q37),IF(Units!$J37&lt;&gt;"",Units!$J37,Mkt!N38),Inputs!$B$15*Mkt!N38+(1-Inputs!$B$15)*MIN(Mkt!N38,M38*(1+Inputs!$B$18))),M38)))</f>
        <v>1510.625</v>
      </c>
      <c r="O38" s="11" t="n">
        <f aca="false">IF(O$1&lt;Units!$P37,0,IF(AND(Units!$K37=0,O$1=Units!$O37),Units!$R37,IF(AND(O$1&gt;=Units!$Q37,MOD(O$1-Units!$Q37,12)=0),IF(AND(Units!$L37=1,O$1=Units!$Q37),IF(Units!$J37&lt;&gt;"",Units!$J37,Mkt!O38),Inputs!$B$15*Mkt!O38+(1-Inputs!$B$15)*MIN(Mkt!O38,N38*(1+Inputs!$B$18))),N38)))</f>
        <v>1510.625</v>
      </c>
      <c r="P38" s="11" t="n">
        <f aca="false">IF(P$1&lt;Units!$P37,0,IF(AND(Units!$K37=0,P$1=Units!$O37),Units!$R37,IF(AND(P$1&gt;=Units!$Q37,MOD(P$1-Units!$Q37,12)=0),IF(AND(Units!$L37=1,P$1=Units!$Q37),IF(Units!$J37&lt;&gt;"",Units!$J37,Mkt!P38),Inputs!$B$15*Mkt!P38+(1-Inputs!$B$15)*MIN(Mkt!P38,O38*(1+Inputs!$B$18))),O38)))</f>
        <v>1510.625</v>
      </c>
      <c r="Q38" s="11" t="n">
        <f aca="false">IF(Q$1&lt;Units!$P37,0,IF(AND(Units!$K37=0,Q$1=Units!$O37),Units!$R37,IF(AND(Q$1&gt;=Units!$Q37,MOD(Q$1-Units!$Q37,12)=0),IF(AND(Units!$L37=1,Q$1=Units!$Q37),IF(Units!$J37&lt;&gt;"",Units!$J37,Mkt!Q38),Inputs!$B$15*Mkt!Q38+(1-Inputs!$B$15)*MIN(Mkt!Q38,P38*(1+Inputs!$B$18))),P38)))</f>
        <v>1510.625</v>
      </c>
      <c r="R38" s="11" t="n">
        <f aca="false">IF(R$1&lt;Units!$P37,0,IF(AND(Units!$K37=0,R$1=Units!$O37),Units!$R37,IF(AND(R$1&gt;=Units!$Q37,MOD(R$1-Units!$Q37,12)=0),IF(AND(Units!$L37=1,R$1=Units!$Q37),IF(Units!$J37&lt;&gt;"",Units!$J37,Mkt!R38),Inputs!$B$15*Mkt!R38+(1-Inputs!$B$15)*MIN(Mkt!R38,Q38*(1+Inputs!$B$18))),Q38)))</f>
        <v>1510.625</v>
      </c>
      <c r="S38" s="11" t="n">
        <f aca="false">IF(S$1&lt;Units!$P37,0,IF(AND(Units!$K37=0,S$1=Units!$O37),Units!$R37,IF(AND(S$1&gt;=Units!$Q37,MOD(S$1-Units!$Q37,12)=0),IF(AND(Units!$L37=1,S$1=Units!$Q37),IF(Units!$J37&lt;&gt;"",Units!$J37,Mkt!S38),Inputs!$B$15*Mkt!S38+(1-Inputs!$B$15)*MIN(Mkt!S38,R38*(1+Inputs!$B$18))),R38)))</f>
        <v>1510.625</v>
      </c>
      <c r="T38" s="11" t="n">
        <f aca="false">IF(T$1&lt;Units!$P37,0,IF(AND(Units!$K37=0,T$1=Units!$O37),Units!$R37,IF(AND(T$1&gt;=Units!$Q37,MOD(T$1-Units!$Q37,12)=0),IF(AND(Units!$L37=1,T$1=Units!$Q37),IF(Units!$J37&lt;&gt;"",Units!$J37,Mkt!T38),Inputs!$B$15*Mkt!T38+(1-Inputs!$B$15)*MIN(Mkt!T38,S38*(1+Inputs!$B$18))),S38)))</f>
        <v>1510.625</v>
      </c>
      <c r="U38" s="11" t="n">
        <f aca="false">IF(U$1&lt;Units!$P37,0,IF(AND(Units!$K37=0,U$1=Units!$O37),Units!$R37,IF(AND(U$1&gt;=Units!$Q37,MOD(U$1-Units!$Q37,12)=0),IF(AND(Units!$L37=1,U$1=Units!$Q37),IF(Units!$J37&lt;&gt;"",Units!$J37,Mkt!U38),Inputs!$B$15*Mkt!U38+(1-Inputs!$B$15)*MIN(Mkt!U38,T38*(1+Inputs!$B$18))),T38)))</f>
        <v>1510.625</v>
      </c>
      <c r="V38" s="11" t="n">
        <f aca="false">IF(V$1&lt;Units!$P37,0,IF(AND(Units!$K37=0,V$1=Units!$O37),Units!$R37,IF(AND(V$1&gt;=Units!$Q37,MOD(V$1-Units!$Q37,12)=0),IF(AND(Units!$L37=1,V$1=Units!$Q37),IF(Units!$J37&lt;&gt;"",Units!$J37,Mkt!V38),Inputs!$B$15*Mkt!V38+(1-Inputs!$B$15)*MIN(Mkt!V38,U38*(1+Inputs!$B$18))),U38)))</f>
        <v>1510.625</v>
      </c>
      <c r="W38" s="11" t="n">
        <f aca="false">IF(W$1&lt;Units!$P37,0,IF(AND(Units!$K37=0,W$1=Units!$O37),Units!$R37,IF(AND(W$1&gt;=Units!$Q37,MOD(W$1-Units!$Q37,12)=0),IF(AND(Units!$L37=1,W$1=Units!$Q37),IF(Units!$J37&lt;&gt;"",Units!$J37,Mkt!W38),Inputs!$B$15*Mkt!W38+(1-Inputs!$B$15)*MIN(Mkt!W38,V38*(1+Inputs!$B$18))),V38)))</f>
        <v>1510.625</v>
      </c>
      <c r="X38" s="11" t="n">
        <f aca="false">IF(X$1&lt;Units!$P37,0,IF(AND(Units!$K37=0,X$1=Units!$O37),Units!$R37,IF(AND(X$1&gt;=Units!$Q37,MOD(X$1-Units!$Q37,12)=0),IF(AND(Units!$L37=1,X$1=Units!$Q37),IF(Units!$J37&lt;&gt;"",Units!$J37,Mkt!X38),Inputs!$B$15*Mkt!X38+(1-Inputs!$B$15)*MIN(Mkt!X38,W38*(1+Inputs!$B$18))),W38)))</f>
        <v>1510.625</v>
      </c>
      <c r="Y38" s="11" t="n">
        <f aca="false">IF(Y$1&lt;Units!$P37,0,IF(AND(Units!$K37=0,Y$1=Units!$O37),Units!$R37,IF(AND(Y$1&gt;=Units!$Q37,MOD(Y$1-Units!$Q37,12)=0),IF(AND(Units!$L37=1,Y$1=Units!$Q37),IF(Units!$J37&lt;&gt;"",Units!$J37,Mkt!Y38),Inputs!$B$15*Mkt!Y38+(1-Inputs!$B$15)*MIN(Mkt!Y38,X38*(1+Inputs!$B$18))),X38)))</f>
        <v>1510.625</v>
      </c>
      <c r="Z38" s="11" t="n">
        <f aca="false">IF(Z$1&lt;Units!$P37,0,IF(AND(Units!$K37=0,Z$1=Units!$O37),Units!$R37,IF(AND(Z$1&gt;=Units!$Q37,MOD(Z$1-Units!$Q37,12)=0),IF(AND(Units!$L37=1,Z$1=Units!$Q37),IF(Units!$J37&lt;&gt;"",Units!$J37,Mkt!Z38),Inputs!$B$15*Mkt!Z38+(1-Inputs!$B$15)*MIN(Mkt!Z38,Y38*(1+Inputs!$B$18))),Y38)))</f>
        <v>1570.75</v>
      </c>
      <c r="AA38" s="11" t="n">
        <f aca="false">IF(AA$1&lt;Units!$P37,0,IF(AND(Units!$K37=0,AA$1=Units!$O37),Units!$R37,IF(AND(AA$1&gt;=Units!$Q37,MOD(AA$1-Units!$Q37,12)=0),IF(AND(Units!$L37=1,AA$1=Units!$Q37),IF(Units!$J37&lt;&gt;"",Units!$J37,Mkt!AA38),Inputs!$B$15*Mkt!AA38+(1-Inputs!$B$15)*MIN(Mkt!AA38,Z38*(1+Inputs!$B$18))),Z38)))</f>
        <v>1570.75</v>
      </c>
      <c r="AB38" s="11" t="n">
        <f aca="false">IF(AB$1&lt;Units!$P37,0,IF(AND(Units!$K37=0,AB$1=Units!$O37),Units!$R37,IF(AND(AB$1&gt;=Units!$Q37,MOD(AB$1-Units!$Q37,12)=0),IF(AND(Units!$L37=1,AB$1=Units!$Q37),IF(Units!$J37&lt;&gt;"",Units!$J37,Mkt!AB38),Inputs!$B$15*Mkt!AB38+(1-Inputs!$B$15)*MIN(Mkt!AB38,AA38*(1+Inputs!$B$18))),AA38)))</f>
        <v>1570.75</v>
      </c>
      <c r="AC38" s="11" t="n">
        <f aca="false">IF(AC$1&lt;Units!$P37,0,IF(AND(Units!$K37=0,AC$1=Units!$O37),Units!$R37,IF(AND(AC$1&gt;=Units!$Q37,MOD(AC$1-Units!$Q37,12)=0),IF(AND(Units!$L37=1,AC$1=Units!$Q37),IF(Units!$J37&lt;&gt;"",Units!$J37,Mkt!AC38),Inputs!$B$15*Mkt!AC38+(1-Inputs!$B$15)*MIN(Mkt!AC38,AB38*(1+Inputs!$B$18))),AB38)))</f>
        <v>1570.75</v>
      </c>
      <c r="AD38" s="11" t="n">
        <f aca="false">IF(AD$1&lt;Units!$P37,0,IF(AND(Units!$K37=0,AD$1=Units!$O37),Units!$R37,IF(AND(AD$1&gt;=Units!$Q37,MOD(AD$1-Units!$Q37,12)=0),IF(AND(Units!$L37=1,AD$1=Units!$Q37),IF(Units!$J37&lt;&gt;"",Units!$J37,Mkt!AD38),Inputs!$B$15*Mkt!AD38+(1-Inputs!$B$15)*MIN(Mkt!AD38,AC38*(1+Inputs!$B$18))),AC38)))</f>
        <v>1570.75</v>
      </c>
      <c r="AE38" s="11" t="n">
        <f aca="false">IF(AE$1&lt;Units!$P37,0,IF(AND(Units!$K37=0,AE$1=Units!$O37),Units!$R37,IF(AND(AE$1&gt;=Units!$Q37,MOD(AE$1-Units!$Q37,12)=0),IF(AND(Units!$L37=1,AE$1=Units!$Q37),IF(Units!$J37&lt;&gt;"",Units!$J37,Mkt!AE38),Inputs!$B$15*Mkt!AE38+(1-Inputs!$B$15)*MIN(Mkt!AE38,AD38*(1+Inputs!$B$18))),AD38)))</f>
        <v>1570.75</v>
      </c>
      <c r="AF38" s="11" t="n">
        <f aca="false">IF(AF$1&lt;Units!$P37,0,IF(AND(Units!$K37=0,AF$1=Units!$O37),Units!$R37,IF(AND(AF$1&gt;=Units!$Q37,MOD(AF$1-Units!$Q37,12)=0),IF(AND(Units!$L37=1,AF$1=Units!$Q37),IF(Units!$J37&lt;&gt;"",Units!$J37,Mkt!AF38),Inputs!$B$15*Mkt!AF38+(1-Inputs!$B$15)*MIN(Mkt!AF38,AE38*(1+Inputs!$B$18))),AE38)))</f>
        <v>1570.75</v>
      </c>
      <c r="AG38" s="11" t="n">
        <f aca="false">IF(AG$1&lt;Units!$P37,0,IF(AND(Units!$K37=0,AG$1=Units!$O37),Units!$R37,IF(AND(AG$1&gt;=Units!$Q37,MOD(AG$1-Units!$Q37,12)=0),IF(AND(Units!$L37=1,AG$1=Units!$Q37),IF(Units!$J37&lt;&gt;"",Units!$J37,Mkt!AG38),Inputs!$B$15*Mkt!AG38+(1-Inputs!$B$15)*MIN(Mkt!AG38,AF38*(1+Inputs!$B$18))),AF38)))</f>
        <v>1570.75</v>
      </c>
      <c r="AH38" s="11" t="n">
        <f aca="false">IF(AH$1&lt;Units!$P37,0,IF(AND(Units!$K37=0,AH$1=Units!$O37),Units!$R37,IF(AND(AH$1&gt;=Units!$Q37,MOD(AH$1-Units!$Q37,12)=0),IF(AND(Units!$L37=1,AH$1=Units!$Q37),IF(Units!$J37&lt;&gt;"",Units!$J37,Mkt!AH38),Inputs!$B$15*Mkt!AH38+(1-Inputs!$B$15)*MIN(Mkt!AH38,AG38*(1+Inputs!$B$18))),AG38)))</f>
        <v>1570.75</v>
      </c>
      <c r="AI38" s="11" t="n">
        <f aca="false">IF(AI$1&lt;Units!$P37,0,IF(AND(Units!$K37=0,AI$1=Units!$O37),Units!$R37,IF(AND(AI$1&gt;=Units!$Q37,MOD(AI$1-Units!$Q37,12)=0),IF(AND(Units!$L37=1,AI$1=Units!$Q37),IF(Units!$J37&lt;&gt;"",Units!$J37,Mkt!AI38),Inputs!$B$15*Mkt!AI38+(1-Inputs!$B$15)*MIN(Mkt!AI38,AH38*(1+Inputs!$B$18))),AH38)))</f>
        <v>1570.75</v>
      </c>
      <c r="AJ38" s="11" t="n">
        <f aca="false">IF(AJ$1&lt;Units!$P37,0,IF(AND(Units!$K37=0,AJ$1=Units!$O37),Units!$R37,IF(AND(AJ$1&gt;=Units!$Q37,MOD(AJ$1-Units!$Q37,12)=0),IF(AND(Units!$L37=1,AJ$1=Units!$Q37),IF(Units!$J37&lt;&gt;"",Units!$J37,Mkt!AJ38),Inputs!$B$15*Mkt!AJ38+(1-Inputs!$B$15)*MIN(Mkt!AJ38,AI38*(1+Inputs!$B$18))),AI38)))</f>
        <v>1570.75</v>
      </c>
      <c r="AK38" s="11" t="n">
        <f aca="false">IF(AK$1&lt;Units!$P37,0,IF(AND(Units!$K37=0,AK$1=Units!$O37),Units!$R37,IF(AND(AK$1&gt;=Units!$Q37,MOD(AK$1-Units!$Q37,12)=0),IF(AND(Units!$L37=1,AK$1=Units!$Q37),IF(Units!$J37&lt;&gt;"",Units!$J37,Mkt!AK38),Inputs!$B$15*Mkt!AK38+(1-Inputs!$B$15)*MIN(Mkt!AK38,AJ38*(1+Inputs!$B$18))),AJ38)))</f>
        <v>1570.75</v>
      </c>
      <c r="AL38" s="11" t="n">
        <f aca="false">IF(AL$1&lt;Units!$P37,0,IF(AND(Units!$K37=0,AL$1=Units!$O37),Units!$R37,IF(AND(AL$1&gt;=Units!$Q37,MOD(AL$1-Units!$Q37,12)=0),IF(AND(Units!$L37=1,AL$1=Units!$Q37),IF(Units!$J37&lt;&gt;"",Units!$J37,Mkt!AL38),Inputs!$B$15*Mkt!AL38+(1-Inputs!$B$15)*MIN(Mkt!AL38,AK38*(1+Inputs!$B$18))),AK38)))</f>
        <v>1617.8725</v>
      </c>
      <c r="AM38" s="11" t="n">
        <f aca="false">IF(AM$1&lt;Units!$P37,0,IF(AND(Units!$K37=0,AM$1=Units!$O37),Units!$R37,IF(AND(AM$1&gt;=Units!$Q37,MOD(AM$1-Units!$Q37,12)=0),IF(AND(Units!$L37=1,AM$1=Units!$Q37),IF(Units!$J37&lt;&gt;"",Units!$J37,Mkt!AM38),Inputs!$B$15*Mkt!AM38+(1-Inputs!$B$15)*MIN(Mkt!AM38,AL38*(1+Inputs!$B$18))),AL38)))</f>
        <v>1617.8725</v>
      </c>
      <c r="AN38" s="11" t="n">
        <f aca="false">IF(AN$1&lt;Units!$P37,0,IF(AND(Units!$K37=0,AN$1=Units!$O37),Units!$R37,IF(AND(AN$1&gt;=Units!$Q37,MOD(AN$1-Units!$Q37,12)=0),IF(AND(Units!$L37=1,AN$1=Units!$Q37),IF(Units!$J37&lt;&gt;"",Units!$J37,Mkt!AN38),Inputs!$B$15*Mkt!AN38+(1-Inputs!$B$15)*MIN(Mkt!AN38,AM38*(1+Inputs!$B$18))),AM38)))</f>
        <v>1617.8725</v>
      </c>
      <c r="AO38" s="11" t="n">
        <f aca="false">IF(AO$1&lt;Units!$P37,0,IF(AND(Units!$K37=0,AO$1=Units!$O37),Units!$R37,IF(AND(AO$1&gt;=Units!$Q37,MOD(AO$1-Units!$Q37,12)=0),IF(AND(Units!$L37=1,AO$1=Units!$Q37),IF(Units!$J37&lt;&gt;"",Units!$J37,Mkt!AO38),Inputs!$B$15*Mkt!AO38+(1-Inputs!$B$15)*MIN(Mkt!AO38,AN38*(1+Inputs!$B$18))),AN38)))</f>
        <v>1617.8725</v>
      </c>
      <c r="AP38" s="11" t="n">
        <f aca="false">IF(AP$1&lt;Units!$P37,0,IF(AND(Units!$K37=0,AP$1=Units!$O37),Units!$R37,IF(AND(AP$1&gt;=Units!$Q37,MOD(AP$1-Units!$Q37,12)=0),IF(AND(Units!$L37=1,AP$1=Units!$Q37),IF(Units!$J37&lt;&gt;"",Units!$J37,Mkt!AP38),Inputs!$B$15*Mkt!AP38+(1-Inputs!$B$15)*MIN(Mkt!AP38,AO38*(1+Inputs!$B$18))),AO38)))</f>
        <v>1617.8725</v>
      </c>
      <c r="AQ38" s="11" t="n">
        <f aca="false">IF(AQ$1&lt;Units!$P37,0,IF(AND(Units!$K37=0,AQ$1=Units!$O37),Units!$R37,IF(AND(AQ$1&gt;=Units!$Q37,MOD(AQ$1-Units!$Q37,12)=0),IF(AND(Units!$L37=1,AQ$1=Units!$Q37),IF(Units!$J37&lt;&gt;"",Units!$J37,Mkt!AQ38),Inputs!$B$15*Mkt!AQ38+(1-Inputs!$B$15)*MIN(Mkt!AQ38,AP38*(1+Inputs!$B$18))),AP38)))</f>
        <v>1617.8725</v>
      </c>
      <c r="AR38" s="11" t="n">
        <f aca="false">IF(AR$1&lt;Units!$P37,0,IF(AND(Units!$K37=0,AR$1=Units!$O37),Units!$R37,IF(AND(AR$1&gt;=Units!$Q37,MOD(AR$1-Units!$Q37,12)=0),IF(AND(Units!$L37=1,AR$1=Units!$Q37),IF(Units!$J37&lt;&gt;"",Units!$J37,Mkt!AR38),Inputs!$B$15*Mkt!AR38+(1-Inputs!$B$15)*MIN(Mkt!AR38,AQ38*(1+Inputs!$B$18))),AQ38)))</f>
        <v>1617.8725</v>
      </c>
      <c r="AS38" s="11" t="n">
        <f aca="false">IF(AS$1&lt;Units!$P37,0,IF(AND(Units!$K37=0,AS$1=Units!$O37),Units!$R37,IF(AND(AS$1&gt;=Units!$Q37,MOD(AS$1-Units!$Q37,12)=0),IF(AND(Units!$L37=1,AS$1=Units!$Q37),IF(Units!$J37&lt;&gt;"",Units!$J37,Mkt!AS38),Inputs!$B$15*Mkt!AS38+(1-Inputs!$B$15)*MIN(Mkt!AS38,AR38*(1+Inputs!$B$18))),AR38)))</f>
        <v>1617.8725</v>
      </c>
      <c r="AT38" s="11" t="n">
        <f aca="false">IF(AT$1&lt;Units!$P37,0,IF(AND(Units!$K37=0,AT$1=Units!$O37),Units!$R37,IF(AND(AT$1&gt;=Units!$Q37,MOD(AT$1-Units!$Q37,12)=0),IF(AND(Units!$L37=1,AT$1=Units!$Q37),IF(Units!$J37&lt;&gt;"",Units!$J37,Mkt!AT38),Inputs!$B$15*Mkt!AT38+(1-Inputs!$B$15)*MIN(Mkt!AT38,AS38*(1+Inputs!$B$18))),AS38)))</f>
        <v>1617.8725</v>
      </c>
      <c r="AU38" s="11" t="n">
        <f aca="false">IF(AU$1&lt;Units!$P37,0,IF(AND(Units!$K37=0,AU$1=Units!$O37),Units!$R37,IF(AND(AU$1&gt;=Units!$Q37,MOD(AU$1-Units!$Q37,12)=0),IF(AND(Units!$L37=1,AU$1=Units!$Q37),IF(Units!$J37&lt;&gt;"",Units!$J37,Mkt!AU38),Inputs!$B$15*Mkt!AU38+(1-Inputs!$B$15)*MIN(Mkt!AU38,AT38*(1+Inputs!$B$18))),AT38)))</f>
        <v>1617.8725</v>
      </c>
      <c r="AV38" s="11" t="n">
        <f aca="false">IF(AV$1&lt;Units!$P37,0,IF(AND(Units!$K37=0,AV$1=Units!$O37),Units!$R37,IF(AND(AV$1&gt;=Units!$Q37,MOD(AV$1-Units!$Q37,12)=0),IF(AND(Units!$L37=1,AV$1=Units!$Q37),IF(Units!$J37&lt;&gt;"",Units!$J37,Mkt!AV38),Inputs!$B$15*Mkt!AV38+(1-Inputs!$B$15)*MIN(Mkt!AV38,AU38*(1+Inputs!$B$18))),AU38)))</f>
        <v>1617.8725</v>
      </c>
      <c r="AW38" s="11" t="n">
        <f aca="false">IF(AW$1&lt;Units!$P37,0,IF(AND(Units!$K37=0,AW$1=Units!$O37),Units!$R37,IF(AND(AW$1&gt;=Units!$Q37,MOD(AW$1-Units!$Q37,12)=0),IF(AND(Units!$L37=1,AW$1=Units!$Q37),IF(Units!$J37&lt;&gt;"",Units!$J37,Mkt!AW38),Inputs!$B$15*Mkt!AW38+(1-Inputs!$B$15)*MIN(Mkt!AW38,AV38*(1+Inputs!$B$18))),AV38)))</f>
        <v>1617.8725</v>
      </c>
      <c r="AX38" s="11" t="n">
        <f aca="false">IF(AX$1&lt;Units!$P37,0,IF(AND(Units!$K37=0,AX$1=Units!$O37),Units!$R37,IF(AND(AX$1&gt;=Units!$Q37,MOD(AX$1-Units!$Q37,12)=0),IF(AND(Units!$L37=1,AX$1=Units!$Q37),IF(Units!$J37&lt;&gt;"",Units!$J37,Mkt!AX38),Inputs!$B$15*Mkt!AX38+(1-Inputs!$B$15)*MIN(Mkt!AX38,AW38*(1+Inputs!$B$18))),AW38)))</f>
        <v>1666.408675</v>
      </c>
      <c r="AY38" s="11" t="n">
        <f aca="false">IF(AY$1&lt;Units!$P37,0,IF(AND(Units!$K37=0,AY$1=Units!$O37),Units!$R37,IF(AND(AY$1&gt;=Units!$Q37,MOD(AY$1-Units!$Q37,12)=0),IF(AND(Units!$L37=1,AY$1=Units!$Q37),IF(Units!$J37&lt;&gt;"",Units!$J37,Mkt!AY38),Inputs!$B$15*Mkt!AY38+(1-Inputs!$B$15)*MIN(Mkt!AY38,AX38*(1+Inputs!$B$18))),AX38)))</f>
        <v>1666.408675</v>
      </c>
      <c r="AZ38" s="11" t="n">
        <f aca="false">IF(AZ$1&lt;Units!$P37,0,IF(AND(Units!$K37=0,AZ$1=Units!$O37),Units!$R37,IF(AND(AZ$1&gt;=Units!$Q37,MOD(AZ$1-Units!$Q37,12)=0),IF(AND(Units!$L37=1,AZ$1=Units!$Q37),IF(Units!$J37&lt;&gt;"",Units!$J37,Mkt!AZ38),Inputs!$B$15*Mkt!AZ38+(1-Inputs!$B$15)*MIN(Mkt!AZ38,AY38*(1+Inputs!$B$18))),AY38)))</f>
        <v>1666.408675</v>
      </c>
      <c r="BA38" s="11" t="n">
        <f aca="false">IF(BA$1&lt;Units!$P37,0,IF(AND(Units!$K37=0,BA$1=Units!$O37),Units!$R37,IF(AND(BA$1&gt;=Units!$Q37,MOD(BA$1-Units!$Q37,12)=0),IF(AND(Units!$L37=1,BA$1=Units!$Q37),IF(Units!$J37&lt;&gt;"",Units!$J37,Mkt!BA38),Inputs!$B$15*Mkt!BA38+(1-Inputs!$B$15)*MIN(Mkt!BA38,AZ38*(1+Inputs!$B$18))),AZ38)))</f>
        <v>1666.408675</v>
      </c>
      <c r="BB38" s="11" t="n">
        <f aca="false">IF(BB$1&lt;Units!$P37,0,IF(AND(Units!$K37=0,BB$1=Units!$O37),Units!$R37,IF(AND(BB$1&gt;=Units!$Q37,MOD(BB$1-Units!$Q37,12)=0),IF(AND(Units!$L37=1,BB$1=Units!$Q37),IF(Units!$J37&lt;&gt;"",Units!$J37,Mkt!BB38),Inputs!$B$15*Mkt!BB38+(1-Inputs!$B$15)*MIN(Mkt!BB38,BA38*(1+Inputs!$B$18))),BA38)))</f>
        <v>1666.408675</v>
      </c>
      <c r="BC38" s="11" t="n">
        <f aca="false">IF(BC$1&lt;Units!$P37,0,IF(AND(Units!$K37=0,BC$1=Units!$O37),Units!$R37,IF(AND(BC$1&gt;=Units!$Q37,MOD(BC$1-Units!$Q37,12)=0),IF(AND(Units!$L37=1,BC$1=Units!$Q37),IF(Units!$J37&lt;&gt;"",Units!$J37,Mkt!BC38),Inputs!$B$15*Mkt!BC38+(1-Inputs!$B$15)*MIN(Mkt!BC38,BB38*(1+Inputs!$B$18))),BB38)))</f>
        <v>1666.408675</v>
      </c>
      <c r="BD38" s="11" t="n">
        <f aca="false">IF(BD$1&lt;Units!$P37,0,IF(AND(Units!$K37=0,BD$1=Units!$O37),Units!$R37,IF(AND(BD$1&gt;=Units!$Q37,MOD(BD$1-Units!$Q37,12)=0),IF(AND(Units!$L37=1,BD$1=Units!$Q37),IF(Units!$J37&lt;&gt;"",Units!$J37,Mkt!BD38),Inputs!$B$15*Mkt!BD38+(1-Inputs!$B$15)*MIN(Mkt!BD38,BC38*(1+Inputs!$B$18))),BC38)))</f>
        <v>1666.408675</v>
      </c>
      <c r="BE38" s="11" t="n">
        <f aca="false">IF(BE$1&lt;Units!$P37,0,IF(AND(Units!$K37=0,BE$1=Units!$O37),Units!$R37,IF(AND(BE$1&gt;=Units!$Q37,MOD(BE$1-Units!$Q37,12)=0),IF(AND(Units!$L37=1,BE$1=Units!$Q37),IF(Units!$J37&lt;&gt;"",Units!$J37,Mkt!BE38),Inputs!$B$15*Mkt!BE38+(1-Inputs!$B$15)*MIN(Mkt!BE38,BD38*(1+Inputs!$B$18))),BD38)))</f>
        <v>1666.408675</v>
      </c>
      <c r="BF38" s="11" t="n">
        <f aca="false">IF(BF$1&lt;Units!$P37,0,IF(AND(Units!$K37=0,BF$1=Units!$O37),Units!$R37,IF(AND(BF$1&gt;=Units!$Q37,MOD(BF$1-Units!$Q37,12)=0),IF(AND(Units!$L37=1,BF$1=Units!$Q37),IF(Units!$J37&lt;&gt;"",Units!$J37,Mkt!BF38),Inputs!$B$15*Mkt!BF38+(1-Inputs!$B$15)*MIN(Mkt!BF38,BE38*(1+Inputs!$B$18))),BE38)))</f>
        <v>1666.408675</v>
      </c>
      <c r="BG38" s="11" t="n">
        <f aca="false">IF(BG$1&lt;Units!$P37,0,IF(AND(Units!$K37=0,BG$1=Units!$O37),Units!$R37,IF(AND(BG$1&gt;=Units!$Q37,MOD(BG$1-Units!$Q37,12)=0),IF(AND(Units!$L37=1,BG$1=Units!$Q37),IF(Units!$J37&lt;&gt;"",Units!$J37,Mkt!BG38),Inputs!$B$15*Mkt!BG38+(1-Inputs!$B$15)*MIN(Mkt!BG38,BF38*(1+Inputs!$B$18))),BF38)))</f>
        <v>1666.408675</v>
      </c>
      <c r="BH38" s="11" t="n">
        <f aca="false">IF(BH$1&lt;Units!$P37,0,IF(AND(Units!$K37=0,BH$1=Units!$O37),Units!$R37,IF(AND(BH$1&gt;=Units!$Q37,MOD(BH$1-Units!$Q37,12)=0),IF(AND(Units!$L37=1,BH$1=Units!$Q37),IF(Units!$J37&lt;&gt;"",Units!$J37,Mkt!BH38),Inputs!$B$15*Mkt!BH38+(1-Inputs!$B$15)*MIN(Mkt!BH38,BG38*(1+Inputs!$B$18))),BG38)))</f>
        <v>1666.408675</v>
      </c>
      <c r="BI38" s="11" t="n">
        <f aca="false">IF(BI$1&lt;Units!$P37,0,IF(AND(Units!$K37=0,BI$1=Units!$O37),Units!$R37,IF(AND(BI$1&gt;=Units!$Q37,MOD(BI$1-Units!$Q37,12)=0),IF(AND(Units!$L37=1,BI$1=Units!$Q37),IF(Units!$J37&lt;&gt;"",Units!$J37,Mkt!BI38),Inputs!$B$15*Mkt!BI38+(1-Inputs!$B$15)*MIN(Mkt!BI38,BH38*(1+Inputs!$B$18))),BH38)))</f>
        <v>1666.408675</v>
      </c>
      <c r="BJ38" s="11" t="n">
        <f aca="false">IF(BJ$1&lt;Units!$P37,0,IF(AND(Units!$K37=0,BJ$1=Units!$O37),Units!$R37,IF(AND(BJ$1&gt;=Units!$Q37,MOD(BJ$1-Units!$Q37,12)=0),IF(AND(Units!$L37=1,BJ$1=Units!$Q37),IF(Units!$J37&lt;&gt;"",Units!$J37,Mkt!BJ38),Inputs!$B$15*Mkt!BJ38+(1-Inputs!$B$15)*MIN(Mkt!BJ38,BI38*(1+Inputs!$B$18))),BI38)))</f>
        <v>1716.40093525</v>
      </c>
      <c r="BK38" s="11" t="n">
        <f aca="false">IF(BK$1&lt;Units!$P37,0,IF(AND(Units!$K37=0,BK$1=Units!$O37),Units!$R37,IF(AND(BK$1&gt;=Units!$Q37,MOD(BK$1-Units!$Q37,12)=0),IF(AND(Units!$L37=1,BK$1=Units!$Q37),IF(Units!$J37&lt;&gt;"",Units!$J37,Mkt!BK38),Inputs!$B$15*Mkt!BK38+(1-Inputs!$B$15)*MIN(Mkt!BK38,BJ38*(1+Inputs!$B$18))),BJ38)))</f>
        <v>1716.40093525</v>
      </c>
      <c r="BL38" s="11" t="n">
        <f aca="false">IF(BL$1&lt;Units!$P37,0,IF(AND(Units!$K37=0,BL$1=Units!$O37),Units!$R37,IF(AND(BL$1&gt;=Units!$Q37,MOD(BL$1-Units!$Q37,12)=0),IF(AND(Units!$L37=1,BL$1=Units!$Q37),IF(Units!$J37&lt;&gt;"",Units!$J37,Mkt!BL38),Inputs!$B$15*Mkt!BL38+(1-Inputs!$B$15)*MIN(Mkt!BL38,BK38*(1+Inputs!$B$18))),BK38)))</f>
        <v>1716.40093525</v>
      </c>
      <c r="BM38" s="11" t="n">
        <f aca="false">IF(BM$1&lt;Units!$P37,0,IF(AND(Units!$K37=0,BM$1=Units!$O37),Units!$R37,IF(AND(BM$1&gt;=Units!$Q37,MOD(BM$1-Units!$Q37,12)=0),IF(AND(Units!$L37=1,BM$1=Units!$Q37),IF(Units!$J37&lt;&gt;"",Units!$J37,Mkt!BM38),Inputs!$B$15*Mkt!BM38+(1-Inputs!$B$15)*MIN(Mkt!BM38,BL38*(1+Inputs!$B$18))),BL38)))</f>
        <v>1716.40093525</v>
      </c>
      <c r="BN38" s="11" t="n">
        <f aca="false">IF(BN$1&lt;Units!$P37,0,IF(AND(Units!$K37=0,BN$1=Units!$O37),Units!$R37,IF(AND(BN$1&gt;=Units!$Q37,MOD(BN$1-Units!$Q37,12)=0),IF(AND(Units!$L37=1,BN$1=Units!$Q37),IF(Units!$J37&lt;&gt;"",Units!$J37,Mkt!BN38),Inputs!$B$15*Mkt!BN38+(1-Inputs!$B$15)*MIN(Mkt!BN38,BM38*(1+Inputs!$B$18))),BM38)))</f>
        <v>1716.40093525</v>
      </c>
      <c r="BO38" s="11" t="n">
        <f aca="false">IF(BO$1&lt;Units!$P37,0,IF(AND(Units!$K37=0,BO$1=Units!$O37),Units!$R37,IF(AND(BO$1&gt;=Units!$Q37,MOD(BO$1-Units!$Q37,12)=0),IF(AND(Units!$L37=1,BO$1=Units!$Q37),IF(Units!$J37&lt;&gt;"",Units!$J37,Mkt!BO38),Inputs!$B$15*Mkt!BO38+(1-Inputs!$B$15)*MIN(Mkt!BO38,BN38*(1+Inputs!$B$18))),BN38)))</f>
        <v>1716.40093525</v>
      </c>
      <c r="BP38" s="11" t="n">
        <f aca="false">IF(BP$1&lt;Units!$P37,0,IF(AND(Units!$K37=0,BP$1=Units!$O37),Units!$R37,IF(AND(BP$1&gt;=Units!$Q37,MOD(BP$1-Units!$Q37,12)=0),IF(AND(Units!$L37=1,BP$1=Units!$Q37),IF(Units!$J37&lt;&gt;"",Units!$J37,Mkt!BP38),Inputs!$B$15*Mkt!BP38+(1-Inputs!$B$15)*MIN(Mkt!BP38,BO38*(1+Inputs!$B$18))),BO38)))</f>
        <v>1716.40093525</v>
      </c>
      <c r="BQ38" s="11" t="n">
        <f aca="false">IF(BQ$1&lt;Units!$P37,0,IF(AND(Units!$K37=0,BQ$1=Units!$O37),Units!$R37,IF(AND(BQ$1&gt;=Units!$Q37,MOD(BQ$1-Units!$Q37,12)=0),IF(AND(Units!$L37=1,BQ$1=Units!$Q37),IF(Units!$J37&lt;&gt;"",Units!$J37,Mkt!BQ38),Inputs!$B$15*Mkt!BQ38+(1-Inputs!$B$15)*MIN(Mkt!BQ38,BP38*(1+Inputs!$B$18))),BP38)))</f>
        <v>1716.40093525</v>
      </c>
      <c r="BR38" s="11" t="n">
        <f aca="false">IF(BR$1&lt;Units!$P37,0,IF(AND(Units!$K37=0,BR$1=Units!$O37),Units!$R37,IF(AND(BR$1&gt;=Units!$Q37,MOD(BR$1-Units!$Q37,12)=0),IF(AND(Units!$L37=1,BR$1=Units!$Q37),IF(Units!$J37&lt;&gt;"",Units!$J37,Mkt!BR38),Inputs!$B$15*Mkt!BR38+(1-Inputs!$B$15)*MIN(Mkt!BR38,BQ38*(1+Inputs!$B$18))),BQ38)))</f>
        <v>1716.40093525</v>
      </c>
      <c r="BS38" s="11" t="n">
        <f aca="false">IF(BS$1&lt;Units!$P37,0,IF(AND(Units!$K37=0,BS$1=Units!$O37),Units!$R37,IF(AND(BS$1&gt;=Units!$Q37,MOD(BS$1-Units!$Q37,12)=0),IF(AND(Units!$L37=1,BS$1=Units!$Q37),IF(Units!$J37&lt;&gt;"",Units!$J37,Mkt!BS38),Inputs!$B$15*Mkt!BS38+(1-Inputs!$B$15)*MIN(Mkt!BS38,BR38*(1+Inputs!$B$18))),BR38)))</f>
        <v>1716.40093525</v>
      </c>
      <c r="BT38" s="11" t="n">
        <f aca="false">IF(BT$1&lt;Units!$P37,0,IF(AND(Units!$K37=0,BT$1=Units!$O37),Units!$R37,IF(AND(BT$1&gt;=Units!$Q37,MOD(BT$1-Units!$Q37,12)=0),IF(AND(Units!$L37=1,BT$1=Units!$Q37),IF(Units!$J37&lt;&gt;"",Units!$J37,Mkt!BT38),Inputs!$B$15*Mkt!BT38+(1-Inputs!$B$15)*MIN(Mkt!BT38,BS38*(1+Inputs!$B$18))),BS38)))</f>
        <v>1716.40093525</v>
      </c>
      <c r="BU38" s="11" t="n">
        <f aca="false">IF(BU$1&lt;Units!$P37,0,IF(AND(Units!$K37=0,BU$1=Units!$O37),Units!$R37,IF(AND(BU$1&gt;=Units!$Q37,MOD(BU$1-Units!$Q37,12)=0),IF(AND(Units!$L37=1,BU$1=Units!$Q37),IF(Units!$J37&lt;&gt;"",Units!$J37,Mkt!BU38),Inputs!$B$15*Mkt!BU38+(1-Inputs!$B$15)*MIN(Mkt!BU38,BT38*(1+Inputs!$B$18))),BT38)))</f>
        <v>1716.40093525</v>
      </c>
      <c r="BV38" s="11" t="n">
        <f aca="false">IF(BV$1&lt;Units!$P37,0,IF(AND(Units!$K37=0,BV$1=Units!$O37),Units!$R37,IF(AND(BV$1&gt;=Units!$Q37,MOD(BV$1-Units!$Q37,12)=0),IF(AND(Units!$L37=1,BV$1=Units!$Q37),IF(Units!$J37&lt;&gt;"",Units!$J37,Mkt!BV38),Inputs!$B$15*Mkt!BV38+(1-Inputs!$B$15)*MIN(Mkt!BV38,BU38*(1+Inputs!$B$18))),BU38)))</f>
        <v>1767.8929633075</v>
      </c>
      <c r="BW38" s="11" t="n">
        <f aca="false">IF(BW$1&lt;Units!$P37,0,IF(AND(Units!$K37=0,BW$1=Units!$O37),Units!$R37,IF(AND(BW$1&gt;=Units!$Q37,MOD(BW$1-Units!$Q37,12)=0),IF(AND(Units!$L37=1,BW$1=Units!$Q37),IF(Units!$J37&lt;&gt;"",Units!$J37,Mkt!BW38),Inputs!$B$15*Mkt!BW38+(1-Inputs!$B$15)*MIN(Mkt!BW38,BV38*(1+Inputs!$B$18))),BV38)))</f>
        <v>1767.8929633075</v>
      </c>
      <c r="BX38" s="11" t="n">
        <f aca="false">IF(BX$1&lt;Units!$P37,0,IF(AND(Units!$K37=0,BX$1=Units!$O37),Units!$R37,IF(AND(BX$1&gt;=Units!$Q37,MOD(BX$1-Units!$Q37,12)=0),IF(AND(Units!$L37=1,BX$1=Units!$Q37),IF(Units!$J37&lt;&gt;"",Units!$J37,Mkt!BX38),Inputs!$B$15*Mkt!BX38+(1-Inputs!$B$15)*MIN(Mkt!BX38,BW38*(1+Inputs!$B$18))),BW38)))</f>
        <v>1767.8929633075</v>
      </c>
      <c r="BY38" s="11" t="n">
        <f aca="false">IF(BY$1&lt;Units!$P37,0,IF(AND(Units!$K37=0,BY$1=Units!$O37),Units!$R37,IF(AND(BY$1&gt;=Units!$Q37,MOD(BY$1-Units!$Q37,12)=0),IF(AND(Units!$L37=1,BY$1=Units!$Q37),IF(Units!$J37&lt;&gt;"",Units!$J37,Mkt!BY38),Inputs!$B$15*Mkt!BY38+(1-Inputs!$B$15)*MIN(Mkt!BY38,BX38*(1+Inputs!$B$18))),BX38)))</f>
        <v>1767.8929633075</v>
      </c>
      <c r="BZ38" s="11" t="n">
        <f aca="false">IF(BZ$1&lt;Units!$P37,0,IF(AND(Units!$K37=0,BZ$1=Units!$O37),Units!$R37,IF(AND(BZ$1&gt;=Units!$Q37,MOD(BZ$1-Units!$Q37,12)=0),IF(AND(Units!$L37=1,BZ$1=Units!$Q37),IF(Units!$J37&lt;&gt;"",Units!$J37,Mkt!BZ38),Inputs!$B$15*Mkt!BZ38+(1-Inputs!$B$15)*MIN(Mkt!BZ38,BY38*(1+Inputs!$B$18))),BY38)))</f>
        <v>1767.8929633075</v>
      </c>
      <c r="CA38" s="11" t="n">
        <f aca="false">IF(CA$1&lt;Units!$P37,0,IF(AND(Units!$K37=0,CA$1=Units!$O37),Units!$R37,IF(AND(CA$1&gt;=Units!$Q37,MOD(CA$1-Units!$Q37,12)=0),IF(AND(Units!$L37=1,CA$1=Units!$Q37),IF(Units!$J37&lt;&gt;"",Units!$J37,Mkt!CA38),Inputs!$B$15*Mkt!CA38+(1-Inputs!$B$15)*MIN(Mkt!CA38,BZ38*(1+Inputs!$B$18))),BZ38)))</f>
        <v>1767.8929633075</v>
      </c>
      <c r="CB38" s="11" t="n">
        <f aca="false">IF(CB$1&lt;Units!$P37,0,IF(AND(Units!$K37=0,CB$1=Units!$O37),Units!$R37,IF(AND(CB$1&gt;=Units!$Q37,MOD(CB$1-Units!$Q37,12)=0),IF(AND(Units!$L37=1,CB$1=Units!$Q37),IF(Units!$J37&lt;&gt;"",Units!$J37,Mkt!CB38),Inputs!$B$15*Mkt!CB38+(1-Inputs!$B$15)*MIN(Mkt!CB38,CA38*(1+Inputs!$B$18))),CA38)))</f>
        <v>1767.8929633075</v>
      </c>
      <c r="CC38" s="11" t="n">
        <f aca="false">IF(CC$1&lt;Units!$P37,0,IF(AND(Units!$K37=0,CC$1=Units!$O37),Units!$R37,IF(AND(CC$1&gt;=Units!$Q37,MOD(CC$1-Units!$Q37,12)=0),IF(AND(Units!$L37=1,CC$1=Units!$Q37),IF(Units!$J37&lt;&gt;"",Units!$J37,Mkt!CC38),Inputs!$B$15*Mkt!CC38+(1-Inputs!$B$15)*MIN(Mkt!CC38,CB38*(1+Inputs!$B$18))),CB38)))</f>
        <v>1767.8929633075</v>
      </c>
      <c r="CD38" s="11" t="n">
        <f aca="false">IF(CD$1&lt;Units!$P37,0,IF(AND(Units!$K37=0,CD$1=Units!$O37),Units!$R37,IF(AND(CD$1&gt;=Units!$Q37,MOD(CD$1-Units!$Q37,12)=0),IF(AND(Units!$L37=1,CD$1=Units!$Q37),IF(Units!$J37&lt;&gt;"",Units!$J37,Mkt!CD38),Inputs!$B$15*Mkt!CD38+(1-Inputs!$B$15)*MIN(Mkt!CD38,CC38*(1+Inputs!$B$18))),CC38)))</f>
        <v>1767.8929633075</v>
      </c>
      <c r="CE38" s="11" t="n">
        <f aca="false">IF(CE$1&lt;Units!$P37,0,IF(AND(Units!$K37=0,CE$1=Units!$O37),Units!$R37,IF(AND(CE$1&gt;=Units!$Q37,MOD(CE$1-Units!$Q37,12)=0),IF(AND(Units!$L37=1,CE$1=Units!$Q37),IF(Units!$J37&lt;&gt;"",Units!$J37,Mkt!CE38),Inputs!$B$15*Mkt!CE38+(1-Inputs!$B$15)*MIN(Mkt!CE38,CD38*(1+Inputs!$B$18))),CD38)))</f>
        <v>1767.8929633075</v>
      </c>
      <c r="CF38" s="11" t="n">
        <f aca="false">IF(CF$1&lt;Units!$P37,0,IF(AND(Units!$K37=0,CF$1=Units!$O37),Units!$R37,IF(AND(CF$1&gt;=Units!$Q37,MOD(CF$1-Units!$Q37,12)=0),IF(AND(Units!$L37=1,CF$1=Units!$Q37),IF(Units!$J37&lt;&gt;"",Units!$J37,Mkt!CF38),Inputs!$B$15*Mkt!CF38+(1-Inputs!$B$15)*MIN(Mkt!CF38,CE38*(1+Inputs!$B$18))),CE38)))</f>
        <v>1767.8929633075</v>
      </c>
      <c r="CG38" s="11" t="n">
        <f aca="false">IF(CG$1&lt;Units!$P37,0,IF(AND(Units!$K37=0,CG$1=Units!$O37),Units!$R37,IF(AND(CG$1&gt;=Units!$Q37,MOD(CG$1-Units!$Q37,12)=0),IF(AND(Units!$L37=1,CG$1=Units!$Q37),IF(Units!$J37&lt;&gt;"",Units!$J37,Mkt!CG38),Inputs!$B$15*Mkt!CG38+(1-Inputs!$B$15)*MIN(Mkt!CG38,CF38*(1+Inputs!$B$18))),CF38)))</f>
        <v>1767.8929633075</v>
      </c>
      <c r="CH38" s="11" t="n">
        <f aca="false">IF(CH$1&lt;Units!$P37,0,IF(AND(Units!$K37=0,CH$1=Units!$O37),Units!$R37,IF(AND(CH$1&gt;=Units!$Q37,MOD(CH$1-Units!$Q37,12)=0),IF(AND(Units!$L37=1,CH$1=Units!$Q37),IF(Units!$J37&lt;&gt;"",Units!$J37,Mkt!CH38),Inputs!$B$15*Mkt!CH38+(1-Inputs!$B$15)*MIN(Mkt!CH38,CG38*(1+Inputs!$B$18))),CG38)))</f>
        <v>1820.92975220673</v>
      </c>
      <c r="CI38" s="11" t="n">
        <f aca="false">IF(CI$1&lt;Units!$P37,0,IF(AND(Units!$K37=0,CI$1=Units!$O37),Units!$R37,IF(AND(CI$1&gt;=Units!$Q37,MOD(CI$1-Units!$Q37,12)=0),IF(AND(Units!$L37=1,CI$1=Units!$Q37),IF(Units!$J37&lt;&gt;"",Units!$J37,Mkt!CI38),Inputs!$B$15*Mkt!CI38+(1-Inputs!$B$15)*MIN(Mkt!CI38,CH38*(1+Inputs!$B$18))),CH38)))</f>
        <v>1820.92975220673</v>
      </c>
      <c r="CJ38" s="11" t="n">
        <f aca="false">IF(CJ$1&lt;Units!$P37,0,IF(AND(Units!$K37=0,CJ$1=Units!$O37),Units!$R37,IF(AND(CJ$1&gt;=Units!$Q37,MOD(CJ$1-Units!$Q37,12)=0),IF(AND(Units!$L37=1,CJ$1=Units!$Q37),IF(Units!$J37&lt;&gt;"",Units!$J37,Mkt!CJ38),Inputs!$B$15*Mkt!CJ38+(1-Inputs!$B$15)*MIN(Mkt!CJ38,CI38*(1+Inputs!$B$18))),CI38)))</f>
        <v>1820.92975220673</v>
      </c>
      <c r="CK38" s="11" t="n">
        <f aca="false">IF(CK$1&lt;Units!$P37,0,IF(AND(Units!$K37=0,CK$1=Units!$O37),Units!$R37,IF(AND(CK$1&gt;=Units!$Q37,MOD(CK$1-Units!$Q37,12)=0),IF(AND(Units!$L37=1,CK$1=Units!$Q37),IF(Units!$J37&lt;&gt;"",Units!$J37,Mkt!CK38),Inputs!$B$15*Mkt!CK38+(1-Inputs!$B$15)*MIN(Mkt!CK38,CJ38*(1+Inputs!$B$18))),CJ38)))</f>
        <v>1820.92975220673</v>
      </c>
      <c r="CL38" s="11" t="n">
        <f aca="false">IF(CL$1&lt;Units!$P37,0,IF(AND(Units!$K37=0,CL$1=Units!$O37),Units!$R37,IF(AND(CL$1&gt;=Units!$Q37,MOD(CL$1-Units!$Q37,12)=0),IF(AND(Units!$L37=1,CL$1=Units!$Q37),IF(Units!$J37&lt;&gt;"",Units!$J37,Mkt!CL38),Inputs!$B$15*Mkt!CL38+(1-Inputs!$B$15)*MIN(Mkt!CL38,CK38*(1+Inputs!$B$18))),CK38)))</f>
        <v>1820.92975220673</v>
      </c>
      <c r="CM38" s="11" t="n">
        <f aca="false">IF(CM$1&lt;Units!$P37,0,IF(AND(Units!$K37=0,CM$1=Units!$O37),Units!$R37,IF(AND(CM$1&gt;=Units!$Q37,MOD(CM$1-Units!$Q37,12)=0),IF(AND(Units!$L37=1,CM$1=Units!$Q37),IF(Units!$J37&lt;&gt;"",Units!$J37,Mkt!CM38),Inputs!$B$15*Mkt!CM38+(1-Inputs!$B$15)*MIN(Mkt!CM38,CL38*(1+Inputs!$B$18))),CL38)))</f>
        <v>1820.92975220673</v>
      </c>
      <c r="CN38" s="11" t="n">
        <f aca="false">IF(CN$1&lt;Units!$P37,0,IF(AND(Units!$K37=0,CN$1=Units!$O37),Units!$R37,IF(AND(CN$1&gt;=Units!$Q37,MOD(CN$1-Units!$Q37,12)=0),IF(AND(Units!$L37=1,CN$1=Units!$Q37),IF(Units!$J37&lt;&gt;"",Units!$J37,Mkt!CN38),Inputs!$B$15*Mkt!CN38+(1-Inputs!$B$15)*MIN(Mkt!CN38,CM38*(1+Inputs!$B$18))),CM38)))</f>
        <v>1820.92975220673</v>
      </c>
      <c r="CO38" s="11" t="n">
        <f aca="false">IF(CO$1&lt;Units!$P37,0,IF(AND(Units!$K37=0,CO$1=Units!$O37),Units!$R37,IF(AND(CO$1&gt;=Units!$Q37,MOD(CO$1-Units!$Q37,12)=0),IF(AND(Units!$L37=1,CO$1=Units!$Q37),IF(Units!$J37&lt;&gt;"",Units!$J37,Mkt!CO38),Inputs!$B$15*Mkt!CO38+(1-Inputs!$B$15)*MIN(Mkt!CO38,CN38*(1+Inputs!$B$18))),CN38)))</f>
        <v>1820.92975220673</v>
      </c>
      <c r="CP38" s="11" t="n">
        <f aca="false">IF(CP$1&lt;Units!$P37,0,IF(AND(Units!$K37=0,CP$1=Units!$O37),Units!$R37,IF(AND(CP$1&gt;=Units!$Q37,MOD(CP$1-Units!$Q37,12)=0),IF(AND(Units!$L37=1,CP$1=Units!$Q37),IF(Units!$J37&lt;&gt;"",Units!$J37,Mkt!CP38),Inputs!$B$15*Mkt!CP38+(1-Inputs!$B$15)*MIN(Mkt!CP38,CO38*(1+Inputs!$B$18))),CO38)))</f>
        <v>1820.92975220673</v>
      </c>
      <c r="CQ38" s="11" t="n">
        <f aca="false">IF(CQ$1&lt;Units!$P37,0,IF(AND(Units!$K37=0,CQ$1=Units!$O37),Units!$R37,IF(AND(CQ$1&gt;=Units!$Q37,MOD(CQ$1-Units!$Q37,12)=0),IF(AND(Units!$L37=1,CQ$1=Units!$Q37),IF(Units!$J37&lt;&gt;"",Units!$J37,Mkt!CQ38),Inputs!$B$15*Mkt!CQ38+(1-Inputs!$B$15)*MIN(Mkt!CQ38,CP38*(1+Inputs!$B$18))),CP38)))</f>
        <v>1820.92975220673</v>
      </c>
      <c r="CR38" s="11" t="n">
        <f aca="false">IF(CR$1&lt;Units!$P37,0,IF(AND(Units!$K37=0,CR$1=Units!$O37),Units!$R37,IF(AND(CR$1&gt;=Units!$Q37,MOD(CR$1-Units!$Q37,12)=0),IF(AND(Units!$L37=1,CR$1=Units!$Q37),IF(Units!$J37&lt;&gt;"",Units!$J37,Mkt!CR38),Inputs!$B$15*Mkt!CR38+(1-Inputs!$B$15)*MIN(Mkt!CR38,CQ38*(1+Inputs!$B$18))),CQ38)))</f>
        <v>1820.92975220673</v>
      </c>
      <c r="CS38" s="11" t="n">
        <f aca="false">IF(CS$1&lt;Units!$P37,0,IF(AND(Units!$K37=0,CS$1=Units!$O37),Units!$R37,IF(AND(CS$1&gt;=Units!$Q37,MOD(CS$1-Units!$Q37,12)=0),IF(AND(Units!$L37=1,CS$1=Units!$Q37),IF(Units!$J37&lt;&gt;"",Units!$J37,Mkt!CS38),Inputs!$B$15*Mkt!CS38+(1-Inputs!$B$15)*MIN(Mkt!CS38,CR38*(1+Inputs!$B$18))),CR38)))</f>
        <v>1820.92975220673</v>
      </c>
      <c r="CT38" s="11" t="n">
        <f aca="false">IF(CT$1&lt;Units!$P37,0,IF(AND(Units!$K37=0,CT$1=Units!$O37),Units!$R37,IF(AND(CT$1&gt;=Units!$Q37,MOD(CT$1-Units!$Q37,12)=0),IF(AND(Units!$L37=1,CT$1=Units!$Q37),IF(Units!$J37&lt;&gt;"",Units!$J37,Mkt!CT38),Inputs!$B$15*Mkt!CT38+(1-Inputs!$B$15)*MIN(Mkt!CT38,CS38*(1+Inputs!$B$18))),CS38)))</f>
        <v>1875.55764477293</v>
      </c>
      <c r="CU38" s="11" t="n">
        <f aca="false">IF(CU$1&lt;Units!$P37,0,IF(AND(Units!$K37=0,CU$1=Units!$O37),Units!$R37,IF(AND(CU$1&gt;=Units!$Q37,MOD(CU$1-Units!$Q37,12)=0),IF(AND(Units!$L37=1,CU$1=Units!$Q37),IF(Units!$J37&lt;&gt;"",Units!$J37,Mkt!CU38),Inputs!$B$15*Mkt!CU38+(1-Inputs!$B$15)*MIN(Mkt!CU38,CT38*(1+Inputs!$B$18))),CT38)))</f>
        <v>1875.55764477293</v>
      </c>
      <c r="CV38" s="11" t="n">
        <f aca="false">IF(CV$1&lt;Units!$P37,0,IF(AND(Units!$K37=0,CV$1=Units!$O37),Units!$R37,IF(AND(CV$1&gt;=Units!$Q37,MOD(CV$1-Units!$Q37,12)=0),IF(AND(Units!$L37=1,CV$1=Units!$Q37),IF(Units!$J37&lt;&gt;"",Units!$J37,Mkt!CV38),Inputs!$B$15*Mkt!CV38+(1-Inputs!$B$15)*MIN(Mkt!CV38,CU38*(1+Inputs!$B$18))),CU38)))</f>
        <v>1875.55764477293</v>
      </c>
      <c r="CW38" s="11" t="n">
        <f aca="false">IF(CW$1&lt;Units!$P37,0,IF(AND(Units!$K37=0,CW$1=Units!$O37),Units!$R37,IF(AND(CW$1&gt;=Units!$Q37,MOD(CW$1-Units!$Q37,12)=0),IF(AND(Units!$L37=1,CW$1=Units!$Q37),IF(Units!$J37&lt;&gt;"",Units!$J37,Mkt!CW38),Inputs!$B$15*Mkt!CW38+(1-Inputs!$B$15)*MIN(Mkt!CW38,CV38*(1+Inputs!$B$18))),CV38)))</f>
        <v>1875.55764477293</v>
      </c>
      <c r="CX38" s="11" t="n">
        <f aca="false">IF(CX$1&lt;Units!$P37,0,IF(AND(Units!$K37=0,CX$1=Units!$O37),Units!$R37,IF(AND(CX$1&gt;=Units!$Q37,MOD(CX$1-Units!$Q37,12)=0),IF(AND(Units!$L37=1,CX$1=Units!$Q37),IF(Units!$J37&lt;&gt;"",Units!$J37,Mkt!CX38),Inputs!$B$15*Mkt!CX38+(1-Inputs!$B$15)*MIN(Mkt!CX38,CW38*(1+Inputs!$B$18))),CW38)))</f>
        <v>1875.55764477293</v>
      </c>
      <c r="CY38" s="11" t="n">
        <f aca="false">IF(CY$1&lt;Units!$P37,0,IF(AND(Units!$K37=0,CY$1=Units!$O37),Units!$R37,IF(AND(CY$1&gt;=Units!$Q37,MOD(CY$1-Units!$Q37,12)=0),IF(AND(Units!$L37=1,CY$1=Units!$Q37),IF(Units!$J37&lt;&gt;"",Units!$J37,Mkt!CY38),Inputs!$B$15*Mkt!CY38+(1-Inputs!$B$15)*MIN(Mkt!CY38,CX38*(1+Inputs!$B$18))),CX38)))</f>
        <v>1875.55764477293</v>
      </c>
      <c r="CZ38" s="11" t="n">
        <f aca="false">IF(CZ$1&lt;Units!$P37,0,IF(AND(Units!$K37=0,CZ$1=Units!$O37),Units!$R37,IF(AND(CZ$1&gt;=Units!$Q37,MOD(CZ$1-Units!$Q37,12)=0),IF(AND(Units!$L37=1,CZ$1=Units!$Q37),IF(Units!$J37&lt;&gt;"",Units!$J37,Mkt!CZ38),Inputs!$B$15*Mkt!CZ38+(1-Inputs!$B$15)*MIN(Mkt!CZ38,CY38*(1+Inputs!$B$18))),CY38)))</f>
        <v>1875.55764477293</v>
      </c>
      <c r="DA38" s="11" t="n">
        <f aca="false">IF(DA$1&lt;Units!$P37,0,IF(AND(Units!$K37=0,DA$1=Units!$O37),Units!$R37,IF(AND(DA$1&gt;=Units!$Q37,MOD(DA$1-Units!$Q37,12)=0),IF(AND(Units!$L37=1,DA$1=Units!$Q37),IF(Units!$J37&lt;&gt;"",Units!$J37,Mkt!DA38),Inputs!$B$15*Mkt!DA38+(1-Inputs!$B$15)*MIN(Mkt!DA38,CZ38*(1+Inputs!$B$18))),CZ38)))</f>
        <v>1875.55764477293</v>
      </c>
      <c r="DB38" s="11" t="n">
        <f aca="false">IF(DB$1&lt;Units!$P37,0,IF(AND(Units!$K37=0,DB$1=Units!$O37),Units!$R37,IF(AND(DB$1&gt;=Units!$Q37,MOD(DB$1-Units!$Q37,12)=0),IF(AND(Units!$L37=1,DB$1=Units!$Q37),IF(Units!$J37&lt;&gt;"",Units!$J37,Mkt!DB38),Inputs!$B$15*Mkt!DB38+(1-Inputs!$B$15)*MIN(Mkt!DB38,DA38*(1+Inputs!$B$18))),DA38)))</f>
        <v>1875.55764477293</v>
      </c>
      <c r="DC38" s="11" t="n">
        <f aca="false">IF(DC$1&lt;Units!$P37,0,IF(AND(Units!$K37=0,DC$1=Units!$O37),Units!$R37,IF(AND(DC$1&gt;=Units!$Q37,MOD(DC$1-Units!$Q37,12)=0),IF(AND(Units!$L37=1,DC$1=Units!$Q37),IF(Units!$J37&lt;&gt;"",Units!$J37,Mkt!DC38),Inputs!$B$15*Mkt!DC38+(1-Inputs!$B$15)*MIN(Mkt!DC38,DB38*(1+Inputs!$B$18))),DB38)))</f>
        <v>1875.55764477293</v>
      </c>
      <c r="DD38" s="11" t="n">
        <f aca="false">IF(DD$1&lt;Units!$P37,0,IF(AND(Units!$K37=0,DD$1=Units!$O37),Units!$R37,IF(AND(DD$1&gt;=Units!$Q37,MOD(DD$1-Units!$Q37,12)=0),IF(AND(Units!$L37=1,DD$1=Units!$Q37),IF(Units!$J37&lt;&gt;"",Units!$J37,Mkt!DD38),Inputs!$B$15*Mkt!DD38+(1-Inputs!$B$15)*MIN(Mkt!DD38,DC38*(1+Inputs!$B$18))),DC38)))</f>
        <v>1875.55764477293</v>
      </c>
      <c r="DE38" s="11" t="n">
        <f aca="false">IF(DE$1&lt;Units!$P37,0,IF(AND(Units!$K37=0,DE$1=Units!$O37),Units!$R37,IF(AND(DE$1&gt;=Units!$Q37,MOD(DE$1-Units!$Q37,12)=0),IF(AND(Units!$L37=1,DE$1=Units!$Q37),IF(Units!$J37&lt;&gt;"",Units!$J37,Mkt!DE38),Inputs!$B$15*Mkt!DE38+(1-Inputs!$B$15)*MIN(Mkt!DE38,DD38*(1+Inputs!$B$18))),DD38)))</f>
        <v>1875.55764477293</v>
      </c>
      <c r="DF38" s="11" t="n">
        <f aca="false">IF(DF$1&lt;Units!$P37,0,IF(AND(Units!$K37=0,DF$1=Units!$O37),Units!$R37,IF(AND(DF$1&gt;=Units!$Q37,MOD(DF$1-Units!$Q37,12)=0),IF(AND(Units!$L37=1,DF$1=Units!$Q37),IF(Units!$J37&lt;&gt;"",Units!$J37,Mkt!DF38),Inputs!$B$15*Mkt!DF38+(1-Inputs!$B$15)*MIN(Mkt!DF38,DE38*(1+Inputs!$B$18))),DE38)))</f>
        <v>1931.82437411612</v>
      </c>
      <c r="DG38" s="11" t="n">
        <f aca="false">IF(DG$1&lt;Units!$P37,0,IF(AND(Units!$K37=0,DG$1=Units!$O37),Units!$R37,IF(AND(DG$1&gt;=Units!$Q37,MOD(DG$1-Units!$Q37,12)=0),IF(AND(Units!$L37=1,DG$1=Units!$Q37),IF(Units!$J37&lt;&gt;"",Units!$J37,Mkt!DG38),Inputs!$B$15*Mkt!DG38+(1-Inputs!$B$15)*MIN(Mkt!DG38,DF38*(1+Inputs!$B$18))),DF38)))</f>
        <v>1931.82437411612</v>
      </c>
      <c r="DH38" s="11" t="n">
        <f aca="false">IF(DH$1&lt;Units!$P37,0,IF(AND(Units!$K37=0,DH$1=Units!$O37),Units!$R37,IF(AND(DH$1&gt;=Units!$Q37,MOD(DH$1-Units!$Q37,12)=0),IF(AND(Units!$L37=1,DH$1=Units!$Q37),IF(Units!$J37&lt;&gt;"",Units!$J37,Mkt!DH38),Inputs!$B$15*Mkt!DH38+(1-Inputs!$B$15)*MIN(Mkt!DH38,DG38*(1+Inputs!$B$18))),DG38)))</f>
        <v>1931.82437411612</v>
      </c>
      <c r="DI38" s="11" t="n">
        <f aca="false">IF(DI$1&lt;Units!$P37,0,IF(AND(Units!$K37=0,DI$1=Units!$O37),Units!$R37,IF(AND(DI$1&gt;=Units!$Q37,MOD(DI$1-Units!$Q37,12)=0),IF(AND(Units!$L37=1,DI$1=Units!$Q37),IF(Units!$J37&lt;&gt;"",Units!$J37,Mkt!DI38),Inputs!$B$15*Mkt!DI38+(1-Inputs!$B$15)*MIN(Mkt!DI38,DH38*(1+Inputs!$B$18))),DH38)))</f>
        <v>1931.82437411612</v>
      </c>
      <c r="DJ38" s="11" t="n">
        <f aca="false">IF(DJ$1&lt;Units!$P37,0,IF(AND(Units!$K37=0,DJ$1=Units!$O37),Units!$R37,IF(AND(DJ$1&gt;=Units!$Q37,MOD(DJ$1-Units!$Q37,12)=0),IF(AND(Units!$L37=1,DJ$1=Units!$Q37),IF(Units!$J37&lt;&gt;"",Units!$J37,Mkt!DJ38),Inputs!$B$15*Mkt!DJ38+(1-Inputs!$B$15)*MIN(Mkt!DJ38,DI38*(1+Inputs!$B$18))),DI38)))</f>
        <v>1931.82437411612</v>
      </c>
      <c r="DK38" s="11" t="n">
        <f aca="false">IF(DK$1&lt;Units!$P37,0,IF(AND(Units!$K37=0,DK$1=Units!$O37),Units!$R37,IF(AND(DK$1&gt;=Units!$Q37,MOD(DK$1-Units!$Q37,12)=0),IF(AND(Units!$L37=1,DK$1=Units!$Q37),IF(Units!$J37&lt;&gt;"",Units!$J37,Mkt!DK38),Inputs!$B$15*Mkt!DK38+(1-Inputs!$B$15)*MIN(Mkt!DK38,DJ38*(1+Inputs!$B$18))),DJ38)))</f>
        <v>1931.82437411612</v>
      </c>
      <c r="DL38" s="11" t="n">
        <f aca="false">IF(DL$1&lt;Units!$P37,0,IF(AND(Units!$K37=0,DL$1=Units!$O37),Units!$R37,IF(AND(DL$1&gt;=Units!$Q37,MOD(DL$1-Units!$Q37,12)=0),IF(AND(Units!$L37=1,DL$1=Units!$Q37),IF(Units!$J37&lt;&gt;"",Units!$J37,Mkt!DL38),Inputs!$B$15*Mkt!DL38+(1-Inputs!$B$15)*MIN(Mkt!DL38,DK38*(1+Inputs!$B$18))),DK38)))</f>
        <v>1931.82437411612</v>
      </c>
      <c r="DM38" s="11" t="n">
        <f aca="false">IF(DM$1&lt;Units!$P37,0,IF(AND(Units!$K37=0,DM$1=Units!$O37),Units!$R37,IF(AND(DM$1&gt;=Units!$Q37,MOD(DM$1-Units!$Q37,12)=0),IF(AND(Units!$L37=1,DM$1=Units!$Q37),IF(Units!$J37&lt;&gt;"",Units!$J37,Mkt!DM38),Inputs!$B$15*Mkt!DM38+(1-Inputs!$B$15)*MIN(Mkt!DM38,DL38*(1+Inputs!$B$18))),DL38)))</f>
        <v>1931.82437411612</v>
      </c>
      <c r="DN38" s="11" t="n">
        <f aca="false">IF(DN$1&lt;Units!$P37,0,IF(AND(Units!$K37=0,DN$1=Units!$O37),Units!$R37,IF(AND(DN$1&gt;=Units!$Q37,MOD(DN$1-Units!$Q37,12)=0),IF(AND(Units!$L37=1,DN$1=Units!$Q37),IF(Units!$J37&lt;&gt;"",Units!$J37,Mkt!DN38),Inputs!$B$15*Mkt!DN38+(1-Inputs!$B$15)*MIN(Mkt!DN38,DM38*(1+Inputs!$B$18))),DM38)))</f>
        <v>1931.82437411612</v>
      </c>
      <c r="DO38" s="11" t="n">
        <f aca="false">IF(DO$1&lt;Units!$P37,0,IF(AND(Units!$K37=0,DO$1=Units!$O37),Units!$R37,IF(AND(DO$1&gt;=Units!$Q37,MOD(DO$1-Units!$Q37,12)=0),IF(AND(Units!$L37=1,DO$1=Units!$Q37),IF(Units!$J37&lt;&gt;"",Units!$J37,Mkt!DO38),Inputs!$B$15*Mkt!DO38+(1-Inputs!$B$15)*MIN(Mkt!DO38,DN38*(1+Inputs!$B$18))),DN38)))</f>
        <v>1931.82437411612</v>
      </c>
      <c r="DP38" s="11" t="n">
        <f aca="false">IF(DP$1&lt;Units!$P37,0,IF(AND(Units!$K37=0,DP$1=Units!$O37),Units!$R37,IF(AND(DP$1&gt;=Units!$Q37,MOD(DP$1-Units!$Q37,12)=0),IF(AND(Units!$L37=1,DP$1=Units!$Q37),IF(Units!$J37&lt;&gt;"",Units!$J37,Mkt!DP38),Inputs!$B$15*Mkt!DP38+(1-Inputs!$B$15)*MIN(Mkt!DP38,DO38*(1+Inputs!$B$18))),DO38)))</f>
        <v>1931.82437411612</v>
      </c>
      <c r="DQ38" s="11" t="n">
        <f aca="false">IF(DQ$1&lt;Units!$P37,0,IF(AND(Units!$K37=0,DQ$1=Units!$O37),Units!$R37,IF(AND(DQ$1&gt;=Units!$Q37,MOD(DQ$1-Units!$Q37,12)=0),IF(AND(Units!$L37=1,DQ$1=Units!$Q37),IF(Units!$J37&lt;&gt;"",Units!$J37,Mkt!DQ38),Inputs!$B$15*Mkt!DQ38+(1-Inputs!$B$15)*MIN(Mkt!DQ38,DP38*(1+Inputs!$B$18))),DP38)))</f>
        <v>1931.82437411612</v>
      </c>
      <c r="DR38" s="11" t="n">
        <f aca="false">IF(DR$1&lt;Units!$P37,0,IF(AND(Units!$K37=0,DR$1=Units!$O37),Units!$R37,IF(AND(DR$1&gt;=Units!$Q37,MOD(DR$1-Units!$Q37,12)=0),IF(AND(Units!$L37=1,DR$1=Units!$Q37),IF(Units!$J37&lt;&gt;"",Units!$J37,Mkt!DR38),Inputs!$B$15*Mkt!DR38+(1-Inputs!$B$15)*MIN(Mkt!DR38,DQ38*(1+Inputs!$B$18))),DQ38)))</f>
        <v>1989.7791053396</v>
      </c>
      <c r="DS38" s="11" t="n">
        <f aca="false">IF(DS$1&lt;Units!$P37,0,IF(AND(Units!$K37=0,DS$1=Units!$O37),Units!$R37,IF(AND(DS$1&gt;=Units!$Q37,MOD(DS$1-Units!$Q37,12)=0),IF(AND(Units!$L37=1,DS$1=Units!$Q37),IF(Units!$J37&lt;&gt;"",Units!$J37,Mkt!DS38),Inputs!$B$15*Mkt!DS38+(1-Inputs!$B$15)*MIN(Mkt!DS38,DR38*(1+Inputs!$B$18))),DR38)))</f>
        <v>1989.7791053396</v>
      </c>
      <c r="DT38" s="11" t="n">
        <f aca="false">IF(DT$1&lt;Units!$P37,0,IF(AND(Units!$K37=0,DT$1=Units!$O37),Units!$R37,IF(AND(DT$1&gt;=Units!$Q37,MOD(DT$1-Units!$Q37,12)=0),IF(AND(Units!$L37=1,DT$1=Units!$Q37),IF(Units!$J37&lt;&gt;"",Units!$J37,Mkt!DT38),Inputs!$B$15*Mkt!DT38+(1-Inputs!$B$15)*MIN(Mkt!DT38,DS38*(1+Inputs!$B$18))),DS38)))</f>
        <v>1989.7791053396</v>
      </c>
      <c r="DU38" s="11" t="n">
        <f aca="false">IF(DU$1&lt;Units!$P37,0,IF(AND(Units!$K37=0,DU$1=Units!$O37),Units!$R37,IF(AND(DU$1&gt;=Units!$Q37,MOD(DU$1-Units!$Q37,12)=0),IF(AND(Units!$L37=1,DU$1=Units!$Q37),IF(Units!$J37&lt;&gt;"",Units!$J37,Mkt!DU38),Inputs!$B$15*Mkt!DU38+(1-Inputs!$B$15)*MIN(Mkt!DU38,DT38*(1+Inputs!$B$18))),DT38)))</f>
        <v>1989.7791053396</v>
      </c>
      <c r="DV38" s="11" t="n">
        <f aca="false">IF(DV$1&lt;Units!$P37,0,IF(AND(Units!$K37=0,DV$1=Units!$O37),Units!$R37,IF(AND(DV$1&gt;=Units!$Q37,MOD(DV$1-Units!$Q37,12)=0),IF(AND(Units!$L37=1,DV$1=Units!$Q37),IF(Units!$J37&lt;&gt;"",Units!$J37,Mkt!DV38),Inputs!$B$15*Mkt!DV38+(1-Inputs!$B$15)*MIN(Mkt!DV38,DU38*(1+Inputs!$B$18))),DU38)))</f>
        <v>1989.7791053396</v>
      </c>
      <c r="DW38" s="11" t="n">
        <f aca="false">IF(DW$1&lt;Units!$P37,0,IF(AND(Units!$K37=0,DW$1=Units!$O37),Units!$R37,IF(AND(DW$1&gt;=Units!$Q37,MOD(DW$1-Units!$Q37,12)=0),IF(AND(Units!$L37=1,DW$1=Units!$Q37),IF(Units!$J37&lt;&gt;"",Units!$J37,Mkt!DW38),Inputs!$B$15*Mkt!DW38+(1-Inputs!$B$15)*MIN(Mkt!DW38,DV38*(1+Inputs!$B$18))),DV38)))</f>
        <v>1989.7791053396</v>
      </c>
      <c r="DX38" s="11" t="n">
        <f aca="false">IF(DX$1&lt;Units!$P37,0,IF(AND(Units!$K37=0,DX$1=Units!$O37),Units!$R37,IF(AND(DX$1&gt;=Units!$Q37,MOD(DX$1-Units!$Q37,12)=0),IF(AND(Units!$L37=1,DX$1=Units!$Q37),IF(Units!$J37&lt;&gt;"",Units!$J37,Mkt!DX38),Inputs!$B$15*Mkt!DX38+(1-Inputs!$B$15)*MIN(Mkt!DX38,DW38*(1+Inputs!$B$18))),DW38)))</f>
        <v>1989.7791053396</v>
      </c>
      <c r="DY38" s="11" t="n">
        <f aca="false">IF(DY$1&lt;Units!$P37,0,IF(AND(Units!$K37=0,DY$1=Units!$O37),Units!$R37,IF(AND(DY$1&gt;=Units!$Q37,MOD(DY$1-Units!$Q37,12)=0),IF(AND(Units!$L37=1,DY$1=Units!$Q37),IF(Units!$J37&lt;&gt;"",Units!$J37,Mkt!DY38),Inputs!$B$15*Mkt!DY38+(1-Inputs!$B$15)*MIN(Mkt!DY38,DX38*(1+Inputs!$B$18))),DX38)))</f>
        <v>1989.7791053396</v>
      </c>
      <c r="DZ38" s="11" t="n">
        <f aca="false">IF(DZ$1&lt;Units!$P37,0,IF(AND(Units!$K37=0,DZ$1=Units!$O37),Units!$R37,IF(AND(DZ$1&gt;=Units!$Q37,MOD(DZ$1-Units!$Q37,12)=0),IF(AND(Units!$L37=1,DZ$1=Units!$Q37),IF(Units!$J37&lt;&gt;"",Units!$J37,Mkt!DZ38),Inputs!$B$15*Mkt!DZ38+(1-Inputs!$B$15)*MIN(Mkt!DZ38,DY38*(1+Inputs!$B$18))),DY38)))</f>
        <v>1989.7791053396</v>
      </c>
      <c r="EA38" s="11" t="n">
        <f aca="false">IF(EA$1&lt;Units!$P37,0,IF(AND(Units!$K37=0,EA$1=Units!$O37),Units!$R37,IF(AND(EA$1&gt;=Units!$Q37,MOD(EA$1-Units!$Q37,12)=0),IF(AND(Units!$L37=1,EA$1=Units!$Q37),IF(Units!$J37&lt;&gt;"",Units!$J37,Mkt!EA38),Inputs!$B$15*Mkt!EA38+(1-Inputs!$B$15)*MIN(Mkt!EA38,DZ38*(1+Inputs!$B$18))),DZ38)))</f>
        <v>1989.7791053396</v>
      </c>
      <c r="EB38" s="11" t="n">
        <f aca="false">IF(EB$1&lt;Units!$P37,0,IF(AND(Units!$K37=0,EB$1=Units!$O37),Units!$R37,IF(AND(EB$1&gt;=Units!$Q37,MOD(EB$1-Units!$Q37,12)=0),IF(AND(Units!$L37=1,EB$1=Units!$Q37),IF(Units!$J37&lt;&gt;"",Units!$J37,Mkt!EB38),Inputs!$B$15*Mkt!EB38+(1-Inputs!$B$15)*MIN(Mkt!EB38,EA38*(1+Inputs!$B$18))),EA38)))</f>
        <v>1989.7791053396</v>
      </c>
      <c r="EC38" s="11" t="n">
        <f aca="false">IF(EC$1&lt;Units!$P37,0,IF(AND(Units!$K37=0,EC$1=Units!$O37),Units!$R37,IF(AND(EC$1&gt;=Units!$Q37,MOD(EC$1-Units!$Q37,12)=0),IF(AND(Units!$L37=1,EC$1=Units!$Q37),IF(Units!$J37&lt;&gt;"",Units!$J37,Mkt!EC38),Inputs!$B$15*Mkt!EC38+(1-Inputs!$B$15)*MIN(Mkt!EC38,EB38*(1+Inputs!$B$18))),EB38)))</f>
        <v>1989.7791053396</v>
      </c>
      <c r="ED38" s="11" t="n">
        <f aca="false">IF(ED$1&lt;Units!$P37,0,IF(AND(Units!$K37=0,ED$1=Units!$O37),Units!$R37,IF(AND(ED$1&gt;=Units!$Q37,MOD(ED$1-Units!$Q37,12)=0),IF(AND(Units!$L37=1,ED$1=Units!$Q37),IF(Units!$J37&lt;&gt;"",Units!$J37,Mkt!ED38),Inputs!$B$15*Mkt!ED38+(1-Inputs!$B$15)*MIN(Mkt!ED38,EC38*(1+Inputs!$B$18))),EC38)))</f>
        <v>2049.47247849979</v>
      </c>
    </row>
    <row r="39" customFormat="false" ht="15" hidden="false" customHeight="false" outlineLevel="0" collapsed="false">
      <c r="A39" s="22" t="n">
        <f aca="false">Units!A38</f>
        <v>207</v>
      </c>
      <c r="B39" s="24" t="n">
        <f aca="false">IF(Units!K38=1,Units!F38,0)</f>
        <v>1435</v>
      </c>
      <c r="C39" s="11" t="n">
        <f aca="false">IF(C$1&lt;Units!$P38,0,IF(AND(Units!$K38=0,C$1=Units!$O38),Units!$R38,IF(AND(C$1&gt;=Units!$Q38,MOD(C$1-Units!$Q38,12)=0),IF(AND(Units!$L38=1,C$1=Units!$Q38),IF(Units!$J38&lt;&gt;"",Units!$J38,Mkt!C39),Inputs!$B$15*Mkt!C39+(1-Inputs!$B$15)*MIN(Mkt!C39,B39*(1+Inputs!$B$18))),B39)))</f>
        <v>1435</v>
      </c>
      <c r="D39" s="11" t="n">
        <f aca="false">IF(D$1&lt;Units!$P38,0,IF(AND(Units!$K38=0,D$1=Units!$O38),Units!$R38,IF(AND(D$1&gt;=Units!$Q38,MOD(D$1-Units!$Q38,12)=0),IF(AND(Units!$L38=1,D$1=Units!$Q38),IF(Units!$J38&lt;&gt;"",Units!$J38,Mkt!D39),Inputs!$B$15*Mkt!D39+(1-Inputs!$B$15)*MIN(Mkt!D39,C39*(1+Inputs!$B$18))),C39)))</f>
        <v>1435</v>
      </c>
      <c r="E39" s="11" t="n">
        <f aca="false">IF(E$1&lt;Units!$P38,0,IF(AND(Units!$K38=0,E$1=Units!$O38),Units!$R38,IF(AND(E$1&gt;=Units!$Q38,MOD(E$1-Units!$Q38,12)=0),IF(AND(Units!$L38=1,E$1=Units!$Q38),IF(Units!$J38&lt;&gt;"",Units!$J38,Mkt!E39),Inputs!$B$15*Mkt!E39+(1-Inputs!$B$15)*MIN(Mkt!E39,D39*(1+Inputs!$B$18))),D39)))</f>
        <v>1435</v>
      </c>
      <c r="F39" s="11" t="n">
        <f aca="false">IF(F$1&lt;Units!$P38,0,IF(AND(Units!$K38=0,F$1=Units!$O38),Units!$R38,IF(AND(F$1&gt;=Units!$Q38,MOD(F$1-Units!$Q38,12)=0),IF(AND(Units!$L38=1,F$1=Units!$Q38),IF(Units!$J38&lt;&gt;"",Units!$J38,Mkt!F39),Inputs!$B$15*Mkt!F39+(1-Inputs!$B$15)*MIN(Mkt!F39,E39*(1+Inputs!$B$18))),E39)))</f>
        <v>1515.875</v>
      </c>
      <c r="G39" s="11" t="n">
        <f aca="false">IF(G$1&lt;Units!$P38,0,IF(AND(Units!$K38=0,G$1=Units!$O38),Units!$R38,IF(AND(G$1&gt;=Units!$Q38,MOD(G$1-Units!$Q38,12)=0),IF(AND(Units!$L38=1,G$1=Units!$Q38),IF(Units!$J38&lt;&gt;"",Units!$J38,Mkt!G39),Inputs!$B$15*Mkt!G39+(1-Inputs!$B$15)*MIN(Mkt!G39,F39*(1+Inputs!$B$18))),F39)))</f>
        <v>1515.875</v>
      </c>
      <c r="H39" s="11" t="n">
        <f aca="false">IF(H$1&lt;Units!$P38,0,IF(AND(Units!$K38=0,H$1=Units!$O38),Units!$R38,IF(AND(H$1&gt;=Units!$Q38,MOD(H$1-Units!$Q38,12)=0),IF(AND(Units!$L38=1,H$1=Units!$Q38),IF(Units!$J38&lt;&gt;"",Units!$J38,Mkt!H39),Inputs!$B$15*Mkt!H39+(1-Inputs!$B$15)*MIN(Mkt!H39,G39*(1+Inputs!$B$18))),G39)))</f>
        <v>1515.875</v>
      </c>
      <c r="I39" s="11" t="n">
        <f aca="false">IF(I$1&lt;Units!$P38,0,IF(AND(Units!$K38=0,I$1=Units!$O38),Units!$R38,IF(AND(I$1&gt;=Units!$Q38,MOD(I$1-Units!$Q38,12)=0),IF(AND(Units!$L38=1,I$1=Units!$Q38),IF(Units!$J38&lt;&gt;"",Units!$J38,Mkt!I39),Inputs!$B$15*Mkt!I39+(1-Inputs!$B$15)*MIN(Mkt!I39,H39*(1+Inputs!$B$18))),H39)))</f>
        <v>1515.875</v>
      </c>
      <c r="J39" s="11" t="n">
        <f aca="false">IF(J$1&lt;Units!$P38,0,IF(AND(Units!$K38=0,J$1=Units!$O38),Units!$R38,IF(AND(J$1&gt;=Units!$Q38,MOD(J$1-Units!$Q38,12)=0),IF(AND(Units!$L38=1,J$1=Units!$Q38),IF(Units!$J38&lt;&gt;"",Units!$J38,Mkt!J39),Inputs!$B$15*Mkt!J39+(1-Inputs!$B$15)*MIN(Mkt!J39,I39*(1+Inputs!$B$18))),I39)))</f>
        <v>1515.875</v>
      </c>
      <c r="K39" s="11" t="n">
        <f aca="false">IF(K$1&lt;Units!$P38,0,IF(AND(Units!$K38=0,K$1=Units!$O38),Units!$R38,IF(AND(K$1&gt;=Units!$Q38,MOD(K$1-Units!$Q38,12)=0),IF(AND(Units!$L38=1,K$1=Units!$Q38),IF(Units!$J38&lt;&gt;"",Units!$J38,Mkt!K39),Inputs!$B$15*Mkt!K39+(1-Inputs!$B$15)*MIN(Mkt!K39,J39*(1+Inputs!$B$18))),J39)))</f>
        <v>1515.875</v>
      </c>
      <c r="L39" s="11" t="n">
        <f aca="false">IF(L$1&lt;Units!$P38,0,IF(AND(Units!$K38=0,L$1=Units!$O38),Units!$R38,IF(AND(L$1&gt;=Units!$Q38,MOD(L$1-Units!$Q38,12)=0),IF(AND(Units!$L38=1,L$1=Units!$Q38),IF(Units!$J38&lt;&gt;"",Units!$J38,Mkt!L39),Inputs!$B$15*Mkt!L39+(1-Inputs!$B$15)*MIN(Mkt!L39,K39*(1+Inputs!$B$18))),K39)))</f>
        <v>1515.875</v>
      </c>
      <c r="M39" s="11" t="n">
        <f aca="false">IF(M$1&lt;Units!$P38,0,IF(AND(Units!$K38=0,M$1=Units!$O38),Units!$R38,IF(AND(M$1&gt;=Units!$Q38,MOD(M$1-Units!$Q38,12)=0),IF(AND(Units!$L38=1,M$1=Units!$Q38),IF(Units!$J38&lt;&gt;"",Units!$J38,Mkt!M39),Inputs!$B$15*Mkt!M39+(1-Inputs!$B$15)*MIN(Mkt!M39,L39*(1+Inputs!$B$18))),L39)))</f>
        <v>1515.875</v>
      </c>
      <c r="N39" s="11" t="n">
        <f aca="false">IF(N$1&lt;Units!$P38,0,IF(AND(Units!$K38=0,N$1=Units!$O38),Units!$R38,IF(AND(N$1&gt;=Units!$Q38,MOD(N$1-Units!$Q38,12)=0),IF(AND(Units!$L38=1,N$1=Units!$Q38),IF(Units!$J38&lt;&gt;"",Units!$J38,Mkt!N39),Inputs!$B$15*Mkt!N39+(1-Inputs!$B$15)*MIN(Mkt!N39,M39*(1+Inputs!$B$18))),M39)))</f>
        <v>1515.875</v>
      </c>
      <c r="O39" s="11" t="n">
        <f aca="false">IF(O$1&lt;Units!$P38,0,IF(AND(Units!$K38=0,O$1=Units!$O38),Units!$R38,IF(AND(O$1&gt;=Units!$Q38,MOD(O$1-Units!$Q38,12)=0),IF(AND(Units!$L38=1,O$1=Units!$Q38),IF(Units!$J38&lt;&gt;"",Units!$J38,Mkt!O39),Inputs!$B$15*Mkt!O39+(1-Inputs!$B$15)*MIN(Mkt!O39,N39*(1+Inputs!$B$18))),N39)))</f>
        <v>1515.875</v>
      </c>
      <c r="P39" s="11" t="n">
        <f aca="false">IF(P$1&lt;Units!$P38,0,IF(AND(Units!$K38=0,P$1=Units!$O38),Units!$R38,IF(AND(P$1&gt;=Units!$Q38,MOD(P$1-Units!$Q38,12)=0),IF(AND(Units!$L38=1,P$1=Units!$Q38),IF(Units!$J38&lt;&gt;"",Units!$J38,Mkt!P39),Inputs!$B$15*Mkt!P39+(1-Inputs!$B$15)*MIN(Mkt!P39,O39*(1+Inputs!$B$18))),O39)))</f>
        <v>1515.875</v>
      </c>
      <c r="Q39" s="11" t="n">
        <f aca="false">IF(Q$1&lt;Units!$P38,0,IF(AND(Units!$K38=0,Q$1=Units!$O38),Units!$R38,IF(AND(Q$1&gt;=Units!$Q38,MOD(Q$1-Units!$Q38,12)=0),IF(AND(Units!$L38=1,Q$1=Units!$Q38),IF(Units!$J38&lt;&gt;"",Units!$J38,Mkt!Q39),Inputs!$B$15*Mkt!Q39+(1-Inputs!$B$15)*MIN(Mkt!Q39,P39*(1+Inputs!$B$18))),P39)))</f>
        <v>1515.875</v>
      </c>
      <c r="R39" s="11" t="n">
        <f aca="false">IF(R$1&lt;Units!$P38,0,IF(AND(Units!$K38=0,R$1=Units!$O38),Units!$R38,IF(AND(R$1&gt;=Units!$Q38,MOD(R$1-Units!$Q38,12)=0),IF(AND(Units!$L38=1,R$1=Units!$Q38),IF(Units!$J38&lt;&gt;"",Units!$J38,Mkt!R39),Inputs!$B$15*Mkt!R39+(1-Inputs!$B$15)*MIN(Mkt!R39,Q39*(1+Inputs!$B$18))),Q39)))</f>
        <v>1570.75</v>
      </c>
      <c r="S39" s="11" t="n">
        <f aca="false">IF(S$1&lt;Units!$P38,0,IF(AND(Units!$K38=0,S$1=Units!$O38),Units!$R38,IF(AND(S$1&gt;=Units!$Q38,MOD(S$1-Units!$Q38,12)=0),IF(AND(Units!$L38=1,S$1=Units!$Q38),IF(Units!$J38&lt;&gt;"",Units!$J38,Mkt!S39),Inputs!$B$15*Mkt!S39+(1-Inputs!$B$15)*MIN(Mkt!S39,R39*(1+Inputs!$B$18))),R39)))</f>
        <v>1570.75</v>
      </c>
      <c r="T39" s="11" t="n">
        <f aca="false">IF(T$1&lt;Units!$P38,0,IF(AND(Units!$K38=0,T$1=Units!$O38),Units!$R38,IF(AND(T$1&gt;=Units!$Q38,MOD(T$1-Units!$Q38,12)=0),IF(AND(Units!$L38=1,T$1=Units!$Q38),IF(Units!$J38&lt;&gt;"",Units!$J38,Mkt!T39),Inputs!$B$15*Mkt!T39+(1-Inputs!$B$15)*MIN(Mkt!T39,S39*(1+Inputs!$B$18))),S39)))</f>
        <v>1570.75</v>
      </c>
      <c r="U39" s="11" t="n">
        <f aca="false">IF(U$1&lt;Units!$P38,0,IF(AND(Units!$K38=0,U$1=Units!$O38),Units!$R38,IF(AND(U$1&gt;=Units!$Q38,MOD(U$1-Units!$Q38,12)=0),IF(AND(Units!$L38=1,U$1=Units!$Q38),IF(Units!$J38&lt;&gt;"",Units!$J38,Mkt!U39),Inputs!$B$15*Mkt!U39+(1-Inputs!$B$15)*MIN(Mkt!U39,T39*(1+Inputs!$B$18))),T39)))</f>
        <v>1570.75</v>
      </c>
      <c r="V39" s="11" t="n">
        <f aca="false">IF(V$1&lt;Units!$P38,0,IF(AND(Units!$K38=0,V$1=Units!$O38),Units!$R38,IF(AND(V$1&gt;=Units!$Q38,MOD(V$1-Units!$Q38,12)=0),IF(AND(Units!$L38=1,V$1=Units!$Q38),IF(Units!$J38&lt;&gt;"",Units!$J38,Mkt!V39),Inputs!$B$15*Mkt!V39+(1-Inputs!$B$15)*MIN(Mkt!V39,U39*(1+Inputs!$B$18))),U39)))</f>
        <v>1570.75</v>
      </c>
      <c r="W39" s="11" t="n">
        <f aca="false">IF(W$1&lt;Units!$P38,0,IF(AND(Units!$K38=0,W$1=Units!$O38),Units!$R38,IF(AND(W$1&gt;=Units!$Q38,MOD(W$1-Units!$Q38,12)=0),IF(AND(Units!$L38=1,W$1=Units!$Q38),IF(Units!$J38&lt;&gt;"",Units!$J38,Mkt!W39),Inputs!$B$15*Mkt!W39+(1-Inputs!$B$15)*MIN(Mkt!W39,V39*(1+Inputs!$B$18))),V39)))</f>
        <v>1570.75</v>
      </c>
      <c r="X39" s="11" t="n">
        <f aca="false">IF(X$1&lt;Units!$P38,0,IF(AND(Units!$K38=0,X$1=Units!$O38),Units!$R38,IF(AND(X$1&gt;=Units!$Q38,MOD(X$1-Units!$Q38,12)=0),IF(AND(Units!$L38=1,X$1=Units!$Q38),IF(Units!$J38&lt;&gt;"",Units!$J38,Mkt!X39),Inputs!$B$15*Mkt!X39+(1-Inputs!$B$15)*MIN(Mkt!X39,W39*(1+Inputs!$B$18))),W39)))</f>
        <v>1570.75</v>
      </c>
      <c r="Y39" s="11" t="n">
        <f aca="false">IF(Y$1&lt;Units!$P38,0,IF(AND(Units!$K38=0,Y$1=Units!$O38),Units!$R38,IF(AND(Y$1&gt;=Units!$Q38,MOD(Y$1-Units!$Q38,12)=0),IF(AND(Units!$L38=1,Y$1=Units!$Q38),IF(Units!$J38&lt;&gt;"",Units!$J38,Mkt!Y39),Inputs!$B$15*Mkt!Y39+(1-Inputs!$B$15)*MIN(Mkt!Y39,X39*(1+Inputs!$B$18))),X39)))</f>
        <v>1570.75</v>
      </c>
      <c r="Z39" s="11" t="n">
        <f aca="false">IF(Z$1&lt;Units!$P38,0,IF(AND(Units!$K38=0,Z$1=Units!$O38),Units!$R38,IF(AND(Z$1&gt;=Units!$Q38,MOD(Z$1-Units!$Q38,12)=0),IF(AND(Units!$L38=1,Z$1=Units!$Q38),IF(Units!$J38&lt;&gt;"",Units!$J38,Mkt!Z39),Inputs!$B$15*Mkt!Z39+(1-Inputs!$B$15)*MIN(Mkt!Z39,Y39*(1+Inputs!$B$18))),Y39)))</f>
        <v>1570.75</v>
      </c>
      <c r="AA39" s="11" t="n">
        <f aca="false">IF(AA$1&lt;Units!$P38,0,IF(AND(Units!$K38=0,AA$1=Units!$O38),Units!$R38,IF(AND(AA$1&gt;=Units!$Q38,MOD(AA$1-Units!$Q38,12)=0),IF(AND(Units!$L38=1,AA$1=Units!$Q38),IF(Units!$J38&lt;&gt;"",Units!$J38,Mkt!AA39),Inputs!$B$15*Mkt!AA39+(1-Inputs!$B$15)*MIN(Mkt!AA39,Z39*(1+Inputs!$B$18))),Z39)))</f>
        <v>1570.75</v>
      </c>
      <c r="AB39" s="11" t="n">
        <f aca="false">IF(AB$1&lt;Units!$P38,0,IF(AND(Units!$K38=0,AB$1=Units!$O38),Units!$R38,IF(AND(AB$1&gt;=Units!$Q38,MOD(AB$1-Units!$Q38,12)=0),IF(AND(Units!$L38=1,AB$1=Units!$Q38),IF(Units!$J38&lt;&gt;"",Units!$J38,Mkt!AB39),Inputs!$B$15*Mkt!AB39+(1-Inputs!$B$15)*MIN(Mkt!AB39,AA39*(1+Inputs!$B$18))),AA39)))</f>
        <v>1570.75</v>
      </c>
      <c r="AC39" s="11" t="n">
        <f aca="false">IF(AC$1&lt;Units!$P38,0,IF(AND(Units!$K38=0,AC$1=Units!$O38),Units!$R38,IF(AND(AC$1&gt;=Units!$Q38,MOD(AC$1-Units!$Q38,12)=0),IF(AND(Units!$L38=1,AC$1=Units!$Q38),IF(Units!$J38&lt;&gt;"",Units!$J38,Mkt!AC39),Inputs!$B$15*Mkt!AC39+(1-Inputs!$B$15)*MIN(Mkt!AC39,AB39*(1+Inputs!$B$18))),AB39)))</f>
        <v>1570.75</v>
      </c>
      <c r="AD39" s="11" t="n">
        <f aca="false">IF(AD$1&lt;Units!$P38,0,IF(AND(Units!$K38=0,AD$1=Units!$O38),Units!$R38,IF(AND(AD$1&gt;=Units!$Q38,MOD(AD$1-Units!$Q38,12)=0),IF(AND(Units!$L38=1,AD$1=Units!$Q38),IF(Units!$J38&lt;&gt;"",Units!$J38,Mkt!AD39),Inputs!$B$15*Mkt!AD39+(1-Inputs!$B$15)*MIN(Mkt!AD39,AC39*(1+Inputs!$B$18))),AC39)))</f>
        <v>1617.8725</v>
      </c>
      <c r="AE39" s="11" t="n">
        <f aca="false">IF(AE$1&lt;Units!$P38,0,IF(AND(Units!$K38=0,AE$1=Units!$O38),Units!$R38,IF(AND(AE$1&gt;=Units!$Q38,MOD(AE$1-Units!$Q38,12)=0),IF(AND(Units!$L38=1,AE$1=Units!$Q38),IF(Units!$J38&lt;&gt;"",Units!$J38,Mkt!AE39),Inputs!$B$15*Mkt!AE39+(1-Inputs!$B$15)*MIN(Mkt!AE39,AD39*(1+Inputs!$B$18))),AD39)))</f>
        <v>1617.8725</v>
      </c>
      <c r="AF39" s="11" t="n">
        <f aca="false">IF(AF$1&lt;Units!$P38,0,IF(AND(Units!$K38=0,AF$1=Units!$O38),Units!$R38,IF(AND(AF$1&gt;=Units!$Q38,MOD(AF$1-Units!$Q38,12)=0),IF(AND(Units!$L38=1,AF$1=Units!$Q38),IF(Units!$J38&lt;&gt;"",Units!$J38,Mkt!AF39),Inputs!$B$15*Mkt!AF39+(1-Inputs!$B$15)*MIN(Mkt!AF39,AE39*(1+Inputs!$B$18))),AE39)))</f>
        <v>1617.8725</v>
      </c>
      <c r="AG39" s="11" t="n">
        <f aca="false">IF(AG$1&lt;Units!$P38,0,IF(AND(Units!$K38=0,AG$1=Units!$O38),Units!$R38,IF(AND(AG$1&gt;=Units!$Q38,MOD(AG$1-Units!$Q38,12)=0),IF(AND(Units!$L38=1,AG$1=Units!$Q38),IF(Units!$J38&lt;&gt;"",Units!$J38,Mkt!AG39),Inputs!$B$15*Mkt!AG39+(1-Inputs!$B$15)*MIN(Mkt!AG39,AF39*(1+Inputs!$B$18))),AF39)))</f>
        <v>1617.8725</v>
      </c>
      <c r="AH39" s="11" t="n">
        <f aca="false">IF(AH$1&lt;Units!$P38,0,IF(AND(Units!$K38=0,AH$1=Units!$O38),Units!$R38,IF(AND(AH$1&gt;=Units!$Q38,MOD(AH$1-Units!$Q38,12)=0),IF(AND(Units!$L38=1,AH$1=Units!$Q38),IF(Units!$J38&lt;&gt;"",Units!$J38,Mkt!AH39),Inputs!$B$15*Mkt!AH39+(1-Inputs!$B$15)*MIN(Mkt!AH39,AG39*(1+Inputs!$B$18))),AG39)))</f>
        <v>1617.8725</v>
      </c>
      <c r="AI39" s="11" t="n">
        <f aca="false">IF(AI$1&lt;Units!$P38,0,IF(AND(Units!$K38=0,AI$1=Units!$O38),Units!$R38,IF(AND(AI$1&gt;=Units!$Q38,MOD(AI$1-Units!$Q38,12)=0),IF(AND(Units!$L38=1,AI$1=Units!$Q38),IF(Units!$J38&lt;&gt;"",Units!$J38,Mkt!AI39),Inputs!$B$15*Mkt!AI39+(1-Inputs!$B$15)*MIN(Mkt!AI39,AH39*(1+Inputs!$B$18))),AH39)))</f>
        <v>1617.8725</v>
      </c>
      <c r="AJ39" s="11" t="n">
        <f aca="false">IF(AJ$1&lt;Units!$P38,0,IF(AND(Units!$K38=0,AJ$1=Units!$O38),Units!$R38,IF(AND(AJ$1&gt;=Units!$Q38,MOD(AJ$1-Units!$Q38,12)=0),IF(AND(Units!$L38=1,AJ$1=Units!$Q38),IF(Units!$J38&lt;&gt;"",Units!$J38,Mkt!AJ39),Inputs!$B$15*Mkt!AJ39+(1-Inputs!$B$15)*MIN(Mkt!AJ39,AI39*(1+Inputs!$B$18))),AI39)))</f>
        <v>1617.8725</v>
      </c>
      <c r="AK39" s="11" t="n">
        <f aca="false">IF(AK$1&lt;Units!$P38,0,IF(AND(Units!$K38=0,AK$1=Units!$O38),Units!$R38,IF(AND(AK$1&gt;=Units!$Q38,MOD(AK$1-Units!$Q38,12)=0),IF(AND(Units!$L38=1,AK$1=Units!$Q38),IF(Units!$J38&lt;&gt;"",Units!$J38,Mkt!AK39),Inputs!$B$15*Mkt!AK39+(1-Inputs!$B$15)*MIN(Mkt!AK39,AJ39*(1+Inputs!$B$18))),AJ39)))</f>
        <v>1617.8725</v>
      </c>
      <c r="AL39" s="11" t="n">
        <f aca="false">IF(AL$1&lt;Units!$P38,0,IF(AND(Units!$K38=0,AL$1=Units!$O38),Units!$R38,IF(AND(AL$1&gt;=Units!$Q38,MOD(AL$1-Units!$Q38,12)=0),IF(AND(Units!$L38=1,AL$1=Units!$Q38),IF(Units!$J38&lt;&gt;"",Units!$J38,Mkt!AL39),Inputs!$B$15*Mkt!AL39+(1-Inputs!$B$15)*MIN(Mkt!AL39,AK39*(1+Inputs!$B$18))),AK39)))</f>
        <v>1617.8725</v>
      </c>
      <c r="AM39" s="11" t="n">
        <f aca="false">IF(AM$1&lt;Units!$P38,0,IF(AND(Units!$K38=0,AM$1=Units!$O38),Units!$R38,IF(AND(AM$1&gt;=Units!$Q38,MOD(AM$1-Units!$Q38,12)=0),IF(AND(Units!$L38=1,AM$1=Units!$Q38),IF(Units!$J38&lt;&gt;"",Units!$J38,Mkt!AM39),Inputs!$B$15*Mkt!AM39+(1-Inputs!$B$15)*MIN(Mkt!AM39,AL39*(1+Inputs!$B$18))),AL39)))</f>
        <v>1617.8725</v>
      </c>
      <c r="AN39" s="11" t="n">
        <f aca="false">IF(AN$1&lt;Units!$P38,0,IF(AND(Units!$K38=0,AN$1=Units!$O38),Units!$R38,IF(AND(AN$1&gt;=Units!$Q38,MOD(AN$1-Units!$Q38,12)=0),IF(AND(Units!$L38=1,AN$1=Units!$Q38),IF(Units!$J38&lt;&gt;"",Units!$J38,Mkt!AN39),Inputs!$B$15*Mkt!AN39+(1-Inputs!$B$15)*MIN(Mkt!AN39,AM39*(1+Inputs!$B$18))),AM39)))</f>
        <v>1617.8725</v>
      </c>
      <c r="AO39" s="11" t="n">
        <f aca="false">IF(AO$1&lt;Units!$P38,0,IF(AND(Units!$K38=0,AO$1=Units!$O38),Units!$R38,IF(AND(AO$1&gt;=Units!$Q38,MOD(AO$1-Units!$Q38,12)=0),IF(AND(Units!$L38=1,AO$1=Units!$Q38),IF(Units!$J38&lt;&gt;"",Units!$J38,Mkt!AO39),Inputs!$B$15*Mkt!AO39+(1-Inputs!$B$15)*MIN(Mkt!AO39,AN39*(1+Inputs!$B$18))),AN39)))</f>
        <v>1617.8725</v>
      </c>
      <c r="AP39" s="11" t="n">
        <f aca="false">IF(AP$1&lt;Units!$P38,0,IF(AND(Units!$K38=0,AP$1=Units!$O38),Units!$R38,IF(AND(AP$1&gt;=Units!$Q38,MOD(AP$1-Units!$Q38,12)=0),IF(AND(Units!$L38=1,AP$1=Units!$Q38),IF(Units!$J38&lt;&gt;"",Units!$J38,Mkt!AP39),Inputs!$B$15*Mkt!AP39+(1-Inputs!$B$15)*MIN(Mkt!AP39,AO39*(1+Inputs!$B$18))),AO39)))</f>
        <v>1666.408675</v>
      </c>
      <c r="AQ39" s="11" t="n">
        <f aca="false">IF(AQ$1&lt;Units!$P38,0,IF(AND(Units!$K38=0,AQ$1=Units!$O38),Units!$R38,IF(AND(AQ$1&gt;=Units!$Q38,MOD(AQ$1-Units!$Q38,12)=0),IF(AND(Units!$L38=1,AQ$1=Units!$Q38),IF(Units!$J38&lt;&gt;"",Units!$J38,Mkt!AQ39),Inputs!$B$15*Mkt!AQ39+(1-Inputs!$B$15)*MIN(Mkt!AQ39,AP39*(1+Inputs!$B$18))),AP39)))</f>
        <v>1666.408675</v>
      </c>
      <c r="AR39" s="11" t="n">
        <f aca="false">IF(AR$1&lt;Units!$P38,0,IF(AND(Units!$K38=0,AR$1=Units!$O38),Units!$R38,IF(AND(AR$1&gt;=Units!$Q38,MOD(AR$1-Units!$Q38,12)=0),IF(AND(Units!$L38=1,AR$1=Units!$Q38),IF(Units!$J38&lt;&gt;"",Units!$J38,Mkt!AR39),Inputs!$B$15*Mkt!AR39+(1-Inputs!$B$15)*MIN(Mkt!AR39,AQ39*(1+Inputs!$B$18))),AQ39)))</f>
        <v>1666.408675</v>
      </c>
      <c r="AS39" s="11" t="n">
        <f aca="false">IF(AS$1&lt;Units!$P38,0,IF(AND(Units!$K38=0,AS$1=Units!$O38),Units!$R38,IF(AND(AS$1&gt;=Units!$Q38,MOD(AS$1-Units!$Q38,12)=0),IF(AND(Units!$L38=1,AS$1=Units!$Q38),IF(Units!$J38&lt;&gt;"",Units!$J38,Mkt!AS39),Inputs!$B$15*Mkt!AS39+(1-Inputs!$B$15)*MIN(Mkt!AS39,AR39*(1+Inputs!$B$18))),AR39)))</f>
        <v>1666.408675</v>
      </c>
      <c r="AT39" s="11" t="n">
        <f aca="false">IF(AT$1&lt;Units!$P38,0,IF(AND(Units!$K38=0,AT$1=Units!$O38),Units!$R38,IF(AND(AT$1&gt;=Units!$Q38,MOD(AT$1-Units!$Q38,12)=0),IF(AND(Units!$L38=1,AT$1=Units!$Q38),IF(Units!$J38&lt;&gt;"",Units!$J38,Mkt!AT39),Inputs!$B$15*Mkt!AT39+(1-Inputs!$B$15)*MIN(Mkt!AT39,AS39*(1+Inputs!$B$18))),AS39)))</f>
        <v>1666.408675</v>
      </c>
      <c r="AU39" s="11" t="n">
        <f aca="false">IF(AU$1&lt;Units!$P38,0,IF(AND(Units!$K38=0,AU$1=Units!$O38),Units!$R38,IF(AND(AU$1&gt;=Units!$Q38,MOD(AU$1-Units!$Q38,12)=0),IF(AND(Units!$L38=1,AU$1=Units!$Q38),IF(Units!$J38&lt;&gt;"",Units!$J38,Mkt!AU39),Inputs!$B$15*Mkt!AU39+(1-Inputs!$B$15)*MIN(Mkt!AU39,AT39*(1+Inputs!$B$18))),AT39)))</f>
        <v>1666.408675</v>
      </c>
      <c r="AV39" s="11" t="n">
        <f aca="false">IF(AV$1&lt;Units!$P38,0,IF(AND(Units!$K38=0,AV$1=Units!$O38),Units!$R38,IF(AND(AV$1&gt;=Units!$Q38,MOD(AV$1-Units!$Q38,12)=0),IF(AND(Units!$L38=1,AV$1=Units!$Q38),IF(Units!$J38&lt;&gt;"",Units!$J38,Mkt!AV39),Inputs!$B$15*Mkt!AV39+(1-Inputs!$B$15)*MIN(Mkt!AV39,AU39*(1+Inputs!$B$18))),AU39)))</f>
        <v>1666.408675</v>
      </c>
      <c r="AW39" s="11" t="n">
        <f aca="false">IF(AW$1&lt;Units!$P38,0,IF(AND(Units!$K38=0,AW$1=Units!$O38),Units!$R38,IF(AND(AW$1&gt;=Units!$Q38,MOD(AW$1-Units!$Q38,12)=0),IF(AND(Units!$L38=1,AW$1=Units!$Q38),IF(Units!$J38&lt;&gt;"",Units!$J38,Mkt!AW39),Inputs!$B$15*Mkt!AW39+(1-Inputs!$B$15)*MIN(Mkt!AW39,AV39*(1+Inputs!$B$18))),AV39)))</f>
        <v>1666.408675</v>
      </c>
      <c r="AX39" s="11" t="n">
        <f aca="false">IF(AX$1&lt;Units!$P38,0,IF(AND(Units!$K38=0,AX$1=Units!$O38),Units!$R38,IF(AND(AX$1&gt;=Units!$Q38,MOD(AX$1-Units!$Q38,12)=0),IF(AND(Units!$L38=1,AX$1=Units!$Q38),IF(Units!$J38&lt;&gt;"",Units!$J38,Mkt!AX39),Inputs!$B$15*Mkt!AX39+(1-Inputs!$B$15)*MIN(Mkt!AX39,AW39*(1+Inputs!$B$18))),AW39)))</f>
        <v>1666.408675</v>
      </c>
      <c r="AY39" s="11" t="n">
        <f aca="false">IF(AY$1&lt;Units!$P38,0,IF(AND(Units!$K38=0,AY$1=Units!$O38),Units!$R38,IF(AND(AY$1&gt;=Units!$Q38,MOD(AY$1-Units!$Q38,12)=0),IF(AND(Units!$L38=1,AY$1=Units!$Q38),IF(Units!$J38&lt;&gt;"",Units!$J38,Mkt!AY39),Inputs!$B$15*Mkt!AY39+(1-Inputs!$B$15)*MIN(Mkt!AY39,AX39*(1+Inputs!$B$18))),AX39)))</f>
        <v>1666.408675</v>
      </c>
      <c r="AZ39" s="11" t="n">
        <f aca="false">IF(AZ$1&lt;Units!$P38,0,IF(AND(Units!$K38=0,AZ$1=Units!$O38),Units!$R38,IF(AND(AZ$1&gt;=Units!$Q38,MOD(AZ$1-Units!$Q38,12)=0),IF(AND(Units!$L38=1,AZ$1=Units!$Q38),IF(Units!$J38&lt;&gt;"",Units!$J38,Mkt!AZ39),Inputs!$B$15*Mkt!AZ39+(1-Inputs!$B$15)*MIN(Mkt!AZ39,AY39*(1+Inputs!$B$18))),AY39)))</f>
        <v>1666.408675</v>
      </c>
      <c r="BA39" s="11" t="n">
        <f aca="false">IF(BA$1&lt;Units!$P38,0,IF(AND(Units!$K38=0,BA$1=Units!$O38),Units!$R38,IF(AND(BA$1&gt;=Units!$Q38,MOD(BA$1-Units!$Q38,12)=0),IF(AND(Units!$L38=1,BA$1=Units!$Q38),IF(Units!$J38&lt;&gt;"",Units!$J38,Mkt!BA39),Inputs!$B$15*Mkt!BA39+(1-Inputs!$B$15)*MIN(Mkt!BA39,AZ39*(1+Inputs!$B$18))),AZ39)))</f>
        <v>1666.408675</v>
      </c>
      <c r="BB39" s="11" t="n">
        <f aca="false">IF(BB$1&lt;Units!$P38,0,IF(AND(Units!$K38=0,BB$1=Units!$O38),Units!$R38,IF(AND(BB$1&gt;=Units!$Q38,MOD(BB$1-Units!$Q38,12)=0),IF(AND(Units!$L38=1,BB$1=Units!$Q38),IF(Units!$J38&lt;&gt;"",Units!$J38,Mkt!BB39),Inputs!$B$15*Mkt!BB39+(1-Inputs!$B$15)*MIN(Mkt!BB39,BA39*(1+Inputs!$B$18))),BA39)))</f>
        <v>1716.40093525</v>
      </c>
      <c r="BC39" s="11" t="n">
        <f aca="false">IF(BC$1&lt;Units!$P38,0,IF(AND(Units!$K38=0,BC$1=Units!$O38),Units!$R38,IF(AND(BC$1&gt;=Units!$Q38,MOD(BC$1-Units!$Q38,12)=0),IF(AND(Units!$L38=1,BC$1=Units!$Q38),IF(Units!$J38&lt;&gt;"",Units!$J38,Mkt!BC39),Inputs!$B$15*Mkt!BC39+(1-Inputs!$B$15)*MIN(Mkt!BC39,BB39*(1+Inputs!$B$18))),BB39)))</f>
        <v>1716.40093525</v>
      </c>
      <c r="BD39" s="11" t="n">
        <f aca="false">IF(BD$1&lt;Units!$P38,0,IF(AND(Units!$K38=0,BD$1=Units!$O38),Units!$R38,IF(AND(BD$1&gt;=Units!$Q38,MOD(BD$1-Units!$Q38,12)=0),IF(AND(Units!$L38=1,BD$1=Units!$Q38),IF(Units!$J38&lt;&gt;"",Units!$J38,Mkt!BD39),Inputs!$B$15*Mkt!BD39+(1-Inputs!$B$15)*MIN(Mkt!BD39,BC39*(1+Inputs!$B$18))),BC39)))</f>
        <v>1716.40093525</v>
      </c>
      <c r="BE39" s="11" t="n">
        <f aca="false">IF(BE$1&lt;Units!$P38,0,IF(AND(Units!$K38=0,BE$1=Units!$O38),Units!$R38,IF(AND(BE$1&gt;=Units!$Q38,MOD(BE$1-Units!$Q38,12)=0),IF(AND(Units!$L38=1,BE$1=Units!$Q38),IF(Units!$J38&lt;&gt;"",Units!$J38,Mkt!BE39),Inputs!$B$15*Mkt!BE39+(1-Inputs!$B$15)*MIN(Mkt!BE39,BD39*(1+Inputs!$B$18))),BD39)))</f>
        <v>1716.40093525</v>
      </c>
      <c r="BF39" s="11" t="n">
        <f aca="false">IF(BF$1&lt;Units!$P38,0,IF(AND(Units!$K38=0,BF$1=Units!$O38),Units!$R38,IF(AND(BF$1&gt;=Units!$Q38,MOD(BF$1-Units!$Q38,12)=0),IF(AND(Units!$L38=1,BF$1=Units!$Q38),IF(Units!$J38&lt;&gt;"",Units!$J38,Mkt!BF39),Inputs!$B$15*Mkt!BF39+(1-Inputs!$B$15)*MIN(Mkt!BF39,BE39*(1+Inputs!$B$18))),BE39)))</f>
        <v>1716.40093525</v>
      </c>
      <c r="BG39" s="11" t="n">
        <f aca="false">IF(BG$1&lt;Units!$P38,0,IF(AND(Units!$K38=0,BG$1=Units!$O38),Units!$R38,IF(AND(BG$1&gt;=Units!$Q38,MOD(BG$1-Units!$Q38,12)=0),IF(AND(Units!$L38=1,BG$1=Units!$Q38),IF(Units!$J38&lt;&gt;"",Units!$J38,Mkt!BG39),Inputs!$B$15*Mkt!BG39+(1-Inputs!$B$15)*MIN(Mkt!BG39,BF39*(1+Inputs!$B$18))),BF39)))</f>
        <v>1716.40093525</v>
      </c>
      <c r="BH39" s="11" t="n">
        <f aca="false">IF(BH$1&lt;Units!$P38,0,IF(AND(Units!$K38=0,BH$1=Units!$O38),Units!$R38,IF(AND(BH$1&gt;=Units!$Q38,MOD(BH$1-Units!$Q38,12)=0),IF(AND(Units!$L38=1,BH$1=Units!$Q38),IF(Units!$J38&lt;&gt;"",Units!$J38,Mkt!BH39),Inputs!$B$15*Mkt!BH39+(1-Inputs!$B$15)*MIN(Mkt!BH39,BG39*(1+Inputs!$B$18))),BG39)))</f>
        <v>1716.40093525</v>
      </c>
      <c r="BI39" s="11" t="n">
        <f aca="false">IF(BI$1&lt;Units!$P38,0,IF(AND(Units!$K38=0,BI$1=Units!$O38),Units!$R38,IF(AND(BI$1&gt;=Units!$Q38,MOD(BI$1-Units!$Q38,12)=0),IF(AND(Units!$L38=1,BI$1=Units!$Q38),IF(Units!$J38&lt;&gt;"",Units!$J38,Mkt!BI39),Inputs!$B$15*Mkt!BI39+(1-Inputs!$B$15)*MIN(Mkt!BI39,BH39*(1+Inputs!$B$18))),BH39)))</f>
        <v>1716.40093525</v>
      </c>
      <c r="BJ39" s="11" t="n">
        <f aca="false">IF(BJ$1&lt;Units!$P38,0,IF(AND(Units!$K38=0,BJ$1=Units!$O38),Units!$R38,IF(AND(BJ$1&gt;=Units!$Q38,MOD(BJ$1-Units!$Q38,12)=0),IF(AND(Units!$L38=1,BJ$1=Units!$Q38),IF(Units!$J38&lt;&gt;"",Units!$J38,Mkt!BJ39),Inputs!$B$15*Mkt!BJ39+(1-Inputs!$B$15)*MIN(Mkt!BJ39,BI39*(1+Inputs!$B$18))),BI39)))</f>
        <v>1716.40093525</v>
      </c>
      <c r="BK39" s="11" t="n">
        <f aca="false">IF(BK$1&lt;Units!$P38,0,IF(AND(Units!$K38=0,BK$1=Units!$O38),Units!$R38,IF(AND(BK$1&gt;=Units!$Q38,MOD(BK$1-Units!$Q38,12)=0),IF(AND(Units!$L38=1,BK$1=Units!$Q38),IF(Units!$J38&lt;&gt;"",Units!$J38,Mkt!BK39),Inputs!$B$15*Mkt!BK39+(1-Inputs!$B$15)*MIN(Mkt!BK39,BJ39*(1+Inputs!$B$18))),BJ39)))</f>
        <v>1716.40093525</v>
      </c>
      <c r="BL39" s="11" t="n">
        <f aca="false">IF(BL$1&lt;Units!$P38,0,IF(AND(Units!$K38=0,BL$1=Units!$O38),Units!$R38,IF(AND(BL$1&gt;=Units!$Q38,MOD(BL$1-Units!$Q38,12)=0),IF(AND(Units!$L38=1,BL$1=Units!$Q38),IF(Units!$J38&lt;&gt;"",Units!$J38,Mkt!BL39),Inputs!$B$15*Mkt!BL39+(1-Inputs!$B$15)*MIN(Mkt!BL39,BK39*(1+Inputs!$B$18))),BK39)))</f>
        <v>1716.40093525</v>
      </c>
      <c r="BM39" s="11" t="n">
        <f aca="false">IF(BM$1&lt;Units!$P38,0,IF(AND(Units!$K38=0,BM$1=Units!$O38),Units!$R38,IF(AND(BM$1&gt;=Units!$Q38,MOD(BM$1-Units!$Q38,12)=0),IF(AND(Units!$L38=1,BM$1=Units!$Q38),IF(Units!$J38&lt;&gt;"",Units!$J38,Mkt!BM39),Inputs!$B$15*Mkt!BM39+(1-Inputs!$B$15)*MIN(Mkt!BM39,BL39*(1+Inputs!$B$18))),BL39)))</f>
        <v>1716.40093525</v>
      </c>
      <c r="BN39" s="11" t="n">
        <f aca="false">IF(BN$1&lt;Units!$P38,0,IF(AND(Units!$K38=0,BN$1=Units!$O38),Units!$R38,IF(AND(BN$1&gt;=Units!$Q38,MOD(BN$1-Units!$Q38,12)=0),IF(AND(Units!$L38=1,BN$1=Units!$Q38),IF(Units!$J38&lt;&gt;"",Units!$J38,Mkt!BN39),Inputs!$B$15*Mkt!BN39+(1-Inputs!$B$15)*MIN(Mkt!BN39,BM39*(1+Inputs!$B$18))),BM39)))</f>
        <v>1767.8929633075</v>
      </c>
      <c r="BO39" s="11" t="n">
        <f aca="false">IF(BO$1&lt;Units!$P38,0,IF(AND(Units!$K38=0,BO$1=Units!$O38),Units!$R38,IF(AND(BO$1&gt;=Units!$Q38,MOD(BO$1-Units!$Q38,12)=0),IF(AND(Units!$L38=1,BO$1=Units!$Q38),IF(Units!$J38&lt;&gt;"",Units!$J38,Mkt!BO39),Inputs!$B$15*Mkt!BO39+(1-Inputs!$B$15)*MIN(Mkt!BO39,BN39*(1+Inputs!$B$18))),BN39)))</f>
        <v>1767.8929633075</v>
      </c>
      <c r="BP39" s="11" t="n">
        <f aca="false">IF(BP$1&lt;Units!$P38,0,IF(AND(Units!$K38=0,BP$1=Units!$O38),Units!$R38,IF(AND(BP$1&gt;=Units!$Q38,MOD(BP$1-Units!$Q38,12)=0),IF(AND(Units!$L38=1,BP$1=Units!$Q38),IF(Units!$J38&lt;&gt;"",Units!$J38,Mkt!BP39),Inputs!$B$15*Mkt!BP39+(1-Inputs!$B$15)*MIN(Mkt!BP39,BO39*(1+Inputs!$B$18))),BO39)))</f>
        <v>1767.8929633075</v>
      </c>
      <c r="BQ39" s="11" t="n">
        <f aca="false">IF(BQ$1&lt;Units!$P38,0,IF(AND(Units!$K38=0,BQ$1=Units!$O38),Units!$R38,IF(AND(BQ$1&gt;=Units!$Q38,MOD(BQ$1-Units!$Q38,12)=0),IF(AND(Units!$L38=1,BQ$1=Units!$Q38),IF(Units!$J38&lt;&gt;"",Units!$J38,Mkt!BQ39),Inputs!$B$15*Mkt!BQ39+(1-Inputs!$B$15)*MIN(Mkt!BQ39,BP39*(1+Inputs!$B$18))),BP39)))</f>
        <v>1767.8929633075</v>
      </c>
      <c r="BR39" s="11" t="n">
        <f aca="false">IF(BR$1&lt;Units!$P38,0,IF(AND(Units!$K38=0,BR$1=Units!$O38),Units!$R38,IF(AND(BR$1&gt;=Units!$Q38,MOD(BR$1-Units!$Q38,12)=0),IF(AND(Units!$L38=1,BR$1=Units!$Q38),IF(Units!$J38&lt;&gt;"",Units!$J38,Mkt!BR39),Inputs!$B$15*Mkt!BR39+(1-Inputs!$B$15)*MIN(Mkt!BR39,BQ39*(1+Inputs!$B$18))),BQ39)))</f>
        <v>1767.8929633075</v>
      </c>
      <c r="BS39" s="11" t="n">
        <f aca="false">IF(BS$1&lt;Units!$P38,0,IF(AND(Units!$K38=0,BS$1=Units!$O38),Units!$R38,IF(AND(BS$1&gt;=Units!$Q38,MOD(BS$1-Units!$Q38,12)=0),IF(AND(Units!$L38=1,BS$1=Units!$Q38),IF(Units!$J38&lt;&gt;"",Units!$J38,Mkt!BS39),Inputs!$B$15*Mkt!BS39+(1-Inputs!$B$15)*MIN(Mkt!BS39,BR39*(1+Inputs!$B$18))),BR39)))</f>
        <v>1767.8929633075</v>
      </c>
      <c r="BT39" s="11" t="n">
        <f aca="false">IF(BT$1&lt;Units!$P38,0,IF(AND(Units!$K38=0,BT$1=Units!$O38),Units!$R38,IF(AND(BT$1&gt;=Units!$Q38,MOD(BT$1-Units!$Q38,12)=0),IF(AND(Units!$L38=1,BT$1=Units!$Q38),IF(Units!$J38&lt;&gt;"",Units!$J38,Mkt!BT39),Inputs!$B$15*Mkt!BT39+(1-Inputs!$B$15)*MIN(Mkt!BT39,BS39*(1+Inputs!$B$18))),BS39)))</f>
        <v>1767.8929633075</v>
      </c>
      <c r="BU39" s="11" t="n">
        <f aca="false">IF(BU$1&lt;Units!$P38,0,IF(AND(Units!$K38=0,BU$1=Units!$O38),Units!$R38,IF(AND(BU$1&gt;=Units!$Q38,MOD(BU$1-Units!$Q38,12)=0),IF(AND(Units!$L38=1,BU$1=Units!$Q38),IF(Units!$J38&lt;&gt;"",Units!$J38,Mkt!BU39),Inputs!$B$15*Mkt!BU39+(1-Inputs!$B$15)*MIN(Mkt!BU39,BT39*(1+Inputs!$B$18))),BT39)))</f>
        <v>1767.8929633075</v>
      </c>
      <c r="BV39" s="11" t="n">
        <f aca="false">IF(BV$1&lt;Units!$P38,0,IF(AND(Units!$K38=0,BV$1=Units!$O38),Units!$R38,IF(AND(BV$1&gt;=Units!$Q38,MOD(BV$1-Units!$Q38,12)=0),IF(AND(Units!$L38=1,BV$1=Units!$Q38),IF(Units!$J38&lt;&gt;"",Units!$J38,Mkt!BV39),Inputs!$B$15*Mkt!BV39+(1-Inputs!$B$15)*MIN(Mkt!BV39,BU39*(1+Inputs!$B$18))),BU39)))</f>
        <v>1767.8929633075</v>
      </c>
      <c r="BW39" s="11" t="n">
        <f aca="false">IF(BW$1&lt;Units!$P38,0,IF(AND(Units!$K38=0,BW$1=Units!$O38),Units!$R38,IF(AND(BW$1&gt;=Units!$Q38,MOD(BW$1-Units!$Q38,12)=0),IF(AND(Units!$L38=1,BW$1=Units!$Q38),IF(Units!$J38&lt;&gt;"",Units!$J38,Mkt!BW39),Inputs!$B$15*Mkt!BW39+(1-Inputs!$B$15)*MIN(Mkt!BW39,BV39*(1+Inputs!$B$18))),BV39)))</f>
        <v>1767.8929633075</v>
      </c>
      <c r="BX39" s="11" t="n">
        <f aca="false">IF(BX$1&lt;Units!$P38,0,IF(AND(Units!$K38=0,BX$1=Units!$O38),Units!$R38,IF(AND(BX$1&gt;=Units!$Q38,MOD(BX$1-Units!$Q38,12)=0),IF(AND(Units!$L38=1,BX$1=Units!$Q38),IF(Units!$J38&lt;&gt;"",Units!$J38,Mkt!BX39),Inputs!$B$15*Mkt!BX39+(1-Inputs!$B$15)*MIN(Mkt!BX39,BW39*(1+Inputs!$B$18))),BW39)))</f>
        <v>1767.8929633075</v>
      </c>
      <c r="BY39" s="11" t="n">
        <f aca="false">IF(BY$1&lt;Units!$P38,0,IF(AND(Units!$K38=0,BY$1=Units!$O38),Units!$R38,IF(AND(BY$1&gt;=Units!$Q38,MOD(BY$1-Units!$Q38,12)=0),IF(AND(Units!$L38=1,BY$1=Units!$Q38),IF(Units!$J38&lt;&gt;"",Units!$J38,Mkt!BY39),Inputs!$B$15*Mkt!BY39+(1-Inputs!$B$15)*MIN(Mkt!BY39,BX39*(1+Inputs!$B$18))),BX39)))</f>
        <v>1767.8929633075</v>
      </c>
      <c r="BZ39" s="11" t="n">
        <f aca="false">IF(BZ$1&lt;Units!$P38,0,IF(AND(Units!$K38=0,BZ$1=Units!$O38),Units!$R38,IF(AND(BZ$1&gt;=Units!$Q38,MOD(BZ$1-Units!$Q38,12)=0),IF(AND(Units!$L38=1,BZ$1=Units!$Q38),IF(Units!$J38&lt;&gt;"",Units!$J38,Mkt!BZ39),Inputs!$B$15*Mkt!BZ39+(1-Inputs!$B$15)*MIN(Mkt!BZ39,BY39*(1+Inputs!$B$18))),BY39)))</f>
        <v>1820.92975220673</v>
      </c>
      <c r="CA39" s="11" t="n">
        <f aca="false">IF(CA$1&lt;Units!$P38,0,IF(AND(Units!$K38=0,CA$1=Units!$O38),Units!$R38,IF(AND(CA$1&gt;=Units!$Q38,MOD(CA$1-Units!$Q38,12)=0),IF(AND(Units!$L38=1,CA$1=Units!$Q38),IF(Units!$J38&lt;&gt;"",Units!$J38,Mkt!CA39),Inputs!$B$15*Mkt!CA39+(1-Inputs!$B$15)*MIN(Mkt!CA39,BZ39*(1+Inputs!$B$18))),BZ39)))</f>
        <v>1820.92975220673</v>
      </c>
      <c r="CB39" s="11" t="n">
        <f aca="false">IF(CB$1&lt;Units!$P38,0,IF(AND(Units!$K38=0,CB$1=Units!$O38),Units!$R38,IF(AND(CB$1&gt;=Units!$Q38,MOD(CB$1-Units!$Q38,12)=0),IF(AND(Units!$L38=1,CB$1=Units!$Q38),IF(Units!$J38&lt;&gt;"",Units!$J38,Mkt!CB39),Inputs!$B$15*Mkt!CB39+(1-Inputs!$B$15)*MIN(Mkt!CB39,CA39*(1+Inputs!$B$18))),CA39)))</f>
        <v>1820.92975220673</v>
      </c>
      <c r="CC39" s="11" t="n">
        <f aca="false">IF(CC$1&lt;Units!$P38,0,IF(AND(Units!$K38=0,CC$1=Units!$O38),Units!$R38,IF(AND(CC$1&gt;=Units!$Q38,MOD(CC$1-Units!$Q38,12)=0),IF(AND(Units!$L38=1,CC$1=Units!$Q38),IF(Units!$J38&lt;&gt;"",Units!$J38,Mkt!CC39),Inputs!$B$15*Mkt!CC39+(1-Inputs!$B$15)*MIN(Mkt!CC39,CB39*(1+Inputs!$B$18))),CB39)))</f>
        <v>1820.92975220673</v>
      </c>
      <c r="CD39" s="11" t="n">
        <f aca="false">IF(CD$1&lt;Units!$P38,0,IF(AND(Units!$K38=0,CD$1=Units!$O38),Units!$R38,IF(AND(CD$1&gt;=Units!$Q38,MOD(CD$1-Units!$Q38,12)=0),IF(AND(Units!$L38=1,CD$1=Units!$Q38),IF(Units!$J38&lt;&gt;"",Units!$J38,Mkt!CD39),Inputs!$B$15*Mkt!CD39+(1-Inputs!$B$15)*MIN(Mkt!CD39,CC39*(1+Inputs!$B$18))),CC39)))</f>
        <v>1820.92975220673</v>
      </c>
      <c r="CE39" s="11" t="n">
        <f aca="false">IF(CE$1&lt;Units!$P38,0,IF(AND(Units!$K38=0,CE$1=Units!$O38),Units!$R38,IF(AND(CE$1&gt;=Units!$Q38,MOD(CE$1-Units!$Q38,12)=0),IF(AND(Units!$L38=1,CE$1=Units!$Q38),IF(Units!$J38&lt;&gt;"",Units!$J38,Mkt!CE39),Inputs!$B$15*Mkt!CE39+(1-Inputs!$B$15)*MIN(Mkt!CE39,CD39*(1+Inputs!$B$18))),CD39)))</f>
        <v>1820.92975220673</v>
      </c>
      <c r="CF39" s="11" t="n">
        <f aca="false">IF(CF$1&lt;Units!$P38,0,IF(AND(Units!$K38=0,CF$1=Units!$O38),Units!$R38,IF(AND(CF$1&gt;=Units!$Q38,MOD(CF$1-Units!$Q38,12)=0),IF(AND(Units!$L38=1,CF$1=Units!$Q38),IF(Units!$J38&lt;&gt;"",Units!$J38,Mkt!CF39),Inputs!$B$15*Mkt!CF39+(1-Inputs!$B$15)*MIN(Mkt!CF39,CE39*(1+Inputs!$B$18))),CE39)))</f>
        <v>1820.92975220673</v>
      </c>
      <c r="CG39" s="11" t="n">
        <f aca="false">IF(CG$1&lt;Units!$P38,0,IF(AND(Units!$K38=0,CG$1=Units!$O38),Units!$R38,IF(AND(CG$1&gt;=Units!$Q38,MOD(CG$1-Units!$Q38,12)=0),IF(AND(Units!$L38=1,CG$1=Units!$Q38),IF(Units!$J38&lt;&gt;"",Units!$J38,Mkt!CG39),Inputs!$B$15*Mkt!CG39+(1-Inputs!$B$15)*MIN(Mkt!CG39,CF39*(1+Inputs!$B$18))),CF39)))</f>
        <v>1820.92975220673</v>
      </c>
      <c r="CH39" s="11" t="n">
        <f aca="false">IF(CH$1&lt;Units!$P38,0,IF(AND(Units!$K38=0,CH$1=Units!$O38),Units!$R38,IF(AND(CH$1&gt;=Units!$Q38,MOD(CH$1-Units!$Q38,12)=0),IF(AND(Units!$L38=1,CH$1=Units!$Q38),IF(Units!$J38&lt;&gt;"",Units!$J38,Mkt!CH39),Inputs!$B$15*Mkt!CH39+(1-Inputs!$B$15)*MIN(Mkt!CH39,CG39*(1+Inputs!$B$18))),CG39)))</f>
        <v>1820.92975220673</v>
      </c>
      <c r="CI39" s="11" t="n">
        <f aca="false">IF(CI$1&lt;Units!$P38,0,IF(AND(Units!$K38=0,CI$1=Units!$O38),Units!$R38,IF(AND(CI$1&gt;=Units!$Q38,MOD(CI$1-Units!$Q38,12)=0),IF(AND(Units!$L38=1,CI$1=Units!$Q38),IF(Units!$J38&lt;&gt;"",Units!$J38,Mkt!CI39),Inputs!$B$15*Mkt!CI39+(1-Inputs!$B$15)*MIN(Mkt!CI39,CH39*(1+Inputs!$B$18))),CH39)))</f>
        <v>1820.92975220673</v>
      </c>
      <c r="CJ39" s="11" t="n">
        <f aca="false">IF(CJ$1&lt;Units!$P38,0,IF(AND(Units!$K38=0,CJ$1=Units!$O38),Units!$R38,IF(AND(CJ$1&gt;=Units!$Q38,MOD(CJ$1-Units!$Q38,12)=0),IF(AND(Units!$L38=1,CJ$1=Units!$Q38),IF(Units!$J38&lt;&gt;"",Units!$J38,Mkt!CJ39),Inputs!$B$15*Mkt!CJ39+(1-Inputs!$B$15)*MIN(Mkt!CJ39,CI39*(1+Inputs!$B$18))),CI39)))</f>
        <v>1820.92975220673</v>
      </c>
      <c r="CK39" s="11" t="n">
        <f aca="false">IF(CK$1&lt;Units!$P38,0,IF(AND(Units!$K38=0,CK$1=Units!$O38),Units!$R38,IF(AND(CK$1&gt;=Units!$Q38,MOD(CK$1-Units!$Q38,12)=0),IF(AND(Units!$L38=1,CK$1=Units!$Q38),IF(Units!$J38&lt;&gt;"",Units!$J38,Mkt!CK39),Inputs!$B$15*Mkt!CK39+(1-Inputs!$B$15)*MIN(Mkt!CK39,CJ39*(1+Inputs!$B$18))),CJ39)))</f>
        <v>1820.92975220673</v>
      </c>
      <c r="CL39" s="11" t="n">
        <f aca="false">IF(CL$1&lt;Units!$P38,0,IF(AND(Units!$K38=0,CL$1=Units!$O38),Units!$R38,IF(AND(CL$1&gt;=Units!$Q38,MOD(CL$1-Units!$Q38,12)=0),IF(AND(Units!$L38=1,CL$1=Units!$Q38),IF(Units!$J38&lt;&gt;"",Units!$J38,Mkt!CL39),Inputs!$B$15*Mkt!CL39+(1-Inputs!$B$15)*MIN(Mkt!CL39,CK39*(1+Inputs!$B$18))),CK39)))</f>
        <v>1875.55764477293</v>
      </c>
      <c r="CM39" s="11" t="n">
        <f aca="false">IF(CM$1&lt;Units!$P38,0,IF(AND(Units!$K38=0,CM$1=Units!$O38),Units!$R38,IF(AND(CM$1&gt;=Units!$Q38,MOD(CM$1-Units!$Q38,12)=0),IF(AND(Units!$L38=1,CM$1=Units!$Q38),IF(Units!$J38&lt;&gt;"",Units!$J38,Mkt!CM39),Inputs!$B$15*Mkt!CM39+(1-Inputs!$B$15)*MIN(Mkt!CM39,CL39*(1+Inputs!$B$18))),CL39)))</f>
        <v>1875.55764477293</v>
      </c>
      <c r="CN39" s="11" t="n">
        <f aca="false">IF(CN$1&lt;Units!$P38,0,IF(AND(Units!$K38=0,CN$1=Units!$O38),Units!$R38,IF(AND(CN$1&gt;=Units!$Q38,MOD(CN$1-Units!$Q38,12)=0),IF(AND(Units!$L38=1,CN$1=Units!$Q38),IF(Units!$J38&lt;&gt;"",Units!$J38,Mkt!CN39),Inputs!$B$15*Mkt!CN39+(1-Inputs!$B$15)*MIN(Mkt!CN39,CM39*(1+Inputs!$B$18))),CM39)))</f>
        <v>1875.55764477293</v>
      </c>
      <c r="CO39" s="11" t="n">
        <f aca="false">IF(CO$1&lt;Units!$P38,0,IF(AND(Units!$K38=0,CO$1=Units!$O38),Units!$R38,IF(AND(CO$1&gt;=Units!$Q38,MOD(CO$1-Units!$Q38,12)=0),IF(AND(Units!$L38=1,CO$1=Units!$Q38),IF(Units!$J38&lt;&gt;"",Units!$J38,Mkt!CO39),Inputs!$B$15*Mkt!CO39+(1-Inputs!$B$15)*MIN(Mkt!CO39,CN39*(1+Inputs!$B$18))),CN39)))</f>
        <v>1875.55764477293</v>
      </c>
      <c r="CP39" s="11" t="n">
        <f aca="false">IF(CP$1&lt;Units!$P38,0,IF(AND(Units!$K38=0,CP$1=Units!$O38),Units!$R38,IF(AND(CP$1&gt;=Units!$Q38,MOD(CP$1-Units!$Q38,12)=0),IF(AND(Units!$L38=1,CP$1=Units!$Q38),IF(Units!$J38&lt;&gt;"",Units!$J38,Mkt!CP39),Inputs!$B$15*Mkt!CP39+(1-Inputs!$B$15)*MIN(Mkt!CP39,CO39*(1+Inputs!$B$18))),CO39)))</f>
        <v>1875.55764477293</v>
      </c>
      <c r="CQ39" s="11" t="n">
        <f aca="false">IF(CQ$1&lt;Units!$P38,0,IF(AND(Units!$K38=0,CQ$1=Units!$O38),Units!$R38,IF(AND(CQ$1&gt;=Units!$Q38,MOD(CQ$1-Units!$Q38,12)=0),IF(AND(Units!$L38=1,CQ$1=Units!$Q38),IF(Units!$J38&lt;&gt;"",Units!$J38,Mkt!CQ39),Inputs!$B$15*Mkt!CQ39+(1-Inputs!$B$15)*MIN(Mkt!CQ39,CP39*(1+Inputs!$B$18))),CP39)))</f>
        <v>1875.55764477293</v>
      </c>
      <c r="CR39" s="11" t="n">
        <f aca="false">IF(CR$1&lt;Units!$P38,0,IF(AND(Units!$K38=0,CR$1=Units!$O38),Units!$R38,IF(AND(CR$1&gt;=Units!$Q38,MOD(CR$1-Units!$Q38,12)=0),IF(AND(Units!$L38=1,CR$1=Units!$Q38),IF(Units!$J38&lt;&gt;"",Units!$J38,Mkt!CR39),Inputs!$B$15*Mkt!CR39+(1-Inputs!$B$15)*MIN(Mkt!CR39,CQ39*(1+Inputs!$B$18))),CQ39)))</f>
        <v>1875.55764477293</v>
      </c>
      <c r="CS39" s="11" t="n">
        <f aca="false">IF(CS$1&lt;Units!$P38,0,IF(AND(Units!$K38=0,CS$1=Units!$O38),Units!$R38,IF(AND(CS$1&gt;=Units!$Q38,MOD(CS$1-Units!$Q38,12)=0),IF(AND(Units!$L38=1,CS$1=Units!$Q38),IF(Units!$J38&lt;&gt;"",Units!$J38,Mkt!CS39),Inputs!$B$15*Mkt!CS39+(1-Inputs!$B$15)*MIN(Mkt!CS39,CR39*(1+Inputs!$B$18))),CR39)))</f>
        <v>1875.55764477293</v>
      </c>
      <c r="CT39" s="11" t="n">
        <f aca="false">IF(CT$1&lt;Units!$P38,0,IF(AND(Units!$K38=0,CT$1=Units!$O38),Units!$R38,IF(AND(CT$1&gt;=Units!$Q38,MOD(CT$1-Units!$Q38,12)=0),IF(AND(Units!$L38=1,CT$1=Units!$Q38),IF(Units!$J38&lt;&gt;"",Units!$J38,Mkt!CT39),Inputs!$B$15*Mkt!CT39+(1-Inputs!$B$15)*MIN(Mkt!CT39,CS39*(1+Inputs!$B$18))),CS39)))</f>
        <v>1875.55764477293</v>
      </c>
      <c r="CU39" s="11" t="n">
        <f aca="false">IF(CU$1&lt;Units!$P38,0,IF(AND(Units!$K38=0,CU$1=Units!$O38),Units!$R38,IF(AND(CU$1&gt;=Units!$Q38,MOD(CU$1-Units!$Q38,12)=0),IF(AND(Units!$L38=1,CU$1=Units!$Q38),IF(Units!$J38&lt;&gt;"",Units!$J38,Mkt!CU39),Inputs!$B$15*Mkt!CU39+(1-Inputs!$B$15)*MIN(Mkt!CU39,CT39*(1+Inputs!$B$18))),CT39)))</f>
        <v>1875.55764477293</v>
      </c>
      <c r="CV39" s="11" t="n">
        <f aca="false">IF(CV$1&lt;Units!$P38,0,IF(AND(Units!$K38=0,CV$1=Units!$O38),Units!$R38,IF(AND(CV$1&gt;=Units!$Q38,MOD(CV$1-Units!$Q38,12)=0),IF(AND(Units!$L38=1,CV$1=Units!$Q38),IF(Units!$J38&lt;&gt;"",Units!$J38,Mkt!CV39),Inputs!$B$15*Mkt!CV39+(1-Inputs!$B$15)*MIN(Mkt!CV39,CU39*(1+Inputs!$B$18))),CU39)))</f>
        <v>1875.55764477293</v>
      </c>
      <c r="CW39" s="11" t="n">
        <f aca="false">IF(CW$1&lt;Units!$P38,0,IF(AND(Units!$K38=0,CW$1=Units!$O38),Units!$R38,IF(AND(CW$1&gt;=Units!$Q38,MOD(CW$1-Units!$Q38,12)=0),IF(AND(Units!$L38=1,CW$1=Units!$Q38),IF(Units!$J38&lt;&gt;"",Units!$J38,Mkt!CW39),Inputs!$B$15*Mkt!CW39+(1-Inputs!$B$15)*MIN(Mkt!CW39,CV39*(1+Inputs!$B$18))),CV39)))</f>
        <v>1875.55764477293</v>
      </c>
      <c r="CX39" s="11" t="n">
        <f aca="false">IF(CX$1&lt;Units!$P38,0,IF(AND(Units!$K38=0,CX$1=Units!$O38),Units!$R38,IF(AND(CX$1&gt;=Units!$Q38,MOD(CX$1-Units!$Q38,12)=0),IF(AND(Units!$L38=1,CX$1=Units!$Q38),IF(Units!$J38&lt;&gt;"",Units!$J38,Mkt!CX39),Inputs!$B$15*Mkt!CX39+(1-Inputs!$B$15)*MIN(Mkt!CX39,CW39*(1+Inputs!$B$18))),CW39)))</f>
        <v>1931.82437411612</v>
      </c>
      <c r="CY39" s="11" t="n">
        <f aca="false">IF(CY$1&lt;Units!$P38,0,IF(AND(Units!$K38=0,CY$1=Units!$O38),Units!$R38,IF(AND(CY$1&gt;=Units!$Q38,MOD(CY$1-Units!$Q38,12)=0),IF(AND(Units!$L38=1,CY$1=Units!$Q38),IF(Units!$J38&lt;&gt;"",Units!$J38,Mkt!CY39),Inputs!$B$15*Mkt!CY39+(1-Inputs!$B$15)*MIN(Mkt!CY39,CX39*(1+Inputs!$B$18))),CX39)))</f>
        <v>1931.82437411612</v>
      </c>
      <c r="CZ39" s="11" t="n">
        <f aca="false">IF(CZ$1&lt;Units!$P38,0,IF(AND(Units!$K38=0,CZ$1=Units!$O38),Units!$R38,IF(AND(CZ$1&gt;=Units!$Q38,MOD(CZ$1-Units!$Q38,12)=0),IF(AND(Units!$L38=1,CZ$1=Units!$Q38),IF(Units!$J38&lt;&gt;"",Units!$J38,Mkt!CZ39),Inputs!$B$15*Mkt!CZ39+(1-Inputs!$B$15)*MIN(Mkt!CZ39,CY39*(1+Inputs!$B$18))),CY39)))</f>
        <v>1931.82437411612</v>
      </c>
      <c r="DA39" s="11" t="n">
        <f aca="false">IF(DA$1&lt;Units!$P38,0,IF(AND(Units!$K38=0,DA$1=Units!$O38),Units!$R38,IF(AND(DA$1&gt;=Units!$Q38,MOD(DA$1-Units!$Q38,12)=0),IF(AND(Units!$L38=1,DA$1=Units!$Q38),IF(Units!$J38&lt;&gt;"",Units!$J38,Mkt!DA39),Inputs!$B$15*Mkt!DA39+(1-Inputs!$B$15)*MIN(Mkt!DA39,CZ39*(1+Inputs!$B$18))),CZ39)))</f>
        <v>1931.82437411612</v>
      </c>
      <c r="DB39" s="11" t="n">
        <f aca="false">IF(DB$1&lt;Units!$P38,0,IF(AND(Units!$K38=0,DB$1=Units!$O38),Units!$R38,IF(AND(DB$1&gt;=Units!$Q38,MOD(DB$1-Units!$Q38,12)=0),IF(AND(Units!$L38=1,DB$1=Units!$Q38),IF(Units!$J38&lt;&gt;"",Units!$J38,Mkt!DB39),Inputs!$B$15*Mkt!DB39+(1-Inputs!$B$15)*MIN(Mkt!DB39,DA39*(1+Inputs!$B$18))),DA39)))</f>
        <v>1931.82437411612</v>
      </c>
      <c r="DC39" s="11" t="n">
        <f aca="false">IF(DC$1&lt;Units!$P38,0,IF(AND(Units!$K38=0,DC$1=Units!$O38),Units!$R38,IF(AND(DC$1&gt;=Units!$Q38,MOD(DC$1-Units!$Q38,12)=0),IF(AND(Units!$L38=1,DC$1=Units!$Q38),IF(Units!$J38&lt;&gt;"",Units!$J38,Mkt!DC39),Inputs!$B$15*Mkt!DC39+(1-Inputs!$B$15)*MIN(Mkt!DC39,DB39*(1+Inputs!$B$18))),DB39)))</f>
        <v>1931.82437411612</v>
      </c>
      <c r="DD39" s="11" t="n">
        <f aca="false">IF(DD$1&lt;Units!$P38,0,IF(AND(Units!$K38=0,DD$1=Units!$O38),Units!$R38,IF(AND(DD$1&gt;=Units!$Q38,MOD(DD$1-Units!$Q38,12)=0),IF(AND(Units!$L38=1,DD$1=Units!$Q38),IF(Units!$J38&lt;&gt;"",Units!$J38,Mkt!DD39),Inputs!$B$15*Mkt!DD39+(1-Inputs!$B$15)*MIN(Mkt!DD39,DC39*(1+Inputs!$B$18))),DC39)))</f>
        <v>1931.82437411612</v>
      </c>
      <c r="DE39" s="11" t="n">
        <f aca="false">IF(DE$1&lt;Units!$P38,0,IF(AND(Units!$K38=0,DE$1=Units!$O38),Units!$R38,IF(AND(DE$1&gt;=Units!$Q38,MOD(DE$1-Units!$Q38,12)=0),IF(AND(Units!$L38=1,DE$1=Units!$Q38),IF(Units!$J38&lt;&gt;"",Units!$J38,Mkt!DE39),Inputs!$B$15*Mkt!DE39+(1-Inputs!$B$15)*MIN(Mkt!DE39,DD39*(1+Inputs!$B$18))),DD39)))</f>
        <v>1931.82437411612</v>
      </c>
      <c r="DF39" s="11" t="n">
        <f aca="false">IF(DF$1&lt;Units!$P38,0,IF(AND(Units!$K38=0,DF$1=Units!$O38),Units!$R38,IF(AND(DF$1&gt;=Units!$Q38,MOD(DF$1-Units!$Q38,12)=0),IF(AND(Units!$L38=1,DF$1=Units!$Q38),IF(Units!$J38&lt;&gt;"",Units!$J38,Mkt!DF39),Inputs!$B$15*Mkt!DF39+(1-Inputs!$B$15)*MIN(Mkt!DF39,DE39*(1+Inputs!$B$18))),DE39)))</f>
        <v>1931.82437411612</v>
      </c>
      <c r="DG39" s="11" t="n">
        <f aca="false">IF(DG$1&lt;Units!$P38,0,IF(AND(Units!$K38=0,DG$1=Units!$O38),Units!$R38,IF(AND(DG$1&gt;=Units!$Q38,MOD(DG$1-Units!$Q38,12)=0),IF(AND(Units!$L38=1,DG$1=Units!$Q38),IF(Units!$J38&lt;&gt;"",Units!$J38,Mkt!DG39),Inputs!$B$15*Mkt!DG39+(1-Inputs!$B$15)*MIN(Mkt!DG39,DF39*(1+Inputs!$B$18))),DF39)))</f>
        <v>1931.82437411612</v>
      </c>
      <c r="DH39" s="11" t="n">
        <f aca="false">IF(DH$1&lt;Units!$P38,0,IF(AND(Units!$K38=0,DH$1=Units!$O38),Units!$R38,IF(AND(DH$1&gt;=Units!$Q38,MOD(DH$1-Units!$Q38,12)=0),IF(AND(Units!$L38=1,DH$1=Units!$Q38),IF(Units!$J38&lt;&gt;"",Units!$J38,Mkt!DH39),Inputs!$B$15*Mkt!DH39+(1-Inputs!$B$15)*MIN(Mkt!DH39,DG39*(1+Inputs!$B$18))),DG39)))</f>
        <v>1931.82437411612</v>
      </c>
      <c r="DI39" s="11" t="n">
        <f aca="false">IF(DI$1&lt;Units!$P38,0,IF(AND(Units!$K38=0,DI$1=Units!$O38),Units!$R38,IF(AND(DI$1&gt;=Units!$Q38,MOD(DI$1-Units!$Q38,12)=0),IF(AND(Units!$L38=1,DI$1=Units!$Q38),IF(Units!$J38&lt;&gt;"",Units!$J38,Mkt!DI39),Inputs!$B$15*Mkt!DI39+(1-Inputs!$B$15)*MIN(Mkt!DI39,DH39*(1+Inputs!$B$18))),DH39)))</f>
        <v>1931.82437411612</v>
      </c>
      <c r="DJ39" s="11" t="n">
        <f aca="false">IF(DJ$1&lt;Units!$P38,0,IF(AND(Units!$K38=0,DJ$1=Units!$O38),Units!$R38,IF(AND(DJ$1&gt;=Units!$Q38,MOD(DJ$1-Units!$Q38,12)=0),IF(AND(Units!$L38=1,DJ$1=Units!$Q38),IF(Units!$J38&lt;&gt;"",Units!$J38,Mkt!DJ39),Inputs!$B$15*Mkt!DJ39+(1-Inputs!$B$15)*MIN(Mkt!DJ39,DI39*(1+Inputs!$B$18))),DI39)))</f>
        <v>1989.7791053396</v>
      </c>
      <c r="DK39" s="11" t="n">
        <f aca="false">IF(DK$1&lt;Units!$P38,0,IF(AND(Units!$K38=0,DK$1=Units!$O38),Units!$R38,IF(AND(DK$1&gt;=Units!$Q38,MOD(DK$1-Units!$Q38,12)=0),IF(AND(Units!$L38=1,DK$1=Units!$Q38),IF(Units!$J38&lt;&gt;"",Units!$J38,Mkt!DK39),Inputs!$B$15*Mkt!DK39+(1-Inputs!$B$15)*MIN(Mkt!DK39,DJ39*(1+Inputs!$B$18))),DJ39)))</f>
        <v>1989.7791053396</v>
      </c>
      <c r="DL39" s="11" t="n">
        <f aca="false">IF(DL$1&lt;Units!$P38,0,IF(AND(Units!$K38=0,DL$1=Units!$O38),Units!$R38,IF(AND(DL$1&gt;=Units!$Q38,MOD(DL$1-Units!$Q38,12)=0),IF(AND(Units!$L38=1,DL$1=Units!$Q38),IF(Units!$J38&lt;&gt;"",Units!$J38,Mkt!DL39),Inputs!$B$15*Mkt!DL39+(1-Inputs!$B$15)*MIN(Mkt!DL39,DK39*(1+Inputs!$B$18))),DK39)))</f>
        <v>1989.7791053396</v>
      </c>
      <c r="DM39" s="11" t="n">
        <f aca="false">IF(DM$1&lt;Units!$P38,0,IF(AND(Units!$K38=0,DM$1=Units!$O38),Units!$R38,IF(AND(DM$1&gt;=Units!$Q38,MOD(DM$1-Units!$Q38,12)=0),IF(AND(Units!$L38=1,DM$1=Units!$Q38),IF(Units!$J38&lt;&gt;"",Units!$J38,Mkt!DM39),Inputs!$B$15*Mkt!DM39+(1-Inputs!$B$15)*MIN(Mkt!DM39,DL39*(1+Inputs!$B$18))),DL39)))</f>
        <v>1989.7791053396</v>
      </c>
      <c r="DN39" s="11" t="n">
        <f aca="false">IF(DN$1&lt;Units!$P38,0,IF(AND(Units!$K38=0,DN$1=Units!$O38),Units!$R38,IF(AND(DN$1&gt;=Units!$Q38,MOD(DN$1-Units!$Q38,12)=0),IF(AND(Units!$L38=1,DN$1=Units!$Q38),IF(Units!$J38&lt;&gt;"",Units!$J38,Mkt!DN39),Inputs!$B$15*Mkt!DN39+(1-Inputs!$B$15)*MIN(Mkt!DN39,DM39*(1+Inputs!$B$18))),DM39)))</f>
        <v>1989.7791053396</v>
      </c>
      <c r="DO39" s="11" t="n">
        <f aca="false">IF(DO$1&lt;Units!$P38,0,IF(AND(Units!$K38=0,DO$1=Units!$O38),Units!$R38,IF(AND(DO$1&gt;=Units!$Q38,MOD(DO$1-Units!$Q38,12)=0),IF(AND(Units!$L38=1,DO$1=Units!$Q38),IF(Units!$J38&lt;&gt;"",Units!$J38,Mkt!DO39),Inputs!$B$15*Mkt!DO39+(1-Inputs!$B$15)*MIN(Mkt!DO39,DN39*(1+Inputs!$B$18))),DN39)))</f>
        <v>1989.7791053396</v>
      </c>
      <c r="DP39" s="11" t="n">
        <f aca="false">IF(DP$1&lt;Units!$P38,0,IF(AND(Units!$K38=0,DP$1=Units!$O38),Units!$R38,IF(AND(DP$1&gt;=Units!$Q38,MOD(DP$1-Units!$Q38,12)=0),IF(AND(Units!$L38=1,DP$1=Units!$Q38),IF(Units!$J38&lt;&gt;"",Units!$J38,Mkt!DP39),Inputs!$B$15*Mkt!DP39+(1-Inputs!$B$15)*MIN(Mkt!DP39,DO39*(1+Inputs!$B$18))),DO39)))</f>
        <v>1989.7791053396</v>
      </c>
      <c r="DQ39" s="11" t="n">
        <f aca="false">IF(DQ$1&lt;Units!$P38,0,IF(AND(Units!$K38=0,DQ$1=Units!$O38),Units!$R38,IF(AND(DQ$1&gt;=Units!$Q38,MOD(DQ$1-Units!$Q38,12)=0),IF(AND(Units!$L38=1,DQ$1=Units!$Q38),IF(Units!$J38&lt;&gt;"",Units!$J38,Mkt!DQ39),Inputs!$B$15*Mkt!DQ39+(1-Inputs!$B$15)*MIN(Mkt!DQ39,DP39*(1+Inputs!$B$18))),DP39)))</f>
        <v>1989.7791053396</v>
      </c>
      <c r="DR39" s="11" t="n">
        <f aca="false">IF(DR$1&lt;Units!$P38,0,IF(AND(Units!$K38=0,DR$1=Units!$O38),Units!$R38,IF(AND(DR$1&gt;=Units!$Q38,MOD(DR$1-Units!$Q38,12)=0),IF(AND(Units!$L38=1,DR$1=Units!$Q38),IF(Units!$J38&lt;&gt;"",Units!$J38,Mkt!DR39),Inputs!$B$15*Mkt!DR39+(1-Inputs!$B$15)*MIN(Mkt!DR39,DQ39*(1+Inputs!$B$18))),DQ39)))</f>
        <v>1989.7791053396</v>
      </c>
      <c r="DS39" s="11" t="n">
        <f aca="false">IF(DS$1&lt;Units!$P38,0,IF(AND(Units!$K38=0,DS$1=Units!$O38),Units!$R38,IF(AND(DS$1&gt;=Units!$Q38,MOD(DS$1-Units!$Q38,12)=0),IF(AND(Units!$L38=1,DS$1=Units!$Q38),IF(Units!$J38&lt;&gt;"",Units!$J38,Mkt!DS39),Inputs!$B$15*Mkt!DS39+(1-Inputs!$B$15)*MIN(Mkt!DS39,DR39*(1+Inputs!$B$18))),DR39)))</f>
        <v>1989.7791053396</v>
      </c>
      <c r="DT39" s="11" t="n">
        <f aca="false">IF(DT$1&lt;Units!$P38,0,IF(AND(Units!$K38=0,DT$1=Units!$O38),Units!$R38,IF(AND(DT$1&gt;=Units!$Q38,MOD(DT$1-Units!$Q38,12)=0),IF(AND(Units!$L38=1,DT$1=Units!$Q38),IF(Units!$J38&lt;&gt;"",Units!$J38,Mkt!DT39),Inputs!$B$15*Mkt!DT39+(1-Inputs!$B$15)*MIN(Mkt!DT39,DS39*(1+Inputs!$B$18))),DS39)))</f>
        <v>1989.7791053396</v>
      </c>
      <c r="DU39" s="11" t="n">
        <f aca="false">IF(DU$1&lt;Units!$P38,0,IF(AND(Units!$K38=0,DU$1=Units!$O38),Units!$R38,IF(AND(DU$1&gt;=Units!$Q38,MOD(DU$1-Units!$Q38,12)=0),IF(AND(Units!$L38=1,DU$1=Units!$Q38),IF(Units!$J38&lt;&gt;"",Units!$J38,Mkt!DU39),Inputs!$B$15*Mkt!DU39+(1-Inputs!$B$15)*MIN(Mkt!DU39,DT39*(1+Inputs!$B$18))),DT39)))</f>
        <v>1989.7791053396</v>
      </c>
      <c r="DV39" s="11" t="n">
        <f aca="false">IF(DV$1&lt;Units!$P38,0,IF(AND(Units!$K38=0,DV$1=Units!$O38),Units!$R38,IF(AND(DV$1&gt;=Units!$Q38,MOD(DV$1-Units!$Q38,12)=0),IF(AND(Units!$L38=1,DV$1=Units!$Q38),IF(Units!$J38&lt;&gt;"",Units!$J38,Mkt!DV39),Inputs!$B$15*Mkt!DV39+(1-Inputs!$B$15)*MIN(Mkt!DV39,DU39*(1+Inputs!$B$18))),DU39)))</f>
        <v>2049.47247849979</v>
      </c>
      <c r="DW39" s="11" t="n">
        <f aca="false">IF(DW$1&lt;Units!$P38,0,IF(AND(Units!$K38=0,DW$1=Units!$O38),Units!$R38,IF(AND(DW$1&gt;=Units!$Q38,MOD(DW$1-Units!$Q38,12)=0),IF(AND(Units!$L38=1,DW$1=Units!$Q38),IF(Units!$J38&lt;&gt;"",Units!$J38,Mkt!DW39),Inputs!$B$15*Mkt!DW39+(1-Inputs!$B$15)*MIN(Mkt!DW39,DV39*(1+Inputs!$B$18))),DV39)))</f>
        <v>2049.47247849979</v>
      </c>
      <c r="DX39" s="11" t="n">
        <f aca="false">IF(DX$1&lt;Units!$P38,0,IF(AND(Units!$K38=0,DX$1=Units!$O38),Units!$R38,IF(AND(DX$1&gt;=Units!$Q38,MOD(DX$1-Units!$Q38,12)=0),IF(AND(Units!$L38=1,DX$1=Units!$Q38),IF(Units!$J38&lt;&gt;"",Units!$J38,Mkt!DX39),Inputs!$B$15*Mkt!DX39+(1-Inputs!$B$15)*MIN(Mkt!DX39,DW39*(1+Inputs!$B$18))),DW39)))</f>
        <v>2049.47247849979</v>
      </c>
      <c r="DY39" s="11" t="n">
        <f aca="false">IF(DY$1&lt;Units!$P38,0,IF(AND(Units!$K38=0,DY$1=Units!$O38),Units!$R38,IF(AND(DY$1&gt;=Units!$Q38,MOD(DY$1-Units!$Q38,12)=0),IF(AND(Units!$L38=1,DY$1=Units!$Q38),IF(Units!$J38&lt;&gt;"",Units!$J38,Mkt!DY39),Inputs!$B$15*Mkt!DY39+(1-Inputs!$B$15)*MIN(Mkt!DY39,DX39*(1+Inputs!$B$18))),DX39)))</f>
        <v>2049.47247849979</v>
      </c>
      <c r="DZ39" s="11" t="n">
        <f aca="false">IF(DZ$1&lt;Units!$P38,0,IF(AND(Units!$K38=0,DZ$1=Units!$O38),Units!$R38,IF(AND(DZ$1&gt;=Units!$Q38,MOD(DZ$1-Units!$Q38,12)=0),IF(AND(Units!$L38=1,DZ$1=Units!$Q38),IF(Units!$J38&lt;&gt;"",Units!$J38,Mkt!DZ39),Inputs!$B$15*Mkt!DZ39+(1-Inputs!$B$15)*MIN(Mkt!DZ39,DY39*(1+Inputs!$B$18))),DY39)))</f>
        <v>2049.47247849979</v>
      </c>
      <c r="EA39" s="11" t="n">
        <f aca="false">IF(EA$1&lt;Units!$P38,0,IF(AND(Units!$K38=0,EA$1=Units!$O38),Units!$R38,IF(AND(EA$1&gt;=Units!$Q38,MOD(EA$1-Units!$Q38,12)=0),IF(AND(Units!$L38=1,EA$1=Units!$Q38),IF(Units!$J38&lt;&gt;"",Units!$J38,Mkt!EA39),Inputs!$B$15*Mkt!EA39+(1-Inputs!$B$15)*MIN(Mkt!EA39,DZ39*(1+Inputs!$B$18))),DZ39)))</f>
        <v>2049.47247849979</v>
      </c>
      <c r="EB39" s="11" t="n">
        <f aca="false">IF(EB$1&lt;Units!$P38,0,IF(AND(Units!$K38=0,EB$1=Units!$O38),Units!$R38,IF(AND(EB$1&gt;=Units!$Q38,MOD(EB$1-Units!$Q38,12)=0),IF(AND(Units!$L38=1,EB$1=Units!$Q38),IF(Units!$J38&lt;&gt;"",Units!$J38,Mkt!EB39),Inputs!$B$15*Mkt!EB39+(1-Inputs!$B$15)*MIN(Mkt!EB39,EA39*(1+Inputs!$B$18))),EA39)))</f>
        <v>2049.47247849979</v>
      </c>
      <c r="EC39" s="11" t="n">
        <f aca="false">IF(EC$1&lt;Units!$P38,0,IF(AND(Units!$K38=0,EC$1=Units!$O38),Units!$R38,IF(AND(EC$1&gt;=Units!$Q38,MOD(EC$1-Units!$Q38,12)=0),IF(AND(Units!$L38=1,EC$1=Units!$Q38),IF(Units!$J38&lt;&gt;"",Units!$J38,Mkt!EC39),Inputs!$B$15*Mkt!EC39+(1-Inputs!$B$15)*MIN(Mkt!EC39,EB39*(1+Inputs!$B$18))),EB39)))</f>
        <v>2049.47247849979</v>
      </c>
      <c r="ED39" s="11" t="n">
        <f aca="false">IF(ED$1&lt;Units!$P38,0,IF(AND(Units!$K38=0,ED$1=Units!$O38),Units!$R38,IF(AND(ED$1&gt;=Units!$Q38,MOD(ED$1-Units!$Q38,12)=0),IF(AND(Units!$L38=1,ED$1=Units!$Q38),IF(Units!$J38&lt;&gt;"",Units!$J38,Mkt!ED39),Inputs!$B$15*Mkt!ED39+(1-Inputs!$B$15)*MIN(Mkt!ED39,EC39*(1+Inputs!$B$18))),EC39)))</f>
        <v>2049.47247849979</v>
      </c>
    </row>
    <row r="40" customFormat="false" ht="15" hidden="false" customHeight="false" outlineLevel="0" collapsed="false">
      <c r="A40" s="22" t="n">
        <f aca="false">Units!A39</f>
        <v>208</v>
      </c>
      <c r="B40" s="24" t="n">
        <f aca="false">IF(Units!K39=1,Units!F39,0)</f>
        <v>1540</v>
      </c>
      <c r="C40" s="11" t="n">
        <f aca="false">IF(C$1&lt;Units!$P39,0,IF(AND(Units!$K39=0,C$1=Units!$O39),Units!$R39,IF(AND(C$1&gt;=Units!$Q39,MOD(C$1-Units!$Q39,12)=0),IF(AND(Units!$L39=1,C$1=Units!$Q39),IF(Units!$J39&lt;&gt;"",Units!$J39,Mkt!C40),Inputs!$B$15*Mkt!C40+(1-Inputs!$B$15)*MIN(Mkt!C40,B40*(1+Inputs!$B$18))),B40)))</f>
        <v>1540</v>
      </c>
      <c r="D40" s="11" t="n">
        <f aca="false">IF(D$1&lt;Units!$P39,0,IF(AND(Units!$K39=0,D$1=Units!$O39),Units!$R39,IF(AND(D$1&gt;=Units!$Q39,MOD(D$1-Units!$Q39,12)=0),IF(AND(Units!$L39=1,D$1=Units!$Q39),IF(Units!$J39&lt;&gt;"",Units!$J39,Mkt!D40),Inputs!$B$15*Mkt!D40+(1-Inputs!$B$15)*MIN(Mkt!D40,C40*(1+Inputs!$B$18))),C40)))</f>
        <v>1540</v>
      </c>
      <c r="E40" s="11" t="n">
        <f aca="false">IF(E$1&lt;Units!$P39,0,IF(AND(Units!$K39=0,E$1=Units!$O39),Units!$R39,IF(AND(E$1&gt;=Units!$Q39,MOD(E$1-Units!$Q39,12)=0),IF(AND(Units!$L39=1,E$1=Units!$Q39),IF(Units!$J39&lt;&gt;"",Units!$J39,Mkt!E40),Inputs!$B$15*Mkt!E40+(1-Inputs!$B$15)*MIN(Mkt!E40,D40*(1+Inputs!$B$18))),D40)))</f>
        <v>1525</v>
      </c>
      <c r="F40" s="11" t="n">
        <f aca="false">IF(F$1&lt;Units!$P39,0,IF(AND(Units!$K39=0,F$1=Units!$O39),Units!$R39,IF(AND(F$1&gt;=Units!$Q39,MOD(F$1-Units!$Q39,12)=0),IF(AND(Units!$L39=1,F$1=Units!$Q39),IF(Units!$J39&lt;&gt;"",Units!$J39,Mkt!F40),Inputs!$B$15*Mkt!F40+(1-Inputs!$B$15)*MIN(Mkt!F40,E40*(1+Inputs!$B$18))),E40)))</f>
        <v>1525</v>
      </c>
      <c r="G40" s="11" t="n">
        <f aca="false">IF(G$1&lt;Units!$P39,0,IF(AND(Units!$K39=0,G$1=Units!$O39),Units!$R39,IF(AND(G$1&gt;=Units!$Q39,MOD(G$1-Units!$Q39,12)=0),IF(AND(Units!$L39=1,G$1=Units!$Q39),IF(Units!$J39&lt;&gt;"",Units!$J39,Mkt!G40),Inputs!$B$15*Mkt!G40+(1-Inputs!$B$15)*MIN(Mkt!G40,F40*(1+Inputs!$B$18))),F40)))</f>
        <v>1525</v>
      </c>
      <c r="H40" s="11" t="n">
        <f aca="false">IF(H$1&lt;Units!$P39,0,IF(AND(Units!$K39=0,H$1=Units!$O39),Units!$R39,IF(AND(H$1&gt;=Units!$Q39,MOD(H$1-Units!$Q39,12)=0),IF(AND(Units!$L39=1,H$1=Units!$Q39),IF(Units!$J39&lt;&gt;"",Units!$J39,Mkt!H40),Inputs!$B$15*Mkt!H40+(1-Inputs!$B$15)*MIN(Mkt!H40,G40*(1+Inputs!$B$18))),G40)))</f>
        <v>1525</v>
      </c>
      <c r="I40" s="11" t="n">
        <f aca="false">IF(I$1&lt;Units!$P39,0,IF(AND(Units!$K39=0,I$1=Units!$O39),Units!$R39,IF(AND(I$1&gt;=Units!$Q39,MOD(I$1-Units!$Q39,12)=0),IF(AND(Units!$L39=1,I$1=Units!$Q39),IF(Units!$J39&lt;&gt;"",Units!$J39,Mkt!I40),Inputs!$B$15*Mkt!I40+(1-Inputs!$B$15)*MIN(Mkt!I40,H40*(1+Inputs!$B$18))),H40)))</f>
        <v>1525</v>
      </c>
      <c r="J40" s="11" t="n">
        <f aca="false">IF(J$1&lt;Units!$P39,0,IF(AND(Units!$K39=0,J$1=Units!$O39),Units!$R39,IF(AND(J$1&gt;=Units!$Q39,MOD(J$1-Units!$Q39,12)=0),IF(AND(Units!$L39=1,J$1=Units!$Q39),IF(Units!$J39&lt;&gt;"",Units!$J39,Mkt!J40),Inputs!$B$15*Mkt!J40+(1-Inputs!$B$15)*MIN(Mkt!J40,I40*(1+Inputs!$B$18))),I40)))</f>
        <v>1525</v>
      </c>
      <c r="K40" s="11" t="n">
        <f aca="false">IF(K$1&lt;Units!$P39,0,IF(AND(Units!$K39=0,K$1=Units!$O39),Units!$R39,IF(AND(K$1&gt;=Units!$Q39,MOD(K$1-Units!$Q39,12)=0),IF(AND(Units!$L39=1,K$1=Units!$Q39),IF(Units!$J39&lt;&gt;"",Units!$J39,Mkt!K40),Inputs!$B$15*Mkt!K40+(1-Inputs!$B$15)*MIN(Mkt!K40,J40*(1+Inputs!$B$18))),J40)))</f>
        <v>1525</v>
      </c>
      <c r="L40" s="11" t="n">
        <f aca="false">IF(L$1&lt;Units!$P39,0,IF(AND(Units!$K39=0,L$1=Units!$O39),Units!$R39,IF(AND(L$1&gt;=Units!$Q39,MOD(L$1-Units!$Q39,12)=0),IF(AND(Units!$L39=1,L$1=Units!$Q39),IF(Units!$J39&lt;&gt;"",Units!$J39,Mkt!L40),Inputs!$B$15*Mkt!L40+(1-Inputs!$B$15)*MIN(Mkt!L40,K40*(1+Inputs!$B$18))),K40)))</f>
        <v>1525</v>
      </c>
      <c r="M40" s="11" t="n">
        <f aca="false">IF(M$1&lt;Units!$P39,0,IF(AND(Units!$K39=0,M$1=Units!$O39),Units!$R39,IF(AND(M$1&gt;=Units!$Q39,MOD(M$1-Units!$Q39,12)=0),IF(AND(Units!$L39=1,M$1=Units!$Q39),IF(Units!$J39&lt;&gt;"",Units!$J39,Mkt!M40),Inputs!$B$15*Mkt!M40+(1-Inputs!$B$15)*MIN(Mkt!M40,L40*(1+Inputs!$B$18))),L40)))</f>
        <v>1525</v>
      </c>
      <c r="N40" s="11" t="n">
        <f aca="false">IF(N$1&lt;Units!$P39,0,IF(AND(Units!$K39=0,N$1=Units!$O39),Units!$R39,IF(AND(N$1&gt;=Units!$Q39,MOD(N$1-Units!$Q39,12)=0),IF(AND(Units!$L39=1,N$1=Units!$Q39),IF(Units!$J39&lt;&gt;"",Units!$J39,Mkt!N40),Inputs!$B$15*Mkt!N40+(1-Inputs!$B$15)*MIN(Mkt!N40,M40*(1+Inputs!$B$18))),M40)))</f>
        <v>1525</v>
      </c>
      <c r="O40" s="11" t="n">
        <f aca="false">IF(O$1&lt;Units!$P39,0,IF(AND(Units!$K39=0,O$1=Units!$O39),Units!$R39,IF(AND(O$1&gt;=Units!$Q39,MOD(O$1-Units!$Q39,12)=0),IF(AND(Units!$L39=1,O$1=Units!$Q39),IF(Units!$J39&lt;&gt;"",Units!$J39,Mkt!O40),Inputs!$B$15*Mkt!O40+(1-Inputs!$B$15)*MIN(Mkt!O40,N40*(1+Inputs!$B$18))),N40)))</f>
        <v>1525</v>
      </c>
      <c r="P40" s="11" t="n">
        <f aca="false">IF(P$1&lt;Units!$P39,0,IF(AND(Units!$K39=0,P$1=Units!$O39),Units!$R39,IF(AND(P$1&gt;=Units!$Q39,MOD(P$1-Units!$Q39,12)=0),IF(AND(Units!$L39=1,P$1=Units!$Q39),IF(Units!$J39&lt;&gt;"",Units!$J39,Mkt!P40),Inputs!$B$15*Mkt!P40+(1-Inputs!$B$15)*MIN(Mkt!P40,O40*(1+Inputs!$B$18))),O40)))</f>
        <v>1525</v>
      </c>
      <c r="Q40" s="11" t="n">
        <f aca="false">IF(Q$1&lt;Units!$P39,0,IF(AND(Units!$K39=0,Q$1=Units!$O39),Units!$R39,IF(AND(Q$1&gt;=Units!$Q39,MOD(Q$1-Units!$Q39,12)=0),IF(AND(Units!$L39=1,Q$1=Units!$Q39),IF(Units!$J39&lt;&gt;"",Units!$J39,Mkt!Q40),Inputs!$B$15*Mkt!Q40+(1-Inputs!$B$15)*MIN(Mkt!Q40,P40*(1+Inputs!$B$18))),P40)))</f>
        <v>1570.75</v>
      </c>
      <c r="R40" s="11" t="n">
        <f aca="false">IF(R$1&lt;Units!$P39,0,IF(AND(Units!$K39=0,R$1=Units!$O39),Units!$R39,IF(AND(R$1&gt;=Units!$Q39,MOD(R$1-Units!$Q39,12)=0),IF(AND(Units!$L39=1,R$1=Units!$Q39),IF(Units!$J39&lt;&gt;"",Units!$J39,Mkt!R40),Inputs!$B$15*Mkt!R40+(1-Inputs!$B$15)*MIN(Mkt!R40,Q40*(1+Inputs!$B$18))),Q40)))</f>
        <v>1570.75</v>
      </c>
      <c r="S40" s="11" t="n">
        <f aca="false">IF(S$1&lt;Units!$P39,0,IF(AND(Units!$K39=0,S$1=Units!$O39),Units!$R39,IF(AND(S$1&gt;=Units!$Q39,MOD(S$1-Units!$Q39,12)=0),IF(AND(Units!$L39=1,S$1=Units!$Q39),IF(Units!$J39&lt;&gt;"",Units!$J39,Mkt!S40),Inputs!$B$15*Mkt!S40+(1-Inputs!$B$15)*MIN(Mkt!S40,R40*(1+Inputs!$B$18))),R40)))</f>
        <v>1570.75</v>
      </c>
      <c r="T40" s="11" t="n">
        <f aca="false">IF(T$1&lt;Units!$P39,0,IF(AND(Units!$K39=0,T$1=Units!$O39),Units!$R39,IF(AND(T$1&gt;=Units!$Q39,MOD(T$1-Units!$Q39,12)=0),IF(AND(Units!$L39=1,T$1=Units!$Q39),IF(Units!$J39&lt;&gt;"",Units!$J39,Mkt!T40),Inputs!$B$15*Mkt!T40+(1-Inputs!$B$15)*MIN(Mkt!T40,S40*(1+Inputs!$B$18))),S40)))</f>
        <v>1570.75</v>
      </c>
      <c r="U40" s="11" t="n">
        <f aca="false">IF(U$1&lt;Units!$P39,0,IF(AND(Units!$K39=0,U$1=Units!$O39),Units!$R39,IF(AND(U$1&gt;=Units!$Q39,MOD(U$1-Units!$Q39,12)=0),IF(AND(Units!$L39=1,U$1=Units!$Q39),IF(Units!$J39&lt;&gt;"",Units!$J39,Mkt!U40),Inputs!$B$15*Mkt!U40+(1-Inputs!$B$15)*MIN(Mkt!U40,T40*(1+Inputs!$B$18))),T40)))</f>
        <v>1570.75</v>
      </c>
      <c r="V40" s="11" t="n">
        <f aca="false">IF(V$1&lt;Units!$P39,0,IF(AND(Units!$K39=0,V$1=Units!$O39),Units!$R39,IF(AND(V$1&gt;=Units!$Q39,MOD(V$1-Units!$Q39,12)=0),IF(AND(Units!$L39=1,V$1=Units!$Q39),IF(Units!$J39&lt;&gt;"",Units!$J39,Mkt!V40),Inputs!$B$15*Mkt!V40+(1-Inputs!$B$15)*MIN(Mkt!V40,U40*(1+Inputs!$B$18))),U40)))</f>
        <v>1570.75</v>
      </c>
      <c r="W40" s="11" t="n">
        <f aca="false">IF(W$1&lt;Units!$P39,0,IF(AND(Units!$K39=0,W$1=Units!$O39),Units!$R39,IF(AND(W$1&gt;=Units!$Q39,MOD(W$1-Units!$Q39,12)=0),IF(AND(Units!$L39=1,W$1=Units!$Q39),IF(Units!$J39&lt;&gt;"",Units!$J39,Mkt!W40),Inputs!$B$15*Mkt!W40+(1-Inputs!$B$15)*MIN(Mkt!W40,V40*(1+Inputs!$B$18))),V40)))</f>
        <v>1570.75</v>
      </c>
      <c r="X40" s="11" t="n">
        <f aca="false">IF(X$1&lt;Units!$P39,0,IF(AND(Units!$K39=0,X$1=Units!$O39),Units!$R39,IF(AND(X$1&gt;=Units!$Q39,MOD(X$1-Units!$Q39,12)=0),IF(AND(Units!$L39=1,X$1=Units!$Q39),IF(Units!$J39&lt;&gt;"",Units!$J39,Mkt!X40),Inputs!$B$15*Mkt!X40+(1-Inputs!$B$15)*MIN(Mkt!X40,W40*(1+Inputs!$B$18))),W40)))</f>
        <v>1570.75</v>
      </c>
      <c r="Y40" s="11" t="n">
        <f aca="false">IF(Y$1&lt;Units!$P39,0,IF(AND(Units!$K39=0,Y$1=Units!$O39),Units!$R39,IF(AND(Y$1&gt;=Units!$Q39,MOD(Y$1-Units!$Q39,12)=0),IF(AND(Units!$L39=1,Y$1=Units!$Q39),IF(Units!$J39&lt;&gt;"",Units!$J39,Mkt!Y40),Inputs!$B$15*Mkt!Y40+(1-Inputs!$B$15)*MIN(Mkt!Y40,X40*(1+Inputs!$B$18))),X40)))</f>
        <v>1570.75</v>
      </c>
      <c r="Z40" s="11" t="n">
        <f aca="false">IF(Z$1&lt;Units!$P39,0,IF(AND(Units!$K39=0,Z$1=Units!$O39),Units!$R39,IF(AND(Z$1&gt;=Units!$Q39,MOD(Z$1-Units!$Q39,12)=0),IF(AND(Units!$L39=1,Z$1=Units!$Q39),IF(Units!$J39&lt;&gt;"",Units!$J39,Mkt!Z40),Inputs!$B$15*Mkt!Z40+(1-Inputs!$B$15)*MIN(Mkt!Z40,Y40*(1+Inputs!$B$18))),Y40)))</f>
        <v>1570.75</v>
      </c>
      <c r="AA40" s="11" t="n">
        <f aca="false">IF(AA$1&lt;Units!$P39,0,IF(AND(Units!$K39=0,AA$1=Units!$O39),Units!$R39,IF(AND(AA$1&gt;=Units!$Q39,MOD(AA$1-Units!$Q39,12)=0),IF(AND(Units!$L39=1,AA$1=Units!$Q39),IF(Units!$J39&lt;&gt;"",Units!$J39,Mkt!AA40),Inputs!$B$15*Mkt!AA40+(1-Inputs!$B$15)*MIN(Mkt!AA40,Z40*(1+Inputs!$B$18))),Z40)))</f>
        <v>1570.75</v>
      </c>
      <c r="AB40" s="11" t="n">
        <f aca="false">IF(AB$1&lt;Units!$P39,0,IF(AND(Units!$K39=0,AB$1=Units!$O39),Units!$R39,IF(AND(AB$1&gt;=Units!$Q39,MOD(AB$1-Units!$Q39,12)=0),IF(AND(Units!$L39=1,AB$1=Units!$Q39),IF(Units!$J39&lt;&gt;"",Units!$J39,Mkt!AB40),Inputs!$B$15*Mkt!AB40+(1-Inputs!$B$15)*MIN(Mkt!AB40,AA40*(1+Inputs!$B$18))),AA40)))</f>
        <v>1570.75</v>
      </c>
      <c r="AC40" s="11" t="n">
        <f aca="false">IF(AC$1&lt;Units!$P39,0,IF(AND(Units!$K39=0,AC$1=Units!$O39),Units!$R39,IF(AND(AC$1&gt;=Units!$Q39,MOD(AC$1-Units!$Q39,12)=0),IF(AND(Units!$L39=1,AC$1=Units!$Q39),IF(Units!$J39&lt;&gt;"",Units!$J39,Mkt!AC40),Inputs!$B$15*Mkt!AC40+(1-Inputs!$B$15)*MIN(Mkt!AC40,AB40*(1+Inputs!$B$18))),AB40)))</f>
        <v>1617.8725</v>
      </c>
      <c r="AD40" s="11" t="n">
        <f aca="false">IF(AD$1&lt;Units!$P39,0,IF(AND(Units!$K39=0,AD$1=Units!$O39),Units!$R39,IF(AND(AD$1&gt;=Units!$Q39,MOD(AD$1-Units!$Q39,12)=0),IF(AND(Units!$L39=1,AD$1=Units!$Q39),IF(Units!$J39&lt;&gt;"",Units!$J39,Mkt!AD40),Inputs!$B$15*Mkt!AD40+(1-Inputs!$B$15)*MIN(Mkt!AD40,AC40*(1+Inputs!$B$18))),AC40)))</f>
        <v>1617.8725</v>
      </c>
      <c r="AE40" s="11" t="n">
        <f aca="false">IF(AE$1&lt;Units!$P39,0,IF(AND(Units!$K39=0,AE$1=Units!$O39),Units!$R39,IF(AND(AE$1&gt;=Units!$Q39,MOD(AE$1-Units!$Q39,12)=0),IF(AND(Units!$L39=1,AE$1=Units!$Q39),IF(Units!$J39&lt;&gt;"",Units!$J39,Mkt!AE40),Inputs!$B$15*Mkt!AE40+(1-Inputs!$B$15)*MIN(Mkt!AE40,AD40*(1+Inputs!$B$18))),AD40)))</f>
        <v>1617.8725</v>
      </c>
      <c r="AF40" s="11" t="n">
        <f aca="false">IF(AF$1&lt;Units!$P39,0,IF(AND(Units!$K39=0,AF$1=Units!$O39),Units!$R39,IF(AND(AF$1&gt;=Units!$Q39,MOD(AF$1-Units!$Q39,12)=0),IF(AND(Units!$L39=1,AF$1=Units!$Q39),IF(Units!$J39&lt;&gt;"",Units!$J39,Mkt!AF40),Inputs!$B$15*Mkt!AF40+(1-Inputs!$B$15)*MIN(Mkt!AF40,AE40*(1+Inputs!$B$18))),AE40)))</f>
        <v>1617.8725</v>
      </c>
      <c r="AG40" s="11" t="n">
        <f aca="false">IF(AG$1&lt;Units!$P39,0,IF(AND(Units!$K39=0,AG$1=Units!$O39),Units!$R39,IF(AND(AG$1&gt;=Units!$Q39,MOD(AG$1-Units!$Q39,12)=0),IF(AND(Units!$L39=1,AG$1=Units!$Q39),IF(Units!$J39&lt;&gt;"",Units!$J39,Mkt!AG40),Inputs!$B$15*Mkt!AG40+(1-Inputs!$B$15)*MIN(Mkt!AG40,AF40*(1+Inputs!$B$18))),AF40)))</f>
        <v>1617.8725</v>
      </c>
      <c r="AH40" s="11" t="n">
        <f aca="false">IF(AH$1&lt;Units!$P39,0,IF(AND(Units!$K39=0,AH$1=Units!$O39),Units!$R39,IF(AND(AH$1&gt;=Units!$Q39,MOD(AH$1-Units!$Q39,12)=0),IF(AND(Units!$L39=1,AH$1=Units!$Q39),IF(Units!$J39&lt;&gt;"",Units!$J39,Mkt!AH40),Inputs!$B$15*Mkt!AH40+(1-Inputs!$B$15)*MIN(Mkt!AH40,AG40*(1+Inputs!$B$18))),AG40)))</f>
        <v>1617.8725</v>
      </c>
      <c r="AI40" s="11" t="n">
        <f aca="false">IF(AI$1&lt;Units!$P39,0,IF(AND(Units!$K39=0,AI$1=Units!$O39),Units!$R39,IF(AND(AI$1&gt;=Units!$Q39,MOD(AI$1-Units!$Q39,12)=0),IF(AND(Units!$L39=1,AI$1=Units!$Q39),IF(Units!$J39&lt;&gt;"",Units!$J39,Mkt!AI40),Inputs!$B$15*Mkt!AI40+(1-Inputs!$B$15)*MIN(Mkt!AI40,AH40*(1+Inputs!$B$18))),AH40)))</f>
        <v>1617.8725</v>
      </c>
      <c r="AJ40" s="11" t="n">
        <f aca="false">IF(AJ$1&lt;Units!$P39,0,IF(AND(Units!$K39=0,AJ$1=Units!$O39),Units!$R39,IF(AND(AJ$1&gt;=Units!$Q39,MOD(AJ$1-Units!$Q39,12)=0),IF(AND(Units!$L39=1,AJ$1=Units!$Q39),IF(Units!$J39&lt;&gt;"",Units!$J39,Mkt!AJ40),Inputs!$B$15*Mkt!AJ40+(1-Inputs!$B$15)*MIN(Mkt!AJ40,AI40*(1+Inputs!$B$18))),AI40)))</f>
        <v>1617.8725</v>
      </c>
      <c r="AK40" s="11" t="n">
        <f aca="false">IF(AK$1&lt;Units!$P39,0,IF(AND(Units!$K39=0,AK$1=Units!$O39),Units!$R39,IF(AND(AK$1&gt;=Units!$Q39,MOD(AK$1-Units!$Q39,12)=0),IF(AND(Units!$L39=1,AK$1=Units!$Q39),IF(Units!$J39&lt;&gt;"",Units!$J39,Mkt!AK40),Inputs!$B$15*Mkt!AK40+(1-Inputs!$B$15)*MIN(Mkt!AK40,AJ40*(1+Inputs!$B$18))),AJ40)))</f>
        <v>1617.8725</v>
      </c>
      <c r="AL40" s="11" t="n">
        <f aca="false">IF(AL$1&lt;Units!$P39,0,IF(AND(Units!$K39=0,AL$1=Units!$O39),Units!$R39,IF(AND(AL$1&gt;=Units!$Q39,MOD(AL$1-Units!$Q39,12)=0),IF(AND(Units!$L39=1,AL$1=Units!$Q39),IF(Units!$J39&lt;&gt;"",Units!$J39,Mkt!AL40),Inputs!$B$15*Mkt!AL40+(1-Inputs!$B$15)*MIN(Mkt!AL40,AK40*(1+Inputs!$B$18))),AK40)))</f>
        <v>1617.8725</v>
      </c>
      <c r="AM40" s="11" t="n">
        <f aca="false">IF(AM$1&lt;Units!$P39,0,IF(AND(Units!$K39=0,AM$1=Units!$O39),Units!$R39,IF(AND(AM$1&gt;=Units!$Q39,MOD(AM$1-Units!$Q39,12)=0),IF(AND(Units!$L39=1,AM$1=Units!$Q39),IF(Units!$J39&lt;&gt;"",Units!$J39,Mkt!AM40),Inputs!$B$15*Mkt!AM40+(1-Inputs!$B$15)*MIN(Mkt!AM40,AL40*(1+Inputs!$B$18))),AL40)))</f>
        <v>1617.8725</v>
      </c>
      <c r="AN40" s="11" t="n">
        <f aca="false">IF(AN$1&lt;Units!$P39,0,IF(AND(Units!$K39=0,AN$1=Units!$O39),Units!$R39,IF(AND(AN$1&gt;=Units!$Q39,MOD(AN$1-Units!$Q39,12)=0),IF(AND(Units!$L39=1,AN$1=Units!$Q39),IF(Units!$J39&lt;&gt;"",Units!$J39,Mkt!AN40),Inputs!$B$15*Mkt!AN40+(1-Inputs!$B$15)*MIN(Mkt!AN40,AM40*(1+Inputs!$B$18))),AM40)))</f>
        <v>1617.8725</v>
      </c>
      <c r="AO40" s="11" t="n">
        <f aca="false">IF(AO$1&lt;Units!$P39,0,IF(AND(Units!$K39=0,AO$1=Units!$O39),Units!$R39,IF(AND(AO$1&gt;=Units!$Q39,MOD(AO$1-Units!$Q39,12)=0),IF(AND(Units!$L39=1,AO$1=Units!$Q39),IF(Units!$J39&lt;&gt;"",Units!$J39,Mkt!AO40),Inputs!$B$15*Mkt!AO40+(1-Inputs!$B$15)*MIN(Mkt!AO40,AN40*(1+Inputs!$B$18))),AN40)))</f>
        <v>1666.408675</v>
      </c>
      <c r="AP40" s="11" t="n">
        <f aca="false">IF(AP$1&lt;Units!$P39,0,IF(AND(Units!$K39=0,AP$1=Units!$O39),Units!$R39,IF(AND(AP$1&gt;=Units!$Q39,MOD(AP$1-Units!$Q39,12)=0),IF(AND(Units!$L39=1,AP$1=Units!$Q39),IF(Units!$J39&lt;&gt;"",Units!$J39,Mkt!AP40),Inputs!$B$15*Mkt!AP40+(1-Inputs!$B$15)*MIN(Mkt!AP40,AO40*(1+Inputs!$B$18))),AO40)))</f>
        <v>1666.408675</v>
      </c>
      <c r="AQ40" s="11" t="n">
        <f aca="false">IF(AQ$1&lt;Units!$P39,0,IF(AND(Units!$K39=0,AQ$1=Units!$O39),Units!$R39,IF(AND(AQ$1&gt;=Units!$Q39,MOD(AQ$1-Units!$Q39,12)=0),IF(AND(Units!$L39=1,AQ$1=Units!$Q39),IF(Units!$J39&lt;&gt;"",Units!$J39,Mkt!AQ40),Inputs!$B$15*Mkt!AQ40+(1-Inputs!$B$15)*MIN(Mkt!AQ40,AP40*(1+Inputs!$B$18))),AP40)))</f>
        <v>1666.408675</v>
      </c>
      <c r="AR40" s="11" t="n">
        <f aca="false">IF(AR$1&lt;Units!$P39,0,IF(AND(Units!$K39=0,AR$1=Units!$O39),Units!$R39,IF(AND(AR$1&gt;=Units!$Q39,MOD(AR$1-Units!$Q39,12)=0),IF(AND(Units!$L39=1,AR$1=Units!$Q39),IF(Units!$J39&lt;&gt;"",Units!$J39,Mkt!AR40),Inputs!$B$15*Mkt!AR40+(1-Inputs!$B$15)*MIN(Mkt!AR40,AQ40*(1+Inputs!$B$18))),AQ40)))</f>
        <v>1666.408675</v>
      </c>
      <c r="AS40" s="11" t="n">
        <f aca="false">IF(AS$1&lt;Units!$P39,0,IF(AND(Units!$K39=0,AS$1=Units!$O39),Units!$R39,IF(AND(AS$1&gt;=Units!$Q39,MOD(AS$1-Units!$Q39,12)=0),IF(AND(Units!$L39=1,AS$1=Units!$Q39),IF(Units!$J39&lt;&gt;"",Units!$J39,Mkt!AS40),Inputs!$B$15*Mkt!AS40+(1-Inputs!$B$15)*MIN(Mkt!AS40,AR40*(1+Inputs!$B$18))),AR40)))</f>
        <v>1666.408675</v>
      </c>
      <c r="AT40" s="11" t="n">
        <f aca="false">IF(AT$1&lt;Units!$P39,0,IF(AND(Units!$K39=0,AT$1=Units!$O39),Units!$R39,IF(AND(AT$1&gt;=Units!$Q39,MOD(AT$1-Units!$Q39,12)=0),IF(AND(Units!$L39=1,AT$1=Units!$Q39),IF(Units!$J39&lt;&gt;"",Units!$J39,Mkt!AT40),Inputs!$B$15*Mkt!AT40+(1-Inputs!$B$15)*MIN(Mkt!AT40,AS40*(1+Inputs!$B$18))),AS40)))</f>
        <v>1666.408675</v>
      </c>
      <c r="AU40" s="11" t="n">
        <f aca="false">IF(AU$1&lt;Units!$P39,0,IF(AND(Units!$K39=0,AU$1=Units!$O39),Units!$R39,IF(AND(AU$1&gt;=Units!$Q39,MOD(AU$1-Units!$Q39,12)=0),IF(AND(Units!$L39=1,AU$1=Units!$Q39),IF(Units!$J39&lt;&gt;"",Units!$J39,Mkt!AU40),Inputs!$B$15*Mkt!AU40+(1-Inputs!$B$15)*MIN(Mkt!AU40,AT40*(1+Inputs!$B$18))),AT40)))</f>
        <v>1666.408675</v>
      </c>
      <c r="AV40" s="11" t="n">
        <f aca="false">IF(AV$1&lt;Units!$P39,0,IF(AND(Units!$K39=0,AV$1=Units!$O39),Units!$R39,IF(AND(AV$1&gt;=Units!$Q39,MOD(AV$1-Units!$Q39,12)=0),IF(AND(Units!$L39=1,AV$1=Units!$Q39),IF(Units!$J39&lt;&gt;"",Units!$J39,Mkt!AV40),Inputs!$B$15*Mkt!AV40+(1-Inputs!$B$15)*MIN(Mkt!AV40,AU40*(1+Inputs!$B$18))),AU40)))</f>
        <v>1666.408675</v>
      </c>
      <c r="AW40" s="11" t="n">
        <f aca="false">IF(AW$1&lt;Units!$P39,0,IF(AND(Units!$K39=0,AW$1=Units!$O39),Units!$R39,IF(AND(AW$1&gt;=Units!$Q39,MOD(AW$1-Units!$Q39,12)=0),IF(AND(Units!$L39=1,AW$1=Units!$Q39),IF(Units!$J39&lt;&gt;"",Units!$J39,Mkt!AW40),Inputs!$B$15*Mkt!AW40+(1-Inputs!$B$15)*MIN(Mkt!AW40,AV40*(1+Inputs!$B$18))),AV40)))</f>
        <v>1666.408675</v>
      </c>
      <c r="AX40" s="11" t="n">
        <f aca="false">IF(AX$1&lt;Units!$P39,0,IF(AND(Units!$K39=0,AX$1=Units!$O39),Units!$R39,IF(AND(AX$1&gt;=Units!$Q39,MOD(AX$1-Units!$Q39,12)=0),IF(AND(Units!$L39=1,AX$1=Units!$Q39),IF(Units!$J39&lt;&gt;"",Units!$J39,Mkt!AX40),Inputs!$B$15*Mkt!AX40+(1-Inputs!$B$15)*MIN(Mkt!AX40,AW40*(1+Inputs!$B$18))),AW40)))</f>
        <v>1666.408675</v>
      </c>
      <c r="AY40" s="11" t="n">
        <f aca="false">IF(AY$1&lt;Units!$P39,0,IF(AND(Units!$K39=0,AY$1=Units!$O39),Units!$R39,IF(AND(AY$1&gt;=Units!$Q39,MOD(AY$1-Units!$Q39,12)=0),IF(AND(Units!$L39=1,AY$1=Units!$Q39),IF(Units!$J39&lt;&gt;"",Units!$J39,Mkt!AY40),Inputs!$B$15*Mkt!AY40+(1-Inputs!$B$15)*MIN(Mkt!AY40,AX40*(1+Inputs!$B$18))),AX40)))</f>
        <v>1666.408675</v>
      </c>
      <c r="AZ40" s="11" t="n">
        <f aca="false">IF(AZ$1&lt;Units!$P39,0,IF(AND(Units!$K39=0,AZ$1=Units!$O39),Units!$R39,IF(AND(AZ$1&gt;=Units!$Q39,MOD(AZ$1-Units!$Q39,12)=0),IF(AND(Units!$L39=1,AZ$1=Units!$Q39),IF(Units!$J39&lt;&gt;"",Units!$J39,Mkt!AZ40),Inputs!$B$15*Mkt!AZ40+(1-Inputs!$B$15)*MIN(Mkt!AZ40,AY40*(1+Inputs!$B$18))),AY40)))</f>
        <v>1666.408675</v>
      </c>
      <c r="BA40" s="11" t="n">
        <f aca="false">IF(BA$1&lt;Units!$P39,0,IF(AND(Units!$K39=0,BA$1=Units!$O39),Units!$R39,IF(AND(BA$1&gt;=Units!$Q39,MOD(BA$1-Units!$Q39,12)=0),IF(AND(Units!$L39=1,BA$1=Units!$Q39),IF(Units!$J39&lt;&gt;"",Units!$J39,Mkt!BA40),Inputs!$B$15*Mkt!BA40+(1-Inputs!$B$15)*MIN(Mkt!BA40,AZ40*(1+Inputs!$B$18))),AZ40)))</f>
        <v>1716.40093525</v>
      </c>
      <c r="BB40" s="11" t="n">
        <f aca="false">IF(BB$1&lt;Units!$P39,0,IF(AND(Units!$K39=0,BB$1=Units!$O39),Units!$R39,IF(AND(BB$1&gt;=Units!$Q39,MOD(BB$1-Units!$Q39,12)=0),IF(AND(Units!$L39=1,BB$1=Units!$Q39),IF(Units!$J39&lt;&gt;"",Units!$J39,Mkt!BB40),Inputs!$B$15*Mkt!BB40+(1-Inputs!$B$15)*MIN(Mkt!BB40,BA40*(1+Inputs!$B$18))),BA40)))</f>
        <v>1716.40093525</v>
      </c>
      <c r="BC40" s="11" t="n">
        <f aca="false">IF(BC$1&lt;Units!$P39,0,IF(AND(Units!$K39=0,BC$1=Units!$O39),Units!$R39,IF(AND(BC$1&gt;=Units!$Q39,MOD(BC$1-Units!$Q39,12)=0),IF(AND(Units!$L39=1,BC$1=Units!$Q39),IF(Units!$J39&lt;&gt;"",Units!$J39,Mkt!BC40),Inputs!$B$15*Mkt!BC40+(1-Inputs!$B$15)*MIN(Mkt!BC40,BB40*(1+Inputs!$B$18))),BB40)))</f>
        <v>1716.40093525</v>
      </c>
      <c r="BD40" s="11" t="n">
        <f aca="false">IF(BD$1&lt;Units!$P39,0,IF(AND(Units!$K39=0,BD$1=Units!$O39),Units!$R39,IF(AND(BD$1&gt;=Units!$Q39,MOD(BD$1-Units!$Q39,12)=0),IF(AND(Units!$L39=1,BD$1=Units!$Q39),IF(Units!$J39&lt;&gt;"",Units!$J39,Mkt!BD40),Inputs!$B$15*Mkt!BD40+(1-Inputs!$B$15)*MIN(Mkt!BD40,BC40*(1+Inputs!$B$18))),BC40)))</f>
        <v>1716.40093525</v>
      </c>
      <c r="BE40" s="11" t="n">
        <f aca="false">IF(BE$1&lt;Units!$P39,0,IF(AND(Units!$K39=0,BE$1=Units!$O39),Units!$R39,IF(AND(BE$1&gt;=Units!$Q39,MOD(BE$1-Units!$Q39,12)=0),IF(AND(Units!$L39=1,BE$1=Units!$Q39),IF(Units!$J39&lt;&gt;"",Units!$J39,Mkt!BE40),Inputs!$B$15*Mkt!BE40+(1-Inputs!$B$15)*MIN(Mkt!BE40,BD40*(1+Inputs!$B$18))),BD40)))</f>
        <v>1716.40093525</v>
      </c>
      <c r="BF40" s="11" t="n">
        <f aca="false">IF(BF$1&lt;Units!$P39,0,IF(AND(Units!$K39=0,BF$1=Units!$O39),Units!$R39,IF(AND(BF$1&gt;=Units!$Q39,MOD(BF$1-Units!$Q39,12)=0),IF(AND(Units!$L39=1,BF$1=Units!$Q39),IF(Units!$J39&lt;&gt;"",Units!$J39,Mkt!BF40),Inputs!$B$15*Mkt!BF40+(1-Inputs!$B$15)*MIN(Mkt!BF40,BE40*(1+Inputs!$B$18))),BE40)))</f>
        <v>1716.40093525</v>
      </c>
      <c r="BG40" s="11" t="n">
        <f aca="false">IF(BG$1&lt;Units!$P39,0,IF(AND(Units!$K39=0,BG$1=Units!$O39),Units!$R39,IF(AND(BG$1&gt;=Units!$Q39,MOD(BG$1-Units!$Q39,12)=0),IF(AND(Units!$L39=1,BG$1=Units!$Q39),IF(Units!$J39&lt;&gt;"",Units!$J39,Mkt!BG40),Inputs!$B$15*Mkt!BG40+(1-Inputs!$B$15)*MIN(Mkt!BG40,BF40*(1+Inputs!$B$18))),BF40)))</f>
        <v>1716.40093525</v>
      </c>
      <c r="BH40" s="11" t="n">
        <f aca="false">IF(BH$1&lt;Units!$P39,0,IF(AND(Units!$K39=0,BH$1=Units!$O39),Units!$R39,IF(AND(BH$1&gt;=Units!$Q39,MOD(BH$1-Units!$Q39,12)=0),IF(AND(Units!$L39=1,BH$1=Units!$Q39),IF(Units!$J39&lt;&gt;"",Units!$J39,Mkt!BH40),Inputs!$B$15*Mkt!BH40+(1-Inputs!$B$15)*MIN(Mkt!BH40,BG40*(1+Inputs!$B$18))),BG40)))</f>
        <v>1716.40093525</v>
      </c>
      <c r="BI40" s="11" t="n">
        <f aca="false">IF(BI$1&lt;Units!$P39,0,IF(AND(Units!$K39=0,BI$1=Units!$O39),Units!$R39,IF(AND(BI$1&gt;=Units!$Q39,MOD(BI$1-Units!$Q39,12)=0),IF(AND(Units!$L39=1,BI$1=Units!$Q39),IF(Units!$J39&lt;&gt;"",Units!$J39,Mkt!BI40),Inputs!$B$15*Mkt!BI40+(1-Inputs!$B$15)*MIN(Mkt!BI40,BH40*(1+Inputs!$B$18))),BH40)))</f>
        <v>1716.40093525</v>
      </c>
      <c r="BJ40" s="11" t="n">
        <f aca="false">IF(BJ$1&lt;Units!$P39,0,IF(AND(Units!$K39=0,BJ$1=Units!$O39),Units!$R39,IF(AND(BJ$1&gt;=Units!$Q39,MOD(BJ$1-Units!$Q39,12)=0),IF(AND(Units!$L39=1,BJ$1=Units!$Q39),IF(Units!$J39&lt;&gt;"",Units!$J39,Mkt!BJ40),Inputs!$B$15*Mkt!BJ40+(1-Inputs!$B$15)*MIN(Mkt!BJ40,BI40*(1+Inputs!$B$18))),BI40)))</f>
        <v>1716.40093525</v>
      </c>
      <c r="BK40" s="11" t="n">
        <f aca="false">IF(BK$1&lt;Units!$P39,0,IF(AND(Units!$K39=0,BK$1=Units!$O39),Units!$R39,IF(AND(BK$1&gt;=Units!$Q39,MOD(BK$1-Units!$Q39,12)=0),IF(AND(Units!$L39=1,BK$1=Units!$Q39),IF(Units!$J39&lt;&gt;"",Units!$J39,Mkt!BK40),Inputs!$B$15*Mkt!BK40+(1-Inputs!$B$15)*MIN(Mkt!BK40,BJ40*(1+Inputs!$B$18))),BJ40)))</f>
        <v>1716.40093525</v>
      </c>
      <c r="BL40" s="11" t="n">
        <f aca="false">IF(BL$1&lt;Units!$P39,0,IF(AND(Units!$K39=0,BL$1=Units!$O39),Units!$R39,IF(AND(BL$1&gt;=Units!$Q39,MOD(BL$1-Units!$Q39,12)=0),IF(AND(Units!$L39=1,BL$1=Units!$Q39),IF(Units!$J39&lt;&gt;"",Units!$J39,Mkt!BL40),Inputs!$B$15*Mkt!BL40+(1-Inputs!$B$15)*MIN(Mkt!BL40,BK40*(1+Inputs!$B$18))),BK40)))</f>
        <v>1716.40093525</v>
      </c>
      <c r="BM40" s="11" t="n">
        <f aca="false">IF(BM$1&lt;Units!$P39,0,IF(AND(Units!$K39=0,BM$1=Units!$O39),Units!$R39,IF(AND(BM$1&gt;=Units!$Q39,MOD(BM$1-Units!$Q39,12)=0),IF(AND(Units!$L39=1,BM$1=Units!$Q39),IF(Units!$J39&lt;&gt;"",Units!$J39,Mkt!BM40),Inputs!$B$15*Mkt!BM40+(1-Inputs!$B$15)*MIN(Mkt!BM40,BL40*(1+Inputs!$B$18))),BL40)))</f>
        <v>1767.8929633075</v>
      </c>
      <c r="BN40" s="11" t="n">
        <f aca="false">IF(BN$1&lt;Units!$P39,0,IF(AND(Units!$K39=0,BN$1=Units!$O39),Units!$R39,IF(AND(BN$1&gt;=Units!$Q39,MOD(BN$1-Units!$Q39,12)=0),IF(AND(Units!$L39=1,BN$1=Units!$Q39),IF(Units!$J39&lt;&gt;"",Units!$J39,Mkt!BN40),Inputs!$B$15*Mkt!BN40+(1-Inputs!$B$15)*MIN(Mkt!BN40,BM40*(1+Inputs!$B$18))),BM40)))</f>
        <v>1767.8929633075</v>
      </c>
      <c r="BO40" s="11" t="n">
        <f aca="false">IF(BO$1&lt;Units!$P39,0,IF(AND(Units!$K39=0,BO$1=Units!$O39),Units!$R39,IF(AND(BO$1&gt;=Units!$Q39,MOD(BO$1-Units!$Q39,12)=0),IF(AND(Units!$L39=1,BO$1=Units!$Q39),IF(Units!$J39&lt;&gt;"",Units!$J39,Mkt!BO40),Inputs!$B$15*Mkt!BO40+(1-Inputs!$B$15)*MIN(Mkt!BO40,BN40*(1+Inputs!$B$18))),BN40)))</f>
        <v>1767.8929633075</v>
      </c>
      <c r="BP40" s="11" t="n">
        <f aca="false">IF(BP$1&lt;Units!$P39,0,IF(AND(Units!$K39=0,BP$1=Units!$O39),Units!$R39,IF(AND(BP$1&gt;=Units!$Q39,MOD(BP$1-Units!$Q39,12)=0),IF(AND(Units!$L39=1,BP$1=Units!$Q39),IF(Units!$J39&lt;&gt;"",Units!$J39,Mkt!BP40),Inputs!$B$15*Mkt!BP40+(1-Inputs!$B$15)*MIN(Mkt!BP40,BO40*(1+Inputs!$B$18))),BO40)))</f>
        <v>1767.8929633075</v>
      </c>
      <c r="BQ40" s="11" t="n">
        <f aca="false">IF(BQ$1&lt;Units!$P39,0,IF(AND(Units!$K39=0,BQ$1=Units!$O39),Units!$R39,IF(AND(BQ$1&gt;=Units!$Q39,MOD(BQ$1-Units!$Q39,12)=0),IF(AND(Units!$L39=1,BQ$1=Units!$Q39),IF(Units!$J39&lt;&gt;"",Units!$J39,Mkt!BQ40),Inputs!$B$15*Mkt!BQ40+(1-Inputs!$B$15)*MIN(Mkt!BQ40,BP40*(1+Inputs!$B$18))),BP40)))</f>
        <v>1767.8929633075</v>
      </c>
      <c r="BR40" s="11" t="n">
        <f aca="false">IF(BR$1&lt;Units!$P39,0,IF(AND(Units!$K39=0,BR$1=Units!$O39),Units!$R39,IF(AND(BR$1&gt;=Units!$Q39,MOD(BR$1-Units!$Q39,12)=0),IF(AND(Units!$L39=1,BR$1=Units!$Q39),IF(Units!$J39&lt;&gt;"",Units!$J39,Mkt!BR40),Inputs!$B$15*Mkt!BR40+(1-Inputs!$B$15)*MIN(Mkt!BR40,BQ40*(1+Inputs!$B$18))),BQ40)))</f>
        <v>1767.8929633075</v>
      </c>
      <c r="BS40" s="11" t="n">
        <f aca="false">IF(BS$1&lt;Units!$P39,0,IF(AND(Units!$K39=0,BS$1=Units!$O39),Units!$R39,IF(AND(BS$1&gt;=Units!$Q39,MOD(BS$1-Units!$Q39,12)=0),IF(AND(Units!$L39=1,BS$1=Units!$Q39),IF(Units!$J39&lt;&gt;"",Units!$J39,Mkt!BS40),Inputs!$B$15*Mkt!BS40+(1-Inputs!$B$15)*MIN(Mkt!BS40,BR40*(1+Inputs!$B$18))),BR40)))</f>
        <v>1767.8929633075</v>
      </c>
      <c r="BT40" s="11" t="n">
        <f aca="false">IF(BT$1&lt;Units!$P39,0,IF(AND(Units!$K39=0,BT$1=Units!$O39),Units!$R39,IF(AND(BT$1&gt;=Units!$Q39,MOD(BT$1-Units!$Q39,12)=0),IF(AND(Units!$L39=1,BT$1=Units!$Q39),IF(Units!$J39&lt;&gt;"",Units!$J39,Mkt!BT40),Inputs!$B$15*Mkt!BT40+(1-Inputs!$B$15)*MIN(Mkt!BT40,BS40*(1+Inputs!$B$18))),BS40)))</f>
        <v>1767.8929633075</v>
      </c>
      <c r="BU40" s="11" t="n">
        <f aca="false">IF(BU$1&lt;Units!$P39,0,IF(AND(Units!$K39=0,BU$1=Units!$O39),Units!$R39,IF(AND(BU$1&gt;=Units!$Q39,MOD(BU$1-Units!$Q39,12)=0),IF(AND(Units!$L39=1,BU$1=Units!$Q39),IF(Units!$J39&lt;&gt;"",Units!$J39,Mkt!BU40),Inputs!$B$15*Mkt!BU40+(1-Inputs!$B$15)*MIN(Mkt!BU40,BT40*(1+Inputs!$B$18))),BT40)))</f>
        <v>1767.8929633075</v>
      </c>
      <c r="BV40" s="11" t="n">
        <f aca="false">IF(BV$1&lt;Units!$P39,0,IF(AND(Units!$K39=0,BV$1=Units!$O39),Units!$R39,IF(AND(BV$1&gt;=Units!$Q39,MOD(BV$1-Units!$Q39,12)=0),IF(AND(Units!$L39=1,BV$1=Units!$Q39),IF(Units!$J39&lt;&gt;"",Units!$J39,Mkt!BV40),Inputs!$B$15*Mkt!BV40+(1-Inputs!$B$15)*MIN(Mkt!BV40,BU40*(1+Inputs!$B$18))),BU40)))</f>
        <v>1767.8929633075</v>
      </c>
      <c r="BW40" s="11" t="n">
        <f aca="false">IF(BW$1&lt;Units!$P39,0,IF(AND(Units!$K39=0,BW$1=Units!$O39),Units!$R39,IF(AND(BW$1&gt;=Units!$Q39,MOD(BW$1-Units!$Q39,12)=0),IF(AND(Units!$L39=1,BW$1=Units!$Q39),IF(Units!$J39&lt;&gt;"",Units!$J39,Mkt!BW40),Inputs!$B$15*Mkt!BW40+(1-Inputs!$B$15)*MIN(Mkt!BW40,BV40*(1+Inputs!$B$18))),BV40)))</f>
        <v>1767.8929633075</v>
      </c>
      <c r="BX40" s="11" t="n">
        <f aca="false">IF(BX$1&lt;Units!$P39,0,IF(AND(Units!$K39=0,BX$1=Units!$O39),Units!$R39,IF(AND(BX$1&gt;=Units!$Q39,MOD(BX$1-Units!$Q39,12)=0),IF(AND(Units!$L39=1,BX$1=Units!$Q39),IF(Units!$J39&lt;&gt;"",Units!$J39,Mkt!BX40),Inputs!$B$15*Mkt!BX40+(1-Inputs!$B$15)*MIN(Mkt!BX40,BW40*(1+Inputs!$B$18))),BW40)))</f>
        <v>1767.8929633075</v>
      </c>
      <c r="BY40" s="11" t="n">
        <f aca="false">IF(BY$1&lt;Units!$P39,0,IF(AND(Units!$K39=0,BY$1=Units!$O39),Units!$R39,IF(AND(BY$1&gt;=Units!$Q39,MOD(BY$1-Units!$Q39,12)=0),IF(AND(Units!$L39=1,BY$1=Units!$Q39),IF(Units!$J39&lt;&gt;"",Units!$J39,Mkt!BY40),Inputs!$B$15*Mkt!BY40+(1-Inputs!$B$15)*MIN(Mkt!BY40,BX40*(1+Inputs!$B$18))),BX40)))</f>
        <v>1820.92975220673</v>
      </c>
      <c r="BZ40" s="11" t="n">
        <f aca="false">IF(BZ$1&lt;Units!$P39,0,IF(AND(Units!$K39=0,BZ$1=Units!$O39),Units!$R39,IF(AND(BZ$1&gt;=Units!$Q39,MOD(BZ$1-Units!$Q39,12)=0),IF(AND(Units!$L39=1,BZ$1=Units!$Q39),IF(Units!$J39&lt;&gt;"",Units!$J39,Mkt!BZ40),Inputs!$B$15*Mkt!BZ40+(1-Inputs!$B$15)*MIN(Mkt!BZ40,BY40*(1+Inputs!$B$18))),BY40)))</f>
        <v>1820.92975220673</v>
      </c>
      <c r="CA40" s="11" t="n">
        <f aca="false">IF(CA$1&lt;Units!$P39,0,IF(AND(Units!$K39=0,CA$1=Units!$O39),Units!$R39,IF(AND(CA$1&gt;=Units!$Q39,MOD(CA$1-Units!$Q39,12)=0),IF(AND(Units!$L39=1,CA$1=Units!$Q39),IF(Units!$J39&lt;&gt;"",Units!$J39,Mkt!CA40),Inputs!$B$15*Mkt!CA40+(1-Inputs!$B$15)*MIN(Mkt!CA40,BZ40*(1+Inputs!$B$18))),BZ40)))</f>
        <v>1820.92975220673</v>
      </c>
      <c r="CB40" s="11" t="n">
        <f aca="false">IF(CB$1&lt;Units!$P39,0,IF(AND(Units!$K39=0,CB$1=Units!$O39),Units!$R39,IF(AND(CB$1&gt;=Units!$Q39,MOD(CB$1-Units!$Q39,12)=0),IF(AND(Units!$L39=1,CB$1=Units!$Q39),IF(Units!$J39&lt;&gt;"",Units!$J39,Mkt!CB40),Inputs!$B$15*Mkt!CB40+(1-Inputs!$B$15)*MIN(Mkt!CB40,CA40*(1+Inputs!$B$18))),CA40)))</f>
        <v>1820.92975220673</v>
      </c>
      <c r="CC40" s="11" t="n">
        <f aca="false">IF(CC$1&lt;Units!$P39,0,IF(AND(Units!$K39=0,CC$1=Units!$O39),Units!$R39,IF(AND(CC$1&gt;=Units!$Q39,MOD(CC$1-Units!$Q39,12)=0),IF(AND(Units!$L39=1,CC$1=Units!$Q39),IF(Units!$J39&lt;&gt;"",Units!$J39,Mkt!CC40),Inputs!$B$15*Mkt!CC40+(1-Inputs!$B$15)*MIN(Mkt!CC40,CB40*(1+Inputs!$B$18))),CB40)))</f>
        <v>1820.92975220673</v>
      </c>
      <c r="CD40" s="11" t="n">
        <f aca="false">IF(CD$1&lt;Units!$P39,0,IF(AND(Units!$K39=0,CD$1=Units!$O39),Units!$R39,IF(AND(CD$1&gt;=Units!$Q39,MOD(CD$1-Units!$Q39,12)=0),IF(AND(Units!$L39=1,CD$1=Units!$Q39),IF(Units!$J39&lt;&gt;"",Units!$J39,Mkt!CD40),Inputs!$B$15*Mkt!CD40+(1-Inputs!$B$15)*MIN(Mkt!CD40,CC40*(1+Inputs!$B$18))),CC40)))</f>
        <v>1820.92975220673</v>
      </c>
      <c r="CE40" s="11" t="n">
        <f aca="false">IF(CE$1&lt;Units!$P39,0,IF(AND(Units!$K39=0,CE$1=Units!$O39),Units!$R39,IF(AND(CE$1&gt;=Units!$Q39,MOD(CE$1-Units!$Q39,12)=0),IF(AND(Units!$L39=1,CE$1=Units!$Q39),IF(Units!$J39&lt;&gt;"",Units!$J39,Mkt!CE40),Inputs!$B$15*Mkt!CE40+(1-Inputs!$B$15)*MIN(Mkt!CE40,CD40*(1+Inputs!$B$18))),CD40)))</f>
        <v>1820.92975220673</v>
      </c>
      <c r="CF40" s="11" t="n">
        <f aca="false">IF(CF$1&lt;Units!$P39,0,IF(AND(Units!$K39=0,CF$1=Units!$O39),Units!$R39,IF(AND(CF$1&gt;=Units!$Q39,MOD(CF$1-Units!$Q39,12)=0),IF(AND(Units!$L39=1,CF$1=Units!$Q39),IF(Units!$J39&lt;&gt;"",Units!$J39,Mkt!CF40),Inputs!$B$15*Mkt!CF40+(1-Inputs!$B$15)*MIN(Mkt!CF40,CE40*(1+Inputs!$B$18))),CE40)))</f>
        <v>1820.92975220673</v>
      </c>
      <c r="CG40" s="11" t="n">
        <f aca="false">IF(CG$1&lt;Units!$P39,0,IF(AND(Units!$K39=0,CG$1=Units!$O39),Units!$R39,IF(AND(CG$1&gt;=Units!$Q39,MOD(CG$1-Units!$Q39,12)=0),IF(AND(Units!$L39=1,CG$1=Units!$Q39),IF(Units!$J39&lt;&gt;"",Units!$J39,Mkt!CG40),Inputs!$B$15*Mkt!CG40+(1-Inputs!$B$15)*MIN(Mkt!CG40,CF40*(1+Inputs!$B$18))),CF40)))</f>
        <v>1820.92975220673</v>
      </c>
      <c r="CH40" s="11" t="n">
        <f aca="false">IF(CH$1&lt;Units!$P39,0,IF(AND(Units!$K39=0,CH$1=Units!$O39),Units!$R39,IF(AND(CH$1&gt;=Units!$Q39,MOD(CH$1-Units!$Q39,12)=0),IF(AND(Units!$L39=1,CH$1=Units!$Q39),IF(Units!$J39&lt;&gt;"",Units!$J39,Mkt!CH40),Inputs!$B$15*Mkt!CH40+(1-Inputs!$B$15)*MIN(Mkt!CH40,CG40*(1+Inputs!$B$18))),CG40)))</f>
        <v>1820.92975220673</v>
      </c>
      <c r="CI40" s="11" t="n">
        <f aca="false">IF(CI$1&lt;Units!$P39,0,IF(AND(Units!$K39=0,CI$1=Units!$O39),Units!$R39,IF(AND(CI$1&gt;=Units!$Q39,MOD(CI$1-Units!$Q39,12)=0),IF(AND(Units!$L39=1,CI$1=Units!$Q39),IF(Units!$J39&lt;&gt;"",Units!$J39,Mkt!CI40),Inputs!$B$15*Mkt!CI40+(1-Inputs!$B$15)*MIN(Mkt!CI40,CH40*(1+Inputs!$B$18))),CH40)))</f>
        <v>1820.92975220673</v>
      </c>
      <c r="CJ40" s="11" t="n">
        <f aca="false">IF(CJ$1&lt;Units!$P39,0,IF(AND(Units!$K39=0,CJ$1=Units!$O39),Units!$R39,IF(AND(CJ$1&gt;=Units!$Q39,MOD(CJ$1-Units!$Q39,12)=0),IF(AND(Units!$L39=1,CJ$1=Units!$Q39),IF(Units!$J39&lt;&gt;"",Units!$J39,Mkt!CJ40),Inputs!$B$15*Mkt!CJ40+(1-Inputs!$B$15)*MIN(Mkt!CJ40,CI40*(1+Inputs!$B$18))),CI40)))</f>
        <v>1820.92975220673</v>
      </c>
      <c r="CK40" s="11" t="n">
        <f aca="false">IF(CK$1&lt;Units!$P39,0,IF(AND(Units!$K39=0,CK$1=Units!$O39),Units!$R39,IF(AND(CK$1&gt;=Units!$Q39,MOD(CK$1-Units!$Q39,12)=0),IF(AND(Units!$L39=1,CK$1=Units!$Q39),IF(Units!$J39&lt;&gt;"",Units!$J39,Mkt!CK40),Inputs!$B$15*Mkt!CK40+(1-Inputs!$B$15)*MIN(Mkt!CK40,CJ40*(1+Inputs!$B$18))),CJ40)))</f>
        <v>1875.55764477293</v>
      </c>
      <c r="CL40" s="11" t="n">
        <f aca="false">IF(CL$1&lt;Units!$P39,0,IF(AND(Units!$K39=0,CL$1=Units!$O39),Units!$R39,IF(AND(CL$1&gt;=Units!$Q39,MOD(CL$1-Units!$Q39,12)=0),IF(AND(Units!$L39=1,CL$1=Units!$Q39),IF(Units!$J39&lt;&gt;"",Units!$J39,Mkt!CL40),Inputs!$B$15*Mkt!CL40+(1-Inputs!$B$15)*MIN(Mkt!CL40,CK40*(1+Inputs!$B$18))),CK40)))</f>
        <v>1875.55764477293</v>
      </c>
      <c r="CM40" s="11" t="n">
        <f aca="false">IF(CM$1&lt;Units!$P39,0,IF(AND(Units!$K39=0,CM$1=Units!$O39),Units!$R39,IF(AND(CM$1&gt;=Units!$Q39,MOD(CM$1-Units!$Q39,12)=0),IF(AND(Units!$L39=1,CM$1=Units!$Q39),IF(Units!$J39&lt;&gt;"",Units!$J39,Mkt!CM40),Inputs!$B$15*Mkt!CM40+(1-Inputs!$B$15)*MIN(Mkt!CM40,CL40*(1+Inputs!$B$18))),CL40)))</f>
        <v>1875.55764477293</v>
      </c>
      <c r="CN40" s="11" t="n">
        <f aca="false">IF(CN$1&lt;Units!$P39,0,IF(AND(Units!$K39=0,CN$1=Units!$O39),Units!$R39,IF(AND(CN$1&gt;=Units!$Q39,MOD(CN$1-Units!$Q39,12)=0),IF(AND(Units!$L39=1,CN$1=Units!$Q39),IF(Units!$J39&lt;&gt;"",Units!$J39,Mkt!CN40),Inputs!$B$15*Mkt!CN40+(1-Inputs!$B$15)*MIN(Mkt!CN40,CM40*(1+Inputs!$B$18))),CM40)))</f>
        <v>1875.55764477293</v>
      </c>
      <c r="CO40" s="11" t="n">
        <f aca="false">IF(CO$1&lt;Units!$P39,0,IF(AND(Units!$K39=0,CO$1=Units!$O39),Units!$R39,IF(AND(CO$1&gt;=Units!$Q39,MOD(CO$1-Units!$Q39,12)=0),IF(AND(Units!$L39=1,CO$1=Units!$Q39),IF(Units!$J39&lt;&gt;"",Units!$J39,Mkt!CO40),Inputs!$B$15*Mkt!CO40+(1-Inputs!$B$15)*MIN(Mkt!CO40,CN40*(1+Inputs!$B$18))),CN40)))</f>
        <v>1875.55764477293</v>
      </c>
      <c r="CP40" s="11" t="n">
        <f aca="false">IF(CP$1&lt;Units!$P39,0,IF(AND(Units!$K39=0,CP$1=Units!$O39),Units!$R39,IF(AND(CP$1&gt;=Units!$Q39,MOD(CP$1-Units!$Q39,12)=0),IF(AND(Units!$L39=1,CP$1=Units!$Q39),IF(Units!$J39&lt;&gt;"",Units!$J39,Mkt!CP40),Inputs!$B$15*Mkt!CP40+(1-Inputs!$B$15)*MIN(Mkt!CP40,CO40*(1+Inputs!$B$18))),CO40)))</f>
        <v>1875.55764477293</v>
      </c>
      <c r="CQ40" s="11" t="n">
        <f aca="false">IF(CQ$1&lt;Units!$P39,0,IF(AND(Units!$K39=0,CQ$1=Units!$O39),Units!$R39,IF(AND(CQ$1&gt;=Units!$Q39,MOD(CQ$1-Units!$Q39,12)=0),IF(AND(Units!$L39=1,CQ$1=Units!$Q39),IF(Units!$J39&lt;&gt;"",Units!$J39,Mkt!CQ40),Inputs!$B$15*Mkt!CQ40+(1-Inputs!$B$15)*MIN(Mkt!CQ40,CP40*(1+Inputs!$B$18))),CP40)))</f>
        <v>1875.55764477293</v>
      </c>
      <c r="CR40" s="11" t="n">
        <f aca="false">IF(CR$1&lt;Units!$P39,0,IF(AND(Units!$K39=0,CR$1=Units!$O39),Units!$R39,IF(AND(CR$1&gt;=Units!$Q39,MOD(CR$1-Units!$Q39,12)=0),IF(AND(Units!$L39=1,CR$1=Units!$Q39),IF(Units!$J39&lt;&gt;"",Units!$J39,Mkt!CR40),Inputs!$B$15*Mkt!CR40+(1-Inputs!$B$15)*MIN(Mkt!CR40,CQ40*(1+Inputs!$B$18))),CQ40)))</f>
        <v>1875.55764477293</v>
      </c>
      <c r="CS40" s="11" t="n">
        <f aca="false">IF(CS$1&lt;Units!$P39,0,IF(AND(Units!$K39=0,CS$1=Units!$O39),Units!$R39,IF(AND(CS$1&gt;=Units!$Q39,MOD(CS$1-Units!$Q39,12)=0),IF(AND(Units!$L39=1,CS$1=Units!$Q39),IF(Units!$J39&lt;&gt;"",Units!$J39,Mkt!CS40),Inputs!$B$15*Mkt!CS40+(1-Inputs!$B$15)*MIN(Mkt!CS40,CR40*(1+Inputs!$B$18))),CR40)))</f>
        <v>1875.55764477293</v>
      </c>
      <c r="CT40" s="11" t="n">
        <f aca="false">IF(CT$1&lt;Units!$P39,0,IF(AND(Units!$K39=0,CT$1=Units!$O39),Units!$R39,IF(AND(CT$1&gt;=Units!$Q39,MOD(CT$1-Units!$Q39,12)=0),IF(AND(Units!$L39=1,CT$1=Units!$Q39),IF(Units!$J39&lt;&gt;"",Units!$J39,Mkt!CT40),Inputs!$B$15*Mkt!CT40+(1-Inputs!$B$15)*MIN(Mkt!CT40,CS40*(1+Inputs!$B$18))),CS40)))</f>
        <v>1875.55764477293</v>
      </c>
      <c r="CU40" s="11" t="n">
        <f aca="false">IF(CU$1&lt;Units!$P39,0,IF(AND(Units!$K39=0,CU$1=Units!$O39),Units!$R39,IF(AND(CU$1&gt;=Units!$Q39,MOD(CU$1-Units!$Q39,12)=0),IF(AND(Units!$L39=1,CU$1=Units!$Q39),IF(Units!$J39&lt;&gt;"",Units!$J39,Mkt!CU40),Inputs!$B$15*Mkt!CU40+(1-Inputs!$B$15)*MIN(Mkt!CU40,CT40*(1+Inputs!$B$18))),CT40)))</f>
        <v>1875.55764477293</v>
      </c>
      <c r="CV40" s="11" t="n">
        <f aca="false">IF(CV$1&lt;Units!$P39,0,IF(AND(Units!$K39=0,CV$1=Units!$O39),Units!$R39,IF(AND(CV$1&gt;=Units!$Q39,MOD(CV$1-Units!$Q39,12)=0),IF(AND(Units!$L39=1,CV$1=Units!$Q39),IF(Units!$J39&lt;&gt;"",Units!$J39,Mkt!CV40),Inputs!$B$15*Mkt!CV40+(1-Inputs!$B$15)*MIN(Mkt!CV40,CU40*(1+Inputs!$B$18))),CU40)))</f>
        <v>1875.55764477293</v>
      </c>
      <c r="CW40" s="11" t="n">
        <f aca="false">IF(CW$1&lt;Units!$P39,0,IF(AND(Units!$K39=0,CW$1=Units!$O39),Units!$R39,IF(AND(CW$1&gt;=Units!$Q39,MOD(CW$1-Units!$Q39,12)=0),IF(AND(Units!$L39=1,CW$1=Units!$Q39),IF(Units!$J39&lt;&gt;"",Units!$J39,Mkt!CW40),Inputs!$B$15*Mkt!CW40+(1-Inputs!$B$15)*MIN(Mkt!CW40,CV40*(1+Inputs!$B$18))),CV40)))</f>
        <v>1931.82437411612</v>
      </c>
      <c r="CX40" s="11" t="n">
        <f aca="false">IF(CX$1&lt;Units!$P39,0,IF(AND(Units!$K39=0,CX$1=Units!$O39),Units!$R39,IF(AND(CX$1&gt;=Units!$Q39,MOD(CX$1-Units!$Q39,12)=0),IF(AND(Units!$L39=1,CX$1=Units!$Q39),IF(Units!$J39&lt;&gt;"",Units!$J39,Mkt!CX40),Inputs!$B$15*Mkt!CX40+(1-Inputs!$B$15)*MIN(Mkt!CX40,CW40*(1+Inputs!$B$18))),CW40)))</f>
        <v>1931.82437411612</v>
      </c>
      <c r="CY40" s="11" t="n">
        <f aca="false">IF(CY$1&lt;Units!$P39,0,IF(AND(Units!$K39=0,CY$1=Units!$O39),Units!$R39,IF(AND(CY$1&gt;=Units!$Q39,MOD(CY$1-Units!$Q39,12)=0),IF(AND(Units!$L39=1,CY$1=Units!$Q39),IF(Units!$J39&lt;&gt;"",Units!$J39,Mkt!CY40),Inputs!$B$15*Mkt!CY40+(1-Inputs!$B$15)*MIN(Mkt!CY40,CX40*(1+Inputs!$B$18))),CX40)))</f>
        <v>1931.82437411612</v>
      </c>
      <c r="CZ40" s="11" t="n">
        <f aca="false">IF(CZ$1&lt;Units!$P39,0,IF(AND(Units!$K39=0,CZ$1=Units!$O39),Units!$R39,IF(AND(CZ$1&gt;=Units!$Q39,MOD(CZ$1-Units!$Q39,12)=0),IF(AND(Units!$L39=1,CZ$1=Units!$Q39),IF(Units!$J39&lt;&gt;"",Units!$J39,Mkt!CZ40),Inputs!$B$15*Mkt!CZ40+(1-Inputs!$B$15)*MIN(Mkt!CZ40,CY40*(1+Inputs!$B$18))),CY40)))</f>
        <v>1931.82437411612</v>
      </c>
      <c r="DA40" s="11" t="n">
        <f aca="false">IF(DA$1&lt;Units!$P39,0,IF(AND(Units!$K39=0,DA$1=Units!$O39),Units!$R39,IF(AND(DA$1&gt;=Units!$Q39,MOD(DA$1-Units!$Q39,12)=0),IF(AND(Units!$L39=1,DA$1=Units!$Q39),IF(Units!$J39&lt;&gt;"",Units!$J39,Mkt!DA40),Inputs!$B$15*Mkt!DA40+(1-Inputs!$B$15)*MIN(Mkt!DA40,CZ40*(1+Inputs!$B$18))),CZ40)))</f>
        <v>1931.82437411612</v>
      </c>
      <c r="DB40" s="11" t="n">
        <f aca="false">IF(DB$1&lt;Units!$P39,0,IF(AND(Units!$K39=0,DB$1=Units!$O39),Units!$R39,IF(AND(DB$1&gt;=Units!$Q39,MOD(DB$1-Units!$Q39,12)=0),IF(AND(Units!$L39=1,DB$1=Units!$Q39),IF(Units!$J39&lt;&gt;"",Units!$J39,Mkt!DB40),Inputs!$B$15*Mkt!DB40+(1-Inputs!$B$15)*MIN(Mkt!DB40,DA40*(1+Inputs!$B$18))),DA40)))</f>
        <v>1931.82437411612</v>
      </c>
      <c r="DC40" s="11" t="n">
        <f aca="false">IF(DC$1&lt;Units!$P39,0,IF(AND(Units!$K39=0,DC$1=Units!$O39),Units!$R39,IF(AND(DC$1&gt;=Units!$Q39,MOD(DC$1-Units!$Q39,12)=0),IF(AND(Units!$L39=1,DC$1=Units!$Q39),IF(Units!$J39&lt;&gt;"",Units!$J39,Mkt!DC40),Inputs!$B$15*Mkt!DC40+(1-Inputs!$B$15)*MIN(Mkt!DC40,DB40*(1+Inputs!$B$18))),DB40)))</f>
        <v>1931.82437411612</v>
      </c>
      <c r="DD40" s="11" t="n">
        <f aca="false">IF(DD$1&lt;Units!$P39,0,IF(AND(Units!$K39=0,DD$1=Units!$O39),Units!$R39,IF(AND(DD$1&gt;=Units!$Q39,MOD(DD$1-Units!$Q39,12)=0),IF(AND(Units!$L39=1,DD$1=Units!$Q39),IF(Units!$J39&lt;&gt;"",Units!$J39,Mkt!DD40),Inputs!$B$15*Mkt!DD40+(1-Inputs!$B$15)*MIN(Mkt!DD40,DC40*(1+Inputs!$B$18))),DC40)))</f>
        <v>1931.82437411612</v>
      </c>
      <c r="DE40" s="11" t="n">
        <f aca="false">IF(DE$1&lt;Units!$P39,0,IF(AND(Units!$K39=0,DE$1=Units!$O39),Units!$R39,IF(AND(DE$1&gt;=Units!$Q39,MOD(DE$1-Units!$Q39,12)=0),IF(AND(Units!$L39=1,DE$1=Units!$Q39),IF(Units!$J39&lt;&gt;"",Units!$J39,Mkt!DE40),Inputs!$B$15*Mkt!DE40+(1-Inputs!$B$15)*MIN(Mkt!DE40,DD40*(1+Inputs!$B$18))),DD40)))</f>
        <v>1931.82437411612</v>
      </c>
      <c r="DF40" s="11" t="n">
        <f aca="false">IF(DF$1&lt;Units!$P39,0,IF(AND(Units!$K39=0,DF$1=Units!$O39),Units!$R39,IF(AND(DF$1&gt;=Units!$Q39,MOD(DF$1-Units!$Q39,12)=0),IF(AND(Units!$L39=1,DF$1=Units!$Q39),IF(Units!$J39&lt;&gt;"",Units!$J39,Mkt!DF40),Inputs!$B$15*Mkt!DF40+(1-Inputs!$B$15)*MIN(Mkt!DF40,DE40*(1+Inputs!$B$18))),DE40)))</f>
        <v>1931.82437411612</v>
      </c>
      <c r="DG40" s="11" t="n">
        <f aca="false">IF(DG$1&lt;Units!$P39,0,IF(AND(Units!$K39=0,DG$1=Units!$O39),Units!$R39,IF(AND(DG$1&gt;=Units!$Q39,MOD(DG$1-Units!$Q39,12)=0),IF(AND(Units!$L39=1,DG$1=Units!$Q39),IF(Units!$J39&lt;&gt;"",Units!$J39,Mkt!DG40),Inputs!$B$15*Mkt!DG40+(1-Inputs!$B$15)*MIN(Mkt!DG40,DF40*(1+Inputs!$B$18))),DF40)))</f>
        <v>1931.82437411612</v>
      </c>
      <c r="DH40" s="11" t="n">
        <f aca="false">IF(DH$1&lt;Units!$P39,0,IF(AND(Units!$K39=0,DH$1=Units!$O39),Units!$R39,IF(AND(DH$1&gt;=Units!$Q39,MOD(DH$1-Units!$Q39,12)=0),IF(AND(Units!$L39=1,DH$1=Units!$Q39),IF(Units!$J39&lt;&gt;"",Units!$J39,Mkt!DH40),Inputs!$B$15*Mkt!DH40+(1-Inputs!$B$15)*MIN(Mkt!DH40,DG40*(1+Inputs!$B$18))),DG40)))</f>
        <v>1931.82437411612</v>
      </c>
      <c r="DI40" s="11" t="n">
        <f aca="false">IF(DI$1&lt;Units!$P39,0,IF(AND(Units!$K39=0,DI$1=Units!$O39),Units!$R39,IF(AND(DI$1&gt;=Units!$Q39,MOD(DI$1-Units!$Q39,12)=0),IF(AND(Units!$L39=1,DI$1=Units!$Q39),IF(Units!$J39&lt;&gt;"",Units!$J39,Mkt!DI40),Inputs!$B$15*Mkt!DI40+(1-Inputs!$B$15)*MIN(Mkt!DI40,DH40*(1+Inputs!$B$18))),DH40)))</f>
        <v>1989.7791053396</v>
      </c>
      <c r="DJ40" s="11" t="n">
        <f aca="false">IF(DJ$1&lt;Units!$P39,0,IF(AND(Units!$K39=0,DJ$1=Units!$O39),Units!$R39,IF(AND(DJ$1&gt;=Units!$Q39,MOD(DJ$1-Units!$Q39,12)=0),IF(AND(Units!$L39=1,DJ$1=Units!$Q39),IF(Units!$J39&lt;&gt;"",Units!$J39,Mkt!DJ40),Inputs!$B$15*Mkt!DJ40+(1-Inputs!$B$15)*MIN(Mkt!DJ40,DI40*(1+Inputs!$B$18))),DI40)))</f>
        <v>1989.7791053396</v>
      </c>
      <c r="DK40" s="11" t="n">
        <f aca="false">IF(DK$1&lt;Units!$P39,0,IF(AND(Units!$K39=0,DK$1=Units!$O39),Units!$R39,IF(AND(DK$1&gt;=Units!$Q39,MOD(DK$1-Units!$Q39,12)=0),IF(AND(Units!$L39=1,DK$1=Units!$Q39),IF(Units!$J39&lt;&gt;"",Units!$J39,Mkt!DK40),Inputs!$B$15*Mkt!DK40+(1-Inputs!$B$15)*MIN(Mkt!DK40,DJ40*(1+Inputs!$B$18))),DJ40)))</f>
        <v>1989.7791053396</v>
      </c>
      <c r="DL40" s="11" t="n">
        <f aca="false">IF(DL$1&lt;Units!$P39,0,IF(AND(Units!$K39=0,DL$1=Units!$O39),Units!$R39,IF(AND(DL$1&gt;=Units!$Q39,MOD(DL$1-Units!$Q39,12)=0),IF(AND(Units!$L39=1,DL$1=Units!$Q39),IF(Units!$J39&lt;&gt;"",Units!$J39,Mkt!DL40),Inputs!$B$15*Mkt!DL40+(1-Inputs!$B$15)*MIN(Mkt!DL40,DK40*(1+Inputs!$B$18))),DK40)))</f>
        <v>1989.7791053396</v>
      </c>
      <c r="DM40" s="11" t="n">
        <f aca="false">IF(DM$1&lt;Units!$P39,0,IF(AND(Units!$K39=0,DM$1=Units!$O39),Units!$R39,IF(AND(DM$1&gt;=Units!$Q39,MOD(DM$1-Units!$Q39,12)=0),IF(AND(Units!$L39=1,DM$1=Units!$Q39),IF(Units!$J39&lt;&gt;"",Units!$J39,Mkt!DM40),Inputs!$B$15*Mkt!DM40+(1-Inputs!$B$15)*MIN(Mkt!DM40,DL40*(1+Inputs!$B$18))),DL40)))</f>
        <v>1989.7791053396</v>
      </c>
      <c r="DN40" s="11" t="n">
        <f aca="false">IF(DN$1&lt;Units!$P39,0,IF(AND(Units!$K39=0,DN$1=Units!$O39),Units!$R39,IF(AND(DN$1&gt;=Units!$Q39,MOD(DN$1-Units!$Q39,12)=0),IF(AND(Units!$L39=1,DN$1=Units!$Q39),IF(Units!$J39&lt;&gt;"",Units!$J39,Mkt!DN40),Inputs!$B$15*Mkt!DN40+(1-Inputs!$B$15)*MIN(Mkt!DN40,DM40*(1+Inputs!$B$18))),DM40)))</f>
        <v>1989.7791053396</v>
      </c>
      <c r="DO40" s="11" t="n">
        <f aca="false">IF(DO$1&lt;Units!$P39,0,IF(AND(Units!$K39=0,DO$1=Units!$O39),Units!$R39,IF(AND(DO$1&gt;=Units!$Q39,MOD(DO$1-Units!$Q39,12)=0),IF(AND(Units!$L39=1,DO$1=Units!$Q39),IF(Units!$J39&lt;&gt;"",Units!$J39,Mkt!DO40),Inputs!$B$15*Mkt!DO40+(1-Inputs!$B$15)*MIN(Mkt!DO40,DN40*(1+Inputs!$B$18))),DN40)))</f>
        <v>1989.7791053396</v>
      </c>
      <c r="DP40" s="11" t="n">
        <f aca="false">IF(DP$1&lt;Units!$P39,0,IF(AND(Units!$K39=0,DP$1=Units!$O39),Units!$R39,IF(AND(DP$1&gt;=Units!$Q39,MOD(DP$1-Units!$Q39,12)=0),IF(AND(Units!$L39=1,DP$1=Units!$Q39),IF(Units!$J39&lt;&gt;"",Units!$J39,Mkt!DP40),Inputs!$B$15*Mkt!DP40+(1-Inputs!$B$15)*MIN(Mkt!DP40,DO40*(1+Inputs!$B$18))),DO40)))</f>
        <v>1989.7791053396</v>
      </c>
      <c r="DQ40" s="11" t="n">
        <f aca="false">IF(DQ$1&lt;Units!$P39,0,IF(AND(Units!$K39=0,DQ$1=Units!$O39),Units!$R39,IF(AND(DQ$1&gt;=Units!$Q39,MOD(DQ$1-Units!$Q39,12)=0),IF(AND(Units!$L39=1,DQ$1=Units!$Q39),IF(Units!$J39&lt;&gt;"",Units!$J39,Mkt!DQ40),Inputs!$B$15*Mkt!DQ40+(1-Inputs!$B$15)*MIN(Mkt!DQ40,DP40*(1+Inputs!$B$18))),DP40)))</f>
        <v>1989.7791053396</v>
      </c>
      <c r="DR40" s="11" t="n">
        <f aca="false">IF(DR$1&lt;Units!$P39,0,IF(AND(Units!$K39=0,DR$1=Units!$O39),Units!$R39,IF(AND(DR$1&gt;=Units!$Q39,MOD(DR$1-Units!$Q39,12)=0),IF(AND(Units!$L39=1,DR$1=Units!$Q39),IF(Units!$J39&lt;&gt;"",Units!$J39,Mkt!DR40),Inputs!$B$15*Mkt!DR40+(1-Inputs!$B$15)*MIN(Mkt!DR40,DQ40*(1+Inputs!$B$18))),DQ40)))</f>
        <v>1989.7791053396</v>
      </c>
      <c r="DS40" s="11" t="n">
        <f aca="false">IF(DS$1&lt;Units!$P39,0,IF(AND(Units!$K39=0,DS$1=Units!$O39),Units!$R39,IF(AND(DS$1&gt;=Units!$Q39,MOD(DS$1-Units!$Q39,12)=0),IF(AND(Units!$L39=1,DS$1=Units!$Q39),IF(Units!$J39&lt;&gt;"",Units!$J39,Mkt!DS40),Inputs!$B$15*Mkt!DS40+(1-Inputs!$B$15)*MIN(Mkt!DS40,DR40*(1+Inputs!$B$18))),DR40)))</f>
        <v>1989.7791053396</v>
      </c>
      <c r="DT40" s="11" t="n">
        <f aca="false">IF(DT$1&lt;Units!$P39,0,IF(AND(Units!$K39=0,DT$1=Units!$O39),Units!$R39,IF(AND(DT$1&gt;=Units!$Q39,MOD(DT$1-Units!$Q39,12)=0),IF(AND(Units!$L39=1,DT$1=Units!$Q39),IF(Units!$J39&lt;&gt;"",Units!$J39,Mkt!DT40),Inputs!$B$15*Mkt!DT40+(1-Inputs!$B$15)*MIN(Mkt!DT40,DS40*(1+Inputs!$B$18))),DS40)))</f>
        <v>1989.7791053396</v>
      </c>
      <c r="DU40" s="11" t="n">
        <f aca="false">IF(DU$1&lt;Units!$P39,0,IF(AND(Units!$K39=0,DU$1=Units!$O39),Units!$R39,IF(AND(DU$1&gt;=Units!$Q39,MOD(DU$1-Units!$Q39,12)=0),IF(AND(Units!$L39=1,DU$1=Units!$Q39),IF(Units!$J39&lt;&gt;"",Units!$J39,Mkt!DU40),Inputs!$B$15*Mkt!DU40+(1-Inputs!$B$15)*MIN(Mkt!DU40,DT40*(1+Inputs!$B$18))),DT40)))</f>
        <v>2049.47247849979</v>
      </c>
      <c r="DV40" s="11" t="n">
        <f aca="false">IF(DV$1&lt;Units!$P39,0,IF(AND(Units!$K39=0,DV$1=Units!$O39),Units!$R39,IF(AND(DV$1&gt;=Units!$Q39,MOD(DV$1-Units!$Q39,12)=0),IF(AND(Units!$L39=1,DV$1=Units!$Q39),IF(Units!$J39&lt;&gt;"",Units!$J39,Mkt!DV40),Inputs!$B$15*Mkt!DV40+(1-Inputs!$B$15)*MIN(Mkt!DV40,DU40*(1+Inputs!$B$18))),DU40)))</f>
        <v>2049.47247849979</v>
      </c>
      <c r="DW40" s="11" t="n">
        <f aca="false">IF(DW$1&lt;Units!$P39,0,IF(AND(Units!$K39=0,DW$1=Units!$O39),Units!$R39,IF(AND(DW$1&gt;=Units!$Q39,MOD(DW$1-Units!$Q39,12)=0),IF(AND(Units!$L39=1,DW$1=Units!$Q39),IF(Units!$J39&lt;&gt;"",Units!$J39,Mkt!DW40),Inputs!$B$15*Mkt!DW40+(1-Inputs!$B$15)*MIN(Mkt!DW40,DV40*(1+Inputs!$B$18))),DV40)))</f>
        <v>2049.47247849979</v>
      </c>
      <c r="DX40" s="11" t="n">
        <f aca="false">IF(DX$1&lt;Units!$P39,0,IF(AND(Units!$K39=0,DX$1=Units!$O39),Units!$R39,IF(AND(DX$1&gt;=Units!$Q39,MOD(DX$1-Units!$Q39,12)=0),IF(AND(Units!$L39=1,DX$1=Units!$Q39),IF(Units!$J39&lt;&gt;"",Units!$J39,Mkt!DX40),Inputs!$B$15*Mkt!DX40+(1-Inputs!$B$15)*MIN(Mkt!DX40,DW40*(1+Inputs!$B$18))),DW40)))</f>
        <v>2049.47247849979</v>
      </c>
      <c r="DY40" s="11" t="n">
        <f aca="false">IF(DY$1&lt;Units!$P39,0,IF(AND(Units!$K39=0,DY$1=Units!$O39),Units!$R39,IF(AND(DY$1&gt;=Units!$Q39,MOD(DY$1-Units!$Q39,12)=0),IF(AND(Units!$L39=1,DY$1=Units!$Q39),IF(Units!$J39&lt;&gt;"",Units!$J39,Mkt!DY40),Inputs!$B$15*Mkt!DY40+(1-Inputs!$B$15)*MIN(Mkt!DY40,DX40*(1+Inputs!$B$18))),DX40)))</f>
        <v>2049.47247849979</v>
      </c>
      <c r="DZ40" s="11" t="n">
        <f aca="false">IF(DZ$1&lt;Units!$P39,0,IF(AND(Units!$K39=0,DZ$1=Units!$O39),Units!$R39,IF(AND(DZ$1&gt;=Units!$Q39,MOD(DZ$1-Units!$Q39,12)=0),IF(AND(Units!$L39=1,DZ$1=Units!$Q39),IF(Units!$J39&lt;&gt;"",Units!$J39,Mkt!DZ40),Inputs!$B$15*Mkt!DZ40+(1-Inputs!$B$15)*MIN(Mkt!DZ40,DY40*(1+Inputs!$B$18))),DY40)))</f>
        <v>2049.47247849979</v>
      </c>
      <c r="EA40" s="11" t="n">
        <f aca="false">IF(EA$1&lt;Units!$P39,0,IF(AND(Units!$K39=0,EA$1=Units!$O39),Units!$R39,IF(AND(EA$1&gt;=Units!$Q39,MOD(EA$1-Units!$Q39,12)=0),IF(AND(Units!$L39=1,EA$1=Units!$Q39),IF(Units!$J39&lt;&gt;"",Units!$J39,Mkt!EA40),Inputs!$B$15*Mkt!EA40+(1-Inputs!$B$15)*MIN(Mkt!EA40,DZ40*(1+Inputs!$B$18))),DZ40)))</f>
        <v>2049.47247849979</v>
      </c>
      <c r="EB40" s="11" t="n">
        <f aca="false">IF(EB$1&lt;Units!$P39,0,IF(AND(Units!$K39=0,EB$1=Units!$O39),Units!$R39,IF(AND(EB$1&gt;=Units!$Q39,MOD(EB$1-Units!$Q39,12)=0),IF(AND(Units!$L39=1,EB$1=Units!$Q39),IF(Units!$J39&lt;&gt;"",Units!$J39,Mkt!EB40),Inputs!$B$15*Mkt!EB40+(1-Inputs!$B$15)*MIN(Mkt!EB40,EA40*(1+Inputs!$B$18))),EA40)))</f>
        <v>2049.47247849979</v>
      </c>
      <c r="EC40" s="11" t="n">
        <f aca="false">IF(EC$1&lt;Units!$P39,0,IF(AND(Units!$K39=0,EC$1=Units!$O39),Units!$R39,IF(AND(EC$1&gt;=Units!$Q39,MOD(EC$1-Units!$Q39,12)=0),IF(AND(Units!$L39=1,EC$1=Units!$Q39),IF(Units!$J39&lt;&gt;"",Units!$J39,Mkt!EC40),Inputs!$B$15*Mkt!EC40+(1-Inputs!$B$15)*MIN(Mkt!EC40,EB40*(1+Inputs!$B$18))),EB40)))</f>
        <v>2049.47247849979</v>
      </c>
      <c r="ED40" s="11" t="n">
        <f aca="false">IF(ED$1&lt;Units!$P39,0,IF(AND(Units!$K39=0,ED$1=Units!$O39),Units!$R39,IF(AND(ED$1&gt;=Units!$Q39,MOD(ED$1-Units!$Q39,12)=0),IF(AND(Units!$L39=1,ED$1=Units!$Q39),IF(Units!$J39&lt;&gt;"",Units!$J39,Mkt!ED40),Inputs!$B$15*Mkt!ED40+(1-Inputs!$B$15)*MIN(Mkt!ED40,EC40*(1+Inputs!$B$18))),EC40)))</f>
        <v>2049.47247849979</v>
      </c>
    </row>
    <row r="41" customFormat="false" ht="15" hidden="false" customHeight="false" outlineLevel="0" collapsed="false">
      <c r="A41" s="22" t="n">
        <f aca="false">Units!A40</f>
        <v>209</v>
      </c>
      <c r="B41" s="24" t="n">
        <f aca="false">IF(Units!K40=1,Units!F40,0)</f>
        <v>0</v>
      </c>
      <c r="C41" s="11" t="n">
        <f aca="false">IF(C$1&lt;Units!$P40,0,IF(AND(Units!$K40=0,C$1=Units!$O40),Units!$R40,IF(AND(C$1&gt;=Units!$Q40,MOD(C$1-Units!$Q40,12)=0),IF(AND(Units!$L40=1,C$1=Units!$Q40),IF(Units!$J40&lt;&gt;"",Units!$J40,Mkt!C41),Inputs!$B$15*Mkt!C41+(1-Inputs!$B$15)*MIN(Mkt!C41,B41*(1+Inputs!$B$18))),B41)))</f>
        <v>1525</v>
      </c>
      <c r="D41" s="11" t="n">
        <f aca="false">IF(D$1&lt;Units!$P40,0,IF(AND(Units!$K40=0,D$1=Units!$O40),Units!$R40,IF(AND(D$1&gt;=Units!$Q40,MOD(D$1-Units!$Q40,12)=0),IF(AND(Units!$L40=1,D$1=Units!$Q40),IF(Units!$J40&lt;&gt;"",Units!$J40,Mkt!D41),Inputs!$B$15*Mkt!D41+(1-Inputs!$B$15)*MIN(Mkt!D41,C41*(1+Inputs!$B$18))),C41)))</f>
        <v>1525</v>
      </c>
      <c r="E41" s="11" t="n">
        <f aca="false">IF(E$1&lt;Units!$P40,0,IF(AND(Units!$K40=0,E$1=Units!$O40),Units!$R40,IF(AND(E$1&gt;=Units!$Q40,MOD(E$1-Units!$Q40,12)=0),IF(AND(Units!$L40=1,E$1=Units!$Q40),IF(Units!$J40&lt;&gt;"",Units!$J40,Mkt!E41),Inputs!$B$15*Mkt!E41+(1-Inputs!$B$15)*MIN(Mkt!E41,D41*(1+Inputs!$B$18))),D41)))</f>
        <v>1525</v>
      </c>
      <c r="F41" s="11" t="n">
        <f aca="false">IF(F$1&lt;Units!$P40,0,IF(AND(Units!$K40=0,F$1=Units!$O40),Units!$R40,IF(AND(F$1&gt;=Units!$Q40,MOD(F$1-Units!$Q40,12)=0),IF(AND(Units!$L40=1,F$1=Units!$Q40),IF(Units!$J40&lt;&gt;"",Units!$J40,Mkt!F41),Inputs!$B$15*Mkt!F41+(1-Inputs!$B$15)*MIN(Mkt!F41,E41*(1+Inputs!$B$18))),E41)))</f>
        <v>1525</v>
      </c>
      <c r="G41" s="11" t="n">
        <f aca="false">IF(G$1&lt;Units!$P40,0,IF(AND(Units!$K40=0,G$1=Units!$O40),Units!$R40,IF(AND(G$1&gt;=Units!$Q40,MOD(G$1-Units!$Q40,12)=0),IF(AND(Units!$L40=1,G$1=Units!$Q40),IF(Units!$J40&lt;&gt;"",Units!$J40,Mkt!G41),Inputs!$B$15*Mkt!G41+(1-Inputs!$B$15)*MIN(Mkt!G41,F41*(1+Inputs!$B$18))),F41)))</f>
        <v>1525</v>
      </c>
      <c r="H41" s="11" t="n">
        <f aca="false">IF(H$1&lt;Units!$P40,0,IF(AND(Units!$K40=0,H$1=Units!$O40),Units!$R40,IF(AND(H$1&gt;=Units!$Q40,MOD(H$1-Units!$Q40,12)=0),IF(AND(Units!$L40=1,H$1=Units!$Q40),IF(Units!$J40&lt;&gt;"",Units!$J40,Mkt!H41),Inputs!$B$15*Mkt!H41+(1-Inputs!$B$15)*MIN(Mkt!H41,G41*(1+Inputs!$B$18))),G41)))</f>
        <v>1525</v>
      </c>
      <c r="I41" s="11" t="n">
        <f aca="false">IF(I$1&lt;Units!$P40,0,IF(AND(Units!$K40=0,I$1=Units!$O40),Units!$R40,IF(AND(I$1&gt;=Units!$Q40,MOD(I$1-Units!$Q40,12)=0),IF(AND(Units!$L40=1,I$1=Units!$Q40),IF(Units!$J40&lt;&gt;"",Units!$J40,Mkt!I41),Inputs!$B$15*Mkt!I41+(1-Inputs!$B$15)*MIN(Mkt!I41,H41*(1+Inputs!$B$18))),H41)))</f>
        <v>1525</v>
      </c>
      <c r="J41" s="11" t="n">
        <f aca="false">IF(J$1&lt;Units!$P40,0,IF(AND(Units!$K40=0,J$1=Units!$O40),Units!$R40,IF(AND(J$1&gt;=Units!$Q40,MOD(J$1-Units!$Q40,12)=0),IF(AND(Units!$L40=1,J$1=Units!$Q40),IF(Units!$J40&lt;&gt;"",Units!$J40,Mkt!J41),Inputs!$B$15*Mkt!J41+(1-Inputs!$B$15)*MIN(Mkt!J41,I41*(1+Inputs!$B$18))),I41)))</f>
        <v>1525</v>
      </c>
      <c r="K41" s="11" t="n">
        <f aca="false">IF(K$1&lt;Units!$P40,0,IF(AND(Units!$K40=0,K$1=Units!$O40),Units!$R40,IF(AND(K$1&gt;=Units!$Q40,MOD(K$1-Units!$Q40,12)=0),IF(AND(Units!$L40=1,K$1=Units!$Q40),IF(Units!$J40&lt;&gt;"",Units!$J40,Mkt!K41),Inputs!$B$15*Mkt!K41+(1-Inputs!$B$15)*MIN(Mkt!K41,J41*(1+Inputs!$B$18))),J41)))</f>
        <v>1525</v>
      </c>
      <c r="L41" s="11" t="n">
        <f aca="false">IF(L$1&lt;Units!$P40,0,IF(AND(Units!$K40=0,L$1=Units!$O40),Units!$R40,IF(AND(L$1&gt;=Units!$Q40,MOD(L$1-Units!$Q40,12)=0),IF(AND(Units!$L40=1,L$1=Units!$Q40),IF(Units!$J40&lt;&gt;"",Units!$J40,Mkt!L41),Inputs!$B$15*Mkt!L41+(1-Inputs!$B$15)*MIN(Mkt!L41,K41*(1+Inputs!$B$18))),K41)))</f>
        <v>1525</v>
      </c>
      <c r="M41" s="11" t="n">
        <f aca="false">IF(M$1&lt;Units!$P40,0,IF(AND(Units!$K40=0,M$1=Units!$O40),Units!$R40,IF(AND(M$1&gt;=Units!$Q40,MOD(M$1-Units!$Q40,12)=0),IF(AND(Units!$L40=1,M$1=Units!$Q40),IF(Units!$J40&lt;&gt;"",Units!$J40,Mkt!M41),Inputs!$B$15*Mkt!M41+(1-Inputs!$B$15)*MIN(Mkt!M41,L41*(1+Inputs!$B$18))),L41)))</f>
        <v>1525</v>
      </c>
      <c r="N41" s="11" t="n">
        <f aca="false">IF(N$1&lt;Units!$P40,0,IF(AND(Units!$K40=0,N$1=Units!$O40),Units!$R40,IF(AND(N$1&gt;=Units!$Q40,MOD(N$1-Units!$Q40,12)=0),IF(AND(Units!$L40=1,N$1=Units!$Q40),IF(Units!$J40&lt;&gt;"",Units!$J40,Mkt!N41),Inputs!$B$15*Mkt!N41+(1-Inputs!$B$15)*MIN(Mkt!N41,M41*(1+Inputs!$B$18))),M41)))</f>
        <v>1525</v>
      </c>
      <c r="O41" s="11" t="n">
        <f aca="false">IF(O$1&lt;Units!$P40,0,IF(AND(Units!$K40=0,O$1=Units!$O40),Units!$R40,IF(AND(O$1&gt;=Units!$Q40,MOD(O$1-Units!$Q40,12)=0),IF(AND(Units!$L40=1,O$1=Units!$Q40),IF(Units!$J40&lt;&gt;"",Units!$J40,Mkt!O41),Inputs!$B$15*Mkt!O41+(1-Inputs!$B$15)*MIN(Mkt!O41,N41*(1+Inputs!$B$18))),N41)))</f>
        <v>1570.75</v>
      </c>
      <c r="P41" s="11" t="n">
        <f aca="false">IF(P$1&lt;Units!$P40,0,IF(AND(Units!$K40=0,P$1=Units!$O40),Units!$R40,IF(AND(P$1&gt;=Units!$Q40,MOD(P$1-Units!$Q40,12)=0),IF(AND(Units!$L40=1,P$1=Units!$Q40),IF(Units!$J40&lt;&gt;"",Units!$J40,Mkt!P41),Inputs!$B$15*Mkt!P41+(1-Inputs!$B$15)*MIN(Mkt!P41,O41*(1+Inputs!$B$18))),O41)))</f>
        <v>1570.75</v>
      </c>
      <c r="Q41" s="11" t="n">
        <f aca="false">IF(Q$1&lt;Units!$P40,0,IF(AND(Units!$K40=0,Q$1=Units!$O40),Units!$R40,IF(AND(Q$1&gt;=Units!$Q40,MOD(Q$1-Units!$Q40,12)=0),IF(AND(Units!$L40=1,Q$1=Units!$Q40),IF(Units!$J40&lt;&gt;"",Units!$J40,Mkt!Q41),Inputs!$B$15*Mkt!Q41+(1-Inputs!$B$15)*MIN(Mkt!Q41,P41*(1+Inputs!$B$18))),P41)))</f>
        <v>1570.75</v>
      </c>
      <c r="R41" s="11" t="n">
        <f aca="false">IF(R$1&lt;Units!$P40,0,IF(AND(Units!$K40=0,R$1=Units!$O40),Units!$R40,IF(AND(R$1&gt;=Units!$Q40,MOD(R$1-Units!$Q40,12)=0),IF(AND(Units!$L40=1,R$1=Units!$Q40),IF(Units!$J40&lt;&gt;"",Units!$J40,Mkt!R41),Inputs!$B$15*Mkt!R41+(1-Inputs!$B$15)*MIN(Mkt!R41,Q41*(1+Inputs!$B$18))),Q41)))</f>
        <v>1570.75</v>
      </c>
      <c r="S41" s="11" t="n">
        <f aca="false">IF(S$1&lt;Units!$P40,0,IF(AND(Units!$K40=0,S$1=Units!$O40),Units!$R40,IF(AND(S$1&gt;=Units!$Q40,MOD(S$1-Units!$Q40,12)=0),IF(AND(Units!$L40=1,S$1=Units!$Q40),IF(Units!$J40&lt;&gt;"",Units!$J40,Mkt!S41),Inputs!$B$15*Mkt!S41+(1-Inputs!$B$15)*MIN(Mkt!S41,R41*(1+Inputs!$B$18))),R41)))</f>
        <v>1570.75</v>
      </c>
      <c r="T41" s="11" t="n">
        <f aca="false">IF(T$1&lt;Units!$P40,0,IF(AND(Units!$K40=0,T$1=Units!$O40),Units!$R40,IF(AND(T$1&gt;=Units!$Q40,MOD(T$1-Units!$Q40,12)=0),IF(AND(Units!$L40=1,T$1=Units!$Q40),IF(Units!$J40&lt;&gt;"",Units!$J40,Mkt!T41),Inputs!$B$15*Mkt!T41+(1-Inputs!$B$15)*MIN(Mkt!T41,S41*(1+Inputs!$B$18))),S41)))</f>
        <v>1570.75</v>
      </c>
      <c r="U41" s="11" t="n">
        <f aca="false">IF(U$1&lt;Units!$P40,0,IF(AND(Units!$K40=0,U$1=Units!$O40),Units!$R40,IF(AND(U$1&gt;=Units!$Q40,MOD(U$1-Units!$Q40,12)=0),IF(AND(Units!$L40=1,U$1=Units!$Q40),IF(Units!$J40&lt;&gt;"",Units!$J40,Mkt!U41),Inputs!$B$15*Mkt!U41+(1-Inputs!$B$15)*MIN(Mkt!U41,T41*(1+Inputs!$B$18))),T41)))</f>
        <v>1570.75</v>
      </c>
      <c r="V41" s="11" t="n">
        <f aca="false">IF(V$1&lt;Units!$P40,0,IF(AND(Units!$K40=0,V$1=Units!$O40),Units!$R40,IF(AND(V$1&gt;=Units!$Q40,MOD(V$1-Units!$Q40,12)=0),IF(AND(Units!$L40=1,V$1=Units!$Q40),IF(Units!$J40&lt;&gt;"",Units!$J40,Mkt!V41),Inputs!$B$15*Mkt!V41+(1-Inputs!$B$15)*MIN(Mkt!V41,U41*(1+Inputs!$B$18))),U41)))</f>
        <v>1570.75</v>
      </c>
      <c r="W41" s="11" t="n">
        <f aca="false">IF(W$1&lt;Units!$P40,0,IF(AND(Units!$K40=0,W$1=Units!$O40),Units!$R40,IF(AND(W$1&gt;=Units!$Q40,MOD(W$1-Units!$Q40,12)=0),IF(AND(Units!$L40=1,W$1=Units!$Q40),IF(Units!$J40&lt;&gt;"",Units!$J40,Mkt!W41),Inputs!$B$15*Mkt!W41+(1-Inputs!$B$15)*MIN(Mkt!W41,V41*(1+Inputs!$B$18))),V41)))</f>
        <v>1570.75</v>
      </c>
      <c r="X41" s="11" t="n">
        <f aca="false">IF(X$1&lt;Units!$P40,0,IF(AND(Units!$K40=0,X$1=Units!$O40),Units!$R40,IF(AND(X$1&gt;=Units!$Q40,MOD(X$1-Units!$Q40,12)=0),IF(AND(Units!$L40=1,X$1=Units!$Q40),IF(Units!$J40&lt;&gt;"",Units!$J40,Mkt!X41),Inputs!$B$15*Mkt!X41+(1-Inputs!$B$15)*MIN(Mkt!X41,W41*(1+Inputs!$B$18))),W41)))</f>
        <v>1570.75</v>
      </c>
      <c r="Y41" s="11" t="n">
        <f aca="false">IF(Y$1&lt;Units!$P40,0,IF(AND(Units!$K40=0,Y$1=Units!$O40),Units!$R40,IF(AND(Y$1&gt;=Units!$Q40,MOD(Y$1-Units!$Q40,12)=0),IF(AND(Units!$L40=1,Y$1=Units!$Q40),IF(Units!$J40&lt;&gt;"",Units!$J40,Mkt!Y41),Inputs!$B$15*Mkt!Y41+(1-Inputs!$B$15)*MIN(Mkt!Y41,X41*(1+Inputs!$B$18))),X41)))</f>
        <v>1570.75</v>
      </c>
      <c r="Z41" s="11" t="n">
        <f aca="false">IF(Z$1&lt;Units!$P40,0,IF(AND(Units!$K40=0,Z$1=Units!$O40),Units!$R40,IF(AND(Z$1&gt;=Units!$Q40,MOD(Z$1-Units!$Q40,12)=0),IF(AND(Units!$L40=1,Z$1=Units!$Q40),IF(Units!$J40&lt;&gt;"",Units!$J40,Mkt!Z41),Inputs!$B$15*Mkt!Z41+(1-Inputs!$B$15)*MIN(Mkt!Z41,Y41*(1+Inputs!$B$18))),Y41)))</f>
        <v>1570.75</v>
      </c>
      <c r="AA41" s="11" t="n">
        <f aca="false">IF(AA$1&lt;Units!$P40,0,IF(AND(Units!$K40=0,AA$1=Units!$O40),Units!$R40,IF(AND(AA$1&gt;=Units!$Q40,MOD(AA$1-Units!$Q40,12)=0),IF(AND(Units!$L40=1,AA$1=Units!$Q40),IF(Units!$J40&lt;&gt;"",Units!$J40,Mkt!AA41),Inputs!$B$15*Mkt!AA41+(1-Inputs!$B$15)*MIN(Mkt!AA41,Z41*(1+Inputs!$B$18))),Z41)))</f>
        <v>1617.8725</v>
      </c>
      <c r="AB41" s="11" t="n">
        <f aca="false">IF(AB$1&lt;Units!$P40,0,IF(AND(Units!$K40=0,AB$1=Units!$O40),Units!$R40,IF(AND(AB$1&gt;=Units!$Q40,MOD(AB$1-Units!$Q40,12)=0),IF(AND(Units!$L40=1,AB$1=Units!$Q40),IF(Units!$J40&lt;&gt;"",Units!$J40,Mkt!AB41),Inputs!$B$15*Mkt!AB41+(1-Inputs!$B$15)*MIN(Mkt!AB41,AA41*(1+Inputs!$B$18))),AA41)))</f>
        <v>1617.8725</v>
      </c>
      <c r="AC41" s="11" t="n">
        <f aca="false">IF(AC$1&lt;Units!$P40,0,IF(AND(Units!$K40=0,AC$1=Units!$O40),Units!$R40,IF(AND(AC$1&gt;=Units!$Q40,MOD(AC$1-Units!$Q40,12)=0),IF(AND(Units!$L40=1,AC$1=Units!$Q40),IF(Units!$J40&lt;&gt;"",Units!$J40,Mkt!AC41),Inputs!$B$15*Mkt!AC41+(1-Inputs!$B$15)*MIN(Mkt!AC41,AB41*(1+Inputs!$B$18))),AB41)))</f>
        <v>1617.8725</v>
      </c>
      <c r="AD41" s="11" t="n">
        <f aca="false">IF(AD$1&lt;Units!$P40,0,IF(AND(Units!$K40=0,AD$1=Units!$O40),Units!$R40,IF(AND(AD$1&gt;=Units!$Q40,MOD(AD$1-Units!$Q40,12)=0),IF(AND(Units!$L40=1,AD$1=Units!$Q40),IF(Units!$J40&lt;&gt;"",Units!$J40,Mkt!AD41),Inputs!$B$15*Mkt!AD41+(1-Inputs!$B$15)*MIN(Mkt!AD41,AC41*(1+Inputs!$B$18))),AC41)))</f>
        <v>1617.8725</v>
      </c>
      <c r="AE41" s="11" t="n">
        <f aca="false">IF(AE$1&lt;Units!$P40,0,IF(AND(Units!$K40=0,AE$1=Units!$O40),Units!$R40,IF(AND(AE$1&gt;=Units!$Q40,MOD(AE$1-Units!$Q40,12)=0),IF(AND(Units!$L40=1,AE$1=Units!$Q40),IF(Units!$J40&lt;&gt;"",Units!$J40,Mkt!AE41),Inputs!$B$15*Mkt!AE41+(1-Inputs!$B$15)*MIN(Mkt!AE41,AD41*(1+Inputs!$B$18))),AD41)))</f>
        <v>1617.8725</v>
      </c>
      <c r="AF41" s="11" t="n">
        <f aca="false">IF(AF$1&lt;Units!$P40,0,IF(AND(Units!$K40=0,AF$1=Units!$O40),Units!$R40,IF(AND(AF$1&gt;=Units!$Q40,MOD(AF$1-Units!$Q40,12)=0),IF(AND(Units!$L40=1,AF$1=Units!$Q40),IF(Units!$J40&lt;&gt;"",Units!$J40,Mkt!AF41),Inputs!$B$15*Mkt!AF41+(1-Inputs!$B$15)*MIN(Mkt!AF41,AE41*(1+Inputs!$B$18))),AE41)))</f>
        <v>1617.8725</v>
      </c>
      <c r="AG41" s="11" t="n">
        <f aca="false">IF(AG$1&lt;Units!$P40,0,IF(AND(Units!$K40=0,AG$1=Units!$O40),Units!$R40,IF(AND(AG$1&gt;=Units!$Q40,MOD(AG$1-Units!$Q40,12)=0),IF(AND(Units!$L40=1,AG$1=Units!$Q40),IF(Units!$J40&lt;&gt;"",Units!$J40,Mkt!AG41),Inputs!$B$15*Mkt!AG41+(1-Inputs!$B$15)*MIN(Mkt!AG41,AF41*(1+Inputs!$B$18))),AF41)))</f>
        <v>1617.8725</v>
      </c>
      <c r="AH41" s="11" t="n">
        <f aca="false">IF(AH$1&lt;Units!$P40,0,IF(AND(Units!$K40=0,AH$1=Units!$O40),Units!$R40,IF(AND(AH$1&gt;=Units!$Q40,MOD(AH$1-Units!$Q40,12)=0),IF(AND(Units!$L40=1,AH$1=Units!$Q40),IF(Units!$J40&lt;&gt;"",Units!$J40,Mkt!AH41),Inputs!$B$15*Mkt!AH41+(1-Inputs!$B$15)*MIN(Mkt!AH41,AG41*(1+Inputs!$B$18))),AG41)))</f>
        <v>1617.8725</v>
      </c>
      <c r="AI41" s="11" t="n">
        <f aca="false">IF(AI$1&lt;Units!$P40,0,IF(AND(Units!$K40=0,AI$1=Units!$O40),Units!$R40,IF(AND(AI$1&gt;=Units!$Q40,MOD(AI$1-Units!$Q40,12)=0),IF(AND(Units!$L40=1,AI$1=Units!$Q40),IF(Units!$J40&lt;&gt;"",Units!$J40,Mkt!AI41),Inputs!$B$15*Mkt!AI41+(1-Inputs!$B$15)*MIN(Mkt!AI41,AH41*(1+Inputs!$B$18))),AH41)))</f>
        <v>1617.8725</v>
      </c>
      <c r="AJ41" s="11" t="n">
        <f aca="false">IF(AJ$1&lt;Units!$P40,0,IF(AND(Units!$K40=0,AJ$1=Units!$O40),Units!$R40,IF(AND(AJ$1&gt;=Units!$Q40,MOD(AJ$1-Units!$Q40,12)=0),IF(AND(Units!$L40=1,AJ$1=Units!$Q40),IF(Units!$J40&lt;&gt;"",Units!$J40,Mkt!AJ41),Inputs!$B$15*Mkt!AJ41+(1-Inputs!$B$15)*MIN(Mkt!AJ41,AI41*(1+Inputs!$B$18))),AI41)))</f>
        <v>1617.8725</v>
      </c>
      <c r="AK41" s="11" t="n">
        <f aca="false">IF(AK$1&lt;Units!$P40,0,IF(AND(Units!$K40=0,AK$1=Units!$O40),Units!$R40,IF(AND(AK$1&gt;=Units!$Q40,MOD(AK$1-Units!$Q40,12)=0),IF(AND(Units!$L40=1,AK$1=Units!$Q40),IF(Units!$J40&lt;&gt;"",Units!$J40,Mkt!AK41),Inputs!$B$15*Mkt!AK41+(1-Inputs!$B$15)*MIN(Mkt!AK41,AJ41*(1+Inputs!$B$18))),AJ41)))</f>
        <v>1617.8725</v>
      </c>
      <c r="AL41" s="11" t="n">
        <f aca="false">IF(AL$1&lt;Units!$P40,0,IF(AND(Units!$K40=0,AL$1=Units!$O40),Units!$R40,IF(AND(AL$1&gt;=Units!$Q40,MOD(AL$1-Units!$Q40,12)=0),IF(AND(Units!$L40=1,AL$1=Units!$Q40),IF(Units!$J40&lt;&gt;"",Units!$J40,Mkt!AL41),Inputs!$B$15*Mkt!AL41+(1-Inputs!$B$15)*MIN(Mkt!AL41,AK41*(1+Inputs!$B$18))),AK41)))</f>
        <v>1617.8725</v>
      </c>
      <c r="AM41" s="11" t="n">
        <f aca="false">IF(AM$1&lt;Units!$P40,0,IF(AND(Units!$K40=0,AM$1=Units!$O40),Units!$R40,IF(AND(AM$1&gt;=Units!$Q40,MOD(AM$1-Units!$Q40,12)=0),IF(AND(Units!$L40=1,AM$1=Units!$Q40),IF(Units!$J40&lt;&gt;"",Units!$J40,Mkt!AM41),Inputs!$B$15*Mkt!AM41+(1-Inputs!$B$15)*MIN(Mkt!AM41,AL41*(1+Inputs!$B$18))),AL41)))</f>
        <v>1666.408675</v>
      </c>
      <c r="AN41" s="11" t="n">
        <f aca="false">IF(AN$1&lt;Units!$P40,0,IF(AND(Units!$K40=0,AN$1=Units!$O40),Units!$R40,IF(AND(AN$1&gt;=Units!$Q40,MOD(AN$1-Units!$Q40,12)=0),IF(AND(Units!$L40=1,AN$1=Units!$Q40),IF(Units!$J40&lt;&gt;"",Units!$J40,Mkt!AN41),Inputs!$B$15*Mkt!AN41+(1-Inputs!$B$15)*MIN(Mkt!AN41,AM41*(1+Inputs!$B$18))),AM41)))</f>
        <v>1666.408675</v>
      </c>
      <c r="AO41" s="11" t="n">
        <f aca="false">IF(AO$1&lt;Units!$P40,0,IF(AND(Units!$K40=0,AO$1=Units!$O40),Units!$R40,IF(AND(AO$1&gt;=Units!$Q40,MOD(AO$1-Units!$Q40,12)=0),IF(AND(Units!$L40=1,AO$1=Units!$Q40),IF(Units!$J40&lt;&gt;"",Units!$J40,Mkt!AO41),Inputs!$B$15*Mkt!AO41+(1-Inputs!$B$15)*MIN(Mkt!AO41,AN41*(1+Inputs!$B$18))),AN41)))</f>
        <v>1666.408675</v>
      </c>
      <c r="AP41" s="11" t="n">
        <f aca="false">IF(AP$1&lt;Units!$P40,0,IF(AND(Units!$K40=0,AP$1=Units!$O40),Units!$R40,IF(AND(AP$1&gt;=Units!$Q40,MOD(AP$1-Units!$Q40,12)=0),IF(AND(Units!$L40=1,AP$1=Units!$Q40),IF(Units!$J40&lt;&gt;"",Units!$J40,Mkt!AP41),Inputs!$B$15*Mkt!AP41+(1-Inputs!$B$15)*MIN(Mkt!AP41,AO41*(1+Inputs!$B$18))),AO41)))</f>
        <v>1666.408675</v>
      </c>
      <c r="AQ41" s="11" t="n">
        <f aca="false">IF(AQ$1&lt;Units!$P40,0,IF(AND(Units!$K40=0,AQ$1=Units!$O40),Units!$R40,IF(AND(AQ$1&gt;=Units!$Q40,MOD(AQ$1-Units!$Q40,12)=0),IF(AND(Units!$L40=1,AQ$1=Units!$Q40),IF(Units!$J40&lt;&gt;"",Units!$J40,Mkt!AQ41),Inputs!$B$15*Mkt!AQ41+(1-Inputs!$B$15)*MIN(Mkt!AQ41,AP41*(1+Inputs!$B$18))),AP41)))</f>
        <v>1666.408675</v>
      </c>
      <c r="AR41" s="11" t="n">
        <f aca="false">IF(AR$1&lt;Units!$P40,0,IF(AND(Units!$K40=0,AR$1=Units!$O40),Units!$R40,IF(AND(AR$1&gt;=Units!$Q40,MOD(AR$1-Units!$Q40,12)=0),IF(AND(Units!$L40=1,AR$1=Units!$Q40),IF(Units!$J40&lt;&gt;"",Units!$J40,Mkt!AR41),Inputs!$B$15*Mkt!AR41+(1-Inputs!$B$15)*MIN(Mkt!AR41,AQ41*(1+Inputs!$B$18))),AQ41)))</f>
        <v>1666.408675</v>
      </c>
      <c r="AS41" s="11" t="n">
        <f aca="false">IF(AS$1&lt;Units!$P40,0,IF(AND(Units!$K40=0,AS$1=Units!$O40),Units!$R40,IF(AND(AS$1&gt;=Units!$Q40,MOD(AS$1-Units!$Q40,12)=0),IF(AND(Units!$L40=1,AS$1=Units!$Q40),IF(Units!$J40&lt;&gt;"",Units!$J40,Mkt!AS41),Inputs!$B$15*Mkt!AS41+(1-Inputs!$B$15)*MIN(Mkt!AS41,AR41*(1+Inputs!$B$18))),AR41)))</f>
        <v>1666.408675</v>
      </c>
      <c r="AT41" s="11" t="n">
        <f aca="false">IF(AT$1&lt;Units!$P40,0,IF(AND(Units!$K40=0,AT$1=Units!$O40),Units!$R40,IF(AND(AT$1&gt;=Units!$Q40,MOD(AT$1-Units!$Q40,12)=0),IF(AND(Units!$L40=1,AT$1=Units!$Q40),IF(Units!$J40&lt;&gt;"",Units!$J40,Mkt!AT41),Inputs!$B$15*Mkt!AT41+(1-Inputs!$B$15)*MIN(Mkt!AT41,AS41*(1+Inputs!$B$18))),AS41)))</f>
        <v>1666.408675</v>
      </c>
      <c r="AU41" s="11" t="n">
        <f aca="false">IF(AU$1&lt;Units!$P40,0,IF(AND(Units!$K40=0,AU$1=Units!$O40),Units!$R40,IF(AND(AU$1&gt;=Units!$Q40,MOD(AU$1-Units!$Q40,12)=0),IF(AND(Units!$L40=1,AU$1=Units!$Q40),IF(Units!$J40&lt;&gt;"",Units!$J40,Mkt!AU41),Inputs!$B$15*Mkt!AU41+(1-Inputs!$B$15)*MIN(Mkt!AU41,AT41*(1+Inputs!$B$18))),AT41)))</f>
        <v>1666.408675</v>
      </c>
      <c r="AV41" s="11" t="n">
        <f aca="false">IF(AV$1&lt;Units!$P40,0,IF(AND(Units!$K40=0,AV$1=Units!$O40),Units!$R40,IF(AND(AV$1&gt;=Units!$Q40,MOD(AV$1-Units!$Q40,12)=0),IF(AND(Units!$L40=1,AV$1=Units!$Q40),IF(Units!$J40&lt;&gt;"",Units!$J40,Mkt!AV41),Inputs!$B$15*Mkt!AV41+(1-Inputs!$B$15)*MIN(Mkt!AV41,AU41*(1+Inputs!$B$18))),AU41)))</f>
        <v>1666.408675</v>
      </c>
      <c r="AW41" s="11" t="n">
        <f aca="false">IF(AW$1&lt;Units!$P40,0,IF(AND(Units!$K40=0,AW$1=Units!$O40),Units!$R40,IF(AND(AW$1&gt;=Units!$Q40,MOD(AW$1-Units!$Q40,12)=0),IF(AND(Units!$L40=1,AW$1=Units!$Q40),IF(Units!$J40&lt;&gt;"",Units!$J40,Mkt!AW41),Inputs!$B$15*Mkt!AW41+(1-Inputs!$B$15)*MIN(Mkt!AW41,AV41*(1+Inputs!$B$18))),AV41)))</f>
        <v>1666.408675</v>
      </c>
      <c r="AX41" s="11" t="n">
        <f aca="false">IF(AX$1&lt;Units!$P40,0,IF(AND(Units!$K40=0,AX$1=Units!$O40),Units!$R40,IF(AND(AX$1&gt;=Units!$Q40,MOD(AX$1-Units!$Q40,12)=0),IF(AND(Units!$L40=1,AX$1=Units!$Q40),IF(Units!$J40&lt;&gt;"",Units!$J40,Mkt!AX41),Inputs!$B$15*Mkt!AX41+(1-Inputs!$B$15)*MIN(Mkt!AX41,AW41*(1+Inputs!$B$18))),AW41)))</f>
        <v>1666.408675</v>
      </c>
      <c r="AY41" s="11" t="n">
        <f aca="false">IF(AY$1&lt;Units!$P40,0,IF(AND(Units!$K40=0,AY$1=Units!$O40),Units!$R40,IF(AND(AY$1&gt;=Units!$Q40,MOD(AY$1-Units!$Q40,12)=0),IF(AND(Units!$L40=1,AY$1=Units!$Q40),IF(Units!$J40&lt;&gt;"",Units!$J40,Mkt!AY41),Inputs!$B$15*Mkt!AY41+(1-Inputs!$B$15)*MIN(Mkt!AY41,AX41*(1+Inputs!$B$18))),AX41)))</f>
        <v>1716.40093525</v>
      </c>
      <c r="AZ41" s="11" t="n">
        <f aca="false">IF(AZ$1&lt;Units!$P40,0,IF(AND(Units!$K40=0,AZ$1=Units!$O40),Units!$R40,IF(AND(AZ$1&gt;=Units!$Q40,MOD(AZ$1-Units!$Q40,12)=0),IF(AND(Units!$L40=1,AZ$1=Units!$Q40),IF(Units!$J40&lt;&gt;"",Units!$J40,Mkt!AZ41),Inputs!$B$15*Mkt!AZ41+(1-Inputs!$B$15)*MIN(Mkt!AZ41,AY41*(1+Inputs!$B$18))),AY41)))</f>
        <v>1716.40093525</v>
      </c>
      <c r="BA41" s="11" t="n">
        <f aca="false">IF(BA$1&lt;Units!$P40,0,IF(AND(Units!$K40=0,BA$1=Units!$O40),Units!$R40,IF(AND(BA$1&gt;=Units!$Q40,MOD(BA$1-Units!$Q40,12)=0),IF(AND(Units!$L40=1,BA$1=Units!$Q40),IF(Units!$J40&lt;&gt;"",Units!$J40,Mkt!BA41),Inputs!$B$15*Mkt!BA41+(1-Inputs!$B$15)*MIN(Mkt!BA41,AZ41*(1+Inputs!$B$18))),AZ41)))</f>
        <v>1716.40093525</v>
      </c>
      <c r="BB41" s="11" t="n">
        <f aca="false">IF(BB$1&lt;Units!$P40,0,IF(AND(Units!$K40=0,BB$1=Units!$O40),Units!$R40,IF(AND(BB$1&gt;=Units!$Q40,MOD(BB$1-Units!$Q40,12)=0),IF(AND(Units!$L40=1,BB$1=Units!$Q40),IF(Units!$J40&lt;&gt;"",Units!$J40,Mkt!BB41),Inputs!$B$15*Mkt!BB41+(1-Inputs!$B$15)*MIN(Mkt!BB41,BA41*(1+Inputs!$B$18))),BA41)))</f>
        <v>1716.40093525</v>
      </c>
      <c r="BC41" s="11" t="n">
        <f aca="false">IF(BC$1&lt;Units!$P40,0,IF(AND(Units!$K40=0,BC$1=Units!$O40),Units!$R40,IF(AND(BC$1&gt;=Units!$Q40,MOD(BC$1-Units!$Q40,12)=0),IF(AND(Units!$L40=1,BC$1=Units!$Q40),IF(Units!$J40&lt;&gt;"",Units!$J40,Mkt!BC41),Inputs!$B$15*Mkt!BC41+(1-Inputs!$B$15)*MIN(Mkt!BC41,BB41*(1+Inputs!$B$18))),BB41)))</f>
        <v>1716.40093525</v>
      </c>
      <c r="BD41" s="11" t="n">
        <f aca="false">IF(BD$1&lt;Units!$P40,0,IF(AND(Units!$K40=0,BD$1=Units!$O40),Units!$R40,IF(AND(BD$1&gt;=Units!$Q40,MOD(BD$1-Units!$Q40,12)=0),IF(AND(Units!$L40=1,BD$1=Units!$Q40),IF(Units!$J40&lt;&gt;"",Units!$J40,Mkt!BD41),Inputs!$B$15*Mkt!BD41+(1-Inputs!$B$15)*MIN(Mkt!BD41,BC41*(1+Inputs!$B$18))),BC41)))</f>
        <v>1716.40093525</v>
      </c>
      <c r="BE41" s="11" t="n">
        <f aca="false">IF(BE$1&lt;Units!$P40,0,IF(AND(Units!$K40=0,BE$1=Units!$O40),Units!$R40,IF(AND(BE$1&gt;=Units!$Q40,MOD(BE$1-Units!$Q40,12)=0),IF(AND(Units!$L40=1,BE$1=Units!$Q40),IF(Units!$J40&lt;&gt;"",Units!$J40,Mkt!BE41),Inputs!$B$15*Mkt!BE41+(1-Inputs!$B$15)*MIN(Mkt!BE41,BD41*(1+Inputs!$B$18))),BD41)))</f>
        <v>1716.40093525</v>
      </c>
      <c r="BF41" s="11" t="n">
        <f aca="false">IF(BF$1&lt;Units!$P40,0,IF(AND(Units!$K40=0,BF$1=Units!$O40),Units!$R40,IF(AND(BF$1&gt;=Units!$Q40,MOD(BF$1-Units!$Q40,12)=0),IF(AND(Units!$L40=1,BF$1=Units!$Q40),IF(Units!$J40&lt;&gt;"",Units!$J40,Mkt!BF41),Inputs!$B$15*Mkt!BF41+(1-Inputs!$B$15)*MIN(Mkt!BF41,BE41*(1+Inputs!$B$18))),BE41)))</f>
        <v>1716.40093525</v>
      </c>
      <c r="BG41" s="11" t="n">
        <f aca="false">IF(BG$1&lt;Units!$P40,0,IF(AND(Units!$K40=0,BG$1=Units!$O40),Units!$R40,IF(AND(BG$1&gt;=Units!$Q40,MOD(BG$1-Units!$Q40,12)=0),IF(AND(Units!$L40=1,BG$1=Units!$Q40),IF(Units!$J40&lt;&gt;"",Units!$J40,Mkt!BG41),Inputs!$B$15*Mkt!BG41+(1-Inputs!$B$15)*MIN(Mkt!BG41,BF41*(1+Inputs!$B$18))),BF41)))</f>
        <v>1716.40093525</v>
      </c>
      <c r="BH41" s="11" t="n">
        <f aca="false">IF(BH$1&lt;Units!$P40,0,IF(AND(Units!$K40=0,BH$1=Units!$O40),Units!$R40,IF(AND(BH$1&gt;=Units!$Q40,MOD(BH$1-Units!$Q40,12)=0),IF(AND(Units!$L40=1,BH$1=Units!$Q40),IF(Units!$J40&lt;&gt;"",Units!$J40,Mkt!BH41),Inputs!$B$15*Mkt!BH41+(1-Inputs!$B$15)*MIN(Mkt!BH41,BG41*(1+Inputs!$B$18))),BG41)))</f>
        <v>1716.40093525</v>
      </c>
      <c r="BI41" s="11" t="n">
        <f aca="false">IF(BI$1&lt;Units!$P40,0,IF(AND(Units!$K40=0,BI$1=Units!$O40),Units!$R40,IF(AND(BI$1&gt;=Units!$Q40,MOD(BI$1-Units!$Q40,12)=0),IF(AND(Units!$L40=1,BI$1=Units!$Q40),IF(Units!$J40&lt;&gt;"",Units!$J40,Mkt!BI41),Inputs!$B$15*Mkt!BI41+(1-Inputs!$B$15)*MIN(Mkt!BI41,BH41*(1+Inputs!$B$18))),BH41)))</f>
        <v>1716.40093525</v>
      </c>
      <c r="BJ41" s="11" t="n">
        <f aca="false">IF(BJ$1&lt;Units!$P40,0,IF(AND(Units!$K40=0,BJ$1=Units!$O40),Units!$R40,IF(AND(BJ$1&gt;=Units!$Q40,MOD(BJ$1-Units!$Q40,12)=0),IF(AND(Units!$L40=1,BJ$1=Units!$Q40),IF(Units!$J40&lt;&gt;"",Units!$J40,Mkt!BJ41),Inputs!$B$15*Mkt!BJ41+(1-Inputs!$B$15)*MIN(Mkt!BJ41,BI41*(1+Inputs!$B$18))),BI41)))</f>
        <v>1716.40093525</v>
      </c>
      <c r="BK41" s="11" t="n">
        <f aca="false">IF(BK$1&lt;Units!$P40,0,IF(AND(Units!$K40=0,BK$1=Units!$O40),Units!$R40,IF(AND(BK$1&gt;=Units!$Q40,MOD(BK$1-Units!$Q40,12)=0),IF(AND(Units!$L40=1,BK$1=Units!$Q40),IF(Units!$J40&lt;&gt;"",Units!$J40,Mkt!BK41),Inputs!$B$15*Mkt!BK41+(1-Inputs!$B$15)*MIN(Mkt!BK41,BJ41*(1+Inputs!$B$18))),BJ41)))</f>
        <v>1767.8929633075</v>
      </c>
      <c r="BL41" s="11" t="n">
        <f aca="false">IF(BL$1&lt;Units!$P40,0,IF(AND(Units!$K40=0,BL$1=Units!$O40),Units!$R40,IF(AND(BL$1&gt;=Units!$Q40,MOD(BL$1-Units!$Q40,12)=0),IF(AND(Units!$L40=1,BL$1=Units!$Q40),IF(Units!$J40&lt;&gt;"",Units!$J40,Mkt!BL41),Inputs!$B$15*Mkt!BL41+(1-Inputs!$B$15)*MIN(Mkt!BL41,BK41*(1+Inputs!$B$18))),BK41)))</f>
        <v>1767.8929633075</v>
      </c>
      <c r="BM41" s="11" t="n">
        <f aca="false">IF(BM$1&lt;Units!$P40,0,IF(AND(Units!$K40=0,BM$1=Units!$O40),Units!$R40,IF(AND(BM$1&gt;=Units!$Q40,MOD(BM$1-Units!$Q40,12)=0),IF(AND(Units!$L40=1,BM$1=Units!$Q40),IF(Units!$J40&lt;&gt;"",Units!$J40,Mkt!BM41),Inputs!$B$15*Mkt!BM41+(1-Inputs!$B$15)*MIN(Mkt!BM41,BL41*(1+Inputs!$B$18))),BL41)))</f>
        <v>1767.8929633075</v>
      </c>
      <c r="BN41" s="11" t="n">
        <f aca="false">IF(BN$1&lt;Units!$P40,0,IF(AND(Units!$K40=0,BN$1=Units!$O40),Units!$R40,IF(AND(BN$1&gt;=Units!$Q40,MOD(BN$1-Units!$Q40,12)=0),IF(AND(Units!$L40=1,BN$1=Units!$Q40),IF(Units!$J40&lt;&gt;"",Units!$J40,Mkt!BN41),Inputs!$B$15*Mkt!BN41+(1-Inputs!$B$15)*MIN(Mkt!BN41,BM41*(1+Inputs!$B$18))),BM41)))</f>
        <v>1767.8929633075</v>
      </c>
      <c r="BO41" s="11" t="n">
        <f aca="false">IF(BO$1&lt;Units!$P40,0,IF(AND(Units!$K40=0,BO$1=Units!$O40),Units!$R40,IF(AND(BO$1&gt;=Units!$Q40,MOD(BO$1-Units!$Q40,12)=0),IF(AND(Units!$L40=1,BO$1=Units!$Q40),IF(Units!$J40&lt;&gt;"",Units!$J40,Mkt!BO41),Inputs!$B$15*Mkt!BO41+(1-Inputs!$B$15)*MIN(Mkt!BO41,BN41*(1+Inputs!$B$18))),BN41)))</f>
        <v>1767.8929633075</v>
      </c>
      <c r="BP41" s="11" t="n">
        <f aca="false">IF(BP$1&lt;Units!$P40,0,IF(AND(Units!$K40=0,BP$1=Units!$O40),Units!$R40,IF(AND(BP$1&gt;=Units!$Q40,MOD(BP$1-Units!$Q40,12)=0),IF(AND(Units!$L40=1,BP$1=Units!$Q40),IF(Units!$J40&lt;&gt;"",Units!$J40,Mkt!BP41),Inputs!$B$15*Mkt!BP41+(1-Inputs!$B$15)*MIN(Mkt!BP41,BO41*(1+Inputs!$B$18))),BO41)))</f>
        <v>1767.8929633075</v>
      </c>
      <c r="BQ41" s="11" t="n">
        <f aca="false">IF(BQ$1&lt;Units!$P40,0,IF(AND(Units!$K40=0,BQ$1=Units!$O40),Units!$R40,IF(AND(BQ$1&gt;=Units!$Q40,MOD(BQ$1-Units!$Q40,12)=0),IF(AND(Units!$L40=1,BQ$1=Units!$Q40),IF(Units!$J40&lt;&gt;"",Units!$J40,Mkt!BQ41),Inputs!$B$15*Mkt!BQ41+(1-Inputs!$B$15)*MIN(Mkt!BQ41,BP41*(1+Inputs!$B$18))),BP41)))</f>
        <v>1767.8929633075</v>
      </c>
      <c r="BR41" s="11" t="n">
        <f aca="false">IF(BR$1&lt;Units!$P40,0,IF(AND(Units!$K40=0,BR$1=Units!$O40),Units!$R40,IF(AND(BR$1&gt;=Units!$Q40,MOD(BR$1-Units!$Q40,12)=0),IF(AND(Units!$L40=1,BR$1=Units!$Q40),IF(Units!$J40&lt;&gt;"",Units!$J40,Mkt!BR41),Inputs!$B$15*Mkt!BR41+(1-Inputs!$B$15)*MIN(Mkt!BR41,BQ41*(1+Inputs!$B$18))),BQ41)))</f>
        <v>1767.8929633075</v>
      </c>
      <c r="BS41" s="11" t="n">
        <f aca="false">IF(BS$1&lt;Units!$P40,0,IF(AND(Units!$K40=0,BS$1=Units!$O40),Units!$R40,IF(AND(BS$1&gt;=Units!$Q40,MOD(BS$1-Units!$Q40,12)=0),IF(AND(Units!$L40=1,BS$1=Units!$Q40),IF(Units!$J40&lt;&gt;"",Units!$J40,Mkt!BS41),Inputs!$B$15*Mkt!BS41+(1-Inputs!$B$15)*MIN(Mkt!BS41,BR41*(1+Inputs!$B$18))),BR41)))</f>
        <v>1767.8929633075</v>
      </c>
      <c r="BT41" s="11" t="n">
        <f aca="false">IF(BT$1&lt;Units!$P40,0,IF(AND(Units!$K40=0,BT$1=Units!$O40),Units!$R40,IF(AND(BT$1&gt;=Units!$Q40,MOD(BT$1-Units!$Q40,12)=0),IF(AND(Units!$L40=1,BT$1=Units!$Q40),IF(Units!$J40&lt;&gt;"",Units!$J40,Mkt!BT41),Inputs!$B$15*Mkt!BT41+(1-Inputs!$B$15)*MIN(Mkt!BT41,BS41*(1+Inputs!$B$18))),BS41)))</f>
        <v>1767.8929633075</v>
      </c>
      <c r="BU41" s="11" t="n">
        <f aca="false">IF(BU$1&lt;Units!$P40,0,IF(AND(Units!$K40=0,BU$1=Units!$O40),Units!$R40,IF(AND(BU$1&gt;=Units!$Q40,MOD(BU$1-Units!$Q40,12)=0),IF(AND(Units!$L40=1,BU$1=Units!$Q40),IF(Units!$J40&lt;&gt;"",Units!$J40,Mkt!BU41),Inputs!$B$15*Mkt!BU41+(1-Inputs!$B$15)*MIN(Mkt!BU41,BT41*(1+Inputs!$B$18))),BT41)))</f>
        <v>1767.8929633075</v>
      </c>
      <c r="BV41" s="11" t="n">
        <f aca="false">IF(BV$1&lt;Units!$P40,0,IF(AND(Units!$K40=0,BV$1=Units!$O40),Units!$R40,IF(AND(BV$1&gt;=Units!$Q40,MOD(BV$1-Units!$Q40,12)=0),IF(AND(Units!$L40=1,BV$1=Units!$Q40),IF(Units!$J40&lt;&gt;"",Units!$J40,Mkt!BV41),Inputs!$B$15*Mkt!BV41+(1-Inputs!$B$15)*MIN(Mkt!BV41,BU41*(1+Inputs!$B$18))),BU41)))</f>
        <v>1767.8929633075</v>
      </c>
      <c r="BW41" s="11" t="n">
        <f aca="false">IF(BW$1&lt;Units!$P40,0,IF(AND(Units!$K40=0,BW$1=Units!$O40),Units!$R40,IF(AND(BW$1&gt;=Units!$Q40,MOD(BW$1-Units!$Q40,12)=0),IF(AND(Units!$L40=1,BW$1=Units!$Q40),IF(Units!$J40&lt;&gt;"",Units!$J40,Mkt!BW41),Inputs!$B$15*Mkt!BW41+(1-Inputs!$B$15)*MIN(Mkt!BW41,BV41*(1+Inputs!$B$18))),BV41)))</f>
        <v>1820.92975220673</v>
      </c>
      <c r="BX41" s="11" t="n">
        <f aca="false">IF(BX$1&lt;Units!$P40,0,IF(AND(Units!$K40=0,BX$1=Units!$O40),Units!$R40,IF(AND(BX$1&gt;=Units!$Q40,MOD(BX$1-Units!$Q40,12)=0),IF(AND(Units!$L40=1,BX$1=Units!$Q40),IF(Units!$J40&lt;&gt;"",Units!$J40,Mkt!BX41),Inputs!$B$15*Mkt!BX41+(1-Inputs!$B$15)*MIN(Mkt!BX41,BW41*(1+Inputs!$B$18))),BW41)))</f>
        <v>1820.92975220673</v>
      </c>
      <c r="BY41" s="11" t="n">
        <f aca="false">IF(BY$1&lt;Units!$P40,0,IF(AND(Units!$K40=0,BY$1=Units!$O40),Units!$R40,IF(AND(BY$1&gt;=Units!$Q40,MOD(BY$1-Units!$Q40,12)=0),IF(AND(Units!$L40=1,BY$1=Units!$Q40),IF(Units!$J40&lt;&gt;"",Units!$J40,Mkt!BY41),Inputs!$B$15*Mkt!BY41+(1-Inputs!$B$15)*MIN(Mkt!BY41,BX41*(1+Inputs!$B$18))),BX41)))</f>
        <v>1820.92975220673</v>
      </c>
      <c r="BZ41" s="11" t="n">
        <f aca="false">IF(BZ$1&lt;Units!$P40,0,IF(AND(Units!$K40=0,BZ$1=Units!$O40),Units!$R40,IF(AND(BZ$1&gt;=Units!$Q40,MOD(BZ$1-Units!$Q40,12)=0),IF(AND(Units!$L40=1,BZ$1=Units!$Q40),IF(Units!$J40&lt;&gt;"",Units!$J40,Mkt!BZ41),Inputs!$B$15*Mkt!BZ41+(1-Inputs!$B$15)*MIN(Mkt!BZ41,BY41*(1+Inputs!$B$18))),BY41)))</f>
        <v>1820.92975220673</v>
      </c>
      <c r="CA41" s="11" t="n">
        <f aca="false">IF(CA$1&lt;Units!$P40,0,IF(AND(Units!$K40=0,CA$1=Units!$O40),Units!$R40,IF(AND(CA$1&gt;=Units!$Q40,MOD(CA$1-Units!$Q40,12)=0),IF(AND(Units!$L40=1,CA$1=Units!$Q40),IF(Units!$J40&lt;&gt;"",Units!$J40,Mkt!CA41),Inputs!$B$15*Mkt!CA41+(1-Inputs!$B$15)*MIN(Mkt!CA41,BZ41*(1+Inputs!$B$18))),BZ41)))</f>
        <v>1820.92975220673</v>
      </c>
      <c r="CB41" s="11" t="n">
        <f aca="false">IF(CB$1&lt;Units!$P40,0,IF(AND(Units!$K40=0,CB$1=Units!$O40),Units!$R40,IF(AND(CB$1&gt;=Units!$Q40,MOD(CB$1-Units!$Q40,12)=0),IF(AND(Units!$L40=1,CB$1=Units!$Q40),IF(Units!$J40&lt;&gt;"",Units!$J40,Mkt!CB41),Inputs!$B$15*Mkt!CB41+(1-Inputs!$B$15)*MIN(Mkt!CB41,CA41*(1+Inputs!$B$18))),CA41)))</f>
        <v>1820.92975220673</v>
      </c>
      <c r="CC41" s="11" t="n">
        <f aca="false">IF(CC$1&lt;Units!$P40,0,IF(AND(Units!$K40=0,CC$1=Units!$O40),Units!$R40,IF(AND(CC$1&gt;=Units!$Q40,MOD(CC$1-Units!$Q40,12)=0),IF(AND(Units!$L40=1,CC$1=Units!$Q40),IF(Units!$J40&lt;&gt;"",Units!$J40,Mkt!CC41),Inputs!$B$15*Mkt!CC41+(1-Inputs!$B$15)*MIN(Mkt!CC41,CB41*(1+Inputs!$B$18))),CB41)))</f>
        <v>1820.92975220673</v>
      </c>
      <c r="CD41" s="11" t="n">
        <f aca="false">IF(CD$1&lt;Units!$P40,0,IF(AND(Units!$K40=0,CD$1=Units!$O40),Units!$R40,IF(AND(CD$1&gt;=Units!$Q40,MOD(CD$1-Units!$Q40,12)=0),IF(AND(Units!$L40=1,CD$1=Units!$Q40),IF(Units!$J40&lt;&gt;"",Units!$J40,Mkt!CD41),Inputs!$B$15*Mkt!CD41+(1-Inputs!$B$15)*MIN(Mkt!CD41,CC41*(1+Inputs!$B$18))),CC41)))</f>
        <v>1820.92975220673</v>
      </c>
      <c r="CE41" s="11" t="n">
        <f aca="false">IF(CE$1&lt;Units!$P40,0,IF(AND(Units!$K40=0,CE$1=Units!$O40),Units!$R40,IF(AND(CE$1&gt;=Units!$Q40,MOD(CE$1-Units!$Q40,12)=0),IF(AND(Units!$L40=1,CE$1=Units!$Q40),IF(Units!$J40&lt;&gt;"",Units!$J40,Mkt!CE41),Inputs!$B$15*Mkt!CE41+(1-Inputs!$B$15)*MIN(Mkt!CE41,CD41*(1+Inputs!$B$18))),CD41)))</f>
        <v>1820.92975220673</v>
      </c>
      <c r="CF41" s="11" t="n">
        <f aca="false">IF(CF$1&lt;Units!$P40,0,IF(AND(Units!$K40=0,CF$1=Units!$O40),Units!$R40,IF(AND(CF$1&gt;=Units!$Q40,MOD(CF$1-Units!$Q40,12)=0),IF(AND(Units!$L40=1,CF$1=Units!$Q40),IF(Units!$J40&lt;&gt;"",Units!$J40,Mkt!CF41),Inputs!$B$15*Mkt!CF41+(1-Inputs!$B$15)*MIN(Mkt!CF41,CE41*(1+Inputs!$B$18))),CE41)))</f>
        <v>1820.92975220673</v>
      </c>
      <c r="CG41" s="11" t="n">
        <f aca="false">IF(CG$1&lt;Units!$P40,0,IF(AND(Units!$K40=0,CG$1=Units!$O40),Units!$R40,IF(AND(CG$1&gt;=Units!$Q40,MOD(CG$1-Units!$Q40,12)=0),IF(AND(Units!$L40=1,CG$1=Units!$Q40),IF(Units!$J40&lt;&gt;"",Units!$J40,Mkt!CG41),Inputs!$B$15*Mkt!CG41+(1-Inputs!$B$15)*MIN(Mkt!CG41,CF41*(1+Inputs!$B$18))),CF41)))</f>
        <v>1820.92975220673</v>
      </c>
      <c r="CH41" s="11" t="n">
        <f aca="false">IF(CH$1&lt;Units!$P40,0,IF(AND(Units!$K40=0,CH$1=Units!$O40),Units!$R40,IF(AND(CH$1&gt;=Units!$Q40,MOD(CH$1-Units!$Q40,12)=0),IF(AND(Units!$L40=1,CH$1=Units!$Q40),IF(Units!$J40&lt;&gt;"",Units!$J40,Mkt!CH41),Inputs!$B$15*Mkt!CH41+(1-Inputs!$B$15)*MIN(Mkt!CH41,CG41*(1+Inputs!$B$18))),CG41)))</f>
        <v>1820.92975220673</v>
      </c>
      <c r="CI41" s="11" t="n">
        <f aca="false">IF(CI$1&lt;Units!$P40,0,IF(AND(Units!$K40=0,CI$1=Units!$O40),Units!$R40,IF(AND(CI$1&gt;=Units!$Q40,MOD(CI$1-Units!$Q40,12)=0),IF(AND(Units!$L40=1,CI$1=Units!$Q40),IF(Units!$J40&lt;&gt;"",Units!$J40,Mkt!CI41),Inputs!$B$15*Mkt!CI41+(1-Inputs!$B$15)*MIN(Mkt!CI41,CH41*(1+Inputs!$B$18))),CH41)))</f>
        <v>1875.55764477293</v>
      </c>
      <c r="CJ41" s="11" t="n">
        <f aca="false">IF(CJ$1&lt;Units!$P40,0,IF(AND(Units!$K40=0,CJ$1=Units!$O40),Units!$R40,IF(AND(CJ$1&gt;=Units!$Q40,MOD(CJ$1-Units!$Q40,12)=0),IF(AND(Units!$L40=1,CJ$1=Units!$Q40),IF(Units!$J40&lt;&gt;"",Units!$J40,Mkt!CJ41),Inputs!$B$15*Mkt!CJ41+(1-Inputs!$B$15)*MIN(Mkt!CJ41,CI41*(1+Inputs!$B$18))),CI41)))</f>
        <v>1875.55764477293</v>
      </c>
      <c r="CK41" s="11" t="n">
        <f aca="false">IF(CK$1&lt;Units!$P40,0,IF(AND(Units!$K40=0,CK$1=Units!$O40),Units!$R40,IF(AND(CK$1&gt;=Units!$Q40,MOD(CK$1-Units!$Q40,12)=0),IF(AND(Units!$L40=1,CK$1=Units!$Q40),IF(Units!$J40&lt;&gt;"",Units!$J40,Mkt!CK41),Inputs!$B$15*Mkt!CK41+(1-Inputs!$B$15)*MIN(Mkt!CK41,CJ41*(1+Inputs!$B$18))),CJ41)))</f>
        <v>1875.55764477293</v>
      </c>
      <c r="CL41" s="11" t="n">
        <f aca="false">IF(CL$1&lt;Units!$P40,0,IF(AND(Units!$K40=0,CL$1=Units!$O40),Units!$R40,IF(AND(CL$1&gt;=Units!$Q40,MOD(CL$1-Units!$Q40,12)=0),IF(AND(Units!$L40=1,CL$1=Units!$Q40),IF(Units!$J40&lt;&gt;"",Units!$J40,Mkt!CL41),Inputs!$B$15*Mkt!CL41+(1-Inputs!$B$15)*MIN(Mkt!CL41,CK41*(1+Inputs!$B$18))),CK41)))</f>
        <v>1875.55764477293</v>
      </c>
      <c r="CM41" s="11" t="n">
        <f aca="false">IF(CM$1&lt;Units!$P40,0,IF(AND(Units!$K40=0,CM$1=Units!$O40),Units!$R40,IF(AND(CM$1&gt;=Units!$Q40,MOD(CM$1-Units!$Q40,12)=0),IF(AND(Units!$L40=1,CM$1=Units!$Q40),IF(Units!$J40&lt;&gt;"",Units!$J40,Mkt!CM41),Inputs!$B$15*Mkt!CM41+(1-Inputs!$B$15)*MIN(Mkt!CM41,CL41*(1+Inputs!$B$18))),CL41)))</f>
        <v>1875.55764477293</v>
      </c>
      <c r="CN41" s="11" t="n">
        <f aca="false">IF(CN$1&lt;Units!$P40,0,IF(AND(Units!$K40=0,CN$1=Units!$O40),Units!$R40,IF(AND(CN$1&gt;=Units!$Q40,MOD(CN$1-Units!$Q40,12)=0),IF(AND(Units!$L40=1,CN$1=Units!$Q40),IF(Units!$J40&lt;&gt;"",Units!$J40,Mkt!CN41),Inputs!$B$15*Mkt!CN41+(1-Inputs!$B$15)*MIN(Mkt!CN41,CM41*(1+Inputs!$B$18))),CM41)))</f>
        <v>1875.55764477293</v>
      </c>
      <c r="CO41" s="11" t="n">
        <f aca="false">IF(CO$1&lt;Units!$P40,0,IF(AND(Units!$K40=0,CO$1=Units!$O40),Units!$R40,IF(AND(CO$1&gt;=Units!$Q40,MOD(CO$1-Units!$Q40,12)=0),IF(AND(Units!$L40=1,CO$1=Units!$Q40),IF(Units!$J40&lt;&gt;"",Units!$J40,Mkt!CO41),Inputs!$B$15*Mkt!CO41+(1-Inputs!$B$15)*MIN(Mkt!CO41,CN41*(1+Inputs!$B$18))),CN41)))</f>
        <v>1875.55764477293</v>
      </c>
      <c r="CP41" s="11" t="n">
        <f aca="false">IF(CP$1&lt;Units!$P40,0,IF(AND(Units!$K40=0,CP$1=Units!$O40),Units!$R40,IF(AND(CP$1&gt;=Units!$Q40,MOD(CP$1-Units!$Q40,12)=0),IF(AND(Units!$L40=1,CP$1=Units!$Q40),IF(Units!$J40&lt;&gt;"",Units!$J40,Mkt!CP41),Inputs!$B$15*Mkt!CP41+(1-Inputs!$B$15)*MIN(Mkt!CP41,CO41*(1+Inputs!$B$18))),CO41)))</f>
        <v>1875.55764477293</v>
      </c>
      <c r="CQ41" s="11" t="n">
        <f aca="false">IF(CQ$1&lt;Units!$P40,0,IF(AND(Units!$K40=0,CQ$1=Units!$O40),Units!$R40,IF(AND(CQ$1&gt;=Units!$Q40,MOD(CQ$1-Units!$Q40,12)=0),IF(AND(Units!$L40=1,CQ$1=Units!$Q40),IF(Units!$J40&lt;&gt;"",Units!$J40,Mkt!CQ41),Inputs!$B$15*Mkt!CQ41+(1-Inputs!$B$15)*MIN(Mkt!CQ41,CP41*(1+Inputs!$B$18))),CP41)))</f>
        <v>1875.55764477293</v>
      </c>
      <c r="CR41" s="11" t="n">
        <f aca="false">IF(CR$1&lt;Units!$P40,0,IF(AND(Units!$K40=0,CR$1=Units!$O40),Units!$R40,IF(AND(CR$1&gt;=Units!$Q40,MOD(CR$1-Units!$Q40,12)=0),IF(AND(Units!$L40=1,CR$1=Units!$Q40),IF(Units!$J40&lt;&gt;"",Units!$J40,Mkt!CR41),Inputs!$B$15*Mkt!CR41+(1-Inputs!$B$15)*MIN(Mkt!CR41,CQ41*(1+Inputs!$B$18))),CQ41)))</f>
        <v>1875.55764477293</v>
      </c>
      <c r="CS41" s="11" t="n">
        <f aca="false">IF(CS$1&lt;Units!$P40,0,IF(AND(Units!$K40=0,CS$1=Units!$O40),Units!$R40,IF(AND(CS$1&gt;=Units!$Q40,MOD(CS$1-Units!$Q40,12)=0),IF(AND(Units!$L40=1,CS$1=Units!$Q40),IF(Units!$J40&lt;&gt;"",Units!$J40,Mkt!CS41),Inputs!$B$15*Mkt!CS41+(1-Inputs!$B$15)*MIN(Mkt!CS41,CR41*(1+Inputs!$B$18))),CR41)))</f>
        <v>1875.55764477293</v>
      </c>
      <c r="CT41" s="11" t="n">
        <f aca="false">IF(CT$1&lt;Units!$P40,0,IF(AND(Units!$K40=0,CT$1=Units!$O40),Units!$R40,IF(AND(CT$1&gt;=Units!$Q40,MOD(CT$1-Units!$Q40,12)=0),IF(AND(Units!$L40=1,CT$1=Units!$Q40),IF(Units!$J40&lt;&gt;"",Units!$J40,Mkt!CT41),Inputs!$B$15*Mkt!CT41+(1-Inputs!$B$15)*MIN(Mkt!CT41,CS41*(1+Inputs!$B$18))),CS41)))</f>
        <v>1875.55764477293</v>
      </c>
      <c r="CU41" s="11" t="n">
        <f aca="false">IF(CU$1&lt;Units!$P40,0,IF(AND(Units!$K40=0,CU$1=Units!$O40),Units!$R40,IF(AND(CU$1&gt;=Units!$Q40,MOD(CU$1-Units!$Q40,12)=0),IF(AND(Units!$L40=1,CU$1=Units!$Q40),IF(Units!$J40&lt;&gt;"",Units!$J40,Mkt!CU41),Inputs!$B$15*Mkt!CU41+(1-Inputs!$B$15)*MIN(Mkt!CU41,CT41*(1+Inputs!$B$18))),CT41)))</f>
        <v>1931.82437411612</v>
      </c>
      <c r="CV41" s="11" t="n">
        <f aca="false">IF(CV$1&lt;Units!$P40,0,IF(AND(Units!$K40=0,CV$1=Units!$O40),Units!$R40,IF(AND(CV$1&gt;=Units!$Q40,MOD(CV$1-Units!$Q40,12)=0),IF(AND(Units!$L40=1,CV$1=Units!$Q40),IF(Units!$J40&lt;&gt;"",Units!$J40,Mkt!CV41),Inputs!$B$15*Mkt!CV41+(1-Inputs!$B$15)*MIN(Mkt!CV41,CU41*(1+Inputs!$B$18))),CU41)))</f>
        <v>1931.82437411612</v>
      </c>
      <c r="CW41" s="11" t="n">
        <f aca="false">IF(CW$1&lt;Units!$P40,0,IF(AND(Units!$K40=0,CW$1=Units!$O40),Units!$R40,IF(AND(CW$1&gt;=Units!$Q40,MOD(CW$1-Units!$Q40,12)=0),IF(AND(Units!$L40=1,CW$1=Units!$Q40),IF(Units!$J40&lt;&gt;"",Units!$J40,Mkt!CW41),Inputs!$B$15*Mkt!CW41+(1-Inputs!$B$15)*MIN(Mkt!CW41,CV41*(1+Inputs!$B$18))),CV41)))</f>
        <v>1931.82437411612</v>
      </c>
      <c r="CX41" s="11" t="n">
        <f aca="false">IF(CX$1&lt;Units!$P40,0,IF(AND(Units!$K40=0,CX$1=Units!$O40),Units!$R40,IF(AND(CX$1&gt;=Units!$Q40,MOD(CX$1-Units!$Q40,12)=0),IF(AND(Units!$L40=1,CX$1=Units!$Q40),IF(Units!$J40&lt;&gt;"",Units!$J40,Mkt!CX41),Inputs!$B$15*Mkt!CX41+(1-Inputs!$B$15)*MIN(Mkt!CX41,CW41*(1+Inputs!$B$18))),CW41)))</f>
        <v>1931.82437411612</v>
      </c>
      <c r="CY41" s="11" t="n">
        <f aca="false">IF(CY$1&lt;Units!$P40,0,IF(AND(Units!$K40=0,CY$1=Units!$O40),Units!$R40,IF(AND(CY$1&gt;=Units!$Q40,MOD(CY$1-Units!$Q40,12)=0),IF(AND(Units!$L40=1,CY$1=Units!$Q40),IF(Units!$J40&lt;&gt;"",Units!$J40,Mkt!CY41),Inputs!$B$15*Mkt!CY41+(1-Inputs!$B$15)*MIN(Mkt!CY41,CX41*(1+Inputs!$B$18))),CX41)))</f>
        <v>1931.82437411612</v>
      </c>
      <c r="CZ41" s="11" t="n">
        <f aca="false">IF(CZ$1&lt;Units!$P40,0,IF(AND(Units!$K40=0,CZ$1=Units!$O40),Units!$R40,IF(AND(CZ$1&gt;=Units!$Q40,MOD(CZ$1-Units!$Q40,12)=0),IF(AND(Units!$L40=1,CZ$1=Units!$Q40),IF(Units!$J40&lt;&gt;"",Units!$J40,Mkt!CZ41),Inputs!$B$15*Mkt!CZ41+(1-Inputs!$B$15)*MIN(Mkt!CZ41,CY41*(1+Inputs!$B$18))),CY41)))</f>
        <v>1931.82437411612</v>
      </c>
      <c r="DA41" s="11" t="n">
        <f aca="false">IF(DA$1&lt;Units!$P40,0,IF(AND(Units!$K40=0,DA$1=Units!$O40),Units!$R40,IF(AND(DA$1&gt;=Units!$Q40,MOD(DA$1-Units!$Q40,12)=0),IF(AND(Units!$L40=1,DA$1=Units!$Q40),IF(Units!$J40&lt;&gt;"",Units!$J40,Mkt!DA41),Inputs!$B$15*Mkt!DA41+(1-Inputs!$B$15)*MIN(Mkt!DA41,CZ41*(1+Inputs!$B$18))),CZ41)))</f>
        <v>1931.82437411612</v>
      </c>
      <c r="DB41" s="11" t="n">
        <f aca="false">IF(DB$1&lt;Units!$P40,0,IF(AND(Units!$K40=0,DB$1=Units!$O40),Units!$R40,IF(AND(DB$1&gt;=Units!$Q40,MOD(DB$1-Units!$Q40,12)=0),IF(AND(Units!$L40=1,DB$1=Units!$Q40),IF(Units!$J40&lt;&gt;"",Units!$J40,Mkt!DB41),Inputs!$B$15*Mkt!DB41+(1-Inputs!$B$15)*MIN(Mkt!DB41,DA41*(1+Inputs!$B$18))),DA41)))</f>
        <v>1931.82437411612</v>
      </c>
      <c r="DC41" s="11" t="n">
        <f aca="false">IF(DC$1&lt;Units!$P40,0,IF(AND(Units!$K40=0,DC$1=Units!$O40),Units!$R40,IF(AND(DC$1&gt;=Units!$Q40,MOD(DC$1-Units!$Q40,12)=0),IF(AND(Units!$L40=1,DC$1=Units!$Q40),IF(Units!$J40&lt;&gt;"",Units!$J40,Mkt!DC41),Inputs!$B$15*Mkt!DC41+(1-Inputs!$B$15)*MIN(Mkt!DC41,DB41*(1+Inputs!$B$18))),DB41)))</f>
        <v>1931.82437411612</v>
      </c>
      <c r="DD41" s="11" t="n">
        <f aca="false">IF(DD$1&lt;Units!$P40,0,IF(AND(Units!$K40=0,DD$1=Units!$O40),Units!$R40,IF(AND(DD$1&gt;=Units!$Q40,MOD(DD$1-Units!$Q40,12)=0),IF(AND(Units!$L40=1,DD$1=Units!$Q40),IF(Units!$J40&lt;&gt;"",Units!$J40,Mkt!DD41),Inputs!$B$15*Mkt!DD41+(1-Inputs!$B$15)*MIN(Mkt!DD41,DC41*(1+Inputs!$B$18))),DC41)))</f>
        <v>1931.82437411612</v>
      </c>
      <c r="DE41" s="11" t="n">
        <f aca="false">IF(DE$1&lt;Units!$P40,0,IF(AND(Units!$K40=0,DE$1=Units!$O40),Units!$R40,IF(AND(DE$1&gt;=Units!$Q40,MOD(DE$1-Units!$Q40,12)=0),IF(AND(Units!$L40=1,DE$1=Units!$Q40),IF(Units!$J40&lt;&gt;"",Units!$J40,Mkt!DE41),Inputs!$B$15*Mkt!DE41+(1-Inputs!$B$15)*MIN(Mkt!DE41,DD41*(1+Inputs!$B$18))),DD41)))</f>
        <v>1931.82437411612</v>
      </c>
      <c r="DF41" s="11" t="n">
        <f aca="false">IF(DF$1&lt;Units!$P40,0,IF(AND(Units!$K40=0,DF$1=Units!$O40),Units!$R40,IF(AND(DF$1&gt;=Units!$Q40,MOD(DF$1-Units!$Q40,12)=0),IF(AND(Units!$L40=1,DF$1=Units!$Q40),IF(Units!$J40&lt;&gt;"",Units!$J40,Mkt!DF41),Inputs!$B$15*Mkt!DF41+(1-Inputs!$B$15)*MIN(Mkt!DF41,DE41*(1+Inputs!$B$18))),DE41)))</f>
        <v>1931.82437411612</v>
      </c>
      <c r="DG41" s="11" t="n">
        <f aca="false">IF(DG$1&lt;Units!$P40,0,IF(AND(Units!$K40=0,DG$1=Units!$O40),Units!$R40,IF(AND(DG$1&gt;=Units!$Q40,MOD(DG$1-Units!$Q40,12)=0),IF(AND(Units!$L40=1,DG$1=Units!$Q40),IF(Units!$J40&lt;&gt;"",Units!$J40,Mkt!DG41),Inputs!$B$15*Mkt!DG41+(1-Inputs!$B$15)*MIN(Mkt!DG41,DF41*(1+Inputs!$B$18))),DF41)))</f>
        <v>1989.7791053396</v>
      </c>
      <c r="DH41" s="11" t="n">
        <f aca="false">IF(DH$1&lt;Units!$P40,0,IF(AND(Units!$K40=0,DH$1=Units!$O40),Units!$R40,IF(AND(DH$1&gt;=Units!$Q40,MOD(DH$1-Units!$Q40,12)=0),IF(AND(Units!$L40=1,DH$1=Units!$Q40),IF(Units!$J40&lt;&gt;"",Units!$J40,Mkt!DH41),Inputs!$B$15*Mkt!DH41+(1-Inputs!$B$15)*MIN(Mkt!DH41,DG41*(1+Inputs!$B$18))),DG41)))</f>
        <v>1989.7791053396</v>
      </c>
      <c r="DI41" s="11" t="n">
        <f aca="false">IF(DI$1&lt;Units!$P40,0,IF(AND(Units!$K40=0,DI$1=Units!$O40),Units!$R40,IF(AND(DI$1&gt;=Units!$Q40,MOD(DI$1-Units!$Q40,12)=0),IF(AND(Units!$L40=1,DI$1=Units!$Q40),IF(Units!$J40&lt;&gt;"",Units!$J40,Mkt!DI41),Inputs!$B$15*Mkt!DI41+(1-Inputs!$B$15)*MIN(Mkt!DI41,DH41*(1+Inputs!$B$18))),DH41)))</f>
        <v>1989.7791053396</v>
      </c>
      <c r="DJ41" s="11" t="n">
        <f aca="false">IF(DJ$1&lt;Units!$P40,0,IF(AND(Units!$K40=0,DJ$1=Units!$O40),Units!$R40,IF(AND(DJ$1&gt;=Units!$Q40,MOD(DJ$1-Units!$Q40,12)=0),IF(AND(Units!$L40=1,DJ$1=Units!$Q40),IF(Units!$J40&lt;&gt;"",Units!$J40,Mkt!DJ41),Inputs!$B$15*Mkt!DJ41+(1-Inputs!$B$15)*MIN(Mkt!DJ41,DI41*(1+Inputs!$B$18))),DI41)))</f>
        <v>1989.7791053396</v>
      </c>
      <c r="DK41" s="11" t="n">
        <f aca="false">IF(DK$1&lt;Units!$P40,0,IF(AND(Units!$K40=0,DK$1=Units!$O40),Units!$R40,IF(AND(DK$1&gt;=Units!$Q40,MOD(DK$1-Units!$Q40,12)=0),IF(AND(Units!$L40=1,DK$1=Units!$Q40),IF(Units!$J40&lt;&gt;"",Units!$J40,Mkt!DK41),Inputs!$B$15*Mkt!DK41+(1-Inputs!$B$15)*MIN(Mkt!DK41,DJ41*(1+Inputs!$B$18))),DJ41)))</f>
        <v>1989.7791053396</v>
      </c>
      <c r="DL41" s="11" t="n">
        <f aca="false">IF(DL$1&lt;Units!$P40,0,IF(AND(Units!$K40=0,DL$1=Units!$O40),Units!$R40,IF(AND(DL$1&gt;=Units!$Q40,MOD(DL$1-Units!$Q40,12)=0),IF(AND(Units!$L40=1,DL$1=Units!$Q40),IF(Units!$J40&lt;&gt;"",Units!$J40,Mkt!DL41),Inputs!$B$15*Mkt!DL41+(1-Inputs!$B$15)*MIN(Mkt!DL41,DK41*(1+Inputs!$B$18))),DK41)))</f>
        <v>1989.7791053396</v>
      </c>
      <c r="DM41" s="11" t="n">
        <f aca="false">IF(DM$1&lt;Units!$P40,0,IF(AND(Units!$K40=0,DM$1=Units!$O40),Units!$R40,IF(AND(DM$1&gt;=Units!$Q40,MOD(DM$1-Units!$Q40,12)=0),IF(AND(Units!$L40=1,DM$1=Units!$Q40),IF(Units!$J40&lt;&gt;"",Units!$J40,Mkt!DM41),Inputs!$B$15*Mkt!DM41+(1-Inputs!$B$15)*MIN(Mkt!DM41,DL41*(1+Inputs!$B$18))),DL41)))</f>
        <v>1989.7791053396</v>
      </c>
      <c r="DN41" s="11" t="n">
        <f aca="false">IF(DN$1&lt;Units!$P40,0,IF(AND(Units!$K40=0,DN$1=Units!$O40),Units!$R40,IF(AND(DN$1&gt;=Units!$Q40,MOD(DN$1-Units!$Q40,12)=0),IF(AND(Units!$L40=1,DN$1=Units!$Q40),IF(Units!$J40&lt;&gt;"",Units!$J40,Mkt!DN41),Inputs!$B$15*Mkt!DN41+(1-Inputs!$B$15)*MIN(Mkt!DN41,DM41*(1+Inputs!$B$18))),DM41)))</f>
        <v>1989.7791053396</v>
      </c>
      <c r="DO41" s="11" t="n">
        <f aca="false">IF(DO$1&lt;Units!$P40,0,IF(AND(Units!$K40=0,DO$1=Units!$O40),Units!$R40,IF(AND(DO$1&gt;=Units!$Q40,MOD(DO$1-Units!$Q40,12)=0),IF(AND(Units!$L40=1,DO$1=Units!$Q40),IF(Units!$J40&lt;&gt;"",Units!$J40,Mkt!DO41),Inputs!$B$15*Mkt!DO41+(1-Inputs!$B$15)*MIN(Mkt!DO41,DN41*(1+Inputs!$B$18))),DN41)))</f>
        <v>1989.7791053396</v>
      </c>
      <c r="DP41" s="11" t="n">
        <f aca="false">IF(DP$1&lt;Units!$P40,0,IF(AND(Units!$K40=0,DP$1=Units!$O40),Units!$R40,IF(AND(DP$1&gt;=Units!$Q40,MOD(DP$1-Units!$Q40,12)=0),IF(AND(Units!$L40=1,DP$1=Units!$Q40),IF(Units!$J40&lt;&gt;"",Units!$J40,Mkt!DP41),Inputs!$B$15*Mkt!DP41+(1-Inputs!$B$15)*MIN(Mkt!DP41,DO41*(1+Inputs!$B$18))),DO41)))</f>
        <v>1989.7791053396</v>
      </c>
      <c r="DQ41" s="11" t="n">
        <f aca="false">IF(DQ$1&lt;Units!$P40,0,IF(AND(Units!$K40=0,DQ$1=Units!$O40),Units!$R40,IF(AND(DQ$1&gt;=Units!$Q40,MOD(DQ$1-Units!$Q40,12)=0),IF(AND(Units!$L40=1,DQ$1=Units!$Q40),IF(Units!$J40&lt;&gt;"",Units!$J40,Mkt!DQ41),Inputs!$B$15*Mkt!DQ41+(1-Inputs!$B$15)*MIN(Mkt!DQ41,DP41*(1+Inputs!$B$18))),DP41)))</f>
        <v>1989.7791053396</v>
      </c>
      <c r="DR41" s="11" t="n">
        <f aca="false">IF(DR$1&lt;Units!$P40,0,IF(AND(Units!$K40=0,DR$1=Units!$O40),Units!$R40,IF(AND(DR$1&gt;=Units!$Q40,MOD(DR$1-Units!$Q40,12)=0),IF(AND(Units!$L40=1,DR$1=Units!$Q40),IF(Units!$J40&lt;&gt;"",Units!$J40,Mkt!DR41),Inputs!$B$15*Mkt!DR41+(1-Inputs!$B$15)*MIN(Mkt!DR41,DQ41*(1+Inputs!$B$18))),DQ41)))</f>
        <v>1989.7791053396</v>
      </c>
      <c r="DS41" s="11" t="n">
        <f aca="false">IF(DS$1&lt;Units!$P40,0,IF(AND(Units!$K40=0,DS$1=Units!$O40),Units!$R40,IF(AND(DS$1&gt;=Units!$Q40,MOD(DS$1-Units!$Q40,12)=0),IF(AND(Units!$L40=1,DS$1=Units!$Q40),IF(Units!$J40&lt;&gt;"",Units!$J40,Mkt!DS41),Inputs!$B$15*Mkt!DS41+(1-Inputs!$B$15)*MIN(Mkt!DS41,DR41*(1+Inputs!$B$18))),DR41)))</f>
        <v>2049.47247849979</v>
      </c>
      <c r="DT41" s="11" t="n">
        <f aca="false">IF(DT$1&lt;Units!$P40,0,IF(AND(Units!$K40=0,DT$1=Units!$O40),Units!$R40,IF(AND(DT$1&gt;=Units!$Q40,MOD(DT$1-Units!$Q40,12)=0),IF(AND(Units!$L40=1,DT$1=Units!$Q40),IF(Units!$J40&lt;&gt;"",Units!$J40,Mkt!DT41),Inputs!$B$15*Mkt!DT41+(1-Inputs!$B$15)*MIN(Mkt!DT41,DS41*(1+Inputs!$B$18))),DS41)))</f>
        <v>2049.47247849979</v>
      </c>
      <c r="DU41" s="11" t="n">
        <f aca="false">IF(DU$1&lt;Units!$P40,0,IF(AND(Units!$K40=0,DU$1=Units!$O40),Units!$R40,IF(AND(DU$1&gt;=Units!$Q40,MOD(DU$1-Units!$Q40,12)=0),IF(AND(Units!$L40=1,DU$1=Units!$Q40),IF(Units!$J40&lt;&gt;"",Units!$J40,Mkt!DU41),Inputs!$B$15*Mkt!DU41+(1-Inputs!$B$15)*MIN(Mkt!DU41,DT41*(1+Inputs!$B$18))),DT41)))</f>
        <v>2049.47247849979</v>
      </c>
      <c r="DV41" s="11" t="n">
        <f aca="false">IF(DV$1&lt;Units!$P40,0,IF(AND(Units!$K40=0,DV$1=Units!$O40),Units!$R40,IF(AND(DV$1&gt;=Units!$Q40,MOD(DV$1-Units!$Q40,12)=0),IF(AND(Units!$L40=1,DV$1=Units!$Q40),IF(Units!$J40&lt;&gt;"",Units!$J40,Mkt!DV41),Inputs!$B$15*Mkt!DV41+(1-Inputs!$B$15)*MIN(Mkt!DV41,DU41*(1+Inputs!$B$18))),DU41)))</f>
        <v>2049.47247849979</v>
      </c>
      <c r="DW41" s="11" t="n">
        <f aca="false">IF(DW$1&lt;Units!$P40,0,IF(AND(Units!$K40=0,DW$1=Units!$O40),Units!$R40,IF(AND(DW$1&gt;=Units!$Q40,MOD(DW$1-Units!$Q40,12)=0),IF(AND(Units!$L40=1,DW$1=Units!$Q40),IF(Units!$J40&lt;&gt;"",Units!$J40,Mkt!DW41),Inputs!$B$15*Mkt!DW41+(1-Inputs!$B$15)*MIN(Mkt!DW41,DV41*(1+Inputs!$B$18))),DV41)))</f>
        <v>2049.47247849979</v>
      </c>
      <c r="DX41" s="11" t="n">
        <f aca="false">IF(DX$1&lt;Units!$P40,0,IF(AND(Units!$K40=0,DX$1=Units!$O40),Units!$R40,IF(AND(DX$1&gt;=Units!$Q40,MOD(DX$1-Units!$Q40,12)=0),IF(AND(Units!$L40=1,DX$1=Units!$Q40),IF(Units!$J40&lt;&gt;"",Units!$J40,Mkt!DX41),Inputs!$B$15*Mkt!DX41+(1-Inputs!$B$15)*MIN(Mkt!DX41,DW41*(1+Inputs!$B$18))),DW41)))</f>
        <v>2049.47247849979</v>
      </c>
      <c r="DY41" s="11" t="n">
        <f aca="false">IF(DY$1&lt;Units!$P40,0,IF(AND(Units!$K40=0,DY$1=Units!$O40),Units!$R40,IF(AND(DY$1&gt;=Units!$Q40,MOD(DY$1-Units!$Q40,12)=0),IF(AND(Units!$L40=1,DY$1=Units!$Q40),IF(Units!$J40&lt;&gt;"",Units!$J40,Mkt!DY41),Inputs!$B$15*Mkt!DY41+(1-Inputs!$B$15)*MIN(Mkt!DY41,DX41*(1+Inputs!$B$18))),DX41)))</f>
        <v>2049.47247849979</v>
      </c>
      <c r="DZ41" s="11" t="n">
        <f aca="false">IF(DZ$1&lt;Units!$P40,0,IF(AND(Units!$K40=0,DZ$1=Units!$O40),Units!$R40,IF(AND(DZ$1&gt;=Units!$Q40,MOD(DZ$1-Units!$Q40,12)=0),IF(AND(Units!$L40=1,DZ$1=Units!$Q40),IF(Units!$J40&lt;&gt;"",Units!$J40,Mkt!DZ41),Inputs!$B$15*Mkt!DZ41+(1-Inputs!$B$15)*MIN(Mkt!DZ41,DY41*(1+Inputs!$B$18))),DY41)))</f>
        <v>2049.47247849979</v>
      </c>
      <c r="EA41" s="11" t="n">
        <f aca="false">IF(EA$1&lt;Units!$P40,0,IF(AND(Units!$K40=0,EA$1=Units!$O40),Units!$R40,IF(AND(EA$1&gt;=Units!$Q40,MOD(EA$1-Units!$Q40,12)=0),IF(AND(Units!$L40=1,EA$1=Units!$Q40),IF(Units!$J40&lt;&gt;"",Units!$J40,Mkt!EA41),Inputs!$B$15*Mkt!EA41+(1-Inputs!$B$15)*MIN(Mkt!EA41,DZ41*(1+Inputs!$B$18))),DZ41)))</f>
        <v>2049.47247849979</v>
      </c>
      <c r="EB41" s="11" t="n">
        <f aca="false">IF(EB$1&lt;Units!$P40,0,IF(AND(Units!$K40=0,EB$1=Units!$O40),Units!$R40,IF(AND(EB$1&gt;=Units!$Q40,MOD(EB$1-Units!$Q40,12)=0),IF(AND(Units!$L40=1,EB$1=Units!$Q40),IF(Units!$J40&lt;&gt;"",Units!$J40,Mkt!EB41),Inputs!$B$15*Mkt!EB41+(1-Inputs!$B$15)*MIN(Mkt!EB41,EA41*(1+Inputs!$B$18))),EA41)))</f>
        <v>2049.47247849979</v>
      </c>
      <c r="EC41" s="11" t="n">
        <f aca="false">IF(EC$1&lt;Units!$P40,0,IF(AND(Units!$K40=0,EC$1=Units!$O40),Units!$R40,IF(AND(EC$1&gt;=Units!$Q40,MOD(EC$1-Units!$Q40,12)=0),IF(AND(Units!$L40=1,EC$1=Units!$Q40),IF(Units!$J40&lt;&gt;"",Units!$J40,Mkt!EC41),Inputs!$B$15*Mkt!EC41+(1-Inputs!$B$15)*MIN(Mkt!EC41,EB41*(1+Inputs!$B$18))),EB41)))</f>
        <v>2049.47247849979</v>
      </c>
      <c r="ED41" s="11" t="n">
        <f aca="false">IF(ED$1&lt;Units!$P40,0,IF(AND(Units!$K40=0,ED$1=Units!$O40),Units!$R40,IF(AND(ED$1&gt;=Units!$Q40,MOD(ED$1-Units!$Q40,12)=0),IF(AND(Units!$L40=1,ED$1=Units!$Q40),IF(Units!$J40&lt;&gt;"",Units!$J40,Mkt!ED41),Inputs!$B$15*Mkt!ED41+(1-Inputs!$B$15)*MIN(Mkt!ED41,EC41*(1+Inputs!$B$18))),EC41)))</f>
        <v>2049.47247849979</v>
      </c>
    </row>
    <row r="42" customFormat="false" ht="15" hidden="false" customHeight="false" outlineLevel="0" collapsed="false">
      <c r="A42" s="22" t="n">
        <f aca="false">Units!A41</f>
        <v>210</v>
      </c>
      <c r="B42" s="24" t="n">
        <f aca="false">IF(Units!K41=1,Units!F41,0)</f>
        <v>1455</v>
      </c>
      <c r="C42" s="11" t="n">
        <f aca="false">IF(C$1&lt;Units!$P41,0,IF(AND(Units!$K41=0,C$1=Units!$O41),Units!$R41,IF(AND(C$1&gt;=Units!$Q41,MOD(C$1-Units!$Q41,12)=0),IF(AND(Units!$L41=1,C$1=Units!$Q41),IF(Units!$J41&lt;&gt;"",Units!$J41,Mkt!C42),Inputs!$B$15*Mkt!C42+(1-Inputs!$B$15)*MIN(Mkt!C42,B42*(1+Inputs!$B$18))),B42)))</f>
        <v>1455</v>
      </c>
      <c r="D42" s="11" t="n">
        <f aca="false">IF(D$1&lt;Units!$P41,0,IF(AND(Units!$K41=0,D$1=Units!$O41),Units!$R41,IF(AND(D$1&gt;=Units!$Q41,MOD(D$1-Units!$Q41,12)=0),IF(AND(Units!$L41=1,D$1=Units!$Q41),IF(Units!$J41&lt;&gt;"",Units!$J41,Mkt!D42),Inputs!$B$15*Mkt!D42+(1-Inputs!$B$15)*MIN(Mkt!D42,C42*(1+Inputs!$B$18))),C42)))</f>
        <v>1455</v>
      </c>
      <c r="E42" s="11" t="n">
        <f aca="false">IF(E$1&lt;Units!$P41,0,IF(AND(Units!$K41=0,E$1=Units!$O41),Units!$R41,IF(AND(E$1&gt;=Units!$Q41,MOD(E$1-Units!$Q41,12)=0),IF(AND(Units!$L41=1,E$1=Units!$Q41),IF(Units!$J41&lt;&gt;"",Units!$J41,Mkt!E42),Inputs!$B$15*Mkt!E42+(1-Inputs!$B$15)*MIN(Mkt!E42,D42*(1+Inputs!$B$18))),D42)))</f>
        <v>1455</v>
      </c>
      <c r="F42" s="11" t="n">
        <f aca="false">IF(F$1&lt;Units!$P41,0,IF(AND(Units!$K41=0,F$1=Units!$O41),Units!$R41,IF(AND(F$1&gt;=Units!$Q41,MOD(F$1-Units!$Q41,12)=0),IF(AND(Units!$L41=1,F$1=Units!$Q41),IF(Units!$J41&lt;&gt;"",Units!$J41,Mkt!F42),Inputs!$B$15*Mkt!F42+(1-Inputs!$B$15)*MIN(Mkt!F42,E42*(1+Inputs!$B$18))),E42)))</f>
        <v>1455</v>
      </c>
      <c r="G42" s="11" t="n">
        <f aca="false">IF(G$1&lt;Units!$P41,0,IF(AND(Units!$K41=0,G$1=Units!$O41),Units!$R41,IF(AND(G$1&gt;=Units!$Q41,MOD(G$1-Units!$Q41,12)=0),IF(AND(Units!$L41=1,G$1=Units!$Q41),IF(Units!$J41&lt;&gt;"",Units!$J41,Mkt!G42),Inputs!$B$15*Mkt!G42+(1-Inputs!$B$15)*MIN(Mkt!G42,F42*(1+Inputs!$B$18))),F42)))</f>
        <v>1455</v>
      </c>
      <c r="H42" s="11" t="n">
        <f aca="false">IF(H$1&lt;Units!$P41,0,IF(AND(Units!$K41=0,H$1=Units!$O41),Units!$R41,IF(AND(H$1&gt;=Units!$Q41,MOD(H$1-Units!$Q41,12)=0),IF(AND(Units!$L41=1,H$1=Units!$Q41),IF(Units!$J41&lt;&gt;"",Units!$J41,Mkt!H42),Inputs!$B$15*Mkt!H42+(1-Inputs!$B$15)*MIN(Mkt!H42,G42*(1+Inputs!$B$18))),G42)))</f>
        <v>1455</v>
      </c>
      <c r="I42" s="11" t="n">
        <f aca="false">IF(I$1&lt;Units!$P41,0,IF(AND(Units!$K41=0,I$1=Units!$O41),Units!$R41,IF(AND(I$1&gt;=Units!$Q41,MOD(I$1-Units!$Q41,12)=0),IF(AND(Units!$L41=1,I$1=Units!$Q41),IF(Units!$J41&lt;&gt;"",Units!$J41,Mkt!I42),Inputs!$B$15*Mkt!I42+(1-Inputs!$B$15)*MIN(Mkt!I42,H42*(1+Inputs!$B$18))),H42)))</f>
        <v>1455</v>
      </c>
      <c r="J42" s="11" t="n">
        <f aca="false">IF(J$1&lt;Units!$P41,0,IF(AND(Units!$K41=0,J$1=Units!$O41),Units!$R41,IF(AND(J$1&gt;=Units!$Q41,MOD(J$1-Units!$Q41,12)=0),IF(AND(Units!$L41=1,J$1=Units!$Q41),IF(Units!$J41&lt;&gt;"",Units!$J41,Mkt!J42),Inputs!$B$15*Mkt!J42+(1-Inputs!$B$15)*MIN(Mkt!J42,I42*(1+Inputs!$B$18))),I42)))</f>
        <v>1525</v>
      </c>
      <c r="K42" s="11" t="n">
        <f aca="false">IF(K$1&lt;Units!$P41,0,IF(AND(Units!$K41=0,K$1=Units!$O41),Units!$R41,IF(AND(K$1&gt;=Units!$Q41,MOD(K$1-Units!$Q41,12)=0),IF(AND(Units!$L41=1,K$1=Units!$Q41),IF(Units!$J41&lt;&gt;"",Units!$J41,Mkt!K42),Inputs!$B$15*Mkt!K42+(1-Inputs!$B$15)*MIN(Mkt!K42,J42*(1+Inputs!$B$18))),J42)))</f>
        <v>1525</v>
      </c>
      <c r="L42" s="11" t="n">
        <f aca="false">IF(L$1&lt;Units!$P41,0,IF(AND(Units!$K41=0,L$1=Units!$O41),Units!$R41,IF(AND(L$1&gt;=Units!$Q41,MOD(L$1-Units!$Q41,12)=0),IF(AND(Units!$L41=1,L$1=Units!$Q41),IF(Units!$J41&lt;&gt;"",Units!$J41,Mkt!L42),Inputs!$B$15*Mkt!L42+(1-Inputs!$B$15)*MIN(Mkt!L42,K42*(1+Inputs!$B$18))),K42)))</f>
        <v>1525</v>
      </c>
      <c r="M42" s="11" t="n">
        <f aca="false">IF(M$1&lt;Units!$P41,0,IF(AND(Units!$K41=0,M$1=Units!$O41),Units!$R41,IF(AND(M$1&gt;=Units!$Q41,MOD(M$1-Units!$Q41,12)=0),IF(AND(Units!$L41=1,M$1=Units!$Q41),IF(Units!$J41&lt;&gt;"",Units!$J41,Mkt!M42),Inputs!$B$15*Mkt!M42+(1-Inputs!$B$15)*MIN(Mkt!M42,L42*(1+Inputs!$B$18))),L42)))</f>
        <v>1525</v>
      </c>
      <c r="N42" s="11" t="n">
        <f aca="false">IF(N$1&lt;Units!$P41,0,IF(AND(Units!$K41=0,N$1=Units!$O41),Units!$R41,IF(AND(N$1&gt;=Units!$Q41,MOD(N$1-Units!$Q41,12)=0),IF(AND(Units!$L41=1,N$1=Units!$Q41),IF(Units!$J41&lt;&gt;"",Units!$J41,Mkt!N42),Inputs!$B$15*Mkt!N42+(1-Inputs!$B$15)*MIN(Mkt!N42,M42*(1+Inputs!$B$18))),M42)))</f>
        <v>1525</v>
      </c>
      <c r="O42" s="11" t="n">
        <f aca="false">IF(O$1&lt;Units!$P41,0,IF(AND(Units!$K41=0,O$1=Units!$O41),Units!$R41,IF(AND(O$1&gt;=Units!$Q41,MOD(O$1-Units!$Q41,12)=0),IF(AND(Units!$L41=1,O$1=Units!$Q41),IF(Units!$J41&lt;&gt;"",Units!$J41,Mkt!O42),Inputs!$B$15*Mkt!O42+(1-Inputs!$B$15)*MIN(Mkt!O42,N42*(1+Inputs!$B$18))),N42)))</f>
        <v>1525</v>
      </c>
      <c r="P42" s="11" t="n">
        <f aca="false">IF(P$1&lt;Units!$P41,0,IF(AND(Units!$K41=0,P$1=Units!$O41),Units!$R41,IF(AND(P$1&gt;=Units!$Q41,MOD(P$1-Units!$Q41,12)=0),IF(AND(Units!$L41=1,P$1=Units!$Q41),IF(Units!$J41&lt;&gt;"",Units!$J41,Mkt!P42),Inputs!$B$15*Mkt!P42+(1-Inputs!$B$15)*MIN(Mkt!P42,O42*(1+Inputs!$B$18))),O42)))</f>
        <v>1525</v>
      </c>
      <c r="Q42" s="11" t="n">
        <f aca="false">IF(Q$1&lt;Units!$P41,0,IF(AND(Units!$K41=0,Q$1=Units!$O41),Units!$R41,IF(AND(Q$1&gt;=Units!$Q41,MOD(Q$1-Units!$Q41,12)=0),IF(AND(Units!$L41=1,Q$1=Units!$Q41),IF(Units!$J41&lt;&gt;"",Units!$J41,Mkt!Q42),Inputs!$B$15*Mkt!Q42+(1-Inputs!$B$15)*MIN(Mkt!Q42,P42*(1+Inputs!$B$18))),P42)))</f>
        <v>1525</v>
      </c>
      <c r="R42" s="11" t="n">
        <f aca="false">IF(R$1&lt;Units!$P41,0,IF(AND(Units!$K41=0,R$1=Units!$O41),Units!$R41,IF(AND(R$1&gt;=Units!$Q41,MOD(R$1-Units!$Q41,12)=0),IF(AND(Units!$L41=1,R$1=Units!$Q41),IF(Units!$J41&lt;&gt;"",Units!$J41,Mkt!R42),Inputs!$B$15*Mkt!R42+(1-Inputs!$B$15)*MIN(Mkt!R42,Q42*(1+Inputs!$B$18))),Q42)))</f>
        <v>1525</v>
      </c>
      <c r="S42" s="11" t="n">
        <f aca="false">IF(S$1&lt;Units!$P41,0,IF(AND(Units!$K41=0,S$1=Units!$O41),Units!$R41,IF(AND(S$1&gt;=Units!$Q41,MOD(S$1-Units!$Q41,12)=0),IF(AND(Units!$L41=1,S$1=Units!$Q41),IF(Units!$J41&lt;&gt;"",Units!$J41,Mkt!S42),Inputs!$B$15*Mkt!S42+(1-Inputs!$B$15)*MIN(Mkt!S42,R42*(1+Inputs!$B$18))),R42)))</f>
        <v>1525</v>
      </c>
      <c r="T42" s="11" t="n">
        <f aca="false">IF(T$1&lt;Units!$P41,0,IF(AND(Units!$K41=0,T$1=Units!$O41),Units!$R41,IF(AND(T$1&gt;=Units!$Q41,MOD(T$1-Units!$Q41,12)=0),IF(AND(Units!$L41=1,T$1=Units!$Q41),IF(Units!$J41&lt;&gt;"",Units!$J41,Mkt!T42),Inputs!$B$15*Mkt!T42+(1-Inputs!$B$15)*MIN(Mkt!T42,S42*(1+Inputs!$B$18))),S42)))</f>
        <v>1525</v>
      </c>
      <c r="U42" s="11" t="n">
        <f aca="false">IF(U$1&lt;Units!$P41,0,IF(AND(Units!$K41=0,U$1=Units!$O41),Units!$R41,IF(AND(U$1&gt;=Units!$Q41,MOD(U$1-Units!$Q41,12)=0),IF(AND(Units!$L41=1,U$1=Units!$Q41),IF(Units!$J41&lt;&gt;"",Units!$J41,Mkt!U42),Inputs!$B$15*Mkt!U42+(1-Inputs!$B$15)*MIN(Mkt!U42,T42*(1+Inputs!$B$18))),T42)))</f>
        <v>1525</v>
      </c>
      <c r="V42" s="11" t="n">
        <f aca="false">IF(V$1&lt;Units!$P41,0,IF(AND(Units!$K41=0,V$1=Units!$O41),Units!$R41,IF(AND(V$1&gt;=Units!$Q41,MOD(V$1-Units!$Q41,12)=0),IF(AND(Units!$L41=1,V$1=Units!$Q41),IF(Units!$J41&lt;&gt;"",Units!$J41,Mkt!V42),Inputs!$B$15*Mkt!V42+(1-Inputs!$B$15)*MIN(Mkt!V42,U42*(1+Inputs!$B$18))),U42)))</f>
        <v>1570.75</v>
      </c>
      <c r="W42" s="11" t="n">
        <f aca="false">IF(W$1&lt;Units!$P41,0,IF(AND(Units!$K41=0,W$1=Units!$O41),Units!$R41,IF(AND(W$1&gt;=Units!$Q41,MOD(W$1-Units!$Q41,12)=0),IF(AND(Units!$L41=1,W$1=Units!$Q41),IF(Units!$J41&lt;&gt;"",Units!$J41,Mkt!W42),Inputs!$B$15*Mkt!W42+(1-Inputs!$B$15)*MIN(Mkt!W42,V42*(1+Inputs!$B$18))),V42)))</f>
        <v>1570.75</v>
      </c>
      <c r="X42" s="11" t="n">
        <f aca="false">IF(X$1&lt;Units!$P41,0,IF(AND(Units!$K41=0,X$1=Units!$O41),Units!$R41,IF(AND(X$1&gt;=Units!$Q41,MOD(X$1-Units!$Q41,12)=0),IF(AND(Units!$L41=1,X$1=Units!$Q41),IF(Units!$J41&lt;&gt;"",Units!$J41,Mkt!X42),Inputs!$B$15*Mkt!X42+(1-Inputs!$B$15)*MIN(Mkt!X42,W42*(1+Inputs!$B$18))),W42)))</f>
        <v>1570.75</v>
      </c>
      <c r="Y42" s="11" t="n">
        <f aca="false">IF(Y$1&lt;Units!$P41,0,IF(AND(Units!$K41=0,Y$1=Units!$O41),Units!$R41,IF(AND(Y$1&gt;=Units!$Q41,MOD(Y$1-Units!$Q41,12)=0),IF(AND(Units!$L41=1,Y$1=Units!$Q41),IF(Units!$J41&lt;&gt;"",Units!$J41,Mkt!Y42),Inputs!$B$15*Mkt!Y42+(1-Inputs!$B$15)*MIN(Mkt!Y42,X42*(1+Inputs!$B$18))),X42)))</f>
        <v>1570.75</v>
      </c>
      <c r="Z42" s="11" t="n">
        <f aca="false">IF(Z$1&lt;Units!$P41,0,IF(AND(Units!$K41=0,Z$1=Units!$O41),Units!$R41,IF(AND(Z$1&gt;=Units!$Q41,MOD(Z$1-Units!$Q41,12)=0),IF(AND(Units!$L41=1,Z$1=Units!$Q41),IF(Units!$J41&lt;&gt;"",Units!$J41,Mkt!Z42),Inputs!$B$15*Mkt!Z42+(1-Inputs!$B$15)*MIN(Mkt!Z42,Y42*(1+Inputs!$B$18))),Y42)))</f>
        <v>1570.75</v>
      </c>
      <c r="AA42" s="11" t="n">
        <f aca="false">IF(AA$1&lt;Units!$P41,0,IF(AND(Units!$K41=0,AA$1=Units!$O41),Units!$R41,IF(AND(AA$1&gt;=Units!$Q41,MOD(AA$1-Units!$Q41,12)=0),IF(AND(Units!$L41=1,AA$1=Units!$Q41),IF(Units!$J41&lt;&gt;"",Units!$J41,Mkt!AA42),Inputs!$B$15*Mkt!AA42+(1-Inputs!$B$15)*MIN(Mkt!AA42,Z42*(1+Inputs!$B$18))),Z42)))</f>
        <v>1570.75</v>
      </c>
      <c r="AB42" s="11" t="n">
        <f aca="false">IF(AB$1&lt;Units!$P41,0,IF(AND(Units!$K41=0,AB$1=Units!$O41),Units!$R41,IF(AND(AB$1&gt;=Units!$Q41,MOD(AB$1-Units!$Q41,12)=0),IF(AND(Units!$L41=1,AB$1=Units!$Q41),IF(Units!$J41&lt;&gt;"",Units!$J41,Mkt!AB42),Inputs!$B$15*Mkt!AB42+(1-Inputs!$B$15)*MIN(Mkt!AB42,AA42*(1+Inputs!$B$18))),AA42)))</f>
        <v>1570.75</v>
      </c>
      <c r="AC42" s="11" t="n">
        <f aca="false">IF(AC$1&lt;Units!$P41,0,IF(AND(Units!$K41=0,AC$1=Units!$O41),Units!$R41,IF(AND(AC$1&gt;=Units!$Q41,MOD(AC$1-Units!$Q41,12)=0),IF(AND(Units!$L41=1,AC$1=Units!$Q41),IF(Units!$J41&lt;&gt;"",Units!$J41,Mkt!AC42),Inputs!$B$15*Mkt!AC42+(1-Inputs!$B$15)*MIN(Mkt!AC42,AB42*(1+Inputs!$B$18))),AB42)))</f>
        <v>1570.75</v>
      </c>
      <c r="AD42" s="11" t="n">
        <f aca="false">IF(AD$1&lt;Units!$P41,0,IF(AND(Units!$K41=0,AD$1=Units!$O41),Units!$R41,IF(AND(AD$1&gt;=Units!$Q41,MOD(AD$1-Units!$Q41,12)=0),IF(AND(Units!$L41=1,AD$1=Units!$Q41),IF(Units!$J41&lt;&gt;"",Units!$J41,Mkt!AD42),Inputs!$B$15*Mkt!AD42+(1-Inputs!$B$15)*MIN(Mkt!AD42,AC42*(1+Inputs!$B$18))),AC42)))</f>
        <v>1570.75</v>
      </c>
      <c r="AE42" s="11" t="n">
        <f aca="false">IF(AE$1&lt;Units!$P41,0,IF(AND(Units!$K41=0,AE$1=Units!$O41),Units!$R41,IF(AND(AE$1&gt;=Units!$Q41,MOD(AE$1-Units!$Q41,12)=0),IF(AND(Units!$L41=1,AE$1=Units!$Q41),IF(Units!$J41&lt;&gt;"",Units!$J41,Mkt!AE42),Inputs!$B$15*Mkt!AE42+(1-Inputs!$B$15)*MIN(Mkt!AE42,AD42*(1+Inputs!$B$18))),AD42)))</f>
        <v>1570.75</v>
      </c>
      <c r="AF42" s="11" t="n">
        <f aca="false">IF(AF$1&lt;Units!$P41,0,IF(AND(Units!$K41=0,AF$1=Units!$O41),Units!$R41,IF(AND(AF$1&gt;=Units!$Q41,MOD(AF$1-Units!$Q41,12)=0),IF(AND(Units!$L41=1,AF$1=Units!$Q41),IF(Units!$J41&lt;&gt;"",Units!$J41,Mkt!AF42),Inputs!$B$15*Mkt!AF42+(1-Inputs!$B$15)*MIN(Mkt!AF42,AE42*(1+Inputs!$B$18))),AE42)))</f>
        <v>1570.75</v>
      </c>
      <c r="AG42" s="11" t="n">
        <f aca="false">IF(AG$1&lt;Units!$P41,0,IF(AND(Units!$K41=0,AG$1=Units!$O41),Units!$R41,IF(AND(AG$1&gt;=Units!$Q41,MOD(AG$1-Units!$Q41,12)=0),IF(AND(Units!$L41=1,AG$1=Units!$Q41),IF(Units!$J41&lt;&gt;"",Units!$J41,Mkt!AG42),Inputs!$B$15*Mkt!AG42+(1-Inputs!$B$15)*MIN(Mkt!AG42,AF42*(1+Inputs!$B$18))),AF42)))</f>
        <v>1570.75</v>
      </c>
      <c r="AH42" s="11" t="n">
        <f aca="false">IF(AH$1&lt;Units!$P41,0,IF(AND(Units!$K41=0,AH$1=Units!$O41),Units!$R41,IF(AND(AH$1&gt;=Units!$Q41,MOD(AH$1-Units!$Q41,12)=0),IF(AND(Units!$L41=1,AH$1=Units!$Q41),IF(Units!$J41&lt;&gt;"",Units!$J41,Mkt!AH42),Inputs!$B$15*Mkt!AH42+(1-Inputs!$B$15)*MIN(Mkt!AH42,AG42*(1+Inputs!$B$18))),AG42)))</f>
        <v>1617.8725</v>
      </c>
      <c r="AI42" s="11" t="n">
        <f aca="false">IF(AI$1&lt;Units!$P41,0,IF(AND(Units!$K41=0,AI$1=Units!$O41),Units!$R41,IF(AND(AI$1&gt;=Units!$Q41,MOD(AI$1-Units!$Q41,12)=0),IF(AND(Units!$L41=1,AI$1=Units!$Q41),IF(Units!$J41&lt;&gt;"",Units!$J41,Mkt!AI42),Inputs!$B$15*Mkt!AI42+(1-Inputs!$B$15)*MIN(Mkt!AI42,AH42*(1+Inputs!$B$18))),AH42)))</f>
        <v>1617.8725</v>
      </c>
      <c r="AJ42" s="11" t="n">
        <f aca="false">IF(AJ$1&lt;Units!$P41,0,IF(AND(Units!$K41=0,AJ$1=Units!$O41),Units!$R41,IF(AND(AJ$1&gt;=Units!$Q41,MOD(AJ$1-Units!$Q41,12)=0),IF(AND(Units!$L41=1,AJ$1=Units!$Q41),IF(Units!$J41&lt;&gt;"",Units!$J41,Mkt!AJ42),Inputs!$B$15*Mkt!AJ42+(1-Inputs!$B$15)*MIN(Mkt!AJ42,AI42*(1+Inputs!$B$18))),AI42)))</f>
        <v>1617.8725</v>
      </c>
      <c r="AK42" s="11" t="n">
        <f aca="false">IF(AK$1&lt;Units!$P41,0,IF(AND(Units!$K41=0,AK$1=Units!$O41),Units!$R41,IF(AND(AK$1&gt;=Units!$Q41,MOD(AK$1-Units!$Q41,12)=0),IF(AND(Units!$L41=1,AK$1=Units!$Q41),IF(Units!$J41&lt;&gt;"",Units!$J41,Mkt!AK42),Inputs!$B$15*Mkt!AK42+(1-Inputs!$B$15)*MIN(Mkt!AK42,AJ42*(1+Inputs!$B$18))),AJ42)))</f>
        <v>1617.8725</v>
      </c>
      <c r="AL42" s="11" t="n">
        <f aca="false">IF(AL$1&lt;Units!$P41,0,IF(AND(Units!$K41=0,AL$1=Units!$O41),Units!$R41,IF(AND(AL$1&gt;=Units!$Q41,MOD(AL$1-Units!$Q41,12)=0),IF(AND(Units!$L41=1,AL$1=Units!$Q41),IF(Units!$J41&lt;&gt;"",Units!$J41,Mkt!AL42),Inputs!$B$15*Mkt!AL42+(1-Inputs!$B$15)*MIN(Mkt!AL42,AK42*(1+Inputs!$B$18))),AK42)))</f>
        <v>1617.8725</v>
      </c>
      <c r="AM42" s="11" t="n">
        <f aca="false">IF(AM$1&lt;Units!$P41,0,IF(AND(Units!$K41=0,AM$1=Units!$O41),Units!$R41,IF(AND(AM$1&gt;=Units!$Q41,MOD(AM$1-Units!$Q41,12)=0),IF(AND(Units!$L41=1,AM$1=Units!$Q41),IF(Units!$J41&lt;&gt;"",Units!$J41,Mkt!AM42),Inputs!$B$15*Mkt!AM42+(1-Inputs!$B$15)*MIN(Mkt!AM42,AL42*(1+Inputs!$B$18))),AL42)))</f>
        <v>1617.8725</v>
      </c>
      <c r="AN42" s="11" t="n">
        <f aca="false">IF(AN$1&lt;Units!$P41,0,IF(AND(Units!$K41=0,AN$1=Units!$O41),Units!$R41,IF(AND(AN$1&gt;=Units!$Q41,MOD(AN$1-Units!$Q41,12)=0),IF(AND(Units!$L41=1,AN$1=Units!$Q41),IF(Units!$J41&lt;&gt;"",Units!$J41,Mkt!AN42),Inputs!$B$15*Mkt!AN42+(1-Inputs!$B$15)*MIN(Mkt!AN42,AM42*(1+Inputs!$B$18))),AM42)))</f>
        <v>1617.8725</v>
      </c>
      <c r="AO42" s="11" t="n">
        <f aca="false">IF(AO$1&lt;Units!$P41,0,IF(AND(Units!$K41=0,AO$1=Units!$O41),Units!$R41,IF(AND(AO$1&gt;=Units!$Q41,MOD(AO$1-Units!$Q41,12)=0),IF(AND(Units!$L41=1,AO$1=Units!$Q41),IF(Units!$J41&lt;&gt;"",Units!$J41,Mkt!AO42),Inputs!$B$15*Mkt!AO42+(1-Inputs!$B$15)*MIN(Mkt!AO42,AN42*(1+Inputs!$B$18))),AN42)))</f>
        <v>1617.8725</v>
      </c>
      <c r="AP42" s="11" t="n">
        <f aca="false">IF(AP$1&lt;Units!$P41,0,IF(AND(Units!$K41=0,AP$1=Units!$O41),Units!$R41,IF(AND(AP$1&gt;=Units!$Q41,MOD(AP$1-Units!$Q41,12)=0),IF(AND(Units!$L41=1,AP$1=Units!$Q41),IF(Units!$J41&lt;&gt;"",Units!$J41,Mkt!AP42),Inputs!$B$15*Mkt!AP42+(1-Inputs!$B$15)*MIN(Mkt!AP42,AO42*(1+Inputs!$B$18))),AO42)))</f>
        <v>1617.8725</v>
      </c>
      <c r="AQ42" s="11" t="n">
        <f aca="false">IF(AQ$1&lt;Units!$P41,0,IF(AND(Units!$K41=0,AQ$1=Units!$O41),Units!$R41,IF(AND(AQ$1&gt;=Units!$Q41,MOD(AQ$1-Units!$Q41,12)=0),IF(AND(Units!$L41=1,AQ$1=Units!$Q41),IF(Units!$J41&lt;&gt;"",Units!$J41,Mkt!AQ42),Inputs!$B$15*Mkt!AQ42+(1-Inputs!$B$15)*MIN(Mkt!AQ42,AP42*(1+Inputs!$B$18))),AP42)))</f>
        <v>1617.8725</v>
      </c>
      <c r="AR42" s="11" t="n">
        <f aca="false">IF(AR$1&lt;Units!$P41,0,IF(AND(Units!$K41=0,AR$1=Units!$O41),Units!$R41,IF(AND(AR$1&gt;=Units!$Q41,MOD(AR$1-Units!$Q41,12)=0),IF(AND(Units!$L41=1,AR$1=Units!$Q41),IF(Units!$J41&lt;&gt;"",Units!$J41,Mkt!AR42),Inputs!$B$15*Mkt!AR42+(1-Inputs!$B$15)*MIN(Mkt!AR42,AQ42*(1+Inputs!$B$18))),AQ42)))</f>
        <v>1617.8725</v>
      </c>
      <c r="AS42" s="11" t="n">
        <f aca="false">IF(AS$1&lt;Units!$P41,0,IF(AND(Units!$K41=0,AS$1=Units!$O41),Units!$R41,IF(AND(AS$1&gt;=Units!$Q41,MOD(AS$1-Units!$Q41,12)=0),IF(AND(Units!$L41=1,AS$1=Units!$Q41),IF(Units!$J41&lt;&gt;"",Units!$J41,Mkt!AS42),Inputs!$B$15*Mkt!AS42+(1-Inputs!$B$15)*MIN(Mkt!AS42,AR42*(1+Inputs!$B$18))),AR42)))</f>
        <v>1617.8725</v>
      </c>
      <c r="AT42" s="11" t="n">
        <f aca="false">IF(AT$1&lt;Units!$P41,0,IF(AND(Units!$K41=0,AT$1=Units!$O41),Units!$R41,IF(AND(AT$1&gt;=Units!$Q41,MOD(AT$1-Units!$Q41,12)=0),IF(AND(Units!$L41=1,AT$1=Units!$Q41),IF(Units!$J41&lt;&gt;"",Units!$J41,Mkt!AT42),Inputs!$B$15*Mkt!AT42+(1-Inputs!$B$15)*MIN(Mkt!AT42,AS42*(1+Inputs!$B$18))),AS42)))</f>
        <v>1666.408675</v>
      </c>
      <c r="AU42" s="11" t="n">
        <f aca="false">IF(AU$1&lt;Units!$P41,0,IF(AND(Units!$K41=0,AU$1=Units!$O41),Units!$R41,IF(AND(AU$1&gt;=Units!$Q41,MOD(AU$1-Units!$Q41,12)=0),IF(AND(Units!$L41=1,AU$1=Units!$Q41),IF(Units!$J41&lt;&gt;"",Units!$J41,Mkt!AU42),Inputs!$B$15*Mkt!AU42+(1-Inputs!$B$15)*MIN(Mkt!AU42,AT42*(1+Inputs!$B$18))),AT42)))</f>
        <v>1666.408675</v>
      </c>
      <c r="AV42" s="11" t="n">
        <f aca="false">IF(AV$1&lt;Units!$P41,0,IF(AND(Units!$K41=0,AV$1=Units!$O41),Units!$R41,IF(AND(AV$1&gt;=Units!$Q41,MOD(AV$1-Units!$Q41,12)=0),IF(AND(Units!$L41=1,AV$1=Units!$Q41),IF(Units!$J41&lt;&gt;"",Units!$J41,Mkt!AV42),Inputs!$B$15*Mkt!AV42+(1-Inputs!$B$15)*MIN(Mkt!AV42,AU42*(1+Inputs!$B$18))),AU42)))</f>
        <v>1666.408675</v>
      </c>
      <c r="AW42" s="11" t="n">
        <f aca="false">IF(AW$1&lt;Units!$P41,0,IF(AND(Units!$K41=0,AW$1=Units!$O41),Units!$R41,IF(AND(AW$1&gt;=Units!$Q41,MOD(AW$1-Units!$Q41,12)=0),IF(AND(Units!$L41=1,AW$1=Units!$Q41),IF(Units!$J41&lt;&gt;"",Units!$J41,Mkt!AW42),Inputs!$B$15*Mkt!AW42+(1-Inputs!$B$15)*MIN(Mkt!AW42,AV42*(1+Inputs!$B$18))),AV42)))</f>
        <v>1666.408675</v>
      </c>
      <c r="AX42" s="11" t="n">
        <f aca="false">IF(AX$1&lt;Units!$P41,0,IF(AND(Units!$K41=0,AX$1=Units!$O41),Units!$R41,IF(AND(AX$1&gt;=Units!$Q41,MOD(AX$1-Units!$Q41,12)=0),IF(AND(Units!$L41=1,AX$1=Units!$Q41),IF(Units!$J41&lt;&gt;"",Units!$J41,Mkt!AX42),Inputs!$B$15*Mkt!AX42+(1-Inputs!$B$15)*MIN(Mkt!AX42,AW42*(1+Inputs!$B$18))),AW42)))</f>
        <v>1666.408675</v>
      </c>
      <c r="AY42" s="11" t="n">
        <f aca="false">IF(AY$1&lt;Units!$P41,0,IF(AND(Units!$K41=0,AY$1=Units!$O41),Units!$R41,IF(AND(AY$1&gt;=Units!$Q41,MOD(AY$1-Units!$Q41,12)=0),IF(AND(Units!$L41=1,AY$1=Units!$Q41),IF(Units!$J41&lt;&gt;"",Units!$J41,Mkt!AY42),Inputs!$B$15*Mkt!AY42+(1-Inputs!$B$15)*MIN(Mkt!AY42,AX42*(1+Inputs!$B$18))),AX42)))</f>
        <v>1666.408675</v>
      </c>
      <c r="AZ42" s="11" t="n">
        <f aca="false">IF(AZ$1&lt;Units!$P41,0,IF(AND(Units!$K41=0,AZ$1=Units!$O41),Units!$R41,IF(AND(AZ$1&gt;=Units!$Q41,MOD(AZ$1-Units!$Q41,12)=0),IF(AND(Units!$L41=1,AZ$1=Units!$Q41),IF(Units!$J41&lt;&gt;"",Units!$J41,Mkt!AZ42),Inputs!$B$15*Mkt!AZ42+(1-Inputs!$B$15)*MIN(Mkt!AZ42,AY42*(1+Inputs!$B$18))),AY42)))</f>
        <v>1666.408675</v>
      </c>
      <c r="BA42" s="11" t="n">
        <f aca="false">IF(BA$1&lt;Units!$P41,0,IF(AND(Units!$K41=0,BA$1=Units!$O41),Units!$R41,IF(AND(BA$1&gt;=Units!$Q41,MOD(BA$1-Units!$Q41,12)=0),IF(AND(Units!$L41=1,BA$1=Units!$Q41),IF(Units!$J41&lt;&gt;"",Units!$J41,Mkt!BA42),Inputs!$B$15*Mkt!BA42+(1-Inputs!$B$15)*MIN(Mkt!BA42,AZ42*(1+Inputs!$B$18))),AZ42)))</f>
        <v>1666.408675</v>
      </c>
      <c r="BB42" s="11" t="n">
        <f aca="false">IF(BB$1&lt;Units!$P41,0,IF(AND(Units!$K41=0,BB$1=Units!$O41),Units!$R41,IF(AND(BB$1&gt;=Units!$Q41,MOD(BB$1-Units!$Q41,12)=0),IF(AND(Units!$L41=1,BB$1=Units!$Q41),IF(Units!$J41&lt;&gt;"",Units!$J41,Mkt!BB42),Inputs!$B$15*Mkt!BB42+(1-Inputs!$B$15)*MIN(Mkt!BB42,BA42*(1+Inputs!$B$18))),BA42)))</f>
        <v>1666.408675</v>
      </c>
      <c r="BC42" s="11" t="n">
        <f aca="false">IF(BC$1&lt;Units!$P41,0,IF(AND(Units!$K41=0,BC$1=Units!$O41),Units!$R41,IF(AND(BC$1&gt;=Units!$Q41,MOD(BC$1-Units!$Q41,12)=0),IF(AND(Units!$L41=1,BC$1=Units!$Q41),IF(Units!$J41&lt;&gt;"",Units!$J41,Mkt!BC42),Inputs!$B$15*Mkt!BC42+(1-Inputs!$B$15)*MIN(Mkt!BC42,BB42*(1+Inputs!$B$18))),BB42)))</f>
        <v>1666.408675</v>
      </c>
      <c r="BD42" s="11" t="n">
        <f aca="false">IF(BD$1&lt;Units!$P41,0,IF(AND(Units!$K41=0,BD$1=Units!$O41),Units!$R41,IF(AND(BD$1&gt;=Units!$Q41,MOD(BD$1-Units!$Q41,12)=0),IF(AND(Units!$L41=1,BD$1=Units!$Q41),IF(Units!$J41&lt;&gt;"",Units!$J41,Mkt!BD42),Inputs!$B$15*Mkt!BD42+(1-Inputs!$B$15)*MIN(Mkt!BD42,BC42*(1+Inputs!$B$18))),BC42)))</f>
        <v>1666.408675</v>
      </c>
      <c r="BE42" s="11" t="n">
        <f aca="false">IF(BE$1&lt;Units!$P41,0,IF(AND(Units!$K41=0,BE$1=Units!$O41),Units!$R41,IF(AND(BE$1&gt;=Units!$Q41,MOD(BE$1-Units!$Q41,12)=0),IF(AND(Units!$L41=1,BE$1=Units!$Q41),IF(Units!$J41&lt;&gt;"",Units!$J41,Mkt!BE42),Inputs!$B$15*Mkt!BE42+(1-Inputs!$B$15)*MIN(Mkt!BE42,BD42*(1+Inputs!$B$18))),BD42)))</f>
        <v>1666.408675</v>
      </c>
      <c r="BF42" s="11" t="n">
        <f aca="false">IF(BF$1&lt;Units!$P41,0,IF(AND(Units!$K41=0,BF$1=Units!$O41),Units!$R41,IF(AND(BF$1&gt;=Units!$Q41,MOD(BF$1-Units!$Q41,12)=0),IF(AND(Units!$L41=1,BF$1=Units!$Q41),IF(Units!$J41&lt;&gt;"",Units!$J41,Mkt!BF42),Inputs!$B$15*Mkt!BF42+(1-Inputs!$B$15)*MIN(Mkt!BF42,BE42*(1+Inputs!$B$18))),BE42)))</f>
        <v>1716.40093525</v>
      </c>
      <c r="BG42" s="11" t="n">
        <f aca="false">IF(BG$1&lt;Units!$P41,0,IF(AND(Units!$K41=0,BG$1=Units!$O41),Units!$R41,IF(AND(BG$1&gt;=Units!$Q41,MOD(BG$1-Units!$Q41,12)=0),IF(AND(Units!$L41=1,BG$1=Units!$Q41),IF(Units!$J41&lt;&gt;"",Units!$J41,Mkt!BG42),Inputs!$B$15*Mkt!BG42+(1-Inputs!$B$15)*MIN(Mkt!BG42,BF42*(1+Inputs!$B$18))),BF42)))</f>
        <v>1716.40093525</v>
      </c>
      <c r="BH42" s="11" t="n">
        <f aca="false">IF(BH$1&lt;Units!$P41,0,IF(AND(Units!$K41=0,BH$1=Units!$O41),Units!$R41,IF(AND(BH$1&gt;=Units!$Q41,MOD(BH$1-Units!$Q41,12)=0),IF(AND(Units!$L41=1,BH$1=Units!$Q41),IF(Units!$J41&lt;&gt;"",Units!$J41,Mkt!BH42),Inputs!$B$15*Mkt!BH42+(1-Inputs!$B$15)*MIN(Mkt!BH42,BG42*(1+Inputs!$B$18))),BG42)))</f>
        <v>1716.40093525</v>
      </c>
      <c r="BI42" s="11" t="n">
        <f aca="false">IF(BI$1&lt;Units!$P41,0,IF(AND(Units!$K41=0,BI$1=Units!$O41),Units!$R41,IF(AND(BI$1&gt;=Units!$Q41,MOD(BI$1-Units!$Q41,12)=0),IF(AND(Units!$L41=1,BI$1=Units!$Q41),IF(Units!$J41&lt;&gt;"",Units!$J41,Mkt!BI42),Inputs!$B$15*Mkt!BI42+(1-Inputs!$B$15)*MIN(Mkt!BI42,BH42*(1+Inputs!$B$18))),BH42)))</f>
        <v>1716.40093525</v>
      </c>
      <c r="BJ42" s="11" t="n">
        <f aca="false">IF(BJ$1&lt;Units!$P41,0,IF(AND(Units!$K41=0,BJ$1=Units!$O41),Units!$R41,IF(AND(BJ$1&gt;=Units!$Q41,MOD(BJ$1-Units!$Q41,12)=0),IF(AND(Units!$L41=1,BJ$1=Units!$Q41),IF(Units!$J41&lt;&gt;"",Units!$J41,Mkt!BJ42),Inputs!$B$15*Mkt!BJ42+(1-Inputs!$B$15)*MIN(Mkt!BJ42,BI42*(1+Inputs!$B$18))),BI42)))</f>
        <v>1716.40093525</v>
      </c>
      <c r="BK42" s="11" t="n">
        <f aca="false">IF(BK$1&lt;Units!$P41,0,IF(AND(Units!$K41=0,BK$1=Units!$O41),Units!$R41,IF(AND(BK$1&gt;=Units!$Q41,MOD(BK$1-Units!$Q41,12)=0),IF(AND(Units!$L41=1,BK$1=Units!$Q41),IF(Units!$J41&lt;&gt;"",Units!$J41,Mkt!BK42),Inputs!$B$15*Mkt!BK42+(1-Inputs!$B$15)*MIN(Mkt!BK42,BJ42*(1+Inputs!$B$18))),BJ42)))</f>
        <v>1716.40093525</v>
      </c>
      <c r="BL42" s="11" t="n">
        <f aca="false">IF(BL$1&lt;Units!$P41,0,IF(AND(Units!$K41=0,BL$1=Units!$O41),Units!$R41,IF(AND(BL$1&gt;=Units!$Q41,MOD(BL$1-Units!$Q41,12)=0),IF(AND(Units!$L41=1,BL$1=Units!$Q41),IF(Units!$J41&lt;&gt;"",Units!$J41,Mkt!BL42),Inputs!$B$15*Mkt!BL42+(1-Inputs!$B$15)*MIN(Mkt!BL42,BK42*(1+Inputs!$B$18))),BK42)))</f>
        <v>1716.40093525</v>
      </c>
      <c r="BM42" s="11" t="n">
        <f aca="false">IF(BM$1&lt;Units!$P41,0,IF(AND(Units!$K41=0,BM$1=Units!$O41),Units!$R41,IF(AND(BM$1&gt;=Units!$Q41,MOD(BM$1-Units!$Q41,12)=0),IF(AND(Units!$L41=1,BM$1=Units!$Q41),IF(Units!$J41&lt;&gt;"",Units!$J41,Mkt!BM42),Inputs!$B$15*Mkt!BM42+(1-Inputs!$B$15)*MIN(Mkt!BM42,BL42*(1+Inputs!$B$18))),BL42)))</f>
        <v>1716.40093525</v>
      </c>
      <c r="BN42" s="11" t="n">
        <f aca="false">IF(BN$1&lt;Units!$P41,0,IF(AND(Units!$K41=0,BN$1=Units!$O41),Units!$R41,IF(AND(BN$1&gt;=Units!$Q41,MOD(BN$1-Units!$Q41,12)=0),IF(AND(Units!$L41=1,BN$1=Units!$Q41),IF(Units!$J41&lt;&gt;"",Units!$J41,Mkt!BN42),Inputs!$B$15*Mkt!BN42+(1-Inputs!$B$15)*MIN(Mkt!BN42,BM42*(1+Inputs!$B$18))),BM42)))</f>
        <v>1716.40093525</v>
      </c>
      <c r="BO42" s="11" t="n">
        <f aca="false">IF(BO$1&lt;Units!$P41,0,IF(AND(Units!$K41=0,BO$1=Units!$O41),Units!$R41,IF(AND(BO$1&gt;=Units!$Q41,MOD(BO$1-Units!$Q41,12)=0),IF(AND(Units!$L41=1,BO$1=Units!$Q41),IF(Units!$J41&lt;&gt;"",Units!$J41,Mkt!BO42),Inputs!$B$15*Mkt!BO42+(1-Inputs!$B$15)*MIN(Mkt!BO42,BN42*(1+Inputs!$B$18))),BN42)))</f>
        <v>1716.40093525</v>
      </c>
      <c r="BP42" s="11" t="n">
        <f aca="false">IF(BP$1&lt;Units!$P41,0,IF(AND(Units!$K41=0,BP$1=Units!$O41),Units!$R41,IF(AND(BP$1&gt;=Units!$Q41,MOD(BP$1-Units!$Q41,12)=0),IF(AND(Units!$L41=1,BP$1=Units!$Q41),IF(Units!$J41&lt;&gt;"",Units!$J41,Mkt!BP42),Inputs!$B$15*Mkt!BP42+(1-Inputs!$B$15)*MIN(Mkt!BP42,BO42*(1+Inputs!$B$18))),BO42)))</f>
        <v>1716.40093525</v>
      </c>
      <c r="BQ42" s="11" t="n">
        <f aca="false">IF(BQ$1&lt;Units!$P41,0,IF(AND(Units!$K41=0,BQ$1=Units!$O41),Units!$R41,IF(AND(BQ$1&gt;=Units!$Q41,MOD(BQ$1-Units!$Q41,12)=0),IF(AND(Units!$L41=1,BQ$1=Units!$Q41),IF(Units!$J41&lt;&gt;"",Units!$J41,Mkt!BQ42),Inputs!$B$15*Mkt!BQ42+(1-Inputs!$B$15)*MIN(Mkt!BQ42,BP42*(1+Inputs!$B$18))),BP42)))</f>
        <v>1716.40093525</v>
      </c>
      <c r="BR42" s="11" t="n">
        <f aca="false">IF(BR$1&lt;Units!$P41,0,IF(AND(Units!$K41=0,BR$1=Units!$O41),Units!$R41,IF(AND(BR$1&gt;=Units!$Q41,MOD(BR$1-Units!$Q41,12)=0),IF(AND(Units!$L41=1,BR$1=Units!$Q41),IF(Units!$J41&lt;&gt;"",Units!$J41,Mkt!BR42),Inputs!$B$15*Mkt!BR42+(1-Inputs!$B$15)*MIN(Mkt!BR42,BQ42*(1+Inputs!$B$18))),BQ42)))</f>
        <v>1767.8929633075</v>
      </c>
      <c r="BS42" s="11" t="n">
        <f aca="false">IF(BS$1&lt;Units!$P41,0,IF(AND(Units!$K41=0,BS$1=Units!$O41),Units!$R41,IF(AND(BS$1&gt;=Units!$Q41,MOD(BS$1-Units!$Q41,12)=0),IF(AND(Units!$L41=1,BS$1=Units!$Q41),IF(Units!$J41&lt;&gt;"",Units!$J41,Mkt!BS42),Inputs!$B$15*Mkt!BS42+(1-Inputs!$B$15)*MIN(Mkt!BS42,BR42*(1+Inputs!$B$18))),BR42)))</f>
        <v>1767.8929633075</v>
      </c>
      <c r="BT42" s="11" t="n">
        <f aca="false">IF(BT$1&lt;Units!$P41,0,IF(AND(Units!$K41=0,BT$1=Units!$O41),Units!$R41,IF(AND(BT$1&gt;=Units!$Q41,MOD(BT$1-Units!$Q41,12)=0),IF(AND(Units!$L41=1,BT$1=Units!$Q41),IF(Units!$J41&lt;&gt;"",Units!$J41,Mkt!BT42),Inputs!$B$15*Mkt!BT42+(1-Inputs!$B$15)*MIN(Mkt!BT42,BS42*(1+Inputs!$B$18))),BS42)))</f>
        <v>1767.8929633075</v>
      </c>
      <c r="BU42" s="11" t="n">
        <f aca="false">IF(BU$1&lt;Units!$P41,0,IF(AND(Units!$K41=0,BU$1=Units!$O41),Units!$R41,IF(AND(BU$1&gt;=Units!$Q41,MOD(BU$1-Units!$Q41,12)=0),IF(AND(Units!$L41=1,BU$1=Units!$Q41),IF(Units!$J41&lt;&gt;"",Units!$J41,Mkt!BU42),Inputs!$B$15*Mkt!BU42+(1-Inputs!$B$15)*MIN(Mkt!BU42,BT42*(1+Inputs!$B$18))),BT42)))</f>
        <v>1767.8929633075</v>
      </c>
      <c r="BV42" s="11" t="n">
        <f aca="false">IF(BV$1&lt;Units!$P41,0,IF(AND(Units!$K41=0,BV$1=Units!$O41),Units!$R41,IF(AND(BV$1&gt;=Units!$Q41,MOD(BV$1-Units!$Q41,12)=0),IF(AND(Units!$L41=1,BV$1=Units!$Q41),IF(Units!$J41&lt;&gt;"",Units!$J41,Mkt!BV42),Inputs!$B$15*Mkt!BV42+(1-Inputs!$B$15)*MIN(Mkt!BV42,BU42*(1+Inputs!$B$18))),BU42)))</f>
        <v>1767.8929633075</v>
      </c>
      <c r="BW42" s="11" t="n">
        <f aca="false">IF(BW$1&lt;Units!$P41,0,IF(AND(Units!$K41=0,BW$1=Units!$O41),Units!$R41,IF(AND(BW$1&gt;=Units!$Q41,MOD(BW$1-Units!$Q41,12)=0),IF(AND(Units!$L41=1,BW$1=Units!$Q41),IF(Units!$J41&lt;&gt;"",Units!$J41,Mkt!BW42),Inputs!$B$15*Mkt!BW42+(1-Inputs!$B$15)*MIN(Mkt!BW42,BV42*(1+Inputs!$B$18))),BV42)))</f>
        <v>1767.8929633075</v>
      </c>
      <c r="BX42" s="11" t="n">
        <f aca="false">IF(BX$1&lt;Units!$P41,0,IF(AND(Units!$K41=0,BX$1=Units!$O41),Units!$R41,IF(AND(BX$1&gt;=Units!$Q41,MOD(BX$1-Units!$Q41,12)=0),IF(AND(Units!$L41=1,BX$1=Units!$Q41),IF(Units!$J41&lt;&gt;"",Units!$J41,Mkt!BX42),Inputs!$B$15*Mkt!BX42+(1-Inputs!$B$15)*MIN(Mkt!BX42,BW42*(1+Inputs!$B$18))),BW42)))</f>
        <v>1767.8929633075</v>
      </c>
      <c r="BY42" s="11" t="n">
        <f aca="false">IF(BY$1&lt;Units!$P41,0,IF(AND(Units!$K41=0,BY$1=Units!$O41),Units!$R41,IF(AND(BY$1&gt;=Units!$Q41,MOD(BY$1-Units!$Q41,12)=0),IF(AND(Units!$L41=1,BY$1=Units!$Q41),IF(Units!$J41&lt;&gt;"",Units!$J41,Mkt!BY42),Inputs!$B$15*Mkt!BY42+(1-Inputs!$B$15)*MIN(Mkt!BY42,BX42*(1+Inputs!$B$18))),BX42)))</f>
        <v>1767.8929633075</v>
      </c>
      <c r="BZ42" s="11" t="n">
        <f aca="false">IF(BZ$1&lt;Units!$P41,0,IF(AND(Units!$K41=0,BZ$1=Units!$O41),Units!$R41,IF(AND(BZ$1&gt;=Units!$Q41,MOD(BZ$1-Units!$Q41,12)=0),IF(AND(Units!$L41=1,BZ$1=Units!$Q41),IF(Units!$J41&lt;&gt;"",Units!$J41,Mkt!BZ42),Inputs!$B$15*Mkt!BZ42+(1-Inputs!$B$15)*MIN(Mkt!BZ42,BY42*(1+Inputs!$B$18))),BY42)))</f>
        <v>1767.8929633075</v>
      </c>
      <c r="CA42" s="11" t="n">
        <f aca="false">IF(CA$1&lt;Units!$P41,0,IF(AND(Units!$K41=0,CA$1=Units!$O41),Units!$R41,IF(AND(CA$1&gt;=Units!$Q41,MOD(CA$1-Units!$Q41,12)=0),IF(AND(Units!$L41=1,CA$1=Units!$Q41),IF(Units!$J41&lt;&gt;"",Units!$J41,Mkt!CA42),Inputs!$B$15*Mkt!CA42+(1-Inputs!$B$15)*MIN(Mkt!CA42,BZ42*(1+Inputs!$B$18))),BZ42)))</f>
        <v>1767.8929633075</v>
      </c>
      <c r="CB42" s="11" t="n">
        <f aca="false">IF(CB$1&lt;Units!$P41,0,IF(AND(Units!$K41=0,CB$1=Units!$O41),Units!$R41,IF(AND(CB$1&gt;=Units!$Q41,MOD(CB$1-Units!$Q41,12)=0),IF(AND(Units!$L41=1,CB$1=Units!$Q41),IF(Units!$J41&lt;&gt;"",Units!$J41,Mkt!CB42),Inputs!$B$15*Mkt!CB42+(1-Inputs!$B$15)*MIN(Mkt!CB42,CA42*(1+Inputs!$B$18))),CA42)))</f>
        <v>1767.8929633075</v>
      </c>
      <c r="CC42" s="11" t="n">
        <f aca="false">IF(CC$1&lt;Units!$P41,0,IF(AND(Units!$K41=0,CC$1=Units!$O41),Units!$R41,IF(AND(CC$1&gt;=Units!$Q41,MOD(CC$1-Units!$Q41,12)=0),IF(AND(Units!$L41=1,CC$1=Units!$Q41),IF(Units!$J41&lt;&gt;"",Units!$J41,Mkt!CC42),Inputs!$B$15*Mkt!CC42+(1-Inputs!$B$15)*MIN(Mkt!CC42,CB42*(1+Inputs!$B$18))),CB42)))</f>
        <v>1767.8929633075</v>
      </c>
      <c r="CD42" s="11" t="n">
        <f aca="false">IF(CD$1&lt;Units!$P41,0,IF(AND(Units!$K41=0,CD$1=Units!$O41),Units!$R41,IF(AND(CD$1&gt;=Units!$Q41,MOD(CD$1-Units!$Q41,12)=0),IF(AND(Units!$L41=1,CD$1=Units!$Q41),IF(Units!$J41&lt;&gt;"",Units!$J41,Mkt!CD42),Inputs!$B$15*Mkt!CD42+(1-Inputs!$B$15)*MIN(Mkt!CD42,CC42*(1+Inputs!$B$18))),CC42)))</f>
        <v>1820.92975220673</v>
      </c>
      <c r="CE42" s="11" t="n">
        <f aca="false">IF(CE$1&lt;Units!$P41,0,IF(AND(Units!$K41=0,CE$1=Units!$O41),Units!$R41,IF(AND(CE$1&gt;=Units!$Q41,MOD(CE$1-Units!$Q41,12)=0),IF(AND(Units!$L41=1,CE$1=Units!$Q41),IF(Units!$J41&lt;&gt;"",Units!$J41,Mkt!CE42),Inputs!$B$15*Mkt!CE42+(1-Inputs!$B$15)*MIN(Mkt!CE42,CD42*(1+Inputs!$B$18))),CD42)))</f>
        <v>1820.92975220673</v>
      </c>
      <c r="CF42" s="11" t="n">
        <f aca="false">IF(CF$1&lt;Units!$P41,0,IF(AND(Units!$K41=0,CF$1=Units!$O41),Units!$R41,IF(AND(CF$1&gt;=Units!$Q41,MOD(CF$1-Units!$Q41,12)=0),IF(AND(Units!$L41=1,CF$1=Units!$Q41),IF(Units!$J41&lt;&gt;"",Units!$J41,Mkt!CF42),Inputs!$B$15*Mkt!CF42+(1-Inputs!$B$15)*MIN(Mkt!CF42,CE42*(1+Inputs!$B$18))),CE42)))</f>
        <v>1820.92975220673</v>
      </c>
      <c r="CG42" s="11" t="n">
        <f aca="false">IF(CG$1&lt;Units!$P41,0,IF(AND(Units!$K41=0,CG$1=Units!$O41),Units!$R41,IF(AND(CG$1&gt;=Units!$Q41,MOD(CG$1-Units!$Q41,12)=0),IF(AND(Units!$L41=1,CG$1=Units!$Q41),IF(Units!$J41&lt;&gt;"",Units!$J41,Mkt!CG42),Inputs!$B$15*Mkt!CG42+(1-Inputs!$B$15)*MIN(Mkt!CG42,CF42*(1+Inputs!$B$18))),CF42)))</f>
        <v>1820.92975220673</v>
      </c>
      <c r="CH42" s="11" t="n">
        <f aca="false">IF(CH$1&lt;Units!$P41,0,IF(AND(Units!$K41=0,CH$1=Units!$O41),Units!$R41,IF(AND(CH$1&gt;=Units!$Q41,MOD(CH$1-Units!$Q41,12)=0),IF(AND(Units!$L41=1,CH$1=Units!$Q41),IF(Units!$J41&lt;&gt;"",Units!$J41,Mkt!CH42),Inputs!$B$15*Mkt!CH42+(1-Inputs!$B$15)*MIN(Mkt!CH42,CG42*(1+Inputs!$B$18))),CG42)))</f>
        <v>1820.92975220673</v>
      </c>
      <c r="CI42" s="11" t="n">
        <f aca="false">IF(CI$1&lt;Units!$P41,0,IF(AND(Units!$K41=0,CI$1=Units!$O41),Units!$R41,IF(AND(CI$1&gt;=Units!$Q41,MOD(CI$1-Units!$Q41,12)=0),IF(AND(Units!$L41=1,CI$1=Units!$Q41),IF(Units!$J41&lt;&gt;"",Units!$J41,Mkt!CI42),Inputs!$B$15*Mkt!CI42+(1-Inputs!$B$15)*MIN(Mkt!CI42,CH42*(1+Inputs!$B$18))),CH42)))</f>
        <v>1820.92975220673</v>
      </c>
      <c r="CJ42" s="11" t="n">
        <f aca="false">IF(CJ$1&lt;Units!$P41,0,IF(AND(Units!$K41=0,CJ$1=Units!$O41),Units!$R41,IF(AND(CJ$1&gt;=Units!$Q41,MOD(CJ$1-Units!$Q41,12)=0),IF(AND(Units!$L41=1,CJ$1=Units!$Q41),IF(Units!$J41&lt;&gt;"",Units!$J41,Mkt!CJ42),Inputs!$B$15*Mkt!CJ42+(1-Inputs!$B$15)*MIN(Mkt!CJ42,CI42*(1+Inputs!$B$18))),CI42)))</f>
        <v>1820.92975220673</v>
      </c>
      <c r="CK42" s="11" t="n">
        <f aca="false">IF(CK$1&lt;Units!$P41,0,IF(AND(Units!$K41=0,CK$1=Units!$O41),Units!$R41,IF(AND(CK$1&gt;=Units!$Q41,MOD(CK$1-Units!$Q41,12)=0),IF(AND(Units!$L41=1,CK$1=Units!$Q41),IF(Units!$J41&lt;&gt;"",Units!$J41,Mkt!CK42),Inputs!$B$15*Mkt!CK42+(1-Inputs!$B$15)*MIN(Mkt!CK42,CJ42*(1+Inputs!$B$18))),CJ42)))</f>
        <v>1820.92975220673</v>
      </c>
      <c r="CL42" s="11" t="n">
        <f aca="false">IF(CL$1&lt;Units!$P41,0,IF(AND(Units!$K41=0,CL$1=Units!$O41),Units!$R41,IF(AND(CL$1&gt;=Units!$Q41,MOD(CL$1-Units!$Q41,12)=0),IF(AND(Units!$L41=1,CL$1=Units!$Q41),IF(Units!$J41&lt;&gt;"",Units!$J41,Mkt!CL42),Inputs!$B$15*Mkt!CL42+(1-Inputs!$B$15)*MIN(Mkt!CL42,CK42*(1+Inputs!$B$18))),CK42)))</f>
        <v>1820.92975220673</v>
      </c>
      <c r="CM42" s="11" t="n">
        <f aca="false">IF(CM$1&lt;Units!$P41,0,IF(AND(Units!$K41=0,CM$1=Units!$O41),Units!$R41,IF(AND(CM$1&gt;=Units!$Q41,MOD(CM$1-Units!$Q41,12)=0),IF(AND(Units!$L41=1,CM$1=Units!$Q41),IF(Units!$J41&lt;&gt;"",Units!$J41,Mkt!CM42),Inputs!$B$15*Mkt!CM42+(1-Inputs!$B$15)*MIN(Mkt!CM42,CL42*(1+Inputs!$B$18))),CL42)))</f>
        <v>1820.92975220673</v>
      </c>
      <c r="CN42" s="11" t="n">
        <f aca="false">IF(CN$1&lt;Units!$P41,0,IF(AND(Units!$K41=0,CN$1=Units!$O41),Units!$R41,IF(AND(CN$1&gt;=Units!$Q41,MOD(CN$1-Units!$Q41,12)=0),IF(AND(Units!$L41=1,CN$1=Units!$Q41),IF(Units!$J41&lt;&gt;"",Units!$J41,Mkt!CN42),Inputs!$B$15*Mkt!CN42+(1-Inputs!$B$15)*MIN(Mkt!CN42,CM42*(1+Inputs!$B$18))),CM42)))</f>
        <v>1820.92975220673</v>
      </c>
      <c r="CO42" s="11" t="n">
        <f aca="false">IF(CO$1&lt;Units!$P41,0,IF(AND(Units!$K41=0,CO$1=Units!$O41),Units!$R41,IF(AND(CO$1&gt;=Units!$Q41,MOD(CO$1-Units!$Q41,12)=0),IF(AND(Units!$L41=1,CO$1=Units!$Q41),IF(Units!$J41&lt;&gt;"",Units!$J41,Mkt!CO42),Inputs!$B$15*Mkt!CO42+(1-Inputs!$B$15)*MIN(Mkt!CO42,CN42*(1+Inputs!$B$18))),CN42)))</f>
        <v>1820.92975220673</v>
      </c>
      <c r="CP42" s="11" t="n">
        <f aca="false">IF(CP$1&lt;Units!$P41,0,IF(AND(Units!$K41=0,CP$1=Units!$O41),Units!$R41,IF(AND(CP$1&gt;=Units!$Q41,MOD(CP$1-Units!$Q41,12)=0),IF(AND(Units!$L41=1,CP$1=Units!$Q41),IF(Units!$J41&lt;&gt;"",Units!$J41,Mkt!CP42),Inputs!$B$15*Mkt!CP42+(1-Inputs!$B$15)*MIN(Mkt!CP42,CO42*(1+Inputs!$B$18))),CO42)))</f>
        <v>1875.55764477293</v>
      </c>
      <c r="CQ42" s="11" t="n">
        <f aca="false">IF(CQ$1&lt;Units!$P41,0,IF(AND(Units!$K41=0,CQ$1=Units!$O41),Units!$R41,IF(AND(CQ$1&gt;=Units!$Q41,MOD(CQ$1-Units!$Q41,12)=0),IF(AND(Units!$L41=1,CQ$1=Units!$Q41),IF(Units!$J41&lt;&gt;"",Units!$J41,Mkt!CQ42),Inputs!$B$15*Mkt!CQ42+(1-Inputs!$B$15)*MIN(Mkt!CQ42,CP42*(1+Inputs!$B$18))),CP42)))</f>
        <v>1875.55764477293</v>
      </c>
      <c r="CR42" s="11" t="n">
        <f aca="false">IF(CR$1&lt;Units!$P41,0,IF(AND(Units!$K41=0,CR$1=Units!$O41),Units!$R41,IF(AND(CR$1&gt;=Units!$Q41,MOD(CR$1-Units!$Q41,12)=0),IF(AND(Units!$L41=1,CR$1=Units!$Q41),IF(Units!$J41&lt;&gt;"",Units!$J41,Mkt!CR42),Inputs!$B$15*Mkt!CR42+(1-Inputs!$B$15)*MIN(Mkt!CR42,CQ42*(1+Inputs!$B$18))),CQ42)))</f>
        <v>1875.55764477293</v>
      </c>
      <c r="CS42" s="11" t="n">
        <f aca="false">IF(CS$1&lt;Units!$P41,0,IF(AND(Units!$K41=0,CS$1=Units!$O41),Units!$R41,IF(AND(CS$1&gt;=Units!$Q41,MOD(CS$1-Units!$Q41,12)=0),IF(AND(Units!$L41=1,CS$1=Units!$Q41),IF(Units!$J41&lt;&gt;"",Units!$J41,Mkt!CS42),Inputs!$B$15*Mkt!CS42+(1-Inputs!$B$15)*MIN(Mkt!CS42,CR42*(1+Inputs!$B$18))),CR42)))</f>
        <v>1875.55764477293</v>
      </c>
      <c r="CT42" s="11" t="n">
        <f aca="false">IF(CT$1&lt;Units!$P41,0,IF(AND(Units!$K41=0,CT$1=Units!$O41),Units!$R41,IF(AND(CT$1&gt;=Units!$Q41,MOD(CT$1-Units!$Q41,12)=0),IF(AND(Units!$L41=1,CT$1=Units!$Q41),IF(Units!$J41&lt;&gt;"",Units!$J41,Mkt!CT42),Inputs!$B$15*Mkt!CT42+(1-Inputs!$B$15)*MIN(Mkt!CT42,CS42*(1+Inputs!$B$18))),CS42)))</f>
        <v>1875.55764477293</v>
      </c>
      <c r="CU42" s="11" t="n">
        <f aca="false">IF(CU$1&lt;Units!$P41,0,IF(AND(Units!$K41=0,CU$1=Units!$O41),Units!$R41,IF(AND(CU$1&gt;=Units!$Q41,MOD(CU$1-Units!$Q41,12)=0),IF(AND(Units!$L41=1,CU$1=Units!$Q41),IF(Units!$J41&lt;&gt;"",Units!$J41,Mkt!CU42),Inputs!$B$15*Mkt!CU42+(1-Inputs!$B$15)*MIN(Mkt!CU42,CT42*(1+Inputs!$B$18))),CT42)))</f>
        <v>1875.55764477293</v>
      </c>
      <c r="CV42" s="11" t="n">
        <f aca="false">IF(CV$1&lt;Units!$P41,0,IF(AND(Units!$K41=0,CV$1=Units!$O41),Units!$R41,IF(AND(CV$1&gt;=Units!$Q41,MOD(CV$1-Units!$Q41,12)=0),IF(AND(Units!$L41=1,CV$1=Units!$Q41),IF(Units!$J41&lt;&gt;"",Units!$J41,Mkt!CV42),Inputs!$B$15*Mkt!CV42+(1-Inputs!$B$15)*MIN(Mkt!CV42,CU42*(1+Inputs!$B$18))),CU42)))</f>
        <v>1875.55764477293</v>
      </c>
      <c r="CW42" s="11" t="n">
        <f aca="false">IF(CW$1&lt;Units!$P41,0,IF(AND(Units!$K41=0,CW$1=Units!$O41),Units!$R41,IF(AND(CW$1&gt;=Units!$Q41,MOD(CW$1-Units!$Q41,12)=0),IF(AND(Units!$L41=1,CW$1=Units!$Q41),IF(Units!$J41&lt;&gt;"",Units!$J41,Mkt!CW42),Inputs!$B$15*Mkt!CW42+(1-Inputs!$B$15)*MIN(Mkt!CW42,CV42*(1+Inputs!$B$18))),CV42)))</f>
        <v>1875.55764477293</v>
      </c>
      <c r="CX42" s="11" t="n">
        <f aca="false">IF(CX$1&lt;Units!$P41,0,IF(AND(Units!$K41=0,CX$1=Units!$O41),Units!$R41,IF(AND(CX$1&gt;=Units!$Q41,MOD(CX$1-Units!$Q41,12)=0),IF(AND(Units!$L41=1,CX$1=Units!$Q41),IF(Units!$J41&lt;&gt;"",Units!$J41,Mkt!CX42),Inputs!$B$15*Mkt!CX42+(1-Inputs!$B$15)*MIN(Mkt!CX42,CW42*(1+Inputs!$B$18))),CW42)))</f>
        <v>1875.55764477293</v>
      </c>
      <c r="CY42" s="11" t="n">
        <f aca="false">IF(CY$1&lt;Units!$P41,0,IF(AND(Units!$K41=0,CY$1=Units!$O41),Units!$R41,IF(AND(CY$1&gt;=Units!$Q41,MOD(CY$1-Units!$Q41,12)=0),IF(AND(Units!$L41=1,CY$1=Units!$Q41),IF(Units!$J41&lt;&gt;"",Units!$J41,Mkt!CY42),Inputs!$B$15*Mkt!CY42+(1-Inputs!$B$15)*MIN(Mkt!CY42,CX42*(1+Inputs!$B$18))),CX42)))</f>
        <v>1875.55764477293</v>
      </c>
      <c r="CZ42" s="11" t="n">
        <f aca="false">IF(CZ$1&lt;Units!$P41,0,IF(AND(Units!$K41=0,CZ$1=Units!$O41),Units!$R41,IF(AND(CZ$1&gt;=Units!$Q41,MOD(CZ$1-Units!$Q41,12)=0),IF(AND(Units!$L41=1,CZ$1=Units!$Q41),IF(Units!$J41&lt;&gt;"",Units!$J41,Mkt!CZ42),Inputs!$B$15*Mkt!CZ42+(1-Inputs!$B$15)*MIN(Mkt!CZ42,CY42*(1+Inputs!$B$18))),CY42)))</f>
        <v>1875.55764477293</v>
      </c>
      <c r="DA42" s="11" t="n">
        <f aca="false">IF(DA$1&lt;Units!$P41,0,IF(AND(Units!$K41=0,DA$1=Units!$O41),Units!$R41,IF(AND(DA$1&gt;=Units!$Q41,MOD(DA$1-Units!$Q41,12)=0),IF(AND(Units!$L41=1,DA$1=Units!$Q41),IF(Units!$J41&lt;&gt;"",Units!$J41,Mkt!DA42),Inputs!$B$15*Mkt!DA42+(1-Inputs!$B$15)*MIN(Mkt!DA42,CZ42*(1+Inputs!$B$18))),CZ42)))</f>
        <v>1875.55764477293</v>
      </c>
      <c r="DB42" s="11" t="n">
        <f aca="false">IF(DB$1&lt;Units!$P41,0,IF(AND(Units!$K41=0,DB$1=Units!$O41),Units!$R41,IF(AND(DB$1&gt;=Units!$Q41,MOD(DB$1-Units!$Q41,12)=0),IF(AND(Units!$L41=1,DB$1=Units!$Q41),IF(Units!$J41&lt;&gt;"",Units!$J41,Mkt!DB42),Inputs!$B$15*Mkt!DB42+(1-Inputs!$B$15)*MIN(Mkt!DB42,DA42*(1+Inputs!$B$18))),DA42)))</f>
        <v>1931.82437411612</v>
      </c>
      <c r="DC42" s="11" t="n">
        <f aca="false">IF(DC$1&lt;Units!$P41,0,IF(AND(Units!$K41=0,DC$1=Units!$O41),Units!$R41,IF(AND(DC$1&gt;=Units!$Q41,MOD(DC$1-Units!$Q41,12)=0),IF(AND(Units!$L41=1,DC$1=Units!$Q41),IF(Units!$J41&lt;&gt;"",Units!$J41,Mkt!DC42),Inputs!$B$15*Mkt!DC42+(1-Inputs!$B$15)*MIN(Mkt!DC42,DB42*(1+Inputs!$B$18))),DB42)))</f>
        <v>1931.82437411612</v>
      </c>
      <c r="DD42" s="11" t="n">
        <f aca="false">IF(DD$1&lt;Units!$P41,0,IF(AND(Units!$K41=0,DD$1=Units!$O41),Units!$R41,IF(AND(DD$1&gt;=Units!$Q41,MOD(DD$1-Units!$Q41,12)=0),IF(AND(Units!$L41=1,DD$1=Units!$Q41),IF(Units!$J41&lt;&gt;"",Units!$J41,Mkt!DD42),Inputs!$B$15*Mkt!DD42+(1-Inputs!$B$15)*MIN(Mkt!DD42,DC42*(1+Inputs!$B$18))),DC42)))</f>
        <v>1931.82437411612</v>
      </c>
      <c r="DE42" s="11" t="n">
        <f aca="false">IF(DE$1&lt;Units!$P41,0,IF(AND(Units!$K41=0,DE$1=Units!$O41),Units!$R41,IF(AND(DE$1&gt;=Units!$Q41,MOD(DE$1-Units!$Q41,12)=0),IF(AND(Units!$L41=1,DE$1=Units!$Q41),IF(Units!$J41&lt;&gt;"",Units!$J41,Mkt!DE42),Inputs!$B$15*Mkt!DE42+(1-Inputs!$B$15)*MIN(Mkt!DE42,DD42*(1+Inputs!$B$18))),DD42)))</f>
        <v>1931.82437411612</v>
      </c>
      <c r="DF42" s="11" t="n">
        <f aca="false">IF(DF$1&lt;Units!$P41,0,IF(AND(Units!$K41=0,DF$1=Units!$O41),Units!$R41,IF(AND(DF$1&gt;=Units!$Q41,MOD(DF$1-Units!$Q41,12)=0),IF(AND(Units!$L41=1,DF$1=Units!$Q41),IF(Units!$J41&lt;&gt;"",Units!$J41,Mkt!DF42),Inputs!$B$15*Mkt!DF42+(1-Inputs!$B$15)*MIN(Mkt!DF42,DE42*(1+Inputs!$B$18))),DE42)))</f>
        <v>1931.82437411612</v>
      </c>
      <c r="DG42" s="11" t="n">
        <f aca="false">IF(DG$1&lt;Units!$P41,0,IF(AND(Units!$K41=0,DG$1=Units!$O41),Units!$R41,IF(AND(DG$1&gt;=Units!$Q41,MOD(DG$1-Units!$Q41,12)=0),IF(AND(Units!$L41=1,DG$1=Units!$Q41),IF(Units!$J41&lt;&gt;"",Units!$J41,Mkt!DG42),Inputs!$B$15*Mkt!DG42+(1-Inputs!$B$15)*MIN(Mkt!DG42,DF42*(1+Inputs!$B$18))),DF42)))</f>
        <v>1931.82437411612</v>
      </c>
      <c r="DH42" s="11" t="n">
        <f aca="false">IF(DH$1&lt;Units!$P41,0,IF(AND(Units!$K41=0,DH$1=Units!$O41),Units!$R41,IF(AND(DH$1&gt;=Units!$Q41,MOD(DH$1-Units!$Q41,12)=0),IF(AND(Units!$L41=1,DH$1=Units!$Q41),IF(Units!$J41&lt;&gt;"",Units!$J41,Mkt!DH42),Inputs!$B$15*Mkt!DH42+(1-Inputs!$B$15)*MIN(Mkt!DH42,DG42*(1+Inputs!$B$18))),DG42)))</f>
        <v>1931.82437411612</v>
      </c>
      <c r="DI42" s="11" t="n">
        <f aca="false">IF(DI$1&lt;Units!$P41,0,IF(AND(Units!$K41=0,DI$1=Units!$O41),Units!$R41,IF(AND(DI$1&gt;=Units!$Q41,MOD(DI$1-Units!$Q41,12)=0),IF(AND(Units!$L41=1,DI$1=Units!$Q41),IF(Units!$J41&lt;&gt;"",Units!$J41,Mkt!DI42),Inputs!$B$15*Mkt!DI42+(1-Inputs!$B$15)*MIN(Mkt!DI42,DH42*(1+Inputs!$B$18))),DH42)))</f>
        <v>1931.82437411612</v>
      </c>
      <c r="DJ42" s="11" t="n">
        <f aca="false">IF(DJ$1&lt;Units!$P41,0,IF(AND(Units!$K41=0,DJ$1=Units!$O41),Units!$R41,IF(AND(DJ$1&gt;=Units!$Q41,MOD(DJ$1-Units!$Q41,12)=0),IF(AND(Units!$L41=1,DJ$1=Units!$Q41),IF(Units!$J41&lt;&gt;"",Units!$J41,Mkt!DJ42),Inputs!$B$15*Mkt!DJ42+(1-Inputs!$B$15)*MIN(Mkt!DJ42,DI42*(1+Inputs!$B$18))),DI42)))</f>
        <v>1931.82437411612</v>
      </c>
      <c r="DK42" s="11" t="n">
        <f aca="false">IF(DK$1&lt;Units!$P41,0,IF(AND(Units!$K41=0,DK$1=Units!$O41),Units!$R41,IF(AND(DK$1&gt;=Units!$Q41,MOD(DK$1-Units!$Q41,12)=0),IF(AND(Units!$L41=1,DK$1=Units!$Q41),IF(Units!$J41&lt;&gt;"",Units!$J41,Mkt!DK42),Inputs!$B$15*Mkt!DK42+(1-Inputs!$B$15)*MIN(Mkt!DK42,DJ42*(1+Inputs!$B$18))),DJ42)))</f>
        <v>1931.82437411612</v>
      </c>
      <c r="DL42" s="11" t="n">
        <f aca="false">IF(DL$1&lt;Units!$P41,0,IF(AND(Units!$K41=0,DL$1=Units!$O41),Units!$R41,IF(AND(DL$1&gt;=Units!$Q41,MOD(DL$1-Units!$Q41,12)=0),IF(AND(Units!$L41=1,DL$1=Units!$Q41),IF(Units!$J41&lt;&gt;"",Units!$J41,Mkt!DL42),Inputs!$B$15*Mkt!DL42+(1-Inputs!$B$15)*MIN(Mkt!DL42,DK42*(1+Inputs!$B$18))),DK42)))</f>
        <v>1931.82437411612</v>
      </c>
      <c r="DM42" s="11" t="n">
        <f aca="false">IF(DM$1&lt;Units!$P41,0,IF(AND(Units!$K41=0,DM$1=Units!$O41),Units!$R41,IF(AND(DM$1&gt;=Units!$Q41,MOD(DM$1-Units!$Q41,12)=0),IF(AND(Units!$L41=1,DM$1=Units!$Q41),IF(Units!$J41&lt;&gt;"",Units!$J41,Mkt!DM42),Inputs!$B$15*Mkt!DM42+(1-Inputs!$B$15)*MIN(Mkt!DM42,DL42*(1+Inputs!$B$18))),DL42)))</f>
        <v>1931.82437411612</v>
      </c>
      <c r="DN42" s="11" t="n">
        <f aca="false">IF(DN$1&lt;Units!$P41,0,IF(AND(Units!$K41=0,DN$1=Units!$O41),Units!$R41,IF(AND(DN$1&gt;=Units!$Q41,MOD(DN$1-Units!$Q41,12)=0),IF(AND(Units!$L41=1,DN$1=Units!$Q41),IF(Units!$J41&lt;&gt;"",Units!$J41,Mkt!DN42),Inputs!$B$15*Mkt!DN42+(1-Inputs!$B$15)*MIN(Mkt!DN42,DM42*(1+Inputs!$B$18))),DM42)))</f>
        <v>1989.7791053396</v>
      </c>
      <c r="DO42" s="11" t="n">
        <f aca="false">IF(DO$1&lt;Units!$P41,0,IF(AND(Units!$K41=0,DO$1=Units!$O41),Units!$R41,IF(AND(DO$1&gt;=Units!$Q41,MOD(DO$1-Units!$Q41,12)=0),IF(AND(Units!$L41=1,DO$1=Units!$Q41),IF(Units!$J41&lt;&gt;"",Units!$J41,Mkt!DO42),Inputs!$B$15*Mkt!DO42+(1-Inputs!$B$15)*MIN(Mkt!DO42,DN42*(1+Inputs!$B$18))),DN42)))</f>
        <v>1989.7791053396</v>
      </c>
      <c r="DP42" s="11" t="n">
        <f aca="false">IF(DP$1&lt;Units!$P41,0,IF(AND(Units!$K41=0,DP$1=Units!$O41),Units!$R41,IF(AND(DP$1&gt;=Units!$Q41,MOD(DP$1-Units!$Q41,12)=0),IF(AND(Units!$L41=1,DP$1=Units!$Q41),IF(Units!$J41&lt;&gt;"",Units!$J41,Mkt!DP42),Inputs!$B$15*Mkt!DP42+(1-Inputs!$B$15)*MIN(Mkt!DP42,DO42*(1+Inputs!$B$18))),DO42)))</f>
        <v>1989.7791053396</v>
      </c>
      <c r="DQ42" s="11" t="n">
        <f aca="false">IF(DQ$1&lt;Units!$P41,0,IF(AND(Units!$K41=0,DQ$1=Units!$O41),Units!$R41,IF(AND(DQ$1&gt;=Units!$Q41,MOD(DQ$1-Units!$Q41,12)=0),IF(AND(Units!$L41=1,DQ$1=Units!$Q41),IF(Units!$J41&lt;&gt;"",Units!$J41,Mkt!DQ42),Inputs!$B$15*Mkt!DQ42+(1-Inputs!$B$15)*MIN(Mkt!DQ42,DP42*(1+Inputs!$B$18))),DP42)))</f>
        <v>1989.7791053396</v>
      </c>
      <c r="DR42" s="11" t="n">
        <f aca="false">IF(DR$1&lt;Units!$P41,0,IF(AND(Units!$K41=0,DR$1=Units!$O41),Units!$R41,IF(AND(DR$1&gt;=Units!$Q41,MOD(DR$1-Units!$Q41,12)=0),IF(AND(Units!$L41=1,DR$1=Units!$Q41),IF(Units!$J41&lt;&gt;"",Units!$J41,Mkt!DR42),Inputs!$B$15*Mkt!DR42+(1-Inputs!$B$15)*MIN(Mkt!DR42,DQ42*(1+Inputs!$B$18))),DQ42)))</f>
        <v>1989.7791053396</v>
      </c>
      <c r="DS42" s="11" t="n">
        <f aca="false">IF(DS$1&lt;Units!$P41,0,IF(AND(Units!$K41=0,DS$1=Units!$O41),Units!$R41,IF(AND(DS$1&gt;=Units!$Q41,MOD(DS$1-Units!$Q41,12)=0),IF(AND(Units!$L41=1,DS$1=Units!$Q41),IF(Units!$J41&lt;&gt;"",Units!$J41,Mkt!DS42),Inputs!$B$15*Mkt!DS42+(1-Inputs!$B$15)*MIN(Mkt!DS42,DR42*(1+Inputs!$B$18))),DR42)))</f>
        <v>1989.7791053396</v>
      </c>
      <c r="DT42" s="11" t="n">
        <f aca="false">IF(DT$1&lt;Units!$P41,0,IF(AND(Units!$K41=0,DT$1=Units!$O41),Units!$R41,IF(AND(DT$1&gt;=Units!$Q41,MOD(DT$1-Units!$Q41,12)=0),IF(AND(Units!$L41=1,DT$1=Units!$Q41),IF(Units!$J41&lt;&gt;"",Units!$J41,Mkt!DT42),Inputs!$B$15*Mkt!DT42+(1-Inputs!$B$15)*MIN(Mkt!DT42,DS42*(1+Inputs!$B$18))),DS42)))</f>
        <v>1989.7791053396</v>
      </c>
      <c r="DU42" s="11" t="n">
        <f aca="false">IF(DU$1&lt;Units!$P41,0,IF(AND(Units!$K41=0,DU$1=Units!$O41),Units!$R41,IF(AND(DU$1&gt;=Units!$Q41,MOD(DU$1-Units!$Q41,12)=0),IF(AND(Units!$L41=1,DU$1=Units!$Q41),IF(Units!$J41&lt;&gt;"",Units!$J41,Mkt!DU42),Inputs!$B$15*Mkt!DU42+(1-Inputs!$B$15)*MIN(Mkt!DU42,DT42*(1+Inputs!$B$18))),DT42)))</f>
        <v>1989.7791053396</v>
      </c>
      <c r="DV42" s="11" t="n">
        <f aca="false">IF(DV$1&lt;Units!$P41,0,IF(AND(Units!$K41=0,DV$1=Units!$O41),Units!$R41,IF(AND(DV$1&gt;=Units!$Q41,MOD(DV$1-Units!$Q41,12)=0),IF(AND(Units!$L41=1,DV$1=Units!$Q41),IF(Units!$J41&lt;&gt;"",Units!$J41,Mkt!DV42),Inputs!$B$15*Mkt!DV42+(1-Inputs!$B$15)*MIN(Mkt!DV42,DU42*(1+Inputs!$B$18))),DU42)))</f>
        <v>1989.7791053396</v>
      </c>
      <c r="DW42" s="11" t="n">
        <f aca="false">IF(DW$1&lt;Units!$P41,0,IF(AND(Units!$K41=0,DW$1=Units!$O41),Units!$R41,IF(AND(DW$1&gt;=Units!$Q41,MOD(DW$1-Units!$Q41,12)=0),IF(AND(Units!$L41=1,DW$1=Units!$Q41),IF(Units!$J41&lt;&gt;"",Units!$J41,Mkt!DW42),Inputs!$B$15*Mkt!DW42+(1-Inputs!$B$15)*MIN(Mkt!DW42,DV42*(1+Inputs!$B$18))),DV42)))</f>
        <v>1989.7791053396</v>
      </c>
      <c r="DX42" s="11" t="n">
        <f aca="false">IF(DX$1&lt;Units!$P41,0,IF(AND(Units!$K41=0,DX$1=Units!$O41),Units!$R41,IF(AND(DX$1&gt;=Units!$Q41,MOD(DX$1-Units!$Q41,12)=0),IF(AND(Units!$L41=1,DX$1=Units!$Q41),IF(Units!$J41&lt;&gt;"",Units!$J41,Mkt!DX42),Inputs!$B$15*Mkt!DX42+(1-Inputs!$B$15)*MIN(Mkt!DX42,DW42*(1+Inputs!$B$18))),DW42)))</f>
        <v>1989.7791053396</v>
      </c>
      <c r="DY42" s="11" t="n">
        <f aca="false">IF(DY$1&lt;Units!$P41,0,IF(AND(Units!$K41=0,DY$1=Units!$O41),Units!$R41,IF(AND(DY$1&gt;=Units!$Q41,MOD(DY$1-Units!$Q41,12)=0),IF(AND(Units!$L41=1,DY$1=Units!$Q41),IF(Units!$J41&lt;&gt;"",Units!$J41,Mkt!DY42),Inputs!$B$15*Mkt!DY42+(1-Inputs!$B$15)*MIN(Mkt!DY42,DX42*(1+Inputs!$B$18))),DX42)))</f>
        <v>1989.7791053396</v>
      </c>
      <c r="DZ42" s="11" t="n">
        <f aca="false">IF(DZ$1&lt;Units!$P41,0,IF(AND(Units!$K41=0,DZ$1=Units!$O41),Units!$R41,IF(AND(DZ$1&gt;=Units!$Q41,MOD(DZ$1-Units!$Q41,12)=0),IF(AND(Units!$L41=1,DZ$1=Units!$Q41),IF(Units!$J41&lt;&gt;"",Units!$J41,Mkt!DZ42),Inputs!$B$15*Mkt!DZ42+(1-Inputs!$B$15)*MIN(Mkt!DZ42,DY42*(1+Inputs!$B$18))),DY42)))</f>
        <v>2049.47247849979</v>
      </c>
      <c r="EA42" s="11" t="n">
        <f aca="false">IF(EA$1&lt;Units!$P41,0,IF(AND(Units!$K41=0,EA$1=Units!$O41),Units!$R41,IF(AND(EA$1&gt;=Units!$Q41,MOD(EA$1-Units!$Q41,12)=0),IF(AND(Units!$L41=1,EA$1=Units!$Q41),IF(Units!$J41&lt;&gt;"",Units!$J41,Mkt!EA42),Inputs!$B$15*Mkt!EA42+(1-Inputs!$B$15)*MIN(Mkt!EA42,DZ42*(1+Inputs!$B$18))),DZ42)))</f>
        <v>2049.47247849979</v>
      </c>
      <c r="EB42" s="11" t="n">
        <f aca="false">IF(EB$1&lt;Units!$P41,0,IF(AND(Units!$K41=0,EB$1=Units!$O41),Units!$R41,IF(AND(EB$1&gt;=Units!$Q41,MOD(EB$1-Units!$Q41,12)=0),IF(AND(Units!$L41=1,EB$1=Units!$Q41),IF(Units!$J41&lt;&gt;"",Units!$J41,Mkt!EB42),Inputs!$B$15*Mkt!EB42+(1-Inputs!$B$15)*MIN(Mkt!EB42,EA42*(1+Inputs!$B$18))),EA42)))</f>
        <v>2049.47247849979</v>
      </c>
      <c r="EC42" s="11" t="n">
        <f aca="false">IF(EC$1&lt;Units!$P41,0,IF(AND(Units!$K41=0,EC$1=Units!$O41),Units!$R41,IF(AND(EC$1&gt;=Units!$Q41,MOD(EC$1-Units!$Q41,12)=0),IF(AND(Units!$L41=1,EC$1=Units!$Q41),IF(Units!$J41&lt;&gt;"",Units!$J41,Mkt!EC42),Inputs!$B$15*Mkt!EC42+(1-Inputs!$B$15)*MIN(Mkt!EC42,EB42*(1+Inputs!$B$18))),EB42)))</f>
        <v>2049.47247849979</v>
      </c>
      <c r="ED42" s="11" t="n">
        <f aca="false">IF(ED$1&lt;Units!$P41,0,IF(AND(Units!$K41=0,ED$1=Units!$O41),Units!$R41,IF(AND(ED$1&gt;=Units!$Q41,MOD(ED$1-Units!$Q41,12)=0),IF(AND(Units!$L41=1,ED$1=Units!$Q41),IF(Units!$J41&lt;&gt;"",Units!$J41,Mkt!ED42),Inputs!$B$15*Mkt!ED42+(1-Inputs!$B$15)*MIN(Mkt!ED42,EC42*(1+Inputs!$B$18))),EC42)))</f>
        <v>2049.47247849979</v>
      </c>
    </row>
    <row r="43" customFormat="false" ht="15" hidden="false" customHeight="false" outlineLevel="0" collapsed="false">
      <c r="A43" s="22" t="n">
        <f aca="false">Units!A42</f>
        <v>211</v>
      </c>
      <c r="B43" s="24" t="n">
        <f aca="false">IF(Units!K42=1,Units!F42,0)</f>
        <v>1375</v>
      </c>
      <c r="C43" s="11" t="n">
        <f aca="false">IF(C$1&lt;Units!$P42,0,IF(AND(Units!$K42=0,C$1=Units!$O42),Units!$R42,IF(AND(C$1&gt;=Units!$Q42,MOD(C$1-Units!$Q42,12)=0),IF(AND(Units!$L42=1,C$1=Units!$Q42),IF(Units!$J42&lt;&gt;"",Units!$J42,Mkt!C43),Inputs!$B$15*Mkt!C43+(1-Inputs!$B$15)*MIN(Mkt!C43,B43*(1+Inputs!$B$18))),B43)))</f>
        <v>1375</v>
      </c>
      <c r="D43" s="11" t="n">
        <f aca="false">IF(D$1&lt;Units!$P42,0,IF(AND(Units!$K42=0,D$1=Units!$O42),Units!$R42,IF(AND(D$1&gt;=Units!$Q42,MOD(D$1-Units!$Q42,12)=0),IF(AND(Units!$L42=1,D$1=Units!$Q42),IF(Units!$J42&lt;&gt;"",Units!$J42,Mkt!D43),Inputs!$B$15*Mkt!D43+(1-Inputs!$B$15)*MIN(Mkt!D43,C43*(1+Inputs!$B$18))),C43)))</f>
        <v>1375</v>
      </c>
      <c r="E43" s="11" t="n">
        <f aca="false">IF(E$1&lt;Units!$P42,0,IF(AND(Units!$K42=0,E$1=Units!$O42),Units!$R42,IF(AND(E$1&gt;=Units!$Q42,MOD(E$1-Units!$Q42,12)=0),IF(AND(Units!$L42=1,E$1=Units!$Q42),IF(Units!$J42&lt;&gt;"",Units!$J42,Mkt!E43),Inputs!$B$15*Mkt!E43+(1-Inputs!$B$15)*MIN(Mkt!E43,D43*(1+Inputs!$B$18))),D43)))</f>
        <v>1375</v>
      </c>
      <c r="F43" s="11" t="n">
        <f aca="false">IF(F$1&lt;Units!$P42,0,IF(AND(Units!$K42=0,F$1=Units!$O42),Units!$R42,IF(AND(F$1&gt;=Units!$Q42,MOD(F$1-Units!$Q42,12)=0),IF(AND(Units!$L42=1,F$1=Units!$Q42),IF(Units!$J42&lt;&gt;"",Units!$J42,Mkt!F43),Inputs!$B$15*Mkt!F43+(1-Inputs!$B$15)*MIN(Mkt!F43,E43*(1+Inputs!$B$18))),E43)))</f>
        <v>1484.375</v>
      </c>
      <c r="G43" s="11" t="n">
        <f aca="false">IF(G$1&lt;Units!$P42,0,IF(AND(Units!$K42=0,G$1=Units!$O42),Units!$R42,IF(AND(G$1&gt;=Units!$Q42,MOD(G$1-Units!$Q42,12)=0),IF(AND(Units!$L42=1,G$1=Units!$Q42),IF(Units!$J42&lt;&gt;"",Units!$J42,Mkt!G43),Inputs!$B$15*Mkt!G43+(1-Inputs!$B$15)*MIN(Mkt!G43,F43*(1+Inputs!$B$18))),F43)))</f>
        <v>1484.375</v>
      </c>
      <c r="H43" s="11" t="n">
        <f aca="false">IF(H$1&lt;Units!$P42,0,IF(AND(Units!$K42=0,H$1=Units!$O42),Units!$R42,IF(AND(H$1&gt;=Units!$Q42,MOD(H$1-Units!$Q42,12)=0),IF(AND(Units!$L42=1,H$1=Units!$Q42),IF(Units!$J42&lt;&gt;"",Units!$J42,Mkt!H43),Inputs!$B$15*Mkt!H43+(1-Inputs!$B$15)*MIN(Mkt!H43,G43*(1+Inputs!$B$18))),G43)))</f>
        <v>1484.375</v>
      </c>
      <c r="I43" s="11" t="n">
        <f aca="false">IF(I$1&lt;Units!$P42,0,IF(AND(Units!$K42=0,I$1=Units!$O42),Units!$R42,IF(AND(I$1&gt;=Units!$Q42,MOD(I$1-Units!$Q42,12)=0),IF(AND(Units!$L42=1,I$1=Units!$Q42),IF(Units!$J42&lt;&gt;"",Units!$J42,Mkt!I43),Inputs!$B$15*Mkt!I43+(1-Inputs!$B$15)*MIN(Mkt!I43,H43*(1+Inputs!$B$18))),H43)))</f>
        <v>1484.375</v>
      </c>
      <c r="J43" s="11" t="n">
        <f aca="false">IF(J$1&lt;Units!$P42,0,IF(AND(Units!$K42=0,J$1=Units!$O42),Units!$R42,IF(AND(J$1&gt;=Units!$Q42,MOD(J$1-Units!$Q42,12)=0),IF(AND(Units!$L42=1,J$1=Units!$Q42),IF(Units!$J42&lt;&gt;"",Units!$J42,Mkt!J43),Inputs!$B$15*Mkt!J43+(1-Inputs!$B$15)*MIN(Mkt!J43,I43*(1+Inputs!$B$18))),I43)))</f>
        <v>1484.375</v>
      </c>
      <c r="K43" s="11" t="n">
        <f aca="false">IF(K$1&lt;Units!$P42,0,IF(AND(Units!$K42=0,K$1=Units!$O42),Units!$R42,IF(AND(K$1&gt;=Units!$Q42,MOD(K$1-Units!$Q42,12)=0),IF(AND(Units!$L42=1,K$1=Units!$Q42),IF(Units!$J42&lt;&gt;"",Units!$J42,Mkt!K43),Inputs!$B$15*Mkt!K43+(1-Inputs!$B$15)*MIN(Mkt!K43,J43*(1+Inputs!$B$18))),J43)))</f>
        <v>1484.375</v>
      </c>
      <c r="L43" s="11" t="n">
        <f aca="false">IF(L$1&lt;Units!$P42,0,IF(AND(Units!$K42=0,L$1=Units!$O42),Units!$R42,IF(AND(L$1&gt;=Units!$Q42,MOD(L$1-Units!$Q42,12)=0),IF(AND(Units!$L42=1,L$1=Units!$Q42),IF(Units!$J42&lt;&gt;"",Units!$J42,Mkt!L43),Inputs!$B$15*Mkt!L43+(1-Inputs!$B$15)*MIN(Mkt!L43,K43*(1+Inputs!$B$18))),K43)))</f>
        <v>1484.375</v>
      </c>
      <c r="M43" s="11" t="n">
        <f aca="false">IF(M$1&lt;Units!$P42,0,IF(AND(Units!$K42=0,M$1=Units!$O42),Units!$R42,IF(AND(M$1&gt;=Units!$Q42,MOD(M$1-Units!$Q42,12)=0),IF(AND(Units!$L42=1,M$1=Units!$Q42),IF(Units!$J42&lt;&gt;"",Units!$J42,Mkt!M43),Inputs!$B$15*Mkt!M43+(1-Inputs!$B$15)*MIN(Mkt!M43,L43*(1+Inputs!$B$18))),L43)))</f>
        <v>1484.375</v>
      </c>
      <c r="N43" s="11" t="n">
        <f aca="false">IF(N$1&lt;Units!$P42,0,IF(AND(Units!$K42=0,N$1=Units!$O42),Units!$R42,IF(AND(N$1&gt;=Units!$Q42,MOD(N$1-Units!$Q42,12)=0),IF(AND(Units!$L42=1,N$1=Units!$Q42),IF(Units!$J42&lt;&gt;"",Units!$J42,Mkt!N43),Inputs!$B$15*Mkt!N43+(1-Inputs!$B$15)*MIN(Mkt!N43,M43*(1+Inputs!$B$18))),M43)))</f>
        <v>1484.375</v>
      </c>
      <c r="O43" s="11" t="n">
        <f aca="false">IF(O$1&lt;Units!$P42,0,IF(AND(Units!$K42=0,O$1=Units!$O42),Units!$R42,IF(AND(O$1&gt;=Units!$Q42,MOD(O$1-Units!$Q42,12)=0),IF(AND(Units!$L42=1,O$1=Units!$Q42),IF(Units!$J42&lt;&gt;"",Units!$J42,Mkt!O43),Inputs!$B$15*Mkt!O43+(1-Inputs!$B$15)*MIN(Mkt!O43,N43*(1+Inputs!$B$18))),N43)))</f>
        <v>1484.375</v>
      </c>
      <c r="P43" s="11" t="n">
        <f aca="false">IF(P$1&lt;Units!$P42,0,IF(AND(Units!$K42=0,P$1=Units!$O42),Units!$R42,IF(AND(P$1&gt;=Units!$Q42,MOD(P$1-Units!$Q42,12)=0),IF(AND(Units!$L42=1,P$1=Units!$Q42),IF(Units!$J42&lt;&gt;"",Units!$J42,Mkt!P43),Inputs!$B$15*Mkt!P43+(1-Inputs!$B$15)*MIN(Mkt!P43,O43*(1+Inputs!$B$18))),O43)))</f>
        <v>1484.375</v>
      </c>
      <c r="Q43" s="11" t="n">
        <f aca="false">IF(Q$1&lt;Units!$P42,0,IF(AND(Units!$K42=0,Q$1=Units!$O42),Units!$R42,IF(AND(Q$1&gt;=Units!$Q42,MOD(Q$1-Units!$Q42,12)=0),IF(AND(Units!$L42=1,Q$1=Units!$Q42),IF(Units!$J42&lt;&gt;"",Units!$J42,Mkt!Q43),Inputs!$B$15*Mkt!Q43+(1-Inputs!$B$15)*MIN(Mkt!Q43,P43*(1+Inputs!$B$18))),P43)))</f>
        <v>1484.375</v>
      </c>
      <c r="R43" s="11" t="n">
        <f aca="false">IF(R$1&lt;Units!$P42,0,IF(AND(Units!$K42=0,R$1=Units!$O42),Units!$R42,IF(AND(R$1&gt;=Units!$Q42,MOD(R$1-Units!$Q42,12)=0),IF(AND(Units!$L42=1,R$1=Units!$Q42),IF(Units!$J42&lt;&gt;"",Units!$J42,Mkt!R43),Inputs!$B$15*Mkt!R43+(1-Inputs!$B$15)*MIN(Mkt!R43,Q43*(1+Inputs!$B$18))),Q43)))</f>
        <v>1564.671875</v>
      </c>
      <c r="S43" s="11" t="n">
        <f aca="false">IF(S$1&lt;Units!$P42,0,IF(AND(Units!$K42=0,S$1=Units!$O42),Units!$R42,IF(AND(S$1&gt;=Units!$Q42,MOD(S$1-Units!$Q42,12)=0),IF(AND(Units!$L42=1,S$1=Units!$Q42),IF(Units!$J42&lt;&gt;"",Units!$J42,Mkt!S43),Inputs!$B$15*Mkt!S43+(1-Inputs!$B$15)*MIN(Mkt!S43,R43*(1+Inputs!$B$18))),R43)))</f>
        <v>1564.671875</v>
      </c>
      <c r="T43" s="11" t="n">
        <f aca="false">IF(T$1&lt;Units!$P42,0,IF(AND(Units!$K42=0,T$1=Units!$O42),Units!$R42,IF(AND(T$1&gt;=Units!$Q42,MOD(T$1-Units!$Q42,12)=0),IF(AND(Units!$L42=1,T$1=Units!$Q42),IF(Units!$J42&lt;&gt;"",Units!$J42,Mkt!T43),Inputs!$B$15*Mkt!T43+(1-Inputs!$B$15)*MIN(Mkt!T43,S43*(1+Inputs!$B$18))),S43)))</f>
        <v>1564.671875</v>
      </c>
      <c r="U43" s="11" t="n">
        <f aca="false">IF(U$1&lt;Units!$P42,0,IF(AND(Units!$K42=0,U$1=Units!$O42),Units!$R42,IF(AND(U$1&gt;=Units!$Q42,MOD(U$1-Units!$Q42,12)=0),IF(AND(Units!$L42=1,U$1=Units!$Q42),IF(Units!$J42&lt;&gt;"",Units!$J42,Mkt!U43),Inputs!$B$15*Mkt!U43+(1-Inputs!$B$15)*MIN(Mkt!U43,T43*(1+Inputs!$B$18))),T43)))</f>
        <v>1564.671875</v>
      </c>
      <c r="V43" s="11" t="n">
        <f aca="false">IF(V$1&lt;Units!$P42,0,IF(AND(Units!$K42=0,V$1=Units!$O42),Units!$R42,IF(AND(V$1&gt;=Units!$Q42,MOD(V$1-Units!$Q42,12)=0),IF(AND(Units!$L42=1,V$1=Units!$Q42),IF(Units!$J42&lt;&gt;"",Units!$J42,Mkt!V43),Inputs!$B$15*Mkt!V43+(1-Inputs!$B$15)*MIN(Mkt!V43,U43*(1+Inputs!$B$18))),U43)))</f>
        <v>1564.671875</v>
      </c>
      <c r="W43" s="11" t="n">
        <f aca="false">IF(W$1&lt;Units!$P42,0,IF(AND(Units!$K42=0,W$1=Units!$O42),Units!$R42,IF(AND(W$1&gt;=Units!$Q42,MOD(W$1-Units!$Q42,12)=0),IF(AND(Units!$L42=1,W$1=Units!$Q42),IF(Units!$J42&lt;&gt;"",Units!$J42,Mkt!W43),Inputs!$B$15*Mkt!W43+(1-Inputs!$B$15)*MIN(Mkt!W43,V43*(1+Inputs!$B$18))),V43)))</f>
        <v>1564.671875</v>
      </c>
      <c r="X43" s="11" t="n">
        <f aca="false">IF(X$1&lt;Units!$P42,0,IF(AND(Units!$K42=0,X$1=Units!$O42),Units!$R42,IF(AND(X$1&gt;=Units!$Q42,MOD(X$1-Units!$Q42,12)=0),IF(AND(Units!$L42=1,X$1=Units!$Q42),IF(Units!$J42&lt;&gt;"",Units!$J42,Mkt!X43),Inputs!$B$15*Mkt!X43+(1-Inputs!$B$15)*MIN(Mkt!X43,W43*(1+Inputs!$B$18))),W43)))</f>
        <v>1564.671875</v>
      </c>
      <c r="Y43" s="11" t="n">
        <f aca="false">IF(Y$1&lt;Units!$P42,0,IF(AND(Units!$K42=0,Y$1=Units!$O42),Units!$R42,IF(AND(Y$1&gt;=Units!$Q42,MOD(Y$1-Units!$Q42,12)=0),IF(AND(Units!$L42=1,Y$1=Units!$Q42),IF(Units!$J42&lt;&gt;"",Units!$J42,Mkt!Y43),Inputs!$B$15*Mkt!Y43+(1-Inputs!$B$15)*MIN(Mkt!Y43,X43*(1+Inputs!$B$18))),X43)))</f>
        <v>1564.671875</v>
      </c>
      <c r="Z43" s="11" t="n">
        <f aca="false">IF(Z$1&lt;Units!$P42,0,IF(AND(Units!$K42=0,Z$1=Units!$O42),Units!$R42,IF(AND(Z$1&gt;=Units!$Q42,MOD(Z$1-Units!$Q42,12)=0),IF(AND(Units!$L42=1,Z$1=Units!$Q42),IF(Units!$J42&lt;&gt;"",Units!$J42,Mkt!Z43),Inputs!$B$15*Mkt!Z43+(1-Inputs!$B$15)*MIN(Mkt!Z43,Y43*(1+Inputs!$B$18))),Y43)))</f>
        <v>1564.671875</v>
      </c>
      <c r="AA43" s="11" t="n">
        <f aca="false">IF(AA$1&lt;Units!$P42,0,IF(AND(Units!$K42=0,AA$1=Units!$O42),Units!$R42,IF(AND(AA$1&gt;=Units!$Q42,MOD(AA$1-Units!$Q42,12)=0),IF(AND(Units!$L42=1,AA$1=Units!$Q42),IF(Units!$J42&lt;&gt;"",Units!$J42,Mkt!AA43),Inputs!$B$15*Mkt!AA43+(1-Inputs!$B$15)*MIN(Mkt!AA43,Z43*(1+Inputs!$B$18))),Z43)))</f>
        <v>1564.671875</v>
      </c>
      <c r="AB43" s="11" t="n">
        <f aca="false">IF(AB$1&lt;Units!$P42,0,IF(AND(Units!$K42=0,AB$1=Units!$O42),Units!$R42,IF(AND(AB$1&gt;=Units!$Q42,MOD(AB$1-Units!$Q42,12)=0),IF(AND(Units!$L42=1,AB$1=Units!$Q42),IF(Units!$J42&lt;&gt;"",Units!$J42,Mkt!AB43),Inputs!$B$15*Mkt!AB43+(1-Inputs!$B$15)*MIN(Mkt!AB43,AA43*(1+Inputs!$B$18))),AA43)))</f>
        <v>1564.671875</v>
      </c>
      <c r="AC43" s="11" t="n">
        <f aca="false">IF(AC$1&lt;Units!$P42,0,IF(AND(Units!$K42=0,AC$1=Units!$O42),Units!$R42,IF(AND(AC$1&gt;=Units!$Q42,MOD(AC$1-Units!$Q42,12)=0),IF(AND(Units!$L42=1,AC$1=Units!$Q42),IF(Units!$J42&lt;&gt;"",Units!$J42,Mkt!AC43),Inputs!$B$15*Mkt!AC43+(1-Inputs!$B$15)*MIN(Mkt!AC43,AB43*(1+Inputs!$B$18))),AB43)))</f>
        <v>1564.671875</v>
      </c>
      <c r="AD43" s="11" t="n">
        <f aca="false">IF(AD$1&lt;Units!$P42,0,IF(AND(Units!$K42=0,AD$1=Units!$O42),Units!$R42,IF(AND(AD$1&gt;=Units!$Q42,MOD(AD$1-Units!$Q42,12)=0),IF(AND(Units!$L42=1,AD$1=Units!$Q42),IF(Units!$J42&lt;&gt;"",Units!$J42,Mkt!AD43),Inputs!$B$15*Mkt!AD43+(1-Inputs!$B$15)*MIN(Mkt!AD43,AC43*(1+Inputs!$B$18))),AC43)))</f>
        <v>1617.8725</v>
      </c>
      <c r="AE43" s="11" t="n">
        <f aca="false">IF(AE$1&lt;Units!$P42,0,IF(AND(Units!$K42=0,AE$1=Units!$O42),Units!$R42,IF(AND(AE$1&gt;=Units!$Q42,MOD(AE$1-Units!$Q42,12)=0),IF(AND(Units!$L42=1,AE$1=Units!$Q42),IF(Units!$J42&lt;&gt;"",Units!$J42,Mkt!AE43),Inputs!$B$15*Mkt!AE43+(1-Inputs!$B$15)*MIN(Mkt!AE43,AD43*(1+Inputs!$B$18))),AD43)))</f>
        <v>1617.8725</v>
      </c>
      <c r="AF43" s="11" t="n">
        <f aca="false">IF(AF$1&lt;Units!$P42,0,IF(AND(Units!$K42=0,AF$1=Units!$O42),Units!$R42,IF(AND(AF$1&gt;=Units!$Q42,MOD(AF$1-Units!$Q42,12)=0),IF(AND(Units!$L42=1,AF$1=Units!$Q42),IF(Units!$J42&lt;&gt;"",Units!$J42,Mkt!AF43),Inputs!$B$15*Mkt!AF43+(1-Inputs!$B$15)*MIN(Mkt!AF43,AE43*(1+Inputs!$B$18))),AE43)))</f>
        <v>1617.8725</v>
      </c>
      <c r="AG43" s="11" t="n">
        <f aca="false">IF(AG$1&lt;Units!$P42,0,IF(AND(Units!$K42=0,AG$1=Units!$O42),Units!$R42,IF(AND(AG$1&gt;=Units!$Q42,MOD(AG$1-Units!$Q42,12)=0),IF(AND(Units!$L42=1,AG$1=Units!$Q42),IF(Units!$J42&lt;&gt;"",Units!$J42,Mkt!AG43),Inputs!$B$15*Mkt!AG43+(1-Inputs!$B$15)*MIN(Mkt!AG43,AF43*(1+Inputs!$B$18))),AF43)))</f>
        <v>1617.8725</v>
      </c>
      <c r="AH43" s="11" t="n">
        <f aca="false">IF(AH$1&lt;Units!$P42,0,IF(AND(Units!$K42=0,AH$1=Units!$O42),Units!$R42,IF(AND(AH$1&gt;=Units!$Q42,MOD(AH$1-Units!$Q42,12)=0),IF(AND(Units!$L42=1,AH$1=Units!$Q42),IF(Units!$J42&lt;&gt;"",Units!$J42,Mkt!AH43),Inputs!$B$15*Mkt!AH43+(1-Inputs!$B$15)*MIN(Mkt!AH43,AG43*(1+Inputs!$B$18))),AG43)))</f>
        <v>1617.8725</v>
      </c>
      <c r="AI43" s="11" t="n">
        <f aca="false">IF(AI$1&lt;Units!$P42,0,IF(AND(Units!$K42=0,AI$1=Units!$O42),Units!$R42,IF(AND(AI$1&gt;=Units!$Q42,MOD(AI$1-Units!$Q42,12)=0),IF(AND(Units!$L42=1,AI$1=Units!$Q42),IF(Units!$J42&lt;&gt;"",Units!$J42,Mkt!AI43),Inputs!$B$15*Mkt!AI43+(1-Inputs!$B$15)*MIN(Mkt!AI43,AH43*(1+Inputs!$B$18))),AH43)))</f>
        <v>1617.8725</v>
      </c>
      <c r="AJ43" s="11" t="n">
        <f aca="false">IF(AJ$1&lt;Units!$P42,0,IF(AND(Units!$K42=0,AJ$1=Units!$O42),Units!$R42,IF(AND(AJ$1&gt;=Units!$Q42,MOD(AJ$1-Units!$Q42,12)=0),IF(AND(Units!$L42=1,AJ$1=Units!$Q42),IF(Units!$J42&lt;&gt;"",Units!$J42,Mkt!AJ43),Inputs!$B$15*Mkt!AJ43+(1-Inputs!$B$15)*MIN(Mkt!AJ43,AI43*(1+Inputs!$B$18))),AI43)))</f>
        <v>1617.8725</v>
      </c>
      <c r="AK43" s="11" t="n">
        <f aca="false">IF(AK$1&lt;Units!$P42,0,IF(AND(Units!$K42=0,AK$1=Units!$O42),Units!$R42,IF(AND(AK$1&gt;=Units!$Q42,MOD(AK$1-Units!$Q42,12)=0),IF(AND(Units!$L42=1,AK$1=Units!$Q42),IF(Units!$J42&lt;&gt;"",Units!$J42,Mkt!AK43),Inputs!$B$15*Mkt!AK43+(1-Inputs!$B$15)*MIN(Mkt!AK43,AJ43*(1+Inputs!$B$18))),AJ43)))</f>
        <v>1617.8725</v>
      </c>
      <c r="AL43" s="11" t="n">
        <f aca="false">IF(AL$1&lt;Units!$P42,0,IF(AND(Units!$K42=0,AL$1=Units!$O42),Units!$R42,IF(AND(AL$1&gt;=Units!$Q42,MOD(AL$1-Units!$Q42,12)=0),IF(AND(Units!$L42=1,AL$1=Units!$Q42),IF(Units!$J42&lt;&gt;"",Units!$J42,Mkt!AL43),Inputs!$B$15*Mkt!AL43+(1-Inputs!$B$15)*MIN(Mkt!AL43,AK43*(1+Inputs!$B$18))),AK43)))</f>
        <v>1617.8725</v>
      </c>
      <c r="AM43" s="11" t="n">
        <f aca="false">IF(AM$1&lt;Units!$P42,0,IF(AND(Units!$K42=0,AM$1=Units!$O42),Units!$R42,IF(AND(AM$1&gt;=Units!$Q42,MOD(AM$1-Units!$Q42,12)=0),IF(AND(Units!$L42=1,AM$1=Units!$Q42),IF(Units!$J42&lt;&gt;"",Units!$J42,Mkt!AM43),Inputs!$B$15*Mkt!AM43+(1-Inputs!$B$15)*MIN(Mkt!AM43,AL43*(1+Inputs!$B$18))),AL43)))</f>
        <v>1617.8725</v>
      </c>
      <c r="AN43" s="11" t="n">
        <f aca="false">IF(AN$1&lt;Units!$P42,0,IF(AND(Units!$K42=0,AN$1=Units!$O42),Units!$R42,IF(AND(AN$1&gt;=Units!$Q42,MOD(AN$1-Units!$Q42,12)=0),IF(AND(Units!$L42=1,AN$1=Units!$Q42),IF(Units!$J42&lt;&gt;"",Units!$J42,Mkt!AN43),Inputs!$B$15*Mkt!AN43+(1-Inputs!$B$15)*MIN(Mkt!AN43,AM43*(1+Inputs!$B$18))),AM43)))</f>
        <v>1617.8725</v>
      </c>
      <c r="AO43" s="11" t="n">
        <f aca="false">IF(AO$1&lt;Units!$P42,0,IF(AND(Units!$K42=0,AO$1=Units!$O42),Units!$R42,IF(AND(AO$1&gt;=Units!$Q42,MOD(AO$1-Units!$Q42,12)=0),IF(AND(Units!$L42=1,AO$1=Units!$Q42),IF(Units!$J42&lt;&gt;"",Units!$J42,Mkt!AO43),Inputs!$B$15*Mkt!AO43+(1-Inputs!$B$15)*MIN(Mkt!AO43,AN43*(1+Inputs!$B$18))),AN43)))</f>
        <v>1617.8725</v>
      </c>
      <c r="AP43" s="11" t="n">
        <f aca="false">IF(AP$1&lt;Units!$P42,0,IF(AND(Units!$K42=0,AP$1=Units!$O42),Units!$R42,IF(AND(AP$1&gt;=Units!$Q42,MOD(AP$1-Units!$Q42,12)=0),IF(AND(Units!$L42=1,AP$1=Units!$Q42),IF(Units!$J42&lt;&gt;"",Units!$J42,Mkt!AP43),Inputs!$B$15*Mkt!AP43+(1-Inputs!$B$15)*MIN(Mkt!AP43,AO43*(1+Inputs!$B$18))),AO43)))</f>
        <v>1666.408675</v>
      </c>
      <c r="AQ43" s="11" t="n">
        <f aca="false">IF(AQ$1&lt;Units!$P42,0,IF(AND(Units!$K42=0,AQ$1=Units!$O42),Units!$R42,IF(AND(AQ$1&gt;=Units!$Q42,MOD(AQ$1-Units!$Q42,12)=0),IF(AND(Units!$L42=1,AQ$1=Units!$Q42),IF(Units!$J42&lt;&gt;"",Units!$J42,Mkt!AQ43),Inputs!$B$15*Mkt!AQ43+(1-Inputs!$B$15)*MIN(Mkt!AQ43,AP43*(1+Inputs!$B$18))),AP43)))</f>
        <v>1666.408675</v>
      </c>
      <c r="AR43" s="11" t="n">
        <f aca="false">IF(AR$1&lt;Units!$P42,0,IF(AND(Units!$K42=0,AR$1=Units!$O42),Units!$R42,IF(AND(AR$1&gt;=Units!$Q42,MOD(AR$1-Units!$Q42,12)=0),IF(AND(Units!$L42=1,AR$1=Units!$Q42),IF(Units!$J42&lt;&gt;"",Units!$J42,Mkt!AR43),Inputs!$B$15*Mkt!AR43+(1-Inputs!$B$15)*MIN(Mkt!AR43,AQ43*(1+Inputs!$B$18))),AQ43)))</f>
        <v>1666.408675</v>
      </c>
      <c r="AS43" s="11" t="n">
        <f aca="false">IF(AS$1&lt;Units!$P42,0,IF(AND(Units!$K42=0,AS$1=Units!$O42),Units!$R42,IF(AND(AS$1&gt;=Units!$Q42,MOD(AS$1-Units!$Q42,12)=0),IF(AND(Units!$L42=1,AS$1=Units!$Q42),IF(Units!$J42&lt;&gt;"",Units!$J42,Mkt!AS43),Inputs!$B$15*Mkt!AS43+(1-Inputs!$B$15)*MIN(Mkt!AS43,AR43*(1+Inputs!$B$18))),AR43)))</f>
        <v>1666.408675</v>
      </c>
      <c r="AT43" s="11" t="n">
        <f aca="false">IF(AT$1&lt;Units!$P42,0,IF(AND(Units!$K42=0,AT$1=Units!$O42),Units!$R42,IF(AND(AT$1&gt;=Units!$Q42,MOD(AT$1-Units!$Q42,12)=0),IF(AND(Units!$L42=1,AT$1=Units!$Q42),IF(Units!$J42&lt;&gt;"",Units!$J42,Mkt!AT43),Inputs!$B$15*Mkt!AT43+(1-Inputs!$B$15)*MIN(Mkt!AT43,AS43*(1+Inputs!$B$18))),AS43)))</f>
        <v>1666.408675</v>
      </c>
      <c r="AU43" s="11" t="n">
        <f aca="false">IF(AU$1&lt;Units!$P42,0,IF(AND(Units!$K42=0,AU$1=Units!$O42),Units!$R42,IF(AND(AU$1&gt;=Units!$Q42,MOD(AU$1-Units!$Q42,12)=0),IF(AND(Units!$L42=1,AU$1=Units!$Q42),IF(Units!$J42&lt;&gt;"",Units!$J42,Mkt!AU43),Inputs!$B$15*Mkt!AU43+(1-Inputs!$B$15)*MIN(Mkt!AU43,AT43*(1+Inputs!$B$18))),AT43)))</f>
        <v>1666.408675</v>
      </c>
      <c r="AV43" s="11" t="n">
        <f aca="false">IF(AV$1&lt;Units!$P42,0,IF(AND(Units!$K42=0,AV$1=Units!$O42),Units!$R42,IF(AND(AV$1&gt;=Units!$Q42,MOD(AV$1-Units!$Q42,12)=0),IF(AND(Units!$L42=1,AV$1=Units!$Q42),IF(Units!$J42&lt;&gt;"",Units!$J42,Mkt!AV43),Inputs!$B$15*Mkt!AV43+(1-Inputs!$B$15)*MIN(Mkt!AV43,AU43*(1+Inputs!$B$18))),AU43)))</f>
        <v>1666.408675</v>
      </c>
      <c r="AW43" s="11" t="n">
        <f aca="false">IF(AW$1&lt;Units!$P42,0,IF(AND(Units!$K42=0,AW$1=Units!$O42),Units!$R42,IF(AND(AW$1&gt;=Units!$Q42,MOD(AW$1-Units!$Q42,12)=0),IF(AND(Units!$L42=1,AW$1=Units!$Q42),IF(Units!$J42&lt;&gt;"",Units!$J42,Mkt!AW43),Inputs!$B$15*Mkt!AW43+(1-Inputs!$B$15)*MIN(Mkt!AW43,AV43*(1+Inputs!$B$18))),AV43)))</f>
        <v>1666.408675</v>
      </c>
      <c r="AX43" s="11" t="n">
        <f aca="false">IF(AX$1&lt;Units!$P42,0,IF(AND(Units!$K42=0,AX$1=Units!$O42),Units!$R42,IF(AND(AX$1&gt;=Units!$Q42,MOD(AX$1-Units!$Q42,12)=0),IF(AND(Units!$L42=1,AX$1=Units!$Q42),IF(Units!$J42&lt;&gt;"",Units!$J42,Mkt!AX43),Inputs!$B$15*Mkt!AX43+(1-Inputs!$B$15)*MIN(Mkt!AX43,AW43*(1+Inputs!$B$18))),AW43)))</f>
        <v>1666.408675</v>
      </c>
      <c r="AY43" s="11" t="n">
        <f aca="false">IF(AY$1&lt;Units!$P42,0,IF(AND(Units!$K42=0,AY$1=Units!$O42),Units!$R42,IF(AND(AY$1&gt;=Units!$Q42,MOD(AY$1-Units!$Q42,12)=0),IF(AND(Units!$L42=1,AY$1=Units!$Q42),IF(Units!$J42&lt;&gt;"",Units!$J42,Mkt!AY43),Inputs!$B$15*Mkt!AY43+(1-Inputs!$B$15)*MIN(Mkt!AY43,AX43*(1+Inputs!$B$18))),AX43)))</f>
        <v>1666.408675</v>
      </c>
      <c r="AZ43" s="11" t="n">
        <f aca="false">IF(AZ$1&lt;Units!$P42,0,IF(AND(Units!$K42=0,AZ$1=Units!$O42),Units!$R42,IF(AND(AZ$1&gt;=Units!$Q42,MOD(AZ$1-Units!$Q42,12)=0),IF(AND(Units!$L42=1,AZ$1=Units!$Q42),IF(Units!$J42&lt;&gt;"",Units!$J42,Mkt!AZ43),Inputs!$B$15*Mkt!AZ43+(1-Inputs!$B$15)*MIN(Mkt!AZ43,AY43*(1+Inputs!$B$18))),AY43)))</f>
        <v>1666.408675</v>
      </c>
      <c r="BA43" s="11" t="n">
        <f aca="false">IF(BA$1&lt;Units!$P42,0,IF(AND(Units!$K42=0,BA$1=Units!$O42),Units!$R42,IF(AND(BA$1&gt;=Units!$Q42,MOD(BA$1-Units!$Q42,12)=0),IF(AND(Units!$L42=1,BA$1=Units!$Q42),IF(Units!$J42&lt;&gt;"",Units!$J42,Mkt!BA43),Inputs!$B$15*Mkt!BA43+(1-Inputs!$B$15)*MIN(Mkt!BA43,AZ43*(1+Inputs!$B$18))),AZ43)))</f>
        <v>1666.408675</v>
      </c>
      <c r="BB43" s="11" t="n">
        <f aca="false">IF(BB$1&lt;Units!$P42,0,IF(AND(Units!$K42=0,BB$1=Units!$O42),Units!$R42,IF(AND(BB$1&gt;=Units!$Q42,MOD(BB$1-Units!$Q42,12)=0),IF(AND(Units!$L42=1,BB$1=Units!$Q42),IF(Units!$J42&lt;&gt;"",Units!$J42,Mkt!BB43),Inputs!$B$15*Mkt!BB43+(1-Inputs!$B$15)*MIN(Mkt!BB43,BA43*(1+Inputs!$B$18))),BA43)))</f>
        <v>1716.40093525</v>
      </c>
      <c r="BC43" s="11" t="n">
        <f aca="false">IF(BC$1&lt;Units!$P42,0,IF(AND(Units!$K42=0,BC$1=Units!$O42),Units!$R42,IF(AND(BC$1&gt;=Units!$Q42,MOD(BC$1-Units!$Q42,12)=0),IF(AND(Units!$L42=1,BC$1=Units!$Q42),IF(Units!$J42&lt;&gt;"",Units!$J42,Mkt!BC43),Inputs!$B$15*Mkt!BC43+(1-Inputs!$B$15)*MIN(Mkt!BC43,BB43*(1+Inputs!$B$18))),BB43)))</f>
        <v>1716.40093525</v>
      </c>
      <c r="BD43" s="11" t="n">
        <f aca="false">IF(BD$1&lt;Units!$P42,0,IF(AND(Units!$K42=0,BD$1=Units!$O42),Units!$R42,IF(AND(BD$1&gt;=Units!$Q42,MOD(BD$1-Units!$Q42,12)=0),IF(AND(Units!$L42=1,BD$1=Units!$Q42),IF(Units!$J42&lt;&gt;"",Units!$J42,Mkt!BD43),Inputs!$B$15*Mkt!BD43+(1-Inputs!$B$15)*MIN(Mkt!BD43,BC43*(1+Inputs!$B$18))),BC43)))</f>
        <v>1716.40093525</v>
      </c>
      <c r="BE43" s="11" t="n">
        <f aca="false">IF(BE$1&lt;Units!$P42,0,IF(AND(Units!$K42=0,BE$1=Units!$O42),Units!$R42,IF(AND(BE$1&gt;=Units!$Q42,MOD(BE$1-Units!$Q42,12)=0),IF(AND(Units!$L42=1,BE$1=Units!$Q42),IF(Units!$J42&lt;&gt;"",Units!$J42,Mkt!BE43),Inputs!$B$15*Mkt!BE43+(1-Inputs!$B$15)*MIN(Mkt!BE43,BD43*(1+Inputs!$B$18))),BD43)))</f>
        <v>1716.40093525</v>
      </c>
      <c r="BF43" s="11" t="n">
        <f aca="false">IF(BF$1&lt;Units!$P42,0,IF(AND(Units!$K42=0,BF$1=Units!$O42),Units!$R42,IF(AND(BF$1&gt;=Units!$Q42,MOD(BF$1-Units!$Q42,12)=0),IF(AND(Units!$L42=1,BF$1=Units!$Q42),IF(Units!$J42&lt;&gt;"",Units!$J42,Mkt!BF43),Inputs!$B$15*Mkt!BF43+(1-Inputs!$B$15)*MIN(Mkt!BF43,BE43*(1+Inputs!$B$18))),BE43)))</f>
        <v>1716.40093525</v>
      </c>
      <c r="BG43" s="11" t="n">
        <f aca="false">IF(BG$1&lt;Units!$P42,0,IF(AND(Units!$K42=0,BG$1=Units!$O42),Units!$R42,IF(AND(BG$1&gt;=Units!$Q42,MOD(BG$1-Units!$Q42,12)=0),IF(AND(Units!$L42=1,BG$1=Units!$Q42),IF(Units!$J42&lt;&gt;"",Units!$J42,Mkt!BG43),Inputs!$B$15*Mkt!BG43+(1-Inputs!$B$15)*MIN(Mkt!BG43,BF43*(1+Inputs!$B$18))),BF43)))</f>
        <v>1716.40093525</v>
      </c>
      <c r="BH43" s="11" t="n">
        <f aca="false">IF(BH$1&lt;Units!$P42,0,IF(AND(Units!$K42=0,BH$1=Units!$O42),Units!$R42,IF(AND(BH$1&gt;=Units!$Q42,MOD(BH$1-Units!$Q42,12)=0),IF(AND(Units!$L42=1,BH$1=Units!$Q42),IF(Units!$J42&lt;&gt;"",Units!$J42,Mkt!BH43),Inputs!$B$15*Mkt!BH43+(1-Inputs!$B$15)*MIN(Mkt!BH43,BG43*(1+Inputs!$B$18))),BG43)))</f>
        <v>1716.40093525</v>
      </c>
      <c r="BI43" s="11" t="n">
        <f aca="false">IF(BI$1&lt;Units!$P42,0,IF(AND(Units!$K42=0,BI$1=Units!$O42),Units!$R42,IF(AND(BI$1&gt;=Units!$Q42,MOD(BI$1-Units!$Q42,12)=0),IF(AND(Units!$L42=1,BI$1=Units!$Q42),IF(Units!$J42&lt;&gt;"",Units!$J42,Mkt!BI43),Inputs!$B$15*Mkt!BI43+(1-Inputs!$B$15)*MIN(Mkt!BI43,BH43*(1+Inputs!$B$18))),BH43)))</f>
        <v>1716.40093525</v>
      </c>
      <c r="BJ43" s="11" t="n">
        <f aca="false">IF(BJ$1&lt;Units!$P42,0,IF(AND(Units!$K42=0,BJ$1=Units!$O42),Units!$R42,IF(AND(BJ$1&gt;=Units!$Q42,MOD(BJ$1-Units!$Q42,12)=0),IF(AND(Units!$L42=1,BJ$1=Units!$Q42),IF(Units!$J42&lt;&gt;"",Units!$J42,Mkt!BJ43),Inputs!$B$15*Mkt!BJ43+(1-Inputs!$B$15)*MIN(Mkt!BJ43,BI43*(1+Inputs!$B$18))),BI43)))</f>
        <v>1716.40093525</v>
      </c>
      <c r="BK43" s="11" t="n">
        <f aca="false">IF(BK$1&lt;Units!$P42,0,IF(AND(Units!$K42=0,BK$1=Units!$O42),Units!$R42,IF(AND(BK$1&gt;=Units!$Q42,MOD(BK$1-Units!$Q42,12)=0),IF(AND(Units!$L42=1,BK$1=Units!$Q42),IF(Units!$J42&lt;&gt;"",Units!$J42,Mkt!BK43),Inputs!$B$15*Mkt!BK43+(1-Inputs!$B$15)*MIN(Mkt!BK43,BJ43*(1+Inputs!$B$18))),BJ43)))</f>
        <v>1716.40093525</v>
      </c>
      <c r="BL43" s="11" t="n">
        <f aca="false">IF(BL$1&lt;Units!$P42,0,IF(AND(Units!$K42=0,BL$1=Units!$O42),Units!$R42,IF(AND(BL$1&gt;=Units!$Q42,MOD(BL$1-Units!$Q42,12)=0),IF(AND(Units!$L42=1,BL$1=Units!$Q42),IF(Units!$J42&lt;&gt;"",Units!$J42,Mkt!BL43),Inputs!$B$15*Mkt!BL43+(1-Inputs!$B$15)*MIN(Mkt!BL43,BK43*(1+Inputs!$B$18))),BK43)))</f>
        <v>1716.40093525</v>
      </c>
      <c r="BM43" s="11" t="n">
        <f aca="false">IF(BM$1&lt;Units!$P42,0,IF(AND(Units!$K42=0,BM$1=Units!$O42),Units!$R42,IF(AND(BM$1&gt;=Units!$Q42,MOD(BM$1-Units!$Q42,12)=0),IF(AND(Units!$L42=1,BM$1=Units!$Q42),IF(Units!$J42&lt;&gt;"",Units!$J42,Mkt!BM43),Inputs!$B$15*Mkt!BM43+(1-Inputs!$B$15)*MIN(Mkt!BM43,BL43*(1+Inputs!$B$18))),BL43)))</f>
        <v>1716.40093525</v>
      </c>
      <c r="BN43" s="11" t="n">
        <f aca="false">IF(BN$1&lt;Units!$P42,0,IF(AND(Units!$K42=0,BN$1=Units!$O42),Units!$R42,IF(AND(BN$1&gt;=Units!$Q42,MOD(BN$1-Units!$Q42,12)=0),IF(AND(Units!$L42=1,BN$1=Units!$Q42),IF(Units!$J42&lt;&gt;"",Units!$J42,Mkt!BN43),Inputs!$B$15*Mkt!BN43+(1-Inputs!$B$15)*MIN(Mkt!BN43,BM43*(1+Inputs!$B$18))),BM43)))</f>
        <v>1767.8929633075</v>
      </c>
      <c r="BO43" s="11" t="n">
        <f aca="false">IF(BO$1&lt;Units!$P42,0,IF(AND(Units!$K42=0,BO$1=Units!$O42),Units!$R42,IF(AND(BO$1&gt;=Units!$Q42,MOD(BO$1-Units!$Q42,12)=0),IF(AND(Units!$L42=1,BO$1=Units!$Q42),IF(Units!$J42&lt;&gt;"",Units!$J42,Mkt!BO43),Inputs!$B$15*Mkt!BO43+(1-Inputs!$B$15)*MIN(Mkt!BO43,BN43*(1+Inputs!$B$18))),BN43)))</f>
        <v>1767.8929633075</v>
      </c>
      <c r="BP43" s="11" t="n">
        <f aca="false">IF(BP$1&lt;Units!$P42,0,IF(AND(Units!$K42=0,BP$1=Units!$O42),Units!$R42,IF(AND(BP$1&gt;=Units!$Q42,MOD(BP$1-Units!$Q42,12)=0),IF(AND(Units!$L42=1,BP$1=Units!$Q42),IF(Units!$J42&lt;&gt;"",Units!$J42,Mkt!BP43),Inputs!$B$15*Mkt!BP43+(1-Inputs!$B$15)*MIN(Mkt!BP43,BO43*(1+Inputs!$B$18))),BO43)))</f>
        <v>1767.8929633075</v>
      </c>
      <c r="BQ43" s="11" t="n">
        <f aca="false">IF(BQ$1&lt;Units!$P42,0,IF(AND(Units!$K42=0,BQ$1=Units!$O42),Units!$R42,IF(AND(BQ$1&gt;=Units!$Q42,MOD(BQ$1-Units!$Q42,12)=0),IF(AND(Units!$L42=1,BQ$1=Units!$Q42),IF(Units!$J42&lt;&gt;"",Units!$J42,Mkt!BQ43),Inputs!$B$15*Mkt!BQ43+(1-Inputs!$B$15)*MIN(Mkt!BQ43,BP43*(1+Inputs!$B$18))),BP43)))</f>
        <v>1767.8929633075</v>
      </c>
      <c r="BR43" s="11" t="n">
        <f aca="false">IF(BR$1&lt;Units!$P42,0,IF(AND(Units!$K42=0,BR$1=Units!$O42),Units!$R42,IF(AND(BR$1&gt;=Units!$Q42,MOD(BR$1-Units!$Q42,12)=0),IF(AND(Units!$L42=1,BR$1=Units!$Q42),IF(Units!$J42&lt;&gt;"",Units!$J42,Mkt!BR43),Inputs!$B$15*Mkt!BR43+(1-Inputs!$B$15)*MIN(Mkt!BR43,BQ43*(1+Inputs!$B$18))),BQ43)))</f>
        <v>1767.8929633075</v>
      </c>
      <c r="BS43" s="11" t="n">
        <f aca="false">IF(BS$1&lt;Units!$P42,0,IF(AND(Units!$K42=0,BS$1=Units!$O42),Units!$R42,IF(AND(BS$1&gt;=Units!$Q42,MOD(BS$1-Units!$Q42,12)=0),IF(AND(Units!$L42=1,BS$1=Units!$Q42),IF(Units!$J42&lt;&gt;"",Units!$J42,Mkt!BS43),Inputs!$B$15*Mkt!BS43+(1-Inputs!$B$15)*MIN(Mkt!BS43,BR43*(1+Inputs!$B$18))),BR43)))</f>
        <v>1767.8929633075</v>
      </c>
      <c r="BT43" s="11" t="n">
        <f aca="false">IF(BT$1&lt;Units!$P42,0,IF(AND(Units!$K42=0,BT$1=Units!$O42),Units!$R42,IF(AND(BT$1&gt;=Units!$Q42,MOD(BT$1-Units!$Q42,12)=0),IF(AND(Units!$L42=1,BT$1=Units!$Q42),IF(Units!$J42&lt;&gt;"",Units!$J42,Mkt!BT43),Inputs!$B$15*Mkt!BT43+(1-Inputs!$B$15)*MIN(Mkt!BT43,BS43*(1+Inputs!$B$18))),BS43)))</f>
        <v>1767.8929633075</v>
      </c>
      <c r="BU43" s="11" t="n">
        <f aca="false">IF(BU$1&lt;Units!$P42,0,IF(AND(Units!$K42=0,BU$1=Units!$O42),Units!$R42,IF(AND(BU$1&gt;=Units!$Q42,MOD(BU$1-Units!$Q42,12)=0),IF(AND(Units!$L42=1,BU$1=Units!$Q42),IF(Units!$J42&lt;&gt;"",Units!$J42,Mkt!BU43),Inputs!$B$15*Mkt!BU43+(1-Inputs!$B$15)*MIN(Mkt!BU43,BT43*(1+Inputs!$B$18))),BT43)))</f>
        <v>1767.8929633075</v>
      </c>
      <c r="BV43" s="11" t="n">
        <f aca="false">IF(BV$1&lt;Units!$P42,0,IF(AND(Units!$K42=0,BV$1=Units!$O42),Units!$R42,IF(AND(BV$1&gt;=Units!$Q42,MOD(BV$1-Units!$Q42,12)=0),IF(AND(Units!$L42=1,BV$1=Units!$Q42),IF(Units!$J42&lt;&gt;"",Units!$J42,Mkt!BV43),Inputs!$B$15*Mkt!BV43+(1-Inputs!$B$15)*MIN(Mkt!BV43,BU43*(1+Inputs!$B$18))),BU43)))</f>
        <v>1767.8929633075</v>
      </c>
      <c r="BW43" s="11" t="n">
        <f aca="false">IF(BW$1&lt;Units!$P42,0,IF(AND(Units!$K42=0,BW$1=Units!$O42),Units!$R42,IF(AND(BW$1&gt;=Units!$Q42,MOD(BW$1-Units!$Q42,12)=0),IF(AND(Units!$L42=1,BW$1=Units!$Q42),IF(Units!$J42&lt;&gt;"",Units!$J42,Mkt!BW43),Inputs!$B$15*Mkt!BW43+(1-Inputs!$B$15)*MIN(Mkt!BW43,BV43*(1+Inputs!$B$18))),BV43)))</f>
        <v>1767.8929633075</v>
      </c>
      <c r="BX43" s="11" t="n">
        <f aca="false">IF(BX$1&lt;Units!$P42,0,IF(AND(Units!$K42=0,BX$1=Units!$O42),Units!$R42,IF(AND(BX$1&gt;=Units!$Q42,MOD(BX$1-Units!$Q42,12)=0),IF(AND(Units!$L42=1,BX$1=Units!$Q42),IF(Units!$J42&lt;&gt;"",Units!$J42,Mkt!BX43),Inputs!$B$15*Mkt!BX43+(1-Inputs!$B$15)*MIN(Mkt!BX43,BW43*(1+Inputs!$B$18))),BW43)))</f>
        <v>1767.8929633075</v>
      </c>
      <c r="BY43" s="11" t="n">
        <f aca="false">IF(BY$1&lt;Units!$P42,0,IF(AND(Units!$K42=0,BY$1=Units!$O42),Units!$R42,IF(AND(BY$1&gt;=Units!$Q42,MOD(BY$1-Units!$Q42,12)=0),IF(AND(Units!$L42=1,BY$1=Units!$Q42),IF(Units!$J42&lt;&gt;"",Units!$J42,Mkt!BY43),Inputs!$B$15*Mkt!BY43+(1-Inputs!$B$15)*MIN(Mkt!BY43,BX43*(1+Inputs!$B$18))),BX43)))</f>
        <v>1767.8929633075</v>
      </c>
      <c r="BZ43" s="11" t="n">
        <f aca="false">IF(BZ$1&lt;Units!$P42,0,IF(AND(Units!$K42=0,BZ$1=Units!$O42),Units!$R42,IF(AND(BZ$1&gt;=Units!$Q42,MOD(BZ$1-Units!$Q42,12)=0),IF(AND(Units!$L42=1,BZ$1=Units!$Q42),IF(Units!$J42&lt;&gt;"",Units!$J42,Mkt!BZ43),Inputs!$B$15*Mkt!BZ43+(1-Inputs!$B$15)*MIN(Mkt!BZ43,BY43*(1+Inputs!$B$18))),BY43)))</f>
        <v>1820.92975220673</v>
      </c>
      <c r="CA43" s="11" t="n">
        <f aca="false">IF(CA$1&lt;Units!$P42,0,IF(AND(Units!$K42=0,CA$1=Units!$O42),Units!$R42,IF(AND(CA$1&gt;=Units!$Q42,MOD(CA$1-Units!$Q42,12)=0),IF(AND(Units!$L42=1,CA$1=Units!$Q42),IF(Units!$J42&lt;&gt;"",Units!$J42,Mkt!CA43),Inputs!$B$15*Mkt!CA43+(1-Inputs!$B$15)*MIN(Mkt!CA43,BZ43*(1+Inputs!$B$18))),BZ43)))</f>
        <v>1820.92975220673</v>
      </c>
      <c r="CB43" s="11" t="n">
        <f aca="false">IF(CB$1&lt;Units!$P42,0,IF(AND(Units!$K42=0,CB$1=Units!$O42),Units!$R42,IF(AND(CB$1&gt;=Units!$Q42,MOD(CB$1-Units!$Q42,12)=0),IF(AND(Units!$L42=1,CB$1=Units!$Q42),IF(Units!$J42&lt;&gt;"",Units!$J42,Mkt!CB43),Inputs!$B$15*Mkt!CB43+(1-Inputs!$B$15)*MIN(Mkt!CB43,CA43*(1+Inputs!$B$18))),CA43)))</f>
        <v>1820.92975220673</v>
      </c>
      <c r="CC43" s="11" t="n">
        <f aca="false">IF(CC$1&lt;Units!$P42,0,IF(AND(Units!$K42=0,CC$1=Units!$O42),Units!$R42,IF(AND(CC$1&gt;=Units!$Q42,MOD(CC$1-Units!$Q42,12)=0),IF(AND(Units!$L42=1,CC$1=Units!$Q42),IF(Units!$J42&lt;&gt;"",Units!$J42,Mkt!CC43),Inputs!$B$15*Mkt!CC43+(1-Inputs!$B$15)*MIN(Mkt!CC43,CB43*(1+Inputs!$B$18))),CB43)))</f>
        <v>1820.92975220673</v>
      </c>
      <c r="CD43" s="11" t="n">
        <f aca="false">IF(CD$1&lt;Units!$P42,0,IF(AND(Units!$K42=0,CD$1=Units!$O42),Units!$R42,IF(AND(CD$1&gt;=Units!$Q42,MOD(CD$1-Units!$Q42,12)=0),IF(AND(Units!$L42=1,CD$1=Units!$Q42),IF(Units!$J42&lt;&gt;"",Units!$J42,Mkt!CD43),Inputs!$B$15*Mkt!CD43+(1-Inputs!$B$15)*MIN(Mkt!CD43,CC43*(1+Inputs!$B$18))),CC43)))</f>
        <v>1820.92975220673</v>
      </c>
      <c r="CE43" s="11" t="n">
        <f aca="false">IF(CE$1&lt;Units!$P42,0,IF(AND(Units!$K42=0,CE$1=Units!$O42),Units!$R42,IF(AND(CE$1&gt;=Units!$Q42,MOD(CE$1-Units!$Q42,12)=0),IF(AND(Units!$L42=1,CE$1=Units!$Q42),IF(Units!$J42&lt;&gt;"",Units!$J42,Mkt!CE43),Inputs!$B$15*Mkt!CE43+(1-Inputs!$B$15)*MIN(Mkt!CE43,CD43*(1+Inputs!$B$18))),CD43)))</f>
        <v>1820.92975220673</v>
      </c>
      <c r="CF43" s="11" t="n">
        <f aca="false">IF(CF$1&lt;Units!$P42,0,IF(AND(Units!$K42=0,CF$1=Units!$O42),Units!$R42,IF(AND(CF$1&gt;=Units!$Q42,MOD(CF$1-Units!$Q42,12)=0),IF(AND(Units!$L42=1,CF$1=Units!$Q42),IF(Units!$J42&lt;&gt;"",Units!$J42,Mkt!CF43),Inputs!$B$15*Mkt!CF43+(1-Inputs!$B$15)*MIN(Mkt!CF43,CE43*(1+Inputs!$B$18))),CE43)))</f>
        <v>1820.92975220673</v>
      </c>
      <c r="CG43" s="11" t="n">
        <f aca="false">IF(CG$1&lt;Units!$P42,0,IF(AND(Units!$K42=0,CG$1=Units!$O42),Units!$R42,IF(AND(CG$1&gt;=Units!$Q42,MOD(CG$1-Units!$Q42,12)=0),IF(AND(Units!$L42=1,CG$1=Units!$Q42),IF(Units!$J42&lt;&gt;"",Units!$J42,Mkt!CG43),Inputs!$B$15*Mkt!CG43+(1-Inputs!$B$15)*MIN(Mkt!CG43,CF43*(1+Inputs!$B$18))),CF43)))</f>
        <v>1820.92975220673</v>
      </c>
      <c r="CH43" s="11" t="n">
        <f aca="false">IF(CH$1&lt;Units!$P42,0,IF(AND(Units!$K42=0,CH$1=Units!$O42),Units!$R42,IF(AND(CH$1&gt;=Units!$Q42,MOD(CH$1-Units!$Q42,12)=0),IF(AND(Units!$L42=1,CH$1=Units!$Q42),IF(Units!$J42&lt;&gt;"",Units!$J42,Mkt!CH43),Inputs!$B$15*Mkt!CH43+(1-Inputs!$B$15)*MIN(Mkt!CH43,CG43*(1+Inputs!$B$18))),CG43)))</f>
        <v>1820.92975220673</v>
      </c>
      <c r="CI43" s="11" t="n">
        <f aca="false">IF(CI$1&lt;Units!$P42,0,IF(AND(Units!$K42=0,CI$1=Units!$O42),Units!$R42,IF(AND(CI$1&gt;=Units!$Q42,MOD(CI$1-Units!$Q42,12)=0),IF(AND(Units!$L42=1,CI$1=Units!$Q42),IF(Units!$J42&lt;&gt;"",Units!$J42,Mkt!CI43),Inputs!$B$15*Mkt!CI43+(1-Inputs!$B$15)*MIN(Mkt!CI43,CH43*(1+Inputs!$B$18))),CH43)))</f>
        <v>1820.92975220673</v>
      </c>
      <c r="CJ43" s="11" t="n">
        <f aca="false">IF(CJ$1&lt;Units!$P42,0,IF(AND(Units!$K42=0,CJ$1=Units!$O42),Units!$R42,IF(AND(CJ$1&gt;=Units!$Q42,MOD(CJ$1-Units!$Q42,12)=0),IF(AND(Units!$L42=1,CJ$1=Units!$Q42),IF(Units!$J42&lt;&gt;"",Units!$J42,Mkt!CJ43),Inputs!$B$15*Mkt!CJ43+(1-Inputs!$B$15)*MIN(Mkt!CJ43,CI43*(1+Inputs!$B$18))),CI43)))</f>
        <v>1820.92975220673</v>
      </c>
      <c r="CK43" s="11" t="n">
        <f aca="false">IF(CK$1&lt;Units!$P42,0,IF(AND(Units!$K42=0,CK$1=Units!$O42),Units!$R42,IF(AND(CK$1&gt;=Units!$Q42,MOD(CK$1-Units!$Q42,12)=0),IF(AND(Units!$L42=1,CK$1=Units!$Q42),IF(Units!$J42&lt;&gt;"",Units!$J42,Mkt!CK43),Inputs!$B$15*Mkt!CK43+(1-Inputs!$B$15)*MIN(Mkt!CK43,CJ43*(1+Inputs!$B$18))),CJ43)))</f>
        <v>1820.92975220673</v>
      </c>
      <c r="CL43" s="11" t="n">
        <f aca="false">IF(CL$1&lt;Units!$P42,0,IF(AND(Units!$K42=0,CL$1=Units!$O42),Units!$R42,IF(AND(CL$1&gt;=Units!$Q42,MOD(CL$1-Units!$Q42,12)=0),IF(AND(Units!$L42=1,CL$1=Units!$Q42),IF(Units!$J42&lt;&gt;"",Units!$J42,Mkt!CL43),Inputs!$B$15*Mkt!CL43+(1-Inputs!$B$15)*MIN(Mkt!CL43,CK43*(1+Inputs!$B$18))),CK43)))</f>
        <v>1875.55764477293</v>
      </c>
      <c r="CM43" s="11" t="n">
        <f aca="false">IF(CM$1&lt;Units!$P42,0,IF(AND(Units!$K42=0,CM$1=Units!$O42),Units!$R42,IF(AND(CM$1&gt;=Units!$Q42,MOD(CM$1-Units!$Q42,12)=0),IF(AND(Units!$L42=1,CM$1=Units!$Q42),IF(Units!$J42&lt;&gt;"",Units!$J42,Mkt!CM43),Inputs!$B$15*Mkt!CM43+(1-Inputs!$B$15)*MIN(Mkt!CM43,CL43*(1+Inputs!$B$18))),CL43)))</f>
        <v>1875.55764477293</v>
      </c>
      <c r="CN43" s="11" t="n">
        <f aca="false">IF(CN$1&lt;Units!$P42,0,IF(AND(Units!$K42=0,CN$1=Units!$O42),Units!$R42,IF(AND(CN$1&gt;=Units!$Q42,MOD(CN$1-Units!$Q42,12)=0),IF(AND(Units!$L42=1,CN$1=Units!$Q42),IF(Units!$J42&lt;&gt;"",Units!$J42,Mkt!CN43),Inputs!$B$15*Mkt!CN43+(1-Inputs!$B$15)*MIN(Mkt!CN43,CM43*(1+Inputs!$B$18))),CM43)))</f>
        <v>1875.55764477293</v>
      </c>
      <c r="CO43" s="11" t="n">
        <f aca="false">IF(CO$1&lt;Units!$P42,0,IF(AND(Units!$K42=0,CO$1=Units!$O42),Units!$R42,IF(AND(CO$1&gt;=Units!$Q42,MOD(CO$1-Units!$Q42,12)=0),IF(AND(Units!$L42=1,CO$1=Units!$Q42),IF(Units!$J42&lt;&gt;"",Units!$J42,Mkt!CO43),Inputs!$B$15*Mkt!CO43+(1-Inputs!$B$15)*MIN(Mkt!CO43,CN43*(1+Inputs!$B$18))),CN43)))</f>
        <v>1875.55764477293</v>
      </c>
      <c r="CP43" s="11" t="n">
        <f aca="false">IF(CP$1&lt;Units!$P42,0,IF(AND(Units!$K42=0,CP$1=Units!$O42),Units!$R42,IF(AND(CP$1&gt;=Units!$Q42,MOD(CP$1-Units!$Q42,12)=0),IF(AND(Units!$L42=1,CP$1=Units!$Q42),IF(Units!$J42&lt;&gt;"",Units!$J42,Mkt!CP43),Inputs!$B$15*Mkt!CP43+(1-Inputs!$B$15)*MIN(Mkt!CP43,CO43*(1+Inputs!$B$18))),CO43)))</f>
        <v>1875.55764477293</v>
      </c>
      <c r="CQ43" s="11" t="n">
        <f aca="false">IF(CQ$1&lt;Units!$P42,0,IF(AND(Units!$K42=0,CQ$1=Units!$O42),Units!$R42,IF(AND(CQ$1&gt;=Units!$Q42,MOD(CQ$1-Units!$Q42,12)=0),IF(AND(Units!$L42=1,CQ$1=Units!$Q42),IF(Units!$J42&lt;&gt;"",Units!$J42,Mkt!CQ43),Inputs!$B$15*Mkt!CQ43+(1-Inputs!$B$15)*MIN(Mkt!CQ43,CP43*(1+Inputs!$B$18))),CP43)))</f>
        <v>1875.55764477293</v>
      </c>
      <c r="CR43" s="11" t="n">
        <f aca="false">IF(CR$1&lt;Units!$P42,0,IF(AND(Units!$K42=0,CR$1=Units!$O42),Units!$R42,IF(AND(CR$1&gt;=Units!$Q42,MOD(CR$1-Units!$Q42,12)=0),IF(AND(Units!$L42=1,CR$1=Units!$Q42),IF(Units!$J42&lt;&gt;"",Units!$J42,Mkt!CR43),Inputs!$B$15*Mkt!CR43+(1-Inputs!$B$15)*MIN(Mkt!CR43,CQ43*(1+Inputs!$B$18))),CQ43)))</f>
        <v>1875.55764477293</v>
      </c>
      <c r="CS43" s="11" t="n">
        <f aca="false">IF(CS$1&lt;Units!$P42,0,IF(AND(Units!$K42=0,CS$1=Units!$O42),Units!$R42,IF(AND(CS$1&gt;=Units!$Q42,MOD(CS$1-Units!$Q42,12)=0),IF(AND(Units!$L42=1,CS$1=Units!$Q42),IF(Units!$J42&lt;&gt;"",Units!$J42,Mkt!CS43),Inputs!$B$15*Mkt!CS43+(1-Inputs!$B$15)*MIN(Mkt!CS43,CR43*(1+Inputs!$B$18))),CR43)))</f>
        <v>1875.55764477293</v>
      </c>
      <c r="CT43" s="11" t="n">
        <f aca="false">IF(CT$1&lt;Units!$P42,0,IF(AND(Units!$K42=0,CT$1=Units!$O42),Units!$R42,IF(AND(CT$1&gt;=Units!$Q42,MOD(CT$1-Units!$Q42,12)=0),IF(AND(Units!$L42=1,CT$1=Units!$Q42),IF(Units!$J42&lt;&gt;"",Units!$J42,Mkt!CT43),Inputs!$B$15*Mkt!CT43+(1-Inputs!$B$15)*MIN(Mkt!CT43,CS43*(1+Inputs!$B$18))),CS43)))</f>
        <v>1875.55764477293</v>
      </c>
      <c r="CU43" s="11" t="n">
        <f aca="false">IF(CU$1&lt;Units!$P42,0,IF(AND(Units!$K42=0,CU$1=Units!$O42),Units!$R42,IF(AND(CU$1&gt;=Units!$Q42,MOD(CU$1-Units!$Q42,12)=0),IF(AND(Units!$L42=1,CU$1=Units!$Q42),IF(Units!$J42&lt;&gt;"",Units!$J42,Mkt!CU43),Inputs!$B$15*Mkt!CU43+(1-Inputs!$B$15)*MIN(Mkt!CU43,CT43*(1+Inputs!$B$18))),CT43)))</f>
        <v>1875.55764477293</v>
      </c>
      <c r="CV43" s="11" t="n">
        <f aca="false">IF(CV$1&lt;Units!$P42,0,IF(AND(Units!$K42=0,CV$1=Units!$O42),Units!$R42,IF(AND(CV$1&gt;=Units!$Q42,MOD(CV$1-Units!$Q42,12)=0),IF(AND(Units!$L42=1,CV$1=Units!$Q42),IF(Units!$J42&lt;&gt;"",Units!$J42,Mkt!CV43),Inputs!$B$15*Mkt!CV43+(1-Inputs!$B$15)*MIN(Mkt!CV43,CU43*(1+Inputs!$B$18))),CU43)))</f>
        <v>1875.55764477293</v>
      </c>
      <c r="CW43" s="11" t="n">
        <f aca="false">IF(CW$1&lt;Units!$P42,0,IF(AND(Units!$K42=0,CW$1=Units!$O42),Units!$R42,IF(AND(CW$1&gt;=Units!$Q42,MOD(CW$1-Units!$Q42,12)=0),IF(AND(Units!$L42=1,CW$1=Units!$Q42),IF(Units!$J42&lt;&gt;"",Units!$J42,Mkt!CW43),Inputs!$B$15*Mkt!CW43+(1-Inputs!$B$15)*MIN(Mkt!CW43,CV43*(1+Inputs!$B$18))),CV43)))</f>
        <v>1875.55764477293</v>
      </c>
      <c r="CX43" s="11" t="n">
        <f aca="false">IF(CX$1&lt;Units!$P42,0,IF(AND(Units!$K42=0,CX$1=Units!$O42),Units!$R42,IF(AND(CX$1&gt;=Units!$Q42,MOD(CX$1-Units!$Q42,12)=0),IF(AND(Units!$L42=1,CX$1=Units!$Q42),IF(Units!$J42&lt;&gt;"",Units!$J42,Mkt!CX43),Inputs!$B$15*Mkt!CX43+(1-Inputs!$B$15)*MIN(Mkt!CX43,CW43*(1+Inputs!$B$18))),CW43)))</f>
        <v>1931.82437411612</v>
      </c>
      <c r="CY43" s="11" t="n">
        <f aca="false">IF(CY$1&lt;Units!$P42,0,IF(AND(Units!$K42=0,CY$1=Units!$O42),Units!$R42,IF(AND(CY$1&gt;=Units!$Q42,MOD(CY$1-Units!$Q42,12)=0),IF(AND(Units!$L42=1,CY$1=Units!$Q42),IF(Units!$J42&lt;&gt;"",Units!$J42,Mkt!CY43),Inputs!$B$15*Mkt!CY43+(1-Inputs!$B$15)*MIN(Mkt!CY43,CX43*(1+Inputs!$B$18))),CX43)))</f>
        <v>1931.82437411612</v>
      </c>
      <c r="CZ43" s="11" t="n">
        <f aca="false">IF(CZ$1&lt;Units!$P42,0,IF(AND(Units!$K42=0,CZ$1=Units!$O42),Units!$R42,IF(AND(CZ$1&gt;=Units!$Q42,MOD(CZ$1-Units!$Q42,12)=0),IF(AND(Units!$L42=1,CZ$1=Units!$Q42),IF(Units!$J42&lt;&gt;"",Units!$J42,Mkt!CZ43),Inputs!$B$15*Mkt!CZ43+(1-Inputs!$B$15)*MIN(Mkt!CZ43,CY43*(1+Inputs!$B$18))),CY43)))</f>
        <v>1931.82437411612</v>
      </c>
      <c r="DA43" s="11" t="n">
        <f aca="false">IF(DA$1&lt;Units!$P42,0,IF(AND(Units!$K42=0,DA$1=Units!$O42),Units!$R42,IF(AND(DA$1&gt;=Units!$Q42,MOD(DA$1-Units!$Q42,12)=0),IF(AND(Units!$L42=1,DA$1=Units!$Q42),IF(Units!$J42&lt;&gt;"",Units!$J42,Mkt!DA43),Inputs!$B$15*Mkt!DA43+(1-Inputs!$B$15)*MIN(Mkt!DA43,CZ43*(1+Inputs!$B$18))),CZ43)))</f>
        <v>1931.82437411612</v>
      </c>
      <c r="DB43" s="11" t="n">
        <f aca="false">IF(DB$1&lt;Units!$P42,0,IF(AND(Units!$K42=0,DB$1=Units!$O42),Units!$R42,IF(AND(DB$1&gt;=Units!$Q42,MOD(DB$1-Units!$Q42,12)=0),IF(AND(Units!$L42=1,DB$1=Units!$Q42),IF(Units!$J42&lt;&gt;"",Units!$J42,Mkt!DB43),Inputs!$B$15*Mkt!DB43+(1-Inputs!$B$15)*MIN(Mkt!DB43,DA43*(1+Inputs!$B$18))),DA43)))</f>
        <v>1931.82437411612</v>
      </c>
      <c r="DC43" s="11" t="n">
        <f aca="false">IF(DC$1&lt;Units!$P42,0,IF(AND(Units!$K42=0,DC$1=Units!$O42),Units!$R42,IF(AND(DC$1&gt;=Units!$Q42,MOD(DC$1-Units!$Q42,12)=0),IF(AND(Units!$L42=1,DC$1=Units!$Q42),IF(Units!$J42&lt;&gt;"",Units!$J42,Mkt!DC43),Inputs!$B$15*Mkt!DC43+(1-Inputs!$B$15)*MIN(Mkt!DC43,DB43*(1+Inputs!$B$18))),DB43)))</f>
        <v>1931.82437411612</v>
      </c>
      <c r="DD43" s="11" t="n">
        <f aca="false">IF(DD$1&lt;Units!$P42,0,IF(AND(Units!$K42=0,DD$1=Units!$O42),Units!$R42,IF(AND(DD$1&gt;=Units!$Q42,MOD(DD$1-Units!$Q42,12)=0),IF(AND(Units!$L42=1,DD$1=Units!$Q42),IF(Units!$J42&lt;&gt;"",Units!$J42,Mkt!DD43),Inputs!$B$15*Mkt!DD43+(1-Inputs!$B$15)*MIN(Mkt!DD43,DC43*(1+Inputs!$B$18))),DC43)))</f>
        <v>1931.82437411612</v>
      </c>
      <c r="DE43" s="11" t="n">
        <f aca="false">IF(DE$1&lt;Units!$P42,0,IF(AND(Units!$K42=0,DE$1=Units!$O42),Units!$R42,IF(AND(DE$1&gt;=Units!$Q42,MOD(DE$1-Units!$Q42,12)=0),IF(AND(Units!$L42=1,DE$1=Units!$Q42),IF(Units!$J42&lt;&gt;"",Units!$J42,Mkt!DE43),Inputs!$B$15*Mkt!DE43+(1-Inputs!$B$15)*MIN(Mkt!DE43,DD43*(1+Inputs!$B$18))),DD43)))</f>
        <v>1931.82437411612</v>
      </c>
      <c r="DF43" s="11" t="n">
        <f aca="false">IF(DF$1&lt;Units!$P42,0,IF(AND(Units!$K42=0,DF$1=Units!$O42),Units!$R42,IF(AND(DF$1&gt;=Units!$Q42,MOD(DF$1-Units!$Q42,12)=0),IF(AND(Units!$L42=1,DF$1=Units!$Q42),IF(Units!$J42&lt;&gt;"",Units!$J42,Mkt!DF43),Inputs!$B$15*Mkt!DF43+(1-Inputs!$B$15)*MIN(Mkt!DF43,DE43*(1+Inputs!$B$18))),DE43)))</f>
        <v>1931.82437411612</v>
      </c>
      <c r="DG43" s="11" t="n">
        <f aca="false">IF(DG$1&lt;Units!$P42,0,IF(AND(Units!$K42=0,DG$1=Units!$O42),Units!$R42,IF(AND(DG$1&gt;=Units!$Q42,MOD(DG$1-Units!$Q42,12)=0),IF(AND(Units!$L42=1,DG$1=Units!$Q42),IF(Units!$J42&lt;&gt;"",Units!$J42,Mkt!DG43),Inputs!$B$15*Mkt!DG43+(1-Inputs!$B$15)*MIN(Mkt!DG43,DF43*(1+Inputs!$B$18))),DF43)))</f>
        <v>1931.82437411612</v>
      </c>
      <c r="DH43" s="11" t="n">
        <f aca="false">IF(DH$1&lt;Units!$P42,0,IF(AND(Units!$K42=0,DH$1=Units!$O42),Units!$R42,IF(AND(DH$1&gt;=Units!$Q42,MOD(DH$1-Units!$Q42,12)=0),IF(AND(Units!$L42=1,DH$1=Units!$Q42),IF(Units!$J42&lt;&gt;"",Units!$J42,Mkt!DH43),Inputs!$B$15*Mkt!DH43+(1-Inputs!$B$15)*MIN(Mkt!DH43,DG43*(1+Inputs!$B$18))),DG43)))</f>
        <v>1931.82437411612</v>
      </c>
      <c r="DI43" s="11" t="n">
        <f aca="false">IF(DI$1&lt;Units!$P42,0,IF(AND(Units!$K42=0,DI$1=Units!$O42),Units!$R42,IF(AND(DI$1&gt;=Units!$Q42,MOD(DI$1-Units!$Q42,12)=0),IF(AND(Units!$L42=1,DI$1=Units!$Q42),IF(Units!$J42&lt;&gt;"",Units!$J42,Mkt!DI43),Inputs!$B$15*Mkt!DI43+(1-Inputs!$B$15)*MIN(Mkt!DI43,DH43*(1+Inputs!$B$18))),DH43)))</f>
        <v>1931.82437411612</v>
      </c>
      <c r="DJ43" s="11" t="n">
        <f aca="false">IF(DJ$1&lt;Units!$P42,0,IF(AND(Units!$K42=0,DJ$1=Units!$O42),Units!$R42,IF(AND(DJ$1&gt;=Units!$Q42,MOD(DJ$1-Units!$Q42,12)=0),IF(AND(Units!$L42=1,DJ$1=Units!$Q42),IF(Units!$J42&lt;&gt;"",Units!$J42,Mkt!DJ43),Inputs!$B$15*Mkt!DJ43+(1-Inputs!$B$15)*MIN(Mkt!DJ43,DI43*(1+Inputs!$B$18))),DI43)))</f>
        <v>1989.7791053396</v>
      </c>
      <c r="DK43" s="11" t="n">
        <f aca="false">IF(DK$1&lt;Units!$P42,0,IF(AND(Units!$K42=0,DK$1=Units!$O42),Units!$R42,IF(AND(DK$1&gt;=Units!$Q42,MOD(DK$1-Units!$Q42,12)=0),IF(AND(Units!$L42=1,DK$1=Units!$Q42),IF(Units!$J42&lt;&gt;"",Units!$J42,Mkt!DK43),Inputs!$B$15*Mkt!DK43+(1-Inputs!$B$15)*MIN(Mkt!DK43,DJ43*(1+Inputs!$B$18))),DJ43)))</f>
        <v>1989.7791053396</v>
      </c>
      <c r="DL43" s="11" t="n">
        <f aca="false">IF(DL$1&lt;Units!$P42,0,IF(AND(Units!$K42=0,DL$1=Units!$O42),Units!$R42,IF(AND(DL$1&gt;=Units!$Q42,MOD(DL$1-Units!$Q42,12)=0),IF(AND(Units!$L42=1,DL$1=Units!$Q42),IF(Units!$J42&lt;&gt;"",Units!$J42,Mkt!DL43),Inputs!$B$15*Mkt!DL43+(1-Inputs!$B$15)*MIN(Mkt!DL43,DK43*(1+Inputs!$B$18))),DK43)))</f>
        <v>1989.7791053396</v>
      </c>
      <c r="DM43" s="11" t="n">
        <f aca="false">IF(DM$1&lt;Units!$P42,0,IF(AND(Units!$K42=0,DM$1=Units!$O42),Units!$R42,IF(AND(DM$1&gt;=Units!$Q42,MOD(DM$1-Units!$Q42,12)=0),IF(AND(Units!$L42=1,DM$1=Units!$Q42),IF(Units!$J42&lt;&gt;"",Units!$J42,Mkt!DM43),Inputs!$B$15*Mkt!DM43+(1-Inputs!$B$15)*MIN(Mkt!DM43,DL43*(1+Inputs!$B$18))),DL43)))</f>
        <v>1989.7791053396</v>
      </c>
      <c r="DN43" s="11" t="n">
        <f aca="false">IF(DN$1&lt;Units!$P42,0,IF(AND(Units!$K42=0,DN$1=Units!$O42),Units!$R42,IF(AND(DN$1&gt;=Units!$Q42,MOD(DN$1-Units!$Q42,12)=0),IF(AND(Units!$L42=1,DN$1=Units!$Q42),IF(Units!$J42&lt;&gt;"",Units!$J42,Mkt!DN43),Inputs!$B$15*Mkt!DN43+(1-Inputs!$B$15)*MIN(Mkt!DN43,DM43*(1+Inputs!$B$18))),DM43)))</f>
        <v>1989.7791053396</v>
      </c>
      <c r="DO43" s="11" t="n">
        <f aca="false">IF(DO$1&lt;Units!$P42,0,IF(AND(Units!$K42=0,DO$1=Units!$O42),Units!$R42,IF(AND(DO$1&gt;=Units!$Q42,MOD(DO$1-Units!$Q42,12)=0),IF(AND(Units!$L42=1,DO$1=Units!$Q42),IF(Units!$J42&lt;&gt;"",Units!$J42,Mkt!DO43),Inputs!$B$15*Mkt!DO43+(1-Inputs!$B$15)*MIN(Mkt!DO43,DN43*(1+Inputs!$B$18))),DN43)))</f>
        <v>1989.7791053396</v>
      </c>
      <c r="DP43" s="11" t="n">
        <f aca="false">IF(DP$1&lt;Units!$P42,0,IF(AND(Units!$K42=0,DP$1=Units!$O42),Units!$R42,IF(AND(DP$1&gt;=Units!$Q42,MOD(DP$1-Units!$Q42,12)=0),IF(AND(Units!$L42=1,DP$1=Units!$Q42),IF(Units!$J42&lt;&gt;"",Units!$J42,Mkt!DP43),Inputs!$B$15*Mkt!DP43+(1-Inputs!$B$15)*MIN(Mkt!DP43,DO43*(1+Inputs!$B$18))),DO43)))</f>
        <v>1989.7791053396</v>
      </c>
      <c r="DQ43" s="11" t="n">
        <f aca="false">IF(DQ$1&lt;Units!$P42,0,IF(AND(Units!$K42=0,DQ$1=Units!$O42),Units!$R42,IF(AND(DQ$1&gt;=Units!$Q42,MOD(DQ$1-Units!$Q42,12)=0),IF(AND(Units!$L42=1,DQ$1=Units!$Q42),IF(Units!$J42&lt;&gt;"",Units!$J42,Mkt!DQ43),Inputs!$B$15*Mkt!DQ43+(1-Inputs!$B$15)*MIN(Mkt!DQ43,DP43*(1+Inputs!$B$18))),DP43)))</f>
        <v>1989.7791053396</v>
      </c>
      <c r="DR43" s="11" t="n">
        <f aca="false">IF(DR$1&lt;Units!$P42,0,IF(AND(Units!$K42=0,DR$1=Units!$O42),Units!$R42,IF(AND(DR$1&gt;=Units!$Q42,MOD(DR$1-Units!$Q42,12)=0),IF(AND(Units!$L42=1,DR$1=Units!$Q42),IF(Units!$J42&lt;&gt;"",Units!$J42,Mkt!DR43),Inputs!$B$15*Mkt!DR43+(1-Inputs!$B$15)*MIN(Mkt!DR43,DQ43*(1+Inputs!$B$18))),DQ43)))</f>
        <v>1989.7791053396</v>
      </c>
      <c r="DS43" s="11" t="n">
        <f aca="false">IF(DS$1&lt;Units!$P42,0,IF(AND(Units!$K42=0,DS$1=Units!$O42),Units!$R42,IF(AND(DS$1&gt;=Units!$Q42,MOD(DS$1-Units!$Q42,12)=0),IF(AND(Units!$L42=1,DS$1=Units!$Q42),IF(Units!$J42&lt;&gt;"",Units!$J42,Mkt!DS43),Inputs!$B$15*Mkt!DS43+(1-Inputs!$B$15)*MIN(Mkt!DS43,DR43*(1+Inputs!$B$18))),DR43)))</f>
        <v>1989.7791053396</v>
      </c>
      <c r="DT43" s="11" t="n">
        <f aca="false">IF(DT$1&lt;Units!$P42,0,IF(AND(Units!$K42=0,DT$1=Units!$O42),Units!$R42,IF(AND(DT$1&gt;=Units!$Q42,MOD(DT$1-Units!$Q42,12)=0),IF(AND(Units!$L42=1,DT$1=Units!$Q42),IF(Units!$J42&lt;&gt;"",Units!$J42,Mkt!DT43),Inputs!$B$15*Mkt!DT43+(1-Inputs!$B$15)*MIN(Mkt!DT43,DS43*(1+Inputs!$B$18))),DS43)))</f>
        <v>1989.7791053396</v>
      </c>
      <c r="DU43" s="11" t="n">
        <f aca="false">IF(DU$1&lt;Units!$P42,0,IF(AND(Units!$K42=0,DU$1=Units!$O42),Units!$R42,IF(AND(DU$1&gt;=Units!$Q42,MOD(DU$1-Units!$Q42,12)=0),IF(AND(Units!$L42=1,DU$1=Units!$Q42),IF(Units!$J42&lt;&gt;"",Units!$J42,Mkt!DU43),Inputs!$B$15*Mkt!DU43+(1-Inputs!$B$15)*MIN(Mkt!DU43,DT43*(1+Inputs!$B$18))),DT43)))</f>
        <v>1989.7791053396</v>
      </c>
      <c r="DV43" s="11" t="n">
        <f aca="false">IF(DV$1&lt;Units!$P42,0,IF(AND(Units!$K42=0,DV$1=Units!$O42),Units!$R42,IF(AND(DV$1&gt;=Units!$Q42,MOD(DV$1-Units!$Q42,12)=0),IF(AND(Units!$L42=1,DV$1=Units!$Q42),IF(Units!$J42&lt;&gt;"",Units!$J42,Mkt!DV43),Inputs!$B$15*Mkt!DV43+(1-Inputs!$B$15)*MIN(Mkt!DV43,DU43*(1+Inputs!$B$18))),DU43)))</f>
        <v>2049.47247849979</v>
      </c>
      <c r="DW43" s="11" t="n">
        <f aca="false">IF(DW$1&lt;Units!$P42,0,IF(AND(Units!$K42=0,DW$1=Units!$O42),Units!$R42,IF(AND(DW$1&gt;=Units!$Q42,MOD(DW$1-Units!$Q42,12)=0),IF(AND(Units!$L42=1,DW$1=Units!$Q42),IF(Units!$J42&lt;&gt;"",Units!$J42,Mkt!DW43),Inputs!$B$15*Mkt!DW43+(1-Inputs!$B$15)*MIN(Mkt!DW43,DV43*(1+Inputs!$B$18))),DV43)))</f>
        <v>2049.47247849979</v>
      </c>
      <c r="DX43" s="11" t="n">
        <f aca="false">IF(DX$1&lt;Units!$P42,0,IF(AND(Units!$K42=0,DX$1=Units!$O42),Units!$R42,IF(AND(DX$1&gt;=Units!$Q42,MOD(DX$1-Units!$Q42,12)=0),IF(AND(Units!$L42=1,DX$1=Units!$Q42),IF(Units!$J42&lt;&gt;"",Units!$J42,Mkt!DX43),Inputs!$B$15*Mkt!DX43+(1-Inputs!$B$15)*MIN(Mkt!DX43,DW43*(1+Inputs!$B$18))),DW43)))</f>
        <v>2049.47247849979</v>
      </c>
      <c r="DY43" s="11" t="n">
        <f aca="false">IF(DY$1&lt;Units!$P42,0,IF(AND(Units!$K42=0,DY$1=Units!$O42),Units!$R42,IF(AND(DY$1&gt;=Units!$Q42,MOD(DY$1-Units!$Q42,12)=0),IF(AND(Units!$L42=1,DY$1=Units!$Q42),IF(Units!$J42&lt;&gt;"",Units!$J42,Mkt!DY43),Inputs!$B$15*Mkt!DY43+(1-Inputs!$B$15)*MIN(Mkt!DY43,DX43*(1+Inputs!$B$18))),DX43)))</f>
        <v>2049.47247849979</v>
      </c>
      <c r="DZ43" s="11" t="n">
        <f aca="false">IF(DZ$1&lt;Units!$P42,0,IF(AND(Units!$K42=0,DZ$1=Units!$O42),Units!$R42,IF(AND(DZ$1&gt;=Units!$Q42,MOD(DZ$1-Units!$Q42,12)=0),IF(AND(Units!$L42=1,DZ$1=Units!$Q42),IF(Units!$J42&lt;&gt;"",Units!$J42,Mkt!DZ43),Inputs!$B$15*Mkt!DZ43+(1-Inputs!$B$15)*MIN(Mkt!DZ43,DY43*(1+Inputs!$B$18))),DY43)))</f>
        <v>2049.47247849979</v>
      </c>
      <c r="EA43" s="11" t="n">
        <f aca="false">IF(EA$1&lt;Units!$P42,0,IF(AND(Units!$K42=0,EA$1=Units!$O42),Units!$R42,IF(AND(EA$1&gt;=Units!$Q42,MOD(EA$1-Units!$Q42,12)=0),IF(AND(Units!$L42=1,EA$1=Units!$Q42),IF(Units!$J42&lt;&gt;"",Units!$J42,Mkt!EA43),Inputs!$B$15*Mkt!EA43+(1-Inputs!$B$15)*MIN(Mkt!EA43,DZ43*(1+Inputs!$B$18))),DZ43)))</f>
        <v>2049.47247849979</v>
      </c>
      <c r="EB43" s="11" t="n">
        <f aca="false">IF(EB$1&lt;Units!$P42,0,IF(AND(Units!$K42=0,EB$1=Units!$O42),Units!$R42,IF(AND(EB$1&gt;=Units!$Q42,MOD(EB$1-Units!$Q42,12)=0),IF(AND(Units!$L42=1,EB$1=Units!$Q42),IF(Units!$J42&lt;&gt;"",Units!$J42,Mkt!EB43),Inputs!$B$15*Mkt!EB43+(1-Inputs!$B$15)*MIN(Mkt!EB43,EA43*(1+Inputs!$B$18))),EA43)))</f>
        <v>2049.47247849979</v>
      </c>
      <c r="EC43" s="11" t="n">
        <f aca="false">IF(EC$1&lt;Units!$P42,0,IF(AND(Units!$K42=0,EC$1=Units!$O42),Units!$R42,IF(AND(EC$1&gt;=Units!$Q42,MOD(EC$1-Units!$Q42,12)=0),IF(AND(Units!$L42=1,EC$1=Units!$Q42),IF(Units!$J42&lt;&gt;"",Units!$J42,Mkt!EC43),Inputs!$B$15*Mkt!EC43+(1-Inputs!$B$15)*MIN(Mkt!EC43,EB43*(1+Inputs!$B$18))),EB43)))</f>
        <v>2049.47247849979</v>
      </c>
      <c r="ED43" s="11" t="n">
        <f aca="false">IF(ED$1&lt;Units!$P42,0,IF(AND(Units!$K42=0,ED$1=Units!$O42),Units!$R42,IF(AND(ED$1&gt;=Units!$Q42,MOD(ED$1-Units!$Q42,12)=0),IF(AND(Units!$L42=1,ED$1=Units!$Q42),IF(Units!$J42&lt;&gt;"",Units!$J42,Mkt!ED43),Inputs!$B$15*Mkt!ED43+(1-Inputs!$B$15)*MIN(Mkt!ED43,EC43*(1+Inputs!$B$18))),EC43)))</f>
        <v>2049.47247849979</v>
      </c>
    </row>
    <row r="44" customFormat="false" ht="15" hidden="false" customHeight="false" outlineLevel="0" collapsed="false">
      <c r="A44" s="22" t="n">
        <f aca="false">Units!A43</f>
        <v>212</v>
      </c>
      <c r="B44" s="24" t="n">
        <f aca="false">IF(Units!K43=1,Units!F43,0)</f>
        <v>1390</v>
      </c>
      <c r="C44" s="11" t="n">
        <f aca="false">IF(C$1&lt;Units!$P43,0,IF(AND(Units!$K43=0,C$1=Units!$O43),Units!$R43,IF(AND(C$1&gt;=Units!$Q43,MOD(C$1-Units!$Q43,12)=0),IF(AND(Units!$L43=1,C$1=Units!$Q43),IF(Units!$J43&lt;&gt;"",Units!$J43,Mkt!C44),Inputs!$B$15*Mkt!C44+(1-Inputs!$B$15)*MIN(Mkt!C44,B44*(1+Inputs!$B$18))),B44)))</f>
        <v>1390</v>
      </c>
      <c r="D44" s="11" t="n">
        <f aca="false">IF(D$1&lt;Units!$P43,0,IF(AND(Units!$K43=0,D$1=Units!$O43),Units!$R43,IF(AND(D$1&gt;=Units!$Q43,MOD(D$1-Units!$Q43,12)=0),IF(AND(Units!$L43=1,D$1=Units!$Q43),IF(Units!$J43&lt;&gt;"",Units!$J43,Mkt!D44),Inputs!$B$15*Mkt!D44+(1-Inputs!$B$15)*MIN(Mkt!D44,C44*(1+Inputs!$B$18))),C44)))</f>
        <v>1390</v>
      </c>
      <c r="E44" s="11" t="n">
        <f aca="false">IF(E$1&lt;Units!$P43,0,IF(AND(Units!$K43=0,E$1=Units!$O43),Units!$R43,IF(AND(E$1&gt;=Units!$Q43,MOD(E$1-Units!$Q43,12)=0),IF(AND(Units!$L43=1,E$1=Units!$Q43),IF(Units!$J43&lt;&gt;"",Units!$J43,Mkt!E44),Inputs!$B$15*Mkt!E44+(1-Inputs!$B$15)*MIN(Mkt!E44,D44*(1+Inputs!$B$18))),D44)))</f>
        <v>1390</v>
      </c>
      <c r="F44" s="11" t="n">
        <f aca="false">IF(F$1&lt;Units!$P43,0,IF(AND(Units!$K43=0,F$1=Units!$O43),Units!$R43,IF(AND(F$1&gt;=Units!$Q43,MOD(F$1-Units!$Q43,12)=0),IF(AND(Units!$L43=1,F$1=Units!$Q43),IF(Units!$J43&lt;&gt;"",Units!$J43,Mkt!F44),Inputs!$B$15*Mkt!F44+(1-Inputs!$B$15)*MIN(Mkt!F44,E44*(1+Inputs!$B$18))),E44)))</f>
        <v>1390</v>
      </c>
      <c r="G44" s="11" t="n">
        <f aca="false">IF(G$1&lt;Units!$P43,0,IF(AND(Units!$K43=0,G$1=Units!$O43),Units!$R43,IF(AND(G$1&gt;=Units!$Q43,MOD(G$1-Units!$Q43,12)=0),IF(AND(Units!$L43=1,G$1=Units!$Q43),IF(Units!$J43&lt;&gt;"",Units!$J43,Mkt!G44),Inputs!$B$15*Mkt!G44+(1-Inputs!$B$15)*MIN(Mkt!G44,F44*(1+Inputs!$B$18))),F44)))</f>
        <v>1390</v>
      </c>
      <c r="H44" s="11" t="n">
        <f aca="false">IF(H$1&lt;Units!$P43,0,IF(AND(Units!$K43=0,H$1=Units!$O43),Units!$R43,IF(AND(H$1&gt;=Units!$Q43,MOD(H$1-Units!$Q43,12)=0),IF(AND(Units!$L43=1,H$1=Units!$Q43),IF(Units!$J43&lt;&gt;"",Units!$J43,Mkt!H44),Inputs!$B$15*Mkt!H44+(1-Inputs!$B$15)*MIN(Mkt!H44,G44*(1+Inputs!$B$18))),G44)))</f>
        <v>1390</v>
      </c>
      <c r="I44" s="11" t="n">
        <f aca="false">IF(I$1&lt;Units!$P43,0,IF(AND(Units!$K43=0,I$1=Units!$O43),Units!$R43,IF(AND(I$1&gt;=Units!$Q43,MOD(I$1-Units!$Q43,12)=0),IF(AND(Units!$L43=1,I$1=Units!$Q43),IF(Units!$J43&lt;&gt;"",Units!$J43,Mkt!I44),Inputs!$B$15*Mkt!I44+(1-Inputs!$B$15)*MIN(Mkt!I44,H44*(1+Inputs!$B$18))),H44)))</f>
        <v>1390</v>
      </c>
      <c r="J44" s="11" t="n">
        <f aca="false">IF(J$1&lt;Units!$P43,0,IF(AND(Units!$K43=0,J$1=Units!$O43),Units!$R43,IF(AND(J$1&gt;=Units!$Q43,MOD(J$1-Units!$Q43,12)=0),IF(AND(Units!$L43=1,J$1=Units!$Q43),IF(Units!$J43&lt;&gt;"",Units!$J43,Mkt!J44),Inputs!$B$15*Mkt!J44+(1-Inputs!$B$15)*MIN(Mkt!J44,I44*(1+Inputs!$B$18))),I44)))</f>
        <v>1390</v>
      </c>
      <c r="K44" s="11" t="n">
        <f aca="false">IF(K$1&lt;Units!$P43,0,IF(AND(Units!$K43=0,K$1=Units!$O43),Units!$R43,IF(AND(K$1&gt;=Units!$Q43,MOD(K$1-Units!$Q43,12)=0),IF(AND(Units!$L43=1,K$1=Units!$Q43),IF(Units!$J43&lt;&gt;"",Units!$J43,Mkt!K44),Inputs!$B$15*Mkt!K44+(1-Inputs!$B$15)*MIN(Mkt!K44,J44*(1+Inputs!$B$18))),J44)))</f>
        <v>1492.25</v>
      </c>
      <c r="L44" s="11" t="n">
        <f aca="false">IF(L$1&lt;Units!$P43,0,IF(AND(Units!$K43=0,L$1=Units!$O43),Units!$R43,IF(AND(L$1&gt;=Units!$Q43,MOD(L$1-Units!$Q43,12)=0),IF(AND(Units!$L43=1,L$1=Units!$Q43),IF(Units!$J43&lt;&gt;"",Units!$J43,Mkt!L44),Inputs!$B$15*Mkt!L44+(1-Inputs!$B$15)*MIN(Mkt!L44,K44*(1+Inputs!$B$18))),K44)))</f>
        <v>1492.25</v>
      </c>
      <c r="M44" s="11" t="n">
        <f aca="false">IF(M$1&lt;Units!$P43,0,IF(AND(Units!$K43=0,M$1=Units!$O43),Units!$R43,IF(AND(M$1&gt;=Units!$Q43,MOD(M$1-Units!$Q43,12)=0),IF(AND(Units!$L43=1,M$1=Units!$Q43),IF(Units!$J43&lt;&gt;"",Units!$J43,Mkt!M44),Inputs!$B$15*Mkt!M44+(1-Inputs!$B$15)*MIN(Mkt!M44,L44*(1+Inputs!$B$18))),L44)))</f>
        <v>1492.25</v>
      </c>
      <c r="N44" s="11" t="n">
        <f aca="false">IF(N$1&lt;Units!$P43,0,IF(AND(Units!$K43=0,N$1=Units!$O43),Units!$R43,IF(AND(N$1&gt;=Units!$Q43,MOD(N$1-Units!$Q43,12)=0),IF(AND(Units!$L43=1,N$1=Units!$Q43),IF(Units!$J43&lt;&gt;"",Units!$J43,Mkt!N44),Inputs!$B$15*Mkt!N44+(1-Inputs!$B$15)*MIN(Mkt!N44,M44*(1+Inputs!$B$18))),M44)))</f>
        <v>1492.25</v>
      </c>
      <c r="O44" s="11" t="n">
        <f aca="false">IF(O$1&lt;Units!$P43,0,IF(AND(Units!$K43=0,O$1=Units!$O43),Units!$R43,IF(AND(O$1&gt;=Units!$Q43,MOD(O$1-Units!$Q43,12)=0),IF(AND(Units!$L43=1,O$1=Units!$Q43),IF(Units!$J43&lt;&gt;"",Units!$J43,Mkt!O44),Inputs!$B$15*Mkt!O44+(1-Inputs!$B$15)*MIN(Mkt!O44,N44*(1+Inputs!$B$18))),N44)))</f>
        <v>1492.25</v>
      </c>
      <c r="P44" s="11" t="n">
        <f aca="false">IF(P$1&lt;Units!$P43,0,IF(AND(Units!$K43=0,P$1=Units!$O43),Units!$R43,IF(AND(P$1&gt;=Units!$Q43,MOD(P$1-Units!$Q43,12)=0),IF(AND(Units!$L43=1,P$1=Units!$Q43),IF(Units!$J43&lt;&gt;"",Units!$J43,Mkt!P44),Inputs!$B$15*Mkt!P44+(1-Inputs!$B$15)*MIN(Mkt!P44,O44*(1+Inputs!$B$18))),O44)))</f>
        <v>1492.25</v>
      </c>
      <c r="Q44" s="11" t="n">
        <f aca="false">IF(Q$1&lt;Units!$P43,0,IF(AND(Units!$K43=0,Q$1=Units!$O43),Units!$R43,IF(AND(Q$1&gt;=Units!$Q43,MOD(Q$1-Units!$Q43,12)=0),IF(AND(Units!$L43=1,Q$1=Units!$Q43),IF(Units!$J43&lt;&gt;"",Units!$J43,Mkt!Q44),Inputs!$B$15*Mkt!Q44+(1-Inputs!$B$15)*MIN(Mkt!Q44,P44*(1+Inputs!$B$18))),P44)))</f>
        <v>1492.25</v>
      </c>
      <c r="R44" s="11" t="n">
        <f aca="false">IF(R$1&lt;Units!$P43,0,IF(AND(Units!$K43=0,R$1=Units!$O43),Units!$R43,IF(AND(R$1&gt;=Units!$Q43,MOD(R$1-Units!$Q43,12)=0),IF(AND(Units!$L43=1,R$1=Units!$Q43),IF(Units!$J43&lt;&gt;"",Units!$J43,Mkt!R44),Inputs!$B$15*Mkt!R44+(1-Inputs!$B$15)*MIN(Mkt!R44,Q44*(1+Inputs!$B$18))),Q44)))</f>
        <v>1492.25</v>
      </c>
      <c r="S44" s="11" t="n">
        <f aca="false">IF(S$1&lt;Units!$P43,0,IF(AND(Units!$K43=0,S$1=Units!$O43),Units!$R43,IF(AND(S$1&gt;=Units!$Q43,MOD(S$1-Units!$Q43,12)=0),IF(AND(Units!$L43=1,S$1=Units!$Q43),IF(Units!$J43&lt;&gt;"",Units!$J43,Mkt!S44),Inputs!$B$15*Mkt!S44+(1-Inputs!$B$15)*MIN(Mkt!S44,R44*(1+Inputs!$B$18))),R44)))</f>
        <v>1492.25</v>
      </c>
      <c r="T44" s="11" t="n">
        <f aca="false">IF(T$1&lt;Units!$P43,0,IF(AND(Units!$K43=0,T$1=Units!$O43),Units!$R43,IF(AND(T$1&gt;=Units!$Q43,MOD(T$1-Units!$Q43,12)=0),IF(AND(Units!$L43=1,T$1=Units!$Q43),IF(Units!$J43&lt;&gt;"",Units!$J43,Mkt!T44),Inputs!$B$15*Mkt!T44+(1-Inputs!$B$15)*MIN(Mkt!T44,S44*(1+Inputs!$B$18))),S44)))</f>
        <v>1492.25</v>
      </c>
      <c r="U44" s="11" t="n">
        <f aca="false">IF(U$1&lt;Units!$P43,0,IF(AND(Units!$K43=0,U$1=Units!$O43),Units!$R43,IF(AND(U$1&gt;=Units!$Q43,MOD(U$1-Units!$Q43,12)=0),IF(AND(Units!$L43=1,U$1=Units!$Q43),IF(Units!$J43&lt;&gt;"",Units!$J43,Mkt!U44),Inputs!$B$15*Mkt!U44+(1-Inputs!$B$15)*MIN(Mkt!U44,T44*(1+Inputs!$B$18))),T44)))</f>
        <v>1492.25</v>
      </c>
      <c r="V44" s="11" t="n">
        <f aca="false">IF(V$1&lt;Units!$P43,0,IF(AND(Units!$K43=0,V$1=Units!$O43),Units!$R43,IF(AND(V$1&gt;=Units!$Q43,MOD(V$1-Units!$Q43,12)=0),IF(AND(Units!$L43=1,V$1=Units!$Q43),IF(Units!$J43&lt;&gt;"",Units!$J43,Mkt!V44),Inputs!$B$15*Mkt!V44+(1-Inputs!$B$15)*MIN(Mkt!V44,U44*(1+Inputs!$B$18))),U44)))</f>
        <v>1492.25</v>
      </c>
      <c r="W44" s="11" t="n">
        <f aca="false">IF(W$1&lt;Units!$P43,0,IF(AND(Units!$K43=0,W$1=Units!$O43),Units!$R43,IF(AND(W$1&gt;=Units!$Q43,MOD(W$1-Units!$Q43,12)=0),IF(AND(Units!$L43=1,W$1=Units!$Q43),IF(Units!$J43&lt;&gt;"",Units!$J43,Mkt!W44),Inputs!$B$15*Mkt!W44+(1-Inputs!$B$15)*MIN(Mkt!W44,V44*(1+Inputs!$B$18))),V44)))</f>
        <v>1568.80625</v>
      </c>
      <c r="X44" s="11" t="n">
        <f aca="false">IF(X$1&lt;Units!$P43,0,IF(AND(Units!$K43=0,X$1=Units!$O43),Units!$R43,IF(AND(X$1&gt;=Units!$Q43,MOD(X$1-Units!$Q43,12)=0),IF(AND(Units!$L43=1,X$1=Units!$Q43),IF(Units!$J43&lt;&gt;"",Units!$J43,Mkt!X44),Inputs!$B$15*Mkt!X44+(1-Inputs!$B$15)*MIN(Mkt!X44,W44*(1+Inputs!$B$18))),W44)))</f>
        <v>1568.80625</v>
      </c>
      <c r="Y44" s="11" t="n">
        <f aca="false">IF(Y$1&lt;Units!$P43,0,IF(AND(Units!$K43=0,Y$1=Units!$O43),Units!$R43,IF(AND(Y$1&gt;=Units!$Q43,MOD(Y$1-Units!$Q43,12)=0),IF(AND(Units!$L43=1,Y$1=Units!$Q43),IF(Units!$J43&lt;&gt;"",Units!$J43,Mkt!Y44),Inputs!$B$15*Mkt!Y44+(1-Inputs!$B$15)*MIN(Mkt!Y44,X44*(1+Inputs!$B$18))),X44)))</f>
        <v>1568.80625</v>
      </c>
      <c r="Z44" s="11" t="n">
        <f aca="false">IF(Z$1&lt;Units!$P43,0,IF(AND(Units!$K43=0,Z$1=Units!$O43),Units!$R43,IF(AND(Z$1&gt;=Units!$Q43,MOD(Z$1-Units!$Q43,12)=0),IF(AND(Units!$L43=1,Z$1=Units!$Q43),IF(Units!$J43&lt;&gt;"",Units!$J43,Mkt!Z44),Inputs!$B$15*Mkt!Z44+(1-Inputs!$B$15)*MIN(Mkt!Z44,Y44*(1+Inputs!$B$18))),Y44)))</f>
        <v>1568.80625</v>
      </c>
      <c r="AA44" s="11" t="n">
        <f aca="false">IF(AA$1&lt;Units!$P43,0,IF(AND(Units!$K43=0,AA$1=Units!$O43),Units!$R43,IF(AND(AA$1&gt;=Units!$Q43,MOD(AA$1-Units!$Q43,12)=0),IF(AND(Units!$L43=1,AA$1=Units!$Q43),IF(Units!$J43&lt;&gt;"",Units!$J43,Mkt!AA44),Inputs!$B$15*Mkt!AA44+(1-Inputs!$B$15)*MIN(Mkt!AA44,Z44*(1+Inputs!$B$18))),Z44)))</f>
        <v>1568.80625</v>
      </c>
      <c r="AB44" s="11" t="n">
        <f aca="false">IF(AB$1&lt;Units!$P43,0,IF(AND(Units!$K43=0,AB$1=Units!$O43),Units!$R43,IF(AND(AB$1&gt;=Units!$Q43,MOD(AB$1-Units!$Q43,12)=0),IF(AND(Units!$L43=1,AB$1=Units!$Q43),IF(Units!$J43&lt;&gt;"",Units!$J43,Mkt!AB44),Inputs!$B$15*Mkt!AB44+(1-Inputs!$B$15)*MIN(Mkt!AB44,AA44*(1+Inputs!$B$18))),AA44)))</f>
        <v>1568.80625</v>
      </c>
      <c r="AC44" s="11" t="n">
        <f aca="false">IF(AC$1&lt;Units!$P43,0,IF(AND(Units!$K43=0,AC$1=Units!$O43),Units!$R43,IF(AND(AC$1&gt;=Units!$Q43,MOD(AC$1-Units!$Q43,12)=0),IF(AND(Units!$L43=1,AC$1=Units!$Q43),IF(Units!$J43&lt;&gt;"",Units!$J43,Mkt!AC44),Inputs!$B$15*Mkt!AC44+(1-Inputs!$B$15)*MIN(Mkt!AC44,AB44*(1+Inputs!$B$18))),AB44)))</f>
        <v>1568.80625</v>
      </c>
      <c r="AD44" s="11" t="n">
        <f aca="false">IF(AD$1&lt;Units!$P43,0,IF(AND(Units!$K43=0,AD$1=Units!$O43),Units!$R43,IF(AND(AD$1&gt;=Units!$Q43,MOD(AD$1-Units!$Q43,12)=0),IF(AND(Units!$L43=1,AD$1=Units!$Q43),IF(Units!$J43&lt;&gt;"",Units!$J43,Mkt!AD44),Inputs!$B$15*Mkt!AD44+(1-Inputs!$B$15)*MIN(Mkt!AD44,AC44*(1+Inputs!$B$18))),AC44)))</f>
        <v>1568.80625</v>
      </c>
      <c r="AE44" s="11" t="n">
        <f aca="false">IF(AE$1&lt;Units!$P43,0,IF(AND(Units!$K43=0,AE$1=Units!$O43),Units!$R43,IF(AND(AE$1&gt;=Units!$Q43,MOD(AE$1-Units!$Q43,12)=0),IF(AND(Units!$L43=1,AE$1=Units!$Q43),IF(Units!$J43&lt;&gt;"",Units!$J43,Mkt!AE44),Inputs!$B$15*Mkt!AE44+(1-Inputs!$B$15)*MIN(Mkt!AE44,AD44*(1+Inputs!$B$18))),AD44)))</f>
        <v>1568.80625</v>
      </c>
      <c r="AF44" s="11" t="n">
        <f aca="false">IF(AF$1&lt;Units!$P43,0,IF(AND(Units!$K43=0,AF$1=Units!$O43),Units!$R43,IF(AND(AF$1&gt;=Units!$Q43,MOD(AF$1-Units!$Q43,12)=0),IF(AND(Units!$L43=1,AF$1=Units!$Q43),IF(Units!$J43&lt;&gt;"",Units!$J43,Mkt!AF44),Inputs!$B$15*Mkt!AF44+(1-Inputs!$B$15)*MIN(Mkt!AF44,AE44*(1+Inputs!$B$18))),AE44)))</f>
        <v>1568.80625</v>
      </c>
      <c r="AG44" s="11" t="n">
        <f aca="false">IF(AG$1&lt;Units!$P43,0,IF(AND(Units!$K43=0,AG$1=Units!$O43),Units!$R43,IF(AND(AG$1&gt;=Units!$Q43,MOD(AG$1-Units!$Q43,12)=0),IF(AND(Units!$L43=1,AG$1=Units!$Q43),IF(Units!$J43&lt;&gt;"",Units!$J43,Mkt!AG44),Inputs!$B$15*Mkt!AG44+(1-Inputs!$B$15)*MIN(Mkt!AG44,AF44*(1+Inputs!$B$18))),AF44)))</f>
        <v>1568.80625</v>
      </c>
      <c r="AH44" s="11" t="n">
        <f aca="false">IF(AH$1&lt;Units!$P43,0,IF(AND(Units!$K43=0,AH$1=Units!$O43),Units!$R43,IF(AND(AH$1&gt;=Units!$Q43,MOD(AH$1-Units!$Q43,12)=0),IF(AND(Units!$L43=1,AH$1=Units!$Q43),IF(Units!$J43&lt;&gt;"",Units!$J43,Mkt!AH44),Inputs!$B$15*Mkt!AH44+(1-Inputs!$B$15)*MIN(Mkt!AH44,AG44*(1+Inputs!$B$18))),AG44)))</f>
        <v>1568.80625</v>
      </c>
      <c r="AI44" s="11" t="n">
        <f aca="false">IF(AI$1&lt;Units!$P43,0,IF(AND(Units!$K43=0,AI$1=Units!$O43),Units!$R43,IF(AND(AI$1&gt;=Units!$Q43,MOD(AI$1-Units!$Q43,12)=0),IF(AND(Units!$L43=1,AI$1=Units!$Q43),IF(Units!$J43&lt;&gt;"",Units!$J43,Mkt!AI44),Inputs!$B$15*Mkt!AI44+(1-Inputs!$B$15)*MIN(Mkt!AI44,AH44*(1+Inputs!$B$18))),AH44)))</f>
        <v>1617.8725</v>
      </c>
      <c r="AJ44" s="11" t="n">
        <f aca="false">IF(AJ$1&lt;Units!$P43,0,IF(AND(Units!$K43=0,AJ$1=Units!$O43),Units!$R43,IF(AND(AJ$1&gt;=Units!$Q43,MOD(AJ$1-Units!$Q43,12)=0),IF(AND(Units!$L43=1,AJ$1=Units!$Q43),IF(Units!$J43&lt;&gt;"",Units!$J43,Mkt!AJ44),Inputs!$B$15*Mkt!AJ44+(1-Inputs!$B$15)*MIN(Mkt!AJ44,AI44*(1+Inputs!$B$18))),AI44)))</f>
        <v>1617.8725</v>
      </c>
      <c r="AK44" s="11" t="n">
        <f aca="false">IF(AK$1&lt;Units!$P43,0,IF(AND(Units!$K43=0,AK$1=Units!$O43),Units!$R43,IF(AND(AK$1&gt;=Units!$Q43,MOD(AK$1-Units!$Q43,12)=0),IF(AND(Units!$L43=1,AK$1=Units!$Q43),IF(Units!$J43&lt;&gt;"",Units!$J43,Mkt!AK44),Inputs!$B$15*Mkt!AK44+(1-Inputs!$B$15)*MIN(Mkt!AK44,AJ44*(1+Inputs!$B$18))),AJ44)))</f>
        <v>1617.8725</v>
      </c>
      <c r="AL44" s="11" t="n">
        <f aca="false">IF(AL$1&lt;Units!$P43,0,IF(AND(Units!$K43=0,AL$1=Units!$O43),Units!$R43,IF(AND(AL$1&gt;=Units!$Q43,MOD(AL$1-Units!$Q43,12)=0),IF(AND(Units!$L43=1,AL$1=Units!$Q43),IF(Units!$J43&lt;&gt;"",Units!$J43,Mkt!AL44),Inputs!$B$15*Mkt!AL44+(1-Inputs!$B$15)*MIN(Mkt!AL44,AK44*(1+Inputs!$B$18))),AK44)))</f>
        <v>1617.8725</v>
      </c>
      <c r="AM44" s="11" t="n">
        <f aca="false">IF(AM$1&lt;Units!$P43,0,IF(AND(Units!$K43=0,AM$1=Units!$O43),Units!$R43,IF(AND(AM$1&gt;=Units!$Q43,MOD(AM$1-Units!$Q43,12)=0),IF(AND(Units!$L43=1,AM$1=Units!$Q43),IF(Units!$J43&lt;&gt;"",Units!$J43,Mkt!AM44),Inputs!$B$15*Mkt!AM44+(1-Inputs!$B$15)*MIN(Mkt!AM44,AL44*(1+Inputs!$B$18))),AL44)))</f>
        <v>1617.8725</v>
      </c>
      <c r="AN44" s="11" t="n">
        <f aca="false">IF(AN$1&lt;Units!$P43,0,IF(AND(Units!$K43=0,AN$1=Units!$O43),Units!$R43,IF(AND(AN$1&gt;=Units!$Q43,MOD(AN$1-Units!$Q43,12)=0),IF(AND(Units!$L43=1,AN$1=Units!$Q43),IF(Units!$J43&lt;&gt;"",Units!$J43,Mkt!AN44),Inputs!$B$15*Mkt!AN44+(1-Inputs!$B$15)*MIN(Mkt!AN44,AM44*(1+Inputs!$B$18))),AM44)))</f>
        <v>1617.8725</v>
      </c>
      <c r="AO44" s="11" t="n">
        <f aca="false">IF(AO$1&lt;Units!$P43,0,IF(AND(Units!$K43=0,AO$1=Units!$O43),Units!$R43,IF(AND(AO$1&gt;=Units!$Q43,MOD(AO$1-Units!$Q43,12)=0),IF(AND(Units!$L43=1,AO$1=Units!$Q43),IF(Units!$J43&lt;&gt;"",Units!$J43,Mkt!AO44),Inputs!$B$15*Mkt!AO44+(1-Inputs!$B$15)*MIN(Mkt!AO44,AN44*(1+Inputs!$B$18))),AN44)))</f>
        <v>1617.8725</v>
      </c>
      <c r="AP44" s="11" t="n">
        <f aca="false">IF(AP$1&lt;Units!$P43,0,IF(AND(Units!$K43=0,AP$1=Units!$O43),Units!$R43,IF(AND(AP$1&gt;=Units!$Q43,MOD(AP$1-Units!$Q43,12)=0),IF(AND(Units!$L43=1,AP$1=Units!$Q43),IF(Units!$J43&lt;&gt;"",Units!$J43,Mkt!AP44),Inputs!$B$15*Mkt!AP44+(1-Inputs!$B$15)*MIN(Mkt!AP44,AO44*(1+Inputs!$B$18))),AO44)))</f>
        <v>1617.8725</v>
      </c>
      <c r="AQ44" s="11" t="n">
        <f aca="false">IF(AQ$1&lt;Units!$P43,0,IF(AND(Units!$K43=0,AQ$1=Units!$O43),Units!$R43,IF(AND(AQ$1&gt;=Units!$Q43,MOD(AQ$1-Units!$Q43,12)=0),IF(AND(Units!$L43=1,AQ$1=Units!$Q43),IF(Units!$J43&lt;&gt;"",Units!$J43,Mkt!AQ44),Inputs!$B$15*Mkt!AQ44+(1-Inputs!$B$15)*MIN(Mkt!AQ44,AP44*(1+Inputs!$B$18))),AP44)))</f>
        <v>1617.8725</v>
      </c>
      <c r="AR44" s="11" t="n">
        <f aca="false">IF(AR$1&lt;Units!$P43,0,IF(AND(Units!$K43=0,AR$1=Units!$O43),Units!$R43,IF(AND(AR$1&gt;=Units!$Q43,MOD(AR$1-Units!$Q43,12)=0),IF(AND(Units!$L43=1,AR$1=Units!$Q43),IF(Units!$J43&lt;&gt;"",Units!$J43,Mkt!AR44),Inputs!$B$15*Mkt!AR44+(1-Inputs!$B$15)*MIN(Mkt!AR44,AQ44*(1+Inputs!$B$18))),AQ44)))</f>
        <v>1617.8725</v>
      </c>
      <c r="AS44" s="11" t="n">
        <f aca="false">IF(AS$1&lt;Units!$P43,0,IF(AND(Units!$K43=0,AS$1=Units!$O43),Units!$R43,IF(AND(AS$1&gt;=Units!$Q43,MOD(AS$1-Units!$Q43,12)=0),IF(AND(Units!$L43=1,AS$1=Units!$Q43),IF(Units!$J43&lt;&gt;"",Units!$J43,Mkt!AS44),Inputs!$B$15*Mkt!AS44+(1-Inputs!$B$15)*MIN(Mkt!AS44,AR44*(1+Inputs!$B$18))),AR44)))</f>
        <v>1617.8725</v>
      </c>
      <c r="AT44" s="11" t="n">
        <f aca="false">IF(AT$1&lt;Units!$P43,0,IF(AND(Units!$K43=0,AT$1=Units!$O43),Units!$R43,IF(AND(AT$1&gt;=Units!$Q43,MOD(AT$1-Units!$Q43,12)=0),IF(AND(Units!$L43=1,AT$1=Units!$Q43),IF(Units!$J43&lt;&gt;"",Units!$J43,Mkt!AT44),Inputs!$B$15*Mkt!AT44+(1-Inputs!$B$15)*MIN(Mkt!AT44,AS44*(1+Inputs!$B$18))),AS44)))</f>
        <v>1617.8725</v>
      </c>
      <c r="AU44" s="11" t="n">
        <f aca="false">IF(AU$1&lt;Units!$P43,0,IF(AND(Units!$K43=0,AU$1=Units!$O43),Units!$R43,IF(AND(AU$1&gt;=Units!$Q43,MOD(AU$1-Units!$Q43,12)=0),IF(AND(Units!$L43=1,AU$1=Units!$Q43),IF(Units!$J43&lt;&gt;"",Units!$J43,Mkt!AU44),Inputs!$B$15*Mkt!AU44+(1-Inputs!$B$15)*MIN(Mkt!AU44,AT44*(1+Inputs!$B$18))),AT44)))</f>
        <v>1666.408675</v>
      </c>
      <c r="AV44" s="11" t="n">
        <f aca="false">IF(AV$1&lt;Units!$P43,0,IF(AND(Units!$K43=0,AV$1=Units!$O43),Units!$R43,IF(AND(AV$1&gt;=Units!$Q43,MOD(AV$1-Units!$Q43,12)=0),IF(AND(Units!$L43=1,AV$1=Units!$Q43),IF(Units!$J43&lt;&gt;"",Units!$J43,Mkt!AV44),Inputs!$B$15*Mkt!AV44+(1-Inputs!$B$15)*MIN(Mkt!AV44,AU44*(1+Inputs!$B$18))),AU44)))</f>
        <v>1666.408675</v>
      </c>
      <c r="AW44" s="11" t="n">
        <f aca="false">IF(AW$1&lt;Units!$P43,0,IF(AND(Units!$K43=0,AW$1=Units!$O43),Units!$R43,IF(AND(AW$1&gt;=Units!$Q43,MOD(AW$1-Units!$Q43,12)=0),IF(AND(Units!$L43=1,AW$1=Units!$Q43),IF(Units!$J43&lt;&gt;"",Units!$J43,Mkt!AW44),Inputs!$B$15*Mkt!AW44+(1-Inputs!$B$15)*MIN(Mkt!AW44,AV44*(1+Inputs!$B$18))),AV44)))</f>
        <v>1666.408675</v>
      </c>
      <c r="AX44" s="11" t="n">
        <f aca="false">IF(AX$1&lt;Units!$P43,0,IF(AND(Units!$K43=0,AX$1=Units!$O43),Units!$R43,IF(AND(AX$1&gt;=Units!$Q43,MOD(AX$1-Units!$Q43,12)=0),IF(AND(Units!$L43=1,AX$1=Units!$Q43),IF(Units!$J43&lt;&gt;"",Units!$J43,Mkt!AX44),Inputs!$B$15*Mkt!AX44+(1-Inputs!$B$15)*MIN(Mkt!AX44,AW44*(1+Inputs!$B$18))),AW44)))</f>
        <v>1666.408675</v>
      </c>
      <c r="AY44" s="11" t="n">
        <f aca="false">IF(AY$1&lt;Units!$P43,0,IF(AND(Units!$K43=0,AY$1=Units!$O43),Units!$R43,IF(AND(AY$1&gt;=Units!$Q43,MOD(AY$1-Units!$Q43,12)=0),IF(AND(Units!$L43=1,AY$1=Units!$Q43),IF(Units!$J43&lt;&gt;"",Units!$J43,Mkt!AY44),Inputs!$B$15*Mkt!AY44+(1-Inputs!$B$15)*MIN(Mkt!AY44,AX44*(1+Inputs!$B$18))),AX44)))</f>
        <v>1666.408675</v>
      </c>
      <c r="AZ44" s="11" t="n">
        <f aca="false">IF(AZ$1&lt;Units!$P43,0,IF(AND(Units!$K43=0,AZ$1=Units!$O43),Units!$R43,IF(AND(AZ$1&gt;=Units!$Q43,MOD(AZ$1-Units!$Q43,12)=0),IF(AND(Units!$L43=1,AZ$1=Units!$Q43),IF(Units!$J43&lt;&gt;"",Units!$J43,Mkt!AZ44),Inputs!$B$15*Mkt!AZ44+(1-Inputs!$B$15)*MIN(Mkt!AZ44,AY44*(1+Inputs!$B$18))),AY44)))</f>
        <v>1666.408675</v>
      </c>
      <c r="BA44" s="11" t="n">
        <f aca="false">IF(BA$1&lt;Units!$P43,0,IF(AND(Units!$K43=0,BA$1=Units!$O43),Units!$R43,IF(AND(BA$1&gt;=Units!$Q43,MOD(BA$1-Units!$Q43,12)=0),IF(AND(Units!$L43=1,BA$1=Units!$Q43),IF(Units!$J43&lt;&gt;"",Units!$J43,Mkt!BA44),Inputs!$B$15*Mkt!BA44+(1-Inputs!$B$15)*MIN(Mkt!BA44,AZ44*(1+Inputs!$B$18))),AZ44)))</f>
        <v>1666.408675</v>
      </c>
      <c r="BB44" s="11" t="n">
        <f aca="false">IF(BB$1&lt;Units!$P43,0,IF(AND(Units!$K43=0,BB$1=Units!$O43),Units!$R43,IF(AND(BB$1&gt;=Units!$Q43,MOD(BB$1-Units!$Q43,12)=0),IF(AND(Units!$L43=1,BB$1=Units!$Q43),IF(Units!$J43&lt;&gt;"",Units!$J43,Mkt!BB44),Inputs!$B$15*Mkt!BB44+(1-Inputs!$B$15)*MIN(Mkt!BB44,BA44*(1+Inputs!$B$18))),BA44)))</f>
        <v>1666.408675</v>
      </c>
      <c r="BC44" s="11" t="n">
        <f aca="false">IF(BC$1&lt;Units!$P43,0,IF(AND(Units!$K43=0,BC$1=Units!$O43),Units!$R43,IF(AND(BC$1&gt;=Units!$Q43,MOD(BC$1-Units!$Q43,12)=0),IF(AND(Units!$L43=1,BC$1=Units!$Q43),IF(Units!$J43&lt;&gt;"",Units!$J43,Mkt!BC44),Inputs!$B$15*Mkt!BC44+(1-Inputs!$B$15)*MIN(Mkt!BC44,BB44*(1+Inputs!$B$18))),BB44)))</f>
        <v>1666.408675</v>
      </c>
      <c r="BD44" s="11" t="n">
        <f aca="false">IF(BD$1&lt;Units!$P43,0,IF(AND(Units!$K43=0,BD$1=Units!$O43),Units!$R43,IF(AND(BD$1&gt;=Units!$Q43,MOD(BD$1-Units!$Q43,12)=0),IF(AND(Units!$L43=1,BD$1=Units!$Q43),IF(Units!$J43&lt;&gt;"",Units!$J43,Mkt!BD44),Inputs!$B$15*Mkt!BD44+(1-Inputs!$B$15)*MIN(Mkt!BD44,BC44*(1+Inputs!$B$18))),BC44)))</f>
        <v>1666.408675</v>
      </c>
      <c r="BE44" s="11" t="n">
        <f aca="false">IF(BE$1&lt;Units!$P43,0,IF(AND(Units!$K43=0,BE$1=Units!$O43),Units!$R43,IF(AND(BE$1&gt;=Units!$Q43,MOD(BE$1-Units!$Q43,12)=0),IF(AND(Units!$L43=1,BE$1=Units!$Q43),IF(Units!$J43&lt;&gt;"",Units!$J43,Mkt!BE44),Inputs!$B$15*Mkt!BE44+(1-Inputs!$B$15)*MIN(Mkt!BE44,BD44*(1+Inputs!$B$18))),BD44)))</f>
        <v>1666.408675</v>
      </c>
      <c r="BF44" s="11" t="n">
        <f aca="false">IF(BF$1&lt;Units!$P43,0,IF(AND(Units!$K43=0,BF$1=Units!$O43),Units!$R43,IF(AND(BF$1&gt;=Units!$Q43,MOD(BF$1-Units!$Q43,12)=0),IF(AND(Units!$L43=1,BF$1=Units!$Q43),IF(Units!$J43&lt;&gt;"",Units!$J43,Mkt!BF44),Inputs!$B$15*Mkt!BF44+(1-Inputs!$B$15)*MIN(Mkt!BF44,BE44*(1+Inputs!$B$18))),BE44)))</f>
        <v>1666.408675</v>
      </c>
      <c r="BG44" s="11" t="n">
        <f aca="false">IF(BG$1&lt;Units!$P43,0,IF(AND(Units!$K43=0,BG$1=Units!$O43),Units!$R43,IF(AND(BG$1&gt;=Units!$Q43,MOD(BG$1-Units!$Q43,12)=0),IF(AND(Units!$L43=1,BG$1=Units!$Q43),IF(Units!$J43&lt;&gt;"",Units!$J43,Mkt!BG44),Inputs!$B$15*Mkt!BG44+(1-Inputs!$B$15)*MIN(Mkt!BG44,BF44*(1+Inputs!$B$18))),BF44)))</f>
        <v>1716.40093525</v>
      </c>
      <c r="BH44" s="11" t="n">
        <f aca="false">IF(BH$1&lt;Units!$P43,0,IF(AND(Units!$K43=0,BH$1=Units!$O43),Units!$R43,IF(AND(BH$1&gt;=Units!$Q43,MOD(BH$1-Units!$Q43,12)=0),IF(AND(Units!$L43=1,BH$1=Units!$Q43),IF(Units!$J43&lt;&gt;"",Units!$J43,Mkt!BH44),Inputs!$B$15*Mkt!BH44+(1-Inputs!$B$15)*MIN(Mkt!BH44,BG44*(1+Inputs!$B$18))),BG44)))</f>
        <v>1716.40093525</v>
      </c>
      <c r="BI44" s="11" t="n">
        <f aca="false">IF(BI$1&lt;Units!$P43,0,IF(AND(Units!$K43=0,BI$1=Units!$O43),Units!$R43,IF(AND(BI$1&gt;=Units!$Q43,MOD(BI$1-Units!$Q43,12)=0),IF(AND(Units!$L43=1,BI$1=Units!$Q43),IF(Units!$J43&lt;&gt;"",Units!$J43,Mkt!BI44),Inputs!$B$15*Mkt!BI44+(1-Inputs!$B$15)*MIN(Mkt!BI44,BH44*(1+Inputs!$B$18))),BH44)))</f>
        <v>1716.40093525</v>
      </c>
      <c r="BJ44" s="11" t="n">
        <f aca="false">IF(BJ$1&lt;Units!$P43,0,IF(AND(Units!$K43=0,BJ$1=Units!$O43),Units!$R43,IF(AND(BJ$1&gt;=Units!$Q43,MOD(BJ$1-Units!$Q43,12)=0),IF(AND(Units!$L43=1,BJ$1=Units!$Q43),IF(Units!$J43&lt;&gt;"",Units!$J43,Mkt!BJ44),Inputs!$B$15*Mkt!BJ44+(1-Inputs!$B$15)*MIN(Mkt!BJ44,BI44*(1+Inputs!$B$18))),BI44)))</f>
        <v>1716.40093525</v>
      </c>
      <c r="BK44" s="11" t="n">
        <f aca="false">IF(BK$1&lt;Units!$P43,0,IF(AND(Units!$K43=0,BK$1=Units!$O43),Units!$R43,IF(AND(BK$1&gt;=Units!$Q43,MOD(BK$1-Units!$Q43,12)=0),IF(AND(Units!$L43=1,BK$1=Units!$Q43),IF(Units!$J43&lt;&gt;"",Units!$J43,Mkt!BK44),Inputs!$B$15*Mkt!BK44+(1-Inputs!$B$15)*MIN(Mkt!BK44,BJ44*(1+Inputs!$B$18))),BJ44)))</f>
        <v>1716.40093525</v>
      </c>
      <c r="BL44" s="11" t="n">
        <f aca="false">IF(BL$1&lt;Units!$P43,0,IF(AND(Units!$K43=0,BL$1=Units!$O43),Units!$R43,IF(AND(BL$1&gt;=Units!$Q43,MOD(BL$1-Units!$Q43,12)=0),IF(AND(Units!$L43=1,BL$1=Units!$Q43),IF(Units!$J43&lt;&gt;"",Units!$J43,Mkt!BL44),Inputs!$B$15*Mkt!BL44+(1-Inputs!$B$15)*MIN(Mkt!BL44,BK44*(1+Inputs!$B$18))),BK44)))</f>
        <v>1716.40093525</v>
      </c>
      <c r="BM44" s="11" t="n">
        <f aca="false">IF(BM$1&lt;Units!$P43,0,IF(AND(Units!$K43=0,BM$1=Units!$O43),Units!$R43,IF(AND(BM$1&gt;=Units!$Q43,MOD(BM$1-Units!$Q43,12)=0),IF(AND(Units!$L43=1,BM$1=Units!$Q43),IF(Units!$J43&lt;&gt;"",Units!$J43,Mkt!BM44),Inputs!$B$15*Mkt!BM44+(1-Inputs!$B$15)*MIN(Mkt!BM44,BL44*(1+Inputs!$B$18))),BL44)))</f>
        <v>1716.40093525</v>
      </c>
      <c r="BN44" s="11" t="n">
        <f aca="false">IF(BN$1&lt;Units!$P43,0,IF(AND(Units!$K43=0,BN$1=Units!$O43),Units!$R43,IF(AND(BN$1&gt;=Units!$Q43,MOD(BN$1-Units!$Q43,12)=0),IF(AND(Units!$L43=1,BN$1=Units!$Q43),IF(Units!$J43&lt;&gt;"",Units!$J43,Mkt!BN44),Inputs!$B$15*Mkt!BN44+(1-Inputs!$B$15)*MIN(Mkt!BN44,BM44*(1+Inputs!$B$18))),BM44)))</f>
        <v>1716.40093525</v>
      </c>
      <c r="BO44" s="11" t="n">
        <f aca="false">IF(BO$1&lt;Units!$P43,0,IF(AND(Units!$K43=0,BO$1=Units!$O43),Units!$R43,IF(AND(BO$1&gt;=Units!$Q43,MOD(BO$1-Units!$Q43,12)=0),IF(AND(Units!$L43=1,BO$1=Units!$Q43),IF(Units!$J43&lt;&gt;"",Units!$J43,Mkt!BO44),Inputs!$B$15*Mkt!BO44+(1-Inputs!$B$15)*MIN(Mkt!BO44,BN44*(1+Inputs!$B$18))),BN44)))</f>
        <v>1716.40093525</v>
      </c>
      <c r="BP44" s="11" t="n">
        <f aca="false">IF(BP$1&lt;Units!$P43,0,IF(AND(Units!$K43=0,BP$1=Units!$O43),Units!$R43,IF(AND(BP$1&gt;=Units!$Q43,MOD(BP$1-Units!$Q43,12)=0),IF(AND(Units!$L43=1,BP$1=Units!$Q43),IF(Units!$J43&lt;&gt;"",Units!$J43,Mkt!BP44),Inputs!$B$15*Mkt!BP44+(1-Inputs!$B$15)*MIN(Mkt!BP44,BO44*(1+Inputs!$B$18))),BO44)))</f>
        <v>1716.40093525</v>
      </c>
      <c r="BQ44" s="11" t="n">
        <f aca="false">IF(BQ$1&lt;Units!$P43,0,IF(AND(Units!$K43=0,BQ$1=Units!$O43),Units!$R43,IF(AND(BQ$1&gt;=Units!$Q43,MOD(BQ$1-Units!$Q43,12)=0),IF(AND(Units!$L43=1,BQ$1=Units!$Q43),IF(Units!$J43&lt;&gt;"",Units!$J43,Mkt!BQ44),Inputs!$B$15*Mkt!BQ44+(1-Inputs!$B$15)*MIN(Mkt!BQ44,BP44*(1+Inputs!$B$18))),BP44)))</f>
        <v>1716.40093525</v>
      </c>
      <c r="BR44" s="11" t="n">
        <f aca="false">IF(BR$1&lt;Units!$P43,0,IF(AND(Units!$K43=0,BR$1=Units!$O43),Units!$R43,IF(AND(BR$1&gt;=Units!$Q43,MOD(BR$1-Units!$Q43,12)=0),IF(AND(Units!$L43=1,BR$1=Units!$Q43),IF(Units!$J43&lt;&gt;"",Units!$J43,Mkt!BR44),Inputs!$B$15*Mkt!BR44+(1-Inputs!$B$15)*MIN(Mkt!BR44,BQ44*(1+Inputs!$B$18))),BQ44)))</f>
        <v>1716.40093525</v>
      </c>
      <c r="BS44" s="11" t="n">
        <f aca="false">IF(BS$1&lt;Units!$P43,0,IF(AND(Units!$K43=0,BS$1=Units!$O43),Units!$R43,IF(AND(BS$1&gt;=Units!$Q43,MOD(BS$1-Units!$Q43,12)=0),IF(AND(Units!$L43=1,BS$1=Units!$Q43),IF(Units!$J43&lt;&gt;"",Units!$J43,Mkt!BS44),Inputs!$B$15*Mkt!BS44+(1-Inputs!$B$15)*MIN(Mkt!BS44,BR44*(1+Inputs!$B$18))),BR44)))</f>
        <v>1767.8929633075</v>
      </c>
      <c r="BT44" s="11" t="n">
        <f aca="false">IF(BT$1&lt;Units!$P43,0,IF(AND(Units!$K43=0,BT$1=Units!$O43),Units!$R43,IF(AND(BT$1&gt;=Units!$Q43,MOD(BT$1-Units!$Q43,12)=0),IF(AND(Units!$L43=1,BT$1=Units!$Q43),IF(Units!$J43&lt;&gt;"",Units!$J43,Mkt!BT44),Inputs!$B$15*Mkt!BT44+(1-Inputs!$B$15)*MIN(Mkt!BT44,BS44*(1+Inputs!$B$18))),BS44)))</f>
        <v>1767.8929633075</v>
      </c>
      <c r="BU44" s="11" t="n">
        <f aca="false">IF(BU$1&lt;Units!$P43,0,IF(AND(Units!$K43=0,BU$1=Units!$O43),Units!$R43,IF(AND(BU$1&gt;=Units!$Q43,MOD(BU$1-Units!$Q43,12)=0),IF(AND(Units!$L43=1,BU$1=Units!$Q43),IF(Units!$J43&lt;&gt;"",Units!$J43,Mkt!BU44),Inputs!$B$15*Mkt!BU44+(1-Inputs!$B$15)*MIN(Mkt!BU44,BT44*(1+Inputs!$B$18))),BT44)))</f>
        <v>1767.8929633075</v>
      </c>
      <c r="BV44" s="11" t="n">
        <f aca="false">IF(BV$1&lt;Units!$P43,0,IF(AND(Units!$K43=0,BV$1=Units!$O43),Units!$R43,IF(AND(BV$1&gt;=Units!$Q43,MOD(BV$1-Units!$Q43,12)=0),IF(AND(Units!$L43=1,BV$1=Units!$Q43),IF(Units!$J43&lt;&gt;"",Units!$J43,Mkt!BV44),Inputs!$B$15*Mkt!BV44+(1-Inputs!$B$15)*MIN(Mkt!BV44,BU44*(1+Inputs!$B$18))),BU44)))</f>
        <v>1767.8929633075</v>
      </c>
      <c r="BW44" s="11" t="n">
        <f aca="false">IF(BW$1&lt;Units!$P43,0,IF(AND(Units!$K43=0,BW$1=Units!$O43),Units!$R43,IF(AND(BW$1&gt;=Units!$Q43,MOD(BW$1-Units!$Q43,12)=0),IF(AND(Units!$L43=1,BW$1=Units!$Q43),IF(Units!$J43&lt;&gt;"",Units!$J43,Mkt!BW44),Inputs!$B$15*Mkt!BW44+(1-Inputs!$B$15)*MIN(Mkt!BW44,BV44*(1+Inputs!$B$18))),BV44)))</f>
        <v>1767.8929633075</v>
      </c>
      <c r="BX44" s="11" t="n">
        <f aca="false">IF(BX$1&lt;Units!$P43,0,IF(AND(Units!$K43=0,BX$1=Units!$O43),Units!$R43,IF(AND(BX$1&gt;=Units!$Q43,MOD(BX$1-Units!$Q43,12)=0),IF(AND(Units!$L43=1,BX$1=Units!$Q43),IF(Units!$J43&lt;&gt;"",Units!$J43,Mkt!BX44),Inputs!$B$15*Mkt!BX44+(1-Inputs!$B$15)*MIN(Mkt!BX44,BW44*(1+Inputs!$B$18))),BW44)))</f>
        <v>1767.8929633075</v>
      </c>
      <c r="BY44" s="11" t="n">
        <f aca="false">IF(BY$1&lt;Units!$P43,0,IF(AND(Units!$K43=0,BY$1=Units!$O43),Units!$R43,IF(AND(BY$1&gt;=Units!$Q43,MOD(BY$1-Units!$Q43,12)=0),IF(AND(Units!$L43=1,BY$1=Units!$Q43),IF(Units!$J43&lt;&gt;"",Units!$J43,Mkt!BY44),Inputs!$B$15*Mkt!BY44+(1-Inputs!$B$15)*MIN(Mkt!BY44,BX44*(1+Inputs!$B$18))),BX44)))</f>
        <v>1767.8929633075</v>
      </c>
      <c r="BZ44" s="11" t="n">
        <f aca="false">IF(BZ$1&lt;Units!$P43,0,IF(AND(Units!$K43=0,BZ$1=Units!$O43),Units!$R43,IF(AND(BZ$1&gt;=Units!$Q43,MOD(BZ$1-Units!$Q43,12)=0),IF(AND(Units!$L43=1,BZ$1=Units!$Q43),IF(Units!$J43&lt;&gt;"",Units!$J43,Mkt!BZ44),Inputs!$B$15*Mkt!BZ44+(1-Inputs!$B$15)*MIN(Mkt!BZ44,BY44*(1+Inputs!$B$18))),BY44)))</f>
        <v>1767.8929633075</v>
      </c>
      <c r="CA44" s="11" t="n">
        <f aca="false">IF(CA$1&lt;Units!$P43,0,IF(AND(Units!$K43=0,CA$1=Units!$O43),Units!$R43,IF(AND(CA$1&gt;=Units!$Q43,MOD(CA$1-Units!$Q43,12)=0),IF(AND(Units!$L43=1,CA$1=Units!$Q43),IF(Units!$J43&lt;&gt;"",Units!$J43,Mkt!CA44),Inputs!$B$15*Mkt!CA44+(1-Inputs!$B$15)*MIN(Mkt!CA44,BZ44*(1+Inputs!$B$18))),BZ44)))</f>
        <v>1767.8929633075</v>
      </c>
      <c r="CB44" s="11" t="n">
        <f aca="false">IF(CB$1&lt;Units!$P43,0,IF(AND(Units!$K43=0,CB$1=Units!$O43),Units!$R43,IF(AND(CB$1&gt;=Units!$Q43,MOD(CB$1-Units!$Q43,12)=0),IF(AND(Units!$L43=1,CB$1=Units!$Q43),IF(Units!$J43&lt;&gt;"",Units!$J43,Mkt!CB44),Inputs!$B$15*Mkt!CB44+(1-Inputs!$B$15)*MIN(Mkt!CB44,CA44*(1+Inputs!$B$18))),CA44)))</f>
        <v>1767.8929633075</v>
      </c>
      <c r="CC44" s="11" t="n">
        <f aca="false">IF(CC$1&lt;Units!$P43,0,IF(AND(Units!$K43=0,CC$1=Units!$O43),Units!$R43,IF(AND(CC$1&gt;=Units!$Q43,MOD(CC$1-Units!$Q43,12)=0),IF(AND(Units!$L43=1,CC$1=Units!$Q43),IF(Units!$J43&lt;&gt;"",Units!$J43,Mkt!CC44),Inputs!$B$15*Mkt!CC44+(1-Inputs!$B$15)*MIN(Mkt!CC44,CB44*(1+Inputs!$B$18))),CB44)))</f>
        <v>1767.8929633075</v>
      </c>
      <c r="CD44" s="11" t="n">
        <f aca="false">IF(CD$1&lt;Units!$P43,0,IF(AND(Units!$K43=0,CD$1=Units!$O43),Units!$R43,IF(AND(CD$1&gt;=Units!$Q43,MOD(CD$1-Units!$Q43,12)=0),IF(AND(Units!$L43=1,CD$1=Units!$Q43),IF(Units!$J43&lt;&gt;"",Units!$J43,Mkt!CD44),Inputs!$B$15*Mkt!CD44+(1-Inputs!$B$15)*MIN(Mkt!CD44,CC44*(1+Inputs!$B$18))),CC44)))</f>
        <v>1767.8929633075</v>
      </c>
      <c r="CE44" s="11" t="n">
        <f aca="false">IF(CE$1&lt;Units!$P43,0,IF(AND(Units!$K43=0,CE$1=Units!$O43),Units!$R43,IF(AND(CE$1&gt;=Units!$Q43,MOD(CE$1-Units!$Q43,12)=0),IF(AND(Units!$L43=1,CE$1=Units!$Q43),IF(Units!$J43&lt;&gt;"",Units!$J43,Mkt!CE44),Inputs!$B$15*Mkt!CE44+(1-Inputs!$B$15)*MIN(Mkt!CE44,CD44*(1+Inputs!$B$18))),CD44)))</f>
        <v>1820.92975220673</v>
      </c>
      <c r="CF44" s="11" t="n">
        <f aca="false">IF(CF$1&lt;Units!$P43,0,IF(AND(Units!$K43=0,CF$1=Units!$O43),Units!$R43,IF(AND(CF$1&gt;=Units!$Q43,MOD(CF$1-Units!$Q43,12)=0),IF(AND(Units!$L43=1,CF$1=Units!$Q43),IF(Units!$J43&lt;&gt;"",Units!$J43,Mkt!CF44),Inputs!$B$15*Mkt!CF44+(1-Inputs!$B$15)*MIN(Mkt!CF44,CE44*(1+Inputs!$B$18))),CE44)))</f>
        <v>1820.92975220673</v>
      </c>
      <c r="CG44" s="11" t="n">
        <f aca="false">IF(CG$1&lt;Units!$P43,0,IF(AND(Units!$K43=0,CG$1=Units!$O43),Units!$R43,IF(AND(CG$1&gt;=Units!$Q43,MOD(CG$1-Units!$Q43,12)=0),IF(AND(Units!$L43=1,CG$1=Units!$Q43),IF(Units!$J43&lt;&gt;"",Units!$J43,Mkt!CG44),Inputs!$B$15*Mkt!CG44+(1-Inputs!$B$15)*MIN(Mkt!CG44,CF44*(1+Inputs!$B$18))),CF44)))</f>
        <v>1820.92975220673</v>
      </c>
      <c r="CH44" s="11" t="n">
        <f aca="false">IF(CH$1&lt;Units!$P43,0,IF(AND(Units!$K43=0,CH$1=Units!$O43),Units!$R43,IF(AND(CH$1&gt;=Units!$Q43,MOD(CH$1-Units!$Q43,12)=0),IF(AND(Units!$L43=1,CH$1=Units!$Q43),IF(Units!$J43&lt;&gt;"",Units!$J43,Mkt!CH44),Inputs!$B$15*Mkt!CH44+(1-Inputs!$B$15)*MIN(Mkt!CH44,CG44*(1+Inputs!$B$18))),CG44)))</f>
        <v>1820.92975220673</v>
      </c>
      <c r="CI44" s="11" t="n">
        <f aca="false">IF(CI$1&lt;Units!$P43,0,IF(AND(Units!$K43=0,CI$1=Units!$O43),Units!$R43,IF(AND(CI$1&gt;=Units!$Q43,MOD(CI$1-Units!$Q43,12)=0),IF(AND(Units!$L43=1,CI$1=Units!$Q43),IF(Units!$J43&lt;&gt;"",Units!$J43,Mkt!CI44),Inputs!$B$15*Mkt!CI44+(1-Inputs!$B$15)*MIN(Mkt!CI44,CH44*(1+Inputs!$B$18))),CH44)))</f>
        <v>1820.92975220673</v>
      </c>
      <c r="CJ44" s="11" t="n">
        <f aca="false">IF(CJ$1&lt;Units!$P43,0,IF(AND(Units!$K43=0,CJ$1=Units!$O43),Units!$R43,IF(AND(CJ$1&gt;=Units!$Q43,MOD(CJ$1-Units!$Q43,12)=0),IF(AND(Units!$L43=1,CJ$1=Units!$Q43),IF(Units!$J43&lt;&gt;"",Units!$J43,Mkt!CJ44),Inputs!$B$15*Mkt!CJ44+(1-Inputs!$B$15)*MIN(Mkt!CJ44,CI44*(1+Inputs!$B$18))),CI44)))</f>
        <v>1820.92975220673</v>
      </c>
      <c r="CK44" s="11" t="n">
        <f aca="false">IF(CK$1&lt;Units!$P43,0,IF(AND(Units!$K43=0,CK$1=Units!$O43),Units!$R43,IF(AND(CK$1&gt;=Units!$Q43,MOD(CK$1-Units!$Q43,12)=0),IF(AND(Units!$L43=1,CK$1=Units!$Q43),IF(Units!$J43&lt;&gt;"",Units!$J43,Mkt!CK44),Inputs!$B$15*Mkt!CK44+(1-Inputs!$B$15)*MIN(Mkt!CK44,CJ44*(1+Inputs!$B$18))),CJ44)))</f>
        <v>1820.92975220673</v>
      </c>
      <c r="CL44" s="11" t="n">
        <f aca="false">IF(CL$1&lt;Units!$P43,0,IF(AND(Units!$K43=0,CL$1=Units!$O43),Units!$R43,IF(AND(CL$1&gt;=Units!$Q43,MOD(CL$1-Units!$Q43,12)=0),IF(AND(Units!$L43=1,CL$1=Units!$Q43),IF(Units!$J43&lt;&gt;"",Units!$J43,Mkt!CL44),Inputs!$B$15*Mkt!CL44+(1-Inputs!$B$15)*MIN(Mkt!CL44,CK44*(1+Inputs!$B$18))),CK44)))</f>
        <v>1820.92975220673</v>
      </c>
      <c r="CM44" s="11" t="n">
        <f aca="false">IF(CM$1&lt;Units!$P43,0,IF(AND(Units!$K43=0,CM$1=Units!$O43),Units!$R43,IF(AND(CM$1&gt;=Units!$Q43,MOD(CM$1-Units!$Q43,12)=0),IF(AND(Units!$L43=1,CM$1=Units!$Q43),IF(Units!$J43&lt;&gt;"",Units!$J43,Mkt!CM44),Inputs!$B$15*Mkt!CM44+(1-Inputs!$B$15)*MIN(Mkt!CM44,CL44*(1+Inputs!$B$18))),CL44)))</f>
        <v>1820.92975220673</v>
      </c>
      <c r="CN44" s="11" t="n">
        <f aca="false">IF(CN$1&lt;Units!$P43,0,IF(AND(Units!$K43=0,CN$1=Units!$O43),Units!$R43,IF(AND(CN$1&gt;=Units!$Q43,MOD(CN$1-Units!$Q43,12)=0),IF(AND(Units!$L43=1,CN$1=Units!$Q43),IF(Units!$J43&lt;&gt;"",Units!$J43,Mkt!CN44),Inputs!$B$15*Mkt!CN44+(1-Inputs!$B$15)*MIN(Mkt!CN44,CM44*(1+Inputs!$B$18))),CM44)))</f>
        <v>1820.92975220673</v>
      </c>
      <c r="CO44" s="11" t="n">
        <f aca="false">IF(CO$1&lt;Units!$P43,0,IF(AND(Units!$K43=0,CO$1=Units!$O43),Units!$R43,IF(AND(CO$1&gt;=Units!$Q43,MOD(CO$1-Units!$Q43,12)=0),IF(AND(Units!$L43=1,CO$1=Units!$Q43),IF(Units!$J43&lt;&gt;"",Units!$J43,Mkt!CO44),Inputs!$B$15*Mkt!CO44+(1-Inputs!$B$15)*MIN(Mkt!CO44,CN44*(1+Inputs!$B$18))),CN44)))</f>
        <v>1820.92975220673</v>
      </c>
      <c r="CP44" s="11" t="n">
        <f aca="false">IF(CP$1&lt;Units!$P43,0,IF(AND(Units!$K43=0,CP$1=Units!$O43),Units!$R43,IF(AND(CP$1&gt;=Units!$Q43,MOD(CP$1-Units!$Q43,12)=0),IF(AND(Units!$L43=1,CP$1=Units!$Q43),IF(Units!$J43&lt;&gt;"",Units!$J43,Mkt!CP44),Inputs!$B$15*Mkt!CP44+(1-Inputs!$B$15)*MIN(Mkt!CP44,CO44*(1+Inputs!$B$18))),CO44)))</f>
        <v>1820.92975220673</v>
      </c>
      <c r="CQ44" s="11" t="n">
        <f aca="false">IF(CQ$1&lt;Units!$P43,0,IF(AND(Units!$K43=0,CQ$1=Units!$O43),Units!$R43,IF(AND(CQ$1&gt;=Units!$Q43,MOD(CQ$1-Units!$Q43,12)=0),IF(AND(Units!$L43=1,CQ$1=Units!$Q43),IF(Units!$J43&lt;&gt;"",Units!$J43,Mkt!CQ44),Inputs!$B$15*Mkt!CQ44+(1-Inputs!$B$15)*MIN(Mkt!CQ44,CP44*(1+Inputs!$B$18))),CP44)))</f>
        <v>1875.55764477293</v>
      </c>
      <c r="CR44" s="11" t="n">
        <f aca="false">IF(CR$1&lt;Units!$P43,0,IF(AND(Units!$K43=0,CR$1=Units!$O43),Units!$R43,IF(AND(CR$1&gt;=Units!$Q43,MOD(CR$1-Units!$Q43,12)=0),IF(AND(Units!$L43=1,CR$1=Units!$Q43),IF(Units!$J43&lt;&gt;"",Units!$J43,Mkt!CR44),Inputs!$B$15*Mkt!CR44+(1-Inputs!$B$15)*MIN(Mkt!CR44,CQ44*(1+Inputs!$B$18))),CQ44)))</f>
        <v>1875.55764477293</v>
      </c>
      <c r="CS44" s="11" t="n">
        <f aca="false">IF(CS$1&lt;Units!$P43,0,IF(AND(Units!$K43=0,CS$1=Units!$O43),Units!$R43,IF(AND(CS$1&gt;=Units!$Q43,MOD(CS$1-Units!$Q43,12)=0),IF(AND(Units!$L43=1,CS$1=Units!$Q43),IF(Units!$J43&lt;&gt;"",Units!$J43,Mkt!CS44),Inputs!$B$15*Mkt!CS44+(1-Inputs!$B$15)*MIN(Mkt!CS44,CR44*(1+Inputs!$B$18))),CR44)))</f>
        <v>1875.55764477293</v>
      </c>
      <c r="CT44" s="11" t="n">
        <f aca="false">IF(CT$1&lt;Units!$P43,0,IF(AND(Units!$K43=0,CT$1=Units!$O43),Units!$R43,IF(AND(CT$1&gt;=Units!$Q43,MOD(CT$1-Units!$Q43,12)=0),IF(AND(Units!$L43=1,CT$1=Units!$Q43),IF(Units!$J43&lt;&gt;"",Units!$J43,Mkt!CT44),Inputs!$B$15*Mkt!CT44+(1-Inputs!$B$15)*MIN(Mkt!CT44,CS44*(1+Inputs!$B$18))),CS44)))</f>
        <v>1875.55764477293</v>
      </c>
      <c r="CU44" s="11" t="n">
        <f aca="false">IF(CU$1&lt;Units!$P43,0,IF(AND(Units!$K43=0,CU$1=Units!$O43),Units!$R43,IF(AND(CU$1&gt;=Units!$Q43,MOD(CU$1-Units!$Q43,12)=0),IF(AND(Units!$L43=1,CU$1=Units!$Q43),IF(Units!$J43&lt;&gt;"",Units!$J43,Mkt!CU44),Inputs!$B$15*Mkt!CU44+(1-Inputs!$B$15)*MIN(Mkt!CU44,CT44*(1+Inputs!$B$18))),CT44)))</f>
        <v>1875.55764477293</v>
      </c>
      <c r="CV44" s="11" t="n">
        <f aca="false">IF(CV$1&lt;Units!$P43,0,IF(AND(Units!$K43=0,CV$1=Units!$O43),Units!$R43,IF(AND(CV$1&gt;=Units!$Q43,MOD(CV$1-Units!$Q43,12)=0),IF(AND(Units!$L43=1,CV$1=Units!$Q43),IF(Units!$J43&lt;&gt;"",Units!$J43,Mkt!CV44),Inputs!$B$15*Mkt!CV44+(1-Inputs!$B$15)*MIN(Mkt!CV44,CU44*(1+Inputs!$B$18))),CU44)))</f>
        <v>1875.55764477293</v>
      </c>
      <c r="CW44" s="11" t="n">
        <f aca="false">IF(CW$1&lt;Units!$P43,0,IF(AND(Units!$K43=0,CW$1=Units!$O43),Units!$R43,IF(AND(CW$1&gt;=Units!$Q43,MOD(CW$1-Units!$Q43,12)=0),IF(AND(Units!$L43=1,CW$1=Units!$Q43),IF(Units!$J43&lt;&gt;"",Units!$J43,Mkt!CW44),Inputs!$B$15*Mkt!CW44+(1-Inputs!$B$15)*MIN(Mkt!CW44,CV44*(1+Inputs!$B$18))),CV44)))</f>
        <v>1875.55764477293</v>
      </c>
      <c r="CX44" s="11" t="n">
        <f aca="false">IF(CX$1&lt;Units!$P43,0,IF(AND(Units!$K43=0,CX$1=Units!$O43),Units!$R43,IF(AND(CX$1&gt;=Units!$Q43,MOD(CX$1-Units!$Q43,12)=0),IF(AND(Units!$L43=1,CX$1=Units!$Q43),IF(Units!$J43&lt;&gt;"",Units!$J43,Mkt!CX44),Inputs!$B$15*Mkt!CX44+(1-Inputs!$B$15)*MIN(Mkt!CX44,CW44*(1+Inputs!$B$18))),CW44)))</f>
        <v>1875.55764477293</v>
      </c>
      <c r="CY44" s="11" t="n">
        <f aca="false">IF(CY$1&lt;Units!$P43,0,IF(AND(Units!$K43=0,CY$1=Units!$O43),Units!$R43,IF(AND(CY$1&gt;=Units!$Q43,MOD(CY$1-Units!$Q43,12)=0),IF(AND(Units!$L43=1,CY$1=Units!$Q43),IF(Units!$J43&lt;&gt;"",Units!$J43,Mkt!CY44),Inputs!$B$15*Mkt!CY44+(1-Inputs!$B$15)*MIN(Mkt!CY44,CX44*(1+Inputs!$B$18))),CX44)))</f>
        <v>1875.55764477293</v>
      </c>
      <c r="CZ44" s="11" t="n">
        <f aca="false">IF(CZ$1&lt;Units!$P43,0,IF(AND(Units!$K43=0,CZ$1=Units!$O43),Units!$R43,IF(AND(CZ$1&gt;=Units!$Q43,MOD(CZ$1-Units!$Q43,12)=0),IF(AND(Units!$L43=1,CZ$1=Units!$Q43),IF(Units!$J43&lt;&gt;"",Units!$J43,Mkt!CZ44),Inputs!$B$15*Mkt!CZ44+(1-Inputs!$B$15)*MIN(Mkt!CZ44,CY44*(1+Inputs!$B$18))),CY44)))</f>
        <v>1875.55764477293</v>
      </c>
      <c r="DA44" s="11" t="n">
        <f aca="false">IF(DA$1&lt;Units!$P43,0,IF(AND(Units!$K43=0,DA$1=Units!$O43),Units!$R43,IF(AND(DA$1&gt;=Units!$Q43,MOD(DA$1-Units!$Q43,12)=0),IF(AND(Units!$L43=1,DA$1=Units!$Q43),IF(Units!$J43&lt;&gt;"",Units!$J43,Mkt!DA44),Inputs!$B$15*Mkt!DA44+(1-Inputs!$B$15)*MIN(Mkt!DA44,CZ44*(1+Inputs!$B$18))),CZ44)))</f>
        <v>1875.55764477293</v>
      </c>
      <c r="DB44" s="11" t="n">
        <f aca="false">IF(DB$1&lt;Units!$P43,0,IF(AND(Units!$K43=0,DB$1=Units!$O43),Units!$R43,IF(AND(DB$1&gt;=Units!$Q43,MOD(DB$1-Units!$Q43,12)=0),IF(AND(Units!$L43=1,DB$1=Units!$Q43),IF(Units!$J43&lt;&gt;"",Units!$J43,Mkt!DB44),Inputs!$B$15*Mkt!DB44+(1-Inputs!$B$15)*MIN(Mkt!DB44,DA44*(1+Inputs!$B$18))),DA44)))</f>
        <v>1875.55764477293</v>
      </c>
      <c r="DC44" s="11" t="n">
        <f aca="false">IF(DC$1&lt;Units!$P43,0,IF(AND(Units!$K43=0,DC$1=Units!$O43),Units!$R43,IF(AND(DC$1&gt;=Units!$Q43,MOD(DC$1-Units!$Q43,12)=0),IF(AND(Units!$L43=1,DC$1=Units!$Q43),IF(Units!$J43&lt;&gt;"",Units!$J43,Mkt!DC44),Inputs!$B$15*Mkt!DC44+(1-Inputs!$B$15)*MIN(Mkt!DC44,DB44*(1+Inputs!$B$18))),DB44)))</f>
        <v>1931.82437411612</v>
      </c>
      <c r="DD44" s="11" t="n">
        <f aca="false">IF(DD$1&lt;Units!$P43,0,IF(AND(Units!$K43=0,DD$1=Units!$O43),Units!$R43,IF(AND(DD$1&gt;=Units!$Q43,MOD(DD$1-Units!$Q43,12)=0),IF(AND(Units!$L43=1,DD$1=Units!$Q43),IF(Units!$J43&lt;&gt;"",Units!$J43,Mkt!DD44),Inputs!$B$15*Mkt!DD44+(1-Inputs!$B$15)*MIN(Mkt!DD44,DC44*(1+Inputs!$B$18))),DC44)))</f>
        <v>1931.82437411612</v>
      </c>
      <c r="DE44" s="11" t="n">
        <f aca="false">IF(DE$1&lt;Units!$P43,0,IF(AND(Units!$K43=0,DE$1=Units!$O43),Units!$R43,IF(AND(DE$1&gt;=Units!$Q43,MOD(DE$1-Units!$Q43,12)=0),IF(AND(Units!$L43=1,DE$1=Units!$Q43),IF(Units!$J43&lt;&gt;"",Units!$J43,Mkt!DE44),Inputs!$B$15*Mkt!DE44+(1-Inputs!$B$15)*MIN(Mkt!DE44,DD44*(1+Inputs!$B$18))),DD44)))</f>
        <v>1931.82437411612</v>
      </c>
      <c r="DF44" s="11" t="n">
        <f aca="false">IF(DF$1&lt;Units!$P43,0,IF(AND(Units!$K43=0,DF$1=Units!$O43),Units!$R43,IF(AND(DF$1&gt;=Units!$Q43,MOD(DF$1-Units!$Q43,12)=0),IF(AND(Units!$L43=1,DF$1=Units!$Q43),IF(Units!$J43&lt;&gt;"",Units!$J43,Mkt!DF44),Inputs!$B$15*Mkt!DF44+(1-Inputs!$B$15)*MIN(Mkt!DF44,DE44*(1+Inputs!$B$18))),DE44)))</f>
        <v>1931.82437411612</v>
      </c>
      <c r="DG44" s="11" t="n">
        <f aca="false">IF(DG$1&lt;Units!$P43,0,IF(AND(Units!$K43=0,DG$1=Units!$O43),Units!$R43,IF(AND(DG$1&gt;=Units!$Q43,MOD(DG$1-Units!$Q43,12)=0),IF(AND(Units!$L43=1,DG$1=Units!$Q43),IF(Units!$J43&lt;&gt;"",Units!$J43,Mkt!DG44),Inputs!$B$15*Mkt!DG44+(1-Inputs!$B$15)*MIN(Mkt!DG44,DF44*(1+Inputs!$B$18))),DF44)))</f>
        <v>1931.82437411612</v>
      </c>
      <c r="DH44" s="11" t="n">
        <f aca="false">IF(DH$1&lt;Units!$P43,0,IF(AND(Units!$K43=0,DH$1=Units!$O43),Units!$R43,IF(AND(DH$1&gt;=Units!$Q43,MOD(DH$1-Units!$Q43,12)=0),IF(AND(Units!$L43=1,DH$1=Units!$Q43),IF(Units!$J43&lt;&gt;"",Units!$J43,Mkt!DH44),Inputs!$B$15*Mkt!DH44+(1-Inputs!$B$15)*MIN(Mkt!DH44,DG44*(1+Inputs!$B$18))),DG44)))</f>
        <v>1931.82437411612</v>
      </c>
      <c r="DI44" s="11" t="n">
        <f aca="false">IF(DI$1&lt;Units!$P43,0,IF(AND(Units!$K43=0,DI$1=Units!$O43),Units!$R43,IF(AND(DI$1&gt;=Units!$Q43,MOD(DI$1-Units!$Q43,12)=0),IF(AND(Units!$L43=1,DI$1=Units!$Q43),IF(Units!$J43&lt;&gt;"",Units!$J43,Mkt!DI44),Inputs!$B$15*Mkt!DI44+(1-Inputs!$B$15)*MIN(Mkt!DI44,DH44*(1+Inputs!$B$18))),DH44)))</f>
        <v>1931.82437411612</v>
      </c>
      <c r="DJ44" s="11" t="n">
        <f aca="false">IF(DJ$1&lt;Units!$P43,0,IF(AND(Units!$K43=0,DJ$1=Units!$O43),Units!$R43,IF(AND(DJ$1&gt;=Units!$Q43,MOD(DJ$1-Units!$Q43,12)=0),IF(AND(Units!$L43=1,DJ$1=Units!$Q43),IF(Units!$J43&lt;&gt;"",Units!$J43,Mkt!DJ44),Inputs!$B$15*Mkt!DJ44+(1-Inputs!$B$15)*MIN(Mkt!DJ44,DI44*(1+Inputs!$B$18))),DI44)))</f>
        <v>1931.82437411612</v>
      </c>
      <c r="DK44" s="11" t="n">
        <f aca="false">IF(DK$1&lt;Units!$P43,0,IF(AND(Units!$K43=0,DK$1=Units!$O43),Units!$R43,IF(AND(DK$1&gt;=Units!$Q43,MOD(DK$1-Units!$Q43,12)=0),IF(AND(Units!$L43=1,DK$1=Units!$Q43),IF(Units!$J43&lt;&gt;"",Units!$J43,Mkt!DK44),Inputs!$B$15*Mkt!DK44+(1-Inputs!$B$15)*MIN(Mkt!DK44,DJ44*(1+Inputs!$B$18))),DJ44)))</f>
        <v>1931.82437411612</v>
      </c>
      <c r="DL44" s="11" t="n">
        <f aca="false">IF(DL$1&lt;Units!$P43,0,IF(AND(Units!$K43=0,DL$1=Units!$O43),Units!$R43,IF(AND(DL$1&gt;=Units!$Q43,MOD(DL$1-Units!$Q43,12)=0),IF(AND(Units!$L43=1,DL$1=Units!$Q43),IF(Units!$J43&lt;&gt;"",Units!$J43,Mkt!DL44),Inputs!$B$15*Mkt!DL44+(1-Inputs!$B$15)*MIN(Mkt!DL44,DK44*(1+Inputs!$B$18))),DK44)))</f>
        <v>1931.82437411612</v>
      </c>
      <c r="DM44" s="11" t="n">
        <f aca="false">IF(DM$1&lt;Units!$P43,0,IF(AND(Units!$K43=0,DM$1=Units!$O43),Units!$R43,IF(AND(DM$1&gt;=Units!$Q43,MOD(DM$1-Units!$Q43,12)=0),IF(AND(Units!$L43=1,DM$1=Units!$Q43),IF(Units!$J43&lt;&gt;"",Units!$J43,Mkt!DM44),Inputs!$B$15*Mkt!DM44+(1-Inputs!$B$15)*MIN(Mkt!DM44,DL44*(1+Inputs!$B$18))),DL44)))</f>
        <v>1931.82437411612</v>
      </c>
      <c r="DN44" s="11" t="n">
        <f aca="false">IF(DN$1&lt;Units!$P43,0,IF(AND(Units!$K43=0,DN$1=Units!$O43),Units!$R43,IF(AND(DN$1&gt;=Units!$Q43,MOD(DN$1-Units!$Q43,12)=0),IF(AND(Units!$L43=1,DN$1=Units!$Q43),IF(Units!$J43&lt;&gt;"",Units!$J43,Mkt!DN44),Inputs!$B$15*Mkt!DN44+(1-Inputs!$B$15)*MIN(Mkt!DN44,DM44*(1+Inputs!$B$18))),DM44)))</f>
        <v>1931.82437411612</v>
      </c>
      <c r="DO44" s="11" t="n">
        <f aca="false">IF(DO$1&lt;Units!$P43,0,IF(AND(Units!$K43=0,DO$1=Units!$O43),Units!$R43,IF(AND(DO$1&gt;=Units!$Q43,MOD(DO$1-Units!$Q43,12)=0),IF(AND(Units!$L43=1,DO$1=Units!$Q43),IF(Units!$J43&lt;&gt;"",Units!$J43,Mkt!DO44),Inputs!$B$15*Mkt!DO44+(1-Inputs!$B$15)*MIN(Mkt!DO44,DN44*(1+Inputs!$B$18))),DN44)))</f>
        <v>1989.7791053396</v>
      </c>
      <c r="DP44" s="11" t="n">
        <f aca="false">IF(DP$1&lt;Units!$P43,0,IF(AND(Units!$K43=0,DP$1=Units!$O43),Units!$R43,IF(AND(DP$1&gt;=Units!$Q43,MOD(DP$1-Units!$Q43,12)=0),IF(AND(Units!$L43=1,DP$1=Units!$Q43),IF(Units!$J43&lt;&gt;"",Units!$J43,Mkt!DP44),Inputs!$B$15*Mkt!DP44+(1-Inputs!$B$15)*MIN(Mkt!DP44,DO44*(1+Inputs!$B$18))),DO44)))</f>
        <v>1989.7791053396</v>
      </c>
      <c r="DQ44" s="11" t="n">
        <f aca="false">IF(DQ$1&lt;Units!$P43,0,IF(AND(Units!$K43=0,DQ$1=Units!$O43),Units!$R43,IF(AND(DQ$1&gt;=Units!$Q43,MOD(DQ$1-Units!$Q43,12)=0),IF(AND(Units!$L43=1,DQ$1=Units!$Q43),IF(Units!$J43&lt;&gt;"",Units!$J43,Mkt!DQ44),Inputs!$B$15*Mkt!DQ44+(1-Inputs!$B$15)*MIN(Mkt!DQ44,DP44*(1+Inputs!$B$18))),DP44)))</f>
        <v>1989.7791053396</v>
      </c>
      <c r="DR44" s="11" t="n">
        <f aca="false">IF(DR$1&lt;Units!$P43,0,IF(AND(Units!$K43=0,DR$1=Units!$O43),Units!$R43,IF(AND(DR$1&gt;=Units!$Q43,MOD(DR$1-Units!$Q43,12)=0),IF(AND(Units!$L43=1,DR$1=Units!$Q43),IF(Units!$J43&lt;&gt;"",Units!$J43,Mkt!DR44),Inputs!$B$15*Mkt!DR44+(1-Inputs!$B$15)*MIN(Mkt!DR44,DQ44*(1+Inputs!$B$18))),DQ44)))</f>
        <v>1989.7791053396</v>
      </c>
      <c r="DS44" s="11" t="n">
        <f aca="false">IF(DS$1&lt;Units!$P43,0,IF(AND(Units!$K43=0,DS$1=Units!$O43),Units!$R43,IF(AND(DS$1&gt;=Units!$Q43,MOD(DS$1-Units!$Q43,12)=0),IF(AND(Units!$L43=1,DS$1=Units!$Q43),IF(Units!$J43&lt;&gt;"",Units!$J43,Mkt!DS44),Inputs!$B$15*Mkt!DS44+(1-Inputs!$B$15)*MIN(Mkt!DS44,DR44*(1+Inputs!$B$18))),DR44)))</f>
        <v>1989.7791053396</v>
      </c>
      <c r="DT44" s="11" t="n">
        <f aca="false">IF(DT$1&lt;Units!$P43,0,IF(AND(Units!$K43=0,DT$1=Units!$O43),Units!$R43,IF(AND(DT$1&gt;=Units!$Q43,MOD(DT$1-Units!$Q43,12)=0),IF(AND(Units!$L43=1,DT$1=Units!$Q43),IF(Units!$J43&lt;&gt;"",Units!$J43,Mkt!DT44),Inputs!$B$15*Mkt!DT44+(1-Inputs!$B$15)*MIN(Mkt!DT44,DS44*(1+Inputs!$B$18))),DS44)))</f>
        <v>1989.7791053396</v>
      </c>
      <c r="DU44" s="11" t="n">
        <f aca="false">IF(DU$1&lt;Units!$P43,0,IF(AND(Units!$K43=0,DU$1=Units!$O43),Units!$R43,IF(AND(DU$1&gt;=Units!$Q43,MOD(DU$1-Units!$Q43,12)=0),IF(AND(Units!$L43=1,DU$1=Units!$Q43),IF(Units!$J43&lt;&gt;"",Units!$J43,Mkt!DU44),Inputs!$B$15*Mkt!DU44+(1-Inputs!$B$15)*MIN(Mkt!DU44,DT44*(1+Inputs!$B$18))),DT44)))</f>
        <v>1989.7791053396</v>
      </c>
      <c r="DV44" s="11" t="n">
        <f aca="false">IF(DV$1&lt;Units!$P43,0,IF(AND(Units!$K43=0,DV$1=Units!$O43),Units!$R43,IF(AND(DV$1&gt;=Units!$Q43,MOD(DV$1-Units!$Q43,12)=0),IF(AND(Units!$L43=1,DV$1=Units!$Q43),IF(Units!$J43&lt;&gt;"",Units!$J43,Mkt!DV44),Inputs!$B$15*Mkt!DV44+(1-Inputs!$B$15)*MIN(Mkt!DV44,DU44*(1+Inputs!$B$18))),DU44)))</f>
        <v>1989.7791053396</v>
      </c>
      <c r="DW44" s="11" t="n">
        <f aca="false">IF(DW$1&lt;Units!$P43,0,IF(AND(Units!$K43=0,DW$1=Units!$O43),Units!$R43,IF(AND(DW$1&gt;=Units!$Q43,MOD(DW$1-Units!$Q43,12)=0),IF(AND(Units!$L43=1,DW$1=Units!$Q43),IF(Units!$J43&lt;&gt;"",Units!$J43,Mkt!DW44),Inputs!$B$15*Mkt!DW44+(1-Inputs!$B$15)*MIN(Mkt!DW44,DV44*(1+Inputs!$B$18))),DV44)))</f>
        <v>1989.7791053396</v>
      </c>
      <c r="DX44" s="11" t="n">
        <f aca="false">IF(DX$1&lt;Units!$P43,0,IF(AND(Units!$K43=0,DX$1=Units!$O43),Units!$R43,IF(AND(DX$1&gt;=Units!$Q43,MOD(DX$1-Units!$Q43,12)=0),IF(AND(Units!$L43=1,DX$1=Units!$Q43),IF(Units!$J43&lt;&gt;"",Units!$J43,Mkt!DX44),Inputs!$B$15*Mkt!DX44+(1-Inputs!$B$15)*MIN(Mkt!DX44,DW44*(1+Inputs!$B$18))),DW44)))</f>
        <v>1989.7791053396</v>
      </c>
      <c r="DY44" s="11" t="n">
        <f aca="false">IF(DY$1&lt;Units!$P43,0,IF(AND(Units!$K43=0,DY$1=Units!$O43),Units!$R43,IF(AND(DY$1&gt;=Units!$Q43,MOD(DY$1-Units!$Q43,12)=0),IF(AND(Units!$L43=1,DY$1=Units!$Q43),IF(Units!$J43&lt;&gt;"",Units!$J43,Mkt!DY44),Inputs!$B$15*Mkt!DY44+(1-Inputs!$B$15)*MIN(Mkt!DY44,DX44*(1+Inputs!$B$18))),DX44)))</f>
        <v>1989.7791053396</v>
      </c>
      <c r="DZ44" s="11" t="n">
        <f aca="false">IF(DZ$1&lt;Units!$P43,0,IF(AND(Units!$K43=0,DZ$1=Units!$O43),Units!$R43,IF(AND(DZ$1&gt;=Units!$Q43,MOD(DZ$1-Units!$Q43,12)=0),IF(AND(Units!$L43=1,DZ$1=Units!$Q43),IF(Units!$J43&lt;&gt;"",Units!$J43,Mkt!DZ44),Inputs!$B$15*Mkt!DZ44+(1-Inputs!$B$15)*MIN(Mkt!DZ44,DY44*(1+Inputs!$B$18))),DY44)))</f>
        <v>1989.7791053396</v>
      </c>
      <c r="EA44" s="11" t="n">
        <f aca="false">IF(EA$1&lt;Units!$P43,0,IF(AND(Units!$K43=0,EA$1=Units!$O43),Units!$R43,IF(AND(EA$1&gt;=Units!$Q43,MOD(EA$1-Units!$Q43,12)=0),IF(AND(Units!$L43=1,EA$1=Units!$Q43),IF(Units!$J43&lt;&gt;"",Units!$J43,Mkt!EA44),Inputs!$B$15*Mkt!EA44+(1-Inputs!$B$15)*MIN(Mkt!EA44,DZ44*(1+Inputs!$B$18))),DZ44)))</f>
        <v>2049.47247849979</v>
      </c>
      <c r="EB44" s="11" t="n">
        <f aca="false">IF(EB$1&lt;Units!$P43,0,IF(AND(Units!$K43=0,EB$1=Units!$O43),Units!$R43,IF(AND(EB$1&gt;=Units!$Q43,MOD(EB$1-Units!$Q43,12)=0),IF(AND(Units!$L43=1,EB$1=Units!$Q43),IF(Units!$J43&lt;&gt;"",Units!$J43,Mkt!EB44),Inputs!$B$15*Mkt!EB44+(1-Inputs!$B$15)*MIN(Mkt!EB44,EA44*(1+Inputs!$B$18))),EA44)))</f>
        <v>2049.47247849979</v>
      </c>
      <c r="EC44" s="11" t="n">
        <f aca="false">IF(EC$1&lt;Units!$P43,0,IF(AND(Units!$K43=0,EC$1=Units!$O43),Units!$R43,IF(AND(EC$1&gt;=Units!$Q43,MOD(EC$1-Units!$Q43,12)=0),IF(AND(Units!$L43=1,EC$1=Units!$Q43),IF(Units!$J43&lt;&gt;"",Units!$J43,Mkt!EC44),Inputs!$B$15*Mkt!EC44+(1-Inputs!$B$15)*MIN(Mkt!EC44,EB44*(1+Inputs!$B$18))),EB44)))</f>
        <v>2049.47247849979</v>
      </c>
      <c r="ED44" s="11" t="n">
        <f aca="false">IF(ED$1&lt;Units!$P43,0,IF(AND(Units!$K43=0,ED$1=Units!$O43),Units!$R43,IF(AND(ED$1&gt;=Units!$Q43,MOD(ED$1-Units!$Q43,12)=0),IF(AND(Units!$L43=1,ED$1=Units!$Q43),IF(Units!$J43&lt;&gt;"",Units!$J43,Mkt!ED44),Inputs!$B$15*Mkt!ED44+(1-Inputs!$B$15)*MIN(Mkt!ED44,EC44*(1+Inputs!$B$18))),EC44)))</f>
        <v>2049.47247849979</v>
      </c>
    </row>
    <row r="45" customFormat="false" ht="15" hidden="false" customHeight="false" outlineLevel="0" collapsed="false">
      <c r="A45" s="22" t="n">
        <f aca="false">Units!A44</f>
        <v>213</v>
      </c>
      <c r="B45" s="24" t="n">
        <f aca="false">IF(Units!K44=1,Units!F44,0)</f>
        <v>1195</v>
      </c>
      <c r="C45" s="11" t="n">
        <f aca="false">IF(C$1&lt;Units!$P44,0,IF(AND(Units!$K44=0,C$1=Units!$O44),Units!$R44,IF(AND(C$1&gt;=Units!$Q44,MOD(C$1-Units!$Q44,12)=0),IF(AND(Units!$L44=1,C$1=Units!$Q44),IF(Units!$J44&lt;&gt;"",Units!$J44,Mkt!C45),Inputs!$B$15*Mkt!C45+(1-Inputs!$B$15)*MIN(Mkt!C45,B45*(1+Inputs!$B$18))),B45)))</f>
        <v>1195</v>
      </c>
      <c r="D45" s="11" t="n">
        <f aca="false">IF(D$1&lt;Units!$P44,0,IF(AND(Units!$K44=0,D$1=Units!$O44),Units!$R44,IF(AND(D$1&gt;=Units!$Q44,MOD(D$1-Units!$Q44,12)=0),IF(AND(Units!$L44=1,D$1=Units!$Q44),IF(Units!$J44&lt;&gt;"",Units!$J44,Mkt!D45),Inputs!$B$15*Mkt!D45+(1-Inputs!$B$15)*MIN(Mkt!D45,C45*(1+Inputs!$B$18))),C45)))</f>
        <v>1195</v>
      </c>
      <c r="E45" s="11" t="n">
        <f aca="false">IF(E$1&lt;Units!$P44,0,IF(AND(Units!$K44=0,E$1=Units!$O44),Units!$R44,IF(AND(E$1&gt;=Units!$Q44,MOD(E$1-Units!$Q44,12)=0),IF(AND(Units!$L44=1,E$1=Units!$Q44),IF(Units!$J44&lt;&gt;"",Units!$J44,Mkt!E45),Inputs!$B$15*Mkt!E45+(1-Inputs!$B$15)*MIN(Mkt!E45,D45*(1+Inputs!$B$18))),D45)))</f>
        <v>1195</v>
      </c>
      <c r="F45" s="11" t="n">
        <f aca="false">IF(F$1&lt;Units!$P44,0,IF(AND(Units!$K44=0,F$1=Units!$O44),Units!$R44,IF(AND(F$1&gt;=Units!$Q44,MOD(F$1-Units!$Q44,12)=0),IF(AND(Units!$L44=1,F$1=Units!$Q44),IF(Units!$J44&lt;&gt;"",Units!$J44,Mkt!F45),Inputs!$B$15*Mkt!F45+(1-Inputs!$B$15)*MIN(Mkt!F45,E45*(1+Inputs!$B$18))),E45)))</f>
        <v>1195</v>
      </c>
      <c r="G45" s="11" t="n">
        <f aca="false">IF(G$1&lt;Units!$P44,0,IF(AND(Units!$K44=0,G$1=Units!$O44),Units!$R44,IF(AND(G$1&gt;=Units!$Q44,MOD(G$1-Units!$Q44,12)=0),IF(AND(Units!$L44=1,G$1=Units!$Q44),IF(Units!$J44&lt;&gt;"",Units!$J44,Mkt!G45),Inputs!$B$15*Mkt!G45+(1-Inputs!$B$15)*MIN(Mkt!G45,F45*(1+Inputs!$B$18))),F45)))</f>
        <v>1195</v>
      </c>
      <c r="H45" s="11" t="n">
        <f aca="false">IF(H$1&lt;Units!$P44,0,IF(AND(Units!$K44=0,H$1=Units!$O44),Units!$R44,IF(AND(H$1&gt;=Units!$Q44,MOD(H$1-Units!$Q44,12)=0),IF(AND(Units!$L44=1,H$1=Units!$Q44),IF(Units!$J44&lt;&gt;"",Units!$J44,Mkt!H45),Inputs!$B$15*Mkt!H45+(1-Inputs!$B$15)*MIN(Mkt!H45,G45*(1+Inputs!$B$18))),G45)))</f>
        <v>1195</v>
      </c>
      <c r="I45" s="11" t="n">
        <f aca="false">IF(I$1&lt;Units!$P44,0,IF(AND(Units!$K44=0,I$1=Units!$O44),Units!$R44,IF(AND(I$1&gt;=Units!$Q44,MOD(I$1-Units!$Q44,12)=0),IF(AND(Units!$L44=1,I$1=Units!$Q44),IF(Units!$J44&lt;&gt;"",Units!$J44,Mkt!I45),Inputs!$B$15*Mkt!I45+(1-Inputs!$B$15)*MIN(Mkt!I45,H45*(1+Inputs!$B$18))),H45)))</f>
        <v>1195</v>
      </c>
      <c r="J45" s="11" t="n">
        <f aca="false">IF(J$1&lt;Units!$P44,0,IF(AND(Units!$K44=0,J$1=Units!$O44),Units!$R44,IF(AND(J$1&gt;=Units!$Q44,MOD(J$1-Units!$Q44,12)=0),IF(AND(Units!$L44=1,J$1=Units!$Q44),IF(Units!$J44&lt;&gt;"",Units!$J44,Mkt!J45),Inputs!$B$15*Mkt!J45+(1-Inputs!$B$15)*MIN(Mkt!J45,I45*(1+Inputs!$B$18))),I45)))</f>
        <v>1195</v>
      </c>
      <c r="K45" s="11" t="n">
        <f aca="false">IF(K$1&lt;Units!$P44,0,IF(AND(Units!$K44=0,K$1=Units!$O44),Units!$R44,IF(AND(K$1&gt;=Units!$Q44,MOD(K$1-Units!$Q44,12)=0),IF(AND(Units!$L44=1,K$1=Units!$Q44),IF(Units!$J44&lt;&gt;"",Units!$J44,Mkt!K45),Inputs!$B$15*Mkt!K45+(1-Inputs!$B$15)*MIN(Mkt!K45,J45*(1+Inputs!$B$18))),J45)))</f>
        <v>1195</v>
      </c>
      <c r="L45" s="11" t="n">
        <f aca="false">IF(L$1&lt;Units!$P44,0,IF(AND(Units!$K44=0,L$1=Units!$O44),Units!$R44,IF(AND(L$1&gt;=Units!$Q44,MOD(L$1-Units!$Q44,12)=0),IF(AND(Units!$L44=1,L$1=Units!$Q44),IF(Units!$J44&lt;&gt;"",Units!$J44,Mkt!L45),Inputs!$B$15*Mkt!L45+(1-Inputs!$B$15)*MIN(Mkt!L45,K45*(1+Inputs!$B$18))),K45)))</f>
        <v>1195</v>
      </c>
      <c r="M45" s="11" t="n">
        <f aca="false">IF(M$1&lt;Units!$P44,0,IF(AND(Units!$K44=0,M$1=Units!$O44),Units!$R44,IF(AND(M$1&gt;=Units!$Q44,MOD(M$1-Units!$Q44,12)=0),IF(AND(Units!$L44=1,M$1=Units!$Q44),IF(Units!$J44&lt;&gt;"",Units!$J44,Mkt!M45),Inputs!$B$15*Mkt!M45+(1-Inputs!$B$15)*MIN(Mkt!M45,L45*(1+Inputs!$B$18))),L45)))</f>
        <v>1195</v>
      </c>
      <c r="N45" s="11" t="n">
        <f aca="false">IF(N$1&lt;Units!$P44,0,IF(AND(Units!$K44=0,N$1=Units!$O44),Units!$R44,IF(AND(N$1&gt;=Units!$Q44,MOD(N$1-Units!$Q44,12)=0),IF(AND(Units!$L44=1,N$1=Units!$Q44),IF(Units!$J44&lt;&gt;"",Units!$J44,Mkt!N45),Inputs!$B$15*Mkt!N45+(1-Inputs!$B$15)*MIN(Mkt!N45,M45*(1+Inputs!$B$18))),M45)))</f>
        <v>1274.875</v>
      </c>
      <c r="O45" s="11" t="n">
        <f aca="false">IF(O$1&lt;Units!$P44,0,IF(AND(Units!$K44=0,O$1=Units!$O44),Units!$R44,IF(AND(O$1&gt;=Units!$Q44,MOD(O$1-Units!$Q44,12)=0),IF(AND(Units!$L44=1,O$1=Units!$Q44),IF(Units!$J44&lt;&gt;"",Units!$J44,Mkt!O45),Inputs!$B$15*Mkt!O45+(1-Inputs!$B$15)*MIN(Mkt!O45,N45*(1+Inputs!$B$18))),N45)))</f>
        <v>1274.875</v>
      </c>
      <c r="P45" s="11" t="n">
        <f aca="false">IF(P$1&lt;Units!$P44,0,IF(AND(Units!$K44=0,P$1=Units!$O44),Units!$R44,IF(AND(P$1&gt;=Units!$Q44,MOD(P$1-Units!$Q44,12)=0),IF(AND(Units!$L44=1,P$1=Units!$Q44),IF(Units!$J44&lt;&gt;"",Units!$J44,Mkt!P45),Inputs!$B$15*Mkt!P45+(1-Inputs!$B$15)*MIN(Mkt!P45,O45*(1+Inputs!$B$18))),O45)))</f>
        <v>1274.875</v>
      </c>
      <c r="Q45" s="11" t="n">
        <f aca="false">IF(Q$1&lt;Units!$P44,0,IF(AND(Units!$K44=0,Q$1=Units!$O44),Units!$R44,IF(AND(Q$1&gt;=Units!$Q44,MOD(Q$1-Units!$Q44,12)=0),IF(AND(Units!$L44=1,Q$1=Units!$Q44),IF(Units!$J44&lt;&gt;"",Units!$J44,Mkt!Q45),Inputs!$B$15*Mkt!Q45+(1-Inputs!$B$15)*MIN(Mkt!Q45,P45*(1+Inputs!$B$18))),P45)))</f>
        <v>1274.875</v>
      </c>
      <c r="R45" s="11" t="n">
        <f aca="false">IF(R$1&lt;Units!$P44,0,IF(AND(Units!$K44=0,R$1=Units!$O44),Units!$R44,IF(AND(R$1&gt;=Units!$Q44,MOD(R$1-Units!$Q44,12)=0),IF(AND(Units!$L44=1,R$1=Units!$Q44),IF(Units!$J44&lt;&gt;"",Units!$J44,Mkt!R45),Inputs!$B$15*Mkt!R45+(1-Inputs!$B$15)*MIN(Mkt!R45,Q45*(1+Inputs!$B$18))),Q45)))</f>
        <v>1274.875</v>
      </c>
      <c r="S45" s="11" t="n">
        <f aca="false">IF(S$1&lt;Units!$P44,0,IF(AND(Units!$K44=0,S$1=Units!$O44),Units!$R44,IF(AND(S$1&gt;=Units!$Q44,MOD(S$1-Units!$Q44,12)=0),IF(AND(Units!$L44=1,S$1=Units!$Q44),IF(Units!$J44&lt;&gt;"",Units!$J44,Mkt!S45),Inputs!$B$15*Mkt!S45+(1-Inputs!$B$15)*MIN(Mkt!S45,R45*(1+Inputs!$B$18))),R45)))</f>
        <v>1274.875</v>
      </c>
      <c r="T45" s="11" t="n">
        <f aca="false">IF(T$1&lt;Units!$P44,0,IF(AND(Units!$K44=0,T$1=Units!$O44),Units!$R44,IF(AND(T$1&gt;=Units!$Q44,MOD(T$1-Units!$Q44,12)=0),IF(AND(Units!$L44=1,T$1=Units!$Q44),IF(Units!$J44&lt;&gt;"",Units!$J44,Mkt!T45),Inputs!$B$15*Mkt!T45+(1-Inputs!$B$15)*MIN(Mkt!T45,S45*(1+Inputs!$B$18))),S45)))</f>
        <v>1274.875</v>
      </c>
      <c r="U45" s="11" t="n">
        <f aca="false">IF(U$1&lt;Units!$P44,0,IF(AND(Units!$K44=0,U$1=Units!$O44),Units!$R44,IF(AND(U$1&gt;=Units!$Q44,MOD(U$1-Units!$Q44,12)=0),IF(AND(Units!$L44=1,U$1=Units!$Q44),IF(Units!$J44&lt;&gt;"",Units!$J44,Mkt!U45),Inputs!$B$15*Mkt!U45+(1-Inputs!$B$15)*MIN(Mkt!U45,T45*(1+Inputs!$B$18))),T45)))</f>
        <v>1274.875</v>
      </c>
      <c r="V45" s="11" t="n">
        <f aca="false">IF(V$1&lt;Units!$P44,0,IF(AND(Units!$K44=0,V$1=Units!$O44),Units!$R44,IF(AND(V$1&gt;=Units!$Q44,MOD(V$1-Units!$Q44,12)=0),IF(AND(Units!$L44=1,V$1=Units!$Q44),IF(Units!$J44&lt;&gt;"",Units!$J44,Mkt!V45),Inputs!$B$15*Mkt!V45+(1-Inputs!$B$15)*MIN(Mkt!V45,U45*(1+Inputs!$B$18))),U45)))</f>
        <v>1274.875</v>
      </c>
      <c r="W45" s="11" t="n">
        <f aca="false">IF(W$1&lt;Units!$P44,0,IF(AND(Units!$K44=0,W$1=Units!$O44),Units!$R44,IF(AND(W$1&gt;=Units!$Q44,MOD(W$1-Units!$Q44,12)=0),IF(AND(Units!$L44=1,W$1=Units!$Q44),IF(Units!$J44&lt;&gt;"",Units!$J44,Mkt!W45),Inputs!$B$15*Mkt!W45+(1-Inputs!$B$15)*MIN(Mkt!W45,V45*(1+Inputs!$B$18))),V45)))</f>
        <v>1274.875</v>
      </c>
      <c r="X45" s="11" t="n">
        <f aca="false">IF(X$1&lt;Units!$P44,0,IF(AND(Units!$K44=0,X$1=Units!$O44),Units!$R44,IF(AND(X$1&gt;=Units!$Q44,MOD(X$1-Units!$Q44,12)=0),IF(AND(Units!$L44=1,X$1=Units!$Q44),IF(Units!$J44&lt;&gt;"",Units!$J44,Mkt!X45),Inputs!$B$15*Mkt!X45+(1-Inputs!$B$15)*MIN(Mkt!X45,W45*(1+Inputs!$B$18))),W45)))</f>
        <v>1274.875</v>
      </c>
      <c r="Y45" s="11" t="n">
        <f aca="false">IF(Y$1&lt;Units!$P44,0,IF(AND(Units!$K44=0,Y$1=Units!$O44),Units!$R44,IF(AND(Y$1&gt;=Units!$Q44,MOD(Y$1-Units!$Q44,12)=0),IF(AND(Units!$L44=1,Y$1=Units!$Q44),IF(Units!$J44&lt;&gt;"",Units!$J44,Mkt!Y45),Inputs!$B$15*Mkt!Y45+(1-Inputs!$B$15)*MIN(Mkt!Y45,X45*(1+Inputs!$B$18))),X45)))</f>
        <v>1274.875</v>
      </c>
      <c r="Z45" s="11" t="n">
        <f aca="false">IF(Z$1&lt;Units!$P44,0,IF(AND(Units!$K44=0,Z$1=Units!$O44),Units!$R44,IF(AND(Z$1&gt;=Units!$Q44,MOD(Z$1-Units!$Q44,12)=0),IF(AND(Units!$L44=1,Z$1=Units!$Q44),IF(Units!$J44&lt;&gt;"",Units!$J44,Mkt!Z45),Inputs!$B$15*Mkt!Z45+(1-Inputs!$B$15)*MIN(Mkt!Z45,Y45*(1+Inputs!$B$18))),Y45)))</f>
        <v>1333.85</v>
      </c>
      <c r="AA45" s="11" t="n">
        <f aca="false">IF(AA$1&lt;Units!$P44,0,IF(AND(Units!$K44=0,AA$1=Units!$O44),Units!$R44,IF(AND(AA$1&gt;=Units!$Q44,MOD(AA$1-Units!$Q44,12)=0),IF(AND(Units!$L44=1,AA$1=Units!$Q44),IF(Units!$J44&lt;&gt;"",Units!$J44,Mkt!AA45),Inputs!$B$15*Mkt!AA45+(1-Inputs!$B$15)*MIN(Mkt!AA45,Z45*(1+Inputs!$B$18))),Z45)))</f>
        <v>1333.85</v>
      </c>
      <c r="AB45" s="11" t="n">
        <f aca="false">IF(AB$1&lt;Units!$P44,0,IF(AND(Units!$K44=0,AB$1=Units!$O44),Units!$R44,IF(AND(AB$1&gt;=Units!$Q44,MOD(AB$1-Units!$Q44,12)=0),IF(AND(Units!$L44=1,AB$1=Units!$Q44),IF(Units!$J44&lt;&gt;"",Units!$J44,Mkt!AB45),Inputs!$B$15*Mkt!AB45+(1-Inputs!$B$15)*MIN(Mkt!AB45,AA45*(1+Inputs!$B$18))),AA45)))</f>
        <v>1333.85</v>
      </c>
      <c r="AC45" s="11" t="n">
        <f aca="false">IF(AC$1&lt;Units!$P44,0,IF(AND(Units!$K44=0,AC$1=Units!$O44),Units!$R44,IF(AND(AC$1&gt;=Units!$Q44,MOD(AC$1-Units!$Q44,12)=0),IF(AND(Units!$L44=1,AC$1=Units!$Q44),IF(Units!$J44&lt;&gt;"",Units!$J44,Mkt!AC45),Inputs!$B$15*Mkt!AC45+(1-Inputs!$B$15)*MIN(Mkt!AC45,AB45*(1+Inputs!$B$18))),AB45)))</f>
        <v>1333.85</v>
      </c>
      <c r="AD45" s="11" t="n">
        <f aca="false">IF(AD$1&lt;Units!$P44,0,IF(AND(Units!$K44=0,AD$1=Units!$O44),Units!$R44,IF(AND(AD$1&gt;=Units!$Q44,MOD(AD$1-Units!$Q44,12)=0),IF(AND(Units!$L44=1,AD$1=Units!$Q44),IF(Units!$J44&lt;&gt;"",Units!$J44,Mkt!AD45),Inputs!$B$15*Mkt!AD45+(1-Inputs!$B$15)*MIN(Mkt!AD45,AC45*(1+Inputs!$B$18))),AC45)))</f>
        <v>1333.85</v>
      </c>
      <c r="AE45" s="11" t="n">
        <f aca="false">IF(AE$1&lt;Units!$P44,0,IF(AND(Units!$K44=0,AE$1=Units!$O44),Units!$R44,IF(AND(AE$1&gt;=Units!$Q44,MOD(AE$1-Units!$Q44,12)=0),IF(AND(Units!$L44=1,AE$1=Units!$Q44),IF(Units!$J44&lt;&gt;"",Units!$J44,Mkt!AE45),Inputs!$B$15*Mkt!AE45+(1-Inputs!$B$15)*MIN(Mkt!AE45,AD45*(1+Inputs!$B$18))),AD45)))</f>
        <v>1333.85</v>
      </c>
      <c r="AF45" s="11" t="n">
        <f aca="false">IF(AF$1&lt;Units!$P44,0,IF(AND(Units!$K44=0,AF$1=Units!$O44),Units!$R44,IF(AND(AF$1&gt;=Units!$Q44,MOD(AF$1-Units!$Q44,12)=0),IF(AND(Units!$L44=1,AF$1=Units!$Q44),IF(Units!$J44&lt;&gt;"",Units!$J44,Mkt!AF45),Inputs!$B$15*Mkt!AF45+(1-Inputs!$B$15)*MIN(Mkt!AF45,AE45*(1+Inputs!$B$18))),AE45)))</f>
        <v>1333.85</v>
      </c>
      <c r="AG45" s="11" t="n">
        <f aca="false">IF(AG$1&lt;Units!$P44,0,IF(AND(Units!$K44=0,AG$1=Units!$O44),Units!$R44,IF(AND(AG$1&gt;=Units!$Q44,MOD(AG$1-Units!$Q44,12)=0),IF(AND(Units!$L44=1,AG$1=Units!$Q44),IF(Units!$J44&lt;&gt;"",Units!$J44,Mkt!AG45),Inputs!$B$15*Mkt!AG45+(1-Inputs!$B$15)*MIN(Mkt!AG45,AF45*(1+Inputs!$B$18))),AF45)))</f>
        <v>1333.85</v>
      </c>
      <c r="AH45" s="11" t="n">
        <f aca="false">IF(AH$1&lt;Units!$P44,0,IF(AND(Units!$K44=0,AH$1=Units!$O44),Units!$R44,IF(AND(AH$1&gt;=Units!$Q44,MOD(AH$1-Units!$Q44,12)=0),IF(AND(Units!$L44=1,AH$1=Units!$Q44),IF(Units!$J44&lt;&gt;"",Units!$J44,Mkt!AH45),Inputs!$B$15*Mkt!AH45+(1-Inputs!$B$15)*MIN(Mkt!AH45,AG45*(1+Inputs!$B$18))),AG45)))</f>
        <v>1333.85</v>
      </c>
      <c r="AI45" s="11" t="n">
        <f aca="false">IF(AI$1&lt;Units!$P44,0,IF(AND(Units!$K44=0,AI$1=Units!$O44),Units!$R44,IF(AND(AI$1&gt;=Units!$Q44,MOD(AI$1-Units!$Q44,12)=0),IF(AND(Units!$L44=1,AI$1=Units!$Q44),IF(Units!$J44&lt;&gt;"",Units!$J44,Mkt!AI45),Inputs!$B$15*Mkt!AI45+(1-Inputs!$B$15)*MIN(Mkt!AI45,AH45*(1+Inputs!$B$18))),AH45)))</f>
        <v>1333.85</v>
      </c>
      <c r="AJ45" s="11" t="n">
        <f aca="false">IF(AJ$1&lt;Units!$P44,0,IF(AND(Units!$K44=0,AJ$1=Units!$O44),Units!$R44,IF(AND(AJ$1&gt;=Units!$Q44,MOD(AJ$1-Units!$Q44,12)=0),IF(AND(Units!$L44=1,AJ$1=Units!$Q44),IF(Units!$J44&lt;&gt;"",Units!$J44,Mkt!AJ45),Inputs!$B$15*Mkt!AJ45+(1-Inputs!$B$15)*MIN(Mkt!AJ45,AI45*(1+Inputs!$B$18))),AI45)))</f>
        <v>1333.85</v>
      </c>
      <c r="AK45" s="11" t="n">
        <f aca="false">IF(AK$1&lt;Units!$P44,0,IF(AND(Units!$K44=0,AK$1=Units!$O44),Units!$R44,IF(AND(AK$1&gt;=Units!$Q44,MOD(AK$1-Units!$Q44,12)=0),IF(AND(Units!$L44=1,AK$1=Units!$Q44),IF(Units!$J44&lt;&gt;"",Units!$J44,Mkt!AK45),Inputs!$B$15*Mkt!AK45+(1-Inputs!$B$15)*MIN(Mkt!AK45,AJ45*(1+Inputs!$B$18))),AJ45)))</f>
        <v>1333.85</v>
      </c>
      <c r="AL45" s="11" t="n">
        <f aca="false">IF(AL$1&lt;Units!$P44,0,IF(AND(Units!$K44=0,AL$1=Units!$O44),Units!$R44,IF(AND(AL$1&gt;=Units!$Q44,MOD(AL$1-Units!$Q44,12)=0),IF(AND(Units!$L44=1,AL$1=Units!$Q44),IF(Units!$J44&lt;&gt;"",Units!$J44,Mkt!AL45),Inputs!$B$15*Mkt!AL45+(1-Inputs!$B$15)*MIN(Mkt!AL45,AK45*(1+Inputs!$B$18))),AK45)))</f>
        <v>1373.8655</v>
      </c>
      <c r="AM45" s="11" t="n">
        <f aca="false">IF(AM$1&lt;Units!$P44,0,IF(AND(Units!$K44=0,AM$1=Units!$O44),Units!$R44,IF(AND(AM$1&gt;=Units!$Q44,MOD(AM$1-Units!$Q44,12)=0),IF(AND(Units!$L44=1,AM$1=Units!$Q44),IF(Units!$J44&lt;&gt;"",Units!$J44,Mkt!AM45),Inputs!$B$15*Mkt!AM45+(1-Inputs!$B$15)*MIN(Mkt!AM45,AL45*(1+Inputs!$B$18))),AL45)))</f>
        <v>1373.8655</v>
      </c>
      <c r="AN45" s="11" t="n">
        <f aca="false">IF(AN$1&lt;Units!$P44,0,IF(AND(Units!$K44=0,AN$1=Units!$O44),Units!$R44,IF(AND(AN$1&gt;=Units!$Q44,MOD(AN$1-Units!$Q44,12)=0),IF(AND(Units!$L44=1,AN$1=Units!$Q44),IF(Units!$J44&lt;&gt;"",Units!$J44,Mkt!AN45),Inputs!$B$15*Mkt!AN45+(1-Inputs!$B$15)*MIN(Mkt!AN45,AM45*(1+Inputs!$B$18))),AM45)))</f>
        <v>1373.8655</v>
      </c>
      <c r="AO45" s="11" t="n">
        <f aca="false">IF(AO$1&lt;Units!$P44,0,IF(AND(Units!$K44=0,AO$1=Units!$O44),Units!$R44,IF(AND(AO$1&gt;=Units!$Q44,MOD(AO$1-Units!$Q44,12)=0),IF(AND(Units!$L44=1,AO$1=Units!$Q44),IF(Units!$J44&lt;&gt;"",Units!$J44,Mkt!AO45),Inputs!$B$15*Mkt!AO45+(1-Inputs!$B$15)*MIN(Mkt!AO45,AN45*(1+Inputs!$B$18))),AN45)))</f>
        <v>1373.8655</v>
      </c>
      <c r="AP45" s="11" t="n">
        <f aca="false">IF(AP$1&lt;Units!$P44,0,IF(AND(Units!$K44=0,AP$1=Units!$O44),Units!$R44,IF(AND(AP$1&gt;=Units!$Q44,MOD(AP$1-Units!$Q44,12)=0),IF(AND(Units!$L44=1,AP$1=Units!$Q44),IF(Units!$J44&lt;&gt;"",Units!$J44,Mkt!AP45),Inputs!$B$15*Mkt!AP45+(1-Inputs!$B$15)*MIN(Mkt!AP45,AO45*(1+Inputs!$B$18))),AO45)))</f>
        <v>1373.8655</v>
      </c>
      <c r="AQ45" s="11" t="n">
        <f aca="false">IF(AQ$1&lt;Units!$P44,0,IF(AND(Units!$K44=0,AQ$1=Units!$O44),Units!$R44,IF(AND(AQ$1&gt;=Units!$Q44,MOD(AQ$1-Units!$Q44,12)=0),IF(AND(Units!$L44=1,AQ$1=Units!$Q44),IF(Units!$J44&lt;&gt;"",Units!$J44,Mkt!AQ45),Inputs!$B$15*Mkt!AQ45+(1-Inputs!$B$15)*MIN(Mkt!AQ45,AP45*(1+Inputs!$B$18))),AP45)))</f>
        <v>1373.8655</v>
      </c>
      <c r="AR45" s="11" t="n">
        <f aca="false">IF(AR$1&lt;Units!$P44,0,IF(AND(Units!$K44=0,AR$1=Units!$O44),Units!$R44,IF(AND(AR$1&gt;=Units!$Q44,MOD(AR$1-Units!$Q44,12)=0),IF(AND(Units!$L44=1,AR$1=Units!$Q44),IF(Units!$J44&lt;&gt;"",Units!$J44,Mkt!AR45),Inputs!$B$15*Mkt!AR45+(1-Inputs!$B$15)*MIN(Mkt!AR45,AQ45*(1+Inputs!$B$18))),AQ45)))</f>
        <v>1373.8655</v>
      </c>
      <c r="AS45" s="11" t="n">
        <f aca="false">IF(AS$1&lt;Units!$P44,0,IF(AND(Units!$K44=0,AS$1=Units!$O44),Units!$R44,IF(AND(AS$1&gt;=Units!$Q44,MOD(AS$1-Units!$Q44,12)=0),IF(AND(Units!$L44=1,AS$1=Units!$Q44),IF(Units!$J44&lt;&gt;"",Units!$J44,Mkt!AS45),Inputs!$B$15*Mkt!AS45+(1-Inputs!$B$15)*MIN(Mkt!AS45,AR45*(1+Inputs!$B$18))),AR45)))</f>
        <v>1373.8655</v>
      </c>
      <c r="AT45" s="11" t="n">
        <f aca="false">IF(AT$1&lt;Units!$P44,0,IF(AND(Units!$K44=0,AT$1=Units!$O44),Units!$R44,IF(AND(AT$1&gt;=Units!$Q44,MOD(AT$1-Units!$Q44,12)=0),IF(AND(Units!$L44=1,AT$1=Units!$Q44),IF(Units!$J44&lt;&gt;"",Units!$J44,Mkt!AT45),Inputs!$B$15*Mkt!AT45+(1-Inputs!$B$15)*MIN(Mkt!AT45,AS45*(1+Inputs!$B$18))),AS45)))</f>
        <v>1373.8655</v>
      </c>
      <c r="AU45" s="11" t="n">
        <f aca="false">IF(AU$1&lt;Units!$P44,0,IF(AND(Units!$K44=0,AU$1=Units!$O44),Units!$R44,IF(AND(AU$1&gt;=Units!$Q44,MOD(AU$1-Units!$Q44,12)=0),IF(AND(Units!$L44=1,AU$1=Units!$Q44),IF(Units!$J44&lt;&gt;"",Units!$J44,Mkt!AU45),Inputs!$B$15*Mkt!AU45+(1-Inputs!$B$15)*MIN(Mkt!AU45,AT45*(1+Inputs!$B$18))),AT45)))</f>
        <v>1373.8655</v>
      </c>
      <c r="AV45" s="11" t="n">
        <f aca="false">IF(AV$1&lt;Units!$P44,0,IF(AND(Units!$K44=0,AV$1=Units!$O44),Units!$R44,IF(AND(AV$1&gt;=Units!$Q44,MOD(AV$1-Units!$Q44,12)=0),IF(AND(Units!$L44=1,AV$1=Units!$Q44),IF(Units!$J44&lt;&gt;"",Units!$J44,Mkt!AV45),Inputs!$B$15*Mkt!AV45+(1-Inputs!$B$15)*MIN(Mkt!AV45,AU45*(1+Inputs!$B$18))),AU45)))</f>
        <v>1373.8655</v>
      </c>
      <c r="AW45" s="11" t="n">
        <f aca="false">IF(AW$1&lt;Units!$P44,0,IF(AND(Units!$K44=0,AW$1=Units!$O44),Units!$R44,IF(AND(AW$1&gt;=Units!$Q44,MOD(AW$1-Units!$Q44,12)=0),IF(AND(Units!$L44=1,AW$1=Units!$Q44),IF(Units!$J44&lt;&gt;"",Units!$J44,Mkt!AW45),Inputs!$B$15*Mkt!AW45+(1-Inputs!$B$15)*MIN(Mkt!AW45,AV45*(1+Inputs!$B$18))),AV45)))</f>
        <v>1373.8655</v>
      </c>
      <c r="AX45" s="11" t="n">
        <f aca="false">IF(AX$1&lt;Units!$P44,0,IF(AND(Units!$K44=0,AX$1=Units!$O44),Units!$R44,IF(AND(AX$1&gt;=Units!$Q44,MOD(AX$1-Units!$Q44,12)=0),IF(AND(Units!$L44=1,AX$1=Units!$Q44),IF(Units!$J44&lt;&gt;"",Units!$J44,Mkt!AX45),Inputs!$B$15*Mkt!AX45+(1-Inputs!$B$15)*MIN(Mkt!AX45,AW45*(1+Inputs!$B$18))),AW45)))</f>
        <v>1415.081465</v>
      </c>
      <c r="AY45" s="11" t="n">
        <f aca="false">IF(AY$1&lt;Units!$P44,0,IF(AND(Units!$K44=0,AY$1=Units!$O44),Units!$R44,IF(AND(AY$1&gt;=Units!$Q44,MOD(AY$1-Units!$Q44,12)=0),IF(AND(Units!$L44=1,AY$1=Units!$Q44),IF(Units!$J44&lt;&gt;"",Units!$J44,Mkt!AY45),Inputs!$B$15*Mkt!AY45+(1-Inputs!$B$15)*MIN(Mkt!AY45,AX45*(1+Inputs!$B$18))),AX45)))</f>
        <v>1415.081465</v>
      </c>
      <c r="AZ45" s="11" t="n">
        <f aca="false">IF(AZ$1&lt;Units!$P44,0,IF(AND(Units!$K44=0,AZ$1=Units!$O44),Units!$R44,IF(AND(AZ$1&gt;=Units!$Q44,MOD(AZ$1-Units!$Q44,12)=0),IF(AND(Units!$L44=1,AZ$1=Units!$Q44),IF(Units!$J44&lt;&gt;"",Units!$J44,Mkt!AZ45),Inputs!$B$15*Mkt!AZ45+(1-Inputs!$B$15)*MIN(Mkt!AZ45,AY45*(1+Inputs!$B$18))),AY45)))</f>
        <v>1415.081465</v>
      </c>
      <c r="BA45" s="11" t="n">
        <f aca="false">IF(BA$1&lt;Units!$P44,0,IF(AND(Units!$K44=0,BA$1=Units!$O44),Units!$R44,IF(AND(BA$1&gt;=Units!$Q44,MOD(BA$1-Units!$Q44,12)=0),IF(AND(Units!$L44=1,BA$1=Units!$Q44),IF(Units!$J44&lt;&gt;"",Units!$J44,Mkt!BA45),Inputs!$B$15*Mkt!BA45+(1-Inputs!$B$15)*MIN(Mkt!BA45,AZ45*(1+Inputs!$B$18))),AZ45)))</f>
        <v>1415.081465</v>
      </c>
      <c r="BB45" s="11" t="n">
        <f aca="false">IF(BB$1&lt;Units!$P44,0,IF(AND(Units!$K44=0,BB$1=Units!$O44),Units!$R44,IF(AND(BB$1&gt;=Units!$Q44,MOD(BB$1-Units!$Q44,12)=0),IF(AND(Units!$L44=1,BB$1=Units!$Q44),IF(Units!$J44&lt;&gt;"",Units!$J44,Mkt!BB45),Inputs!$B$15*Mkt!BB45+(1-Inputs!$B$15)*MIN(Mkt!BB45,BA45*(1+Inputs!$B$18))),BA45)))</f>
        <v>1415.081465</v>
      </c>
      <c r="BC45" s="11" t="n">
        <f aca="false">IF(BC$1&lt;Units!$P44,0,IF(AND(Units!$K44=0,BC$1=Units!$O44),Units!$R44,IF(AND(BC$1&gt;=Units!$Q44,MOD(BC$1-Units!$Q44,12)=0),IF(AND(Units!$L44=1,BC$1=Units!$Q44),IF(Units!$J44&lt;&gt;"",Units!$J44,Mkt!BC45),Inputs!$B$15*Mkt!BC45+(1-Inputs!$B$15)*MIN(Mkt!BC45,BB45*(1+Inputs!$B$18))),BB45)))</f>
        <v>1415.081465</v>
      </c>
      <c r="BD45" s="11" t="n">
        <f aca="false">IF(BD$1&lt;Units!$P44,0,IF(AND(Units!$K44=0,BD$1=Units!$O44),Units!$R44,IF(AND(BD$1&gt;=Units!$Q44,MOD(BD$1-Units!$Q44,12)=0),IF(AND(Units!$L44=1,BD$1=Units!$Q44),IF(Units!$J44&lt;&gt;"",Units!$J44,Mkt!BD45),Inputs!$B$15*Mkt!BD45+(1-Inputs!$B$15)*MIN(Mkt!BD45,BC45*(1+Inputs!$B$18))),BC45)))</f>
        <v>1415.081465</v>
      </c>
      <c r="BE45" s="11" t="n">
        <f aca="false">IF(BE$1&lt;Units!$P44,0,IF(AND(Units!$K44=0,BE$1=Units!$O44),Units!$R44,IF(AND(BE$1&gt;=Units!$Q44,MOD(BE$1-Units!$Q44,12)=0),IF(AND(Units!$L44=1,BE$1=Units!$Q44),IF(Units!$J44&lt;&gt;"",Units!$J44,Mkt!BE45),Inputs!$B$15*Mkt!BE45+(1-Inputs!$B$15)*MIN(Mkt!BE45,BD45*(1+Inputs!$B$18))),BD45)))</f>
        <v>1415.081465</v>
      </c>
      <c r="BF45" s="11" t="n">
        <f aca="false">IF(BF$1&lt;Units!$P44,0,IF(AND(Units!$K44=0,BF$1=Units!$O44),Units!$R44,IF(AND(BF$1&gt;=Units!$Q44,MOD(BF$1-Units!$Q44,12)=0),IF(AND(Units!$L44=1,BF$1=Units!$Q44),IF(Units!$J44&lt;&gt;"",Units!$J44,Mkt!BF45),Inputs!$B$15*Mkt!BF45+(1-Inputs!$B$15)*MIN(Mkt!BF45,BE45*(1+Inputs!$B$18))),BE45)))</f>
        <v>1415.081465</v>
      </c>
      <c r="BG45" s="11" t="n">
        <f aca="false">IF(BG$1&lt;Units!$P44,0,IF(AND(Units!$K44=0,BG$1=Units!$O44),Units!$R44,IF(AND(BG$1&gt;=Units!$Q44,MOD(BG$1-Units!$Q44,12)=0),IF(AND(Units!$L44=1,BG$1=Units!$Q44),IF(Units!$J44&lt;&gt;"",Units!$J44,Mkt!BG45),Inputs!$B$15*Mkt!BG45+(1-Inputs!$B$15)*MIN(Mkt!BG45,BF45*(1+Inputs!$B$18))),BF45)))</f>
        <v>1415.081465</v>
      </c>
      <c r="BH45" s="11" t="n">
        <f aca="false">IF(BH$1&lt;Units!$P44,0,IF(AND(Units!$K44=0,BH$1=Units!$O44),Units!$R44,IF(AND(BH$1&gt;=Units!$Q44,MOD(BH$1-Units!$Q44,12)=0),IF(AND(Units!$L44=1,BH$1=Units!$Q44),IF(Units!$J44&lt;&gt;"",Units!$J44,Mkt!BH45),Inputs!$B$15*Mkt!BH45+(1-Inputs!$B$15)*MIN(Mkt!BH45,BG45*(1+Inputs!$B$18))),BG45)))</f>
        <v>1415.081465</v>
      </c>
      <c r="BI45" s="11" t="n">
        <f aca="false">IF(BI$1&lt;Units!$P44,0,IF(AND(Units!$K44=0,BI$1=Units!$O44),Units!$R44,IF(AND(BI$1&gt;=Units!$Q44,MOD(BI$1-Units!$Q44,12)=0),IF(AND(Units!$L44=1,BI$1=Units!$Q44),IF(Units!$J44&lt;&gt;"",Units!$J44,Mkt!BI45),Inputs!$B$15*Mkt!BI45+(1-Inputs!$B$15)*MIN(Mkt!BI45,BH45*(1+Inputs!$B$18))),BH45)))</f>
        <v>1415.081465</v>
      </c>
      <c r="BJ45" s="11" t="n">
        <f aca="false">IF(BJ$1&lt;Units!$P44,0,IF(AND(Units!$K44=0,BJ$1=Units!$O44),Units!$R44,IF(AND(BJ$1&gt;=Units!$Q44,MOD(BJ$1-Units!$Q44,12)=0),IF(AND(Units!$L44=1,BJ$1=Units!$Q44),IF(Units!$J44&lt;&gt;"",Units!$J44,Mkt!BJ45),Inputs!$B$15*Mkt!BJ45+(1-Inputs!$B$15)*MIN(Mkt!BJ45,BI45*(1+Inputs!$B$18))),BI45)))</f>
        <v>1457.53390895</v>
      </c>
      <c r="BK45" s="11" t="n">
        <f aca="false">IF(BK$1&lt;Units!$P44,0,IF(AND(Units!$K44=0,BK$1=Units!$O44),Units!$R44,IF(AND(BK$1&gt;=Units!$Q44,MOD(BK$1-Units!$Q44,12)=0),IF(AND(Units!$L44=1,BK$1=Units!$Q44),IF(Units!$J44&lt;&gt;"",Units!$J44,Mkt!BK45),Inputs!$B$15*Mkt!BK45+(1-Inputs!$B$15)*MIN(Mkt!BK45,BJ45*(1+Inputs!$B$18))),BJ45)))</f>
        <v>1457.53390895</v>
      </c>
      <c r="BL45" s="11" t="n">
        <f aca="false">IF(BL$1&lt;Units!$P44,0,IF(AND(Units!$K44=0,BL$1=Units!$O44),Units!$R44,IF(AND(BL$1&gt;=Units!$Q44,MOD(BL$1-Units!$Q44,12)=0),IF(AND(Units!$L44=1,BL$1=Units!$Q44),IF(Units!$J44&lt;&gt;"",Units!$J44,Mkt!BL45),Inputs!$B$15*Mkt!BL45+(1-Inputs!$B$15)*MIN(Mkt!BL45,BK45*(1+Inputs!$B$18))),BK45)))</f>
        <v>1457.53390895</v>
      </c>
      <c r="BM45" s="11" t="n">
        <f aca="false">IF(BM$1&lt;Units!$P44,0,IF(AND(Units!$K44=0,BM$1=Units!$O44),Units!$R44,IF(AND(BM$1&gt;=Units!$Q44,MOD(BM$1-Units!$Q44,12)=0),IF(AND(Units!$L44=1,BM$1=Units!$Q44),IF(Units!$J44&lt;&gt;"",Units!$J44,Mkt!BM45),Inputs!$B$15*Mkt!BM45+(1-Inputs!$B$15)*MIN(Mkt!BM45,BL45*(1+Inputs!$B$18))),BL45)))</f>
        <v>1457.53390895</v>
      </c>
      <c r="BN45" s="11" t="n">
        <f aca="false">IF(BN$1&lt;Units!$P44,0,IF(AND(Units!$K44=0,BN$1=Units!$O44),Units!$R44,IF(AND(BN$1&gt;=Units!$Q44,MOD(BN$1-Units!$Q44,12)=0),IF(AND(Units!$L44=1,BN$1=Units!$Q44),IF(Units!$J44&lt;&gt;"",Units!$J44,Mkt!BN45),Inputs!$B$15*Mkt!BN45+(1-Inputs!$B$15)*MIN(Mkt!BN45,BM45*(1+Inputs!$B$18))),BM45)))</f>
        <v>1457.53390895</v>
      </c>
      <c r="BO45" s="11" t="n">
        <f aca="false">IF(BO$1&lt;Units!$P44,0,IF(AND(Units!$K44=0,BO$1=Units!$O44),Units!$R44,IF(AND(BO$1&gt;=Units!$Q44,MOD(BO$1-Units!$Q44,12)=0),IF(AND(Units!$L44=1,BO$1=Units!$Q44),IF(Units!$J44&lt;&gt;"",Units!$J44,Mkt!BO45),Inputs!$B$15*Mkt!BO45+(1-Inputs!$B$15)*MIN(Mkt!BO45,BN45*(1+Inputs!$B$18))),BN45)))</f>
        <v>1457.53390895</v>
      </c>
      <c r="BP45" s="11" t="n">
        <f aca="false">IF(BP$1&lt;Units!$P44,0,IF(AND(Units!$K44=0,BP$1=Units!$O44),Units!$R44,IF(AND(BP$1&gt;=Units!$Q44,MOD(BP$1-Units!$Q44,12)=0),IF(AND(Units!$L44=1,BP$1=Units!$Q44),IF(Units!$J44&lt;&gt;"",Units!$J44,Mkt!BP45),Inputs!$B$15*Mkt!BP45+(1-Inputs!$B$15)*MIN(Mkt!BP45,BO45*(1+Inputs!$B$18))),BO45)))</f>
        <v>1457.53390895</v>
      </c>
      <c r="BQ45" s="11" t="n">
        <f aca="false">IF(BQ$1&lt;Units!$P44,0,IF(AND(Units!$K44=0,BQ$1=Units!$O44),Units!$R44,IF(AND(BQ$1&gt;=Units!$Q44,MOD(BQ$1-Units!$Q44,12)=0),IF(AND(Units!$L44=1,BQ$1=Units!$Q44),IF(Units!$J44&lt;&gt;"",Units!$J44,Mkt!BQ45),Inputs!$B$15*Mkt!BQ45+(1-Inputs!$B$15)*MIN(Mkt!BQ45,BP45*(1+Inputs!$B$18))),BP45)))</f>
        <v>1457.53390895</v>
      </c>
      <c r="BR45" s="11" t="n">
        <f aca="false">IF(BR$1&lt;Units!$P44,0,IF(AND(Units!$K44=0,BR$1=Units!$O44),Units!$R44,IF(AND(BR$1&gt;=Units!$Q44,MOD(BR$1-Units!$Q44,12)=0),IF(AND(Units!$L44=1,BR$1=Units!$Q44),IF(Units!$J44&lt;&gt;"",Units!$J44,Mkt!BR45),Inputs!$B$15*Mkt!BR45+(1-Inputs!$B$15)*MIN(Mkt!BR45,BQ45*(1+Inputs!$B$18))),BQ45)))</f>
        <v>1457.53390895</v>
      </c>
      <c r="BS45" s="11" t="n">
        <f aca="false">IF(BS$1&lt;Units!$P44,0,IF(AND(Units!$K44=0,BS$1=Units!$O44),Units!$R44,IF(AND(BS$1&gt;=Units!$Q44,MOD(BS$1-Units!$Q44,12)=0),IF(AND(Units!$L44=1,BS$1=Units!$Q44),IF(Units!$J44&lt;&gt;"",Units!$J44,Mkt!BS45),Inputs!$B$15*Mkt!BS45+(1-Inputs!$B$15)*MIN(Mkt!BS45,BR45*(1+Inputs!$B$18))),BR45)))</f>
        <v>1457.53390895</v>
      </c>
      <c r="BT45" s="11" t="n">
        <f aca="false">IF(BT$1&lt;Units!$P44,0,IF(AND(Units!$K44=0,BT$1=Units!$O44),Units!$R44,IF(AND(BT$1&gt;=Units!$Q44,MOD(BT$1-Units!$Q44,12)=0),IF(AND(Units!$L44=1,BT$1=Units!$Q44),IF(Units!$J44&lt;&gt;"",Units!$J44,Mkt!BT45),Inputs!$B$15*Mkt!BT45+(1-Inputs!$B$15)*MIN(Mkt!BT45,BS45*(1+Inputs!$B$18))),BS45)))</f>
        <v>1457.53390895</v>
      </c>
      <c r="BU45" s="11" t="n">
        <f aca="false">IF(BU$1&lt;Units!$P44,0,IF(AND(Units!$K44=0,BU$1=Units!$O44),Units!$R44,IF(AND(BU$1&gt;=Units!$Q44,MOD(BU$1-Units!$Q44,12)=0),IF(AND(Units!$L44=1,BU$1=Units!$Q44),IF(Units!$J44&lt;&gt;"",Units!$J44,Mkt!BU45),Inputs!$B$15*Mkt!BU45+(1-Inputs!$B$15)*MIN(Mkt!BU45,BT45*(1+Inputs!$B$18))),BT45)))</f>
        <v>1457.53390895</v>
      </c>
      <c r="BV45" s="11" t="n">
        <f aca="false">IF(BV$1&lt;Units!$P44,0,IF(AND(Units!$K44=0,BV$1=Units!$O44),Units!$R44,IF(AND(BV$1&gt;=Units!$Q44,MOD(BV$1-Units!$Q44,12)=0),IF(AND(Units!$L44=1,BV$1=Units!$Q44),IF(Units!$J44&lt;&gt;"",Units!$J44,Mkt!BV45),Inputs!$B$15*Mkt!BV45+(1-Inputs!$B$15)*MIN(Mkt!BV45,BU45*(1+Inputs!$B$18))),BU45)))</f>
        <v>1501.2599262185</v>
      </c>
      <c r="BW45" s="11" t="n">
        <f aca="false">IF(BW$1&lt;Units!$P44,0,IF(AND(Units!$K44=0,BW$1=Units!$O44),Units!$R44,IF(AND(BW$1&gt;=Units!$Q44,MOD(BW$1-Units!$Q44,12)=0),IF(AND(Units!$L44=1,BW$1=Units!$Q44),IF(Units!$J44&lt;&gt;"",Units!$J44,Mkt!BW45),Inputs!$B$15*Mkt!BW45+(1-Inputs!$B$15)*MIN(Mkt!BW45,BV45*(1+Inputs!$B$18))),BV45)))</f>
        <v>1501.2599262185</v>
      </c>
      <c r="BX45" s="11" t="n">
        <f aca="false">IF(BX$1&lt;Units!$P44,0,IF(AND(Units!$K44=0,BX$1=Units!$O44),Units!$R44,IF(AND(BX$1&gt;=Units!$Q44,MOD(BX$1-Units!$Q44,12)=0),IF(AND(Units!$L44=1,BX$1=Units!$Q44),IF(Units!$J44&lt;&gt;"",Units!$J44,Mkt!BX45),Inputs!$B$15*Mkt!BX45+(1-Inputs!$B$15)*MIN(Mkt!BX45,BW45*(1+Inputs!$B$18))),BW45)))</f>
        <v>1501.2599262185</v>
      </c>
      <c r="BY45" s="11" t="n">
        <f aca="false">IF(BY$1&lt;Units!$P44,0,IF(AND(Units!$K44=0,BY$1=Units!$O44),Units!$R44,IF(AND(BY$1&gt;=Units!$Q44,MOD(BY$1-Units!$Q44,12)=0),IF(AND(Units!$L44=1,BY$1=Units!$Q44),IF(Units!$J44&lt;&gt;"",Units!$J44,Mkt!BY45),Inputs!$B$15*Mkt!BY45+(1-Inputs!$B$15)*MIN(Mkt!BY45,BX45*(1+Inputs!$B$18))),BX45)))</f>
        <v>1501.2599262185</v>
      </c>
      <c r="BZ45" s="11" t="n">
        <f aca="false">IF(BZ$1&lt;Units!$P44,0,IF(AND(Units!$K44=0,BZ$1=Units!$O44),Units!$R44,IF(AND(BZ$1&gt;=Units!$Q44,MOD(BZ$1-Units!$Q44,12)=0),IF(AND(Units!$L44=1,BZ$1=Units!$Q44),IF(Units!$J44&lt;&gt;"",Units!$J44,Mkt!BZ45),Inputs!$B$15*Mkt!BZ45+(1-Inputs!$B$15)*MIN(Mkt!BZ45,BY45*(1+Inputs!$B$18))),BY45)))</f>
        <v>1501.2599262185</v>
      </c>
      <c r="CA45" s="11" t="n">
        <f aca="false">IF(CA$1&lt;Units!$P44,0,IF(AND(Units!$K44=0,CA$1=Units!$O44),Units!$R44,IF(AND(CA$1&gt;=Units!$Q44,MOD(CA$1-Units!$Q44,12)=0),IF(AND(Units!$L44=1,CA$1=Units!$Q44),IF(Units!$J44&lt;&gt;"",Units!$J44,Mkt!CA45),Inputs!$B$15*Mkt!CA45+(1-Inputs!$B$15)*MIN(Mkt!CA45,BZ45*(1+Inputs!$B$18))),BZ45)))</f>
        <v>1501.2599262185</v>
      </c>
      <c r="CB45" s="11" t="n">
        <f aca="false">IF(CB$1&lt;Units!$P44,0,IF(AND(Units!$K44=0,CB$1=Units!$O44),Units!$R44,IF(AND(CB$1&gt;=Units!$Q44,MOD(CB$1-Units!$Q44,12)=0),IF(AND(Units!$L44=1,CB$1=Units!$Q44),IF(Units!$J44&lt;&gt;"",Units!$J44,Mkt!CB45),Inputs!$B$15*Mkt!CB45+(1-Inputs!$B$15)*MIN(Mkt!CB45,CA45*(1+Inputs!$B$18))),CA45)))</f>
        <v>1501.2599262185</v>
      </c>
      <c r="CC45" s="11" t="n">
        <f aca="false">IF(CC$1&lt;Units!$P44,0,IF(AND(Units!$K44=0,CC$1=Units!$O44),Units!$R44,IF(AND(CC$1&gt;=Units!$Q44,MOD(CC$1-Units!$Q44,12)=0),IF(AND(Units!$L44=1,CC$1=Units!$Q44),IF(Units!$J44&lt;&gt;"",Units!$J44,Mkt!CC45),Inputs!$B$15*Mkt!CC45+(1-Inputs!$B$15)*MIN(Mkt!CC45,CB45*(1+Inputs!$B$18))),CB45)))</f>
        <v>1501.2599262185</v>
      </c>
      <c r="CD45" s="11" t="n">
        <f aca="false">IF(CD$1&lt;Units!$P44,0,IF(AND(Units!$K44=0,CD$1=Units!$O44),Units!$R44,IF(AND(CD$1&gt;=Units!$Q44,MOD(CD$1-Units!$Q44,12)=0),IF(AND(Units!$L44=1,CD$1=Units!$Q44),IF(Units!$J44&lt;&gt;"",Units!$J44,Mkt!CD45),Inputs!$B$15*Mkt!CD45+(1-Inputs!$B$15)*MIN(Mkt!CD45,CC45*(1+Inputs!$B$18))),CC45)))</f>
        <v>1501.2599262185</v>
      </c>
      <c r="CE45" s="11" t="n">
        <f aca="false">IF(CE$1&lt;Units!$P44,0,IF(AND(Units!$K44=0,CE$1=Units!$O44),Units!$R44,IF(AND(CE$1&gt;=Units!$Q44,MOD(CE$1-Units!$Q44,12)=0),IF(AND(Units!$L44=1,CE$1=Units!$Q44),IF(Units!$J44&lt;&gt;"",Units!$J44,Mkt!CE45),Inputs!$B$15*Mkt!CE45+(1-Inputs!$B$15)*MIN(Mkt!CE45,CD45*(1+Inputs!$B$18))),CD45)))</f>
        <v>1501.2599262185</v>
      </c>
      <c r="CF45" s="11" t="n">
        <f aca="false">IF(CF$1&lt;Units!$P44,0,IF(AND(Units!$K44=0,CF$1=Units!$O44),Units!$R44,IF(AND(CF$1&gt;=Units!$Q44,MOD(CF$1-Units!$Q44,12)=0),IF(AND(Units!$L44=1,CF$1=Units!$Q44),IF(Units!$J44&lt;&gt;"",Units!$J44,Mkt!CF45),Inputs!$B$15*Mkt!CF45+(1-Inputs!$B$15)*MIN(Mkt!CF45,CE45*(1+Inputs!$B$18))),CE45)))</f>
        <v>1501.2599262185</v>
      </c>
      <c r="CG45" s="11" t="n">
        <f aca="false">IF(CG$1&lt;Units!$P44,0,IF(AND(Units!$K44=0,CG$1=Units!$O44),Units!$R44,IF(AND(CG$1&gt;=Units!$Q44,MOD(CG$1-Units!$Q44,12)=0),IF(AND(Units!$L44=1,CG$1=Units!$Q44),IF(Units!$J44&lt;&gt;"",Units!$J44,Mkt!CG45),Inputs!$B$15*Mkt!CG45+(1-Inputs!$B$15)*MIN(Mkt!CG45,CF45*(1+Inputs!$B$18))),CF45)))</f>
        <v>1501.2599262185</v>
      </c>
      <c r="CH45" s="11" t="n">
        <f aca="false">IF(CH$1&lt;Units!$P44,0,IF(AND(Units!$K44=0,CH$1=Units!$O44),Units!$R44,IF(AND(CH$1&gt;=Units!$Q44,MOD(CH$1-Units!$Q44,12)=0),IF(AND(Units!$L44=1,CH$1=Units!$Q44),IF(Units!$J44&lt;&gt;"",Units!$J44,Mkt!CH45),Inputs!$B$15*Mkt!CH45+(1-Inputs!$B$15)*MIN(Mkt!CH45,CG45*(1+Inputs!$B$18))),CG45)))</f>
        <v>1546.29772400506</v>
      </c>
      <c r="CI45" s="11" t="n">
        <f aca="false">IF(CI$1&lt;Units!$P44,0,IF(AND(Units!$K44=0,CI$1=Units!$O44),Units!$R44,IF(AND(CI$1&gt;=Units!$Q44,MOD(CI$1-Units!$Q44,12)=0),IF(AND(Units!$L44=1,CI$1=Units!$Q44),IF(Units!$J44&lt;&gt;"",Units!$J44,Mkt!CI45),Inputs!$B$15*Mkt!CI45+(1-Inputs!$B$15)*MIN(Mkt!CI45,CH45*(1+Inputs!$B$18))),CH45)))</f>
        <v>1546.29772400506</v>
      </c>
      <c r="CJ45" s="11" t="n">
        <f aca="false">IF(CJ$1&lt;Units!$P44,0,IF(AND(Units!$K44=0,CJ$1=Units!$O44),Units!$R44,IF(AND(CJ$1&gt;=Units!$Q44,MOD(CJ$1-Units!$Q44,12)=0),IF(AND(Units!$L44=1,CJ$1=Units!$Q44),IF(Units!$J44&lt;&gt;"",Units!$J44,Mkt!CJ45),Inputs!$B$15*Mkt!CJ45+(1-Inputs!$B$15)*MIN(Mkt!CJ45,CI45*(1+Inputs!$B$18))),CI45)))</f>
        <v>1546.29772400506</v>
      </c>
      <c r="CK45" s="11" t="n">
        <f aca="false">IF(CK$1&lt;Units!$P44,0,IF(AND(Units!$K44=0,CK$1=Units!$O44),Units!$R44,IF(AND(CK$1&gt;=Units!$Q44,MOD(CK$1-Units!$Q44,12)=0),IF(AND(Units!$L44=1,CK$1=Units!$Q44),IF(Units!$J44&lt;&gt;"",Units!$J44,Mkt!CK45),Inputs!$B$15*Mkt!CK45+(1-Inputs!$B$15)*MIN(Mkt!CK45,CJ45*(1+Inputs!$B$18))),CJ45)))</f>
        <v>1546.29772400506</v>
      </c>
      <c r="CL45" s="11" t="n">
        <f aca="false">IF(CL$1&lt;Units!$P44,0,IF(AND(Units!$K44=0,CL$1=Units!$O44),Units!$R44,IF(AND(CL$1&gt;=Units!$Q44,MOD(CL$1-Units!$Q44,12)=0),IF(AND(Units!$L44=1,CL$1=Units!$Q44),IF(Units!$J44&lt;&gt;"",Units!$J44,Mkt!CL45),Inputs!$B$15*Mkt!CL45+(1-Inputs!$B$15)*MIN(Mkt!CL45,CK45*(1+Inputs!$B$18))),CK45)))</f>
        <v>1546.29772400506</v>
      </c>
      <c r="CM45" s="11" t="n">
        <f aca="false">IF(CM$1&lt;Units!$P44,0,IF(AND(Units!$K44=0,CM$1=Units!$O44),Units!$R44,IF(AND(CM$1&gt;=Units!$Q44,MOD(CM$1-Units!$Q44,12)=0),IF(AND(Units!$L44=1,CM$1=Units!$Q44),IF(Units!$J44&lt;&gt;"",Units!$J44,Mkt!CM45),Inputs!$B$15*Mkt!CM45+(1-Inputs!$B$15)*MIN(Mkt!CM45,CL45*(1+Inputs!$B$18))),CL45)))</f>
        <v>1546.29772400506</v>
      </c>
      <c r="CN45" s="11" t="n">
        <f aca="false">IF(CN$1&lt;Units!$P44,0,IF(AND(Units!$K44=0,CN$1=Units!$O44),Units!$R44,IF(AND(CN$1&gt;=Units!$Q44,MOD(CN$1-Units!$Q44,12)=0),IF(AND(Units!$L44=1,CN$1=Units!$Q44),IF(Units!$J44&lt;&gt;"",Units!$J44,Mkt!CN45),Inputs!$B$15*Mkt!CN45+(1-Inputs!$B$15)*MIN(Mkt!CN45,CM45*(1+Inputs!$B$18))),CM45)))</f>
        <v>1546.29772400506</v>
      </c>
      <c r="CO45" s="11" t="n">
        <f aca="false">IF(CO$1&lt;Units!$P44,0,IF(AND(Units!$K44=0,CO$1=Units!$O44),Units!$R44,IF(AND(CO$1&gt;=Units!$Q44,MOD(CO$1-Units!$Q44,12)=0),IF(AND(Units!$L44=1,CO$1=Units!$Q44),IF(Units!$J44&lt;&gt;"",Units!$J44,Mkt!CO45),Inputs!$B$15*Mkt!CO45+(1-Inputs!$B$15)*MIN(Mkt!CO45,CN45*(1+Inputs!$B$18))),CN45)))</f>
        <v>1546.29772400506</v>
      </c>
      <c r="CP45" s="11" t="n">
        <f aca="false">IF(CP$1&lt;Units!$P44,0,IF(AND(Units!$K44=0,CP$1=Units!$O44),Units!$R44,IF(AND(CP$1&gt;=Units!$Q44,MOD(CP$1-Units!$Q44,12)=0),IF(AND(Units!$L44=1,CP$1=Units!$Q44),IF(Units!$J44&lt;&gt;"",Units!$J44,Mkt!CP45),Inputs!$B$15*Mkt!CP45+(1-Inputs!$B$15)*MIN(Mkt!CP45,CO45*(1+Inputs!$B$18))),CO45)))</f>
        <v>1546.29772400506</v>
      </c>
      <c r="CQ45" s="11" t="n">
        <f aca="false">IF(CQ$1&lt;Units!$P44,0,IF(AND(Units!$K44=0,CQ$1=Units!$O44),Units!$R44,IF(AND(CQ$1&gt;=Units!$Q44,MOD(CQ$1-Units!$Q44,12)=0),IF(AND(Units!$L44=1,CQ$1=Units!$Q44),IF(Units!$J44&lt;&gt;"",Units!$J44,Mkt!CQ45),Inputs!$B$15*Mkt!CQ45+(1-Inputs!$B$15)*MIN(Mkt!CQ45,CP45*(1+Inputs!$B$18))),CP45)))</f>
        <v>1546.29772400506</v>
      </c>
      <c r="CR45" s="11" t="n">
        <f aca="false">IF(CR$1&lt;Units!$P44,0,IF(AND(Units!$K44=0,CR$1=Units!$O44),Units!$R44,IF(AND(CR$1&gt;=Units!$Q44,MOD(CR$1-Units!$Q44,12)=0),IF(AND(Units!$L44=1,CR$1=Units!$Q44),IF(Units!$J44&lt;&gt;"",Units!$J44,Mkt!CR45),Inputs!$B$15*Mkt!CR45+(1-Inputs!$B$15)*MIN(Mkt!CR45,CQ45*(1+Inputs!$B$18))),CQ45)))</f>
        <v>1546.29772400506</v>
      </c>
      <c r="CS45" s="11" t="n">
        <f aca="false">IF(CS$1&lt;Units!$P44,0,IF(AND(Units!$K44=0,CS$1=Units!$O44),Units!$R44,IF(AND(CS$1&gt;=Units!$Q44,MOD(CS$1-Units!$Q44,12)=0),IF(AND(Units!$L44=1,CS$1=Units!$Q44),IF(Units!$J44&lt;&gt;"",Units!$J44,Mkt!CS45),Inputs!$B$15*Mkt!CS45+(1-Inputs!$B$15)*MIN(Mkt!CS45,CR45*(1+Inputs!$B$18))),CR45)))</f>
        <v>1546.29772400506</v>
      </c>
      <c r="CT45" s="11" t="n">
        <f aca="false">IF(CT$1&lt;Units!$P44,0,IF(AND(Units!$K44=0,CT$1=Units!$O44),Units!$R44,IF(AND(CT$1&gt;=Units!$Q44,MOD(CT$1-Units!$Q44,12)=0),IF(AND(Units!$L44=1,CT$1=Units!$Q44),IF(Units!$J44&lt;&gt;"",Units!$J44,Mkt!CT45),Inputs!$B$15*Mkt!CT45+(1-Inputs!$B$15)*MIN(Mkt!CT45,CS45*(1+Inputs!$B$18))),CS45)))</f>
        <v>1592.68665572521</v>
      </c>
      <c r="CU45" s="11" t="n">
        <f aca="false">IF(CU$1&lt;Units!$P44,0,IF(AND(Units!$K44=0,CU$1=Units!$O44),Units!$R44,IF(AND(CU$1&gt;=Units!$Q44,MOD(CU$1-Units!$Q44,12)=0),IF(AND(Units!$L44=1,CU$1=Units!$Q44),IF(Units!$J44&lt;&gt;"",Units!$J44,Mkt!CU45),Inputs!$B$15*Mkt!CU45+(1-Inputs!$B$15)*MIN(Mkt!CU45,CT45*(1+Inputs!$B$18))),CT45)))</f>
        <v>1592.68665572521</v>
      </c>
      <c r="CV45" s="11" t="n">
        <f aca="false">IF(CV$1&lt;Units!$P44,0,IF(AND(Units!$K44=0,CV$1=Units!$O44),Units!$R44,IF(AND(CV$1&gt;=Units!$Q44,MOD(CV$1-Units!$Q44,12)=0),IF(AND(Units!$L44=1,CV$1=Units!$Q44),IF(Units!$J44&lt;&gt;"",Units!$J44,Mkt!CV45),Inputs!$B$15*Mkt!CV45+(1-Inputs!$B$15)*MIN(Mkt!CV45,CU45*(1+Inputs!$B$18))),CU45)))</f>
        <v>1592.68665572521</v>
      </c>
      <c r="CW45" s="11" t="n">
        <f aca="false">IF(CW$1&lt;Units!$P44,0,IF(AND(Units!$K44=0,CW$1=Units!$O44),Units!$R44,IF(AND(CW$1&gt;=Units!$Q44,MOD(CW$1-Units!$Q44,12)=0),IF(AND(Units!$L44=1,CW$1=Units!$Q44),IF(Units!$J44&lt;&gt;"",Units!$J44,Mkt!CW45),Inputs!$B$15*Mkt!CW45+(1-Inputs!$B$15)*MIN(Mkt!CW45,CV45*(1+Inputs!$B$18))),CV45)))</f>
        <v>1592.68665572521</v>
      </c>
      <c r="CX45" s="11" t="n">
        <f aca="false">IF(CX$1&lt;Units!$P44,0,IF(AND(Units!$K44=0,CX$1=Units!$O44),Units!$R44,IF(AND(CX$1&gt;=Units!$Q44,MOD(CX$1-Units!$Q44,12)=0),IF(AND(Units!$L44=1,CX$1=Units!$Q44),IF(Units!$J44&lt;&gt;"",Units!$J44,Mkt!CX45),Inputs!$B$15*Mkt!CX45+(1-Inputs!$B$15)*MIN(Mkt!CX45,CW45*(1+Inputs!$B$18))),CW45)))</f>
        <v>1592.68665572521</v>
      </c>
      <c r="CY45" s="11" t="n">
        <f aca="false">IF(CY$1&lt;Units!$P44,0,IF(AND(Units!$K44=0,CY$1=Units!$O44),Units!$R44,IF(AND(CY$1&gt;=Units!$Q44,MOD(CY$1-Units!$Q44,12)=0),IF(AND(Units!$L44=1,CY$1=Units!$Q44),IF(Units!$J44&lt;&gt;"",Units!$J44,Mkt!CY45),Inputs!$B$15*Mkt!CY45+(1-Inputs!$B$15)*MIN(Mkt!CY45,CX45*(1+Inputs!$B$18))),CX45)))</f>
        <v>1592.68665572521</v>
      </c>
      <c r="CZ45" s="11" t="n">
        <f aca="false">IF(CZ$1&lt;Units!$P44,0,IF(AND(Units!$K44=0,CZ$1=Units!$O44),Units!$R44,IF(AND(CZ$1&gt;=Units!$Q44,MOD(CZ$1-Units!$Q44,12)=0),IF(AND(Units!$L44=1,CZ$1=Units!$Q44),IF(Units!$J44&lt;&gt;"",Units!$J44,Mkt!CZ45),Inputs!$B$15*Mkt!CZ45+(1-Inputs!$B$15)*MIN(Mkt!CZ45,CY45*(1+Inputs!$B$18))),CY45)))</f>
        <v>1592.68665572521</v>
      </c>
      <c r="DA45" s="11" t="n">
        <f aca="false">IF(DA$1&lt;Units!$P44,0,IF(AND(Units!$K44=0,DA$1=Units!$O44),Units!$R44,IF(AND(DA$1&gt;=Units!$Q44,MOD(DA$1-Units!$Q44,12)=0),IF(AND(Units!$L44=1,DA$1=Units!$Q44),IF(Units!$J44&lt;&gt;"",Units!$J44,Mkt!DA45),Inputs!$B$15*Mkt!DA45+(1-Inputs!$B$15)*MIN(Mkt!DA45,CZ45*(1+Inputs!$B$18))),CZ45)))</f>
        <v>1592.68665572521</v>
      </c>
      <c r="DB45" s="11" t="n">
        <f aca="false">IF(DB$1&lt;Units!$P44,0,IF(AND(Units!$K44=0,DB$1=Units!$O44),Units!$R44,IF(AND(DB$1&gt;=Units!$Q44,MOD(DB$1-Units!$Q44,12)=0),IF(AND(Units!$L44=1,DB$1=Units!$Q44),IF(Units!$J44&lt;&gt;"",Units!$J44,Mkt!DB45),Inputs!$B$15*Mkt!DB45+(1-Inputs!$B$15)*MIN(Mkt!DB45,DA45*(1+Inputs!$B$18))),DA45)))</f>
        <v>1592.68665572521</v>
      </c>
      <c r="DC45" s="11" t="n">
        <f aca="false">IF(DC$1&lt;Units!$P44,0,IF(AND(Units!$K44=0,DC$1=Units!$O44),Units!$R44,IF(AND(DC$1&gt;=Units!$Q44,MOD(DC$1-Units!$Q44,12)=0),IF(AND(Units!$L44=1,DC$1=Units!$Q44),IF(Units!$J44&lt;&gt;"",Units!$J44,Mkt!DC45),Inputs!$B$15*Mkt!DC45+(1-Inputs!$B$15)*MIN(Mkt!DC45,DB45*(1+Inputs!$B$18))),DB45)))</f>
        <v>1592.68665572521</v>
      </c>
      <c r="DD45" s="11" t="n">
        <f aca="false">IF(DD$1&lt;Units!$P44,0,IF(AND(Units!$K44=0,DD$1=Units!$O44),Units!$R44,IF(AND(DD$1&gt;=Units!$Q44,MOD(DD$1-Units!$Q44,12)=0),IF(AND(Units!$L44=1,DD$1=Units!$Q44),IF(Units!$J44&lt;&gt;"",Units!$J44,Mkt!DD45),Inputs!$B$15*Mkt!DD45+(1-Inputs!$B$15)*MIN(Mkt!DD45,DC45*(1+Inputs!$B$18))),DC45)))</f>
        <v>1592.68665572521</v>
      </c>
      <c r="DE45" s="11" t="n">
        <f aca="false">IF(DE$1&lt;Units!$P44,0,IF(AND(Units!$K44=0,DE$1=Units!$O44),Units!$R44,IF(AND(DE$1&gt;=Units!$Q44,MOD(DE$1-Units!$Q44,12)=0),IF(AND(Units!$L44=1,DE$1=Units!$Q44),IF(Units!$J44&lt;&gt;"",Units!$J44,Mkt!DE45),Inputs!$B$15*Mkt!DE45+(1-Inputs!$B$15)*MIN(Mkt!DE45,DD45*(1+Inputs!$B$18))),DD45)))</f>
        <v>1592.68665572521</v>
      </c>
      <c r="DF45" s="11" t="n">
        <f aca="false">IF(DF$1&lt;Units!$P44,0,IF(AND(Units!$K44=0,DF$1=Units!$O44),Units!$R44,IF(AND(DF$1&gt;=Units!$Q44,MOD(DF$1-Units!$Q44,12)=0),IF(AND(Units!$L44=1,DF$1=Units!$Q44),IF(Units!$J44&lt;&gt;"",Units!$J44,Mkt!DF45),Inputs!$B$15*Mkt!DF45+(1-Inputs!$B$15)*MIN(Mkt!DF45,DE45*(1+Inputs!$B$18))),DE45)))</f>
        <v>1640.46725539696</v>
      </c>
      <c r="DG45" s="11" t="n">
        <f aca="false">IF(DG$1&lt;Units!$P44,0,IF(AND(Units!$K44=0,DG$1=Units!$O44),Units!$R44,IF(AND(DG$1&gt;=Units!$Q44,MOD(DG$1-Units!$Q44,12)=0),IF(AND(Units!$L44=1,DG$1=Units!$Q44),IF(Units!$J44&lt;&gt;"",Units!$J44,Mkt!DG45),Inputs!$B$15*Mkt!DG45+(1-Inputs!$B$15)*MIN(Mkt!DG45,DF45*(1+Inputs!$B$18))),DF45)))</f>
        <v>1640.46725539696</v>
      </c>
      <c r="DH45" s="11" t="n">
        <f aca="false">IF(DH$1&lt;Units!$P44,0,IF(AND(Units!$K44=0,DH$1=Units!$O44),Units!$R44,IF(AND(DH$1&gt;=Units!$Q44,MOD(DH$1-Units!$Q44,12)=0),IF(AND(Units!$L44=1,DH$1=Units!$Q44),IF(Units!$J44&lt;&gt;"",Units!$J44,Mkt!DH45),Inputs!$B$15*Mkt!DH45+(1-Inputs!$B$15)*MIN(Mkt!DH45,DG45*(1+Inputs!$B$18))),DG45)))</f>
        <v>1640.46725539696</v>
      </c>
      <c r="DI45" s="11" t="n">
        <f aca="false">IF(DI$1&lt;Units!$P44,0,IF(AND(Units!$K44=0,DI$1=Units!$O44),Units!$R44,IF(AND(DI$1&gt;=Units!$Q44,MOD(DI$1-Units!$Q44,12)=0),IF(AND(Units!$L44=1,DI$1=Units!$Q44),IF(Units!$J44&lt;&gt;"",Units!$J44,Mkt!DI45),Inputs!$B$15*Mkt!DI45+(1-Inputs!$B$15)*MIN(Mkt!DI45,DH45*(1+Inputs!$B$18))),DH45)))</f>
        <v>1640.46725539696</v>
      </c>
      <c r="DJ45" s="11" t="n">
        <f aca="false">IF(DJ$1&lt;Units!$P44,0,IF(AND(Units!$K44=0,DJ$1=Units!$O44),Units!$R44,IF(AND(DJ$1&gt;=Units!$Q44,MOD(DJ$1-Units!$Q44,12)=0),IF(AND(Units!$L44=1,DJ$1=Units!$Q44),IF(Units!$J44&lt;&gt;"",Units!$J44,Mkt!DJ45),Inputs!$B$15*Mkt!DJ45+(1-Inputs!$B$15)*MIN(Mkt!DJ45,DI45*(1+Inputs!$B$18))),DI45)))</f>
        <v>1640.46725539696</v>
      </c>
      <c r="DK45" s="11" t="n">
        <f aca="false">IF(DK$1&lt;Units!$P44,0,IF(AND(Units!$K44=0,DK$1=Units!$O44),Units!$R44,IF(AND(DK$1&gt;=Units!$Q44,MOD(DK$1-Units!$Q44,12)=0),IF(AND(Units!$L44=1,DK$1=Units!$Q44),IF(Units!$J44&lt;&gt;"",Units!$J44,Mkt!DK45),Inputs!$B$15*Mkt!DK45+(1-Inputs!$B$15)*MIN(Mkt!DK45,DJ45*(1+Inputs!$B$18))),DJ45)))</f>
        <v>1640.46725539696</v>
      </c>
      <c r="DL45" s="11" t="n">
        <f aca="false">IF(DL$1&lt;Units!$P44,0,IF(AND(Units!$K44=0,DL$1=Units!$O44),Units!$R44,IF(AND(DL$1&gt;=Units!$Q44,MOD(DL$1-Units!$Q44,12)=0),IF(AND(Units!$L44=1,DL$1=Units!$Q44),IF(Units!$J44&lt;&gt;"",Units!$J44,Mkt!DL45),Inputs!$B$15*Mkt!DL45+(1-Inputs!$B$15)*MIN(Mkt!DL45,DK45*(1+Inputs!$B$18))),DK45)))</f>
        <v>1640.46725539696</v>
      </c>
      <c r="DM45" s="11" t="n">
        <f aca="false">IF(DM$1&lt;Units!$P44,0,IF(AND(Units!$K44=0,DM$1=Units!$O44),Units!$R44,IF(AND(DM$1&gt;=Units!$Q44,MOD(DM$1-Units!$Q44,12)=0),IF(AND(Units!$L44=1,DM$1=Units!$Q44),IF(Units!$J44&lt;&gt;"",Units!$J44,Mkt!DM45),Inputs!$B$15*Mkt!DM45+(1-Inputs!$B$15)*MIN(Mkt!DM45,DL45*(1+Inputs!$B$18))),DL45)))</f>
        <v>1640.46725539696</v>
      </c>
      <c r="DN45" s="11" t="n">
        <f aca="false">IF(DN$1&lt;Units!$P44,0,IF(AND(Units!$K44=0,DN$1=Units!$O44),Units!$R44,IF(AND(DN$1&gt;=Units!$Q44,MOD(DN$1-Units!$Q44,12)=0),IF(AND(Units!$L44=1,DN$1=Units!$Q44),IF(Units!$J44&lt;&gt;"",Units!$J44,Mkt!DN45),Inputs!$B$15*Mkt!DN45+(1-Inputs!$B$15)*MIN(Mkt!DN45,DM45*(1+Inputs!$B$18))),DM45)))</f>
        <v>1640.46725539696</v>
      </c>
      <c r="DO45" s="11" t="n">
        <f aca="false">IF(DO$1&lt;Units!$P44,0,IF(AND(Units!$K44=0,DO$1=Units!$O44),Units!$R44,IF(AND(DO$1&gt;=Units!$Q44,MOD(DO$1-Units!$Q44,12)=0),IF(AND(Units!$L44=1,DO$1=Units!$Q44),IF(Units!$J44&lt;&gt;"",Units!$J44,Mkt!DO45),Inputs!$B$15*Mkt!DO45+(1-Inputs!$B$15)*MIN(Mkt!DO45,DN45*(1+Inputs!$B$18))),DN45)))</f>
        <v>1640.46725539696</v>
      </c>
      <c r="DP45" s="11" t="n">
        <f aca="false">IF(DP$1&lt;Units!$P44,0,IF(AND(Units!$K44=0,DP$1=Units!$O44),Units!$R44,IF(AND(DP$1&gt;=Units!$Q44,MOD(DP$1-Units!$Q44,12)=0),IF(AND(Units!$L44=1,DP$1=Units!$Q44),IF(Units!$J44&lt;&gt;"",Units!$J44,Mkt!DP45),Inputs!$B$15*Mkt!DP45+(1-Inputs!$B$15)*MIN(Mkt!DP45,DO45*(1+Inputs!$B$18))),DO45)))</f>
        <v>1640.46725539696</v>
      </c>
      <c r="DQ45" s="11" t="n">
        <f aca="false">IF(DQ$1&lt;Units!$P44,0,IF(AND(Units!$K44=0,DQ$1=Units!$O44),Units!$R44,IF(AND(DQ$1&gt;=Units!$Q44,MOD(DQ$1-Units!$Q44,12)=0),IF(AND(Units!$L44=1,DQ$1=Units!$Q44),IF(Units!$J44&lt;&gt;"",Units!$J44,Mkt!DQ45),Inputs!$B$15*Mkt!DQ45+(1-Inputs!$B$15)*MIN(Mkt!DQ45,DP45*(1+Inputs!$B$18))),DP45)))</f>
        <v>1640.46725539696</v>
      </c>
      <c r="DR45" s="11" t="n">
        <f aca="false">IF(DR$1&lt;Units!$P44,0,IF(AND(Units!$K44=0,DR$1=Units!$O44),Units!$R44,IF(AND(DR$1&gt;=Units!$Q44,MOD(DR$1-Units!$Q44,12)=0),IF(AND(Units!$L44=1,DR$1=Units!$Q44),IF(Units!$J44&lt;&gt;"",Units!$J44,Mkt!DR45),Inputs!$B$15*Mkt!DR45+(1-Inputs!$B$15)*MIN(Mkt!DR45,DQ45*(1+Inputs!$B$18))),DQ45)))</f>
        <v>1689.68127305887</v>
      </c>
      <c r="DS45" s="11" t="n">
        <f aca="false">IF(DS$1&lt;Units!$P44,0,IF(AND(Units!$K44=0,DS$1=Units!$O44),Units!$R44,IF(AND(DS$1&gt;=Units!$Q44,MOD(DS$1-Units!$Q44,12)=0),IF(AND(Units!$L44=1,DS$1=Units!$Q44),IF(Units!$J44&lt;&gt;"",Units!$J44,Mkt!DS45),Inputs!$B$15*Mkt!DS45+(1-Inputs!$B$15)*MIN(Mkt!DS45,DR45*(1+Inputs!$B$18))),DR45)))</f>
        <v>1689.68127305887</v>
      </c>
      <c r="DT45" s="11" t="n">
        <f aca="false">IF(DT$1&lt;Units!$P44,0,IF(AND(Units!$K44=0,DT$1=Units!$O44),Units!$R44,IF(AND(DT$1&gt;=Units!$Q44,MOD(DT$1-Units!$Q44,12)=0),IF(AND(Units!$L44=1,DT$1=Units!$Q44),IF(Units!$J44&lt;&gt;"",Units!$J44,Mkt!DT45),Inputs!$B$15*Mkt!DT45+(1-Inputs!$B$15)*MIN(Mkt!DT45,DS45*(1+Inputs!$B$18))),DS45)))</f>
        <v>1689.68127305887</v>
      </c>
      <c r="DU45" s="11" t="n">
        <f aca="false">IF(DU$1&lt;Units!$P44,0,IF(AND(Units!$K44=0,DU$1=Units!$O44),Units!$R44,IF(AND(DU$1&gt;=Units!$Q44,MOD(DU$1-Units!$Q44,12)=0),IF(AND(Units!$L44=1,DU$1=Units!$Q44),IF(Units!$J44&lt;&gt;"",Units!$J44,Mkt!DU45),Inputs!$B$15*Mkt!DU45+(1-Inputs!$B$15)*MIN(Mkt!DU45,DT45*(1+Inputs!$B$18))),DT45)))</f>
        <v>1689.68127305887</v>
      </c>
      <c r="DV45" s="11" t="n">
        <f aca="false">IF(DV$1&lt;Units!$P44,0,IF(AND(Units!$K44=0,DV$1=Units!$O44),Units!$R44,IF(AND(DV$1&gt;=Units!$Q44,MOD(DV$1-Units!$Q44,12)=0),IF(AND(Units!$L44=1,DV$1=Units!$Q44),IF(Units!$J44&lt;&gt;"",Units!$J44,Mkt!DV45),Inputs!$B$15*Mkt!DV45+(1-Inputs!$B$15)*MIN(Mkt!DV45,DU45*(1+Inputs!$B$18))),DU45)))</f>
        <v>1689.68127305887</v>
      </c>
      <c r="DW45" s="11" t="n">
        <f aca="false">IF(DW$1&lt;Units!$P44,0,IF(AND(Units!$K44=0,DW$1=Units!$O44),Units!$R44,IF(AND(DW$1&gt;=Units!$Q44,MOD(DW$1-Units!$Q44,12)=0),IF(AND(Units!$L44=1,DW$1=Units!$Q44),IF(Units!$J44&lt;&gt;"",Units!$J44,Mkt!DW45),Inputs!$B$15*Mkt!DW45+(1-Inputs!$B$15)*MIN(Mkt!DW45,DV45*(1+Inputs!$B$18))),DV45)))</f>
        <v>1689.68127305887</v>
      </c>
      <c r="DX45" s="11" t="n">
        <f aca="false">IF(DX$1&lt;Units!$P44,0,IF(AND(Units!$K44=0,DX$1=Units!$O44),Units!$R44,IF(AND(DX$1&gt;=Units!$Q44,MOD(DX$1-Units!$Q44,12)=0),IF(AND(Units!$L44=1,DX$1=Units!$Q44),IF(Units!$J44&lt;&gt;"",Units!$J44,Mkt!DX45),Inputs!$B$15*Mkt!DX45+(1-Inputs!$B$15)*MIN(Mkt!DX45,DW45*(1+Inputs!$B$18))),DW45)))</f>
        <v>1689.68127305887</v>
      </c>
      <c r="DY45" s="11" t="n">
        <f aca="false">IF(DY$1&lt;Units!$P44,0,IF(AND(Units!$K44=0,DY$1=Units!$O44),Units!$R44,IF(AND(DY$1&gt;=Units!$Q44,MOD(DY$1-Units!$Q44,12)=0),IF(AND(Units!$L44=1,DY$1=Units!$Q44),IF(Units!$J44&lt;&gt;"",Units!$J44,Mkt!DY45),Inputs!$B$15*Mkt!DY45+(1-Inputs!$B$15)*MIN(Mkt!DY45,DX45*(1+Inputs!$B$18))),DX45)))</f>
        <v>1689.68127305887</v>
      </c>
      <c r="DZ45" s="11" t="n">
        <f aca="false">IF(DZ$1&lt;Units!$P44,0,IF(AND(Units!$K44=0,DZ$1=Units!$O44),Units!$R44,IF(AND(DZ$1&gt;=Units!$Q44,MOD(DZ$1-Units!$Q44,12)=0),IF(AND(Units!$L44=1,DZ$1=Units!$Q44),IF(Units!$J44&lt;&gt;"",Units!$J44,Mkt!DZ45),Inputs!$B$15*Mkt!DZ45+(1-Inputs!$B$15)*MIN(Mkt!DZ45,DY45*(1+Inputs!$B$18))),DY45)))</f>
        <v>1689.68127305887</v>
      </c>
      <c r="EA45" s="11" t="n">
        <f aca="false">IF(EA$1&lt;Units!$P44,0,IF(AND(Units!$K44=0,EA$1=Units!$O44),Units!$R44,IF(AND(EA$1&gt;=Units!$Q44,MOD(EA$1-Units!$Q44,12)=0),IF(AND(Units!$L44=1,EA$1=Units!$Q44),IF(Units!$J44&lt;&gt;"",Units!$J44,Mkt!EA45),Inputs!$B$15*Mkt!EA45+(1-Inputs!$B$15)*MIN(Mkt!EA45,DZ45*(1+Inputs!$B$18))),DZ45)))</f>
        <v>1689.68127305887</v>
      </c>
      <c r="EB45" s="11" t="n">
        <f aca="false">IF(EB$1&lt;Units!$P44,0,IF(AND(Units!$K44=0,EB$1=Units!$O44),Units!$R44,IF(AND(EB$1&gt;=Units!$Q44,MOD(EB$1-Units!$Q44,12)=0),IF(AND(Units!$L44=1,EB$1=Units!$Q44),IF(Units!$J44&lt;&gt;"",Units!$J44,Mkt!EB45),Inputs!$B$15*Mkt!EB45+(1-Inputs!$B$15)*MIN(Mkt!EB45,EA45*(1+Inputs!$B$18))),EA45)))</f>
        <v>1689.68127305887</v>
      </c>
      <c r="EC45" s="11" t="n">
        <f aca="false">IF(EC$1&lt;Units!$P44,0,IF(AND(Units!$K44=0,EC$1=Units!$O44),Units!$R44,IF(AND(EC$1&gt;=Units!$Q44,MOD(EC$1-Units!$Q44,12)=0),IF(AND(Units!$L44=1,EC$1=Units!$Q44),IF(Units!$J44&lt;&gt;"",Units!$J44,Mkt!EC45),Inputs!$B$15*Mkt!EC45+(1-Inputs!$B$15)*MIN(Mkt!EC45,EB45*(1+Inputs!$B$18))),EB45)))</f>
        <v>1689.68127305887</v>
      </c>
      <c r="ED45" s="11" t="n">
        <f aca="false">IF(ED$1&lt;Units!$P44,0,IF(AND(Units!$K44=0,ED$1=Units!$O44),Units!$R44,IF(AND(ED$1&gt;=Units!$Q44,MOD(ED$1-Units!$Q44,12)=0),IF(AND(Units!$L44=1,ED$1=Units!$Q44),IF(Units!$J44&lt;&gt;"",Units!$J44,Mkt!ED45),Inputs!$B$15*Mkt!ED45+(1-Inputs!$B$15)*MIN(Mkt!ED45,EC45*(1+Inputs!$B$18))),EC45)))</f>
        <v>1740.37171125064</v>
      </c>
    </row>
    <row r="46" customFormat="false" ht="15" hidden="false" customHeight="false" outlineLevel="0" collapsed="false">
      <c r="A46" s="22" t="n">
        <f aca="false">Units!A45</f>
        <v>214</v>
      </c>
      <c r="B46" s="24" t="n">
        <f aca="false">IF(Units!K45=1,Units!F45,0)</f>
        <v>1260</v>
      </c>
      <c r="C46" s="11" t="n">
        <f aca="false">IF(C$1&lt;Units!$P45,0,IF(AND(Units!$K45=0,C$1=Units!$O45),Units!$R45,IF(AND(C$1&gt;=Units!$Q45,MOD(C$1-Units!$Q45,12)=0),IF(AND(Units!$L45=1,C$1=Units!$Q45),IF(Units!$J45&lt;&gt;"",Units!$J45,Mkt!C46),Inputs!$B$15*Mkt!C46+(1-Inputs!$B$15)*MIN(Mkt!C46,B46*(1+Inputs!$B$18))),B46)))</f>
        <v>1295</v>
      </c>
      <c r="D46" s="11" t="n">
        <f aca="false">IF(D$1&lt;Units!$P45,0,IF(AND(Units!$K45=0,D$1=Units!$O45),Units!$R45,IF(AND(D$1&gt;=Units!$Q45,MOD(D$1-Units!$Q45,12)=0),IF(AND(Units!$L45=1,D$1=Units!$Q45),IF(Units!$J45&lt;&gt;"",Units!$J45,Mkt!D46),Inputs!$B$15*Mkt!D46+(1-Inputs!$B$15)*MIN(Mkt!D46,C46*(1+Inputs!$B$18))),C46)))</f>
        <v>1295</v>
      </c>
      <c r="E46" s="11" t="n">
        <f aca="false">IF(E$1&lt;Units!$P45,0,IF(AND(Units!$K45=0,E$1=Units!$O45),Units!$R45,IF(AND(E$1&gt;=Units!$Q45,MOD(E$1-Units!$Q45,12)=0),IF(AND(Units!$L45=1,E$1=Units!$Q45),IF(Units!$J45&lt;&gt;"",Units!$J45,Mkt!E46),Inputs!$B$15*Mkt!E46+(1-Inputs!$B$15)*MIN(Mkt!E46,D46*(1+Inputs!$B$18))),D46)))</f>
        <v>1295</v>
      </c>
      <c r="F46" s="11" t="n">
        <f aca="false">IF(F$1&lt;Units!$P45,0,IF(AND(Units!$K45=0,F$1=Units!$O45),Units!$R45,IF(AND(F$1&gt;=Units!$Q45,MOD(F$1-Units!$Q45,12)=0),IF(AND(Units!$L45=1,F$1=Units!$Q45),IF(Units!$J45&lt;&gt;"",Units!$J45,Mkt!F46),Inputs!$B$15*Mkt!F46+(1-Inputs!$B$15)*MIN(Mkt!F46,E46*(1+Inputs!$B$18))),E46)))</f>
        <v>1295</v>
      </c>
      <c r="G46" s="11" t="n">
        <f aca="false">IF(G$1&lt;Units!$P45,0,IF(AND(Units!$K45=0,G$1=Units!$O45),Units!$R45,IF(AND(G$1&gt;=Units!$Q45,MOD(G$1-Units!$Q45,12)=0),IF(AND(Units!$L45=1,G$1=Units!$Q45),IF(Units!$J45&lt;&gt;"",Units!$J45,Mkt!G46),Inputs!$B$15*Mkt!G46+(1-Inputs!$B$15)*MIN(Mkt!G46,F46*(1+Inputs!$B$18))),F46)))</f>
        <v>1295</v>
      </c>
      <c r="H46" s="11" t="n">
        <f aca="false">IF(H$1&lt;Units!$P45,0,IF(AND(Units!$K45=0,H$1=Units!$O45),Units!$R45,IF(AND(H$1&gt;=Units!$Q45,MOD(H$1-Units!$Q45,12)=0),IF(AND(Units!$L45=1,H$1=Units!$Q45),IF(Units!$J45&lt;&gt;"",Units!$J45,Mkt!H46),Inputs!$B$15*Mkt!H46+(1-Inputs!$B$15)*MIN(Mkt!H46,G46*(1+Inputs!$B$18))),G46)))</f>
        <v>1295</v>
      </c>
      <c r="I46" s="11" t="n">
        <f aca="false">IF(I$1&lt;Units!$P45,0,IF(AND(Units!$K45=0,I$1=Units!$O45),Units!$R45,IF(AND(I$1&gt;=Units!$Q45,MOD(I$1-Units!$Q45,12)=0),IF(AND(Units!$L45=1,I$1=Units!$Q45),IF(Units!$J45&lt;&gt;"",Units!$J45,Mkt!I46),Inputs!$B$15*Mkt!I46+(1-Inputs!$B$15)*MIN(Mkt!I46,H46*(1+Inputs!$B$18))),H46)))</f>
        <v>1295</v>
      </c>
      <c r="J46" s="11" t="n">
        <f aca="false">IF(J$1&lt;Units!$P45,0,IF(AND(Units!$K45=0,J$1=Units!$O45),Units!$R45,IF(AND(J$1&gt;=Units!$Q45,MOD(J$1-Units!$Q45,12)=0),IF(AND(Units!$L45=1,J$1=Units!$Q45),IF(Units!$J45&lt;&gt;"",Units!$J45,Mkt!J46),Inputs!$B$15*Mkt!J46+(1-Inputs!$B$15)*MIN(Mkt!J46,I46*(1+Inputs!$B$18))),I46)))</f>
        <v>1295</v>
      </c>
      <c r="K46" s="11" t="n">
        <f aca="false">IF(K$1&lt;Units!$P45,0,IF(AND(Units!$K45=0,K$1=Units!$O45),Units!$R45,IF(AND(K$1&gt;=Units!$Q45,MOD(K$1-Units!$Q45,12)=0),IF(AND(Units!$L45=1,K$1=Units!$Q45),IF(Units!$J45&lt;&gt;"",Units!$J45,Mkt!K46),Inputs!$B$15*Mkt!K46+(1-Inputs!$B$15)*MIN(Mkt!K46,J46*(1+Inputs!$B$18))),J46)))</f>
        <v>1295</v>
      </c>
      <c r="L46" s="11" t="n">
        <f aca="false">IF(L$1&lt;Units!$P45,0,IF(AND(Units!$K45=0,L$1=Units!$O45),Units!$R45,IF(AND(L$1&gt;=Units!$Q45,MOD(L$1-Units!$Q45,12)=0),IF(AND(Units!$L45=1,L$1=Units!$Q45),IF(Units!$J45&lt;&gt;"",Units!$J45,Mkt!L46),Inputs!$B$15*Mkt!L46+(1-Inputs!$B$15)*MIN(Mkt!L46,K46*(1+Inputs!$B$18))),K46)))</f>
        <v>1295</v>
      </c>
      <c r="M46" s="11" t="n">
        <f aca="false">IF(M$1&lt;Units!$P45,0,IF(AND(Units!$K45=0,M$1=Units!$O45),Units!$R45,IF(AND(M$1&gt;=Units!$Q45,MOD(M$1-Units!$Q45,12)=0),IF(AND(Units!$L45=1,M$1=Units!$Q45),IF(Units!$J45&lt;&gt;"",Units!$J45,Mkt!M46),Inputs!$B$15*Mkt!M46+(1-Inputs!$B$15)*MIN(Mkt!M46,L46*(1+Inputs!$B$18))),L46)))</f>
        <v>1295</v>
      </c>
      <c r="N46" s="11" t="n">
        <f aca="false">IF(N$1&lt;Units!$P45,0,IF(AND(Units!$K45=0,N$1=Units!$O45),Units!$R45,IF(AND(N$1&gt;=Units!$Q45,MOD(N$1-Units!$Q45,12)=0),IF(AND(Units!$L45=1,N$1=Units!$Q45),IF(Units!$J45&lt;&gt;"",Units!$J45,Mkt!N46),Inputs!$B$15*Mkt!N46+(1-Inputs!$B$15)*MIN(Mkt!N46,M46*(1+Inputs!$B$18))),M46)))</f>
        <v>1295</v>
      </c>
      <c r="O46" s="11" t="n">
        <f aca="false">IF(O$1&lt;Units!$P45,0,IF(AND(Units!$K45=0,O$1=Units!$O45),Units!$R45,IF(AND(O$1&gt;=Units!$Q45,MOD(O$1-Units!$Q45,12)=0),IF(AND(Units!$L45=1,O$1=Units!$Q45),IF(Units!$J45&lt;&gt;"",Units!$J45,Mkt!O46),Inputs!$B$15*Mkt!O46+(1-Inputs!$B$15)*MIN(Mkt!O46,N46*(1+Inputs!$B$18))),N46)))</f>
        <v>1333.85</v>
      </c>
      <c r="P46" s="11" t="n">
        <f aca="false">IF(P$1&lt;Units!$P45,0,IF(AND(Units!$K45=0,P$1=Units!$O45),Units!$R45,IF(AND(P$1&gt;=Units!$Q45,MOD(P$1-Units!$Q45,12)=0),IF(AND(Units!$L45=1,P$1=Units!$Q45),IF(Units!$J45&lt;&gt;"",Units!$J45,Mkt!P46),Inputs!$B$15*Mkt!P46+(1-Inputs!$B$15)*MIN(Mkt!P46,O46*(1+Inputs!$B$18))),O46)))</f>
        <v>1333.85</v>
      </c>
      <c r="Q46" s="11" t="n">
        <f aca="false">IF(Q$1&lt;Units!$P45,0,IF(AND(Units!$K45=0,Q$1=Units!$O45),Units!$R45,IF(AND(Q$1&gt;=Units!$Q45,MOD(Q$1-Units!$Q45,12)=0),IF(AND(Units!$L45=1,Q$1=Units!$Q45),IF(Units!$J45&lt;&gt;"",Units!$J45,Mkt!Q46),Inputs!$B$15*Mkt!Q46+(1-Inputs!$B$15)*MIN(Mkt!Q46,P46*(1+Inputs!$B$18))),P46)))</f>
        <v>1333.85</v>
      </c>
      <c r="R46" s="11" t="n">
        <f aca="false">IF(R$1&lt;Units!$P45,0,IF(AND(Units!$K45=0,R$1=Units!$O45),Units!$R45,IF(AND(R$1&gt;=Units!$Q45,MOD(R$1-Units!$Q45,12)=0),IF(AND(Units!$L45=1,R$1=Units!$Q45),IF(Units!$J45&lt;&gt;"",Units!$J45,Mkt!R46),Inputs!$B$15*Mkt!R46+(1-Inputs!$B$15)*MIN(Mkt!R46,Q46*(1+Inputs!$B$18))),Q46)))</f>
        <v>1333.85</v>
      </c>
      <c r="S46" s="11" t="n">
        <f aca="false">IF(S$1&lt;Units!$P45,0,IF(AND(Units!$K45=0,S$1=Units!$O45),Units!$R45,IF(AND(S$1&gt;=Units!$Q45,MOD(S$1-Units!$Q45,12)=0),IF(AND(Units!$L45=1,S$1=Units!$Q45),IF(Units!$J45&lt;&gt;"",Units!$J45,Mkt!S46),Inputs!$B$15*Mkt!S46+(1-Inputs!$B$15)*MIN(Mkt!S46,R46*(1+Inputs!$B$18))),R46)))</f>
        <v>1333.85</v>
      </c>
      <c r="T46" s="11" t="n">
        <f aca="false">IF(T$1&lt;Units!$P45,0,IF(AND(Units!$K45=0,T$1=Units!$O45),Units!$R45,IF(AND(T$1&gt;=Units!$Q45,MOD(T$1-Units!$Q45,12)=0),IF(AND(Units!$L45=1,T$1=Units!$Q45),IF(Units!$J45&lt;&gt;"",Units!$J45,Mkt!T46),Inputs!$B$15*Mkt!T46+(1-Inputs!$B$15)*MIN(Mkt!T46,S46*(1+Inputs!$B$18))),S46)))</f>
        <v>1333.85</v>
      </c>
      <c r="U46" s="11" t="n">
        <f aca="false">IF(U$1&lt;Units!$P45,0,IF(AND(Units!$K45=0,U$1=Units!$O45),Units!$R45,IF(AND(U$1&gt;=Units!$Q45,MOD(U$1-Units!$Q45,12)=0),IF(AND(Units!$L45=1,U$1=Units!$Q45),IF(Units!$J45&lt;&gt;"",Units!$J45,Mkt!U46),Inputs!$B$15*Mkt!U46+(1-Inputs!$B$15)*MIN(Mkt!U46,T46*(1+Inputs!$B$18))),T46)))</f>
        <v>1333.85</v>
      </c>
      <c r="V46" s="11" t="n">
        <f aca="false">IF(V$1&lt;Units!$P45,0,IF(AND(Units!$K45=0,V$1=Units!$O45),Units!$R45,IF(AND(V$1&gt;=Units!$Q45,MOD(V$1-Units!$Q45,12)=0),IF(AND(Units!$L45=1,V$1=Units!$Q45),IF(Units!$J45&lt;&gt;"",Units!$J45,Mkt!V46),Inputs!$B$15*Mkt!V46+(1-Inputs!$B$15)*MIN(Mkt!V46,U46*(1+Inputs!$B$18))),U46)))</f>
        <v>1333.85</v>
      </c>
      <c r="W46" s="11" t="n">
        <f aca="false">IF(W$1&lt;Units!$P45,0,IF(AND(Units!$K45=0,W$1=Units!$O45),Units!$R45,IF(AND(W$1&gt;=Units!$Q45,MOD(W$1-Units!$Q45,12)=0),IF(AND(Units!$L45=1,W$1=Units!$Q45),IF(Units!$J45&lt;&gt;"",Units!$J45,Mkt!W46),Inputs!$B$15*Mkt!W46+(1-Inputs!$B$15)*MIN(Mkt!W46,V46*(1+Inputs!$B$18))),V46)))</f>
        <v>1333.85</v>
      </c>
      <c r="X46" s="11" t="n">
        <f aca="false">IF(X$1&lt;Units!$P45,0,IF(AND(Units!$K45=0,X$1=Units!$O45),Units!$R45,IF(AND(X$1&gt;=Units!$Q45,MOD(X$1-Units!$Q45,12)=0),IF(AND(Units!$L45=1,X$1=Units!$Q45),IF(Units!$J45&lt;&gt;"",Units!$J45,Mkt!X46),Inputs!$B$15*Mkt!X46+(1-Inputs!$B$15)*MIN(Mkt!X46,W46*(1+Inputs!$B$18))),W46)))</f>
        <v>1333.85</v>
      </c>
      <c r="Y46" s="11" t="n">
        <f aca="false">IF(Y$1&lt;Units!$P45,0,IF(AND(Units!$K45=0,Y$1=Units!$O45),Units!$R45,IF(AND(Y$1&gt;=Units!$Q45,MOD(Y$1-Units!$Q45,12)=0),IF(AND(Units!$L45=1,Y$1=Units!$Q45),IF(Units!$J45&lt;&gt;"",Units!$J45,Mkt!Y46),Inputs!$B$15*Mkt!Y46+(1-Inputs!$B$15)*MIN(Mkt!Y46,X46*(1+Inputs!$B$18))),X46)))</f>
        <v>1333.85</v>
      </c>
      <c r="Z46" s="11" t="n">
        <f aca="false">IF(Z$1&lt;Units!$P45,0,IF(AND(Units!$K45=0,Z$1=Units!$O45),Units!$R45,IF(AND(Z$1&gt;=Units!$Q45,MOD(Z$1-Units!$Q45,12)=0),IF(AND(Units!$L45=1,Z$1=Units!$Q45),IF(Units!$J45&lt;&gt;"",Units!$J45,Mkt!Z46),Inputs!$B$15*Mkt!Z46+(1-Inputs!$B$15)*MIN(Mkt!Z46,Y46*(1+Inputs!$B$18))),Y46)))</f>
        <v>1333.85</v>
      </c>
      <c r="AA46" s="11" t="n">
        <f aca="false">IF(AA$1&lt;Units!$P45,0,IF(AND(Units!$K45=0,AA$1=Units!$O45),Units!$R45,IF(AND(AA$1&gt;=Units!$Q45,MOD(AA$1-Units!$Q45,12)=0),IF(AND(Units!$L45=1,AA$1=Units!$Q45),IF(Units!$J45&lt;&gt;"",Units!$J45,Mkt!AA46),Inputs!$B$15*Mkt!AA46+(1-Inputs!$B$15)*MIN(Mkt!AA46,Z46*(1+Inputs!$B$18))),Z46)))</f>
        <v>1373.8655</v>
      </c>
      <c r="AB46" s="11" t="n">
        <f aca="false">IF(AB$1&lt;Units!$P45,0,IF(AND(Units!$K45=0,AB$1=Units!$O45),Units!$R45,IF(AND(AB$1&gt;=Units!$Q45,MOD(AB$1-Units!$Q45,12)=0),IF(AND(Units!$L45=1,AB$1=Units!$Q45),IF(Units!$J45&lt;&gt;"",Units!$J45,Mkt!AB46),Inputs!$B$15*Mkt!AB46+(1-Inputs!$B$15)*MIN(Mkt!AB46,AA46*(1+Inputs!$B$18))),AA46)))</f>
        <v>1373.8655</v>
      </c>
      <c r="AC46" s="11" t="n">
        <f aca="false">IF(AC$1&lt;Units!$P45,0,IF(AND(Units!$K45=0,AC$1=Units!$O45),Units!$R45,IF(AND(AC$1&gt;=Units!$Q45,MOD(AC$1-Units!$Q45,12)=0),IF(AND(Units!$L45=1,AC$1=Units!$Q45),IF(Units!$J45&lt;&gt;"",Units!$J45,Mkt!AC46),Inputs!$B$15*Mkt!AC46+(1-Inputs!$B$15)*MIN(Mkt!AC46,AB46*(1+Inputs!$B$18))),AB46)))</f>
        <v>1373.8655</v>
      </c>
      <c r="AD46" s="11" t="n">
        <f aca="false">IF(AD$1&lt;Units!$P45,0,IF(AND(Units!$K45=0,AD$1=Units!$O45),Units!$R45,IF(AND(AD$1&gt;=Units!$Q45,MOD(AD$1-Units!$Q45,12)=0),IF(AND(Units!$L45=1,AD$1=Units!$Q45),IF(Units!$J45&lt;&gt;"",Units!$J45,Mkt!AD46),Inputs!$B$15*Mkt!AD46+(1-Inputs!$B$15)*MIN(Mkt!AD46,AC46*(1+Inputs!$B$18))),AC46)))</f>
        <v>1373.8655</v>
      </c>
      <c r="AE46" s="11" t="n">
        <f aca="false">IF(AE$1&lt;Units!$P45,0,IF(AND(Units!$K45=0,AE$1=Units!$O45),Units!$R45,IF(AND(AE$1&gt;=Units!$Q45,MOD(AE$1-Units!$Q45,12)=0),IF(AND(Units!$L45=1,AE$1=Units!$Q45),IF(Units!$J45&lt;&gt;"",Units!$J45,Mkt!AE46),Inputs!$B$15*Mkt!AE46+(1-Inputs!$B$15)*MIN(Mkt!AE46,AD46*(1+Inputs!$B$18))),AD46)))</f>
        <v>1373.8655</v>
      </c>
      <c r="AF46" s="11" t="n">
        <f aca="false">IF(AF$1&lt;Units!$P45,0,IF(AND(Units!$K45=0,AF$1=Units!$O45),Units!$R45,IF(AND(AF$1&gt;=Units!$Q45,MOD(AF$1-Units!$Q45,12)=0),IF(AND(Units!$L45=1,AF$1=Units!$Q45),IF(Units!$J45&lt;&gt;"",Units!$J45,Mkt!AF46),Inputs!$B$15*Mkt!AF46+(1-Inputs!$B$15)*MIN(Mkt!AF46,AE46*(1+Inputs!$B$18))),AE46)))</f>
        <v>1373.8655</v>
      </c>
      <c r="AG46" s="11" t="n">
        <f aca="false">IF(AG$1&lt;Units!$P45,0,IF(AND(Units!$K45=0,AG$1=Units!$O45),Units!$R45,IF(AND(AG$1&gt;=Units!$Q45,MOD(AG$1-Units!$Q45,12)=0),IF(AND(Units!$L45=1,AG$1=Units!$Q45),IF(Units!$J45&lt;&gt;"",Units!$J45,Mkt!AG46),Inputs!$B$15*Mkt!AG46+(1-Inputs!$B$15)*MIN(Mkt!AG46,AF46*(1+Inputs!$B$18))),AF46)))</f>
        <v>1373.8655</v>
      </c>
      <c r="AH46" s="11" t="n">
        <f aca="false">IF(AH$1&lt;Units!$P45,0,IF(AND(Units!$K45=0,AH$1=Units!$O45),Units!$R45,IF(AND(AH$1&gt;=Units!$Q45,MOD(AH$1-Units!$Q45,12)=0),IF(AND(Units!$L45=1,AH$1=Units!$Q45),IF(Units!$J45&lt;&gt;"",Units!$J45,Mkt!AH46),Inputs!$B$15*Mkt!AH46+(1-Inputs!$B$15)*MIN(Mkt!AH46,AG46*(1+Inputs!$B$18))),AG46)))</f>
        <v>1373.8655</v>
      </c>
      <c r="AI46" s="11" t="n">
        <f aca="false">IF(AI$1&lt;Units!$P45,0,IF(AND(Units!$K45=0,AI$1=Units!$O45),Units!$R45,IF(AND(AI$1&gt;=Units!$Q45,MOD(AI$1-Units!$Q45,12)=0),IF(AND(Units!$L45=1,AI$1=Units!$Q45),IF(Units!$J45&lt;&gt;"",Units!$J45,Mkt!AI46),Inputs!$B$15*Mkt!AI46+(1-Inputs!$B$15)*MIN(Mkt!AI46,AH46*(1+Inputs!$B$18))),AH46)))</f>
        <v>1373.8655</v>
      </c>
      <c r="AJ46" s="11" t="n">
        <f aca="false">IF(AJ$1&lt;Units!$P45,0,IF(AND(Units!$K45=0,AJ$1=Units!$O45),Units!$R45,IF(AND(AJ$1&gt;=Units!$Q45,MOD(AJ$1-Units!$Q45,12)=0),IF(AND(Units!$L45=1,AJ$1=Units!$Q45),IF(Units!$J45&lt;&gt;"",Units!$J45,Mkt!AJ46),Inputs!$B$15*Mkt!AJ46+(1-Inputs!$B$15)*MIN(Mkt!AJ46,AI46*(1+Inputs!$B$18))),AI46)))</f>
        <v>1373.8655</v>
      </c>
      <c r="AK46" s="11" t="n">
        <f aca="false">IF(AK$1&lt;Units!$P45,0,IF(AND(Units!$K45=0,AK$1=Units!$O45),Units!$R45,IF(AND(AK$1&gt;=Units!$Q45,MOD(AK$1-Units!$Q45,12)=0),IF(AND(Units!$L45=1,AK$1=Units!$Q45),IF(Units!$J45&lt;&gt;"",Units!$J45,Mkt!AK46),Inputs!$B$15*Mkt!AK46+(1-Inputs!$B$15)*MIN(Mkt!AK46,AJ46*(1+Inputs!$B$18))),AJ46)))</f>
        <v>1373.8655</v>
      </c>
      <c r="AL46" s="11" t="n">
        <f aca="false">IF(AL$1&lt;Units!$P45,0,IF(AND(Units!$K45=0,AL$1=Units!$O45),Units!$R45,IF(AND(AL$1&gt;=Units!$Q45,MOD(AL$1-Units!$Q45,12)=0),IF(AND(Units!$L45=1,AL$1=Units!$Q45),IF(Units!$J45&lt;&gt;"",Units!$J45,Mkt!AL46),Inputs!$B$15*Mkt!AL46+(1-Inputs!$B$15)*MIN(Mkt!AL46,AK46*(1+Inputs!$B$18))),AK46)))</f>
        <v>1373.8655</v>
      </c>
      <c r="AM46" s="11" t="n">
        <f aca="false">IF(AM$1&lt;Units!$P45,0,IF(AND(Units!$K45=0,AM$1=Units!$O45),Units!$R45,IF(AND(AM$1&gt;=Units!$Q45,MOD(AM$1-Units!$Q45,12)=0),IF(AND(Units!$L45=1,AM$1=Units!$Q45),IF(Units!$J45&lt;&gt;"",Units!$J45,Mkt!AM46),Inputs!$B$15*Mkt!AM46+(1-Inputs!$B$15)*MIN(Mkt!AM46,AL46*(1+Inputs!$B$18))),AL46)))</f>
        <v>1415.081465</v>
      </c>
      <c r="AN46" s="11" t="n">
        <f aca="false">IF(AN$1&lt;Units!$P45,0,IF(AND(Units!$K45=0,AN$1=Units!$O45),Units!$R45,IF(AND(AN$1&gt;=Units!$Q45,MOD(AN$1-Units!$Q45,12)=0),IF(AND(Units!$L45=1,AN$1=Units!$Q45),IF(Units!$J45&lt;&gt;"",Units!$J45,Mkt!AN46),Inputs!$B$15*Mkt!AN46+(1-Inputs!$B$15)*MIN(Mkt!AN46,AM46*(1+Inputs!$B$18))),AM46)))</f>
        <v>1415.081465</v>
      </c>
      <c r="AO46" s="11" t="n">
        <f aca="false">IF(AO$1&lt;Units!$P45,0,IF(AND(Units!$K45=0,AO$1=Units!$O45),Units!$R45,IF(AND(AO$1&gt;=Units!$Q45,MOD(AO$1-Units!$Q45,12)=0),IF(AND(Units!$L45=1,AO$1=Units!$Q45),IF(Units!$J45&lt;&gt;"",Units!$J45,Mkt!AO46),Inputs!$B$15*Mkt!AO46+(1-Inputs!$B$15)*MIN(Mkt!AO46,AN46*(1+Inputs!$B$18))),AN46)))</f>
        <v>1415.081465</v>
      </c>
      <c r="AP46" s="11" t="n">
        <f aca="false">IF(AP$1&lt;Units!$P45,0,IF(AND(Units!$K45=0,AP$1=Units!$O45),Units!$R45,IF(AND(AP$1&gt;=Units!$Q45,MOD(AP$1-Units!$Q45,12)=0),IF(AND(Units!$L45=1,AP$1=Units!$Q45),IF(Units!$J45&lt;&gt;"",Units!$J45,Mkt!AP46),Inputs!$B$15*Mkt!AP46+(1-Inputs!$B$15)*MIN(Mkt!AP46,AO46*(1+Inputs!$B$18))),AO46)))</f>
        <v>1415.081465</v>
      </c>
      <c r="AQ46" s="11" t="n">
        <f aca="false">IF(AQ$1&lt;Units!$P45,0,IF(AND(Units!$K45=0,AQ$1=Units!$O45),Units!$R45,IF(AND(AQ$1&gt;=Units!$Q45,MOD(AQ$1-Units!$Q45,12)=0),IF(AND(Units!$L45=1,AQ$1=Units!$Q45),IF(Units!$J45&lt;&gt;"",Units!$J45,Mkt!AQ46),Inputs!$B$15*Mkt!AQ46+(1-Inputs!$B$15)*MIN(Mkt!AQ46,AP46*(1+Inputs!$B$18))),AP46)))</f>
        <v>1415.081465</v>
      </c>
      <c r="AR46" s="11" t="n">
        <f aca="false">IF(AR$1&lt;Units!$P45,0,IF(AND(Units!$K45=0,AR$1=Units!$O45),Units!$R45,IF(AND(AR$1&gt;=Units!$Q45,MOD(AR$1-Units!$Q45,12)=0),IF(AND(Units!$L45=1,AR$1=Units!$Q45),IF(Units!$J45&lt;&gt;"",Units!$J45,Mkt!AR46),Inputs!$B$15*Mkt!AR46+(1-Inputs!$B$15)*MIN(Mkt!AR46,AQ46*(1+Inputs!$B$18))),AQ46)))</f>
        <v>1415.081465</v>
      </c>
      <c r="AS46" s="11" t="n">
        <f aca="false">IF(AS$1&lt;Units!$P45,0,IF(AND(Units!$K45=0,AS$1=Units!$O45),Units!$R45,IF(AND(AS$1&gt;=Units!$Q45,MOD(AS$1-Units!$Q45,12)=0),IF(AND(Units!$L45=1,AS$1=Units!$Q45),IF(Units!$J45&lt;&gt;"",Units!$J45,Mkt!AS46),Inputs!$B$15*Mkt!AS46+(1-Inputs!$B$15)*MIN(Mkt!AS46,AR46*(1+Inputs!$B$18))),AR46)))</f>
        <v>1415.081465</v>
      </c>
      <c r="AT46" s="11" t="n">
        <f aca="false">IF(AT$1&lt;Units!$P45,0,IF(AND(Units!$K45=0,AT$1=Units!$O45),Units!$R45,IF(AND(AT$1&gt;=Units!$Q45,MOD(AT$1-Units!$Q45,12)=0),IF(AND(Units!$L45=1,AT$1=Units!$Q45),IF(Units!$J45&lt;&gt;"",Units!$J45,Mkt!AT46),Inputs!$B$15*Mkt!AT46+(1-Inputs!$B$15)*MIN(Mkt!AT46,AS46*(1+Inputs!$B$18))),AS46)))</f>
        <v>1415.081465</v>
      </c>
      <c r="AU46" s="11" t="n">
        <f aca="false">IF(AU$1&lt;Units!$P45,0,IF(AND(Units!$K45=0,AU$1=Units!$O45),Units!$R45,IF(AND(AU$1&gt;=Units!$Q45,MOD(AU$1-Units!$Q45,12)=0),IF(AND(Units!$L45=1,AU$1=Units!$Q45),IF(Units!$J45&lt;&gt;"",Units!$J45,Mkt!AU46),Inputs!$B$15*Mkt!AU46+(1-Inputs!$B$15)*MIN(Mkt!AU46,AT46*(1+Inputs!$B$18))),AT46)))</f>
        <v>1415.081465</v>
      </c>
      <c r="AV46" s="11" t="n">
        <f aca="false">IF(AV$1&lt;Units!$P45,0,IF(AND(Units!$K45=0,AV$1=Units!$O45),Units!$R45,IF(AND(AV$1&gt;=Units!$Q45,MOD(AV$1-Units!$Q45,12)=0),IF(AND(Units!$L45=1,AV$1=Units!$Q45),IF(Units!$J45&lt;&gt;"",Units!$J45,Mkt!AV46),Inputs!$B$15*Mkt!AV46+(1-Inputs!$B$15)*MIN(Mkt!AV46,AU46*(1+Inputs!$B$18))),AU46)))</f>
        <v>1415.081465</v>
      </c>
      <c r="AW46" s="11" t="n">
        <f aca="false">IF(AW$1&lt;Units!$P45,0,IF(AND(Units!$K45=0,AW$1=Units!$O45),Units!$R45,IF(AND(AW$1&gt;=Units!$Q45,MOD(AW$1-Units!$Q45,12)=0),IF(AND(Units!$L45=1,AW$1=Units!$Q45),IF(Units!$J45&lt;&gt;"",Units!$J45,Mkt!AW46),Inputs!$B$15*Mkt!AW46+(1-Inputs!$B$15)*MIN(Mkt!AW46,AV46*(1+Inputs!$B$18))),AV46)))</f>
        <v>1415.081465</v>
      </c>
      <c r="AX46" s="11" t="n">
        <f aca="false">IF(AX$1&lt;Units!$P45,0,IF(AND(Units!$K45=0,AX$1=Units!$O45),Units!$R45,IF(AND(AX$1&gt;=Units!$Q45,MOD(AX$1-Units!$Q45,12)=0),IF(AND(Units!$L45=1,AX$1=Units!$Q45),IF(Units!$J45&lt;&gt;"",Units!$J45,Mkt!AX46),Inputs!$B$15*Mkt!AX46+(1-Inputs!$B$15)*MIN(Mkt!AX46,AW46*(1+Inputs!$B$18))),AW46)))</f>
        <v>1415.081465</v>
      </c>
      <c r="AY46" s="11" t="n">
        <f aca="false">IF(AY$1&lt;Units!$P45,0,IF(AND(Units!$K45=0,AY$1=Units!$O45),Units!$R45,IF(AND(AY$1&gt;=Units!$Q45,MOD(AY$1-Units!$Q45,12)=0),IF(AND(Units!$L45=1,AY$1=Units!$Q45),IF(Units!$J45&lt;&gt;"",Units!$J45,Mkt!AY46),Inputs!$B$15*Mkt!AY46+(1-Inputs!$B$15)*MIN(Mkt!AY46,AX46*(1+Inputs!$B$18))),AX46)))</f>
        <v>1457.53390895</v>
      </c>
      <c r="AZ46" s="11" t="n">
        <f aca="false">IF(AZ$1&lt;Units!$P45,0,IF(AND(Units!$K45=0,AZ$1=Units!$O45),Units!$R45,IF(AND(AZ$1&gt;=Units!$Q45,MOD(AZ$1-Units!$Q45,12)=0),IF(AND(Units!$L45=1,AZ$1=Units!$Q45),IF(Units!$J45&lt;&gt;"",Units!$J45,Mkt!AZ46),Inputs!$B$15*Mkt!AZ46+(1-Inputs!$B$15)*MIN(Mkt!AZ46,AY46*(1+Inputs!$B$18))),AY46)))</f>
        <v>1457.53390895</v>
      </c>
      <c r="BA46" s="11" t="n">
        <f aca="false">IF(BA$1&lt;Units!$P45,0,IF(AND(Units!$K45=0,BA$1=Units!$O45),Units!$R45,IF(AND(BA$1&gt;=Units!$Q45,MOD(BA$1-Units!$Q45,12)=0),IF(AND(Units!$L45=1,BA$1=Units!$Q45),IF(Units!$J45&lt;&gt;"",Units!$J45,Mkt!BA46),Inputs!$B$15*Mkt!BA46+(1-Inputs!$B$15)*MIN(Mkt!BA46,AZ46*(1+Inputs!$B$18))),AZ46)))</f>
        <v>1457.53390895</v>
      </c>
      <c r="BB46" s="11" t="n">
        <f aca="false">IF(BB$1&lt;Units!$P45,0,IF(AND(Units!$K45=0,BB$1=Units!$O45),Units!$R45,IF(AND(BB$1&gt;=Units!$Q45,MOD(BB$1-Units!$Q45,12)=0),IF(AND(Units!$L45=1,BB$1=Units!$Q45),IF(Units!$J45&lt;&gt;"",Units!$J45,Mkt!BB46),Inputs!$B$15*Mkt!BB46+(1-Inputs!$B$15)*MIN(Mkt!BB46,BA46*(1+Inputs!$B$18))),BA46)))</f>
        <v>1457.53390895</v>
      </c>
      <c r="BC46" s="11" t="n">
        <f aca="false">IF(BC$1&lt;Units!$P45,0,IF(AND(Units!$K45=0,BC$1=Units!$O45),Units!$R45,IF(AND(BC$1&gt;=Units!$Q45,MOD(BC$1-Units!$Q45,12)=0),IF(AND(Units!$L45=1,BC$1=Units!$Q45),IF(Units!$J45&lt;&gt;"",Units!$J45,Mkt!BC46),Inputs!$B$15*Mkt!BC46+(1-Inputs!$B$15)*MIN(Mkt!BC46,BB46*(1+Inputs!$B$18))),BB46)))</f>
        <v>1457.53390895</v>
      </c>
      <c r="BD46" s="11" t="n">
        <f aca="false">IF(BD$1&lt;Units!$P45,0,IF(AND(Units!$K45=0,BD$1=Units!$O45),Units!$R45,IF(AND(BD$1&gt;=Units!$Q45,MOD(BD$1-Units!$Q45,12)=0),IF(AND(Units!$L45=1,BD$1=Units!$Q45),IF(Units!$J45&lt;&gt;"",Units!$J45,Mkt!BD46),Inputs!$B$15*Mkt!BD46+(1-Inputs!$B$15)*MIN(Mkt!BD46,BC46*(1+Inputs!$B$18))),BC46)))</f>
        <v>1457.53390895</v>
      </c>
      <c r="BE46" s="11" t="n">
        <f aca="false">IF(BE$1&lt;Units!$P45,0,IF(AND(Units!$K45=0,BE$1=Units!$O45),Units!$R45,IF(AND(BE$1&gt;=Units!$Q45,MOD(BE$1-Units!$Q45,12)=0),IF(AND(Units!$L45=1,BE$1=Units!$Q45),IF(Units!$J45&lt;&gt;"",Units!$J45,Mkt!BE46),Inputs!$B$15*Mkt!BE46+(1-Inputs!$B$15)*MIN(Mkt!BE46,BD46*(1+Inputs!$B$18))),BD46)))</f>
        <v>1457.53390895</v>
      </c>
      <c r="BF46" s="11" t="n">
        <f aca="false">IF(BF$1&lt;Units!$P45,0,IF(AND(Units!$K45=0,BF$1=Units!$O45),Units!$R45,IF(AND(BF$1&gt;=Units!$Q45,MOD(BF$1-Units!$Q45,12)=0),IF(AND(Units!$L45=1,BF$1=Units!$Q45),IF(Units!$J45&lt;&gt;"",Units!$J45,Mkt!BF46),Inputs!$B$15*Mkt!BF46+(1-Inputs!$B$15)*MIN(Mkt!BF46,BE46*(1+Inputs!$B$18))),BE46)))</f>
        <v>1457.53390895</v>
      </c>
      <c r="BG46" s="11" t="n">
        <f aca="false">IF(BG$1&lt;Units!$P45,0,IF(AND(Units!$K45=0,BG$1=Units!$O45),Units!$R45,IF(AND(BG$1&gt;=Units!$Q45,MOD(BG$1-Units!$Q45,12)=0),IF(AND(Units!$L45=1,BG$1=Units!$Q45),IF(Units!$J45&lt;&gt;"",Units!$J45,Mkt!BG46),Inputs!$B$15*Mkt!BG46+(1-Inputs!$B$15)*MIN(Mkt!BG46,BF46*(1+Inputs!$B$18))),BF46)))</f>
        <v>1457.53390895</v>
      </c>
      <c r="BH46" s="11" t="n">
        <f aca="false">IF(BH$1&lt;Units!$P45,0,IF(AND(Units!$K45=0,BH$1=Units!$O45),Units!$R45,IF(AND(BH$1&gt;=Units!$Q45,MOD(BH$1-Units!$Q45,12)=0),IF(AND(Units!$L45=1,BH$1=Units!$Q45),IF(Units!$J45&lt;&gt;"",Units!$J45,Mkt!BH46),Inputs!$B$15*Mkt!BH46+(1-Inputs!$B$15)*MIN(Mkt!BH46,BG46*(1+Inputs!$B$18))),BG46)))</f>
        <v>1457.53390895</v>
      </c>
      <c r="BI46" s="11" t="n">
        <f aca="false">IF(BI$1&lt;Units!$P45,0,IF(AND(Units!$K45=0,BI$1=Units!$O45),Units!$R45,IF(AND(BI$1&gt;=Units!$Q45,MOD(BI$1-Units!$Q45,12)=0),IF(AND(Units!$L45=1,BI$1=Units!$Q45),IF(Units!$J45&lt;&gt;"",Units!$J45,Mkt!BI46),Inputs!$B$15*Mkt!BI46+(1-Inputs!$B$15)*MIN(Mkt!BI46,BH46*(1+Inputs!$B$18))),BH46)))</f>
        <v>1457.53390895</v>
      </c>
      <c r="BJ46" s="11" t="n">
        <f aca="false">IF(BJ$1&lt;Units!$P45,0,IF(AND(Units!$K45=0,BJ$1=Units!$O45),Units!$R45,IF(AND(BJ$1&gt;=Units!$Q45,MOD(BJ$1-Units!$Q45,12)=0),IF(AND(Units!$L45=1,BJ$1=Units!$Q45),IF(Units!$J45&lt;&gt;"",Units!$J45,Mkt!BJ46),Inputs!$B$15*Mkt!BJ46+(1-Inputs!$B$15)*MIN(Mkt!BJ46,BI46*(1+Inputs!$B$18))),BI46)))</f>
        <v>1457.53390895</v>
      </c>
      <c r="BK46" s="11" t="n">
        <f aca="false">IF(BK$1&lt;Units!$P45,0,IF(AND(Units!$K45=0,BK$1=Units!$O45),Units!$R45,IF(AND(BK$1&gt;=Units!$Q45,MOD(BK$1-Units!$Q45,12)=0),IF(AND(Units!$L45=1,BK$1=Units!$Q45),IF(Units!$J45&lt;&gt;"",Units!$J45,Mkt!BK46),Inputs!$B$15*Mkt!BK46+(1-Inputs!$B$15)*MIN(Mkt!BK46,BJ46*(1+Inputs!$B$18))),BJ46)))</f>
        <v>1501.2599262185</v>
      </c>
      <c r="BL46" s="11" t="n">
        <f aca="false">IF(BL$1&lt;Units!$P45,0,IF(AND(Units!$K45=0,BL$1=Units!$O45),Units!$R45,IF(AND(BL$1&gt;=Units!$Q45,MOD(BL$1-Units!$Q45,12)=0),IF(AND(Units!$L45=1,BL$1=Units!$Q45),IF(Units!$J45&lt;&gt;"",Units!$J45,Mkt!BL46),Inputs!$B$15*Mkt!BL46+(1-Inputs!$B$15)*MIN(Mkt!BL46,BK46*(1+Inputs!$B$18))),BK46)))</f>
        <v>1501.2599262185</v>
      </c>
      <c r="BM46" s="11" t="n">
        <f aca="false">IF(BM$1&lt;Units!$P45,0,IF(AND(Units!$K45=0,BM$1=Units!$O45),Units!$R45,IF(AND(BM$1&gt;=Units!$Q45,MOD(BM$1-Units!$Q45,12)=0),IF(AND(Units!$L45=1,BM$1=Units!$Q45),IF(Units!$J45&lt;&gt;"",Units!$J45,Mkt!BM46),Inputs!$B$15*Mkt!BM46+(1-Inputs!$B$15)*MIN(Mkt!BM46,BL46*(1+Inputs!$B$18))),BL46)))</f>
        <v>1501.2599262185</v>
      </c>
      <c r="BN46" s="11" t="n">
        <f aca="false">IF(BN$1&lt;Units!$P45,0,IF(AND(Units!$K45=0,BN$1=Units!$O45),Units!$R45,IF(AND(BN$1&gt;=Units!$Q45,MOD(BN$1-Units!$Q45,12)=0),IF(AND(Units!$L45=1,BN$1=Units!$Q45),IF(Units!$J45&lt;&gt;"",Units!$J45,Mkt!BN46),Inputs!$B$15*Mkt!BN46+(1-Inputs!$B$15)*MIN(Mkt!BN46,BM46*(1+Inputs!$B$18))),BM46)))</f>
        <v>1501.2599262185</v>
      </c>
      <c r="BO46" s="11" t="n">
        <f aca="false">IF(BO$1&lt;Units!$P45,0,IF(AND(Units!$K45=0,BO$1=Units!$O45),Units!$R45,IF(AND(BO$1&gt;=Units!$Q45,MOD(BO$1-Units!$Q45,12)=0),IF(AND(Units!$L45=1,BO$1=Units!$Q45),IF(Units!$J45&lt;&gt;"",Units!$J45,Mkt!BO46),Inputs!$B$15*Mkt!BO46+(1-Inputs!$B$15)*MIN(Mkt!BO46,BN46*(1+Inputs!$B$18))),BN46)))</f>
        <v>1501.2599262185</v>
      </c>
      <c r="BP46" s="11" t="n">
        <f aca="false">IF(BP$1&lt;Units!$P45,0,IF(AND(Units!$K45=0,BP$1=Units!$O45),Units!$R45,IF(AND(BP$1&gt;=Units!$Q45,MOD(BP$1-Units!$Q45,12)=0),IF(AND(Units!$L45=1,BP$1=Units!$Q45),IF(Units!$J45&lt;&gt;"",Units!$J45,Mkt!BP46),Inputs!$B$15*Mkt!BP46+(1-Inputs!$B$15)*MIN(Mkt!BP46,BO46*(1+Inputs!$B$18))),BO46)))</f>
        <v>1501.2599262185</v>
      </c>
      <c r="BQ46" s="11" t="n">
        <f aca="false">IF(BQ$1&lt;Units!$P45,0,IF(AND(Units!$K45=0,BQ$1=Units!$O45),Units!$R45,IF(AND(BQ$1&gt;=Units!$Q45,MOD(BQ$1-Units!$Q45,12)=0),IF(AND(Units!$L45=1,BQ$1=Units!$Q45),IF(Units!$J45&lt;&gt;"",Units!$J45,Mkt!BQ46),Inputs!$B$15*Mkt!BQ46+(1-Inputs!$B$15)*MIN(Mkt!BQ46,BP46*(1+Inputs!$B$18))),BP46)))</f>
        <v>1501.2599262185</v>
      </c>
      <c r="BR46" s="11" t="n">
        <f aca="false">IF(BR$1&lt;Units!$P45,0,IF(AND(Units!$K45=0,BR$1=Units!$O45),Units!$R45,IF(AND(BR$1&gt;=Units!$Q45,MOD(BR$1-Units!$Q45,12)=0),IF(AND(Units!$L45=1,BR$1=Units!$Q45),IF(Units!$J45&lt;&gt;"",Units!$J45,Mkt!BR46),Inputs!$B$15*Mkt!BR46+(1-Inputs!$B$15)*MIN(Mkt!BR46,BQ46*(1+Inputs!$B$18))),BQ46)))</f>
        <v>1501.2599262185</v>
      </c>
      <c r="BS46" s="11" t="n">
        <f aca="false">IF(BS$1&lt;Units!$P45,0,IF(AND(Units!$K45=0,BS$1=Units!$O45),Units!$R45,IF(AND(BS$1&gt;=Units!$Q45,MOD(BS$1-Units!$Q45,12)=0),IF(AND(Units!$L45=1,BS$1=Units!$Q45),IF(Units!$J45&lt;&gt;"",Units!$J45,Mkt!BS46),Inputs!$B$15*Mkt!BS46+(1-Inputs!$B$15)*MIN(Mkt!BS46,BR46*(1+Inputs!$B$18))),BR46)))</f>
        <v>1501.2599262185</v>
      </c>
      <c r="BT46" s="11" t="n">
        <f aca="false">IF(BT$1&lt;Units!$P45,0,IF(AND(Units!$K45=0,BT$1=Units!$O45),Units!$R45,IF(AND(BT$1&gt;=Units!$Q45,MOD(BT$1-Units!$Q45,12)=0),IF(AND(Units!$L45=1,BT$1=Units!$Q45),IF(Units!$J45&lt;&gt;"",Units!$J45,Mkt!BT46),Inputs!$B$15*Mkt!BT46+(1-Inputs!$B$15)*MIN(Mkt!BT46,BS46*(1+Inputs!$B$18))),BS46)))</f>
        <v>1501.2599262185</v>
      </c>
      <c r="BU46" s="11" t="n">
        <f aca="false">IF(BU$1&lt;Units!$P45,0,IF(AND(Units!$K45=0,BU$1=Units!$O45),Units!$R45,IF(AND(BU$1&gt;=Units!$Q45,MOD(BU$1-Units!$Q45,12)=0),IF(AND(Units!$L45=1,BU$1=Units!$Q45),IF(Units!$J45&lt;&gt;"",Units!$J45,Mkt!BU46),Inputs!$B$15*Mkt!BU46+(1-Inputs!$B$15)*MIN(Mkt!BU46,BT46*(1+Inputs!$B$18))),BT46)))</f>
        <v>1501.2599262185</v>
      </c>
      <c r="BV46" s="11" t="n">
        <f aca="false">IF(BV$1&lt;Units!$P45,0,IF(AND(Units!$K45=0,BV$1=Units!$O45),Units!$R45,IF(AND(BV$1&gt;=Units!$Q45,MOD(BV$1-Units!$Q45,12)=0),IF(AND(Units!$L45=1,BV$1=Units!$Q45),IF(Units!$J45&lt;&gt;"",Units!$J45,Mkt!BV46),Inputs!$B$15*Mkt!BV46+(1-Inputs!$B$15)*MIN(Mkt!BV46,BU46*(1+Inputs!$B$18))),BU46)))</f>
        <v>1501.2599262185</v>
      </c>
      <c r="BW46" s="11" t="n">
        <f aca="false">IF(BW$1&lt;Units!$P45,0,IF(AND(Units!$K45=0,BW$1=Units!$O45),Units!$R45,IF(AND(BW$1&gt;=Units!$Q45,MOD(BW$1-Units!$Q45,12)=0),IF(AND(Units!$L45=1,BW$1=Units!$Q45),IF(Units!$J45&lt;&gt;"",Units!$J45,Mkt!BW46),Inputs!$B$15*Mkt!BW46+(1-Inputs!$B$15)*MIN(Mkt!BW46,BV46*(1+Inputs!$B$18))),BV46)))</f>
        <v>1546.29772400506</v>
      </c>
      <c r="BX46" s="11" t="n">
        <f aca="false">IF(BX$1&lt;Units!$P45,0,IF(AND(Units!$K45=0,BX$1=Units!$O45),Units!$R45,IF(AND(BX$1&gt;=Units!$Q45,MOD(BX$1-Units!$Q45,12)=0),IF(AND(Units!$L45=1,BX$1=Units!$Q45),IF(Units!$J45&lt;&gt;"",Units!$J45,Mkt!BX46),Inputs!$B$15*Mkt!BX46+(1-Inputs!$B$15)*MIN(Mkt!BX46,BW46*(1+Inputs!$B$18))),BW46)))</f>
        <v>1546.29772400506</v>
      </c>
      <c r="BY46" s="11" t="n">
        <f aca="false">IF(BY$1&lt;Units!$P45,0,IF(AND(Units!$K45=0,BY$1=Units!$O45),Units!$R45,IF(AND(BY$1&gt;=Units!$Q45,MOD(BY$1-Units!$Q45,12)=0),IF(AND(Units!$L45=1,BY$1=Units!$Q45),IF(Units!$J45&lt;&gt;"",Units!$J45,Mkt!BY46),Inputs!$B$15*Mkt!BY46+(1-Inputs!$B$15)*MIN(Mkt!BY46,BX46*(1+Inputs!$B$18))),BX46)))</f>
        <v>1546.29772400506</v>
      </c>
      <c r="BZ46" s="11" t="n">
        <f aca="false">IF(BZ$1&lt;Units!$P45,0,IF(AND(Units!$K45=0,BZ$1=Units!$O45),Units!$R45,IF(AND(BZ$1&gt;=Units!$Q45,MOD(BZ$1-Units!$Q45,12)=0),IF(AND(Units!$L45=1,BZ$1=Units!$Q45),IF(Units!$J45&lt;&gt;"",Units!$J45,Mkt!BZ46),Inputs!$B$15*Mkt!BZ46+(1-Inputs!$B$15)*MIN(Mkt!BZ46,BY46*(1+Inputs!$B$18))),BY46)))</f>
        <v>1546.29772400506</v>
      </c>
      <c r="CA46" s="11" t="n">
        <f aca="false">IF(CA$1&lt;Units!$P45,0,IF(AND(Units!$K45=0,CA$1=Units!$O45),Units!$R45,IF(AND(CA$1&gt;=Units!$Q45,MOD(CA$1-Units!$Q45,12)=0),IF(AND(Units!$L45=1,CA$1=Units!$Q45),IF(Units!$J45&lt;&gt;"",Units!$J45,Mkt!CA46),Inputs!$B$15*Mkt!CA46+(1-Inputs!$B$15)*MIN(Mkt!CA46,BZ46*(1+Inputs!$B$18))),BZ46)))</f>
        <v>1546.29772400506</v>
      </c>
      <c r="CB46" s="11" t="n">
        <f aca="false">IF(CB$1&lt;Units!$P45,0,IF(AND(Units!$K45=0,CB$1=Units!$O45),Units!$R45,IF(AND(CB$1&gt;=Units!$Q45,MOD(CB$1-Units!$Q45,12)=0),IF(AND(Units!$L45=1,CB$1=Units!$Q45),IF(Units!$J45&lt;&gt;"",Units!$J45,Mkt!CB46),Inputs!$B$15*Mkt!CB46+(1-Inputs!$B$15)*MIN(Mkt!CB46,CA46*(1+Inputs!$B$18))),CA46)))</f>
        <v>1546.29772400506</v>
      </c>
      <c r="CC46" s="11" t="n">
        <f aca="false">IF(CC$1&lt;Units!$P45,0,IF(AND(Units!$K45=0,CC$1=Units!$O45),Units!$R45,IF(AND(CC$1&gt;=Units!$Q45,MOD(CC$1-Units!$Q45,12)=0),IF(AND(Units!$L45=1,CC$1=Units!$Q45),IF(Units!$J45&lt;&gt;"",Units!$J45,Mkt!CC46),Inputs!$B$15*Mkt!CC46+(1-Inputs!$B$15)*MIN(Mkt!CC46,CB46*(1+Inputs!$B$18))),CB46)))</f>
        <v>1546.29772400506</v>
      </c>
      <c r="CD46" s="11" t="n">
        <f aca="false">IF(CD$1&lt;Units!$P45,0,IF(AND(Units!$K45=0,CD$1=Units!$O45),Units!$R45,IF(AND(CD$1&gt;=Units!$Q45,MOD(CD$1-Units!$Q45,12)=0),IF(AND(Units!$L45=1,CD$1=Units!$Q45),IF(Units!$J45&lt;&gt;"",Units!$J45,Mkt!CD46),Inputs!$B$15*Mkt!CD46+(1-Inputs!$B$15)*MIN(Mkt!CD46,CC46*(1+Inputs!$B$18))),CC46)))</f>
        <v>1546.29772400506</v>
      </c>
      <c r="CE46" s="11" t="n">
        <f aca="false">IF(CE$1&lt;Units!$P45,0,IF(AND(Units!$K45=0,CE$1=Units!$O45),Units!$R45,IF(AND(CE$1&gt;=Units!$Q45,MOD(CE$1-Units!$Q45,12)=0),IF(AND(Units!$L45=1,CE$1=Units!$Q45),IF(Units!$J45&lt;&gt;"",Units!$J45,Mkt!CE46),Inputs!$B$15*Mkt!CE46+(1-Inputs!$B$15)*MIN(Mkt!CE46,CD46*(1+Inputs!$B$18))),CD46)))</f>
        <v>1546.29772400506</v>
      </c>
      <c r="CF46" s="11" t="n">
        <f aca="false">IF(CF$1&lt;Units!$P45,0,IF(AND(Units!$K45=0,CF$1=Units!$O45),Units!$R45,IF(AND(CF$1&gt;=Units!$Q45,MOD(CF$1-Units!$Q45,12)=0),IF(AND(Units!$L45=1,CF$1=Units!$Q45),IF(Units!$J45&lt;&gt;"",Units!$J45,Mkt!CF46),Inputs!$B$15*Mkt!CF46+(1-Inputs!$B$15)*MIN(Mkt!CF46,CE46*(1+Inputs!$B$18))),CE46)))</f>
        <v>1546.29772400506</v>
      </c>
      <c r="CG46" s="11" t="n">
        <f aca="false">IF(CG$1&lt;Units!$P45,0,IF(AND(Units!$K45=0,CG$1=Units!$O45),Units!$R45,IF(AND(CG$1&gt;=Units!$Q45,MOD(CG$1-Units!$Q45,12)=0),IF(AND(Units!$L45=1,CG$1=Units!$Q45),IF(Units!$J45&lt;&gt;"",Units!$J45,Mkt!CG46),Inputs!$B$15*Mkt!CG46+(1-Inputs!$B$15)*MIN(Mkt!CG46,CF46*(1+Inputs!$B$18))),CF46)))</f>
        <v>1546.29772400506</v>
      </c>
      <c r="CH46" s="11" t="n">
        <f aca="false">IF(CH$1&lt;Units!$P45,0,IF(AND(Units!$K45=0,CH$1=Units!$O45),Units!$R45,IF(AND(CH$1&gt;=Units!$Q45,MOD(CH$1-Units!$Q45,12)=0),IF(AND(Units!$L45=1,CH$1=Units!$Q45),IF(Units!$J45&lt;&gt;"",Units!$J45,Mkt!CH46),Inputs!$B$15*Mkt!CH46+(1-Inputs!$B$15)*MIN(Mkt!CH46,CG46*(1+Inputs!$B$18))),CG46)))</f>
        <v>1546.29772400506</v>
      </c>
      <c r="CI46" s="11" t="n">
        <f aca="false">IF(CI$1&lt;Units!$P45,0,IF(AND(Units!$K45=0,CI$1=Units!$O45),Units!$R45,IF(AND(CI$1&gt;=Units!$Q45,MOD(CI$1-Units!$Q45,12)=0),IF(AND(Units!$L45=1,CI$1=Units!$Q45),IF(Units!$J45&lt;&gt;"",Units!$J45,Mkt!CI46),Inputs!$B$15*Mkt!CI46+(1-Inputs!$B$15)*MIN(Mkt!CI46,CH46*(1+Inputs!$B$18))),CH46)))</f>
        <v>1592.68665572521</v>
      </c>
      <c r="CJ46" s="11" t="n">
        <f aca="false">IF(CJ$1&lt;Units!$P45,0,IF(AND(Units!$K45=0,CJ$1=Units!$O45),Units!$R45,IF(AND(CJ$1&gt;=Units!$Q45,MOD(CJ$1-Units!$Q45,12)=0),IF(AND(Units!$L45=1,CJ$1=Units!$Q45),IF(Units!$J45&lt;&gt;"",Units!$J45,Mkt!CJ46),Inputs!$B$15*Mkt!CJ46+(1-Inputs!$B$15)*MIN(Mkt!CJ46,CI46*(1+Inputs!$B$18))),CI46)))</f>
        <v>1592.68665572521</v>
      </c>
      <c r="CK46" s="11" t="n">
        <f aca="false">IF(CK$1&lt;Units!$P45,0,IF(AND(Units!$K45=0,CK$1=Units!$O45),Units!$R45,IF(AND(CK$1&gt;=Units!$Q45,MOD(CK$1-Units!$Q45,12)=0),IF(AND(Units!$L45=1,CK$1=Units!$Q45),IF(Units!$J45&lt;&gt;"",Units!$J45,Mkt!CK46),Inputs!$B$15*Mkt!CK46+(1-Inputs!$B$15)*MIN(Mkt!CK46,CJ46*(1+Inputs!$B$18))),CJ46)))</f>
        <v>1592.68665572521</v>
      </c>
      <c r="CL46" s="11" t="n">
        <f aca="false">IF(CL$1&lt;Units!$P45,0,IF(AND(Units!$K45=0,CL$1=Units!$O45),Units!$R45,IF(AND(CL$1&gt;=Units!$Q45,MOD(CL$1-Units!$Q45,12)=0),IF(AND(Units!$L45=1,CL$1=Units!$Q45),IF(Units!$J45&lt;&gt;"",Units!$J45,Mkt!CL46),Inputs!$B$15*Mkt!CL46+(1-Inputs!$B$15)*MIN(Mkt!CL46,CK46*(1+Inputs!$B$18))),CK46)))</f>
        <v>1592.68665572521</v>
      </c>
      <c r="CM46" s="11" t="n">
        <f aca="false">IF(CM$1&lt;Units!$P45,0,IF(AND(Units!$K45=0,CM$1=Units!$O45),Units!$R45,IF(AND(CM$1&gt;=Units!$Q45,MOD(CM$1-Units!$Q45,12)=0),IF(AND(Units!$L45=1,CM$1=Units!$Q45),IF(Units!$J45&lt;&gt;"",Units!$J45,Mkt!CM46),Inputs!$B$15*Mkt!CM46+(1-Inputs!$B$15)*MIN(Mkt!CM46,CL46*(1+Inputs!$B$18))),CL46)))</f>
        <v>1592.68665572521</v>
      </c>
      <c r="CN46" s="11" t="n">
        <f aca="false">IF(CN$1&lt;Units!$P45,0,IF(AND(Units!$K45=0,CN$1=Units!$O45),Units!$R45,IF(AND(CN$1&gt;=Units!$Q45,MOD(CN$1-Units!$Q45,12)=0),IF(AND(Units!$L45=1,CN$1=Units!$Q45),IF(Units!$J45&lt;&gt;"",Units!$J45,Mkt!CN46),Inputs!$B$15*Mkt!CN46+(1-Inputs!$B$15)*MIN(Mkt!CN46,CM46*(1+Inputs!$B$18))),CM46)))</f>
        <v>1592.68665572521</v>
      </c>
      <c r="CO46" s="11" t="n">
        <f aca="false">IF(CO$1&lt;Units!$P45,0,IF(AND(Units!$K45=0,CO$1=Units!$O45),Units!$R45,IF(AND(CO$1&gt;=Units!$Q45,MOD(CO$1-Units!$Q45,12)=0),IF(AND(Units!$L45=1,CO$1=Units!$Q45),IF(Units!$J45&lt;&gt;"",Units!$J45,Mkt!CO46),Inputs!$B$15*Mkt!CO46+(1-Inputs!$B$15)*MIN(Mkt!CO46,CN46*(1+Inputs!$B$18))),CN46)))</f>
        <v>1592.68665572521</v>
      </c>
      <c r="CP46" s="11" t="n">
        <f aca="false">IF(CP$1&lt;Units!$P45,0,IF(AND(Units!$K45=0,CP$1=Units!$O45),Units!$R45,IF(AND(CP$1&gt;=Units!$Q45,MOD(CP$1-Units!$Q45,12)=0),IF(AND(Units!$L45=1,CP$1=Units!$Q45),IF(Units!$J45&lt;&gt;"",Units!$J45,Mkt!CP46),Inputs!$B$15*Mkt!CP46+(1-Inputs!$B$15)*MIN(Mkt!CP46,CO46*(1+Inputs!$B$18))),CO46)))</f>
        <v>1592.68665572521</v>
      </c>
      <c r="CQ46" s="11" t="n">
        <f aca="false">IF(CQ$1&lt;Units!$P45,0,IF(AND(Units!$K45=0,CQ$1=Units!$O45),Units!$R45,IF(AND(CQ$1&gt;=Units!$Q45,MOD(CQ$1-Units!$Q45,12)=0),IF(AND(Units!$L45=1,CQ$1=Units!$Q45),IF(Units!$J45&lt;&gt;"",Units!$J45,Mkt!CQ46),Inputs!$B$15*Mkt!CQ46+(1-Inputs!$B$15)*MIN(Mkt!CQ46,CP46*(1+Inputs!$B$18))),CP46)))</f>
        <v>1592.68665572521</v>
      </c>
      <c r="CR46" s="11" t="n">
        <f aca="false">IF(CR$1&lt;Units!$P45,0,IF(AND(Units!$K45=0,CR$1=Units!$O45),Units!$R45,IF(AND(CR$1&gt;=Units!$Q45,MOD(CR$1-Units!$Q45,12)=0),IF(AND(Units!$L45=1,CR$1=Units!$Q45),IF(Units!$J45&lt;&gt;"",Units!$J45,Mkt!CR46),Inputs!$B$15*Mkt!CR46+(1-Inputs!$B$15)*MIN(Mkt!CR46,CQ46*(1+Inputs!$B$18))),CQ46)))</f>
        <v>1592.68665572521</v>
      </c>
      <c r="CS46" s="11" t="n">
        <f aca="false">IF(CS$1&lt;Units!$P45,0,IF(AND(Units!$K45=0,CS$1=Units!$O45),Units!$R45,IF(AND(CS$1&gt;=Units!$Q45,MOD(CS$1-Units!$Q45,12)=0),IF(AND(Units!$L45=1,CS$1=Units!$Q45),IF(Units!$J45&lt;&gt;"",Units!$J45,Mkt!CS46),Inputs!$B$15*Mkt!CS46+(1-Inputs!$B$15)*MIN(Mkt!CS46,CR46*(1+Inputs!$B$18))),CR46)))</f>
        <v>1592.68665572521</v>
      </c>
      <c r="CT46" s="11" t="n">
        <f aca="false">IF(CT$1&lt;Units!$P45,0,IF(AND(Units!$K45=0,CT$1=Units!$O45),Units!$R45,IF(AND(CT$1&gt;=Units!$Q45,MOD(CT$1-Units!$Q45,12)=0),IF(AND(Units!$L45=1,CT$1=Units!$Q45),IF(Units!$J45&lt;&gt;"",Units!$J45,Mkt!CT46),Inputs!$B$15*Mkt!CT46+(1-Inputs!$B$15)*MIN(Mkt!CT46,CS46*(1+Inputs!$B$18))),CS46)))</f>
        <v>1592.68665572521</v>
      </c>
      <c r="CU46" s="11" t="n">
        <f aca="false">IF(CU$1&lt;Units!$P45,0,IF(AND(Units!$K45=0,CU$1=Units!$O45),Units!$R45,IF(AND(CU$1&gt;=Units!$Q45,MOD(CU$1-Units!$Q45,12)=0),IF(AND(Units!$L45=1,CU$1=Units!$Q45),IF(Units!$J45&lt;&gt;"",Units!$J45,Mkt!CU46),Inputs!$B$15*Mkt!CU46+(1-Inputs!$B$15)*MIN(Mkt!CU46,CT46*(1+Inputs!$B$18))),CT46)))</f>
        <v>1640.46725539696</v>
      </c>
      <c r="CV46" s="11" t="n">
        <f aca="false">IF(CV$1&lt;Units!$P45,0,IF(AND(Units!$K45=0,CV$1=Units!$O45),Units!$R45,IF(AND(CV$1&gt;=Units!$Q45,MOD(CV$1-Units!$Q45,12)=0),IF(AND(Units!$L45=1,CV$1=Units!$Q45),IF(Units!$J45&lt;&gt;"",Units!$J45,Mkt!CV46),Inputs!$B$15*Mkt!CV46+(1-Inputs!$B$15)*MIN(Mkt!CV46,CU46*(1+Inputs!$B$18))),CU46)))</f>
        <v>1640.46725539696</v>
      </c>
      <c r="CW46" s="11" t="n">
        <f aca="false">IF(CW$1&lt;Units!$P45,0,IF(AND(Units!$K45=0,CW$1=Units!$O45),Units!$R45,IF(AND(CW$1&gt;=Units!$Q45,MOD(CW$1-Units!$Q45,12)=0),IF(AND(Units!$L45=1,CW$1=Units!$Q45),IF(Units!$J45&lt;&gt;"",Units!$J45,Mkt!CW46),Inputs!$B$15*Mkt!CW46+(1-Inputs!$B$15)*MIN(Mkt!CW46,CV46*(1+Inputs!$B$18))),CV46)))</f>
        <v>1640.46725539696</v>
      </c>
      <c r="CX46" s="11" t="n">
        <f aca="false">IF(CX$1&lt;Units!$P45,0,IF(AND(Units!$K45=0,CX$1=Units!$O45),Units!$R45,IF(AND(CX$1&gt;=Units!$Q45,MOD(CX$1-Units!$Q45,12)=0),IF(AND(Units!$L45=1,CX$1=Units!$Q45),IF(Units!$J45&lt;&gt;"",Units!$J45,Mkt!CX46),Inputs!$B$15*Mkt!CX46+(1-Inputs!$B$15)*MIN(Mkt!CX46,CW46*(1+Inputs!$B$18))),CW46)))</f>
        <v>1640.46725539696</v>
      </c>
      <c r="CY46" s="11" t="n">
        <f aca="false">IF(CY$1&lt;Units!$P45,0,IF(AND(Units!$K45=0,CY$1=Units!$O45),Units!$R45,IF(AND(CY$1&gt;=Units!$Q45,MOD(CY$1-Units!$Q45,12)=0),IF(AND(Units!$L45=1,CY$1=Units!$Q45),IF(Units!$J45&lt;&gt;"",Units!$J45,Mkt!CY46),Inputs!$B$15*Mkt!CY46+(1-Inputs!$B$15)*MIN(Mkt!CY46,CX46*(1+Inputs!$B$18))),CX46)))</f>
        <v>1640.46725539696</v>
      </c>
      <c r="CZ46" s="11" t="n">
        <f aca="false">IF(CZ$1&lt;Units!$P45,0,IF(AND(Units!$K45=0,CZ$1=Units!$O45),Units!$R45,IF(AND(CZ$1&gt;=Units!$Q45,MOD(CZ$1-Units!$Q45,12)=0),IF(AND(Units!$L45=1,CZ$1=Units!$Q45),IF(Units!$J45&lt;&gt;"",Units!$J45,Mkt!CZ46),Inputs!$B$15*Mkt!CZ46+(1-Inputs!$B$15)*MIN(Mkt!CZ46,CY46*(1+Inputs!$B$18))),CY46)))</f>
        <v>1640.46725539696</v>
      </c>
      <c r="DA46" s="11" t="n">
        <f aca="false">IF(DA$1&lt;Units!$P45,0,IF(AND(Units!$K45=0,DA$1=Units!$O45),Units!$R45,IF(AND(DA$1&gt;=Units!$Q45,MOD(DA$1-Units!$Q45,12)=0),IF(AND(Units!$L45=1,DA$1=Units!$Q45),IF(Units!$J45&lt;&gt;"",Units!$J45,Mkt!DA46),Inputs!$B$15*Mkt!DA46+(1-Inputs!$B$15)*MIN(Mkt!DA46,CZ46*(1+Inputs!$B$18))),CZ46)))</f>
        <v>1640.46725539696</v>
      </c>
      <c r="DB46" s="11" t="n">
        <f aca="false">IF(DB$1&lt;Units!$P45,0,IF(AND(Units!$K45=0,DB$1=Units!$O45),Units!$R45,IF(AND(DB$1&gt;=Units!$Q45,MOD(DB$1-Units!$Q45,12)=0),IF(AND(Units!$L45=1,DB$1=Units!$Q45),IF(Units!$J45&lt;&gt;"",Units!$J45,Mkt!DB46),Inputs!$B$15*Mkt!DB46+(1-Inputs!$B$15)*MIN(Mkt!DB46,DA46*(1+Inputs!$B$18))),DA46)))</f>
        <v>1640.46725539696</v>
      </c>
      <c r="DC46" s="11" t="n">
        <f aca="false">IF(DC$1&lt;Units!$P45,0,IF(AND(Units!$K45=0,DC$1=Units!$O45),Units!$R45,IF(AND(DC$1&gt;=Units!$Q45,MOD(DC$1-Units!$Q45,12)=0),IF(AND(Units!$L45=1,DC$1=Units!$Q45),IF(Units!$J45&lt;&gt;"",Units!$J45,Mkt!DC46),Inputs!$B$15*Mkt!DC46+(1-Inputs!$B$15)*MIN(Mkt!DC46,DB46*(1+Inputs!$B$18))),DB46)))</f>
        <v>1640.46725539696</v>
      </c>
      <c r="DD46" s="11" t="n">
        <f aca="false">IF(DD$1&lt;Units!$P45,0,IF(AND(Units!$K45=0,DD$1=Units!$O45),Units!$R45,IF(AND(DD$1&gt;=Units!$Q45,MOD(DD$1-Units!$Q45,12)=0),IF(AND(Units!$L45=1,DD$1=Units!$Q45),IF(Units!$J45&lt;&gt;"",Units!$J45,Mkt!DD46),Inputs!$B$15*Mkt!DD46+(1-Inputs!$B$15)*MIN(Mkt!DD46,DC46*(1+Inputs!$B$18))),DC46)))</f>
        <v>1640.46725539696</v>
      </c>
      <c r="DE46" s="11" t="n">
        <f aca="false">IF(DE$1&lt;Units!$P45,0,IF(AND(Units!$K45=0,DE$1=Units!$O45),Units!$R45,IF(AND(DE$1&gt;=Units!$Q45,MOD(DE$1-Units!$Q45,12)=0),IF(AND(Units!$L45=1,DE$1=Units!$Q45),IF(Units!$J45&lt;&gt;"",Units!$J45,Mkt!DE46),Inputs!$B$15*Mkt!DE46+(1-Inputs!$B$15)*MIN(Mkt!DE46,DD46*(1+Inputs!$B$18))),DD46)))</f>
        <v>1640.46725539696</v>
      </c>
      <c r="DF46" s="11" t="n">
        <f aca="false">IF(DF$1&lt;Units!$P45,0,IF(AND(Units!$K45=0,DF$1=Units!$O45),Units!$R45,IF(AND(DF$1&gt;=Units!$Q45,MOD(DF$1-Units!$Q45,12)=0),IF(AND(Units!$L45=1,DF$1=Units!$Q45),IF(Units!$J45&lt;&gt;"",Units!$J45,Mkt!DF46),Inputs!$B$15*Mkt!DF46+(1-Inputs!$B$15)*MIN(Mkt!DF46,DE46*(1+Inputs!$B$18))),DE46)))</f>
        <v>1640.46725539696</v>
      </c>
      <c r="DG46" s="11" t="n">
        <f aca="false">IF(DG$1&lt;Units!$P45,0,IF(AND(Units!$K45=0,DG$1=Units!$O45),Units!$R45,IF(AND(DG$1&gt;=Units!$Q45,MOD(DG$1-Units!$Q45,12)=0),IF(AND(Units!$L45=1,DG$1=Units!$Q45),IF(Units!$J45&lt;&gt;"",Units!$J45,Mkt!DG46),Inputs!$B$15*Mkt!DG46+(1-Inputs!$B$15)*MIN(Mkt!DG46,DF46*(1+Inputs!$B$18))),DF46)))</f>
        <v>1689.68127305887</v>
      </c>
      <c r="DH46" s="11" t="n">
        <f aca="false">IF(DH$1&lt;Units!$P45,0,IF(AND(Units!$K45=0,DH$1=Units!$O45),Units!$R45,IF(AND(DH$1&gt;=Units!$Q45,MOD(DH$1-Units!$Q45,12)=0),IF(AND(Units!$L45=1,DH$1=Units!$Q45),IF(Units!$J45&lt;&gt;"",Units!$J45,Mkt!DH46),Inputs!$B$15*Mkt!DH46+(1-Inputs!$B$15)*MIN(Mkt!DH46,DG46*(1+Inputs!$B$18))),DG46)))</f>
        <v>1689.68127305887</v>
      </c>
      <c r="DI46" s="11" t="n">
        <f aca="false">IF(DI$1&lt;Units!$P45,0,IF(AND(Units!$K45=0,DI$1=Units!$O45),Units!$R45,IF(AND(DI$1&gt;=Units!$Q45,MOD(DI$1-Units!$Q45,12)=0),IF(AND(Units!$L45=1,DI$1=Units!$Q45),IF(Units!$J45&lt;&gt;"",Units!$J45,Mkt!DI46),Inputs!$B$15*Mkt!DI46+(1-Inputs!$B$15)*MIN(Mkt!DI46,DH46*(1+Inputs!$B$18))),DH46)))</f>
        <v>1689.68127305887</v>
      </c>
      <c r="DJ46" s="11" t="n">
        <f aca="false">IF(DJ$1&lt;Units!$P45,0,IF(AND(Units!$K45=0,DJ$1=Units!$O45),Units!$R45,IF(AND(DJ$1&gt;=Units!$Q45,MOD(DJ$1-Units!$Q45,12)=0),IF(AND(Units!$L45=1,DJ$1=Units!$Q45),IF(Units!$J45&lt;&gt;"",Units!$J45,Mkt!DJ46),Inputs!$B$15*Mkt!DJ46+(1-Inputs!$B$15)*MIN(Mkt!DJ46,DI46*(1+Inputs!$B$18))),DI46)))</f>
        <v>1689.68127305887</v>
      </c>
      <c r="DK46" s="11" t="n">
        <f aca="false">IF(DK$1&lt;Units!$P45,0,IF(AND(Units!$K45=0,DK$1=Units!$O45),Units!$R45,IF(AND(DK$1&gt;=Units!$Q45,MOD(DK$1-Units!$Q45,12)=0),IF(AND(Units!$L45=1,DK$1=Units!$Q45),IF(Units!$J45&lt;&gt;"",Units!$J45,Mkt!DK46),Inputs!$B$15*Mkt!DK46+(1-Inputs!$B$15)*MIN(Mkt!DK46,DJ46*(1+Inputs!$B$18))),DJ46)))</f>
        <v>1689.68127305887</v>
      </c>
      <c r="DL46" s="11" t="n">
        <f aca="false">IF(DL$1&lt;Units!$P45,0,IF(AND(Units!$K45=0,DL$1=Units!$O45),Units!$R45,IF(AND(DL$1&gt;=Units!$Q45,MOD(DL$1-Units!$Q45,12)=0),IF(AND(Units!$L45=1,DL$1=Units!$Q45),IF(Units!$J45&lt;&gt;"",Units!$J45,Mkt!DL46),Inputs!$B$15*Mkt!DL46+(1-Inputs!$B$15)*MIN(Mkt!DL46,DK46*(1+Inputs!$B$18))),DK46)))</f>
        <v>1689.68127305887</v>
      </c>
      <c r="DM46" s="11" t="n">
        <f aca="false">IF(DM$1&lt;Units!$P45,0,IF(AND(Units!$K45=0,DM$1=Units!$O45),Units!$R45,IF(AND(DM$1&gt;=Units!$Q45,MOD(DM$1-Units!$Q45,12)=0),IF(AND(Units!$L45=1,DM$1=Units!$Q45),IF(Units!$J45&lt;&gt;"",Units!$J45,Mkt!DM46),Inputs!$B$15*Mkt!DM46+(1-Inputs!$B$15)*MIN(Mkt!DM46,DL46*(1+Inputs!$B$18))),DL46)))</f>
        <v>1689.68127305887</v>
      </c>
      <c r="DN46" s="11" t="n">
        <f aca="false">IF(DN$1&lt;Units!$P45,0,IF(AND(Units!$K45=0,DN$1=Units!$O45),Units!$R45,IF(AND(DN$1&gt;=Units!$Q45,MOD(DN$1-Units!$Q45,12)=0),IF(AND(Units!$L45=1,DN$1=Units!$Q45),IF(Units!$J45&lt;&gt;"",Units!$J45,Mkt!DN46),Inputs!$B$15*Mkt!DN46+(1-Inputs!$B$15)*MIN(Mkt!DN46,DM46*(1+Inputs!$B$18))),DM46)))</f>
        <v>1689.68127305887</v>
      </c>
      <c r="DO46" s="11" t="n">
        <f aca="false">IF(DO$1&lt;Units!$P45,0,IF(AND(Units!$K45=0,DO$1=Units!$O45),Units!$R45,IF(AND(DO$1&gt;=Units!$Q45,MOD(DO$1-Units!$Q45,12)=0),IF(AND(Units!$L45=1,DO$1=Units!$Q45),IF(Units!$J45&lt;&gt;"",Units!$J45,Mkt!DO46),Inputs!$B$15*Mkt!DO46+(1-Inputs!$B$15)*MIN(Mkt!DO46,DN46*(1+Inputs!$B$18))),DN46)))</f>
        <v>1689.68127305887</v>
      </c>
      <c r="DP46" s="11" t="n">
        <f aca="false">IF(DP$1&lt;Units!$P45,0,IF(AND(Units!$K45=0,DP$1=Units!$O45),Units!$R45,IF(AND(DP$1&gt;=Units!$Q45,MOD(DP$1-Units!$Q45,12)=0),IF(AND(Units!$L45=1,DP$1=Units!$Q45),IF(Units!$J45&lt;&gt;"",Units!$J45,Mkt!DP46),Inputs!$B$15*Mkt!DP46+(1-Inputs!$B$15)*MIN(Mkt!DP46,DO46*(1+Inputs!$B$18))),DO46)))</f>
        <v>1689.68127305887</v>
      </c>
      <c r="DQ46" s="11" t="n">
        <f aca="false">IF(DQ$1&lt;Units!$P45,0,IF(AND(Units!$K45=0,DQ$1=Units!$O45),Units!$R45,IF(AND(DQ$1&gt;=Units!$Q45,MOD(DQ$1-Units!$Q45,12)=0),IF(AND(Units!$L45=1,DQ$1=Units!$Q45),IF(Units!$J45&lt;&gt;"",Units!$J45,Mkt!DQ46),Inputs!$B$15*Mkt!DQ46+(1-Inputs!$B$15)*MIN(Mkt!DQ46,DP46*(1+Inputs!$B$18))),DP46)))</f>
        <v>1689.68127305887</v>
      </c>
      <c r="DR46" s="11" t="n">
        <f aca="false">IF(DR$1&lt;Units!$P45,0,IF(AND(Units!$K45=0,DR$1=Units!$O45),Units!$R45,IF(AND(DR$1&gt;=Units!$Q45,MOD(DR$1-Units!$Q45,12)=0),IF(AND(Units!$L45=1,DR$1=Units!$Q45),IF(Units!$J45&lt;&gt;"",Units!$J45,Mkt!DR46),Inputs!$B$15*Mkt!DR46+(1-Inputs!$B$15)*MIN(Mkt!DR46,DQ46*(1+Inputs!$B$18))),DQ46)))</f>
        <v>1689.68127305887</v>
      </c>
      <c r="DS46" s="11" t="n">
        <f aca="false">IF(DS$1&lt;Units!$P45,0,IF(AND(Units!$K45=0,DS$1=Units!$O45),Units!$R45,IF(AND(DS$1&gt;=Units!$Q45,MOD(DS$1-Units!$Q45,12)=0),IF(AND(Units!$L45=1,DS$1=Units!$Q45),IF(Units!$J45&lt;&gt;"",Units!$J45,Mkt!DS46),Inputs!$B$15*Mkt!DS46+(1-Inputs!$B$15)*MIN(Mkt!DS46,DR46*(1+Inputs!$B$18))),DR46)))</f>
        <v>1740.37171125064</v>
      </c>
      <c r="DT46" s="11" t="n">
        <f aca="false">IF(DT$1&lt;Units!$P45,0,IF(AND(Units!$K45=0,DT$1=Units!$O45),Units!$R45,IF(AND(DT$1&gt;=Units!$Q45,MOD(DT$1-Units!$Q45,12)=0),IF(AND(Units!$L45=1,DT$1=Units!$Q45),IF(Units!$J45&lt;&gt;"",Units!$J45,Mkt!DT46),Inputs!$B$15*Mkt!DT46+(1-Inputs!$B$15)*MIN(Mkt!DT46,DS46*(1+Inputs!$B$18))),DS46)))</f>
        <v>1740.37171125064</v>
      </c>
      <c r="DU46" s="11" t="n">
        <f aca="false">IF(DU$1&lt;Units!$P45,0,IF(AND(Units!$K45=0,DU$1=Units!$O45),Units!$R45,IF(AND(DU$1&gt;=Units!$Q45,MOD(DU$1-Units!$Q45,12)=0),IF(AND(Units!$L45=1,DU$1=Units!$Q45),IF(Units!$J45&lt;&gt;"",Units!$J45,Mkt!DU46),Inputs!$B$15*Mkt!DU46+(1-Inputs!$B$15)*MIN(Mkt!DU46,DT46*(1+Inputs!$B$18))),DT46)))</f>
        <v>1740.37171125064</v>
      </c>
      <c r="DV46" s="11" t="n">
        <f aca="false">IF(DV$1&lt;Units!$P45,0,IF(AND(Units!$K45=0,DV$1=Units!$O45),Units!$R45,IF(AND(DV$1&gt;=Units!$Q45,MOD(DV$1-Units!$Q45,12)=0),IF(AND(Units!$L45=1,DV$1=Units!$Q45),IF(Units!$J45&lt;&gt;"",Units!$J45,Mkt!DV46),Inputs!$B$15*Mkt!DV46+(1-Inputs!$B$15)*MIN(Mkt!DV46,DU46*(1+Inputs!$B$18))),DU46)))</f>
        <v>1740.37171125064</v>
      </c>
      <c r="DW46" s="11" t="n">
        <f aca="false">IF(DW$1&lt;Units!$P45,0,IF(AND(Units!$K45=0,DW$1=Units!$O45),Units!$R45,IF(AND(DW$1&gt;=Units!$Q45,MOD(DW$1-Units!$Q45,12)=0),IF(AND(Units!$L45=1,DW$1=Units!$Q45),IF(Units!$J45&lt;&gt;"",Units!$J45,Mkt!DW46),Inputs!$B$15*Mkt!DW46+(1-Inputs!$B$15)*MIN(Mkt!DW46,DV46*(1+Inputs!$B$18))),DV46)))</f>
        <v>1740.37171125064</v>
      </c>
      <c r="DX46" s="11" t="n">
        <f aca="false">IF(DX$1&lt;Units!$P45,0,IF(AND(Units!$K45=0,DX$1=Units!$O45),Units!$R45,IF(AND(DX$1&gt;=Units!$Q45,MOD(DX$1-Units!$Q45,12)=0),IF(AND(Units!$L45=1,DX$1=Units!$Q45),IF(Units!$J45&lt;&gt;"",Units!$J45,Mkt!DX46),Inputs!$B$15*Mkt!DX46+(1-Inputs!$B$15)*MIN(Mkt!DX46,DW46*(1+Inputs!$B$18))),DW46)))</f>
        <v>1740.37171125064</v>
      </c>
      <c r="DY46" s="11" t="n">
        <f aca="false">IF(DY$1&lt;Units!$P45,0,IF(AND(Units!$K45=0,DY$1=Units!$O45),Units!$R45,IF(AND(DY$1&gt;=Units!$Q45,MOD(DY$1-Units!$Q45,12)=0),IF(AND(Units!$L45=1,DY$1=Units!$Q45),IF(Units!$J45&lt;&gt;"",Units!$J45,Mkt!DY46),Inputs!$B$15*Mkt!DY46+(1-Inputs!$B$15)*MIN(Mkt!DY46,DX46*(1+Inputs!$B$18))),DX46)))</f>
        <v>1740.37171125064</v>
      </c>
      <c r="DZ46" s="11" t="n">
        <f aca="false">IF(DZ$1&lt;Units!$P45,0,IF(AND(Units!$K45=0,DZ$1=Units!$O45),Units!$R45,IF(AND(DZ$1&gt;=Units!$Q45,MOD(DZ$1-Units!$Q45,12)=0),IF(AND(Units!$L45=1,DZ$1=Units!$Q45),IF(Units!$J45&lt;&gt;"",Units!$J45,Mkt!DZ46),Inputs!$B$15*Mkt!DZ46+(1-Inputs!$B$15)*MIN(Mkt!DZ46,DY46*(1+Inputs!$B$18))),DY46)))</f>
        <v>1740.37171125064</v>
      </c>
      <c r="EA46" s="11" t="n">
        <f aca="false">IF(EA$1&lt;Units!$P45,0,IF(AND(Units!$K45=0,EA$1=Units!$O45),Units!$R45,IF(AND(EA$1&gt;=Units!$Q45,MOD(EA$1-Units!$Q45,12)=0),IF(AND(Units!$L45=1,EA$1=Units!$Q45),IF(Units!$J45&lt;&gt;"",Units!$J45,Mkt!EA46),Inputs!$B$15*Mkt!EA46+(1-Inputs!$B$15)*MIN(Mkt!EA46,DZ46*(1+Inputs!$B$18))),DZ46)))</f>
        <v>1740.37171125064</v>
      </c>
      <c r="EB46" s="11" t="n">
        <f aca="false">IF(EB$1&lt;Units!$P45,0,IF(AND(Units!$K45=0,EB$1=Units!$O45),Units!$R45,IF(AND(EB$1&gt;=Units!$Q45,MOD(EB$1-Units!$Q45,12)=0),IF(AND(Units!$L45=1,EB$1=Units!$Q45),IF(Units!$J45&lt;&gt;"",Units!$J45,Mkt!EB46),Inputs!$B$15*Mkt!EB46+(1-Inputs!$B$15)*MIN(Mkt!EB46,EA46*(1+Inputs!$B$18))),EA46)))</f>
        <v>1740.37171125064</v>
      </c>
      <c r="EC46" s="11" t="n">
        <f aca="false">IF(EC$1&lt;Units!$P45,0,IF(AND(Units!$K45=0,EC$1=Units!$O45),Units!$R45,IF(AND(EC$1&gt;=Units!$Q45,MOD(EC$1-Units!$Q45,12)=0),IF(AND(Units!$L45=1,EC$1=Units!$Q45),IF(Units!$J45&lt;&gt;"",Units!$J45,Mkt!EC46),Inputs!$B$15*Mkt!EC46+(1-Inputs!$B$15)*MIN(Mkt!EC46,EB46*(1+Inputs!$B$18))),EB46)))</f>
        <v>1740.37171125064</v>
      </c>
      <c r="ED46" s="11" t="n">
        <f aca="false">IF(ED$1&lt;Units!$P45,0,IF(AND(Units!$K45=0,ED$1=Units!$O45),Units!$R45,IF(AND(ED$1&gt;=Units!$Q45,MOD(ED$1-Units!$Q45,12)=0),IF(AND(Units!$L45=1,ED$1=Units!$Q45),IF(Units!$J45&lt;&gt;"",Units!$J45,Mkt!ED46),Inputs!$B$15*Mkt!ED46+(1-Inputs!$B$15)*MIN(Mkt!ED46,EC46*(1+Inputs!$B$18))),EC46)))</f>
        <v>1740.37171125064</v>
      </c>
    </row>
    <row r="47" customFormat="false" ht="15" hidden="false" customHeight="false" outlineLevel="0" collapsed="false">
      <c r="A47" s="22" t="n">
        <f aca="false">Units!A46</f>
        <v>215</v>
      </c>
      <c r="B47" s="24" t="n">
        <f aca="false">IF(Units!K46=1,Units!F46,0)</f>
        <v>1310</v>
      </c>
      <c r="C47" s="11" t="n">
        <f aca="false">IF(C$1&lt;Units!$P46,0,IF(AND(Units!$K46=0,C$1=Units!$O46),Units!$R46,IF(AND(C$1&gt;=Units!$Q46,MOD(C$1-Units!$Q46,12)=0),IF(AND(Units!$L46=1,C$1=Units!$Q46),IF(Units!$J46&lt;&gt;"",Units!$J46,Mkt!C47),Inputs!$B$15*Mkt!C47+(1-Inputs!$B$15)*MIN(Mkt!C47,B47*(1+Inputs!$B$18))),B47)))</f>
        <v>1310</v>
      </c>
      <c r="D47" s="11" t="n">
        <f aca="false">IF(D$1&lt;Units!$P46,0,IF(AND(Units!$K46=0,D$1=Units!$O46),Units!$R46,IF(AND(D$1&gt;=Units!$Q46,MOD(D$1-Units!$Q46,12)=0),IF(AND(Units!$L46=1,D$1=Units!$Q46),IF(Units!$J46&lt;&gt;"",Units!$J46,Mkt!D47),Inputs!$B$15*Mkt!D47+(1-Inputs!$B$15)*MIN(Mkt!D47,C47*(1+Inputs!$B$18))),C47)))</f>
        <v>1310</v>
      </c>
      <c r="E47" s="11" t="n">
        <f aca="false">IF(E$1&lt;Units!$P46,0,IF(AND(Units!$K46=0,E$1=Units!$O46),Units!$R46,IF(AND(E$1&gt;=Units!$Q46,MOD(E$1-Units!$Q46,12)=0),IF(AND(Units!$L46=1,E$1=Units!$Q46),IF(Units!$J46&lt;&gt;"",Units!$J46,Mkt!E47),Inputs!$B$15*Mkt!E47+(1-Inputs!$B$15)*MIN(Mkt!E47,D47*(1+Inputs!$B$18))),D47)))</f>
        <v>1310</v>
      </c>
      <c r="F47" s="11" t="n">
        <f aca="false">IF(F$1&lt;Units!$P46,0,IF(AND(Units!$K46=0,F$1=Units!$O46),Units!$R46,IF(AND(F$1&gt;=Units!$Q46,MOD(F$1-Units!$Q46,12)=0),IF(AND(Units!$L46=1,F$1=Units!$Q46),IF(Units!$J46&lt;&gt;"",Units!$J46,Mkt!F47),Inputs!$B$15*Mkt!F47+(1-Inputs!$B$15)*MIN(Mkt!F47,E47*(1+Inputs!$B$18))),E47)))</f>
        <v>1310</v>
      </c>
      <c r="G47" s="11" t="n">
        <f aca="false">IF(G$1&lt;Units!$P46,0,IF(AND(Units!$K46=0,G$1=Units!$O46),Units!$R46,IF(AND(G$1&gt;=Units!$Q46,MOD(G$1-Units!$Q46,12)=0),IF(AND(Units!$L46=1,G$1=Units!$Q46),IF(Units!$J46&lt;&gt;"",Units!$J46,Mkt!G47),Inputs!$B$15*Mkt!G47+(1-Inputs!$B$15)*MIN(Mkt!G47,F47*(1+Inputs!$B$18))),F47)))</f>
        <v>1310</v>
      </c>
      <c r="H47" s="11" t="n">
        <f aca="false">IF(H$1&lt;Units!$P46,0,IF(AND(Units!$K46=0,H$1=Units!$O46),Units!$R46,IF(AND(H$1&gt;=Units!$Q46,MOD(H$1-Units!$Q46,12)=0),IF(AND(Units!$L46=1,H$1=Units!$Q46),IF(Units!$J46&lt;&gt;"",Units!$J46,Mkt!H47),Inputs!$B$15*Mkt!H47+(1-Inputs!$B$15)*MIN(Mkt!H47,G47*(1+Inputs!$B$18))),G47)))</f>
        <v>1310</v>
      </c>
      <c r="I47" s="11" t="n">
        <f aca="false">IF(I$1&lt;Units!$P46,0,IF(AND(Units!$K46=0,I$1=Units!$O46),Units!$R46,IF(AND(I$1&gt;=Units!$Q46,MOD(I$1-Units!$Q46,12)=0),IF(AND(Units!$L46=1,I$1=Units!$Q46),IF(Units!$J46&lt;&gt;"",Units!$J46,Mkt!I47),Inputs!$B$15*Mkt!I47+(1-Inputs!$B$15)*MIN(Mkt!I47,H47*(1+Inputs!$B$18))),H47)))</f>
        <v>1310</v>
      </c>
      <c r="J47" s="11" t="n">
        <f aca="false">IF(J$1&lt;Units!$P46,0,IF(AND(Units!$K46=0,J$1=Units!$O46),Units!$R46,IF(AND(J$1&gt;=Units!$Q46,MOD(J$1-Units!$Q46,12)=0),IF(AND(Units!$L46=1,J$1=Units!$Q46),IF(Units!$J46&lt;&gt;"",Units!$J46,Mkt!J47),Inputs!$B$15*Mkt!J47+(1-Inputs!$B$15)*MIN(Mkt!J47,I47*(1+Inputs!$B$18))),I47)))</f>
        <v>1310</v>
      </c>
      <c r="K47" s="11" t="n">
        <f aca="false">IF(K$1&lt;Units!$P46,0,IF(AND(Units!$K46=0,K$1=Units!$O46),Units!$R46,IF(AND(K$1&gt;=Units!$Q46,MOD(K$1-Units!$Q46,12)=0),IF(AND(Units!$L46=1,K$1=Units!$Q46),IF(Units!$J46&lt;&gt;"",Units!$J46,Mkt!K47),Inputs!$B$15*Mkt!K47+(1-Inputs!$B$15)*MIN(Mkt!K47,J47*(1+Inputs!$B$18))),J47)))</f>
        <v>1310</v>
      </c>
      <c r="L47" s="11" t="n">
        <f aca="false">IF(L$1&lt;Units!$P46,0,IF(AND(Units!$K46=0,L$1=Units!$O46),Units!$R46,IF(AND(L$1&gt;=Units!$Q46,MOD(L$1-Units!$Q46,12)=0),IF(AND(Units!$L46=1,L$1=Units!$Q46),IF(Units!$J46&lt;&gt;"",Units!$J46,Mkt!L47),Inputs!$B$15*Mkt!L47+(1-Inputs!$B$15)*MIN(Mkt!L47,K47*(1+Inputs!$B$18))),K47)))</f>
        <v>1310</v>
      </c>
      <c r="M47" s="11" t="n">
        <f aca="false">IF(M$1&lt;Units!$P46,0,IF(AND(Units!$K46=0,M$1=Units!$O46),Units!$R46,IF(AND(M$1&gt;=Units!$Q46,MOD(M$1-Units!$Q46,12)=0),IF(AND(Units!$L46=1,M$1=Units!$Q46),IF(Units!$J46&lt;&gt;"",Units!$J46,Mkt!M47),Inputs!$B$15*Mkt!M47+(1-Inputs!$B$15)*MIN(Mkt!M47,L47*(1+Inputs!$B$18))),L47)))</f>
        <v>1295</v>
      </c>
      <c r="N47" s="11" t="n">
        <f aca="false">IF(N$1&lt;Units!$P46,0,IF(AND(Units!$K46=0,N$1=Units!$O46),Units!$R46,IF(AND(N$1&gt;=Units!$Q46,MOD(N$1-Units!$Q46,12)=0),IF(AND(Units!$L46=1,N$1=Units!$Q46),IF(Units!$J46&lt;&gt;"",Units!$J46,Mkt!N47),Inputs!$B$15*Mkt!N47+(1-Inputs!$B$15)*MIN(Mkt!N47,M47*(1+Inputs!$B$18))),M47)))</f>
        <v>1295</v>
      </c>
      <c r="O47" s="11" t="n">
        <f aca="false">IF(O$1&lt;Units!$P46,0,IF(AND(Units!$K46=0,O$1=Units!$O46),Units!$R46,IF(AND(O$1&gt;=Units!$Q46,MOD(O$1-Units!$Q46,12)=0),IF(AND(Units!$L46=1,O$1=Units!$Q46),IF(Units!$J46&lt;&gt;"",Units!$J46,Mkt!O47),Inputs!$B$15*Mkt!O47+(1-Inputs!$B$15)*MIN(Mkt!O47,N47*(1+Inputs!$B$18))),N47)))</f>
        <v>1295</v>
      </c>
      <c r="P47" s="11" t="n">
        <f aca="false">IF(P$1&lt;Units!$P46,0,IF(AND(Units!$K46=0,P$1=Units!$O46),Units!$R46,IF(AND(P$1&gt;=Units!$Q46,MOD(P$1-Units!$Q46,12)=0),IF(AND(Units!$L46=1,P$1=Units!$Q46),IF(Units!$J46&lt;&gt;"",Units!$J46,Mkt!P47),Inputs!$B$15*Mkt!P47+(1-Inputs!$B$15)*MIN(Mkt!P47,O47*(1+Inputs!$B$18))),O47)))</f>
        <v>1295</v>
      </c>
      <c r="Q47" s="11" t="n">
        <f aca="false">IF(Q$1&lt;Units!$P46,0,IF(AND(Units!$K46=0,Q$1=Units!$O46),Units!$R46,IF(AND(Q$1&gt;=Units!$Q46,MOD(Q$1-Units!$Q46,12)=0),IF(AND(Units!$L46=1,Q$1=Units!$Q46),IF(Units!$J46&lt;&gt;"",Units!$J46,Mkt!Q47),Inputs!$B$15*Mkt!Q47+(1-Inputs!$B$15)*MIN(Mkt!Q47,P47*(1+Inputs!$B$18))),P47)))</f>
        <v>1295</v>
      </c>
      <c r="R47" s="11" t="n">
        <f aca="false">IF(R$1&lt;Units!$P46,0,IF(AND(Units!$K46=0,R$1=Units!$O46),Units!$R46,IF(AND(R$1&gt;=Units!$Q46,MOD(R$1-Units!$Q46,12)=0),IF(AND(Units!$L46=1,R$1=Units!$Q46),IF(Units!$J46&lt;&gt;"",Units!$J46,Mkt!R47),Inputs!$B$15*Mkt!R47+(1-Inputs!$B$15)*MIN(Mkt!R47,Q47*(1+Inputs!$B$18))),Q47)))</f>
        <v>1295</v>
      </c>
      <c r="S47" s="11" t="n">
        <f aca="false">IF(S$1&lt;Units!$P46,0,IF(AND(Units!$K46=0,S$1=Units!$O46),Units!$R46,IF(AND(S$1&gt;=Units!$Q46,MOD(S$1-Units!$Q46,12)=0),IF(AND(Units!$L46=1,S$1=Units!$Q46),IF(Units!$J46&lt;&gt;"",Units!$J46,Mkt!S47),Inputs!$B$15*Mkt!S47+(1-Inputs!$B$15)*MIN(Mkt!S47,R47*(1+Inputs!$B$18))),R47)))</f>
        <v>1295</v>
      </c>
      <c r="T47" s="11" t="n">
        <f aca="false">IF(T$1&lt;Units!$P46,0,IF(AND(Units!$K46=0,T$1=Units!$O46),Units!$R46,IF(AND(T$1&gt;=Units!$Q46,MOD(T$1-Units!$Q46,12)=0),IF(AND(Units!$L46=1,T$1=Units!$Q46),IF(Units!$J46&lt;&gt;"",Units!$J46,Mkt!T47),Inputs!$B$15*Mkt!T47+(1-Inputs!$B$15)*MIN(Mkt!T47,S47*(1+Inputs!$B$18))),S47)))</f>
        <v>1295</v>
      </c>
      <c r="U47" s="11" t="n">
        <f aca="false">IF(U$1&lt;Units!$P46,0,IF(AND(Units!$K46=0,U$1=Units!$O46),Units!$R46,IF(AND(U$1&gt;=Units!$Q46,MOD(U$1-Units!$Q46,12)=0),IF(AND(Units!$L46=1,U$1=Units!$Q46),IF(Units!$J46&lt;&gt;"",Units!$J46,Mkt!U47),Inputs!$B$15*Mkt!U47+(1-Inputs!$B$15)*MIN(Mkt!U47,T47*(1+Inputs!$B$18))),T47)))</f>
        <v>1295</v>
      </c>
      <c r="V47" s="11" t="n">
        <f aca="false">IF(V$1&lt;Units!$P46,0,IF(AND(Units!$K46=0,V$1=Units!$O46),Units!$R46,IF(AND(V$1&gt;=Units!$Q46,MOD(V$1-Units!$Q46,12)=0),IF(AND(Units!$L46=1,V$1=Units!$Q46),IF(Units!$J46&lt;&gt;"",Units!$J46,Mkt!V47),Inputs!$B$15*Mkt!V47+(1-Inputs!$B$15)*MIN(Mkt!V47,U47*(1+Inputs!$B$18))),U47)))</f>
        <v>1295</v>
      </c>
      <c r="W47" s="11" t="n">
        <f aca="false">IF(W$1&lt;Units!$P46,0,IF(AND(Units!$K46=0,W$1=Units!$O46),Units!$R46,IF(AND(W$1&gt;=Units!$Q46,MOD(W$1-Units!$Q46,12)=0),IF(AND(Units!$L46=1,W$1=Units!$Q46),IF(Units!$J46&lt;&gt;"",Units!$J46,Mkt!W47),Inputs!$B$15*Mkt!W47+(1-Inputs!$B$15)*MIN(Mkt!W47,V47*(1+Inputs!$B$18))),V47)))</f>
        <v>1295</v>
      </c>
      <c r="X47" s="11" t="n">
        <f aca="false">IF(X$1&lt;Units!$P46,0,IF(AND(Units!$K46=0,X$1=Units!$O46),Units!$R46,IF(AND(X$1&gt;=Units!$Q46,MOD(X$1-Units!$Q46,12)=0),IF(AND(Units!$L46=1,X$1=Units!$Q46),IF(Units!$J46&lt;&gt;"",Units!$J46,Mkt!X47),Inputs!$B$15*Mkt!X47+(1-Inputs!$B$15)*MIN(Mkt!X47,W47*(1+Inputs!$B$18))),W47)))</f>
        <v>1295</v>
      </c>
      <c r="Y47" s="11" t="n">
        <f aca="false">IF(Y$1&lt;Units!$P46,0,IF(AND(Units!$K46=0,Y$1=Units!$O46),Units!$R46,IF(AND(Y$1&gt;=Units!$Q46,MOD(Y$1-Units!$Q46,12)=0),IF(AND(Units!$L46=1,Y$1=Units!$Q46),IF(Units!$J46&lt;&gt;"",Units!$J46,Mkt!Y47),Inputs!$B$15*Mkt!Y47+(1-Inputs!$B$15)*MIN(Mkt!Y47,X47*(1+Inputs!$B$18))),X47)))</f>
        <v>1333.85</v>
      </c>
      <c r="Z47" s="11" t="n">
        <f aca="false">IF(Z$1&lt;Units!$P46,0,IF(AND(Units!$K46=0,Z$1=Units!$O46),Units!$R46,IF(AND(Z$1&gt;=Units!$Q46,MOD(Z$1-Units!$Q46,12)=0),IF(AND(Units!$L46=1,Z$1=Units!$Q46),IF(Units!$J46&lt;&gt;"",Units!$J46,Mkt!Z47),Inputs!$B$15*Mkt!Z47+(1-Inputs!$B$15)*MIN(Mkt!Z47,Y47*(1+Inputs!$B$18))),Y47)))</f>
        <v>1333.85</v>
      </c>
      <c r="AA47" s="11" t="n">
        <f aca="false">IF(AA$1&lt;Units!$P46,0,IF(AND(Units!$K46=0,AA$1=Units!$O46),Units!$R46,IF(AND(AA$1&gt;=Units!$Q46,MOD(AA$1-Units!$Q46,12)=0),IF(AND(Units!$L46=1,AA$1=Units!$Q46),IF(Units!$J46&lt;&gt;"",Units!$J46,Mkt!AA47),Inputs!$B$15*Mkt!AA47+(1-Inputs!$B$15)*MIN(Mkt!AA47,Z47*(1+Inputs!$B$18))),Z47)))</f>
        <v>1333.85</v>
      </c>
      <c r="AB47" s="11" t="n">
        <f aca="false">IF(AB$1&lt;Units!$P46,0,IF(AND(Units!$K46=0,AB$1=Units!$O46),Units!$R46,IF(AND(AB$1&gt;=Units!$Q46,MOD(AB$1-Units!$Q46,12)=0),IF(AND(Units!$L46=1,AB$1=Units!$Q46),IF(Units!$J46&lt;&gt;"",Units!$J46,Mkt!AB47),Inputs!$B$15*Mkt!AB47+(1-Inputs!$B$15)*MIN(Mkt!AB47,AA47*(1+Inputs!$B$18))),AA47)))</f>
        <v>1333.85</v>
      </c>
      <c r="AC47" s="11" t="n">
        <f aca="false">IF(AC$1&lt;Units!$P46,0,IF(AND(Units!$K46=0,AC$1=Units!$O46),Units!$R46,IF(AND(AC$1&gt;=Units!$Q46,MOD(AC$1-Units!$Q46,12)=0),IF(AND(Units!$L46=1,AC$1=Units!$Q46),IF(Units!$J46&lt;&gt;"",Units!$J46,Mkt!AC47),Inputs!$B$15*Mkt!AC47+(1-Inputs!$B$15)*MIN(Mkt!AC47,AB47*(1+Inputs!$B$18))),AB47)))</f>
        <v>1333.85</v>
      </c>
      <c r="AD47" s="11" t="n">
        <f aca="false">IF(AD$1&lt;Units!$P46,0,IF(AND(Units!$K46=0,AD$1=Units!$O46),Units!$R46,IF(AND(AD$1&gt;=Units!$Q46,MOD(AD$1-Units!$Q46,12)=0),IF(AND(Units!$L46=1,AD$1=Units!$Q46),IF(Units!$J46&lt;&gt;"",Units!$J46,Mkt!AD47),Inputs!$B$15*Mkt!AD47+(1-Inputs!$B$15)*MIN(Mkt!AD47,AC47*(1+Inputs!$B$18))),AC47)))</f>
        <v>1333.85</v>
      </c>
      <c r="AE47" s="11" t="n">
        <f aca="false">IF(AE$1&lt;Units!$P46,0,IF(AND(Units!$K46=0,AE$1=Units!$O46),Units!$R46,IF(AND(AE$1&gt;=Units!$Q46,MOD(AE$1-Units!$Q46,12)=0),IF(AND(Units!$L46=1,AE$1=Units!$Q46),IF(Units!$J46&lt;&gt;"",Units!$J46,Mkt!AE47),Inputs!$B$15*Mkt!AE47+(1-Inputs!$B$15)*MIN(Mkt!AE47,AD47*(1+Inputs!$B$18))),AD47)))</f>
        <v>1333.85</v>
      </c>
      <c r="AF47" s="11" t="n">
        <f aca="false">IF(AF$1&lt;Units!$P46,0,IF(AND(Units!$K46=0,AF$1=Units!$O46),Units!$R46,IF(AND(AF$1&gt;=Units!$Q46,MOD(AF$1-Units!$Q46,12)=0),IF(AND(Units!$L46=1,AF$1=Units!$Q46),IF(Units!$J46&lt;&gt;"",Units!$J46,Mkt!AF47),Inputs!$B$15*Mkt!AF47+(1-Inputs!$B$15)*MIN(Mkt!AF47,AE47*(1+Inputs!$B$18))),AE47)))</f>
        <v>1333.85</v>
      </c>
      <c r="AG47" s="11" t="n">
        <f aca="false">IF(AG$1&lt;Units!$P46,0,IF(AND(Units!$K46=0,AG$1=Units!$O46),Units!$R46,IF(AND(AG$1&gt;=Units!$Q46,MOD(AG$1-Units!$Q46,12)=0),IF(AND(Units!$L46=1,AG$1=Units!$Q46),IF(Units!$J46&lt;&gt;"",Units!$J46,Mkt!AG47),Inputs!$B$15*Mkt!AG47+(1-Inputs!$B$15)*MIN(Mkt!AG47,AF47*(1+Inputs!$B$18))),AF47)))</f>
        <v>1333.85</v>
      </c>
      <c r="AH47" s="11" t="n">
        <f aca="false">IF(AH$1&lt;Units!$P46,0,IF(AND(Units!$K46=0,AH$1=Units!$O46),Units!$R46,IF(AND(AH$1&gt;=Units!$Q46,MOD(AH$1-Units!$Q46,12)=0),IF(AND(Units!$L46=1,AH$1=Units!$Q46),IF(Units!$J46&lt;&gt;"",Units!$J46,Mkt!AH47),Inputs!$B$15*Mkt!AH47+(1-Inputs!$B$15)*MIN(Mkt!AH47,AG47*(1+Inputs!$B$18))),AG47)))</f>
        <v>1333.85</v>
      </c>
      <c r="AI47" s="11" t="n">
        <f aca="false">IF(AI$1&lt;Units!$P46,0,IF(AND(Units!$K46=0,AI$1=Units!$O46),Units!$R46,IF(AND(AI$1&gt;=Units!$Q46,MOD(AI$1-Units!$Q46,12)=0),IF(AND(Units!$L46=1,AI$1=Units!$Q46),IF(Units!$J46&lt;&gt;"",Units!$J46,Mkt!AI47),Inputs!$B$15*Mkt!AI47+(1-Inputs!$B$15)*MIN(Mkt!AI47,AH47*(1+Inputs!$B$18))),AH47)))</f>
        <v>1333.85</v>
      </c>
      <c r="AJ47" s="11" t="n">
        <f aca="false">IF(AJ$1&lt;Units!$P46,0,IF(AND(Units!$K46=0,AJ$1=Units!$O46),Units!$R46,IF(AND(AJ$1&gt;=Units!$Q46,MOD(AJ$1-Units!$Q46,12)=0),IF(AND(Units!$L46=1,AJ$1=Units!$Q46),IF(Units!$J46&lt;&gt;"",Units!$J46,Mkt!AJ47),Inputs!$B$15*Mkt!AJ47+(1-Inputs!$B$15)*MIN(Mkt!AJ47,AI47*(1+Inputs!$B$18))),AI47)))</f>
        <v>1333.85</v>
      </c>
      <c r="AK47" s="11" t="n">
        <f aca="false">IF(AK$1&lt;Units!$P46,0,IF(AND(Units!$K46=0,AK$1=Units!$O46),Units!$R46,IF(AND(AK$1&gt;=Units!$Q46,MOD(AK$1-Units!$Q46,12)=0),IF(AND(Units!$L46=1,AK$1=Units!$Q46),IF(Units!$J46&lt;&gt;"",Units!$J46,Mkt!AK47),Inputs!$B$15*Mkt!AK47+(1-Inputs!$B$15)*MIN(Mkt!AK47,AJ47*(1+Inputs!$B$18))),AJ47)))</f>
        <v>1373.8655</v>
      </c>
      <c r="AL47" s="11" t="n">
        <f aca="false">IF(AL$1&lt;Units!$P46,0,IF(AND(Units!$K46=0,AL$1=Units!$O46),Units!$R46,IF(AND(AL$1&gt;=Units!$Q46,MOD(AL$1-Units!$Q46,12)=0),IF(AND(Units!$L46=1,AL$1=Units!$Q46),IF(Units!$J46&lt;&gt;"",Units!$J46,Mkt!AL47),Inputs!$B$15*Mkt!AL47+(1-Inputs!$B$15)*MIN(Mkt!AL47,AK47*(1+Inputs!$B$18))),AK47)))</f>
        <v>1373.8655</v>
      </c>
      <c r="AM47" s="11" t="n">
        <f aca="false">IF(AM$1&lt;Units!$P46,0,IF(AND(Units!$K46=0,AM$1=Units!$O46),Units!$R46,IF(AND(AM$1&gt;=Units!$Q46,MOD(AM$1-Units!$Q46,12)=0),IF(AND(Units!$L46=1,AM$1=Units!$Q46),IF(Units!$J46&lt;&gt;"",Units!$J46,Mkt!AM47),Inputs!$B$15*Mkt!AM47+(1-Inputs!$B$15)*MIN(Mkt!AM47,AL47*(1+Inputs!$B$18))),AL47)))</f>
        <v>1373.8655</v>
      </c>
      <c r="AN47" s="11" t="n">
        <f aca="false">IF(AN$1&lt;Units!$P46,0,IF(AND(Units!$K46=0,AN$1=Units!$O46),Units!$R46,IF(AND(AN$1&gt;=Units!$Q46,MOD(AN$1-Units!$Q46,12)=0),IF(AND(Units!$L46=1,AN$1=Units!$Q46),IF(Units!$J46&lt;&gt;"",Units!$J46,Mkt!AN47),Inputs!$B$15*Mkt!AN47+(1-Inputs!$B$15)*MIN(Mkt!AN47,AM47*(1+Inputs!$B$18))),AM47)))</f>
        <v>1373.8655</v>
      </c>
      <c r="AO47" s="11" t="n">
        <f aca="false">IF(AO$1&lt;Units!$P46,0,IF(AND(Units!$K46=0,AO$1=Units!$O46),Units!$R46,IF(AND(AO$1&gt;=Units!$Q46,MOD(AO$1-Units!$Q46,12)=0),IF(AND(Units!$L46=1,AO$1=Units!$Q46),IF(Units!$J46&lt;&gt;"",Units!$J46,Mkt!AO47),Inputs!$B$15*Mkt!AO47+(1-Inputs!$B$15)*MIN(Mkt!AO47,AN47*(1+Inputs!$B$18))),AN47)))</f>
        <v>1373.8655</v>
      </c>
      <c r="AP47" s="11" t="n">
        <f aca="false">IF(AP$1&lt;Units!$P46,0,IF(AND(Units!$K46=0,AP$1=Units!$O46),Units!$R46,IF(AND(AP$1&gt;=Units!$Q46,MOD(AP$1-Units!$Q46,12)=0),IF(AND(Units!$L46=1,AP$1=Units!$Q46),IF(Units!$J46&lt;&gt;"",Units!$J46,Mkt!AP47),Inputs!$B$15*Mkt!AP47+(1-Inputs!$B$15)*MIN(Mkt!AP47,AO47*(1+Inputs!$B$18))),AO47)))</f>
        <v>1373.8655</v>
      </c>
      <c r="AQ47" s="11" t="n">
        <f aca="false">IF(AQ$1&lt;Units!$P46,0,IF(AND(Units!$K46=0,AQ$1=Units!$O46),Units!$R46,IF(AND(AQ$1&gt;=Units!$Q46,MOD(AQ$1-Units!$Q46,12)=0),IF(AND(Units!$L46=1,AQ$1=Units!$Q46),IF(Units!$J46&lt;&gt;"",Units!$J46,Mkt!AQ47),Inputs!$B$15*Mkt!AQ47+(1-Inputs!$B$15)*MIN(Mkt!AQ47,AP47*(1+Inputs!$B$18))),AP47)))</f>
        <v>1373.8655</v>
      </c>
      <c r="AR47" s="11" t="n">
        <f aca="false">IF(AR$1&lt;Units!$P46,0,IF(AND(Units!$K46=0,AR$1=Units!$O46),Units!$R46,IF(AND(AR$1&gt;=Units!$Q46,MOD(AR$1-Units!$Q46,12)=0),IF(AND(Units!$L46=1,AR$1=Units!$Q46),IF(Units!$J46&lt;&gt;"",Units!$J46,Mkt!AR47),Inputs!$B$15*Mkt!AR47+(1-Inputs!$B$15)*MIN(Mkt!AR47,AQ47*(1+Inputs!$B$18))),AQ47)))</f>
        <v>1373.8655</v>
      </c>
      <c r="AS47" s="11" t="n">
        <f aca="false">IF(AS$1&lt;Units!$P46,0,IF(AND(Units!$K46=0,AS$1=Units!$O46),Units!$R46,IF(AND(AS$1&gt;=Units!$Q46,MOD(AS$1-Units!$Q46,12)=0),IF(AND(Units!$L46=1,AS$1=Units!$Q46),IF(Units!$J46&lt;&gt;"",Units!$J46,Mkt!AS47),Inputs!$B$15*Mkt!AS47+(1-Inputs!$B$15)*MIN(Mkt!AS47,AR47*(1+Inputs!$B$18))),AR47)))</f>
        <v>1373.8655</v>
      </c>
      <c r="AT47" s="11" t="n">
        <f aca="false">IF(AT$1&lt;Units!$P46,0,IF(AND(Units!$K46=0,AT$1=Units!$O46),Units!$R46,IF(AND(AT$1&gt;=Units!$Q46,MOD(AT$1-Units!$Q46,12)=0),IF(AND(Units!$L46=1,AT$1=Units!$Q46),IF(Units!$J46&lt;&gt;"",Units!$J46,Mkt!AT47),Inputs!$B$15*Mkt!AT47+(1-Inputs!$B$15)*MIN(Mkt!AT47,AS47*(1+Inputs!$B$18))),AS47)))</f>
        <v>1373.8655</v>
      </c>
      <c r="AU47" s="11" t="n">
        <f aca="false">IF(AU$1&lt;Units!$P46,0,IF(AND(Units!$K46=0,AU$1=Units!$O46),Units!$R46,IF(AND(AU$1&gt;=Units!$Q46,MOD(AU$1-Units!$Q46,12)=0),IF(AND(Units!$L46=1,AU$1=Units!$Q46),IF(Units!$J46&lt;&gt;"",Units!$J46,Mkt!AU47),Inputs!$B$15*Mkt!AU47+(1-Inputs!$B$15)*MIN(Mkt!AU47,AT47*(1+Inputs!$B$18))),AT47)))</f>
        <v>1373.8655</v>
      </c>
      <c r="AV47" s="11" t="n">
        <f aca="false">IF(AV$1&lt;Units!$P46,0,IF(AND(Units!$K46=0,AV$1=Units!$O46),Units!$R46,IF(AND(AV$1&gt;=Units!$Q46,MOD(AV$1-Units!$Q46,12)=0),IF(AND(Units!$L46=1,AV$1=Units!$Q46),IF(Units!$J46&lt;&gt;"",Units!$J46,Mkt!AV47),Inputs!$B$15*Mkt!AV47+(1-Inputs!$B$15)*MIN(Mkt!AV47,AU47*(1+Inputs!$B$18))),AU47)))</f>
        <v>1373.8655</v>
      </c>
      <c r="AW47" s="11" t="n">
        <f aca="false">IF(AW$1&lt;Units!$P46,0,IF(AND(Units!$K46=0,AW$1=Units!$O46),Units!$R46,IF(AND(AW$1&gt;=Units!$Q46,MOD(AW$1-Units!$Q46,12)=0),IF(AND(Units!$L46=1,AW$1=Units!$Q46),IF(Units!$J46&lt;&gt;"",Units!$J46,Mkt!AW47),Inputs!$B$15*Mkt!AW47+(1-Inputs!$B$15)*MIN(Mkt!AW47,AV47*(1+Inputs!$B$18))),AV47)))</f>
        <v>1415.081465</v>
      </c>
      <c r="AX47" s="11" t="n">
        <f aca="false">IF(AX$1&lt;Units!$P46,0,IF(AND(Units!$K46=0,AX$1=Units!$O46),Units!$R46,IF(AND(AX$1&gt;=Units!$Q46,MOD(AX$1-Units!$Q46,12)=0),IF(AND(Units!$L46=1,AX$1=Units!$Q46),IF(Units!$J46&lt;&gt;"",Units!$J46,Mkt!AX47),Inputs!$B$15*Mkt!AX47+(1-Inputs!$B$15)*MIN(Mkt!AX47,AW47*(1+Inputs!$B$18))),AW47)))</f>
        <v>1415.081465</v>
      </c>
      <c r="AY47" s="11" t="n">
        <f aca="false">IF(AY$1&lt;Units!$P46,0,IF(AND(Units!$K46=0,AY$1=Units!$O46),Units!$R46,IF(AND(AY$1&gt;=Units!$Q46,MOD(AY$1-Units!$Q46,12)=0),IF(AND(Units!$L46=1,AY$1=Units!$Q46),IF(Units!$J46&lt;&gt;"",Units!$J46,Mkt!AY47),Inputs!$B$15*Mkt!AY47+(1-Inputs!$B$15)*MIN(Mkt!AY47,AX47*(1+Inputs!$B$18))),AX47)))</f>
        <v>1415.081465</v>
      </c>
      <c r="AZ47" s="11" t="n">
        <f aca="false">IF(AZ$1&lt;Units!$P46,0,IF(AND(Units!$K46=0,AZ$1=Units!$O46),Units!$R46,IF(AND(AZ$1&gt;=Units!$Q46,MOD(AZ$1-Units!$Q46,12)=0),IF(AND(Units!$L46=1,AZ$1=Units!$Q46),IF(Units!$J46&lt;&gt;"",Units!$J46,Mkt!AZ47),Inputs!$B$15*Mkt!AZ47+(1-Inputs!$B$15)*MIN(Mkt!AZ47,AY47*(1+Inputs!$B$18))),AY47)))</f>
        <v>1415.081465</v>
      </c>
      <c r="BA47" s="11" t="n">
        <f aca="false">IF(BA$1&lt;Units!$P46,0,IF(AND(Units!$K46=0,BA$1=Units!$O46),Units!$R46,IF(AND(BA$1&gt;=Units!$Q46,MOD(BA$1-Units!$Q46,12)=0),IF(AND(Units!$L46=1,BA$1=Units!$Q46),IF(Units!$J46&lt;&gt;"",Units!$J46,Mkt!BA47),Inputs!$B$15*Mkt!BA47+(1-Inputs!$B$15)*MIN(Mkt!BA47,AZ47*(1+Inputs!$B$18))),AZ47)))</f>
        <v>1415.081465</v>
      </c>
      <c r="BB47" s="11" t="n">
        <f aca="false">IF(BB$1&lt;Units!$P46,0,IF(AND(Units!$K46=0,BB$1=Units!$O46),Units!$R46,IF(AND(BB$1&gt;=Units!$Q46,MOD(BB$1-Units!$Q46,12)=0),IF(AND(Units!$L46=1,BB$1=Units!$Q46),IF(Units!$J46&lt;&gt;"",Units!$J46,Mkt!BB47),Inputs!$B$15*Mkt!BB47+(1-Inputs!$B$15)*MIN(Mkt!BB47,BA47*(1+Inputs!$B$18))),BA47)))</f>
        <v>1415.081465</v>
      </c>
      <c r="BC47" s="11" t="n">
        <f aca="false">IF(BC$1&lt;Units!$P46,0,IF(AND(Units!$K46=0,BC$1=Units!$O46),Units!$R46,IF(AND(BC$1&gt;=Units!$Q46,MOD(BC$1-Units!$Q46,12)=0),IF(AND(Units!$L46=1,BC$1=Units!$Q46),IF(Units!$J46&lt;&gt;"",Units!$J46,Mkt!BC47),Inputs!$B$15*Mkt!BC47+(1-Inputs!$B$15)*MIN(Mkt!BC47,BB47*(1+Inputs!$B$18))),BB47)))</f>
        <v>1415.081465</v>
      </c>
      <c r="BD47" s="11" t="n">
        <f aca="false">IF(BD$1&lt;Units!$P46,0,IF(AND(Units!$K46=0,BD$1=Units!$O46),Units!$R46,IF(AND(BD$1&gt;=Units!$Q46,MOD(BD$1-Units!$Q46,12)=0),IF(AND(Units!$L46=1,BD$1=Units!$Q46),IF(Units!$J46&lt;&gt;"",Units!$J46,Mkt!BD47),Inputs!$B$15*Mkt!BD47+(1-Inputs!$B$15)*MIN(Mkt!BD47,BC47*(1+Inputs!$B$18))),BC47)))</f>
        <v>1415.081465</v>
      </c>
      <c r="BE47" s="11" t="n">
        <f aca="false">IF(BE$1&lt;Units!$P46,0,IF(AND(Units!$K46=0,BE$1=Units!$O46),Units!$R46,IF(AND(BE$1&gt;=Units!$Q46,MOD(BE$1-Units!$Q46,12)=0),IF(AND(Units!$L46=1,BE$1=Units!$Q46),IF(Units!$J46&lt;&gt;"",Units!$J46,Mkt!BE47),Inputs!$B$15*Mkt!BE47+(1-Inputs!$B$15)*MIN(Mkt!BE47,BD47*(1+Inputs!$B$18))),BD47)))</f>
        <v>1415.081465</v>
      </c>
      <c r="BF47" s="11" t="n">
        <f aca="false">IF(BF$1&lt;Units!$P46,0,IF(AND(Units!$K46=0,BF$1=Units!$O46),Units!$R46,IF(AND(BF$1&gt;=Units!$Q46,MOD(BF$1-Units!$Q46,12)=0),IF(AND(Units!$L46=1,BF$1=Units!$Q46),IF(Units!$J46&lt;&gt;"",Units!$J46,Mkt!BF47),Inputs!$B$15*Mkt!BF47+(1-Inputs!$B$15)*MIN(Mkt!BF47,BE47*(1+Inputs!$B$18))),BE47)))</f>
        <v>1415.081465</v>
      </c>
      <c r="BG47" s="11" t="n">
        <f aca="false">IF(BG$1&lt;Units!$P46,0,IF(AND(Units!$K46=0,BG$1=Units!$O46),Units!$R46,IF(AND(BG$1&gt;=Units!$Q46,MOD(BG$1-Units!$Q46,12)=0),IF(AND(Units!$L46=1,BG$1=Units!$Q46),IF(Units!$J46&lt;&gt;"",Units!$J46,Mkt!BG47),Inputs!$B$15*Mkt!BG47+(1-Inputs!$B$15)*MIN(Mkt!BG47,BF47*(1+Inputs!$B$18))),BF47)))</f>
        <v>1415.081465</v>
      </c>
      <c r="BH47" s="11" t="n">
        <f aca="false">IF(BH$1&lt;Units!$P46,0,IF(AND(Units!$K46=0,BH$1=Units!$O46),Units!$R46,IF(AND(BH$1&gt;=Units!$Q46,MOD(BH$1-Units!$Q46,12)=0),IF(AND(Units!$L46=1,BH$1=Units!$Q46),IF(Units!$J46&lt;&gt;"",Units!$J46,Mkt!BH47),Inputs!$B$15*Mkt!BH47+(1-Inputs!$B$15)*MIN(Mkt!BH47,BG47*(1+Inputs!$B$18))),BG47)))</f>
        <v>1415.081465</v>
      </c>
      <c r="BI47" s="11" t="n">
        <f aca="false">IF(BI$1&lt;Units!$P46,0,IF(AND(Units!$K46=0,BI$1=Units!$O46),Units!$R46,IF(AND(BI$1&gt;=Units!$Q46,MOD(BI$1-Units!$Q46,12)=0),IF(AND(Units!$L46=1,BI$1=Units!$Q46),IF(Units!$J46&lt;&gt;"",Units!$J46,Mkt!BI47),Inputs!$B$15*Mkt!BI47+(1-Inputs!$B$15)*MIN(Mkt!BI47,BH47*(1+Inputs!$B$18))),BH47)))</f>
        <v>1457.53390895</v>
      </c>
      <c r="BJ47" s="11" t="n">
        <f aca="false">IF(BJ$1&lt;Units!$P46,0,IF(AND(Units!$K46=0,BJ$1=Units!$O46),Units!$R46,IF(AND(BJ$1&gt;=Units!$Q46,MOD(BJ$1-Units!$Q46,12)=0),IF(AND(Units!$L46=1,BJ$1=Units!$Q46),IF(Units!$J46&lt;&gt;"",Units!$J46,Mkt!BJ47),Inputs!$B$15*Mkt!BJ47+(1-Inputs!$B$15)*MIN(Mkt!BJ47,BI47*(1+Inputs!$B$18))),BI47)))</f>
        <v>1457.53390895</v>
      </c>
      <c r="BK47" s="11" t="n">
        <f aca="false">IF(BK$1&lt;Units!$P46,0,IF(AND(Units!$K46=0,BK$1=Units!$O46),Units!$R46,IF(AND(BK$1&gt;=Units!$Q46,MOD(BK$1-Units!$Q46,12)=0),IF(AND(Units!$L46=1,BK$1=Units!$Q46),IF(Units!$J46&lt;&gt;"",Units!$J46,Mkt!BK47),Inputs!$B$15*Mkt!BK47+(1-Inputs!$B$15)*MIN(Mkt!BK47,BJ47*(1+Inputs!$B$18))),BJ47)))</f>
        <v>1457.53390895</v>
      </c>
      <c r="BL47" s="11" t="n">
        <f aca="false">IF(BL$1&lt;Units!$P46,0,IF(AND(Units!$K46=0,BL$1=Units!$O46),Units!$R46,IF(AND(BL$1&gt;=Units!$Q46,MOD(BL$1-Units!$Q46,12)=0),IF(AND(Units!$L46=1,BL$1=Units!$Q46),IF(Units!$J46&lt;&gt;"",Units!$J46,Mkt!BL47),Inputs!$B$15*Mkt!BL47+(1-Inputs!$B$15)*MIN(Mkt!BL47,BK47*(1+Inputs!$B$18))),BK47)))</f>
        <v>1457.53390895</v>
      </c>
      <c r="BM47" s="11" t="n">
        <f aca="false">IF(BM$1&lt;Units!$P46,0,IF(AND(Units!$K46=0,BM$1=Units!$O46),Units!$R46,IF(AND(BM$1&gt;=Units!$Q46,MOD(BM$1-Units!$Q46,12)=0),IF(AND(Units!$L46=1,BM$1=Units!$Q46),IF(Units!$J46&lt;&gt;"",Units!$J46,Mkt!BM47),Inputs!$B$15*Mkt!BM47+(1-Inputs!$B$15)*MIN(Mkt!BM47,BL47*(1+Inputs!$B$18))),BL47)))</f>
        <v>1457.53390895</v>
      </c>
      <c r="BN47" s="11" t="n">
        <f aca="false">IF(BN$1&lt;Units!$P46,0,IF(AND(Units!$K46=0,BN$1=Units!$O46),Units!$R46,IF(AND(BN$1&gt;=Units!$Q46,MOD(BN$1-Units!$Q46,12)=0),IF(AND(Units!$L46=1,BN$1=Units!$Q46),IF(Units!$J46&lt;&gt;"",Units!$J46,Mkt!BN47),Inputs!$B$15*Mkt!BN47+(1-Inputs!$B$15)*MIN(Mkt!BN47,BM47*(1+Inputs!$B$18))),BM47)))</f>
        <v>1457.53390895</v>
      </c>
      <c r="BO47" s="11" t="n">
        <f aca="false">IF(BO$1&lt;Units!$P46,0,IF(AND(Units!$K46=0,BO$1=Units!$O46),Units!$R46,IF(AND(BO$1&gt;=Units!$Q46,MOD(BO$1-Units!$Q46,12)=0),IF(AND(Units!$L46=1,BO$1=Units!$Q46),IF(Units!$J46&lt;&gt;"",Units!$J46,Mkt!BO47),Inputs!$B$15*Mkt!BO47+(1-Inputs!$B$15)*MIN(Mkt!BO47,BN47*(1+Inputs!$B$18))),BN47)))</f>
        <v>1457.53390895</v>
      </c>
      <c r="BP47" s="11" t="n">
        <f aca="false">IF(BP$1&lt;Units!$P46,0,IF(AND(Units!$K46=0,BP$1=Units!$O46),Units!$R46,IF(AND(BP$1&gt;=Units!$Q46,MOD(BP$1-Units!$Q46,12)=0),IF(AND(Units!$L46=1,BP$1=Units!$Q46),IF(Units!$J46&lt;&gt;"",Units!$J46,Mkt!BP47),Inputs!$B$15*Mkt!BP47+(1-Inputs!$B$15)*MIN(Mkt!BP47,BO47*(1+Inputs!$B$18))),BO47)))</f>
        <v>1457.53390895</v>
      </c>
      <c r="BQ47" s="11" t="n">
        <f aca="false">IF(BQ$1&lt;Units!$P46,0,IF(AND(Units!$K46=0,BQ$1=Units!$O46),Units!$R46,IF(AND(BQ$1&gt;=Units!$Q46,MOD(BQ$1-Units!$Q46,12)=0),IF(AND(Units!$L46=1,BQ$1=Units!$Q46),IF(Units!$J46&lt;&gt;"",Units!$J46,Mkt!BQ47),Inputs!$B$15*Mkt!BQ47+(1-Inputs!$B$15)*MIN(Mkt!BQ47,BP47*(1+Inputs!$B$18))),BP47)))</f>
        <v>1457.53390895</v>
      </c>
      <c r="BR47" s="11" t="n">
        <f aca="false">IF(BR$1&lt;Units!$P46,0,IF(AND(Units!$K46=0,BR$1=Units!$O46),Units!$R46,IF(AND(BR$1&gt;=Units!$Q46,MOD(BR$1-Units!$Q46,12)=0),IF(AND(Units!$L46=1,BR$1=Units!$Q46),IF(Units!$J46&lt;&gt;"",Units!$J46,Mkt!BR47),Inputs!$B$15*Mkt!BR47+(1-Inputs!$B$15)*MIN(Mkt!BR47,BQ47*(1+Inputs!$B$18))),BQ47)))</f>
        <v>1457.53390895</v>
      </c>
      <c r="BS47" s="11" t="n">
        <f aca="false">IF(BS$1&lt;Units!$P46,0,IF(AND(Units!$K46=0,BS$1=Units!$O46),Units!$R46,IF(AND(BS$1&gt;=Units!$Q46,MOD(BS$1-Units!$Q46,12)=0),IF(AND(Units!$L46=1,BS$1=Units!$Q46),IF(Units!$J46&lt;&gt;"",Units!$J46,Mkt!BS47),Inputs!$B$15*Mkt!BS47+(1-Inputs!$B$15)*MIN(Mkt!BS47,BR47*(1+Inputs!$B$18))),BR47)))</f>
        <v>1457.53390895</v>
      </c>
      <c r="BT47" s="11" t="n">
        <f aca="false">IF(BT$1&lt;Units!$P46,0,IF(AND(Units!$K46=0,BT$1=Units!$O46),Units!$R46,IF(AND(BT$1&gt;=Units!$Q46,MOD(BT$1-Units!$Q46,12)=0),IF(AND(Units!$L46=1,BT$1=Units!$Q46),IF(Units!$J46&lt;&gt;"",Units!$J46,Mkt!BT47),Inputs!$B$15*Mkt!BT47+(1-Inputs!$B$15)*MIN(Mkt!BT47,BS47*(1+Inputs!$B$18))),BS47)))</f>
        <v>1457.53390895</v>
      </c>
      <c r="BU47" s="11" t="n">
        <f aca="false">IF(BU$1&lt;Units!$P46,0,IF(AND(Units!$K46=0,BU$1=Units!$O46),Units!$R46,IF(AND(BU$1&gt;=Units!$Q46,MOD(BU$1-Units!$Q46,12)=0),IF(AND(Units!$L46=1,BU$1=Units!$Q46),IF(Units!$J46&lt;&gt;"",Units!$J46,Mkt!BU47),Inputs!$B$15*Mkt!BU47+(1-Inputs!$B$15)*MIN(Mkt!BU47,BT47*(1+Inputs!$B$18))),BT47)))</f>
        <v>1501.2599262185</v>
      </c>
      <c r="BV47" s="11" t="n">
        <f aca="false">IF(BV$1&lt;Units!$P46,0,IF(AND(Units!$K46=0,BV$1=Units!$O46),Units!$R46,IF(AND(BV$1&gt;=Units!$Q46,MOD(BV$1-Units!$Q46,12)=0),IF(AND(Units!$L46=1,BV$1=Units!$Q46),IF(Units!$J46&lt;&gt;"",Units!$J46,Mkt!BV47),Inputs!$B$15*Mkt!BV47+(1-Inputs!$B$15)*MIN(Mkt!BV47,BU47*(1+Inputs!$B$18))),BU47)))</f>
        <v>1501.2599262185</v>
      </c>
      <c r="BW47" s="11" t="n">
        <f aca="false">IF(BW$1&lt;Units!$P46,0,IF(AND(Units!$K46=0,BW$1=Units!$O46),Units!$R46,IF(AND(BW$1&gt;=Units!$Q46,MOD(BW$1-Units!$Q46,12)=0),IF(AND(Units!$L46=1,BW$1=Units!$Q46),IF(Units!$J46&lt;&gt;"",Units!$J46,Mkt!BW47),Inputs!$B$15*Mkt!BW47+(1-Inputs!$B$15)*MIN(Mkt!BW47,BV47*(1+Inputs!$B$18))),BV47)))</f>
        <v>1501.2599262185</v>
      </c>
      <c r="BX47" s="11" t="n">
        <f aca="false">IF(BX$1&lt;Units!$P46,0,IF(AND(Units!$K46=0,BX$1=Units!$O46),Units!$R46,IF(AND(BX$1&gt;=Units!$Q46,MOD(BX$1-Units!$Q46,12)=0),IF(AND(Units!$L46=1,BX$1=Units!$Q46),IF(Units!$J46&lt;&gt;"",Units!$J46,Mkt!BX47),Inputs!$B$15*Mkt!BX47+(1-Inputs!$B$15)*MIN(Mkt!BX47,BW47*(1+Inputs!$B$18))),BW47)))</f>
        <v>1501.2599262185</v>
      </c>
      <c r="BY47" s="11" t="n">
        <f aca="false">IF(BY$1&lt;Units!$P46,0,IF(AND(Units!$K46=0,BY$1=Units!$O46),Units!$R46,IF(AND(BY$1&gt;=Units!$Q46,MOD(BY$1-Units!$Q46,12)=0),IF(AND(Units!$L46=1,BY$1=Units!$Q46),IF(Units!$J46&lt;&gt;"",Units!$J46,Mkt!BY47),Inputs!$B$15*Mkt!BY47+(1-Inputs!$B$15)*MIN(Mkt!BY47,BX47*(1+Inputs!$B$18))),BX47)))</f>
        <v>1501.2599262185</v>
      </c>
      <c r="BZ47" s="11" t="n">
        <f aca="false">IF(BZ$1&lt;Units!$P46,0,IF(AND(Units!$K46=0,BZ$1=Units!$O46),Units!$R46,IF(AND(BZ$1&gt;=Units!$Q46,MOD(BZ$1-Units!$Q46,12)=0),IF(AND(Units!$L46=1,BZ$1=Units!$Q46),IF(Units!$J46&lt;&gt;"",Units!$J46,Mkt!BZ47),Inputs!$B$15*Mkt!BZ47+(1-Inputs!$B$15)*MIN(Mkt!BZ47,BY47*(1+Inputs!$B$18))),BY47)))</f>
        <v>1501.2599262185</v>
      </c>
      <c r="CA47" s="11" t="n">
        <f aca="false">IF(CA$1&lt;Units!$P46,0,IF(AND(Units!$K46=0,CA$1=Units!$O46),Units!$R46,IF(AND(CA$1&gt;=Units!$Q46,MOD(CA$1-Units!$Q46,12)=0),IF(AND(Units!$L46=1,CA$1=Units!$Q46),IF(Units!$J46&lt;&gt;"",Units!$J46,Mkt!CA47),Inputs!$B$15*Mkt!CA47+(1-Inputs!$B$15)*MIN(Mkt!CA47,BZ47*(1+Inputs!$B$18))),BZ47)))</f>
        <v>1501.2599262185</v>
      </c>
      <c r="CB47" s="11" t="n">
        <f aca="false">IF(CB$1&lt;Units!$P46,0,IF(AND(Units!$K46=0,CB$1=Units!$O46),Units!$R46,IF(AND(CB$1&gt;=Units!$Q46,MOD(CB$1-Units!$Q46,12)=0),IF(AND(Units!$L46=1,CB$1=Units!$Q46),IF(Units!$J46&lt;&gt;"",Units!$J46,Mkt!CB47),Inputs!$B$15*Mkt!CB47+(1-Inputs!$B$15)*MIN(Mkt!CB47,CA47*(1+Inputs!$B$18))),CA47)))</f>
        <v>1501.2599262185</v>
      </c>
      <c r="CC47" s="11" t="n">
        <f aca="false">IF(CC$1&lt;Units!$P46,0,IF(AND(Units!$K46=0,CC$1=Units!$O46),Units!$R46,IF(AND(CC$1&gt;=Units!$Q46,MOD(CC$1-Units!$Q46,12)=0),IF(AND(Units!$L46=1,CC$1=Units!$Q46),IF(Units!$J46&lt;&gt;"",Units!$J46,Mkt!CC47),Inputs!$B$15*Mkt!CC47+(1-Inputs!$B$15)*MIN(Mkt!CC47,CB47*(1+Inputs!$B$18))),CB47)))</f>
        <v>1501.2599262185</v>
      </c>
      <c r="CD47" s="11" t="n">
        <f aca="false">IF(CD$1&lt;Units!$P46,0,IF(AND(Units!$K46=0,CD$1=Units!$O46),Units!$R46,IF(AND(CD$1&gt;=Units!$Q46,MOD(CD$1-Units!$Q46,12)=0),IF(AND(Units!$L46=1,CD$1=Units!$Q46),IF(Units!$J46&lt;&gt;"",Units!$J46,Mkt!CD47),Inputs!$B$15*Mkt!CD47+(1-Inputs!$B$15)*MIN(Mkt!CD47,CC47*(1+Inputs!$B$18))),CC47)))</f>
        <v>1501.2599262185</v>
      </c>
      <c r="CE47" s="11" t="n">
        <f aca="false">IF(CE$1&lt;Units!$P46,0,IF(AND(Units!$K46=0,CE$1=Units!$O46),Units!$R46,IF(AND(CE$1&gt;=Units!$Q46,MOD(CE$1-Units!$Q46,12)=0),IF(AND(Units!$L46=1,CE$1=Units!$Q46),IF(Units!$J46&lt;&gt;"",Units!$J46,Mkt!CE47),Inputs!$B$15*Mkt!CE47+(1-Inputs!$B$15)*MIN(Mkt!CE47,CD47*(1+Inputs!$B$18))),CD47)))</f>
        <v>1501.2599262185</v>
      </c>
      <c r="CF47" s="11" t="n">
        <f aca="false">IF(CF$1&lt;Units!$P46,0,IF(AND(Units!$K46=0,CF$1=Units!$O46),Units!$R46,IF(AND(CF$1&gt;=Units!$Q46,MOD(CF$1-Units!$Q46,12)=0),IF(AND(Units!$L46=1,CF$1=Units!$Q46),IF(Units!$J46&lt;&gt;"",Units!$J46,Mkt!CF47),Inputs!$B$15*Mkt!CF47+(1-Inputs!$B$15)*MIN(Mkt!CF47,CE47*(1+Inputs!$B$18))),CE47)))</f>
        <v>1501.2599262185</v>
      </c>
      <c r="CG47" s="11" t="n">
        <f aca="false">IF(CG$1&lt;Units!$P46,0,IF(AND(Units!$K46=0,CG$1=Units!$O46),Units!$R46,IF(AND(CG$1&gt;=Units!$Q46,MOD(CG$1-Units!$Q46,12)=0),IF(AND(Units!$L46=1,CG$1=Units!$Q46),IF(Units!$J46&lt;&gt;"",Units!$J46,Mkt!CG47),Inputs!$B$15*Mkt!CG47+(1-Inputs!$B$15)*MIN(Mkt!CG47,CF47*(1+Inputs!$B$18))),CF47)))</f>
        <v>1546.29772400506</v>
      </c>
      <c r="CH47" s="11" t="n">
        <f aca="false">IF(CH$1&lt;Units!$P46,0,IF(AND(Units!$K46=0,CH$1=Units!$O46),Units!$R46,IF(AND(CH$1&gt;=Units!$Q46,MOD(CH$1-Units!$Q46,12)=0),IF(AND(Units!$L46=1,CH$1=Units!$Q46),IF(Units!$J46&lt;&gt;"",Units!$J46,Mkt!CH47),Inputs!$B$15*Mkt!CH47+(1-Inputs!$B$15)*MIN(Mkt!CH47,CG47*(1+Inputs!$B$18))),CG47)))</f>
        <v>1546.29772400506</v>
      </c>
      <c r="CI47" s="11" t="n">
        <f aca="false">IF(CI$1&lt;Units!$P46,0,IF(AND(Units!$K46=0,CI$1=Units!$O46),Units!$R46,IF(AND(CI$1&gt;=Units!$Q46,MOD(CI$1-Units!$Q46,12)=0),IF(AND(Units!$L46=1,CI$1=Units!$Q46),IF(Units!$J46&lt;&gt;"",Units!$J46,Mkt!CI47),Inputs!$B$15*Mkt!CI47+(1-Inputs!$B$15)*MIN(Mkt!CI47,CH47*(1+Inputs!$B$18))),CH47)))</f>
        <v>1546.29772400506</v>
      </c>
      <c r="CJ47" s="11" t="n">
        <f aca="false">IF(CJ$1&lt;Units!$P46,0,IF(AND(Units!$K46=0,CJ$1=Units!$O46),Units!$R46,IF(AND(CJ$1&gt;=Units!$Q46,MOD(CJ$1-Units!$Q46,12)=0),IF(AND(Units!$L46=1,CJ$1=Units!$Q46),IF(Units!$J46&lt;&gt;"",Units!$J46,Mkt!CJ47),Inputs!$B$15*Mkt!CJ47+(1-Inputs!$B$15)*MIN(Mkt!CJ47,CI47*(1+Inputs!$B$18))),CI47)))</f>
        <v>1546.29772400506</v>
      </c>
      <c r="CK47" s="11" t="n">
        <f aca="false">IF(CK$1&lt;Units!$P46,0,IF(AND(Units!$K46=0,CK$1=Units!$O46),Units!$R46,IF(AND(CK$1&gt;=Units!$Q46,MOD(CK$1-Units!$Q46,12)=0),IF(AND(Units!$L46=1,CK$1=Units!$Q46),IF(Units!$J46&lt;&gt;"",Units!$J46,Mkt!CK47),Inputs!$B$15*Mkt!CK47+(1-Inputs!$B$15)*MIN(Mkt!CK47,CJ47*(1+Inputs!$B$18))),CJ47)))</f>
        <v>1546.29772400506</v>
      </c>
      <c r="CL47" s="11" t="n">
        <f aca="false">IF(CL$1&lt;Units!$P46,0,IF(AND(Units!$K46=0,CL$1=Units!$O46),Units!$R46,IF(AND(CL$1&gt;=Units!$Q46,MOD(CL$1-Units!$Q46,12)=0),IF(AND(Units!$L46=1,CL$1=Units!$Q46),IF(Units!$J46&lt;&gt;"",Units!$J46,Mkt!CL47),Inputs!$B$15*Mkt!CL47+(1-Inputs!$B$15)*MIN(Mkt!CL47,CK47*(1+Inputs!$B$18))),CK47)))</f>
        <v>1546.29772400506</v>
      </c>
      <c r="CM47" s="11" t="n">
        <f aca="false">IF(CM$1&lt;Units!$P46,0,IF(AND(Units!$K46=0,CM$1=Units!$O46),Units!$R46,IF(AND(CM$1&gt;=Units!$Q46,MOD(CM$1-Units!$Q46,12)=0),IF(AND(Units!$L46=1,CM$1=Units!$Q46),IF(Units!$J46&lt;&gt;"",Units!$J46,Mkt!CM47),Inputs!$B$15*Mkt!CM47+(1-Inputs!$B$15)*MIN(Mkt!CM47,CL47*(1+Inputs!$B$18))),CL47)))</f>
        <v>1546.29772400506</v>
      </c>
      <c r="CN47" s="11" t="n">
        <f aca="false">IF(CN$1&lt;Units!$P46,0,IF(AND(Units!$K46=0,CN$1=Units!$O46),Units!$R46,IF(AND(CN$1&gt;=Units!$Q46,MOD(CN$1-Units!$Q46,12)=0),IF(AND(Units!$L46=1,CN$1=Units!$Q46),IF(Units!$J46&lt;&gt;"",Units!$J46,Mkt!CN47),Inputs!$B$15*Mkt!CN47+(1-Inputs!$B$15)*MIN(Mkt!CN47,CM47*(1+Inputs!$B$18))),CM47)))</f>
        <v>1546.29772400506</v>
      </c>
      <c r="CO47" s="11" t="n">
        <f aca="false">IF(CO$1&lt;Units!$P46,0,IF(AND(Units!$K46=0,CO$1=Units!$O46),Units!$R46,IF(AND(CO$1&gt;=Units!$Q46,MOD(CO$1-Units!$Q46,12)=0),IF(AND(Units!$L46=1,CO$1=Units!$Q46),IF(Units!$J46&lt;&gt;"",Units!$J46,Mkt!CO47),Inputs!$B$15*Mkt!CO47+(1-Inputs!$B$15)*MIN(Mkt!CO47,CN47*(1+Inputs!$B$18))),CN47)))</f>
        <v>1546.29772400506</v>
      </c>
      <c r="CP47" s="11" t="n">
        <f aca="false">IF(CP$1&lt;Units!$P46,0,IF(AND(Units!$K46=0,CP$1=Units!$O46),Units!$R46,IF(AND(CP$1&gt;=Units!$Q46,MOD(CP$1-Units!$Q46,12)=0),IF(AND(Units!$L46=1,CP$1=Units!$Q46),IF(Units!$J46&lt;&gt;"",Units!$J46,Mkt!CP47),Inputs!$B$15*Mkt!CP47+(1-Inputs!$B$15)*MIN(Mkt!CP47,CO47*(1+Inputs!$B$18))),CO47)))</f>
        <v>1546.29772400506</v>
      </c>
      <c r="CQ47" s="11" t="n">
        <f aca="false">IF(CQ$1&lt;Units!$P46,0,IF(AND(Units!$K46=0,CQ$1=Units!$O46),Units!$R46,IF(AND(CQ$1&gt;=Units!$Q46,MOD(CQ$1-Units!$Q46,12)=0),IF(AND(Units!$L46=1,CQ$1=Units!$Q46),IF(Units!$J46&lt;&gt;"",Units!$J46,Mkt!CQ47),Inputs!$B$15*Mkt!CQ47+(1-Inputs!$B$15)*MIN(Mkt!CQ47,CP47*(1+Inputs!$B$18))),CP47)))</f>
        <v>1546.29772400506</v>
      </c>
      <c r="CR47" s="11" t="n">
        <f aca="false">IF(CR$1&lt;Units!$P46,0,IF(AND(Units!$K46=0,CR$1=Units!$O46),Units!$R46,IF(AND(CR$1&gt;=Units!$Q46,MOD(CR$1-Units!$Q46,12)=0),IF(AND(Units!$L46=1,CR$1=Units!$Q46),IF(Units!$J46&lt;&gt;"",Units!$J46,Mkt!CR47),Inputs!$B$15*Mkt!CR47+(1-Inputs!$B$15)*MIN(Mkt!CR47,CQ47*(1+Inputs!$B$18))),CQ47)))</f>
        <v>1546.29772400506</v>
      </c>
      <c r="CS47" s="11" t="n">
        <f aca="false">IF(CS$1&lt;Units!$P46,0,IF(AND(Units!$K46=0,CS$1=Units!$O46),Units!$R46,IF(AND(CS$1&gt;=Units!$Q46,MOD(CS$1-Units!$Q46,12)=0),IF(AND(Units!$L46=1,CS$1=Units!$Q46),IF(Units!$J46&lt;&gt;"",Units!$J46,Mkt!CS47),Inputs!$B$15*Mkt!CS47+(1-Inputs!$B$15)*MIN(Mkt!CS47,CR47*(1+Inputs!$B$18))),CR47)))</f>
        <v>1592.68665572521</v>
      </c>
      <c r="CT47" s="11" t="n">
        <f aca="false">IF(CT$1&lt;Units!$P46,0,IF(AND(Units!$K46=0,CT$1=Units!$O46),Units!$R46,IF(AND(CT$1&gt;=Units!$Q46,MOD(CT$1-Units!$Q46,12)=0),IF(AND(Units!$L46=1,CT$1=Units!$Q46),IF(Units!$J46&lt;&gt;"",Units!$J46,Mkt!CT47),Inputs!$B$15*Mkt!CT47+(1-Inputs!$B$15)*MIN(Mkt!CT47,CS47*(1+Inputs!$B$18))),CS47)))</f>
        <v>1592.68665572521</v>
      </c>
      <c r="CU47" s="11" t="n">
        <f aca="false">IF(CU$1&lt;Units!$P46,0,IF(AND(Units!$K46=0,CU$1=Units!$O46),Units!$R46,IF(AND(CU$1&gt;=Units!$Q46,MOD(CU$1-Units!$Q46,12)=0),IF(AND(Units!$L46=1,CU$1=Units!$Q46),IF(Units!$J46&lt;&gt;"",Units!$J46,Mkt!CU47),Inputs!$B$15*Mkt!CU47+(1-Inputs!$B$15)*MIN(Mkt!CU47,CT47*(1+Inputs!$B$18))),CT47)))</f>
        <v>1592.68665572521</v>
      </c>
      <c r="CV47" s="11" t="n">
        <f aca="false">IF(CV$1&lt;Units!$P46,0,IF(AND(Units!$K46=0,CV$1=Units!$O46),Units!$R46,IF(AND(CV$1&gt;=Units!$Q46,MOD(CV$1-Units!$Q46,12)=0),IF(AND(Units!$L46=1,CV$1=Units!$Q46),IF(Units!$J46&lt;&gt;"",Units!$J46,Mkt!CV47),Inputs!$B$15*Mkt!CV47+(1-Inputs!$B$15)*MIN(Mkt!CV47,CU47*(1+Inputs!$B$18))),CU47)))</f>
        <v>1592.68665572521</v>
      </c>
      <c r="CW47" s="11" t="n">
        <f aca="false">IF(CW$1&lt;Units!$P46,0,IF(AND(Units!$K46=0,CW$1=Units!$O46),Units!$R46,IF(AND(CW$1&gt;=Units!$Q46,MOD(CW$1-Units!$Q46,12)=0),IF(AND(Units!$L46=1,CW$1=Units!$Q46),IF(Units!$J46&lt;&gt;"",Units!$J46,Mkt!CW47),Inputs!$B$15*Mkt!CW47+(1-Inputs!$B$15)*MIN(Mkt!CW47,CV47*(1+Inputs!$B$18))),CV47)))</f>
        <v>1592.68665572521</v>
      </c>
      <c r="CX47" s="11" t="n">
        <f aca="false">IF(CX$1&lt;Units!$P46,0,IF(AND(Units!$K46=0,CX$1=Units!$O46),Units!$R46,IF(AND(CX$1&gt;=Units!$Q46,MOD(CX$1-Units!$Q46,12)=0),IF(AND(Units!$L46=1,CX$1=Units!$Q46),IF(Units!$J46&lt;&gt;"",Units!$J46,Mkt!CX47),Inputs!$B$15*Mkt!CX47+(1-Inputs!$B$15)*MIN(Mkt!CX47,CW47*(1+Inputs!$B$18))),CW47)))</f>
        <v>1592.68665572521</v>
      </c>
      <c r="CY47" s="11" t="n">
        <f aca="false">IF(CY$1&lt;Units!$P46,0,IF(AND(Units!$K46=0,CY$1=Units!$O46),Units!$R46,IF(AND(CY$1&gt;=Units!$Q46,MOD(CY$1-Units!$Q46,12)=0),IF(AND(Units!$L46=1,CY$1=Units!$Q46),IF(Units!$J46&lt;&gt;"",Units!$J46,Mkt!CY47),Inputs!$B$15*Mkt!CY47+(1-Inputs!$B$15)*MIN(Mkt!CY47,CX47*(1+Inputs!$B$18))),CX47)))</f>
        <v>1592.68665572521</v>
      </c>
      <c r="CZ47" s="11" t="n">
        <f aca="false">IF(CZ$1&lt;Units!$P46,0,IF(AND(Units!$K46=0,CZ$1=Units!$O46),Units!$R46,IF(AND(CZ$1&gt;=Units!$Q46,MOD(CZ$1-Units!$Q46,12)=0),IF(AND(Units!$L46=1,CZ$1=Units!$Q46),IF(Units!$J46&lt;&gt;"",Units!$J46,Mkt!CZ47),Inputs!$B$15*Mkt!CZ47+(1-Inputs!$B$15)*MIN(Mkt!CZ47,CY47*(1+Inputs!$B$18))),CY47)))</f>
        <v>1592.68665572521</v>
      </c>
      <c r="DA47" s="11" t="n">
        <f aca="false">IF(DA$1&lt;Units!$P46,0,IF(AND(Units!$K46=0,DA$1=Units!$O46),Units!$R46,IF(AND(DA$1&gt;=Units!$Q46,MOD(DA$1-Units!$Q46,12)=0),IF(AND(Units!$L46=1,DA$1=Units!$Q46),IF(Units!$J46&lt;&gt;"",Units!$J46,Mkt!DA47),Inputs!$B$15*Mkt!DA47+(1-Inputs!$B$15)*MIN(Mkt!DA47,CZ47*(1+Inputs!$B$18))),CZ47)))</f>
        <v>1592.68665572521</v>
      </c>
      <c r="DB47" s="11" t="n">
        <f aca="false">IF(DB$1&lt;Units!$P46,0,IF(AND(Units!$K46=0,DB$1=Units!$O46),Units!$R46,IF(AND(DB$1&gt;=Units!$Q46,MOD(DB$1-Units!$Q46,12)=0),IF(AND(Units!$L46=1,DB$1=Units!$Q46),IF(Units!$J46&lt;&gt;"",Units!$J46,Mkt!DB47),Inputs!$B$15*Mkt!DB47+(1-Inputs!$B$15)*MIN(Mkt!DB47,DA47*(1+Inputs!$B$18))),DA47)))</f>
        <v>1592.68665572521</v>
      </c>
      <c r="DC47" s="11" t="n">
        <f aca="false">IF(DC$1&lt;Units!$P46,0,IF(AND(Units!$K46=0,DC$1=Units!$O46),Units!$R46,IF(AND(DC$1&gt;=Units!$Q46,MOD(DC$1-Units!$Q46,12)=0),IF(AND(Units!$L46=1,DC$1=Units!$Q46),IF(Units!$J46&lt;&gt;"",Units!$J46,Mkt!DC47),Inputs!$B$15*Mkt!DC47+(1-Inputs!$B$15)*MIN(Mkt!DC47,DB47*(1+Inputs!$B$18))),DB47)))</f>
        <v>1592.68665572521</v>
      </c>
      <c r="DD47" s="11" t="n">
        <f aca="false">IF(DD$1&lt;Units!$P46,0,IF(AND(Units!$K46=0,DD$1=Units!$O46),Units!$R46,IF(AND(DD$1&gt;=Units!$Q46,MOD(DD$1-Units!$Q46,12)=0),IF(AND(Units!$L46=1,DD$1=Units!$Q46),IF(Units!$J46&lt;&gt;"",Units!$J46,Mkt!DD47),Inputs!$B$15*Mkt!DD47+(1-Inputs!$B$15)*MIN(Mkt!DD47,DC47*(1+Inputs!$B$18))),DC47)))</f>
        <v>1592.68665572521</v>
      </c>
      <c r="DE47" s="11" t="n">
        <f aca="false">IF(DE$1&lt;Units!$P46,0,IF(AND(Units!$K46=0,DE$1=Units!$O46),Units!$R46,IF(AND(DE$1&gt;=Units!$Q46,MOD(DE$1-Units!$Q46,12)=0),IF(AND(Units!$L46=1,DE$1=Units!$Q46),IF(Units!$J46&lt;&gt;"",Units!$J46,Mkt!DE47),Inputs!$B$15*Mkt!DE47+(1-Inputs!$B$15)*MIN(Mkt!DE47,DD47*(1+Inputs!$B$18))),DD47)))</f>
        <v>1640.46725539696</v>
      </c>
      <c r="DF47" s="11" t="n">
        <f aca="false">IF(DF$1&lt;Units!$P46,0,IF(AND(Units!$K46=0,DF$1=Units!$O46),Units!$R46,IF(AND(DF$1&gt;=Units!$Q46,MOD(DF$1-Units!$Q46,12)=0),IF(AND(Units!$L46=1,DF$1=Units!$Q46),IF(Units!$J46&lt;&gt;"",Units!$J46,Mkt!DF47),Inputs!$B$15*Mkt!DF47+(1-Inputs!$B$15)*MIN(Mkt!DF47,DE47*(1+Inputs!$B$18))),DE47)))</f>
        <v>1640.46725539696</v>
      </c>
      <c r="DG47" s="11" t="n">
        <f aca="false">IF(DG$1&lt;Units!$P46,0,IF(AND(Units!$K46=0,DG$1=Units!$O46),Units!$R46,IF(AND(DG$1&gt;=Units!$Q46,MOD(DG$1-Units!$Q46,12)=0),IF(AND(Units!$L46=1,DG$1=Units!$Q46),IF(Units!$J46&lt;&gt;"",Units!$J46,Mkt!DG47),Inputs!$B$15*Mkt!DG47+(1-Inputs!$B$15)*MIN(Mkt!DG47,DF47*(1+Inputs!$B$18))),DF47)))</f>
        <v>1640.46725539696</v>
      </c>
      <c r="DH47" s="11" t="n">
        <f aca="false">IF(DH$1&lt;Units!$P46,0,IF(AND(Units!$K46=0,DH$1=Units!$O46),Units!$R46,IF(AND(DH$1&gt;=Units!$Q46,MOD(DH$1-Units!$Q46,12)=0),IF(AND(Units!$L46=1,DH$1=Units!$Q46),IF(Units!$J46&lt;&gt;"",Units!$J46,Mkt!DH47),Inputs!$B$15*Mkt!DH47+(1-Inputs!$B$15)*MIN(Mkt!DH47,DG47*(1+Inputs!$B$18))),DG47)))</f>
        <v>1640.46725539696</v>
      </c>
      <c r="DI47" s="11" t="n">
        <f aca="false">IF(DI$1&lt;Units!$P46,0,IF(AND(Units!$K46=0,DI$1=Units!$O46),Units!$R46,IF(AND(DI$1&gt;=Units!$Q46,MOD(DI$1-Units!$Q46,12)=0),IF(AND(Units!$L46=1,DI$1=Units!$Q46),IF(Units!$J46&lt;&gt;"",Units!$J46,Mkt!DI47),Inputs!$B$15*Mkt!DI47+(1-Inputs!$B$15)*MIN(Mkt!DI47,DH47*(1+Inputs!$B$18))),DH47)))</f>
        <v>1640.46725539696</v>
      </c>
      <c r="DJ47" s="11" t="n">
        <f aca="false">IF(DJ$1&lt;Units!$P46,0,IF(AND(Units!$K46=0,DJ$1=Units!$O46),Units!$R46,IF(AND(DJ$1&gt;=Units!$Q46,MOD(DJ$1-Units!$Q46,12)=0),IF(AND(Units!$L46=1,DJ$1=Units!$Q46),IF(Units!$J46&lt;&gt;"",Units!$J46,Mkt!DJ47),Inputs!$B$15*Mkt!DJ47+(1-Inputs!$B$15)*MIN(Mkt!DJ47,DI47*(1+Inputs!$B$18))),DI47)))</f>
        <v>1640.46725539696</v>
      </c>
      <c r="DK47" s="11" t="n">
        <f aca="false">IF(DK$1&lt;Units!$P46,0,IF(AND(Units!$K46=0,DK$1=Units!$O46),Units!$R46,IF(AND(DK$1&gt;=Units!$Q46,MOD(DK$1-Units!$Q46,12)=0),IF(AND(Units!$L46=1,DK$1=Units!$Q46),IF(Units!$J46&lt;&gt;"",Units!$J46,Mkt!DK47),Inputs!$B$15*Mkt!DK47+(1-Inputs!$B$15)*MIN(Mkt!DK47,DJ47*(1+Inputs!$B$18))),DJ47)))</f>
        <v>1640.46725539696</v>
      </c>
      <c r="DL47" s="11" t="n">
        <f aca="false">IF(DL$1&lt;Units!$P46,0,IF(AND(Units!$K46=0,DL$1=Units!$O46),Units!$R46,IF(AND(DL$1&gt;=Units!$Q46,MOD(DL$1-Units!$Q46,12)=0),IF(AND(Units!$L46=1,DL$1=Units!$Q46),IF(Units!$J46&lt;&gt;"",Units!$J46,Mkt!DL47),Inputs!$B$15*Mkt!DL47+(1-Inputs!$B$15)*MIN(Mkt!DL47,DK47*(1+Inputs!$B$18))),DK47)))</f>
        <v>1640.46725539696</v>
      </c>
      <c r="DM47" s="11" t="n">
        <f aca="false">IF(DM$1&lt;Units!$P46,0,IF(AND(Units!$K46=0,DM$1=Units!$O46),Units!$R46,IF(AND(DM$1&gt;=Units!$Q46,MOD(DM$1-Units!$Q46,12)=0),IF(AND(Units!$L46=1,DM$1=Units!$Q46),IF(Units!$J46&lt;&gt;"",Units!$J46,Mkt!DM47),Inputs!$B$15*Mkt!DM47+(1-Inputs!$B$15)*MIN(Mkt!DM47,DL47*(1+Inputs!$B$18))),DL47)))</f>
        <v>1640.46725539696</v>
      </c>
      <c r="DN47" s="11" t="n">
        <f aca="false">IF(DN$1&lt;Units!$P46,0,IF(AND(Units!$K46=0,DN$1=Units!$O46),Units!$R46,IF(AND(DN$1&gt;=Units!$Q46,MOD(DN$1-Units!$Q46,12)=0),IF(AND(Units!$L46=1,DN$1=Units!$Q46),IF(Units!$J46&lt;&gt;"",Units!$J46,Mkt!DN47),Inputs!$B$15*Mkt!DN47+(1-Inputs!$B$15)*MIN(Mkt!DN47,DM47*(1+Inputs!$B$18))),DM47)))</f>
        <v>1640.46725539696</v>
      </c>
      <c r="DO47" s="11" t="n">
        <f aca="false">IF(DO$1&lt;Units!$P46,0,IF(AND(Units!$K46=0,DO$1=Units!$O46),Units!$R46,IF(AND(DO$1&gt;=Units!$Q46,MOD(DO$1-Units!$Q46,12)=0),IF(AND(Units!$L46=1,DO$1=Units!$Q46),IF(Units!$J46&lt;&gt;"",Units!$J46,Mkt!DO47),Inputs!$B$15*Mkt!DO47+(1-Inputs!$B$15)*MIN(Mkt!DO47,DN47*(1+Inputs!$B$18))),DN47)))</f>
        <v>1640.46725539696</v>
      </c>
      <c r="DP47" s="11" t="n">
        <f aca="false">IF(DP$1&lt;Units!$P46,0,IF(AND(Units!$K46=0,DP$1=Units!$O46),Units!$R46,IF(AND(DP$1&gt;=Units!$Q46,MOD(DP$1-Units!$Q46,12)=0),IF(AND(Units!$L46=1,DP$1=Units!$Q46),IF(Units!$J46&lt;&gt;"",Units!$J46,Mkt!DP47),Inputs!$B$15*Mkt!DP47+(1-Inputs!$B$15)*MIN(Mkt!DP47,DO47*(1+Inputs!$B$18))),DO47)))</f>
        <v>1640.46725539696</v>
      </c>
      <c r="DQ47" s="11" t="n">
        <f aca="false">IF(DQ$1&lt;Units!$P46,0,IF(AND(Units!$K46=0,DQ$1=Units!$O46),Units!$R46,IF(AND(DQ$1&gt;=Units!$Q46,MOD(DQ$1-Units!$Q46,12)=0),IF(AND(Units!$L46=1,DQ$1=Units!$Q46),IF(Units!$J46&lt;&gt;"",Units!$J46,Mkt!DQ47),Inputs!$B$15*Mkt!DQ47+(1-Inputs!$B$15)*MIN(Mkt!DQ47,DP47*(1+Inputs!$B$18))),DP47)))</f>
        <v>1689.68127305887</v>
      </c>
      <c r="DR47" s="11" t="n">
        <f aca="false">IF(DR$1&lt;Units!$P46,0,IF(AND(Units!$K46=0,DR$1=Units!$O46),Units!$R46,IF(AND(DR$1&gt;=Units!$Q46,MOD(DR$1-Units!$Q46,12)=0),IF(AND(Units!$L46=1,DR$1=Units!$Q46),IF(Units!$J46&lt;&gt;"",Units!$J46,Mkt!DR47),Inputs!$B$15*Mkt!DR47+(1-Inputs!$B$15)*MIN(Mkt!DR47,DQ47*(1+Inputs!$B$18))),DQ47)))</f>
        <v>1689.68127305887</v>
      </c>
      <c r="DS47" s="11" t="n">
        <f aca="false">IF(DS$1&lt;Units!$P46,0,IF(AND(Units!$K46=0,DS$1=Units!$O46),Units!$R46,IF(AND(DS$1&gt;=Units!$Q46,MOD(DS$1-Units!$Q46,12)=0),IF(AND(Units!$L46=1,DS$1=Units!$Q46),IF(Units!$J46&lt;&gt;"",Units!$J46,Mkt!DS47),Inputs!$B$15*Mkt!DS47+(1-Inputs!$B$15)*MIN(Mkt!DS47,DR47*(1+Inputs!$B$18))),DR47)))</f>
        <v>1689.68127305887</v>
      </c>
      <c r="DT47" s="11" t="n">
        <f aca="false">IF(DT$1&lt;Units!$P46,0,IF(AND(Units!$K46=0,DT$1=Units!$O46),Units!$R46,IF(AND(DT$1&gt;=Units!$Q46,MOD(DT$1-Units!$Q46,12)=0),IF(AND(Units!$L46=1,DT$1=Units!$Q46),IF(Units!$J46&lt;&gt;"",Units!$J46,Mkt!DT47),Inputs!$B$15*Mkt!DT47+(1-Inputs!$B$15)*MIN(Mkt!DT47,DS47*(1+Inputs!$B$18))),DS47)))</f>
        <v>1689.68127305887</v>
      </c>
      <c r="DU47" s="11" t="n">
        <f aca="false">IF(DU$1&lt;Units!$P46,0,IF(AND(Units!$K46=0,DU$1=Units!$O46),Units!$R46,IF(AND(DU$1&gt;=Units!$Q46,MOD(DU$1-Units!$Q46,12)=0),IF(AND(Units!$L46=1,DU$1=Units!$Q46),IF(Units!$J46&lt;&gt;"",Units!$J46,Mkt!DU47),Inputs!$B$15*Mkt!DU47+(1-Inputs!$B$15)*MIN(Mkt!DU47,DT47*(1+Inputs!$B$18))),DT47)))</f>
        <v>1689.68127305887</v>
      </c>
      <c r="DV47" s="11" t="n">
        <f aca="false">IF(DV$1&lt;Units!$P46,0,IF(AND(Units!$K46=0,DV$1=Units!$O46),Units!$R46,IF(AND(DV$1&gt;=Units!$Q46,MOD(DV$1-Units!$Q46,12)=0),IF(AND(Units!$L46=1,DV$1=Units!$Q46),IF(Units!$J46&lt;&gt;"",Units!$J46,Mkt!DV47),Inputs!$B$15*Mkt!DV47+(1-Inputs!$B$15)*MIN(Mkt!DV47,DU47*(1+Inputs!$B$18))),DU47)))</f>
        <v>1689.68127305887</v>
      </c>
      <c r="DW47" s="11" t="n">
        <f aca="false">IF(DW$1&lt;Units!$P46,0,IF(AND(Units!$K46=0,DW$1=Units!$O46),Units!$R46,IF(AND(DW$1&gt;=Units!$Q46,MOD(DW$1-Units!$Q46,12)=0),IF(AND(Units!$L46=1,DW$1=Units!$Q46),IF(Units!$J46&lt;&gt;"",Units!$J46,Mkt!DW47),Inputs!$B$15*Mkt!DW47+(1-Inputs!$B$15)*MIN(Mkt!DW47,DV47*(1+Inputs!$B$18))),DV47)))</f>
        <v>1689.68127305887</v>
      </c>
      <c r="DX47" s="11" t="n">
        <f aca="false">IF(DX$1&lt;Units!$P46,0,IF(AND(Units!$K46=0,DX$1=Units!$O46),Units!$R46,IF(AND(DX$1&gt;=Units!$Q46,MOD(DX$1-Units!$Q46,12)=0),IF(AND(Units!$L46=1,DX$1=Units!$Q46),IF(Units!$J46&lt;&gt;"",Units!$J46,Mkt!DX47),Inputs!$B$15*Mkt!DX47+(1-Inputs!$B$15)*MIN(Mkt!DX47,DW47*(1+Inputs!$B$18))),DW47)))</f>
        <v>1689.68127305887</v>
      </c>
      <c r="DY47" s="11" t="n">
        <f aca="false">IF(DY$1&lt;Units!$P46,0,IF(AND(Units!$K46=0,DY$1=Units!$O46),Units!$R46,IF(AND(DY$1&gt;=Units!$Q46,MOD(DY$1-Units!$Q46,12)=0),IF(AND(Units!$L46=1,DY$1=Units!$Q46),IF(Units!$J46&lt;&gt;"",Units!$J46,Mkt!DY47),Inputs!$B$15*Mkt!DY47+(1-Inputs!$B$15)*MIN(Mkt!DY47,DX47*(1+Inputs!$B$18))),DX47)))</f>
        <v>1689.68127305887</v>
      </c>
      <c r="DZ47" s="11" t="n">
        <f aca="false">IF(DZ$1&lt;Units!$P46,0,IF(AND(Units!$K46=0,DZ$1=Units!$O46),Units!$R46,IF(AND(DZ$1&gt;=Units!$Q46,MOD(DZ$1-Units!$Q46,12)=0),IF(AND(Units!$L46=1,DZ$1=Units!$Q46),IF(Units!$J46&lt;&gt;"",Units!$J46,Mkt!DZ47),Inputs!$B$15*Mkt!DZ47+(1-Inputs!$B$15)*MIN(Mkt!DZ47,DY47*(1+Inputs!$B$18))),DY47)))</f>
        <v>1689.68127305887</v>
      </c>
      <c r="EA47" s="11" t="n">
        <f aca="false">IF(EA$1&lt;Units!$P46,0,IF(AND(Units!$K46=0,EA$1=Units!$O46),Units!$R46,IF(AND(EA$1&gt;=Units!$Q46,MOD(EA$1-Units!$Q46,12)=0),IF(AND(Units!$L46=1,EA$1=Units!$Q46),IF(Units!$J46&lt;&gt;"",Units!$J46,Mkt!EA47),Inputs!$B$15*Mkt!EA47+(1-Inputs!$B$15)*MIN(Mkt!EA47,DZ47*(1+Inputs!$B$18))),DZ47)))</f>
        <v>1689.68127305887</v>
      </c>
      <c r="EB47" s="11" t="n">
        <f aca="false">IF(EB$1&lt;Units!$P46,0,IF(AND(Units!$K46=0,EB$1=Units!$O46),Units!$R46,IF(AND(EB$1&gt;=Units!$Q46,MOD(EB$1-Units!$Q46,12)=0),IF(AND(Units!$L46=1,EB$1=Units!$Q46),IF(Units!$J46&lt;&gt;"",Units!$J46,Mkt!EB47),Inputs!$B$15*Mkt!EB47+(1-Inputs!$B$15)*MIN(Mkt!EB47,EA47*(1+Inputs!$B$18))),EA47)))</f>
        <v>1689.68127305887</v>
      </c>
      <c r="EC47" s="11" t="n">
        <f aca="false">IF(EC$1&lt;Units!$P46,0,IF(AND(Units!$K46=0,EC$1=Units!$O46),Units!$R46,IF(AND(EC$1&gt;=Units!$Q46,MOD(EC$1-Units!$Q46,12)=0),IF(AND(Units!$L46=1,EC$1=Units!$Q46),IF(Units!$J46&lt;&gt;"",Units!$J46,Mkt!EC47),Inputs!$B$15*Mkt!EC47+(1-Inputs!$B$15)*MIN(Mkt!EC47,EB47*(1+Inputs!$B$18))),EB47)))</f>
        <v>1740.37171125064</v>
      </c>
      <c r="ED47" s="11" t="n">
        <f aca="false">IF(ED$1&lt;Units!$P46,0,IF(AND(Units!$K46=0,ED$1=Units!$O46),Units!$R46,IF(AND(ED$1&gt;=Units!$Q46,MOD(ED$1-Units!$Q46,12)=0),IF(AND(Units!$L46=1,ED$1=Units!$Q46),IF(Units!$J46&lt;&gt;"",Units!$J46,Mkt!ED47),Inputs!$B$15*Mkt!ED47+(1-Inputs!$B$15)*MIN(Mkt!ED47,EC47*(1+Inputs!$B$18))),EC47)))</f>
        <v>1740.37171125064</v>
      </c>
    </row>
    <row r="48" customFormat="false" ht="15" hidden="false" customHeight="false" outlineLevel="0" collapsed="false">
      <c r="A48" s="22" t="n">
        <f aca="false">Units!A47</f>
        <v>216</v>
      </c>
      <c r="B48" s="24" t="n">
        <f aca="false">IF(Units!K47=1,Units!F47,0)</f>
        <v>1220</v>
      </c>
      <c r="C48" s="11" t="n">
        <f aca="false">IF(C$1&lt;Units!$P47,0,IF(AND(Units!$K47=0,C$1=Units!$O47),Units!$R47,IF(AND(C$1&gt;=Units!$Q47,MOD(C$1-Units!$Q47,12)=0),IF(AND(Units!$L47=1,C$1=Units!$Q47),IF(Units!$J47&lt;&gt;"",Units!$J47,Mkt!C48),Inputs!$B$15*Mkt!C48+(1-Inputs!$B$15)*MIN(Mkt!C48,B48*(1+Inputs!$B$18))),B48)))</f>
        <v>1220</v>
      </c>
      <c r="D48" s="11" t="n">
        <f aca="false">IF(D$1&lt;Units!$P47,0,IF(AND(Units!$K47=0,D$1=Units!$O47),Units!$R47,IF(AND(D$1&gt;=Units!$Q47,MOD(D$1-Units!$Q47,12)=0),IF(AND(Units!$L47=1,D$1=Units!$Q47),IF(Units!$J47&lt;&gt;"",Units!$J47,Mkt!D48),Inputs!$B$15*Mkt!D48+(1-Inputs!$B$15)*MIN(Mkt!D48,C48*(1+Inputs!$B$18))),C48)))</f>
        <v>1220</v>
      </c>
      <c r="E48" s="11" t="n">
        <f aca="false">IF(E$1&lt;Units!$P47,0,IF(AND(Units!$K47=0,E$1=Units!$O47),Units!$R47,IF(AND(E$1&gt;=Units!$Q47,MOD(E$1-Units!$Q47,12)=0),IF(AND(Units!$L47=1,E$1=Units!$Q47),IF(Units!$J47&lt;&gt;"",Units!$J47,Mkt!E48),Inputs!$B$15*Mkt!E48+(1-Inputs!$B$15)*MIN(Mkt!E48,D48*(1+Inputs!$B$18))),D48)))</f>
        <v>1220</v>
      </c>
      <c r="F48" s="11" t="n">
        <f aca="false">IF(F$1&lt;Units!$P47,0,IF(AND(Units!$K47=0,F$1=Units!$O47),Units!$R47,IF(AND(F$1&gt;=Units!$Q47,MOD(F$1-Units!$Q47,12)=0),IF(AND(Units!$L47=1,F$1=Units!$Q47),IF(Units!$J47&lt;&gt;"",Units!$J47,Mkt!F48),Inputs!$B$15*Mkt!F48+(1-Inputs!$B$15)*MIN(Mkt!F48,E48*(1+Inputs!$B$18))),E48)))</f>
        <v>1220</v>
      </c>
      <c r="G48" s="11" t="n">
        <f aca="false">IF(G$1&lt;Units!$P47,0,IF(AND(Units!$K47=0,G$1=Units!$O47),Units!$R47,IF(AND(G$1&gt;=Units!$Q47,MOD(G$1-Units!$Q47,12)=0),IF(AND(Units!$L47=1,G$1=Units!$Q47),IF(Units!$J47&lt;&gt;"",Units!$J47,Mkt!G48),Inputs!$B$15*Mkt!G48+(1-Inputs!$B$15)*MIN(Mkt!G48,F48*(1+Inputs!$B$18))),F48)))</f>
        <v>1220</v>
      </c>
      <c r="H48" s="11" t="n">
        <f aca="false">IF(H$1&lt;Units!$P47,0,IF(AND(Units!$K47=0,H$1=Units!$O47),Units!$R47,IF(AND(H$1&gt;=Units!$Q47,MOD(H$1-Units!$Q47,12)=0),IF(AND(Units!$L47=1,H$1=Units!$Q47),IF(Units!$J47&lt;&gt;"",Units!$J47,Mkt!H48),Inputs!$B$15*Mkt!H48+(1-Inputs!$B$15)*MIN(Mkt!H48,G48*(1+Inputs!$B$18))),G48)))</f>
        <v>1220</v>
      </c>
      <c r="I48" s="11" t="n">
        <f aca="false">IF(I$1&lt;Units!$P47,0,IF(AND(Units!$K47=0,I$1=Units!$O47),Units!$R47,IF(AND(I$1&gt;=Units!$Q47,MOD(I$1-Units!$Q47,12)=0),IF(AND(Units!$L47=1,I$1=Units!$Q47),IF(Units!$J47&lt;&gt;"",Units!$J47,Mkt!I48),Inputs!$B$15*Mkt!I48+(1-Inputs!$B$15)*MIN(Mkt!I48,H48*(1+Inputs!$B$18))),H48)))</f>
        <v>1220</v>
      </c>
      <c r="J48" s="11" t="n">
        <f aca="false">IF(J$1&lt;Units!$P47,0,IF(AND(Units!$K47=0,J$1=Units!$O47),Units!$R47,IF(AND(J$1&gt;=Units!$Q47,MOD(J$1-Units!$Q47,12)=0),IF(AND(Units!$L47=1,J$1=Units!$Q47),IF(Units!$J47&lt;&gt;"",Units!$J47,Mkt!J48),Inputs!$B$15*Mkt!J48+(1-Inputs!$B$15)*MIN(Mkt!J48,I48*(1+Inputs!$B$18))),I48)))</f>
        <v>1220</v>
      </c>
      <c r="K48" s="11" t="n">
        <f aca="false">IF(K$1&lt;Units!$P47,0,IF(AND(Units!$K47=0,K$1=Units!$O47),Units!$R47,IF(AND(K$1&gt;=Units!$Q47,MOD(K$1-Units!$Q47,12)=0),IF(AND(Units!$L47=1,K$1=Units!$Q47),IF(Units!$J47&lt;&gt;"",Units!$J47,Mkt!K48),Inputs!$B$15*Mkt!K48+(1-Inputs!$B$15)*MIN(Mkt!K48,J48*(1+Inputs!$B$18))),J48)))</f>
        <v>1220</v>
      </c>
      <c r="L48" s="11" t="n">
        <f aca="false">IF(L$1&lt;Units!$P47,0,IF(AND(Units!$K47=0,L$1=Units!$O47),Units!$R47,IF(AND(L$1&gt;=Units!$Q47,MOD(L$1-Units!$Q47,12)=0),IF(AND(Units!$L47=1,L$1=Units!$Q47),IF(Units!$J47&lt;&gt;"",Units!$J47,Mkt!L48),Inputs!$B$15*Mkt!L48+(1-Inputs!$B$15)*MIN(Mkt!L48,K48*(1+Inputs!$B$18))),K48)))</f>
        <v>1220</v>
      </c>
      <c r="M48" s="11" t="n">
        <f aca="false">IF(M$1&lt;Units!$P47,0,IF(AND(Units!$K47=0,M$1=Units!$O47),Units!$R47,IF(AND(M$1&gt;=Units!$Q47,MOD(M$1-Units!$Q47,12)=0),IF(AND(Units!$L47=1,M$1=Units!$Q47),IF(Units!$J47&lt;&gt;"",Units!$J47,Mkt!M48),Inputs!$B$15*Mkt!M48+(1-Inputs!$B$15)*MIN(Mkt!M48,L48*(1+Inputs!$B$18))),L48)))</f>
        <v>1220</v>
      </c>
      <c r="N48" s="11" t="n">
        <f aca="false">IF(N$1&lt;Units!$P47,0,IF(AND(Units!$K47=0,N$1=Units!$O47),Units!$R47,IF(AND(N$1&gt;=Units!$Q47,MOD(N$1-Units!$Q47,12)=0),IF(AND(Units!$L47=1,N$1=Units!$Q47),IF(Units!$J47&lt;&gt;"",Units!$J47,Mkt!N48),Inputs!$B$15*Mkt!N48+(1-Inputs!$B$15)*MIN(Mkt!N48,M48*(1+Inputs!$B$18))),M48)))</f>
        <v>1288</v>
      </c>
      <c r="O48" s="11" t="n">
        <f aca="false">IF(O$1&lt;Units!$P47,0,IF(AND(Units!$K47=0,O$1=Units!$O47),Units!$R47,IF(AND(O$1&gt;=Units!$Q47,MOD(O$1-Units!$Q47,12)=0),IF(AND(Units!$L47=1,O$1=Units!$Q47),IF(Units!$J47&lt;&gt;"",Units!$J47,Mkt!O48),Inputs!$B$15*Mkt!O48+(1-Inputs!$B$15)*MIN(Mkt!O48,N48*(1+Inputs!$B$18))),N48)))</f>
        <v>1288</v>
      </c>
      <c r="P48" s="11" t="n">
        <f aca="false">IF(P$1&lt;Units!$P47,0,IF(AND(Units!$K47=0,P$1=Units!$O47),Units!$R47,IF(AND(P$1&gt;=Units!$Q47,MOD(P$1-Units!$Q47,12)=0),IF(AND(Units!$L47=1,P$1=Units!$Q47),IF(Units!$J47&lt;&gt;"",Units!$J47,Mkt!P48),Inputs!$B$15*Mkt!P48+(1-Inputs!$B$15)*MIN(Mkt!P48,O48*(1+Inputs!$B$18))),O48)))</f>
        <v>1288</v>
      </c>
      <c r="Q48" s="11" t="n">
        <f aca="false">IF(Q$1&lt;Units!$P47,0,IF(AND(Units!$K47=0,Q$1=Units!$O47),Units!$R47,IF(AND(Q$1&gt;=Units!$Q47,MOD(Q$1-Units!$Q47,12)=0),IF(AND(Units!$L47=1,Q$1=Units!$Q47),IF(Units!$J47&lt;&gt;"",Units!$J47,Mkt!Q48),Inputs!$B$15*Mkt!Q48+(1-Inputs!$B$15)*MIN(Mkt!Q48,P48*(1+Inputs!$B$18))),P48)))</f>
        <v>1288</v>
      </c>
      <c r="R48" s="11" t="n">
        <f aca="false">IF(R$1&lt;Units!$P47,0,IF(AND(Units!$K47=0,R$1=Units!$O47),Units!$R47,IF(AND(R$1&gt;=Units!$Q47,MOD(R$1-Units!$Q47,12)=0),IF(AND(Units!$L47=1,R$1=Units!$Q47),IF(Units!$J47&lt;&gt;"",Units!$J47,Mkt!R48),Inputs!$B$15*Mkt!R48+(1-Inputs!$B$15)*MIN(Mkt!R48,Q48*(1+Inputs!$B$18))),Q48)))</f>
        <v>1288</v>
      </c>
      <c r="S48" s="11" t="n">
        <f aca="false">IF(S$1&lt;Units!$P47,0,IF(AND(Units!$K47=0,S$1=Units!$O47),Units!$R47,IF(AND(S$1&gt;=Units!$Q47,MOD(S$1-Units!$Q47,12)=0),IF(AND(Units!$L47=1,S$1=Units!$Q47),IF(Units!$J47&lt;&gt;"",Units!$J47,Mkt!S48),Inputs!$B$15*Mkt!S48+(1-Inputs!$B$15)*MIN(Mkt!S48,R48*(1+Inputs!$B$18))),R48)))</f>
        <v>1288</v>
      </c>
      <c r="T48" s="11" t="n">
        <f aca="false">IF(T$1&lt;Units!$P47,0,IF(AND(Units!$K47=0,T$1=Units!$O47),Units!$R47,IF(AND(T$1&gt;=Units!$Q47,MOD(T$1-Units!$Q47,12)=0),IF(AND(Units!$L47=1,T$1=Units!$Q47),IF(Units!$J47&lt;&gt;"",Units!$J47,Mkt!T48),Inputs!$B$15*Mkt!T48+(1-Inputs!$B$15)*MIN(Mkt!T48,S48*(1+Inputs!$B$18))),S48)))</f>
        <v>1288</v>
      </c>
      <c r="U48" s="11" t="n">
        <f aca="false">IF(U$1&lt;Units!$P47,0,IF(AND(Units!$K47=0,U$1=Units!$O47),Units!$R47,IF(AND(U$1&gt;=Units!$Q47,MOD(U$1-Units!$Q47,12)=0),IF(AND(Units!$L47=1,U$1=Units!$Q47),IF(Units!$J47&lt;&gt;"",Units!$J47,Mkt!U48),Inputs!$B$15*Mkt!U48+(1-Inputs!$B$15)*MIN(Mkt!U48,T48*(1+Inputs!$B$18))),T48)))</f>
        <v>1288</v>
      </c>
      <c r="V48" s="11" t="n">
        <f aca="false">IF(V$1&lt;Units!$P47,0,IF(AND(Units!$K47=0,V$1=Units!$O47),Units!$R47,IF(AND(V$1&gt;=Units!$Q47,MOD(V$1-Units!$Q47,12)=0),IF(AND(Units!$L47=1,V$1=Units!$Q47),IF(Units!$J47&lt;&gt;"",Units!$J47,Mkt!V48),Inputs!$B$15*Mkt!V48+(1-Inputs!$B$15)*MIN(Mkt!V48,U48*(1+Inputs!$B$18))),U48)))</f>
        <v>1288</v>
      </c>
      <c r="W48" s="11" t="n">
        <f aca="false">IF(W$1&lt;Units!$P47,0,IF(AND(Units!$K47=0,W$1=Units!$O47),Units!$R47,IF(AND(W$1&gt;=Units!$Q47,MOD(W$1-Units!$Q47,12)=0),IF(AND(Units!$L47=1,W$1=Units!$Q47),IF(Units!$J47&lt;&gt;"",Units!$J47,Mkt!W48),Inputs!$B$15*Mkt!W48+(1-Inputs!$B$15)*MIN(Mkt!W48,V48*(1+Inputs!$B$18))),V48)))</f>
        <v>1288</v>
      </c>
      <c r="X48" s="11" t="n">
        <f aca="false">IF(X$1&lt;Units!$P47,0,IF(AND(Units!$K47=0,X$1=Units!$O47),Units!$R47,IF(AND(X$1&gt;=Units!$Q47,MOD(X$1-Units!$Q47,12)=0),IF(AND(Units!$L47=1,X$1=Units!$Q47),IF(Units!$J47&lt;&gt;"",Units!$J47,Mkt!X48),Inputs!$B$15*Mkt!X48+(1-Inputs!$B$15)*MIN(Mkt!X48,W48*(1+Inputs!$B$18))),W48)))</f>
        <v>1288</v>
      </c>
      <c r="Y48" s="11" t="n">
        <f aca="false">IF(Y$1&lt;Units!$P47,0,IF(AND(Units!$K47=0,Y$1=Units!$O47),Units!$R47,IF(AND(Y$1&gt;=Units!$Q47,MOD(Y$1-Units!$Q47,12)=0),IF(AND(Units!$L47=1,Y$1=Units!$Q47),IF(Units!$J47&lt;&gt;"",Units!$J47,Mkt!Y48),Inputs!$B$15*Mkt!Y48+(1-Inputs!$B$15)*MIN(Mkt!Y48,X48*(1+Inputs!$B$18))),X48)))</f>
        <v>1288</v>
      </c>
      <c r="Z48" s="11" t="n">
        <f aca="false">IF(Z$1&lt;Units!$P47,0,IF(AND(Units!$K47=0,Z$1=Units!$O47),Units!$R47,IF(AND(Z$1&gt;=Units!$Q47,MOD(Z$1-Units!$Q47,12)=0),IF(AND(Units!$L47=1,Z$1=Units!$Q47),IF(Units!$J47&lt;&gt;"",Units!$J47,Mkt!Z48),Inputs!$B$15*Mkt!Z48+(1-Inputs!$B$15)*MIN(Mkt!Z48,Y48*(1+Inputs!$B$18))),Y48)))</f>
        <v>1333.85</v>
      </c>
      <c r="AA48" s="11" t="n">
        <f aca="false">IF(AA$1&lt;Units!$P47,0,IF(AND(Units!$K47=0,AA$1=Units!$O47),Units!$R47,IF(AND(AA$1&gt;=Units!$Q47,MOD(AA$1-Units!$Q47,12)=0),IF(AND(Units!$L47=1,AA$1=Units!$Q47),IF(Units!$J47&lt;&gt;"",Units!$J47,Mkt!AA48),Inputs!$B$15*Mkt!AA48+(1-Inputs!$B$15)*MIN(Mkt!AA48,Z48*(1+Inputs!$B$18))),Z48)))</f>
        <v>1333.85</v>
      </c>
      <c r="AB48" s="11" t="n">
        <f aca="false">IF(AB$1&lt;Units!$P47,0,IF(AND(Units!$K47=0,AB$1=Units!$O47),Units!$R47,IF(AND(AB$1&gt;=Units!$Q47,MOD(AB$1-Units!$Q47,12)=0),IF(AND(Units!$L47=1,AB$1=Units!$Q47),IF(Units!$J47&lt;&gt;"",Units!$J47,Mkt!AB48),Inputs!$B$15*Mkt!AB48+(1-Inputs!$B$15)*MIN(Mkt!AB48,AA48*(1+Inputs!$B$18))),AA48)))</f>
        <v>1333.85</v>
      </c>
      <c r="AC48" s="11" t="n">
        <f aca="false">IF(AC$1&lt;Units!$P47,0,IF(AND(Units!$K47=0,AC$1=Units!$O47),Units!$R47,IF(AND(AC$1&gt;=Units!$Q47,MOD(AC$1-Units!$Q47,12)=0),IF(AND(Units!$L47=1,AC$1=Units!$Q47),IF(Units!$J47&lt;&gt;"",Units!$J47,Mkt!AC48),Inputs!$B$15*Mkt!AC48+(1-Inputs!$B$15)*MIN(Mkt!AC48,AB48*(1+Inputs!$B$18))),AB48)))</f>
        <v>1333.85</v>
      </c>
      <c r="AD48" s="11" t="n">
        <f aca="false">IF(AD$1&lt;Units!$P47,0,IF(AND(Units!$K47=0,AD$1=Units!$O47),Units!$R47,IF(AND(AD$1&gt;=Units!$Q47,MOD(AD$1-Units!$Q47,12)=0),IF(AND(Units!$L47=1,AD$1=Units!$Q47),IF(Units!$J47&lt;&gt;"",Units!$J47,Mkt!AD48),Inputs!$B$15*Mkt!AD48+(1-Inputs!$B$15)*MIN(Mkt!AD48,AC48*(1+Inputs!$B$18))),AC48)))</f>
        <v>1333.85</v>
      </c>
      <c r="AE48" s="11" t="n">
        <f aca="false">IF(AE$1&lt;Units!$P47,0,IF(AND(Units!$K47=0,AE$1=Units!$O47),Units!$R47,IF(AND(AE$1&gt;=Units!$Q47,MOD(AE$1-Units!$Q47,12)=0),IF(AND(Units!$L47=1,AE$1=Units!$Q47),IF(Units!$J47&lt;&gt;"",Units!$J47,Mkt!AE48),Inputs!$B$15*Mkt!AE48+(1-Inputs!$B$15)*MIN(Mkt!AE48,AD48*(1+Inputs!$B$18))),AD48)))</f>
        <v>1333.85</v>
      </c>
      <c r="AF48" s="11" t="n">
        <f aca="false">IF(AF$1&lt;Units!$P47,0,IF(AND(Units!$K47=0,AF$1=Units!$O47),Units!$R47,IF(AND(AF$1&gt;=Units!$Q47,MOD(AF$1-Units!$Q47,12)=0),IF(AND(Units!$L47=1,AF$1=Units!$Q47),IF(Units!$J47&lt;&gt;"",Units!$J47,Mkt!AF48),Inputs!$B$15*Mkt!AF48+(1-Inputs!$B$15)*MIN(Mkt!AF48,AE48*(1+Inputs!$B$18))),AE48)))</f>
        <v>1333.85</v>
      </c>
      <c r="AG48" s="11" t="n">
        <f aca="false">IF(AG$1&lt;Units!$P47,0,IF(AND(Units!$K47=0,AG$1=Units!$O47),Units!$R47,IF(AND(AG$1&gt;=Units!$Q47,MOD(AG$1-Units!$Q47,12)=0),IF(AND(Units!$L47=1,AG$1=Units!$Q47),IF(Units!$J47&lt;&gt;"",Units!$J47,Mkt!AG48),Inputs!$B$15*Mkt!AG48+(1-Inputs!$B$15)*MIN(Mkt!AG48,AF48*(1+Inputs!$B$18))),AF48)))</f>
        <v>1333.85</v>
      </c>
      <c r="AH48" s="11" t="n">
        <f aca="false">IF(AH$1&lt;Units!$P47,0,IF(AND(Units!$K47=0,AH$1=Units!$O47),Units!$R47,IF(AND(AH$1&gt;=Units!$Q47,MOD(AH$1-Units!$Q47,12)=0),IF(AND(Units!$L47=1,AH$1=Units!$Q47),IF(Units!$J47&lt;&gt;"",Units!$J47,Mkt!AH48),Inputs!$B$15*Mkt!AH48+(1-Inputs!$B$15)*MIN(Mkt!AH48,AG48*(1+Inputs!$B$18))),AG48)))</f>
        <v>1333.85</v>
      </c>
      <c r="AI48" s="11" t="n">
        <f aca="false">IF(AI$1&lt;Units!$P47,0,IF(AND(Units!$K47=0,AI$1=Units!$O47),Units!$R47,IF(AND(AI$1&gt;=Units!$Q47,MOD(AI$1-Units!$Q47,12)=0),IF(AND(Units!$L47=1,AI$1=Units!$Q47),IF(Units!$J47&lt;&gt;"",Units!$J47,Mkt!AI48),Inputs!$B$15*Mkt!AI48+(1-Inputs!$B$15)*MIN(Mkt!AI48,AH48*(1+Inputs!$B$18))),AH48)))</f>
        <v>1333.85</v>
      </c>
      <c r="AJ48" s="11" t="n">
        <f aca="false">IF(AJ$1&lt;Units!$P47,0,IF(AND(Units!$K47=0,AJ$1=Units!$O47),Units!$R47,IF(AND(AJ$1&gt;=Units!$Q47,MOD(AJ$1-Units!$Q47,12)=0),IF(AND(Units!$L47=1,AJ$1=Units!$Q47),IF(Units!$J47&lt;&gt;"",Units!$J47,Mkt!AJ48),Inputs!$B$15*Mkt!AJ48+(1-Inputs!$B$15)*MIN(Mkt!AJ48,AI48*(1+Inputs!$B$18))),AI48)))</f>
        <v>1333.85</v>
      </c>
      <c r="AK48" s="11" t="n">
        <f aca="false">IF(AK$1&lt;Units!$P47,0,IF(AND(Units!$K47=0,AK$1=Units!$O47),Units!$R47,IF(AND(AK$1&gt;=Units!$Q47,MOD(AK$1-Units!$Q47,12)=0),IF(AND(Units!$L47=1,AK$1=Units!$Q47),IF(Units!$J47&lt;&gt;"",Units!$J47,Mkt!AK48),Inputs!$B$15*Mkt!AK48+(1-Inputs!$B$15)*MIN(Mkt!AK48,AJ48*(1+Inputs!$B$18))),AJ48)))</f>
        <v>1333.85</v>
      </c>
      <c r="AL48" s="11" t="n">
        <f aca="false">IF(AL$1&lt;Units!$P47,0,IF(AND(Units!$K47=0,AL$1=Units!$O47),Units!$R47,IF(AND(AL$1&gt;=Units!$Q47,MOD(AL$1-Units!$Q47,12)=0),IF(AND(Units!$L47=1,AL$1=Units!$Q47),IF(Units!$J47&lt;&gt;"",Units!$J47,Mkt!AL48),Inputs!$B$15*Mkt!AL48+(1-Inputs!$B$15)*MIN(Mkt!AL48,AK48*(1+Inputs!$B$18))),AK48)))</f>
        <v>1373.8655</v>
      </c>
      <c r="AM48" s="11" t="n">
        <f aca="false">IF(AM$1&lt;Units!$P47,0,IF(AND(Units!$K47=0,AM$1=Units!$O47),Units!$R47,IF(AND(AM$1&gt;=Units!$Q47,MOD(AM$1-Units!$Q47,12)=0),IF(AND(Units!$L47=1,AM$1=Units!$Q47),IF(Units!$J47&lt;&gt;"",Units!$J47,Mkt!AM48),Inputs!$B$15*Mkt!AM48+(1-Inputs!$B$15)*MIN(Mkt!AM48,AL48*(1+Inputs!$B$18))),AL48)))</f>
        <v>1373.8655</v>
      </c>
      <c r="AN48" s="11" t="n">
        <f aca="false">IF(AN$1&lt;Units!$P47,0,IF(AND(Units!$K47=0,AN$1=Units!$O47),Units!$R47,IF(AND(AN$1&gt;=Units!$Q47,MOD(AN$1-Units!$Q47,12)=0),IF(AND(Units!$L47=1,AN$1=Units!$Q47),IF(Units!$J47&lt;&gt;"",Units!$J47,Mkt!AN48),Inputs!$B$15*Mkt!AN48+(1-Inputs!$B$15)*MIN(Mkt!AN48,AM48*(1+Inputs!$B$18))),AM48)))</f>
        <v>1373.8655</v>
      </c>
      <c r="AO48" s="11" t="n">
        <f aca="false">IF(AO$1&lt;Units!$P47,0,IF(AND(Units!$K47=0,AO$1=Units!$O47),Units!$R47,IF(AND(AO$1&gt;=Units!$Q47,MOD(AO$1-Units!$Q47,12)=0),IF(AND(Units!$L47=1,AO$1=Units!$Q47),IF(Units!$J47&lt;&gt;"",Units!$J47,Mkt!AO48),Inputs!$B$15*Mkt!AO48+(1-Inputs!$B$15)*MIN(Mkt!AO48,AN48*(1+Inputs!$B$18))),AN48)))</f>
        <v>1373.8655</v>
      </c>
      <c r="AP48" s="11" t="n">
        <f aca="false">IF(AP$1&lt;Units!$P47,0,IF(AND(Units!$K47=0,AP$1=Units!$O47),Units!$R47,IF(AND(AP$1&gt;=Units!$Q47,MOD(AP$1-Units!$Q47,12)=0),IF(AND(Units!$L47=1,AP$1=Units!$Q47),IF(Units!$J47&lt;&gt;"",Units!$J47,Mkt!AP48),Inputs!$B$15*Mkt!AP48+(1-Inputs!$B$15)*MIN(Mkt!AP48,AO48*(1+Inputs!$B$18))),AO48)))</f>
        <v>1373.8655</v>
      </c>
      <c r="AQ48" s="11" t="n">
        <f aca="false">IF(AQ$1&lt;Units!$P47,0,IF(AND(Units!$K47=0,AQ$1=Units!$O47),Units!$R47,IF(AND(AQ$1&gt;=Units!$Q47,MOD(AQ$1-Units!$Q47,12)=0),IF(AND(Units!$L47=1,AQ$1=Units!$Q47),IF(Units!$J47&lt;&gt;"",Units!$J47,Mkt!AQ48),Inputs!$B$15*Mkt!AQ48+(1-Inputs!$B$15)*MIN(Mkt!AQ48,AP48*(1+Inputs!$B$18))),AP48)))</f>
        <v>1373.8655</v>
      </c>
      <c r="AR48" s="11" t="n">
        <f aca="false">IF(AR$1&lt;Units!$P47,0,IF(AND(Units!$K47=0,AR$1=Units!$O47),Units!$R47,IF(AND(AR$1&gt;=Units!$Q47,MOD(AR$1-Units!$Q47,12)=0),IF(AND(Units!$L47=1,AR$1=Units!$Q47),IF(Units!$J47&lt;&gt;"",Units!$J47,Mkt!AR48),Inputs!$B$15*Mkt!AR48+(1-Inputs!$B$15)*MIN(Mkt!AR48,AQ48*(1+Inputs!$B$18))),AQ48)))</f>
        <v>1373.8655</v>
      </c>
      <c r="AS48" s="11" t="n">
        <f aca="false">IF(AS$1&lt;Units!$P47,0,IF(AND(Units!$K47=0,AS$1=Units!$O47),Units!$R47,IF(AND(AS$1&gt;=Units!$Q47,MOD(AS$1-Units!$Q47,12)=0),IF(AND(Units!$L47=1,AS$1=Units!$Q47),IF(Units!$J47&lt;&gt;"",Units!$J47,Mkt!AS48),Inputs!$B$15*Mkt!AS48+(1-Inputs!$B$15)*MIN(Mkt!AS48,AR48*(1+Inputs!$B$18))),AR48)))</f>
        <v>1373.8655</v>
      </c>
      <c r="AT48" s="11" t="n">
        <f aca="false">IF(AT$1&lt;Units!$P47,0,IF(AND(Units!$K47=0,AT$1=Units!$O47),Units!$R47,IF(AND(AT$1&gt;=Units!$Q47,MOD(AT$1-Units!$Q47,12)=0),IF(AND(Units!$L47=1,AT$1=Units!$Q47),IF(Units!$J47&lt;&gt;"",Units!$J47,Mkt!AT48),Inputs!$B$15*Mkt!AT48+(1-Inputs!$B$15)*MIN(Mkt!AT48,AS48*(1+Inputs!$B$18))),AS48)))</f>
        <v>1373.8655</v>
      </c>
      <c r="AU48" s="11" t="n">
        <f aca="false">IF(AU$1&lt;Units!$P47,0,IF(AND(Units!$K47=0,AU$1=Units!$O47),Units!$R47,IF(AND(AU$1&gt;=Units!$Q47,MOD(AU$1-Units!$Q47,12)=0),IF(AND(Units!$L47=1,AU$1=Units!$Q47),IF(Units!$J47&lt;&gt;"",Units!$J47,Mkt!AU48),Inputs!$B$15*Mkt!AU48+(1-Inputs!$B$15)*MIN(Mkt!AU48,AT48*(1+Inputs!$B$18))),AT48)))</f>
        <v>1373.8655</v>
      </c>
      <c r="AV48" s="11" t="n">
        <f aca="false">IF(AV$1&lt;Units!$P47,0,IF(AND(Units!$K47=0,AV$1=Units!$O47),Units!$R47,IF(AND(AV$1&gt;=Units!$Q47,MOD(AV$1-Units!$Q47,12)=0),IF(AND(Units!$L47=1,AV$1=Units!$Q47),IF(Units!$J47&lt;&gt;"",Units!$J47,Mkt!AV48),Inputs!$B$15*Mkt!AV48+(1-Inputs!$B$15)*MIN(Mkt!AV48,AU48*(1+Inputs!$B$18))),AU48)))</f>
        <v>1373.8655</v>
      </c>
      <c r="AW48" s="11" t="n">
        <f aca="false">IF(AW$1&lt;Units!$P47,0,IF(AND(Units!$K47=0,AW$1=Units!$O47),Units!$R47,IF(AND(AW$1&gt;=Units!$Q47,MOD(AW$1-Units!$Q47,12)=0),IF(AND(Units!$L47=1,AW$1=Units!$Q47),IF(Units!$J47&lt;&gt;"",Units!$J47,Mkt!AW48),Inputs!$B$15*Mkt!AW48+(1-Inputs!$B$15)*MIN(Mkt!AW48,AV48*(1+Inputs!$B$18))),AV48)))</f>
        <v>1373.8655</v>
      </c>
      <c r="AX48" s="11" t="n">
        <f aca="false">IF(AX$1&lt;Units!$P47,0,IF(AND(Units!$K47=0,AX$1=Units!$O47),Units!$R47,IF(AND(AX$1&gt;=Units!$Q47,MOD(AX$1-Units!$Q47,12)=0),IF(AND(Units!$L47=1,AX$1=Units!$Q47),IF(Units!$J47&lt;&gt;"",Units!$J47,Mkt!AX48),Inputs!$B$15*Mkt!AX48+(1-Inputs!$B$15)*MIN(Mkt!AX48,AW48*(1+Inputs!$B$18))),AW48)))</f>
        <v>1415.081465</v>
      </c>
      <c r="AY48" s="11" t="n">
        <f aca="false">IF(AY$1&lt;Units!$P47,0,IF(AND(Units!$K47=0,AY$1=Units!$O47),Units!$R47,IF(AND(AY$1&gt;=Units!$Q47,MOD(AY$1-Units!$Q47,12)=0),IF(AND(Units!$L47=1,AY$1=Units!$Q47),IF(Units!$J47&lt;&gt;"",Units!$J47,Mkt!AY48),Inputs!$B$15*Mkt!AY48+(1-Inputs!$B$15)*MIN(Mkt!AY48,AX48*(1+Inputs!$B$18))),AX48)))</f>
        <v>1415.081465</v>
      </c>
      <c r="AZ48" s="11" t="n">
        <f aca="false">IF(AZ$1&lt;Units!$P47,0,IF(AND(Units!$K47=0,AZ$1=Units!$O47),Units!$R47,IF(AND(AZ$1&gt;=Units!$Q47,MOD(AZ$1-Units!$Q47,12)=0),IF(AND(Units!$L47=1,AZ$1=Units!$Q47),IF(Units!$J47&lt;&gt;"",Units!$J47,Mkt!AZ48),Inputs!$B$15*Mkt!AZ48+(1-Inputs!$B$15)*MIN(Mkt!AZ48,AY48*(1+Inputs!$B$18))),AY48)))</f>
        <v>1415.081465</v>
      </c>
      <c r="BA48" s="11" t="n">
        <f aca="false">IF(BA$1&lt;Units!$P47,0,IF(AND(Units!$K47=0,BA$1=Units!$O47),Units!$R47,IF(AND(BA$1&gt;=Units!$Q47,MOD(BA$1-Units!$Q47,12)=0),IF(AND(Units!$L47=1,BA$1=Units!$Q47),IF(Units!$J47&lt;&gt;"",Units!$J47,Mkt!BA48),Inputs!$B$15*Mkt!BA48+(1-Inputs!$B$15)*MIN(Mkt!BA48,AZ48*(1+Inputs!$B$18))),AZ48)))</f>
        <v>1415.081465</v>
      </c>
      <c r="BB48" s="11" t="n">
        <f aca="false">IF(BB$1&lt;Units!$P47,0,IF(AND(Units!$K47=0,BB$1=Units!$O47),Units!$R47,IF(AND(BB$1&gt;=Units!$Q47,MOD(BB$1-Units!$Q47,12)=0),IF(AND(Units!$L47=1,BB$1=Units!$Q47),IF(Units!$J47&lt;&gt;"",Units!$J47,Mkt!BB48),Inputs!$B$15*Mkt!BB48+(1-Inputs!$B$15)*MIN(Mkt!BB48,BA48*(1+Inputs!$B$18))),BA48)))</f>
        <v>1415.081465</v>
      </c>
      <c r="BC48" s="11" t="n">
        <f aca="false">IF(BC$1&lt;Units!$P47,0,IF(AND(Units!$K47=0,BC$1=Units!$O47),Units!$R47,IF(AND(BC$1&gt;=Units!$Q47,MOD(BC$1-Units!$Q47,12)=0),IF(AND(Units!$L47=1,BC$1=Units!$Q47),IF(Units!$J47&lt;&gt;"",Units!$J47,Mkt!BC48),Inputs!$B$15*Mkt!BC48+(1-Inputs!$B$15)*MIN(Mkt!BC48,BB48*(1+Inputs!$B$18))),BB48)))</f>
        <v>1415.081465</v>
      </c>
      <c r="BD48" s="11" t="n">
        <f aca="false">IF(BD$1&lt;Units!$P47,0,IF(AND(Units!$K47=0,BD$1=Units!$O47),Units!$R47,IF(AND(BD$1&gt;=Units!$Q47,MOD(BD$1-Units!$Q47,12)=0),IF(AND(Units!$L47=1,BD$1=Units!$Q47),IF(Units!$J47&lt;&gt;"",Units!$J47,Mkt!BD48),Inputs!$B$15*Mkt!BD48+(1-Inputs!$B$15)*MIN(Mkt!BD48,BC48*(1+Inputs!$B$18))),BC48)))</f>
        <v>1415.081465</v>
      </c>
      <c r="BE48" s="11" t="n">
        <f aca="false">IF(BE$1&lt;Units!$P47,0,IF(AND(Units!$K47=0,BE$1=Units!$O47),Units!$R47,IF(AND(BE$1&gt;=Units!$Q47,MOD(BE$1-Units!$Q47,12)=0),IF(AND(Units!$L47=1,BE$1=Units!$Q47),IF(Units!$J47&lt;&gt;"",Units!$J47,Mkt!BE48),Inputs!$B$15*Mkt!BE48+(1-Inputs!$B$15)*MIN(Mkt!BE48,BD48*(1+Inputs!$B$18))),BD48)))</f>
        <v>1415.081465</v>
      </c>
      <c r="BF48" s="11" t="n">
        <f aca="false">IF(BF$1&lt;Units!$P47,0,IF(AND(Units!$K47=0,BF$1=Units!$O47),Units!$R47,IF(AND(BF$1&gt;=Units!$Q47,MOD(BF$1-Units!$Q47,12)=0),IF(AND(Units!$L47=1,BF$1=Units!$Q47),IF(Units!$J47&lt;&gt;"",Units!$J47,Mkt!BF48),Inputs!$B$15*Mkt!BF48+(1-Inputs!$B$15)*MIN(Mkt!BF48,BE48*(1+Inputs!$B$18))),BE48)))</f>
        <v>1415.081465</v>
      </c>
      <c r="BG48" s="11" t="n">
        <f aca="false">IF(BG$1&lt;Units!$P47,0,IF(AND(Units!$K47=0,BG$1=Units!$O47),Units!$R47,IF(AND(BG$1&gt;=Units!$Q47,MOD(BG$1-Units!$Q47,12)=0),IF(AND(Units!$L47=1,BG$1=Units!$Q47),IF(Units!$J47&lt;&gt;"",Units!$J47,Mkt!BG48),Inputs!$B$15*Mkt!BG48+(1-Inputs!$B$15)*MIN(Mkt!BG48,BF48*(1+Inputs!$B$18))),BF48)))</f>
        <v>1415.081465</v>
      </c>
      <c r="BH48" s="11" t="n">
        <f aca="false">IF(BH$1&lt;Units!$P47,0,IF(AND(Units!$K47=0,BH$1=Units!$O47),Units!$R47,IF(AND(BH$1&gt;=Units!$Q47,MOD(BH$1-Units!$Q47,12)=0),IF(AND(Units!$L47=1,BH$1=Units!$Q47),IF(Units!$J47&lt;&gt;"",Units!$J47,Mkt!BH48),Inputs!$B$15*Mkt!BH48+(1-Inputs!$B$15)*MIN(Mkt!BH48,BG48*(1+Inputs!$B$18))),BG48)))</f>
        <v>1415.081465</v>
      </c>
      <c r="BI48" s="11" t="n">
        <f aca="false">IF(BI$1&lt;Units!$P47,0,IF(AND(Units!$K47=0,BI$1=Units!$O47),Units!$R47,IF(AND(BI$1&gt;=Units!$Q47,MOD(BI$1-Units!$Q47,12)=0),IF(AND(Units!$L47=1,BI$1=Units!$Q47),IF(Units!$J47&lt;&gt;"",Units!$J47,Mkt!BI48),Inputs!$B$15*Mkt!BI48+(1-Inputs!$B$15)*MIN(Mkt!BI48,BH48*(1+Inputs!$B$18))),BH48)))</f>
        <v>1415.081465</v>
      </c>
      <c r="BJ48" s="11" t="n">
        <f aca="false">IF(BJ$1&lt;Units!$P47,0,IF(AND(Units!$K47=0,BJ$1=Units!$O47),Units!$R47,IF(AND(BJ$1&gt;=Units!$Q47,MOD(BJ$1-Units!$Q47,12)=0),IF(AND(Units!$L47=1,BJ$1=Units!$Q47),IF(Units!$J47&lt;&gt;"",Units!$J47,Mkt!BJ48),Inputs!$B$15*Mkt!BJ48+(1-Inputs!$B$15)*MIN(Mkt!BJ48,BI48*(1+Inputs!$B$18))),BI48)))</f>
        <v>1457.53390895</v>
      </c>
      <c r="BK48" s="11" t="n">
        <f aca="false">IF(BK$1&lt;Units!$P47,0,IF(AND(Units!$K47=0,BK$1=Units!$O47),Units!$R47,IF(AND(BK$1&gt;=Units!$Q47,MOD(BK$1-Units!$Q47,12)=0),IF(AND(Units!$L47=1,BK$1=Units!$Q47),IF(Units!$J47&lt;&gt;"",Units!$J47,Mkt!BK48),Inputs!$B$15*Mkt!BK48+(1-Inputs!$B$15)*MIN(Mkt!BK48,BJ48*(1+Inputs!$B$18))),BJ48)))</f>
        <v>1457.53390895</v>
      </c>
      <c r="BL48" s="11" t="n">
        <f aca="false">IF(BL$1&lt;Units!$P47,0,IF(AND(Units!$K47=0,BL$1=Units!$O47),Units!$R47,IF(AND(BL$1&gt;=Units!$Q47,MOD(BL$1-Units!$Q47,12)=0),IF(AND(Units!$L47=1,BL$1=Units!$Q47),IF(Units!$J47&lt;&gt;"",Units!$J47,Mkt!BL48),Inputs!$B$15*Mkt!BL48+(1-Inputs!$B$15)*MIN(Mkt!BL48,BK48*(1+Inputs!$B$18))),BK48)))</f>
        <v>1457.53390895</v>
      </c>
      <c r="BM48" s="11" t="n">
        <f aca="false">IF(BM$1&lt;Units!$P47,0,IF(AND(Units!$K47=0,BM$1=Units!$O47),Units!$R47,IF(AND(BM$1&gt;=Units!$Q47,MOD(BM$1-Units!$Q47,12)=0),IF(AND(Units!$L47=1,BM$1=Units!$Q47),IF(Units!$J47&lt;&gt;"",Units!$J47,Mkt!BM48),Inputs!$B$15*Mkt!BM48+(1-Inputs!$B$15)*MIN(Mkt!BM48,BL48*(1+Inputs!$B$18))),BL48)))</f>
        <v>1457.53390895</v>
      </c>
      <c r="BN48" s="11" t="n">
        <f aca="false">IF(BN$1&lt;Units!$P47,0,IF(AND(Units!$K47=0,BN$1=Units!$O47),Units!$R47,IF(AND(BN$1&gt;=Units!$Q47,MOD(BN$1-Units!$Q47,12)=0),IF(AND(Units!$L47=1,BN$1=Units!$Q47),IF(Units!$J47&lt;&gt;"",Units!$J47,Mkt!BN48),Inputs!$B$15*Mkt!BN48+(1-Inputs!$B$15)*MIN(Mkt!BN48,BM48*(1+Inputs!$B$18))),BM48)))</f>
        <v>1457.53390895</v>
      </c>
      <c r="BO48" s="11" t="n">
        <f aca="false">IF(BO$1&lt;Units!$P47,0,IF(AND(Units!$K47=0,BO$1=Units!$O47),Units!$R47,IF(AND(BO$1&gt;=Units!$Q47,MOD(BO$1-Units!$Q47,12)=0),IF(AND(Units!$L47=1,BO$1=Units!$Q47),IF(Units!$J47&lt;&gt;"",Units!$J47,Mkt!BO48),Inputs!$B$15*Mkt!BO48+(1-Inputs!$B$15)*MIN(Mkt!BO48,BN48*(1+Inputs!$B$18))),BN48)))</f>
        <v>1457.53390895</v>
      </c>
      <c r="BP48" s="11" t="n">
        <f aca="false">IF(BP$1&lt;Units!$P47,0,IF(AND(Units!$K47=0,BP$1=Units!$O47),Units!$R47,IF(AND(BP$1&gt;=Units!$Q47,MOD(BP$1-Units!$Q47,12)=0),IF(AND(Units!$L47=1,BP$1=Units!$Q47),IF(Units!$J47&lt;&gt;"",Units!$J47,Mkt!BP48),Inputs!$B$15*Mkt!BP48+(1-Inputs!$B$15)*MIN(Mkt!BP48,BO48*(1+Inputs!$B$18))),BO48)))</f>
        <v>1457.53390895</v>
      </c>
      <c r="BQ48" s="11" t="n">
        <f aca="false">IF(BQ$1&lt;Units!$P47,0,IF(AND(Units!$K47=0,BQ$1=Units!$O47),Units!$R47,IF(AND(BQ$1&gt;=Units!$Q47,MOD(BQ$1-Units!$Q47,12)=0),IF(AND(Units!$L47=1,BQ$1=Units!$Q47),IF(Units!$J47&lt;&gt;"",Units!$J47,Mkt!BQ48),Inputs!$B$15*Mkt!BQ48+(1-Inputs!$B$15)*MIN(Mkt!BQ48,BP48*(1+Inputs!$B$18))),BP48)))</f>
        <v>1457.53390895</v>
      </c>
      <c r="BR48" s="11" t="n">
        <f aca="false">IF(BR$1&lt;Units!$P47,0,IF(AND(Units!$K47=0,BR$1=Units!$O47),Units!$R47,IF(AND(BR$1&gt;=Units!$Q47,MOD(BR$1-Units!$Q47,12)=0),IF(AND(Units!$L47=1,BR$1=Units!$Q47),IF(Units!$J47&lt;&gt;"",Units!$J47,Mkt!BR48),Inputs!$B$15*Mkt!BR48+(1-Inputs!$B$15)*MIN(Mkt!BR48,BQ48*(1+Inputs!$B$18))),BQ48)))</f>
        <v>1457.53390895</v>
      </c>
      <c r="BS48" s="11" t="n">
        <f aca="false">IF(BS$1&lt;Units!$P47,0,IF(AND(Units!$K47=0,BS$1=Units!$O47),Units!$R47,IF(AND(BS$1&gt;=Units!$Q47,MOD(BS$1-Units!$Q47,12)=0),IF(AND(Units!$L47=1,BS$1=Units!$Q47),IF(Units!$J47&lt;&gt;"",Units!$J47,Mkt!BS48),Inputs!$B$15*Mkt!BS48+(1-Inputs!$B$15)*MIN(Mkt!BS48,BR48*(1+Inputs!$B$18))),BR48)))</f>
        <v>1457.53390895</v>
      </c>
      <c r="BT48" s="11" t="n">
        <f aca="false">IF(BT$1&lt;Units!$P47,0,IF(AND(Units!$K47=0,BT$1=Units!$O47),Units!$R47,IF(AND(BT$1&gt;=Units!$Q47,MOD(BT$1-Units!$Q47,12)=0),IF(AND(Units!$L47=1,BT$1=Units!$Q47),IF(Units!$J47&lt;&gt;"",Units!$J47,Mkt!BT48),Inputs!$B$15*Mkt!BT48+(1-Inputs!$B$15)*MIN(Mkt!BT48,BS48*(1+Inputs!$B$18))),BS48)))</f>
        <v>1457.53390895</v>
      </c>
      <c r="BU48" s="11" t="n">
        <f aca="false">IF(BU$1&lt;Units!$P47,0,IF(AND(Units!$K47=0,BU$1=Units!$O47),Units!$R47,IF(AND(BU$1&gt;=Units!$Q47,MOD(BU$1-Units!$Q47,12)=0),IF(AND(Units!$L47=1,BU$1=Units!$Q47),IF(Units!$J47&lt;&gt;"",Units!$J47,Mkt!BU48),Inputs!$B$15*Mkt!BU48+(1-Inputs!$B$15)*MIN(Mkt!BU48,BT48*(1+Inputs!$B$18))),BT48)))</f>
        <v>1457.53390895</v>
      </c>
      <c r="BV48" s="11" t="n">
        <f aca="false">IF(BV$1&lt;Units!$P47,0,IF(AND(Units!$K47=0,BV$1=Units!$O47),Units!$R47,IF(AND(BV$1&gt;=Units!$Q47,MOD(BV$1-Units!$Q47,12)=0),IF(AND(Units!$L47=1,BV$1=Units!$Q47),IF(Units!$J47&lt;&gt;"",Units!$J47,Mkt!BV48),Inputs!$B$15*Mkt!BV48+(1-Inputs!$B$15)*MIN(Mkt!BV48,BU48*(1+Inputs!$B$18))),BU48)))</f>
        <v>1501.2599262185</v>
      </c>
      <c r="BW48" s="11" t="n">
        <f aca="false">IF(BW$1&lt;Units!$P47,0,IF(AND(Units!$K47=0,BW$1=Units!$O47),Units!$R47,IF(AND(BW$1&gt;=Units!$Q47,MOD(BW$1-Units!$Q47,12)=0),IF(AND(Units!$L47=1,BW$1=Units!$Q47),IF(Units!$J47&lt;&gt;"",Units!$J47,Mkt!BW48),Inputs!$B$15*Mkt!BW48+(1-Inputs!$B$15)*MIN(Mkt!BW48,BV48*(1+Inputs!$B$18))),BV48)))</f>
        <v>1501.2599262185</v>
      </c>
      <c r="BX48" s="11" t="n">
        <f aca="false">IF(BX$1&lt;Units!$P47,0,IF(AND(Units!$K47=0,BX$1=Units!$O47),Units!$R47,IF(AND(BX$1&gt;=Units!$Q47,MOD(BX$1-Units!$Q47,12)=0),IF(AND(Units!$L47=1,BX$1=Units!$Q47),IF(Units!$J47&lt;&gt;"",Units!$J47,Mkt!BX48),Inputs!$B$15*Mkt!BX48+(1-Inputs!$B$15)*MIN(Mkt!BX48,BW48*(1+Inputs!$B$18))),BW48)))</f>
        <v>1501.2599262185</v>
      </c>
      <c r="BY48" s="11" t="n">
        <f aca="false">IF(BY$1&lt;Units!$P47,0,IF(AND(Units!$K47=0,BY$1=Units!$O47),Units!$R47,IF(AND(BY$1&gt;=Units!$Q47,MOD(BY$1-Units!$Q47,12)=0),IF(AND(Units!$L47=1,BY$1=Units!$Q47),IF(Units!$J47&lt;&gt;"",Units!$J47,Mkt!BY48),Inputs!$B$15*Mkt!BY48+(1-Inputs!$B$15)*MIN(Mkt!BY48,BX48*(1+Inputs!$B$18))),BX48)))</f>
        <v>1501.2599262185</v>
      </c>
      <c r="BZ48" s="11" t="n">
        <f aca="false">IF(BZ$1&lt;Units!$P47,0,IF(AND(Units!$K47=0,BZ$1=Units!$O47),Units!$R47,IF(AND(BZ$1&gt;=Units!$Q47,MOD(BZ$1-Units!$Q47,12)=0),IF(AND(Units!$L47=1,BZ$1=Units!$Q47),IF(Units!$J47&lt;&gt;"",Units!$J47,Mkt!BZ48),Inputs!$B$15*Mkt!BZ48+(1-Inputs!$B$15)*MIN(Mkt!BZ48,BY48*(1+Inputs!$B$18))),BY48)))</f>
        <v>1501.2599262185</v>
      </c>
      <c r="CA48" s="11" t="n">
        <f aca="false">IF(CA$1&lt;Units!$P47,0,IF(AND(Units!$K47=0,CA$1=Units!$O47),Units!$R47,IF(AND(CA$1&gt;=Units!$Q47,MOD(CA$1-Units!$Q47,12)=0),IF(AND(Units!$L47=1,CA$1=Units!$Q47),IF(Units!$J47&lt;&gt;"",Units!$J47,Mkt!CA48),Inputs!$B$15*Mkt!CA48+(1-Inputs!$B$15)*MIN(Mkt!CA48,BZ48*(1+Inputs!$B$18))),BZ48)))</f>
        <v>1501.2599262185</v>
      </c>
      <c r="CB48" s="11" t="n">
        <f aca="false">IF(CB$1&lt;Units!$P47,0,IF(AND(Units!$K47=0,CB$1=Units!$O47),Units!$R47,IF(AND(CB$1&gt;=Units!$Q47,MOD(CB$1-Units!$Q47,12)=0),IF(AND(Units!$L47=1,CB$1=Units!$Q47),IF(Units!$J47&lt;&gt;"",Units!$J47,Mkt!CB48),Inputs!$B$15*Mkt!CB48+(1-Inputs!$B$15)*MIN(Mkt!CB48,CA48*(1+Inputs!$B$18))),CA48)))</f>
        <v>1501.2599262185</v>
      </c>
      <c r="CC48" s="11" t="n">
        <f aca="false">IF(CC$1&lt;Units!$P47,0,IF(AND(Units!$K47=0,CC$1=Units!$O47),Units!$R47,IF(AND(CC$1&gt;=Units!$Q47,MOD(CC$1-Units!$Q47,12)=0),IF(AND(Units!$L47=1,CC$1=Units!$Q47),IF(Units!$J47&lt;&gt;"",Units!$J47,Mkt!CC48),Inputs!$B$15*Mkt!CC48+(1-Inputs!$B$15)*MIN(Mkt!CC48,CB48*(1+Inputs!$B$18))),CB48)))</f>
        <v>1501.2599262185</v>
      </c>
      <c r="CD48" s="11" t="n">
        <f aca="false">IF(CD$1&lt;Units!$P47,0,IF(AND(Units!$K47=0,CD$1=Units!$O47),Units!$R47,IF(AND(CD$1&gt;=Units!$Q47,MOD(CD$1-Units!$Q47,12)=0),IF(AND(Units!$L47=1,CD$1=Units!$Q47),IF(Units!$J47&lt;&gt;"",Units!$J47,Mkt!CD48),Inputs!$B$15*Mkt!CD48+(1-Inputs!$B$15)*MIN(Mkt!CD48,CC48*(1+Inputs!$B$18))),CC48)))</f>
        <v>1501.2599262185</v>
      </c>
      <c r="CE48" s="11" t="n">
        <f aca="false">IF(CE$1&lt;Units!$P47,0,IF(AND(Units!$K47=0,CE$1=Units!$O47),Units!$R47,IF(AND(CE$1&gt;=Units!$Q47,MOD(CE$1-Units!$Q47,12)=0),IF(AND(Units!$L47=1,CE$1=Units!$Q47),IF(Units!$J47&lt;&gt;"",Units!$J47,Mkt!CE48),Inputs!$B$15*Mkt!CE48+(1-Inputs!$B$15)*MIN(Mkt!CE48,CD48*(1+Inputs!$B$18))),CD48)))</f>
        <v>1501.2599262185</v>
      </c>
      <c r="CF48" s="11" t="n">
        <f aca="false">IF(CF$1&lt;Units!$P47,0,IF(AND(Units!$K47=0,CF$1=Units!$O47),Units!$R47,IF(AND(CF$1&gt;=Units!$Q47,MOD(CF$1-Units!$Q47,12)=0),IF(AND(Units!$L47=1,CF$1=Units!$Q47),IF(Units!$J47&lt;&gt;"",Units!$J47,Mkt!CF48),Inputs!$B$15*Mkt!CF48+(1-Inputs!$B$15)*MIN(Mkt!CF48,CE48*(1+Inputs!$B$18))),CE48)))</f>
        <v>1501.2599262185</v>
      </c>
      <c r="CG48" s="11" t="n">
        <f aca="false">IF(CG$1&lt;Units!$P47,0,IF(AND(Units!$K47=0,CG$1=Units!$O47),Units!$R47,IF(AND(CG$1&gt;=Units!$Q47,MOD(CG$1-Units!$Q47,12)=0),IF(AND(Units!$L47=1,CG$1=Units!$Q47),IF(Units!$J47&lt;&gt;"",Units!$J47,Mkt!CG48),Inputs!$B$15*Mkt!CG48+(1-Inputs!$B$15)*MIN(Mkt!CG48,CF48*(1+Inputs!$B$18))),CF48)))</f>
        <v>1501.2599262185</v>
      </c>
      <c r="CH48" s="11" t="n">
        <f aca="false">IF(CH$1&lt;Units!$P47,0,IF(AND(Units!$K47=0,CH$1=Units!$O47),Units!$R47,IF(AND(CH$1&gt;=Units!$Q47,MOD(CH$1-Units!$Q47,12)=0),IF(AND(Units!$L47=1,CH$1=Units!$Q47),IF(Units!$J47&lt;&gt;"",Units!$J47,Mkt!CH48),Inputs!$B$15*Mkt!CH48+(1-Inputs!$B$15)*MIN(Mkt!CH48,CG48*(1+Inputs!$B$18))),CG48)))</f>
        <v>1546.29772400506</v>
      </c>
      <c r="CI48" s="11" t="n">
        <f aca="false">IF(CI$1&lt;Units!$P47,0,IF(AND(Units!$K47=0,CI$1=Units!$O47),Units!$R47,IF(AND(CI$1&gt;=Units!$Q47,MOD(CI$1-Units!$Q47,12)=0),IF(AND(Units!$L47=1,CI$1=Units!$Q47),IF(Units!$J47&lt;&gt;"",Units!$J47,Mkt!CI48),Inputs!$B$15*Mkt!CI48+(1-Inputs!$B$15)*MIN(Mkt!CI48,CH48*(1+Inputs!$B$18))),CH48)))</f>
        <v>1546.29772400506</v>
      </c>
      <c r="CJ48" s="11" t="n">
        <f aca="false">IF(CJ$1&lt;Units!$P47,0,IF(AND(Units!$K47=0,CJ$1=Units!$O47),Units!$R47,IF(AND(CJ$1&gt;=Units!$Q47,MOD(CJ$1-Units!$Q47,12)=0),IF(AND(Units!$L47=1,CJ$1=Units!$Q47),IF(Units!$J47&lt;&gt;"",Units!$J47,Mkt!CJ48),Inputs!$B$15*Mkt!CJ48+(1-Inputs!$B$15)*MIN(Mkt!CJ48,CI48*(1+Inputs!$B$18))),CI48)))</f>
        <v>1546.29772400506</v>
      </c>
      <c r="CK48" s="11" t="n">
        <f aca="false">IF(CK$1&lt;Units!$P47,0,IF(AND(Units!$K47=0,CK$1=Units!$O47),Units!$R47,IF(AND(CK$1&gt;=Units!$Q47,MOD(CK$1-Units!$Q47,12)=0),IF(AND(Units!$L47=1,CK$1=Units!$Q47),IF(Units!$J47&lt;&gt;"",Units!$J47,Mkt!CK48),Inputs!$B$15*Mkt!CK48+(1-Inputs!$B$15)*MIN(Mkt!CK48,CJ48*(1+Inputs!$B$18))),CJ48)))</f>
        <v>1546.29772400506</v>
      </c>
      <c r="CL48" s="11" t="n">
        <f aca="false">IF(CL$1&lt;Units!$P47,0,IF(AND(Units!$K47=0,CL$1=Units!$O47),Units!$R47,IF(AND(CL$1&gt;=Units!$Q47,MOD(CL$1-Units!$Q47,12)=0),IF(AND(Units!$L47=1,CL$1=Units!$Q47),IF(Units!$J47&lt;&gt;"",Units!$J47,Mkt!CL48),Inputs!$B$15*Mkt!CL48+(1-Inputs!$B$15)*MIN(Mkt!CL48,CK48*(1+Inputs!$B$18))),CK48)))</f>
        <v>1546.29772400506</v>
      </c>
      <c r="CM48" s="11" t="n">
        <f aca="false">IF(CM$1&lt;Units!$P47,0,IF(AND(Units!$K47=0,CM$1=Units!$O47),Units!$R47,IF(AND(CM$1&gt;=Units!$Q47,MOD(CM$1-Units!$Q47,12)=0),IF(AND(Units!$L47=1,CM$1=Units!$Q47),IF(Units!$J47&lt;&gt;"",Units!$J47,Mkt!CM48),Inputs!$B$15*Mkt!CM48+(1-Inputs!$B$15)*MIN(Mkt!CM48,CL48*(1+Inputs!$B$18))),CL48)))</f>
        <v>1546.29772400506</v>
      </c>
      <c r="CN48" s="11" t="n">
        <f aca="false">IF(CN$1&lt;Units!$P47,0,IF(AND(Units!$K47=0,CN$1=Units!$O47),Units!$R47,IF(AND(CN$1&gt;=Units!$Q47,MOD(CN$1-Units!$Q47,12)=0),IF(AND(Units!$L47=1,CN$1=Units!$Q47),IF(Units!$J47&lt;&gt;"",Units!$J47,Mkt!CN48),Inputs!$B$15*Mkt!CN48+(1-Inputs!$B$15)*MIN(Mkt!CN48,CM48*(1+Inputs!$B$18))),CM48)))</f>
        <v>1546.29772400506</v>
      </c>
      <c r="CO48" s="11" t="n">
        <f aca="false">IF(CO$1&lt;Units!$P47,0,IF(AND(Units!$K47=0,CO$1=Units!$O47),Units!$R47,IF(AND(CO$1&gt;=Units!$Q47,MOD(CO$1-Units!$Q47,12)=0),IF(AND(Units!$L47=1,CO$1=Units!$Q47),IF(Units!$J47&lt;&gt;"",Units!$J47,Mkt!CO48),Inputs!$B$15*Mkt!CO48+(1-Inputs!$B$15)*MIN(Mkt!CO48,CN48*(1+Inputs!$B$18))),CN48)))</f>
        <v>1546.29772400506</v>
      </c>
      <c r="CP48" s="11" t="n">
        <f aca="false">IF(CP$1&lt;Units!$P47,0,IF(AND(Units!$K47=0,CP$1=Units!$O47),Units!$R47,IF(AND(CP$1&gt;=Units!$Q47,MOD(CP$1-Units!$Q47,12)=0),IF(AND(Units!$L47=1,CP$1=Units!$Q47),IF(Units!$J47&lt;&gt;"",Units!$J47,Mkt!CP48),Inputs!$B$15*Mkt!CP48+(1-Inputs!$B$15)*MIN(Mkt!CP48,CO48*(1+Inputs!$B$18))),CO48)))</f>
        <v>1546.29772400506</v>
      </c>
      <c r="CQ48" s="11" t="n">
        <f aca="false">IF(CQ$1&lt;Units!$P47,0,IF(AND(Units!$K47=0,CQ$1=Units!$O47),Units!$R47,IF(AND(CQ$1&gt;=Units!$Q47,MOD(CQ$1-Units!$Q47,12)=0),IF(AND(Units!$L47=1,CQ$1=Units!$Q47),IF(Units!$J47&lt;&gt;"",Units!$J47,Mkt!CQ48),Inputs!$B$15*Mkt!CQ48+(1-Inputs!$B$15)*MIN(Mkt!CQ48,CP48*(1+Inputs!$B$18))),CP48)))</f>
        <v>1546.29772400506</v>
      </c>
      <c r="CR48" s="11" t="n">
        <f aca="false">IF(CR$1&lt;Units!$P47,0,IF(AND(Units!$K47=0,CR$1=Units!$O47),Units!$R47,IF(AND(CR$1&gt;=Units!$Q47,MOD(CR$1-Units!$Q47,12)=0),IF(AND(Units!$L47=1,CR$1=Units!$Q47),IF(Units!$J47&lt;&gt;"",Units!$J47,Mkt!CR48),Inputs!$B$15*Mkt!CR48+(1-Inputs!$B$15)*MIN(Mkt!CR48,CQ48*(1+Inputs!$B$18))),CQ48)))</f>
        <v>1546.29772400506</v>
      </c>
      <c r="CS48" s="11" t="n">
        <f aca="false">IF(CS$1&lt;Units!$P47,0,IF(AND(Units!$K47=0,CS$1=Units!$O47),Units!$R47,IF(AND(CS$1&gt;=Units!$Q47,MOD(CS$1-Units!$Q47,12)=0),IF(AND(Units!$L47=1,CS$1=Units!$Q47),IF(Units!$J47&lt;&gt;"",Units!$J47,Mkt!CS48),Inputs!$B$15*Mkt!CS48+(1-Inputs!$B$15)*MIN(Mkt!CS48,CR48*(1+Inputs!$B$18))),CR48)))</f>
        <v>1546.29772400506</v>
      </c>
      <c r="CT48" s="11" t="n">
        <f aca="false">IF(CT$1&lt;Units!$P47,0,IF(AND(Units!$K47=0,CT$1=Units!$O47),Units!$R47,IF(AND(CT$1&gt;=Units!$Q47,MOD(CT$1-Units!$Q47,12)=0),IF(AND(Units!$L47=1,CT$1=Units!$Q47),IF(Units!$J47&lt;&gt;"",Units!$J47,Mkt!CT48),Inputs!$B$15*Mkt!CT48+(1-Inputs!$B$15)*MIN(Mkt!CT48,CS48*(1+Inputs!$B$18))),CS48)))</f>
        <v>1592.68665572521</v>
      </c>
      <c r="CU48" s="11" t="n">
        <f aca="false">IF(CU$1&lt;Units!$P47,0,IF(AND(Units!$K47=0,CU$1=Units!$O47),Units!$R47,IF(AND(CU$1&gt;=Units!$Q47,MOD(CU$1-Units!$Q47,12)=0),IF(AND(Units!$L47=1,CU$1=Units!$Q47),IF(Units!$J47&lt;&gt;"",Units!$J47,Mkt!CU48),Inputs!$B$15*Mkt!CU48+(1-Inputs!$B$15)*MIN(Mkt!CU48,CT48*(1+Inputs!$B$18))),CT48)))</f>
        <v>1592.68665572521</v>
      </c>
      <c r="CV48" s="11" t="n">
        <f aca="false">IF(CV$1&lt;Units!$P47,0,IF(AND(Units!$K47=0,CV$1=Units!$O47),Units!$R47,IF(AND(CV$1&gt;=Units!$Q47,MOD(CV$1-Units!$Q47,12)=0),IF(AND(Units!$L47=1,CV$1=Units!$Q47),IF(Units!$J47&lt;&gt;"",Units!$J47,Mkt!CV48),Inputs!$B$15*Mkt!CV48+(1-Inputs!$B$15)*MIN(Mkt!CV48,CU48*(1+Inputs!$B$18))),CU48)))</f>
        <v>1592.68665572521</v>
      </c>
      <c r="CW48" s="11" t="n">
        <f aca="false">IF(CW$1&lt;Units!$P47,0,IF(AND(Units!$K47=0,CW$1=Units!$O47),Units!$R47,IF(AND(CW$1&gt;=Units!$Q47,MOD(CW$1-Units!$Q47,12)=0),IF(AND(Units!$L47=1,CW$1=Units!$Q47),IF(Units!$J47&lt;&gt;"",Units!$J47,Mkt!CW48),Inputs!$B$15*Mkt!CW48+(1-Inputs!$B$15)*MIN(Mkt!CW48,CV48*(1+Inputs!$B$18))),CV48)))</f>
        <v>1592.68665572521</v>
      </c>
      <c r="CX48" s="11" t="n">
        <f aca="false">IF(CX$1&lt;Units!$P47,0,IF(AND(Units!$K47=0,CX$1=Units!$O47),Units!$R47,IF(AND(CX$1&gt;=Units!$Q47,MOD(CX$1-Units!$Q47,12)=0),IF(AND(Units!$L47=1,CX$1=Units!$Q47),IF(Units!$J47&lt;&gt;"",Units!$J47,Mkt!CX48),Inputs!$B$15*Mkt!CX48+(1-Inputs!$B$15)*MIN(Mkt!CX48,CW48*(1+Inputs!$B$18))),CW48)))</f>
        <v>1592.68665572521</v>
      </c>
      <c r="CY48" s="11" t="n">
        <f aca="false">IF(CY$1&lt;Units!$P47,0,IF(AND(Units!$K47=0,CY$1=Units!$O47),Units!$R47,IF(AND(CY$1&gt;=Units!$Q47,MOD(CY$1-Units!$Q47,12)=0),IF(AND(Units!$L47=1,CY$1=Units!$Q47),IF(Units!$J47&lt;&gt;"",Units!$J47,Mkt!CY48),Inputs!$B$15*Mkt!CY48+(1-Inputs!$B$15)*MIN(Mkt!CY48,CX48*(1+Inputs!$B$18))),CX48)))</f>
        <v>1592.68665572521</v>
      </c>
      <c r="CZ48" s="11" t="n">
        <f aca="false">IF(CZ$1&lt;Units!$P47,0,IF(AND(Units!$K47=0,CZ$1=Units!$O47),Units!$R47,IF(AND(CZ$1&gt;=Units!$Q47,MOD(CZ$1-Units!$Q47,12)=0),IF(AND(Units!$L47=1,CZ$1=Units!$Q47),IF(Units!$J47&lt;&gt;"",Units!$J47,Mkt!CZ48),Inputs!$B$15*Mkt!CZ48+(1-Inputs!$B$15)*MIN(Mkt!CZ48,CY48*(1+Inputs!$B$18))),CY48)))</f>
        <v>1592.68665572521</v>
      </c>
      <c r="DA48" s="11" t="n">
        <f aca="false">IF(DA$1&lt;Units!$P47,0,IF(AND(Units!$K47=0,DA$1=Units!$O47),Units!$R47,IF(AND(DA$1&gt;=Units!$Q47,MOD(DA$1-Units!$Q47,12)=0),IF(AND(Units!$L47=1,DA$1=Units!$Q47),IF(Units!$J47&lt;&gt;"",Units!$J47,Mkt!DA48),Inputs!$B$15*Mkt!DA48+(1-Inputs!$B$15)*MIN(Mkt!DA48,CZ48*(1+Inputs!$B$18))),CZ48)))</f>
        <v>1592.68665572521</v>
      </c>
      <c r="DB48" s="11" t="n">
        <f aca="false">IF(DB$1&lt;Units!$P47,0,IF(AND(Units!$K47=0,DB$1=Units!$O47),Units!$R47,IF(AND(DB$1&gt;=Units!$Q47,MOD(DB$1-Units!$Q47,12)=0),IF(AND(Units!$L47=1,DB$1=Units!$Q47),IF(Units!$J47&lt;&gt;"",Units!$J47,Mkt!DB48),Inputs!$B$15*Mkt!DB48+(1-Inputs!$B$15)*MIN(Mkt!DB48,DA48*(1+Inputs!$B$18))),DA48)))</f>
        <v>1592.68665572521</v>
      </c>
      <c r="DC48" s="11" t="n">
        <f aca="false">IF(DC$1&lt;Units!$P47,0,IF(AND(Units!$K47=0,DC$1=Units!$O47),Units!$R47,IF(AND(DC$1&gt;=Units!$Q47,MOD(DC$1-Units!$Q47,12)=0),IF(AND(Units!$L47=1,DC$1=Units!$Q47),IF(Units!$J47&lt;&gt;"",Units!$J47,Mkt!DC48),Inputs!$B$15*Mkt!DC48+(1-Inputs!$B$15)*MIN(Mkt!DC48,DB48*(1+Inputs!$B$18))),DB48)))</f>
        <v>1592.68665572521</v>
      </c>
      <c r="DD48" s="11" t="n">
        <f aca="false">IF(DD$1&lt;Units!$P47,0,IF(AND(Units!$K47=0,DD$1=Units!$O47),Units!$R47,IF(AND(DD$1&gt;=Units!$Q47,MOD(DD$1-Units!$Q47,12)=0),IF(AND(Units!$L47=1,DD$1=Units!$Q47),IF(Units!$J47&lt;&gt;"",Units!$J47,Mkt!DD48),Inputs!$B$15*Mkt!DD48+(1-Inputs!$B$15)*MIN(Mkt!DD48,DC48*(1+Inputs!$B$18))),DC48)))</f>
        <v>1592.68665572521</v>
      </c>
      <c r="DE48" s="11" t="n">
        <f aca="false">IF(DE$1&lt;Units!$P47,0,IF(AND(Units!$K47=0,DE$1=Units!$O47),Units!$R47,IF(AND(DE$1&gt;=Units!$Q47,MOD(DE$1-Units!$Q47,12)=0),IF(AND(Units!$L47=1,DE$1=Units!$Q47),IF(Units!$J47&lt;&gt;"",Units!$J47,Mkt!DE48),Inputs!$B$15*Mkt!DE48+(1-Inputs!$B$15)*MIN(Mkt!DE48,DD48*(1+Inputs!$B$18))),DD48)))</f>
        <v>1592.68665572521</v>
      </c>
      <c r="DF48" s="11" t="n">
        <f aca="false">IF(DF$1&lt;Units!$P47,0,IF(AND(Units!$K47=0,DF$1=Units!$O47),Units!$R47,IF(AND(DF$1&gt;=Units!$Q47,MOD(DF$1-Units!$Q47,12)=0),IF(AND(Units!$L47=1,DF$1=Units!$Q47),IF(Units!$J47&lt;&gt;"",Units!$J47,Mkt!DF48),Inputs!$B$15*Mkt!DF48+(1-Inputs!$B$15)*MIN(Mkt!DF48,DE48*(1+Inputs!$B$18))),DE48)))</f>
        <v>1640.46725539696</v>
      </c>
      <c r="DG48" s="11" t="n">
        <f aca="false">IF(DG$1&lt;Units!$P47,0,IF(AND(Units!$K47=0,DG$1=Units!$O47),Units!$R47,IF(AND(DG$1&gt;=Units!$Q47,MOD(DG$1-Units!$Q47,12)=0),IF(AND(Units!$L47=1,DG$1=Units!$Q47),IF(Units!$J47&lt;&gt;"",Units!$J47,Mkt!DG48),Inputs!$B$15*Mkt!DG48+(1-Inputs!$B$15)*MIN(Mkt!DG48,DF48*(1+Inputs!$B$18))),DF48)))</f>
        <v>1640.46725539696</v>
      </c>
      <c r="DH48" s="11" t="n">
        <f aca="false">IF(DH$1&lt;Units!$P47,0,IF(AND(Units!$K47=0,DH$1=Units!$O47),Units!$R47,IF(AND(DH$1&gt;=Units!$Q47,MOD(DH$1-Units!$Q47,12)=0),IF(AND(Units!$L47=1,DH$1=Units!$Q47),IF(Units!$J47&lt;&gt;"",Units!$J47,Mkt!DH48),Inputs!$B$15*Mkt!DH48+(1-Inputs!$B$15)*MIN(Mkt!DH48,DG48*(1+Inputs!$B$18))),DG48)))</f>
        <v>1640.46725539696</v>
      </c>
      <c r="DI48" s="11" t="n">
        <f aca="false">IF(DI$1&lt;Units!$P47,0,IF(AND(Units!$K47=0,DI$1=Units!$O47),Units!$R47,IF(AND(DI$1&gt;=Units!$Q47,MOD(DI$1-Units!$Q47,12)=0),IF(AND(Units!$L47=1,DI$1=Units!$Q47),IF(Units!$J47&lt;&gt;"",Units!$J47,Mkt!DI48),Inputs!$B$15*Mkt!DI48+(1-Inputs!$B$15)*MIN(Mkt!DI48,DH48*(1+Inputs!$B$18))),DH48)))</f>
        <v>1640.46725539696</v>
      </c>
      <c r="DJ48" s="11" t="n">
        <f aca="false">IF(DJ$1&lt;Units!$P47,0,IF(AND(Units!$K47=0,DJ$1=Units!$O47),Units!$R47,IF(AND(DJ$1&gt;=Units!$Q47,MOD(DJ$1-Units!$Q47,12)=0),IF(AND(Units!$L47=1,DJ$1=Units!$Q47),IF(Units!$J47&lt;&gt;"",Units!$J47,Mkt!DJ48),Inputs!$B$15*Mkt!DJ48+(1-Inputs!$B$15)*MIN(Mkt!DJ48,DI48*(1+Inputs!$B$18))),DI48)))</f>
        <v>1640.46725539696</v>
      </c>
      <c r="DK48" s="11" t="n">
        <f aca="false">IF(DK$1&lt;Units!$P47,0,IF(AND(Units!$K47=0,DK$1=Units!$O47),Units!$R47,IF(AND(DK$1&gt;=Units!$Q47,MOD(DK$1-Units!$Q47,12)=0),IF(AND(Units!$L47=1,DK$1=Units!$Q47),IF(Units!$J47&lt;&gt;"",Units!$J47,Mkt!DK48),Inputs!$B$15*Mkt!DK48+(1-Inputs!$B$15)*MIN(Mkt!DK48,DJ48*(1+Inputs!$B$18))),DJ48)))</f>
        <v>1640.46725539696</v>
      </c>
      <c r="DL48" s="11" t="n">
        <f aca="false">IF(DL$1&lt;Units!$P47,0,IF(AND(Units!$K47=0,DL$1=Units!$O47),Units!$R47,IF(AND(DL$1&gt;=Units!$Q47,MOD(DL$1-Units!$Q47,12)=0),IF(AND(Units!$L47=1,DL$1=Units!$Q47),IF(Units!$J47&lt;&gt;"",Units!$J47,Mkt!DL48),Inputs!$B$15*Mkt!DL48+(1-Inputs!$B$15)*MIN(Mkt!DL48,DK48*(1+Inputs!$B$18))),DK48)))</f>
        <v>1640.46725539696</v>
      </c>
      <c r="DM48" s="11" t="n">
        <f aca="false">IF(DM$1&lt;Units!$P47,0,IF(AND(Units!$K47=0,DM$1=Units!$O47),Units!$R47,IF(AND(DM$1&gt;=Units!$Q47,MOD(DM$1-Units!$Q47,12)=0),IF(AND(Units!$L47=1,DM$1=Units!$Q47),IF(Units!$J47&lt;&gt;"",Units!$J47,Mkt!DM48),Inputs!$B$15*Mkt!DM48+(1-Inputs!$B$15)*MIN(Mkt!DM48,DL48*(1+Inputs!$B$18))),DL48)))</f>
        <v>1640.46725539696</v>
      </c>
      <c r="DN48" s="11" t="n">
        <f aca="false">IF(DN$1&lt;Units!$P47,0,IF(AND(Units!$K47=0,DN$1=Units!$O47),Units!$R47,IF(AND(DN$1&gt;=Units!$Q47,MOD(DN$1-Units!$Q47,12)=0),IF(AND(Units!$L47=1,DN$1=Units!$Q47),IF(Units!$J47&lt;&gt;"",Units!$J47,Mkt!DN48),Inputs!$B$15*Mkt!DN48+(1-Inputs!$B$15)*MIN(Mkt!DN48,DM48*(1+Inputs!$B$18))),DM48)))</f>
        <v>1640.46725539696</v>
      </c>
      <c r="DO48" s="11" t="n">
        <f aca="false">IF(DO$1&lt;Units!$P47,0,IF(AND(Units!$K47=0,DO$1=Units!$O47),Units!$R47,IF(AND(DO$1&gt;=Units!$Q47,MOD(DO$1-Units!$Q47,12)=0),IF(AND(Units!$L47=1,DO$1=Units!$Q47),IF(Units!$J47&lt;&gt;"",Units!$J47,Mkt!DO48),Inputs!$B$15*Mkt!DO48+(1-Inputs!$B$15)*MIN(Mkt!DO48,DN48*(1+Inputs!$B$18))),DN48)))</f>
        <v>1640.46725539696</v>
      </c>
      <c r="DP48" s="11" t="n">
        <f aca="false">IF(DP$1&lt;Units!$P47,0,IF(AND(Units!$K47=0,DP$1=Units!$O47),Units!$R47,IF(AND(DP$1&gt;=Units!$Q47,MOD(DP$1-Units!$Q47,12)=0),IF(AND(Units!$L47=1,DP$1=Units!$Q47),IF(Units!$J47&lt;&gt;"",Units!$J47,Mkt!DP48),Inputs!$B$15*Mkt!DP48+(1-Inputs!$B$15)*MIN(Mkt!DP48,DO48*(1+Inputs!$B$18))),DO48)))</f>
        <v>1640.46725539696</v>
      </c>
      <c r="DQ48" s="11" t="n">
        <f aca="false">IF(DQ$1&lt;Units!$P47,0,IF(AND(Units!$K47=0,DQ$1=Units!$O47),Units!$R47,IF(AND(DQ$1&gt;=Units!$Q47,MOD(DQ$1-Units!$Q47,12)=0),IF(AND(Units!$L47=1,DQ$1=Units!$Q47),IF(Units!$J47&lt;&gt;"",Units!$J47,Mkt!DQ48),Inputs!$B$15*Mkt!DQ48+(1-Inputs!$B$15)*MIN(Mkt!DQ48,DP48*(1+Inputs!$B$18))),DP48)))</f>
        <v>1640.46725539696</v>
      </c>
      <c r="DR48" s="11" t="n">
        <f aca="false">IF(DR$1&lt;Units!$P47,0,IF(AND(Units!$K47=0,DR$1=Units!$O47),Units!$R47,IF(AND(DR$1&gt;=Units!$Q47,MOD(DR$1-Units!$Q47,12)=0),IF(AND(Units!$L47=1,DR$1=Units!$Q47),IF(Units!$J47&lt;&gt;"",Units!$J47,Mkt!DR48),Inputs!$B$15*Mkt!DR48+(1-Inputs!$B$15)*MIN(Mkt!DR48,DQ48*(1+Inputs!$B$18))),DQ48)))</f>
        <v>1689.68127305887</v>
      </c>
      <c r="DS48" s="11" t="n">
        <f aca="false">IF(DS$1&lt;Units!$P47,0,IF(AND(Units!$K47=0,DS$1=Units!$O47),Units!$R47,IF(AND(DS$1&gt;=Units!$Q47,MOD(DS$1-Units!$Q47,12)=0),IF(AND(Units!$L47=1,DS$1=Units!$Q47),IF(Units!$J47&lt;&gt;"",Units!$J47,Mkt!DS48),Inputs!$B$15*Mkt!DS48+(1-Inputs!$B$15)*MIN(Mkt!DS48,DR48*(1+Inputs!$B$18))),DR48)))</f>
        <v>1689.68127305887</v>
      </c>
      <c r="DT48" s="11" t="n">
        <f aca="false">IF(DT$1&lt;Units!$P47,0,IF(AND(Units!$K47=0,DT$1=Units!$O47),Units!$R47,IF(AND(DT$1&gt;=Units!$Q47,MOD(DT$1-Units!$Q47,12)=0),IF(AND(Units!$L47=1,DT$1=Units!$Q47),IF(Units!$J47&lt;&gt;"",Units!$J47,Mkt!DT48),Inputs!$B$15*Mkt!DT48+(1-Inputs!$B$15)*MIN(Mkt!DT48,DS48*(1+Inputs!$B$18))),DS48)))</f>
        <v>1689.68127305887</v>
      </c>
      <c r="DU48" s="11" t="n">
        <f aca="false">IF(DU$1&lt;Units!$P47,0,IF(AND(Units!$K47=0,DU$1=Units!$O47),Units!$R47,IF(AND(DU$1&gt;=Units!$Q47,MOD(DU$1-Units!$Q47,12)=0),IF(AND(Units!$L47=1,DU$1=Units!$Q47),IF(Units!$J47&lt;&gt;"",Units!$J47,Mkt!DU48),Inputs!$B$15*Mkt!DU48+(1-Inputs!$B$15)*MIN(Mkt!DU48,DT48*(1+Inputs!$B$18))),DT48)))</f>
        <v>1689.68127305887</v>
      </c>
      <c r="DV48" s="11" t="n">
        <f aca="false">IF(DV$1&lt;Units!$P47,0,IF(AND(Units!$K47=0,DV$1=Units!$O47),Units!$R47,IF(AND(DV$1&gt;=Units!$Q47,MOD(DV$1-Units!$Q47,12)=0),IF(AND(Units!$L47=1,DV$1=Units!$Q47),IF(Units!$J47&lt;&gt;"",Units!$J47,Mkt!DV48),Inputs!$B$15*Mkt!DV48+(1-Inputs!$B$15)*MIN(Mkt!DV48,DU48*(1+Inputs!$B$18))),DU48)))</f>
        <v>1689.68127305887</v>
      </c>
      <c r="DW48" s="11" t="n">
        <f aca="false">IF(DW$1&lt;Units!$P47,0,IF(AND(Units!$K47=0,DW$1=Units!$O47),Units!$R47,IF(AND(DW$1&gt;=Units!$Q47,MOD(DW$1-Units!$Q47,12)=0),IF(AND(Units!$L47=1,DW$1=Units!$Q47),IF(Units!$J47&lt;&gt;"",Units!$J47,Mkt!DW48),Inputs!$B$15*Mkt!DW48+(1-Inputs!$B$15)*MIN(Mkt!DW48,DV48*(1+Inputs!$B$18))),DV48)))</f>
        <v>1689.68127305887</v>
      </c>
      <c r="DX48" s="11" t="n">
        <f aca="false">IF(DX$1&lt;Units!$P47,0,IF(AND(Units!$K47=0,DX$1=Units!$O47),Units!$R47,IF(AND(DX$1&gt;=Units!$Q47,MOD(DX$1-Units!$Q47,12)=0),IF(AND(Units!$L47=1,DX$1=Units!$Q47),IF(Units!$J47&lt;&gt;"",Units!$J47,Mkt!DX48),Inputs!$B$15*Mkt!DX48+(1-Inputs!$B$15)*MIN(Mkt!DX48,DW48*(1+Inputs!$B$18))),DW48)))</f>
        <v>1689.68127305887</v>
      </c>
      <c r="DY48" s="11" t="n">
        <f aca="false">IF(DY$1&lt;Units!$P47,0,IF(AND(Units!$K47=0,DY$1=Units!$O47),Units!$R47,IF(AND(DY$1&gt;=Units!$Q47,MOD(DY$1-Units!$Q47,12)=0),IF(AND(Units!$L47=1,DY$1=Units!$Q47),IF(Units!$J47&lt;&gt;"",Units!$J47,Mkt!DY48),Inputs!$B$15*Mkt!DY48+(1-Inputs!$B$15)*MIN(Mkt!DY48,DX48*(1+Inputs!$B$18))),DX48)))</f>
        <v>1689.68127305887</v>
      </c>
      <c r="DZ48" s="11" t="n">
        <f aca="false">IF(DZ$1&lt;Units!$P47,0,IF(AND(Units!$K47=0,DZ$1=Units!$O47),Units!$R47,IF(AND(DZ$1&gt;=Units!$Q47,MOD(DZ$1-Units!$Q47,12)=0),IF(AND(Units!$L47=1,DZ$1=Units!$Q47),IF(Units!$J47&lt;&gt;"",Units!$J47,Mkt!DZ48),Inputs!$B$15*Mkt!DZ48+(1-Inputs!$B$15)*MIN(Mkt!DZ48,DY48*(1+Inputs!$B$18))),DY48)))</f>
        <v>1689.68127305887</v>
      </c>
      <c r="EA48" s="11" t="n">
        <f aca="false">IF(EA$1&lt;Units!$P47,0,IF(AND(Units!$K47=0,EA$1=Units!$O47),Units!$R47,IF(AND(EA$1&gt;=Units!$Q47,MOD(EA$1-Units!$Q47,12)=0),IF(AND(Units!$L47=1,EA$1=Units!$Q47),IF(Units!$J47&lt;&gt;"",Units!$J47,Mkt!EA48),Inputs!$B$15*Mkt!EA48+(1-Inputs!$B$15)*MIN(Mkt!EA48,DZ48*(1+Inputs!$B$18))),DZ48)))</f>
        <v>1689.68127305887</v>
      </c>
      <c r="EB48" s="11" t="n">
        <f aca="false">IF(EB$1&lt;Units!$P47,0,IF(AND(Units!$K47=0,EB$1=Units!$O47),Units!$R47,IF(AND(EB$1&gt;=Units!$Q47,MOD(EB$1-Units!$Q47,12)=0),IF(AND(Units!$L47=1,EB$1=Units!$Q47),IF(Units!$J47&lt;&gt;"",Units!$J47,Mkt!EB48),Inputs!$B$15*Mkt!EB48+(1-Inputs!$B$15)*MIN(Mkt!EB48,EA48*(1+Inputs!$B$18))),EA48)))</f>
        <v>1689.68127305887</v>
      </c>
      <c r="EC48" s="11" t="n">
        <f aca="false">IF(EC$1&lt;Units!$P47,0,IF(AND(Units!$K47=0,EC$1=Units!$O47),Units!$R47,IF(AND(EC$1&gt;=Units!$Q47,MOD(EC$1-Units!$Q47,12)=0),IF(AND(Units!$L47=1,EC$1=Units!$Q47),IF(Units!$J47&lt;&gt;"",Units!$J47,Mkt!EC48),Inputs!$B$15*Mkt!EC48+(1-Inputs!$B$15)*MIN(Mkt!EC48,EB48*(1+Inputs!$B$18))),EB48)))</f>
        <v>1689.68127305887</v>
      </c>
      <c r="ED48" s="11" t="n">
        <f aca="false">IF(ED$1&lt;Units!$P47,0,IF(AND(Units!$K47=0,ED$1=Units!$O47),Units!$R47,IF(AND(ED$1&gt;=Units!$Q47,MOD(ED$1-Units!$Q47,12)=0),IF(AND(Units!$L47=1,ED$1=Units!$Q47),IF(Units!$J47&lt;&gt;"",Units!$J47,Mkt!ED48),Inputs!$B$15*Mkt!ED48+(1-Inputs!$B$15)*MIN(Mkt!ED48,EC48*(1+Inputs!$B$18))),EC48)))</f>
        <v>1740.37171125064</v>
      </c>
    </row>
    <row r="49" customFormat="false" ht="15" hidden="false" customHeight="false" outlineLevel="0" collapsed="false">
      <c r="A49" s="22" t="n">
        <f aca="false">Units!A48</f>
        <v>217</v>
      </c>
      <c r="B49" s="24" t="n">
        <f aca="false">IF(Units!K48=1,Units!F48,0)</f>
        <v>1330</v>
      </c>
      <c r="C49" s="11" t="n">
        <f aca="false">IF(C$1&lt;Units!$P48,0,IF(AND(Units!$K48=0,C$1=Units!$O48),Units!$R48,IF(AND(C$1&gt;=Units!$Q48,MOD(C$1-Units!$Q48,12)=0),IF(AND(Units!$L48=1,C$1=Units!$Q48),IF(Units!$J48&lt;&gt;"",Units!$J48,Mkt!C49),Inputs!$B$15*Mkt!C49+(1-Inputs!$B$15)*MIN(Mkt!C49,B49*(1+Inputs!$B$18))),B49)))</f>
        <v>1330</v>
      </c>
      <c r="D49" s="11" t="n">
        <f aca="false">IF(D$1&lt;Units!$P48,0,IF(AND(Units!$K48=0,D$1=Units!$O48),Units!$R48,IF(AND(D$1&gt;=Units!$Q48,MOD(D$1-Units!$Q48,12)=0),IF(AND(Units!$L48=1,D$1=Units!$Q48),IF(Units!$J48&lt;&gt;"",Units!$J48,Mkt!D49),Inputs!$B$15*Mkt!D49+(1-Inputs!$B$15)*MIN(Mkt!D49,C49*(1+Inputs!$B$18))),C49)))</f>
        <v>1330</v>
      </c>
      <c r="E49" s="11" t="n">
        <f aca="false">IF(E$1&lt;Units!$P48,0,IF(AND(Units!$K48=0,E$1=Units!$O48),Units!$R48,IF(AND(E$1&gt;=Units!$Q48,MOD(E$1-Units!$Q48,12)=0),IF(AND(Units!$L48=1,E$1=Units!$Q48),IF(Units!$J48&lt;&gt;"",Units!$J48,Mkt!E49),Inputs!$B$15*Mkt!E49+(1-Inputs!$B$15)*MIN(Mkt!E49,D49*(1+Inputs!$B$18))),D49)))</f>
        <v>1330</v>
      </c>
      <c r="F49" s="11" t="n">
        <f aca="false">IF(F$1&lt;Units!$P48,0,IF(AND(Units!$K48=0,F$1=Units!$O48),Units!$R48,IF(AND(F$1&gt;=Units!$Q48,MOD(F$1-Units!$Q48,12)=0),IF(AND(Units!$L48=1,F$1=Units!$Q48),IF(Units!$J48&lt;&gt;"",Units!$J48,Mkt!F49),Inputs!$B$15*Mkt!F49+(1-Inputs!$B$15)*MIN(Mkt!F49,E49*(1+Inputs!$B$18))),E49)))</f>
        <v>1330</v>
      </c>
      <c r="G49" s="11" t="n">
        <f aca="false">IF(G$1&lt;Units!$P48,0,IF(AND(Units!$K48=0,G$1=Units!$O48),Units!$R48,IF(AND(G$1&gt;=Units!$Q48,MOD(G$1-Units!$Q48,12)=0),IF(AND(Units!$L48=1,G$1=Units!$Q48),IF(Units!$J48&lt;&gt;"",Units!$J48,Mkt!G49),Inputs!$B$15*Mkt!G49+(1-Inputs!$B$15)*MIN(Mkt!G49,F49*(1+Inputs!$B$18))),F49)))</f>
        <v>1330</v>
      </c>
      <c r="H49" s="11" t="n">
        <f aca="false">IF(H$1&lt;Units!$P48,0,IF(AND(Units!$K48=0,H$1=Units!$O48),Units!$R48,IF(AND(H$1&gt;=Units!$Q48,MOD(H$1-Units!$Q48,12)=0),IF(AND(Units!$L48=1,H$1=Units!$Q48),IF(Units!$J48&lt;&gt;"",Units!$J48,Mkt!H49),Inputs!$B$15*Mkt!H49+(1-Inputs!$B$15)*MIN(Mkt!H49,G49*(1+Inputs!$B$18))),G49)))</f>
        <v>1330</v>
      </c>
      <c r="I49" s="11" t="n">
        <f aca="false">IF(I$1&lt;Units!$P48,0,IF(AND(Units!$K48=0,I$1=Units!$O48),Units!$R48,IF(AND(I$1&gt;=Units!$Q48,MOD(I$1-Units!$Q48,12)=0),IF(AND(Units!$L48=1,I$1=Units!$Q48),IF(Units!$J48&lt;&gt;"",Units!$J48,Mkt!I49),Inputs!$B$15*Mkt!I49+(1-Inputs!$B$15)*MIN(Mkt!I49,H49*(1+Inputs!$B$18))),H49)))</f>
        <v>1295</v>
      </c>
      <c r="J49" s="11" t="n">
        <f aca="false">IF(J$1&lt;Units!$P48,0,IF(AND(Units!$K48=0,J$1=Units!$O48),Units!$R48,IF(AND(J$1&gt;=Units!$Q48,MOD(J$1-Units!$Q48,12)=0),IF(AND(Units!$L48=1,J$1=Units!$Q48),IF(Units!$J48&lt;&gt;"",Units!$J48,Mkt!J49),Inputs!$B$15*Mkt!J49+(1-Inputs!$B$15)*MIN(Mkt!J49,I49*(1+Inputs!$B$18))),I49)))</f>
        <v>1295</v>
      </c>
      <c r="K49" s="11" t="n">
        <f aca="false">IF(K$1&lt;Units!$P48,0,IF(AND(Units!$K48=0,K$1=Units!$O48),Units!$R48,IF(AND(K$1&gt;=Units!$Q48,MOD(K$1-Units!$Q48,12)=0),IF(AND(Units!$L48=1,K$1=Units!$Q48),IF(Units!$J48&lt;&gt;"",Units!$J48,Mkt!K49),Inputs!$B$15*Mkt!K49+(1-Inputs!$B$15)*MIN(Mkt!K49,J49*(1+Inputs!$B$18))),J49)))</f>
        <v>1295</v>
      </c>
      <c r="L49" s="11" t="n">
        <f aca="false">IF(L$1&lt;Units!$P48,0,IF(AND(Units!$K48=0,L$1=Units!$O48),Units!$R48,IF(AND(L$1&gt;=Units!$Q48,MOD(L$1-Units!$Q48,12)=0),IF(AND(Units!$L48=1,L$1=Units!$Q48),IF(Units!$J48&lt;&gt;"",Units!$J48,Mkt!L49),Inputs!$B$15*Mkt!L49+(1-Inputs!$B$15)*MIN(Mkt!L49,K49*(1+Inputs!$B$18))),K49)))</f>
        <v>1295</v>
      </c>
      <c r="M49" s="11" t="n">
        <f aca="false">IF(M$1&lt;Units!$P48,0,IF(AND(Units!$K48=0,M$1=Units!$O48),Units!$R48,IF(AND(M$1&gt;=Units!$Q48,MOD(M$1-Units!$Q48,12)=0),IF(AND(Units!$L48=1,M$1=Units!$Q48),IF(Units!$J48&lt;&gt;"",Units!$J48,Mkt!M49),Inputs!$B$15*Mkt!M49+(1-Inputs!$B$15)*MIN(Mkt!M49,L49*(1+Inputs!$B$18))),L49)))</f>
        <v>1295</v>
      </c>
      <c r="N49" s="11" t="n">
        <f aca="false">IF(N$1&lt;Units!$P48,0,IF(AND(Units!$K48=0,N$1=Units!$O48),Units!$R48,IF(AND(N$1&gt;=Units!$Q48,MOD(N$1-Units!$Q48,12)=0),IF(AND(Units!$L48=1,N$1=Units!$Q48),IF(Units!$J48&lt;&gt;"",Units!$J48,Mkt!N49),Inputs!$B$15*Mkt!N49+(1-Inputs!$B$15)*MIN(Mkt!N49,M49*(1+Inputs!$B$18))),M49)))</f>
        <v>1295</v>
      </c>
      <c r="O49" s="11" t="n">
        <f aca="false">IF(O$1&lt;Units!$P48,0,IF(AND(Units!$K48=0,O$1=Units!$O48),Units!$R48,IF(AND(O$1&gt;=Units!$Q48,MOD(O$1-Units!$Q48,12)=0),IF(AND(Units!$L48=1,O$1=Units!$Q48),IF(Units!$J48&lt;&gt;"",Units!$J48,Mkt!O49),Inputs!$B$15*Mkt!O49+(1-Inputs!$B$15)*MIN(Mkt!O49,N49*(1+Inputs!$B$18))),N49)))</f>
        <v>1295</v>
      </c>
      <c r="P49" s="11" t="n">
        <f aca="false">IF(P$1&lt;Units!$P48,0,IF(AND(Units!$K48=0,P$1=Units!$O48),Units!$R48,IF(AND(P$1&gt;=Units!$Q48,MOD(P$1-Units!$Q48,12)=0),IF(AND(Units!$L48=1,P$1=Units!$Q48),IF(Units!$J48&lt;&gt;"",Units!$J48,Mkt!P49),Inputs!$B$15*Mkt!P49+(1-Inputs!$B$15)*MIN(Mkt!P49,O49*(1+Inputs!$B$18))),O49)))</f>
        <v>1295</v>
      </c>
      <c r="Q49" s="11" t="n">
        <f aca="false">IF(Q$1&lt;Units!$P48,0,IF(AND(Units!$K48=0,Q$1=Units!$O48),Units!$R48,IF(AND(Q$1&gt;=Units!$Q48,MOD(Q$1-Units!$Q48,12)=0),IF(AND(Units!$L48=1,Q$1=Units!$Q48),IF(Units!$J48&lt;&gt;"",Units!$J48,Mkt!Q49),Inputs!$B$15*Mkt!Q49+(1-Inputs!$B$15)*MIN(Mkt!Q49,P49*(1+Inputs!$B$18))),P49)))</f>
        <v>1295</v>
      </c>
      <c r="R49" s="11" t="n">
        <f aca="false">IF(R$1&lt;Units!$P48,0,IF(AND(Units!$K48=0,R$1=Units!$O48),Units!$R48,IF(AND(R$1&gt;=Units!$Q48,MOD(R$1-Units!$Q48,12)=0),IF(AND(Units!$L48=1,R$1=Units!$Q48),IF(Units!$J48&lt;&gt;"",Units!$J48,Mkt!R49),Inputs!$B$15*Mkt!R49+(1-Inputs!$B$15)*MIN(Mkt!R49,Q49*(1+Inputs!$B$18))),Q49)))</f>
        <v>1295</v>
      </c>
      <c r="S49" s="11" t="n">
        <f aca="false">IF(S$1&lt;Units!$P48,0,IF(AND(Units!$K48=0,S$1=Units!$O48),Units!$R48,IF(AND(S$1&gt;=Units!$Q48,MOD(S$1-Units!$Q48,12)=0),IF(AND(Units!$L48=1,S$1=Units!$Q48),IF(Units!$J48&lt;&gt;"",Units!$J48,Mkt!S49),Inputs!$B$15*Mkt!S49+(1-Inputs!$B$15)*MIN(Mkt!S49,R49*(1+Inputs!$B$18))),R49)))</f>
        <v>1295</v>
      </c>
      <c r="T49" s="11" t="n">
        <f aca="false">IF(T$1&lt;Units!$P48,0,IF(AND(Units!$K48=0,T$1=Units!$O48),Units!$R48,IF(AND(T$1&gt;=Units!$Q48,MOD(T$1-Units!$Q48,12)=0),IF(AND(Units!$L48=1,T$1=Units!$Q48),IF(Units!$J48&lt;&gt;"",Units!$J48,Mkt!T49),Inputs!$B$15*Mkt!T49+(1-Inputs!$B$15)*MIN(Mkt!T49,S49*(1+Inputs!$B$18))),S49)))</f>
        <v>1295</v>
      </c>
      <c r="U49" s="11" t="n">
        <f aca="false">IF(U$1&lt;Units!$P48,0,IF(AND(Units!$K48=0,U$1=Units!$O48),Units!$R48,IF(AND(U$1&gt;=Units!$Q48,MOD(U$1-Units!$Q48,12)=0),IF(AND(Units!$L48=1,U$1=Units!$Q48),IF(Units!$J48&lt;&gt;"",Units!$J48,Mkt!U49),Inputs!$B$15*Mkt!U49+(1-Inputs!$B$15)*MIN(Mkt!U49,T49*(1+Inputs!$B$18))),T49)))</f>
        <v>1333.85</v>
      </c>
      <c r="V49" s="11" t="n">
        <f aca="false">IF(V$1&lt;Units!$P48,0,IF(AND(Units!$K48=0,V$1=Units!$O48),Units!$R48,IF(AND(V$1&gt;=Units!$Q48,MOD(V$1-Units!$Q48,12)=0),IF(AND(Units!$L48=1,V$1=Units!$Q48),IF(Units!$J48&lt;&gt;"",Units!$J48,Mkt!V49),Inputs!$B$15*Mkt!V49+(1-Inputs!$B$15)*MIN(Mkt!V49,U49*(1+Inputs!$B$18))),U49)))</f>
        <v>1333.85</v>
      </c>
      <c r="W49" s="11" t="n">
        <f aca="false">IF(W$1&lt;Units!$P48,0,IF(AND(Units!$K48=0,W$1=Units!$O48),Units!$R48,IF(AND(W$1&gt;=Units!$Q48,MOD(W$1-Units!$Q48,12)=0),IF(AND(Units!$L48=1,W$1=Units!$Q48),IF(Units!$J48&lt;&gt;"",Units!$J48,Mkt!W49),Inputs!$B$15*Mkt!W49+(1-Inputs!$B$15)*MIN(Mkt!W49,V49*(1+Inputs!$B$18))),V49)))</f>
        <v>1333.85</v>
      </c>
      <c r="X49" s="11" t="n">
        <f aca="false">IF(X$1&lt;Units!$P48,0,IF(AND(Units!$K48=0,X$1=Units!$O48),Units!$R48,IF(AND(X$1&gt;=Units!$Q48,MOD(X$1-Units!$Q48,12)=0),IF(AND(Units!$L48=1,X$1=Units!$Q48),IF(Units!$J48&lt;&gt;"",Units!$J48,Mkt!X49),Inputs!$B$15*Mkt!X49+(1-Inputs!$B$15)*MIN(Mkt!X49,W49*(1+Inputs!$B$18))),W49)))</f>
        <v>1333.85</v>
      </c>
      <c r="Y49" s="11" t="n">
        <f aca="false">IF(Y$1&lt;Units!$P48,0,IF(AND(Units!$K48=0,Y$1=Units!$O48),Units!$R48,IF(AND(Y$1&gt;=Units!$Q48,MOD(Y$1-Units!$Q48,12)=0),IF(AND(Units!$L48=1,Y$1=Units!$Q48),IF(Units!$J48&lt;&gt;"",Units!$J48,Mkt!Y49),Inputs!$B$15*Mkt!Y49+(1-Inputs!$B$15)*MIN(Mkt!Y49,X49*(1+Inputs!$B$18))),X49)))</f>
        <v>1333.85</v>
      </c>
      <c r="Z49" s="11" t="n">
        <f aca="false">IF(Z$1&lt;Units!$P48,0,IF(AND(Units!$K48=0,Z$1=Units!$O48),Units!$R48,IF(AND(Z$1&gt;=Units!$Q48,MOD(Z$1-Units!$Q48,12)=0),IF(AND(Units!$L48=1,Z$1=Units!$Q48),IF(Units!$J48&lt;&gt;"",Units!$J48,Mkt!Z49),Inputs!$B$15*Mkt!Z49+(1-Inputs!$B$15)*MIN(Mkt!Z49,Y49*(1+Inputs!$B$18))),Y49)))</f>
        <v>1333.85</v>
      </c>
      <c r="AA49" s="11" t="n">
        <f aca="false">IF(AA$1&lt;Units!$P48,0,IF(AND(Units!$K48=0,AA$1=Units!$O48),Units!$R48,IF(AND(AA$1&gt;=Units!$Q48,MOD(AA$1-Units!$Q48,12)=0),IF(AND(Units!$L48=1,AA$1=Units!$Q48),IF(Units!$J48&lt;&gt;"",Units!$J48,Mkt!AA49),Inputs!$B$15*Mkt!AA49+(1-Inputs!$B$15)*MIN(Mkt!AA49,Z49*(1+Inputs!$B$18))),Z49)))</f>
        <v>1333.85</v>
      </c>
      <c r="AB49" s="11" t="n">
        <f aca="false">IF(AB$1&lt;Units!$P48,0,IF(AND(Units!$K48=0,AB$1=Units!$O48),Units!$R48,IF(AND(AB$1&gt;=Units!$Q48,MOD(AB$1-Units!$Q48,12)=0),IF(AND(Units!$L48=1,AB$1=Units!$Q48),IF(Units!$J48&lt;&gt;"",Units!$J48,Mkt!AB49),Inputs!$B$15*Mkt!AB49+(1-Inputs!$B$15)*MIN(Mkt!AB49,AA49*(1+Inputs!$B$18))),AA49)))</f>
        <v>1333.85</v>
      </c>
      <c r="AC49" s="11" t="n">
        <f aca="false">IF(AC$1&lt;Units!$P48,0,IF(AND(Units!$K48=0,AC$1=Units!$O48),Units!$R48,IF(AND(AC$1&gt;=Units!$Q48,MOD(AC$1-Units!$Q48,12)=0),IF(AND(Units!$L48=1,AC$1=Units!$Q48),IF(Units!$J48&lt;&gt;"",Units!$J48,Mkt!AC49),Inputs!$B$15*Mkt!AC49+(1-Inputs!$B$15)*MIN(Mkt!AC49,AB49*(1+Inputs!$B$18))),AB49)))</f>
        <v>1333.85</v>
      </c>
      <c r="AD49" s="11" t="n">
        <f aca="false">IF(AD$1&lt;Units!$P48,0,IF(AND(Units!$K48=0,AD$1=Units!$O48),Units!$R48,IF(AND(AD$1&gt;=Units!$Q48,MOD(AD$1-Units!$Q48,12)=0),IF(AND(Units!$L48=1,AD$1=Units!$Q48),IF(Units!$J48&lt;&gt;"",Units!$J48,Mkt!AD49),Inputs!$B$15*Mkt!AD49+(1-Inputs!$B$15)*MIN(Mkt!AD49,AC49*(1+Inputs!$B$18))),AC49)))</f>
        <v>1333.85</v>
      </c>
      <c r="AE49" s="11" t="n">
        <f aca="false">IF(AE$1&lt;Units!$P48,0,IF(AND(Units!$K48=0,AE$1=Units!$O48),Units!$R48,IF(AND(AE$1&gt;=Units!$Q48,MOD(AE$1-Units!$Q48,12)=0),IF(AND(Units!$L48=1,AE$1=Units!$Q48),IF(Units!$J48&lt;&gt;"",Units!$J48,Mkt!AE49),Inputs!$B$15*Mkt!AE49+(1-Inputs!$B$15)*MIN(Mkt!AE49,AD49*(1+Inputs!$B$18))),AD49)))</f>
        <v>1333.85</v>
      </c>
      <c r="AF49" s="11" t="n">
        <f aca="false">IF(AF$1&lt;Units!$P48,0,IF(AND(Units!$K48=0,AF$1=Units!$O48),Units!$R48,IF(AND(AF$1&gt;=Units!$Q48,MOD(AF$1-Units!$Q48,12)=0),IF(AND(Units!$L48=1,AF$1=Units!$Q48),IF(Units!$J48&lt;&gt;"",Units!$J48,Mkt!AF49),Inputs!$B$15*Mkt!AF49+(1-Inputs!$B$15)*MIN(Mkt!AF49,AE49*(1+Inputs!$B$18))),AE49)))</f>
        <v>1333.85</v>
      </c>
      <c r="AG49" s="11" t="n">
        <f aca="false">IF(AG$1&lt;Units!$P48,0,IF(AND(Units!$K48=0,AG$1=Units!$O48),Units!$R48,IF(AND(AG$1&gt;=Units!$Q48,MOD(AG$1-Units!$Q48,12)=0),IF(AND(Units!$L48=1,AG$1=Units!$Q48),IF(Units!$J48&lt;&gt;"",Units!$J48,Mkt!AG49),Inputs!$B$15*Mkt!AG49+(1-Inputs!$B$15)*MIN(Mkt!AG49,AF49*(1+Inputs!$B$18))),AF49)))</f>
        <v>1373.8655</v>
      </c>
      <c r="AH49" s="11" t="n">
        <f aca="false">IF(AH$1&lt;Units!$P48,0,IF(AND(Units!$K48=0,AH$1=Units!$O48),Units!$R48,IF(AND(AH$1&gt;=Units!$Q48,MOD(AH$1-Units!$Q48,12)=0),IF(AND(Units!$L48=1,AH$1=Units!$Q48),IF(Units!$J48&lt;&gt;"",Units!$J48,Mkt!AH49),Inputs!$B$15*Mkt!AH49+(1-Inputs!$B$15)*MIN(Mkt!AH49,AG49*(1+Inputs!$B$18))),AG49)))</f>
        <v>1373.8655</v>
      </c>
      <c r="AI49" s="11" t="n">
        <f aca="false">IF(AI$1&lt;Units!$P48,0,IF(AND(Units!$K48=0,AI$1=Units!$O48),Units!$R48,IF(AND(AI$1&gt;=Units!$Q48,MOD(AI$1-Units!$Q48,12)=0),IF(AND(Units!$L48=1,AI$1=Units!$Q48),IF(Units!$J48&lt;&gt;"",Units!$J48,Mkt!AI49),Inputs!$B$15*Mkt!AI49+(1-Inputs!$B$15)*MIN(Mkt!AI49,AH49*(1+Inputs!$B$18))),AH49)))</f>
        <v>1373.8655</v>
      </c>
      <c r="AJ49" s="11" t="n">
        <f aca="false">IF(AJ$1&lt;Units!$P48,0,IF(AND(Units!$K48=0,AJ$1=Units!$O48),Units!$R48,IF(AND(AJ$1&gt;=Units!$Q48,MOD(AJ$1-Units!$Q48,12)=0),IF(AND(Units!$L48=1,AJ$1=Units!$Q48),IF(Units!$J48&lt;&gt;"",Units!$J48,Mkt!AJ49),Inputs!$B$15*Mkt!AJ49+(1-Inputs!$B$15)*MIN(Mkt!AJ49,AI49*(1+Inputs!$B$18))),AI49)))</f>
        <v>1373.8655</v>
      </c>
      <c r="AK49" s="11" t="n">
        <f aca="false">IF(AK$1&lt;Units!$P48,0,IF(AND(Units!$K48=0,AK$1=Units!$O48),Units!$R48,IF(AND(AK$1&gt;=Units!$Q48,MOD(AK$1-Units!$Q48,12)=0),IF(AND(Units!$L48=1,AK$1=Units!$Q48),IF(Units!$J48&lt;&gt;"",Units!$J48,Mkt!AK49),Inputs!$B$15*Mkt!AK49+(1-Inputs!$B$15)*MIN(Mkt!AK49,AJ49*(1+Inputs!$B$18))),AJ49)))</f>
        <v>1373.8655</v>
      </c>
      <c r="AL49" s="11" t="n">
        <f aca="false">IF(AL$1&lt;Units!$P48,0,IF(AND(Units!$K48=0,AL$1=Units!$O48),Units!$R48,IF(AND(AL$1&gt;=Units!$Q48,MOD(AL$1-Units!$Q48,12)=0),IF(AND(Units!$L48=1,AL$1=Units!$Q48),IF(Units!$J48&lt;&gt;"",Units!$J48,Mkt!AL49),Inputs!$B$15*Mkt!AL49+(1-Inputs!$B$15)*MIN(Mkt!AL49,AK49*(1+Inputs!$B$18))),AK49)))</f>
        <v>1373.8655</v>
      </c>
      <c r="AM49" s="11" t="n">
        <f aca="false">IF(AM$1&lt;Units!$P48,0,IF(AND(Units!$K48=0,AM$1=Units!$O48),Units!$R48,IF(AND(AM$1&gt;=Units!$Q48,MOD(AM$1-Units!$Q48,12)=0),IF(AND(Units!$L48=1,AM$1=Units!$Q48),IF(Units!$J48&lt;&gt;"",Units!$J48,Mkt!AM49),Inputs!$B$15*Mkt!AM49+(1-Inputs!$B$15)*MIN(Mkt!AM49,AL49*(1+Inputs!$B$18))),AL49)))</f>
        <v>1373.8655</v>
      </c>
      <c r="AN49" s="11" t="n">
        <f aca="false">IF(AN$1&lt;Units!$P48,0,IF(AND(Units!$K48=0,AN$1=Units!$O48),Units!$R48,IF(AND(AN$1&gt;=Units!$Q48,MOD(AN$1-Units!$Q48,12)=0),IF(AND(Units!$L48=1,AN$1=Units!$Q48),IF(Units!$J48&lt;&gt;"",Units!$J48,Mkt!AN49),Inputs!$B$15*Mkt!AN49+(1-Inputs!$B$15)*MIN(Mkt!AN49,AM49*(1+Inputs!$B$18))),AM49)))</f>
        <v>1373.8655</v>
      </c>
      <c r="AO49" s="11" t="n">
        <f aca="false">IF(AO$1&lt;Units!$P48,0,IF(AND(Units!$K48=0,AO$1=Units!$O48),Units!$R48,IF(AND(AO$1&gt;=Units!$Q48,MOD(AO$1-Units!$Q48,12)=0),IF(AND(Units!$L48=1,AO$1=Units!$Q48),IF(Units!$J48&lt;&gt;"",Units!$J48,Mkt!AO49),Inputs!$B$15*Mkt!AO49+(1-Inputs!$B$15)*MIN(Mkt!AO49,AN49*(1+Inputs!$B$18))),AN49)))</f>
        <v>1373.8655</v>
      </c>
      <c r="AP49" s="11" t="n">
        <f aca="false">IF(AP$1&lt;Units!$P48,0,IF(AND(Units!$K48=0,AP$1=Units!$O48),Units!$R48,IF(AND(AP$1&gt;=Units!$Q48,MOD(AP$1-Units!$Q48,12)=0),IF(AND(Units!$L48=1,AP$1=Units!$Q48),IF(Units!$J48&lt;&gt;"",Units!$J48,Mkt!AP49),Inputs!$B$15*Mkt!AP49+(1-Inputs!$B$15)*MIN(Mkt!AP49,AO49*(1+Inputs!$B$18))),AO49)))</f>
        <v>1373.8655</v>
      </c>
      <c r="AQ49" s="11" t="n">
        <f aca="false">IF(AQ$1&lt;Units!$P48,0,IF(AND(Units!$K48=0,AQ$1=Units!$O48),Units!$R48,IF(AND(AQ$1&gt;=Units!$Q48,MOD(AQ$1-Units!$Q48,12)=0),IF(AND(Units!$L48=1,AQ$1=Units!$Q48),IF(Units!$J48&lt;&gt;"",Units!$J48,Mkt!AQ49),Inputs!$B$15*Mkt!AQ49+(1-Inputs!$B$15)*MIN(Mkt!AQ49,AP49*(1+Inputs!$B$18))),AP49)))</f>
        <v>1373.8655</v>
      </c>
      <c r="AR49" s="11" t="n">
        <f aca="false">IF(AR$1&lt;Units!$P48,0,IF(AND(Units!$K48=0,AR$1=Units!$O48),Units!$R48,IF(AND(AR$1&gt;=Units!$Q48,MOD(AR$1-Units!$Q48,12)=0),IF(AND(Units!$L48=1,AR$1=Units!$Q48),IF(Units!$J48&lt;&gt;"",Units!$J48,Mkt!AR49),Inputs!$B$15*Mkt!AR49+(1-Inputs!$B$15)*MIN(Mkt!AR49,AQ49*(1+Inputs!$B$18))),AQ49)))</f>
        <v>1373.8655</v>
      </c>
      <c r="AS49" s="11" t="n">
        <f aca="false">IF(AS$1&lt;Units!$P48,0,IF(AND(Units!$K48=0,AS$1=Units!$O48),Units!$R48,IF(AND(AS$1&gt;=Units!$Q48,MOD(AS$1-Units!$Q48,12)=0),IF(AND(Units!$L48=1,AS$1=Units!$Q48),IF(Units!$J48&lt;&gt;"",Units!$J48,Mkt!AS49),Inputs!$B$15*Mkt!AS49+(1-Inputs!$B$15)*MIN(Mkt!AS49,AR49*(1+Inputs!$B$18))),AR49)))</f>
        <v>1415.081465</v>
      </c>
      <c r="AT49" s="11" t="n">
        <f aca="false">IF(AT$1&lt;Units!$P48,0,IF(AND(Units!$K48=0,AT$1=Units!$O48),Units!$R48,IF(AND(AT$1&gt;=Units!$Q48,MOD(AT$1-Units!$Q48,12)=0),IF(AND(Units!$L48=1,AT$1=Units!$Q48),IF(Units!$J48&lt;&gt;"",Units!$J48,Mkt!AT49),Inputs!$B$15*Mkt!AT49+(1-Inputs!$B$15)*MIN(Mkt!AT49,AS49*(1+Inputs!$B$18))),AS49)))</f>
        <v>1415.081465</v>
      </c>
      <c r="AU49" s="11" t="n">
        <f aca="false">IF(AU$1&lt;Units!$P48,0,IF(AND(Units!$K48=0,AU$1=Units!$O48),Units!$R48,IF(AND(AU$1&gt;=Units!$Q48,MOD(AU$1-Units!$Q48,12)=0),IF(AND(Units!$L48=1,AU$1=Units!$Q48),IF(Units!$J48&lt;&gt;"",Units!$J48,Mkt!AU49),Inputs!$B$15*Mkt!AU49+(1-Inputs!$B$15)*MIN(Mkt!AU49,AT49*(1+Inputs!$B$18))),AT49)))</f>
        <v>1415.081465</v>
      </c>
      <c r="AV49" s="11" t="n">
        <f aca="false">IF(AV$1&lt;Units!$P48,0,IF(AND(Units!$K48=0,AV$1=Units!$O48),Units!$R48,IF(AND(AV$1&gt;=Units!$Q48,MOD(AV$1-Units!$Q48,12)=0),IF(AND(Units!$L48=1,AV$1=Units!$Q48),IF(Units!$J48&lt;&gt;"",Units!$J48,Mkt!AV49),Inputs!$B$15*Mkt!AV49+(1-Inputs!$B$15)*MIN(Mkt!AV49,AU49*(1+Inputs!$B$18))),AU49)))</f>
        <v>1415.081465</v>
      </c>
      <c r="AW49" s="11" t="n">
        <f aca="false">IF(AW$1&lt;Units!$P48,0,IF(AND(Units!$K48=0,AW$1=Units!$O48),Units!$R48,IF(AND(AW$1&gt;=Units!$Q48,MOD(AW$1-Units!$Q48,12)=0),IF(AND(Units!$L48=1,AW$1=Units!$Q48),IF(Units!$J48&lt;&gt;"",Units!$J48,Mkt!AW49),Inputs!$B$15*Mkt!AW49+(1-Inputs!$B$15)*MIN(Mkt!AW49,AV49*(1+Inputs!$B$18))),AV49)))</f>
        <v>1415.081465</v>
      </c>
      <c r="AX49" s="11" t="n">
        <f aca="false">IF(AX$1&lt;Units!$P48,0,IF(AND(Units!$K48=0,AX$1=Units!$O48),Units!$R48,IF(AND(AX$1&gt;=Units!$Q48,MOD(AX$1-Units!$Q48,12)=0),IF(AND(Units!$L48=1,AX$1=Units!$Q48),IF(Units!$J48&lt;&gt;"",Units!$J48,Mkt!AX49),Inputs!$B$15*Mkt!AX49+(1-Inputs!$B$15)*MIN(Mkt!AX49,AW49*(1+Inputs!$B$18))),AW49)))</f>
        <v>1415.081465</v>
      </c>
      <c r="AY49" s="11" t="n">
        <f aca="false">IF(AY$1&lt;Units!$P48,0,IF(AND(Units!$K48=0,AY$1=Units!$O48),Units!$R48,IF(AND(AY$1&gt;=Units!$Q48,MOD(AY$1-Units!$Q48,12)=0),IF(AND(Units!$L48=1,AY$1=Units!$Q48),IF(Units!$J48&lt;&gt;"",Units!$J48,Mkt!AY49),Inputs!$B$15*Mkt!AY49+(1-Inputs!$B$15)*MIN(Mkt!AY49,AX49*(1+Inputs!$B$18))),AX49)))</f>
        <v>1415.081465</v>
      </c>
      <c r="AZ49" s="11" t="n">
        <f aca="false">IF(AZ$1&lt;Units!$P48,0,IF(AND(Units!$K48=0,AZ$1=Units!$O48),Units!$R48,IF(AND(AZ$1&gt;=Units!$Q48,MOD(AZ$1-Units!$Q48,12)=0),IF(AND(Units!$L48=1,AZ$1=Units!$Q48),IF(Units!$J48&lt;&gt;"",Units!$J48,Mkt!AZ49),Inputs!$B$15*Mkt!AZ49+(1-Inputs!$B$15)*MIN(Mkt!AZ49,AY49*(1+Inputs!$B$18))),AY49)))</f>
        <v>1415.081465</v>
      </c>
      <c r="BA49" s="11" t="n">
        <f aca="false">IF(BA$1&lt;Units!$P48,0,IF(AND(Units!$K48=0,BA$1=Units!$O48),Units!$R48,IF(AND(BA$1&gt;=Units!$Q48,MOD(BA$1-Units!$Q48,12)=0),IF(AND(Units!$L48=1,BA$1=Units!$Q48),IF(Units!$J48&lt;&gt;"",Units!$J48,Mkt!BA49),Inputs!$B$15*Mkt!BA49+(1-Inputs!$B$15)*MIN(Mkt!BA49,AZ49*(1+Inputs!$B$18))),AZ49)))</f>
        <v>1415.081465</v>
      </c>
      <c r="BB49" s="11" t="n">
        <f aca="false">IF(BB$1&lt;Units!$P48,0,IF(AND(Units!$K48=0,BB$1=Units!$O48),Units!$R48,IF(AND(BB$1&gt;=Units!$Q48,MOD(BB$1-Units!$Q48,12)=0),IF(AND(Units!$L48=1,BB$1=Units!$Q48),IF(Units!$J48&lt;&gt;"",Units!$J48,Mkt!BB49),Inputs!$B$15*Mkt!BB49+(1-Inputs!$B$15)*MIN(Mkt!BB49,BA49*(1+Inputs!$B$18))),BA49)))</f>
        <v>1415.081465</v>
      </c>
      <c r="BC49" s="11" t="n">
        <f aca="false">IF(BC$1&lt;Units!$P48,0,IF(AND(Units!$K48=0,BC$1=Units!$O48),Units!$R48,IF(AND(BC$1&gt;=Units!$Q48,MOD(BC$1-Units!$Q48,12)=0),IF(AND(Units!$L48=1,BC$1=Units!$Q48),IF(Units!$J48&lt;&gt;"",Units!$J48,Mkt!BC49),Inputs!$B$15*Mkt!BC49+(1-Inputs!$B$15)*MIN(Mkt!BC49,BB49*(1+Inputs!$B$18))),BB49)))</f>
        <v>1415.081465</v>
      </c>
      <c r="BD49" s="11" t="n">
        <f aca="false">IF(BD$1&lt;Units!$P48,0,IF(AND(Units!$K48=0,BD$1=Units!$O48),Units!$R48,IF(AND(BD$1&gt;=Units!$Q48,MOD(BD$1-Units!$Q48,12)=0),IF(AND(Units!$L48=1,BD$1=Units!$Q48),IF(Units!$J48&lt;&gt;"",Units!$J48,Mkt!BD49),Inputs!$B$15*Mkt!BD49+(1-Inputs!$B$15)*MIN(Mkt!BD49,BC49*(1+Inputs!$B$18))),BC49)))</f>
        <v>1415.081465</v>
      </c>
      <c r="BE49" s="11" t="n">
        <f aca="false">IF(BE$1&lt;Units!$P48,0,IF(AND(Units!$K48=0,BE$1=Units!$O48),Units!$R48,IF(AND(BE$1&gt;=Units!$Q48,MOD(BE$1-Units!$Q48,12)=0),IF(AND(Units!$L48=1,BE$1=Units!$Q48),IF(Units!$J48&lt;&gt;"",Units!$J48,Mkt!BE49),Inputs!$B$15*Mkt!BE49+(1-Inputs!$B$15)*MIN(Mkt!BE49,BD49*(1+Inputs!$B$18))),BD49)))</f>
        <v>1457.53390895</v>
      </c>
      <c r="BF49" s="11" t="n">
        <f aca="false">IF(BF$1&lt;Units!$P48,0,IF(AND(Units!$K48=0,BF$1=Units!$O48),Units!$R48,IF(AND(BF$1&gt;=Units!$Q48,MOD(BF$1-Units!$Q48,12)=0),IF(AND(Units!$L48=1,BF$1=Units!$Q48),IF(Units!$J48&lt;&gt;"",Units!$J48,Mkt!BF49),Inputs!$B$15*Mkt!BF49+(1-Inputs!$B$15)*MIN(Mkt!BF49,BE49*(1+Inputs!$B$18))),BE49)))</f>
        <v>1457.53390895</v>
      </c>
      <c r="BG49" s="11" t="n">
        <f aca="false">IF(BG$1&lt;Units!$P48,0,IF(AND(Units!$K48=0,BG$1=Units!$O48),Units!$R48,IF(AND(BG$1&gt;=Units!$Q48,MOD(BG$1-Units!$Q48,12)=0),IF(AND(Units!$L48=1,BG$1=Units!$Q48),IF(Units!$J48&lt;&gt;"",Units!$J48,Mkt!BG49),Inputs!$B$15*Mkt!BG49+(1-Inputs!$B$15)*MIN(Mkt!BG49,BF49*(1+Inputs!$B$18))),BF49)))</f>
        <v>1457.53390895</v>
      </c>
      <c r="BH49" s="11" t="n">
        <f aca="false">IF(BH$1&lt;Units!$P48,0,IF(AND(Units!$K48=0,BH$1=Units!$O48),Units!$R48,IF(AND(BH$1&gt;=Units!$Q48,MOD(BH$1-Units!$Q48,12)=0),IF(AND(Units!$L48=1,BH$1=Units!$Q48),IF(Units!$J48&lt;&gt;"",Units!$J48,Mkt!BH49),Inputs!$B$15*Mkt!BH49+(1-Inputs!$B$15)*MIN(Mkt!BH49,BG49*(1+Inputs!$B$18))),BG49)))</f>
        <v>1457.53390895</v>
      </c>
      <c r="BI49" s="11" t="n">
        <f aca="false">IF(BI$1&lt;Units!$P48,0,IF(AND(Units!$K48=0,BI$1=Units!$O48),Units!$R48,IF(AND(BI$1&gt;=Units!$Q48,MOD(BI$1-Units!$Q48,12)=0),IF(AND(Units!$L48=1,BI$1=Units!$Q48),IF(Units!$J48&lt;&gt;"",Units!$J48,Mkt!BI49),Inputs!$B$15*Mkt!BI49+(1-Inputs!$B$15)*MIN(Mkt!BI49,BH49*(1+Inputs!$B$18))),BH49)))</f>
        <v>1457.53390895</v>
      </c>
      <c r="BJ49" s="11" t="n">
        <f aca="false">IF(BJ$1&lt;Units!$P48,0,IF(AND(Units!$K48=0,BJ$1=Units!$O48),Units!$R48,IF(AND(BJ$1&gt;=Units!$Q48,MOD(BJ$1-Units!$Q48,12)=0),IF(AND(Units!$L48=1,BJ$1=Units!$Q48),IF(Units!$J48&lt;&gt;"",Units!$J48,Mkt!BJ49),Inputs!$B$15*Mkt!BJ49+(1-Inputs!$B$15)*MIN(Mkt!BJ49,BI49*(1+Inputs!$B$18))),BI49)))</f>
        <v>1457.53390895</v>
      </c>
      <c r="BK49" s="11" t="n">
        <f aca="false">IF(BK$1&lt;Units!$P48,0,IF(AND(Units!$K48=0,BK$1=Units!$O48),Units!$R48,IF(AND(BK$1&gt;=Units!$Q48,MOD(BK$1-Units!$Q48,12)=0),IF(AND(Units!$L48=1,BK$1=Units!$Q48),IF(Units!$J48&lt;&gt;"",Units!$J48,Mkt!BK49),Inputs!$B$15*Mkt!BK49+(1-Inputs!$B$15)*MIN(Mkt!BK49,BJ49*(1+Inputs!$B$18))),BJ49)))</f>
        <v>1457.53390895</v>
      </c>
      <c r="BL49" s="11" t="n">
        <f aca="false">IF(BL$1&lt;Units!$P48,0,IF(AND(Units!$K48=0,BL$1=Units!$O48),Units!$R48,IF(AND(BL$1&gt;=Units!$Q48,MOD(BL$1-Units!$Q48,12)=0),IF(AND(Units!$L48=1,BL$1=Units!$Q48),IF(Units!$J48&lt;&gt;"",Units!$J48,Mkt!BL49),Inputs!$B$15*Mkt!BL49+(1-Inputs!$B$15)*MIN(Mkt!BL49,BK49*(1+Inputs!$B$18))),BK49)))</f>
        <v>1457.53390895</v>
      </c>
      <c r="BM49" s="11" t="n">
        <f aca="false">IF(BM$1&lt;Units!$P48,0,IF(AND(Units!$K48=0,BM$1=Units!$O48),Units!$R48,IF(AND(BM$1&gt;=Units!$Q48,MOD(BM$1-Units!$Q48,12)=0),IF(AND(Units!$L48=1,BM$1=Units!$Q48),IF(Units!$J48&lt;&gt;"",Units!$J48,Mkt!BM49),Inputs!$B$15*Mkt!BM49+(1-Inputs!$B$15)*MIN(Mkt!BM49,BL49*(1+Inputs!$B$18))),BL49)))</f>
        <v>1457.53390895</v>
      </c>
      <c r="BN49" s="11" t="n">
        <f aca="false">IF(BN$1&lt;Units!$P48,0,IF(AND(Units!$K48=0,BN$1=Units!$O48),Units!$R48,IF(AND(BN$1&gt;=Units!$Q48,MOD(BN$1-Units!$Q48,12)=0),IF(AND(Units!$L48=1,BN$1=Units!$Q48),IF(Units!$J48&lt;&gt;"",Units!$J48,Mkt!BN49),Inputs!$B$15*Mkt!BN49+(1-Inputs!$B$15)*MIN(Mkt!BN49,BM49*(1+Inputs!$B$18))),BM49)))</f>
        <v>1457.53390895</v>
      </c>
      <c r="BO49" s="11" t="n">
        <f aca="false">IF(BO$1&lt;Units!$P48,0,IF(AND(Units!$K48=0,BO$1=Units!$O48),Units!$R48,IF(AND(BO$1&gt;=Units!$Q48,MOD(BO$1-Units!$Q48,12)=0),IF(AND(Units!$L48=1,BO$1=Units!$Q48),IF(Units!$J48&lt;&gt;"",Units!$J48,Mkt!BO49),Inputs!$B$15*Mkt!BO49+(1-Inputs!$B$15)*MIN(Mkt!BO49,BN49*(1+Inputs!$B$18))),BN49)))</f>
        <v>1457.53390895</v>
      </c>
      <c r="BP49" s="11" t="n">
        <f aca="false">IF(BP$1&lt;Units!$P48,0,IF(AND(Units!$K48=0,BP$1=Units!$O48),Units!$R48,IF(AND(BP$1&gt;=Units!$Q48,MOD(BP$1-Units!$Q48,12)=0),IF(AND(Units!$L48=1,BP$1=Units!$Q48),IF(Units!$J48&lt;&gt;"",Units!$J48,Mkt!BP49),Inputs!$B$15*Mkt!BP49+(1-Inputs!$B$15)*MIN(Mkt!BP49,BO49*(1+Inputs!$B$18))),BO49)))</f>
        <v>1457.53390895</v>
      </c>
      <c r="BQ49" s="11" t="n">
        <f aca="false">IF(BQ$1&lt;Units!$P48,0,IF(AND(Units!$K48=0,BQ$1=Units!$O48),Units!$R48,IF(AND(BQ$1&gt;=Units!$Q48,MOD(BQ$1-Units!$Q48,12)=0),IF(AND(Units!$L48=1,BQ$1=Units!$Q48),IF(Units!$J48&lt;&gt;"",Units!$J48,Mkt!BQ49),Inputs!$B$15*Mkt!BQ49+(1-Inputs!$B$15)*MIN(Mkt!BQ49,BP49*(1+Inputs!$B$18))),BP49)))</f>
        <v>1501.2599262185</v>
      </c>
      <c r="BR49" s="11" t="n">
        <f aca="false">IF(BR$1&lt;Units!$P48,0,IF(AND(Units!$K48=0,BR$1=Units!$O48),Units!$R48,IF(AND(BR$1&gt;=Units!$Q48,MOD(BR$1-Units!$Q48,12)=0),IF(AND(Units!$L48=1,BR$1=Units!$Q48),IF(Units!$J48&lt;&gt;"",Units!$J48,Mkt!BR49),Inputs!$B$15*Mkt!BR49+(1-Inputs!$B$15)*MIN(Mkt!BR49,BQ49*(1+Inputs!$B$18))),BQ49)))</f>
        <v>1501.2599262185</v>
      </c>
      <c r="BS49" s="11" t="n">
        <f aca="false">IF(BS$1&lt;Units!$P48,0,IF(AND(Units!$K48=0,BS$1=Units!$O48),Units!$R48,IF(AND(BS$1&gt;=Units!$Q48,MOD(BS$1-Units!$Q48,12)=0),IF(AND(Units!$L48=1,BS$1=Units!$Q48),IF(Units!$J48&lt;&gt;"",Units!$J48,Mkt!BS49),Inputs!$B$15*Mkt!BS49+(1-Inputs!$B$15)*MIN(Mkt!BS49,BR49*(1+Inputs!$B$18))),BR49)))</f>
        <v>1501.2599262185</v>
      </c>
      <c r="BT49" s="11" t="n">
        <f aca="false">IF(BT$1&lt;Units!$P48,0,IF(AND(Units!$K48=0,BT$1=Units!$O48),Units!$R48,IF(AND(BT$1&gt;=Units!$Q48,MOD(BT$1-Units!$Q48,12)=0),IF(AND(Units!$L48=1,BT$1=Units!$Q48),IF(Units!$J48&lt;&gt;"",Units!$J48,Mkt!BT49),Inputs!$B$15*Mkt!BT49+(1-Inputs!$B$15)*MIN(Mkt!BT49,BS49*(1+Inputs!$B$18))),BS49)))</f>
        <v>1501.2599262185</v>
      </c>
      <c r="BU49" s="11" t="n">
        <f aca="false">IF(BU$1&lt;Units!$P48,0,IF(AND(Units!$K48=0,BU$1=Units!$O48),Units!$R48,IF(AND(BU$1&gt;=Units!$Q48,MOD(BU$1-Units!$Q48,12)=0),IF(AND(Units!$L48=1,BU$1=Units!$Q48),IF(Units!$J48&lt;&gt;"",Units!$J48,Mkt!BU49),Inputs!$B$15*Mkt!BU49+(1-Inputs!$B$15)*MIN(Mkt!BU49,BT49*(1+Inputs!$B$18))),BT49)))</f>
        <v>1501.2599262185</v>
      </c>
      <c r="BV49" s="11" t="n">
        <f aca="false">IF(BV$1&lt;Units!$P48,0,IF(AND(Units!$K48=0,BV$1=Units!$O48),Units!$R48,IF(AND(BV$1&gt;=Units!$Q48,MOD(BV$1-Units!$Q48,12)=0),IF(AND(Units!$L48=1,BV$1=Units!$Q48),IF(Units!$J48&lt;&gt;"",Units!$J48,Mkt!BV49),Inputs!$B$15*Mkt!BV49+(1-Inputs!$B$15)*MIN(Mkt!BV49,BU49*(1+Inputs!$B$18))),BU49)))</f>
        <v>1501.2599262185</v>
      </c>
      <c r="BW49" s="11" t="n">
        <f aca="false">IF(BW$1&lt;Units!$P48,0,IF(AND(Units!$K48=0,BW$1=Units!$O48),Units!$R48,IF(AND(BW$1&gt;=Units!$Q48,MOD(BW$1-Units!$Q48,12)=0),IF(AND(Units!$L48=1,BW$1=Units!$Q48),IF(Units!$J48&lt;&gt;"",Units!$J48,Mkt!BW49),Inputs!$B$15*Mkt!BW49+(1-Inputs!$B$15)*MIN(Mkt!BW49,BV49*(1+Inputs!$B$18))),BV49)))</f>
        <v>1501.2599262185</v>
      </c>
      <c r="BX49" s="11" t="n">
        <f aca="false">IF(BX$1&lt;Units!$P48,0,IF(AND(Units!$K48=0,BX$1=Units!$O48),Units!$R48,IF(AND(BX$1&gt;=Units!$Q48,MOD(BX$1-Units!$Q48,12)=0),IF(AND(Units!$L48=1,BX$1=Units!$Q48),IF(Units!$J48&lt;&gt;"",Units!$J48,Mkt!BX49),Inputs!$B$15*Mkt!BX49+(1-Inputs!$B$15)*MIN(Mkt!BX49,BW49*(1+Inputs!$B$18))),BW49)))</f>
        <v>1501.2599262185</v>
      </c>
      <c r="BY49" s="11" t="n">
        <f aca="false">IF(BY$1&lt;Units!$P48,0,IF(AND(Units!$K48=0,BY$1=Units!$O48),Units!$R48,IF(AND(BY$1&gt;=Units!$Q48,MOD(BY$1-Units!$Q48,12)=0),IF(AND(Units!$L48=1,BY$1=Units!$Q48),IF(Units!$J48&lt;&gt;"",Units!$J48,Mkt!BY49),Inputs!$B$15*Mkt!BY49+(1-Inputs!$B$15)*MIN(Mkt!BY49,BX49*(1+Inputs!$B$18))),BX49)))</f>
        <v>1501.2599262185</v>
      </c>
      <c r="BZ49" s="11" t="n">
        <f aca="false">IF(BZ$1&lt;Units!$P48,0,IF(AND(Units!$K48=0,BZ$1=Units!$O48),Units!$R48,IF(AND(BZ$1&gt;=Units!$Q48,MOD(BZ$1-Units!$Q48,12)=0),IF(AND(Units!$L48=1,BZ$1=Units!$Q48),IF(Units!$J48&lt;&gt;"",Units!$J48,Mkt!BZ49),Inputs!$B$15*Mkt!BZ49+(1-Inputs!$B$15)*MIN(Mkt!BZ49,BY49*(1+Inputs!$B$18))),BY49)))</f>
        <v>1501.2599262185</v>
      </c>
      <c r="CA49" s="11" t="n">
        <f aca="false">IF(CA$1&lt;Units!$P48,0,IF(AND(Units!$K48=0,CA$1=Units!$O48),Units!$R48,IF(AND(CA$1&gt;=Units!$Q48,MOD(CA$1-Units!$Q48,12)=0),IF(AND(Units!$L48=1,CA$1=Units!$Q48),IF(Units!$J48&lt;&gt;"",Units!$J48,Mkt!CA49),Inputs!$B$15*Mkt!CA49+(1-Inputs!$B$15)*MIN(Mkt!CA49,BZ49*(1+Inputs!$B$18))),BZ49)))</f>
        <v>1501.2599262185</v>
      </c>
      <c r="CB49" s="11" t="n">
        <f aca="false">IF(CB$1&lt;Units!$P48,0,IF(AND(Units!$K48=0,CB$1=Units!$O48),Units!$R48,IF(AND(CB$1&gt;=Units!$Q48,MOD(CB$1-Units!$Q48,12)=0),IF(AND(Units!$L48=1,CB$1=Units!$Q48),IF(Units!$J48&lt;&gt;"",Units!$J48,Mkt!CB49),Inputs!$B$15*Mkt!CB49+(1-Inputs!$B$15)*MIN(Mkt!CB49,CA49*(1+Inputs!$B$18))),CA49)))</f>
        <v>1501.2599262185</v>
      </c>
      <c r="CC49" s="11" t="n">
        <f aca="false">IF(CC$1&lt;Units!$P48,0,IF(AND(Units!$K48=0,CC$1=Units!$O48),Units!$R48,IF(AND(CC$1&gt;=Units!$Q48,MOD(CC$1-Units!$Q48,12)=0),IF(AND(Units!$L48=1,CC$1=Units!$Q48),IF(Units!$J48&lt;&gt;"",Units!$J48,Mkt!CC49),Inputs!$B$15*Mkt!CC49+(1-Inputs!$B$15)*MIN(Mkt!CC49,CB49*(1+Inputs!$B$18))),CB49)))</f>
        <v>1546.29772400506</v>
      </c>
      <c r="CD49" s="11" t="n">
        <f aca="false">IF(CD$1&lt;Units!$P48,0,IF(AND(Units!$K48=0,CD$1=Units!$O48),Units!$R48,IF(AND(CD$1&gt;=Units!$Q48,MOD(CD$1-Units!$Q48,12)=0),IF(AND(Units!$L48=1,CD$1=Units!$Q48),IF(Units!$J48&lt;&gt;"",Units!$J48,Mkt!CD49),Inputs!$B$15*Mkt!CD49+(1-Inputs!$B$15)*MIN(Mkt!CD49,CC49*(1+Inputs!$B$18))),CC49)))</f>
        <v>1546.29772400506</v>
      </c>
      <c r="CE49" s="11" t="n">
        <f aca="false">IF(CE$1&lt;Units!$P48,0,IF(AND(Units!$K48=0,CE$1=Units!$O48),Units!$R48,IF(AND(CE$1&gt;=Units!$Q48,MOD(CE$1-Units!$Q48,12)=0),IF(AND(Units!$L48=1,CE$1=Units!$Q48),IF(Units!$J48&lt;&gt;"",Units!$J48,Mkt!CE49),Inputs!$B$15*Mkt!CE49+(1-Inputs!$B$15)*MIN(Mkt!CE49,CD49*(1+Inputs!$B$18))),CD49)))</f>
        <v>1546.29772400506</v>
      </c>
      <c r="CF49" s="11" t="n">
        <f aca="false">IF(CF$1&lt;Units!$P48,0,IF(AND(Units!$K48=0,CF$1=Units!$O48),Units!$R48,IF(AND(CF$1&gt;=Units!$Q48,MOD(CF$1-Units!$Q48,12)=0),IF(AND(Units!$L48=1,CF$1=Units!$Q48),IF(Units!$J48&lt;&gt;"",Units!$J48,Mkt!CF49),Inputs!$B$15*Mkt!CF49+(1-Inputs!$B$15)*MIN(Mkt!CF49,CE49*(1+Inputs!$B$18))),CE49)))</f>
        <v>1546.29772400506</v>
      </c>
      <c r="CG49" s="11" t="n">
        <f aca="false">IF(CG$1&lt;Units!$P48,0,IF(AND(Units!$K48=0,CG$1=Units!$O48),Units!$R48,IF(AND(CG$1&gt;=Units!$Q48,MOD(CG$1-Units!$Q48,12)=0),IF(AND(Units!$L48=1,CG$1=Units!$Q48),IF(Units!$J48&lt;&gt;"",Units!$J48,Mkt!CG49),Inputs!$B$15*Mkt!CG49+(1-Inputs!$B$15)*MIN(Mkt!CG49,CF49*(1+Inputs!$B$18))),CF49)))</f>
        <v>1546.29772400506</v>
      </c>
      <c r="CH49" s="11" t="n">
        <f aca="false">IF(CH$1&lt;Units!$P48,0,IF(AND(Units!$K48=0,CH$1=Units!$O48),Units!$R48,IF(AND(CH$1&gt;=Units!$Q48,MOD(CH$1-Units!$Q48,12)=0),IF(AND(Units!$L48=1,CH$1=Units!$Q48),IF(Units!$J48&lt;&gt;"",Units!$J48,Mkt!CH49),Inputs!$B$15*Mkt!CH49+(1-Inputs!$B$15)*MIN(Mkt!CH49,CG49*(1+Inputs!$B$18))),CG49)))</f>
        <v>1546.29772400506</v>
      </c>
      <c r="CI49" s="11" t="n">
        <f aca="false">IF(CI$1&lt;Units!$P48,0,IF(AND(Units!$K48=0,CI$1=Units!$O48),Units!$R48,IF(AND(CI$1&gt;=Units!$Q48,MOD(CI$1-Units!$Q48,12)=0),IF(AND(Units!$L48=1,CI$1=Units!$Q48),IF(Units!$J48&lt;&gt;"",Units!$J48,Mkt!CI49),Inputs!$B$15*Mkt!CI49+(1-Inputs!$B$15)*MIN(Mkt!CI49,CH49*(1+Inputs!$B$18))),CH49)))</f>
        <v>1546.29772400506</v>
      </c>
      <c r="CJ49" s="11" t="n">
        <f aca="false">IF(CJ$1&lt;Units!$P48,0,IF(AND(Units!$K48=0,CJ$1=Units!$O48),Units!$R48,IF(AND(CJ$1&gt;=Units!$Q48,MOD(CJ$1-Units!$Q48,12)=0),IF(AND(Units!$L48=1,CJ$1=Units!$Q48),IF(Units!$J48&lt;&gt;"",Units!$J48,Mkt!CJ49),Inputs!$B$15*Mkt!CJ49+(1-Inputs!$B$15)*MIN(Mkt!CJ49,CI49*(1+Inputs!$B$18))),CI49)))</f>
        <v>1546.29772400506</v>
      </c>
      <c r="CK49" s="11" t="n">
        <f aca="false">IF(CK$1&lt;Units!$P48,0,IF(AND(Units!$K48=0,CK$1=Units!$O48),Units!$R48,IF(AND(CK$1&gt;=Units!$Q48,MOD(CK$1-Units!$Q48,12)=0),IF(AND(Units!$L48=1,CK$1=Units!$Q48),IF(Units!$J48&lt;&gt;"",Units!$J48,Mkt!CK49),Inputs!$B$15*Mkt!CK49+(1-Inputs!$B$15)*MIN(Mkt!CK49,CJ49*(1+Inputs!$B$18))),CJ49)))</f>
        <v>1546.29772400506</v>
      </c>
      <c r="CL49" s="11" t="n">
        <f aca="false">IF(CL$1&lt;Units!$P48,0,IF(AND(Units!$K48=0,CL$1=Units!$O48),Units!$R48,IF(AND(CL$1&gt;=Units!$Q48,MOD(CL$1-Units!$Q48,12)=0),IF(AND(Units!$L48=1,CL$1=Units!$Q48),IF(Units!$J48&lt;&gt;"",Units!$J48,Mkt!CL49),Inputs!$B$15*Mkt!CL49+(1-Inputs!$B$15)*MIN(Mkt!CL49,CK49*(1+Inputs!$B$18))),CK49)))</f>
        <v>1546.29772400506</v>
      </c>
      <c r="CM49" s="11" t="n">
        <f aca="false">IF(CM$1&lt;Units!$P48,0,IF(AND(Units!$K48=0,CM$1=Units!$O48),Units!$R48,IF(AND(CM$1&gt;=Units!$Q48,MOD(CM$1-Units!$Q48,12)=0),IF(AND(Units!$L48=1,CM$1=Units!$Q48),IF(Units!$J48&lt;&gt;"",Units!$J48,Mkt!CM49),Inputs!$B$15*Mkt!CM49+(1-Inputs!$B$15)*MIN(Mkt!CM49,CL49*(1+Inputs!$B$18))),CL49)))</f>
        <v>1546.29772400506</v>
      </c>
      <c r="CN49" s="11" t="n">
        <f aca="false">IF(CN$1&lt;Units!$P48,0,IF(AND(Units!$K48=0,CN$1=Units!$O48),Units!$R48,IF(AND(CN$1&gt;=Units!$Q48,MOD(CN$1-Units!$Q48,12)=0),IF(AND(Units!$L48=1,CN$1=Units!$Q48),IF(Units!$J48&lt;&gt;"",Units!$J48,Mkt!CN49),Inputs!$B$15*Mkt!CN49+(1-Inputs!$B$15)*MIN(Mkt!CN49,CM49*(1+Inputs!$B$18))),CM49)))</f>
        <v>1546.29772400506</v>
      </c>
      <c r="CO49" s="11" t="n">
        <f aca="false">IF(CO$1&lt;Units!$P48,0,IF(AND(Units!$K48=0,CO$1=Units!$O48),Units!$R48,IF(AND(CO$1&gt;=Units!$Q48,MOD(CO$1-Units!$Q48,12)=0),IF(AND(Units!$L48=1,CO$1=Units!$Q48),IF(Units!$J48&lt;&gt;"",Units!$J48,Mkt!CO49),Inputs!$B$15*Mkt!CO49+(1-Inputs!$B$15)*MIN(Mkt!CO49,CN49*(1+Inputs!$B$18))),CN49)))</f>
        <v>1592.68665572521</v>
      </c>
      <c r="CP49" s="11" t="n">
        <f aca="false">IF(CP$1&lt;Units!$P48,0,IF(AND(Units!$K48=0,CP$1=Units!$O48),Units!$R48,IF(AND(CP$1&gt;=Units!$Q48,MOD(CP$1-Units!$Q48,12)=0),IF(AND(Units!$L48=1,CP$1=Units!$Q48),IF(Units!$J48&lt;&gt;"",Units!$J48,Mkt!CP49),Inputs!$B$15*Mkt!CP49+(1-Inputs!$B$15)*MIN(Mkt!CP49,CO49*(1+Inputs!$B$18))),CO49)))</f>
        <v>1592.68665572521</v>
      </c>
      <c r="CQ49" s="11" t="n">
        <f aca="false">IF(CQ$1&lt;Units!$P48,0,IF(AND(Units!$K48=0,CQ$1=Units!$O48),Units!$R48,IF(AND(CQ$1&gt;=Units!$Q48,MOD(CQ$1-Units!$Q48,12)=0),IF(AND(Units!$L48=1,CQ$1=Units!$Q48),IF(Units!$J48&lt;&gt;"",Units!$J48,Mkt!CQ49),Inputs!$B$15*Mkt!CQ49+(1-Inputs!$B$15)*MIN(Mkt!CQ49,CP49*(1+Inputs!$B$18))),CP49)))</f>
        <v>1592.68665572521</v>
      </c>
      <c r="CR49" s="11" t="n">
        <f aca="false">IF(CR$1&lt;Units!$P48,0,IF(AND(Units!$K48=0,CR$1=Units!$O48),Units!$R48,IF(AND(CR$1&gt;=Units!$Q48,MOD(CR$1-Units!$Q48,12)=0),IF(AND(Units!$L48=1,CR$1=Units!$Q48),IF(Units!$J48&lt;&gt;"",Units!$J48,Mkt!CR49),Inputs!$B$15*Mkt!CR49+(1-Inputs!$B$15)*MIN(Mkt!CR49,CQ49*(1+Inputs!$B$18))),CQ49)))</f>
        <v>1592.68665572521</v>
      </c>
      <c r="CS49" s="11" t="n">
        <f aca="false">IF(CS$1&lt;Units!$P48,0,IF(AND(Units!$K48=0,CS$1=Units!$O48),Units!$R48,IF(AND(CS$1&gt;=Units!$Q48,MOD(CS$1-Units!$Q48,12)=0),IF(AND(Units!$L48=1,CS$1=Units!$Q48),IF(Units!$J48&lt;&gt;"",Units!$J48,Mkt!CS49),Inputs!$B$15*Mkt!CS49+(1-Inputs!$B$15)*MIN(Mkt!CS49,CR49*(1+Inputs!$B$18))),CR49)))</f>
        <v>1592.68665572521</v>
      </c>
      <c r="CT49" s="11" t="n">
        <f aca="false">IF(CT$1&lt;Units!$P48,0,IF(AND(Units!$K48=0,CT$1=Units!$O48),Units!$R48,IF(AND(CT$1&gt;=Units!$Q48,MOD(CT$1-Units!$Q48,12)=0),IF(AND(Units!$L48=1,CT$1=Units!$Q48),IF(Units!$J48&lt;&gt;"",Units!$J48,Mkt!CT49),Inputs!$B$15*Mkt!CT49+(1-Inputs!$B$15)*MIN(Mkt!CT49,CS49*(1+Inputs!$B$18))),CS49)))</f>
        <v>1592.68665572521</v>
      </c>
      <c r="CU49" s="11" t="n">
        <f aca="false">IF(CU$1&lt;Units!$P48,0,IF(AND(Units!$K48=0,CU$1=Units!$O48),Units!$R48,IF(AND(CU$1&gt;=Units!$Q48,MOD(CU$1-Units!$Q48,12)=0),IF(AND(Units!$L48=1,CU$1=Units!$Q48),IF(Units!$J48&lt;&gt;"",Units!$J48,Mkt!CU49),Inputs!$B$15*Mkt!CU49+(1-Inputs!$B$15)*MIN(Mkt!CU49,CT49*(1+Inputs!$B$18))),CT49)))</f>
        <v>1592.68665572521</v>
      </c>
      <c r="CV49" s="11" t="n">
        <f aca="false">IF(CV$1&lt;Units!$P48,0,IF(AND(Units!$K48=0,CV$1=Units!$O48),Units!$R48,IF(AND(CV$1&gt;=Units!$Q48,MOD(CV$1-Units!$Q48,12)=0),IF(AND(Units!$L48=1,CV$1=Units!$Q48),IF(Units!$J48&lt;&gt;"",Units!$J48,Mkt!CV49),Inputs!$B$15*Mkt!CV49+(1-Inputs!$B$15)*MIN(Mkt!CV49,CU49*(1+Inputs!$B$18))),CU49)))</f>
        <v>1592.68665572521</v>
      </c>
      <c r="CW49" s="11" t="n">
        <f aca="false">IF(CW$1&lt;Units!$P48,0,IF(AND(Units!$K48=0,CW$1=Units!$O48),Units!$R48,IF(AND(CW$1&gt;=Units!$Q48,MOD(CW$1-Units!$Q48,12)=0),IF(AND(Units!$L48=1,CW$1=Units!$Q48),IF(Units!$J48&lt;&gt;"",Units!$J48,Mkt!CW49),Inputs!$B$15*Mkt!CW49+(1-Inputs!$B$15)*MIN(Mkt!CW49,CV49*(1+Inputs!$B$18))),CV49)))</f>
        <v>1592.68665572521</v>
      </c>
      <c r="CX49" s="11" t="n">
        <f aca="false">IF(CX$1&lt;Units!$P48,0,IF(AND(Units!$K48=0,CX$1=Units!$O48),Units!$R48,IF(AND(CX$1&gt;=Units!$Q48,MOD(CX$1-Units!$Q48,12)=0),IF(AND(Units!$L48=1,CX$1=Units!$Q48),IF(Units!$J48&lt;&gt;"",Units!$J48,Mkt!CX49),Inputs!$B$15*Mkt!CX49+(1-Inputs!$B$15)*MIN(Mkt!CX49,CW49*(1+Inputs!$B$18))),CW49)))</f>
        <v>1592.68665572521</v>
      </c>
      <c r="CY49" s="11" t="n">
        <f aca="false">IF(CY$1&lt;Units!$P48,0,IF(AND(Units!$K48=0,CY$1=Units!$O48),Units!$R48,IF(AND(CY$1&gt;=Units!$Q48,MOD(CY$1-Units!$Q48,12)=0),IF(AND(Units!$L48=1,CY$1=Units!$Q48),IF(Units!$J48&lt;&gt;"",Units!$J48,Mkt!CY49),Inputs!$B$15*Mkt!CY49+(1-Inputs!$B$15)*MIN(Mkt!CY49,CX49*(1+Inputs!$B$18))),CX49)))</f>
        <v>1592.68665572521</v>
      </c>
      <c r="CZ49" s="11" t="n">
        <f aca="false">IF(CZ$1&lt;Units!$P48,0,IF(AND(Units!$K48=0,CZ$1=Units!$O48),Units!$R48,IF(AND(CZ$1&gt;=Units!$Q48,MOD(CZ$1-Units!$Q48,12)=0),IF(AND(Units!$L48=1,CZ$1=Units!$Q48),IF(Units!$J48&lt;&gt;"",Units!$J48,Mkt!CZ49),Inputs!$B$15*Mkt!CZ49+(1-Inputs!$B$15)*MIN(Mkt!CZ49,CY49*(1+Inputs!$B$18))),CY49)))</f>
        <v>1592.68665572521</v>
      </c>
      <c r="DA49" s="11" t="n">
        <f aca="false">IF(DA$1&lt;Units!$P48,0,IF(AND(Units!$K48=0,DA$1=Units!$O48),Units!$R48,IF(AND(DA$1&gt;=Units!$Q48,MOD(DA$1-Units!$Q48,12)=0),IF(AND(Units!$L48=1,DA$1=Units!$Q48),IF(Units!$J48&lt;&gt;"",Units!$J48,Mkt!DA49),Inputs!$B$15*Mkt!DA49+(1-Inputs!$B$15)*MIN(Mkt!DA49,CZ49*(1+Inputs!$B$18))),CZ49)))</f>
        <v>1640.46725539696</v>
      </c>
      <c r="DB49" s="11" t="n">
        <f aca="false">IF(DB$1&lt;Units!$P48,0,IF(AND(Units!$K48=0,DB$1=Units!$O48),Units!$R48,IF(AND(DB$1&gt;=Units!$Q48,MOD(DB$1-Units!$Q48,12)=0),IF(AND(Units!$L48=1,DB$1=Units!$Q48),IF(Units!$J48&lt;&gt;"",Units!$J48,Mkt!DB49),Inputs!$B$15*Mkt!DB49+(1-Inputs!$B$15)*MIN(Mkt!DB49,DA49*(1+Inputs!$B$18))),DA49)))</f>
        <v>1640.46725539696</v>
      </c>
      <c r="DC49" s="11" t="n">
        <f aca="false">IF(DC$1&lt;Units!$P48,0,IF(AND(Units!$K48=0,DC$1=Units!$O48),Units!$R48,IF(AND(DC$1&gt;=Units!$Q48,MOD(DC$1-Units!$Q48,12)=0),IF(AND(Units!$L48=1,DC$1=Units!$Q48),IF(Units!$J48&lt;&gt;"",Units!$J48,Mkt!DC49),Inputs!$B$15*Mkt!DC49+(1-Inputs!$B$15)*MIN(Mkt!DC49,DB49*(1+Inputs!$B$18))),DB49)))</f>
        <v>1640.46725539696</v>
      </c>
      <c r="DD49" s="11" t="n">
        <f aca="false">IF(DD$1&lt;Units!$P48,0,IF(AND(Units!$K48=0,DD$1=Units!$O48),Units!$R48,IF(AND(DD$1&gt;=Units!$Q48,MOD(DD$1-Units!$Q48,12)=0),IF(AND(Units!$L48=1,DD$1=Units!$Q48),IF(Units!$J48&lt;&gt;"",Units!$J48,Mkt!DD49),Inputs!$B$15*Mkt!DD49+(1-Inputs!$B$15)*MIN(Mkt!DD49,DC49*(1+Inputs!$B$18))),DC49)))</f>
        <v>1640.46725539696</v>
      </c>
      <c r="DE49" s="11" t="n">
        <f aca="false">IF(DE$1&lt;Units!$P48,0,IF(AND(Units!$K48=0,DE$1=Units!$O48),Units!$R48,IF(AND(DE$1&gt;=Units!$Q48,MOD(DE$1-Units!$Q48,12)=0),IF(AND(Units!$L48=1,DE$1=Units!$Q48),IF(Units!$J48&lt;&gt;"",Units!$J48,Mkt!DE49),Inputs!$B$15*Mkt!DE49+(1-Inputs!$B$15)*MIN(Mkt!DE49,DD49*(1+Inputs!$B$18))),DD49)))</f>
        <v>1640.46725539696</v>
      </c>
      <c r="DF49" s="11" t="n">
        <f aca="false">IF(DF$1&lt;Units!$P48,0,IF(AND(Units!$K48=0,DF$1=Units!$O48),Units!$R48,IF(AND(DF$1&gt;=Units!$Q48,MOD(DF$1-Units!$Q48,12)=0),IF(AND(Units!$L48=1,DF$1=Units!$Q48),IF(Units!$J48&lt;&gt;"",Units!$J48,Mkt!DF49),Inputs!$B$15*Mkt!DF49+(1-Inputs!$B$15)*MIN(Mkt!DF49,DE49*(1+Inputs!$B$18))),DE49)))</f>
        <v>1640.46725539696</v>
      </c>
      <c r="DG49" s="11" t="n">
        <f aca="false">IF(DG$1&lt;Units!$P48,0,IF(AND(Units!$K48=0,DG$1=Units!$O48),Units!$R48,IF(AND(DG$1&gt;=Units!$Q48,MOD(DG$1-Units!$Q48,12)=0),IF(AND(Units!$L48=1,DG$1=Units!$Q48),IF(Units!$J48&lt;&gt;"",Units!$J48,Mkt!DG49),Inputs!$B$15*Mkt!DG49+(1-Inputs!$B$15)*MIN(Mkt!DG49,DF49*(1+Inputs!$B$18))),DF49)))</f>
        <v>1640.46725539696</v>
      </c>
      <c r="DH49" s="11" t="n">
        <f aca="false">IF(DH$1&lt;Units!$P48,0,IF(AND(Units!$K48=0,DH$1=Units!$O48),Units!$R48,IF(AND(DH$1&gt;=Units!$Q48,MOD(DH$1-Units!$Q48,12)=0),IF(AND(Units!$L48=1,DH$1=Units!$Q48),IF(Units!$J48&lt;&gt;"",Units!$J48,Mkt!DH49),Inputs!$B$15*Mkt!DH49+(1-Inputs!$B$15)*MIN(Mkt!DH49,DG49*(1+Inputs!$B$18))),DG49)))</f>
        <v>1640.46725539696</v>
      </c>
      <c r="DI49" s="11" t="n">
        <f aca="false">IF(DI$1&lt;Units!$P48,0,IF(AND(Units!$K48=0,DI$1=Units!$O48),Units!$R48,IF(AND(DI$1&gt;=Units!$Q48,MOD(DI$1-Units!$Q48,12)=0),IF(AND(Units!$L48=1,DI$1=Units!$Q48),IF(Units!$J48&lt;&gt;"",Units!$J48,Mkt!DI49),Inputs!$B$15*Mkt!DI49+(1-Inputs!$B$15)*MIN(Mkt!DI49,DH49*(1+Inputs!$B$18))),DH49)))</f>
        <v>1640.46725539696</v>
      </c>
      <c r="DJ49" s="11" t="n">
        <f aca="false">IF(DJ$1&lt;Units!$P48,0,IF(AND(Units!$K48=0,DJ$1=Units!$O48),Units!$R48,IF(AND(DJ$1&gt;=Units!$Q48,MOD(DJ$1-Units!$Q48,12)=0),IF(AND(Units!$L48=1,DJ$1=Units!$Q48),IF(Units!$J48&lt;&gt;"",Units!$J48,Mkt!DJ49),Inputs!$B$15*Mkt!DJ49+(1-Inputs!$B$15)*MIN(Mkt!DJ49,DI49*(1+Inputs!$B$18))),DI49)))</f>
        <v>1640.46725539696</v>
      </c>
      <c r="DK49" s="11" t="n">
        <f aca="false">IF(DK$1&lt;Units!$P48,0,IF(AND(Units!$K48=0,DK$1=Units!$O48),Units!$R48,IF(AND(DK$1&gt;=Units!$Q48,MOD(DK$1-Units!$Q48,12)=0),IF(AND(Units!$L48=1,DK$1=Units!$Q48),IF(Units!$J48&lt;&gt;"",Units!$J48,Mkt!DK49),Inputs!$B$15*Mkt!DK49+(1-Inputs!$B$15)*MIN(Mkt!DK49,DJ49*(1+Inputs!$B$18))),DJ49)))</f>
        <v>1640.46725539696</v>
      </c>
      <c r="DL49" s="11" t="n">
        <f aca="false">IF(DL$1&lt;Units!$P48,0,IF(AND(Units!$K48=0,DL$1=Units!$O48),Units!$R48,IF(AND(DL$1&gt;=Units!$Q48,MOD(DL$1-Units!$Q48,12)=0),IF(AND(Units!$L48=1,DL$1=Units!$Q48),IF(Units!$J48&lt;&gt;"",Units!$J48,Mkt!DL49),Inputs!$B$15*Mkt!DL49+(1-Inputs!$B$15)*MIN(Mkt!DL49,DK49*(1+Inputs!$B$18))),DK49)))</f>
        <v>1640.46725539696</v>
      </c>
      <c r="DM49" s="11" t="n">
        <f aca="false">IF(DM$1&lt;Units!$P48,0,IF(AND(Units!$K48=0,DM$1=Units!$O48),Units!$R48,IF(AND(DM$1&gt;=Units!$Q48,MOD(DM$1-Units!$Q48,12)=0),IF(AND(Units!$L48=1,DM$1=Units!$Q48),IF(Units!$J48&lt;&gt;"",Units!$J48,Mkt!DM49),Inputs!$B$15*Mkt!DM49+(1-Inputs!$B$15)*MIN(Mkt!DM49,DL49*(1+Inputs!$B$18))),DL49)))</f>
        <v>1689.68127305887</v>
      </c>
      <c r="DN49" s="11" t="n">
        <f aca="false">IF(DN$1&lt;Units!$P48,0,IF(AND(Units!$K48=0,DN$1=Units!$O48),Units!$R48,IF(AND(DN$1&gt;=Units!$Q48,MOD(DN$1-Units!$Q48,12)=0),IF(AND(Units!$L48=1,DN$1=Units!$Q48),IF(Units!$J48&lt;&gt;"",Units!$J48,Mkt!DN49),Inputs!$B$15*Mkt!DN49+(1-Inputs!$B$15)*MIN(Mkt!DN49,DM49*(1+Inputs!$B$18))),DM49)))</f>
        <v>1689.68127305887</v>
      </c>
      <c r="DO49" s="11" t="n">
        <f aca="false">IF(DO$1&lt;Units!$P48,0,IF(AND(Units!$K48=0,DO$1=Units!$O48),Units!$R48,IF(AND(DO$1&gt;=Units!$Q48,MOD(DO$1-Units!$Q48,12)=0),IF(AND(Units!$L48=1,DO$1=Units!$Q48),IF(Units!$J48&lt;&gt;"",Units!$J48,Mkt!DO49),Inputs!$B$15*Mkt!DO49+(1-Inputs!$B$15)*MIN(Mkt!DO49,DN49*(1+Inputs!$B$18))),DN49)))</f>
        <v>1689.68127305887</v>
      </c>
      <c r="DP49" s="11" t="n">
        <f aca="false">IF(DP$1&lt;Units!$P48,0,IF(AND(Units!$K48=0,DP$1=Units!$O48),Units!$R48,IF(AND(DP$1&gt;=Units!$Q48,MOD(DP$1-Units!$Q48,12)=0),IF(AND(Units!$L48=1,DP$1=Units!$Q48),IF(Units!$J48&lt;&gt;"",Units!$J48,Mkt!DP49),Inputs!$B$15*Mkt!DP49+(1-Inputs!$B$15)*MIN(Mkt!DP49,DO49*(1+Inputs!$B$18))),DO49)))</f>
        <v>1689.68127305887</v>
      </c>
      <c r="DQ49" s="11" t="n">
        <f aca="false">IF(DQ$1&lt;Units!$P48,0,IF(AND(Units!$K48=0,DQ$1=Units!$O48),Units!$R48,IF(AND(DQ$1&gt;=Units!$Q48,MOD(DQ$1-Units!$Q48,12)=0),IF(AND(Units!$L48=1,DQ$1=Units!$Q48),IF(Units!$J48&lt;&gt;"",Units!$J48,Mkt!DQ49),Inputs!$B$15*Mkt!DQ49+(1-Inputs!$B$15)*MIN(Mkt!DQ49,DP49*(1+Inputs!$B$18))),DP49)))</f>
        <v>1689.68127305887</v>
      </c>
      <c r="DR49" s="11" t="n">
        <f aca="false">IF(DR$1&lt;Units!$P48,0,IF(AND(Units!$K48=0,DR$1=Units!$O48),Units!$R48,IF(AND(DR$1&gt;=Units!$Q48,MOD(DR$1-Units!$Q48,12)=0),IF(AND(Units!$L48=1,DR$1=Units!$Q48),IF(Units!$J48&lt;&gt;"",Units!$J48,Mkt!DR49),Inputs!$B$15*Mkt!DR49+(1-Inputs!$B$15)*MIN(Mkt!DR49,DQ49*(1+Inputs!$B$18))),DQ49)))</f>
        <v>1689.68127305887</v>
      </c>
      <c r="DS49" s="11" t="n">
        <f aca="false">IF(DS$1&lt;Units!$P48,0,IF(AND(Units!$K48=0,DS$1=Units!$O48),Units!$R48,IF(AND(DS$1&gt;=Units!$Q48,MOD(DS$1-Units!$Q48,12)=0),IF(AND(Units!$L48=1,DS$1=Units!$Q48),IF(Units!$J48&lt;&gt;"",Units!$J48,Mkt!DS49),Inputs!$B$15*Mkt!DS49+(1-Inputs!$B$15)*MIN(Mkt!DS49,DR49*(1+Inputs!$B$18))),DR49)))</f>
        <v>1689.68127305887</v>
      </c>
      <c r="DT49" s="11" t="n">
        <f aca="false">IF(DT$1&lt;Units!$P48,0,IF(AND(Units!$K48=0,DT$1=Units!$O48),Units!$R48,IF(AND(DT$1&gt;=Units!$Q48,MOD(DT$1-Units!$Q48,12)=0),IF(AND(Units!$L48=1,DT$1=Units!$Q48),IF(Units!$J48&lt;&gt;"",Units!$J48,Mkt!DT49),Inputs!$B$15*Mkt!DT49+(1-Inputs!$B$15)*MIN(Mkt!DT49,DS49*(1+Inputs!$B$18))),DS49)))</f>
        <v>1689.68127305887</v>
      </c>
      <c r="DU49" s="11" t="n">
        <f aca="false">IF(DU$1&lt;Units!$P48,0,IF(AND(Units!$K48=0,DU$1=Units!$O48),Units!$R48,IF(AND(DU$1&gt;=Units!$Q48,MOD(DU$1-Units!$Q48,12)=0),IF(AND(Units!$L48=1,DU$1=Units!$Q48),IF(Units!$J48&lt;&gt;"",Units!$J48,Mkt!DU49),Inputs!$B$15*Mkt!DU49+(1-Inputs!$B$15)*MIN(Mkt!DU49,DT49*(1+Inputs!$B$18))),DT49)))</f>
        <v>1689.68127305887</v>
      </c>
      <c r="DV49" s="11" t="n">
        <f aca="false">IF(DV$1&lt;Units!$P48,0,IF(AND(Units!$K48=0,DV$1=Units!$O48),Units!$R48,IF(AND(DV$1&gt;=Units!$Q48,MOD(DV$1-Units!$Q48,12)=0),IF(AND(Units!$L48=1,DV$1=Units!$Q48),IF(Units!$J48&lt;&gt;"",Units!$J48,Mkt!DV49),Inputs!$B$15*Mkt!DV49+(1-Inputs!$B$15)*MIN(Mkt!DV49,DU49*(1+Inputs!$B$18))),DU49)))</f>
        <v>1689.68127305887</v>
      </c>
      <c r="DW49" s="11" t="n">
        <f aca="false">IF(DW$1&lt;Units!$P48,0,IF(AND(Units!$K48=0,DW$1=Units!$O48),Units!$R48,IF(AND(DW$1&gt;=Units!$Q48,MOD(DW$1-Units!$Q48,12)=0),IF(AND(Units!$L48=1,DW$1=Units!$Q48),IF(Units!$J48&lt;&gt;"",Units!$J48,Mkt!DW49),Inputs!$B$15*Mkt!DW49+(1-Inputs!$B$15)*MIN(Mkt!DW49,DV49*(1+Inputs!$B$18))),DV49)))</f>
        <v>1689.68127305887</v>
      </c>
      <c r="DX49" s="11" t="n">
        <f aca="false">IF(DX$1&lt;Units!$P48,0,IF(AND(Units!$K48=0,DX$1=Units!$O48),Units!$R48,IF(AND(DX$1&gt;=Units!$Q48,MOD(DX$1-Units!$Q48,12)=0),IF(AND(Units!$L48=1,DX$1=Units!$Q48),IF(Units!$J48&lt;&gt;"",Units!$J48,Mkt!DX49),Inputs!$B$15*Mkt!DX49+(1-Inputs!$B$15)*MIN(Mkt!DX49,DW49*(1+Inputs!$B$18))),DW49)))</f>
        <v>1689.68127305887</v>
      </c>
      <c r="DY49" s="11" t="n">
        <f aca="false">IF(DY$1&lt;Units!$P48,0,IF(AND(Units!$K48=0,DY$1=Units!$O48),Units!$R48,IF(AND(DY$1&gt;=Units!$Q48,MOD(DY$1-Units!$Q48,12)=0),IF(AND(Units!$L48=1,DY$1=Units!$Q48),IF(Units!$J48&lt;&gt;"",Units!$J48,Mkt!DY49),Inputs!$B$15*Mkt!DY49+(1-Inputs!$B$15)*MIN(Mkt!DY49,DX49*(1+Inputs!$B$18))),DX49)))</f>
        <v>1740.37171125064</v>
      </c>
      <c r="DZ49" s="11" t="n">
        <f aca="false">IF(DZ$1&lt;Units!$P48,0,IF(AND(Units!$K48=0,DZ$1=Units!$O48),Units!$R48,IF(AND(DZ$1&gt;=Units!$Q48,MOD(DZ$1-Units!$Q48,12)=0),IF(AND(Units!$L48=1,DZ$1=Units!$Q48),IF(Units!$J48&lt;&gt;"",Units!$J48,Mkt!DZ49),Inputs!$B$15*Mkt!DZ49+(1-Inputs!$B$15)*MIN(Mkt!DZ49,DY49*(1+Inputs!$B$18))),DY49)))</f>
        <v>1740.37171125064</v>
      </c>
      <c r="EA49" s="11" t="n">
        <f aca="false">IF(EA$1&lt;Units!$P48,0,IF(AND(Units!$K48=0,EA$1=Units!$O48),Units!$R48,IF(AND(EA$1&gt;=Units!$Q48,MOD(EA$1-Units!$Q48,12)=0),IF(AND(Units!$L48=1,EA$1=Units!$Q48),IF(Units!$J48&lt;&gt;"",Units!$J48,Mkt!EA49),Inputs!$B$15*Mkt!EA49+(1-Inputs!$B$15)*MIN(Mkt!EA49,DZ49*(1+Inputs!$B$18))),DZ49)))</f>
        <v>1740.37171125064</v>
      </c>
      <c r="EB49" s="11" t="n">
        <f aca="false">IF(EB$1&lt;Units!$P48,0,IF(AND(Units!$K48=0,EB$1=Units!$O48),Units!$R48,IF(AND(EB$1&gt;=Units!$Q48,MOD(EB$1-Units!$Q48,12)=0),IF(AND(Units!$L48=1,EB$1=Units!$Q48),IF(Units!$J48&lt;&gt;"",Units!$J48,Mkt!EB49),Inputs!$B$15*Mkt!EB49+(1-Inputs!$B$15)*MIN(Mkt!EB49,EA49*(1+Inputs!$B$18))),EA49)))</f>
        <v>1740.37171125064</v>
      </c>
      <c r="EC49" s="11" t="n">
        <f aca="false">IF(EC$1&lt;Units!$P48,0,IF(AND(Units!$K48=0,EC$1=Units!$O48),Units!$R48,IF(AND(EC$1&gt;=Units!$Q48,MOD(EC$1-Units!$Q48,12)=0),IF(AND(Units!$L48=1,EC$1=Units!$Q48),IF(Units!$J48&lt;&gt;"",Units!$J48,Mkt!EC49),Inputs!$B$15*Mkt!EC49+(1-Inputs!$B$15)*MIN(Mkt!EC49,EB49*(1+Inputs!$B$18))),EB49)))</f>
        <v>1740.37171125064</v>
      </c>
      <c r="ED49" s="11" t="n">
        <f aca="false">IF(ED$1&lt;Units!$P48,0,IF(AND(Units!$K48=0,ED$1=Units!$O48),Units!$R48,IF(AND(ED$1&gt;=Units!$Q48,MOD(ED$1-Units!$Q48,12)=0),IF(AND(Units!$L48=1,ED$1=Units!$Q48),IF(Units!$J48&lt;&gt;"",Units!$J48,Mkt!ED49),Inputs!$B$15*Mkt!ED49+(1-Inputs!$B$15)*MIN(Mkt!ED49,EC49*(1+Inputs!$B$18))),EC49)))</f>
        <v>1740.37171125064</v>
      </c>
    </row>
    <row r="50" customFormat="false" ht="15" hidden="false" customHeight="false" outlineLevel="0" collapsed="false">
      <c r="A50" s="22" t="n">
        <f aca="false">Units!A49</f>
        <v>218</v>
      </c>
      <c r="B50" s="24" t="n">
        <f aca="false">IF(Units!K49=1,Units!F49,0)</f>
        <v>1215</v>
      </c>
      <c r="C50" s="11" t="n">
        <f aca="false">IF(C$1&lt;Units!$P49,0,IF(AND(Units!$K49=0,C$1=Units!$O49),Units!$R49,IF(AND(C$1&gt;=Units!$Q49,MOD(C$1-Units!$Q49,12)=0),IF(AND(Units!$L49=1,C$1=Units!$Q49),IF(Units!$J49&lt;&gt;"",Units!$J49,Mkt!C50),Inputs!$B$15*Mkt!C50+(1-Inputs!$B$15)*MIN(Mkt!C50,B50*(1+Inputs!$B$18))),B50)))</f>
        <v>1215</v>
      </c>
      <c r="D50" s="11" t="n">
        <f aca="false">IF(D$1&lt;Units!$P49,0,IF(AND(Units!$K49=0,D$1=Units!$O49),Units!$R49,IF(AND(D$1&gt;=Units!$Q49,MOD(D$1-Units!$Q49,12)=0),IF(AND(Units!$L49=1,D$1=Units!$Q49),IF(Units!$J49&lt;&gt;"",Units!$J49,Mkt!D50),Inputs!$B$15*Mkt!D50+(1-Inputs!$B$15)*MIN(Mkt!D50,C50*(1+Inputs!$B$18))),C50)))</f>
        <v>1215</v>
      </c>
      <c r="E50" s="11" t="n">
        <f aca="false">IF(E$1&lt;Units!$P49,0,IF(AND(Units!$K49=0,E$1=Units!$O49),Units!$R49,IF(AND(E$1&gt;=Units!$Q49,MOD(E$1-Units!$Q49,12)=0),IF(AND(Units!$L49=1,E$1=Units!$Q49),IF(Units!$J49&lt;&gt;"",Units!$J49,Mkt!E50),Inputs!$B$15*Mkt!E50+(1-Inputs!$B$15)*MIN(Mkt!E50,D50*(1+Inputs!$B$18))),D50)))</f>
        <v>1215</v>
      </c>
      <c r="F50" s="11" t="n">
        <f aca="false">IF(F$1&lt;Units!$P49,0,IF(AND(Units!$K49=0,F$1=Units!$O49),Units!$R49,IF(AND(F$1&gt;=Units!$Q49,MOD(F$1-Units!$Q49,12)=0),IF(AND(Units!$L49=1,F$1=Units!$Q49),IF(Units!$J49&lt;&gt;"",Units!$J49,Mkt!F50),Inputs!$B$15*Mkt!F50+(1-Inputs!$B$15)*MIN(Mkt!F50,E50*(1+Inputs!$B$18))),E50)))</f>
        <v>1215</v>
      </c>
      <c r="G50" s="11" t="n">
        <f aca="false">IF(G$1&lt;Units!$P49,0,IF(AND(Units!$K49=0,G$1=Units!$O49),Units!$R49,IF(AND(G$1&gt;=Units!$Q49,MOD(G$1-Units!$Q49,12)=0),IF(AND(Units!$L49=1,G$1=Units!$Q49),IF(Units!$J49&lt;&gt;"",Units!$J49,Mkt!G50),Inputs!$B$15*Mkt!G50+(1-Inputs!$B$15)*MIN(Mkt!G50,F50*(1+Inputs!$B$18))),F50)))</f>
        <v>1215</v>
      </c>
      <c r="H50" s="11" t="n">
        <f aca="false">IF(H$1&lt;Units!$P49,0,IF(AND(Units!$K49=0,H$1=Units!$O49),Units!$R49,IF(AND(H$1&gt;=Units!$Q49,MOD(H$1-Units!$Q49,12)=0),IF(AND(Units!$L49=1,H$1=Units!$Q49),IF(Units!$J49&lt;&gt;"",Units!$J49,Mkt!H50),Inputs!$B$15*Mkt!H50+(1-Inputs!$B$15)*MIN(Mkt!H50,G50*(1+Inputs!$B$18))),G50)))</f>
        <v>1285.375</v>
      </c>
      <c r="I50" s="11" t="n">
        <f aca="false">IF(I$1&lt;Units!$P49,0,IF(AND(Units!$K49=0,I$1=Units!$O49),Units!$R49,IF(AND(I$1&gt;=Units!$Q49,MOD(I$1-Units!$Q49,12)=0),IF(AND(Units!$L49=1,I$1=Units!$Q49),IF(Units!$J49&lt;&gt;"",Units!$J49,Mkt!I50),Inputs!$B$15*Mkt!I50+(1-Inputs!$B$15)*MIN(Mkt!I50,H50*(1+Inputs!$B$18))),H50)))</f>
        <v>1285.375</v>
      </c>
      <c r="J50" s="11" t="n">
        <f aca="false">IF(J$1&lt;Units!$P49,0,IF(AND(Units!$K49=0,J$1=Units!$O49),Units!$R49,IF(AND(J$1&gt;=Units!$Q49,MOD(J$1-Units!$Q49,12)=0),IF(AND(Units!$L49=1,J$1=Units!$Q49),IF(Units!$J49&lt;&gt;"",Units!$J49,Mkt!J50),Inputs!$B$15*Mkt!J50+(1-Inputs!$B$15)*MIN(Mkt!J50,I50*(1+Inputs!$B$18))),I50)))</f>
        <v>1285.375</v>
      </c>
      <c r="K50" s="11" t="n">
        <f aca="false">IF(K$1&lt;Units!$P49,0,IF(AND(Units!$K49=0,K$1=Units!$O49),Units!$R49,IF(AND(K$1&gt;=Units!$Q49,MOD(K$1-Units!$Q49,12)=0),IF(AND(Units!$L49=1,K$1=Units!$Q49),IF(Units!$J49&lt;&gt;"",Units!$J49,Mkt!K50),Inputs!$B$15*Mkt!K50+(1-Inputs!$B$15)*MIN(Mkt!K50,J50*(1+Inputs!$B$18))),J50)))</f>
        <v>1285.375</v>
      </c>
      <c r="L50" s="11" t="n">
        <f aca="false">IF(L$1&lt;Units!$P49,0,IF(AND(Units!$K49=0,L$1=Units!$O49),Units!$R49,IF(AND(L$1&gt;=Units!$Q49,MOD(L$1-Units!$Q49,12)=0),IF(AND(Units!$L49=1,L$1=Units!$Q49),IF(Units!$J49&lt;&gt;"",Units!$J49,Mkt!L50),Inputs!$B$15*Mkt!L50+(1-Inputs!$B$15)*MIN(Mkt!L50,K50*(1+Inputs!$B$18))),K50)))</f>
        <v>1285.375</v>
      </c>
      <c r="M50" s="11" t="n">
        <f aca="false">IF(M$1&lt;Units!$P49,0,IF(AND(Units!$K49=0,M$1=Units!$O49),Units!$R49,IF(AND(M$1&gt;=Units!$Q49,MOD(M$1-Units!$Q49,12)=0),IF(AND(Units!$L49=1,M$1=Units!$Q49),IF(Units!$J49&lt;&gt;"",Units!$J49,Mkt!M50),Inputs!$B$15*Mkt!M50+(1-Inputs!$B$15)*MIN(Mkt!M50,L50*(1+Inputs!$B$18))),L50)))</f>
        <v>1285.375</v>
      </c>
      <c r="N50" s="11" t="n">
        <f aca="false">IF(N$1&lt;Units!$P49,0,IF(AND(Units!$K49=0,N$1=Units!$O49),Units!$R49,IF(AND(N$1&gt;=Units!$Q49,MOD(N$1-Units!$Q49,12)=0),IF(AND(Units!$L49=1,N$1=Units!$Q49),IF(Units!$J49&lt;&gt;"",Units!$J49,Mkt!N50),Inputs!$B$15*Mkt!N50+(1-Inputs!$B$15)*MIN(Mkt!N50,M50*(1+Inputs!$B$18))),M50)))</f>
        <v>1285.375</v>
      </c>
      <c r="O50" s="11" t="n">
        <f aca="false">IF(O$1&lt;Units!$P49,0,IF(AND(Units!$K49=0,O$1=Units!$O49),Units!$R49,IF(AND(O$1&gt;=Units!$Q49,MOD(O$1-Units!$Q49,12)=0),IF(AND(Units!$L49=1,O$1=Units!$Q49),IF(Units!$J49&lt;&gt;"",Units!$J49,Mkt!O50),Inputs!$B$15*Mkt!O50+(1-Inputs!$B$15)*MIN(Mkt!O50,N50*(1+Inputs!$B$18))),N50)))</f>
        <v>1285.375</v>
      </c>
      <c r="P50" s="11" t="n">
        <f aca="false">IF(P$1&lt;Units!$P49,0,IF(AND(Units!$K49=0,P$1=Units!$O49),Units!$R49,IF(AND(P$1&gt;=Units!$Q49,MOD(P$1-Units!$Q49,12)=0),IF(AND(Units!$L49=1,P$1=Units!$Q49),IF(Units!$J49&lt;&gt;"",Units!$J49,Mkt!P50),Inputs!$B$15*Mkt!P50+(1-Inputs!$B$15)*MIN(Mkt!P50,O50*(1+Inputs!$B$18))),O50)))</f>
        <v>1285.375</v>
      </c>
      <c r="Q50" s="11" t="n">
        <f aca="false">IF(Q$1&lt;Units!$P49,0,IF(AND(Units!$K49=0,Q$1=Units!$O49),Units!$R49,IF(AND(Q$1&gt;=Units!$Q49,MOD(Q$1-Units!$Q49,12)=0),IF(AND(Units!$L49=1,Q$1=Units!$Q49),IF(Units!$J49&lt;&gt;"",Units!$J49,Mkt!Q50),Inputs!$B$15*Mkt!Q50+(1-Inputs!$B$15)*MIN(Mkt!Q50,P50*(1+Inputs!$B$18))),P50)))</f>
        <v>1285.375</v>
      </c>
      <c r="R50" s="11" t="n">
        <f aca="false">IF(R$1&lt;Units!$P49,0,IF(AND(Units!$K49=0,R$1=Units!$O49),Units!$R49,IF(AND(R$1&gt;=Units!$Q49,MOD(R$1-Units!$Q49,12)=0),IF(AND(Units!$L49=1,R$1=Units!$Q49),IF(Units!$J49&lt;&gt;"",Units!$J49,Mkt!R50),Inputs!$B$15*Mkt!R50+(1-Inputs!$B$15)*MIN(Mkt!R50,Q50*(1+Inputs!$B$18))),Q50)))</f>
        <v>1285.375</v>
      </c>
      <c r="S50" s="11" t="n">
        <f aca="false">IF(S$1&lt;Units!$P49,0,IF(AND(Units!$K49=0,S$1=Units!$O49),Units!$R49,IF(AND(S$1&gt;=Units!$Q49,MOD(S$1-Units!$Q49,12)=0),IF(AND(Units!$L49=1,S$1=Units!$Q49),IF(Units!$J49&lt;&gt;"",Units!$J49,Mkt!S50),Inputs!$B$15*Mkt!S50+(1-Inputs!$B$15)*MIN(Mkt!S50,R50*(1+Inputs!$B$18))),R50)))</f>
        <v>1285.375</v>
      </c>
      <c r="T50" s="11" t="n">
        <f aca="false">IF(T$1&lt;Units!$P49,0,IF(AND(Units!$K49=0,T$1=Units!$O49),Units!$R49,IF(AND(T$1&gt;=Units!$Q49,MOD(T$1-Units!$Q49,12)=0),IF(AND(Units!$L49=1,T$1=Units!$Q49),IF(Units!$J49&lt;&gt;"",Units!$J49,Mkt!T50),Inputs!$B$15*Mkt!T50+(1-Inputs!$B$15)*MIN(Mkt!T50,S50*(1+Inputs!$B$18))),S50)))</f>
        <v>1333.85</v>
      </c>
      <c r="U50" s="11" t="n">
        <f aca="false">IF(U$1&lt;Units!$P49,0,IF(AND(Units!$K49=0,U$1=Units!$O49),Units!$R49,IF(AND(U$1&gt;=Units!$Q49,MOD(U$1-Units!$Q49,12)=0),IF(AND(Units!$L49=1,U$1=Units!$Q49),IF(Units!$J49&lt;&gt;"",Units!$J49,Mkt!U50),Inputs!$B$15*Mkt!U50+(1-Inputs!$B$15)*MIN(Mkt!U50,T50*(1+Inputs!$B$18))),T50)))</f>
        <v>1333.85</v>
      </c>
      <c r="V50" s="11" t="n">
        <f aca="false">IF(V$1&lt;Units!$P49,0,IF(AND(Units!$K49=0,V$1=Units!$O49),Units!$R49,IF(AND(V$1&gt;=Units!$Q49,MOD(V$1-Units!$Q49,12)=0),IF(AND(Units!$L49=1,V$1=Units!$Q49),IF(Units!$J49&lt;&gt;"",Units!$J49,Mkt!V50),Inputs!$B$15*Mkt!V50+(1-Inputs!$B$15)*MIN(Mkt!V50,U50*(1+Inputs!$B$18))),U50)))</f>
        <v>1333.85</v>
      </c>
      <c r="W50" s="11" t="n">
        <f aca="false">IF(W$1&lt;Units!$P49,0,IF(AND(Units!$K49=0,W$1=Units!$O49),Units!$R49,IF(AND(W$1&gt;=Units!$Q49,MOD(W$1-Units!$Q49,12)=0),IF(AND(Units!$L49=1,W$1=Units!$Q49),IF(Units!$J49&lt;&gt;"",Units!$J49,Mkt!W50),Inputs!$B$15*Mkt!W50+(1-Inputs!$B$15)*MIN(Mkt!W50,V50*(1+Inputs!$B$18))),V50)))</f>
        <v>1333.85</v>
      </c>
      <c r="X50" s="11" t="n">
        <f aca="false">IF(X$1&lt;Units!$P49,0,IF(AND(Units!$K49=0,X$1=Units!$O49),Units!$R49,IF(AND(X$1&gt;=Units!$Q49,MOD(X$1-Units!$Q49,12)=0),IF(AND(Units!$L49=1,X$1=Units!$Q49),IF(Units!$J49&lt;&gt;"",Units!$J49,Mkt!X50),Inputs!$B$15*Mkt!X50+(1-Inputs!$B$15)*MIN(Mkt!X50,W50*(1+Inputs!$B$18))),W50)))</f>
        <v>1333.85</v>
      </c>
      <c r="Y50" s="11" t="n">
        <f aca="false">IF(Y$1&lt;Units!$P49,0,IF(AND(Units!$K49=0,Y$1=Units!$O49),Units!$R49,IF(AND(Y$1&gt;=Units!$Q49,MOD(Y$1-Units!$Q49,12)=0),IF(AND(Units!$L49=1,Y$1=Units!$Q49),IF(Units!$J49&lt;&gt;"",Units!$J49,Mkt!Y50),Inputs!$B$15*Mkt!Y50+(1-Inputs!$B$15)*MIN(Mkt!Y50,X50*(1+Inputs!$B$18))),X50)))</f>
        <v>1333.85</v>
      </c>
      <c r="Z50" s="11" t="n">
        <f aca="false">IF(Z$1&lt;Units!$P49,0,IF(AND(Units!$K49=0,Z$1=Units!$O49),Units!$R49,IF(AND(Z$1&gt;=Units!$Q49,MOD(Z$1-Units!$Q49,12)=0),IF(AND(Units!$L49=1,Z$1=Units!$Q49),IF(Units!$J49&lt;&gt;"",Units!$J49,Mkt!Z50),Inputs!$B$15*Mkt!Z50+(1-Inputs!$B$15)*MIN(Mkt!Z50,Y50*(1+Inputs!$B$18))),Y50)))</f>
        <v>1333.85</v>
      </c>
      <c r="AA50" s="11" t="n">
        <f aca="false">IF(AA$1&lt;Units!$P49,0,IF(AND(Units!$K49=0,AA$1=Units!$O49),Units!$R49,IF(AND(AA$1&gt;=Units!$Q49,MOD(AA$1-Units!$Q49,12)=0),IF(AND(Units!$L49=1,AA$1=Units!$Q49),IF(Units!$J49&lt;&gt;"",Units!$J49,Mkt!AA50),Inputs!$B$15*Mkt!AA50+(1-Inputs!$B$15)*MIN(Mkt!AA50,Z50*(1+Inputs!$B$18))),Z50)))</f>
        <v>1333.85</v>
      </c>
      <c r="AB50" s="11" t="n">
        <f aca="false">IF(AB$1&lt;Units!$P49,0,IF(AND(Units!$K49=0,AB$1=Units!$O49),Units!$R49,IF(AND(AB$1&gt;=Units!$Q49,MOD(AB$1-Units!$Q49,12)=0),IF(AND(Units!$L49=1,AB$1=Units!$Q49),IF(Units!$J49&lt;&gt;"",Units!$J49,Mkt!AB50),Inputs!$B$15*Mkt!AB50+(1-Inputs!$B$15)*MIN(Mkt!AB50,AA50*(1+Inputs!$B$18))),AA50)))</f>
        <v>1333.85</v>
      </c>
      <c r="AC50" s="11" t="n">
        <f aca="false">IF(AC$1&lt;Units!$P49,0,IF(AND(Units!$K49=0,AC$1=Units!$O49),Units!$R49,IF(AND(AC$1&gt;=Units!$Q49,MOD(AC$1-Units!$Q49,12)=0),IF(AND(Units!$L49=1,AC$1=Units!$Q49),IF(Units!$J49&lt;&gt;"",Units!$J49,Mkt!AC50),Inputs!$B$15*Mkt!AC50+(1-Inputs!$B$15)*MIN(Mkt!AC50,AB50*(1+Inputs!$B$18))),AB50)))</f>
        <v>1333.85</v>
      </c>
      <c r="AD50" s="11" t="n">
        <f aca="false">IF(AD$1&lt;Units!$P49,0,IF(AND(Units!$K49=0,AD$1=Units!$O49),Units!$R49,IF(AND(AD$1&gt;=Units!$Q49,MOD(AD$1-Units!$Q49,12)=0),IF(AND(Units!$L49=1,AD$1=Units!$Q49),IF(Units!$J49&lt;&gt;"",Units!$J49,Mkt!AD50),Inputs!$B$15*Mkt!AD50+(1-Inputs!$B$15)*MIN(Mkt!AD50,AC50*(1+Inputs!$B$18))),AC50)))</f>
        <v>1333.85</v>
      </c>
      <c r="AE50" s="11" t="n">
        <f aca="false">IF(AE$1&lt;Units!$P49,0,IF(AND(Units!$K49=0,AE$1=Units!$O49),Units!$R49,IF(AND(AE$1&gt;=Units!$Q49,MOD(AE$1-Units!$Q49,12)=0),IF(AND(Units!$L49=1,AE$1=Units!$Q49),IF(Units!$J49&lt;&gt;"",Units!$J49,Mkt!AE50),Inputs!$B$15*Mkt!AE50+(1-Inputs!$B$15)*MIN(Mkt!AE50,AD50*(1+Inputs!$B$18))),AD50)))</f>
        <v>1333.85</v>
      </c>
      <c r="AF50" s="11" t="n">
        <f aca="false">IF(AF$1&lt;Units!$P49,0,IF(AND(Units!$K49=0,AF$1=Units!$O49),Units!$R49,IF(AND(AF$1&gt;=Units!$Q49,MOD(AF$1-Units!$Q49,12)=0),IF(AND(Units!$L49=1,AF$1=Units!$Q49),IF(Units!$J49&lt;&gt;"",Units!$J49,Mkt!AF50),Inputs!$B$15*Mkt!AF50+(1-Inputs!$B$15)*MIN(Mkt!AF50,AE50*(1+Inputs!$B$18))),AE50)))</f>
        <v>1373.8655</v>
      </c>
      <c r="AG50" s="11" t="n">
        <f aca="false">IF(AG$1&lt;Units!$P49,0,IF(AND(Units!$K49=0,AG$1=Units!$O49),Units!$R49,IF(AND(AG$1&gt;=Units!$Q49,MOD(AG$1-Units!$Q49,12)=0),IF(AND(Units!$L49=1,AG$1=Units!$Q49),IF(Units!$J49&lt;&gt;"",Units!$J49,Mkt!AG50),Inputs!$B$15*Mkt!AG50+(1-Inputs!$B$15)*MIN(Mkt!AG50,AF50*(1+Inputs!$B$18))),AF50)))</f>
        <v>1373.8655</v>
      </c>
      <c r="AH50" s="11" t="n">
        <f aca="false">IF(AH$1&lt;Units!$P49,0,IF(AND(Units!$K49=0,AH$1=Units!$O49),Units!$R49,IF(AND(AH$1&gt;=Units!$Q49,MOD(AH$1-Units!$Q49,12)=0),IF(AND(Units!$L49=1,AH$1=Units!$Q49),IF(Units!$J49&lt;&gt;"",Units!$J49,Mkt!AH50),Inputs!$B$15*Mkt!AH50+(1-Inputs!$B$15)*MIN(Mkt!AH50,AG50*(1+Inputs!$B$18))),AG50)))</f>
        <v>1373.8655</v>
      </c>
      <c r="AI50" s="11" t="n">
        <f aca="false">IF(AI$1&lt;Units!$P49,0,IF(AND(Units!$K49=0,AI$1=Units!$O49),Units!$R49,IF(AND(AI$1&gt;=Units!$Q49,MOD(AI$1-Units!$Q49,12)=0),IF(AND(Units!$L49=1,AI$1=Units!$Q49),IF(Units!$J49&lt;&gt;"",Units!$J49,Mkt!AI50),Inputs!$B$15*Mkt!AI50+(1-Inputs!$B$15)*MIN(Mkt!AI50,AH50*(1+Inputs!$B$18))),AH50)))</f>
        <v>1373.8655</v>
      </c>
      <c r="AJ50" s="11" t="n">
        <f aca="false">IF(AJ$1&lt;Units!$P49,0,IF(AND(Units!$K49=0,AJ$1=Units!$O49),Units!$R49,IF(AND(AJ$1&gt;=Units!$Q49,MOD(AJ$1-Units!$Q49,12)=0),IF(AND(Units!$L49=1,AJ$1=Units!$Q49),IF(Units!$J49&lt;&gt;"",Units!$J49,Mkt!AJ50),Inputs!$B$15*Mkt!AJ50+(1-Inputs!$B$15)*MIN(Mkt!AJ50,AI50*(1+Inputs!$B$18))),AI50)))</f>
        <v>1373.8655</v>
      </c>
      <c r="AK50" s="11" t="n">
        <f aca="false">IF(AK$1&lt;Units!$P49,0,IF(AND(Units!$K49=0,AK$1=Units!$O49),Units!$R49,IF(AND(AK$1&gt;=Units!$Q49,MOD(AK$1-Units!$Q49,12)=0),IF(AND(Units!$L49=1,AK$1=Units!$Q49),IF(Units!$J49&lt;&gt;"",Units!$J49,Mkt!AK50),Inputs!$B$15*Mkt!AK50+(1-Inputs!$B$15)*MIN(Mkt!AK50,AJ50*(1+Inputs!$B$18))),AJ50)))</f>
        <v>1373.8655</v>
      </c>
      <c r="AL50" s="11" t="n">
        <f aca="false">IF(AL$1&lt;Units!$P49,0,IF(AND(Units!$K49=0,AL$1=Units!$O49),Units!$R49,IF(AND(AL$1&gt;=Units!$Q49,MOD(AL$1-Units!$Q49,12)=0),IF(AND(Units!$L49=1,AL$1=Units!$Q49),IF(Units!$J49&lt;&gt;"",Units!$J49,Mkt!AL50),Inputs!$B$15*Mkt!AL50+(1-Inputs!$B$15)*MIN(Mkt!AL50,AK50*(1+Inputs!$B$18))),AK50)))</f>
        <v>1373.8655</v>
      </c>
      <c r="AM50" s="11" t="n">
        <f aca="false">IF(AM$1&lt;Units!$P49,0,IF(AND(Units!$K49=0,AM$1=Units!$O49),Units!$R49,IF(AND(AM$1&gt;=Units!$Q49,MOD(AM$1-Units!$Q49,12)=0),IF(AND(Units!$L49=1,AM$1=Units!$Q49),IF(Units!$J49&lt;&gt;"",Units!$J49,Mkt!AM50),Inputs!$B$15*Mkt!AM50+(1-Inputs!$B$15)*MIN(Mkt!AM50,AL50*(1+Inputs!$B$18))),AL50)))</f>
        <v>1373.8655</v>
      </c>
      <c r="AN50" s="11" t="n">
        <f aca="false">IF(AN$1&lt;Units!$P49,0,IF(AND(Units!$K49=0,AN$1=Units!$O49),Units!$R49,IF(AND(AN$1&gt;=Units!$Q49,MOD(AN$1-Units!$Q49,12)=0),IF(AND(Units!$L49=1,AN$1=Units!$Q49),IF(Units!$J49&lt;&gt;"",Units!$J49,Mkt!AN50),Inputs!$B$15*Mkt!AN50+(1-Inputs!$B$15)*MIN(Mkt!AN50,AM50*(1+Inputs!$B$18))),AM50)))</f>
        <v>1373.8655</v>
      </c>
      <c r="AO50" s="11" t="n">
        <f aca="false">IF(AO$1&lt;Units!$P49,0,IF(AND(Units!$K49=0,AO$1=Units!$O49),Units!$R49,IF(AND(AO$1&gt;=Units!$Q49,MOD(AO$1-Units!$Q49,12)=0),IF(AND(Units!$L49=1,AO$1=Units!$Q49),IF(Units!$J49&lt;&gt;"",Units!$J49,Mkt!AO50),Inputs!$B$15*Mkt!AO50+(1-Inputs!$B$15)*MIN(Mkt!AO50,AN50*(1+Inputs!$B$18))),AN50)))</f>
        <v>1373.8655</v>
      </c>
      <c r="AP50" s="11" t="n">
        <f aca="false">IF(AP$1&lt;Units!$P49,0,IF(AND(Units!$K49=0,AP$1=Units!$O49),Units!$R49,IF(AND(AP$1&gt;=Units!$Q49,MOD(AP$1-Units!$Q49,12)=0),IF(AND(Units!$L49=1,AP$1=Units!$Q49),IF(Units!$J49&lt;&gt;"",Units!$J49,Mkt!AP50),Inputs!$B$15*Mkt!AP50+(1-Inputs!$B$15)*MIN(Mkt!AP50,AO50*(1+Inputs!$B$18))),AO50)))</f>
        <v>1373.8655</v>
      </c>
      <c r="AQ50" s="11" t="n">
        <f aca="false">IF(AQ$1&lt;Units!$P49,0,IF(AND(Units!$K49=0,AQ$1=Units!$O49),Units!$R49,IF(AND(AQ$1&gt;=Units!$Q49,MOD(AQ$1-Units!$Q49,12)=0),IF(AND(Units!$L49=1,AQ$1=Units!$Q49),IF(Units!$J49&lt;&gt;"",Units!$J49,Mkt!AQ50),Inputs!$B$15*Mkt!AQ50+(1-Inputs!$B$15)*MIN(Mkt!AQ50,AP50*(1+Inputs!$B$18))),AP50)))</f>
        <v>1373.8655</v>
      </c>
      <c r="AR50" s="11" t="n">
        <f aca="false">IF(AR$1&lt;Units!$P49,0,IF(AND(Units!$K49=0,AR$1=Units!$O49),Units!$R49,IF(AND(AR$1&gt;=Units!$Q49,MOD(AR$1-Units!$Q49,12)=0),IF(AND(Units!$L49=1,AR$1=Units!$Q49),IF(Units!$J49&lt;&gt;"",Units!$J49,Mkt!AR50),Inputs!$B$15*Mkt!AR50+(1-Inputs!$B$15)*MIN(Mkt!AR50,AQ50*(1+Inputs!$B$18))),AQ50)))</f>
        <v>1415.081465</v>
      </c>
      <c r="AS50" s="11" t="n">
        <f aca="false">IF(AS$1&lt;Units!$P49,0,IF(AND(Units!$K49=0,AS$1=Units!$O49),Units!$R49,IF(AND(AS$1&gt;=Units!$Q49,MOD(AS$1-Units!$Q49,12)=0),IF(AND(Units!$L49=1,AS$1=Units!$Q49),IF(Units!$J49&lt;&gt;"",Units!$J49,Mkt!AS50),Inputs!$B$15*Mkt!AS50+(1-Inputs!$B$15)*MIN(Mkt!AS50,AR50*(1+Inputs!$B$18))),AR50)))</f>
        <v>1415.081465</v>
      </c>
      <c r="AT50" s="11" t="n">
        <f aca="false">IF(AT$1&lt;Units!$P49,0,IF(AND(Units!$K49=0,AT$1=Units!$O49),Units!$R49,IF(AND(AT$1&gt;=Units!$Q49,MOD(AT$1-Units!$Q49,12)=0),IF(AND(Units!$L49=1,AT$1=Units!$Q49),IF(Units!$J49&lt;&gt;"",Units!$J49,Mkt!AT50),Inputs!$B$15*Mkt!AT50+(1-Inputs!$B$15)*MIN(Mkt!AT50,AS50*(1+Inputs!$B$18))),AS50)))</f>
        <v>1415.081465</v>
      </c>
      <c r="AU50" s="11" t="n">
        <f aca="false">IF(AU$1&lt;Units!$P49,0,IF(AND(Units!$K49=0,AU$1=Units!$O49),Units!$R49,IF(AND(AU$1&gt;=Units!$Q49,MOD(AU$1-Units!$Q49,12)=0),IF(AND(Units!$L49=1,AU$1=Units!$Q49),IF(Units!$J49&lt;&gt;"",Units!$J49,Mkt!AU50),Inputs!$B$15*Mkt!AU50+(1-Inputs!$B$15)*MIN(Mkt!AU50,AT50*(1+Inputs!$B$18))),AT50)))</f>
        <v>1415.081465</v>
      </c>
      <c r="AV50" s="11" t="n">
        <f aca="false">IF(AV$1&lt;Units!$P49,0,IF(AND(Units!$K49=0,AV$1=Units!$O49),Units!$R49,IF(AND(AV$1&gt;=Units!$Q49,MOD(AV$1-Units!$Q49,12)=0),IF(AND(Units!$L49=1,AV$1=Units!$Q49),IF(Units!$J49&lt;&gt;"",Units!$J49,Mkt!AV50),Inputs!$B$15*Mkt!AV50+(1-Inputs!$B$15)*MIN(Mkt!AV50,AU50*(1+Inputs!$B$18))),AU50)))</f>
        <v>1415.081465</v>
      </c>
      <c r="AW50" s="11" t="n">
        <f aca="false">IF(AW$1&lt;Units!$P49,0,IF(AND(Units!$K49=0,AW$1=Units!$O49),Units!$R49,IF(AND(AW$1&gt;=Units!$Q49,MOD(AW$1-Units!$Q49,12)=0),IF(AND(Units!$L49=1,AW$1=Units!$Q49),IF(Units!$J49&lt;&gt;"",Units!$J49,Mkt!AW50),Inputs!$B$15*Mkt!AW50+(1-Inputs!$B$15)*MIN(Mkt!AW50,AV50*(1+Inputs!$B$18))),AV50)))</f>
        <v>1415.081465</v>
      </c>
      <c r="AX50" s="11" t="n">
        <f aca="false">IF(AX$1&lt;Units!$P49,0,IF(AND(Units!$K49=0,AX$1=Units!$O49),Units!$R49,IF(AND(AX$1&gt;=Units!$Q49,MOD(AX$1-Units!$Q49,12)=0),IF(AND(Units!$L49=1,AX$1=Units!$Q49),IF(Units!$J49&lt;&gt;"",Units!$J49,Mkt!AX50),Inputs!$B$15*Mkt!AX50+(1-Inputs!$B$15)*MIN(Mkt!AX50,AW50*(1+Inputs!$B$18))),AW50)))</f>
        <v>1415.081465</v>
      </c>
      <c r="AY50" s="11" t="n">
        <f aca="false">IF(AY$1&lt;Units!$P49,0,IF(AND(Units!$K49=0,AY$1=Units!$O49),Units!$R49,IF(AND(AY$1&gt;=Units!$Q49,MOD(AY$1-Units!$Q49,12)=0),IF(AND(Units!$L49=1,AY$1=Units!$Q49),IF(Units!$J49&lt;&gt;"",Units!$J49,Mkt!AY50),Inputs!$B$15*Mkt!AY50+(1-Inputs!$B$15)*MIN(Mkt!AY50,AX50*(1+Inputs!$B$18))),AX50)))</f>
        <v>1415.081465</v>
      </c>
      <c r="AZ50" s="11" t="n">
        <f aca="false">IF(AZ$1&lt;Units!$P49,0,IF(AND(Units!$K49=0,AZ$1=Units!$O49),Units!$R49,IF(AND(AZ$1&gt;=Units!$Q49,MOD(AZ$1-Units!$Q49,12)=0),IF(AND(Units!$L49=1,AZ$1=Units!$Q49),IF(Units!$J49&lt;&gt;"",Units!$J49,Mkt!AZ50),Inputs!$B$15*Mkt!AZ50+(1-Inputs!$B$15)*MIN(Mkt!AZ50,AY50*(1+Inputs!$B$18))),AY50)))</f>
        <v>1415.081465</v>
      </c>
      <c r="BA50" s="11" t="n">
        <f aca="false">IF(BA$1&lt;Units!$P49,0,IF(AND(Units!$K49=0,BA$1=Units!$O49),Units!$R49,IF(AND(BA$1&gt;=Units!$Q49,MOD(BA$1-Units!$Q49,12)=0),IF(AND(Units!$L49=1,BA$1=Units!$Q49),IF(Units!$J49&lt;&gt;"",Units!$J49,Mkt!BA50),Inputs!$B$15*Mkt!BA50+(1-Inputs!$B$15)*MIN(Mkt!BA50,AZ50*(1+Inputs!$B$18))),AZ50)))</f>
        <v>1415.081465</v>
      </c>
      <c r="BB50" s="11" t="n">
        <f aca="false">IF(BB$1&lt;Units!$P49,0,IF(AND(Units!$K49=0,BB$1=Units!$O49),Units!$R49,IF(AND(BB$1&gt;=Units!$Q49,MOD(BB$1-Units!$Q49,12)=0),IF(AND(Units!$L49=1,BB$1=Units!$Q49),IF(Units!$J49&lt;&gt;"",Units!$J49,Mkt!BB50),Inputs!$B$15*Mkt!BB50+(1-Inputs!$B$15)*MIN(Mkt!BB50,BA50*(1+Inputs!$B$18))),BA50)))</f>
        <v>1415.081465</v>
      </c>
      <c r="BC50" s="11" t="n">
        <f aca="false">IF(BC$1&lt;Units!$P49,0,IF(AND(Units!$K49=0,BC$1=Units!$O49),Units!$R49,IF(AND(BC$1&gt;=Units!$Q49,MOD(BC$1-Units!$Q49,12)=0),IF(AND(Units!$L49=1,BC$1=Units!$Q49),IF(Units!$J49&lt;&gt;"",Units!$J49,Mkt!BC50),Inputs!$B$15*Mkt!BC50+(1-Inputs!$B$15)*MIN(Mkt!BC50,BB50*(1+Inputs!$B$18))),BB50)))</f>
        <v>1415.081465</v>
      </c>
      <c r="BD50" s="11" t="n">
        <f aca="false">IF(BD$1&lt;Units!$P49,0,IF(AND(Units!$K49=0,BD$1=Units!$O49),Units!$R49,IF(AND(BD$1&gt;=Units!$Q49,MOD(BD$1-Units!$Q49,12)=0),IF(AND(Units!$L49=1,BD$1=Units!$Q49),IF(Units!$J49&lt;&gt;"",Units!$J49,Mkt!BD50),Inputs!$B$15*Mkt!BD50+(1-Inputs!$B$15)*MIN(Mkt!BD50,BC50*(1+Inputs!$B$18))),BC50)))</f>
        <v>1457.53390895</v>
      </c>
      <c r="BE50" s="11" t="n">
        <f aca="false">IF(BE$1&lt;Units!$P49,0,IF(AND(Units!$K49=0,BE$1=Units!$O49),Units!$R49,IF(AND(BE$1&gt;=Units!$Q49,MOD(BE$1-Units!$Q49,12)=0),IF(AND(Units!$L49=1,BE$1=Units!$Q49),IF(Units!$J49&lt;&gt;"",Units!$J49,Mkt!BE50),Inputs!$B$15*Mkt!BE50+(1-Inputs!$B$15)*MIN(Mkt!BE50,BD50*(1+Inputs!$B$18))),BD50)))</f>
        <v>1457.53390895</v>
      </c>
      <c r="BF50" s="11" t="n">
        <f aca="false">IF(BF$1&lt;Units!$P49,0,IF(AND(Units!$K49=0,BF$1=Units!$O49),Units!$R49,IF(AND(BF$1&gt;=Units!$Q49,MOD(BF$1-Units!$Q49,12)=0),IF(AND(Units!$L49=1,BF$1=Units!$Q49),IF(Units!$J49&lt;&gt;"",Units!$J49,Mkt!BF50),Inputs!$B$15*Mkt!BF50+(1-Inputs!$B$15)*MIN(Mkt!BF50,BE50*(1+Inputs!$B$18))),BE50)))</f>
        <v>1457.53390895</v>
      </c>
      <c r="BG50" s="11" t="n">
        <f aca="false">IF(BG$1&lt;Units!$P49,0,IF(AND(Units!$K49=0,BG$1=Units!$O49),Units!$R49,IF(AND(BG$1&gt;=Units!$Q49,MOD(BG$1-Units!$Q49,12)=0),IF(AND(Units!$L49=1,BG$1=Units!$Q49),IF(Units!$J49&lt;&gt;"",Units!$J49,Mkt!BG50),Inputs!$B$15*Mkt!BG50+(1-Inputs!$B$15)*MIN(Mkt!BG50,BF50*(1+Inputs!$B$18))),BF50)))</f>
        <v>1457.53390895</v>
      </c>
      <c r="BH50" s="11" t="n">
        <f aca="false">IF(BH$1&lt;Units!$P49,0,IF(AND(Units!$K49=0,BH$1=Units!$O49),Units!$R49,IF(AND(BH$1&gt;=Units!$Q49,MOD(BH$1-Units!$Q49,12)=0),IF(AND(Units!$L49=1,BH$1=Units!$Q49),IF(Units!$J49&lt;&gt;"",Units!$J49,Mkt!BH50),Inputs!$B$15*Mkt!BH50+(1-Inputs!$B$15)*MIN(Mkt!BH50,BG50*(1+Inputs!$B$18))),BG50)))</f>
        <v>1457.53390895</v>
      </c>
      <c r="BI50" s="11" t="n">
        <f aca="false">IF(BI$1&lt;Units!$P49,0,IF(AND(Units!$K49=0,BI$1=Units!$O49),Units!$R49,IF(AND(BI$1&gt;=Units!$Q49,MOD(BI$1-Units!$Q49,12)=0),IF(AND(Units!$L49=1,BI$1=Units!$Q49),IF(Units!$J49&lt;&gt;"",Units!$J49,Mkt!BI50),Inputs!$B$15*Mkt!BI50+(1-Inputs!$B$15)*MIN(Mkt!BI50,BH50*(1+Inputs!$B$18))),BH50)))</f>
        <v>1457.53390895</v>
      </c>
      <c r="BJ50" s="11" t="n">
        <f aca="false">IF(BJ$1&lt;Units!$P49,0,IF(AND(Units!$K49=0,BJ$1=Units!$O49),Units!$R49,IF(AND(BJ$1&gt;=Units!$Q49,MOD(BJ$1-Units!$Q49,12)=0),IF(AND(Units!$L49=1,BJ$1=Units!$Q49),IF(Units!$J49&lt;&gt;"",Units!$J49,Mkt!BJ50),Inputs!$B$15*Mkt!BJ50+(1-Inputs!$B$15)*MIN(Mkt!BJ50,BI50*(1+Inputs!$B$18))),BI50)))</f>
        <v>1457.53390895</v>
      </c>
      <c r="BK50" s="11" t="n">
        <f aca="false">IF(BK$1&lt;Units!$P49,0,IF(AND(Units!$K49=0,BK$1=Units!$O49),Units!$R49,IF(AND(BK$1&gt;=Units!$Q49,MOD(BK$1-Units!$Q49,12)=0),IF(AND(Units!$L49=1,BK$1=Units!$Q49),IF(Units!$J49&lt;&gt;"",Units!$J49,Mkt!BK50),Inputs!$B$15*Mkt!BK50+(1-Inputs!$B$15)*MIN(Mkt!BK50,BJ50*(1+Inputs!$B$18))),BJ50)))</f>
        <v>1457.53390895</v>
      </c>
      <c r="BL50" s="11" t="n">
        <f aca="false">IF(BL$1&lt;Units!$P49,0,IF(AND(Units!$K49=0,BL$1=Units!$O49),Units!$R49,IF(AND(BL$1&gt;=Units!$Q49,MOD(BL$1-Units!$Q49,12)=0),IF(AND(Units!$L49=1,BL$1=Units!$Q49),IF(Units!$J49&lt;&gt;"",Units!$J49,Mkt!BL50),Inputs!$B$15*Mkt!BL50+(1-Inputs!$B$15)*MIN(Mkt!BL50,BK50*(1+Inputs!$B$18))),BK50)))</f>
        <v>1457.53390895</v>
      </c>
      <c r="BM50" s="11" t="n">
        <f aca="false">IF(BM$1&lt;Units!$P49,0,IF(AND(Units!$K49=0,BM$1=Units!$O49),Units!$R49,IF(AND(BM$1&gt;=Units!$Q49,MOD(BM$1-Units!$Q49,12)=0),IF(AND(Units!$L49=1,BM$1=Units!$Q49),IF(Units!$J49&lt;&gt;"",Units!$J49,Mkt!BM50),Inputs!$B$15*Mkt!BM50+(1-Inputs!$B$15)*MIN(Mkt!BM50,BL50*(1+Inputs!$B$18))),BL50)))</f>
        <v>1457.53390895</v>
      </c>
      <c r="BN50" s="11" t="n">
        <f aca="false">IF(BN$1&lt;Units!$P49,0,IF(AND(Units!$K49=0,BN$1=Units!$O49),Units!$R49,IF(AND(BN$1&gt;=Units!$Q49,MOD(BN$1-Units!$Q49,12)=0),IF(AND(Units!$L49=1,BN$1=Units!$Q49),IF(Units!$J49&lt;&gt;"",Units!$J49,Mkt!BN50),Inputs!$B$15*Mkt!BN50+(1-Inputs!$B$15)*MIN(Mkt!BN50,BM50*(1+Inputs!$B$18))),BM50)))</f>
        <v>1457.53390895</v>
      </c>
      <c r="BO50" s="11" t="n">
        <f aca="false">IF(BO$1&lt;Units!$P49,0,IF(AND(Units!$K49=0,BO$1=Units!$O49),Units!$R49,IF(AND(BO$1&gt;=Units!$Q49,MOD(BO$1-Units!$Q49,12)=0),IF(AND(Units!$L49=1,BO$1=Units!$Q49),IF(Units!$J49&lt;&gt;"",Units!$J49,Mkt!BO50),Inputs!$B$15*Mkt!BO50+(1-Inputs!$B$15)*MIN(Mkt!BO50,BN50*(1+Inputs!$B$18))),BN50)))</f>
        <v>1457.53390895</v>
      </c>
      <c r="BP50" s="11" t="n">
        <f aca="false">IF(BP$1&lt;Units!$P49,0,IF(AND(Units!$K49=0,BP$1=Units!$O49),Units!$R49,IF(AND(BP$1&gt;=Units!$Q49,MOD(BP$1-Units!$Q49,12)=0),IF(AND(Units!$L49=1,BP$1=Units!$Q49),IF(Units!$J49&lt;&gt;"",Units!$J49,Mkt!BP50),Inputs!$B$15*Mkt!BP50+(1-Inputs!$B$15)*MIN(Mkt!BP50,BO50*(1+Inputs!$B$18))),BO50)))</f>
        <v>1501.2599262185</v>
      </c>
      <c r="BQ50" s="11" t="n">
        <f aca="false">IF(BQ$1&lt;Units!$P49,0,IF(AND(Units!$K49=0,BQ$1=Units!$O49),Units!$R49,IF(AND(BQ$1&gt;=Units!$Q49,MOD(BQ$1-Units!$Q49,12)=0),IF(AND(Units!$L49=1,BQ$1=Units!$Q49),IF(Units!$J49&lt;&gt;"",Units!$J49,Mkt!BQ50),Inputs!$B$15*Mkt!BQ50+(1-Inputs!$B$15)*MIN(Mkt!BQ50,BP50*(1+Inputs!$B$18))),BP50)))</f>
        <v>1501.2599262185</v>
      </c>
      <c r="BR50" s="11" t="n">
        <f aca="false">IF(BR$1&lt;Units!$P49,0,IF(AND(Units!$K49=0,BR$1=Units!$O49),Units!$R49,IF(AND(BR$1&gt;=Units!$Q49,MOD(BR$1-Units!$Q49,12)=0),IF(AND(Units!$L49=1,BR$1=Units!$Q49),IF(Units!$J49&lt;&gt;"",Units!$J49,Mkt!BR50),Inputs!$B$15*Mkt!BR50+(1-Inputs!$B$15)*MIN(Mkt!BR50,BQ50*(1+Inputs!$B$18))),BQ50)))</f>
        <v>1501.2599262185</v>
      </c>
      <c r="BS50" s="11" t="n">
        <f aca="false">IF(BS$1&lt;Units!$P49,0,IF(AND(Units!$K49=0,BS$1=Units!$O49),Units!$R49,IF(AND(BS$1&gt;=Units!$Q49,MOD(BS$1-Units!$Q49,12)=0),IF(AND(Units!$L49=1,BS$1=Units!$Q49),IF(Units!$J49&lt;&gt;"",Units!$J49,Mkt!BS50),Inputs!$B$15*Mkt!BS50+(1-Inputs!$B$15)*MIN(Mkt!BS50,BR50*(1+Inputs!$B$18))),BR50)))</f>
        <v>1501.2599262185</v>
      </c>
      <c r="BT50" s="11" t="n">
        <f aca="false">IF(BT$1&lt;Units!$P49,0,IF(AND(Units!$K49=0,BT$1=Units!$O49),Units!$R49,IF(AND(BT$1&gt;=Units!$Q49,MOD(BT$1-Units!$Q49,12)=0),IF(AND(Units!$L49=1,BT$1=Units!$Q49),IF(Units!$J49&lt;&gt;"",Units!$J49,Mkt!BT50),Inputs!$B$15*Mkt!BT50+(1-Inputs!$B$15)*MIN(Mkt!BT50,BS50*(1+Inputs!$B$18))),BS50)))</f>
        <v>1501.2599262185</v>
      </c>
      <c r="BU50" s="11" t="n">
        <f aca="false">IF(BU$1&lt;Units!$P49,0,IF(AND(Units!$K49=0,BU$1=Units!$O49),Units!$R49,IF(AND(BU$1&gt;=Units!$Q49,MOD(BU$1-Units!$Q49,12)=0),IF(AND(Units!$L49=1,BU$1=Units!$Q49),IF(Units!$J49&lt;&gt;"",Units!$J49,Mkt!BU50),Inputs!$B$15*Mkt!BU50+(1-Inputs!$B$15)*MIN(Mkt!BU50,BT50*(1+Inputs!$B$18))),BT50)))</f>
        <v>1501.2599262185</v>
      </c>
      <c r="BV50" s="11" t="n">
        <f aca="false">IF(BV$1&lt;Units!$P49,0,IF(AND(Units!$K49=0,BV$1=Units!$O49),Units!$R49,IF(AND(BV$1&gt;=Units!$Q49,MOD(BV$1-Units!$Q49,12)=0),IF(AND(Units!$L49=1,BV$1=Units!$Q49),IF(Units!$J49&lt;&gt;"",Units!$J49,Mkt!BV50),Inputs!$B$15*Mkt!BV50+(1-Inputs!$B$15)*MIN(Mkt!BV50,BU50*(1+Inputs!$B$18))),BU50)))</f>
        <v>1501.2599262185</v>
      </c>
      <c r="BW50" s="11" t="n">
        <f aca="false">IF(BW$1&lt;Units!$P49,0,IF(AND(Units!$K49=0,BW$1=Units!$O49),Units!$R49,IF(AND(BW$1&gt;=Units!$Q49,MOD(BW$1-Units!$Q49,12)=0),IF(AND(Units!$L49=1,BW$1=Units!$Q49),IF(Units!$J49&lt;&gt;"",Units!$J49,Mkt!BW50),Inputs!$B$15*Mkt!BW50+(1-Inputs!$B$15)*MIN(Mkt!BW50,BV50*(1+Inputs!$B$18))),BV50)))</f>
        <v>1501.2599262185</v>
      </c>
      <c r="BX50" s="11" t="n">
        <f aca="false">IF(BX$1&lt;Units!$P49,0,IF(AND(Units!$K49=0,BX$1=Units!$O49),Units!$R49,IF(AND(BX$1&gt;=Units!$Q49,MOD(BX$1-Units!$Q49,12)=0),IF(AND(Units!$L49=1,BX$1=Units!$Q49),IF(Units!$J49&lt;&gt;"",Units!$J49,Mkt!BX50),Inputs!$B$15*Mkt!BX50+(1-Inputs!$B$15)*MIN(Mkt!BX50,BW50*(1+Inputs!$B$18))),BW50)))</f>
        <v>1501.2599262185</v>
      </c>
      <c r="BY50" s="11" t="n">
        <f aca="false">IF(BY$1&lt;Units!$P49,0,IF(AND(Units!$K49=0,BY$1=Units!$O49),Units!$R49,IF(AND(BY$1&gt;=Units!$Q49,MOD(BY$1-Units!$Q49,12)=0),IF(AND(Units!$L49=1,BY$1=Units!$Q49),IF(Units!$J49&lt;&gt;"",Units!$J49,Mkt!BY50),Inputs!$B$15*Mkt!BY50+(1-Inputs!$B$15)*MIN(Mkt!BY50,BX50*(1+Inputs!$B$18))),BX50)))</f>
        <v>1501.2599262185</v>
      </c>
      <c r="BZ50" s="11" t="n">
        <f aca="false">IF(BZ$1&lt;Units!$P49,0,IF(AND(Units!$K49=0,BZ$1=Units!$O49),Units!$R49,IF(AND(BZ$1&gt;=Units!$Q49,MOD(BZ$1-Units!$Q49,12)=0),IF(AND(Units!$L49=1,BZ$1=Units!$Q49),IF(Units!$J49&lt;&gt;"",Units!$J49,Mkt!BZ50),Inputs!$B$15*Mkt!BZ50+(1-Inputs!$B$15)*MIN(Mkt!BZ50,BY50*(1+Inputs!$B$18))),BY50)))</f>
        <v>1501.2599262185</v>
      </c>
      <c r="CA50" s="11" t="n">
        <f aca="false">IF(CA$1&lt;Units!$P49,0,IF(AND(Units!$K49=0,CA$1=Units!$O49),Units!$R49,IF(AND(CA$1&gt;=Units!$Q49,MOD(CA$1-Units!$Q49,12)=0),IF(AND(Units!$L49=1,CA$1=Units!$Q49),IF(Units!$J49&lt;&gt;"",Units!$J49,Mkt!CA50),Inputs!$B$15*Mkt!CA50+(1-Inputs!$B$15)*MIN(Mkt!CA50,BZ50*(1+Inputs!$B$18))),BZ50)))</f>
        <v>1501.2599262185</v>
      </c>
      <c r="CB50" s="11" t="n">
        <f aca="false">IF(CB$1&lt;Units!$P49,0,IF(AND(Units!$K49=0,CB$1=Units!$O49),Units!$R49,IF(AND(CB$1&gt;=Units!$Q49,MOD(CB$1-Units!$Q49,12)=0),IF(AND(Units!$L49=1,CB$1=Units!$Q49),IF(Units!$J49&lt;&gt;"",Units!$J49,Mkt!CB50),Inputs!$B$15*Mkt!CB50+(1-Inputs!$B$15)*MIN(Mkt!CB50,CA50*(1+Inputs!$B$18))),CA50)))</f>
        <v>1546.29772400506</v>
      </c>
      <c r="CC50" s="11" t="n">
        <f aca="false">IF(CC$1&lt;Units!$P49,0,IF(AND(Units!$K49=0,CC$1=Units!$O49),Units!$R49,IF(AND(CC$1&gt;=Units!$Q49,MOD(CC$1-Units!$Q49,12)=0),IF(AND(Units!$L49=1,CC$1=Units!$Q49),IF(Units!$J49&lt;&gt;"",Units!$J49,Mkt!CC50),Inputs!$B$15*Mkt!CC50+(1-Inputs!$B$15)*MIN(Mkt!CC50,CB50*(1+Inputs!$B$18))),CB50)))</f>
        <v>1546.29772400506</v>
      </c>
      <c r="CD50" s="11" t="n">
        <f aca="false">IF(CD$1&lt;Units!$P49,0,IF(AND(Units!$K49=0,CD$1=Units!$O49),Units!$R49,IF(AND(CD$1&gt;=Units!$Q49,MOD(CD$1-Units!$Q49,12)=0),IF(AND(Units!$L49=1,CD$1=Units!$Q49),IF(Units!$J49&lt;&gt;"",Units!$J49,Mkt!CD50),Inputs!$B$15*Mkt!CD50+(1-Inputs!$B$15)*MIN(Mkt!CD50,CC50*(1+Inputs!$B$18))),CC50)))</f>
        <v>1546.29772400506</v>
      </c>
      <c r="CE50" s="11" t="n">
        <f aca="false">IF(CE$1&lt;Units!$P49,0,IF(AND(Units!$K49=0,CE$1=Units!$O49),Units!$R49,IF(AND(CE$1&gt;=Units!$Q49,MOD(CE$1-Units!$Q49,12)=0),IF(AND(Units!$L49=1,CE$1=Units!$Q49),IF(Units!$J49&lt;&gt;"",Units!$J49,Mkt!CE50),Inputs!$B$15*Mkt!CE50+(1-Inputs!$B$15)*MIN(Mkt!CE50,CD50*(1+Inputs!$B$18))),CD50)))</f>
        <v>1546.29772400506</v>
      </c>
      <c r="CF50" s="11" t="n">
        <f aca="false">IF(CF$1&lt;Units!$P49,0,IF(AND(Units!$K49=0,CF$1=Units!$O49),Units!$R49,IF(AND(CF$1&gt;=Units!$Q49,MOD(CF$1-Units!$Q49,12)=0),IF(AND(Units!$L49=1,CF$1=Units!$Q49),IF(Units!$J49&lt;&gt;"",Units!$J49,Mkt!CF50),Inputs!$B$15*Mkt!CF50+(1-Inputs!$B$15)*MIN(Mkt!CF50,CE50*(1+Inputs!$B$18))),CE50)))</f>
        <v>1546.29772400506</v>
      </c>
      <c r="CG50" s="11" t="n">
        <f aca="false">IF(CG$1&lt;Units!$P49,0,IF(AND(Units!$K49=0,CG$1=Units!$O49),Units!$R49,IF(AND(CG$1&gt;=Units!$Q49,MOD(CG$1-Units!$Q49,12)=0),IF(AND(Units!$L49=1,CG$1=Units!$Q49),IF(Units!$J49&lt;&gt;"",Units!$J49,Mkt!CG50),Inputs!$B$15*Mkt!CG50+(1-Inputs!$B$15)*MIN(Mkt!CG50,CF50*(1+Inputs!$B$18))),CF50)))</f>
        <v>1546.29772400506</v>
      </c>
      <c r="CH50" s="11" t="n">
        <f aca="false">IF(CH$1&lt;Units!$P49,0,IF(AND(Units!$K49=0,CH$1=Units!$O49),Units!$R49,IF(AND(CH$1&gt;=Units!$Q49,MOD(CH$1-Units!$Q49,12)=0),IF(AND(Units!$L49=1,CH$1=Units!$Q49),IF(Units!$J49&lt;&gt;"",Units!$J49,Mkt!CH50),Inputs!$B$15*Mkt!CH50+(1-Inputs!$B$15)*MIN(Mkt!CH50,CG50*(1+Inputs!$B$18))),CG50)))</f>
        <v>1546.29772400506</v>
      </c>
      <c r="CI50" s="11" t="n">
        <f aca="false">IF(CI$1&lt;Units!$P49,0,IF(AND(Units!$K49=0,CI$1=Units!$O49),Units!$R49,IF(AND(CI$1&gt;=Units!$Q49,MOD(CI$1-Units!$Q49,12)=0),IF(AND(Units!$L49=1,CI$1=Units!$Q49),IF(Units!$J49&lt;&gt;"",Units!$J49,Mkt!CI50),Inputs!$B$15*Mkt!CI50+(1-Inputs!$B$15)*MIN(Mkt!CI50,CH50*(1+Inputs!$B$18))),CH50)))</f>
        <v>1546.29772400506</v>
      </c>
      <c r="CJ50" s="11" t="n">
        <f aca="false">IF(CJ$1&lt;Units!$P49,0,IF(AND(Units!$K49=0,CJ$1=Units!$O49),Units!$R49,IF(AND(CJ$1&gt;=Units!$Q49,MOD(CJ$1-Units!$Q49,12)=0),IF(AND(Units!$L49=1,CJ$1=Units!$Q49),IF(Units!$J49&lt;&gt;"",Units!$J49,Mkt!CJ50),Inputs!$B$15*Mkt!CJ50+(1-Inputs!$B$15)*MIN(Mkt!CJ50,CI50*(1+Inputs!$B$18))),CI50)))</f>
        <v>1546.29772400506</v>
      </c>
      <c r="CK50" s="11" t="n">
        <f aca="false">IF(CK$1&lt;Units!$P49,0,IF(AND(Units!$K49=0,CK$1=Units!$O49),Units!$R49,IF(AND(CK$1&gt;=Units!$Q49,MOD(CK$1-Units!$Q49,12)=0),IF(AND(Units!$L49=1,CK$1=Units!$Q49),IF(Units!$J49&lt;&gt;"",Units!$J49,Mkt!CK50),Inputs!$B$15*Mkt!CK50+(1-Inputs!$B$15)*MIN(Mkt!CK50,CJ50*(1+Inputs!$B$18))),CJ50)))</f>
        <v>1546.29772400506</v>
      </c>
      <c r="CL50" s="11" t="n">
        <f aca="false">IF(CL$1&lt;Units!$P49,0,IF(AND(Units!$K49=0,CL$1=Units!$O49),Units!$R49,IF(AND(CL$1&gt;=Units!$Q49,MOD(CL$1-Units!$Q49,12)=0),IF(AND(Units!$L49=1,CL$1=Units!$Q49),IF(Units!$J49&lt;&gt;"",Units!$J49,Mkt!CL50),Inputs!$B$15*Mkt!CL50+(1-Inputs!$B$15)*MIN(Mkt!CL50,CK50*(1+Inputs!$B$18))),CK50)))</f>
        <v>1546.29772400506</v>
      </c>
      <c r="CM50" s="11" t="n">
        <f aca="false">IF(CM$1&lt;Units!$P49,0,IF(AND(Units!$K49=0,CM$1=Units!$O49),Units!$R49,IF(AND(CM$1&gt;=Units!$Q49,MOD(CM$1-Units!$Q49,12)=0),IF(AND(Units!$L49=1,CM$1=Units!$Q49),IF(Units!$J49&lt;&gt;"",Units!$J49,Mkt!CM50),Inputs!$B$15*Mkt!CM50+(1-Inputs!$B$15)*MIN(Mkt!CM50,CL50*(1+Inputs!$B$18))),CL50)))</f>
        <v>1546.29772400506</v>
      </c>
      <c r="CN50" s="11" t="n">
        <f aca="false">IF(CN$1&lt;Units!$P49,0,IF(AND(Units!$K49=0,CN$1=Units!$O49),Units!$R49,IF(AND(CN$1&gt;=Units!$Q49,MOD(CN$1-Units!$Q49,12)=0),IF(AND(Units!$L49=1,CN$1=Units!$Q49),IF(Units!$J49&lt;&gt;"",Units!$J49,Mkt!CN50),Inputs!$B$15*Mkt!CN50+(1-Inputs!$B$15)*MIN(Mkt!CN50,CM50*(1+Inputs!$B$18))),CM50)))</f>
        <v>1592.68665572521</v>
      </c>
      <c r="CO50" s="11" t="n">
        <f aca="false">IF(CO$1&lt;Units!$P49,0,IF(AND(Units!$K49=0,CO$1=Units!$O49),Units!$R49,IF(AND(CO$1&gt;=Units!$Q49,MOD(CO$1-Units!$Q49,12)=0),IF(AND(Units!$L49=1,CO$1=Units!$Q49),IF(Units!$J49&lt;&gt;"",Units!$J49,Mkt!CO50),Inputs!$B$15*Mkt!CO50+(1-Inputs!$B$15)*MIN(Mkt!CO50,CN50*(1+Inputs!$B$18))),CN50)))</f>
        <v>1592.68665572521</v>
      </c>
      <c r="CP50" s="11" t="n">
        <f aca="false">IF(CP$1&lt;Units!$P49,0,IF(AND(Units!$K49=0,CP$1=Units!$O49),Units!$R49,IF(AND(CP$1&gt;=Units!$Q49,MOD(CP$1-Units!$Q49,12)=0),IF(AND(Units!$L49=1,CP$1=Units!$Q49),IF(Units!$J49&lt;&gt;"",Units!$J49,Mkt!CP50),Inputs!$B$15*Mkt!CP50+(1-Inputs!$B$15)*MIN(Mkt!CP50,CO50*(1+Inputs!$B$18))),CO50)))</f>
        <v>1592.68665572521</v>
      </c>
      <c r="CQ50" s="11" t="n">
        <f aca="false">IF(CQ$1&lt;Units!$P49,0,IF(AND(Units!$K49=0,CQ$1=Units!$O49),Units!$R49,IF(AND(CQ$1&gt;=Units!$Q49,MOD(CQ$1-Units!$Q49,12)=0),IF(AND(Units!$L49=1,CQ$1=Units!$Q49),IF(Units!$J49&lt;&gt;"",Units!$J49,Mkt!CQ50),Inputs!$B$15*Mkt!CQ50+(1-Inputs!$B$15)*MIN(Mkt!CQ50,CP50*(1+Inputs!$B$18))),CP50)))</f>
        <v>1592.68665572521</v>
      </c>
      <c r="CR50" s="11" t="n">
        <f aca="false">IF(CR$1&lt;Units!$P49,0,IF(AND(Units!$K49=0,CR$1=Units!$O49),Units!$R49,IF(AND(CR$1&gt;=Units!$Q49,MOD(CR$1-Units!$Q49,12)=0),IF(AND(Units!$L49=1,CR$1=Units!$Q49),IF(Units!$J49&lt;&gt;"",Units!$J49,Mkt!CR50),Inputs!$B$15*Mkt!CR50+(1-Inputs!$B$15)*MIN(Mkt!CR50,CQ50*(1+Inputs!$B$18))),CQ50)))</f>
        <v>1592.68665572521</v>
      </c>
      <c r="CS50" s="11" t="n">
        <f aca="false">IF(CS$1&lt;Units!$P49,0,IF(AND(Units!$K49=0,CS$1=Units!$O49),Units!$R49,IF(AND(CS$1&gt;=Units!$Q49,MOD(CS$1-Units!$Q49,12)=0),IF(AND(Units!$L49=1,CS$1=Units!$Q49),IF(Units!$J49&lt;&gt;"",Units!$J49,Mkt!CS50),Inputs!$B$15*Mkt!CS50+(1-Inputs!$B$15)*MIN(Mkt!CS50,CR50*(1+Inputs!$B$18))),CR50)))</f>
        <v>1592.68665572521</v>
      </c>
      <c r="CT50" s="11" t="n">
        <f aca="false">IF(CT$1&lt;Units!$P49,0,IF(AND(Units!$K49=0,CT$1=Units!$O49),Units!$R49,IF(AND(CT$1&gt;=Units!$Q49,MOD(CT$1-Units!$Q49,12)=0),IF(AND(Units!$L49=1,CT$1=Units!$Q49),IF(Units!$J49&lt;&gt;"",Units!$J49,Mkt!CT50),Inputs!$B$15*Mkt!CT50+(1-Inputs!$B$15)*MIN(Mkt!CT50,CS50*(1+Inputs!$B$18))),CS50)))</f>
        <v>1592.68665572521</v>
      </c>
      <c r="CU50" s="11" t="n">
        <f aca="false">IF(CU$1&lt;Units!$P49,0,IF(AND(Units!$K49=0,CU$1=Units!$O49),Units!$R49,IF(AND(CU$1&gt;=Units!$Q49,MOD(CU$1-Units!$Q49,12)=0),IF(AND(Units!$L49=1,CU$1=Units!$Q49),IF(Units!$J49&lt;&gt;"",Units!$J49,Mkt!CU50),Inputs!$B$15*Mkt!CU50+(1-Inputs!$B$15)*MIN(Mkt!CU50,CT50*(1+Inputs!$B$18))),CT50)))</f>
        <v>1592.68665572521</v>
      </c>
      <c r="CV50" s="11" t="n">
        <f aca="false">IF(CV$1&lt;Units!$P49,0,IF(AND(Units!$K49=0,CV$1=Units!$O49),Units!$R49,IF(AND(CV$1&gt;=Units!$Q49,MOD(CV$1-Units!$Q49,12)=0),IF(AND(Units!$L49=1,CV$1=Units!$Q49),IF(Units!$J49&lt;&gt;"",Units!$J49,Mkt!CV50),Inputs!$B$15*Mkt!CV50+(1-Inputs!$B$15)*MIN(Mkt!CV50,CU50*(1+Inputs!$B$18))),CU50)))</f>
        <v>1592.68665572521</v>
      </c>
      <c r="CW50" s="11" t="n">
        <f aca="false">IF(CW$1&lt;Units!$P49,0,IF(AND(Units!$K49=0,CW$1=Units!$O49),Units!$R49,IF(AND(CW$1&gt;=Units!$Q49,MOD(CW$1-Units!$Q49,12)=0),IF(AND(Units!$L49=1,CW$1=Units!$Q49),IF(Units!$J49&lt;&gt;"",Units!$J49,Mkt!CW50),Inputs!$B$15*Mkt!CW50+(1-Inputs!$B$15)*MIN(Mkt!CW50,CV50*(1+Inputs!$B$18))),CV50)))</f>
        <v>1592.68665572521</v>
      </c>
      <c r="CX50" s="11" t="n">
        <f aca="false">IF(CX$1&lt;Units!$P49,0,IF(AND(Units!$K49=0,CX$1=Units!$O49),Units!$R49,IF(AND(CX$1&gt;=Units!$Q49,MOD(CX$1-Units!$Q49,12)=0),IF(AND(Units!$L49=1,CX$1=Units!$Q49),IF(Units!$J49&lt;&gt;"",Units!$J49,Mkt!CX50),Inputs!$B$15*Mkt!CX50+(1-Inputs!$B$15)*MIN(Mkt!CX50,CW50*(1+Inputs!$B$18))),CW50)))</f>
        <v>1592.68665572521</v>
      </c>
      <c r="CY50" s="11" t="n">
        <f aca="false">IF(CY$1&lt;Units!$P49,0,IF(AND(Units!$K49=0,CY$1=Units!$O49),Units!$R49,IF(AND(CY$1&gt;=Units!$Q49,MOD(CY$1-Units!$Q49,12)=0),IF(AND(Units!$L49=1,CY$1=Units!$Q49),IF(Units!$J49&lt;&gt;"",Units!$J49,Mkt!CY50),Inputs!$B$15*Mkt!CY50+(1-Inputs!$B$15)*MIN(Mkt!CY50,CX50*(1+Inputs!$B$18))),CX50)))</f>
        <v>1592.68665572521</v>
      </c>
      <c r="CZ50" s="11" t="n">
        <f aca="false">IF(CZ$1&lt;Units!$P49,0,IF(AND(Units!$K49=0,CZ$1=Units!$O49),Units!$R49,IF(AND(CZ$1&gt;=Units!$Q49,MOD(CZ$1-Units!$Q49,12)=0),IF(AND(Units!$L49=1,CZ$1=Units!$Q49),IF(Units!$J49&lt;&gt;"",Units!$J49,Mkt!CZ50),Inputs!$B$15*Mkt!CZ50+(1-Inputs!$B$15)*MIN(Mkt!CZ50,CY50*(1+Inputs!$B$18))),CY50)))</f>
        <v>1640.46725539696</v>
      </c>
      <c r="DA50" s="11" t="n">
        <f aca="false">IF(DA$1&lt;Units!$P49,0,IF(AND(Units!$K49=0,DA$1=Units!$O49),Units!$R49,IF(AND(DA$1&gt;=Units!$Q49,MOD(DA$1-Units!$Q49,12)=0),IF(AND(Units!$L49=1,DA$1=Units!$Q49),IF(Units!$J49&lt;&gt;"",Units!$J49,Mkt!DA50),Inputs!$B$15*Mkt!DA50+(1-Inputs!$B$15)*MIN(Mkt!DA50,CZ50*(1+Inputs!$B$18))),CZ50)))</f>
        <v>1640.46725539696</v>
      </c>
      <c r="DB50" s="11" t="n">
        <f aca="false">IF(DB$1&lt;Units!$P49,0,IF(AND(Units!$K49=0,DB$1=Units!$O49),Units!$R49,IF(AND(DB$1&gt;=Units!$Q49,MOD(DB$1-Units!$Q49,12)=0),IF(AND(Units!$L49=1,DB$1=Units!$Q49),IF(Units!$J49&lt;&gt;"",Units!$J49,Mkt!DB50),Inputs!$B$15*Mkt!DB50+(1-Inputs!$B$15)*MIN(Mkt!DB50,DA50*(1+Inputs!$B$18))),DA50)))</f>
        <v>1640.46725539696</v>
      </c>
      <c r="DC50" s="11" t="n">
        <f aca="false">IF(DC$1&lt;Units!$P49,0,IF(AND(Units!$K49=0,DC$1=Units!$O49),Units!$R49,IF(AND(DC$1&gt;=Units!$Q49,MOD(DC$1-Units!$Q49,12)=0),IF(AND(Units!$L49=1,DC$1=Units!$Q49),IF(Units!$J49&lt;&gt;"",Units!$J49,Mkt!DC50),Inputs!$B$15*Mkt!DC50+(1-Inputs!$B$15)*MIN(Mkt!DC50,DB50*(1+Inputs!$B$18))),DB50)))</f>
        <v>1640.46725539696</v>
      </c>
      <c r="DD50" s="11" t="n">
        <f aca="false">IF(DD$1&lt;Units!$P49,0,IF(AND(Units!$K49=0,DD$1=Units!$O49),Units!$R49,IF(AND(DD$1&gt;=Units!$Q49,MOD(DD$1-Units!$Q49,12)=0),IF(AND(Units!$L49=1,DD$1=Units!$Q49),IF(Units!$J49&lt;&gt;"",Units!$J49,Mkt!DD50),Inputs!$B$15*Mkt!DD50+(1-Inputs!$B$15)*MIN(Mkt!DD50,DC50*(1+Inputs!$B$18))),DC50)))</f>
        <v>1640.46725539696</v>
      </c>
      <c r="DE50" s="11" t="n">
        <f aca="false">IF(DE$1&lt;Units!$P49,0,IF(AND(Units!$K49=0,DE$1=Units!$O49),Units!$R49,IF(AND(DE$1&gt;=Units!$Q49,MOD(DE$1-Units!$Q49,12)=0),IF(AND(Units!$L49=1,DE$1=Units!$Q49),IF(Units!$J49&lt;&gt;"",Units!$J49,Mkt!DE50),Inputs!$B$15*Mkt!DE50+(1-Inputs!$B$15)*MIN(Mkt!DE50,DD50*(1+Inputs!$B$18))),DD50)))</f>
        <v>1640.46725539696</v>
      </c>
      <c r="DF50" s="11" t="n">
        <f aca="false">IF(DF$1&lt;Units!$P49,0,IF(AND(Units!$K49=0,DF$1=Units!$O49),Units!$R49,IF(AND(DF$1&gt;=Units!$Q49,MOD(DF$1-Units!$Q49,12)=0),IF(AND(Units!$L49=1,DF$1=Units!$Q49),IF(Units!$J49&lt;&gt;"",Units!$J49,Mkt!DF50),Inputs!$B$15*Mkt!DF50+(1-Inputs!$B$15)*MIN(Mkt!DF50,DE50*(1+Inputs!$B$18))),DE50)))</f>
        <v>1640.46725539696</v>
      </c>
      <c r="DG50" s="11" t="n">
        <f aca="false">IF(DG$1&lt;Units!$P49,0,IF(AND(Units!$K49=0,DG$1=Units!$O49),Units!$R49,IF(AND(DG$1&gt;=Units!$Q49,MOD(DG$1-Units!$Q49,12)=0),IF(AND(Units!$L49=1,DG$1=Units!$Q49),IF(Units!$J49&lt;&gt;"",Units!$J49,Mkt!DG50),Inputs!$B$15*Mkt!DG50+(1-Inputs!$B$15)*MIN(Mkt!DG50,DF50*(1+Inputs!$B$18))),DF50)))</f>
        <v>1640.46725539696</v>
      </c>
      <c r="DH50" s="11" t="n">
        <f aca="false">IF(DH$1&lt;Units!$P49,0,IF(AND(Units!$K49=0,DH$1=Units!$O49),Units!$R49,IF(AND(DH$1&gt;=Units!$Q49,MOD(DH$1-Units!$Q49,12)=0),IF(AND(Units!$L49=1,DH$1=Units!$Q49),IF(Units!$J49&lt;&gt;"",Units!$J49,Mkt!DH50),Inputs!$B$15*Mkt!DH50+(1-Inputs!$B$15)*MIN(Mkt!DH50,DG50*(1+Inputs!$B$18))),DG50)))</f>
        <v>1640.46725539696</v>
      </c>
      <c r="DI50" s="11" t="n">
        <f aca="false">IF(DI$1&lt;Units!$P49,0,IF(AND(Units!$K49=0,DI$1=Units!$O49),Units!$R49,IF(AND(DI$1&gt;=Units!$Q49,MOD(DI$1-Units!$Q49,12)=0),IF(AND(Units!$L49=1,DI$1=Units!$Q49),IF(Units!$J49&lt;&gt;"",Units!$J49,Mkt!DI50),Inputs!$B$15*Mkt!DI50+(1-Inputs!$B$15)*MIN(Mkt!DI50,DH50*(1+Inputs!$B$18))),DH50)))</f>
        <v>1640.46725539696</v>
      </c>
      <c r="DJ50" s="11" t="n">
        <f aca="false">IF(DJ$1&lt;Units!$P49,0,IF(AND(Units!$K49=0,DJ$1=Units!$O49),Units!$R49,IF(AND(DJ$1&gt;=Units!$Q49,MOD(DJ$1-Units!$Q49,12)=0),IF(AND(Units!$L49=1,DJ$1=Units!$Q49),IF(Units!$J49&lt;&gt;"",Units!$J49,Mkt!DJ50),Inputs!$B$15*Mkt!DJ50+(1-Inputs!$B$15)*MIN(Mkt!DJ50,DI50*(1+Inputs!$B$18))),DI50)))</f>
        <v>1640.46725539696</v>
      </c>
      <c r="DK50" s="11" t="n">
        <f aca="false">IF(DK$1&lt;Units!$P49,0,IF(AND(Units!$K49=0,DK$1=Units!$O49),Units!$R49,IF(AND(DK$1&gt;=Units!$Q49,MOD(DK$1-Units!$Q49,12)=0),IF(AND(Units!$L49=1,DK$1=Units!$Q49),IF(Units!$J49&lt;&gt;"",Units!$J49,Mkt!DK50),Inputs!$B$15*Mkt!DK50+(1-Inputs!$B$15)*MIN(Mkt!DK50,DJ50*(1+Inputs!$B$18))),DJ50)))</f>
        <v>1640.46725539696</v>
      </c>
      <c r="DL50" s="11" t="n">
        <f aca="false">IF(DL$1&lt;Units!$P49,0,IF(AND(Units!$K49=0,DL$1=Units!$O49),Units!$R49,IF(AND(DL$1&gt;=Units!$Q49,MOD(DL$1-Units!$Q49,12)=0),IF(AND(Units!$L49=1,DL$1=Units!$Q49),IF(Units!$J49&lt;&gt;"",Units!$J49,Mkt!DL50),Inputs!$B$15*Mkt!DL50+(1-Inputs!$B$15)*MIN(Mkt!DL50,DK50*(1+Inputs!$B$18))),DK50)))</f>
        <v>1689.68127305887</v>
      </c>
      <c r="DM50" s="11" t="n">
        <f aca="false">IF(DM$1&lt;Units!$P49,0,IF(AND(Units!$K49=0,DM$1=Units!$O49),Units!$R49,IF(AND(DM$1&gt;=Units!$Q49,MOD(DM$1-Units!$Q49,12)=0),IF(AND(Units!$L49=1,DM$1=Units!$Q49),IF(Units!$J49&lt;&gt;"",Units!$J49,Mkt!DM50),Inputs!$B$15*Mkt!DM50+(1-Inputs!$B$15)*MIN(Mkt!DM50,DL50*(1+Inputs!$B$18))),DL50)))</f>
        <v>1689.68127305887</v>
      </c>
      <c r="DN50" s="11" t="n">
        <f aca="false">IF(DN$1&lt;Units!$P49,0,IF(AND(Units!$K49=0,DN$1=Units!$O49),Units!$R49,IF(AND(DN$1&gt;=Units!$Q49,MOD(DN$1-Units!$Q49,12)=0),IF(AND(Units!$L49=1,DN$1=Units!$Q49),IF(Units!$J49&lt;&gt;"",Units!$J49,Mkt!DN50),Inputs!$B$15*Mkt!DN50+(1-Inputs!$B$15)*MIN(Mkt!DN50,DM50*(1+Inputs!$B$18))),DM50)))</f>
        <v>1689.68127305887</v>
      </c>
      <c r="DO50" s="11" t="n">
        <f aca="false">IF(DO$1&lt;Units!$P49,0,IF(AND(Units!$K49=0,DO$1=Units!$O49),Units!$R49,IF(AND(DO$1&gt;=Units!$Q49,MOD(DO$1-Units!$Q49,12)=0),IF(AND(Units!$L49=1,DO$1=Units!$Q49),IF(Units!$J49&lt;&gt;"",Units!$J49,Mkt!DO50),Inputs!$B$15*Mkt!DO50+(1-Inputs!$B$15)*MIN(Mkt!DO50,DN50*(1+Inputs!$B$18))),DN50)))</f>
        <v>1689.68127305887</v>
      </c>
      <c r="DP50" s="11" t="n">
        <f aca="false">IF(DP$1&lt;Units!$P49,0,IF(AND(Units!$K49=0,DP$1=Units!$O49),Units!$R49,IF(AND(DP$1&gt;=Units!$Q49,MOD(DP$1-Units!$Q49,12)=0),IF(AND(Units!$L49=1,DP$1=Units!$Q49),IF(Units!$J49&lt;&gt;"",Units!$J49,Mkt!DP50),Inputs!$B$15*Mkt!DP50+(1-Inputs!$B$15)*MIN(Mkt!DP50,DO50*(1+Inputs!$B$18))),DO50)))</f>
        <v>1689.68127305887</v>
      </c>
      <c r="DQ50" s="11" t="n">
        <f aca="false">IF(DQ$1&lt;Units!$P49,0,IF(AND(Units!$K49=0,DQ$1=Units!$O49),Units!$R49,IF(AND(DQ$1&gt;=Units!$Q49,MOD(DQ$1-Units!$Q49,12)=0),IF(AND(Units!$L49=1,DQ$1=Units!$Q49),IF(Units!$J49&lt;&gt;"",Units!$J49,Mkt!DQ50),Inputs!$B$15*Mkt!DQ50+(1-Inputs!$B$15)*MIN(Mkt!DQ50,DP50*(1+Inputs!$B$18))),DP50)))</f>
        <v>1689.68127305887</v>
      </c>
      <c r="DR50" s="11" t="n">
        <f aca="false">IF(DR$1&lt;Units!$P49,0,IF(AND(Units!$K49=0,DR$1=Units!$O49),Units!$R49,IF(AND(DR$1&gt;=Units!$Q49,MOD(DR$1-Units!$Q49,12)=0),IF(AND(Units!$L49=1,DR$1=Units!$Q49),IF(Units!$J49&lt;&gt;"",Units!$J49,Mkt!DR50),Inputs!$B$15*Mkt!DR50+(1-Inputs!$B$15)*MIN(Mkt!DR50,DQ50*(1+Inputs!$B$18))),DQ50)))</f>
        <v>1689.68127305887</v>
      </c>
      <c r="DS50" s="11" t="n">
        <f aca="false">IF(DS$1&lt;Units!$P49,0,IF(AND(Units!$K49=0,DS$1=Units!$O49),Units!$R49,IF(AND(DS$1&gt;=Units!$Q49,MOD(DS$1-Units!$Q49,12)=0),IF(AND(Units!$L49=1,DS$1=Units!$Q49),IF(Units!$J49&lt;&gt;"",Units!$J49,Mkt!DS50),Inputs!$B$15*Mkt!DS50+(1-Inputs!$B$15)*MIN(Mkt!DS50,DR50*(1+Inputs!$B$18))),DR50)))</f>
        <v>1689.68127305887</v>
      </c>
      <c r="DT50" s="11" t="n">
        <f aca="false">IF(DT$1&lt;Units!$P49,0,IF(AND(Units!$K49=0,DT$1=Units!$O49),Units!$R49,IF(AND(DT$1&gt;=Units!$Q49,MOD(DT$1-Units!$Q49,12)=0),IF(AND(Units!$L49=1,DT$1=Units!$Q49),IF(Units!$J49&lt;&gt;"",Units!$J49,Mkt!DT50),Inputs!$B$15*Mkt!DT50+(1-Inputs!$B$15)*MIN(Mkt!DT50,DS50*(1+Inputs!$B$18))),DS50)))</f>
        <v>1689.68127305887</v>
      </c>
      <c r="DU50" s="11" t="n">
        <f aca="false">IF(DU$1&lt;Units!$P49,0,IF(AND(Units!$K49=0,DU$1=Units!$O49),Units!$R49,IF(AND(DU$1&gt;=Units!$Q49,MOD(DU$1-Units!$Q49,12)=0),IF(AND(Units!$L49=1,DU$1=Units!$Q49),IF(Units!$J49&lt;&gt;"",Units!$J49,Mkt!DU50),Inputs!$B$15*Mkt!DU50+(1-Inputs!$B$15)*MIN(Mkt!DU50,DT50*(1+Inputs!$B$18))),DT50)))</f>
        <v>1689.68127305887</v>
      </c>
      <c r="DV50" s="11" t="n">
        <f aca="false">IF(DV$1&lt;Units!$P49,0,IF(AND(Units!$K49=0,DV$1=Units!$O49),Units!$R49,IF(AND(DV$1&gt;=Units!$Q49,MOD(DV$1-Units!$Q49,12)=0),IF(AND(Units!$L49=1,DV$1=Units!$Q49),IF(Units!$J49&lt;&gt;"",Units!$J49,Mkt!DV50),Inputs!$B$15*Mkt!DV50+(1-Inputs!$B$15)*MIN(Mkt!DV50,DU50*(1+Inputs!$B$18))),DU50)))</f>
        <v>1689.68127305887</v>
      </c>
      <c r="DW50" s="11" t="n">
        <f aca="false">IF(DW$1&lt;Units!$P49,0,IF(AND(Units!$K49=0,DW$1=Units!$O49),Units!$R49,IF(AND(DW$1&gt;=Units!$Q49,MOD(DW$1-Units!$Q49,12)=0),IF(AND(Units!$L49=1,DW$1=Units!$Q49),IF(Units!$J49&lt;&gt;"",Units!$J49,Mkt!DW50),Inputs!$B$15*Mkt!DW50+(1-Inputs!$B$15)*MIN(Mkt!DW50,DV50*(1+Inputs!$B$18))),DV50)))</f>
        <v>1689.68127305887</v>
      </c>
      <c r="DX50" s="11" t="n">
        <f aca="false">IF(DX$1&lt;Units!$P49,0,IF(AND(Units!$K49=0,DX$1=Units!$O49),Units!$R49,IF(AND(DX$1&gt;=Units!$Q49,MOD(DX$1-Units!$Q49,12)=0),IF(AND(Units!$L49=1,DX$1=Units!$Q49),IF(Units!$J49&lt;&gt;"",Units!$J49,Mkt!DX50),Inputs!$B$15*Mkt!DX50+(1-Inputs!$B$15)*MIN(Mkt!DX50,DW50*(1+Inputs!$B$18))),DW50)))</f>
        <v>1740.37171125064</v>
      </c>
      <c r="DY50" s="11" t="n">
        <f aca="false">IF(DY$1&lt;Units!$P49,0,IF(AND(Units!$K49=0,DY$1=Units!$O49),Units!$R49,IF(AND(DY$1&gt;=Units!$Q49,MOD(DY$1-Units!$Q49,12)=0),IF(AND(Units!$L49=1,DY$1=Units!$Q49),IF(Units!$J49&lt;&gt;"",Units!$J49,Mkt!DY50),Inputs!$B$15*Mkt!DY50+(1-Inputs!$B$15)*MIN(Mkt!DY50,DX50*(1+Inputs!$B$18))),DX50)))</f>
        <v>1740.37171125064</v>
      </c>
      <c r="DZ50" s="11" t="n">
        <f aca="false">IF(DZ$1&lt;Units!$P49,0,IF(AND(Units!$K49=0,DZ$1=Units!$O49),Units!$R49,IF(AND(DZ$1&gt;=Units!$Q49,MOD(DZ$1-Units!$Q49,12)=0),IF(AND(Units!$L49=1,DZ$1=Units!$Q49),IF(Units!$J49&lt;&gt;"",Units!$J49,Mkt!DZ50),Inputs!$B$15*Mkt!DZ50+(1-Inputs!$B$15)*MIN(Mkt!DZ50,DY50*(1+Inputs!$B$18))),DY50)))</f>
        <v>1740.37171125064</v>
      </c>
      <c r="EA50" s="11" t="n">
        <f aca="false">IF(EA$1&lt;Units!$P49,0,IF(AND(Units!$K49=0,EA$1=Units!$O49),Units!$R49,IF(AND(EA$1&gt;=Units!$Q49,MOD(EA$1-Units!$Q49,12)=0),IF(AND(Units!$L49=1,EA$1=Units!$Q49),IF(Units!$J49&lt;&gt;"",Units!$J49,Mkt!EA50),Inputs!$B$15*Mkt!EA50+(1-Inputs!$B$15)*MIN(Mkt!EA50,DZ50*(1+Inputs!$B$18))),DZ50)))</f>
        <v>1740.37171125064</v>
      </c>
      <c r="EB50" s="11" t="n">
        <f aca="false">IF(EB$1&lt;Units!$P49,0,IF(AND(Units!$K49=0,EB$1=Units!$O49),Units!$R49,IF(AND(EB$1&gt;=Units!$Q49,MOD(EB$1-Units!$Q49,12)=0),IF(AND(Units!$L49=1,EB$1=Units!$Q49),IF(Units!$J49&lt;&gt;"",Units!$J49,Mkt!EB50),Inputs!$B$15*Mkt!EB50+(1-Inputs!$B$15)*MIN(Mkt!EB50,EA50*(1+Inputs!$B$18))),EA50)))</f>
        <v>1740.37171125064</v>
      </c>
      <c r="EC50" s="11" t="n">
        <f aca="false">IF(EC$1&lt;Units!$P49,0,IF(AND(Units!$K49=0,EC$1=Units!$O49),Units!$R49,IF(AND(EC$1&gt;=Units!$Q49,MOD(EC$1-Units!$Q49,12)=0),IF(AND(Units!$L49=1,EC$1=Units!$Q49),IF(Units!$J49&lt;&gt;"",Units!$J49,Mkt!EC50),Inputs!$B$15*Mkt!EC50+(1-Inputs!$B$15)*MIN(Mkt!EC50,EB50*(1+Inputs!$B$18))),EB50)))</f>
        <v>1740.37171125064</v>
      </c>
      <c r="ED50" s="11" t="n">
        <f aca="false">IF(ED$1&lt;Units!$P49,0,IF(AND(Units!$K49=0,ED$1=Units!$O49),Units!$R49,IF(AND(ED$1&gt;=Units!$Q49,MOD(ED$1-Units!$Q49,12)=0),IF(AND(Units!$L49=1,ED$1=Units!$Q49),IF(Units!$J49&lt;&gt;"",Units!$J49,Mkt!ED50),Inputs!$B$15*Mkt!ED50+(1-Inputs!$B$15)*MIN(Mkt!ED50,EC50*(1+Inputs!$B$18))),EC50)))</f>
        <v>1740.37171125064</v>
      </c>
    </row>
    <row r="51" customFormat="false" ht="15" hidden="false" customHeight="false" outlineLevel="0" collapsed="false">
      <c r="A51" s="22" t="n">
        <f aca="false">Units!A50</f>
        <v>219</v>
      </c>
      <c r="B51" s="24" t="n">
        <f aca="false">IF(Units!K50=1,Units!F50,0)</f>
        <v>1295</v>
      </c>
      <c r="C51" s="11" t="n">
        <f aca="false">IF(C$1&lt;Units!$P50,0,IF(AND(Units!$K50=0,C$1=Units!$O50),Units!$R50,IF(AND(C$1&gt;=Units!$Q50,MOD(C$1-Units!$Q50,12)=0),IF(AND(Units!$L50=1,C$1=Units!$Q50),IF(Units!$J50&lt;&gt;"",Units!$J50,Mkt!C51),Inputs!$B$15*Mkt!C51+(1-Inputs!$B$15)*MIN(Mkt!C51,B51*(1+Inputs!$B$18))),B51)))</f>
        <v>1295</v>
      </c>
      <c r="D51" s="11" t="n">
        <f aca="false">IF(D$1&lt;Units!$P50,0,IF(AND(Units!$K50=0,D$1=Units!$O50),Units!$R50,IF(AND(D$1&gt;=Units!$Q50,MOD(D$1-Units!$Q50,12)=0),IF(AND(Units!$L50=1,D$1=Units!$Q50),IF(Units!$J50&lt;&gt;"",Units!$J50,Mkt!D51),Inputs!$B$15*Mkt!D51+(1-Inputs!$B$15)*MIN(Mkt!D51,C51*(1+Inputs!$B$18))),C51)))</f>
        <v>1295</v>
      </c>
      <c r="E51" s="11" t="n">
        <f aca="false">IF(E$1&lt;Units!$P50,0,IF(AND(Units!$K50=0,E$1=Units!$O50),Units!$R50,IF(AND(E$1&gt;=Units!$Q50,MOD(E$1-Units!$Q50,12)=0),IF(AND(Units!$L50=1,E$1=Units!$Q50),IF(Units!$J50&lt;&gt;"",Units!$J50,Mkt!E51),Inputs!$B$15*Mkt!E51+(1-Inputs!$B$15)*MIN(Mkt!E51,D51*(1+Inputs!$B$18))),D51)))</f>
        <v>1295</v>
      </c>
      <c r="F51" s="11" t="n">
        <f aca="false">IF(F$1&lt;Units!$P50,0,IF(AND(Units!$K50=0,F$1=Units!$O50),Units!$R50,IF(AND(F$1&gt;=Units!$Q50,MOD(F$1-Units!$Q50,12)=0),IF(AND(Units!$L50=1,F$1=Units!$Q50),IF(Units!$J50&lt;&gt;"",Units!$J50,Mkt!F51),Inputs!$B$15*Mkt!F51+(1-Inputs!$B$15)*MIN(Mkt!F51,E51*(1+Inputs!$B$18))),E51)))</f>
        <v>1295</v>
      </c>
      <c r="G51" s="11" t="n">
        <f aca="false">IF(G$1&lt;Units!$P50,0,IF(AND(Units!$K50=0,G$1=Units!$O50),Units!$R50,IF(AND(G$1&gt;=Units!$Q50,MOD(G$1-Units!$Q50,12)=0),IF(AND(Units!$L50=1,G$1=Units!$Q50),IF(Units!$J50&lt;&gt;"",Units!$J50,Mkt!G51),Inputs!$B$15*Mkt!G51+(1-Inputs!$B$15)*MIN(Mkt!G51,F51*(1+Inputs!$B$18))),F51)))</f>
        <v>1295</v>
      </c>
      <c r="H51" s="11" t="n">
        <f aca="false">IF(H$1&lt;Units!$P50,0,IF(AND(Units!$K50=0,H$1=Units!$O50),Units!$R50,IF(AND(H$1&gt;=Units!$Q50,MOD(H$1-Units!$Q50,12)=0),IF(AND(Units!$L50=1,H$1=Units!$Q50),IF(Units!$J50&lt;&gt;"",Units!$J50,Mkt!H51),Inputs!$B$15*Mkt!H51+(1-Inputs!$B$15)*MIN(Mkt!H51,G51*(1+Inputs!$B$18))),G51)))</f>
        <v>1295</v>
      </c>
      <c r="I51" s="11" t="n">
        <f aca="false">IF(I$1&lt;Units!$P50,0,IF(AND(Units!$K50=0,I$1=Units!$O50),Units!$R50,IF(AND(I$1&gt;=Units!$Q50,MOD(I$1-Units!$Q50,12)=0),IF(AND(Units!$L50=1,I$1=Units!$Q50),IF(Units!$J50&lt;&gt;"",Units!$J50,Mkt!I51),Inputs!$B$15*Mkt!I51+(1-Inputs!$B$15)*MIN(Mkt!I51,H51*(1+Inputs!$B$18))),H51)))</f>
        <v>1295</v>
      </c>
      <c r="J51" s="11" t="n">
        <f aca="false">IF(J$1&lt;Units!$P50,0,IF(AND(Units!$K50=0,J$1=Units!$O50),Units!$R50,IF(AND(J$1&gt;=Units!$Q50,MOD(J$1-Units!$Q50,12)=0),IF(AND(Units!$L50=1,J$1=Units!$Q50),IF(Units!$J50&lt;&gt;"",Units!$J50,Mkt!J51),Inputs!$B$15*Mkt!J51+(1-Inputs!$B$15)*MIN(Mkt!J51,I51*(1+Inputs!$B$18))),I51)))</f>
        <v>1295</v>
      </c>
      <c r="K51" s="11" t="n">
        <f aca="false">IF(K$1&lt;Units!$P50,0,IF(AND(Units!$K50=0,K$1=Units!$O50),Units!$R50,IF(AND(K$1&gt;=Units!$Q50,MOD(K$1-Units!$Q50,12)=0),IF(AND(Units!$L50=1,K$1=Units!$Q50),IF(Units!$J50&lt;&gt;"",Units!$J50,Mkt!K51),Inputs!$B$15*Mkt!K51+(1-Inputs!$B$15)*MIN(Mkt!K51,J51*(1+Inputs!$B$18))),J51)))</f>
        <v>1295</v>
      </c>
      <c r="L51" s="11" t="n">
        <f aca="false">IF(L$1&lt;Units!$P50,0,IF(AND(Units!$K50=0,L$1=Units!$O50),Units!$R50,IF(AND(L$1&gt;=Units!$Q50,MOD(L$1-Units!$Q50,12)=0),IF(AND(Units!$L50=1,L$1=Units!$Q50),IF(Units!$J50&lt;&gt;"",Units!$J50,Mkt!L51),Inputs!$B$15*Mkt!L51+(1-Inputs!$B$15)*MIN(Mkt!L51,K51*(1+Inputs!$B$18))),K51)))</f>
        <v>1295</v>
      </c>
      <c r="M51" s="11" t="n">
        <f aca="false">IF(M$1&lt;Units!$P50,0,IF(AND(Units!$K50=0,M$1=Units!$O50),Units!$R50,IF(AND(M$1&gt;=Units!$Q50,MOD(M$1-Units!$Q50,12)=0),IF(AND(Units!$L50=1,M$1=Units!$Q50),IF(Units!$J50&lt;&gt;"",Units!$J50,Mkt!M51),Inputs!$B$15*Mkt!M51+(1-Inputs!$B$15)*MIN(Mkt!M51,L51*(1+Inputs!$B$18))),L51)))</f>
        <v>1295</v>
      </c>
      <c r="N51" s="11" t="n">
        <f aca="false">IF(N$1&lt;Units!$P50,0,IF(AND(Units!$K50=0,N$1=Units!$O50),Units!$R50,IF(AND(N$1&gt;=Units!$Q50,MOD(N$1-Units!$Q50,12)=0),IF(AND(Units!$L50=1,N$1=Units!$Q50),IF(Units!$J50&lt;&gt;"",Units!$J50,Mkt!N51),Inputs!$B$15*Mkt!N51+(1-Inputs!$B$15)*MIN(Mkt!N51,M51*(1+Inputs!$B$18))),M51)))</f>
        <v>1295</v>
      </c>
      <c r="O51" s="11" t="n">
        <f aca="false">IF(O$1&lt;Units!$P50,0,IF(AND(Units!$K50=0,O$1=Units!$O50),Units!$R50,IF(AND(O$1&gt;=Units!$Q50,MOD(O$1-Units!$Q50,12)=0),IF(AND(Units!$L50=1,O$1=Units!$Q50),IF(Units!$J50&lt;&gt;"",Units!$J50,Mkt!O51),Inputs!$B$15*Mkt!O51+(1-Inputs!$B$15)*MIN(Mkt!O51,N51*(1+Inputs!$B$18))),N51)))</f>
        <v>1295</v>
      </c>
      <c r="P51" s="11" t="n">
        <f aca="false">IF(P$1&lt;Units!$P50,0,IF(AND(Units!$K50=0,P$1=Units!$O50),Units!$R50,IF(AND(P$1&gt;=Units!$Q50,MOD(P$1-Units!$Q50,12)=0),IF(AND(Units!$L50=1,P$1=Units!$Q50),IF(Units!$J50&lt;&gt;"",Units!$J50,Mkt!P51),Inputs!$B$15*Mkt!P51+(1-Inputs!$B$15)*MIN(Mkt!P51,O51*(1+Inputs!$B$18))),O51)))</f>
        <v>1295</v>
      </c>
      <c r="Q51" s="11" t="n">
        <f aca="false">IF(Q$1&lt;Units!$P50,0,IF(AND(Units!$K50=0,Q$1=Units!$O50),Units!$R50,IF(AND(Q$1&gt;=Units!$Q50,MOD(Q$1-Units!$Q50,12)=0),IF(AND(Units!$L50=1,Q$1=Units!$Q50),IF(Units!$J50&lt;&gt;"",Units!$J50,Mkt!Q51),Inputs!$B$15*Mkt!Q51+(1-Inputs!$B$15)*MIN(Mkt!Q51,P51*(1+Inputs!$B$18))),P51)))</f>
        <v>1295</v>
      </c>
      <c r="R51" s="11" t="n">
        <f aca="false">IF(R$1&lt;Units!$P50,0,IF(AND(Units!$K50=0,R$1=Units!$O50),Units!$R50,IF(AND(R$1&gt;=Units!$Q50,MOD(R$1-Units!$Q50,12)=0),IF(AND(Units!$L50=1,R$1=Units!$Q50),IF(Units!$J50&lt;&gt;"",Units!$J50,Mkt!R51),Inputs!$B$15*Mkt!R51+(1-Inputs!$B$15)*MIN(Mkt!R51,Q51*(1+Inputs!$B$18))),Q51)))</f>
        <v>1295</v>
      </c>
      <c r="S51" s="11" t="n">
        <f aca="false">IF(S$1&lt;Units!$P50,0,IF(AND(Units!$K50=0,S$1=Units!$O50),Units!$R50,IF(AND(S$1&gt;=Units!$Q50,MOD(S$1-Units!$Q50,12)=0),IF(AND(Units!$L50=1,S$1=Units!$Q50),IF(Units!$J50&lt;&gt;"",Units!$J50,Mkt!S51),Inputs!$B$15*Mkt!S51+(1-Inputs!$B$15)*MIN(Mkt!S51,R51*(1+Inputs!$B$18))),R51)))</f>
        <v>1295</v>
      </c>
      <c r="T51" s="11" t="n">
        <f aca="false">IF(T$1&lt;Units!$P50,0,IF(AND(Units!$K50=0,T$1=Units!$O50),Units!$R50,IF(AND(T$1&gt;=Units!$Q50,MOD(T$1-Units!$Q50,12)=0),IF(AND(Units!$L50=1,T$1=Units!$Q50),IF(Units!$J50&lt;&gt;"",Units!$J50,Mkt!T51),Inputs!$B$15*Mkt!T51+(1-Inputs!$B$15)*MIN(Mkt!T51,S51*(1+Inputs!$B$18))),S51)))</f>
        <v>1295</v>
      </c>
      <c r="U51" s="11" t="n">
        <f aca="false">IF(U$1&lt;Units!$P50,0,IF(AND(Units!$K50=0,U$1=Units!$O50),Units!$R50,IF(AND(U$1&gt;=Units!$Q50,MOD(U$1-Units!$Q50,12)=0),IF(AND(Units!$L50=1,U$1=Units!$Q50),IF(Units!$J50&lt;&gt;"",Units!$J50,Mkt!U51),Inputs!$B$15*Mkt!U51+(1-Inputs!$B$15)*MIN(Mkt!U51,T51*(1+Inputs!$B$18))),T51)))</f>
        <v>1295</v>
      </c>
      <c r="V51" s="11" t="n">
        <f aca="false">IF(V$1&lt;Units!$P50,0,IF(AND(Units!$K50=0,V$1=Units!$O50),Units!$R50,IF(AND(V$1&gt;=Units!$Q50,MOD(V$1-Units!$Q50,12)=0),IF(AND(Units!$L50=1,V$1=Units!$Q50),IF(Units!$J50&lt;&gt;"",Units!$J50,Mkt!V51),Inputs!$B$15*Mkt!V51+(1-Inputs!$B$15)*MIN(Mkt!V51,U51*(1+Inputs!$B$18))),U51)))</f>
        <v>1295</v>
      </c>
      <c r="W51" s="11" t="n">
        <f aca="false">IF(W$1&lt;Units!$P50,0,IF(AND(Units!$K50=0,W$1=Units!$O50),Units!$R50,IF(AND(W$1&gt;=Units!$Q50,MOD(W$1-Units!$Q50,12)=0),IF(AND(Units!$L50=1,W$1=Units!$Q50),IF(Units!$J50&lt;&gt;"",Units!$J50,Mkt!W51),Inputs!$B$15*Mkt!W51+(1-Inputs!$B$15)*MIN(Mkt!W51,V51*(1+Inputs!$B$18))),V51)))</f>
        <v>1295</v>
      </c>
      <c r="X51" s="11" t="n">
        <f aca="false">IF(X$1&lt;Units!$P50,0,IF(AND(Units!$K50=0,X$1=Units!$O50),Units!$R50,IF(AND(X$1&gt;=Units!$Q50,MOD(X$1-Units!$Q50,12)=0),IF(AND(Units!$L50=1,X$1=Units!$Q50),IF(Units!$J50&lt;&gt;"",Units!$J50,Mkt!X51),Inputs!$B$15*Mkt!X51+(1-Inputs!$B$15)*MIN(Mkt!X51,W51*(1+Inputs!$B$18))),W51)))</f>
        <v>1295</v>
      </c>
      <c r="Y51" s="11" t="n">
        <f aca="false">IF(Y$1&lt;Units!$P50,0,IF(AND(Units!$K50=0,Y$1=Units!$O50),Units!$R50,IF(AND(Y$1&gt;=Units!$Q50,MOD(Y$1-Units!$Q50,12)=0),IF(AND(Units!$L50=1,Y$1=Units!$Q50),IF(Units!$J50&lt;&gt;"",Units!$J50,Mkt!Y51),Inputs!$B$15*Mkt!Y51+(1-Inputs!$B$15)*MIN(Mkt!Y51,X51*(1+Inputs!$B$18))),X51)))</f>
        <v>1333.85</v>
      </c>
      <c r="Z51" s="11" t="n">
        <f aca="false">IF(Z$1&lt;Units!$P50,0,IF(AND(Units!$K50=0,Z$1=Units!$O50),Units!$R50,IF(AND(Z$1&gt;=Units!$Q50,MOD(Z$1-Units!$Q50,12)=0),IF(AND(Units!$L50=1,Z$1=Units!$Q50),IF(Units!$J50&lt;&gt;"",Units!$J50,Mkt!Z51),Inputs!$B$15*Mkt!Z51+(1-Inputs!$B$15)*MIN(Mkt!Z51,Y51*(1+Inputs!$B$18))),Y51)))</f>
        <v>1333.85</v>
      </c>
      <c r="AA51" s="11" t="n">
        <f aca="false">IF(AA$1&lt;Units!$P50,0,IF(AND(Units!$K50=0,AA$1=Units!$O50),Units!$R50,IF(AND(AA$1&gt;=Units!$Q50,MOD(AA$1-Units!$Q50,12)=0),IF(AND(Units!$L50=1,AA$1=Units!$Q50),IF(Units!$J50&lt;&gt;"",Units!$J50,Mkt!AA51),Inputs!$B$15*Mkt!AA51+(1-Inputs!$B$15)*MIN(Mkt!AA51,Z51*(1+Inputs!$B$18))),Z51)))</f>
        <v>1333.85</v>
      </c>
      <c r="AB51" s="11" t="n">
        <f aca="false">IF(AB$1&lt;Units!$P50,0,IF(AND(Units!$K50=0,AB$1=Units!$O50),Units!$R50,IF(AND(AB$1&gt;=Units!$Q50,MOD(AB$1-Units!$Q50,12)=0),IF(AND(Units!$L50=1,AB$1=Units!$Q50),IF(Units!$J50&lt;&gt;"",Units!$J50,Mkt!AB51),Inputs!$B$15*Mkt!AB51+(1-Inputs!$B$15)*MIN(Mkt!AB51,AA51*(1+Inputs!$B$18))),AA51)))</f>
        <v>1333.85</v>
      </c>
      <c r="AC51" s="11" t="n">
        <f aca="false">IF(AC$1&lt;Units!$P50,0,IF(AND(Units!$K50=0,AC$1=Units!$O50),Units!$R50,IF(AND(AC$1&gt;=Units!$Q50,MOD(AC$1-Units!$Q50,12)=0),IF(AND(Units!$L50=1,AC$1=Units!$Q50),IF(Units!$J50&lt;&gt;"",Units!$J50,Mkt!AC51),Inputs!$B$15*Mkt!AC51+(1-Inputs!$B$15)*MIN(Mkt!AC51,AB51*(1+Inputs!$B$18))),AB51)))</f>
        <v>1333.85</v>
      </c>
      <c r="AD51" s="11" t="n">
        <f aca="false">IF(AD$1&lt;Units!$P50,0,IF(AND(Units!$K50=0,AD$1=Units!$O50),Units!$R50,IF(AND(AD$1&gt;=Units!$Q50,MOD(AD$1-Units!$Q50,12)=0),IF(AND(Units!$L50=1,AD$1=Units!$Q50),IF(Units!$J50&lt;&gt;"",Units!$J50,Mkt!AD51),Inputs!$B$15*Mkt!AD51+(1-Inputs!$B$15)*MIN(Mkt!AD51,AC51*(1+Inputs!$B$18))),AC51)))</f>
        <v>1333.85</v>
      </c>
      <c r="AE51" s="11" t="n">
        <f aca="false">IF(AE$1&lt;Units!$P50,0,IF(AND(Units!$K50=0,AE$1=Units!$O50),Units!$R50,IF(AND(AE$1&gt;=Units!$Q50,MOD(AE$1-Units!$Q50,12)=0),IF(AND(Units!$L50=1,AE$1=Units!$Q50),IF(Units!$J50&lt;&gt;"",Units!$J50,Mkt!AE51),Inputs!$B$15*Mkt!AE51+(1-Inputs!$B$15)*MIN(Mkt!AE51,AD51*(1+Inputs!$B$18))),AD51)))</f>
        <v>1333.85</v>
      </c>
      <c r="AF51" s="11" t="n">
        <f aca="false">IF(AF$1&lt;Units!$P50,0,IF(AND(Units!$K50=0,AF$1=Units!$O50),Units!$R50,IF(AND(AF$1&gt;=Units!$Q50,MOD(AF$1-Units!$Q50,12)=0),IF(AND(Units!$L50=1,AF$1=Units!$Q50),IF(Units!$J50&lt;&gt;"",Units!$J50,Mkt!AF51),Inputs!$B$15*Mkt!AF51+(1-Inputs!$B$15)*MIN(Mkt!AF51,AE51*(1+Inputs!$B$18))),AE51)))</f>
        <v>1333.85</v>
      </c>
      <c r="AG51" s="11" t="n">
        <f aca="false">IF(AG$1&lt;Units!$P50,0,IF(AND(Units!$K50=0,AG$1=Units!$O50),Units!$R50,IF(AND(AG$1&gt;=Units!$Q50,MOD(AG$1-Units!$Q50,12)=0),IF(AND(Units!$L50=1,AG$1=Units!$Q50),IF(Units!$J50&lt;&gt;"",Units!$J50,Mkt!AG51),Inputs!$B$15*Mkt!AG51+(1-Inputs!$B$15)*MIN(Mkt!AG51,AF51*(1+Inputs!$B$18))),AF51)))</f>
        <v>1333.85</v>
      </c>
      <c r="AH51" s="11" t="n">
        <f aca="false">IF(AH$1&lt;Units!$P50,0,IF(AND(Units!$K50=0,AH$1=Units!$O50),Units!$R50,IF(AND(AH$1&gt;=Units!$Q50,MOD(AH$1-Units!$Q50,12)=0),IF(AND(Units!$L50=1,AH$1=Units!$Q50),IF(Units!$J50&lt;&gt;"",Units!$J50,Mkt!AH51),Inputs!$B$15*Mkt!AH51+(1-Inputs!$B$15)*MIN(Mkt!AH51,AG51*(1+Inputs!$B$18))),AG51)))</f>
        <v>1333.85</v>
      </c>
      <c r="AI51" s="11" t="n">
        <f aca="false">IF(AI$1&lt;Units!$P50,0,IF(AND(Units!$K50=0,AI$1=Units!$O50),Units!$R50,IF(AND(AI$1&gt;=Units!$Q50,MOD(AI$1-Units!$Q50,12)=0),IF(AND(Units!$L50=1,AI$1=Units!$Q50),IF(Units!$J50&lt;&gt;"",Units!$J50,Mkt!AI51),Inputs!$B$15*Mkt!AI51+(1-Inputs!$B$15)*MIN(Mkt!AI51,AH51*(1+Inputs!$B$18))),AH51)))</f>
        <v>1333.85</v>
      </c>
      <c r="AJ51" s="11" t="n">
        <f aca="false">IF(AJ$1&lt;Units!$P50,0,IF(AND(Units!$K50=0,AJ$1=Units!$O50),Units!$R50,IF(AND(AJ$1&gt;=Units!$Q50,MOD(AJ$1-Units!$Q50,12)=0),IF(AND(Units!$L50=1,AJ$1=Units!$Q50),IF(Units!$J50&lt;&gt;"",Units!$J50,Mkt!AJ51),Inputs!$B$15*Mkt!AJ51+(1-Inputs!$B$15)*MIN(Mkt!AJ51,AI51*(1+Inputs!$B$18))),AI51)))</f>
        <v>1333.85</v>
      </c>
      <c r="AK51" s="11" t="n">
        <f aca="false">IF(AK$1&lt;Units!$P50,0,IF(AND(Units!$K50=0,AK$1=Units!$O50),Units!$R50,IF(AND(AK$1&gt;=Units!$Q50,MOD(AK$1-Units!$Q50,12)=0),IF(AND(Units!$L50=1,AK$1=Units!$Q50),IF(Units!$J50&lt;&gt;"",Units!$J50,Mkt!AK51),Inputs!$B$15*Mkt!AK51+(1-Inputs!$B$15)*MIN(Mkt!AK51,AJ51*(1+Inputs!$B$18))),AJ51)))</f>
        <v>1373.8655</v>
      </c>
      <c r="AL51" s="11" t="n">
        <f aca="false">IF(AL$1&lt;Units!$P50,0,IF(AND(Units!$K50=0,AL$1=Units!$O50),Units!$R50,IF(AND(AL$1&gt;=Units!$Q50,MOD(AL$1-Units!$Q50,12)=0),IF(AND(Units!$L50=1,AL$1=Units!$Q50),IF(Units!$J50&lt;&gt;"",Units!$J50,Mkt!AL51),Inputs!$B$15*Mkt!AL51+(1-Inputs!$B$15)*MIN(Mkt!AL51,AK51*(1+Inputs!$B$18))),AK51)))</f>
        <v>1373.8655</v>
      </c>
      <c r="AM51" s="11" t="n">
        <f aca="false">IF(AM$1&lt;Units!$P50,0,IF(AND(Units!$K50=0,AM$1=Units!$O50),Units!$R50,IF(AND(AM$1&gt;=Units!$Q50,MOD(AM$1-Units!$Q50,12)=0),IF(AND(Units!$L50=1,AM$1=Units!$Q50),IF(Units!$J50&lt;&gt;"",Units!$J50,Mkt!AM51),Inputs!$B$15*Mkt!AM51+(1-Inputs!$B$15)*MIN(Mkt!AM51,AL51*(1+Inputs!$B$18))),AL51)))</f>
        <v>1373.8655</v>
      </c>
      <c r="AN51" s="11" t="n">
        <f aca="false">IF(AN$1&lt;Units!$P50,0,IF(AND(Units!$K50=0,AN$1=Units!$O50),Units!$R50,IF(AND(AN$1&gt;=Units!$Q50,MOD(AN$1-Units!$Q50,12)=0),IF(AND(Units!$L50=1,AN$1=Units!$Q50),IF(Units!$J50&lt;&gt;"",Units!$J50,Mkt!AN51),Inputs!$B$15*Mkt!AN51+(1-Inputs!$B$15)*MIN(Mkt!AN51,AM51*(1+Inputs!$B$18))),AM51)))</f>
        <v>1373.8655</v>
      </c>
      <c r="AO51" s="11" t="n">
        <f aca="false">IF(AO$1&lt;Units!$P50,0,IF(AND(Units!$K50=0,AO$1=Units!$O50),Units!$R50,IF(AND(AO$1&gt;=Units!$Q50,MOD(AO$1-Units!$Q50,12)=0),IF(AND(Units!$L50=1,AO$1=Units!$Q50),IF(Units!$J50&lt;&gt;"",Units!$J50,Mkt!AO51),Inputs!$B$15*Mkt!AO51+(1-Inputs!$B$15)*MIN(Mkt!AO51,AN51*(1+Inputs!$B$18))),AN51)))</f>
        <v>1373.8655</v>
      </c>
      <c r="AP51" s="11" t="n">
        <f aca="false">IF(AP$1&lt;Units!$P50,0,IF(AND(Units!$K50=0,AP$1=Units!$O50),Units!$R50,IF(AND(AP$1&gt;=Units!$Q50,MOD(AP$1-Units!$Q50,12)=0),IF(AND(Units!$L50=1,AP$1=Units!$Q50),IF(Units!$J50&lt;&gt;"",Units!$J50,Mkt!AP51),Inputs!$B$15*Mkt!AP51+(1-Inputs!$B$15)*MIN(Mkt!AP51,AO51*(1+Inputs!$B$18))),AO51)))</f>
        <v>1373.8655</v>
      </c>
      <c r="AQ51" s="11" t="n">
        <f aca="false">IF(AQ$1&lt;Units!$P50,0,IF(AND(Units!$K50=0,AQ$1=Units!$O50),Units!$R50,IF(AND(AQ$1&gt;=Units!$Q50,MOD(AQ$1-Units!$Q50,12)=0),IF(AND(Units!$L50=1,AQ$1=Units!$Q50),IF(Units!$J50&lt;&gt;"",Units!$J50,Mkt!AQ51),Inputs!$B$15*Mkt!AQ51+(1-Inputs!$B$15)*MIN(Mkt!AQ51,AP51*(1+Inputs!$B$18))),AP51)))</f>
        <v>1373.8655</v>
      </c>
      <c r="AR51" s="11" t="n">
        <f aca="false">IF(AR$1&lt;Units!$P50,0,IF(AND(Units!$K50=0,AR$1=Units!$O50),Units!$R50,IF(AND(AR$1&gt;=Units!$Q50,MOD(AR$1-Units!$Q50,12)=0),IF(AND(Units!$L50=1,AR$1=Units!$Q50),IF(Units!$J50&lt;&gt;"",Units!$J50,Mkt!AR51),Inputs!$B$15*Mkt!AR51+(1-Inputs!$B$15)*MIN(Mkt!AR51,AQ51*(1+Inputs!$B$18))),AQ51)))</f>
        <v>1373.8655</v>
      </c>
      <c r="AS51" s="11" t="n">
        <f aca="false">IF(AS$1&lt;Units!$P50,0,IF(AND(Units!$K50=0,AS$1=Units!$O50),Units!$R50,IF(AND(AS$1&gt;=Units!$Q50,MOD(AS$1-Units!$Q50,12)=0),IF(AND(Units!$L50=1,AS$1=Units!$Q50),IF(Units!$J50&lt;&gt;"",Units!$J50,Mkt!AS51),Inputs!$B$15*Mkt!AS51+(1-Inputs!$B$15)*MIN(Mkt!AS51,AR51*(1+Inputs!$B$18))),AR51)))</f>
        <v>1373.8655</v>
      </c>
      <c r="AT51" s="11" t="n">
        <f aca="false">IF(AT$1&lt;Units!$P50,0,IF(AND(Units!$K50=0,AT$1=Units!$O50),Units!$R50,IF(AND(AT$1&gt;=Units!$Q50,MOD(AT$1-Units!$Q50,12)=0),IF(AND(Units!$L50=1,AT$1=Units!$Q50),IF(Units!$J50&lt;&gt;"",Units!$J50,Mkt!AT51),Inputs!$B$15*Mkt!AT51+(1-Inputs!$B$15)*MIN(Mkt!AT51,AS51*(1+Inputs!$B$18))),AS51)))</f>
        <v>1373.8655</v>
      </c>
      <c r="AU51" s="11" t="n">
        <f aca="false">IF(AU$1&lt;Units!$P50,0,IF(AND(Units!$K50=0,AU$1=Units!$O50),Units!$R50,IF(AND(AU$1&gt;=Units!$Q50,MOD(AU$1-Units!$Q50,12)=0),IF(AND(Units!$L50=1,AU$1=Units!$Q50),IF(Units!$J50&lt;&gt;"",Units!$J50,Mkt!AU51),Inputs!$B$15*Mkt!AU51+(1-Inputs!$B$15)*MIN(Mkt!AU51,AT51*(1+Inputs!$B$18))),AT51)))</f>
        <v>1373.8655</v>
      </c>
      <c r="AV51" s="11" t="n">
        <f aca="false">IF(AV$1&lt;Units!$P50,0,IF(AND(Units!$K50=0,AV$1=Units!$O50),Units!$R50,IF(AND(AV$1&gt;=Units!$Q50,MOD(AV$1-Units!$Q50,12)=0),IF(AND(Units!$L50=1,AV$1=Units!$Q50),IF(Units!$J50&lt;&gt;"",Units!$J50,Mkt!AV51),Inputs!$B$15*Mkt!AV51+(1-Inputs!$B$15)*MIN(Mkt!AV51,AU51*(1+Inputs!$B$18))),AU51)))</f>
        <v>1373.8655</v>
      </c>
      <c r="AW51" s="11" t="n">
        <f aca="false">IF(AW$1&lt;Units!$P50,0,IF(AND(Units!$K50=0,AW$1=Units!$O50),Units!$R50,IF(AND(AW$1&gt;=Units!$Q50,MOD(AW$1-Units!$Q50,12)=0),IF(AND(Units!$L50=1,AW$1=Units!$Q50),IF(Units!$J50&lt;&gt;"",Units!$J50,Mkt!AW51),Inputs!$B$15*Mkt!AW51+(1-Inputs!$B$15)*MIN(Mkt!AW51,AV51*(1+Inputs!$B$18))),AV51)))</f>
        <v>1415.081465</v>
      </c>
      <c r="AX51" s="11" t="n">
        <f aca="false">IF(AX$1&lt;Units!$P50,0,IF(AND(Units!$K50=0,AX$1=Units!$O50),Units!$R50,IF(AND(AX$1&gt;=Units!$Q50,MOD(AX$1-Units!$Q50,12)=0),IF(AND(Units!$L50=1,AX$1=Units!$Q50),IF(Units!$J50&lt;&gt;"",Units!$J50,Mkt!AX51),Inputs!$B$15*Mkt!AX51+(1-Inputs!$B$15)*MIN(Mkt!AX51,AW51*(1+Inputs!$B$18))),AW51)))</f>
        <v>1415.081465</v>
      </c>
      <c r="AY51" s="11" t="n">
        <f aca="false">IF(AY$1&lt;Units!$P50,0,IF(AND(Units!$K50=0,AY$1=Units!$O50),Units!$R50,IF(AND(AY$1&gt;=Units!$Q50,MOD(AY$1-Units!$Q50,12)=0),IF(AND(Units!$L50=1,AY$1=Units!$Q50),IF(Units!$J50&lt;&gt;"",Units!$J50,Mkt!AY51),Inputs!$B$15*Mkt!AY51+(1-Inputs!$B$15)*MIN(Mkt!AY51,AX51*(1+Inputs!$B$18))),AX51)))</f>
        <v>1415.081465</v>
      </c>
      <c r="AZ51" s="11" t="n">
        <f aca="false">IF(AZ$1&lt;Units!$P50,0,IF(AND(Units!$K50=0,AZ$1=Units!$O50),Units!$R50,IF(AND(AZ$1&gt;=Units!$Q50,MOD(AZ$1-Units!$Q50,12)=0),IF(AND(Units!$L50=1,AZ$1=Units!$Q50),IF(Units!$J50&lt;&gt;"",Units!$J50,Mkt!AZ51),Inputs!$B$15*Mkt!AZ51+(1-Inputs!$B$15)*MIN(Mkt!AZ51,AY51*(1+Inputs!$B$18))),AY51)))</f>
        <v>1415.081465</v>
      </c>
      <c r="BA51" s="11" t="n">
        <f aca="false">IF(BA$1&lt;Units!$P50,0,IF(AND(Units!$K50=0,BA$1=Units!$O50),Units!$R50,IF(AND(BA$1&gt;=Units!$Q50,MOD(BA$1-Units!$Q50,12)=0),IF(AND(Units!$L50=1,BA$1=Units!$Q50),IF(Units!$J50&lt;&gt;"",Units!$J50,Mkt!BA51),Inputs!$B$15*Mkt!BA51+(1-Inputs!$B$15)*MIN(Mkt!BA51,AZ51*(1+Inputs!$B$18))),AZ51)))</f>
        <v>1415.081465</v>
      </c>
      <c r="BB51" s="11" t="n">
        <f aca="false">IF(BB$1&lt;Units!$P50,0,IF(AND(Units!$K50=0,BB$1=Units!$O50),Units!$R50,IF(AND(BB$1&gt;=Units!$Q50,MOD(BB$1-Units!$Q50,12)=0),IF(AND(Units!$L50=1,BB$1=Units!$Q50),IF(Units!$J50&lt;&gt;"",Units!$J50,Mkt!BB51),Inputs!$B$15*Mkt!BB51+(1-Inputs!$B$15)*MIN(Mkt!BB51,BA51*(1+Inputs!$B$18))),BA51)))</f>
        <v>1415.081465</v>
      </c>
      <c r="BC51" s="11" t="n">
        <f aca="false">IF(BC$1&lt;Units!$P50,0,IF(AND(Units!$K50=0,BC$1=Units!$O50),Units!$R50,IF(AND(BC$1&gt;=Units!$Q50,MOD(BC$1-Units!$Q50,12)=0),IF(AND(Units!$L50=1,BC$1=Units!$Q50),IF(Units!$J50&lt;&gt;"",Units!$J50,Mkt!BC51),Inputs!$B$15*Mkt!BC51+(1-Inputs!$B$15)*MIN(Mkt!BC51,BB51*(1+Inputs!$B$18))),BB51)))</f>
        <v>1415.081465</v>
      </c>
      <c r="BD51" s="11" t="n">
        <f aca="false">IF(BD$1&lt;Units!$P50,0,IF(AND(Units!$K50=0,BD$1=Units!$O50),Units!$R50,IF(AND(BD$1&gt;=Units!$Q50,MOD(BD$1-Units!$Q50,12)=0),IF(AND(Units!$L50=1,BD$1=Units!$Q50),IF(Units!$J50&lt;&gt;"",Units!$J50,Mkt!BD51),Inputs!$B$15*Mkt!BD51+(1-Inputs!$B$15)*MIN(Mkt!BD51,BC51*(1+Inputs!$B$18))),BC51)))</f>
        <v>1415.081465</v>
      </c>
      <c r="BE51" s="11" t="n">
        <f aca="false">IF(BE$1&lt;Units!$P50,0,IF(AND(Units!$K50=0,BE$1=Units!$O50),Units!$R50,IF(AND(BE$1&gt;=Units!$Q50,MOD(BE$1-Units!$Q50,12)=0),IF(AND(Units!$L50=1,BE$1=Units!$Q50),IF(Units!$J50&lt;&gt;"",Units!$J50,Mkt!BE51),Inputs!$B$15*Mkt!BE51+(1-Inputs!$B$15)*MIN(Mkt!BE51,BD51*(1+Inputs!$B$18))),BD51)))</f>
        <v>1415.081465</v>
      </c>
      <c r="BF51" s="11" t="n">
        <f aca="false">IF(BF$1&lt;Units!$P50,0,IF(AND(Units!$K50=0,BF$1=Units!$O50),Units!$R50,IF(AND(BF$1&gt;=Units!$Q50,MOD(BF$1-Units!$Q50,12)=0),IF(AND(Units!$L50=1,BF$1=Units!$Q50),IF(Units!$J50&lt;&gt;"",Units!$J50,Mkt!BF51),Inputs!$B$15*Mkt!BF51+(1-Inputs!$B$15)*MIN(Mkt!BF51,BE51*(1+Inputs!$B$18))),BE51)))</f>
        <v>1415.081465</v>
      </c>
      <c r="BG51" s="11" t="n">
        <f aca="false">IF(BG$1&lt;Units!$P50,0,IF(AND(Units!$K50=0,BG$1=Units!$O50),Units!$R50,IF(AND(BG$1&gt;=Units!$Q50,MOD(BG$1-Units!$Q50,12)=0),IF(AND(Units!$L50=1,BG$1=Units!$Q50),IF(Units!$J50&lt;&gt;"",Units!$J50,Mkt!BG51),Inputs!$B$15*Mkt!BG51+(1-Inputs!$B$15)*MIN(Mkt!BG51,BF51*(1+Inputs!$B$18))),BF51)))</f>
        <v>1415.081465</v>
      </c>
      <c r="BH51" s="11" t="n">
        <f aca="false">IF(BH$1&lt;Units!$P50,0,IF(AND(Units!$K50=0,BH$1=Units!$O50),Units!$R50,IF(AND(BH$1&gt;=Units!$Q50,MOD(BH$1-Units!$Q50,12)=0),IF(AND(Units!$L50=1,BH$1=Units!$Q50),IF(Units!$J50&lt;&gt;"",Units!$J50,Mkt!BH51),Inputs!$B$15*Mkt!BH51+(1-Inputs!$B$15)*MIN(Mkt!BH51,BG51*(1+Inputs!$B$18))),BG51)))</f>
        <v>1415.081465</v>
      </c>
      <c r="BI51" s="11" t="n">
        <f aca="false">IF(BI$1&lt;Units!$P50,0,IF(AND(Units!$K50=0,BI$1=Units!$O50),Units!$R50,IF(AND(BI$1&gt;=Units!$Q50,MOD(BI$1-Units!$Q50,12)=0),IF(AND(Units!$L50=1,BI$1=Units!$Q50),IF(Units!$J50&lt;&gt;"",Units!$J50,Mkt!BI51),Inputs!$B$15*Mkt!BI51+(1-Inputs!$B$15)*MIN(Mkt!BI51,BH51*(1+Inputs!$B$18))),BH51)))</f>
        <v>1457.53390895</v>
      </c>
      <c r="BJ51" s="11" t="n">
        <f aca="false">IF(BJ$1&lt;Units!$P50,0,IF(AND(Units!$K50=0,BJ$1=Units!$O50),Units!$R50,IF(AND(BJ$1&gt;=Units!$Q50,MOD(BJ$1-Units!$Q50,12)=0),IF(AND(Units!$L50=1,BJ$1=Units!$Q50),IF(Units!$J50&lt;&gt;"",Units!$J50,Mkt!BJ51),Inputs!$B$15*Mkt!BJ51+(1-Inputs!$B$15)*MIN(Mkt!BJ51,BI51*(1+Inputs!$B$18))),BI51)))</f>
        <v>1457.53390895</v>
      </c>
      <c r="BK51" s="11" t="n">
        <f aca="false">IF(BK$1&lt;Units!$P50,0,IF(AND(Units!$K50=0,BK$1=Units!$O50),Units!$R50,IF(AND(BK$1&gt;=Units!$Q50,MOD(BK$1-Units!$Q50,12)=0),IF(AND(Units!$L50=1,BK$1=Units!$Q50),IF(Units!$J50&lt;&gt;"",Units!$J50,Mkt!BK51),Inputs!$B$15*Mkt!BK51+(1-Inputs!$B$15)*MIN(Mkt!BK51,BJ51*(1+Inputs!$B$18))),BJ51)))</f>
        <v>1457.53390895</v>
      </c>
      <c r="BL51" s="11" t="n">
        <f aca="false">IF(BL$1&lt;Units!$P50,0,IF(AND(Units!$K50=0,BL$1=Units!$O50),Units!$R50,IF(AND(BL$1&gt;=Units!$Q50,MOD(BL$1-Units!$Q50,12)=0),IF(AND(Units!$L50=1,BL$1=Units!$Q50),IF(Units!$J50&lt;&gt;"",Units!$J50,Mkt!BL51),Inputs!$B$15*Mkt!BL51+(1-Inputs!$B$15)*MIN(Mkt!BL51,BK51*(1+Inputs!$B$18))),BK51)))</f>
        <v>1457.53390895</v>
      </c>
      <c r="BM51" s="11" t="n">
        <f aca="false">IF(BM$1&lt;Units!$P50,0,IF(AND(Units!$K50=0,BM$1=Units!$O50),Units!$R50,IF(AND(BM$1&gt;=Units!$Q50,MOD(BM$1-Units!$Q50,12)=0),IF(AND(Units!$L50=1,BM$1=Units!$Q50),IF(Units!$J50&lt;&gt;"",Units!$J50,Mkt!BM51),Inputs!$B$15*Mkt!BM51+(1-Inputs!$B$15)*MIN(Mkt!BM51,BL51*(1+Inputs!$B$18))),BL51)))</f>
        <v>1457.53390895</v>
      </c>
      <c r="BN51" s="11" t="n">
        <f aca="false">IF(BN$1&lt;Units!$P50,0,IF(AND(Units!$K50=0,BN$1=Units!$O50),Units!$R50,IF(AND(BN$1&gt;=Units!$Q50,MOD(BN$1-Units!$Q50,12)=0),IF(AND(Units!$L50=1,BN$1=Units!$Q50),IF(Units!$J50&lt;&gt;"",Units!$J50,Mkt!BN51),Inputs!$B$15*Mkt!BN51+(1-Inputs!$B$15)*MIN(Mkt!BN51,BM51*(1+Inputs!$B$18))),BM51)))</f>
        <v>1457.53390895</v>
      </c>
      <c r="BO51" s="11" t="n">
        <f aca="false">IF(BO$1&lt;Units!$P50,0,IF(AND(Units!$K50=0,BO$1=Units!$O50),Units!$R50,IF(AND(BO$1&gt;=Units!$Q50,MOD(BO$1-Units!$Q50,12)=0),IF(AND(Units!$L50=1,BO$1=Units!$Q50),IF(Units!$J50&lt;&gt;"",Units!$J50,Mkt!BO51),Inputs!$B$15*Mkt!BO51+(1-Inputs!$B$15)*MIN(Mkt!BO51,BN51*(1+Inputs!$B$18))),BN51)))</f>
        <v>1457.53390895</v>
      </c>
      <c r="BP51" s="11" t="n">
        <f aca="false">IF(BP$1&lt;Units!$P50,0,IF(AND(Units!$K50=0,BP$1=Units!$O50),Units!$R50,IF(AND(BP$1&gt;=Units!$Q50,MOD(BP$1-Units!$Q50,12)=0),IF(AND(Units!$L50=1,BP$1=Units!$Q50),IF(Units!$J50&lt;&gt;"",Units!$J50,Mkt!BP51),Inputs!$B$15*Mkt!BP51+(1-Inputs!$B$15)*MIN(Mkt!BP51,BO51*(1+Inputs!$B$18))),BO51)))</f>
        <v>1457.53390895</v>
      </c>
      <c r="BQ51" s="11" t="n">
        <f aca="false">IF(BQ$1&lt;Units!$P50,0,IF(AND(Units!$K50=0,BQ$1=Units!$O50),Units!$R50,IF(AND(BQ$1&gt;=Units!$Q50,MOD(BQ$1-Units!$Q50,12)=0),IF(AND(Units!$L50=1,BQ$1=Units!$Q50),IF(Units!$J50&lt;&gt;"",Units!$J50,Mkt!BQ51),Inputs!$B$15*Mkt!BQ51+(1-Inputs!$B$15)*MIN(Mkt!BQ51,BP51*(1+Inputs!$B$18))),BP51)))</f>
        <v>1457.53390895</v>
      </c>
      <c r="BR51" s="11" t="n">
        <f aca="false">IF(BR$1&lt;Units!$P50,0,IF(AND(Units!$K50=0,BR$1=Units!$O50),Units!$R50,IF(AND(BR$1&gt;=Units!$Q50,MOD(BR$1-Units!$Q50,12)=0),IF(AND(Units!$L50=1,BR$1=Units!$Q50),IF(Units!$J50&lt;&gt;"",Units!$J50,Mkt!BR51),Inputs!$B$15*Mkt!BR51+(1-Inputs!$B$15)*MIN(Mkt!BR51,BQ51*(1+Inputs!$B$18))),BQ51)))</f>
        <v>1457.53390895</v>
      </c>
      <c r="BS51" s="11" t="n">
        <f aca="false">IF(BS$1&lt;Units!$P50,0,IF(AND(Units!$K50=0,BS$1=Units!$O50),Units!$R50,IF(AND(BS$1&gt;=Units!$Q50,MOD(BS$1-Units!$Q50,12)=0),IF(AND(Units!$L50=1,BS$1=Units!$Q50),IF(Units!$J50&lt;&gt;"",Units!$J50,Mkt!BS51),Inputs!$B$15*Mkt!BS51+(1-Inputs!$B$15)*MIN(Mkt!BS51,BR51*(1+Inputs!$B$18))),BR51)))</f>
        <v>1457.53390895</v>
      </c>
      <c r="BT51" s="11" t="n">
        <f aca="false">IF(BT$1&lt;Units!$P50,0,IF(AND(Units!$K50=0,BT$1=Units!$O50),Units!$R50,IF(AND(BT$1&gt;=Units!$Q50,MOD(BT$1-Units!$Q50,12)=0),IF(AND(Units!$L50=1,BT$1=Units!$Q50),IF(Units!$J50&lt;&gt;"",Units!$J50,Mkt!BT51),Inputs!$B$15*Mkt!BT51+(1-Inputs!$B$15)*MIN(Mkt!BT51,BS51*(1+Inputs!$B$18))),BS51)))</f>
        <v>1457.53390895</v>
      </c>
      <c r="BU51" s="11" t="n">
        <f aca="false">IF(BU$1&lt;Units!$P50,0,IF(AND(Units!$K50=0,BU$1=Units!$O50),Units!$R50,IF(AND(BU$1&gt;=Units!$Q50,MOD(BU$1-Units!$Q50,12)=0),IF(AND(Units!$L50=1,BU$1=Units!$Q50),IF(Units!$J50&lt;&gt;"",Units!$J50,Mkt!BU51),Inputs!$B$15*Mkt!BU51+(1-Inputs!$B$15)*MIN(Mkt!BU51,BT51*(1+Inputs!$B$18))),BT51)))</f>
        <v>1501.2599262185</v>
      </c>
      <c r="BV51" s="11" t="n">
        <f aca="false">IF(BV$1&lt;Units!$P50,0,IF(AND(Units!$K50=0,BV$1=Units!$O50),Units!$R50,IF(AND(BV$1&gt;=Units!$Q50,MOD(BV$1-Units!$Q50,12)=0),IF(AND(Units!$L50=1,BV$1=Units!$Q50),IF(Units!$J50&lt;&gt;"",Units!$J50,Mkt!BV51),Inputs!$B$15*Mkt!BV51+(1-Inputs!$B$15)*MIN(Mkt!BV51,BU51*(1+Inputs!$B$18))),BU51)))</f>
        <v>1501.2599262185</v>
      </c>
      <c r="BW51" s="11" t="n">
        <f aca="false">IF(BW$1&lt;Units!$P50,0,IF(AND(Units!$K50=0,BW$1=Units!$O50),Units!$R50,IF(AND(BW$1&gt;=Units!$Q50,MOD(BW$1-Units!$Q50,12)=0),IF(AND(Units!$L50=1,BW$1=Units!$Q50),IF(Units!$J50&lt;&gt;"",Units!$J50,Mkt!BW51),Inputs!$B$15*Mkt!BW51+(1-Inputs!$B$15)*MIN(Mkt!BW51,BV51*(1+Inputs!$B$18))),BV51)))</f>
        <v>1501.2599262185</v>
      </c>
      <c r="BX51" s="11" t="n">
        <f aca="false">IF(BX$1&lt;Units!$P50,0,IF(AND(Units!$K50=0,BX$1=Units!$O50),Units!$R50,IF(AND(BX$1&gt;=Units!$Q50,MOD(BX$1-Units!$Q50,12)=0),IF(AND(Units!$L50=1,BX$1=Units!$Q50),IF(Units!$J50&lt;&gt;"",Units!$J50,Mkt!BX51),Inputs!$B$15*Mkt!BX51+(1-Inputs!$B$15)*MIN(Mkt!BX51,BW51*(1+Inputs!$B$18))),BW51)))</f>
        <v>1501.2599262185</v>
      </c>
      <c r="BY51" s="11" t="n">
        <f aca="false">IF(BY$1&lt;Units!$P50,0,IF(AND(Units!$K50=0,BY$1=Units!$O50),Units!$R50,IF(AND(BY$1&gt;=Units!$Q50,MOD(BY$1-Units!$Q50,12)=0),IF(AND(Units!$L50=1,BY$1=Units!$Q50),IF(Units!$J50&lt;&gt;"",Units!$J50,Mkt!BY51),Inputs!$B$15*Mkt!BY51+(1-Inputs!$B$15)*MIN(Mkt!BY51,BX51*(1+Inputs!$B$18))),BX51)))</f>
        <v>1501.2599262185</v>
      </c>
      <c r="BZ51" s="11" t="n">
        <f aca="false">IF(BZ$1&lt;Units!$P50,0,IF(AND(Units!$K50=0,BZ$1=Units!$O50),Units!$R50,IF(AND(BZ$1&gt;=Units!$Q50,MOD(BZ$1-Units!$Q50,12)=0),IF(AND(Units!$L50=1,BZ$1=Units!$Q50),IF(Units!$J50&lt;&gt;"",Units!$J50,Mkt!BZ51),Inputs!$B$15*Mkt!BZ51+(1-Inputs!$B$15)*MIN(Mkt!BZ51,BY51*(1+Inputs!$B$18))),BY51)))</f>
        <v>1501.2599262185</v>
      </c>
      <c r="CA51" s="11" t="n">
        <f aca="false">IF(CA$1&lt;Units!$P50,0,IF(AND(Units!$K50=0,CA$1=Units!$O50),Units!$R50,IF(AND(CA$1&gt;=Units!$Q50,MOD(CA$1-Units!$Q50,12)=0),IF(AND(Units!$L50=1,CA$1=Units!$Q50),IF(Units!$J50&lt;&gt;"",Units!$J50,Mkt!CA51),Inputs!$B$15*Mkt!CA51+(1-Inputs!$B$15)*MIN(Mkt!CA51,BZ51*(1+Inputs!$B$18))),BZ51)))</f>
        <v>1501.2599262185</v>
      </c>
      <c r="CB51" s="11" t="n">
        <f aca="false">IF(CB$1&lt;Units!$P50,0,IF(AND(Units!$K50=0,CB$1=Units!$O50),Units!$R50,IF(AND(CB$1&gt;=Units!$Q50,MOD(CB$1-Units!$Q50,12)=0),IF(AND(Units!$L50=1,CB$1=Units!$Q50),IF(Units!$J50&lt;&gt;"",Units!$J50,Mkt!CB51),Inputs!$B$15*Mkt!CB51+(1-Inputs!$B$15)*MIN(Mkt!CB51,CA51*(1+Inputs!$B$18))),CA51)))</f>
        <v>1501.2599262185</v>
      </c>
      <c r="CC51" s="11" t="n">
        <f aca="false">IF(CC$1&lt;Units!$P50,0,IF(AND(Units!$K50=0,CC$1=Units!$O50),Units!$R50,IF(AND(CC$1&gt;=Units!$Q50,MOD(CC$1-Units!$Q50,12)=0),IF(AND(Units!$L50=1,CC$1=Units!$Q50),IF(Units!$J50&lt;&gt;"",Units!$J50,Mkt!CC51),Inputs!$B$15*Mkt!CC51+(1-Inputs!$B$15)*MIN(Mkt!CC51,CB51*(1+Inputs!$B$18))),CB51)))</f>
        <v>1501.2599262185</v>
      </c>
      <c r="CD51" s="11" t="n">
        <f aca="false">IF(CD$1&lt;Units!$P50,0,IF(AND(Units!$K50=0,CD$1=Units!$O50),Units!$R50,IF(AND(CD$1&gt;=Units!$Q50,MOD(CD$1-Units!$Q50,12)=0),IF(AND(Units!$L50=1,CD$1=Units!$Q50),IF(Units!$J50&lt;&gt;"",Units!$J50,Mkt!CD51),Inputs!$B$15*Mkt!CD51+(1-Inputs!$B$15)*MIN(Mkt!CD51,CC51*(1+Inputs!$B$18))),CC51)))</f>
        <v>1501.2599262185</v>
      </c>
      <c r="CE51" s="11" t="n">
        <f aca="false">IF(CE$1&lt;Units!$P50,0,IF(AND(Units!$K50=0,CE$1=Units!$O50),Units!$R50,IF(AND(CE$1&gt;=Units!$Q50,MOD(CE$1-Units!$Q50,12)=0),IF(AND(Units!$L50=1,CE$1=Units!$Q50),IF(Units!$J50&lt;&gt;"",Units!$J50,Mkt!CE51),Inputs!$B$15*Mkt!CE51+(1-Inputs!$B$15)*MIN(Mkt!CE51,CD51*(1+Inputs!$B$18))),CD51)))</f>
        <v>1501.2599262185</v>
      </c>
      <c r="CF51" s="11" t="n">
        <f aca="false">IF(CF$1&lt;Units!$P50,0,IF(AND(Units!$K50=0,CF$1=Units!$O50),Units!$R50,IF(AND(CF$1&gt;=Units!$Q50,MOD(CF$1-Units!$Q50,12)=0),IF(AND(Units!$L50=1,CF$1=Units!$Q50),IF(Units!$J50&lt;&gt;"",Units!$J50,Mkt!CF51),Inputs!$B$15*Mkt!CF51+(1-Inputs!$B$15)*MIN(Mkt!CF51,CE51*(1+Inputs!$B$18))),CE51)))</f>
        <v>1501.2599262185</v>
      </c>
      <c r="CG51" s="11" t="n">
        <f aca="false">IF(CG$1&lt;Units!$P50,0,IF(AND(Units!$K50=0,CG$1=Units!$O50),Units!$R50,IF(AND(CG$1&gt;=Units!$Q50,MOD(CG$1-Units!$Q50,12)=0),IF(AND(Units!$L50=1,CG$1=Units!$Q50),IF(Units!$J50&lt;&gt;"",Units!$J50,Mkt!CG51),Inputs!$B$15*Mkt!CG51+(1-Inputs!$B$15)*MIN(Mkt!CG51,CF51*(1+Inputs!$B$18))),CF51)))</f>
        <v>1546.29772400506</v>
      </c>
      <c r="CH51" s="11" t="n">
        <f aca="false">IF(CH$1&lt;Units!$P50,0,IF(AND(Units!$K50=0,CH$1=Units!$O50),Units!$R50,IF(AND(CH$1&gt;=Units!$Q50,MOD(CH$1-Units!$Q50,12)=0),IF(AND(Units!$L50=1,CH$1=Units!$Q50),IF(Units!$J50&lt;&gt;"",Units!$J50,Mkt!CH51),Inputs!$B$15*Mkt!CH51+(1-Inputs!$B$15)*MIN(Mkt!CH51,CG51*(1+Inputs!$B$18))),CG51)))</f>
        <v>1546.29772400506</v>
      </c>
      <c r="CI51" s="11" t="n">
        <f aca="false">IF(CI$1&lt;Units!$P50,0,IF(AND(Units!$K50=0,CI$1=Units!$O50),Units!$R50,IF(AND(CI$1&gt;=Units!$Q50,MOD(CI$1-Units!$Q50,12)=0),IF(AND(Units!$L50=1,CI$1=Units!$Q50),IF(Units!$J50&lt;&gt;"",Units!$J50,Mkt!CI51),Inputs!$B$15*Mkt!CI51+(1-Inputs!$B$15)*MIN(Mkt!CI51,CH51*(1+Inputs!$B$18))),CH51)))</f>
        <v>1546.29772400506</v>
      </c>
      <c r="CJ51" s="11" t="n">
        <f aca="false">IF(CJ$1&lt;Units!$P50,0,IF(AND(Units!$K50=0,CJ$1=Units!$O50),Units!$R50,IF(AND(CJ$1&gt;=Units!$Q50,MOD(CJ$1-Units!$Q50,12)=0),IF(AND(Units!$L50=1,CJ$1=Units!$Q50),IF(Units!$J50&lt;&gt;"",Units!$J50,Mkt!CJ51),Inputs!$B$15*Mkt!CJ51+(1-Inputs!$B$15)*MIN(Mkt!CJ51,CI51*(1+Inputs!$B$18))),CI51)))</f>
        <v>1546.29772400506</v>
      </c>
      <c r="CK51" s="11" t="n">
        <f aca="false">IF(CK$1&lt;Units!$P50,0,IF(AND(Units!$K50=0,CK$1=Units!$O50),Units!$R50,IF(AND(CK$1&gt;=Units!$Q50,MOD(CK$1-Units!$Q50,12)=0),IF(AND(Units!$L50=1,CK$1=Units!$Q50),IF(Units!$J50&lt;&gt;"",Units!$J50,Mkt!CK51),Inputs!$B$15*Mkt!CK51+(1-Inputs!$B$15)*MIN(Mkt!CK51,CJ51*(1+Inputs!$B$18))),CJ51)))</f>
        <v>1546.29772400506</v>
      </c>
      <c r="CL51" s="11" t="n">
        <f aca="false">IF(CL$1&lt;Units!$P50,0,IF(AND(Units!$K50=0,CL$1=Units!$O50),Units!$R50,IF(AND(CL$1&gt;=Units!$Q50,MOD(CL$1-Units!$Q50,12)=0),IF(AND(Units!$L50=1,CL$1=Units!$Q50),IF(Units!$J50&lt;&gt;"",Units!$J50,Mkt!CL51),Inputs!$B$15*Mkt!CL51+(1-Inputs!$B$15)*MIN(Mkt!CL51,CK51*(1+Inputs!$B$18))),CK51)))</f>
        <v>1546.29772400506</v>
      </c>
      <c r="CM51" s="11" t="n">
        <f aca="false">IF(CM$1&lt;Units!$P50,0,IF(AND(Units!$K50=0,CM$1=Units!$O50),Units!$R50,IF(AND(CM$1&gt;=Units!$Q50,MOD(CM$1-Units!$Q50,12)=0),IF(AND(Units!$L50=1,CM$1=Units!$Q50),IF(Units!$J50&lt;&gt;"",Units!$J50,Mkt!CM51),Inputs!$B$15*Mkt!CM51+(1-Inputs!$B$15)*MIN(Mkt!CM51,CL51*(1+Inputs!$B$18))),CL51)))</f>
        <v>1546.29772400506</v>
      </c>
      <c r="CN51" s="11" t="n">
        <f aca="false">IF(CN$1&lt;Units!$P50,0,IF(AND(Units!$K50=0,CN$1=Units!$O50),Units!$R50,IF(AND(CN$1&gt;=Units!$Q50,MOD(CN$1-Units!$Q50,12)=0),IF(AND(Units!$L50=1,CN$1=Units!$Q50),IF(Units!$J50&lt;&gt;"",Units!$J50,Mkt!CN51),Inputs!$B$15*Mkt!CN51+(1-Inputs!$B$15)*MIN(Mkt!CN51,CM51*(1+Inputs!$B$18))),CM51)))</f>
        <v>1546.29772400506</v>
      </c>
      <c r="CO51" s="11" t="n">
        <f aca="false">IF(CO$1&lt;Units!$P50,0,IF(AND(Units!$K50=0,CO$1=Units!$O50),Units!$R50,IF(AND(CO$1&gt;=Units!$Q50,MOD(CO$1-Units!$Q50,12)=0),IF(AND(Units!$L50=1,CO$1=Units!$Q50),IF(Units!$J50&lt;&gt;"",Units!$J50,Mkt!CO51),Inputs!$B$15*Mkt!CO51+(1-Inputs!$B$15)*MIN(Mkt!CO51,CN51*(1+Inputs!$B$18))),CN51)))</f>
        <v>1546.29772400506</v>
      </c>
      <c r="CP51" s="11" t="n">
        <f aca="false">IF(CP$1&lt;Units!$P50,0,IF(AND(Units!$K50=0,CP$1=Units!$O50),Units!$R50,IF(AND(CP$1&gt;=Units!$Q50,MOD(CP$1-Units!$Q50,12)=0),IF(AND(Units!$L50=1,CP$1=Units!$Q50),IF(Units!$J50&lt;&gt;"",Units!$J50,Mkt!CP51),Inputs!$B$15*Mkt!CP51+(1-Inputs!$B$15)*MIN(Mkt!CP51,CO51*(1+Inputs!$B$18))),CO51)))</f>
        <v>1546.29772400506</v>
      </c>
      <c r="CQ51" s="11" t="n">
        <f aca="false">IF(CQ$1&lt;Units!$P50,0,IF(AND(Units!$K50=0,CQ$1=Units!$O50),Units!$R50,IF(AND(CQ$1&gt;=Units!$Q50,MOD(CQ$1-Units!$Q50,12)=0),IF(AND(Units!$L50=1,CQ$1=Units!$Q50),IF(Units!$J50&lt;&gt;"",Units!$J50,Mkt!CQ51),Inputs!$B$15*Mkt!CQ51+(1-Inputs!$B$15)*MIN(Mkt!CQ51,CP51*(1+Inputs!$B$18))),CP51)))</f>
        <v>1546.29772400506</v>
      </c>
      <c r="CR51" s="11" t="n">
        <f aca="false">IF(CR$1&lt;Units!$P50,0,IF(AND(Units!$K50=0,CR$1=Units!$O50),Units!$R50,IF(AND(CR$1&gt;=Units!$Q50,MOD(CR$1-Units!$Q50,12)=0),IF(AND(Units!$L50=1,CR$1=Units!$Q50),IF(Units!$J50&lt;&gt;"",Units!$J50,Mkt!CR51),Inputs!$B$15*Mkt!CR51+(1-Inputs!$B$15)*MIN(Mkt!CR51,CQ51*(1+Inputs!$B$18))),CQ51)))</f>
        <v>1546.29772400506</v>
      </c>
      <c r="CS51" s="11" t="n">
        <f aca="false">IF(CS$1&lt;Units!$P50,0,IF(AND(Units!$K50=0,CS$1=Units!$O50),Units!$R50,IF(AND(CS$1&gt;=Units!$Q50,MOD(CS$1-Units!$Q50,12)=0),IF(AND(Units!$L50=1,CS$1=Units!$Q50),IF(Units!$J50&lt;&gt;"",Units!$J50,Mkt!CS51),Inputs!$B$15*Mkt!CS51+(1-Inputs!$B$15)*MIN(Mkt!CS51,CR51*(1+Inputs!$B$18))),CR51)))</f>
        <v>1592.68665572521</v>
      </c>
      <c r="CT51" s="11" t="n">
        <f aca="false">IF(CT$1&lt;Units!$P50,0,IF(AND(Units!$K50=0,CT$1=Units!$O50),Units!$R50,IF(AND(CT$1&gt;=Units!$Q50,MOD(CT$1-Units!$Q50,12)=0),IF(AND(Units!$L50=1,CT$1=Units!$Q50),IF(Units!$J50&lt;&gt;"",Units!$J50,Mkt!CT51),Inputs!$B$15*Mkt!CT51+(1-Inputs!$B$15)*MIN(Mkt!CT51,CS51*(1+Inputs!$B$18))),CS51)))</f>
        <v>1592.68665572521</v>
      </c>
      <c r="CU51" s="11" t="n">
        <f aca="false">IF(CU$1&lt;Units!$P50,0,IF(AND(Units!$K50=0,CU$1=Units!$O50),Units!$R50,IF(AND(CU$1&gt;=Units!$Q50,MOD(CU$1-Units!$Q50,12)=0),IF(AND(Units!$L50=1,CU$1=Units!$Q50),IF(Units!$J50&lt;&gt;"",Units!$J50,Mkt!CU51),Inputs!$B$15*Mkt!CU51+(1-Inputs!$B$15)*MIN(Mkt!CU51,CT51*(1+Inputs!$B$18))),CT51)))</f>
        <v>1592.68665572521</v>
      </c>
      <c r="CV51" s="11" t="n">
        <f aca="false">IF(CV$1&lt;Units!$P50,0,IF(AND(Units!$K50=0,CV$1=Units!$O50),Units!$R50,IF(AND(CV$1&gt;=Units!$Q50,MOD(CV$1-Units!$Q50,12)=0),IF(AND(Units!$L50=1,CV$1=Units!$Q50),IF(Units!$J50&lt;&gt;"",Units!$J50,Mkt!CV51),Inputs!$B$15*Mkt!CV51+(1-Inputs!$B$15)*MIN(Mkt!CV51,CU51*(1+Inputs!$B$18))),CU51)))</f>
        <v>1592.68665572521</v>
      </c>
      <c r="CW51" s="11" t="n">
        <f aca="false">IF(CW$1&lt;Units!$P50,0,IF(AND(Units!$K50=0,CW$1=Units!$O50),Units!$R50,IF(AND(CW$1&gt;=Units!$Q50,MOD(CW$1-Units!$Q50,12)=0),IF(AND(Units!$L50=1,CW$1=Units!$Q50),IF(Units!$J50&lt;&gt;"",Units!$J50,Mkt!CW51),Inputs!$B$15*Mkt!CW51+(1-Inputs!$B$15)*MIN(Mkt!CW51,CV51*(1+Inputs!$B$18))),CV51)))</f>
        <v>1592.68665572521</v>
      </c>
      <c r="CX51" s="11" t="n">
        <f aca="false">IF(CX$1&lt;Units!$P50,0,IF(AND(Units!$K50=0,CX$1=Units!$O50),Units!$R50,IF(AND(CX$1&gt;=Units!$Q50,MOD(CX$1-Units!$Q50,12)=0),IF(AND(Units!$L50=1,CX$1=Units!$Q50),IF(Units!$J50&lt;&gt;"",Units!$J50,Mkt!CX51),Inputs!$B$15*Mkt!CX51+(1-Inputs!$B$15)*MIN(Mkt!CX51,CW51*(1+Inputs!$B$18))),CW51)))</f>
        <v>1592.68665572521</v>
      </c>
      <c r="CY51" s="11" t="n">
        <f aca="false">IF(CY$1&lt;Units!$P50,0,IF(AND(Units!$K50=0,CY$1=Units!$O50),Units!$R50,IF(AND(CY$1&gt;=Units!$Q50,MOD(CY$1-Units!$Q50,12)=0),IF(AND(Units!$L50=1,CY$1=Units!$Q50),IF(Units!$J50&lt;&gt;"",Units!$J50,Mkt!CY51),Inputs!$B$15*Mkt!CY51+(1-Inputs!$B$15)*MIN(Mkt!CY51,CX51*(1+Inputs!$B$18))),CX51)))</f>
        <v>1592.68665572521</v>
      </c>
      <c r="CZ51" s="11" t="n">
        <f aca="false">IF(CZ$1&lt;Units!$P50,0,IF(AND(Units!$K50=0,CZ$1=Units!$O50),Units!$R50,IF(AND(CZ$1&gt;=Units!$Q50,MOD(CZ$1-Units!$Q50,12)=0),IF(AND(Units!$L50=1,CZ$1=Units!$Q50),IF(Units!$J50&lt;&gt;"",Units!$J50,Mkt!CZ51),Inputs!$B$15*Mkt!CZ51+(1-Inputs!$B$15)*MIN(Mkt!CZ51,CY51*(1+Inputs!$B$18))),CY51)))</f>
        <v>1592.68665572521</v>
      </c>
      <c r="DA51" s="11" t="n">
        <f aca="false">IF(DA$1&lt;Units!$P50,0,IF(AND(Units!$K50=0,DA$1=Units!$O50),Units!$R50,IF(AND(DA$1&gt;=Units!$Q50,MOD(DA$1-Units!$Q50,12)=0),IF(AND(Units!$L50=1,DA$1=Units!$Q50),IF(Units!$J50&lt;&gt;"",Units!$J50,Mkt!DA51),Inputs!$B$15*Mkt!DA51+(1-Inputs!$B$15)*MIN(Mkt!DA51,CZ51*(1+Inputs!$B$18))),CZ51)))</f>
        <v>1592.68665572521</v>
      </c>
      <c r="DB51" s="11" t="n">
        <f aca="false">IF(DB$1&lt;Units!$P50,0,IF(AND(Units!$K50=0,DB$1=Units!$O50),Units!$R50,IF(AND(DB$1&gt;=Units!$Q50,MOD(DB$1-Units!$Q50,12)=0),IF(AND(Units!$L50=1,DB$1=Units!$Q50),IF(Units!$J50&lt;&gt;"",Units!$J50,Mkt!DB51),Inputs!$B$15*Mkt!DB51+(1-Inputs!$B$15)*MIN(Mkt!DB51,DA51*(1+Inputs!$B$18))),DA51)))</f>
        <v>1592.68665572521</v>
      </c>
      <c r="DC51" s="11" t="n">
        <f aca="false">IF(DC$1&lt;Units!$P50,0,IF(AND(Units!$K50=0,DC$1=Units!$O50),Units!$R50,IF(AND(DC$1&gt;=Units!$Q50,MOD(DC$1-Units!$Q50,12)=0),IF(AND(Units!$L50=1,DC$1=Units!$Q50),IF(Units!$J50&lt;&gt;"",Units!$J50,Mkt!DC51),Inputs!$B$15*Mkt!DC51+(1-Inputs!$B$15)*MIN(Mkt!DC51,DB51*(1+Inputs!$B$18))),DB51)))</f>
        <v>1592.68665572521</v>
      </c>
      <c r="DD51" s="11" t="n">
        <f aca="false">IF(DD$1&lt;Units!$P50,0,IF(AND(Units!$K50=0,DD$1=Units!$O50),Units!$R50,IF(AND(DD$1&gt;=Units!$Q50,MOD(DD$1-Units!$Q50,12)=0),IF(AND(Units!$L50=1,DD$1=Units!$Q50),IF(Units!$J50&lt;&gt;"",Units!$J50,Mkt!DD51),Inputs!$B$15*Mkt!DD51+(1-Inputs!$B$15)*MIN(Mkt!DD51,DC51*(1+Inputs!$B$18))),DC51)))</f>
        <v>1592.68665572521</v>
      </c>
      <c r="DE51" s="11" t="n">
        <f aca="false">IF(DE$1&lt;Units!$P50,0,IF(AND(Units!$K50=0,DE$1=Units!$O50),Units!$R50,IF(AND(DE$1&gt;=Units!$Q50,MOD(DE$1-Units!$Q50,12)=0),IF(AND(Units!$L50=1,DE$1=Units!$Q50),IF(Units!$J50&lt;&gt;"",Units!$J50,Mkt!DE51),Inputs!$B$15*Mkt!DE51+(1-Inputs!$B$15)*MIN(Mkt!DE51,DD51*(1+Inputs!$B$18))),DD51)))</f>
        <v>1640.46725539696</v>
      </c>
      <c r="DF51" s="11" t="n">
        <f aca="false">IF(DF$1&lt;Units!$P50,0,IF(AND(Units!$K50=0,DF$1=Units!$O50),Units!$R50,IF(AND(DF$1&gt;=Units!$Q50,MOD(DF$1-Units!$Q50,12)=0),IF(AND(Units!$L50=1,DF$1=Units!$Q50),IF(Units!$J50&lt;&gt;"",Units!$J50,Mkt!DF51),Inputs!$B$15*Mkt!DF51+(1-Inputs!$B$15)*MIN(Mkt!DF51,DE51*(1+Inputs!$B$18))),DE51)))</f>
        <v>1640.46725539696</v>
      </c>
      <c r="DG51" s="11" t="n">
        <f aca="false">IF(DG$1&lt;Units!$P50,0,IF(AND(Units!$K50=0,DG$1=Units!$O50),Units!$R50,IF(AND(DG$1&gt;=Units!$Q50,MOD(DG$1-Units!$Q50,12)=0),IF(AND(Units!$L50=1,DG$1=Units!$Q50),IF(Units!$J50&lt;&gt;"",Units!$J50,Mkt!DG51),Inputs!$B$15*Mkt!DG51+(1-Inputs!$B$15)*MIN(Mkt!DG51,DF51*(1+Inputs!$B$18))),DF51)))</f>
        <v>1640.46725539696</v>
      </c>
      <c r="DH51" s="11" t="n">
        <f aca="false">IF(DH$1&lt;Units!$P50,0,IF(AND(Units!$K50=0,DH$1=Units!$O50),Units!$R50,IF(AND(DH$1&gt;=Units!$Q50,MOD(DH$1-Units!$Q50,12)=0),IF(AND(Units!$L50=1,DH$1=Units!$Q50),IF(Units!$J50&lt;&gt;"",Units!$J50,Mkt!DH51),Inputs!$B$15*Mkt!DH51+(1-Inputs!$B$15)*MIN(Mkt!DH51,DG51*(1+Inputs!$B$18))),DG51)))</f>
        <v>1640.46725539696</v>
      </c>
      <c r="DI51" s="11" t="n">
        <f aca="false">IF(DI$1&lt;Units!$P50,0,IF(AND(Units!$K50=0,DI$1=Units!$O50),Units!$R50,IF(AND(DI$1&gt;=Units!$Q50,MOD(DI$1-Units!$Q50,12)=0),IF(AND(Units!$L50=1,DI$1=Units!$Q50),IF(Units!$J50&lt;&gt;"",Units!$J50,Mkt!DI51),Inputs!$B$15*Mkt!DI51+(1-Inputs!$B$15)*MIN(Mkt!DI51,DH51*(1+Inputs!$B$18))),DH51)))</f>
        <v>1640.46725539696</v>
      </c>
      <c r="DJ51" s="11" t="n">
        <f aca="false">IF(DJ$1&lt;Units!$P50,0,IF(AND(Units!$K50=0,DJ$1=Units!$O50),Units!$R50,IF(AND(DJ$1&gt;=Units!$Q50,MOD(DJ$1-Units!$Q50,12)=0),IF(AND(Units!$L50=1,DJ$1=Units!$Q50),IF(Units!$J50&lt;&gt;"",Units!$J50,Mkt!DJ51),Inputs!$B$15*Mkt!DJ51+(1-Inputs!$B$15)*MIN(Mkt!DJ51,DI51*(1+Inputs!$B$18))),DI51)))</f>
        <v>1640.46725539696</v>
      </c>
      <c r="DK51" s="11" t="n">
        <f aca="false">IF(DK$1&lt;Units!$P50,0,IF(AND(Units!$K50=0,DK$1=Units!$O50),Units!$R50,IF(AND(DK$1&gt;=Units!$Q50,MOD(DK$1-Units!$Q50,12)=0),IF(AND(Units!$L50=1,DK$1=Units!$Q50),IF(Units!$J50&lt;&gt;"",Units!$J50,Mkt!DK51),Inputs!$B$15*Mkt!DK51+(1-Inputs!$B$15)*MIN(Mkt!DK51,DJ51*(1+Inputs!$B$18))),DJ51)))</f>
        <v>1640.46725539696</v>
      </c>
      <c r="DL51" s="11" t="n">
        <f aca="false">IF(DL$1&lt;Units!$P50,0,IF(AND(Units!$K50=0,DL$1=Units!$O50),Units!$R50,IF(AND(DL$1&gt;=Units!$Q50,MOD(DL$1-Units!$Q50,12)=0),IF(AND(Units!$L50=1,DL$1=Units!$Q50),IF(Units!$J50&lt;&gt;"",Units!$J50,Mkt!DL51),Inputs!$B$15*Mkt!DL51+(1-Inputs!$B$15)*MIN(Mkt!DL51,DK51*(1+Inputs!$B$18))),DK51)))</f>
        <v>1640.46725539696</v>
      </c>
      <c r="DM51" s="11" t="n">
        <f aca="false">IF(DM$1&lt;Units!$P50,0,IF(AND(Units!$K50=0,DM$1=Units!$O50),Units!$R50,IF(AND(DM$1&gt;=Units!$Q50,MOD(DM$1-Units!$Q50,12)=0),IF(AND(Units!$L50=1,DM$1=Units!$Q50),IF(Units!$J50&lt;&gt;"",Units!$J50,Mkt!DM51),Inputs!$B$15*Mkt!DM51+(1-Inputs!$B$15)*MIN(Mkt!DM51,DL51*(1+Inputs!$B$18))),DL51)))</f>
        <v>1640.46725539696</v>
      </c>
      <c r="DN51" s="11" t="n">
        <f aca="false">IF(DN$1&lt;Units!$P50,0,IF(AND(Units!$K50=0,DN$1=Units!$O50),Units!$R50,IF(AND(DN$1&gt;=Units!$Q50,MOD(DN$1-Units!$Q50,12)=0),IF(AND(Units!$L50=1,DN$1=Units!$Q50),IF(Units!$J50&lt;&gt;"",Units!$J50,Mkt!DN51),Inputs!$B$15*Mkt!DN51+(1-Inputs!$B$15)*MIN(Mkt!DN51,DM51*(1+Inputs!$B$18))),DM51)))</f>
        <v>1640.46725539696</v>
      </c>
      <c r="DO51" s="11" t="n">
        <f aca="false">IF(DO$1&lt;Units!$P50,0,IF(AND(Units!$K50=0,DO$1=Units!$O50),Units!$R50,IF(AND(DO$1&gt;=Units!$Q50,MOD(DO$1-Units!$Q50,12)=0),IF(AND(Units!$L50=1,DO$1=Units!$Q50),IF(Units!$J50&lt;&gt;"",Units!$J50,Mkt!DO51),Inputs!$B$15*Mkt!DO51+(1-Inputs!$B$15)*MIN(Mkt!DO51,DN51*(1+Inputs!$B$18))),DN51)))</f>
        <v>1640.46725539696</v>
      </c>
      <c r="DP51" s="11" t="n">
        <f aca="false">IF(DP$1&lt;Units!$P50,0,IF(AND(Units!$K50=0,DP$1=Units!$O50),Units!$R50,IF(AND(DP$1&gt;=Units!$Q50,MOD(DP$1-Units!$Q50,12)=0),IF(AND(Units!$L50=1,DP$1=Units!$Q50),IF(Units!$J50&lt;&gt;"",Units!$J50,Mkt!DP51),Inputs!$B$15*Mkt!DP51+(1-Inputs!$B$15)*MIN(Mkt!DP51,DO51*(1+Inputs!$B$18))),DO51)))</f>
        <v>1640.46725539696</v>
      </c>
      <c r="DQ51" s="11" t="n">
        <f aca="false">IF(DQ$1&lt;Units!$P50,0,IF(AND(Units!$K50=0,DQ$1=Units!$O50),Units!$R50,IF(AND(DQ$1&gt;=Units!$Q50,MOD(DQ$1-Units!$Q50,12)=0),IF(AND(Units!$L50=1,DQ$1=Units!$Q50),IF(Units!$J50&lt;&gt;"",Units!$J50,Mkt!DQ51),Inputs!$B$15*Mkt!DQ51+(1-Inputs!$B$15)*MIN(Mkt!DQ51,DP51*(1+Inputs!$B$18))),DP51)))</f>
        <v>1689.68127305887</v>
      </c>
      <c r="DR51" s="11" t="n">
        <f aca="false">IF(DR$1&lt;Units!$P50,0,IF(AND(Units!$K50=0,DR$1=Units!$O50),Units!$R50,IF(AND(DR$1&gt;=Units!$Q50,MOD(DR$1-Units!$Q50,12)=0),IF(AND(Units!$L50=1,DR$1=Units!$Q50),IF(Units!$J50&lt;&gt;"",Units!$J50,Mkt!DR51),Inputs!$B$15*Mkt!DR51+(1-Inputs!$B$15)*MIN(Mkt!DR51,DQ51*(1+Inputs!$B$18))),DQ51)))</f>
        <v>1689.68127305887</v>
      </c>
      <c r="DS51" s="11" t="n">
        <f aca="false">IF(DS$1&lt;Units!$P50,0,IF(AND(Units!$K50=0,DS$1=Units!$O50),Units!$R50,IF(AND(DS$1&gt;=Units!$Q50,MOD(DS$1-Units!$Q50,12)=0),IF(AND(Units!$L50=1,DS$1=Units!$Q50),IF(Units!$J50&lt;&gt;"",Units!$J50,Mkt!DS51),Inputs!$B$15*Mkt!DS51+(1-Inputs!$B$15)*MIN(Mkt!DS51,DR51*(1+Inputs!$B$18))),DR51)))</f>
        <v>1689.68127305887</v>
      </c>
      <c r="DT51" s="11" t="n">
        <f aca="false">IF(DT$1&lt;Units!$P50,0,IF(AND(Units!$K50=0,DT$1=Units!$O50),Units!$R50,IF(AND(DT$1&gt;=Units!$Q50,MOD(DT$1-Units!$Q50,12)=0),IF(AND(Units!$L50=1,DT$1=Units!$Q50),IF(Units!$J50&lt;&gt;"",Units!$J50,Mkt!DT51),Inputs!$B$15*Mkt!DT51+(1-Inputs!$B$15)*MIN(Mkt!DT51,DS51*(1+Inputs!$B$18))),DS51)))</f>
        <v>1689.68127305887</v>
      </c>
      <c r="DU51" s="11" t="n">
        <f aca="false">IF(DU$1&lt;Units!$P50,0,IF(AND(Units!$K50=0,DU$1=Units!$O50),Units!$R50,IF(AND(DU$1&gt;=Units!$Q50,MOD(DU$1-Units!$Q50,12)=0),IF(AND(Units!$L50=1,DU$1=Units!$Q50),IF(Units!$J50&lt;&gt;"",Units!$J50,Mkt!DU51),Inputs!$B$15*Mkt!DU51+(1-Inputs!$B$15)*MIN(Mkt!DU51,DT51*(1+Inputs!$B$18))),DT51)))</f>
        <v>1689.68127305887</v>
      </c>
      <c r="DV51" s="11" t="n">
        <f aca="false">IF(DV$1&lt;Units!$P50,0,IF(AND(Units!$K50=0,DV$1=Units!$O50),Units!$R50,IF(AND(DV$1&gt;=Units!$Q50,MOD(DV$1-Units!$Q50,12)=0),IF(AND(Units!$L50=1,DV$1=Units!$Q50),IF(Units!$J50&lt;&gt;"",Units!$J50,Mkt!DV51),Inputs!$B$15*Mkt!DV51+(1-Inputs!$B$15)*MIN(Mkt!DV51,DU51*(1+Inputs!$B$18))),DU51)))</f>
        <v>1689.68127305887</v>
      </c>
      <c r="DW51" s="11" t="n">
        <f aca="false">IF(DW$1&lt;Units!$P50,0,IF(AND(Units!$K50=0,DW$1=Units!$O50),Units!$R50,IF(AND(DW$1&gt;=Units!$Q50,MOD(DW$1-Units!$Q50,12)=0),IF(AND(Units!$L50=1,DW$1=Units!$Q50),IF(Units!$J50&lt;&gt;"",Units!$J50,Mkt!DW51),Inputs!$B$15*Mkt!DW51+(1-Inputs!$B$15)*MIN(Mkt!DW51,DV51*(1+Inputs!$B$18))),DV51)))</f>
        <v>1689.68127305887</v>
      </c>
      <c r="DX51" s="11" t="n">
        <f aca="false">IF(DX$1&lt;Units!$P50,0,IF(AND(Units!$K50=0,DX$1=Units!$O50),Units!$R50,IF(AND(DX$1&gt;=Units!$Q50,MOD(DX$1-Units!$Q50,12)=0),IF(AND(Units!$L50=1,DX$1=Units!$Q50),IF(Units!$J50&lt;&gt;"",Units!$J50,Mkt!DX51),Inputs!$B$15*Mkt!DX51+(1-Inputs!$B$15)*MIN(Mkt!DX51,DW51*(1+Inputs!$B$18))),DW51)))</f>
        <v>1689.68127305887</v>
      </c>
      <c r="DY51" s="11" t="n">
        <f aca="false">IF(DY$1&lt;Units!$P50,0,IF(AND(Units!$K50=0,DY$1=Units!$O50),Units!$R50,IF(AND(DY$1&gt;=Units!$Q50,MOD(DY$1-Units!$Q50,12)=0),IF(AND(Units!$L50=1,DY$1=Units!$Q50),IF(Units!$J50&lt;&gt;"",Units!$J50,Mkt!DY51),Inputs!$B$15*Mkt!DY51+(1-Inputs!$B$15)*MIN(Mkt!DY51,DX51*(1+Inputs!$B$18))),DX51)))</f>
        <v>1689.68127305887</v>
      </c>
      <c r="DZ51" s="11" t="n">
        <f aca="false">IF(DZ$1&lt;Units!$P50,0,IF(AND(Units!$K50=0,DZ$1=Units!$O50),Units!$R50,IF(AND(DZ$1&gt;=Units!$Q50,MOD(DZ$1-Units!$Q50,12)=0),IF(AND(Units!$L50=1,DZ$1=Units!$Q50),IF(Units!$J50&lt;&gt;"",Units!$J50,Mkt!DZ51),Inputs!$B$15*Mkt!DZ51+(1-Inputs!$B$15)*MIN(Mkt!DZ51,DY51*(1+Inputs!$B$18))),DY51)))</f>
        <v>1689.68127305887</v>
      </c>
      <c r="EA51" s="11" t="n">
        <f aca="false">IF(EA$1&lt;Units!$P50,0,IF(AND(Units!$K50=0,EA$1=Units!$O50),Units!$R50,IF(AND(EA$1&gt;=Units!$Q50,MOD(EA$1-Units!$Q50,12)=0),IF(AND(Units!$L50=1,EA$1=Units!$Q50),IF(Units!$J50&lt;&gt;"",Units!$J50,Mkt!EA51),Inputs!$B$15*Mkt!EA51+(1-Inputs!$B$15)*MIN(Mkt!EA51,DZ51*(1+Inputs!$B$18))),DZ51)))</f>
        <v>1689.68127305887</v>
      </c>
      <c r="EB51" s="11" t="n">
        <f aca="false">IF(EB$1&lt;Units!$P50,0,IF(AND(Units!$K50=0,EB$1=Units!$O50),Units!$R50,IF(AND(EB$1&gt;=Units!$Q50,MOD(EB$1-Units!$Q50,12)=0),IF(AND(Units!$L50=1,EB$1=Units!$Q50),IF(Units!$J50&lt;&gt;"",Units!$J50,Mkt!EB51),Inputs!$B$15*Mkt!EB51+(1-Inputs!$B$15)*MIN(Mkt!EB51,EA51*(1+Inputs!$B$18))),EA51)))</f>
        <v>1689.68127305887</v>
      </c>
      <c r="EC51" s="11" t="n">
        <f aca="false">IF(EC$1&lt;Units!$P50,0,IF(AND(Units!$K50=0,EC$1=Units!$O50),Units!$R50,IF(AND(EC$1&gt;=Units!$Q50,MOD(EC$1-Units!$Q50,12)=0),IF(AND(Units!$L50=1,EC$1=Units!$Q50),IF(Units!$J50&lt;&gt;"",Units!$J50,Mkt!EC51),Inputs!$B$15*Mkt!EC51+(1-Inputs!$B$15)*MIN(Mkt!EC51,EB51*(1+Inputs!$B$18))),EB51)))</f>
        <v>1740.37171125064</v>
      </c>
      <c r="ED51" s="11" t="n">
        <f aca="false">IF(ED$1&lt;Units!$P50,0,IF(AND(Units!$K50=0,ED$1=Units!$O50),Units!$R50,IF(AND(ED$1&gt;=Units!$Q50,MOD(ED$1-Units!$Q50,12)=0),IF(AND(Units!$L50=1,ED$1=Units!$Q50),IF(Units!$J50&lt;&gt;"",Units!$J50,Mkt!ED51),Inputs!$B$15*Mkt!ED51+(1-Inputs!$B$15)*MIN(Mkt!ED51,EC51*(1+Inputs!$B$18))),EC51)))</f>
        <v>1740.37171125064</v>
      </c>
    </row>
    <row r="52" customFormat="false" ht="15" hidden="false" customHeight="false" outlineLevel="0" collapsed="false">
      <c r="A52" s="22" t="n">
        <f aca="false">Units!A51</f>
        <v>220</v>
      </c>
      <c r="B52" s="24" t="n">
        <f aca="false">IF(Units!K51=1,Units!F51,0)</f>
        <v>1280</v>
      </c>
      <c r="C52" s="11" t="n">
        <f aca="false">IF(C$1&lt;Units!$P51,0,IF(AND(Units!$K51=0,C$1=Units!$O51),Units!$R51,IF(AND(C$1&gt;=Units!$Q51,MOD(C$1-Units!$Q51,12)=0),IF(AND(Units!$L51=1,C$1=Units!$Q51),IF(Units!$J51&lt;&gt;"",Units!$J51,Mkt!C52),Inputs!$B$15*Mkt!C52+(1-Inputs!$B$15)*MIN(Mkt!C52,B52*(1+Inputs!$B$18))),B52)))</f>
        <v>1280</v>
      </c>
      <c r="D52" s="11" t="n">
        <f aca="false">IF(D$1&lt;Units!$P51,0,IF(AND(Units!$K51=0,D$1=Units!$O51),Units!$R51,IF(AND(D$1&gt;=Units!$Q51,MOD(D$1-Units!$Q51,12)=0),IF(AND(Units!$L51=1,D$1=Units!$Q51),IF(Units!$J51&lt;&gt;"",Units!$J51,Mkt!D52),Inputs!$B$15*Mkt!D52+(1-Inputs!$B$15)*MIN(Mkt!D52,C52*(1+Inputs!$B$18))),C52)))</f>
        <v>1295</v>
      </c>
      <c r="E52" s="11" t="n">
        <f aca="false">IF(E$1&lt;Units!$P51,0,IF(AND(Units!$K51=0,E$1=Units!$O51),Units!$R51,IF(AND(E$1&gt;=Units!$Q51,MOD(E$1-Units!$Q51,12)=0),IF(AND(Units!$L51=1,E$1=Units!$Q51),IF(Units!$J51&lt;&gt;"",Units!$J51,Mkt!E52),Inputs!$B$15*Mkt!E52+(1-Inputs!$B$15)*MIN(Mkt!E52,D52*(1+Inputs!$B$18))),D52)))</f>
        <v>1295</v>
      </c>
      <c r="F52" s="11" t="n">
        <f aca="false">IF(F$1&lt;Units!$P51,0,IF(AND(Units!$K51=0,F$1=Units!$O51),Units!$R51,IF(AND(F$1&gt;=Units!$Q51,MOD(F$1-Units!$Q51,12)=0),IF(AND(Units!$L51=1,F$1=Units!$Q51),IF(Units!$J51&lt;&gt;"",Units!$J51,Mkt!F52),Inputs!$B$15*Mkt!F52+(1-Inputs!$B$15)*MIN(Mkt!F52,E52*(1+Inputs!$B$18))),E52)))</f>
        <v>1295</v>
      </c>
      <c r="G52" s="11" t="n">
        <f aca="false">IF(G$1&lt;Units!$P51,0,IF(AND(Units!$K51=0,G$1=Units!$O51),Units!$R51,IF(AND(G$1&gt;=Units!$Q51,MOD(G$1-Units!$Q51,12)=0),IF(AND(Units!$L51=1,G$1=Units!$Q51),IF(Units!$J51&lt;&gt;"",Units!$J51,Mkt!G52),Inputs!$B$15*Mkt!G52+(1-Inputs!$B$15)*MIN(Mkt!G52,F52*(1+Inputs!$B$18))),F52)))</f>
        <v>1295</v>
      </c>
      <c r="H52" s="11" t="n">
        <f aca="false">IF(H$1&lt;Units!$P51,0,IF(AND(Units!$K51=0,H$1=Units!$O51),Units!$R51,IF(AND(H$1&gt;=Units!$Q51,MOD(H$1-Units!$Q51,12)=0),IF(AND(Units!$L51=1,H$1=Units!$Q51),IF(Units!$J51&lt;&gt;"",Units!$J51,Mkt!H52),Inputs!$B$15*Mkt!H52+(1-Inputs!$B$15)*MIN(Mkt!H52,G52*(1+Inputs!$B$18))),G52)))</f>
        <v>1295</v>
      </c>
      <c r="I52" s="11" t="n">
        <f aca="false">IF(I$1&lt;Units!$P51,0,IF(AND(Units!$K51=0,I$1=Units!$O51),Units!$R51,IF(AND(I$1&gt;=Units!$Q51,MOD(I$1-Units!$Q51,12)=0),IF(AND(Units!$L51=1,I$1=Units!$Q51),IF(Units!$J51&lt;&gt;"",Units!$J51,Mkt!I52),Inputs!$B$15*Mkt!I52+(1-Inputs!$B$15)*MIN(Mkt!I52,H52*(1+Inputs!$B$18))),H52)))</f>
        <v>1295</v>
      </c>
      <c r="J52" s="11" t="n">
        <f aca="false">IF(J$1&lt;Units!$P51,0,IF(AND(Units!$K51=0,J$1=Units!$O51),Units!$R51,IF(AND(J$1&gt;=Units!$Q51,MOD(J$1-Units!$Q51,12)=0),IF(AND(Units!$L51=1,J$1=Units!$Q51),IF(Units!$J51&lt;&gt;"",Units!$J51,Mkt!J52),Inputs!$B$15*Mkt!J52+(1-Inputs!$B$15)*MIN(Mkt!J52,I52*(1+Inputs!$B$18))),I52)))</f>
        <v>1295</v>
      </c>
      <c r="K52" s="11" t="n">
        <f aca="false">IF(K$1&lt;Units!$P51,0,IF(AND(Units!$K51=0,K$1=Units!$O51),Units!$R51,IF(AND(K$1&gt;=Units!$Q51,MOD(K$1-Units!$Q51,12)=0),IF(AND(Units!$L51=1,K$1=Units!$Q51),IF(Units!$J51&lt;&gt;"",Units!$J51,Mkt!K52),Inputs!$B$15*Mkt!K52+(1-Inputs!$B$15)*MIN(Mkt!K52,J52*(1+Inputs!$B$18))),J52)))</f>
        <v>1295</v>
      </c>
      <c r="L52" s="11" t="n">
        <f aca="false">IF(L$1&lt;Units!$P51,0,IF(AND(Units!$K51=0,L$1=Units!$O51),Units!$R51,IF(AND(L$1&gt;=Units!$Q51,MOD(L$1-Units!$Q51,12)=0),IF(AND(Units!$L51=1,L$1=Units!$Q51),IF(Units!$J51&lt;&gt;"",Units!$J51,Mkt!L52),Inputs!$B$15*Mkt!L52+(1-Inputs!$B$15)*MIN(Mkt!L52,K52*(1+Inputs!$B$18))),K52)))</f>
        <v>1295</v>
      </c>
      <c r="M52" s="11" t="n">
        <f aca="false">IF(M$1&lt;Units!$P51,0,IF(AND(Units!$K51=0,M$1=Units!$O51),Units!$R51,IF(AND(M$1&gt;=Units!$Q51,MOD(M$1-Units!$Q51,12)=0),IF(AND(Units!$L51=1,M$1=Units!$Q51),IF(Units!$J51&lt;&gt;"",Units!$J51,Mkt!M52),Inputs!$B$15*Mkt!M52+(1-Inputs!$B$15)*MIN(Mkt!M52,L52*(1+Inputs!$B$18))),L52)))</f>
        <v>1295</v>
      </c>
      <c r="N52" s="11" t="n">
        <f aca="false">IF(N$1&lt;Units!$P51,0,IF(AND(Units!$K51=0,N$1=Units!$O51),Units!$R51,IF(AND(N$1&gt;=Units!$Q51,MOD(N$1-Units!$Q51,12)=0),IF(AND(Units!$L51=1,N$1=Units!$Q51),IF(Units!$J51&lt;&gt;"",Units!$J51,Mkt!N52),Inputs!$B$15*Mkt!N52+(1-Inputs!$B$15)*MIN(Mkt!N52,M52*(1+Inputs!$B$18))),M52)))</f>
        <v>1295</v>
      </c>
      <c r="O52" s="11" t="n">
        <f aca="false">IF(O$1&lt;Units!$P51,0,IF(AND(Units!$K51=0,O$1=Units!$O51),Units!$R51,IF(AND(O$1&gt;=Units!$Q51,MOD(O$1-Units!$Q51,12)=0),IF(AND(Units!$L51=1,O$1=Units!$Q51),IF(Units!$J51&lt;&gt;"",Units!$J51,Mkt!O52),Inputs!$B$15*Mkt!O52+(1-Inputs!$B$15)*MIN(Mkt!O52,N52*(1+Inputs!$B$18))),N52)))</f>
        <v>1295</v>
      </c>
      <c r="P52" s="11" t="n">
        <f aca="false">IF(P$1&lt;Units!$P51,0,IF(AND(Units!$K51=0,P$1=Units!$O51),Units!$R51,IF(AND(P$1&gt;=Units!$Q51,MOD(P$1-Units!$Q51,12)=0),IF(AND(Units!$L51=1,P$1=Units!$Q51),IF(Units!$J51&lt;&gt;"",Units!$J51,Mkt!P52),Inputs!$B$15*Mkt!P52+(1-Inputs!$B$15)*MIN(Mkt!P52,O52*(1+Inputs!$B$18))),O52)))</f>
        <v>1333.85</v>
      </c>
      <c r="Q52" s="11" t="n">
        <f aca="false">IF(Q$1&lt;Units!$P51,0,IF(AND(Units!$K51=0,Q$1=Units!$O51),Units!$R51,IF(AND(Q$1&gt;=Units!$Q51,MOD(Q$1-Units!$Q51,12)=0),IF(AND(Units!$L51=1,Q$1=Units!$Q51),IF(Units!$J51&lt;&gt;"",Units!$J51,Mkt!Q52),Inputs!$B$15*Mkt!Q52+(1-Inputs!$B$15)*MIN(Mkt!Q52,P52*(1+Inputs!$B$18))),P52)))</f>
        <v>1333.85</v>
      </c>
      <c r="R52" s="11" t="n">
        <f aca="false">IF(R$1&lt;Units!$P51,0,IF(AND(Units!$K51=0,R$1=Units!$O51),Units!$R51,IF(AND(R$1&gt;=Units!$Q51,MOD(R$1-Units!$Q51,12)=0),IF(AND(Units!$L51=1,R$1=Units!$Q51),IF(Units!$J51&lt;&gt;"",Units!$J51,Mkt!R52),Inputs!$B$15*Mkt!R52+(1-Inputs!$B$15)*MIN(Mkt!R52,Q52*(1+Inputs!$B$18))),Q52)))</f>
        <v>1333.85</v>
      </c>
      <c r="S52" s="11" t="n">
        <f aca="false">IF(S$1&lt;Units!$P51,0,IF(AND(Units!$K51=0,S$1=Units!$O51),Units!$R51,IF(AND(S$1&gt;=Units!$Q51,MOD(S$1-Units!$Q51,12)=0),IF(AND(Units!$L51=1,S$1=Units!$Q51),IF(Units!$J51&lt;&gt;"",Units!$J51,Mkt!S52),Inputs!$B$15*Mkt!S52+(1-Inputs!$B$15)*MIN(Mkt!S52,R52*(1+Inputs!$B$18))),R52)))</f>
        <v>1333.85</v>
      </c>
      <c r="T52" s="11" t="n">
        <f aca="false">IF(T$1&lt;Units!$P51,0,IF(AND(Units!$K51=0,T$1=Units!$O51),Units!$R51,IF(AND(T$1&gt;=Units!$Q51,MOD(T$1-Units!$Q51,12)=0),IF(AND(Units!$L51=1,T$1=Units!$Q51),IF(Units!$J51&lt;&gt;"",Units!$J51,Mkt!T52),Inputs!$B$15*Mkt!T52+(1-Inputs!$B$15)*MIN(Mkt!T52,S52*(1+Inputs!$B$18))),S52)))</f>
        <v>1333.85</v>
      </c>
      <c r="U52" s="11" t="n">
        <f aca="false">IF(U$1&lt;Units!$P51,0,IF(AND(Units!$K51=0,U$1=Units!$O51),Units!$R51,IF(AND(U$1&gt;=Units!$Q51,MOD(U$1-Units!$Q51,12)=0),IF(AND(Units!$L51=1,U$1=Units!$Q51),IF(Units!$J51&lt;&gt;"",Units!$J51,Mkt!U52),Inputs!$B$15*Mkt!U52+(1-Inputs!$B$15)*MIN(Mkt!U52,T52*(1+Inputs!$B$18))),T52)))</f>
        <v>1333.85</v>
      </c>
      <c r="V52" s="11" t="n">
        <f aca="false">IF(V$1&lt;Units!$P51,0,IF(AND(Units!$K51=0,V$1=Units!$O51),Units!$R51,IF(AND(V$1&gt;=Units!$Q51,MOD(V$1-Units!$Q51,12)=0),IF(AND(Units!$L51=1,V$1=Units!$Q51),IF(Units!$J51&lt;&gt;"",Units!$J51,Mkt!V52),Inputs!$B$15*Mkt!V52+(1-Inputs!$B$15)*MIN(Mkt!V52,U52*(1+Inputs!$B$18))),U52)))</f>
        <v>1333.85</v>
      </c>
      <c r="W52" s="11" t="n">
        <f aca="false">IF(W$1&lt;Units!$P51,0,IF(AND(Units!$K51=0,W$1=Units!$O51),Units!$R51,IF(AND(W$1&gt;=Units!$Q51,MOD(W$1-Units!$Q51,12)=0),IF(AND(Units!$L51=1,W$1=Units!$Q51),IF(Units!$J51&lt;&gt;"",Units!$J51,Mkt!W52),Inputs!$B$15*Mkt!W52+(1-Inputs!$B$15)*MIN(Mkt!W52,V52*(1+Inputs!$B$18))),V52)))</f>
        <v>1333.85</v>
      </c>
      <c r="X52" s="11" t="n">
        <f aca="false">IF(X$1&lt;Units!$P51,0,IF(AND(Units!$K51=0,X$1=Units!$O51),Units!$R51,IF(AND(X$1&gt;=Units!$Q51,MOD(X$1-Units!$Q51,12)=0),IF(AND(Units!$L51=1,X$1=Units!$Q51),IF(Units!$J51&lt;&gt;"",Units!$J51,Mkt!X52),Inputs!$B$15*Mkt!X52+(1-Inputs!$B$15)*MIN(Mkt!X52,W52*(1+Inputs!$B$18))),W52)))</f>
        <v>1333.85</v>
      </c>
      <c r="Y52" s="11" t="n">
        <f aca="false">IF(Y$1&lt;Units!$P51,0,IF(AND(Units!$K51=0,Y$1=Units!$O51),Units!$R51,IF(AND(Y$1&gt;=Units!$Q51,MOD(Y$1-Units!$Q51,12)=0),IF(AND(Units!$L51=1,Y$1=Units!$Q51),IF(Units!$J51&lt;&gt;"",Units!$J51,Mkt!Y52),Inputs!$B$15*Mkt!Y52+(1-Inputs!$B$15)*MIN(Mkt!Y52,X52*(1+Inputs!$B$18))),X52)))</f>
        <v>1333.85</v>
      </c>
      <c r="Z52" s="11" t="n">
        <f aca="false">IF(Z$1&lt;Units!$P51,0,IF(AND(Units!$K51=0,Z$1=Units!$O51),Units!$R51,IF(AND(Z$1&gt;=Units!$Q51,MOD(Z$1-Units!$Q51,12)=0),IF(AND(Units!$L51=1,Z$1=Units!$Q51),IF(Units!$J51&lt;&gt;"",Units!$J51,Mkt!Z52),Inputs!$B$15*Mkt!Z52+(1-Inputs!$B$15)*MIN(Mkt!Z52,Y52*(1+Inputs!$B$18))),Y52)))</f>
        <v>1333.85</v>
      </c>
      <c r="AA52" s="11" t="n">
        <f aca="false">IF(AA$1&lt;Units!$P51,0,IF(AND(Units!$K51=0,AA$1=Units!$O51),Units!$R51,IF(AND(AA$1&gt;=Units!$Q51,MOD(AA$1-Units!$Q51,12)=0),IF(AND(Units!$L51=1,AA$1=Units!$Q51),IF(Units!$J51&lt;&gt;"",Units!$J51,Mkt!AA52),Inputs!$B$15*Mkt!AA52+(1-Inputs!$B$15)*MIN(Mkt!AA52,Z52*(1+Inputs!$B$18))),Z52)))</f>
        <v>1333.85</v>
      </c>
      <c r="AB52" s="11" t="n">
        <f aca="false">IF(AB$1&lt;Units!$P51,0,IF(AND(Units!$K51=0,AB$1=Units!$O51),Units!$R51,IF(AND(AB$1&gt;=Units!$Q51,MOD(AB$1-Units!$Q51,12)=0),IF(AND(Units!$L51=1,AB$1=Units!$Q51),IF(Units!$J51&lt;&gt;"",Units!$J51,Mkt!AB52),Inputs!$B$15*Mkt!AB52+(1-Inputs!$B$15)*MIN(Mkt!AB52,AA52*(1+Inputs!$B$18))),AA52)))</f>
        <v>1373.8655</v>
      </c>
      <c r="AC52" s="11" t="n">
        <f aca="false">IF(AC$1&lt;Units!$P51,0,IF(AND(Units!$K51=0,AC$1=Units!$O51),Units!$R51,IF(AND(AC$1&gt;=Units!$Q51,MOD(AC$1-Units!$Q51,12)=0),IF(AND(Units!$L51=1,AC$1=Units!$Q51),IF(Units!$J51&lt;&gt;"",Units!$J51,Mkt!AC52),Inputs!$B$15*Mkt!AC52+(1-Inputs!$B$15)*MIN(Mkt!AC52,AB52*(1+Inputs!$B$18))),AB52)))</f>
        <v>1373.8655</v>
      </c>
      <c r="AD52" s="11" t="n">
        <f aca="false">IF(AD$1&lt;Units!$P51,0,IF(AND(Units!$K51=0,AD$1=Units!$O51),Units!$R51,IF(AND(AD$1&gt;=Units!$Q51,MOD(AD$1-Units!$Q51,12)=0),IF(AND(Units!$L51=1,AD$1=Units!$Q51),IF(Units!$J51&lt;&gt;"",Units!$J51,Mkt!AD52),Inputs!$B$15*Mkt!AD52+(1-Inputs!$B$15)*MIN(Mkt!AD52,AC52*(1+Inputs!$B$18))),AC52)))</f>
        <v>1373.8655</v>
      </c>
      <c r="AE52" s="11" t="n">
        <f aca="false">IF(AE$1&lt;Units!$P51,0,IF(AND(Units!$K51=0,AE$1=Units!$O51),Units!$R51,IF(AND(AE$1&gt;=Units!$Q51,MOD(AE$1-Units!$Q51,12)=0),IF(AND(Units!$L51=1,AE$1=Units!$Q51),IF(Units!$J51&lt;&gt;"",Units!$J51,Mkt!AE52),Inputs!$B$15*Mkt!AE52+(1-Inputs!$B$15)*MIN(Mkt!AE52,AD52*(1+Inputs!$B$18))),AD52)))</f>
        <v>1373.8655</v>
      </c>
      <c r="AF52" s="11" t="n">
        <f aca="false">IF(AF$1&lt;Units!$P51,0,IF(AND(Units!$K51=0,AF$1=Units!$O51),Units!$R51,IF(AND(AF$1&gt;=Units!$Q51,MOD(AF$1-Units!$Q51,12)=0),IF(AND(Units!$L51=1,AF$1=Units!$Q51),IF(Units!$J51&lt;&gt;"",Units!$J51,Mkt!AF52),Inputs!$B$15*Mkt!AF52+(1-Inputs!$B$15)*MIN(Mkt!AF52,AE52*(1+Inputs!$B$18))),AE52)))</f>
        <v>1373.8655</v>
      </c>
      <c r="AG52" s="11" t="n">
        <f aca="false">IF(AG$1&lt;Units!$P51,0,IF(AND(Units!$K51=0,AG$1=Units!$O51),Units!$R51,IF(AND(AG$1&gt;=Units!$Q51,MOD(AG$1-Units!$Q51,12)=0),IF(AND(Units!$L51=1,AG$1=Units!$Q51),IF(Units!$J51&lt;&gt;"",Units!$J51,Mkt!AG52),Inputs!$B$15*Mkt!AG52+(1-Inputs!$B$15)*MIN(Mkt!AG52,AF52*(1+Inputs!$B$18))),AF52)))</f>
        <v>1373.8655</v>
      </c>
      <c r="AH52" s="11" t="n">
        <f aca="false">IF(AH$1&lt;Units!$P51,0,IF(AND(Units!$K51=0,AH$1=Units!$O51),Units!$R51,IF(AND(AH$1&gt;=Units!$Q51,MOD(AH$1-Units!$Q51,12)=0),IF(AND(Units!$L51=1,AH$1=Units!$Q51),IF(Units!$J51&lt;&gt;"",Units!$J51,Mkt!AH52),Inputs!$B$15*Mkt!AH52+(1-Inputs!$B$15)*MIN(Mkt!AH52,AG52*(1+Inputs!$B$18))),AG52)))</f>
        <v>1373.8655</v>
      </c>
      <c r="AI52" s="11" t="n">
        <f aca="false">IF(AI$1&lt;Units!$P51,0,IF(AND(Units!$K51=0,AI$1=Units!$O51),Units!$R51,IF(AND(AI$1&gt;=Units!$Q51,MOD(AI$1-Units!$Q51,12)=0),IF(AND(Units!$L51=1,AI$1=Units!$Q51),IF(Units!$J51&lt;&gt;"",Units!$J51,Mkt!AI52),Inputs!$B$15*Mkt!AI52+(1-Inputs!$B$15)*MIN(Mkt!AI52,AH52*(1+Inputs!$B$18))),AH52)))</f>
        <v>1373.8655</v>
      </c>
      <c r="AJ52" s="11" t="n">
        <f aca="false">IF(AJ$1&lt;Units!$P51,0,IF(AND(Units!$K51=0,AJ$1=Units!$O51),Units!$R51,IF(AND(AJ$1&gt;=Units!$Q51,MOD(AJ$1-Units!$Q51,12)=0),IF(AND(Units!$L51=1,AJ$1=Units!$Q51),IF(Units!$J51&lt;&gt;"",Units!$J51,Mkt!AJ52),Inputs!$B$15*Mkt!AJ52+(1-Inputs!$B$15)*MIN(Mkt!AJ52,AI52*(1+Inputs!$B$18))),AI52)))</f>
        <v>1373.8655</v>
      </c>
      <c r="AK52" s="11" t="n">
        <f aca="false">IF(AK$1&lt;Units!$P51,0,IF(AND(Units!$K51=0,AK$1=Units!$O51),Units!$R51,IF(AND(AK$1&gt;=Units!$Q51,MOD(AK$1-Units!$Q51,12)=0),IF(AND(Units!$L51=1,AK$1=Units!$Q51),IF(Units!$J51&lt;&gt;"",Units!$J51,Mkt!AK52),Inputs!$B$15*Mkt!AK52+(1-Inputs!$B$15)*MIN(Mkt!AK52,AJ52*(1+Inputs!$B$18))),AJ52)))</f>
        <v>1373.8655</v>
      </c>
      <c r="AL52" s="11" t="n">
        <f aca="false">IF(AL$1&lt;Units!$P51,0,IF(AND(Units!$K51=0,AL$1=Units!$O51),Units!$R51,IF(AND(AL$1&gt;=Units!$Q51,MOD(AL$1-Units!$Q51,12)=0),IF(AND(Units!$L51=1,AL$1=Units!$Q51),IF(Units!$J51&lt;&gt;"",Units!$J51,Mkt!AL52),Inputs!$B$15*Mkt!AL52+(1-Inputs!$B$15)*MIN(Mkt!AL52,AK52*(1+Inputs!$B$18))),AK52)))</f>
        <v>1373.8655</v>
      </c>
      <c r="AM52" s="11" t="n">
        <f aca="false">IF(AM$1&lt;Units!$P51,0,IF(AND(Units!$K51=0,AM$1=Units!$O51),Units!$R51,IF(AND(AM$1&gt;=Units!$Q51,MOD(AM$1-Units!$Q51,12)=0),IF(AND(Units!$L51=1,AM$1=Units!$Q51),IF(Units!$J51&lt;&gt;"",Units!$J51,Mkt!AM52),Inputs!$B$15*Mkt!AM52+(1-Inputs!$B$15)*MIN(Mkt!AM52,AL52*(1+Inputs!$B$18))),AL52)))</f>
        <v>1373.8655</v>
      </c>
      <c r="AN52" s="11" t="n">
        <f aca="false">IF(AN$1&lt;Units!$P51,0,IF(AND(Units!$K51=0,AN$1=Units!$O51),Units!$R51,IF(AND(AN$1&gt;=Units!$Q51,MOD(AN$1-Units!$Q51,12)=0),IF(AND(Units!$L51=1,AN$1=Units!$Q51),IF(Units!$J51&lt;&gt;"",Units!$J51,Mkt!AN52),Inputs!$B$15*Mkt!AN52+(1-Inputs!$B$15)*MIN(Mkt!AN52,AM52*(1+Inputs!$B$18))),AM52)))</f>
        <v>1415.081465</v>
      </c>
      <c r="AO52" s="11" t="n">
        <f aca="false">IF(AO$1&lt;Units!$P51,0,IF(AND(Units!$K51=0,AO$1=Units!$O51),Units!$R51,IF(AND(AO$1&gt;=Units!$Q51,MOD(AO$1-Units!$Q51,12)=0),IF(AND(Units!$L51=1,AO$1=Units!$Q51),IF(Units!$J51&lt;&gt;"",Units!$J51,Mkt!AO52),Inputs!$B$15*Mkt!AO52+(1-Inputs!$B$15)*MIN(Mkt!AO52,AN52*(1+Inputs!$B$18))),AN52)))</f>
        <v>1415.081465</v>
      </c>
      <c r="AP52" s="11" t="n">
        <f aca="false">IF(AP$1&lt;Units!$P51,0,IF(AND(Units!$K51=0,AP$1=Units!$O51),Units!$R51,IF(AND(AP$1&gt;=Units!$Q51,MOD(AP$1-Units!$Q51,12)=0),IF(AND(Units!$L51=1,AP$1=Units!$Q51),IF(Units!$J51&lt;&gt;"",Units!$J51,Mkt!AP52),Inputs!$B$15*Mkt!AP52+(1-Inputs!$B$15)*MIN(Mkt!AP52,AO52*(1+Inputs!$B$18))),AO52)))</f>
        <v>1415.081465</v>
      </c>
      <c r="AQ52" s="11" t="n">
        <f aca="false">IF(AQ$1&lt;Units!$P51,0,IF(AND(Units!$K51=0,AQ$1=Units!$O51),Units!$R51,IF(AND(AQ$1&gt;=Units!$Q51,MOD(AQ$1-Units!$Q51,12)=0),IF(AND(Units!$L51=1,AQ$1=Units!$Q51),IF(Units!$J51&lt;&gt;"",Units!$J51,Mkt!AQ52),Inputs!$B$15*Mkt!AQ52+(1-Inputs!$B$15)*MIN(Mkt!AQ52,AP52*(1+Inputs!$B$18))),AP52)))</f>
        <v>1415.081465</v>
      </c>
      <c r="AR52" s="11" t="n">
        <f aca="false">IF(AR$1&lt;Units!$P51,0,IF(AND(Units!$K51=0,AR$1=Units!$O51),Units!$R51,IF(AND(AR$1&gt;=Units!$Q51,MOD(AR$1-Units!$Q51,12)=0),IF(AND(Units!$L51=1,AR$1=Units!$Q51),IF(Units!$J51&lt;&gt;"",Units!$J51,Mkt!AR52),Inputs!$B$15*Mkt!AR52+(1-Inputs!$B$15)*MIN(Mkt!AR52,AQ52*(1+Inputs!$B$18))),AQ52)))</f>
        <v>1415.081465</v>
      </c>
      <c r="AS52" s="11" t="n">
        <f aca="false">IF(AS$1&lt;Units!$P51,0,IF(AND(Units!$K51=0,AS$1=Units!$O51),Units!$R51,IF(AND(AS$1&gt;=Units!$Q51,MOD(AS$1-Units!$Q51,12)=0),IF(AND(Units!$L51=1,AS$1=Units!$Q51),IF(Units!$J51&lt;&gt;"",Units!$J51,Mkt!AS52),Inputs!$B$15*Mkt!AS52+(1-Inputs!$B$15)*MIN(Mkt!AS52,AR52*(1+Inputs!$B$18))),AR52)))</f>
        <v>1415.081465</v>
      </c>
      <c r="AT52" s="11" t="n">
        <f aca="false">IF(AT$1&lt;Units!$P51,0,IF(AND(Units!$K51=0,AT$1=Units!$O51),Units!$R51,IF(AND(AT$1&gt;=Units!$Q51,MOD(AT$1-Units!$Q51,12)=0),IF(AND(Units!$L51=1,AT$1=Units!$Q51),IF(Units!$J51&lt;&gt;"",Units!$J51,Mkt!AT52),Inputs!$B$15*Mkt!AT52+(1-Inputs!$B$15)*MIN(Mkt!AT52,AS52*(1+Inputs!$B$18))),AS52)))</f>
        <v>1415.081465</v>
      </c>
      <c r="AU52" s="11" t="n">
        <f aca="false">IF(AU$1&lt;Units!$P51,0,IF(AND(Units!$K51=0,AU$1=Units!$O51),Units!$R51,IF(AND(AU$1&gt;=Units!$Q51,MOD(AU$1-Units!$Q51,12)=0),IF(AND(Units!$L51=1,AU$1=Units!$Q51),IF(Units!$J51&lt;&gt;"",Units!$J51,Mkt!AU52),Inputs!$B$15*Mkt!AU52+(1-Inputs!$B$15)*MIN(Mkt!AU52,AT52*(1+Inputs!$B$18))),AT52)))</f>
        <v>1415.081465</v>
      </c>
      <c r="AV52" s="11" t="n">
        <f aca="false">IF(AV$1&lt;Units!$P51,0,IF(AND(Units!$K51=0,AV$1=Units!$O51),Units!$R51,IF(AND(AV$1&gt;=Units!$Q51,MOD(AV$1-Units!$Q51,12)=0),IF(AND(Units!$L51=1,AV$1=Units!$Q51),IF(Units!$J51&lt;&gt;"",Units!$J51,Mkt!AV52),Inputs!$B$15*Mkt!AV52+(1-Inputs!$B$15)*MIN(Mkt!AV52,AU52*(1+Inputs!$B$18))),AU52)))</f>
        <v>1415.081465</v>
      </c>
      <c r="AW52" s="11" t="n">
        <f aca="false">IF(AW$1&lt;Units!$P51,0,IF(AND(Units!$K51=0,AW$1=Units!$O51),Units!$R51,IF(AND(AW$1&gt;=Units!$Q51,MOD(AW$1-Units!$Q51,12)=0),IF(AND(Units!$L51=1,AW$1=Units!$Q51),IF(Units!$J51&lt;&gt;"",Units!$J51,Mkt!AW52),Inputs!$B$15*Mkt!AW52+(1-Inputs!$B$15)*MIN(Mkt!AW52,AV52*(1+Inputs!$B$18))),AV52)))</f>
        <v>1415.081465</v>
      </c>
      <c r="AX52" s="11" t="n">
        <f aca="false">IF(AX$1&lt;Units!$P51,0,IF(AND(Units!$K51=0,AX$1=Units!$O51),Units!$R51,IF(AND(AX$1&gt;=Units!$Q51,MOD(AX$1-Units!$Q51,12)=0),IF(AND(Units!$L51=1,AX$1=Units!$Q51),IF(Units!$J51&lt;&gt;"",Units!$J51,Mkt!AX52),Inputs!$B$15*Mkt!AX52+(1-Inputs!$B$15)*MIN(Mkt!AX52,AW52*(1+Inputs!$B$18))),AW52)))</f>
        <v>1415.081465</v>
      </c>
      <c r="AY52" s="11" t="n">
        <f aca="false">IF(AY$1&lt;Units!$P51,0,IF(AND(Units!$K51=0,AY$1=Units!$O51),Units!$R51,IF(AND(AY$1&gt;=Units!$Q51,MOD(AY$1-Units!$Q51,12)=0),IF(AND(Units!$L51=1,AY$1=Units!$Q51),IF(Units!$J51&lt;&gt;"",Units!$J51,Mkt!AY52),Inputs!$B$15*Mkt!AY52+(1-Inputs!$B$15)*MIN(Mkt!AY52,AX52*(1+Inputs!$B$18))),AX52)))</f>
        <v>1415.081465</v>
      </c>
      <c r="AZ52" s="11" t="n">
        <f aca="false">IF(AZ$1&lt;Units!$P51,0,IF(AND(Units!$K51=0,AZ$1=Units!$O51),Units!$R51,IF(AND(AZ$1&gt;=Units!$Q51,MOD(AZ$1-Units!$Q51,12)=0),IF(AND(Units!$L51=1,AZ$1=Units!$Q51),IF(Units!$J51&lt;&gt;"",Units!$J51,Mkt!AZ52),Inputs!$B$15*Mkt!AZ52+(1-Inputs!$B$15)*MIN(Mkt!AZ52,AY52*(1+Inputs!$B$18))),AY52)))</f>
        <v>1457.53390895</v>
      </c>
      <c r="BA52" s="11" t="n">
        <f aca="false">IF(BA$1&lt;Units!$P51,0,IF(AND(Units!$K51=0,BA$1=Units!$O51),Units!$R51,IF(AND(BA$1&gt;=Units!$Q51,MOD(BA$1-Units!$Q51,12)=0),IF(AND(Units!$L51=1,BA$1=Units!$Q51),IF(Units!$J51&lt;&gt;"",Units!$J51,Mkt!BA52),Inputs!$B$15*Mkt!BA52+(1-Inputs!$B$15)*MIN(Mkt!BA52,AZ52*(1+Inputs!$B$18))),AZ52)))</f>
        <v>1457.53390895</v>
      </c>
      <c r="BB52" s="11" t="n">
        <f aca="false">IF(BB$1&lt;Units!$P51,0,IF(AND(Units!$K51=0,BB$1=Units!$O51),Units!$R51,IF(AND(BB$1&gt;=Units!$Q51,MOD(BB$1-Units!$Q51,12)=0),IF(AND(Units!$L51=1,BB$1=Units!$Q51),IF(Units!$J51&lt;&gt;"",Units!$J51,Mkt!BB52),Inputs!$B$15*Mkt!BB52+(1-Inputs!$B$15)*MIN(Mkt!BB52,BA52*(1+Inputs!$B$18))),BA52)))</f>
        <v>1457.53390895</v>
      </c>
      <c r="BC52" s="11" t="n">
        <f aca="false">IF(BC$1&lt;Units!$P51,0,IF(AND(Units!$K51=0,BC$1=Units!$O51),Units!$R51,IF(AND(BC$1&gt;=Units!$Q51,MOD(BC$1-Units!$Q51,12)=0),IF(AND(Units!$L51=1,BC$1=Units!$Q51),IF(Units!$J51&lt;&gt;"",Units!$J51,Mkt!BC52),Inputs!$B$15*Mkt!BC52+(1-Inputs!$B$15)*MIN(Mkt!BC52,BB52*(1+Inputs!$B$18))),BB52)))</f>
        <v>1457.53390895</v>
      </c>
      <c r="BD52" s="11" t="n">
        <f aca="false">IF(BD$1&lt;Units!$P51,0,IF(AND(Units!$K51=0,BD$1=Units!$O51),Units!$R51,IF(AND(BD$1&gt;=Units!$Q51,MOD(BD$1-Units!$Q51,12)=0),IF(AND(Units!$L51=1,BD$1=Units!$Q51),IF(Units!$J51&lt;&gt;"",Units!$J51,Mkt!BD52),Inputs!$B$15*Mkt!BD52+(1-Inputs!$B$15)*MIN(Mkt!BD52,BC52*(1+Inputs!$B$18))),BC52)))</f>
        <v>1457.53390895</v>
      </c>
      <c r="BE52" s="11" t="n">
        <f aca="false">IF(BE$1&lt;Units!$P51,0,IF(AND(Units!$K51=0,BE$1=Units!$O51),Units!$R51,IF(AND(BE$1&gt;=Units!$Q51,MOD(BE$1-Units!$Q51,12)=0),IF(AND(Units!$L51=1,BE$1=Units!$Q51),IF(Units!$J51&lt;&gt;"",Units!$J51,Mkt!BE52),Inputs!$B$15*Mkt!BE52+(1-Inputs!$B$15)*MIN(Mkt!BE52,BD52*(1+Inputs!$B$18))),BD52)))</f>
        <v>1457.53390895</v>
      </c>
      <c r="BF52" s="11" t="n">
        <f aca="false">IF(BF$1&lt;Units!$P51,0,IF(AND(Units!$K51=0,BF$1=Units!$O51),Units!$R51,IF(AND(BF$1&gt;=Units!$Q51,MOD(BF$1-Units!$Q51,12)=0),IF(AND(Units!$L51=1,BF$1=Units!$Q51),IF(Units!$J51&lt;&gt;"",Units!$J51,Mkt!BF52),Inputs!$B$15*Mkt!BF52+(1-Inputs!$B$15)*MIN(Mkt!BF52,BE52*(1+Inputs!$B$18))),BE52)))</f>
        <v>1457.53390895</v>
      </c>
      <c r="BG52" s="11" t="n">
        <f aca="false">IF(BG$1&lt;Units!$P51,0,IF(AND(Units!$K51=0,BG$1=Units!$O51),Units!$R51,IF(AND(BG$1&gt;=Units!$Q51,MOD(BG$1-Units!$Q51,12)=0),IF(AND(Units!$L51=1,BG$1=Units!$Q51),IF(Units!$J51&lt;&gt;"",Units!$J51,Mkt!BG52),Inputs!$B$15*Mkt!BG52+(1-Inputs!$B$15)*MIN(Mkt!BG52,BF52*(1+Inputs!$B$18))),BF52)))</f>
        <v>1457.53390895</v>
      </c>
      <c r="BH52" s="11" t="n">
        <f aca="false">IF(BH$1&lt;Units!$P51,0,IF(AND(Units!$K51=0,BH$1=Units!$O51),Units!$R51,IF(AND(BH$1&gt;=Units!$Q51,MOD(BH$1-Units!$Q51,12)=0),IF(AND(Units!$L51=1,BH$1=Units!$Q51),IF(Units!$J51&lt;&gt;"",Units!$J51,Mkt!BH52),Inputs!$B$15*Mkt!BH52+(1-Inputs!$B$15)*MIN(Mkt!BH52,BG52*(1+Inputs!$B$18))),BG52)))</f>
        <v>1457.53390895</v>
      </c>
      <c r="BI52" s="11" t="n">
        <f aca="false">IF(BI$1&lt;Units!$P51,0,IF(AND(Units!$K51=0,BI$1=Units!$O51),Units!$R51,IF(AND(BI$1&gt;=Units!$Q51,MOD(BI$1-Units!$Q51,12)=0),IF(AND(Units!$L51=1,BI$1=Units!$Q51),IF(Units!$J51&lt;&gt;"",Units!$J51,Mkt!BI52),Inputs!$B$15*Mkt!BI52+(1-Inputs!$B$15)*MIN(Mkt!BI52,BH52*(1+Inputs!$B$18))),BH52)))</f>
        <v>1457.53390895</v>
      </c>
      <c r="BJ52" s="11" t="n">
        <f aca="false">IF(BJ$1&lt;Units!$P51,0,IF(AND(Units!$K51=0,BJ$1=Units!$O51),Units!$R51,IF(AND(BJ$1&gt;=Units!$Q51,MOD(BJ$1-Units!$Q51,12)=0),IF(AND(Units!$L51=1,BJ$1=Units!$Q51),IF(Units!$J51&lt;&gt;"",Units!$J51,Mkt!BJ52),Inputs!$B$15*Mkt!BJ52+(1-Inputs!$B$15)*MIN(Mkt!BJ52,BI52*(1+Inputs!$B$18))),BI52)))</f>
        <v>1457.53390895</v>
      </c>
      <c r="BK52" s="11" t="n">
        <f aca="false">IF(BK$1&lt;Units!$P51,0,IF(AND(Units!$K51=0,BK$1=Units!$O51),Units!$R51,IF(AND(BK$1&gt;=Units!$Q51,MOD(BK$1-Units!$Q51,12)=0),IF(AND(Units!$L51=1,BK$1=Units!$Q51),IF(Units!$J51&lt;&gt;"",Units!$J51,Mkt!BK52),Inputs!$B$15*Mkt!BK52+(1-Inputs!$B$15)*MIN(Mkt!BK52,BJ52*(1+Inputs!$B$18))),BJ52)))</f>
        <v>1457.53390895</v>
      </c>
      <c r="BL52" s="11" t="n">
        <f aca="false">IF(BL$1&lt;Units!$P51,0,IF(AND(Units!$K51=0,BL$1=Units!$O51),Units!$R51,IF(AND(BL$1&gt;=Units!$Q51,MOD(BL$1-Units!$Q51,12)=0),IF(AND(Units!$L51=1,BL$1=Units!$Q51),IF(Units!$J51&lt;&gt;"",Units!$J51,Mkt!BL52),Inputs!$B$15*Mkt!BL52+(1-Inputs!$B$15)*MIN(Mkt!BL52,BK52*(1+Inputs!$B$18))),BK52)))</f>
        <v>1501.2599262185</v>
      </c>
      <c r="BM52" s="11" t="n">
        <f aca="false">IF(BM$1&lt;Units!$P51,0,IF(AND(Units!$K51=0,BM$1=Units!$O51),Units!$R51,IF(AND(BM$1&gt;=Units!$Q51,MOD(BM$1-Units!$Q51,12)=0),IF(AND(Units!$L51=1,BM$1=Units!$Q51),IF(Units!$J51&lt;&gt;"",Units!$J51,Mkt!BM52),Inputs!$B$15*Mkt!BM52+(1-Inputs!$B$15)*MIN(Mkt!BM52,BL52*(1+Inputs!$B$18))),BL52)))</f>
        <v>1501.2599262185</v>
      </c>
      <c r="BN52" s="11" t="n">
        <f aca="false">IF(BN$1&lt;Units!$P51,0,IF(AND(Units!$K51=0,BN$1=Units!$O51),Units!$R51,IF(AND(BN$1&gt;=Units!$Q51,MOD(BN$1-Units!$Q51,12)=0),IF(AND(Units!$L51=1,BN$1=Units!$Q51),IF(Units!$J51&lt;&gt;"",Units!$J51,Mkt!BN52),Inputs!$B$15*Mkt!BN52+(1-Inputs!$B$15)*MIN(Mkt!BN52,BM52*(1+Inputs!$B$18))),BM52)))</f>
        <v>1501.2599262185</v>
      </c>
      <c r="BO52" s="11" t="n">
        <f aca="false">IF(BO$1&lt;Units!$P51,0,IF(AND(Units!$K51=0,BO$1=Units!$O51),Units!$R51,IF(AND(BO$1&gt;=Units!$Q51,MOD(BO$1-Units!$Q51,12)=0),IF(AND(Units!$L51=1,BO$1=Units!$Q51),IF(Units!$J51&lt;&gt;"",Units!$J51,Mkt!BO52),Inputs!$B$15*Mkt!BO52+(1-Inputs!$B$15)*MIN(Mkt!BO52,BN52*(1+Inputs!$B$18))),BN52)))</f>
        <v>1501.2599262185</v>
      </c>
      <c r="BP52" s="11" t="n">
        <f aca="false">IF(BP$1&lt;Units!$P51,0,IF(AND(Units!$K51=0,BP$1=Units!$O51),Units!$R51,IF(AND(BP$1&gt;=Units!$Q51,MOD(BP$1-Units!$Q51,12)=0),IF(AND(Units!$L51=1,BP$1=Units!$Q51),IF(Units!$J51&lt;&gt;"",Units!$J51,Mkt!BP52),Inputs!$B$15*Mkt!BP52+(1-Inputs!$B$15)*MIN(Mkt!BP52,BO52*(1+Inputs!$B$18))),BO52)))</f>
        <v>1501.2599262185</v>
      </c>
      <c r="BQ52" s="11" t="n">
        <f aca="false">IF(BQ$1&lt;Units!$P51,0,IF(AND(Units!$K51=0,BQ$1=Units!$O51),Units!$R51,IF(AND(BQ$1&gt;=Units!$Q51,MOD(BQ$1-Units!$Q51,12)=0),IF(AND(Units!$L51=1,BQ$1=Units!$Q51),IF(Units!$J51&lt;&gt;"",Units!$J51,Mkt!BQ52),Inputs!$B$15*Mkt!BQ52+(1-Inputs!$B$15)*MIN(Mkt!BQ52,BP52*(1+Inputs!$B$18))),BP52)))</f>
        <v>1501.2599262185</v>
      </c>
      <c r="BR52" s="11" t="n">
        <f aca="false">IF(BR$1&lt;Units!$P51,0,IF(AND(Units!$K51=0,BR$1=Units!$O51),Units!$R51,IF(AND(BR$1&gt;=Units!$Q51,MOD(BR$1-Units!$Q51,12)=0),IF(AND(Units!$L51=1,BR$1=Units!$Q51),IF(Units!$J51&lt;&gt;"",Units!$J51,Mkt!BR52),Inputs!$B$15*Mkt!BR52+(1-Inputs!$B$15)*MIN(Mkt!BR52,BQ52*(1+Inputs!$B$18))),BQ52)))</f>
        <v>1501.2599262185</v>
      </c>
      <c r="BS52" s="11" t="n">
        <f aca="false">IF(BS$1&lt;Units!$P51,0,IF(AND(Units!$K51=0,BS$1=Units!$O51),Units!$R51,IF(AND(BS$1&gt;=Units!$Q51,MOD(BS$1-Units!$Q51,12)=0),IF(AND(Units!$L51=1,BS$1=Units!$Q51),IF(Units!$J51&lt;&gt;"",Units!$J51,Mkt!BS52),Inputs!$B$15*Mkt!BS52+(1-Inputs!$B$15)*MIN(Mkt!BS52,BR52*(1+Inputs!$B$18))),BR52)))</f>
        <v>1501.2599262185</v>
      </c>
      <c r="BT52" s="11" t="n">
        <f aca="false">IF(BT$1&lt;Units!$P51,0,IF(AND(Units!$K51=0,BT$1=Units!$O51),Units!$R51,IF(AND(BT$1&gt;=Units!$Q51,MOD(BT$1-Units!$Q51,12)=0),IF(AND(Units!$L51=1,BT$1=Units!$Q51),IF(Units!$J51&lt;&gt;"",Units!$J51,Mkt!BT52),Inputs!$B$15*Mkt!BT52+(1-Inputs!$B$15)*MIN(Mkt!BT52,BS52*(1+Inputs!$B$18))),BS52)))</f>
        <v>1501.2599262185</v>
      </c>
      <c r="BU52" s="11" t="n">
        <f aca="false">IF(BU$1&lt;Units!$P51,0,IF(AND(Units!$K51=0,BU$1=Units!$O51),Units!$R51,IF(AND(BU$1&gt;=Units!$Q51,MOD(BU$1-Units!$Q51,12)=0),IF(AND(Units!$L51=1,BU$1=Units!$Q51),IF(Units!$J51&lt;&gt;"",Units!$J51,Mkt!BU52),Inputs!$B$15*Mkt!BU52+(1-Inputs!$B$15)*MIN(Mkt!BU52,BT52*(1+Inputs!$B$18))),BT52)))</f>
        <v>1501.2599262185</v>
      </c>
      <c r="BV52" s="11" t="n">
        <f aca="false">IF(BV$1&lt;Units!$P51,0,IF(AND(Units!$K51=0,BV$1=Units!$O51),Units!$R51,IF(AND(BV$1&gt;=Units!$Q51,MOD(BV$1-Units!$Q51,12)=0),IF(AND(Units!$L51=1,BV$1=Units!$Q51),IF(Units!$J51&lt;&gt;"",Units!$J51,Mkt!BV52),Inputs!$B$15*Mkt!BV52+(1-Inputs!$B$15)*MIN(Mkt!BV52,BU52*(1+Inputs!$B$18))),BU52)))</f>
        <v>1501.2599262185</v>
      </c>
      <c r="BW52" s="11" t="n">
        <f aca="false">IF(BW$1&lt;Units!$P51,0,IF(AND(Units!$K51=0,BW$1=Units!$O51),Units!$R51,IF(AND(BW$1&gt;=Units!$Q51,MOD(BW$1-Units!$Q51,12)=0),IF(AND(Units!$L51=1,BW$1=Units!$Q51),IF(Units!$J51&lt;&gt;"",Units!$J51,Mkt!BW52),Inputs!$B$15*Mkt!BW52+(1-Inputs!$B$15)*MIN(Mkt!BW52,BV52*(1+Inputs!$B$18))),BV52)))</f>
        <v>1501.2599262185</v>
      </c>
      <c r="BX52" s="11" t="n">
        <f aca="false">IF(BX$1&lt;Units!$P51,0,IF(AND(Units!$K51=0,BX$1=Units!$O51),Units!$R51,IF(AND(BX$1&gt;=Units!$Q51,MOD(BX$1-Units!$Q51,12)=0),IF(AND(Units!$L51=1,BX$1=Units!$Q51),IF(Units!$J51&lt;&gt;"",Units!$J51,Mkt!BX52),Inputs!$B$15*Mkt!BX52+(1-Inputs!$B$15)*MIN(Mkt!BX52,BW52*(1+Inputs!$B$18))),BW52)))</f>
        <v>1546.29772400506</v>
      </c>
      <c r="BY52" s="11" t="n">
        <f aca="false">IF(BY$1&lt;Units!$P51,0,IF(AND(Units!$K51=0,BY$1=Units!$O51),Units!$R51,IF(AND(BY$1&gt;=Units!$Q51,MOD(BY$1-Units!$Q51,12)=0),IF(AND(Units!$L51=1,BY$1=Units!$Q51),IF(Units!$J51&lt;&gt;"",Units!$J51,Mkt!BY52),Inputs!$B$15*Mkt!BY52+(1-Inputs!$B$15)*MIN(Mkt!BY52,BX52*(1+Inputs!$B$18))),BX52)))</f>
        <v>1546.29772400506</v>
      </c>
      <c r="BZ52" s="11" t="n">
        <f aca="false">IF(BZ$1&lt;Units!$P51,0,IF(AND(Units!$K51=0,BZ$1=Units!$O51),Units!$R51,IF(AND(BZ$1&gt;=Units!$Q51,MOD(BZ$1-Units!$Q51,12)=0),IF(AND(Units!$L51=1,BZ$1=Units!$Q51),IF(Units!$J51&lt;&gt;"",Units!$J51,Mkt!BZ52),Inputs!$B$15*Mkt!BZ52+(1-Inputs!$B$15)*MIN(Mkt!BZ52,BY52*(1+Inputs!$B$18))),BY52)))</f>
        <v>1546.29772400506</v>
      </c>
      <c r="CA52" s="11" t="n">
        <f aca="false">IF(CA$1&lt;Units!$P51,0,IF(AND(Units!$K51=0,CA$1=Units!$O51),Units!$R51,IF(AND(CA$1&gt;=Units!$Q51,MOD(CA$1-Units!$Q51,12)=0),IF(AND(Units!$L51=1,CA$1=Units!$Q51),IF(Units!$J51&lt;&gt;"",Units!$J51,Mkt!CA52),Inputs!$B$15*Mkt!CA52+(1-Inputs!$B$15)*MIN(Mkt!CA52,BZ52*(1+Inputs!$B$18))),BZ52)))</f>
        <v>1546.29772400506</v>
      </c>
      <c r="CB52" s="11" t="n">
        <f aca="false">IF(CB$1&lt;Units!$P51,0,IF(AND(Units!$K51=0,CB$1=Units!$O51),Units!$R51,IF(AND(CB$1&gt;=Units!$Q51,MOD(CB$1-Units!$Q51,12)=0),IF(AND(Units!$L51=1,CB$1=Units!$Q51),IF(Units!$J51&lt;&gt;"",Units!$J51,Mkt!CB52),Inputs!$B$15*Mkt!CB52+(1-Inputs!$B$15)*MIN(Mkt!CB52,CA52*(1+Inputs!$B$18))),CA52)))</f>
        <v>1546.29772400506</v>
      </c>
      <c r="CC52" s="11" t="n">
        <f aca="false">IF(CC$1&lt;Units!$P51,0,IF(AND(Units!$K51=0,CC$1=Units!$O51),Units!$R51,IF(AND(CC$1&gt;=Units!$Q51,MOD(CC$1-Units!$Q51,12)=0),IF(AND(Units!$L51=1,CC$1=Units!$Q51),IF(Units!$J51&lt;&gt;"",Units!$J51,Mkt!CC52),Inputs!$B$15*Mkt!CC52+(1-Inputs!$B$15)*MIN(Mkt!CC52,CB52*(1+Inputs!$B$18))),CB52)))</f>
        <v>1546.29772400506</v>
      </c>
      <c r="CD52" s="11" t="n">
        <f aca="false">IF(CD$1&lt;Units!$P51,0,IF(AND(Units!$K51=0,CD$1=Units!$O51),Units!$R51,IF(AND(CD$1&gt;=Units!$Q51,MOD(CD$1-Units!$Q51,12)=0),IF(AND(Units!$L51=1,CD$1=Units!$Q51),IF(Units!$J51&lt;&gt;"",Units!$J51,Mkt!CD52),Inputs!$B$15*Mkt!CD52+(1-Inputs!$B$15)*MIN(Mkt!CD52,CC52*(1+Inputs!$B$18))),CC52)))</f>
        <v>1546.29772400506</v>
      </c>
      <c r="CE52" s="11" t="n">
        <f aca="false">IF(CE$1&lt;Units!$P51,0,IF(AND(Units!$K51=0,CE$1=Units!$O51),Units!$R51,IF(AND(CE$1&gt;=Units!$Q51,MOD(CE$1-Units!$Q51,12)=0),IF(AND(Units!$L51=1,CE$1=Units!$Q51),IF(Units!$J51&lt;&gt;"",Units!$J51,Mkt!CE52),Inputs!$B$15*Mkt!CE52+(1-Inputs!$B$15)*MIN(Mkt!CE52,CD52*(1+Inputs!$B$18))),CD52)))</f>
        <v>1546.29772400506</v>
      </c>
      <c r="CF52" s="11" t="n">
        <f aca="false">IF(CF$1&lt;Units!$P51,0,IF(AND(Units!$K51=0,CF$1=Units!$O51),Units!$R51,IF(AND(CF$1&gt;=Units!$Q51,MOD(CF$1-Units!$Q51,12)=0),IF(AND(Units!$L51=1,CF$1=Units!$Q51),IF(Units!$J51&lt;&gt;"",Units!$J51,Mkt!CF52),Inputs!$B$15*Mkt!CF52+(1-Inputs!$B$15)*MIN(Mkt!CF52,CE52*(1+Inputs!$B$18))),CE52)))</f>
        <v>1546.29772400506</v>
      </c>
      <c r="CG52" s="11" t="n">
        <f aca="false">IF(CG$1&lt;Units!$P51,0,IF(AND(Units!$K51=0,CG$1=Units!$O51),Units!$R51,IF(AND(CG$1&gt;=Units!$Q51,MOD(CG$1-Units!$Q51,12)=0),IF(AND(Units!$L51=1,CG$1=Units!$Q51),IF(Units!$J51&lt;&gt;"",Units!$J51,Mkt!CG52),Inputs!$B$15*Mkt!CG52+(1-Inputs!$B$15)*MIN(Mkt!CG52,CF52*(1+Inputs!$B$18))),CF52)))</f>
        <v>1546.29772400506</v>
      </c>
      <c r="CH52" s="11" t="n">
        <f aca="false">IF(CH$1&lt;Units!$P51,0,IF(AND(Units!$K51=0,CH$1=Units!$O51),Units!$R51,IF(AND(CH$1&gt;=Units!$Q51,MOD(CH$1-Units!$Q51,12)=0),IF(AND(Units!$L51=1,CH$1=Units!$Q51),IF(Units!$J51&lt;&gt;"",Units!$J51,Mkt!CH52),Inputs!$B$15*Mkt!CH52+(1-Inputs!$B$15)*MIN(Mkt!CH52,CG52*(1+Inputs!$B$18))),CG52)))</f>
        <v>1546.29772400506</v>
      </c>
      <c r="CI52" s="11" t="n">
        <f aca="false">IF(CI$1&lt;Units!$P51,0,IF(AND(Units!$K51=0,CI$1=Units!$O51),Units!$R51,IF(AND(CI$1&gt;=Units!$Q51,MOD(CI$1-Units!$Q51,12)=0),IF(AND(Units!$L51=1,CI$1=Units!$Q51),IF(Units!$J51&lt;&gt;"",Units!$J51,Mkt!CI52),Inputs!$B$15*Mkt!CI52+(1-Inputs!$B$15)*MIN(Mkt!CI52,CH52*(1+Inputs!$B$18))),CH52)))</f>
        <v>1546.29772400506</v>
      </c>
      <c r="CJ52" s="11" t="n">
        <f aca="false">IF(CJ$1&lt;Units!$P51,0,IF(AND(Units!$K51=0,CJ$1=Units!$O51),Units!$R51,IF(AND(CJ$1&gt;=Units!$Q51,MOD(CJ$1-Units!$Q51,12)=0),IF(AND(Units!$L51=1,CJ$1=Units!$Q51),IF(Units!$J51&lt;&gt;"",Units!$J51,Mkt!CJ52),Inputs!$B$15*Mkt!CJ52+(1-Inputs!$B$15)*MIN(Mkt!CJ52,CI52*(1+Inputs!$B$18))),CI52)))</f>
        <v>1592.68665572521</v>
      </c>
      <c r="CK52" s="11" t="n">
        <f aca="false">IF(CK$1&lt;Units!$P51,0,IF(AND(Units!$K51=0,CK$1=Units!$O51),Units!$R51,IF(AND(CK$1&gt;=Units!$Q51,MOD(CK$1-Units!$Q51,12)=0),IF(AND(Units!$L51=1,CK$1=Units!$Q51),IF(Units!$J51&lt;&gt;"",Units!$J51,Mkt!CK52),Inputs!$B$15*Mkt!CK52+(1-Inputs!$B$15)*MIN(Mkt!CK52,CJ52*(1+Inputs!$B$18))),CJ52)))</f>
        <v>1592.68665572521</v>
      </c>
      <c r="CL52" s="11" t="n">
        <f aca="false">IF(CL$1&lt;Units!$P51,0,IF(AND(Units!$K51=0,CL$1=Units!$O51),Units!$R51,IF(AND(CL$1&gt;=Units!$Q51,MOD(CL$1-Units!$Q51,12)=0),IF(AND(Units!$L51=1,CL$1=Units!$Q51),IF(Units!$J51&lt;&gt;"",Units!$J51,Mkt!CL52),Inputs!$B$15*Mkt!CL52+(1-Inputs!$B$15)*MIN(Mkt!CL52,CK52*(1+Inputs!$B$18))),CK52)))</f>
        <v>1592.68665572521</v>
      </c>
      <c r="CM52" s="11" t="n">
        <f aca="false">IF(CM$1&lt;Units!$P51,0,IF(AND(Units!$K51=0,CM$1=Units!$O51),Units!$R51,IF(AND(CM$1&gt;=Units!$Q51,MOD(CM$1-Units!$Q51,12)=0),IF(AND(Units!$L51=1,CM$1=Units!$Q51),IF(Units!$J51&lt;&gt;"",Units!$J51,Mkt!CM52),Inputs!$B$15*Mkt!CM52+(1-Inputs!$B$15)*MIN(Mkt!CM52,CL52*(1+Inputs!$B$18))),CL52)))</f>
        <v>1592.68665572521</v>
      </c>
      <c r="CN52" s="11" t="n">
        <f aca="false">IF(CN$1&lt;Units!$P51,0,IF(AND(Units!$K51=0,CN$1=Units!$O51),Units!$R51,IF(AND(CN$1&gt;=Units!$Q51,MOD(CN$1-Units!$Q51,12)=0),IF(AND(Units!$L51=1,CN$1=Units!$Q51),IF(Units!$J51&lt;&gt;"",Units!$J51,Mkt!CN52),Inputs!$B$15*Mkt!CN52+(1-Inputs!$B$15)*MIN(Mkt!CN52,CM52*(1+Inputs!$B$18))),CM52)))</f>
        <v>1592.68665572521</v>
      </c>
      <c r="CO52" s="11" t="n">
        <f aca="false">IF(CO$1&lt;Units!$P51,0,IF(AND(Units!$K51=0,CO$1=Units!$O51),Units!$R51,IF(AND(CO$1&gt;=Units!$Q51,MOD(CO$1-Units!$Q51,12)=0),IF(AND(Units!$L51=1,CO$1=Units!$Q51),IF(Units!$J51&lt;&gt;"",Units!$J51,Mkt!CO52),Inputs!$B$15*Mkt!CO52+(1-Inputs!$B$15)*MIN(Mkt!CO52,CN52*(1+Inputs!$B$18))),CN52)))</f>
        <v>1592.68665572521</v>
      </c>
      <c r="CP52" s="11" t="n">
        <f aca="false">IF(CP$1&lt;Units!$P51,0,IF(AND(Units!$K51=0,CP$1=Units!$O51),Units!$R51,IF(AND(CP$1&gt;=Units!$Q51,MOD(CP$1-Units!$Q51,12)=0),IF(AND(Units!$L51=1,CP$1=Units!$Q51),IF(Units!$J51&lt;&gt;"",Units!$J51,Mkt!CP52),Inputs!$B$15*Mkt!CP52+(1-Inputs!$B$15)*MIN(Mkt!CP52,CO52*(1+Inputs!$B$18))),CO52)))</f>
        <v>1592.68665572521</v>
      </c>
      <c r="CQ52" s="11" t="n">
        <f aca="false">IF(CQ$1&lt;Units!$P51,0,IF(AND(Units!$K51=0,CQ$1=Units!$O51),Units!$R51,IF(AND(CQ$1&gt;=Units!$Q51,MOD(CQ$1-Units!$Q51,12)=0),IF(AND(Units!$L51=1,CQ$1=Units!$Q51),IF(Units!$J51&lt;&gt;"",Units!$J51,Mkt!CQ52),Inputs!$B$15*Mkt!CQ52+(1-Inputs!$B$15)*MIN(Mkt!CQ52,CP52*(1+Inputs!$B$18))),CP52)))</f>
        <v>1592.68665572521</v>
      </c>
      <c r="CR52" s="11" t="n">
        <f aca="false">IF(CR$1&lt;Units!$P51,0,IF(AND(Units!$K51=0,CR$1=Units!$O51),Units!$R51,IF(AND(CR$1&gt;=Units!$Q51,MOD(CR$1-Units!$Q51,12)=0),IF(AND(Units!$L51=1,CR$1=Units!$Q51),IF(Units!$J51&lt;&gt;"",Units!$J51,Mkt!CR52),Inputs!$B$15*Mkt!CR52+(1-Inputs!$B$15)*MIN(Mkt!CR52,CQ52*(1+Inputs!$B$18))),CQ52)))</f>
        <v>1592.68665572521</v>
      </c>
      <c r="CS52" s="11" t="n">
        <f aca="false">IF(CS$1&lt;Units!$P51,0,IF(AND(Units!$K51=0,CS$1=Units!$O51),Units!$R51,IF(AND(CS$1&gt;=Units!$Q51,MOD(CS$1-Units!$Q51,12)=0),IF(AND(Units!$L51=1,CS$1=Units!$Q51),IF(Units!$J51&lt;&gt;"",Units!$J51,Mkt!CS52),Inputs!$B$15*Mkt!CS52+(1-Inputs!$B$15)*MIN(Mkt!CS52,CR52*(1+Inputs!$B$18))),CR52)))</f>
        <v>1592.68665572521</v>
      </c>
      <c r="CT52" s="11" t="n">
        <f aca="false">IF(CT$1&lt;Units!$P51,0,IF(AND(Units!$K51=0,CT$1=Units!$O51),Units!$R51,IF(AND(CT$1&gt;=Units!$Q51,MOD(CT$1-Units!$Q51,12)=0),IF(AND(Units!$L51=1,CT$1=Units!$Q51),IF(Units!$J51&lt;&gt;"",Units!$J51,Mkt!CT52),Inputs!$B$15*Mkt!CT52+(1-Inputs!$B$15)*MIN(Mkt!CT52,CS52*(1+Inputs!$B$18))),CS52)))</f>
        <v>1592.68665572521</v>
      </c>
      <c r="CU52" s="11" t="n">
        <f aca="false">IF(CU$1&lt;Units!$P51,0,IF(AND(Units!$K51=0,CU$1=Units!$O51),Units!$R51,IF(AND(CU$1&gt;=Units!$Q51,MOD(CU$1-Units!$Q51,12)=0),IF(AND(Units!$L51=1,CU$1=Units!$Q51),IF(Units!$J51&lt;&gt;"",Units!$J51,Mkt!CU52),Inputs!$B$15*Mkt!CU52+(1-Inputs!$B$15)*MIN(Mkt!CU52,CT52*(1+Inputs!$B$18))),CT52)))</f>
        <v>1592.68665572521</v>
      </c>
      <c r="CV52" s="11" t="n">
        <f aca="false">IF(CV$1&lt;Units!$P51,0,IF(AND(Units!$K51=0,CV$1=Units!$O51),Units!$R51,IF(AND(CV$1&gt;=Units!$Q51,MOD(CV$1-Units!$Q51,12)=0),IF(AND(Units!$L51=1,CV$1=Units!$Q51),IF(Units!$J51&lt;&gt;"",Units!$J51,Mkt!CV52),Inputs!$B$15*Mkt!CV52+(1-Inputs!$B$15)*MIN(Mkt!CV52,CU52*(1+Inputs!$B$18))),CU52)))</f>
        <v>1640.46725539696</v>
      </c>
      <c r="CW52" s="11" t="n">
        <f aca="false">IF(CW$1&lt;Units!$P51,0,IF(AND(Units!$K51=0,CW$1=Units!$O51),Units!$R51,IF(AND(CW$1&gt;=Units!$Q51,MOD(CW$1-Units!$Q51,12)=0),IF(AND(Units!$L51=1,CW$1=Units!$Q51),IF(Units!$J51&lt;&gt;"",Units!$J51,Mkt!CW52),Inputs!$B$15*Mkt!CW52+(1-Inputs!$B$15)*MIN(Mkt!CW52,CV52*(1+Inputs!$B$18))),CV52)))</f>
        <v>1640.46725539696</v>
      </c>
      <c r="CX52" s="11" t="n">
        <f aca="false">IF(CX$1&lt;Units!$P51,0,IF(AND(Units!$K51=0,CX$1=Units!$O51),Units!$R51,IF(AND(CX$1&gt;=Units!$Q51,MOD(CX$1-Units!$Q51,12)=0),IF(AND(Units!$L51=1,CX$1=Units!$Q51),IF(Units!$J51&lt;&gt;"",Units!$J51,Mkt!CX52),Inputs!$B$15*Mkt!CX52+(1-Inputs!$B$15)*MIN(Mkt!CX52,CW52*(1+Inputs!$B$18))),CW52)))</f>
        <v>1640.46725539696</v>
      </c>
      <c r="CY52" s="11" t="n">
        <f aca="false">IF(CY$1&lt;Units!$P51,0,IF(AND(Units!$K51=0,CY$1=Units!$O51),Units!$R51,IF(AND(CY$1&gt;=Units!$Q51,MOD(CY$1-Units!$Q51,12)=0),IF(AND(Units!$L51=1,CY$1=Units!$Q51),IF(Units!$J51&lt;&gt;"",Units!$J51,Mkt!CY52),Inputs!$B$15*Mkt!CY52+(1-Inputs!$B$15)*MIN(Mkt!CY52,CX52*(1+Inputs!$B$18))),CX52)))</f>
        <v>1640.46725539696</v>
      </c>
      <c r="CZ52" s="11" t="n">
        <f aca="false">IF(CZ$1&lt;Units!$P51,0,IF(AND(Units!$K51=0,CZ$1=Units!$O51),Units!$R51,IF(AND(CZ$1&gt;=Units!$Q51,MOD(CZ$1-Units!$Q51,12)=0),IF(AND(Units!$L51=1,CZ$1=Units!$Q51),IF(Units!$J51&lt;&gt;"",Units!$J51,Mkt!CZ52),Inputs!$B$15*Mkt!CZ52+(1-Inputs!$B$15)*MIN(Mkt!CZ52,CY52*(1+Inputs!$B$18))),CY52)))</f>
        <v>1640.46725539696</v>
      </c>
      <c r="DA52" s="11" t="n">
        <f aca="false">IF(DA$1&lt;Units!$P51,0,IF(AND(Units!$K51=0,DA$1=Units!$O51),Units!$R51,IF(AND(DA$1&gt;=Units!$Q51,MOD(DA$1-Units!$Q51,12)=0),IF(AND(Units!$L51=1,DA$1=Units!$Q51),IF(Units!$J51&lt;&gt;"",Units!$J51,Mkt!DA52),Inputs!$B$15*Mkt!DA52+(1-Inputs!$B$15)*MIN(Mkt!DA52,CZ52*(1+Inputs!$B$18))),CZ52)))</f>
        <v>1640.46725539696</v>
      </c>
      <c r="DB52" s="11" t="n">
        <f aca="false">IF(DB$1&lt;Units!$P51,0,IF(AND(Units!$K51=0,DB$1=Units!$O51),Units!$R51,IF(AND(DB$1&gt;=Units!$Q51,MOD(DB$1-Units!$Q51,12)=0),IF(AND(Units!$L51=1,DB$1=Units!$Q51),IF(Units!$J51&lt;&gt;"",Units!$J51,Mkt!DB52),Inputs!$B$15*Mkt!DB52+(1-Inputs!$B$15)*MIN(Mkt!DB52,DA52*(1+Inputs!$B$18))),DA52)))</f>
        <v>1640.46725539696</v>
      </c>
      <c r="DC52" s="11" t="n">
        <f aca="false">IF(DC$1&lt;Units!$P51,0,IF(AND(Units!$K51=0,DC$1=Units!$O51),Units!$R51,IF(AND(DC$1&gt;=Units!$Q51,MOD(DC$1-Units!$Q51,12)=0),IF(AND(Units!$L51=1,DC$1=Units!$Q51),IF(Units!$J51&lt;&gt;"",Units!$J51,Mkt!DC52),Inputs!$B$15*Mkt!DC52+(1-Inputs!$B$15)*MIN(Mkt!DC52,DB52*(1+Inputs!$B$18))),DB52)))</f>
        <v>1640.46725539696</v>
      </c>
      <c r="DD52" s="11" t="n">
        <f aca="false">IF(DD$1&lt;Units!$P51,0,IF(AND(Units!$K51=0,DD$1=Units!$O51),Units!$R51,IF(AND(DD$1&gt;=Units!$Q51,MOD(DD$1-Units!$Q51,12)=0),IF(AND(Units!$L51=1,DD$1=Units!$Q51),IF(Units!$J51&lt;&gt;"",Units!$J51,Mkt!DD52),Inputs!$B$15*Mkt!DD52+(1-Inputs!$B$15)*MIN(Mkt!DD52,DC52*(1+Inputs!$B$18))),DC52)))</f>
        <v>1640.46725539696</v>
      </c>
      <c r="DE52" s="11" t="n">
        <f aca="false">IF(DE$1&lt;Units!$P51,0,IF(AND(Units!$K51=0,DE$1=Units!$O51),Units!$R51,IF(AND(DE$1&gt;=Units!$Q51,MOD(DE$1-Units!$Q51,12)=0),IF(AND(Units!$L51=1,DE$1=Units!$Q51),IF(Units!$J51&lt;&gt;"",Units!$J51,Mkt!DE52),Inputs!$B$15*Mkt!DE52+(1-Inputs!$B$15)*MIN(Mkt!DE52,DD52*(1+Inputs!$B$18))),DD52)))</f>
        <v>1640.46725539696</v>
      </c>
      <c r="DF52" s="11" t="n">
        <f aca="false">IF(DF$1&lt;Units!$P51,0,IF(AND(Units!$K51=0,DF$1=Units!$O51),Units!$R51,IF(AND(DF$1&gt;=Units!$Q51,MOD(DF$1-Units!$Q51,12)=0),IF(AND(Units!$L51=1,DF$1=Units!$Q51),IF(Units!$J51&lt;&gt;"",Units!$J51,Mkt!DF52),Inputs!$B$15*Mkt!DF52+(1-Inputs!$B$15)*MIN(Mkt!DF52,DE52*(1+Inputs!$B$18))),DE52)))</f>
        <v>1640.46725539696</v>
      </c>
      <c r="DG52" s="11" t="n">
        <f aca="false">IF(DG$1&lt;Units!$P51,0,IF(AND(Units!$K51=0,DG$1=Units!$O51),Units!$R51,IF(AND(DG$1&gt;=Units!$Q51,MOD(DG$1-Units!$Q51,12)=0),IF(AND(Units!$L51=1,DG$1=Units!$Q51),IF(Units!$J51&lt;&gt;"",Units!$J51,Mkt!DG52),Inputs!$B$15*Mkt!DG52+(1-Inputs!$B$15)*MIN(Mkt!DG52,DF52*(1+Inputs!$B$18))),DF52)))</f>
        <v>1640.46725539696</v>
      </c>
      <c r="DH52" s="11" t="n">
        <f aca="false">IF(DH$1&lt;Units!$P51,0,IF(AND(Units!$K51=0,DH$1=Units!$O51),Units!$R51,IF(AND(DH$1&gt;=Units!$Q51,MOD(DH$1-Units!$Q51,12)=0),IF(AND(Units!$L51=1,DH$1=Units!$Q51),IF(Units!$J51&lt;&gt;"",Units!$J51,Mkt!DH52),Inputs!$B$15*Mkt!DH52+(1-Inputs!$B$15)*MIN(Mkt!DH52,DG52*(1+Inputs!$B$18))),DG52)))</f>
        <v>1689.68127305887</v>
      </c>
      <c r="DI52" s="11" t="n">
        <f aca="false">IF(DI$1&lt;Units!$P51,0,IF(AND(Units!$K51=0,DI$1=Units!$O51),Units!$R51,IF(AND(DI$1&gt;=Units!$Q51,MOD(DI$1-Units!$Q51,12)=0),IF(AND(Units!$L51=1,DI$1=Units!$Q51),IF(Units!$J51&lt;&gt;"",Units!$J51,Mkt!DI52),Inputs!$B$15*Mkt!DI52+(1-Inputs!$B$15)*MIN(Mkt!DI52,DH52*(1+Inputs!$B$18))),DH52)))</f>
        <v>1689.68127305887</v>
      </c>
      <c r="DJ52" s="11" t="n">
        <f aca="false">IF(DJ$1&lt;Units!$P51,0,IF(AND(Units!$K51=0,DJ$1=Units!$O51),Units!$R51,IF(AND(DJ$1&gt;=Units!$Q51,MOD(DJ$1-Units!$Q51,12)=0),IF(AND(Units!$L51=1,DJ$1=Units!$Q51),IF(Units!$J51&lt;&gt;"",Units!$J51,Mkt!DJ52),Inputs!$B$15*Mkt!DJ52+(1-Inputs!$B$15)*MIN(Mkt!DJ52,DI52*(1+Inputs!$B$18))),DI52)))</f>
        <v>1689.68127305887</v>
      </c>
      <c r="DK52" s="11" t="n">
        <f aca="false">IF(DK$1&lt;Units!$P51,0,IF(AND(Units!$K51=0,DK$1=Units!$O51),Units!$R51,IF(AND(DK$1&gt;=Units!$Q51,MOD(DK$1-Units!$Q51,12)=0),IF(AND(Units!$L51=1,DK$1=Units!$Q51),IF(Units!$J51&lt;&gt;"",Units!$J51,Mkt!DK52),Inputs!$B$15*Mkt!DK52+(1-Inputs!$B$15)*MIN(Mkt!DK52,DJ52*(1+Inputs!$B$18))),DJ52)))</f>
        <v>1689.68127305887</v>
      </c>
      <c r="DL52" s="11" t="n">
        <f aca="false">IF(DL$1&lt;Units!$P51,0,IF(AND(Units!$K51=0,DL$1=Units!$O51),Units!$R51,IF(AND(DL$1&gt;=Units!$Q51,MOD(DL$1-Units!$Q51,12)=0),IF(AND(Units!$L51=1,DL$1=Units!$Q51),IF(Units!$J51&lt;&gt;"",Units!$J51,Mkt!DL52),Inputs!$B$15*Mkt!DL52+(1-Inputs!$B$15)*MIN(Mkt!DL52,DK52*(1+Inputs!$B$18))),DK52)))</f>
        <v>1689.68127305887</v>
      </c>
      <c r="DM52" s="11" t="n">
        <f aca="false">IF(DM$1&lt;Units!$P51,0,IF(AND(Units!$K51=0,DM$1=Units!$O51),Units!$R51,IF(AND(DM$1&gt;=Units!$Q51,MOD(DM$1-Units!$Q51,12)=0),IF(AND(Units!$L51=1,DM$1=Units!$Q51),IF(Units!$J51&lt;&gt;"",Units!$J51,Mkt!DM52),Inputs!$B$15*Mkt!DM52+(1-Inputs!$B$15)*MIN(Mkt!DM52,DL52*(1+Inputs!$B$18))),DL52)))</f>
        <v>1689.68127305887</v>
      </c>
      <c r="DN52" s="11" t="n">
        <f aca="false">IF(DN$1&lt;Units!$P51,0,IF(AND(Units!$K51=0,DN$1=Units!$O51),Units!$R51,IF(AND(DN$1&gt;=Units!$Q51,MOD(DN$1-Units!$Q51,12)=0),IF(AND(Units!$L51=1,DN$1=Units!$Q51),IF(Units!$J51&lt;&gt;"",Units!$J51,Mkt!DN52),Inputs!$B$15*Mkt!DN52+(1-Inputs!$B$15)*MIN(Mkt!DN52,DM52*(1+Inputs!$B$18))),DM52)))</f>
        <v>1689.68127305887</v>
      </c>
      <c r="DO52" s="11" t="n">
        <f aca="false">IF(DO$1&lt;Units!$P51,0,IF(AND(Units!$K51=0,DO$1=Units!$O51),Units!$R51,IF(AND(DO$1&gt;=Units!$Q51,MOD(DO$1-Units!$Q51,12)=0),IF(AND(Units!$L51=1,DO$1=Units!$Q51),IF(Units!$J51&lt;&gt;"",Units!$J51,Mkt!DO52),Inputs!$B$15*Mkt!DO52+(1-Inputs!$B$15)*MIN(Mkt!DO52,DN52*(1+Inputs!$B$18))),DN52)))</f>
        <v>1689.68127305887</v>
      </c>
      <c r="DP52" s="11" t="n">
        <f aca="false">IF(DP$1&lt;Units!$P51,0,IF(AND(Units!$K51=0,DP$1=Units!$O51),Units!$R51,IF(AND(DP$1&gt;=Units!$Q51,MOD(DP$1-Units!$Q51,12)=0),IF(AND(Units!$L51=1,DP$1=Units!$Q51),IF(Units!$J51&lt;&gt;"",Units!$J51,Mkt!DP52),Inputs!$B$15*Mkt!DP52+(1-Inputs!$B$15)*MIN(Mkt!DP52,DO52*(1+Inputs!$B$18))),DO52)))</f>
        <v>1689.68127305887</v>
      </c>
      <c r="DQ52" s="11" t="n">
        <f aca="false">IF(DQ$1&lt;Units!$P51,0,IF(AND(Units!$K51=0,DQ$1=Units!$O51),Units!$R51,IF(AND(DQ$1&gt;=Units!$Q51,MOD(DQ$1-Units!$Q51,12)=0),IF(AND(Units!$L51=1,DQ$1=Units!$Q51),IF(Units!$J51&lt;&gt;"",Units!$J51,Mkt!DQ52),Inputs!$B$15*Mkt!DQ52+(1-Inputs!$B$15)*MIN(Mkt!DQ52,DP52*(1+Inputs!$B$18))),DP52)))</f>
        <v>1689.68127305887</v>
      </c>
      <c r="DR52" s="11" t="n">
        <f aca="false">IF(DR$1&lt;Units!$P51,0,IF(AND(Units!$K51=0,DR$1=Units!$O51),Units!$R51,IF(AND(DR$1&gt;=Units!$Q51,MOD(DR$1-Units!$Q51,12)=0),IF(AND(Units!$L51=1,DR$1=Units!$Q51),IF(Units!$J51&lt;&gt;"",Units!$J51,Mkt!DR52),Inputs!$B$15*Mkt!DR52+(1-Inputs!$B$15)*MIN(Mkt!DR52,DQ52*(1+Inputs!$B$18))),DQ52)))</f>
        <v>1689.68127305887</v>
      </c>
      <c r="DS52" s="11" t="n">
        <f aca="false">IF(DS$1&lt;Units!$P51,0,IF(AND(Units!$K51=0,DS$1=Units!$O51),Units!$R51,IF(AND(DS$1&gt;=Units!$Q51,MOD(DS$1-Units!$Q51,12)=0),IF(AND(Units!$L51=1,DS$1=Units!$Q51),IF(Units!$J51&lt;&gt;"",Units!$J51,Mkt!DS52),Inputs!$B$15*Mkt!DS52+(1-Inputs!$B$15)*MIN(Mkt!DS52,DR52*(1+Inputs!$B$18))),DR52)))</f>
        <v>1689.68127305887</v>
      </c>
      <c r="DT52" s="11" t="n">
        <f aca="false">IF(DT$1&lt;Units!$P51,0,IF(AND(Units!$K51=0,DT$1=Units!$O51),Units!$R51,IF(AND(DT$1&gt;=Units!$Q51,MOD(DT$1-Units!$Q51,12)=0),IF(AND(Units!$L51=1,DT$1=Units!$Q51),IF(Units!$J51&lt;&gt;"",Units!$J51,Mkt!DT52),Inputs!$B$15*Mkt!DT52+(1-Inputs!$B$15)*MIN(Mkt!DT52,DS52*(1+Inputs!$B$18))),DS52)))</f>
        <v>1740.37171125064</v>
      </c>
      <c r="DU52" s="11" t="n">
        <f aca="false">IF(DU$1&lt;Units!$P51,0,IF(AND(Units!$K51=0,DU$1=Units!$O51),Units!$R51,IF(AND(DU$1&gt;=Units!$Q51,MOD(DU$1-Units!$Q51,12)=0),IF(AND(Units!$L51=1,DU$1=Units!$Q51),IF(Units!$J51&lt;&gt;"",Units!$J51,Mkt!DU52),Inputs!$B$15*Mkt!DU52+(1-Inputs!$B$15)*MIN(Mkt!DU52,DT52*(1+Inputs!$B$18))),DT52)))</f>
        <v>1740.37171125064</v>
      </c>
      <c r="DV52" s="11" t="n">
        <f aca="false">IF(DV$1&lt;Units!$P51,0,IF(AND(Units!$K51=0,DV$1=Units!$O51),Units!$R51,IF(AND(DV$1&gt;=Units!$Q51,MOD(DV$1-Units!$Q51,12)=0),IF(AND(Units!$L51=1,DV$1=Units!$Q51),IF(Units!$J51&lt;&gt;"",Units!$J51,Mkt!DV52),Inputs!$B$15*Mkt!DV52+(1-Inputs!$B$15)*MIN(Mkt!DV52,DU52*(1+Inputs!$B$18))),DU52)))</f>
        <v>1740.37171125064</v>
      </c>
      <c r="DW52" s="11" t="n">
        <f aca="false">IF(DW$1&lt;Units!$P51,0,IF(AND(Units!$K51=0,DW$1=Units!$O51),Units!$R51,IF(AND(DW$1&gt;=Units!$Q51,MOD(DW$1-Units!$Q51,12)=0),IF(AND(Units!$L51=1,DW$1=Units!$Q51),IF(Units!$J51&lt;&gt;"",Units!$J51,Mkt!DW52),Inputs!$B$15*Mkt!DW52+(1-Inputs!$B$15)*MIN(Mkt!DW52,DV52*(1+Inputs!$B$18))),DV52)))</f>
        <v>1740.37171125064</v>
      </c>
      <c r="DX52" s="11" t="n">
        <f aca="false">IF(DX$1&lt;Units!$P51,0,IF(AND(Units!$K51=0,DX$1=Units!$O51),Units!$R51,IF(AND(DX$1&gt;=Units!$Q51,MOD(DX$1-Units!$Q51,12)=0),IF(AND(Units!$L51=1,DX$1=Units!$Q51),IF(Units!$J51&lt;&gt;"",Units!$J51,Mkt!DX52),Inputs!$B$15*Mkt!DX52+(1-Inputs!$B$15)*MIN(Mkt!DX52,DW52*(1+Inputs!$B$18))),DW52)))</f>
        <v>1740.37171125064</v>
      </c>
      <c r="DY52" s="11" t="n">
        <f aca="false">IF(DY$1&lt;Units!$P51,0,IF(AND(Units!$K51=0,DY$1=Units!$O51),Units!$R51,IF(AND(DY$1&gt;=Units!$Q51,MOD(DY$1-Units!$Q51,12)=0),IF(AND(Units!$L51=1,DY$1=Units!$Q51),IF(Units!$J51&lt;&gt;"",Units!$J51,Mkt!DY52),Inputs!$B$15*Mkt!DY52+(1-Inputs!$B$15)*MIN(Mkt!DY52,DX52*(1+Inputs!$B$18))),DX52)))</f>
        <v>1740.37171125064</v>
      </c>
      <c r="DZ52" s="11" t="n">
        <f aca="false">IF(DZ$1&lt;Units!$P51,0,IF(AND(Units!$K51=0,DZ$1=Units!$O51),Units!$R51,IF(AND(DZ$1&gt;=Units!$Q51,MOD(DZ$1-Units!$Q51,12)=0),IF(AND(Units!$L51=1,DZ$1=Units!$Q51),IF(Units!$J51&lt;&gt;"",Units!$J51,Mkt!DZ52),Inputs!$B$15*Mkt!DZ52+(1-Inputs!$B$15)*MIN(Mkt!DZ52,DY52*(1+Inputs!$B$18))),DY52)))</f>
        <v>1740.37171125064</v>
      </c>
      <c r="EA52" s="11" t="n">
        <f aca="false">IF(EA$1&lt;Units!$P51,0,IF(AND(Units!$K51=0,EA$1=Units!$O51),Units!$R51,IF(AND(EA$1&gt;=Units!$Q51,MOD(EA$1-Units!$Q51,12)=0),IF(AND(Units!$L51=1,EA$1=Units!$Q51),IF(Units!$J51&lt;&gt;"",Units!$J51,Mkt!EA52),Inputs!$B$15*Mkt!EA52+(1-Inputs!$B$15)*MIN(Mkt!EA52,DZ52*(1+Inputs!$B$18))),DZ52)))</f>
        <v>1740.37171125064</v>
      </c>
      <c r="EB52" s="11" t="n">
        <f aca="false">IF(EB$1&lt;Units!$P51,0,IF(AND(Units!$K51=0,EB$1=Units!$O51),Units!$R51,IF(AND(EB$1&gt;=Units!$Q51,MOD(EB$1-Units!$Q51,12)=0),IF(AND(Units!$L51=1,EB$1=Units!$Q51),IF(Units!$J51&lt;&gt;"",Units!$J51,Mkt!EB52),Inputs!$B$15*Mkt!EB52+(1-Inputs!$B$15)*MIN(Mkt!EB52,EA52*(1+Inputs!$B$18))),EA52)))</f>
        <v>1740.37171125064</v>
      </c>
      <c r="EC52" s="11" t="n">
        <f aca="false">IF(EC$1&lt;Units!$P51,0,IF(AND(Units!$K51=0,EC$1=Units!$O51),Units!$R51,IF(AND(EC$1&gt;=Units!$Q51,MOD(EC$1-Units!$Q51,12)=0),IF(AND(Units!$L51=1,EC$1=Units!$Q51),IF(Units!$J51&lt;&gt;"",Units!$J51,Mkt!EC52),Inputs!$B$15*Mkt!EC52+(1-Inputs!$B$15)*MIN(Mkt!EC52,EB52*(1+Inputs!$B$18))),EB52)))</f>
        <v>1740.37171125064</v>
      </c>
      <c r="ED52" s="11" t="n">
        <f aca="false">IF(ED$1&lt;Units!$P51,0,IF(AND(Units!$K51=0,ED$1=Units!$O51),Units!$R51,IF(AND(ED$1&gt;=Units!$Q51,MOD(ED$1-Units!$Q51,12)=0),IF(AND(Units!$L51=1,ED$1=Units!$Q51),IF(Units!$J51&lt;&gt;"",Units!$J51,Mkt!ED52),Inputs!$B$15*Mkt!ED52+(1-Inputs!$B$15)*MIN(Mkt!ED52,EC52*(1+Inputs!$B$18))),EC52)))</f>
        <v>1740.37171125064</v>
      </c>
    </row>
    <row r="53" customFormat="false" ht="15" hidden="false" customHeight="false" outlineLevel="0" collapsed="false">
      <c r="A53" s="22" t="n">
        <f aca="false">Units!A52</f>
        <v>221</v>
      </c>
      <c r="B53" s="24" t="n">
        <f aca="false">IF(Units!K52=1,Units!F52,0)</f>
        <v>1850</v>
      </c>
      <c r="C53" s="11" t="n">
        <f aca="false">IF(C$1&lt;Units!$P52,0,IF(AND(Units!$K52=0,C$1=Units!$O52),Units!$R52,IF(AND(C$1&gt;=Units!$Q52,MOD(C$1-Units!$Q52,12)=0),IF(AND(Units!$L52=1,C$1=Units!$Q52),IF(Units!$J52&lt;&gt;"",Units!$J52,Mkt!C53),Inputs!$B$15*Mkt!C53+(1-Inputs!$B$15)*MIN(Mkt!C53,B53*(1+Inputs!$B$18))),B53)))</f>
        <v>1850</v>
      </c>
      <c r="D53" s="11" t="n">
        <f aca="false">IF(D$1&lt;Units!$P52,0,IF(AND(Units!$K52=0,D$1=Units!$O52),Units!$R52,IF(AND(D$1&gt;=Units!$Q52,MOD(D$1-Units!$Q52,12)=0),IF(AND(Units!$L52=1,D$1=Units!$Q52),IF(Units!$J52&lt;&gt;"",Units!$J52,Mkt!D53),Inputs!$B$15*Mkt!D53+(1-Inputs!$B$15)*MIN(Mkt!D53,C53*(1+Inputs!$B$18))),C53)))</f>
        <v>1850</v>
      </c>
      <c r="E53" s="11" t="n">
        <f aca="false">IF(E$1&lt;Units!$P52,0,IF(AND(Units!$K52=0,E$1=Units!$O52),Units!$R52,IF(AND(E$1&gt;=Units!$Q52,MOD(E$1-Units!$Q52,12)=0),IF(AND(Units!$L52=1,E$1=Units!$Q52),IF(Units!$J52&lt;&gt;"",Units!$J52,Mkt!E53),Inputs!$B$15*Mkt!E53+(1-Inputs!$B$15)*MIN(Mkt!E53,D53*(1+Inputs!$B$18))),D53)))</f>
        <v>1850</v>
      </c>
      <c r="F53" s="11" t="n">
        <f aca="false">IF(F$1&lt;Units!$P52,0,IF(AND(Units!$K52=0,F$1=Units!$O52),Units!$R52,IF(AND(F$1&gt;=Units!$Q52,MOD(F$1-Units!$Q52,12)=0),IF(AND(Units!$L52=1,F$1=Units!$Q52),IF(Units!$J52&lt;&gt;"",Units!$J52,Mkt!F53),Inputs!$B$15*Mkt!F53+(1-Inputs!$B$15)*MIN(Mkt!F53,E53*(1+Inputs!$B$18))),E53)))</f>
        <v>1850</v>
      </c>
      <c r="G53" s="11" t="n">
        <f aca="false">IF(G$1&lt;Units!$P52,0,IF(AND(Units!$K52=0,G$1=Units!$O52),Units!$R52,IF(AND(G$1&gt;=Units!$Q52,MOD(G$1-Units!$Q52,12)=0),IF(AND(Units!$L52=1,G$1=Units!$Q52),IF(Units!$J52&lt;&gt;"",Units!$J52,Mkt!G53),Inputs!$B$15*Mkt!G53+(1-Inputs!$B$15)*MIN(Mkt!G53,F53*(1+Inputs!$B$18))),F53)))</f>
        <v>1850</v>
      </c>
      <c r="H53" s="11" t="n">
        <f aca="false">IF(H$1&lt;Units!$P52,0,IF(AND(Units!$K52=0,H$1=Units!$O52),Units!$R52,IF(AND(H$1&gt;=Units!$Q52,MOD(H$1-Units!$Q52,12)=0),IF(AND(Units!$L52=1,H$1=Units!$Q52),IF(Units!$J52&lt;&gt;"",Units!$J52,Mkt!H53),Inputs!$B$15*Mkt!H53+(1-Inputs!$B$15)*MIN(Mkt!H53,G53*(1+Inputs!$B$18))),G53)))</f>
        <v>1850</v>
      </c>
      <c r="I53" s="11" t="n">
        <f aca="false">IF(I$1&lt;Units!$P52,0,IF(AND(Units!$K52=0,I$1=Units!$O52),Units!$R52,IF(AND(I$1&gt;=Units!$Q52,MOD(I$1-Units!$Q52,12)=0),IF(AND(Units!$L52=1,I$1=Units!$Q52),IF(Units!$J52&lt;&gt;"",Units!$J52,Mkt!I53),Inputs!$B$15*Mkt!I53+(1-Inputs!$B$15)*MIN(Mkt!I53,H53*(1+Inputs!$B$18))),H53)))</f>
        <v>1850</v>
      </c>
      <c r="J53" s="11" t="n">
        <f aca="false">IF(J$1&lt;Units!$P52,0,IF(AND(Units!$K52=0,J$1=Units!$O52),Units!$R52,IF(AND(J$1&gt;=Units!$Q52,MOD(J$1-Units!$Q52,12)=0),IF(AND(Units!$L52=1,J$1=Units!$Q52),IF(Units!$J52&lt;&gt;"",Units!$J52,Mkt!J53),Inputs!$B$15*Mkt!J53+(1-Inputs!$B$15)*MIN(Mkt!J53,I53*(1+Inputs!$B$18))),I53)))</f>
        <v>1850</v>
      </c>
      <c r="K53" s="11" t="n">
        <f aca="false">IF(K$1&lt;Units!$P52,0,IF(AND(Units!$K52=0,K$1=Units!$O52),Units!$R52,IF(AND(K$1&gt;=Units!$Q52,MOD(K$1-Units!$Q52,12)=0),IF(AND(Units!$L52=1,K$1=Units!$Q52),IF(Units!$J52&lt;&gt;"",Units!$J52,Mkt!K53),Inputs!$B$15*Mkt!K53+(1-Inputs!$B$15)*MIN(Mkt!K53,J53*(1+Inputs!$B$18))),J53)))</f>
        <v>1850</v>
      </c>
      <c r="L53" s="11" t="n">
        <f aca="false">IF(L$1&lt;Units!$P52,0,IF(AND(Units!$K52=0,L$1=Units!$O52),Units!$R52,IF(AND(L$1&gt;=Units!$Q52,MOD(L$1-Units!$Q52,12)=0),IF(AND(Units!$L52=1,L$1=Units!$Q52),IF(Units!$J52&lt;&gt;"",Units!$J52,Mkt!L53),Inputs!$B$15*Mkt!L53+(1-Inputs!$B$15)*MIN(Mkt!L53,K53*(1+Inputs!$B$18))),K53)))</f>
        <v>1850</v>
      </c>
      <c r="M53" s="11" t="n">
        <f aca="false">IF(M$1&lt;Units!$P52,0,IF(AND(Units!$K52=0,M$1=Units!$O52),Units!$R52,IF(AND(M$1&gt;=Units!$Q52,MOD(M$1-Units!$Q52,12)=0),IF(AND(Units!$L52=1,M$1=Units!$Q52),IF(Units!$J52&lt;&gt;"",Units!$J52,Mkt!M53),Inputs!$B$15*Mkt!M53+(1-Inputs!$B$15)*MIN(Mkt!M53,L53*(1+Inputs!$B$18))),L53)))</f>
        <v>1850</v>
      </c>
      <c r="N53" s="11" t="n">
        <f aca="false">IF(N$1&lt;Units!$P52,0,IF(AND(Units!$K52=0,N$1=Units!$O52),Units!$R52,IF(AND(N$1&gt;=Units!$Q52,MOD(N$1-Units!$Q52,12)=0),IF(AND(Units!$L52=1,N$1=Units!$Q52),IF(Units!$J52&lt;&gt;"",Units!$J52,Mkt!N53),Inputs!$B$15*Mkt!N53+(1-Inputs!$B$15)*MIN(Mkt!N53,M53*(1+Inputs!$B$18))),M53)))</f>
        <v>1850</v>
      </c>
      <c r="O53" s="11" t="n">
        <f aca="false">IF(O$1&lt;Units!$P52,0,IF(AND(Units!$K52=0,O$1=Units!$O52),Units!$R52,IF(AND(O$1&gt;=Units!$Q52,MOD(O$1-Units!$Q52,12)=0),IF(AND(Units!$L52=1,O$1=Units!$Q52),IF(Units!$J52&lt;&gt;"",Units!$J52,Mkt!O53),Inputs!$B$15*Mkt!O53+(1-Inputs!$B$15)*MIN(Mkt!O53,N53*(1+Inputs!$B$18))),N53)))</f>
        <v>1850</v>
      </c>
      <c r="P53" s="11" t="n">
        <f aca="false">IF(P$1&lt;Units!$P52,0,IF(AND(Units!$K52=0,P$1=Units!$O52),Units!$R52,IF(AND(P$1&gt;=Units!$Q52,MOD(P$1-Units!$Q52,12)=0),IF(AND(Units!$L52=1,P$1=Units!$Q52),IF(Units!$J52&lt;&gt;"",Units!$J52,Mkt!P53),Inputs!$B$15*Mkt!P53+(1-Inputs!$B$15)*MIN(Mkt!P53,O53*(1+Inputs!$B$18))),O53)))</f>
        <v>1850</v>
      </c>
      <c r="Q53" s="11" t="n">
        <f aca="false">IF(Q$1&lt;Units!$P52,0,IF(AND(Units!$K52=0,Q$1=Units!$O52),Units!$R52,IF(AND(Q$1&gt;=Units!$Q52,MOD(Q$1-Units!$Q52,12)=0),IF(AND(Units!$L52=1,Q$1=Units!$Q52),IF(Units!$J52&lt;&gt;"",Units!$J52,Mkt!Q53),Inputs!$B$15*Mkt!Q53+(1-Inputs!$B$15)*MIN(Mkt!Q53,P53*(1+Inputs!$B$18))),P53)))</f>
        <v>1905.5</v>
      </c>
      <c r="R53" s="11" t="n">
        <f aca="false">IF(R$1&lt;Units!$P52,0,IF(AND(Units!$K52=0,R$1=Units!$O52),Units!$R52,IF(AND(R$1&gt;=Units!$Q52,MOD(R$1-Units!$Q52,12)=0),IF(AND(Units!$L52=1,R$1=Units!$Q52),IF(Units!$J52&lt;&gt;"",Units!$J52,Mkt!R53),Inputs!$B$15*Mkt!R53+(1-Inputs!$B$15)*MIN(Mkt!R53,Q53*(1+Inputs!$B$18))),Q53)))</f>
        <v>1905.5</v>
      </c>
      <c r="S53" s="11" t="n">
        <f aca="false">IF(S$1&lt;Units!$P52,0,IF(AND(Units!$K52=0,S$1=Units!$O52),Units!$R52,IF(AND(S$1&gt;=Units!$Q52,MOD(S$1-Units!$Q52,12)=0),IF(AND(Units!$L52=1,S$1=Units!$Q52),IF(Units!$J52&lt;&gt;"",Units!$J52,Mkt!S53),Inputs!$B$15*Mkt!S53+(1-Inputs!$B$15)*MIN(Mkt!S53,R53*(1+Inputs!$B$18))),R53)))</f>
        <v>1905.5</v>
      </c>
      <c r="T53" s="11" t="n">
        <f aca="false">IF(T$1&lt;Units!$P52,0,IF(AND(Units!$K52=0,T$1=Units!$O52),Units!$R52,IF(AND(T$1&gt;=Units!$Q52,MOD(T$1-Units!$Q52,12)=0),IF(AND(Units!$L52=1,T$1=Units!$Q52),IF(Units!$J52&lt;&gt;"",Units!$J52,Mkt!T53),Inputs!$B$15*Mkt!T53+(1-Inputs!$B$15)*MIN(Mkt!T53,S53*(1+Inputs!$B$18))),S53)))</f>
        <v>1905.5</v>
      </c>
      <c r="U53" s="11" t="n">
        <f aca="false">IF(U$1&lt;Units!$P52,0,IF(AND(Units!$K52=0,U$1=Units!$O52),Units!$R52,IF(AND(U$1&gt;=Units!$Q52,MOD(U$1-Units!$Q52,12)=0),IF(AND(Units!$L52=1,U$1=Units!$Q52),IF(Units!$J52&lt;&gt;"",Units!$J52,Mkt!U53),Inputs!$B$15*Mkt!U53+(1-Inputs!$B$15)*MIN(Mkt!U53,T53*(1+Inputs!$B$18))),T53)))</f>
        <v>1905.5</v>
      </c>
      <c r="V53" s="11" t="n">
        <f aca="false">IF(V$1&lt;Units!$P52,0,IF(AND(Units!$K52=0,V$1=Units!$O52),Units!$R52,IF(AND(V$1&gt;=Units!$Q52,MOD(V$1-Units!$Q52,12)=0),IF(AND(Units!$L52=1,V$1=Units!$Q52),IF(Units!$J52&lt;&gt;"",Units!$J52,Mkt!V53),Inputs!$B$15*Mkt!V53+(1-Inputs!$B$15)*MIN(Mkt!V53,U53*(1+Inputs!$B$18))),U53)))</f>
        <v>1905.5</v>
      </c>
      <c r="W53" s="11" t="n">
        <f aca="false">IF(W$1&lt;Units!$P52,0,IF(AND(Units!$K52=0,W$1=Units!$O52),Units!$R52,IF(AND(W$1&gt;=Units!$Q52,MOD(W$1-Units!$Q52,12)=0),IF(AND(Units!$L52=1,W$1=Units!$Q52),IF(Units!$J52&lt;&gt;"",Units!$J52,Mkt!W53),Inputs!$B$15*Mkt!W53+(1-Inputs!$B$15)*MIN(Mkt!W53,V53*(1+Inputs!$B$18))),V53)))</f>
        <v>1905.5</v>
      </c>
      <c r="X53" s="11" t="n">
        <f aca="false">IF(X$1&lt;Units!$P52,0,IF(AND(Units!$K52=0,X$1=Units!$O52),Units!$R52,IF(AND(X$1&gt;=Units!$Q52,MOD(X$1-Units!$Q52,12)=0),IF(AND(Units!$L52=1,X$1=Units!$Q52),IF(Units!$J52&lt;&gt;"",Units!$J52,Mkt!X53),Inputs!$B$15*Mkt!X53+(1-Inputs!$B$15)*MIN(Mkt!X53,W53*(1+Inputs!$B$18))),W53)))</f>
        <v>1905.5</v>
      </c>
      <c r="Y53" s="11" t="n">
        <f aca="false">IF(Y$1&lt;Units!$P52,0,IF(AND(Units!$K52=0,Y$1=Units!$O52),Units!$R52,IF(AND(Y$1&gt;=Units!$Q52,MOD(Y$1-Units!$Q52,12)=0),IF(AND(Units!$L52=1,Y$1=Units!$Q52),IF(Units!$J52&lt;&gt;"",Units!$J52,Mkt!Y53),Inputs!$B$15*Mkt!Y53+(1-Inputs!$B$15)*MIN(Mkt!Y53,X53*(1+Inputs!$B$18))),X53)))</f>
        <v>1905.5</v>
      </c>
      <c r="Z53" s="11" t="n">
        <f aca="false">IF(Z$1&lt;Units!$P52,0,IF(AND(Units!$K52=0,Z$1=Units!$O52),Units!$R52,IF(AND(Z$1&gt;=Units!$Q52,MOD(Z$1-Units!$Q52,12)=0),IF(AND(Units!$L52=1,Z$1=Units!$Q52),IF(Units!$J52&lt;&gt;"",Units!$J52,Mkt!Z53),Inputs!$B$15*Mkt!Z53+(1-Inputs!$B$15)*MIN(Mkt!Z53,Y53*(1+Inputs!$B$18))),Y53)))</f>
        <v>1905.5</v>
      </c>
      <c r="AA53" s="11" t="n">
        <f aca="false">IF(AA$1&lt;Units!$P52,0,IF(AND(Units!$K52=0,AA$1=Units!$O52),Units!$R52,IF(AND(AA$1&gt;=Units!$Q52,MOD(AA$1-Units!$Q52,12)=0),IF(AND(Units!$L52=1,AA$1=Units!$Q52),IF(Units!$J52&lt;&gt;"",Units!$J52,Mkt!AA53),Inputs!$B$15*Mkt!AA53+(1-Inputs!$B$15)*MIN(Mkt!AA53,Z53*(1+Inputs!$B$18))),Z53)))</f>
        <v>1905.5</v>
      </c>
      <c r="AB53" s="11" t="n">
        <f aca="false">IF(AB$1&lt;Units!$P52,0,IF(AND(Units!$K52=0,AB$1=Units!$O52),Units!$R52,IF(AND(AB$1&gt;=Units!$Q52,MOD(AB$1-Units!$Q52,12)=0),IF(AND(Units!$L52=1,AB$1=Units!$Q52),IF(Units!$J52&lt;&gt;"",Units!$J52,Mkt!AB53),Inputs!$B$15*Mkt!AB53+(1-Inputs!$B$15)*MIN(Mkt!AB53,AA53*(1+Inputs!$B$18))),AA53)))</f>
        <v>1905.5</v>
      </c>
      <c r="AC53" s="11" t="n">
        <f aca="false">IF(AC$1&lt;Units!$P52,0,IF(AND(Units!$K52=0,AC$1=Units!$O52),Units!$R52,IF(AND(AC$1&gt;=Units!$Q52,MOD(AC$1-Units!$Q52,12)=0),IF(AND(Units!$L52=1,AC$1=Units!$Q52),IF(Units!$J52&lt;&gt;"",Units!$J52,Mkt!AC53),Inputs!$B$15*Mkt!AC53+(1-Inputs!$B$15)*MIN(Mkt!AC53,AB53*(1+Inputs!$B$18))),AB53)))</f>
        <v>1962.665</v>
      </c>
      <c r="AD53" s="11" t="n">
        <f aca="false">IF(AD$1&lt;Units!$P52,0,IF(AND(Units!$K52=0,AD$1=Units!$O52),Units!$R52,IF(AND(AD$1&gt;=Units!$Q52,MOD(AD$1-Units!$Q52,12)=0),IF(AND(Units!$L52=1,AD$1=Units!$Q52),IF(Units!$J52&lt;&gt;"",Units!$J52,Mkt!AD53),Inputs!$B$15*Mkt!AD53+(1-Inputs!$B$15)*MIN(Mkt!AD53,AC53*(1+Inputs!$B$18))),AC53)))</f>
        <v>1962.665</v>
      </c>
      <c r="AE53" s="11" t="n">
        <f aca="false">IF(AE$1&lt;Units!$P52,0,IF(AND(Units!$K52=0,AE$1=Units!$O52),Units!$R52,IF(AND(AE$1&gt;=Units!$Q52,MOD(AE$1-Units!$Q52,12)=0),IF(AND(Units!$L52=1,AE$1=Units!$Q52),IF(Units!$J52&lt;&gt;"",Units!$J52,Mkt!AE53),Inputs!$B$15*Mkt!AE53+(1-Inputs!$B$15)*MIN(Mkt!AE53,AD53*(1+Inputs!$B$18))),AD53)))</f>
        <v>1962.665</v>
      </c>
      <c r="AF53" s="11" t="n">
        <f aca="false">IF(AF$1&lt;Units!$P52,0,IF(AND(Units!$K52=0,AF$1=Units!$O52),Units!$R52,IF(AND(AF$1&gt;=Units!$Q52,MOD(AF$1-Units!$Q52,12)=0),IF(AND(Units!$L52=1,AF$1=Units!$Q52),IF(Units!$J52&lt;&gt;"",Units!$J52,Mkt!AF53),Inputs!$B$15*Mkt!AF53+(1-Inputs!$B$15)*MIN(Mkt!AF53,AE53*(1+Inputs!$B$18))),AE53)))</f>
        <v>1962.665</v>
      </c>
      <c r="AG53" s="11" t="n">
        <f aca="false">IF(AG$1&lt;Units!$P52,0,IF(AND(Units!$K52=0,AG$1=Units!$O52),Units!$R52,IF(AND(AG$1&gt;=Units!$Q52,MOD(AG$1-Units!$Q52,12)=0),IF(AND(Units!$L52=1,AG$1=Units!$Q52),IF(Units!$J52&lt;&gt;"",Units!$J52,Mkt!AG53),Inputs!$B$15*Mkt!AG53+(1-Inputs!$B$15)*MIN(Mkt!AG53,AF53*(1+Inputs!$B$18))),AF53)))</f>
        <v>1962.665</v>
      </c>
      <c r="AH53" s="11" t="n">
        <f aca="false">IF(AH$1&lt;Units!$P52,0,IF(AND(Units!$K52=0,AH$1=Units!$O52),Units!$R52,IF(AND(AH$1&gt;=Units!$Q52,MOD(AH$1-Units!$Q52,12)=0),IF(AND(Units!$L52=1,AH$1=Units!$Q52),IF(Units!$J52&lt;&gt;"",Units!$J52,Mkt!AH53),Inputs!$B$15*Mkt!AH53+(1-Inputs!$B$15)*MIN(Mkt!AH53,AG53*(1+Inputs!$B$18))),AG53)))</f>
        <v>1962.665</v>
      </c>
      <c r="AI53" s="11" t="n">
        <f aca="false">IF(AI$1&lt;Units!$P52,0,IF(AND(Units!$K52=0,AI$1=Units!$O52),Units!$R52,IF(AND(AI$1&gt;=Units!$Q52,MOD(AI$1-Units!$Q52,12)=0),IF(AND(Units!$L52=1,AI$1=Units!$Q52),IF(Units!$J52&lt;&gt;"",Units!$J52,Mkt!AI53),Inputs!$B$15*Mkt!AI53+(1-Inputs!$B$15)*MIN(Mkt!AI53,AH53*(1+Inputs!$B$18))),AH53)))</f>
        <v>1962.665</v>
      </c>
      <c r="AJ53" s="11" t="n">
        <f aca="false">IF(AJ$1&lt;Units!$P52,0,IF(AND(Units!$K52=0,AJ$1=Units!$O52),Units!$R52,IF(AND(AJ$1&gt;=Units!$Q52,MOD(AJ$1-Units!$Q52,12)=0),IF(AND(Units!$L52=1,AJ$1=Units!$Q52),IF(Units!$J52&lt;&gt;"",Units!$J52,Mkt!AJ53),Inputs!$B$15*Mkt!AJ53+(1-Inputs!$B$15)*MIN(Mkt!AJ53,AI53*(1+Inputs!$B$18))),AI53)))</f>
        <v>1962.665</v>
      </c>
      <c r="AK53" s="11" t="n">
        <f aca="false">IF(AK$1&lt;Units!$P52,0,IF(AND(Units!$K52=0,AK$1=Units!$O52),Units!$R52,IF(AND(AK$1&gt;=Units!$Q52,MOD(AK$1-Units!$Q52,12)=0),IF(AND(Units!$L52=1,AK$1=Units!$Q52),IF(Units!$J52&lt;&gt;"",Units!$J52,Mkt!AK53),Inputs!$B$15*Mkt!AK53+(1-Inputs!$B$15)*MIN(Mkt!AK53,AJ53*(1+Inputs!$B$18))),AJ53)))</f>
        <v>1962.665</v>
      </c>
      <c r="AL53" s="11" t="n">
        <f aca="false">IF(AL$1&lt;Units!$P52,0,IF(AND(Units!$K52=0,AL$1=Units!$O52),Units!$R52,IF(AND(AL$1&gt;=Units!$Q52,MOD(AL$1-Units!$Q52,12)=0),IF(AND(Units!$L52=1,AL$1=Units!$Q52),IF(Units!$J52&lt;&gt;"",Units!$J52,Mkt!AL53),Inputs!$B$15*Mkt!AL53+(1-Inputs!$B$15)*MIN(Mkt!AL53,AK53*(1+Inputs!$B$18))),AK53)))</f>
        <v>1962.665</v>
      </c>
      <c r="AM53" s="11" t="n">
        <f aca="false">IF(AM$1&lt;Units!$P52,0,IF(AND(Units!$K52=0,AM$1=Units!$O52),Units!$R52,IF(AND(AM$1&gt;=Units!$Q52,MOD(AM$1-Units!$Q52,12)=0),IF(AND(Units!$L52=1,AM$1=Units!$Q52),IF(Units!$J52&lt;&gt;"",Units!$J52,Mkt!AM53),Inputs!$B$15*Mkt!AM53+(1-Inputs!$B$15)*MIN(Mkt!AM53,AL53*(1+Inputs!$B$18))),AL53)))</f>
        <v>1962.665</v>
      </c>
      <c r="AN53" s="11" t="n">
        <f aca="false">IF(AN$1&lt;Units!$P52,0,IF(AND(Units!$K52=0,AN$1=Units!$O52),Units!$R52,IF(AND(AN$1&gt;=Units!$Q52,MOD(AN$1-Units!$Q52,12)=0),IF(AND(Units!$L52=1,AN$1=Units!$Q52),IF(Units!$J52&lt;&gt;"",Units!$J52,Mkt!AN53),Inputs!$B$15*Mkt!AN53+(1-Inputs!$B$15)*MIN(Mkt!AN53,AM53*(1+Inputs!$B$18))),AM53)))</f>
        <v>1962.665</v>
      </c>
      <c r="AO53" s="11" t="n">
        <f aca="false">IF(AO$1&lt;Units!$P52,0,IF(AND(Units!$K52=0,AO$1=Units!$O52),Units!$R52,IF(AND(AO$1&gt;=Units!$Q52,MOD(AO$1-Units!$Q52,12)=0),IF(AND(Units!$L52=1,AO$1=Units!$Q52),IF(Units!$J52&lt;&gt;"",Units!$J52,Mkt!AO53),Inputs!$B$15*Mkt!AO53+(1-Inputs!$B$15)*MIN(Mkt!AO53,AN53*(1+Inputs!$B$18))),AN53)))</f>
        <v>2021.54495</v>
      </c>
      <c r="AP53" s="11" t="n">
        <f aca="false">IF(AP$1&lt;Units!$P52,0,IF(AND(Units!$K52=0,AP$1=Units!$O52),Units!$R52,IF(AND(AP$1&gt;=Units!$Q52,MOD(AP$1-Units!$Q52,12)=0),IF(AND(Units!$L52=1,AP$1=Units!$Q52),IF(Units!$J52&lt;&gt;"",Units!$J52,Mkt!AP53),Inputs!$B$15*Mkt!AP53+(1-Inputs!$B$15)*MIN(Mkt!AP53,AO53*(1+Inputs!$B$18))),AO53)))</f>
        <v>2021.54495</v>
      </c>
      <c r="AQ53" s="11" t="n">
        <f aca="false">IF(AQ$1&lt;Units!$P52,0,IF(AND(Units!$K52=0,AQ$1=Units!$O52),Units!$R52,IF(AND(AQ$1&gt;=Units!$Q52,MOD(AQ$1-Units!$Q52,12)=0),IF(AND(Units!$L52=1,AQ$1=Units!$Q52),IF(Units!$J52&lt;&gt;"",Units!$J52,Mkt!AQ53),Inputs!$B$15*Mkt!AQ53+(1-Inputs!$B$15)*MIN(Mkt!AQ53,AP53*(1+Inputs!$B$18))),AP53)))</f>
        <v>2021.54495</v>
      </c>
      <c r="AR53" s="11" t="n">
        <f aca="false">IF(AR$1&lt;Units!$P52,0,IF(AND(Units!$K52=0,AR$1=Units!$O52),Units!$R52,IF(AND(AR$1&gt;=Units!$Q52,MOD(AR$1-Units!$Q52,12)=0),IF(AND(Units!$L52=1,AR$1=Units!$Q52),IF(Units!$J52&lt;&gt;"",Units!$J52,Mkt!AR53),Inputs!$B$15*Mkt!AR53+(1-Inputs!$B$15)*MIN(Mkt!AR53,AQ53*(1+Inputs!$B$18))),AQ53)))</f>
        <v>2021.54495</v>
      </c>
      <c r="AS53" s="11" t="n">
        <f aca="false">IF(AS$1&lt;Units!$P52,0,IF(AND(Units!$K52=0,AS$1=Units!$O52),Units!$R52,IF(AND(AS$1&gt;=Units!$Q52,MOD(AS$1-Units!$Q52,12)=0),IF(AND(Units!$L52=1,AS$1=Units!$Q52),IF(Units!$J52&lt;&gt;"",Units!$J52,Mkt!AS53),Inputs!$B$15*Mkt!AS53+(1-Inputs!$B$15)*MIN(Mkt!AS53,AR53*(1+Inputs!$B$18))),AR53)))</f>
        <v>2021.54495</v>
      </c>
      <c r="AT53" s="11" t="n">
        <f aca="false">IF(AT$1&lt;Units!$P52,0,IF(AND(Units!$K52=0,AT$1=Units!$O52),Units!$R52,IF(AND(AT$1&gt;=Units!$Q52,MOD(AT$1-Units!$Q52,12)=0),IF(AND(Units!$L52=1,AT$1=Units!$Q52),IF(Units!$J52&lt;&gt;"",Units!$J52,Mkt!AT53),Inputs!$B$15*Mkt!AT53+(1-Inputs!$B$15)*MIN(Mkt!AT53,AS53*(1+Inputs!$B$18))),AS53)))</f>
        <v>2021.54495</v>
      </c>
      <c r="AU53" s="11" t="n">
        <f aca="false">IF(AU$1&lt;Units!$P52,0,IF(AND(Units!$K52=0,AU$1=Units!$O52),Units!$R52,IF(AND(AU$1&gt;=Units!$Q52,MOD(AU$1-Units!$Q52,12)=0),IF(AND(Units!$L52=1,AU$1=Units!$Q52),IF(Units!$J52&lt;&gt;"",Units!$J52,Mkt!AU53),Inputs!$B$15*Mkt!AU53+(1-Inputs!$B$15)*MIN(Mkt!AU53,AT53*(1+Inputs!$B$18))),AT53)))</f>
        <v>2021.54495</v>
      </c>
      <c r="AV53" s="11" t="n">
        <f aca="false">IF(AV$1&lt;Units!$P52,0,IF(AND(Units!$K52=0,AV$1=Units!$O52),Units!$R52,IF(AND(AV$1&gt;=Units!$Q52,MOD(AV$1-Units!$Q52,12)=0),IF(AND(Units!$L52=1,AV$1=Units!$Q52),IF(Units!$J52&lt;&gt;"",Units!$J52,Mkt!AV53),Inputs!$B$15*Mkt!AV53+(1-Inputs!$B$15)*MIN(Mkt!AV53,AU53*(1+Inputs!$B$18))),AU53)))</f>
        <v>2021.54495</v>
      </c>
      <c r="AW53" s="11" t="n">
        <f aca="false">IF(AW$1&lt;Units!$P52,0,IF(AND(Units!$K52=0,AW$1=Units!$O52),Units!$R52,IF(AND(AW$1&gt;=Units!$Q52,MOD(AW$1-Units!$Q52,12)=0),IF(AND(Units!$L52=1,AW$1=Units!$Q52),IF(Units!$J52&lt;&gt;"",Units!$J52,Mkt!AW53),Inputs!$B$15*Mkt!AW53+(1-Inputs!$B$15)*MIN(Mkt!AW53,AV53*(1+Inputs!$B$18))),AV53)))</f>
        <v>2021.54495</v>
      </c>
      <c r="AX53" s="11" t="n">
        <f aca="false">IF(AX$1&lt;Units!$P52,0,IF(AND(Units!$K52=0,AX$1=Units!$O52),Units!$R52,IF(AND(AX$1&gt;=Units!$Q52,MOD(AX$1-Units!$Q52,12)=0),IF(AND(Units!$L52=1,AX$1=Units!$Q52),IF(Units!$J52&lt;&gt;"",Units!$J52,Mkt!AX53),Inputs!$B$15*Mkt!AX53+(1-Inputs!$B$15)*MIN(Mkt!AX53,AW53*(1+Inputs!$B$18))),AW53)))</f>
        <v>2021.54495</v>
      </c>
      <c r="AY53" s="11" t="n">
        <f aca="false">IF(AY$1&lt;Units!$P52,0,IF(AND(Units!$K52=0,AY$1=Units!$O52),Units!$R52,IF(AND(AY$1&gt;=Units!$Q52,MOD(AY$1-Units!$Q52,12)=0),IF(AND(Units!$L52=1,AY$1=Units!$Q52),IF(Units!$J52&lt;&gt;"",Units!$J52,Mkt!AY53),Inputs!$B$15*Mkt!AY53+(1-Inputs!$B$15)*MIN(Mkt!AY53,AX53*(1+Inputs!$B$18))),AX53)))</f>
        <v>2021.54495</v>
      </c>
      <c r="AZ53" s="11" t="n">
        <f aca="false">IF(AZ$1&lt;Units!$P52,0,IF(AND(Units!$K52=0,AZ$1=Units!$O52),Units!$R52,IF(AND(AZ$1&gt;=Units!$Q52,MOD(AZ$1-Units!$Q52,12)=0),IF(AND(Units!$L52=1,AZ$1=Units!$Q52),IF(Units!$J52&lt;&gt;"",Units!$J52,Mkt!AZ53),Inputs!$B$15*Mkt!AZ53+(1-Inputs!$B$15)*MIN(Mkt!AZ53,AY53*(1+Inputs!$B$18))),AY53)))</f>
        <v>2021.54495</v>
      </c>
      <c r="BA53" s="11" t="n">
        <f aca="false">IF(BA$1&lt;Units!$P52,0,IF(AND(Units!$K52=0,BA$1=Units!$O52),Units!$R52,IF(AND(BA$1&gt;=Units!$Q52,MOD(BA$1-Units!$Q52,12)=0),IF(AND(Units!$L52=1,BA$1=Units!$Q52),IF(Units!$J52&lt;&gt;"",Units!$J52,Mkt!BA53),Inputs!$B$15*Mkt!BA53+(1-Inputs!$B$15)*MIN(Mkt!BA53,AZ53*(1+Inputs!$B$18))),AZ53)))</f>
        <v>2082.1912985</v>
      </c>
      <c r="BB53" s="11" t="n">
        <f aca="false">IF(BB$1&lt;Units!$P52,0,IF(AND(Units!$K52=0,BB$1=Units!$O52),Units!$R52,IF(AND(BB$1&gt;=Units!$Q52,MOD(BB$1-Units!$Q52,12)=0),IF(AND(Units!$L52=1,BB$1=Units!$Q52),IF(Units!$J52&lt;&gt;"",Units!$J52,Mkt!BB53),Inputs!$B$15*Mkt!BB53+(1-Inputs!$B$15)*MIN(Mkt!BB53,BA53*(1+Inputs!$B$18))),BA53)))</f>
        <v>2082.1912985</v>
      </c>
      <c r="BC53" s="11" t="n">
        <f aca="false">IF(BC$1&lt;Units!$P52,0,IF(AND(Units!$K52=0,BC$1=Units!$O52),Units!$R52,IF(AND(BC$1&gt;=Units!$Q52,MOD(BC$1-Units!$Q52,12)=0),IF(AND(Units!$L52=1,BC$1=Units!$Q52),IF(Units!$J52&lt;&gt;"",Units!$J52,Mkt!BC53),Inputs!$B$15*Mkt!BC53+(1-Inputs!$B$15)*MIN(Mkt!BC53,BB53*(1+Inputs!$B$18))),BB53)))</f>
        <v>2082.1912985</v>
      </c>
      <c r="BD53" s="11" t="n">
        <f aca="false">IF(BD$1&lt;Units!$P52,0,IF(AND(Units!$K52=0,BD$1=Units!$O52),Units!$R52,IF(AND(BD$1&gt;=Units!$Q52,MOD(BD$1-Units!$Q52,12)=0),IF(AND(Units!$L52=1,BD$1=Units!$Q52),IF(Units!$J52&lt;&gt;"",Units!$J52,Mkt!BD53),Inputs!$B$15*Mkt!BD53+(1-Inputs!$B$15)*MIN(Mkt!BD53,BC53*(1+Inputs!$B$18))),BC53)))</f>
        <v>2082.1912985</v>
      </c>
      <c r="BE53" s="11" t="n">
        <f aca="false">IF(BE$1&lt;Units!$P52,0,IF(AND(Units!$K52=0,BE$1=Units!$O52),Units!$R52,IF(AND(BE$1&gt;=Units!$Q52,MOD(BE$1-Units!$Q52,12)=0),IF(AND(Units!$L52=1,BE$1=Units!$Q52),IF(Units!$J52&lt;&gt;"",Units!$J52,Mkt!BE53),Inputs!$B$15*Mkt!BE53+(1-Inputs!$B$15)*MIN(Mkt!BE53,BD53*(1+Inputs!$B$18))),BD53)))</f>
        <v>2082.1912985</v>
      </c>
      <c r="BF53" s="11" t="n">
        <f aca="false">IF(BF$1&lt;Units!$P52,0,IF(AND(Units!$K52=0,BF$1=Units!$O52),Units!$R52,IF(AND(BF$1&gt;=Units!$Q52,MOD(BF$1-Units!$Q52,12)=0),IF(AND(Units!$L52=1,BF$1=Units!$Q52),IF(Units!$J52&lt;&gt;"",Units!$J52,Mkt!BF53),Inputs!$B$15*Mkt!BF53+(1-Inputs!$B$15)*MIN(Mkt!BF53,BE53*(1+Inputs!$B$18))),BE53)))</f>
        <v>2082.1912985</v>
      </c>
      <c r="BG53" s="11" t="n">
        <f aca="false">IF(BG$1&lt;Units!$P52,0,IF(AND(Units!$K52=0,BG$1=Units!$O52),Units!$R52,IF(AND(BG$1&gt;=Units!$Q52,MOD(BG$1-Units!$Q52,12)=0),IF(AND(Units!$L52=1,BG$1=Units!$Q52),IF(Units!$J52&lt;&gt;"",Units!$J52,Mkt!BG53),Inputs!$B$15*Mkt!BG53+(1-Inputs!$B$15)*MIN(Mkt!BG53,BF53*(1+Inputs!$B$18))),BF53)))</f>
        <v>2082.1912985</v>
      </c>
      <c r="BH53" s="11" t="n">
        <f aca="false">IF(BH$1&lt;Units!$P52,0,IF(AND(Units!$K52=0,BH$1=Units!$O52),Units!$R52,IF(AND(BH$1&gt;=Units!$Q52,MOD(BH$1-Units!$Q52,12)=0),IF(AND(Units!$L52=1,BH$1=Units!$Q52),IF(Units!$J52&lt;&gt;"",Units!$J52,Mkt!BH53),Inputs!$B$15*Mkt!BH53+(1-Inputs!$B$15)*MIN(Mkt!BH53,BG53*(1+Inputs!$B$18))),BG53)))</f>
        <v>2082.1912985</v>
      </c>
      <c r="BI53" s="11" t="n">
        <f aca="false">IF(BI$1&lt;Units!$P52,0,IF(AND(Units!$K52=0,BI$1=Units!$O52),Units!$R52,IF(AND(BI$1&gt;=Units!$Q52,MOD(BI$1-Units!$Q52,12)=0),IF(AND(Units!$L52=1,BI$1=Units!$Q52),IF(Units!$J52&lt;&gt;"",Units!$J52,Mkt!BI53),Inputs!$B$15*Mkt!BI53+(1-Inputs!$B$15)*MIN(Mkt!BI53,BH53*(1+Inputs!$B$18))),BH53)))</f>
        <v>2082.1912985</v>
      </c>
      <c r="BJ53" s="11" t="n">
        <f aca="false">IF(BJ$1&lt;Units!$P52,0,IF(AND(Units!$K52=0,BJ$1=Units!$O52),Units!$R52,IF(AND(BJ$1&gt;=Units!$Q52,MOD(BJ$1-Units!$Q52,12)=0),IF(AND(Units!$L52=1,BJ$1=Units!$Q52),IF(Units!$J52&lt;&gt;"",Units!$J52,Mkt!BJ53),Inputs!$B$15*Mkt!BJ53+(1-Inputs!$B$15)*MIN(Mkt!BJ53,BI53*(1+Inputs!$B$18))),BI53)))</f>
        <v>2082.1912985</v>
      </c>
      <c r="BK53" s="11" t="n">
        <f aca="false">IF(BK$1&lt;Units!$P52,0,IF(AND(Units!$K52=0,BK$1=Units!$O52),Units!$R52,IF(AND(BK$1&gt;=Units!$Q52,MOD(BK$1-Units!$Q52,12)=0),IF(AND(Units!$L52=1,BK$1=Units!$Q52),IF(Units!$J52&lt;&gt;"",Units!$J52,Mkt!BK53),Inputs!$B$15*Mkt!BK53+(1-Inputs!$B$15)*MIN(Mkt!BK53,BJ53*(1+Inputs!$B$18))),BJ53)))</f>
        <v>2082.1912985</v>
      </c>
      <c r="BL53" s="11" t="n">
        <f aca="false">IF(BL$1&lt;Units!$P52,0,IF(AND(Units!$K52=0,BL$1=Units!$O52),Units!$R52,IF(AND(BL$1&gt;=Units!$Q52,MOD(BL$1-Units!$Q52,12)=0),IF(AND(Units!$L52=1,BL$1=Units!$Q52),IF(Units!$J52&lt;&gt;"",Units!$J52,Mkt!BL53),Inputs!$B$15*Mkt!BL53+(1-Inputs!$B$15)*MIN(Mkt!BL53,BK53*(1+Inputs!$B$18))),BK53)))</f>
        <v>2082.1912985</v>
      </c>
      <c r="BM53" s="11" t="n">
        <f aca="false">IF(BM$1&lt;Units!$P52,0,IF(AND(Units!$K52=0,BM$1=Units!$O52),Units!$R52,IF(AND(BM$1&gt;=Units!$Q52,MOD(BM$1-Units!$Q52,12)=0),IF(AND(Units!$L52=1,BM$1=Units!$Q52),IF(Units!$J52&lt;&gt;"",Units!$J52,Mkt!BM53),Inputs!$B$15*Mkt!BM53+(1-Inputs!$B$15)*MIN(Mkt!BM53,BL53*(1+Inputs!$B$18))),BL53)))</f>
        <v>2144.657037455</v>
      </c>
      <c r="BN53" s="11" t="n">
        <f aca="false">IF(BN$1&lt;Units!$P52,0,IF(AND(Units!$K52=0,BN$1=Units!$O52),Units!$R52,IF(AND(BN$1&gt;=Units!$Q52,MOD(BN$1-Units!$Q52,12)=0),IF(AND(Units!$L52=1,BN$1=Units!$Q52),IF(Units!$J52&lt;&gt;"",Units!$J52,Mkt!BN53),Inputs!$B$15*Mkt!BN53+(1-Inputs!$B$15)*MIN(Mkt!BN53,BM53*(1+Inputs!$B$18))),BM53)))</f>
        <v>2144.657037455</v>
      </c>
      <c r="BO53" s="11" t="n">
        <f aca="false">IF(BO$1&lt;Units!$P52,0,IF(AND(Units!$K52=0,BO$1=Units!$O52),Units!$R52,IF(AND(BO$1&gt;=Units!$Q52,MOD(BO$1-Units!$Q52,12)=0),IF(AND(Units!$L52=1,BO$1=Units!$Q52),IF(Units!$J52&lt;&gt;"",Units!$J52,Mkt!BO53),Inputs!$B$15*Mkt!BO53+(1-Inputs!$B$15)*MIN(Mkt!BO53,BN53*(1+Inputs!$B$18))),BN53)))</f>
        <v>2144.657037455</v>
      </c>
      <c r="BP53" s="11" t="n">
        <f aca="false">IF(BP$1&lt;Units!$P52,0,IF(AND(Units!$K52=0,BP$1=Units!$O52),Units!$R52,IF(AND(BP$1&gt;=Units!$Q52,MOD(BP$1-Units!$Q52,12)=0),IF(AND(Units!$L52=1,BP$1=Units!$Q52),IF(Units!$J52&lt;&gt;"",Units!$J52,Mkt!BP53),Inputs!$B$15*Mkt!BP53+(1-Inputs!$B$15)*MIN(Mkt!BP53,BO53*(1+Inputs!$B$18))),BO53)))</f>
        <v>2144.657037455</v>
      </c>
      <c r="BQ53" s="11" t="n">
        <f aca="false">IF(BQ$1&lt;Units!$P52,0,IF(AND(Units!$K52=0,BQ$1=Units!$O52),Units!$R52,IF(AND(BQ$1&gt;=Units!$Q52,MOD(BQ$1-Units!$Q52,12)=0),IF(AND(Units!$L52=1,BQ$1=Units!$Q52),IF(Units!$J52&lt;&gt;"",Units!$J52,Mkt!BQ53),Inputs!$B$15*Mkt!BQ53+(1-Inputs!$B$15)*MIN(Mkt!BQ53,BP53*(1+Inputs!$B$18))),BP53)))</f>
        <v>2144.657037455</v>
      </c>
      <c r="BR53" s="11" t="n">
        <f aca="false">IF(BR$1&lt;Units!$P52,0,IF(AND(Units!$K52=0,BR$1=Units!$O52),Units!$R52,IF(AND(BR$1&gt;=Units!$Q52,MOD(BR$1-Units!$Q52,12)=0),IF(AND(Units!$L52=1,BR$1=Units!$Q52),IF(Units!$J52&lt;&gt;"",Units!$J52,Mkt!BR53),Inputs!$B$15*Mkt!BR53+(1-Inputs!$B$15)*MIN(Mkt!BR53,BQ53*(1+Inputs!$B$18))),BQ53)))</f>
        <v>2144.657037455</v>
      </c>
      <c r="BS53" s="11" t="n">
        <f aca="false">IF(BS$1&lt;Units!$P52,0,IF(AND(Units!$K52=0,BS$1=Units!$O52),Units!$R52,IF(AND(BS$1&gt;=Units!$Q52,MOD(BS$1-Units!$Q52,12)=0),IF(AND(Units!$L52=1,BS$1=Units!$Q52),IF(Units!$J52&lt;&gt;"",Units!$J52,Mkt!BS53),Inputs!$B$15*Mkt!BS53+(1-Inputs!$B$15)*MIN(Mkt!BS53,BR53*(1+Inputs!$B$18))),BR53)))</f>
        <v>2144.657037455</v>
      </c>
      <c r="BT53" s="11" t="n">
        <f aca="false">IF(BT$1&lt;Units!$P52,0,IF(AND(Units!$K52=0,BT$1=Units!$O52),Units!$R52,IF(AND(BT$1&gt;=Units!$Q52,MOD(BT$1-Units!$Q52,12)=0),IF(AND(Units!$L52=1,BT$1=Units!$Q52),IF(Units!$J52&lt;&gt;"",Units!$J52,Mkt!BT53),Inputs!$B$15*Mkt!BT53+(1-Inputs!$B$15)*MIN(Mkt!BT53,BS53*(1+Inputs!$B$18))),BS53)))</f>
        <v>2144.657037455</v>
      </c>
      <c r="BU53" s="11" t="n">
        <f aca="false">IF(BU$1&lt;Units!$P52,0,IF(AND(Units!$K52=0,BU$1=Units!$O52),Units!$R52,IF(AND(BU$1&gt;=Units!$Q52,MOD(BU$1-Units!$Q52,12)=0),IF(AND(Units!$L52=1,BU$1=Units!$Q52),IF(Units!$J52&lt;&gt;"",Units!$J52,Mkt!BU53),Inputs!$B$15*Mkt!BU53+(1-Inputs!$B$15)*MIN(Mkt!BU53,BT53*(1+Inputs!$B$18))),BT53)))</f>
        <v>2144.657037455</v>
      </c>
      <c r="BV53" s="11" t="n">
        <f aca="false">IF(BV$1&lt;Units!$P52,0,IF(AND(Units!$K52=0,BV$1=Units!$O52),Units!$R52,IF(AND(BV$1&gt;=Units!$Q52,MOD(BV$1-Units!$Q52,12)=0),IF(AND(Units!$L52=1,BV$1=Units!$Q52),IF(Units!$J52&lt;&gt;"",Units!$J52,Mkt!BV53),Inputs!$B$15*Mkt!BV53+(1-Inputs!$B$15)*MIN(Mkt!BV53,BU53*(1+Inputs!$B$18))),BU53)))</f>
        <v>2144.657037455</v>
      </c>
      <c r="BW53" s="11" t="n">
        <f aca="false">IF(BW$1&lt;Units!$P52,0,IF(AND(Units!$K52=0,BW$1=Units!$O52),Units!$R52,IF(AND(BW$1&gt;=Units!$Q52,MOD(BW$1-Units!$Q52,12)=0),IF(AND(Units!$L52=1,BW$1=Units!$Q52),IF(Units!$J52&lt;&gt;"",Units!$J52,Mkt!BW53),Inputs!$B$15*Mkt!BW53+(1-Inputs!$B$15)*MIN(Mkt!BW53,BV53*(1+Inputs!$B$18))),BV53)))</f>
        <v>2144.657037455</v>
      </c>
      <c r="BX53" s="11" t="n">
        <f aca="false">IF(BX$1&lt;Units!$P52,0,IF(AND(Units!$K52=0,BX$1=Units!$O52),Units!$R52,IF(AND(BX$1&gt;=Units!$Q52,MOD(BX$1-Units!$Q52,12)=0),IF(AND(Units!$L52=1,BX$1=Units!$Q52),IF(Units!$J52&lt;&gt;"",Units!$J52,Mkt!BX53),Inputs!$B$15*Mkt!BX53+(1-Inputs!$B$15)*MIN(Mkt!BX53,BW53*(1+Inputs!$B$18))),BW53)))</f>
        <v>2144.657037455</v>
      </c>
      <c r="BY53" s="11" t="n">
        <f aca="false">IF(BY$1&lt;Units!$P52,0,IF(AND(Units!$K52=0,BY$1=Units!$O52),Units!$R52,IF(AND(BY$1&gt;=Units!$Q52,MOD(BY$1-Units!$Q52,12)=0),IF(AND(Units!$L52=1,BY$1=Units!$Q52),IF(Units!$J52&lt;&gt;"",Units!$J52,Mkt!BY53),Inputs!$B$15*Mkt!BY53+(1-Inputs!$B$15)*MIN(Mkt!BY53,BX53*(1+Inputs!$B$18))),BX53)))</f>
        <v>2208.99674857865</v>
      </c>
      <c r="BZ53" s="11" t="n">
        <f aca="false">IF(BZ$1&lt;Units!$P52,0,IF(AND(Units!$K52=0,BZ$1=Units!$O52),Units!$R52,IF(AND(BZ$1&gt;=Units!$Q52,MOD(BZ$1-Units!$Q52,12)=0),IF(AND(Units!$L52=1,BZ$1=Units!$Q52),IF(Units!$J52&lt;&gt;"",Units!$J52,Mkt!BZ53),Inputs!$B$15*Mkt!BZ53+(1-Inputs!$B$15)*MIN(Mkt!BZ53,BY53*(1+Inputs!$B$18))),BY53)))</f>
        <v>2208.99674857865</v>
      </c>
      <c r="CA53" s="11" t="n">
        <f aca="false">IF(CA$1&lt;Units!$P52,0,IF(AND(Units!$K52=0,CA$1=Units!$O52),Units!$R52,IF(AND(CA$1&gt;=Units!$Q52,MOD(CA$1-Units!$Q52,12)=0),IF(AND(Units!$L52=1,CA$1=Units!$Q52),IF(Units!$J52&lt;&gt;"",Units!$J52,Mkt!CA53),Inputs!$B$15*Mkt!CA53+(1-Inputs!$B$15)*MIN(Mkt!CA53,BZ53*(1+Inputs!$B$18))),BZ53)))</f>
        <v>2208.99674857865</v>
      </c>
      <c r="CB53" s="11" t="n">
        <f aca="false">IF(CB$1&lt;Units!$P52,0,IF(AND(Units!$K52=0,CB$1=Units!$O52),Units!$R52,IF(AND(CB$1&gt;=Units!$Q52,MOD(CB$1-Units!$Q52,12)=0),IF(AND(Units!$L52=1,CB$1=Units!$Q52),IF(Units!$J52&lt;&gt;"",Units!$J52,Mkt!CB53),Inputs!$B$15*Mkt!CB53+(1-Inputs!$B$15)*MIN(Mkt!CB53,CA53*(1+Inputs!$B$18))),CA53)))</f>
        <v>2208.99674857865</v>
      </c>
      <c r="CC53" s="11" t="n">
        <f aca="false">IF(CC$1&lt;Units!$P52,0,IF(AND(Units!$K52=0,CC$1=Units!$O52),Units!$R52,IF(AND(CC$1&gt;=Units!$Q52,MOD(CC$1-Units!$Q52,12)=0),IF(AND(Units!$L52=1,CC$1=Units!$Q52),IF(Units!$J52&lt;&gt;"",Units!$J52,Mkt!CC53),Inputs!$B$15*Mkt!CC53+(1-Inputs!$B$15)*MIN(Mkt!CC53,CB53*(1+Inputs!$B$18))),CB53)))</f>
        <v>2208.99674857865</v>
      </c>
      <c r="CD53" s="11" t="n">
        <f aca="false">IF(CD$1&lt;Units!$P52,0,IF(AND(Units!$K52=0,CD$1=Units!$O52),Units!$R52,IF(AND(CD$1&gt;=Units!$Q52,MOD(CD$1-Units!$Q52,12)=0),IF(AND(Units!$L52=1,CD$1=Units!$Q52),IF(Units!$J52&lt;&gt;"",Units!$J52,Mkt!CD53),Inputs!$B$15*Mkt!CD53+(1-Inputs!$B$15)*MIN(Mkt!CD53,CC53*(1+Inputs!$B$18))),CC53)))</f>
        <v>2208.99674857865</v>
      </c>
      <c r="CE53" s="11" t="n">
        <f aca="false">IF(CE$1&lt;Units!$P52,0,IF(AND(Units!$K52=0,CE$1=Units!$O52),Units!$R52,IF(AND(CE$1&gt;=Units!$Q52,MOD(CE$1-Units!$Q52,12)=0),IF(AND(Units!$L52=1,CE$1=Units!$Q52),IF(Units!$J52&lt;&gt;"",Units!$J52,Mkt!CE53),Inputs!$B$15*Mkt!CE53+(1-Inputs!$B$15)*MIN(Mkt!CE53,CD53*(1+Inputs!$B$18))),CD53)))</f>
        <v>2208.99674857865</v>
      </c>
      <c r="CF53" s="11" t="n">
        <f aca="false">IF(CF$1&lt;Units!$P52,0,IF(AND(Units!$K52=0,CF$1=Units!$O52),Units!$R52,IF(AND(CF$1&gt;=Units!$Q52,MOD(CF$1-Units!$Q52,12)=0),IF(AND(Units!$L52=1,CF$1=Units!$Q52),IF(Units!$J52&lt;&gt;"",Units!$J52,Mkt!CF53),Inputs!$B$15*Mkt!CF53+(1-Inputs!$B$15)*MIN(Mkt!CF53,CE53*(1+Inputs!$B$18))),CE53)))</f>
        <v>2208.99674857865</v>
      </c>
      <c r="CG53" s="11" t="n">
        <f aca="false">IF(CG$1&lt;Units!$P52,0,IF(AND(Units!$K52=0,CG$1=Units!$O52),Units!$R52,IF(AND(CG$1&gt;=Units!$Q52,MOD(CG$1-Units!$Q52,12)=0),IF(AND(Units!$L52=1,CG$1=Units!$Q52),IF(Units!$J52&lt;&gt;"",Units!$J52,Mkt!CG53),Inputs!$B$15*Mkt!CG53+(1-Inputs!$B$15)*MIN(Mkt!CG53,CF53*(1+Inputs!$B$18))),CF53)))</f>
        <v>2208.99674857865</v>
      </c>
      <c r="CH53" s="11" t="n">
        <f aca="false">IF(CH$1&lt;Units!$P52,0,IF(AND(Units!$K52=0,CH$1=Units!$O52),Units!$R52,IF(AND(CH$1&gt;=Units!$Q52,MOD(CH$1-Units!$Q52,12)=0),IF(AND(Units!$L52=1,CH$1=Units!$Q52),IF(Units!$J52&lt;&gt;"",Units!$J52,Mkt!CH53),Inputs!$B$15*Mkt!CH53+(1-Inputs!$B$15)*MIN(Mkt!CH53,CG53*(1+Inputs!$B$18))),CG53)))</f>
        <v>2208.99674857865</v>
      </c>
      <c r="CI53" s="11" t="n">
        <f aca="false">IF(CI$1&lt;Units!$P52,0,IF(AND(Units!$K52=0,CI$1=Units!$O52),Units!$R52,IF(AND(CI$1&gt;=Units!$Q52,MOD(CI$1-Units!$Q52,12)=0),IF(AND(Units!$L52=1,CI$1=Units!$Q52),IF(Units!$J52&lt;&gt;"",Units!$J52,Mkt!CI53),Inputs!$B$15*Mkt!CI53+(1-Inputs!$B$15)*MIN(Mkt!CI53,CH53*(1+Inputs!$B$18))),CH53)))</f>
        <v>2208.99674857865</v>
      </c>
      <c r="CJ53" s="11" t="n">
        <f aca="false">IF(CJ$1&lt;Units!$P52,0,IF(AND(Units!$K52=0,CJ$1=Units!$O52),Units!$R52,IF(AND(CJ$1&gt;=Units!$Q52,MOD(CJ$1-Units!$Q52,12)=0),IF(AND(Units!$L52=1,CJ$1=Units!$Q52),IF(Units!$J52&lt;&gt;"",Units!$J52,Mkt!CJ53),Inputs!$B$15*Mkt!CJ53+(1-Inputs!$B$15)*MIN(Mkt!CJ53,CI53*(1+Inputs!$B$18))),CI53)))</f>
        <v>2208.99674857865</v>
      </c>
      <c r="CK53" s="11" t="n">
        <f aca="false">IF(CK$1&lt;Units!$P52,0,IF(AND(Units!$K52=0,CK$1=Units!$O52),Units!$R52,IF(AND(CK$1&gt;=Units!$Q52,MOD(CK$1-Units!$Q52,12)=0),IF(AND(Units!$L52=1,CK$1=Units!$Q52),IF(Units!$J52&lt;&gt;"",Units!$J52,Mkt!CK53),Inputs!$B$15*Mkt!CK53+(1-Inputs!$B$15)*MIN(Mkt!CK53,CJ53*(1+Inputs!$B$18))),CJ53)))</f>
        <v>2275.26665103601</v>
      </c>
      <c r="CL53" s="11" t="n">
        <f aca="false">IF(CL$1&lt;Units!$P52,0,IF(AND(Units!$K52=0,CL$1=Units!$O52),Units!$R52,IF(AND(CL$1&gt;=Units!$Q52,MOD(CL$1-Units!$Q52,12)=0),IF(AND(Units!$L52=1,CL$1=Units!$Q52),IF(Units!$J52&lt;&gt;"",Units!$J52,Mkt!CL53),Inputs!$B$15*Mkt!CL53+(1-Inputs!$B$15)*MIN(Mkt!CL53,CK53*(1+Inputs!$B$18))),CK53)))</f>
        <v>2275.26665103601</v>
      </c>
      <c r="CM53" s="11" t="n">
        <f aca="false">IF(CM$1&lt;Units!$P52,0,IF(AND(Units!$K52=0,CM$1=Units!$O52),Units!$R52,IF(AND(CM$1&gt;=Units!$Q52,MOD(CM$1-Units!$Q52,12)=0),IF(AND(Units!$L52=1,CM$1=Units!$Q52),IF(Units!$J52&lt;&gt;"",Units!$J52,Mkt!CM53),Inputs!$B$15*Mkt!CM53+(1-Inputs!$B$15)*MIN(Mkt!CM53,CL53*(1+Inputs!$B$18))),CL53)))</f>
        <v>2275.26665103601</v>
      </c>
      <c r="CN53" s="11" t="n">
        <f aca="false">IF(CN$1&lt;Units!$P52,0,IF(AND(Units!$K52=0,CN$1=Units!$O52),Units!$R52,IF(AND(CN$1&gt;=Units!$Q52,MOD(CN$1-Units!$Q52,12)=0),IF(AND(Units!$L52=1,CN$1=Units!$Q52),IF(Units!$J52&lt;&gt;"",Units!$J52,Mkt!CN53),Inputs!$B$15*Mkt!CN53+(1-Inputs!$B$15)*MIN(Mkt!CN53,CM53*(1+Inputs!$B$18))),CM53)))</f>
        <v>2275.26665103601</v>
      </c>
      <c r="CO53" s="11" t="n">
        <f aca="false">IF(CO$1&lt;Units!$P52,0,IF(AND(Units!$K52=0,CO$1=Units!$O52),Units!$R52,IF(AND(CO$1&gt;=Units!$Q52,MOD(CO$1-Units!$Q52,12)=0),IF(AND(Units!$L52=1,CO$1=Units!$Q52),IF(Units!$J52&lt;&gt;"",Units!$J52,Mkt!CO53),Inputs!$B$15*Mkt!CO53+(1-Inputs!$B$15)*MIN(Mkt!CO53,CN53*(1+Inputs!$B$18))),CN53)))</f>
        <v>2275.26665103601</v>
      </c>
      <c r="CP53" s="11" t="n">
        <f aca="false">IF(CP$1&lt;Units!$P52,0,IF(AND(Units!$K52=0,CP$1=Units!$O52),Units!$R52,IF(AND(CP$1&gt;=Units!$Q52,MOD(CP$1-Units!$Q52,12)=0),IF(AND(Units!$L52=1,CP$1=Units!$Q52),IF(Units!$J52&lt;&gt;"",Units!$J52,Mkt!CP53),Inputs!$B$15*Mkt!CP53+(1-Inputs!$B$15)*MIN(Mkt!CP53,CO53*(1+Inputs!$B$18))),CO53)))</f>
        <v>2275.26665103601</v>
      </c>
      <c r="CQ53" s="11" t="n">
        <f aca="false">IF(CQ$1&lt;Units!$P52,0,IF(AND(Units!$K52=0,CQ$1=Units!$O52),Units!$R52,IF(AND(CQ$1&gt;=Units!$Q52,MOD(CQ$1-Units!$Q52,12)=0),IF(AND(Units!$L52=1,CQ$1=Units!$Q52),IF(Units!$J52&lt;&gt;"",Units!$J52,Mkt!CQ53),Inputs!$B$15*Mkt!CQ53+(1-Inputs!$B$15)*MIN(Mkt!CQ53,CP53*(1+Inputs!$B$18))),CP53)))</f>
        <v>2275.26665103601</v>
      </c>
      <c r="CR53" s="11" t="n">
        <f aca="false">IF(CR$1&lt;Units!$P52,0,IF(AND(Units!$K52=0,CR$1=Units!$O52),Units!$R52,IF(AND(CR$1&gt;=Units!$Q52,MOD(CR$1-Units!$Q52,12)=0),IF(AND(Units!$L52=1,CR$1=Units!$Q52),IF(Units!$J52&lt;&gt;"",Units!$J52,Mkt!CR53),Inputs!$B$15*Mkt!CR53+(1-Inputs!$B$15)*MIN(Mkt!CR53,CQ53*(1+Inputs!$B$18))),CQ53)))</f>
        <v>2275.26665103601</v>
      </c>
      <c r="CS53" s="11" t="n">
        <f aca="false">IF(CS$1&lt;Units!$P52,0,IF(AND(Units!$K52=0,CS$1=Units!$O52),Units!$R52,IF(AND(CS$1&gt;=Units!$Q52,MOD(CS$1-Units!$Q52,12)=0),IF(AND(Units!$L52=1,CS$1=Units!$Q52),IF(Units!$J52&lt;&gt;"",Units!$J52,Mkt!CS53),Inputs!$B$15*Mkt!CS53+(1-Inputs!$B$15)*MIN(Mkt!CS53,CR53*(1+Inputs!$B$18))),CR53)))</f>
        <v>2275.26665103601</v>
      </c>
      <c r="CT53" s="11" t="n">
        <f aca="false">IF(CT$1&lt;Units!$P52,0,IF(AND(Units!$K52=0,CT$1=Units!$O52),Units!$R52,IF(AND(CT$1&gt;=Units!$Q52,MOD(CT$1-Units!$Q52,12)=0),IF(AND(Units!$L52=1,CT$1=Units!$Q52),IF(Units!$J52&lt;&gt;"",Units!$J52,Mkt!CT53),Inputs!$B$15*Mkt!CT53+(1-Inputs!$B$15)*MIN(Mkt!CT53,CS53*(1+Inputs!$B$18))),CS53)))</f>
        <v>2275.26665103601</v>
      </c>
      <c r="CU53" s="11" t="n">
        <f aca="false">IF(CU$1&lt;Units!$P52,0,IF(AND(Units!$K52=0,CU$1=Units!$O52),Units!$R52,IF(AND(CU$1&gt;=Units!$Q52,MOD(CU$1-Units!$Q52,12)=0),IF(AND(Units!$L52=1,CU$1=Units!$Q52),IF(Units!$J52&lt;&gt;"",Units!$J52,Mkt!CU53),Inputs!$B$15*Mkt!CU53+(1-Inputs!$B$15)*MIN(Mkt!CU53,CT53*(1+Inputs!$B$18))),CT53)))</f>
        <v>2275.26665103601</v>
      </c>
      <c r="CV53" s="11" t="n">
        <f aca="false">IF(CV$1&lt;Units!$P52,0,IF(AND(Units!$K52=0,CV$1=Units!$O52),Units!$R52,IF(AND(CV$1&gt;=Units!$Q52,MOD(CV$1-Units!$Q52,12)=0),IF(AND(Units!$L52=1,CV$1=Units!$Q52),IF(Units!$J52&lt;&gt;"",Units!$J52,Mkt!CV53),Inputs!$B$15*Mkt!CV53+(1-Inputs!$B$15)*MIN(Mkt!CV53,CU53*(1+Inputs!$B$18))),CU53)))</f>
        <v>2275.26665103601</v>
      </c>
      <c r="CW53" s="11" t="n">
        <f aca="false">IF(CW$1&lt;Units!$P52,0,IF(AND(Units!$K52=0,CW$1=Units!$O52),Units!$R52,IF(AND(CW$1&gt;=Units!$Q52,MOD(CW$1-Units!$Q52,12)=0),IF(AND(Units!$L52=1,CW$1=Units!$Q52),IF(Units!$J52&lt;&gt;"",Units!$J52,Mkt!CW53),Inputs!$B$15*Mkt!CW53+(1-Inputs!$B$15)*MIN(Mkt!CW53,CV53*(1+Inputs!$B$18))),CV53)))</f>
        <v>2343.52465056709</v>
      </c>
      <c r="CX53" s="11" t="n">
        <f aca="false">IF(CX$1&lt;Units!$P52,0,IF(AND(Units!$K52=0,CX$1=Units!$O52),Units!$R52,IF(AND(CX$1&gt;=Units!$Q52,MOD(CX$1-Units!$Q52,12)=0),IF(AND(Units!$L52=1,CX$1=Units!$Q52),IF(Units!$J52&lt;&gt;"",Units!$J52,Mkt!CX53),Inputs!$B$15*Mkt!CX53+(1-Inputs!$B$15)*MIN(Mkt!CX53,CW53*(1+Inputs!$B$18))),CW53)))</f>
        <v>2343.52465056709</v>
      </c>
      <c r="CY53" s="11" t="n">
        <f aca="false">IF(CY$1&lt;Units!$P52,0,IF(AND(Units!$K52=0,CY$1=Units!$O52),Units!$R52,IF(AND(CY$1&gt;=Units!$Q52,MOD(CY$1-Units!$Q52,12)=0),IF(AND(Units!$L52=1,CY$1=Units!$Q52),IF(Units!$J52&lt;&gt;"",Units!$J52,Mkt!CY53),Inputs!$B$15*Mkt!CY53+(1-Inputs!$B$15)*MIN(Mkt!CY53,CX53*(1+Inputs!$B$18))),CX53)))</f>
        <v>2343.52465056709</v>
      </c>
      <c r="CZ53" s="11" t="n">
        <f aca="false">IF(CZ$1&lt;Units!$P52,0,IF(AND(Units!$K52=0,CZ$1=Units!$O52),Units!$R52,IF(AND(CZ$1&gt;=Units!$Q52,MOD(CZ$1-Units!$Q52,12)=0),IF(AND(Units!$L52=1,CZ$1=Units!$Q52),IF(Units!$J52&lt;&gt;"",Units!$J52,Mkt!CZ53),Inputs!$B$15*Mkt!CZ53+(1-Inputs!$B$15)*MIN(Mkt!CZ53,CY53*(1+Inputs!$B$18))),CY53)))</f>
        <v>2343.52465056709</v>
      </c>
      <c r="DA53" s="11" t="n">
        <f aca="false">IF(DA$1&lt;Units!$P52,0,IF(AND(Units!$K52=0,DA$1=Units!$O52),Units!$R52,IF(AND(DA$1&gt;=Units!$Q52,MOD(DA$1-Units!$Q52,12)=0),IF(AND(Units!$L52=1,DA$1=Units!$Q52),IF(Units!$J52&lt;&gt;"",Units!$J52,Mkt!DA53),Inputs!$B$15*Mkt!DA53+(1-Inputs!$B$15)*MIN(Mkt!DA53,CZ53*(1+Inputs!$B$18))),CZ53)))</f>
        <v>2343.52465056709</v>
      </c>
      <c r="DB53" s="11" t="n">
        <f aca="false">IF(DB$1&lt;Units!$P52,0,IF(AND(Units!$K52=0,DB$1=Units!$O52),Units!$R52,IF(AND(DB$1&gt;=Units!$Q52,MOD(DB$1-Units!$Q52,12)=0),IF(AND(Units!$L52=1,DB$1=Units!$Q52),IF(Units!$J52&lt;&gt;"",Units!$J52,Mkt!DB53),Inputs!$B$15*Mkt!DB53+(1-Inputs!$B$15)*MIN(Mkt!DB53,DA53*(1+Inputs!$B$18))),DA53)))</f>
        <v>2343.52465056709</v>
      </c>
      <c r="DC53" s="11" t="n">
        <f aca="false">IF(DC$1&lt;Units!$P52,0,IF(AND(Units!$K52=0,DC$1=Units!$O52),Units!$R52,IF(AND(DC$1&gt;=Units!$Q52,MOD(DC$1-Units!$Q52,12)=0),IF(AND(Units!$L52=1,DC$1=Units!$Q52),IF(Units!$J52&lt;&gt;"",Units!$J52,Mkt!DC53),Inputs!$B$15*Mkt!DC53+(1-Inputs!$B$15)*MIN(Mkt!DC53,DB53*(1+Inputs!$B$18))),DB53)))</f>
        <v>2343.52465056709</v>
      </c>
      <c r="DD53" s="11" t="n">
        <f aca="false">IF(DD$1&lt;Units!$P52,0,IF(AND(Units!$K52=0,DD$1=Units!$O52),Units!$R52,IF(AND(DD$1&gt;=Units!$Q52,MOD(DD$1-Units!$Q52,12)=0),IF(AND(Units!$L52=1,DD$1=Units!$Q52),IF(Units!$J52&lt;&gt;"",Units!$J52,Mkt!DD53),Inputs!$B$15*Mkt!DD53+(1-Inputs!$B$15)*MIN(Mkt!DD53,DC53*(1+Inputs!$B$18))),DC53)))</f>
        <v>2343.52465056709</v>
      </c>
      <c r="DE53" s="11" t="n">
        <f aca="false">IF(DE$1&lt;Units!$P52,0,IF(AND(Units!$K52=0,DE$1=Units!$O52),Units!$R52,IF(AND(DE$1&gt;=Units!$Q52,MOD(DE$1-Units!$Q52,12)=0),IF(AND(Units!$L52=1,DE$1=Units!$Q52),IF(Units!$J52&lt;&gt;"",Units!$J52,Mkt!DE53),Inputs!$B$15*Mkt!DE53+(1-Inputs!$B$15)*MIN(Mkt!DE53,DD53*(1+Inputs!$B$18))),DD53)))</f>
        <v>2343.52465056709</v>
      </c>
      <c r="DF53" s="11" t="n">
        <f aca="false">IF(DF$1&lt;Units!$P52,0,IF(AND(Units!$K52=0,DF$1=Units!$O52),Units!$R52,IF(AND(DF$1&gt;=Units!$Q52,MOD(DF$1-Units!$Q52,12)=0),IF(AND(Units!$L52=1,DF$1=Units!$Q52),IF(Units!$J52&lt;&gt;"",Units!$J52,Mkt!DF53),Inputs!$B$15*Mkt!DF53+(1-Inputs!$B$15)*MIN(Mkt!DF53,DE53*(1+Inputs!$B$18))),DE53)))</f>
        <v>2343.52465056709</v>
      </c>
      <c r="DG53" s="11" t="n">
        <f aca="false">IF(DG$1&lt;Units!$P52,0,IF(AND(Units!$K52=0,DG$1=Units!$O52),Units!$R52,IF(AND(DG$1&gt;=Units!$Q52,MOD(DG$1-Units!$Q52,12)=0),IF(AND(Units!$L52=1,DG$1=Units!$Q52),IF(Units!$J52&lt;&gt;"",Units!$J52,Mkt!DG53),Inputs!$B$15*Mkt!DG53+(1-Inputs!$B$15)*MIN(Mkt!DG53,DF53*(1+Inputs!$B$18))),DF53)))</f>
        <v>2343.52465056709</v>
      </c>
      <c r="DH53" s="11" t="n">
        <f aca="false">IF(DH$1&lt;Units!$P52,0,IF(AND(Units!$K52=0,DH$1=Units!$O52),Units!$R52,IF(AND(DH$1&gt;=Units!$Q52,MOD(DH$1-Units!$Q52,12)=0),IF(AND(Units!$L52=1,DH$1=Units!$Q52),IF(Units!$J52&lt;&gt;"",Units!$J52,Mkt!DH53),Inputs!$B$15*Mkt!DH53+(1-Inputs!$B$15)*MIN(Mkt!DH53,DG53*(1+Inputs!$B$18))),DG53)))</f>
        <v>2343.52465056709</v>
      </c>
      <c r="DI53" s="11" t="n">
        <f aca="false">IF(DI$1&lt;Units!$P52,0,IF(AND(Units!$K52=0,DI$1=Units!$O52),Units!$R52,IF(AND(DI$1&gt;=Units!$Q52,MOD(DI$1-Units!$Q52,12)=0),IF(AND(Units!$L52=1,DI$1=Units!$Q52),IF(Units!$J52&lt;&gt;"",Units!$J52,Mkt!DI53),Inputs!$B$15*Mkt!DI53+(1-Inputs!$B$15)*MIN(Mkt!DI53,DH53*(1+Inputs!$B$18))),DH53)))</f>
        <v>2413.8303900841</v>
      </c>
      <c r="DJ53" s="11" t="n">
        <f aca="false">IF(DJ$1&lt;Units!$P52,0,IF(AND(Units!$K52=0,DJ$1=Units!$O52),Units!$R52,IF(AND(DJ$1&gt;=Units!$Q52,MOD(DJ$1-Units!$Q52,12)=0),IF(AND(Units!$L52=1,DJ$1=Units!$Q52),IF(Units!$J52&lt;&gt;"",Units!$J52,Mkt!DJ53),Inputs!$B$15*Mkt!DJ53+(1-Inputs!$B$15)*MIN(Mkt!DJ53,DI53*(1+Inputs!$B$18))),DI53)))</f>
        <v>2413.8303900841</v>
      </c>
      <c r="DK53" s="11" t="n">
        <f aca="false">IF(DK$1&lt;Units!$P52,0,IF(AND(Units!$K52=0,DK$1=Units!$O52),Units!$R52,IF(AND(DK$1&gt;=Units!$Q52,MOD(DK$1-Units!$Q52,12)=0),IF(AND(Units!$L52=1,DK$1=Units!$Q52),IF(Units!$J52&lt;&gt;"",Units!$J52,Mkt!DK53),Inputs!$B$15*Mkt!DK53+(1-Inputs!$B$15)*MIN(Mkt!DK53,DJ53*(1+Inputs!$B$18))),DJ53)))</f>
        <v>2413.8303900841</v>
      </c>
      <c r="DL53" s="11" t="n">
        <f aca="false">IF(DL$1&lt;Units!$P52,0,IF(AND(Units!$K52=0,DL$1=Units!$O52),Units!$R52,IF(AND(DL$1&gt;=Units!$Q52,MOD(DL$1-Units!$Q52,12)=0),IF(AND(Units!$L52=1,DL$1=Units!$Q52),IF(Units!$J52&lt;&gt;"",Units!$J52,Mkt!DL53),Inputs!$B$15*Mkt!DL53+(1-Inputs!$B$15)*MIN(Mkt!DL53,DK53*(1+Inputs!$B$18))),DK53)))</f>
        <v>2413.8303900841</v>
      </c>
      <c r="DM53" s="11" t="n">
        <f aca="false">IF(DM$1&lt;Units!$P52,0,IF(AND(Units!$K52=0,DM$1=Units!$O52),Units!$R52,IF(AND(DM$1&gt;=Units!$Q52,MOD(DM$1-Units!$Q52,12)=0),IF(AND(Units!$L52=1,DM$1=Units!$Q52),IF(Units!$J52&lt;&gt;"",Units!$J52,Mkt!DM53),Inputs!$B$15*Mkt!DM53+(1-Inputs!$B$15)*MIN(Mkt!DM53,DL53*(1+Inputs!$B$18))),DL53)))</f>
        <v>2413.8303900841</v>
      </c>
      <c r="DN53" s="11" t="n">
        <f aca="false">IF(DN$1&lt;Units!$P52,0,IF(AND(Units!$K52=0,DN$1=Units!$O52),Units!$R52,IF(AND(DN$1&gt;=Units!$Q52,MOD(DN$1-Units!$Q52,12)=0),IF(AND(Units!$L52=1,DN$1=Units!$Q52),IF(Units!$J52&lt;&gt;"",Units!$J52,Mkt!DN53),Inputs!$B$15*Mkt!DN53+(1-Inputs!$B$15)*MIN(Mkt!DN53,DM53*(1+Inputs!$B$18))),DM53)))</f>
        <v>2413.8303900841</v>
      </c>
      <c r="DO53" s="11" t="n">
        <f aca="false">IF(DO$1&lt;Units!$P52,0,IF(AND(Units!$K52=0,DO$1=Units!$O52),Units!$R52,IF(AND(DO$1&gt;=Units!$Q52,MOD(DO$1-Units!$Q52,12)=0),IF(AND(Units!$L52=1,DO$1=Units!$Q52),IF(Units!$J52&lt;&gt;"",Units!$J52,Mkt!DO53),Inputs!$B$15*Mkt!DO53+(1-Inputs!$B$15)*MIN(Mkt!DO53,DN53*(1+Inputs!$B$18))),DN53)))</f>
        <v>2413.8303900841</v>
      </c>
      <c r="DP53" s="11" t="n">
        <f aca="false">IF(DP$1&lt;Units!$P52,0,IF(AND(Units!$K52=0,DP$1=Units!$O52),Units!$R52,IF(AND(DP$1&gt;=Units!$Q52,MOD(DP$1-Units!$Q52,12)=0),IF(AND(Units!$L52=1,DP$1=Units!$Q52),IF(Units!$J52&lt;&gt;"",Units!$J52,Mkt!DP53),Inputs!$B$15*Mkt!DP53+(1-Inputs!$B$15)*MIN(Mkt!DP53,DO53*(1+Inputs!$B$18))),DO53)))</f>
        <v>2413.8303900841</v>
      </c>
      <c r="DQ53" s="11" t="n">
        <f aca="false">IF(DQ$1&lt;Units!$P52,0,IF(AND(Units!$K52=0,DQ$1=Units!$O52),Units!$R52,IF(AND(DQ$1&gt;=Units!$Q52,MOD(DQ$1-Units!$Q52,12)=0),IF(AND(Units!$L52=1,DQ$1=Units!$Q52),IF(Units!$J52&lt;&gt;"",Units!$J52,Mkt!DQ53),Inputs!$B$15*Mkt!DQ53+(1-Inputs!$B$15)*MIN(Mkt!DQ53,DP53*(1+Inputs!$B$18))),DP53)))</f>
        <v>2413.8303900841</v>
      </c>
      <c r="DR53" s="11" t="n">
        <f aca="false">IF(DR$1&lt;Units!$P52,0,IF(AND(Units!$K52=0,DR$1=Units!$O52),Units!$R52,IF(AND(DR$1&gt;=Units!$Q52,MOD(DR$1-Units!$Q52,12)=0),IF(AND(Units!$L52=1,DR$1=Units!$Q52),IF(Units!$J52&lt;&gt;"",Units!$J52,Mkt!DR53),Inputs!$B$15*Mkt!DR53+(1-Inputs!$B$15)*MIN(Mkt!DR53,DQ53*(1+Inputs!$B$18))),DQ53)))</f>
        <v>2413.8303900841</v>
      </c>
      <c r="DS53" s="11" t="n">
        <f aca="false">IF(DS$1&lt;Units!$P52,0,IF(AND(Units!$K52=0,DS$1=Units!$O52),Units!$R52,IF(AND(DS$1&gt;=Units!$Q52,MOD(DS$1-Units!$Q52,12)=0),IF(AND(Units!$L52=1,DS$1=Units!$Q52),IF(Units!$J52&lt;&gt;"",Units!$J52,Mkt!DS53),Inputs!$B$15*Mkt!DS53+(1-Inputs!$B$15)*MIN(Mkt!DS53,DR53*(1+Inputs!$B$18))),DR53)))</f>
        <v>2413.8303900841</v>
      </c>
      <c r="DT53" s="11" t="n">
        <f aca="false">IF(DT$1&lt;Units!$P52,0,IF(AND(Units!$K52=0,DT$1=Units!$O52),Units!$R52,IF(AND(DT$1&gt;=Units!$Q52,MOD(DT$1-Units!$Q52,12)=0),IF(AND(Units!$L52=1,DT$1=Units!$Q52),IF(Units!$J52&lt;&gt;"",Units!$J52,Mkt!DT53),Inputs!$B$15*Mkt!DT53+(1-Inputs!$B$15)*MIN(Mkt!DT53,DS53*(1+Inputs!$B$18))),DS53)))</f>
        <v>2413.8303900841</v>
      </c>
      <c r="DU53" s="11" t="n">
        <f aca="false">IF(DU$1&lt;Units!$P52,0,IF(AND(Units!$K52=0,DU$1=Units!$O52),Units!$R52,IF(AND(DU$1&gt;=Units!$Q52,MOD(DU$1-Units!$Q52,12)=0),IF(AND(Units!$L52=1,DU$1=Units!$Q52),IF(Units!$J52&lt;&gt;"",Units!$J52,Mkt!DU53),Inputs!$B$15*Mkt!DU53+(1-Inputs!$B$15)*MIN(Mkt!DU53,DT53*(1+Inputs!$B$18))),DT53)))</f>
        <v>2486.24530178663</v>
      </c>
      <c r="DV53" s="11" t="n">
        <f aca="false">IF(DV$1&lt;Units!$P52,0,IF(AND(Units!$K52=0,DV$1=Units!$O52),Units!$R52,IF(AND(DV$1&gt;=Units!$Q52,MOD(DV$1-Units!$Q52,12)=0),IF(AND(Units!$L52=1,DV$1=Units!$Q52),IF(Units!$J52&lt;&gt;"",Units!$J52,Mkt!DV53),Inputs!$B$15*Mkt!DV53+(1-Inputs!$B$15)*MIN(Mkt!DV53,DU53*(1+Inputs!$B$18))),DU53)))</f>
        <v>2486.24530178663</v>
      </c>
      <c r="DW53" s="11" t="n">
        <f aca="false">IF(DW$1&lt;Units!$P52,0,IF(AND(Units!$K52=0,DW$1=Units!$O52),Units!$R52,IF(AND(DW$1&gt;=Units!$Q52,MOD(DW$1-Units!$Q52,12)=0),IF(AND(Units!$L52=1,DW$1=Units!$Q52),IF(Units!$J52&lt;&gt;"",Units!$J52,Mkt!DW53),Inputs!$B$15*Mkt!DW53+(1-Inputs!$B$15)*MIN(Mkt!DW53,DV53*(1+Inputs!$B$18))),DV53)))</f>
        <v>2486.24530178663</v>
      </c>
      <c r="DX53" s="11" t="n">
        <f aca="false">IF(DX$1&lt;Units!$P52,0,IF(AND(Units!$K52=0,DX$1=Units!$O52),Units!$R52,IF(AND(DX$1&gt;=Units!$Q52,MOD(DX$1-Units!$Q52,12)=0),IF(AND(Units!$L52=1,DX$1=Units!$Q52),IF(Units!$J52&lt;&gt;"",Units!$J52,Mkt!DX53),Inputs!$B$15*Mkt!DX53+(1-Inputs!$B$15)*MIN(Mkt!DX53,DW53*(1+Inputs!$B$18))),DW53)))</f>
        <v>2486.24530178663</v>
      </c>
      <c r="DY53" s="11" t="n">
        <f aca="false">IF(DY$1&lt;Units!$P52,0,IF(AND(Units!$K52=0,DY$1=Units!$O52),Units!$R52,IF(AND(DY$1&gt;=Units!$Q52,MOD(DY$1-Units!$Q52,12)=0),IF(AND(Units!$L52=1,DY$1=Units!$Q52),IF(Units!$J52&lt;&gt;"",Units!$J52,Mkt!DY53),Inputs!$B$15*Mkt!DY53+(1-Inputs!$B$15)*MIN(Mkt!DY53,DX53*(1+Inputs!$B$18))),DX53)))</f>
        <v>2486.24530178663</v>
      </c>
      <c r="DZ53" s="11" t="n">
        <f aca="false">IF(DZ$1&lt;Units!$P52,0,IF(AND(Units!$K52=0,DZ$1=Units!$O52),Units!$R52,IF(AND(DZ$1&gt;=Units!$Q52,MOD(DZ$1-Units!$Q52,12)=0),IF(AND(Units!$L52=1,DZ$1=Units!$Q52),IF(Units!$J52&lt;&gt;"",Units!$J52,Mkt!DZ53),Inputs!$B$15*Mkt!DZ53+(1-Inputs!$B$15)*MIN(Mkt!DZ53,DY53*(1+Inputs!$B$18))),DY53)))</f>
        <v>2486.24530178663</v>
      </c>
      <c r="EA53" s="11" t="n">
        <f aca="false">IF(EA$1&lt;Units!$P52,0,IF(AND(Units!$K52=0,EA$1=Units!$O52),Units!$R52,IF(AND(EA$1&gt;=Units!$Q52,MOD(EA$1-Units!$Q52,12)=0),IF(AND(Units!$L52=1,EA$1=Units!$Q52),IF(Units!$J52&lt;&gt;"",Units!$J52,Mkt!EA53),Inputs!$B$15*Mkt!EA53+(1-Inputs!$B$15)*MIN(Mkt!EA53,DZ53*(1+Inputs!$B$18))),DZ53)))</f>
        <v>2486.24530178663</v>
      </c>
      <c r="EB53" s="11" t="n">
        <f aca="false">IF(EB$1&lt;Units!$P52,0,IF(AND(Units!$K52=0,EB$1=Units!$O52),Units!$R52,IF(AND(EB$1&gt;=Units!$Q52,MOD(EB$1-Units!$Q52,12)=0),IF(AND(Units!$L52=1,EB$1=Units!$Q52),IF(Units!$J52&lt;&gt;"",Units!$J52,Mkt!EB53),Inputs!$B$15*Mkt!EB53+(1-Inputs!$B$15)*MIN(Mkt!EB53,EA53*(1+Inputs!$B$18))),EA53)))</f>
        <v>2486.24530178663</v>
      </c>
      <c r="EC53" s="11" t="n">
        <f aca="false">IF(EC$1&lt;Units!$P52,0,IF(AND(Units!$K52=0,EC$1=Units!$O52),Units!$R52,IF(AND(EC$1&gt;=Units!$Q52,MOD(EC$1-Units!$Q52,12)=0),IF(AND(Units!$L52=1,EC$1=Units!$Q52),IF(Units!$J52&lt;&gt;"",Units!$J52,Mkt!EC53),Inputs!$B$15*Mkt!EC53+(1-Inputs!$B$15)*MIN(Mkt!EC53,EB53*(1+Inputs!$B$18))),EB53)))</f>
        <v>2486.24530178663</v>
      </c>
      <c r="ED53" s="11" t="n">
        <f aca="false">IF(ED$1&lt;Units!$P52,0,IF(AND(Units!$K52=0,ED$1=Units!$O52),Units!$R52,IF(AND(ED$1&gt;=Units!$Q52,MOD(ED$1-Units!$Q52,12)=0),IF(AND(Units!$L52=1,ED$1=Units!$Q52),IF(Units!$J52&lt;&gt;"",Units!$J52,Mkt!ED53),Inputs!$B$15*Mkt!ED53+(1-Inputs!$B$15)*MIN(Mkt!ED53,EC53*(1+Inputs!$B$18))),EC53)))</f>
        <v>2486.24530178663</v>
      </c>
    </row>
    <row r="54" customFormat="false" ht="15" hidden="false" customHeight="false" outlineLevel="0" collapsed="false">
      <c r="A54" s="22" t="n">
        <f aca="false">Units!A53</f>
        <v>222</v>
      </c>
      <c r="B54" s="24" t="n">
        <f aca="false">IF(Units!K53=1,Units!F53,0)</f>
        <v>0</v>
      </c>
      <c r="C54" s="11" t="n">
        <f aca="false">IF(C$1&lt;Units!$P53,0,IF(AND(Units!$K53=0,C$1=Units!$O53),Units!$R53,IF(AND(C$1&gt;=Units!$Q53,MOD(C$1-Units!$Q53,12)=0),IF(AND(Units!$L53=1,C$1=Units!$Q53),IF(Units!$J53&lt;&gt;"",Units!$J53,Mkt!C54),Inputs!$B$15*Mkt!C54+(1-Inputs!$B$15)*MIN(Mkt!C54,B54*(1+Inputs!$B$18))),B54)))</f>
        <v>1850</v>
      </c>
      <c r="D54" s="11" t="n">
        <f aca="false">IF(D$1&lt;Units!$P53,0,IF(AND(Units!$K53=0,D$1=Units!$O53),Units!$R53,IF(AND(D$1&gt;=Units!$Q53,MOD(D$1-Units!$Q53,12)=0),IF(AND(Units!$L53=1,D$1=Units!$Q53),IF(Units!$J53&lt;&gt;"",Units!$J53,Mkt!D54),Inputs!$B$15*Mkt!D54+(1-Inputs!$B$15)*MIN(Mkt!D54,C54*(1+Inputs!$B$18))),C54)))</f>
        <v>1850</v>
      </c>
      <c r="E54" s="11" t="n">
        <f aca="false">IF(E$1&lt;Units!$P53,0,IF(AND(Units!$K53=0,E$1=Units!$O53),Units!$R53,IF(AND(E$1&gt;=Units!$Q53,MOD(E$1-Units!$Q53,12)=0),IF(AND(Units!$L53=1,E$1=Units!$Q53),IF(Units!$J53&lt;&gt;"",Units!$J53,Mkt!E54),Inputs!$B$15*Mkt!E54+(1-Inputs!$B$15)*MIN(Mkt!E54,D54*(1+Inputs!$B$18))),D54)))</f>
        <v>1850</v>
      </c>
      <c r="F54" s="11" t="n">
        <f aca="false">IF(F$1&lt;Units!$P53,0,IF(AND(Units!$K53=0,F$1=Units!$O53),Units!$R53,IF(AND(F$1&gt;=Units!$Q53,MOD(F$1-Units!$Q53,12)=0),IF(AND(Units!$L53=1,F$1=Units!$Q53),IF(Units!$J53&lt;&gt;"",Units!$J53,Mkt!F54),Inputs!$B$15*Mkt!F54+(1-Inputs!$B$15)*MIN(Mkt!F54,E54*(1+Inputs!$B$18))),E54)))</f>
        <v>1850</v>
      </c>
      <c r="G54" s="11" t="n">
        <f aca="false">IF(G$1&lt;Units!$P53,0,IF(AND(Units!$K53=0,G$1=Units!$O53),Units!$R53,IF(AND(G$1&gt;=Units!$Q53,MOD(G$1-Units!$Q53,12)=0),IF(AND(Units!$L53=1,G$1=Units!$Q53),IF(Units!$J53&lt;&gt;"",Units!$J53,Mkt!G54),Inputs!$B$15*Mkt!G54+(1-Inputs!$B$15)*MIN(Mkt!G54,F54*(1+Inputs!$B$18))),F54)))</f>
        <v>1850</v>
      </c>
      <c r="H54" s="11" t="n">
        <f aca="false">IF(H$1&lt;Units!$P53,0,IF(AND(Units!$K53=0,H$1=Units!$O53),Units!$R53,IF(AND(H$1&gt;=Units!$Q53,MOD(H$1-Units!$Q53,12)=0),IF(AND(Units!$L53=1,H$1=Units!$Q53),IF(Units!$J53&lt;&gt;"",Units!$J53,Mkt!H54),Inputs!$B$15*Mkt!H54+(1-Inputs!$B$15)*MIN(Mkt!H54,G54*(1+Inputs!$B$18))),G54)))</f>
        <v>1850</v>
      </c>
      <c r="I54" s="11" t="n">
        <f aca="false">IF(I$1&lt;Units!$P53,0,IF(AND(Units!$K53=0,I$1=Units!$O53),Units!$R53,IF(AND(I$1&gt;=Units!$Q53,MOD(I$1-Units!$Q53,12)=0),IF(AND(Units!$L53=1,I$1=Units!$Q53),IF(Units!$J53&lt;&gt;"",Units!$J53,Mkt!I54),Inputs!$B$15*Mkt!I54+(1-Inputs!$B$15)*MIN(Mkt!I54,H54*(1+Inputs!$B$18))),H54)))</f>
        <v>1850</v>
      </c>
      <c r="J54" s="11" t="n">
        <f aca="false">IF(J$1&lt;Units!$P53,0,IF(AND(Units!$K53=0,J$1=Units!$O53),Units!$R53,IF(AND(J$1&gt;=Units!$Q53,MOD(J$1-Units!$Q53,12)=0),IF(AND(Units!$L53=1,J$1=Units!$Q53),IF(Units!$J53&lt;&gt;"",Units!$J53,Mkt!J54),Inputs!$B$15*Mkt!J54+(1-Inputs!$B$15)*MIN(Mkt!J54,I54*(1+Inputs!$B$18))),I54)))</f>
        <v>1850</v>
      </c>
      <c r="K54" s="11" t="n">
        <f aca="false">IF(K$1&lt;Units!$P53,0,IF(AND(Units!$K53=0,K$1=Units!$O53),Units!$R53,IF(AND(K$1&gt;=Units!$Q53,MOD(K$1-Units!$Q53,12)=0),IF(AND(Units!$L53=1,K$1=Units!$Q53),IF(Units!$J53&lt;&gt;"",Units!$J53,Mkt!K54),Inputs!$B$15*Mkt!K54+(1-Inputs!$B$15)*MIN(Mkt!K54,J54*(1+Inputs!$B$18))),J54)))</f>
        <v>1850</v>
      </c>
      <c r="L54" s="11" t="n">
        <f aca="false">IF(L$1&lt;Units!$P53,0,IF(AND(Units!$K53=0,L$1=Units!$O53),Units!$R53,IF(AND(L$1&gt;=Units!$Q53,MOD(L$1-Units!$Q53,12)=0),IF(AND(Units!$L53=1,L$1=Units!$Q53),IF(Units!$J53&lt;&gt;"",Units!$J53,Mkt!L54),Inputs!$B$15*Mkt!L54+(1-Inputs!$B$15)*MIN(Mkt!L54,K54*(1+Inputs!$B$18))),K54)))</f>
        <v>1850</v>
      </c>
      <c r="M54" s="11" t="n">
        <f aca="false">IF(M$1&lt;Units!$P53,0,IF(AND(Units!$K53=0,M$1=Units!$O53),Units!$R53,IF(AND(M$1&gt;=Units!$Q53,MOD(M$1-Units!$Q53,12)=0),IF(AND(Units!$L53=1,M$1=Units!$Q53),IF(Units!$J53&lt;&gt;"",Units!$J53,Mkt!M54),Inputs!$B$15*Mkt!M54+(1-Inputs!$B$15)*MIN(Mkt!M54,L54*(1+Inputs!$B$18))),L54)))</f>
        <v>1850</v>
      </c>
      <c r="N54" s="11" t="n">
        <f aca="false">IF(N$1&lt;Units!$P53,0,IF(AND(Units!$K53=0,N$1=Units!$O53),Units!$R53,IF(AND(N$1&gt;=Units!$Q53,MOD(N$1-Units!$Q53,12)=0),IF(AND(Units!$L53=1,N$1=Units!$Q53),IF(Units!$J53&lt;&gt;"",Units!$J53,Mkt!N54),Inputs!$B$15*Mkt!N54+(1-Inputs!$B$15)*MIN(Mkt!N54,M54*(1+Inputs!$B$18))),M54)))</f>
        <v>1850</v>
      </c>
      <c r="O54" s="11" t="n">
        <f aca="false">IF(O$1&lt;Units!$P53,0,IF(AND(Units!$K53=0,O$1=Units!$O53),Units!$R53,IF(AND(O$1&gt;=Units!$Q53,MOD(O$1-Units!$Q53,12)=0),IF(AND(Units!$L53=1,O$1=Units!$Q53),IF(Units!$J53&lt;&gt;"",Units!$J53,Mkt!O54),Inputs!$B$15*Mkt!O54+(1-Inputs!$B$15)*MIN(Mkt!O54,N54*(1+Inputs!$B$18))),N54)))</f>
        <v>1905.5</v>
      </c>
      <c r="P54" s="11" t="n">
        <f aca="false">IF(P$1&lt;Units!$P53,0,IF(AND(Units!$K53=0,P$1=Units!$O53),Units!$R53,IF(AND(P$1&gt;=Units!$Q53,MOD(P$1-Units!$Q53,12)=0),IF(AND(Units!$L53=1,P$1=Units!$Q53),IF(Units!$J53&lt;&gt;"",Units!$J53,Mkt!P54),Inputs!$B$15*Mkt!P54+(1-Inputs!$B$15)*MIN(Mkt!P54,O54*(1+Inputs!$B$18))),O54)))</f>
        <v>1905.5</v>
      </c>
      <c r="Q54" s="11" t="n">
        <f aca="false">IF(Q$1&lt;Units!$P53,0,IF(AND(Units!$K53=0,Q$1=Units!$O53),Units!$R53,IF(AND(Q$1&gt;=Units!$Q53,MOD(Q$1-Units!$Q53,12)=0),IF(AND(Units!$L53=1,Q$1=Units!$Q53),IF(Units!$J53&lt;&gt;"",Units!$J53,Mkt!Q54),Inputs!$B$15*Mkt!Q54+(1-Inputs!$B$15)*MIN(Mkt!Q54,P54*(1+Inputs!$B$18))),P54)))</f>
        <v>1905.5</v>
      </c>
      <c r="R54" s="11" t="n">
        <f aca="false">IF(R$1&lt;Units!$P53,0,IF(AND(Units!$K53=0,R$1=Units!$O53),Units!$R53,IF(AND(R$1&gt;=Units!$Q53,MOD(R$1-Units!$Q53,12)=0),IF(AND(Units!$L53=1,R$1=Units!$Q53),IF(Units!$J53&lt;&gt;"",Units!$J53,Mkt!R54),Inputs!$B$15*Mkt!R54+(1-Inputs!$B$15)*MIN(Mkt!R54,Q54*(1+Inputs!$B$18))),Q54)))</f>
        <v>1905.5</v>
      </c>
      <c r="S54" s="11" t="n">
        <f aca="false">IF(S$1&lt;Units!$P53,0,IF(AND(Units!$K53=0,S$1=Units!$O53),Units!$R53,IF(AND(S$1&gt;=Units!$Q53,MOD(S$1-Units!$Q53,12)=0),IF(AND(Units!$L53=1,S$1=Units!$Q53),IF(Units!$J53&lt;&gt;"",Units!$J53,Mkt!S54),Inputs!$B$15*Mkt!S54+(1-Inputs!$B$15)*MIN(Mkt!S54,R54*(1+Inputs!$B$18))),R54)))</f>
        <v>1905.5</v>
      </c>
      <c r="T54" s="11" t="n">
        <f aca="false">IF(T$1&lt;Units!$P53,0,IF(AND(Units!$K53=0,T$1=Units!$O53),Units!$R53,IF(AND(T$1&gt;=Units!$Q53,MOD(T$1-Units!$Q53,12)=0),IF(AND(Units!$L53=1,T$1=Units!$Q53),IF(Units!$J53&lt;&gt;"",Units!$J53,Mkt!T54),Inputs!$B$15*Mkt!T54+(1-Inputs!$B$15)*MIN(Mkt!T54,S54*(1+Inputs!$B$18))),S54)))</f>
        <v>1905.5</v>
      </c>
      <c r="U54" s="11" t="n">
        <f aca="false">IF(U$1&lt;Units!$P53,0,IF(AND(Units!$K53=0,U$1=Units!$O53),Units!$R53,IF(AND(U$1&gt;=Units!$Q53,MOD(U$1-Units!$Q53,12)=0),IF(AND(Units!$L53=1,U$1=Units!$Q53),IF(Units!$J53&lt;&gt;"",Units!$J53,Mkt!U54),Inputs!$B$15*Mkt!U54+(1-Inputs!$B$15)*MIN(Mkt!U54,T54*(1+Inputs!$B$18))),T54)))</f>
        <v>1905.5</v>
      </c>
      <c r="V54" s="11" t="n">
        <f aca="false">IF(V$1&lt;Units!$P53,0,IF(AND(Units!$K53=0,V$1=Units!$O53),Units!$R53,IF(AND(V$1&gt;=Units!$Q53,MOD(V$1-Units!$Q53,12)=0),IF(AND(Units!$L53=1,V$1=Units!$Q53),IF(Units!$J53&lt;&gt;"",Units!$J53,Mkt!V54),Inputs!$B$15*Mkt!V54+(1-Inputs!$B$15)*MIN(Mkt!V54,U54*(1+Inputs!$B$18))),U54)))</f>
        <v>1905.5</v>
      </c>
      <c r="W54" s="11" t="n">
        <f aca="false">IF(W$1&lt;Units!$P53,0,IF(AND(Units!$K53=0,W$1=Units!$O53),Units!$R53,IF(AND(W$1&gt;=Units!$Q53,MOD(W$1-Units!$Q53,12)=0),IF(AND(Units!$L53=1,W$1=Units!$Q53),IF(Units!$J53&lt;&gt;"",Units!$J53,Mkt!W54),Inputs!$B$15*Mkt!W54+(1-Inputs!$B$15)*MIN(Mkt!W54,V54*(1+Inputs!$B$18))),V54)))</f>
        <v>1905.5</v>
      </c>
      <c r="X54" s="11" t="n">
        <f aca="false">IF(X$1&lt;Units!$P53,0,IF(AND(Units!$K53=0,X$1=Units!$O53),Units!$R53,IF(AND(X$1&gt;=Units!$Q53,MOD(X$1-Units!$Q53,12)=0),IF(AND(Units!$L53=1,X$1=Units!$Q53),IF(Units!$J53&lt;&gt;"",Units!$J53,Mkt!X54),Inputs!$B$15*Mkt!X54+(1-Inputs!$B$15)*MIN(Mkt!X54,W54*(1+Inputs!$B$18))),W54)))</f>
        <v>1905.5</v>
      </c>
      <c r="Y54" s="11" t="n">
        <f aca="false">IF(Y$1&lt;Units!$P53,0,IF(AND(Units!$K53=0,Y$1=Units!$O53),Units!$R53,IF(AND(Y$1&gt;=Units!$Q53,MOD(Y$1-Units!$Q53,12)=0),IF(AND(Units!$L53=1,Y$1=Units!$Q53),IF(Units!$J53&lt;&gt;"",Units!$J53,Mkt!Y54),Inputs!$B$15*Mkt!Y54+(1-Inputs!$B$15)*MIN(Mkt!Y54,X54*(1+Inputs!$B$18))),X54)))</f>
        <v>1905.5</v>
      </c>
      <c r="Z54" s="11" t="n">
        <f aca="false">IF(Z$1&lt;Units!$P53,0,IF(AND(Units!$K53=0,Z$1=Units!$O53),Units!$R53,IF(AND(Z$1&gt;=Units!$Q53,MOD(Z$1-Units!$Q53,12)=0),IF(AND(Units!$L53=1,Z$1=Units!$Q53),IF(Units!$J53&lt;&gt;"",Units!$J53,Mkt!Z54),Inputs!$B$15*Mkt!Z54+(1-Inputs!$B$15)*MIN(Mkt!Z54,Y54*(1+Inputs!$B$18))),Y54)))</f>
        <v>1905.5</v>
      </c>
      <c r="AA54" s="11" t="n">
        <f aca="false">IF(AA$1&lt;Units!$P53,0,IF(AND(Units!$K53=0,AA$1=Units!$O53),Units!$R53,IF(AND(AA$1&gt;=Units!$Q53,MOD(AA$1-Units!$Q53,12)=0),IF(AND(Units!$L53=1,AA$1=Units!$Q53),IF(Units!$J53&lt;&gt;"",Units!$J53,Mkt!AA54),Inputs!$B$15*Mkt!AA54+(1-Inputs!$B$15)*MIN(Mkt!AA54,Z54*(1+Inputs!$B$18))),Z54)))</f>
        <v>1962.665</v>
      </c>
      <c r="AB54" s="11" t="n">
        <f aca="false">IF(AB$1&lt;Units!$P53,0,IF(AND(Units!$K53=0,AB$1=Units!$O53),Units!$R53,IF(AND(AB$1&gt;=Units!$Q53,MOD(AB$1-Units!$Q53,12)=0),IF(AND(Units!$L53=1,AB$1=Units!$Q53),IF(Units!$J53&lt;&gt;"",Units!$J53,Mkt!AB54),Inputs!$B$15*Mkt!AB54+(1-Inputs!$B$15)*MIN(Mkt!AB54,AA54*(1+Inputs!$B$18))),AA54)))</f>
        <v>1962.665</v>
      </c>
      <c r="AC54" s="11" t="n">
        <f aca="false">IF(AC$1&lt;Units!$P53,0,IF(AND(Units!$K53=0,AC$1=Units!$O53),Units!$R53,IF(AND(AC$1&gt;=Units!$Q53,MOD(AC$1-Units!$Q53,12)=0),IF(AND(Units!$L53=1,AC$1=Units!$Q53),IF(Units!$J53&lt;&gt;"",Units!$J53,Mkt!AC54),Inputs!$B$15*Mkt!AC54+(1-Inputs!$B$15)*MIN(Mkt!AC54,AB54*(1+Inputs!$B$18))),AB54)))</f>
        <v>1962.665</v>
      </c>
      <c r="AD54" s="11" t="n">
        <f aca="false">IF(AD$1&lt;Units!$P53,0,IF(AND(Units!$K53=0,AD$1=Units!$O53),Units!$R53,IF(AND(AD$1&gt;=Units!$Q53,MOD(AD$1-Units!$Q53,12)=0),IF(AND(Units!$L53=1,AD$1=Units!$Q53),IF(Units!$J53&lt;&gt;"",Units!$J53,Mkt!AD54),Inputs!$B$15*Mkt!AD54+(1-Inputs!$B$15)*MIN(Mkt!AD54,AC54*(1+Inputs!$B$18))),AC54)))</f>
        <v>1962.665</v>
      </c>
      <c r="AE54" s="11" t="n">
        <f aca="false">IF(AE$1&lt;Units!$P53,0,IF(AND(Units!$K53=0,AE$1=Units!$O53),Units!$R53,IF(AND(AE$1&gt;=Units!$Q53,MOD(AE$1-Units!$Q53,12)=0),IF(AND(Units!$L53=1,AE$1=Units!$Q53),IF(Units!$J53&lt;&gt;"",Units!$J53,Mkt!AE54),Inputs!$B$15*Mkt!AE54+(1-Inputs!$B$15)*MIN(Mkt!AE54,AD54*(1+Inputs!$B$18))),AD54)))</f>
        <v>1962.665</v>
      </c>
      <c r="AF54" s="11" t="n">
        <f aca="false">IF(AF$1&lt;Units!$P53,0,IF(AND(Units!$K53=0,AF$1=Units!$O53),Units!$R53,IF(AND(AF$1&gt;=Units!$Q53,MOD(AF$1-Units!$Q53,12)=0),IF(AND(Units!$L53=1,AF$1=Units!$Q53),IF(Units!$J53&lt;&gt;"",Units!$J53,Mkt!AF54),Inputs!$B$15*Mkt!AF54+(1-Inputs!$B$15)*MIN(Mkt!AF54,AE54*(1+Inputs!$B$18))),AE54)))</f>
        <v>1962.665</v>
      </c>
      <c r="AG54" s="11" t="n">
        <f aca="false">IF(AG$1&lt;Units!$P53,0,IF(AND(Units!$K53=0,AG$1=Units!$O53),Units!$R53,IF(AND(AG$1&gt;=Units!$Q53,MOD(AG$1-Units!$Q53,12)=0),IF(AND(Units!$L53=1,AG$1=Units!$Q53),IF(Units!$J53&lt;&gt;"",Units!$J53,Mkt!AG54),Inputs!$B$15*Mkt!AG54+(1-Inputs!$B$15)*MIN(Mkt!AG54,AF54*(1+Inputs!$B$18))),AF54)))</f>
        <v>1962.665</v>
      </c>
      <c r="AH54" s="11" t="n">
        <f aca="false">IF(AH$1&lt;Units!$P53,0,IF(AND(Units!$K53=0,AH$1=Units!$O53),Units!$R53,IF(AND(AH$1&gt;=Units!$Q53,MOD(AH$1-Units!$Q53,12)=0),IF(AND(Units!$L53=1,AH$1=Units!$Q53),IF(Units!$J53&lt;&gt;"",Units!$J53,Mkt!AH54),Inputs!$B$15*Mkt!AH54+(1-Inputs!$B$15)*MIN(Mkt!AH54,AG54*(1+Inputs!$B$18))),AG54)))</f>
        <v>1962.665</v>
      </c>
      <c r="AI54" s="11" t="n">
        <f aca="false">IF(AI$1&lt;Units!$P53,0,IF(AND(Units!$K53=0,AI$1=Units!$O53),Units!$R53,IF(AND(AI$1&gt;=Units!$Q53,MOD(AI$1-Units!$Q53,12)=0),IF(AND(Units!$L53=1,AI$1=Units!$Q53),IF(Units!$J53&lt;&gt;"",Units!$J53,Mkt!AI54),Inputs!$B$15*Mkt!AI54+(1-Inputs!$B$15)*MIN(Mkt!AI54,AH54*(1+Inputs!$B$18))),AH54)))</f>
        <v>1962.665</v>
      </c>
      <c r="AJ54" s="11" t="n">
        <f aca="false">IF(AJ$1&lt;Units!$P53,0,IF(AND(Units!$K53=0,AJ$1=Units!$O53),Units!$R53,IF(AND(AJ$1&gt;=Units!$Q53,MOD(AJ$1-Units!$Q53,12)=0),IF(AND(Units!$L53=1,AJ$1=Units!$Q53),IF(Units!$J53&lt;&gt;"",Units!$J53,Mkt!AJ54),Inputs!$B$15*Mkt!AJ54+(1-Inputs!$B$15)*MIN(Mkt!AJ54,AI54*(1+Inputs!$B$18))),AI54)))</f>
        <v>1962.665</v>
      </c>
      <c r="AK54" s="11" t="n">
        <f aca="false">IF(AK$1&lt;Units!$P53,0,IF(AND(Units!$K53=0,AK$1=Units!$O53),Units!$R53,IF(AND(AK$1&gt;=Units!$Q53,MOD(AK$1-Units!$Q53,12)=0),IF(AND(Units!$L53=1,AK$1=Units!$Q53),IF(Units!$J53&lt;&gt;"",Units!$J53,Mkt!AK54),Inputs!$B$15*Mkt!AK54+(1-Inputs!$B$15)*MIN(Mkt!AK54,AJ54*(1+Inputs!$B$18))),AJ54)))</f>
        <v>1962.665</v>
      </c>
      <c r="AL54" s="11" t="n">
        <f aca="false">IF(AL$1&lt;Units!$P53,0,IF(AND(Units!$K53=0,AL$1=Units!$O53),Units!$R53,IF(AND(AL$1&gt;=Units!$Q53,MOD(AL$1-Units!$Q53,12)=0),IF(AND(Units!$L53=1,AL$1=Units!$Q53),IF(Units!$J53&lt;&gt;"",Units!$J53,Mkt!AL54),Inputs!$B$15*Mkt!AL54+(1-Inputs!$B$15)*MIN(Mkt!AL54,AK54*(1+Inputs!$B$18))),AK54)))</f>
        <v>1962.665</v>
      </c>
      <c r="AM54" s="11" t="n">
        <f aca="false">IF(AM$1&lt;Units!$P53,0,IF(AND(Units!$K53=0,AM$1=Units!$O53),Units!$R53,IF(AND(AM$1&gt;=Units!$Q53,MOD(AM$1-Units!$Q53,12)=0),IF(AND(Units!$L53=1,AM$1=Units!$Q53),IF(Units!$J53&lt;&gt;"",Units!$J53,Mkt!AM54),Inputs!$B$15*Mkt!AM54+(1-Inputs!$B$15)*MIN(Mkt!AM54,AL54*(1+Inputs!$B$18))),AL54)))</f>
        <v>2021.54495</v>
      </c>
      <c r="AN54" s="11" t="n">
        <f aca="false">IF(AN$1&lt;Units!$P53,0,IF(AND(Units!$K53=0,AN$1=Units!$O53),Units!$R53,IF(AND(AN$1&gt;=Units!$Q53,MOD(AN$1-Units!$Q53,12)=0),IF(AND(Units!$L53=1,AN$1=Units!$Q53),IF(Units!$J53&lt;&gt;"",Units!$J53,Mkt!AN54),Inputs!$B$15*Mkt!AN54+(1-Inputs!$B$15)*MIN(Mkt!AN54,AM54*(1+Inputs!$B$18))),AM54)))</f>
        <v>2021.54495</v>
      </c>
      <c r="AO54" s="11" t="n">
        <f aca="false">IF(AO$1&lt;Units!$P53,0,IF(AND(Units!$K53=0,AO$1=Units!$O53),Units!$R53,IF(AND(AO$1&gt;=Units!$Q53,MOD(AO$1-Units!$Q53,12)=0),IF(AND(Units!$L53=1,AO$1=Units!$Q53),IF(Units!$J53&lt;&gt;"",Units!$J53,Mkt!AO54),Inputs!$B$15*Mkt!AO54+(1-Inputs!$B$15)*MIN(Mkt!AO54,AN54*(1+Inputs!$B$18))),AN54)))</f>
        <v>2021.54495</v>
      </c>
      <c r="AP54" s="11" t="n">
        <f aca="false">IF(AP$1&lt;Units!$P53,0,IF(AND(Units!$K53=0,AP$1=Units!$O53),Units!$R53,IF(AND(AP$1&gt;=Units!$Q53,MOD(AP$1-Units!$Q53,12)=0),IF(AND(Units!$L53=1,AP$1=Units!$Q53),IF(Units!$J53&lt;&gt;"",Units!$J53,Mkt!AP54),Inputs!$B$15*Mkt!AP54+(1-Inputs!$B$15)*MIN(Mkt!AP54,AO54*(1+Inputs!$B$18))),AO54)))</f>
        <v>2021.54495</v>
      </c>
      <c r="AQ54" s="11" t="n">
        <f aca="false">IF(AQ$1&lt;Units!$P53,0,IF(AND(Units!$K53=0,AQ$1=Units!$O53),Units!$R53,IF(AND(AQ$1&gt;=Units!$Q53,MOD(AQ$1-Units!$Q53,12)=0),IF(AND(Units!$L53=1,AQ$1=Units!$Q53),IF(Units!$J53&lt;&gt;"",Units!$J53,Mkt!AQ54),Inputs!$B$15*Mkt!AQ54+(1-Inputs!$B$15)*MIN(Mkt!AQ54,AP54*(1+Inputs!$B$18))),AP54)))</f>
        <v>2021.54495</v>
      </c>
      <c r="AR54" s="11" t="n">
        <f aca="false">IF(AR$1&lt;Units!$P53,0,IF(AND(Units!$K53=0,AR$1=Units!$O53),Units!$R53,IF(AND(AR$1&gt;=Units!$Q53,MOD(AR$1-Units!$Q53,12)=0),IF(AND(Units!$L53=1,AR$1=Units!$Q53),IF(Units!$J53&lt;&gt;"",Units!$J53,Mkt!AR54),Inputs!$B$15*Mkt!AR54+(1-Inputs!$B$15)*MIN(Mkt!AR54,AQ54*(1+Inputs!$B$18))),AQ54)))</f>
        <v>2021.54495</v>
      </c>
      <c r="AS54" s="11" t="n">
        <f aca="false">IF(AS$1&lt;Units!$P53,0,IF(AND(Units!$K53=0,AS$1=Units!$O53),Units!$R53,IF(AND(AS$1&gt;=Units!$Q53,MOD(AS$1-Units!$Q53,12)=0),IF(AND(Units!$L53=1,AS$1=Units!$Q53),IF(Units!$J53&lt;&gt;"",Units!$J53,Mkt!AS54),Inputs!$B$15*Mkt!AS54+(1-Inputs!$B$15)*MIN(Mkt!AS54,AR54*(1+Inputs!$B$18))),AR54)))</f>
        <v>2021.54495</v>
      </c>
      <c r="AT54" s="11" t="n">
        <f aca="false">IF(AT$1&lt;Units!$P53,0,IF(AND(Units!$K53=0,AT$1=Units!$O53),Units!$R53,IF(AND(AT$1&gt;=Units!$Q53,MOD(AT$1-Units!$Q53,12)=0),IF(AND(Units!$L53=1,AT$1=Units!$Q53),IF(Units!$J53&lt;&gt;"",Units!$J53,Mkt!AT54),Inputs!$B$15*Mkt!AT54+(1-Inputs!$B$15)*MIN(Mkt!AT54,AS54*(1+Inputs!$B$18))),AS54)))</f>
        <v>2021.54495</v>
      </c>
      <c r="AU54" s="11" t="n">
        <f aca="false">IF(AU$1&lt;Units!$P53,0,IF(AND(Units!$K53=0,AU$1=Units!$O53),Units!$R53,IF(AND(AU$1&gt;=Units!$Q53,MOD(AU$1-Units!$Q53,12)=0),IF(AND(Units!$L53=1,AU$1=Units!$Q53),IF(Units!$J53&lt;&gt;"",Units!$J53,Mkt!AU54),Inputs!$B$15*Mkt!AU54+(1-Inputs!$B$15)*MIN(Mkt!AU54,AT54*(1+Inputs!$B$18))),AT54)))</f>
        <v>2021.54495</v>
      </c>
      <c r="AV54" s="11" t="n">
        <f aca="false">IF(AV$1&lt;Units!$P53,0,IF(AND(Units!$K53=0,AV$1=Units!$O53),Units!$R53,IF(AND(AV$1&gt;=Units!$Q53,MOD(AV$1-Units!$Q53,12)=0),IF(AND(Units!$L53=1,AV$1=Units!$Q53),IF(Units!$J53&lt;&gt;"",Units!$J53,Mkt!AV54),Inputs!$B$15*Mkt!AV54+(1-Inputs!$B$15)*MIN(Mkt!AV54,AU54*(1+Inputs!$B$18))),AU54)))</f>
        <v>2021.54495</v>
      </c>
      <c r="AW54" s="11" t="n">
        <f aca="false">IF(AW$1&lt;Units!$P53,0,IF(AND(Units!$K53=0,AW$1=Units!$O53),Units!$R53,IF(AND(AW$1&gt;=Units!$Q53,MOD(AW$1-Units!$Q53,12)=0),IF(AND(Units!$L53=1,AW$1=Units!$Q53),IF(Units!$J53&lt;&gt;"",Units!$J53,Mkt!AW54),Inputs!$B$15*Mkt!AW54+(1-Inputs!$B$15)*MIN(Mkt!AW54,AV54*(1+Inputs!$B$18))),AV54)))</f>
        <v>2021.54495</v>
      </c>
      <c r="AX54" s="11" t="n">
        <f aca="false">IF(AX$1&lt;Units!$P53,0,IF(AND(Units!$K53=0,AX$1=Units!$O53),Units!$R53,IF(AND(AX$1&gt;=Units!$Q53,MOD(AX$1-Units!$Q53,12)=0),IF(AND(Units!$L53=1,AX$1=Units!$Q53),IF(Units!$J53&lt;&gt;"",Units!$J53,Mkt!AX54),Inputs!$B$15*Mkt!AX54+(1-Inputs!$B$15)*MIN(Mkt!AX54,AW54*(1+Inputs!$B$18))),AW54)))</f>
        <v>2021.54495</v>
      </c>
      <c r="AY54" s="11" t="n">
        <f aca="false">IF(AY$1&lt;Units!$P53,0,IF(AND(Units!$K53=0,AY$1=Units!$O53),Units!$R53,IF(AND(AY$1&gt;=Units!$Q53,MOD(AY$1-Units!$Q53,12)=0),IF(AND(Units!$L53=1,AY$1=Units!$Q53),IF(Units!$J53&lt;&gt;"",Units!$J53,Mkt!AY54),Inputs!$B$15*Mkt!AY54+(1-Inputs!$B$15)*MIN(Mkt!AY54,AX54*(1+Inputs!$B$18))),AX54)))</f>
        <v>2082.1912985</v>
      </c>
      <c r="AZ54" s="11" t="n">
        <f aca="false">IF(AZ$1&lt;Units!$P53,0,IF(AND(Units!$K53=0,AZ$1=Units!$O53),Units!$R53,IF(AND(AZ$1&gt;=Units!$Q53,MOD(AZ$1-Units!$Q53,12)=0),IF(AND(Units!$L53=1,AZ$1=Units!$Q53),IF(Units!$J53&lt;&gt;"",Units!$J53,Mkt!AZ54),Inputs!$B$15*Mkt!AZ54+(1-Inputs!$B$15)*MIN(Mkt!AZ54,AY54*(1+Inputs!$B$18))),AY54)))</f>
        <v>2082.1912985</v>
      </c>
      <c r="BA54" s="11" t="n">
        <f aca="false">IF(BA$1&lt;Units!$P53,0,IF(AND(Units!$K53=0,BA$1=Units!$O53),Units!$R53,IF(AND(BA$1&gt;=Units!$Q53,MOD(BA$1-Units!$Q53,12)=0),IF(AND(Units!$L53=1,BA$1=Units!$Q53),IF(Units!$J53&lt;&gt;"",Units!$J53,Mkt!BA54),Inputs!$B$15*Mkt!BA54+(1-Inputs!$B$15)*MIN(Mkt!BA54,AZ54*(1+Inputs!$B$18))),AZ54)))</f>
        <v>2082.1912985</v>
      </c>
      <c r="BB54" s="11" t="n">
        <f aca="false">IF(BB$1&lt;Units!$P53,0,IF(AND(Units!$K53=0,BB$1=Units!$O53),Units!$R53,IF(AND(BB$1&gt;=Units!$Q53,MOD(BB$1-Units!$Q53,12)=0),IF(AND(Units!$L53=1,BB$1=Units!$Q53),IF(Units!$J53&lt;&gt;"",Units!$J53,Mkt!BB54),Inputs!$B$15*Mkt!BB54+(1-Inputs!$B$15)*MIN(Mkt!BB54,BA54*(1+Inputs!$B$18))),BA54)))</f>
        <v>2082.1912985</v>
      </c>
      <c r="BC54" s="11" t="n">
        <f aca="false">IF(BC$1&lt;Units!$P53,0,IF(AND(Units!$K53=0,BC$1=Units!$O53),Units!$R53,IF(AND(BC$1&gt;=Units!$Q53,MOD(BC$1-Units!$Q53,12)=0),IF(AND(Units!$L53=1,BC$1=Units!$Q53),IF(Units!$J53&lt;&gt;"",Units!$J53,Mkt!BC54),Inputs!$B$15*Mkt!BC54+(1-Inputs!$B$15)*MIN(Mkt!BC54,BB54*(1+Inputs!$B$18))),BB54)))</f>
        <v>2082.1912985</v>
      </c>
      <c r="BD54" s="11" t="n">
        <f aca="false">IF(BD$1&lt;Units!$P53,0,IF(AND(Units!$K53=0,BD$1=Units!$O53),Units!$R53,IF(AND(BD$1&gt;=Units!$Q53,MOD(BD$1-Units!$Q53,12)=0),IF(AND(Units!$L53=1,BD$1=Units!$Q53),IF(Units!$J53&lt;&gt;"",Units!$J53,Mkt!BD54),Inputs!$B$15*Mkt!BD54+(1-Inputs!$B$15)*MIN(Mkt!BD54,BC54*(1+Inputs!$B$18))),BC54)))</f>
        <v>2082.1912985</v>
      </c>
      <c r="BE54" s="11" t="n">
        <f aca="false">IF(BE$1&lt;Units!$P53,0,IF(AND(Units!$K53=0,BE$1=Units!$O53),Units!$R53,IF(AND(BE$1&gt;=Units!$Q53,MOD(BE$1-Units!$Q53,12)=0),IF(AND(Units!$L53=1,BE$1=Units!$Q53),IF(Units!$J53&lt;&gt;"",Units!$J53,Mkt!BE54),Inputs!$B$15*Mkt!BE54+(1-Inputs!$B$15)*MIN(Mkt!BE54,BD54*(1+Inputs!$B$18))),BD54)))</f>
        <v>2082.1912985</v>
      </c>
      <c r="BF54" s="11" t="n">
        <f aca="false">IF(BF$1&lt;Units!$P53,0,IF(AND(Units!$K53=0,BF$1=Units!$O53),Units!$R53,IF(AND(BF$1&gt;=Units!$Q53,MOD(BF$1-Units!$Q53,12)=0),IF(AND(Units!$L53=1,BF$1=Units!$Q53),IF(Units!$J53&lt;&gt;"",Units!$J53,Mkt!BF54),Inputs!$B$15*Mkt!BF54+(1-Inputs!$B$15)*MIN(Mkt!BF54,BE54*(1+Inputs!$B$18))),BE54)))</f>
        <v>2082.1912985</v>
      </c>
      <c r="BG54" s="11" t="n">
        <f aca="false">IF(BG$1&lt;Units!$P53,0,IF(AND(Units!$K53=0,BG$1=Units!$O53),Units!$R53,IF(AND(BG$1&gt;=Units!$Q53,MOD(BG$1-Units!$Q53,12)=0),IF(AND(Units!$L53=1,BG$1=Units!$Q53),IF(Units!$J53&lt;&gt;"",Units!$J53,Mkt!BG54),Inputs!$B$15*Mkt!BG54+(1-Inputs!$B$15)*MIN(Mkt!BG54,BF54*(1+Inputs!$B$18))),BF54)))</f>
        <v>2082.1912985</v>
      </c>
      <c r="BH54" s="11" t="n">
        <f aca="false">IF(BH$1&lt;Units!$P53,0,IF(AND(Units!$K53=0,BH$1=Units!$O53),Units!$R53,IF(AND(BH$1&gt;=Units!$Q53,MOD(BH$1-Units!$Q53,12)=0),IF(AND(Units!$L53=1,BH$1=Units!$Q53),IF(Units!$J53&lt;&gt;"",Units!$J53,Mkt!BH54),Inputs!$B$15*Mkt!BH54+(1-Inputs!$B$15)*MIN(Mkt!BH54,BG54*(1+Inputs!$B$18))),BG54)))</f>
        <v>2082.1912985</v>
      </c>
      <c r="BI54" s="11" t="n">
        <f aca="false">IF(BI$1&lt;Units!$P53,0,IF(AND(Units!$K53=0,BI$1=Units!$O53),Units!$R53,IF(AND(BI$1&gt;=Units!$Q53,MOD(BI$1-Units!$Q53,12)=0),IF(AND(Units!$L53=1,BI$1=Units!$Q53),IF(Units!$J53&lt;&gt;"",Units!$J53,Mkt!BI54),Inputs!$B$15*Mkt!BI54+(1-Inputs!$B$15)*MIN(Mkt!BI54,BH54*(1+Inputs!$B$18))),BH54)))</f>
        <v>2082.1912985</v>
      </c>
      <c r="BJ54" s="11" t="n">
        <f aca="false">IF(BJ$1&lt;Units!$P53,0,IF(AND(Units!$K53=0,BJ$1=Units!$O53),Units!$R53,IF(AND(BJ$1&gt;=Units!$Q53,MOD(BJ$1-Units!$Q53,12)=0),IF(AND(Units!$L53=1,BJ$1=Units!$Q53),IF(Units!$J53&lt;&gt;"",Units!$J53,Mkt!BJ54),Inputs!$B$15*Mkt!BJ54+(1-Inputs!$B$15)*MIN(Mkt!BJ54,BI54*(1+Inputs!$B$18))),BI54)))</f>
        <v>2082.1912985</v>
      </c>
      <c r="BK54" s="11" t="n">
        <f aca="false">IF(BK$1&lt;Units!$P53,0,IF(AND(Units!$K53=0,BK$1=Units!$O53),Units!$R53,IF(AND(BK$1&gt;=Units!$Q53,MOD(BK$1-Units!$Q53,12)=0),IF(AND(Units!$L53=1,BK$1=Units!$Q53),IF(Units!$J53&lt;&gt;"",Units!$J53,Mkt!BK54),Inputs!$B$15*Mkt!BK54+(1-Inputs!$B$15)*MIN(Mkt!BK54,BJ54*(1+Inputs!$B$18))),BJ54)))</f>
        <v>2144.657037455</v>
      </c>
      <c r="BL54" s="11" t="n">
        <f aca="false">IF(BL$1&lt;Units!$P53,0,IF(AND(Units!$K53=0,BL$1=Units!$O53),Units!$R53,IF(AND(BL$1&gt;=Units!$Q53,MOD(BL$1-Units!$Q53,12)=0),IF(AND(Units!$L53=1,BL$1=Units!$Q53),IF(Units!$J53&lt;&gt;"",Units!$J53,Mkt!BL54),Inputs!$B$15*Mkt!BL54+(1-Inputs!$B$15)*MIN(Mkt!BL54,BK54*(1+Inputs!$B$18))),BK54)))</f>
        <v>2144.657037455</v>
      </c>
      <c r="BM54" s="11" t="n">
        <f aca="false">IF(BM$1&lt;Units!$P53,0,IF(AND(Units!$K53=0,BM$1=Units!$O53),Units!$R53,IF(AND(BM$1&gt;=Units!$Q53,MOD(BM$1-Units!$Q53,12)=0),IF(AND(Units!$L53=1,BM$1=Units!$Q53),IF(Units!$J53&lt;&gt;"",Units!$J53,Mkt!BM54),Inputs!$B$15*Mkt!BM54+(1-Inputs!$B$15)*MIN(Mkt!BM54,BL54*(1+Inputs!$B$18))),BL54)))</f>
        <v>2144.657037455</v>
      </c>
      <c r="BN54" s="11" t="n">
        <f aca="false">IF(BN$1&lt;Units!$P53,0,IF(AND(Units!$K53=0,BN$1=Units!$O53),Units!$R53,IF(AND(BN$1&gt;=Units!$Q53,MOD(BN$1-Units!$Q53,12)=0),IF(AND(Units!$L53=1,BN$1=Units!$Q53),IF(Units!$J53&lt;&gt;"",Units!$J53,Mkt!BN54),Inputs!$B$15*Mkt!BN54+(1-Inputs!$B$15)*MIN(Mkt!BN54,BM54*(1+Inputs!$B$18))),BM54)))</f>
        <v>2144.657037455</v>
      </c>
      <c r="BO54" s="11" t="n">
        <f aca="false">IF(BO$1&lt;Units!$P53,0,IF(AND(Units!$K53=0,BO$1=Units!$O53),Units!$R53,IF(AND(BO$1&gt;=Units!$Q53,MOD(BO$1-Units!$Q53,12)=0),IF(AND(Units!$L53=1,BO$1=Units!$Q53),IF(Units!$J53&lt;&gt;"",Units!$J53,Mkt!BO54),Inputs!$B$15*Mkt!BO54+(1-Inputs!$B$15)*MIN(Mkt!BO54,BN54*(1+Inputs!$B$18))),BN54)))</f>
        <v>2144.657037455</v>
      </c>
      <c r="BP54" s="11" t="n">
        <f aca="false">IF(BP$1&lt;Units!$P53,0,IF(AND(Units!$K53=0,BP$1=Units!$O53),Units!$R53,IF(AND(BP$1&gt;=Units!$Q53,MOD(BP$1-Units!$Q53,12)=0),IF(AND(Units!$L53=1,BP$1=Units!$Q53),IF(Units!$J53&lt;&gt;"",Units!$J53,Mkt!BP54),Inputs!$B$15*Mkt!BP54+(1-Inputs!$B$15)*MIN(Mkt!BP54,BO54*(1+Inputs!$B$18))),BO54)))</f>
        <v>2144.657037455</v>
      </c>
      <c r="BQ54" s="11" t="n">
        <f aca="false">IF(BQ$1&lt;Units!$P53,0,IF(AND(Units!$K53=0,BQ$1=Units!$O53),Units!$R53,IF(AND(BQ$1&gt;=Units!$Q53,MOD(BQ$1-Units!$Q53,12)=0),IF(AND(Units!$L53=1,BQ$1=Units!$Q53),IF(Units!$J53&lt;&gt;"",Units!$J53,Mkt!BQ54),Inputs!$B$15*Mkt!BQ54+(1-Inputs!$B$15)*MIN(Mkt!BQ54,BP54*(1+Inputs!$B$18))),BP54)))</f>
        <v>2144.657037455</v>
      </c>
      <c r="BR54" s="11" t="n">
        <f aca="false">IF(BR$1&lt;Units!$P53,0,IF(AND(Units!$K53=0,BR$1=Units!$O53),Units!$R53,IF(AND(BR$1&gt;=Units!$Q53,MOD(BR$1-Units!$Q53,12)=0),IF(AND(Units!$L53=1,BR$1=Units!$Q53),IF(Units!$J53&lt;&gt;"",Units!$J53,Mkt!BR54),Inputs!$B$15*Mkt!BR54+(1-Inputs!$B$15)*MIN(Mkt!BR54,BQ54*(1+Inputs!$B$18))),BQ54)))</f>
        <v>2144.657037455</v>
      </c>
      <c r="BS54" s="11" t="n">
        <f aca="false">IF(BS$1&lt;Units!$P53,0,IF(AND(Units!$K53=0,BS$1=Units!$O53),Units!$R53,IF(AND(BS$1&gt;=Units!$Q53,MOD(BS$1-Units!$Q53,12)=0),IF(AND(Units!$L53=1,BS$1=Units!$Q53),IF(Units!$J53&lt;&gt;"",Units!$J53,Mkt!BS54),Inputs!$B$15*Mkt!BS54+(1-Inputs!$B$15)*MIN(Mkt!BS54,BR54*(1+Inputs!$B$18))),BR54)))</f>
        <v>2144.657037455</v>
      </c>
      <c r="BT54" s="11" t="n">
        <f aca="false">IF(BT$1&lt;Units!$P53,0,IF(AND(Units!$K53=0,BT$1=Units!$O53),Units!$R53,IF(AND(BT$1&gt;=Units!$Q53,MOD(BT$1-Units!$Q53,12)=0),IF(AND(Units!$L53=1,BT$1=Units!$Q53),IF(Units!$J53&lt;&gt;"",Units!$J53,Mkt!BT54),Inputs!$B$15*Mkt!BT54+(1-Inputs!$B$15)*MIN(Mkt!BT54,BS54*(1+Inputs!$B$18))),BS54)))</f>
        <v>2144.657037455</v>
      </c>
      <c r="BU54" s="11" t="n">
        <f aca="false">IF(BU$1&lt;Units!$P53,0,IF(AND(Units!$K53=0,BU$1=Units!$O53),Units!$R53,IF(AND(BU$1&gt;=Units!$Q53,MOD(BU$1-Units!$Q53,12)=0),IF(AND(Units!$L53=1,BU$1=Units!$Q53),IF(Units!$J53&lt;&gt;"",Units!$J53,Mkt!BU54),Inputs!$B$15*Mkt!BU54+(1-Inputs!$B$15)*MIN(Mkt!BU54,BT54*(1+Inputs!$B$18))),BT54)))</f>
        <v>2144.657037455</v>
      </c>
      <c r="BV54" s="11" t="n">
        <f aca="false">IF(BV$1&lt;Units!$P53,0,IF(AND(Units!$K53=0,BV$1=Units!$O53),Units!$R53,IF(AND(BV$1&gt;=Units!$Q53,MOD(BV$1-Units!$Q53,12)=0),IF(AND(Units!$L53=1,BV$1=Units!$Q53),IF(Units!$J53&lt;&gt;"",Units!$J53,Mkt!BV54),Inputs!$B$15*Mkt!BV54+(1-Inputs!$B$15)*MIN(Mkt!BV54,BU54*(1+Inputs!$B$18))),BU54)))</f>
        <v>2144.657037455</v>
      </c>
      <c r="BW54" s="11" t="n">
        <f aca="false">IF(BW$1&lt;Units!$P53,0,IF(AND(Units!$K53=0,BW$1=Units!$O53),Units!$R53,IF(AND(BW$1&gt;=Units!$Q53,MOD(BW$1-Units!$Q53,12)=0),IF(AND(Units!$L53=1,BW$1=Units!$Q53),IF(Units!$J53&lt;&gt;"",Units!$J53,Mkt!BW54),Inputs!$B$15*Mkt!BW54+(1-Inputs!$B$15)*MIN(Mkt!BW54,BV54*(1+Inputs!$B$18))),BV54)))</f>
        <v>2208.99674857865</v>
      </c>
      <c r="BX54" s="11" t="n">
        <f aca="false">IF(BX$1&lt;Units!$P53,0,IF(AND(Units!$K53=0,BX$1=Units!$O53),Units!$R53,IF(AND(BX$1&gt;=Units!$Q53,MOD(BX$1-Units!$Q53,12)=0),IF(AND(Units!$L53=1,BX$1=Units!$Q53),IF(Units!$J53&lt;&gt;"",Units!$J53,Mkt!BX54),Inputs!$B$15*Mkt!BX54+(1-Inputs!$B$15)*MIN(Mkt!BX54,BW54*(1+Inputs!$B$18))),BW54)))</f>
        <v>2208.99674857865</v>
      </c>
      <c r="BY54" s="11" t="n">
        <f aca="false">IF(BY$1&lt;Units!$P53,0,IF(AND(Units!$K53=0,BY$1=Units!$O53),Units!$R53,IF(AND(BY$1&gt;=Units!$Q53,MOD(BY$1-Units!$Q53,12)=0),IF(AND(Units!$L53=1,BY$1=Units!$Q53),IF(Units!$J53&lt;&gt;"",Units!$J53,Mkt!BY54),Inputs!$B$15*Mkt!BY54+(1-Inputs!$B$15)*MIN(Mkt!BY54,BX54*(1+Inputs!$B$18))),BX54)))</f>
        <v>2208.99674857865</v>
      </c>
      <c r="BZ54" s="11" t="n">
        <f aca="false">IF(BZ$1&lt;Units!$P53,0,IF(AND(Units!$K53=0,BZ$1=Units!$O53),Units!$R53,IF(AND(BZ$1&gt;=Units!$Q53,MOD(BZ$1-Units!$Q53,12)=0),IF(AND(Units!$L53=1,BZ$1=Units!$Q53),IF(Units!$J53&lt;&gt;"",Units!$J53,Mkt!BZ54),Inputs!$B$15*Mkt!BZ54+(1-Inputs!$B$15)*MIN(Mkt!BZ54,BY54*(1+Inputs!$B$18))),BY54)))</f>
        <v>2208.99674857865</v>
      </c>
      <c r="CA54" s="11" t="n">
        <f aca="false">IF(CA$1&lt;Units!$P53,0,IF(AND(Units!$K53=0,CA$1=Units!$O53),Units!$R53,IF(AND(CA$1&gt;=Units!$Q53,MOD(CA$1-Units!$Q53,12)=0),IF(AND(Units!$L53=1,CA$1=Units!$Q53),IF(Units!$J53&lt;&gt;"",Units!$J53,Mkt!CA54),Inputs!$B$15*Mkt!CA54+(1-Inputs!$B$15)*MIN(Mkt!CA54,BZ54*(1+Inputs!$B$18))),BZ54)))</f>
        <v>2208.99674857865</v>
      </c>
      <c r="CB54" s="11" t="n">
        <f aca="false">IF(CB$1&lt;Units!$P53,0,IF(AND(Units!$K53=0,CB$1=Units!$O53),Units!$R53,IF(AND(CB$1&gt;=Units!$Q53,MOD(CB$1-Units!$Q53,12)=0),IF(AND(Units!$L53=1,CB$1=Units!$Q53),IF(Units!$J53&lt;&gt;"",Units!$J53,Mkt!CB54),Inputs!$B$15*Mkt!CB54+(1-Inputs!$B$15)*MIN(Mkt!CB54,CA54*(1+Inputs!$B$18))),CA54)))</f>
        <v>2208.99674857865</v>
      </c>
      <c r="CC54" s="11" t="n">
        <f aca="false">IF(CC$1&lt;Units!$P53,0,IF(AND(Units!$K53=0,CC$1=Units!$O53),Units!$R53,IF(AND(CC$1&gt;=Units!$Q53,MOD(CC$1-Units!$Q53,12)=0),IF(AND(Units!$L53=1,CC$1=Units!$Q53),IF(Units!$J53&lt;&gt;"",Units!$J53,Mkt!CC54),Inputs!$B$15*Mkt!CC54+(1-Inputs!$B$15)*MIN(Mkt!CC54,CB54*(1+Inputs!$B$18))),CB54)))</f>
        <v>2208.99674857865</v>
      </c>
      <c r="CD54" s="11" t="n">
        <f aca="false">IF(CD$1&lt;Units!$P53,0,IF(AND(Units!$K53=0,CD$1=Units!$O53),Units!$R53,IF(AND(CD$1&gt;=Units!$Q53,MOD(CD$1-Units!$Q53,12)=0),IF(AND(Units!$L53=1,CD$1=Units!$Q53),IF(Units!$J53&lt;&gt;"",Units!$J53,Mkt!CD54),Inputs!$B$15*Mkt!CD54+(1-Inputs!$B$15)*MIN(Mkt!CD54,CC54*(1+Inputs!$B$18))),CC54)))</f>
        <v>2208.99674857865</v>
      </c>
      <c r="CE54" s="11" t="n">
        <f aca="false">IF(CE$1&lt;Units!$P53,0,IF(AND(Units!$K53=0,CE$1=Units!$O53),Units!$R53,IF(AND(CE$1&gt;=Units!$Q53,MOD(CE$1-Units!$Q53,12)=0),IF(AND(Units!$L53=1,CE$1=Units!$Q53),IF(Units!$J53&lt;&gt;"",Units!$J53,Mkt!CE54),Inputs!$B$15*Mkt!CE54+(1-Inputs!$B$15)*MIN(Mkt!CE54,CD54*(1+Inputs!$B$18))),CD54)))</f>
        <v>2208.99674857865</v>
      </c>
      <c r="CF54" s="11" t="n">
        <f aca="false">IF(CF$1&lt;Units!$P53,0,IF(AND(Units!$K53=0,CF$1=Units!$O53),Units!$R53,IF(AND(CF$1&gt;=Units!$Q53,MOD(CF$1-Units!$Q53,12)=0),IF(AND(Units!$L53=1,CF$1=Units!$Q53),IF(Units!$J53&lt;&gt;"",Units!$J53,Mkt!CF54),Inputs!$B$15*Mkt!CF54+(1-Inputs!$B$15)*MIN(Mkt!CF54,CE54*(1+Inputs!$B$18))),CE54)))</f>
        <v>2208.99674857865</v>
      </c>
      <c r="CG54" s="11" t="n">
        <f aca="false">IF(CG$1&lt;Units!$P53,0,IF(AND(Units!$K53=0,CG$1=Units!$O53),Units!$R53,IF(AND(CG$1&gt;=Units!$Q53,MOD(CG$1-Units!$Q53,12)=0),IF(AND(Units!$L53=1,CG$1=Units!$Q53),IF(Units!$J53&lt;&gt;"",Units!$J53,Mkt!CG54),Inputs!$B$15*Mkt!CG54+(1-Inputs!$B$15)*MIN(Mkt!CG54,CF54*(1+Inputs!$B$18))),CF54)))</f>
        <v>2208.99674857865</v>
      </c>
      <c r="CH54" s="11" t="n">
        <f aca="false">IF(CH$1&lt;Units!$P53,0,IF(AND(Units!$K53=0,CH$1=Units!$O53),Units!$R53,IF(AND(CH$1&gt;=Units!$Q53,MOD(CH$1-Units!$Q53,12)=0),IF(AND(Units!$L53=1,CH$1=Units!$Q53),IF(Units!$J53&lt;&gt;"",Units!$J53,Mkt!CH54),Inputs!$B$15*Mkt!CH54+(1-Inputs!$B$15)*MIN(Mkt!CH54,CG54*(1+Inputs!$B$18))),CG54)))</f>
        <v>2208.99674857865</v>
      </c>
      <c r="CI54" s="11" t="n">
        <f aca="false">IF(CI$1&lt;Units!$P53,0,IF(AND(Units!$K53=0,CI$1=Units!$O53),Units!$R53,IF(AND(CI$1&gt;=Units!$Q53,MOD(CI$1-Units!$Q53,12)=0),IF(AND(Units!$L53=1,CI$1=Units!$Q53),IF(Units!$J53&lt;&gt;"",Units!$J53,Mkt!CI54),Inputs!$B$15*Mkt!CI54+(1-Inputs!$B$15)*MIN(Mkt!CI54,CH54*(1+Inputs!$B$18))),CH54)))</f>
        <v>2275.26665103601</v>
      </c>
      <c r="CJ54" s="11" t="n">
        <f aca="false">IF(CJ$1&lt;Units!$P53,0,IF(AND(Units!$K53=0,CJ$1=Units!$O53),Units!$R53,IF(AND(CJ$1&gt;=Units!$Q53,MOD(CJ$1-Units!$Q53,12)=0),IF(AND(Units!$L53=1,CJ$1=Units!$Q53),IF(Units!$J53&lt;&gt;"",Units!$J53,Mkt!CJ54),Inputs!$B$15*Mkt!CJ54+(1-Inputs!$B$15)*MIN(Mkt!CJ54,CI54*(1+Inputs!$B$18))),CI54)))</f>
        <v>2275.26665103601</v>
      </c>
      <c r="CK54" s="11" t="n">
        <f aca="false">IF(CK$1&lt;Units!$P53,0,IF(AND(Units!$K53=0,CK$1=Units!$O53),Units!$R53,IF(AND(CK$1&gt;=Units!$Q53,MOD(CK$1-Units!$Q53,12)=0),IF(AND(Units!$L53=1,CK$1=Units!$Q53),IF(Units!$J53&lt;&gt;"",Units!$J53,Mkt!CK54),Inputs!$B$15*Mkt!CK54+(1-Inputs!$B$15)*MIN(Mkt!CK54,CJ54*(1+Inputs!$B$18))),CJ54)))</f>
        <v>2275.26665103601</v>
      </c>
      <c r="CL54" s="11" t="n">
        <f aca="false">IF(CL$1&lt;Units!$P53,0,IF(AND(Units!$K53=0,CL$1=Units!$O53),Units!$R53,IF(AND(CL$1&gt;=Units!$Q53,MOD(CL$1-Units!$Q53,12)=0),IF(AND(Units!$L53=1,CL$1=Units!$Q53),IF(Units!$J53&lt;&gt;"",Units!$J53,Mkt!CL54),Inputs!$B$15*Mkt!CL54+(1-Inputs!$B$15)*MIN(Mkt!CL54,CK54*(1+Inputs!$B$18))),CK54)))</f>
        <v>2275.26665103601</v>
      </c>
      <c r="CM54" s="11" t="n">
        <f aca="false">IF(CM$1&lt;Units!$P53,0,IF(AND(Units!$K53=0,CM$1=Units!$O53),Units!$R53,IF(AND(CM$1&gt;=Units!$Q53,MOD(CM$1-Units!$Q53,12)=0),IF(AND(Units!$L53=1,CM$1=Units!$Q53),IF(Units!$J53&lt;&gt;"",Units!$J53,Mkt!CM54),Inputs!$B$15*Mkt!CM54+(1-Inputs!$B$15)*MIN(Mkt!CM54,CL54*(1+Inputs!$B$18))),CL54)))</f>
        <v>2275.26665103601</v>
      </c>
      <c r="CN54" s="11" t="n">
        <f aca="false">IF(CN$1&lt;Units!$P53,0,IF(AND(Units!$K53=0,CN$1=Units!$O53),Units!$R53,IF(AND(CN$1&gt;=Units!$Q53,MOD(CN$1-Units!$Q53,12)=0),IF(AND(Units!$L53=1,CN$1=Units!$Q53),IF(Units!$J53&lt;&gt;"",Units!$J53,Mkt!CN54),Inputs!$B$15*Mkt!CN54+(1-Inputs!$B$15)*MIN(Mkt!CN54,CM54*(1+Inputs!$B$18))),CM54)))</f>
        <v>2275.26665103601</v>
      </c>
      <c r="CO54" s="11" t="n">
        <f aca="false">IF(CO$1&lt;Units!$P53,0,IF(AND(Units!$K53=0,CO$1=Units!$O53),Units!$R53,IF(AND(CO$1&gt;=Units!$Q53,MOD(CO$1-Units!$Q53,12)=0),IF(AND(Units!$L53=1,CO$1=Units!$Q53),IF(Units!$J53&lt;&gt;"",Units!$J53,Mkt!CO54),Inputs!$B$15*Mkt!CO54+(1-Inputs!$B$15)*MIN(Mkt!CO54,CN54*(1+Inputs!$B$18))),CN54)))</f>
        <v>2275.26665103601</v>
      </c>
      <c r="CP54" s="11" t="n">
        <f aca="false">IF(CP$1&lt;Units!$P53,0,IF(AND(Units!$K53=0,CP$1=Units!$O53),Units!$R53,IF(AND(CP$1&gt;=Units!$Q53,MOD(CP$1-Units!$Q53,12)=0),IF(AND(Units!$L53=1,CP$1=Units!$Q53),IF(Units!$J53&lt;&gt;"",Units!$J53,Mkt!CP54),Inputs!$B$15*Mkt!CP54+(1-Inputs!$B$15)*MIN(Mkt!CP54,CO54*(1+Inputs!$B$18))),CO54)))</f>
        <v>2275.26665103601</v>
      </c>
      <c r="CQ54" s="11" t="n">
        <f aca="false">IF(CQ$1&lt;Units!$P53,0,IF(AND(Units!$K53=0,CQ$1=Units!$O53),Units!$R53,IF(AND(CQ$1&gt;=Units!$Q53,MOD(CQ$1-Units!$Q53,12)=0),IF(AND(Units!$L53=1,CQ$1=Units!$Q53),IF(Units!$J53&lt;&gt;"",Units!$J53,Mkt!CQ54),Inputs!$B$15*Mkt!CQ54+(1-Inputs!$B$15)*MIN(Mkt!CQ54,CP54*(1+Inputs!$B$18))),CP54)))</f>
        <v>2275.26665103601</v>
      </c>
      <c r="CR54" s="11" t="n">
        <f aca="false">IF(CR$1&lt;Units!$P53,0,IF(AND(Units!$K53=0,CR$1=Units!$O53),Units!$R53,IF(AND(CR$1&gt;=Units!$Q53,MOD(CR$1-Units!$Q53,12)=0),IF(AND(Units!$L53=1,CR$1=Units!$Q53),IF(Units!$J53&lt;&gt;"",Units!$J53,Mkt!CR54),Inputs!$B$15*Mkt!CR54+(1-Inputs!$B$15)*MIN(Mkt!CR54,CQ54*(1+Inputs!$B$18))),CQ54)))</f>
        <v>2275.26665103601</v>
      </c>
      <c r="CS54" s="11" t="n">
        <f aca="false">IF(CS$1&lt;Units!$P53,0,IF(AND(Units!$K53=0,CS$1=Units!$O53),Units!$R53,IF(AND(CS$1&gt;=Units!$Q53,MOD(CS$1-Units!$Q53,12)=0),IF(AND(Units!$L53=1,CS$1=Units!$Q53),IF(Units!$J53&lt;&gt;"",Units!$J53,Mkt!CS54),Inputs!$B$15*Mkt!CS54+(1-Inputs!$B$15)*MIN(Mkt!CS54,CR54*(1+Inputs!$B$18))),CR54)))</f>
        <v>2275.26665103601</v>
      </c>
      <c r="CT54" s="11" t="n">
        <f aca="false">IF(CT$1&lt;Units!$P53,0,IF(AND(Units!$K53=0,CT$1=Units!$O53),Units!$R53,IF(AND(CT$1&gt;=Units!$Q53,MOD(CT$1-Units!$Q53,12)=0),IF(AND(Units!$L53=1,CT$1=Units!$Q53),IF(Units!$J53&lt;&gt;"",Units!$J53,Mkt!CT54),Inputs!$B$15*Mkt!CT54+(1-Inputs!$B$15)*MIN(Mkt!CT54,CS54*(1+Inputs!$B$18))),CS54)))</f>
        <v>2275.26665103601</v>
      </c>
      <c r="CU54" s="11" t="n">
        <f aca="false">IF(CU$1&lt;Units!$P53,0,IF(AND(Units!$K53=0,CU$1=Units!$O53),Units!$R53,IF(AND(CU$1&gt;=Units!$Q53,MOD(CU$1-Units!$Q53,12)=0),IF(AND(Units!$L53=1,CU$1=Units!$Q53),IF(Units!$J53&lt;&gt;"",Units!$J53,Mkt!CU54),Inputs!$B$15*Mkt!CU54+(1-Inputs!$B$15)*MIN(Mkt!CU54,CT54*(1+Inputs!$B$18))),CT54)))</f>
        <v>2343.52465056709</v>
      </c>
      <c r="CV54" s="11" t="n">
        <f aca="false">IF(CV$1&lt;Units!$P53,0,IF(AND(Units!$K53=0,CV$1=Units!$O53),Units!$R53,IF(AND(CV$1&gt;=Units!$Q53,MOD(CV$1-Units!$Q53,12)=0),IF(AND(Units!$L53=1,CV$1=Units!$Q53),IF(Units!$J53&lt;&gt;"",Units!$J53,Mkt!CV54),Inputs!$B$15*Mkt!CV54+(1-Inputs!$B$15)*MIN(Mkt!CV54,CU54*(1+Inputs!$B$18))),CU54)))</f>
        <v>2343.52465056709</v>
      </c>
      <c r="CW54" s="11" t="n">
        <f aca="false">IF(CW$1&lt;Units!$P53,0,IF(AND(Units!$K53=0,CW$1=Units!$O53),Units!$R53,IF(AND(CW$1&gt;=Units!$Q53,MOD(CW$1-Units!$Q53,12)=0),IF(AND(Units!$L53=1,CW$1=Units!$Q53),IF(Units!$J53&lt;&gt;"",Units!$J53,Mkt!CW54),Inputs!$B$15*Mkt!CW54+(1-Inputs!$B$15)*MIN(Mkt!CW54,CV54*(1+Inputs!$B$18))),CV54)))</f>
        <v>2343.52465056709</v>
      </c>
      <c r="CX54" s="11" t="n">
        <f aca="false">IF(CX$1&lt;Units!$P53,0,IF(AND(Units!$K53=0,CX$1=Units!$O53),Units!$R53,IF(AND(CX$1&gt;=Units!$Q53,MOD(CX$1-Units!$Q53,12)=0),IF(AND(Units!$L53=1,CX$1=Units!$Q53),IF(Units!$J53&lt;&gt;"",Units!$J53,Mkt!CX54),Inputs!$B$15*Mkt!CX54+(1-Inputs!$B$15)*MIN(Mkt!CX54,CW54*(1+Inputs!$B$18))),CW54)))</f>
        <v>2343.52465056709</v>
      </c>
      <c r="CY54" s="11" t="n">
        <f aca="false">IF(CY$1&lt;Units!$P53,0,IF(AND(Units!$K53=0,CY$1=Units!$O53),Units!$R53,IF(AND(CY$1&gt;=Units!$Q53,MOD(CY$1-Units!$Q53,12)=0),IF(AND(Units!$L53=1,CY$1=Units!$Q53),IF(Units!$J53&lt;&gt;"",Units!$J53,Mkt!CY54),Inputs!$B$15*Mkt!CY54+(1-Inputs!$B$15)*MIN(Mkt!CY54,CX54*(1+Inputs!$B$18))),CX54)))</f>
        <v>2343.52465056709</v>
      </c>
      <c r="CZ54" s="11" t="n">
        <f aca="false">IF(CZ$1&lt;Units!$P53,0,IF(AND(Units!$K53=0,CZ$1=Units!$O53),Units!$R53,IF(AND(CZ$1&gt;=Units!$Q53,MOD(CZ$1-Units!$Q53,12)=0),IF(AND(Units!$L53=1,CZ$1=Units!$Q53),IF(Units!$J53&lt;&gt;"",Units!$J53,Mkt!CZ54),Inputs!$B$15*Mkt!CZ54+(1-Inputs!$B$15)*MIN(Mkt!CZ54,CY54*(1+Inputs!$B$18))),CY54)))</f>
        <v>2343.52465056709</v>
      </c>
      <c r="DA54" s="11" t="n">
        <f aca="false">IF(DA$1&lt;Units!$P53,0,IF(AND(Units!$K53=0,DA$1=Units!$O53),Units!$R53,IF(AND(DA$1&gt;=Units!$Q53,MOD(DA$1-Units!$Q53,12)=0),IF(AND(Units!$L53=1,DA$1=Units!$Q53),IF(Units!$J53&lt;&gt;"",Units!$J53,Mkt!DA54),Inputs!$B$15*Mkt!DA54+(1-Inputs!$B$15)*MIN(Mkt!DA54,CZ54*(1+Inputs!$B$18))),CZ54)))</f>
        <v>2343.52465056709</v>
      </c>
      <c r="DB54" s="11" t="n">
        <f aca="false">IF(DB$1&lt;Units!$P53,0,IF(AND(Units!$K53=0,DB$1=Units!$O53),Units!$R53,IF(AND(DB$1&gt;=Units!$Q53,MOD(DB$1-Units!$Q53,12)=0),IF(AND(Units!$L53=1,DB$1=Units!$Q53),IF(Units!$J53&lt;&gt;"",Units!$J53,Mkt!DB54),Inputs!$B$15*Mkt!DB54+(1-Inputs!$B$15)*MIN(Mkt!DB54,DA54*(1+Inputs!$B$18))),DA54)))</f>
        <v>2343.52465056709</v>
      </c>
      <c r="DC54" s="11" t="n">
        <f aca="false">IF(DC$1&lt;Units!$P53,0,IF(AND(Units!$K53=0,DC$1=Units!$O53),Units!$R53,IF(AND(DC$1&gt;=Units!$Q53,MOD(DC$1-Units!$Q53,12)=0),IF(AND(Units!$L53=1,DC$1=Units!$Q53),IF(Units!$J53&lt;&gt;"",Units!$J53,Mkt!DC54),Inputs!$B$15*Mkt!DC54+(1-Inputs!$B$15)*MIN(Mkt!DC54,DB54*(1+Inputs!$B$18))),DB54)))</f>
        <v>2343.52465056709</v>
      </c>
      <c r="DD54" s="11" t="n">
        <f aca="false">IF(DD$1&lt;Units!$P53,0,IF(AND(Units!$K53=0,DD$1=Units!$O53),Units!$R53,IF(AND(DD$1&gt;=Units!$Q53,MOD(DD$1-Units!$Q53,12)=0),IF(AND(Units!$L53=1,DD$1=Units!$Q53),IF(Units!$J53&lt;&gt;"",Units!$J53,Mkt!DD54),Inputs!$B$15*Mkt!DD54+(1-Inputs!$B$15)*MIN(Mkt!DD54,DC54*(1+Inputs!$B$18))),DC54)))</f>
        <v>2343.52465056709</v>
      </c>
      <c r="DE54" s="11" t="n">
        <f aca="false">IF(DE$1&lt;Units!$P53,0,IF(AND(Units!$K53=0,DE$1=Units!$O53),Units!$R53,IF(AND(DE$1&gt;=Units!$Q53,MOD(DE$1-Units!$Q53,12)=0),IF(AND(Units!$L53=1,DE$1=Units!$Q53),IF(Units!$J53&lt;&gt;"",Units!$J53,Mkt!DE54),Inputs!$B$15*Mkt!DE54+(1-Inputs!$B$15)*MIN(Mkt!DE54,DD54*(1+Inputs!$B$18))),DD54)))</f>
        <v>2343.52465056709</v>
      </c>
      <c r="DF54" s="11" t="n">
        <f aca="false">IF(DF$1&lt;Units!$P53,0,IF(AND(Units!$K53=0,DF$1=Units!$O53),Units!$R53,IF(AND(DF$1&gt;=Units!$Q53,MOD(DF$1-Units!$Q53,12)=0),IF(AND(Units!$L53=1,DF$1=Units!$Q53),IF(Units!$J53&lt;&gt;"",Units!$J53,Mkt!DF54),Inputs!$B$15*Mkt!DF54+(1-Inputs!$B$15)*MIN(Mkt!DF54,DE54*(1+Inputs!$B$18))),DE54)))</f>
        <v>2343.52465056709</v>
      </c>
      <c r="DG54" s="11" t="n">
        <f aca="false">IF(DG$1&lt;Units!$P53,0,IF(AND(Units!$K53=0,DG$1=Units!$O53),Units!$R53,IF(AND(DG$1&gt;=Units!$Q53,MOD(DG$1-Units!$Q53,12)=0),IF(AND(Units!$L53=1,DG$1=Units!$Q53),IF(Units!$J53&lt;&gt;"",Units!$J53,Mkt!DG54),Inputs!$B$15*Mkt!DG54+(1-Inputs!$B$15)*MIN(Mkt!DG54,DF54*(1+Inputs!$B$18))),DF54)))</f>
        <v>2413.8303900841</v>
      </c>
      <c r="DH54" s="11" t="n">
        <f aca="false">IF(DH$1&lt;Units!$P53,0,IF(AND(Units!$K53=0,DH$1=Units!$O53),Units!$R53,IF(AND(DH$1&gt;=Units!$Q53,MOD(DH$1-Units!$Q53,12)=0),IF(AND(Units!$L53=1,DH$1=Units!$Q53),IF(Units!$J53&lt;&gt;"",Units!$J53,Mkt!DH54),Inputs!$B$15*Mkt!DH54+(1-Inputs!$B$15)*MIN(Mkt!DH54,DG54*(1+Inputs!$B$18))),DG54)))</f>
        <v>2413.8303900841</v>
      </c>
      <c r="DI54" s="11" t="n">
        <f aca="false">IF(DI$1&lt;Units!$P53,0,IF(AND(Units!$K53=0,DI$1=Units!$O53),Units!$R53,IF(AND(DI$1&gt;=Units!$Q53,MOD(DI$1-Units!$Q53,12)=0),IF(AND(Units!$L53=1,DI$1=Units!$Q53),IF(Units!$J53&lt;&gt;"",Units!$J53,Mkt!DI54),Inputs!$B$15*Mkt!DI54+(1-Inputs!$B$15)*MIN(Mkt!DI54,DH54*(1+Inputs!$B$18))),DH54)))</f>
        <v>2413.8303900841</v>
      </c>
      <c r="DJ54" s="11" t="n">
        <f aca="false">IF(DJ$1&lt;Units!$P53,0,IF(AND(Units!$K53=0,DJ$1=Units!$O53),Units!$R53,IF(AND(DJ$1&gt;=Units!$Q53,MOD(DJ$1-Units!$Q53,12)=0),IF(AND(Units!$L53=1,DJ$1=Units!$Q53),IF(Units!$J53&lt;&gt;"",Units!$J53,Mkt!DJ54),Inputs!$B$15*Mkt!DJ54+(1-Inputs!$B$15)*MIN(Mkt!DJ54,DI54*(1+Inputs!$B$18))),DI54)))</f>
        <v>2413.8303900841</v>
      </c>
      <c r="DK54" s="11" t="n">
        <f aca="false">IF(DK$1&lt;Units!$P53,0,IF(AND(Units!$K53=0,DK$1=Units!$O53),Units!$R53,IF(AND(DK$1&gt;=Units!$Q53,MOD(DK$1-Units!$Q53,12)=0),IF(AND(Units!$L53=1,DK$1=Units!$Q53),IF(Units!$J53&lt;&gt;"",Units!$J53,Mkt!DK54),Inputs!$B$15*Mkt!DK54+(1-Inputs!$B$15)*MIN(Mkt!DK54,DJ54*(1+Inputs!$B$18))),DJ54)))</f>
        <v>2413.8303900841</v>
      </c>
      <c r="DL54" s="11" t="n">
        <f aca="false">IF(DL$1&lt;Units!$P53,0,IF(AND(Units!$K53=0,DL$1=Units!$O53),Units!$R53,IF(AND(DL$1&gt;=Units!$Q53,MOD(DL$1-Units!$Q53,12)=0),IF(AND(Units!$L53=1,DL$1=Units!$Q53),IF(Units!$J53&lt;&gt;"",Units!$J53,Mkt!DL54),Inputs!$B$15*Mkt!DL54+(1-Inputs!$B$15)*MIN(Mkt!DL54,DK54*(1+Inputs!$B$18))),DK54)))</f>
        <v>2413.8303900841</v>
      </c>
      <c r="DM54" s="11" t="n">
        <f aca="false">IF(DM$1&lt;Units!$P53,0,IF(AND(Units!$K53=0,DM$1=Units!$O53),Units!$R53,IF(AND(DM$1&gt;=Units!$Q53,MOD(DM$1-Units!$Q53,12)=0),IF(AND(Units!$L53=1,DM$1=Units!$Q53),IF(Units!$J53&lt;&gt;"",Units!$J53,Mkt!DM54),Inputs!$B$15*Mkt!DM54+(1-Inputs!$B$15)*MIN(Mkt!DM54,DL54*(1+Inputs!$B$18))),DL54)))</f>
        <v>2413.8303900841</v>
      </c>
      <c r="DN54" s="11" t="n">
        <f aca="false">IF(DN$1&lt;Units!$P53,0,IF(AND(Units!$K53=0,DN$1=Units!$O53),Units!$R53,IF(AND(DN$1&gt;=Units!$Q53,MOD(DN$1-Units!$Q53,12)=0),IF(AND(Units!$L53=1,DN$1=Units!$Q53),IF(Units!$J53&lt;&gt;"",Units!$J53,Mkt!DN54),Inputs!$B$15*Mkt!DN54+(1-Inputs!$B$15)*MIN(Mkt!DN54,DM54*(1+Inputs!$B$18))),DM54)))</f>
        <v>2413.8303900841</v>
      </c>
      <c r="DO54" s="11" t="n">
        <f aca="false">IF(DO$1&lt;Units!$P53,0,IF(AND(Units!$K53=0,DO$1=Units!$O53),Units!$R53,IF(AND(DO$1&gt;=Units!$Q53,MOD(DO$1-Units!$Q53,12)=0),IF(AND(Units!$L53=1,DO$1=Units!$Q53),IF(Units!$J53&lt;&gt;"",Units!$J53,Mkt!DO54),Inputs!$B$15*Mkt!DO54+(1-Inputs!$B$15)*MIN(Mkt!DO54,DN54*(1+Inputs!$B$18))),DN54)))</f>
        <v>2413.8303900841</v>
      </c>
      <c r="DP54" s="11" t="n">
        <f aca="false">IF(DP$1&lt;Units!$P53,0,IF(AND(Units!$K53=0,DP$1=Units!$O53),Units!$R53,IF(AND(DP$1&gt;=Units!$Q53,MOD(DP$1-Units!$Q53,12)=0),IF(AND(Units!$L53=1,DP$1=Units!$Q53),IF(Units!$J53&lt;&gt;"",Units!$J53,Mkt!DP54),Inputs!$B$15*Mkt!DP54+(1-Inputs!$B$15)*MIN(Mkt!DP54,DO54*(1+Inputs!$B$18))),DO54)))</f>
        <v>2413.8303900841</v>
      </c>
      <c r="DQ54" s="11" t="n">
        <f aca="false">IF(DQ$1&lt;Units!$P53,0,IF(AND(Units!$K53=0,DQ$1=Units!$O53),Units!$R53,IF(AND(DQ$1&gt;=Units!$Q53,MOD(DQ$1-Units!$Q53,12)=0),IF(AND(Units!$L53=1,DQ$1=Units!$Q53),IF(Units!$J53&lt;&gt;"",Units!$J53,Mkt!DQ54),Inputs!$B$15*Mkt!DQ54+(1-Inputs!$B$15)*MIN(Mkt!DQ54,DP54*(1+Inputs!$B$18))),DP54)))</f>
        <v>2413.8303900841</v>
      </c>
      <c r="DR54" s="11" t="n">
        <f aca="false">IF(DR$1&lt;Units!$P53,0,IF(AND(Units!$K53=0,DR$1=Units!$O53),Units!$R53,IF(AND(DR$1&gt;=Units!$Q53,MOD(DR$1-Units!$Q53,12)=0),IF(AND(Units!$L53=1,DR$1=Units!$Q53),IF(Units!$J53&lt;&gt;"",Units!$J53,Mkt!DR54),Inputs!$B$15*Mkt!DR54+(1-Inputs!$B$15)*MIN(Mkt!DR54,DQ54*(1+Inputs!$B$18))),DQ54)))</f>
        <v>2413.8303900841</v>
      </c>
      <c r="DS54" s="11" t="n">
        <f aca="false">IF(DS$1&lt;Units!$P53,0,IF(AND(Units!$K53=0,DS$1=Units!$O53),Units!$R53,IF(AND(DS$1&gt;=Units!$Q53,MOD(DS$1-Units!$Q53,12)=0),IF(AND(Units!$L53=1,DS$1=Units!$Q53),IF(Units!$J53&lt;&gt;"",Units!$J53,Mkt!DS54),Inputs!$B$15*Mkt!DS54+(1-Inputs!$B$15)*MIN(Mkt!DS54,DR54*(1+Inputs!$B$18))),DR54)))</f>
        <v>2486.24530178663</v>
      </c>
      <c r="DT54" s="11" t="n">
        <f aca="false">IF(DT$1&lt;Units!$P53,0,IF(AND(Units!$K53=0,DT$1=Units!$O53),Units!$R53,IF(AND(DT$1&gt;=Units!$Q53,MOD(DT$1-Units!$Q53,12)=0),IF(AND(Units!$L53=1,DT$1=Units!$Q53),IF(Units!$J53&lt;&gt;"",Units!$J53,Mkt!DT54),Inputs!$B$15*Mkt!DT54+(1-Inputs!$B$15)*MIN(Mkt!DT54,DS54*(1+Inputs!$B$18))),DS54)))</f>
        <v>2486.24530178663</v>
      </c>
      <c r="DU54" s="11" t="n">
        <f aca="false">IF(DU$1&lt;Units!$P53,0,IF(AND(Units!$K53=0,DU$1=Units!$O53),Units!$R53,IF(AND(DU$1&gt;=Units!$Q53,MOD(DU$1-Units!$Q53,12)=0),IF(AND(Units!$L53=1,DU$1=Units!$Q53),IF(Units!$J53&lt;&gt;"",Units!$J53,Mkt!DU54),Inputs!$B$15*Mkt!DU54+(1-Inputs!$B$15)*MIN(Mkt!DU54,DT54*(1+Inputs!$B$18))),DT54)))</f>
        <v>2486.24530178663</v>
      </c>
      <c r="DV54" s="11" t="n">
        <f aca="false">IF(DV$1&lt;Units!$P53,0,IF(AND(Units!$K53=0,DV$1=Units!$O53),Units!$R53,IF(AND(DV$1&gt;=Units!$Q53,MOD(DV$1-Units!$Q53,12)=0),IF(AND(Units!$L53=1,DV$1=Units!$Q53),IF(Units!$J53&lt;&gt;"",Units!$J53,Mkt!DV54),Inputs!$B$15*Mkt!DV54+(1-Inputs!$B$15)*MIN(Mkt!DV54,DU54*(1+Inputs!$B$18))),DU54)))</f>
        <v>2486.24530178663</v>
      </c>
      <c r="DW54" s="11" t="n">
        <f aca="false">IF(DW$1&lt;Units!$P53,0,IF(AND(Units!$K53=0,DW$1=Units!$O53),Units!$R53,IF(AND(DW$1&gt;=Units!$Q53,MOD(DW$1-Units!$Q53,12)=0),IF(AND(Units!$L53=1,DW$1=Units!$Q53),IF(Units!$J53&lt;&gt;"",Units!$J53,Mkt!DW54),Inputs!$B$15*Mkt!DW54+(1-Inputs!$B$15)*MIN(Mkt!DW54,DV54*(1+Inputs!$B$18))),DV54)))</f>
        <v>2486.24530178663</v>
      </c>
      <c r="DX54" s="11" t="n">
        <f aca="false">IF(DX$1&lt;Units!$P53,0,IF(AND(Units!$K53=0,DX$1=Units!$O53),Units!$R53,IF(AND(DX$1&gt;=Units!$Q53,MOD(DX$1-Units!$Q53,12)=0),IF(AND(Units!$L53=1,DX$1=Units!$Q53),IF(Units!$J53&lt;&gt;"",Units!$J53,Mkt!DX54),Inputs!$B$15*Mkt!DX54+(1-Inputs!$B$15)*MIN(Mkt!DX54,DW54*(1+Inputs!$B$18))),DW54)))</f>
        <v>2486.24530178663</v>
      </c>
      <c r="DY54" s="11" t="n">
        <f aca="false">IF(DY$1&lt;Units!$P53,0,IF(AND(Units!$K53=0,DY$1=Units!$O53),Units!$R53,IF(AND(DY$1&gt;=Units!$Q53,MOD(DY$1-Units!$Q53,12)=0),IF(AND(Units!$L53=1,DY$1=Units!$Q53),IF(Units!$J53&lt;&gt;"",Units!$J53,Mkt!DY54),Inputs!$B$15*Mkt!DY54+(1-Inputs!$B$15)*MIN(Mkt!DY54,DX54*(1+Inputs!$B$18))),DX54)))</f>
        <v>2486.24530178663</v>
      </c>
      <c r="DZ54" s="11" t="n">
        <f aca="false">IF(DZ$1&lt;Units!$P53,0,IF(AND(Units!$K53=0,DZ$1=Units!$O53),Units!$R53,IF(AND(DZ$1&gt;=Units!$Q53,MOD(DZ$1-Units!$Q53,12)=0),IF(AND(Units!$L53=1,DZ$1=Units!$Q53),IF(Units!$J53&lt;&gt;"",Units!$J53,Mkt!DZ54),Inputs!$B$15*Mkt!DZ54+(1-Inputs!$B$15)*MIN(Mkt!DZ54,DY54*(1+Inputs!$B$18))),DY54)))</f>
        <v>2486.24530178663</v>
      </c>
      <c r="EA54" s="11" t="n">
        <f aca="false">IF(EA$1&lt;Units!$P53,0,IF(AND(Units!$K53=0,EA$1=Units!$O53),Units!$R53,IF(AND(EA$1&gt;=Units!$Q53,MOD(EA$1-Units!$Q53,12)=0),IF(AND(Units!$L53=1,EA$1=Units!$Q53),IF(Units!$J53&lt;&gt;"",Units!$J53,Mkt!EA54),Inputs!$B$15*Mkt!EA54+(1-Inputs!$B$15)*MIN(Mkt!EA54,DZ54*(1+Inputs!$B$18))),DZ54)))</f>
        <v>2486.24530178663</v>
      </c>
      <c r="EB54" s="11" t="n">
        <f aca="false">IF(EB$1&lt;Units!$P53,0,IF(AND(Units!$K53=0,EB$1=Units!$O53),Units!$R53,IF(AND(EB$1&gt;=Units!$Q53,MOD(EB$1-Units!$Q53,12)=0),IF(AND(Units!$L53=1,EB$1=Units!$Q53),IF(Units!$J53&lt;&gt;"",Units!$J53,Mkt!EB54),Inputs!$B$15*Mkt!EB54+(1-Inputs!$B$15)*MIN(Mkt!EB54,EA54*(1+Inputs!$B$18))),EA54)))</f>
        <v>2486.24530178663</v>
      </c>
      <c r="EC54" s="11" t="n">
        <f aca="false">IF(EC$1&lt;Units!$P53,0,IF(AND(Units!$K53=0,EC$1=Units!$O53),Units!$R53,IF(AND(EC$1&gt;=Units!$Q53,MOD(EC$1-Units!$Q53,12)=0),IF(AND(Units!$L53=1,EC$1=Units!$Q53),IF(Units!$J53&lt;&gt;"",Units!$J53,Mkt!EC54),Inputs!$B$15*Mkt!EC54+(1-Inputs!$B$15)*MIN(Mkt!EC54,EB54*(1+Inputs!$B$18))),EB54)))</f>
        <v>2486.24530178663</v>
      </c>
      <c r="ED54" s="11" t="n">
        <f aca="false">IF(ED$1&lt;Units!$P53,0,IF(AND(Units!$K53=0,ED$1=Units!$O53),Units!$R53,IF(AND(ED$1&gt;=Units!$Q53,MOD(ED$1-Units!$Q53,12)=0),IF(AND(Units!$L53=1,ED$1=Units!$Q53),IF(Units!$J53&lt;&gt;"",Units!$J53,Mkt!ED54),Inputs!$B$15*Mkt!ED54+(1-Inputs!$B$15)*MIN(Mkt!ED54,EC54*(1+Inputs!$B$18))),EC54)))</f>
        <v>2486.24530178663</v>
      </c>
    </row>
    <row r="55" customFormat="false" ht="15" hidden="false" customHeight="false" outlineLevel="0" collapsed="false">
      <c r="A55" s="22" t="n">
        <f aca="false">Units!A54</f>
        <v>223</v>
      </c>
      <c r="B55" s="24" t="n">
        <f aca="false">IF(Units!K54=1,Units!F54,0)</f>
        <v>1720</v>
      </c>
      <c r="C55" s="11" t="n">
        <f aca="false">IF(C$1&lt;Units!$P54,0,IF(AND(Units!$K54=0,C$1=Units!$O54),Units!$R54,IF(AND(C$1&gt;=Units!$Q54,MOD(C$1-Units!$Q54,12)=0),IF(AND(Units!$L54=1,C$1=Units!$Q54),IF(Units!$J54&lt;&gt;"",Units!$J54,Mkt!C55),Inputs!$B$15*Mkt!C55+(1-Inputs!$B$15)*MIN(Mkt!C55,B55*(1+Inputs!$B$18))),B55)))</f>
        <v>1720</v>
      </c>
      <c r="D55" s="11" t="n">
        <f aca="false">IF(D$1&lt;Units!$P54,0,IF(AND(Units!$K54=0,D$1=Units!$O54),Units!$R54,IF(AND(D$1&gt;=Units!$Q54,MOD(D$1-Units!$Q54,12)=0),IF(AND(Units!$L54=1,D$1=Units!$Q54),IF(Units!$J54&lt;&gt;"",Units!$J54,Mkt!D55),Inputs!$B$15*Mkt!D55+(1-Inputs!$B$15)*MIN(Mkt!D55,C55*(1+Inputs!$B$18))),C55)))</f>
        <v>1720</v>
      </c>
      <c r="E55" s="11" t="n">
        <f aca="false">IF(E$1&lt;Units!$P54,0,IF(AND(Units!$K54=0,E$1=Units!$O54),Units!$R54,IF(AND(E$1&gt;=Units!$Q54,MOD(E$1-Units!$Q54,12)=0),IF(AND(Units!$L54=1,E$1=Units!$Q54),IF(Units!$J54&lt;&gt;"",Units!$J54,Mkt!E55),Inputs!$B$15*Mkt!E55+(1-Inputs!$B$15)*MIN(Mkt!E55,D55*(1+Inputs!$B$18))),D55)))</f>
        <v>1720</v>
      </c>
      <c r="F55" s="11" t="n">
        <f aca="false">IF(F$1&lt;Units!$P54,0,IF(AND(Units!$K54=0,F$1=Units!$O54),Units!$R54,IF(AND(F$1&gt;=Units!$Q54,MOD(F$1-Units!$Q54,12)=0),IF(AND(Units!$L54=1,F$1=Units!$Q54),IF(Units!$J54&lt;&gt;"",Units!$J54,Mkt!F55),Inputs!$B$15*Mkt!F55+(1-Inputs!$B$15)*MIN(Mkt!F55,E55*(1+Inputs!$B$18))),E55)))</f>
        <v>1720</v>
      </c>
      <c r="G55" s="11" t="n">
        <f aca="false">IF(G$1&lt;Units!$P54,0,IF(AND(Units!$K54=0,G$1=Units!$O54),Units!$R54,IF(AND(G$1&gt;=Units!$Q54,MOD(G$1-Units!$Q54,12)=0),IF(AND(Units!$L54=1,G$1=Units!$Q54),IF(Units!$J54&lt;&gt;"",Units!$J54,Mkt!G55),Inputs!$B$15*Mkt!G55+(1-Inputs!$B$15)*MIN(Mkt!G55,F55*(1+Inputs!$B$18))),F55)))</f>
        <v>1720</v>
      </c>
      <c r="H55" s="11" t="n">
        <f aca="false">IF(H$1&lt;Units!$P54,0,IF(AND(Units!$K54=0,H$1=Units!$O54),Units!$R54,IF(AND(H$1&gt;=Units!$Q54,MOD(H$1-Units!$Q54,12)=0),IF(AND(Units!$L54=1,H$1=Units!$Q54),IF(Units!$J54&lt;&gt;"",Units!$J54,Mkt!H55),Inputs!$B$15*Mkt!H55+(1-Inputs!$B$15)*MIN(Mkt!H55,G55*(1+Inputs!$B$18))),G55)))</f>
        <v>1720</v>
      </c>
      <c r="I55" s="11" t="n">
        <f aca="false">IF(I$1&lt;Units!$P54,0,IF(AND(Units!$K54=0,I$1=Units!$O54),Units!$R54,IF(AND(I$1&gt;=Units!$Q54,MOD(I$1-Units!$Q54,12)=0),IF(AND(Units!$L54=1,I$1=Units!$Q54),IF(Units!$J54&lt;&gt;"",Units!$J54,Mkt!I55),Inputs!$B$15*Mkt!I55+(1-Inputs!$B$15)*MIN(Mkt!I55,H55*(1+Inputs!$B$18))),H55)))</f>
        <v>1720</v>
      </c>
      <c r="J55" s="11" t="n">
        <f aca="false">IF(J$1&lt;Units!$P54,0,IF(AND(Units!$K54=0,J$1=Units!$O54),Units!$R54,IF(AND(J$1&gt;=Units!$Q54,MOD(J$1-Units!$Q54,12)=0),IF(AND(Units!$L54=1,J$1=Units!$Q54),IF(Units!$J54&lt;&gt;"",Units!$J54,Mkt!J55),Inputs!$B$15*Mkt!J55+(1-Inputs!$B$15)*MIN(Mkt!J55,I55*(1+Inputs!$B$18))),I55)))</f>
        <v>1720</v>
      </c>
      <c r="K55" s="11" t="n">
        <f aca="false">IF(K$1&lt;Units!$P54,0,IF(AND(Units!$K54=0,K$1=Units!$O54),Units!$R54,IF(AND(K$1&gt;=Units!$Q54,MOD(K$1-Units!$Q54,12)=0),IF(AND(Units!$L54=1,K$1=Units!$Q54),IF(Units!$J54&lt;&gt;"",Units!$J54,Mkt!K55),Inputs!$B$15*Mkt!K55+(1-Inputs!$B$15)*MIN(Mkt!K55,J55*(1+Inputs!$B$18))),J55)))</f>
        <v>1720</v>
      </c>
      <c r="L55" s="11" t="n">
        <f aca="false">IF(L$1&lt;Units!$P54,0,IF(AND(Units!$K54=0,L$1=Units!$O54),Units!$R54,IF(AND(L$1&gt;=Units!$Q54,MOD(L$1-Units!$Q54,12)=0),IF(AND(Units!$L54=1,L$1=Units!$Q54),IF(Units!$J54&lt;&gt;"",Units!$J54,Mkt!L55),Inputs!$B$15*Mkt!L55+(1-Inputs!$B$15)*MIN(Mkt!L55,K55*(1+Inputs!$B$18))),K55)))</f>
        <v>1828</v>
      </c>
      <c r="M55" s="11" t="n">
        <f aca="false">IF(M$1&lt;Units!$P54,0,IF(AND(Units!$K54=0,M$1=Units!$O54),Units!$R54,IF(AND(M$1&gt;=Units!$Q54,MOD(M$1-Units!$Q54,12)=0),IF(AND(Units!$L54=1,M$1=Units!$Q54),IF(Units!$J54&lt;&gt;"",Units!$J54,Mkt!M55),Inputs!$B$15*Mkt!M55+(1-Inputs!$B$15)*MIN(Mkt!M55,L55*(1+Inputs!$B$18))),L55)))</f>
        <v>1828</v>
      </c>
      <c r="N55" s="11" t="n">
        <f aca="false">IF(N$1&lt;Units!$P54,0,IF(AND(Units!$K54=0,N$1=Units!$O54),Units!$R54,IF(AND(N$1&gt;=Units!$Q54,MOD(N$1-Units!$Q54,12)=0),IF(AND(Units!$L54=1,N$1=Units!$Q54),IF(Units!$J54&lt;&gt;"",Units!$J54,Mkt!N55),Inputs!$B$15*Mkt!N55+(1-Inputs!$B$15)*MIN(Mkt!N55,M55*(1+Inputs!$B$18))),M55)))</f>
        <v>1828</v>
      </c>
      <c r="O55" s="11" t="n">
        <f aca="false">IF(O$1&lt;Units!$P54,0,IF(AND(Units!$K54=0,O$1=Units!$O54),Units!$R54,IF(AND(O$1&gt;=Units!$Q54,MOD(O$1-Units!$Q54,12)=0),IF(AND(Units!$L54=1,O$1=Units!$Q54),IF(Units!$J54&lt;&gt;"",Units!$J54,Mkt!O55),Inputs!$B$15*Mkt!O55+(1-Inputs!$B$15)*MIN(Mkt!O55,N55*(1+Inputs!$B$18))),N55)))</f>
        <v>1828</v>
      </c>
      <c r="P55" s="11" t="n">
        <f aca="false">IF(P$1&lt;Units!$P54,0,IF(AND(Units!$K54=0,P$1=Units!$O54),Units!$R54,IF(AND(P$1&gt;=Units!$Q54,MOD(P$1-Units!$Q54,12)=0),IF(AND(Units!$L54=1,P$1=Units!$Q54),IF(Units!$J54&lt;&gt;"",Units!$J54,Mkt!P55),Inputs!$B$15*Mkt!P55+(1-Inputs!$B$15)*MIN(Mkt!P55,O55*(1+Inputs!$B$18))),O55)))</f>
        <v>1828</v>
      </c>
      <c r="Q55" s="11" t="n">
        <f aca="false">IF(Q$1&lt;Units!$P54,0,IF(AND(Units!$K54=0,Q$1=Units!$O54),Units!$R54,IF(AND(Q$1&gt;=Units!$Q54,MOD(Q$1-Units!$Q54,12)=0),IF(AND(Units!$L54=1,Q$1=Units!$Q54),IF(Units!$J54&lt;&gt;"",Units!$J54,Mkt!Q55),Inputs!$B$15*Mkt!Q55+(1-Inputs!$B$15)*MIN(Mkt!Q55,P55*(1+Inputs!$B$18))),P55)))</f>
        <v>1828</v>
      </c>
      <c r="R55" s="11" t="n">
        <f aca="false">IF(R$1&lt;Units!$P54,0,IF(AND(Units!$K54=0,R$1=Units!$O54),Units!$R54,IF(AND(R$1&gt;=Units!$Q54,MOD(R$1-Units!$Q54,12)=0),IF(AND(Units!$L54=1,R$1=Units!$Q54),IF(Units!$J54&lt;&gt;"",Units!$J54,Mkt!R55),Inputs!$B$15*Mkt!R55+(1-Inputs!$B$15)*MIN(Mkt!R55,Q55*(1+Inputs!$B$18))),Q55)))</f>
        <v>1828</v>
      </c>
      <c r="S55" s="11" t="n">
        <f aca="false">IF(S$1&lt;Units!$P54,0,IF(AND(Units!$K54=0,S$1=Units!$O54),Units!$R54,IF(AND(S$1&gt;=Units!$Q54,MOD(S$1-Units!$Q54,12)=0),IF(AND(Units!$L54=1,S$1=Units!$Q54),IF(Units!$J54&lt;&gt;"",Units!$J54,Mkt!S55),Inputs!$B$15*Mkt!S55+(1-Inputs!$B$15)*MIN(Mkt!S55,R55*(1+Inputs!$B$18))),R55)))</f>
        <v>1828</v>
      </c>
      <c r="T55" s="11" t="n">
        <f aca="false">IF(T$1&lt;Units!$P54,0,IF(AND(Units!$K54=0,T$1=Units!$O54),Units!$R54,IF(AND(T$1&gt;=Units!$Q54,MOD(T$1-Units!$Q54,12)=0),IF(AND(Units!$L54=1,T$1=Units!$Q54),IF(Units!$J54&lt;&gt;"",Units!$J54,Mkt!T55),Inputs!$B$15*Mkt!T55+(1-Inputs!$B$15)*MIN(Mkt!T55,S55*(1+Inputs!$B$18))),S55)))</f>
        <v>1828</v>
      </c>
      <c r="U55" s="11" t="n">
        <f aca="false">IF(U$1&lt;Units!$P54,0,IF(AND(Units!$K54=0,U$1=Units!$O54),Units!$R54,IF(AND(U$1&gt;=Units!$Q54,MOD(U$1-Units!$Q54,12)=0),IF(AND(Units!$L54=1,U$1=Units!$Q54),IF(Units!$J54&lt;&gt;"",Units!$J54,Mkt!U55),Inputs!$B$15*Mkt!U55+(1-Inputs!$B$15)*MIN(Mkt!U55,T55*(1+Inputs!$B$18))),T55)))</f>
        <v>1828</v>
      </c>
      <c r="V55" s="11" t="n">
        <f aca="false">IF(V$1&lt;Units!$P54,0,IF(AND(Units!$K54=0,V$1=Units!$O54),Units!$R54,IF(AND(V$1&gt;=Units!$Q54,MOD(V$1-Units!$Q54,12)=0),IF(AND(Units!$L54=1,V$1=Units!$Q54),IF(Units!$J54&lt;&gt;"",Units!$J54,Mkt!V55),Inputs!$B$15*Mkt!V55+(1-Inputs!$B$15)*MIN(Mkt!V55,U55*(1+Inputs!$B$18))),U55)))</f>
        <v>1828</v>
      </c>
      <c r="W55" s="11" t="n">
        <f aca="false">IF(W$1&lt;Units!$P54,0,IF(AND(Units!$K54=0,W$1=Units!$O54),Units!$R54,IF(AND(W$1&gt;=Units!$Q54,MOD(W$1-Units!$Q54,12)=0),IF(AND(Units!$L54=1,W$1=Units!$Q54),IF(Units!$J54&lt;&gt;"",Units!$J54,Mkt!W55),Inputs!$B$15*Mkt!W55+(1-Inputs!$B$15)*MIN(Mkt!W55,V55*(1+Inputs!$B$18))),V55)))</f>
        <v>1828</v>
      </c>
      <c r="X55" s="11" t="n">
        <f aca="false">IF(X$1&lt;Units!$P54,0,IF(AND(Units!$K54=0,X$1=Units!$O54),Units!$R54,IF(AND(X$1&gt;=Units!$Q54,MOD(X$1-Units!$Q54,12)=0),IF(AND(Units!$L54=1,X$1=Units!$Q54),IF(Units!$J54&lt;&gt;"",Units!$J54,Mkt!X55),Inputs!$B$15*Mkt!X55+(1-Inputs!$B$15)*MIN(Mkt!X55,W55*(1+Inputs!$B$18))),W55)))</f>
        <v>1905.5</v>
      </c>
      <c r="Y55" s="11" t="n">
        <f aca="false">IF(Y$1&lt;Units!$P54,0,IF(AND(Units!$K54=0,Y$1=Units!$O54),Units!$R54,IF(AND(Y$1&gt;=Units!$Q54,MOD(Y$1-Units!$Q54,12)=0),IF(AND(Units!$L54=1,Y$1=Units!$Q54),IF(Units!$J54&lt;&gt;"",Units!$J54,Mkt!Y55),Inputs!$B$15*Mkt!Y55+(1-Inputs!$B$15)*MIN(Mkt!Y55,X55*(1+Inputs!$B$18))),X55)))</f>
        <v>1905.5</v>
      </c>
      <c r="Z55" s="11" t="n">
        <f aca="false">IF(Z$1&lt;Units!$P54,0,IF(AND(Units!$K54=0,Z$1=Units!$O54),Units!$R54,IF(AND(Z$1&gt;=Units!$Q54,MOD(Z$1-Units!$Q54,12)=0),IF(AND(Units!$L54=1,Z$1=Units!$Q54),IF(Units!$J54&lt;&gt;"",Units!$J54,Mkt!Z55),Inputs!$B$15*Mkt!Z55+(1-Inputs!$B$15)*MIN(Mkt!Z55,Y55*(1+Inputs!$B$18))),Y55)))</f>
        <v>1905.5</v>
      </c>
      <c r="AA55" s="11" t="n">
        <f aca="false">IF(AA$1&lt;Units!$P54,0,IF(AND(Units!$K54=0,AA$1=Units!$O54),Units!$R54,IF(AND(AA$1&gt;=Units!$Q54,MOD(AA$1-Units!$Q54,12)=0),IF(AND(Units!$L54=1,AA$1=Units!$Q54),IF(Units!$J54&lt;&gt;"",Units!$J54,Mkt!AA55),Inputs!$B$15*Mkt!AA55+(1-Inputs!$B$15)*MIN(Mkt!AA55,Z55*(1+Inputs!$B$18))),Z55)))</f>
        <v>1905.5</v>
      </c>
      <c r="AB55" s="11" t="n">
        <f aca="false">IF(AB$1&lt;Units!$P54,0,IF(AND(Units!$K54=0,AB$1=Units!$O54),Units!$R54,IF(AND(AB$1&gt;=Units!$Q54,MOD(AB$1-Units!$Q54,12)=0),IF(AND(Units!$L54=1,AB$1=Units!$Q54),IF(Units!$J54&lt;&gt;"",Units!$J54,Mkt!AB55),Inputs!$B$15*Mkt!AB55+(1-Inputs!$B$15)*MIN(Mkt!AB55,AA55*(1+Inputs!$B$18))),AA55)))</f>
        <v>1905.5</v>
      </c>
      <c r="AC55" s="11" t="n">
        <f aca="false">IF(AC$1&lt;Units!$P54,0,IF(AND(Units!$K54=0,AC$1=Units!$O54),Units!$R54,IF(AND(AC$1&gt;=Units!$Q54,MOD(AC$1-Units!$Q54,12)=0),IF(AND(Units!$L54=1,AC$1=Units!$Q54),IF(Units!$J54&lt;&gt;"",Units!$J54,Mkt!AC55),Inputs!$B$15*Mkt!AC55+(1-Inputs!$B$15)*MIN(Mkt!AC55,AB55*(1+Inputs!$B$18))),AB55)))</f>
        <v>1905.5</v>
      </c>
      <c r="AD55" s="11" t="n">
        <f aca="false">IF(AD$1&lt;Units!$P54,0,IF(AND(Units!$K54=0,AD$1=Units!$O54),Units!$R54,IF(AND(AD$1&gt;=Units!$Q54,MOD(AD$1-Units!$Q54,12)=0),IF(AND(Units!$L54=1,AD$1=Units!$Q54),IF(Units!$J54&lt;&gt;"",Units!$J54,Mkt!AD55),Inputs!$B$15*Mkt!AD55+(1-Inputs!$B$15)*MIN(Mkt!AD55,AC55*(1+Inputs!$B$18))),AC55)))</f>
        <v>1905.5</v>
      </c>
      <c r="AE55" s="11" t="n">
        <f aca="false">IF(AE$1&lt;Units!$P54,0,IF(AND(Units!$K54=0,AE$1=Units!$O54),Units!$R54,IF(AND(AE$1&gt;=Units!$Q54,MOD(AE$1-Units!$Q54,12)=0),IF(AND(Units!$L54=1,AE$1=Units!$Q54),IF(Units!$J54&lt;&gt;"",Units!$J54,Mkt!AE55),Inputs!$B$15*Mkt!AE55+(1-Inputs!$B$15)*MIN(Mkt!AE55,AD55*(1+Inputs!$B$18))),AD55)))</f>
        <v>1905.5</v>
      </c>
      <c r="AF55" s="11" t="n">
        <f aca="false">IF(AF$1&lt;Units!$P54,0,IF(AND(Units!$K54=0,AF$1=Units!$O54),Units!$R54,IF(AND(AF$1&gt;=Units!$Q54,MOD(AF$1-Units!$Q54,12)=0),IF(AND(Units!$L54=1,AF$1=Units!$Q54),IF(Units!$J54&lt;&gt;"",Units!$J54,Mkt!AF55),Inputs!$B$15*Mkt!AF55+(1-Inputs!$B$15)*MIN(Mkt!AF55,AE55*(1+Inputs!$B$18))),AE55)))</f>
        <v>1905.5</v>
      </c>
      <c r="AG55" s="11" t="n">
        <f aca="false">IF(AG$1&lt;Units!$P54,0,IF(AND(Units!$K54=0,AG$1=Units!$O54),Units!$R54,IF(AND(AG$1&gt;=Units!$Q54,MOD(AG$1-Units!$Q54,12)=0),IF(AND(Units!$L54=1,AG$1=Units!$Q54),IF(Units!$J54&lt;&gt;"",Units!$J54,Mkt!AG55),Inputs!$B$15*Mkt!AG55+(1-Inputs!$B$15)*MIN(Mkt!AG55,AF55*(1+Inputs!$B$18))),AF55)))</f>
        <v>1905.5</v>
      </c>
      <c r="AH55" s="11" t="n">
        <f aca="false">IF(AH$1&lt;Units!$P54,0,IF(AND(Units!$K54=0,AH$1=Units!$O54),Units!$R54,IF(AND(AH$1&gt;=Units!$Q54,MOD(AH$1-Units!$Q54,12)=0),IF(AND(Units!$L54=1,AH$1=Units!$Q54),IF(Units!$J54&lt;&gt;"",Units!$J54,Mkt!AH55),Inputs!$B$15*Mkt!AH55+(1-Inputs!$B$15)*MIN(Mkt!AH55,AG55*(1+Inputs!$B$18))),AG55)))</f>
        <v>1905.5</v>
      </c>
      <c r="AI55" s="11" t="n">
        <f aca="false">IF(AI$1&lt;Units!$P54,0,IF(AND(Units!$K54=0,AI$1=Units!$O54),Units!$R54,IF(AND(AI$1&gt;=Units!$Q54,MOD(AI$1-Units!$Q54,12)=0),IF(AND(Units!$L54=1,AI$1=Units!$Q54),IF(Units!$J54&lt;&gt;"",Units!$J54,Mkt!AI55),Inputs!$B$15*Mkt!AI55+(1-Inputs!$B$15)*MIN(Mkt!AI55,AH55*(1+Inputs!$B$18))),AH55)))</f>
        <v>1905.5</v>
      </c>
      <c r="AJ55" s="11" t="n">
        <f aca="false">IF(AJ$1&lt;Units!$P54,0,IF(AND(Units!$K54=0,AJ$1=Units!$O54),Units!$R54,IF(AND(AJ$1&gt;=Units!$Q54,MOD(AJ$1-Units!$Q54,12)=0),IF(AND(Units!$L54=1,AJ$1=Units!$Q54),IF(Units!$J54&lt;&gt;"",Units!$J54,Mkt!AJ55),Inputs!$B$15*Mkt!AJ55+(1-Inputs!$B$15)*MIN(Mkt!AJ55,AI55*(1+Inputs!$B$18))),AI55)))</f>
        <v>1962.665</v>
      </c>
      <c r="AK55" s="11" t="n">
        <f aca="false">IF(AK$1&lt;Units!$P54,0,IF(AND(Units!$K54=0,AK$1=Units!$O54),Units!$R54,IF(AND(AK$1&gt;=Units!$Q54,MOD(AK$1-Units!$Q54,12)=0),IF(AND(Units!$L54=1,AK$1=Units!$Q54),IF(Units!$J54&lt;&gt;"",Units!$J54,Mkt!AK55),Inputs!$B$15*Mkt!AK55+(1-Inputs!$B$15)*MIN(Mkt!AK55,AJ55*(1+Inputs!$B$18))),AJ55)))</f>
        <v>1962.665</v>
      </c>
      <c r="AL55" s="11" t="n">
        <f aca="false">IF(AL$1&lt;Units!$P54,0,IF(AND(Units!$K54=0,AL$1=Units!$O54),Units!$R54,IF(AND(AL$1&gt;=Units!$Q54,MOD(AL$1-Units!$Q54,12)=0),IF(AND(Units!$L54=1,AL$1=Units!$Q54),IF(Units!$J54&lt;&gt;"",Units!$J54,Mkt!AL55),Inputs!$B$15*Mkt!AL55+(1-Inputs!$B$15)*MIN(Mkt!AL55,AK55*(1+Inputs!$B$18))),AK55)))</f>
        <v>1962.665</v>
      </c>
      <c r="AM55" s="11" t="n">
        <f aca="false">IF(AM$1&lt;Units!$P54,0,IF(AND(Units!$K54=0,AM$1=Units!$O54),Units!$R54,IF(AND(AM$1&gt;=Units!$Q54,MOD(AM$1-Units!$Q54,12)=0),IF(AND(Units!$L54=1,AM$1=Units!$Q54),IF(Units!$J54&lt;&gt;"",Units!$J54,Mkt!AM55),Inputs!$B$15*Mkt!AM55+(1-Inputs!$B$15)*MIN(Mkt!AM55,AL55*(1+Inputs!$B$18))),AL55)))</f>
        <v>1962.665</v>
      </c>
      <c r="AN55" s="11" t="n">
        <f aca="false">IF(AN$1&lt;Units!$P54,0,IF(AND(Units!$K54=0,AN$1=Units!$O54),Units!$R54,IF(AND(AN$1&gt;=Units!$Q54,MOD(AN$1-Units!$Q54,12)=0),IF(AND(Units!$L54=1,AN$1=Units!$Q54),IF(Units!$J54&lt;&gt;"",Units!$J54,Mkt!AN55),Inputs!$B$15*Mkt!AN55+(1-Inputs!$B$15)*MIN(Mkt!AN55,AM55*(1+Inputs!$B$18))),AM55)))</f>
        <v>1962.665</v>
      </c>
      <c r="AO55" s="11" t="n">
        <f aca="false">IF(AO$1&lt;Units!$P54,0,IF(AND(Units!$K54=0,AO$1=Units!$O54),Units!$R54,IF(AND(AO$1&gt;=Units!$Q54,MOD(AO$1-Units!$Q54,12)=0),IF(AND(Units!$L54=1,AO$1=Units!$Q54),IF(Units!$J54&lt;&gt;"",Units!$J54,Mkt!AO55),Inputs!$B$15*Mkt!AO55+(1-Inputs!$B$15)*MIN(Mkt!AO55,AN55*(1+Inputs!$B$18))),AN55)))</f>
        <v>1962.665</v>
      </c>
      <c r="AP55" s="11" t="n">
        <f aca="false">IF(AP$1&lt;Units!$P54,0,IF(AND(Units!$K54=0,AP$1=Units!$O54),Units!$R54,IF(AND(AP$1&gt;=Units!$Q54,MOD(AP$1-Units!$Q54,12)=0),IF(AND(Units!$L54=1,AP$1=Units!$Q54),IF(Units!$J54&lt;&gt;"",Units!$J54,Mkt!AP55),Inputs!$B$15*Mkt!AP55+(1-Inputs!$B$15)*MIN(Mkt!AP55,AO55*(1+Inputs!$B$18))),AO55)))</f>
        <v>1962.665</v>
      </c>
      <c r="AQ55" s="11" t="n">
        <f aca="false">IF(AQ$1&lt;Units!$P54,0,IF(AND(Units!$K54=0,AQ$1=Units!$O54),Units!$R54,IF(AND(AQ$1&gt;=Units!$Q54,MOD(AQ$1-Units!$Q54,12)=0),IF(AND(Units!$L54=1,AQ$1=Units!$Q54),IF(Units!$J54&lt;&gt;"",Units!$J54,Mkt!AQ55),Inputs!$B$15*Mkt!AQ55+(1-Inputs!$B$15)*MIN(Mkt!AQ55,AP55*(1+Inputs!$B$18))),AP55)))</f>
        <v>1962.665</v>
      </c>
      <c r="AR55" s="11" t="n">
        <f aca="false">IF(AR$1&lt;Units!$P54,0,IF(AND(Units!$K54=0,AR$1=Units!$O54),Units!$R54,IF(AND(AR$1&gt;=Units!$Q54,MOD(AR$1-Units!$Q54,12)=0),IF(AND(Units!$L54=1,AR$1=Units!$Q54),IF(Units!$J54&lt;&gt;"",Units!$J54,Mkt!AR55),Inputs!$B$15*Mkt!AR55+(1-Inputs!$B$15)*MIN(Mkt!AR55,AQ55*(1+Inputs!$B$18))),AQ55)))</f>
        <v>1962.665</v>
      </c>
      <c r="AS55" s="11" t="n">
        <f aca="false">IF(AS$1&lt;Units!$P54,0,IF(AND(Units!$K54=0,AS$1=Units!$O54),Units!$R54,IF(AND(AS$1&gt;=Units!$Q54,MOD(AS$1-Units!$Q54,12)=0),IF(AND(Units!$L54=1,AS$1=Units!$Q54),IF(Units!$J54&lt;&gt;"",Units!$J54,Mkt!AS55),Inputs!$B$15*Mkt!AS55+(1-Inputs!$B$15)*MIN(Mkt!AS55,AR55*(1+Inputs!$B$18))),AR55)))</f>
        <v>1962.665</v>
      </c>
      <c r="AT55" s="11" t="n">
        <f aca="false">IF(AT$1&lt;Units!$P54,0,IF(AND(Units!$K54=0,AT$1=Units!$O54),Units!$R54,IF(AND(AT$1&gt;=Units!$Q54,MOD(AT$1-Units!$Q54,12)=0),IF(AND(Units!$L54=1,AT$1=Units!$Q54),IF(Units!$J54&lt;&gt;"",Units!$J54,Mkt!AT55),Inputs!$B$15*Mkt!AT55+(1-Inputs!$B$15)*MIN(Mkt!AT55,AS55*(1+Inputs!$B$18))),AS55)))</f>
        <v>1962.665</v>
      </c>
      <c r="AU55" s="11" t="n">
        <f aca="false">IF(AU$1&lt;Units!$P54,0,IF(AND(Units!$K54=0,AU$1=Units!$O54),Units!$R54,IF(AND(AU$1&gt;=Units!$Q54,MOD(AU$1-Units!$Q54,12)=0),IF(AND(Units!$L54=1,AU$1=Units!$Q54),IF(Units!$J54&lt;&gt;"",Units!$J54,Mkt!AU55),Inputs!$B$15*Mkt!AU55+(1-Inputs!$B$15)*MIN(Mkt!AU55,AT55*(1+Inputs!$B$18))),AT55)))</f>
        <v>1962.665</v>
      </c>
      <c r="AV55" s="11" t="n">
        <f aca="false">IF(AV$1&lt;Units!$P54,0,IF(AND(Units!$K54=0,AV$1=Units!$O54),Units!$R54,IF(AND(AV$1&gt;=Units!$Q54,MOD(AV$1-Units!$Q54,12)=0),IF(AND(Units!$L54=1,AV$1=Units!$Q54),IF(Units!$J54&lt;&gt;"",Units!$J54,Mkt!AV55),Inputs!$B$15*Mkt!AV55+(1-Inputs!$B$15)*MIN(Mkt!AV55,AU55*(1+Inputs!$B$18))),AU55)))</f>
        <v>2021.54495</v>
      </c>
      <c r="AW55" s="11" t="n">
        <f aca="false">IF(AW$1&lt;Units!$P54,0,IF(AND(Units!$K54=0,AW$1=Units!$O54),Units!$R54,IF(AND(AW$1&gt;=Units!$Q54,MOD(AW$1-Units!$Q54,12)=0),IF(AND(Units!$L54=1,AW$1=Units!$Q54),IF(Units!$J54&lt;&gt;"",Units!$J54,Mkt!AW55),Inputs!$B$15*Mkt!AW55+(1-Inputs!$B$15)*MIN(Mkt!AW55,AV55*(1+Inputs!$B$18))),AV55)))</f>
        <v>2021.54495</v>
      </c>
      <c r="AX55" s="11" t="n">
        <f aca="false">IF(AX$1&lt;Units!$P54,0,IF(AND(Units!$K54=0,AX$1=Units!$O54),Units!$R54,IF(AND(AX$1&gt;=Units!$Q54,MOD(AX$1-Units!$Q54,12)=0),IF(AND(Units!$L54=1,AX$1=Units!$Q54),IF(Units!$J54&lt;&gt;"",Units!$J54,Mkt!AX55),Inputs!$B$15*Mkt!AX55+(1-Inputs!$B$15)*MIN(Mkt!AX55,AW55*(1+Inputs!$B$18))),AW55)))</f>
        <v>2021.54495</v>
      </c>
      <c r="AY55" s="11" t="n">
        <f aca="false">IF(AY$1&lt;Units!$P54,0,IF(AND(Units!$K54=0,AY$1=Units!$O54),Units!$R54,IF(AND(AY$1&gt;=Units!$Q54,MOD(AY$1-Units!$Q54,12)=0),IF(AND(Units!$L54=1,AY$1=Units!$Q54),IF(Units!$J54&lt;&gt;"",Units!$J54,Mkt!AY55),Inputs!$B$15*Mkt!AY55+(1-Inputs!$B$15)*MIN(Mkt!AY55,AX55*(1+Inputs!$B$18))),AX55)))</f>
        <v>2021.54495</v>
      </c>
      <c r="AZ55" s="11" t="n">
        <f aca="false">IF(AZ$1&lt;Units!$P54,0,IF(AND(Units!$K54=0,AZ$1=Units!$O54),Units!$R54,IF(AND(AZ$1&gt;=Units!$Q54,MOD(AZ$1-Units!$Q54,12)=0),IF(AND(Units!$L54=1,AZ$1=Units!$Q54),IF(Units!$J54&lt;&gt;"",Units!$J54,Mkt!AZ55),Inputs!$B$15*Mkt!AZ55+(1-Inputs!$B$15)*MIN(Mkt!AZ55,AY55*(1+Inputs!$B$18))),AY55)))</f>
        <v>2021.54495</v>
      </c>
      <c r="BA55" s="11" t="n">
        <f aca="false">IF(BA$1&lt;Units!$P54,0,IF(AND(Units!$K54=0,BA$1=Units!$O54),Units!$R54,IF(AND(BA$1&gt;=Units!$Q54,MOD(BA$1-Units!$Q54,12)=0),IF(AND(Units!$L54=1,BA$1=Units!$Q54),IF(Units!$J54&lt;&gt;"",Units!$J54,Mkt!BA55),Inputs!$B$15*Mkt!BA55+(1-Inputs!$B$15)*MIN(Mkt!BA55,AZ55*(1+Inputs!$B$18))),AZ55)))</f>
        <v>2021.54495</v>
      </c>
      <c r="BB55" s="11" t="n">
        <f aca="false">IF(BB$1&lt;Units!$P54,0,IF(AND(Units!$K54=0,BB$1=Units!$O54),Units!$R54,IF(AND(BB$1&gt;=Units!$Q54,MOD(BB$1-Units!$Q54,12)=0),IF(AND(Units!$L54=1,BB$1=Units!$Q54),IF(Units!$J54&lt;&gt;"",Units!$J54,Mkt!BB55),Inputs!$B$15*Mkt!BB55+(1-Inputs!$B$15)*MIN(Mkt!BB55,BA55*(1+Inputs!$B$18))),BA55)))</f>
        <v>2021.54495</v>
      </c>
      <c r="BC55" s="11" t="n">
        <f aca="false">IF(BC$1&lt;Units!$P54,0,IF(AND(Units!$K54=0,BC$1=Units!$O54),Units!$R54,IF(AND(BC$1&gt;=Units!$Q54,MOD(BC$1-Units!$Q54,12)=0),IF(AND(Units!$L54=1,BC$1=Units!$Q54),IF(Units!$J54&lt;&gt;"",Units!$J54,Mkt!BC55),Inputs!$B$15*Mkt!BC55+(1-Inputs!$B$15)*MIN(Mkt!BC55,BB55*(1+Inputs!$B$18))),BB55)))</f>
        <v>2021.54495</v>
      </c>
      <c r="BD55" s="11" t="n">
        <f aca="false">IF(BD$1&lt;Units!$P54,0,IF(AND(Units!$K54=0,BD$1=Units!$O54),Units!$R54,IF(AND(BD$1&gt;=Units!$Q54,MOD(BD$1-Units!$Q54,12)=0),IF(AND(Units!$L54=1,BD$1=Units!$Q54),IF(Units!$J54&lt;&gt;"",Units!$J54,Mkt!BD55),Inputs!$B$15*Mkt!BD55+(1-Inputs!$B$15)*MIN(Mkt!BD55,BC55*(1+Inputs!$B$18))),BC55)))</f>
        <v>2021.54495</v>
      </c>
      <c r="BE55" s="11" t="n">
        <f aca="false">IF(BE$1&lt;Units!$P54,0,IF(AND(Units!$K54=0,BE$1=Units!$O54),Units!$R54,IF(AND(BE$1&gt;=Units!$Q54,MOD(BE$1-Units!$Q54,12)=0),IF(AND(Units!$L54=1,BE$1=Units!$Q54),IF(Units!$J54&lt;&gt;"",Units!$J54,Mkt!BE55),Inputs!$B$15*Mkt!BE55+(1-Inputs!$B$15)*MIN(Mkt!BE55,BD55*(1+Inputs!$B$18))),BD55)))</f>
        <v>2021.54495</v>
      </c>
      <c r="BF55" s="11" t="n">
        <f aca="false">IF(BF$1&lt;Units!$P54,0,IF(AND(Units!$K54=0,BF$1=Units!$O54),Units!$R54,IF(AND(BF$1&gt;=Units!$Q54,MOD(BF$1-Units!$Q54,12)=0),IF(AND(Units!$L54=1,BF$1=Units!$Q54),IF(Units!$J54&lt;&gt;"",Units!$J54,Mkt!BF55),Inputs!$B$15*Mkt!BF55+(1-Inputs!$B$15)*MIN(Mkt!BF55,BE55*(1+Inputs!$B$18))),BE55)))</f>
        <v>2021.54495</v>
      </c>
      <c r="BG55" s="11" t="n">
        <f aca="false">IF(BG$1&lt;Units!$P54,0,IF(AND(Units!$K54=0,BG$1=Units!$O54),Units!$R54,IF(AND(BG$1&gt;=Units!$Q54,MOD(BG$1-Units!$Q54,12)=0),IF(AND(Units!$L54=1,BG$1=Units!$Q54),IF(Units!$J54&lt;&gt;"",Units!$J54,Mkt!BG55),Inputs!$B$15*Mkt!BG55+(1-Inputs!$B$15)*MIN(Mkt!BG55,BF55*(1+Inputs!$B$18))),BF55)))</f>
        <v>2021.54495</v>
      </c>
      <c r="BH55" s="11" t="n">
        <f aca="false">IF(BH$1&lt;Units!$P54,0,IF(AND(Units!$K54=0,BH$1=Units!$O54),Units!$R54,IF(AND(BH$1&gt;=Units!$Q54,MOD(BH$1-Units!$Q54,12)=0),IF(AND(Units!$L54=1,BH$1=Units!$Q54),IF(Units!$J54&lt;&gt;"",Units!$J54,Mkt!BH55),Inputs!$B$15*Mkt!BH55+(1-Inputs!$B$15)*MIN(Mkt!BH55,BG55*(1+Inputs!$B$18))),BG55)))</f>
        <v>2082.1912985</v>
      </c>
      <c r="BI55" s="11" t="n">
        <f aca="false">IF(BI$1&lt;Units!$P54,0,IF(AND(Units!$K54=0,BI$1=Units!$O54),Units!$R54,IF(AND(BI$1&gt;=Units!$Q54,MOD(BI$1-Units!$Q54,12)=0),IF(AND(Units!$L54=1,BI$1=Units!$Q54),IF(Units!$J54&lt;&gt;"",Units!$J54,Mkt!BI55),Inputs!$B$15*Mkt!BI55+(1-Inputs!$B$15)*MIN(Mkt!BI55,BH55*(1+Inputs!$B$18))),BH55)))</f>
        <v>2082.1912985</v>
      </c>
      <c r="BJ55" s="11" t="n">
        <f aca="false">IF(BJ$1&lt;Units!$P54,0,IF(AND(Units!$K54=0,BJ$1=Units!$O54),Units!$R54,IF(AND(BJ$1&gt;=Units!$Q54,MOD(BJ$1-Units!$Q54,12)=0),IF(AND(Units!$L54=1,BJ$1=Units!$Q54),IF(Units!$J54&lt;&gt;"",Units!$J54,Mkt!BJ55),Inputs!$B$15*Mkt!BJ55+(1-Inputs!$B$15)*MIN(Mkt!BJ55,BI55*(1+Inputs!$B$18))),BI55)))</f>
        <v>2082.1912985</v>
      </c>
      <c r="BK55" s="11" t="n">
        <f aca="false">IF(BK$1&lt;Units!$P54,0,IF(AND(Units!$K54=0,BK$1=Units!$O54),Units!$R54,IF(AND(BK$1&gt;=Units!$Q54,MOD(BK$1-Units!$Q54,12)=0),IF(AND(Units!$L54=1,BK$1=Units!$Q54),IF(Units!$J54&lt;&gt;"",Units!$J54,Mkt!BK55),Inputs!$B$15*Mkt!BK55+(1-Inputs!$B$15)*MIN(Mkt!BK55,BJ55*(1+Inputs!$B$18))),BJ55)))</f>
        <v>2082.1912985</v>
      </c>
      <c r="BL55" s="11" t="n">
        <f aca="false">IF(BL$1&lt;Units!$P54,0,IF(AND(Units!$K54=0,BL$1=Units!$O54),Units!$R54,IF(AND(BL$1&gt;=Units!$Q54,MOD(BL$1-Units!$Q54,12)=0),IF(AND(Units!$L54=1,BL$1=Units!$Q54),IF(Units!$J54&lt;&gt;"",Units!$J54,Mkt!BL55),Inputs!$B$15*Mkt!BL55+(1-Inputs!$B$15)*MIN(Mkt!BL55,BK55*(1+Inputs!$B$18))),BK55)))</f>
        <v>2082.1912985</v>
      </c>
      <c r="BM55" s="11" t="n">
        <f aca="false">IF(BM$1&lt;Units!$P54,0,IF(AND(Units!$K54=0,BM$1=Units!$O54),Units!$R54,IF(AND(BM$1&gt;=Units!$Q54,MOD(BM$1-Units!$Q54,12)=0),IF(AND(Units!$L54=1,BM$1=Units!$Q54),IF(Units!$J54&lt;&gt;"",Units!$J54,Mkt!BM55),Inputs!$B$15*Mkt!BM55+(1-Inputs!$B$15)*MIN(Mkt!BM55,BL55*(1+Inputs!$B$18))),BL55)))</f>
        <v>2082.1912985</v>
      </c>
      <c r="BN55" s="11" t="n">
        <f aca="false">IF(BN$1&lt;Units!$P54,0,IF(AND(Units!$K54=0,BN$1=Units!$O54),Units!$R54,IF(AND(BN$1&gt;=Units!$Q54,MOD(BN$1-Units!$Q54,12)=0),IF(AND(Units!$L54=1,BN$1=Units!$Q54),IF(Units!$J54&lt;&gt;"",Units!$J54,Mkt!BN55),Inputs!$B$15*Mkt!BN55+(1-Inputs!$B$15)*MIN(Mkt!BN55,BM55*(1+Inputs!$B$18))),BM55)))</f>
        <v>2082.1912985</v>
      </c>
      <c r="BO55" s="11" t="n">
        <f aca="false">IF(BO$1&lt;Units!$P54,0,IF(AND(Units!$K54=0,BO$1=Units!$O54),Units!$R54,IF(AND(BO$1&gt;=Units!$Q54,MOD(BO$1-Units!$Q54,12)=0),IF(AND(Units!$L54=1,BO$1=Units!$Q54),IF(Units!$J54&lt;&gt;"",Units!$J54,Mkt!BO55),Inputs!$B$15*Mkt!BO55+(1-Inputs!$B$15)*MIN(Mkt!BO55,BN55*(1+Inputs!$B$18))),BN55)))</f>
        <v>2082.1912985</v>
      </c>
      <c r="BP55" s="11" t="n">
        <f aca="false">IF(BP$1&lt;Units!$P54,0,IF(AND(Units!$K54=0,BP$1=Units!$O54),Units!$R54,IF(AND(BP$1&gt;=Units!$Q54,MOD(BP$1-Units!$Q54,12)=0),IF(AND(Units!$L54=1,BP$1=Units!$Q54),IF(Units!$J54&lt;&gt;"",Units!$J54,Mkt!BP55),Inputs!$B$15*Mkt!BP55+(1-Inputs!$B$15)*MIN(Mkt!BP55,BO55*(1+Inputs!$B$18))),BO55)))</f>
        <v>2082.1912985</v>
      </c>
      <c r="BQ55" s="11" t="n">
        <f aca="false">IF(BQ$1&lt;Units!$P54,0,IF(AND(Units!$K54=0,BQ$1=Units!$O54),Units!$R54,IF(AND(BQ$1&gt;=Units!$Q54,MOD(BQ$1-Units!$Q54,12)=0),IF(AND(Units!$L54=1,BQ$1=Units!$Q54),IF(Units!$J54&lt;&gt;"",Units!$J54,Mkt!BQ55),Inputs!$B$15*Mkt!BQ55+(1-Inputs!$B$15)*MIN(Mkt!BQ55,BP55*(1+Inputs!$B$18))),BP55)))</f>
        <v>2082.1912985</v>
      </c>
      <c r="BR55" s="11" t="n">
        <f aca="false">IF(BR$1&lt;Units!$P54,0,IF(AND(Units!$K54=0,BR$1=Units!$O54),Units!$R54,IF(AND(BR$1&gt;=Units!$Q54,MOD(BR$1-Units!$Q54,12)=0),IF(AND(Units!$L54=1,BR$1=Units!$Q54),IF(Units!$J54&lt;&gt;"",Units!$J54,Mkt!BR55),Inputs!$B$15*Mkt!BR55+(1-Inputs!$B$15)*MIN(Mkt!BR55,BQ55*(1+Inputs!$B$18))),BQ55)))</f>
        <v>2082.1912985</v>
      </c>
      <c r="BS55" s="11" t="n">
        <f aca="false">IF(BS$1&lt;Units!$P54,0,IF(AND(Units!$K54=0,BS$1=Units!$O54),Units!$R54,IF(AND(BS$1&gt;=Units!$Q54,MOD(BS$1-Units!$Q54,12)=0),IF(AND(Units!$L54=1,BS$1=Units!$Q54),IF(Units!$J54&lt;&gt;"",Units!$J54,Mkt!BS55),Inputs!$B$15*Mkt!BS55+(1-Inputs!$B$15)*MIN(Mkt!BS55,BR55*(1+Inputs!$B$18))),BR55)))</f>
        <v>2082.1912985</v>
      </c>
      <c r="BT55" s="11" t="n">
        <f aca="false">IF(BT$1&lt;Units!$P54,0,IF(AND(Units!$K54=0,BT$1=Units!$O54),Units!$R54,IF(AND(BT$1&gt;=Units!$Q54,MOD(BT$1-Units!$Q54,12)=0),IF(AND(Units!$L54=1,BT$1=Units!$Q54),IF(Units!$J54&lt;&gt;"",Units!$J54,Mkt!BT55),Inputs!$B$15*Mkt!BT55+(1-Inputs!$B$15)*MIN(Mkt!BT55,BS55*(1+Inputs!$B$18))),BS55)))</f>
        <v>2144.657037455</v>
      </c>
      <c r="BU55" s="11" t="n">
        <f aca="false">IF(BU$1&lt;Units!$P54,0,IF(AND(Units!$K54=0,BU$1=Units!$O54),Units!$R54,IF(AND(BU$1&gt;=Units!$Q54,MOD(BU$1-Units!$Q54,12)=0),IF(AND(Units!$L54=1,BU$1=Units!$Q54),IF(Units!$J54&lt;&gt;"",Units!$J54,Mkt!BU55),Inputs!$B$15*Mkt!BU55+(1-Inputs!$B$15)*MIN(Mkt!BU55,BT55*(1+Inputs!$B$18))),BT55)))</f>
        <v>2144.657037455</v>
      </c>
      <c r="BV55" s="11" t="n">
        <f aca="false">IF(BV$1&lt;Units!$P54,0,IF(AND(Units!$K54=0,BV$1=Units!$O54),Units!$R54,IF(AND(BV$1&gt;=Units!$Q54,MOD(BV$1-Units!$Q54,12)=0),IF(AND(Units!$L54=1,BV$1=Units!$Q54),IF(Units!$J54&lt;&gt;"",Units!$J54,Mkt!BV55),Inputs!$B$15*Mkt!BV55+(1-Inputs!$B$15)*MIN(Mkt!BV55,BU55*(1+Inputs!$B$18))),BU55)))</f>
        <v>2144.657037455</v>
      </c>
      <c r="BW55" s="11" t="n">
        <f aca="false">IF(BW$1&lt;Units!$P54,0,IF(AND(Units!$K54=0,BW$1=Units!$O54),Units!$R54,IF(AND(BW$1&gt;=Units!$Q54,MOD(BW$1-Units!$Q54,12)=0),IF(AND(Units!$L54=1,BW$1=Units!$Q54),IF(Units!$J54&lt;&gt;"",Units!$J54,Mkt!BW55),Inputs!$B$15*Mkt!BW55+(1-Inputs!$B$15)*MIN(Mkt!BW55,BV55*(1+Inputs!$B$18))),BV55)))</f>
        <v>2144.657037455</v>
      </c>
      <c r="BX55" s="11" t="n">
        <f aca="false">IF(BX$1&lt;Units!$P54,0,IF(AND(Units!$K54=0,BX$1=Units!$O54),Units!$R54,IF(AND(BX$1&gt;=Units!$Q54,MOD(BX$1-Units!$Q54,12)=0),IF(AND(Units!$L54=1,BX$1=Units!$Q54),IF(Units!$J54&lt;&gt;"",Units!$J54,Mkt!BX55),Inputs!$B$15*Mkt!BX55+(1-Inputs!$B$15)*MIN(Mkt!BX55,BW55*(1+Inputs!$B$18))),BW55)))</f>
        <v>2144.657037455</v>
      </c>
      <c r="BY55" s="11" t="n">
        <f aca="false">IF(BY$1&lt;Units!$P54,0,IF(AND(Units!$K54=0,BY$1=Units!$O54),Units!$R54,IF(AND(BY$1&gt;=Units!$Q54,MOD(BY$1-Units!$Q54,12)=0),IF(AND(Units!$L54=1,BY$1=Units!$Q54),IF(Units!$J54&lt;&gt;"",Units!$J54,Mkt!BY55),Inputs!$B$15*Mkt!BY55+(1-Inputs!$B$15)*MIN(Mkt!BY55,BX55*(1+Inputs!$B$18))),BX55)))</f>
        <v>2144.657037455</v>
      </c>
      <c r="BZ55" s="11" t="n">
        <f aca="false">IF(BZ$1&lt;Units!$P54,0,IF(AND(Units!$K54=0,BZ$1=Units!$O54),Units!$R54,IF(AND(BZ$1&gt;=Units!$Q54,MOD(BZ$1-Units!$Q54,12)=0),IF(AND(Units!$L54=1,BZ$1=Units!$Q54),IF(Units!$J54&lt;&gt;"",Units!$J54,Mkt!BZ55),Inputs!$B$15*Mkt!BZ55+(1-Inputs!$B$15)*MIN(Mkt!BZ55,BY55*(1+Inputs!$B$18))),BY55)))</f>
        <v>2144.657037455</v>
      </c>
      <c r="CA55" s="11" t="n">
        <f aca="false">IF(CA$1&lt;Units!$P54,0,IF(AND(Units!$K54=0,CA$1=Units!$O54),Units!$R54,IF(AND(CA$1&gt;=Units!$Q54,MOD(CA$1-Units!$Q54,12)=0),IF(AND(Units!$L54=1,CA$1=Units!$Q54),IF(Units!$J54&lt;&gt;"",Units!$J54,Mkt!CA55),Inputs!$B$15*Mkt!CA55+(1-Inputs!$B$15)*MIN(Mkt!CA55,BZ55*(1+Inputs!$B$18))),BZ55)))</f>
        <v>2144.657037455</v>
      </c>
      <c r="CB55" s="11" t="n">
        <f aca="false">IF(CB$1&lt;Units!$P54,0,IF(AND(Units!$K54=0,CB$1=Units!$O54),Units!$R54,IF(AND(CB$1&gt;=Units!$Q54,MOD(CB$1-Units!$Q54,12)=0),IF(AND(Units!$L54=1,CB$1=Units!$Q54),IF(Units!$J54&lt;&gt;"",Units!$J54,Mkt!CB55),Inputs!$B$15*Mkt!CB55+(1-Inputs!$B$15)*MIN(Mkt!CB55,CA55*(1+Inputs!$B$18))),CA55)))</f>
        <v>2144.657037455</v>
      </c>
      <c r="CC55" s="11" t="n">
        <f aca="false">IF(CC$1&lt;Units!$P54,0,IF(AND(Units!$K54=0,CC$1=Units!$O54),Units!$R54,IF(AND(CC$1&gt;=Units!$Q54,MOD(CC$1-Units!$Q54,12)=0),IF(AND(Units!$L54=1,CC$1=Units!$Q54),IF(Units!$J54&lt;&gt;"",Units!$J54,Mkt!CC55),Inputs!$B$15*Mkt!CC55+(1-Inputs!$B$15)*MIN(Mkt!CC55,CB55*(1+Inputs!$B$18))),CB55)))</f>
        <v>2144.657037455</v>
      </c>
      <c r="CD55" s="11" t="n">
        <f aca="false">IF(CD$1&lt;Units!$P54,0,IF(AND(Units!$K54=0,CD$1=Units!$O54),Units!$R54,IF(AND(CD$1&gt;=Units!$Q54,MOD(CD$1-Units!$Q54,12)=0),IF(AND(Units!$L54=1,CD$1=Units!$Q54),IF(Units!$J54&lt;&gt;"",Units!$J54,Mkt!CD55),Inputs!$B$15*Mkt!CD55+(1-Inputs!$B$15)*MIN(Mkt!CD55,CC55*(1+Inputs!$B$18))),CC55)))</f>
        <v>2144.657037455</v>
      </c>
      <c r="CE55" s="11" t="n">
        <f aca="false">IF(CE$1&lt;Units!$P54,0,IF(AND(Units!$K54=0,CE$1=Units!$O54),Units!$R54,IF(AND(CE$1&gt;=Units!$Q54,MOD(CE$1-Units!$Q54,12)=0),IF(AND(Units!$L54=1,CE$1=Units!$Q54),IF(Units!$J54&lt;&gt;"",Units!$J54,Mkt!CE55),Inputs!$B$15*Mkt!CE55+(1-Inputs!$B$15)*MIN(Mkt!CE55,CD55*(1+Inputs!$B$18))),CD55)))</f>
        <v>2144.657037455</v>
      </c>
      <c r="CF55" s="11" t="n">
        <f aca="false">IF(CF$1&lt;Units!$P54,0,IF(AND(Units!$K54=0,CF$1=Units!$O54),Units!$R54,IF(AND(CF$1&gt;=Units!$Q54,MOD(CF$1-Units!$Q54,12)=0),IF(AND(Units!$L54=1,CF$1=Units!$Q54),IF(Units!$J54&lt;&gt;"",Units!$J54,Mkt!CF55),Inputs!$B$15*Mkt!CF55+(1-Inputs!$B$15)*MIN(Mkt!CF55,CE55*(1+Inputs!$B$18))),CE55)))</f>
        <v>2208.99674857865</v>
      </c>
      <c r="CG55" s="11" t="n">
        <f aca="false">IF(CG$1&lt;Units!$P54,0,IF(AND(Units!$K54=0,CG$1=Units!$O54),Units!$R54,IF(AND(CG$1&gt;=Units!$Q54,MOD(CG$1-Units!$Q54,12)=0),IF(AND(Units!$L54=1,CG$1=Units!$Q54),IF(Units!$J54&lt;&gt;"",Units!$J54,Mkt!CG55),Inputs!$B$15*Mkt!CG55+(1-Inputs!$B$15)*MIN(Mkt!CG55,CF55*(1+Inputs!$B$18))),CF55)))</f>
        <v>2208.99674857865</v>
      </c>
      <c r="CH55" s="11" t="n">
        <f aca="false">IF(CH$1&lt;Units!$P54,0,IF(AND(Units!$K54=0,CH$1=Units!$O54),Units!$R54,IF(AND(CH$1&gt;=Units!$Q54,MOD(CH$1-Units!$Q54,12)=0),IF(AND(Units!$L54=1,CH$1=Units!$Q54),IF(Units!$J54&lt;&gt;"",Units!$J54,Mkt!CH55),Inputs!$B$15*Mkt!CH55+(1-Inputs!$B$15)*MIN(Mkt!CH55,CG55*(1+Inputs!$B$18))),CG55)))</f>
        <v>2208.99674857865</v>
      </c>
      <c r="CI55" s="11" t="n">
        <f aca="false">IF(CI$1&lt;Units!$P54,0,IF(AND(Units!$K54=0,CI$1=Units!$O54),Units!$R54,IF(AND(CI$1&gt;=Units!$Q54,MOD(CI$1-Units!$Q54,12)=0),IF(AND(Units!$L54=1,CI$1=Units!$Q54),IF(Units!$J54&lt;&gt;"",Units!$J54,Mkt!CI55),Inputs!$B$15*Mkt!CI55+(1-Inputs!$B$15)*MIN(Mkt!CI55,CH55*(1+Inputs!$B$18))),CH55)))</f>
        <v>2208.99674857865</v>
      </c>
      <c r="CJ55" s="11" t="n">
        <f aca="false">IF(CJ$1&lt;Units!$P54,0,IF(AND(Units!$K54=0,CJ$1=Units!$O54),Units!$R54,IF(AND(CJ$1&gt;=Units!$Q54,MOD(CJ$1-Units!$Q54,12)=0),IF(AND(Units!$L54=1,CJ$1=Units!$Q54),IF(Units!$J54&lt;&gt;"",Units!$J54,Mkt!CJ55),Inputs!$B$15*Mkt!CJ55+(1-Inputs!$B$15)*MIN(Mkt!CJ55,CI55*(1+Inputs!$B$18))),CI55)))</f>
        <v>2208.99674857865</v>
      </c>
      <c r="CK55" s="11" t="n">
        <f aca="false">IF(CK$1&lt;Units!$P54,0,IF(AND(Units!$K54=0,CK$1=Units!$O54),Units!$R54,IF(AND(CK$1&gt;=Units!$Q54,MOD(CK$1-Units!$Q54,12)=0),IF(AND(Units!$L54=1,CK$1=Units!$Q54),IF(Units!$J54&lt;&gt;"",Units!$J54,Mkt!CK55),Inputs!$B$15*Mkt!CK55+(1-Inputs!$B$15)*MIN(Mkt!CK55,CJ55*(1+Inputs!$B$18))),CJ55)))</f>
        <v>2208.99674857865</v>
      </c>
      <c r="CL55" s="11" t="n">
        <f aca="false">IF(CL$1&lt;Units!$P54,0,IF(AND(Units!$K54=0,CL$1=Units!$O54),Units!$R54,IF(AND(CL$1&gt;=Units!$Q54,MOD(CL$1-Units!$Q54,12)=0),IF(AND(Units!$L54=1,CL$1=Units!$Q54),IF(Units!$J54&lt;&gt;"",Units!$J54,Mkt!CL55),Inputs!$B$15*Mkt!CL55+(1-Inputs!$B$15)*MIN(Mkt!CL55,CK55*(1+Inputs!$B$18))),CK55)))</f>
        <v>2208.99674857865</v>
      </c>
      <c r="CM55" s="11" t="n">
        <f aca="false">IF(CM$1&lt;Units!$P54,0,IF(AND(Units!$K54=0,CM$1=Units!$O54),Units!$R54,IF(AND(CM$1&gt;=Units!$Q54,MOD(CM$1-Units!$Q54,12)=0),IF(AND(Units!$L54=1,CM$1=Units!$Q54),IF(Units!$J54&lt;&gt;"",Units!$J54,Mkt!CM55),Inputs!$B$15*Mkt!CM55+(1-Inputs!$B$15)*MIN(Mkt!CM55,CL55*(1+Inputs!$B$18))),CL55)))</f>
        <v>2208.99674857865</v>
      </c>
      <c r="CN55" s="11" t="n">
        <f aca="false">IF(CN$1&lt;Units!$P54,0,IF(AND(Units!$K54=0,CN$1=Units!$O54),Units!$R54,IF(AND(CN$1&gt;=Units!$Q54,MOD(CN$1-Units!$Q54,12)=0),IF(AND(Units!$L54=1,CN$1=Units!$Q54),IF(Units!$J54&lt;&gt;"",Units!$J54,Mkt!CN55),Inputs!$B$15*Mkt!CN55+(1-Inputs!$B$15)*MIN(Mkt!CN55,CM55*(1+Inputs!$B$18))),CM55)))</f>
        <v>2208.99674857865</v>
      </c>
      <c r="CO55" s="11" t="n">
        <f aca="false">IF(CO$1&lt;Units!$P54,0,IF(AND(Units!$K54=0,CO$1=Units!$O54),Units!$R54,IF(AND(CO$1&gt;=Units!$Q54,MOD(CO$1-Units!$Q54,12)=0),IF(AND(Units!$L54=1,CO$1=Units!$Q54),IF(Units!$J54&lt;&gt;"",Units!$J54,Mkt!CO55),Inputs!$B$15*Mkt!CO55+(1-Inputs!$B$15)*MIN(Mkt!CO55,CN55*(1+Inputs!$B$18))),CN55)))</f>
        <v>2208.99674857865</v>
      </c>
      <c r="CP55" s="11" t="n">
        <f aca="false">IF(CP$1&lt;Units!$P54,0,IF(AND(Units!$K54=0,CP$1=Units!$O54),Units!$R54,IF(AND(CP$1&gt;=Units!$Q54,MOD(CP$1-Units!$Q54,12)=0),IF(AND(Units!$L54=1,CP$1=Units!$Q54),IF(Units!$J54&lt;&gt;"",Units!$J54,Mkt!CP55),Inputs!$B$15*Mkt!CP55+(1-Inputs!$B$15)*MIN(Mkt!CP55,CO55*(1+Inputs!$B$18))),CO55)))</f>
        <v>2208.99674857865</v>
      </c>
      <c r="CQ55" s="11" t="n">
        <f aca="false">IF(CQ$1&lt;Units!$P54,0,IF(AND(Units!$K54=0,CQ$1=Units!$O54),Units!$R54,IF(AND(CQ$1&gt;=Units!$Q54,MOD(CQ$1-Units!$Q54,12)=0),IF(AND(Units!$L54=1,CQ$1=Units!$Q54),IF(Units!$J54&lt;&gt;"",Units!$J54,Mkt!CQ55),Inputs!$B$15*Mkt!CQ55+(1-Inputs!$B$15)*MIN(Mkt!CQ55,CP55*(1+Inputs!$B$18))),CP55)))</f>
        <v>2208.99674857865</v>
      </c>
      <c r="CR55" s="11" t="n">
        <f aca="false">IF(CR$1&lt;Units!$P54,0,IF(AND(Units!$K54=0,CR$1=Units!$O54),Units!$R54,IF(AND(CR$1&gt;=Units!$Q54,MOD(CR$1-Units!$Q54,12)=0),IF(AND(Units!$L54=1,CR$1=Units!$Q54),IF(Units!$J54&lt;&gt;"",Units!$J54,Mkt!CR55),Inputs!$B$15*Mkt!CR55+(1-Inputs!$B$15)*MIN(Mkt!CR55,CQ55*(1+Inputs!$B$18))),CQ55)))</f>
        <v>2275.26665103601</v>
      </c>
      <c r="CS55" s="11" t="n">
        <f aca="false">IF(CS$1&lt;Units!$P54,0,IF(AND(Units!$K54=0,CS$1=Units!$O54),Units!$R54,IF(AND(CS$1&gt;=Units!$Q54,MOD(CS$1-Units!$Q54,12)=0),IF(AND(Units!$L54=1,CS$1=Units!$Q54),IF(Units!$J54&lt;&gt;"",Units!$J54,Mkt!CS55),Inputs!$B$15*Mkt!CS55+(1-Inputs!$B$15)*MIN(Mkt!CS55,CR55*(1+Inputs!$B$18))),CR55)))</f>
        <v>2275.26665103601</v>
      </c>
      <c r="CT55" s="11" t="n">
        <f aca="false">IF(CT$1&lt;Units!$P54,0,IF(AND(Units!$K54=0,CT$1=Units!$O54),Units!$R54,IF(AND(CT$1&gt;=Units!$Q54,MOD(CT$1-Units!$Q54,12)=0),IF(AND(Units!$L54=1,CT$1=Units!$Q54),IF(Units!$J54&lt;&gt;"",Units!$J54,Mkt!CT55),Inputs!$B$15*Mkt!CT55+(1-Inputs!$B$15)*MIN(Mkt!CT55,CS55*(1+Inputs!$B$18))),CS55)))</f>
        <v>2275.26665103601</v>
      </c>
      <c r="CU55" s="11" t="n">
        <f aca="false">IF(CU$1&lt;Units!$P54,0,IF(AND(Units!$K54=0,CU$1=Units!$O54),Units!$R54,IF(AND(CU$1&gt;=Units!$Q54,MOD(CU$1-Units!$Q54,12)=0),IF(AND(Units!$L54=1,CU$1=Units!$Q54),IF(Units!$J54&lt;&gt;"",Units!$J54,Mkt!CU55),Inputs!$B$15*Mkt!CU55+(1-Inputs!$B$15)*MIN(Mkt!CU55,CT55*(1+Inputs!$B$18))),CT55)))</f>
        <v>2275.26665103601</v>
      </c>
      <c r="CV55" s="11" t="n">
        <f aca="false">IF(CV$1&lt;Units!$P54,0,IF(AND(Units!$K54=0,CV$1=Units!$O54),Units!$R54,IF(AND(CV$1&gt;=Units!$Q54,MOD(CV$1-Units!$Q54,12)=0),IF(AND(Units!$L54=1,CV$1=Units!$Q54),IF(Units!$J54&lt;&gt;"",Units!$J54,Mkt!CV55),Inputs!$B$15*Mkt!CV55+(1-Inputs!$B$15)*MIN(Mkt!CV55,CU55*(1+Inputs!$B$18))),CU55)))</f>
        <v>2275.26665103601</v>
      </c>
      <c r="CW55" s="11" t="n">
        <f aca="false">IF(CW$1&lt;Units!$P54,0,IF(AND(Units!$K54=0,CW$1=Units!$O54),Units!$R54,IF(AND(CW$1&gt;=Units!$Q54,MOD(CW$1-Units!$Q54,12)=0),IF(AND(Units!$L54=1,CW$1=Units!$Q54),IF(Units!$J54&lt;&gt;"",Units!$J54,Mkt!CW55),Inputs!$B$15*Mkt!CW55+(1-Inputs!$B$15)*MIN(Mkt!CW55,CV55*(1+Inputs!$B$18))),CV55)))</f>
        <v>2275.26665103601</v>
      </c>
      <c r="CX55" s="11" t="n">
        <f aca="false">IF(CX$1&lt;Units!$P54,0,IF(AND(Units!$K54=0,CX$1=Units!$O54),Units!$R54,IF(AND(CX$1&gt;=Units!$Q54,MOD(CX$1-Units!$Q54,12)=0),IF(AND(Units!$L54=1,CX$1=Units!$Q54),IF(Units!$J54&lt;&gt;"",Units!$J54,Mkt!CX55),Inputs!$B$15*Mkt!CX55+(1-Inputs!$B$15)*MIN(Mkt!CX55,CW55*(1+Inputs!$B$18))),CW55)))</f>
        <v>2275.26665103601</v>
      </c>
      <c r="CY55" s="11" t="n">
        <f aca="false">IF(CY$1&lt;Units!$P54,0,IF(AND(Units!$K54=0,CY$1=Units!$O54),Units!$R54,IF(AND(CY$1&gt;=Units!$Q54,MOD(CY$1-Units!$Q54,12)=0),IF(AND(Units!$L54=1,CY$1=Units!$Q54),IF(Units!$J54&lt;&gt;"",Units!$J54,Mkt!CY55),Inputs!$B$15*Mkt!CY55+(1-Inputs!$B$15)*MIN(Mkt!CY55,CX55*(1+Inputs!$B$18))),CX55)))</f>
        <v>2275.26665103601</v>
      </c>
      <c r="CZ55" s="11" t="n">
        <f aca="false">IF(CZ$1&lt;Units!$P54,0,IF(AND(Units!$K54=0,CZ$1=Units!$O54),Units!$R54,IF(AND(CZ$1&gt;=Units!$Q54,MOD(CZ$1-Units!$Q54,12)=0),IF(AND(Units!$L54=1,CZ$1=Units!$Q54),IF(Units!$J54&lt;&gt;"",Units!$J54,Mkt!CZ55),Inputs!$B$15*Mkt!CZ55+(1-Inputs!$B$15)*MIN(Mkt!CZ55,CY55*(1+Inputs!$B$18))),CY55)))</f>
        <v>2275.26665103601</v>
      </c>
      <c r="DA55" s="11" t="n">
        <f aca="false">IF(DA$1&lt;Units!$P54,0,IF(AND(Units!$K54=0,DA$1=Units!$O54),Units!$R54,IF(AND(DA$1&gt;=Units!$Q54,MOD(DA$1-Units!$Q54,12)=0),IF(AND(Units!$L54=1,DA$1=Units!$Q54),IF(Units!$J54&lt;&gt;"",Units!$J54,Mkt!DA55),Inputs!$B$15*Mkt!DA55+(1-Inputs!$B$15)*MIN(Mkt!DA55,CZ55*(1+Inputs!$B$18))),CZ55)))</f>
        <v>2275.26665103601</v>
      </c>
      <c r="DB55" s="11" t="n">
        <f aca="false">IF(DB$1&lt;Units!$P54,0,IF(AND(Units!$K54=0,DB$1=Units!$O54),Units!$R54,IF(AND(DB$1&gt;=Units!$Q54,MOD(DB$1-Units!$Q54,12)=0),IF(AND(Units!$L54=1,DB$1=Units!$Q54),IF(Units!$J54&lt;&gt;"",Units!$J54,Mkt!DB55),Inputs!$B$15*Mkt!DB55+(1-Inputs!$B$15)*MIN(Mkt!DB55,DA55*(1+Inputs!$B$18))),DA55)))</f>
        <v>2275.26665103601</v>
      </c>
      <c r="DC55" s="11" t="n">
        <f aca="false">IF(DC$1&lt;Units!$P54,0,IF(AND(Units!$K54=0,DC$1=Units!$O54),Units!$R54,IF(AND(DC$1&gt;=Units!$Q54,MOD(DC$1-Units!$Q54,12)=0),IF(AND(Units!$L54=1,DC$1=Units!$Q54),IF(Units!$J54&lt;&gt;"",Units!$J54,Mkt!DC55),Inputs!$B$15*Mkt!DC55+(1-Inputs!$B$15)*MIN(Mkt!DC55,DB55*(1+Inputs!$B$18))),DB55)))</f>
        <v>2275.26665103601</v>
      </c>
      <c r="DD55" s="11" t="n">
        <f aca="false">IF(DD$1&lt;Units!$P54,0,IF(AND(Units!$K54=0,DD$1=Units!$O54),Units!$R54,IF(AND(DD$1&gt;=Units!$Q54,MOD(DD$1-Units!$Q54,12)=0),IF(AND(Units!$L54=1,DD$1=Units!$Q54),IF(Units!$J54&lt;&gt;"",Units!$J54,Mkt!DD55),Inputs!$B$15*Mkt!DD55+(1-Inputs!$B$15)*MIN(Mkt!DD55,DC55*(1+Inputs!$B$18))),DC55)))</f>
        <v>2343.52465056709</v>
      </c>
      <c r="DE55" s="11" t="n">
        <f aca="false">IF(DE$1&lt;Units!$P54,0,IF(AND(Units!$K54=0,DE$1=Units!$O54),Units!$R54,IF(AND(DE$1&gt;=Units!$Q54,MOD(DE$1-Units!$Q54,12)=0),IF(AND(Units!$L54=1,DE$1=Units!$Q54),IF(Units!$J54&lt;&gt;"",Units!$J54,Mkt!DE55),Inputs!$B$15*Mkt!DE55+(1-Inputs!$B$15)*MIN(Mkt!DE55,DD55*(1+Inputs!$B$18))),DD55)))</f>
        <v>2343.52465056709</v>
      </c>
      <c r="DF55" s="11" t="n">
        <f aca="false">IF(DF$1&lt;Units!$P54,0,IF(AND(Units!$K54=0,DF$1=Units!$O54),Units!$R54,IF(AND(DF$1&gt;=Units!$Q54,MOD(DF$1-Units!$Q54,12)=0),IF(AND(Units!$L54=1,DF$1=Units!$Q54),IF(Units!$J54&lt;&gt;"",Units!$J54,Mkt!DF55),Inputs!$B$15*Mkt!DF55+(1-Inputs!$B$15)*MIN(Mkt!DF55,DE55*(1+Inputs!$B$18))),DE55)))</f>
        <v>2343.52465056709</v>
      </c>
      <c r="DG55" s="11" t="n">
        <f aca="false">IF(DG$1&lt;Units!$P54,0,IF(AND(Units!$K54=0,DG$1=Units!$O54),Units!$R54,IF(AND(DG$1&gt;=Units!$Q54,MOD(DG$1-Units!$Q54,12)=0),IF(AND(Units!$L54=1,DG$1=Units!$Q54),IF(Units!$J54&lt;&gt;"",Units!$J54,Mkt!DG55),Inputs!$B$15*Mkt!DG55+(1-Inputs!$B$15)*MIN(Mkt!DG55,DF55*(1+Inputs!$B$18))),DF55)))</f>
        <v>2343.52465056709</v>
      </c>
      <c r="DH55" s="11" t="n">
        <f aca="false">IF(DH$1&lt;Units!$P54,0,IF(AND(Units!$K54=0,DH$1=Units!$O54),Units!$R54,IF(AND(DH$1&gt;=Units!$Q54,MOD(DH$1-Units!$Q54,12)=0),IF(AND(Units!$L54=1,DH$1=Units!$Q54),IF(Units!$J54&lt;&gt;"",Units!$J54,Mkt!DH55),Inputs!$B$15*Mkt!DH55+(1-Inputs!$B$15)*MIN(Mkt!DH55,DG55*(1+Inputs!$B$18))),DG55)))</f>
        <v>2343.52465056709</v>
      </c>
      <c r="DI55" s="11" t="n">
        <f aca="false">IF(DI$1&lt;Units!$P54,0,IF(AND(Units!$K54=0,DI$1=Units!$O54),Units!$R54,IF(AND(DI$1&gt;=Units!$Q54,MOD(DI$1-Units!$Q54,12)=0),IF(AND(Units!$L54=1,DI$1=Units!$Q54),IF(Units!$J54&lt;&gt;"",Units!$J54,Mkt!DI55),Inputs!$B$15*Mkt!DI55+(1-Inputs!$B$15)*MIN(Mkt!DI55,DH55*(1+Inputs!$B$18))),DH55)))</f>
        <v>2343.52465056709</v>
      </c>
      <c r="DJ55" s="11" t="n">
        <f aca="false">IF(DJ$1&lt;Units!$P54,0,IF(AND(Units!$K54=0,DJ$1=Units!$O54),Units!$R54,IF(AND(DJ$1&gt;=Units!$Q54,MOD(DJ$1-Units!$Q54,12)=0),IF(AND(Units!$L54=1,DJ$1=Units!$Q54),IF(Units!$J54&lt;&gt;"",Units!$J54,Mkt!DJ55),Inputs!$B$15*Mkt!DJ55+(1-Inputs!$B$15)*MIN(Mkt!DJ55,DI55*(1+Inputs!$B$18))),DI55)))</f>
        <v>2343.52465056709</v>
      </c>
      <c r="DK55" s="11" t="n">
        <f aca="false">IF(DK$1&lt;Units!$P54,0,IF(AND(Units!$K54=0,DK$1=Units!$O54),Units!$R54,IF(AND(DK$1&gt;=Units!$Q54,MOD(DK$1-Units!$Q54,12)=0),IF(AND(Units!$L54=1,DK$1=Units!$Q54),IF(Units!$J54&lt;&gt;"",Units!$J54,Mkt!DK55),Inputs!$B$15*Mkt!DK55+(1-Inputs!$B$15)*MIN(Mkt!DK55,DJ55*(1+Inputs!$B$18))),DJ55)))</f>
        <v>2343.52465056709</v>
      </c>
      <c r="DL55" s="11" t="n">
        <f aca="false">IF(DL$1&lt;Units!$P54,0,IF(AND(Units!$K54=0,DL$1=Units!$O54),Units!$R54,IF(AND(DL$1&gt;=Units!$Q54,MOD(DL$1-Units!$Q54,12)=0),IF(AND(Units!$L54=1,DL$1=Units!$Q54),IF(Units!$J54&lt;&gt;"",Units!$J54,Mkt!DL55),Inputs!$B$15*Mkt!DL55+(1-Inputs!$B$15)*MIN(Mkt!DL55,DK55*(1+Inputs!$B$18))),DK55)))</f>
        <v>2343.52465056709</v>
      </c>
      <c r="DM55" s="11" t="n">
        <f aca="false">IF(DM$1&lt;Units!$P54,0,IF(AND(Units!$K54=0,DM$1=Units!$O54),Units!$R54,IF(AND(DM$1&gt;=Units!$Q54,MOD(DM$1-Units!$Q54,12)=0),IF(AND(Units!$L54=1,DM$1=Units!$Q54),IF(Units!$J54&lt;&gt;"",Units!$J54,Mkt!DM55),Inputs!$B$15*Mkt!DM55+(1-Inputs!$B$15)*MIN(Mkt!DM55,DL55*(1+Inputs!$B$18))),DL55)))</f>
        <v>2343.52465056709</v>
      </c>
      <c r="DN55" s="11" t="n">
        <f aca="false">IF(DN$1&lt;Units!$P54,0,IF(AND(Units!$K54=0,DN$1=Units!$O54),Units!$R54,IF(AND(DN$1&gt;=Units!$Q54,MOD(DN$1-Units!$Q54,12)=0),IF(AND(Units!$L54=1,DN$1=Units!$Q54),IF(Units!$J54&lt;&gt;"",Units!$J54,Mkt!DN55),Inputs!$B$15*Mkt!DN55+(1-Inputs!$B$15)*MIN(Mkt!DN55,DM55*(1+Inputs!$B$18))),DM55)))</f>
        <v>2343.52465056709</v>
      </c>
      <c r="DO55" s="11" t="n">
        <f aca="false">IF(DO$1&lt;Units!$P54,0,IF(AND(Units!$K54=0,DO$1=Units!$O54),Units!$R54,IF(AND(DO$1&gt;=Units!$Q54,MOD(DO$1-Units!$Q54,12)=0),IF(AND(Units!$L54=1,DO$1=Units!$Q54),IF(Units!$J54&lt;&gt;"",Units!$J54,Mkt!DO55),Inputs!$B$15*Mkt!DO55+(1-Inputs!$B$15)*MIN(Mkt!DO55,DN55*(1+Inputs!$B$18))),DN55)))</f>
        <v>2343.52465056709</v>
      </c>
      <c r="DP55" s="11" t="n">
        <f aca="false">IF(DP$1&lt;Units!$P54,0,IF(AND(Units!$K54=0,DP$1=Units!$O54),Units!$R54,IF(AND(DP$1&gt;=Units!$Q54,MOD(DP$1-Units!$Q54,12)=0),IF(AND(Units!$L54=1,DP$1=Units!$Q54),IF(Units!$J54&lt;&gt;"",Units!$J54,Mkt!DP55),Inputs!$B$15*Mkt!DP55+(1-Inputs!$B$15)*MIN(Mkt!DP55,DO55*(1+Inputs!$B$18))),DO55)))</f>
        <v>2413.8303900841</v>
      </c>
      <c r="DQ55" s="11" t="n">
        <f aca="false">IF(DQ$1&lt;Units!$P54,0,IF(AND(Units!$K54=0,DQ$1=Units!$O54),Units!$R54,IF(AND(DQ$1&gt;=Units!$Q54,MOD(DQ$1-Units!$Q54,12)=0),IF(AND(Units!$L54=1,DQ$1=Units!$Q54),IF(Units!$J54&lt;&gt;"",Units!$J54,Mkt!DQ55),Inputs!$B$15*Mkt!DQ55+(1-Inputs!$B$15)*MIN(Mkt!DQ55,DP55*(1+Inputs!$B$18))),DP55)))</f>
        <v>2413.8303900841</v>
      </c>
      <c r="DR55" s="11" t="n">
        <f aca="false">IF(DR$1&lt;Units!$P54,0,IF(AND(Units!$K54=0,DR$1=Units!$O54),Units!$R54,IF(AND(DR$1&gt;=Units!$Q54,MOD(DR$1-Units!$Q54,12)=0),IF(AND(Units!$L54=1,DR$1=Units!$Q54),IF(Units!$J54&lt;&gt;"",Units!$J54,Mkt!DR55),Inputs!$B$15*Mkt!DR55+(1-Inputs!$B$15)*MIN(Mkt!DR55,DQ55*(1+Inputs!$B$18))),DQ55)))</f>
        <v>2413.8303900841</v>
      </c>
      <c r="DS55" s="11" t="n">
        <f aca="false">IF(DS$1&lt;Units!$P54,0,IF(AND(Units!$K54=0,DS$1=Units!$O54),Units!$R54,IF(AND(DS$1&gt;=Units!$Q54,MOD(DS$1-Units!$Q54,12)=0),IF(AND(Units!$L54=1,DS$1=Units!$Q54),IF(Units!$J54&lt;&gt;"",Units!$J54,Mkt!DS55),Inputs!$B$15*Mkt!DS55+(1-Inputs!$B$15)*MIN(Mkt!DS55,DR55*(1+Inputs!$B$18))),DR55)))</f>
        <v>2413.8303900841</v>
      </c>
      <c r="DT55" s="11" t="n">
        <f aca="false">IF(DT$1&lt;Units!$P54,0,IF(AND(Units!$K54=0,DT$1=Units!$O54),Units!$R54,IF(AND(DT$1&gt;=Units!$Q54,MOD(DT$1-Units!$Q54,12)=0),IF(AND(Units!$L54=1,DT$1=Units!$Q54),IF(Units!$J54&lt;&gt;"",Units!$J54,Mkt!DT55),Inputs!$B$15*Mkt!DT55+(1-Inputs!$B$15)*MIN(Mkt!DT55,DS55*(1+Inputs!$B$18))),DS55)))</f>
        <v>2413.8303900841</v>
      </c>
      <c r="DU55" s="11" t="n">
        <f aca="false">IF(DU$1&lt;Units!$P54,0,IF(AND(Units!$K54=0,DU$1=Units!$O54),Units!$R54,IF(AND(DU$1&gt;=Units!$Q54,MOD(DU$1-Units!$Q54,12)=0),IF(AND(Units!$L54=1,DU$1=Units!$Q54),IF(Units!$J54&lt;&gt;"",Units!$J54,Mkt!DU55),Inputs!$B$15*Mkt!DU55+(1-Inputs!$B$15)*MIN(Mkt!DU55,DT55*(1+Inputs!$B$18))),DT55)))</f>
        <v>2413.8303900841</v>
      </c>
      <c r="DV55" s="11" t="n">
        <f aca="false">IF(DV$1&lt;Units!$P54,0,IF(AND(Units!$K54=0,DV$1=Units!$O54),Units!$R54,IF(AND(DV$1&gt;=Units!$Q54,MOD(DV$1-Units!$Q54,12)=0),IF(AND(Units!$L54=1,DV$1=Units!$Q54),IF(Units!$J54&lt;&gt;"",Units!$J54,Mkt!DV55),Inputs!$B$15*Mkt!DV55+(1-Inputs!$B$15)*MIN(Mkt!DV55,DU55*(1+Inputs!$B$18))),DU55)))</f>
        <v>2413.8303900841</v>
      </c>
      <c r="DW55" s="11" t="n">
        <f aca="false">IF(DW$1&lt;Units!$P54,0,IF(AND(Units!$K54=0,DW$1=Units!$O54),Units!$R54,IF(AND(DW$1&gt;=Units!$Q54,MOD(DW$1-Units!$Q54,12)=0),IF(AND(Units!$L54=1,DW$1=Units!$Q54),IF(Units!$J54&lt;&gt;"",Units!$J54,Mkt!DW55),Inputs!$B$15*Mkt!DW55+(1-Inputs!$B$15)*MIN(Mkt!DW55,DV55*(1+Inputs!$B$18))),DV55)))</f>
        <v>2413.8303900841</v>
      </c>
      <c r="DX55" s="11" t="n">
        <f aca="false">IF(DX$1&lt;Units!$P54,0,IF(AND(Units!$K54=0,DX$1=Units!$O54),Units!$R54,IF(AND(DX$1&gt;=Units!$Q54,MOD(DX$1-Units!$Q54,12)=0),IF(AND(Units!$L54=1,DX$1=Units!$Q54),IF(Units!$J54&lt;&gt;"",Units!$J54,Mkt!DX55),Inputs!$B$15*Mkt!DX55+(1-Inputs!$B$15)*MIN(Mkt!DX55,DW55*(1+Inputs!$B$18))),DW55)))</f>
        <v>2413.8303900841</v>
      </c>
      <c r="DY55" s="11" t="n">
        <f aca="false">IF(DY$1&lt;Units!$P54,0,IF(AND(Units!$K54=0,DY$1=Units!$O54),Units!$R54,IF(AND(DY$1&gt;=Units!$Q54,MOD(DY$1-Units!$Q54,12)=0),IF(AND(Units!$L54=1,DY$1=Units!$Q54),IF(Units!$J54&lt;&gt;"",Units!$J54,Mkt!DY55),Inputs!$B$15*Mkt!DY55+(1-Inputs!$B$15)*MIN(Mkt!DY55,DX55*(1+Inputs!$B$18))),DX55)))</f>
        <v>2413.8303900841</v>
      </c>
      <c r="DZ55" s="11" t="n">
        <f aca="false">IF(DZ$1&lt;Units!$P54,0,IF(AND(Units!$K54=0,DZ$1=Units!$O54),Units!$R54,IF(AND(DZ$1&gt;=Units!$Q54,MOD(DZ$1-Units!$Q54,12)=0),IF(AND(Units!$L54=1,DZ$1=Units!$Q54),IF(Units!$J54&lt;&gt;"",Units!$J54,Mkt!DZ55),Inputs!$B$15*Mkt!DZ55+(1-Inputs!$B$15)*MIN(Mkt!DZ55,DY55*(1+Inputs!$B$18))),DY55)))</f>
        <v>2413.8303900841</v>
      </c>
      <c r="EA55" s="11" t="n">
        <f aca="false">IF(EA$1&lt;Units!$P54,0,IF(AND(Units!$K54=0,EA$1=Units!$O54),Units!$R54,IF(AND(EA$1&gt;=Units!$Q54,MOD(EA$1-Units!$Q54,12)=0),IF(AND(Units!$L54=1,EA$1=Units!$Q54),IF(Units!$J54&lt;&gt;"",Units!$J54,Mkt!EA55),Inputs!$B$15*Mkt!EA55+(1-Inputs!$B$15)*MIN(Mkt!EA55,DZ55*(1+Inputs!$B$18))),DZ55)))</f>
        <v>2413.8303900841</v>
      </c>
      <c r="EB55" s="11" t="n">
        <f aca="false">IF(EB$1&lt;Units!$P54,0,IF(AND(Units!$K54=0,EB$1=Units!$O54),Units!$R54,IF(AND(EB$1&gt;=Units!$Q54,MOD(EB$1-Units!$Q54,12)=0),IF(AND(Units!$L54=1,EB$1=Units!$Q54),IF(Units!$J54&lt;&gt;"",Units!$J54,Mkt!EB55),Inputs!$B$15*Mkt!EB55+(1-Inputs!$B$15)*MIN(Mkt!EB55,EA55*(1+Inputs!$B$18))),EA55)))</f>
        <v>2486.24530178663</v>
      </c>
      <c r="EC55" s="11" t="n">
        <f aca="false">IF(EC$1&lt;Units!$P54,0,IF(AND(Units!$K54=0,EC$1=Units!$O54),Units!$R54,IF(AND(EC$1&gt;=Units!$Q54,MOD(EC$1-Units!$Q54,12)=0),IF(AND(Units!$L54=1,EC$1=Units!$Q54),IF(Units!$J54&lt;&gt;"",Units!$J54,Mkt!EC55),Inputs!$B$15*Mkt!EC55+(1-Inputs!$B$15)*MIN(Mkt!EC55,EB55*(1+Inputs!$B$18))),EB55)))</f>
        <v>2486.24530178663</v>
      </c>
      <c r="ED55" s="11" t="n">
        <f aca="false">IF(ED$1&lt;Units!$P54,0,IF(AND(Units!$K54=0,ED$1=Units!$O54),Units!$R54,IF(AND(ED$1&gt;=Units!$Q54,MOD(ED$1-Units!$Q54,12)=0),IF(AND(Units!$L54=1,ED$1=Units!$Q54),IF(Units!$J54&lt;&gt;"",Units!$J54,Mkt!ED55),Inputs!$B$15*Mkt!ED55+(1-Inputs!$B$15)*MIN(Mkt!ED55,EC55*(1+Inputs!$B$18))),EC55)))</f>
        <v>2486.24530178663</v>
      </c>
    </row>
    <row r="56" customFormat="false" ht="15" hidden="false" customHeight="false" outlineLevel="0" collapsed="false">
      <c r="A56" s="22" t="n">
        <f aca="false">Units!A55</f>
        <v>224</v>
      </c>
      <c r="B56" s="24" t="n">
        <f aca="false">IF(Units!K55=1,Units!F55,0)</f>
        <v>1735</v>
      </c>
      <c r="C56" s="11" t="n">
        <f aca="false">IF(C$1&lt;Units!$P55,0,IF(AND(Units!$K55=0,C$1=Units!$O55),Units!$R55,IF(AND(C$1&gt;=Units!$Q55,MOD(C$1-Units!$Q55,12)=0),IF(AND(Units!$L55=1,C$1=Units!$Q55),IF(Units!$J55&lt;&gt;"",Units!$J55,Mkt!C56),Inputs!$B$15*Mkt!C56+(1-Inputs!$B$15)*MIN(Mkt!C56,B56*(1+Inputs!$B$18))),B56)))</f>
        <v>1735</v>
      </c>
      <c r="D56" s="11" t="n">
        <f aca="false">IF(D$1&lt;Units!$P55,0,IF(AND(Units!$K55=0,D$1=Units!$O55),Units!$R55,IF(AND(D$1&gt;=Units!$Q55,MOD(D$1-Units!$Q55,12)=0),IF(AND(Units!$L55=1,D$1=Units!$Q55),IF(Units!$J55&lt;&gt;"",Units!$J55,Mkt!D56),Inputs!$B$15*Mkt!D56+(1-Inputs!$B$15)*MIN(Mkt!D56,C56*(1+Inputs!$B$18))),C56)))</f>
        <v>1735</v>
      </c>
      <c r="E56" s="11" t="n">
        <f aca="false">IF(E$1&lt;Units!$P55,0,IF(AND(Units!$K55=0,E$1=Units!$O55),Units!$R55,IF(AND(E$1&gt;=Units!$Q55,MOD(E$1-Units!$Q55,12)=0),IF(AND(Units!$L55=1,E$1=Units!$Q55),IF(Units!$J55&lt;&gt;"",Units!$J55,Mkt!E56),Inputs!$B$15*Mkt!E56+(1-Inputs!$B$15)*MIN(Mkt!E56,D56*(1+Inputs!$B$18))),D56)))</f>
        <v>1735</v>
      </c>
      <c r="F56" s="11" t="n">
        <f aca="false">IF(F$1&lt;Units!$P55,0,IF(AND(Units!$K55=0,F$1=Units!$O55),Units!$R55,IF(AND(F$1&gt;=Units!$Q55,MOD(F$1-Units!$Q55,12)=0),IF(AND(Units!$L55=1,F$1=Units!$Q55),IF(Units!$J55&lt;&gt;"",Units!$J55,Mkt!F56),Inputs!$B$15*Mkt!F56+(1-Inputs!$B$15)*MIN(Mkt!F56,E56*(1+Inputs!$B$18))),E56)))</f>
        <v>1735</v>
      </c>
      <c r="G56" s="11" t="n">
        <f aca="false">IF(G$1&lt;Units!$P55,0,IF(AND(Units!$K55=0,G$1=Units!$O55),Units!$R55,IF(AND(G$1&gt;=Units!$Q55,MOD(G$1-Units!$Q55,12)=0),IF(AND(Units!$L55=1,G$1=Units!$Q55),IF(Units!$J55&lt;&gt;"",Units!$J55,Mkt!G56),Inputs!$B$15*Mkt!G56+(1-Inputs!$B$15)*MIN(Mkt!G56,F56*(1+Inputs!$B$18))),F56)))</f>
        <v>1735</v>
      </c>
      <c r="H56" s="11" t="n">
        <f aca="false">IF(H$1&lt;Units!$P55,0,IF(AND(Units!$K55=0,H$1=Units!$O55),Units!$R55,IF(AND(H$1&gt;=Units!$Q55,MOD(H$1-Units!$Q55,12)=0),IF(AND(Units!$L55=1,H$1=Units!$Q55),IF(Units!$J55&lt;&gt;"",Units!$J55,Mkt!H56),Inputs!$B$15*Mkt!H56+(1-Inputs!$B$15)*MIN(Mkt!H56,G56*(1+Inputs!$B$18))),G56)))</f>
        <v>1735</v>
      </c>
      <c r="I56" s="11" t="n">
        <f aca="false">IF(I$1&lt;Units!$P55,0,IF(AND(Units!$K55=0,I$1=Units!$O55),Units!$R55,IF(AND(I$1&gt;=Units!$Q55,MOD(I$1-Units!$Q55,12)=0),IF(AND(Units!$L55=1,I$1=Units!$Q55),IF(Units!$J55&lt;&gt;"",Units!$J55,Mkt!I56),Inputs!$B$15*Mkt!I56+(1-Inputs!$B$15)*MIN(Mkt!I56,H56*(1+Inputs!$B$18))),H56)))</f>
        <v>1835.875</v>
      </c>
      <c r="J56" s="11" t="n">
        <f aca="false">IF(J$1&lt;Units!$P55,0,IF(AND(Units!$K55=0,J$1=Units!$O55),Units!$R55,IF(AND(J$1&gt;=Units!$Q55,MOD(J$1-Units!$Q55,12)=0),IF(AND(Units!$L55=1,J$1=Units!$Q55),IF(Units!$J55&lt;&gt;"",Units!$J55,Mkt!J56),Inputs!$B$15*Mkt!J56+(1-Inputs!$B$15)*MIN(Mkt!J56,I56*(1+Inputs!$B$18))),I56)))</f>
        <v>1835.875</v>
      </c>
      <c r="K56" s="11" t="n">
        <f aca="false">IF(K$1&lt;Units!$P55,0,IF(AND(Units!$K55=0,K$1=Units!$O55),Units!$R55,IF(AND(K$1&gt;=Units!$Q55,MOD(K$1-Units!$Q55,12)=0),IF(AND(Units!$L55=1,K$1=Units!$Q55),IF(Units!$J55&lt;&gt;"",Units!$J55,Mkt!K56),Inputs!$B$15*Mkt!K56+(1-Inputs!$B$15)*MIN(Mkt!K56,J56*(1+Inputs!$B$18))),J56)))</f>
        <v>1835.875</v>
      </c>
      <c r="L56" s="11" t="n">
        <f aca="false">IF(L$1&lt;Units!$P55,0,IF(AND(Units!$K55=0,L$1=Units!$O55),Units!$R55,IF(AND(L$1&gt;=Units!$Q55,MOD(L$1-Units!$Q55,12)=0),IF(AND(Units!$L55=1,L$1=Units!$Q55),IF(Units!$J55&lt;&gt;"",Units!$J55,Mkt!L56),Inputs!$B$15*Mkt!L56+(1-Inputs!$B$15)*MIN(Mkt!L56,K56*(1+Inputs!$B$18))),K56)))</f>
        <v>1835.875</v>
      </c>
      <c r="M56" s="11" t="n">
        <f aca="false">IF(M$1&lt;Units!$P55,0,IF(AND(Units!$K55=0,M$1=Units!$O55),Units!$R55,IF(AND(M$1&gt;=Units!$Q55,MOD(M$1-Units!$Q55,12)=0),IF(AND(Units!$L55=1,M$1=Units!$Q55),IF(Units!$J55&lt;&gt;"",Units!$J55,Mkt!M56),Inputs!$B$15*Mkt!M56+(1-Inputs!$B$15)*MIN(Mkt!M56,L56*(1+Inputs!$B$18))),L56)))</f>
        <v>1835.875</v>
      </c>
      <c r="N56" s="11" t="n">
        <f aca="false">IF(N$1&lt;Units!$P55,0,IF(AND(Units!$K55=0,N$1=Units!$O55),Units!$R55,IF(AND(N$1&gt;=Units!$Q55,MOD(N$1-Units!$Q55,12)=0),IF(AND(Units!$L55=1,N$1=Units!$Q55),IF(Units!$J55&lt;&gt;"",Units!$J55,Mkt!N56),Inputs!$B$15*Mkt!N56+(1-Inputs!$B$15)*MIN(Mkt!N56,M56*(1+Inputs!$B$18))),M56)))</f>
        <v>1835.875</v>
      </c>
      <c r="O56" s="11" t="n">
        <f aca="false">IF(O$1&lt;Units!$P55,0,IF(AND(Units!$K55=0,O$1=Units!$O55),Units!$R55,IF(AND(O$1&gt;=Units!$Q55,MOD(O$1-Units!$Q55,12)=0),IF(AND(Units!$L55=1,O$1=Units!$Q55),IF(Units!$J55&lt;&gt;"",Units!$J55,Mkt!O56),Inputs!$B$15*Mkt!O56+(1-Inputs!$B$15)*MIN(Mkt!O56,N56*(1+Inputs!$B$18))),N56)))</f>
        <v>1835.875</v>
      </c>
      <c r="P56" s="11" t="n">
        <f aca="false">IF(P$1&lt;Units!$P55,0,IF(AND(Units!$K55=0,P$1=Units!$O55),Units!$R55,IF(AND(P$1&gt;=Units!$Q55,MOD(P$1-Units!$Q55,12)=0),IF(AND(Units!$L55=1,P$1=Units!$Q55),IF(Units!$J55&lt;&gt;"",Units!$J55,Mkt!P56),Inputs!$B$15*Mkt!P56+(1-Inputs!$B$15)*MIN(Mkt!P56,O56*(1+Inputs!$B$18))),O56)))</f>
        <v>1835.875</v>
      </c>
      <c r="Q56" s="11" t="n">
        <f aca="false">IF(Q$1&lt;Units!$P55,0,IF(AND(Units!$K55=0,Q$1=Units!$O55),Units!$R55,IF(AND(Q$1&gt;=Units!$Q55,MOD(Q$1-Units!$Q55,12)=0),IF(AND(Units!$L55=1,Q$1=Units!$Q55),IF(Units!$J55&lt;&gt;"",Units!$J55,Mkt!Q56),Inputs!$B$15*Mkt!Q56+(1-Inputs!$B$15)*MIN(Mkt!Q56,P56*(1+Inputs!$B$18))),P56)))</f>
        <v>1835.875</v>
      </c>
      <c r="R56" s="11" t="n">
        <f aca="false">IF(R$1&lt;Units!$P55,0,IF(AND(Units!$K55=0,R$1=Units!$O55),Units!$R55,IF(AND(R$1&gt;=Units!$Q55,MOD(R$1-Units!$Q55,12)=0),IF(AND(Units!$L55=1,R$1=Units!$Q55),IF(Units!$J55&lt;&gt;"",Units!$J55,Mkt!R56),Inputs!$B$15*Mkt!R56+(1-Inputs!$B$15)*MIN(Mkt!R56,Q56*(1+Inputs!$B$18))),Q56)))</f>
        <v>1835.875</v>
      </c>
      <c r="S56" s="11" t="n">
        <f aca="false">IF(S$1&lt;Units!$P55,0,IF(AND(Units!$K55=0,S$1=Units!$O55),Units!$R55,IF(AND(S$1&gt;=Units!$Q55,MOD(S$1-Units!$Q55,12)=0),IF(AND(Units!$L55=1,S$1=Units!$Q55),IF(Units!$J55&lt;&gt;"",Units!$J55,Mkt!S56),Inputs!$B$15*Mkt!S56+(1-Inputs!$B$15)*MIN(Mkt!S56,R56*(1+Inputs!$B$18))),R56)))</f>
        <v>1835.875</v>
      </c>
      <c r="T56" s="11" t="n">
        <f aca="false">IF(T$1&lt;Units!$P55,0,IF(AND(Units!$K55=0,T$1=Units!$O55),Units!$R55,IF(AND(T$1&gt;=Units!$Q55,MOD(T$1-Units!$Q55,12)=0),IF(AND(Units!$L55=1,T$1=Units!$Q55),IF(Units!$J55&lt;&gt;"",Units!$J55,Mkt!T56),Inputs!$B$15*Mkt!T56+(1-Inputs!$B$15)*MIN(Mkt!T56,S56*(1+Inputs!$B$18))),S56)))</f>
        <v>1835.875</v>
      </c>
      <c r="U56" s="11" t="n">
        <f aca="false">IF(U$1&lt;Units!$P55,0,IF(AND(Units!$K55=0,U$1=Units!$O55),Units!$R55,IF(AND(U$1&gt;=Units!$Q55,MOD(U$1-Units!$Q55,12)=0),IF(AND(Units!$L55=1,U$1=Units!$Q55),IF(Units!$J55&lt;&gt;"",Units!$J55,Mkt!U56),Inputs!$B$15*Mkt!U56+(1-Inputs!$B$15)*MIN(Mkt!U56,T56*(1+Inputs!$B$18))),T56)))</f>
        <v>1905.5</v>
      </c>
      <c r="V56" s="11" t="n">
        <f aca="false">IF(V$1&lt;Units!$P55,0,IF(AND(Units!$K55=0,V$1=Units!$O55),Units!$R55,IF(AND(V$1&gt;=Units!$Q55,MOD(V$1-Units!$Q55,12)=0),IF(AND(Units!$L55=1,V$1=Units!$Q55),IF(Units!$J55&lt;&gt;"",Units!$J55,Mkt!V56),Inputs!$B$15*Mkt!V56+(1-Inputs!$B$15)*MIN(Mkt!V56,U56*(1+Inputs!$B$18))),U56)))</f>
        <v>1905.5</v>
      </c>
      <c r="W56" s="11" t="n">
        <f aca="false">IF(W$1&lt;Units!$P55,0,IF(AND(Units!$K55=0,W$1=Units!$O55),Units!$R55,IF(AND(W$1&gt;=Units!$Q55,MOD(W$1-Units!$Q55,12)=0),IF(AND(Units!$L55=1,W$1=Units!$Q55),IF(Units!$J55&lt;&gt;"",Units!$J55,Mkt!W56),Inputs!$B$15*Mkt!W56+(1-Inputs!$B$15)*MIN(Mkt!W56,V56*(1+Inputs!$B$18))),V56)))</f>
        <v>1905.5</v>
      </c>
      <c r="X56" s="11" t="n">
        <f aca="false">IF(X$1&lt;Units!$P55,0,IF(AND(Units!$K55=0,X$1=Units!$O55),Units!$R55,IF(AND(X$1&gt;=Units!$Q55,MOD(X$1-Units!$Q55,12)=0),IF(AND(Units!$L55=1,X$1=Units!$Q55),IF(Units!$J55&lt;&gt;"",Units!$J55,Mkt!X56),Inputs!$B$15*Mkt!X56+(1-Inputs!$B$15)*MIN(Mkt!X56,W56*(1+Inputs!$B$18))),W56)))</f>
        <v>1905.5</v>
      </c>
      <c r="Y56" s="11" t="n">
        <f aca="false">IF(Y$1&lt;Units!$P55,0,IF(AND(Units!$K55=0,Y$1=Units!$O55),Units!$R55,IF(AND(Y$1&gt;=Units!$Q55,MOD(Y$1-Units!$Q55,12)=0),IF(AND(Units!$L55=1,Y$1=Units!$Q55),IF(Units!$J55&lt;&gt;"",Units!$J55,Mkt!Y56),Inputs!$B$15*Mkt!Y56+(1-Inputs!$B$15)*MIN(Mkt!Y56,X56*(1+Inputs!$B$18))),X56)))</f>
        <v>1905.5</v>
      </c>
      <c r="Z56" s="11" t="n">
        <f aca="false">IF(Z$1&lt;Units!$P55,0,IF(AND(Units!$K55=0,Z$1=Units!$O55),Units!$R55,IF(AND(Z$1&gt;=Units!$Q55,MOD(Z$1-Units!$Q55,12)=0),IF(AND(Units!$L55=1,Z$1=Units!$Q55),IF(Units!$J55&lt;&gt;"",Units!$J55,Mkt!Z56),Inputs!$B$15*Mkt!Z56+(1-Inputs!$B$15)*MIN(Mkt!Z56,Y56*(1+Inputs!$B$18))),Y56)))</f>
        <v>1905.5</v>
      </c>
      <c r="AA56" s="11" t="n">
        <f aca="false">IF(AA$1&lt;Units!$P55,0,IF(AND(Units!$K55=0,AA$1=Units!$O55),Units!$R55,IF(AND(AA$1&gt;=Units!$Q55,MOD(AA$1-Units!$Q55,12)=0),IF(AND(Units!$L55=1,AA$1=Units!$Q55),IF(Units!$J55&lt;&gt;"",Units!$J55,Mkt!AA56),Inputs!$B$15*Mkt!AA56+(1-Inputs!$B$15)*MIN(Mkt!AA56,Z56*(1+Inputs!$B$18))),Z56)))</f>
        <v>1905.5</v>
      </c>
      <c r="AB56" s="11" t="n">
        <f aca="false">IF(AB$1&lt;Units!$P55,0,IF(AND(Units!$K55=0,AB$1=Units!$O55),Units!$R55,IF(AND(AB$1&gt;=Units!$Q55,MOD(AB$1-Units!$Q55,12)=0),IF(AND(Units!$L55=1,AB$1=Units!$Q55),IF(Units!$J55&lt;&gt;"",Units!$J55,Mkt!AB56),Inputs!$B$15*Mkt!AB56+(1-Inputs!$B$15)*MIN(Mkt!AB56,AA56*(1+Inputs!$B$18))),AA56)))</f>
        <v>1905.5</v>
      </c>
      <c r="AC56" s="11" t="n">
        <f aca="false">IF(AC$1&lt;Units!$P55,0,IF(AND(Units!$K55=0,AC$1=Units!$O55),Units!$R55,IF(AND(AC$1&gt;=Units!$Q55,MOD(AC$1-Units!$Q55,12)=0),IF(AND(Units!$L55=1,AC$1=Units!$Q55),IF(Units!$J55&lt;&gt;"",Units!$J55,Mkt!AC56),Inputs!$B$15*Mkt!AC56+(1-Inputs!$B$15)*MIN(Mkt!AC56,AB56*(1+Inputs!$B$18))),AB56)))</f>
        <v>1905.5</v>
      </c>
      <c r="AD56" s="11" t="n">
        <f aca="false">IF(AD$1&lt;Units!$P55,0,IF(AND(Units!$K55=0,AD$1=Units!$O55),Units!$R55,IF(AND(AD$1&gt;=Units!$Q55,MOD(AD$1-Units!$Q55,12)=0),IF(AND(Units!$L55=1,AD$1=Units!$Q55),IF(Units!$J55&lt;&gt;"",Units!$J55,Mkt!AD56),Inputs!$B$15*Mkt!AD56+(1-Inputs!$B$15)*MIN(Mkt!AD56,AC56*(1+Inputs!$B$18))),AC56)))</f>
        <v>1905.5</v>
      </c>
      <c r="AE56" s="11" t="n">
        <f aca="false">IF(AE$1&lt;Units!$P55,0,IF(AND(Units!$K55=0,AE$1=Units!$O55),Units!$R55,IF(AND(AE$1&gt;=Units!$Q55,MOD(AE$1-Units!$Q55,12)=0),IF(AND(Units!$L55=1,AE$1=Units!$Q55),IF(Units!$J55&lt;&gt;"",Units!$J55,Mkt!AE56),Inputs!$B$15*Mkt!AE56+(1-Inputs!$B$15)*MIN(Mkt!AE56,AD56*(1+Inputs!$B$18))),AD56)))</f>
        <v>1905.5</v>
      </c>
      <c r="AF56" s="11" t="n">
        <f aca="false">IF(AF$1&lt;Units!$P55,0,IF(AND(Units!$K55=0,AF$1=Units!$O55),Units!$R55,IF(AND(AF$1&gt;=Units!$Q55,MOD(AF$1-Units!$Q55,12)=0),IF(AND(Units!$L55=1,AF$1=Units!$Q55),IF(Units!$J55&lt;&gt;"",Units!$J55,Mkt!AF56),Inputs!$B$15*Mkt!AF56+(1-Inputs!$B$15)*MIN(Mkt!AF56,AE56*(1+Inputs!$B$18))),AE56)))</f>
        <v>1905.5</v>
      </c>
      <c r="AG56" s="11" t="n">
        <f aca="false">IF(AG$1&lt;Units!$P55,0,IF(AND(Units!$K55=0,AG$1=Units!$O55),Units!$R55,IF(AND(AG$1&gt;=Units!$Q55,MOD(AG$1-Units!$Q55,12)=0),IF(AND(Units!$L55=1,AG$1=Units!$Q55),IF(Units!$J55&lt;&gt;"",Units!$J55,Mkt!AG56),Inputs!$B$15*Mkt!AG56+(1-Inputs!$B$15)*MIN(Mkt!AG56,AF56*(1+Inputs!$B$18))),AF56)))</f>
        <v>1962.665</v>
      </c>
      <c r="AH56" s="11" t="n">
        <f aca="false">IF(AH$1&lt;Units!$P55,0,IF(AND(Units!$K55=0,AH$1=Units!$O55),Units!$R55,IF(AND(AH$1&gt;=Units!$Q55,MOD(AH$1-Units!$Q55,12)=0),IF(AND(Units!$L55=1,AH$1=Units!$Q55),IF(Units!$J55&lt;&gt;"",Units!$J55,Mkt!AH56),Inputs!$B$15*Mkt!AH56+(1-Inputs!$B$15)*MIN(Mkt!AH56,AG56*(1+Inputs!$B$18))),AG56)))</f>
        <v>1962.665</v>
      </c>
      <c r="AI56" s="11" t="n">
        <f aca="false">IF(AI$1&lt;Units!$P55,0,IF(AND(Units!$K55=0,AI$1=Units!$O55),Units!$R55,IF(AND(AI$1&gt;=Units!$Q55,MOD(AI$1-Units!$Q55,12)=0),IF(AND(Units!$L55=1,AI$1=Units!$Q55),IF(Units!$J55&lt;&gt;"",Units!$J55,Mkt!AI56),Inputs!$B$15*Mkt!AI56+(1-Inputs!$B$15)*MIN(Mkt!AI56,AH56*(1+Inputs!$B$18))),AH56)))</f>
        <v>1962.665</v>
      </c>
      <c r="AJ56" s="11" t="n">
        <f aca="false">IF(AJ$1&lt;Units!$P55,0,IF(AND(Units!$K55=0,AJ$1=Units!$O55),Units!$R55,IF(AND(AJ$1&gt;=Units!$Q55,MOD(AJ$1-Units!$Q55,12)=0),IF(AND(Units!$L55=1,AJ$1=Units!$Q55),IF(Units!$J55&lt;&gt;"",Units!$J55,Mkt!AJ56),Inputs!$B$15*Mkt!AJ56+(1-Inputs!$B$15)*MIN(Mkt!AJ56,AI56*(1+Inputs!$B$18))),AI56)))</f>
        <v>1962.665</v>
      </c>
      <c r="AK56" s="11" t="n">
        <f aca="false">IF(AK$1&lt;Units!$P55,0,IF(AND(Units!$K55=0,AK$1=Units!$O55),Units!$R55,IF(AND(AK$1&gt;=Units!$Q55,MOD(AK$1-Units!$Q55,12)=0),IF(AND(Units!$L55=1,AK$1=Units!$Q55),IF(Units!$J55&lt;&gt;"",Units!$J55,Mkt!AK56),Inputs!$B$15*Mkt!AK56+(1-Inputs!$B$15)*MIN(Mkt!AK56,AJ56*(1+Inputs!$B$18))),AJ56)))</f>
        <v>1962.665</v>
      </c>
      <c r="AL56" s="11" t="n">
        <f aca="false">IF(AL$1&lt;Units!$P55,0,IF(AND(Units!$K55=0,AL$1=Units!$O55),Units!$R55,IF(AND(AL$1&gt;=Units!$Q55,MOD(AL$1-Units!$Q55,12)=0),IF(AND(Units!$L55=1,AL$1=Units!$Q55),IF(Units!$J55&lt;&gt;"",Units!$J55,Mkt!AL56),Inputs!$B$15*Mkt!AL56+(1-Inputs!$B$15)*MIN(Mkt!AL56,AK56*(1+Inputs!$B$18))),AK56)))</f>
        <v>1962.665</v>
      </c>
      <c r="AM56" s="11" t="n">
        <f aca="false">IF(AM$1&lt;Units!$P55,0,IF(AND(Units!$K55=0,AM$1=Units!$O55),Units!$R55,IF(AND(AM$1&gt;=Units!$Q55,MOD(AM$1-Units!$Q55,12)=0),IF(AND(Units!$L55=1,AM$1=Units!$Q55),IF(Units!$J55&lt;&gt;"",Units!$J55,Mkt!AM56),Inputs!$B$15*Mkt!AM56+(1-Inputs!$B$15)*MIN(Mkt!AM56,AL56*(1+Inputs!$B$18))),AL56)))</f>
        <v>1962.665</v>
      </c>
      <c r="AN56" s="11" t="n">
        <f aca="false">IF(AN$1&lt;Units!$P55,0,IF(AND(Units!$K55=0,AN$1=Units!$O55),Units!$R55,IF(AND(AN$1&gt;=Units!$Q55,MOD(AN$1-Units!$Q55,12)=0),IF(AND(Units!$L55=1,AN$1=Units!$Q55),IF(Units!$J55&lt;&gt;"",Units!$J55,Mkt!AN56),Inputs!$B$15*Mkt!AN56+(1-Inputs!$B$15)*MIN(Mkt!AN56,AM56*(1+Inputs!$B$18))),AM56)))</f>
        <v>1962.665</v>
      </c>
      <c r="AO56" s="11" t="n">
        <f aca="false">IF(AO$1&lt;Units!$P55,0,IF(AND(Units!$K55=0,AO$1=Units!$O55),Units!$R55,IF(AND(AO$1&gt;=Units!$Q55,MOD(AO$1-Units!$Q55,12)=0),IF(AND(Units!$L55=1,AO$1=Units!$Q55),IF(Units!$J55&lt;&gt;"",Units!$J55,Mkt!AO56),Inputs!$B$15*Mkt!AO56+(1-Inputs!$B$15)*MIN(Mkt!AO56,AN56*(1+Inputs!$B$18))),AN56)))</f>
        <v>1962.665</v>
      </c>
      <c r="AP56" s="11" t="n">
        <f aca="false">IF(AP$1&lt;Units!$P55,0,IF(AND(Units!$K55=0,AP$1=Units!$O55),Units!$R55,IF(AND(AP$1&gt;=Units!$Q55,MOD(AP$1-Units!$Q55,12)=0),IF(AND(Units!$L55=1,AP$1=Units!$Q55),IF(Units!$J55&lt;&gt;"",Units!$J55,Mkt!AP56),Inputs!$B$15*Mkt!AP56+(1-Inputs!$B$15)*MIN(Mkt!AP56,AO56*(1+Inputs!$B$18))),AO56)))</f>
        <v>1962.665</v>
      </c>
      <c r="AQ56" s="11" t="n">
        <f aca="false">IF(AQ$1&lt;Units!$P55,0,IF(AND(Units!$K55=0,AQ$1=Units!$O55),Units!$R55,IF(AND(AQ$1&gt;=Units!$Q55,MOD(AQ$1-Units!$Q55,12)=0),IF(AND(Units!$L55=1,AQ$1=Units!$Q55),IF(Units!$J55&lt;&gt;"",Units!$J55,Mkt!AQ56),Inputs!$B$15*Mkt!AQ56+(1-Inputs!$B$15)*MIN(Mkt!AQ56,AP56*(1+Inputs!$B$18))),AP56)))</f>
        <v>1962.665</v>
      </c>
      <c r="AR56" s="11" t="n">
        <f aca="false">IF(AR$1&lt;Units!$P55,0,IF(AND(Units!$K55=0,AR$1=Units!$O55),Units!$R55,IF(AND(AR$1&gt;=Units!$Q55,MOD(AR$1-Units!$Q55,12)=0),IF(AND(Units!$L55=1,AR$1=Units!$Q55),IF(Units!$J55&lt;&gt;"",Units!$J55,Mkt!AR56),Inputs!$B$15*Mkt!AR56+(1-Inputs!$B$15)*MIN(Mkt!AR56,AQ56*(1+Inputs!$B$18))),AQ56)))</f>
        <v>1962.665</v>
      </c>
      <c r="AS56" s="11" t="n">
        <f aca="false">IF(AS$1&lt;Units!$P55,0,IF(AND(Units!$K55=0,AS$1=Units!$O55),Units!$R55,IF(AND(AS$1&gt;=Units!$Q55,MOD(AS$1-Units!$Q55,12)=0),IF(AND(Units!$L55=1,AS$1=Units!$Q55),IF(Units!$J55&lt;&gt;"",Units!$J55,Mkt!AS56),Inputs!$B$15*Mkt!AS56+(1-Inputs!$B$15)*MIN(Mkt!AS56,AR56*(1+Inputs!$B$18))),AR56)))</f>
        <v>2021.54495</v>
      </c>
      <c r="AT56" s="11" t="n">
        <f aca="false">IF(AT$1&lt;Units!$P55,0,IF(AND(Units!$K55=0,AT$1=Units!$O55),Units!$R55,IF(AND(AT$1&gt;=Units!$Q55,MOD(AT$1-Units!$Q55,12)=0),IF(AND(Units!$L55=1,AT$1=Units!$Q55),IF(Units!$J55&lt;&gt;"",Units!$J55,Mkt!AT56),Inputs!$B$15*Mkt!AT56+(1-Inputs!$B$15)*MIN(Mkt!AT56,AS56*(1+Inputs!$B$18))),AS56)))</f>
        <v>2021.54495</v>
      </c>
      <c r="AU56" s="11" t="n">
        <f aca="false">IF(AU$1&lt;Units!$P55,0,IF(AND(Units!$K55=0,AU$1=Units!$O55),Units!$R55,IF(AND(AU$1&gt;=Units!$Q55,MOD(AU$1-Units!$Q55,12)=0),IF(AND(Units!$L55=1,AU$1=Units!$Q55),IF(Units!$J55&lt;&gt;"",Units!$J55,Mkt!AU56),Inputs!$B$15*Mkt!AU56+(1-Inputs!$B$15)*MIN(Mkt!AU56,AT56*(1+Inputs!$B$18))),AT56)))</f>
        <v>2021.54495</v>
      </c>
      <c r="AV56" s="11" t="n">
        <f aca="false">IF(AV$1&lt;Units!$P55,0,IF(AND(Units!$K55=0,AV$1=Units!$O55),Units!$R55,IF(AND(AV$1&gt;=Units!$Q55,MOD(AV$1-Units!$Q55,12)=0),IF(AND(Units!$L55=1,AV$1=Units!$Q55),IF(Units!$J55&lt;&gt;"",Units!$J55,Mkt!AV56),Inputs!$B$15*Mkt!AV56+(1-Inputs!$B$15)*MIN(Mkt!AV56,AU56*(1+Inputs!$B$18))),AU56)))</f>
        <v>2021.54495</v>
      </c>
      <c r="AW56" s="11" t="n">
        <f aca="false">IF(AW$1&lt;Units!$P55,0,IF(AND(Units!$K55=0,AW$1=Units!$O55),Units!$R55,IF(AND(AW$1&gt;=Units!$Q55,MOD(AW$1-Units!$Q55,12)=0),IF(AND(Units!$L55=1,AW$1=Units!$Q55),IF(Units!$J55&lt;&gt;"",Units!$J55,Mkt!AW56),Inputs!$B$15*Mkt!AW56+(1-Inputs!$B$15)*MIN(Mkt!AW56,AV56*(1+Inputs!$B$18))),AV56)))</f>
        <v>2021.54495</v>
      </c>
      <c r="AX56" s="11" t="n">
        <f aca="false">IF(AX$1&lt;Units!$P55,0,IF(AND(Units!$K55=0,AX$1=Units!$O55),Units!$R55,IF(AND(AX$1&gt;=Units!$Q55,MOD(AX$1-Units!$Q55,12)=0),IF(AND(Units!$L55=1,AX$1=Units!$Q55),IF(Units!$J55&lt;&gt;"",Units!$J55,Mkt!AX56),Inputs!$B$15*Mkt!AX56+(1-Inputs!$B$15)*MIN(Mkt!AX56,AW56*(1+Inputs!$B$18))),AW56)))</f>
        <v>2021.54495</v>
      </c>
      <c r="AY56" s="11" t="n">
        <f aca="false">IF(AY$1&lt;Units!$P55,0,IF(AND(Units!$K55=0,AY$1=Units!$O55),Units!$R55,IF(AND(AY$1&gt;=Units!$Q55,MOD(AY$1-Units!$Q55,12)=0),IF(AND(Units!$L55=1,AY$1=Units!$Q55),IF(Units!$J55&lt;&gt;"",Units!$J55,Mkt!AY56),Inputs!$B$15*Mkt!AY56+(1-Inputs!$B$15)*MIN(Mkt!AY56,AX56*(1+Inputs!$B$18))),AX56)))</f>
        <v>2021.54495</v>
      </c>
      <c r="AZ56" s="11" t="n">
        <f aca="false">IF(AZ$1&lt;Units!$P55,0,IF(AND(Units!$K55=0,AZ$1=Units!$O55),Units!$R55,IF(AND(AZ$1&gt;=Units!$Q55,MOD(AZ$1-Units!$Q55,12)=0),IF(AND(Units!$L55=1,AZ$1=Units!$Q55),IF(Units!$J55&lt;&gt;"",Units!$J55,Mkt!AZ56),Inputs!$B$15*Mkt!AZ56+(1-Inputs!$B$15)*MIN(Mkt!AZ56,AY56*(1+Inputs!$B$18))),AY56)))</f>
        <v>2021.54495</v>
      </c>
      <c r="BA56" s="11" t="n">
        <f aca="false">IF(BA$1&lt;Units!$P55,0,IF(AND(Units!$K55=0,BA$1=Units!$O55),Units!$R55,IF(AND(BA$1&gt;=Units!$Q55,MOD(BA$1-Units!$Q55,12)=0),IF(AND(Units!$L55=1,BA$1=Units!$Q55),IF(Units!$J55&lt;&gt;"",Units!$J55,Mkt!BA56),Inputs!$B$15*Mkt!BA56+(1-Inputs!$B$15)*MIN(Mkt!BA56,AZ56*(1+Inputs!$B$18))),AZ56)))</f>
        <v>2021.54495</v>
      </c>
      <c r="BB56" s="11" t="n">
        <f aca="false">IF(BB$1&lt;Units!$P55,0,IF(AND(Units!$K55=0,BB$1=Units!$O55),Units!$R55,IF(AND(BB$1&gt;=Units!$Q55,MOD(BB$1-Units!$Q55,12)=0),IF(AND(Units!$L55=1,BB$1=Units!$Q55),IF(Units!$J55&lt;&gt;"",Units!$J55,Mkt!BB56),Inputs!$B$15*Mkt!BB56+(1-Inputs!$B$15)*MIN(Mkt!BB56,BA56*(1+Inputs!$B$18))),BA56)))</f>
        <v>2021.54495</v>
      </c>
      <c r="BC56" s="11" t="n">
        <f aca="false">IF(BC$1&lt;Units!$P55,0,IF(AND(Units!$K55=0,BC$1=Units!$O55),Units!$R55,IF(AND(BC$1&gt;=Units!$Q55,MOD(BC$1-Units!$Q55,12)=0),IF(AND(Units!$L55=1,BC$1=Units!$Q55),IF(Units!$J55&lt;&gt;"",Units!$J55,Mkt!BC56),Inputs!$B$15*Mkt!BC56+(1-Inputs!$B$15)*MIN(Mkt!BC56,BB56*(1+Inputs!$B$18))),BB56)))</f>
        <v>2021.54495</v>
      </c>
      <c r="BD56" s="11" t="n">
        <f aca="false">IF(BD$1&lt;Units!$P55,0,IF(AND(Units!$K55=0,BD$1=Units!$O55),Units!$R55,IF(AND(BD$1&gt;=Units!$Q55,MOD(BD$1-Units!$Q55,12)=0),IF(AND(Units!$L55=1,BD$1=Units!$Q55),IF(Units!$J55&lt;&gt;"",Units!$J55,Mkt!BD56),Inputs!$B$15*Mkt!BD56+(1-Inputs!$B$15)*MIN(Mkt!BD56,BC56*(1+Inputs!$B$18))),BC56)))</f>
        <v>2021.54495</v>
      </c>
      <c r="BE56" s="11" t="n">
        <f aca="false">IF(BE$1&lt;Units!$P55,0,IF(AND(Units!$K55=0,BE$1=Units!$O55),Units!$R55,IF(AND(BE$1&gt;=Units!$Q55,MOD(BE$1-Units!$Q55,12)=0),IF(AND(Units!$L55=1,BE$1=Units!$Q55),IF(Units!$J55&lt;&gt;"",Units!$J55,Mkt!BE56),Inputs!$B$15*Mkt!BE56+(1-Inputs!$B$15)*MIN(Mkt!BE56,BD56*(1+Inputs!$B$18))),BD56)))</f>
        <v>2082.1912985</v>
      </c>
      <c r="BF56" s="11" t="n">
        <f aca="false">IF(BF$1&lt;Units!$P55,0,IF(AND(Units!$K55=0,BF$1=Units!$O55),Units!$R55,IF(AND(BF$1&gt;=Units!$Q55,MOD(BF$1-Units!$Q55,12)=0),IF(AND(Units!$L55=1,BF$1=Units!$Q55),IF(Units!$J55&lt;&gt;"",Units!$J55,Mkt!BF56),Inputs!$B$15*Mkt!BF56+(1-Inputs!$B$15)*MIN(Mkt!BF56,BE56*(1+Inputs!$B$18))),BE56)))</f>
        <v>2082.1912985</v>
      </c>
      <c r="BG56" s="11" t="n">
        <f aca="false">IF(BG$1&lt;Units!$P55,0,IF(AND(Units!$K55=0,BG$1=Units!$O55),Units!$R55,IF(AND(BG$1&gt;=Units!$Q55,MOD(BG$1-Units!$Q55,12)=0),IF(AND(Units!$L55=1,BG$1=Units!$Q55),IF(Units!$J55&lt;&gt;"",Units!$J55,Mkt!BG56),Inputs!$B$15*Mkt!BG56+(1-Inputs!$B$15)*MIN(Mkt!BG56,BF56*(1+Inputs!$B$18))),BF56)))</f>
        <v>2082.1912985</v>
      </c>
      <c r="BH56" s="11" t="n">
        <f aca="false">IF(BH$1&lt;Units!$P55,0,IF(AND(Units!$K55=0,BH$1=Units!$O55),Units!$R55,IF(AND(BH$1&gt;=Units!$Q55,MOD(BH$1-Units!$Q55,12)=0),IF(AND(Units!$L55=1,BH$1=Units!$Q55),IF(Units!$J55&lt;&gt;"",Units!$J55,Mkt!BH56),Inputs!$B$15*Mkt!BH56+(1-Inputs!$B$15)*MIN(Mkt!BH56,BG56*(1+Inputs!$B$18))),BG56)))</f>
        <v>2082.1912985</v>
      </c>
      <c r="BI56" s="11" t="n">
        <f aca="false">IF(BI$1&lt;Units!$P55,0,IF(AND(Units!$K55=0,BI$1=Units!$O55),Units!$R55,IF(AND(BI$1&gt;=Units!$Q55,MOD(BI$1-Units!$Q55,12)=0),IF(AND(Units!$L55=1,BI$1=Units!$Q55),IF(Units!$J55&lt;&gt;"",Units!$J55,Mkt!BI56),Inputs!$B$15*Mkt!BI56+(1-Inputs!$B$15)*MIN(Mkt!BI56,BH56*(1+Inputs!$B$18))),BH56)))</f>
        <v>2082.1912985</v>
      </c>
      <c r="BJ56" s="11" t="n">
        <f aca="false">IF(BJ$1&lt;Units!$P55,0,IF(AND(Units!$K55=0,BJ$1=Units!$O55),Units!$R55,IF(AND(BJ$1&gt;=Units!$Q55,MOD(BJ$1-Units!$Q55,12)=0),IF(AND(Units!$L55=1,BJ$1=Units!$Q55),IF(Units!$J55&lt;&gt;"",Units!$J55,Mkt!BJ56),Inputs!$B$15*Mkt!BJ56+(1-Inputs!$B$15)*MIN(Mkt!BJ56,BI56*(1+Inputs!$B$18))),BI56)))</f>
        <v>2082.1912985</v>
      </c>
      <c r="BK56" s="11" t="n">
        <f aca="false">IF(BK$1&lt;Units!$P55,0,IF(AND(Units!$K55=0,BK$1=Units!$O55),Units!$R55,IF(AND(BK$1&gt;=Units!$Q55,MOD(BK$1-Units!$Q55,12)=0),IF(AND(Units!$L55=1,BK$1=Units!$Q55),IF(Units!$J55&lt;&gt;"",Units!$J55,Mkt!BK56),Inputs!$B$15*Mkt!BK56+(1-Inputs!$B$15)*MIN(Mkt!BK56,BJ56*(1+Inputs!$B$18))),BJ56)))</f>
        <v>2082.1912985</v>
      </c>
      <c r="BL56" s="11" t="n">
        <f aca="false">IF(BL$1&lt;Units!$P55,0,IF(AND(Units!$K55=0,BL$1=Units!$O55),Units!$R55,IF(AND(BL$1&gt;=Units!$Q55,MOD(BL$1-Units!$Q55,12)=0),IF(AND(Units!$L55=1,BL$1=Units!$Q55),IF(Units!$J55&lt;&gt;"",Units!$J55,Mkt!BL56),Inputs!$B$15*Mkt!BL56+(1-Inputs!$B$15)*MIN(Mkt!BL56,BK56*(1+Inputs!$B$18))),BK56)))</f>
        <v>2082.1912985</v>
      </c>
      <c r="BM56" s="11" t="n">
        <f aca="false">IF(BM$1&lt;Units!$P55,0,IF(AND(Units!$K55=0,BM$1=Units!$O55),Units!$R55,IF(AND(BM$1&gt;=Units!$Q55,MOD(BM$1-Units!$Q55,12)=0),IF(AND(Units!$L55=1,BM$1=Units!$Q55),IF(Units!$J55&lt;&gt;"",Units!$J55,Mkt!BM56),Inputs!$B$15*Mkt!BM56+(1-Inputs!$B$15)*MIN(Mkt!BM56,BL56*(1+Inputs!$B$18))),BL56)))</f>
        <v>2082.1912985</v>
      </c>
      <c r="BN56" s="11" t="n">
        <f aca="false">IF(BN$1&lt;Units!$P55,0,IF(AND(Units!$K55=0,BN$1=Units!$O55),Units!$R55,IF(AND(BN$1&gt;=Units!$Q55,MOD(BN$1-Units!$Q55,12)=0),IF(AND(Units!$L55=1,BN$1=Units!$Q55),IF(Units!$J55&lt;&gt;"",Units!$J55,Mkt!BN56),Inputs!$B$15*Mkt!BN56+(1-Inputs!$B$15)*MIN(Mkt!BN56,BM56*(1+Inputs!$B$18))),BM56)))</f>
        <v>2082.1912985</v>
      </c>
      <c r="BO56" s="11" t="n">
        <f aca="false">IF(BO$1&lt;Units!$P55,0,IF(AND(Units!$K55=0,BO$1=Units!$O55),Units!$R55,IF(AND(BO$1&gt;=Units!$Q55,MOD(BO$1-Units!$Q55,12)=0),IF(AND(Units!$L55=1,BO$1=Units!$Q55),IF(Units!$J55&lt;&gt;"",Units!$J55,Mkt!BO56),Inputs!$B$15*Mkt!BO56+(1-Inputs!$B$15)*MIN(Mkt!BO56,BN56*(1+Inputs!$B$18))),BN56)))</f>
        <v>2082.1912985</v>
      </c>
      <c r="BP56" s="11" t="n">
        <f aca="false">IF(BP$1&lt;Units!$P55,0,IF(AND(Units!$K55=0,BP$1=Units!$O55),Units!$R55,IF(AND(BP$1&gt;=Units!$Q55,MOD(BP$1-Units!$Q55,12)=0),IF(AND(Units!$L55=1,BP$1=Units!$Q55),IF(Units!$J55&lt;&gt;"",Units!$J55,Mkt!BP56),Inputs!$B$15*Mkt!BP56+(1-Inputs!$B$15)*MIN(Mkt!BP56,BO56*(1+Inputs!$B$18))),BO56)))</f>
        <v>2082.1912985</v>
      </c>
      <c r="BQ56" s="11" t="n">
        <f aca="false">IF(BQ$1&lt;Units!$P55,0,IF(AND(Units!$K55=0,BQ$1=Units!$O55),Units!$R55,IF(AND(BQ$1&gt;=Units!$Q55,MOD(BQ$1-Units!$Q55,12)=0),IF(AND(Units!$L55=1,BQ$1=Units!$Q55),IF(Units!$J55&lt;&gt;"",Units!$J55,Mkt!BQ56),Inputs!$B$15*Mkt!BQ56+(1-Inputs!$B$15)*MIN(Mkt!BQ56,BP56*(1+Inputs!$B$18))),BP56)))</f>
        <v>2144.657037455</v>
      </c>
      <c r="BR56" s="11" t="n">
        <f aca="false">IF(BR$1&lt;Units!$P55,0,IF(AND(Units!$K55=0,BR$1=Units!$O55),Units!$R55,IF(AND(BR$1&gt;=Units!$Q55,MOD(BR$1-Units!$Q55,12)=0),IF(AND(Units!$L55=1,BR$1=Units!$Q55),IF(Units!$J55&lt;&gt;"",Units!$J55,Mkt!BR56),Inputs!$B$15*Mkt!BR56+(1-Inputs!$B$15)*MIN(Mkt!BR56,BQ56*(1+Inputs!$B$18))),BQ56)))</f>
        <v>2144.657037455</v>
      </c>
      <c r="BS56" s="11" t="n">
        <f aca="false">IF(BS$1&lt;Units!$P55,0,IF(AND(Units!$K55=0,BS$1=Units!$O55),Units!$R55,IF(AND(BS$1&gt;=Units!$Q55,MOD(BS$1-Units!$Q55,12)=0),IF(AND(Units!$L55=1,BS$1=Units!$Q55),IF(Units!$J55&lt;&gt;"",Units!$J55,Mkt!BS56),Inputs!$B$15*Mkt!BS56+(1-Inputs!$B$15)*MIN(Mkt!BS56,BR56*(1+Inputs!$B$18))),BR56)))</f>
        <v>2144.657037455</v>
      </c>
      <c r="BT56" s="11" t="n">
        <f aca="false">IF(BT$1&lt;Units!$P55,0,IF(AND(Units!$K55=0,BT$1=Units!$O55),Units!$R55,IF(AND(BT$1&gt;=Units!$Q55,MOD(BT$1-Units!$Q55,12)=0),IF(AND(Units!$L55=1,BT$1=Units!$Q55),IF(Units!$J55&lt;&gt;"",Units!$J55,Mkt!BT56),Inputs!$B$15*Mkt!BT56+(1-Inputs!$B$15)*MIN(Mkt!BT56,BS56*(1+Inputs!$B$18))),BS56)))</f>
        <v>2144.657037455</v>
      </c>
      <c r="BU56" s="11" t="n">
        <f aca="false">IF(BU$1&lt;Units!$P55,0,IF(AND(Units!$K55=0,BU$1=Units!$O55),Units!$R55,IF(AND(BU$1&gt;=Units!$Q55,MOD(BU$1-Units!$Q55,12)=0),IF(AND(Units!$L55=1,BU$1=Units!$Q55),IF(Units!$J55&lt;&gt;"",Units!$J55,Mkt!BU56),Inputs!$B$15*Mkt!BU56+(1-Inputs!$B$15)*MIN(Mkt!BU56,BT56*(1+Inputs!$B$18))),BT56)))</f>
        <v>2144.657037455</v>
      </c>
      <c r="BV56" s="11" t="n">
        <f aca="false">IF(BV$1&lt;Units!$P55,0,IF(AND(Units!$K55=0,BV$1=Units!$O55),Units!$R55,IF(AND(BV$1&gt;=Units!$Q55,MOD(BV$1-Units!$Q55,12)=0),IF(AND(Units!$L55=1,BV$1=Units!$Q55),IF(Units!$J55&lt;&gt;"",Units!$J55,Mkt!BV56),Inputs!$B$15*Mkt!BV56+(1-Inputs!$B$15)*MIN(Mkt!BV56,BU56*(1+Inputs!$B$18))),BU56)))</f>
        <v>2144.657037455</v>
      </c>
      <c r="BW56" s="11" t="n">
        <f aca="false">IF(BW$1&lt;Units!$P55,0,IF(AND(Units!$K55=0,BW$1=Units!$O55),Units!$R55,IF(AND(BW$1&gt;=Units!$Q55,MOD(BW$1-Units!$Q55,12)=0),IF(AND(Units!$L55=1,BW$1=Units!$Q55),IF(Units!$J55&lt;&gt;"",Units!$J55,Mkt!BW56),Inputs!$B$15*Mkt!BW56+(1-Inputs!$B$15)*MIN(Mkt!BW56,BV56*(1+Inputs!$B$18))),BV56)))</f>
        <v>2144.657037455</v>
      </c>
      <c r="BX56" s="11" t="n">
        <f aca="false">IF(BX$1&lt;Units!$P55,0,IF(AND(Units!$K55=0,BX$1=Units!$O55),Units!$R55,IF(AND(BX$1&gt;=Units!$Q55,MOD(BX$1-Units!$Q55,12)=0),IF(AND(Units!$L55=1,BX$1=Units!$Q55),IF(Units!$J55&lt;&gt;"",Units!$J55,Mkt!BX56),Inputs!$B$15*Mkt!BX56+(1-Inputs!$B$15)*MIN(Mkt!BX56,BW56*(1+Inputs!$B$18))),BW56)))</f>
        <v>2144.657037455</v>
      </c>
      <c r="BY56" s="11" t="n">
        <f aca="false">IF(BY$1&lt;Units!$P55,0,IF(AND(Units!$K55=0,BY$1=Units!$O55),Units!$R55,IF(AND(BY$1&gt;=Units!$Q55,MOD(BY$1-Units!$Q55,12)=0),IF(AND(Units!$L55=1,BY$1=Units!$Q55),IF(Units!$J55&lt;&gt;"",Units!$J55,Mkt!BY56),Inputs!$B$15*Mkt!BY56+(1-Inputs!$B$15)*MIN(Mkt!BY56,BX56*(1+Inputs!$B$18))),BX56)))</f>
        <v>2144.657037455</v>
      </c>
      <c r="BZ56" s="11" t="n">
        <f aca="false">IF(BZ$1&lt;Units!$P55,0,IF(AND(Units!$K55=0,BZ$1=Units!$O55),Units!$R55,IF(AND(BZ$1&gt;=Units!$Q55,MOD(BZ$1-Units!$Q55,12)=0),IF(AND(Units!$L55=1,BZ$1=Units!$Q55),IF(Units!$J55&lt;&gt;"",Units!$J55,Mkt!BZ56),Inputs!$B$15*Mkt!BZ56+(1-Inputs!$B$15)*MIN(Mkt!BZ56,BY56*(1+Inputs!$B$18))),BY56)))</f>
        <v>2144.657037455</v>
      </c>
      <c r="CA56" s="11" t="n">
        <f aca="false">IF(CA$1&lt;Units!$P55,0,IF(AND(Units!$K55=0,CA$1=Units!$O55),Units!$R55,IF(AND(CA$1&gt;=Units!$Q55,MOD(CA$1-Units!$Q55,12)=0),IF(AND(Units!$L55=1,CA$1=Units!$Q55),IF(Units!$J55&lt;&gt;"",Units!$J55,Mkt!CA56),Inputs!$B$15*Mkt!CA56+(1-Inputs!$B$15)*MIN(Mkt!CA56,BZ56*(1+Inputs!$B$18))),BZ56)))</f>
        <v>2144.657037455</v>
      </c>
      <c r="CB56" s="11" t="n">
        <f aca="false">IF(CB$1&lt;Units!$P55,0,IF(AND(Units!$K55=0,CB$1=Units!$O55),Units!$R55,IF(AND(CB$1&gt;=Units!$Q55,MOD(CB$1-Units!$Q55,12)=0),IF(AND(Units!$L55=1,CB$1=Units!$Q55),IF(Units!$J55&lt;&gt;"",Units!$J55,Mkt!CB56),Inputs!$B$15*Mkt!CB56+(1-Inputs!$B$15)*MIN(Mkt!CB56,CA56*(1+Inputs!$B$18))),CA56)))</f>
        <v>2144.657037455</v>
      </c>
      <c r="CC56" s="11" t="n">
        <f aca="false">IF(CC$1&lt;Units!$P55,0,IF(AND(Units!$K55=0,CC$1=Units!$O55),Units!$R55,IF(AND(CC$1&gt;=Units!$Q55,MOD(CC$1-Units!$Q55,12)=0),IF(AND(Units!$L55=1,CC$1=Units!$Q55),IF(Units!$J55&lt;&gt;"",Units!$J55,Mkt!CC56),Inputs!$B$15*Mkt!CC56+(1-Inputs!$B$15)*MIN(Mkt!CC56,CB56*(1+Inputs!$B$18))),CB56)))</f>
        <v>2208.99674857865</v>
      </c>
      <c r="CD56" s="11" t="n">
        <f aca="false">IF(CD$1&lt;Units!$P55,0,IF(AND(Units!$K55=0,CD$1=Units!$O55),Units!$R55,IF(AND(CD$1&gt;=Units!$Q55,MOD(CD$1-Units!$Q55,12)=0),IF(AND(Units!$L55=1,CD$1=Units!$Q55),IF(Units!$J55&lt;&gt;"",Units!$J55,Mkt!CD56),Inputs!$B$15*Mkt!CD56+(1-Inputs!$B$15)*MIN(Mkt!CD56,CC56*(1+Inputs!$B$18))),CC56)))</f>
        <v>2208.99674857865</v>
      </c>
      <c r="CE56" s="11" t="n">
        <f aca="false">IF(CE$1&lt;Units!$P55,0,IF(AND(Units!$K55=0,CE$1=Units!$O55),Units!$R55,IF(AND(CE$1&gt;=Units!$Q55,MOD(CE$1-Units!$Q55,12)=0),IF(AND(Units!$L55=1,CE$1=Units!$Q55),IF(Units!$J55&lt;&gt;"",Units!$J55,Mkt!CE56),Inputs!$B$15*Mkt!CE56+(1-Inputs!$B$15)*MIN(Mkt!CE56,CD56*(1+Inputs!$B$18))),CD56)))</f>
        <v>2208.99674857865</v>
      </c>
      <c r="CF56" s="11" t="n">
        <f aca="false">IF(CF$1&lt;Units!$P55,0,IF(AND(Units!$K55=0,CF$1=Units!$O55),Units!$R55,IF(AND(CF$1&gt;=Units!$Q55,MOD(CF$1-Units!$Q55,12)=0),IF(AND(Units!$L55=1,CF$1=Units!$Q55),IF(Units!$J55&lt;&gt;"",Units!$J55,Mkt!CF56),Inputs!$B$15*Mkt!CF56+(1-Inputs!$B$15)*MIN(Mkt!CF56,CE56*(1+Inputs!$B$18))),CE56)))</f>
        <v>2208.99674857865</v>
      </c>
      <c r="CG56" s="11" t="n">
        <f aca="false">IF(CG$1&lt;Units!$P55,0,IF(AND(Units!$K55=0,CG$1=Units!$O55),Units!$R55,IF(AND(CG$1&gt;=Units!$Q55,MOD(CG$1-Units!$Q55,12)=0),IF(AND(Units!$L55=1,CG$1=Units!$Q55),IF(Units!$J55&lt;&gt;"",Units!$J55,Mkt!CG56),Inputs!$B$15*Mkt!CG56+(1-Inputs!$B$15)*MIN(Mkt!CG56,CF56*(1+Inputs!$B$18))),CF56)))</f>
        <v>2208.99674857865</v>
      </c>
      <c r="CH56" s="11" t="n">
        <f aca="false">IF(CH$1&lt;Units!$P55,0,IF(AND(Units!$K55=0,CH$1=Units!$O55),Units!$R55,IF(AND(CH$1&gt;=Units!$Q55,MOD(CH$1-Units!$Q55,12)=0),IF(AND(Units!$L55=1,CH$1=Units!$Q55),IF(Units!$J55&lt;&gt;"",Units!$J55,Mkt!CH56),Inputs!$B$15*Mkt!CH56+(1-Inputs!$B$15)*MIN(Mkt!CH56,CG56*(1+Inputs!$B$18))),CG56)))</f>
        <v>2208.99674857865</v>
      </c>
      <c r="CI56" s="11" t="n">
        <f aca="false">IF(CI$1&lt;Units!$P55,0,IF(AND(Units!$K55=0,CI$1=Units!$O55),Units!$R55,IF(AND(CI$1&gt;=Units!$Q55,MOD(CI$1-Units!$Q55,12)=0),IF(AND(Units!$L55=1,CI$1=Units!$Q55),IF(Units!$J55&lt;&gt;"",Units!$J55,Mkt!CI56),Inputs!$B$15*Mkt!CI56+(1-Inputs!$B$15)*MIN(Mkt!CI56,CH56*(1+Inputs!$B$18))),CH56)))</f>
        <v>2208.99674857865</v>
      </c>
      <c r="CJ56" s="11" t="n">
        <f aca="false">IF(CJ$1&lt;Units!$P55,0,IF(AND(Units!$K55=0,CJ$1=Units!$O55),Units!$R55,IF(AND(CJ$1&gt;=Units!$Q55,MOD(CJ$1-Units!$Q55,12)=0),IF(AND(Units!$L55=1,CJ$1=Units!$Q55),IF(Units!$J55&lt;&gt;"",Units!$J55,Mkt!CJ56),Inputs!$B$15*Mkt!CJ56+(1-Inputs!$B$15)*MIN(Mkt!CJ56,CI56*(1+Inputs!$B$18))),CI56)))</f>
        <v>2208.99674857865</v>
      </c>
      <c r="CK56" s="11" t="n">
        <f aca="false">IF(CK$1&lt;Units!$P55,0,IF(AND(Units!$K55=0,CK$1=Units!$O55),Units!$R55,IF(AND(CK$1&gt;=Units!$Q55,MOD(CK$1-Units!$Q55,12)=0),IF(AND(Units!$L55=1,CK$1=Units!$Q55),IF(Units!$J55&lt;&gt;"",Units!$J55,Mkt!CK56),Inputs!$B$15*Mkt!CK56+(1-Inputs!$B$15)*MIN(Mkt!CK56,CJ56*(1+Inputs!$B$18))),CJ56)))</f>
        <v>2208.99674857865</v>
      </c>
      <c r="CL56" s="11" t="n">
        <f aca="false">IF(CL$1&lt;Units!$P55,0,IF(AND(Units!$K55=0,CL$1=Units!$O55),Units!$R55,IF(AND(CL$1&gt;=Units!$Q55,MOD(CL$1-Units!$Q55,12)=0),IF(AND(Units!$L55=1,CL$1=Units!$Q55),IF(Units!$J55&lt;&gt;"",Units!$J55,Mkt!CL56),Inputs!$B$15*Mkt!CL56+(1-Inputs!$B$15)*MIN(Mkt!CL56,CK56*(1+Inputs!$B$18))),CK56)))</f>
        <v>2208.99674857865</v>
      </c>
      <c r="CM56" s="11" t="n">
        <f aca="false">IF(CM$1&lt;Units!$P55,0,IF(AND(Units!$K55=0,CM$1=Units!$O55),Units!$R55,IF(AND(CM$1&gt;=Units!$Q55,MOD(CM$1-Units!$Q55,12)=0),IF(AND(Units!$L55=1,CM$1=Units!$Q55),IF(Units!$J55&lt;&gt;"",Units!$J55,Mkt!CM56),Inputs!$B$15*Mkt!CM56+(1-Inputs!$B$15)*MIN(Mkt!CM56,CL56*(1+Inputs!$B$18))),CL56)))</f>
        <v>2208.99674857865</v>
      </c>
      <c r="CN56" s="11" t="n">
        <f aca="false">IF(CN$1&lt;Units!$P55,0,IF(AND(Units!$K55=0,CN$1=Units!$O55),Units!$R55,IF(AND(CN$1&gt;=Units!$Q55,MOD(CN$1-Units!$Q55,12)=0),IF(AND(Units!$L55=1,CN$1=Units!$Q55),IF(Units!$J55&lt;&gt;"",Units!$J55,Mkt!CN56),Inputs!$B$15*Mkt!CN56+(1-Inputs!$B$15)*MIN(Mkt!CN56,CM56*(1+Inputs!$B$18))),CM56)))</f>
        <v>2208.99674857865</v>
      </c>
      <c r="CO56" s="11" t="n">
        <f aca="false">IF(CO$1&lt;Units!$P55,0,IF(AND(Units!$K55=0,CO$1=Units!$O55),Units!$R55,IF(AND(CO$1&gt;=Units!$Q55,MOD(CO$1-Units!$Q55,12)=0),IF(AND(Units!$L55=1,CO$1=Units!$Q55),IF(Units!$J55&lt;&gt;"",Units!$J55,Mkt!CO56),Inputs!$B$15*Mkt!CO56+(1-Inputs!$B$15)*MIN(Mkt!CO56,CN56*(1+Inputs!$B$18))),CN56)))</f>
        <v>2275.26665103601</v>
      </c>
      <c r="CP56" s="11" t="n">
        <f aca="false">IF(CP$1&lt;Units!$P55,0,IF(AND(Units!$K55=0,CP$1=Units!$O55),Units!$R55,IF(AND(CP$1&gt;=Units!$Q55,MOD(CP$1-Units!$Q55,12)=0),IF(AND(Units!$L55=1,CP$1=Units!$Q55),IF(Units!$J55&lt;&gt;"",Units!$J55,Mkt!CP56),Inputs!$B$15*Mkt!CP56+(1-Inputs!$B$15)*MIN(Mkt!CP56,CO56*(1+Inputs!$B$18))),CO56)))</f>
        <v>2275.26665103601</v>
      </c>
      <c r="CQ56" s="11" t="n">
        <f aca="false">IF(CQ$1&lt;Units!$P55,0,IF(AND(Units!$K55=0,CQ$1=Units!$O55),Units!$R55,IF(AND(CQ$1&gt;=Units!$Q55,MOD(CQ$1-Units!$Q55,12)=0),IF(AND(Units!$L55=1,CQ$1=Units!$Q55),IF(Units!$J55&lt;&gt;"",Units!$J55,Mkt!CQ56),Inputs!$B$15*Mkt!CQ56+(1-Inputs!$B$15)*MIN(Mkt!CQ56,CP56*(1+Inputs!$B$18))),CP56)))</f>
        <v>2275.26665103601</v>
      </c>
      <c r="CR56" s="11" t="n">
        <f aca="false">IF(CR$1&lt;Units!$P55,0,IF(AND(Units!$K55=0,CR$1=Units!$O55),Units!$R55,IF(AND(CR$1&gt;=Units!$Q55,MOD(CR$1-Units!$Q55,12)=0),IF(AND(Units!$L55=1,CR$1=Units!$Q55),IF(Units!$J55&lt;&gt;"",Units!$J55,Mkt!CR56),Inputs!$B$15*Mkt!CR56+(1-Inputs!$B$15)*MIN(Mkt!CR56,CQ56*(1+Inputs!$B$18))),CQ56)))</f>
        <v>2275.26665103601</v>
      </c>
      <c r="CS56" s="11" t="n">
        <f aca="false">IF(CS$1&lt;Units!$P55,0,IF(AND(Units!$K55=0,CS$1=Units!$O55),Units!$R55,IF(AND(CS$1&gt;=Units!$Q55,MOD(CS$1-Units!$Q55,12)=0),IF(AND(Units!$L55=1,CS$1=Units!$Q55),IF(Units!$J55&lt;&gt;"",Units!$J55,Mkt!CS56),Inputs!$B$15*Mkt!CS56+(1-Inputs!$B$15)*MIN(Mkt!CS56,CR56*(1+Inputs!$B$18))),CR56)))</f>
        <v>2275.26665103601</v>
      </c>
      <c r="CT56" s="11" t="n">
        <f aca="false">IF(CT$1&lt;Units!$P55,0,IF(AND(Units!$K55=0,CT$1=Units!$O55),Units!$R55,IF(AND(CT$1&gt;=Units!$Q55,MOD(CT$1-Units!$Q55,12)=0),IF(AND(Units!$L55=1,CT$1=Units!$Q55),IF(Units!$J55&lt;&gt;"",Units!$J55,Mkt!CT56),Inputs!$B$15*Mkt!CT56+(1-Inputs!$B$15)*MIN(Mkt!CT56,CS56*(1+Inputs!$B$18))),CS56)))</f>
        <v>2275.26665103601</v>
      </c>
      <c r="CU56" s="11" t="n">
        <f aca="false">IF(CU$1&lt;Units!$P55,0,IF(AND(Units!$K55=0,CU$1=Units!$O55),Units!$R55,IF(AND(CU$1&gt;=Units!$Q55,MOD(CU$1-Units!$Q55,12)=0),IF(AND(Units!$L55=1,CU$1=Units!$Q55),IF(Units!$J55&lt;&gt;"",Units!$J55,Mkt!CU56),Inputs!$B$15*Mkt!CU56+(1-Inputs!$B$15)*MIN(Mkt!CU56,CT56*(1+Inputs!$B$18))),CT56)))</f>
        <v>2275.26665103601</v>
      </c>
      <c r="CV56" s="11" t="n">
        <f aca="false">IF(CV$1&lt;Units!$P55,0,IF(AND(Units!$K55=0,CV$1=Units!$O55),Units!$R55,IF(AND(CV$1&gt;=Units!$Q55,MOD(CV$1-Units!$Q55,12)=0),IF(AND(Units!$L55=1,CV$1=Units!$Q55),IF(Units!$J55&lt;&gt;"",Units!$J55,Mkt!CV56),Inputs!$B$15*Mkt!CV56+(1-Inputs!$B$15)*MIN(Mkt!CV56,CU56*(1+Inputs!$B$18))),CU56)))</f>
        <v>2275.26665103601</v>
      </c>
      <c r="CW56" s="11" t="n">
        <f aca="false">IF(CW$1&lt;Units!$P55,0,IF(AND(Units!$K55=0,CW$1=Units!$O55),Units!$R55,IF(AND(CW$1&gt;=Units!$Q55,MOD(CW$1-Units!$Q55,12)=0),IF(AND(Units!$L55=1,CW$1=Units!$Q55),IF(Units!$J55&lt;&gt;"",Units!$J55,Mkt!CW56),Inputs!$B$15*Mkt!CW56+(1-Inputs!$B$15)*MIN(Mkt!CW56,CV56*(1+Inputs!$B$18))),CV56)))</f>
        <v>2275.26665103601</v>
      </c>
      <c r="CX56" s="11" t="n">
        <f aca="false">IF(CX$1&lt;Units!$P55,0,IF(AND(Units!$K55=0,CX$1=Units!$O55),Units!$R55,IF(AND(CX$1&gt;=Units!$Q55,MOD(CX$1-Units!$Q55,12)=0),IF(AND(Units!$L55=1,CX$1=Units!$Q55),IF(Units!$J55&lt;&gt;"",Units!$J55,Mkt!CX56),Inputs!$B$15*Mkt!CX56+(1-Inputs!$B$15)*MIN(Mkt!CX56,CW56*(1+Inputs!$B$18))),CW56)))</f>
        <v>2275.26665103601</v>
      </c>
      <c r="CY56" s="11" t="n">
        <f aca="false">IF(CY$1&lt;Units!$P55,0,IF(AND(Units!$K55=0,CY$1=Units!$O55),Units!$R55,IF(AND(CY$1&gt;=Units!$Q55,MOD(CY$1-Units!$Q55,12)=0),IF(AND(Units!$L55=1,CY$1=Units!$Q55),IF(Units!$J55&lt;&gt;"",Units!$J55,Mkt!CY56),Inputs!$B$15*Mkt!CY56+(1-Inputs!$B$15)*MIN(Mkt!CY56,CX56*(1+Inputs!$B$18))),CX56)))</f>
        <v>2275.26665103601</v>
      </c>
      <c r="CZ56" s="11" t="n">
        <f aca="false">IF(CZ$1&lt;Units!$P55,0,IF(AND(Units!$K55=0,CZ$1=Units!$O55),Units!$R55,IF(AND(CZ$1&gt;=Units!$Q55,MOD(CZ$1-Units!$Q55,12)=0),IF(AND(Units!$L55=1,CZ$1=Units!$Q55),IF(Units!$J55&lt;&gt;"",Units!$J55,Mkt!CZ56),Inputs!$B$15*Mkt!CZ56+(1-Inputs!$B$15)*MIN(Mkt!CZ56,CY56*(1+Inputs!$B$18))),CY56)))</f>
        <v>2275.26665103601</v>
      </c>
      <c r="DA56" s="11" t="n">
        <f aca="false">IF(DA$1&lt;Units!$P55,0,IF(AND(Units!$K55=0,DA$1=Units!$O55),Units!$R55,IF(AND(DA$1&gt;=Units!$Q55,MOD(DA$1-Units!$Q55,12)=0),IF(AND(Units!$L55=1,DA$1=Units!$Q55),IF(Units!$J55&lt;&gt;"",Units!$J55,Mkt!DA56),Inputs!$B$15*Mkt!DA56+(1-Inputs!$B$15)*MIN(Mkt!DA56,CZ56*(1+Inputs!$B$18))),CZ56)))</f>
        <v>2343.52465056709</v>
      </c>
      <c r="DB56" s="11" t="n">
        <f aca="false">IF(DB$1&lt;Units!$P55,0,IF(AND(Units!$K55=0,DB$1=Units!$O55),Units!$R55,IF(AND(DB$1&gt;=Units!$Q55,MOD(DB$1-Units!$Q55,12)=0),IF(AND(Units!$L55=1,DB$1=Units!$Q55),IF(Units!$J55&lt;&gt;"",Units!$J55,Mkt!DB56),Inputs!$B$15*Mkt!DB56+(1-Inputs!$B$15)*MIN(Mkt!DB56,DA56*(1+Inputs!$B$18))),DA56)))</f>
        <v>2343.52465056709</v>
      </c>
      <c r="DC56" s="11" t="n">
        <f aca="false">IF(DC$1&lt;Units!$P55,0,IF(AND(Units!$K55=0,DC$1=Units!$O55),Units!$R55,IF(AND(DC$1&gt;=Units!$Q55,MOD(DC$1-Units!$Q55,12)=0),IF(AND(Units!$L55=1,DC$1=Units!$Q55),IF(Units!$J55&lt;&gt;"",Units!$J55,Mkt!DC56),Inputs!$B$15*Mkt!DC56+(1-Inputs!$B$15)*MIN(Mkt!DC56,DB56*(1+Inputs!$B$18))),DB56)))</f>
        <v>2343.52465056709</v>
      </c>
      <c r="DD56" s="11" t="n">
        <f aca="false">IF(DD$1&lt;Units!$P55,0,IF(AND(Units!$K55=0,DD$1=Units!$O55),Units!$R55,IF(AND(DD$1&gt;=Units!$Q55,MOD(DD$1-Units!$Q55,12)=0),IF(AND(Units!$L55=1,DD$1=Units!$Q55),IF(Units!$J55&lt;&gt;"",Units!$J55,Mkt!DD56),Inputs!$B$15*Mkt!DD56+(1-Inputs!$B$15)*MIN(Mkt!DD56,DC56*(1+Inputs!$B$18))),DC56)))</f>
        <v>2343.52465056709</v>
      </c>
      <c r="DE56" s="11" t="n">
        <f aca="false">IF(DE$1&lt;Units!$P55,0,IF(AND(Units!$K55=0,DE$1=Units!$O55),Units!$R55,IF(AND(DE$1&gt;=Units!$Q55,MOD(DE$1-Units!$Q55,12)=0),IF(AND(Units!$L55=1,DE$1=Units!$Q55),IF(Units!$J55&lt;&gt;"",Units!$J55,Mkt!DE56),Inputs!$B$15*Mkt!DE56+(1-Inputs!$B$15)*MIN(Mkt!DE56,DD56*(1+Inputs!$B$18))),DD56)))</f>
        <v>2343.52465056709</v>
      </c>
      <c r="DF56" s="11" t="n">
        <f aca="false">IF(DF$1&lt;Units!$P55,0,IF(AND(Units!$K55=0,DF$1=Units!$O55),Units!$R55,IF(AND(DF$1&gt;=Units!$Q55,MOD(DF$1-Units!$Q55,12)=0),IF(AND(Units!$L55=1,DF$1=Units!$Q55),IF(Units!$J55&lt;&gt;"",Units!$J55,Mkt!DF56),Inputs!$B$15*Mkt!DF56+(1-Inputs!$B$15)*MIN(Mkt!DF56,DE56*(1+Inputs!$B$18))),DE56)))</f>
        <v>2343.52465056709</v>
      </c>
      <c r="DG56" s="11" t="n">
        <f aca="false">IF(DG$1&lt;Units!$P55,0,IF(AND(Units!$K55=0,DG$1=Units!$O55),Units!$R55,IF(AND(DG$1&gt;=Units!$Q55,MOD(DG$1-Units!$Q55,12)=0),IF(AND(Units!$L55=1,DG$1=Units!$Q55),IF(Units!$J55&lt;&gt;"",Units!$J55,Mkt!DG56),Inputs!$B$15*Mkt!DG56+(1-Inputs!$B$15)*MIN(Mkt!DG56,DF56*(1+Inputs!$B$18))),DF56)))</f>
        <v>2343.52465056709</v>
      </c>
      <c r="DH56" s="11" t="n">
        <f aca="false">IF(DH$1&lt;Units!$P55,0,IF(AND(Units!$K55=0,DH$1=Units!$O55),Units!$R55,IF(AND(DH$1&gt;=Units!$Q55,MOD(DH$1-Units!$Q55,12)=0),IF(AND(Units!$L55=1,DH$1=Units!$Q55),IF(Units!$J55&lt;&gt;"",Units!$J55,Mkt!DH56),Inputs!$B$15*Mkt!DH56+(1-Inputs!$B$15)*MIN(Mkt!DH56,DG56*(1+Inputs!$B$18))),DG56)))</f>
        <v>2343.52465056709</v>
      </c>
      <c r="DI56" s="11" t="n">
        <f aca="false">IF(DI$1&lt;Units!$P55,0,IF(AND(Units!$K55=0,DI$1=Units!$O55),Units!$R55,IF(AND(DI$1&gt;=Units!$Q55,MOD(DI$1-Units!$Q55,12)=0),IF(AND(Units!$L55=1,DI$1=Units!$Q55),IF(Units!$J55&lt;&gt;"",Units!$J55,Mkt!DI56),Inputs!$B$15*Mkt!DI56+(1-Inputs!$B$15)*MIN(Mkt!DI56,DH56*(1+Inputs!$B$18))),DH56)))</f>
        <v>2343.52465056709</v>
      </c>
      <c r="DJ56" s="11" t="n">
        <f aca="false">IF(DJ$1&lt;Units!$P55,0,IF(AND(Units!$K55=0,DJ$1=Units!$O55),Units!$R55,IF(AND(DJ$1&gt;=Units!$Q55,MOD(DJ$1-Units!$Q55,12)=0),IF(AND(Units!$L55=1,DJ$1=Units!$Q55),IF(Units!$J55&lt;&gt;"",Units!$J55,Mkt!DJ56),Inputs!$B$15*Mkt!DJ56+(1-Inputs!$B$15)*MIN(Mkt!DJ56,DI56*(1+Inputs!$B$18))),DI56)))</f>
        <v>2343.52465056709</v>
      </c>
      <c r="DK56" s="11" t="n">
        <f aca="false">IF(DK$1&lt;Units!$P55,0,IF(AND(Units!$K55=0,DK$1=Units!$O55),Units!$R55,IF(AND(DK$1&gt;=Units!$Q55,MOD(DK$1-Units!$Q55,12)=0),IF(AND(Units!$L55=1,DK$1=Units!$Q55),IF(Units!$J55&lt;&gt;"",Units!$J55,Mkt!DK56),Inputs!$B$15*Mkt!DK56+(1-Inputs!$B$15)*MIN(Mkt!DK56,DJ56*(1+Inputs!$B$18))),DJ56)))</f>
        <v>2343.52465056709</v>
      </c>
      <c r="DL56" s="11" t="n">
        <f aca="false">IF(DL$1&lt;Units!$P55,0,IF(AND(Units!$K55=0,DL$1=Units!$O55),Units!$R55,IF(AND(DL$1&gt;=Units!$Q55,MOD(DL$1-Units!$Q55,12)=0),IF(AND(Units!$L55=1,DL$1=Units!$Q55),IF(Units!$J55&lt;&gt;"",Units!$J55,Mkt!DL56),Inputs!$B$15*Mkt!DL56+(1-Inputs!$B$15)*MIN(Mkt!DL56,DK56*(1+Inputs!$B$18))),DK56)))</f>
        <v>2343.52465056709</v>
      </c>
      <c r="DM56" s="11" t="n">
        <f aca="false">IF(DM$1&lt;Units!$P55,0,IF(AND(Units!$K55=0,DM$1=Units!$O55),Units!$R55,IF(AND(DM$1&gt;=Units!$Q55,MOD(DM$1-Units!$Q55,12)=0),IF(AND(Units!$L55=1,DM$1=Units!$Q55),IF(Units!$J55&lt;&gt;"",Units!$J55,Mkt!DM56),Inputs!$B$15*Mkt!DM56+(1-Inputs!$B$15)*MIN(Mkt!DM56,DL56*(1+Inputs!$B$18))),DL56)))</f>
        <v>2413.8303900841</v>
      </c>
      <c r="DN56" s="11" t="n">
        <f aca="false">IF(DN$1&lt;Units!$P55,0,IF(AND(Units!$K55=0,DN$1=Units!$O55),Units!$R55,IF(AND(DN$1&gt;=Units!$Q55,MOD(DN$1-Units!$Q55,12)=0),IF(AND(Units!$L55=1,DN$1=Units!$Q55),IF(Units!$J55&lt;&gt;"",Units!$J55,Mkt!DN56),Inputs!$B$15*Mkt!DN56+(1-Inputs!$B$15)*MIN(Mkt!DN56,DM56*(1+Inputs!$B$18))),DM56)))</f>
        <v>2413.8303900841</v>
      </c>
      <c r="DO56" s="11" t="n">
        <f aca="false">IF(DO$1&lt;Units!$P55,0,IF(AND(Units!$K55=0,DO$1=Units!$O55),Units!$R55,IF(AND(DO$1&gt;=Units!$Q55,MOD(DO$1-Units!$Q55,12)=0),IF(AND(Units!$L55=1,DO$1=Units!$Q55),IF(Units!$J55&lt;&gt;"",Units!$J55,Mkt!DO56),Inputs!$B$15*Mkt!DO56+(1-Inputs!$B$15)*MIN(Mkt!DO56,DN56*(1+Inputs!$B$18))),DN56)))</f>
        <v>2413.8303900841</v>
      </c>
      <c r="DP56" s="11" t="n">
        <f aca="false">IF(DP$1&lt;Units!$P55,0,IF(AND(Units!$K55=0,DP$1=Units!$O55),Units!$R55,IF(AND(DP$1&gt;=Units!$Q55,MOD(DP$1-Units!$Q55,12)=0),IF(AND(Units!$L55=1,DP$1=Units!$Q55),IF(Units!$J55&lt;&gt;"",Units!$J55,Mkt!DP56),Inputs!$B$15*Mkt!DP56+(1-Inputs!$B$15)*MIN(Mkt!DP56,DO56*(1+Inputs!$B$18))),DO56)))</f>
        <v>2413.8303900841</v>
      </c>
      <c r="DQ56" s="11" t="n">
        <f aca="false">IF(DQ$1&lt;Units!$P55,0,IF(AND(Units!$K55=0,DQ$1=Units!$O55),Units!$R55,IF(AND(DQ$1&gt;=Units!$Q55,MOD(DQ$1-Units!$Q55,12)=0),IF(AND(Units!$L55=1,DQ$1=Units!$Q55),IF(Units!$J55&lt;&gt;"",Units!$J55,Mkt!DQ56),Inputs!$B$15*Mkt!DQ56+(1-Inputs!$B$15)*MIN(Mkt!DQ56,DP56*(1+Inputs!$B$18))),DP56)))</f>
        <v>2413.8303900841</v>
      </c>
      <c r="DR56" s="11" t="n">
        <f aca="false">IF(DR$1&lt;Units!$P55,0,IF(AND(Units!$K55=0,DR$1=Units!$O55),Units!$R55,IF(AND(DR$1&gt;=Units!$Q55,MOD(DR$1-Units!$Q55,12)=0),IF(AND(Units!$L55=1,DR$1=Units!$Q55),IF(Units!$J55&lt;&gt;"",Units!$J55,Mkt!DR56),Inputs!$B$15*Mkt!DR56+(1-Inputs!$B$15)*MIN(Mkt!DR56,DQ56*(1+Inputs!$B$18))),DQ56)))</f>
        <v>2413.8303900841</v>
      </c>
      <c r="DS56" s="11" t="n">
        <f aca="false">IF(DS$1&lt;Units!$P55,0,IF(AND(Units!$K55=0,DS$1=Units!$O55),Units!$R55,IF(AND(DS$1&gt;=Units!$Q55,MOD(DS$1-Units!$Q55,12)=0),IF(AND(Units!$L55=1,DS$1=Units!$Q55),IF(Units!$J55&lt;&gt;"",Units!$J55,Mkt!DS56),Inputs!$B$15*Mkt!DS56+(1-Inputs!$B$15)*MIN(Mkt!DS56,DR56*(1+Inputs!$B$18))),DR56)))</f>
        <v>2413.8303900841</v>
      </c>
      <c r="DT56" s="11" t="n">
        <f aca="false">IF(DT$1&lt;Units!$P55,0,IF(AND(Units!$K55=0,DT$1=Units!$O55),Units!$R55,IF(AND(DT$1&gt;=Units!$Q55,MOD(DT$1-Units!$Q55,12)=0),IF(AND(Units!$L55=1,DT$1=Units!$Q55),IF(Units!$J55&lt;&gt;"",Units!$J55,Mkt!DT56),Inputs!$B$15*Mkt!DT56+(1-Inputs!$B$15)*MIN(Mkt!DT56,DS56*(1+Inputs!$B$18))),DS56)))</f>
        <v>2413.8303900841</v>
      </c>
      <c r="DU56" s="11" t="n">
        <f aca="false">IF(DU$1&lt;Units!$P55,0,IF(AND(Units!$K55=0,DU$1=Units!$O55),Units!$R55,IF(AND(DU$1&gt;=Units!$Q55,MOD(DU$1-Units!$Q55,12)=0),IF(AND(Units!$L55=1,DU$1=Units!$Q55),IF(Units!$J55&lt;&gt;"",Units!$J55,Mkt!DU56),Inputs!$B$15*Mkt!DU56+(1-Inputs!$B$15)*MIN(Mkt!DU56,DT56*(1+Inputs!$B$18))),DT56)))</f>
        <v>2413.8303900841</v>
      </c>
      <c r="DV56" s="11" t="n">
        <f aca="false">IF(DV$1&lt;Units!$P55,0,IF(AND(Units!$K55=0,DV$1=Units!$O55),Units!$R55,IF(AND(DV$1&gt;=Units!$Q55,MOD(DV$1-Units!$Q55,12)=0),IF(AND(Units!$L55=1,DV$1=Units!$Q55),IF(Units!$J55&lt;&gt;"",Units!$J55,Mkt!DV56),Inputs!$B$15*Mkt!DV56+(1-Inputs!$B$15)*MIN(Mkt!DV56,DU56*(1+Inputs!$B$18))),DU56)))</f>
        <v>2413.8303900841</v>
      </c>
      <c r="DW56" s="11" t="n">
        <f aca="false">IF(DW$1&lt;Units!$P55,0,IF(AND(Units!$K55=0,DW$1=Units!$O55),Units!$R55,IF(AND(DW$1&gt;=Units!$Q55,MOD(DW$1-Units!$Q55,12)=0),IF(AND(Units!$L55=1,DW$1=Units!$Q55),IF(Units!$J55&lt;&gt;"",Units!$J55,Mkt!DW56),Inputs!$B$15*Mkt!DW56+(1-Inputs!$B$15)*MIN(Mkt!DW56,DV56*(1+Inputs!$B$18))),DV56)))</f>
        <v>2413.8303900841</v>
      </c>
      <c r="DX56" s="11" t="n">
        <f aca="false">IF(DX$1&lt;Units!$P55,0,IF(AND(Units!$K55=0,DX$1=Units!$O55),Units!$R55,IF(AND(DX$1&gt;=Units!$Q55,MOD(DX$1-Units!$Q55,12)=0),IF(AND(Units!$L55=1,DX$1=Units!$Q55),IF(Units!$J55&lt;&gt;"",Units!$J55,Mkt!DX56),Inputs!$B$15*Mkt!DX56+(1-Inputs!$B$15)*MIN(Mkt!DX56,DW56*(1+Inputs!$B$18))),DW56)))</f>
        <v>2413.8303900841</v>
      </c>
      <c r="DY56" s="11" t="n">
        <f aca="false">IF(DY$1&lt;Units!$P55,0,IF(AND(Units!$K55=0,DY$1=Units!$O55),Units!$R55,IF(AND(DY$1&gt;=Units!$Q55,MOD(DY$1-Units!$Q55,12)=0),IF(AND(Units!$L55=1,DY$1=Units!$Q55),IF(Units!$J55&lt;&gt;"",Units!$J55,Mkt!DY56),Inputs!$B$15*Mkt!DY56+(1-Inputs!$B$15)*MIN(Mkt!DY56,DX56*(1+Inputs!$B$18))),DX56)))</f>
        <v>2486.24530178663</v>
      </c>
      <c r="DZ56" s="11" t="n">
        <f aca="false">IF(DZ$1&lt;Units!$P55,0,IF(AND(Units!$K55=0,DZ$1=Units!$O55),Units!$R55,IF(AND(DZ$1&gt;=Units!$Q55,MOD(DZ$1-Units!$Q55,12)=0),IF(AND(Units!$L55=1,DZ$1=Units!$Q55),IF(Units!$J55&lt;&gt;"",Units!$J55,Mkt!DZ56),Inputs!$B$15*Mkt!DZ56+(1-Inputs!$B$15)*MIN(Mkt!DZ56,DY56*(1+Inputs!$B$18))),DY56)))</f>
        <v>2486.24530178663</v>
      </c>
      <c r="EA56" s="11" t="n">
        <f aca="false">IF(EA$1&lt;Units!$P55,0,IF(AND(Units!$K55=0,EA$1=Units!$O55),Units!$R55,IF(AND(EA$1&gt;=Units!$Q55,MOD(EA$1-Units!$Q55,12)=0),IF(AND(Units!$L55=1,EA$1=Units!$Q55),IF(Units!$J55&lt;&gt;"",Units!$J55,Mkt!EA56),Inputs!$B$15*Mkt!EA56+(1-Inputs!$B$15)*MIN(Mkt!EA56,DZ56*(1+Inputs!$B$18))),DZ56)))</f>
        <v>2486.24530178663</v>
      </c>
      <c r="EB56" s="11" t="n">
        <f aca="false">IF(EB$1&lt;Units!$P55,0,IF(AND(Units!$K55=0,EB$1=Units!$O55),Units!$R55,IF(AND(EB$1&gt;=Units!$Q55,MOD(EB$1-Units!$Q55,12)=0),IF(AND(Units!$L55=1,EB$1=Units!$Q55),IF(Units!$J55&lt;&gt;"",Units!$J55,Mkt!EB56),Inputs!$B$15*Mkt!EB56+(1-Inputs!$B$15)*MIN(Mkt!EB56,EA56*(1+Inputs!$B$18))),EA56)))</f>
        <v>2486.24530178663</v>
      </c>
      <c r="EC56" s="11" t="n">
        <f aca="false">IF(EC$1&lt;Units!$P55,0,IF(AND(Units!$K55=0,EC$1=Units!$O55),Units!$R55,IF(AND(EC$1&gt;=Units!$Q55,MOD(EC$1-Units!$Q55,12)=0),IF(AND(Units!$L55=1,EC$1=Units!$Q55),IF(Units!$J55&lt;&gt;"",Units!$J55,Mkt!EC56),Inputs!$B$15*Mkt!EC56+(1-Inputs!$B$15)*MIN(Mkt!EC56,EB56*(1+Inputs!$B$18))),EB56)))</f>
        <v>2486.24530178663</v>
      </c>
      <c r="ED56" s="11" t="n">
        <f aca="false">IF(ED$1&lt;Units!$P55,0,IF(AND(Units!$K55=0,ED$1=Units!$O55),Units!$R55,IF(AND(ED$1&gt;=Units!$Q55,MOD(ED$1-Units!$Q55,12)=0),IF(AND(Units!$L55=1,ED$1=Units!$Q55),IF(Units!$J55&lt;&gt;"",Units!$J55,Mkt!ED56),Inputs!$B$15*Mkt!ED56+(1-Inputs!$B$15)*MIN(Mkt!ED56,EC56*(1+Inputs!$B$18))),EC56)))</f>
        <v>2486.24530178663</v>
      </c>
    </row>
    <row r="57" customFormat="false" ht="15" hidden="false" customHeight="false" outlineLevel="0" collapsed="false">
      <c r="A57" s="22" t="n">
        <f aca="false">Units!A56</f>
        <v>225</v>
      </c>
      <c r="B57" s="24" t="n">
        <f aca="false">IF(Units!K56=1,Units!F56,0)</f>
        <v>1865</v>
      </c>
      <c r="C57" s="11" t="n">
        <f aca="false">IF(C$1&lt;Units!$P56,0,IF(AND(Units!$K56=0,C$1=Units!$O56),Units!$R56,IF(AND(C$1&gt;=Units!$Q56,MOD(C$1-Units!$Q56,12)=0),IF(AND(Units!$L56=1,C$1=Units!$Q56),IF(Units!$J56&lt;&gt;"",Units!$J56,Mkt!C57),Inputs!$B$15*Mkt!C57+(1-Inputs!$B$15)*MIN(Mkt!C57,B57*(1+Inputs!$B$18))),B57)))</f>
        <v>1865</v>
      </c>
      <c r="D57" s="11" t="n">
        <f aca="false">IF(D$1&lt;Units!$P56,0,IF(AND(Units!$K56=0,D$1=Units!$O56),Units!$R56,IF(AND(D$1&gt;=Units!$Q56,MOD(D$1-Units!$Q56,12)=0),IF(AND(Units!$L56=1,D$1=Units!$Q56),IF(Units!$J56&lt;&gt;"",Units!$J56,Mkt!D57),Inputs!$B$15*Mkt!D57+(1-Inputs!$B$15)*MIN(Mkt!D57,C57*(1+Inputs!$B$18))),C57)))</f>
        <v>1865</v>
      </c>
      <c r="E57" s="11" t="n">
        <f aca="false">IF(E$1&lt;Units!$P56,0,IF(AND(Units!$K56=0,E$1=Units!$O56),Units!$R56,IF(AND(E$1&gt;=Units!$Q56,MOD(E$1-Units!$Q56,12)=0),IF(AND(Units!$L56=1,E$1=Units!$Q56),IF(Units!$J56&lt;&gt;"",Units!$J56,Mkt!E57),Inputs!$B$15*Mkt!E57+(1-Inputs!$B$15)*MIN(Mkt!E57,D57*(1+Inputs!$B$18))),D57)))</f>
        <v>1865</v>
      </c>
      <c r="F57" s="11" t="n">
        <f aca="false">IF(F$1&lt;Units!$P56,0,IF(AND(Units!$K56=0,F$1=Units!$O56),Units!$R56,IF(AND(F$1&gt;=Units!$Q56,MOD(F$1-Units!$Q56,12)=0),IF(AND(Units!$L56=1,F$1=Units!$Q56),IF(Units!$J56&lt;&gt;"",Units!$J56,Mkt!F57),Inputs!$B$15*Mkt!F57+(1-Inputs!$B$15)*MIN(Mkt!F57,E57*(1+Inputs!$B$18))),E57)))</f>
        <v>1865</v>
      </c>
      <c r="G57" s="11" t="n">
        <f aca="false">IF(G$1&lt;Units!$P56,0,IF(AND(Units!$K56=0,G$1=Units!$O56),Units!$R56,IF(AND(G$1&gt;=Units!$Q56,MOD(G$1-Units!$Q56,12)=0),IF(AND(Units!$L56=1,G$1=Units!$Q56),IF(Units!$J56&lt;&gt;"",Units!$J56,Mkt!G57),Inputs!$B$15*Mkt!G57+(1-Inputs!$B$15)*MIN(Mkt!G57,F57*(1+Inputs!$B$18))),F57)))</f>
        <v>1865</v>
      </c>
      <c r="H57" s="11" t="n">
        <f aca="false">IF(H$1&lt;Units!$P56,0,IF(AND(Units!$K56=0,H$1=Units!$O56),Units!$R56,IF(AND(H$1&gt;=Units!$Q56,MOD(H$1-Units!$Q56,12)=0),IF(AND(Units!$L56=1,H$1=Units!$Q56),IF(Units!$J56&lt;&gt;"",Units!$J56,Mkt!H57),Inputs!$B$15*Mkt!H57+(1-Inputs!$B$15)*MIN(Mkt!H57,G57*(1+Inputs!$B$18))),G57)))</f>
        <v>1865</v>
      </c>
      <c r="I57" s="11" t="n">
        <f aca="false">IF(I$1&lt;Units!$P56,0,IF(AND(Units!$K56=0,I$1=Units!$O56),Units!$R56,IF(AND(I$1&gt;=Units!$Q56,MOD(I$1-Units!$Q56,12)=0),IF(AND(Units!$L56=1,I$1=Units!$Q56),IF(Units!$J56&lt;&gt;"",Units!$J56,Mkt!I57),Inputs!$B$15*Mkt!I57+(1-Inputs!$B$15)*MIN(Mkt!I57,H57*(1+Inputs!$B$18))),H57)))</f>
        <v>1865</v>
      </c>
      <c r="J57" s="11" t="n">
        <f aca="false">IF(J$1&lt;Units!$P56,0,IF(AND(Units!$K56=0,J$1=Units!$O56),Units!$R56,IF(AND(J$1&gt;=Units!$Q56,MOD(J$1-Units!$Q56,12)=0),IF(AND(Units!$L56=1,J$1=Units!$Q56),IF(Units!$J56&lt;&gt;"",Units!$J56,Mkt!J57),Inputs!$B$15*Mkt!J57+(1-Inputs!$B$15)*MIN(Mkt!J57,I57*(1+Inputs!$B$18))),I57)))</f>
        <v>1865</v>
      </c>
      <c r="K57" s="11" t="n">
        <f aca="false">IF(K$1&lt;Units!$P56,0,IF(AND(Units!$K56=0,K$1=Units!$O56),Units!$R56,IF(AND(K$1&gt;=Units!$Q56,MOD(K$1-Units!$Q56,12)=0),IF(AND(Units!$L56=1,K$1=Units!$Q56),IF(Units!$J56&lt;&gt;"",Units!$J56,Mkt!K57),Inputs!$B$15*Mkt!K57+(1-Inputs!$B$15)*MIN(Mkt!K57,J57*(1+Inputs!$B$18))),J57)))</f>
        <v>1865</v>
      </c>
      <c r="L57" s="11" t="n">
        <f aca="false">IF(L$1&lt;Units!$P56,0,IF(AND(Units!$K56=0,L$1=Units!$O56),Units!$R56,IF(AND(L$1&gt;=Units!$Q56,MOD(L$1-Units!$Q56,12)=0),IF(AND(Units!$L56=1,L$1=Units!$Q56),IF(Units!$J56&lt;&gt;"",Units!$J56,Mkt!L57),Inputs!$B$15*Mkt!L57+(1-Inputs!$B$15)*MIN(Mkt!L57,K57*(1+Inputs!$B$18))),K57)))</f>
        <v>1865</v>
      </c>
      <c r="M57" s="11" t="n">
        <f aca="false">IF(M$1&lt;Units!$P56,0,IF(AND(Units!$K56=0,M$1=Units!$O56),Units!$R56,IF(AND(M$1&gt;=Units!$Q56,MOD(M$1-Units!$Q56,12)=0),IF(AND(Units!$L56=1,M$1=Units!$Q56),IF(Units!$J56&lt;&gt;"",Units!$J56,Mkt!M57),Inputs!$B$15*Mkt!M57+(1-Inputs!$B$15)*MIN(Mkt!M57,L57*(1+Inputs!$B$18))),L57)))</f>
        <v>1865</v>
      </c>
      <c r="N57" s="11" t="n">
        <f aca="false">IF(N$1&lt;Units!$P56,0,IF(AND(Units!$K56=0,N$1=Units!$O56),Units!$R56,IF(AND(N$1&gt;=Units!$Q56,MOD(N$1-Units!$Q56,12)=0),IF(AND(Units!$L56=1,N$1=Units!$Q56),IF(Units!$J56&lt;&gt;"",Units!$J56,Mkt!N57),Inputs!$B$15*Mkt!N57+(1-Inputs!$B$15)*MIN(Mkt!N57,M57*(1+Inputs!$B$18))),M57)))</f>
        <v>1850</v>
      </c>
      <c r="O57" s="11" t="n">
        <f aca="false">IF(O$1&lt;Units!$P56,0,IF(AND(Units!$K56=0,O$1=Units!$O56),Units!$R56,IF(AND(O$1&gt;=Units!$Q56,MOD(O$1-Units!$Q56,12)=0),IF(AND(Units!$L56=1,O$1=Units!$Q56),IF(Units!$J56&lt;&gt;"",Units!$J56,Mkt!O57),Inputs!$B$15*Mkt!O57+(1-Inputs!$B$15)*MIN(Mkt!O57,N57*(1+Inputs!$B$18))),N57)))</f>
        <v>1850</v>
      </c>
      <c r="P57" s="11" t="n">
        <f aca="false">IF(P$1&lt;Units!$P56,0,IF(AND(Units!$K56=0,P$1=Units!$O56),Units!$R56,IF(AND(P$1&gt;=Units!$Q56,MOD(P$1-Units!$Q56,12)=0),IF(AND(Units!$L56=1,P$1=Units!$Q56),IF(Units!$J56&lt;&gt;"",Units!$J56,Mkt!P57),Inputs!$B$15*Mkt!P57+(1-Inputs!$B$15)*MIN(Mkt!P57,O57*(1+Inputs!$B$18))),O57)))</f>
        <v>1850</v>
      </c>
      <c r="Q57" s="11" t="n">
        <f aca="false">IF(Q$1&lt;Units!$P56,0,IF(AND(Units!$K56=0,Q$1=Units!$O56),Units!$R56,IF(AND(Q$1&gt;=Units!$Q56,MOD(Q$1-Units!$Q56,12)=0),IF(AND(Units!$L56=1,Q$1=Units!$Q56),IF(Units!$J56&lt;&gt;"",Units!$J56,Mkt!Q57),Inputs!$B$15*Mkt!Q57+(1-Inputs!$B$15)*MIN(Mkt!Q57,P57*(1+Inputs!$B$18))),P57)))</f>
        <v>1850</v>
      </c>
      <c r="R57" s="11" t="n">
        <f aca="false">IF(R$1&lt;Units!$P56,0,IF(AND(Units!$K56=0,R$1=Units!$O56),Units!$R56,IF(AND(R$1&gt;=Units!$Q56,MOD(R$1-Units!$Q56,12)=0),IF(AND(Units!$L56=1,R$1=Units!$Q56),IF(Units!$J56&lt;&gt;"",Units!$J56,Mkt!R57),Inputs!$B$15*Mkt!R57+(1-Inputs!$B$15)*MIN(Mkt!R57,Q57*(1+Inputs!$B$18))),Q57)))</f>
        <v>1850</v>
      </c>
      <c r="S57" s="11" t="n">
        <f aca="false">IF(S$1&lt;Units!$P56,0,IF(AND(Units!$K56=0,S$1=Units!$O56),Units!$R56,IF(AND(S$1&gt;=Units!$Q56,MOD(S$1-Units!$Q56,12)=0),IF(AND(Units!$L56=1,S$1=Units!$Q56),IF(Units!$J56&lt;&gt;"",Units!$J56,Mkt!S57),Inputs!$B$15*Mkt!S57+(1-Inputs!$B$15)*MIN(Mkt!S57,R57*(1+Inputs!$B$18))),R57)))</f>
        <v>1850</v>
      </c>
      <c r="T57" s="11" t="n">
        <f aca="false">IF(T$1&lt;Units!$P56,0,IF(AND(Units!$K56=0,T$1=Units!$O56),Units!$R56,IF(AND(T$1&gt;=Units!$Q56,MOD(T$1-Units!$Q56,12)=0),IF(AND(Units!$L56=1,T$1=Units!$Q56),IF(Units!$J56&lt;&gt;"",Units!$J56,Mkt!T57),Inputs!$B$15*Mkt!T57+(1-Inputs!$B$15)*MIN(Mkt!T57,S57*(1+Inputs!$B$18))),S57)))</f>
        <v>1850</v>
      </c>
      <c r="U57" s="11" t="n">
        <f aca="false">IF(U$1&lt;Units!$P56,0,IF(AND(Units!$K56=0,U$1=Units!$O56),Units!$R56,IF(AND(U$1&gt;=Units!$Q56,MOD(U$1-Units!$Q56,12)=0),IF(AND(Units!$L56=1,U$1=Units!$Q56),IF(Units!$J56&lt;&gt;"",Units!$J56,Mkt!U57),Inputs!$B$15*Mkt!U57+(1-Inputs!$B$15)*MIN(Mkt!U57,T57*(1+Inputs!$B$18))),T57)))</f>
        <v>1850</v>
      </c>
      <c r="V57" s="11" t="n">
        <f aca="false">IF(V$1&lt;Units!$P56,0,IF(AND(Units!$K56=0,V$1=Units!$O56),Units!$R56,IF(AND(V$1&gt;=Units!$Q56,MOD(V$1-Units!$Q56,12)=0),IF(AND(Units!$L56=1,V$1=Units!$Q56),IF(Units!$J56&lt;&gt;"",Units!$J56,Mkt!V57),Inputs!$B$15*Mkt!V57+(1-Inputs!$B$15)*MIN(Mkt!V57,U57*(1+Inputs!$B$18))),U57)))</f>
        <v>1850</v>
      </c>
      <c r="W57" s="11" t="n">
        <f aca="false">IF(W$1&lt;Units!$P56,0,IF(AND(Units!$K56=0,W$1=Units!$O56),Units!$R56,IF(AND(W$1&gt;=Units!$Q56,MOD(W$1-Units!$Q56,12)=0),IF(AND(Units!$L56=1,W$1=Units!$Q56),IF(Units!$J56&lt;&gt;"",Units!$J56,Mkt!W57),Inputs!$B$15*Mkt!W57+(1-Inputs!$B$15)*MIN(Mkt!W57,V57*(1+Inputs!$B$18))),V57)))</f>
        <v>1850</v>
      </c>
      <c r="X57" s="11" t="n">
        <f aca="false">IF(X$1&lt;Units!$P56,0,IF(AND(Units!$K56=0,X$1=Units!$O56),Units!$R56,IF(AND(X$1&gt;=Units!$Q56,MOD(X$1-Units!$Q56,12)=0),IF(AND(Units!$L56=1,X$1=Units!$Q56),IF(Units!$J56&lt;&gt;"",Units!$J56,Mkt!X57),Inputs!$B$15*Mkt!X57+(1-Inputs!$B$15)*MIN(Mkt!X57,W57*(1+Inputs!$B$18))),W57)))</f>
        <v>1850</v>
      </c>
      <c r="Y57" s="11" t="n">
        <f aca="false">IF(Y$1&lt;Units!$P56,0,IF(AND(Units!$K56=0,Y$1=Units!$O56),Units!$R56,IF(AND(Y$1&gt;=Units!$Q56,MOD(Y$1-Units!$Q56,12)=0),IF(AND(Units!$L56=1,Y$1=Units!$Q56),IF(Units!$J56&lt;&gt;"",Units!$J56,Mkt!Y57),Inputs!$B$15*Mkt!Y57+(1-Inputs!$B$15)*MIN(Mkt!Y57,X57*(1+Inputs!$B$18))),X57)))</f>
        <v>1850</v>
      </c>
      <c r="Z57" s="11" t="n">
        <f aca="false">IF(Z$1&lt;Units!$P56,0,IF(AND(Units!$K56=0,Z$1=Units!$O56),Units!$R56,IF(AND(Z$1&gt;=Units!$Q56,MOD(Z$1-Units!$Q56,12)=0),IF(AND(Units!$L56=1,Z$1=Units!$Q56),IF(Units!$J56&lt;&gt;"",Units!$J56,Mkt!Z57),Inputs!$B$15*Mkt!Z57+(1-Inputs!$B$15)*MIN(Mkt!Z57,Y57*(1+Inputs!$B$18))),Y57)))</f>
        <v>1905.5</v>
      </c>
      <c r="AA57" s="11" t="n">
        <f aca="false">IF(AA$1&lt;Units!$P56,0,IF(AND(Units!$K56=0,AA$1=Units!$O56),Units!$R56,IF(AND(AA$1&gt;=Units!$Q56,MOD(AA$1-Units!$Q56,12)=0),IF(AND(Units!$L56=1,AA$1=Units!$Q56),IF(Units!$J56&lt;&gt;"",Units!$J56,Mkt!AA57),Inputs!$B$15*Mkt!AA57+(1-Inputs!$B$15)*MIN(Mkt!AA57,Z57*(1+Inputs!$B$18))),Z57)))</f>
        <v>1905.5</v>
      </c>
      <c r="AB57" s="11" t="n">
        <f aca="false">IF(AB$1&lt;Units!$P56,0,IF(AND(Units!$K56=0,AB$1=Units!$O56),Units!$R56,IF(AND(AB$1&gt;=Units!$Q56,MOD(AB$1-Units!$Q56,12)=0),IF(AND(Units!$L56=1,AB$1=Units!$Q56),IF(Units!$J56&lt;&gt;"",Units!$J56,Mkt!AB57),Inputs!$B$15*Mkt!AB57+(1-Inputs!$B$15)*MIN(Mkt!AB57,AA57*(1+Inputs!$B$18))),AA57)))</f>
        <v>1905.5</v>
      </c>
      <c r="AC57" s="11" t="n">
        <f aca="false">IF(AC$1&lt;Units!$P56,0,IF(AND(Units!$K56=0,AC$1=Units!$O56),Units!$R56,IF(AND(AC$1&gt;=Units!$Q56,MOD(AC$1-Units!$Q56,12)=0),IF(AND(Units!$L56=1,AC$1=Units!$Q56),IF(Units!$J56&lt;&gt;"",Units!$J56,Mkt!AC57),Inputs!$B$15*Mkt!AC57+(1-Inputs!$B$15)*MIN(Mkt!AC57,AB57*(1+Inputs!$B$18))),AB57)))</f>
        <v>1905.5</v>
      </c>
      <c r="AD57" s="11" t="n">
        <f aca="false">IF(AD$1&lt;Units!$P56,0,IF(AND(Units!$K56=0,AD$1=Units!$O56),Units!$R56,IF(AND(AD$1&gt;=Units!$Q56,MOD(AD$1-Units!$Q56,12)=0),IF(AND(Units!$L56=1,AD$1=Units!$Q56),IF(Units!$J56&lt;&gt;"",Units!$J56,Mkt!AD57),Inputs!$B$15*Mkt!AD57+(1-Inputs!$B$15)*MIN(Mkt!AD57,AC57*(1+Inputs!$B$18))),AC57)))</f>
        <v>1905.5</v>
      </c>
      <c r="AE57" s="11" t="n">
        <f aca="false">IF(AE$1&lt;Units!$P56,0,IF(AND(Units!$K56=0,AE$1=Units!$O56),Units!$R56,IF(AND(AE$1&gt;=Units!$Q56,MOD(AE$1-Units!$Q56,12)=0),IF(AND(Units!$L56=1,AE$1=Units!$Q56),IF(Units!$J56&lt;&gt;"",Units!$J56,Mkt!AE57),Inputs!$B$15*Mkt!AE57+(1-Inputs!$B$15)*MIN(Mkt!AE57,AD57*(1+Inputs!$B$18))),AD57)))</f>
        <v>1905.5</v>
      </c>
      <c r="AF57" s="11" t="n">
        <f aca="false">IF(AF$1&lt;Units!$P56,0,IF(AND(Units!$K56=0,AF$1=Units!$O56),Units!$R56,IF(AND(AF$1&gt;=Units!$Q56,MOD(AF$1-Units!$Q56,12)=0),IF(AND(Units!$L56=1,AF$1=Units!$Q56),IF(Units!$J56&lt;&gt;"",Units!$J56,Mkt!AF57),Inputs!$B$15*Mkt!AF57+(1-Inputs!$B$15)*MIN(Mkt!AF57,AE57*(1+Inputs!$B$18))),AE57)))</f>
        <v>1905.5</v>
      </c>
      <c r="AG57" s="11" t="n">
        <f aca="false">IF(AG$1&lt;Units!$P56,0,IF(AND(Units!$K56=0,AG$1=Units!$O56),Units!$R56,IF(AND(AG$1&gt;=Units!$Q56,MOD(AG$1-Units!$Q56,12)=0),IF(AND(Units!$L56=1,AG$1=Units!$Q56),IF(Units!$J56&lt;&gt;"",Units!$J56,Mkt!AG57),Inputs!$B$15*Mkt!AG57+(1-Inputs!$B$15)*MIN(Mkt!AG57,AF57*(1+Inputs!$B$18))),AF57)))</f>
        <v>1905.5</v>
      </c>
      <c r="AH57" s="11" t="n">
        <f aca="false">IF(AH$1&lt;Units!$P56,0,IF(AND(Units!$K56=0,AH$1=Units!$O56),Units!$R56,IF(AND(AH$1&gt;=Units!$Q56,MOD(AH$1-Units!$Q56,12)=0),IF(AND(Units!$L56=1,AH$1=Units!$Q56),IF(Units!$J56&lt;&gt;"",Units!$J56,Mkt!AH57),Inputs!$B$15*Mkt!AH57+(1-Inputs!$B$15)*MIN(Mkt!AH57,AG57*(1+Inputs!$B$18))),AG57)))</f>
        <v>1905.5</v>
      </c>
      <c r="AI57" s="11" t="n">
        <f aca="false">IF(AI$1&lt;Units!$P56,0,IF(AND(Units!$K56=0,AI$1=Units!$O56),Units!$R56,IF(AND(AI$1&gt;=Units!$Q56,MOD(AI$1-Units!$Q56,12)=0),IF(AND(Units!$L56=1,AI$1=Units!$Q56),IF(Units!$J56&lt;&gt;"",Units!$J56,Mkt!AI57),Inputs!$B$15*Mkt!AI57+(1-Inputs!$B$15)*MIN(Mkt!AI57,AH57*(1+Inputs!$B$18))),AH57)))</f>
        <v>1905.5</v>
      </c>
      <c r="AJ57" s="11" t="n">
        <f aca="false">IF(AJ$1&lt;Units!$P56,0,IF(AND(Units!$K56=0,AJ$1=Units!$O56),Units!$R56,IF(AND(AJ$1&gt;=Units!$Q56,MOD(AJ$1-Units!$Q56,12)=0),IF(AND(Units!$L56=1,AJ$1=Units!$Q56),IF(Units!$J56&lt;&gt;"",Units!$J56,Mkt!AJ57),Inputs!$B$15*Mkt!AJ57+(1-Inputs!$B$15)*MIN(Mkt!AJ57,AI57*(1+Inputs!$B$18))),AI57)))</f>
        <v>1905.5</v>
      </c>
      <c r="AK57" s="11" t="n">
        <f aca="false">IF(AK$1&lt;Units!$P56,0,IF(AND(Units!$K56=0,AK$1=Units!$O56),Units!$R56,IF(AND(AK$1&gt;=Units!$Q56,MOD(AK$1-Units!$Q56,12)=0),IF(AND(Units!$L56=1,AK$1=Units!$Q56),IF(Units!$J56&lt;&gt;"",Units!$J56,Mkt!AK57),Inputs!$B$15*Mkt!AK57+(1-Inputs!$B$15)*MIN(Mkt!AK57,AJ57*(1+Inputs!$B$18))),AJ57)))</f>
        <v>1905.5</v>
      </c>
      <c r="AL57" s="11" t="n">
        <f aca="false">IF(AL$1&lt;Units!$P56,0,IF(AND(Units!$K56=0,AL$1=Units!$O56),Units!$R56,IF(AND(AL$1&gt;=Units!$Q56,MOD(AL$1-Units!$Q56,12)=0),IF(AND(Units!$L56=1,AL$1=Units!$Q56),IF(Units!$J56&lt;&gt;"",Units!$J56,Mkt!AL57),Inputs!$B$15*Mkt!AL57+(1-Inputs!$B$15)*MIN(Mkt!AL57,AK57*(1+Inputs!$B$18))),AK57)))</f>
        <v>1962.665</v>
      </c>
      <c r="AM57" s="11" t="n">
        <f aca="false">IF(AM$1&lt;Units!$P56,0,IF(AND(Units!$K56=0,AM$1=Units!$O56),Units!$R56,IF(AND(AM$1&gt;=Units!$Q56,MOD(AM$1-Units!$Q56,12)=0),IF(AND(Units!$L56=1,AM$1=Units!$Q56),IF(Units!$J56&lt;&gt;"",Units!$J56,Mkt!AM57),Inputs!$B$15*Mkt!AM57+(1-Inputs!$B$15)*MIN(Mkt!AM57,AL57*(1+Inputs!$B$18))),AL57)))</f>
        <v>1962.665</v>
      </c>
      <c r="AN57" s="11" t="n">
        <f aca="false">IF(AN$1&lt;Units!$P56,0,IF(AND(Units!$K56=0,AN$1=Units!$O56),Units!$R56,IF(AND(AN$1&gt;=Units!$Q56,MOD(AN$1-Units!$Q56,12)=0),IF(AND(Units!$L56=1,AN$1=Units!$Q56),IF(Units!$J56&lt;&gt;"",Units!$J56,Mkt!AN57),Inputs!$B$15*Mkt!AN57+(1-Inputs!$B$15)*MIN(Mkt!AN57,AM57*(1+Inputs!$B$18))),AM57)))</f>
        <v>1962.665</v>
      </c>
      <c r="AO57" s="11" t="n">
        <f aca="false">IF(AO$1&lt;Units!$P56,0,IF(AND(Units!$K56=0,AO$1=Units!$O56),Units!$R56,IF(AND(AO$1&gt;=Units!$Q56,MOD(AO$1-Units!$Q56,12)=0),IF(AND(Units!$L56=1,AO$1=Units!$Q56),IF(Units!$J56&lt;&gt;"",Units!$J56,Mkt!AO57),Inputs!$B$15*Mkt!AO57+(1-Inputs!$B$15)*MIN(Mkt!AO57,AN57*(1+Inputs!$B$18))),AN57)))</f>
        <v>1962.665</v>
      </c>
      <c r="AP57" s="11" t="n">
        <f aca="false">IF(AP$1&lt;Units!$P56,0,IF(AND(Units!$K56=0,AP$1=Units!$O56),Units!$R56,IF(AND(AP$1&gt;=Units!$Q56,MOD(AP$1-Units!$Q56,12)=0),IF(AND(Units!$L56=1,AP$1=Units!$Q56),IF(Units!$J56&lt;&gt;"",Units!$J56,Mkt!AP57),Inputs!$B$15*Mkt!AP57+(1-Inputs!$B$15)*MIN(Mkt!AP57,AO57*(1+Inputs!$B$18))),AO57)))</f>
        <v>1962.665</v>
      </c>
      <c r="AQ57" s="11" t="n">
        <f aca="false">IF(AQ$1&lt;Units!$P56,0,IF(AND(Units!$K56=0,AQ$1=Units!$O56),Units!$R56,IF(AND(AQ$1&gt;=Units!$Q56,MOD(AQ$1-Units!$Q56,12)=0),IF(AND(Units!$L56=1,AQ$1=Units!$Q56),IF(Units!$J56&lt;&gt;"",Units!$J56,Mkt!AQ57),Inputs!$B$15*Mkt!AQ57+(1-Inputs!$B$15)*MIN(Mkt!AQ57,AP57*(1+Inputs!$B$18))),AP57)))</f>
        <v>1962.665</v>
      </c>
      <c r="AR57" s="11" t="n">
        <f aca="false">IF(AR$1&lt;Units!$P56,0,IF(AND(Units!$K56=0,AR$1=Units!$O56),Units!$R56,IF(AND(AR$1&gt;=Units!$Q56,MOD(AR$1-Units!$Q56,12)=0),IF(AND(Units!$L56=1,AR$1=Units!$Q56),IF(Units!$J56&lt;&gt;"",Units!$J56,Mkt!AR57),Inputs!$B$15*Mkt!AR57+(1-Inputs!$B$15)*MIN(Mkt!AR57,AQ57*(1+Inputs!$B$18))),AQ57)))</f>
        <v>1962.665</v>
      </c>
      <c r="AS57" s="11" t="n">
        <f aca="false">IF(AS$1&lt;Units!$P56,0,IF(AND(Units!$K56=0,AS$1=Units!$O56),Units!$R56,IF(AND(AS$1&gt;=Units!$Q56,MOD(AS$1-Units!$Q56,12)=0),IF(AND(Units!$L56=1,AS$1=Units!$Q56),IF(Units!$J56&lt;&gt;"",Units!$J56,Mkt!AS57),Inputs!$B$15*Mkt!AS57+(1-Inputs!$B$15)*MIN(Mkt!AS57,AR57*(1+Inputs!$B$18))),AR57)))</f>
        <v>1962.665</v>
      </c>
      <c r="AT57" s="11" t="n">
        <f aca="false">IF(AT$1&lt;Units!$P56,0,IF(AND(Units!$K56=0,AT$1=Units!$O56),Units!$R56,IF(AND(AT$1&gt;=Units!$Q56,MOD(AT$1-Units!$Q56,12)=0),IF(AND(Units!$L56=1,AT$1=Units!$Q56),IF(Units!$J56&lt;&gt;"",Units!$J56,Mkt!AT57),Inputs!$B$15*Mkt!AT57+(1-Inputs!$B$15)*MIN(Mkt!AT57,AS57*(1+Inputs!$B$18))),AS57)))</f>
        <v>1962.665</v>
      </c>
      <c r="AU57" s="11" t="n">
        <f aca="false">IF(AU$1&lt;Units!$P56,0,IF(AND(Units!$K56=0,AU$1=Units!$O56),Units!$R56,IF(AND(AU$1&gt;=Units!$Q56,MOD(AU$1-Units!$Q56,12)=0),IF(AND(Units!$L56=1,AU$1=Units!$Q56),IF(Units!$J56&lt;&gt;"",Units!$J56,Mkt!AU57),Inputs!$B$15*Mkt!AU57+(1-Inputs!$B$15)*MIN(Mkt!AU57,AT57*(1+Inputs!$B$18))),AT57)))</f>
        <v>1962.665</v>
      </c>
      <c r="AV57" s="11" t="n">
        <f aca="false">IF(AV$1&lt;Units!$P56,0,IF(AND(Units!$K56=0,AV$1=Units!$O56),Units!$R56,IF(AND(AV$1&gt;=Units!$Q56,MOD(AV$1-Units!$Q56,12)=0),IF(AND(Units!$L56=1,AV$1=Units!$Q56),IF(Units!$J56&lt;&gt;"",Units!$J56,Mkt!AV57),Inputs!$B$15*Mkt!AV57+(1-Inputs!$B$15)*MIN(Mkt!AV57,AU57*(1+Inputs!$B$18))),AU57)))</f>
        <v>1962.665</v>
      </c>
      <c r="AW57" s="11" t="n">
        <f aca="false">IF(AW$1&lt;Units!$P56,0,IF(AND(Units!$K56=0,AW$1=Units!$O56),Units!$R56,IF(AND(AW$1&gt;=Units!$Q56,MOD(AW$1-Units!$Q56,12)=0),IF(AND(Units!$L56=1,AW$1=Units!$Q56),IF(Units!$J56&lt;&gt;"",Units!$J56,Mkt!AW57),Inputs!$B$15*Mkt!AW57+(1-Inputs!$B$15)*MIN(Mkt!AW57,AV57*(1+Inputs!$B$18))),AV57)))</f>
        <v>1962.665</v>
      </c>
      <c r="AX57" s="11" t="n">
        <f aca="false">IF(AX$1&lt;Units!$P56,0,IF(AND(Units!$K56=0,AX$1=Units!$O56),Units!$R56,IF(AND(AX$1&gt;=Units!$Q56,MOD(AX$1-Units!$Q56,12)=0),IF(AND(Units!$L56=1,AX$1=Units!$Q56),IF(Units!$J56&lt;&gt;"",Units!$J56,Mkt!AX57),Inputs!$B$15*Mkt!AX57+(1-Inputs!$B$15)*MIN(Mkt!AX57,AW57*(1+Inputs!$B$18))),AW57)))</f>
        <v>2021.54495</v>
      </c>
      <c r="AY57" s="11" t="n">
        <f aca="false">IF(AY$1&lt;Units!$P56,0,IF(AND(Units!$K56=0,AY$1=Units!$O56),Units!$R56,IF(AND(AY$1&gt;=Units!$Q56,MOD(AY$1-Units!$Q56,12)=0),IF(AND(Units!$L56=1,AY$1=Units!$Q56),IF(Units!$J56&lt;&gt;"",Units!$J56,Mkt!AY57),Inputs!$B$15*Mkt!AY57+(1-Inputs!$B$15)*MIN(Mkt!AY57,AX57*(1+Inputs!$B$18))),AX57)))</f>
        <v>2021.54495</v>
      </c>
      <c r="AZ57" s="11" t="n">
        <f aca="false">IF(AZ$1&lt;Units!$P56,0,IF(AND(Units!$K56=0,AZ$1=Units!$O56),Units!$R56,IF(AND(AZ$1&gt;=Units!$Q56,MOD(AZ$1-Units!$Q56,12)=0),IF(AND(Units!$L56=1,AZ$1=Units!$Q56),IF(Units!$J56&lt;&gt;"",Units!$J56,Mkt!AZ57),Inputs!$B$15*Mkt!AZ57+(1-Inputs!$B$15)*MIN(Mkt!AZ57,AY57*(1+Inputs!$B$18))),AY57)))</f>
        <v>2021.54495</v>
      </c>
      <c r="BA57" s="11" t="n">
        <f aca="false">IF(BA$1&lt;Units!$P56,0,IF(AND(Units!$K56=0,BA$1=Units!$O56),Units!$R56,IF(AND(BA$1&gt;=Units!$Q56,MOD(BA$1-Units!$Q56,12)=0),IF(AND(Units!$L56=1,BA$1=Units!$Q56),IF(Units!$J56&lt;&gt;"",Units!$J56,Mkt!BA57),Inputs!$B$15*Mkt!BA57+(1-Inputs!$B$15)*MIN(Mkt!BA57,AZ57*(1+Inputs!$B$18))),AZ57)))</f>
        <v>2021.54495</v>
      </c>
      <c r="BB57" s="11" t="n">
        <f aca="false">IF(BB$1&lt;Units!$P56,0,IF(AND(Units!$K56=0,BB$1=Units!$O56),Units!$R56,IF(AND(BB$1&gt;=Units!$Q56,MOD(BB$1-Units!$Q56,12)=0),IF(AND(Units!$L56=1,BB$1=Units!$Q56),IF(Units!$J56&lt;&gt;"",Units!$J56,Mkt!BB57),Inputs!$B$15*Mkt!BB57+(1-Inputs!$B$15)*MIN(Mkt!BB57,BA57*(1+Inputs!$B$18))),BA57)))</f>
        <v>2021.54495</v>
      </c>
      <c r="BC57" s="11" t="n">
        <f aca="false">IF(BC$1&lt;Units!$P56,0,IF(AND(Units!$K56=0,BC$1=Units!$O56),Units!$R56,IF(AND(BC$1&gt;=Units!$Q56,MOD(BC$1-Units!$Q56,12)=0),IF(AND(Units!$L56=1,BC$1=Units!$Q56),IF(Units!$J56&lt;&gt;"",Units!$J56,Mkt!BC57),Inputs!$B$15*Mkt!BC57+(1-Inputs!$B$15)*MIN(Mkt!BC57,BB57*(1+Inputs!$B$18))),BB57)))</f>
        <v>2021.54495</v>
      </c>
      <c r="BD57" s="11" t="n">
        <f aca="false">IF(BD$1&lt;Units!$P56,0,IF(AND(Units!$K56=0,BD$1=Units!$O56),Units!$R56,IF(AND(BD$1&gt;=Units!$Q56,MOD(BD$1-Units!$Q56,12)=0),IF(AND(Units!$L56=1,BD$1=Units!$Q56),IF(Units!$J56&lt;&gt;"",Units!$J56,Mkt!BD57),Inputs!$B$15*Mkt!BD57+(1-Inputs!$B$15)*MIN(Mkt!BD57,BC57*(1+Inputs!$B$18))),BC57)))</f>
        <v>2021.54495</v>
      </c>
      <c r="BE57" s="11" t="n">
        <f aca="false">IF(BE$1&lt;Units!$P56,0,IF(AND(Units!$K56=0,BE$1=Units!$O56),Units!$R56,IF(AND(BE$1&gt;=Units!$Q56,MOD(BE$1-Units!$Q56,12)=0),IF(AND(Units!$L56=1,BE$1=Units!$Q56),IF(Units!$J56&lt;&gt;"",Units!$J56,Mkt!BE57),Inputs!$B$15*Mkt!BE57+(1-Inputs!$B$15)*MIN(Mkt!BE57,BD57*(1+Inputs!$B$18))),BD57)))</f>
        <v>2021.54495</v>
      </c>
      <c r="BF57" s="11" t="n">
        <f aca="false">IF(BF$1&lt;Units!$P56,0,IF(AND(Units!$K56=0,BF$1=Units!$O56),Units!$R56,IF(AND(BF$1&gt;=Units!$Q56,MOD(BF$1-Units!$Q56,12)=0),IF(AND(Units!$L56=1,BF$1=Units!$Q56),IF(Units!$J56&lt;&gt;"",Units!$J56,Mkt!BF57),Inputs!$B$15*Mkt!BF57+(1-Inputs!$B$15)*MIN(Mkt!BF57,BE57*(1+Inputs!$B$18))),BE57)))</f>
        <v>2021.54495</v>
      </c>
      <c r="BG57" s="11" t="n">
        <f aca="false">IF(BG$1&lt;Units!$P56,0,IF(AND(Units!$K56=0,BG$1=Units!$O56),Units!$R56,IF(AND(BG$1&gt;=Units!$Q56,MOD(BG$1-Units!$Q56,12)=0),IF(AND(Units!$L56=1,BG$1=Units!$Q56),IF(Units!$J56&lt;&gt;"",Units!$J56,Mkt!BG57),Inputs!$B$15*Mkt!BG57+(1-Inputs!$B$15)*MIN(Mkt!BG57,BF57*(1+Inputs!$B$18))),BF57)))</f>
        <v>2021.54495</v>
      </c>
      <c r="BH57" s="11" t="n">
        <f aca="false">IF(BH$1&lt;Units!$P56,0,IF(AND(Units!$K56=0,BH$1=Units!$O56),Units!$R56,IF(AND(BH$1&gt;=Units!$Q56,MOD(BH$1-Units!$Q56,12)=0),IF(AND(Units!$L56=1,BH$1=Units!$Q56),IF(Units!$J56&lt;&gt;"",Units!$J56,Mkt!BH57),Inputs!$B$15*Mkt!BH57+(1-Inputs!$B$15)*MIN(Mkt!BH57,BG57*(1+Inputs!$B$18))),BG57)))</f>
        <v>2021.54495</v>
      </c>
      <c r="BI57" s="11" t="n">
        <f aca="false">IF(BI$1&lt;Units!$P56,0,IF(AND(Units!$K56=0,BI$1=Units!$O56),Units!$R56,IF(AND(BI$1&gt;=Units!$Q56,MOD(BI$1-Units!$Q56,12)=0),IF(AND(Units!$L56=1,BI$1=Units!$Q56),IF(Units!$J56&lt;&gt;"",Units!$J56,Mkt!BI57),Inputs!$B$15*Mkt!BI57+(1-Inputs!$B$15)*MIN(Mkt!BI57,BH57*(1+Inputs!$B$18))),BH57)))</f>
        <v>2021.54495</v>
      </c>
      <c r="BJ57" s="11" t="n">
        <f aca="false">IF(BJ$1&lt;Units!$P56,0,IF(AND(Units!$K56=0,BJ$1=Units!$O56),Units!$R56,IF(AND(BJ$1&gt;=Units!$Q56,MOD(BJ$1-Units!$Q56,12)=0),IF(AND(Units!$L56=1,BJ$1=Units!$Q56),IF(Units!$J56&lt;&gt;"",Units!$J56,Mkt!BJ57),Inputs!$B$15*Mkt!BJ57+(1-Inputs!$B$15)*MIN(Mkt!BJ57,BI57*(1+Inputs!$B$18))),BI57)))</f>
        <v>2082.1912985</v>
      </c>
      <c r="BK57" s="11" t="n">
        <f aca="false">IF(BK$1&lt;Units!$P56,0,IF(AND(Units!$K56=0,BK$1=Units!$O56),Units!$R56,IF(AND(BK$1&gt;=Units!$Q56,MOD(BK$1-Units!$Q56,12)=0),IF(AND(Units!$L56=1,BK$1=Units!$Q56),IF(Units!$J56&lt;&gt;"",Units!$J56,Mkt!BK57),Inputs!$B$15*Mkt!BK57+(1-Inputs!$B$15)*MIN(Mkt!BK57,BJ57*(1+Inputs!$B$18))),BJ57)))</f>
        <v>2082.1912985</v>
      </c>
      <c r="BL57" s="11" t="n">
        <f aca="false">IF(BL$1&lt;Units!$P56,0,IF(AND(Units!$K56=0,BL$1=Units!$O56),Units!$R56,IF(AND(BL$1&gt;=Units!$Q56,MOD(BL$1-Units!$Q56,12)=0),IF(AND(Units!$L56=1,BL$1=Units!$Q56),IF(Units!$J56&lt;&gt;"",Units!$J56,Mkt!BL57),Inputs!$B$15*Mkt!BL57+(1-Inputs!$B$15)*MIN(Mkt!BL57,BK57*(1+Inputs!$B$18))),BK57)))</f>
        <v>2082.1912985</v>
      </c>
      <c r="BM57" s="11" t="n">
        <f aca="false">IF(BM$1&lt;Units!$P56,0,IF(AND(Units!$K56=0,BM$1=Units!$O56),Units!$R56,IF(AND(BM$1&gt;=Units!$Q56,MOD(BM$1-Units!$Q56,12)=0),IF(AND(Units!$L56=1,BM$1=Units!$Q56),IF(Units!$J56&lt;&gt;"",Units!$J56,Mkt!BM57),Inputs!$B$15*Mkt!BM57+(1-Inputs!$B$15)*MIN(Mkt!BM57,BL57*(1+Inputs!$B$18))),BL57)))</f>
        <v>2082.1912985</v>
      </c>
      <c r="BN57" s="11" t="n">
        <f aca="false">IF(BN$1&lt;Units!$P56,0,IF(AND(Units!$K56=0,BN$1=Units!$O56),Units!$R56,IF(AND(BN$1&gt;=Units!$Q56,MOD(BN$1-Units!$Q56,12)=0),IF(AND(Units!$L56=1,BN$1=Units!$Q56),IF(Units!$J56&lt;&gt;"",Units!$J56,Mkt!BN57),Inputs!$B$15*Mkt!BN57+(1-Inputs!$B$15)*MIN(Mkt!BN57,BM57*(1+Inputs!$B$18))),BM57)))</f>
        <v>2082.1912985</v>
      </c>
      <c r="BO57" s="11" t="n">
        <f aca="false">IF(BO$1&lt;Units!$P56,0,IF(AND(Units!$K56=0,BO$1=Units!$O56),Units!$R56,IF(AND(BO$1&gt;=Units!$Q56,MOD(BO$1-Units!$Q56,12)=0),IF(AND(Units!$L56=1,BO$1=Units!$Q56),IF(Units!$J56&lt;&gt;"",Units!$J56,Mkt!BO57),Inputs!$B$15*Mkt!BO57+(1-Inputs!$B$15)*MIN(Mkt!BO57,BN57*(1+Inputs!$B$18))),BN57)))</f>
        <v>2082.1912985</v>
      </c>
      <c r="BP57" s="11" t="n">
        <f aca="false">IF(BP$1&lt;Units!$P56,0,IF(AND(Units!$K56=0,BP$1=Units!$O56),Units!$R56,IF(AND(BP$1&gt;=Units!$Q56,MOD(BP$1-Units!$Q56,12)=0),IF(AND(Units!$L56=1,BP$1=Units!$Q56),IF(Units!$J56&lt;&gt;"",Units!$J56,Mkt!BP57),Inputs!$B$15*Mkt!BP57+(1-Inputs!$B$15)*MIN(Mkt!BP57,BO57*(1+Inputs!$B$18))),BO57)))</f>
        <v>2082.1912985</v>
      </c>
      <c r="BQ57" s="11" t="n">
        <f aca="false">IF(BQ$1&lt;Units!$P56,0,IF(AND(Units!$K56=0,BQ$1=Units!$O56),Units!$R56,IF(AND(BQ$1&gt;=Units!$Q56,MOD(BQ$1-Units!$Q56,12)=0),IF(AND(Units!$L56=1,BQ$1=Units!$Q56),IF(Units!$J56&lt;&gt;"",Units!$J56,Mkt!BQ57),Inputs!$B$15*Mkt!BQ57+(1-Inputs!$B$15)*MIN(Mkt!BQ57,BP57*(1+Inputs!$B$18))),BP57)))</f>
        <v>2082.1912985</v>
      </c>
      <c r="BR57" s="11" t="n">
        <f aca="false">IF(BR$1&lt;Units!$P56,0,IF(AND(Units!$K56=0,BR$1=Units!$O56),Units!$R56,IF(AND(BR$1&gt;=Units!$Q56,MOD(BR$1-Units!$Q56,12)=0),IF(AND(Units!$L56=1,BR$1=Units!$Q56),IF(Units!$J56&lt;&gt;"",Units!$J56,Mkt!BR57),Inputs!$B$15*Mkt!BR57+(1-Inputs!$B$15)*MIN(Mkt!BR57,BQ57*(1+Inputs!$B$18))),BQ57)))</f>
        <v>2082.1912985</v>
      </c>
      <c r="BS57" s="11" t="n">
        <f aca="false">IF(BS$1&lt;Units!$P56,0,IF(AND(Units!$K56=0,BS$1=Units!$O56),Units!$R56,IF(AND(BS$1&gt;=Units!$Q56,MOD(BS$1-Units!$Q56,12)=0),IF(AND(Units!$L56=1,BS$1=Units!$Q56),IF(Units!$J56&lt;&gt;"",Units!$J56,Mkt!BS57),Inputs!$B$15*Mkt!BS57+(1-Inputs!$B$15)*MIN(Mkt!BS57,BR57*(1+Inputs!$B$18))),BR57)))</f>
        <v>2082.1912985</v>
      </c>
      <c r="BT57" s="11" t="n">
        <f aca="false">IF(BT$1&lt;Units!$P56,0,IF(AND(Units!$K56=0,BT$1=Units!$O56),Units!$R56,IF(AND(BT$1&gt;=Units!$Q56,MOD(BT$1-Units!$Q56,12)=0),IF(AND(Units!$L56=1,BT$1=Units!$Q56),IF(Units!$J56&lt;&gt;"",Units!$J56,Mkt!BT57),Inputs!$B$15*Mkt!BT57+(1-Inputs!$B$15)*MIN(Mkt!BT57,BS57*(1+Inputs!$B$18))),BS57)))</f>
        <v>2082.1912985</v>
      </c>
      <c r="BU57" s="11" t="n">
        <f aca="false">IF(BU$1&lt;Units!$P56,0,IF(AND(Units!$K56=0,BU$1=Units!$O56),Units!$R56,IF(AND(BU$1&gt;=Units!$Q56,MOD(BU$1-Units!$Q56,12)=0),IF(AND(Units!$L56=1,BU$1=Units!$Q56),IF(Units!$J56&lt;&gt;"",Units!$J56,Mkt!BU57),Inputs!$B$15*Mkt!BU57+(1-Inputs!$B$15)*MIN(Mkt!BU57,BT57*(1+Inputs!$B$18))),BT57)))</f>
        <v>2082.1912985</v>
      </c>
      <c r="BV57" s="11" t="n">
        <f aca="false">IF(BV$1&lt;Units!$P56,0,IF(AND(Units!$K56=0,BV$1=Units!$O56),Units!$R56,IF(AND(BV$1&gt;=Units!$Q56,MOD(BV$1-Units!$Q56,12)=0),IF(AND(Units!$L56=1,BV$1=Units!$Q56),IF(Units!$J56&lt;&gt;"",Units!$J56,Mkt!BV57),Inputs!$B$15*Mkt!BV57+(1-Inputs!$B$15)*MIN(Mkt!BV57,BU57*(1+Inputs!$B$18))),BU57)))</f>
        <v>2144.657037455</v>
      </c>
      <c r="BW57" s="11" t="n">
        <f aca="false">IF(BW$1&lt;Units!$P56,0,IF(AND(Units!$K56=0,BW$1=Units!$O56),Units!$R56,IF(AND(BW$1&gt;=Units!$Q56,MOD(BW$1-Units!$Q56,12)=0),IF(AND(Units!$L56=1,BW$1=Units!$Q56),IF(Units!$J56&lt;&gt;"",Units!$J56,Mkt!BW57),Inputs!$B$15*Mkt!BW57+(1-Inputs!$B$15)*MIN(Mkt!BW57,BV57*(1+Inputs!$B$18))),BV57)))</f>
        <v>2144.657037455</v>
      </c>
      <c r="BX57" s="11" t="n">
        <f aca="false">IF(BX$1&lt;Units!$P56,0,IF(AND(Units!$K56=0,BX$1=Units!$O56),Units!$R56,IF(AND(BX$1&gt;=Units!$Q56,MOD(BX$1-Units!$Q56,12)=0),IF(AND(Units!$L56=1,BX$1=Units!$Q56),IF(Units!$J56&lt;&gt;"",Units!$J56,Mkt!BX57),Inputs!$B$15*Mkt!BX57+(1-Inputs!$B$15)*MIN(Mkt!BX57,BW57*(1+Inputs!$B$18))),BW57)))</f>
        <v>2144.657037455</v>
      </c>
      <c r="BY57" s="11" t="n">
        <f aca="false">IF(BY$1&lt;Units!$P56,0,IF(AND(Units!$K56=0,BY$1=Units!$O56),Units!$R56,IF(AND(BY$1&gt;=Units!$Q56,MOD(BY$1-Units!$Q56,12)=0),IF(AND(Units!$L56=1,BY$1=Units!$Q56),IF(Units!$J56&lt;&gt;"",Units!$J56,Mkt!BY57),Inputs!$B$15*Mkt!BY57+(1-Inputs!$B$15)*MIN(Mkt!BY57,BX57*(1+Inputs!$B$18))),BX57)))</f>
        <v>2144.657037455</v>
      </c>
      <c r="BZ57" s="11" t="n">
        <f aca="false">IF(BZ$1&lt;Units!$P56,0,IF(AND(Units!$K56=0,BZ$1=Units!$O56),Units!$R56,IF(AND(BZ$1&gt;=Units!$Q56,MOD(BZ$1-Units!$Q56,12)=0),IF(AND(Units!$L56=1,BZ$1=Units!$Q56),IF(Units!$J56&lt;&gt;"",Units!$J56,Mkt!BZ57),Inputs!$B$15*Mkt!BZ57+(1-Inputs!$B$15)*MIN(Mkt!BZ57,BY57*(1+Inputs!$B$18))),BY57)))</f>
        <v>2144.657037455</v>
      </c>
      <c r="CA57" s="11" t="n">
        <f aca="false">IF(CA$1&lt;Units!$P56,0,IF(AND(Units!$K56=0,CA$1=Units!$O56),Units!$R56,IF(AND(CA$1&gt;=Units!$Q56,MOD(CA$1-Units!$Q56,12)=0),IF(AND(Units!$L56=1,CA$1=Units!$Q56),IF(Units!$J56&lt;&gt;"",Units!$J56,Mkt!CA57),Inputs!$B$15*Mkt!CA57+(1-Inputs!$B$15)*MIN(Mkt!CA57,BZ57*(1+Inputs!$B$18))),BZ57)))</f>
        <v>2144.657037455</v>
      </c>
      <c r="CB57" s="11" t="n">
        <f aca="false">IF(CB$1&lt;Units!$P56,0,IF(AND(Units!$K56=0,CB$1=Units!$O56),Units!$R56,IF(AND(CB$1&gt;=Units!$Q56,MOD(CB$1-Units!$Q56,12)=0),IF(AND(Units!$L56=1,CB$1=Units!$Q56),IF(Units!$J56&lt;&gt;"",Units!$J56,Mkt!CB57),Inputs!$B$15*Mkt!CB57+(1-Inputs!$B$15)*MIN(Mkt!CB57,CA57*(1+Inputs!$B$18))),CA57)))</f>
        <v>2144.657037455</v>
      </c>
      <c r="CC57" s="11" t="n">
        <f aca="false">IF(CC$1&lt;Units!$P56,0,IF(AND(Units!$K56=0,CC$1=Units!$O56),Units!$R56,IF(AND(CC$1&gt;=Units!$Q56,MOD(CC$1-Units!$Q56,12)=0),IF(AND(Units!$L56=1,CC$1=Units!$Q56),IF(Units!$J56&lt;&gt;"",Units!$J56,Mkt!CC57),Inputs!$B$15*Mkt!CC57+(1-Inputs!$B$15)*MIN(Mkt!CC57,CB57*(1+Inputs!$B$18))),CB57)))</f>
        <v>2144.657037455</v>
      </c>
      <c r="CD57" s="11" t="n">
        <f aca="false">IF(CD$1&lt;Units!$P56,0,IF(AND(Units!$K56=0,CD$1=Units!$O56),Units!$R56,IF(AND(CD$1&gt;=Units!$Q56,MOD(CD$1-Units!$Q56,12)=0),IF(AND(Units!$L56=1,CD$1=Units!$Q56),IF(Units!$J56&lt;&gt;"",Units!$J56,Mkt!CD57),Inputs!$B$15*Mkt!CD57+(1-Inputs!$B$15)*MIN(Mkt!CD57,CC57*(1+Inputs!$B$18))),CC57)))</f>
        <v>2144.657037455</v>
      </c>
      <c r="CE57" s="11" t="n">
        <f aca="false">IF(CE$1&lt;Units!$P56,0,IF(AND(Units!$K56=0,CE$1=Units!$O56),Units!$R56,IF(AND(CE$1&gt;=Units!$Q56,MOD(CE$1-Units!$Q56,12)=0),IF(AND(Units!$L56=1,CE$1=Units!$Q56),IF(Units!$J56&lt;&gt;"",Units!$J56,Mkt!CE57),Inputs!$B$15*Mkt!CE57+(1-Inputs!$B$15)*MIN(Mkt!CE57,CD57*(1+Inputs!$B$18))),CD57)))</f>
        <v>2144.657037455</v>
      </c>
      <c r="CF57" s="11" t="n">
        <f aca="false">IF(CF$1&lt;Units!$P56,0,IF(AND(Units!$K56=0,CF$1=Units!$O56),Units!$R56,IF(AND(CF$1&gt;=Units!$Q56,MOD(CF$1-Units!$Q56,12)=0),IF(AND(Units!$L56=1,CF$1=Units!$Q56),IF(Units!$J56&lt;&gt;"",Units!$J56,Mkt!CF57),Inputs!$B$15*Mkt!CF57+(1-Inputs!$B$15)*MIN(Mkt!CF57,CE57*(1+Inputs!$B$18))),CE57)))</f>
        <v>2144.657037455</v>
      </c>
      <c r="CG57" s="11" t="n">
        <f aca="false">IF(CG$1&lt;Units!$P56,0,IF(AND(Units!$K56=0,CG$1=Units!$O56),Units!$R56,IF(AND(CG$1&gt;=Units!$Q56,MOD(CG$1-Units!$Q56,12)=0),IF(AND(Units!$L56=1,CG$1=Units!$Q56),IF(Units!$J56&lt;&gt;"",Units!$J56,Mkt!CG57),Inputs!$B$15*Mkt!CG57+(1-Inputs!$B$15)*MIN(Mkt!CG57,CF57*(1+Inputs!$B$18))),CF57)))</f>
        <v>2144.657037455</v>
      </c>
      <c r="CH57" s="11" t="n">
        <f aca="false">IF(CH$1&lt;Units!$P56,0,IF(AND(Units!$K56=0,CH$1=Units!$O56),Units!$R56,IF(AND(CH$1&gt;=Units!$Q56,MOD(CH$1-Units!$Q56,12)=0),IF(AND(Units!$L56=1,CH$1=Units!$Q56),IF(Units!$J56&lt;&gt;"",Units!$J56,Mkt!CH57),Inputs!$B$15*Mkt!CH57+(1-Inputs!$B$15)*MIN(Mkt!CH57,CG57*(1+Inputs!$B$18))),CG57)))</f>
        <v>2208.99674857865</v>
      </c>
      <c r="CI57" s="11" t="n">
        <f aca="false">IF(CI$1&lt;Units!$P56,0,IF(AND(Units!$K56=0,CI$1=Units!$O56),Units!$R56,IF(AND(CI$1&gt;=Units!$Q56,MOD(CI$1-Units!$Q56,12)=0),IF(AND(Units!$L56=1,CI$1=Units!$Q56),IF(Units!$J56&lt;&gt;"",Units!$J56,Mkt!CI57),Inputs!$B$15*Mkt!CI57+(1-Inputs!$B$15)*MIN(Mkt!CI57,CH57*(1+Inputs!$B$18))),CH57)))</f>
        <v>2208.99674857865</v>
      </c>
      <c r="CJ57" s="11" t="n">
        <f aca="false">IF(CJ$1&lt;Units!$P56,0,IF(AND(Units!$K56=0,CJ$1=Units!$O56),Units!$R56,IF(AND(CJ$1&gt;=Units!$Q56,MOD(CJ$1-Units!$Q56,12)=0),IF(AND(Units!$L56=1,CJ$1=Units!$Q56),IF(Units!$J56&lt;&gt;"",Units!$J56,Mkt!CJ57),Inputs!$B$15*Mkt!CJ57+(1-Inputs!$B$15)*MIN(Mkt!CJ57,CI57*(1+Inputs!$B$18))),CI57)))</f>
        <v>2208.99674857865</v>
      </c>
      <c r="CK57" s="11" t="n">
        <f aca="false">IF(CK$1&lt;Units!$P56,0,IF(AND(Units!$K56=0,CK$1=Units!$O56),Units!$R56,IF(AND(CK$1&gt;=Units!$Q56,MOD(CK$1-Units!$Q56,12)=0),IF(AND(Units!$L56=1,CK$1=Units!$Q56),IF(Units!$J56&lt;&gt;"",Units!$J56,Mkt!CK57),Inputs!$B$15*Mkt!CK57+(1-Inputs!$B$15)*MIN(Mkt!CK57,CJ57*(1+Inputs!$B$18))),CJ57)))</f>
        <v>2208.99674857865</v>
      </c>
      <c r="CL57" s="11" t="n">
        <f aca="false">IF(CL$1&lt;Units!$P56,0,IF(AND(Units!$K56=0,CL$1=Units!$O56),Units!$R56,IF(AND(CL$1&gt;=Units!$Q56,MOD(CL$1-Units!$Q56,12)=0),IF(AND(Units!$L56=1,CL$1=Units!$Q56),IF(Units!$J56&lt;&gt;"",Units!$J56,Mkt!CL57),Inputs!$B$15*Mkt!CL57+(1-Inputs!$B$15)*MIN(Mkt!CL57,CK57*(1+Inputs!$B$18))),CK57)))</f>
        <v>2208.99674857865</v>
      </c>
      <c r="CM57" s="11" t="n">
        <f aca="false">IF(CM$1&lt;Units!$P56,0,IF(AND(Units!$K56=0,CM$1=Units!$O56),Units!$R56,IF(AND(CM$1&gt;=Units!$Q56,MOD(CM$1-Units!$Q56,12)=0),IF(AND(Units!$L56=1,CM$1=Units!$Q56),IF(Units!$J56&lt;&gt;"",Units!$J56,Mkt!CM57),Inputs!$B$15*Mkt!CM57+(1-Inputs!$B$15)*MIN(Mkt!CM57,CL57*(1+Inputs!$B$18))),CL57)))</f>
        <v>2208.99674857865</v>
      </c>
      <c r="CN57" s="11" t="n">
        <f aca="false">IF(CN$1&lt;Units!$P56,0,IF(AND(Units!$K56=0,CN$1=Units!$O56),Units!$R56,IF(AND(CN$1&gt;=Units!$Q56,MOD(CN$1-Units!$Q56,12)=0),IF(AND(Units!$L56=1,CN$1=Units!$Q56),IF(Units!$J56&lt;&gt;"",Units!$J56,Mkt!CN57),Inputs!$B$15*Mkt!CN57+(1-Inputs!$B$15)*MIN(Mkt!CN57,CM57*(1+Inputs!$B$18))),CM57)))</f>
        <v>2208.99674857865</v>
      </c>
      <c r="CO57" s="11" t="n">
        <f aca="false">IF(CO$1&lt;Units!$P56,0,IF(AND(Units!$K56=0,CO$1=Units!$O56),Units!$R56,IF(AND(CO$1&gt;=Units!$Q56,MOD(CO$1-Units!$Q56,12)=0),IF(AND(Units!$L56=1,CO$1=Units!$Q56),IF(Units!$J56&lt;&gt;"",Units!$J56,Mkt!CO57),Inputs!$B$15*Mkt!CO57+(1-Inputs!$B$15)*MIN(Mkt!CO57,CN57*(1+Inputs!$B$18))),CN57)))</f>
        <v>2208.99674857865</v>
      </c>
      <c r="CP57" s="11" t="n">
        <f aca="false">IF(CP$1&lt;Units!$P56,0,IF(AND(Units!$K56=0,CP$1=Units!$O56),Units!$R56,IF(AND(CP$1&gt;=Units!$Q56,MOD(CP$1-Units!$Q56,12)=0),IF(AND(Units!$L56=1,CP$1=Units!$Q56),IF(Units!$J56&lt;&gt;"",Units!$J56,Mkt!CP57),Inputs!$B$15*Mkt!CP57+(1-Inputs!$B$15)*MIN(Mkt!CP57,CO57*(1+Inputs!$B$18))),CO57)))</f>
        <v>2208.99674857865</v>
      </c>
      <c r="CQ57" s="11" t="n">
        <f aca="false">IF(CQ$1&lt;Units!$P56,0,IF(AND(Units!$K56=0,CQ$1=Units!$O56),Units!$R56,IF(AND(CQ$1&gt;=Units!$Q56,MOD(CQ$1-Units!$Q56,12)=0),IF(AND(Units!$L56=1,CQ$1=Units!$Q56),IF(Units!$J56&lt;&gt;"",Units!$J56,Mkt!CQ57),Inputs!$B$15*Mkt!CQ57+(1-Inputs!$B$15)*MIN(Mkt!CQ57,CP57*(1+Inputs!$B$18))),CP57)))</f>
        <v>2208.99674857865</v>
      </c>
      <c r="CR57" s="11" t="n">
        <f aca="false">IF(CR$1&lt;Units!$P56,0,IF(AND(Units!$K56=0,CR$1=Units!$O56),Units!$R56,IF(AND(CR$1&gt;=Units!$Q56,MOD(CR$1-Units!$Q56,12)=0),IF(AND(Units!$L56=1,CR$1=Units!$Q56),IF(Units!$J56&lt;&gt;"",Units!$J56,Mkt!CR57),Inputs!$B$15*Mkt!CR57+(1-Inputs!$B$15)*MIN(Mkt!CR57,CQ57*(1+Inputs!$B$18))),CQ57)))</f>
        <v>2208.99674857865</v>
      </c>
      <c r="CS57" s="11" t="n">
        <f aca="false">IF(CS$1&lt;Units!$P56,0,IF(AND(Units!$K56=0,CS$1=Units!$O56),Units!$R56,IF(AND(CS$1&gt;=Units!$Q56,MOD(CS$1-Units!$Q56,12)=0),IF(AND(Units!$L56=1,CS$1=Units!$Q56),IF(Units!$J56&lt;&gt;"",Units!$J56,Mkt!CS57),Inputs!$B$15*Mkt!CS57+(1-Inputs!$B$15)*MIN(Mkt!CS57,CR57*(1+Inputs!$B$18))),CR57)))</f>
        <v>2208.99674857865</v>
      </c>
      <c r="CT57" s="11" t="n">
        <f aca="false">IF(CT$1&lt;Units!$P56,0,IF(AND(Units!$K56=0,CT$1=Units!$O56),Units!$R56,IF(AND(CT$1&gt;=Units!$Q56,MOD(CT$1-Units!$Q56,12)=0),IF(AND(Units!$L56=1,CT$1=Units!$Q56),IF(Units!$J56&lt;&gt;"",Units!$J56,Mkt!CT57),Inputs!$B$15*Mkt!CT57+(1-Inputs!$B$15)*MIN(Mkt!CT57,CS57*(1+Inputs!$B$18))),CS57)))</f>
        <v>2275.26665103601</v>
      </c>
      <c r="CU57" s="11" t="n">
        <f aca="false">IF(CU$1&lt;Units!$P56,0,IF(AND(Units!$K56=0,CU$1=Units!$O56),Units!$R56,IF(AND(CU$1&gt;=Units!$Q56,MOD(CU$1-Units!$Q56,12)=0),IF(AND(Units!$L56=1,CU$1=Units!$Q56),IF(Units!$J56&lt;&gt;"",Units!$J56,Mkt!CU57),Inputs!$B$15*Mkt!CU57+(1-Inputs!$B$15)*MIN(Mkt!CU57,CT57*(1+Inputs!$B$18))),CT57)))</f>
        <v>2275.26665103601</v>
      </c>
      <c r="CV57" s="11" t="n">
        <f aca="false">IF(CV$1&lt;Units!$P56,0,IF(AND(Units!$K56=0,CV$1=Units!$O56),Units!$R56,IF(AND(CV$1&gt;=Units!$Q56,MOD(CV$1-Units!$Q56,12)=0),IF(AND(Units!$L56=1,CV$1=Units!$Q56),IF(Units!$J56&lt;&gt;"",Units!$J56,Mkt!CV57),Inputs!$B$15*Mkt!CV57+(1-Inputs!$B$15)*MIN(Mkt!CV57,CU57*(1+Inputs!$B$18))),CU57)))</f>
        <v>2275.26665103601</v>
      </c>
      <c r="CW57" s="11" t="n">
        <f aca="false">IF(CW$1&lt;Units!$P56,0,IF(AND(Units!$K56=0,CW$1=Units!$O56),Units!$R56,IF(AND(CW$1&gt;=Units!$Q56,MOD(CW$1-Units!$Q56,12)=0),IF(AND(Units!$L56=1,CW$1=Units!$Q56),IF(Units!$J56&lt;&gt;"",Units!$J56,Mkt!CW57),Inputs!$B$15*Mkt!CW57+(1-Inputs!$B$15)*MIN(Mkt!CW57,CV57*(1+Inputs!$B$18))),CV57)))</f>
        <v>2275.26665103601</v>
      </c>
      <c r="CX57" s="11" t="n">
        <f aca="false">IF(CX$1&lt;Units!$P56,0,IF(AND(Units!$K56=0,CX$1=Units!$O56),Units!$R56,IF(AND(CX$1&gt;=Units!$Q56,MOD(CX$1-Units!$Q56,12)=0),IF(AND(Units!$L56=1,CX$1=Units!$Q56),IF(Units!$J56&lt;&gt;"",Units!$J56,Mkt!CX57),Inputs!$B$15*Mkt!CX57+(1-Inputs!$B$15)*MIN(Mkt!CX57,CW57*(1+Inputs!$B$18))),CW57)))</f>
        <v>2275.26665103601</v>
      </c>
      <c r="CY57" s="11" t="n">
        <f aca="false">IF(CY$1&lt;Units!$P56,0,IF(AND(Units!$K56=0,CY$1=Units!$O56),Units!$R56,IF(AND(CY$1&gt;=Units!$Q56,MOD(CY$1-Units!$Q56,12)=0),IF(AND(Units!$L56=1,CY$1=Units!$Q56),IF(Units!$J56&lt;&gt;"",Units!$J56,Mkt!CY57),Inputs!$B$15*Mkt!CY57+(1-Inputs!$B$15)*MIN(Mkt!CY57,CX57*(1+Inputs!$B$18))),CX57)))</f>
        <v>2275.26665103601</v>
      </c>
      <c r="CZ57" s="11" t="n">
        <f aca="false">IF(CZ$1&lt;Units!$P56,0,IF(AND(Units!$K56=0,CZ$1=Units!$O56),Units!$R56,IF(AND(CZ$1&gt;=Units!$Q56,MOD(CZ$1-Units!$Q56,12)=0),IF(AND(Units!$L56=1,CZ$1=Units!$Q56),IF(Units!$J56&lt;&gt;"",Units!$J56,Mkt!CZ57),Inputs!$B$15*Mkt!CZ57+(1-Inputs!$B$15)*MIN(Mkt!CZ57,CY57*(1+Inputs!$B$18))),CY57)))</f>
        <v>2275.26665103601</v>
      </c>
      <c r="DA57" s="11" t="n">
        <f aca="false">IF(DA$1&lt;Units!$P56,0,IF(AND(Units!$K56=0,DA$1=Units!$O56),Units!$R56,IF(AND(DA$1&gt;=Units!$Q56,MOD(DA$1-Units!$Q56,12)=0),IF(AND(Units!$L56=1,DA$1=Units!$Q56),IF(Units!$J56&lt;&gt;"",Units!$J56,Mkt!DA57),Inputs!$B$15*Mkt!DA57+(1-Inputs!$B$15)*MIN(Mkt!DA57,CZ57*(1+Inputs!$B$18))),CZ57)))</f>
        <v>2275.26665103601</v>
      </c>
      <c r="DB57" s="11" t="n">
        <f aca="false">IF(DB$1&lt;Units!$P56,0,IF(AND(Units!$K56=0,DB$1=Units!$O56),Units!$R56,IF(AND(DB$1&gt;=Units!$Q56,MOD(DB$1-Units!$Q56,12)=0),IF(AND(Units!$L56=1,DB$1=Units!$Q56),IF(Units!$J56&lt;&gt;"",Units!$J56,Mkt!DB57),Inputs!$B$15*Mkt!DB57+(1-Inputs!$B$15)*MIN(Mkt!DB57,DA57*(1+Inputs!$B$18))),DA57)))</f>
        <v>2275.26665103601</v>
      </c>
      <c r="DC57" s="11" t="n">
        <f aca="false">IF(DC$1&lt;Units!$P56,0,IF(AND(Units!$K56=0,DC$1=Units!$O56),Units!$R56,IF(AND(DC$1&gt;=Units!$Q56,MOD(DC$1-Units!$Q56,12)=0),IF(AND(Units!$L56=1,DC$1=Units!$Q56),IF(Units!$J56&lt;&gt;"",Units!$J56,Mkt!DC57),Inputs!$B$15*Mkt!DC57+(1-Inputs!$B$15)*MIN(Mkt!DC57,DB57*(1+Inputs!$B$18))),DB57)))</f>
        <v>2275.26665103601</v>
      </c>
      <c r="DD57" s="11" t="n">
        <f aca="false">IF(DD$1&lt;Units!$P56,0,IF(AND(Units!$K56=0,DD$1=Units!$O56),Units!$R56,IF(AND(DD$1&gt;=Units!$Q56,MOD(DD$1-Units!$Q56,12)=0),IF(AND(Units!$L56=1,DD$1=Units!$Q56),IF(Units!$J56&lt;&gt;"",Units!$J56,Mkt!DD57),Inputs!$B$15*Mkt!DD57+(1-Inputs!$B$15)*MIN(Mkt!DD57,DC57*(1+Inputs!$B$18))),DC57)))</f>
        <v>2275.26665103601</v>
      </c>
      <c r="DE57" s="11" t="n">
        <f aca="false">IF(DE$1&lt;Units!$P56,0,IF(AND(Units!$K56=0,DE$1=Units!$O56),Units!$R56,IF(AND(DE$1&gt;=Units!$Q56,MOD(DE$1-Units!$Q56,12)=0),IF(AND(Units!$L56=1,DE$1=Units!$Q56),IF(Units!$J56&lt;&gt;"",Units!$J56,Mkt!DE57),Inputs!$B$15*Mkt!DE57+(1-Inputs!$B$15)*MIN(Mkt!DE57,DD57*(1+Inputs!$B$18))),DD57)))</f>
        <v>2275.26665103601</v>
      </c>
      <c r="DF57" s="11" t="n">
        <f aca="false">IF(DF$1&lt;Units!$P56,0,IF(AND(Units!$K56=0,DF$1=Units!$O56),Units!$R56,IF(AND(DF$1&gt;=Units!$Q56,MOD(DF$1-Units!$Q56,12)=0),IF(AND(Units!$L56=1,DF$1=Units!$Q56),IF(Units!$J56&lt;&gt;"",Units!$J56,Mkt!DF57),Inputs!$B$15*Mkt!DF57+(1-Inputs!$B$15)*MIN(Mkt!DF57,DE57*(1+Inputs!$B$18))),DE57)))</f>
        <v>2343.52465056709</v>
      </c>
      <c r="DG57" s="11" t="n">
        <f aca="false">IF(DG$1&lt;Units!$P56,0,IF(AND(Units!$K56=0,DG$1=Units!$O56),Units!$R56,IF(AND(DG$1&gt;=Units!$Q56,MOD(DG$1-Units!$Q56,12)=0),IF(AND(Units!$L56=1,DG$1=Units!$Q56),IF(Units!$J56&lt;&gt;"",Units!$J56,Mkt!DG57),Inputs!$B$15*Mkt!DG57+(1-Inputs!$B$15)*MIN(Mkt!DG57,DF57*(1+Inputs!$B$18))),DF57)))</f>
        <v>2343.52465056709</v>
      </c>
      <c r="DH57" s="11" t="n">
        <f aca="false">IF(DH$1&lt;Units!$P56,0,IF(AND(Units!$K56=0,DH$1=Units!$O56),Units!$R56,IF(AND(DH$1&gt;=Units!$Q56,MOD(DH$1-Units!$Q56,12)=0),IF(AND(Units!$L56=1,DH$1=Units!$Q56),IF(Units!$J56&lt;&gt;"",Units!$J56,Mkt!DH57),Inputs!$B$15*Mkt!DH57+(1-Inputs!$B$15)*MIN(Mkt!DH57,DG57*(1+Inputs!$B$18))),DG57)))</f>
        <v>2343.52465056709</v>
      </c>
      <c r="DI57" s="11" t="n">
        <f aca="false">IF(DI$1&lt;Units!$P56,0,IF(AND(Units!$K56=0,DI$1=Units!$O56),Units!$R56,IF(AND(DI$1&gt;=Units!$Q56,MOD(DI$1-Units!$Q56,12)=0),IF(AND(Units!$L56=1,DI$1=Units!$Q56),IF(Units!$J56&lt;&gt;"",Units!$J56,Mkt!DI57),Inputs!$B$15*Mkt!DI57+(1-Inputs!$B$15)*MIN(Mkt!DI57,DH57*(1+Inputs!$B$18))),DH57)))</f>
        <v>2343.52465056709</v>
      </c>
      <c r="DJ57" s="11" t="n">
        <f aca="false">IF(DJ$1&lt;Units!$P56,0,IF(AND(Units!$K56=0,DJ$1=Units!$O56),Units!$R56,IF(AND(DJ$1&gt;=Units!$Q56,MOD(DJ$1-Units!$Q56,12)=0),IF(AND(Units!$L56=1,DJ$1=Units!$Q56),IF(Units!$J56&lt;&gt;"",Units!$J56,Mkt!DJ57),Inputs!$B$15*Mkt!DJ57+(1-Inputs!$B$15)*MIN(Mkt!DJ57,DI57*(1+Inputs!$B$18))),DI57)))</f>
        <v>2343.52465056709</v>
      </c>
      <c r="DK57" s="11" t="n">
        <f aca="false">IF(DK$1&lt;Units!$P56,0,IF(AND(Units!$K56=0,DK$1=Units!$O56),Units!$R56,IF(AND(DK$1&gt;=Units!$Q56,MOD(DK$1-Units!$Q56,12)=0),IF(AND(Units!$L56=1,DK$1=Units!$Q56),IF(Units!$J56&lt;&gt;"",Units!$J56,Mkt!DK57),Inputs!$B$15*Mkt!DK57+(1-Inputs!$B$15)*MIN(Mkt!DK57,DJ57*(1+Inputs!$B$18))),DJ57)))</f>
        <v>2343.52465056709</v>
      </c>
      <c r="DL57" s="11" t="n">
        <f aca="false">IF(DL$1&lt;Units!$P56,0,IF(AND(Units!$K56=0,DL$1=Units!$O56),Units!$R56,IF(AND(DL$1&gt;=Units!$Q56,MOD(DL$1-Units!$Q56,12)=0),IF(AND(Units!$L56=1,DL$1=Units!$Q56),IF(Units!$J56&lt;&gt;"",Units!$J56,Mkt!DL57),Inputs!$B$15*Mkt!DL57+(1-Inputs!$B$15)*MIN(Mkt!DL57,DK57*(1+Inputs!$B$18))),DK57)))</f>
        <v>2343.52465056709</v>
      </c>
      <c r="DM57" s="11" t="n">
        <f aca="false">IF(DM$1&lt;Units!$P56,0,IF(AND(Units!$K56=0,DM$1=Units!$O56),Units!$R56,IF(AND(DM$1&gt;=Units!$Q56,MOD(DM$1-Units!$Q56,12)=0),IF(AND(Units!$L56=1,DM$1=Units!$Q56),IF(Units!$J56&lt;&gt;"",Units!$J56,Mkt!DM57),Inputs!$B$15*Mkt!DM57+(1-Inputs!$B$15)*MIN(Mkt!DM57,DL57*(1+Inputs!$B$18))),DL57)))</f>
        <v>2343.52465056709</v>
      </c>
      <c r="DN57" s="11" t="n">
        <f aca="false">IF(DN$1&lt;Units!$P56,0,IF(AND(Units!$K56=0,DN$1=Units!$O56),Units!$R56,IF(AND(DN$1&gt;=Units!$Q56,MOD(DN$1-Units!$Q56,12)=0),IF(AND(Units!$L56=1,DN$1=Units!$Q56),IF(Units!$J56&lt;&gt;"",Units!$J56,Mkt!DN57),Inputs!$B$15*Mkt!DN57+(1-Inputs!$B$15)*MIN(Mkt!DN57,DM57*(1+Inputs!$B$18))),DM57)))</f>
        <v>2343.52465056709</v>
      </c>
      <c r="DO57" s="11" t="n">
        <f aca="false">IF(DO$1&lt;Units!$P56,0,IF(AND(Units!$K56=0,DO$1=Units!$O56),Units!$R56,IF(AND(DO$1&gt;=Units!$Q56,MOD(DO$1-Units!$Q56,12)=0),IF(AND(Units!$L56=1,DO$1=Units!$Q56),IF(Units!$J56&lt;&gt;"",Units!$J56,Mkt!DO57),Inputs!$B$15*Mkt!DO57+(1-Inputs!$B$15)*MIN(Mkt!DO57,DN57*(1+Inputs!$B$18))),DN57)))</f>
        <v>2343.52465056709</v>
      </c>
      <c r="DP57" s="11" t="n">
        <f aca="false">IF(DP$1&lt;Units!$P56,0,IF(AND(Units!$K56=0,DP$1=Units!$O56),Units!$R56,IF(AND(DP$1&gt;=Units!$Q56,MOD(DP$1-Units!$Q56,12)=0),IF(AND(Units!$L56=1,DP$1=Units!$Q56),IF(Units!$J56&lt;&gt;"",Units!$J56,Mkt!DP57),Inputs!$B$15*Mkt!DP57+(1-Inputs!$B$15)*MIN(Mkt!DP57,DO57*(1+Inputs!$B$18))),DO57)))</f>
        <v>2343.52465056709</v>
      </c>
      <c r="DQ57" s="11" t="n">
        <f aca="false">IF(DQ$1&lt;Units!$P56,0,IF(AND(Units!$K56=0,DQ$1=Units!$O56),Units!$R56,IF(AND(DQ$1&gt;=Units!$Q56,MOD(DQ$1-Units!$Q56,12)=0),IF(AND(Units!$L56=1,DQ$1=Units!$Q56),IF(Units!$J56&lt;&gt;"",Units!$J56,Mkt!DQ57),Inputs!$B$15*Mkt!DQ57+(1-Inputs!$B$15)*MIN(Mkt!DQ57,DP57*(1+Inputs!$B$18))),DP57)))</f>
        <v>2343.52465056709</v>
      </c>
      <c r="DR57" s="11" t="n">
        <f aca="false">IF(DR$1&lt;Units!$P56,0,IF(AND(Units!$K56=0,DR$1=Units!$O56),Units!$R56,IF(AND(DR$1&gt;=Units!$Q56,MOD(DR$1-Units!$Q56,12)=0),IF(AND(Units!$L56=1,DR$1=Units!$Q56),IF(Units!$J56&lt;&gt;"",Units!$J56,Mkt!DR57),Inputs!$B$15*Mkt!DR57+(1-Inputs!$B$15)*MIN(Mkt!DR57,DQ57*(1+Inputs!$B$18))),DQ57)))</f>
        <v>2413.8303900841</v>
      </c>
      <c r="DS57" s="11" t="n">
        <f aca="false">IF(DS$1&lt;Units!$P56,0,IF(AND(Units!$K56=0,DS$1=Units!$O56),Units!$R56,IF(AND(DS$1&gt;=Units!$Q56,MOD(DS$1-Units!$Q56,12)=0),IF(AND(Units!$L56=1,DS$1=Units!$Q56),IF(Units!$J56&lt;&gt;"",Units!$J56,Mkt!DS57),Inputs!$B$15*Mkt!DS57+(1-Inputs!$B$15)*MIN(Mkt!DS57,DR57*(1+Inputs!$B$18))),DR57)))</f>
        <v>2413.8303900841</v>
      </c>
      <c r="DT57" s="11" t="n">
        <f aca="false">IF(DT$1&lt;Units!$P56,0,IF(AND(Units!$K56=0,DT$1=Units!$O56),Units!$R56,IF(AND(DT$1&gt;=Units!$Q56,MOD(DT$1-Units!$Q56,12)=0),IF(AND(Units!$L56=1,DT$1=Units!$Q56),IF(Units!$J56&lt;&gt;"",Units!$J56,Mkt!DT57),Inputs!$B$15*Mkt!DT57+(1-Inputs!$B$15)*MIN(Mkt!DT57,DS57*(1+Inputs!$B$18))),DS57)))</f>
        <v>2413.8303900841</v>
      </c>
      <c r="DU57" s="11" t="n">
        <f aca="false">IF(DU$1&lt;Units!$P56,0,IF(AND(Units!$K56=0,DU$1=Units!$O56),Units!$R56,IF(AND(DU$1&gt;=Units!$Q56,MOD(DU$1-Units!$Q56,12)=0),IF(AND(Units!$L56=1,DU$1=Units!$Q56),IF(Units!$J56&lt;&gt;"",Units!$J56,Mkt!DU57),Inputs!$B$15*Mkt!DU57+(1-Inputs!$B$15)*MIN(Mkt!DU57,DT57*(1+Inputs!$B$18))),DT57)))</f>
        <v>2413.8303900841</v>
      </c>
      <c r="DV57" s="11" t="n">
        <f aca="false">IF(DV$1&lt;Units!$P56,0,IF(AND(Units!$K56=0,DV$1=Units!$O56),Units!$R56,IF(AND(DV$1&gt;=Units!$Q56,MOD(DV$1-Units!$Q56,12)=0),IF(AND(Units!$L56=1,DV$1=Units!$Q56),IF(Units!$J56&lt;&gt;"",Units!$J56,Mkt!DV57),Inputs!$B$15*Mkt!DV57+(1-Inputs!$B$15)*MIN(Mkt!DV57,DU57*(1+Inputs!$B$18))),DU57)))</f>
        <v>2413.8303900841</v>
      </c>
      <c r="DW57" s="11" t="n">
        <f aca="false">IF(DW$1&lt;Units!$P56,0,IF(AND(Units!$K56=0,DW$1=Units!$O56),Units!$R56,IF(AND(DW$1&gt;=Units!$Q56,MOD(DW$1-Units!$Q56,12)=0),IF(AND(Units!$L56=1,DW$1=Units!$Q56),IF(Units!$J56&lt;&gt;"",Units!$J56,Mkt!DW57),Inputs!$B$15*Mkt!DW57+(1-Inputs!$B$15)*MIN(Mkt!DW57,DV57*(1+Inputs!$B$18))),DV57)))</f>
        <v>2413.8303900841</v>
      </c>
      <c r="DX57" s="11" t="n">
        <f aca="false">IF(DX$1&lt;Units!$P56,0,IF(AND(Units!$K56=0,DX$1=Units!$O56),Units!$R56,IF(AND(DX$1&gt;=Units!$Q56,MOD(DX$1-Units!$Q56,12)=0),IF(AND(Units!$L56=1,DX$1=Units!$Q56),IF(Units!$J56&lt;&gt;"",Units!$J56,Mkt!DX57),Inputs!$B$15*Mkt!DX57+(1-Inputs!$B$15)*MIN(Mkt!DX57,DW57*(1+Inputs!$B$18))),DW57)))</f>
        <v>2413.8303900841</v>
      </c>
      <c r="DY57" s="11" t="n">
        <f aca="false">IF(DY$1&lt;Units!$P56,0,IF(AND(Units!$K56=0,DY$1=Units!$O56),Units!$R56,IF(AND(DY$1&gt;=Units!$Q56,MOD(DY$1-Units!$Q56,12)=0),IF(AND(Units!$L56=1,DY$1=Units!$Q56),IF(Units!$J56&lt;&gt;"",Units!$J56,Mkt!DY57),Inputs!$B$15*Mkt!DY57+(1-Inputs!$B$15)*MIN(Mkt!DY57,DX57*(1+Inputs!$B$18))),DX57)))</f>
        <v>2413.8303900841</v>
      </c>
      <c r="DZ57" s="11" t="n">
        <f aca="false">IF(DZ$1&lt;Units!$P56,0,IF(AND(Units!$K56=0,DZ$1=Units!$O56),Units!$R56,IF(AND(DZ$1&gt;=Units!$Q56,MOD(DZ$1-Units!$Q56,12)=0),IF(AND(Units!$L56=1,DZ$1=Units!$Q56),IF(Units!$J56&lt;&gt;"",Units!$J56,Mkt!DZ57),Inputs!$B$15*Mkt!DZ57+(1-Inputs!$B$15)*MIN(Mkt!DZ57,DY57*(1+Inputs!$B$18))),DY57)))</f>
        <v>2413.8303900841</v>
      </c>
      <c r="EA57" s="11" t="n">
        <f aca="false">IF(EA$1&lt;Units!$P56,0,IF(AND(Units!$K56=0,EA$1=Units!$O56),Units!$R56,IF(AND(EA$1&gt;=Units!$Q56,MOD(EA$1-Units!$Q56,12)=0),IF(AND(Units!$L56=1,EA$1=Units!$Q56),IF(Units!$J56&lt;&gt;"",Units!$J56,Mkt!EA57),Inputs!$B$15*Mkt!EA57+(1-Inputs!$B$15)*MIN(Mkt!EA57,DZ57*(1+Inputs!$B$18))),DZ57)))</f>
        <v>2413.8303900841</v>
      </c>
      <c r="EB57" s="11" t="n">
        <f aca="false">IF(EB$1&lt;Units!$P56,0,IF(AND(Units!$K56=0,EB$1=Units!$O56),Units!$R56,IF(AND(EB$1&gt;=Units!$Q56,MOD(EB$1-Units!$Q56,12)=0),IF(AND(Units!$L56=1,EB$1=Units!$Q56),IF(Units!$J56&lt;&gt;"",Units!$J56,Mkt!EB57),Inputs!$B$15*Mkt!EB57+(1-Inputs!$B$15)*MIN(Mkt!EB57,EA57*(1+Inputs!$B$18))),EA57)))</f>
        <v>2413.8303900841</v>
      </c>
      <c r="EC57" s="11" t="n">
        <f aca="false">IF(EC$1&lt;Units!$P56,0,IF(AND(Units!$K56=0,EC$1=Units!$O56),Units!$R56,IF(AND(EC$1&gt;=Units!$Q56,MOD(EC$1-Units!$Q56,12)=0),IF(AND(Units!$L56=1,EC$1=Units!$Q56),IF(Units!$J56&lt;&gt;"",Units!$J56,Mkt!EC57),Inputs!$B$15*Mkt!EC57+(1-Inputs!$B$15)*MIN(Mkt!EC57,EB57*(1+Inputs!$B$18))),EB57)))</f>
        <v>2413.8303900841</v>
      </c>
      <c r="ED57" s="11" t="n">
        <f aca="false">IF(ED$1&lt;Units!$P56,0,IF(AND(Units!$K56=0,ED$1=Units!$O56),Units!$R56,IF(AND(ED$1&gt;=Units!$Q56,MOD(ED$1-Units!$Q56,12)=0),IF(AND(Units!$L56=1,ED$1=Units!$Q56),IF(Units!$J56&lt;&gt;"",Units!$J56,Mkt!ED57),Inputs!$B$15*Mkt!ED57+(1-Inputs!$B$15)*MIN(Mkt!ED57,EC57*(1+Inputs!$B$18))),EC57)))</f>
        <v>2486.24530178663</v>
      </c>
    </row>
    <row r="58" customFormat="false" ht="15" hidden="false" customHeight="false" outlineLevel="0" collapsed="false">
      <c r="A58" s="22" t="n">
        <f aca="false">Units!A57</f>
        <v>226</v>
      </c>
      <c r="B58" s="24" t="n">
        <f aca="false">IF(Units!K57=1,Units!F57,0)</f>
        <v>1895</v>
      </c>
      <c r="C58" s="11" t="n">
        <f aca="false">IF(C$1&lt;Units!$P57,0,IF(AND(Units!$K57=0,C$1=Units!$O57),Units!$R57,IF(AND(C$1&gt;=Units!$Q57,MOD(C$1-Units!$Q57,12)=0),IF(AND(Units!$L57=1,C$1=Units!$Q57),IF(Units!$J57&lt;&gt;"",Units!$J57,Mkt!C58),Inputs!$B$15*Mkt!C58+(1-Inputs!$B$15)*MIN(Mkt!C58,B58*(1+Inputs!$B$18))),B58)))</f>
        <v>1895</v>
      </c>
      <c r="D58" s="11" t="n">
        <f aca="false">IF(D$1&lt;Units!$P57,0,IF(AND(Units!$K57=0,D$1=Units!$O57),Units!$R57,IF(AND(D$1&gt;=Units!$Q57,MOD(D$1-Units!$Q57,12)=0),IF(AND(Units!$L57=1,D$1=Units!$Q57),IF(Units!$J57&lt;&gt;"",Units!$J57,Mkt!D58),Inputs!$B$15*Mkt!D58+(1-Inputs!$B$15)*MIN(Mkt!D58,C58*(1+Inputs!$B$18))),C58)))</f>
        <v>1895</v>
      </c>
      <c r="E58" s="11" t="n">
        <f aca="false">IF(E$1&lt;Units!$P57,0,IF(AND(Units!$K57=0,E$1=Units!$O57),Units!$R57,IF(AND(E$1&gt;=Units!$Q57,MOD(E$1-Units!$Q57,12)=0),IF(AND(Units!$L57=1,E$1=Units!$Q57),IF(Units!$J57&lt;&gt;"",Units!$J57,Mkt!E58),Inputs!$B$15*Mkt!E58+(1-Inputs!$B$15)*MIN(Mkt!E58,D58*(1+Inputs!$B$18))),D58)))</f>
        <v>1895</v>
      </c>
      <c r="F58" s="11" t="n">
        <f aca="false">IF(F$1&lt;Units!$P57,0,IF(AND(Units!$K57=0,F$1=Units!$O57),Units!$R57,IF(AND(F$1&gt;=Units!$Q57,MOD(F$1-Units!$Q57,12)=0),IF(AND(Units!$L57=1,F$1=Units!$Q57),IF(Units!$J57&lt;&gt;"",Units!$J57,Mkt!F58),Inputs!$B$15*Mkt!F58+(1-Inputs!$B$15)*MIN(Mkt!F58,E58*(1+Inputs!$B$18))),E58)))</f>
        <v>1895</v>
      </c>
      <c r="G58" s="11" t="n">
        <f aca="false">IF(G$1&lt;Units!$P57,0,IF(AND(Units!$K57=0,G$1=Units!$O57),Units!$R57,IF(AND(G$1&gt;=Units!$Q57,MOD(G$1-Units!$Q57,12)=0),IF(AND(Units!$L57=1,G$1=Units!$Q57),IF(Units!$J57&lt;&gt;"",Units!$J57,Mkt!G58),Inputs!$B$15*Mkt!G58+(1-Inputs!$B$15)*MIN(Mkt!G58,F58*(1+Inputs!$B$18))),F58)))</f>
        <v>1895</v>
      </c>
      <c r="H58" s="11" t="n">
        <f aca="false">IF(H$1&lt;Units!$P57,0,IF(AND(Units!$K57=0,H$1=Units!$O57),Units!$R57,IF(AND(H$1&gt;=Units!$Q57,MOD(H$1-Units!$Q57,12)=0),IF(AND(Units!$L57=1,H$1=Units!$Q57),IF(Units!$J57&lt;&gt;"",Units!$J57,Mkt!H58),Inputs!$B$15*Mkt!H58+(1-Inputs!$B$15)*MIN(Mkt!H58,G58*(1+Inputs!$B$18))),G58)))</f>
        <v>1895</v>
      </c>
      <c r="I58" s="11" t="n">
        <f aca="false">IF(I$1&lt;Units!$P57,0,IF(AND(Units!$K57=0,I$1=Units!$O57),Units!$R57,IF(AND(I$1&gt;=Units!$Q57,MOD(I$1-Units!$Q57,12)=0),IF(AND(Units!$L57=1,I$1=Units!$Q57),IF(Units!$J57&lt;&gt;"",Units!$J57,Mkt!I58),Inputs!$B$15*Mkt!I58+(1-Inputs!$B$15)*MIN(Mkt!I58,H58*(1+Inputs!$B$18))),H58)))</f>
        <v>1895</v>
      </c>
      <c r="J58" s="11" t="n">
        <f aca="false">IF(J$1&lt;Units!$P57,0,IF(AND(Units!$K57=0,J$1=Units!$O57),Units!$R57,IF(AND(J$1&gt;=Units!$Q57,MOD(J$1-Units!$Q57,12)=0),IF(AND(Units!$L57=1,J$1=Units!$Q57),IF(Units!$J57&lt;&gt;"",Units!$J57,Mkt!J58),Inputs!$B$15*Mkt!J58+(1-Inputs!$B$15)*MIN(Mkt!J58,I58*(1+Inputs!$B$18))),I58)))</f>
        <v>1850</v>
      </c>
      <c r="K58" s="11" t="n">
        <f aca="false">IF(K$1&lt;Units!$P57,0,IF(AND(Units!$K57=0,K$1=Units!$O57),Units!$R57,IF(AND(K$1&gt;=Units!$Q57,MOD(K$1-Units!$Q57,12)=0),IF(AND(Units!$L57=1,K$1=Units!$Q57),IF(Units!$J57&lt;&gt;"",Units!$J57,Mkt!K58),Inputs!$B$15*Mkt!K58+(1-Inputs!$B$15)*MIN(Mkt!K58,J58*(1+Inputs!$B$18))),J58)))</f>
        <v>1850</v>
      </c>
      <c r="L58" s="11" t="n">
        <f aca="false">IF(L$1&lt;Units!$P57,0,IF(AND(Units!$K57=0,L$1=Units!$O57),Units!$R57,IF(AND(L$1&gt;=Units!$Q57,MOD(L$1-Units!$Q57,12)=0),IF(AND(Units!$L57=1,L$1=Units!$Q57),IF(Units!$J57&lt;&gt;"",Units!$J57,Mkt!L58),Inputs!$B$15*Mkt!L58+(1-Inputs!$B$15)*MIN(Mkt!L58,K58*(1+Inputs!$B$18))),K58)))</f>
        <v>1850</v>
      </c>
      <c r="M58" s="11" t="n">
        <f aca="false">IF(M$1&lt;Units!$P57,0,IF(AND(Units!$K57=0,M$1=Units!$O57),Units!$R57,IF(AND(M$1&gt;=Units!$Q57,MOD(M$1-Units!$Q57,12)=0),IF(AND(Units!$L57=1,M$1=Units!$Q57),IF(Units!$J57&lt;&gt;"",Units!$J57,Mkt!M58),Inputs!$B$15*Mkt!M58+(1-Inputs!$B$15)*MIN(Mkt!M58,L58*(1+Inputs!$B$18))),L58)))</f>
        <v>1850</v>
      </c>
      <c r="N58" s="11" t="n">
        <f aca="false">IF(N$1&lt;Units!$P57,0,IF(AND(Units!$K57=0,N$1=Units!$O57),Units!$R57,IF(AND(N$1&gt;=Units!$Q57,MOD(N$1-Units!$Q57,12)=0),IF(AND(Units!$L57=1,N$1=Units!$Q57),IF(Units!$J57&lt;&gt;"",Units!$J57,Mkt!N58),Inputs!$B$15*Mkt!N58+(1-Inputs!$B$15)*MIN(Mkt!N58,M58*(1+Inputs!$B$18))),M58)))</f>
        <v>1850</v>
      </c>
      <c r="O58" s="11" t="n">
        <f aca="false">IF(O$1&lt;Units!$P57,0,IF(AND(Units!$K57=0,O$1=Units!$O57),Units!$R57,IF(AND(O$1&gt;=Units!$Q57,MOD(O$1-Units!$Q57,12)=0),IF(AND(Units!$L57=1,O$1=Units!$Q57),IF(Units!$J57&lt;&gt;"",Units!$J57,Mkt!O58),Inputs!$B$15*Mkt!O58+(1-Inputs!$B$15)*MIN(Mkt!O58,N58*(1+Inputs!$B$18))),N58)))</f>
        <v>1850</v>
      </c>
      <c r="P58" s="11" t="n">
        <f aca="false">IF(P$1&lt;Units!$P57,0,IF(AND(Units!$K57=0,P$1=Units!$O57),Units!$R57,IF(AND(P$1&gt;=Units!$Q57,MOD(P$1-Units!$Q57,12)=0),IF(AND(Units!$L57=1,P$1=Units!$Q57),IF(Units!$J57&lt;&gt;"",Units!$J57,Mkt!P58),Inputs!$B$15*Mkt!P58+(1-Inputs!$B$15)*MIN(Mkt!P58,O58*(1+Inputs!$B$18))),O58)))</f>
        <v>1850</v>
      </c>
      <c r="Q58" s="11" t="n">
        <f aca="false">IF(Q$1&lt;Units!$P57,0,IF(AND(Units!$K57=0,Q$1=Units!$O57),Units!$R57,IF(AND(Q$1&gt;=Units!$Q57,MOD(Q$1-Units!$Q57,12)=0),IF(AND(Units!$L57=1,Q$1=Units!$Q57),IF(Units!$J57&lt;&gt;"",Units!$J57,Mkt!Q58),Inputs!$B$15*Mkt!Q58+(1-Inputs!$B$15)*MIN(Mkt!Q58,P58*(1+Inputs!$B$18))),P58)))</f>
        <v>1850</v>
      </c>
      <c r="R58" s="11" t="n">
        <f aca="false">IF(R$1&lt;Units!$P57,0,IF(AND(Units!$K57=0,R$1=Units!$O57),Units!$R57,IF(AND(R$1&gt;=Units!$Q57,MOD(R$1-Units!$Q57,12)=0),IF(AND(Units!$L57=1,R$1=Units!$Q57),IF(Units!$J57&lt;&gt;"",Units!$J57,Mkt!R58),Inputs!$B$15*Mkt!R58+(1-Inputs!$B$15)*MIN(Mkt!R58,Q58*(1+Inputs!$B$18))),Q58)))</f>
        <v>1850</v>
      </c>
      <c r="S58" s="11" t="n">
        <f aca="false">IF(S$1&lt;Units!$P57,0,IF(AND(Units!$K57=0,S$1=Units!$O57),Units!$R57,IF(AND(S$1&gt;=Units!$Q57,MOD(S$1-Units!$Q57,12)=0),IF(AND(Units!$L57=1,S$1=Units!$Q57),IF(Units!$J57&lt;&gt;"",Units!$J57,Mkt!S58),Inputs!$B$15*Mkt!S58+(1-Inputs!$B$15)*MIN(Mkt!S58,R58*(1+Inputs!$B$18))),R58)))</f>
        <v>1850</v>
      </c>
      <c r="T58" s="11" t="n">
        <f aca="false">IF(T$1&lt;Units!$P57,0,IF(AND(Units!$K57=0,T$1=Units!$O57),Units!$R57,IF(AND(T$1&gt;=Units!$Q57,MOD(T$1-Units!$Q57,12)=0),IF(AND(Units!$L57=1,T$1=Units!$Q57),IF(Units!$J57&lt;&gt;"",Units!$J57,Mkt!T58),Inputs!$B$15*Mkt!T58+(1-Inputs!$B$15)*MIN(Mkt!T58,S58*(1+Inputs!$B$18))),S58)))</f>
        <v>1850</v>
      </c>
      <c r="U58" s="11" t="n">
        <f aca="false">IF(U$1&lt;Units!$P57,0,IF(AND(Units!$K57=0,U$1=Units!$O57),Units!$R57,IF(AND(U$1&gt;=Units!$Q57,MOD(U$1-Units!$Q57,12)=0),IF(AND(Units!$L57=1,U$1=Units!$Q57),IF(Units!$J57&lt;&gt;"",Units!$J57,Mkt!U58),Inputs!$B$15*Mkt!U58+(1-Inputs!$B$15)*MIN(Mkt!U58,T58*(1+Inputs!$B$18))),T58)))</f>
        <v>1850</v>
      </c>
      <c r="V58" s="11" t="n">
        <f aca="false">IF(V$1&lt;Units!$P57,0,IF(AND(Units!$K57=0,V$1=Units!$O57),Units!$R57,IF(AND(V$1&gt;=Units!$Q57,MOD(V$1-Units!$Q57,12)=0),IF(AND(Units!$L57=1,V$1=Units!$Q57),IF(Units!$J57&lt;&gt;"",Units!$J57,Mkt!V58),Inputs!$B$15*Mkt!V58+(1-Inputs!$B$15)*MIN(Mkt!V58,U58*(1+Inputs!$B$18))),U58)))</f>
        <v>1905.5</v>
      </c>
      <c r="W58" s="11" t="n">
        <f aca="false">IF(W$1&lt;Units!$P57,0,IF(AND(Units!$K57=0,W$1=Units!$O57),Units!$R57,IF(AND(W$1&gt;=Units!$Q57,MOD(W$1-Units!$Q57,12)=0),IF(AND(Units!$L57=1,W$1=Units!$Q57),IF(Units!$J57&lt;&gt;"",Units!$J57,Mkt!W58),Inputs!$B$15*Mkt!W58+(1-Inputs!$B$15)*MIN(Mkt!W58,V58*(1+Inputs!$B$18))),V58)))</f>
        <v>1905.5</v>
      </c>
      <c r="X58" s="11" t="n">
        <f aca="false">IF(X$1&lt;Units!$P57,0,IF(AND(Units!$K57=0,X$1=Units!$O57),Units!$R57,IF(AND(X$1&gt;=Units!$Q57,MOD(X$1-Units!$Q57,12)=0),IF(AND(Units!$L57=1,X$1=Units!$Q57),IF(Units!$J57&lt;&gt;"",Units!$J57,Mkt!X58),Inputs!$B$15*Mkt!X58+(1-Inputs!$B$15)*MIN(Mkt!X58,W58*(1+Inputs!$B$18))),W58)))</f>
        <v>1905.5</v>
      </c>
      <c r="Y58" s="11" t="n">
        <f aca="false">IF(Y$1&lt;Units!$P57,0,IF(AND(Units!$K57=0,Y$1=Units!$O57),Units!$R57,IF(AND(Y$1&gt;=Units!$Q57,MOD(Y$1-Units!$Q57,12)=0),IF(AND(Units!$L57=1,Y$1=Units!$Q57),IF(Units!$J57&lt;&gt;"",Units!$J57,Mkt!Y58),Inputs!$B$15*Mkt!Y58+(1-Inputs!$B$15)*MIN(Mkt!Y58,X58*(1+Inputs!$B$18))),X58)))</f>
        <v>1905.5</v>
      </c>
      <c r="Z58" s="11" t="n">
        <f aca="false">IF(Z$1&lt;Units!$P57,0,IF(AND(Units!$K57=0,Z$1=Units!$O57),Units!$R57,IF(AND(Z$1&gt;=Units!$Q57,MOD(Z$1-Units!$Q57,12)=0),IF(AND(Units!$L57=1,Z$1=Units!$Q57),IF(Units!$J57&lt;&gt;"",Units!$J57,Mkt!Z58),Inputs!$B$15*Mkt!Z58+(1-Inputs!$B$15)*MIN(Mkt!Z58,Y58*(1+Inputs!$B$18))),Y58)))</f>
        <v>1905.5</v>
      </c>
      <c r="AA58" s="11" t="n">
        <f aca="false">IF(AA$1&lt;Units!$P57,0,IF(AND(Units!$K57=0,AA$1=Units!$O57),Units!$R57,IF(AND(AA$1&gt;=Units!$Q57,MOD(AA$1-Units!$Q57,12)=0),IF(AND(Units!$L57=1,AA$1=Units!$Q57),IF(Units!$J57&lt;&gt;"",Units!$J57,Mkt!AA58),Inputs!$B$15*Mkt!AA58+(1-Inputs!$B$15)*MIN(Mkt!AA58,Z58*(1+Inputs!$B$18))),Z58)))</f>
        <v>1905.5</v>
      </c>
      <c r="AB58" s="11" t="n">
        <f aca="false">IF(AB$1&lt;Units!$P57,0,IF(AND(Units!$K57=0,AB$1=Units!$O57),Units!$R57,IF(AND(AB$1&gt;=Units!$Q57,MOD(AB$1-Units!$Q57,12)=0),IF(AND(Units!$L57=1,AB$1=Units!$Q57),IF(Units!$J57&lt;&gt;"",Units!$J57,Mkt!AB58),Inputs!$B$15*Mkt!AB58+(1-Inputs!$B$15)*MIN(Mkt!AB58,AA58*(1+Inputs!$B$18))),AA58)))</f>
        <v>1905.5</v>
      </c>
      <c r="AC58" s="11" t="n">
        <f aca="false">IF(AC$1&lt;Units!$P57,0,IF(AND(Units!$K57=0,AC$1=Units!$O57),Units!$R57,IF(AND(AC$1&gt;=Units!$Q57,MOD(AC$1-Units!$Q57,12)=0),IF(AND(Units!$L57=1,AC$1=Units!$Q57),IF(Units!$J57&lt;&gt;"",Units!$J57,Mkt!AC58),Inputs!$B$15*Mkt!AC58+(1-Inputs!$B$15)*MIN(Mkt!AC58,AB58*(1+Inputs!$B$18))),AB58)))</f>
        <v>1905.5</v>
      </c>
      <c r="AD58" s="11" t="n">
        <f aca="false">IF(AD$1&lt;Units!$P57,0,IF(AND(Units!$K57=0,AD$1=Units!$O57),Units!$R57,IF(AND(AD$1&gt;=Units!$Q57,MOD(AD$1-Units!$Q57,12)=0),IF(AND(Units!$L57=1,AD$1=Units!$Q57),IF(Units!$J57&lt;&gt;"",Units!$J57,Mkt!AD58),Inputs!$B$15*Mkt!AD58+(1-Inputs!$B$15)*MIN(Mkt!AD58,AC58*(1+Inputs!$B$18))),AC58)))</f>
        <v>1905.5</v>
      </c>
      <c r="AE58" s="11" t="n">
        <f aca="false">IF(AE$1&lt;Units!$P57,0,IF(AND(Units!$K57=0,AE$1=Units!$O57),Units!$R57,IF(AND(AE$1&gt;=Units!$Q57,MOD(AE$1-Units!$Q57,12)=0),IF(AND(Units!$L57=1,AE$1=Units!$Q57),IF(Units!$J57&lt;&gt;"",Units!$J57,Mkt!AE58),Inputs!$B$15*Mkt!AE58+(1-Inputs!$B$15)*MIN(Mkt!AE58,AD58*(1+Inputs!$B$18))),AD58)))</f>
        <v>1905.5</v>
      </c>
      <c r="AF58" s="11" t="n">
        <f aca="false">IF(AF$1&lt;Units!$P57,0,IF(AND(Units!$K57=0,AF$1=Units!$O57),Units!$R57,IF(AND(AF$1&gt;=Units!$Q57,MOD(AF$1-Units!$Q57,12)=0),IF(AND(Units!$L57=1,AF$1=Units!$Q57),IF(Units!$J57&lt;&gt;"",Units!$J57,Mkt!AF58),Inputs!$B$15*Mkt!AF58+(1-Inputs!$B$15)*MIN(Mkt!AF58,AE58*(1+Inputs!$B$18))),AE58)))</f>
        <v>1905.5</v>
      </c>
      <c r="AG58" s="11" t="n">
        <f aca="false">IF(AG$1&lt;Units!$P57,0,IF(AND(Units!$K57=0,AG$1=Units!$O57),Units!$R57,IF(AND(AG$1&gt;=Units!$Q57,MOD(AG$1-Units!$Q57,12)=0),IF(AND(Units!$L57=1,AG$1=Units!$Q57),IF(Units!$J57&lt;&gt;"",Units!$J57,Mkt!AG58),Inputs!$B$15*Mkt!AG58+(1-Inputs!$B$15)*MIN(Mkt!AG58,AF58*(1+Inputs!$B$18))),AF58)))</f>
        <v>1905.5</v>
      </c>
      <c r="AH58" s="11" t="n">
        <f aca="false">IF(AH$1&lt;Units!$P57,0,IF(AND(Units!$K57=0,AH$1=Units!$O57),Units!$R57,IF(AND(AH$1&gt;=Units!$Q57,MOD(AH$1-Units!$Q57,12)=0),IF(AND(Units!$L57=1,AH$1=Units!$Q57),IF(Units!$J57&lt;&gt;"",Units!$J57,Mkt!AH58),Inputs!$B$15*Mkt!AH58+(1-Inputs!$B$15)*MIN(Mkt!AH58,AG58*(1+Inputs!$B$18))),AG58)))</f>
        <v>1962.665</v>
      </c>
      <c r="AI58" s="11" t="n">
        <f aca="false">IF(AI$1&lt;Units!$P57,0,IF(AND(Units!$K57=0,AI$1=Units!$O57),Units!$R57,IF(AND(AI$1&gt;=Units!$Q57,MOD(AI$1-Units!$Q57,12)=0),IF(AND(Units!$L57=1,AI$1=Units!$Q57),IF(Units!$J57&lt;&gt;"",Units!$J57,Mkt!AI58),Inputs!$B$15*Mkt!AI58+(1-Inputs!$B$15)*MIN(Mkt!AI58,AH58*(1+Inputs!$B$18))),AH58)))</f>
        <v>1962.665</v>
      </c>
      <c r="AJ58" s="11" t="n">
        <f aca="false">IF(AJ$1&lt;Units!$P57,0,IF(AND(Units!$K57=0,AJ$1=Units!$O57),Units!$R57,IF(AND(AJ$1&gt;=Units!$Q57,MOD(AJ$1-Units!$Q57,12)=0),IF(AND(Units!$L57=1,AJ$1=Units!$Q57),IF(Units!$J57&lt;&gt;"",Units!$J57,Mkt!AJ58),Inputs!$B$15*Mkt!AJ58+(1-Inputs!$B$15)*MIN(Mkt!AJ58,AI58*(1+Inputs!$B$18))),AI58)))</f>
        <v>1962.665</v>
      </c>
      <c r="AK58" s="11" t="n">
        <f aca="false">IF(AK$1&lt;Units!$P57,0,IF(AND(Units!$K57=0,AK$1=Units!$O57),Units!$R57,IF(AND(AK$1&gt;=Units!$Q57,MOD(AK$1-Units!$Q57,12)=0),IF(AND(Units!$L57=1,AK$1=Units!$Q57),IF(Units!$J57&lt;&gt;"",Units!$J57,Mkt!AK58),Inputs!$B$15*Mkt!AK58+(1-Inputs!$B$15)*MIN(Mkt!AK58,AJ58*(1+Inputs!$B$18))),AJ58)))</f>
        <v>1962.665</v>
      </c>
      <c r="AL58" s="11" t="n">
        <f aca="false">IF(AL$1&lt;Units!$P57,0,IF(AND(Units!$K57=0,AL$1=Units!$O57),Units!$R57,IF(AND(AL$1&gt;=Units!$Q57,MOD(AL$1-Units!$Q57,12)=0),IF(AND(Units!$L57=1,AL$1=Units!$Q57),IF(Units!$J57&lt;&gt;"",Units!$J57,Mkt!AL58),Inputs!$B$15*Mkt!AL58+(1-Inputs!$B$15)*MIN(Mkt!AL58,AK58*(1+Inputs!$B$18))),AK58)))</f>
        <v>1962.665</v>
      </c>
      <c r="AM58" s="11" t="n">
        <f aca="false">IF(AM$1&lt;Units!$P57,0,IF(AND(Units!$K57=0,AM$1=Units!$O57),Units!$R57,IF(AND(AM$1&gt;=Units!$Q57,MOD(AM$1-Units!$Q57,12)=0),IF(AND(Units!$L57=1,AM$1=Units!$Q57),IF(Units!$J57&lt;&gt;"",Units!$J57,Mkt!AM58),Inputs!$B$15*Mkt!AM58+(1-Inputs!$B$15)*MIN(Mkt!AM58,AL58*(1+Inputs!$B$18))),AL58)))</f>
        <v>1962.665</v>
      </c>
      <c r="AN58" s="11" t="n">
        <f aca="false">IF(AN$1&lt;Units!$P57,0,IF(AND(Units!$K57=0,AN$1=Units!$O57),Units!$R57,IF(AND(AN$1&gt;=Units!$Q57,MOD(AN$1-Units!$Q57,12)=0),IF(AND(Units!$L57=1,AN$1=Units!$Q57),IF(Units!$J57&lt;&gt;"",Units!$J57,Mkt!AN58),Inputs!$B$15*Mkt!AN58+(1-Inputs!$B$15)*MIN(Mkt!AN58,AM58*(1+Inputs!$B$18))),AM58)))</f>
        <v>1962.665</v>
      </c>
      <c r="AO58" s="11" t="n">
        <f aca="false">IF(AO$1&lt;Units!$P57,0,IF(AND(Units!$K57=0,AO$1=Units!$O57),Units!$R57,IF(AND(AO$1&gt;=Units!$Q57,MOD(AO$1-Units!$Q57,12)=0),IF(AND(Units!$L57=1,AO$1=Units!$Q57),IF(Units!$J57&lt;&gt;"",Units!$J57,Mkt!AO58),Inputs!$B$15*Mkt!AO58+(1-Inputs!$B$15)*MIN(Mkt!AO58,AN58*(1+Inputs!$B$18))),AN58)))</f>
        <v>1962.665</v>
      </c>
      <c r="AP58" s="11" t="n">
        <f aca="false">IF(AP$1&lt;Units!$P57,0,IF(AND(Units!$K57=0,AP$1=Units!$O57),Units!$R57,IF(AND(AP$1&gt;=Units!$Q57,MOD(AP$1-Units!$Q57,12)=0),IF(AND(Units!$L57=1,AP$1=Units!$Q57),IF(Units!$J57&lt;&gt;"",Units!$J57,Mkt!AP58),Inputs!$B$15*Mkt!AP58+(1-Inputs!$B$15)*MIN(Mkt!AP58,AO58*(1+Inputs!$B$18))),AO58)))</f>
        <v>1962.665</v>
      </c>
      <c r="AQ58" s="11" t="n">
        <f aca="false">IF(AQ$1&lt;Units!$P57,0,IF(AND(Units!$K57=0,AQ$1=Units!$O57),Units!$R57,IF(AND(AQ$1&gt;=Units!$Q57,MOD(AQ$1-Units!$Q57,12)=0),IF(AND(Units!$L57=1,AQ$1=Units!$Q57),IF(Units!$J57&lt;&gt;"",Units!$J57,Mkt!AQ58),Inputs!$B$15*Mkt!AQ58+(1-Inputs!$B$15)*MIN(Mkt!AQ58,AP58*(1+Inputs!$B$18))),AP58)))</f>
        <v>1962.665</v>
      </c>
      <c r="AR58" s="11" t="n">
        <f aca="false">IF(AR$1&lt;Units!$P57,0,IF(AND(Units!$K57=0,AR$1=Units!$O57),Units!$R57,IF(AND(AR$1&gt;=Units!$Q57,MOD(AR$1-Units!$Q57,12)=0),IF(AND(Units!$L57=1,AR$1=Units!$Q57),IF(Units!$J57&lt;&gt;"",Units!$J57,Mkt!AR58),Inputs!$B$15*Mkt!AR58+(1-Inputs!$B$15)*MIN(Mkt!AR58,AQ58*(1+Inputs!$B$18))),AQ58)))</f>
        <v>1962.665</v>
      </c>
      <c r="AS58" s="11" t="n">
        <f aca="false">IF(AS$1&lt;Units!$P57,0,IF(AND(Units!$K57=0,AS$1=Units!$O57),Units!$R57,IF(AND(AS$1&gt;=Units!$Q57,MOD(AS$1-Units!$Q57,12)=0),IF(AND(Units!$L57=1,AS$1=Units!$Q57),IF(Units!$J57&lt;&gt;"",Units!$J57,Mkt!AS58),Inputs!$B$15*Mkt!AS58+(1-Inputs!$B$15)*MIN(Mkt!AS58,AR58*(1+Inputs!$B$18))),AR58)))</f>
        <v>1962.665</v>
      </c>
      <c r="AT58" s="11" t="n">
        <f aca="false">IF(AT$1&lt;Units!$P57,0,IF(AND(Units!$K57=0,AT$1=Units!$O57),Units!$R57,IF(AND(AT$1&gt;=Units!$Q57,MOD(AT$1-Units!$Q57,12)=0),IF(AND(Units!$L57=1,AT$1=Units!$Q57),IF(Units!$J57&lt;&gt;"",Units!$J57,Mkt!AT58),Inputs!$B$15*Mkt!AT58+(1-Inputs!$B$15)*MIN(Mkt!AT58,AS58*(1+Inputs!$B$18))),AS58)))</f>
        <v>2021.54495</v>
      </c>
      <c r="AU58" s="11" t="n">
        <f aca="false">IF(AU$1&lt;Units!$P57,0,IF(AND(Units!$K57=0,AU$1=Units!$O57),Units!$R57,IF(AND(AU$1&gt;=Units!$Q57,MOD(AU$1-Units!$Q57,12)=0),IF(AND(Units!$L57=1,AU$1=Units!$Q57),IF(Units!$J57&lt;&gt;"",Units!$J57,Mkt!AU58),Inputs!$B$15*Mkt!AU58+(1-Inputs!$B$15)*MIN(Mkt!AU58,AT58*(1+Inputs!$B$18))),AT58)))</f>
        <v>2021.54495</v>
      </c>
      <c r="AV58" s="11" t="n">
        <f aca="false">IF(AV$1&lt;Units!$P57,0,IF(AND(Units!$K57=0,AV$1=Units!$O57),Units!$R57,IF(AND(AV$1&gt;=Units!$Q57,MOD(AV$1-Units!$Q57,12)=0),IF(AND(Units!$L57=1,AV$1=Units!$Q57),IF(Units!$J57&lt;&gt;"",Units!$J57,Mkt!AV58),Inputs!$B$15*Mkt!AV58+(1-Inputs!$B$15)*MIN(Mkt!AV58,AU58*(1+Inputs!$B$18))),AU58)))</f>
        <v>2021.54495</v>
      </c>
      <c r="AW58" s="11" t="n">
        <f aca="false">IF(AW$1&lt;Units!$P57,0,IF(AND(Units!$K57=0,AW$1=Units!$O57),Units!$R57,IF(AND(AW$1&gt;=Units!$Q57,MOD(AW$1-Units!$Q57,12)=0),IF(AND(Units!$L57=1,AW$1=Units!$Q57),IF(Units!$J57&lt;&gt;"",Units!$J57,Mkt!AW58),Inputs!$B$15*Mkt!AW58+(1-Inputs!$B$15)*MIN(Mkt!AW58,AV58*(1+Inputs!$B$18))),AV58)))</f>
        <v>2021.54495</v>
      </c>
      <c r="AX58" s="11" t="n">
        <f aca="false">IF(AX$1&lt;Units!$P57,0,IF(AND(Units!$K57=0,AX$1=Units!$O57),Units!$R57,IF(AND(AX$1&gt;=Units!$Q57,MOD(AX$1-Units!$Q57,12)=0),IF(AND(Units!$L57=1,AX$1=Units!$Q57),IF(Units!$J57&lt;&gt;"",Units!$J57,Mkt!AX58),Inputs!$B$15*Mkt!AX58+(1-Inputs!$B$15)*MIN(Mkt!AX58,AW58*(1+Inputs!$B$18))),AW58)))</f>
        <v>2021.54495</v>
      </c>
      <c r="AY58" s="11" t="n">
        <f aca="false">IF(AY$1&lt;Units!$P57,0,IF(AND(Units!$K57=0,AY$1=Units!$O57),Units!$R57,IF(AND(AY$1&gt;=Units!$Q57,MOD(AY$1-Units!$Q57,12)=0),IF(AND(Units!$L57=1,AY$1=Units!$Q57),IF(Units!$J57&lt;&gt;"",Units!$J57,Mkt!AY58),Inputs!$B$15*Mkt!AY58+(1-Inputs!$B$15)*MIN(Mkt!AY58,AX58*(1+Inputs!$B$18))),AX58)))</f>
        <v>2021.54495</v>
      </c>
      <c r="AZ58" s="11" t="n">
        <f aca="false">IF(AZ$1&lt;Units!$P57,0,IF(AND(Units!$K57=0,AZ$1=Units!$O57),Units!$R57,IF(AND(AZ$1&gt;=Units!$Q57,MOD(AZ$1-Units!$Q57,12)=0),IF(AND(Units!$L57=1,AZ$1=Units!$Q57),IF(Units!$J57&lt;&gt;"",Units!$J57,Mkt!AZ58),Inputs!$B$15*Mkt!AZ58+(1-Inputs!$B$15)*MIN(Mkt!AZ58,AY58*(1+Inputs!$B$18))),AY58)))</f>
        <v>2021.54495</v>
      </c>
      <c r="BA58" s="11" t="n">
        <f aca="false">IF(BA$1&lt;Units!$P57,0,IF(AND(Units!$K57=0,BA$1=Units!$O57),Units!$R57,IF(AND(BA$1&gt;=Units!$Q57,MOD(BA$1-Units!$Q57,12)=0),IF(AND(Units!$L57=1,BA$1=Units!$Q57),IF(Units!$J57&lt;&gt;"",Units!$J57,Mkt!BA58),Inputs!$B$15*Mkt!BA58+(1-Inputs!$B$15)*MIN(Mkt!BA58,AZ58*(1+Inputs!$B$18))),AZ58)))</f>
        <v>2021.54495</v>
      </c>
      <c r="BB58" s="11" t="n">
        <f aca="false">IF(BB$1&lt;Units!$P57,0,IF(AND(Units!$K57=0,BB$1=Units!$O57),Units!$R57,IF(AND(BB$1&gt;=Units!$Q57,MOD(BB$1-Units!$Q57,12)=0),IF(AND(Units!$L57=1,BB$1=Units!$Q57),IF(Units!$J57&lt;&gt;"",Units!$J57,Mkt!BB58),Inputs!$B$15*Mkt!BB58+(1-Inputs!$B$15)*MIN(Mkt!BB58,BA58*(1+Inputs!$B$18))),BA58)))</f>
        <v>2021.54495</v>
      </c>
      <c r="BC58" s="11" t="n">
        <f aca="false">IF(BC$1&lt;Units!$P57,0,IF(AND(Units!$K57=0,BC$1=Units!$O57),Units!$R57,IF(AND(BC$1&gt;=Units!$Q57,MOD(BC$1-Units!$Q57,12)=0),IF(AND(Units!$L57=1,BC$1=Units!$Q57),IF(Units!$J57&lt;&gt;"",Units!$J57,Mkt!BC58),Inputs!$B$15*Mkt!BC58+(1-Inputs!$B$15)*MIN(Mkt!BC58,BB58*(1+Inputs!$B$18))),BB58)))</f>
        <v>2021.54495</v>
      </c>
      <c r="BD58" s="11" t="n">
        <f aca="false">IF(BD$1&lt;Units!$P57,0,IF(AND(Units!$K57=0,BD$1=Units!$O57),Units!$R57,IF(AND(BD$1&gt;=Units!$Q57,MOD(BD$1-Units!$Q57,12)=0),IF(AND(Units!$L57=1,BD$1=Units!$Q57),IF(Units!$J57&lt;&gt;"",Units!$J57,Mkt!BD58),Inputs!$B$15*Mkt!BD58+(1-Inputs!$B$15)*MIN(Mkt!BD58,BC58*(1+Inputs!$B$18))),BC58)))</f>
        <v>2021.54495</v>
      </c>
      <c r="BE58" s="11" t="n">
        <f aca="false">IF(BE$1&lt;Units!$P57,0,IF(AND(Units!$K57=0,BE$1=Units!$O57),Units!$R57,IF(AND(BE$1&gt;=Units!$Q57,MOD(BE$1-Units!$Q57,12)=0),IF(AND(Units!$L57=1,BE$1=Units!$Q57),IF(Units!$J57&lt;&gt;"",Units!$J57,Mkt!BE58),Inputs!$B$15*Mkt!BE58+(1-Inputs!$B$15)*MIN(Mkt!BE58,BD58*(1+Inputs!$B$18))),BD58)))</f>
        <v>2021.54495</v>
      </c>
      <c r="BF58" s="11" t="n">
        <f aca="false">IF(BF$1&lt;Units!$P57,0,IF(AND(Units!$K57=0,BF$1=Units!$O57),Units!$R57,IF(AND(BF$1&gt;=Units!$Q57,MOD(BF$1-Units!$Q57,12)=0),IF(AND(Units!$L57=1,BF$1=Units!$Q57),IF(Units!$J57&lt;&gt;"",Units!$J57,Mkt!BF58),Inputs!$B$15*Mkt!BF58+(1-Inputs!$B$15)*MIN(Mkt!BF58,BE58*(1+Inputs!$B$18))),BE58)))</f>
        <v>2082.1912985</v>
      </c>
      <c r="BG58" s="11" t="n">
        <f aca="false">IF(BG$1&lt;Units!$P57,0,IF(AND(Units!$K57=0,BG$1=Units!$O57),Units!$R57,IF(AND(BG$1&gt;=Units!$Q57,MOD(BG$1-Units!$Q57,12)=0),IF(AND(Units!$L57=1,BG$1=Units!$Q57),IF(Units!$J57&lt;&gt;"",Units!$J57,Mkt!BG58),Inputs!$B$15*Mkt!BG58+(1-Inputs!$B$15)*MIN(Mkt!BG58,BF58*(1+Inputs!$B$18))),BF58)))</f>
        <v>2082.1912985</v>
      </c>
      <c r="BH58" s="11" t="n">
        <f aca="false">IF(BH$1&lt;Units!$P57,0,IF(AND(Units!$K57=0,BH$1=Units!$O57),Units!$R57,IF(AND(BH$1&gt;=Units!$Q57,MOD(BH$1-Units!$Q57,12)=0),IF(AND(Units!$L57=1,BH$1=Units!$Q57),IF(Units!$J57&lt;&gt;"",Units!$J57,Mkt!BH58),Inputs!$B$15*Mkt!BH58+(1-Inputs!$B$15)*MIN(Mkt!BH58,BG58*(1+Inputs!$B$18))),BG58)))</f>
        <v>2082.1912985</v>
      </c>
      <c r="BI58" s="11" t="n">
        <f aca="false">IF(BI$1&lt;Units!$P57,0,IF(AND(Units!$K57=0,BI$1=Units!$O57),Units!$R57,IF(AND(BI$1&gt;=Units!$Q57,MOD(BI$1-Units!$Q57,12)=0),IF(AND(Units!$L57=1,BI$1=Units!$Q57),IF(Units!$J57&lt;&gt;"",Units!$J57,Mkt!BI58),Inputs!$B$15*Mkt!BI58+(1-Inputs!$B$15)*MIN(Mkt!BI58,BH58*(1+Inputs!$B$18))),BH58)))</f>
        <v>2082.1912985</v>
      </c>
      <c r="BJ58" s="11" t="n">
        <f aca="false">IF(BJ$1&lt;Units!$P57,0,IF(AND(Units!$K57=0,BJ$1=Units!$O57),Units!$R57,IF(AND(BJ$1&gt;=Units!$Q57,MOD(BJ$1-Units!$Q57,12)=0),IF(AND(Units!$L57=1,BJ$1=Units!$Q57),IF(Units!$J57&lt;&gt;"",Units!$J57,Mkt!BJ58),Inputs!$B$15*Mkt!BJ58+(1-Inputs!$B$15)*MIN(Mkt!BJ58,BI58*(1+Inputs!$B$18))),BI58)))</f>
        <v>2082.1912985</v>
      </c>
      <c r="BK58" s="11" t="n">
        <f aca="false">IF(BK$1&lt;Units!$P57,0,IF(AND(Units!$K57=0,BK$1=Units!$O57),Units!$R57,IF(AND(BK$1&gt;=Units!$Q57,MOD(BK$1-Units!$Q57,12)=0),IF(AND(Units!$L57=1,BK$1=Units!$Q57),IF(Units!$J57&lt;&gt;"",Units!$J57,Mkt!BK58),Inputs!$B$15*Mkt!BK58+(1-Inputs!$B$15)*MIN(Mkt!BK58,BJ58*(1+Inputs!$B$18))),BJ58)))</f>
        <v>2082.1912985</v>
      </c>
      <c r="BL58" s="11" t="n">
        <f aca="false">IF(BL$1&lt;Units!$P57,0,IF(AND(Units!$K57=0,BL$1=Units!$O57),Units!$R57,IF(AND(BL$1&gt;=Units!$Q57,MOD(BL$1-Units!$Q57,12)=0),IF(AND(Units!$L57=1,BL$1=Units!$Q57),IF(Units!$J57&lt;&gt;"",Units!$J57,Mkt!BL58),Inputs!$B$15*Mkt!BL58+(1-Inputs!$B$15)*MIN(Mkt!BL58,BK58*(1+Inputs!$B$18))),BK58)))</f>
        <v>2082.1912985</v>
      </c>
      <c r="BM58" s="11" t="n">
        <f aca="false">IF(BM$1&lt;Units!$P57,0,IF(AND(Units!$K57=0,BM$1=Units!$O57),Units!$R57,IF(AND(BM$1&gt;=Units!$Q57,MOD(BM$1-Units!$Q57,12)=0),IF(AND(Units!$L57=1,BM$1=Units!$Q57),IF(Units!$J57&lt;&gt;"",Units!$J57,Mkt!BM58),Inputs!$B$15*Mkt!BM58+(1-Inputs!$B$15)*MIN(Mkt!BM58,BL58*(1+Inputs!$B$18))),BL58)))</f>
        <v>2082.1912985</v>
      </c>
      <c r="BN58" s="11" t="n">
        <f aca="false">IF(BN$1&lt;Units!$P57,0,IF(AND(Units!$K57=0,BN$1=Units!$O57),Units!$R57,IF(AND(BN$1&gt;=Units!$Q57,MOD(BN$1-Units!$Q57,12)=0),IF(AND(Units!$L57=1,BN$1=Units!$Q57),IF(Units!$J57&lt;&gt;"",Units!$J57,Mkt!BN58),Inputs!$B$15*Mkt!BN58+(1-Inputs!$B$15)*MIN(Mkt!BN58,BM58*(1+Inputs!$B$18))),BM58)))</f>
        <v>2082.1912985</v>
      </c>
      <c r="BO58" s="11" t="n">
        <f aca="false">IF(BO$1&lt;Units!$P57,0,IF(AND(Units!$K57=0,BO$1=Units!$O57),Units!$R57,IF(AND(BO$1&gt;=Units!$Q57,MOD(BO$1-Units!$Q57,12)=0),IF(AND(Units!$L57=1,BO$1=Units!$Q57),IF(Units!$J57&lt;&gt;"",Units!$J57,Mkt!BO58),Inputs!$B$15*Mkt!BO58+(1-Inputs!$B$15)*MIN(Mkt!BO58,BN58*(1+Inputs!$B$18))),BN58)))</f>
        <v>2082.1912985</v>
      </c>
      <c r="BP58" s="11" t="n">
        <f aca="false">IF(BP$1&lt;Units!$P57,0,IF(AND(Units!$K57=0,BP$1=Units!$O57),Units!$R57,IF(AND(BP$1&gt;=Units!$Q57,MOD(BP$1-Units!$Q57,12)=0),IF(AND(Units!$L57=1,BP$1=Units!$Q57),IF(Units!$J57&lt;&gt;"",Units!$J57,Mkt!BP58),Inputs!$B$15*Mkt!BP58+(1-Inputs!$B$15)*MIN(Mkt!BP58,BO58*(1+Inputs!$B$18))),BO58)))</f>
        <v>2082.1912985</v>
      </c>
      <c r="BQ58" s="11" t="n">
        <f aca="false">IF(BQ$1&lt;Units!$P57,0,IF(AND(Units!$K57=0,BQ$1=Units!$O57),Units!$R57,IF(AND(BQ$1&gt;=Units!$Q57,MOD(BQ$1-Units!$Q57,12)=0),IF(AND(Units!$L57=1,BQ$1=Units!$Q57),IF(Units!$J57&lt;&gt;"",Units!$J57,Mkt!BQ58),Inputs!$B$15*Mkt!BQ58+(1-Inputs!$B$15)*MIN(Mkt!BQ58,BP58*(1+Inputs!$B$18))),BP58)))</f>
        <v>2082.1912985</v>
      </c>
      <c r="BR58" s="11" t="n">
        <f aca="false">IF(BR$1&lt;Units!$P57,0,IF(AND(Units!$K57=0,BR$1=Units!$O57),Units!$R57,IF(AND(BR$1&gt;=Units!$Q57,MOD(BR$1-Units!$Q57,12)=0),IF(AND(Units!$L57=1,BR$1=Units!$Q57),IF(Units!$J57&lt;&gt;"",Units!$J57,Mkt!BR58),Inputs!$B$15*Mkt!BR58+(1-Inputs!$B$15)*MIN(Mkt!BR58,BQ58*(1+Inputs!$B$18))),BQ58)))</f>
        <v>2144.657037455</v>
      </c>
      <c r="BS58" s="11" t="n">
        <f aca="false">IF(BS$1&lt;Units!$P57,0,IF(AND(Units!$K57=0,BS$1=Units!$O57),Units!$R57,IF(AND(BS$1&gt;=Units!$Q57,MOD(BS$1-Units!$Q57,12)=0),IF(AND(Units!$L57=1,BS$1=Units!$Q57),IF(Units!$J57&lt;&gt;"",Units!$J57,Mkt!BS58),Inputs!$B$15*Mkt!BS58+(1-Inputs!$B$15)*MIN(Mkt!BS58,BR58*(1+Inputs!$B$18))),BR58)))</f>
        <v>2144.657037455</v>
      </c>
      <c r="BT58" s="11" t="n">
        <f aca="false">IF(BT$1&lt;Units!$P57,0,IF(AND(Units!$K57=0,BT$1=Units!$O57),Units!$R57,IF(AND(BT$1&gt;=Units!$Q57,MOD(BT$1-Units!$Q57,12)=0),IF(AND(Units!$L57=1,BT$1=Units!$Q57),IF(Units!$J57&lt;&gt;"",Units!$J57,Mkt!BT58),Inputs!$B$15*Mkt!BT58+(1-Inputs!$B$15)*MIN(Mkt!BT58,BS58*(1+Inputs!$B$18))),BS58)))</f>
        <v>2144.657037455</v>
      </c>
      <c r="BU58" s="11" t="n">
        <f aca="false">IF(BU$1&lt;Units!$P57,0,IF(AND(Units!$K57=0,BU$1=Units!$O57),Units!$R57,IF(AND(BU$1&gt;=Units!$Q57,MOD(BU$1-Units!$Q57,12)=0),IF(AND(Units!$L57=1,BU$1=Units!$Q57),IF(Units!$J57&lt;&gt;"",Units!$J57,Mkt!BU58),Inputs!$B$15*Mkt!BU58+(1-Inputs!$B$15)*MIN(Mkt!BU58,BT58*(1+Inputs!$B$18))),BT58)))</f>
        <v>2144.657037455</v>
      </c>
      <c r="BV58" s="11" t="n">
        <f aca="false">IF(BV$1&lt;Units!$P57,0,IF(AND(Units!$K57=0,BV$1=Units!$O57),Units!$R57,IF(AND(BV$1&gt;=Units!$Q57,MOD(BV$1-Units!$Q57,12)=0),IF(AND(Units!$L57=1,BV$1=Units!$Q57),IF(Units!$J57&lt;&gt;"",Units!$J57,Mkt!BV58),Inputs!$B$15*Mkt!BV58+(1-Inputs!$B$15)*MIN(Mkt!BV58,BU58*(1+Inputs!$B$18))),BU58)))</f>
        <v>2144.657037455</v>
      </c>
      <c r="BW58" s="11" t="n">
        <f aca="false">IF(BW$1&lt;Units!$P57,0,IF(AND(Units!$K57=0,BW$1=Units!$O57),Units!$R57,IF(AND(BW$1&gt;=Units!$Q57,MOD(BW$1-Units!$Q57,12)=0),IF(AND(Units!$L57=1,BW$1=Units!$Q57),IF(Units!$J57&lt;&gt;"",Units!$J57,Mkt!BW58),Inputs!$B$15*Mkt!BW58+(1-Inputs!$B$15)*MIN(Mkt!BW58,BV58*(1+Inputs!$B$18))),BV58)))</f>
        <v>2144.657037455</v>
      </c>
      <c r="BX58" s="11" t="n">
        <f aca="false">IF(BX$1&lt;Units!$P57,0,IF(AND(Units!$K57=0,BX$1=Units!$O57),Units!$R57,IF(AND(BX$1&gt;=Units!$Q57,MOD(BX$1-Units!$Q57,12)=0),IF(AND(Units!$L57=1,BX$1=Units!$Q57),IF(Units!$J57&lt;&gt;"",Units!$J57,Mkt!BX58),Inputs!$B$15*Mkt!BX58+(1-Inputs!$B$15)*MIN(Mkt!BX58,BW58*(1+Inputs!$B$18))),BW58)))</f>
        <v>2144.657037455</v>
      </c>
      <c r="BY58" s="11" t="n">
        <f aca="false">IF(BY$1&lt;Units!$P57,0,IF(AND(Units!$K57=0,BY$1=Units!$O57),Units!$R57,IF(AND(BY$1&gt;=Units!$Q57,MOD(BY$1-Units!$Q57,12)=0),IF(AND(Units!$L57=1,BY$1=Units!$Q57),IF(Units!$J57&lt;&gt;"",Units!$J57,Mkt!BY58),Inputs!$B$15*Mkt!BY58+(1-Inputs!$B$15)*MIN(Mkt!BY58,BX58*(1+Inputs!$B$18))),BX58)))</f>
        <v>2144.657037455</v>
      </c>
      <c r="BZ58" s="11" t="n">
        <f aca="false">IF(BZ$1&lt;Units!$P57,0,IF(AND(Units!$K57=0,BZ$1=Units!$O57),Units!$R57,IF(AND(BZ$1&gt;=Units!$Q57,MOD(BZ$1-Units!$Q57,12)=0),IF(AND(Units!$L57=1,BZ$1=Units!$Q57),IF(Units!$J57&lt;&gt;"",Units!$J57,Mkt!BZ58),Inputs!$B$15*Mkt!BZ58+(1-Inputs!$B$15)*MIN(Mkt!BZ58,BY58*(1+Inputs!$B$18))),BY58)))</f>
        <v>2144.657037455</v>
      </c>
      <c r="CA58" s="11" t="n">
        <f aca="false">IF(CA$1&lt;Units!$P57,0,IF(AND(Units!$K57=0,CA$1=Units!$O57),Units!$R57,IF(AND(CA$1&gt;=Units!$Q57,MOD(CA$1-Units!$Q57,12)=0),IF(AND(Units!$L57=1,CA$1=Units!$Q57),IF(Units!$J57&lt;&gt;"",Units!$J57,Mkt!CA58),Inputs!$B$15*Mkt!CA58+(1-Inputs!$B$15)*MIN(Mkt!CA58,BZ58*(1+Inputs!$B$18))),BZ58)))</f>
        <v>2144.657037455</v>
      </c>
      <c r="CB58" s="11" t="n">
        <f aca="false">IF(CB$1&lt;Units!$P57,0,IF(AND(Units!$K57=0,CB$1=Units!$O57),Units!$R57,IF(AND(CB$1&gt;=Units!$Q57,MOD(CB$1-Units!$Q57,12)=0),IF(AND(Units!$L57=1,CB$1=Units!$Q57),IF(Units!$J57&lt;&gt;"",Units!$J57,Mkt!CB58),Inputs!$B$15*Mkt!CB58+(1-Inputs!$B$15)*MIN(Mkt!CB58,CA58*(1+Inputs!$B$18))),CA58)))</f>
        <v>2144.657037455</v>
      </c>
      <c r="CC58" s="11" t="n">
        <f aca="false">IF(CC$1&lt;Units!$P57,0,IF(AND(Units!$K57=0,CC$1=Units!$O57),Units!$R57,IF(AND(CC$1&gt;=Units!$Q57,MOD(CC$1-Units!$Q57,12)=0),IF(AND(Units!$L57=1,CC$1=Units!$Q57),IF(Units!$J57&lt;&gt;"",Units!$J57,Mkt!CC58),Inputs!$B$15*Mkt!CC58+(1-Inputs!$B$15)*MIN(Mkt!CC58,CB58*(1+Inputs!$B$18))),CB58)))</f>
        <v>2144.657037455</v>
      </c>
      <c r="CD58" s="11" t="n">
        <f aca="false">IF(CD$1&lt;Units!$P57,0,IF(AND(Units!$K57=0,CD$1=Units!$O57),Units!$R57,IF(AND(CD$1&gt;=Units!$Q57,MOD(CD$1-Units!$Q57,12)=0),IF(AND(Units!$L57=1,CD$1=Units!$Q57),IF(Units!$J57&lt;&gt;"",Units!$J57,Mkt!CD58),Inputs!$B$15*Mkt!CD58+(1-Inputs!$B$15)*MIN(Mkt!CD58,CC58*(1+Inputs!$B$18))),CC58)))</f>
        <v>2208.99674857865</v>
      </c>
      <c r="CE58" s="11" t="n">
        <f aca="false">IF(CE$1&lt;Units!$P57,0,IF(AND(Units!$K57=0,CE$1=Units!$O57),Units!$R57,IF(AND(CE$1&gt;=Units!$Q57,MOD(CE$1-Units!$Q57,12)=0),IF(AND(Units!$L57=1,CE$1=Units!$Q57),IF(Units!$J57&lt;&gt;"",Units!$J57,Mkt!CE58),Inputs!$B$15*Mkt!CE58+(1-Inputs!$B$15)*MIN(Mkt!CE58,CD58*(1+Inputs!$B$18))),CD58)))</f>
        <v>2208.99674857865</v>
      </c>
      <c r="CF58" s="11" t="n">
        <f aca="false">IF(CF$1&lt;Units!$P57,0,IF(AND(Units!$K57=0,CF$1=Units!$O57),Units!$R57,IF(AND(CF$1&gt;=Units!$Q57,MOD(CF$1-Units!$Q57,12)=0),IF(AND(Units!$L57=1,CF$1=Units!$Q57),IF(Units!$J57&lt;&gt;"",Units!$J57,Mkt!CF58),Inputs!$B$15*Mkt!CF58+(1-Inputs!$B$15)*MIN(Mkt!CF58,CE58*(1+Inputs!$B$18))),CE58)))</f>
        <v>2208.99674857865</v>
      </c>
      <c r="CG58" s="11" t="n">
        <f aca="false">IF(CG$1&lt;Units!$P57,0,IF(AND(Units!$K57=0,CG$1=Units!$O57),Units!$R57,IF(AND(CG$1&gt;=Units!$Q57,MOD(CG$1-Units!$Q57,12)=0),IF(AND(Units!$L57=1,CG$1=Units!$Q57),IF(Units!$J57&lt;&gt;"",Units!$J57,Mkt!CG58),Inputs!$B$15*Mkt!CG58+(1-Inputs!$B$15)*MIN(Mkt!CG58,CF58*(1+Inputs!$B$18))),CF58)))</f>
        <v>2208.99674857865</v>
      </c>
      <c r="CH58" s="11" t="n">
        <f aca="false">IF(CH$1&lt;Units!$P57,0,IF(AND(Units!$K57=0,CH$1=Units!$O57),Units!$R57,IF(AND(CH$1&gt;=Units!$Q57,MOD(CH$1-Units!$Q57,12)=0),IF(AND(Units!$L57=1,CH$1=Units!$Q57),IF(Units!$J57&lt;&gt;"",Units!$J57,Mkt!CH58),Inputs!$B$15*Mkt!CH58+(1-Inputs!$B$15)*MIN(Mkt!CH58,CG58*(1+Inputs!$B$18))),CG58)))</f>
        <v>2208.99674857865</v>
      </c>
      <c r="CI58" s="11" t="n">
        <f aca="false">IF(CI$1&lt;Units!$P57,0,IF(AND(Units!$K57=0,CI$1=Units!$O57),Units!$R57,IF(AND(CI$1&gt;=Units!$Q57,MOD(CI$1-Units!$Q57,12)=0),IF(AND(Units!$L57=1,CI$1=Units!$Q57),IF(Units!$J57&lt;&gt;"",Units!$J57,Mkt!CI58),Inputs!$B$15*Mkt!CI58+(1-Inputs!$B$15)*MIN(Mkt!CI58,CH58*(1+Inputs!$B$18))),CH58)))</f>
        <v>2208.99674857865</v>
      </c>
      <c r="CJ58" s="11" t="n">
        <f aca="false">IF(CJ$1&lt;Units!$P57,0,IF(AND(Units!$K57=0,CJ$1=Units!$O57),Units!$R57,IF(AND(CJ$1&gt;=Units!$Q57,MOD(CJ$1-Units!$Q57,12)=0),IF(AND(Units!$L57=1,CJ$1=Units!$Q57),IF(Units!$J57&lt;&gt;"",Units!$J57,Mkt!CJ58),Inputs!$B$15*Mkt!CJ58+(1-Inputs!$B$15)*MIN(Mkt!CJ58,CI58*(1+Inputs!$B$18))),CI58)))</f>
        <v>2208.99674857865</v>
      </c>
      <c r="CK58" s="11" t="n">
        <f aca="false">IF(CK$1&lt;Units!$P57,0,IF(AND(Units!$K57=0,CK$1=Units!$O57),Units!$R57,IF(AND(CK$1&gt;=Units!$Q57,MOD(CK$1-Units!$Q57,12)=0),IF(AND(Units!$L57=1,CK$1=Units!$Q57),IF(Units!$J57&lt;&gt;"",Units!$J57,Mkt!CK58),Inputs!$B$15*Mkt!CK58+(1-Inputs!$B$15)*MIN(Mkt!CK58,CJ58*(1+Inputs!$B$18))),CJ58)))</f>
        <v>2208.99674857865</v>
      </c>
      <c r="CL58" s="11" t="n">
        <f aca="false">IF(CL$1&lt;Units!$P57,0,IF(AND(Units!$K57=0,CL$1=Units!$O57),Units!$R57,IF(AND(CL$1&gt;=Units!$Q57,MOD(CL$1-Units!$Q57,12)=0),IF(AND(Units!$L57=1,CL$1=Units!$Q57),IF(Units!$J57&lt;&gt;"",Units!$J57,Mkt!CL58),Inputs!$B$15*Mkt!CL58+(1-Inputs!$B$15)*MIN(Mkt!CL58,CK58*(1+Inputs!$B$18))),CK58)))</f>
        <v>2208.99674857865</v>
      </c>
      <c r="CM58" s="11" t="n">
        <f aca="false">IF(CM$1&lt;Units!$P57,0,IF(AND(Units!$K57=0,CM$1=Units!$O57),Units!$R57,IF(AND(CM$1&gt;=Units!$Q57,MOD(CM$1-Units!$Q57,12)=0),IF(AND(Units!$L57=1,CM$1=Units!$Q57),IF(Units!$J57&lt;&gt;"",Units!$J57,Mkt!CM58),Inputs!$B$15*Mkt!CM58+(1-Inputs!$B$15)*MIN(Mkt!CM58,CL58*(1+Inputs!$B$18))),CL58)))</f>
        <v>2208.99674857865</v>
      </c>
      <c r="CN58" s="11" t="n">
        <f aca="false">IF(CN$1&lt;Units!$P57,0,IF(AND(Units!$K57=0,CN$1=Units!$O57),Units!$R57,IF(AND(CN$1&gt;=Units!$Q57,MOD(CN$1-Units!$Q57,12)=0),IF(AND(Units!$L57=1,CN$1=Units!$Q57),IF(Units!$J57&lt;&gt;"",Units!$J57,Mkt!CN58),Inputs!$B$15*Mkt!CN58+(1-Inputs!$B$15)*MIN(Mkt!CN58,CM58*(1+Inputs!$B$18))),CM58)))</f>
        <v>2208.99674857865</v>
      </c>
      <c r="CO58" s="11" t="n">
        <f aca="false">IF(CO$1&lt;Units!$P57,0,IF(AND(Units!$K57=0,CO$1=Units!$O57),Units!$R57,IF(AND(CO$1&gt;=Units!$Q57,MOD(CO$1-Units!$Q57,12)=0),IF(AND(Units!$L57=1,CO$1=Units!$Q57),IF(Units!$J57&lt;&gt;"",Units!$J57,Mkt!CO58),Inputs!$B$15*Mkt!CO58+(1-Inputs!$B$15)*MIN(Mkt!CO58,CN58*(1+Inputs!$B$18))),CN58)))</f>
        <v>2208.99674857865</v>
      </c>
      <c r="CP58" s="11" t="n">
        <f aca="false">IF(CP$1&lt;Units!$P57,0,IF(AND(Units!$K57=0,CP$1=Units!$O57),Units!$R57,IF(AND(CP$1&gt;=Units!$Q57,MOD(CP$1-Units!$Q57,12)=0),IF(AND(Units!$L57=1,CP$1=Units!$Q57),IF(Units!$J57&lt;&gt;"",Units!$J57,Mkt!CP58),Inputs!$B$15*Mkt!CP58+(1-Inputs!$B$15)*MIN(Mkt!CP58,CO58*(1+Inputs!$B$18))),CO58)))</f>
        <v>2275.26665103601</v>
      </c>
      <c r="CQ58" s="11" t="n">
        <f aca="false">IF(CQ$1&lt;Units!$P57,0,IF(AND(Units!$K57=0,CQ$1=Units!$O57),Units!$R57,IF(AND(CQ$1&gt;=Units!$Q57,MOD(CQ$1-Units!$Q57,12)=0),IF(AND(Units!$L57=1,CQ$1=Units!$Q57),IF(Units!$J57&lt;&gt;"",Units!$J57,Mkt!CQ58),Inputs!$B$15*Mkt!CQ58+(1-Inputs!$B$15)*MIN(Mkt!CQ58,CP58*(1+Inputs!$B$18))),CP58)))</f>
        <v>2275.26665103601</v>
      </c>
      <c r="CR58" s="11" t="n">
        <f aca="false">IF(CR$1&lt;Units!$P57,0,IF(AND(Units!$K57=0,CR$1=Units!$O57),Units!$R57,IF(AND(CR$1&gt;=Units!$Q57,MOD(CR$1-Units!$Q57,12)=0),IF(AND(Units!$L57=1,CR$1=Units!$Q57),IF(Units!$J57&lt;&gt;"",Units!$J57,Mkt!CR58),Inputs!$B$15*Mkt!CR58+(1-Inputs!$B$15)*MIN(Mkt!CR58,CQ58*(1+Inputs!$B$18))),CQ58)))</f>
        <v>2275.26665103601</v>
      </c>
      <c r="CS58" s="11" t="n">
        <f aca="false">IF(CS$1&lt;Units!$P57,0,IF(AND(Units!$K57=0,CS$1=Units!$O57),Units!$R57,IF(AND(CS$1&gt;=Units!$Q57,MOD(CS$1-Units!$Q57,12)=0),IF(AND(Units!$L57=1,CS$1=Units!$Q57),IF(Units!$J57&lt;&gt;"",Units!$J57,Mkt!CS58),Inputs!$B$15*Mkt!CS58+(1-Inputs!$B$15)*MIN(Mkt!CS58,CR58*(1+Inputs!$B$18))),CR58)))</f>
        <v>2275.26665103601</v>
      </c>
      <c r="CT58" s="11" t="n">
        <f aca="false">IF(CT$1&lt;Units!$P57,0,IF(AND(Units!$K57=0,CT$1=Units!$O57),Units!$R57,IF(AND(CT$1&gt;=Units!$Q57,MOD(CT$1-Units!$Q57,12)=0),IF(AND(Units!$L57=1,CT$1=Units!$Q57),IF(Units!$J57&lt;&gt;"",Units!$J57,Mkt!CT58),Inputs!$B$15*Mkt!CT58+(1-Inputs!$B$15)*MIN(Mkt!CT58,CS58*(1+Inputs!$B$18))),CS58)))</f>
        <v>2275.26665103601</v>
      </c>
      <c r="CU58" s="11" t="n">
        <f aca="false">IF(CU$1&lt;Units!$P57,0,IF(AND(Units!$K57=0,CU$1=Units!$O57),Units!$R57,IF(AND(CU$1&gt;=Units!$Q57,MOD(CU$1-Units!$Q57,12)=0),IF(AND(Units!$L57=1,CU$1=Units!$Q57),IF(Units!$J57&lt;&gt;"",Units!$J57,Mkt!CU58),Inputs!$B$15*Mkt!CU58+(1-Inputs!$B$15)*MIN(Mkt!CU58,CT58*(1+Inputs!$B$18))),CT58)))</f>
        <v>2275.26665103601</v>
      </c>
      <c r="CV58" s="11" t="n">
        <f aca="false">IF(CV$1&lt;Units!$P57,0,IF(AND(Units!$K57=0,CV$1=Units!$O57),Units!$R57,IF(AND(CV$1&gt;=Units!$Q57,MOD(CV$1-Units!$Q57,12)=0),IF(AND(Units!$L57=1,CV$1=Units!$Q57),IF(Units!$J57&lt;&gt;"",Units!$J57,Mkt!CV58),Inputs!$B$15*Mkt!CV58+(1-Inputs!$B$15)*MIN(Mkt!CV58,CU58*(1+Inputs!$B$18))),CU58)))</f>
        <v>2275.26665103601</v>
      </c>
      <c r="CW58" s="11" t="n">
        <f aca="false">IF(CW$1&lt;Units!$P57,0,IF(AND(Units!$K57=0,CW$1=Units!$O57),Units!$R57,IF(AND(CW$1&gt;=Units!$Q57,MOD(CW$1-Units!$Q57,12)=0),IF(AND(Units!$L57=1,CW$1=Units!$Q57),IF(Units!$J57&lt;&gt;"",Units!$J57,Mkt!CW58),Inputs!$B$15*Mkt!CW58+(1-Inputs!$B$15)*MIN(Mkt!CW58,CV58*(1+Inputs!$B$18))),CV58)))</f>
        <v>2275.26665103601</v>
      </c>
      <c r="CX58" s="11" t="n">
        <f aca="false">IF(CX$1&lt;Units!$P57,0,IF(AND(Units!$K57=0,CX$1=Units!$O57),Units!$R57,IF(AND(CX$1&gt;=Units!$Q57,MOD(CX$1-Units!$Q57,12)=0),IF(AND(Units!$L57=1,CX$1=Units!$Q57),IF(Units!$J57&lt;&gt;"",Units!$J57,Mkt!CX58),Inputs!$B$15*Mkt!CX58+(1-Inputs!$B$15)*MIN(Mkt!CX58,CW58*(1+Inputs!$B$18))),CW58)))</f>
        <v>2275.26665103601</v>
      </c>
      <c r="CY58" s="11" t="n">
        <f aca="false">IF(CY$1&lt;Units!$P57,0,IF(AND(Units!$K57=0,CY$1=Units!$O57),Units!$R57,IF(AND(CY$1&gt;=Units!$Q57,MOD(CY$1-Units!$Q57,12)=0),IF(AND(Units!$L57=1,CY$1=Units!$Q57),IF(Units!$J57&lt;&gt;"",Units!$J57,Mkt!CY58),Inputs!$B$15*Mkt!CY58+(1-Inputs!$B$15)*MIN(Mkt!CY58,CX58*(1+Inputs!$B$18))),CX58)))</f>
        <v>2275.26665103601</v>
      </c>
      <c r="CZ58" s="11" t="n">
        <f aca="false">IF(CZ$1&lt;Units!$P57,0,IF(AND(Units!$K57=0,CZ$1=Units!$O57),Units!$R57,IF(AND(CZ$1&gt;=Units!$Q57,MOD(CZ$1-Units!$Q57,12)=0),IF(AND(Units!$L57=1,CZ$1=Units!$Q57),IF(Units!$J57&lt;&gt;"",Units!$J57,Mkt!CZ58),Inputs!$B$15*Mkt!CZ58+(1-Inputs!$B$15)*MIN(Mkt!CZ58,CY58*(1+Inputs!$B$18))),CY58)))</f>
        <v>2275.26665103601</v>
      </c>
      <c r="DA58" s="11" t="n">
        <f aca="false">IF(DA$1&lt;Units!$P57,0,IF(AND(Units!$K57=0,DA$1=Units!$O57),Units!$R57,IF(AND(DA$1&gt;=Units!$Q57,MOD(DA$1-Units!$Q57,12)=0),IF(AND(Units!$L57=1,DA$1=Units!$Q57),IF(Units!$J57&lt;&gt;"",Units!$J57,Mkt!DA58),Inputs!$B$15*Mkt!DA58+(1-Inputs!$B$15)*MIN(Mkt!DA58,CZ58*(1+Inputs!$B$18))),CZ58)))</f>
        <v>2275.26665103601</v>
      </c>
      <c r="DB58" s="11" t="n">
        <f aca="false">IF(DB$1&lt;Units!$P57,0,IF(AND(Units!$K57=0,DB$1=Units!$O57),Units!$R57,IF(AND(DB$1&gt;=Units!$Q57,MOD(DB$1-Units!$Q57,12)=0),IF(AND(Units!$L57=1,DB$1=Units!$Q57),IF(Units!$J57&lt;&gt;"",Units!$J57,Mkt!DB58),Inputs!$B$15*Mkt!DB58+(1-Inputs!$B$15)*MIN(Mkt!DB58,DA58*(1+Inputs!$B$18))),DA58)))</f>
        <v>2343.52465056709</v>
      </c>
      <c r="DC58" s="11" t="n">
        <f aca="false">IF(DC$1&lt;Units!$P57,0,IF(AND(Units!$K57=0,DC$1=Units!$O57),Units!$R57,IF(AND(DC$1&gt;=Units!$Q57,MOD(DC$1-Units!$Q57,12)=0),IF(AND(Units!$L57=1,DC$1=Units!$Q57),IF(Units!$J57&lt;&gt;"",Units!$J57,Mkt!DC58),Inputs!$B$15*Mkt!DC58+(1-Inputs!$B$15)*MIN(Mkt!DC58,DB58*(1+Inputs!$B$18))),DB58)))</f>
        <v>2343.52465056709</v>
      </c>
      <c r="DD58" s="11" t="n">
        <f aca="false">IF(DD$1&lt;Units!$P57,0,IF(AND(Units!$K57=0,DD$1=Units!$O57),Units!$R57,IF(AND(DD$1&gt;=Units!$Q57,MOD(DD$1-Units!$Q57,12)=0),IF(AND(Units!$L57=1,DD$1=Units!$Q57),IF(Units!$J57&lt;&gt;"",Units!$J57,Mkt!DD58),Inputs!$B$15*Mkt!DD58+(1-Inputs!$B$15)*MIN(Mkt!DD58,DC58*(1+Inputs!$B$18))),DC58)))</f>
        <v>2343.52465056709</v>
      </c>
      <c r="DE58" s="11" t="n">
        <f aca="false">IF(DE$1&lt;Units!$P57,0,IF(AND(Units!$K57=0,DE$1=Units!$O57),Units!$R57,IF(AND(DE$1&gt;=Units!$Q57,MOD(DE$1-Units!$Q57,12)=0),IF(AND(Units!$L57=1,DE$1=Units!$Q57),IF(Units!$J57&lt;&gt;"",Units!$J57,Mkt!DE58),Inputs!$B$15*Mkt!DE58+(1-Inputs!$B$15)*MIN(Mkt!DE58,DD58*(1+Inputs!$B$18))),DD58)))</f>
        <v>2343.52465056709</v>
      </c>
      <c r="DF58" s="11" t="n">
        <f aca="false">IF(DF$1&lt;Units!$P57,0,IF(AND(Units!$K57=0,DF$1=Units!$O57),Units!$R57,IF(AND(DF$1&gt;=Units!$Q57,MOD(DF$1-Units!$Q57,12)=0),IF(AND(Units!$L57=1,DF$1=Units!$Q57),IF(Units!$J57&lt;&gt;"",Units!$J57,Mkt!DF58),Inputs!$B$15*Mkt!DF58+(1-Inputs!$B$15)*MIN(Mkt!DF58,DE58*(1+Inputs!$B$18))),DE58)))</f>
        <v>2343.52465056709</v>
      </c>
      <c r="DG58" s="11" t="n">
        <f aca="false">IF(DG$1&lt;Units!$P57,0,IF(AND(Units!$K57=0,DG$1=Units!$O57),Units!$R57,IF(AND(DG$1&gt;=Units!$Q57,MOD(DG$1-Units!$Q57,12)=0),IF(AND(Units!$L57=1,DG$1=Units!$Q57),IF(Units!$J57&lt;&gt;"",Units!$J57,Mkt!DG58),Inputs!$B$15*Mkt!DG58+(1-Inputs!$B$15)*MIN(Mkt!DG58,DF58*(1+Inputs!$B$18))),DF58)))</f>
        <v>2343.52465056709</v>
      </c>
      <c r="DH58" s="11" t="n">
        <f aca="false">IF(DH$1&lt;Units!$P57,0,IF(AND(Units!$K57=0,DH$1=Units!$O57),Units!$R57,IF(AND(DH$1&gt;=Units!$Q57,MOD(DH$1-Units!$Q57,12)=0),IF(AND(Units!$L57=1,DH$1=Units!$Q57),IF(Units!$J57&lt;&gt;"",Units!$J57,Mkt!DH58),Inputs!$B$15*Mkt!DH58+(1-Inputs!$B$15)*MIN(Mkt!DH58,DG58*(1+Inputs!$B$18))),DG58)))</f>
        <v>2343.52465056709</v>
      </c>
      <c r="DI58" s="11" t="n">
        <f aca="false">IF(DI$1&lt;Units!$P57,0,IF(AND(Units!$K57=0,DI$1=Units!$O57),Units!$R57,IF(AND(DI$1&gt;=Units!$Q57,MOD(DI$1-Units!$Q57,12)=0),IF(AND(Units!$L57=1,DI$1=Units!$Q57),IF(Units!$J57&lt;&gt;"",Units!$J57,Mkt!DI58),Inputs!$B$15*Mkt!DI58+(1-Inputs!$B$15)*MIN(Mkt!DI58,DH58*(1+Inputs!$B$18))),DH58)))</f>
        <v>2343.52465056709</v>
      </c>
      <c r="DJ58" s="11" t="n">
        <f aca="false">IF(DJ$1&lt;Units!$P57,0,IF(AND(Units!$K57=0,DJ$1=Units!$O57),Units!$R57,IF(AND(DJ$1&gt;=Units!$Q57,MOD(DJ$1-Units!$Q57,12)=0),IF(AND(Units!$L57=1,DJ$1=Units!$Q57),IF(Units!$J57&lt;&gt;"",Units!$J57,Mkt!DJ58),Inputs!$B$15*Mkt!DJ58+(1-Inputs!$B$15)*MIN(Mkt!DJ58,DI58*(1+Inputs!$B$18))),DI58)))</f>
        <v>2343.52465056709</v>
      </c>
      <c r="DK58" s="11" t="n">
        <f aca="false">IF(DK$1&lt;Units!$P57,0,IF(AND(Units!$K57=0,DK$1=Units!$O57),Units!$R57,IF(AND(DK$1&gt;=Units!$Q57,MOD(DK$1-Units!$Q57,12)=0),IF(AND(Units!$L57=1,DK$1=Units!$Q57),IF(Units!$J57&lt;&gt;"",Units!$J57,Mkt!DK58),Inputs!$B$15*Mkt!DK58+(1-Inputs!$B$15)*MIN(Mkt!DK58,DJ58*(1+Inputs!$B$18))),DJ58)))</f>
        <v>2343.52465056709</v>
      </c>
      <c r="DL58" s="11" t="n">
        <f aca="false">IF(DL$1&lt;Units!$P57,0,IF(AND(Units!$K57=0,DL$1=Units!$O57),Units!$R57,IF(AND(DL$1&gt;=Units!$Q57,MOD(DL$1-Units!$Q57,12)=0),IF(AND(Units!$L57=1,DL$1=Units!$Q57),IF(Units!$J57&lt;&gt;"",Units!$J57,Mkt!DL58),Inputs!$B$15*Mkt!DL58+(1-Inputs!$B$15)*MIN(Mkt!DL58,DK58*(1+Inputs!$B$18))),DK58)))</f>
        <v>2343.52465056709</v>
      </c>
      <c r="DM58" s="11" t="n">
        <f aca="false">IF(DM$1&lt;Units!$P57,0,IF(AND(Units!$K57=0,DM$1=Units!$O57),Units!$R57,IF(AND(DM$1&gt;=Units!$Q57,MOD(DM$1-Units!$Q57,12)=0),IF(AND(Units!$L57=1,DM$1=Units!$Q57),IF(Units!$J57&lt;&gt;"",Units!$J57,Mkt!DM58),Inputs!$B$15*Mkt!DM58+(1-Inputs!$B$15)*MIN(Mkt!DM58,DL58*(1+Inputs!$B$18))),DL58)))</f>
        <v>2343.52465056709</v>
      </c>
      <c r="DN58" s="11" t="n">
        <f aca="false">IF(DN$1&lt;Units!$P57,0,IF(AND(Units!$K57=0,DN$1=Units!$O57),Units!$R57,IF(AND(DN$1&gt;=Units!$Q57,MOD(DN$1-Units!$Q57,12)=0),IF(AND(Units!$L57=1,DN$1=Units!$Q57),IF(Units!$J57&lt;&gt;"",Units!$J57,Mkt!DN58),Inputs!$B$15*Mkt!DN58+(1-Inputs!$B$15)*MIN(Mkt!DN58,DM58*(1+Inputs!$B$18))),DM58)))</f>
        <v>2413.8303900841</v>
      </c>
      <c r="DO58" s="11" t="n">
        <f aca="false">IF(DO$1&lt;Units!$P57,0,IF(AND(Units!$K57=0,DO$1=Units!$O57),Units!$R57,IF(AND(DO$1&gt;=Units!$Q57,MOD(DO$1-Units!$Q57,12)=0),IF(AND(Units!$L57=1,DO$1=Units!$Q57),IF(Units!$J57&lt;&gt;"",Units!$J57,Mkt!DO58),Inputs!$B$15*Mkt!DO58+(1-Inputs!$B$15)*MIN(Mkt!DO58,DN58*(1+Inputs!$B$18))),DN58)))</f>
        <v>2413.8303900841</v>
      </c>
      <c r="DP58" s="11" t="n">
        <f aca="false">IF(DP$1&lt;Units!$P57,0,IF(AND(Units!$K57=0,DP$1=Units!$O57),Units!$R57,IF(AND(DP$1&gt;=Units!$Q57,MOD(DP$1-Units!$Q57,12)=0),IF(AND(Units!$L57=1,DP$1=Units!$Q57),IF(Units!$J57&lt;&gt;"",Units!$J57,Mkt!DP58),Inputs!$B$15*Mkt!DP58+(1-Inputs!$B$15)*MIN(Mkt!DP58,DO58*(1+Inputs!$B$18))),DO58)))</f>
        <v>2413.8303900841</v>
      </c>
      <c r="DQ58" s="11" t="n">
        <f aca="false">IF(DQ$1&lt;Units!$P57,0,IF(AND(Units!$K57=0,DQ$1=Units!$O57),Units!$R57,IF(AND(DQ$1&gt;=Units!$Q57,MOD(DQ$1-Units!$Q57,12)=0),IF(AND(Units!$L57=1,DQ$1=Units!$Q57),IF(Units!$J57&lt;&gt;"",Units!$J57,Mkt!DQ58),Inputs!$B$15*Mkt!DQ58+(1-Inputs!$B$15)*MIN(Mkt!DQ58,DP58*(1+Inputs!$B$18))),DP58)))</f>
        <v>2413.8303900841</v>
      </c>
      <c r="DR58" s="11" t="n">
        <f aca="false">IF(DR$1&lt;Units!$P57,0,IF(AND(Units!$K57=0,DR$1=Units!$O57),Units!$R57,IF(AND(DR$1&gt;=Units!$Q57,MOD(DR$1-Units!$Q57,12)=0),IF(AND(Units!$L57=1,DR$1=Units!$Q57),IF(Units!$J57&lt;&gt;"",Units!$J57,Mkt!DR58),Inputs!$B$15*Mkt!DR58+(1-Inputs!$B$15)*MIN(Mkt!DR58,DQ58*(1+Inputs!$B$18))),DQ58)))</f>
        <v>2413.8303900841</v>
      </c>
      <c r="DS58" s="11" t="n">
        <f aca="false">IF(DS$1&lt;Units!$P57,0,IF(AND(Units!$K57=0,DS$1=Units!$O57),Units!$R57,IF(AND(DS$1&gt;=Units!$Q57,MOD(DS$1-Units!$Q57,12)=0),IF(AND(Units!$L57=1,DS$1=Units!$Q57),IF(Units!$J57&lt;&gt;"",Units!$J57,Mkt!DS58),Inputs!$B$15*Mkt!DS58+(1-Inputs!$B$15)*MIN(Mkt!DS58,DR58*(1+Inputs!$B$18))),DR58)))</f>
        <v>2413.8303900841</v>
      </c>
      <c r="DT58" s="11" t="n">
        <f aca="false">IF(DT$1&lt;Units!$P57,0,IF(AND(Units!$K57=0,DT$1=Units!$O57),Units!$R57,IF(AND(DT$1&gt;=Units!$Q57,MOD(DT$1-Units!$Q57,12)=0),IF(AND(Units!$L57=1,DT$1=Units!$Q57),IF(Units!$J57&lt;&gt;"",Units!$J57,Mkt!DT58),Inputs!$B$15*Mkt!DT58+(1-Inputs!$B$15)*MIN(Mkt!DT58,DS58*(1+Inputs!$B$18))),DS58)))</f>
        <v>2413.8303900841</v>
      </c>
      <c r="DU58" s="11" t="n">
        <f aca="false">IF(DU$1&lt;Units!$P57,0,IF(AND(Units!$K57=0,DU$1=Units!$O57),Units!$R57,IF(AND(DU$1&gt;=Units!$Q57,MOD(DU$1-Units!$Q57,12)=0),IF(AND(Units!$L57=1,DU$1=Units!$Q57),IF(Units!$J57&lt;&gt;"",Units!$J57,Mkt!DU58),Inputs!$B$15*Mkt!DU58+(1-Inputs!$B$15)*MIN(Mkt!DU58,DT58*(1+Inputs!$B$18))),DT58)))</f>
        <v>2413.8303900841</v>
      </c>
      <c r="DV58" s="11" t="n">
        <f aca="false">IF(DV$1&lt;Units!$P57,0,IF(AND(Units!$K57=0,DV$1=Units!$O57),Units!$R57,IF(AND(DV$1&gt;=Units!$Q57,MOD(DV$1-Units!$Q57,12)=0),IF(AND(Units!$L57=1,DV$1=Units!$Q57),IF(Units!$J57&lt;&gt;"",Units!$J57,Mkt!DV58),Inputs!$B$15*Mkt!DV58+(1-Inputs!$B$15)*MIN(Mkt!DV58,DU58*(1+Inputs!$B$18))),DU58)))</f>
        <v>2413.8303900841</v>
      </c>
      <c r="DW58" s="11" t="n">
        <f aca="false">IF(DW$1&lt;Units!$P57,0,IF(AND(Units!$K57=0,DW$1=Units!$O57),Units!$R57,IF(AND(DW$1&gt;=Units!$Q57,MOD(DW$1-Units!$Q57,12)=0),IF(AND(Units!$L57=1,DW$1=Units!$Q57),IF(Units!$J57&lt;&gt;"",Units!$J57,Mkt!DW58),Inputs!$B$15*Mkt!DW58+(1-Inputs!$B$15)*MIN(Mkt!DW58,DV58*(1+Inputs!$B$18))),DV58)))</f>
        <v>2413.8303900841</v>
      </c>
      <c r="DX58" s="11" t="n">
        <f aca="false">IF(DX$1&lt;Units!$P57,0,IF(AND(Units!$K57=0,DX$1=Units!$O57),Units!$R57,IF(AND(DX$1&gt;=Units!$Q57,MOD(DX$1-Units!$Q57,12)=0),IF(AND(Units!$L57=1,DX$1=Units!$Q57),IF(Units!$J57&lt;&gt;"",Units!$J57,Mkt!DX58),Inputs!$B$15*Mkt!DX58+(1-Inputs!$B$15)*MIN(Mkt!DX58,DW58*(1+Inputs!$B$18))),DW58)))</f>
        <v>2413.8303900841</v>
      </c>
      <c r="DY58" s="11" t="n">
        <f aca="false">IF(DY$1&lt;Units!$P57,0,IF(AND(Units!$K57=0,DY$1=Units!$O57),Units!$R57,IF(AND(DY$1&gt;=Units!$Q57,MOD(DY$1-Units!$Q57,12)=0),IF(AND(Units!$L57=1,DY$1=Units!$Q57),IF(Units!$J57&lt;&gt;"",Units!$J57,Mkt!DY58),Inputs!$B$15*Mkt!DY58+(1-Inputs!$B$15)*MIN(Mkt!DY58,DX58*(1+Inputs!$B$18))),DX58)))</f>
        <v>2413.8303900841</v>
      </c>
      <c r="DZ58" s="11" t="n">
        <f aca="false">IF(DZ$1&lt;Units!$P57,0,IF(AND(Units!$K57=0,DZ$1=Units!$O57),Units!$R57,IF(AND(DZ$1&gt;=Units!$Q57,MOD(DZ$1-Units!$Q57,12)=0),IF(AND(Units!$L57=1,DZ$1=Units!$Q57),IF(Units!$J57&lt;&gt;"",Units!$J57,Mkt!DZ58),Inputs!$B$15*Mkt!DZ58+(1-Inputs!$B$15)*MIN(Mkt!DZ58,DY58*(1+Inputs!$B$18))),DY58)))</f>
        <v>2486.24530178663</v>
      </c>
      <c r="EA58" s="11" t="n">
        <f aca="false">IF(EA$1&lt;Units!$P57,0,IF(AND(Units!$K57=0,EA$1=Units!$O57),Units!$R57,IF(AND(EA$1&gt;=Units!$Q57,MOD(EA$1-Units!$Q57,12)=0),IF(AND(Units!$L57=1,EA$1=Units!$Q57),IF(Units!$J57&lt;&gt;"",Units!$J57,Mkt!EA58),Inputs!$B$15*Mkt!EA58+(1-Inputs!$B$15)*MIN(Mkt!EA58,DZ58*(1+Inputs!$B$18))),DZ58)))</f>
        <v>2486.24530178663</v>
      </c>
      <c r="EB58" s="11" t="n">
        <f aca="false">IF(EB$1&lt;Units!$P57,0,IF(AND(Units!$K57=0,EB$1=Units!$O57),Units!$R57,IF(AND(EB$1&gt;=Units!$Q57,MOD(EB$1-Units!$Q57,12)=0),IF(AND(Units!$L57=1,EB$1=Units!$Q57),IF(Units!$J57&lt;&gt;"",Units!$J57,Mkt!EB58),Inputs!$B$15*Mkt!EB58+(1-Inputs!$B$15)*MIN(Mkt!EB58,EA58*(1+Inputs!$B$18))),EA58)))</f>
        <v>2486.24530178663</v>
      </c>
      <c r="EC58" s="11" t="n">
        <f aca="false">IF(EC$1&lt;Units!$P57,0,IF(AND(Units!$K57=0,EC$1=Units!$O57),Units!$R57,IF(AND(EC$1&gt;=Units!$Q57,MOD(EC$1-Units!$Q57,12)=0),IF(AND(Units!$L57=1,EC$1=Units!$Q57),IF(Units!$J57&lt;&gt;"",Units!$J57,Mkt!EC58),Inputs!$B$15*Mkt!EC58+(1-Inputs!$B$15)*MIN(Mkt!EC58,EB58*(1+Inputs!$B$18))),EB58)))</f>
        <v>2486.24530178663</v>
      </c>
      <c r="ED58" s="11" t="n">
        <f aca="false">IF(ED$1&lt;Units!$P57,0,IF(AND(Units!$K57=0,ED$1=Units!$O57),Units!$R57,IF(AND(ED$1&gt;=Units!$Q57,MOD(ED$1-Units!$Q57,12)=0),IF(AND(Units!$L57=1,ED$1=Units!$Q57),IF(Units!$J57&lt;&gt;"",Units!$J57,Mkt!ED58),Inputs!$B$15*Mkt!ED58+(1-Inputs!$B$15)*MIN(Mkt!ED58,EC58*(1+Inputs!$B$18))),EC58)))</f>
        <v>2486.24530178663</v>
      </c>
    </row>
    <row r="59" customFormat="false" ht="15" hidden="false" customHeight="false" outlineLevel="0" collapsed="false">
      <c r="A59" s="22" t="n">
        <f aca="false">Units!A58</f>
        <v>227</v>
      </c>
      <c r="B59" s="24" t="n">
        <f aca="false">IF(Units!K58=1,Units!F58,0)</f>
        <v>1895</v>
      </c>
      <c r="C59" s="11" t="n">
        <f aca="false">IF(C$1&lt;Units!$P58,0,IF(AND(Units!$K58=0,C$1=Units!$O58),Units!$R58,IF(AND(C$1&gt;=Units!$Q58,MOD(C$1-Units!$Q58,12)=0),IF(AND(Units!$L58=1,C$1=Units!$Q58),IF(Units!$J58&lt;&gt;"",Units!$J58,Mkt!C59),Inputs!$B$15*Mkt!C59+(1-Inputs!$B$15)*MIN(Mkt!C59,B59*(1+Inputs!$B$18))),B59)))</f>
        <v>1895</v>
      </c>
      <c r="D59" s="11" t="n">
        <f aca="false">IF(D$1&lt;Units!$P58,0,IF(AND(Units!$K58=0,D$1=Units!$O58),Units!$R58,IF(AND(D$1&gt;=Units!$Q58,MOD(D$1-Units!$Q58,12)=0),IF(AND(Units!$L58=1,D$1=Units!$Q58),IF(Units!$J58&lt;&gt;"",Units!$J58,Mkt!D59),Inputs!$B$15*Mkt!D59+(1-Inputs!$B$15)*MIN(Mkt!D59,C59*(1+Inputs!$B$18))),C59)))</f>
        <v>1895</v>
      </c>
      <c r="E59" s="11" t="n">
        <f aca="false">IF(E$1&lt;Units!$P58,0,IF(AND(Units!$K58=0,E$1=Units!$O58),Units!$R58,IF(AND(E$1&gt;=Units!$Q58,MOD(E$1-Units!$Q58,12)=0),IF(AND(Units!$L58=1,E$1=Units!$Q58),IF(Units!$J58&lt;&gt;"",Units!$J58,Mkt!E59),Inputs!$B$15*Mkt!E59+(1-Inputs!$B$15)*MIN(Mkt!E59,D59*(1+Inputs!$B$18))),D59)))</f>
        <v>1895</v>
      </c>
      <c r="F59" s="11" t="n">
        <f aca="false">IF(F$1&lt;Units!$P58,0,IF(AND(Units!$K58=0,F$1=Units!$O58),Units!$R58,IF(AND(F$1&gt;=Units!$Q58,MOD(F$1-Units!$Q58,12)=0),IF(AND(Units!$L58=1,F$1=Units!$Q58),IF(Units!$J58&lt;&gt;"",Units!$J58,Mkt!F59),Inputs!$B$15*Mkt!F59+(1-Inputs!$B$15)*MIN(Mkt!F59,E59*(1+Inputs!$B$18))),E59)))</f>
        <v>1895</v>
      </c>
      <c r="G59" s="11" t="n">
        <f aca="false">IF(G$1&lt;Units!$P58,0,IF(AND(Units!$K58=0,G$1=Units!$O58),Units!$R58,IF(AND(G$1&gt;=Units!$Q58,MOD(G$1-Units!$Q58,12)=0),IF(AND(Units!$L58=1,G$1=Units!$Q58),IF(Units!$J58&lt;&gt;"",Units!$J58,Mkt!G59),Inputs!$B$15*Mkt!G59+(1-Inputs!$B$15)*MIN(Mkt!G59,F59*(1+Inputs!$B$18))),F59)))</f>
        <v>1850</v>
      </c>
      <c r="H59" s="11" t="n">
        <f aca="false">IF(H$1&lt;Units!$P58,0,IF(AND(Units!$K58=0,H$1=Units!$O58),Units!$R58,IF(AND(H$1&gt;=Units!$Q58,MOD(H$1-Units!$Q58,12)=0),IF(AND(Units!$L58=1,H$1=Units!$Q58),IF(Units!$J58&lt;&gt;"",Units!$J58,Mkt!H59),Inputs!$B$15*Mkt!H59+(1-Inputs!$B$15)*MIN(Mkt!H59,G59*(1+Inputs!$B$18))),G59)))</f>
        <v>1850</v>
      </c>
      <c r="I59" s="11" t="n">
        <f aca="false">IF(I$1&lt;Units!$P58,0,IF(AND(Units!$K58=0,I$1=Units!$O58),Units!$R58,IF(AND(I$1&gt;=Units!$Q58,MOD(I$1-Units!$Q58,12)=0),IF(AND(Units!$L58=1,I$1=Units!$Q58),IF(Units!$J58&lt;&gt;"",Units!$J58,Mkt!I59),Inputs!$B$15*Mkt!I59+(1-Inputs!$B$15)*MIN(Mkt!I59,H59*(1+Inputs!$B$18))),H59)))</f>
        <v>1850</v>
      </c>
      <c r="J59" s="11" t="n">
        <f aca="false">IF(J$1&lt;Units!$P58,0,IF(AND(Units!$K58=0,J$1=Units!$O58),Units!$R58,IF(AND(J$1&gt;=Units!$Q58,MOD(J$1-Units!$Q58,12)=0),IF(AND(Units!$L58=1,J$1=Units!$Q58),IF(Units!$J58&lt;&gt;"",Units!$J58,Mkt!J59),Inputs!$B$15*Mkt!J59+(1-Inputs!$B$15)*MIN(Mkt!J59,I59*(1+Inputs!$B$18))),I59)))</f>
        <v>1850</v>
      </c>
      <c r="K59" s="11" t="n">
        <f aca="false">IF(K$1&lt;Units!$P58,0,IF(AND(Units!$K58=0,K$1=Units!$O58),Units!$R58,IF(AND(K$1&gt;=Units!$Q58,MOD(K$1-Units!$Q58,12)=0),IF(AND(Units!$L58=1,K$1=Units!$Q58),IF(Units!$J58&lt;&gt;"",Units!$J58,Mkt!K59),Inputs!$B$15*Mkt!K59+(1-Inputs!$B$15)*MIN(Mkt!K59,J59*(1+Inputs!$B$18))),J59)))</f>
        <v>1850</v>
      </c>
      <c r="L59" s="11" t="n">
        <f aca="false">IF(L$1&lt;Units!$P58,0,IF(AND(Units!$K58=0,L$1=Units!$O58),Units!$R58,IF(AND(L$1&gt;=Units!$Q58,MOD(L$1-Units!$Q58,12)=0),IF(AND(Units!$L58=1,L$1=Units!$Q58),IF(Units!$J58&lt;&gt;"",Units!$J58,Mkt!L59),Inputs!$B$15*Mkt!L59+(1-Inputs!$B$15)*MIN(Mkt!L59,K59*(1+Inputs!$B$18))),K59)))</f>
        <v>1850</v>
      </c>
      <c r="M59" s="11" t="n">
        <f aca="false">IF(M$1&lt;Units!$P58,0,IF(AND(Units!$K58=0,M$1=Units!$O58),Units!$R58,IF(AND(M$1&gt;=Units!$Q58,MOD(M$1-Units!$Q58,12)=0),IF(AND(Units!$L58=1,M$1=Units!$Q58),IF(Units!$J58&lt;&gt;"",Units!$J58,Mkt!M59),Inputs!$B$15*Mkt!M59+(1-Inputs!$B$15)*MIN(Mkt!M59,L59*(1+Inputs!$B$18))),L59)))</f>
        <v>1850</v>
      </c>
      <c r="N59" s="11" t="n">
        <f aca="false">IF(N$1&lt;Units!$P58,0,IF(AND(Units!$K58=0,N$1=Units!$O58),Units!$R58,IF(AND(N$1&gt;=Units!$Q58,MOD(N$1-Units!$Q58,12)=0),IF(AND(Units!$L58=1,N$1=Units!$Q58),IF(Units!$J58&lt;&gt;"",Units!$J58,Mkt!N59),Inputs!$B$15*Mkt!N59+(1-Inputs!$B$15)*MIN(Mkt!N59,M59*(1+Inputs!$B$18))),M59)))</f>
        <v>1850</v>
      </c>
      <c r="O59" s="11" t="n">
        <f aca="false">IF(O$1&lt;Units!$P58,0,IF(AND(Units!$K58=0,O$1=Units!$O58),Units!$R58,IF(AND(O$1&gt;=Units!$Q58,MOD(O$1-Units!$Q58,12)=0),IF(AND(Units!$L58=1,O$1=Units!$Q58),IF(Units!$J58&lt;&gt;"",Units!$J58,Mkt!O59),Inputs!$B$15*Mkt!O59+(1-Inputs!$B$15)*MIN(Mkt!O59,N59*(1+Inputs!$B$18))),N59)))</f>
        <v>1850</v>
      </c>
      <c r="P59" s="11" t="n">
        <f aca="false">IF(P$1&lt;Units!$P58,0,IF(AND(Units!$K58=0,P$1=Units!$O58),Units!$R58,IF(AND(P$1&gt;=Units!$Q58,MOD(P$1-Units!$Q58,12)=0),IF(AND(Units!$L58=1,P$1=Units!$Q58),IF(Units!$J58&lt;&gt;"",Units!$J58,Mkt!P59),Inputs!$B$15*Mkt!P59+(1-Inputs!$B$15)*MIN(Mkt!P59,O59*(1+Inputs!$B$18))),O59)))</f>
        <v>1850</v>
      </c>
      <c r="Q59" s="11" t="n">
        <f aca="false">IF(Q$1&lt;Units!$P58,0,IF(AND(Units!$K58=0,Q$1=Units!$O58),Units!$R58,IF(AND(Q$1&gt;=Units!$Q58,MOD(Q$1-Units!$Q58,12)=0),IF(AND(Units!$L58=1,Q$1=Units!$Q58),IF(Units!$J58&lt;&gt;"",Units!$J58,Mkt!Q59),Inputs!$B$15*Mkt!Q59+(1-Inputs!$B$15)*MIN(Mkt!Q59,P59*(1+Inputs!$B$18))),P59)))</f>
        <v>1850</v>
      </c>
      <c r="R59" s="11" t="n">
        <f aca="false">IF(R$1&lt;Units!$P58,0,IF(AND(Units!$K58=0,R$1=Units!$O58),Units!$R58,IF(AND(R$1&gt;=Units!$Q58,MOD(R$1-Units!$Q58,12)=0),IF(AND(Units!$L58=1,R$1=Units!$Q58),IF(Units!$J58&lt;&gt;"",Units!$J58,Mkt!R59),Inputs!$B$15*Mkt!R59+(1-Inputs!$B$15)*MIN(Mkt!R59,Q59*(1+Inputs!$B$18))),Q59)))</f>
        <v>1850</v>
      </c>
      <c r="S59" s="11" t="n">
        <f aca="false">IF(S$1&lt;Units!$P58,0,IF(AND(Units!$K58=0,S$1=Units!$O58),Units!$R58,IF(AND(S$1&gt;=Units!$Q58,MOD(S$1-Units!$Q58,12)=0),IF(AND(Units!$L58=1,S$1=Units!$Q58),IF(Units!$J58&lt;&gt;"",Units!$J58,Mkt!S59),Inputs!$B$15*Mkt!S59+(1-Inputs!$B$15)*MIN(Mkt!S59,R59*(1+Inputs!$B$18))),R59)))</f>
        <v>1905.5</v>
      </c>
      <c r="T59" s="11" t="n">
        <f aca="false">IF(T$1&lt;Units!$P58,0,IF(AND(Units!$K58=0,T$1=Units!$O58),Units!$R58,IF(AND(T$1&gt;=Units!$Q58,MOD(T$1-Units!$Q58,12)=0),IF(AND(Units!$L58=1,T$1=Units!$Q58),IF(Units!$J58&lt;&gt;"",Units!$J58,Mkt!T59),Inputs!$B$15*Mkt!T59+(1-Inputs!$B$15)*MIN(Mkt!T59,S59*(1+Inputs!$B$18))),S59)))</f>
        <v>1905.5</v>
      </c>
      <c r="U59" s="11" t="n">
        <f aca="false">IF(U$1&lt;Units!$P58,0,IF(AND(Units!$K58=0,U$1=Units!$O58),Units!$R58,IF(AND(U$1&gt;=Units!$Q58,MOD(U$1-Units!$Q58,12)=0),IF(AND(Units!$L58=1,U$1=Units!$Q58),IF(Units!$J58&lt;&gt;"",Units!$J58,Mkt!U59),Inputs!$B$15*Mkt!U59+(1-Inputs!$B$15)*MIN(Mkt!U59,T59*(1+Inputs!$B$18))),T59)))</f>
        <v>1905.5</v>
      </c>
      <c r="V59" s="11" t="n">
        <f aca="false">IF(V$1&lt;Units!$P58,0,IF(AND(Units!$K58=0,V$1=Units!$O58),Units!$R58,IF(AND(V$1&gt;=Units!$Q58,MOD(V$1-Units!$Q58,12)=0),IF(AND(Units!$L58=1,V$1=Units!$Q58),IF(Units!$J58&lt;&gt;"",Units!$J58,Mkt!V59),Inputs!$B$15*Mkt!V59+(1-Inputs!$B$15)*MIN(Mkt!V59,U59*(1+Inputs!$B$18))),U59)))</f>
        <v>1905.5</v>
      </c>
      <c r="W59" s="11" t="n">
        <f aca="false">IF(W$1&lt;Units!$P58,0,IF(AND(Units!$K58=0,W$1=Units!$O58),Units!$R58,IF(AND(W$1&gt;=Units!$Q58,MOD(W$1-Units!$Q58,12)=0),IF(AND(Units!$L58=1,W$1=Units!$Q58),IF(Units!$J58&lt;&gt;"",Units!$J58,Mkt!W59),Inputs!$B$15*Mkt!W59+(1-Inputs!$B$15)*MIN(Mkt!W59,V59*(1+Inputs!$B$18))),V59)))</f>
        <v>1905.5</v>
      </c>
      <c r="X59" s="11" t="n">
        <f aca="false">IF(X$1&lt;Units!$P58,0,IF(AND(Units!$K58=0,X$1=Units!$O58),Units!$R58,IF(AND(X$1&gt;=Units!$Q58,MOD(X$1-Units!$Q58,12)=0),IF(AND(Units!$L58=1,X$1=Units!$Q58),IF(Units!$J58&lt;&gt;"",Units!$J58,Mkt!X59),Inputs!$B$15*Mkt!X59+(1-Inputs!$B$15)*MIN(Mkt!X59,W59*(1+Inputs!$B$18))),W59)))</f>
        <v>1905.5</v>
      </c>
      <c r="Y59" s="11" t="n">
        <f aca="false">IF(Y$1&lt;Units!$P58,0,IF(AND(Units!$K58=0,Y$1=Units!$O58),Units!$R58,IF(AND(Y$1&gt;=Units!$Q58,MOD(Y$1-Units!$Q58,12)=0),IF(AND(Units!$L58=1,Y$1=Units!$Q58),IF(Units!$J58&lt;&gt;"",Units!$J58,Mkt!Y59),Inputs!$B$15*Mkt!Y59+(1-Inputs!$B$15)*MIN(Mkt!Y59,X59*(1+Inputs!$B$18))),X59)))</f>
        <v>1905.5</v>
      </c>
      <c r="Z59" s="11" t="n">
        <f aca="false">IF(Z$1&lt;Units!$P58,0,IF(AND(Units!$K58=0,Z$1=Units!$O58),Units!$R58,IF(AND(Z$1&gt;=Units!$Q58,MOD(Z$1-Units!$Q58,12)=0),IF(AND(Units!$L58=1,Z$1=Units!$Q58),IF(Units!$J58&lt;&gt;"",Units!$J58,Mkt!Z59),Inputs!$B$15*Mkt!Z59+(1-Inputs!$B$15)*MIN(Mkt!Z59,Y59*(1+Inputs!$B$18))),Y59)))</f>
        <v>1905.5</v>
      </c>
      <c r="AA59" s="11" t="n">
        <f aca="false">IF(AA$1&lt;Units!$P58,0,IF(AND(Units!$K58=0,AA$1=Units!$O58),Units!$R58,IF(AND(AA$1&gt;=Units!$Q58,MOD(AA$1-Units!$Q58,12)=0),IF(AND(Units!$L58=1,AA$1=Units!$Q58),IF(Units!$J58&lt;&gt;"",Units!$J58,Mkt!AA59),Inputs!$B$15*Mkt!AA59+(1-Inputs!$B$15)*MIN(Mkt!AA59,Z59*(1+Inputs!$B$18))),Z59)))</f>
        <v>1905.5</v>
      </c>
      <c r="AB59" s="11" t="n">
        <f aca="false">IF(AB$1&lt;Units!$P58,0,IF(AND(Units!$K58=0,AB$1=Units!$O58),Units!$R58,IF(AND(AB$1&gt;=Units!$Q58,MOD(AB$1-Units!$Q58,12)=0),IF(AND(Units!$L58=1,AB$1=Units!$Q58),IF(Units!$J58&lt;&gt;"",Units!$J58,Mkt!AB59),Inputs!$B$15*Mkt!AB59+(1-Inputs!$B$15)*MIN(Mkt!AB59,AA59*(1+Inputs!$B$18))),AA59)))</f>
        <v>1905.5</v>
      </c>
      <c r="AC59" s="11" t="n">
        <f aca="false">IF(AC$1&lt;Units!$P58,0,IF(AND(Units!$K58=0,AC$1=Units!$O58),Units!$R58,IF(AND(AC$1&gt;=Units!$Q58,MOD(AC$1-Units!$Q58,12)=0),IF(AND(Units!$L58=1,AC$1=Units!$Q58),IF(Units!$J58&lt;&gt;"",Units!$J58,Mkt!AC59),Inputs!$B$15*Mkt!AC59+(1-Inputs!$B$15)*MIN(Mkt!AC59,AB59*(1+Inputs!$B$18))),AB59)))</f>
        <v>1905.5</v>
      </c>
      <c r="AD59" s="11" t="n">
        <f aca="false">IF(AD$1&lt;Units!$P58,0,IF(AND(Units!$K58=0,AD$1=Units!$O58),Units!$R58,IF(AND(AD$1&gt;=Units!$Q58,MOD(AD$1-Units!$Q58,12)=0),IF(AND(Units!$L58=1,AD$1=Units!$Q58),IF(Units!$J58&lt;&gt;"",Units!$J58,Mkt!AD59),Inputs!$B$15*Mkt!AD59+(1-Inputs!$B$15)*MIN(Mkt!AD59,AC59*(1+Inputs!$B$18))),AC59)))</f>
        <v>1905.5</v>
      </c>
      <c r="AE59" s="11" t="n">
        <f aca="false">IF(AE$1&lt;Units!$P58,0,IF(AND(Units!$K58=0,AE$1=Units!$O58),Units!$R58,IF(AND(AE$1&gt;=Units!$Q58,MOD(AE$1-Units!$Q58,12)=0),IF(AND(Units!$L58=1,AE$1=Units!$Q58),IF(Units!$J58&lt;&gt;"",Units!$J58,Mkt!AE59),Inputs!$B$15*Mkt!AE59+(1-Inputs!$B$15)*MIN(Mkt!AE59,AD59*(1+Inputs!$B$18))),AD59)))</f>
        <v>1962.665</v>
      </c>
      <c r="AF59" s="11" t="n">
        <f aca="false">IF(AF$1&lt;Units!$P58,0,IF(AND(Units!$K58=0,AF$1=Units!$O58),Units!$R58,IF(AND(AF$1&gt;=Units!$Q58,MOD(AF$1-Units!$Q58,12)=0),IF(AND(Units!$L58=1,AF$1=Units!$Q58),IF(Units!$J58&lt;&gt;"",Units!$J58,Mkt!AF59),Inputs!$B$15*Mkt!AF59+(1-Inputs!$B$15)*MIN(Mkt!AF59,AE59*(1+Inputs!$B$18))),AE59)))</f>
        <v>1962.665</v>
      </c>
      <c r="AG59" s="11" t="n">
        <f aca="false">IF(AG$1&lt;Units!$P58,0,IF(AND(Units!$K58=0,AG$1=Units!$O58),Units!$R58,IF(AND(AG$1&gt;=Units!$Q58,MOD(AG$1-Units!$Q58,12)=0),IF(AND(Units!$L58=1,AG$1=Units!$Q58),IF(Units!$J58&lt;&gt;"",Units!$J58,Mkt!AG59),Inputs!$B$15*Mkt!AG59+(1-Inputs!$B$15)*MIN(Mkt!AG59,AF59*(1+Inputs!$B$18))),AF59)))</f>
        <v>1962.665</v>
      </c>
      <c r="AH59" s="11" t="n">
        <f aca="false">IF(AH$1&lt;Units!$P58,0,IF(AND(Units!$K58=0,AH$1=Units!$O58),Units!$R58,IF(AND(AH$1&gt;=Units!$Q58,MOD(AH$1-Units!$Q58,12)=0),IF(AND(Units!$L58=1,AH$1=Units!$Q58),IF(Units!$J58&lt;&gt;"",Units!$J58,Mkt!AH59),Inputs!$B$15*Mkt!AH59+(1-Inputs!$B$15)*MIN(Mkt!AH59,AG59*(1+Inputs!$B$18))),AG59)))</f>
        <v>1962.665</v>
      </c>
      <c r="AI59" s="11" t="n">
        <f aca="false">IF(AI$1&lt;Units!$P58,0,IF(AND(Units!$K58=0,AI$1=Units!$O58),Units!$R58,IF(AND(AI$1&gt;=Units!$Q58,MOD(AI$1-Units!$Q58,12)=0),IF(AND(Units!$L58=1,AI$1=Units!$Q58),IF(Units!$J58&lt;&gt;"",Units!$J58,Mkt!AI59),Inputs!$B$15*Mkt!AI59+(1-Inputs!$B$15)*MIN(Mkt!AI59,AH59*(1+Inputs!$B$18))),AH59)))</f>
        <v>1962.665</v>
      </c>
      <c r="AJ59" s="11" t="n">
        <f aca="false">IF(AJ$1&lt;Units!$P58,0,IF(AND(Units!$K58=0,AJ$1=Units!$O58),Units!$R58,IF(AND(AJ$1&gt;=Units!$Q58,MOD(AJ$1-Units!$Q58,12)=0),IF(AND(Units!$L58=1,AJ$1=Units!$Q58),IF(Units!$J58&lt;&gt;"",Units!$J58,Mkt!AJ59),Inputs!$B$15*Mkt!AJ59+(1-Inputs!$B$15)*MIN(Mkt!AJ59,AI59*(1+Inputs!$B$18))),AI59)))</f>
        <v>1962.665</v>
      </c>
      <c r="AK59" s="11" t="n">
        <f aca="false">IF(AK$1&lt;Units!$P58,0,IF(AND(Units!$K58=0,AK$1=Units!$O58),Units!$R58,IF(AND(AK$1&gt;=Units!$Q58,MOD(AK$1-Units!$Q58,12)=0),IF(AND(Units!$L58=1,AK$1=Units!$Q58),IF(Units!$J58&lt;&gt;"",Units!$J58,Mkt!AK59),Inputs!$B$15*Mkt!AK59+(1-Inputs!$B$15)*MIN(Mkt!AK59,AJ59*(1+Inputs!$B$18))),AJ59)))</f>
        <v>1962.665</v>
      </c>
      <c r="AL59" s="11" t="n">
        <f aca="false">IF(AL$1&lt;Units!$P58,0,IF(AND(Units!$K58=0,AL$1=Units!$O58),Units!$R58,IF(AND(AL$1&gt;=Units!$Q58,MOD(AL$1-Units!$Q58,12)=0),IF(AND(Units!$L58=1,AL$1=Units!$Q58),IF(Units!$J58&lt;&gt;"",Units!$J58,Mkt!AL59),Inputs!$B$15*Mkt!AL59+(1-Inputs!$B$15)*MIN(Mkt!AL59,AK59*(1+Inputs!$B$18))),AK59)))</f>
        <v>1962.665</v>
      </c>
      <c r="AM59" s="11" t="n">
        <f aca="false">IF(AM$1&lt;Units!$P58,0,IF(AND(Units!$K58=0,AM$1=Units!$O58),Units!$R58,IF(AND(AM$1&gt;=Units!$Q58,MOD(AM$1-Units!$Q58,12)=0),IF(AND(Units!$L58=1,AM$1=Units!$Q58),IF(Units!$J58&lt;&gt;"",Units!$J58,Mkt!AM59),Inputs!$B$15*Mkt!AM59+(1-Inputs!$B$15)*MIN(Mkt!AM59,AL59*(1+Inputs!$B$18))),AL59)))</f>
        <v>1962.665</v>
      </c>
      <c r="AN59" s="11" t="n">
        <f aca="false">IF(AN$1&lt;Units!$P58,0,IF(AND(Units!$K58=0,AN$1=Units!$O58),Units!$R58,IF(AND(AN$1&gt;=Units!$Q58,MOD(AN$1-Units!$Q58,12)=0),IF(AND(Units!$L58=1,AN$1=Units!$Q58),IF(Units!$J58&lt;&gt;"",Units!$J58,Mkt!AN59),Inputs!$B$15*Mkt!AN59+(1-Inputs!$B$15)*MIN(Mkt!AN59,AM59*(1+Inputs!$B$18))),AM59)))</f>
        <v>1962.665</v>
      </c>
      <c r="AO59" s="11" t="n">
        <f aca="false">IF(AO$1&lt;Units!$P58,0,IF(AND(Units!$K58=0,AO$1=Units!$O58),Units!$R58,IF(AND(AO$1&gt;=Units!$Q58,MOD(AO$1-Units!$Q58,12)=0),IF(AND(Units!$L58=1,AO$1=Units!$Q58),IF(Units!$J58&lt;&gt;"",Units!$J58,Mkt!AO59),Inputs!$B$15*Mkt!AO59+(1-Inputs!$B$15)*MIN(Mkt!AO59,AN59*(1+Inputs!$B$18))),AN59)))</f>
        <v>1962.665</v>
      </c>
      <c r="AP59" s="11" t="n">
        <f aca="false">IF(AP$1&lt;Units!$P58,0,IF(AND(Units!$K58=0,AP$1=Units!$O58),Units!$R58,IF(AND(AP$1&gt;=Units!$Q58,MOD(AP$1-Units!$Q58,12)=0),IF(AND(Units!$L58=1,AP$1=Units!$Q58),IF(Units!$J58&lt;&gt;"",Units!$J58,Mkt!AP59),Inputs!$B$15*Mkt!AP59+(1-Inputs!$B$15)*MIN(Mkt!AP59,AO59*(1+Inputs!$B$18))),AO59)))</f>
        <v>1962.665</v>
      </c>
      <c r="AQ59" s="11" t="n">
        <f aca="false">IF(AQ$1&lt;Units!$P58,0,IF(AND(Units!$K58=0,AQ$1=Units!$O58),Units!$R58,IF(AND(AQ$1&gt;=Units!$Q58,MOD(AQ$1-Units!$Q58,12)=0),IF(AND(Units!$L58=1,AQ$1=Units!$Q58),IF(Units!$J58&lt;&gt;"",Units!$J58,Mkt!AQ59),Inputs!$B$15*Mkt!AQ59+(1-Inputs!$B$15)*MIN(Mkt!AQ59,AP59*(1+Inputs!$B$18))),AP59)))</f>
        <v>2021.54495</v>
      </c>
      <c r="AR59" s="11" t="n">
        <f aca="false">IF(AR$1&lt;Units!$P58,0,IF(AND(Units!$K58=0,AR$1=Units!$O58),Units!$R58,IF(AND(AR$1&gt;=Units!$Q58,MOD(AR$1-Units!$Q58,12)=0),IF(AND(Units!$L58=1,AR$1=Units!$Q58),IF(Units!$J58&lt;&gt;"",Units!$J58,Mkt!AR59),Inputs!$B$15*Mkt!AR59+(1-Inputs!$B$15)*MIN(Mkt!AR59,AQ59*(1+Inputs!$B$18))),AQ59)))</f>
        <v>2021.54495</v>
      </c>
      <c r="AS59" s="11" t="n">
        <f aca="false">IF(AS$1&lt;Units!$P58,0,IF(AND(Units!$K58=0,AS$1=Units!$O58),Units!$R58,IF(AND(AS$1&gt;=Units!$Q58,MOD(AS$1-Units!$Q58,12)=0),IF(AND(Units!$L58=1,AS$1=Units!$Q58),IF(Units!$J58&lt;&gt;"",Units!$J58,Mkt!AS59),Inputs!$B$15*Mkt!AS59+(1-Inputs!$B$15)*MIN(Mkt!AS59,AR59*(1+Inputs!$B$18))),AR59)))</f>
        <v>2021.54495</v>
      </c>
      <c r="AT59" s="11" t="n">
        <f aca="false">IF(AT$1&lt;Units!$P58,0,IF(AND(Units!$K58=0,AT$1=Units!$O58),Units!$R58,IF(AND(AT$1&gt;=Units!$Q58,MOD(AT$1-Units!$Q58,12)=0),IF(AND(Units!$L58=1,AT$1=Units!$Q58),IF(Units!$J58&lt;&gt;"",Units!$J58,Mkt!AT59),Inputs!$B$15*Mkt!AT59+(1-Inputs!$B$15)*MIN(Mkt!AT59,AS59*(1+Inputs!$B$18))),AS59)))</f>
        <v>2021.54495</v>
      </c>
      <c r="AU59" s="11" t="n">
        <f aca="false">IF(AU$1&lt;Units!$P58,0,IF(AND(Units!$K58=0,AU$1=Units!$O58),Units!$R58,IF(AND(AU$1&gt;=Units!$Q58,MOD(AU$1-Units!$Q58,12)=0),IF(AND(Units!$L58=1,AU$1=Units!$Q58),IF(Units!$J58&lt;&gt;"",Units!$J58,Mkt!AU59),Inputs!$B$15*Mkt!AU59+(1-Inputs!$B$15)*MIN(Mkt!AU59,AT59*(1+Inputs!$B$18))),AT59)))</f>
        <v>2021.54495</v>
      </c>
      <c r="AV59" s="11" t="n">
        <f aca="false">IF(AV$1&lt;Units!$P58,0,IF(AND(Units!$K58=0,AV$1=Units!$O58),Units!$R58,IF(AND(AV$1&gt;=Units!$Q58,MOD(AV$1-Units!$Q58,12)=0),IF(AND(Units!$L58=1,AV$1=Units!$Q58),IF(Units!$J58&lt;&gt;"",Units!$J58,Mkt!AV59),Inputs!$B$15*Mkt!AV59+(1-Inputs!$B$15)*MIN(Mkt!AV59,AU59*(1+Inputs!$B$18))),AU59)))</f>
        <v>2021.54495</v>
      </c>
      <c r="AW59" s="11" t="n">
        <f aca="false">IF(AW$1&lt;Units!$P58,0,IF(AND(Units!$K58=0,AW$1=Units!$O58),Units!$R58,IF(AND(AW$1&gt;=Units!$Q58,MOD(AW$1-Units!$Q58,12)=0),IF(AND(Units!$L58=1,AW$1=Units!$Q58),IF(Units!$J58&lt;&gt;"",Units!$J58,Mkt!AW59),Inputs!$B$15*Mkt!AW59+(1-Inputs!$B$15)*MIN(Mkt!AW59,AV59*(1+Inputs!$B$18))),AV59)))</f>
        <v>2021.54495</v>
      </c>
      <c r="AX59" s="11" t="n">
        <f aca="false">IF(AX$1&lt;Units!$P58,0,IF(AND(Units!$K58=0,AX$1=Units!$O58),Units!$R58,IF(AND(AX$1&gt;=Units!$Q58,MOD(AX$1-Units!$Q58,12)=0),IF(AND(Units!$L58=1,AX$1=Units!$Q58),IF(Units!$J58&lt;&gt;"",Units!$J58,Mkt!AX59),Inputs!$B$15*Mkt!AX59+(1-Inputs!$B$15)*MIN(Mkt!AX59,AW59*(1+Inputs!$B$18))),AW59)))</f>
        <v>2021.54495</v>
      </c>
      <c r="AY59" s="11" t="n">
        <f aca="false">IF(AY$1&lt;Units!$P58,0,IF(AND(Units!$K58=0,AY$1=Units!$O58),Units!$R58,IF(AND(AY$1&gt;=Units!$Q58,MOD(AY$1-Units!$Q58,12)=0),IF(AND(Units!$L58=1,AY$1=Units!$Q58),IF(Units!$J58&lt;&gt;"",Units!$J58,Mkt!AY59),Inputs!$B$15*Mkt!AY59+(1-Inputs!$B$15)*MIN(Mkt!AY59,AX59*(1+Inputs!$B$18))),AX59)))</f>
        <v>2021.54495</v>
      </c>
      <c r="AZ59" s="11" t="n">
        <f aca="false">IF(AZ$1&lt;Units!$P58,0,IF(AND(Units!$K58=0,AZ$1=Units!$O58),Units!$R58,IF(AND(AZ$1&gt;=Units!$Q58,MOD(AZ$1-Units!$Q58,12)=0),IF(AND(Units!$L58=1,AZ$1=Units!$Q58),IF(Units!$J58&lt;&gt;"",Units!$J58,Mkt!AZ59),Inputs!$B$15*Mkt!AZ59+(1-Inputs!$B$15)*MIN(Mkt!AZ59,AY59*(1+Inputs!$B$18))),AY59)))</f>
        <v>2021.54495</v>
      </c>
      <c r="BA59" s="11" t="n">
        <f aca="false">IF(BA$1&lt;Units!$P58,0,IF(AND(Units!$K58=0,BA$1=Units!$O58),Units!$R58,IF(AND(BA$1&gt;=Units!$Q58,MOD(BA$1-Units!$Q58,12)=0),IF(AND(Units!$L58=1,BA$1=Units!$Q58),IF(Units!$J58&lt;&gt;"",Units!$J58,Mkt!BA59),Inputs!$B$15*Mkt!BA59+(1-Inputs!$B$15)*MIN(Mkt!BA59,AZ59*(1+Inputs!$B$18))),AZ59)))</f>
        <v>2021.54495</v>
      </c>
      <c r="BB59" s="11" t="n">
        <f aca="false">IF(BB$1&lt;Units!$P58,0,IF(AND(Units!$K58=0,BB$1=Units!$O58),Units!$R58,IF(AND(BB$1&gt;=Units!$Q58,MOD(BB$1-Units!$Q58,12)=0),IF(AND(Units!$L58=1,BB$1=Units!$Q58),IF(Units!$J58&lt;&gt;"",Units!$J58,Mkt!BB59),Inputs!$B$15*Mkt!BB59+(1-Inputs!$B$15)*MIN(Mkt!BB59,BA59*(1+Inputs!$B$18))),BA59)))</f>
        <v>2021.54495</v>
      </c>
      <c r="BC59" s="11" t="n">
        <f aca="false">IF(BC$1&lt;Units!$P58,0,IF(AND(Units!$K58=0,BC$1=Units!$O58),Units!$R58,IF(AND(BC$1&gt;=Units!$Q58,MOD(BC$1-Units!$Q58,12)=0),IF(AND(Units!$L58=1,BC$1=Units!$Q58),IF(Units!$J58&lt;&gt;"",Units!$J58,Mkt!BC59),Inputs!$B$15*Mkt!BC59+(1-Inputs!$B$15)*MIN(Mkt!BC59,BB59*(1+Inputs!$B$18))),BB59)))</f>
        <v>2082.1912985</v>
      </c>
      <c r="BD59" s="11" t="n">
        <f aca="false">IF(BD$1&lt;Units!$P58,0,IF(AND(Units!$K58=0,BD$1=Units!$O58),Units!$R58,IF(AND(BD$1&gt;=Units!$Q58,MOD(BD$1-Units!$Q58,12)=0),IF(AND(Units!$L58=1,BD$1=Units!$Q58),IF(Units!$J58&lt;&gt;"",Units!$J58,Mkt!BD59),Inputs!$B$15*Mkt!BD59+(1-Inputs!$B$15)*MIN(Mkt!BD59,BC59*(1+Inputs!$B$18))),BC59)))</f>
        <v>2082.1912985</v>
      </c>
      <c r="BE59" s="11" t="n">
        <f aca="false">IF(BE$1&lt;Units!$P58,0,IF(AND(Units!$K58=0,BE$1=Units!$O58),Units!$R58,IF(AND(BE$1&gt;=Units!$Q58,MOD(BE$1-Units!$Q58,12)=0),IF(AND(Units!$L58=1,BE$1=Units!$Q58),IF(Units!$J58&lt;&gt;"",Units!$J58,Mkt!BE59),Inputs!$B$15*Mkt!BE59+(1-Inputs!$B$15)*MIN(Mkt!BE59,BD59*(1+Inputs!$B$18))),BD59)))</f>
        <v>2082.1912985</v>
      </c>
      <c r="BF59" s="11" t="n">
        <f aca="false">IF(BF$1&lt;Units!$P58,0,IF(AND(Units!$K58=0,BF$1=Units!$O58),Units!$R58,IF(AND(BF$1&gt;=Units!$Q58,MOD(BF$1-Units!$Q58,12)=0),IF(AND(Units!$L58=1,BF$1=Units!$Q58),IF(Units!$J58&lt;&gt;"",Units!$J58,Mkt!BF59),Inputs!$B$15*Mkt!BF59+(1-Inputs!$B$15)*MIN(Mkt!BF59,BE59*(1+Inputs!$B$18))),BE59)))</f>
        <v>2082.1912985</v>
      </c>
      <c r="BG59" s="11" t="n">
        <f aca="false">IF(BG$1&lt;Units!$P58,0,IF(AND(Units!$K58=0,BG$1=Units!$O58),Units!$R58,IF(AND(BG$1&gt;=Units!$Q58,MOD(BG$1-Units!$Q58,12)=0),IF(AND(Units!$L58=1,BG$1=Units!$Q58),IF(Units!$J58&lt;&gt;"",Units!$J58,Mkt!BG59),Inputs!$B$15*Mkt!BG59+(1-Inputs!$B$15)*MIN(Mkt!BG59,BF59*(1+Inputs!$B$18))),BF59)))</f>
        <v>2082.1912985</v>
      </c>
      <c r="BH59" s="11" t="n">
        <f aca="false">IF(BH$1&lt;Units!$P58,0,IF(AND(Units!$K58=0,BH$1=Units!$O58),Units!$R58,IF(AND(BH$1&gt;=Units!$Q58,MOD(BH$1-Units!$Q58,12)=0),IF(AND(Units!$L58=1,BH$1=Units!$Q58),IF(Units!$J58&lt;&gt;"",Units!$J58,Mkt!BH59),Inputs!$B$15*Mkt!BH59+(1-Inputs!$B$15)*MIN(Mkt!BH59,BG59*(1+Inputs!$B$18))),BG59)))</f>
        <v>2082.1912985</v>
      </c>
      <c r="BI59" s="11" t="n">
        <f aca="false">IF(BI$1&lt;Units!$P58,0,IF(AND(Units!$K58=0,BI$1=Units!$O58),Units!$R58,IF(AND(BI$1&gt;=Units!$Q58,MOD(BI$1-Units!$Q58,12)=0),IF(AND(Units!$L58=1,BI$1=Units!$Q58),IF(Units!$J58&lt;&gt;"",Units!$J58,Mkt!BI59),Inputs!$B$15*Mkt!BI59+(1-Inputs!$B$15)*MIN(Mkt!BI59,BH59*(1+Inputs!$B$18))),BH59)))</f>
        <v>2082.1912985</v>
      </c>
      <c r="BJ59" s="11" t="n">
        <f aca="false">IF(BJ$1&lt;Units!$P58,0,IF(AND(Units!$K58=0,BJ$1=Units!$O58),Units!$R58,IF(AND(BJ$1&gt;=Units!$Q58,MOD(BJ$1-Units!$Q58,12)=0),IF(AND(Units!$L58=1,BJ$1=Units!$Q58),IF(Units!$J58&lt;&gt;"",Units!$J58,Mkt!BJ59),Inputs!$B$15*Mkt!BJ59+(1-Inputs!$B$15)*MIN(Mkt!BJ59,BI59*(1+Inputs!$B$18))),BI59)))</f>
        <v>2082.1912985</v>
      </c>
      <c r="BK59" s="11" t="n">
        <f aca="false">IF(BK$1&lt;Units!$P58,0,IF(AND(Units!$K58=0,BK$1=Units!$O58),Units!$R58,IF(AND(BK$1&gt;=Units!$Q58,MOD(BK$1-Units!$Q58,12)=0),IF(AND(Units!$L58=1,BK$1=Units!$Q58),IF(Units!$J58&lt;&gt;"",Units!$J58,Mkt!BK59),Inputs!$B$15*Mkt!BK59+(1-Inputs!$B$15)*MIN(Mkt!BK59,BJ59*(1+Inputs!$B$18))),BJ59)))</f>
        <v>2082.1912985</v>
      </c>
      <c r="BL59" s="11" t="n">
        <f aca="false">IF(BL$1&lt;Units!$P58,0,IF(AND(Units!$K58=0,BL$1=Units!$O58),Units!$R58,IF(AND(BL$1&gt;=Units!$Q58,MOD(BL$1-Units!$Q58,12)=0),IF(AND(Units!$L58=1,BL$1=Units!$Q58),IF(Units!$J58&lt;&gt;"",Units!$J58,Mkt!BL59),Inputs!$B$15*Mkt!BL59+(1-Inputs!$B$15)*MIN(Mkt!BL59,BK59*(1+Inputs!$B$18))),BK59)))</f>
        <v>2082.1912985</v>
      </c>
      <c r="BM59" s="11" t="n">
        <f aca="false">IF(BM$1&lt;Units!$P58,0,IF(AND(Units!$K58=0,BM$1=Units!$O58),Units!$R58,IF(AND(BM$1&gt;=Units!$Q58,MOD(BM$1-Units!$Q58,12)=0),IF(AND(Units!$L58=1,BM$1=Units!$Q58),IF(Units!$J58&lt;&gt;"",Units!$J58,Mkt!BM59),Inputs!$B$15*Mkt!BM59+(1-Inputs!$B$15)*MIN(Mkt!BM59,BL59*(1+Inputs!$B$18))),BL59)))</f>
        <v>2082.1912985</v>
      </c>
      <c r="BN59" s="11" t="n">
        <f aca="false">IF(BN$1&lt;Units!$P58,0,IF(AND(Units!$K58=0,BN$1=Units!$O58),Units!$R58,IF(AND(BN$1&gt;=Units!$Q58,MOD(BN$1-Units!$Q58,12)=0),IF(AND(Units!$L58=1,BN$1=Units!$Q58),IF(Units!$J58&lt;&gt;"",Units!$J58,Mkt!BN59),Inputs!$B$15*Mkt!BN59+(1-Inputs!$B$15)*MIN(Mkt!BN59,BM59*(1+Inputs!$B$18))),BM59)))</f>
        <v>2082.1912985</v>
      </c>
      <c r="BO59" s="11" t="n">
        <f aca="false">IF(BO$1&lt;Units!$P58,0,IF(AND(Units!$K58=0,BO$1=Units!$O58),Units!$R58,IF(AND(BO$1&gt;=Units!$Q58,MOD(BO$1-Units!$Q58,12)=0),IF(AND(Units!$L58=1,BO$1=Units!$Q58),IF(Units!$J58&lt;&gt;"",Units!$J58,Mkt!BO59),Inputs!$B$15*Mkt!BO59+(1-Inputs!$B$15)*MIN(Mkt!BO59,BN59*(1+Inputs!$B$18))),BN59)))</f>
        <v>2144.657037455</v>
      </c>
      <c r="BP59" s="11" t="n">
        <f aca="false">IF(BP$1&lt;Units!$P58,0,IF(AND(Units!$K58=0,BP$1=Units!$O58),Units!$R58,IF(AND(BP$1&gt;=Units!$Q58,MOD(BP$1-Units!$Q58,12)=0),IF(AND(Units!$L58=1,BP$1=Units!$Q58),IF(Units!$J58&lt;&gt;"",Units!$J58,Mkt!BP59),Inputs!$B$15*Mkt!BP59+(1-Inputs!$B$15)*MIN(Mkt!BP59,BO59*(1+Inputs!$B$18))),BO59)))</f>
        <v>2144.657037455</v>
      </c>
      <c r="BQ59" s="11" t="n">
        <f aca="false">IF(BQ$1&lt;Units!$P58,0,IF(AND(Units!$K58=0,BQ$1=Units!$O58),Units!$R58,IF(AND(BQ$1&gt;=Units!$Q58,MOD(BQ$1-Units!$Q58,12)=0),IF(AND(Units!$L58=1,BQ$1=Units!$Q58),IF(Units!$J58&lt;&gt;"",Units!$J58,Mkt!BQ59),Inputs!$B$15*Mkt!BQ59+(1-Inputs!$B$15)*MIN(Mkt!BQ59,BP59*(1+Inputs!$B$18))),BP59)))</f>
        <v>2144.657037455</v>
      </c>
      <c r="BR59" s="11" t="n">
        <f aca="false">IF(BR$1&lt;Units!$P58,0,IF(AND(Units!$K58=0,BR$1=Units!$O58),Units!$R58,IF(AND(BR$1&gt;=Units!$Q58,MOD(BR$1-Units!$Q58,12)=0),IF(AND(Units!$L58=1,BR$1=Units!$Q58),IF(Units!$J58&lt;&gt;"",Units!$J58,Mkt!BR59),Inputs!$B$15*Mkt!BR59+(1-Inputs!$B$15)*MIN(Mkt!BR59,BQ59*(1+Inputs!$B$18))),BQ59)))</f>
        <v>2144.657037455</v>
      </c>
      <c r="BS59" s="11" t="n">
        <f aca="false">IF(BS$1&lt;Units!$P58,0,IF(AND(Units!$K58=0,BS$1=Units!$O58),Units!$R58,IF(AND(BS$1&gt;=Units!$Q58,MOD(BS$1-Units!$Q58,12)=0),IF(AND(Units!$L58=1,BS$1=Units!$Q58),IF(Units!$J58&lt;&gt;"",Units!$J58,Mkt!BS59),Inputs!$B$15*Mkt!BS59+(1-Inputs!$B$15)*MIN(Mkt!BS59,BR59*(1+Inputs!$B$18))),BR59)))</f>
        <v>2144.657037455</v>
      </c>
      <c r="BT59" s="11" t="n">
        <f aca="false">IF(BT$1&lt;Units!$P58,0,IF(AND(Units!$K58=0,BT$1=Units!$O58),Units!$R58,IF(AND(BT$1&gt;=Units!$Q58,MOD(BT$1-Units!$Q58,12)=0),IF(AND(Units!$L58=1,BT$1=Units!$Q58),IF(Units!$J58&lt;&gt;"",Units!$J58,Mkt!BT59),Inputs!$B$15*Mkt!BT59+(1-Inputs!$B$15)*MIN(Mkt!BT59,BS59*(1+Inputs!$B$18))),BS59)))</f>
        <v>2144.657037455</v>
      </c>
      <c r="BU59" s="11" t="n">
        <f aca="false">IF(BU$1&lt;Units!$P58,0,IF(AND(Units!$K58=0,BU$1=Units!$O58),Units!$R58,IF(AND(BU$1&gt;=Units!$Q58,MOD(BU$1-Units!$Q58,12)=0),IF(AND(Units!$L58=1,BU$1=Units!$Q58),IF(Units!$J58&lt;&gt;"",Units!$J58,Mkt!BU59),Inputs!$B$15*Mkt!BU59+(1-Inputs!$B$15)*MIN(Mkt!BU59,BT59*(1+Inputs!$B$18))),BT59)))</f>
        <v>2144.657037455</v>
      </c>
      <c r="BV59" s="11" t="n">
        <f aca="false">IF(BV$1&lt;Units!$P58,0,IF(AND(Units!$K58=0,BV$1=Units!$O58),Units!$R58,IF(AND(BV$1&gt;=Units!$Q58,MOD(BV$1-Units!$Q58,12)=0),IF(AND(Units!$L58=1,BV$1=Units!$Q58),IF(Units!$J58&lt;&gt;"",Units!$J58,Mkt!BV59),Inputs!$B$15*Mkt!BV59+(1-Inputs!$B$15)*MIN(Mkt!BV59,BU59*(1+Inputs!$B$18))),BU59)))</f>
        <v>2144.657037455</v>
      </c>
      <c r="BW59" s="11" t="n">
        <f aca="false">IF(BW$1&lt;Units!$P58,0,IF(AND(Units!$K58=0,BW$1=Units!$O58),Units!$R58,IF(AND(BW$1&gt;=Units!$Q58,MOD(BW$1-Units!$Q58,12)=0),IF(AND(Units!$L58=1,BW$1=Units!$Q58),IF(Units!$J58&lt;&gt;"",Units!$J58,Mkt!BW59),Inputs!$B$15*Mkt!BW59+(1-Inputs!$B$15)*MIN(Mkt!BW59,BV59*(1+Inputs!$B$18))),BV59)))</f>
        <v>2144.657037455</v>
      </c>
      <c r="BX59" s="11" t="n">
        <f aca="false">IF(BX$1&lt;Units!$P58,0,IF(AND(Units!$K58=0,BX$1=Units!$O58),Units!$R58,IF(AND(BX$1&gt;=Units!$Q58,MOD(BX$1-Units!$Q58,12)=0),IF(AND(Units!$L58=1,BX$1=Units!$Q58),IF(Units!$J58&lt;&gt;"",Units!$J58,Mkt!BX59),Inputs!$B$15*Mkt!BX59+(1-Inputs!$B$15)*MIN(Mkt!BX59,BW59*(1+Inputs!$B$18))),BW59)))</f>
        <v>2144.657037455</v>
      </c>
      <c r="BY59" s="11" t="n">
        <f aca="false">IF(BY$1&lt;Units!$P58,0,IF(AND(Units!$K58=0,BY$1=Units!$O58),Units!$R58,IF(AND(BY$1&gt;=Units!$Q58,MOD(BY$1-Units!$Q58,12)=0),IF(AND(Units!$L58=1,BY$1=Units!$Q58),IF(Units!$J58&lt;&gt;"",Units!$J58,Mkt!BY59),Inputs!$B$15*Mkt!BY59+(1-Inputs!$B$15)*MIN(Mkt!BY59,BX59*(1+Inputs!$B$18))),BX59)))</f>
        <v>2144.657037455</v>
      </c>
      <c r="BZ59" s="11" t="n">
        <f aca="false">IF(BZ$1&lt;Units!$P58,0,IF(AND(Units!$K58=0,BZ$1=Units!$O58),Units!$R58,IF(AND(BZ$1&gt;=Units!$Q58,MOD(BZ$1-Units!$Q58,12)=0),IF(AND(Units!$L58=1,BZ$1=Units!$Q58),IF(Units!$J58&lt;&gt;"",Units!$J58,Mkt!BZ59),Inputs!$B$15*Mkt!BZ59+(1-Inputs!$B$15)*MIN(Mkt!BZ59,BY59*(1+Inputs!$B$18))),BY59)))</f>
        <v>2144.657037455</v>
      </c>
      <c r="CA59" s="11" t="n">
        <f aca="false">IF(CA$1&lt;Units!$P58,0,IF(AND(Units!$K58=0,CA$1=Units!$O58),Units!$R58,IF(AND(CA$1&gt;=Units!$Q58,MOD(CA$1-Units!$Q58,12)=0),IF(AND(Units!$L58=1,CA$1=Units!$Q58),IF(Units!$J58&lt;&gt;"",Units!$J58,Mkt!CA59),Inputs!$B$15*Mkt!CA59+(1-Inputs!$B$15)*MIN(Mkt!CA59,BZ59*(1+Inputs!$B$18))),BZ59)))</f>
        <v>2208.99674857865</v>
      </c>
      <c r="CB59" s="11" t="n">
        <f aca="false">IF(CB$1&lt;Units!$P58,0,IF(AND(Units!$K58=0,CB$1=Units!$O58),Units!$R58,IF(AND(CB$1&gt;=Units!$Q58,MOD(CB$1-Units!$Q58,12)=0),IF(AND(Units!$L58=1,CB$1=Units!$Q58),IF(Units!$J58&lt;&gt;"",Units!$J58,Mkt!CB59),Inputs!$B$15*Mkt!CB59+(1-Inputs!$B$15)*MIN(Mkt!CB59,CA59*(1+Inputs!$B$18))),CA59)))</f>
        <v>2208.99674857865</v>
      </c>
      <c r="CC59" s="11" t="n">
        <f aca="false">IF(CC$1&lt;Units!$P58,0,IF(AND(Units!$K58=0,CC$1=Units!$O58),Units!$R58,IF(AND(CC$1&gt;=Units!$Q58,MOD(CC$1-Units!$Q58,12)=0),IF(AND(Units!$L58=1,CC$1=Units!$Q58),IF(Units!$J58&lt;&gt;"",Units!$J58,Mkt!CC59),Inputs!$B$15*Mkt!CC59+(1-Inputs!$B$15)*MIN(Mkt!CC59,CB59*(1+Inputs!$B$18))),CB59)))</f>
        <v>2208.99674857865</v>
      </c>
      <c r="CD59" s="11" t="n">
        <f aca="false">IF(CD$1&lt;Units!$P58,0,IF(AND(Units!$K58=0,CD$1=Units!$O58),Units!$R58,IF(AND(CD$1&gt;=Units!$Q58,MOD(CD$1-Units!$Q58,12)=0),IF(AND(Units!$L58=1,CD$1=Units!$Q58),IF(Units!$J58&lt;&gt;"",Units!$J58,Mkt!CD59),Inputs!$B$15*Mkt!CD59+(1-Inputs!$B$15)*MIN(Mkt!CD59,CC59*(1+Inputs!$B$18))),CC59)))</f>
        <v>2208.99674857865</v>
      </c>
      <c r="CE59" s="11" t="n">
        <f aca="false">IF(CE$1&lt;Units!$P58,0,IF(AND(Units!$K58=0,CE$1=Units!$O58),Units!$R58,IF(AND(CE$1&gt;=Units!$Q58,MOD(CE$1-Units!$Q58,12)=0),IF(AND(Units!$L58=1,CE$1=Units!$Q58),IF(Units!$J58&lt;&gt;"",Units!$J58,Mkt!CE59),Inputs!$B$15*Mkt!CE59+(1-Inputs!$B$15)*MIN(Mkt!CE59,CD59*(1+Inputs!$B$18))),CD59)))</f>
        <v>2208.99674857865</v>
      </c>
      <c r="CF59" s="11" t="n">
        <f aca="false">IF(CF$1&lt;Units!$P58,0,IF(AND(Units!$K58=0,CF$1=Units!$O58),Units!$R58,IF(AND(CF$1&gt;=Units!$Q58,MOD(CF$1-Units!$Q58,12)=0),IF(AND(Units!$L58=1,CF$1=Units!$Q58),IF(Units!$J58&lt;&gt;"",Units!$J58,Mkt!CF59),Inputs!$B$15*Mkt!CF59+(1-Inputs!$B$15)*MIN(Mkt!CF59,CE59*(1+Inputs!$B$18))),CE59)))</f>
        <v>2208.99674857865</v>
      </c>
      <c r="CG59" s="11" t="n">
        <f aca="false">IF(CG$1&lt;Units!$P58,0,IF(AND(Units!$K58=0,CG$1=Units!$O58),Units!$R58,IF(AND(CG$1&gt;=Units!$Q58,MOD(CG$1-Units!$Q58,12)=0),IF(AND(Units!$L58=1,CG$1=Units!$Q58),IF(Units!$J58&lt;&gt;"",Units!$J58,Mkt!CG59),Inputs!$B$15*Mkt!CG59+(1-Inputs!$B$15)*MIN(Mkt!CG59,CF59*(1+Inputs!$B$18))),CF59)))</f>
        <v>2208.99674857865</v>
      </c>
      <c r="CH59" s="11" t="n">
        <f aca="false">IF(CH$1&lt;Units!$P58,0,IF(AND(Units!$K58=0,CH$1=Units!$O58),Units!$R58,IF(AND(CH$1&gt;=Units!$Q58,MOD(CH$1-Units!$Q58,12)=0),IF(AND(Units!$L58=1,CH$1=Units!$Q58),IF(Units!$J58&lt;&gt;"",Units!$J58,Mkt!CH59),Inputs!$B$15*Mkt!CH59+(1-Inputs!$B$15)*MIN(Mkt!CH59,CG59*(1+Inputs!$B$18))),CG59)))</f>
        <v>2208.99674857865</v>
      </c>
      <c r="CI59" s="11" t="n">
        <f aca="false">IF(CI$1&lt;Units!$P58,0,IF(AND(Units!$K58=0,CI$1=Units!$O58),Units!$R58,IF(AND(CI$1&gt;=Units!$Q58,MOD(CI$1-Units!$Q58,12)=0),IF(AND(Units!$L58=1,CI$1=Units!$Q58),IF(Units!$J58&lt;&gt;"",Units!$J58,Mkt!CI59),Inputs!$B$15*Mkt!CI59+(1-Inputs!$B$15)*MIN(Mkt!CI59,CH59*(1+Inputs!$B$18))),CH59)))</f>
        <v>2208.99674857865</v>
      </c>
      <c r="CJ59" s="11" t="n">
        <f aca="false">IF(CJ$1&lt;Units!$P58,0,IF(AND(Units!$K58=0,CJ$1=Units!$O58),Units!$R58,IF(AND(CJ$1&gt;=Units!$Q58,MOD(CJ$1-Units!$Q58,12)=0),IF(AND(Units!$L58=1,CJ$1=Units!$Q58),IF(Units!$J58&lt;&gt;"",Units!$J58,Mkt!CJ59),Inputs!$B$15*Mkt!CJ59+(1-Inputs!$B$15)*MIN(Mkt!CJ59,CI59*(1+Inputs!$B$18))),CI59)))</f>
        <v>2208.99674857865</v>
      </c>
      <c r="CK59" s="11" t="n">
        <f aca="false">IF(CK$1&lt;Units!$P58,0,IF(AND(Units!$K58=0,CK$1=Units!$O58),Units!$R58,IF(AND(CK$1&gt;=Units!$Q58,MOD(CK$1-Units!$Q58,12)=0),IF(AND(Units!$L58=1,CK$1=Units!$Q58),IF(Units!$J58&lt;&gt;"",Units!$J58,Mkt!CK59),Inputs!$B$15*Mkt!CK59+(1-Inputs!$B$15)*MIN(Mkt!CK59,CJ59*(1+Inputs!$B$18))),CJ59)))</f>
        <v>2208.99674857865</v>
      </c>
      <c r="CL59" s="11" t="n">
        <f aca="false">IF(CL$1&lt;Units!$P58,0,IF(AND(Units!$K58=0,CL$1=Units!$O58),Units!$R58,IF(AND(CL$1&gt;=Units!$Q58,MOD(CL$1-Units!$Q58,12)=0),IF(AND(Units!$L58=1,CL$1=Units!$Q58),IF(Units!$J58&lt;&gt;"",Units!$J58,Mkt!CL59),Inputs!$B$15*Mkt!CL59+(1-Inputs!$B$15)*MIN(Mkt!CL59,CK59*(1+Inputs!$B$18))),CK59)))</f>
        <v>2208.99674857865</v>
      </c>
      <c r="CM59" s="11" t="n">
        <f aca="false">IF(CM$1&lt;Units!$P58,0,IF(AND(Units!$K58=0,CM$1=Units!$O58),Units!$R58,IF(AND(CM$1&gt;=Units!$Q58,MOD(CM$1-Units!$Q58,12)=0),IF(AND(Units!$L58=1,CM$1=Units!$Q58),IF(Units!$J58&lt;&gt;"",Units!$J58,Mkt!CM59),Inputs!$B$15*Mkt!CM59+(1-Inputs!$B$15)*MIN(Mkt!CM59,CL59*(1+Inputs!$B$18))),CL59)))</f>
        <v>2275.26665103601</v>
      </c>
      <c r="CN59" s="11" t="n">
        <f aca="false">IF(CN$1&lt;Units!$P58,0,IF(AND(Units!$K58=0,CN$1=Units!$O58),Units!$R58,IF(AND(CN$1&gt;=Units!$Q58,MOD(CN$1-Units!$Q58,12)=0),IF(AND(Units!$L58=1,CN$1=Units!$Q58),IF(Units!$J58&lt;&gt;"",Units!$J58,Mkt!CN59),Inputs!$B$15*Mkt!CN59+(1-Inputs!$B$15)*MIN(Mkt!CN59,CM59*(1+Inputs!$B$18))),CM59)))</f>
        <v>2275.26665103601</v>
      </c>
      <c r="CO59" s="11" t="n">
        <f aca="false">IF(CO$1&lt;Units!$P58,0,IF(AND(Units!$K58=0,CO$1=Units!$O58),Units!$R58,IF(AND(CO$1&gt;=Units!$Q58,MOD(CO$1-Units!$Q58,12)=0),IF(AND(Units!$L58=1,CO$1=Units!$Q58),IF(Units!$J58&lt;&gt;"",Units!$J58,Mkt!CO59),Inputs!$B$15*Mkt!CO59+(1-Inputs!$B$15)*MIN(Mkt!CO59,CN59*(1+Inputs!$B$18))),CN59)))</f>
        <v>2275.26665103601</v>
      </c>
      <c r="CP59" s="11" t="n">
        <f aca="false">IF(CP$1&lt;Units!$P58,0,IF(AND(Units!$K58=0,CP$1=Units!$O58),Units!$R58,IF(AND(CP$1&gt;=Units!$Q58,MOD(CP$1-Units!$Q58,12)=0),IF(AND(Units!$L58=1,CP$1=Units!$Q58),IF(Units!$J58&lt;&gt;"",Units!$J58,Mkt!CP59),Inputs!$B$15*Mkt!CP59+(1-Inputs!$B$15)*MIN(Mkt!CP59,CO59*(1+Inputs!$B$18))),CO59)))</f>
        <v>2275.26665103601</v>
      </c>
      <c r="CQ59" s="11" t="n">
        <f aca="false">IF(CQ$1&lt;Units!$P58,0,IF(AND(Units!$K58=0,CQ$1=Units!$O58),Units!$R58,IF(AND(CQ$1&gt;=Units!$Q58,MOD(CQ$1-Units!$Q58,12)=0),IF(AND(Units!$L58=1,CQ$1=Units!$Q58),IF(Units!$J58&lt;&gt;"",Units!$J58,Mkt!CQ59),Inputs!$B$15*Mkt!CQ59+(1-Inputs!$B$15)*MIN(Mkt!CQ59,CP59*(1+Inputs!$B$18))),CP59)))</f>
        <v>2275.26665103601</v>
      </c>
      <c r="CR59" s="11" t="n">
        <f aca="false">IF(CR$1&lt;Units!$P58,0,IF(AND(Units!$K58=0,CR$1=Units!$O58),Units!$R58,IF(AND(CR$1&gt;=Units!$Q58,MOD(CR$1-Units!$Q58,12)=0),IF(AND(Units!$L58=1,CR$1=Units!$Q58),IF(Units!$J58&lt;&gt;"",Units!$J58,Mkt!CR59),Inputs!$B$15*Mkt!CR59+(1-Inputs!$B$15)*MIN(Mkt!CR59,CQ59*(1+Inputs!$B$18))),CQ59)))</f>
        <v>2275.26665103601</v>
      </c>
      <c r="CS59" s="11" t="n">
        <f aca="false">IF(CS$1&lt;Units!$P58,0,IF(AND(Units!$K58=0,CS$1=Units!$O58),Units!$R58,IF(AND(CS$1&gt;=Units!$Q58,MOD(CS$1-Units!$Q58,12)=0),IF(AND(Units!$L58=1,CS$1=Units!$Q58),IF(Units!$J58&lt;&gt;"",Units!$J58,Mkt!CS59),Inputs!$B$15*Mkt!CS59+(1-Inputs!$B$15)*MIN(Mkt!CS59,CR59*(1+Inputs!$B$18))),CR59)))</f>
        <v>2275.26665103601</v>
      </c>
      <c r="CT59" s="11" t="n">
        <f aca="false">IF(CT$1&lt;Units!$P58,0,IF(AND(Units!$K58=0,CT$1=Units!$O58),Units!$R58,IF(AND(CT$1&gt;=Units!$Q58,MOD(CT$1-Units!$Q58,12)=0),IF(AND(Units!$L58=1,CT$1=Units!$Q58),IF(Units!$J58&lt;&gt;"",Units!$J58,Mkt!CT59),Inputs!$B$15*Mkt!CT59+(1-Inputs!$B$15)*MIN(Mkt!CT59,CS59*(1+Inputs!$B$18))),CS59)))</f>
        <v>2275.26665103601</v>
      </c>
      <c r="CU59" s="11" t="n">
        <f aca="false">IF(CU$1&lt;Units!$P58,0,IF(AND(Units!$K58=0,CU$1=Units!$O58),Units!$R58,IF(AND(CU$1&gt;=Units!$Q58,MOD(CU$1-Units!$Q58,12)=0),IF(AND(Units!$L58=1,CU$1=Units!$Q58),IF(Units!$J58&lt;&gt;"",Units!$J58,Mkt!CU59),Inputs!$B$15*Mkt!CU59+(1-Inputs!$B$15)*MIN(Mkt!CU59,CT59*(1+Inputs!$B$18))),CT59)))</f>
        <v>2275.26665103601</v>
      </c>
      <c r="CV59" s="11" t="n">
        <f aca="false">IF(CV$1&lt;Units!$P58,0,IF(AND(Units!$K58=0,CV$1=Units!$O58),Units!$R58,IF(AND(CV$1&gt;=Units!$Q58,MOD(CV$1-Units!$Q58,12)=0),IF(AND(Units!$L58=1,CV$1=Units!$Q58),IF(Units!$J58&lt;&gt;"",Units!$J58,Mkt!CV59),Inputs!$B$15*Mkt!CV59+(1-Inputs!$B$15)*MIN(Mkt!CV59,CU59*(1+Inputs!$B$18))),CU59)))</f>
        <v>2275.26665103601</v>
      </c>
      <c r="CW59" s="11" t="n">
        <f aca="false">IF(CW$1&lt;Units!$P58,0,IF(AND(Units!$K58=0,CW$1=Units!$O58),Units!$R58,IF(AND(CW$1&gt;=Units!$Q58,MOD(CW$1-Units!$Q58,12)=0),IF(AND(Units!$L58=1,CW$1=Units!$Q58),IF(Units!$J58&lt;&gt;"",Units!$J58,Mkt!CW59),Inputs!$B$15*Mkt!CW59+(1-Inputs!$B$15)*MIN(Mkt!CW59,CV59*(1+Inputs!$B$18))),CV59)))</f>
        <v>2275.26665103601</v>
      </c>
      <c r="CX59" s="11" t="n">
        <f aca="false">IF(CX$1&lt;Units!$P58,0,IF(AND(Units!$K58=0,CX$1=Units!$O58),Units!$R58,IF(AND(CX$1&gt;=Units!$Q58,MOD(CX$1-Units!$Q58,12)=0),IF(AND(Units!$L58=1,CX$1=Units!$Q58),IF(Units!$J58&lt;&gt;"",Units!$J58,Mkt!CX59),Inputs!$B$15*Mkt!CX59+(1-Inputs!$B$15)*MIN(Mkt!CX59,CW59*(1+Inputs!$B$18))),CW59)))</f>
        <v>2275.26665103601</v>
      </c>
      <c r="CY59" s="11" t="n">
        <f aca="false">IF(CY$1&lt;Units!$P58,0,IF(AND(Units!$K58=0,CY$1=Units!$O58),Units!$R58,IF(AND(CY$1&gt;=Units!$Q58,MOD(CY$1-Units!$Q58,12)=0),IF(AND(Units!$L58=1,CY$1=Units!$Q58),IF(Units!$J58&lt;&gt;"",Units!$J58,Mkt!CY59),Inputs!$B$15*Mkt!CY59+(1-Inputs!$B$15)*MIN(Mkt!CY59,CX59*(1+Inputs!$B$18))),CX59)))</f>
        <v>2343.52465056709</v>
      </c>
      <c r="CZ59" s="11" t="n">
        <f aca="false">IF(CZ$1&lt;Units!$P58,0,IF(AND(Units!$K58=0,CZ$1=Units!$O58),Units!$R58,IF(AND(CZ$1&gt;=Units!$Q58,MOD(CZ$1-Units!$Q58,12)=0),IF(AND(Units!$L58=1,CZ$1=Units!$Q58),IF(Units!$J58&lt;&gt;"",Units!$J58,Mkt!CZ59),Inputs!$B$15*Mkt!CZ59+(1-Inputs!$B$15)*MIN(Mkt!CZ59,CY59*(1+Inputs!$B$18))),CY59)))</f>
        <v>2343.52465056709</v>
      </c>
      <c r="DA59" s="11" t="n">
        <f aca="false">IF(DA$1&lt;Units!$P58,0,IF(AND(Units!$K58=0,DA$1=Units!$O58),Units!$R58,IF(AND(DA$1&gt;=Units!$Q58,MOD(DA$1-Units!$Q58,12)=0),IF(AND(Units!$L58=1,DA$1=Units!$Q58),IF(Units!$J58&lt;&gt;"",Units!$J58,Mkt!DA59),Inputs!$B$15*Mkt!DA59+(1-Inputs!$B$15)*MIN(Mkt!DA59,CZ59*(1+Inputs!$B$18))),CZ59)))</f>
        <v>2343.52465056709</v>
      </c>
      <c r="DB59" s="11" t="n">
        <f aca="false">IF(DB$1&lt;Units!$P58,0,IF(AND(Units!$K58=0,DB$1=Units!$O58),Units!$R58,IF(AND(DB$1&gt;=Units!$Q58,MOD(DB$1-Units!$Q58,12)=0),IF(AND(Units!$L58=1,DB$1=Units!$Q58),IF(Units!$J58&lt;&gt;"",Units!$J58,Mkt!DB59),Inputs!$B$15*Mkt!DB59+(1-Inputs!$B$15)*MIN(Mkt!DB59,DA59*(1+Inputs!$B$18))),DA59)))</f>
        <v>2343.52465056709</v>
      </c>
      <c r="DC59" s="11" t="n">
        <f aca="false">IF(DC$1&lt;Units!$P58,0,IF(AND(Units!$K58=0,DC$1=Units!$O58),Units!$R58,IF(AND(DC$1&gt;=Units!$Q58,MOD(DC$1-Units!$Q58,12)=0),IF(AND(Units!$L58=1,DC$1=Units!$Q58),IF(Units!$J58&lt;&gt;"",Units!$J58,Mkt!DC59),Inputs!$B$15*Mkt!DC59+(1-Inputs!$B$15)*MIN(Mkt!DC59,DB59*(1+Inputs!$B$18))),DB59)))</f>
        <v>2343.52465056709</v>
      </c>
      <c r="DD59" s="11" t="n">
        <f aca="false">IF(DD$1&lt;Units!$P58,0,IF(AND(Units!$K58=0,DD$1=Units!$O58),Units!$R58,IF(AND(DD$1&gt;=Units!$Q58,MOD(DD$1-Units!$Q58,12)=0),IF(AND(Units!$L58=1,DD$1=Units!$Q58),IF(Units!$J58&lt;&gt;"",Units!$J58,Mkt!DD59),Inputs!$B$15*Mkt!DD59+(1-Inputs!$B$15)*MIN(Mkt!DD59,DC59*(1+Inputs!$B$18))),DC59)))</f>
        <v>2343.52465056709</v>
      </c>
      <c r="DE59" s="11" t="n">
        <f aca="false">IF(DE$1&lt;Units!$P58,0,IF(AND(Units!$K58=0,DE$1=Units!$O58),Units!$R58,IF(AND(DE$1&gt;=Units!$Q58,MOD(DE$1-Units!$Q58,12)=0),IF(AND(Units!$L58=1,DE$1=Units!$Q58),IF(Units!$J58&lt;&gt;"",Units!$J58,Mkt!DE59),Inputs!$B$15*Mkt!DE59+(1-Inputs!$B$15)*MIN(Mkt!DE59,DD59*(1+Inputs!$B$18))),DD59)))</f>
        <v>2343.52465056709</v>
      </c>
      <c r="DF59" s="11" t="n">
        <f aca="false">IF(DF$1&lt;Units!$P58,0,IF(AND(Units!$K58=0,DF$1=Units!$O58),Units!$R58,IF(AND(DF$1&gt;=Units!$Q58,MOD(DF$1-Units!$Q58,12)=0),IF(AND(Units!$L58=1,DF$1=Units!$Q58),IF(Units!$J58&lt;&gt;"",Units!$J58,Mkt!DF59),Inputs!$B$15*Mkt!DF59+(1-Inputs!$B$15)*MIN(Mkt!DF59,DE59*(1+Inputs!$B$18))),DE59)))</f>
        <v>2343.52465056709</v>
      </c>
      <c r="DG59" s="11" t="n">
        <f aca="false">IF(DG$1&lt;Units!$P58,0,IF(AND(Units!$K58=0,DG$1=Units!$O58),Units!$R58,IF(AND(DG$1&gt;=Units!$Q58,MOD(DG$1-Units!$Q58,12)=0),IF(AND(Units!$L58=1,DG$1=Units!$Q58),IF(Units!$J58&lt;&gt;"",Units!$J58,Mkt!DG59),Inputs!$B$15*Mkt!DG59+(1-Inputs!$B$15)*MIN(Mkt!DG59,DF59*(1+Inputs!$B$18))),DF59)))</f>
        <v>2343.52465056709</v>
      </c>
      <c r="DH59" s="11" t="n">
        <f aca="false">IF(DH$1&lt;Units!$P58,0,IF(AND(Units!$K58=0,DH$1=Units!$O58),Units!$R58,IF(AND(DH$1&gt;=Units!$Q58,MOD(DH$1-Units!$Q58,12)=0),IF(AND(Units!$L58=1,DH$1=Units!$Q58),IF(Units!$J58&lt;&gt;"",Units!$J58,Mkt!DH59),Inputs!$B$15*Mkt!DH59+(1-Inputs!$B$15)*MIN(Mkt!DH59,DG59*(1+Inputs!$B$18))),DG59)))</f>
        <v>2343.52465056709</v>
      </c>
      <c r="DI59" s="11" t="n">
        <f aca="false">IF(DI$1&lt;Units!$P58,0,IF(AND(Units!$K58=0,DI$1=Units!$O58),Units!$R58,IF(AND(DI$1&gt;=Units!$Q58,MOD(DI$1-Units!$Q58,12)=0),IF(AND(Units!$L58=1,DI$1=Units!$Q58),IF(Units!$J58&lt;&gt;"",Units!$J58,Mkt!DI59),Inputs!$B$15*Mkt!DI59+(1-Inputs!$B$15)*MIN(Mkt!DI59,DH59*(1+Inputs!$B$18))),DH59)))</f>
        <v>2343.52465056709</v>
      </c>
      <c r="DJ59" s="11" t="n">
        <f aca="false">IF(DJ$1&lt;Units!$P58,0,IF(AND(Units!$K58=0,DJ$1=Units!$O58),Units!$R58,IF(AND(DJ$1&gt;=Units!$Q58,MOD(DJ$1-Units!$Q58,12)=0),IF(AND(Units!$L58=1,DJ$1=Units!$Q58),IF(Units!$J58&lt;&gt;"",Units!$J58,Mkt!DJ59),Inputs!$B$15*Mkt!DJ59+(1-Inputs!$B$15)*MIN(Mkt!DJ59,DI59*(1+Inputs!$B$18))),DI59)))</f>
        <v>2343.52465056709</v>
      </c>
      <c r="DK59" s="11" t="n">
        <f aca="false">IF(DK$1&lt;Units!$P58,0,IF(AND(Units!$K58=0,DK$1=Units!$O58),Units!$R58,IF(AND(DK$1&gt;=Units!$Q58,MOD(DK$1-Units!$Q58,12)=0),IF(AND(Units!$L58=1,DK$1=Units!$Q58),IF(Units!$J58&lt;&gt;"",Units!$J58,Mkt!DK59),Inputs!$B$15*Mkt!DK59+(1-Inputs!$B$15)*MIN(Mkt!DK59,DJ59*(1+Inputs!$B$18))),DJ59)))</f>
        <v>2413.8303900841</v>
      </c>
      <c r="DL59" s="11" t="n">
        <f aca="false">IF(DL$1&lt;Units!$P58,0,IF(AND(Units!$K58=0,DL$1=Units!$O58),Units!$R58,IF(AND(DL$1&gt;=Units!$Q58,MOD(DL$1-Units!$Q58,12)=0),IF(AND(Units!$L58=1,DL$1=Units!$Q58),IF(Units!$J58&lt;&gt;"",Units!$J58,Mkt!DL59),Inputs!$B$15*Mkt!DL59+(1-Inputs!$B$15)*MIN(Mkt!DL59,DK59*(1+Inputs!$B$18))),DK59)))</f>
        <v>2413.8303900841</v>
      </c>
      <c r="DM59" s="11" t="n">
        <f aca="false">IF(DM$1&lt;Units!$P58,0,IF(AND(Units!$K58=0,DM$1=Units!$O58),Units!$R58,IF(AND(DM$1&gt;=Units!$Q58,MOD(DM$1-Units!$Q58,12)=0),IF(AND(Units!$L58=1,DM$1=Units!$Q58),IF(Units!$J58&lt;&gt;"",Units!$J58,Mkt!DM59),Inputs!$B$15*Mkt!DM59+(1-Inputs!$B$15)*MIN(Mkt!DM59,DL59*(1+Inputs!$B$18))),DL59)))</f>
        <v>2413.8303900841</v>
      </c>
      <c r="DN59" s="11" t="n">
        <f aca="false">IF(DN$1&lt;Units!$P58,0,IF(AND(Units!$K58=0,DN$1=Units!$O58),Units!$R58,IF(AND(DN$1&gt;=Units!$Q58,MOD(DN$1-Units!$Q58,12)=0),IF(AND(Units!$L58=1,DN$1=Units!$Q58),IF(Units!$J58&lt;&gt;"",Units!$J58,Mkt!DN59),Inputs!$B$15*Mkt!DN59+(1-Inputs!$B$15)*MIN(Mkt!DN59,DM59*(1+Inputs!$B$18))),DM59)))</f>
        <v>2413.8303900841</v>
      </c>
      <c r="DO59" s="11" t="n">
        <f aca="false">IF(DO$1&lt;Units!$P58,0,IF(AND(Units!$K58=0,DO$1=Units!$O58),Units!$R58,IF(AND(DO$1&gt;=Units!$Q58,MOD(DO$1-Units!$Q58,12)=0),IF(AND(Units!$L58=1,DO$1=Units!$Q58),IF(Units!$J58&lt;&gt;"",Units!$J58,Mkt!DO59),Inputs!$B$15*Mkt!DO59+(1-Inputs!$B$15)*MIN(Mkt!DO59,DN59*(1+Inputs!$B$18))),DN59)))</f>
        <v>2413.8303900841</v>
      </c>
      <c r="DP59" s="11" t="n">
        <f aca="false">IF(DP$1&lt;Units!$P58,0,IF(AND(Units!$K58=0,DP$1=Units!$O58),Units!$R58,IF(AND(DP$1&gt;=Units!$Q58,MOD(DP$1-Units!$Q58,12)=0),IF(AND(Units!$L58=1,DP$1=Units!$Q58),IF(Units!$J58&lt;&gt;"",Units!$J58,Mkt!DP59),Inputs!$B$15*Mkt!DP59+(1-Inputs!$B$15)*MIN(Mkt!DP59,DO59*(1+Inputs!$B$18))),DO59)))</f>
        <v>2413.8303900841</v>
      </c>
      <c r="DQ59" s="11" t="n">
        <f aca="false">IF(DQ$1&lt;Units!$P58,0,IF(AND(Units!$K58=0,DQ$1=Units!$O58),Units!$R58,IF(AND(DQ$1&gt;=Units!$Q58,MOD(DQ$1-Units!$Q58,12)=0),IF(AND(Units!$L58=1,DQ$1=Units!$Q58),IF(Units!$J58&lt;&gt;"",Units!$J58,Mkt!DQ59),Inputs!$B$15*Mkt!DQ59+(1-Inputs!$B$15)*MIN(Mkt!DQ59,DP59*(1+Inputs!$B$18))),DP59)))</f>
        <v>2413.8303900841</v>
      </c>
      <c r="DR59" s="11" t="n">
        <f aca="false">IF(DR$1&lt;Units!$P58,0,IF(AND(Units!$K58=0,DR$1=Units!$O58),Units!$R58,IF(AND(DR$1&gt;=Units!$Q58,MOD(DR$1-Units!$Q58,12)=0),IF(AND(Units!$L58=1,DR$1=Units!$Q58),IF(Units!$J58&lt;&gt;"",Units!$J58,Mkt!DR59),Inputs!$B$15*Mkt!DR59+(1-Inputs!$B$15)*MIN(Mkt!DR59,DQ59*(1+Inputs!$B$18))),DQ59)))</f>
        <v>2413.8303900841</v>
      </c>
      <c r="DS59" s="11" t="n">
        <f aca="false">IF(DS$1&lt;Units!$P58,0,IF(AND(Units!$K58=0,DS$1=Units!$O58),Units!$R58,IF(AND(DS$1&gt;=Units!$Q58,MOD(DS$1-Units!$Q58,12)=0),IF(AND(Units!$L58=1,DS$1=Units!$Q58),IF(Units!$J58&lt;&gt;"",Units!$J58,Mkt!DS59),Inputs!$B$15*Mkt!DS59+(1-Inputs!$B$15)*MIN(Mkt!DS59,DR59*(1+Inputs!$B$18))),DR59)))</f>
        <v>2413.8303900841</v>
      </c>
      <c r="DT59" s="11" t="n">
        <f aca="false">IF(DT$1&lt;Units!$P58,0,IF(AND(Units!$K58=0,DT$1=Units!$O58),Units!$R58,IF(AND(DT$1&gt;=Units!$Q58,MOD(DT$1-Units!$Q58,12)=0),IF(AND(Units!$L58=1,DT$1=Units!$Q58),IF(Units!$J58&lt;&gt;"",Units!$J58,Mkt!DT59),Inputs!$B$15*Mkt!DT59+(1-Inputs!$B$15)*MIN(Mkt!DT59,DS59*(1+Inputs!$B$18))),DS59)))</f>
        <v>2413.8303900841</v>
      </c>
      <c r="DU59" s="11" t="n">
        <f aca="false">IF(DU$1&lt;Units!$P58,0,IF(AND(Units!$K58=0,DU$1=Units!$O58),Units!$R58,IF(AND(DU$1&gt;=Units!$Q58,MOD(DU$1-Units!$Q58,12)=0),IF(AND(Units!$L58=1,DU$1=Units!$Q58),IF(Units!$J58&lt;&gt;"",Units!$J58,Mkt!DU59),Inputs!$B$15*Mkt!DU59+(1-Inputs!$B$15)*MIN(Mkt!DU59,DT59*(1+Inputs!$B$18))),DT59)))</f>
        <v>2413.8303900841</v>
      </c>
      <c r="DV59" s="11" t="n">
        <f aca="false">IF(DV$1&lt;Units!$P58,0,IF(AND(Units!$K58=0,DV$1=Units!$O58),Units!$R58,IF(AND(DV$1&gt;=Units!$Q58,MOD(DV$1-Units!$Q58,12)=0),IF(AND(Units!$L58=1,DV$1=Units!$Q58),IF(Units!$J58&lt;&gt;"",Units!$J58,Mkt!DV59),Inputs!$B$15*Mkt!DV59+(1-Inputs!$B$15)*MIN(Mkt!DV59,DU59*(1+Inputs!$B$18))),DU59)))</f>
        <v>2413.8303900841</v>
      </c>
      <c r="DW59" s="11" t="n">
        <f aca="false">IF(DW$1&lt;Units!$P58,0,IF(AND(Units!$K58=0,DW$1=Units!$O58),Units!$R58,IF(AND(DW$1&gt;=Units!$Q58,MOD(DW$1-Units!$Q58,12)=0),IF(AND(Units!$L58=1,DW$1=Units!$Q58),IF(Units!$J58&lt;&gt;"",Units!$J58,Mkt!DW59),Inputs!$B$15*Mkt!DW59+(1-Inputs!$B$15)*MIN(Mkt!DW59,DV59*(1+Inputs!$B$18))),DV59)))</f>
        <v>2486.24530178663</v>
      </c>
      <c r="DX59" s="11" t="n">
        <f aca="false">IF(DX$1&lt;Units!$P58,0,IF(AND(Units!$K58=0,DX$1=Units!$O58),Units!$R58,IF(AND(DX$1&gt;=Units!$Q58,MOD(DX$1-Units!$Q58,12)=0),IF(AND(Units!$L58=1,DX$1=Units!$Q58),IF(Units!$J58&lt;&gt;"",Units!$J58,Mkt!DX59),Inputs!$B$15*Mkt!DX59+(1-Inputs!$B$15)*MIN(Mkt!DX59,DW59*(1+Inputs!$B$18))),DW59)))</f>
        <v>2486.24530178663</v>
      </c>
      <c r="DY59" s="11" t="n">
        <f aca="false">IF(DY$1&lt;Units!$P58,0,IF(AND(Units!$K58=0,DY$1=Units!$O58),Units!$R58,IF(AND(DY$1&gt;=Units!$Q58,MOD(DY$1-Units!$Q58,12)=0),IF(AND(Units!$L58=1,DY$1=Units!$Q58),IF(Units!$J58&lt;&gt;"",Units!$J58,Mkt!DY59),Inputs!$B$15*Mkt!DY59+(1-Inputs!$B$15)*MIN(Mkt!DY59,DX59*(1+Inputs!$B$18))),DX59)))</f>
        <v>2486.24530178663</v>
      </c>
      <c r="DZ59" s="11" t="n">
        <f aca="false">IF(DZ$1&lt;Units!$P58,0,IF(AND(Units!$K58=0,DZ$1=Units!$O58),Units!$R58,IF(AND(DZ$1&gt;=Units!$Q58,MOD(DZ$1-Units!$Q58,12)=0),IF(AND(Units!$L58=1,DZ$1=Units!$Q58),IF(Units!$J58&lt;&gt;"",Units!$J58,Mkt!DZ59),Inputs!$B$15*Mkt!DZ59+(1-Inputs!$B$15)*MIN(Mkt!DZ59,DY59*(1+Inputs!$B$18))),DY59)))</f>
        <v>2486.24530178663</v>
      </c>
      <c r="EA59" s="11" t="n">
        <f aca="false">IF(EA$1&lt;Units!$P58,0,IF(AND(Units!$K58=0,EA$1=Units!$O58),Units!$R58,IF(AND(EA$1&gt;=Units!$Q58,MOD(EA$1-Units!$Q58,12)=0),IF(AND(Units!$L58=1,EA$1=Units!$Q58),IF(Units!$J58&lt;&gt;"",Units!$J58,Mkt!EA59),Inputs!$B$15*Mkt!EA59+(1-Inputs!$B$15)*MIN(Mkt!EA59,DZ59*(1+Inputs!$B$18))),DZ59)))</f>
        <v>2486.24530178663</v>
      </c>
      <c r="EB59" s="11" t="n">
        <f aca="false">IF(EB$1&lt;Units!$P58,0,IF(AND(Units!$K58=0,EB$1=Units!$O58),Units!$R58,IF(AND(EB$1&gt;=Units!$Q58,MOD(EB$1-Units!$Q58,12)=0),IF(AND(Units!$L58=1,EB$1=Units!$Q58),IF(Units!$J58&lt;&gt;"",Units!$J58,Mkt!EB59),Inputs!$B$15*Mkt!EB59+(1-Inputs!$B$15)*MIN(Mkt!EB59,EA59*(1+Inputs!$B$18))),EA59)))</f>
        <v>2486.24530178663</v>
      </c>
      <c r="EC59" s="11" t="n">
        <f aca="false">IF(EC$1&lt;Units!$P58,0,IF(AND(Units!$K58=0,EC$1=Units!$O58),Units!$R58,IF(AND(EC$1&gt;=Units!$Q58,MOD(EC$1-Units!$Q58,12)=0),IF(AND(Units!$L58=1,EC$1=Units!$Q58),IF(Units!$J58&lt;&gt;"",Units!$J58,Mkt!EC59),Inputs!$B$15*Mkt!EC59+(1-Inputs!$B$15)*MIN(Mkt!EC59,EB59*(1+Inputs!$B$18))),EB59)))</f>
        <v>2486.24530178663</v>
      </c>
      <c r="ED59" s="11" t="n">
        <f aca="false">IF(ED$1&lt;Units!$P58,0,IF(AND(Units!$K58=0,ED$1=Units!$O58),Units!$R58,IF(AND(ED$1&gt;=Units!$Q58,MOD(ED$1-Units!$Q58,12)=0),IF(AND(Units!$L58=1,ED$1=Units!$Q58),IF(Units!$J58&lt;&gt;"",Units!$J58,Mkt!ED59),Inputs!$B$15*Mkt!ED59+(1-Inputs!$B$15)*MIN(Mkt!ED59,EC59*(1+Inputs!$B$18))),EC59)))</f>
        <v>2486.24530178663</v>
      </c>
    </row>
    <row r="60" customFormat="false" ht="15" hidden="false" customHeight="false" outlineLevel="0" collapsed="false">
      <c r="A60" s="22" t="n">
        <f aca="false">Units!A59</f>
        <v>228</v>
      </c>
      <c r="B60" s="24" t="n">
        <f aca="false">IF(Units!K59=1,Units!F59,0)</f>
        <v>2235</v>
      </c>
      <c r="C60" s="11" t="n">
        <f aca="false">IF(C$1&lt;Units!$P59,0,IF(AND(Units!$K59=0,C$1=Units!$O59),Units!$R59,IF(AND(C$1&gt;=Units!$Q59,MOD(C$1-Units!$Q59,12)=0),IF(AND(Units!$L59=1,C$1=Units!$Q59),IF(Units!$J59&lt;&gt;"",Units!$J59,Mkt!C60),Inputs!$B$15*Mkt!C60+(1-Inputs!$B$15)*MIN(Mkt!C60,B60*(1+Inputs!$B$18))),B60)))</f>
        <v>2235</v>
      </c>
      <c r="D60" s="11" t="n">
        <f aca="false">IF(D$1&lt;Units!$P59,0,IF(AND(Units!$K59=0,D$1=Units!$O59),Units!$R59,IF(AND(D$1&gt;=Units!$Q59,MOD(D$1-Units!$Q59,12)=0),IF(AND(Units!$L59=1,D$1=Units!$Q59),IF(Units!$J59&lt;&gt;"",Units!$J59,Mkt!D60),Inputs!$B$15*Mkt!D60+(1-Inputs!$B$15)*MIN(Mkt!D60,C60*(1+Inputs!$B$18))),C60)))</f>
        <v>2235</v>
      </c>
      <c r="E60" s="11" t="n">
        <f aca="false">IF(E$1&lt;Units!$P59,0,IF(AND(Units!$K59=0,E$1=Units!$O59),Units!$R59,IF(AND(E$1&gt;=Units!$Q59,MOD(E$1-Units!$Q59,12)=0),IF(AND(Units!$L59=1,E$1=Units!$Q59),IF(Units!$J59&lt;&gt;"",Units!$J59,Mkt!E60),Inputs!$B$15*Mkt!E60+(1-Inputs!$B$15)*MIN(Mkt!E60,D60*(1+Inputs!$B$18))),D60)))</f>
        <v>2235</v>
      </c>
      <c r="F60" s="11" t="n">
        <f aca="false">IF(F$1&lt;Units!$P59,0,IF(AND(Units!$K59=0,F$1=Units!$O59),Units!$R59,IF(AND(F$1&gt;=Units!$Q59,MOD(F$1-Units!$Q59,12)=0),IF(AND(Units!$L59=1,F$1=Units!$Q59),IF(Units!$J59&lt;&gt;"",Units!$J59,Mkt!F60),Inputs!$B$15*Mkt!F60+(1-Inputs!$B$15)*MIN(Mkt!F60,E60*(1+Inputs!$B$18))),E60)))</f>
        <v>2240</v>
      </c>
      <c r="G60" s="11" t="n">
        <f aca="false">IF(G$1&lt;Units!$P59,0,IF(AND(Units!$K59=0,G$1=Units!$O59),Units!$R59,IF(AND(G$1&gt;=Units!$Q59,MOD(G$1-Units!$Q59,12)=0),IF(AND(Units!$L59=1,G$1=Units!$Q59),IF(Units!$J59&lt;&gt;"",Units!$J59,Mkt!G60),Inputs!$B$15*Mkt!G60+(1-Inputs!$B$15)*MIN(Mkt!G60,F60*(1+Inputs!$B$18))),F60)))</f>
        <v>2240</v>
      </c>
      <c r="H60" s="11" t="n">
        <f aca="false">IF(H$1&lt;Units!$P59,0,IF(AND(Units!$K59=0,H$1=Units!$O59),Units!$R59,IF(AND(H$1&gt;=Units!$Q59,MOD(H$1-Units!$Q59,12)=0),IF(AND(Units!$L59=1,H$1=Units!$Q59),IF(Units!$J59&lt;&gt;"",Units!$J59,Mkt!H60),Inputs!$B$15*Mkt!H60+(1-Inputs!$B$15)*MIN(Mkt!H60,G60*(1+Inputs!$B$18))),G60)))</f>
        <v>2240</v>
      </c>
      <c r="I60" s="11" t="n">
        <f aca="false">IF(I$1&lt;Units!$P59,0,IF(AND(Units!$K59=0,I$1=Units!$O59),Units!$R59,IF(AND(I$1&gt;=Units!$Q59,MOD(I$1-Units!$Q59,12)=0),IF(AND(Units!$L59=1,I$1=Units!$Q59),IF(Units!$J59&lt;&gt;"",Units!$J59,Mkt!I60),Inputs!$B$15*Mkt!I60+(1-Inputs!$B$15)*MIN(Mkt!I60,H60*(1+Inputs!$B$18))),H60)))</f>
        <v>2240</v>
      </c>
      <c r="J60" s="11" t="n">
        <f aca="false">IF(J$1&lt;Units!$P59,0,IF(AND(Units!$K59=0,J$1=Units!$O59),Units!$R59,IF(AND(J$1&gt;=Units!$Q59,MOD(J$1-Units!$Q59,12)=0),IF(AND(Units!$L59=1,J$1=Units!$Q59),IF(Units!$J59&lt;&gt;"",Units!$J59,Mkt!J60),Inputs!$B$15*Mkt!J60+(1-Inputs!$B$15)*MIN(Mkt!J60,I60*(1+Inputs!$B$18))),I60)))</f>
        <v>2240</v>
      </c>
      <c r="K60" s="11" t="n">
        <f aca="false">IF(K$1&lt;Units!$P59,0,IF(AND(Units!$K59=0,K$1=Units!$O59),Units!$R59,IF(AND(K$1&gt;=Units!$Q59,MOD(K$1-Units!$Q59,12)=0),IF(AND(Units!$L59=1,K$1=Units!$Q59),IF(Units!$J59&lt;&gt;"",Units!$J59,Mkt!K60),Inputs!$B$15*Mkt!K60+(1-Inputs!$B$15)*MIN(Mkt!K60,J60*(1+Inputs!$B$18))),J60)))</f>
        <v>2240</v>
      </c>
      <c r="L60" s="11" t="n">
        <f aca="false">IF(L$1&lt;Units!$P59,0,IF(AND(Units!$K59=0,L$1=Units!$O59),Units!$R59,IF(AND(L$1&gt;=Units!$Q59,MOD(L$1-Units!$Q59,12)=0),IF(AND(Units!$L59=1,L$1=Units!$Q59),IF(Units!$J59&lt;&gt;"",Units!$J59,Mkt!L60),Inputs!$B$15*Mkt!L60+(1-Inputs!$B$15)*MIN(Mkt!L60,K60*(1+Inputs!$B$18))),K60)))</f>
        <v>2240</v>
      </c>
      <c r="M60" s="11" t="n">
        <f aca="false">IF(M$1&lt;Units!$P59,0,IF(AND(Units!$K59=0,M$1=Units!$O59),Units!$R59,IF(AND(M$1&gt;=Units!$Q59,MOD(M$1-Units!$Q59,12)=0),IF(AND(Units!$L59=1,M$1=Units!$Q59),IF(Units!$J59&lt;&gt;"",Units!$J59,Mkt!M60),Inputs!$B$15*Mkt!M60+(1-Inputs!$B$15)*MIN(Mkt!M60,L60*(1+Inputs!$B$18))),L60)))</f>
        <v>2240</v>
      </c>
      <c r="N60" s="11" t="n">
        <f aca="false">IF(N$1&lt;Units!$P59,0,IF(AND(Units!$K59=0,N$1=Units!$O59),Units!$R59,IF(AND(N$1&gt;=Units!$Q59,MOD(N$1-Units!$Q59,12)=0),IF(AND(Units!$L59=1,N$1=Units!$Q59),IF(Units!$J59&lt;&gt;"",Units!$J59,Mkt!N60),Inputs!$B$15*Mkt!N60+(1-Inputs!$B$15)*MIN(Mkt!N60,M60*(1+Inputs!$B$18))),M60)))</f>
        <v>2240</v>
      </c>
      <c r="O60" s="11" t="n">
        <f aca="false">IF(O$1&lt;Units!$P59,0,IF(AND(Units!$K59=0,O$1=Units!$O59),Units!$R59,IF(AND(O$1&gt;=Units!$Q59,MOD(O$1-Units!$Q59,12)=0),IF(AND(Units!$L59=1,O$1=Units!$Q59),IF(Units!$J59&lt;&gt;"",Units!$J59,Mkt!O60),Inputs!$B$15*Mkt!O60+(1-Inputs!$B$15)*MIN(Mkt!O60,N60*(1+Inputs!$B$18))),N60)))</f>
        <v>2240</v>
      </c>
      <c r="P60" s="11" t="n">
        <f aca="false">IF(P$1&lt;Units!$P59,0,IF(AND(Units!$K59=0,P$1=Units!$O59),Units!$R59,IF(AND(P$1&gt;=Units!$Q59,MOD(P$1-Units!$Q59,12)=0),IF(AND(Units!$L59=1,P$1=Units!$Q59),IF(Units!$J59&lt;&gt;"",Units!$J59,Mkt!P60),Inputs!$B$15*Mkt!P60+(1-Inputs!$B$15)*MIN(Mkt!P60,O60*(1+Inputs!$B$18))),O60)))</f>
        <v>2240</v>
      </c>
      <c r="Q60" s="11" t="n">
        <f aca="false">IF(Q$1&lt;Units!$P59,0,IF(AND(Units!$K59=0,Q$1=Units!$O59),Units!$R59,IF(AND(Q$1&gt;=Units!$Q59,MOD(Q$1-Units!$Q59,12)=0),IF(AND(Units!$L59=1,Q$1=Units!$Q59),IF(Units!$J59&lt;&gt;"",Units!$J59,Mkt!Q60),Inputs!$B$15*Mkt!Q60+(1-Inputs!$B$15)*MIN(Mkt!Q60,P60*(1+Inputs!$B$18))),P60)))</f>
        <v>2240</v>
      </c>
      <c r="R60" s="11" t="n">
        <f aca="false">IF(R$1&lt;Units!$P59,0,IF(AND(Units!$K59=0,R$1=Units!$O59),Units!$R59,IF(AND(R$1&gt;=Units!$Q59,MOD(R$1-Units!$Q59,12)=0),IF(AND(Units!$L59=1,R$1=Units!$Q59),IF(Units!$J59&lt;&gt;"",Units!$J59,Mkt!R60),Inputs!$B$15*Mkt!R60+(1-Inputs!$B$15)*MIN(Mkt!R60,Q60*(1+Inputs!$B$18))),Q60)))</f>
        <v>2307.2</v>
      </c>
      <c r="S60" s="11" t="n">
        <f aca="false">IF(S$1&lt;Units!$P59,0,IF(AND(Units!$K59=0,S$1=Units!$O59),Units!$R59,IF(AND(S$1&gt;=Units!$Q59,MOD(S$1-Units!$Q59,12)=0),IF(AND(Units!$L59=1,S$1=Units!$Q59),IF(Units!$J59&lt;&gt;"",Units!$J59,Mkt!S60),Inputs!$B$15*Mkt!S60+(1-Inputs!$B$15)*MIN(Mkt!S60,R60*(1+Inputs!$B$18))),R60)))</f>
        <v>2307.2</v>
      </c>
      <c r="T60" s="11" t="n">
        <f aca="false">IF(T$1&lt;Units!$P59,0,IF(AND(Units!$K59=0,T$1=Units!$O59),Units!$R59,IF(AND(T$1&gt;=Units!$Q59,MOD(T$1-Units!$Q59,12)=0),IF(AND(Units!$L59=1,T$1=Units!$Q59),IF(Units!$J59&lt;&gt;"",Units!$J59,Mkt!T60),Inputs!$B$15*Mkt!T60+(1-Inputs!$B$15)*MIN(Mkt!T60,S60*(1+Inputs!$B$18))),S60)))</f>
        <v>2307.2</v>
      </c>
      <c r="U60" s="11" t="n">
        <f aca="false">IF(U$1&lt;Units!$P59,0,IF(AND(Units!$K59=0,U$1=Units!$O59),Units!$R59,IF(AND(U$1&gt;=Units!$Q59,MOD(U$1-Units!$Q59,12)=0),IF(AND(Units!$L59=1,U$1=Units!$Q59),IF(Units!$J59&lt;&gt;"",Units!$J59,Mkt!U60),Inputs!$B$15*Mkt!U60+(1-Inputs!$B$15)*MIN(Mkt!U60,T60*(1+Inputs!$B$18))),T60)))</f>
        <v>2307.2</v>
      </c>
      <c r="V60" s="11" t="n">
        <f aca="false">IF(V$1&lt;Units!$P59,0,IF(AND(Units!$K59=0,V$1=Units!$O59),Units!$R59,IF(AND(V$1&gt;=Units!$Q59,MOD(V$1-Units!$Q59,12)=0),IF(AND(Units!$L59=1,V$1=Units!$Q59),IF(Units!$J59&lt;&gt;"",Units!$J59,Mkt!V60),Inputs!$B$15*Mkt!V60+(1-Inputs!$B$15)*MIN(Mkt!V60,U60*(1+Inputs!$B$18))),U60)))</f>
        <v>2307.2</v>
      </c>
      <c r="W60" s="11" t="n">
        <f aca="false">IF(W$1&lt;Units!$P59,0,IF(AND(Units!$K59=0,W$1=Units!$O59),Units!$R59,IF(AND(W$1&gt;=Units!$Q59,MOD(W$1-Units!$Q59,12)=0),IF(AND(Units!$L59=1,W$1=Units!$Q59),IF(Units!$J59&lt;&gt;"",Units!$J59,Mkt!W60),Inputs!$B$15*Mkt!W60+(1-Inputs!$B$15)*MIN(Mkt!W60,V60*(1+Inputs!$B$18))),V60)))</f>
        <v>2307.2</v>
      </c>
      <c r="X60" s="11" t="n">
        <f aca="false">IF(X$1&lt;Units!$P59,0,IF(AND(Units!$K59=0,X$1=Units!$O59),Units!$R59,IF(AND(X$1&gt;=Units!$Q59,MOD(X$1-Units!$Q59,12)=0),IF(AND(Units!$L59=1,X$1=Units!$Q59),IF(Units!$J59&lt;&gt;"",Units!$J59,Mkt!X60),Inputs!$B$15*Mkt!X60+(1-Inputs!$B$15)*MIN(Mkt!X60,W60*(1+Inputs!$B$18))),W60)))</f>
        <v>2307.2</v>
      </c>
      <c r="Y60" s="11" t="n">
        <f aca="false">IF(Y$1&lt;Units!$P59,0,IF(AND(Units!$K59=0,Y$1=Units!$O59),Units!$R59,IF(AND(Y$1&gt;=Units!$Q59,MOD(Y$1-Units!$Q59,12)=0),IF(AND(Units!$L59=1,Y$1=Units!$Q59),IF(Units!$J59&lt;&gt;"",Units!$J59,Mkt!Y60),Inputs!$B$15*Mkt!Y60+(1-Inputs!$B$15)*MIN(Mkt!Y60,X60*(1+Inputs!$B$18))),X60)))</f>
        <v>2307.2</v>
      </c>
      <c r="Z60" s="11" t="n">
        <f aca="false">IF(Z$1&lt;Units!$P59,0,IF(AND(Units!$K59=0,Z$1=Units!$O59),Units!$R59,IF(AND(Z$1&gt;=Units!$Q59,MOD(Z$1-Units!$Q59,12)=0),IF(AND(Units!$L59=1,Z$1=Units!$Q59),IF(Units!$J59&lt;&gt;"",Units!$J59,Mkt!Z60),Inputs!$B$15*Mkt!Z60+(1-Inputs!$B$15)*MIN(Mkt!Z60,Y60*(1+Inputs!$B$18))),Y60)))</f>
        <v>2307.2</v>
      </c>
      <c r="AA60" s="11" t="n">
        <f aca="false">IF(AA$1&lt;Units!$P59,0,IF(AND(Units!$K59=0,AA$1=Units!$O59),Units!$R59,IF(AND(AA$1&gt;=Units!$Q59,MOD(AA$1-Units!$Q59,12)=0),IF(AND(Units!$L59=1,AA$1=Units!$Q59),IF(Units!$J59&lt;&gt;"",Units!$J59,Mkt!AA60),Inputs!$B$15*Mkt!AA60+(1-Inputs!$B$15)*MIN(Mkt!AA60,Z60*(1+Inputs!$B$18))),Z60)))</f>
        <v>2307.2</v>
      </c>
      <c r="AB60" s="11" t="n">
        <f aca="false">IF(AB$1&lt;Units!$P59,0,IF(AND(Units!$K59=0,AB$1=Units!$O59),Units!$R59,IF(AND(AB$1&gt;=Units!$Q59,MOD(AB$1-Units!$Q59,12)=0),IF(AND(Units!$L59=1,AB$1=Units!$Q59),IF(Units!$J59&lt;&gt;"",Units!$J59,Mkt!AB60),Inputs!$B$15*Mkt!AB60+(1-Inputs!$B$15)*MIN(Mkt!AB60,AA60*(1+Inputs!$B$18))),AA60)))</f>
        <v>2307.2</v>
      </c>
      <c r="AC60" s="11" t="n">
        <f aca="false">IF(AC$1&lt;Units!$P59,0,IF(AND(Units!$K59=0,AC$1=Units!$O59),Units!$R59,IF(AND(AC$1&gt;=Units!$Q59,MOD(AC$1-Units!$Q59,12)=0),IF(AND(Units!$L59=1,AC$1=Units!$Q59),IF(Units!$J59&lt;&gt;"",Units!$J59,Mkt!AC60),Inputs!$B$15*Mkt!AC60+(1-Inputs!$B$15)*MIN(Mkt!AC60,AB60*(1+Inputs!$B$18))),AB60)))</f>
        <v>2307.2</v>
      </c>
      <c r="AD60" s="11" t="n">
        <f aca="false">IF(AD$1&lt;Units!$P59,0,IF(AND(Units!$K59=0,AD$1=Units!$O59),Units!$R59,IF(AND(AD$1&gt;=Units!$Q59,MOD(AD$1-Units!$Q59,12)=0),IF(AND(Units!$L59=1,AD$1=Units!$Q59),IF(Units!$J59&lt;&gt;"",Units!$J59,Mkt!AD60),Inputs!$B$15*Mkt!AD60+(1-Inputs!$B$15)*MIN(Mkt!AD60,AC60*(1+Inputs!$B$18))),AC60)))</f>
        <v>2376.416</v>
      </c>
      <c r="AE60" s="11" t="n">
        <f aca="false">IF(AE$1&lt;Units!$P59,0,IF(AND(Units!$K59=0,AE$1=Units!$O59),Units!$R59,IF(AND(AE$1&gt;=Units!$Q59,MOD(AE$1-Units!$Q59,12)=0),IF(AND(Units!$L59=1,AE$1=Units!$Q59),IF(Units!$J59&lt;&gt;"",Units!$J59,Mkt!AE60),Inputs!$B$15*Mkt!AE60+(1-Inputs!$B$15)*MIN(Mkt!AE60,AD60*(1+Inputs!$B$18))),AD60)))</f>
        <v>2376.416</v>
      </c>
      <c r="AF60" s="11" t="n">
        <f aca="false">IF(AF$1&lt;Units!$P59,0,IF(AND(Units!$K59=0,AF$1=Units!$O59),Units!$R59,IF(AND(AF$1&gt;=Units!$Q59,MOD(AF$1-Units!$Q59,12)=0),IF(AND(Units!$L59=1,AF$1=Units!$Q59),IF(Units!$J59&lt;&gt;"",Units!$J59,Mkt!AF60),Inputs!$B$15*Mkt!AF60+(1-Inputs!$B$15)*MIN(Mkt!AF60,AE60*(1+Inputs!$B$18))),AE60)))</f>
        <v>2376.416</v>
      </c>
      <c r="AG60" s="11" t="n">
        <f aca="false">IF(AG$1&lt;Units!$P59,0,IF(AND(Units!$K59=0,AG$1=Units!$O59),Units!$R59,IF(AND(AG$1&gt;=Units!$Q59,MOD(AG$1-Units!$Q59,12)=0),IF(AND(Units!$L59=1,AG$1=Units!$Q59),IF(Units!$J59&lt;&gt;"",Units!$J59,Mkt!AG60),Inputs!$B$15*Mkt!AG60+(1-Inputs!$B$15)*MIN(Mkt!AG60,AF60*(1+Inputs!$B$18))),AF60)))</f>
        <v>2376.416</v>
      </c>
      <c r="AH60" s="11" t="n">
        <f aca="false">IF(AH$1&lt;Units!$P59,0,IF(AND(Units!$K59=0,AH$1=Units!$O59),Units!$R59,IF(AND(AH$1&gt;=Units!$Q59,MOD(AH$1-Units!$Q59,12)=0),IF(AND(Units!$L59=1,AH$1=Units!$Q59),IF(Units!$J59&lt;&gt;"",Units!$J59,Mkt!AH60),Inputs!$B$15*Mkt!AH60+(1-Inputs!$B$15)*MIN(Mkt!AH60,AG60*(1+Inputs!$B$18))),AG60)))</f>
        <v>2376.416</v>
      </c>
      <c r="AI60" s="11" t="n">
        <f aca="false">IF(AI$1&lt;Units!$P59,0,IF(AND(Units!$K59=0,AI$1=Units!$O59),Units!$R59,IF(AND(AI$1&gt;=Units!$Q59,MOD(AI$1-Units!$Q59,12)=0),IF(AND(Units!$L59=1,AI$1=Units!$Q59),IF(Units!$J59&lt;&gt;"",Units!$J59,Mkt!AI60),Inputs!$B$15*Mkt!AI60+(1-Inputs!$B$15)*MIN(Mkt!AI60,AH60*(1+Inputs!$B$18))),AH60)))</f>
        <v>2376.416</v>
      </c>
      <c r="AJ60" s="11" t="n">
        <f aca="false">IF(AJ$1&lt;Units!$P59,0,IF(AND(Units!$K59=0,AJ$1=Units!$O59),Units!$R59,IF(AND(AJ$1&gt;=Units!$Q59,MOD(AJ$1-Units!$Q59,12)=0),IF(AND(Units!$L59=1,AJ$1=Units!$Q59),IF(Units!$J59&lt;&gt;"",Units!$J59,Mkt!AJ60),Inputs!$B$15*Mkt!AJ60+(1-Inputs!$B$15)*MIN(Mkt!AJ60,AI60*(1+Inputs!$B$18))),AI60)))</f>
        <v>2376.416</v>
      </c>
      <c r="AK60" s="11" t="n">
        <f aca="false">IF(AK$1&lt;Units!$P59,0,IF(AND(Units!$K59=0,AK$1=Units!$O59),Units!$R59,IF(AND(AK$1&gt;=Units!$Q59,MOD(AK$1-Units!$Q59,12)=0),IF(AND(Units!$L59=1,AK$1=Units!$Q59),IF(Units!$J59&lt;&gt;"",Units!$J59,Mkt!AK60),Inputs!$B$15*Mkt!AK60+(1-Inputs!$B$15)*MIN(Mkt!AK60,AJ60*(1+Inputs!$B$18))),AJ60)))</f>
        <v>2376.416</v>
      </c>
      <c r="AL60" s="11" t="n">
        <f aca="false">IF(AL$1&lt;Units!$P59,0,IF(AND(Units!$K59=0,AL$1=Units!$O59),Units!$R59,IF(AND(AL$1&gt;=Units!$Q59,MOD(AL$1-Units!$Q59,12)=0),IF(AND(Units!$L59=1,AL$1=Units!$Q59),IF(Units!$J59&lt;&gt;"",Units!$J59,Mkt!AL60),Inputs!$B$15*Mkt!AL60+(1-Inputs!$B$15)*MIN(Mkt!AL60,AK60*(1+Inputs!$B$18))),AK60)))</f>
        <v>2376.416</v>
      </c>
      <c r="AM60" s="11" t="n">
        <f aca="false">IF(AM$1&lt;Units!$P59,0,IF(AND(Units!$K59=0,AM$1=Units!$O59),Units!$R59,IF(AND(AM$1&gt;=Units!$Q59,MOD(AM$1-Units!$Q59,12)=0),IF(AND(Units!$L59=1,AM$1=Units!$Q59),IF(Units!$J59&lt;&gt;"",Units!$J59,Mkt!AM60),Inputs!$B$15*Mkt!AM60+(1-Inputs!$B$15)*MIN(Mkt!AM60,AL60*(1+Inputs!$B$18))),AL60)))</f>
        <v>2376.416</v>
      </c>
      <c r="AN60" s="11" t="n">
        <f aca="false">IF(AN$1&lt;Units!$P59,0,IF(AND(Units!$K59=0,AN$1=Units!$O59),Units!$R59,IF(AND(AN$1&gt;=Units!$Q59,MOD(AN$1-Units!$Q59,12)=0),IF(AND(Units!$L59=1,AN$1=Units!$Q59),IF(Units!$J59&lt;&gt;"",Units!$J59,Mkt!AN60),Inputs!$B$15*Mkt!AN60+(1-Inputs!$B$15)*MIN(Mkt!AN60,AM60*(1+Inputs!$B$18))),AM60)))</f>
        <v>2376.416</v>
      </c>
      <c r="AO60" s="11" t="n">
        <f aca="false">IF(AO$1&lt;Units!$P59,0,IF(AND(Units!$K59=0,AO$1=Units!$O59),Units!$R59,IF(AND(AO$1&gt;=Units!$Q59,MOD(AO$1-Units!$Q59,12)=0),IF(AND(Units!$L59=1,AO$1=Units!$Q59),IF(Units!$J59&lt;&gt;"",Units!$J59,Mkt!AO60),Inputs!$B$15*Mkt!AO60+(1-Inputs!$B$15)*MIN(Mkt!AO60,AN60*(1+Inputs!$B$18))),AN60)))</f>
        <v>2376.416</v>
      </c>
      <c r="AP60" s="11" t="n">
        <f aca="false">IF(AP$1&lt;Units!$P59,0,IF(AND(Units!$K59=0,AP$1=Units!$O59),Units!$R59,IF(AND(AP$1&gt;=Units!$Q59,MOD(AP$1-Units!$Q59,12)=0),IF(AND(Units!$L59=1,AP$1=Units!$Q59),IF(Units!$J59&lt;&gt;"",Units!$J59,Mkt!AP60),Inputs!$B$15*Mkt!AP60+(1-Inputs!$B$15)*MIN(Mkt!AP60,AO60*(1+Inputs!$B$18))),AO60)))</f>
        <v>2447.70848</v>
      </c>
      <c r="AQ60" s="11" t="n">
        <f aca="false">IF(AQ$1&lt;Units!$P59,0,IF(AND(Units!$K59=0,AQ$1=Units!$O59),Units!$R59,IF(AND(AQ$1&gt;=Units!$Q59,MOD(AQ$1-Units!$Q59,12)=0),IF(AND(Units!$L59=1,AQ$1=Units!$Q59),IF(Units!$J59&lt;&gt;"",Units!$J59,Mkt!AQ60),Inputs!$B$15*Mkt!AQ60+(1-Inputs!$B$15)*MIN(Mkt!AQ60,AP60*(1+Inputs!$B$18))),AP60)))</f>
        <v>2447.70848</v>
      </c>
      <c r="AR60" s="11" t="n">
        <f aca="false">IF(AR$1&lt;Units!$P59,0,IF(AND(Units!$K59=0,AR$1=Units!$O59),Units!$R59,IF(AND(AR$1&gt;=Units!$Q59,MOD(AR$1-Units!$Q59,12)=0),IF(AND(Units!$L59=1,AR$1=Units!$Q59),IF(Units!$J59&lt;&gt;"",Units!$J59,Mkt!AR60),Inputs!$B$15*Mkt!AR60+(1-Inputs!$B$15)*MIN(Mkt!AR60,AQ60*(1+Inputs!$B$18))),AQ60)))</f>
        <v>2447.70848</v>
      </c>
      <c r="AS60" s="11" t="n">
        <f aca="false">IF(AS$1&lt;Units!$P59,0,IF(AND(Units!$K59=0,AS$1=Units!$O59),Units!$R59,IF(AND(AS$1&gt;=Units!$Q59,MOD(AS$1-Units!$Q59,12)=0),IF(AND(Units!$L59=1,AS$1=Units!$Q59),IF(Units!$J59&lt;&gt;"",Units!$J59,Mkt!AS60),Inputs!$B$15*Mkt!AS60+(1-Inputs!$B$15)*MIN(Mkt!AS60,AR60*(1+Inputs!$B$18))),AR60)))</f>
        <v>2447.70848</v>
      </c>
      <c r="AT60" s="11" t="n">
        <f aca="false">IF(AT$1&lt;Units!$P59,0,IF(AND(Units!$K59=0,AT$1=Units!$O59),Units!$R59,IF(AND(AT$1&gt;=Units!$Q59,MOD(AT$1-Units!$Q59,12)=0),IF(AND(Units!$L59=1,AT$1=Units!$Q59),IF(Units!$J59&lt;&gt;"",Units!$J59,Mkt!AT60),Inputs!$B$15*Mkt!AT60+(1-Inputs!$B$15)*MIN(Mkt!AT60,AS60*(1+Inputs!$B$18))),AS60)))</f>
        <v>2447.70848</v>
      </c>
      <c r="AU60" s="11" t="n">
        <f aca="false">IF(AU$1&lt;Units!$P59,0,IF(AND(Units!$K59=0,AU$1=Units!$O59),Units!$R59,IF(AND(AU$1&gt;=Units!$Q59,MOD(AU$1-Units!$Q59,12)=0),IF(AND(Units!$L59=1,AU$1=Units!$Q59),IF(Units!$J59&lt;&gt;"",Units!$J59,Mkt!AU60),Inputs!$B$15*Mkt!AU60+(1-Inputs!$B$15)*MIN(Mkt!AU60,AT60*(1+Inputs!$B$18))),AT60)))</f>
        <v>2447.70848</v>
      </c>
      <c r="AV60" s="11" t="n">
        <f aca="false">IF(AV$1&lt;Units!$P59,0,IF(AND(Units!$K59=0,AV$1=Units!$O59),Units!$R59,IF(AND(AV$1&gt;=Units!$Q59,MOD(AV$1-Units!$Q59,12)=0),IF(AND(Units!$L59=1,AV$1=Units!$Q59),IF(Units!$J59&lt;&gt;"",Units!$J59,Mkt!AV60),Inputs!$B$15*Mkt!AV60+(1-Inputs!$B$15)*MIN(Mkt!AV60,AU60*(1+Inputs!$B$18))),AU60)))</f>
        <v>2447.70848</v>
      </c>
      <c r="AW60" s="11" t="n">
        <f aca="false">IF(AW$1&lt;Units!$P59,0,IF(AND(Units!$K59=0,AW$1=Units!$O59),Units!$R59,IF(AND(AW$1&gt;=Units!$Q59,MOD(AW$1-Units!$Q59,12)=0),IF(AND(Units!$L59=1,AW$1=Units!$Q59),IF(Units!$J59&lt;&gt;"",Units!$J59,Mkt!AW60),Inputs!$B$15*Mkt!AW60+(1-Inputs!$B$15)*MIN(Mkt!AW60,AV60*(1+Inputs!$B$18))),AV60)))</f>
        <v>2447.70848</v>
      </c>
      <c r="AX60" s="11" t="n">
        <f aca="false">IF(AX$1&lt;Units!$P59,0,IF(AND(Units!$K59=0,AX$1=Units!$O59),Units!$R59,IF(AND(AX$1&gt;=Units!$Q59,MOD(AX$1-Units!$Q59,12)=0),IF(AND(Units!$L59=1,AX$1=Units!$Q59),IF(Units!$J59&lt;&gt;"",Units!$J59,Mkt!AX60),Inputs!$B$15*Mkt!AX60+(1-Inputs!$B$15)*MIN(Mkt!AX60,AW60*(1+Inputs!$B$18))),AW60)))</f>
        <v>2447.70848</v>
      </c>
      <c r="AY60" s="11" t="n">
        <f aca="false">IF(AY$1&lt;Units!$P59,0,IF(AND(Units!$K59=0,AY$1=Units!$O59),Units!$R59,IF(AND(AY$1&gt;=Units!$Q59,MOD(AY$1-Units!$Q59,12)=0),IF(AND(Units!$L59=1,AY$1=Units!$Q59),IF(Units!$J59&lt;&gt;"",Units!$J59,Mkt!AY60),Inputs!$B$15*Mkt!AY60+(1-Inputs!$B$15)*MIN(Mkt!AY60,AX60*(1+Inputs!$B$18))),AX60)))</f>
        <v>2447.70848</v>
      </c>
      <c r="AZ60" s="11" t="n">
        <f aca="false">IF(AZ$1&lt;Units!$P59,0,IF(AND(Units!$K59=0,AZ$1=Units!$O59),Units!$R59,IF(AND(AZ$1&gt;=Units!$Q59,MOD(AZ$1-Units!$Q59,12)=0),IF(AND(Units!$L59=1,AZ$1=Units!$Q59),IF(Units!$J59&lt;&gt;"",Units!$J59,Mkt!AZ60),Inputs!$B$15*Mkt!AZ60+(1-Inputs!$B$15)*MIN(Mkt!AZ60,AY60*(1+Inputs!$B$18))),AY60)))</f>
        <v>2447.70848</v>
      </c>
      <c r="BA60" s="11" t="n">
        <f aca="false">IF(BA$1&lt;Units!$P59,0,IF(AND(Units!$K59=0,BA$1=Units!$O59),Units!$R59,IF(AND(BA$1&gt;=Units!$Q59,MOD(BA$1-Units!$Q59,12)=0),IF(AND(Units!$L59=1,BA$1=Units!$Q59),IF(Units!$J59&lt;&gt;"",Units!$J59,Mkt!BA60),Inputs!$B$15*Mkt!BA60+(1-Inputs!$B$15)*MIN(Mkt!BA60,AZ60*(1+Inputs!$B$18))),AZ60)))</f>
        <v>2447.70848</v>
      </c>
      <c r="BB60" s="11" t="n">
        <f aca="false">IF(BB$1&lt;Units!$P59,0,IF(AND(Units!$K59=0,BB$1=Units!$O59),Units!$R59,IF(AND(BB$1&gt;=Units!$Q59,MOD(BB$1-Units!$Q59,12)=0),IF(AND(Units!$L59=1,BB$1=Units!$Q59),IF(Units!$J59&lt;&gt;"",Units!$J59,Mkt!BB60),Inputs!$B$15*Mkt!BB60+(1-Inputs!$B$15)*MIN(Mkt!BB60,BA60*(1+Inputs!$B$18))),BA60)))</f>
        <v>2521.1397344</v>
      </c>
      <c r="BC60" s="11" t="n">
        <f aca="false">IF(BC$1&lt;Units!$P59,0,IF(AND(Units!$K59=0,BC$1=Units!$O59),Units!$R59,IF(AND(BC$1&gt;=Units!$Q59,MOD(BC$1-Units!$Q59,12)=0),IF(AND(Units!$L59=1,BC$1=Units!$Q59),IF(Units!$J59&lt;&gt;"",Units!$J59,Mkt!BC60),Inputs!$B$15*Mkt!BC60+(1-Inputs!$B$15)*MIN(Mkt!BC60,BB60*(1+Inputs!$B$18))),BB60)))</f>
        <v>2521.1397344</v>
      </c>
      <c r="BD60" s="11" t="n">
        <f aca="false">IF(BD$1&lt;Units!$P59,0,IF(AND(Units!$K59=0,BD$1=Units!$O59),Units!$R59,IF(AND(BD$1&gt;=Units!$Q59,MOD(BD$1-Units!$Q59,12)=0),IF(AND(Units!$L59=1,BD$1=Units!$Q59),IF(Units!$J59&lt;&gt;"",Units!$J59,Mkt!BD60),Inputs!$B$15*Mkt!BD60+(1-Inputs!$B$15)*MIN(Mkt!BD60,BC60*(1+Inputs!$B$18))),BC60)))</f>
        <v>2521.1397344</v>
      </c>
      <c r="BE60" s="11" t="n">
        <f aca="false">IF(BE$1&lt;Units!$P59,0,IF(AND(Units!$K59=0,BE$1=Units!$O59),Units!$R59,IF(AND(BE$1&gt;=Units!$Q59,MOD(BE$1-Units!$Q59,12)=0),IF(AND(Units!$L59=1,BE$1=Units!$Q59),IF(Units!$J59&lt;&gt;"",Units!$J59,Mkt!BE60),Inputs!$B$15*Mkt!BE60+(1-Inputs!$B$15)*MIN(Mkt!BE60,BD60*(1+Inputs!$B$18))),BD60)))</f>
        <v>2521.1397344</v>
      </c>
      <c r="BF60" s="11" t="n">
        <f aca="false">IF(BF$1&lt;Units!$P59,0,IF(AND(Units!$K59=0,BF$1=Units!$O59),Units!$R59,IF(AND(BF$1&gt;=Units!$Q59,MOD(BF$1-Units!$Q59,12)=0),IF(AND(Units!$L59=1,BF$1=Units!$Q59),IF(Units!$J59&lt;&gt;"",Units!$J59,Mkt!BF60),Inputs!$B$15*Mkt!BF60+(1-Inputs!$B$15)*MIN(Mkt!BF60,BE60*(1+Inputs!$B$18))),BE60)))</f>
        <v>2521.1397344</v>
      </c>
      <c r="BG60" s="11" t="n">
        <f aca="false">IF(BG$1&lt;Units!$P59,0,IF(AND(Units!$K59=0,BG$1=Units!$O59),Units!$R59,IF(AND(BG$1&gt;=Units!$Q59,MOD(BG$1-Units!$Q59,12)=0),IF(AND(Units!$L59=1,BG$1=Units!$Q59),IF(Units!$J59&lt;&gt;"",Units!$J59,Mkt!BG60),Inputs!$B$15*Mkt!BG60+(1-Inputs!$B$15)*MIN(Mkt!BG60,BF60*(1+Inputs!$B$18))),BF60)))</f>
        <v>2521.1397344</v>
      </c>
      <c r="BH60" s="11" t="n">
        <f aca="false">IF(BH$1&lt;Units!$P59,0,IF(AND(Units!$K59=0,BH$1=Units!$O59),Units!$R59,IF(AND(BH$1&gt;=Units!$Q59,MOD(BH$1-Units!$Q59,12)=0),IF(AND(Units!$L59=1,BH$1=Units!$Q59),IF(Units!$J59&lt;&gt;"",Units!$J59,Mkt!BH60),Inputs!$B$15*Mkt!BH60+(1-Inputs!$B$15)*MIN(Mkt!BH60,BG60*(1+Inputs!$B$18))),BG60)))</f>
        <v>2521.1397344</v>
      </c>
      <c r="BI60" s="11" t="n">
        <f aca="false">IF(BI$1&lt;Units!$P59,0,IF(AND(Units!$K59=0,BI$1=Units!$O59),Units!$R59,IF(AND(BI$1&gt;=Units!$Q59,MOD(BI$1-Units!$Q59,12)=0),IF(AND(Units!$L59=1,BI$1=Units!$Q59),IF(Units!$J59&lt;&gt;"",Units!$J59,Mkt!BI60),Inputs!$B$15*Mkt!BI60+(1-Inputs!$B$15)*MIN(Mkt!BI60,BH60*(1+Inputs!$B$18))),BH60)))</f>
        <v>2521.1397344</v>
      </c>
      <c r="BJ60" s="11" t="n">
        <f aca="false">IF(BJ$1&lt;Units!$P59,0,IF(AND(Units!$K59=0,BJ$1=Units!$O59),Units!$R59,IF(AND(BJ$1&gt;=Units!$Q59,MOD(BJ$1-Units!$Q59,12)=0),IF(AND(Units!$L59=1,BJ$1=Units!$Q59),IF(Units!$J59&lt;&gt;"",Units!$J59,Mkt!BJ60),Inputs!$B$15*Mkt!BJ60+(1-Inputs!$B$15)*MIN(Mkt!BJ60,BI60*(1+Inputs!$B$18))),BI60)))</f>
        <v>2521.1397344</v>
      </c>
      <c r="BK60" s="11" t="n">
        <f aca="false">IF(BK$1&lt;Units!$P59,0,IF(AND(Units!$K59=0,BK$1=Units!$O59),Units!$R59,IF(AND(BK$1&gt;=Units!$Q59,MOD(BK$1-Units!$Q59,12)=0),IF(AND(Units!$L59=1,BK$1=Units!$Q59),IF(Units!$J59&lt;&gt;"",Units!$J59,Mkt!BK60),Inputs!$B$15*Mkt!BK60+(1-Inputs!$B$15)*MIN(Mkt!BK60,BJ60*(1+Inputs!$B$18))),BJ60)))</f>
        <v>2521.1397344</v>
      </c>
      <c r="BL60" s="11" t="n">
        <f aca="false">IF(BL$1&lt;Units!$P59,0,IF(AND(Units!$K59=0,BL$1=Units!$O59),Units!$R59,IF(AND(BL$1&gt;=Units!$Q59,MOD(BL$1-Units!$Q59,12)=0),IF(AND(Units!$L59=1,BL$1=Units!$Q59),IF(Units!$J59&lt;&gt;"",Units!$J59,Mkt!BL60),Inputs!$B$15*Mkt!BL60+(1-Inputs!$B$15)*MIN(Mkt!BL60,BK60*(1+Inputs!$B$18))),BK60)))</f>
        <v>2521.1397344</v>
      </c>
      <c r="BM60" s="11" t="n">
        <f aca="false">IF(BM$1&lt;Units!$P59,0,IF(AND(Units!$K59=0,BM$1=Units!$O59),Units!$R59,IF(AND(BM$1&gt;=Units!$Q59,MOD(BM$1-Units!$Q59,12)=0),IF(AND(Units!$L59=1,BM$1=Units!$Q59),IF(Units!$J59&lt;&gt;"",Units!$J59,Mkt!BM60),Inputs!$B$15*Mkt!BM60+(1-Inputs!$B$15)*MIN(Mkt!BM60,BL60*(1+Inputs!$B$18))),BL60)))</f>
        <v>2521.1397344</v>
      </c>
      <c r="BN60" s="11" t="n">
        <f aca="false">IF(BN$1&lt;Units!$P59,0,IF(AND(Units!$K59=0,BN$1=Units!$O59),Units!$R59,IF(AND(BN$1&gt;=Units!$Q59,MOD(BN$1-Units!$Q59,12)=0),IF(AND(Units!$L59=1,BN$1=Units!$Q59),IF(Units!$J59&lt;&gt;"",Units!$J59,Mkt!BN60),Inputs!$B$15*Mkt!BN60+(1-Inputs!$B$15)*MIN(Mkt!BN60,BM60*(1+Inputs!$B$18))),BM60)))</f>
        <v>2596.773926432</v>
      </c>
      <c r="BO60" s="11" t="n">
        <f aca="false">IF(BO$1&lt;Units!$P59,0,IF(AND(Units!$K59=0,BO$1=Units!$O59),Units!$R59,IF(AND(BO$1&gt;=Units!$Q59,MOD(BO$1-Units!$Q59,12)=0),IF(AND(Units!$L59=1,BO$1=Units!$Q59),IF(Units!$J59&lt;&gt;"",Units!$J59,Mkt!BO60),Inputs!$B$15*Mkt!BO60+(1-Inputs!$B$15)*MIN(Mkt!BO60,BN60*(1+Inputs!$B$18))),BN60)))</f>
        <v>2596.773926432</v>
      </c>
      <c r="BP60" s="11" t="n">
        <f aca="false">IF(BP$1&lt;Units!$P59,0,IF(AND(Units!$K59=0,BP$1=Units!$O59),Units!$R59,IF(AND(BP$1&gt;=Units!$Q59,MOD(BP$1-Units!$Q59,12)=0),IF(AND(Units!$L59=1,BP$1=Units!$Q59),IF(Units!$J59&lt;&gt;"",Units!$J59,Mkt!BP60),Inputs!$B$15*Mkt!BP60+(1-Inputs!$B$15)*MIN(Mkt!BP60,BO60*(1+Inputs!$B$18))),BO60)))</f>
        <v>2596.773926432</v>
      </c>
      <c r="BQ60" s="11" t="n">
        <f aca="false">IF(BQ$1&lt;Units!$P59,0,IF(AND(Units!$K59=0,BQ$1=Units!$O59),Units!$R59,IF(AND(BQ$1&gt;=Units!$Q59,MOD(BQ$1-Units!$Q59,12)=0),IF(AND(Units!$L59=1,BQ$1=Units!$Q59),IF(Units!$J59&lt;&gt;"",Units!$J59,Mkt!BQ60),Inputs!$B$15*Mkt!BQ60+(1-Inputs!$B$15)*MIN(Mkt!BQ60,BP60*(1+Inputs!$B$18))),BP60)))</f>
        <v>2596.773926432</v>
      </c>
      <c r="BR60" s="11" t="n">
        <f aca="false">IF(BR$1&lt;Units!$P59,0,IF(AND(Units!$K59=0,BR$1=Units!$O59),Units!$R59,IF(AND(BR$1&gt;=Units!$Q59,MOD(BR$1-Units!$Q59,12)=0),IF(AND(Units!$L59=1,BR$1=Units!$Q59),IF(Units!$J59&lt;&gt;"",Units!$J59,Mkt!BR60),Inputs!$B$15*Mkt!BR60+(1-Inputs!$B$15)*MIN(Mkt!BR60,BQ60*(1+Inputs!$B$18))),BQ60)))</f>
        <v>2596.773926432</v>
      </c>
      <c r="BS60" s="11" t="n">
        <f aca="false">IF(BS$1&lt;Units!$P59,0,IF(AND(Units!$K59=0,BS$1=Units!$O59),Units!$R59,IF(AND(BS$1&gt;=Units!$Q59,MOD(BS$1-Units!$Q59,12)=0),IF(AND(Units!$L59=1,BS$1=Units!$Q59),IF(Units!$J59&lt;&gt;"",Units!$J59,Mkt!BS60),Inputs!$B$15*Mkt!BS60+(1-Inputs!$B$15)*MIN(Mkt!BS60,BR60*(1+Inputs!$B$18))),BR60)))</f>
        <v>2596.773926432</v>
      </c>
      <c r="BT60" s="11" t="n">
        <f aca="false">IF(BT$1&lt;Units!$P59,0,IF(AND(Units!$K59=0,BT$1=Units!$O59),Units!$R59,IF(AND(BT$1&gt;=Units!$Q59,MOD(BT$1-Units!$Q59,12)=0),IF(AND(Units!$L59=1,BT$1=Units!$Q59),IF(Units!$J59&lt;&gt;"",Units!$J59,Mkt!BT60),Inputs!$B$15*Mkt!BT60+(1-Inputs!$B$15)*MIN(Mkt!BT60,BS60*(1+Inputs!$B$18))),BS60)))</f>
        <v>2596.773926432</v>
      </c>
      <c r="BU60" s="11" t="n">
        <f aca="false">IF(BU$1&lt;Units!$P59,0,IF(AND(Units!$K59=0,BU$1=Units!$O59),Units!$R59,IF(AND(BU$1&gt;=Units!$Q59,MOD(BU$1-Units!$Q59,12)=0),IF(AND(Units!$L59=1,BU$1=Units!$Q59),IF(Units!$J59&lt;&gt;"",Units!$J59,Mkt!BU60),Inputs!$B$15*Mkt!BU60+(1-Inputs!$B$15)*MIN(Mkt!BU60,BT60*(1+Inputs!$B$18))),BT60)))</f>
        <v>2596.773926432</v>
      </c>
      <c r="BV60" s="11" t="n">
        <f aca="false">IF(BV$1&lt;Units!$P59,0,IF(AND(Units!$K59=0,BV$1=Units!$O59),Units!$R59,IF(AND(BV$1&gt;=Units!$Q59,MOD(BV$1-Units!$Q59,12)=0),IF(AND(Units!$L59=1,BV$1=Units!$Q59),IF(Units!$J59&lt;&gt;"",Units!$J59,Mkt!BV60),Inputs!$B$15*Mkt!BV60+(1-Inputs!$B$15)*MIN(Mkt!BV60,BU60*(1+Inputs!$B$18))),BU60)))</f>
        <v>2596.773926432</v>
      </c>
      <c r="BW60" s="11" t="n">
        <f aca="false">IF(BW$1&lt;Units!$P59,0,IF(AND(Units!$K59=0,BW$1=Units!$O59),Units!$R59,IF(AND(BW$1&gt;=Units!$Q59,MOD(BW$1-Units!$Q59,12)=0),IF(AND(Units!$L59=1,BW$1=Units!$Q59),IF(Units!$J59&lt;&gt;"",Units!$J59,Mkt!BW60),Inputs!$B$15*Mkt!BW60+(1-Inputs!$B$15)*MIN(Mkt!BW60,BV60*(1+Inputs!$B$18))),BV60)))</f>
        <v>2596.773926432</v>
      </c>
      <c r="BX60" s="11" t="n">
        <f aca="false">IF(BX$1&lt;Units!$P59,0,IF(AND(Units!$K59=0,BX$1=Units!$O59),Units!$R59,IF(AND(BX$1&gt;=Units!$Q59,MOD(BX$1-Units!$Q59,12)=0),IF(AND(Units!$L59=1,BX$1=Units!$Q59),IF(Units!$J59&lt;&gt;"",Units!$J59,Mkt!BX60),Inputs!$B$15*Mkt!BX60+(1-Inputs!$B$15)*MIN(Mkt!BX60,BW60*(1+Inputs!$B$18))),BW60)))</f>
        <v>2596.773926432</v>
      </c>
      <c r="BY60" s="11" t="n">
        <f aca="false">IF(BY$1&lt;Units!$P59,0,IF(AND(Units!$K59=0,BY$1=Units!$O59),Units!$R59,IF(AND(BY$1&gt;=Units!$Q59,MOD(BY$1-Units!$Q59,12)=0),IF(AND(Units!$L59=1,BY$1=Units!$Q59),IF(Units!$J59&lt;&gt;"",Units!$J59,Mkt!BY60),Inputs!$B$15*Mkt!BY60+(1-Inputs!$B$15)*MIN(Mkt!BY60,BX60*(1+Inputs!$B$18))),BX60)))</f>
        <v>2596.773926432</v>
      </c>
      <c r="BZ60" s="11" t="n">
        <f aca="false">IF(BZ$1&lt;Units!$P59,0,IF(AND(Units!$K59=0,BZ$1=Units!$O59),Units!$R59,IF(AND(BZ$1&gt;=Units!$Q59,MOD(BZ$1-Units!$Q59,12)=0),IF(AND(Units!$L59=1,BZ$1=Units!$Q59),IF(Units!$J59&lt;&gt;"",Units!$J59,Mkt!BZ60),Inputs!$B$15*Mkt!BZ60+(1-Inputs!$B$15)*MIN(Mkt!BZ60,BY60*(1+Inputs!$B$18))),BY60)))</f>
        <v>2674.67714422496</v>
      </c>
      <c r="CA60" s="11" t="n">
        <f aca="false">IF(CA$1&lt;Units!$P59,0,IF(AND(Units!$K59=0,CA$1=Units!$O59),Units!$R59,IF(AND(CA$1&gt;=Units!$Q59,MOD(CA$1-Units!$Q59,12)=0),IF(AND(Units!$L59=1,CA$1=Units!$Q59),IF(Units!$J59&lt;&gt;"",Units!$J59,Mkt!CA60),Inputs!$B$15*Mkt!CA60+(1-Inputs!$B$15)*MIN(Mkt!CA60,BZ60*(1+Inputs!$B$18))),BZ60)))</f>
        <v>2674.67714422496</v>
      </c>
      <c r="CB60" s="11" t="n">
        <f aca="false">IF(CB$1&lt;Units!$P59,0,IF(AND(Units!$K59=0,CB$1=Units!$O59),Units!$R59,IF(AND(CB$1&gt;=Units!$Q59,MOD(CB$1-Units!$Q59,12)=0),IF(AND(Units!$L59=1,CB$1=Units!$Q59),IF(Units!$J59&lt;&gt;"",Units!$J59,Mkt!CB60),Inputs!$B$15*Mkt!CB60+(1-Inputs!$B$15)*MIN(Mkt!CB60,CA60*(1+Inputs!$B$18))),CA60)))</f>
        <v>2674.67714422496</v>
      </c>
      <c r="CC60" s="11" t="n">
        <f aca="false">IF(CC$1&lt;Units!$P59,0,IF(AND(Units!$K59=0,CC$1=Units!$O59),Units!$R59,IF(AND(CC$1&gt;=Units!$Q59,MOD(CC$1-Units!$Q59,12)=0),IF(AND(Units!$L59=1,CC$1=Units!$Q59),IF(Units!$J59&lt;&gt;"",Units!$J59,Mkt!CC60),Inputs!$B$15*Mkt!CC60+(1-Inputs!$B$15)*MIN(Mkt!CC60,CB60*(1+Inputs!$B$18))),CB60)))</f>
        <v>2674.67714422496</v>
      </c>
      <c r="CD60" s="11" t="n">
        <f aca="false">IF(CD$1&lt;Units!$P59,0,IF(AND(Units!$K59=0,CD$1=Units!$O59),Units!$R59,IF(AND(CD$1&gt;=Units!$Q59,MOD(CD$1-Units!$Q59,12)=0),IF(AND(Units!$L59=1,CD$1=Units!$Q59),IF(Units!$J59&lt;&gt;"",Units!$J59,Mkt!CD60),Inputs!$B$15*Mkt!CD60+(1-Inputs!$B$15)*MIN(Mkt!CD60,CC60*(1+Inputs!$B$18))),CC60)))</f>
        <v>2674.67714422496</v>
      </c>
      <c r="CE60" s="11" t="n">
        <f aca="false">IF(CE$1&lt;Units!$P59,0,IF(AND(Units!$K59=0,CE$1=Units!$O59),Units!$R59,IF(AND(CE$1&gt;=Units!$Q59,MOD(CE$1-Units!$Q59,12)=0),IF(AND(Units!$L59=1,CE$1=Units!$Q59),IF(Units!$J59&lt;&gt;"",Units!$J59,Mkt!CE60),Inputs!$B$15*Mkt!CE60+(1-Inputs!$B$15)*MIN(Mkt!CE60,CD60*(1+Inputs!$B$18))),CD60)))</f>
        <v>2674.67714422496</v>
      </c>
      <c r="CF60" s="11" t="n">
        <f aca="false">IF(CF$1&lt;Units!$P59,0,IF(AND(Units!$K59=0,CF$1=Units!$O59),Units!$R59,IF(AND(CF$1&gt;=Units!$Q59,MOD(CF$1-Units!$Q59,12)=0),IF(AND(Units!$L59=1,CF$1=Units!$Q59),IF(Units!$J59&lt;&gt;"",Units!$J59,Mkt!CF60),Inputs!$B$15*Mkt!CF60+(1-Inputs!$B$15)*MIN(Mkt!CF60,CE60*(1+Inputs!$B$18))),CE60)))</f>
        <v>2674.67714422496</v>
      </c>
      <c r="CG60" s="11" t="n">
        <f aca="false">IF(CG$1&lt;Units!$P59,0,IF(AND(Units!$K59=0,CG$1=Units!$O59),Units!$R59,IF(AND(CG$1&gt;=Units!$Q59,MOD(CG$1-Units!$Q59,12)=0),IF(AND(Units!$L59=1,CG$1=Units!$Q59),IF(Units!$J59&lt;&gt;"",Units!$J59,Mkt!CG60),Inputs!$B$15*Mkt!CG60+(1-Inputs!$B$15)*MIN(Mkt!CG60,CF60*(1+Inputs!$B$18))),CF60)))</f>
        <v>2674.67714422496</v>
      </c>
      <c r="CH60" s="11" t="n">
        <f aca="false">IF(CH$1&lt;Units!$P59,0,IF(AND(Units!$K59=0,CH$1=Units!$O59),Units!$R59,IF(AND(CH$1&gt;=Units!$Q59,MOD(CH$1-Units!$Q59,12)=0),IF(AND(Units!$L59=1,CH$1=Units!$Q59),IF(Units!$J59&lt;&gt;"",Units!$J59,Mkt!CH60),Inputs!$B$15*Mkt!CH60+(1-Inputs!$B$15)*MIN(Mkt!CH60,CG60*(1+Inputs!$B$18))),CG60)))</f>
        <v>2674.67714422496</v>
      </c>
      <c r="CI60" s="11" t="n">
        <f aca="false">IF(CI$1&lt;Units!$P59,0,IF(AND(Units!$K59=0,CI$1=Units!$O59),Units!$R59,IF(AND(CI$1&gt;=Units!$Q59,MOD(CI$1-Units!$Q59,12)=0),IF(AND(Units!$L59=1,CI$1=Units!$Q59),IF(Units!$J59&lt;&gt;"",Units!$J59,Mkt!CI60),Inputs!$B$15*Mkt!CI60+(1-Inputs!$B$15)*MIN(Mkt!CI60,CH60*(1+Inputs!$B$18))),CH60)))</f>
        <v>2674.67714422496</v>
      </c>
      <c r="CJ60" s="11" t="n">
        <f aca="false">IF(CJ$1&lt;Units!$P59,0,IF(AND(Units!$K59=0,CJ$1=Units!$O59),Units!$R59,IF(AND(CJ$1&gt;=Units!$Q59,MOD(CJ$1-Units!$Q59,12)=0),IF(AND(Units!$L59=1,CJ$1=Units!$Q59),IF(Units!$J59&lt;&gt;"",Units!$J59,Mkt!CJ60),Inputs!$B$15*Mkt!CJ60+(1-Inputs!$B$15)*MIN(Mkt!CJ60,CI60*(1+Inputs!$B$18))),CI60)))</f>
        <v>2674.67714422496</v>
      </c>
      <c r="CK60" s="11" t="n">
        <f aca="false">IF(CK$1&lt;Units!$P59,0,IF(AND(Units!$K59=0,CK$1=Units!$O59),Units!$R59,IF(AND(CK$1&gt;=Units!$Q59,MOD(CK$1-Units!$Q59,12)=0),IF(AND(Units!$L59=1,CK$1=Units!$Q59),IF(Units!$J59&lt;&gt;"",Units!$J59,Mkt!CK60),Inputs!$B$15*Mkt!CK60+(1-Inputs!$B$15)*MIN(Mkt!CK60,CJ60*(1+Inputs!$B$18))),CJ60)))</f>
        <v>2674.67714422496</v>
      </c>
      <c r="CL60" s="11" t="n">
        <f aca="false">IF(CL$1&lt;Units!$P59,0,IF(AND(Units!$K59=0,CL$1=Units!$O59),Units!$R59,IF(AND(CL$1&gt;=Units!$Q59,MOD(CL$1-Units!$Q59,12)=0),IF(AND(Units!$L59=1,CL$1=Units!$Q59),IF(Units!$J59&lt;&gt;"",Units!$J59,Mkt!CL60),Inputs!$B$15*Mkt!CL60+(1-Inputs!$B$15)*MIN(Mkt!CL60,CK60*(1+Inputs!$B$18))),CK60)))</f>
        <v>2754.91745855171</v>
      </c>
      <c r="CM60" s="11" t="n">
        <f aca="false">IF(CM$1&lt;Units!$P59,0,IF(AND(Units!$K59=0,CM$1=Units!$O59),Units!$R59,IF(AND(CM$1&gt;=Units!$Q59,MOD(CM$1-Units!$Q59,12)=0),IF(AND(Units!$L59=1,CM$1=Units!$Q59),IF(Units!$J59&lt;&gt;"",Units!$J59,Mkt!CM60),Inputs!$B$15*Mkt!CM60+(1-Inputs!$B$15)*MIN(Mkt!CM60,CL60*(1+Inputs!$B$18))),CL60)))</f>
        <v>2754.91745855171</v>
      </c>
      <c r="CN60" s="11" t="n">
        <f aca="false">IF(CN$1&lt;Units!$P59,0,IF(AND(Units!$K59=0,CN$1=Units!$O59),Units!$R59,IF(AND(CN$1&gt;=Units!$Q59,MOD(CN$1-Units!$Q59,12)=0),IF(AND(Units!$L59=1,CN$1=Units!$Q59),IF(Units!$J59&lt;&gt;"",Units!$J59,Mkt!CN60),Inputs!$B$15*Mkt!CN60+(1-Inputs!$B$15)*MIN(Mkt!CN60,CM60*(1+Inputs!$B$18))),CM60)))</f>
        <v>2754.91745855171</v>
      </c>
      <c r="CO60" s="11" t="n">
        <f aca="false">IF(CO$1&lt;Units!$P59,0,IF(AND(Units!$K59=0,CO$1=Units!$O59),Units!$R59,IF(AND(CO$1&gt;=Units!$Q59,MOD(CO$1-Units!$Q59,12)=0),IF(AND(Units!$L59=1,CO$1=Units!$Q59),IF(Units!$J59&lt;&gt;"",Units!$J59,Mkt!CO60),Inputs!$B$15*Mkt!CO60+(1-Inputs!$B$15)*MIN(Mkt!CO60,CN60*(1+Inputs!$B$18))),CN60)))</f>
        <v>2754.91745855171</v>
      </c>
      <c r="CP60" s="11" t="n">
        <f aca="false">IF(CP$1&lt;Units!$P59,0,IF(AND(Units!$K59=0,CP$1=Units!$O59),Units!$R59,IF(AND(CP$1&gt;=Units!$Q59,MOD(CP$1-Units!$Q59,12)=0),IF(AND(Units!$L59=1,CP$1=Units!$Q59),IF(Units!$J59&lt;&gt;"",Units!$J59,Mkt!CP60),Inputs!$B$15*Mkt!CP60+(1-Inputs!$B$15)*MIN(Mkt!CP60,CO60*(1+Inputs!$B$18))),CO60)))</f>
        <v>2754.91745855171</v>
      </c>
      <c r="CQ60" s="11" t="n">
        <f aca="false">IF(CQ$1&lt;Units!$P59,0,IF(AND(Units!$K59=0,CQ$1=Units!$O59),Units!$R59,IF(AND(CQ$1&gt;=Units!$Q59,MOD(CQ$1-Units!$Q59,12)=0),IF(AND(Units!$L59=1,CQ$1=Units!$Q59),IF(Units!$J59&lt;&gt;"",Units!$J59,Mkt!CQ60),Inputs!$B$15*Mkt!CQ60+(1-Inputs!$B$15)*MIN(Mkt!CQ60,CP60*(1+Inputs!$B$18))),CP60)))</f>
        <v>2754.91745855171</v>
      </c>
      <c r="CR60" s="11" t="n">
        <f aca="false">IF(CR$1&lt;Units!$P59,0,IF(AND(Units!$K59=0,CR$1=Units!$O59),Units!$R59,IF(AND(CR$1&gt;=Units!$Q59,MOD(CR$1-Units!$Q59,12)=0),IF(AND(Units!$L59=1,CR$1=Units!$Q59),IF(Units!$J59&lt;&gt;"",Units!$J59,Mkt!CR60),Inputs!$B$15*Mkt!CR60+(1-Inputs!$B$15)*MIN(Mkt!CR60,CQ60*(1+Inputs!$B$18))),CQ60)))</f>
        <v>2754.91745855171</v>
      </c>
      <c r="CS60" s="11" t="n">
        <f aca="false">IF(CS$1&lt;Units!$P59,0,IF(AND(Units!$K59=0,CS$1=Units!$O59),Units!$R59,IF(AND(CS$1&gt;=Units!$Q59,MOD(CS$1-Units!$Q59,12)=0),IF(AND(Units!$L59=1,CS$1=Units!$Q59),IF(Units!$J59&lt;&gt;"",Units!$J59,Mkt!CS60),Inputs!$B$15*Mkt!CS60+(1-Inputs!$B$15)*MIN(Mkt!CS60,CR60*(1+Inputs!$B$18))),CR60)))</f>
        <v>2754.91745855171</v>
      </c>
      <c r="CT60" s="11" t="n">
        <f aca="false">IF(CT$1&lt;Units!$P59,0,IF(AND(Units!$K59=0,CT$1=Units!$O59),Units!$R59,IF(AND(CT$1&gt;=Units!$Q59,MOD(CT$1-Units!$Q59,12)=0),IF(AND(Units!$L59=1,CT$1=Units!$Q59),IF(Units!$J59&lt;&gt;"",Units!$J59,Mkt!CT60),Inputs!$B$15*Mkt!CT60+(1-Inputs!$B$15)*MIN(Mkt!CT60,CS60*(1+Inputs!$B$18))),CS60)))</f>
        <v>2754.91745855171</v>
      </c>
      <c r="CU60" s="11" t="n">
        <f aca="false">IF(CU$1&lt;Units!$P59,0,IF(AND(Units!$K59=0,CU$1=Units!$O59),Units!$R59,IF(AND(CU$1&gt;=Units!$Q59,MOD(CU$1-Units!$Q59,12)=0),IF(AND(Units!$L59=1,CU$1=Units!$Q59),IF(Units!$J59&lt;&gt;"",Units!$J59,Mkt!CU60),Inputs!$B$15*Mkt!CU60+(1-Inputs!$B$15)*MIN(Mkt!CU60,CT60*(1+Inputs!$B$18))),CT60)))</f>
        <v>2754.91745855171</v>
      </c>
      <c r="CV60" s="11" t="n">
        <f aca="false">IF(CV$1&lt;Units!$P59,0,IF(AND(Units!$K59=0,CV$1=Units!$O59),Units!$R59,IF(AND(CV$1&gt;=Units!$Q59,MOD(CV$1-Units!$Q59,12)=0),IF(AND(Units!$L59=1,CV$1=Units!$Q59),IF(Units!$J59&lt;&gt;"",Units!$J59,Mkt!CV60),Inputs!$B$15*Mkt!CV60+(1-Inputs!$B$15)*MIN(Mkt!CV60,CU60*(1+Inputs!$B$18))),CU60)))</f>
        <v>2754.91745855171</v>
      </c>
      <c r="CW60" s="11" t="n">
        <f aca="false">IF(CW$1&lt;Units!$P59,0,IF(AND(Units!$K59=0,CW$1=Units!$O59),Units!$R59,IF(AND(CW$1&gt;=Units!$Q59,MOD(CW$1-Units!$Q59,12)=0),IF(AND(Units!$L59=1,CW$1=Units!$Q59),IF(Units!$J59&lt;&gt;"",Units!$J59,Mkt!CW60),Inputs!$B$15*Mkt!CW60+(1-Inputs!$B$15)*MIN(Mkt!CW60,CV60*(1+Inputs!$B$18))),CV60)))</f>
        <v>2754.91745855171</v>
      </c>
      <c r="CX60" s="11" t="n">
        <f aca="false">IF(CX$1&lt;Units!$P59,0,IF(AND(Units!$K59=0,CX$1=Units!$O59),Units!$R59,IF(AND(CX$1&gt;=Units!$Q59,MOD(CX$1-Units!$Q59,12)=0),IF(AND(Units!$L59=1,CX$1=Units!$Q59),IF(Units!$J59&lt;&gt;"",Units!$J59,Mkt!CX60),Inputs!$B$15*Mkt!CX60+(1-Inputs!$B$15)*MIN(Mkt!CX60,CW60*(1+Inputs!$B$18))),CW60)))</f>
        <v>2837.56498230826</v>
      </c>
      <c r="CY60" s="11" t="n">
        <f aca="false">IF(CY$1&lt;Units!$P59,0,IF(AND(Units!$K59=0,CY$1=Units!$O59),Units!$R59,IF(AND(CY$1&gt;=Units!$Q59,MOD(CY$1-Units!$Q59,12)=0),IF(AND(Units!$L59=1,CY$1=Units!$Q59),IF(Units!$J59&lt;&gt;"",Units!$J59,Mkt!CY60),Inputs!$B$15*Mkt!CY60+(1-Inputs!$B$15)*MIN(Mkt!CY60,CX60*(1+Inputs!$B$18))),CX60)))</f>
        <v>2837.56498230826</v>
      </c>
      <c r="CZ60" s="11" t="n">
        <f aca="false">IF(CZ$1&lt;Units!$P59,0,IF(AND(Units!$K59=0,CZ$1=Units!$O59),Units!$R59,IF(AND(CZ$1&gt;=Units!$Q59,MOD(CZ$1-Units!$Q59,12)=0),IF(AND(Units!$L59=1,CZ$1=Units!$Q59),IF(Units!$J59&lt;&gt;"",Units!$J59,Mkt!CZ60),Inputs!$B$15*Mkt!CZ60+(1-Inputs!$B$15)*MIN(Mkt!CZ60,CY60*(1+Inputs!$B$18))),CY60)))</f>
        <v>2837.56498230826</v>
      </c>
      <c r="DA60" s="11" t="n">
        <f aca="false">IF(DA$1&lt;Units!$P59,0,IF(AND(Units!$K59=0,DA$1=Units!$O59),Units!$R59,IF(AND(DA$1&gt;=Units!$Q59,MOD(DA$1-Units!$Q59,12)=0),IF(AND(Units!$L59=1,DA$1=Units!$Q59),IF(Units!$J59&lt;&gt;"",Units!$J59,Mkt!DA60),Inputs!$B$15*Mkt!DA60+(1-Inputs!$B$15)*MIN(Mkt!DA60,CZ60*(1+Inputs!$B$18))),CZ60)))</f>
        <v>2837.56498230826</v>
      </c>
      <c r="DB60" s="11" t="n">
        <f aca="false">IF(DB$1&lt;Units!$P59,0,IF(AND(Units!$K59=0,DB$1=Units!$O59),Units!$R59,IF(AND(DB$1&gt;=Units!$Q59,MOD(DB$1-Units!$Q59,12)=0),IF(AND(Units!$L59=1,DB$1=Units!$Q59),IF(Units!$J59&lt;&gt;"",Units!$J59,Mkt!DB60),Inputs!$B$15*Mkt!DB60+(1-Inputs!$B$15)*MIN(Mkt!DB60,DA60*(1+Inputs!$B$18))),DA60)))</f>
        <v>2837.56498230826</v>
      </c>
      <c r="DC60" s="11" t="n">
        <f aca="false">IF(DC$1&lt;Units!$P59,0,IF(AND(Units!$K59=0,DC$1=Units!$O59),Units!$R59,IF(AND(DC$1&gt;=Units!$Q59,MOD(DC$1-Units!$Q59,12)=0),IF(AND(Units!$L59=1,DC$1=Units!$Q59),IF(Units!$J59&lt;&gt;"",Units!$J59,Mkt!DC60),Inputs!$B$15*Mkt!DC60+(1-Inputs!$B$15)*MIN(Mkt!DC60,DB60*(1+Inputs!$B$18))),DB60)))</f>
        <v>2837.56498230826</v>
      </c>
      <c r="DD60" s="11" t="n">
        <f aca="false">IF(DD$1&lt;Units!$P59,0,IF(AND(Units!$K59=0,DD$1=Units!$O59),Units!$R59,IF(AND(DD$1&gt;=Units!$Q59,MOD(DD$1-Units!$Q59,12)=0),IF(AND(Units!$L59=1,DD$1=Units!$Q59),IF(Units!$J59&lt;&gt;"",Units!$J59,Mkt!DD60),Inputs!$B$15*Mkt!DD60+(1-Inputs!$B$15)*MIN(Mkt!DD60,DC60*(1+Inputs!$B$18))),DC60)))</f>
        <v>2837.56498230826</v>
      </c>
      <c r="DE60" s="11" t="n">
        <f aca="false">IF(DE$1&lt;Units!$P59,0,IF(AND(Units!$K59=0,DE$1=Units!$O59),Units!$R59,IF(AND(DE$1&gt;=Units!$Q59,MOD(DE$1-Units!$Q59,12)=0),IF(AND(Units!$L59=1,DE$1=Units!$Q59),IF(Units!$J59&lt;&gt;"",Units!$J59,Mkt!DE60),Inputs!$B$15*Mkt!DE60+(1-Inputs!$B$15)*MIN(Mkt!DE60,DD60*(1+Inputs!$B$18))),DD60)))</f>
        <v>2837.56498230826</v>
      </c>
      <c r="DF60" s="11" t="n">
        <f aca="false">IF(DF$1&lt;Units!$P59,0,IF(AND(Units!$K59=0,DF$1=Units!$O59),Units!$R59,IF(AND(DF$1&gt;=Units!$Q59,MOD(DF$1-Units!$Q59,12)=0),IF(AND(Units!$L59=1,DF$1=Units!$Q59),IF(Units!$J59&lt;&gt;"",Units!$J59,Mkt!DF60),Inputs!$B$15*Mkt!DF60+(1-Inputs!$B$15)*MIN(Mkt!DF60,DE60*(1+Inputs!$B$18))),DE60)))</f>
        <v>2837.56498230826</v>
      </c>
      <c r="DG60" s="11" t="n">
        <f aca="false">IF(DG$1&lt;Units!$P59,0,IF(AND(Units!$K59=0,DG$1=Units!$O59),Units!$R59,IF(AND(DG$1&gt;=Units!$Q59,MOD(DG$1-Units!$Q59,12)=0),IF(AND(Units!$L59=1,DG$1=Units!$Q59),IF(Units!$J59&lt;&gt;"",Units!$J59,Mkt!DG60),Inputs!$B$15*Mkt!DG60+(1-Inputs!$B$15)*MIN(Mkt!DG60,DF60*(1+Inputs!$B$18))),DF60)))</f>
        <v>2837.56498230826</v>
      </c>
      <c r="DH60" s="11" t="n">
        <f aca="false">IF(DH$1&lt;Units!$P59,0,IF(AND(Units!$K59=0,DH$1=Units!$O59),Units!$R59,IF(AND(DH$1&gt;=Units!$Q59,MOD(DH$1-Units!$Q59,12)=0),IF(AND(Units!$L59=1,DH$1=Units!$Q59),IF(Units!$J59&lt;&gt;"",Units!$J59,Mkt!DH60),Inputs!$B$15*Mkt!DH60+(1-Inputs!$B$15)*MIN(Mkt!DH60,DG60*(1+Inputs!$B$18))),DG60)))</f>
        <v>2837.56498230826</v>
      </c>
      <c r="DI60" s="11" t="n">
        <f aca="false">IF(DI$1&lt;Units!$P59,0,IF(AND(Units!$K59=0,DI$1=Units!$O59),Units!$R59,IF(AND(DI$1&gt;=Units!$Q59,MOD(DI$1-Units!$Q59,12)=0),IF(AND(Units!$L59=1,DI$1=Units!$Q59),IF(Units!$J59&lt;&gt;"",Units!$J59,Mkt!DI60),Inputs!$B$15*Mkt!DI60+(1-Inputs!$B$15)*MIN(Mkt!DI60,DH60*(1+Inputs!$B$18))),DH60)))</f>
        <v>2837.56498230826</v>
      </c>
      <c r="DJ60" s="11" t="n">
        <f aca="false">IF(DJ$1&lt;Units!$P59,0,IF(AND(Units!$K59=0,DJ$1=Units!$O59),Units!$R59,IF(AND(DJ$1&gt;=Units!$Q59,MOD(DJ$1-Units!$Q59,12)=0),IF(AND(Units!$L59=1,DJ$1=Units!$Q59),IF(Units!$J59&lt;&gt;"",Units!$J59,Mkt!DJ60),Inputs!$B$15*Mkt!DJ60+(1-Inputs!$B$15)*MIN(Mkt!DJ60,DI60*(1+Inputs!$B$18))),DI60)))</f>
        <v>2922.69193177751</v>
      </c>
      <c r="DK60" s="11" t="n">
        <f aca="false">IF(DK$1&lt;Units!$P59,0,IF(AND(Units!$K59=0,DK$1=Units!$O59),Units!$R59,IF(AND(DK$1&gt;=Units!$Q59,MOD(DK$1-Units!$Q59,12)=0),IF(AND(Units!$L59=1,DK$1=Units!$Q59),IF(Units!$J59&lt;&gt;"",Units!$J59,Mkt!DK60),Inputs!$B$15*Mkt!DK60+(1-Inputs!$B$15)*MIN(Mkt!DK60,DJ60*(1+Inputs!$B$18))),DJ60)))</f>
        <v>2922.69193177751</v>
      </c>
      <c r="DL60" s="11" t="n">
        <f aca="false">IF(DL$1&lt;Units!$P59,0,IF(AND(Units!$K59=0,DL$1=Units!$O59),Units!$R59,IF(AND(DL$1&gt;=Units!$Q59,MOD(DL$1-Units!$Q59,12)=0),IF(AND(Units!$L59=1,DL$1=Units!$Q59),IF(Units!$J59&lt;&gt;"",Units!$J59,Mkt!DL60),Inputs!$B$15*Mkt!DL60+(1-Inputs!$B$15)*MIN(Mkt!DL60,DK60*(1+Inputs!$B$18))),DK60)))</f>
        <v>2922.69193177751</v>
      </c>
      <c r="DM60" s="11" t="n">
        <f aca="false">IF(DM$1&lt;Units!$P59,0,IF(AND(Units!$K59=0,DM$1=Units!$O59),Units!$R59,IF(AND(DM$1&gt;=Units!$Q59,MOD(DM$1-Units!$Q59,12)=0),IF(AND(Units!$L59=1,DM$1=Units!$Q59),IF(Units!$J59&lt;&gt;"",Units!$J59,Mkt!DM60),Inputs!$B$15*Mkt!DM60+(1-Inputs!$B$15)*MIN(Mkt!DM60,DL60*(1+Inputs!$B$18))),DL60)))</f>
        <v>2922.69193177751</v>
      </c>
      <c r="DN60" s="11" t="n">
        <f aca="false">IF(DN$1&lt;Units!$P59,0,IF(AND(Units!$K59=0,DN$1=Units!$O59),Units!$R59,IF(AND(DN$1&gt;=Units!$Q59,MOD(DN$1-Units!$Q59,12)=0),IF(AND(Units!$L59=1,DN$1=Units!$Q59),IF(Units!$J59&lt;&gt;"",Units!$J59,Mkt!DN60),Inputs!$B$15*Mkt!DN60+(1-Inputs!$B$15)*MIN(Mkt!DN60,DM60*(1+Inputs!$B$18))),DM60)))</f>
        <v>2922.69193177751</v>
      </c>
      <c r="DO60" s="11" t="n">
        <f aca="false">IF(DO$1&lt;Units!$P59,0,IF(AND(Units!$K59=0,DO$1=Units!$O59),Units!$R59,IF(AND(DO$1&gt;=Units!$Q59,MOD(DO$1-Units!$Q59,12)=0),IF(AND(Units!$L59=1,DO$1=Units!$Q59),IF(Units!$J59&lt;&gt;"",Units!$J59,Mkt!DO60),Inputs!$B$15*Mkt!DO60+(1-Inputs!$B$15)*MIN(Mkt!DO60,DN60*(1+Inputs!$B$18))),DN60)))</f>
        <v>2922.69193177751</v>
      </c>
      <c r="DP60" s="11" t="n">
        <f aca="false">IF(DP$1&lt;Units!$P59,0,IF(AND(Units!$K59=0,DP$1=Units!$O59),Units!$R59,IF(AND(DP$1&gt;=Units!$Q59,MOD(DP$1-Units!$Q59,12)=0),IF(AND(Units!$L59=1,DP$1=Units!$Q59),IF(Units!$J59&lt;&gt;"",Units!$J59,Mkt!DP60),Inputs!$B$15*Mkt!DP60+(1-Inputs!$B$15)*MIN(Mkt!DP60,DO60*(1+Inputs!$B$18))),DO60)))</f>
        <v>2922.69193177751</v>
      </c>
      <c r="DQ60" s="11" t="n">
        <f aca="false">IF(DQ$1&lt;Units!$P59,0,IF(AND(Units!$K59=0,DQ$1=Units!$O59),Units!$R59,IF(AND(DQ$1&gt;=Units!$Q59,MOD(DQ$1-Units!$Q59,12)=0),IF(AND(Units!$L59=1,DQ$1=Units!$Q59),IF(Units!$J59&lt;&gt;"",Units!$J59,Mkt!DQ60),Inputs!$B$15*Mkt!DQ60+(1-Inputs!$B$15)*MIN(Mkt!DQ60,DP60*(1+Inputs!$B$18))),DP60)))</f>
        <v>2922.69193177751</v>
      </c>
      <c r="DR60" s="11" t="n">
        <f aca="false">IF(DR$1&lt;Units!$P59,0,IF(AND(Units!$K59=0,DR$1=Units!$O59),Units!$R59,IF(AND(DR$1&gt;=Units!$Q59,MOD(DR$1-Units!$Q59,12)=0),IF(AND(Units!$L59=1,DR$1=Units!$Q59),IF(Units!$J59&lt;&gt;"",Units!$J59,Mkt!DR60),Inputs!$B$15*Mkt!DR60+(1-Inputs!$B$15)*MIN(Mkt!DR60,DQ60*(1+Inputs!$B$18))),DQ60)))</f>
        <v>2922.69193177751</v>
      </c>
      <c r="DS60" s="11" t="n">
        <f aca="false">IF(DS$1&lt;Units!$P59,0,IF(AND(Units!$K59=0,DS$1=Units!$O59),Units!$R59,IF(AND(DS$1&gt;=Units!$Q59,MOD(DS$1-Units!$Q59,12)=0),IF(AND(Units!$L59=1,DS$1=Units!$Q59),IF(Units!$J59&lt;&gt;"",Units!$J59,Mkt!DS60),Inputs!$B$15*Mkt!DS60+(1-Inputs!$B$15)*MIN(Mkt!DS60,DR60*(1+Inputs!$B$18))),DR60)))</f>
        <v>2922.69193177751</v>
      </c>
      <c r="DT60" s="11" t="n">
        <f aca="false">IF(DT$1&lt;Units!$P59,0,IF(AND(Units!$K59=0,DT$1=Units!$O59),Units!$R59,IF(AND(DT$1&gt;=Units!$Q59,MOD(DT$1-Units!$Q59,12)=0),IF(AND(Units!$L59=1,DT$1=Units!$Q59),IF(Units!$J59&lt;&gt;"",Units!$J59,Mkt!DT60),Inputs!$B$15*Mkt!DT60+(1-Inputs!$B$15)*MIN(Mkt!DT60,DS60*(1+Inputs!$B$18))),DS60)))</f>
        <v>2922.69193177751</v>
      </c>
      <c r="DU60" s="11" t="n">
        <f aca="false">IF(DU$1&lt;Units!$P59,0,IF(AND(Units!$K59=0,DU$1=Units!$O59),Units!$R59,IF(AND(DU$1&gt;=Units!$Q59,MOD(DU$1-Units!$Q59,12)=0),IF(AND(Units!$L59=1,DU$1=Units!$Q59),IF(Units!$J59&lt;&gt;"",Units!$J59,Mkt!DU60),Inputs!$B$15*Mkt!DU60+(1-Inputs!$B$15)*MIN(Mkt!DU60,DT60*(1+Inputs!$B$18))),DT60)))</f>
        <v>2922.69193177751</v>
      </c>
      <c r="DV60" s="11" t="n">
        <f aca="false">IF(DV$1&lt;Units!$P59,0,IF(AND(Units!$K59=0,DV$1=Units!$O59),Units!$R59,IF(AND(DV$1&gt;=Units!$Q59,MOD(DV$1-Units!$Q59,12)=0),IF(AND(Units!$L59=1,DV$1=Units!$Q59),IF(Units!$J59&lt;&gt;"",Units!$J59,Mkt!DV60),Inputs!$B$15*Mkt!DV60+(1-Inputs!$B$15)*MIN(Mkt!DV60,DU60*(1+Inputs!$B$18))),DU60)))</f>
        <v>3010.37268973083</v>
      </c>
      <c r="DW60" s="11" t="n">
        <f aca="false">IF(DW$1&lt;Units!$P59,0,IF(AND(Units!$K59=0,DW$1=Units!$O59),Units!$R59,IF(AND(DW$1&gt;=Units!$Q59,MOD(DW$1-Units!$Q59,12)=0),IF(AND(Units!$L59=1,DW$1=Units!$Q59),IF(Units!$J59&lt;&gt;"",Units!$J59,Mkt!DW60),Inputs!$B$15*Mkt!DW60+(1-Inputs!$B$15)*MIN(Mkt!DW60,DV60*(1+Inputs!$B$18))),DV60)))</f>
        <v>3010.37268973083</v>
      </c>
      <c r="DX60" s="11" t="n">
        <f aca="false">IF(DX$1&lt;Units!$P59,0,IF(AND(Units!$K59=0,DX$1=Units!$O59),Units!$R59,IF(AND(DX$1&gt;=Units!$Q59,MOD(DX$1-Units!$Q59,12)=0),IF(AND(Units!$L59=1,DX$1=Units!$Q59),IF(Units!$J59&lt;&gt;"",Units!$J59,Mkt!DX60),Inputs!$B$15*Mkt!DX60+(1-Inputs!$B$15)*MIN(Mkt!DX60,DW60*(1+Inputs!$B$18))),DW60)))</f>
        <v>3010.37268973083</v>
      </c>
      <c r="DY60" s="11" t="n">
        <f aca="false">IF(DY$1&lt;Units!$P59,0,IF(AND(Units!$K59=0,DY$1=Units!$O59),Units!$R59,IF(AND(DY$1&gt;=Units!$Q59,MOD(DY$1-Units!$Q59,12)=0),IF(AND(Units!$L59=1,DY$1=Units!$Q59),IF(Units!$J59&lt;&gt;"",Units!$J59,Mkt!DY60),Inputs!$B$15*Mkt!DY60+(1-Inputs!$B$15)*MIN(Mkt!DY60,DX60*(1+Inputs!$B$18))),DX60)))</f>
        <v>3010.37268973083</v>
      </c>
      <c r="DZ60" s="11" t="n">
        <f aca="false">IF(DZ$1&lt;Units!$P59,0,IF(AND(Units!$K59=0,DZ$1=Units!$O59),Units!$R59,IF(AND(DZ$1&gt;=Units!$Q59,MOD(DZ$1-Units!$Q59,12)=0),IF(AND(Units!$L59=1,DZ$1=Units!$Q59),IF(Units!$J59&lt;&gt;"",Units!$J59,Mkt!DZ60),Inputs!$B$15*Mkt!DZ60+(1-Inputs!$B$15)*MIN(Mkt!DZ60,DY60*(1+Inputs!$B$18))),DY60)))</f>
        <v>3010.37268973083</v>
      </c>
      <c r="EA60" s="11" t="n">
        <f aca="false">IF(EA$1&lt;Units!$P59,0,IF(AND(Units!$K59=0,EA$1=Units!$O59),Units!$R59,IF(AND(EA$1&gt;=Units!$Q59,MOD(EA$1-Units!$Q59,12)=0),IF(AND(Units!$L59=1,EA$1=Units!$Q59),IF(Units!$J59&lt;&gt;"",Units!$J59,Mkt!EA60),Inputs!$B$15*Mkt!EA60+(1-Inputs!$B$15)*MIN(Mkt!EA60,DZ60*(1+Inputs!$B$18))),DZ60)))</f>
        <v>3010.37268973083</v>
      </c>
      <c r="EB60" s="11" t="n">
        <f aca="false">IF(EB$1&lt;Units!$P59,0,IF(AND(Units!$K59=0,EB$1=Units!$O59),Units!$R59,IF(AND(EB$1&gt;=Units!$Q59,MOD(EB$1-Units!$Q59,12)=0),IF(AND(Units!$L59=1,EB$1=Units!$Q59),IF(Units!$J59&lt;&gt;"",Units!$J59,Mkt!EB60),Inputs!$B$15*Mkt!EB60+(1-Inputs!$B$15)*MIN(Mkt!EB60,EA60*(1+Inputs!$B$18))),EA60)))</f>
        <v>3010.37268973083</v>
      </c>
      <c r="EC60" s="11" t="n">
        <f aca="false">IF(EC$1&lt;Units!$P59,0,IF(AND(Units!$K59=0,EC$1=Units!$O59),Units!$R59,IF(AND(EC$1&gt;=Units!$Q59,MOD(EC$1-Units!$Q59,12)=0),IF(AND(Units!$L59=1,EC$1=Units!$Q59),IF(Units!$J59&lt;&gt;"",Units!$J59,Mkt!EC60),Inputs!$B$15*Mkt!EC60+(1-Inputs!$B$15)*MIN(Mkt!EC60,EB60*(1+Inputs!$B$18))),EB60)))</f>
        <v>3010.37268973083</v>
      </c>
      <c r="ED60" s="11" t="n">
        <f aca="false">IF(ED$1&lt;Units!$P59,0,IF(AND(Units!$K59=0,ED$1=Units!$O59),Units!$R59,IF(AND(ED$1&gt;=Units!$Q59,MOD(ED$1-Units!$Q59,12)=0),IF(AND(Units!$L59=1,ED$1=Units!$Q59),IF(Units!$J59&lt;&gt;"",Units!$J59,Mkt!ED60),Inputs!$B$15*Mkt!ED60+(1-Inputs!$B$15)*MIN(Mkt!ED60,EC60*(1+Inputs!$B$18))),EC60)))</f>
        <v>3010.37268973083</v>
      </c>
    </row>
    <row r="61" customFormat="false" ht="15" hidden="false" customHeight="false" outlineLevel="0" collapsed="false">
      <c r="A61" s="22" t="n">
        <f aca="false">Units!A60</f>
        <v>229</v>
      </c>
      <c r="B61" s="24" t="n">
        <f aca="false">IF(Units!K60=1,Units!F60,0)</f>
        <v>2255</v>
      </c>
      <c r="C61" s="11" t="n">
        <f aca="false">IF(C$1&lt;Units!$P60,0,IF(AND(Units!$K60=0,C$1=Units!$O60),Units!$R60,IF(AND(C$1&gt;=Units!$Q60,MOD(C$1-Units!$Q60,12)=0),IF(AND(Units!$L60=1,C$1=Units!$Q60),IF(Units!$J60&lt;&gt;"",Units!$J60,Mkt!C61),Inputs!$B$15*Mkt!C61+(1-Inputs!$B$15)*MIN(Mkt!C61,B61*(1+Inputs!$B$18))),B61)))</f>
        <v>2255</v>
      </c>
      <c r="D61" s="11" t="n">
        <f aca="false">IF(D$1&lt;Units!$P60,0,IF(AND(Units!$K60=0,D$1=Units!$O60),Units!$R60,IF(AND(D$1&gt;=Units!$Q60,MOD(D$1-Units!$Q60,12)=0),IF(AND(Units!$L60=1,D$1=Units!$Q60),IF(Units!$J60&lt;&gt;"",Units!$J60,Mkt!D61),Inputs!$B$15*Mkt!D61+(1-Inputs!$B$15)*MIN(Mkt!D61,C61*(1+Inputs!$B$18))),C61)))</f>
        <v>2255</v>
      </c>
      <c r="E61" s="11" t="n">
        <f aca="false">IF(E$1&lt;Units!$P60,0,IF(AND(Units!$K60=0,E$1=Units!$O60),Units!$R60,IF(AND(E$1&gt;=Units!$Q60,MOD(E$1-Units!$Q60,12)=0),IF(AND(Units!$L60=1,E$1=Units!$Q60),IF(Units!$J60&lt;&gt;"",Units!$J60,Mkt!E61),Inputs!$B$15*Mkt!E61+(1-Inputs!$B$15)*MIN(Mkt!E61,D61*(1+Inputs!$B$18))),D61)))</f>
        <v>2240</v>
      </c>
      <c r="F61" s="11" t="n">
        <f aca="false">IF(F$1&lt;Units!$P60,0,IF(AND(Units!$K60=0,F$1=Units!$O60),Units!$R60,IF(AND(F$1&gt;=Units!$Q60,MOD(F$1-Units!$Q60,12)=0),IF(AND(Units!$L60=1,F$1=Units!$Q60),IF(Units!$J60&lt;&gt;"",Units!$J60,Mkt!F61),Inputs!$B$15*Mkt!F61+(1-Inputs!$B$15)*MIN(Mkt!F61,E61*(1+Inputs!$B$18))),E61)))</f>
        <v>2240</v>
      </c>
      <c r="G61" s="11" t="n">
        <f aca="false">IF(G$1&lt;Units!$P60,0,IF(AND(Units!$K60=0,G$1=Units!$O60),Units!$R60,IF(AND(G$1&gt;=Units!$Q60,MOD(G$1-Units!$Q60,12)=0),IF(AND(Units!$L60=1,G$1=Units!$Q60),IF(Units!$J60&lt;&gt;"",Units!$J60,Mkt!G61),Inputs!$B$15*Mkt!G61+(1-Inputs!$B$15)*MIN(Mkt!G61,F61*(1+Inputs!$B$18))),F61)))</f>
        <v>2240</v>
      </c>
      <c r="H61" s="11" t="n">
        <f aca="false">IF(H$1&lt;Units!$P60,0,IF(AND(Units!$K60=0,H$1=Units!$O60),Units!$R60,IF(AND(H$1&gt;=Units!$Q60,MOD(H$1-Units!$Q60,12)=0),IF(AND(Units!$L60=1,H$1=Units!$Q60),IF(Units!$J60&lt;&gt;"",Units!$J60,Mkt!H61),Inputs!$B$15*Mkt!H61+(1-Inputs!$B$15)*MIN(Mkt!H61,G61*(1+Inputs!$B$18))),G61)))</f>
        <v>2240</v>
      </c>
      <c r="I61" s="11" t="n">
        <f aca="false">IF(I$1&lt;Units!$P60,0,IF(AND(Units!$K60=0,I$1=Units!$O60),Units!$R60,IF(AND(I$1&gt;=Units!$Q60,MOD(I$1-Units!$Q60,12)=0),IF(AND(Units!$L60=1,I$1=Units!$Q60),IF(Units!$J60&lt;&gt;"",Units!$J60,Mkt!I61),Inputs!$B$15*Mkt!I61+(1-Inputs!$B$15)*MIN(Mkt!I61,H61*(1+Inputs!$B$18))),H61)))</f>
        <v>2240</v>
      </c>
      <c r="J61" s="11" t="n">
        <f aca="false">IF(J$1&lt;Units!$P60,0,IF(AND(Units!$K60=0,J$1=Units!$O60),Units!$R60,IF(AND(J$1&gt;=Units!$Q60,MOD(J$1-Units!$Q60,12)=0),IF(AND(Units!$L60=1,J$1=Units!$Q60),IF(Units!$J60&lt;&gt;"",Units!$J60,Mkt!J61),Inputs!$B$15*Mkt!J61+(1-Inputs!$B$15)*MIN(Mkt!J61,I61*(1+Inputs!$B$18))),I61)))</f>
        <v>2240</v>
      </c>
      <c r="K61" s="11" t="n">
        <f aca="false">IF(K$1&lt;Units!$P60,0,IF(AND(Units!$K60=0,K$1=Units!$O60),Units!$R60,IF(AND(K$1&gt;=Units!$Q60,MOD(K$1-Units!$Q60,12)=0),IF(AND(Units!$L60=1,K$1=Units!$Q60),IF(Units!$J60&lt;&gt;"",Units!$J60,Mkt!K61),Inputs!$B$15*Mkt!K61+(1-Inputs!$B$15)*MIN(Mkt!K61,J61*(1+Inputs!$B$18))),J61)))</f>
        <v>2240</v>
      </c>
      <c r="L61" s="11" t="n">
        <f aca="false">IF(L$1&lt;Units!$P60,0,IF(AND(Units!$K60=0,L$1=Units!$O60),Units!$R60,IF(AND(L$1&gt;=Units!$Q60,MOD(L$1-Units!$Q60,12)=0),IF(AND(Units!$L60=1,L$1=Units!$Q60),IF(Units!$J60&lt;&gt;"",Units!$J60,Mkt!L61),Inputs!$B$15*Mkt!L61+(1-Inputs!$B$15)*MIN(Mkt!L61,K61*(1+Inputs!$B$18))),K61)))</f>
        <v>2240</v>
      </c>
      <c r="M61" s="11" t="n">
        <f aca="false">IF(M$1&lt;Units!$P60,0,IF(AND(Units!$K60=0,M$1=Units!$O60),Units!$R60,IF(AND(M$1&gt;=Units!$Q60,MOD(M$1-Units!$Q60,12)=0),IF(AND(Units!$L60=1,M$1=Units!$Q60),IF(Units!$J60&lt;&gt;"",Units!$J60,Mkt!M61),Inputs!$B$15*Mkt!M61+(1-Inputs!$B$15)*MIN(Mkt!M61,L61*(1+Inputs!$B$18))),L61)))</f>
        <v>2240</v>
      </c>
      <c r="N61" s="11" t="n">
        <f aca="false">IF(N$1&lt;Units!$P60,0,IF(AND(Units!$K60=0,N$1=Units!$O60),Units!$R60,IF(AND(N$1&gt;=Units!$Q60,MOD(N$1-Units!$Q60,12)=0),IF(AND(Units!$L60=1,N$1=Units!$Q60),IF(Units!$J60&lt;&gt;"",Units!$J60,Mkt!N61),Inputs!$B$15*Mkt!N61+(1-Inputs!$B$15)*MIN(Mkt!N61,M61*(1+Inputs!$B$18))),M61)))</f>
        <v>2240</v>
      </c>
      <c r="O61" s="11" t="n">
        <f aca="false">IF(O$1&lt;Units!$P60,0,IF(AND(Units!$K60=0,O$1=Units!$O60),Units!$R60,IF(AND(O$1&gt;=Units!$Q60,MOD(O$1-Units!$Q60,12)=0),IF(AND(Units!$L60=1,O$1=Units!$Q60),IF(Units!$J60&lt;&gt;"",Units!$J60,Mkt!O61),Inputs!$B$15*Mkt!O61+(1-Inputs!$B$15)*MIN(Mkt!O61,N61*(1+Inputs!$B$18))),N61)))</f>
        <v>2240</v>
      </c>
      <c r="P61" s="11" t="n">
        <f aca="false">IF(P$1&lt;Units!$P60,0,IF(AND(Units!$K60=0,P$1=Units!$O60),Units!$R60,IF(AND(P$1&gt;=Units!$Q60,MOD(P$1-Units!$Q60,12)=0),IF(AND(Units!$L60=1,P$1=Units!$Q60),IF(Units!$J60&lt;&gt;"",Units!$J60,Mkt!P61),Inputs!$B$15*Mkt!P61+(1-Inputs!$B$15)*MIN(Mkt!P61,O61*(1+Inputs!$B$18))),O61)))</f>
        <v>2240</v>
      </c>
      <c r="Q61" s="11" t="n">
        <f aca="false">IF(Q$1&lt;Units!$P60,0,IF(AND(Units!$K60=0,Q$1=Units!$O60),Units!$R60,IF(AND(Q$1&gt;=Units!$Q60,MOD(Q$1-Units!$Q60,12)=0),IF(AND(Units!$L60=1,Q$1=Units!$Q60),IF(Units!$J60&lt;&gt;"",Units!$J60,Mkt!Q61),Inputs!$B$15*Mkt!Q61+(1-Inputs!$B$15)*MIN(Mkt!Q61,P61*(1+Inputs!$B$18))),P61)))</f>
        <v>2307.2</v>
      </c>
      <c r="R61" s="11" t="n">
        <f aca="false">IF(R$1&lt;Units!$P60,0,IF(AND(Units!$K60=0,R$1=Units!$O60),Units!$R60,IF(AND(R$1&gt;=Units!$Q60,MOD(R$1-Units!$Q60,12)=0),IF(AND(Units!$L60=1,R$1=Units!$Q60),IF(Units!$J60&lt;&gt;"",Units!$J60,Mkt!R61),Inputs!$B$15*Mkt!R61+(1-Inputs!$B$15)*MIN(Mkt!R61,Q61*(1+Inputs!$B$18))),Q61)))</f>
        <v>2307.2</v>
      </c>
      <c r="S61" s="11" t="n">
        <f aca="false">IF(S$1&lt;Units!$P60,0,IF(AND(Units!$K60=0,S$1=Units!$O60),Units!$R60,IF(AND(S$1&gt;=Units!$Q60,MOD(S$1-Units!$Q60,12)=0),IF(AND(Units!$L60=1,S$1=Units!$Q60),IF(Units!$J60&lt;&gt;"",Units!$J60,Mkt!S61),Inputs!$B$15*Mkt!S61+(1-Inputs!$B$15)*MIN(Mkt!S61,R61*(1+Inputs!$B$18))),R61)))</f>
        <v>2307.2</v>
      </c>
      <c r="T61" s="11" t="n">
        <f aca="false">IF(T$1&lt;Units!$P60,0,IF(AND(Units!$K60=0,T$1=Units!$O60),Units!$R60,IF(AND(T$1&gt;=Units!$Q60,MOD(T$1-Units!$Q60,12)=0),IF(AND(Units!$L60=1,T$1=Units!$Q60),IF(Units!$J60&lt;&gt;"",Units!$J60,Mkt!T61),Inputs!$B$15*Mkt!T61+(1-Inputs!$B$15)*MIN(Mkt!T61,S61*(1+Inputs!$B$18))),S61)))</f>
        <v>2307.2</v>
      </c>
      <c r="U61" s="11" t="n">
        <f aca="false">IF(U$1&lt;Units!$P60,0,IF(AND(Units!$K60=0,U$1=Units!$O60),Units!$R60,IF(AND(U$1&gt;=Units!$Q60,MOD(U$1-Units!$Q60,12)=0),IF(AND(Units!$L60=1,U$1=Units!$Q60),IF(Units!$J60&lt;&gt;"",Units!$J60,Mkt!U61),Inputs!$B$15*Mkt!U61+(1-Inputs!$B$15)*MIN(Mkt!U61,T61*(1+Inputs!$B$18))),T61)))</f>
        <v>2307.2</v>
      </c>
      <c r="V61" s="11" t="n">
        <f aca="false">IF(V$1&lt;Units!$P60,0,IF(AND(Units!$K60=0,V$1=Units!$O60),Units!$R60,IF(AND(V$1&gt;=Units!$Q60,MOD(V$1-Units!$Q60,12)=0),IF(AND(Units!$L60=1,V$1=Units!$Q60),IF(Units!$J60&lt;&gt;"",Units!$J60,Mkt!V61),Inputs!$B$15*Mkt!V61+(1-Inputs!$B$15)*MIN(Mkt!V61,U61*(1+Inputs!$B$18))),U61)))</f>
        <v>2307.2</v>
      </c>
      <c r="W61" s="11" t="n">
        <f aca="false">IF(W$1&lt;Units!$P60,0,IF(AND(Units!$K60=0,W$1=Units!$O60),Units!$R60,IF(AND(W$1&gt;=Units!$Q60,MOD(W$1-Units!$Q60,12)=0),IF(AND(Units!$L60=1,W$1=Units!$Q60),IF(Units!$J60&lt;&gt;"",Units!$J60,Mkt!W61),Inputs!$B$15*Mkt!W61+(1-Inputs!$B$15)*MIN(Mkt!W61,V61*(1+Inputs!$B$18))),V61)))</f>
        <v>2307.2</v>
      </c>
      <c r="X61" s="11" t="n">
        <f aca="false">IF(X$1&lt;Units!$P60,0,IF(AND(Units!$K60=0,X$1=Units!$O60),Units!$R60,IF(AND(X$1&gt;=Units!$Q60,MOD(X$1-Units!$Q60,12)=0),IF(AND(Units!$L60=1,X$1=Units!$Q60),IF(Units!$J60&lt;&gt;"",Units!$J60,Mkt!X61),Inputs!$B$15*Mkt!X61+(1-Inputs!$B$15)*MIN(Mkt!X61,W61*(1+Inputs!$B$18))),W61)))</f>
        <v>2307.2</v>
      </c>
      <c r="Y61" s="11" t="n">
        <f aca="false">IF(Y$1&lt;Units!$P60,0,IF(AND(Units!$K60=0,Y$1=Units!$O60),Units!$R60,IF(AND(Y$1&gt;=Units!$Q60,MOD(Y$1-Units!$Q60,12)=0),IF(AND(Units!$L60=1,Y$1=Units!$Q60),IF(Units!$J60&lt;&gt;"",Units!$J60,Mkt!Y61),Inputs!$B$15*Mkt!Y61+(1-Inputs!$B$15)*MIN(Mkt!Y61,X61*(1+Inputs!$B$18))),X61)))</f>
        <v>2307.2</v>
      </c>
      <c r="Z61" s="11" t="n">
        <f aca="false">IF(Z$1&lt;Units!$P60,0,IF(AND(Units!$K60=0,Z$1=Units!$O60),Units!$R60,IF(AND(Z$1&gt;=Units!$Q60,MOD(Z$1-Units!$Q60,12)=0),IF(AND(Units!$L60=1,Z$1=Units!$Q60),IF(Units!$J60&lt;&gt;"",Units!$J60,Mkt!Z61),Inputs!$B$15*Mkt!Z61+(1-Inputs!$B$15)*MIN(Mkt!Z61,Y61*(1+Inputs!$B$18))),Y61)))</f>
        <v>2307.2</v>
      </c>
      <c r="AA61" s="11" t="n">
        <f aca="false">IF(AA$1&lt;Units!$P60,0,IF(AND(Units!$K60=0,AA$1=Units!$O60),Units!$R60,IF(AND(AA$1&gt;=Units!$Q60,MOD(AA$1-Units!$Q60,12)=0),IF(AND(Units!$L60=1,AA$1=Units!$Q60),IF(Units!$J60&lt;&gt;"",Units!$J60,Mkt!AA61),Inputs!$B$15*Mkt!AA61+(1-Inputs!$B$15)*MIN(Mkt!AA61,Z61*(1+Inputs!$B$18))),Z61)))</f>
        <v>2307.2</v>
      </c>
      <c r="AB61" s="11" t="n">
        <f aca="false">IF(AB$1&lt;Units!$P60,0,IF(AND(Units!$K60=0,AB$1=Units!$O60),Units!$R60,IF(AND(AB$1&gt;=Units!$Q60,MOD(AB$1-Units!$Q60,12)=0),IF(AND(Units!$L60=1,AB$1=Units!$Q60),IF(Units!$J60&lt;&gt;"",Units!$J60,Mkt!AB61),Inputs!$B$15*Mkt!AB61+(1-Inputs!$B$15)*MIN(Mkt!AB61,AA61*(1+Inputs!$B$18))),AA61)))</f>
        <v>2307.2</v>
      </c>
      <c r="AC61" s="11" t="n">
        <f aca="false">IF(AC$1&lt;Units!$P60,0,IF(AND(Units!$K60=0,AC$1=Units!$O60),Units!$R60,IF(AND(AC$1&gt;=Units!$Q60,MOD(AC$1-Units!$Q60,12)=0),IF(AND(Units!$L60=1,AC$1=Units!$Q60),IF(Units!$J60&lt;&gt;"",Units!$J60,Mkt!AC61),Inputs!$B$15*Mkt!AC61+(1-Inputs!$B$15)*MIN(Mkt!AC61,AB61*(1+Inputs!$B$18))),AB61)))</f>
        <v>2376.416</v>
      </c>
      <c r="AD61" s="11" t="n">
        <f aca="false">IF(AD$1&lt;Units!$P60,0,IF(AND(Units!$K60=0,AD$1=Units!$O60),Units!$R60,IF(AND(AD$1&gt;=Units!$Q60,MOD(AD$1-Units!$Q60,12)=0),IF(AND(Units!$L60=1,AD$1=Units!$Q60),IF(Units!$J60&lt;&gt;"",Units!$J60,Mkt!AD61),Inputs!$B$15*Mkt!AD61+(1-Inputs!$B$15)*MIN(Mkt!AD61,AC61*(1+Inputs!$B$18))),AC61)))</f>
        <v>2376.416</v>
      </c>
      <c r="AE61" s="11" t="n">
        <f aca="false">IF(AE$1&lt;Units!$P60,0,IF(AND(Units!$K60=0,AE$1=Units!$O60),Units!$R60,IF(AND(AE$1&gt;=Units!$Q60,MOD(AE$1-Units!$Q60,12)=0),IF(AND(Units!$L60=1,AE$1=Units!$Q60),IF(Units!$J60&lt;&gt;"",Units!$J60,Mkt!AE61),Inputs!$B$15*Mkt!AE61+(1-Inputs!$B$15)*MIN(Mkt!AE61,AD61*(1+Inputs!$B$18))),AD61)))</f>
        <v>2376.416</v>
      </c>
      <c r="AF61" s="11" t="n">
        <f aca="false">IF(AF$1&lt;Units!$P60,0,IF(AND(Units!$K60=0,AF$1=Units!$O60),Units!$R60,IF(AND(AF$1&gt;=Units!$Q60,MOD(AF$1-Units!$Q60,12)=0),IF(AND(Units!$L60=1,AF$1=Units!$Q60),IF(Units!$J60&lt;&gt;"",Units!$J60,Mkt!AF61),Inputs!$B$15*Mkt!AF61+(1-Inputs!$B$15)*MIN(Mkt!AF61,AE61*(1+Inputs!$B$18))),AE61)))</f>
        <v>2376.416</v>
      </c>
      <c r="AG61" s="11" t="n">
        <f aca="false">IF(AG$1&lt;Units!$P60,0,IF(AND(Units!$K60=0,AG$1=Units!$O60),Units!$R60,IF(AND(AG$1&gt;=Units!$Q60,MOD(AG$1-Units!$Q60,12)=0),IF(AND(Units!$L60=1,AG$1=Units!$Q60),IF(Units!$J60&lt;&gt;"",Units!$J60,Mkt!AG61),Inputs!$B$15*Mkt!AG61+(1-Inputs!$B$15)*MIN(Mkt!AG61,AF61*(1+Inputs!$B$18))),AF61)))</f>
        <v>2376.416</v>
      </c>
      <c r="AH61" s="11" t="n">
        <f aca="false">IF(AH$1&lt;Units!$P60,0,IF(AND(Units!$K60=0,AH$1=Units!$O60),Units!$R60,IF(AND(AH$1&gt;=Units!$Q60,MOD(AH$1-Units!$Q60,12)=0),IF(AND(Units!$L60=1,AH$1=Units!$Q60),IF(Units!$J60&lt;&gt;"",Units!$J60,Mkt!AH61),Inputs!$B$15*Mkt!AH61+(1-Inputs!$B$15)*MIN(Mkt!AH61,AG61*(1+Inputs!$B$18))),AG61)))</f>
        <v>2376.416</v>
      </c>
      <c r="AI61" s="11" t="n">
        <f aca="false">IF(AI$1&lt;Units!$P60,0,IF(AND(Units!$K60=0,AI$1=Units!$O60),Units!$R60,IF(AND(AI$1&gt;=Units!$Q60,MOD(AI$1-Units!$Q60,12)=0),IF(AND(Units!$L60=1,AI$1=Units!$Q60),IF(Units!$J60&lt;&gt;"",Units!$J60,Mkt!AI61),Inputs!$B$15*Mkt!AI61+(1-Inputs!$B$15)*MIN(Mkt!AI61,AH61*(1+Inputs!$B$18))),AH61)))</f>
        <v>2376.416</v>
      </c>
      <c r="AJ61" s="11" t="n">
        <f aca="false">IF(AJ$1&lt;Units!$P60,0,IF(AND(Units!$K60=0,AJ$1=Units!$O60),Units!$R60,IF(AND(AJ$1&gt;=Units!$Q60,MOD(AJ$1-Units!$Q60,12)=0),IF(AND(Units!$L60=1,AJ$1=Units!$Q60),IF(Units!$J60&lt;&gt;"",Units!$J60,Mkt!AJ61),Inputs!$B$15*Mkt!AJ61+(1-Inputs!$B$15)*MIN(Mkt!AJ61,AI61*(1+Inputs!$B$18))),AI61)))</f>
        <v>2376.416</v>
      </c>
      <c r="AK61" s="11" t="n">
        <f aca="false">IF(AK$1&lt;Units!$P60,0,IF(AND(Units!$K60=0,AK$1=Units!$O60),Units!$R60,IF(AND(AK$1&gt;=Units!$Q60,MOD(AK$1-Units!$Q60,12)=0),IF(AND(Units!$L60=1,AK$1=Units!$Q60),IF(Units!$J60&lt;&gt;"",Units!$J60,Mkt!AK61),Inputs!$B$15*Mkt!AK61+(1-Inputs!$B$15)*MIN(Mkt!AK61,AJ61*(1+Inputs!$B$18))),AJ61)))</f>
        <v>2376.416</v>
      </c>
      <c r="AL61" s="11" t="n">
        <f aca="false">IF(AL$1&lt;Units!$P60,0,IF(AND(Units!$K60=0,AL$1=Units!$O60),Units!$R60,IF(AND(AL$1&gt;=Units!$Q60,MOD(AL$1-Units!$Q60,12)=0),IF(AND(Units!$L60=1,AL$1=Units!$Q60),IF(Units!$J60&lt;&gt;"",Units!$J60,Mkt!AL61),Inputs!$B$15*Mkt!AL61+(1-Inputs!$B$15)*MIN(Mkt!AL61,AK61*(1+Inputs!$B$18))),AK61)))</f>
        <v>2376.416</v>
      </c>
      <c r="AM61" s="11" t="n">
        <f aca="false">IF(AM$1&lt;Units!$P60,0,IF(AND(Units!$K60=0,AM$1=Units!$O60),Units!$R60,IF(AND(AM$1&gt;=Units!$Q60,MOD(AM$1-Units!$Q60,12)=0),IF(AND(Units!$L60=1,AM$1=Units!$Q60),IF(Units!$J60&lt;&gt;"",Units!$J60,Mkt!AM61),Inputs!$B$15*Mkt!AM61+(1-Inputs!$B$15)*MIN(Mkt!AM61,AL61*(1+Inputs!$B$18))),AL61)))</f>
        <v>2376.416</v>
      </c>
      <c r="AN61" s="11" t="n">
        <f aca="false">IF(AN$1&lt;Units!$P60,0,IF(AND(Units!$K60=0,AN$1=Units!$O60),Units!$R60,IF(AND(AN$1&gt;=Units!$Q60,MOD(AN$1-Units!$Q60,12)=0),IF(AND(Units!$L60=1,AN$1=Units!$Q60),IF(Units!$J60&lt;&gt;"",Units!$J60,Mkt!AN61),Inputs!$B$15*Mkt!AN61+(1-Inputs!$B$15)*MIN(Mkt!AN61,AM61*(1+Inputs!$B$18))),AM61)))</f>
        <v>2376.416</v>
      </c>
      <c r="AO61" s="11" t="n">
        <f aca="false">IF(AO$1&lt;Units!$P60,0,IF(AND(Units!$K60=0,AO$1=Units!$O60),Units!$R60,IF(AND(AO$1&gt;=Units!$Q60,MOD(AO$1-Units!$Q60,12)=0),IF(AND(Units!$L60=1,AO$1=Units!$Q60),IF(Units!$J60&lt;&gt;"",Units!$J60,Mkt!AO61),Inputs!$B$15*Mkt!AO61+(1-Inputs!$B$15)*MIN(Mkt!AO61,AN61*(1+Inputs!$B$18))),AN61)))</f>
        <v>2447.70848</v>
      </c>
      <c r="AP61" s="11" t="n">
        <f aca="false">IF(AP$1&lt;Units!$P60,0,IF(AND(Units!$K60=0,AP$1=Units!$O60),Units!$R60,IF(AND(AP$1&gt;=Units!$Q60,MOD(AP$1-Units!$Q60,12)=0),IF(AND(Units!$L60=1,AP$1=Units!$Q60),IF(Units!$J60&lt;&gt;"",Units!$J60,Mkt!AP61),Inputs!$B$15*Mkt!AP61+(1-Inputs!$B$15)*MIN(Mkt!AP61,AO61*(1+Inputs!$B$18))),AO61)))</f>
        <v>2447.70848</v>
      </c>
      <c r="AQ61" s="11" t="n">
        <f aca="false">IF(AQ$1&lt;Units!$P60,0,IF(AND(Units!$K60=0,AQ$1=Units!$O60),Units!$R60,IF(AND(AQ$1&gt;=Units!$Q60,MOD(AQ$1-Units!$Q60,12)=0),IF(AND(Units!$L60=1,AQ$1=Units!$Q60),IF(Units!$J60&lt;&gt;"",Units!$J60,Mkt!AQ61),Inputs!$B$15*Mkt!AQ61+(1-Inputs!$B$15)*MIN(Mkt!AQ61,AP61*(1+Inputs!$B$18))),AP61)))</f>
        <v>2447.70848</v>
      </c>
      <c r="AR61" s="11" t="n">
        <f aca="false">IF(AR$1&lt;Units!$P60,0,IF(AND(Units!$K60=0,AR$1=Units!$O60),Units!$R60,IF(AND(AR$1&gt;=Units!$Q60,MOD(AR$1-Units!$Q60,12)=0),IF(AND(Units!$L60=1,AR$1=Units!$Q60),IF(Units!$J60&lt;&gt;"",Units!$J60,Mkt!AR61),Inputs!$B$15*Mkt!AR61+(1-Inputs!$B$15)*MIN(Mkt!AR61,AQ61*(1+Inputs!$B$18))),AQ61)))</f>
        <v>2447.70848</v>
      </c>
      <c r="AS61" s="11" t="n">
        <f aca="false">IF(AS$1&lt;Units!$P60,0,IF(AND(Units!$K60=0,AS$1=Units!$O60),Units!$R60,IF(AND(AS$1&gt;=Units!$Q60,MOD(AS$1-Units!$Q60,12)=0),IF(AND(Units!$L60=1,AS$1=Units!$Q60),IF(Units!$J60&lt;&gt;"",Units!$J60,Mkt!AS61),Inputs!$B$15*Mkt!AS61+(1-Inputs!$B$15)*MIN(Mkt!AS61,AR61*(1+Inputs!$B$18))),AR61)))</f>
        <v>2447.70848</v>
      </c>
      <c r="AT61" s="11" t="n">
        <f aca="false">IF(AT$1&lt;Units!$P60,0,IF(AND(Units!$K60=0,AT$1=Units!$O60),Units!$R60,IF(AND(AT$1&gt;=Units!$Q60,MOD(AT$1-Units!$Q60,12)=0),IF(AND(Units!$L60=1,AT$1=Units!$Q60),IF(Units!$J60&lt;&gt;"",Units!$J60,Mkt!AT61),Inputs!$B$15*Mkt!AT61+(1-Inputs!$B$15)*MIN(Mkt!AT61,AS61*(1+Inputs!$B$18))),AS61)))</f>
        <v>2447.70848</v>
      </c>
      <c r="AU61" s="11" t="n">
        <f aca="false">IF(AU$1&lt;Units!$P60,0,IF(AND(Units!$K60=0,AU$1=Units!$O60),Units!$R60,IF(AND(AU$1&gt;=Units!$Q60,MOD(AU$1-Units!$Q60,12)=0),IF(AND(Units!$L60=1,AU$1=Units!$Q60),IF(Units!$J60&lt;&gt;"",Units!$J60,Mkt!AU61),Inputs!$B$15*Mkt!AU61+(1-Inputs!$B$15)*MIN(Mkt!AU61,AT61*(1+Inputs!$B$18))),AT61)))</f>
        <v>2447.70848</v>
      </c>
      <c r="AV61" s="11" t="n">
        <f aca="false">IF(AV$1&lt;Units!$P60,0,IF(AND(Units!$K60=0,AV$1=Units!$O60),Units!$R60,IF(AND(AV$1&gt;=Units!$Q60,MOD(AV$1-Units!$Q60,12)=0),IF(AND(Units!$L60=1,AV$1=Units!$Q60),IF(Units!$J60&lt;&gt;"",Units!$J60,Mkt!AV61),Inputs!$B$15*Mkt!AV61+(1-Inputs!$B$15)*MIN(Mkt!AV61,AU61*(1+Inputs!$B$18))),AU61)))</f>
        <v>2447.70848</v>
      </c>
      <c r="AW61" s="11" t="n">
        <f aca="false">IF(AW$1&lt;Units!$P60,0,IF(AND(Units!$K60=0,AW$1=Units!$O60),Units!$R60,IF(AND(AW$1&gt;=Units!$Q60,MOD(AW$1-Units!$Q60,12)=0),IF(AND(Units!$L60=1,AW$1=Units!$Q60),IF(Units!$J60&lt;&gt;"",Units!$J60,Mkt!AW61),Inputs!$B$15*Mkt!AW61+(1-Inputs!$B$15)*MIN(Mkt!AW61,AV61*(1+Inputs!$B$18))),AV61)))</f>
        <v>2447.70848</v>
      </c>
      <c r="AX61" s="11" t="n">
        <f aca="false">IF(AX$1&lt;Units!$P60,0,IF(AND(Units!$K60=0,AX$1=Units!$O60),Units!$R60,IF(AND(AX$1&gt;=Units!$Q60,MOD(AX$1-Units!$Q60,12)=0),IF(AND(Units!$L60=1,AX$1=Units!$Q60),IF(Units!$J60&lt;&gt;"",Units!$J60,Mkt!AX61),Inputs!$B$15*Mkt!AX61+(1-Inputs!$B$15)*MIN(Mkt!AX61,AW61*(1+Inputs!$B$18))),AW61)))</f>
        <v>2447.70848</v>
      </c>
      <c r="AY61" s="11" t="n">
        <f aca="false">IF(AY$1&lt;Units!$P60,0,IF(AND(Units!$K60=0,AY$1=Units!$O60),Units!$R60,IF(AND(AY$1&gt;=Units!$Q60,MOD(AY$1-Units!$Q60,12)=0),IF(AND(Units!$L60=1,AY$1=Units!$Q60),IF(Units!$J60&lt;&gt;"",Units!$J60,Mkt!AY61),Inputs!$B$15*Mkt!AY61+(1-Inputs!$B$15)*MIN(Mkt!AY61,AX61*(1+Inputs!$B$18))),AX61)))</f>
        <v>2447.70848</v>
      </c>
      <c r="AZ61" s="11" t="n">
        <f aca="false">IF(AZ$1&lt;Units!$P60,0,IF(AND(Units!$K60=0,AZ$1=Units!$O60),Units!$R60,IF(AND(AZ$1&gt;=Units!$Q60,MOD(AZ$1-Units!$Q60,12)=0),IF(AND(Units!$L60=1,AZ$1=Units!$Q60),IF(Units!$J60&lt;&gt;"",Units!$J60,Mkt!AZ61),Inputs!$B$15*Mkt!AZ61+(1-Inputs!$B$15)*MIN(Mkt!AZ61,AY61*(1+Inputs!$B$18))),AY61)))</f>
        <v>2447.70848</v>
      </c>
      <c r="BA61" s="11" t="n">
        <f aca="false">IF(BA$1&lt;Units!$P60,0,IF(AND(Units!$K60=0,BA$1=Units!$O60),Units!$R60,IF(AND(BA$1&gt;=Units!$Q60,MOD(BA$1-Units!$Q60,12)=0),IF(AND(Units!$L60=1,BA$1=Units!$Q60),IF(Units!$J60&lt;&gt;"",Units!$J60,Mkt!BA61),Inputs!$B$15*Mkt!BA61+(1-Inputs!$B$15)*MIN(Mkt!BA61,AZ61*(1+Inputs!$B$18))),AZ61)))</f>
        <v>2521.1397344</v>
      </c>
      <c r="BB61" s="11" t="n">
        <f aca="false">IF(BB$1&lt;Units!$P60,0,IF(AND(Units!$K60=0,BB$1=Units!$O60),Units!$R60,IF(AND(BB$1&gt;=Units!$Q60,MOD(BB$1-Units!$Q60,12)=0),IF(AND(Units!$L60=1,BB$1=Units!$Q60),IF(Units!$J60&lt;&gt;"",Units!$J60,Mkt!BB61),Inputs!$B$15*Mkt!BB61+(1-Inputs!$B$15)*MIN(Mkt!BB61,BA61*(1+Inputs!$B$18))),BA61)))</f>
        <v>2521.1397344</v>
      </c>
      <c r="BC61" s="11" t="n">
        <f aca="false">IF(BC$1&lt;Units!$P60,0,IF(AND(Units!$K60=0,BC$1=Units!$O60),Units!$R60,IF(AND(BC$1&gt;=Units!$Q60,MOD(BC$1-Units!$Q60,12)=0),IF(AND(Units!$L60=1,BC$1=Units!$Q60),IF(Units!$J60&lt;&gt;"",Units!$J60,Mkt!BC61),Inputs!$B$15*Mkt!BC61+(1-Inputs!$B$15)*MIN(Mkt!BC61,BB61*(1+Inputs!$B$18))),BB61)))</f>
        <v>2521.1397344</v>
      </c>
      <c r="BD61" s="11" t="n">
        <f aca="false">IF(BD$1&lt;Units!$P60,0,IF(AND(Units!$K60=0,BD$1=Units!$O60),Units!$R60,IF(AND(BD$1&gt;=Units!$Q60,MOD(BD$1-Units!$Q60,12)=0),IF(AND(Units!$L60=1,BD$1=Units!$Q60),IF(Units!$J60&lt;&gt;"",Units!$J60,Mkt!BD61),Inputs!$B$15*Mkt!BD61+(1-Inputs!$B$15)*MIN(Mkt!BD61,BC61*(1+Inputs!$B$18))),BC61)))</f>
        <v>2521.1397344</v>
      </c>
      <c r="BE61" s="11" t="n">
        <f aca="false">IF(BE$1&lt;Units!$P60,0,IF(AND(Units!$K60=0,BE$1=Units!$O60),Units!$R60,IF(AND(BE$1&gt;=Units!$Q60,MOD(BE$1-Units!$Q60,12)=0),IF(AND(Units!$L60=1,BE$1=Units!$Q60),IF(Units!$J60&lt;&gt;"",Units!$J60,Mkt!BE61),Inputs!$B$15*Mkt!BE61+(1-Inputs!$B$15)*MIN(Mkt!BE61,BD61*(1+Inputs!$B$18))),BD61)))</f>
        <v>2521.1397344</v>
      </c>
      <c r="BF61" s="11" t="n">
        <f aca="false">IF(BF$1&lt;Units!$P60,0,IF(AND(Units!$K60=0,BF$1=Units!$O60),Units!$R60,IF(AND(BF$1&gt;=Units!$Q60,MOD(BF$1-Units!$Q60,12)=0),IF(AND(Units!$L60=1,BF$1=Units!$Q60),IF(Units!$J60&lt;&gt;"",Units!$J60,Mkt!BF61),Inputs!$B$15*Mkt!BF61+(1-Inputs!$B$15)*MIN(Mkt!BF61,BE61*(1+Inputs!$B$18))),BE61)))</f>
        <v>2521.1397344</v>
      </c>
      <c r="BG61" s="11" t="n">
        <f aca="false">IF(BG$1&lt;Units!$P60,0,IF(AND(Units!$K60=0,BG$1=Units!$O60),Units!$R60,IF(AND(BG$1&gt;=Units!$Q60,MOD(BG$1-Units!$Q60,12)=0),IF(AND(Units!$L60=1,BG$1=Units!$Q60),IF(Units!$J60&lt;&gt;"",Units!$J60,Mkt!BG61),Inputs!$B$15*Mkt!BG61+(1-Inputs!$B$15)*MIN(Mkt!BG61,BF61*(1+Inputs!$B$18))),BF61)))</f>
        <v>2521.1397344</v>
      </c>
      <c r="BH61" s="11" t="n">
        <f aca="false">IF(BH$1&lt;Units!$P60,0,IF(AND(Units!$K60=0,BH$1=Units!$O60),Units!$R60,IF(AND(BH$1&gt;=Units!$Q60,MOD(BH$1-Units!$Q60,12)=0),IF(AND(Units!$L60=1,BH$1=Units!$Q60),IF(Units!$J60&lt;&gt;"",Units!$J60,Mkt!BH61),Inputs!$B$15*Mkt!BH61+(1-Inputs!$B$15)*MIN(Mkt!BH61,BG61*(1+Inputs!$B$18))),BG61)))</f>
        <v>2521.1397344</v>
      </c>
      <c r="BI61" s="11" t="n">
        <f aca="false">IF(BI$1&lt;Units!$P60,0,IF(AND(Units!$K60=0,BI$1=Units!$O60),Units!$R60,IF(AND(BI$1&gt;=Units!$Q60,MOD(BI$1-Units!$Q60,12)=0),IF(AND(Units!$L60=1,BI$1=Units!$Q60),IF(Units!$J60&lt;&gt;"",Units!$J60,Mkt!BI61),Inputs!$B$15*Mkt!BI61+(1-Inputs!$B$15)*MIN(Mkt!BI61,BH61*(1+Inputs!$B$18))),BH61)))</f>
        <v>2521.1397344</v>
      </c>
      <c r="BJ61" s="11" t="n">
        <f aca="false">IF(BJ$1&lt;Units!$P60,0,IF(AND(Units!$K60=0,BJ$1=Units!$O60),Units!$R60,IF(AND(BJ$1&gt;=Units!$Q60,MOD(BJ$1-Units!$Q60,12)=0),IF(AND(Units!$L60=1,BJ$1=Units!$Q60),IF(Units!$J60&lt;&gt;"",Units!$J60,Mkt!BJ61),Inputs!$B$15*Mkt!BJ61+(1-Inputs!$B$15)*MIN(Mkt!BJ61,BI61*(1+Inputs!$B$18))),BI61)))</f>
        <v>2521.1397344</v>
      </c>
      <c r="BK61" s="11" t="n">
        <f aca="false">IF(BK$1&lt;Units!$P60,0,IF(AND(Units!$K60=0,BK$1=Units!$O60),Units!$R60,IF(AND(BK$1&gt;=Units!$Q60,MOD(BK$1-Units!$Q60,12)=0),IF(AND(Units!$L60=1,BK$1=Units!$Q60),IF(Units!$J60&lt;&gt;"",Units!$J60,Mkt!BK61),Inputs!$B$15*Mkt!BK61+(1-Inputs!$B$15)*MIN(Mkt!BK61,BJ61*(1+Inputs!$B$18))),BJ61)))</f>
        <v>2521.1397344</v>
      </c>
      <c r="BL61" s="11" t="n">
        <f aca="false">IF(BL$1&lt;Units!$P60,0,IF(AND(Units!$K60=0,BL$1=Units!$O60),Units!$R60,IF(AND(BL$1&gt;=Units!$Q60,MOD(BL$1-Units!$Q60,12)=0),IF(AND(Units!$L60=1,BL$1=Units!$Q60),IF(Units!$J60&lt;&gt;"",Units!$J60,Mkt!BL61),Inputs!$B$15*Mkt!BL61+(1-Inputs!$B$15)*MIN(Mkt!BL61,BK61*(1+Inputs!$B$18))),BK61)))</f>
        <v>2521.1397344</v>
      </c>
      <c r="BM61" s="11" t="n">
        <f aca="false">IF(BM$1&lt;Units!$P60,0,IF(AND(Units!$K60=0,BM$1=Units!$O60),Units!$R60,IF(AND(BM$1&gt;=Units!$Q60,MOD(BM$1-Units!$Q60,12)=0),IF(AND(Units!$L60=1,BM$1=Units!$Q60),IF(Units!$J60&lt;&gt;"",Units!$J60,Mkt!BM61),Inputs!$B$15*Mkt!BM61+(1-Inputs!$B$15)*MIN(Mkt!BM61,BL61*(1+Inputs!$B$18))),BL61)))</f>
        <v>2596.773926432</v>
      </c>
      <c r="BN61" s="11" t="n">
        <f aca="false">IF(BN$1&lt;Units!$P60,0,IF(AND(Units!$K60=0,BN$1=Units!$O60),Units!$R60,IF(AND(BN$1&gt;=Units!$Q60,MOD(BN$1-Units!$Q60,12)=0),IF(AND(Units!$L60=1,BN$1=Units!$Q60),IF(Units!$J60&lt;&gt;"",Units!$J60,Mkt!BN61),Inputs!$B$15*Mkt!BN61+(1-Inputs!$B$15)*MIN(Mkt!BN61,BM61*(1+Inputs!$B$18))),BM61)))</f>
        <v>2596.773926432</v>
      </c>
      <c r="BO61" s="11" t="n">
        <f aca="false">IF(BO$1&lt;Units!$P60,0,IF(AND(Units!$K60=0,BO$1=Units!$O60),Units!$R60,IF(AND(BO$1&gt;=Units!$Q60,MOD(BO$1-Units!$Q60,12)=0),IF(AND(Units!$L60=1,BO$1=Units!$Q60),IF(Units!$J60&lt;&gt;"",Units!$J60,Mkt!BO61),Inputs!$B$15*Mkt!BO61+(1-Inputs!$B$15)*MIN(Mkt!BO61,BN61*(1+Inputs!$B$18))),BN61)))</f>
        <v>2596.773926432</v>
      </c>
      <c r="BP61" s="11" t="n">
        <f aca="false">IF(BP$1&lt;Units!$P60,0,IF(AND(Units!$K60=0,BP$1=Units!$O60),Units!$R60,IF(AND(BP$1&gt;=Units!$Q60,MOD(BP$1-Units!$Q60,12)=0),IF(AND(Units!$L60=1,BP$1=Units!$Q60),IF(Units!$J60&lt;&gt;"",Units!$J60,Mkt!BP61),Inputs!$B$15*Mkt!BP61+(1-Inputs!$B$15)*MIN(Mkt!BP61,BO61*(1+Inputs!$B$18))),BO61)))</f>
        <v>2596.773926432</v>
      </c>
      <c r="BQ61" s="11" t="n">
        <f aca="false">IF(BQ$1&lt;Units!$P60,0,IF(AND(Units!$K60=0,BQ$1=Units!$O60),Units!$R60,IF(AND(BQ$1&gt;=Units!$Q60,MOD(BQ$1-Units!$Q60,12)=0),IF(AND(Units!$L60=1,BQ$1=Units!$Q60),IF(Units!$J60&lt;&gt;"",Units!$J60,Mkt!BQ61),Inputs!$B$15*Mkt!BQ61+(1-Inputs!$B$15)*MIN(Mkt!BQ61,BP61*(1+Inputs!$B$18))),BP61)))</f>
        <v>2596.773926432</v>
      </c>
      <c r="BR61" s="11" t="n">
        <f aca="false">IF(BR$1&lt;Units!$P60,0,IF(AND(Units!$K60=0,BR$1=Units!$O60),Units!$R60,IF(AND(BR$1&gt;=Units!$Q60,MOD(BR$1-Units!$Q60,12)=0),IF(AND(Units!$L60=1,BR$1=Units!$Q60),IF(Units!$J60&lt;&gt;"",Units!$J60,Mkt!BR61),Inputs!$B$15*Mkt!BR61+(1-Inputs!$B$15)*MIN(Mkt!BR61,BQ61*(1+Inputs!$B$18))),BQ61)))</f>
        <v>2596.773926432</v>
      </c>
      <c r="BS61" s="11" t="n">
        <f aca="false">IF(BS$1&lt;Units!$P60,0,IF(AND(Units!$K60=0,BS$1=Units!$O60),Units!$R60,IF(AND(BS$1&gt;=Units!$Q60,MOD(BS$1-Units!$Q60,12)=0),IF(AND(Units!$L60=1,BS$1=Units!$Q60),IF(Units!$J60&lt;&gt;"",Units!$J60,Mkt!BS61),Inputs!$B$15*Mkt!BS61+(1-Inputs!$B$15)*MIN(Mkt!BS61,BR61*(1+Inputs!$B$18))),BR61)))</f>
        <v>2596.773926432</v>
      </c>
      <c r="BT61" s="11" t="n">
        <f aca="false">IF(BT$1&lt;Units!$P60,0,IF(AND(Units!$K60=0,BT$1=Units!$O60),Units!$R60,IF(AND(BT$1&gt;=Units!$Q60,MOD(BT$1-Units!$Q60,12)=0),IF(AND(Units!$L60=1,BT$1=Units!$Q60),IF(Units!$J60&lt;&gt;"",Units!$J60,Mkt!BT61),Inputs!$B$15*Mkt!BT61+(1-Inputs!$B$15)*MIN(Mkt!BT61,BS61*(1+Inputs!$B$18))),BS61)))</f>
        <v>2596.773926432</v>
      </c>
      <c r="BU61" s="11" t="n">
        <f aca="false">IF(BU$1&lt;Units!$P60,0,IF(AND(Units!$K60=0,BU$1=Units!$O60),Units!$R60,IF(AND(BU$1&gt;=Units!$Q60,MOD(BU$1-Units!$Q60,12)=0),IF(AND(Units!$L60=1,BU$1=Units!$Q60),IF(Units!$J60&lt;&gt;"",Units!$J60,Mkt!BU61),Inputs!$B$15*Mkt!BU61+(1-Inputs!$B$15)*MIN(Mkt!BU61,BT61*(1+Inputs!$B$18))),BT61)))</f>
        <v>2596.773926432</v>
      </c>
      <c r="BV61" s="11" t="n">
        <f aca="false">IF(BV$1&lt;Units!$P60,0,IF(AND(Units!$K60=0,BV$1=Units!$O60),Units!$R60,IF(AND(BV$1&gt;=Units!$Q60,MOD(BV$1-Units!$Q60,12)=0),IF(AND(Units!$L60=1,BV$1=Units!$Q60),IF(Units!$J60&lt;&gt;"",Units!$J60,Mkt!BV61),Inputs!$B$15*Mkt!BV61+(1-Inputs!$B$15)*MIN(Mkt!BV61,BU61*(1+Inputs!$B$18))),BU61)))</f>
        <v>2596.773926432</v>
      </c>
      <c r="BW61" s="11" t="n">
        <f aca="false">IF(BW$1&lt;Units!$P60,0,IF(AND(Units!$K60=0,BW$1=Units!$O60),Units!$R60,IF(AND(BW$1&gt;=Units!$Q60,MOD(BW$1-Units!$Q60,12)=0),IF(AND(Units!$L60=1,BW$1=Units!$Q60),IF(Units!$J60&lt;&gt;"",Units!$J60,Mkt!BW61),Inputs!$B$15*Mkt!BW61+(1-Inputs!$B$15)*MIN(Mkt!BW61,BV61*(1+Inputs!$B$18))),BV61)))</f>
        <v>2596.773926432</v>
      </c>
      <c r="BX61" s="11" t="n">
        <f aca="false">IF(BX$1&lt;Units!$P60,0,IF(AND(Units!$K60=0,BX$1=Units!$O60),Units!$R60,IF(AND(BX$1&gt;=Units!$Q60,MOD(BX$1-Units!$Q60,12)=0),IF(AND(Units!$L60=1,BX$1=Units!$Q60),IF(Units!$J60&lt;&gt;"",Units!$J60,Mkt!BX61),Inputs!$B$15*Mkt!BX61+(1-Inputs!$B$15)*MIN(Mkt!BX61,BW61*(1+Inputs!$B$18))),BW61)))</f>
        <v>2596.773926432</v>
      </c>
      <c r="BY61" s="11" t="n">
        <f aca="false">IF(BY$1&lt;Units!$P60,0,IF(AND(Units!$K60=0,BY$1=Units!$O60),Units!$R60,IF(AND(BY$1&gt;=Units!$Q60,MOD(BY$1-Units!$Q60,12)=0),IF(AND(Units!$L60=1,BY$1=Units!$Q60),IF(Units!$J60&lt;&gt;"",Units!$J60,Mkt!BY61),Inputs!$B$15*Mkt!BY61+(1-Inputs!$B$15)*MIN(Mkt!BY61,BX61*(1+Inputs!$B$18))),BX61)))</f>
        <v>2674.67714422496</v>
      </c>
      <c r="BZ61" s="11" t="n">
        <f aca="false">IF(BZ$1&lt;Units!$P60,0,IF(AND(Units!$K60=0,BZ$1=Units!$O60),Units!$R60,IF(AND(BZ$1&gt;=Units!$Q60,MOD(BZ$1-Units!$Q60,12)=0),IF(AND(Units!$L60=1,BZ$1=Units!$Q60),IF(Units!$J60&lt;&gt;"",Units!$J60,Mkt!BZ61),Inputs!$B$15*Mkt!BZ61+(1-Inputs!$B$15)*MIN(Mkt!BZ61,BY61*(1+Inputs!$B$18))),BY61)))</f>
        <v>2674.67714422496</v>
      </c>
      <c r="CA61" s="11" t="n">
        <f aca="false">IF(CA$1&lt;Units!$P60,0,IF(AND(Units!$K60=0,CA$1=Units!$O60),Units!$R60,IF(AND(CA$1&gt;=Units!$Q60,MOD(CA$1-Units!$Q60,12)=0),IF(AND(Units!$L60=1,CA$1=Units!$Q60),IF(Units!$J60&lt;&gt;"",Units!$J60,Mkt!CA61),Inputs!$B$15*Mkt!CA61+(1-Inputs!$B$15)*MIN(Mkt!CA61,BZ61*(1+Inputs!$B$18))),BZ61)))</f>
        <v>2674.67714422496</v>
      </c>
      <c r="CB61" s="11" t="n">
        <f aca="false">IF(CB$1&lt;Units!$P60,0,IF(AND(Units!$K60=0,CB$1=Units!$O60),Units!$R60,IF(AND(CB$1&gt;=Units!$Q60,MOD(CB$1-Units!$Q60,12)=0),IF(AND(Units!$L60=1,CB$1=Units!$Q60),IF(Units!$J60&lt;&gt;"",Units!$J60,Mkt!CB61),Inputs!$B$15*Mkt!CB61+(1-Inputs!$B$15)*MIN(Mkt!CB61,CA61*(1+Inputs!$B$18))),CA61)))</f>
        <v>2674.67714422496</v>
      </c>
      <c r="CC61" s="11" t="n">
        <f aca="false">IF(CC$1&lt;Units!$P60,0,IF(AND(Units!$K60=0,CC$1=Units!$O60),Units!$R60,IF(AND(CC$1&gt;=Units!$Q60,MOD(CC$1-Units!$Q60,12)=0),IF(AND(Units!$L60=1,CC$1=Units!$Q60),IF(Units!$J60&lt;&gt;"",Units!$J60,Mkt!CC61),Inputs!$B$15*Mkt!CC61+(1-Inputs!$B$15)*MIN(Mkt!CC61,CB61*(1+Inputs!$B$18))),CB61)))</f>
        <v>2674.67714422496</v>
      </c>
      <c r="CD61" s="11" t="n">
        <f aca="false">IF(CD$1&lt;Units!$P60,0,IF(AND(Units!$K60=0,CD$1=Units!$O60),Units!$R60,IF(AND(CD$1&gt;=Units!$Q60,MOD(CD$1-Units!$Q60,12)=0),IF(AND(Units!$L60=1,CD$1=Units!$Q60),IF(Units!$J60&lt;&gt;"",Units!$J60,Mkt!CD61),Inputs!$B$15*Mkt!CD61+(1-Inputs!$B$15)*MIN(Mkt!CD61,CC61*(1+Inputs!$B$18))),CC61)))</f>
        <v>2674.67714422496</v>
      </c>
      <c r="CE61" s="11" t="n">
        <f aca="false">IF(CE$1&lt;Units!$P60,0,IF(AND(Units!$K60=0,CE$1=Units!$O60),Units!$R60,IF(AND(CE$1&gt;=Units!$Q60,MOD(CE$1-Units!$Q60,12)=0),IF(AND(Units!$L60=1,CE$1=Units!$Q60),IF(Units!$J60&lt;&gt;"",Units!$J60,Mkt!CE61),Inputs!$B$15*Mkt!CE61+(1-Inputs!$B$15)*MIN(Mkt!CE61,CD61*(1+Inputs!$B$18))),CD61)))</f>
        <v>2674.67714422496</v>
      </c>
      <c r="CF61" s="11" t="n">
        <f aca="false">IF(CF$1&lt;Units!$P60,0,IF(AND(Units!$K60=0,CF$1=Units!$O60),Units!$R60,IF(AND(CF$1&gt;=Units!$Q60,MOD(CF$1-Units!$Q60,12)=0),IF(AND(Units!$L60=1,CF$1=Units!$Q60),IF(Units!$J60&lt;&gt;"",Units!$J60,Mkt!CF61),Inputs!$B$15*Mkt!CF61+(1-Inputs!$B$15)*MIN(Mkt!CF61,CE61*(1+Inputs!$B$18))),CE61)))</f>
        <v>2674.67714422496</v>
      </c>
      <c r="CG61" s="11" t="n">
        <f aca="false">IF(CG$1&lt;Units!$P60,0,IF(AND(Units!$K60=0,CG$1=Units!$O60),Units!$R60,IF(AND(CG$1&gt;=Units!$Q60,MOD(CG$1-Units!$Q60,12)=0),IF(AND(Units!$L60=1,CG$1=Units!$Q60),IF(Units!$J60&lt;&gt;"",Units!$J60,Mkt!CG61),Inputs!$B$15*Mkt!CG61+(1-Inputs!$B$15)*MIN(Mkt!CG61,CF61*(1+Inputs!$B$18))),CF61)))</f>
        <v>2674.67714422496</v>
      </c>
      <c r="CH61" s="11" t="n">
        <f aca="false">IF(CH$1&lt;Units!$P60,0,IF(AND(Units!$K60=0,CH$1=Units!$O60),Units!$R60,IF(AND(CH$1&gt;=Units!$Q60,MOD(CH$1-Units!$Q60,12)=0),IF(AND(Units!$L60=1,CH$1=Units!$Q60),IF(Units!$J60&lt;&gt;"",Units!$J60,Mkt!CH61),Inputs!$B$15*Mkt!CH61+(1-Inputs!$B$15)*MIN(Mkt!CH61,CG61*(1+Inputs!$B$18))),CG61)))</f>
        <v>2674.67714422496</v>
      </c>
      <c r="CI61" s="11" t="n">
        <f aca="false">IF(CI$1&lt;Units!$P60,0,IF(AND(Units!$K60=0,CI$1=Units!$O60),Units!$R60,IF(AND(CI$1&gt;=Units!$Q60,MOD(CI$1-Units!$Q60,12)=0),IF(AND(Units!$L60=1,CI$1=Units!$Q60),IF(Units!$J60&lt;&gt;"",Units!$J60,Mkt!CI61),Inputs!$B$15*Mkt!CI61+(1-Inputs!$B$15)*MIN(Mkt!CI61,CH61*(1+Inputs!$B$18))),CH61)))</f>
        <v>2674.67714422496</v>
      </c>
      <c r="CJ61" s="11" t="n">
        <f aca="false">IF(CJ$1&lt;Units!$P60,0,IF(AND(Units!$K60=0,CJ$1=Units!$O60),Units!$R60,IF(AND(CJ$1&gt;=Units!$Q60,MOD(CJ$1-Units!$Q60,12)=0),IF(AND(Units!$L60=1,CJ$1=Units!$Q60),IF(Units!$J60&lt;&gt;"",Units!$J60,Mkt!CJ61),Inputs!$B$15*Mkt!CJ61+(1-Inputs!$B$15)*MIN(Mkt!CJ61,CI61*(1+Inputs!$B$18))),CI61)))</f>
        <v>2674.67714422496</v>
      </c>
      <c r="CK61" s="11" t="n">
        <f aca="false">IF(CK$1&lt;Units!$P60,0,IF(AND(Units!$K60=0,CK$1=Units!$O60),Units!$R60,IF(AND(CK$1&gt;=Units!$Q60,MOD(CK$1-Units!$Q60,12)=0),IF(AND(Units!$L60=1,CK$1=Units!$Q60),IF(Units!$J60&lt;&gt;"",Units!$J60,Mkt!CK61),Inputs!$B$15*Mkt!CK61+(1-Inputs!$B$15)*MIN(Mkt!CK61,CJ61*(1+Inputs!$B$18))),CJ61)))</f>
        <v>2754.91745855171</v>
      </c>
      <c r="CL61" s="11" t="n">
        <f aca="false">IF(CL$1&lt;Units!$P60,0,IF(AND(Units!$K60=0,CL$1=Units!$O60),Units!$R60,IF(AND(CL$1&gt;=Units!$Q60,MOD(CL$1-Units!$Q60,12)=0),IF(AND(Units!$L60=1,CL$1=Units!$Q60),IF(Units!$J60&lt;&gt;"",Units!$J60,Mkt!CL61),Inputs!$B$15*Mkt!CL61+(1-Inputs!$B$15)*MIN(Mkt!CL61,CK61*(1+Inputs!$B$18))),CK61)))</f>
        <v>2754.91745855171</v>
      </c>
      <c r="CM61" s="11" t="n">
        <f aca="false">IF(CM$1&lt;Units!$P60,0,IF(AND(Units!$K60=0,CM$1=Units!$O60),Units!$R60,IF(AND(CM$1&gt;=Units!$Q60,MOD(CM$1-Units!$Q60,12)=0),IF(AND(Units!$L60=1,CM$1=Units!$Q60),IF(Units!$J60&lt;&gt;"",Units!$J60,Mkt!CM61),Inputs!$B$15*Mkt!CM61+(1-Inputs!$B$15)*MIN(Mkt!CM61,CL61*(1+Inputs!$B$18))),CL61)))</f>
        <v>2754.91745855171</v>
      </c>
      <c r="CN61" s="11" t="n">
        <f aca="false">IF(CN$1&lt;Units!$P60,0,IF(AND(Units!$K60=0,CN$1=Units!$O60),Units!$R60,IF(AND(CN$1&gt;=Units!$Q60,MOD(CN$1-Units!$Q60,12)=0),IF(AND(Units!$L60=1,CN$1=Units!$Q60),IF(Units!$J60&lt;&gt;"",Units!$J60,Mkt!CN61),Inputs!$B$15*Mkt!CN61+(1-Inputs!$B$15)*MIN(Mkt!CN61,CM61*(1+Inputs!$B$18))),CM61)))</f>
        <v>2754.91745855171</v>
      </c>
      <c r="CO61" s="11" t="n">
        <f aca="false">IF(CO$1&lt;Units!$P60,0,IF(AND(Units!$K60=0,CO$1=Units!$O60),Units!$R60,IF(AND(CO$1&gt;=Units!$Q60,MOD(CO$1-Units!$Q60,12)=0),IF(AND(Units!$L60=1,CO$1=Units!$Q60),IF(Units!$J60&lt;&gt;"",Units!$J60,Mkt!CO61),Inputs!$B$15*Mkt!CO61+(1-Inputs!$B$15)*MIN(Mkt!CO61,CN61*(1+Inputs!$B$18))),CN61)))</f>
        <v>2754.91745855171</v>
      </c>
      <c r="CP61" s="11" t="n">
        <f aca="false">IF(CP$1&lt;Units!$P60,0,IF(AND(Units!$K60=0,CP$1=Units!$O60),Units!$R60,IF(AND(CP$1&gt;=Units!$Q60,MOD(CP$1-Units!$Q60,12)=0),IF(AND(Units!$L60=1,CP$1=Units!$Q60),IF(Units!$J60&lt;&gt;"",Units!$J60,Mkt!CP61),Inputs!$B$15*Mkt!CP61+(1-Inputs!$B$15)*MIN(Mkt!CP61,CO61*(1+Inputs!$B$18))),CO61)))</f>
        <v>2754.91745855171</v>
      </c>
      <c r="CQ61" s="11" t="n">
        <f aca="false">IF(CQ$1&lt;Units!$P60,0,IF(AND(Units!$K60=0,CQ$1=Units!$O60),Units!$R60,IF(AND(CQ$1&gt;=Units!$Q60,MOD(CQ$1-Units!$Q60,12)=0),IF(AND(Units!$L60=1,CQ$1=Units!$Q60),IF(Units!$J60&lt;&gt;"",Units!$J60,Mkt!CQ61),Inputs!$B$15*Mkt!CQ61+(1-Inputs!$B$15)*MIN(Mkt!CQ61,CP61*(1+Inputs!$B$18))),CP61)))</f>
        <v>2754.91745855171</v>
      </c>
      <c r="CR61" s="11" t="n">
        <f aca="false">IF(CR$1&lt;Units!$P60,0,IF(AND(Units!$K60=0,CR$1=Units!$O60),Units!$R60,IF(AND(CR$1&gt;=Units!$Q60,MOD(CR$1-Units!$Q60,12)=0),IF(AND(Units!$L60=1,CR$1=Units!$Q60),IF(Units!$J60&lt;&gt;"",Units!$J60,Mkt!CR61),Inputs!$B$15*Mkt!CR61+(1-Inputs!$B$15)*MIN(Mkt!CR61,CQ61*(1+Inputs!$B$18))),CQ61)))</f>
        <v>2754.91745855171</v>
      </c>
      <c r="CS61" s="11" t="n">
        <f aca="false">IF(CS$1&lt;Units!$P60,0,IF(AND(Units!$K60=0,CS$1=Units!$O60),Units!$R60,IF(AND(CS$1&gt;=Units!$Q60,MOD(CS$1-Units!$Q60,12)=0),IF(AND(Units!$L60=1,CS$1=Units!$Q60),IF(Units!$J60&lt;&gt;"",Units!$J60,Mkt!CS61),Inputs!$B$15*Mkt!CS61+(1-Inputs!$B$15)*MIN(Mkt!CS61,CR61*(1+Inputs!$B$18))),CR61)))</f>
        <v>2754.91745855171</v>
      </c>
      <c r="CT61" s="11" t="n">
        <f aca="false">IF(CT$1&lt;Units!$P60,0,IF(AND(Units!$K60=0,CT$1=Units!$O60),Units!$R60,IF(AND(CT$1&gt;=Units!$Q60,MOD(CT$1-Units!$Q60,12)=0),IF(AND(Units!$L60=1,CT$1=Units!$Q60),IF(Units!$J60&lt;&gt;"",Units!$J60,Mkt!CT61),Inputs!$B$15*Mkt!CT61+(1-Inputs!$B$15)*MIN(Mkt!CT61,CS61*(1+Inputs!$B$18))),CS61)))</f>
        <v>2754.91745855171</v>
      </c>
      <c r="CU61" s="11" t="n">
        <f aca="false">IF(CU$1&lt;Units!$P60,0,IF(AND(Units!$K60=0,CU$1=Units!$O60),Units!$R60,IF(AND(CU$1&gt;=Units!$Q60,MOD(CU$1-Units!$Q60,12)=0),IF(AND(Units!$L60=1,CU$1=Units!$Q60),IF(Units!$J60&lt;&gt;"",Units!$J60,Mkt!CU61),Inputs!$B$15*Mkt!CU61+(1-Inputs!$B$15)*MIN(Mkt!CU61,CT61*(1+Inputs!$B$18))),CT61)))</f>
        <v>2754.91745855171</v>
      </c>
      <c r="CV61" s="11" t="n">
        <f aca="false">IF(CV$1&lt;Units!$P60,0,IF(AND(Units!$K60=0,CV$1=Units!$O60),Units!$R60,IF(AND(CV$1&gt;=Units!$Q60,MOD(CV$1-Units!$Q60,12)=0),IF(AND(Units!$L60=1,CV$1=Units!$Q60),IF(Units!$J60&lt;&gt;"",Units!$J60,Mkt!CV61),Inputs!$B$15*Mkt!CV61+(1-Inputs!$B$15)*MIN(Mkt!CV61,CU61*(1+Inputs!$B$18))),CU61)))</f>
        <v>2754.91745855171</v>
      </c>
      <c r="CW61" s="11" t="n">
        <f aca="false">IF(CW$1&lt;Units!$P60,0,IF(AND(Units!$K60=0,CW$1=Units!$O60),Units!$R60,IF(AND(CW$1&gt;=Units!$Q60,MOD(CW$1-Units!$Q60,12)=0),IF(AND(Units!$L60=1,CW$1=Units!$Q60),IF(Units!$J60&lt;&gt;"",Units!$J60,Mkt!CW61),Inputs!$B$15*Mkt!CW61+(1-Inputs!$B$15)*MIN(Mkt!CW61,CV61*(1+Inputs!$B$18))),CV61)))</f>
        <v>2837.56498230826</v>
      </c>
      <c r="CX61" s="11" t="n">
        <f aca="false">IF(CX$1&lt;Units!$P60,0,IF(AND(Units!$K60=0,CX$1=Units!$O60),Units!$R60,IF(AND(CX$1&gt;=Units!$Q60,MOD(CX$1-Units!$Q60,12)=0),IF(AND(Units!$L60=1,CX$1=Units!$Q60),IF(Units!$J60&lt;&gt;"",Units!$J60,Mkt!CX61),Inputs!$B$15*Mkt!CX61+(1-Inputs!$B$15)*MIN(Mkt!CX61,CW61*(1+Inputs!$B$18))),CW61)))</f>
        <v>2837.56498230826</v>
      </c>
      <c r="CY61" s="11" t="n">
        <f aca="false">IF(CY$1&lt;Units!$P60,0,IF(AND(Units!$K60=0,CY$1=Units!$O60),Units!$R60,IF(AND(CY$1&gt;=Units!$Q60,MOD(CY$1-Units!$Q60,12)=0),IF(AND(Units!$L60=1,CY$1=Units!$Q60),IF(Units!$J60&lt;&gt;"",Units!$J60,Mkt!CY61),Inputs!$B$15*Mkt!CY61+(1-Inputs!$B$15)*MIN(Mkt!CY61,CX61*(1+Inputs!$B$18))),CX61)))</f>
        <v>2837.56498230826</v>
      </c>
      <c r="CZ61" s="11" t="n">
        <f aca="false">IF(CZ$1&lt;Units!$P60,0,IF(AND(Units!$K60=0,CZ$1=Units!$O60),Units!$R60,IF(AND(CZ$1&gt;=Units!$Q60,MOD(CZ$1-Units!$Q60,12)=0),IF(AND(Units!$L60=1,CZ$1=Units!$Q60),IF(Units!$J60&lt;&gt;"",Units!$J60,Mkt!CZ61),Inputs!$B$15*Mkt!CZ61+(1-Inputs!$B$15)*MIN(Mkt!CZ61,CY61*(1+Inputs!$B$18))),CY61)))</f>
        <v>2837.56498230826</v>
      </c>
      <c r="DA61" s="11" t="n">
        <f aca="false">IF(DA$1&lt;Units!$P60,0,IF(AND(Units!$K60=0,DA$1=Units!$O60),Units!$R60,IF(AND(DA$1&gt;=Units!$Q60,MOD(DA$1-Units!$Q60,12)=0),IF(AND(Units!$L60=1,DA$1=Units!$Q60),IF(Units!$J60&lt;&gt;"",Units!$J60,Mkt!DA61),Inputs!$B$15*Mkt!DA61+(1-Inputs!$B$15)*MIN(Mkt!DA61,CZ61*(1+Inputs!$B$18))),CZ61)))</f>
        <v>2837.56498230826</v>
      </c>
      <c r="DB61" s="11" t="n">
        <f aca="false">IF(DB$1&lt;Units!$P60,0,IF(AND(Units!$K60=0,DB$1=Units!$O60),Units!$R60,IF(AND(DB$1&gt;=Units!$Q60,MOD(DB$1-Units!$Q60,12)=0),IF(AND(Units!$L60=1,DB$1=Units!$Q60),IF(Units!$J60&lt;&gt;"",Units!$J60,Mkt!DB61),Inputs!$B$15*Mkt!DB61+(1-Inputs!$B$15)*MIN(Mkt!DB61,DA61*(1+Inputs!$B$18))),DA61)))</f>
        <v>2837.56498230826</v>
      </c>
      <c r="DC61" s="11" t="n">
        <f aca="false">IF(DC$1&lt;Units!$P60,0,IF(AND(Units!$K60=0,DC$1=Units!$O60),Units!$R60,IF(AND(DC$1&gt;=Units!$Q60,MOD(DC$1-Units!$Q60,12)=0),IF(AND(Units!$L60=1,DC$1=Units!$Q60),IF(Units!$J60&lt;&gt;"",Units!$J60,Mkt!DC61),Inputs!$B$15*Mkt!DC61+(1-Inputs!$B$15)*MIN(Mkt!DC61,DB61*(1+Inputs!$B$18))),DB61)))</f>
        <v>2837.56498230826</v>
      </c>
      <c r="DD61" s="11" t="n">
        <f aca="false">IF(DD$1&lt;Units!$P60,0,IF(AND(Units!$K60=0,DD$1=Units!$O60),Units!$R60,IF(AND(DD$1&gt;=Units!$Q60,MOD(DD$1-Units!$Q60,12)=0),IF(AND(Units!$L60=1,DD$1=Units!$Q60),IF(Units!$J60&lt;&gt;"",Units!$J60,Mkt!DD61),Inputs!$B$15*Mkt!DD61+(1-Inputs!$B$15)*MIN(Mkt!DD61,DC61*(1+Inputs!$B$18))),DC61)))</f>
        <v>2837.56498230826</v>
      </c>
      <c r="DE61" s="11" t="n">
        <f aca="false">IF(DE$1&lt;Units!$P60,0,IF(AND(Units!$K60=0,DE$1=Units!$O60),Units!$R60,IF(AND(DE$1&gt;=Units!$Q60,MOD(DE$1-Units!$Q60,12)=0),IF(AND(Units!$L60=1,DE$1=Units!$Q60),IF(Units!$J60&lt;&gt;"",Units!$J60,Mkt!DE61),Inputs!$B$15*Mkt!DE61+(1-Inputs!$B$15)*MIN(Mkt!DE61,DD61*(1+Inputs!$B$18))),DD61)))</f>
        <v>2837.56498230826</v>
      </c>
      <c r="DF61" s="11" t="n">
        <f aca="false">IF(DF$1&lt;Units!$P60,0,IF(AND(Units!$K60=0,DF$1=Units!$O60),Units!$R60,IF(AND(DF$1&gt;=Units!$Q60,MOD(DF$1-Units!$Q60,12)=0),IF(AND(Units!$L60=1,DF$1=Units!$Q60),IF(Units!$J60&lt;&gt;"",Units!$J60,Mkt!DF61),Inputs!$B$15*Mkt!DF61+(1-Inputs!$B$15)*MIN(Mkt!DF61,DE61*(1+Inputs!$B$18))),DE61)))</f>
        <v>2837.56498230826</v>
      </c>
      <c r="DG61" s="11" t="n">
        <f aca="false">IF(DG$1&lt;Units!$P60,0,IF(AND(Units!$K60=0,DG$1=Units!$O60),Units!$R60,IF(AND(DG$1&gt;=Units!$Q60,MOD(DG$1-Units!$Q60,12)=0),IF(AND(Units!$L60=1,DG$1=Units!$Q60),IF(Units!$J60&lt;&gt;"",Units!$J60,Mkt!DG61),Inputs!$B$15*Mkt!DG61+(1-Inputs!$B$15)*MIN(Mkt!DG61,DF61*(1+Inputs!$B$18))),DF61)))</f>
        <v>2837.56498230826</v>
      </c>
      <c r="DH61" s="11" t="n">
        <f aca="false">IF(DH$1&lt;Units!$P60,0,IF(AND(Units!$K60=0,DH$1=Units!$O60),Units!$R60,IF(AND(DH$1&gt;=Units!$Q60,MOD(DH$1-Units!$Q60,12)=0),IF(AND(Units!$L60=1,DH$1=Units!$Q60),IF(Units!$J60&lt;&gt;"",Units!$J60,Mkt!DH61),Inputs!$B$15*Mkt!DH61+(1-Inputs!$B$15)*MIN(Mkt!DH61,DG61*(1+Inputs!$B$18))),DG61)))</f>
        <v>2837.56498230826</v>
      </c>
      <c r="DI61" s="11" t="n">
        <f aca="false">IF(DI$1&lt;Units!$P60,0,IF(AND(Units!$K60=0,DI$1=Units!$O60),Units!$R60,IF(AND(DI$1&gt;=Units!$Q60,MOD(DI$1-Units!$Q60,12)=0),IF(AND(Units!$L60=1,DI$1=Units!$Q60),IF(Units!$J60&lt;&gt;"",Units!$J60,Mkt!DI61),Inputs!$B$15*Mkt!DI61+(1-Inputs!$B$15)*MIN(Mkt!DI61,DH61*(1+Inputs!$B$18))),DH61)))</f>
        <v>2922.69193177751</v>
      </c>
      <c r="DJ61" s="11" t="n">
        <f aca="false">IF(DJ$1&lt;Units!$P60,0,IF(AND(Units!$K60=0,DJ$1=Units!$O60),Units!$R60,IF(AND(DJ$1&gt;=Units!$Q60,MOD(DJ$1-Units!$Q60,12)=0),IF(AND(Units!$L60=1,DJ$1=Units!$Q60),IF(Units!$J60&lt;&gt;"",Units!$J60,Mkt!DJ61),Inputs!$B$15*Mkt!DJ61+(1-Inputs!$B$15)*MIN(Mkt!DJ61,DI61*(1+Inputs!$B$18))),DI61)))</f>
        <v>2922.69193177751</v>
      </c>
      <c r="DK61" s="11" t="n">
        <f aca="false">IF(DK$1&lt;Units!$P60,0,IF(AND(Units!$K60=0,DK$1=Units!$O60),Units!$R60,IF(AND(DK$1&gt;=Units!$Q60,MOD(DK$1-Units!$Q60,12)=0),IF(AND(Units!$L60=1,DK$1=Units!$Q60),IF(Units!$J60&lt;&gt;"",Units!$J60,Mkt!DK61),Inputs!$B$15*Mkt!DK61+(1-Inputs!$B$15)*MIN(Mkt!DK61,DJ61*(1+Inputs!$B$18))),DJ61)))</f>
        <v>2922.69193177751</v>
      </c>
      <c r="DL61" s="11" t="n">
        <f aca="false">IF(DL$1&lt;Units!$P60,0,IF(AND(Units!$K60=0,DL$1=Units!$O60),Units!$R60,IF(AND(DL$1&gt;=Units!$Q60,MOD(DL$1-Units!$Q60,12)=0),IF(AND(Units!$L60=1,DL$1=Units!$Q60),IF(Units!$J60&lt;&gt;"",Units!$J60,Mkt!DL61),Inputs!$B$15*Mkt!DL61+(1-Inputs!$B$15)*MIN(Mkt!DL61,DK61*(1+Inputs!$B$18))),DK61)))</f>
        <v>2922.69193177751</v>
      </c>
      <c r="DM61" s="11" t="n">
        <f aca="false">IF(DM$1&lt;Units!$P60,0,IF(AND(Units!$K60=0,DM$1=Units!$O60),Units!$R60,IF(AND(DM$1&gt;=Units!$Q60,MOD(DM$1-Units!$Q60,12)=0),IF(AND(Units!$L60=1,DM$1=Units!$Q60),IF(Units!$J60&lt;&gt;"",Units!$J60,Mkt!DM61),Inputs!$B$15*Mkt!DM61+(1-Inputs!$B$15)*MIN(Mkt!DM61,DL61*(1+Inputs!$B$18))),DL61)))</f>
        <v>2922.69193177751</v>
      </c>
      <c r="DN61" s="11" t="n">
        <f aca="false">IF(DN$1&lt;Units!$P60,0,IF(AND(Units!$K60=0,DN$1=Units!$O60),Units!$R60,IF(AND(DN$1&gt;=Units!$Q60,MOD(DN$1-Units!$Q60,12)=0),IF(AND(Units!$L60=1,DN$1=Units!$Q60),IF(Units!$J60&lt;&gt;"",Units!$J60,Mkt!DN61),Inputs!$B$15*Mkt!DN61+(1-Inputs!$B$15)*MIN(Mkt!DN61,DM61*(1+Inputs!$B$18))),DM61)))</f>
        <v>2922.69193177751</v>
      </c>
      <c r="DO61" s="11" t="n">
        <f aca="false">IF(DO$1&lt;Units!$P60,0,IF(AND(Units!$K60=0,DO$1=Units!$O60),Units!$R60,IF(AND(DO$1&gt;=Units!$Q60,MOD(DO$1-Units!$Q60,12)=0),IF(AND(Units!$L60=1,DO$1=Units!$Q60),IF(Units!$J60&lt;&gt;"",Units!$J60,Mkt!DO61),Inputs!$B$15*Mkt!DO61+(1-Inputs!$B$15)*MIN(Mkt!DO61,DN61*(1+Inputs!$B$18))),DN61)))</f>
        <v>2922.69193177751</v>
      </c>
      <c r="DP61" s="11" t="n">
        <f aca="false">IF(DP$1&lt;Units!$P60,0,IF(AND(Units!$K60=0,DP$1=Units!$O60),Units!$R60,IF(AND(DP$1&gt;=Units!$Q60,MOD(DP$1-Units!$Q60,12)=0),IF(AND(Units!$L60=1,DP$1=Units!$Q60),IF(Units!$J60&lt;&gt;"",Units!$J60,Mkt!DP61),Inputs!$B$15*Mkt!DP61+(1-Inputs!$B$15)*MIN(Mkt!DP61,DO61*(1+Inputs!$B$18))),DO61)))</f>
        <v>2922.69193177751</v>
      </c>
      <c r="DQ61" s="11" t="n">
        <f aca="false">IF(DQ$1&lt;Units!$P60,0,IF(AND(Units!$K60=0,DQ$1=Units!$O60),Units!$R60,IF(AND(DQ$1&gt;=Units!$Q60,MOD(DQ$1-Units!$Q60,12)=0),IF(AND(Units!$L60=1,DQ$1=Units!$Q60),IF(Units!$J60&lt;&gt;"",Units!$J60,Mkt!DQ61),Inputs!$B$15*Mkt!DQ61+(1-Inputs!$B$15)*MIN(Mkt!DQ61,DP61*(1+Inputs!$B$18))),DP61)))</f>
        <v>2922.69193177751</v>
      </c>
      <c r="DR61" s="11" t="n">
        <f aca="false">IF(DR$1&lt;Units!$P60,0,IF(AND(Units!$K60=0,DR$1=Units!$O60),Units!$R60,IF(AND(DR$1&gt;=Units!$Q60,MOD(DR$1-Units!$Q60,12)=0),IF(AND(Units!$L60=1,DR$1=Units!$Q60),IF(Units!$J60&lt;&gt;"",Units!$J60,Mkt!DR61),Inputs!$B$15*Mkt!DR61+(1-Inputs!$B$15)*MIN(Mkt!DR61,DQ61*(1+Inputs!$B$18))),DQ61)))</f>
        <v>2922.69193177751</v>
      </c>
      <c r="DS61" s="11" t="n">
        <f aca="false">IF(DS$1&lt;Units!$P60,0,IF(AND(Units!$K60=0,DS$1=Units!$O60),Units!$R60,IF(AND(DS$1&gt;=Units!$Q60,MOD(DS$1-Units!$Q60,12)=0),IF(AND(Units!$L60=1,DS$1=Units!$Q60),IF(Units!$J60&lt;&gt;"",Units!$J60,Mkt!DS61),Inputs!$B$15*Mkt!DS61+(1-Inputs!$B$15)*MIN(Mkt!DS61,DR61*(1+Inputs!$B$18))),DR61)))</f>
        <v>2922.69193177751</v>
      </c>
      <c r="DT61" s="11" t="n">
        <f aca="false">IF(DT$1&lt;Units!$P60,0,IF(AND(Units!$K60=0,DT$1=Units!$O60),Units!$R60,IF(AND(DT$1&gt;=Units!$Q60,MOD(DT$1-Units!$Q60,12)=0),IF(AND(Units!$L60=1,DT$1=Units!$Q60),IF(Units!$J60&lt;&gt;"",Units!$J60,Mkt!DT61),Inputs!$B$15*Mkt!DT61+(1-Inputs!$B$15)*MIN(Mkt!DT61,DS61*(1+Inputs!$B$18))),DS61)))</f>
        <v>2922.69193177751</v>
      </c>
      <c r="DU61" s="11" t="n">
        <f aca="false">IF(DU$1&lt;Units!$P60,0,IF(AND(Units!$K60=0,DU$1=Units!$O60),Units!$R60,IF(AND(DU$1&gt;=Units!$Q60,MOD(DU$1-Units!$Q60,12)=0),IF(AND(Units!$L60=1,DU$1=Units!$Q60),IF(Units!$J60&lt;&gt;"",Units!$J60,Mkt!DU61),Inputs!$B$15*Mkt!DU61+(1-Inputs!$B$15)*MIN(Mkt!DU61,DT61*(1+Inputs!$B$18))),DT61)))</f>
        <v>3010.37268973083</v>
      </c>
      <c r="DV61" s="11" t="n">
        <f aca="false">IF(DV$1&lt;Units!$P60,0,IF(AND(Units!$K60=0,DV$1=Units!$O60),Units!$R60,IF(AND(DV$1&gt;=Units!$Q60,MOD(DV$1-Units!$Q60,12)=0),IF(AND(Units!$L60=1,DV$1=Units!$Q60),IF(Units!$J60&lt;&gt;"",Units!$J60,Mkt!DV61),Inputs!$B$15*Mkt!DV61+(1-Inputs!$B$15)*MIN(Mkt!DV61,DU61*(1+Inputs!$B$18))),DU61)))</f>
        <v>3010.37268973083</v>
      </c>
      <c r="DW61" s="11" t="n">
        <f aca="false">IF(DW$1&lt;Units!$P60,0,IF(AND(Units!$K60=0,DW$1=Units!$O60),Units!$R60,IF(AND(DW$1&gt;=Units!$Q60,MOD(DW$1-Units!$Q60,12)=0),IF(AND(Units!$L60=1,DW$1=Units!$Q60),IF(Units!$J60&lt;&gt;"",Units!$J60,Mkt!DW61),Inputs!$B$15*Mkt!DW61+(1-Inputs!$B$15)*MIN(Mkt!DW61,DV61*(1+Inputs!$B$18))),DV61)))</f>
        <v>3010.37268973083</v>
      </c>
      <c r="DX61" s="11" t="n">
        <f aca="false">IF(DX$1&lt;Units!$P60,0,IF(AND(Units!$K60=0,DX$1=Units!$O60),Units!$R60,IF(AND(DX$1&gt;=Units!$Q60,MOD(DX$1-Units!$Q60,12)=0),IF(AND(Units!$L60=1,DX$1=Units!$Q60),IF(Units!$J60&lt;&gt;"",Units!$J60,Mkt!DX61),Inputs!$B$15*Mkt!DX61+(1-Inputs!$B$15)*MIN(Mkt!DX61,DW61*(1+Inputs!$B$18))),DW61)))</f>
        <v>3010.37268973083</v>
      </c>
      <c r="DY61" s="11" t="n">
        <f aca="false">IF(DY$1&lt;Units!$P60,0,IF(AND(Units!$K60=0,DY$1=Units!$O60),Units!$R60,IF(AND(DY$1&gt;=Units!$Q60,MOD(DY$1-Units!$Q60,12)=0),IF(AND(Units!$L60=1,DY$1=Units!$Q60),IF(Units!$J60&lt;&gt;"",Units!$J60,Mkt!DY61),Inputs!$B$15*Mkt!DY61+(1-Inputs!$B$15)*MIN(Mkt!DY61,DX61*(1+Inputs!$B$18))),DX61)))</f>
        <v>3010.37268973083</v>
      </c>
      <c r="DZ61" s="11" t="n">
        <f aca="false">IF(DZ$1&lt;Units!$P60,0,IF(AND(Units!$K60=0,DZ$1=Units!$O60),Units!$R60,IF(AND(DZ$1&gt;=Units!$Q60,MOD(DZ$1-Units!$Q60,12)=0),IF(AND(Units!$L60=1,DZ$1=Units!$Q60),IF(Units!$J60&lt;&gt;"",Units!$J60,Mkt!DZ61),Inputs!$B$15*Mkt!DZ61+(1-Inputs!$B$15)*MIN(Mkt!DZ61,DY61*(1+Inputs!$B$18))),DY61)))</f>
        <v>3010.37268973083</v>
      </c>
      <c r="EA61" s="11" t="n">
        <f aca="false">IF(EA$1&lt;Units!$P60,0,IF(AND(Units!$K60=0,EA$1=Units!$O60),Units!$R60,IF(AND(EA$1&gt;=Units!$Q60,MOD(EA$1-Units!$Q60,12)=0),IF(AND(Units!$L60=1,EA$1=Units!$Q60),IF(Units!$J60&lt;&gt;"",Units!$J60,Mkt!EA61),Inputs!$B$15*Mkt!EA61+(1-Inputs!$B$15)*MIN(Mkt!EA61,DZ61*(1+Inputs!$B$18))),DZ61)))</f>
        <v>3010.37268973083</v>
      </c>
      <c r="EB61" s="11" t="n">
        <f aca="false">IF(EB$1&lt;Units!$P60,0,IF(AND(Units!$K60=0,EB$1=Units!$O60),Units!$R60,IF(AND(EB$1&gt;=Units!$Q60,MOD(EB$1-Units!$Q60,12)=0),IF(AND(Units!$L60=1,EB$1=Units!$Q60),IF(Units!$J60&lt;&gt;"",Units!$J60,Mkt!EB61),Inputs!$B$15*Mkt!EB61+(1-Inputs!$B$15)*MIN(Mkt!EB61,EA61*(1+Inputs!$B$18))),EA61)))</f>
        <v>3010.37268973083</v>
      </c>
      <c r="EC61" s="11" t="n">
        <f aca="false">IF(EC$1&lt;Units!$P60,0,IF(AND(Units!$K60=0,EC$1=Units!$O60),Units!$R60,IF(AND(EC$1&gt;=Units!$Q60,MOD(EC$1-Units!$Q60,12)=0),IF(AND(Units!$L60=1,EC$1=Units!$Q60),IF(Units!$J60&lt;&gt;"",Units!$J60,Mkt!EC61),Inputs!$B$15*Mkt!EC61+(1-Inputs!$B$15)*MIN(Mkt!EC61,EB61*(1+Inputs!$B$18))),EB61)))</f>
        <v>3010.37268973083</v>
      </c>
      <c r="ED61" s="11" t="n">
        <f aca="false">IF(ED$1&lt;Units!$P60,0,IF(AND(Units!$K60=0,ED$1=Units!$O60),Units!$R60,IF(AND(ED$1&gt;=Units!$Q60,MOD(ED$1-Units!$Q60,12)=0),IF(AND(Units!$L60=1,ED$1=Units!$Q60),IF(Units!$J60&lt;&gt;"",Units!$J60,Mkt!ED61),Inputs!$B$15*Mkt!ED61+(1-Inputs!$B$15)*MIN(Mkt!ED61,EC61*(1+Inputs!$B$18))),EC61)))</f>
        <v>3010.37268973083</v>
      </c>
    </row>
    <row r="62" customFormat="false" ht="15" hidden="false" customHeight="false" outlineLevel="0" collapsed="false">
      <c r="A62" s="22" t="n">
        <f aca="false">Units!A61</f>
        <v>230</v>
      </c>
      <c r="B62" s="24" t="n">
        <f aca="false">IF(Units!K61=1,Units!F61,0)</f>
        <v>0</v>
      </c>
      <c r="C62" s="11" t="n">
        <f aca="false">IF(C$1&lt;Units!$P61,0,IF(AND(Units!$K61=0,C$1=Units!$O61),Units!$R61,IF(AND(C$1&gt;=Units!$Q61,MOD(C$1-Units!$Q61,12)=0),IF(AND(Units!$L61=1,C$1=Units!$Q61),IF(Units!$J61&lt;&gt;"",Units!$J61,Mkt!C62),Inputs!$B$15*Mkt!C62+(1-Inputs!$B$15)*MIN(Mkt!C62,B62*(1+Inputs!$B$18))),B62)))</f>
        <v>2240</v>
      </c>
      <c r="D62" s="11" t="n">
        <f aca="false">IF(D$1&lt;Units!$P61,0,IF(AND(Units!$K61=0,D$1=Units!$O61),Units!$R61,IF(AND(D$1&gt;=Units!$Q61,MOD(D$1-Units!$Q61,12)=0),IF(AND(Units!$L61=1,D$1=Units!$Q61),IF(Units!$J61&lt;&gt;"",Units!$J61,Mkt!D62),Inputs!$B$15*Mkt!D62+(1-Inputs!$B$15)*MIN(Mkt!D62,C62*(1+Inputs!$B$18))),C62)))</f>
        <v>2240</v>
      </c>
      <c r="E62" s="11" t="n">
        <f aca="false">IF(E$1&lt;Units!$P61,0,IF(AND(Units!$K61=0,E$1=Units!$O61),Units!$R61,IF(AND(E$1&gt;=Units!$Q61,MOD(E$1-Units!$Q61,12)=0),IF(AND(Units!$L61=1,E$1=Units!$Q61),IF(Units!$J61&lt;&gt;"",Units!$J61,Mkt!E62),Inputs!$B$15*Mkt!E62+(1-Inputs!$B$15)*MIN(Mkt!E62,D62*(1+Inputs!$B$18))),D62)))</f>
        <v>2240</v>
      </c>
      <c r="F62" s="11" t="n">
        <f aca="false">IF(F$1&lt;Units!$P61,0,IF(AND(Units!$K61=0,F$1=Units!$O61),Units!$R61,IF(AND(F$1&gt;=Units!$Q61,MOD(F$1-Units!$Q61,12)=0),IF(AND(Units!$L61=1,F$1=Units!$Q61),IF(Units!$J61&lt;&gt;"",Units!$J61,Mkt!F62),Inputs!$B$15*Mkt!F62+(1-Inputs!$B$15)*MIN(Mkt!F62,E62*(1+Inputs!$B$18))),E62)))</f>
        <v>2240</v>
      </c>
      <c r="G62" s="11" t="n">
        <f aca="false">IF(G$1&lt;Units!$P61,0,IF(AND(Units!$K61=0,G$1=Units!$O61),Units!$R61,IF(AND(G$1&gt;=Units!$Q61,MOD(G$1-Units!$Q61,12)=0),IF(AND(Units!$L61=1,G$1=Units!$Q61),IF(Units!$J61&lt;&gt;"",Units!$J61,Mkt!G62),Inputs!$B$15*Mkt!G62+(1-Inputs!$B$15)*MIN(Mkt!G62,F62*(1+Inputs!$B$18))),F62)))</f>
        <v>2240</v>
      </c>
      <c r="H62" s="11" t="n">
        <f aca="false">IF(H$1&lt;Units!$P61,0,IF(AND(Units!$K61=0,H$1=Units!$O61),Units!$R61,IF(AND(H$1&gt;=Units!$Q61,MOD(H$1-Units!$Q61,12)=0),IF(AND(Units!$L61=1,H$1=Units!$Q61),IF(Units!$J61&lt;&gt;"",Units!$J61,Mkt!H62),Inputs!$B$15*Mkt!H62+(1-Inputs!$B$15)*MIN(Mkt!H62,G62*(1+Inputs!$B$18))),G62)))</f>
        <v>2240</v>
      </c>
      <c r="I62" s="11" t="n">
        <f aca="false">IF(I$1&lt;Units!$P61,0,IF(AND(Units!$K61=0,I$1=Units!$O61),Units!$R61,IF(AND(I$1&gt;=Units!$Q61,MOD(I$1-Units!$Q61,12)=0),IF(AND(Units!$L61=1,I$1=Units!$Q61),IF(Units!$J61&lt;&gt;"",Units!$J61,Mkt!I62),Inputs!$B$15*Mkt!I62+(1-Inputs!$B$15)*MIN(Mkt!I62,H62*(1+Inputs!$B$18))),H62)))</f>
        <v>2240</v>
      </c>
      <c r="J62" s="11" t="n">
        <f aca="false">IF(J$1&lt;Units!$P61,0,IF(AND(Units!$K61=0,J$1=Units!$O61),Units!$R61,IF(AND(J$1&gt;=Units!$Q61,MOD(J$1-Units!$Q61,12)=0),IF(AND(Units!$L61=1,J$1=Units!$Q61),IF(Units!$J61&lt;&gt;"",Units!$J61,Mkt!J62),Inputs!$B$15*Mkt!J62+(1-Inputs!$B$15)*MIN(Mkt!J62,I62*(1+Inputs!$B$18))),I62)))</f>
        <v>2240</v>
      </c>
      <c r="K62" s="11" t="n">
        <f aca="false">IF(K$1&lt;Units!$P61,0,IF(AND(Units!$K61=0,K$1=Units!$O61),Units!$R61,IF(AND(K$1&gt;=Units!$Q61,MOD(K$1-Units!$Q61,12)=0),IF(AND(Units!$L61=1,K$1=Units!$Q61),IF(Units!$J61&lt;&gt;"",Units!$J61,Mkt!K62),Inputs!$B$15*Mkt!K62+(1-Inputs!$B$15)*MIN(Mkt!K62,J62*(1+Inputs!$B$18))),J62)))</f>
        <v>2240</v>
      </c>
      <c r="L62" s="11" t="n">
        <f aca="false">IF(L$1&lt;Units!$P61,0,IF(AND(Units!$K61=0,L$1=Units!$O61),Units!$R61,IF(AND(L$1&gt;=Units!$Q61,MOD(L$1-Units!$Q61,12)=0),IF(AND(Units!$L61=1,L$1=Units!$Q61),IF(Units!$J61&lt;&gt;"",Units!$J61,Mkt!L62),Inputs!$B$15*Mkt!L62+(1-Inputs!$B$15)*MIN(Mkt!L62,K62*(1+Inputs!$B$18))),K62)))</f>
        <v>2240</v>
      </c>
      <c r="M62" s="11" t="n">
        <f aca="false">IF(M$1&lt;Units!$P61,0,IF(AND(Units!$K61=0,M$1=Units!$O61),Units!$R61,IF(AND(M$1&gt;=Units!$Q61,MOD(M$1-Units!$Q61,12)=0),IF(AND(Units!$L61=1,M$1=Units!$Q61),IF(Units!$J61&lt;&gt;"",Units!$J61,Mkt!M62),Inputs!$B$15*Mkt!M62+(1-Inputs!$B$15)*MIN(Mkt!M62,L62*(1+Inputs!$B$18))),L62)))</f>
        <v>2240</v>
      </c>
      <c r="N62" s="11" t="n">
        <f aca="false">IF(N$1&lt;Units!$P61,0,IF(AND(Units!$K61=0,N$1=Units!$O61),Units!$R61,IF(AND(N$1&gt;=Units!$Q61,MOD(N$1-Units!$Q61,12)=0),IF(AND(Units!$L61=1,N$1=Units!$Q61),IF(Units!$J61&lt;&gt;"",Units!$J61,Mkt!N62),Inputs!$B$15*Mkt!N62+(1-Inputs!$B$15)*MIN(Mkt!N62,M62*(1+Inputs!$B$18))),M62)))</f>
        <v>2240</v>
      </c>
      <c r="O62" s="11" t="n">
        <f aca="false">IF(O$1&lt;Units!$P61,0,IF(AND(Units!$K61=0,O$1=Units!$O61),Units!$R61,IF(AND(O$1&gt;=Units!$Q61,MOD(O$1-Units!$Q61,12)=0),IF(AND(Units!$L61=1,O$1=Units!$Q61),IF(Units!$J61&lt;&gt;"",Units!$J61,Mkt!O62),Inputs!$B$15*Mkt!O62+(1-Inputs!$B$15)*MIN(Mkt!O62,N62*(1+Inputs!$B$18))),N62)))</f>
        <v>2307.2</v>
      </c>
      <c r="P62" s="11" t="n">
        <f aca="false">IF(P$1&lt;Units!$P61,0,IF(AND(Units!$K61=0,P$1=Units!$O61),Units!$R61,IF(AND(P$1&gt;=Units!$Q61,MOD(P$1-Units!$Q61,12)=0),IF(AND(Units!$L61=1,P$1=Units!$Q61),IF(Units!$J61&lt;&gt;"",Units!$J61,Mkt!P62),Inputs!$B$15*Mkt!P62+(1-Inputs!$B$15)*MIN(Mkt!P62,O62*(1+Inputs!$B$18))),O62)))</f>
        <v>2307.2</v>
      </c>
      <c r="Q62" s="11" t="n">
        <f aca="false">IF(Q$1&lt;Units!$P61,0,IF(AND(Units!$K61=0,Q$1=Units!$O61),Units!$R61,IF(AND(Q$1&gt;=Units!$Q61,MOD(Q$1-Units!$Q61,12)=0),IF(AND(Units!$L61=1,Q$1=Units!$Q61),IF(Units!$J61&lt;&gt;"",Units!$J61,Mkt!Q62),Inputs!$B$15*Mkt!Q62+(1-Inputs!$B$15)*MIN(Mkt!Q62,P62*(1+Inputs!$B$18))),P62)))</f>
        <v>2307.2</v>
      </c>
      <c r="R62" s="11" t="n">
        <f aca="false">IF(R$1&lt;Units!$P61,0,IF(AND(Units!$K61=0,R$1=Units!$O61),Units!$R61,IF(AND(R$1&gt;=Units!$Q61,MOD(R$1-Units!$Q61,12)=0),IF(AND(Units!$L61=1,R$1=Units!$Q61),IF(Units!$J61&lt;&gt;"",Units!$J61,Mkt!R62),Inputs!$B$15*Mkt!R62+(1-Inputs!$B$15)*MIN(Mkt!R62,Q62*(1+Inputs!$B$18))),Q62)))</f>
        <v>2307.2</v>
      </c>
      <c r="S62" s="11" t="n">
        <f aca="false">IF(S$1&lt;Units!$P61,0,IF(AND(Units!$K61=0,S$1=Units!$O61),Units!$R61,IF(AND(S$1&gt;=Units!$Q61,MOD(S$1-Units!$Q61,12)=0),IF(AND(Units!$L61=1,S$1=Units!$Q61),IF(Units!$J61&lt;&gt;"",Units!$J61,Mkt!S62),Inputs!$B$15*Mkt!S62+(1-Inputs!$B$15)*MIN(Mkt!S62,R62*(1+Inputs!$B$18))),R62)))</f>
        <v>2307.2</v>
      </c>
      <c r="T62" s="11" t="n">
        <f aca="false">IF(T$1&lt;Units!$P61,0,IF(AND(Units!$K61=0,T$1=Units!$O61),Units!$R61,IF(AND(T$1&gt;=Units!$Q61,MOD(T$1-Units!$Q61,12)=0),IF(AND(Units!$L61=1,T$1=Units!$Q61),IF(Units!$J61&lt;&gt;"",Units!$J61,Mkt!T62),Inputs!$B$15*Mkt!T62+(1-Inputs!$B$15)*MIN(Mkt!T62,S62*(1+Inputs!$B$18))),S62)))</f>
        <v>2307.2</v>
      </c>
      <c r="U62" s="11" t="n">
        <f aca="false">IF(U$1&lt;Units!$P61,0,IF(AND(Units!$K61=0,U$1=Units!$O61),Units!$R61,IF(AND(U$1&gt;=Units!$Q61,MOD(U$1-Units!$Q61,12)=0),IF(AND(Units!$L61=1,U$1=Units!$Q61),IF(Units!$J61&lt;&gt;"",Units!$J61,Mkt!U62),Inputs!$B$15*Mkt!U62+(1-Inputs!$B$15)*MIN(Mkt!U62,T62*(1+Inputs!$B$18))),T62)))</f>
        <v>2307.2</v>
      </c>
      <c r="V62" s="11" t="n">
        <f aca="false">IF(V$1&lt;Units!$P61,0,IF(AND(Units!$K61=0,V$1=Units!$O61),Units!$R61,IF(AND(V$1&gt;=Units!$Q61,MOD(V$1-Units!$Q61,12)=0),IF(AND(Units!$L61=1,V$1=Units!$Q61),IF(Units!$J61&lt;&gt;"",Units!$J61,Mkt!V62),Inputs!$B$15*Mkt!V62+(1-Inputs!$B$15)*MIN(Mkt!V62,U62*(1+Inputs!$B$18))),U62)))</f>
        <v>2307.2</v>
      </c>
      <c r="W62" s="11" t="n">
        <f aca="false">IF(W$1&lt;Units!$P61,0,IF(AND(Units!$K61=0,W$1=Units!$O61),Units!$R61,IF(AND(W$1&gt;=Units!$Q61,MOD(W$1-Units!$Q61,12)=0),IF(AND(Units!$L61=1,W$1=Units!$Q61),IF(Units!$J61&lt;&gt;"",Units!$J61,Mkt!W62),Inputs!$B$15*Mkt!W62+(1-Inputs!$B$15)*MIN(Mkt!W62,V62*(1+Inputs!$B$18))),V62)))</f>
        <v>2307.2</v>
      </c>
      <c r="X62" s="11" t="n">
        <f aca="false">IF(X$1&lt;Units!$P61,0,IF(AND(Units!$K61=0,X$1=Units!$O61),Units!$R61,IF(AND(X$1&gt;=Units!$Q61,MOD(X$1-Units!$Q61,12)=0),IF(AND(Units!$L61=1,X$1=Units!$Q61),IF(Units!$J61&lt;&gt;"",Units!$J61,Mkt!X62),Inputs!$B$15*Mkt!X62+(1-Inputs!$B$15)*MIN(Mkt!X62,W62*(1+Inputs!$B$18))),W62)))</f>
        <v>2307.2</v>
      </c>
      <c r="Y62" s="11" t="n">
        <f aca="false">IF(Y$1&lt;Units!$P61,0,IF(AND(Units!$K61=0,Y$1=Units!$O61),Units!$R61,IF(AND(Y$1&gt;=Units!$Q61,MOD(Y$1-Units!$Q61,12)=0),IF(AND(Units!$L61=1,Y$1=Units!$Q61),IF(Units!$J61&lt;&gt;"",Units!$J61,Mkt!Y62),Inputs!$B$15*Mkt!Y62+(1-Inputs!$B$15)*MIN(Mkt!Y62,X62*(1+Inputs!$B$18))),X62)))</f>
        <v>2307.2</v>
      </c>
      <c r="Z62" s="11" t="n">
        <f aca="false">IF(Z$1&lt;Units!$P61,0,IF(AND(Units!$K61=0,Z$1=Units!$O61),Units!$R61,IF(AND(Z$1&gt;=Units!$Q61,MOD(Z$1-Units!$Q61,12)=0),IF(AND(Units!$L61=1,Z$1=Units!$Q61),IF(Units!$J61&lt;&gt;"",Units!$J61,Mkt!Z62),Inputs!$B$15*Mkt!Z62+(1-Inputs!$B$15)*MIN(Mkt!Z62,Y62*(1+Inputs!$B$18))),Y62)))</f>
        <v>2307.2</v>
      </c>
      <c r="AA62" s="11" t="n">
        <f aca="false">IF(AA$1&lt;Units!$P61,0,IF(AND(Units!$K61=0,AA$1=Units!$O61),Units!$R61,IF(AND(AA$1&gt;=Units!$Q61,MOD(AA$1-Units!$Q61,12)=0),IF(AND(Units!$L61=1,AA$1=Units!$Q61),IF(Units!$J61&lt;&gt;"",Units!$J61,Mkt!AA62),Inputs!$B$15*Mkt!AA62+(1-Inputs!$B$15)*MIN(Mkt!AA62,Z62*(1+Inputs!$B$18))),Z62)))</f>
        <v>2376.416</v>
      </c>
      <c r="AB62" s="11" t="n">
        <f aca="false">IF(AB$1&lt;Units!$P61,0,IF(AND(Units!$K61=0,AB$1=Units!$O61),Units!$R61,IF(AND(AB$1&gt;=Units!$Q61,MOD(AB$1-Units!$Q61,12)=0),IF(AND(Units!$L61=1,AB$1=Units!$Q61),IF(Units!$J61&lt;&gt;"",Units!$J61,Mkt!AB62),Inputs!$B$15*Mkt!AB62+(1-Inputs!$B$15)*MIN(Mkt!AB62,AA62*(1+Inputs!$B$18))),AA62)))</f>
        <v>2376.416</v>
      </c>
      <c r="AC62" s="11" t="n">
        <f aca="false">IF(AC$1&lt;Units!$P61,0,IF(AND(Units!$K61=0,AC$1=Units!$O61),Units!$R61,IF(AND(AC$1&gt;=Units!$Q61,MOD(AC$1-Units!$Q61,12)=0),IF(AND(Units!$L61=1,AC$1=Units!$Q61),IF(Units!$J61&lt;&gt;"",Units!$J61,Mkt!AC62),Inputs!$B$15*Mkt!AC62+(1-Inputs!$B$15)*MIN(Mkt!AC62,AB62*(1+Inputs!$B$18))),AB62)))</f>
        <v>2376.416</v>
      </c>
      <c r="AD62" s="11" t="n">
        <f aca="false">IF(AD$1&lt;Units!$P61,0,IF(AND(Units!$K61=0,AD$1=Units!$O61),Units!$R61,IF(AND(AD$1&gt;=Units!$Q61,MOD(AD$1-Units!$Q61,12)=0),IF(AND(Units!$L61=1,AD$1=Units!$Q61),IF(Units!$J61&lt;&gt;"",Units!$J61,Mkt!AD62),Inputs!$B$15*Mkt!AD62+(1-Inputs!$B$15)*MIN(Mkt!AD62,AC62*(1+Inputs!$B$18))),AC62)))</f>
        <v>2376.416</v>
      </c>
      <c r="AE62" s="11" t="n">
        <f aca="false">IF(AE$1&lt;Units!$P61,0,IF(AND(Units!$K61=0,AE$1=Units!$O61),Units!$R61,IF(AND(AE$1&gt;=Units!$Q61,MOD(AE$1-Units!$Q61,12)=0),IF(AND(Units!$L61=1,AE$1=Units!$Q61),IF(Units!$J61&lt;&gt;"",Units!$J61,Mkt!AE62),Inputs!$B$15*Mkt!AE62+(1-Inputs!$B$15)*MIN(Mkt!AE62,AD62*(1+Inputs!$B$18))),AD62)))</f>
        <v>2376.416</v>
      </c>
      <c r="AF62" s="11" t="n">
        <f aca="false">IF(AF$1&lt;Units!$P61,0,IF(AND(Units!$K61=0,AF$1=Units!$O61),Units!$R61,IF(AND(AF$1&gt;=Units!$Q61,MOD(AF$1-Units!$Q61,12)=0),IF(AND(Units!$L61=1,AF$1=Units!$Q61),IF(Units!$J61&lt;&gt;"",Units!$J61,Mkt!AF62),Inputs!$B$15*Mkt!AF62+(1-Inputs!$B$15)*MIN(Mkt!AF62,AE62*(1+Inputs!$B$18))),AE62)))</f>
        <v>2376.416</v>
      </c>
      <c r="AG62" s="11" t="n">
        <f aca="false">IF(AG$1&lt;Units!$P61,0,IF(AND(Units!$K61=0,AG$1=Units!$O61),Units!$R61,IF(AND(AG$1&gt;=Units!$Q61,MOD(AG$1-Units!$Q61,12)=0),IF(AND(Units!$L61=1,AG$1=Units!$Q61),IF(Units!$J61&lt;&gt;"",Units!$J61,Mkt!AG62),Inputs!$B$15*Mkt!AG62+(1-Inputs!$B$15)*MIN(Mkt!AG62,AF62*(1+Inputs!$B$18))),AF62)))</f>
        <v>2376.416</v>
      </c>
      <c r="AH62" s="11" t="n">
        <f aca="false">IF(AH$1&lt;Units!$P61,0,IF(AND(Units!$K61=0,AH$1=Units!$O61),Units!$R61,IF(AND(AH$1&gt;=Units!$Q61,MOD(AH$1-Units!$Q61,12)=0),IF(AND(Units!$L61=1,AH$1=Units!$Q61),IF(Units!$J61&lt;&gt;"",Units!$J61,Mkt!AH62),Inputs!$B$15*Mkt!AH62+(1-Inputs!$B$15)*MIN(Mkt!AH62,AG62*(1+Inputs!$B$18))),AG62)))</f>
        <v>2376.416</v>
      </c>
      <c r="AI62" s="11" t="n">
        <f aca="false">IF(AI$1&lt;Units!$P61,0,IF(AND(Units!$K61=0,AI$1=Units!$O61),Units!$R61,IF(AND(AI$1&gt;=Units!$Q61,MOD(AI$1-Units!$Q61,12)=0),IF(AND(Units!$L61=1,AI$1=Units!$Q61),IF(Units!$J61&lt;&gt;"",Units!$J61,Mkt!AI62),Inputs!$B$15*Mkt!AI62+(1-Inputs!$B$15)*MIN(Mkt!AI62,AH62*(1+Inputs!$B$18))),AH62)))</f>
        <v>2376.416</v>
      </c>
      <c r="AJ62" s="11" t="n">
        <f aca="false">IF(AJ$1&lt;Units!$P61,0,IF(AND(Units!$K61=0,AJ$1=Units!$O61),Units!$R61,IF(AND(AJ$1&gt;=Units!$Q61,MOD(AJ$1-Units!$Q61,12)=0),IF(AND(Units!$L61=1,AJ$1=Units!$Q61),IF(Units!$J61&lt;&gt;"",Units!$J61,Mkt!AJ62),Inputs!$B$15*Mkt!AJ62+(1-Inputs!$B$15)*MIN(Mkt!AJ62,AI62*(1+Inputs!$B$18))),AI62)))</f>
        <v>2376.416</v>
      </c>
      <c r="AK62" s="11" t="n">
        <f aca="false">IF(AK$1&lt;Units!$P61,0,IF(AND(Units!$K61=0,AK$1=Units!$O61),Units!$R61,IF(AND(AK$1&gt;=Units!$Q61,MOD(AK$1-Units!$Q61,12)=0),IF(AND(Units!$L61=1,AK$1=Units!$Q61),IF(Units!$J61&lt;&gt;"",Units!$J61,Mkt!AK62),Inputs!$B$15*Mkt!AK62+(1-Inputs!$B$15)*MIN(Mkt!AK62,AJ62*(1+Inputs!$B$18))),AJ62)))</f>
        <v>2376.416</v>
      </c>
      <c r="AL62" s="11" t="n">
        <f aca="false">IF(AL$1&lt;Units!$P61,0,IF(AND(Units!$K61=0,AL$1=Units!$O61),Units!$R61,IF(AND(AL$1&gt;=Units!$Q61,MOD(AL$1-Units!$Q61,12)=0),IF(AND(Units!$L61=1,AL$1=Units!$Q61),IF(Units!$J61&lt;&gt;"",Units!$J61,Mkt!AL62),Inputs!$B$15*Mkt!AL62+(1-Inputs!$B$15)*MIN(Mkt!AL62,AK62*(1+Inputs!$B$18))),AK62)))</f>
        <v>2376.416</v>
      </c>
      <c r="AM62" s="11" t="n">
        <f aca="false">IF(AM$1&lt;Units!$P61,0,IF(AND(Units!$K61=0,AM$1=Units!$O61),Units!$R61,IF(AND(AM$1&gt;=Units!$Q61,MOD(AM$1-Units!$Q61,12)=0),IF(AND(Units!$L61=1,AM$1=Units!$Q61),IF(Units!$J61&lt;&gt;"",Units!$J61,Mkt!AM62),Inputs!$B$15*Mkt!AM62+(1-Inputs!$B$15)*MIN(Mkt!AM62,AL62*(1+Inputs!$B$18))),AL62)))</f>
        <v>2447.70848</v>
      </c>
      <c r="AN62" s="11" t="n">
        <f aca="false">IF(AN$1&lt;Units!$P61,0,IF(AND(Units!$K61=0,AN$1=Units!$O61),Units!$R61,IF(AND(AN$1&gt;=Units!$Q61,MOD(AN$1-Units!$Q61,12)=0),IF(AND(Units!$L61=1,AN$1=Units!$Q61),IF(Units!$J61&lt;&gt;"",Units!$J61,Mkt!AN62),Inputs!$B$15*Mkt!AN62+(1-Inputs!$B$15)*MIN(Mkt!AN62,AM62*(1+Inputs!$B$18))),AM62)))</f>
        <v>2447.70848</v>
      </c>
      <c r="AO62" s="11" t="n">
        <f aca="false">IF(AO$1&lt;Units!$P61,0,IF(AND(Units!$K61=0,AO$1=Units!$O61),Units!$R61,IF(AND(AO$1&gt;=Units!$Q61,MOD(AO$1-Units!$Q61,12)=0),IF(AND(Units!$L61=1,AO$1=Units!$Q61),IF(Units!$J61&lt;&gt;"",Units!$J61,Mkt!AO62),Inputs!$B$15*Mkt!AO62+(1-Inputs!$B$15)*MIN(Mkt!AO62,AN62*(1+Inputs!$B$18))),AN62)))</f>
        <v>2447.70848</v>
      </c>
      <c r="AP62" s="11" t="n">
        <f aca="false">IF(AP$1&lt;Units!$P61,0,IF(AND(Units!$K61=0,AP$1=Units!$O61),Units!$R61,IF(AND(AP$1&gt;=Units!$Q61,MOD(AP$1-Units!$Q61,12)=0),IF(AND(Units!$L61=1,AP$1=Units!$Q61),IF(Units!$J61&lt;&gt;"",Units!$J61,Mkt!AP62),Inputs!$B$15*Mkt!AP62+(1-Inputs!$B$15)*MIN(Mkt!AP62,AO62*(1+Inputs!$B$18))),AO62)))</f>
        <v>2447.70848</v>
      </c>
      <c r="AQ62" s="11" t="n">
        <f aca="false">IF(AQ$1&lt;Units!$P61,0,IF(AND(Units!$K61=0,AQ$1=Units!$O61),Units!$R61,IF(AND(AQ$1&gt;=Units!$Q61,MOD(AQ$1-Units!$Q61,12)=0),IF(AND(Units!$L61=1,AQ$1=Units!$Q61),IF(Units!$J61&lt;&gt;"",Units!$J61,Mkt!AQ62),Inputs!$B$15*Mkt!AQ62+(1-Inputs!$B$15)*MIN(Mkt!AQ62,AP62*(1+Inputs!$B$18))),AP62)))</f>
        <v>2447.70848</v>
      </c>
      <c r="AR62" s="11" t="n">
        <f aca="false">IF(AR$1&lt;Units!$P61,0,IF(AND(Units!$K61=0,AR$1=Units!$O61),Units!$R61,IF(AND(AR$1&gt;=Units!$Q61,MOD(AR$1-Units!$Q61,12)=0),IF(AND(Units!$L61=1,AR$1=Units!$Q61),IF(Units!$J61&lt;&gt;"",Units!$J61,Mkt!AR62),Inputs!$B$15*Mkt!AR62+(1-Inputs!$B$15)*MIN(Mkt!AR62,AQ62*(1+Inputs!$B$18))),AQ62)))</f>
        <v>2447.70848</v>
      </c>
      <c r="AS62" s="11" t="n">
        <f aca="false">IF(AS$1&lt;Units!$P61,0,IF(AND(Units!$K61=0,AS$1=Units!$O61),Units!$R61,IF(AND(AS$1&gt;=Units!$Q61,MOD(AS$1-Units!$Q61,12)=0),IF(AND(Units!$L61=1,AS$1=Units!$Q61),IF(Units!$J61&lt;&gt;"",Units!$J61,Mkt!AS62),Inputs!$B$15*Mkt!AS62+(1-Inputs!$B$15)*MIN(Mkt!AS62,AR62*(1+Inputs!$B$18))),AR62)))</f>
        <v>2447.70848</v>
      </c>
      <c r="AT62" s="11" t="n">
        <f aca="false">IF(AT$1&lt;Units!$P61,0,IF(AND(Units!$K61=0,AT$1=Units!$O61),Units!$R61,IF(AND(AT$1&gt;=Units!$Q61,MOD(AT$1-Units!$Q61,12)=0),IF(AND(Units!$L61=1,AT$1=Units!$Q61),IF(Units!$J61&lt;&gt;"",Units!$J61,Mkt!AT62),Inputs!$B$15*Mkt!AT62+(1-Inputs!$B$15)*MIN(Mkt!AT62,AS62*(1+Inputs!$B$18))),AS62)))</f>
        <v>2447.70848</v>
      </c>
      <c r="AU62" s="11" t="n">
        <f aca="false">IF(AU$1&lt;Units!$P61,0,IF(AND(Units!$K61=0,AU$1=Units!$O61),Units!$R61,IF(AND(AU$1&gt;=Units!$Q61,MOD(AU$1-Units!$Q61,12)=0),IF(AND(Units!$L61=1,AU$1=Units!$Q61),IF(Units!$J61&lt;&gt;"",Units!$J61,Mkt!AU62),Inputs!$B$15*Mkt!AU62+(1-Inputs!$B$15)*MIN(Mkt!AU62,AT62*(1+Inputs!$B$18))),AT62)))</f>
        <v>2447.70848</v>
      </c>
      <c r="AV62" s="11" t="n">
        <f aca="false">IF(AV$1&lt;Units!$P61,0,IF(AND(Units!$K61=0,AV$1=Units!$O61),Units!$R61,IF(AND(AV$1&gt;=Units!$Q61,MOD(AV$1-Units!$Q61,12)=0),IF(AND(Units!$L61=1,AV$1=Units!$Q61),IF(Units!$J61&lt;&gt;"",Units!$J61,Mkt!AV62),Inputs!$B$15*Mkt!AV62+(1-Inputs!$B$15)*MIN(Mkt!AV62,AU62*(1+Inputs!$B$18))),AU62)))</f>
        <v>2447.70848</v>
      </c>
      <c r="AW62" s="11" t="n">
        <f aca="false">IF(AW$1&lt;Units!$P61,0,IF(AND(Units!$K61=0,AW$1=Units!$O61),Units!$R61,IF(AND(AW$1&gt;=Units!$Q61,MOD(AW$1-Units!$Q61,12)=0),IF(AND(Units!$L61=1,AW$1=Units!$Q61),IF(Units!$J61&lt;&gt;"",Units!$J61,Mkt!AW62),Inputs!$B$15*Mkt!AW62+(1-Inputs!$B$15)*MIN(Mkt!AW62,AV62*(1+Inputs!$B$18))),AV62)))</f>
        <v>2447.70848</v>
      </c>
      <c r="AX62" s="11" t="n">
        <f aca="false">IF(AX$1&lt;Units!$P61,0,IF(AND(Units!$K61=0,AX$1=Units!$O61),Units!$R61,IF(AND(AX$1&gt;=Units!$Q61,MOD(AX$1-Units!$Q61,12)=0),IF(AND(Units!$L61=1,AX$1=Units!$Q61),IF(Units!$J61&lt;&gt;"",Units!$J61,Mkt!AX62),Inputs!$B$15*Mkt!AX62+(1-Inputs!$B$15)*MIN(Mkt!AX62,AW62*(1+Inputs!$B$18))),AW62)))</f>
        <v>2447.70848</v>
      </c>
      <c r="AY62" s="11" t="n">
        <f aca="false">IF(AY$1&lt;Units!$P61,0,IF(AND(Units!$K61=0,AY$1=Units!$O61),Units!$R61,IF(AND(AY$1&gt;=Units!$Q61,MOD(AY$1-Units!$Q61,12)=0),IF(AND(Units!$L61=1,AY$1=Units!$Q61),IF(Units!$J61&lt;&gt;"",Units!$J61,Mkt!AY62),Inputs!$B$15*Mkt!AY62+(1-Inputs!$B$15)*MIN(Mkt!AY62,AX62*(1+Inputs!$B$18))),AX62)))</f>
        <v>2521.1397344</v>
      </c>
      <c r="AZ62" s="11" t="n">
        <f aca="false">IF(AZ$1&lt;Units!$P61,0,IF(AND(Units!$K61=0,AZ$1=Units!$O61),Units!$R61,IF(AND(AZ$1&gt;=Units!$Q61,MOD(AZ$1-Units!$Q61,12)=0),IF(AND(Units!$L61=1,AZ$1=Units!$Q61),IF(Units!$J61&lt;&gt;"",Units!$J61,Mkt!AZ62),Inputs!$B$15*Mkt!AZ62+(1-Inputs!$B$15)*MIN(Mkt!AZ62,AY62*(1+Inputs!$B$18))),AY62)))</f>
        <v>2521.1397344</v>
      </c>
      <c r="BA62" s="11" t="n">
        <f aca="false">IF(BA$1&lt;Units!$P61,0,IF(AND(Units!$K61=0,BA$1=Units!$O61),Units!$R61,IF(AND(BA$1&gt;=Units!$Q61,MOD(BA$1-Units!$Q61,12)=0),IF(AND(Units!$L61=1,BA$1=Units!$Q61),IF(Units!$J61&lt;&gt;"",Units!$J61,Mkt!BA62),Inputs!$B$15*Mkt!BA62+(1-Inputs!$B$15)*MIN(Mkt!BA62,AZ62*(1+Inputs!$B$18))),AZ62)))</f>
        <v>2521.1397344</v>
      </c>
      <c r="BB62" s="11" t="n">
        <f aca="false">IF(BB$1&lt;Units!$P61,0,IF(AND(Units!$K61=0,BB$1=Units!$O61),Units!$R61,IF(AND(BB$1&gt;=Units!$Q61,MOD(BB$1-Units!$Q61,12)=0),IF(AND(Units!$L61=1,BB$1=Units!$Q61),IF(Units!$J61&lt;&gt;"",Units!$J61,Mkt!BB62),Inputs!$B$15*Mkt!BB62+(1-Inputs!$B$15)*MIN(Mkt!BB62,BA62*(1+Inputs!$B$18))),BA62)))</f>
        <v>2521.1397344</v>
      </c>
      <c r="BC62" s="11" t="n">
        <f aca="false">IF(BC$1&lt;Units!$P61,0,IF(AND(Units!$K61=0,BC$1=Units!$O61),Units!$R61,IF(AND(BC$1&gt;=Units!$Q61,MOD(BC$1-Units!$Q61,12)=0),IF(AND(Units!$L61=1,BC$1=Units!$Q61),IF(Units!$J61&lt;&gt;"",Units!$J61,Mkt!BC62),Inputs!$B$15*Mkt!BC62+(1-Inputs!$B$15)*MIN(Mkt!BC62,BB62*(1+Inputs!$B$18))),BB62)))</f>
        <v>2521.1397344</v>
      </c>
      <c r="BD62" s="11" t="n">
        <f aca="false">IF(BD$1&lt;Units!$P61,0,IF(AND(Units!$K61=0,BD$1=Units!$O61),Units!$R61,IF(AND(BD$1&gt;=Units!$Q61,MOD(BD$1-Units!$Q61,12)=0),IF(AND(Units!$L61=1,BD$1=Units!$Q61),IF(Units!$J61&lt;&gt;"",Units!$J61,Mkt!BD62),Inputs!$B$15*Mkt!BD62+(1-Inputs!$B$15)*MIN(Mkt!BD62,BC62*(1+Inputs!$B$18))),BC62)))</f>
        <v>2521.1397344</v>
      </c>
      <c r="BE62" s="11" t="n">
        <f aca="false">IF(BE$1&lt;Units!$P61,0,IF(AND(Units!$K61=0,BE$1=Units!$O61),Units!$R61,IF(AND(BE$1&gt;=Units!$Q61,MOD(BE$1-Units!$Q61,12)=0),IF(AND(Units!$L61=1,BE$1=Units!$Q61),IF(Units!$J61&lt;&gt;"",Units!$J61,Mkt!BE62),Inputs!$B$15*Mkt!BE62+(1-Inputs!$B$15)*MIN(Mkt!BE62,BD62*(1+Inputs!$B$18))),BD62)))</f>
        <v>2521.1397344</v>
      </c>
      <c r="BF62" s="11" t="n">
        <f aca="false">IF(BF$1&lt;Units!$P61,0,IF(AND(Units!$K61=0,BF$1=Units!$O61),Units!$R61,IF(AND(BF$1&gt;=Units!$Q61,MOD(BF$1-Units!$Q61,12)=0),IF(AND(Units!$L61=1,BF$1=Units!$Q61),IF(Units!$J61&lt;&gt;"",Units!$J61,Mkt!BF62),Inputs!$B$15*Mkt!BF62+(1-Inputs!$B$15)*MIN(Mkt!BF62,BE62*(1+Inputs!$B$18))),BE62)))</f>
        <v>2521.1397344</v>
      </c>
      <c r="BG62" s="11" t="n">
        <f aca="false">IF(BG$1&lt;Units!$P61,0,IF(AND(Units!$K61=0,BG$1=Units!$O61),Units!$R61,IF(AND(BG$1&gt;=Units!$Q61,MOD(BG$1-Units!$Q61,12)=0),IF(AND(Units!$L61=1,BG$1=Units!$Q61),IF(Units!$J61&lt;&gt;"",Units!$J61,Mkt!BG62),Inputs!$B$15*Mkt!BG62+(1-Inputs!$B$15)*MIN(Mkt!BG62,BF62*(1+Inputs!$B$18))),BF62)))</f>
        <v>2521.1397344</v>
      </c>
      <c r="BH62" s="11" t="n">
        <f aca="false">IF(BH$1&lt;Units!$P61,0,IF(AND(Units!$K61=0,BH$1=Units!$O61),Units!$R61,IF(AND(BH$1&gt;=Units!$Q61,MOD(BH$1-Units!$Q61,12)=0),IF(AND(Units!$L61=1,BH$1=Units!$Q61),IF(Units!$J61&lt;&gt;"",Units!$J61,Mkt!BH62),Inputs!$B$15*Mkt!BH62+(1-Inputs!$B$15)*MIN(Mkt!BH62,BG62*(1+Inputs!$B$18))),BG62)))</f>
        <v>2521.1397344</v>
      </c>
      <c r="BI62" s="11" t="n">
        <f aca="false">IF(BI$1&lt;Units!$P61,0,IF(AND(Units!$K61=0,BI$1=Units!$O61),Units!$R61,IF(AND(BI$1&gt;=Units!$Q61,MOD(BI$1-Units!$Q61,12)=0),IF(AND(Units!$L61=1,BI$1=Units!$Q61),IF(Units!$J61&lt;&gt;"",Units!$J61,Mkt!BI62),Inputs!$B$15*Mkt!BI62+(1-Inputs!$B$15)*MIN(Mkt!BI62,BH62*(1+Inputs!$B$18))),BH62)))</f>
        <v>2521.1397344</v>
      </c>
      <c r="BJ62" s="11" t="n">
        <f aca="false">IF(BJ$1&lt;Units!$P61,0,IF(AND(Units!$K61=0,BJ$1=Units!$O61),Units!$R61,IF(AND(BJ$1&gt;=Units!$Q61,MOD(BJ$1-Units!$Q61,12)=0),IF(AND(Units!$L61=1,BJ$1=Units!$Q61),IF(Units!$J61&lt;&gt;"",Units!$J61,Mkt!BJ62),Inputs!$B$15*Mkt!BJ62+(1-Inputs!$B$15)*MIN(Mkt!BJ62,BI62*(1+Inputs!$B$18))),BI62)))</f>
        <v>2521.1397344</v>
      </c>
      <c r="BK62" s="11" t="n">
        <f aca="false">IF(BK$1&lt;Units!$P61,0,IF(AND(Units!$K61=0,BK$1=Units!$O61),Units!$R61,IF(AND(BK$1&gt;=Units!$Q61,MOD(BK$1-Units!$Q61,12)=0),IF(AND(Units!$L61=1,BK$1=Units!$Q61),IF(Units!$J61&lt;&gt;"",Units!$J61,Mkt!BK62),Inputs!$B$15*Mkt!BK62+(1-Inputs!$B$15)*MIN(Mkt!BK62,BJ62*(1+Inputs!$B$18))),BJ62)))</f>
        <v>2596.773926432</v>
      </c>
      <c r="BL62" s="11" t="n">
        <f aca="false">IF(BL$1&lt;Units!$P61,0,IF(AND(Units!$K61=0,BL$1=Units!$O61),Units!$R61,IF(AND(BL$1&gt;=Units!$Q61,MOD(BL$1-Units!$Q61,12)=0),IF(AND(Units!$L61=1,BL$1=Units!$Q61),IF(Units!$J61&lt;&gt;"",Units!$J61,Mkt!BL62),Inputs!$B$15*Mkt!BL62+(1-Inputs!$B$15)*MIN(Mkt!BL62,BK62*(1+Inputs!$B$18))),BK62)))</f>
        <v>2596.773926432</v>
      </c>
      <c r="BM62" s="11" t="n">
        <f aca="false">IF(BM$1&lt;Units!$P61,0,IF(AND(Units!$K61=0,BM$1=Units!$O61),Units!$R61,IF(AND(BM$1&gt;=Units!$Q61,MOD(BM$1-Units!$Q61,12)=0),IF(AND(Units!$L61=1,BM$1=Units!$Q61),IF(Units!$J61&lt;&gt;"",Units!$J61,Mkt!BM62),Inputs!$B$15*Mkt!BM62+(1-Inputs!$B$15)*MIN(Mkt!BM62,BL62*(1+Inputs!$B$18))),BL62)))</f>
        <v>2596.773926432</v>
      </c>
      <c r="BN62" s="11" t="n">
        <f aca="false">IF(BN$1&lt;Units!$P61,0,IF(AND(Units!$K61=0,BN$1=Units!$O61),Units!$R61,IF(AND(BN$1&gt;=Units!$Q61,MOD(BN$1-Units!$Q61,12)=0),IF(AND(Units!$L61=1,BN$1=Units!$Q61),IF(Units!$J61&lt;&gt;"",Units!$J61,Mkt!BN62),Inputs!$B$15*Mkt!BN62+(1-Inputs!$B$15)*MIN(Mkt!BN62,BM62*(1+Inputs!$B$18))),BM62)))</f>
        <v>2596.773926432</v>
      </c>
      <c r="BO62" s="11" t="n">
        <f aca="false">IF(BO$1&lt;Units!$P61,0,IF(AND(Units!$K61=0,BO$1=Units!$O61),Units!$R61,IF(AND(BO$1&gt;=Units!$Q61,MOD(BO$1-Units!$Q61,12)=0),IF(AND(Units!$L61=1,BO$1=Units!$Q61),IF(Units!$J61&lt;&gt;"",Units!$J61,Mkt!BO62),Inputs!$B$15*Mkt!BO62+(1-Inputs!$B$15)*MIN(Mkt!BO62,BN62*(1+Inputs!$B$18))),BN62)))</f>
        <v>2596.773926432</v>
      </c>
      <c r="BP62" s="11" t="n">
        <f aca="false">IF(BP$1&lt;Units!$P61,0,IF(AND(Units!$K61=0,BP$1=Units!$O61),Units!$R61,IF(AND(BP$1&gt;=Units!$Q61,MOD(BP$1-Units!$Q61,12)=0),IF(AND(Units!$L61=1,BP$1=Units!$Q61),IF(Units!$J61&lt;&gt;"",Units!$J61,Mkt!BP62),Inputs!$B$15*Mkt!BP62+(1-Inputs!$B$15)*MIN(Mkt!BP62,BO62*(1+Inputs!$B$18))),BO62)))</f>
        <v>2596.773926432</v>
      </c>
      <c r="BQ62" s="11" t="n">
        <f aca="false">IF(BQ$1&lt;Units!$P61,0,IF(AND(Units!$K61=0,BQ$1=Units!$O61),Units!$R61,IF(AND(BQ$1&gt;=Units!$Q61,MOD(BQ$1-Units!$Q61,12)=0),IF(AND(Units!$L61=1,BQ$1=Units!$Q61),IF(Units!$J61&lt;&gt;"",Units!$J61,Mkt!BQ62),Inputs!$B$15*Mkt!BQ62+(1-Inputs!$B$15)*MIN(Mkt!BQ62,BP62*(1+Inputs!$B$18))),BP62)))</f>
        <v>2596.773926432</v>
      </c>
      <c r="BR62" s="11" t="n">
        <f aca="false">IF(BR$1&lt;Units!$P61,0,IF(AND(Units!$K61=0,BR$1=Units!$O61),Units!$R61,IF(AND(BR$1&gt;=Units!$Q61,MOD(BR$1-Units!$Q61,12)=0),IF(AND(Units!$L61=1,BR$1=Units!$Q61),IF(Units!$J61&lt;&gt;"",Units!$J61,Mkt!BR62),Inputs!$B$15*Mkt!BR62+(1-Inputs!$B$15)*MIN(Mkt!BR62,BQ62*(1+Inputs!$B$18))),BQ62)))</f>
        <v>2596.773926432</v>
      </c>
      <c r="BS62" s="11" t="n">
        <f aca="false">IF(BS$1&lt;Units!$P61,0,IF(AND(Units!$K61=0,BS$1=Units!$O61),Units!$R61,IF(AND(BS$1&gt;=Units!$Q61,MOD(BS$1-Units!$Q61,12)=0),IF(AND(Units!$L61=1,BS$1=Units!$Q61),IF(Units!$J61&lt;&gt;"",Units!$J61,Mkt!BS62),Inputs!$B$15*Mkt!BS62+(1-Inputs!$B$15)*MIN(Mkt!BS62,BR62*(1+Inputs!$B$18))),BR62)))</f>
        <v>2596.773926432</v>
      </c>
      <c r="BT62" s="11" t="n">
        <f aca="false">IF(BT$1&lt;Units!$P61,0,IF(AND(Units!$K61=0,BT$1=Units!$O61),Units!$R61,IF(AND(BT$1&gt;=Units!$Q61,MOD(BT$1-Units!$Q61,12)=0),IF(AND(Units!$L61=1,BT$1=Units!$Q61),IF(Units!$J61&lt;&gt;"",Units!$J61,Mkt!BT62),Inputs!$B$15*Mkt!BT62+(1-Inputs!$B$15)*MIN(Mkt!BT62,BS62*(1+Inputs!$B$18))),BS62)))</f>
        <v>2596.773926432</v>
      </c>
      <c r="BU62" s="11" t="n">
        <f aca="false">IF(BU$1&lt;Units!$P61,0,IF(AND(Units!$K61=0,BU$1=Units!$O61),Units!$R61,IF(AND(BU$1&gt;=Units!$Q61,MOD(BU$1-Units!$Q61,12)=0),IF(AND(Units!$L61=1,BU$1=Units!$Q61),IF(Units!$J61&lt;&gt;"",Units!$J61,Mkt!BU62),Inputs!$B$15*Mkt!BU62+(1-Inputs!$B$15)*MIN(Mkt!BU62,BT62*(1+Inputs!$B$18))),BT62)))</f>
        <v>2596.773926432</v>
      </c>
      <c r="BV62" s="11" t="n">
        <f aca="false">IF(BV$1&lt;Units!$P61,0,IF(AND(Units!$K61=0,BV$1=Units!$O61),Units!$R61,IF(AND(BV$1&gt;=Units!$Q61,MOD(BV$1-Units!$Q61,12)=0),IF(AND(Units!$L61=1,BV$1=Units!$Q61),IF(Units!$J61&lt;&gt;"",Units!$J61,Mkt!BV62),Inputs!$B$15*Mkt!BV62+(1-Inputs!$B$15)*MIN(Mkt!BV62,BU62*(1+Inputs!$B$18))),BU62)))</f>
        <v>2596.773926432</v>
      </c>
      <c r="BW62" s="11" t="n">
        <f aca="false">IF(BW$1&lt;Units!$P61,0,IF(AND(Units!$K61=0,BW$1=Units!$O61),Units!$R61,IF(AND(BW$1&gt;=Units!$Q61,MOD(BW$1-Units!$Q61,12)=0),IF(AND(Units!$L61=1,BW$1=Units!$Q61),IF(Units!$J61&lt;&gt;"",Units!$J61,Mkt!BW62),Inputs!$B$15*Mkt!BW62+(1-Inputs!$B$15)*MIN(Mkt!BW62,BV62*(1+Inputs!$B$18))),BV62)))</f>
        <v>2674.67714422496</v>
      </c>
      <c r="BX62" s="11" t="n">
        <f aca="false">IF(BX$1&lt;Units!$P61,0,IF(AND(Units!$K61=0,BX$1=Units!$O61),Units!$R61,IF(AND(BX$1&gt;=Units!$Q61,MOD(BX$1-Units!$Q61,12)=0),IF(AND(Units!$L61=1,BX$1=Units!$Q61),IF(Units!$J61&lt;&gt;"",Units!$J61,Mkt!BX62),Inputs!$B$15*Mkt!BX62+(1-Inputs!$B$15)*MIN(Mkt!BX62,BW62*(1+Inputs!$B$18))),BW62)))</f>
        <v>2674.67714422496</v>
      </c>
      <c r="BY62" s="11" t="n">
        <f aca="false">IF(BY$1&lt;Units!$P61,0,IF(AND(Units!$K61=0,BY$1=Units!$O61),Units!$R61,IF(AND(BY$1&gt;=Units!$Q61,MOD(BY$1-Units!$Q61,12)=0),IF(AND(Units!$L61=1,BY$1=Units!$Q61),IF(Units!$J61&lt;&gt;"",Units!$J61,Mkt!BY62),Inputs!$B$15*Mkt!BY62+(1-Inputs!$B$15)*MIN(Mkt!BY62,BX62*(1+Inputs!$B$18))),BX62)))</f>
        <v>2674.67714422496</v>
      </c>
      <c r="BZ62" s="11" t="n">
        <f aca="false">IF(BZ$1&lt;Units!$P61,0,IF(AND(Units!$K61=0,BZ$1=Units!$O61),Units!$R61,IF(AND(BZ$1&gt;=Units!$Q61,MOD(BZ$1-Units!$Q61,12)=0),IF(AND(Units!$L61=1,BZ$1=Units!$Q61),IF(Units!$J61&lt;&gt;"",Units!$J61,Mkt!BZ62),Inputs!$B$15*Mkt!BZ62+(1-Inputs!$B$15)*MIN(Mkt!BZ62,BY62*(1+Inputs!$B$18))),BY62)))</f>
        <v>2674.67714422496</v>
      </c>
      <c r="CA62" s="11" t="n">
        <f aca="false">IF(CA$1&lt;Units!$P61,0,IF(AND(Units!$K61=0,CA$1=Units!$O61),Units!$R61,IF(AND(CA$1&gt;=Units!$Q61,MOD(CA$1-Units!$Q61,12)=0),IF(AND(Units!$L61=1,CA$1=Units!$Q61),IF(Units!$J61&lt;&gt;"",Units!$J61,Mkt!CA62),Inputs!$B$15*Mkt!CA62+(1-Inputs!$B$15)*MIN(Mkt!CA62,BZ62*(1+Inputs!$B$18))),BZ62)))</f>
        <v>2674.67714422496</v>
      </c>
      <c r="CB62" s="11" t="n">
        <f aca="false">IF(CB$1&lt;Units!$P61,0,IF(AND(Units!$K61=0,CB$1=Units!$O61),Units!$R61,IF(AND(CB$1&gt;=Units!$Q61,MOD(CB$1-Units!$Q61,12)=0),IF(AND(Units!$L61=1,CB$1=Units!$Q61),IF(Units!$J61&lt;&gt;"",Units!$J61,Mkt!CB62),Inputs!$B$15*Mkt!CB62+(1-Inputs!$B$15)*MIN(Mkt!CB62,CA62*(1+Inputs!$B$18))),CA62)))</f>
        <v>2674.67714422496</v>
      </c>
      <c r="CC62" s="11" t="n">
        <f aca="false">IF(CC$1&lt;Units!$P61,0,IF(AND(Units!$K61=0,CC$1=Units!$O61),Units!$R61,IF(AND(CC$1&gt;=Units!$Q61,MOD(CC$1-Units!$Q61,12)=0),IF(AND(Units!$L61=1,CC$1=Units!$Q61),IF(Units!$J61&lt;&gt;"",Units!$J61,Mkt!CC62),Inputs!$B$15*Mkt!CC62+(1-Inputs!$B$15)*MIN(Mkt!CC62,CB62*(1+Inputs!$B$18))),CB62)))</f>
        <v>2674.67714422496</v>
      </c>
      <c r="CD62" s="11" t="n">
        <f aca="false">IF(CD$1&lt;Units!$P61,0,IF(AND(Units!$K61=0,CD$1=Units!$O61),Units!$R61,IF(AND(CD$1&gt;=Units!$Q61,MOD(CD$1-Units!$Q61,12)=0),IF(AND(Units!$L61=1,CD$1=Units!$Q61),IF(Units!$J61&lt;&gt;"",Units!$J61,Mkt!CD62),Inputs!$B$15*Mkt!CD62+(1-Inputs!$B$15)*MIN(Mkt!CD62,CC62*(1+Inputs!$B$18))),CC62)))</f>
        <v>2674.67714422496</v>
      </c>
      <c r="CE62" s="11" t="n">
        <f aca="false">IF(CE$1&lt;Units!$P61,0,IF(AND(Units!$K61=0,CE$1=Units!$O61),Units!$R61,IF(AND(CE$1&gt;=Units!$Q61,MOD(CE$1-Units!$Q61,12)=0),IF(AND(Units!$L61=1,CE$1=Units!$Q61),IF(Units!$J61&lt;&gt;"",Units!$J61,Mkt!CE62),Inputs!$B$15*Mkt!CE62+(1-Inputs!$B$15)*MIN(Mkt!CE62,CD62*(1+Inputs!$B$18))),CD62)))</f>
        <v>2674.67714422496</v>
      </c>
      <c r="CF62" s="11" t="n">
        <f aca="false">IF(CF$1&lt;Units!$P61,0,IF(AND(Units!$K61=0,CF$1=Units!$O61),Units!$R61,IF(AND(CF$1&gt;=Units!$Q61,MOD(CF$1-Units!$Q61,12)=0),IF(AND(Units!$L61=1,CF$1=Units!$Q61),IF(Units!$J61&lt;&gt;"",Units!$J61,Mkt!CF62),Inputs!$B$15*Mkt!CF62+(1-Inputs!$B$15)*MIN(Mkt!CF62,CE62*(1+Inputs!$B$18))),CE62)))</f>
        <v>2674.67714422496</v>
      </c>
      <c r="CG62" s="11" t="n">
        <f aca="false">IF(CG$1&lt;Units!$P61,0,IF(AND(Units!$K61=0,CG$1=Units!$O61),Units!$R61,IF(AND(CG$1&gt;=Units!$Q61,MOD(CG$1-Units!$Q61,12)=0),IF(AND(Units!$L61=1,CG$1=Units!$Q61),IF(Units!$J61&lt;&gt;"",Units!$J61,Mkt!CG62),Inputs!$B$15*Mkt!CG62+(1-Inputs!$B$15)*MIN(Mkt!CG62,CF62*(1+Inputs!$B$18))),CF62)))</f>
        <v>2674.67714422496</v>
      </c>
      <c r="CH62" s="11" t="n">
        <f aca="false">IF(CH$1&lt;Units!$P61,0,IF(AND(Units!$K61=0,CH$1=Units!$O61),Units!$R61,IF(AND(CH$1&gt;=Units!$Q61,MOD(CH$1-Units!$Q61,12)=0),IF(AND(Units!$L61=1,CH$1=Units!$Q61),IF(Units!$J61&lt;&gt;"",Units!$J61,Mkt!CH62),Inputs!$B$15*Mkt!CH62+(1-Inputs!$B$15)*MIN(Mkt!CH62,CG62*(1+Inputs!$B$18))),CG62)))</f>
        <v>2674.67714422496</v>
      </c>
      <c r="CI62" s="11" t="n">
        <f aca="false">IF(CI$1&lt;Units!$P61,0,IF(AND(Units!$K61=0,CI$1=Units!$O61),Units!$R61,IF(AND(CI$1&gt;=Units!$Q61,MOD(CI$1-Units!$Q61,12)=0),IF(AND(Units!$L61=1,CI$1=Units!$Q61),IF(Units!$J61&lt;&gt;"",Units!$J61,Mkt!CI62),Inputs!$B$15*Mkt!CI62+(1-Inputs!$B$15)*MIN(Mkt!CI62,CH62*(1+Inputs!$B$18))),CH62)))</f>
        <v>2754.91745855171</v>
      </c>
      <c r="CJ62" s="11" t="n">
        <f aca="false">IF(CJ$1&lt;Units!$P61,0,IF(AND(Units!$K61=0,CJ$1=Units!$O61),Units!$R61,IF(AND(CJ$1&gt;=Units!$Q61,MOD(CJ$1-Units!$Q61,12)=0),IF(AND(Units!$L61=1,CJ$1=Units!$Q61),IF(Units!$J61&lt;&gt;"",Units!$J61,Mkt!CJ62),Inputs!$B$15*Mkt!CJ62+(1-Inputs!$B$15)*MIN(Mkt!CJ62,CI62*(1+Inputs!$B$18))),CI62)))</f>
        <v>2754.91745855171</v>
      </c>
      <c r="CK62" s="11" t="n">
        <f aca="false">IF(CK$1&lt;Units!$P61,0,IF(AND(Units!$K61=0,CK$1=Units!$O61),Units!$R61,IF(AND(CK$1&gt;=Units!$Q61,MOD(CK$1-Units!$Q61,12)=0),IF(AND(Units!$L61=1,CK$1=Units!$Q61),IF(Units!$J61&lt;&gt;"",Units!$J61,Mkt!CK62),Inputs!$B$15*Mkt!CK62+(1-Inputs!$B$15)*MIN(Mkt!CK62,CJ62*(1+Inputs!$B$18))),CJ62)))</f>
        <v>2754.91745855171</v>
      </c>
      <c r="CL62" s="11" t="n">
        <f aca="false">IF(CL$1&lt;Units!$P61,0,IF(AND(Units!$K61=0,CL$1=Units!$O61),Units!$R61,IF(AND(CL$1&gt;=Units!$Q61,MOD(CL$1-Units!$Q61,12)=0),IF(AND(Units!$L61=1,CL$1=Units!$Q61),IF(Units!$J61&lt;&gt;"",Units!$J61,Mkt!CL62),Inputs!$B$15*Mkt!CL62+(1-Inputs!$B$15)*MIN(Mkt!CL62,CK62*(1+Inputs!$B$18))),CK62)))</f>
        <v>2754.91745855171</v>
      </c>
      <c r="CM62" s="11" t="n">
        <f aca="false">IF(CM$1&lt;Units!$P61,0,IF(AND(Units!$K61=0,CM$1=Units!$O61),Units!$R61,IF(AND(CM$1&gt;=Units!$Q61,MOD(CM$1-Units!$Q61,12)=0),IF(AND(Units!$L61=1,CM$1=Units!$Q61),IF(Units!$J61&lt;&gt;"",Units!$J61,Mkt!CM62),Inputs!$B$15*Mkt!CM62+(1-Inputs!$B$15)*MIN(Mkt!CM62,CL62*(1+Inputs!$B$18))),CL62)))</f>
        <v>2754.91745855171</v>
      </c>
      <c r="CN62" s="11" t="n">
        <f aca="false">IF(CN$1&lt;Units!$P61,0,IF(AND(Units!$K61=0,CN$1=Units!$O61),Units!$R61,IF(AND(CN$1&gt;=Units!$Q61,MOD(CN$1-Units!$Q61,12)=0),IF(AND(Units!$L61=1,CN$1=Units!$Q61),IF(Units!$J61&lt;&gt;"",Units!$J61,Mkt!CN62),Inputs!$B$15*Mkt!CN62+(1-Inputs!$B$15)*MIN(Mkt!CN62,CM62*(1+Inputs!$B$18))),CM62)))</f>
        <v>2754.91745855171</v>
      </c>
      <c r="CO62" s="11" t="n">
        <f aca="false">IF(CO$1&lt;Units!$P61,0,IF(AND(Units!$K61=0,CO$1=Units!$O61),Units!$R61,IF(AND(CO$1&gt;=Units!$Q61,MOD(CO$1-Units!$Q61,12)=0),IF(AND(Units!$L61=1,CO$1=Units!$Q61),IF(Units!$J61&lt;&gt;"",Units!$J61,Mkt!CO62),Inputs!$B$15*Mkt!CO62+(1-Inputs!$B$15)*MIN(Mkt!CO62,CN62*(1+Inputs!$B$18))),CN62)))</f>
        <v>2754.91745855171</v>
      </c>
      <c r="CP62" s="11" t="n">
        <f aca="false">IF(CP$1&lt;Units!$P61,0,IF(AND(Units!$K61=0,CP$1=Units!$O61),Units!$R61,IF(AND(CP$1&gt;=Units!$Q61,MOD(CP$1-Units!$Q61,12)=0),IF(AND(Units!$L61=1,CP$1=Units!$Q61),IF(Units!$J61&lt;&gt;"",Units!$J61,Mkt!CP62),Inputs!$B$15*Mkt!CP62+(1-Inputs!$B$15)*MIN(Mkt!CP62,CO62*(1+Inputs!$B$18))),CO62)))</f>
        <v>2754.91745855171</v>
      </c>
      <c r="CQ62" s="11" t="n">
        <f aca="false">IF(CQ$1&lt;Units!$P61,0,IF(AND(Units!$K61=0,CQ$1=Units!$O61),Units!$R61,IF(AND(CQ$1&gt;=Units!$Q61,MOD(CQ$1-Units!$Q61,12)=0),IF(AND(Units!$L61=1,CQ$1=Units!$Q61),IF(Units!$J61&lt;&gt;"",Units!$J61,Mkt!CQ62),Inputs!$B$15*Mkt!CQ62+(1-Inputs!$B$15)*MIN(Mkt!CQ62,CP62*(1+Inputs!$B$18))),CP62)))</f>
        <v>2754.91745855171</v>
      </c>
      <c r="CR62" s="11" t="n">
        <f aca="false">IF(CR$1&lt;Units!$P61,0,IF(AND(Units!$K61=0,CR$1=Units!$O61),Units!$R61,IF(AND(CR$1&gt;=Units!$Q61,MOD(CR$1-Units!$Q61,12)=0),IF(AND(Units!$L61=1,CR$1=Units!$Q61),IF(Units!$J61&lt;&gt;"",Units!$J61,Mkt!CR62),Inputs!$B$15*Mkt!CR62+(1-Inputs!$B$15)*MIN(Mkt!CR62,CQ62*(1+Inputs!$B$18))),CQ62)))</f>
        <v>2754.91745855171</v>
      </c>
      <c r="CS62" s="11" t="n">
        <f aca="false">IF(CS$1&lt;Units!$P61,0,IF(AND(Units!$K61=0,CS$1=Units!$O61),Units!$R61,IF(AND(CS$1&gt;=Units!$Q61,MOD(CS$1-Units!$Q61,12)=0),IF(AND(Units!$L61=1,CS$1=Units!$Q61),IF(Units!$J61&lt;&gt;"",Units!$J61,Mkt!CS62),Inputs!$B$15*Mkt!CS62+(1-Inputs!$B$15)*MIN(Mkt!CS62,CR62*(1+Inputs!$B$18))),CR62)))</f>
        <v>2754.91745855171</v>
      </c>
      <c r="CT62" s="11" t="n">
        <f aca="false">IF(CT$1&lt;Units!$P61,0,IF(AND(Units!$K61=0,CT$1=Units!$O61),Units!$R61,IF(AND(CT$1&gt;=Units!$Q61,MOD(CT$1-Units!$Q61,12)=0),IF(AND(Units!$L61=1,CT$1=Units!$Q61),IF(Units!$J61&lt;&gt;"",Units!$J61,Mkt!CT62),Inputs!$B$15*Mkt!CT62+(1-Inputs!$B$15)*MIN(Mkt!CT62,CS62*(1+Inputs!$B$18))),CS62)))</f>
        <v>2754.91745855171</v>
      </c>
      <c r="CU62" s="11" t="n">
        <f aca="false">IF(CU$1&lt;Units!$P61,0,IF(AND(Units!$K61=0,CU$1=Units!$O61),Units!$R61,IF(AND(CU$1&gt;=Units!$Q61,MOD(CU$1-Units!$Q61,12)=0),IF(AND(Units!$L61=1,CU$1=Units!$Q61),IF(Units!$J61&lt;&gt;"",Units!$J61,Mkt!CU62),Inputs!$B$15*Mkt!CU62+(1-Inputs!$B$15)*MIN(Mkt!CU62,CT62*(1+Inputs!$B$18))),CT62)))</f>
        <v>2837.56498230826</v>
      </c>
      <c r="CV62" s="11" t="n">
        <f aca="false">IF(CV$1&lt;Units!$P61,0,IF(AND(Units!$K61=0,CV$1=Units!$O61),Units!$R61,IF(AND(CV$1&gt;=Units!$Q61,MOD(CV$1-Units!$Q61,12)=0),IF(AND(Units!$L61=1,CV$1=Units!$Q61),IF(Units!$J61&lt;&gt;"",Units!$J61,Mkt!CV62),Inputs!$B$15*Mkt!CV62+(1-Inputs!$B$15)*MIN(Mkt!CV62,CU62*(1+Inputs!$B$18))),CU62)))</f>
        <v>2837.56498230826</v>
      </c>
      <c r="CW62" s="11" t="n">
        <f aca="false">IF(CW$1&lt;Units!$P61,0,IF(AND(Units!$K61=0,CW$1=Units!$O61),Units!$R61,IF(AND(CW$1&gt;=Units!$Q61,MOD(CW$1-Units!$Q61,12)=0),IF(AND(Units!$L61=1,CW$1=Units!$Q61),IF(Units!$J61&lt;&gt;"",Units!$J61,Mkt!CW62),Inputs!$B$15*Mkt!CW62+(1-Inputs!$B$15)*MIN(Mkt!CW62,CV62*(1+Inputs!$B$18))),CV62)))</f>
        <v>2837.56498230826</v>
      </c>
      <c r="CX62" s="11" t="n">
        <f aca="false">IF(CX$1&lt;Units!$P61,0,IF(AND(Units!$K61=0,CX$1=Units!$O61),Units!$R61,IF(AND(CX$1&gt;=Units!$Q61,MOD(CX$1-Units!$Q61,12)=0),IF(AND(Units!$L61=1,CX$1=Units!$Q61),IF(Units!$J61&lt;&gt;"",Units!$J61,Mkt!CX62),Inputs!$B$15*Mkt!CX62+(1-Inputs!$B$15)*MIN(Mkt!CX62,CW62*(1+Inputs!$B$18))),CW62)))</f>
        <v>2837.56498230826</v>
      </c>
      <c r="CY62" s="11" t="n">
        <f aca="false">IF(CY$1&lt;Units!$P61,0,IF(AND(Units!$K61=0,CY$1=Units!$O61),Units!$R61,IF(AND(CY$1&gt;=Units!$Q61,MOD(CY$1-Units!$Q61,12)=0),IF(AND(Units!$L61=1,CY$1=Units!$Q61),IF(Units!$J61&lt;&gt;"",Units!$J61,Mkt!CY62),Inputs!$B$15*Mkt!CY62+(1-Inputs!$B$15)*MIN(Mkt!CY62,CX62*(1+Inputs!$B$18))),CX62)))</f>
        <v>2837.56498230826</v>
      </c>
      <c r="CZ62" s="11" t="n">
        <f aca="false">IF(CZ$1&lt;Units!$P61,0,IF(AND(Units!$K61=0,CZ$1=Units!$O61),Units!$R61,IF(AND(CZ$1&gt;=Units!$Q61,MOD(CZ$1-Units!$Q61,12)=0),IF(AND(Units!$L61=1,CZ$1=Units!$Q61),IF(Units!$J61&lt;&gt;"",Units!$J61,Mkt!CZ62),Inputs!$B$15*Mkt!CZ62+(1-Inputs!$B$15)*MIN(Mkt!CZ62,CY62*(1+Inputs!$B$18))),CY62)))</f>
        <v>2837.56498230826</v>
      </c>
      <c r="DA62" s="11" t="n">
        <f aca="false">IF(DA$1&lt;Units!$P61,0,IF(AND(Units!$K61=0,DA$1=Units!$O61),Units!$R61,IF(AND(DA$1&gt;=Units!$Q61,MOD(DA$1-Units!$Q61,12)=0),IF(AND(Units!$L61=1,DA$1=Units!$Q61),IF(Units!$J61&lt;&gt;"",Units!$J61,Mkt!DA62),Inputs!$B$15*Mkt!DA62+(1-Inputs!$B$15)*MIN(Mkt!DA62,CZ62*(1+Inputs!$B$18))),CZ62)))</f>
        <v>2837.56498230826</v>
      </c>
      <c r="DB62" s="11" t="n">
        <f aca="false">IF(DB$1&lt;Units!$P61,0,IF(AND(Units!$K61=0,DB$1=Units!$O61),Units!$R61,IF(AND(DB$1&gt;=Units!$Q61,MOD(DB$1-Units!$Q61,12)=0),IF(AND(Units!$L61=1,DB$1=Units!$Q61),IF(Units!$J61&lt;&gt;"",Units!$J61,Mkt!DB62),Inputs!$B$15*Mkt!DB62+(1-Inputs!$B$15)*MIN(Mkt!DB62,DA62*(1+Inputs!$B$18))),DA62)))</f>
        <v>2837.56498230826</v>
      </c>
      <c r="DC62" s="11" t="n">
        <f aca="false">IF(DC$1&lt;Units!$P61,0,IF(AND(Units!$K61=0,DC$1=Units!$O61),Units!$R61,IF(AND(DC$1&gt;=Units!$Q61,MOD(DC$1-Units!$Q61,12)=0),IF(AND(Units!$L61=1,DC$1=Units!$Q61),IF(Units!$J61&lt;&gt;"",Units!$J61,Mkt!DC62),Inputs!$B$15*Mkt!DC62+(1-Inputs!$B$15)*MIN(Mkt!DC62,DB62*(1+Inputs!$B$18))),DB62)))</f>
        <v>2837.56498230826</v>
      </c>
      <c r="DD62" s="11" t="n">
        <f aca="false">IF(DD$1&lt;Units!$P61,0,IF(AND(Units!$K61=0,DD$1=Units!$O61),Units!$R61,IF(AND(DD$1&gt;=Units!$Q61,MOD(DD$1-Units!$Q61,12)=0),IF(AND(Units!$L61=1,DD$1=Units!$Q61),IF(Units!$J61&lt;&gt;"",Units!$J61,Mkt!DD62),Inputs!$B$15*Mkt!DD62+(1-Inputs!$B$15)*MIN(Mkt!DD62,DC62*(1+Inputs!$B$18))),DC62)))</f>
        <v>2837.56498230826</v>
      </c>
      <c r="DE62" s="11" t="n">
        <f aca="false">IF(DE$1&lt;Units!$P61,0,IF(AND(Units!$K61=0,DE$1=Units!$O61),Units!$R61,IF(AND(DE$1&gt;=Units!$Q61,MOD(DE$1-Units!$Q61,12)=0),IF(AND(Units!$L61=1,DE$1=Units!$Q61),IF(Units!$J61&lt;&gt;"",Units!$J61,Mkt!DE62),Inputs!$B$15*Mkt!DE62+(1-Inputs!$B$15)*MIN(Mkt!DE62,DD62*(1+Inputs!$B$18))),DD62)))</f>
        <v>2837.56498230826</v>
      </c>
      <c r="DF62" s="11" t="n">
        <f aca="false">IF(DF$1&lt;Units!$P61,0,IF(AND(Units!$K61=0,DF$1=Units!$O61),Units!$R61,IF(AND(DF$1&gt;=Units!$Q61,MOD(DF$1-Units!$Q61,12)=0),IF(AND(Units!$L61=1,DF$1=Units!$Q61),IF(Units!$J61&lt;&gt;"",Units!$J61,Mkt!DF62),Inputs!$B$15*Mkt!DF62+(1-Inputs!$B$15)*MIN(Mkt!DF62,DE62*(1+Inputs!$B$18))),DE62)))</f>
        <v>2837.56498230826</v>
      </c>
      <c r="DG62" s="11" t="n">
        <f aca="false">IF(DG$1&lt;Units!$P61,0,IF(AND(Units!$K61=0,DG$1=Units!$O61),Units!$R61,IF(AND(DG$1&gt;=Units!$Q61,MOD(DG$1-Units!$Q61,12)=0),IF(AND(Units!$L61=1,DG$1=Units!$Q61),IF(Units!$J61&lt;&gt;"",Units!$J61,Mkt!DG62),Inputs!$B$15*Mkt!DG62+(1-Inputs!$B$15)*MIN(Mkt!DG62,DF62*(1+Inputs!$B$18))),DF62)))</f>
        <v>2922.69193177751</v>
      </c>
      <c r="DH62" s="11" t="n">
        <f aca="false">IF(DH$1&lt;Units!$P61,0,IF(AND(Units!$K61=0,DH$1=Units!$O61),Units!$R61,IF(AND(DH$1&gt;=Units!$Q61,MOD(DH$1-Units!$Q61,12)=0),IF(AND(Units!$L61=1,DH$1=Units!$Q61),IF(Units!$J61&lt;&gt;"",Units!$J61,Mkt!DH62),Inputs!$B$15*Mkt!DH62+(1-Inputs!$B$15)*MIN(Mkt!DH62,DG62*(1+Inputs!$B$18))),DG62)))</f>
        <v>2922.69193177751</v>
      </c>
      <c r="DI62" s="11" t="n">
        <f aca="false">IF(DI$1&lt;Units!$P61,0,IF(AND(Units!$K61=0,DI$1=Units!$O61),Units!$R61,IF(AND(DI$1&gt;=Units!$Q61,MOD(DI$1-Units!$Q61,12)=0),IF(AND(Units!$L61=1,DI$1=Units!$Q61),IF(Units!$J61&lt;&gt;"",Units!$J61,Mkt!DI62),Inputs!$B$15*Mkt!DI62+(1-Inputs!$B$15)*MIN(Mkt!DI62,DH62*(1+Inputs!$B$18))),DH62)))</f>
        <v>2922.69193177751</v>
      </c>
      <c r="DJ62" s="11" t="n">
        <f aca="false">IF(DJ$1&lt;Units!$P61,0,IF(AND(Units!$K61=0,DJ$1=Units!$O61),Units!$R61,IF(AND(DJ$1&gt;=Units!$Q61,MOD(DJ$1-Units!$Q61,12)=0),IF(AND(Units!$L61=1,DJ$1=Units!$Q61),IF(Units!$J61&lt;&gt;"",Units!$J61,Mkt!DJ62),Inputs!$B$15*Mkt!DJ62+(1-Inputs!$B$15)*MIN(Mkt!DJ62,DI62*(1+Inputs!$B$18))),DI62)))</f>
        <v>2922.69193177751</v>
      </c>
      <c r="DK62" s="11" t="n">
        <f aca="false">IF(DK$1&lt;Units!$P61,0,IF(AND(Units!$K61=0,DK$1=Units!$O61),Units!$R61,IF(AND(DK$1&gt;=Units!$Q61,MOD(DK$1-Units!$Q61,12)=0),IF(AND(Units!$L61=1,DK$1=Units!$Q61),IF(Units!$J61&lt;&gt;"",Units!$J61,Mkt!DK62),Inputs!$B$15*Mkt!DK62+(1-Inputs!$B$15)*MIN(Mkt!DK62,DJ62*(1+Inputs!$B$18))),DJ62)))</f>
        <v>2922.69193177751</v>
      </c>
      <c r="DL62" s="11" t="n">
        <f aca="false">IF(DL$1&lt;Units!$P61,0,IF(AND(Units!$K61=0,DL$1=Units!$O61),Units!$R61,IF(AND(DL$1&gt;=Units!$Q61,MOD(DL$1-Units!$Q61,12)=0),IF(AND(Units!$L61=1,DL$1=Units!$Q61),IF(Units!$J61&lt;&gt;"",Units!$J61,Mkt!DL62),Inputs!$B$15*Mkt!DL62+(1-Inputs!$B$15)*MIN(Mkt!DL62,DK62*(1+Inputs!$B$18))),DK62)))</f>
        <v>2922.69193177751</v>
      </c>
      <c r="DM62" s="11" t="n">
        <f aca="false">IF(DM$1&lt;Units!$P61,0,IF(AND(Units!$K61=0,DM$1=Units!$O61),Units!$R61,IF(AND(DM$1&gt;=Units!$Q61,MOD(DM$1-Units!$Q61,12)=0),IF(AND(Units!$L61=1,DM$1=Units!$Q61),IF(Units!$J61&lt;&gt;"",Units!$J61,Mkt!DM62),Inputs!$B$15*Mkt!DM62+(1-Inputs!$B$15)*MIN(Mkt!DM62,DL62*(1+Inputs!$B$18))),DL62)))</f>
        <v>2922.69193177751</v>
      </c>
      <c r="DN62" s="11" t="n">
        <f aca="false">IF(DN$1&lt;Units!$P61,0,IF(AND(Units!$K61=0,DN$1=Units!$O61),Units!$R61,IF(AND(DN$1&gt;=Units!$Q61,MOD(DN$1-Units!$Q61,12)=0),IF(AND(Units!$L61=1,DN$1=Units!$Q61),IF(Units!$J61&lt;&gt;"",Units!$J61,Mkt!DN62),Inputs!$B$15*Mkt!DN62+(1-Inputs!$B$15)*MIN(Mkt!DN62,DM62*(1+Inputs!$B$18))),DM62)))</f>
        <v>2922.69193177751</v>
      </c>
      <c r="DO62" s="11" t="n">
        <f aca="false">IF(DO$1&lt;Units!$P61,0,IF(AND(Units!$K61=0,DO$1=Units!$O61),Units!$R61,IF(AND(DO$1&gt;=Units!$Q61,MOD(DO$1-Units!$Q61,12)=0),IF(AND(Units!$L61=1,DO$1=Units!$Q61),IF(Units!$J61&lt;&gt;"",Units!$J61,Mkt!DO62),Inputs!$B$15*Mkt!DO62+(1-Inputs!$B$15)*MIN(Mkt!DO62,DN62*(1+Inputs!$B$18))),DN62)))</f>
        <v>2922.69193177751</v>
      </c>
      <c r="DP62" s="11" t="n">
        <f aca="false">IF(DP$1&lt;Units!$P61,0,IF(AND(Units!$K61=0,DP$1=Units!$O61),Units!$R61,IF(AND(DP$1&gt;=Units!$Q61,MOD(DP$1-Units!$Q61,12)=0),IF(AND(Units!$L61=1,DP$1=Units!$Q61),IF(Units!$J61&lt;&gt;"",Units!$J61,Mkt!DP62),Inputs!$B$15*Mkt!DP62+(1-Inputs!$B$15)*MIN(Mkt!DP62,DO62*(1+Inputs!$B$18))),DO62)))</f>
        <v>2922.69193177751</v>
      </c>
      <c r="DQ62" s="11" t="n">
        <f aca="false">IF(DQ$1&lt;Units!$P61,0,IF(AND(Units!$K61=0,DQ$1=Units!$O61),Units!$R61,IF(AND(DQ$1&gt;=Units!$Q61,MOD(DQ$1-Units!$Q61,12)=0),IF(AND(Units!$L61=1,DQ$1=Units!$Q61),IF(Units!$J61&lt;&gt;"",Units!$J61,Mkt!DQ62),Inputs!$B$15*Mkt!DQ62+(1-Inputs!$B$15)*MIN(Mkt!DQ62,DP62*(1+Inputs!$B$18))),DP62)))</f>
        <v>2922.69193177751</v>
      </c>
      <c r="DR62" s="11" t="n">
        <f aca="false">IF(DR$1&lt;Units!$P61,0,IF(AND(Units!$K61=0,DR$1=Units!$O61),Units!$R61,IF(AND(DR$1&gt;=Units!$Q61,MOD(DR$1-Units!$Q61,12)=0),IF(AND(Units!$L61=1,DR$1=Units!$Q61),IF(Units!$J61&lt;&gt;"",Units!$J61,Mkt!DR62),Inputs!$B$15*Mkt!DR62+(1-Inputs!$B$15)*MIN(Mkt!DR62,DQ62*(1+Inputs!$B$18))),DQ62)))</f>
        <v>2922.69193177751</v>
      </c>
      <c r="DS62" s="11" t="n">
        <f aca="false">IF(DS$1&lt;Units!$P61,0,IF(AND(Units!$K61=0,DS$1=Units!$O61),Units!$R61,IF(AND(DS$1&gt;=Units!$Q61,MOD(DS$1-Units!$Q61,12)=0),IF(AND(Units!$L61=1,DS$1=Units!$Q61),IF(Units!$J61&lt;&gt;"",Units!$J61,Mkt!DS62),Inputs!$B$15*Mkt!DS62+(1-Inputs!$B$15)*MIN(Mkt!DS62,DR62*(1+Inputs!$B$18))),DR62)))</f>
        <v>3010.37268973083</v>
      </c>
      <c r="DT62" s="11" t="n">
        <f aca="false">IF(DT$1&lt;Units!$P61,0,IF(AND(Units!$K61=0,DT$1=Units!$O61),Units!$R61,IF(AND(DT$1&gt;=Units!$Q61,MOD(DT$1-Units!$Q61,12)=0),IF(AND(Units!$L61=1,DT$1=Units!$Q61),IF(Units!$J61&lt;&gt;"",Units!$J61,Mkt!DT62),Inputs!$B$15*Mkt!DT62+(1-Inputs!$B$15)*MIN(Mkt!DT62,DS62*(1+Inputs!$B$18))),DS62)))</f>
        <v>3010.37268973083</v>
      </c>
      <c r="DU62" s="11" t="n">
        <f aca="false">IF(DU$1&lt;Units!$P61,0,IF(AND(Units!$K61=0,DU$1=Units!$O61),Units!$R61,IF(AND(DU$1&gt;=Units!$Q61,MOD(DU$1-Units!$Q61,12)=0),IF(AND(Units!$L61=1,DU$1=Units!$Q61),IF(Units!$J61&lt;&gt;"",Units!$J61,Mkt!DU62),Inputs!$B$15*Mkt!DU62+(1-Inputs!$B$15)*MIN(Mkt!DU62,DT62*(1+Inputs!$B$18))),DT62)))</f>
        <v>3010.37268973083</v>
      </c>
      <c r="DV62" s="11" t="n">
        <f aca="false">IF(DV$1&lt;Units!$P61,0,IF(AND(Units!$K61=0,DV$1=Units!$O61),Units!$R61,IF(AND(DV$1&gt;=Units!$Q61,MOD(DV$1-Units!$Q61,12)=0),IF(AND(Units!$L61=1,DV$1=Units!$Q61),IF(Units!$J61&lt;&gt;"",Units!$J61,Mkt!DV62),Inputs!$B$15*Mkt!DV62+(1-Inputs!$B$15)*MIN(Mkt!DV62,DU62*(1+Inputs!$B$18))),DU62)))</f>
        <v>3010.37268973083</v>
      </c>
      <c r="DW62" s="11" t="n">
        <f aca="false">IF(DW$1&lt;Units!$P61,0,IF(AND(Units!$K61=0,DW$1=Units!$O61),Units!$R61,IF(AND(DW$1&gt;=Units!$Q61,MOD(DW$1-Units!$Q61,12)=0),IF(AND(Units!$L61=1,DW$1=Units!$Q61),IF(Units!$J61&lt;&gt;"",Units!$J61,Mkt!DW62),Inputs!$B$15*Mkt!DW62+(1-Inputs!$B$15)*MIN(Mkt!DW62,DV62*(1+Inputs!$B$18))),DV62)))</f>
        <v>3010.37268973083</v>
      </c>
      <c r="DX62" s="11" t="n">
        <f aca="false">IF(DX$1&lt;Units!$P61,0,IF(AND(Units!$K61=0,DX$1=Units!$O61),Units!$R61,IF(AND(DX$1&gt;=Units!$Q61,MOD(DX$1-Units!$Q61,12)=0),IF(AND(Units!$L61=1,DX$1=Units!$Q61),IF(Units!$J61&lt;&gt;"",Units!$J61,Mkt!DX62),Inputs!$B$15*Mkt!DX62+(1-Inputs!$B$15)*MIN(Mkt!DX62,DW62*(1+Inputs!$B$18))),DW62)))</f>
        <v>3010.37268973083</v>
      </c>
      <c r="DY62" s="11" t="n">
        <f aca="false">IF(DY$1&lt;Units!$P61,0,IF(AND(Units!$K61=0,DY$1=Units!$O61),Units!$R61,IF(AND(DY$1&gt;=Units!$Q61,MOD(DY$1-Units!$Q61,12)=0),IF(AND(Units!$L61=1,DY$1=Units!$Q61),IF(Units!$J61&lt;&gt;"",Units!$J61,Mkt!DY62),Inputs!$B$15*Mkt!DY62+(1-Inputs!$B$15)*MIN(Mkt!DY62,DX62*(1+Inputs!$B$18))),DX62)))</f>
        <v>3010.37268973083</v>
      </c>
      <c r="DZ62" s="11" t="n">
        <f aca="false">IF(DZ$1&lt;Units!$P61,0,IF(AND(Units!$K61=0,DZ$1=Units!$O61),Units!$R61,IF(AND(DZ$1&gt;=Units!$Q61,MOD(DZ$1-Units!$Q61,12)=0),IF(AND(Units!$L61=1,DZ$1=Units!$Q61),IF(Units!$J61&lt;&gt;"",Units!$J61,Mkt!DZ62),Inputs!$B$15*Mkt!DZ62+(1-Inputs!$B$15)*MIN(Mkt!DZ62,DY62*(1+Inputs!$B$18))),DY62)))</f>
        <v>3010.37268973083</v>
      </c>
      <c r="EA62" s="11" t="n">
        <f aca="false">IF(EA$1&lt;Units!$P61,0,IF(AND(Units!$K61=0,EA$1=Units!$O61),Units!$R61,IF(AND(EA$1&gt;=Units!$Q61,MOD(EA$1-Units!$Q61,12)=0),IF(AND(Units!$L61=1,EA$1=Units!$Q61),IF(Units!$J61&lt;&gt;"",Units!$J61,Mkt!EA62),Inputs!$B$15*Mkt!EA62+(1-Inputs!$B$15)*MIN(Mkt!EA62,DZ62*(1+Inputs!$B$18))),DZ62)))</f>
        <v>3010.37268973083</v>
      </c>
      <c r="EB62" s="11" t="n">
        <f aca="false">IF(EB$1&lt;Units!$P61,0,IF(AND(Units!$K61=0,EB$1=Units!$O61),Units!$R61,IF(AND(EB$1&gt;=Units!$Q61,MOD(EB$1-Units!$Q61,12)=0),IF(AND(Units!$L61=1,EB$1=Units!$Q61),IF(Units!$J61&lt;&gt;"",Units!$J61,Mkt!EB62),Inputs!$B$15*Mkt!EB62+(1-Inputs!$B$15)*MIN(Mkt!EB62,EA62*(1+Inputs!$B$18))),EA62)))</f>
        <v>3010.37268973083</v>
      </c>
      <c r="EC62" s="11" t="n">
        <f aca="false">IF(EC$1&lt;Units!$P61,0,IF(AND(Units!$K61=0,EC$1=Units!$O61),Units!$R61,IF(AND(EC$1&gt;=Units!$Q61,MOD(EC$1-Units!$Q61,12)=0),IF(AND(Units!$L61=1,EC$1=Units!$Q61),IF(Units!$J61&lt;&gt;"",Units!$J61,Mkt!EC62),Inputs!$B$15*Mkt!EC62+(1-Inputs!$B$15)*MIN(Mkt!EC62,EB62*(1+Inputs!$B$18))),EB62)))</f>
        <v>3010.37268973083</v>
      </c>
      <c r="ED62" s="11" t="n">
        <f aca="false">IF(ED$1&lt;Units!$P61,0,IF(AND(Units!$K61=0,ED$1=Units!$O61),Units!$R61,IF(AND(ED$1&gt;=Units!$Q61,MOD(ED$1-Units!$Q61,12)=0),IF(AND(Units!$L61=1,ED$1=Units!$Q61),IF(Units!$J61&lt;&gt;"",Units!$J61,Mkt!ED62),Inputs!$B$15*Mkt!ED62+(1-Inputs!$B$15)*MIN(Mkt!ED62,EC62*(1+Inputs!$B$18))),EC62)))</f>
        <v>3010.37268973083</v>
      </c>
    </row>
    <row r="63" customFormat="false" ht="15" hidden="false" customHeight="false" outlineLevel="0" collapsed="false">
      <c r="A63" s="22" t="n">
        <f aca="false">Units!A62</f>
        <v>301</v>
      </c>
      <c r="B63" s="24" t="n">
        <f aca="false">IF(Units!K62=1,Units!F62,0)</f>
        <v>1555</v>
      </c>
      <c r="C63" s="11" t="n">
        <f aca="false">IF(C$1&lt;Units!$P62,0,IF(AND(Units!$K62=0,C$1=Units!$O62),Units!$R62,IF(AND(C$1&gt;=Units!$Q62,MOD(C$1-Units!$Q62,12)=0),IF(AND(Units!$L62=1,C$1=Units!$Q62),IF(Units!$J62&lt;&gt;"",Units!$J62,Mkt!C63),Inputs!$B$15*Mkt!C63+(1-Inputs!$B$15)*MIN(Mkt!C63,B63*(1+Inputs!$B$18))),B63)))</f>
        <v>1525</v>
      </c>
      <c r="D63" s="11" t="n">
        <f aca="false">IF(D$1&lt;Units!$P62,0,IF(AND(Units!$K62=0,D$1=Units!$O62),Units!$R62,IF(AND(D$1&gt;=Units!$Q62,MOD(D$1-Units!$Q62,12)=0),IF(AND(Units!$L62=1,D$1=Units!$Q62),IF(Units!$J62&lt;&gt;"",Units!$J62,Mkt!D63),Inputs!$B$15*Mkt!D63+(1-Inputs!$B$15)*MIN(Mkt!D63,C63*(1+Inputs!$B$18))),C63)))</f>
        <v>1525</v>
      </c>
      <c r="E63" s="11" t="n">
        <f aca="false">IF(E$1&lt;Units!$P62,0,IF(AND(Units!$K62=0,E$1=Units!$O62),Units!$R62,IF(AND(E$1&gt;=Units!$Q62,MOD(E$1-Units!$Q62,12)=0),IF(AND(Units!$L62=1,E$1=Units!$Q62),IF(Units!$J62&lt;&gt;"",Units!$J62,Mkt!E63),Inputs!$B$15*Mkt!E63+(1-Inputs!$B$15)*MIN(Mkt!E63,D63*(1+Inputs!$B$18))),D63)))</f>
        <v>1525</v>
      </c>
      <c r="F63" s="11" t="n">
        <f aca="false">IF(F$1&lt;Units!$P62,0,IF(AND(Units!$K62=0,F$1=Units!$O62),Units!$R62,IF(AND(F$1&gt;=Units!$Q62,MOD(F$1-Units!$Q62,12)=0),IF(AND(Units!$L62=1,F$1=Units!$Q62),IF(Units!$J62&lt;&gt;"",Units!$J62,Mkt!F63),Inputs!$B$15*Mkt!F63+(1-Inputs!$B$15)*MIN(Mkt!F63,E63*(1+Inputs!$B$18))),E63)))</f>
        <v>1525</v>
      </c>
      <c r="G63" s="11" t="n">
        <f aca="false">IF(G$1&lt;Units!$P62,0,IF(AND(Units!$K62=0,G$1=Units!$O62),Units!$R62,IF(AND(G$1&gt;=Units!$Q62,MOD(G$1-Units!$Q62,12)=0),IF(AND(Units!$L62=1,G$1=Units!$Q62),IF(Units!$J62&lt;&gt;"",Units!$J62,Mkt!G63),Inputs!$B$15*Mkt!G63+(1-Inputs!$B$15)*MIN(Mkt!G63,F63*(1+Inputs!$B$18))),F63)))</f>
        <v>1525</v>
      </c>
      <c r="H63" s="11" t="n">
        <f aca="false">IF(H$1&lt;Units!$P62,0,IF(AND(Units!$K62=0,H$1=Units!$O62),Units!$R62,IF(AND(H$1&gt;=Units!$Q62,MOD(H$1-Units!$Q62,12)=0),IF(AND(Units!$L62=1,H$1=Units!$Q62),IF(Units!$J62&lt;&gt;"",Units!$J62,Mkt!H63),Inputs!$B$15*Mkt!H63+(1-Inputs!$B$15)*MIN(Mkt!H63,G63*(1+Inputs!$B$18))),G63)))</f>
        <v>1525</v>
      </c>
      <c r="I63" s="11" t="n">
        <f aca="false">IF(I$1&lt;Units!$P62,0,IF(AND(Units!$K62=0,I$1=Units!$O62),Units!$R62,IF(AND(I$1&gt;=Units!$Q62,MOD(I$1-Units!$Q62,12)=0),IF(AND(Units!$L62=1,I$1=Units!$Q62),IF(Units!$J62&lt;&gt;"",Units!$J62,Mkt!I63),Inputs!$B$15*Mkt!I63+(1-Inputs!$B$15)*MIN(Mkt!I63,H63*(1+Inputs!$B$18))),H63)))</f>
        <v>1525</v>
      </c>
      <c r="J63" s="11" t="n">
        <f aca="false">IF(J$1&lt;Units!$P62,0,IF(AND(Units!$K62=0,J$1=Units!$O62),Units!$R62,IF(AND(J$1&gt;=Units!$Q62,MOD(J$1-Units!$Q62,12)=0),IF(AND(Units!$L62=1,J$1=Units!$Q62),IF(Units!$J62&lt;&gt;"",Units!$J62,Mkt!J63),Inputs!$B$15*Mkt!J63+(1-Inputs!$B$15)*MIN(Mkt!J63,I63*(1+Inputs!$B$18))),I63)))</f>
        <v>1525</v>
      </c>
      <c r="K63" s="11" t="n">
        <f aca="false">IF(K$1&lt;Units!$P62,0,IF(AND(Units!$K62=0,K$1=Units!$O62),Units!$R62,IF(AND(K$1&gt;=Units!$Q62,MOD(K$1-Units!$Q62,12)=0),IF(AND(Units!$L62=1,K$1=Units!$Q62),IF(Units!$J62&lt;&gt;"",Units!$J62,Mkt!K63),Inputs!$B$15*Mkt!K63+(1-Inputs!$B$15)*MIN(Mkt!K63,J63*(1+Inputs!$B$18))),J63)))</f>
        <v>1525</v>
      </c>
      <c r="L63" s="11" t="n">
        <f aca="false">IF(L$1&lt;Units!$P62,0,IF(AND(Units!$K62=0,L$1=Units!$O62),Units!$R62,IF(AND(L$1&gt;=Units!$Q62,MOD(L$1-Units!$Q62,12)=0),IF(AND(Units!$L62=1,L$1=Units!$Q62),IF(Units!$J62&lt;&gt;"",Units!$J62,Mkt!L63),Inputs!$B$15*Mkt!L63+(1-Inputs!$B$15)*MIN(Mkt!L63,K63*(1+Inputs!$B$18))),K63)))</f>
        <v>1525</v>
      </c>
      <c r="M63" s="11" t="n">
        <f aca="false">IF(M$1&lt;Units!$P62,0,IF(AND(Units!$K62=0,M$1=Units!$O62),Units!$R62,IF(AND(M$1&gt;=Units!$Q62,MOD(M$1-Units!$Q62,12)=0),IF(AND(Units!$L62=1,M$1=Units!$Q62),IF(Units!$J62&lt;&gt;"",Units!$J62,Mkt!M63),Inputs!$B$15*Mkt!M63+(1-Inputs!$B$15)*MIN(Mkt!M63,L63*(1+Inputs!$B$18))),L63)))</f>
        <v>1525</v>
      </c>
      <c r="N63" s="11" t="n">
        <f aca="false">IF(N$1&lt;Units!$P62,0,IF(AND(Units!$K62=0,N$1=Units!$O62),Units!$R62,IF(AND(N$1&gt;=Units!$Q62,MOD(N$1-Units!$Q62,12)=0),IF(AND(Units!$L62=1,N$1=Units!$Q62),IF(Units!$J62&lt;&gt;"",Units!$J62,Mkt!N63),Inputs!$B$15*Mkt!N63+(1-Inputs!$B$15)*MIN(Mkt!N63,M63*(1+Inputs!$B$18))),M63)))</f>
        <v>1525</v>
      </c>
      <c r="O63" s="11" t="n">
        <f aca="false">IF(O$1&lt;Units!$P62,0,IF(AND(Units!$K62=0,O$1=Units!$O62),Units!$R62,IF(AND(O$1&gt;=Units!$Q62,MOD(O$1-Units!$Q62,12)=0),IF(AND(Units!$L62=1,O$1=Units!$Q62),IF(Units!$J62&lt;&gt;"",Units!$J62,Mkt!O63),Inputs!$B$15*Mkt!O63+(1-Inputs!$B$15)*MIN(Mkt!O63,N63*(1+Inputs!$B$18))),N63)))</f>
        <v>1570.75</v>
      </c>
      <c r="P63" s="11" t="n">
        <f aca="false">IF(P$1&lt;Units!$P62,0,IF(AND(Units!$K62=0,P$1=Units!$O62),Units!$R62,IF(AND(P$1&gt;=Units!$Q62,MOD(P$1-Units!$Q62,12)=0),IF(AND(Units!$L62=1,P$1=Units!$Q62),IF(Units!$J62&lt;&gt;"",Units!$J62,Mkt!P63),Inputs!$B$15*Mkt!P63+(1-Inputs!$B$15)*MIN(Mkt!P63,O63*(1+Inputs!$B$18))),O63)))</f>
        <v>1570.75</v>
      </c>
      <c r="Q63" s="11" t="n">
        <f aca="false">IF(Q$1&lt;Units!$P62,0,IF(AND(Units!$K62=0,Q$1=Units!$O62),Units!$R62,IF(AND(Q$1&gt;=Units!$Q62,MOD(Q$1-Units!$Q62,12)=0),IF(AND(Units!$L62=1,Q$1=Units!$Q62),IF(Units!$J62&lt;&gt;"",Units!$J62,Mkt!Q63),Inputs!$B$15*Mkt!Q63+(1-Inputs!$B$15)*MIN(Mkt!Q63,P63*(1+Inputs!$B$18))),P63)))</f>
        <v>1570.75</v>
      </c>
      <c r="R63" s="11" t="n">
        <f aca="false">IF(R$1&lt;Units!$P62,0,IF(AND(Units!$K62=0,R$1=Units!$O62),Units!$R62,IF(AND(R$1&gt;=Units!$Q62,MOD(R$1-Units!$Q62,12)=0),IF(AND(Units!$L62=1,R$1=Units!$Q62),IF(Units!$J62&lt;&gt;"",Units!$J62,Mkt!R63),Inputs!$B$15*Mkt!R63+(1-Inputs!$B$15)*MIN(Mkt!R63,Q63*(1+Inputs!$B$18))),Q63)))</f>
        <v>1570.75</v>
      </c>
      <c r="S63" s="11" t="n">
        <f aca="false">IF(S$1&lt;Units!$P62,0,IF(AND(Units!$K62=0,S$1=Units!$O62),Units!$R62,IF(AND(S$1&gt;=Units!$Q62,MOD(S$1-Units!$Q62,12)=0),IF(AND(Units!$L62=1,S$1=Units!$Q62),IF(Units!$J62&lt;&gt;"",Units!$J62,Mkt!S63),Inputs!$B$15*Mkt!S63+(1-Inputs!$B$15)*MIN(Mkt!S63,R63*(1+Inputs!$B$18))),R63)))</f>
        <v>1570.75</v>
      </c>
      <c r="T63" s="11" t="n">
        <f aca="false">IF(T$1&lt;Units!$P62,0,IF(AND(Units!$K62=0,T$1=Units!$O62),Units!$R62,IF(AND(T$1&gt;=Units!$Q62,MOD(T$1-Units!$Q62,12)=0),IF(AND(Units!$L62=1,T$1=Units!$Q62),IF(Units!$J62&lt;&gt;"",Units!$J62,Mkt!T63),Inputs!$B$15*Mkt!T63+(1-Inputs!$B$15)*MIN(Mkt!T63,S63*(1+Inputs!$B$18))),S63)))</f>
        <v>1570.75</v>
      </c>
      <c r="U63" s="11" t="n">
        <f aca="false">IF(U$1&lt;Units!$P62,0,IF(AND(Units!$K62=0,U$1=Units!$O62),Units!$R62,IF(AND(U$1&gt;=Units!$Q62,MOD(U$1-Units!$Q62,12)=0),IF(AND(Units!$L62=1,U$1=Units!$Q62),IF(Units!$J62&lt;&gt;"",Units!$J62,Mkt!U63),Inputs!$B$15*Mkt!U63+(1-Inputs!$B$15)*MIN(Mkt!U63,T63*(1+Inputs!$B$18))),T63)))</f>
        <v>1570.75</v>
      </c>
      <c r="V63" s="11" t="n">
        <f aca="false">IF(V$1&lt;Units!$P62,0,IF(AND(Units!$K62=0,V$1=Units!$O62),Units!$R62,IF(AND(V$1&gt;=Units!$Q62,MOD(V$1-Units!$Q62,12)=0),IF(AND(Units!$L62=1,V$1=Units!$Q62),IF(Units!$J62&lt;&gt;"",Units!$J62,Mkt!V63),Inputs!$B$15*Mkt!V63+(1-Inputs!$B$15)*MIN(Mkt!V63,U63*(1+Inputs!$B$18))),U63)))</f>
        <v>1570.75</v>
      </c>
      <c r="W63" s="11" t="n">
        <f aca="false">IF(W$1&lt;Units!$P62,0,IF(AND(Units!$K62=0,W$1=Units!$O62),Units!$R62,IF(AND(W$1&gt;=Units!$Q62,MOD(W$1-Units!$Q62,12)=0),IF(AND(Units!$L62=1,W$1=Units!$Q62),IF(Units!$J62&lt;&gt;"",Units!$J62,Mkt!W63),Inputs!$B$15*Mkt!W63+(1-Inputs!$B$15)*MIN(Mkt!W63,V63*(1+Inputs!$B$18))),V63)))</f>
        <v>1570.75</v>
      </c>
      <c r="X63" s="11" t="n">
        <f aca="false">IF(X$1&lt;Units!$P62,0,IF(AND(Units!$K62=0,X$1=Units!$O62),Units!$R62,IF(AND(X$1&gt;=Units!$Q62,MOD(X$1-Units!$Q62,12)=0),IF(AND(Units!$L62=1,X$1=Units!$Q62),IF(Units!$J62&lt;&gt;"",Units!$J62,Mkt!X63),Inputs!$B$15*Mkt!X63+(1-Inputs!$B$15)*MIN(Mkt!X63,W63*(1+Inputs!$B$18))),W63)))</f>
        <v>1570.75</v>
      </c>
      <c r="Y63" s="11" t="n">
        <f aca="false">IF(Y$1&lt;Units!$P62,0,IF(AND(Units!$K62=0,Y$1=Units!$O62),Units!$R62,IF(AND(Y$1&gt;=Units!$Q62,MOD(Y$1-Units!$Q62,12)=0),IF(AND(Units!$L62=1,Y$1=Units!$Q62),IF(Units!$J62&lt;&gt;"",Units!$J62,Mkt!Y63),Inputs!$B$15*Mkt!Y63+(1-Inputs!$B$15)*MIN(Mkt!Y63,X63*(1+Inputs!$B$18))),X63)))</f>
        <v>1570.75</v>
      </c>
      <c r="Z63" s="11" t="n">
        <f aca="false">IF(Z$1&lt;Units!$P62,0,IF(AND(Units!$K62=0,Z$1=Units!$O62),Units!$R62,IF(AND(Z$1&gt;=Units!$Q62,MOD(Z$1-Units!$Q62,12)=0),IF(AND(Units!$L62=1,Z$1=Units!$Q62),IF(Units!$J62&lt;&gt;"",Units!$J62,Mkt!Z63),Inputs!$B$15*Mkt!Z63+(1-Inputs!$B$15)*MIN(Mkt!Z63,Y63*(1+Inputs!$B$18))),Y63)))</f>
        <v>1570.75</v>
      </c>
      <c r="AA63" s="11" t="n">
        <f aca="false">IF(AA$1&lt;Units!$P62,0,IF(AND(Units!$K62=0,AA$1=Units!$O62),Units!$R62,IF(AND(AA$1&gt;=Units!$Q62,MOD(AA$1-Units!$Q62,12)=0),IF(AND(Units!$L62=1,AA$1=Units!$Q62),IF(Units!$J62&lt;&gt;"",Units!$J62,Mkt!AA63),Inputs!$B$15*Mkt!AA63+(1-Inputs!$B$15)*MIN(Mkt!AA63,Z63*(1+Inputs!$B$18))),Z63)))</f>
        <v>1617.8725</v>
      </c>
      <c r="AB63" s="11" t="n">
        <f aca="false">IF(AB$1&lt;Units!$P62,0,IF(AND(Units!$K62=0,AB$1=Units!$O62),Units!$R62,IF(AND(AB$1&gt;=Units!$Q62,MOD(AB$1-Units!$Q62,12)=0),IF(AND(Units!$L62=1,AB$1=Units!$Q62),IF(Units!$J62&lt;&gt;"",Units!$J62,Mkt!AB63),Inputs!$B$15*Mkt!AB63+(1-Inputs!$B$15)*MIN(Mkt!AB63,AA63*(1+Inputs!$B$18))),AA63)))</f>
        <v>1617.8725</v>
      </c>
      <c r="AC63" s="11" t="n">
        <f aca="false">IF(AC$1&lt;Units!$P62,0,IF(AND(Units!$K62=0,AC$1=Units!$O62),Units!$R62,IF(AND(AC$1&gt;=Units!$Q62,MOD(AC$1-Units!$Q62,12)=0),IF(AND(Units!$L62=1,AC$1=Units!$Q62),IF(Units!$J62&lt;&gt;"",Units!$J62,Mkt!AC63),Inputs!$B$15*Mkt!AC63+(1-Inputs!$B$15)*MIN(Mkt!AC63,AB63*(1+Inputs!$B$18))),AB63)))</f>
        <v>1617.8725</v>
      </c>
      <c r="AD63" s="11" t="n">
        <f aca="false">IF(AD$1&lt;Units!$P62,0,IF(AND(Units!$K62=0,AD$1=Units!$O62),Units!$R62,IF(AND(AD$1&gt;=Units!$Q62,MOD(AD$1-Units!$Q62,12)=0),IF(AND(Units!$L62=1,AD$1=Units!$Q62),IF(Units!$J62&lt;&gt;"",Units!$J62,Mkt!AD63),Inputs!$B$15*Mkt!AD63+(1-Inputs!$B$15)*MIN(Mkt!AD63,AC63*(1+Inputs!$B$18))),AC63)))</f>
        <v>1617.8725</v>
      </c>
      <c r="AE63" s="11" t="n">
        <f aca="false">IF(AE$1&lt;Units!$P62,0,IF(AND(Units!$K62=0,AE$1=Units!$O62),Units!$R62,IF(AND(AE$1&gt;=Units!$Q62,MOD(AE$1-Units!$Q62,12)=0),IF(AND(Units!$L62=1,AE$1=Units!$Q62),IF(Units!$J62&lt;&gt;"",Units!$J62,Mkt!AE63),Inputs!$B$15*Mkt!AE63+(1-Inputs!$B$15)*MIN(Mkt!AE63,AD63*(1+Inputs!$B$18))),AD63)))</f>
        <v>1617.8725</v>
      </c>
      <c r="AF63" s="11" t="n">
        <f aca="false">IF(AF$1&lt;Units!$P62,0,IF(AND(Units!$K62=0,AF$1=Units!$O62),Units!$R62,IF(AND(AF$1&gt;=Units!$Q62,MOD(AF$1-Units!$Q62,12)=0),IF(AND(Units!$L62=1,AF$1=Units!$Q62),IF(Units!$J62&lt;&gt;"",Units!$J62,Mkt!AF63),Inputs!$B$15*Mkt!AF63+(1-Inputs!$B$15)*MIN(Mkt!AF63,AE63*(1+Inputs!$B$18))),AE63)))</f>
        <v>1617.8725</v>
      </c>
      <c r="AG63" s="11" t="n">
        <f aca="false">IF(AG$1&lt;Units!$P62,0,IF(AND(Units!$K62=0,AG$1=Units!$O62),Units!$R62,IF(AND(AG$1&gt;=Units!$Q62,MOD(AG$1-Units!$Q62,12)=0),IF(AND(Units!$L62=1,AG$1=Units!$Q62),IF(Units!$J62&lt;&gt;"",Units!$J62,Mkt!AG63),Inputs!$B$15*Mkt!AG63+(1-Inputs!$B$15)*MIN(Mkt!AG63,AF63*(1+Inputs!$B$18))),AF63)))</f>
        <v>1617.8725</v>
      </c>
      <c r="AH63" s="11" t="n">
        <f aca="false">IF(AH$1&lt;Units!$P62,0,IF(AND(Units!$K62=0,AH$1=Units!$O62),Units!$R62,IF(AND(AH$1&gt;=Units!$Q62,MOD(AH$1-Units!$Q62,12)=0),IF(AND(Units!$L62=1,AH$1=Units!$Q62),IF(Units!$J62&lt;&gt;"",Units!$J62,Mkt!AH63),Inputs!$B$15*Mkt!AH63+(1-Inputs!$B$15)*MIN(Mkt!AH63,AG63*(1+Inputs!$B$18))),AG63)))</f>
        <v>1617.8725</v>
      </c>
      <c r="AI63" s="11" t="n">
        <f aca="false">IF(AI$1&lt;Units!$P62,0,IF(AND(Units!$K62=0,AI$1=Units!$O62),Units!$R62,IF(AND(AI$1&gt;=Units!$Q62,MOD(AI$1-Units!$Q62,12)=0),IF(AND(Units!$L62=1,AI$1=Units!$Q62),IF(Units!$J62&lt;&gt;"",Units!$J62,Mkt!AI63),Inputs!$B$15*Mkt!AI63+(1-Inputs!$B$15)*MIN(Mkt!AI63,AH63*(1+Inputs!$B$18))),AH63)))</f>
        <v>1617.8725</v>
      </c>
      <c r="AJ63" s="11" t="n">
        <f aca="false">IF(AJ$1&lt;Units!$P62,0,IF(AND(Units!$K62=0,AJ$1=Units!$O62),Units!$R62,IF(AND(AJ$1&gt;=Units!$Q62,MOD(AJ$1-Units!$Q62,12)=0),IF(AND(Units!$L62=1,AJ$1=Units!$Q62),IF(Units!$J62&lt;&gt;"",Units!$J62,Mkt!AJ63),Inputs!$B$15*Mkt!AJ63+(1-Inputs!$B$15)*MIN(Mkt!AJ63,AI63*(1+Inputs!$B$18))),AI63)))</f>
        <v>1617.8725</v>
      </c>
      <c r="AK63" s="11" t="n">
        <f aca="false">IF(AK$1&lt;Units!$P62,0,IF(AND(Units!$K62=0,AK$1=Units!$O62),Units!$R62,IF(AND(AK$1&gt;=Units!$Q62,MOD(AK$1-Units!$Q62,12)=0),IF(AND(Units!$L62=1,AK$1=Units!$Q62),IF(Units!$J62&lt;&gt;"",Units!$J62,Mkt!AK63),Inputs!$B$15*Mkt!AK63+(1-Inputs!$B$15)*MIN(Mkt!AK63,AJ63*(1+Inputs!$B$18))),AJ63)))</f>
        <v>1617.8725</v>
      </c>
      <c r="AL63" s="11" t="n">
        <f aca="false">IF(AL$1&lt;Units!$P62,0,IF(AND(Units!$K62=0,AL$1=Units!$O62),Units!$R62,IF(AND(AL$1&gt;=Units!$Q62,MOD(AL$1-Units!$Q62,12)=0),IF(AND(Units!$L62=1,AL$1=Units!$Q62),IF(Units!$J62&lt;&gt;"",Units!$J62,Mkt!AL63),Inputs!$B$15*Mkt!AL63+(1-Inputs!$B$15)*MIN(Mkt!AL63,AK63*(1+Inputs!$B$18))),AK63)))</f>
        <v>1617.8725</v>
      </c>
      <c r="AM63" s="11" t="n">
        <f aca="false">IF(AM$1&lt;Units!$P62,0,IF(AND(Units!$K62=0,AM$1=Units!$O62),Units!$R62,IF(AND(AM$1&gt;=Units!$Q62,MOD(AM$1-Units!$Q62,12)=0),IF(AND(Units!$L62=1,AM$1=Units!$Q62),IF(Units!$J62&lt;&gt;"",Units!$J62,Mkt!AM63),Inputs!$B$15*Mkt!AM63+(1-Inputs!$B$15)*MIN(Mkt!AM63,AL63*(1+Inputs!$B$18))),AL63)))</f>
        <v>1666.408675</v>
      </c>
      <c r="AN63" s="11" t="n">
        <f aca="false">IF(AN$1&lt;Units!$P62,0,IF(AND(Units!$K62=0,AN$1=Units!$O62),Units!$R62,IF(AND(AN$1&gt;=Units!$Q62,MOD(AN$1-Units!$Q62,12)=0),IF(AND(Units!$L62=1,AN$1=Units!$Q62),IF(Units!$J62&lt;&gt;"",Units!$J62,Mkt!AN63),Inputs!$B$15*Mkt!AN63+(1-Inputs!$B$15)*MIN(Mkt!AN63,AM63*(1+Inputs!$B$18))),AM63)))</f>
        <v>1666.408675</v>
      </c>
      <c r="AO63" s="11" t="n">
        <f aca="false">IF(AO$1&lt;Units!$P62,0,IF(AND(Units!$K62=0,AO$1=Units!$O62),Units!$R62,IF(AND(AO$1&gt;=Units!$Q62,MOD(AO$1-Units!$Q62,12)=0),IF(AND(Units!$L62=1,AO$1=Units!$Q62),IF(Units!$J62&lt;&gt;"",Units!$J62,Mkt!AO63),Inputs!$B$15*Mkt!AO63+(1-Inputs!$B$15)*MIN(Mkt!AO63,AN63*(1+Inputs!$B$18))),AN63)))</f>
        <v>1666.408675</v>
      </c>
      <c r="AP63" s="11" t="n">
        <f aca="false">IF(AP$1&lt;Units!$P62,0,IF(AND(Units!$K62=0,AP$1=Units!$O62),Units!$R62,IF(AND(AP$1&gt;=Units!$Q62,MOD(AP$1-Units!$Q62,12)=0),IF(AND(Units!$L62=1,AP$1=Units!$Q62),IF(Units!$J62&lt;&gt;"",Units!$J62,Mkt!AP63),Inputs!$B$15*Mkt!AP63+(1-Inputs!$B$15)*MIN(Mkt!AP63,AO63*(1+Inputs!$B$18))),AO63)))</f>
        <v>1666.408675</v>
      </c>
      <c r="AQ63" s="11" t="n">
        <f aca="false">IF(AQ$1&lt;Units!$P62,0,IF(AND(Units!$K62=0,AQ$1=Units!$O62),Units!$R62,IF(AND(AQ$1&gt;=Units!$Q62,MOD(AQ$1-Units!$Q62,12)=0),IF(AND(Units!$L62=1,AQ$1=Units!$Q62),IF(Units!$J62&lt;&gt;"",Units!$J62,Mkt!AQ63),Inputs!$B$15*Mkt!AQ63+(1-Inputs!$B$15)*MIN(Mkt!AQ63,AP63*(1+Inputs!$B$18))),AP63)))</f>
        <v>1666.408675</v>
      </c>
      <c r="AR63" s="11" t="n">
        <f aca="false">IF(AR$1&lt;Units!$P62,0,IF(AND(Units!$K62=0,AR$1=Units!$O62),Units!$R62,IF(AND(AR$1&gt;=Units!$Q62,MOD(AR$1-Units!$Q62,12)=0),IF(AND(Units!$L62=1,AR$1=Units!$Q62),IF(Units!$J62&lt;&gt;"",Units!$J62,Mkt!AR63),Inputs!$B$15*Mkt!AR63+(1-Inputs!$B$15)*MIN(Mkt!AR63,AQ63*(1+Inputs!$B$18))),AQ63)))</f>
        <v>1666.408675</v>
      </c>
      <c r="AS63" s="11" t="n">
        <f aca="false">IF(AS$1&lt;Units!$P62,0,IF(AND(Units!$K62=0,AS$1=Units!$O62),Units!$R62,IF(AND(AS$1&gt;=Units!$Q62,MOD(AS$1-Units!$Q62,12)=0),IF(AND(Units!$L62=1,AS$1=Units!$Q62),IF(Units!$J62&lt;&gt;"",Units!$J62,Mkt!AS63),Inputs!$B$15*Mkt!AS63+(1-Inputs!$B$15)*MIN(Mkt!AS63,AR63*(1+Inputs!$B$18))),AR63)))</f>
        <v>1666.408675</v>
      </c>
      <c r="AT63" s="11" t="n">
        <f aca="false">IF(AT$1&lt;Units!$P62,0,IF(AND(Units!$K62=0,AT$1=Units!$O62),Units!$R62,IF(AND(AT$1&gt;=Units!$Q62,MOD(AT$1-Units!$Q62,12)=0),IF(AND(Units!$L62=1,AT$1=Units!$Q62),IF(Units!$J62&lt;&gt;"",Units!$J62,Mkt!AT63),Inputs!$B$15*Mkt!AT63+(1-Inputs!$B$15)*MIN(Mkt!AT63,AS63*(1+Inputs!$B$18))),AS63)))</f>
        <v>1666.408675</v>
      </c>
      <c r="AU63" s="11" t="n">
        <f aca="false">IF(AU$1&lt;Units!$P62,0,IF(AND(Units!$K62=0,AU$1=Units!$O62),Units!$R62,IF(AND(AU$1&gt;=Units!$Q62,MOD(AU$1-Units!$Q62,12)=0),IF(AND(Units!$L62=1,AU$1=Units!$Q62),IF(Units!$J62&lt;&gt;"",Units!$J62,Mkt!AU63),Inputs!$B$15*Mkt!AU63+(1-Inputs!$B$15)*MIN(Mkt!AU63,AT63*(1+Inputs!$B$18))),AT63)))</f>
        <v>1666.408675</v>
      </c>
      <c r="AV63" s="11" t="n">
        <f aca="false">IF(AV$1&lt;Units!$P62,0,IF(AND(Units!$K62=0,AV$1=Units!$O62),Units!$R62,IF(AND(AV$1&gt;=Units!$Q62,MOD(AV$1-Units!$Q62,12)=0),IF(AND(Units!$L62=1,AV$1=Units!$Q62),IF(Units!$J62&lt;&gt;"",Units!$J62,Mkt!AV63),Inputs!$B$15*Mkt!AV63+(1-Inputs!$B$15)*MIN(Mkt!AV63,AU63*(1+Inputs!$B$18))),AU63)))</f>
        <v>1666.408675</v>
      </c>
      <c r="AW63" s="11" t="n">
        <f aca="false">IF(AW$1&lt;Units!$P62,0,IF(AND(Units!$K62=0,AW$1=Units!$O62),Units!$R62,IF(AND(AW$1&gt;=Units!$Q62,MOD(AW$1-Units!$Q62,12)=0),IF(AND(Units!$L62=1,AW$1=Units!$Q62),IF(Units!$J62&lt;&gt;"",Units!$J62,Mkt!AW63),Inputs!$B$15*Mkt!AW63+(1-Inputs!$B$15)*MIN(Mkt!AW63,AV63*(1+Inputs!$B$18))),AV63)))</f>
        <v>1666.408675</v>
      </c>
      <c r="AX63" s="11" t="n">
        <f aca="false">IF(AX$1&lt;Units!$P62,0,IF(AND(Units!$K62=0,AX$1=Units!$O62),Units!$R62,IF(AND(AX$1&gt;=Units!$Q62,MOD(AX$1-Units!$Q62,12)=0),IF(AND(Units!$L62=1,AX$1=Units!$Q62),IF(Units!$J62&lt;&gt;"",Units!$J62,Mkt!AX63),Inputs!$B$15*Mkt!AX63+(1-Inputs!$B$15)*MIN(Mkt!AX63,AW63*(1+Inputs!$B$18))),AW63)))</f>
        <v>1666.408675</v>
      </c>
      <c r="AY63" s="11" t="n">
        <f aca="false">IF(AY$1&lt;Units!$P62,0,IF(AND(Units!$K62=0,AY$1=Units!$O62),Units!$R62,IF(AND(AY$1&gt;=Units!$Q62,MOD(AY$1-Units!$Q62,12)=0),IF(AND(Units!$L62=1,AY$1=Units!$Q62),IF(Units!$J62&lt;&gt;"",Units!$J62,Mkt!AY63),Inputs!$B$15*Mkt!AY63+(1-Inputs!$B$15)*MIN(Mkt!AY63,AX63*(1+Inputs!$B$18))),AX63)))</f>
        <v>1716.40093525</v>
      </c>
      <c r="AZ63" s="11" t="n">
        <f aca="false">IF(AZ$1&lt;Units!$P62,0,IF(AND(Units!$K62=0,AZ$1=Units!$O62),Units!$R62,IF(AND(AZ$1&gt;=Units!$Q62,MOD(AZ$1-Units!$Q62,12)=0),IF(AND(Units!$L62=1,AZ$1=Units!$Q62),IF(Units!$J62&lt;&gt;"",Units!$J62,Mkt!AZ63),Inputs!$B$15*Mkt!AZ63+(1-Inputs!$B$15)*MIN(Mkt!AZ63,AY63*(1+Inputs!$B$18))),AY63)))</f>
        <v>1716.40093525</v>
      </c>
      <c r="BA63" s="11" t="n">
        <f aca="false">IF(BA$1&lt;Units!$P62,0,IF(AND(Units!$K62=0,BA$1=Units!$O62),Units!$R62,IF(AND(BA$1&gt;=Units!$Q62,MOD(BA$1-Units!$Q62,12)=0),IF(AND(Units!$L62=1,BA$1=Units!$Q62),IF(Units!$J62&lt;&gt;"",Units!$J62,Mkt!BA63),Inputs!$B$15*Mkt!BA63+(1-Inputs!$B$15)*MIN(Mkt!BA63,AZ63*(1+Inputs!$B$18))),AZ63)))</f>
        <v>1716.40093525</v>
      </c>
      <c r="BB63" s="11" t="n">
        <f aca="false">IF(BB$1&lt;Units!$P62,0,IF(AND(Units!$K62=0,BB$1=Units!$O62),Units!$R62,IF(AND(BB$1&gt;=Units!$Q62,MOD(BB$1-Units!$Q62,12)=0),IF(AND(Units!$L62=1,BB$1=Units!$Q62),IF(Units!$J62&lt;&gt;"",Units!$J62,Mkt!BB63),Inputs!$B$15*Mkt!BB63+(1-Inputs!$B$15)*MIN(Mkt!BB63,BA63*(1+Inputs!$B$18))),BA63)))</f>
        <v>1716.40093525</v>
      </c>
      <c r="BC63" s="11" t="n">
        <f aca="false">IF(BC$1&lt;Units!$P62,0,IF(AND(Units!$K62=0,BC$1=Units!$O62),Units!$R62,IF(AND(BC$1&gt;=Units!$Q62,MOD(BC$1-Units!$Q62,12)=0),IF(AND(Units!$L62=1,BC$1=Units!$Q62),IF(Units!$J62&lt;&gt;"",Units!$J62,Mkt!BC63),Inputs!$B$15*Mkt!BC63+(1-Inputs!$B$15)*MIN(Mkt!BC63,BB63*(1+Inputs!$B$18))),BB63)))</f>
        <v>1716.40093525</v>
      </c>
      <c r="BD63" s="11" t="n">
        <f aca="false">IF(BD$1&lt;Units!$P62,0,IF(AND(Units!$K62=0,BD$1=Units!$O62),Units!$R62,IF(AND(BD$1&gt;=Units!$Q62,MOD(BD$1-Units!$Q62,12)=0),IF(AND(Units!$L62=1,BD$1=Units!$Q62),IF(Units!$J62&lt;&gt;"",Units!$J62,Mkt!BD63),Inputs!$B$15*Mkt!BD63+(1-Inputs!$B$15)*MIN(Mkt!BD63,BC63*(1+Inputs!$B$18))),BC63)))</f>
        <v>1716.40093525</v>
      </c>
      <c r="BE63" s="11" t="n">
        <f aca="false">IF(BE$1&lt;Units!$P62,0,IF(AND(Units!$K62=0,BE$1=Units!$O62),Units!$R62,IF(AND(BE$1&gt;=Units!$Q62,MOD(BE$1-Units!$Q62,12)=0),IF(AND(Units!$L62=1,BE$1=Units!$Q62),IF(Units!$J62&lt;&gt;"",Units!$J62,Mkt!BE63),Inputs!$B$15*Mkt!BE63+(1-Inputs!$B$15)*MIN(Mkt!BE63,BD63*(1+Inputs!$B$18))),BD63)))</f>
        <v>1716.40093525</v>
      </c>
      <c r="BF63" s="11" t="n">
        <f aca="false">IF(BF$1&lt;Units!$P62,0,IF(AND(Units!$K62=0,BF$1=Units!$O62),Units!$R62,IF(AND(BF$1&gt;=Units!$Q62,MOD(BF$1-Units!$Q62,12)=0),IF(AND(Units!$L62=1,BF$1=Units!$Q62),IF(Units!$J62&lt;&gt;"",Units!$J62,Mkt!BF63),Inputs!$B$15*Mkt!BF63+(1-Inputs!$B$15)*MIN(Mkt!BF63,BE63*(1+Inputs!$B$18))),BE63)))</f>
        <v>1716.40093525</v>
      </c>
      <c r="BG63" s="11" t="n">
        <f aca="false">IF(BG$1&lt;Units!$P62,0,IF(AND(Units!$K62=0,BG$1=Units!$O62),Units!$R62,IF(AND(BG$1&gt;=Units!$Q62,MOD(BG$1-Units!$Q62,12)=0),IF(AND(Units!$L62=1,BG$1=Units!$Q62),IF(Units!$J62&lt;&gt;"",Units!$J62,Mkt!BG63),Inputs!$B$15*Mkt!BG63+(1-Inputs!$B$15)*MIN(Mkt!BG63,BF63*(1+Inputs!$B$18))),BF63)))</f>
        <v>1716.40093525</v>
      </c>
      <c r="BH63" s="11" t="n">
        <f aca="false">IF(BH$1&lt;Units!$P62,0,IF(AND(Units!$K62=0,BH$1=Units!$O62),Units!$R62,IF(AND(BH$1&gt;=Units!$Q62,MOD(BH$1-Units!$Q62,12)=0),IF(AND(Units!$L62=1,BH$1=Units!$Q62),IF(Units!$J62&lt;&gt;"",Units!$J62,Mkt!BH63),Inputs!$B$15*Mkt!BH63+(1-Inputs!$B$15)*MIN(Mkt!BH63,BG63*(1+Inputs!$B$18))),BG63)))</f>
        <v>1716.40093525</v>
      </c>
      <c r="BI63" s="11" t="n">
        <f aca="false">IF(BI$1&lt;Units!$P62,0,IF(AND(Units!$K62=0,BI$1=Units!$O62),Units!$R62,IF(AND(BI$1&gt;=Units!$Q62,MOD(BI$1-Units!$Q62,12)=0),IF(AND(Units!$L62=1,BI$1=Units!$Q62),IF(Units!$J62&lt;&gt;"",Units!$J62,Mkt!BI63),Inputs!$B$15*Mkt!BI63+(1-Inputs!$B$15)*MIN(Mkt!BI63,BH63*(1+Inputs!$B$18))),BH63)))</f>
        <v>1716.40093525</v>
      </c>
      <c r="BJ63" s="11" t="n">
        <f aca="false">IF(BJ$1&lt;Units!$P62,0,IF(AND(Units!$K62=0,BJ$1=Units!$O62),Units!$R62,IF(AND(BJ$1&gt;=Units!$Q62,MOD(BJ$1-Units!$Q62,12)=0),IF(AND(Units!$L62=1,BJ$1=Units!$Q62),IF(Units!$J62&lt;&gt;"",Units!$J62,Mkt!BJ63),Inputs!$B$15*Mkt!BJ63+(1-Inputs!$B$15)*MIN(Mkt!BJ63,BI63*(1+Inputs!$B$18))),BI63)))</f>
        <v>1716.40093525</v>
      </c>
      <c r="BK63" s="11" t="n">
        <f aca="false">IF(BK$1&lt;Units!$P62,0,IF(AND(Units!$K62=0,BK$1=Units!$O62),Units!$R62,IF(AND(BK$1&gt;=Units!$Q62,MOD(BK$1-Units!$Q62,12)=0),IF(AND(Units!$L62=1,BK$1=Units!$Q62),IF(Units!$J62&lt;&gt;"",Units!$J62,Mkt!BK63),Inputs!$B$15*Mkt!BK63+(1-Inputs!$B$15)*MIN(Mkt!BK63,BJ63*(1+Inputs!$B$18))),BJ63)))</f>
        <v>1767.8929633075</v>
      </c>
      <c r="BL63" s="11" t="n">
        <f aca="false">IF(BL$1&lt;Units!$P62,0,IF(AND(Units!$K62=0,BL$1=Units!$O62),Units!$R62,IF(AND(BL$1&gt;=Units!$Q62,MOD(BL$1-Units!$Q62,12)=0),IF(AND(Units!$L62=1,BL$1=Units!$Q62),IF(Units!$J62&lt;&gt;"",Units!$J62,Mkt!BL63),Inputs!$B$15*Mkt!BL63+(1-Inputs!$B$15)*MIN(Mkt!BL63,BK63*(1+Inputs!$B$18))),BK63)))</f>
        <v>1767.8929633075</v>
      </c>
      <c r="BM63" s="11" t="n">
        <f aca="false">IF(BM$1&lt;Units!$P62,0,IF(AND(Units!$K62=0,BM$1=Units!$O62),Units!$R62,IF(AND(BM$1&gt;=Units!$Q62,MOD(BM$1-Units!$Q62,12)=0),IF(AND(Units!$L62=1,BM$1=Units!$Q62),IF(Units!$J62&lt;&gt;"",Units!$J62,Mkt!BM63),Inputs!$B$15*Mkt!BM63+(1-Inputs!$B$15)*MIN(Mkt!BM63,BL63*(1+Inputs!$B$18))),BL63)))</f>
        <v>1767.8929633075</v>
      </c>
      <c r="BN63" s="11" t="n">
        <f aca="false">IF(BN$1&lt;Units!$P62,0,IF(AND(Units!$K62=0,BN$1=Units!$O62),Units!$R62,IF(AND(BN$1&gt;=Units!$Q62,MOD(BN$1-Units!$Q62,12)=0),IF(AND(Units!$L62=1,BN$1=Units!$Q62),IF(Units!$J62&lt;&gt;"",Units!$J62,Mkt!BN63),Inputs!$B$15*Mkt!BN63+(1-Inputs!$B$15)*MIN(Mkt!BN63,BM63*(1+Inputs!$B$18))),BM63)))</f>
        <v>1767.8929633075</v>
      </c>
      <c r="BO63" s="11" t="n">
        <f aca="false">IF(BO$1&lt;Units!$P62,0,IF(AND(Units!$K62=0,BO$1=Units!$O62),Units!$R62,IF(AND(BO$1&gt;=Units!$Q62,MOD(BO$1-Units!$Q62,12)=0),IF(AND(Units!$L62=1,BO$1=Units!$Q62),IF(Units!$J62&lt;&gt;"",Units!$J62,Mkt!BO63),Inputs!$B$15*Mkt!BO63+(1-Inputs!$B$15)*MIN(Mkt!BO63,BN63*(1+Inputs!$B$18))),BN63)))</f>
        <v>1767.8929633075</v>
      </c>
      <c r="BP63" s="11" t="n">
        <f aca="false">IF(BP$1&lt;Units!$P62,0,IF(AND(Units!$K62=0,BP$1=Units!$O62),Units!$R62,IF(AND(BP$1&gt;=Units!$Q62,MOD(BP$1-Units!$Q62,12)=0),IF(AND(Units!$L62=1,BP$1=Units!$Q62),IF(Units!$J62&lt;&gt;"",Units!$J62,Mkt!BP63),Inputs!$B$15*Mkt!BP63+(1-Inputs!$B$15)*MIN(Mkt!BP63,BO63*(1+Inputs!$B$18))),BO63)))</f>
        <v>1767.8929633075</v>
      </c>
      <c r="BQ63" s="11" t="n">
        <f aca="false">IF(BQ$1&lt;Units!$P62,0,IF(AND(Units!$K62=0,BQ$1=Units!$O62),Units!$R62,IF(AND(BQ$1&gt;=Units!$Q62,MOD(BQ$1-Units!$Q62,12)=0),IF(AND(Units!$L62=1,BQ$1=Units!$Q62),IF(Units!$J62&lt;&gt;"",Units!$J62,Mkt!BQ63),Inputs!$B$15*Mkt!BQ63+(1-Inputs!$B$15)*MIN(Mkt!BQ63,BP63*(1+Inputs!$B$18))),BP63)))</f>
        <v>1767.8929633075</v>
      </c>
      <c r="BR63" s="11" t="n">
        <f aca="false">IF(BR$1&lt;Units!$P62,0,IF(AND(Units!$K62=0,BR$1=Units!$O62),Units!$R62,IF(AND(BR$1&gt;=Units!$Q62,MOD(BR$1-Units!$Q62,12)=0),IF(AND(Units!$L62=1,BR$1=Units!$Q62),IF(Units!$J62&lt;&gt;"",Units!$J62,Mkt!BR63),Inputs!$B$15*Mkt!BR63+(1-Inputs!$B$15)*MIN(Mkt!BR63,BQ63*(1+Inputs!$B$18))),BQ63)))</f>
        <v>1767.8929633075</v>
      </c>
      <c r="BS63" s="11" t="n">
        <f aca="false">IF(BS$1&lt;Units!$P62,0,IF(AND(Units!$K62=0,BS$1=Units!$O62),Units!$R62,IF(AND(BS$1&gt;=Units!$Q62,MOD(BS$1-Units!$Q62,12)=0),IF(AND(Units!$L62=1,BS$1=Units!$Q62),IF(Units!$J62&lt;&gt;"",Units!$J62,Mkt!BS63),Inputs!$B$15*Mkt!BS63+(1-Inputs!$B$15)*MIN(Mkt!BS63,BR63*(1+Inputs!$B$18))),BR63)))</f>
        <v>1767.8929633075</v>
      </c>
      <c r="BT63" s="11" t="n">
        <f aca="false">IF(BT$1&lt;Units!$P62,0,IF(AND(Units!$K62=0,BT$1=Units!$O62),Units!$R62,IF(AND(BT$1&gt;=Units!$Q62,MOD(BT$1-Units!$Q62,12)=0),IF(AND(Units!$L62=1,BT$1=Units!$Q62),IF(Units!$J62&lt;&gt;"",Units!$J62,Mkt!BT63),Inputs!$B$15*Mkt!BT63+(1-Inputs!$B$15)*MIN(Mkt!BT63,BS63*(1+Inputs!$B$18))),BS63)))</f>
        <v>1767.8929633075</v>
      </c>
      <c r="BU63" s="11" t="n">
        <f aca="false">IF(BU$1&lt;Units!$P62,0,IF(AND(Units!$K62=0,BU$1=Units!$O62),Units!$R62,IF(AND(BU$1&gt;=Units!$Q62,MOD(BU$1-Units!$Q62,12)=0),IF(AND(Units!$L62=1,BU$1=Units!$Q62),IF(Units!$J62&lt;&gt;"",Units!$J62,Mkt!BU63),Inputs!$B$15*Mkt!BU63+(1-Inputs!$B$15)*MIN(Mkt!BU63,BT63*(1+Inputs!$B$18))),BT63)))</f>
        <v>1767.8929633075</v>
      </c>
      <c r="BV63" s="11" t="n">
        <f aca="false">IF(BV$1&lt;Units!$P62,0,IF(AND(Units!$K62=0,BV$1=Units!$O62),Units!$R62,IF(AND(BV$1&gt;=Units!$Q62,MOD(BV$1-Units!$Q62,12)=0),IF(AND(Units!$L62=1,BV$1=Units!$Q62),IF(Units!$J62&lt;&gt;"",Units!$J62,Mkt!BV63),Inputs!$B$15*Mkt!BV63+(1-Inputs!$B$15)*MIN(Mkt!BV63,BU63*(1+Inputs!$B$18))),BU63)))</f>
        <v>1767.8929633075</v>
      </c>
      <c r="BW63" s="11" t="n">
        <f aca="false">IF(BW$1&lt;Units!$P62,0,IF(AND(Units!$K62=0,BW$1=Units!$O62),Units!$R62,IF(AND(BW$1&gt;=Units!$Q62,MOD(BW$1-Units!$Q62,12)=0),IF(AND(Units!$L62=1,BW$1=Units!$Q62),IF(Units!$J62&lt;&gt;"",Units!$J62,Mkt!BW63),Inputs!$B$15*Mkt!BW63+(1-Inputs!$B$15)*MIN(Mkt!BW63,BV63*(1+Inputs!$B$18))),BV63)))</f>
        <v>1820.92975220673</v>
      </c>
      <c r="BX63" s="11" t="n">
        <f aca="false">IF(BX$1&lt;Units!$P62,0,IF(AND(Units!$K62=0,BX$1=Units!$O62),Units!$R62,IF(AND(BX$1&gt;=Units!$Q62,MOD(BX$1-Units!$Q62,12)=0),IF(AND(Units!$L62=1,BX$1=Units!$Q62),IF(Units!$J62&lt;&gt;"",Units!$J62,Mkt!BX63),Inputs!$B$15*Mkt!BX63+(1-Inputs!$B$15)*MIN(Mkt!BX63,BW63*(1+Inputs!$B$18))),BW63)))</f>
        <v>1820.92975220673</v>
      </c>
      <c r="BY63" s="11" t="n">
        <f aca="false">IF(BY$1&lt;Units!$P62,0,IF(AND(Units!$K62=0,BY$1=Units!$O62),Units!$R62,IF(AND(BY$1&gt;=Units!$Q62,MOD(BY$1-Units!$Q62,12)=0),IF(AND(Units!$L62=1,BY$1=Units!$Q62),IF(Units!$J62&lt;&gt;"",Units!$J62,Mkt!BY63),Inputs!$B$15*Mkt!BY63+(1-Inputs!$B$15)*MIN(Mkt!BY63,BX63*(1+Inputs!$B$18))),BX63)))</f>
        <v>1820.92975220673</v>
      </c>
      <c r="BZ63" s="11" t="n">
        <f aca="false">IF(BZ$1&lt;Units!$P62,0,IF(AND(Units!$K62=0,BZ$1=Units!$O62),Units!$R62,IF(AND(BZ$1&gt;=Units!$Q62,MOD(BZ$1-Units!$Q62,12)=0),IF(AND(Units!$L62=1,BZ$1=Units!$Q62),IF(Units!$J62&lt;&gt;"",Units!$J62,Mkt!BZ63),Inputs!$B$15*Mkt!BZ63+(1-Inputs!$B$15)*MIN(Mkt!BZ63,BY63*(1+Inputs!$B$18))),BY63)))</f>
        <v>1820.92975220673</v>
      </c>
      <c r="CA63" s="11" t="n">
        <f aca="false">IF(CA$1&lt;Units!$P62,0,IF(AND(Units!$K62=0,CA$1=Units!$O62),Units!$R62,IF(AND(CA$1&gt;=Units!$Q62,MOD(CA$1-Units!$Q62,12)=0),IF(AND(Units!$L62=1,CA$1=Units!$Q62),IF(Units!$J62&lt;&gt;"",Units!$J62,Mkt!CA63),Inputs!$B$15*Mkt!CA63+(1-Inputs!$B$15)*MIN(Mkt!CA63,BZ63*(1+Inputs!$B$18))),BZ63)))</f>
        <v>1820.92975220673</v>
      </c>
      <c r="CB63" s="11" t="n">
        <f aca="false">IF(CB$1&lt;Units!$P62,0,IF(AND(Units!$K62=0,CB$1=Units!$O62),Units!$R62,IF(AND(CB$1&gt;=Units!$Q62,MOD(CB$1-Units!$Q62,12)=0),IF(AND(Units!$L62=1,CB$1=Units!$Q62),IF(Units!$J62&lt;&gt;"",Units!$J62,Mkt!CB63),Inputs!$B$15*Mkt!CB63+(1-Inputs!$B$15)*MIN(Mkt!CB63,CA63*(1+Inputs!$B$18))),CA63)))</f>
        <v>1820.92975220673</v>
      </c>
      <c r="CC63" s="11" t="n">
        <f aca="false">IF(CC$1&lt;Units!$P62,0,IF(AND(Units!$K62=0,CC$1=Units!$O62),Units!$R62,IF(AND(CC$1&gt;=Units!$Q62,MOD(CC$1-Units!$Q62,12)=0),IF(AND(Units!$L62=1,CC$1=Units!$Q62),IF(Units!$J62&lt;&gt;"",Units!$J62,Mkt!CC63),Inputs!$B$15*Mkt!CC63+(1-Inputs!$B$15)*MIN(Mkt!CC63,CB63*(1+Inputs!$B$18))),CB63)))</f>
        <v>1820.92975220673</v>
      </c>
      <c r="CD63" s="11" t="n">
        <f aca="false">IF(CD$1&lt;Units!$P62,0,IF(AND(Units!$K62=0,CD$1=Units!$O62),Units!$R62,IF(AND(CD$1&gt;=Units!$Q62,MOD(CD$1-Units!$Q62,12)=0),IF(AND(Units!$L62=1,CD$1=Units!$Q62),IF(Units!$J62&lt;&gt;"",Units!$J62,Mkt!CD63),Inputs!$B$15*Mkt!CD63+(1-Inputs!$B$15)*MIN(Mkt!CD63,CC63*(1+Inputs!$B$18))),CC63)))</f>
        <v>1820.92975220673</v>
      </c>
      <c r="CE63" s="11" t="n">
        <f aca="false">IF(CE$1&lt;Units!$P62,0,IF(AND(Units!$K62=0,CE$1=Units!$O62),Units!$R62,IF(AND(CE$1&gt;=Units!$Q62,MOD(CE$1-Units!$Q62,12)=0),IF(AND(Units!$L62=1,CE$1=Units!$Q62),IF(Units!$J62&lt;&gt;"",Units!$J62,Mkt!CE63),Inputs!$B$15*Mkt!CE63+(1-Inputs!$B$15)*MIN(Mkt!CE63,CD63*(1+Inputs!$B$18))),CD63)))</f>
        <v>1820.92975220673</v>
      </c>
      <c r="CF63" s="11" t="n">
        <f aca="false">IF(CF$1&lt;Units!$P62,0,IF(AND(Units!$K62=0,CF$1=Units!$O62),Units!$R62,IF(AND(CF$1&gt;=Units!$Q62,MOD(CF$1-Units!$Q62,12)=0),IF(AND(Units!$L62=1,CF$1=Units!$Q62),IF(Units!$J62&lt;&gt;"",Units!$J62,Mkt!CF63),Inputs!$B$15*Mkt!CF63+(1-Inputs!$B$15)*MIN(Mkt!CF63,CE63*(1+Inputs!$B$18))),CE63)))</f>
        <v>1820.92975220673</v>
      </c>
      <c r="CG63" s="11" t="n">
        <f aca="false">IF(CG$1&lt;Units!$P62,0,IF(AND(Units!$K62=0,CG$1=Units!$O62),Units!$R62,IF(AND(CG$1&gt;=Units!$Q62,MOD(CG$1-Units!$Q62,12)=0),IF(AND(Units!$L62=1,CG$1=Units!$Q62),IF(Units!$J62&lt;&gt;"",Units!$J62,Mkt!CG63),Inputs!$B$15*Mkt!CG63+(1-Inputs!$B$15)*MIN(Mkt!CG63,CF63*(1+Inputs!$B$18))),CF63)))</f>
        <v>1820.92975220673</v>
      </c>
      <c r="CH63" s="11" t="n">
        <f aca="false">IF(CH$1&lt;Units!$P62,0,IF(AND(Units!$K62=0,CH$1=Units!$O62),Units!$R62,IF(AND(CH$1&gt;=Units!$Q62,MOD(CH$1-Units!$Q62,12)=0),IF(AND(Units!$L62=1,CH$1=Units!$Q62),IF(Units!$J62&lt;&gt;"",Units!$J62,Mkt!CH63),Inputs!$B$15*Mkt!CH63+(1-Inputs!$B$15)*MIN(Mkt!CH63,CG63*(1+Inputs!$B$18))),CG63)))</f>
        <v>1820.92975220673</v>
      </c>
      <c r="CI63" s="11" t="n">
        <f aca="false">IF(CI$1&lt;Units!$P62,0,IF(AND(Units!$K62=0,CI$1=Units!$O62),Units!$R62,IF(AND(CI$1&gt;=Units!$Q62,MOD(CI$1-Units!$Q62,12)=0),IF(AND(Units!$L62=1,CI$1=Units!$Q62),IF(Units!$J62&lt;&gt;"",Units!$J62,Mkt!CI63),Inputs!$B$15*Mkt!CI63+(1-Inputs!$B$15)*MIN(Mkt!CI63,CH63*(1+Inputs!$B$18))),CH63)))</f>
        <v>1875.55764477293</v>
      </c>
      <c r="CJ63" s="11" t="n">
        <f aca="false">IF(CJ$1&lt;Units!$P62,0,IF(AND(Units!$K62=0,CJ$1=Units!$O62),Units!$R62,IF(AND(CJ$1&gt;=Units!$Q62,MOD(CJ$1-Units!$Q62,12)=0),IF(AND(Units!$L62=1,CJ$1=Units!$Q62),IF(Units!$J62&lt;&gt;"",Units!$J62,Mkt!CJ63),Inputs!$B$15*Mkt!CJ63+(1-Inputs!$B$15)*MIN(Mkt!CJ63,CI63*(1+Inputs!$B$18))),CI63)))</f>
        <v>1875.55764477293</v>
      </c>
      <c r="CK63" s="11" t="n">
        <f aca="false">IF(CK$1&lt;Units!$P62,0,IF(AND(Units!$K62=0,CK$1=Units!$O62),Units!$R62,IF(AND(CK$1&gt;=Units!$Q62,MOD(CK$1-Units!$Q62,12)=0),IF(AND(Units!$L62=1,CK$1=Units!$Q62),IF(Units!$J62&lt;&gt;"",Units!$J62,Mkt!CK63),Inputs!$B$15*Mkt!CK63+(1-Inputs!$B$15)*MIN(Mkt!CK63,CJ63*(1+Inputs!$B$18))),CJ63)))</f>
        <v>1875.55764477293</v>
      </c>
      <c r="CL63" s="11" t="n">
        <f aca="false">IF(CL$1&lt;Units!$P62,0,IF(AND(Units!$K62=0,CL$1=Units!$O62),Units!$R62,IF(AND(CL$1&gt;=Units!$Q62,MOD(CL$1-Units!$Q62,12)=0),IF(AND(Units!$L62=1,CL$1=Units!$Q62),IF(Units!$J62&lt;&gt;"",Units!$J62,Mkt!CL63),Inputs!$B$15*Mkt!CL63+(1-Inputs!$B$15)*MIN(Mkt!CL63,CK63*(1+Inputs!$B$18))),CK63)))</f>
        <v>1875.55764477293</v>
      </c>
      <c r="CM63" s="11" t="n">
        <f aca="false">IF(CM$1&lt;Units!$P62,0,IF(AND(Units!$K62=0,CM$1=Units!$O62),Units!$R62,IF(AND(CM$1&gt;=Units!$Q62,MOD(CM$1-Units!$Q62,12)=0),IF(AND(Units!$L62=1,CM$1=Units!$Q62),IF(Units!$J62&lt;&gt;"",Units!$J62,Mkt!CM63),Inputs!$B$15*Mkt!CM63+(1-Inputs!$B$15)*MIN(Mkt!CM63,CL63*(1+Inputs!$B$18))),CL63)))</f>
        <v>1875.55764477293</v>
      </c>
      <c r="CN63" s="11" t="n">
        <f aca="false">IF(CN$1&lt;Units!$P62,0,IF(AND(Units!$K62=0,CN$1=Units!$O62),Units!$R62,IF(AND(CN$1&gt;=Units!$Q62,MOD(CN$1-Units!$Q62,12)=0),IF(AND(Units!$L62=1,CN$1=Units!$Q62),IF(Units!$J62&lt;&gt;"",Units!$J62,Mkt!CN63),Inputs!$B$15*Mkt!CN63+(1-Inputs!$B$15)*MIN(Mkt!CN63,CM63*(1+Inputs!$B$18))),CM63)))</f>
        <v>1875.55764477293</v>
      </c>
      <c r="CO63" s="11" t="n">
        <f aca="false">IF(CO$1&lt;Units!$P62,0,IF(AND(Units!$K62=0,CO$1=Units!$O62),Units!$R62,IF(AND(CO$1&gt;=Units!$Q62,MOD(CO$1-Units!$Q62,12)=0),IF(AND(Units!$L62=1,CO$1=Units!$Q62),IF(Units!$J62&lt;&gt;"",Units!$J62,Mkt!CO63),Inputs!$B$15*Mkt!CO63+(1-Inputs!$B$15)*MIN(Mkt!CO63,CN63*(1+Inputs!$B$18))),CN63)))</f>
        <v>1875.55764477293</v>
      </c>
      <c r="CP63" s="11" t="n">
        <f aca="false">IF(CP$1&lt;Units!$P62,0,IF(AND(Units!$K62=0,CP$1=Units!$O62),Units!$R62,IF(AND(CP$1&gt;=Units!$Q62,MOD(CP$1-Units!$Q62,12)=0),IF(AND(Units!$L62=1,CP$1=Units!$Q62),IF(Units!$J62&lt;&gt;"",Units!$J62,Mkt!CP63),Inputs!$B$15*Mkt!CP63+(1-Inputs!$B$15)*MIN(Mkt!CP63,CO63*(1+Inputs!$B$18))),CO63)))</f>
        <v>1875.55764477293</v>
      </c>
      <c r="CQ63" s="11" t="n">
        <f aca="false">IF(CQ$1&lt;Units!$P62,0,IF(AND(Units!$K62=0,CQ$1=Units!$O62),Units!$R62,IF(AND(CQ$1&gt;=Units!$Q62,MOD(CQ$1-Units!$Q62,12)=0),IF(AND(Units!$L62=1,CQ$1=Units!$Q62),IF(Units!$J62&lt;&gt;"",Units!$J62,Mkt!CQ63),Inputs!$B$15*Mkt!CQ63+(1-Inputs!$B$15)*MIN(Mkt!CQ63,CP63*(1+Inputs!$B$18))),CP63)))</f>
        <v>1875.55764477293</v>
      </c>
      <c r="CR63" s="11" t="n">
        <f aca="false">IF(CR$1&lt;Units!$P62,0,IF(AND(Units!$K62=0,CR$1=Units!$O62),Units!$R62,IF(AND(CR$1&gt;=Units!$Q62,MOD(CR$1-Units!$Q62,12)=0),IF(AND(Units!$L62=1,CR$1=Units!$Q62),IF(Units!$J62&lt;&gt;"",Units!$J62,Mkt!CR63),Inputs!$B$15*Mkt!CR63+(1-Inputs!$B$15)*MIN(Mkt!CR63,CQ63*(1+Inputs!$B$18))),CQ63)))</f>
        <v>1875.55764477293</v>
      </c>
      <c r="CS63" s="11" t="n">
        <f aca="false">IF(CS$1&lt;Units!$P62,0,IF(AND(Units!$K62=0,CS$1=Units!$O62),Units!$R62,IF(AND(CS$1&gt;=Units!$Q62,MOD(CS$1-Units!$Q62,12)=0),IF(AND(Units!$L62=1,CS$1=Units!$Q62),IF(Units!$J62&lt;&gt;"",Units!$J62,Mkt!CS63),Inputs!$B$15*Mkt!CS63+(1-Inputs!$B$15)*MIN(Mkt!CS63,CR63*(1+Inputs!$B$18))),CR63)))</f>
        <v>1875.55764477293</v>
      </c>
      <c r="CT63" s="11" t="n">
        <f aca="false">IF(CT$1&lt;Units!$P62,0,IF(AND(Units!$K62=0,CT$1=Units!$O62),Units!$R62,IF(AND(CT$1&gt;=Units!$Q62,MOD(CT$1-Units!$Q62,12)=0),IF(AND(Units!$L62=1,CT$1=Units!$Q62),IF(Units!$J62&lt;&gt;"",Units!$J62,Mkt!CT63),Inputs!$B$15*Mkt!CT63+(1-Inputs!$B$15)*MIN(Mkt!CT63,CS63*(1+Inputs!$B$18))),CS63)))</f>
        <v>1875.55764477293</v>
      </c>
      <c r="CU63" s="11" t="n">
        <f aca="false">IF(CU$1&lt;Units!$P62,0,IF(AND(Units!$K62=0,CU$1=Units!$O62),Units!$R62,IF(AND(CU$1&gt;=Units!$Q62,MOD(CU$1-Units!$Q62,12)=0),IF(AND(Units!$L62=1,CU$1=Units!$Q62),IF(Units!$J62&lt;&gt;"",Units!$J62,Mkt!CU63),Inputs!$B$15*Mkt!CU63+(1-Inputs!$B$15)*MIN(Mkt!CU63,CT63*(1+Inputs!$B$18))),CT63)))</f>
        <v>1931.82437411612</v>
      </c>
      <c r="CV63" s="11" t="n">
        <f aca="false">IF(CV$1&lt;Units!$P62,0,IF(AND(Units!$K62=0,CV$1=Units!$O62),Units!$R62,IF(AND(CV$1&gt;=Units!$Q62,MOD(CV$1-Units!$Q62,12)=0),IF(AND(Units!$L62=1,CV$1=Units!$Q62),IF(Units!$J62&lt;&gt;"",Units!$J62,Mkt!CV63),Inputs!$B$15*Mkt!CV63+(1-Inputs!$B$15)*MIN(Mkt!CV63,CU63*(1+Inputs!$B$18))),CU63)))</f>
        <v>1931.82437411612</v>
      </c>
      <c r="CW63" s="11" t="n">
        <f aca="false">IF(CW$1&lt;Units!$P62,0,IF(AND(Units!$K62=0,CW$1=Units!$O62),Units!$R62,IF(AND(CW$1&gt;=Units!$Q62,MOD(CW$1-Units!$Q62,12)=0),IF(AND(Units!$L62=1,CW$1=Units!$Q62),IF(Units!$J62&lt;&gt;"",Units!$J62,Mkt!CW63),Inputs!$B$15*Mkt!CW63+(1-Inputs!$B$15)*MIN(Mkt!CW63,CV63*(1+Inputs!$B$18))),CV63)))</f>
        <v>1931.82437411612</v>
      </c>
      <c r="CX63" s="11" t="n">
        <f aca="false">IF(CX$1&lt;Units!$P62,0,IF(AND(Units!$K62=0,CX$1=Units!$O62),Units!$R62,IF(AND(CX$1&gt;=Units!$Q62,MOD(CX$1-Units!$Q62,12)=0),IF(AND(Units!$L62=1,CX$1=Units!$Q62),IF(Units!$J62&lt;&gt;"",Units!$J62,Mkt!CX63),Inputs!$B$15*Mkt!CX63+(1-Inputs!$B$15)*MIN(Mkt!CX63,CW63*(1+Inputs!$B$18))),CW63)))</f>
        <v>1931.82437411612</v>
      </c>
      <c r="CY63" s="11" t="n">
        <f aca="false">IF(CY$1&lt;Units!$P62,0,IF(AND(Units!$K62=0,CY$1=Units!$O62),Units!$R62,IF(AND(CY$1&gt;=Units!$Q62,MOD(CY$1-Units!$Q62,12)=0),IF(AND(Units!$L62=1,CY$1=Units!$Q62),IF(Units!$J62&lt;&gt;"",Units!$J62,Mkt!CY63),Inputs!$B$15*Mkt!CY63+(1-Inputs!$B$15)*MIN(Mkt!CY63,CX63*(1+Inputs!$B$18))),CX63)))</f>
        <v>1931.82437411612</v>
      </c>
      <c r="CZ63" s="11" t="n">
        <f aca="false">IF(CZ$1&lt;Units!$P62,0,IF(AND(Units!$K62=0,CZ$1=Units!$O62),Units!$R62,IF(AND(CZ$1&gt;=Units!$Q62,MOD(CZ$1-Units!$Q62,12)=0),IF(AND(Units!$L62=1,CZ$1=Units!$Q62),IF(Units!$J62&lt;&gt;"",Units!$J62,Mkt!CZ63),Inputs!$B$15*Mkt!CZ63+(1-Inputs!$B$15)*MIN(Mkt!CZ63,CY63*(1+Inputs!$B$18))),CY63)))</f>
        <v>1931.82437411612</v>
      </c>
      <c r="DA63" s="11" t="n">
        <f aca="false">IF(DA$1&lt;Units!$P62,0,IF(AND(Units!$K62=0,DA$1=Units!$O62),Units!$R62,IF(AND(DA$1&gt;=Units!$Q62,MOD(DA$1-Units!$Q62,12)=0),IF(AND(Units!$L62=1,DA$1=Units!$Q62),IF(Units!$J62&lt;&gt;"",Units!$J62,Mkt!DA63),Inputs!$B$15*Mkt!DA63+(1-Inputs!$B$15)*MIN(Mkt!DA63,CZ63*(1+Inputs!$B$18))),CZ63)))</f>
        <v>1931.82437411612</v>
      </c>
      <c r="DB63" s="11" t="n">
        <f aca="false">IF(DB$1&lt;Units!$P62,0,IF(AND(Units!$K62=0,DB$1=Units!$O62),Units!$R62,IF(AND(DB$1&gt;=Units!$Q62,MOD(DB$1-Units!$Q62,12)=0),IF(AND(Units!$L62=1,DB$1=Units!$Q62),IF(Units!$J62&lt;&gt;"",Units!$J62,Mkt!DB63),Inputs!$B$15*Mkt!DB63+(1-Inputs!$B$15)*MIN(Mkt!DB63,DA63*(1+Inputs!$B$18))),DA63)))</f>
        <v>1931.82437411612</v>
      </c>
      <c r="DC63" s="11" t="n">
        <f aca="false">IF(DC$1&lt;Units!$P62,0,IF(AND(Units!$K62=0,DC$1=Units!$O62),Units!$R62,IF(AND(DC$1&gt;=Units!$Q62,MOD(DC$1-Units!$Q62,12)=0),IF(AND(Units!$L62=1,DC$1=Units!$Q62),IF(Units!$J62&lt;&gt;"",Units!$J62,Mkt!DC63),Inputs!$B$15*Mkt!DC63+(1-Inputs!$B$15)*MIN(Mkt!DC63,DB63*(1+Inputs!$B$18))),DB63)))</f>
        <v>1931.82437411612</v>
      </c>
      <c r="DD63" s="11" t="n">
        <f aca="false">IF(DD$1&lt;Units!$P62,0,IF(AND(Units!$K62=0,DD$1=Units!$O62),Units!$R62,IF(AND(DD$1&gt;=Units!$Q62,MOD(DD$1-Units!$Q62,12)=0),IF(AND(Units!$L62=1,DD$1=Units!$Q62),IF(Units!$J62&lt;&gt;"",Units!$J62,Mkt!DD63),Inputs!$B$15*Mkt!DD63+(1-Inputs!$B$15)*MIN(Mkt!DD63,DC63*(1+Inputs!$B$18))),DC63)))</f>
        <v>1931.82437411612</v>
      </c>
      <c r="DE63" s="11" t="n">
        <f aca="false">IF(DE$1&lt;Units!$P62,0,IF(AND(Units!$K62=0,DE$1=Units!$O62),Units!$R62,IF(AND(DE$1&gt;=Units!$Q62,MOD(DE$1-Units!$Q62,12)=0),IF(AND(Units!$L62=1,DE$1=Units!$Q62),IF(Units!$J62&lt;&gt;"",Units!$J62,Mkt!DE63),Inputs!$B$15*Mkt!DE63+(1-Inputs!$B$15)*MIN(Mkt!DE63,DD63*(1+Inputs!$B$18))),DD63)))</f>
        <v>1931.82437411612</v>
      </c>
      <c r="DF63" s="11" t="n">
        <f aca="false">IF(DF$1&lt;Units!$P62,0,IF(AND(Units!$K62=0,DF$1=Units!$O62),Units!$R62,IF(AND(DF$1&gt;=Units!$Q62,MOD(DF$1-Units!$Q62,12)=0),IF(AND(Units!$L62=1,DF$1=Units!$Q62),IF(Units!$J62&lt;&gt;"",Units!$J62,Mkt!DF63),Inputs!$B$15*Mkt!DF63+(1-Inputs!$B$15)*MIN(Mkt!DF63,DE63*(1+Inputs!$B$18))),DE63)))</f>
        <v>1931.82437411612</v>
      </c>
      <c r="DG63" s="11" t="n">
        <f aca="false">IF(DG$1&lt;Units!$P62,0,IF(AND(Units!$K62=0,DG$1=Units!$O62),Units!$R62,IF(AND(DG$1&gt;=Units!$Q62,MOD(DG$1-Units!$Q62,12)=0),IF(AND(Units!$L62=1,DG$1=Units!$Q62),IF(Units!$J62&lt;&gt;"",Units!$J62,Mkt!DG63),Inputs!$B$15*Mkt!DG63+(1-Inputs!$B$15)*MIN(Mkt!DG63,DF63*(1+Inputs!$B$18))),DF63)))</f>
        <v>1989.7791053396</v>
      </c>
      <c r="DH63" s="11" t="n">
        <f aca="false">IF(DH$1&lt;Units!$P62,0,IF(AND(Units!$K62=0,DH$1=Units!$O62),Units!$R62,IF(AND(DH$1&gt;=Units!$Q62,MOD(DH$1-Units!$Q62,12)=0),IF(AND(Units!$L62=1,DH$1=Units!$Q62),IF(Units!$J62&lt;&gt;"",Units!$J62,Mkt!DH63),Inputs!$B$15*Mkt!DH63+(1-Inputs!$B$15)*MIN(Mkt!DH63,DG63*(1+Inputs!$B$18))),DG63)))</f>
        <v>1989.7791053396</v>
      </c>
      <c r="DI63" s="11" t="n">
        <f aca="false">IF(DI$1&lt;Units!$P62,0,IF(AND(Units!$K62=0,DI$1=Units!$O62),Units!$R62,IF(AND(DI$1&gt;=Units!$Q62,MOD(DI$1-Units!$Q62,12)=0),IF(AND(Units!$L62=1,DI$1=Units!$Q62),IF(Units!$J62&lt;&gt;"",Units!$J62,Mkt!DI63),Inputs!$B$15*Mkt!DI63+(1-Inputs!$B$15)*MIN(Mkt!DI63,DH63*(1+Inputs!$B$18))),DH63)))</f>
        <v>1989.7791053396</v>
      </c>
      <c r="DJ63" s="11" t="n">
        <f aca="false">IF(DJ$1&lt;Units!$P62,0,IF(AND(Units!$K62=0,DJ$1=Units!$O62),Units!$R62,IF(AND(DJ$1&gt;=Units!$Q62,MOD(DJ$1-Units!$Q62,12)=0),IF(AND(Units!$L62=1,DJ$1=Units!$Q62),IF(Units!$J62&lt;&gt;"",Units!$J62,Mkt!DJ63),Inputs!$B$15*Mkt!DJ63+(1-Inputs!$B$15)*MIN(Mkt!DJ63,DI63*(1+Inputs!$B$18))),DI63)))</f>
        <v>1989.7791053396</v>
      </c>
      <c r="DK63" s="11" t="n">
        <f aca="false">IF(DK$1&lt;Units!$P62,0,IF(AND(Units!$K62=0,DK$1=Units!$O62),Units!$R62,IF(AND(DK$1&gt;=Units!$Q62,MOD(DK$1-Units!$Q62,12)=0),IF(AND(Units!$L62=1,DK$1=Units!$Q62),IF(Units!$J62&lt;&gt;"",Units!$J62,Mkt!DK63),Inputs!$B$15*Mkt!DK63+(1-Inputs!$B$15)*MIN(Mkt!DK63,DJ63*(1+Inputs!$B$18))),DJ63)))</f>
        <v>1989.7791053396</v>
      </c>
      <c r="DL63" s="11" t="n">
        <f aca="false">IF(DL$1&lt;Units!$P62,0,IF(AND(Units!$K62=0,DL$1=Units!$O62),Units!$R62,IF(AND(DL$1&gt;=Units!$Q62,MOD(DL$1-Units!$Q62,12)=0),IF(AND(Units!$L62=1,DL$1=Units!$Q62),IF(Units!$J62&lt;&gt;"",Units!$J62,Mkt!DL63),Inputs!$B$15*Mkt!DL63+(1-Inputs!$B$15)*MIN(Mkt!DL63,DK63*(1+Inputs!$B$18))),DK63)))</f>
        <v>1989.7791053396</v>
      </c>
      <c r="DM63" s="11" t="n">
        <f aca="false">IF(DM$1&lt;Units!$P62,0,IF(AND(Units!$K62=0,DM$1=Units!$O62),Units!$R62,IF(AND(DM$1&gt;=Units!$Q62,MOD(DM$1-Units!$Q62,12)=0),IF(AND(Units!$L62=1,DM$1=Units!$Q62),IF(Units!$J62&lt;&gt;"",Units!$J62,Mkt!DM63),Inputs!$B$15*Mkt!DM63+(1-Inputs!$B$15)*MIN(Mkt!DM63,DL63*(1+Inputs!$B$18))),DL63)))</f>
        <v>1989.7791053396</v>
      </c>
      <c r="DN63" s="11" t="n">
        <f aca="false">IF(DN$1&lt;Units!$P62,0,IF(AND(Units!$K62=0,DN$1=Units!$O62),Units!$R62,IF(AND(DN$1&gt;=Units!$Q62,MOD(DN$1-Units!$Q62,12)=0),IF(AND(Units!$L62=1,DN$1=Units!$Q62),IF(Units!$J62&lt;&gt;"",Units!$J62,Mkt!DN63),Inputs!$B$15*Mkt!DN63+(1-Inputs!$B$15)*MIN(Mkt!DN63,DM63*(1+Inputs!$B$18))),DM63)))</f>
        <v>1989.7791053396</v>
      </c>
      <c r="DO63" s="11" t="n">
        <f aca="false">IF(DO$1&lt;Units!$P62,0,IF(AND(Units!$K62=0,DO$1=Units!$O62),Units!$R62,IF(AND(DO$1&gt;=Units!$Q62,MOD(DO$1-Units!$Q62,12)=0),IF(AND(Units!$L62=1,DO$1=Units!$Q62),IF(Units!$J62&lt;&gt;"",Units!$J62,Mkt!DO63),Inputs!$B$15*Mkt!DO63+(1-Inputs!$B$15)*MIN(Mkt!DO63,DN63*(1+Inputs!$B$18))),DN63)))</f>
        <v>1989.7791053396</v>
      </c>
      <c r="DP63" s="11" t="n">
        <f aca="false">IF(DP$1&lt;Units!$P62,0,IF(AND(Units!$K62=0,DP$1=Units!$O62),Units!$R62,IF(AND(DP$1&gt;=Units!$Q62,MOD(DP$1-Units!$Q62,12)=0),IF(AND(Units!$L62=1,DP$1=Units!$Q62),IF(Units!$J62&lt;&gt;"",Units!$J62,Mkt!DP63),Inputs!$B$15*Mkt!DP63+(1-Inputs!$B$15)*MIN(Mkt!DP63,DO63*(1+Inputs!$B$18))),DO63)))</f>
        <v>1989.7791053396</v>
      </c>
      <c r="DQ63" s="11" t="n">
        <f aca="false">IF(DQ$1&lt;Units!$P62,0,IF(AND(Units!$K62=0,DQ$1=Units!$O62),Units!$R62,IF(AND(DQ$1&gt;=Units!$Q62,MOD(DQ$1-Units!$Q62,12)=0),IF(AND(Units!$L62=1,DQ$1=Units!$Q62),IF(Units!$J62&lt;&gt;"",Units!$J62,Mkt!DQ63),Inputs!$B$15*Mkt!DQ63+(1-Inputs!$B$15)*MIN(Mkt!DQ63,DP63*(1+Inputs!$B$18))),DP63)))</f>
        <v>1989.7791053396</v>
      </c>
      <c r="DR63" s="11" t="n">
        <f aca="false">IF(DR$1&lt;Units!$P62,0,IF(AND(Units!$K62=0,DR$1=Units!$O62),Units!$R62,IF(AND(DR$1&gt;=Units!$Q62,MOD(DR$1-Units!$Q62,12)=0),IF(AND(Units!$L62=1,DR$1=Units!$Q62),IF(Units!$J62&lt;&gt;"",Units!$J62,Mkt!DR63),Inputs!$B$15*Mkt!DR63+(1-Inputs!$B$15)*MIN(Mkt!DR63,DQ63*(1+Inputs!$B$18))),DQ63)))</f>
        <v>1989.7791053396</v>
      </c>
      <c r="DS63" s="11" t="n">
        <f aca="false">IF(DS$1&lt;Units!$P62,0,IF(AND(Units!$K62=0,DS$1=Units!$O62),Units!$R62,IF(AND(DS$1&gt;=Units!$Q62,MOD(DS$1-Units!$Q62,12)=0),IF(AND(Units!$L62=1,DS$1=Units!$Q62),IF(Units!$J62&lt;&gt;"",Units!$J62,Mkt!DS63),Inputs!$B$15*Mkt!DS63+(1-Inputs!$B$15)*MIN(Mkt!DS63,DR63*(1+Inputs!$B$18))),DR63)))</f>
        <v>2049.47247849979</v>
      </c>
      <c r="DT63" s="11" t="n">
        <f aca="false">IF(DT$1&lt;Units!$P62,0,IF(AND(Units!$K62=0,DT$1=Units!$O62),Units!$R62,IF(AND(DT$1&gt;=Units!$Q62,MOD(DT$1-Units!$Q62,12)=0),IF(AND(Units!$L62=1,DT$1=Units!$Q62),IF(Units!$J62&lt;&gt;"",Units!$J62,Mkt!DT63),Inputs!$B$15*Mkt!DT63+(1-Inputs!$B$15)*MIN(Mkt!DT63,DS63*(1+Inputs!$B$18))),DS63)))</f>
        <v>2049.47247849979</v>
      </c>
      <c r="DU63" s="11" t="n">
        <f aca="false">IF(DU$1&lt;Units!$P62,0,IF(AND(Units!$K62=0,DU$1=Units!$O62),Units!$R62,IF(AND(DU$1&gt;=Units!$Q62,MOD(DU$1-Units!$Q62,12)=0),IF(AND(Units!$L62=1,DU$1=Units!$Q62),IF(Units!$J62&lt;&gt;"",Units!$J62,Mkt!DU63),Inputs!$B$15*Mkt!DU63+(1-Inputs!$B$15)*MIN(Mkt!DU63,DT63*(1+Inputs!$B$18))),DT63)))</f>
        <v>2049.47247849979</v>
      </c>
      <c r="DV63" s="11" t="n">
        <f aca="false">IF(DV$1&lt;Units!$P62,0,IF(AND(Units!$K62=0,DV$1=Units!$O62),Units!$R62,IF(AND(DV$1&gt;=Units!$Q62,MOD(DV$1-Units!$Q62,12)=0),IF(AND(Units!$L62=1,DV$1=Units!$Q62),IF(Units!$J62&lt;&gt;"",Units!$J62,Mkt!DV63),Inputs!$B$15*Mkt!DV63+(1-Inputs!$B$15)*MIN(Mkt!DV63,DU63*(1+Inputs!$B$18))),DU63)))</f>
        <v>2049.47247849979</v>
      </c>
      <c r="DW63" s="11" t="n">
        <f aca="false">IF(DW$1&lt;Units!$P62,0,IF(AND(Units!$K62=0,DW$1=Units!$O62),Units!$R62,IF(AND(DW$1&gt;=Units!$Q62,MOD(DW$1-Units!$Q62,12)=0),IF(AND(Units!$L62=1,DW$1=Units!$Q62),IF(Units!$J62&lt;&gt;"",Units!$J62,Mkt!DW63),Inputs!$B$15*Mkt!DW63+(1-Inputs!$B$15)*MIN(Mkt!DW63,DV63*(1+Inputs!$B$18))),DV63)))</f>
        <v>2049.47247849979</v>
      </c>
      <c r="DX63" s="11" t="n">
        <f aca="false">IF(DX$1&lt;Units!$P62,0,IF(AND(Units!$K62=0,DX$1=Units!$O62),Units!$R62,IF(AND(DX$1&gt;=Units!$Q62,MOD(DX$1-Units!$Q62,12)=0),IF(AND(Units!$L62=1,DX$1=Units!$Q62),IF(Units!$J62&lt;&gt;"",Units!$J62,Mkt!DX63),Inputs!$B$15*Mkt!DX63+(1-Inputs!$B$15)*MIN(Mkt!DX63,DW63*(1+Inputs!$B$18))),DW63)))</f>
        <v>2049.47247849979</v>
      </c>
      <c r="DY63" s="11" t="n">
        <f aca="false">IF(DY$1&lt;Units!$P62,0,IF(AND(Units!$K62=0,DY$1=Units!$O62),Units!$R62,IF(AND(DY$1&gt;=Units!$Q62,MOD(DY$1-Units!$Q62,12)=0),IF(AND(Units!$L62=1,DY$1=Units!$Q62),IF(Units!$J62&lt;&gt;"",Units!$J62,Mkt!DY63),Inputs!$B$15*Mkt!DY63+(1-Inputs!$B$15)*MIN(Mkt!DY63,DX63*(1+Inputs!$B$18))),DX63)))</f>
        <v>2049.47247849979</v>
      </c>
      <c r="DZ63" s="11" t="n">
        <f aca="false">IF(DZ$1&lt;Units!$P62,0,IF(AND(Units!$K62=0,DZ$1=Units!$O62),Units!$R62,IF(AND(DZ$1&gt;=Units!$Q62,MOD(DZ$1-Units!$Q62,12)=0),IF(AND(Units!$L62=1,DZ$1=Units!$Q62),IF(Units!$J62&lt;&gt;"",Units!$J62,Mkt!DZ63),Inputs!$B$15*Mkt!DZ63+(1-Inputs!$B$15)*MIN(Mkt!DZ63,DY63*(1+Inputs!$B$18))),DY63)))</f>
        <v>2049.47247849979</v>
      </c>
      <c r="EA63" s="11" t="n">
        <f aca="false">IF(EA$1&lt;Units!$P62,0,IF(AND(Units!$K62=0,EA$1=Units!$O62),Units!$R62,IF(AND(EA$1&gt;=Units!$Q62,MOD(EA$1-Units!$Q62,12)=0),IF(AND(Units!$L62=1,EA$1=Units!$Q62),IF(Units!$J62&lt;&gt;"",Units!$J62,Mkt!EA63),Inputs!$B$15*Mkt!EA63+(1-Inputs!$B$15)*MIN(Mkt!EA63,DZ63*(1+Inputs!$B$18))),DZ63)))</f>
        <v>2049.47247849979</v>
      </c>
      <c r="EB63" s="11" t="n">
        <f aca="false">IF(EB$1&lt;Units!$P62,0,IF(AND(Units!$K62=0,EB$1=Units!$O62),Units!$R62,IF(AND(EB$1&gt;=Units!$Q62,MOD(EB$1-Units!$Q62,12)=0),IF(AND(Units!$L62=1,EB$1=Units!$Q62),IF(Units!$J62&lt;&gt;"",Units!$J62,Mkt!EB63),Inputs!$B$15*Mkt!EB63+(1-Inputs!$B$15)*MIN(Mkt!EB63,EA63*(1+Inputs!$B$18))),EA63)))</f>
        <v>2049.47247849979</v>
      </c>
      <c r="EC63" s="11" t="n">
        <f aca="false">IF(EC$1&lt;Units!$P62,0,IF(AND(Units!$K62=0,EC$1=Units!$O62),Units!$R62,IF(AND(EC$1&gt;=Units!$Q62,MOD(EC$1-Units!$Q62,12)=0),IF(AND(Units!$L62=1,EC$1=Units!$Q62),IF(Units!$J62&lt;&gt;"",Units!$J62,Mkt!EC63),Inputs!$B$15*Mkt!EC63+(1-Inputs!$B$15)*MIN(Mkt!EC63,EB63*(1+Inputs!$B$18))),EB63)))</f>
        <v>2049.47247849979</v>
      </c>
      <c r="ED63" s="11" t="n">
        <f aca="false">IF(ED$1&lt;Units!$P62,0,IF(AND(Units!$K62=0,ED$1=Units!$O62),Units!$R62,IF(AND(ED$1&gt;=Units!$Q62,MOD(ED$1-Units!$Q62,12)=0),IF(AND(Units!$L62=1,ED$1=Units!$Q62),IF(Units!$J62&lt;&gt;"",Units!$J62,Mkt!ED63),Inputs!$B$15*Mkt!ED63+(1-Inputs!$B$15)*MIN(Mkt!ED63,EC63*(1+Inputs!$B$18))),EC63)))</f>
        <v>2049.47247849979</v>
      </c>
    </row>
    <row r="64" customFormat="false" ht="15" hidden="false" customHeight="false" outlineLevel="0" collapsed="false">
      <c r="A64" s="22" t="n">
        <f aca="false">Units!A63</f>
        <v>302</v>
      </c>
      <c r="B64" s="24" t="n">
        <f aca="false">IF(Units!K63=1,Units!F63,0)</f>
        <v>1455</v>
      </c>
      <c r="C64" s="11" t="n">
        <f aca="false">IF(C$1&lt;Units!$P63,0,IF(AND(Units!$K63=0,C$1=Units!$O63),Units!$R63,IF(AND(C$1&gt;=Units!$Q63,MOD(C$1-Units!$Q63,12)=0),IF(AND(Units!$L63=1,C$1=Units!$Q63),IF(Units!$J63&lt;&gt;"",Units!$J63,Mkt!C64),Inputs!$B$15*Mkt!C64+(1-Inputs!$B$15)*MIN(Mkt!C64,B64*(1+Inputs!$B$18))),B64)))</f>
        <v>1455</v>
      </c>
      <c r="D64" s="11" t="n">
        <f aca="false">IF(D$1&lt;Units!$P63,0,IF(AND(Units!$K63=0,D$1=Units!$O63),Units!$R63,IF(AND(D$1&gt;=Units!$Q63,MOD(D$1-Units!$Q63,12)=0),IF(AND(Units!$L63=1,D$1=Units!$Q63),IF(Units!$J63&lt;&gt;"",Units!$J63,Mkt!D64),Inputs!$B$15*Mkt!D64+(1-Inputs!$B$15)*MIN(Mkt!D64,C64*(1+Inputs!$B$18))),C64)))</f>
        <v>1455</v>
      </c>
      <c r="E64" s="11" t="n">
        <f aca="false">IF(E$1&lt;Units!$P63,0,IF(AND(Units!$K63=0,E$1=Units!$O63),Units!$R63,IF(AND(E$1&gt;=Units!$Q63,MOD(E$1-Units!$Q63,12)=0),IF(AND(Units!$L63=1,E$1=Units!$Q63),IF(Units!$J63&lt;&gt;"",Units!$J63,Mkt!E64),Inputs!$B$15*Mkt!E64+(1-Inputs!$B$15)*MIN(Mkt!E64,D64*(1+Inputs!$B$18))),D64)))</f>
        <v>1455</v>
      </c>
      <c r="F64" s="11" t="n">
        <f aca="false">IF(F$1&lt;Units!$P63,0,IF(AND(Units!$K63=0,F$1=Units!$O63),Units!$R63,IF(AND(F$1&gt;=Units!$Q63,MOD(F$1-Units!$Q63,12)=0),IF(AND(Units!$L63=1,F$1=Units!$Q63),IF(Units!$J63&lt;&gt;"",Units!$J63,Mkt!F64),Inputs!$B$15*Mkt!F64+(1-Inputs!$B$15)*MIN(Mkt!F64,E64*(1+Inputs!$B$18))),E64)))</f>
        <v>1455</v>
      </c>
      <c r="G64" s="11" t="n">
        <f aca="false">IF(G$1&lt;Units!$P63,0,IF(AND(Units!$K63=0,G$1=Units!$O63),Units!$R63,IF(AND(G$1&gt;=Units!$Q63,MOD(G$1-Units!$Q63,12)=0),IF(AND(Units!$L63=1,G$1=Units!$Q63),IF(Units!$J63&lt;&gt;"",Units!$J63,Mkt!G64),Inputs!$B$15*Mkt!G64+(1-Inputs!$B$15)*MIN(Mkt!G64,F64*(1+Inputs!$B$18))),F64)))</f>
        <v>1455</v>
      </c>
      <c r="H64" s="11" t="n">
        <f aca="false">IF(H$1&lt;Units!$P63,0,IF(AND(Units!$K63=0,H$1=Units!$O63),Units!$R63,IF(AND(H$1&gt;=Units!$Q63,MOD(H$1-Units!$Q63,12)=0),IF(AND(Units!$L63=1,H$1=Units!$Q63),IF(Units!$J63&lt;&gt;"",Units!$J63,Mkt!H64),Inputs!$B$15*Mkt!H64+(1-Inputs!$B$15)*MIN(Mkt!H64,G64*(1+Inputs!$B$18))),G64)))</f>
        <v>1525</v>
      </c>
      <c r="I64" s="11" t="n">
        <f aca="false">IF(I$1&lt;Units!$P63,0,IF(AND(Units!$K63=0,I$1=Units!$O63),Units!$R63,IF(AND(I$1&gt;=Units!$Q63,MOD(I$1-Units!$Q63,12)=0),IF(AND(Units!$L63=1,I$1=Units!$Q63),IF(Units!$J63&lt;&gt;"",Units!$J63,Mkt!I64),Inputs!$B$15*Mkt!I64+(1-Inputs!$B$15)*MIN(Mkt!I64,H64*(1+Inputs!$B$18))),H64)))</f>
        <v>1525</v>
      </c>
      <c r="J64" s="11" t="n">
        <f aca="false">IF(J$1&lt;Units!$P63,0,IF(AND(Units!$K63=0,J$1=Units!$O63),Units!$R63,IF(AND(J$1&gt;=Units!$Q63,MOD(J$1-Units!$Q63,12)=0),IF(AND(Units!$L63=1,J$1=Units!$Q63),IF(Units!$J63&lt;&gt;"",Units!$J63,Mkt!J64),Inputs!$B$15*Mkt!J64+(1-Inputs!$B$15)*MIN(Mkt!J64,I64*(1+Inputs!$B$18))),I64)))</f>
        <v>1525</v>
      </c>
      <c r="K64" s="11" t="n">
        <f aca="false">IF(K$1&lt;Units!$P63,0,IF(AND(Units!$K63=0,K$1=Units!$O63),Units!$R63,IF(AND(K$1&gt;=Units!$Q63,MOD(K$1-Units!$Q63,12)=0),IF(AND(Units!$L63=1,K$1=Units!$Q63),IF(Units!$J63&lt;&gt;"",Units!$J63,Mkt!K64),Inputs!$B$15*Mkt!K64+(1-Inputs!$B$15)*MIN(Mkt!K64,J64*(1+Inputs!$B$18))),J64)))</f>
        <v>1525</v>
      </c>
      <c r="L64" s="11" t="n">
        <f aca="false">IF(L$1&lt;Units!$P63,0,IF(AND(Units!$K63=0,L$1=Units!$O63),Units!$R63,IF(AND(L$1&gt;=Units!$Q63,MOD(L$1-Units!$Q63,12)=0),IF(AND(Units!$L63=1,L$1=Units!$Q63),IF(Units!$J63&lt;&gt;"",Units!$J63,Mkt!L64),Inputs!$B$15*Mkt!L64+(1-Inputs!$B$15)*MIN(Mkt!L64,K64*(1+Inputs!$B$18))),K64)))</f>
        <v>1525</v>
      </c>
      <c r="M64" s="11" t="n">
        <f aca="false">IF(M$1&lt;Units!$P63,0,IF(AND(Units!$K63=0,M$1=Units!$O63),Units!$R63,IF(AND(M$1&gt;=Units!$Q63,MOD(M$1-Units!$Q63,12)=0),IF(AND(Units!$L63=1,M$1=Units!$Q63),IF(Units!$J63&lt;&gt;"",Units!$J63,Mkt!M64),Inputs!$B$15*Mkt!M64+(1-Inputs!$B$15)*MIN(Mkt!M64,L64*(1+Inputs!$B$18))),L64)))</f>
        <v>1525</v>
      </c>
      <c r="N64" s="11" t="n">
        <f aca="false">IF(N$1&lt;Units!$P63,0,IF(AND(Units!$K63=0,N$1=Units!$O63),Units!$R63,IF(AND(N$1&gt;=Units!$Q63,MOD(N$1-Units!$Q63,12)=0),IF(AND(Units!$L63=1,N$1=Units!$Q63),IF(Units!$J63&lt;&gt;"",Units!$J63,Mkt!N64),Inputs!$B$15*Mkt!N64+(1-Inputs!$B$15)*MIN(Mkt!N64,M64*(1+Inputs!$B$18))),M64)))</f>
        <v>1525</v>
      </c>
      <c r="O64" s="11" t="n">
        <f aca="false">IF(O$1&lt;Units!$P63,0,IF(AND(Units!$K63=0,O$1=Units!$O63),Units!$R63,IF(AND(O$1&gt;=Units!$Q63,MOD(O$1-Units!$Q63,12)=0),IF(AND(Units!$L63=1,O$1=Units!$Q63),IF(Units!$J63&lt;&gt;"",Units!$J63,Mkt!O64),Inputs!$B$15*Mkt!O64+(1-Inputs!$B$15)*MIN(Mkt!O64,N64*(1+Inputs!$B$18))),N64)))</f>
        <v>1525</v>
      </c>
      <c r="P64" s="11" t="n">
        <f aca="false">IF(P$1&lt;Units!$P63,0,IF(AND(Units!$K63=0,P$1=Units!$O63),Units!$R63,IF(AND(P$1&gt;=Units!$Q63,MOD(P$1-Units!$Q63,12)=0),IF(AND(Units!$L63=1,P$1=Units!$Q63),IF(Units!$J63&lt;&gt;"",Units!$J63,Mkt!P64),Inputs!$B$15*Mkt!P64+(1-Inputs!$B$15)*MIN(Mkt!P64,O64*(1+Inputs!$B$18))),O64)))</f>
        <v>1525</v>
      </c>
      <c r="Q64" s="11" t="n">
        <f aca="false">IF(Q$1&lt;Units!$P63,0,IF(AND(Units!$K63=0,Q$1=Units!$O63),Units!$R63,IF(AND(Q$1&gt;=Units!$Q63,MOD(Q$1-Units!$Q63,12)=0),IF(AND(Units!$L63=1,Q$1=Units!$Q63),IF(Units!$J63&lt;&gt;"",Units!$J63,Mkt!Q64),Inputs!$B$15*Mkt!Q64+(1-Inputs!$B$15)*MIN(Mkt!Q64,P64*(1+Inputs!$B$18))),P64)))</f>
        <v>1525</v>
      </c>
      <c r="R64" s="11" t="n">
        <f aca="false">IF(R$1&lt;Units!$P63,0,IF(AND(Units!$K63=0,R$1=Units!$O63),Units!$R63,IF(AND(R$1&gt;=Units!$Q63,MOD(R$1-Units!$Q63,12)=0),IF(AND(Units!$L63=1,R$1=Units!$Q63),IF(Units!$J63&lt;&gt;"",Units!$J63,Mkt!R64),Inputs!$B$15*Mkt!R64+(1-Inputs!$B$15)*MIN(Mkt!R64,Q64*(1+Inputs!$B$18))),Q64)))</f>
        <v>1525</v>
      </c>
      <c r="S64" s="11" t="n">
        <f aca="false">IF(S$1&lt;Units!$P63,0,IF(AND(Units!$K63=0,S$1=Units!$O63),Units!$R63,IF(AND(S$1&gt;=Units!$Q63,MOD(S$1-Units!$Q63,12)=0),IF(AND(Units!$L63=1,S$1=Units!$Q63),IF(Units!$J63&lt;&gt;"",Units!$J63,Mkt!S64),Inputs!$B$15*Mkt!S64+(1-Inputs!$B$15)*MIN(Mkt!S64,R64*(1+Inputs!$B$18))),R64)))</f>
        <v>1525</v>
      </c>
      <c r="T64" s="11" t="n">
        <f aca="false">IF(T$1&lt;Units!$P63,0,IF(AND(Units!$K63=0,T$1=Units!$O63),Units!$R63,IF(AND(T$1&gt;=Units!$Q63,MOD(T$1-Units!$Q63,12)=0),IF(AND(Units!$L63=1,T$1=Units!$Q63),IF(Units!$J63&lt;&gt;"",Units!$J63,Mkt!T64),Inputs!$B$15*Mkt!T64+(1-Inputs!$B$15)*MIN(Mkt!T64,S64*(1+Inputs!$B$18))),S64)))</f>
        <v>1570.75</v>
      </c>
      <c r="U64" s="11" t="n">
        <f aca="false">IF(U$1&lt;Units!$P63,0,IF(AND(Units!$K63=0,U$1=Units!$O63),Units!$R63,IF(AND(U$1&gt;=Units!$Q63,MOD(U$1-Units!$Q63,12)=0),IF(AND(Units!$L63=1,U$1=Units!$Q63),IF(Units!$J63&lt;&gt;"",Units!$J63,Mkt!U64),Inputs!$B$15*Mkt!U64+(1-Inputs!$B$15)*MIN(Mkt!U64,T64*(1+Inputs!$B$18))),T64)))</f>
        <v>1570.75</v>
      </c>
      <c r="V64" s="11" t="n">
        <f aca="false">IF(V$1&lt;Units!$P63,0,IF(AND(Units!$K63=0,V$1=Units!$O63),Units!$R63,IF(AND(V$1&gt;=Units!$Q63,MOD(V$1-Units!$Q63,12)=0),IF(AND(Units!$L63=1,V$1=Units!$Q63),IF(Units!$J63&lt;&gt;"",Units!$J63,Mkt!V64),Inputs!$B$15*Mkt!V64+(1-Inputs!$B$15)*MIN(Mkt!V64,U64*(1+Inputs!$B$18))),U64)))</f>
        <v>1570.75</v>
      </c>
      <c r="W64" s="11" t="n">
        <f aca="false">IF(W$1&lt;Units!$P63,0,IF(AND(Units!$K63=0,W$1=Units!$O63),Units!$R63,IF(AND(W$1&gt;=Units!$Q63,MOD(W$1-Units!$Q63,12)=0),IF(AND(Units!$L63=1,W$1=Units!$Q63),IF(Units!$J63&lt;&gt;"",Units!$J63,Mkt!W64),Inputs!$B$15*Mkt!W64+(1-Inputs!$B$15)*MIN(Mkt!W64,V64*(1+Inputs!$B$18))),V64)))</f>
        <v>1570.75</v>
      </c>
      <c r="X64" s="11" t="n">
        <f aca="false">IF(X$1&lt;Units!$P63,0,IF(AND(Units!$K63=0,X$1=Units!$O63),Units!$R63,IF(AND(X$1&gt;=Units!$Q63,MOD(X$1-Units!$Q63,12)=0),IF(AND(Units!$L63=1,X$1=Units!$Q63),IF(Units!$J63&lt;&gt;"",Units!$J63,Mkt!X64),Inputs!$B$15*Mkt!X64+(1-Inputs!$B$15)*MIN(Mkt!X64,W64*(1+Inputs!$B$18))),W64)))</f>
        <v>1570.75</v>
      </c>
      <c r="Y64" s="11" t="n">
        <f aca="false">IF(Y$1&lt;Units!$P63,0,IF(AND(Units!$K63=0,Y$1=Units!$O63),Units!$R63,IF(AND(Y$1&gt;=Units!$Q63,MOD(Y$1-Units!$Q63,12)=0),IF(AND(Units!$L63=1,Y$1=Units!$Q63),IF(Units!$J63&lt;&gt;"",Units!$J63,Mkt!Y64),Inputs!$B$15*Mkt!Y64+(1-Inputs!$B$15)*MIN(Mkt!Y64,X64*(1+Inputs!$B$18))),X64)))</f>
        <v>1570.75</v>
      </c>
      <c r="Z64" s="11" t="n">
        <f aca="false">IF(Z$1&lt;Units!$P63,0,IF(AND(Units!$K63=0,Z$1=Units!$O63),Units!$R63,IF(AND(Z$1&gt;=Units!$Q63,MOD(Z$1-Units!$Q63,12)=0),IF(AND(Units!$L63=1,Z$1=Units!$Q63),IF(Units!$J63&lt;&gt;"",Units!$J63,Mkt!Z64),Inputs!$B$15*Mkt!Z64+(1-Inputs!$B$15)*MIN(Mkt!Z64,Y64*(1+Inputs!$B$18))),Y64)))</f>
        <v>1570.75</v>
      </c>
      <c r="AA64" s="11" t="n">
        <f aca="false">IF(AA$1&lt;Units!$P63,0,IF(AND(Units!$K63=0,AA$1=Units!$O63),Units!$R63,IF(AND(AA$1&gt;=Units!$Q63,MOD(AA$1-Units!$Q63,12)=0),IF(AND(Units!$L63=1,AA$1=Units!$Q63),IF(Units!$J63&lt;&gt;"",Units!$J63,Mkt!AA64),Inputs!$B$15*Mkt!AA64+(1-Inputs!$B$15)*MIN(Mkt!AA64,Z64*(1+Inputs!$B$18))),Z64)))</f>
        <v>1570.75</v>
      </c>
      <c r="AB64" s="11" t="n">
        <f aca="false">IF(AB$1&lt;Units!$P63,0,IF(AND(Units!$K63=0,AB$1=Units!$O63),Units!$R63,IF(AND(AB$1&gt;=Units!$Q63,MOD(AB$1-Units!$Q63,12)=0),IF(AND(Units!$L63=1,AB$1=Units!$Q63),IF(Units!$J63&lt;&gt;"",Units!$J63,Mkt!AB64),Inputs!$B$15*Mkt!AB64+(1-Inputs!$B$15)*MIN(Mkt!AB64,AA64*(1+Inputs!$B$18))),AA64)))</f>
        <v>1570.75</v>
      </c>
      <c r="AC64" s="11" t="n">
        <f aca="false">IF(AC$1&lt;Units!$P63,0,IF(AND(Units!$K63=0,AC$1=Units!$O63),Units!$R63,IF(AND(AC$1&gt;=Units!$Q63,MOD(AC$1-Units!$Q63,12)=0),IF(AND(Units!$L63=1,AC$1=Units!$Q63),IF(Units!$J63&lt;&gt;"",Units!$J63,Mkt!AC64),Inputs!$B$15*Mkt!AC64+(1-Inputs!$B$15)*MIN(Mkt!AC64,AB64*(1+Inputs!$B$18))),AB64)))</f>
        <v>1570.75</v>
      </c>
      <c r="AD64" s="11" t="n">
        <f aca="false">IF(AD$1&lt;Units!$P63,0,IF(AND(Units!$K63=0,AD$1=Units!$O63),Units!$R63,IF(AND(AD$1&gt;=Units!$Q63,MOD(AD$1-Units!$Q63,12)=0),IF(AND(Units!$L63=1,AD$1=Units!$Q63),IF(Units!$J63&lt;&gt;"",Units!$J63,Mkt!AD64),Inputs!$B$15*Mkt!AD64+(1-Inputs!$B$15)*MIN(Mkt!AD64,AC64*(1+Inputs!$B$18))),AC64)))</f>
        <v>1570.75</v>
      </c>
      <c r="AE64" s="11" t="n">
        <f aca="false">IF(AE$1&lt;Units!$P63,0,IF(AND(Units!$K63=0,AE$1=Units!$O63),Units!$R63,IF(AND(AE$1&gt;=Units!$Q63,MOD(AE$1-Units!$Q63,12)=0),IF(AND(Units!$L63=1,AE$1=Units!$Q63),IF(Units!$J63&lt;&gt;"",Units!$J63,Mkt!AE64),Inputs!$B$15*Mkt!AE64+(1-Inputs!$B$15)*MIN(Mkt!AE64,AD64*(1+Inputs!$B$18))),AD64)))</f>
        <v>1570.75</v>
      </c>
      <c r="AF64" s="11" t="n">
        <f aca="false">IF(AF$1&lt;Units!$P63,0,IF(AND(Units!$K63=0,AF$1=Units!$O63),Units!$R63,IF(AND(AF$1&gt;=Units!$Q63,MOD(AF$1-Units!$Q63,12)=0),IF(AND(Units!$L63=1,AF$1=Units!$Q63),IF(Units!$J63&lt;&gt;"",Units!$J63,Mkt!AF64),Inputs!$B$15*Mkt!AF64+(1-Inputs!$B$15)*MIN(Mkt!AF64,AE64*(1+Inputs!$B$18))),AE64)))</f>
        <v>1617.8725</v>
      </c>
      <c r="AG64" s="11" t="n">
        <f aca="false">IF(AG$1&lt;Units!$P63,0,IF(AND(Units!$K63=0,AG$1=Units!$O63),Units!$R63,IF(AND(AG$1&gt;=Units!$Q63,MOD(AG$1-Units!$Q63,12)=0),IF(AND(Units!$L63=1,AG$1=Units!$Q63),IF(Units!$J63&lt;&gt;"",Units!$J63,Mkt!AG64),Inputs!$B$15*Mkt!AG64+(1-Inputs!$B$15)*MIN(Mkt!AG64,AF64*(1+Inputs!$B$18))),AF64)))</f>
        <v>1617.8725</v>
      </c>
      <c r="AH64" s="11" t="n">
        <f aca="false">IF(AH$1&lt;Units!$P63,0,IF(AND(Units!$K63=0,AH$1=Units!$O63),Units!$R63,IF(AND(AH$1&gt;=Units!$Q63,MOD(AH$1-Units!$Q63,12)=0),IF(AND(Units!$L63=1,AH$1=Units!$Q63),IF(Units!$J63&lt;&gt;"",Units!$J63,Mkt!AH64),Inputs!$B$15*Mkt!AH64+(1-Inputs!$B$15)*MIN(Mkt!AH64,AG64*(1+Inputs!$B$18))),AG64)))</f>
        <v>1617.8725</v>
      </c>
      <c r="AI64" s="11" t="n">
        <f aca="false">IF(AI$1&lt;Units!$P63,0,IF(AND(Units!$K63=0,AI$1=Units!$O63),Units!$R63,IF(AND(AI$1&gt;=Units!$Q63,MOD(AI$1-Units!$Q63,12)=0),IF(AND(Units!$L63=1,AI$1=Units!$Q63),IF(Units!$J63&lt;&gt;"",Units!$J63,Mkt!AI64),Inputs!$B$15*Mkt!AI64+(1-Inputs!$B$15)*MIN(Mkt!AI64,AH64*(1+Inputs!$B$18))),AH64)))</f>
        <v>1617.8725</v>
      </c>
      <c r="AJ64" s="11" t="n">
        <f aca="false">IF(AJ$1&lt;Units!$P63,0,IF(AND(Units!$K63=0,AJ$1=Units!$O63),Units!$R63,IF(AND(AJ$1&gt;=Units!$Q63,MOD(AJ$1-Units!$Q63,12)=0),IF(AND(Units!$L63=1,AJ$1=Units!$Q63),IF(Units!$J63&lt;&gt;"",Units!$J63,Mkt!AJ64),Inputs!$B$15*Mkt!AJ64+(1-Inputs!$B$15)*MIN(Mkt!AJ64,AI64*(1+Inputs!$B$18))),AI64)))</f>
        <v>1617.8725</v>
      </c>
      <c r="AK64" s="11" t="n">
        <f aca="false">IF(AK$1&lt;Units!$P63,0,IF(AND(Units!$K63=0,AK$1=Units!$O63),Units!$R63,IF(AND(AK$1&gt;=Units!$Q63,MOD(AK$1-Units!$Q63,12)=0),IF(AND(Units!$L63=1,AK$1=Units!$Q63),IF(Units!$J63&lt;&gt;"",Units!$J63,Mkt!AK64),Inputs!$B$15*Mkt!AK64+(1-Inputs!$B$15)*MIN(Mkt!AK64,AJ64*(1+Inputs!$B$18))),AJ64)))</f>
        <v>1617.8725</v>
      </c>
      <c r="AL64" s="11" t="n">
        <f aca="false">IF(AL$1&lt;Units!$P63,0,IF(AND(Units!$K63=0,AL$1=Units!$O63),Units!$R63,IF(AND(AL$1&gt;=Units!$Q63,MOD(AL$1-Units!$Q63,12)=0),IF(AND(Units!$L63=1,AL$1=Units!$Q63),IF(Units!$J63&lt;&gt;"",Units!$J63,Mkt!AL64),Inputs!$B$15*Mkt!AL64+(1-Inputs!$B$15)*MIN(Mkt!AL64,AK64*(1+Inputs!$B$18))),AK64)))</f>
        <v>1617.8725</v>
      </c>
      <c r="AM64" s="11" t="n">
        <f aca="false">IF(AM$1&lt;Units!$P63,0,IF(AND(Units!$K63=0,AM$1=Units!$O63),Units!$R63,IF(AND(AM$1&gt;=Units!$Q63,MOD(AM$1-Units!$Q63,12)=0),IF(AND(Units!$L63=1,AM$1=Units!$Q63),IF(Units!$J63&lt;&gt;"",Units!$J63,Mkt!AM64),Inputs!$B$15*Mkt!AM64+(1-Inputs!$B$15)*MIN(Mkt!AM64,AL64*(1+Inputs!$B$18))),AL64)))</f>
        <v>1617.8725</v>
      </c>
      <c r="AN64" s="11" t="n">
        <f aca="false">IF(AN$1&lt;Units!$P63,0,IF(AND(Units!$K63=0,AN$1=Units!$O63),Units!$R63,IF(AND(AN$1&gt;=Units!$Q63,MOD(AN$1-Units!$Q63,12)=0),IF(AND(Units!$L63=1,AN$1=Units!$Q63),IF(Units!$J63&lt;&gt;"",Units!$J63,Mkt!AN64),Inputs!$B$15*Mkt!AN64+(1-Inputs!$B$15)*MIN(Mkt!AN64,AM64*(1+Inputs!$B$18))),AM64)))</f>
        <v>1617.8725</v>
      </c>
      <c r="AO64" s="11" t="n">
        <f aca="false">IF(AO$1&lt;Units!$P63,0,IF(AND(Units!$K63=0,AO$1=Units!$O63),Units!$R63,IF(AND(AO$1&gt;=Units!$Q63,MOD(AO$1-Units!$Q63,12)=0),IF(AND(Units!$L63=1,AO$1=Units!$Q63),IF(Units!$J63&lt;&gt;"",Units!$J63,Mkt!AO64),Inputs!$B$15*Mkt!AO64+(1-Inputs!$B$15)*MIN(Mkt!AO64,AN64*(1+Inputs!$B$18))),AN64)))</f>
        <v>1617.8725</v>
      </c>
      <c r="AP64" s="11" t="n">
        <f aca="false">IF(AP$1&lt;Units!$P63,0,IF(AND(Units!$K63=0,AP$1=Units!$O63),Units!$R63,IF(AND(AP$1&gt;=Units!$Q63,MOD(AP$1-Units!$Q63,12)=0),IF(AND(Units!$L63=1,AP$1=Units!$Q63),IF(Units!$J63&lt;&gt;"",Units!$J63,Mkt!AP64),Inputs!$B$15*Mkt!AP64+(1-Inputs!$B$15)*MIN(Mkt!AP64,AO64*(1+Inputs!$B$18))),AO64)))</f>
        <v>1617.8725</v>
      </c>
      <c r="AQ64" s="11" t="n">
        <f aca="false">IF(AQ$1&lt;Units!$P63,0,IF(AND(Units!$K63=0,AQ$1=Units!$O63),Units!$R63,IF(AND(AQ$1&gt;=Units!$Q63,MOD(AQ$1-Units!$Q63,12)=0),IF(AND(Units!$L63=1,AQ$1=Units!$Q63),IF(Units!$J63&lt;&gt;"",Units!$J63,Mkt!AQ64),Inputs!$B$15*Mkt!AQ64+(1-Inputs!$B$15)*MIN(Mkt!AQ64,AP64*(1+Inputs!$B$18))),AP64)))</f>
        <v>1617.8725</v>
      </c>
      <c r="AR64" s="11" t="n">
        <f aca="false">IF(AR$1&lt;Units!$P63,0,IF(AND(Units!$K63=0,AR$1=Units!$O63),Units!$R63,IF(AND(AR$1&gt;=Units!$Q63,MOD(AR$1-Units!$Q63,12)=0),IF(AND(Units!$L63=1,AR$1=Units!$Q63),IF(Units!$J63&lt;&gt;"",Units!$J63,Mkt!AR64),Inputs!$B$15*Mkt!AR64+(1-Inputs!$B$15)*MIN(Mkt!AR64,AQ64*(1+Inputs!$B$18))),AQ64)))</f>
        <v>1666.408675</v>
      </c>
      <c r="AS64" s="11" t="n">
        <f aca="false">IF(AS$1&lt;Units!$P63,0,IF(AND(Units!$K63=0,AS$1=Units!$O63),Units!$R63,IF(AND(AS$1&gt;=Units!$Q63,MOD(AS$1-Units!$Q63,12)=0),IF(AND(Units!$L63=1,AS$1=Units!$Q63),IF(Units!$J63&lt;&gt;"",Units!$J63,Mkt!AS64),Inputs!$B$15*Mkt!AS64+(1-Inputs!$B$15)*MIN(Mkt!AS64,AR64*(1+Inputs!$B$18))),AR64)))</f>
        <v>1666.408675</v>
      </c>
      <c r="AT64" s="11" t="n">
        <f aca="false">IF(AT$1&lt;Units!$P63,0,IF(AND(Units!$K63=0,AT$1=Units!$O63),Units!$R63,IF(AND(AT$1&gt;=Units!$Q63,MOD(AT$1-Units!$Q63,12)=0),IF(AND(Units!$L63=1,AT$1=Units!$Q63),IF(Units!$J63&lt;&gt;"",Units!$J63,Mkt!AT64),Inputs!$B$15*Mkt!AT64+(1-Inputs!$B$15)*MIN(Mkt!AT64,AS64*(1+Inputs!$B$18))),AS64)))</f>
        <v>1666.408675</v>
      </c>
      <c r="AU64" s="11" t="n">
        <f aca="false">IF(AU$1&lt;Units!$P63,0,IF(AND(Units!$K63=0,AU$1=Units!$O63),Units!$R63,IF(AND(AU$1&gt;=Units!$Q63,MOD(AU$1-Units!$Q63,12)=0),IF(AND(Units!$L63=1,AU$1=Units!$Q63),IF(Units!$J63&lt;&gt;"",Units!$J63,Mkt!AU64),Inputs!$B$15*Mkt!AU64+(1-Inputs!$B$15)*MIN(Mkt!AU64,AT64*(1+Inputs!$B$18))),AT64)))</f>
        <v>1666.408675</v>
      </c>
      <c r="AV64" s="11" t="n">
        <f aca="false">IF(AV$1&lt;Units!$P63,0,IF(AND(Units!$K63=0,AV$1=Units!$O63),Units!$R63,IF(AND(AV$1&gt;=Units!$Q63,MOD(AV$1-Units!$Q63,12)=0),IF(AND(Units!$L63=1,AV$1=Units!$Q63),IF(Units!$J63&lt;&gt;"",Units!$J63,Mkt!AV64),Inputs!$B$15*Mkt!AV64+(1-Inputs!$B$15)*MIN(Mkt!AV64,AU64*(1+Inputs!$B$18))),AU64)))</f>
        <v>1666.408675</v>
      </c>
      <c r="AW64" s="11" t="n">
        <f aca="false">IF(AW$1&lt;Units!$P63,0,IF(AND(Units!$K63=0,AW$1=Units!$O63),Units!$R63,IF(AND(AW$1&gt;=Units!$Q63,MOD(AW$1-Units!$Q63,12)=0),IF(AND(Units!$L63=1,AW$1=Units!$Q63),IF(Units!$J63&lt;&gt;"",Units!$J63,Mkt!AW64),Inputs!$B$15*Mkt!AW64+(1-Inputs!$B$15)*MIN(Mkt!AW64,AV64*(1+Inputs!$B$18))),AV64)))</f>
        <v>1666.408675</v>
      </c>
      <c r="AX64" s="11" t="n">
        <f aca="false">IF(AX$1&lt;Units!$P63,0,IF(AND(Units!$K63=0,AX$1=Units!$O63),Units!$R63,IF(AND(AX$1&gt;=Units!$Q63,MOD(AX$1-Units!$Q63,12)=0),IF(AND(Units!$L63=1,AX$1=Units!$Q63),IF(Units!$J63&lt;&gt;"",Units!$J63,Mkt!AX64),Inputs!$B$15*Mkt!AX64+(1-Inputs!$B$15)*MIN(Mkt!AX64,AW64*(1+Inputs!$B$18))),AW64)))</f>
        <v>1666.408675</v>
      </c>
      <c r="AY64" s="11" t="n">
        <f aca="false">IF(AY$1&lt;Units!$P63,0,IF(AND(Units!$K63=0,AY$1=Units!$O63),Units!$R63,IF(AND(AY$1&gt;=Units!$Q63,MOD(AY$1-Units!$Q63,12)=0),IF(AND(Units!$L63=1,AY$1=Units!$Q63),IF(Units!$J63&lt;&gt;"",Units!$J63,Mkt!AY64),Inputs!$B$15*Mkt!AY64+(1-Inputs!$B$15)*MIN(Mkt!AY64,AX64*(1+Inputs!$B$18))),AX64)))</f>
        <v>1666.408675</v>
      </c>
      <c r="AZ64" s="11" t="n">
        <f aca="false">IF(AZ$1&lt;Units!$P63,0,IF(AND(Units!$K63=0,AZ$1=Units!$O63),Units!$R63,IF(AND(AZ$1&gt;=Units!$Q63,MOD(AZ$1-Units!$Q63,12)=0),IF(AND(Units!$L63=1,AZ$1=Units!$Q63),IF(Units!$J63&lt;&gt;"",Units!$J63,Mkt!AZ64),Inputs!$B$15*Mkt!AZ64+(1-Inputs!$B$15)*MIN(Mkt!AZ64,AY64*(1+Inputs!$B$18))),AY64)))</f>
        <v>1666.408675</v>
      </c>
      <c r="BA64" s="11" t="n">
        <f aca="false">IF(BA$1&lt;Units!$P63,0,IF(AND(Units!$K63=0,BA$1=Units!$O63),Units!$R63,IF(AND(BA$1&gt;=Units!$Q63,MOD(BA$1-Units!$Q63,12)=0),IF(AND(Units!$L63=1,BA$1=Units!$Q63),IF(Units!$J63&lt;&gt;"",Units!$J63,Mkt!BA64),Inputs!$B$15*Mkt!BA64+(1-Inputs!$B$15)*MIN(Mkt!BA64,AZ64*(1+Inputs!$B$18))),AZ64)))</f>
        <v>1666.408675</v>
      </c>
      <c r="BB64" s="11" t="n">
        <f aca="false">IF(BB$1&lt;Units!$P63,0,IF(AND(Units!$K63=0,BB$1=Units!$O63),Units!$R63,IF(AND(BB$1&gt;=Units!$Q63,MOD(BB$1-Units!$Q63,12)=0),IF(AND(Units!$L63=1,BB$1=Units!$Q63),IF(Units!$J63&lt;&gt;"",Units!$J63,Mkt!BB64),Inputs!$B$15*Mkt!BB64+(1-Inputs!$B$15)*MIN(Mkt!BB64,BA64*(1+Inputs!$B$18))),BA64)))</f>
        <v>1666.408675</v>
      </c>
      <c r="BC64" s="11" t="n">
        <f aca="false">IF(BC$1&lt;Units!$P63,0,IF(AND(Units!$K63=0,BC$1=Units!$O63),Units!$R63,IF(AND(BC$1&gt;=Units!$Q63,MOD(BC$1-Units!$Q63,12)=0),IF(AND(Units!$L63=1,BC$1=Units!$Q63),IF(Units!$J63&lt;&gt;"",Units!$J63,Mkt!BC64),Inputs!$B$15*Mkt!BC64+(1-Inputs!$B$15)*MIN(Mkt!BC64,BB64*(1+Inputs!$B$18))),BB64)))</f>
        <v>1666.408675</v>
      </c>
      <c r="BD64" s="11" t="n">
        <f aca="false">IF(BD$1&lt;Units!$P63,0,IF(AND(Units!$K63=0,BD$1=Units!$O63),Units!$R63,IF(AND(BD$1&gt;=Units!$Q63,MOD(BD$1-Units!$Q63,12)=0),IF(AND(Units!$L63=1,BD$1=Units!$Q63),IF(Units!$J63&lt;&gt;"",Units!$J63,Mkt!BD64),Inputs!$B$15*Mkt!BD64+(1-Inputs!$B$15)*MIN(Mkt!BD64,BC64*(1+Inputs!$B$18))),BC64)))</f>
        <v>1716.40093525</v>
      </c>
      <c r="BE64" s="11" t="n">
        <f aca="false">IF(BE$1&lt;Units!$P63,0,IF(AND(Units!$K63=0,BE$1=Units!$O63),Units!$R63,IF(AND(BE$1&gt;=Units!$Q63,MOD(BE$1-Units!$Q63,12)=0),IF(AND(Units!$L63=1,BE$1=Units!$Q63),IF(Units!$J63&lt;&gt;"",Units!$J63,Mkt!BE64),Inputs!$B$15*Mkt!BE64+(1-Inputs!$B$15)*MIN(Mkt!BE64,BD64*(1+Inputs!$B$18))),BD64)))</f>
        <v>1716.40093525</v>
      </c>
      <c r="BF64" s="11" t="n">
        <f aca="false">IF(BF$1&lt;Units!$P63,0,IF(AND(Units!$K63=0,BF$1=Units!$O63),Units!$R63,IF(AND(BF$1&gt;=Units!$Q63,MOD(BF$1-Units!$Q63,12)=0),IF(AND(Units!$L63=1,BF$1=Units!$Q63),IF(Units!$J63&lt;&gt;"",Units!$J63,Mkt!BF64),Inputs!$B$15*Mkt!BF64+(1-Inputs!$B$15)*MIN(Mkt!BF64,BE64*(1+Inputs!$B$18))),BE64)))</f>
        <v>1716.40093525</v>
      </c>
      <c r="BG64" s="11" t="n">
        <f aca="false">IF(BG$1&lt;Units!$P63,0,IF(AND(Units!$K63=0,BG$1=Units!$O63),Units!$R63,IF(AND(BG$1&gt;=Units!$Q63,MOD(BG$1-Units!$Q63,12)=0),IF(AND(Units!$L63=1,BG$1=Units!$Q63),IF(Units!$J63&lt;&gt;"",Units!$J63,Mkt!BG64),Inputs!$B$15*Mkt!BG64+(1-Inputs!$B$15)*MIN(Mkt!BG64,BF64*(1+Inputs!$B$18))),BF64)))</f>
        <v>1716.40093525</v>
      </c>
      <c r="BH64" s="11" t="n">
        <f aca="false">IF(BH$1&lt;Units!$P63,0,IF(AND(Units!$K63=0,BH$1=Units!$O63),Units!$R63,IF(AND(BH$1&gt;=Units!$Q63,MOD(BH$1-Units!$Q63,12)=0),IF(AND(Units!$L63=1,BH$1=Units!$Q63),IF(Units!$J63&lt;&gt;"",Units!$J63,Mkt!BH64),Inputs!$B$15*Mkt!BH64+(1-Inputs!$B$15)*MIN(Mkt!BH64,BG64*(1+Inputs!$B$18))),BG64)))</f>
        <v>1716.40093525</v>
      </c>
      <c r="BI64" s="11" t="n">
        <f aca="false">IF(BI$1&lt;Units!$P63,0,IF(AND(Units!$K63=0,BI$1=Units!$O63),Units!$R63,IF(AND(BI$1&gt;=Units!$Q63,MOD(BI$1-Units!$Q63,12)=0),IF(AND(Units!$L63=1,BI$1=Units!$Q63),IF(Units!$J63&lt;&gt;"",Units!$J63,Mkt!BI64),Inputs!$B$15*Mkt!BI64+(1-Inputs!$B$15)*MIN(Mkt!BI64,BH64*(1+Inputs!$B$18))),BH64)))</f>
        <v>1716.40093525</v>
      </c>
      <c r="BJ64" s="11" t="n">
        <f aca="false">IF(BJ$1&lt;Units!$P63,0,IF(AND(Units!$K63=0,BJ$1=Units!$O63),Units!$R63,IF(AND(BJ$1&gt;=Units!$Q63,MOD(BJ$1-Units!$Q63,12)=0),IF(AND(Units!$L63=1,BJ$1=Units!$Q63),IF(Units!$J63&lt;&gt;"",Units!$J63,Mkt!BJ64),Inputs!$B$15*Mkt!BJ64+(1-Inputs!$B$15)*MIN(Mkt!BJ64,BI64*(1+Inputs!$B$18))),BI64)))</f>
        <v>1716.40093525</v>
      </c>
      <c r="BK64" s="11" t="n">
        <f aca="false">IF(BK$1&lt;Units!$P63,0,IF(AND(Units!$K63=0,BK$1=Units!$O63),Units!$R63,IF(AND(BK$1&gt;=Units!$Q63,MOD(BK$1-Units!$Q63,12)=0),IF(AND(Units!$L63=1,BK$1=Units!$Q63),IF(Units!$J63&lt;&gt;"",Units!$J63,Mkt!BK64),Inputs!$B$15*Mkt!BK64+(1-Inputs!$B$15)*MIN(Mkt!BK64,BJ64*(1+Inputs!$B$18))),BJ64)))</f>
        <v>1716.40093525</v>
      </c>
      <c r="BL64" s="11" t="n">
        <f aca="false">IF(BL$1&lt;Units!$P63,0,IF(AND(Units!$K63=0,BL$1=Units!$O63),Units!$R63,IF(AND(BL$1&gt;=Units!$Q63,MOD(BL$1-Units!$Q63,12)=0),IF(AND(Units!$L63=1,BL$1=Units!$Q63),IF(Units!$J63&lt;&gt;"",Units!$J63,Mkt!BL64),Inputs!$B$15*Mkt!BL64+(1-Inputs!$B$15)*MIN(Mkt!BL64,BK64*(1+Inputs!$B$18))),BK64)))</f>
        <v>1716.40093525</v>
      </c>
      <c r="BM64" s="11" t="n">
        <f aca="false">IF(BM$1&lt;Units!$P63,0,IF(AND(Units!$K63=0,BM$1=Units!$O63),Units!$R63,IF(AND(BM$1&gt;=Units!$Q63,MOD(BM$1-Units!$Q63,12)=0),IF(AND(Units!$L63=1,BM$1=Units!$Q63),IF(Units!$J63&lt;&gt;"",Units!$J63,Mkt!BM64),Inputs!$B$15*Mkt!BM64+(1-Inputs!$B$15)*MIN(Mkt!BM64,BL64*(1+Inputs!$B$18))),BL64)))</f>
        <v>1716.40093525</v>
      </c>
      <c r="BN64" s="11" t="n">
        <f aca="false">IF(BN$1&lt;Units!$P63,0,IF(AND(Units!$K63=0,BN$1=Units!$O63),Units!$R63,IF(AND(BN$1&gt;=Units!$Q63,MOD(BN$1-Units!$Q63,12)=0),IF(AND(Units!$L63=1,BN$1=Units!$Q63),IF(Units!$J63&lt;&gt;"",Units!$J63,Mkt!BN64),Inputs!$B$15*Mkt!BN64+(1-Inputs!$B$15)*MIN(Mkt!BN64,BM64*(1+Inputs!$B$18))),BM64)))</f>
        <v>1716.40093525</v>
      </c>
      <c r="BO64" s="11" t="n">
        <f aca="false">IF(BO$1&lt;Units!$P63,0,IF(AND(Units!$K63=0,BO$1=Units!$O63),Units!$R63,IF(AND(BO$1&gt;=Units!$Q63,MOD(BO$1-Units!$Q63,12)=0),IF(AND(Units!$L63=1,BO$1=Units!$Q63),IF(Units!$J63&lt;&gt;"",Units!$J63,Mkt!BO64),Inputs!$B$15*Mkt!BO64+(1-Inputs!$B$15)*MIN(Mkt!BO64,BN64*(1+Inputs!$B$18))),BN64)))</f>
        <v>1716.40093525</v>
      </c>
      <c r="BP64" s="11" t="n">
        <f aca="false">IF(BP$1&lt;Units!$P63,0,IF(AND(Units!$K63=0,BP$1=Units!$O63),Units!$R63,IF(AND(BP$1&gt;=Units!$Q63,MOD(BP$1-Units!$Q63,12)=0),IF(AND(Units!$L63=1,BP$1=Units!$Q63),IF(Units!$J63&lt;&gt;"",Units!$J63,Mkt!BP64),Inputs!$B$15*Mkt!BP64+(1-Inputs!$B$15)*MIN(Mkt!BP64,BO64*(1+Inputs!$B$18))),BO64)))</f>
        <v>1767.8929633075</v>
      </c>
      <c r="BQ64" s="11" t="n">
        <f aca="false">IF(BQ$1&lt;Units!$P63,0,IF(AND(Units!$K63=0,BQ$1=Units!$O63),Units!$R63,IF(AND(BQ$1&gt;=Units!$Q63,MOD(BQ$1-Units!$Q63,12)=0),IF(AND(Units!$L63=1,BQ$1=Units!$Q63),IF(Units!$J63&lt;&gt;"",Units!$J63,Mkt!BQ64),Inputs!$B$15*Mkt!BQ64+(1-Inputs!$B$15)*MIN(Mkt!BQ64,BP64*(1+Inputs!$B$18))),BP64)))</f>
        <v>1767.8929633075</v>
      </c>
      <c r="BR64" s="11" t="n">
        <f aca="false">IF(BR$1&lt;Units!$P63,0,IF(AND(Units!$K63=0,BR$1=Units!$O63),Units!$R63,IF(AND(BR$1&gt;=Units!$Q63,MOD(BR$1-Units!$Q63,12)=0),IF(AND(Units!$L63=1,BR$1=Units!$Q63),IF(Units!$J63&lt;&gt;"",Units!$J63,Mkt!BR64),Inputs!$B$15*Mkt!BR64+(1-Inputs!$B$15)*MIN(Mkt!BR64,BQ64*(1+Inputs!$B$18))),BQ64)))</f>
        <v>1767.8929633075</v>
      </c>
      <c r="BS64" s="11" t="n">
        <f aca="false">IF(BS$1&lt;Units!$P63,0,IF(AND(Units!$K63=0,BS$1=Units!$O63),Units!$R63,IF(AND(BS$1&gt;=Units!$Q63,MOD(BS$1-Units!$Q63,12)=0),IF(AND(Units!$L63=1,BS$1=Units!$Q63),IF(Units!$J63&lt;&gt;"",Units!$J63,Mkt!BS64),Inputs!$B$15*Mkt!BS64+(1-Inputs!$B$15)*MIN(Mkt!BS64,BR64*(1+Inputs!$B$18))),BR64)))</f>
        <v>1767.8929633075</v>
      </c>
      <c r="BT64" s="11" t="n">
        <f aca="false">IF(BT$1&lt;Units!$P63,0,IF(AND(Units!$K63=0,BT$1=Units!$O63),Units!$R63,IF(AND(BT$1&gt;=Units!$Q63,MOD(BT$1-Units!$Q63,12)=0),IF(AND(Units!$L63=1,BT$1=Units!$Q63),IF(Units!$J63&lt;&gt;"",Units!$J63,Mkt!BT64),Inputs!$B$15*Mkt!BT64+(1-Inputs!$B$15)*MIN(Mkt!BT64,BS64*(1+Inputs!$B$18))),BS64)))</f>
        <v>1767.8929633075</v>
      </c>
      <c r="BU64" s="11" t="n">
        <f aca="false">IF(BU$1&lt;Units!$P63,0,IF(AND(Units!$K63=0,BU$1=Units!$O63),Units!$R63,IF(AND(BU$1&gt;=Units!$Q63,MOD(BU$1-Units!$Q63,12)=0),IF(AND(Units!$L63=1,BU$1=Units!$Q63),IF(Units!$J63&lt;&gt;"",Units!$J63,Mkt!BU64),Inputs!$B$15*Mkt!BU64+(1-Inputs!$B$15)*MIN(Mkt!BU64,BT64*(1+Inputs!$B$18))),BT64)))</f>
        <v>1767.8929633075</v>
      </c>
      <c r="BV64" s="11" t="n">
        <f aca="false">IF(BV$1&lt;Units!$P63,0,IF(AND(Units!$K63=0,BV$1=Units!$O63),Units!$R63,IF(AND(BV$1&gt;=Units!$Q63,MOD(BV$1-Units!$Q63,12)=0),IF(AND(Units!$L63=1,BV$1=Units!$Q63),IF(Units!$J63&lt;&gt;"",Units!$J63,Mkt!BV64),Inputs!$B$15*Mkt!BV64+(1-Inputs!$B$15)*MIN(Mkt!BV64,BU64*(1+Inputs!$B$18))),BU64)))</f>
        <v>1767.8929633075</v>
      </c>
      <c r="BW64" s="11" t="n">
        <f aca="false">IF(BW$1&lt;Units!$P63,0,IF(AND(Units!$K63=0,BW$1=Units!$O63),Units!$R63,IF(AND(BW$1&gt;=Units!$Q63,MOD(BW$1-Units!$Q63,12)=0),IF(AND(Units!$L63=1,BW$1=Units!$Q63),IF(Units!$J63&lt;&gt;"",Units!$J63,Mkt!BW64),Inputs!$B$15*Mkt!BW64+(1-Inputs!$B$15)*MIN(Mkt!BW64,BV64*(1+Inputs!$B$18))),BV64)))</f>
        <v>1767.8929633075</v>
      </c>
      <c r="BX64" s="11" t="n">
        <f aca="false">IF(BX$1&lt;Units!$P63,0,IF(AND(Units!$K63=0,BX$1=Units!$O63),Units!$R63,IF(AND(BX$1&gt;=Units!$Q63,MOD(BX$1-Units!$Q63,12)=0),IF(AND(Units!$L63=1,BX$1=Units!$Q63),IF(Units!$J63&lt;&gt;"",Units!$J63,Mkt!BX64),Inputs!$B$15*Mkt!BX64+(1-Inputs!$B$15)*MIN(Mkt!BX64,BW64*(1+Inputs!$B$18))),BW64)))</f>
        <v>1767.8929633075</v>
      </c>
      <c r="BY64" s="11" t="n">
        <f aca="false">IF(BY$1&lt;Units!$P63,0,IF(AND(Units!$K63=0,BY$1=Units!$O63),Units!$R63,IF(AND(BY$1&gt;=Units!$Q63,MOD(BY$1-Units!$Q63,12)=0),IF(AND(Units!$L63=1,BY$1=Units!$Q63),IF(Units!$J63&lt;&gt;"",Units!$J63,Mkt!BY64),Inputs!$B$15*Mkt!BY64+(1-Inputs!$B$15)*MIN(Mkt!BY64,BX64*(1+Inputs!$B$18))),BX64)))</f>
        <v>1767.8929633075</v>
      </c>
      <c r="BZ64" s="11" t="n">
        <f aca="false">IF(BZ$1&lt;Units!$P63,0,IF(AND(Units!$K63=0,BZ$1=Units!$O63),Units!$R63,IF(AND(BZ$1&gt;=Units!$Q63,MOD(BZ$1-Units!$Q63,12)=0),IF(AND(Units!$L63=1,BZ$1=Units!$Q63),IF(Units!$J63&lt;&gt;"",Units!$J63,Mkt!BZ64),Inputs!$B$15*Mkt!BZ64+(1-Inputs!$B$15)*MIN(Mkt!BZ64,BY64*(1+Inputs!$B$18))),BY64)))</f>
        <v>1767.8929633075</v>
      </c>
      <c r="CA64" s="11" t="n">
        <f aca="false">IF(CA$1&lt;Units!$P63,0,IF(AND(Units!$K63=0,CA$1=Units!$O63),Units!$R63,IF(AND(CA$1&gt;=Units!$Q63,MOD(CA$1-Units!$Q63,12)=0),IF(AND(Units!$L63=1,CA$1=Units!$Q63),IF(Units!$J63&lt;&gt;"",Units!$J63,Mkt!CA64),Inputs!$B$15*Mkt!CA64+(1-Inputs!$B$15)*MIN(Mkt!CA64,BZ64*(1+Inputs!$B$18))),BZ64)))</f>
        <v>1767.8929633075</v>
      </c>
      <c r="CB64" s="11" t="n">
        <f aca="false">IF(CB$1&lt;Units!$P63,0,IF(AND(Units!$K63=0,CB$1=Units!$O63),Units!$R63,IF(AND(CB$1&gt;=Units!$Q63,MOD(CB$1-Units!$Q63,12)=0),IF(AND(Units!$L63=1,CB$1=Units!$Q63),IF(Units!$J63&lt;&gt;"",Units!$J63,Mkt!CB64),Inputs!$B$15*Mkt!CB64+(1-Inputs!$B$15)*MIN(Mkt!CB64,CA64*(1+Inputs!$B$18))),CA64)))</f>
        <v>1820.92975220673</v>
      </c>
      <c r="CC64" s="11" t="n">
        <f aca="false">IF(CC$1&lt;Units!$P63,0,IF(AND(Units!$K63=0,CC$1=Units!$O63),Units!$R63,IF(AND(CC$1&gt;=Units!$Q63,MOD(CC$1-Units!$Q63,12)=0),IF(AND(Units!$L63=1,CC$1=Units!$Q63),IF(Units!$J63&lt;&gt;"",Units!$J63,Mkt!CC64),Inputs!$B$15*Mkt!CC64+(1-Inputs!$B$15)*MIN(Mkt!CC64,CB64*(1+Inputs!$B$18))),CB64)))</f>
        <v>1820.92975220673</v>
      </c>
      <c r="CD64" s="11" t="n">
        <f aca="false">IF(CD$1&lt;Units!$P63,0,IF(AND(Units!$K63=0,CD$1=Units!$O63),Units!$R63,IF(AND(CD$1&gt;=Units!$Q63,MOD(CD$1-Units!$Q63,12)=0),IF(AND(Units!$L63=1,CD$1=Units!$Q63),IF(Units!$J63&lt;&gt;"",Units!$J63,Mkt!CD64),Inputs!$B$15*Mkt!CD64+(1-Inputs!$B$15)*MIN(Mkt!CD64,CC64*(1+Inputs!$B$18))),CC64)))</f>
        <v>1820.92975220673</v>
      </c>
      <c r="CE64" s="11" t="n">
        <f aca="false">IF(CE$1&lt;Units!$P63,0,IF(AND(Units!$K63=0,CE$1=Units!$O63),Units!$R63,IF(AND(CE$1&gt;=Units!$Q63,MOD(CE$1-Units!$Q63,12)=0),IF(AND(Units!$L63=1,CE$1=Units!$Q63),IF(Units!$J63&lt;&gt;"",Units!$J63,Mkt!CE64),Inputs!$B$15*Mkt!CE64+(1-Inputs!$B$15)*MIN(Mkt!CE64,CD64*(1+Inputs!$B$18))),CD64)))</f>
        <v>1820.92975220673</v>
      </c>
      <c r="CF64" s="11" t="n">
        <f aca="false">IF(CF$1&lt;Units!$P63,0,IF(AND(Units!$K63=0,CF$1=Units!$O63),Units!$R63,IF(AND(CF$1&gt;=Units!$Q63,MOD(CF$1-Units!$Q63,12)=0),IF(AND(Units!$L63=1,CF$1=Units!$Q63),IF(Units!$J63&lt;&gt;"",Units!$J63,Mkt!CF64),Inputs!$B$15*Mkt!CF64+(1-Inputs!$B$15)*MIN(Mkt!CF64,CE64*(1+Inputs!$B$18))),CE64)))</f>
        <v>1820.92975220673</v>
      </c>
      <c r="CG64" s="11" t="n">
        <f aca="false">IF(CG$1&lt;Units!$P63,0,IF(AND(Units!$K63=0,CG$1=Units!$O63),Units!$R63,IF(AND(CG$1&gt;=Units!$Q63,MOD(CG$1-Units!$Q63,12)=0),IF(AND(Units!$L63=1,CG$1=Units!$Q63),IF(Units!$J63&lt;&gt;"",Units!$J63,Mkt!CG64),Inputs!$B$15*Mkt!CG64+(1-Inputs!$B$15)*MIN(Mkt!CG64,CF64*(1+Inputs!$B$18))),CF64)))</f>
        <v>1820.92975220673</v>
      </c>
      <c r="CH64" s="11" t="n">
        <f aca="false">IF(CH$1&lt;Units!$P63,0,IF(AND(Units!$K63=0,CH$1=Units!$O63),Units!$R63,IF(AND(CH$1&gt;=Units!$Q63,MOD(CH$1-Units!$Q63,12)=0),IF(AND(Units!$L63=1,CH$1=Units!$Q63),IF(Units!$J63&lt;&gt;"",Units!$J63,Mkt!CH64),Inputs!$B$15*Mkt!CH64+(1-Inputs!$B$15)*MIN(Mkt!CH64,CG64*(1+Inputs!$B$18))),CG64)))</f>
        <v>1820.92975220673</v>
      </c>
      <c r="CI64" s="11" t="n">
        <f aca="false">IF(CI$1&lt;Units!$P63,0,IF(AND(Units!$K63=0,CI$1=Units!$O63),Units!$R63,IF(AND(CI$1&gt;=Units!$Q63,MOD(CI$1-Units!$Q63,12)=0),IF(AND(Units!$L63=1,CI$1=Units!$Q63),IF(Units!$J63&lt;&gt;"",Units!$J63,Mkt!CI64),Inputs!$B$15*Mkt!CI64+(1-Inputs!$B$15)*MIN(Mkt!CI64,CH64*(1+Inputs!$B$18))),CH64)))</f>
        <v>1820.92975220673</v>
      </c>
      <c r="CJ64" s="11" t="n">
        <f aca="false">IF(CJ$1&lt;Units!$P63,0,IF(AND(Units!$K63=0,CJ$1=Units!$O63),Units!$R63,IF(AND(CJ$1&gt;=Units!$Q63,MOD(CJ$1-Units!$Q63,12)=0),IF(AND(Units!$L63=1,CJ$1=Units!$Q63),IF(Units!$J63&lt;&gt;"",Units!$J63,Mkt!CJ64),Inputs!$B$15*Mkt!CJ64+(1-Inputs!$B$15)*MIN(Mkt!CJ64,CI64*(1+Inputs!$B$18))),CI64)))</f>
        <v>1820.92975220673</v>
      </c>
      <c r="CK64" s="11" t="n">
        <f aca="false">IF(CK$1&lt;Units!$P63,0,IF(AND(Units!$K63=0,CK$1=Units!$O63),Units!$R63,IF(AND(CK$1&gt;=Units!$Q63,MOD(CK$1-Units!$Q63,12)=0),IF(AND(Units!$L63=1,CK$1=Units!$Q63),IF(Units!$J63&lt;&gt;"",Units!$J63,Mkt!CK64),Inputs!$B$15*Mkt!CK64+(1-Inputs!$B$15)*MIN(Mkt!CK64,CJ64*(1+Inputs!$B$18))),CJ64)))</f>
        <v>1820.92975220673</v>
      </c>
      <c r="CL64" s="11" t="n">
        <f aca="false">IF(CL$1&lt;Units!$P63,0,IF(AND(Units!$K63=0,CL$1=Units!$O63),Units!$R63,IF(AND(CL$1&gt;=Units!$Q63,MOD(CL$1-Units!$Q63,12)=0),IF(AND(Units!$L63=1,CL$1=Units!$Q63),IF(Units!$J63&lt;&gt;"",Units!$J63,Mkt!CL64),Inputs!$B$15*Mkt!CL64+(1-Inputs!$B$15)*MIN(Mkt!CL64,CK64*(1+Inputs!$B$18))),CK64)))</f>
        <v>1820.92975220673</v>
      </c>
      <c r="CM64" s="11" t="n">
        <f aca="false">IF(CM$1&lt;Units!$P63,0,IF(AND(Units!$K63=0,CM$1=Units!$O63),Units!$R63,IF(AND(CM$1&gt;=Units!$Q63,MOD(CM$1-Units!$Q63,12)=0),IF(AND(Units!$L63=1,CM$1=Units!$Q63),IF(Units!$J63&lt;&gt;"",Units!$J63,Mkt!CM64),Inputs!$B$15*Mkt!CM64+(1-Inputs!$B$15)*MIN(Mkt!CM64,CL64*(1+Inputs!$B$18))),CL64)))</f>
        <v>1820.92975220673</v>
      </c>
      <c r="CN64" s="11" t="n">
        <f aca="false">IF(CN$1&lt;Units!$P63,0,IF(AND(Units!$K63=0,CN$1=Units!$O63),Units!$R63,IF(AND(CN$1&gt;=Units!$Q63,MOD(CN$1-Units!$Q63,12)=0),IF(AND(Units!$L63=1,CN$1=Units!$Q63),IF(Units!$J63&lt;&gt;"",Units!$J63,Mkt!CN64),Inputs!$B$15*Mkt!CN64+(1-Inputs!$B$15)*MIN(Mkt!CN64,CM64*(1+Inputs!$B$18))),CM64)))</f>
        <v>1875.55764477293</v>
      </c>
      <c r="CO64" s="11" t="n">
        <f aca="false">IF(CO$1&lt;Units!$P63,0,IF(AND(Units!$K63=0,CO$1=Units!$O63),Units!$R63,IF(AND(CO$1&gt;=Units!$Q63,MOD(CO$1-Units!$Q63,12)=0),IF(AND(Units!$L63=1,CO$1=Units!$Q63),IF(Units!$J63&lt;&gt;"",Units!$J63,Mkt!CO64),Inputs!$B$15*Mkt!CO64+(1-Inputs!$B$15)*MIN(Mkt!CO64,CN64*(1+Inputs!$B$18))),CN64)))</f>
        <v>1875.55764477293</v>
      </c>
      <c r="CP64" s="11" t="n">
        <f aca="false">IF(CP$1&lt;Units!$P63,0,IF(AND(Units!$K63=0,CP$1=Units!$O63),Units!$R63,IF(AND(CP$1&gt;=Units!$Q63,MOD(CP$1-Units!$Q63,12)=0),IF(AND(Units!$L63=1,CP$1=Units!$Q63),IF(Units!$J63&lt;&gt;"",Units!$J63,Mkt!CP64),Inputs!$B$15*Mkt!CP64+(1-Inputs!$B$15)*MIN(Mkt!CP64,CO64*(1+Inputs!$B$18))),CO64)))</f>
        <v>1875.55764477293</v>
      </c>
      <c r="CQ64" s="11" t="n">
        <f aca="false">IF(CQ$1&lt;Units!$P63,0,IF(AND(Units!$K63=0,CQ$1=Units!$O63),Units!$R63,IF(AND(CQ$1&gt;=Units!$Q63,MOD(CQ$1-Units!$Q63,12)=0),IF(AND(Units!$L63=1,CQ$1=Units!$Q63),IF(Units!$J63&lt;&gt;"",Units!$J63,Mkt!CQ64),Inputs!$B$15*Mkt!CQ64+(1-Inputs!$B$15)*MIN(Mkt!CQ64,CP64*(1+Inputs!$B$18))),CP64)))</f>
        <v>1875.55764477293</v>
      </c>
      <c r="CR64" s="11" t="n">
        <f aca="false">IF(CR$1&lt;Units!$P63,0,IF(AND(Units!$K63=0,CR$1=Units!$O63),Units!$R63,IF(AND(CR$1&gt;=Units!$Q63,MOD(CR$1-Units!$Q63,12)=0),IF(AND(Units!$L63=1,CR$1=Units!$Q63),IF(Units!$J63&lt;&gt;"",Units!$J63,Mkt!CR64),Inputs!$B$15*Mkt!CR64+(1-Inputs!$B$15)*MIN(Mkt!CR64,CQ64*(1+Inputs!$B$18))),CQ64)))</f>
        <v>1875.55764477293</v>
      </c>
      <c r="CS64" s="11" t="n">
        <f aca="false">IF(CS$1&lt;Units!$P63,0,IF(AND(Units!$K63=0,CS$1=Units!$O63),Units!$R63,IF(AND(CS$1&gt;=Units!$Q63,MOD(CS$1-Units!$Q63,12)=0),IF(AND(Units!$L63=1,CS$1=Units!$Q63),IF(Units!$J63&lt;&gt;"",Units!$J63,Mkt!CS64),Inputs!$B$15*Mkt!CS64+(1-Inputs!$B$15)*MIN(Mkt!CS64,CR64*(1+Inputs!$B$18))),CR64)))</f>
        <v>1875.55764477293</v>
      </c>
      <c r="CT64" s="11" t="n">
        <f aca="false">IF(CT$1&lt;Units!$P63,0,IF(AND(Units!$K63=0,CT$1=Units!$O63),Units!$R63,IF(AND(CT$1&gt;=Units!$Q63,MOD(CT$1-Units!$Q63,12)=0),IF(AND(Units!$L63=1,CT$1=Units!$Q63),IF(Units!$J63&lt;&gt;"",Units!$J63,Mkt!CT64),Inputs!$B$15*Mkt!CT64+(1-Inputs!$B$15)*MIN(Mkt!CT64,CS64*(1+Inputs!$B$18))),CS64)))</f>
        <v>1875.55764477293</v>
      </c>
      <c r="CU64" s="11" t="n">
        <f aca="false">IF(CU$1&lt;Units!$P63,0,IF(AND(Units!$K63=0,CU$1=Units!$O63),Units!$R63,IF(AND(CU$1&gt;=Units!$Q63,MOD(CU$1-Units!$Q63,12)=0),IF(AND(Units!$L63=1,CU$1=Units!$Q63),IF(Units!$J63&lt;&gt;"",Units!$J63,Mkt!CU64),Inputs!$B$15*Mkt!CU64+(1-Inputs!$B$15)*MIN(Mkt!CU64,CT64*(1+Inputs!$B$18))),CT64)))</f>
        <v>1875.55764477293</v>
      </c>
      <c r="CV64" s="11" t="n">
        <f aca="false">IF(CV$1&lt;Units!$P63,0,IF(AND(Units!$K63=0,CV$1=Units!$O63),Units!$R63,IF(AND(CV$1&gt;=Units!$Q63,MOD(CV$1-Units!$Q63,12)=0),IF(AND(Units!$L63=1,CV$1=Units!$Q63),IF(Units!$J63&lt;&gt;"",Units!$J63,Mkt!CV64),Inputs!$B$15*Mkt!CV64+(1-Inputs!$B$15)*MIN(Mkt!CV64,CU64*(1+Inputs!$B$18))),CU64)))</f>
        <v>1875.55764477293</v>
      </c>
      <c r="CW64" s="11" t="n">
        <f aca="false">IF(CW$1&lt;Units!$P63,0,IF(AND(Units!$K63=0,CW$1=Units!$O63),Units!$R63,IF(AND(CW$1&gt;=Units!$Q63,MOD(CW$1-Units!$Q63,12)=0),IF(AND(Units!$L63=1,CW$1=Units!$Q63),IF(Units!$J63&lt;&gt;"",Units!$J63,Mkt!CW64),Inputs!$B$15*Mkt!CW64+(1-Inputs!$B$15)*MIN(Mkt!CW64,CV64*(1+Inputs!$B$18))),CV64)))</f>
        <v>1875.55764477293</v>
      </c>
      <c r="CX64" s="11" t="n">
        <f aca="false">IF(CX$1&lt;Units!$P63,0,IF(AND(Units!$K63=0,CX$1=Units!$O63),Units!$R63,IF(AND(CX$1&gt;=Units!$Q63,MOD(CX$1-Units!$Q63,12)=0),IF(AND(Units!$L63=1,CX$1=Units!$Q63),IF(Units!$J63&lt;&gt;"",Units!$J63,Mkt!CX64),Inputs!$B$15*Mkt!CX64+(1-Inputs!$B$15)*MIN(Mkt!CX64,CW64*(1+Inputs!$B$18))),CW64)))</f>
        <v>1875.55764477293</v>
      </c>
      <c r="CY64" s="11" t="n">
        <f aca="false">IF(CY$1&lt;Units!$P63,0,IF(AND(Units!$K63=0,CY$1=Units!$O63),Units!$R63,IF(AND(CY$1&gt;=Units!$Q63,MOD(CY$1-Units!$Q63,12)=0),IF(AND(Units!$L63=1,CY$1=Units!$Q63),IF(Units!$J63&lt;&gt;"",Units!$J63,Mkt!CY64),Inputs!$B$15*Mkt!CY64+(1-Inputs!$B$15)*MIN(Mkt!CY64,CX64*(1+Inputs!$B$18))),CX64)))</f>
        <v>1875.55764477293</v>
      </c>
      <c r="CZ64" s="11" t="n">
        <f aca="false">IF(CZ$1&lt;Units!$P63,0,IF(AND(Units!$K63=0,CZ$1=Units!$O63),Units!$R63,IF(AND(CZ$1&gt;=Units!$Q63,MOD(CZ$1-Units!$Q63,12)=0),IF(AND(Units!$L63=1,CZ$1=Units!$Q63),IF(Units!$J63&lt;&gt;"",Units!$J63,Mkt!CZ64),Inputs!$B$15*Mkt!CZ64+(1-Inputs!$B$15)*MIN(Mkt!CZ64,CY64*(1+Inputs!$B$18))),CY64)))</f>
        <v>1931.82437411612</v>
      </c>
      <c r="DA64" s="11" t="n">
        <f aca="false">IF(DA$1&lt;Units!$P63,0,IF(AND(Units!$K63=0,DA$1=Units!$O63),Units!$R63,IF(AND(DA$1&gt;=Units!$Q63,MOD(DA$1-Units!$Q63,12)=0),IF(AND(Units!$L63=1,DA$1=Units!$Q63),IF(Units!$J63&lt;&gt;"",Units!$J63,Mkt!DA64),Inputs!$B$15*Mkt!DA64+(1-Inputs!$B$15)*MIN(Mkt!DA64,CZ64*(1+Inputs!$B$18))),CZ64)))</f>
        <v>1931.82437411612</v>
      </c>
      <c r="DB64" s="11" t="n">
        <f aca="false">IF(DB$1&lt;Units!$P63,0,IF(AND(Units!$K63=0,DB$1=Units!$O63),Units!$R63,IF(AND(DB$1&gt;=Units!$Q63,MOD(DB$1-Units!$Q63,12)=0),IF(AND(Units!$L63=1,DB$1=Units!$Q63),IF(Units!$J63&lt;&gt;"",Units!$J63,Mkt!DB64),Inputs!$B$15*Mkt!DB64+(1-Inputs!$B$15)*MIN(Mkt!DB64,DA64*(1+Inputs!$B$18))),DA64)))</f>
        <v>1931.82437411612</v>
      </c>
      <c r="DC64" s="11" t="n">
        <f aca="false">IF(DC$1&lt;Units!$P63,0,IF(AND(Units!$K63=0,DC$1=Units!$O63),Units!$R63,IF(AND(DC$1&gt;=Units!$Q63,MOD(DC$1-Units!$Q63,12)=0),IF(AND(Units!$L63=1,DC$1=Units!$Q63),IF(Units!$J63&lt;&gt;"",Units!$J63,Mkt!DC64),Inputs!$B$15*Mkt!DC64+(1-Inputs!$B$15)*MIN(Mkt!DC64,DB64*(1+Inputs!$B$18))),DB64)))</f>
        <v>1931.82437411612</v>
      </c>
      <c r="DD64" s="11" t="n">
        <f aca="false">IF(DD$1&lt;Units!$P63,0,IF(AND(Units!$K63=0,DD$1=Units!$O63),Units!$R63,IF(AND(DD$1&gt;=Units!$Q63,MOD(DD$1-Units!$Q63,12)=0),IF(AND(Units!$L63=1,DD$1=Units!$Q63),IF(Units!$J63&lt;&gt;"",Units!$J63,Mkt!DD64),Inputs!$B$15*Mkt!DD64+(1-Inputs!$B$15)*MIN(Mkt!DD64,DC64*(1+Inputs!$B$18))),DC64)))</f>
        <v>1931.82437411612</v>
      </c>
      <c r="DE64" s="11" t="n">
        <f aca="false">IF(DE$1&lt;Units!$P63,0,IF(AND(Units!$K63=0,DE$1=Units!$O63),Units!$R63,IF(AND(DE$1&gt;=Units!$Q63,MOD(DE$1-Units!$Q63,12)=0),IF(AND(Units!$L63=1,DE$1=Units!$Q63),IF(Units!$J63&lt;&gt;"",Units!$J63,Mkt!DE64),Inputs!$B$15*Mkt!DE64+(1-Inputs!$B$15)*MIN(Mkt!DE64,DD64*(1+Inputs!$B$18))),DD64)))</f>
        <v>1931.82437411612</v>
      </c>
      <c r="DF64" s="11" t="n">
        <f aca="false">IF(DF$1&lt;Units!$P63,0,IF(AND(Units!$K63=0,DF$1=Units!$O63),Units!$R63,IF(AND(DF$1&gt;=Units!$Q63,MOD(DF$1-Units!$Q63,12)=0),IF(AND(Units!$L63=1,DF$1=Units!$Q63),IF(Units!$J63&lt;&gt;"",Units!$J63,Mkt!DF64),Inputs!$B$15*Mkt!DF64+(1-Inputs!$B$15)*MIN(Mkt!DF64,DE64*(1+Inputs!$B$18))),DE64)))</f>
        <v>1931.82437411612</v>
      </c>
      <c r="DG64" s="11" t="n">
        <f aca="false">IF(DG$1&lt;Units!$P63,0,IF(AND(Units!$K63=0,DG$1=Units!$O63),Units!$R63,IF(AND(DG$1&gt;=Units!$Q63,MOD(DG$1-Units!$Q63,12)=0),IF(AND(Units!$L63=1,DG$1=Units!$Q63),IF(Units!$J63&lt;&gt;"",Units!$J63,Mkt!DG64),Inputs!$B$15*Mkt!DG64+(1-Inputs!$B$15)*MIN(Mkt!DG64,DF64*(1+Inputs!$B$18))),DF64)))</f>
        <v>1931.82437411612</v>
      </c>
      <c r="DH64" s="11" t="n">
        <f aca="false">IF(DH$1&lt;Units!$P63,0,IF(AND(Units!$K63=0,DH$1=Units!$O63),Units!$R63,IF(AND(DH$1&gt;=Units!$Q63,MOD(DH$1-Units!$Q63,12)=0),IF(AND(Units!$L63=1,DH$1=Units!$Q63),IF(Units!$J63&lt;&gt;"",Units!$J63,Mkt!DH64),Inputs!$B$15*Mkt!DH64+(1-Inputs!$B$15)*MIN(Mkt!DH64,DG64*(1+Inputs!$B$18))),DG64)))</f>
        <v>1931.82437411612</v>
      </c>
      <c r="DI64" s="11" t="n">
        <f aca="false">IF(DI$1&lt;Units!$P63,0,IF(AND(Units!$K63=0,DI$1=Units!$O63),Units!$R63,IF(AND(DI$1&gt;=Units!$Q63,MOD(DI$1-Units!$Q63,12)=0),IF(AND(Units!$L63=1,DI$1=Units!$Q63),IF(Units!$J63&lt;&gt;"",Units!$J63,Mkt!DI64),Inputs!$B$15*Mkt!DI64+(1-Inputs!$B$15)*MIN(Mkt!DI64,DH64*(1+Inputs!$B$18))),DH64)))</f>
        <v>1931.82437411612</v>
      </c>
      <c r="DJ64" s="11" t="n">
        <f aca="false">IF(DJ$1&lt;Units!$P63,0,IF(AND(Units!$K63=0,DJ$1=Units!$O63),Units!$R63,IF(AND(DJ$1&gt;=Units!$Q63,MOD(DJ$1-Units!$Q63,12)=0),IF(AND(Units!$L63=1,DJ$1=Units!$Q63),IF(Units!$J63&lt;&gt;"",Units!$J63,Mkt!DJ64),Inputs!$B$15*Mkt!DJ64+(1-Inputs!$B$15)*MIN(Mkt!DJ64,DI64*(1+Inputs!$B$18))),DI64)))</f>
        <v>1931.82437411612</v>
      </c>
      <c r="DK64" s="11" t="n">
        <f aca="false">IF(DK$1&lt;Units!$P63,0,IF(AND(Units!$K63=0,DK$1=Units!$O63),Units!$R63,IF(AND(DK$1&gt;=Units!$Q63,MOD(DK$1-Units!$Q63,12)=0),IF(AND(Units!$L63=1,DK$1=Units!$Q63),IF(Units!$J63&lt;&gt;"",Units!$J63,Mkt!DK64),Inputs!$B$15*Mkt!DK64+(1-Inputs!$B$15)*MIN(Mkt!DK64,DJ64*(1+Inputs!$B$18))),DJ64)))</f>
        <v>1931.82437411612</v>
      </c>
      <c r="DL64" s="11" t="n">
        <f aca="false">IF(DL$1&lt;Units!$P63,0,IF(AND(Units!$K63=0,DL$1=Units!$O63),Units!$R63,IF(AND(DL$1&gt;=Units!$Q63,MOD(DL$1-Units!$Q63,12)=0),IF(AND(Units!$L63=1,DL$1=Units!$Q63),IF(Units!$J63&lt;&gt;"",Units!$J63,Mkt!DL64),Inputs!$B$15*Mkt!DL64+(1-Inputs!$B$15)*MIN(Mkt!DL64,DK64*(1+Inputs!$B$18))),DK64)))</f>
        <v>1989.7791053396</v>
      </c>
      <c r="DM64" s="11" t="n">
        <f aca="false">IF(DM$1&lt;Units!$P63,0,IF(AND(Units!$K63=0,DM$1=Units!$O63),Units!$R63,IF(AND(DM$1&gt;=Units!$Q63,MOD(DM$1-Units!$Q63,12)=0),IF(AND(Units!$L63=1,DM$1=Units!$Q63),IF(Units!$J63&lt;&gt;"",Units!$J63,Mkt!DM64),Inputs!$B$15*Mkt!DM64+(1-Inputs!$B$15)*MIN(Mkt!DM64,DL64*(1+Inputs!$B$18))),DL64)))</f>
        <v>1989.7791053396</v>
      </c>
      <c r="DN64" s="11" t="n">
        <f aca="false">IF(DN$1&lt;Units!$P63,0,IF(AND(Units!$K63=0,DN$1=Units!$O63),Units!$R63,IF(AND(DN$1&gt;=Units!$Q63,MOD(DN$1-Units!$Q63,12)=0),IF(AND(Units!$L63=1,DN$1=Units!$Q63),IF(Units!$J63&lt;&gt;"",Units!$J63,Mkt!DN64),Inputs!$B$15*Mkt!DN64+(1-Inputs!$B$15)*MIN(Mkt!DN64,DM64*(1+Inputs!$B$18))),DM64)))</f>
        <v>1989.7791053396</v>
      </c>
      <c r="DO64" s="11" t="n">
        <f aca="false">IF(DO$1&lt;Units!$P63,0,IF(AND(Units!$K63=0,DO$1=Units!$O63),Units!$R63,IF(AND(DO$1&gt;=Units!$Q63,MOD(DO$1-Units!$Q63,12)=0),IF(AND(Units!$L63=1,DO$1=Units!$Q63),IF(Units!$J63&lt;&gt;"",Units!$J63,Mkt!DO64),Inputs!$B$15*Mkt!DO64+(1-Inputs!$B$15)*MIN(Mkt!DO64,DN64*(1+Inputs!$B$18))),DN64)))</f>
        <v>1989.7791053396</v>
      </c>
      <c r="DP64" s="11" t="n">
        <f aca="false">IF(DP$1&lt;Units!$P63,0,IF(AND(Units!$K63=0,DP$1=Units!$O63),Units!$R63,IF(AND(DP$1&gt;=Units!$Q63,MOD(DP$1-Units!$Q63,12)=0),IF(AND(Units!$L63=1,DP$1=Units!$Q63),IF(Units!$J63&lt;&gt;"",Units!$J63,Mkt!DP64),Inputs!$B$15*Mkt!DP64+(1-Inputs!$B$15)*MIN(Mkt!DP64,DO64*(1+Inputs!$B$18))),DO64)))</f>
        <v>1989.7791053396</v>
      </c>
      <c r="DQ64" s="11" t="n">
        <f aca="false">IF(DQ$1&lt;Units!$P63,0,IF(AND(Units!$K63=0,DQ$1=Units!$O63),Units!$R63,IF(AND(DQ$1&gt;=Units!$Q63,MOD(DQ$1-Units!$Q63,12)=0),IF(AND(Units!$L63=1,DQ$1=Units!$Q63),IF(Units!$J63&lt;&gt;"",Units!$J63,Mkt!DQ64),Inputs!$B$15*Mkt!DQ64+(1-Inputs!$B$15)*MIN(Mkt!DQ64,DP64*(1+Inputs!$B$18))),DP64)))</f>
        <v>1989.7791053396</v>
      </c>
      <c r="DR64" s="11" t="n">
        <f aca="false">IF(DR$1&lt;Units!$P63,0,IF(AND(Units!$K63=0,DR$1=Units!$O63),Units!$R63,IF(AND(DR$1&gt;=Units!$Q63,MOD(DR$1-Units!$Q63,12)=0),IF(AND(Units!$L63=1,DR$1=Units!$Q63),IF(Units!$J63&lt;&gt;"",Units!$J63,Mkt!DR64),Inputs!$B$15*Mkt!DR64+(1-Inputs!$B$15)*MIN(Mkt!DR64,DQ64*(1+Inputs!$B$18))),DQ64)))</f>
        <v>1989.7791053396</v>
      </c>
      <c r="DS64" s="11" t="n">
        <f aca="false">IF(DS$1&lt;Units!$P63,0,IF(AND(Units!$K63=0,DS$1=Units!$O63),Units!$R63,IF(AND(DS$1&gt;=Units!$Q63,MOD(DS$1-Units!$Q63,12)=0),IF(AND(Units!$L63=1,DS$1=Units!$Q63),IF(Units!$J63&lt;&gt;"",Units!$J63,Mkt!DS64),Inputs!$B$15*Mkt!DS64+(1-Inputs!$B$15)*MIN(Mkt!DS64,DR64*(1+Inputs!$B$18))),DR64)))</f>
        <v>1989.7791053396</v>
      </c>
      <c r="DT64" s="11" t="n">
        <f aca="false">IF(DT$1&lt;Units!$P63,0,IF(AND(Units!$K63=0,DT$1=Units!$O63),Units!$R63,IF(AND(DT$1&gt;=Units!$Q63,MOD(DT$1-Units!$Q63,12)=0),IF(AND(Units!$L63=1,DT$1=Units!$Q63),IF(Units!$J63&lt;&gt;"",Units!$J63,Mkt!DT64),Inputs!$B$15*Mkt!DT64+(1-Inputs!$B$15)*MIN(Mkt!DT64,DS64*(1+Inputs!$B$18))),DS64)))</f>
        <v>1989.7791053396</v>
      </c>
      <c r="DU64" s="11" t="n">
        <f aca="false">IF(DU$1&lt;Units!$P63,0,IF(AND(Units!$K63=0,DU$1=Units!$O63),Units!$R63,IF(AND(DU$1&gt;=Units!$Q63,MOD(DU$1-Units!$Q63,12)=0),IF(AND(Units!$L63=1,DU$1=Units!$Q63),IF(Units!$J63&lt;&gt;"",Units!$J63,Mkt!DU64),Inputs!$B$15*Mkt!DU64+(1-Inputs!$B$15)*MIN(Mkt!DU64,DT64*(1+Inputs!$B$18))),DT64)))</f>
        <v>1989.7791053396</v>
      </c>
      <c r="DV64" s="11" t="n">
        <f aca="false">IF(DV$1&lt;Units!$P63,0,IF(AND(Units!$K63=0,DV$1=Units!$O63),Units!$R63,IF(AND(DV$1&gt;=Units!$Q63,MOD(DV$1-Units!$Q63,12)=0),IF(AND(Units!$L63=1,DV$1=Units!$Q63),IF(Units!$J63&lt;&gt;"",Units!$J63,Mkt!DV64),Inputs!$B$15*Mkt!DV64+(1-Inputs!$B$15)*MIN(Mkt!DV64,DU64*(1+Inputs!$B$18))),DU64)))</f>
        <v>1989.7791053396</v>
      </c>
      <c r="DW64" s="11" t="n">
        <f aca="false">IF(DW$1&lt;Units!$P63,0,IF(AND(Units!$K63=0,DW$1=Units!$O63),Units!$R63,IF(AND(DW$1&gt;=Units!$Q63,MOD(DW$1-Units!$Q63,12)=0),IF(AND(Units!$L63=1,DW$1=Units!$Q63),IF(Units!$J63&lt;&gt;"",Units!$J63,Mkt!DW64),Inputs!$B$15*Mkt!DW64+(1-Inputs!$B$15)*MIN(Mkt!DW64,DV64*(1+Inputs!$B$18))),DV64)))</f>
        <v>1989.7791053396</v>
      </c>
      <c r="DX64" s="11" t="n">
        <f aca="false">IF(DX$1&lt;Units!$P63,0,IF(AND(Units!$K63=0,DX$1=Units!$O63),Units!$R63,IF(AND(DX$1&gt;=Units!$Q63,MOD(DX$1-Units!$Q63,12)=0),IF(AND(Units!$L63=1,DX$1=Units!$Q63),IF(Units!$J63&lt;&gt;"",Units!$J63,Mkt!DX64),Inputs!$B$15*Mkt!DX64+(1-Inputs!$B$15)*MIN(Mkt!DX64,DW64*(1+Inputs!$B$18))),DW64)))</f>
        <v>2049.47247849979</v>
      </c>
      <c r="DY64" s="11" t="n">
        <f aca="false">IF(DY$1&lt;Units!$P63,0,IF(AND(Units!$K63=0,DY$1=Units!$O63),Units!$R63,IF(AND(DY$1&gt;=Units!$Q63,MOD(DY$1-Units!$Q63,12)=0),IF(AND(Units!$L63=1,DY$1=Units!$Q63),IF(Units!$J63&lt;&gt;"",Units!$J63,Mkt!DY64),Inputs!$B$15*Mkt!DY64+(1-Inputs!$B$15)*MIN(Mkt!DY64,DX64*(1+Inputs!$B$18))),DX64)))</f>
        <v>2049.47247849979</v>
      </c>
      <c r="DZ64" s="11" t="n">
        <f aca="false">IF(DZ$1&lt;Units!$P63,0,IF(AND(Units!$K63=0,DZ$1=Units!$O63),Units!$R63,IF(AND(DZ$1&gt;=Units!$Q63,MOD(DZ$1-Units!$Q63,12)=0),IF(AND(Units!$L63=1,DZ$1=Units!$Q63),IF(Units!$J63&lt;&gt;"",Units!$J63,Mkt!DZ64),Inputs!$B$15*Mkt!DZ64+(1-Inputs!$B$15)*MIN(Mkt!DZ64,DY64*(1+Inputs!$B$18))),DY64)))</f>
        <v>2049.47247849979</v>
      </c>
      <c r="EA64" s="11" t="n">
        <f aca="false">IF(EA$1&lt;Units!$P63,0,IF(AND(Units!$K63=0,EA$1=Units!$O63),Units!$R63,IF(AND(EA$1&gt;=Units!$Q63,MOD(EA$1-Units!$Q63,12)=0),IF(AND(Units!$L63=1,EA$1=Units!$Q63),IF(Units!$J63&lt;&gt;"",Units!$J63,Mkt!EA64),Inputs!$B$15*Mkt!EA64+(1-Inputs!$B$15)*MIN(Mkt!EA64,DZ64*(1+Inputs!$B$18))),DZ64)))</f>
        <v>2049.47247849979</v>
      </c>
      <c r="EB64" s="11" t="n">
        <f aca="false">IF(EB$1&lt;Units!$P63,0,IF(AND(Units!$K63=0,EB$1=Units!$O63),Units!$R63,IF(AND(EB$1&gt;=Units!$Q63,MOD(EB$1-Units!$Q63,12)=0),IF(AND(Units!$L63=1,EB$1=Units!$Q63),IF(Units!$J63&lt;&gt;"",Units!$J63,Mkt!EB64),Inputs!$B$15*Mkt!EB64+(1-Inputs!$B$15)*MIN(Mkt!EB64,EA64*(1+Inputs!$B$18))),EA64)))</f>
        <v>2049.47247849979</v>
      </c>
      <c r="EC64" s="11" t="n">
        <f aca="false">IF(EC$1&lt;Units!$P63,0,IF(AND(Units!$K63=0,EC$1=Units!$O63),Units!$R63,IF(AND(EC$1&gt;=Units!$Q63,MOD(EC$1-Units!$Q63,12)=0),IF(AND(Units!$L63=1,EC$1=Units!$Q63),IF(Units!$J63&lt;&gt;"",Units!$J63,Mkt!EC64),Inputs!$B$15*Mkt!EC64+(1-Inputs!$B$15)*MIN(Mkt!EC64,EB64*(1+Inputs!$B$18))),EB64)))</f>
        <v>2049.47247849979</v>
      </c>
      <c r="ED64" s="11" t="n">
        <f aca="false">IF(ED$1&lt;Units!$P63,0,IF(AND(Units!$K63=0,ED$1=Units!$O63),Units!$R63,IF(AND(ED$1&gt;=Units!$Q63,MOD(ED$1-Units!$Q63,12)=0),IF(AND(Units!$L63=1,ED$1=Units!$Q63),IF(Units!$J63&lt;&gt;"",Units!$J63,Mkt!ED64),Inputs!$B$15*Mkt!ED64+(1-Inputs!$B$15)*MIN(Mkt!ED64,EC64*(1+Inputs!$B$18))),EC64)))</f>
        <v>2049.47247849979</v>
      </c>
    </row>
    <row r="65" customFormat="false" ht="15" hidden="false" customHeight="false" outlineLevel="0" collapsed="false">
      <c r="A65" s="22" t="n">
        <f aca="false">Units!A64</f>
        <v>303</v>
      </c>
      <c r="B65" s="24" t="n">
        <f aca="false">IF(Units!K64=1,Units!F64,0)</f>
        <v>1450</v>
      </c>
      <c r="C65" s="11" t="n">
        <f aca="false">IF(C$1&lt;Units!$P64,0,IF(AND(Units!$K64=0,C$1=Units!$O64),Units!$R64,IF(AND(C$1&gt;=Units!$Q64,MOD(C$1-Units!$Q64,12)=0),IF(AND(Units!$L64=1,C$1=Units!$Q64),IF(Units!$J64&lt;&gt;"",Units!$J64,Mkt!C65),Inputs!$B$15*Mkt!C65+(1-Inputs!$B$15)*MIN(Mkt!C65,B65*(1+Inputs!$B$18))),B65)))</f>
        <v>1450</v>
      </c>
      <c r="D65" s="11" t="n">
        <f aca="false">IF(D$1&lt;Units!$P64,0,IF(AND(Units!$K64=0,D$1=Units!$O64),Units!$R64,IF(AND(D$1&gt;=Units!$Q64,MOD(D$1-Units!$Q64,12)=0),IF(AND(Units!$L64=1,D$1=Units!$Q64),IF(Units!$J64&lt;&gt;"",Units!$J64,Mkt!D65),Inputs!$B$15*Mkt!D65+(1-Inputs!$B$15)*MIN(Mkt!D65,C65*(1+Inputs!$B$18))),C65)))</f>
        <v>1450</v>
      </c>
      <c r="E65" s="11" t="n">
        <f aca="false">IF(E$1&lt;Units!$P64,0,IF(AND(Units!$K64=0,E$1=Units!$O64),Units!$R64,IF(AND(E$1&gt;=Units!$Q64,MOD(E$1-Units!$Q64,12)=0),IF(AND(Units!$L64=1,E$1=Units!$Q64),IF(Units!$J64&lt;&gt;"",Units!$J64,Mkt!E65),Inputs!$B$15*Mkt!E65+(1-Inputs!$B$15)*MIN(Mkt!E65,D65*(1+Inputs!$B$18))),D65)))</f>
        <v>1450</v>
      </c>
      <c r="F65" s="11" t="n">
        <f aca="false">IF(F$1&lt;Units!$P64,0,IF(AND(Units!$K64=0,F$1=Units!$O64),Units!$R64,IF(AND(F$1&gt;=Units!$Q64,MOD(F$1-Units!$Q64,12)=0),IF(AND(Units!$L64=1,F$1=Units!$Q64),IF(Units!$J64&lt;&gt;"",Units!$J64,Mkt!F65),Inputs!$B$15*Mkt!F65+(1-Inputs!$B$15)*MIN(Mkt!F65,E65*(1+Inputs!$B$18))),E65)))</f>
        <v>1450</v>
      </c>
      <c r="G65" s="11" t="n">
        <f aca="false">IF(G$1&lt;Units!$P64,0,IF(AND(Units!$K64=0,G$1=Units!$O64),Units!$R64,IF(AND(G$1&gt;=Units!$Q64,MOD(G$1-Units!$Q64,12)=0),IF(AND(Units!$L64=1,G$1=Units!$Q64),IF(Units!$J64&lt;&gt;"",Units!$J64,Mkt!G65),Inputs!$B$15*Mkt!G65+(1-Inputs!$B$15)*MIN(Mkt!G65,F65*(1+Inputs!$B$18))),F65)))</f>
        <v>1450</v>
      </c>
      <c r="H65" s="11" t="n">
        <f aca="false">IF(H$1&lt;Units!$P64,0,IF(AND(Units!$K64=0,H$1=Units!$O64),Units!$R64,IF(AND(H$1&gt;=Units!$Q64,MOD(H$1-Units!$Q64,12)=0),IF(AND(Units!$L64=1,H$1=Units!$Q64),IF(Units!$J64&lt;&gt;"",Units!$J64,Mkt!H65),Inputs!$B$15*Mkt!H65+(1-Inputs!$B$15)*MIN(Mkt!H65,G65*(1+Inputs!$B$18))),G65)))</f>
        <v>1450</v>
      </c>
      <c r="I65" s="11" t="n">
        <f aca="false">IF(I$1&lt;Units!$P64,0,IF(AND(Units!$K64=0,I$1=Units!$O64),Units!$R64,IF(AND(I$1&gt;=Units!$Q64,MOD(I$1-Units!$Q64,12)=0),IF(AND(Units!$L64=1,I$1=Units!$Q64),IF(Units!$J64&lt;&gt;"",Units!$J64,Mkt!I65),Inputs!$B$15*Mkt!I65+(1-Inputs!$B$15)*MIN(Mkt!I65,H65*(1+Inputs!$B$18))),H65)))</f>
        <v>1450</v>
      </c>
      <c r="J65" s="11" t="n">
        <f aca="false">IF(J$1&lt;Units!$P64,0,IF(AND(Units!$K64=0,J$1=Units!$O64),Units!$R64,IF(AND(J$1&gt;=Units!$Q64,MOD(J$1-Units!$Q64,12)=0),IF(AND(Units!$L64=1,J$1=Units!$Q64),IF(Units!$J64&lt;&gt;"",Units!$J64,Mkt!J65),Inputs!$B$15*Mkt!J65+(1-Inputs!$B$15)*MIN(Mkt!J65,I65*(1+Inputs!$B$18))),I65)))</f>
        <v>1450</v>
      </c>
      <c r="K65" s="11" t="n">
        <f aca="false">IF(K$1&lt;Units!$P64,0,IF(AND(Units!$K64=0,K$1=Units!$O64),Units!$R64,IF(AND(K$1&gt;=Units!$Q64,MOD(K$1-Units!$Q64,12)=0),IF(AND(Units!$L64=1,K$1=Units!$Q64),IF(Units!$J64&lt;&gt;"",Units!$J64,Mkt!K65),Inputs!$B$15*Mkt!K65+(1-Inputs!$B$15)*MIN(Mkt!K65,J65*(1+Inputs!$B$18))),J65)))</f>
        <v>1450</v>
      </c>
      <c r="L65" s="11" t="n">
        <f aca="false">IF(L$1&lt;Units!$P64,0,IF(AND(Units!$K64=0,L$1=Units!$O64),Units!$R64,IF(AND(L$1&gt;=Units!$Q64,MOD(L$1-Units!$Q64,12)=0),IF(AND(Units!$L64=1,L$1=Units!$Q64),IF(Units!$J64&lt;&gt;"",Units!$J64,Mkt!L65),Inputs!$B$15*Mkt!L65+(1-Inputs!$B$15)*MIN(Mkt!L65,K65*(1+Inputs!$B$18))),K65)))</f>
        <v>1450</v>
      </c>
      <c r="M65" s="11" t="n">
        <f aca="false">IF(M$1&lt;Units!$P64,0,IF(AND(Units!$K64=0,M$1=Units!$O64),Units!$R64,IF(AND(M$1&gt;=Units!$Q64,MOD(M$1-Units!$Q64,12)=0),IF(AND(Units!$L64=1,M$1=Units!$Q64),IF(Units!$J64&lt;&gt;"",Units!$J64,Mkt!M65),Inputs!$B$15*Mkt!M65+(1-Inputs!$B$15)*MIN(Mkt!M65,L65*(1+Inputs!$B$18))),L65)))</f>
        <v>1523.75</v>
      </c>
      <c r="N65" s="11" t="n">
        <f aca="false">IF(N$1&lt;Units!$P64,0,IF(AND(Units!$K64=0,N$1=Units!$O64),Units!$R64,IF(AND(N$1&gt;=Units!$Q64,MOD(N$1-Units!$Q64,12)=0),IF(AND(Units!$L64=1,N$1=Units!$Q64),IF(Units!$J64&lt;&gt;"",Units!$J64,Mkt!N65),Inputs!$B$15*Mkt!N65+(1-Inputs!$B$15)*MIN(Mkt!N65,M65*(1+Inputs!$B$18))),M65)))</f>
        <v>1523.75</v>
      </c>
      <c r="O65" s="11" t="n">
        <f aca="false">IF(O$1&lt;Units!$P64,0,IF(AND(Units!$K64=0,O$1=Units!$O64),Units!$R64,IF(AND(O$1&gt;=Units!$Q64,MOD(O$1-Units!$Q64,12)=0),IF(AND(Units!$L64=1,O$1=Units!$Q64),IF(Units!$J64&lt;&gt;"",Units!$J64,Mkt!O65),Inputs!$B$15*Mkt!O65+(1-Inputs!$B$15)*MIN(Mkt!O65,N65*(1+Inputs!$B$18))),N65)))</f>
        <v>1523.75</v>
      </c>
      <c r="P65" s="11" t="n">
        <f aca="false">IF(P$1&lt;Units!$P64,0,IF(AND(Units!$K64=0,P$1=Units!$O64),Units!$R64,IF(AND(P$1&gt;=Units!$Q64,MOD(P$1-Units!$Q64,12)=0),IF(AND(Units!$L64=1,P$1=Units!$Q64),IF(Units!$J64&lt;&gt;"",Units!$J64,Mkt!P65),Inputs!$B$15*Mkt!P65+(1-Inputs!$B$15)*MIN(Mkt!P65,O65*(1+Inputs!$B$18))),O65)))</f>
        <v>1523.75</v>
      </c>
      <c r="Q65" s="11" t="n">
        <f aca="false">IF(Q$1&lt;Units!$P64,0,IF(AND(Units!$K64=0,Q$1=Units!$O64),Units!$R64,IF(AND(Q$1&gt;=Units!$Q64,MOD(Q$1-Units!$Q64,12)=0),IF(AND(Units!$L64=1,Q$1=Units!$Q64),IF(Units!$J64&lt;&gt;"",Units!$J64,Mkt!Q65),Inputs!$B$15*Mkt!Q65+(1-Inputs!$B$15)*MIN(Mkt!Q65,P65*(1+Inputs!$B$18))),P65)))</f>
        <v>1523.75</v>
      </c>
      <c r="R65" s="11" t="n">
        <f aca="false">IF(R$1&lt;Units!$P64,0,IF(AND(Units!$K64=0,R$1=Units!$O64),Units!$R64,IF(AND(R$1&gt;=Units!$Q64,MOD(R$1-Units!$Q64,12)=0),IF(AND(Units!$L64=1,R$1=Units!$Q64),IF(Units!$J64&lt;&gt;"",Units!$J64,Mkt!R65),Inputs!$B$15*Mkt!R65+(1-Inputs!$B$15)*MIN(Mkt!R65,Q65*(1+Inputs!$B$18))),Q65)))</f>
        <v>1523.75</v>
      </c>
      <c r="S65" s="11" t="n">
        <f aca="false">IF(S$1&lt;Units!$P64,0,IF(AND(Units!$K64=0,S$1=Units!$O64),Units!$R64,IF(AND(S$1&gt;=Units!$Q64,MOD(S$1-Units!$Q64,12)=0),IF(AND(Units!$L64=1,S$1=Units!$Q64),IF(Units!$J64&lt;&gt;"",Units!$J64,Mkt!S65),Inputs!$B$15*Mkt!S65+(1-Inputs!$B$15)*MIN(Mkt!S65,R65*(1+Inputs!$B$18))),R65)))</f>
        <v>1523.75</v>
      </c>
      <c r="T65" s="11" t="n">
        <f aca="false">IF(T$1&lt;Units!$P64,0,IF(AND(Units!$K64=0,T$1=Units!$O64),Units!$R64,IF(AND(T$1&gt;=Units!$Q64,MOD(T$1-Units!$Q64,12)=0),IF(AND(Units!$L64=1,T$1=Units!$Q64),IF(Units!$J64&lt;&gt;"",Units!$J64,Mkt!T65),Inputs!$B$15*Mkt!T65+(1-Inputs!$B$15)*MIN(Mkt!T65,S65*(1+Inputs!$B$18))),S65)))</f>
        <v>1523.75</v>
      </c>
      <c r="U65" s="11" t="n">
        <f aca="false">IF(U$1&lt;Units!$P64,0,IF(AND(Units!$K64=0,U$1=Units!$O64),Units!$R64,IF(AND(U$1&gt;=Units!$Q64,MOD(U$1-Units!$Q64,12)=0),IF(AND(Units!$L64=1,U$1=Units!$Q64),IF(Units!$J64&lt;&gt;"",Units!$J64,Mkt!U65),Inputs!$B$15*Mkt!U65+(1-Inputs!$B$15)*MIN(Mkt!U65,T65*(1+Inputs!$B$18))),T65)))</f>
        <v>1523.75</v>
      </c>
      <c r="V65" s="11" t="n">
        <f aca="false">IF(V$1&lt;Units!$P64,0,IF(AND(Units!$K64=0,V$1=Units!$O64),Units!$R64,IF(AND(V$1&gt;=Units!$Q64,MOD(V$1-Units!$Q64,12)=0),IF(AND(Units!$L64=1,V$1=Units!$Q64),IF(Units!$J64&lt;&gt;"",Units!$J64,Mkt!V65),Inputs!$B$15*Mkt!V65+(1-Inputs!$B$15)*MIN(Mkt!V65,U65*(1+Inputs!$B$18))),U65)))</f>
        <v>1523.75</v>
      </c>
      <c r="W65" s="11" t="n">
        <f aca="false">IF(W$1&lt;Units!$P64,0,IF(AND(Units!$K64=0,W$1=Units!$O64),Units!$R64,IF(AND(W$1&gt;=Units!$Q64,MOD(W$1-Units!$Q64,12)=0),IF(AND(Units!$L64=1,W$1=Units!$Q64),IF(Units!$J64&lt;&gt;"",Units!$J64,Mkt!W65),Inputs!$B$15*Mkt!W65+(1-Inputs!$B$15)*MIN(Mkt!W65,V65*(1+Inputs!$B$18))),V65)))</f>
        <v>1523.75</v>
      </c>
      <c r="X65" s="11" t="n">
        <f aca="false">IF(X$1&lt;Units!$P64,0,IF(AND(Units!$K64=0,X$1=Units!$O64),Units!$R64,IF(AND(X$1&gt;=Units!$Q64,MOD(X$1-Units!$Q64,12)=0),IF(AND(Units!$L64=1,X$1=Units!$Q64),IF(Units!$J64&lt;&gt;"",Units!$J64,Mkt!X65),Inputs!$B$15*Mkt!X65+(1-Inputs!$B$15)*MIN(Mkt!X65,W65*(1+Inputs!$B$18))),W65)))</f>
        <v>1523.75</v>
      </c>
      <c r="Y65" s="11" t="n">
        <f aca="false">IF(Y$1&lt;Units!$P64,0,IF(AND(Units!$K64=0,Y$1=Units!$O64),Units!$R64,IF(AND(Y$1&gt;=Units!$Q64,MOD(Y$1-Units!$Q64,12)=0),IF(AND(Units!$L64=1,Y$1=Units!$Q64),IF(Units!$J64&lt;&gt;"",Units!$J64,Mkt!Y65),Inputs!$B$15*Mkt!Y65+(1-Inputs!$B$15)*MIN(Mkt!Y65,X65*(1+Inputs!$B$18))),X65)))</f>
        <v>1570.75</v>
      </c>
      <c r="Z65" s="11" t="n">
        <f aca="false">IF(Z$1&lt;Units!$P64,0,IF(AND(Units!$K64=0,Z$1=Units!$O64),Units!$R64,IF(AND(Z$1&gt;=Units!$Q64,MOD(Z$1-Units!$Q64,12)=0),IF(AND(Units!$L64=1,Z$1=Units!$Q64),IF(Units!$J64&lt;&gt;"",Units!$J64,Mkt!Z65),Inputs!$B$15*Mkt!Z65+(1-Inputs!$B$15)*MIN(Mkt!Z65,Y65*(1+Inputs!$B$18))),Y65)))</f>
        <v>1570.75</v>
      </c>
      <c r="AA65" s="11" t="n">
        <f aca="false">IF(AA$1&lt;Units!$P64,0,IF(AND(Units!$K64=0,AA$1=Units!$O64),Units!$R64,IF(AND(AA$1&gt;=Units!$Q64,MOD(AA$1-Units!$Q64,12)=0),IF(AND(Units!$L64=1,AA$1=Units!$Q64),IF(Units!$J64&lt;&gt;"",Units!$J64,Mkt!AA65),Inputs!$B$15*Mkt!AA65+(1-Inputs!$B$15)*MIN(Mkt!AA65,Z65*(1+Inputs!$B$18))),Z65)))</f>
        <v>1570.75</v>
      </c>
      <c r="AB65" s="11" t="n">
        <f aca="false">IF(AB$1&lt;Units!$P64,0,IF(AND(Units!$K64=0,AB$1=Units!$O64),Units!$R64,IF(AND(AB$1&gt;=Units!$Q64,MOD(AB$1-Units!$Q64,12)=0),IF(AND(Units!$L64=1,AB$1=Units!$Q64),IF(Units!$J64&lt;&gt;"",Units!$J64,Mkt!AB65),Inputs!$B$15*Mkt!AB65+(1-Inputs!$B$15)*MIN(Mkt!AB65,AA65*(1+Inputs!$B$18))),AA65)))</f>
        <v>1570.75</v>
      </c>
      <c r="AC65" s="11" t="n">
        <f aca="false">IF(AC$1&lt;Units!$P64,0,IF(AND(Units!$K64=0,AC$1=Units!$O64),Units!$R64,IF(AND(AC$1&gt;=Units!$Q64,MOD(AC$1-Units!$Q64,12)=0),IF(AND(Units!$L64=1,AC$1=Units!$Q64),IF(Units!$J64&lt;&gt;"",Units!$J64,Mkt!AC65),Inputs!$B$15*Mkt!AC65+(1-Inputs!$B$15)*MIN(Mkt!AC65,AB65*(1+Inputs!$B$18))),AB65)))</f>
        <v>1570.75</v>
      </c>
      <c r="AD65" s="11" t="n">
        <f aca="false">IF(AD$1&lt;Units!$P64,0,IF(AND(Units!$K64=0,AD$1=Units!$O64),Units!$R64,IF(AND(AD$1&gt;=Units!$Q64,MOD(AD$1-Units!$Q64,12)=0),IF(AND(Units!$L64=1,AD$1=Units!$Q64),IF(Units!$J64&lt;&gt;"",Units!$J64,Mkt!AD65),Inputs!$B$15*Mkt!AD65+(1-Inputs!$B$15)*MIN(Mkt!AD65,AC65*(1+Inputs!$B$18))),AC65)))</f>
        <v>1570.75</v>
      </c>
      <c r="AE65" s="11" t="n">
        <f aca="false">IF(AE$1&lt;Units!$P64,0,IF(AND(Units!$K64=0,AE$1=Units!$O64),Units!$R64,IF(AND(AE$1&gt;=Units!$Q64,MOD(AE$1-Units!$Q64,12)=0),IF(AND(Units!$L64=1,AE$1=Units!$Q64),IF(Units!$J64&lt;&gt;"",Units!$J64,Mkt!AE65),Inputs!$B$15*Mkt!AE65+(1-Inputs!$B$15)*MIN(Mkt!AE65,AD65*(1+Inputs!$B$18))),AD65)))</f>
        <v>1570.75</v>
      </c>
      <c r="AF65" s="11" t="n">
        <f aca="false">IF(AF$1&lt;Units!$P64,0,IF(AND(Units!$K64=0,AF$1=Units!$O64),Units!$R64,IF(AND(AF$1&gt;=Units!$Q64,MOD(AF$1-Units!$Q64,12)=0),IF(AND(Units!$L64=1,AF$1=Units!$Q64),IF(Units!$J64&lt;&gt;"",Units!$J64,Mkt!AF65),Inputs!$B$15*Mkt!AF65+(1-Inputs!$B$15)*MIN(Mkt!AF65,AE65*(1+Inputs!$B$18))),AE65)))</f>
        <v>1570.75</v>
      </c>
      <c r="AG65" s="11" t="n">
        <f aca="false">IF(AG$1&lt;Units!$P64,0,IF(AND(Units!$K64=0,AG$1=Units!$O64),Units!$R64,IF(AND(AG$1&gt;=Units!$Q64,MOD(AG$1-Units!$Q64,12)=0),IF(AND(Units!$L64=1,AG$1=Units!$Q64),IF(Units!$J64&lt;&gt;"",Units!$J64,Mkt!AG65),Inputs!$B$15*Mkt!AG65+(1-Inputs!$B$15)*MIN(Mkt!AG65,AF65*(1+Inputs!$B$18))),AF65)))</f>
        <v>1570.75</v>
      </c>
      <c r="AH65" s="11" t="n">
        <f aca="false">IF(AH$1&lt;Units!$P64,0,IF(AND(Units!$K64=0,AH$1=Units!$O64),Units!$R64,IF(AND(AH$1&gt;=Units!$Q64,MOD(AH$1-Units!$Q64,12)=0),IF(AND(Units!$L64=1,AH$1=Units!$Q64),IF(Units!$J64&lt;&gt;"",Units!$J64,Mkt!AH65),Inputs!$B$15*Mkt!AH65+(1-Inputs!$B$15)*MIN(Mkt!AH65,AG65*(1+Inputs!$B$18))),AG65)))</f>
        <v>1570.75</v>
      </c>
      <c r="AI65" s="11" t="n">
        <f aca="false">IF(AI$1&lt;Units!$P64,0,IF(AND(Units!$K64=0,AI$1=Units!$O64),Units!$R64,IF(AND(AI$1&gt;=Units!$Q64,MOD(AI$1-Units!$Q64,12)=0),IF(AND(Units!$L64=1,AI$1=Units!$Q64),IF(Units!$J64&lt;&gt;"",Units!$J64,Mkt!AI65),Inputs!$B$15*Mkt!AI65+(1-Inputs!$B$15)*MIN(Mkt!AI65,AH65*(1+Inputs!$B$18))),AH65)))</f>
        <v>1570.75</v>
      </c>
      <c r="AJ65" s="11" t="n">
        <f aca="false">IF(AJ$1&lt;Units!$P64,0,IF(AND(Units!$K64=0,AJ$1=Units!$O64),Units!$R64,IF(AND(AJ$1&gt;=Units!$Q64,MOD(AJ$1-Units!$Q64,12)=0),IF(AND(Units!$L64=1,AJ$1=Units!$Q64),IF(Units!$J64&lt;&gt;"",Units!$J64,Mkt!AJ65),Inputs!$B$15*Mkt!AJ65+(1-Inputs!$B$15)*MIN(Mkt!AJ65,AI65*(1+Inputs!$B$18))),AI65)))</f>
        <v>1570.75</v>
      </c>
      <c r="AK65" s="11" t="n">
        <f aca="false">IF(AK$1&lt;Units!$P64,0,IF(AND(Units!$K64=0,AK$1=Units!$O64),Units!$R64,IF(AND(AK$1&gt;=Units!$Q64,MOD(AK$1-Units!$Q64,12)=0),IF(AND(Units!$L64=1,AK$1=Units!$Q64),IF(Units!$J64&lt;&gt;"",Units!$J64,Mkt!AK65),Inputs!$B$15*Mkt!AK65+(1-Inputs!$B$15)*MIN(Mkt!AK65,AJ65*(1+Inputs!$B$18))),AJ65)))</f>
        <v>1617.8725</v>
      </c>
      <c r="AL65" s="11" t="n">
        <f aca="false">IF(AL$1&lt;Units!$P64,0,IF(AND(Units!$K64=0,AL$1=Units!$O64),Units!$R64,IF(AND(AL$1&gt;=Units!$Q64,MOD(AL$1-Units!$Q64,12)=0),IF(AND(Units!$L64=1,AL$1=Units!$Q64),IF(Units!$J64&lt;&gt;"",Units!$J64,Mkt!AL65),Inputs!$B$15*Mkt!AL65+(1-Inputs!$B$15)*MIN(Mkt!AL65,AK65*(1+Inputs!$B$18))),AK65)))</f>
        <v>1617.8725</v>
      </c>
      <c r="AM65" s="11" t="n">
        <f aca="false">IF(AM$1&lt;Units!$P64,0,IF(AND(Units!$K64=0,AM$1=Units!$O64),Units!$R64,IF(AND(AM$1&gt;=Units!$Q64,MOD(AM$1-Units!$Q64,12)=0),IF(AND(Units!$L64=1,AM$1=Units!$Q64),IF(Units!$J64&lt;&gt;"",Units!$J64,Mkt!AM65),Inputs!$B$15*Mkt!AM65+(1-Inputs!$B$15)*MIN(Mkt!AM65,AL65*(1+Inputs!$B$18))),AL65)))</f>
        <v>1617.8725</v>
      </c>
      <c r="AN65" s="11" t="n">
        <f aca="false">IF(AN$1&lt;Units!$P64,0,IF(AND(Units!$K64=0,AN$1=Units!$O64),Units!$R64,IF(AND(AN$1&gt;=Units!$Q64,MOD(AN$1-Units!$Q64,12)=0),IF(AND(Units!$L64=1,AN$1=Units!$Q64),IF(Units!$J64&lt;&gt;"",Units!$J64,Mkt!AN65),Inputs!$B$15*Mkt!AN65+(1-Inputs!$B$15)*MIN(Mkt!AN65,AM65*(1+Inputs!$B$18))),AM65)))</f>
        <v>1617.8725</v>
      </c>
      <c r="AO65" s="11" t="n">
        <f aca="false">IF(AO$1&lt;Units!$P64,0,IF(AND(Units!$K64=0,AO$1=Units!$O64),Units!$R64,IF(AND(AO$1&gt;=Units!$Q64,MOD(AO$1-Units!$Q64,12)=0),IF(AND(Units!$L64=1,AO$1=Units!$Q64),IF(Units!$J64&lt;&gt;"",Units!$J64,Mkt!AO65),Inputs!$B$15*Mkt!AO65+(1-Inputs!$B$15)*MIN(Mkt!AO65,AN65*(1+Inputs!$B$18))),AN65)))</f>
        <v>1617.8725</v>
      </c>
      <c r="AP65" s="11" t="n">
        <f aca="false">IF(AP$1&lt;Units!$P64,0,IF(AND(Units!$K64=0,AP$1=Units!$O64),Units!$R64,IF(AND(AP$1&gt;=Units!$Q64,MOD(AP$1-Units!$Q64,12)=0),IF(AND(Units!$L64=1,AP$1=Units!$Q64),IF(Units!$J64&lt;&gt;"",Units!$J64,Mkt!AP65),Inputs!$B$15*Mkt!AP65+(1-Inputs!$B$15)*MIN(Mkt!AP65,AO65*(1+Inputs!$B$18))),AO65)))</f>
        <v>1617.8725</v>
      </c>
      <c r="AQ65" s="11" t="n">
        <f aca="false">IF(AQ$1&lt;Units!$P64,0,IF(AND(Units!$K64=0,AQ$1=Units!$O64),Units!$R64,IF(AND(AQ$1&gt;=Units!$Q64,MOD(AQ$1-Units!$Q64,12)=0),IF(AND(Units!$L64=1,AQ$1=Units!$Q64),IF(Units!$J64&lt;&gt;"",Units!$J64,Mkt!AQ65),Inputs!$B$15*Mkt!AQ65+(1-Inputs!$B$15)*MIN(Mkt!AQ65,AP65*(1+Inputs!$B$18))),AP65)))</f>
        <v>1617.8725</v>
      </c>
      <c r="AR65" s="11" t="n">
        <f aca="false">IF(AR$1&lt;Units!$P64,0,IF(AND(Units!$K64=0,AR$1=Units!$O64),Units!$R64,IF(AND(AR$1&gt;=Units!$Q64,MOD(AR$1-Units!$Q64,12)=0),IF(AND(Units!$L64=1,AR$1=Units!$Q64),IF(Units!$J64&lt;&gt;"",Units!$J64,Mkt!AR65),Inputs!$B$15*Mkt!AR65+(1-Inputs!$B$15)*MIN(Mkt!AR65,AQ65*(1+Inputs!$B$18))),AQ65)))</f>
        <v>1617.8725</v>
      </c>
      <c r="AS65" s="11" t="n">
        <f aca="false">IF(AS$1&lt;Units!$P64,0,IF(AND(Units!$K64=0,AS$1=Units!$O64),Units!$R64,IF(AND(AS$1&gt;=Units!$Q64,MOD(AS$1-Units!$Q64,12)=0),IF(AND(Units!$L64=1,AS$1=Units!$Q64),IF(Units!$J64&lt;&gt;"",Units!$J64,Mkt!AS65),Inputs!$B$15*Mkt!AS65+(1-Inputs!$B$15)*MIN(Mkt!AS65,AR65*(1+Inputs!$B$18))),AR65)))</f>
        <v>1617.8725</v>
      </c>
      <c r="AT65" s="11" t="n">
        <f aca="false">IF(AT$1&lt;Units!$P64,0,IF(AND(Units!$K64=0,AT$1=Units!$O64),Units!$R64,IF(AND(AT$1&gt;=Units!$Q64,MOD(AT$1-Units!$Q64,12)=0),IF(AND(Units!$L64=1,AT$1=Units!$Q64),IF(Units!$J64&lt;&gt;"",Units!$J64,Mkt!AT65),Inputs!$B$15*Mkt!AT65+(1-Inputs!$B$15)*MIN(Mkt!AT65,AS65*(1+Inputs!$B$18))),AS65)))</f>
        <v>1617.8725</v>
      </c>
      <c r="AU65" s="11" t="n">
        <f aca="false">IF(AU$1&lt;Units!$P64,0,IF(AND(Units!$K64=0,AU$1=Units!$O64),Units!$R64,IF(AND(AU$1&gt;=Units!$Q64,MOD(AU$1-Units!$Q64,12)=0),IF(AND(Units!$L64=1,AU$1=Units!$Q64),IF(Units!$J64&lt;&gt;"",Units!$J64,Mkt!AU65),Inputs!$B$15*Mkt!AU65+(1-Inputs!$B$15)*MIN(Mkt!AU65,AT65*(1+Inputs!$B$18))),AT65)))</f>
        <v>1617.8725</v>
      </c>
      <c r="AV65" s="11" t="n">
        <f aca="false">IF(AV$1&lt;Units!$P64,0,IF(AND(Units!$K64=0,AV$1=Units!$O64),Units!$R64,IF(AND(AV$1&gt;=Units!$Q64,MOD(AV$1-Units!$Q64,12)=0),IF(AND(Units!$L64=1,AV$1=Units!$Q64),IF(Units!$J64&lt;&gt;"",Units!$J64,Mkt!AV65),Inputs!$B$15*Mkt!AV65+(1-Inputs!$B$15)*MIN(Mkt!AV65,AU65*(1+Inputs!$B$18))),AU65)))</f>
        <v>1617.8725</v>
      </c>
      <c r="AW65" s="11" t="n">
        <f aca="false">IF(AW$1&lt;Units!$P64,0,IF(AND(Units!$K64=0,AW$1=Units!$O64),Units!$R64,IF(AND(AW$1&gt;=Units!$Q64,MOD(AW$1-Units!$Q64,12)=0),IF(AND(Units!$L64=1,AW$1=Units!$Q64),IF(Units!$J64&lt;&gt;"",Units!$J64,Mkt!AW65),Inputs!$B$15*Mkt!AW65+(1-Inputs!$B$15)*MIN(Mkt!AW65,AV65*(1+Inputs!$B$18))),AV65)))</f>
        <v>1666.408675</v>
      </c>
      <c r="AX65" s="11" t="n">
        <f aca="false">IF(AX$1&lt;Units!$P64,0,IF(AND(Units!$K64=0,AX$1=Units!$O64),Units!$R64,IF(AND(AX$1&gt;=Units!$Q64,MOD(AX$1-Units!$Q64,12)=0),IF(AND(Units!$L64=1,AX$1=Units!$Q64),IF(Units!$J64&lt;&gt;"",Units!$J64,Mkt!AX65),Inputs!$B$15*Mkt!AX65+(1-Inputs!$B$15)*MIN(Mkt!AX65,AW65*(1+Inputs!$B$18))),AW65)))</f>
        <v>1666.408675</v>
      </c>
      <c r="AY65" s="11" t="n">
        <f aca="false">IF(AY$1&lt;Units!$P64,0,IF(AND(Units!$K64=0,AY$1=Units!$O64),Units!$R64,IF(AND(AY$1&gt;=Units!$Q64,MOD(AY$1-Units!$Q64,12)=0),IF(AND(Units!$L64=1,AY$1=Units!$Q64),IF(Units!$J64&lt;&gt;"",Units!$J64,Mkt!AY65),Inputs!$B$15*Mkt!AY65+(1-Inputs!$B$15)*MIN(Mkt!AY65,AX65*(1+Inputs!$B$18))),AX65)))</f>
        <v>1666.408675</v>
      </c>
      <c r="AZ65" s="11" t="n">
        <f aca="false">IF(AZ$1&lt;Units!$P64,0,IF(AND(Units!$K64=0,AZ$1=Units!$O64),Units!$R64,IF(AND(AZ$1&gt;=Units!$Q64,MOD(AZ$1-Units!$Q64,12)=0),IF(AND(Units!$L64=1,AZ$1=Units!$Q64),IF(Units!$J64&lt;&gt;"",Units!$J64,Mkt!AZ65),Inputs!$B$15*Mkt!AZ65+(1-Inputs!$B$15)*MIN(Mkt!AZ65,AY65*(1+Inputs!$B$18))),AY65)))</f>
        <v>1666.408675</v>
      </c>
      <c r="BA65" s="11" t="n">
        <f aca="false">IF(BA$1&lt;Units!$P64,0,IF(AND(Units!$K64=0,BA$1=Units!$O64),Units!$R64,IF(AND(BA$1&gt;=Units!$Q64,MOD(BA$1-Units!$Q64,12)=0),IF(AND(Units!$L64=1,BA$1=Units!$Q64),IF(Units!$J64&lt;&gt;"",Units!$J64,Mkt!BA65),Inputs!$B$15*Mkt!BA65+(1-Inputs!$B$15)*MIN(Mkt!BA65,AZ65*(1+Inputs!$B$18))),AZ65)))</f>
        <v>1666.408675</v>
      </c>
      <c r="BB65" s="11" t="n">
        <f aca="false">IF(BB$1&lt;Units!$P64,0,IF(AND(Units!$K64=0,BB$1=Units!$O64),Units!$R64,IF(AND(BB$1&gt;=Units!$Q64,MOD(BB$1-Units!$Q64,12)=0),IF(AND(Units!$L64=1,BB$1=Units!$Q64),IF(Units!$J64&lt;&gt;"",Units!$J64,Mkt!BB65),Inputs!$B$15*Mkt!BB65+(1-Inputs!$B$15)*MIN(Mkt!BB65,BA65*(1+Inputs!$B$18))),BA65)))</f>
        <v>1666.408675</v>
      </c>
      <c r="BC65" s="11" t="n">
        <f aca="false">IF(BC$1&lt;Units!$P64,0,IF(AND(Units!$K64=0,BC$1=Units!$O64),Units!$R64,IF(AND(BC$1&gt;=Units!$Q64,MOD(BC$1-Units!$Q64,12)=0),IF(AND(Units!$L64=1,BC$1=Units!$Q64),IF(Units!$J64&lt;&gt;"",Units!$J64,Mkt!BC65),Inputs!$B$15*Mkt!BC65+(1-Inputs!$B$15)*MIN(Mkt!BC65,BB65*(1+Inputs!$B$18))),BB65)))</f>
        <v>1666.408675</v>
      </c>
      <c r="BD65" s="11" t="n">
        <f aca="false">IF(BD$1&lt;Units!$P64,0,IF(AND(Units!$K64=0,BD$1=Units!$O64),Units!$R64,IF(AND(BD$1&gt;=Units!$Q64,MOD(BD$1-Units!$Q64,12)=0),IF(AND(Units!$L64=1,BD$1=Units!$Q64),IF(Units!$J64&lt;&gt;"",Units!$J64,Mkt!BD65),Inputs!$B$15*Mkt!BD65+(1-Inputs!$B$15)*MIN(Mkt!BD65,BC65*(1+Inputs!$B$18))),BC65)))</f>
        <v>1666.408675</v>
      </c>
      <c r="BE65" s="11" t="n">
        <f aca="false">IF(BE$1&lt;Units!$P64,0,IF(AND(Units!$K64=0,BE$1=Units!$O64),Units!$R64,IF(AND(BE$1&gt;=Units!$Q64,MOD(BE$1-Units!$Q64,12)=0),IF(AND(Units!$L64=1,BE$1=Units!$Q64),IF(Units!$J64&lt;&gt;"",Units!$J64,Mkt!BE65),Inputs!$B$15*Mkt!BE65+(1-Inputs!$B$15)*MIN(Mkt!BE65,BD65*(1+Inputs!$B$18))),BD65)))</f>
        <v>1666.408675</v>
      </c>
      <c r="BF65" s="11" t="n">
        <f aca="false">IF(BF$1&lt;Units!$P64,0,IF(AND(Units!$K64=0,BF$1=Units!$O64),Units!$R64,IF(AND(BF$1&gt;=Units!$Q64,MOD(BF$1-Units!$Q64,12)=0),IF(AND(Units!$L64=1,BF$1=Units!$Q64),IF(Units!$J64&lt;&gt;"",Units!$J64,Mkt!BF65),Inputs!$B$15*Mkt!BF65+(1-Inputs!$B$15)*MIN(Mkt!BF65,BE65*(1+Inputs!$B$18))),BE65)))</f>
        <v>1666.408675</v>
      </c>
      <c r="BG65" s="11" t="n">
        <f aca="false">IF(BG$1&lt;Units!$P64,0,IF(AND(Units!$K64=0,BG$1=Units!$O64),Units!$R64,IF(AND(BG$1&gt;=Units!$Q64,MOD(BG$1-Units!$Q64,12)=0),IF(AND(Units!$L64=1,BG$1=Units!$Q64),IF(Units!$J64&lt;&gt;"",Units!$J64,Mkt!BG65),Inputs!$B$15*Mkt!BG65+(1-Inputs!$B$15)*MIN(Mkt!BG65,BF65*(1+Inputs!$B$18))),BF65)))</f>
        <v>1666.408675</v>
      </c>
      <c r="BH65" s="11" t="n">
        <f aca="false">IF(BH$1&lt;Units!$P64,0,IF(AND(Units!$K64=0,BH$1=Units!$O64),Units!$R64,IF(AND(BH$1&gt;=Units!$Q64,MOD(BH$1-Units!$Q64,12)=0),IF(AND(Units!$L64=1,BH$1=Units!$Q64),IF(Units!$J64&lt;&gt;"",Units!$J64,Mkt!BH65),Inputs!$B$15*Mkt!BH65+(1-Inputs!$B$15)*MIN(Mkt!BH65,BG65*(1+Inputs!$B$18))),BG65)))</f>
        <v>1666.408675</v>
      </c>
      <c r="BI65" s="11" t="n">
        <f aca="false">IF(BI$1&lt;Units!$P64,0,IF(AND(Units!$K64=0,BI$1=Units!$O64),Units!$R64,IF(AND(BI$1&gt;=Units!$Q64,MOD(BI$1-Units!$Q64,12)=0),IF(AND(Units!$L64=1,BI$1=Units!$Q64),IF(Units!$J64&lt;&gt;"",Units!$J64,Mkt!BI65),Inputs!$B$15*Mkt!BI65+(1-Inputs!$B$15)*MIN(Mkt!BI65,BH65*(1+Inputs!$B$18))),BH65)))</f>
        <v>1716.40093525</v>
      </c>
      <c r="BJ65" s="11" t="n">
        <f aca="false">IF(BJ$1&lt;Units!$P64,0,IF(AND(Units!$K64=0,BJ$1=Units!$O64),Units!$R64,IF(AND(BJ$1&gt;=Units!$Q64,MOD(BJ$1-Units!$Q64,12)=0),IF(AND(Units!$L64=1,BJ$1=Units!$Q64),IF(Units!$J64&lt;&gt;"",Units!$J64,Mkt!BJ65),Inputs!$B$15*Mkt!BJ65+(1-Inputs!$B$15)*MIN(Mkt!BJ65,BI65*(1+Inputs!$B$18))),BI65)))</f>
        <v>1716.40093525</v>
      </c>
      <c r="BK65" s="11" t="n">
        <f aca="false">IF(BK$1&lt;Units!$P64,0,IF(AND(Units!$K64=0,BK$1=Units!$O64),Units!$R64,IF(AND(BK$1&gt;=Units!$Q64,MOD(BK$1-Units!$Q64,12)=0),IF(AND(Units!$L64=1,BK$1=Units!$Q64),IF(Units!$J64&lt;&gt;"",Units!$J64,Mkt!BK65),Inputs!$B$15*Mkt!BK65+(1-Inputs!$B$15)*MIN(Mkt!BK65,BJ65*(1+Inputs!$B$18))),BJ65)))</f>
        <v>1716.40093525</v>
      </c>
      <c r="BL65" s="11" t="n">
        <f aca="false">IF(BL$1&lt;Units!$P64,0,IF(AND(Units!$K64=0,BL$1=Units!$O64),Units!$R64,IF(AND(BL$1&gt;=Units!$Q64,MOD(BL$1-Units!$Q64,12)=0),IF(AND(Units!$L64=1,BL$1=Units!$Q64),IF(Units!$J64&lt;&gt;"",Units!$J64,Mkt!BL65),Inputs!$B$15*Mkt!BL65+(1-Inputs!$B$15)*MIN(Mkt!BL65,BK65*(1+Inputs!$B$18))),BK65)))</f>
        <v>1716.40093525</v>
      </c>
      <c r="BM65" s="11" t="n">
        <f aca="false">IF(BM$1&lt;Units!$P64,0,IF(AND(Units!$K64=0,BM$1=Units!$O64),Units!$R64,IF(AND(BM$1&gt;=Units!$Q64,MOD(BM$1-Units!$Q64,12)=0),IF(AND(Units!$L64=1,BM$1=Units!$Q64),IF(Units!$J64&lt;&gt;"",Units!$J64,Mkt!BM65),Inputs!$B$15*Mkt!BM65+(1-Inputs!$B$15)*MIN(Mkt!BM65,BL65*(1+Inputs!$B$18))),BL65)))</f>
        <v>1716.40093525</v>
      </c>
      <c r="BN65" s="11" t="n">
        <f aca="false">IF(BN$1&lt;Units!$P64,0,IF(AND(Units!$K64=0,BN$1=Units!$O64),Units!$R64,IF(AND(BN$1&gt;=Units!$Q64,MOD(BN$1-Units!$Q64,12)=0),IF(AND(Units!$L64=1,BN$1=Units!$Q64),IF(Units!$J64&lt;&gt;"",Units!$J64,Mkt!BN65),Inputs!$B$15*Mkt!BN65+(1-Inputs!$B$15)*MIN(Mkt!BN65,BM65*(1+Inputs!$B$18))),BM65)))</f>
        <v>1716.40093525</v>
      </c>
      <c r="BO65" s="11" t="n">
        <f aca="false">IF(BO$1&lt;Units!$P64,0,IF(AND(Units!$K64=0,BO$1=Units!$O64),Units!$R64,IF(AND(BO$1&gt;=Units!$Q64,MOD(BO$1-Units!$Q64,12)=0),IF(AND(Units!$L64=1,BO$1=Units!$Q64),IF(Units!$J64&lt;&gt;"",Units!$J64,Mkt!BO65),Inputs!$B$15*Mkt!BO65+(1-Inputs!$B$15)*MIN(Mkt!BO65,BN65*(1+Inputs!$B$18))),BN65)))</f>
        <v>1716.40093525</v>
      </c>
      <c r="BP65" s="11" t="n">
        <f aca="false">IF(BP$1&lt;Units!$P64,0,IF(AND(Units!$K64=0,BP$1=Units!$O64),Units!$R64,IF(AND(BP$1&gt;=Units!$Q64,MOD(BP$1-Units!$Q64,12)=0),IF(AND(Units!$L64=1,BP$1=Units!$Q64),IF(Units!$J64&lt;&gt;"",Units!$J64,Mkt!BP65),Inputs!$B$15*Mkt!BP65+(1-Inputs!$B$15)*MIN(Mkt!BP65,BO65*(1+Inputs!$B$18))),BO65)))</f>
        <v>1716.40093525</v>
      </c>
      <c r="BQ65" s="11" t="n">
        <f aca="false">IF(BQ$1&lt;Units!$P64,0,IF(AND(Units!$K64=0,BQ$1=Units!$O64),Units!$R64,IF(AND(BQ$1&gt;=Units!$Q64,MOD(BQ$1-Units!$Q64,12)=0),IF(AND(Units!$L64=1,BQ$1=Units!$Q64),IF(Units!$J64&lt;&gt;"",Units!$J64,Mkt!BQ65),Inputs!$B$15*Mkt!BQ65+(1-Inputs!$B$15)*MIN(Mkt!BQ65,BP65*(1+Inputs!$B$18))),BP65)))</f>
        <v>1716.40093525</v>
      </c>
      <c r="BR65" s="11" t="n">
        <f aca="false">IF(BR$1&lt;Units!$P64,0,IF(AND(Units!$K64=0,BR$1=Units!$O64),Units!$R64,IF(AND(BR$1&gt;=Units!$Q64,MOD(BR$1-Units!$Q64,12)=0),IF(AND(Units!$L64=1,BR$1=Units!$Q64),IF(Units!$J64&lt;&gt;"",Units!$J64,Mkt!BR65),Inputs!$B$15*Mkt!BR65+(1-Inputs!$B$15)*MIN(Mkt!BR65,BQ65*(1+Inputs!$B$18))),BQ65)))</f>
        <v>1716.40093525</v>
      </c>
      <c r="BS65" s="11" t="n">
        <f aca="false">IF(BS$1&lt;Units!$P64,0,IF(AND(Units!$K64=0,BS$1=Units!$O64),Units!$R64,IF(AND(BS$1&gt;=Units!$Q64,MOD(BS$1-Units!$Q64,12)=0),IF(AND(Units!$L64=1,BS$1=Units!$Q64),IF(Units!$J64&lt;&gt;"",Units!$J64,Mkt!BS65),Inputs!$B$15*Mkt!BS65+(1-Inputs!$B$15)*MIN(Mkt!BS65,BR65*(1+Inputs!$B$18))),BR65)))</f>
        <v>1716.40093525</v>
      </c>
      <c r="BT65" s="11" t="n">
        <f aca="false">IF(BT$1&lt;Units!$P64,0,IF(AND(Units!$K64=0,BT$1=Units!$O64),Units!$R64,IF(AND(BT$1&gt;=Units!$Q64,MOD(BT$1-Units!$Q64,12)=0),IF(AND(Units!$L64=1,BT$1=Units!$Q64),IF(Units!$J64&lt;&gt;"",Units!$J64,Mkt!BT65),Inputs!$B$15*Mkt!BT65+(1-Inputs!$B$15)*MIN(Mkt!BT65,BS65*(1+Inputs!$B$18))),BS65)))</f>
        <v>1716.40093525</v>
      </c>
      <c r="BU65" s="11" t="n">
        <f aca="false">IF(BU$1&lt;Units!$P64,0,IF(AND(Units!$K64=0,BU$1=Units!$O64),Units!$R64,IF(AND(BU$1&gt;=Units!$Q64,MOD(BU$1-Units!$Q64,12)=0),IF(AND(Units!$L64=1,BU$1=Units!$Q64),IF(Units!$J64&lt;&gt;"",Units!$J64,Mkt!BU65),Inputs!$B$15*Mkt!BU65+(1-Inputs!$B$15)*MIN(Mkt!BU65,BT65*(1+Inputs!$B$18))),BT65)))</f>
        <v>1767.8929633075</v>
      </c>
      <c r="BV65" s="11" t="n">
        <f aca="false">IF(BV$1&lt;Units!$P64,0,IF(AND(Units!$K64=0,BV$1=Units!$O64),Units!$R64,IF(AND(BV$1&gt;=Units!$Q64,MOD(BV$1-Units!$Q64,12)=0),IF(AND(Units!$L64=1,BV$1=Units!$Q64),IF(Units!$J64&lt;&gt;"",Units!$J64,Mkt!BV65),Inputs!$B$15*Mkt!BV65+(1-Inputs!$B$15)*MIN(Mkt!BV65,BU65*(1+Inputs!$B$18))),BU65)))</f>
        <v>1767.8929633075</v>
      </c>
      <c r="BW65" s="11" t="n">
        <f aca="false">IF(BW$1&lt;Units!$P64,0,IF(AND(Units!$K64=0,BW$1=Units!$O64),Units!$R64,IF(AND(BW$1&gt;=Units!$Q64,MOD(BW$1-Units!$Q64,12)=0),IF(AND(Units!$L64=1,BW$1=Units!$Q64),IF(Units!$J64&lt;&gt;"",Units!$J64,Mkt!BW65),Inputs!$B$15*Mkt!BW65+(1-Inputs!$B$15)*MIN(Mkt!BW65,BV65*(1+Inputs!$B$18))),BV65)))</f>
        <v>1767.8929633075</v>
      </c>
      <c r="BX65" s="11" t="n">
        <f aca="false">IF(BX$1&lt;Units!$P64,0,IF(AND(Units!$K64=0,BX$1=Units!$O64),Units!$R64,IF(AND(BX$1&gt;=Units!$Q64,MOD(BX$1-Units!$Q64,12)=0),IF(AND(Units!$L64=1,BX$1=Units!$Q64),IF(Units!$J64&lt;&gt;"",Units!$J64,Mkt!BX65),Inputs!$B$15*Mkt!BX65+(1-Inputs!$B$15)*MIN(Mkt!BX65,BW65*(1+Inputs!$B$18))),BW65)))</f>
        <v>1767.8929633075</v>
      </c>
      <c r="BY65" s="11" t="n">
        <f aca="false">IF(BY$1&lt;Units!$P64,0,IF(AND(Units!$K64=0,BY$1=Units!$O64),Units!$R64,IF(AND(BY$1&gt;=Units!$Q64,MOD(BY$1-Units!$Q64,12)=0),IF(AND(Units!$L64=1,BY$1=Units!$Q64),IF(Units!$J64&lt;&gt;"",Units!$J64,Mkt!BY65),Inputs!$B$15*Mkt!BY65+(1-Inputs!$B$15)*MIN(Mkt!BY65,BX65*(1+Inputs!$B$18))),BX65)))</f>
        <v>1767.8929633075</v>
      </c>
      <c r="BZ65" s="11" t="n">
        <f aca="false">IF(BZ$1&lt;Units!$P64,0,IF(AND(Units!$K64=0,BZ$1=Units!$O64),Units!$R64,IF(AND(BZ$1&gt;=Units!$Q64,MOD(BZ$1-Units!$Q64,12)=0),IF(AND(Units!$L64=1,BZ$1=Units!$Q64),IF(Units!$J64&lt;&gt;"",Units!$J64,Mkt!BZ65),Inputs!$B$15*Mkt!BZ65+(1-Inputs!$B$15)*MIN(Mkt!BZ65,BY65*(1+Inputs!$B$18))),BY65)))</f>
        <v>1767.8929633075</v>
      </c>
      <c r="CA65" s="11" t="n">
        <f aca="false">IF(CA$1&lt;Units!$P64,0,IF(AND(Units!$K64=0,CA$1=Units!$O64),Units!$R64,IF(AND(CA$1&gt;=Units!$Q64,MOD(CA$1-Units!$Q64,12)=0),IF(AND(Units!$L64=1,CA$1=Units!$Q64),IF(Units!$J64&lt;&gt;"",Units!$J64,Mkt!CA65),Inputs!$B$15*Mkt!CA65+(1-Inputs!$B$15)*MIN(Mkt!CA65,BZ65*(1+Inputs!$B$18))),BZ65)))</f>
        <v>1767.8929633075</v>
      </c>
      <c r="CB65" s="11" t="n">
        <f aca="false">IF(CB$1&lt;Units!$P64,0,IF(AND(Units!$K64=0,CB$1=Units!$O64),Units!$R64,IF(AND(CB$1&gt;=Units!$Q64,MOD(CB$1-Units!$Q64,12)=0),IF(AND(Units!$L64=1,CB$1=Units!$Q64),IF(Units!$J64&lt;&gt;"",Units!$J64,Mkt!CB65),Inputs!$B$15*Mkt!CB65+(1-Inputs!$B$15)*MIN(Mkt!CB65,CA65*(1+Inputs!$B$18))),CA65)))</f>
        <v>1767.8929633075</v>
      </c>
      <c r="CC65" s="11" t="n">
        <f aca="false">IF(CC$1&lt;Units!$P64,0,IF(AND(Units!$K64=0,CC$1=Units!$O64),Units!$R64,IF(AND(CC$1&gt;=Units!$Q64,MOD(CC$1-Units!$Q64,12)=0),IF(AND(Units!$L64=1,CC$1=Units!$Q64),IF(Units!$J64&lt;&gt;"",Units!$J64,Mkt!CC65),Inputs!$B$15*Mkt!CC65+(1-Inputs!$B$15)*MIN(Mkt!CC65,CB65*(1+Inputs!$B$18))),CB65)))</f>
        <v>1767.8929633075</v>
      </c>
      <c r="CD65" s="11" t="n">
        <f aca="false">IF(CD$1&lt;Units!$P64,0,IF(AND(Units!$K64=0,CD$1=Units!$O64),Units!$R64,IF(AND(CD$1&gt;=Units!$Q64,MOD(CD$1-Units!$Q64,12)=0),IF(AND(Units!$L64=1,CD$1=Units!$Q64),IF(Units!$J64&lt;&gt;"",Units!$J64,Mkt!CD65),Inputs!$B$15*Mkt!CD65+(1-Inputs!$B$15)*MIN(Mkt!CD65,CC65*(1+Inputs!$B$18))),CC65)))</f>
        <v>1767.8929633075</v>
      </c>
      <c r="CE65" s="11" t="n">
        <f aca="false">IF(CE$1&lt;Units!$P64,0,IF(AND(Units!$K64=0,CE$1=Units!$O64),Units!$R64,IF(AND(CE$1&gt;=Units!$Q64,MOD(CE$1-Units!$Q64,12)=0),IF(AND(Units!$L64=1,CE$1=Units!$Q64),IF(Units!$J64&lt;&gt;"",Units!$J64,Mkt!CE65),Inputs!$B$15*Mkt!CE65+(1-Inputs!$B$15)*MIN(Mkt!CE65,CD65*(1+Inputs!$B$18))),CD65)))</f>
        <v>1767.8929633075</v>
      </c>
      <c r="CF65" s="11" t="n">
        <f aca="false">IF(CF$1&lt;Units!$P64,0,IF(AND(Units!$K64=0,CF$1=Units!$O64),Units!$R64,IF(AND(CF$1&gt;=Units!$Q64,MOD(CF$1-Units!$Q64,12)=0),IF(AND(Units!$L64=1,CF$1=Units!$Q64),IF(Units!$J64&lt;&gt;"",Units!$J64,Mkt!CF65),Inputs!$B$15*Mkt!CF65+(1-Inputs!$B$15)*MIN(Mkt!CF65,CE65*(1+Inputs!$B$18))),CE65)))</f>
        <v>1767.8929633075</v>
      </c>
      <c r="CG65" s="11" t="n">
        <f aca="false">IF(CG$1&lt;Units!$P64,0,IF(AND(Units!$K64=0,CG$1=Units!$O64),Units!$R64,IF(AND(CG$1&gt;=Units!$Q64,MOD(CG$1-Units!$Q64,12)=0),IF(AND(Units!$L64=1,CG$1=Units!$Q64),IF(Units!$J64&lt;&gt;"",Units!$J64,Mkt!CG65),Inputs!$B$15*Mkt!CG65+(1-Inputs!$B$15)*MIN(Mkt!CG65,CF65*(1+Inputs!$B$18))),CF65)))</f>
        <v>1820.92975220673</v>
      </c>
      <c r="CH65" s="11" t="n">
        <f aca="false">IF(CH$1&lt;Units!$P64,0,IF(AND(Units!$K64=0,CH$1=Units!$O64),Units!$R64,IF(AND(CH$1&gt;=Units!$Q64,MOD(CH$1-Units!$Q64,12)=0),IF(AND(Units!$L64=1,CH$1=Units!$Q64),IF(Units!$J64&lt;&gt;"",Units!$J64,Mkt!CH65),Inputs!$B$15*Mkt!CH65+(1-Inputs!$B$15)*MIN(Mkt!CH65,CG65*(1+Inputs!$B$18))),CG65)))</f>
        <v>1820.92975220673</v>
      </c>
      <c r="CI65" s="11" t="n">
        <f aca="false">IF(CI$1&lt;Units!$P64,0,IF(AND(Units!$K64=0,CI$1=Units!$O64),Units!$R64,IF(AND(CI$1&gt;=Units!$Q64,MOD(CI$1-Units!$Q64,12)=0),IF(AND(Units!$L64=1,CI$1=Units!$Q64),IF(Units!$J64&lt;&gt;"",Units!$J64,Mkt!CI65),Inputs!$B$15*Mkt!CI65+(1-Inputs!$B$15)*MIN(Mkt!CI65,CH65*(1+Inputs!$B$18))),CH65)))</f>
        <v>1820.92975220673</v>
      </c>
      <c r="CJ65" s="11" t="n">
        <f aca="false">IF(CJ$1&lt;Units!$P64,0,IF(AND(Units!$K64=0,CJ$1=Units!$O64),Units!$R64,IF(AND(CJ$1&gt;=Units!$Q64,MOD(CJ$1-Units!$Q64,12)=0),IF(AND(Units!$L64=1,CJ$1=Units!$Q64),IF(Units!$J64&lt;&gt;"",Units!$J64,Mkt!CJ65),Inputs!$B$15*Mkt!CJ65+(1-Inputs!$B$15)*MIN(Mkt!CJ65,CI65*(1+Inputs!$B$18))),CI65)))</f>
        <v>1820.92975220673</v>
      </c>
      <c r="CK65" s="11" t="n">
        <f aca="false">IF(CK$1&lt;Units!$P64,0,IF(AND(Units!$K64=0,CK$1=Units!$O64),Units!$R64,IF(AND(CK$1&gt;=Units!$Q64,MOD(CK$1-Units!$Q64,12)=0),IF(AND(Units!$L64=1,CK$1=Units!$Q64),IF(Units!$J64&lt;&gt;"",Units!$J64,Mkt!CK65),Inputs!$B$15*Mkt!CK65+(1-Inputs!$B$15)*MIN(Mkt!CK65,CJ65*(1+Inputs!$B$18))),CJ65)))</f>
        <v>1820.92975220673</v>
      </c>
      <c r="CL65" s="11" t="n">
        <f aca="false">IF(CL$1&lt;Units!$P64,0,IF(AND(Units!$K64=0,CL$1=Units!$O64),Units!$R64,IF(AND(CL$1&gt;=Units!$Q64,MOD(CL$1-Units!$Q64,12)=0),IF(AND(Units!$L64=1,CL$1=Units!$Q64),IF(Units!$J64&lt;&gt;"",Units!$J64,Mkt!CL65),Inputs!$B$15*Mkt!CL65+(1-Inputs!$B$15)*MIN(Mkt!CL65,CK65*(1+Inputs!$B$18))),CK65)))</f>
        <v>1820.92975220673</v>
      </c>
      <c r="CM65" s="11" t="n">
        <f aca="false">IF(CM$1&lt;Units!$P64,0,IF(AND(Units!$K64=0,CM$1=Units!$O64),Units!$R64,IF(AND(CM$1&gt;=Units!$Q64,MOD(CM$1-Units!$Q64,12)=0),IF(AND(Units!$L64=1,CM$1=Units!$Q64),IF(Units!$J64&lt;&gt;"",Units!$J64,Mkt!CM65),Inputs!$B$15*Mkt!CM65+(1-Inputs!$B$15)*MIN(Mkt!CM65,CL65*(1+Inputs!$B$18))),CL65)))</f>
        <v>1820.92975220673</v>
      </c>
      <c r="CN65" s="11" t="n">
        <f aca="false">IF(CN$1&lt;Units!$P64,0,IF(AND(Units!$K64=0,CN$1=Units!$O64),Units!$R64,IF(AND(CN$1&gt;=Units!$Q64,MOD(CN$1-Units!$Q64,12)=0),IF(AND(Units!$L64=1,CN$1=Units!$Q64),IF(Units!$J64&lt;&gt;"",Units!$J64,Mkt!CN65),Inputs!$B$15*Mkt!CN65+(1-Inputs!$B$15)*MIN(Mkt!CN65,CM65*(1+Inputs!$B$18))),CM65)))</f>
        <v>1820.92975220673</v>
      </c>
      <c r="CO65" s="11" t="n">
        <f aca="false">IF(CO$1&lt;Units!$P64,0,IF(AND(Units!$K64=0,CO$1=Units!$O64),Units!$R64,IF(AND(CO$1&gt;=Units!$Q64,MOD(CO$1-Units!$Q64,12)=0),IF(AND(Units!$L64=1,CO$1=Units!$Q64),IF(Units!$J64&lt;&gt;"",Units!$J64,Mkt!CO65),Inputs!$B$15*Mkt!CO65+(1-Inputs!$B$15)*MIN(Mkt!CO65,CN65*(1+Inputs!$B$18))),CN65)))</f>
        <v>1820.92975220673</v>
      </c>
      <c r="CP65" s="11" t="n">
        <f aca="false">IF(CP$1&lt;Units!$P64,0,IF(AND(Units!$K64=0,CP$1=Units!$O64),Units!$R64,IF(AND(CP$1&gt;=Units!$Q64,MOD(CP$1-Units!$Q64,12)=0),IF(AND(Units!$L64=1,CP$1=Units!$Q64),IF(Units!$J64&lt;&gt;"",Units!$J64,Mkt!CP65),Inputs!$B$15*Mkt!CP65+(1-Inputs!$B$15)*MIN(Mkt!CP65,CO65*(1+Inputs!$B$18))),CO65)))</f>
        <v>1820.92975220673</v>
      </c>
      <c r="CQ65" s="11" t="n">
        <f aca="false">IF(CQ$1&lt;Units!$P64,0,IF(AND(Units!$K64=0,CQ$1=Units!$O64),Units!$R64,IF(AND(CQ$1&gt;=Units!$Q64,MOD(CQ$1-Units!$Q64,12)=0),IF(AND(Units!$L64=1,CQ$1=Units!$Q64),IF(Units!$J64&lt;&gt;"",Units!$J64,Mkt!CQ65),Inputs!$B$15*Mkt!CQ65+(1-Inputs!$B$15)*MIN(Mkt!CQ65,CP65*(1+Inputs!$B$18))),CP65)))</f>
        <v>1820.92975220673</v>
      </c>
      <c r="CR65" s="11" t="n">
        <f aca="false">IF(CR$1&lt;Units!$P64,0,IF(AND(Units!$K64=0,CR$1=Units!$O64),Units!$R64,IF(AND(CR$1&gt;=Units!$Q64,MOD(CR$1-Units!$Q64,12)=0),IF(AND(Units!$L64=1,CR$1=Units!$Q64),IF(Units!$J64&lt;&gt;"",Units!$J64,Mkt!CR65),Inputs!$B$15*Mkt!CR65+(1-Inputs!$B$15)*MIN(Mkt!CR65,CQ65*(1+Inputs!$B$18))),CQ65)))</f>
        <v>1820.92975220673</v>
      </c>
      <c r="CS65" s="11" t="n">
        <f aca="false">IF(CS$1&lt;Units!$P64,0,IF(AND(Units!$K64=0,CS$1=Units!$O64),Units!$R64,IF(AND(CS$1&gt;=Units!$Q64,MOD(CS$1-Units!$Q64,12)=0),IF(AND(Units!$L64=1,CS$1=Units!$Q64),IF(Units!$J64&lt;&gt;"",Units!$J64,Mkt!CS65),Inputs!$B$15*Mkt!CS65+(1-Inputs!$B$15)*MIN(Mkt!CS65,CR65*(1+Inputs!$B$18))),CR65)))</f>
        <v>1875.55764477293</v>
      </c>
      <c r="CT65" s="11" t="n">
        <f aca="false">IF(CT$1&lt;Units!$P64,0,IF(AND(Units!$K64=0,CT$1=Units!$O64),Units!$R64,IF(AND(CT$1&gt;=Units!$Q64,MOD(CT$1-Units!$Q64,12)=0),IF(AND(Units!$L64=1,CT$1=Units!$Q64),IF(Units!$J64&lt;&gt;"",Units!$J64,Mkt!CT65),Inputs!$B$15*Mkt!CT65+(1-Inputs!$B$15)*MIN(Mkt!CT65,CS65*(1+Inputs!$B$18))),CS65)))</f>
        <v>1875.55764477293</v>
      </c>
      <c r="CU65" s="11" t="n">
        <f aca="false">IF(CU$1&lt;Units!$P64,0,IF(AND(Units!$K64=0,CU$1=Units!$O64),Units!$R64,IF(AND(CU$1&gt;=Units!$Q64,MOD(CU$1-Units!$Q64,12)=0),IF(AND(Units!$L64=1,CU$1=Units!$Q64),IF(Units!$J64&lt;&gt;"",Units!$J64,Mkt!CU65),Inputs!$B$15*Mkt!CU65+(1-Inputs!$B$15)*MIN(Mkt!CU65,CT65*(1+Inputs!$B$18))),CT65)))</f>
        <v>1875.55764477293</v>
      </c>
      <c r="CV65" s="11" t="n">
        <f aca="false">IF(CV$1&lt;Units!$P64,0,IF(AND(Units!$K64=0,CV$1=Units!$O64),Units!$R64,IF(AND(CV$1&gt;=Units!$Q64,MOD(CV$1-Units!$Q64,12)=0),IF(AND(Units!$L64=1,CV$1=Units!$Q64),IF(Units!$J64&lt;&gt;"",Units!$J64,Mkt!CV65),Inputs!$B$15*Mkt!CV65+(1-Inputs!$B$15)*MIN(Mkt!CV65,CU65*(1+Inputs!$B$18))),CU65)))</f>
        <v>1875.55764477293</v>
      </c>
      <c r="CW65" s="11" t="n">
        <f aca="false">IF(CW$1&lt;Units!$P64,0,IF(AND(Units!$K64=0,CW$1=Units!$O64),Units!$R64,IF(AND(CW$1&gt;=Units!$Q64,MOD(CW$1-Units!$Q64,12)=0),IF(AND(Units!$L64=1,CW$1=Units!$Q64),IF(Units!$J64&lt;&gt;"",Units!$J64,Mkt!CW65),Inputs!$B$15*Mkt!CW65+(1-Inputs!$B$15)*MIN(Mkt!CW65,CV65*(1+Inputs!$B$18))),CV65)))</f>
        <v>1875.55764477293</v>
      </c>
      <c r="CX65" s="11" t="n">
        <f aca="false">IF(CX$1&lt;Units!$P64,0,IF(AND(Units!$K64=0,CX$1=Units!$O64),Units!$R64,IF(AND(CX$1&gt;=Units!$Q64,MOD(CX$1-Units!$Q64,12)=0),IF(AND(Units!$L64=1,CX$1=Units!$Q64),IF(Units!$J64&lt;&gt;"",Units!$J64,Mkt!CX65),Inputs!$B$15*Mkt!CX65+(1-Inputs!$B$15)*MIN(Mkt!CX65,CW65*(1+Inputs!$B$18))),CW65)))</f>
        <v>1875.55764477293</v>
      </c>
      <c r="CY65" s="11" t="n">
        <f aca="false">IF(CY$1&lt;Units!$P64,0,IF(AND(Units!$K64=0,CY$1=Units!$O64),Units!$R64,IF(AND(CY$1&gt;=Units!$Q64,MOD(CY$1-Units!$Q64,12)=0),IF(AND(Units!$L64=1,CY$1=Units!$Q64),IF(Units!$J64&lt;&gt;"",Units!$J64,Mkt!CY65),Inputs!$B$15*Mkt!CY65+(1-Inputs!$B$15)*MIN(Mkt!CY65,CX65*(1+Inputs!$B$18))),CX65)))</f>
        <v>1875.55764477293</v>
      </c>
      <c r="CZ65" s="11" t="n">
        <f aca="false">IF(CZ$1&lt;Units!$P64,0,IF(AND(Units!$K64=0,CZ$1=Units!$O64),Units!$R64,IF(AND(CZ$1&gt;=Units!$Q64,MOD(CZ$1-Units!$Q64,12)=0),IF(AND(Units!$L64=1,CZ$1=Units!$Q64),IF(Units!$J64&lt;&gt;"",Units!$J64,Mkt!CZ65),Inputs!$B$15*Mkt!CZ65+(1-Inputs!$B$15)*MIN(Mkt!CZ65,CY65*(1+Inputs!$B$18))),CY65)))</f>
        <v>1875.55764477293</v>
      </c>
      <c r="DA65" s="11" t="n">
        <f aca="false">IF(DA$1&lt;Units!$P64,0,IF(AND(Units!$K64=0,DA$1=Units!$O64),Units!$R64,IF(AND(DA$1&gt;=Units!$Q64,MOD(DA$1-Units!$Q64,12)=0),IF(AND(Units!$L64=1,DA$1=Units!$Q64),IF(Units!$J64&lt;&gt;"",Units!$J64,Mkt!DA65),Inputs!$B$15*Mkt!DA65+(1-Inputs!$B$15)*MIN(Mkt!DA65,CZ65*(1+Inputs!$B$18))),CZ65)))</f>
        <v>1875.55764477293</v>
      </c>
      <c r="DB65" s="11" t="n">
        <f aca="false">IF(DB$1&lt;Units!$P64,0,IF(AND(Units!$K64=0,DB$1=Units!$O64),Units!$R64,IF(AND(DB$1&gt;=Units!$Q64,MOD(DB$1-Units!$Q64,12)=0),IF(AND(Units!$L64=1,DB$1=Units!$Q64),IF(Units!$J64&lt;&gt;"",Units!$J64,Mkt!DB65),Inputs!$B$15*Mkt!DB65+(1-Inputs!$B$15)*MIN(Mkt!DB65,DA65*(1+Inputs!$B$18))),DA65)))</f>
        <v>1875.55764477293</v>
      </c>
      <c r="DC65" s="11" t="n">
        <f aca="false">IF(DC$1&lt;Units!$P64,0,IF(AND(Units!$K64=0,DC$1=Units!$O64),Units!$R64,IF(AND(DC$1&gt;=Units!$Q64,MOD(DC$1-Units!$Q64,12)=0),IF(AND(Units!$L64=1,DC$1=Units!$Q64),IF(Units!$J64&lt;&gt;"",Units!$J64,Mkt!DC65),Inputs!$B$15*Mkt!DC65+(1-Inputs!$B$15)*MIN(Mkt!DC65,DB65*(1+Inputs!$B$18))),DB65)))</f>
        <v>1875.55764477293</v>
      </c>
      <c r="DD65" s="11" t="n">
        <f aca="false">IF(DD$1&lt;Units!$P64,0,IF(AND(Units!$K64=0,DD$1=Units!$O64),Units!$R64,IF(AND(DD$1&gt;=Units!$Q64,MOD(DD$1-Units!$Q64,12)=0),IF(AND(Units!$L64=1,DD$1=Units!$Q64),IF(Units!$J64&lt;&gt;"",Units!$J64,Mkt!DD65),Inputs!$B$15*Mkt!DD65+(1-Inputs!$B$15)*MIN(Mkt!DD65,DC65*(1+Inputs!$B$18))),DC65)))</f>
        <v>1875.55764477293</v>
      </c>
      <c r="DE65" s="11" t="n">
        <f aca="false">IF(DE$1&lt;Units!$P64,0,IF(AND(Units!$K64=0,DE$1=Units!$O64),Units!$R64,IF(AND(DE$1&gt;=Units!$Q64,MOD(DE$1-Units!$Q64,12)=0),IF(AND(Units!$L64=1,DE$1=Units!$Q64),IF(Units!$J64&lt;&gt;"",Units!$J64,Mkt!DE65),Inputs!$B$15*Mkt!DE65+(1-Inputs!$B$15)*MIN(Mkt!DE65,DD65*(1+Inputs!$B$18))),DD65)))</f>
        <v>1931.82437411612</v>
      </c>
      <c r="DF65" s="11" t="n">
        <f aca="false">IF(DF$1&lt;Units!$P64,0,IF(AND(Units!$K64=0,DF$1=Units!$O64),Units!$R64,IF(AND(DF$1&gt;=Units!$Q64,MOD(DF$1-Units!$Q64,12)=0),IF(AND(Units!$L64=1,DF$1=Units!$Q64),IF(Units!$J64&lt;&gt;"",Units!$J64,Mkt!DF65),Inputs!$B$15*Mkt!DF65+(1-Inputs!$B$15)*MIN(Mkt!DF65,DE65*(1+Inputs!$B$18))),DE65)))</f>
        <v>1931.82437411612</v>
      </c>
      <c r="DG65" s="11" t="n">
        <f aca="false">IF(DG$1&lt;Units!$P64,0,IF(AND(Units!$K64=0,DG$1=Units!$O64),Units!$R64,IF(AND(DG$1&gt;=Units!$Q64,MOD(DG$1-Units!$Q64,12)=0),IF(AND(Units!$L64=1,DG$1=Units!$Q64),IF(Units!$J64&lt;&gt;"",Units!$J64,Mkt!DG65),Inputs!$B$15*Mkt!DG65+(1-Inputs!$B$15)*MIN(Mkt!DG65,DF65*(1+Inputs!$B$18))),DF65)))</f>
        <v>1931.82437411612</v>
      </c>
      <c r="DH65" s="11" t="n">
        <f aca="false">IF(DH$1&lt;Units!$P64,0,IF(AND(Units!$K64=0,DH$1=Units!$O64),Units!$R64,IF(AND(DH$1&gt;=Units!$Q64,MOD(DH$1-Units!$Q64,12)=0),IF(AND(Units!$L64=1,DH$1=Units!$Q64),IF(Units!$J64&lt;&gt;"",Units!$J64,Mkt!DH65),Inputs!$B$15*Mkt!DH65+(1-Inputs!$B$15)*MIN(Mkt!DH65,DG65*(1+Inputs!$B$18))),DG65)))</f>
        <v>1931.82437411612</v>
      </c>
      <c r="DI65" s="11" t="n">
        <f aca="false">IF(DI$1&lt;Units!$P64,0,IF(AND(Units!$K64=0,DI$1=Units!$O64),Units!$R64,IF(AND(DI$1&gt;=Units!$Q64,MOD(DI$1-Units!$Q64,12)=0),IF(AND(Units!$L64=1,DI$1=Units!$Q64),IF(Units!$J64&lt;&gt;"",Units!$J64,Mkt!DI65),Inputs!$B$15*Mkt!DI65+(1-Inputs!$B$15)*MIN(Mkt!DI65,DH65*(1+Inputs!$B$18))),DH65)))</f>
        <v>1931.82437411612</v>
      </c>
      <c r="DJ65" s="11" t="n">
        <f aca="false">IF(DJ$1&lt;Units!$P64,0,IF(AND(Units!$K64=0,DJ$1=Units!$O64),Units!$R64,IF(AND(DJ$1&gt;=Units!$Q64,MOD(DJ$1-Units!$Q64,12)=0),IF(AND(Units!$L64=1,DJ$1=Units!$Q64),IF(Units!$J64&lt;&gt;"",Units!$J64,Mkt!DJ65),Inputs!$B$15*Mkt!DJ65+(1-Inputs!$B$15)*MIN(Mkt!DJ65,DI65*(1+Inputs!$B$18))),DI65)))</f>
        <v>1931.82437411612</v>
      </c>
      <c r="DK65" s="11" t="n">
        <f aca="false">IF(DK$1&lt;Units!$P64,0,IF(AND(Units!$K64=0,DK$1=Units!$O64),Units!$R64,IF(AND(DK$1&gt;=Units!$Q64,MOD(DK$1-Units!$Q64,12)=0),IF(AND(Units!$L64=1,DK$1=Units!$Q64),IF(Units!$J64&lt;&gt;"",Units!$J64,Mkt!DK65),Inputs!$B$15*Mkt!DK65+(1-Inputs!$B$15)*MIN(Mkt!DK65,DJ65*(1+Inputs!$B$18))),DJ65)))</f>
        <v>1931.82437411612</v>
      </c>
      <c r="DL65" s="11" t="n">
        <f aca="false">IF(DL$1&lt;Units!$P64,0,IF(AND(Units!$K64=0,DL$1=Units!$O64),Units!$R64,IF(AND(DL$1&gt;=Units!$Q64,MOD(DL$1-Units!$Q64,12)=0),IF(AND(Units!$L64=1,DL$1=Units!$Q64),IF(Units!$J64&lt;&gt;"",Units!$J64,Mkt!DL65),Inputs!$B$15*Mkt!DL65+(1-Inputs!$B$15)*MIN(Mkt!DL65,DK65*(1+Inputs!$B$18))),DK65)))</f>
        <v>1931.82437411612</v>
      </c>
      <c r="DM65" s="11" t="n">
        <f aca="false">IF(DM$1&lt;Units!$P64,0,IF(AND(Units!$K64=0,DM$1=Units!$O64),Units!$R64,IF(AND(DM$1&gt;=Units!$Q64,MOD(DM$1-Units!$Q64,12)=0),IF(AND(Units!$L64=1,DM$1=Units!$Q64),IF(Units!$J64&lt;&gt;"",Units!$J64,Mkt!DM65),Inputs!$B$15*Mkt!DM65+(1-Inputs!$B$15)*MIN(Mkt!DM65,DL65*(1+Inputs!$B$18))),DL65)))</f>
        <v>1931.82437411612</v>
      </c>
      <c r="DN65" s="11" t="n">
        <f aca="false">IF(DN$1&lt;Units!$P64,0,IF(AND(Units!$K64=0,DN$1=Units!$O64),Units!$R64,IF(AND(DN$1&gt;=Units!$Q64,MOD(DN$1-Units!$Q64,12)=0),IF(AND(Units!$L64=1,DN$1=Units!$Q64),IF(Units!$J64&lt;&gt;"",Units!$J64,Mkt!DN65),Inputs!$B$15*Mkt!DN65+(1-Inputs!$B$15)*MIN(Mkt!DN65,DM65*(1+Inputs!$B$18))),DM65)))</f>
        <v>1931.82437411612</v>
      </c>
      <c r="DO65" s="11" t="n">
        <f aca="false">IF(DO$1&lt;Units!$P64,0,IF(AND(Units!$K64=0,DO$1=Units!$O64),Units!$R64,IF(AND(DO$1&gt;=Units!$Q64,MOD(DO$1-Units!$Q64,12)=0),IF(AND(Units!$L64=1,DO$1=Units!$Q64),IF(Units!$J64&lt;&gt;"",Units!$J64,Mkt!DO65),Inputs!$B$15*Mkt!DO65+(1-Inputs!$B$15)*MIN(Mkt!DO65,DN65*(1+Inputs!$B$18))),DN65)))</f>
        <v>1931.82437411612</v>
      </c>
      <c r="DP65" s="11" t="n">
        <f aca="false">IF(DP$1&lt;Units!$P64,0,IF(AND(Units!$K64=0,DP$1=Units!$O64),Units!$R64,IF(AND(DP$1&gt;=Units!$Q64,MOD(DP$1-Units!$Q64,12)=0),IF(AND(Units!$L64=1,DP$1=Units!$Q64),IF(Units!$J64&lt;&gt;"",Units!$J64,Mkt!DP65),Inputs!$B$15*Mkt!DP65+(1-Inputs!$B$15)*MIN(Mkt!DP65,DO65*(1+Inputs!$B$18))),DO65)))</f>
        <v>1931.82437411612</v>
      </c>
      <c r="DQ65" s="11" t="n">
        <f aca="false">IF(DQ$1&lt;Units!$P64,0,IF(AND(Units!$K64=0,DQ$1=Units!$O64),Units!$R64,IF(AND(DQ$1&gt;=Units!$Q64,MOD(DQ$1-Units!$Q64,12)=0),IF(AND(Units!$L64=1,DQ$1=Units!$Q64),IF(Units!$J64&lt;&gt;"",Units!$J64,Mkt!DQ65),Inputs!$B$15*Mkt!DQ65+(1-Inputs!$B$15)*MIN(Mkt!DQ65,DP65*(1+Inputs!$B$18))),DP65)))</f>
        <v>1989.7791053396</v>
      </c>
      <c r="DR65" s="11" t="n">
        <f aca="false">IF(DR$1&lt;Units!$P64,0,IF(AND(Units!$K64=0,DR$1=Units!$O64),Units!$R64,IF(AND(DR$1&gt;=Units!$Q64,MOD(DR$1-Units!$Q64,12)=0),IF(AND(Units!$L64=1,DR$1=Units!$Q64),IF(Units!$J64&lt;&gt;"",Units!$J64,Mkt!DR65),Inputs!$B$15*Mkt!DR65+(1-Inputs!$B$15)*MIN(Mkt!DR65,DQ65*(1+Inputs!$B$18))),DQ65)))</f>
        <v>1989.7791053396</v>
      </c>
      <c r="DS65" s="11" t="n">
        <f aca="false">IF(DS$1&lt;Units!$P64,0,IF(AND(Units!$K64=0,DS$1=Units!$O64),Units!$R64,IF(AND(DS$1&gt;=Units!$Q64,MOD(DS$1-Units!$Q64,12)=0),IF(AND(Units!$L64=1,DS$1=Units!$Q64),IF(Units!$J64&lt;&gt;"",Units!$J64,Mkt!DS65),Inputs!$B$15*Mkt!DS65+(1-Inputs!$B$15)*MIN(Mkt!DS65,DR65*(1+Inputs!$B$18))),DR65)))</f>
        <v>1989.7791053396</v>
      </c>
      <c r="DT65" s="11" t="n">
        <f aca="false">IF(DT$1&lt;Units!$P64,0,IF(AND(Units!$K64=0,DT$1=Units!$O64),Units!$R64,IF(AND(DT$1&gt;=Units!$Q64,MOD(DT$1-Units!$Q64,12)=0),IF(AND(Units!$L64=1,DT$1=Units!$Q64),IF(Units!$J64&lt;&gt;"",Units!$J64,Mkt!DT65),Inputs!$B$15*Mkt!DT65+(1-Inputs!$B$15)*MIN(Mkt!DT65,DS65*(1+Inputs!$B$18))),DS65)))</f>
        <v>1989.7791053396</v>
      </c>
      <c r="DU65" s="11" t="n">
        <f aca="false">IF(DU$1&lt;Units!$P64,0,IF(AND(Units!$K64=0,DU$1=Units!$O64),Units!$R64,IF(AND(DU$1&gt;=Units!$Q64,MOD(DU$1-Units!$Q64,12)=0),IF(AND(Units!$L64=1,DU$1=Units!$Q64),IF(Units!$J64&lt;&gt;"",Units!$J64,Mkt!DU65),Inputs!$B$15*Mkt!DU65+(1-Inputs!$B$15)*MIN(Mkt!DU65,DT65*(1+Inputs!$B$18))),DT65)))</f>
        <v>1989.7791053396</v>
      </c>
      <c r="DV65" s="11" t="n">
        <f aca="false">IF(DV$1&lt;Units!$P64,0,IF(AND(Units!$K64=0,DV$1=Units!$O64),Units!$R64,IF(AND(DV$1&gt;=Units!$Q64,MOD(DV$1-Units!$Q64,12)=0),IF(AND(Units!$L64=1,DV$1=Units!$Q64),IF(Units!$J64&lt;&gt;"",Units!$J64,Mkt!DV65),Inputs!$B$15*Mkt!DV65+(1-Inputs!$B$15)*MIN(Mkt!DV65,DU65*(1+Inputs!$B$18))),DU65)))</f>
        <v>1989.7791053396</v>
      </c>
      <c r="DW65" s="11" t="n">
        <f aca="false">IF(DW$1&lt;Units!$P64,0,IF(AND(Units!$K64=0,DW$1=Units!$O64),Units!$R64,IF(AND(DW$1&gt;=Units!$Q64,MOD(DW$1-Units!$Q64,12)=0),IF(AND(Units!$L64=1,DW$1=Units!$Q64),IF(Units!$J64&lt;&gt;"",Units!$J64,Mkt!DW65),Inputs!$B$15*Mkt!DW65+(1-Inputs!$B$15)*MIN(Mkt!DW65,DV65*(1+Inputs!$B$18))),DV65)))</f>
        <v>1989.7791053396</v>
      </c>
      <c r="DX65" s="11" t="n">
        <f aca="false">IF(DX$1&lt;Units!$P64,0,IF(AND(Units!$K64=0,DX$1=Units!$O64),Units!$R64,IF(AND(DX$1&gt;=Units!$Q64,MOD(DX$1-Units!$Q64,12)=0),IF(AND(Units!$L64=1,DX$1=Units!$Q64),IF(Units!$J64&lt;&gt;"",Units!$J64,Mkt!DX65),Inputs!$B$15*Mkt!DX65+(1-Inputs!$B$15)*MIN(Mkt!DX65,DW65*(1+Inputs!$B$18))),DW65)))</f>
        <v>1989.7791053396</v>
      </c>
      <c r="DY65" s="11" t="n">
        <f aca="false">IF(DY$1&lt;Units!$P64,0,IF(AND(Units!$K64=0,DY$1=Units!$O64),Units!$R64,IF(AND(DY$1&gt;=Units!$Q64,MOD(DY$1-Units!$Q64,12)=0),IF(AND(Units!$L64=1,DY$1=Units!$Q64),IF(Units!$J64&lt;&gt;"",Units!$J64,Mkt!DY65),Inputs!$B$15*Mkt!DY65+(1-Inputs!$B$15)*MIN(Mkt!DY65,DX65*(1+Inputs!$B$18))),DX65)))</f>
        <v>1989.7791053396</v>
      </c>
      <c r="DZ65" s="11" t="n">
        <f aca="false">IF(DZ$1&lt;Units!$P64,0,IF(AND(Units!$K64=0,DZ$1=Units!$O64),Units!$R64,IF(AND(DZ$1&gt;=Units!$Q64,MOD(DZ$1-Units!$Q64,12)=0),IF(AND(Units!$L64=1,DZ$1=Units!$Q64),IF(Units!$J64&lt;&gt;"",Units!$J64,Mkt!DZ65),Inputs!$B$15*Mkt!DZ65+(1-Inputs!$B$15)*MIN(Mkt!DZ65,DY65*(1+Inputs!$B$18))),DY65)))</f>
        <v>1989.7791053396</v>
      </c>
      <c r="EA65" s="11" t="n">
        <f aca="false">IF(EA$1&lt;Units!$P64,0,IF(AND(Units!$K64=0,EA$1=Units!$O64),Units!$R64,IF(AND(EA$1&gt;=Units!$Q64,MOD(EA$1-Units!$Q64,12)=0),IF(AND(Units!$L64=1,EA$1=Units!$Q64),IF(Units!$J64&lt;&gt;"",Units!$J64,Mkt!EA65),Inputs!$B$15*Mkt!EA65+(1-Inputs!$B$15)*MIN(Mkt!EA65,DZ65*(1+Inputs!$B$18))),DZ65)))</f>
        <v>1989.7791053396</v>
      </c>
      <c r="EB65" s="11" t="n">
        <f aca="false">IF(EB$1&lt;Units!$P64,0,IF(AND(Units!$K64=0,EB$1=Units!$O64),Units!$R64,IF(AND(EB$1&gt;=Units!$Q64,MOD(EB$1-Units!$Q64,12)=0),IF(AND(Units!$L64=1,EB$1=Units!$Q64),IF(Units!$J64&lt;&gt;"",Units!$J64,Mkt!EB65),Inputs!$B$15*Mkt!EB65+(1-Inputs!$B$15)*MIN(Mkt!EB65,EA65*(1+Inputs!$B$18))),EA65)))</f>
        <v>1989.7791053396</v>
      </c>
      <c r="EC65" s="11" t="n">
        <f aca="false">IF(EC$1&lt;Units!$P64,0,IF(AND(Units!$K64=0,EC$1=Units!$O64),Units!$R64,IF(AND(EC$1&gt;=Units!$Q64,MOD(EC$1-Units!$Q64,12)=0),IF(AND(Units!$L64=1,EC$1=Units!$Q64),IF(Units!$J64&lt;&gt;"",Units!$J64,Mkt!EC65),Inputs!$B$15*Mkt!EC65+(1-Inputs!$B$15)*MIN(Mkt!EC65,EB65*(1+Inputs!$B$18))),EB65)))</f>
        <v>2049.47247849979</v>
      </c>
      <c r="ED65" s="11" t="n">
        <f aca="false">IF(ED$1&lt;Units!$P64,0,IF(AND(Units!$K64=0,ED$1=Units!$O64),Units!$R64,IF(AND(ED$1&gt;=Units!$Q64,MOD(ED$1-Units!$Q64,12)=0),IF(AND(Units!$L64=1,ED$1=Units!$Q64),IF(Units!$J64&lt;&gt;"",Units!$J64,Mkt!ED65),Inputs!$B$15*Mkt!ED65+(1-Inputs!$B$15)*MIN(Mkt!ED65,EC65*(1+Inputs!$B$18))),EC65)))</f>
        <v>2049.47247849979</v>
      </c>
    </row>
    <row r="66" customFormat="false" ht="15" hidden="false" customHeight="false" outlineLevel="0" collapsed="false">
      <c r="A66" s="22" t="n">
        <f aca="false">Units!A65</f>
        <v>304</v>
      </c>
      <c r="B66" s="24" t="n">
        <f aca="false">IF(Units!K65=1,Units!F65,0)</f>
        <v>1535</v>
      </c>
      <c r="C66" s="11" t="n">
        <f aca="false">IF(C$1&lt;Units!$P65,0,IF(AND(Units!$K65=0,C$1=Units!$O65),Units!$R65,IF(AND(C$1&gt;=Units!$Q65,MOD(C$1-Units!$Q65,12)=0),IF(AND(Units!$L65=1,C$1=Units!$Q65),IF(Units!$J65&lt;&gt;"",Units!$J65,Mkt!C66),Inputs!$B$15*Mkt!C66+(1-Inputs!$B$15)*MIN(Mkt!C66,B66*(1+Inputs!$B$18))),B66)))</f>
        <v>1535</v>
      </c>
      <c r="D66" s="11" t="n">
        <f aca="false">IF(D$1&lt;Units!$P65,0,IF(AND(Units!$K65=0,D$1=Units!$O65),Units!$R65,IF(AND(D$1&gt;=Units!$Q65,MOD(D$1-Units!$Q65,12)=0),IF(AND(Units!$L65=1,D$1=Units!$Q65),IF(Units!$J65&lt;&gt;"",Units!$J65,Mkt!D66),Inputs!$B$15*Mkt!D66+(1-Inputs!$B$15)*MIN(Mkt!D66,C66*(1+Inputs!$B$18))),C66)))</f>
        <v>1535</v>
      </c>
      <c r="E66" s="11" t="n">
        <f aca="false">IF(E$1&lt;Units!$P65,0,IF(AND(Units!$K65=0,E$1=Units!$O65),Units!$R65,IF(AND(E$1&gt;=Units!$Q65,MOD(E$1-Units!$Q65,12)=0),IF(AND(Units!$L65=1,E$1=Units!$Q65),IF(Units!$J65&lt;&gt;"",Units!$J65,Mkt!E66),Inputs!$B$15*Mkt!E66+(1-Inputs!$B$15)*MIN(Mkt!E66,D66*(1+Inputs!$B$18))),D66)))</f>
        <v>1535</v>
      </c>
      <c r="F66" s="11" t="n">
        <f aca="false">IF(F$1&lt;Units!$P65,0,IF(AND(Units!$K65=0,F$1=Units!$O65),Units!$R65,IF(AND(F$1&gt;=Units!$Q65,MOD(F$1-Units!$Q65,12)=0),IF(AND(Units!$L65=1,F$1=Units!$Q65),IF(Units!$J65&lt;&gt;"",Units!$J65,Mkt!F66),Inputs!$B$15*Mkt!F66+(1-Inputs!$B$15)*MIN(Mkt!F66,E66*(1+Inputs!$B$18))),E66)))</f>
        <v>1535</v>
      </c>
      <c r="G66" s="11" t="n">
        <f aca="false">IF(G$1&lt;Units!$P65,0,IF(AND(Units!$K65=0,G$1=Units!$O65),Units!$R65,IF(AND(G$1&gt;=Units!$Q65,MOD(G$1-Units!$Q65,12)=0),IF(AND(Units!$L65=1,G$1=Units!$Q65),IF(Units!$J65&lt;&gt;"",Units!$J65,Mkt!G66),Inputs!$B$15*Mkt!G66+(1-Inputs!$B$15)*MIN(Mkt!G66,F66*(1+Inputs!$B$18))),F66)))</f>
        <v>1525</v>
      </c>
      <c r="H66" s="11" t="n">
        <f aca="false">IF(H$1&lt;Units!$P65,0,IF(AND(Units!$K65=0,H$1=Units!$O65),Units!$R65,IF(AND(H$1&gt;=Units!$Q65,MOD(H$1-Units!$Q65,12)=0),IF(AND(Units!$L65=1,H$1=Units!$Q65),IF(Units!$J65&lt;&gt;"",Units!$J65,Mkt!H66),Inputs!$B$15*Mkt!H66+(1-Inputs!$B$15)*MIN(Mkt!H66,G66*(1+Inputs!$B$18))),G66)))</f>
        <v>1525</v>
      </c>
      <c r="I66" s="11" t="n">
        <f aca="false">IF(I$1&lt;Units!$P65,0,IF(AND(Units!$K65=0,I$1=Units!$O65),Units!$R65,IF(AND(I$1&gt;=Units!$Q65,MOD(I$1-Units!$Q65,12)=0),IF(AND(Units!$L65=1,I$1=Units!$Q65),IF(Units!$J65&lt;&gt;"",Units!$J65,Mkt!I66),Inputs!$B$15*Mkt!I66+(1-Inputs!$B$15)*MIN(Mkt!I66,H66*(1+Inputs!$B$18))),H66)))</f>
        <v>1525</v>
      </c>
      <c r="J66" s="11" t="n">
        <f aca="false">IF(J$1&lt;Units!$P65,0,IF(AND(Units!$K65=0,J$1=Units!$O65),Units!$R65,IF(AND(J$1&gt;=Units!$Q65,MOD(J$1-Units!$Q65,12)=0),IF(AND(Units!$L65=1,J$1=Units!$Q65),IF(Units!$J65&lt;&gt;"",Units!$J65,Mkt!J66),Inputs!$B$15*Mkt!J66+(1-Inputs!$B$15)*MIN(Mkt!J66,I66*(1+Inputs!$B$18))),I66)))</f>
        <v>1525</v>
      </c>
      <c r="K66" s="11" t="n">
        <f aca="false">IF(K$1&lt;Units!$P65,0,IF(AND(Units!$K65=0,K$1=Units!$O65),Units!$R65,IF(AND(K$1&gt;=Units!$Q65,MOD(K$1-Units!$Q65,12)=0),IF(AND(Units!$L65=1,K$1=Units!$Q65),IF(Units!$J65&lt;&gt;"",Units!$J65,Mkt!K66),Inputs!$B$15*Mkt!K66+(1-Inputs!$B$15)*MIN(Mkt!K66,J66*(1+Inputs!$B$18))),J66)))</f>
        <v>1525</v>
      </c>
      <c r="L66" s="11" t="n">
        <f aca="false">IF(L$1&lt;Units!$P65,0,IF(AND(Units!$K65=0,L$1=Units!$O65),Units!$R65,IF(AND(L$1&gt;=Units!$Q65,MOD(L$1-Units!$Q65,12)=0),IF(AND(Units!$L65=1,L$1=Units!$Q65),IF(Units!$J65&lt;&gt;"",Units!$J65,Mkt!L66),Inputs!$B$15*Mkt!L66+(1-Inputs!$B$15)*MIN(Mkt!L66,K66*(1+Inputs!$B$18))),K66)))</f>
        <v>1525</v>
      </c>
      <c r="M66" s="11" t="n">
        <f aca="false">IF(M$1&lt;Units!$P65,0,IF(AND(Units!$K65=0,M$1=Units!$O65),Units!$R65,IF(AND(M$1&gt;=Units!$Q65,MOD(M$1-Units!$Q65,12)=0),IF(AND(Units!$L65=1,M$1=Units!$Q65),IF(Units!$J65&lt;&gt;"",Units!$J65,Mkt!M66),Inputs!$B$15*Mkt!M66+(1-Inputs!$B$15)*MIN(Mkt!M66,L66*(1+Inputs!$B$18))),L66)))</f>
        <v>1525</v>
      </c>
      <c r="N66" s="11" t="n">
        <f aca="false">IF(N$1&lt;Units!$P65,0,IF(AND(Units!$K65=0,N$1=Units!$O65),Units!$R65,IF(AND(N$1&gt;=Units!$Q65,MOD(N$1-Units!$Q65,12)=0),IF(AND(Units!$L65=1,N$1=Units!$Q65),IF(Units!$J65&lt;&gt;"",Units!$J65,Mkt!N66),Inputs!$B$15*Mkt!N66+(1-Inputs!$B$15)*MIN(Mkt!N66,M66*(1+Inputs!$B$18))),M66)))</f>
        <v>1525</v>
      </c>
      <c r="O66" s="11" t="n">
        <f aca="false">IF(O$1&lt;Units!$P65,0,IF(AND(Units!$K65=0,O$1=Units!$O65),Units!$R65,IF(AND(O$1&gt;=Units!$Q65,MOD(O$1-Units!$Q65,12)=0),IF(AND(Units!$L65=1,O$1=Units!$Q65),IF(Units!$J65&lt;&gt;"",Units!$J65,Mkt!O66),Inputs!$B$15*Mkt!O66+(1-Inputs!$B$15)*MIN(Mkt!O66,N66*(1+Inputs!$B$18))),N66)))</f>
        <v>1525</v>
      </c>
      <c r="P66" s="11" t="n">
        <f aca="false">IF(P$1&lt;Units!$P65,0,IF(AND(Units!$K65=0,P$1=Units!$O65),Units!$R65,IF(AND(P$1&gt;=Units!$Q65,MOD(P$1-Units!$Q65,12)=0),IF(AND(Units!$L65=1,P$1=Units!$Q65),IF(Units!$J65&lt;&gt;"",Units!$J65,Mkt!P66),Inputs!$B$15*Mkt!P66+(1-Inputs!$B$15)*MIN(Mkt!P66,O66*(1+Inputs!$B$18))),O66)))</f>
        <v>1525</v>
      </c>
      <c r="Q66" s="11" t="n">
        <f aca="false">IF(Q$1&lt;Units!$P65,0,IF(AND(Units!$K65=0,Q$1=Units!$O65),Units!$R65,IF(AND(Q$1&gt;=Units!$Q65,MOD(Q$1-Units!$Q65,12)=0),IF(AND(Units!$L65=1,Q$1=Units!$Q65),IF(Units!$J65&lt;&gt;"",Units!$J65,Mkt!Q66),Inputs!$B$15*Mkt!Q66+(1-Inputs!$B$15)*MIN(Mkt!Q66,P66*(1+Inputs!$B$18))),P66)))</f>
        <v>1525</v>
      </c>
      <c r="R66" s="11" t="n">
        <f aca="false">IF(R$1&lt;Units!$P65,0,IF(AND(Units!$K65=0,R$1=Units!$O65),Units!$R65,IF(AND(R$1&gt;=Units!$Q65,MOD(R$1-Units!$Q65,12)=0),IF(AND(Units!$L65=1,R$1=Units!$Q65),IF(Units!$J65&lt;&gt;"",Units!$J65,Mkt!R66),Inputs!$B$15*Mkt!R66+(1-Inputs!$B$15)*MIN(Mkt!R66,Q66*(1+Inputs!$B$18))),Q66)))</f>
        <v>1525</v>
      </c>
      <c r="S66" s="11" t="n">
        <f aca="false">IF(S$1&lt;Units!$P65,0,IF(AND(Units!$K65=0,S$1=Units!$O65),Units!$R65,IF(AND(S$1&gt;=Units!$Q65,MOD(S$1-Units!$Q65,12)=0),IF(AND(Units!$L65=1,S$1=Units!$Q65),IF(Units!$J65&lt;&gt;"",Units!$J65,Mkt!S66),Inputs!$B$15*Mkt!S66+(1-Inputs!$B$15)*MIN(Mkt!S66,R66*(1+Inputs!$B$18))),R66)))</f>
        <v>1570.75</v>
      </c>
      <c r="T66" s="11" t="n">
        <f aca="false">IF(T$1&lt;Units!$P65,0,IF(AND(Units!$K65=0,T$1=Units!$O65),Units!$R65,IF(AND(T$1&gt;=Units!$Q65,MOD(T$1-Units!$Q65,12)=0),IF(AND(Units!$L65=1,T$1=Units!$Q65),IF(Units!$J65&lt;&gt;"",Units!$J65,Mkt!T66),Inputs!$B$15*Mkt!T66+(1-Inputs!$B$15)*MIN(Mkt!T66,S66*(1+Inputs!$B$18))),S66)))</f>
        <v>1570.75</v>
      </c>
      <c r="U66" s="11" t="n">
        <f aca="false">IF(U$1&lt;Units!$P65,0,IF(AND(Units!$K65=0,U$1=Units!$O65),Units!$R65,IF(AND(U$1&gt;=Units!$Q65,MOD(U$1-Units!$Q65,12)=0),IF(AND(Units!$L65=1,U$1=Units!$Q65),IF(Units!$J65&lt;&gt;"",Units!$J65,Mkt!U66),Inputs!$B$15*Mkt!U66+(1-Inputs!$B$15)*MIN(Mkt!U66,T66*(1+Inputs!$B$18))),T66)))</f>
        <v>1570.75</v>
      </c>
      <c r="V66" s="11" t="n">
        <f aca="false">IF(V$1&lt;Units!$P65,0,IF(AND(Units!$K65=0,V$1=Units!$O65),Units!$R65,IF(AND(V$1&gt;=Units!$Q65,MOD(V$1-Units!$Q65,12)=0),IF(AND(Units!$L65=1,V$1=Units!$Q65),IF(Units!$J65&lt;&gt;"",Units!$J65,Mkt!V66),Inputs!$B$15*Mkt!V66+(1-Inputs!$B$15)*MIN(Mkt!V66,U66*(1+Inputs!$B$18))),U66)))</f>
        <v>1570.75</v>
      </c>
      <c r="W66" s="11" t="n">
        <f aca="false">IF(W$1&lt;Units!$P65,0,IF(AND(Units!$K65=0,W$1=Units!$O65),Units!$R65,IF(AND(W$1&gt;=Units!$Q65,MOD(W$1-Units!$Q65,12)=0),IF(AND(Units!$L65=1,W$1=Units!$Q65),IF(Units!$J65&lt;&gt;"",Units!$J65,Mkt!W66),Inputs!$B$15*Mkt!W66+(1-Inputs!$B$15)*MIN(Mkt!W66,V66*(1+Inputs!$B$18))),V66)))</f>
        <v>1570.75</v>
      </c>
      <c r="X66" s="11" t="n">
        <f aca="false">IF(X$1&lt;Units!$P65,0,IF(AND(Units!$K65=0,X$1=Units!$O65),Units!$R65,IF(AND(X$1&gt;=Units!$Q65,MOD(X$1-Units!$Q65,12)=0),IF(AND(Units!$L65=1,X$1=Units!$Q65),IF(Units!$J65&lt;&gt;"",Units!$J65,Mkt!X66),Inputs!$B$15*Mkt!X66+(1-Inputs!$B$15)*MIN(Mkt!X66,W66*(1+Inputs!$B$18))),W66)))</f>
        <v>1570.75</v>
      </c>
      <c r="Y66" s="11" t="n">
        <f aca="false">IF(Y$1&lt;Units!$P65,0,IF(AND(Units!$K65=0,Y$1=Units!$O65),Units!$R65,IF(AND(Y$1&gt;=Units!$Q65,MOD(Y$1-Units!$Q65,12)=0),IF(AND(Units!$L65=1,Y$1=Units!$Q65),IF(Units!$J65&lt;&gt;"",Units!$J65,Mkt!Y66),Inputs!$B$15*Mkt!Y66+(1-Inputs!$B$15)*MIN(Mkt!Y66,X66*(1+Inputs!$B$18))),X66)))</f>
        <v>1570.75</v>
      </c>
      <c r="Z66" s="11" t="n">
        <f aca="false">IF(Z$1&lt;Units!$P65,0,IF(AND(Units!$K65=0,Z$1=Units!$O65),Units!$R65,IF(AND(Z$1&gt;=Units!$Q65,MOD(Z$1-Units!$Q65,12)=0),IF(AND(Units!$L65=1,Z$1=Units!$Q65),IF(Units!$J65&lt;&gt;"",Units!$J65,Mkt!Z66),Inputs!$B$15*Mkt!Z66+(1-Inputs!$B$15)*MIN(Mkt!Z66,Y66*(1+Inputs!$B$18))),Y66)))</f>
        <v>1570.75</v>
      </c>
      <c r="AA66" s="11" t="n">
        <f aca="false">IF(AA$1&lt;Units!$P65,0,IF(AND(Units!$K65=0,AA$1=Units!$O65),Units!$R65,IF(AND(AA$1&gt;=Units!$Q65,MOD(AA$1-Units!$Q65,12)=0),IF(AND(Units!$L65=1,AA$1=Units!$Q65),IF(Units!$J65&lt;&gt;"",Units!$J65,Mkt!AA66),Inputs!$B$15*Mkt!AA66+(1-Inputs!$B$15)*MIN(Mkt!AA66,Z66*(1+Inputs!$B$18))),Z66)))</f>
        <v>1570.75</v>
      </c>
      <c r="AB66" s="11" t="n">
        <f aca="false">IF(AB$1&lt;Units!$P65,0,IF(AND(Units!$K65=0,AB$1=Units!$O65),Units!$R65,IF(AND(AB$1&gt;=Units!$Q65,MOD(AB$1-Units!$Q65,12)=0),IF(AND(Units!$L65=1,AB$1=Units!$Q65),IF(Units!$J65&lt;&gt;"",Units!$J65,Mkt!AB66),Inputs!$B$15*Mkt!AB66+(1-Inputs!$B$15)*MIN(Mkt!AB66,AA66*(1+Inputs!$B$18))),AA66)))</f>
        <v>1570.75</v>
      </c>
      <c r="AC66" s="11" t="n">
        <f aca="false">IF(AC$1&lt;Units!$P65,0,IF(AND(Units!$K65=0,AC$1=Units!$O65),Units!$R65,IF(AND(AC$1&gt;=Units!$Q65,MOD(AC$1-Units!$Q65,12)=0),IF(AND(Units!$L65=1,AC$1=Units!$Q65),IF(Units!$J65&lt;&gt;"",Units!$J65,Mkt!AC66),Inputs!$B$15*Mkt!AC66+(1-Inputs!$B$15)*MIN(Mkt!AC66,AB66*(1+Inputs!$B$18))),AB66)))</f>
        <v>1570.75</v>
      </c>
      <c r="AD66" s="11" t="n">
        <f aca="false">IF(AD$1&lt;Units!$P65,0,IF(AND(Units!$K65=0,AD$1=Units!$O65),Units!$R65,IF(AND(AD$1&gt;=Units!$Q65,MOD(AD$1-Units!$Q65,12)=0),IF(AND(Units!$L65=1,AD$1=Units!$Q65),IF(Units!$J65&lt;&gt;"",Units!$J65,Mkt!AD66),Inputs!$B$15*Mkt!AD66+(1-Inputs!$B$15)*MIN(Mkt!AD66,AC66*(1+Inputs!$B$18))),AC66)))</f>
        <v>1570.75</v>
      </c>
      <c r="AE66" s="11" t="n">
        <f aca="false">IF(AE$1&lt;Units!$P65,0,IF(AND(Units!$K65=0,AE$1=Units!$O65),Units!$R65,IF(AND(AE$1&gt;=Units!$Q65,MOD(AE$1-Units!$Q65,12)=0),IF(AND(Units!$L65=1,AE$1=Units!$Q65),IF(Units!$J65&lt;&gt;"",Units!$J65,Mkt!AE66),Inputs!$B$15*Mkt!AE66+(1-Inputs!$B$15)*MIN(Mkt!AE66,AD66*(1+Inputs!$B$18))),AD66)))</f>
        <v>1617.8725</v>
      </c>
      <c r="AF66" s="11" t="n">
        <f aca="false">IF(AF$1&lt;Units!$P65,0,IF(AND(Units!$K65=0,AF$1=Units!$O65),Units!$R65,IF(AND(AF$1&gt;=Units!$Q65,MOD(AF$1-Units!$Q65,12)=0),IF(AND(Units!$L65=1,AF$1=Units!$Q65),IF(Units!$J65&lt;&gt;"",Units!$J65,Mkt!AF66),Inputs!$B$15*Mkt!AF66+(1-Inputs!$B$15)*MIN(Mkt!AF66,AE66*(1+Inputs!$B$18))),AE66)))</f>
        <v>1617.8725</v>
      </c>
      <c r="AG66" s="11" t="n">
        <f aca="false">IF(AG$1&lt;Units!$P65,0,IF(AND(Units!$K65=0,AG$1=Units!$O65),Units!$R65,IF(AND(AG$1&gt;=Units!$Q65,MOD(AG$1-Units!$Q65,12)=0),IF(AND(Units!$L65=1,AG$1=Units!$Q65),IF(Units!$J65&lt;&gt;"",Units!$J65,Mkt!AG66),Inputs!$B$15*Mkt!AG66+(1-Inputs!$B$15)*MIN(Mkt!AG66,AF66*(1+Inputs!$B$18))),AF66)))</f>
        <v>1617.8725</v>
      </c>
      <c r="AH66" s="11" t="n">
        <f aca="false">IF(AH$1&lt;Units!$P65,0,IF(AND(Units!$K65=0,AH$1=Units!$O65),Units!$R65,IF(AND(AH$1&gt;=Units!$Q65,MOD(AH$1-Units!$Q65,12)=0),IF(AND(Units!$L65=1,AH$1=Units!$Q65),IF(Units!$J65&lt;&gt;"",Units!$J65,Mkt!AH66),Inputs!$B$15*Mkt!AH66+(1-Inputs!$B$15)*MIN(Mkt!AH66,AG66*(1+Inputs!$B$18))),AG66)))</f>
        <v>1617.8725</v>
      </c>
      <c r="AI66" s="11" t="n">
        <f aca="false">IF(AI$1&lt;Units!$P65,0,IF(AND(Units!$K65=0,AI$1=Units!$O65),Units!$R65,IF(AND(AI$1&gt;=Units!$Q65,MOD(AI$1-Units!$Q65,12)=0),IF(AND(Units!$L65=1,AI$1=Units!$Q65),IF(Units!$J65&lt;&gt;"",Units!$J65,Mkt!AI66),Inputs!$B$15*Mkt!AI66+(1-Inputs!$B$15)*MIN(Mkt!AI66,AH66*(1+Inputs!$B$18))),AH66)))</f>
        <v>1617.8725</v>
      </c>
      <c r="AJ66" s="11" t="n">
        <f aca="false">IF(AJ$1&lt;Units!$P65,0,IF(AND(Units!$K65=0,AJ$1=Units!$O65),Units!$R65,IF(AND(AJ$1&gt;=Units!$Q65,MOD(AJ$1-Units!$Q65,12)=0),IF(AND(Units!$L65=1,AJ$1=Units!$Q65),IF(Units!$J65&lt;&gt;"",Units!$J65,Mkt!AJ66),Inputs!$B$15*Mkt!AJ66+(1-Inputs!$B$15)*MIN(Mkt!AJ66,AI66*(1+Inputs!$B$18))),AI66)))</f>
        <v>1617.8725</v>
      </c>
      <c r="AK66" s="11" t="n">
        <f aca="false">IF(AK$1&lt;Units!$P65,0,IF(AND(Units!$K65=0,AK$1=Units!$O65),Units!$R65,IF(AND(AK$1&gt;=Units!$Q65,MOD(AK$1-Units!$Q65,12)=0),IF(AND(Units!$L65=1,AK$1=Units!$Q65),IF(Units!$J65&lt;&gt;"",Units!$J65,Mkt!AK66),Inputs!$B$15*Mkt!AK66+(1-Inputs!$B$15)*MIN(Mkt!AK66,AJ66*(1+Inputs!$B$18))),AJ66)))</f>
        <v>1617.8725</v>
      </c>
      <c r="AL66" s="11" t="n">
        <f aca="false">IF(AL$1&lt;Units!$P65,0,IF(AND(Units!$K65=0,AL$1=Units!$O65),Units!$R65,IF(AND(AL$1&gt;=Units!$Q65,MOD(AL$1-Units!$Q65,12)=0),IF(AND(Units!$L65=1,AL$1=Units!$Q65),IF(Units!$J65&lt;&gt;"",Units!$J65,Mkt!AL66),Inputs!$B$15*Mkt!AL66+(1-Inputs!$B$15)*MIN(Mkt!AL66,AK66*(1+Inputs!$B$18))),AK66)))</f>
        <v>1617.8725</v>
      </c>
      <c r="AM66" s="11" t="n">
        <f aca="false">IF(AM$1&lt;Units!$P65,0,IF(AND(Units!$K65=0,AM$1=Units!$O65),Units!$R65,IF(AND(AM$1&gt;=Units!$Q65,MOD(AM$1-Units!$Q65,12)=0),IF(AND(Units!$L65=1,AM$1=Units!$Q65),IF(Units!$J65&lt;&gt;"",Units!$J65,Mkt!AM66),Inputs!$B$15*Mkt!AM66+(1-Inputs!$B$15)*MIN(Mkt!AM66,AL66*(1+Inputs!$B$18))),AL66)))</f>
        <v>1617.8725</v>
      </c>
      <c r="AN66" s="11" t="n">
        <f aca="false">IF(AN$1&lt;Units!$P65,0,IF(AND(Units!$K65=0,AN$1=Units!$O65),Units!$R65,IF(AND(AN$1&gt;=Units!$Q65,MOD(AN$1-Units!$Q65,12)=0),IF(AND(Units!$L65=1,AN$1=Units!$Q65),IF(Units!$J65&lt;&gt;"",Units!$J65,Mkt!AN66),Inputs!$B$15*Mkt!AN66+(1-Inputs!$B$15)*MIN(Mkt!AN66,AM66*(1+Inputs!$B$18))),AM66)))</f>
        <v>1617.8725</v>
      </c>
      <c r="AO66" s="11" t="n">
        <f aca="false">IF(AO$1&lt;Units!$P65,0,IF(AND(Units!$K65=0,AO$1=Units!$O65),Units!$R65,IF(AND(AO$1&gt;=Units!$Q65,MOD(AO$1-Units!$Q65,12)=0),IF(AND(Units!$L65=1,AO$1=Units!$Q65),IF(Units!$J65&lt;&gt;"",Units!$J65,Mkt!AO66),Inputs!$B$15*Mkt!AO66+(1-Inputs!$B$15)*MIN(Mkt!AO66,AN66*(1+Inputs!$B$18))),AN66)))</f>
        <v>1617.8725</v>
      </c>
      <c r="AP66" s="11" t="n">
        <f aca="false">IF(AP$1&lt;Units!$P65,0,IF(AND(Units!$K65=0,AP$1=Units!$O65),Units!$R65,IF(AND(AP$1&gt;=Units!$Q65,MOD(AP$1-Units!$Q65,12)=0),IF(AND(Units!$L65=1,AP$1=Units!$Q65),IF(Units!$J65&lt;&gt;"",Units!$J65,Mkt!AP66),Inputs!$B$15*Mkt!AP66+(1-Inputs!$B$15)*MIN(Mkt!AP66,AO66*(1+Inputs!$B$18))),AO66)))</f>
        <v>1617.8725</v>
      </c>
      <c r="AQ66" s="11" t="n">
        <f aca="false">IF(AQ$1&lt;Units!$P65,0,IF(AND(Units!$K65=0,AQ$1=Units!$O65),Units!$R65,IF(AND(AQ$1&gt;=Units!$Q65,MOD(AQ$1-Units!$Q65,12)=0),IF(AND(Units!$L65=1,AQ$1=Units!$Q65),IF(Units!$J65&lt;&gt;"",Units!$J65,Mkt!AQ66),Inputs!$B$15*Mkt!AQ66+(1-Inputs!$B$15)*MIN(Mkt!AQ66,AP66*(1+Inputs!$B$18))),AP66)))</f>
        <v>1666.408675</v>
      </c>
      <c r="AR66" s="11" t="n">
        <f aca="false">IF(AR$1&lt;Units!$P65,0,IF(AND(Units!$K65=0,AR$1=Units!$O65),Units!$R65,IF(AND(AR$1&gt;=Units!$Q65,MOD(AR$1-Units!$Q65,12)=0),IF(AND(Units!$L65=1,AR$1=Units!$Q65),IF(Units!$J65&lt;&gt;"",Units!$J65,Mkt!AR66),Inputs!$B$15*Mkt!AR66+(1-Inputs!$B$15)*MIN(Mkt!AR66,AQ66*(1+Inputs!$B$18))),AQ66)))</f>
        <v>1666.408675</v>
      </c>
      <c r="AS66" s="11" t="n">
        <f aca="false">IF(AS$1&lt;Units!$P65,0,IF(AND(Units!$K65=0,AS$1=Units!$O65),Units!$R65,IF(AND(AS$1&gt;=Units!$Q65,MOD(AS$1-Units!$Q65,12)=0),IF(AND(Units!$L65=1,AS$1=Units!$Q65),IF(Units!$J65&lt;&gt;"",Units!$J65,Mkt!AS66),Inputs!$B$15*Mkt!AS66+(1-Inputs!$B$15)*MIN(Mkt!AS66,AR66*(1+Inputs!$B$18))),AR66)))</f>
        <v>1666.408675</v>
      </c>
      <c r="AT66" s="11" t="n">
        <f aca="false">IF(AT$1&lt;Units!$P65,0,IF(AND(Units!$K65=0,AT$1=Units!$O65),Units!$R65,IF(AND(AT$1&gt;=Units!$Q65,MOD(AT$1-Units!$Q65,12)=0),IF(AND(Units!$L65=1,AT$1=Units!$Q65),IF(Units!$J65&lt;&gt;"",Units!$J65,Mkt!AT66),Inputs!$B$15*Mkt!AT66+(1-Inputs!$B$15)*MIN(Mkt!AT66,AS66*(1+Inputs!$B$18))),AS66)))</f>
        <v>1666.408675</v>
      </c>
      <c r="AU66" s="11" t="n">
        <f aca="false">IF(AU$1&lt;Units!$P65,0,IF(AND(Units!$K65=0,AU$1=Units!$O65),Units!$R65,IF(AND(AU$1&gt;=Units!$Q65,MOD(AU$1-Units!$Q65,12)=0),IF(AND(Units!$L65=1,AU$1=Units!$Q65),IF(Units!$J65&lt;&gt;"",Units!$J65,Mkt!AU66),Inputs!$B$15*Mkt!AU66+(1-Inputs!$B$15)*MIN(Mkt!AU66,AT66*(1+Inputs!$B$18))),AT66)))</f>
        <v>1666.408675</v>
      </c>
      <c r="AV66" s="11" t="n">
        <f aca="false">IF(AV$1&lt;Units!$P65,0,IF(AND(Units!$K65=0,AV$1=Units!$O65),Units!$R65,IF(AND(AV$1&gt;=Units!$Q65,MOD(AV$1-Units!$Q65,12)=0),IF(AND(Units!$L65=1,AV$1=Units!$Q65),IF(Units!$J65&lt;&gt;"",Units!$J65,Mkt!AV66),Inputs!$B$15*Mkt!AV66+(1-Inputs!$B$15)*MIN(Mkt!AV66,AU66*(1+Inputs!$B$18))),AU66)))</f>
        <v>1666.408675</v>
      </c>
      <c r="AW66" s="11" t="n">
        <f aca="false">IF(AW$1&lt;Units!$P65,0,IF(AND(Units!$K65=0,AW$1=Units!$O65),Units!$R65,IF(AND(AW$1&gt;=Units!$Q65,MOD(AW$1-Units!$Q65,12)=0),IF(AND(Units!$L65=1,AW$1=Units!$Q65),IF(Units!$J65&lt;&gt;"",Units!$J65,Mkt!AW66),Inputs!$B$15*Mkt!AW66+(1-Inputs!$B$15)*MIN(Mkt!AW66,AV66*(1+Inputs!$B$18))),AV66)))</f>
        <v>1666.408675</v>
      </c>
      <c r="AX66" s="11" t="n">
        <f aca="false">IF(AX$1&lt;Units!$P65,0,IF(AND(Units!$K65=0,AX$1=Units!$O65),Units!$R65,IF(AND(AX$1&gt;=Units!$Q65,MOD(AX$1-Units!$Q65,12)=0),IF(AND(Units!$L65=1,AX$1=Units!$Q65),IF(Units!$J65&lt;&gt;"",Units!$J65,Mkt!AX66),Inputs!$B$15*Mkt!AX66+(1-Inputs!$B$15)*MIN(Mkt!AX66,AW66*(1+Inputs!$B$18))),AW66)))</f>
        <v>1666.408675</v>
      </c>
      <c r="AY66" s="11" t="n">
        <f aca="false">IF(AY$1&lt;Units!$P65,0,IF(AND(Units!$K65=0,AY$1=Units!$O65),Units!$R65,IF(AND(AY$1&gt;=Units!$Q65,MOD(AY$1-Units!$Q65,12)=0),IF(AND(Units!$L65=1,AY$1=Units!$Q65),IF(Units!$J65&lt;&gt;"",Units!$J65,Mkt!AY66),Inputs!$B$15*Mkt!AY66+(1-Inputs!$B$15)*MIN(Mkt!AY66,AX66*(1+Inputs!$B$18))),AX66)))</f>
        <v>1666.408675</v>
      </c>
      <c r="AZ66" s="11" t="n">
        <f aca="false">IF(AZ$1&lt;Units!$P65,0,IF(AND(Units!$K65=0,AZ$1=Units!$O65),Units!$R65,IF(AND(AZ$1&gt;=Units!$Q65,MOD(AZ$1-Units!$Q65,12)=0),IF(AND(Units!$L65=1,AZ$1=Units!$Q65),IF(Units!$J65&lt;&gt;"",Units!$J65,Mkt!AZ66),Inputs!$B$15*Mkt!AZ66+(1-Inputs!$B$15)*MIN(Mkt!AZ66,AY66*(1+Inputs!$B$18))),AY66)))</f>
        <v>1666.408675</v>
      </c>
      <c r="BA66" s="11" t="n">
        <f aca="false">IF(BA$1&lt;Units!$P65,0,IF(AND(Units!$K65=0,BA$1=Units!$O65),Units!$R65,IF(AND(BA$1&gt;=Units!$Q65,MOD(BA$1-Units!$Q65,12)=0),IF(AND(Units!$L65=1,BA$1=Units!$Q65),IF(Units!$J65&lt;&gt;"",Units!$J65,Mkt!BA66),Inputs!$B$15*Mkt!BA66+(1-Inputs!$B$15)*MIN(Mkt!BA66,AZ66*(1+Inputs!$B$18))),AZ66)))</f>
        <v>1666.408675</v>
      </c>
      <c r="BB66" s="11" t="n">
        <f aca="false">IF(BB$1&lt;Units!$P65,0,IF(AND(Units!$K65=0,BB$1=Units!$O65),Units!$R65,IF(AND(BB$1&gt;=Units!$Q65,MOD(BB$1-Units!$Q65,12)=0),IF(AND(Units!$L65=1,BB$1=Units!$Q65),IF(Units!$J65&lt;&gt;"",Units!$J65,Mkt!BB66),Inputs!$B$15*Mkt!BB66+(1-Inputs!$B$15)*MIN(Mkt!BB66,BA66*(1+Inputs!$B$18))),BA66)))</f>
        <v>1666.408675</v>
      </c>
      <c r="BC66" s="11" t="n">
        <f aca="false">IF(BC$1&lt;Units!$P65,0,IF(AND(Units!$K65=0,BC$1=Units!$O65),Units!$R65,IF(AND(BC$1&gt;=Units!$Q65,MOD(BC$1-Units!$Q65,12)=0),IF(AND(Units!$L65=1,BC$1=Units!$Q65),IF(Units!$J65&lt;&gt;"",Units!$J65,Mkt!BC66),Inputs!$B$15*Mkt!BC66+(1-Inputs!$B$15)*MIN(Mkt!BC66,BB66*(1+Inputs!$B$18))),BB66)))</f>
        <v>1716.40093525</v>
      </c>
      <c r="BD66" s="11" t="n">
        <f aca="false">IF(BD$1&lt;Units!$P65,0,IF(AND(Units!$K65=0,BD$1=Units!$O65),Units!$R65,IF(AND(BD$1&gt;=Units!$Q65,MOD(BD$1-Units!$Q65,12)=0),IF(AND(Units!$L65=1,BD$1=Units!$Q65),IF(Units!$J65&lt;&gt;"",Units!$J65,Mkt!BD66),Inputs!$B$15*Mkt!BD66+(1-Inputs!$B$15)*MIN(Mkt!BD66,BC66*(1+Inputs!$B$18))),BC66)))</f>
        <v>1716.40093525</v>
      </c>
      <c r="BE66" s="11" t="n">
        <f aca="false">IF(BE$1&lt;Units!$P65,0,IF(AND(Units!$K65=0,BE$1=Units!$O65),Units!$R65,IF(AND(BE$1&gt;=Units!$Q65,MOD(BE$1-Units!$Q65,12)=0),IF(AND(Units!$L65=1,BE$1=Units!$Q65),IF(Units!$J65&lt;&gt;"",Units!$J65,Mkt!BE66),Inputs!$B$15*Mkt!BE66+(1-Inputs!$B$15)*MIN(Mkt!BE66,BD66*(1+Inputs!$B$18))),BD66)))</f>
        <v>1716.40093525</v>
      </c>
      <c r="BF66" s="11" t="n">
        <f aca="false">IF(BF$1&lt;Units!$P65,0,IF(AND(Units!$K65=0,BF$1=Units!$O65),Units!$R65,IF(AND(BF$1&gt;=Units!$Q65,MOD(BF$1-Units!$Q65,12)=0),IF(AND(Units!$L65=1,BF$1=Units!$Q65),IF(Units!$J65&lt;&gt;"",Units!$J65,Mkt!BF66),Inputs!$B$15*Mkt!BF66+(1-Inputs!$B$15)*MIN(Mkt!BF66,BE66*(1+Inputs!$B$18))),BE66)))</f>
        <v>1716.40093525</v>
      </c>
      <c r="BG66" s="11" t="n">
        <f aca="false">IF(BG$1&lt;Units!$P65,0,IF(AND(Units!$K65=0,BG$1=Units!$O65),Units!$R65,IF(AND(BG$1&gt;=Units!$Q65,MOD(BG$1-Units!$Q65,12)=0),IF(AND(Units!$L65=1,BG$1=Units!$Q65),IF(Units!$J65&lt;&gt;"",Units!$J65,Mkt!BG66),Inputs!$B$15*Mkt!BG66+(1-Inputs!$B$15)*MIN(Mkt!BG66,BF66*(1+Inputs!$B$18))),BF66)))</f>
        <v>1716.40093525</v>
      </c>
      <c r="BH66" s="11" t="n">
        <f aca="false">IF(BH$1&lt;Units!$P65,0,IF(AND(Units!$K65=0,BH$1=Units!$O65),Units!$R65,IF(AND(BH$1&gt;=Units!$Q65,MOD(BH$1-Units!$Q65,12)=0),IF(AND(Units!$L65=1,BH$1=Units!$Q65),IF(Units!$J65&lt;&gt;"",Units!$J65,Mkt!BH66),Inputs!$B$15*Mkt!BH66+(1-Inputs!$B$15)*MIN(Mkt!BH66,BG66*(1+Inputs!$B$18))),BG66)))</f>
        <v>1716.40093525</v>
      </c>
      <c r="BI66" s="11" t="n">
        <f aca="false">IF(BI$1&lt;Units!$P65,0,IF(AND(Units!$K65=0,BI$1=Units!$O65),Units!$R65,IF(AND(BI$1&gt;=Units!$Q65,MOD(BI$1-Units!$Q65,12)=0),IF(AND(Units!$L65=1,BI$1=Units!$Q65),IF(Units!$J65&lt;&gt;"",Units!$J65,Mkt!BI66),Inputs!$B$15*Mkt!BI66+(1-Inputs!$B$15)*MIN(Mkt!BI66,BH66*(1+Inputs!$B$18))),BH66)))</f>
        <v>1716.40093525</v>
      </c>
      <c r="BJ66" s="11" t="n">
        <f aca="false">IF(BJ$1&lt;Units!$P65,0,IF(AND(Units!$K65=0,BJ$1=Units!$O65),Units!$R65,IF(AND(BJ$1&gt;=Units!$Q65,MOD(BJ$1-Units!$Q65,12)=0),IF(AND(Units!$L65=1,BJ$1=Units!$Q65),IF(Units!$J65&lt;&gt;"",Units!$J65,Mkt!BJ66),Inputs!$B$15*Mkt!BJ66+(1-Inputs!$B$15)*MIN(Mkt!BJ66,BI66*(1+Inputs!$B$18))),BI66)))</f>
        <v>1716.40093525</v>
      </c>
      <c r="BK66" s="11" t="n">
        <f aca="false">IF(BK$1&lt;Units!$P65,0,IF(AND(Units!$K65=0,BK$1=Units!$O65),Units!$R65,IF(AND(BK$1&gt;=Units!$Q65,MOD(BK$1-Units!$Q65,12)=0),IF(AND(Units!$L65=1,BK$1=Units!$Q65),IF(Units!$J65&lt;&gt;"",Units!$J65,Mkt!BK66),Inputs!$B$15*Mkt!BK66+(1-Inputs!$B$15)*MIN(Mkt!BK66,BJ66*(1+Inputs!$B$18))),BJ66)))</f>
        <v>1716.40093525</v>
      </c>
      <c r="BL66" s="11" t="n">
        <f aca="false">IF(BL$1&lt;Units!$P65,0,IF(AND(Units!$K65=0,BL$1=Units!$O65),Units!$R65,IF(AND(BL$1&gt;=Units!$Q65,MOD(BL$1-Units!$Q65,12)=0),IF(AND(Units!$L65=1,BL$1=Units!$Q65),IF(Units!$J65&lt;&gt;"",Units!$J65,Mkt!BL66),Inputs!$B$15*Mkt!BL66+(1-Inputs!$B$15)*MIN(Mkt!BL66,BK66*(1+Inputs!$B$18))),BK66)))</f>
        <v>1716.40093525</v>
      </c>
      <c r="BM66" s="11" t="n">
        <f aca="false">IF(BM$1&lt;Units!$P65,0,IF(AND(Units!$K65=0,BM$1=Units!$O65),Units!$R65,IF(AND(BM$1&gt;=Units!$Q65,MOD(BM$1-Units!$Q65,12)=0),IF(AND(Units!$L65=1,BM$1=Units!$Q65),IF(Units!$J65&lt;&gt;"",Units!$J65,Mkt!BM66),Inputs!$B$15*Mkt!BM66+(1-Inputs!$B$15)*MIN(Mkt!BM66,BL66*(1+Inputs!$B$18))),BL66)))</f>
        <v>1716.40093525</v>
      </c>
      <c r="BN66" s="11" t="n">
        <f aca="false">IF(BN$1&lt;Units!$P65,0,IF(AND(Units!$K65=0,BN$1=Units!$O65),Units!$R65,IF(AND(BN$1&gt;=Units!$Q65,MOD(BN$1-Units!$Q65,12)=0),IF(AND(Units!$L65=1,BN$1=Units!$Q65),IF(Units!$J65&lt;&gt;"",Units!$J65,Mkt!BN66),Inputs!$B$15*Mkt!BN66+(1-Inputs!$B$15)*MIN(Mkt!BN66,BM66*(1+Inputs!$B$18))),BM66)))</f>
        <v>1716.40093525</v>
      </c>
      <c r="BO66" s="11" t="n">
        <f aca="false">IF(BO$1&lt;Units!$P65,0,IF(AND(Units!$K65=0,BO$1=Units!$O65),Units!$R65,IF(AND(BO$1&gt;=Units!$Q65,MOD(BO$1-Units!$Q65,12)=0),IF(AND(Units!$L65=1,BO$1=Units!$Q65),IF(Units!$J65&lt;&gt;"",Units!$J65,Mkt!BO66),Inputs!$B$15*Mkt!BO66+(1-Inputs!$B$15)*MIN(Mkt!BO66,BN66*(1+Inputs!$B$18))),BN66)))</f>
        <v>1767.8929633075</v>
      </c>
      <c r="BP66" s="11" t="n">
        <f aca="false">IF(BP$1&lt;Units!$P65,0,IF(AND(Units!$K65=0,BP$1=Units!$O65),Units!$R65,IF(AND(BP$1&gt;=Units!$Q65,MOD(BP$1-Units!$Q65,12)=0),IF(AND(Units!$L65=1,BP$1=Units!$Q65),IF(Units!$J65&lt;&gt;"",Units!$J65,Mkt!BP66),Inputs!$B$15*Mkt!BP66+(1-Inputs!$B$15)*MIN(Mkt!BP66,BO66*(1+Inputs!$B$18))),BO66)))</f>
        <v>1767.8929633075</v>
      </c>
      <c r="BQ66" s="11" t="n">
        <f aca="false">IF(BQ$1&lt;Units!$P65,0,IF(AND(Units!$K65=0,BQ$1=Units!$O65),Units!$R65,IF(AND(BQ$1&gt;=Units!$Q65,MOD(BQ$1-Units!$Q65,12)=0),IF(AND(Units!$L65=1,BQ$1=Units!$Q65),IF(Units!$J65&lt;&gt;"",Units!$J65,Mkt!BQ66),Inputs!$B$15*Mkt!BQ66+(1-Inputs!$B$15)*MIN(Mkt!BQ66,BP66*(1+Inputs!$B$18))),BP66)))</f>
        <v>1767.8929633075</v>
      </c>
      <c r="BR66" s="11" t="n">
        <f aca="false">IF(BR$1&lt;Units!$P65,0,IF(AND(Units!$K65=0,BR$1=Units!$O65),Units!$R65,IF(AND(BR$1&gt;=Units!$Q65,MOD(BR$1-Units!$Q65,12)=0),IF(AND(Units!$L65=1,BR$1=Units!$Q65),IF(Units!$J65&lt;&gt;"",Units!$J65,Mkt!BR66),Inputs!$B$15*Mkt!BR66+(1-Inputs!$B$15)*MIN(Mkt!BR66,BQ66*(1+Inputs!$B$18))),BQ66)))</f>
        <v>1767.8929633075</v>
      </c>
      <c r="BS66" s="11" t="n">
        <f aca="false">IF(BS$1&lt;Units!$P65,0,IF(AND(Units!$K65=0,BS$1=Units!$O65),Units!$R65,IF(AND(BS$1&gt;=Units!$Q65,MOD(BS$1-Units!$Q65,12)=0),IF(AND(Units!$L65=1,BS$1=Units!$Q65),IF(Units!$J65&lt;&gt;"",Units!$J65,Mkt!BS66),Inputs!$B$15*Mkt!BS66+(1-Inputs!$B$15)*MIN(Mkt!BS66,BR66*(1+Inputs!$B$18))),BR66)))</f>
        <v>1767.8929633075</v>
      </c>
      <c r="BT66" s="11" t="n">
        <f aca="false">IF(BT$1&lt;Units!$P65,0,IF(AND(Units!$K65=0,BT$1=Units!$O65),Units!$R65,IF(AND(BT$1&gt;=Units!$Q65,MOD(BT$1-Units!$Q65,12)=0),IF(AND(Units!$L65=1,BT$1=Units!$Q65),IF(Units!$J65&lt;&gt;"",Units!$J65,Mkt!BT66),Inputs!$B$15*Mkt!BT66+(1-Inputs!$B$15)*MIN(Mkt!BT66,BS66*(1+Inputs!$B$18))),BS66)))</f>
        <v>1767.8929633075</v>
      </c>
      <c r="BU66" s="11" t="n">
        <f aca="false">IF(BU$1&lt;Units!$P65,0,IF(AND(Units!$K65=0,BU$1=Units!$O65),Units!$R65,IF(AND(BU$1&gt;=Units!$Q65,MOD(BU$1-Units!$Q65,12)=0),IF(AND(Units!$L65=1,BU$1=Units!$Q65),IF(Units!$J65&lt;&gt;"",Units!$J65,Mkt!BU66),Inputs!$B$15*Mkt!BU66+(1-Inputs!$B$15)*MIN(Mkt!BU66,BT66*(1+Inputs!$B$18))),BT66)))</f>
        <v>1767.8929633075</v>
      </c>
      <c r="BV66" s="11" t="n">
        <f aca="false">IF(BV$1&lt;Units!$P65,0,IF(AND(Units!$K65=0,BV$1=Units!$O65),Units!$R65,IF(AND(BV$1&gt;=Units!$Q65,MOD(BV$1-Units!$Q65,12)=0),IF(AND(Units!$L65=1,BV$1=Units!$Q65),IF(Units!$J65&lt;&gt;"",Units!$J65,Mkt!BV66),Inputs!$B$15*Mkt!BV66+(1-Inputs!$B$15)*MIN(Mkt!BV66,BU66*(1+Inputs!$B$18))),BU66)))</f>
        <v>1767.8929633075</v>
      </c>
      <c r="BW66" s="11" t="n">
        <f aca="false">IF(BW$1&lt;Units!$P65,0,IF(AND(Units!$K65=0,BW$1=Units!$O65),Units!$R65,IF(AND(BW$1&gt;=Units!$Q65,MOD(BW$1-Units!$Q65,12)=0),IF(AND(Units!$L65=1,BW$1=Units!$Q65),IF(Units!$J65&lt;&gt;"",Units!$J65,Mkt!BW66),Inputs!$B$15*Mkt!BW66+(1-Inputs!$B$15)*MIN(Mkt!BW66,BV66*(1+Inputs!$B$18))),BV66)))</f>
        <v>1767.8929633075</v>
      </c>
      <c r="BX66" s="11" t="n">
        <f aca="false">IF(BX$1&lt;Units!$P65,0,IF(AND(Units!$K65=0,BX$1=Units!$O65),Units!$R65,IF(AND(BX$1&gt;=Units!$Q65,MOD(BX$1-Units!$Q65,12)=0),IF(AND(Units!$L65=1,BX$1=Units!$Q65),IF(Units!$J65&lt;&gt;"",Units!$J65,Mkt!BX66),Inputs!$B$15*Mkt!BX66+(1-Inputs!$B$15)*MIN(Mkt!BX66,BW66*(1+Inputs!$B$18))),BW66)))</f>
        <v>1767.8929633075</v>
      </c>
      <c r="BY66" s="11" t="n">
        <f aca="false">IF(BY$1&lt;Units!$P65,0,IF(AND(Units!$K65=0,BY$1=Units!$O65),Units!$R65,IF(AND(BY$1&gt;=Units!$Q65,MOD(BY$1-Units!$Q65,12)=0),IF(AND(Units!$L65=1,BY$1=Units!$Q65),IF(Units!$J65&lt;&gt;"",Units!$J65,Mkt!BY66),Inputs!$B$15*Mkt!BY66+(1-Inputs!$B$15)*MIN(Mkt!BY66,BX66*(1+Inputs!$B$18))),BX66)))</f>
        <v>1767.8929633075</v>
      </c>
      <c r="BZ66" s="11" t="n">
        <f aca="false">IF(BZ$1&lt;Units!$P65,0,IF(AND(Units!$K65=0,BZ$1=Units!$O65),Units!$R65,IF(AND(BZ$1&gt;=Units!$Q65,MOD(BZ$1-Units!$Q65,12)=0),IF(AND(Units!$L65=1,BZ$1=Units!$Q65),IF(Units!$J65&lt;&gt;"",Units!$J65,Mkt!BZ66),Inputs!$B$15*Mkt!BZ66+(1-Inputs!$B$15)*MIN(Mkt!BZ66,BY66*(1+Inputs!$B$18))),BY66)))</f>
        <v>1767.8929633075</v>
      </c>
      <c r="CA66" s="11" t="n">
        <f aca="false">IF(CA$1&lt;Units!$P65,0,IF(AND(Units!$K65=0,CA$1=Units!$O65),Units!$R65,IF(AND(CA$1&gt;=Units!$Q65,MOD(CA$1-Units!$Q65,12)=0),IF(AND(Units!$L65=1,CA$1=Units!$Q65),IF(Units!$J65&lt;&gt;"",Units!$J65,Mkt!CA66),Inputs!$B$15*Mkt!CA66+(1-Inputs!$B$15)*MIN(Mkt!CA66,BZ66*(1+Inputs!$B$18))),BZ66)))</f>
        <v>1820.92975220673</v>
      </c>
      <c r="CB66" s="11" t="n">
        <f aca="false">IF(CB$1&lt;Units!$P65,0,IF(AND(Units!$K65=0,CB$1=Units!$O65),Units!$R65,IF(AND(CB$1&gt;=Units!$Q65,MOD(CB$1-Units!$Q65,12)=0),IF(AND(Units!$L65=1,CB$1=Units!$Q65),IF(Units!$J65&lt;&gt;"",Units!$J65,Mkt!CB66),Inputs!$B$15*Mkt!CB66+(1-Inputs!$B$15)*MIN(Mkt!CB66,CA66*(1+Inputs!$B$18))),CA66)))</f>
        <v>1820.92975220673</v>
      </c>
      <c r="CC66" s="11" t="n">
        <f aca="false">IF(CC$1&lt;Units!$P65,0,IF(AND(Units!$K65=0,CC$1=Units!$O65),Units!$R65,IF(AND(CC$1&gt;=Units!$Q65,MOD(CC$1-Units!$Q65,12)=0),IF(AND(Units!$L65=1,CC$1=Units!$Q65),IF(Units!$J65&lt;&gt;"",Units!$J65,Mkt!CC66),Inputs!$B$15*Mkt!CC66+(1-Inputs!$B$15)*MIN(Mkt!CC66,CB66*(1+Inputs!$B$18))),CB66)))</f>
        <v>1820.92975220673</v>
      </c>
      <c r="CD66" s="11" t="n">
        <f aca="false">IF(CD$1&lt;Units!$P65,0,IF(AND(Units!$K65=0,CD$1=Units!$O65),Units!$R65,IF(AND(CD$1&gt;=Units!$Q65,MOD(CD$1-Units!$Q65,12)=0),IF(AND(Units!$L65=1,CD$1=Units!$Q65),IF(Units!$J65&lt;&gt;"",Units!$J65,Mkt!CD66),Inputs!$B$15*Mkt!CD66+(1-Inputs!$B$15)*MIN(Mkt!CD66,CC66*(1+Inputs!$B$18))),CC66)))</f>
        <v>1820.92975220673</v>
      </c>
      <c r="CE66" s="11" t="n">
        <f aca="false">IF(CE$1&lt;Units!$P65,0,IF(AND(Units!$K65=0,CE$1=Units!$O65),Units!$R65,IF(AND(CE$1&gt;=Units!$Q65,MOD(CE$1-Units!$Q65,12)=0),IF(AND(Units!$L65=1,CE$1=Units!$Q65),IF(Units!$J65&lt;&gt;"",Units!$J65,Mkt!CE66),Inputs!$B$15*Mkt!CE66+(1-Inputs!$B$15)*MIN(Mkt!CE66,CD66*(1+Inputs!$B$18))),CD66)))</f>
        <v>1820.92975220673</v>
      </c>
      <c r="CF66" s="11" t="n">
        <f aca="false">IF(CF$1&lt;Units!$P65,0,IF(AND(Units!$K65=0,CF$1=Units!$O65),Units!$R65,IF(AND(CF$1&gt;=Units!$Q65,MOD(CF$1-Units!$Q65,12)=0),IF(AND(Units!$L65=1,CF$1=Units!$Q65),IF(Units!$J65&lt;&gt;"",Units!$J65,Mkt!CF66),Inputs!$B$15*Mkt!CF66+(1-Inputs!$B$15)*MIN(Mkt!CF66,CE66*(1+Inputs!$B$18))),CE66)))</f>
        <v>1820.92975220673</v>
      </c>
      <c r="CG66" s="11" t="n">
        <f aca="false">IF(CG$1&lt;Units!$P65,0,IF(AND(Units!$K65=0,CG$1=Units!$O65),Units!$R65,IF(AND(CG$1&gt;=Units!$Q65,MOD(CG$1-Units!$Q65,12)=0),IF(AND(Units!$L65=1,CG$1=Units!$Q65),IF(Units!$J65&lt;&gt;"",Units!$J65,Mkt!CG66),Inputs!$B$15*Mkt!CG66+(1-Inputs!$B$15)*MIN(Mkt!CG66,CF66*(1+Inputs!$B$18))),CF66)))</f>
        <v>1820.92975220673</v>
      </c>
      <c r="CH66" s="11" t="n">
        <f aca="false">IF(CH$1&lt;Units!$P65,0,IF(AND(Units!$K65=0,CH$1=Units!$O65),Units!$R65,IF(AND(CH$1&gt;=Units!$Q65,MOD(CH$1-Units!$Q65,12)=0),IF(AND(Units!$L65=1,CH$1=Units!$Q65),IF(Units!$J65&lt;&gt;"",Units!$J65,Mkt!CH66),Inputs!$B$15*Mkt!CH66+(1-Inputs!$B$15)*MIN(Mkt!CH66,CG66*(1+Inputs!$B$18))),CG66)))</f>
        <v>1820.92975220673</v>
      </c>
      <c r="CI66" s="11" t="n">
        <f aca="false">IF(CI$1&lt;Units!$P65,0,IF(AND(Units!$K65=0,CI$1=Units!$O65),Units!$R65,IF(AND(CI$1&gt;=Units!$Q65,MOD(CI$1-Units!$Q65,12)=0),IF(AND(Units!$L65=1,CI$1=Units!$Q65),IF(Units!$J65&lt;&gt;"",Units!$J65,Mkt!CI66),Inputs!$B$15*Mkt!CI66+(1-Inputs!$B$15)*MIN(Mkt!CI66,CH66*(1+Inputs!$B$18))),CH66)))</f>
        <v>1820.92975220673</v>
      </c>
      <c r="CJ66" s="11" t="n">
        <f aca="false">IF(CJ$1&lt;Units!$P65,0,IF(AND(Units!$K65=0,CJ$1=Units!$O65),Units!$R65,IF(AND(CJ$1&gt;=Units!$Q65,MOD(CJ$1-Units!$Q65,12)=0),IF(AND(Units!$L65=1,CJ$1=Units!$Q65),IF(Units!$J65&lt;&gt;"",Units!$J65,Mkt!CJ66),Inputs!$B$15*Mkt!CJ66+(1-Inputs!$B$15)*MIN(Mkt!CJ66,CI66*(1+Inputs!$B$18))),CI66)))</f>
        <v>1820.92975220673</v>
      </c>
      <c r="CK66" s="11" t="n">
        <f aca="false">IF(CK$1&lt;Units!$P65,0,IF(AND(Units!$K65=0,CK$1=Units!$O65),Units!$R65,IF(AND(CK$1&gt;=Units!$Q65,MOD(CK$1-Units!$Q65,12)=0),IF(AND(Units!$L65=1,CK$1=Units!$Q65),IF(Units!$J65&lt;&gt;"",Units!$J65,Mkt!CK66),Inputs!$B$15*Mkt!CK66+(1-Inputs!$B$15)*MIN(Mkt!CK66,CJ66*(1+Inputs!$B$18))),CJ66)))</f>
        <v>1820.92975220673</v>
      </c>
      <c r="CL66" s="11" t="n">
        <f aca="false">IF(CL$1&lt;Units!$P65,0,IF(AND(Units!$K65=0,CL$1=Units!$O65),Units!$R65,IF(AND(CL$1&gt;=Units!$Q65,MOD(CL$1-Units!$Q65,12)=0),IF(AND(Units!$L65=1,CL$1=Units!$Q65),IF(Units!$J65&lt;&gt;"",Units!$J65,Mkt!CL66),Inputs!$B$15*Mkt!CL66+(1-Inputs!$B$15)*MIN(Mkt!CL66,CK66*(1+Inputs!$B$18))),CK66)))</f>
        <v>1820.92975220673</v>
      </c>
      <c r="CM66" s="11" t="n">
        <f aca="false">IF(CM$1&lt;Units!$P65,0,IF(AND(Units!$K65=0,CM$1=Units!$O65),Units!$R65,IF(AND(CM$1&gt;=Units!$Q65,MOD(CM$1-Units!$Q65,12)=0),IF(AND(Units!$L65=1,CM$1=Units!$Q65),IF(Units!$J65&lt;&gt;"",Units!$J65,Mkt!CM66),Inputs!$B$15*Mkt!CM66+(1-Inputs!$B$15)*MIN(Mkt!CM66,CL66*(1+Inputs!$B$18))),CL66)))</f>
        <v>1875.55764477293</v>
      </c>
      <c r="CN66" s="11" t="n">
        <f aca="false">IF(CN$1&lt;Units!$P65,0,IF(AND(Units!$K65=0,CN$1=Units!$O65),Units!$R65,IF(AND(CN$1&gt;=Units!$Q65,MOD(CN$1-Units!$Q65,12)=0),IF(AND(Units!$L65=1,CN$1=Units!$Q65),IF(Units!$J65&lt;&gt;"",Units!$J65,Mkt!CN66),Inputs!$B$15*Mkt!CN66+(1-Inputs!$B$15)*MIN(Mkt!CN66,CM66*(1+Inputs!$B$18))),CM66)))</f>
        <v>1875.55764477293</v>
      </c>
      <c r="CO66" s="11" t="n">
        <f aca="false">IF(CO$1&lt;Units!$P65,0,IF(AND(Units!$K65=0,CO$1=Units!$O65),Units!$R65,IF(AND(CO$1&gt;=Units!$Q65,MOD(CO$1-Units!$Q65,12)=0),IF(AND(Units!$L65=1,CO$1=Units!$Q65),IF(Units!$J65&lt;&gt;"",Units!$J65,Mkt!CO66),Inputs!$B$15*Mkt!CO66+(1-Inputs!$B$15)*MIN(Mkt!CO66,CN66*(1+Inputs!$B$18))),CN66)))</f>
        <v>1875.55764477293</v>
      </c>
      <c r="CP66" s="11" t="n">
        <f aca="false">IF(CP$1&lt;Units!$P65,0,IF(AND(Units!$K65=0,CP$1=Units!$O65),Units!$R65,IF(AND(CP$1&gt;=Units!$Q65,MOD(CP$1-Units!$Q65,12)=0),IF(AND(Units!$L65=1,CP$1=Units!$Q65),IF(Units!$J65&lt;&gt;"",Units!$J65,Mkt!CP66),Inputs!$B$15*Mkt!CP66+(1-Inputs!$B$15)*MIN(Mkt!CP66,CO66*(1+Inputs!$B$18))),CO66)))</f>
        <v>1875.55764477293</v>
      </c>
      <c r="CQ66" s="11" t="n">
        <f aca="false">IF(CQ$1&lt;Units!$P65,0,IF(AND(Units!$K65=0,CQ$1=Units!$O65),Units!$R65,IF(AND(CQ$1&gt;=Units!$Q65,MOD(CQ$1-Units!$Q65,12)=0),IF(AND(Units!$L65=1,CQ$1=Units!$Q65),IF(Units!$J65&lt;&gt;"",Units!$J65,Mkt!CQ66),Inputs!$B$15*Mkt!CQ66+(1-Inputs!$B$15)*MIN(Mkt!CQ66,CP66*(1+Inputs!$B$18))),CP66)))</f>
        <v>1875.55764477293</v>
      </c>
      <c r="CR66" s="11" t="n">
        <f aca="false">IF(CR$1&lt;Units!$P65,0,IF(AND(Units!$K65=0,CR$1=Units!$O65),Units!$R65,IF(AND(CR$1&gt;=Units!$Q65,MOD(CR$1-Units!$Q65,12)=0),IF(AND(Units!$L65=1,CR$1=Units!$Q65),IF(Units!$J65&lt;&gt;"",Units!$J65,Mkt!CR66),Inputs!$B$15*Mkt!CR66+(1-Inputs!$B$15)*MIN(Mkt!CR66,CQ66*(1+Inputs!$B$18))),CQ66)))</f>
        <v>1875.55764477293</v>
      </c>
      <c r="CS66" s="11" t="n">
        <f aca="false">IF(CS$1&lt;Units!$P65,0,IF(AND(Units!$K65=0,CS$1=Units!$O65),Units!$R65,IF(AND(CS$1&gt;=Units!$Q65,MOD(CS$1-Units!$Q65,12)=0),IF(AND(Units!$L65=1,CS$1=Units!$Q65),IF(Units!$J65&lt;&gt;"",Units!$J65,Mkt!CS66),Inputs!$B$15*Mkt!CS66+(1-Inputs!$B$15)*MIN(Mkt!CS66,CR66*(1+Inputs!$B$18))),CR66)))</f>
        <v>1875.55764477293</v>
      </c>
      <c r="CT66" s="11" t="n">
        <f aca="false">IF(CT$1&lt;Units!$P65,0,IF(AND(Units!$K65=0,CT$1=Units!$O65),Units!$R65,IF(AND(CT$1&gt;=Units!$Q65,MOD(CT$1-Units!$Q65,12)=0),IF(AND(Units!$L65=1,CT$1=Units!$Q65),IF(Units!$J65&lt;&gt;"",Units!$J65,Mkt!CT66),Inputs!$B$15*Mkt!CT66+(1-Inputs!$B$15)*MIN(Mkt!CT66,CS66*(1+Inputs!$B$18))),CS66)))</f>
        <v>1875.55764477293</v>
      </c>
      <c r="CU66" s="11" t="n">
        <f aca="false">IF(CU$1&lt;Units!$P65,0,IF(AND(Units!$K65=0,CU$1=Units!$O65),Units!$R65,IF(AND(CU$1&gt;=Units!$Q65,MOD(CU$1-Units!$Q65,12)=0),IF(AND(Units!$L65=1,CU$1=Units!$Q65),IF(Units!$J65&lt;&gt;"",Units!$J65,Mkt!CU66),Inputs!$B$15*Mkt!CU66+(1-Inputs!$B$15)*MIN(Mkt!CU66,CT66*(1+Inputs!$B$18))),CT66)))</f>
        <v>1875.55764477293</v>
      </c>
      <c r="CV66" s="11" t="n">
        <f aca="false">IF(CV$1&lt;Units!$P65,0,IF(AND(Units!$K65=0,CV$1=Units!$O65),Units!$R65,IF(AND(CV$1&gt;=Units!$Q65,MOD(CV$1-Units!$Q65,12)=0),IF(AND(Units!$L65=1,CV$1=Units!$Q65),IF(Units!$J65&lt;&gt;"",Units!$J65,Mkt!CV66),Inputs!$B$15*Mkt!CV66+(1-Inputs!$B$15)*MIN(Mkt!CV66,CU66*(1+Inputs!$B$18))),CU66)))</f>
        <v>1875.55764477293</v>
      </c>
      <c r="CW66" s="11" t="n">
        <f aca="false">IF(CW$1&lt;Units!$P65,0,IF(AND(Units!$K65=0,CW$1=Units!$O65),Units!$R65,IF(AND(CW$1&gt;=Units!$Q65,MOD(CW$1-Units!$Q65,12)=0),IF(AND(Units!$L65=1,CW$1=Units!$Q65),IF(Units!$J65&lt;&gt;"",Units!$J65,Mkt!CW66),Inputs!$B$15*Mkt!CW66+(1-Inputs!$B$15)*MIN(Mkt!CW66,CV66*(1+Inputs!$B$18))),CV66)))</f>
        <v>1875.55764477293</v>
      </c>
      <c r="CX66" s="11" t="n">
        <f aca="false">IF(CX$1&lt;Units!$P65,0,IF(AND(Units!$K65=0,CX$1=Units!$O65),Units!$R65,IF(AND(CX$1&gt;=Units!$Q65,MOD(CX$1-Units!$Q65,12)=0),IF(AND(Units!$L65=1,CX$1=Units!$Q65),IF(Units!$J65&lt;&gt;"",Units!$J65,Mkt!CX66),Inputs!$B$15*Mkt!CX66+(1-Inputs!$B$15)*MIN(Mkt!CX66,CW66*(1+Inputs!$B$18))),CW66)))</f>
        <v>1875.55764477293</v>
      </c>
      <c r="CY66" s="11" t="n">
        <f aca="false">IF(CY$1&lt;Units!$P65,0,IF(AND(Units!$K65=0,CY$1=Units!$O65),Units!$R65,IF(AND(CY$1&gt;=Units!$Q65,MOD(CY$1-Units!$Q65,12)=0),IF(AND(Units!$L65=1,CY$1=Units!$Q65),IF(Units!$J65&lt;&gt;"",Units!$J65,Mkt!CY66),Inputs!$B$15*Mkt!CY66+(1-Inputs!$B$15)*MIN(Mkt!CY66,CX66*(1+Inputs!$B$18))),CX66)))</f>
        <v>1931.82437411612</v>
      </c>
      <c r="CZ66" s="11" t="n">
        <f aca="false">IF(CZ$1&lt;Units!$P65,0,IF(AND(Units!$K65=0,CZ$1=Units!$O65),Units!$R65,IF(AND(CZ$1&gt;=Units!$Q65,MOD(CZ$1-Units!$Q65,12)=0),IF(AND(Units!$L65=1,CZ$1=Units!$Q65),IF(Units!$J65&lt;&gt;"",Units!$J65,Mkt!CZ66),Inputs!$B$15*Mkt!CZ66+(1-Inputs!$B$15)*MIN(Mkt!CZ66,CY66*(1+Inputs!$B$18))),CY66)))</f>
        <v>1931.82437411612</v>
      </c>
      <c r="DA66" s="11" t="n">
        <f aca="false">IF(DA$1&lt;Units!$P65,0,IF(AND(Units!$K65=0,DA$1=Units!$O65),Units!$R65,IF(AND(DA$1&gt;=Units!$Q65,MOD(DA$1-Units!$Q65,12)=0),IF(AND(Units!$L65=1,DA$1=Units!$Q65),IF(Units!$J65&lt;&gt;"",Units!$J65,Mkt!DA66),Inputs!$B$15*Mkt!DA66+(1-Inputs!$B$15)*MIN(Mkt!DA66,CZ66*(1+Inputs!$B$18))),CZ66)))</f>
        <v>1931.82437411612</v>
      </c>
      <c r="DB66" s="11" t="n">
        <f aca="false">IF(DB$1&lt;Units!$P65,0,IF(AND(Units!$K65=0,DB$1=Units!$O65),Units!$R65,IF(AND(DB$1&gt;=Units!$Q65,MOD(DB$1-Units!$Q65,12)=0),IF(AND(Units!$L65=1,DB$1=Units!$Q65),IF(Units!$J65&lt;&gt;"",Units!$J65,Mkt!DB66),Inputs!$B$15*Mkt!DB66+(1-Inputs!$B$15)*MIN(Mkt!DB66,DA66*(1+Inputs!$B$18))),DA66)))</f>
        <v>1931.82437411612</v>
      </c>
      <c r="DC66" s="11" t="n">
        <f aca="false">IF(DC$1&lt;Units!$P65,0,IF(AND(Units!$K65=0,DC$1=Units!$O65),Units!$R65,IF(AND(DC$1&gt;=Units!$Q65,MOD(DC$1-Units!$Q65,12)=0),IF(AND(Units!$L65=1,DC$1=Units!$Q65),IF(Units!$J65&lt;&gt;"",Units!$J65,Mkt!DC66),Inputs!$B$15*Mkt!DC66+(1-Inputs!$B$15)*MIN(Mkt!DC66,DB66*(1+Inputs!$B$18))),DB66)))</f>
        <v>1931.82437411612</v>
      </c>
      <c r="DD66" s="11" t="n">
        <f aca="false">IF(DD$1&lt;Units!$P65,0,IF(AND(Units!$K65=0,DD$1=Units!$O65),Units!$R65,IF(AND(DD$1&gt;=Units!$Q65,MOD(DD$1-Units!$Q65,12)=0),IF(AND(Units!$L65=1,DD$1=Units!$Q65),IF(Units!$J65&lt;&gt;"",Units!$J65,Mkt!DD66),Inputs!$B$15*Mkt!DD66+(1-Inputs!$B$15)*MIN(Mkt!DD66,DC66*(1+Inputs!$B$18))),DC66)))</f>
        <v>1931.82437411612</v>
      </c>
      <c r="DE66" s="11" t="n">
        <f aca="false">IF(DE$1&lt;Units!$P65,0,IF(AND(Units!$K65=0,DE$1=Units!$O65),Units!$R65,IF(AND(DE$1&gt;=Units!$Q65,MOD(DE$1-Units!$Q65,12)=0),IF(AND(Units!$L65=1,DE$1=Units!$Q65),IF(Units!$J65&lt;&gt;"",Units!$J65,Mkt!DE66),Inputs!$B$15*Mkt!DE66+(1-Inputs!$B$15)*MIN(Mkt!DE66,DD66*(1+Inputs!$B$18))),DD66)))</f>
        <v>1931.82437411612</v>
      </c>
      <c r="DF66" s="11" t="n">
        <f aca="false">IF(DF$1&lt;Units!$P65,0,IF(AND(Units!$K65=0,DF$1=Units!$O65),Units!$R65,IF(AND(DF$1&gt;=Units!$Q65,MOD(DF$1-Units!$Q65,12)=0),IF(AND(Units!$L65=1,DF$1=Units!$Q65),IF(Units!$J65&lt;&gt;"",Units!$J65,Mkt!DF66),Inputs!$B$15*Mkt!DF66+(1-Inputs!$B$15)*MIN(Mkt!DF66,DE66*(1+Inputs!$B$18))),DE66)))</f>
        <v>1931.82437411612</v>
      </c>
      <c r="DG66" s="11" t="n">
        <f aca="false">IF(DG$1&lt;Units!$P65,0,IF(AND(Units!$K65=0,DG$1=Units!$O65),Units!$R65,IF(AND(DG$1&gt;=Units!$Q65,MOD(DG$1-Units!$Q65,12)=0),IF(AND(Units!$L65=1,DG$1=Units!$Q65),IF(Units!$J65&lt;&gt;"",Units!$J65,Mkt!DG66),Inputs!$B$15*Mkt!DG66+(1-Inputs!$B$15)*MIN(Mkt!DG66,DF66*(1+Inputs!$B$18))),DF66)))</f>
        <v>1931.82437411612</v>
      </c>
      <c r="DH66" s="11" t="n">
        <f aca="false">IF(DH$1&lt;Units!$P65,0,IF(AND(Units!$K65=0,DH$1=Units!$O65),Units!$R65,IF(AND(DH$1&gt;=Units!$Q65,MOD(DH$1-Units!$Q65,12)=0),IF(AND(Units!$L65=1,DH$1=Units!$Q65),IF(Units!$J65&lt;&gt;"",Units!$J65,Mkt!DH66),Inputs!$B$15*Mkt!DH66+(1-Inputs!$B$15)*MIN(Mkt!DH66,DG66*(1+Inputs!$B$18))),DG66)))</f>
        <v>1931.82437411612</v>
      </c>
      <c r="DI66" s="11" t="n">
        <f aca="false">IF(DI$1&lt;Units!$P65,0,IF(AND(Units!$K65=0,DI$1=Units!$O65),Units!$R65,IF(AND(DI$1&gt;=Units!$Q65,MOD(DI$1-Units!$Q65,12)=0),IF(AND(Units!$L65=1,DI$1=Units!$Q65),IF(Units!$J65&lt;&gt;"",Units!$J65,Mkt!DI66),Inputs!$B$15*Mkt!DI66+(1-Inputs!$B$15)*MIN(Mkt!DI66,DH66*(1+Inputs!$B$18))),DH66)))</f>
        <v>1931.82437411612</v>
      </c>
      <c r="DJ66" s="11" t="n">
        <f aca="false">IF(DJ$1&lt;Units!$P65,0,IF(AND(Units!$K65=0,DJ$1=Units!$O65),Units!$R65,IF(AND(DJ$1&gt;=Units!$Q65,MOD(DJ$1-Units!$Q65,12)=0),IF(AND(Units!$L65=1,DJ$1=Units!$Q65),IF(Units!$J65&lt;&gt;"",Units!$J65,Mkt!DJ66),Inputs!$B$15*Mkt!DJ66+(1-Inputs!$B$15)*MIN(Mkt!DJ66,DI66*(1+Inputs!$B$18))),DI66)))</f>
        <v>1931.82437411612</v>
      </c>
      <c r="DK66" s="11" t="n">
        <f aca="false">IF(DK$1&lt;Units!$P65,0,IF(AND(Units!$K65=0,DK$1=Units!$O65),Units!$R65,IF(AND(DK$1&gt;=Units!$Q65,MOD(DK$1-Units!$Q65,12)=0),IF(AND(Units!$L65=1,DK$1=Units!$Q65),IF(Units!$J65&lt;&gt;"",Units!$J65,Mkt!DK66),Inputs!$B$15*Mkt!DK66+(1-Inputs!$B$15)*MIN(Mkt!DK66,DJ66*(1+Inputs!$B$18))),DJ66)))</f>
        <v>1989.7791053396</v>
      </c>
      <c r="DL66" s="11" t="n">
        <f aca="false">IF(DL$1&lt;Units!$P65,0,IF(AND(Units!$K65=0,DL$1=Units!$O65),Units!$R65,IF(AND(DL$1&gt;=Units!$Q65,MOD(DL$1-Units!$Q65,12)=0),IF(AND(Units!$L65=1,DL$1=Units!$Q65),IF(Units!$J65&lt;&gt;"",Units!$J65,Mkt!DL66),Inputs!$B$15*Mkt!DL66+(1-Inputs!$B$15)*MIN(Mkt!DL66,DK66*(1+Inputs!$B$18))),DK66)))</f>
        <v>1989.7791053396</v>
      </c>
      <c r="DM66" s="11" t="n">
        <f aca="false">IF(DM$1&lt;Units!$P65,0,IF(AND(Units!$K65=0,DM$1=Units!$O65),Units!$R65,IF(AND(DM$1&gt;=Units!$Q65,MOD(DM$1-Units!$Q65,12)=0),IF(AND(Units!$L65=1,DM$1=Units!$Q65),IF(Units!$J65&lt;&gt;"",Units!$J65,Mkt!DM66),Inputs!$B$15*Mkt!DM66+(1-Inputs!$B$15)*MIN(Mkt!DM66,DL66*(1+Inputs!$B$18))),DL66)))</f>
        <v>1989.7791053396</v>
      </c>
      <c r="DN66" s="11" t="n">
        <f aca="false">IF(DN$1&lt;Units!$P65,0,IF(AND(Units!$K65=0,DN$1=Units!$O65),Units!$R65,IF(AND(DN$1&gt;=Units!$Q65,MOD(DN$1-Units!$Q65,12)=0),IF(AND(Units!$L65=1,DN$1=Units!$Q65),IF(Units!$J65&lt;&gt;"",Units!$J65,Mkt!DN66),Inputs!$B$15*Mkt!DN66+(1-Inputs!$B$15)*MIN(Mkt!DN66,DM66*(1+Inputs!$B$18))),DM66)))</f>
        <v>1989.7791053396</v>
      </c>
      <c r="DO66" s="11" t="n">
        <f aca="false">IF(DO$1&lt;Units!$P65,0,IF(AND(Units!$K65=0,DO$1=Units!$O65),Units!$R65,IF(AND(DO$1&gt;=Units!$Q65,MOD(DO$1-Units!$Q65,12)=0),IF(AND(Units!$L65=1,DO$1=Units!$Q65),IF(Units!$J65&lt;&gt;"",Units!$J65,Mkt!DO66),Inputs!$B$15*Mkt!DO66+(1-Inputs!$B$15)*MIN(Mkt!DO66,DN66*(1+Inputs!$B$18))),DN66)))</f>
        <v>1989.7791053396</v>
      </c>
      <c r="DP66" s="11" t="n">
        <f aca="false">IF(DP$1&lt;Units!$P65,0,IF(AND(Units!$K65=0,DP$1=Units!$O65),Units!$R65,IF(AND(DP$1&gt;=Units!$Q65,MOD(DP$1-Units!$Q65,12)=0),IF(AND(Units!$L65=1,DP$1=Units!$Q65),IF(Units!$J65&lt;&gt;"",Units!$J65,Mkt!DP66),Inputs!$B$15*Mkt!DP66+(1-Inputs!$B$15)*MIN(Mkt!DP66,DO66*(1+Inputs!$B$18))),DO66)))</f>
        <v>1989.7791053396</v>
      </c>
      <c r="DQ66" s="11" t="n">
        <f aca="false">IF(DQ$1&lt;Units!$P65,0,IF(AND(Units!$K65=0,DQ$1=Units!$O65),Units!$R65,IF(AND(DQ$1&gt;=Units!$Q65,MOD(DQ$1-Units!$Q65,12)=0),IF(AND(Units!$L65=1,DQ$1=Units!$Q65),IF(Units!$J65&lt;&gt;"",Units!$J65,Mkt!DQ66),Inputs!$B$15*Mkt!DQ66+(1-Inputs!$B$15)*MIN(Mkt!DQ66,DP66*(1+Inputs!$B$18))),DP66)))</f>
        <v>1989.7791053396</v>
      </c>
      <c r="DR66" s="11" t="n">
        <f aca="false">IF(DR$1&lt;Units!$P65,0,IF(AND(Units!$K65=0,DR$1=Units!$O65),Units!$R65,IF(AND(DR$1&gt;=Units!$Q65,MOD(DR$1-Units!$Q65,12)=0),IF(AND(Units!$L65=1,DR$1=Units!$Q65),IF(Units!$J65&lt;&gt;"",Units!$J65,Mkt!DR66),Inputs!$B$15*Mkt!DR66+(1-Inputs!$B$15)*MIN(Mkt!DR66,DQ66*(1+Inputs!$B$18))),DQ66)))</f>
        <v>1989.7791053396</v>
      </c>
      <c r="DS66" s="11" t="n">
        <f aca="false">IF(DS$1&lt;Units!$P65,0,IF(AND(Units!$K65=0,DS$1=Units!$O65),Units!$R65,IF(AND(DS$1&gt;=Units!$Q65,MOD(DS$1-Units!$Q65,12)=0),IF(AND(Units!$L65=1,DS$1=Units!$Q65),IF(Units!$J65&lt;&gt;"",Units!$J65,Mkt!DS66),Inputs!$B$15*Mkt!DS66+(1-Inputs!$B$15)*MIN(Mkt!DS66,DR66*(1+Inputs!$B$18))),DR66)))</f>
        <v>1989.7791053396</v>
      </c>
      <c r="DT66" s="11" t="n">
        <f aca="false">IF(DT$1&lt;Units!$P65,0,IF(AND(Units!$K65=0,DT$1=Units!$O65),Units!$R65,IF(AND(DT$1&gt;=Units!$Q65,MOD(DT$1-Units!$Q65,12)=0),IF(AND(Units!$L65=1,DT$1=Units!$Q65),IF(Units!$J65&lt;&gt;"",Units!$J65,Mkt!DT66),Inputs!$B$15*Mkt!DT66+(1-Inputs!$B$15)*MIN(Mkt!DT66,DS66*(1+Inputs!$B$18))),DS66)))</f>
        <v>1989.7791053396</v>
      </c>
      <c r="DU66" s="11" t="n">
        <f aca="false">IF(DU$1&lt;Units!$P65,0,IF(AND(Units!$K65=0,DU$1=Units!$O65),Units!$R65,IF(AND(DU$1&gt;=Units!$Q65,MOD(DU$1-Units!$Q65,12)=0),IF(AND(Units!$L65=1,DU$1=Units!$Q65),IF(Units!$J65&lt;&gt;"",Units!$J65,Mkt!DU66),Inputs!$B$15*Mkt!DU66+(1-Inputs!$B$15)*MIN(Mkt!DU66,DT66*(1+Inputs!$B$18))),DT66)))</f>
        <v>1989.7791053396</v>
      </c>
      <c r="DV66" s="11" t="n">
        <f aca="false">IF(DV$1&lt;Units!$P65,0,IF(AND(Units!$K65=0,DV$1=Units!$O65),Units!$R65,IF(AND(DV$1&gt;=Units!$Q65,MOD(DV$1-Units!$Q65,12)=0),IF(AND(Units!$L65=1,DV$1=Units!$Q65),IF(Units!$J65&lt;&gt;"",Units!$J65,Mkt!DV66),Inputs!$B$15*Mkt!DV66+(1-Inputs!$B$15)*MIN(Mkt!DV66,DU66*(1+Inputs!$B$18))),DU66)))</f>
        <v>1989.7791053396</v>
      </c>
      <c r="DW66" s="11" t="n">
        <f aca="false">IF(DW$1&lt;Units!$P65,0,IF(AND(Units!$K65=0,DW$1=Units!$O65),Units!$R65,IF(AND(DW$1&gt;=Units!$Q65,MOD(DW$1-Units!$Q65,12)=0),IF(AND(Units!$L65=1,DW$1=Units!$Q65),IF(Units!$J65&lt;&gt;"",Units!$J65,Mkt!DW66),Inputs!$B$15*Mkt!DW66+(1-Inputs!$B$15)*MIN(Mkt!DW66,DV66*(1+Inputs!$B$18))),DV66)))</f>
        <v>2049.47247849979</v>
      </c>
      <c r="DX66" s="11" t="n">
        <f aca="false">IF(DX$1&lt;Units!$P65,0,IF(AND(Units!$K65=0,DX$1=Units!$O65),Units!$R65,IF(AND(DX$1&gt;=Units!$Q65,MOD(DX$1-Units!$Q65,12)=0),IF(AND(Units!$L65=1,DX$1=Units!$Q65),IF(Units!$J65&lt;&gt;"",Units!$J65,Mkt!DX66),Inputs!$B$15*Mkt!DX66+(1-Inputs!$B$15)*MIN(Mkt!DX66,DW66*(1+Inputs!$B$18))),DW66)))</f>
        <v>2049.47247849979</v>
      </c>
      <c r="DY66" s="11" t="n">
        <f aca="false">IF(DY$1&lt;Units!$P65,0,IF(AND(Units!$K65=0,DY$1=Units!$O65),Units!$R65,IF(AND(DY$1&gt;=Units!$Q65,MOD(DY$1-Units!$Q65,12)=0),IF(AND(Units!$L65=1,DY$1=Units!$Q65),IF(Units!$J65&lt;&gt;"",Units!$J65,Mkt!DY66),Inputs!$B$15*Mkt!DY66+(1-Inputs!$B$15)*MIN(Mkt!DY66,DX66*(1+Inputs!$B$18))),DX66)))</f>
        <v>2049.47247849979</v>
      </c>
      <c r="DZ66" s="11" t="n">
        <f aca="false">IF(DZ$1&lt;Units!$P65,0,IF(AND(Units!$K65=0,DZ$1=Units!$O65),Units!$R65,IF(AND(DZ$1&gt;=Units!$Q65,MOD(DZ$1-Units!$Q65,12)=0),IF(AND(Units!$L65=1,DZ$1=Units!$Q65),IF(Units!$J65&lt;&gt;"",Units!$J65,Mkt!DZ66),Inputs!$B$15*Mkt!DZ66+(1-Inputs!$B$15)*MIN(Mkt!DZ66,DY66*(1+Inputs!$B$18))),DY66)))</f>
        <v>2049.47247849979</v>
      </c>
      <c r="EA66" s="11" t="n">
        <f aca="false">IF(EA$1&lt;Units!$P65,0,IF(AND(Units!$K65=0,EA$1=Units!$O65),Units!$R65,IF(AND(EA$1&gt;=Units!$Q65,MOD(EA$1-Units!$Q65,12)=0),IF(AND(Units!$L65=1,EA$1=Units!$Q65),IF(Units!$J65&lt;&gt;"",Units!$J65,Mkt!EA66),Inputs!$B$15*Mkt!EA66+(1-Inputs!$B$15)*MIN(Mkt!EA66,DZ66*(1+Inputs!$B$18))),DZ66)))</f>
        <v>2049.47247849979</v>
      </c>
      <c r="EB66" s="11" t="n">
        <f aca="false">IF(EB$1&lt;Units!$P65,0,IF(AND(Units!$K65=0,EB$1=Units!$O65),Units!$R65,IF(AND(EB$1&gt;=Units!$Q65,MOD(EB$1-Units!$Q65,12)=0),IF(AND(Units!$L65=1,EB$1=Units!$Q65),IF(Units!$J65&lt;&gt;"",Units!$J65,Mkt!EB66),Inputs!$B$15*Mkt!EB66+(1-Inputs!$B$15)*MIN(Mkt!EB66,EA66*(1+Inputs!$B$18))),EA66)))</f>
        <v>2049.47247849979</v>
      </c>
      <c r="EC66" s="11" t="n">
        <f aca="false">IF(EC$1&lt;Units!$P65,0,IF(AND(Units!$K65=0,EC$1=Units!$O65),Units!$R65,IF(AND(EC$1&gt;=Units!$Q65,MOD(EC$1-Units!$Q65,12)=0),IF(AND(Units!$L65=1,EC$1=Units!$Q65),IF(Units!$J65&lt;&gt;"",Units!$J65,Mkt!EC66),Inputs!$B$15*Mkt!EC66+(1-Inputs!$B$15)*MIN(Mkt!EC66,EB66*(1+Inputs!$B$18))),EB66)))</f>
        <v>2049.47247849979</v>
      </c>
      <c r="ED66" s="11" t="n">
        <f aca="false">IF(ED$1&lt;Units!$P65,0,IF(AND(Units!$K65=0,ED$1=Units!$O65),Units!$R65,IF(AND(ED$1&gt;=Units!$Q65,MOD(ED$1-Units!$Q65,12)=0),IF(AND(Units!$L65=1,ED$1=Units!$Q65),IF(Units!$J65&lt;&gt;"",Units!$J65,Mkt!ED66),Inputs!$B$15*Mkt!ED66+(1-Inputs!$B$15)*MIN(Mkt!ED66,EC66*(1+Inputs!$B$18))),EC66)))</f>
        <v>2049.47247849979</v>
      </c>
    </row>
    <row r="67" customFormat="false" ht="15" hidden="false" customHeight="false" outlineLevel="0" collapsed="false">
      <c r="A67" s="22" t="n">
        <f aca="false">Units!A66</f>
        <v>305</v>
      </c>
      <c r="B67" s="24" t="n">
        <f aca="false">IF(Units!K66=1,Units!F66,0)</f>
        <v>0</v>
      </c>
      <c r="C67" s="11" t="n">
        <f aca="false">IF(C$1&lt;Units!$P66,0,IF(AND(Units!$K66=0,C$1=Units!$O66),Units!$R66,IF(AND(C$1&gt;=Units!$Q66,MOD(C$1-Units!$Q66,12)=0),IF(AND(Units!$L66=1,C$1=Units!$Q66),IF(Units!$J66&lt;&gt;"",Units!$J66,Mkt!C67),Inputs!$B$15*Mkt!C67+(1-Inputs!$B$15)*MIN(Mkt!C67,B67*(1+Inputs!$B$18))),B67)))</f>
        <v>1525</v>
      </c>
      <c r="D67" s="11" t="n">
        <f aca="false">IF(D$1&lt;Units!$P66,0,IF(AND(Units!$K66=0,D$1=Units!$O66),Units!$R66,IF(AND(D$1&gt;=Units!$Q66,MOD(D$1-Units!$Q66,12)=0),IF(AND(Units!$L66=1,D$1=Units!$Q66),IF(Units!$J66&lt;&gt;"",Units!$J66,Mkt!D67),Inputs!$B$15*Mkt!D67+(1-Inputs!$B$15)*MIN(Mkt!D67,C67*(1+Inputs!$B$18))),C67)))</f>
        <v>1525</v>
      </c>
      <c r="E67" s="11" t="n">
        <f aca="false">IF(E$1&lt;Units!$P66,0,IF(AND(Units!$K66=0,E$1=Units!$O66),Units!$R66,IF(AND(E$1&gt;=Units!$Q66,MOD(E$1-Units!$Q66,12)=0),IF(AND(Units!$L66=1,E$1=Units!$Q66),IF(Units!$J66&lt;&gt;"",Units!$J66,Mkt!E67),Inputs!$B$15*Mkt!E67+(1-Inputs!$B$15)*MIN(Mkt!E67,D67*(1+Inputs!$B$18))),D67)))</f>
        <v>1525</v>
      </c>
      <c r="F67" s="11" t="n">
        <f aca="false">IF(F$1&lt;Units!$P66,0,IF(AND(Units!$K66=0,F$1=Units!$O66),Units!$R66,IF(AND(F$1&gt;=Units!$Q66,MOD(F$1-Units!$Q66,12)=0),IF(AND(Units!$L66=1,F$1=Units!$Q66),IF(Units!$J66&lt;&gt;"",Units!$J66,Mkt!F67),Inputs!$B$15*Mkt!F67+(1-Inputs!$B$15)*MIN(Mkt!F67,E67*(1+Inputs!$B$18))),E67)))</f>
        <v>1525</v>
      </c>
      <c r="G67" s="11" t="n">
        <f aca="false">IF(G$1&lt;Units!$P66,0,IF(AND(Units!$K66=0,G$1=Units!$O66),Units!$R66,IF(AND(G$1&gt;=Units!$Q66,MOD(G$1-Units!$Q66,12)=0),IF(AND(Units!$L66=1,G$1=Units!$Q66),IF(Units!$J66&lt;&gt;"",Units!$J66,Mkt!G67),Inputs!$B$15*Mkt!G67+(1-Inputs!$B$15)*MIN(Mkt!G67,F67*(1+Inputs!$B$18))),F67)))</f>
        <v>1525</v>
      </c>
      <c r="H67" s="11" t="n">
        <f aca="false">IF(H$1&lt;Units!$P66,0,IF(AND(Units!$K66=0,H$1=Units!$O66),Units!$R66,IF(AND(H$1&gt;=Units!$Q66,MOD(H$1-Units!$Q66,12)=0),IF(AND(Units!$L66=1,H$1=Units!$Q66),IF(Units!$J66&lt;&gt;"",Units!$J66,Mkt!H67),Inputs!$B$15*Mkt!H67+(1-Inputs!$B$15)*MIN(Mkt!H67,G67*(1+Inputs!$B$18))),G67)))</f>
        <v>1525</v>
      </c>
      <c r="I67" s="11" t="n">
        <f aca="false">IF(I$1&lt;Units!$P66,0,IF(AND(Units!$K66=0,I$1=Units!$O66),Units!$R66,IF(AND(I$1&gt;=Units!$Q66,MOD(I$1-Units!$Q66,12)=0),IF(AND(Units!$L66=1,I$1=Units!$Q66),IF(Units!$J66&lt;&gt;"",Units!$J66,Mkt!I67),Inputs!$B$15*Mkt!I67+(1-Inputs!$B$15)*MIN(Mkt!I67,H67*(1+Inputs!$B$18))),H67)))</f>
        <v>1525</v>
      </c>
      <c r="J67" s="11" t="n">
        <f aca="false">IF(J$1&lt;Units!$P66,0,IF(AND(Units!$K66=0,J$1=Units!$O66),Units!$R66,IF(AND(J$1&gt;=Units!$Q66,MOD(J$1-Units!$Q66,12)=0),IF(AND(Units!$L66=1,J$1=Units!$Q66),IF(Units!$J66&lt;&gt;"",Units!$J66,Mkt!J67),Inputs!$B$15*Mkt!J67+(1-Inputs!$B$15)*MIN(Mkt!J67,I67*(1+Inputs!$B$18))),I67)))</f>
        <v>1525</v>
      </c>
      <c r="K67" s="11" t="n">
        <f aca="false">IF(K$1&lt;Units!$P66,0,IF(AND(Units!$K66=0,K$1=Units!$O66),Units!$R66,IF(AND(K$1&gt;=Units!$Q66,MOD(K$1-Units!$Q66,12)=0),IF(AND(Units!$L66=1,K$1=Units!$Q66),IF(Units!$J66&lt;&gt;"",Units!$J66,Mkt!K67),Inputs!$B$15*Mkt!K67+(1-Inputs!$B$15)*MIN(Mkt!K67,J67*(1+Inputs!$B$18))),J67)))</f>
        <v>1525</v>
      </c>
      <c r="L67" s="11" t="n">
        <f aca="false">IF(L$1&lt;Units!$P66,0,IF(AND(Units!$K66=0,L$1=Units!$O66),Units!$R66,IF(AND(L$1&gt;=Units!$Q66,MOD(L$1-Units!$Q66,12)=0),IF(AND(Units!$L66=1,L$1=Units!$Q66),IF(Units!$J66&lt;&gt;"",Units!$J66,Mkt!L67),Inputs!$B$15*Mkt!L67+(1-Inputs!$B$15)*MIN(Mkt!L67,K67*(1+Inputs!$B$18))),K67)))</f>
        <v>1525</v>
      </c>
      <c r="M67" s="11" t="n">
        <f aca="false">IF(M$1&lt;Units!$P66,0,IF(AND(Units!$K66=0,M$1=Units!$O66),Units!$R66,IF(AND(M$1&gt;=Units!$Q66,MOD(M$1-Units!$Q66,12)=0),IF(AND(Units!$L66=1,M$1=Units!$Q66),IF(Units!$J66&lt;&gt;"",Units!$J66,Mkt!M67),Inputs!$B$15*Mkt!M67+(1-Inputs!$B$15)*MIN(Mkt!M67,L67*(1+Inputs!$B$18))),L67)))</f>
        <v>1525</v>
      </c>
      <c r="N67" s="11" t="n">
        <f aca="false">IF(N$1&lt;Units!$P66,0,IF(AND(Units!$K66=0,N$1=Units!$O66),Units!$R66,IF(AND(N$1&gt;=Units!$Q66,MOD(N$1-Units!$Q66,12)=0),IF(AND(Units!$L66=1,N$1=Units!$Q66),IF(Units!$J66&lt;&gt;"",Units!$J66,Mkt!N67),Inputs!$B$15*Mkt!N67+(1-Inputs!$B$15)*MIN(Mkt!N67,M67*(1+Inputs!$B$18))),M67)))</f>
        <v>1525</v>
      </c>
      <c r="O67" s="11" t="n">
        <f aca="false">IF(O$1&lt;Units!$P66,0,IF(AND(Units!$K66=0,O$1=Units!$O66),Units!$R66,IF(AND(O$1&gt;=Units!$Q66,MOD(O$1-Units!$Q66,12)=0),IF(AND(Units!$L66=1,O$1=Units!$Q66),IF(Units!$J66&lt;&gt;"",Units!$J66,Mkt!O67),Inputs!$B$15*Mkt!O67+(1-Inputs!$B$15)*MIN(Mkt!O67,N67*(1+Inputs!$B$18))),N67)))</f>
        <v>1570.75</v>
      </c>
      <c r="P67" s="11" t="n">
        <f aca="false">IF(P$1&lt;Units!$P66,0,IF(AND(Units!$K66=0,P$1=Units!$O66),Units!$R66,IF(AND(P$1&gt;=Units!$Q66,MOD(P$1-Units!$Q66,12)=0),IF(AND(Units!$L66=1,P$1=Units!$Q66),IF(Units!$J66&lt;&gt;"",Units!$J66,Mkt!P67),Inputs!$B$15*Mkt!P67+(1-Inputs!$B$15)*MIN(Mkt!P67,O67*(1+Inputs!$B$18))),O67)))</f>
        <v>1570.75</v>
      </c>
      <c r="Q67" s="11" t="n">
        <f aca="false">IF(Q$1&lt;Units!$P66,0,IF(AND(Units!$K66=0,Q$1=Units!$O66),Units!$R66,IF(AND(Q$1&gt;=Units!$Q66,MOD(Q$1-Units!$Q66,12)=0),IF(AND(Units!$L66=1,Q$1=Units!$Q66),IF(Units!$J66&lt;&gt;"",Units!$J66,Mkt!Q67),Inputs!$B$15*Mkt!Q67+(1-Inputs!$B$15)*MIN(Mkt!Q67,P67*(1+Inputs!$B$18))),P67)))</f>
        <v>1570.75</v>
      </c>
      <c r="R67" s="11" t="n">
        <f aca="false">IF(R$1&lt;Units!$P66,0,IF(AND(Units!$K66=0,R$1=Units!$O66),Units!$R66,IF(AND(R$1&gt;=Units!$Q66,MOD(R$1-Units!$Q66,12)=0),IF(AND(Units!$L66=1,R$1=Units!$Q66),IF(Units!$J66&lt;&gt;"",Units!$J66,Mkt!R67),Inputs!$B$15*Mkt!R67+(1-Inputs!$B$15)*MIN(Mkt!R67,Q67*(1+Inputs!$B$18))),Q67)))</f>
        <v>1570.75</v>
      </c>
      <c r="S67" s="11" t="n">
        <f aca="false">IF(S$1&lt;Units!$P66,0,IF(AND(Units!$K66=0,S$1=Units!$O66),Units!$R66,IF(AND(S$1&gt;=Units!$Q66,MOD(S$1-Units!$Q66,12)=0),IF(AND(Units!$L66=1,S$1=Units!$Q66),IF(Units!$J66&lt;&gt;"",Units!$J66,Mkt!S67),Inputs!$B$15*Mkt!S67+(1-Inputs!$B$15)*MIN(Mkt!S67,R67*(1+Inputs!$B$18))),R67)))</f>
        <v>1570.75</v>
      </c>
      <c r="T67" s="11" t="n">
        <f aca="false">IF(T$1&lt;Units!$P66,0,IF(AND(Units!$K66=0,T$1=Units!$O66),Units!$R66,IF(AND(T$1&gt;=Units!$Q66,MOD(T$1-Units!$Q66,12)=0),IF(AND(Units!$L66=1,T$1=Units!$Q66),IF(Units!$J66&lt;&gt;"",Units!$J66,Mkt!T67),Inputs!$B$15*Mkt!T67+(1-Inputs!$B$15)*MIN(Mkt!T67,S67*(1+Inputs!$B$18))),S67)))</f>
        <v>1570.75</v>
      </c>
      <c r="U67" s="11" t="n">
        <f aca="false">IF(U$1&lt;Units!$P66,0,IF(AND(Units!$K66=0,U$1=Units!$O66),Units!$R66,IF(AND(U$1&gt;=Units!$Q66,MOD(U$1-Units!$Q66,12)=0),IF(AND(Units!$L66=1,U$1=Units!$Q66),IF(Units!$J66&lt;&gt;"",Units!$J66,Mkt!U67),Inputs!$B$15*Mkt!U67+(1-Inputs!$B$15)*MIN(Mkt!U67,T67*(1+Inputs!$B$18))),T67)))</f>
        <v>1570.75</v>
      </c>
      <c r="V67" s="11" t="n">
        <f aca="false">IF(V$1&lt;Units!$P66,0,IF(AND(Units!$K66=0,V$1=Units!$O66),Units!$R66,IF(AND(V$1&gt;=Units!$Q66,MOD(V$1-Units!$Q66,12)=0),IF(AND(Units!$L66=1,V$1=Units!$Q66),IF(Units!$J66&lt;&gt;"",Units!$J66,Mkt!V67),Inputs!$B$15*Mkt!V67+(1-Inputs!$B$15)*MIN(Mkt!V67,U67*(1+Inputs!$B$18))),U67)))</f>
        <v>1570.75</v>
      </c>
      <c r="W67" s="11" t="n">
        <f aca="false">IF(W$1&lt;Units!$P66,0,IF(AND(Units!$K66=0,W$1=Units!$O66),Units!$R66,IF(AND(W$1&gt;=Units!$Q66,MOD(W$1-Units!$Q66,12)=0),IF(AND(Units!$L66=1,W$1=Units!$Q66),IF(Units!$J66&lt;&gt;"",Units!$J66,Mkt!W67),Inputs!$B$15*Mkt!W67+(1-Inputs!$B$15)*MIN(Mkt!W67,V67*(1+Inputs!$B$18))),V67)))</f>
        <v>1570.75</v>
      </c>
      <c r="X67" s="11" t="n">
        <f aca="false">IF(X$1&lt;Units!$P66,0,IF(AND(Units!$K66=0,X$1=Units!$O66),Units!$R66,IF(AND(X$1&gt;=Units!$Q66,MOD(X$1-Units!$Q66,12)=0),IF(AND(Units!$L66=1,X$1=Units!$Q66),IF(Units!$J66&lt;&gt;"",Units!$J66,Mkt!X67),Inputs!$B$15*Mkt!X67+(1-Inputs!$B$15)*MIN(Mkt!X67,W67*(1+Inputs!$B$18))),W67)))</f>
        <v>1570.75</v>
      </c>
      <c r="Y67" s="11" t="n">
        <f aca="false">IF(Y$1&lt;Units!$P66,0,IF(AND(Units!$K66=0,Y$1=Units!$O66),Units!$R66,IF(AND(Y$1&gt;=Units!$Q66,MOD(Y$1-Units!$Q66,12)=0),IF(AND(Units!$L66=1,Y$1=Units!$Q66),IF(Units!$J66&lt;&gt;"",Units!$J66,Mkt!Y67),Inputs!$B$15*Mkt!Y67+(1-Inputs!$B$15)*MIN(Mkt!Y67,X67*(1+Inputs!$B$18))),X67)))</f>
        <v>1570.75</v>
      </c>
      <c r="Z67" s="11" t="n">
        <f aca="false">IF(Z$1&lt;Units!$P66,0,IF(AND(Units!$K66=0,Z$1=Units!$O66),Units!$R66,IF(AND(Z$1&gt;=Units!$Q66,MOD(Z$1-Units!$Q66,12)=0),IF(AND(Units!$L66=1,Z$1=Units!$Q66),IF(Units!$J66&lt;&gt;"",Units!$J66,Mkt!Z67),Inputs!$B$15*Mkt!Z67+(1-Inputs!$B$15)*MIN(Mkt!Z67,Y67*(1+Inputs!$B$18))),Y67)))</f>
        <v>1570.75</v>
      </c>
      <c r="AA67" s="11" t="n">
        <f aca="false">IF(AA$1&lt;Units!$P66,0,IF(AND(Units!$K66=0,AA$1=Units!$O66),Units!$R66,IF(AND(AA$1&gt;=Units!$Q66,MOD(AA$1-Units!$Q66,12)=0),IF(AND(Units!$L66=1,AA$1=Units!$Q66),IF(Units!$J66&lt;&gt;"",Units!$J66,Mkt!AA67),Inputs!$B$15*Mkt!AA67+(1-Inputs!$B$15)*MIN(Mkt!AA67,Z67*(1+Inputs!$B$18))),Z67)))</f>
        <v>1617.8725</v>
      </c>
      <c r="AB67" s="11" t="n">
        <f aca="false">IF(AB$1&lt;Units!$P66,0,IF(AND(Units!$K66=0,AB$1=Units!$O66),Units!$R66,IF(AND(AB$1&gt;=Units!$Q66,MOD(AB$1-Units!$Q66,12)=0),IF(AND(Units!$L66=1,AB$1=Units!$Q66),IF(Units!$J66&lt;&gt;"",Units!$J66,Mkt!AB67),Inputs!$B$15*Mkt!AB67+(1-Inputs!$B$15)*MIN(Mkt!AB67,AA67*(1+Inputs!$B$18))),AA67)))</f>
        <v>1617.8725</v>
      </c>
      <c r="AC67" s="11" t="n">
        <f aca="false">IF(AC$1&lt;Units!$P66,0,IF(AND(Units!$K66=0,AC$1=Units!$O66),Units!$R66,IF(AND(AC$1&gt;=Units!$Q66,MOD(AC$1-Units!$Q66,12)=0),IF(AND(Units!$L66=1,AC$1=Units!$Q66),IF(Units!$J66&lt;&gt;"",Units!$J66,Mkt!AC67),Inputs!$B$15*Mkt!AC67+(1-Inputs!$B$15)*MIN(Mkt!AC67,AB67*(1+Inputs!$B$18))),AB67)))</f>
        <v>1617.8725</v>
      </c>
      <c r="AD67" s="11" t="n">
        <f aca="false">IF(AD$1&lt;Units!$P66,0,IF(AND(Units!$K66=0,AD$1=Units!$O66),Units!$R66,IF(AND(AD$1&gt;=Units!$Q66,MOD(AD$1-Units!$Q66,12)=0),IF(AND(Units!$L66=1,AD$1=Units!$Q66),IF(Units!$J66&lt;&gt;"",Units!$J66,Mkt!AD67),Inputs!$B$15*Mkt!AD67+(1-Inputs!$B$15)*MIN(Mkt!AD67,AC67*(1+Inputs!$B$18))),AC67)))</f>
        <v>1617.8725</v>
      </c>
      <c r="AE67" s="11" t="n">
        <f aca="false">IF(AE$1&lt;Units!$P66,0,IF(AND(Units!$K66=0,AE$1=Units!$O66),Units!$R66,IF(AND(AE$1&gt;=Units!$Q66,MOD(AE$1-Units!$Q66,12)=0),IF(AND(Units!$L66=1,AE$1=Units!$Q66),IF(Units!$J66&lt;&gt;"",Units!$J66,Mkt!AE67),Inputs!$B$15*Mkt!AE67+(1-Inputs!$B$15)*MIN(Mkt!AE67,AD67*(1+Inputs!$B$18))),AD67)))</f>
        <v>1617.8725</v>
      </c>
      <c r="AF67" s="11" t="n">
        <f aca="false">IF(AF$1&lt;Units!$P66,0,IF(AND(Units!$K66=0,AF$1=Units!$O66),Units!$R66,IF(AND(AF$1&gt;=Units!$Q66,MOD(AF$1-Units!$Q66,12)=0),IF(AND(Units!$L66=1,AF$1=Units!$Q66),IF(Units!$J66&lt;&gt;"",Units!$J66,Mkt!AF67),Inputs!$B$15*Mkt!AF67+(1-Inputs!$B$15)*MIN(Mkt!AF67,AE67*(1+Inputs!$B$18))),AE67)))</f>
        <v>1617.8725</v>
      </c>
      <c r="AG67" s="11" t="n">
        <f aca="false">IF(AG$1&lt;Units!$P66,0,IF(AND(Units!$K66=0,AG$1=Units!$O66),Units!$R66,IF(AND(AG$1&gt;=Units!$Q66,MOD(AG$1-Units!$Q66,12)=0),IF(AND(Units!$L66=1,AG$1=Units!$Q66),IF(Units!$J66&lt;&gt;"",Units!$J66,Mkt!AG67),Inputs!$B$15*Mkt!AG67+(1-Inputs!$B$15)*MIN(Mkt!AG67,AF67*(1+Inputs!$B$18))),AF67)))</f>
        <v>1617.8725</v>
      </c>
      <c r="AH67" s="11" t="n">
        <f aca="false">IF(AH$1&lt;Units!$P66,0,IF(AND(Units!$K66=0,AH$1=Units!$O66),Units!$R66,IF(AND(AH$1&gt;=Units!$Q66,MOD(AH$1-Units!$Q66,12)=0),IF(AND(Units!$L66=1,AH$1=Units!$Q66),IF(Units!$J66&lt;&gt;"",Units!$J66,Mkt!AH67),Inputs!$B$15*Mkt!AH67+(1-Inputs!$B$15)*MIN(Mkt!AH67,AG67*(1+Inputs!$B$18))),AG67)))</f>
        <v>1617.8725</v>
      </c>
      <c r="AI67" s="11" t="n">
        <f aca="false">IF(AI$1&lt;Units!$P66,0,IF(AND(Units!$K66=0,AI$1=Units!$O66),Units!$R66,IF(AND(AI$1&gt;=Units!$Q66,MOD(AI$1-Units!$Q66,12)=0),IF(AND(Units!$L66=1,AI$1=Units!$Q66),IF(Units!$J66&lt;&gt;"",Units!$J66,Mkt!AI67),Inputs!$B$15*Mkt!AI67+(1-Inputs!$B$15)*MIN(Mkt!AI67,AH67*(1+Inputs!$B$18))),AH67)))</f>
        <v>1617.8725</v>
      </c>
      <c r="AJ67" s="11" t="n">
        <f aca="false">IF(AJ$1&lt;Units!$P66,0,IF(AND(Units!$K66=0,AJ$1=Units!$O66),Units!$R66,IF(AND(AJ$1&gt;=Units!$Q66,MOD(AJ$1-Units!$Q66,12)=0),IF(AND(Units!$L66=1,AJ$1=Units!$Q66),IF(Units!$J66&lt;&gt;"",Units!$J66,Mkt!AJ67),Inputs!$B$15*Mkt!AJ67+(1-Inputs!$B$15)*MIN(Mkt!AJ67,AI67*(1+Inputs!$B$18))),AI67)))</f>
        <v>1617.8725</v>
      </c>
      <c r="AK67" s="11" t="n">
        <f aca="false">IF(AK$1&lt;Units!$P66,0,IF(AND(Units!$K66=0,AK$1=Units!$O66),Units!$R66,IF(AND(AK$1&gt;=Units!$Q66,MOD(AK$1-Units!$Q66,12)=0),IF(AND(Units!$L66=1,AK$1=Units!$Q66),IF(Units!$J66&lt;&gt;"",Units!$J66,Mkt!AK67),Inputs!$B$15*Mkt!AK67+(1-Inputs!$B$15)*MIN(Mkt!AK67,AJ67*(1+Inputs!$B$18))),AJ67)))</f>
        <v>1617.8725</v>
      </c>
      <c r="AL67" s="11" t="n">
        <f aca="false">IF(AL$1&lt;Units!$P66,0,IF(AND(Units!$K66=0,AL$1=Units!$O66),Units!$R66,IF(AND(AL$1&gt;=Units!$Q66,MOD(AL$1-Units!$Q66,12)=0),IF(AND(Units!$L66=1,AL$1=Units!$Q66),IF(Units!$J66&lt;&gt;"",Units!$J66,Mkt!AL67),Inputs!$B$15*Mkt!AL67+(1-Inputs!$B$15)*MIN(Mkt!AL67,AK67*(1+Inputs!$B$18))),AK67)))</f>
        <v>1617.8725</v>
      </c>
      <c r="AM67" s="11" t="n">
        <f aca="false">IF(AM$1&lt;Units!$P66,0,IF(AND(Units!$K66=0,AM$1=Units!$O66),Units!$R66,IF(AND(AM$1&gt;=Units!$Q66,MOD(AM$1-Units!$Q66,12)=0),IF(AND(Units!$L66=1,AM$1=Units!$Q66),IF(Units!$J66&lt;&gt;"",Units!$J66,Mkt!AM67),Inputs!$B$15*Mkt!AM67+(1-Inputs!$B$15)*MIN(Mkt!AM67,AL67*(1+Inputs!$B$18))),AL67)))</f>
        <v>1666.408675</v>
      </c>
      <c r="AN67" s="11" t="n">
        <f aca="false">IF(AN$1&lt;Units!$P66,0,IF(AND(Units!$K66=0,AN$1=Units!$O66),Units!$R66,IF(AND(AN$1&gt;=Units!$Q66,MOD(AN$1-Units!$Q66,12)=0),IF(AND(Units!$L66=1,AN$1=Units!$Q66),IF(Units!$J66&lt;&gt;"",Units!$J66,Mkt!AN67),Inputs!$B$15*Mkt!AN67+(1-Inputs!$B$15)*MIN(Mkt!AN67,AM67*(1+Inputs!$B$18))),AM67)))</f>
        <v>1666.408675</v>
      </c>
      <c r="AO67" s="11" t="n">
        <f aca="false">IF(AO$1&lt;Units!$P66,0,IF(AND(Units!$K66=0,AO$1=Units!$O66),Units!$R66,IF(AND(AO$1&gt;=Units!$Q66,MOD(AO$1-Units!$Q66,12)=0),IF(AND(Units!$L66=1,AO$1=Units!$Q66),IF(Units!$J66&lt;&gt;"",Units!$J66,Mkt!AO67),Inputs!$B$15*Mkt!AO67+(1-Inputs!$B$15)*MIN(Mkt!AO67,AN67*(1+Inputs!$B$18))),AN67)))</f>
        <v>1666.408675</v>
      </c>
      <c r="AP67" s="11" t="n">
        <f aca="false">IF(AP$1&lt;Units!$P66,0,IF(AND(Units!$K66=0,AP$1=Units!$O66),Units!$R66,IF(AND(AP$1&gt;=Units!$Q66,MOD(AP$1-Units!$Q66,12)=0),IF(AND(Units!$L66=1,AP$1=Units!$Q66),IF(Units!$J66&lt;&gt;"",Units!$J66,Mkt!AP67),Inputs!$B$15*Mkt!AP67+(1-Inputs!$B$15)*MIN(Mkt!AP67,AO67*(1+Inputs!$B$18))),AO67)))</f>
        <v>1666.408675</v>
      </c>
      <c r="AQ67" s="11" t="n">
        <f aca="false">IF(AQ$1&lt;Units!$P66,0,IF(AND(Units!$K66=0,AQ$1=Units!$O66),Units!$R66,IF(AND(AQ$1&gt;=Units!$Q66,MOD(AQ$1-Units!$Q66,12)=0),IF(AND(Units!$L66=1,AQ$1=Units!$Q66),IF(Units!$J66&lt;&gt;"",Units!$J66,Mkt!AQ67),Inputs!$B$15*Mkt!AQ67+(1-Inputs!$B$15)*MIN(Mkt!AQ67,AP67*(1+Inputs!$B$18))),AP67)))</f>
        <v>1666.408675</v>
      </c>
      <c r="AR67" s="11" t="n">
        <f aca="false">IF(AR$1&lt;Units!$P66,0,IF(AND(Units!$K66=0,AR$1=Units!$O66),Units!$R66,IF(AND(AR$1&gt;=Units!$Q66,MOD(AR$1-Units!$Q66,12)=0),IF(AND(Units!$L66=1,AR$1=Units!$Q66),IF(Units!$J66&lt;&gt;"",Units!$J66,Mkt!AR67),Inputs!$B$15*Mkt!AR67+(1-Inputs!$B$15)*MIN(Mkt!AR67,AQ67*(1+Inputs!$B$18))),AQ67)))</f>
        <v>1666.408675</v>
      </c>
      <c r="AS67" s="11" t="n">
        <f aca="false">IF(AS$1&lt;Units!$P66,0,IF(AND(Units!$K66=0,AS$1=Units!$O66),Units!$R66,IF(AND(AS$1&gt;=Units!$Q66,MOD(AS$1-Units!$Q66,12)=0),IF(AND(Units!$L66=1,AS$1=Units!$Q66),IF(Units!$J66&lt;&gt;"",Units!$J66,Mkt!AS67),Inputs!$B$15*Mkt!AS67+(1-Inputs!$B$15)*MIN(Mkt!AS67,AR67*(1+Inputs!$B$18))),AR67)))</f>
        <v>1666.408675</v>
      </c>
      <c r="AT67" s="11" t="n">
        <f aca="false">IF(AT$1&lt;Units!$P66,0,IF(AND(Units!$K66=0,AT$1=Units!$O66),Units!$R66,IF(AND(AT$1&gt;=Units!$Q66,MOD(AT$1-Units!$Q66,12)=0),IF(AND(Units!$L66=1,AT$1=Units!$Q66),IF(Units!$J66&lt;&gt;"",Units!$J66,Mkt!AT67),Inputs!$B$15*Mkt!AT67+(1-Inputs!$B$15)*MIN(Mkt!AT67,AS67*(1+Inputs!$B$18))),AS67)))</f>
        <v>1666.408675</v>
      </c>
      <c r="AU67" s="11" t="n">
        <f aca="false">IF(AU$1&lt;Units!$P66,0,IF(AND(Units!$K66=0,AU$1=Units!$O66),Units!$R66,IF(AND(AU$1&gt;=Units!$Q66,MOD(AU$1-Units!$Q66,12)=0),IF(AND(Units!$L66=1,AU$1=Units!$Q66),IF(Units!$J66&lt;&gt;"",Units!$J66,Mkt!AU67),Inputs!$B$15*Mkt!AU67+(1-Inputs!$B$15)*MIN(Mkt!AU67,AT67*(1+Inputs!$B$18))),AT67)))</f>
        <v>1666.408675</v>
      </c>
      <c r="AV67" s="11" t="n">
        <f aca="false">IF(AV$1&lt;Units!$P66,0,IF(AND(Units!$K66=0,AV$1=Units!$O66),Units!$R66,IF(AND(AV$1&gt;=Units!$Q66,MOD(AV$1-Units!$Q66,12)=0),IF(AND(Units!$L66=1,AV$1=Units!$Q66),IF(Units!$J66&lt;&gt;"",Units!$J66,Mkt!AV67),Inputs!$B$15*Mkt!AV67+(1-Inputs!$B$15)*MIN(Mkt!AV67,AU67*(1+Inputs!$B$18))),AU67)))</f>
        <v>1666.408675</v>
      </c>
      <c r="AW67" s="11" t="n">
        <f aca="false">IF(AW$1&lt;Units!$P66,0,IF(AND(Units!$K66=0,AW$1=Units!$O66),Units!$R66,IF(AND(AW$1&gt;=Units!$Q66,MOD(AW$1-Units!$Q66,12)=0),IF(AND(Units!$L66=1,AW$1=Units!$Q66),IF(Units!$J66&lt;&gt;"",Units!$J66,Mkt!AW67),Inputs!$B$15*Mkt!AW67+(1-Inputs!$B$15)*MIN(Mkt!AW67,AV67*(1+Inputs!$B$18))),AV67)))</f>
        <v>1666.408675</v>
      </c>
      <c r="AX67" s="11" t="n">
        <f aca="false">IF(AX$1&lt;Units!$P66,0,IF(AND(Units!$K66=0,AX$1=Units!$O66),Units!$R66,IF(AND(AX$1&gt;=Units!$Q66,MOD(AX$1-Units!$Q66,12)=0),IF(AND(Units!$L66=1,AX$1=Units!$Q66),IF(Units!$J66&lt;&gt;"",Units!$J66,Mkt!AX67),Inputs!$B$15*Mkt!AX67+(1-Inputs!$B$15)*MIN(Mkt!AX67,AW67*(1+Inputs!$B$18))),AW67)))</f>
        <v>1666.408675</v>
      </c>
      <c r="AY67" s="11" t="n">
        <f aca="false">IF(AY$1&lt;Units!$P66,0,IF(AND(Units!$K66=0,AY$1=Units!$O66),Units!$R66,IF(AND(AY$1&gt;=Units!$Q66,MOD(AY$1-Units!$Q66,12)=0),IF(AND(Units!$L66=1,AY$1=Units!$Q66),IF(Units!$J66&lt;&gt;"",Units!$J66,Mkt!AY67),Inputs!$B$15*Mkt!AY67+(1-Inputs!$B$15)*MIN(Mkt!AY67,AX67*(1+Inputs!$B$18))),AX67)))</f>
        <v>1716.40093525</v>
      </c>
      <c r="AZ67" s="11" t="n">
        <f aca="false">IF(AZ$1&lt;Units!$P66,0,IF(AND(Units!$K66=0,AZ$1=Units!$O66),Units!$R66,IF(AND(AZ$1&gt;=Units!$Q66,MOD(AZ$1-Units!$Q66,12)=0),IF(AND(Units!$L66=1,AZ$1=Units!$Q66),IF(Units!$J66&lt;&gt;"",Units!$J66,Mkt!AZ67),Inputs!$B$15*Mkt!AZ67+(1-Inputs!$B$15)*MIN(Mkt!AZ67,AY67*(1+Inputs!$B$18))),AY67)))</f>
        <v>1716.40093525</v>
      </c>
      <c r="BA67" s="11" t="n">
        <f aca="false">IF(BA$1&lt;Units!$P66,0,IF(AND(Units!$K66=0,BA$1=Units!$O66),Units!$R66,IF(AND(BA$1&gt;=Units!$Q66,MOD(BA$1-Units!$Q66,12)=0),IF(AND(Units!$L66=1,BA$1=Units!$Q66),IF(Units!$J66&lt;&gt;"",Units!$J66,Mkt!BA67),Inputs!$B$15*Mkt!BA67+(1-Inputs!$B$15)*MIN(Mkt!BA67,AZ67*(1+Inputs!$B$18))),AZ67)))</f>
        <v>1716.40093525</v>
      </c>
      <c r="BB67" s="11" t="n">
        <f aca="false">IF(BB$1&lt;Units!$P66,0,IF(AND(Units!$K66=0,BB$1=Units!$O66),Units!$R66,IF(AND(BB$1&gt;=Units!$Q66,MOD(BB$1-Units!$Q66,12)=0),IF(AND(Units!$L66=1,BB$1=Units!$Q66),IF(Units!$J66&lt;&gt;"",Units!$J66,Mkt!BB67),Inputs!$B$15*Mkt!BB67+(1-Inputs!$B$15)*MIN(Mkt!BB67,BA67*(1+Inputs!$B$18))),BA67)))</f>
        <v>1716.40093525</v>
      </c>
      <c r="BC67" s="11" t="n">
        <f aca="false">IF(BC$1&lt;Units!$P66,0,IF(AND(Units!$K66=0,BC$1=Units!$O66),Units!$R66,IF(AND(BC$1&gt;=Units!$Q66,MOD(BC$1-Units!$Q66,12)=0),IF(AND(Units!$L66=1,BC$1=Units!$Q66),IF(Units!$J66&lt;&gt;"",Units!$J66,Mkt!BC67),Inputs!$B$15*Mkt!BC67+(1-Inputs!$B$15)*MIN(Mkt!BC67,BB67*(1+Inputs!$B$18))),BB67)))</f>
        <v>1716.40093525</v>
      </c>
      <c r="BD67" s="11" t="n">
        <f aca="false">IF(BD$1&lt;Units!$P66,0,IF(AND(Units!$K66=0,BD$1=Units!$O66),Units!$R66,IF(AND(BD$1&gt;=Units!$Q66,MOD(BD$1-Units!$Q66,12)=0),IF(AND(Units!$L66=1,BD$1=Units!$Q66),IF(Units!$J66&lt;&gt;"",Units!$J66,Mkt!BD67),Inputs!$B$15*Mkt!BD67+(1-Inputs!$B$15)*MIN(Mkt!BD67,BC67*(1+Inputs!$B$18))),BC67)))</f>
        <v>1716.40093525</v>
      </c>
      <c r="BE67" s="11" t="n">
        <f aca="false">IF(BE$1&lt;Units!$P66,0,IF(AND(Units!$K66=0,BE$1=Units!$O66),Units!$R66,IF(AND(BE$1&gt;=Units!$Q66,MOD(BE$1-Units!$Q66,12)=0),IF(AND(Units!$L66=1,BE$1=Units!$Q66),IF(Units!$J66&lt;&gt;"",Units!$J66,Mkt!BE67),Inputs!$B$15*Mkt!BE67+(1-Inputs!$B$15)*MIN(Mkt!BE67,BD67*(1+Inputs!$B$18))),BD67)))</f>
        <v>1716.40093525</v>
      </c>
      <c r="BF67" s="11" t="n">
        <f aca="false">IF(BF$1&lt;Units!$P66,0,IF(AND(Units!$K66=0,BF$1=Units!$O66),Units!$R66,IF(AND(BF$1&gt;=Units!$Q66,MOD(BF$1-Units!$Q66,12)=0),IF(AND(Units!$L66=1,BF$1=Units!$Q66),IF(Units!$J66&lt;&gt;"",Units!$J66,Mkt!BF67),Inputs!$B$15*Mkt!BF67+(1-Inputs!$B$15)*MIN(Mkt!BF67,BE67*(1+Inputs!$B$18))),BE67)))</f>
        <v>1716.40093525</v>
      </c>
      <c r="BG67" s="11" t="n">
        <f aca="false">IF(BG$1&lt;Units!$P66,0,IF(AND(Units!$K66=0,BG$1=Units!$O66),Units!$R66,IF(AND(BG$1&gt;=Units!$Q66,MOD(BG$1-Units!$Q66,12)=0),IF(AND(Units!$L66=1,BG$1=Units!$Q66),IF(Units!$J66&lt;&gt;"",Units!$J66,Mkt!BG67),Inputs!$B$15*Mkt!BG67+(1-Inputs!$B$15)*MIN(Mkt!BG67,BF67*(1+Inputs!$B$18))),BF67)))</f>
        <v>1716.40093525</v>
      </c>
      <c r="BH67" s="11" t="n">
        <f aca="false">IF(BH$1&lt;Units!$P66,0,IF(AND(Units!$K66=0,BH$1=Units!$O66),Units!$R66,IF(AND(BH$1&gt;=Units!$Q66,MOD(BH$1-Units!$Q66,12)=0),IF(AND(Units!$L66=1,BH$1=Units!$Q66),IF(Units!$J66&lt;&gt;"",Units!$J66,Mkt!BH67),Inputs!$B$15*Mkt!BH67+(1-Inputs!$B$15)*MIN(Mkt!BH67,BG67*(1+Inputs!$B$18))),BG67)))</f>
        <v>1716.40093525</v>
      </c>
      <c r="BI67" s="11" t="n">
        <f aca="false">IF(BI$1&lt;Units!$P66,0,IF(AND(Units!$K66=0,BI$1=Units!$O66),Units!$R66,IF(AND(BI$1&gt;=Units!$Q66,MOD(BI$1-Units!$Q66,12)=0),IF(AND(Units!$L66=1,BI$1=Units!$Q66),IF(Units!$J66&lt;&gt;"",Units!$J66,Mkt!BI67),Inputs!$B$15*Mkt!BI67+(1-Inputs!$B$15)*MIN(Mkt!BI67,BH67*(1+Inputs!$B$18))),BH67)))</f>
        <v>1716.40093525</v>
      </c>
      <c r="BJ67" s="11" t="n">
        <f aca="false">IF(BJ$1&lt;Units!$P66,0,IF(AND(Units!$K66=0,BJ$1=Units!$O66),Units!$R66,IF(AND(BJ$1&gt;=Units!$Q66,MOD(BJ$1-Units!$Q66,12)=0),IF(AND(Units!$L66=1,BJ$1=Units!$Q66),IF(Units!$J66&lt;&gt;"",Units!$J66,Mkt!BJ67),Inputs!$B$15*Mkt!BJ67+(1-Inputs!$B$15)*MIN(Mkt!BJ67,BI67*(1+Inputs!$B$18))),BI67)))</f>
        <v>1716.40093525</v>
      </c>
      <c r="BK67" s="11" t="n">
        <f aca="false">IF(BK$1&lt;Units!$P66,0,IF(AND(Units!$K66=0,BK$1=Units!$O66),Units!$R66,IF(AND(BK$1&gt;=Units!$Q66,MOD(BK$1-Units!$Q66,12)=0),IF(AND(Units!$L66=1,BK$1=Units!$Q66),IF(Units!$J66&lt;&gt;"",Units!$J66,Mkt!BK67),Inputs!$B$15*Mkt!BK67+(1-Inputs!$B$15)*MIN(Mkt!BK67,BJ67*(1+Inputs!$B$18))),BJ67)))</f>
        <v>1767.8929633075</v>
      </c>
      <c r="BL67" s="11" t="n">
        <f aca="false">IF(BL$1&lt;Units!$P66,0,IF(AND(Units!$K66=0,BL$1=Units!$O66),Units!$R66,IF(AND(BL$1&gt;=Units!$Q66,MOD(BL$1-Units!$Q66,12)=0),IF(AND(Units!$L66=1,BL$1=Units!$Q66),IF(Units!$J66&lt;&gt;"",Units!$J66,Mkt!BL67),Inputs!$B$15*Mkt!BL67+(1-Inputs!$B$15)*MIN(Mkt!BL67,BK67*(1+Inputs!$B$18))),BK67)))</f>
        <v>1767.8929633075</v>
      </c>
      <c r="BM67" s="11" t="n">
        <f aca="false">IF(BM$1&lt;Units!$P66,0,IF(AND(Units!$K66=0,BM$1=Units!$O66),Units!$R66,IF(AND(BM$1&gt;=Units!$Q66,MOD(BM$1-Units!$Q66,12)=0),IF(AND(Units!$L66=1,BM$1=Units!$Q66),IF(Units!$J66&lt;&gt;"",Units!$J66,Mkt!BM67),Inputs!$B$15*Mkt!BM67+(1-Inputs!$B$15)*MIN(Mkt!BM67,BL67*(1+Inputs!$B$18))),BL67)))</f>
        <v>1767.8929633075</v>
      </c>
      <c r="BN67" s="11" t="n">
        <f aca="false">IF(BN$1&lt;Units!$P66,0,IF(AND(Units!$K66=0,BN$1=Units!$O66),Units!$R66,IF(AND(BN$1&gt;=Units!$Q66,MOD(BN$1-Units!$Q66,12)=0),IF(AND(Units!$L66=1,BN$1=Units!$Q66),IF(Units!$J66&lt;&gt;"",Units!$J66,Mkt!BN67),Inputs!$B$15*Mkt!BN67+(1-Inputs!$B$15)*MIN(Mkt!BN67,BM67*(1+Inputs!$B$18))),BM67)))</f>
        <v>1767.8929633075</v>
      </c>
      <c r="BO67" s="11" t="n">
        <f aca="false">IF(BO$1&lt;Units!$P66,0,IF(AND(Units!$K66=0,BO$1=Units!$O66),Units!$R66,IF(AND(BO$1&gt;=Units!$Q66,MOD(BO$1-Units!$Q66,12)=0),IF(AND(Units!$L66=1,BO$1=Units!$Q66),IF(Units!$J66&lt;&gt;"",Units!$J66,Mkt!BO67),Inputs!$B$15*Mkt!BO67+(1-Inputs!$B$15)*MIN(Mkt!BO67,BN67*(1+Inputs!$B$18))),BN67)))</f>
        <v>1767.8929633075</v>
      </c>
      <c r="BP67" s="11" t="n">
        <f aca="false">IF(BP$1&lt;Units!$P66,0,IF(AND(Units!$K66=0,BP$1=Units!$O66),Units!$R66,IF(AND(BP$1&gt;=Units!$Q66,MOD(BP$1-Units!$Q66,12)=0),IF(AND(Units!$L66=1,BP$1=Units!$Q66),IF(Units!$J66&lt;&gt;"",Units!$J66,Mkt!BP67),Inputs!$B$15*Mkt!BP67+(1-Inputs!$B$15)*MIN(Mkt!BP67,BO67*(1+Inputs!$B$18))),BO67)))</f>
        <v>1767.8929633075</v>
      </c>
      <c r="BQ67" s="11" t="n">
        <f aca="false">IF(BQ$1&lt;Units!$P66,0,IF(AND(Units!$K66=0,BQ$1=Units!$O66),Units!$R66,IF(AND(BQ$1&gt;=Units!$Q66,MOD(BQ$1-Units!$Q66,12)=0),IF(AND(Units!$L66=1,BQ$1=Units!$Q66),IF(Units!$J66&lt;&gt;"",Units!$J66,Mkt!BQ67),Inputs!$B$15*Mkt!BQ67+(1-Inputs!$B$15)*MIN(Mkt!BQ67,BP67*(1+Inputs!$B$18))),BP67)))</f>
        <v>1767.8929633075</v>
      </c>
      <c r="BR67" s="11" t="n">
        <f aca="false">IF(BR$1&lt;Units!$P66,0,IF(AND(Units!$K66=0,BR$1=Units!$O66),Units!$R66,IF(AND(BR$1&gt;=Units!$Q66,MOD(BR$1-Units!$Q66,12)=0),IF(AND(Units!$L66=1,BR$1=Units!$Q66),IF(Units!$J66&lt;&gt;"",Units!$J66,Mkt!BR67),Inputs!$B$15*Mkt!BR67+(1-Inputs!$B$15)*MIN(Mkt!BR67,BQ67*(1+Inputs!$B$18))),BQ67)))</f>
        <v>1767.8929633075</v>
      </c>
      <c r="BS67" s="11" t="n">
        <f aca="false">IF(BS$1&lt;Units!$P66,0,IF(AND(Units!$K66=0,BS$1=Units!$O66),Units!$R66,IF(AND(BS$1&gt;=Units!$Q66,MOD(BS$1-Units!$Q66,12)=0),IF(AND(Units!$L66=1,BS$1=Units!$Q66),IF(Units!$J66&lt;&gt;"",Units!$J66,Mkt!BS67),Inputs!$B$15*Mkt!BS67+(1-Inputs!$B$15)*MIN(Mkt!BS67,BR67*(1+Inputs!$B$18))),BR67)))</f>
        <v>1767.8929633075</v>
      </c>
      <c r="BT67" s="11" t="n">
        <f aca="false">IF(BT$1&lt;Units!$P66,0,IF(AND(Units!$K66=0,BT$1=Units!$O66),Units!$R66,IF(AND(BT$1&gt;=Units!$Q66,MOD(BT$1-Units!$Q66,12)=0),IF(AND(Units!$L66=1,BT$1=Units!$Q66),IF(Units!$J66&lt;&gt;"",Units!$J66,Mkt!BT67),Inputs!$B$15*Mkt!BT67+(1-Inputs!$B$15)*MIN(Mkt!BT67,BS67*(1+Inputs!$B$18))),BS67)))</f>
        <v>1767.8929633075</v>
      </c>
      <c r="BU67" s="11" t="n">
        <f aca="false">IF(BU$1&lt;Units!$P66,0,IF(AND(Units!$K66=0,BU$1=Units!$O66),Units!$R66,IF(AND(BU$1&gt;=Units!$Q66,MOD(BU$1-Units!$Q66,12)=0),IF(AND(Units!$L66=1,BU$1=Units!$Q66),IF(Units!$J66&lt;&gt;"",Units!$J66,Mkt!BU67),Inputs!$B$15*Mkt!BU67+(1-Inputs!$B$15)*MIN(Mkt!BU67,BT67*(1+Inputs!$B$18))),BT67)))</f>
        <v>1767.8929633075</v>
      </c>
      <c r="BV67" s="11" t="n">
        <f aca="false">IF(BV$1&lt;Units!$P66,0,IF(AND(Units!$K66=0,BV$1=Units!$O66),Units!$R66,IF(AND(BV$1&gt;=Units!$Q66,MOD(BV$1-Units!$Q66,12)=0),IF(AND(Units!$L66=1,BV$1=Units!$Q66),IF(Units!$J66&lt;&gt;"",Units!$J66,Mkt!BV67),Inputs!$B$15*Mkt!BV67+(1-Inputs!$B$15)*MIN(Mkt!BV67,BU67*(1+Inputs!$B$18))),BU67)))</f>
        <v>1767.8929633075</v>
      </c>
      <c r="BW67" s="11" t="n">
        <f aca="false">IF(BW$1&lt;Units!$P66,0,IF(AND(Units!$K66=0,BW$1=Units!$O66),Units!$R66,IF(AND(BW$1&gt;=Units!$Q66,MOD(BW$1-Units!$Q66,12)=0),IF(AND(Units!$L66=1,BW$1=Units!$Q66),IF(Units!$J66&lt;&gt;"",Units!$J66,Mkt!BW67),Inputs!$B$15*Mkt!BW67+(1-Inputs!$B$15)*MIN(Mkt!BW67,BV67*(1+Inputs!$B$18))),BV67)))</f>
        <v>1820.92975220673</v>
      </c>
      <c r="BX67" s="11" t="n">
        <f aca="false">IF(BX$1&lt;Units!$P66,0,IF(AND(Units!$K66=0,BX$1=Units!$O66),Units!$R66,IF(AND(BX$1&gt;=Units!$Q66,MOD(BX$1-Units!$Q66,12)=0),IF(AND(Units!$L66=1,BX$1=Units!$Q66),IF(Units!$J66&lt;&gt;"",Units!$J66,Mkt!BX67),Inputs!$B$15*Mkt!BX67+(1-Inputs!$B$15)*MIN(Mkt!BX67,BW67*(1+Inputs!$B$18))),BW67)))</f>
        <v>1820.92975220673</v>
      </c>
      <c r="BY67" s="11" t="n">
        <f aca="false">IF(BY$1&lt;Units!$P66,0,IF(AND(Units!$K66=0,BY$1=Units!$O66),Units!$R66,IF(AND(BY$1&gt;=Units!$Q66,MOD(BY$1-Units!$Q66,12)=0),IF(AND(Units!$L66=1,BY$1=Units!$Q66),IF(Units!$J66&lt;&gt;"",Units!$J66,Mkt!BY67),Inputs!$B$15*Mkt!BY67+(1-Inputs!$B$15)*MIN(Mkt!BY67,BX67*(1+Inputs!$B$18))),BX67)))</f>
        <v>1820.92975220673</v>
      </c>
      <c r="BZ67" s="11" t="n">
        <f aca="false">IF(BZ$1&lt;Units!$P66,0,IF(AND(Units!$K66=0,BZ$1=Units!$O66),Units!$R66,IF(AND(BZ$1&gt;=Units!$Q66,MOD(BZ$1-Units!$Q66,12)=0),IF(AND(Units!$L66=1,BZ$1=Units!$Q66),IF(Units!$J66&lt;&gt;"",Units!$J66,Mkt!BZ67),Inputs!$B$15*Mkt!BZ67+(1-Inputs!$B$15)*MIN(Mkt!BZ67,BY67*(1+Inputs!$B$18))),BY67)))</f>
        <v>1820.92975220673</v>
      </c>
      <c r="CA67" s="11" t="n">
        <f aca="false">IF(CA$1&lt;Units!$P66,0,IF(AND(Units!$K66=0,CA$1=Units!$O66),Units!$R66,IF(AND(CA$1&gt;=Units!$Q66,MOD(CA$1-Units!$Q66,12)=0),IF(AND(Units!$L66=1,CA$1=Units!$Q66),IF(Units!$J66&lt;&gt;"",Units!$J66,Mkt!CA67),Inputs!$B$15*Mkt!CA67+(1-Inputs!$B$15)*MIN(Mkt!CA67,BZ67*(1+Inputs!$B$18))),BZ67)))</f>
        <v>1820.92975220673</v>
      </c>
      <c r="CB67" s="11" t="n">
        <f aca="false">IF(CB$1&lt;Units!$P66,0,IF(AND(Units!$K66=0,CB$1=Units!$O66),Units!$R66,IF(AND(CB$1&gt;=Units!$Q66,MOD(CB$1-Units!$Q66,12)=0),IF(AND(Units!$L66=1,CB$1=Units!$Q66),IF(Units!$J66&lt;&gt;"",Units!$J66,Mkt!CB67),Inputs!$B$15*Mkt!CB67+(1-Inputs!$B$15)*MIN(Mkt!CB67,CA67*(1+Inputs!$B$18))),CA67)))</f>
        <v>1820.92975220673</v>
      </c>
      <c r="CC67" s="11" t="n">
        <f aca="false">IF(CC$1&lt;Units!$P66,0,IF(AND(Units!$K66=0,CC$1=Units!$O66),Units!$R66,IF(AND(CC$1&gt;=Units!$Q66,MOD(CC$1-Units!$Q66,12)=0),IF(AND(Units!$L66=1,CC$1=Units!$Q66),IF(Units!$J66&lt;&gt;"",Units!$J66,Mkt!CC67),Inputs!$B$15*Mkt!CC67+(1-Inputs!$B$15)*MIN(Mkt!CC67,CB67*(1+Inputs!$B$18))),CB67)))</f>
        <v>1820.92975220673</v>
      </c>
      <c r="CD67" s="11" t="n">
        <f aca="false">IF(CD$1&lt;Units!$P66,0,IF(AND(Units!$K66=0,CD$1=Units!$O66),Units!$R66,IF(AND(CD$1&gt;=Units!$Q66,MOD(CD$1-Units!$Q66,12)=0),IF(AND(Units!$L66=1,CD$1=Units!$Q66),IF(Units!$J66&lt;&gt;"",Units!$J66,Mkt!CD67),Inputs!$B$15*Mkt!CD67+(1-Inputs!$B$15)*MIN(Mkt!CD67,CC67*(1+Inputs!$B$18))),CC67)))</f>
        <v>1820.92975220673</v>
      </c>
      <c r="CE67" s="11" t="n">
        <f aca="false">IF(CE$1&lt;Units!$P66,0,IF(AND(Units!$K66=0,CE$1=Units!$O66),Units!$R66,IF(AND(CE$1&gt;=Units!$Q66,MOD(CE$1-Units!$Q66,12)=0),IF(AND(Units!$L66=1,CE$1=Units!$Q66),IF(Units!$J66&lt;&gt;"",Units!$J66,Mkt!CE67),Inputs!$B$15*Mkt!CE67+(1-Inputs!$B$15)*MIN(Mkt!CE67,CD67*(1+Inputs!$B$18))),CD67)))</f>
        <v>1820.92975220673</v>
      </c>
      <c r="CF67" s="11" t="n">
        <f aca="false">IF(CF$1&lt;Units!$P66,0,IF(AND(Units!$K66=0,CF$1=Units!$O66),Units!$R66,IF(AND(CF$1&gt;=Units!$Q66,MOD(CF$1-Units!$Q66,12)=0),IF(AND(Units!$L66=1,CF$1=Units!$Q66),IF(Units!$J66&lt;&gt;"",Units!$J66,Mkt!CF67),Inputs!$B$15*Mkt!CF67+(1-Inputs!$B$15)*MIN(Mkt!CF67,CE67*(1+Inputs!$B$18))),CE67)))</f>
        <v>1820.92975220673</v>
      </c>
      <c r="CG67" s="11" t="n">
        <f aca="false">IF(CG$1&lt;Units!$P66,0,IF(AND(Units!$K66=0,CG$1=Units!$O66),Units!$R66,IF(AND(CG$1&gt;=Units!$Q66,MOD(CG$1-Units!$Q66,12)=0),IF(AND(Units!$L66=1,CG$1=Units!$Q66),IF(Units!$J66&lt;&gt;"",Units!$J66,Mkt!CG67),Inputs!$B$15*Mkt!CG67+(1-Inputs!$B$15)*MIN(Mkt!CG67,CF67*(1+Inputs!$B$18))),CF67)))</f>
        <v>1820.92975220673</v>
      </c>
      <c r="CH67" s="11" t="n">
        <f aca="false">IF(CH$1&lt;Units!$P66,0,IF(AND(Units!$K66=0,CH$1=Units!$O66),Units!$R66,IF(AND(CH$1&gt;=Units!$Q66,MOD(CH$1-Units!$Q66,12)=0),IF(AND(Units!$L66=1,CH$1=Units!$Q66),IF(Units!$J66&lt;&gt;"",Units!$J66,Mkt!CH67),Inputs!$B$15*Mkt!CH67+(1-Inputs!$B$15)*MIN(Mkt!CH67,CG67*(1+Inputs!$B$18))),CG67)))</f>
        <v>1820.92975220673</v>
      </c>
      <c r="CI67" s="11" t="n">
        <f aca="false">IF(CI$1&lt;Units!$P66,0,IF(AND(Units!$K66=0,CI$1=Units!$O66),Units!$R66,IF(AND(CI$1&gt;=Units!$Q66,MOD(CI$1-Units!$Q66,12)=0),IF(AND(Units!$L66=1,CI$1=Units!$Q66),IF(Units!$J66&lt;&gt;"",Units!$J66,Mkt!CI67),Inputs!$B$15*Mkt!CI67+(1-Inputs!$B$15)*MIN(Mkt!CI67,CH67*(1+Inputs!$B$18))),CH67)))</f>
        <v>1875.55764477293</v>
      </c>
      <c r="CJ67" s="11" t="n">
        <f aca="false">IF(CJ$1&lt;Units!$P66,0,IF(AND(Units!$K66=0,CJ$1=Units!$O66),Units!$R66,IF(AND(CJ$1&gt;=Units!$Q66,MOD(CJ$1-Units!$Q66,12)=0),IF(AND(Units!$L66=1,CJ$1=Units!$Q66),IF(Units!$J66&lt;&gt;"",Units!$J66,Mkt!CJ67),Inputs!$B$15*Mkt!CJ67+(1-Inputs!$B$15)*MIN(Mkt!CJ67,CI67*(1+Inputs!$B$18))),CI67)))</f>
        <v>1875.55764477293</v>
      </c>
      <c r="CK67" s="11" t="n">
        <f aca="false">IF(CK$1&lt;Units!$P66,0,IF(AND(Units!$K66=0,CK$1=Units!$O66),Units!$R66,IF(AND(CK$1&gt;=Units!$Q66,MOD(CK$1-Units!$Q66,12)=0),IF(AND(Units!$L66=1,CK$1=Units!$Q66),IF(Units!$J66&lt;&gt;"",Units!$J66,Mkt!CK67),Inputs!$B$15*Mkt!CK67+(1-Inputs!$B$15)*MIN(Mkt!CK67,CJ67*(1+Inputs!$B$18))),CJ67)))</f>
        <v>1875.55764477293</v>
      </c>
      <c r="CL67" s="11" t="n">
        <f aca="false">IF(CL$1&lt;Units!$P66,0,IF(AND(Units!$K66=0,CL$1=Units!$O66),Units!$R66,IF(AND(CL$1&gt;=Units!$Q66,MOD(CL$1-Units!$Q66,12)=0),IF(AND(Units!$L66=1,CL$1=Units!$Q66),IF(Units!$J66&lt;&gt;"",Units!$J66,Mkt!CL67),Inputs!$B$15*Mkt!CL67+(1-Inputs!$B$15)*MIN(Mkt!CL67,CK67*(1+Inputs!$B$18))),CK67)))</f>
        <v>1875.55764477293</v>
      </c>
      <c r="CM67" s="11" t="n">
        <f aca="false">IF(CM$1&lt;Units!$P66,0,IF(AND(Units!$K66=0,CM$1=Units!$O66),Units!$R66,IF(AND(CM$1&gt;=Units!$Q66,MOD(CM$1-Units!$Q66,12)=0),IF(AND(Units!$L66=1,CM$1=Units!$Q66),IF(Units!$J66&lt;&gt;"",Units!$J66,Mkt!CM67),Inputs!$B$15*Mkt!CM67+(1-Inputs!$B$15)*MIN(Mkt!CM67,CL67*(1+Inputs!$B$18))),CL67)))</f>
        <v>1875.55764477293</v>
      </c>
      <c r="CN67" s="11" t="n">
        <f aca="false">IF(CN$1&lt;Units!$P66,0,IF(AND(Units!$K66=0,CN$1=Units!$O66),Units!$R66,IF(AND(CN$1&gt;=Units!$Q66,MOD(CN$1-Units!$Q66,12)=0),IF(AND(Units!$L66=1,CN$1=Units!$Q66),IF(Units!$J66&lt;&gt;"",Units!$J66,Mkt!CN67),Inputs!$B$15*Mkt!CN67+(1-Inputs!$B$15)*MIN(Mkt!CN67,CM67*(1+Inputs!$B$18))),CM67)))</f>
        <v>1875.55764477293</v>
      </c>
      <c r="CO67" s="11" t="n">
        <f aca="false">IF(CO$1&lt;Units!$P66,0,IF(AND(Units!$K66=0,CO$1=Units!$O66),Units!$R66,IF(AND(CO$1&gt;=Units!$Q66,MOD(CO$1-Units!$Q66,12)=0),IF(AND(Units!$L66=1,CO$1=Units!$Q66),IF(Units!$J66&lt;&gt;"",Units!$J66,Mkt!CO67),Inputs!$B$15*Mkt!CO67+(1-Inputs!$B$15)*MIN(Mkt!CO67,CN67*(1+Inputs!$B$18))),CN67)))</f>
        <v>1875.55764477293</v>
      </c>
      <c r="CP67" s="11" t="n">
        <f aca="false">IF(CP$1&lt;Units!$P66,0,IF(AND(Units!$K66=0,CP$1=Units!$O66),Units!$R66,IF(AND(CP$1&gt;=Units!$Q66,MOD(CP$1-Units!$Q66,12)=0),IF(AND(Units!$L66=1,CP$1=Units!$Q66),IF(Units!$J66&lt;&gt;"",Units!$J66,Mkt!CP67),Inputs!$B$15*Mkt!CP67+(1-Inputs!$B$15)*MIN(Mkt!CP67,CO67*(1+Inputs!$B$18))),CO67)))</f>
        <v>1875.55764477293</v>
      </c>
      <c r="CQ67" s="11" t="n">
        <f aca="false">IF(CQ$1&lt;Units!$P66,0,IF(AND(Units!$K66=0,CQ$1=Units!$O66),Units!$R66,IF(AND(CQ$1&gt;=Units!$Q66,MOD(CQ$1-Units!$Q66,12)=0),IF(AND(Units!$L66=1,CQ$1=Units!$Q66),IF(Units!$J66&lt;&gt;"",Units!$J66,Mkt!CQ67),Inputs!$B$15*Mkt!CQ67+(1-Inputs!$B$15)*MIN(Mkt!CQ67,CP67*(1+Inputs!$B$18))),CP67)))</f>
        <v>1875.55764477293</v>
      </c>
      <c r="CR67" s="11" t="n">
        <f aca="false">IF(CR$1&lt;Units!$P66,0,IF(AND(Units!$K66=0,CR$1=Units!$O66),Units!$R66,IF(AND(CR$1&gt;=Units!$Q66,MOD(CR$1-Units!$Q66,12)=0),IF(AND(Units!$L66=1,CR$1=Units!$Q66),IF(Units!$J66&lt;&gt;"",Units!$J66,Mkt!CR67),Inputs!$B$15*Mkt!CR67+(1-Inputs!$B$15)*MIN(Mkt!CR67,CQ67*(1+Inputs!$B$18))),CQ67)))</f>
        <v>1875.55764477293</v>
      </c>
      <c r="CS67" s="11" t="n">
        <f aca="false">IF(CS$1&lt;Units!$P66,0,IF(AND(Units!$K66=0,CS$1=Units!$O66),Units!$R66,IF(AND(CS$1&gt;=Units!$Q66,MOD(CS$1-Units!$Q66,12)=0),IF(AND(Units!$L66=1,CS$1=Units!$Q66),IF(Units!$J66&lt;&gt;"",Units!$J66,Mkt!CS67),Inputs!$B$15*Mkt!CS67+(1-Inputs!$B$15)*MIN(Mkt!CS67,CR67*(1+Inputs!$B$18))),CR67)))</f>
        <v>1875.55764477293</v>
      </c>
      <c r="CT67" s="11" t="n">
        <f aca="false">IF(CT$1&lt;Units!$P66,0,IF(AND(Units!$K66=0,CT$1=Units!$O66),Units!$R66,IF(AND(CT$1&gt;=Units!$Q66,MOD(CT$1-Units!$Q66,12)=0),IF(AND(Units!$L66=1,CT$1=Units!$Q66),IF(Units!$J66&lt;&gt;"",Units!$J66,Mkt!CT67),Inputs!$B$15*Mkt!CT67+(1-Inputs!$B$15)*MIN(Mkt!CT67,CS67*(1+Inputs!$B$18))),CS67)))</f>
        <v>1875.55764477293</v>
      </c>
      <c r="CU67" s="11" t="n">
        <f aca="false">IF(CU$1&lt;Units!$P66,0,IF(AND(Units!$K66=0,CU$1=Units!$O66),Units!$R66,IF(AND(CU$1&gt;=Units!$Q66,MOD(CU$1-Units!$Q66,12)=0),IF(AND(Units!$L66=1,CU$1=Units!$Q66),IF(Units!$J66&lt;&gt;"",Units!$J66,Mkt!CU67),Inputs!$B$15*Mkt!CU67+(1-Inputs!$B$15)*MIN(Mkt!CU67,CT67*(1+Inputs!$B$18))),CT67)))</f>
        <v>1931.82437411612</v>
      </c>
      <c r="CV67" s="11" t="n">
        <f aca="false">IF(CV$1&lt;Units!$P66,0,IF(AND(Units!$K66=0,CV$1=Units!$O66),Units!$R66,IF(AND(CV$1&gt;=Units!$Q66,MOD(CV$1-Units!$Q66,12)=0),IF(AND(Units!$L66=1,CV$1=Units!$Q66),IF(Units!$J66&lt;&gt;"",Units!$J66,Mkt!CV67),Inputs!$B$15*Mkt!CV67+(1-Inputs!$B$15)*MIN(Mkt!CV67,CU67*(1+Inputs!$B$18))),CU67)))</f>
        <v>1931.82437411612</v>
      </c>
      <c r="CW67" s="11" t="n">
        <f aca="false">IF(CW$1&lt;Units!$P66,0,IF(AND(Units!$K66=0,CW$1=Units!$O66),Units!$R66,IF(AND(CW$1&gt;=Units!$Q66,MOD(CW$1-Units!$Q66,12)=0),IF(AND(Units!$L66=1,CW$1=Units!$Q66),IF(Units!$J66&lt;&gt;"",Units!$J66,Mkt!CW67),Inputs!$B$15*Mkt!CW67+(1-Inputs!$B$15)*MIN(Mkt!CW67,CV67*(1+Inputs!$B$18))),CV67)))</f>
        <v>1931.82437411612</v>
      </c>
      <c r="CX67" s="11" t="n">
        <f aca="false">IF(CX$1&lt;Units!$P66,0,IF(AND(Units!$K66=0,CX$1=Units!$O66),Units!$R66,IF(AND(CX$1&gt;=Units!$Q66,MOD(CX$1-Units!$Q66,12)=0),IF(AND(Units!$L66=1,CX$1=Units!$Q66),IF(Units!$J66&lt;&gt;"",Units!$J66,Mkt!CX67),Inputs!$B$15*Mkt!CX67+(1-Inputs!$B$15)*MIN(Mkt!CX67,CW67*(1+Inputs!$B$18))),CW67)))</f>
        <v>1931.82437411612</v>
      </c>
      <c r="CY67" s="11" t="n">
        <f aca="false">IF(CY$1&lt;Units!$P66,0,IF(AND(Units!$K66=0,CY$1=Units!$O66),Units!$R66,IF(AND(CY$1&gt;=Units!$Q66,MOD(CY$1-Units!$Q66,12)=0),IF(AND(Units!$L66=1,CY$1=Units!$Q66),IF(Units!$J66&lt;&gt;"",Units!$J66,Mkt!CY67),Inputs!$B$15*Mkt!CY67+(1-Inputs!$B$15)*MIN(Mkt!CY67,CX67*(1+Inputs!$B$18))),CX67)))</f>
        <v>1931.82437411612</v>
      </c>
      <c r="CZ67" s="11" t="n">
        <f aca="false">IF(CZ$1&lt;Units!$P66,0,IF(AND(Units!$K66=0,CZ$1=Units!$O66),Units!$R66,IF(AND(CZ$1&gt;=Units!$Q66,MOD(CZ$1-Units!$Q66,12)=0),IF(AND(Units!$L66=1,CZ$1=Units!$Q66),IF(Units!$J66&lt;&gt;"",Units!$J66,Mkt!CZ67),Inputs!$B$15*Mkt!CZ67+(1-Inputs!$B$15)*MIN(Mkt!CZ67,CY67*(1+Inputs!$B$18))),CY67)))</f>
        <v>1931.82437411612</v>
      </c>
      <c r="DA67" s="11" t="n">
        <f aca="false">IF(DA$1&lt;Units!$P66,0,IF(AND(Units!$K66=0,DA$1=Units!$O66),Units!$R66,IF(AND(DA$1&gt;=Units!$Q66,MOD(DA$1-Units!$Q66,12)=0),IF(AND(Units!$L66=1,DA$1=Units!$Q66),IF(Units!$J66&lt;&gt;"",Units!$J66,Mkt!DA67),Inputs!$B$15*Mkt!DA67+(1-Inputs!$B$15)*MIN(Mkt!DA67,CZ67*(1+Inputs!$B$18))),CZ67)))</f>
        <v>1931.82437411612</v>
      </c>
      <c r="DB67" s="11" t="n">
        <f aca="false">IF(DB$1&lt;Units!$P66,0,IF(AND(Units!$K66=0,DB$1=Units!$O66),Units!$R66,IF(AND(DB$1&gt;=Units!$Q66,MOD(DB$1-Units!$Q66,12)=0),IF(AND(Units!$L66=1,DB$1=Units!$Q66),IF(Units!$J66&lt;&gt;"",Units!$J66,Mkt!DB67),Inputs!$B$15*Mkt!DB67+(1-Inputs!$B$15)*MIN(Mkt!DB67,DA67*(1+Inputs!$B$18))),DA67)))</f>
        <v>1931.82437411612</v>
      </c>
      <c r="DC67" s="11" t="n">
        <f aca="false">IF(DC$1&lt;Units!$P66,0,IF(AND(Units!$K66=0,DC$1=Units!$O66),Units!$R66,IF(AND(DC$1&gt;=Units!$Q66,MOD(DC$1-Units!$Q66,12)=0),IF(AND(Units!$L66=1,DC$1=Units!$Q66),IF(Units!$J66&lt;&gt;"",Units!$J66,Mkt!DC67),Inputs!$B$15*Mkt!DC67+(1-Inputs!$B$15)*MIN(Mkt!DC67,DB67*(1+Inputs!$B$18))),DB67)))</f>
        <v>1931.82437411612</v>
      </c>
      <c r="DD67" s="11" t="n">
        <f aca="false">IF(DD$1&lt;Units!$P66,0,IF(AND(Units!$K66=0,DD$1=Units!$O66),Units!$R66,IF(AND(DD$1&gt;=Units!$Q66,MOD(DD$1-Units!$Q66,12)=0),IF(AND(Units!$L66=1,DD$1=Units!$Q66),IF(Units!$J66&lt;&gt;"",Units!$J66,Mkt!DD67),Inputs!$B$15*Mkt!DD67+(1-Inputs!$B$15)*MIN(Mkt!DD67,DC67*(1+Inputs!$B$18))),DC67)))</f>
        <v>1931.82437411612</v>
      </c>
      <c r="DE67" s="11" t="n">
        <f aca="false">IF(DE$1&lt;Units!$P66,0,IF(AND(Units!$K66=0,DE$1=Units!$O66),Units!$R66,IF(AND(DE$1&gt;=Units!$Q66,MOD(DE$1-Units!$Q66,12)=0),IF(AND(Units!$L66=1,DE$1=Units!$Q66),IF(Units!$J66&lt;&gt;"",Units!$J66,Mkt!DE67),Inputs!$B$15*Mkt!DE67+(1-Inputs!$B$15)*MIN(Mkt!DE67,DD67*(1+Inputs!$B$18))),DD67)))</f>
        <v>1931.82437411612</v>
      </c>
      <c r="DF67" s="11" t="n">
        <f aca="false">IF(DF$1&lt;Units!$P66,0,IF(AND(Units!$K66=0,DF$1=Units!$O66),Units!$R66,IF(AND(DF$1&gt;=Units!$Q66,MOD(DF$1-Units!$Q66,12)=0),IF(AND(Units!$L66=1,DF$1=Units!$Q66),IF(Units!$J66&lt;&gt;"",Units!$J66,Mkt!DF67),Inputs!$B$15*Mkt!DF67+(1-Inputs!$B$15)*MIN(Mkt!DF67,DE67*(1+Inputs!$B$18))),DE67)))</f>
        <v>1931.82437411612</v>
      </c>
      <c r="DG67" s="11" t="n">
        <f aca="false">IF(DG$1&lt;Units!$P66,0,IF(AND(Units!$K66=0,DG$1=Units!$O66),Units!$R66,IF(AND(DG$1&gt;=Units!$Q66,MOD(DG$1-Units!$Q66,12)=0),IF(AND(Units!$L66=1,DG$1=Units!$Q66),IF(Units!$J66&lt;&gt;"",Units!$J66,Mkt!DG67),Inputs!$B$15*Mkt!DG67+(1-Inputs!$B$15)*MIN(Mkt!DG67,DF67*(1+Inputs!$B$18))),DF67)))</f>
        <v>1989.7791053396</v>
      </c>
      <c r="DH67" s="11" t="n">
        <f aca="false">IF(DH$1&lt;Units!$P66,0,IF(AND(Units!$K66=0,DH$1=Units!$O66),Units!$R66,IF(AND(DH$1&gt;=Units!$Q66,MOD(DH$1-Units!$Q66,12)=0),IF(AND(Units!$L66=1,DH$1=Units!$Q66),IF(Units!$J66&lt;&gt;"",Units!$J66,Mkt!DH67),Inputs!$B$15*Mkt!DH67+(1-Inputs!$B$15)*MIN(Mkt!DH67,DG67*(1+Inputs!$B$18))),DG67)))</f>
        <v>1989.7791053396</v>
      </c>
      <c r="DI67" s="11" t="n">
        <f aca="false">IF(DI$1&lt;Units!$P66,0,IF(AND(Units!$K66=0,DI$1=Units!$O66),Units!$R66,IF(AND(DI$1&gt;=Units!$Q66,MOD(DI$1-Units!$Q66,12)=0),IF(AND(Units!$L66=1,DI$1=Units!$Q66),IF(Units!$J66&lt;&gt;"",Units!$J66,Mkt!DI67),Inputs!$B$15*Mkt!DI67+(1-Inputs!$B$15)*MIN(Mkt!DI67,DH67*(1+Inputs!$B$18))),DH67)))</f>
        <v>1989.7791053396</v>
      </c>
      <c r="DJ67" s="11" t="n">
        <f aca="false">IF(DJ$1&lt;Units!$P66,0,IF(AND(Units!$K66=0,DJ$1=Units!$O66),Units!$R66,IF(AND(DJ$1&gt;=Units!$Q66,MOD(DJ$1-Units!$Q66,12)=0),IF(AND(Units!$L66=1,DJ$1=Units!$Q66),IF(Units!$J66&lt;&gt;"",Units!$J66,Mkt!DJ67),Inputs!$B$15*Mkt!DJ67+(1-Inputs!$B$15)*MIN(Mkt!DJ67,DI67*(1+Inputs!$B$18))),DI67)))</f>
        <v>1989.7791053396</v>
      </c>
      <c r="DK67" s="11" t="n">
        <f aca="false">IF(DK$1&lt;Units!$P66,0,IF(AND(Units!$K66=0,DK$1=Units!$O66),Units!$R66,IF(AND(DK$1&gt;=Units!$Q66,MOD(DK$1-Units!$Q66,12)=0),IF(AND(Units!$L66=1,DK$1=Units!$Q66),IF(Units!$J66&lt;&gt;"",Units!$J66,Mkt!DK67),Inputs!$B$15*Mkt!DK67+(1-Inputs!$B$15)*MIN(Mkt!DK67,DJ67*(1+Inputs!$B$18))),DJ67)))</f>
        <v>1989.7791053396</v>
      </c>
      <c r="DL67" s="11" t="n">
        <f aca="false">IF(DL$1&lt;Units!$P66,0,IF(AND(Units!$K66=0,DL$1=Units!$O66),Units!$R66,IF(AND(DL$1&gt;=Units!$Q66,MOD(DL$1-Units!$Q66,12)=0),IF(AND(Units!$L66=1,DL$1=Units!$Q66),IF(Units!$J66&lt;&gt;"",Units!$J66,Mkt!DL67),Inputs!$B$15*Mkt!DL67+(1-Inputs!$B$15)*MIN(Mkt!DL67,DK67*(1+Inputs!$B$18))),DK67)))</f>
        <v>1989.7791053396</v>
      </c>
      <c r="DM67" s="11" t="n">
        <f aca="false">IF(DM$1&lt;Units!$P66,0,IF(AND(Units!$K66=0,DM$1=Units!$O66),Units!$R66,IF(AND(DM$1&gt;=Units!$Q66,MOD(DM$1-Units!$Q66,12)=0),IF(AND(Units!$L66=1,DM$1=Units!$Q66),IF(Units!$J66&lt;&gt;"",Units!$J66,Mkt!DM67),Inputs!$B$15*Mkt!DM67+(1-Inputs!$B$15)*MIN(Mkt!DM67,DL67*(1+Inputs!$B$18))),DL67)))</f>
        <v>1989.7791053396</v>
      </c>
      <c r="DN67" s="11" t="n">
        <f aca="false">IF(DN$1&lt;Units!$P66,0,IF(AND(Units!$K66=0,DN$1=Units!$O66),Units!$R66,IF(AND(DN$1&gt;=Units!$Q66,MOD(DN$1-Units!$Q66,12)=0),IF(AND(Units!$L66=1,DN$1=Units!$Q66),IF(Units!$J66&lt;&gt;"",Units!$J66,Mkt!DN67),Inputs!$B$15*Mkt!DN67+(1-Inputs!$B$15)*MIN(Mkt!DN67,DM67*(1+Inputs!$B$18))),DM67)))</f>
        <v>1989.7791053396</v>
      </c>
      <c r="DO67" s="11" t="n">
        <f aca="false">IF(DO$1&lt;Units!$P66,0,IF(AND(Units!$K66=0,DO$1=Units!$O66),Units!$R66,IF(AND(DO$1&gt;=Units!$Q66,MOD(DO$1-Units!$Q66,12)=0),IF(AND(Units!$L66=1,DO$1=Units!$Q66),IF(Units!$J66&lt;&gt;"",Units!$J66,Mkt!DO67),Inputs!$B$15*Mkt!DO67+(1-Inputs!$B$15)*MIN(Mkt!DO67,DN67*(1+Inputs!$B$18))),DN67)))</f>
        <v>1989.7791053396</v>
      </c>
      <c r="DP67" s="11" t="n">
        <f aca="false">IF(DP$1&lt;Units!$P66,0,IF(AND(Units!$K66=0,DP$1=Units!$O66),Units!$R66,IF(AND(DP$1&gt;=Units!$Q66,MOD(DP$1-Units!$Q66,12)=0),IF(AND(Units!$L66=1,DP$1=Units!$Q66),IF(Units!$J66&lt;&gt;"",Units!$J66,Mkt!DP67),Inputs!$B$15*Mkt!DP67+(1-Inputs!$B$15)*MIN(Mkt!DP67,DO67*(1+Inputs!$B$18))),DO67)))</f>
        <v>1989.7791053396</v>
      </c>
      <c r="DQ67" s="11" t="n">
        <f aca="false">IF(DQ$1&lt;Units!$P66,0,IF(AND(Units!$K66=0,DQ$1=Units!$O66),Units!$R66,IF(AND(DQ$1&gt;=Units!$Q66,MOD(DQ$1-Units!$Q66,12)=0),IF(AND(Units!$L66=1,DQ$1=Units!$Q66),IF(Units!$J66&lt;&gt;"",Units!$J66,Mkt!DQ67),Inputs!$B$15*Mkt!DQ67+(1-Inputs!$B$15)*MIN(Mkt!DQ67,DP67*(1+Inputs!$B$18))),DP67)))</f>
        <v>1989.7791053396</v>
      </c>
      <c r="DR67" s="11" t="n">
        <f aca="false">IF(DR$1&lt;Units!$P66,0,IF(AND(Units!$K66=0,DR$1=Units!$O66),Units!$R66,IF(AND(DR$1&gt;=Units!$Q66,MOD(DR$1-Units!$Q66,12)=0),IF(AND(Units!$L66=1,DR$1=Units!$Q66),IF(Units!$J66&lt;&gt;"",Units!$J66,Mkt!DR67),Inputs!$B$15*Mkt!DR67+(1-Inputs!$B$15)*MIN(Mkt!DR67,DQ67*(1+Inputs!$B$18))),DQ67)))</f>
        <v>1989.7791053396</v>
      </c>
      <c r="DS67" s="11" t="n">
        <f aca="false">IF(DS$1&lt;Units!$P66,0,IF(AND(Units!$K66=0,DS$1=Units!$O66),Units!$R66,IF(AND(DS$1&gt;=Units!$Q66,MOD(DS$1-Units!$Q66,12)=0),IF(AND(Units!$L66=1,DS$1=Units!$Q66),IF(Units!$J66&lt;&gt;"",Units!$J66,Mkt!DS67),Inputs!$B$15*Mkt!DS67+(1-Inputs!$B$15)*MIN(Mkt!DS67,DR67*(1+Inputs!$B$18))),DR67)))</f>
        <v>2049.47247849979</v>
      </c>
      <c r="DT67" s="11" t="n">
        <f aca="false">IF(DT$1&lt;Units!$P66,0,IF(AND(Units!$K66=0,DT$1=Units!$O66),Units!$R66,IF(AND(DT$1&gt;=Units!$Q66,MOD(DT$1-Units!$Q66,12)=0),IF(AND(Units!$L66=1,DT$1=Units!$Q66),IF(Units!$J66&lt;&gt;"",Units!$J66,Mkt!DT67),Inputs!$B$15*Mkt!DT67+(1-Inputs!$B$15)*MIN(Mkt!DT67,DS67*(1+Inputs!$B$18))),DS67)))</f>
        <v>2049.47247849979</v>
      </c>
      <c r="DU67" s="11" t="n">
        <f aca="false">IF(DU$1&lt;Units!$P66,0,IF(AND(Units!$K66=0,DU$1=Units!$O66),Units!$R66,IF(AND(DU$1&gt;=Units!$Q66,MOD(DU$1-Units!$Q66,12)=0),IF(AND(Units!$L66=1,DU$1=Units!$Q66),IF(Units!$J66&lt;&gt;"",Units!$J66,Mkt!DU67),Inputs!$B$15*Mkt!DU67+(1-Inputs!$B$15)*MIN(Mkt!DU67,DT67*(1+Inputs!$B$18))),DT67)))</f>
        <v>2049.47247849979</v>
      </c>
      <c r="DV67" s="11" t="n">
        <f aca="false">IF(DV$1&lt;Units!$P66,0,IF(AND(Units!$K66=0,DV$1=Units!$O66),Units!$R66,IF(AND(DV$1&gt;=Units!$Q66,MOD(DV$1-Units!$Q66,12)=0),IF(AND(Units!$L66=1,DV$1=Units!$Q66),IF(Units!$J66&lt;&gt;"",Units!$J66,Mkt!DV67),Inputs!$B$15*Mkt!DV67+(1-Inputs!$B$15)*MIN(Mkt!DV67,DU67*(1+Inputs!$B$18))),DU67)))</f>
        <v>2049.47247849979</v>
      </c>
      <c r="DW67" s="11" t="n">
        <f aca="false">IF(DW$1&lt;Units!$P66,0,IF(AND(Units!$K66=0,DW$1=Units!$O66),Units!$R66,IF(AND(DW$1&gt;=Units!$Q66,MOD(DW$1-Units!$Q66,12)=0),IF(AND(Units!$L66=1,DW$1=Units!$Q66),IF(Units!$J66&lt;&gt;"",Units!$J66,Mkt!DW67),Inputs!$B$15*Mkt!DW67+(1-Inputs!$B$15)*MIN(Mkt!DW67,DV67*(1+Inputs!$B$18))),DV67)))</f>
        <v>2049.47247849979</v>
      </c>
      <c r="DX67" s="11" t="n">
        <f aca="false">IF(DX$1&lt;Units!$P66,0,IF(AND(Units!$K66=0,DX$1=Units!$O66),Units!$R66,IF(AND(DX$1&gt;=Units!$Q66,MOD(DX$1-Units!$Q66,12)=0),IF(AND(Units!$L66=1,DX$1=Units!$Q66),IF(Units!$J66&lt;&gt;"",Units!$J66,Mkt!DX67),Inputs!$B$15*Mkt!DX67+(1-Inputs!$B$15)*MIN(Mkt!DX67,DW67*(1+Inputs!$B$18))),DW67)))</f>
        <v>2049.47247849979</v>
      </c>
      <c r="DY67" s="11" t="n">
        <f aca="false">IF(DY$1&lt;Units!$P66,0,IF(AND(Units!$K66=0,DY$1=Units!$O66),Units!$R66,IF(AND(DY$1&gt;=Units!$Q66,MOD(DY$1-Units!$Q66,12)=0),IF(AND(Units!$L66=1,DY$1=Units!$Q66),IF(Units!$J66&lt;&gt;"",Units!$J66,Mkt!DY67),Inputs!$B$15*Mkt!DY67+(1-Inputs!$B$15)*MIN(Mkt!DY67,DX67*(1+Inputs!$B$18))),DX67)))</f>
        <v>2049.47247849979</v>
      </c>
      <c r="DZ67" s="11" t="n">
        <f aca="false">IF(DZ$1&lt;Units!$P66,0,IF(AND(Units!$K66=0,DZ$1=Units!$O66),Units!$R66,IF(AND(DZ$1&gt;=Units!$Q66,MOD(DZ$1-Units!$Q66,12)=0),IF(AND(Units!$L66=1,DZ$1=Units!$Q66),IF(Units!$J66&lt;&gt;"",Units!$J66,Mkt!DZ67),Inputs!$B$15*Mkt!DZ67+(1-Inputs!$B$15)*MIN(Mkt!DZ67,DY67*(1+Inputs!$B$18))),DY67)))</f>
        <v>2049.47247849979</v>
      </c>
      <c r="EA67" s="11" t="n">
        <f aca="false">IF(EA$1&lt;Units!$P66,0,IF(AND(Units!$K66=0,EA$1=Units!$O66),Units!$R66,IF(AND(EA$1&gt;=Units!$Q66,MOD(EA$1-Units!$Q66,12)=0),IF(AND(Units!$L66=1,EA$1=Units!$Q66),IF(Units!$J66&lt;&gt;"",Units!$J66,Mkt!EA67),Inputs!$B$15*Mkt!EA67+(1-Inputs!$B$15)*MIN(Mkt!EA67,DZ67*(1+Inputs!$B$18))),DZ67)))</f>
        <v>2049.47247849979</v>
      </c>
      <c r="EB67" s="11" t="n">
        <f aca="false">IF(EB$1&lt;Units!$P66,0,IF(AND(Units!$K66=0,EB$1=Units!$O66),Units!$R66,IF(AND(EB$1&gt;=Units!$Q66,MOD(EB$1-Units!$Q66,12)=0),IF(AND(Units!$L66=1,EB$1=Units!$Q66),IF(Units!$J66&lt;&gt;"",Units!$J66,Mkt!EB67),Inputs!$B$15*Mkt!EB67+(1-Inputs!$B$15)*MIN(Mkt!EB67,EA67*(1+Inputs!$B$18))),EA67)))</f>
        <v>2049.47247849979</v>
      </c>
      <c r="EC67" s="11" t="n">
        <f aca="false">IF(EC$1&lt;Units!$P66,0,IF(AND(Units!$K66=0,EC$1=Units!$O66),Units!$R66,IF(AND(EC$1&gt;=Units!$Q66,MOD(EC$1-Units!$Q66,12)=0),IF(AND(Units!$L66=1,EC$1=Units!$Q66),IF(Units!$J66&lt;&gt;"",Units!$J66,Mkt!EC67),Inputs!$B$15*Mkt!EC67+(1-Inputs!$B$15)*MIN(Mkt!EC67,EB67*(1+Inputs!$B$18))),EB67)))</f>
        <v>2049.47247849979</v>
      </c>
      <c r="ED67" s="11" t="n">
        <f aca="false">IF(ED$1&lt;Units!$P66,0,IF(AND(Units!$K66=0,ED$1=Units!$O66),Units!$R66,IF(AND(ED$1&gt;=Units!$Q66,MOD(ED$1-Units!$Q66,12)=0),IF(AND(Units!$L66=1,ED$1=Units!$Q66),IF(Units!$J66&lt;&gt;"",Units!$J66,Mkt!ED67),Inputs!$B$15*Mkt!ED67+(1-Inputs!$B$15)*MIN(Mkt!ED67,EC67*(1+Inputs!$B$18))),EC67)))</f>
        <v>2049.47247849979</v>
      </c>
    </row>
    <row r="68" customFormat="false" ht="15" hidden="false" customHeight="false" outlineLevel="0" collapsed="false">
      <c r="A68" s="22" t="n">
        <f aca="false">Units!A67</f>
        <v>306</v>
      </c>
      <c r="B68" s="24" t="n">
        <f aca="false">IF(Units!K67=1,Units!F67,0)</f>
        <v>1425</v>
      </c>
      <c r="C68" s="11" t="n">
        <f aca="false">IF(C$1&lt;Units!$P67,0,IF(AND(Units!$K67=0,C$1=Units!$O67),Units!$R67,IF(AND(C$1&gt;=Units!$Q67,MOD(C$1-Units!$Q67,12)=0),IF(AND(Units!$L67=1,C$1=Units!$Q67),IF(Units!$J67&lt;&gt;"",Units!$J67,Mkt!C68),Inputs!$B$15*Mkt!C68+(1-Inputs!$B$15)*MIN(Mkt!C68,B68*(1+Inputs!$B$18))),B68)))</f>
        <v>1425</v>
      </c>
      <c r="D68" s="11" t="n">
        <f aca="false">IF(D$1&lt;Units!$P67,0,IF(AND(Units!$K67=0,D$1=Units!$O67),Units!$R67,IF(AND(D$1&gt;=Units!$Q67,MOD(D$1-Units!$Q67,12)=0),IF(AND(Units!$L67=1,D$1=Units!$Q67),IF(Units!$J67&lt;&gt;"",Units!$J67,Mkt!D68),Inputs!$B$15*Mkt!D68+(1-Inputs!$B$15)*MIN(Mkt!D68,C68*(1+Inputs!$B$18))),C68)))</f>
        <v>1425</v>
      </c>
      <c r="E68" s="11" t="n">
        <f aca="false">IF(E$1&lt;Units!$P67,0,IF(AND(Units!$K67=0,E$1=Units!$O67),Units!$R67,IF(AND(E$1&gt;=Units!$Q67,MOD(E$1-Units!$Q67,12)=0),IF(AND(Units!$L67=1,E$1=Units!$Q67),IF(Units!$J67&lt;&gt;"",Units!$J67,Mkt!E68),Inputs!$B$15*Mkt!E68+(1-Inputs!$B$15)*MIN(Mkt!E68,D68*(1+Inputs!$B$18))),D68)))</f>
        <v>1425</v>
      </c>
      <c r="F68" s="11" t="n">
        <f aca="false">IF(F$1&lt;Units!$P67,0,IF(AND(Units!$K67=0,F$1=Units!$O67),Units!$R67,IF(AND(F$1&gt;=Units!$Q67,MOD(F$1-Units!$Q67,12)=0),IF(AND(Units!$L67=1,F$1=Units!$Q67),IF(Units!$J67&lt;&gt;"",Units!$J67,Mkt!F68),Inputs!$B$15*Mkt!F68+(1-Inputs!$B$15)*MIN(Mkt!F68,E68*(1+Inputs!$B$18))),E68)))</f>
        <v>1425</v>
      </c>
      <c r="G68" s="11" t="n">
        <f aca="false">IF(G$1&lt;Units!$P67,0,IF(AND(Units!$K67=0,G$1=Units!$O67),Units!$R67,IF(AND(G$1&gt;=Units!$Q67,MOD(G$1-Units!$Q67,12)=0),IF(AND(Units!$L67=1,G$1=Units!$Q67),IF(Units!$J67&lt;&gt;"",Units!$J67,Mkt!G68),Inputs!$B$15*Mkt!G68+(1-Inputs!$B$15)*MIN(Mkt!G68,F68*(1+Inputs!$B$18))),F68)))</f>
        <v>1425</v>
      </c>
      <c r="H68" s="11" t="n">
        <f aca="false">IF(H$1&lt;Units!$P67,0,IF(AND(Units!$K67=0,H$1=Units!$O67),Units!$R67,IF(AND(H$1&gt;=Units!$Q67,MOD(H$1-Units!$Q67,12)=0),IF(AND(Units!$L67=1,H$1=Units!$Q67),IF(Units!$J67&lt;&gt;"",Units!$J67,Mkt!H68),Inputs!$B$15*Mkt!H68+(1-Inputs!$B$15)*MIN(Mkt!H68,G68*(1+Inputs!$B$18))),G68)))</f>
        <v>1425</v>
      </c>
      <c r="I68" s="11" t="n">
        <f aca="false">IF(I$1&lt;Units!$P67,0,IF(AND(Units!$K67=0,I$1=Units!$O67),Units!$R67,IF(AND(I$1&gt;=Units!$Q67,MOD(I$1-Units!$Q67,12)=0),IF(AND(Units!$L67=1,I$1=Units!$Q67),IF(Units!$J67&lt;&gt;"",Units!$J67,Mkt!I68),Inputs!$B$15*Mkt!I68+(1-Inputs!$B$15)*MIN(Mkt!I68,H68*(1+Inputs!$B$18))),H68)))</f>
        <v>1510.625</v>
      </c>
      <c r="J68" s="11" t="n">
        <f aca="false">IF(J$1&lt;Units!$P67,0,IF(AND(Units!$K67=0,J$1=Units!$O67),Units!$R67,IF(AND(J$1&gt;=Units!$Q67,MOD(J$1-Units!$Q67,12)=0),IF(AND(Units!$L67=1,J$1=Units!$Q67),IF(Units!$J67&lt;&gt;"",Units!$J67,Mkt!J68),Inputs!$B$15*Mkt!J68+(1-Inputs!$B$15)*MIN(Mkt!J68,I68*(1+Inputs!$B$18))),I68)))</f>
        <v>1510.625</v>
      </c>
      <c r="K68" s="11" t="n">
        <f aca="false">IF(K$1&lt;Units!$P67,0,IF(AND(Units!$K67=0,K$1=Units!$O67),Units!$R67,IF(AND(K$1&gt;=Units!$Q67,MOD(K$1-Units!$Q67,12)=0),IF(AND(Units!$L67=1,K$1=Units!$Q67),IF(Units!$J67&lt;&gt;"",Units!$J67,Mkt!K68),Inputs!$B$15*Mkt!K68+(1-Inputs!$B$15)*MIN(Mkt!K68,J68*(1+Inputs!$B$18))),J68)))</f>
        <v>1510.625</v>
      </c>
      <c r="L68" s="11" t="n">
        <f aca="false">IF(L$1&lt;Units!$P67,0,IF(AND(Units!$K67=0,L$1=Units!$O67),Units!$R67,IF(AND(L$1&gt;=Units!$Q67,MOD(L$1-Units!$Q67,12)=0),IF(AND(Units!$L67=1,L$1=Units!$Q67),IF(Units!$J67&lt;&gt;"",Units!$J67,Mkt!L68),Inputs!$B$15*Mkt!L68+(1-Inputs!$B$15)*MIN(Mkt!L68,K68*(1+Inputs!$B$18))),K68)))</f>
        <v>1510.625</v>
      </c>
      <c r="M68" s="11" t="n">
        <f aca="false">IF(M$1&lt;Units!$P67,0,IF(AND(Units!$K67=0,M$1=Units!$O67),Units!$R67,IF(AND(M$1&gt;=Units!$Q67,MOD(M$1-Units!$Q67,12)=0),IF(AND(Units!$L67=1,M$1=Units!$Q67),IF(Units!$J67&lt;&gt;"",Units!$J67,Mkt!M68),Inputs!$B$15*Mkt!M68+(1-Inputs!$B$15)*MIN(Mkt!M68,L68*(1+Inputs!$B$18))),L68)))</f>
        <v>1510.625</v>
      </c>
      <c r="N68" s="11" t="n">
        <f aca="false">IF(N$1&lt;Units!$P67,0,IF(AND(Units!$K67=0,N$1=Units!$O67),Units!$R67,IF(AND(N$1&gt;=Units!$Q67,MOD(N$1-Units!$Q67,12)=0),IF(AND(Units!$L67=1,N$1=Units!$Q67),IF(Units!$J67&lt;&gt;"",Units!$J67,Mkt!N68),Inputs!$B$15*Mkt!N68+(1-Inputs!$B$15)*MIN(Mkt!N68,M68*(1+Inputs!$B$18))),M68)))</f>
        <v>1510.625</v>
      </c>
      <c r="O68" s="11" t="n">
        <f aca="false">IF(O$1&lt;Units!$P67,0,IF(AND(Units!$K67=0,O$1=Units!$O67),Units!$R67,IF(AND(O$1&gt;=Units!$Q67,MOD(O$1-Units!$Q67,12)=0),IF(AND(Units!$L67=1,O$1=Units!$Q67),IF(Units!$J67&lt;&gt;"",Units!$J67,Mkt!O68),Inputs!$B$15*Mkt!O68+(1-Inputs!$B$15)*MIN(Mkt!O68,N68*(1+Inputs!$B$18))),N68)))</f>
        <v>1510.625</v>
      </c>
      <c r="P68" s="11" t="n">
        <f aca="false">IF(P$1&lt;Units!$P67,0,IF(AND(Units!$K67=0,P$1=Units!$O67),Units!$R67,IF(AND(P$1&gt;=Units!$Q67,MOD(P$1-Units!$Q67,12)=0),IF(AND(Units!$L67=1,P$1=Units!$Q67),IF(Units!$J67&lt;&gt;"",Units!$J67,Mkt!P68),Inputs!$B$15*Mkt!P68+(1-Inputs!$B$15)*MIN(Mkt!P68,O68*(1+Inputs!$B$18))),O68)))</f>
        <v>1510.625</v>
      </c>
      <c r="Q68" s="11" t="n">
        <f aca="false">IF(Q$1&lt;Units!$P67,0,IF(AND(Units!$K67=0,Q$1=Units!$O67),Units!$R67,IF(AND(Q$1&gt;=Units!$Q67,MOD(Q$1-Units!$Q67,12)=0),IF(AND(Units!$L67=1,Q$1=Units!$Q67),IF(Units!$J67&lt;&gt;"",Units!$J67,Mkt!Q68),Inputs!$B$15*Mkt!Q68+(1-Inputs!$B$15)*MIN(Mkt!Q68,P68*(1+Inputs!$B$18))),P68)))</f>
        <v>1510.625</v>
      </c>
      <c r="R68" s="11" t="n">
        <f aca="false">IF(R$1&lt;Units!$P67,0,IF(AND(Units!$K67=0,R$1=Units!$O67),Units!$R67,IF(AND(R$1&gt;=Units!$Q67,MOD(R$1-Units!$Q67,12)=0),IF(AND(Units!$L67=1,R$1=Units!$Q67),IF(Units!$J67&lt;&gt;"",Units!$J67,Mkt!R68),Inputs!$B$15*Mkt!R68+(1-Inputs!$B$15)*MIN(Mkt!R68,Q68*(1+Inputs!$B$18))),Q68)))</f>
        <v>1510.625</v>
      </c>
      <c r="S68" s="11" t="n">
        <f aca="false">IF(S$1&lt;Units!$P67,0,IF(AND(Units!$K67=0,S$1=Units!$O67),Units!$R67,IF(AND(S$1&gt;=Units!$Q67,MOD(S$1-Units!$Q67,12)=0),IF(AND(Units!$L67=1,S$1=Units!$Q67),IF(Units!$J67&lt;&gt;"",Units!$J67,Mkt!S68),Inputs!$B$15*Mkt!S68+(1-Inputs!$B$15)*MIN(Mkt!S68,R68*(1+Inputs!$B$18))),R68)))</f>
        <v>1510.625</v>
      </c>
      <c r="T68" s="11" t="n">
        <f aca="false">IF(T$1&lt;Units!$P67,0,IF(AND(Units!$K67=0,T$1=Units!$O67),Units!$R67,IF(AND(T$1&gt;=Units!$Q67,MOD(T$1-Units!$Q67,12)=0),IF(AND(Units!$L67=1,T$1=Units!$Q67),IF(Units!$J67&lt;&gt;"",Units!$J67,Mkt!T68),Inputs!$B$15*Mkt!T68+(1-Inputs!$B$15)*MIN(Mkt!T68,S68*(1+Inputs!$B$18))),S68)))</f>
        <v>1510.625</v>
      </c>
      <c r="U68" s="11" t="n">
        <f aca="false">IF(U$1&lt;Units!$P67,0,IF(AND(Units!$K67=0,U$1=Units!$O67),Units!$R67,IF(AND(U$1&gt;=Units!$Q67,MOD(U$1-Units!$Q67,12)=0),IF(AND(Units!$L67=1,U$1=Units!$Q67),IF(Units!$J67&lt;&gt;"",Units!$J67,Mkt!U68),Inputs!$B$15*Mkt!U68+(1-Inputs!$B$15)*MIN(Mkt!U68,T68*(1+Inputs!$B$18))),T68)))</f>
        <v>1570.75</v>
      </c>
      <c r="V68" s="11" t="n">
        <f aca="false">IF(V$1&lt;Units!$P67,0,IF(AND(Units!$K67=0,V$1=Units!$O67),Units!$R67,IF(AND(V$1&gt;=Units!$Q67,MOD(V$1-Units!$Q67,12)=0),IF(AND(Units!$L67=1,V$1=Units!$Q67),IF(Units!$J67&lt;&gt;"",Units!$J67,Mkt!V68),Inputs!$B$15*Mkt!V68+(1-Inputs!$B$15)*MIN(Mkt!V68,U68*(1+Inputs!$B$18))),U68)))</f>
        <v>1570.75</v>
      </c>
      <c r="W68" s="11" t="n">
        <f aca="false">IF(W$1&lt;Units!$P67,0,IF(AND(Units!$K67=0,W$1=Units!$O67),Units!$R67,IF(AND(W$1&gt;=Units!$Q67,MOD(W$1-Units!$Q67,12)=0),IF(AND(Units!$L67=1,W$1=Units!$Q67),IF(Units!$J67&lt;&gt;"",Units!$J67,Mkt!W68),Inputs!$B$15*Mkt!W68+(1-Inputs!$B$15)*MIN(Mkt!W68,V68*(1+Inputs!$B$18))),V68)))</f>
        <v>1570.75</v>
      </c>
      <c r="X68" s="11" t="n">
        <f aca="false">IF(X$1&lt;Units!$P67,0,IF(AND(Units!$K67=0,X$1=Units!$O67),Units!$R67,IF(AND(X$1&gt;=Units!$Q67,MOD(X$1-Units!$Q67,12)=0),IF(AND(Units!$L67=1,X$1=Units!$Q67),IF(Units!$J67&lt;&gt;"",Units!$J67,Mkt!X68),Inputs!$B$15*Mkt!X68+(1-Inputs!$B$15)*MIN(Mkt!X68,W68*(1+Inputs!$B$18))),W68)))</f>
        <v>1570.75</v>
      </c>
      <c r="Y68" s="11" t="n">
        <f aca="false">IF(Y$1&lt;Units!$P67,0,IF(AND(Units!$K67=0,Y$1=Units!$O67),Units!$R67,IF(AND(Y$1&gt;=Units!$Q67,MOD(Y$1-Units!$Q67,12)=0),IF(AND(Units!$L67=1,Y$1=Units!$Q67),IF(Units!$J67&lt;&gt;"",Units!$J67,Mkt!Y68),Inputs!$B$15*Mkt!Y68+(1-Inputs!$B$15)*MIN(Mkt!Y68,X68*(1+Inputs!$B$18))),X68)))</f>
        <v>1570.75</v>
      </c>
      <c r="Z68" s="11" t="n">
        <f aca="false">IF(Z$1&lt;Units!$P67,0,IF(AND(Units!$K67=0,Z$1=Units!$O67),Units!$R67,IF(AND(Z$1&gt;=Units!$Q67,MOD(Z$1-Units!$Q67,12)=0),IF(AND(Units!$L67=1,Z$1=Units!$Q67),IF(Units!$J67&lt;&gt;"",Units!$J67,Mkt!Z68),Inputs!$B$15*Mkt!Z68+(1-Inputs!$B$15)*MIN(Mkt!Z68,Y68*(1+Inputs!$B$18))),Y68)))</f>
        <v>1570.75</v>
      </c>
      <c r="AA68" s="11" t="n">
        <f aca="false">IF(AA$1&lt;Units!$P67,0,IF(AND(Units!$K67=0,AA$1=Units!$O67),Units!$R67,IF(AND(AA$1&gt;=Units!$Q67,MOD(AA$1-Units!$Q67,12)=0),IF(AND(Units!$L67=1,AA$1=Units!$Q67),IF(Units!$J67&lt;&gt;"",Units!$J67,Mkt!AA68),Inputs!$B$15*Mkt!AA68+(1-Inputs!$B$15)*MIN(Mkt!AA68,Z68*(1+Inputs!$B$18))),Z68)))</f>
        <v>1570.75</v>
      </c>
      <c r="AB68" s="11" t="n">
        <f aca="false">IF(AB$1&lt;Units!$P67,0,IF(AND(Units!$K67=0,AB$1=Units!$O67),Units!$R67,IF(AND(AB$1&gt;=Units!$Q67,MOD(AB$1-Units!$Q67,12)=0),IF(AND(Units!$L67=1,AB$1=Units!$Q67),IF(Units!$J67&lt;&gt;"",Units!$J67,Mkt!AB68),Inputs!$B$15*Mkt!AB68+(1-Inputs!$B$15)*MIN(Mkt!AB68,AA68*(1+Inputs!$B$18))),AA68)))</f>
        <v>1570.75</v>
      </c>
      <c r="AC68" s="11" t="n">
        <f aca="false">IF(AC$1&lt;Units!$P67,0,IF(AND(Units!$K67=0,AC$1=Units!$O67),Units!$R67,IF(AND(AC$1&gt;=Units!$Q67,MOD(AC$1-Units!$Q67,12)=0),IF(AND(Units!$L67=1,AC$1=Units!$Q67),IF(Units!$J67&lt;&gt;"",Units!$J67,Mkt!AC68),Inputs!$B$15*Mkt!AC68+(1-Inputs!$B$15)*MIN(Mkt!AC68,AB68*(1+Inputs!$B$18))),AB68)))</f>
        <v>1570.75</v>
      </c>
      <c r="AD68" s="11" t="n">
        <f aca="false">IF(AD$1&lt;Units!$P67,0,IF(AND(Units!$K67=0,AD$1=Units!$O67),Units!$R67,IF(AND(AD$1&gt;=Units!$Q67,MOD(AD$1-Units!$Q67,12)=0),IF(AND(Units!$L67=1,AD$1=Units!$Q67),IF(Units!$J67&lt;&gt;"",Units!$J67,Mkt!AD68),Inputs!$B$15*Mkt!AD68+(1-Inputs!$B$15)*MIN(Mkt!AD68,AC68*(1+Inputs!$B$18))),AC68)))</f>
        <v>1570.75</v>
      </c>
      <c r="AE68" s="11" t="n">
        <f aca="false">IF(AE$1&lt;Units!$P67,0,IF(AND(Units!$K67=0,AE$1=Units!$O67),Units!$R67,IF(AND(AE$1&gt;=Units!$Q67,MOD(AE$1-Units!$Q67,12)=0),IF(AND(Units!$L67=1,AE$1=Units!$Q67),IF(Units!$J67&lt;&gt;"",Units!$J67,Mkt!AE68),Inputs!$B$15*Mkt!AE68+(1-Inputs!$B$15)*MIN(Mkt!AE68,AD68*(1+Inputs!$B$18))),AD68)))</f>
        <v>1570.75</v>
      </c>
      <c r="AF68" s="11" t="n">
        <f aca="false">IF(AF$1&lt;Units!$P67,0,IF(AND(Units!$K67=0,AF$1=Units!$O67),Units!$R67,IF(AND(AF$1&gt;=Units!$Q67,MOD(AF$1-Units!$Q67,12)=0),IF(AND(Units!$L67=1,AF$1=Units!$Q67),IF(Units!$J67&lt;&gt;"",Units!$J67,Mkt!AF68),Inputs!$B$15*Mkt!AF68+(1-Inputs!$B$15)*MIN(Mkt!AF68,AE68*(1+Inputs!$B$18))),AE68)))</f>
        <v>1570.75</v>
      </c>
      <c r="AG68" s="11" t="n">
        <f aca="false">IF(AG$1&lt;Units!$P67,0,IF(AND(Units!$K67=0,AG$1=Units!$O67),Units!$R67,IF(AND(AG$1&gt;=Units!$Q67,MOD(AG$1-Units!$Q67,12)=0),IF(AND(Units!$L67=1,AG$1=Units!$Q67),IF(Units!$J67&lt;&gt;"",Units!$J67,Mkt!AG68),Inputs!$B$15*Mkt!AG68+(1-Inputs!$B$15)*MIN(Mkt!AG68,AF68*(1+Inputs!$B$18))),AF68)))</f>
        <v>1617.8725</v>
      </c>
      <c r="AH68" s="11" t="n">
        <f aca="false">IF(AH$1&lt;Units!$P67,0,IF(AND(Units!$K67=0,AH$1=Units!$O67),Units!$R67,IF(AND(AH$1&gt;=Units!$Q67,MOD(AH$1-Units!$Q67,12)=0),IF(AND(Units!$L67=1,AH$1=Units!$Q67),IF(Units!$J67&lt;&gt;"",Units!$J67,Mkt!AH68),Inputs!$B$15*Mkt!AH68+(1-Inputs!$B$15)*MIN(Mkt!AH68,AG68*(1+Inputs!$B$18))),AG68)))</f>
        <v>1617.8725</v>
      </c>
      <c r="AI68" s="11" t="n">
        <f aca="false">IF(AI$1&lt;Units!$P67,0,IF(AND(Units!$K67=0,AI$1=Units!$O67),Units!$R67,IF(AND(AI$1&gt;=Units!$Q67,MOD(AI$1-Units!$Q67,12)=0),IF(AND(Units!$L67=1,AI$1=Units!$Q67),IF(Units!$J67&lt;&gt;"",Units!$J67,Mkt!AI68),Inputs!$B$15*Mkt!AI68+(1-Inputs!$B$15)*MIN(Mkt!AI68,AH68*(1+Inputs!$B$18))),AH68)))</f>
        <v>1617.8725</v>
      </c>
      <c r="AJ68" s="11" t="n">
        <f aca="false">IF(AJ$1&lt;Units!$P67,0,IF(AND(Units!$K67=0,AJ$1=Units!$O67),Units!$R67,IF(AND(AJ$1&gt;=Units!$Q67,MOD(AJ$1-Units!$Q67,12)=0),IF(AND(Units!$L67=1,AJ$1=Units!$Q67),IF(Units!$J67&lt;&gt;"",Units!$J67,Mkt!AJ68),Inputs!$B$15*Mkt!AJ68+(1-Inputs!$B$15)*MIN(Mkt!AJ68,AI68*(1+Inputs!$B$18))),AI68)))</f>
        <v>1617.8725</v>
      </c>
      <c r="AK68" s="11" t="n">
        <f aca="false">IF(AK$1&lt;Units!$P67,0,IF(AND(Units!$K67=0,AK$1=Units!$O67),Units!$R67,IF(AND(AK$1&gt;=Units!$Q67,MOD(AK$1-Units!$Q67,12)=0),IF(AND(Units!$L67=1,AK$1=Units!$Q67),IF(Units!$J67&lt;&gt;"",Units!$J67,Mkt!AK68),Inputs!$B$15*Mkt!AK68+(1-Inputs!$B$15)*MIN(Mkt!AK68,AJ68*(1+Inputs!$B$18))),AJ68)))</f>
        <v>1617.8725</v>
      </c>
      <c r="AL68" s="11" t="n">
        <f aca="false">IF(AL$1&lt;Units!$P67,0,IF(AND(Units!$K67=0,AL$1=Units!$O67),Units!$R67,IF(AND(AL$1&gt;=Units!$Q67,MOD(AL$1-Units!$Q67,12)=0),IF(AND(Units!$L67=1,AL$1=Units!$Q67),IF(Units!$J67&lt;&gt;"",Units!$J67,Mkt!AL68),Inputs!$B$15*Mkt!AL68+(1-Inputs!$B$15)*MIN(Mkt!AL68,AK68*(1+Inputs!$B$18))),AK68)))</f>
        <v>1617.8725</v>
      </c>
      <c r="AM68" s="11" t="n">
        <f aca="false">IF(AM$1&lt;Units!$P67,0,IF(AND(Units!$K67=0,AM$1=Units!$O67),Units!$R67,IF(AND(AM$1&gt;=Units!$Q67,MOD(AM$1-Units!$Q67,12)=0),IF(AND(Units!$L67=1,AM$1=Units!$Q67),IF(Units!$J67&lt;&gt;"",Units!$J67,Mkt!AM68),Inputs!$B$15*Mkt!AM68+(1-Inputs!$B$15)*MIN(Mkt!AM68,AL68*(1+Inputs!$B$18))),AL68)))</f>
        <v>1617.8725</v>
      </c>
      <c r="AN68" s="11" t="n">
        <f aca="false">IF(AN$1&lt;Units!$P67,0,IF(AND(Units!$K67=0,AN$1=Units!$O67),Units!$R67,IF(AND(AN$1&gt;=Units!$Q67,MOD(AN$1-Units!$Q67,12)=0),IF(AND(Units!$L67=1,AN$1=Units!$Q67),IF(Units!$J67&lt;&gt;"",Units!$J67,Mkt!AN68),Inputs!$B$15*Mkt!AN68+(1-Inputs!$B$15)*MIN(Mkt!AN68,AM68*(1+Inputs!$B$18))),AM68)))</f>
        <v>1617.8725</v>
      </c>
      <c r="AO68" s="11" t="n">
        <f aca="false">IF(AO$1&lt;Units!$P67,0,IF(AND(Units!$K67=0,AO$1=Units!$O67),Units!$R67,IF(AND(AO$1&gt;=Units!$Q67,MOD(AO$1-Units!$Q67,12)=0),IF(AND(Units!$L67=1,AO$1=Units!$Q67),IF(Units!$J67&lt;&gt;"",Units!$J67,Mkt!AO68),Inputs!$B$15*Mkt!AO68+(1-Inputs!$B$15)*MIN(Mkt!AO68,AN68*(1+Inputs!$B$18))),AN68)))</f>
        <v>1617.8725</v>
      </c>
      <c r="AP68" s="11" t="n">
        <f aca="false">IF(AP$1&lt;Units!$P67,0,IF(AND(Units!$K67=0,AP$1=Units!$O67),Units!$R67,IF(AND(AP$1&gt;=Units!$Q67,MOD(AP$1-Units!$Q67,12)=0),IF(AND(Units!$L67=1,AP$1=Units!$Q67),IF(Units!$J67&lt;&gt;"",Units!$J67,Mkt!AP68),Inputs!$B$15*Mkt!AP68+(1-Inputs!$B$15)*MIN(Mkt!AP68,AO68*(1+Inputs!$B$18))),AO68)))</f>
        <v>1617.8725</v>
      </c>
      <c r="AQ68" s="11" t="n">
        <f aca="false">IF(AQ$1&lt;Units!$P67,0,IF(AND(Units!$K67=0,AQ$1=Units!$O67),Units!$R67,IF(AND(AQ$1&gt;=Units!$Q67,MOD(AQ$1-Units!$Q67,12)=0),IF(AND(Units!$L67=1,AQ$1=Units!$Q67),IF(Units!$J67&lt;&gt;"",Units!$J67,Mkt!AQ68),Inputs!$B$15*Mkt!AQ68+(1-Inputs!$B$15)*MIN(Mkt!AQ68,AP68*(1+Inputs!$B$18))),AP68)))</f>
        <v>1617.8725</v>
      </c>
      <c r="AR68" s="11" t="n">
        <f aca="false">IF(AR$1&lt;Units!$P67,0,IF(AND(Units!$K67=0,AR$1=Units!$O67),Units!$R67,IF(AND(AR$1&gt;=Units!$Q67,MOD(AR$1-Units!$Q67,12)=0),IF(AND(Units!$L67=1,AR$1=Units!$Q67),IF(Units!$J67&lt;&gt;"",Units!$J67,Mkt!AR68),Inputs!$B$15*Mkt!AR68+(1-Inputs!$B$15)*MIN(Mkt!AR68,AQ68*(1+Inputs!$B$18))),AQ68)))</f>
        <v>1617.8725</v>
      </c>
      <c r="AS68" s="11" t="n">
        <f aca="false">IF(AS$1&lt;Units!$P67,0,IF(AND(Units!$K67=0,AS$1=Units!$O67),Units!$R67,IF(AND(AS$1&gt;=Units!$Q67,MOD(AS$1-Units!$Q67,12)=0),IF(AND(Units!$L67=1,AS$1=Units!$Q67),IF(Units!$J67&lt;&gt;"",Units!$J67,Mkt!AS68),Inputs!$B$15*Mkt!AS68+(1-Inputs!$B$15)*MIN(Mkt!AS68,AR68*(1+Inputs!$B$18))),AR68)))</f>
        <v>1666.408675</v>
      </c>
      <c r="AT68" s="11" t="n">
        <f aca="false">IF(AT$1&lt;Units!$P67,0,IF(AND(Units!$K67=0,AT$1=Units!$O67),Units!$R67,IF(AND(AT$1&gt;=Units!$Q67,MOD(AT$1-Units!$Q67,12)=0),IF(AND(Units!$L67=1,AT$1=Units!$Q67),IF(Units!$J67&lt;&gt;"",Units!$J67,Mkt!AT68),Inputs!$B$15*Mkt!AT68+(1-Inputs!$B$15)*MIN(Mkt!AT68,AS68*(1+Inputs!$B$18))),AS68)))</f>
        <v>1666.408675</v>
      </c>
      <c r="AU68" s="11" t="n">
        <f aca="false">IF(AU$1&lt;Units!$P67,0,IF(AND(Units!$K67=0,AU$1=Units!$O67),Units!$R67,IF(AND(AU$1&gt;=Units!$Q67,MOD(AU$1-Units!$Q67,12)=0),IF(AND(Units!$L67=1,AU$1=Units!$Q67),IF(Units!$J67&lt;&gt;"",Units!$J67,Mkt!AU68),Inputs!$B$15*Mkt!AU68+(1-Inputs!$B$15)*MIN(Mkt!AU68,AT68*(1+Inputs!$B$18))),AT68)))</f>
        <v>1666.408675</v>
      </c>
      <c r="AV68" s="11" t="n">
        <f aca="false">IF(AV$1&lt;Units!$P67,0,IF(AND(Units!$K67=0,AV$1=Units!$O67),Units!$R67,IF(AND(AV$1&gt;=Units!$Q67,MOD(AV$1-Units!$Q67,12)=0),IF(AND(Units!$L67=1,AV$1=Units!$Q67),IF(Units!$J67&lt;&gt;"",Units!$J67,Mkt!AV68),Inputs!$B$15*Mkt!AV68+(1-Inputs!$B$15)*MIN(Mkt!AV68,AU68*(1+Inputs!$B$18))),AU68)))</f>
        <v>1666.408675</v>
      </c>
      <c r="AW68" s="11" t="n">
        <f aca="false">IF(AW$1&lt;Units!$P67,0,IF(AND(Units!$K67=0,AW$1=Units!$O67),Units!$R67,IF(AND(AW$1&gt;=Units!$Q67,MOD(AW$1-Units!$Q67,12)=0),IF(AND(Units!$L67=1,AW$1=Units!$Q67),IF(Units!$J67&lt;&gt;"",Units!$J67,Mkt!AW68),Inputs!$B$15*Mkt!AW68+(1-Inputs!$B$15)*MIN(Mkt!AW68,AV68*(1+Inputs!$B$18))),AV68)))</f>
        <v>1666.408675</v>
      </c>
      <c r="AX68" s="11" t="n">
        <f aca="false">IF(AX$1&lt;Units!$P67,0,IF(AND(Units!$K67=0,AX$1=Units!$O67),Units!$R67,IF(AND(AX$1&gt;=Units!$Q67,MOD(AX$1-Units!$Q67,12)=0),IF(AND(Units!$L67=1,AX$1=Units!$Q67),IF(Units!$J67&lt;&gt;"",Units!$J67,Mkt!AX68),Inputs!$B$15*Mkt!AX68+(1-Inputs!$B$15)*MIN(Mkt!AX68,AW68*(1+Inputs!$B$18))),AW68)))</f>
        <v>1666.408675</v>
      </c>
      <c r="AY68" s="11" t="n">
        <f aca="false">IF(AY$1&lt;Units!$P67,0,IF(AND(Units!$K67=0,AY$1=Units!$O67),Units!$R67,IF(AND(AY$1&gt;=Units!$Q67,MOD(AY$1-Units!$Q67,12)=0),IF(AND(Units!$L67=1,AY$1=Units!$Q67),IF(Units!$J67&lt;&gt;"",Units!$J67,Mkt!AY68),Inputs!$B$15*Mkt!AY68+(1-Inputs!$B$15)*MIN(Mkt!AY68,AX68*(1+Inputs!$B$18))),AX68)))</f>
        <v>1666.408675</v>
      </c>
      <c r="AZ68" s="11" t="n">
        <f aca="false">IF(AZ$1&lt;Units!$P67,0,IF(AND(Units!$K67=0,AZ$1=Units!$O67),Units!$R67,IF(AND(AZ$1&gt;=Units!$Q67,MOD(AZ$1-Units!$Q67,12)=0),IF(AND(Units!$L67=1,AZ$1=Units!$Q67),IF(Units!$J67&lt;&gt;"",Units!$J67,Mkt!AZ68),Inputs!$B$15*Mkt!AZ68+(1-Inputs!$B$15)*MIN(Mkt!AZ68,AY68*(1+Inputs!$B$18))),AY68)))</f>
        <v>1666.408675</v>
      </c>
      <c r="BA68" s="11" t="n">
        <f aca="false">IF(BA$1&lt;Units!$P67,0,IF(AND(Units!$K67=0,BA$1=Units!$O67),Units!$R67,IF(AND(BA$1&gt;=Units!$Q67,MOD(BA$1-Units!$Q67,12)=0),IF(AND(Units!$L67=1,BA$1=Units!$Q67),IF(Units!$J67&lt;&gt;"",Units!$J67,Mkt!BA68),Inputs!$B$15*Mkt!BA68+(1-Inputs!$B$15)*MIN(Mkt!BA68,AZ68*(1+Inputs!$B$18))),AZ68)))</f>
        <v>1666.408675</v>
      </c>
      <c r="BB68" s="11" t="n">
        <f aca="false">IF(BB$1&lt;Units!$P67,0,IF(AND(Units!$K67=0,BB$1=Units!$O67),Units!$R67,IF(AND(BB$1&gt;=Units!$Q67,MOD(BB$1-Units!$Q67,12)=0),IF(AND(Units!$L67=1,BB$1=Units!$Q67),IF(Units!$J67&lt;&gt;"",Units!$J67,Mkt!BB68),Inputs!$B$15*Mkt!BB68+(1-Inputs!$B$15)*MIN(Mkt!BB68,BA68*(1+Inputs!$B$18))),BA68)))</f>
        <v>1666.408675</v>
      </c>
      <c r="BC68" s="11" t="n">
        <f aca="false">IF(BC$1&lt;Units!$P67,0,IF(AND(Units!$K67=0,BC$1=Units!$O67),Units!$R67,IF(AND(BC$1&gt;=Units!$Q67,MOD(BC$1-Units!$Q67,12)=0),IF(AND(Units!$L67=1,BC$1=Units!$Q67),IF(Units!$J67&lt;&gt;"",Units!$J67,Mkt!BC68),Inputs!$B$15*Mkt!BC68+(1-Inputs!$B$15)*MIN(Mkt!BC68,BB68*(1+Inputs!$B$18))),BB68)))</f>
        <v>1666.408675</v>
      </c>
      <c r="BD68" s="11" t="n">
        <f aca="false">IF(BD$1&lt;Units!$P67,0,IF(AND(Units!$K67=0,BD$1=Units!$O67),Units!$R67,IF(AND(BD$1&gt;=Units!$Q67,MOD(BD$1-Units!$Q67,12)=0),IF(AND(Units!$L67=1,BD$1=Units!$Q67),IF(Units!$J67&lt;&gt;"",Units!$J67,Mkt!BD68),Inputs!$B$15*Mkt!BD68+(1-Inputs!$B$15)*MIN(Mkt!BD68,BC68*(1+Inputs!$B$18))),BC68)))</f>
        <v>1666.408675</v>
      </c>
      <c r="BE68" s="11" t="n">
        <f aca="false">IF(BE$1&lt;Units!$P67,0,IF(AND(Units!$K67=0,BE$1=Units!$O67),Units!$R67,IF(AND(BE$1&gt;=Units!$Q67,MOD(BE$1-Units!$Q67,12)=0),IF(AND(Units!$L67=1,BE$1=Units!$Q67),IF(Units!$J67&lt;&gt;"",Units!$J67,Mkt!BE68),Inputs!$B$15*Mkt!BE68+(1-Inputs!$B$15)*MIN(Mkt!BE68,BD68*(1+Inputs!$B$18))),BD68)))</f>
        <v>1716.40093525</v>
      </c>
      <c r="BF68" s="11" t="n">
        <f aca="false">IF(BF$1&lt;Units!$P67,0,IF(AND(Units!$K67=0,BF$1=Units!$O67),Units!$R67,IF(AND(BF$1&gt;=Units!$Q67,MOD(BF$1-Units!$Q67,12)=0),IF(AND(Units!$L67=1,BF$1=Units!$Q67),IF(Units!$J67&lt;&gt;"",Units!$J67,Mkt!BF68),Inputs!$B$15*Mkt!BF68+(1-Inputs!$B$15)*MIN(Mkt!BF68,BE68*(1+Inputs!$B$18))),BE68)))</f>
        <v>1716.40093525</v>
      </c>
      <c r="BG68" s="11" t="n">
        <f aca="false">IF(BG$1&lt;Units!$P67,0,IF(AND(Units!$K67=0,BG$1=Units!$O67),Units!$R67,IF(AND(BG$1&gt;=Units!$Q67,MOD(BG$1-Units!$Q67,12)=0),IF(AND(Units!$L67=1,BG$1=Units!$Q67),IF(Units!$J67&lt;&gt;"",Units!$J67,Mkt!BG68),Inputs!$B$15*Mkt!BG68+(1-Inputs!$B$15)*MIN(Mkt!BG68,BF68*(1+Inputs!$B$18))),BF68)))</f>
        <v>1716.40093525</v>
      </c>
      <c r="BH68" s="11" t="n">
        <f aca="false">IF(BH$1&lt;Units!$P67,0,IF(AND(Units!$K67=0,BH$1=Units!$O67),Units!$R67,IF(AND(BH$1&gt;=Units!$Q67,MOD(BH$1-Units!$Q67,12)=0),IF(AND(Units!$L67=1,BH$1=Units!$Q67),IF(Units!$J67&lt;&gt;"",Units!$J67,Mkt!BH68),Inputs!$B$15*Mkt!BH68+(1-Inputs!$B$15)*MIN(Mkt!BH68,BG68*(1+Inputs!$B$18))),BG68)))</f>
        <v>1716.40093525</v>
      </c>
      <c r="BI68" s="11" t="n">
        <f aca="false">IF(BI$1&lt;Units!$P67,0,IF(AND(Units!$K67=0,BI$1=Units!$O67),Units!$R67,IF(AND(BI$1&gt;=Units!$Q67,MOD(BI$1-Units!$Q67,12)=0),IF(AND(Units!$L67=1,BI$1=Units!$Q67),IF(Units!$J67&lt;&gt;"",Units!$J67,Mkt!BI68),Inputs!$B$15*Mkt!BI68+(1-Inputs!$B$15)*MIN(Mkt!BI68,BH68*(1+Inputs!$B$18))),BH68)))</f>
        <v>1716.40093525</v>
      </c>
      <c r="BJ68" s="11" t="n">
        <f aca="false">IF(BJ$1&lt;Units!$P67,0,IF(AND(Units!$K67=0,BJ$1=Units!$O67),Units!$R67,IF(AND(BJ$1&gt;=Units!$Q67,MOD(BJ$1-Units!$Q67,12)=0),IF(AND(Units!$L67=1,BJ$1=Units!$Q67),IF(Units!$J67&lt;&gt;"",Units!$J67,Mkt!BJ68),Inputs!$B$15*Mkt!BJ68+(1-Inputs!$B$15)*MIN(Mkt!BJ68,BI68*(1+Inputs!$B$18))),BI68)))</f>
        <v>1716.40093525</v>
      </c>
      <c r="BK68" s="11" t="n">
        <f aca="false">IF(BK$1&lt;Units!$P67,0,IF(AND(Units!$K67=0,BK$1=Units!$O67),Units!$R67,IF(AND(BK$1&gt;=Units!$Q67,MOD(BK$1-Units!$Q67,12)=0),IF(AND(Units!$L67=1,BK$1=Units!$Q67),IF(Units!$J67&lt;&gt;"",Units!$J67,Mkt!BK68),Inputs!$B$15*Mkt!BK68+(1-Inputs!$B$15)*MIN(Mkt!BK68,BJ68*(1+Inputs!$B$18))),BJ68)))</f>
        <v>1716.40093525</v>
      </c>
      <c r="BL68" s="11" t="n">
        <f aca="false">IF(BL$1&lt;Units!$P67,0,IF(AND(Units!$K67=0,BL$1=Units!$O67),Units!$R67,IF(AND(BL$1&gt;=Units!$Q67,MOD(BL$1-Units!$Q67,12)=0),IF(AND(Units!$L67=1,BL$1=Units!$Q67),IF(Units!$J67&lt;&gt;"",Units!$J67,Mkt!BL68),Inputs!$B$15*Mkt!BL68+(1-Inputs!$B$15)*MIN(Mkt!BL68,BK68*(1+Inputs!$B$18))),BK68)))</f>
        <v>1716.40093525</v>
      </c>
      <c r="BM68" s="11" t="n">
        <f aca="false">IF(BM$1&lt;Units!$P67,0,IF(AND(Units!$K67=0,BM$1=Units!$O67),Units!$R67,IF(AND(BM$1&gt;=Units!$Q67,MOD(BM$1-Units!$Q67,12)=0),IF(AND(Units!$L67=1,BM$1=Units!$Q67),IF(Units!$J67&lt;&gt;"",Units!$J67,Mkt!BM68),Inputs!$B$15*Mkt!BM68+(1-Inputs!$B$15)*MIN(Mkt!BM68,BL68*(1+Inputs!$B$18))),BL68)))</f>
        <v>1716.40093525</v>
      </c>
      <c r="BN68" s="11" t="n">
        <f aca="false">IF(BN$1&lt;Units!$P67,0,IF(AND(Units!$K67=0,BN$1=Units!$O67),Units!$R67,IF(AND(BN$1&gt;=Units!$Q67,MOD(BN$1-Units!$Q67,12)=0),IF(AND(Units!$L67=1,BN$1=Units!$Q67),IF(Units!$J67&lt;&gt;"",Units!$J67,Mkt!BN68),Inputs!$B$15*Mkt!BN68+(1-Inputs!$B$15)*MIN(Mkt!BN68,BM68*(1+Inputs!$B$18))),BM68)))</f>
        <v>1716.40093525</v>
      </c>
      <c r="BO68" s="11" t="n">
        <f aca="false">IF(BO$1&lt;Units!$P67,0,IF(AND(Units!$K67=0,BO$1=Units!$O67),Units!$R67,IF(AND(BO$1&gt;=Units!$Q67,MOD(BO$1-Units!$Q67,12)=0),IF(AND(Units!$L67=1,BO$1=Units!$Q67),IF(Units!$J67&lt;&gt;"",Units!$J67,Mkt!BO68),Inputs!$B$15*Mkt!BO68+(1-Inputs!$B$15)*MIN(Mkt!BO68,BN68*(1+Inputs!$B$18))),BN68)))</f>
        <v>1716.40093525</v>
      </c>
      <c r="BP68" s="11" t="n">
        <f aca="false">IF(BP$1&lt;Units!$P67,0,IF(AND(Units!$K67=0,BP$1=Units!$O67),Units!$R67,IF(AND(BP$1&gt;=Units!$Q67,MOD(BP$1-Units!$Q67,12)=0),IF(AND(Units!$L67=1,BP$1=Units!$Q67),IF(Units!$J67&lt;&gt;"",Units!$J67,Mkt!BP68),Inputs!$B$15*Mkt!BP68+(1-Inputs!$B$15)*MIN(Mkt!BP68,BO68*(1+Inputs!$B$18))),BO68)))</f>
        <v>1716.40093525</v>
      </c>
      <c r="BQ68" s="11" t="n">
        <f aca="false">IF(BQ$1&lt;Units!$P67,0,IF(AND(Units!$K67=0,BQ$1=Units!$O67),Units!$R67,IF(AND(BQ$1&gt;=Units!$Q67,MOD(BQ$1-Units!$Q67,12)=0),IF(AND(Units!$L67=1,BQ$1=Units!$Q67),IF(Units!$J67&lt;&gt;"",Units!$J67,Mkt!BQ68),Inputs!$B$15*Mkt!BQ68+(1-Inputs!$B$15)*MIN(Mkt!BQ68,BP68*(1+Inputs!$B$18))),BP68)))</f>
        <v>1767.8929633075</v>
      </c>
      <c r="BR68" s="11" t="n">
        <f aca="false">IF(BR$1&lt;Units!$P67,0,IF(AND(Units!$K67=0,BR$1=Units!$O67),Units!$R67,IF(AND(BR$1&gt;=Units!$Q67,MOD(BR$1-Units!$Q67,12)=0),IF(AND(Units!$L67=1,BR$1=Units!$Q67),IF(Units!$J67&lt;&gt;"",Units!$J67,Mkt!BR68),Inputs!$B$15*Mkt!BR68+(1-Inputs!$B$15)*MIN(Mkt!BR68,BQ68*(1+Inputs!$B$18))),BQ68)))</f>
        <v>1767.8929633075</v>
      </c>
      <c r="BS68" s="11" t="n">
        <f aca="false">IF(BS$1&lt;Units!$P67,0,IF(AND(Units!$K67=0,BS$1=Units!$O67),Units!$R67,IF(AND(BS$1&gt;=Units!$Q67,MOD(BS$1-Units!$Q67,12)=0),IF(AND(Units!$L67=1,BS$1=Units!$Q67),IF(Units!$J67&lt;&gt;"",Units!$J67,Mkt!BS68),Inputs!$B$15*Mkt!BS68+(1-Inputs!$B$15)*MIN(Mkt!BS68,BR68*(1+Inputs!$B$18))),BR68)))</f>
        <v>1767.8929633075</v>
      </c>
      <c r="BT68" s="11" t="n">
        <f aca="false">IF(BT$1&lt;Units!$P67,0,IF(AND(Units!$K67=0,BT$1=Units!$O67),Units!$R67,IF(AND(BT$1&gt;=Units!$Q67,MOD(BT$1-Units!$Q67,12)=0),IF(AND(Units!$L67=1,BT$1=Units!$Q67),IF(Units!$J67&lt;&gt;"",Units!$J67,Mkt!BT68),Inputs!$B$15*Mkt!BT68+(1-Inputs!$B$15)*MIN(Mkt!BT68,BS68*(1+Inputs!$B$18))),BS68)))</f>
        <v>1767.8929633075</v>
      </c>
      <c r="BU68" s="11" t="n">
        <f aca="false">IF(BU$1&lt;Units!$P67,0,IF(AND(Units!$K67=0,BU$1=Units!$O67),Units!$R67,IF(AND(BU$1&gt;=Units!$Q67,MOD(BU$1-Units!$Q67,12)=0),IF(AND(Units!$L67=1,BU$1=Units!$Q67),IF(Units!$J67&lt;&gt;"",Units!$J67,Mkt!BU68),Inputs!$B$15*Mkt!BU68+(1-Inputs!$B$15)*MIN(Mkt!BU68,BT68*(1+Inputs!$B$18))),BT68)))</f>
        <v>1767.8929633075</v>
      </c>
      <c r="BV68" s="11" t="n">
        <f aca="false">IF(BV$1&lt;Units!$P67,0,IF(AND(Units!$K67=0,BV$1=Units!$O67),Units!$R67,IF(AND(BV$1&gt;=Units!$Q67,MOD(BV$1-Units!$Q67,12)=0),IF(AND(Units!$L67=1,BV$1=Units!$Q67),IF(Units!$J67&lt;&gt;"",Units!$J67,Mkt!BV68),Inputs!$B$15*Mkt!BV68+(1-Inputs!$B$15)*MIN(Mkt!BV68,BU68*(1+Inputs!$B$18))),BU68)))</f>
        <v>1767.8929633075</v>
      </c>
      <c r="BW68" s="11" t="n">
        <f aca="false">IF(BW$1&lt;Units!$P67,0,IF(AND(Units!$K67=0,BW$1=Units!$O67),Units!$R67,IF(AND(BW$1&gt;=Units!$Q67,MOD(BW$1-Units!$Q67,12)=0),IF(AND(Units!$L67=1,BW$1=Units!$Q67),IF(Units!$J67&lt;&gt;"",Units!$J67,Mkt!BW68),Inputs!$B$15*Mkt!BW68+(1-Inputs!$B$15)*MIN(Mkt!BW68,BV68*(1+Inputs!$B$18))),BV68)))</f>
        <v>1767.8929633075</v>
      </c>
      <c r="BX68" s="11" t="n">
        <f aca="false">IF(BX$1&lt;Units!$P67,0,IF(AND(Units!$K67=0,BX$1=Units!$O67),Units!$R67,IF(AND(BX$1&gt;=Units!$Q67,MOD(BX$1-Units!$Q67,12)=0),IF(AND(Units!$L67=1,BX$1=Units!$Q67),IF(Units!$J67&lt;&gt;"",Units!$J67,Mkt!BX68),Inputs!$B$15*Mkt!BX68+(1-Inputs!$B$15)*MIN(Mkt!BX68,BW68*(1+Inputs!$B$18))),BW68)))</f>
        <v>1767.8929633075</v>
      </c>
      <c r="BY68" s="11" t="n">
        <f aca="false">IF(BY$1&lt;Units!$P67,0,IF(AND(Units!$K67=0,BY$1=Units!$O67),Units!$R67,IF(AND(BY$1&gt;=Units!$Q67,MOD(BY$1-Units!$Q67,12)=0),IF(AND(Units!$L67=1,BY$1=Units!$Q67),IF(Units!$J67&lt;&gt;"",Units!$J67,Mkt!BY68),Inputs!$B$15*Mkt!BY68+(1-Inputs!$B$15)*MIN(Mkt!BY68,BX68*(1+Inputs!$B$18))),BX68)))</f>
        <v>1767.8929633075</v>
      </c>
      <c r="BZ68" s="11" t="n">
        <f aca="false">IF(BZ$1&lt;Units!$P67,0,IF(AND(Units!$K67=0,BZ$1=Units!$O67),Units!$R67,IF(AND(BZ$1&gt;=Units!$Q67,MOD(BZ$1-Units!$Q67,12)=0),IF(AND(Units!$L67=1,BZ$1=Units!$Q67),IF(Units!$J67&lt;&gt;"",Units!$J67,Mkt!BZ68),Inputs!$B$15*Mkt!BZ68+(1-Inputs!$B$15)*MIN(Mkt!BZ68,BY68*(1+Inputs!$B$18))),BY68)))</f>
        <v>1767.8929633075</v>
      </c>
      <c r="CA68" s="11" t="n">
        <f aca="false">IF(CA$1&lt;Units!$P67,0,IF(AND(Units!$K67=0,CA$1=Units!$O67),Units!$R67,IF(AND(CA$1&gt;=Units!$Q67,MOD(CA$1-Units!$Q67,12)=0),IF(AND(Units!$L67=1,CA$1=Units!$Q67),IF(Units!$J67&lt;&gt;"",Units!$J67,Mkt!CA68),Inputs!$B$15*Mkt!CA68+(1-Inputs!$B$15)*MIN(Mkt!CA68,BZ68*(1+Inputs!$B$18))),BZ68)))</f>
        <v>1767.8929633075</v>
      </c>
      <c r="CB68" s="11" t="n">
        <f aca="false">IF(CB$1&lt;Units!$P67,0,IF(AND(Units!$K67=0,CB$1=Units!$O67),Units!$R67,IF(AND(CB$1&gt;=Units!$Q67,MOD(CB$1-Units!$Q67,12)=0),IF(AND(Units!$L67=1,CB$1=Units!$Q67),IF(Units!$J67&lt;&gt;"",Units!$J67,Mkt!CB68),Inputs!$B$15*Mkt!CB68+(1-Inputs!$B$15)*MIN(Mkt!CB68,CA68*(1+Inputs!$B$18))),CA68)))</f>
        <v>1767.8929633075</v>
      </c>
      <c r="CC68" s="11" t="n">
        <f aca="false">IF(CC$1&lt;Units!$P67,0,IF(AND(Units!$K67=0,CC$1=Units!$O67),Units!$R67,IF(AND(CC$1&gt;=Units!$Q67,MOD(CC$1-Units!$Q67,12)=0),IF(AND(Units!$L67=1,CC$1=Units!$Q67),IF(Units!$J67&lt;&gt;"",Units!$J67,Mkt!CC68),Inputs!$B$15*Mkt!CC68+(1-Inputs!$B$15)*MIN(Mkt!CC68,CB68*(1+Inputs!$B$18))),CB68)))</f>
        <v>1820.92975220673</v>
      </c>
      <c r="CD68" s="11" t="n">
        <f aca="false">IF(CD$1&lt;Units!$P67,0,IF(AND(Units!$K67=0,CD$1=Units!$O67),Units!$R67,IF(AND(CD$1&gt;=Units!$Q67,MOD(CD$1-Units!$Q67,12)=0),IF(AND(Units!$L67=1,CD$1=Units!$Q67),IF(Units!$J67&lt;&gt;"",Units!$J67,Mkt!CD68),Inputs!$B$15*Mkt!CD68+(1-Inputs!$B$15)*MIN(Mkt!CD68,CC68*(1+Inputs!$B$18))),CC68)))</f>
        <v>1820.92975220673</v>
      </c>
      <c r="CE68" s="11" t="n">
        <f aca="false">IF(CE$1&lt;Units!$P67,0,IF(AND(Units!$K67=0,CE$1=Units!$O67),Units!$R67,IF(AND(CE$1&gt;=Units!$Q67,MOD(CE$1-Units!$Q67,12)=0),IF(AND(Units!$L67=1,CE$1=Units!$Q67),IF(Units!$J67&lt;&gt;"",Units!$J67,Mkt!CE68),Inputs!$B$15*Mkt!CE68+(1-Inputs!$B$15)*MIN(Mkt!CE68,CD68*(1+Inputs!$B$18))),CD68)))</f>
        <v>1820.92975220673</v>
      </c>
      <c r="CF68" s="11" t="n">
        <f aca="false">IF(CF$1&lt;Units!$P67,0,IF(AND(Units!$K67=0,CF$1=Units!$O67),Units!$R67,IF(AND(CF$1&gt;=Units!$Q67,MOD(CF$1-Units!$Q67,12)=0),IF(AND(Units!$L67=1,CF$1=Units!$Q67),IF(Units!$J67&lt;&gt;"",Units!$J67,Mkt!CF68),Inputs!$B$15*Mkt!CF68+(1-Inputs!$B$15)*MIN(Mkt!CF68,CE68*(1+Inputs!$B$18))),CE68)))</f>
        <v>1820.92975220673</v>
      </c>
      <c r="CG68" s="11" t="n">
        <f aca="false">IF(CG$1&lt;Units!$P67,0,IF(AND(Units!$K67=0,CG$1=Units!$O67),Units!$R67,IF(AND(CG$1&gt;=Units!$Q67,MOD(CG$1-Units!$Q67,12)=0),IF(AND(Units!$L67=1,CG$1=Units!$Q67),IF(Units!$J67&lt;&gt;"",Units!$J67,Mkt!CG68),Inputs!$B$15*Mkt!CG68+(1-Inputs!$B$15)*MIN(Mkt!CG68,CF68*(1+Inputs!$B$18))),CF68)))</f>
        <v>1820.92975220673</v>
      </c>
      <c r="CH68" s="11" t="n">
        <f aca="false">IF(CH$1&lt;Units!$P67,0,IF(AND(Units!$K67=0,CH$1=Units!$O67),Units!$R67,IF(AND(CH$1&gt;=Units!$Q67,MOD(CH$1-Units!$Q67,12)=0),IF(AND(Units!$L67=1,CH$1=Units!$Q67),IF(Units!$J67&lt;&gt;"",Units!$J67,Mkt!CH68),Inputs!$B$15*Mkt!CH68+(1-Inputs!$B$15)*MIN(Mkt!CH68,CG68*(1+Inputs!$B$18))),CG68)))</f>
        <v>1820.92975220673</v>
      </c>
      <c r="CI68" s="11" t="n">
        <f aca="false">IF(CI$1&lt;Units!$P67,0,IF(AND(Units!$K67=0,CI$1=Units!$O67),Units!$R67,IF(AND(CI$1&gt;=Units!$Q67,MOD(CI$1-Units!$Q67,12)=0),IF(AND(Units!$L67=1,CI$1=Units!$Q67),IF(Units!$J67&lt;&gt;"",Units!$J67,Mkt!CI68),Inputs!$B$15*Mkt!CI68+(1-Inputs!$B$15)*MIN(Mkt!CI68,CH68*(1+Inputs!$B$18))),CH68)))</f>
        <v>1820.92975220673</v>
      </c>
      <c r="CJ68" s="11" t="n">
        <f aca="false">IF(CJ$1&lt;Units!$P67,0,IF(AND(Units!$K67=0,CJ$1=Units!$O67),Units!$R67,IF(AND(CJ$1&gt;=Units!$Q67,MOD(CJ$1-Units!$Q67,12)=0),IF(AND(Units!$L67=1,CJ$1=Units!$Q67),IF(Units!$J67&lt;&gt;"",Units!$J67,Mkt!CJ68),Inputs!$B$15*Mkt!CJ68+(1-Inputs!$B$15)*MIN(Mkt!CJ68,CI68*(1+Inputs!$B$18))),CI68)))</f>
        <v>1820.92975220673</v>
      </c>
      <c r="CK68" s="11" t="n">
        <f aca="false">IF(CK$1&lt;Units!$P67,0,IF(AND(Units!$K67=0,CK$1=Units!$O67),Units!$R67,IF(AND(CK$1&gt;=Units!$Q67,MOD(CK$1-Units!$Q67,12)=0),IF(AND(Units!$L67=1,CK$1=Units!$Q67),IF(Units!$J67&lt;&gt;"",Units!$J67,Mkt!CK68),Inputs!$B$15*Mkt!CK68+(1-Inputs!$B$15)*MIN(Mkt!CK68,CJ68*(1+Inputs!$B$18))),CJ68)))</f>
        <v>1820.92975220673</v>
      </c>
      <c r="CL68" s="11" t="n">
        <f aca="false">IF(CL$1&lt;Units!$P67,0,IF(AND(Units!$K67=0,CL$1=Units!$O67),Units!$R67,IF(AND(CL$1&gt;=Units!$Q67,MOD(CL$1-Units!$Q67,12)=0),IF(AND(Units!$L67=1,CL$1=Units!$Q67),IF(Units!$J67&lt;&gt;"",Units!$J67,Mkt!CL68),Inputs!$B$15*Mkt!CL68+(1-Inputs!$B$15)*MIN(Mkt!CL68,CK68*(1+Inputs!$B$18))),CK68)))</f>
        <v>1820.92975220673</v>
      </c>
      <c r="CM68" s="11" t="n">
        <f aca="false">IF(CM$1&lt;Units!$P67,0,IF(AND(Units!$K67=0,CM$1=Units!$O67),Units!$R67,IF(AND(CM$1&gt;=Units!$Q67,MOD(CM$1-Units!$Q67,12)=0),IF(AND(Units!$L67=1,CM$1=Units!$Q67),IF(Units!$J67&lt;&gt;"",Units!$J67,Mkt!CM68),Inputs!$B$15*Mkt!CM68+(1-Inputs!$B$15)*MIN(Mkt!CM68,CL68*(1+Inputs!$B$18))),CL68)))</f>
        <v>1820.92975220673</v>
      </c>
      <c r="CN68" s="11" t="n">
        <f aca="false">IF(CN$1&lt;Units!$P67,0,IF(AND(Units!$K67=0,CN$1=Units!$O67),Units!$R67,IF(AND(CN$1&gt;=Units!$Q67,MOD(CN$1-Units!$Q67,12)=0),IF(AND(Units!$L67=1,CN$1=Units!$Q67),IF(Units!$J67&lt;&gt;"",Units!$J67,Mkt!CN68),Inputs!$B$15*Mkt!CN68+(1-Inputs!$B$15)*MIN(Mkt!CN68,CM68*(1+Inputs!$B$18))),CM68)))</f>
        <v>1820.92975220673</v>
      </c>
      <c r="CO68" s="11" t="n">
        <f aca="false">IF(CO$1&lt;Units!$P67,0,IF(AND(Units!$K67=0,CO$1=Units!$O67),Units!$R67,IF(AND(CO$1&gt;=Units!$Q67,MOD(CO$1-Units!$Q67,12)=0),IF(AND(Units!$L67=1,CO$1=Units!$Q67),IF(Units!$J67&lt;&gt;"",Units!$J67,Mkt!CO68),Inputs!$B$15*Mkt!CO68+(1-Inputs!$B$15)*MIN(Mkt!CO68,CN68*(1+Inputs!$B$18))),CN68)))</f>
        <v>1875.55764477293</v>
      </c>
      <c r="CP68" s="11" t="n">
        <f aca="false">IF(CP$1&lt;Units!$P67,0,IF(AND(Units!$K67=0,CP$1=Units!$O67),Units!$R67,IF(AND(CP$1&gt;=Units!$Q67,MOD(CP$1-Units!$Q67,12)=0),IF(AND(Units!$L67=1,CP$1=Units!$Q67),IF(Units!$J67&lt;&gt;"",Units!$J67,Mkt!CP68),Inputs!$B$15*Mkt!CP68+(1-Inputs!$B$15)*MIN(Mkt!CP68,CO68*(1+Inputs!$B$18))),CO68)))</f>
        <v>1875.55764477293</v>
      </c>
      <c r="CQ68" s="11" t="n">
        <f aca="false">IF(CQ$1&lt;Units!$P67,0,IF(AND(Units!$K67=0,CQ$1=Units!$O67),Units!$R67,IF(AND(CQ$1&gt;=Units!$Q67,MOD(CQ$1-Units!$Q67,12)=0),IF(AND(Units!$L67=1,CQ$1=Units!$Q67),IF(Units!$J67&lt;&gt;"",Units!$J67,Mkt!CQ68),Inputs!$B$15*Mkt!CQ68+(1-Inputs!$B$15)*MIN(Mkt!CQ68,CP68*(1+Inputs!$B$18))),CP68)))</f>
        <v>1875.55764477293</v>
      </c>
      <c r="CR68" s="11" t="n">
        <f aca="false">IF(CR$1&lt;Units!$P67,0,IF(AND(Units!$K67=0,CR$1=Units!$O67),Units!$R67,IF(AND(CR$1&gt;=Units!$Q67,MOD(CR$1-Units!$Q67,12)=0),IF(AND(Units!$L67=1,CR$1=Units!$Q67),IF(Units!$J67&lt;&gt;"",Units!$J67,Mkt!CR68),Inputs!$B$15*Mkt!CR68+(1-Inputs!$B$15)*MIN(Mkt!CR68,CQ68*(1+Inputs!$B$18))),CQ68)))</f>
        <v>1875.55764477293</v>
      </c>
      <c r="CS68" s="11" t="n">
        <f aca="false">IF(CS$1&lt;Units!$P67,0,IF(AND(Units!$K67=0,CS$1=Units!$O67),Units!$R67,IF(AND(CS$1&gt;=Units!$Q67,MOD(CS$1-Units!$Q67,12)=0),IF(AND(Units!$L67=1,CS$1=Units!$Q67),IF(Units!$J67&lt;&gt;"",Units!$J67,Mkt!CS68),Inputs!$B$15*Mkt!CS68+(1-Inputs!$B$15)*MIN(Mkt!CS68,CR68*(1+Inputs!$B$18))),CR68)))</f>
        <v>1875.55764477293</v>
      </c>
      <c r="CT68" s="11" t="n">
        <f aca="false">IF(CT$1&lt;Units!$P67,0,IF(AND(Units!$K67=0,CT$1=Units!$O67),Units!$R67,IF(AND(CT$1&gt;=Units!$Q67,MOD(CT$1-Units!$Q67,12)=0),IF(AND(Units!$L67=1,CT$1=Units!$Q67),IF(Units!$J67&lt;&gt;"",Units!$J67,Mkt!CT68),Inputs!$B$15*Mkt!CT68+(1-Inputs!$B$15)*MIN(Mkt!CT68,CS68*(1+Inputs!$B$18))),CS68)))</f>
        <v>1875.55764477293</v>
      </c>
      <c r="CU68" s="11" t="n">
        <f aca="false">IF(CU$1&lt;Units!$P67,0,IF(AND(Units!$K67=0,CU$1=Units!$O67),Units!$R67,IF(AND(CU$1&gt;=Units!$Q67,MOD(CU$1-Units!$Q67,12)=0),IF(AND(Units!$L67=1,CU$1=Units!$Q67),IF(Units!$J67&lt;&gt;"",Units!$J67,Mkt!CU68),Inputs!$B$15*Mkt!CU68+(1-Inputs!$B$15)*MIN(Mkt!CU68,CT68*(1+Inputs!$B$18))),CT68)))</f>
        <v>1875.55764477293</v>
      </c>
      <c r="CV68" s="11" t="n">
        <f aca="false">IF(CV$1&lt;Units!$P67,0,IF(AND(Units!$K67=0,CV$1=Units!$O67),Units!$R67,IF(AND(CV$1&gt;=Units!$Q67,MOD(CV$1-Units!$Q67,12)=0),IF(AND(Units!$L67=1,CV$1=Units!$Q67),IF(Units!$J67&lt;&gt;"",Units!$J67,Mkt!CV68),Inputs!$B$15*Mkt!CV68+(1-Inputs!$B$15)*MIN(Mkt!CV68,CU68*(1+Inputs!$B$18))),CU68)))</f>
        <v>1875.55764477293</v>
      </c>
      <c r="CW68" s="11" t="n">
        <f aca="false">IF(CW$1&lt;Units!$P67,0,IF(AND(Units!$K67=0,CW$1=Units!$O67),Units!$R67,IF(AND(CW$1&gt;=Units!$Q67,MOD(CW$1-Units!$Q67,12)=0),IF(AND(Units!$L67=1,CW$1=Units!$Q67),IF(Units!$J67&lt;&gt;"",Units!$J67,Mkt!CW68),Inputs!$B$15*Mkt!CW68+(1-Inputs!$B$15)*MIN(Mkt!CW68,CV68*(1+Inputs!$B$18))),CV68)))</f>
        <v>1875.55764477293</v>
      </c>
      <c r="CX68" s="11" t="n">
        <f aca="false">IF(CX$1&lt;Units!$P67,0,IF(AND(Units!$K67=0,CX$1=Units!$O67),Units!$R67,IF(AND(CX$1&gt;=Units!$Q67,MOD(CX$1-Units!$Q67,12)=0),IF(AND(Units!$L67=1,CX$1=Units!$Q67),IF(Units!$J67&lt;&gt;"",Units!$J67,Mkt!CX68),Inputs!$B$15*Mkt!CX68+(1-Inputs!$B$15)*MIN(Mkt!CX68,CW68*(1+Inputs!$B$18))),CW68)))</f>
        <v>1875.55764477293</v>
      </c>
      <c r="CY68" s="11" t="n">
        <f aca="false">IF(CY$1&lt;Units!$P67,0,IF(AND(Units!$K67=0,CY$1=Units!$O67),Units!$R67,IF(AND(CY$1&gt;=Units!$Q67,MOD(CY$1-Units!$Q67,12)=0),IF(AND(Units!$L67=1,CY$1=Units!$Q67),IF(Units!$J67&lt;&gt;"",Units!$J67,Mkt!CY68),Inputs!$B$15*Mkt!CY68+(1-Inputs!$B$15)*MIN(Mkt!CY68,CX68*(1+Inputs!$B$18))),CX68)))</f>
        <v>1875.55764477293</v>
      </c>
      <c r="CZ68" s="11" t="n">
        <f aca="false">IF(CZ$1&lt;Units!$P67,0,IF(AND(Units!$K67=0,CZ$1=Units!$O67),Units!$R67,IF(AND(CZ$1&gt;=Units!$Q67,MOD(CZ$1-Units!$Q67,12)=0),IF(AND(Units!$L67=1,CZ$1=Units!$Q67),IF(Units!$J67&lt;&gt;"",Units!$J67,Mkt!CZ68),Inputs!$B$15*Mkt!CZ68+(1-Inputs!$B$15)*MIN(Mkt!CZ68,CY68*(1+Inputs!$B$18))),CY68)))</f>
        <v>1875.55764477293</v>
      </c>
      <c r="DA68" s="11" t="n">
        <f aca="false">IF(DA$1&lt;Units!$P67,0,IF(AND(Units!$K67=0,DA$1=Units!$O67),Units!$R67,IF(AND(DA$1&gt;=Units!$Q67,MOD(DA$1-Units!$Q67,12)=0),IF(AND(Units!$L67=1,DA$1=Units!$Q67),IF(Units!$J67&lt;&gt;"",Units!$J67,Mkt!DA68),Inputs!$B$15*Mkt!DA68+(1-Inputs!$B$15)*MIN(Mkt!DA68,CZ68*(1+Inputs!$B$18))),CZ68)))</f>
        <v>1931.82437411612</v>
      </c>
      <c r="DB68" s="11" t="n">
        <f aca="false">IF(DB$1&lt;Units!$P67,0,IF(AND(Units!$K67=0,DB$1=Units!$O67),Units!$R67,IF(AND(DB$1&gt;=Units!$Q67,MOD(DB$1-Units!$Q67,12)=0),IF(AND(Units!$L67=1,DB$1=Units!$Q67),IF(Units!$J67&lt;&gt;"",Units!$J67,Mkt!DB68),Inputs!$B$15*Mkt!DB68+(1-Inputs!$B$15)*MIN(Mkt!DB68,DA68*(1+Inputs!$B$18))),DA68)))</f>
        <v>1931.82437411612</v>
      </c>
      <c r="DC68" s="11" t="n">
        <f aca="false">IF(DC$1&lt;Units!$P67,0,IF(AND(Units!$K67=0,DC$1=Units!$O67),Units!$R67,IF(AND(DC$1&gt;=Units!$Q67,MOD(DC$1-Units!$Q67,12)=0),IF(AND(Units!$L67=1,DC$1=Units!$Q67),IF(Units!$J67&lt;&gt;"",Units!$J67,Mkt!DC68),Inputs!$B$15*Mkt!DC68+(1-Inputs!$B$15)*MIN(Mkt!DC68,DB68*(1+Inputs!$B$18))),DB68)))</f>
        <v>1931.82437411612</v>
      </c>
      <c r="DD68" s="11" t="n">
        <f aca="false">IF(DD$1&lt;Units!$P67,0,IF(AND(Units!$K67=0,DD$1=Units!$O67),Units!$R67,IF(AND(DD$1&gt;=Units!$Q67,MOD(DD$1-Units!$Q67,12)=0),IF(AND(Units!$L67=1,DD$1=Units!$Q67),IF(Units!$J67&lt;&gt;"",Units!$J67,Mkt!DD68),Inputs!$B$15*Mkt!DD68+(1-Inputs!$B$15)*MIN(Mkt!DD68,DC68*(1+Inputs!$B$18))),DC68)))</f>
        <v>1931.82437411612</v>
      </c>
      <c r="DE68" s="11" t="n">
        <f aca="false">IF(DE$1&lt;Units!$P67,0,IF(AND(Units!$K67=0,DE$1=Units!$O67),Units!$R67,IF(AND(DE$1&gt;=Units!$Q67,MOD(DE$1-Units!$Q67,12)=0),IF(AND(Units!$L67=1,DE$1=Units!$Q67),IF(Units!$J67&lt;&gt;"",Units!$J67,Mkt!DE68),Inputs!$B$15*Mkt!DE68+(1-Inputs!$B$15)*MIN(Mkt!DE68,DD68*(1+Inputs!$B$18))),DD68)))</f>
        <v>1931.82437411612</v>
      </c>
      <c r="DF68" s="11" t="n">
        <f aca="false">IF(DF$1&lt;Units!$P67,0,IF(AND(Units!$K67=0,DF$1=Units!$O67),Units!$R67,IF(AND(DF$1&gt;=Units!$Q67,MOD(DF$1-Units!$Q67,12)=0),IF(AND(Units!$L67=1,DF$1=Units!$Q67),IF(Units!$J67&lt;&gt;"",Units!$J67,Mkt!DF68),Inputs!$B$15*Mkt!DF68+(1-Inputs!$B$15)*MIN(Mkt!DF68,DE68*(1+Inputs!$B$18))),DE68)))</f>
        <v>1931.82437411612</v>
      </c>
      <c r="DG68" s="11" t="n">
        <f aca="false">IF(DG$1&lt;Units!$P67,0,IF(AND(Units!$K67=0,DG$1=Units!$O67),Units!$R67,IF(AND(DG$1&gt;=Units!$Q67,MOD(DG$1-Units!$Q67,12)=0),IF(AND(Units!$L67=1,DG$1=Units!$Q67),IF(Units!$J67&lt;&gt;"",Units!$J67,Mkt!DG68),Inputs!$B$15*Mkt!DG68+(1-Inputs!$B$15)*MIN(Mkt!DG68,DF68*(1+Inputs!$B$18))),DF68)))</f>
        <v>1931.82437411612</v>
      </c>
      <c r="DH68" s="11" t="n">
        <f aca="false">IF(DH$1&lt;Units!$P67,0,IF(AND(Units!$K67=0,DH$1=Units!$O67),Units!$R67,IF(AND(DH$1&gt;=Units!$Q67,MOD(DH$1-Units!$Q67,12)=0),IF(AND(Units!$L67=1,DH$1=Units!$Q67),IF(Units!$J67&lt;&gt;"",Units!$J67,Mkt!DH68),Inputs!$B$15*Mkt!DH68+(1-Inputs!$B$15)*MIN(Mkt!DH68,DG68*(1+Inputs!$B$18))),DG68)))</f>
        <v>1931.82437411612</v>
      </c>
      <c r="DI68" s="11" t="n">
        <f aca="false">IF(DI$1&lt;Units!$P67,0,IF(AND(Units!$K67=0,DI$1=Units!$O67),Units!$R67,IF(AND(DI$1&gt;=Units!$Q67,MOD(DI$1-Units!$Q67,12)=0),IF(AND(Units!$L67=1,DI$1=Units!$Q67),IF(Units!$J67&lt;&gt;"",Units!$J67,Mkt!DI68),Inputs!$B$15*Mkt!DI68+(1-Inputs!$B$15)*MIN(Mkt!DI68,DH68*(1+Inputs!$B$18))),DH68)))</f>
        <v>1931.82437411612</v>
      </c>
      <c r="DJ68" s="11" t="n">
        <f aca="false">IF(DJ$1&lt;Units!$P67,0,IF(AND(Units!$K67=0,DJ$1=Units!$O67),Units!$R67,IF(AND(DJ$1&gt;=Units!$Q67,MOD(DJ$1-Units!$Q67,12)=0),IF(AND(Units!$L67=1,DJ$1=Units!$Q67),IF(Units!$J67&lt;&gt;"",Units!$J67,Mkt!DJ68),Inputs!$B$15*Mkt!DJ68+(1-Inputs!$B$15)*MIN(Mkt!DJ68,DI68*(1+Inputs!$B$18))),DI68)))</f>
        <v>1931.82437411612</v>
      </c>
      <c r="DK68" s="11" t="n">
        <f aca="false">IF(DK$1&lt;Units!$P67,0,IF(AND(Units!$K67=0,DK$1=Units!$O67),Units!$R67,IF(AND(DK$1&gt;=Units!$Q67,MOD(DK$1-Units!$Q67,12)=0),IF(AND(Units!$L67=1,DK$1=Units!$Q67),IF(Units!$J67&lt;&gt;"",Units!$J67,Mkt!DK68),Inputs!$B$15*Mkt!DK68+(1-Inputs!$B$15)*MIN(Mkt!DK68,DJ68*(1+Inputs!$B$18))),DJ68)))</f>
        <v>1931.82437411612</v>
      </c>
      <c r="DL68" s="11" t="n">
        <f aca="false">IF(DL$1&lt;Units!$P67,0,IF(AND(Units!$K67=0,DL$1=Units!$O67),Units!$R67,IF(AND(DL$1&gt;=Units!$Q67,MOD(DL$1-Units!$Q67,12)=0),IF(AND(Units!$L67=1,DL$1=Units!$Q67),IF(Units!$J67&lt;&gt;"",Units!$J67,Mkt!DL68),Inputs!$B$15*Mkt!DL68+(1-Inputs!$B$15)*MIN(Mkt!DL68,DK68*(1+Inputs!$B$18))),DK68)))</f>
        <v>1931.82437411612</v>
      </c>
      <c r="DM68" s="11" t="n">
        <f aca="false">IF(DM$1&lt;Units!$P67,0,IF(AND(Units!$K67=0,DM$1=Units!$O67),Units!$R67,IF(AND(DM$1&gt;=Units!$Q67,MOD(DM$1-Units!$Q67,12)=0),IF(AND(Units!$L67=1,DM$1=Units!$Q67),IF(Units!$J67&lt;&gt;"",Units!$J67,Mkt!DM68),Inputs!$B$15*Mkt!DM68+(1-Inputs!$B$15)*MIN(Mkt!DM68,DL68*(1+Inputs!$B$18))),DL68)))</f>
        <v>1989.7791053396</v>
      </c>
      <c r="DN68" s="11" t="n">
        <f aca="false">IF(DN$1&lt;Units!$P67,0,IF(AND(Units!$K67=0,DN$1=Units!$O67),Units!$R67,IF(AND(DN$1&gt;=Units!$Q67,MOD(DN$1-Units!$Q67,12)=0),IF(AND(Units!$L67=1,DN$1=Units!$Q67),IF(Units!$J67&lt;&gt;"",Units!$J67,Mkt!DN68),Inputs!$B$15*Mkt!DN68+(1-Inputs!$B$15)*MIN(Mkt!DN68,DM68*(1+Inputs!$B$18))),DM68)))</f>
        <v>1989.7791053396</v>
      </c>
      <c r="DO68" s="11" t="n">
        <f aca="false">IF(DO$1&lt;Units!$P67,0,IF(AND(Units!$K67=0,DO$1=Units!$O67),Units!$R67,IF(AND(DO$1&gt;=Units!$Q67,MOD(DO$1-Units!$Q67,12)=0),IF(AND(Units!$L67=1,DO$1=Units!$Q67),IF(Units!$J67&lt;&gt;"",Units!$J67,Mkt!DO68),Inputs!$B$15*Mkt!DO68+(1-Inputs!$B$15)*MIN(Mkt!DO68,DN68*(1+Inputs!$B$18))),DN68)))</f>
        <v>1989.7791053396</v>
      </c>
      <c r="DP68" s="11" t="n">
        <f aca="false">IF(DP$1&lt;Units!$P67,0,IF(AND(Units!$K67=0,DP$1=Units!$O67),Units!$R67,IF(AND(DP$1&gt;=Units!$Q67,MOD(DP$1-Units!$Q67,12)=0),IF(AND(Units!$L67=1,DP$1=Units!$Q67),IF(Units!$J67&lt;&gt;"",Units!$J67,Mkt!DP68),Inputs!$B$15*Mkt!DP68+(1-Inputs!$B$15)*MIN(Mkt!DP68,DO68*(1+Inputs!$B$18))),DO68)))</f>
        <v>1989.7791053396</v>
      </c>
      <c r="DQ68" s="11" t="n">
        <f aca="false">IF(DQ$1&lt;Units!$P67,0,IF(AND(Units!$K67=0,DQ$1=Units!$O67),Units!$R67,IF(AND(DQ$1&gt;=Units!$Q67,MOD(DQ$1-Units!$Q67,12)=0),IF(AND(Units!$L67=1,DQ$1=Units!$Q67),IF(Units!$J67&lt;&gt;"",Units!$J67,Mkt!DQ68),Inputs!$B$15*Mkt!DQ68+(1-Inputs!$B$15)*MIN(Mkt!DQ68,DP68*(1+Inputs!$B$18))),DP68)))</f>
        <v>1989.7791053396</v>
      </c>
      <c r="DR68" s="11" t="n">
        <f aca="false">IF(DR$1&lt;Units!$P67,0,IF(AND(Units!$K67=0,DR$1=Units!$O67),Units!$R67,IF(AND(DR$1&gt;=Units!$Q67,MOD(DR$1-Units!$Q67,12)=0),IF(AND(Units!$L67=1,DR$1=Units!$Q67),IF(Units!$J67&lt;&gt;"",Units!$J67,Mkt!DR68),Inputs!$B$15*Mkt!DR68+(1-Inputs!$B$15)*MIN(Mkt!DR68,DQ68*(1+Inputs!$B$18))),DQ68)))</f>
        <v>1989.7791053396</v>
      </c>
      <c r="DS68" s="11" t="n">
        <f aca="false">IF(DS$1&lt;Units!$P67,0,IF(AND(Units!$K67=0,DS$1=Units!$O67),Units!$R67,IF(AND(DS$1&gt;=Units!$Q67,MOD(DS$1-Units!$Q67,12)=0),IF(AND(Units!$L67=1,DS$1=Units!$Q67),IF(Units!$J67&lt;&gt;"",Units!$J67,Mkt!DS68),Inputs!$B$15*Mkt!DS68+(1-Inputs!$B$15)*MIN(Mkt!DS68,DR68*(1+Inputs!$B$18))),DR68)))</f>
        <v>1989.7791053396</v>
      </c>
      <c r="DT68" s="11" t="n">
        <f aca="false">IF(DT$1&lt;Units!$P67,0,IF(AND(Units!$K67=0,DT$1=Units!$O67),Units!$R67,IF(AND(DT$1&gt;=Units!$Q67,MOD(DT$1-Units!$Q67,12)=0),IF(AND(Units!$L67=1,DT$1=Units!$Q67),IF(Units!$J67&lt;&gt;"",Units!$J67,Mkt!DT68),Inputs!$B$15*Mkt!DT68+(1-Inputs!$B$15)*MIN(Mkt!DT68,DS68*(1+Inputs!$B$18))),DS68)))</f>
        <v>1989.7791053396</v>
      </c>
      <c r="DU68" s="11" t="n">
        <f aca="false">IF(DU$1&lt;Units!$P67,0,IF(AND(Units!$K67=0,DU$1=Units!$O67),Units!$R67,IF(AND(DU$1&gt;=Units!$Q67,MOD(DU$1-Units!$Q67,12)=0),IF(AND(Units!$L67=1,DU$1=Units!$Q67),IF(Units!$J67&lt;&gt;"",Units!$J67,Mkt!DU68),Inputs!$B$15*Mkt!DU68+(1-Inputs!$B$15)*MIN(Mkt!DU68,DT68*(1+Inputs!$B$18))),DT68)))</f>
        <v>1989.7791053396</v>
      </c>
      <c r="DV68" s="11" t="n">
        <f aca="false">IF(DV$1&lt;Units!$P67,0,IF(AND(Units!$K67=0,DV$1=Units!$O67),Units!$R67,IF(AND(DV$1&gt;=Units!$Q67,MOD(DV$1-Units!$Q67,12)=0),IF(AND(Units!$L67=1,DV$1=Units!$Q67),IF(Units!$J67&lt;&gt;"",Units!$J67,Mkt!DV68),Inputs!$B$15*Mkt!DV68+(1-Inputs!$B$15)*MIN(Mkt!DV68,DU68*(1+Inputs!$B$18))),DU68)))</f>
        <v>1989.7791053396</v>
      </c>
      <c r="DW68" s="11" t="n">
        <f aca="false">IF(DW$1&lt;Units!$P67,0,IF(AND(Units!$K67=0,DW$1=Units!$O67),Units!$R67,IF(AND(DW$1&gt;=Units!$Q67,MOD(DW$1-Units!$Q67,12)=0),IF(AND(Units!$L67=1,DW$1=Units!$Q67),IF(Units!$J67&lt;&gt;"",Units!$J67,Mkt!DW68),Inputs!$B$15*Mkt!DW68+(1-Inputs!$B$15)*MIN(Mkt!DW68,DV68*(1+Inputs!$B$18))),DV68)))</f>
        <v>1989.7791053396</v>
      </c>
      <c r="DX68" s="11" t="n">
        <f aca="false">IF(DX$1&lt;Units!$P67,0,IF(AND(Units!$K67=0,DX$1=Units!$O67),Units!$R67,IF(AND(DX$1&gt;=Units!$Q67,MOD(DX$1-Units!$Q67,12)=0),IF(AND(Units!$L67=1,DX$1=Units!$Q67),IF(Units!$J67&lt;&gt;"",Units!$J67,Mkt!DX68),Inputs!$B$15*Mkt!DX68+(1-Inputs!$B$15)*MIN(Mkt!DX68,DW68*(1+Inputs!$B$18))),DW68)))</f>
        <v>1989.7791053396</v>
      </c>
      <c r="DY68" s="11" t="n">
        <f aca="false">IF(DY$1&lt;Units!$P67,0,IF(AND(Units!$K67=0,DY$1=Units!$O67),Units!$R67,IF(AND(DY$1&gt;=Units!$Q67,MOD(DY$1-Units!$Q67,12)=0),IF(AND(Units!$L67=1,DY$1=Units!$Q67),IF(Units!$J67&lt;&gt;"",Units!$J67,Mkt!DY68),Inputs!$B$15*Mkt!DY68+(1-Inputs!$B$15)*MIN(Mkt!DY68,DX68*(1+Inputs!$B$18))),DX68)))</f>
        <v>2049.47247849979</v>
      </c>
      <c r="DZ68" s="11" t="n">
        <f aca="false">IF(DZ$1&lt;Units!$P67,0,IF(AND(Units!$K67=0,DZ$1=Units!$O67),Units!$R67,IF(AND(DZ$1&gt;=Units!$Q67,MOD(DZ$1-Units!$Q67,12)=0),IF(AND(Units!$L67=1,DZ$1=Units!$Q67),IF(Units!$J67&lt;&gt;"",Units!$J67,Mkt!DZ68),Inputs!$B$15*Mkt!DZ68+(1-Inputs!$B$15)*MIN(Mkt!DZ68,DY68*(1+Inputs!$B$18))),DY68)))</f>
        <v>2049.47247849979</v>
      </c>
      <c r="EA68" s="11" t="n">
        <f aca="false">IF(EA$1&lt;Units!$P67,0,IF(AND(Units!$K67=0,EA$1=Units!$O67),Units!$R67,IF(AND(EA$1&gt;=Units!$Q67,MOD(EA$1-Units!$Q67,12)=0),IF(AND(Units!$L67=1,EA$1=Units!$Q67),IF(Units!$J67&lt;&gt;"",Units!$J67,Mkt!EA68),Inputs!$B$15*Mkt!EA68+(1-Inputs!$B$15)*MIN(Mkt!EA68,DZ68*(1+Inputs!$B$18))),DZ68)))</f>
        <v>2049.47247849979</v>
      </c>
      <c r="EB68" s="11" t="n">
        <f aca="false">IF(EB$1&lt;Units!$P67,0,IF(AND(Units!$K67=0,EB$1=Units!$O67),Units!$R67,IF(AND(EB$1&gt;=Units!$Q67,MOD(EB$1-Units!$Q67,12)=0),IF(AND(Units!$L67=1,EB$1=Units!$Q67),IF(Units!$J67&lt;&gt;"",Units!$J67,Mkt!EB68),Inputs!$B$15*Mkt!EB68+(1-Inputs!$B$15)*MIN(Mkt!EB68,EA68*(1+Inputs!$B$18))),EA68)))</f>
        <v>2049.47247849979</v>
      </c>
      <c r="EC68" s="11" t="n">
        <f aca="false">IF(EC$1&lt;Units!$P67,0,IF(AND(Units!$K67=0,EC$1=Units!$O67),Units!$R67,IF(AND(EC$1&gt;=Units!$Q67,MOD(EC$1-Units!$Q67,12)=0),IF(AND(Units!$L67=1,EC$1=Units!$Q67),IF(Units!$J67&lt;&gt;"",Units!$J67,Mkt!EC68),Inputs!$B$15*Mkt!EC68+(1-Inputs!$B$15)*MIN(Mkt!EC68,EB68*(1+Inputs!$B$18))),EB68)))</f>
        <v>2049.47247849979</v>
      </c>
      <c r="ED68" s="11" t="n">
        <f aca="false">IF(ED$1&lt;Units!$P67,0,IF(AND(Units!$K67=0,ED$1=Units!$O67),Units!$R67,IF(AND(ED$1&gt;=Units!$Q67,MOD(ED$1-Units!$Q67,12)=0),IF(AND(Units!$L67=1,ED$1=Units!$Q67),IF(Units!$J67&lt;&gt;"",Units!$J67,Mkt!ED68),Inputs!$B$15*Mkt!ED68+(1-Inputs!$B$15)*MIN(Mkt!ED68,EC68*(1+Inputs!$B$18))),EC68)))</f>
        <v>2049.47247849979</v>
      </c>
    </row>
    <row r="69" customFormat="false" ht="15" hidden="false" customHeight="false" outlineLevel="0" collapsed="false">
      <c r="A69" s="22" t="n">
        <f aca="false">Units!A68</f>
        <v>307</v>
      </c>
      <c r="B69" s="24" t="n">
        <f aca="false">IF(Units!K68=1,Units!F68,0)</f>
        <v>1460</v>
      </c>
      <c r="C69" s="11" t="n">
        <f aca="false">IF(C$1&lt;Units!$P68,0,IF(AND(Units!$K68=0,C$1=Units!$O68),Units!$R68,IF(AND(C$1&gt;=Units!$Q68,MOD(C$1-Units!$Q68,12)=0),IF(AND(Units!$L68=1,C$1=Units!$Q68),IF(Units!$J68&lt;&gt;"",Units!$J68,Mkt!C69),Inputs!$B$15*Mkt!C69+(1-Inputs!$B$15)*MIN(Mkt!C69,B69*(1+Inputs!$B$18))),B69)))</f>
        <v>1525</v>
      </c>
      <c r="D69" s="11" t="n">
        <f aca="false">IF(D$1&lt;Units!$P68,0,IF(AND(Units!$K68=0,D$1=Units!$O68),Units!$R68,IF(AND(D$1&gt;=Units!$Q68,MOD(D$1-Units!$Q68,12)=0),IF(AND(Units!$L68=1,D$1=Units!$Q68),IF(Units!$J68&lt;&gt;"",Units!$J68,Mkt!D69),Inputs!$B$15*Mkt!D69+(1-Inputs!$B$15)*MIN(Mkt!D69,C69*(1+Inputs!$B$18))),C69)))</f>
        <v>1525</v>
      </c>
      <c r="E69" s="11" t="n">
        <f aca="false">IF(E$1&lt;Units!$P68,0,IF(AND(Units!$K68=0,E$1=Units!$O68),Units!$R68,IF(AND(E$1&gt;=Units!$Q68,MOD(E$1-Units!$Q68,12)=0),IF(AND(Units!$L68=1,E$1=Units!$Q68),IF(Units!$J68&lt;&gt;"",Units!$J68,Mkt!E69),Inputs!$B$15*Mkt!E69+(1-Inputs!$B$15)*MIN(Mkt!E69,D69*(1+Inputs!$B$18))),D69)))</f>
        <v>1525</v>
      </c>
      <c r="F69" s="11" t="n">
        <f aca="false">IF(F$1&lt;Units!$P68,0,IF(AND(Units!$K68=0,F$1=Units!$O68),Units!$R68,IF(AND(F$1&gt;=Units!$Q68,MOD(F$1-Units!$Q68,12)=0),IF(AND(Units!$L68=1,F$1=Units!$Q68),IF(Units!$J68&lt;&gt;"",Units!$J68,Mkt!F69),Inputs!$B$15*Mkt!F69+(1-Inputs!$B$15)*MIN(Mkt!F69,E69*(1+Inputs!$B$18))),E69)))</f>
        <v>1525</v>
      </c>
      <c r="G69" s="11" t="n">
        <f aca="false">IF(G$1&lt;Units!$P68,0,IF(AND(Units!$K68=0,G$1=Units!$O68),Units!$R68,IF(AND(G$1&gt;=Units!$Q68,MOD(G$1-Units!$Q68,12)=0),IF(AND(Units!$L68=1,G$1=Units!$Q68),IF(Units!$J68&lt;&gt;"",Units!$J68,Mkt!G69),Inputs!$B$15*Mkt!G69+(1-Inputs!$B$15)*MIN(Mkt!G69,F69*(1+Inputs!$B$18))),F69)))</f>
        <v>1525</v>
      </c>
      <c r="H69" s="11" t="n">
        <f aca="false">IF(H$1&lt;Units!$P68,0,IF(AND(Units!$K68=0,H$1=Units!$O68),Units!$R68,IF(AND(H$1&gt;=Units!$Q68,MOD(H$1-Units!$Q68,12)=0),IF(AND(Units!$L68=1,H$1=Units!$Q68),IF(Units!$J68&lt;&gt;"",Units!$J68,Mkt!H69),Inputs!$B$15*Mkt!H69+(1-Inputs!$B$15)*MIN(Mkt!H69,G69*(1+Inputs!$B$18))),G69)))</f>
        <v>1525</v>
      </c>
      <c r="I69" s="11" t="n">
        <f aca="false">IF(I$1&lt;Units!$P68,0,IF(AND(Units!$K68=0,I$1=Units!$O68),Units!$R68,IF(AND(I$1&gt;=Units!$Q68,MOD(I$1-Units!$Q68,12)=0),IF(AND(Units!$L68=1,I$1=Units!$Q68),IF(Units!$J68&lt;&gt;"",Units!$J68,Mkt!I69),Inputs!$B$15*Mkt!I69+(1-Inputs!$B$15)*MIN(Mkt!I69,H69*(1+Inputs!$B$18))),H69)))</f>
        <v>1525</v>
      </c>
      <c r="J69" s="11" t="n">
        <f aca="false">IF(J$1&lt;Units!$P68,0,IF(AND(Units!$K68=0,J$1=Units!$O68),Units!$R68,IF(AND(J$1&gt;=Units!$Q68,MOD(J$1-Units!$Q68,12)=0),IF(AND(Units!$L68=1,J$1=Units!$Q68),IF(Units!$J68&lt;&gt;"",Units!$J68,Mkt!J69),Inputs!$B$15*Mkt!J69+(1-Inputs!$B$15)*MIN(Mkt!J69,I69*(1+Inputs!$B$18))),I69)))</f>
        <v>1525</v>
      </c>
      <c r="K69" s="11" t="n">
        <f aca="false">IF(K$1&lt;Units!$P68,0,IF(AND(Units!$K68=0,K$1=Units!$O68),Units!$R68,IF(AND(K$1&gt;=Units!$Q68,MOD(K$1-Units!$Q68,12)=0),IF(AND(Units!$L68=1,K$1=Units!$Q68),IF(Units!$J68&lt;&gt;"",Units!$J68,Mkt!K69),Inputs!$B$15*Mkt!K69+(1-Inputs!$B$15)*MIN(Mkt!K69,J69*(1+Inputs!$B$18))),J69)))</f>
        <v>1525</v>
      </c>
      <c r="L69" s="11" t="n">
        <f aca="false">IF(L$1&lt;Units!$P68,0,IF(AND(Units!$K68=0,L$1=Units!$O68),Units!$R68,IF(AND(L$1&gt;=Units!$Q68,MOD(L$1-Units!$Q68,12)=0),IF(AND(Units!$L68=1,L$1=Units!$Q68),IF(Units!$J68&lt;&gt;"",Units!$J68,Mkt!L69),Inputs!$B$15*Mkt!L69+(1-Inputs!$B$15)*MIN(Mkt!L69,K69*(1+Inputs!$B$18))),K69)))</f>
        <v>1525</v>
      </c>
      <c r="M69" s="11" t="n">
        <f aca="false">IF(M$1&lt;Units!$P68,0,IF(AND(Units!$K68=0,M$1=Units!$O68),Units!$R68,IF(AND(M$1&gt;=Units!$Q68,MOD(M$1-Units!$Q68,12)=0),IF(AND(Units!$L68=1,M$1=Units!$Q68),IF(Units!$J68&lt;&gt;"",Units!$J68,Mkt!M69),Inputs!$B$15*Mkt!M69+(1-Inputs!$B$15)*MIN(Mkt!M69,L69*(1+Inputs!$B$18))),L69)))</f>
        <v>1525</v>
      </c>
      <c r="N69" s="11" t="n">
        <f aca="false">IF(N$1&lt;Units!$P68,0,IF(AND(Units!$K68=0,N$1=Units!$O68),Units!$R68,IF(AND(N$1&gt;=Units!$Q68,MOD(N$1-Units!$Q68,12)=0),IF(AND(Units!$L68=1,N$1=Units!$Q68),IF(Units!$J68&lt;&gt;"",Units!$J68,Mkt!N69),Inputs!$B$15*Mkt!N69+(1-Inputs!$B$15)*MIN(Mkt!N69,M69*(1+Inputs!$B$18))),M69)))</f>
        <v>1525</v>
      </c>
      <c r="O69" s="11" t="n">
        <f aca="false">IF(O$1&lt;Units!$P68,0,IF(AND(Units!$K68=0,O$1=Units!$O68),Units!$R68,IF(AND(O$1&gt;=Units!$Q68,MOD(O$1-Units!$Q68,12)=0),IF(AND(Units!$L68=1,O$1=Units!$Q68),IF(Units!$J68&lt;&gt;"",Units!$J68,Mkt!O69),Inputs!$B$15*Mkt!O69+(1-Inputs!$B$15)*MIN(Mkt!O69,N69*(1+Inputs!$B$18))),N69)))</f>
        <v>1570.75</v>
      </c>
      <c r="P69" s="11" t="n">
        <f aca="false">IF(P$1&lt;Units!$P68,0,IF(AND(Units!$K68=0,P$1=Units!$O68),Units!$R68,IF(AND(P$1&gt;=Units!$Q68,MOD(P$1-Units!$Q68,12)=0),IF(AND(Units!$L68=1,P$1=Units!$Q68),IF(Units!$J68&lt;&gt;"",Units!$J68,Mkt!P69),Inputs!$B$15*Mkt!P69+(1-Inputs!$B$15)*MIN(Mkt!P69,O69*(1+Inputs!$B$18))),O69)))</f>
        <v>1570.75</v>
      </c>
      <c r="Q69" s="11" t="n">
        <f aca="false">IF(Q$1&lt;Units!$P68,0,IF(AND(Units!$K68=0,Q$1=Units!$O68),Units!$R68,IF(AND(Q$1&gt;=Units!$Q68,MOD(Q$1-Units!$Q68,12)=0),IF(AND(Units!$L68=1,Q$1=Units!$Q68),IF(Units!$J68&lt;&gt;"",Units!$J68,Mkt!Q69),Inputs!$B$15*Mkt!Q69+(1-Inputs!$B$15)*MIN(Mkt!Q69,P69*(1+Inputs!$B$18))),P69)))</f>
        <v>1570.75</v>
      </c>
      <c r="R69" s="11" t="n">
        <f aca="false">IF(R$1&lt;Units!$P68,0,IF(AND(Units!$K68=0,R$1=Units!$O68),Units!$R68,IF(AND(R$1&gt;=Units!$Q68,MOD(R$1-Units!$Q68,12)=0),IF(AND(Units!$L68=1,R$1=Units!$Q68),IF(Units!$J68&lt;&gt;"",Units!$J68,Mkt!R69),Inputs!$B$15*Mkt!R69+(1-Inputs!$B$15)*MIN(Mkt!R69,Q69*(1+Inputs!$B$18))),Q69)))</f>
        <v>1570.75</v>
      </c>
      <c r="S69" s="11" t="n">
        <f aca="false">IF(S$1&lt;Units!$P68,0,IF(AND(Units!$K68=0,S$1=Units!$O68),Units!$R68,IF(AND(S$1&gt;=Units!$Q68,MOD(S$1-Units!$Q68,12)=0),IF(AND(Units!$L68=1,S$1=Units!$Q68),IF(Units!$J68&lt;&gt;"",Units!$J68,Mkt!S69),Inputs!$B$15*Mkt!S69+(1-Inputs!$B$15)*MIN(Mkt!S69,R69*(1+Inputs!$B$18))),R69)))</f>
        <v>1570.75</v>
      </c>
      <c r="T69" s="11" t="n">
        <f aca="false">IF(T$1&lt;Units!$P68,0,IF(AND(Units!$K68=0,T$1=Units!$O68),Units!$R68,IF(AND(T$1&gt;=Units!$Q68,MOD(T$1-Units!$Q68,12)=0),IF(AND(Units!$L68=1,T$1=Units!$Q68),IF(Units!$J68&lt;&gt;"",Units!$J68,Mkt!T69),Inputs!$B$15*Mkt!T69+(1-Inputs!$B$15)*MIN(Mkt!T69,S69*(1+Inputs!$B$18))),S69)))</f>
        <v>1570.75</v>
      </c>
      <c r="U69" s="11" t="n">
        <f aca="false">IF(U$1&lt;Units!$P68,0,IF(AND(Units!$K68=0,U$1=Units!$O68),Units!$R68,IF(AND(U$1&gt;=Units!$Q68,MOD(U$1-Units!$Q68,12)=0),IF(AND(Units!$L68=1,U$1=Units!$Q68),IF(Units!$J68&lt;&gt;"",Units!$J68,Mkt!U69),Inputs!$B$15*Mkt!U69+(1-Inputs!$B$15)*MIN(Mkt!U69,T69*(1+Inputs!$B$18))),T69)))</f>
        <v>1570.75</v>
      </c>
      <c r="V69" s="11" t="n">
        <f aca="false">IF(V$1&lt;Units!$P68,0,IF(AND(Units!$K68=0,V$1=Units!$O68),Units!$R68,IF(AND(V$1&gt;=Units!$Q68,MOD(V$1-Units!$Q68,12)=0),IF(AND(Units!$L68=1,V$1=Units!$Q68),IF(Units!$J68&lt;&gt;"",Units!$J68,Mkt!V69),Inputs!$B$15*Mkt!V69+(1-Inputs!$B$15)*MIN(Mkt!V69,U69*(1+Inputs!$B$18))),U69)))</f>
        <v>1570.75</v>
      </c>
      <c r="W69" s="11" t="n">
        <f aca="false">IF(W$1&lt;Units!$P68,0,IF(AND(Units!$K68=0,W$1=Units!$O68),Units!$R68,IF(AND(W$1&gt;=Units!$Q68,MOD(W$1-Units!$Q68,12)=0),IF(AND(Units!$L68=1,W$1=Units!$Q68),IF(Units!$J68&lt;&gt;"",Units!$J68,Mkt!W69),Inputs!$B$15*Mkt!W69+(1-Inputs!$B$15)*MIN(Mkt!W69,V69*(1+Inputs!$B$18))),V69)))</f>
        <v>1570.75</v>
      </c>
      <c r="X69" s="11" t="n">
        <f aca="false">IF(X$1&lt;Units!$P68,0,IF(AND(Units!$K68=0,X$1=Units!$O68),Units!$R68,IF(AND(X$1&gt;=Units!$Q68,MOD(X$1-Units!$Q68,12)=0),IF(AND(Units!$L68=1,X$1=Units!$Q68),IF(Units!$J68&lt;&gt;"",Units!$J68,Mkt!X69),Inputs!$B$15*Mkt!X69+(1-Inputs!$B$15)*MIN(Mkt!X69,W69*(1+Inputs!$B$18))),W69)))</f>
        <v>1570.75</v>
      </c>
      <c r="Y69" s="11" t="n">
        <f aca="false">IF(Y$1&lt;Units!$P68,0,IF(AND(Units!$K68=0,Y$1=Units!$O68),Units!$R68,IF(AND(Y$1&gt;=Units!$Q68,MOD(Y$1-Units!$Q68,12)=0),IF(AND(Units!$L68=1,Y$1=Units!$Q68),IF(Units!$J68&lt;&gt;"",Units!$J68,Mkt!Y69),Inputs!$B$15*Mkt!Y69+(1-Inputs!$B$15)*MIN(Mkt!Y69,X69*(1+Inputs!$B$18))),X69)))</f>
        <v>1570.75</v>
      </c>
      <c r="Z69" s="11" t="n">
        <f aca="false">IF(Z$1&lt;Units!$P68,0,IF(AND(Units!$K68=0,Z$1=Units!$O68),Units!$R68,IF(AND(Z$1&gt;=Units!$Q68,MOD(Z$1-Units!$Q68,12)=0),IF(AND(Units!$L68=1,Z$1=Units!$Q68),IF(Units!$J68&lt;&gt;"",Units!$J68,Mkt!Z69),Inputs!$B$15*Mkt!Z69+(1-Inputs!$B$15)*MIN(Mkt!Z69,Y69*(1+Inputs!$B$18))),Y69)))</f>
        <v>1570.75</v>
      </c>
      <c r="AA69" s="11" t="n">
        <f aca="false">IF(AA$1&lt;Units!$P68,0,IF(AND(Units!$K68=0,AA$1=Units!$O68),Units!$R68,IF(AND(AA$1&gt;=Units!$Q68,MOD(AA$1-Units!$Q68,12)=0),IF(AND(Units!$L68=1,AA$1=Units!$Q68),IF(Units!$J68&lt;&gt;"",Units!$J68,Mkt!AA69),Inputs!$B$15*Mkt!AA69+(1-Inputs!$B$15)*MIN(Mkt!AA69,Z69*(1+Inputs!$B$18))),Z69)))</f>
        <v>1617.8725</v>
      </c>
      <c r="AB69" s="11" t="n">
        <f aca="false">IF(AB$1&lt;Units!$P68,0,IF(AND(Units!$K68=0,AB$1=Units!$O68),Units!$R68,IF(AND(AB$1&gt;=Units!$Q68,MOD(AB$1-Units!$Q68,12)=0),IF(AND(Units!$L68=1,AB$1=Units!$Q68),IF(Units!$J68&lt;&gt;"",Units!$J68,Mkt!AB69),Inputs!$B$15*Mkt!AB69+(1-Inputs!$B$15)*MIN(Mkt!AB69,AA69*(1+Inputs!$B$18))),AA69)))</f>
        <v>1617.8725</v>
      </c>
      <c r="AC69" s="11" t="n">
        <f aca="false">IF(AC$1&lt;Units!$P68,0,IF(AND(Units!$K68=0,AC$1=Units!$O68),Units!$R68,IF(AND(AC$1&gt;=Units!$Q68,MOD(AC$1-Units!$Q68,12)=0),IF(AND(Units!$L68=1,AC$1=Units!$Q68),IF(Units!$J68&lt;&gt;"",Units!$J68,Mkt!AC69),Inputs!$B$15*Mkt!AC69+(1-Inputs!$B$15)*MIN(Mkt!AC69,AB69*(1+Inputs!$B$18))),AB69)))</f>
        <v>1617.8725</v>
      </c>
      <c r="AD69" s="11" t="n">
        <f aca="false">IF(AD$1&lt;Units!$P68,0,IF(AND(Units!$K68=0,AD$1=Units!$O68),Units!$R68,IF(AND(AD$1&gt;=Units!$Q68,MOD(AD$1-Units!$Q68,12)=0),IF(AND(Units!$L68=1,AD$1=Units!$Q68),IF(Units!$J68&lt;&gt;"",Units!$J68,Mkt!AD69),Inputs!$B$15*Mkt!AD69+(1-Inputs!$B$15)*MIN(Mkt!AD69,AC69*(1+Inputs!$B$18))),AC69)))</f>
        <v>1617.8725</v>
      </c>
      <c r="AE69" s="11" t="n">
        <f aca="false">IF(AE$1&lt;Units!$P68,0,IF(AND(Units!$K68=0,AE$1=Units!$O68),Units!$R68,IF(AND(AE$1&gt;=Units!$Q68,MOD(AE$1-Units!$Q68,12)=0),IF(AND(Units!$L68=1,AE$1=Units!$Q68),IF(Units!$J68&lt;&gt;"",Units!$J68,Mkt!AE69),Inputs!$B$15*Mkt!AE69+(1-Inputs!$B$15)*MIN(Mkt!AE69,AD69*(1+Inputs!$B$18))),AD69)))</f>
        <v>1617.8725</v>
      </c>
      <c r="AF69" s="11" t="n">
        <f aca="false">IF(AF$1&lt;Units!$P68,0,IF(AND(Units!$K68=0,AF$1=Units!$O68),Units!$R68,IF(AND(AF$1&gt;=Units!$Q68,MOD(AF$1-Units!$Q68,12)=0),IF(AND(Units!$L68=1,AF$1=Units!$Q68),IF(Units!$J68&lt;&gt;"",Units!$J68,Mkt!AF69),Inputs!$B$15*Mkt!AF69+(1-Inputs!$B$15)*MIN(Mkt!AF69,AE69*(1+Inputs!$B$18))),AE69)))</f>
        <v>1617.8725</v>
      </c>
      <c r="AG69" s="11" t="n">
        <f aca="false">IF(AG$1&lt;Units!$P68,0,IF(AND(Units!$K68=0,AG$1=Units!$O68),Units!$R68,IF(AND(AG$1&gt;=Units!$Q68,MOD(AG$1-Units!$Q68,12)=0),IF(AND(Units!$L68=1,AG$1=Units!$Q68),IF(Units!$J68&lt;&gt;"",Units!$J68,Mkt!AG69),Inputs!$B$15*Mkt!AG69+(1-Inputs!$B$15)*MIN(Mkt!AG69,AF69*(1+Inputs!$B$18))),AF69)))</f>
        <v>1617.8725</v>
      </c>
      <c r="AH69" s="11" t="n">
        <f aca="false">IF(AH$1&lt;Units!$P68,0,IF(AND(Units!$K68=0,AH$1=Units!$O68),Units!$R68,IF(AND(AH$1&gt;=Units!$Q68,MOD(AH$1-Units!$Q68,12)=0),IF(AND(Units!$L68=1,AH$1=Units!$Q68),IF(Units!$J68&lt;&gt;"",Units!$J68,Mkt!AH69),Inputs!$B$15*Mkt!AH69+(1-Inputs!$B$15)*MIN(Mkt!AH69,AG69*(1+Inputs!$B$18))),AG69)))</f>
        <v>1617.8725</v>
      </c>
      <c r="AI69" s="11" t="n">
        <f aca="false">IF(AI$1&lt;Units!$P68,0,IF(AND(Units!$K68=0,AI$1=Units!$O68),Units!$R68,IF(AND(AI$1&gt;=Units!$Q68,MOD(AI$1-Units!$Q68,12)=0),IF(AND(Units!$L68=1,AI$1=Units!$Q68),IF(Units!$J68&lt;&gt;"",Units!$J68,Mkt!AI69),Inputs!$B$15*Mkt!AI69+(1-Inputs!$B$15)*MIN(Mkt!AI69,AH69*(1+Inputs!$B$18))),AH69)))</f>
        <v>1617.8725</v>
      </c>
      <c r="AJ69" s="11" t="n">
        <f aca="false">IF(AJ$1&lt;Units!$P68,0,IF(AND(Units!$K68=0,AJ$1=Units!$O68),Units!$R68,IF(AND(AJ$1&gt;=Units!$Q68,MOD(AJ$1-Units!$Q68,12)=0),IF(AND(Units!$L68=1,AJ$1=Units!$Q68),IF(Units!$J68&lt;&gt;"",Units!$J68,Mkt!AJ69),Inputs!$B$15*Mkt!AJ69+(1-Inputs!$B$15)*MIN(Mkt!AJ69,AI69*(1+Inputs!$B$18))),AI69)))</f>
        <v>1617.8725</v>
      </c>
      <c r="AK69" s="11" t="n">
        <f aca="false">IF(AK$1&lt;Units!$P68,0,IF(AND(Units!$K68=0,AK$1=Units!$O68),Units!$R68,IF(AND(AK$1&gt;=Units!$Q68,MOD(AK$1-Units!$Q68,12)=0),IF(AND(Units!$L68=1,AK$1=Units!$Q68),IF(Units!$J68&lt;&gt;"",Units!$J68,Mkt!AK69),Inputs!$B$15*Mkt!AK69+(1-Inputs!$B$15)*MIN(Mkt!AK69,AJ69*(1+Inputs!$B$18))),AJ69)))</f>
        <v>1617.8725</v>
      </c>
      <c r="AL69" s="11" t="n">
        <f aca="false">IF(AL$1&lt;Units!$P68,0,IF(AND(Units!$K68=0,AL$1=Units!$O68),Units!$R68,IF(AND(AL$1&gt;=Units!$Q68,MOD(AL$1-Units!$Q68,12)=0),IF(AND(Units!$L68=1,AL$1=Units!$Q68),IF(Units!$J68&lt;&gt;"",Units!$J68,Mkt!AL69),Inputs!$B$15*Mkt!AL69+(1-Inputs!$B$15)*MIN(Mkt!AL69,AK69*(1+Inputs!$B$18))),AK69)))</f>
        <v>1617.8725</v>
      </c>
      <c r="AM69" s="11" t="n">
        <f aca="false">IF(AM$1&lt;Units!$P68,0,IF(AND(Units!$K68=0,AM$1=Units!$O68),Units!$R68,IF(AND(AM$1&gt;=Units!$Q68,MOD(AM$1-Units!$Q68,12)=0),IF(AND(Units!$L68=1,AM$1=Units!$Q68),IF(Units!$J68&lt;&gt;"",Units!$J68,Mkt!AM69),Inputs!$B$15*Mkt!AM69+(1-Inputs!$B$15)*MIN(Mkt!AM69,AL69*(1+Inputs!$B$18))),AL69)))</f>
        <v>1666.408675</v>
      </c>
      <c r="AN69" s="11" t="n">
        <f aca="false">IF(AN$1&lt;Units!$P68,0,IF(AND(Units!$K68=0,AN$1=Units!$O68),Units!$R68,IF(AND(AN$1&gt;=Units!$Q68,MOD(AN$1-Units!$Q68,12)=0),IF(AND(Units!$L68=1,AN$1=Units!$Q68),IF(Units!$J68&lt;&gt;"",Units!$J68,Mkt!AN69),Inputs!$B$15*Mkt!AN69+(1-Inputs!$B$15)*MIN(Mkt!AN69,AM69*(1+Inputs!$B$18))),AM69)))</f>
        <v>1666.408675</v>
      </c>
      <c r="AO69" s="11" t="n">
        <f aca="false">IF(AO$1&lt;Units!$P68,0,IF(AND(Units!$K68=0,AO$1=Units!$O68),Units!$R68,IF(AND(AO$1&gt;=Units!$Q68,MOD(AO$1-Units!$Q68,12)=0),IF(AND(Units!$L68=1,AO$1=Units!$Q68),IF(Units!$J68&lt;&gt;"",Units!$J68,Mkt!AO69),Inputs!$B$15*Mkt!AO69+(1-Inputs!$B$15)*MIN(Mkt!AO69,AN69*(1+Inputs!$B$18))),AN69)))</f>
        <v>1666.408675</v>
      </c>
      <c r="AP69" s="11" t="n">
        <f aca="false">IF(AP$1&lt;Units!$P68,0,IF(AND(Units!$K68=0,AP$1=Units!$O68),Units!$R68,IF(AND(AP$1&gt;=Units!$Q68,MOD(AP$1-Units!$Q68,12)=0),IF(AND(Units!$L68=1,AP$1=Units!$Q68),IF(Units!$J68&lt;&gt;"",Units!$J68,Mkt!AP69),Inputs!$B$15*Mkt!AP69+(1-Inputs!$B$15)*MIN(Mkt!AP69,AO69*(1+Inputs!$B$18))),AO69)))</f>
        <v>1666.408675</v>
      </c>
      <c r="AQ69" s="11" t="n">
        <f aca="false">IF(AQ$1&lt;Units!$P68,0,IF(AND(Units!$K68=0,AQ$1=Units!$O68),Units!$R68,IF(AND(AQ$1&gt;=Units!$Q68,MOD(AQ$1-Units!$Q68,12)=0),IF(AND(Units!$L68=1,AQ$1=Units!$Q68),IF(Units!$J68&lt;&gt;"",Units!$J68,Mkt!AQ69),Inputs!$B$15*Mkt!AQ69+(1-Inputs!$B$15)*MIN(Mkt!AQ69,AP69*(1+Inputs!$B$18))),AP69)))</f>
        <v>1666.408675</v>
      </c>
      <c r="AR69" s="11" t="n">
        <f aca="false">IF(AR$1&lt;Units!$P68,0,IF(AND(Units!$K68=0,AR$1=Units!$O68),Units!$R68,IF(AND(AR$1&gt;=Units!$Q68,MOD(AR$1-Units!$Q68,12)=0),IF(AND(Units!$L68=1,AR$1=Units!$Q68),IF(Units!$J68&lt;&gt;"",Units!$J68,Mkt!AR69),Inputs!$B$15*Mkt!AR69+(1-Inputs!$B$15)*MIN(Mkt!AR69,AQ69*(1+Inputs!$B$18))),AQ69)))</f>
        <v>1666.408675</v>
      </c>
      <c r="AS69" s="11" t="n">
        <f aca="false">IF(AS$1&lt;Units!$P68,0,IF(AND(Units!$K68=0,AS$1=Units!$O68),Units!$R68,IF(AND(AS$1&gt;=Units!$Q68,MOD(AS$1-Units!$Q68,12)=0),IF(AND(Units!$L68=1,AS$1=Units!$Q68),IF(Units!$J68&lt;&gt;"",Units!$J68,Mkt!AS69),Inputs!$B$15*Mkt!AS69+(1-Inputs!$B$15)*MIN(Mkt!AS69,AR69*(1+Inputs!$B$18))),AR69)))</f>
        <v>1666.408675</v>
      </c>
      <c r="AT69" s="11" t="n">
        <f aca="false">IF(AT$1&lt;Units!$P68,0,IF(AND(Units!$K68=0,AT$1=Units!$O68),Units!$R68,IF(AND(AT$1&gt;=Units!$Q68,MOD(AT$1-Units!$Q68,12)=0),IF(AND(Units!$L68=1,AT$1=Units!$Q68),IF(Units!$J68&lt;&gt;"",Units!$J68,Mkt!AT69),Inputs!$B$15*Mkt!AT69+(1-Inputs!$B$15)*MIN(Mkt!AT69,AS69*(1+Inputs!$B$18))),AS69)))</f>
        <v>1666.408675</v>
      </c>
      <c r="AU69" s="11" t="n">
        <f aca="false">IF(AU$1&lt;Units!$P68,0,IF(AND(Units!$K68=0,AU$1=Units!$O68),Units!$R68,IF(AND(AU$1&gt;=Units!$Q68,MOD(AU$1-Units!$Q68,12)=0),IF(AND(Units!$L68=1,AU$1=Units!$Q68),IF(Units!$J68&lt;&gt;"",Units!$J68,Mkt!AU69),Inputs!$B$15*Mkt!AU69+(1-Inputs!$B$15)*MIN(Mkt!AU69,AT69*(1+Inputs!$B$18))),AT69)))</f>
        <v>1666.408675</v>
      </c>
      <c r="AV69" s="11" t="n">
        <f aca="false">IF(AV$1&lt;Units!$P68,0,IF(AND(Units!$K68=0,AV$1=Units!$O68),Units!$R68,IF(AND(AV$1&gt;=Units!$Q68,MOD(AV$1-Units!$Q68,12)=0),IF(AND(Units!$L68=1,AV$1=Units!$Q68),IF(Units!$J68&lt;&gt;"",Units!$J68,Mkt!AV69),Inputs!$B$15*Mkt!AV69+(1-Inputs!$B$15)*MIN(Mkt!AV69,AU69*(1+Inputs!$B$18))),AU69)))</f>
        <v>1666.408675</v>
      </c>
      <c r="AW69" s="11" t="n">
        <f aca="false">IF(AW$1&lt;Units!$P68,0,IF(AND(Units!$K68=0,AW$1=Units!$O68),Units!$R68,IF(AND(AW$1&gt;=Units!$Q68,MOD(AW$1-Units!$Q68,12)=0),IF(AND(Units!$L68=1,AW$1=Units!$Q68),IF(Units!$J68&lt;&gt;"",Units!$J68,Mkt!AW69),Inputs!$B$15*Mkt!AW69+(1-Inputs!$B$15)*MIN(Mkt!AW69,AV69*(1+Inputs!$B$18))),AV69)))</f>
        <v>1666.408675</v>
      </c>
      <c r="AX69" s="11" t="n">
        <f aca="false">IF(AX$1&lt;Units!$P68,0,IF(AND(Units!$K68=0,AX$1=Units!$O68),Units!$R68,IF(AND(AX$1&gt;=Units!$Q68,MOD(AX$1-Units!$Q68,12)=0),IF(AND(Units!$L68=1,AX$1=Units!$Q68),IF(Units!$J68&lt;&gt;"",Units!$J68,Mkt!AX69),Inputs!$B$15*Mkt!AX69+(1-Inputs!$B$15)*MIN(Mkt!AX69,AW69*(1+Inputs!$B$18))),AW69)))</f>
        <v>1666.408675</v>
      </c>
      <c r="AY69" s="11" t="n">
        <f aca="false">IF(AY$1&lt;Units!$P68,0,IF(AND(Units!$K68=0,AY$1=Units!$O68),Units!$R68,IF(AND(AY$1&gt;=Units!$Q68,MOD(AY$1-Units!$Q68,12)=0),IF(AND(Units!$L68=1,AY$1=Units!$Q68),IF(Units!$J68&lt;&gt;"",Units!$J68,Mkt!AY69),Inputs!$B$15*Mkt!AY69+(1-Inputs!$B$15)*MIN(Mkt!AY69,AX69*(1+Inputs!$B$18))),AX69)))</f>
        <v>1716.40093525</v>
      </c>
      <c r="AZ69" s="11" t="n">
        <f aca="false">IF(AZ$1&lt;Units!$P68,0,IF(AND(Units!$K68=0,AZ$1=Units!$O68),Units!$R68,IF(AND(AZ$1&gt;=Units!$Q68,MOD(AZ$1-Units!$Q68,12)=0),IF(AND(Units!$L68=1,AZ$1=Units!$Q68),IF(Units!$J68&lt;&gt;"",Units!$J68,Mkt!AZ69),Inputs!$B$15*Mkt!AZ69+(1-Inputs!$B$15)*MIN(Mkt!AZ69,AY69*(1+Inputs!$B$18))),AY69)))</f>
        <v>1716.40093525</v>
      </c>
      <c r="BA69" s="11" t="n">
        <f aca="false">IF(BA$1&lt;Units!$P68,0,IF(AND(Units!$K68=0,BA$1=Units!$O68),Units!$R68,IF(AND(BA$1&gt;=Units!$Q68,MOD(BA$1-Units!$Q68,12)=0),IF(AND(Units!$L68=1,BA$1=Units!$Q68),IF(Units!$J68&lt;&gt;"",Units!$J68,Mkt!BA69),Inputs!$B$15*Mkt!BA69+(1-Inputs!$B$15)*MIN(Mkt!BA69,AZ69*(1+Inputs!$B$18))),AZ69)))</f>
        <v>1716.40093525</v>
      </c>
      <c r="BB69" s="11" t="n">
        <f aca="false">IF(BB$1&lt;Units!$P68,0,IF(AND(Units!$K68=0,BB$1=Units!$O68),Units!$R68,IF(AND(BB$1&gt;=Units!$Q68,MOD(BB$1-Units!$Q68,12)=0),IF(AND(Units!$L68=1,BB$1=Units!$Q68),IF(Units!$J68&lt;&gt;"",Units!$J68,Mkt!BB69),Inputs!$B$15*Mkt!BB69+(1-Inputs!$B$15)*MIN(Mkt!BB69,BA69*(1+Inputs!$B$18))),BA69)))</f>
        <v>1716.40093525</v>
      </c>
      <c r="BC69" s="11" t="n">
        <f aca="false">IF(BC$1&lt;Units!$P68,0,IF(AND(Units!$K68=0,BC$1=Units!$O68),Units!$R68,IF(AND(BC$1&gt;=Units!$Q68,MOD(BC$1-Units!$Q68,12)=0),IF(AND(Units!$L68=1,BC$1=Units!$Q68),IF(Units!$J68&lt;&gt;"",Units!$J68,Mkt!BC69),Inputs!$B$15*Mkt!BC69+(1-Inputs!$B$15)*MIN(Mkt!BC69,BB69*(1+Inputs!$B$18))),BB69)))</f>
        <v>1716.40093525</v>
      </c>
      <c r="BD69" s="11" t="n">
        <f aca="false">IF(BD$1&lt;Units!$P68,0,IF(AND(Units!$K68=0,BD$1=Units!$O68),Units!$R68,IF(AND(BD$1&gt;=Units!$Q68,MOD(BD$1-Units!$Q68,12)=0),IF(AND(Units!$L68=1,BD$1=Units!$Q68),IF(Units!$J68&lt;&gt;"",Units!$J68,Mkt!BD69),Inputs!$B$15*Mkt!BD69+(1-Inputs!$B$15)*MIN(Mkt!BD69,BC69*(1+Inputs!$B$18))),BC69)))</f>
        <v>1716.40093525</v>
      </c>
      <c r="BE69" s="11" t="n">
        <f aca="false">IF(BE$1&lt;Units!$P68,0,IF(AND(Units!$K68=0,BE$1=Units!$O68),Units!$R68,IF(AND(BE$1&gt;=Units!$Q68,MOD(BE$1-Units!$Q68,12)=0),IF(AND(Units!$L68=1,BE$1=Units!$Q68),IF(Units!$J68&lt;&gt;"",Units!$J68,Mkt!BE69),Inputs!$B$15*Mkt!BE69+(1-Inputs!$B$15)*MIN(Mkt!BE69,BD69*(1+Inputs!$B$18))),BD69)))</f>
        <v>1716.40093525</v>
      </c>
      <c r="BF69" s="11" t="n">
        <f aca="false">IF(BF$1&lt;Units!$P68,0,IF(AND(Units!$K68=0,BF$1=Units!$O68),Units!$R68,IF(AND(BF$1&gt;=Units!$Q68,MOD(BF$1-Units!$Q68,12)=0),IF(AND(Units!$L68=1,BF$1=Units!$Q68),IF(Units!$J68&lt;&gt;"",Units!$J68,Mkt!BF69),Inputs!$B$15*Mkt!BF69+(1-Inputs!$B$15)*MIN(Mkt!BF69,BE69*(1+Inputs!$B$18))),BE69)))</f>
        <v>1716.40093525</v>
      </c>
      <c r="BG69" s="11" t="n">
        <f aca="false">IF(BG$1&lt;Units!$P68,0,IF(AND(Units!$K68=0,BG$1=Units!$O68),Units!$R68,IF(AND(BG$1&gt;=Units!$Q68,MOD(BG$1-Units!$Q68,12)=0),IF(AND(Units!$L68=1,BG$1=Units!$Q68),IF(Units!$J68&lt;&gt;"",Units!$J68,Mkt!BG69),Inputs!$B$15*Mkt!BG69+(1-Inputs!$B$15)*MIN(Mkt!BG69,BF69*(1+Inputs!$B$18))),BF69)))</f>
        <v>1716.40093525</v>
      </c>
      <c r="BH69" s="11" t="n">
        <f aca="false">IF(BH$1&lt;Units!$P68,0,IF(AND(Units!$K68=0,BH$1=Units!$O68),Units!$R68,IF(AND(BH$1&gt;=Units!$Q68,MOD(BH$1-Units!$Q68,12)=0),IF(AND(Units!$L68=1,BH$1=Units!$Q68),IF(Units!$J68&lt;&gt;"",Units!$J68,Mkt!BH69),Inputs!$B$15*Mkt!BH69+(1-Inputs!$B$15)*MIN(Mkt!BH69,BG69*(1+Inputs!$B$18))),BG69)))</f>
        <v>1716.40093525</v>
      </c>
      <c r="BI69" s="11" t="n">
        <f aca="false">IF(BI$1&lt;Units!$P68,0,IF(AND(Units!$K68=0,BI$1=Units!$O68),Units!$R68,IF(AND(BI$1&gt;=Units!$Q68,MOD(BI$1-Units!$Q68,12)=0),IF(AND(Units!$L68=1,BI$1=Units!$Q68),IF(Units!$J68&lt;&gt;"",Units!$J68,Mkt!BI69),Inputs!$B$15*Mkt!BI69+(1-Inputs!$B$15)*MIN(Mkt!BI69,BH69*(1+Inputs!$B$18))),BH69)))</f>
        <v>1716.40093525</v>
      </c>
      <c r="BJ69" s="11" t="n">
        <f aca="false">IF(BJ$1&lt;Units!$P68,0,IF(AND(Units!$K68=0,BJ$1=Units!$O68),Units!$R68,IF(AND(BJ$1&gt;=Units!$Q68,MOD(BJ$1-Units!$Q68,12)=0),IF(AND(Units!$L68=1,BJ$1=Units!$Q68),IF(Units!$J68&lt;&gt;"",Units!$J68,Mkt!BJ69),Inputs!$B$15*Mkt!BJ69+(1-Inputs!$B$15)*MIN(Mkt!BJ69,BI69*(1+Inputs!$B$18))),BI69)))</f>
        <v>1716.40093525</v>
      </c>
      <c r="BK69" s="11" t="n">
        <f aca="false">IF(BK$1&lt;Units!$P68,0,IF(AND(Units!$K68=0,BK$1=Units!$O68),Units!$R68,IF(AND(BK$1&gt;=Units!$Q68,MOD(BK$1-Units!$Q68,12)=0),IF(AND(Units!$L68=1,BK$1=Units!$Q68),IF(Units!$J68&lt;&gt;"",Units!$J68,Mkt!BK69),Inputs!$B$15*Mkt!BK69+(1-Inputs!$B$15)*MIN(Mkt!BK69,BJ69*(1+Inputs!$B$18))),BJ69)))</f>
        <v>1767.8929633075</v>
      </c>
      <c r="BL69" s="11" t="n">
        <f aca="false">IF(BL$1&lt;Units!$P68,0,IF(AND(Units!$K68=0,BL$1=Units!$O68),Units!$R68,IF(AND(BL$1&gt;=Units!$Q68,MOD(BL$1-Units!$Q68,12)=0),IF(AND(Units!$L68=1,BL$1=Units!$Q68),IF(Units!$J68&lt;&gt;"",Units!$J68,Mkt!BL69),Inputs!$B$15*Mkt!BL69+(1-Inputs!$B$15)*MIN(Mkt!BL69,BK69*(1+Inputs!$B$18))),BK69)))</f>
        <v>1767.8929633075</v>
      </c>
      <c r="BM69" s="11" t="n">
        <f aca="false">IF(BM$1&lt;Units!$P68,0,IF(AND(Units!$K68=0,BM$1=Units!$O68),Units!$R68,IF(AND(BM$1&gt;=Units!$Q68,MOD(BM$1-Units!$Q68,12)=0),IF(AND(Units!$L68=1,BM$1=Units!$Q68),IF(Units!$J68&lt;&gt;"",Units!$J68,Mkt!BM69),Inputs!$B$15*Mkt!BM69+(1-Inputs!$B$15)*MIN(Mkt!BM69,BL69*(1+Inputs!$B$18))),BL69)))</f>
        <v>1767.8929633075</v>
      </c>
      <c r="BN69" s="11" t="n">
        <f aca="false">IF(BN$1&lt;Units!$P68,0,IF(AND(Units!$K68=0,BN$1=Units!$O68),Units!$R68,IF(AND(BN$1&gt;=Units!$Q68,MOD(BN$1-Units!$Q68,12)=0),IF(AND(Units!$L68=1,BN$1=Units!$Q68),IF(Units!$J68&lt;&gt;"",Units!$J68,Mkt!BN69),Inputs!$B$15*Mkt!BN69+(1-Inputs!$B$15)*MIN(Mkt!BN69,BM69*(1+Inputs!$B$18))),BM69)))</f>
        <v>1767.8929633075</v>
      </c>
      <c r="BO69" s="11" t="n">
        <f aca="false">IF(BO$1&lt;Units!$P68,0,IF(AND(Units!$K68=0,BO$1=Units!$O68),Units!$R68,IF(AND(BO$1&gt;=Units!$Q68,MOD(BO$1-Units!$Q68,12)=0),IF(AND(Units!$L68=1,BO$1=Units!$Q68),IF(Units!$J68&lt;&gt;"",Units!$J68,Mkt!BO69),Inputs!$B$15*Mkt!BO69+(1-Inputs!$B$15)*MIN(Mkt!BO69,BN69*(1+Inputs!$B$18))),BN69)))</f>
        <v>1767.8929633075</v>
      </c>
      <c r="BP69" s="11" t="n">
        <f aca="false">IF(BP$1&lt;Units!$P68,0,IF(AND(Units!$K68=0,BP$1=Units!$O68),Units!$R68,IF(AND(BP$1&gt;=Units!$Q68,MOD(BP$1-Units!$Q68,12)=0),IF(AND(Units!$L68=1,BP$1=Units!$Q68),IF(Units!$J68&lt;&gt;"",Units!$J68,Mkt!BP69),Inputs!$B$15*Mkt!BP69+(1-Inputs!$B$15)*MIN(Mkt!BP69,BO69*(1+Inputs!$B$18))),BO69)))</f>
        <v>1767.8929633075</v>
      </c>
      <c r="BQ69" s="11" t="n">
        <f aca="false">IF(BQ$1&lt;Units!$P68,0,IF(AND(Units!$K68=0,BQ$1=Units!$O68),Units!$R68,IF(AND(BQ$1&gt;=Units!$Q68,MOD(BQ$1-Units!$Q68,12)=0),IF(AND(Units!$L68=1,BQ$1=Units!$Q68),IF(Units!$J68&lt;&gt;"",Units!$J68,Mkt!BQ69),Inputs!$B$15*Mkt!BQ69+(1-Inputs!$B$15)*MIN(Mkt!BQ69,BP69*(1+Inputs!$B$18))),BP69)))</f>
        <v>1767.8929633075</v>
      </c>
      <c r="BR69" s="11" t="n">
        <f aca="false">IF(BR$1&lt;Units!$P68,0,IF(AND(Units!$K68=0,BR$1=Units!$O68),Units!$R68,IF(AND(BR$1&gt;=Units!$Q68,MOD(BR$1-Units!$Q68,12)=0),IF(AND(Units!$L68=1,BR$1=Units!$Q68),IF(Units!$J68&lt;&gt;"",Units!$J68,Mkt!BR69),Inputs!$B$15*Mkt!BR69+(1-Inputs!$B$15)*MIN(Mkt!BR69,BQ69*(1+Inputs!$B$18))),BQ69)))</f>
        <v>1767.8929633075</v>
      </c>
      <c r="BS69" s="11" t="n">
        <f aca="false">IF(BS$1&lt;Units!$P68,0,IF(AND(Units!$K68=0,BS$1=Units!$O68),Units!$R68,IF(AND(BS$1&gt;=Units!$Q68,MOD(BS$1-Units!$Q68,12)=0),IF(AND(Units!$L68=1,BS$1=Units!$Q68),IF(Units!$J68&lt;&gt;"",Units!$J68,Mkt!BS69),Inputs!$B$15*Mkt!BS69+(1-Inputs!$B$15)*MIN(Mkt!BS69,BR69*(1+Inputs!$B$18))),BR69)))</f>
        <v>1767.8929633075</v>
      </c>
      <c r="BT69" s="11" t="n">
        <f aca="false">IF(BT$1&lt;Units!$P68,0,IF(AND(Units!$K68=0,BT$1=Units!$O68),Units!$R68,IF(AND(BT$1&gt;=Units!$Q68,MOD(BT$1-Units!$Q68,12)=0),IF(AND(Units!$L68=1,BT$1=Units!$Q68),IF(Units!$J68&lt;&gt;"",Units!$J68,Mkt!BT69),Inputs!$B$15*Mkt!BT69+(1-Inputs!$B$15)*MIN(Mkt!BT69,BS69*(1+Inputs!$B$18))),BS69)))</f>
        <v>1767.8929633075</v>
      </c>
      <c r="BU69" s="11" t="n">
        <f aca="false">IF(BU$1&lt;Units!$P68,0,IF(AND(Units!$K68=0,BU$1=Units!$O68),Units!$R68,IF(AND(BU$1&gt;=Units!$Q68,MOD(BU$1-Units!$Q68,12)=0),IF(AND(Units!$L68=1,BU$1=Units!$Q68),IF(Units!$J68&lt;&gt;"",Units!$J68,Mkt!BU69),Inputs!$B$15*Mkt!BU69+(1-Inputs!$B$15)*MIN(Mkt!BU69,BT69*(1+Inputs!$B$18))),BT69)))</f>
        <v>1767.8929633075</v>
      </c>
      <c r="BV69" s="11" t="n">
        <f aca="false">IF(BV$1&lt;Units!$P68,0,IF(AND(Units!$K68=0,BV$1=Units!$O68),Units!$R68,IF(AND(BV$1&gt;=Units!$Q68,MOD(BV$1-Units!$Q68,12)=0),IF(AND(Units!$L68=1,BV$1=Units!$Q68),IF(Units!$J68&lt;&gt;"",Units!$J68,Mkt!BV69),Inputs!$B$15*Mkt!BV69+(1-Inputs!$B$15)*MIN(Mkt!BV69,BU69*(1+Inputs!$B$18))),BU69)))</f>
        <v>1767.8929633075</v>
      </c>
      <c r="BW69" s="11" t="n">
        <f aca="false">IF(BW$1&lt;Units!$P68,0,IF(AND(Units!$K68=0,BW$1=Units!$O68),Units!$R68,IF(AND(BW$1&gt;=Units!$Q68,MOD(BW$1-Units!$Q68,12)=0),IF(AND(Units!$L68=1,BW$1=Units!$Q68),IF(Units!$J68&lt;&gt;"",Units!$J68,Mkt!BW69),Inputs!$B$15*Mkt!BW69+(1-Inputs!$B$15)*MIN(Mkt!BW69,BV69*(1+Inputs!$B$18))),BV69)))</f>
        <v>1820.92975220673</v>
      </c>
      <c r="BX69" s="11" t="n">
        <f aca="false">IF(BX$1&lt;Units!$P68,0,IF(AND(Units!$K68=0,BX$1=Units!$O68),Units!$R68,IF(AND(BX$1&gt;=Units!$Q68,MOD(BX$1-Units!$Q68,12)=0),IF(AND(Units!$L68=1,BX$1=Units!$Q68),IF(Units!$J68&lt;&gt;"",Units!$J68,Mkt!BX69),Inputs!$B$15*Mkt!BX69+(1-Inputs!$B$15)*MIN(Mkt!BX69,BW69*(1+Inputs!$B$18))),BW69)))</f>
        <v>1820.92975220673</v>
      </c>
      <c r="BY69" s="11" t="n">
        <f aca="false">IF(BY$1&lt;Units!$P68,0,IF(AND(Units!$K68=0,BY$1=Units!$O68),Units!$R68,IF(AND(BY$1&gt;=Units!$Q68,MOD(BY$1-Units!$Q68,12)=0),IF(AND(Units!$L68=1,BY$1=Units!$Q68),IF(Units!$J68&lt;&gt;"",Units!$J68,Mkt!BY69),Inputs!$B$15*Mkt!BY69+(1-Inputs!$B$15)*MIN(Mkt!BY69,BX69*(1+Inputs!$B$18))),BX69)))</f>
        <v>1820.92975220673</v>
      </c>
      <c r="BZ69" s="11" t="n">
        <f aca="false">IF(BZ$1&lt;Units!$P68,0,IF(AND(Units!$K68=0,BZ$1=Units!$O68),Units!$R68,IF(AND(BZ$1&gt;=Units!$Q68,MOD(BZ$1-Units!$Q68,12)=0),IF(AND(Units!$L68=1,BZ$1=Units!$Q68),IF(Units!$J68&lt;&gt;"",Units!$J68,Mkt!BZ69),Inputs!$B$15*Mkt!BZ69+(1-Inputs!$B$15)*MIN(Mkt!BZ69,BY69*(1+Inputs!$B$18))),BY69)))</f>
        <v>1820.92975220673</v>
      </c>
      <c r="CA69" s="11" t="n">
        <f aca="false">IF(CA$1&lt;Units!$P68,0,IF(AND(Units!$K68=0,CA$1=Units!$O68),Units!$R68,IF(AND(CA$1&gt;=Units!$Q68,MOD(CA$1-Units!$Q68,12)=0),IF(AND(Units!$L68=1,CA$1=Units!$Q68),IF(Units!$J68&lt;&gt;"",Units!$J68,Mkt!CA69),Inputs!$B$15*Mkt!CA69+(1-Inputs!$B$15)*MIN(Mkt!CA69,BZ69*(1+Inputs!$B$18))),BZ69)))</f>
        <v>1820.92975220673</v>
      </c>
      <c r="CB69" s="11" t="n">
        <f aca="false">IF(CB$1&lt;Units!$P68,0,IF(AND(Units!$K68=0,CB$1=Units!$O68),Units!$R68,IF(AND(CB$1&gt;=Units!$Q68,MOD(CB$1-Units!$Q68,12)=0),IF(AND(Units!$L68=1,CB$1=Units!$Q68),IF(Units!$J68&lt;&gt;"",Units!$J68,Mkt!CB69),Inputs!$B$15*Mkt!CB69+(1-Inputs!$B$15)*MIN(Mkt!CB69,CA69*(1+Inputs!$B$18))),CA69)))</f>
        <v>1820.92975220673</v>
      </c>
      <c r="CC69" s="11" t="n">
        <f aca="false">IF(CC$1&lt;Units!$P68,0,IF(AND(Units!$K68=0,CC$1=Units!$O68),Units!$R68,IF(AND(CC$1&gt;=Units!$Q68,MOD(CC$1-Units!$Q68,12)=0),IF(AND(Units!$L68=1,CC$1=Units!$Q68),IF(Units!$J68&lt;&gt;"",Units!$J68,Mkt!CC69),Inputs!$B$15*Mkt!CC69+(1-Inputs!$B$15)*MIN(Mkt!CC69,CB69*(1+Inputs!$B$18))),CB69)))</f>
        <v>1820.92975220673</v>
      </c>
      <c r="CD69" s="11" t="n">
        <f aca="false">IF(CD$1&lt;Units!$P68,0,IF(AND(Units!$K68=0,CD$1=Units!$O68),Units!$R68,IF(AND(CD$1&gt;=Units!$Q68,MOD(CD$1-Units!$Q68,12)=0),IF(AND(Units!$L68=1,CD$1=Units!$Q68),IF(Units!$J68&lt;&gt;"",Units!$J68,Mkt!CD69),Inputs!$B$15*Mkt!CD69+(1-Inputs!$B$15)*MIN(Mkt!CD69,CC69*(1+Inputs!$B$18))),CC69)))</f>
        <v>1820.92975220673</v>
      </c>
      <c r="CE69" s="11" t="n">
        <f aca="false">IF(CE$1&lt;Units!$P68,0,IF(AND(Units!$K68=0,CE$1=Units!$O68),Units!$R68,IF(AND(CE$1&gt;=Units!$Q68,MOD(CE$1-Units!$Q68,12)=0),IF(AND(Units!$L68=1,CE$1=Units!$Q68),IF(Units!$J68&lt;&gt;"",Units!$J68,Mkt!CE69),Inputs!$B$15*Mkt!CE69+(1-Inputs!$B$15)*MIN(Mkt!CE69,CD69*(1+Inputs!$B$18))),CD69)))</f>
        <v>1820.92975220673</v>
      </c>
      <c r="CF69" s="11" t="n">
        <f aca="false">IF(CF$1&lt;Units!$P68,0,IF(AND(Units!$K68=0,CF$1=Units!$O68),Units!$R68,IF(AND(CF$1&gt;=Units!$Q68,MOD(CF$1-Units!$Q68,12)=0),IF(AND(Units!$L68=1,CF$1=Units!$Q68),IF(Units!$J68&lt;&gt;"",Units!$J68,Mkt!CF69),Inputs!$B$15*Mkt!CF69+(1-Inputs!$B$15)*MIN(Mkt!CF69,CE69*(1+Inputs!$B$18))),CE69)))</f>
        <v>1820.92975220673</v>
      </c>
      <c r="CG69" s="11" t="n">
        <f aca="false">IF(CG$1&lt;Units!$P68,0,IF(AND(Units!$K68=0,CG$1=Units!$O68),Units!$R68,IF(AND(CG$1&gt;=Units!$Q68,MOD(CG$1-Units!$Q68,12)=0),IF(AND(Units!$L68=1,CG$1=Units!$Q68),IF(Units!$J68&lt;&gt;"",Units!$J68,Mkt!CG69),Inputs!$B$15*Mkt!CG69+(1-Inputs!$B$15)*MIN(Mkt!CG69,CF69*(1+Inputs!$B$18))),CF69)))</f>
        <v>1820.92975220673</v>
      </c>
      <c r="CH69" s="11" t="n">
        <f aca="false">IF(CH$1&lt;Units!$P68,0,IF(AND(Units!$K68=0,CH$1=Units!$O68),Units!$R68,IF(AND(CH$1&gt;=Units!$Q68,MOD(CH$1-Units!$Q68,12)=0),IF(AND(Units!$L68=1,CH$1=Units!$Q68),IF(Units!$J68&lt;&gt;"",Units!$J68,Mkt!CH69),Inputs!$B$15*Mkt!CH69+(1-Inputs!$B$15)*MIN(Mkt!CH69,CG69*(1+Inputs!$B$18))),CG69)))</f>
        <v>1820.92975220673</v>
      </c>
      <c r="CI69" s="11" t="n">
        <f aca="false">IF(CI$1&lt;Units!$P68,0,IF(AND(Units!$K68=0,CI$1=Units!$O68),Units!$R68,IF(AND(CI$1&gt;=Units!$Q68,MOD(CI$1-Units!$Q68,12)=0),IF(AND(Units!$L68=1,CI$1=Units!$Q68),IF(Units!$J68&lt;&gt;"",Units!$J68,Mkt!CI69),Inputs!$B$15*Mkt!CI69+(1-Inputs!$B$15)*MIN(Mkt!CI69,CH69*(1+Inputs!$B$18))),CH69)))</f>
        <v>1875.55764477293</v>
      </c>
      <c r="CJ69" s="11" t="n">
        <f aca="false">IF(CJ$1&lt;Units!$P68,0,IF(AND(Units!$K68=0,CJ$1=Units!$O68),Units!$R68,IF(AND(CJ$1&gt;=Units!$Q68,MOD(CJ$1-Units!$Q68,12)=0),IF(AND(Units!$L68=1,CJ$1=Units!$Q68),IF(Units!$J68&lt;&gt;"",Units!$J68,Mkt!CJ69),Inputs!$B$15*Mkt!CJ69+(1-Inputs!$B$15)*MIN(Mkt!CJ69,CI69*(1+Inputs!$B$18))),CI69)))</f>
        <v>1875.55764477293</v>
      </c>
      <c r="CK69" s="11" t="n">
        <f aca="false">IF(CK$1&lt;Units!$P68,0,IF(AND(Units!$K68=0,CK$1=Units!$O68),Units!$R68,IF(AND(CK$1&gt;=Units!$Q68,MOD(CK$1-Units!$Q68,12)=0),IF(AND(Units!$L68=1,CK$1=Units!$Q68),IF(Units!$J68&lt;&gt;"",Units!$J68,Mkt!CK69),Inputs!$B$15*Mkt!CK69+(1-Inputs!$B$15)*MIN(Mkt!CK69,CJ69*(1+Inputs!$B$18))),CJ69)))</f>
        <v>1875.55764477293</v>
      </c>
      <c r="CL69" s="11" t="n">
        <f aca="false">IF(CL$1&lt;Units!$P68,0,IF(AND(Units!$K68=0,CL$1=Units!$O68),Units!$R68,IF(AND(CL$1&gt;=Units!$Q68,MOD(CL$1-Units!$Q68,12)=0),IF(AND(Units!$L68=1,CL$1=Units!$Q68),IF(Units!$J68&lt;&gt;"",Units!$J68,Mkt!CL69),Inputs!$B$15*Mkt!CL69+(1-Inputs!$B$15)*MIN(Mkt!CL69,CK69*(1+Inputs!$B$18))),CK69)))</f>
        <v>1875.55764477293</v>
      </c>
      <c r="CM69" s="11" t="n">
        <f aca="false">IF(CM$1&lt;Units!$P68,0,IF(AND(Units!$K68=0,CM$1=Units!$O68),Units!$R68,IF(AND(CM$1&gt;=Units!$Q68,MOD(CM$1-Units!$Q68,12)=0),IF(AND(Units!$L68=1,CM$1=Units!$Q68),IF(Units!$J68&lt;&gt;"",Units!$J68,Mkt!CM69),Inputs!$B$15*Mkt!CM69+(1-Inputs!$B$15)*MIN(Mkt!CM69,CL69*(1+Inputs!$B$18))),CL69)))</f>
        <v>1875.55764477293</v>
      </c>
      <c r="CN69" s="11" t="n">
        <f aca="false">IF(CN$1&lt;Units!$P68,0,IF(AND(Units!$K68=0,CN$1=Units!$O68),Units!$R68,IF(AND(CN$1&gt;=Units!$Q68,MOD(CN$1-Units!$Q68,12)=0),IF(AND(Units!$L68=1,CN$1=Units!$Q68),IF(Units!$J68&lt;&gt;"",Units!$J68,Mkt!CN69),Inputs!$B$15*Mkt!CN69+(1-Inputs!$B$15)*MIN(Mkt!CN69,CM69*(1+Inputs!$B$18))),CM69)))</f>
        <v>1875.55764477293</v>
      </c>
      <c r="CO69" s="11" t="n">
        <f aca="false">IF(CO$1&lt;Units!$P68,0,IF(AND(Units!$K68=0,CO$1=Units!$O68),Units!$R68,IF(AND(CO$1&gt;=Units!$Q68,MOD(CO$1-Units!$Q68,12)=0),IF(AND(Units!$L68=1,CO$1=Units!$Q68),IF(Units!$J68&lt;&gt;"",Units!$J68,Mkt!CO69),Inputs!$B$15*Mkt!CO69+(1-Inputs!$B$15)*MIN(Mkt!CO69,CN69*(1+Inputs!$B$18))),CN69)))</f>
        <v>1875.55764477293</v>
      </c>
      <c r="CP69" s="11" t="n">
        <f aca="false">IF(CP$1&lt;Units!$P68,0,IF(AND(Units!$K68=0,CP$1=Units!$O68),Units!$R68,IF(AND(CP$1&gt;=Units!$Q68,MOD(CP$1-Units!$Q68,12)=0),IF(AND(Units!$L68=1,CP$1=Units!$Q68),IF(Units!$J68&lt;&gt;"",Units!$J68,Mkt!CP69),Inputs!$B$15*Mkt!CP69+(1-Inputs!$B$15)*MIN(Mkt!CP69,CO69*(1+Inputs!$B$18))),CO69)))</f>
        <v>1875.55764477293</v>
      </c>
      <c r="CQ69" s="11" t="n">
        <f aca="false">IF(CQ$1&lt;Units!$P68,0,IF(AND(Units!$K68=0,CQ$1=Units!$O68),Units!$R68,IF(AND(CQ$1&gt;=Units!$Q68,MOD(CQ$1-Units!$Q68,12)=0),IF(AND(Units!$L68=1,CQ$1=Units!$Q68),IF(Units!$J68&lt;&gt;"",Units!$J68,Mkt!CQ69),Inputs!$B$15*Mkt!CQ69+(1-Inputs!$B$15)*MIN(Mkt!CQ69,CP69*(1+Inputs!$B$18))),CP69)))</f>
        <v>1875.55764477293</v>
      </c>
      <c r="CR69" s="11" t="n">
        <f aca="false">IF(CR$1&lt;Units!$P68,0,IF(AND(Units!$K68=0,CR$1=Units!$O68),Units!$R68,IF(AND(CR$1&gt;=Units!$Q68,MOD(CR$1-Units!$Q68,12)=0),IF(AND(Units!$L68=1,CR$1=Units!$Q68),IF(Units!$J68&lt;&gt;"",Units!$J68,Mkt!CR69),Inputs!$B$15*Mkt!CR69+(1-Inputs!$B$15)*MIN(Mkt!CR69,CQ69*(1+Inputs!$B$18))),CQ69)))</f>
        <v>1875.55764477293</v>
      </c>
      <c r="CS69" s="11" t="n">
        <f aca="false">IF(CS$1&lt;Units!$P68,0,IF(AND(Units!$K68=0,CS$1=Units!$O68),Units!$R68,IF(AND(CS$1&gt;=Units!$Q68,MOD(CS$1-Units!$Q68,12)=0),IF(AND(Units!$L68=1,CS$1=Units!$Q68),IF(Units!$J68&lt;&gt;"",Units!$J68,Mkt!CS69),Inputs!$B$15*Mkt!CS69+(1-Inputs!$B$15)*MIN(Mkt!CS69,CR69*(1+Inputs!$B$18))),CR69)))</f>
        <v>1875.55764477293</v>
      </c>
      <c r="CT69" s="11" t="n">
        <f aca="false">IF(CT$1&lt;Units!$P68,0,IF(AND(Units!$K68=0,CT$1=Units!$O68),Units!$R68,IF(AND(CT$1&gt;=Units!$Q68,MOD(CT$1-Units!$Q68,12)=0),IF(AND(Units!$L68=1,CT$1=Units!$Q68),IF(Units!$J68&lt;&gt;"",Units!$J68,Mkt!CT69),Inputs!$B$15*Mkt!CT69+(1-Inputs!$B$15)*MIN(Mkt!CT69,CS69*(1+Inputs!$B$18))),CS69)))</f>
        <v>1875.55764477293</v>
      </c>
      <c r="CU69" s="11" t="n">
        <f aca="false">IF(CU$1&lt;Units!$P68,0,IF(AND(Units!$K68=0,CU$1=Units!$O68),Units!$R68,IF(AND(CU$1&gt;=Units!$Q68,MOD(CU$1-Units!$Q68,12)=0),IF(AND(Units!$L68=1,CU$1=Units!$Q68),IF(Units!$J68&lt;&gt;"",Units!$J68,Mkt!CU69),Inputs!$B$15*Mkt!CU69+(1-Inputs!$B$15)*MIN(Mkt!CU69,CT69*(1+Inputs!$B$18))),CT69)))</f>
        <v>1931.82437411612</v>
      </c>
      <c r="CV69" s="11" t="n">
        <f aca="false">IF(CV$1&lt;Units!$P68,0,IF(AND(Units!$K68=0,CV$1=Units!$O68),Units!$R68,IF(AND(CV$1&gt;=Units!$Q68,MOD(CV$1-Units!$Q68,12)=0),IF(AND(Units!$L68=1,CV$1=Units!$Q68),IF(Units!$J68&lt;&gt;"",Units!$J68,Mkt!CV69),Inputs!$B$15*Mkt!CV69+(1-Inputs!$B$15)*MIN(Mkt!CV69,CU69*(1+Inputs!$B$18))),CU69)))</f>
        <v>1931.82437411612</v>
      </c>
      <c r="CW69" s="11" t="n">
        <f aca="false">IF(CW$1&lt;Units!$P68,0,IF(AND(Units!$K68=0,CW$1=Units!$O68),Units!$R68,IF(AND(CW$1&gt;=Units!$Q68,MOD(CW$1-Units!$Q68,12)=0),IF(AND(Units!$L68=1,CW$1=Units!$Q68),IF(Units!$J68&lt;&gt;"",Units!$J68,Mkt!CW69),Inputs!$B$15*Mkt!CW69+(1-Inputs!$B$15)*MIN(Mkt!CW69,CV69*(1+Inputs!$B$18))),CV69)))</f>
        <v>1931.82437411612</v>
      </c>
      <c r="CX69" s="11" t="n">
        <f aca="false">IF(CX$1&lt;Units!$P68,0,IF(AND(Units!$K68=0,CX$1=Units!$O68),Units!$R68,IF(AND(CX$1&gt;=Units!$Q68,MOD(CX$1-Units!$Q68,12)=0),IF(AND(Units!$L68=1,CX$1=Units!$Q68),IF(Units!$J68&lt;&gt;"",Units!$J68,Mkt!CX69),Inputs!$B$15*Mkt!CX69+(1-Inputs!$B$15)*MIN(Mkt!CX69,CW69*(1+Inputs!$B$18))),CW69)))</f>
        <v>1931.82437411612</v>
      </c>
      <c r="CY69" s="11" t="n">
        <f aca="false">IF(CY$1&lt;Units!$P68,0,IF(AND(Units!$K68=0,CY$1=Units!$O68),Units!$R68,IF(AND(CY$1&gt;=Units!$Q68,MOD(CY$1-Units!$Q68,12)=0),IF(AND(Units!$L68=1,CY$1=Units!$Q68),IF(Units!$J68&lt;&gt;"",Units!$J68,Mkt!CY69),Inputs!$B$15*Mkt!CY69+(1-Inputs!$B$15)*MIN(Mkt!CY69,CX69*(1+Inputs!$B$18))),CX69)))</f>
        <v>1931.82437411612</v>
      </c>
      <c r="CZ69" s="11" t="n">
        <f aca="false">IF(CZ$1&lt;Units!$P68,0,IF(AND(Units!$K68=0,CZ$1=Units!$O68),Units!$R68,IF(AND(CZ$1&gt;=Units!$Q68,MOD(CZ$1-Units!$Q68,12)=0),IF(AND(Units!$L68=1,CZ$1=Units!$Q68),IF(Units!$J68&lt;&gt;"",Units!$J68,Mkt!CZ69),Inputs!$B$15*Mkt!CZ69+(1-Inputs!$B$15)*MIN(Mkt!CZ69,CY69*(1+Inputs!$B$18))),CY69)))</f>
        <v>1931.82437411612</v>
      </c>
      <c r="DA69" s="11" t="n">
        <f aca="false">IF(DA$1&lt;Units!$P68,0,IF(AND(Units!$K68=0,DA$1=Units!$O68),Units!$R68,IF(AND(DA$1&gt;=Units!$Q68,MOD(DA$1-Units!$Q68,12)=0),IF(AND(Units!$L68=1,DA$1=Units!$Q68),IF(Units!$J68&lt;&gt;"",Units!$J68,Mkt!DA69),Inputs!$B$15*Mkt!DA69+(1-Inputs!$B$15)*MIN(Mkt!DA69,CZ69*(1+Inputs!$B$18))),CZ69)))</f>
        <v>1931.82437411612</v>
      </c>
      <c r="DB69" s="11" t="n">
        <f aca="false">IF(DB$1&lt;Units!$P68,0,IF(AND(Units!$K68=0,DB$1=Units!$O68),Units!$R68,IF(AND(DB$1&gt;=Units!$Q68,MOD(DB$1-Units!$Q68,12)=0),IF(AND(Units!$L68=1,DB$1=Units!$Q68),IF(Units!$J68&lt;&gt;"",Units!$J68,Mkt!DB69),Inputs!$B$15*Mkt!DB69+(1-Inputs!$B$15)*MIN(Mkt!DB69,DA69*(1+Inputs!$B$18))),DA69)))</f>
        <v>1931.82437411612</v>
      </c>
      <c r="DC69" s="11" t="n">
        <f aca="false">IF(DC$1&lt;Units!$P68,0,IF(AND(Units!$K68=0,DC$1=Units!$O68),Units!$R68,IF(AND(DC$1&gt;=Units!$Q68,MOD(DC$1-Units!$Q68,12)=0),IF(AND(Units!$L68=1,DC$1=Units!$Q68),IF(Units!$J68&lt;&gt;"",Units!$J68,Mkt!DC69),Inputs!$B$15*Mkt!DC69+(1-Inputs!$B$15)*MIN(Mkt!DC69,DB69*(1+Inputs!$B$18))),DB69)))</f>
        <v>1931.82437411612</v>
      </c>
      <c r="DD69" s="11" t="n">
        <f aca="false">IF(DD$1&lt;Units!$P68,0,IF(AND(Units!$K68=0,DD$1=Units!$O68),Units!$R68,IF(AND(DD$1&gt;=Units!$Q68,MOD(DD$1-Units!$Q68,12)=0),IF(AND(Units!$L68=1,DD$1=Units!$Q68),IF(Units!$J68&lt;&gt;"",Units!$J68,Mkt!DD69),Inputs!$B$15*Mkt!DD69+(1-Inputs!$B$15)*MIN(Mkt!DD69,DC69*(1+Inputs!$B$18))),DC69)))</f>
        <v>1931.82437411612</v>
      </c>
      <c r="DE69" s="11" t="n">
        <f aca="false">IF(DE$1&lt;Units!$P68,0,IF(AND(Units!$K68=0,DE$1=Units!$O68),Units!$R68,IF(AND(DE$1&gt;=Units!$Q68,MOD(DE$1-Units!$Q68,12)=0),IF(AND(Units!$L68=1,DE$1=Units!$Q68),IF(Units!$J68&lt;&gt;"",Units!$J68,Mkt!DE69),Inputs!$B$15*Mkt!DE69+(1-Inputs!$B$15)*MIN(Mkt!DE69,DD69*(1+Inputs!$B$18))),DD69)))</f>
        <v>1931.82437411612</v>
      </c>
      <c r="DF69" s="11" t="n">
        <f aca="false">IF(DF$1&lt;Units!$P68,0,IF(AND(Units!$K68=0,DF$1=Units!$O68),Units!$R68,IF(AND(DF$1&gt;=Units!$Q68,MOD(DF$1-Units!$Q68,12)=0),IF(AND(Units!$L68=1,DF$1=Units!$Q68),IF(Units!$J68&lt;&gt;"",Units!$J68,Mkt!DF69),Inputs!$B$15*Mkt!DF69+(1-Inputs!$B$15)*MIN(Mkt!DF69,DE69*(1+Inputs!$B$18))),DE69)))</f>
        <v>1931.82437411612</v>
      </c>
      <c r="DG69" s="11" t="n">
        <f aca="false">IF(DG$1&lt;Units!$P68,0,IF(AND(Units!$K68=0,DG$1=Units!$O68),Units!$R68,IF(AND(DG$1&gt;=Units!$Q68,MOD(DG$1-Units!$Q68,12)=0),IF(AND(Units!$L68=1,DG$1=Units!$Q68),IF(Units!$J68&lt;&gt;"",Units!$J68,Mkt!DG69),Inputs!$B$15*Mkt!DG69+(1-Inputs!$B$15)*MIN(Mkt!DG69,DF69*(1+Inputs!$B$18))),DF69)))</f>
        <v>1989.7791053396</v>
      </c>
      <c r="DH69" s="11" t="n">
        <f aca="false">IF(DH$1&lt;Units!$P68,0,IF(AND(Units!$K68=0,DH$1=Units!$O68),Units!$R68,IF(AND(DH$1&gt;=Units!$Q68,MOD(DH$1-Units!$Q68,12)=0),IF(AND(Units!$L68=1,DH$1=Units!$Q68),IF(Units!$J68&lt;&gt;"",Units!$J68,Mkt!DH69),Inputs!$B$15*Mkt!DH69+(1-Inputs!$B$15)*MIN(Mkt!DH69,DG69*(1+Inputs!$B$18))),DG69)))</f>
        <v>1989.7791053396</v>
      </c>
      <c r="DI69" s="11" t="n">
        <f aca="false">IF(DI$1&lt;Units!$P68,0,IF(AND(Units!$K68=0,DI$1=Units!$O68),Units!$R68,IF(AND(DI$1&gt;=Units!$Q68,MOD(DI$1-Units!$Q68,12)=0),IF(AND(Units!$L68=1,DI$1=Units!$Q68),IF(Units!$J68&lt;&gt;"",Units!$J68,Mkt!DI69),Inputs!$B$15*Mkt!DI69+(1-Inputs!$B$15)*MIN(Mkt!DI69,DH69*(1+Inputs!$B$18))),DH69)))</f>
        <v>1989.7791053396</v>
      </c>
      <c r="DJ69" s="11" t="n">
        <f aca="false">IF(DJ$1&lt;Units!$P68,0,IF(AND(Units!$K68=0,DJ$1=Units!$O68),Units!$R68,IF(AND(DJ$1&gt;=Units!$Q68,MOD(DJ$1-Units!$Q68,12)=0),IF(AND(Units!$L68=1,DJ$1=Units!$Q68),IF(Units!$J68&lt;&gt;"",Units!$J68,Mkt!DJ69),Inputs!$B$15*Mkt!DJ69+(1-Inputs!$B$15)*MIN(Mkt!DJ69,DI69*(1+Inputs!$B$18))),DI69)))</f>
        <v>1989.7791053396</v>
      </c>
      <c r="DK69" s="11" t="n">
        <f aca="false">IF(DK$1&lt;Units!$P68,0,IF(AND(Units!$K68=0,DK$1=Units!$O68),Units!$R68,IF(AND(DK$1&gt;=Units!$Q68,MOD(DK$1-Units!$Q68,12)=0),IF(AND(Units!$L68=1,DK$1=Units!$Q68),IF(Units!$J68&lt;&gt;"",Units!$J68,Mkt!DK69),Inputs!$B$15*Mkt!DK69+(1-Inputs!$B$15)*MIN(Mkt!DK69,DJ69*(1+Inputs!$B$18))),DJ69)))</f>
        <v>1989.7791053396</v>
      </c>
      <c r="DL69" s="11" t="n">
        <f aca="false">IF(DL$1&lt;Units!$P68,0,IF(AND(Units!$K68=0,DL$1=Units!$O68),Units!$R68,IF(AND(DL$1&gt;=Units!$Q68,MOD(DL$1-Units!$Q68,12)=0),IF(AND(Units!$L68=1,DL$1=Units!$Q68),IF(Units!$J68&lt;&gt;"",Units!$J68,Mkt!DL69),Inputs!$B$15*Mkt!DL69+(1-Inputs!$B$15)*MIN(Mkt!DL69,DK69*(1+Inputs!$B$18))),DK69)))</f>
        <v>1989.7791053396</v>
      </c>
      <c r="DM69" s="11" t="n">
        <f aca="false">IF(DM$1&lt;Units!$P68,0,IF(AND(Units!$K68=0,DM$1=Units!$O68),Units!$R68,IF(AND(DM$1&gt;=Units!$Q68,MOD(DM$1-Units!$Q68,12)=0),IF(AND(Units!$L68=1,DM$1=Units!$Q68),IF(Units!$J68&lt;&gt;"",Units!$J68,Mkt!DM69),Inputs!$B$15*Mkt!DM69+(1-Inputs!$B$15)*MIN(Mkt!DM69,DL69*(1+Inputs!$B$18))),DL69)))</f>
        <v>1989.7791053396</v>
      </c>
      <c r="DN69" s="11" t="n">
        <f aca="false">IF(DN$1&lt;Units!$P68,0,IF(AND(Units!$K68=0,DN$1=Units!$O68),Units!$R68,IF(AND(DN$1&gt;=Units!$Q68,MOD(DN$1-Units!$Q68,12)=0),IF(AND(Units!$L68=1,DN$1=Units!$Q68),IF(Units!$J68&lt;&gt;"",Units!$J68,Mkt!DN69),Inputs!$B$15*Mkt!DN69+(1-Inputs!$B$15)*MIN(Mkt!DN69,DM69*(1+Inputs!$B$18))),DM69)))</f>
        <v>1989.7791053396</v>
      </c>
      <c r="DO69" s="11" t="n">
        <f aca="false">IF(DO$1&lt;Units!$P68,0,IF(AND(Units!$K68=0,DO$1=Units!$O68),Units!$R68,IF(AND(DO$1&gt;=Units!$Q68,MOD(DO$1-Units!$Q68,12)=0),IF(AND(Units!$L68=1,DO$1=Units!$Q68),IF(Units!$J68&lt;&gt;"",Units!$J68,Mkt!DO69),Inputs!$B$15*Mkt!DO69+(1-Inputs!$B$15)*MIN(Mkt!DO69,DN69*(1+Inputs!$B$18))),DN69)))</f>
        <v>1989.7791053396</v>
      </c>
      <c r="DP69" s="11" t="n">
        <f aca="false">IF(DP$1&lt;Units!$P68,0,IF(AND(Units!$K68=0,DP$1=Units!$O68),Units!$R68,IF(AND(DP$1&gt;=Units!$Q68,MOD(DP$1-Units!$Q68,12)=0),IF(AND(Units!$L68=1,DP$1=Units!$Q68),IF(Units!$J68&lt;&gt;"",Units!$J68,Mkt!DP69),Inputs!$B$15*Mkt!DP69+(1-Inputs!$B$15)*MIN(Mkt!DP69,DO69*(1+Inputs!$B$18))),DO69)))</f>
        <v>1989.7791053396</v>
      </c>
      <c r="DQ69" s="11" t="n">
        <f aca="false">IF(DQ$1&lt;Units!$P68,0,IF(AND(Units!$K68=0,DQ$1=Units!$O68),Units!$R68,IF(AND(DQ$1&gt;=Units!$Q68,MOD(DQ$1-Units!$Q68,12)=0),IF(AND(Units!$L68=1,DQ$1=Units!$Q68),IF(Units!$J68&lt;&gt;"",Units!$J68,Mkt!DQ69),Inputs!$B$15*Mkt!DQ69+(1-Inputs!$B$15)*MIN(Mkt!DQ69,DP69*(1+Inputs!$B$18))),DP69)))</f>
        <v>1989.7791053396</v>
      </c>
      <c r="DR69" s="11" t="n">
        <f aca="false">IF(DR$1&lt;Units!$P68,0,IF(AND(Units!$K68=0,DR$1=Units!$O68),Units!$R68,IF(AND(DR$1&gt;=Units!$Q68,MOD(DR$1-Units!$Q68,12)=0),IF(AND(Units!$L68=1,DR$1=Units!$Q68),IF(Units!$J68&lt;&gt;"",Units!$J68,Mkt!DR69),Inputs!$B$15*Mkt!DR69+(1-Inputs!$B$15)*MIN(Mkt!DR69,DQ69*(1+Inputs!$B$18))),DQ69)))</f>
        <v>1989.7791053396</v>
      </c>
      <c r="DS69" s="11" t="n">
        <f aca="false">IF(DS$1&lt;Units!$P68,0,IF(AND(Units!$K68=0,DS$1=Units!$O68),Units!$R68,IF(AND(DS$1&gt;=Units!$Q68,MOD(DS$1-Units!$Q68,12)=0),IF(AND(Units!$L68=1,DS$1=Units!$Q68),IF(Units!$J68&lt;&gt;"",Units!$J68,Mkt!DS69),Inputs!$B$15*Mkt!DS69+(1-Inputs!$B$15)*MIN(Mkt!DS69,DR69*(1+Inputs!$B$18))),DR69)))</f>
        <v>2049.47247849979</v>
      </c>
      <c r="DT69" s="11" t="n">
        <f aca="false">IF(DT$1&lt;Units!$P68,0,IF(AND(Units!$K68=0,DT$1=Units!$O68),Units!$R68,IF(AND(DT$1&gt;=Units!$Q68,MOD(DT$1-Units!$Q68,12)=0),IF(AND(Units!$L68=1,DT$1=Units!$Q68),IF(Units!$J68&lt;&gt;"",Units!$J68,Mkt!DT69),Inputs!$B$15*Mkt!DT69+(1-Inputs!$B$15)*MIN(Mkt!DT69,DS69*(1+Inputs!$B$18))),DS69)))</f>
        <v>2049.47247849979</v>
      </c>
      <c r="DU69" s="11" t="n">
        <f aca="false">IF(DU$1&lt;Units!$P68,0,IF(AND(Units!$K68=0,DU$1=Units!$O68),Units!$R68,IF(AND(DU$1&gt;=Units!$Q68,MOD(DU$1-Units!$Q68,12)=0),IF(AND(Units!$L68=1,DU$1=Units!$Q68),IF(Units!$J68&lt;&gt;"",Units!$J68,Mkt!DU69),Inputs!$B$15*Mkt!DU69+(1-Inputs!$B$15)*MIN(Mkt!DU69,DT69*(1+Inputs!$B$18))),DT69)))</f>
        <v>2049.47247849979</v>
      </c>
      <c r="DV69" s="11" t="n">
        <f aca="false">IF(DV$1&lt;Units!$P68,0,IF(AND(Units!$K68=0,DV$1=Units!$O68),Units!$R68,IF(AND(DV$1&gt;=Units!$Q68,MOD(DV$1-Units!$Q68,12)=0),IF(AND(Units!$L68=1,DV$1=Units!$Q68),IF(Units!$J68&lt;&gt;"",Units!$J68,Mkt!DV69),Inputs!$B$15*Mkt!DV69+(1-Inputs!$B$15)*MIN(Mkt!DV69,DU69*(1+Inputs!$B$18))),DU69)))</f>
        <v>2049.47247849979</v>
      </c>
      <c r="DW69" s="11" t="n">
        <f aca="false">IF(DW$1&lt;Units!$P68,0,IF(AND(Units!$K68=0,DW$1=Units!$O68),Units!$R68,IF(AND(DW$1&gt;=Units!$Q68,MOD(DW$1-Units!$Q68,12)=0),IF(AND(Units!$L68=1,DW$1=Units!$Q68),IF(Units!$J68&lt;&gt;"",Units!$J68,Mkt!DW69),Inputs!$B$15*Mkt!DW69+(1-Inputs!$B$15)*MIN(Mkt!DW69,DV69*(1+Inputs!$B$18))),DV69)))</f>
        <v>2049.47247849979</v>
      </c>
      <c r="DX69" s="11" t="n">
        <f aca="false">IF(DX$1&lt;Units!$P68,0,IF(AND(Units!$K68=0,DX$1=Units!$O68),Units!$R68,IF(AND(DX$1&gt;=Units!$Q68,MOD(DX$1-Units!$Q68,12)=0),IF(AND(Units!$L68=1,DX$1=Units!$Q68),IF(Units!$J68&lt;&gt;"",Units!$J68,Mkt!DX69),Inputs!$B$15*Mkt!DX69+(1-Inputs!$B$15)*MIN(Mkt!DX69,DW69*(1+Inputs!$B$18))),DW69)))</f>
        <v>2049.47247849979</v>
      </c>
      <c r="DY69" s="11" t="n">
        <f aca="false">IF(DY$1&lt;Units!$P68,0,IF(AND(Units!$K68=0,DY$1=Units!$O68),Units!$R68,IF(AND(DY$1&gt;=Units!$Q68,MOD(DY$1-Units!$Q68,12)=0),IF(AND(Units!$L68=1,DY$1=Units!$Q68),IF(Units!$J68&lt;&gt;"",Units!$J68,Mkt!DY69),Inputs!$B$15*Mkt!DY69+(1-Inputs!$B$15)*MIN(Mkt!DY69,DX69*(1+Inputs!$B$18))),DX69)))</f>
        <v>2049.47247849979</v>
      </c>
      <c r="DZ69" s="11" t="n">
        <f aca="false">IF(DZ$1&lt;Units!$P68,0,IF(AND(Units!$K68=0,DZ$1=Units!$O68),Units!$R68,IF(AND(DZ$1&gt;=Units!$Q68,MOD(DZ$1-Units!$Q68,12)=0),IF(AND(Units!$L68=1,DZ$1=Units!$Q68),IF(Units!$J68&lt;&gt;"",Units!$J68,Mkt!DZ69),Inputs!$B$15*Mkt!DZ69+(1-Inputs!$B$15)*MIN(Mkt!DZ69,DY69*(1+Inputs!$B$18))),DY69)))</f>
        <v>2049.47247849979</v>
      </c>
      <c r="EA69" s="11" t="n">
        <f aca="false">IF(EA$1&lt;Units!$P68,0,IF(AND(Units!$K68=0,EA$1=Units!$O68),Units!$R68,IF(AND(EA$1&gt;=Units!$Q68,MOD(EA$1-Units!$Q68,12)=0),IF(AND(Units!$L68=1,EA$1=Units!$Q68),IF(Units!$J68&lt;&gt;"",Units!$J68,Mkt!EA69),Inputs!$B$15*Mkt!EA69+(1-Inputs!$B$15)*MIN(Mkt!EA69,DZ69*(1+Inputs!$B$18))),DZ69)))</f>
        <v>2049.47247849979</v>
      </c>
      <c r="EB69" s="11" t="n">
        <f aca="false">IF(EB$1&lt;Units!$P68,0,IF(AND(Units!$K68=0,EB$1=Units!$O68),Units!$R68,IF(AND(EB$1&gt;=Units!$Q68,MOD(EB$1-Units!$Q68,12)=0),IF(AND(Units!$L68=1,EB$1=Units!$Q68),IF(Units!$J68&lt;&gt;"",Units!$J68,Mkt!EB69),Inputs!$B$15*Mkt!EB69+(1-Inputs!$B$15)*MIN(Mkt!EB69,EA69*(1+Inputs!$B$18))),EA69)))</f>
        <v>2049.47247849979</v>
      </c>
      <c r="EC69" s="11" t="n">
        <f aca="false">IF(EC$1&lt;Units!$P68,0,IF(AND(Units!$K68=0,EC$1=Units!$O68),Units!$R68,IF(AND(EC$1&gt;=Units!$Q68,MOD(EC$1-Units!$Q68,12)=0),IF(AND(Units!$L68=1,EC$1=Units!$Q68),IF(Units!$J68&lt;&gt;"",Units!$J68,Mkt!EC69),Inputs!$B$15*Mkt!EC69+(1-Inputs!$B$15)*MIN(Mkt!EC69,EB69*(1+Inputs!$B$18))),EB69)))</f>
        <v>2049.47247849979</v>
      </c>
      <c r="ED69" s="11" t="n">
        <f aca="false">IF(ED$1&lt;Units!$P68,0,IF(AND(Units!$K68=0,ED$1=Units!$O68),Units!$R68,IF(AND(ED$1&gt;=Units!$Q68,MOD(ED$1-Units!$Q68,12)=0),IF(AND(Units!$L68=1,ED$1=Units!$Q68),IF(Units!$J68&lt;&gt;"",Units!$J68,Mkt!ED69),Inputs!$B$15*Mkt!ED69+(1-Inputs!$B$15)*MIN(Mkt!ED69,EC69*(1+Inputs!$B$18))),EC69)))</f>
        <v>2049.47247849979</v>
      </c>
    </row>
    <row r="70" customFormat="false" ht="15" hidden="false" customHeight="false" outlineLevel="0" collapsed="false">
      <c r="A70" s="22" t="n">
        <f aca="false">Units!A69</f>
        <v>308</v>
      </c>
      <c r="B70" s="24" t="n">
        <f aca="false">IF(Units!K69=1,Units!F69,0)</f>
        <v>1425</v>
      </c>
      <c r="C70" s="11" t="n">
        <f aca="false">IF(C$1&lt;Units!$P69,0,IF(AND(Units!$K69=0,C$1=Units!$O69),Units!$R69,IF(AND(C$1&gt;=Units!$Q69,MOD(C$1-Units!$Q69,12)=0),IF(AND(Units!$L69=1,C$1=Units!$Q69),IF(Units!$J69&lt;&gt;"",Units!$J69,Mkt!C70),Inputs!$B$15*Mkt!C70+(1-Inputs!$B$15)*MIN(Mkt!C70,B70*(1+Inputs!$B$18))),B70)))</f>
        <v>1510.625</v>
      </c>
      <c r="D70" s="11" t="n">
        <f aca="false">IF(D$1&lt;Units!$P69,0,IF(AND(Units!$K69=0,D$1=Units!$O69),Units!$R69,IF(AND(D$1&gt;=Units!$Q69,MOD(D$1-Units!$Q69,12)=0),IF(AND(Units!$L69=1,D$1=Units!$Q69),IF(Units!$J69&lt;&gt;"",Units!$J69,Mkt!D70),Inputs!$B$15*Mkt!D70+(1-Inputs!$B$15)*MIN(Mkt!D70,C70*(1+Inputs!$B$18))),C70)))</f>
        <v>1510.625</v>
      </c>
      <c r="E70" s="11" t="n">
        <f aca="false">IF(E$1&lt;Units!$P69,0,IF(AND(Units!$K69=0,E$1=Units!$O69),Units!$R69,IF(AND(E$1&gt;=Units!$Q69,MOD(E$1-Units!$Q69,12)=0),IF(AND(Units!$L69=1,E$1=Units!$Q69),IF(Units!$J69&lt;&gt;"",Units!$J69,Mkt!E70),Inputs!$B$15*Mkt!E70+(1-Inputs!$B$15)*MIN(Mkt!E70,D70*(1+Inputs!$B$18))),D70)))</f>
        <v>1510.625</v>
      </c>
      <c r="F70" s="11" t="n">
        <f aca="false">IF(F$1&lt;Units!$P69,0,IF(AND(Units!$K69=0,F$1=Units!$O69),Units!$R69,IF(AND(F$1&gt;=Units!$Q69,MOD(F$1-Units!$Q69,12)=0),IF(AND(Units!$L69=1,F$1=Units!$Q69),IF(Units!$J69&lt;&gt;"",Units!$J69,Mkt!F70),Inputs!$B$15*Mkt!F70+(1-Inputs!$B$15)*MIN(Mkt!F70,E70*(1+Inputs!$B$18))),E70)))</f>
        <v>1510.625</v>
      </c>
      <c r="G70" s="11" t="n">
        <f aca="false">IF(G$1&lt;Units!$P69,0,IF(AND(Units!$K69=0,G$1=Units!$O69),Units!$R69,IF(AND(G$1&gt;=Units!$Q69,MOD(G$1-Units!$Q69,12)=0),IF(AND(Units!$L69=1,G$1=Units!$Q69),IF(Units!$J69&lt;&gt;"",Units!$J69,Mkt!G70),Inputs!$B$15*Mkt!G70+(1-Inputs!$B$15)*MIN(Mkt!G70,F70*(1+Inputs!$B$18))),F70)))</f>
        <v>1510.625</v>
      </c>
      <c r="H70" s="11" t="n">
        <f aca="false">IF(H$1&lt;Units!$P69,0,IF(AND(Units!$K69=0,H$1=Units!$O69),Units!$R69,IF(AND(H$1&gt;=Units!$Q69,MOD(H$1-Units!$Q69,12)=0),IF(AND(Units!$L69=1,H$1=Units!$Q69),IF(Units!$J69&lt;&gt;"",Units!$J69,Mkt!H70),Inputs!$B$15*Mkt!H70+(1-Inputs!$B$15)*MIN(Mkt!H70,G70*(1+Inputs!$B$18))),G70)))</f>
        <v>1510.625</v>
      </c>
      <c r="I70" s="11" t="n">
        <f aca="false">IF(I$1&lt;Units!$P69,0,IF(AND(Units!$K69=0,I$1=Units!$O69),Units!$R69,IF(AND(I$1&gt;=Units!$Q69,MOD(I$1-Units!$Q69,12)=0),IF(AND(Units!$L69=1,I$1=Units!$Q69),IF(Units!$J69&lt;&gt;"",Units!$J69,Mkt!I70),Inputs!$B$15*Mkt!I70+(1-Inputs!$B$15)*MIN(Mkt!I70,H70*(1+Inputs!$B$18))),H70)))</f>
        <v>1510.625</v>
      </c>
      <c r="J70" s="11" t="n">
        <f aca="false">IF(J$1&lt;Units!$P69,0,IF(AND(Units!$K69=0,J$1=Units!$O69),Units!$R69,IF(AND(J$1&gt;=Units!$Q69,MOD(J$1-Units!$Q69,12)=0),IF(AND(Units!$L69=1,J$1=Units!$Q69),IF(Units!$J69&lt;&gt;"",Units!$J69,Mkt!J70),Inputs!$B$15*Mkt!J70+(1-Inputs!$B$15)*MIN(Mkt!J70,I70*(1+Inputs!$B$18))),I70)))</f>
        <v>1510.625</v>
      </c>
      <c r="K70" s="11" t="n">
        <f aca="false">IF(K$1&lt;Units!$P69,0,IF(AND(Units!$K69=0,K$1=Units!$O69),Units!$R69,IF(AND(K$1&gt;=Units!$Q69,MOD(K$1-Units!$Q69,12)=0),IF(AND(Units!$L69=1,K$1=Units!$Q69),IF(Units!$J69&lt;&gt;"",Units!$J69,Mkt!K70),Inputs!$B$15*Mkt!K70+(1-Inputs!$B$15)*MIN(Mkt!K70,J70*(1+Inputs!$B$18))),J70)))</f>
        <v>1510.625</v>
      </c>
      <c r="L70" s="11" t="n">
        <f aca="false">IF(L$1&lt;Units!$P69,0,IF(AND(Units!$K69=0,L$1=Units!$O69),Units!$R69,IF(AND(L$1&gt;=Units!$Q69,MOD(L$1-Units!$Q69,12)=0),IF(AND(Units!$L69=1,L$1=Units!$Q69),IF(Units!$J69&lt;&gt;"",Units!$J69,Mkt!L70),Inputs!$B$15*Mkt!L70+(1-Inputs!$B$15)*MIN(Mkt!L70,K70*(1+Inputs!$B$18))),K70)))</f>
        <v>1510.625</v>
      </c>
      <c r="M70" s="11" t="n">
        <f aca="false">IF(M$1&lt;Units!$P69,0,IF(AND(Units!$K69=0,M$1=Units!$O69),Units!$R69,IF(AND(M$1&gt;=Units!$Q69,MOD(M$1-Units!$Q69,12)=0),IF(AND(Units!$L69=1,M$1=Units!$Q69),IF(Units!$J69&lt;&gt;"",Units!$J69,Mkt!M70),Inputs!$B$15*Mkt!M70+(1-Inputs!$B$15)*MIN(Mkt!M70,L70*(1+Inputs!$B$18))),L70)))</f>
        <v>1510.625</v>
      </c>
      <c r="N70" s="11" t="n">
        <f aca="false">IF(N$1&lt;Units!$P69,0,IF(AND(Units!$K69=0,N$1=Units!$O69),Units!$R69,IF(AND(N$1&gt;=Units!$Q69,MOD(N$1-Units!$Q69,12)=0),IF(AND(Units!$L69=1,N$1=Units!$Q69),IF(Units!$J69&lt;&gt;"",Units!$J69,Mkt!N70),Inputs!$B$15*Mkt!N70+(1-Inputs!$B$15)*MIN(Mkt!N70,M70*(1+Inputs!$B$18))),M70)))</f>
        <v>1510.625</v>
      </c>
      <c r="O70" s="11" t="n">
        <f aca="false">IF(O$1&lt;Units!$P69,0,IF(AND(Units!$K69=0,O$1=Units!$O69),Units!$R69,IF(AND(O$1&gt;=Units!$Q69,MOD(O$1-Units!$Q69,12)=0),IF(AND(Units!$L69=1,O$1=Units!$Q69),IF(Units!$J69&lt;&gt;"",Units!$J69,Mkt!O70),Inputs!$B$15*Mkt!O70+(1-Inputs!$B$15)*MIN(Mkt!O70,N70*(1+Inputs!$B$18))),N70)))</f>
        <v>1570.75</v>
      </c>
      <c r="P70" s="11" t="n">
        <f aca="false">IF(P$1&lt;Units!$P69,0,IF(AND(Units!$K69=0,P$1=Units!$O69),Units!$R69,IF(AND(P$1&gt;=Units!$Q69,MOD(P$1-Units!$Q69,12)=0),IF(AND(Units!$L69=1,P$1=Units!$Q69),IF(Units!$J69&lt;&gt;"",Units!$J69,Mkt!P70),Inputs!$B$15*Mkt!P70+(1-Inputs!$B$15)*MIN(Mkt!P70,O70*(1+Inputs!$B$18))),O70)))</f>
        <v>1570.75</v>
      </c>
      <c r="Q70" s="11" t="n">
        <f aca="false">IF(Q$1&lt;Units!$P69,0,IF(AND(Units!$K69=0,Q$1=Units!$O69),Units!$R69,IF(AND(Q$1&gt;=Units!$Q69,MOD(Q$1-Units!$Q69,12)=0),IF(AND(Units!$L69=1,Q$1=Units!$Q69),IF(Units!$J69&lt;&gt;"",Units!$J69,Mkt!Q70),Inputs!$B$15*Mkt!Q70+(1-Inputs!$B$15)*MIN(Mkt!Q70,P70*(1+Inputs!$B$18))),P70)))</f>
        <v>1570.75</v>
      </c>
      <c r="R70" s="11" t="n">
        <f aca="false">IF(R$1&lt;Units!$P69,0,IF(AND(Units!$K69=0,R$1=Units!$O69),Units!$R69,IF(AND(R$1&gt;=Units!$Q69,MOD(R$1-Units!$Q69,12)=0),IF(AND(Units!$L69=1,R$1=Units!$Q69),IF(Units!$J69&lt;&gt;"",Units!$J69,Mkt!R70),Inputs!$B$15*Mkt!R70+(1-Inputs!$B$15)*MIN(Mkt!R70,Q70*(1+Inputs!$B$18))),Q70)))</f>
        <v>1570.75</v>
      </c>
      <c r="S70" s="11" t="n">
        <f aca="false">IF(S$1&lt;Units!$P69,0,IF(AND(Units!$K69=0,S$1=Units!$O69),Units!$R69,IF(AND(S$1&gt;=Units!$Q69,MOD(S$1-Units!$Q69,12)=0),IF(AND(Units!$L69=1,S$1=Units!$Q69),IF(Units!$J69&lt;&gt;"",Units!$J69,Mkt!S70),Inputs!$B$15*Mkt!S70+(1-Inputs!$B$15)*MIN(Mkt!S70,R70*(1+Inputs!$B$18))),R70)))</f>
        <v>1570.75</v>
      </c>
      <c r="T70" s="11" t="n">
        <f aca="false">IF(T$1&lt;Units!$P69,0,IF(AND(Units!$K69=0,T$1=Units!$O69),Units!$R69,IF(AND(T$1&gt;=Units!$Q69,MOD(T$1-Units!$Q69,12)=0),IF(AND(Units!$L69=1,T$1=Units!$Q69),IF(Units!$J69&lt;&gt;"",Units!$J69,Mkt!T70),Inputs!$B$15*Mkt!T70+(1-Inputs!$B$15)*MIN(Mkt!T70,S70*(1+Inputs!$B$18))),S70)))</f>
        <v>1570.75</v>
      </c>
      <c r="U70" s="11" t="n">
        <f aca="false">IF(U$1&lt;Units!$P69,0,IF(AND(Units!$K69=0,U$1=Units!$O69),Units!$R69,IF(AND(U$1&gt;=Units!$Q69,MOD(U$1-Units!$Q69,12)=0),IF(AND(Units!$L69=1,U$1=Units!$Q69),IF(Units!$J69&lt;&gt;"",Units!$J69,Mkt!U70),Inputs!$B$15*Mkt!U70+(1-Inputs!$B$15)*MIN(Mkt!U70,T70*(1+Inputs!$B$18))),T70)))</f>
        <v>1570.75</v>
      </c>
      <c r="V70" s="11" t="n">
        <f aca="false">IF(V$1&lt;Units!$P69,0,IF(AND(Units!$K69=0,V$1=Units!$O69),Units!$R69,IF(AND(V$1&gt;=Units!$Q69,MOD(V$1-Units!$Q69,12)=0),IF(AND(Units!$L69=1,V$1=Units!$Q69),IF(Units!$J69&lt;&gt;"",Units!$J69,Mkt!V70),Inputs!$B$15*Mkt!V70+(1-Inputs!$B$15)*MIN(Mkt!V70,U70*(1+Inputs!$B$18))),U70)))</f>
        <v>1570.75</v>
      </c>
      <c r="W70" s="11" t="n">
        <f aca="false">IF(W$1&lt;Units!$P69,0,IF(AND(Units!$K69=0,W$1=Units!$O69),Units!$R69,IF(AND(W$1&gt;=Units!$Q69,MOD(W$1-Units!$Q69,12)=0),IF(AND(Units!$L69=1,W$1=Units!$Q69),IF(Units!$J69&lt;&gt;"",Units!$J69,Mkt!W70),Inputs!$B$15*Mkt!W70+(1-Inputs!$B$15)*MIN(Mkt!W70,V70*(1+Inputs!$B$18))),V70)))</f>
        <v>1570.75</v>
      </c>
      <c r="X70" s="11" t="n">
        <f aca="false">IF(X$1&lt;Units!$P69,0,IF(AND(Units!$K69=0,X$1=Units!$O69),Units!$R69,IF(AND(X$1&gt;=Units!$Q69,MOD(X$1-Units!$Q69,12)=0),IF(AND(Units!$L69=1,X$1=Units!$Q69),IF(Units!$J69&lt;&gt;"",Units!$J69,Mkt!X70),Inputs!$B$15*Mkt!X70+(1-Inputs!$B$15)*MIN(Mkt!X70,W70*(1+Inputs!$B$18))),W70)))</f>
        <v>1570.75</v>
      </c>
      <c r="Y70" s="11" t="n">
        <f aca="false">IF(Y$1&lt;Units!$P69,0,IF(AND(Units!$K69=0,Y$1=Units!$O69),Units!$R69,IF(AND(Y$1&gt;=Units!$Q69,MOD(Y$1-Units!$Q69,12)=0),IF(AND(Units!$L69=1,Y$1=Units!$Q69),IF(Units!$J69&lt;&gt;"",Units!$J69,Mkt!Y70),Inputs!$B$15*Mkt!Y70+(1-Inputs!$B$15)*MIN(Mkt!Y70,X70*(1+Inputs!$B$18))),X70)))</f>
        <v>1570.75</v>
      </c>
      <c r="Z70" s="11" t="n">
        <f aca="false">IF(Z$1&lt;Units!$P69,0,IF(AND(Units!$K69=0,Z$1=Units!$O69),Units!$R69,IF(AND(Z$1&gt;=Units!$Q69,MOD(Z$1-Units!$Q69,12)=0),IF(AND(Units!$L69=1,Z$1=Units!$Q69),IF(Units!$J69&lt;&gt;"",Units!$J69,Mkt!Z70),Inputs!$B$15*Mkt!Z70+(1-Inputs!$B$15)*MIN(Mkt!Z70,Y70*(1+Inputs!$B$18))),Y70)))</f>
        <v>1570.75</v>
      </c>
      <c r="AA70" s="11" t="n">
        <f aca="false">IF(AA$1&lt;Units!$P69,0,IF(AND(Units!$K69=0,AA$1=Units!$O69),Units!$R69,IF(AND(AA$1&gt;=Units!$Q69,MOD(AA$1-Units!$Q69,12)=0),IF(AND(Units!$L69=1,AA$1=Units!$Q69),IF(Units!$J69&lt;&gt;"",Units!$J69,Mkt!AA70),Inputs!$B$15*Mkt!AA70+(1-Inputs!$B$15)*MIN(Mkt!AA70,Z70*(1+Inputs!$B$18))),Z70)))</f>
        <v>1617.8725</v>
      </c>
      <c r="AB70" s="11" t="n">
        <f aca="false">IF(AB$1&lt;Units!$P69,0,IF(AND(Units!$K69=0,AB$1=Units!$O69),Units!$R69,IF(AND(AB$1&gt;=Units!$Q69,MOD(AB$1-Units!$Q69,12)=0),IF(AND(Units!$L69=1,AB$1=Units!$Q69),IF(Units!$J69&lt;&gt;"",Units!$J69,Mkt!AB70),Inputs!$B$15*Mkt!AB70+(1-Inputs!$B$15)*MIN(Mkt!AB70,AA70*(1+Inputs!$B$18))),AA70)))</f>
        <v>1617.8725</v>
      </c>
      <c r="AC70" s="11" t="n">
        <f aca="false">IF(AC$1&lt;Units!$P69,0,IF(AND(Units!$K69=0,AC$1=Units!$O69),Units!$R69,IF(AND(AC$1&gt;=Units!$Q69,MOD(AC$1-Units!$Q69,12)=0),IF(AND(Units!$L69=1,AC$1=Units!$Q69),IF(Units!$J69&lt;&gt;"",Units!$J69,Mkt!AC70),Inputs!$B$15*Mkt!AC70+(1-Inputs!$B$15)*MIN(Mkt!AC70,AB70*(1+Inputs!$B$18))),AB70)))</f>
        <v>1617.8725</v>
      </c>
      <c r="AD70" s="11" t="n">
        <f aca="false">IF(AD$1&lt;Units!$P69,0,IF(AND(Units!$K69=0,AD$1=Units!$O69),Units!$R69,IF(AND(AD$1&gt;=Units!$Q69,MOD(AD$1-Units!$Q69,12)=0),IF(AND(Units!$L69=1,AD$1=Units!$Q69),IF(Units!$J69&lt;&gt;"",Units!$J69,Mkt!AD70),Inputs!$B$15*Mkt!AD70+(1-Inputs!$B$15)*MIN(Mkt!AD70,AC70*(1+Inputs!$B$18))),AC70)))</f>
        <v>1617.8725</v>
      </c>
      <c r="AE70" s="11" t="n">
        <f aca="false">IF(AE$1&lt;Units!$P69,0,IF(AND(Units!$K69=0,AE$1=Units!$O69),Units!$R69,IF(AND(AE$1&gt;=Units!$Q69,MOD(AE$1-Units!$Q69,12)=0),IF(AND(Units!$L69=1,AE$1=Units!$Q69),IF(Units!$J69&lt;&gt;"",Units!$J69,Mkt!AE70),Inputs!$B$15*Mkt!AE70+(1-Inputs!$B$15)*MIN(Mkt!AE70,AD70*(1+Inputs!$B$18))),AD70)))</f>
        <v>1617.8725</v>
      </c>
      <c r="AF70" s="11" t="n">
        <f aca="false">IF(AF$1&lt;Units!$P69,0,IF(AND(Units!$K69=0,AF$1=Units!$O69),Units!$R69,IF(AND(AF$1&gt;=Units!$Q69,MOD(AF$1-Units!$Q69,12)=0),IF(AND(Units!$L69=1,AF$1=Units!$Q69),IF(Units!$J69&lt;&gt;"",Units!$J69,Mkt!AF70),Inputs!$B$15*Mkt!AF70+(1-Inputs!$B$15)*MIN(Mkt!AF70,AE70*(1+Inputs!$B$18))),AE70)))</f>
        <v>1617.8725</v>
      </c>
      <c r="AG70" s="11" t="n">
        <f aca="false">IF(AG$1&lt;Units!$P69,0,IF(AND(Units!$K69=0,AG$1=Units!$O69),Units!$R69,IF(AND(AG$1&gt;=Units!$Q69,MOD(AG$1-Units!$Q69,12)=0),IF(AND(Units!$L69=1,AG$1=Units!$Q69),IF(Units!$J69&lt;&gt;"",Units!$J69,Mkt!AG70),Inputs!$B$15*Mkt!AG70+(1-Inputs!$B$15)*MIN(Mkt!AG70,AF70*(1+Inputs!$B$18))),AF70)))</f>
        <v>1617.8725</v>
      </c>
      <c r="AH70" s="11" t="n">
        <f aca="false">IF(AH$1&lt;Units!$P69,0,IF(AND(Units!$K69=0,AH$1=Units!$O69),Units!$R69,IF(AND(AH$1&gt;=Units!$Q69,MOD(AH$1-Units!$Q69,12)=0),IF(AND(Units!$L69=1,AH$1=Units!$Q69),IF(Units!$J69&lt;&gt;"",Units!$J69,Mkt!AH70),Inputs!$B$15*Mkt!AH70+(1-Inputs!$B$15)*MIN(Mkt!AH70,AG70*(1+Inputs!$B$18))),AG70)))</f>
        <v>1617.8725</v>
      </c>
      <c r="AI70" s="11" t="n">
        <f aca="false">IF(AI$1&lt;Units!$P69,0,IF(AND(Units!$K69=0,AI$1=Units!$O69),Units!$R69,IF(AND(AI$1&gt;=Units!$Q69,MOD(AI$1-Units!$Q69,12)=0),IF(AND(Units!$L69=1,AI$1=Units!$Q69),IF(Units!$J69&lt;&gt;"",Units!$J69,Mkt!AI70),Inputs!$B$15*Mkt!AI70+(1-Inputs!$B$15)*MIN(Mkt!AI70,AH70*(1+Inputs!$B$18))),AH70)))</f>
        <v>1617.8725</v>
      </c>
      <c r="AJ70" s="11" t="n">
        <f aca="false">IF(AJ$1&lt;Units!$P69,0,IF(AND(Units!$K69=0,AJ$1=Units!$O69),Units!$R69,IF(AND(AJ$1&gt;=Units!$Q69,MOD(AJ$1-Units!$Q69,12)=0),IF(AND(Units!$L69=1,AJ$1=Units!$Q69),IF(Units!$J69&lt;&gt;"",Units!$J69,Mkt!AJ70),Inputs!$B$15*Mkt!AJ70+(1-Inputs!$B$15)*MIN(Mkt!AJ70,AI70*(1+Inputs!$B$18))),AI70)))</f>
        <v>1617.8725</v>
      </c>
      <c r="AK70" s="11" t="n">
        <f aca="false">IF(AK$1&lt;Units!$P69,0,IF(AND(Units!$K69=0,AK$1=Units!$O69),Units!$R69,IF(AND(AK$1&gt;=Units!$Q69,MOD(AK$1-Units!$Q69,12)=0),IF(AND(Units!$L69=1,AK$1=Units!$Q69),IF(Units!$J69&lt;&gt;"",Units!$J69,Mkt!AK70),Inputs!$B$15*Mkt!AK70+(1-Inputs!$B$15)*MIN(Mkt!AK70,AJ70*(1+Inputs!$B$18))),AJ70)))</f>
        <v>1617.8725</v>
      </c>
      <c r="AL70" s="11" t="n">
        <f aca="false">IF(AL$1&lt;Units!$P69,0,IF(AND(Units!$K69=0,AL$1=Units!$O69),Units!$R69,IF(AND(AL$1&gt;=Units!$Q69,MOD(AL$1-Units!$Q69,12)=0),IF(AND(Units!$L69=1,AL$1=Units!$Q69),IF(Units!$J69&lt;&gt;"",Units!$J69,Mkt!AL70),Inputs!$B$15*Mkt!AL70+(1-Inputs!$B$15)*MIN(Mkt!AL70,AK70*(1+Inputs!$B$18))),AK70)))</f>
        <v>1617.8725</v>
      </c>
      <c r="AM70" s="11" t="n">
        <f aca="false">IF(AM$1&lt;Units!$P69,0,IF(AND(Units!$K69=0,AM$1=Units!$O69),Units!$R69,IF(AND(AM$1&gt;=Units!$Q69,MOD(AM$1-Units!$Q69,12)=0),IF(AND(Units!$L69=1,AM$1=Units!$Q69),IF(Units!$J69&lt;&gt;"",Units!$J69,Mkt!AM70),Inputs!$B$15*Mkt!AM70+(1-Inputs!$B$15)*MIN(Mkt!AM70,AL70*(1+Inputs!$B$18))),AL70)))</f>
        <v>1666.408675</v>
      </c>
      <c r="AN70" s="11" t="n">
        <f aca="false">IF(AN$1&lt;Units!$P69,0,IF(AND(Units!$K69=0,AN$1=Units!$O69),Units!$R69,IF(AND(AN$1&gt;=Units!$Q69,MOD(AN$1-Units!$Q69,12)=0),IF(AND(Units!$L69=1,AN$1=Units!$Q69),IF(Units!$J69&lt;&gt;"",Units!$J69,Mkt!AN70),Inputs!$B$15*Mkt!AN70+(1-Inputs!$B$15)*MIN(Mkt!AN70,AM70*(1+Inputs!$B$18))),AM70)))</f>
        <v>1666.408675</v>
      </c>
      <c r="AO70" s="11" t="n">
        <f aca="false">IF(AO$1&lt;Units!$P69,0,IF(AND(Units!$K69=0,AO$1=Units!$O69),Units!$R69,IF(AND(AO$1&gt;=Units!$Q69,MOD(AO$1-Units!$Q69,12)=0),IF(AND(Units!$L69=1,AO$1=Units!$Q69),IF(Units!$J69&lt;&gt;"",Units!$J69,Mkt!AO70),Inputs!$B$15*Mkt!AO70+(1-Inputs!$B$15)*MIN(Mkt!AO70,AN70*(1+Inputs!$B$18))),AN70)))</f>
        <v>1666.408675</v>
      </c>
      <c r="AP70" s="11" t="n">
        <f aca="false">IF(AP$1&lt;Units!$P69,0,IF(AND(Units!$K69=0,AP$1=Units!$O69),Units!$R69,IF(AND(AP$1&gt;=Units!$Q69,MOD(AP$1-Units!$Q69,12)=0),IF(AND(Units!$L69=1,AP$1=Units!$Q69),IF(Units!$J69&lt;&gt;"",Units!$J69,Mkt!AP70),Inputs!$B$15*Mkt!AP70+(1-Inputs!$B$15)*MIN(Mkt!AP70,AO70*(1+Inputs!$B$18))),AO70)))</f>
        <v>1666.408675</v>
      </c>
      <c r="AQ70" s="11" t="n">
        <f aca="false">IF(AQ$1&lt;Units!$P69,0,IF(AND(Units!$K69=0,AQ$1=Units!$O69),Units!$R69,IF(AND(AQ$1&gt;=Units!$Q69,MOD(AQ$1-Units!$Q69,12)=0),IF(AND(Units!$L69=1,AQ$1=Units!$Q69),IF(Units!$J69&lt;&gt;"",Units!$J69,Mkt!AQ70),Inputs!$B$15*Mkt!AQ70+(1-Inputs!$B$15)*MIN(Mkt!AQ70,AP70*(1+Inputs!$B$18))),AP70)))</f>
        <v>1666.408675</v>
      </c>
      <c r="AR70" s="11" t="n">
        <f aca="false">IF(AR$1&lt;Units!$P69,0,IF(AND(Units!$K69=0,AR$1=Units!$O69),Units!$R69,IF(AND(AR$1&gt;=Units!$Q69,MOD(AR$1-Units!$Q69,12)=0),IF(AND(Units!$L69=1,AR$1=Units!$Q69),IF(Units!$J69&lt;&gt;"",Units!$J69,Mkt!AR70),Inputs!$B$15*Mkt!AR70+(1-Inputs!$B$15)*MIN(Mkt!AR70,AQ70*(1+Inputs!$B$18))),AQ70)))</f>
        <v>1666.408675</v>
      </c>
      <c r="AS70" s="11" t="n">
        <f aca="false">IF(AS$1&lt;Units!$P69,0,IF(AND(Units!$K69=0,AS$1=Units!$O69),Units!$R69,IF(AND(AS$1&gt;=Units!$Q69,MOD(AS$1-Units!$Q69,12)=0),IF(AND(Units!$L69=1,AS$1=Units!$Q69),IF(Units!$J69&lt;&gt;"",Units!$J69,Mkt!AS70),Inputs!$B$15*Mkt!AS70+(1-Inputs!$B$15)*MIN(Mkt!AS70,AR70*(1+Inputs!$B$18))),AR70)))</f>
        <v>1666.408675</v>
      </c>
      <c r="AT70" s="11" t="n">
        <f aca="false">IF(AT$1&lt;Units!$P69,0,IF(AND(Units!$K69=0,AT$1=Units!$O69),Units!$R69,IF(AND(AT$1&gt;=Units!$Q69,MOD(AT$1-Units!$Q69,12)=0),IF(AND(Units!$L69=1,AT$1=Units!$Q69),IF(Units!$J69&lt;&gt;"",Units!$J69,Mkt!AT70),Inputs!$B$15*Mkt!AT70+(1-Inputs!$B$15)*MIN(Mkt!AT70,AS70*(1+Inputs!$B$18))),AS70)))</f>
        <v>1666.408675</v>
      </c>
      <c r="AU70" s="11" t="n">
        <f aca="false">IF(AU$1&lt;Units!$P69,0,IF(AND(Units!$K69=0,AU$1=Units!$O69),Units!$R69,IF(AND(AU$1&gt;=Units!$Q69,MOD(AU$1-Units!$Q69,12)=0),IF(AND(Units!$L69=1,AU$1=Units!$Q69),IF(Units!$J69&lt;&gt;"",Units!$J69,Mkt!AU70),Inputs!$B$15*Mkt!AU70+(1-Inputs!$B$15)*MIN(Mkt!AU70,AT70*(1+Inputs!$B$18))),AT70)))</f>
        <v>1666.408675</v>
      </c>
      <c r="AV70" s="11" t="n">
        <f aca="false">IF(AV$1&lt;Units!$P69,0,IF(AND(Units!$K69=0,AV$1=Units!$O69),Units!$R69,IF(AND(AV$1&gt;=Units!$Q69,MOD(AV$1-Units!$Q69,12)=0),IF(AND(Units!$L69=1,AV$1=Units!$Q69),IF(Units!$J69&lt;&gt;"",Units!$J69,Mkt!AV70),Inputs!$B$15*Mkt!AV70+(1-Inputs!$B$15)*MIN(Mkt!AV70,AU70*(1+Inputs!$B$18))),AU70)))</f>
        <v>1666.408675</v>
      </c>
      <c r="AW70" s="11" t="n">
        <f aca="false">IF(AW$1&lt;Units!$P69,0,IF(AND(Units!$K69=0,AW$1=Units!$O69),Units!$R69,IF(AND(AW$1&gt;=Units!$Q69,MOD(AW$1-Units!$Q69,12)=0),IF(AND(Units!$L69=1,AW$1=Units!$Q69),IF(Units!$J69&lt;&gt;"",Units!$J69,Mkt!AW70),Inputs!$B$15*Mkt!AW70+(1-Inputs!$B$15)*MIN(Mkt!AW70,AV70*(1+Inputs!$B$18))),AV70)))</f>
        <v>1666.408675</v>
      </c>
      <c r="AX70" s="11" t="n">
        <f aca="false">IF(AX$1&lt;Units!$P69,0,IF(AND(Units!$K69=0,AX$1=Units!$O69),Units!$R69,IF(AND(AX$1&gt;=Units!$Q69,MOD(AX$1-Units!$Q69,12)=0),IF(AND(Units!$L69=1,AX$1=Units!$Q69),IF(Units!$J69&lt;&gt;"",Units!$J69,Mkt!AX70),Inputs!$B$15*Mkt!AX70+(1-Inputs!$B$15)*MIN(Mkt!AX70,AW70*(1+Inputs!$B$18))),AW70)))</f>
        <v>1666.408675</v>
      </c>
      <c r="AY70" s="11" t="n">
        <f aca="false">IF(AY$1&lt;Units!$P69,0,IF(AND(Units!$K69=0,AY$1=Units!$O69),Units!$R69,IF(AND(AY$1&gt;=Units!$Q69,MOD(AY$1-Units!$Q69,12)=0),IF(AND(Units!$L69=1,AY$1=Units!$Q69),IF(Units!$J69&lt;&gt;"",Units!$J69,Mkt!AY70),Inputs!$B$15*Mkt!AY70+(1-Inputs!$B$15)*MIN(Mkt!AY70,AX70*(1+Inputs!$B$18))),AX70)))</f>
        <v>1716.40093525</v>
      </c>
      <c r="AZ70" s="11" t="n">
        <f aca="false">IF(AZ$1&lt;Units!$P69,0,IF(AND(Units!$K69=0,AZ$1=Units!$O69),Units!$R69,IF(AND(AZ$1&gt;=Units!$Q69,MOD(AZ$1-Units!$Q69,12)=0),IF(AND(Units!$L69=1,AZ$1=Units!$Q69),IF(Units!$J69&lt;&gt;"",Units!$J69,Mkt!AZ70),Inputs!$B$15*Mkt!AZ70+(1-Inputs!$B$15)*MIN(Mkt!AZ70,AY70*(1+Inputs!$B$18))),AY70)))</f>
        <v>1716.40093525</v>
      </c>
      <c r="BA70" s="11" t="n">
        <f aca="false">IF(BA$1&lt;Units!$P69,0,IF(AND(Units!$K69=0,BA$1=Units!$O69),Units!$R69,IF(AND(BA$1&gt;=Units!$Q69,MOD(BA$1-Units!$Q69,12)=0),IF(AND(Units!$L69=1,BA$1=Units!$Q69),IF(Units!$J69&lt;&gt;"",Units!$J69,Mkt!BA70),Inputs!$B$15*Mkt!BA70+(1-Inputs!$B$15)*MIN(Mkt!BA70,AZ70*(1+Inputs!$B$18))),AZ70)))</f>
        <v>1716.40093525</v>
      </c>
      <c r="BB70" s="11" t="n">
        <f aca="false">IF(BB$1&lt;Units!$P69,0,IF(AND(Units!$K69=0,BB$1=Units!$O69),Units!$R69,IF(AND(BB$1&gt;=Units!$Q69,MOD(BB$1-Units!$Q69,12)=0),IF(AND(Units!$L69=1,BB$1=Units!$Q69),IF(Units!$J69&lt;&gt;"",Units!$J69,Mkt!BB70),Inputs!$B$15*Mkt!BB70+(1-Inputs!$B$15)*MIN(Mkt!BB70,BA70*(1+Inputs!$B$18))),BA70)))</f>
        <v>1716.40093525</v>
      </c>
      <c r="BC70" s="11" t="n">
        <f aca="false">IF(BC$1&lt;Units!$P69,0,IF(AND(Units!$K69=0,BC$1=Units!$O69),Units!$R69,IF(AND(BC$1&gt;=Units!$Q69,MOD(BC$1-Units!$Q69,12)=0),IF(AND(Units!$L69=1,BC$1=Units!$Q69),IF(Units!$J69&lt;&gt;"",Units!$J69,Mkt!BC70),Inputs!$B$15*Mkt!BC70+(1-Inputs!$B$15)*MIN(Mkt!BC70,BB70*(1+Inputs!$B$18))),BB70)))</f>
        <v>1716.40093525</v>
      </c>
      <c r="BD70" s="11" t="n">
        <f aca="false">IF(BD$1&lt;Units!$P69,0,IF(AND(Units!$K69=0,BD$1=Units!$O69),Units!$R69,IF(AND(BD$1&gt;=Units!$Q69,MOD(BD$1-Units!$Q69,12)=0),IF(AND(Units!$L69=1,BD$1=Units!$Q69),IF(Units!$J69&lt;&gt;"",Units!$J69,Mkt!BD70),Inputs!$B$15*Mkt!BD70+(1-Inputs!$B$15)*MIN(Mkt!BD70,BC70*(1+Inputs!$B$18))),BC70)))</f>
        <v>1716.40093525</v>
      </c>
      <c r="BE70" s="11" t="n">
        <f aca="false">IF(BE$1&lt;Units!$P69,0,IF(AND(Units!$K69=0,BE$1=Units!$O69),Units!$R69,IF(AND(BE$1&gt;=Units!$Q69,MOD(BE$1-Units!$Q69,12)=0),IF(AND(Units!$L69=1,BE$1=Units!$Q69),IF(Units!$J69&lt;&gt;"",Units!$J69,Mkt!BE70),Inputs!$B$15*Mkt!BE70+(1-Inputs!$B$15)*MIN(Mkt!BE70,BD70*(1+Inputs!$B$18))),BD70)))</f>
        <v>1716.40093525</v>
      </c>
      <c r="BF70" s="11" t="n">
        <f aca="false">IF(BF$1&lt;Units!$P69,0,IF(AND(Units!$K69=0,BF$1=Units!$O69),Units!$R69,IF(AND(BF$1&gt;=Units!$Q69,MOD(BF$1-Units!$Q69,12)=0),IF(AND(Units!$L69=1,BF$1=Units!$Q69),IF(Units!$J69&lt;&gt;"",Units!$J69,Mkt!BF70),Inputs!$B$15*Mkt!BF70+(1-Inputs!$B$15)*MIN(Mkt!BF70,BE70*(1+Inputs!$B$18))),BE70)))</f>
        <v>1716.40093525</v>
      </c>
      <c r="BG70" s="11" t="n">
        <f aca="false">IF(BG$1&lt;Units!$P69,0,IF(AND(Units!$K69=0,BG$1=Units!$O69),Units!$R69,IF(AND(BG$1&gt;=Units!$Q69,MOD(BG$1-Units!$Q69,12)=0),IF(AND(Units!$L69=1,BG$1=Units!$Q69),IF(Units!$J69&lt;&gt;"",Units!$J69,Mkt!BG70),Inputs!$B$15*Mkt!BG70+(1-Inputs!$B$15)*MIN(Mkt!BG70,BF70*(1+Inputs!$B$18))),BF70)))</f>
        <v>1716.40093525</v>
      </c>
      <c r="BH70" s="11" t="n">
        <f aca="false">IF(BH$1&lt;Units!$P69,0,IF(AND(Units!$K69=0,BH$1=Units!$O69),Units!$R69,IF(AND(BH$1&gt;=Units!$Q69,MOD(BH$1-Units!$Q69,12)=0),IF(AND(Units!$L69=1,BH$1=Units!$Q69),IF(Units!$J69&lt;&gt;"",Units!$J69,Mkt!BH70),Inputs!$B$15*Mkt!BH70+(1-Inputs!$B$15)*MIN(Mkt!BH70,BG70*(1+Inputs!$B$18))),BG70)))</f>
        <v>1716.40093525</v>
      </c>
      <c r="BI70" s="11" t="n">
        <f aca="false">IF(BI$1&lt;Units!$P69,0,IF(AND(Units!$K69=0,BI$1=Units!$O69),Units!$R69,IF(AND(BI$1&gt;=Units!$Q69,MOD(BI$1-Units!$Q69,12)=0),IF(AND(Units!$L69=1,BI$1=Units!$Q69),IF(Units!$J69&lt;&gt;"",Units!$J69,Mkt!BI70),Inputs!$B$15*Mkt!BI70+(1-Inputs!$B$15)*MIN(Mkt!BI70,BH70*(1+Inputs!$B$18))),BH70)))</f>
        <v>1716.40093525</v>
      </c>
      <c r="BJ70" s="11" t="n">
        <f aca="false">IF(BJ$1&lt;Units!$P69,0,IF(AND(Units!$K69=0,BJ$1=Units!$O69),Units!$R69,IF(AND(BJ$1&gt;=Units!$Q69,MOD(BJ$1-Units!$Q69,12)=0),IF(AND(Units!$L69=1,BJ$1=Units!$Q69),IF(Units!$J69&lt;&gt;"",Units!$J69,Mkt!BJ70),Inputs!$B$15*Mkt!BJ70+(1-Inputs!$B$15)*MIN(Mkt!BJ70,BI70*(1+Inputs!$B$18))),BI70)))</f>
        <v>1716.40093525</v>
      </c>
      <c r="BK70" s="11" t="n">
        <f aca="false">IF(BK$1&lt;Units!$P69,0,IF(AND(Units!$K69=0,BK$1=Units!$O69),Units!$R69,IF(AND(BK$1&gt;=Units!$Q69,MOD(BK$1-Units!$Q69,12)=0),IF(AND(Units!$L69=1,BK$1=Units!$Q69),IF(Units!$J69&lt;&gt;"",Units!$J69,Mkt!BK70),Inputs!$B$15*Mkt!BK70+(1-Inputs!$B$15)*MIN(Mkt!BK70,BJ70*(1+Inputs!$B$18))),BJ70)))</f>
        <v>1767.8929633075</v>
      </c>
      <c r="BL70" s="11" t="n">
        <f aca="false">IF(BL$1&lt;Units!$P69,0,IF(AND(Units!$K69=0,BL$1=Units!$O69),Units!$R69,IF(AND(BL$1&gt;=Units!$Q69,MOD(BL$1-Units!$Q69,12)=0),IF(AND(Units!$L69=1,BL$1=Units!$Q69),IF(Units!$J69&lt;&gt;"",Units!$J69,Mkt!BL70),Inputs!$B$15*Mkt!BL70+(1-Inputs!$B$15)*MIN(Mkt!BL70,BK70*(1+Inputs!$B$18))),BK70)))</f>
        <v>1767.8929633075</v>
      </c>
      <c r="BM70" s="11" t="n">
        <f aca="false">IF(BM$1&lt;Units!$P69,0,IF(AND(Units!$K69=0,BM$1=Units!$O69),Units!$R69,IF(AND(BM$1&gt;=Units!$Q69,MOD(BM$1-Units!$Q69,12)=0),IF(AND(Units!$L69=1,BM$1=Units!$Q69),IF(Units!$J69&lt;&gt;"",Units!$J69,Mkt!BM70),Inputs!$B$15*Mkt!BM70+(1-Inputs!$B$15)*MIN(Mkt!BM70,BL70*(1+Inputs!$B$18))),BL70)))</f>
        <v>1767.8929633075</v>
      </c>
      <c r="BN70" s="11" t="n">
        <f aca="false">IF(BN$1&lt;Units!$P69,0,IF(AND(Units!$K69=0,BN$1=Units!$O69),Units!$R69,IF(AND(BN$1&gt;=Units!$Q69,MOD(BN$1-Units!$Q69,12)=0),IF(AND(Units!$L69=1,BN$1=Units!$Q69),IF(Units!$J69&lt;&gt;"",Units!$J69,Mkt!BN70),Inputs!$B$15*Mkt!BN70+(1-Inputs!$B$15)*MIN(Mkt!BN70,BM70*(1+Inputs!$B$18))),BM70)))</f>
        <v>1767.8929633075</v>
      </c>
      <c r="BO70" s="11" t="n">
        <f aca="false">IF(BO$1&lt;Units!$P69,0,IF(AND(Units!$K69=0,BO$1=Units!$O69),Units!$R69,IF(AND(BO$1&gt;=Units!$Q69,MOD(BO$1-Units!$Q69,12)=0),IF(AND(Units!$L69=1,BO$1=Units!$Q69),IF(Units!$J69&lt;&gt;"",Units!$J69,Mkt!BO70),Inputs!$B$15*Mkt!BO70+(1-Inputs!$B$15)*MIN(Mkt!BO70,BN70*(1+Inputs!$B$18))),BN70)))</f>
        <v>1767.8929633075</v>
      </c>
      <c r="BP70" s="11" t="n">
        <f aca="false">IF(BP$1&lt;Units!$P69,0,IF(AND(Units!$K69=0,BP$1=Units!$O69),Units!$R69,IF(AND(BP$1&gt;=Units!$Q69,MOD(BP$1-Units!$Q69,12)=0),IF(AND(Units!$L69=1,BP$1=Units!$Q69),IF(Units!$J69&lt;&gt;"",Units!$J69,Mkt!BP70),Inputs!$B$15*Mkt!BP70+(1-Inputs!$B$15)*MIN(Mkt!BP70,BO70*(1+Inputs!$B$18))),BO70)))</f>
        <v>1767.8929633075</v>
      </c>
      <c r="BQ70" s="11" t="n">
        <f aca="false">IF(BQ$1&lt;Units!$P69,0,IF(AND(Units!$K69=0,BQ$1=Units!$O69),Units!$R69,IF(AND(BQ$1&gt;=Units!$Q69,MOD(BQ$1-Units!$Q69,12)=0),IF(AND(Units!$L69=1,BQ$1=Units!$Q69),IF(Units!$J69&lt;&gt;"",Units!$J69,Mkt!BQ70),Inputs!$B$15*Mkt!BQ70+(1-Inputs!$B$15)*MIN(Mkt!BQ70,BP70*(1+Inputs!$B$18))),BP70)))</f>
        <v>1767.8929633075</v>
      </c>
      <c r="BR70" s="11" t="n">
        <f aca="false">IF(BR$1&lt;Units!$P69,0,IF(AND(Units!$K69=0,BR$1=Units!$O69),Units!$R69,IF(AND(BR$1&gt;=Units!$Q69,MOD(BR$1-Units!$Q69,12)=0),IF(AND(Units!$L69=1,BR$1=Units!$Q69),IF(Units!$J69&lt;&gt;"",Units!$J69,Mkt!BR70),Inputs!$B$15*Mkt!BR70+(1-Inputs!$B$15)*MIN(Mkt!BR70,BQ70*(1+Inputs!$B$18))),BQ70)))</f>
        <v>1767.8929633075</v>
      </c>
      <c r="BS70" s="11" t="n">
        <f aca="false">IF(BS$1&lt;Units!$P69,0,IF(AND(Units!$K69=0,BS$1=Units!$O69),Units!$R69,IF(AND(BS$1&gt;=Units!$Q69,MOD(BS$1-Units!$Q69,12)=0),IF(AND(Units!$L69=1,BS$1=Units!$Q69),IF(Units!$J69&lt;&gt;"",Units!$J69,Mkt!BS70),Inputs!$B$15*Mkt!BS70+(1-Inputs!$B$15)*MIN(Mkt!BS70,BR70*(1+Inputs!$B$18))),BR70)))</f>
        <v>1767.8929633075</v>
      </c>
      <c r="BT70" s="11" t="n">
        <f aca="false">IF(BT$1&lt;Units!$P69,0,IF(AND(Units!$K69=0,BT$1=Units!$O69),Units!$R69,IF(AND(BT$1&gt;=Units!$Q69,MOD(BT$1-Units!$Q69,12)=0),IF(AND(Units!$L69=1,BT$1=Units!$Q69),IF(Units!$J69&lt;&gt;"",Units!$J69,Mkt!BT70),Inputs!$B$15*Mkt!BT70+(1-Inputs!$B$15)*MIN(Mkt!BT70,BS70*(1+Inputs!$B$18))),BS70)))</f>
        <v>1767.8929633075</v>
      </c>
      <c r="BU70" s="11" t="n">
        <f aca="false">IF(BU$1&lt;Units!$P69,0,IF(AND(Units!$K69=0,BU$1=Units!$O69),Units!$R69,IF(AND(BU$1&gt;=Units!$Q69,MOD(BU$1-Units!$Q69,12)=0),IF(AND(Units!$L69=1,BU$1=Units!$Q69),IF(Units!$J69&lt;&gt;"",Units!$J69,Mkt!BU70),Inputs!$B$15*Mkt!BU70+(1-Inputs!$B$15)*MIN(Mkt!BU70,BT70*(1+Inputs!$B$18))),BT70)))</f>
        <v>1767.8929633075</v>
      </c>
      <c r="BV70" s="11" t="n">
        <f aca="false">IF(BV$1&lt;Units!$P69,0,IF(AND(Units!$K69=0,BV$1=Units!$O69),Units!$R69,IF(AND(BV$1&gt;=Units!$Q69,MOD(BV$1-Units!$Q69,12)=0),IF(AND(Units!$L69=1,BV$1=Units!$Q69),IF(Units!$J69&lt;&gt;"",Units!$J69,Mkt!BV70),Inputs!$B$15*Mkt!BV70+(1-Inputs!$B$15)*MIN(Mkt!BV70,BU70*(1+Inputs!$B$18))),BU70)))</f>
        <v>1767.8929633075</v>
      </c>
      <c r="BW70" s="11" t="n">
        <f aca="false">IF(BW$1&lt;Units!$P69,0,IF(AND(Units!$K69=0,BW$1=Units!$O69),Units!$R69,IF(AND(BW$1&gt;=Units!$Q69,MOD(BW$1-Units!$Q69,12)=0),IF(AND(Units!$L69=1,BW$1=Units!$Q69),IF(Units!$J69&lt;&gt;"",Units!$J69,Mkt!BW70),Inputs!$B$15*Mkt!BW70+(1-Inputs!$B$15)*MIN(Mkt!BW70,BV70*(1+Inputs!$B$18))),BV70)))</f>
        <v>1820.92975220673</v>
      </c>
      <c r="BX70" s="11" t="n">
        <f aca="false">IF(BX$1&lt;Units!$P69,0,IF(AND(Units!$K69=0,BX$1=Units!$O69),Units!$R69,IF(AND(BX$1&gt;=Units!$Q69,MOD(BX$1-Units!$Q69,12)=0),IF(AND(Units!$L69=1,BX$1=Units!$Q69),IF(Units!$J69&lt;&gt;"",Units!$J69,Mkt!BX70),Inputs!$B$15*Mkt!BX70+(1-Inputs!$B$15)*MIN(Mkt!BX70,BW70*(1+Inputs!$B$18))),BW70)))</f>
        <v>1820.92975220673</v>
      </c>
      <c r="BY70" s="11" t="n">
        <f aca="false">IF(BY$1&lt;Units!$P69,0,IF(AND(Units!$K69=0,BY$1=Units!$O69),Units!$R69,IF(AND(BY$1&gt;=Units!$Q69,MOD(BY$1-Units!$Q69,12)=0),IF(AND(Units!$L69=1,BY$1=Units!$Q69),IF(Units!$J69&lt;&gt;"",Units!$J69,Mkt!BY70),Inputs!$B$15*Mkt!BY70+(1-Inputs!$B$15)*MIN(Mkt!BY70,BX70*(1+Inputs!$B$18))),BX70)))</f>
        <v>1820.92975220673</v>
      </c>
      <c r="BZ70" s="11" t="n">
        <f aca="false">IF(BZ$1&lt;Units!$P69,0,IF(AND(Units!$K69=0,BZ$1=Units!$O69),Units!$R69,IF(AND(BZ$1&gt;=Units!$Q69,MOD(BZ$1-Units!$Q69,12)=0),IF(AND(Units!$L69=1,BZ$1=Units!$Q69),IF(Units!$J69&lt;&gt;"",Units!$J69,Mkt!BZ70),Inputs!$B$15*Mkt!BZ70+(1-Inputs!$B$15)*MIN(Mkt!BZ70,BY70*(1+Inputs!$B$18))),BY70)))</f>
        <v>1820.92975220673</v>
      </c>
      <c r="CA70" s="11" t="n">
        <f aca="false">IF(CA$1&lt;Units!$P69,0,IF(AND(Units!$K69=0,CA$1=Units!$O69),Units!$R69,IF(AND(CA$1&gt;=Units!$Q69,MOD(CA$1-Units!$Q69,12)=0),IF(AND(Units!$L69=1,CA$1=Units!$Q69),IF(Units!$J69&lt;&gt;"",Units!$J69,Mkt!CA70),Inputs!$B$15*Mkt!CA70+(1-Inputs!$B$15)*MIN(Mkt!CA70,BZ70*(1+Inputs!$B$18))),BZ70)))</f>
        <v>1820.92975220673</v>
      </c>
      <c r="CB70" s="11" t="n">
        <f aca="false">IF(CB$1&lt;Units!$P69,0,IF(AND(Units!$K69=0,CB$1=Units!$O69),Units!$R69,IF(AND(CB$1&gt;=Units!$Q69,MOD(CB$1-Units!$Q69,12)=0),IF(AND(Units!$L69=1,CB$1=Units!$Q69),IF(Units!$J69&lt;&gt;"",Units!$J69,Mkt!CB70),Inputs!$B$15*Mkt!CB70+(1-Inputs!$B$15)*MIN(Mkt!CB70,CA70*(1+Inputs!$B$18))),CA70)))</f>
        <v>1820.92975220673</v>
      </c>
      <c r="CC70" s="11" t="n">
        <f aca="false">IF(CC$1&lt;Units!$P69,0,IF(AND(Units!$K69=0,CC$1=Units!$O69),Units!$R69,IF(AND(CC$1&gt;=Units!$Q69,MOD(CC$1-Units!$Q69,12)=0),IF(AND(Units!$L69=1,CC$1=Units!$Q69),IF(Units!$J69&lt;&gt;"",Units!$J69,Mkt!CC70),Inputs!$B$15*Mkt!CC70+(1-Inputs!$B$15)*MIN(Mkt!CC70,CB70*(1+Inputs!$B$18))),CB70)))</f>
        <v>1820.92975220673</v>
      </c>
      <c r="CD70" s="11" t="n">
        <f aca="false">IF(CD$1&lt;Units!$P69,0,IF(AND(Units!$K69=0,CD$1=Units!$O69),Units!$R69,IF(AND(CD$1&gt;=Units!$Q69,MOD(CD$1-Units!$Q69,12)=0),IF(AND(Units!$L69=1,CD$1=Units!$Q69),IF(Units!$J69&lt;&gt;"",Units!$J69,Mkt!CD70),Inputs!$B$15*Mkt!CD70+(1-Inputs!$B$15)*MIN(Mkt!CD70,CC70*(1+Inputs!$B$18))),CC70)))</f>
        <v>1820.92975220673</v>
      </c>
      <c r="CE70" s="11" t="n">
        <f aca="false">IF(CE$1&lt;Units!$P69,0,IF(AND(Units!$K69=0,CE$1=Units!$O69),Units!$R69,IF(AND(CE$1&gt;=Units!$Q69,MOD(CE$1-Units!$Q69,12)=0),IF(AND(Units!$L69=1,CE$1=Units!$Q69),IF(Units!$J69&lt;&gt;"",Units!$J69,Mkt!CE70),Inputs!$B$15*Mkt!CE70+(1-Inputs!$B$15)*MIN(Mkt!CE70,CD70*(1+Inputs!$B$18))),CD70)))</f>
        <v>1820.92975220673</v>
      </c>
      <c r="CF70" s="11" t="n">
        <f aca="false">IF(CF$1&lt;Units!$P69,0,IF(AND(Units!$K69=0,CF$1=Units!$O69),Units!$R69,IF(AND(CF$1&gt;=Units!$Q69,MOD(CF$1-Units!$Q69,12)=0),IF(AND(Units!$L69=1,CF$1=Units!$Q69),IF(Units!$J69&lt;&gt;"",Units!$J69,Mkt!CF70),Inputs!$B$15*Mkt!CF70+(1-Inputs!$B$15)*MIN(Mkt!CF70,CE70*(1+Inputs!$B$18))),CE70)))</f>
        <v>1820.92975220673</v>
      </c>
      <c r="CG70" s="11" t="n">
        <f aca="false">IF(CG$1&lt;Units!$P69,0,IF(AND(Units!$K69=0,CG$1=Units!$O69),Units!$R69,IF(AND(CG$1&gt;=Units!$Q69,MOD(CG$1-Units!$Q69,12)=0),IF(AND(Units!$L69=1,CG$1=Units!$Q69),IF(Units!$J69&lt;&gt;"",Units!$J69,Mkt!CG70),Inputs!$B$15*Mkt!CG70+(1-Inputs!$B$15)*MIN(Mkt!CG70,CF70*(1+Inputs!$B$18))),CF70)))</f>
        <v>1820.92975220673</v>
      </c>
      <c r="CH70" s="11" t="n">
        <f aca="false">IF(CH$1&lt;Units!$P69,0,IF(AND(Units!$K69=0,CH$1=Units!$O69),Units!$R69,IF(AND(CH$1&gt;=Units!$Q69,MOD(CH$1-Units!$Q69,12)=0),IF(AND(Units!$L69=1,CH$1=Units!$Q69),IF(Units!$J69&lt;&gt;"",Units!$J69,Mkt!CH70),Inputs!$B$15*Mkt!CH70+(1-Inputs!$B$15)*MIN(Mkt!CH70,CG70*(1+Inputs!$B$18))),CG70)))</f>
        <v>1820.92975220673</v>
      </c>
      <c r="CI70" s="11" t="n">
        <f aca="false">IF(CI$1&lt;Units!$P69,0,IF(AND(Units!$K69=0,CI$1=Units!$O69),Units!$R69,IF(AND(CI$1&gt;=Units!$Q69,MOD(CI$1-Units!$Q69,12)=0),IF(AND(Units!$L69=1,CI$1=Units!$Q69),IF(Units!$J69&lt;&gt;"",Units!$J69,Mkt!CI70),Inputs!$B$15*Mkt!CI70+(1-Inputs!$B$15)*MIN(Mkt!CI70,CH70*(1+Inputs!$B$18))),CH70)))</f>
        <v>1875.55764477293</v>
      </c>
      <c r="CJ70" s="11" t="n">
        <f aca="false">IF(CJ$1&lt;Units!$P69,0,IF(AND(Units!$K69=0,CJ$1=Units!$O69),Units!$R69,IF(AND(CJ$1&gt;=Units!$Q69,MOD(CJ$1-Units!$Q69,12)=0),IF(AND(Units!$L69=1,CJ$1=Units!$Q69),IF(Units!$J69&lt;&gt;"",Units!$J69,Mkt!CJ70),Inputs!$B$15*Mkt!CJ70+(1-Inputs!$B$15)*MIN(Mkt!CJ70,CI70*(1+Inputs!$B$18))),CI70)))</f>
        <v>1875.55764477293</v>
      </c>
      <c r="CK70" s="11" t="n">
        <f aca="false">IF(CK$1&lt;Units!$P69,0,IF(AND(Units!$K69=0,CK$1=Units!$O69),Units!$R69,IF(AND(CK$1&gt;=Units!$Q69,MOD(CK$1-Units!$Q69,12)=0),IF(AND(Units!$L69=1,CK$1=Units!$Q69),IF(Units!$J69&lt;&gt;"",Units!$J69,Mkt!CK70),Inputs!$B$15*Mkt!CK70+(1-Inputs!$B$15)*MIN(Mkt!CK70,CJ70*(1+Inputs!$B$18))),CJ70)))</f>
        <v>1875.55764477293</v>
      </c>
      <c r="CL70" s="11" t="n">
        <f aca="false">IF(CL$1&lt;Units!$P69,0,IF(AND(Units!$K69=0,CL$1=Units!$O69),Units!$R69,IF(AND(CL$1&gt;=Units!$Q69,MOD(CL$1-Units!$Q69,12)=0),IF(AND(Units!$L69=1,CL$1=Units!$Q69),IF(Units!$J69&lt;&gt;"",Units!$J69,Mkt!CL70),Inputs!$B$15*Mkt!CL70+(1-Inputs!$B$15)*MIN(Mkt!CL70,CK70*(1+Inputs!$B$18))),CK70)))</f>
        <v>1875.55764477293</v>
      </c>
      <c r="CM70" s="11" t="n">
        <f aca="false">IF(CM$1&lt;Units!$P69,0,IF(AND(Units!$K69=0,CM$1=Units!$O69),Units!$R69,IF(AND(CM$1&gt;=Units!$Q69,MOD(CM$1-Units!$Q69,12)=0),IF(AND(Units!$L69=1,CM$1=Units!$Q69),IF(Units!$J69&lt;&gt;"",Units!$J69,Mkt!CM70),Inputs!$B$15*Mkt!CM70+(1-Inputs!$B$15)*MIN(Mkt!CM70,CL70*(1+Inputs!$B$18))),CL70)))</f>
        <v>1875.55764477293</v>
      </c>
      <c r="CN70" s="11" t="n">
        <f aca="false">IF(CN$1&lt;Units!$P69,0,IF(AND(Units!$K69=0,CN$1=Units!$O69),Units!$R69,IF(AND(CN$1&gt;=Units!$Q69,MOD(CN$1-Units!$Q69,12)=0),IF(AND(Units!$L69=1,CN$1=Units!$Q69),IF(Units!$J69&lt;&gt;"",Units!$J69,Mkt!CN70),Inputs!$B$15*Mkt!CN70+(1-Inputs!$B$15)*MIN(Mkt!CN70,CM70*(1+Inputs!$B$18))),CM70)))</f>
        <v>1875.55764477293</v>
      </c>
      <c r="CO70" s="11" t="n">
        <f aca="false">IF(CO$1&lt;Units!$P69,0,IF(AND(Units!$K69=0,CO$1=Units!$O69),Units!$R69,IF(AND(CO$1&gt;=Units!$Q69,MOD(CO$1-Units!$Q69,12)=0),IF(AND(Units!$L69=1,CO$1=Units!$Q69),IF(Units!$J69&lt;&gt;"",Units!$J69,Mkt!CO70),Inputs!$B$15*Mkt!CO70+(1-Inputs!$B$15)*MIN(Mkt!CO70,CN70*(1+Inputs!$B$18))),CN70)))</f>
        <v>1875.55764477293</v>
      </c>
      <c r="CP70" s="11" t="n">
        <f aca="false">IF(CP$1&lt;Units!$P69,0,IF(AND(Units!$K69=0,CP$1=Units!$O69),Units!$R69,IF(AND(CP$1&gt;=Units!$Q69,MOD(CP$1-Units!$Q69,12)=0),IF(AND(Units!$L69=1,CP$1=Units!$Q69),IF(Units!$J69&lt;&gt;"",Units!$J69,Mkt!CP70),Inputs!$B$15*Mkt!CP70+(1-Inputs!$B$15)*MIN(Mkt!CP70,CO70*(1+Inputs!$B$18))),CO70)))</f>
        <v>1875.55764477293</v>
      </c>
      <c r="CQ70" s="11" t="n">
        <f aca="false">IF(CQ$1&lt;Units!$P69,0,IF(AND(Units!$K69=0,CQ$1=Units!$O69),Units!$R69,IF(AND(CQ$1&gt;=Units!$Q69,MOD(CQ$1-Units!$Q69,12)=0),IF(AND(Units!$L69=1,CQ$1=Units!$Q69),IF(Units!$J69&lt;&gt;"",Units!$J69,Mkt!CQ70),Inputs!$B$15*Mkt!CQ70+(1-Inputs!$B$15)*MIN(Mkt!CQ70,CP70*(1+Inputs!$B$18))),CP70)))</f>
        <v>1875.55764477293</v>
      </c>
      <c r="CR70" s="11" t="n">
        <f aca="false">IF(CR$1&lt;Units!$P69,0,IF(AND(Units!$K69=0,CR$1=Units!$O69),Units!$R69,IF(AND(CR$1&gt;=Units!$Q69,MOD(CR$1-Units!$Q69,12)=0),IF(AND(Units!$L69=1,CR$1=Units!$Q69),IF(Units!$J69&lt;&gt;"",Units!$J69,Mkt!CR70),Inputs!$B$15*Mkt!CR70+(1-Inputs!$B$15)*MIN(Mkt!CR70,CQ70*(1+Inputs!$B$18))),CQ70)))</f>
        <v>1875.55764477293</v>
      </c>
      <c r="CS70" s="11" t="n">
        <f aca="false">IF(CS$1&lt;Units!$P69,0,IF(AND(Units!$K69=0,CS$1=Units!$O69),Units!$R69,IF(AND(CS$1&gt;=Units!$Q69,MOD(CS$1-Units!$Q69,12)=0),IF(AND(Units!$L69=1,CS$1=Units!$Q69),IF(Units!$J69&lt;&gt;"",Units!$J69,Mkt!CS70),Inputs!$B$15*Mkt!CS70+(1-Inputs!$B$15)*MIN(Mkt!CS70,CR70*(1+Inputs!$B$18))),CR70)))</f>
        <v>1875.55764477293</v>
      </c>
      <c r="CT70" s="11" t="n">
        <f aca="false">IF(CT$1&lt;Units!$P69,0,IF(AND(Units!$K69=0,CT$1=Units!$O69),Units!$R69,IF(AND(CT$1&gt;=Units!$Q69,MOD(CT$1-Units!$Q69,12)=0),IF(AND(Units!$L69=1,CT$1=Units!$Q69),IF(Units!$J69&lt;&gt;"",Units!$J69,Mkt!CT70),Inputs!$B$15*Mkt!CT70+(1-Inputs!$B$15)*MIN(Mkt!CT70,CS70*(1+Inputs!$B$18))),CS70)))</f>
        <v>1875.55764477293</v>
      </c>
      <c r="CU70" s="11" t="n">
        <f aca="false">IF(CU$1&lt;Units!$P69,0,IF(AND(Units!$K69=0,CU$1=Units!$O69),Units!$R69,IF(AND(CU$1&gt;=Units!$Q69,MOD(CU$1-Units!$Q69,12)=0),IF(AND(Units!$L69=1,CU$1=Units!$Q69),IF(Units!$J69&lt;&gt;"",Units!$J69,Mkt!CU70),Inputs!$B$15*Mkt!CU70+(1-Inputs!$B$15)*MIN(Mkt!CU70,CT70*(1+Inputs!$B$18))),CT70)))</f>
        <v>1931.82437411612</v>
      </c>
      <c r="CV70" s="11" t="n">
        <f aca="false">IF(CV$1&lt;Units!$P69,0,IF(AND(Units!$K69=0,CV$1=Units!$O69),Units!$R69,IF(AND(CV$1&gt;=Units!$Q69,MOD(CV$1-Units!$Q69,12)=0),IF(AND(Units!$L69=1,CV$1=Units!$Q69),IF(Units!$J69&lt;&gt;"",Units!$J69,Mkt!CV70),Inputs!$B$15*Mkt!CV70+(1-Inputs!$B$15)*MIN(Mkt!CV70,CU70*(1+Inputs!$B$18))),CU70)))</f>
        <v>1931.82437411612</v>
      </c>
      <c r="CW70" s="11" t="n">
        <f aca="false">IF(CW$1&lt;Units!$P69,0,IF(AND(Units!$K69=0,CW$1=Units!$O69),Units!$R69,IF(AND(CW$1&gt;=Units!$Q69,MOD(CW$1-Units!$Q69,12)=0),IF(AND(Units!$L69=1,CW$1=Units!$Q69),IF(Units!$J69&lt;&gt;"",Units!$J69,Mkt!CW70),Inputs!$B$15*Mkt!CW70+(1-Inputs!$B$15)*MIN(Mkt!CW70,CV70*(1+Inputs!$B$18))),CV70)))</f>
        <v>1931.82437411612</v>
      </c>
      <c r="CX70" s="11" t="n">
        <f aca="false">IF(CX$1&lt;Units!$P69,0,IF(AND(Units!$K69=0,CX$1=Units!$O69),Units!$R69,IF(AND(CX$1&gt;=Units!$Q69,MOD(CX$1-Units!$Q69,12)=0),IF(AND(Units!$L69=1,CX$1=Units!$Q69),IF(Units!$J69&lt;&gt;"",Units!$J69,Mkt!CX70),Inputs!$B$15*Mkt!CX70+(1-Inputs!$B$15)*MIN(Mkt!CX70,CW70*(1+Inputs!$B$18))),CW70)))</f>
        <v>1931.82437411612</v>
      </c>
      <c r="CY70" s="11" t="n">
        <f aca="false">IF(CY$1&lt;Units!$P69,0,IF(AND(Units!$K69=0,CY$1=Units!$O69),Units!$R69,IF(AND(CY$1&gt;=Units!$Q69,MOD(CY$1-Units!$Q69,12)=0),IF(AND(Units!$L69=1,CY$1=Units!$Q69),IF(Units!$J69&lt;&gt;"",Units!$J69,Mkt!CY70),Inputs!$B$15*Mkt!CY70+(1-Inputs!$B$15)*MIN(Mkt!CY70,CX70*(1+Inputs!$B$18))),CX70)))</f>
        <v>1931.82437411612</v>
      </c>
      <c r="CZ70" s="11" t="n">
        <f aca="false">IF(CZ$1&lt;Units!$P69,0,IF(AND(Units!$K69=0,CZ$1=Units!$O69),Units!$R69,IF(AND(CZ$1&gt;=Units!$Q69,MOD(CZ$1-Units!$Q69,12)=0),IF(AND(Units!$L69=1,CZ$1=Units!$Q69),IF(Units!$J69&lt;&gt;"",Units!$J69,Mkt!CZ70),Inputs!$B$15*Mkt!CZ70+(1-Inputs!$B$15)*MIN(Mkt!CZ70,CY70*(1+Inputs!$B$18))),CY70)))</f>
        <v>1931.82437411612</v>
      </c>
      <c r="DA70" s="11" t="n">
        <f aca="false">IF(DA$1&lt;Units!$P69,0,IF(AND(Units!$K69=0,DA$1=Units!$O69),Units!$R69,IF(AND(DA$1&gt;=Units!$Q69,MOD(DA$1-Units!$Q69,12)=0),IF(AND(Units!$L69=1,DA$1=Units!$Q69),IF(Units!$J69&lt;&gt;"",Units!$J69,Mkt!DA70),Inputs!$B$15*Mkt!DA70+(1-Inputs!$B$15)*MIN(Mkt!DA70,CZ70*(1+Inputs!$B$18))),CZ70)))</f>
        <v>1931.82437411612</v>
      </c>
      <c r="DB70" s="11" t="n">
        <f aca="false">IF(DB$1&lt;Units!$P69,0,IF(AND(Units!$K69=0,DB$1=Units!$O69),Units!$R69,IF(AND(DB$1&gt;=Units!$Q69,MOD(DB$1-Units!$Q69,12)=0),IF(AND(Units!$L69=1,DB$1=Units!$Q69),IF(Units!$J69&lt;&gt;"",Units!$J69,Mkt!DB70),Inputs!$B$15*Mkt!DB70+(1-Inputs!$B$15)*MIN(Mkt!DB70,DA70*(1+Inputs!$B$18))),DA70)))</f>
        <v>1931.82437411612</v>
      </c>
      <c r="DC70" s="11" t="n">
        <f aca="false">IF(DC$1&lt;Units!$P69,0,IF(AND(Units!$K69=0,DC$1=Units!$O69),Units!$R69,IF(AND(DC$1&gt;=Units!$Q69,MOD(DC$1-Units!$Q69,12)=0),IF(AND(Units!$L69=1,DC$1=Units!$Q69),IF(Units!$J69&lt;&gt;"",Units!$J69,Mkt!DC70),Inputs!$B$15*Mkt!DC70+(1-Inputs!$B$15)*MIN(Mkt!DC70,DB70*(1+Inputs!$B$18))),DB70)))</f>
        <v>1931.82437411612</v>
      </c>
      <c r="DD70" s="11" t="n">
        <f aca="false">IF(DD$1&lt;Units!$P69,0,IF(AND(Units!$K69=0,DD$1=Units!$O69),Units!$R69,IF(AND(DD$1&gt;=Units!$Q69,MOD(DD$1-Units!$Q69,12)=0),IF(AND(Units!$L69=1,DD$1=Units!$Q69),IF(Units!$J69&lt;&gt;"",Units!$J69,Mkt!DD70),Inputs!$B$15*Mkt!DD70+(1-Inputs!$B$15)*MIN(Mkt!DD70,DC70*(1+Inputs!$B$18))),DC70)))</f>
        <v>1931.82437411612</v>
      </c>
      <c r="DE70" s="11" t="n">
        <f aca="false">IF(DE$1&lt;Units!$P69,0,IF(AND(Units!$K69=0,DE$1=Units!$O69),Units!$R69,IF(AND(DE$1&gt;=Units!$Q69,MOD(DE$1-Units!$Q69,12)=0),IF(AND(Units!$L69=1,DE$1=Units!$Q69),IF(Units!$J69&lt;&gt;"",Units!$J69,Mkt!DE70),Inputs!$B$15*Mkt!DE70+(1-Inputs!$B$15)*MIN(Mkt!DE70,DD70*(1+Inputs!$B$18))),DD70)))</f>
        <v>1931.82437411612</v>
      </c>
      <c r="DF70" s="11" t="n">
        <f aca="false">IF(DF$1&lt;Units!$P69,0,IF(AND(Units!$K69=0,DF$1=Units!$O69),Units!$R69,IF(AND(DF$1&gt;=Units!$Q69,MOD(DF$1-Units!$Q69,12)=0),IF(AND(Units!$L69=1,DF$1=Units!$Q69),IF(Units!$J69&lt;&gt;"",Units!$J69,Mkt!DF70),Inputs!$B$15*Mkt!DF70+(1-Inputs!$B$15)*MIN(Mkt!DF70,DE70*(1+Inputs!$B$18))),DE70)))</f>
        <v>1931.82437411612</v>
      </c>
      <c r="DG70" s="11" t="n">
        <f aca="false">IF(DG$1&lt;Units!$P69,0,IF(AND(Units!$K69=0,DG$1=Units!$O69),Units!$R69,IF(AND(DG$1&gt;=Units!$Q69,MOD(DG$1-Units!$Q69,12)=0),IF(AND(Units!$L69=1,DG$1=Units!$Q69),IF(Units!$J69&lt;&gt;"",Units!$J69,Mkt!DG70),Inputs!$B$15*Mkt!DG70+(1-Inputs!$B$15)*MIN(Mkt!DG70,DF70*(1+Inputs!$B$18))),DF70)))</f>
        <v>1989.7791053396</v>
      </c>
      <c r="DH70" s="11" t="n">
        <f aca="false">IF(DH$1&lt;Units!$P69,0,IF(AND(Units!$K69=0,DH$1=Units!$O69),Units!$R69,IF(AND(DH$1&gt;=Units!$Q69,MOD(DH$1-Units!$Q69,12)=0),IF(AND(Units!$L69=1,DH$1=Units!$Q69),IF(Units!$J69&lt;&gt;"",Units!$J69,Mkt!DH70),Inputs!$B$15*Mkt!DH70+(1-Inputs!$B$15)*MIN(Mkt!DH70,DG70*(1+Inputs!$B$18))),DG70)))</f>
        <v>1989.7791053396</v>
      </c>
      <c r="DI70" s="11" t="n">
        <f aca="false">IF(DI$1&lt;Units!$P69,0,IF(AND(Units!$K69=0,DI$1=Units!$O69),Units!$R69,IF(AND(DI$1&gt;=Units!$Q69,MOD(DI$1-Units!$Q69,12)=0),IF(AND(Units!$L69=1,DI$1=Units!$Q69),IF(Units!$J69&lt;&gt;"",Units!$J69,Mkt!DI70),Inputs!$B$15*Mkt!DI70+(1-Inputs!$B$15)*MIN(Mkt!DI70,DH70*(1+Inputs!$B$18))),DH70)))</f>
        <v>1989.7791053396</v>
      </c>
      <c r="DJ70" s="11" t="n">
        <f aca="false">IF(DJ$1&lt;Units!$P69,0,IF(AND(Units!$K69=0,DJ$1=Units!$O69),Units!$R69,IF(AND(DJ$1&gt;=Units!$Q69,MOD(DJ$1-Units!$Q69,12)=0),IF(AND(Units!$L69=1,DJ$1=Units!$Q69),IF(Units!$J69&lt;&gt;"",Units!$J69,Mkt!DJ70),Inputs!$B$15*Mkt!DJ70+(1-Inputs!$B$15)*MIN(Mkt!DJ70,DI70*(1+Inputs!$B$18))),DI70)))</f>
        <v>1989.7791053396</v>
      </c>
      <c r="DK70" s="11" t="n">
        <f aca="false">IF(DK$1&lt;Units!$P69,0,IF(AND(Units!$K69=0,DK$1=Units!$O69),Units!$R69,IF(AND(DK$1&gt;=Units!$Q69,MOD(DK$1-Units!$Q69,12)=0),IF(AND(Units!$L69=1,DK$1=Units!$Q69),IF(Units!$J69&lt;&gt;"",Units!$J69,Mkt!DK70),Inputs!$B$15*Mkt!DK70+(1-Inputs!$B$15)*MIN(Mkt!DK70,DJ70*(1+Inputs!$B$18))),DJ70)))</f>
        <v>1989.7791053396</v>
      </c>
      <c r="DL70" s="11" t="n">
        <f aca="false">IF(DL$1&lt;Units!$P69,0,IF(AND(Units!$K69=0,DL$1=Units!$O69),Units!$R69,IF(AND(DL$1&gt;=Units!$Q69,MOD(DL$1-Units!$Q69,12)=0),IF(AND(Units!$L69=1,DL$1=Units!$Q69),IF(Units!$J69&lt;&gt;"",Units!$J69,Mkt!DL70),Inputs!$B$15*Mkt!DL70+(1-Inputs!$B$15)*MIN(Mkt!DL70,DK70*(1+Inputs!$B$18))),DK70)))</f>
        <v>1989.7791053396</v>
      </c>
      <c r="DM70" s="11" t="n">
        <f aca="false">IF(DM$1&lt;Units!$P69,0,IF(AND(Units!$K69=0,DM$1=Units!$O69),Units!$R69,IF(AND(DM$1&gt;=Units!$Q69,MOD(DM$1-Units!$Q69,12)=0),IF(AND(Units!$L69=1,DM$1=Units!$Q69),IF(Units!$J69&lt;&gt;"",Units!$J69,Mkt!DM70),Inputs!$B$15*Mkt!DM70+(1-Inputs!$B$15)*MIN(Mkt!DM70,DL70*(1+Inputs!$B$18))),DL70)))</f>
        <v>1989.7791053396</v>
      </c>
      <c r="DN70" s="11" t="n">
        <f aca="false">IF(DN$1&lt;Units!$P69,0,IF(AND(Units!$K69=0,DN$1=Units!$O69),Units!$R69,IF(AND(DN$1&gt;=Units!$Q69,MOD(DN$1-Units!$Q69,12)=0),IF(AND(Units!$L69=1,DN$1=Units!$Q69),IF(Units!$J69&lt;&gt;"",Units!$J69,Mkt!DN70),Inputs!$B$15*Mkt!DN70+(1-Inputs!$B$15)*MIN(Mkt!DN70,DM70*(1+Inputs!$B$18))),DM70)))</f>
        <v>1989.7791053396</v>
      </c>
      <c r="DO70" s="11" t="n">
        <f aca="false">IF(DO$1&lt;Units!$P69,0,IF(AND(Units!$K69=0,DO$1=Units!$O69),Units!$R69,IF(AND(DO$1&gt;=Units!$Q69,MOD(DO$1-Units!$Q69,12)=0),IF(AND(Units!$L69=1,DO$1=Units!$Q69),IF(Units!$J69&lt;&gt;"",Units!$J69,Mkt!DO70),Inputs!$B$15*Mkt!DO70+(1-Inputs!$B$15)*MIN(Mkt!DO70,DN70*(1+Inputs!$B$18))),DN70)))</f>
        <v>1989.7791053396</v>
      </c>
      <c r="DP70" s="11" t="n">
        <f aca="false">IF(DP$1&lt;Units!$P69,0,IF(AND(Units!$K69=0,DP$1=Units!$O69),Units!$R69,IF(AND(DP$1&gt;=Units!$Q69,MOD(DP$1-Units!$Q69,12)=0),IF(AND(Units!$L69=1,DP$1=Units!$Q69),IF(Units!$J69&lt;&gt;"",Units!$J69,Mkt!DP70),Inputs!$B$15*Mkt!DP70+(1-Inputs!$B$15)*MIN(Mkt!DP70,DO70*(1+Inputs!$B$18))),DO70)))</f>
        <v>1989.7791053396</v>
      </c>
      <c r="DQ70" s="11" t="n">
        <f aca="false">IF(DQ$1&lt;Units!$P69,0,IF(AND(Units!$K69=0,DQ$1=Units!$O69),Units!$R69,IF(AND(DQ$1&gt;=Units!$Q69,MOD(DQ$1-Units!$Q69,12)=0),IF(AND(Units!$L69=1,DQ$1=Units!$Q69),IF(Units!$J69&lt;&gt;"",Units!$J69,Mkt!DQ70),Inputs!$B$15*Mkt!DQ70+(1-Inputs!$B$15)*MIN(Mkt!DQ70,DP70*(1+Inputs!$B$18))),DP70)))</f>
        <v>1989.7791053396</v>
      </c>
      <c r="DR70" s="11" t="n">
        <f aca="false">IF(DR$1&lt;Units!$P69,0,IF(AND(Units!$K69=0,DR$1=Units!$O69),Units!$R69,IF(AND(DR$1&gt;=Units!$Q69,MOD(DR$1-Units!$Q69,12)=0),IF(AND(Units!$L69=1,DR$1=Units!$Q69),IF(Units!$J69&lt;&gt;"",Units!$J69,Mkt!DR70),Inputs!$B$15*Mkt!DR70+(1-Inputs!$B$15)*MIN(Mkt!DR70,DQ70*(1+Inputs!$B$18))),DQ70)))</f>
        <v>1989.7791053396</v>
      </c>
      <c r="DS70" s="11" t="n">
        <f aca="false">IF(DS$1&lt;Units!$P69,0,IF(AND(Units!$K69=0,DS$1=Units!$O69),Units!$R69,IF(AND(DS$1&gt;=Units!$Q69,MOD(DS$1-Units!$Q69,12)=0),IF(AND(Units!$L69=1,DS$1=Units!$Q69),IF(Units!$J69&lt;&gt;"",Units!$J69,Mkt!DS70),Inputs!$B$15*Mkt!DS70+(1-Inputs!$B$15)*MIN(Mkt!DS70,DR70*(1+Inputs!$B$18))),DR70)))</f>
        <v>2049.47247849979</v>
      </c>
      <c r="DT70" s="11" t="n">
        <f aca="false">IF(DT$1&lt;Units!$P69,0,IF(AND(Units!$K69=0,DT$1=Units!$O69),Units!$R69,IF(AND(DT$1&gt;=Units!$Q69,MOD(DT$1-Units!$Q69,12)=0),IF(AND(Units!$L69=1,DT$1=Units!$Q69),IF(Units!$J69&lt;&gt;"",Units!$J69,Mkt!DT70),Inputs!$B$15*Mkt!DT70+(1-Inputs!$B$15)*MIN(Mkt!DT70,DS70*(1+Inputs!$B$18))),DS70)))</f>
        <v>2049.47247849979</v>
      </c>
      <c r="DU70" s="11" t="n">
        <f aca="false">IF(DU$1&lt;Units!$P69,0,IF(AND(Units!$K69=0,DU$1=Units!$O69),Units!$R69,IF(AND(DU$1&gt;=Units!$Q69,MOD(DU$1-Units!$Q69,12)=0),IF(AND(Units!$L69=1,DU$1=Units!$Q69),IF(Units!$J69&lt;&gt;"",Units!$J69,Mkt!DU70),Inputs!$B$15*Mkt!DU70+(1-Inputs!$B$15)*MIN(Mkt!DU70,DT70*(1+Inputs!$B$18))),DT70)))</f>
        <v>2049.47247849979</v>
      </c>
      <c r="DV70" s="11" t="n">
        <f aca="false">IF(DV$1&lt;Units!$P69,0,IF(AND(Units!$K69=0,DV$1=Units!$O69),Units!$R69,IF(AND(DV$1&gt;=Units!$Q69,MOD(DV$1-Units!$Q69,12)=0),IF(AND(Units!$L69=1,DV$1=Units!$Q69),IF(Units!$J69&lt;&gt;"",Units!$J69,Mkt!DV70),Inputs!$B$15*Mkt!DV70+(1-Inputs!$B$15)*MIN(Mkt!DV70,DU70*(1+Inputs!$B$18))),DU70)))</f>
        <v>2049.47247849979</v>
      </c>
      <c r="DW70" s="11" t="n">
        <f aca="false">IF(DW$1&lt;Units!$P69,0,IF(AND(Units!$K69=0,DW$1=Units!$O69),Units!$R69,IF(AND(DW$1&gt;=Units!$Q69,MOD(DW$1-Units!$Q69,12)=0),IF(AND(Units!$L69=1,DW$1=Units!$Q69),IF(Units!$J69&lt;&gt;"",Units!$J69,Mkt!DW70),Inputs!$B$15*Mkt!DW70+(1-Inputs!$B$15)*MIN(Mkt!DW70,DV70*(1+Inputs!$B$18))),DV70)))</f>
        <v>2049.47247849979</v>
      </c>
      <c r="DX70" s="11" t="n">
        <f aca="false">IF(DX$1&lt;Units!$P69,0,IF(AND(Units!$K69=0,DX$1=Units!$O69),Units!$R69,IF(AND(DX$1&gt;=Units!$Q69,MOD(DX$1-Units!$Q69,12)=0),IF(AND(Units!$L69=1,DX$1=Units!$Q69),IF(Units!$J69&lt;&gt;"",Units!$J69,Mkt!DX70),Inputs!$B$15*Mkt!DX70+(1-Inputs!$B$15)*MIN(Mkt!DX70,DW70*(1+Inputs!$B$18))),DW70)))</f>
        <v>2049.47247849979</v>
      </c>
      <c r="DY70" s="11" t="n">
        <f aca="false">IF(DY$1&lt;Units!$P69,0,IF(AND(Units!$K69=0,DY$1=Units!$O69),Units!$R69,IF(AND(DY$1&gt;=Units!$Q69,MOD(DY$1-Units!$Q69,12)=0),IF(AND(Units!$L69=1,DY$1=Units!$Q69),IF(Units!$J69&lt;&gt;"",Units!$J69,Mkt!DY70),Inputs!$B$15*Mkt!DY70+(1-Inputs!$B$15)*MIN(Mkt!DY70,DX70*(1+Inputs!$B$18))),DX70)))</f>
        <v>2049.47247849979</v>
      </c>
      <c r="DZ70" s="11" t="n">
        <f aca="false">IF(DZ$1&lt;Units!$P69,0,IF(AND(Units!$K69=0,DZ$1=Units!$O69),Units!$R69,IF(AND(DZ$1&gt;=Units!$Q69,MOD(DZ$1-Units!$Q69,12)=0),IF(AND(Units!$L69=1,DZ$1=Units!$Q69),IF(Units!$J69&lt;&gt;"",Units!$J69,Mkt!DZ70),Inputs!$B$15*Mkt!DZ70+(1-Inputs!$B$15)*MIN(Mkt!DZ70,DY70*(1+Inputs!$B$18))),DY70)))</f>
        <v>2049.47247849979</v>
      </c>
      <c r="EA70" s="11" t="n">
        <f aca="false">IF(EA$1&lt;Units!$P69,0,IF(AND(Units!$K69=0,EA$1=Units!$O69),Units!$R69,IF(AND(EA$1&gt;=Units!$Q69,MOD(EA$1-Units!$Q69,12)=0),IF(AND(Units!$L69=1,EA$1=Units!$Q69),IF(Units!$J69&lt;&gt;"",Units!$J69,Mkt!EA70),Inputs!$B$15*Mkt!EA70+(1-Inputs!$B$15)*MIN(Mkt!EA70,DZ70*(1+Inputs!$B$18))),DZ70)))</f>
        <v>2049.47247849979</v>
      </c>
      <c r="EB70" s="11" t="n">
        <f aca="false">IF(EB$1&lt;Units!$P69,0,IF(AND(Units!$K69=0,EB$1=Units!$O69),Units!$R69,IF(AND(EB$1&gt;=Units!$Q69,MOD(EB$1-Units!$Q69,12)=0),IF(AND(Units!$L69=1,EB$1=Units!$Q69),IF(Units!$J69&lt;&gt;"",Units!$J69,Mkt!EB70),Inputs!$B$15*Mkt!EB70+(1-Inputs!$B$15)*MIN(Mkt!EB70,EA70*(1+Inputs!$B$18))),EA70)))</f>
        <v>2049.47247849979</v>
      </c>
      <c r="EC70" s="11" t="n">
        <f aca="false">IF(EC$1&lt;Units!$P69,0,IF(AND(Units!$K69=0,EC$1=Units!$O69),Units!$R69,IF(AND(EC$1&gt;=Units!$Q69,MOD(EC$1-Units!$Q69,12)=0),IF(AND(Units!$L69=1,EC$1=Units!$Q69),IF(Units!$J69&lt;&gt;"",Units!$J69,Mkt!EC70),Inputs!$B$15*Mkt!EC70+(1-Inputs!$B$15)*MIN(Mkt!EC70,EB70*(1+Inputs!$B$18))),EB70)))</f>
        <v>2049.47247849979</v>
      </c>
      <c r="ED70" s="11" t="n">
        <f aca="false">IF(ED$1&lt;Units!$P69,0,IF(AND(Units!$K69=0,ED$1=Units!$O69),Units!$R69,IF(AND(ED$1&gt;=Units!$Q69,MOD(ED$1-Units!$Q69,12)=0),IF(AND(Units!$L69=1,ED$1=Units!$Q69),IF(Units!$J69&lt;&gt;"",Units!$J69,Mkt!ED70),Inputs!$B$15*Mkt!ED70+(1-Inputs!$B$15)*MIN(Mkt!ED70,EC70*(1+Inputs!$B$18))),EC70)))</f>
        <v>2049.47247849979</v>
      </c>
    </row>
    <row r="71" customFormat="false" ht="15" hidden="false" customHeight="false" outlineLevel="0" collapsed="false">
      <c r="A71" s="22" t="n">
        <f aca="false">Units!A70</f>
        <v>309</v>
      </c>
      <c r="B71" s="24" t="n">
        <f aca="false">IF(Units!K70=1,Units!F70,0)</f>
        <v>1450</v>
      </c>
      <c r="C71" s="11" t="n">
        <f aca="false">IF(C$1&lt;Units!$P70,0,IF(AND(Units!$K70=0,C$1=Units!$O70),Units!$R70,IF(AND(C$1&gt;=Units!$Q70,MOD(C$1-Units!$Q70,12)=0),IF(AND(Units!$L70=1,C$1=Units!$Q70),IF(Units!$J70&lt;&gt;"",Units!$J70,Mkt!C71),Inputs!$B$15*Mkt!C71+(1-Inputs!$B$15)*MIN(Mkt!C71,B71*(1+Inputs!$B$18))),B71)))</f>
        <v>1450</v>
      </c>
      <c r="D71" s="11" t="n">
        <f aca="false">IF(D$1&lt;Units!$P70,0,IF(AND(Units!$K70=0,D$1=Units!$O70),Units!$R70,IF(AND(D$1&gt;=Units!$Q70,MOD(D$1-Units!$Q70,12)=0),IF(AND(Units!$L70=1,D$1=Units!$Q70),IF(Units!$J70&lt;&gt;"",Units!$J70,Mkt!D71),Inputs!$B$15*Mkt!D71+(1-Inputs!$B$15)*MIN(Mkt!D71,C71*(1+Inputs!$B$18))),C71)))</f>
        <v>1523.75</v>
      </c>
      <c r="E71" s="11" t="n">
        <f aca="false">IF(E$1&lt;Units!$P70,0,IF(AND(Units!$K70=0,E$1=Units!$O70),Units!$R70,IF(AND(E$1&gt;=Units!$Q70,MOD(E$1-Units!$Q70,12)=0),IF(AND(Units!$L70=1,E$1=Units!$Q70),IF(Units!$J70&lt;&gt;"",Units!$J70,Mkt!E71),Inputs!$B$15*Mkt!E71+(1-Inputs!$B$15)*MIN(Mkt!E71,D71*(1+Inputs!$B$18))),D71)))</f>
        <v>1523.75</v>
      </c>
      <c r="F71" s="11" t="n">
        <f aca="false">IF(F$1&lt;Units!$P70,0,IF(AND(Units!$K70=0,F$1=Units!$O70),Units!$R70,IF(AND(F$1&gt;=Units!$Q70,MOD(F$1-Units!$Q70,12)=0),IF(AND(Units!$L70=1,F$1=Units!$Q70),IF(Units!$J70&lt;&gt;"",Units!$J70,Mkt!F71),Inputs!$B$15*Mkt!F71+(1-Inputs!$B$15)*MIN(Mkt!F71,E71*(1+Inputs!$B$18))),E71)))</f>
        <v>1523.75</v>
      </c>
      <c r="G71" s="11" t="n">
        <f aca="false">IF(G$1&lt;Units!$P70,0,IF(AND(Units!$K70=0,G$1=Units!$O70),Units!$R70,IF(AND(G$1&gt;=Units!$Q70,MOD(G$1-Units!$Q70,12)=0),IF(AND(Units!$L70=1,G$1=Units!$Q70),IF(Units!$J70&lt;&gt;"",Units!$J70,Mkt!G71),Inputs!$B$15*Mkt!G71+(1-Inputs!$B$15)*MIN(Mkt!G71,F71*(1+Inputs!$B$18))),F71)))</f>
        <v>1523.75</v>
      </c>
      <c r="H71" s="11" t="n">
        <f aca="false">IF(H$1&lt;Units!$P70,0,IF(AND(Units!$K70=0,H$1=Units!$O70),Units!$R70,IF(AND(H$1&gt;=Units!$Q70,MOD(H$1-Units!$Q70,12)=0),IF(AND(Units!$L70=1,H$1=Units!$Q70),IF(Units!$J70&lt;&gt;"",Units!$J70,Mkt!H71),Inputs!$B$15*Mkt!H71+(1-Inputs!$B$15)*MIN(Mkt!H71,G71*(1+Inputs!$B$18))),G71)))</f>
        <v>1523.75</v>
      </c>
      <c r="I71" s="11" t="n">
        <f aca="false">IF(I$1&lt;Units!$P70,0,IF(AND(Units!$K70=0,I$1=Units!$O70),Units!$R70,IF(AND(I$1&gt;=Units!$Q70,MOD(I$1-Units!$Q70,12)=0),IF(AND(Units!$L70=1,I$1=Units!$Q70),IF(Units!$J70&lt;&gt;"",Units!$J70,Mkt!I71),Inputs!$B$15*Mkt!I71+(1-Inputs!$B$15)*MIN(Mkt!I71,H71*(1+Inputs!$B$18))),H71)))</f>
        <v>1523.75</v>
      </c>
      <c r="J71" s="11" t="n">
        <f aca="false">IF(J$1&lt;Units!$P70,0,IF(AND(Units!$K70=0,J$1=Units!$O70),Units!$R70,IF(AND(J$1&gt;=Units!$Q70,MOD(J$1-Units!$Q70,12)=0),IF(AND(Units!$L70=1,J$1=Units!$Q70),IF(Units!$J70&lt;&gt;"",Units!$J70,Mkt!J71),Inputs!$B$15*Mkt!J71+(1-Inputs!$B$15)*MIN(Mkt!J71,I71*(1+Inputs!$B$18))),I71)))</f>
        <v>1523.75</v>
      </c>
      <c r="K71" s="11" t="n">
        <f aca="false">IF(K$1&lt;Units!$P70,0,IF(AND(Units!$K70=0,K$1=Units!$O70),Units!$R70,IF(AND(K$1&gt;=Units!$Q70,MOD(K$1-Units!$Q70,12)=0),IF(AND(Units!$L70=1,K$1=Units!$Q70),IF(Units!$J70&lt;&gt;"",Units!$J70,Mkt!K71),Inputs!$B$15*Mkt!K71+(1-Inputs!$B$15)*MIN(Mkt!K71,J71*(1+Inputs!$B$18))),J71)))</f>
        <v>1523.75</v>
      </c>
      <c r="L71" s="11" t="n">
        <f aca="false">IF(L$1&lt;Units!$P70,0,IF(AND(Units!$K70=0,L$1=Units!$O70),Units!$R70,IF(AND(L$1&gt;=Units!$Q70,MOD(L$1-Units!$Q70,12)=0),IF(AND(Units!$L70=1,L$1=Units!$Q70),IF(Units!$J70&lt;&gt;"",Units!$J70,Mkt!L71),Inputs!$B$15*Mkt!L71+(1-Inputs!$B$15)*MIN(Mkt!L71,K71*(1+Inputs!$B$18))),K71)))</f>
        <v>1523.75</v>
      </c>
      <c r="M71" s="11" t="n">
        <f aca="false">IF(M$1&lt;Units!$P70,0,IF(AND(Units!$K70=0,M$1=Units!$O70),Units!$R70,IF(AND(M$1&gt;=Units!$Q70,MOD(M$1-Units!$Q70,12)=0),IF(AND(Units!$L70=1,M$1=Units!$Q70),IF(Units!$J70&lt;&gt;"",Units!$J70,Mkt!M71),Inputs!$B$15*Mkt!M71+(1-Inputs!$B$15)*MIN(Mkt!M71,L71*(1+Inputs!$B$18))),L71)))</f>
        <v>1523.75</v>
      </c>
      <c r="N71" s="11" t="n">
        <f aca="false">IF(N$1&lt;Units!$P70,0,IF(AND(Units!$K70=0,N$1=Units!$O70),Units!$R70,IF(AND(N$1&gt;=Units!$Q70,MOD(N$1-Units!$Q70,12)=0),IF(AND(Units!$L70=1,N$1=Units!$Q70),IF(Units!$J70&lt;&gt;"",Units!$J70,Mkt!N71),Inputs!$B$15*Mkt!N71+(1-Inputs!$B$15)*MIN(Mkt!N71,M71*(1+Inputs!$B$18))),M71)))</f>
        <v>1523.75</v>
      </c>
      <c r="O71" s="11" t="n">
        <f aca="false">IF(O$1&lt;Units!$P70,0,IF(AND(Units!$K70=0,O$1=Units!$O70),Units!$R70,IF(AND(O$1&gt;=Units!$Q70,MOD(O$1-Units!$Q70,12)=0),IF(AND(Units!$L70=1,O$1=Units!$Q70),IF(Units!$J70&lt;&gt;"",Units!$J70,Mkt!O71),Inputs!$B$15*Mkt!O71+(1-Inputs!$B$15)*MIN(Mkt!O71,N71*(1+Inputs!$B$18))),N71)))</f>
        <v>1523.75</v>
      </c>
      <c r="P71" s="11" t="n">
        <f aca="false">IF(P$1&lt;Units!$P70,0,IF(AND(Units!$K70=0,P$1=Units!$O70),Units!$R70,IF(AND(P$1&gt;=Units!$Q70,MOD(P$1-Units!$Q70,12)=0),IF(AND(Units!$L70=1,P$1=Units!$Q70),IF(Units!$J70&lt;&gt;"",Units!$J70,Mkt!P71),Inputs!$B$15*Mkt!P71+(1-Inputs!$B$15)*MIN(Mkt!P71,O71*(1+Inputs!$B$18))),O71)))</f>
        <v>1570.75</v>
      </c>
      <c r="Q71" s="11" t="n">
        <f aca="false">IF(Q$1&lt;Units!$P70,0,IF(AND(Units!$K70=0,Q$1=Units!$O70),Units!$R70,IF(AND(Q$1&gt;=Units!$Q70,MOD(Q$1-Units!$Q70,12)=0),IF(AND(Units!$L70=1,Q$1=Units!$Q70),IF(Units!$J70&lt;&gt;"",Units!$J70,Mkt!Q71),Inputs!$B$15*Mkt!Q71+(1-Inputs!$B$15)*MIN(Mkt!Q71,P71*(1+Inputs!$B$18))),P71)))</f>
        <v>1570.75</v>
      </c>
      <c r="R71" s="11" t="n">
        <f aca="false">IF(R$1&lt;Units!$P70,0,IF(AND(Units!$K70=0,R$1=Units!$O70),Units!$R70,IF(AND(R$1&gt;=Units!$Q70,MOD(R$1-Units!$Q70,12)=0),IF(AND(Units!$L70=1,R$1=Units!$Q70),IF(Units!$J70&lt;&gt;"",Units!$J70,Mkt!R71),Inputs!$B$15*Mkt!R71+(1-Inputs!$B$15)*MIN(Mkt!R71,Q71*(1+Inputs!$B$18))),Q71)))</f>
        <v>1570.75</v>
      </c>
      <c r="S71" s="11" t="n">
        <f aca="false">IF(S$1&lt;Units!$P70,0,IF(AND(Units!$K70=0,S$1=Units!$O70),Units!$R70,IF(AND(S$1&gt;=Units!$Q70,MOD(S$1-Units!$Q70,12)=0),IF(AND(Units!$L70=1,S$1=Units!$Q70),IF(Units!$J70&lt;&gt;"",Units!$J70,Mkt!S71),Inputs!$B$15*Mkt!S71+(1-Inputs!$B$15)*MIN(Mkt!S71,R71*(1+Inputs!$B$18))),R71)))</f>
        <v>1570.75</v>
      </c>
      <c r="T71" s="11" t="n">
        <f aca="false">IF(T$1&lt;Units!$P70,0,IF(AND(Units!$K70=0,T$1=Units!$O70),Units!$R70,IF(AND(T$1&gt;=Units!$Q70,MOD(T$1-Units!$Q70,12)=0),IF(AND(Units!$L70=1,T$1=Units!$Q70),IF(Units!$J70&lt;&gt;"",Units!$J70,Mkt!T71),Inputs!$B$15*Mkt!T71+(1-Inputs!$B$15)*MIN(Mkt!T71,S71*(1+Inputs!$B$18))),S71)))</f>
        <v>1570.75</v>
      </c>
      <c r="U71" s="11" t="n">
        <f aca="false">IF(U$1&lt;Units!$P70,0,IF(AND(Units!$K70=0,U$1=Units!$O70),Units!$R70,IF(AND(U$1&gt;=Units!$Q70,MOD(U$1-Units!$Q70,12)=0),IF(AND(Units!$L70=1,U$1=Units!$Q70),IF(Units!$J70&lt;&gt;"",Units!$J70,Mkt!U71),Inputs!$B$15*Mkt!U71+(1-Inputs!$B$15)*MIN(Mkt!U71,T71*(1+Inputs!$B$18))),T71)))</f>
        <v>1570.75</v>
      </c>
      <c r="V71" s="11" t="n">
        <f aca="false">IF(V$1&lt;Units!$P70,0,IF(AND(Units!$K70=0,V$1=Units!$O70),Units!$R70,IF(AND(V$1&gt;=Units!$Q70,MOD(V$1-Units!$Q70,12)=0),IF(AND(Units!$L70=1,V$1=Units!$Q70),IF(Units!$J70&lt;&gt;"",Units!$J70,Mkt!V71),Inputs!$B$15*Mkt!V71+(1-Inputs!$B$15)*MIN(Mkt!V71,U71*(1+Inputs!$B$18))),U71)))</f>
        <v>1570.75</v>
      </c>
      <c r="W71" s="11" t="n">
        <f aca="false">IF(W$1&lt;Units!$P70,0,IF(AND(Units!$K70=0,W$1=Units!$O70),Units!$R70,IF(AND(W$1&gt;=Units!$Q70,MOD(W$1-Units!$Q70,12)=0),IF(AND(Units!$L70=1,W$1=Units!$Q70),IF(Units!$J70&lt;&gt;"",Units!$J70,Mkt!W71),Inputs!$B$15*Mkt!W71+(1-Inputs!$B$15)*MIN(Mkt!W71,V71*(1+Inputs!$B$18))),V71)))</f>
        <v>1570.75</v>
      </c>
      <c r="X71" s="11" t="n">
        <f aca="false">IF(X$1&lt;Units!$P70,0,IF(AND(Units!$K70=0,X$1=Units!$O70),Units!$R70,IF(AND(X$1&gt;=Units!$Q70,MOD(X$1-Units!$Q70,12)=0),IF(AND(Units!$L70=1,X$1=Units!$Q70),IF(Units!$J70&lt;&gt;"",Units!$J70,Mkt!X71),Inputs!$B$15*Mkt!X71+(1-Inputs!$B$15)*MIN(Mkt!X71,W71*(1+Inputs!$B$18))),W71)))</f>
        <v>1570.75</v>
      </c>
      <c r="Y71" s="11" t="n">
        <f aca="false">IF(Y$1&lt;Units!$P70,0,IF(AND(Units!$K70=0,Y$1=Units!$O70),Units!$R70,IF(AND(Y$1&gt;=Units!$Q70,MOD(Y$1-Units!$Q70,12)=0),IF(AND(Units!$L70=1,Y$1=Units!$Q70),IF(Units!$J70&lt;&gt;"",Units!$J70,Mkt!Y71),Inputs!$B$15*Mkt!Y71+(1-Inputs!$B$15)*MIN(Mkt!Y71,X71*(1+Inputs!$B$18))),X71)))</f>
        <v>1570.75</v>
      </c>
      <c r="Z71" s="11" t="n">
        <f aca="false">IF(Z$1&lt;Units!$P70,0,IF(AND(Units!$K70=0,Z$1=Units!$O70),Units!$R70,IF(AND(Z$1&gt;=Units!$Q70,MOD(Z$1-Units!$Q70,12)=0),IF(AND(Units!$L70=1,Z$1=Units!$Q70),IF(Units!$J70&lt;&gt;"",Units!$J70,Mkt!Z71),Inputs!$B$15*Mkt!Z71+(1-Inputs!$B$15)*MIN(Mkt!Z71,Y71*(1+Inputs!$B$18))),Y71)))</f>
        <v>1570.75</v>
      </c>
      <c r="AA71" s="11" t="n">
        <f aca="false">IF(AA$1&lt;Units!$P70,0,IF(AND(Units!$K70=0,AA$1=Units!$O70),Units!$R70,IF(AND(AA$1&gt;=Units!$Q70,MOD(AA$1-Units!$Q70,12)=0),IF(AND(Units!$L70=1,AA$1=Units!$Q70),IF(Units!$J70&lt;&gt;"",Units!$J70,Mkt!AA71),Inputs!$B$15*Mkt!AA71+(1-Inputs!$B$15)*MIN(Mkt!AA71,Z71*(1+Inputs!$B$18))),Z71)))</f>
        <v>1570.75</v>
      </c>
      <c r="AB71" s="11" t="n">
        <f aca="false">IF(AB$1&lt;Units!$P70,0,IF(AND(Units!$K70=0,AB$1=Units!$O70),Units!$R70,IF(AND(AB$1&gt;=Units!$Q70,MOD(AB$1-Units!$Q70,12)=0),IF(AND(Units!$L70=1,AB$1=Units!$Q70),IF(Units!$J70&lt;&gt;"",Units!$J70,Mkt!AB71),Inputs!$B$15*Mkt!AB71+(1-Inputs!$B$15)*MIN(Mkt!AB71,AA71*(1+Inputs!$B$18))),AA71)))</f>
        <v>1617.8725</v>
      </c>
      <c r="AC71" s="11" t="n">
        <f aca="false">IF(AC$1&lt;Units!$P70,0,IF(AND(Units!$K70=0,AC$1=Units!$O70),Units!$R70,IF(AND(AC$1&gt;=Units!$Q70,MOD(AC$1-Units!$Q70,12)=0),IF(AND(Units!$L70=1,AC$1=Units!$Q70),IF(Units!$J70&lt;&gt;"",Units!$J70,Mkt!AC71),Inputs!$B$15*Mkt!AC71+(1-Inputs!$B$15)*MIN(Mkt!AC71,AB71*(1+Inputs!$B$18))),AB71)))</f>
        <v>1617.8725</v>
      </c>
      <c r="AD71" s="11" t="n">
        <f aca="false">IF(AD$1&lt;Units!$P70,0,IF(AND(Units!$K70=0,AD$1=Units!$O70),Units!$R70,IF(AND(AD$1&gt;=Units!$Q70,MOD(AD$1-Units!$Q70,12)=0),IF(AND(Units!$L70=1,AD$1=Units!$Q70),IF(Units!$J70&lt;&gt;"",Units!$J70,Mkt!AD71),Inputs!$B$15*Mkt!AD71+(1-Inputs!$B$15)*MIN(Mkt!AD71,AC71*(1+Inputs!$B$18))),AC71)))</f>
        <v>1617.8725</v>
      </c>
      <c r="AE71" s="11" t="n">
        <f aca="false">IF(AE$1&lt;Units!$P70,0,IF(AND(Units!$K70=0,AE$1=Units!$O70),Units!$R70,IF(AND(AE$1&gt;=Units!$Q70,MOD(AE$1-Units!$Q70,12)=0),IF(AND(Units!$L70=1,AE$1=Units!$Q70),IF(Units!$J70&lt;&gt;"",Units!$J70,Mkt!AE71),Inputs!$B$15*Mkt!AE71+(1-Inputs!$B$15)*MIN(Mkt!AE71,AD71*(1+Inputs!$B$18))),AD71)))</f>
        <v>1617.8725</v>
      </c>
      <c r="AF71" s="11" t="n">
        <f aca="false">IF(AF$1&lt;Units!$P70,0,IF(AND(Units!$K70=0,AF$1=Units!$O70),Units!$R70,IF(AND(AF$1&gt;=Units!$Q70,MOD(AF$1-Units!$Q70,12)=0),IF(AND(Units!$L70=1,AF$1=Units!$Q70),IF(Units!$J70&lt;&gt;"",Units!$J70,Mkt!AF71),Inputs!$B$15*Mkt!AF71+(1-Inputs!$B$15)*MIN(Mkt!AF71,AE71*(1+Inputs!$B$18))),AE71)))</f>
        <v>1617.8725</v>
      </c>
      <c r="AG71" s="11" t="n">
        <f aca="false">IF(AG$1&lt;Units!$P70,0,IF(AND(Units!$K70=0,AG$1=Units!$O70),Units!$R70,IF(AND(AG$1&gt;=Units!$Q70,MOD(AG$1-Units!$Q70,12)=0),IF(AND(Units!$L70=1,AG$1=Units!$Q70),IF(Units!$J70&lt;&gt;"",Units!$J70,Mkt!AG71),Inputs!$B$15*Mkt!AG71+(1-Inputs!$B$15)*MIN(Mkt!AG71,AF71*(1+Inputs!$B$18))),AF71)))</f>
        <v>1617.8725</v>
      </c>
      <c r="AH71" s="11" t="n">
        <f aca="false">IF(AH$1&lt;Units!$P70,0,IF(AND(Units!$K70=0,AH$1=Units!$O70),Units!$R70,IF(AND(AH$1&gt;=Units!$Q70,MOD(AH$1-Units!$Q70,12)=0),IF(AND(Units!$L70=1,AH$1=Units!$Q70),IF(Units!$J70&lt;&gt;"",Units!$J70,Mkt!AH71),Inputs!$B$15*Mkt!AH71+(1-Inputs!$B$15)*MIN(Mkt!AH71,AG71*(1+Inputs!$B$18))),AG71)))</f>
        <v>1617.8725</v>
      </c>
      <c r="AI71" s="11" t="n">
        <f aca="false">IF(AI$1&lt;Units!$P70,0,IF(AND(Units!$K70=0,AI$1=Units!$O70),Units!$R70,IF(AND(AI$1&gt;=Units!$Q70,MOD(AI$1-Units!$Q70,12)=0),IF(AND(Units!$L70=1,AI$1=Units!$Q70),IF(Units!$J70&lt;&gt;"",Units!$J70,Mkt!AI71),Inputs!$B$15*Mkt!AI71+(1-Inputs!$B$15)*MIN(Mkt!AI71,AH71*(1+Inputs!$B$18))),AH71)))</f>
        <v>1617.8725</v>
      </c>
      <c r="AJ71" s="11" t="n">
        <f aca="false">IF(AJ$1&lt;Units!$P70,0,IF(AND(Units!$K70=0,AJ$1=Units!$O70),Units!$R70,IF(AND(AJ$1&gt;=Units!$Q70,MOD(AJ$1-Units!$Q70,12)=0),IF(AND(Units!$L70=1,AJ$1=Units!$Q70),IF(Units!$J70&lt;&gt;"",Units!$J70,Mkt!AJ71),Inputs!$B$15*Mkt!AJ71+(1-Inputs!$B$15)*MIN(Mkt!AJ71,AI71*(1+Inputs!$B$18))),AI71)))</f>
        <v>1617.8725</v>
      </c>
      <c r="AK71" s="11" t="n">
        <f aca="false">IF(AK$1&lt;Units!$P70,0,IF(AND(Units!$K70=0,AK$1=Units!$O70),Units!$R70,IF(AND(AK$1&gt;=Units!$Q70,MOD(AK$1-Units!$Q70,12)=0),IF(AND(Units!$L70=1,AK$1=Units!$Q70),IF(Units!$J70&lt;&gt;"",Units!$J70,Mkt!AK71),Inputs!$B$15*Mkt!AK71+(1-Inputs!$B$15)*MIN(Mkt!AK71,AJ71*(1+Inputs!$B$18))),AJ71)))</f>
        <v>1617.8725</v>
      </c>
      <c r="AL71" s="11" t="n">
        <f aca="false">IF(AL$1&lt;Units!$P70,0,IF(AND(Units!$K70=0,AL$1=Units!$O70),Units!$R70,IF(AND(AL$1&gt;=Units!$Q70,MOD(AL$1-Units!$Q70,12)=0),IF(AND(Units!$L70=1,AL$1=Units!$Q70),IF(Units!$J70&lt;&gt;"",Units!$J70,Mkt!AL71),Inputs!$B$15*Mkt!AL71+(1-Inputs!$B$15)*MIN(Mkt!AL71,AK71*(1+Inputs!$B$18))),AK71)))</f>
        <v>1617.8725</v>
      </c>
      <c r="AM71" s="11" t="n">
        <f aca="false">IF(AM$1&lt;Units!$P70,0,IF(AND(Units!$K70=0,AM$1=Units!$O70),Units!$R70,IF(AND(AM$1&gt;=Units!$Q70,MOD(AM$1-Units!$Q70,12)=0),IF(AND(Units!$L70=1,AM$1=Units!$Q70),IF(Units!$J70&lt;&gt;"",Units!$J70,Mkt!AM71),Inputs!$B$15*Mkt!AM71+(1-Inputs!$B$15)*MIN(Mkt!AM71,AL71*(1+Inputs!$B$18))),AL71)))</f>
        <v>1617.8725</v>
      </c>
      <c r="AN71" s="11" t="n">
        <f aca="false">IF(AN$1&lt;Units!$P70,0,IF(AND(Units!$K70=0,AN$1=Units!$O70),Units!$R70,IF(AND(AN$1&gt;=Units!$Q70,MOD(AN$1-Units!$Q70,12)=0),IF(AND(Units!$L70=1,AN$1=Units!$Q70),IF(Units!$J70&lt;&gt;"",Units!$J70,Mkt!AN71),Inputs!$B$15*Mkt!AN71+(1-Inputs!$B$15)*MIN(Mkt!AN71,AM71*(1+Inputs!$B$18))),AM71)))</f>
        <v>1666.408675</v>
      </c>
      <c r="AO71" s="11" t="n">
        <f aca="false">IF(AO$1&lt;Units!$P70,0,IF(AND(Units!$K70=0,AO$1=Units!$O70),Units!$R70,IF(AND(AO$1&gt;=Units!$Q70,MOD(AO$1-Units!$Q70,12)=0),IF(AND(Units!$L70=1,AO$1=Units!$Q70),IF(Units!$J70&lt;&gt;"",Units!$J70,Mkt!AO71),Inputs!$B$15*Mkt!AO71+(1-Inputs!$B$15)*MIN(Mkt!AO71,AN71*(1+Inputs!$B$18))),AN71)))</f>
        <v>1666.408675</v>
      </c>
      <c r="AP71" s="11" t="n">
        <f aca="false">IF(AP$1&lt;Units!$P70,0,IF(AND(Units!$K70=0,AP$1=Units!$O70),Units!$R70,IF(AND(AP$1&gt;=Units!$Q70,MOD(AP$1-Units!$Q70,12)=0),IF(AND(Units!$L70=1,AP$1=Units!$Q70),IF(Units!$J70&lt;&gt;"",Units!$J70,Mkt!AP71),Inputs!$B$15*Mkt!AP71+(1-Inputs!$B$15)*MIN(Mkt!AP71,AO71*(1+Inputs!$B$18))),AO71)))</f>
        <v>1666.408675</v>
      </c>
      <c r="AQ71" s="11" t="n">
        <f aca="false">IF(AQ$1&lt;Units!$P70,0,IF(AND(Units!$K70=0,AQ$1=Units!$O70),Units!$R70,IF(AND(AQ$1&gt;=Units!$Q70,MOD(AQ$1-Units!$Q70,12)=0),IF(AND(Units!$L70=1,AQ$1=Units!$Q70),IF(Units!$J70&lt;&gt;"",Units!$J70,Mkt!AQ71),Inputs!$B$15*Mkt!AQ71+(1-Inputs!$B$15)*MIN(Mkt!AQ71,AP71*(1+Inputs!$B$18))),AP71)))</f>
        <v>1666.408675</v>
      </c>
      <c r="AR71" s="11" t="n">
        <f aca="false">IF(AR$1&lt;Units!$P70,0,IF(AND(Units!$K70=0,AR$1=Units!$O70),Units!$R70,IF(AND(AR$1&gt;=Units!$Q70,MOD(AR$1-Units!$Q70,12)=0),IF(AND(Units!$L70=1,AR$1=Units!$Q70),IF(Units!$J70&lt;&gt;"",Units!$J70,Mkt!AR71),Inputs!$B$15*Mkt!AR71+(1-Inputs!$B$15)*MIN(Mkt!AR71,AQ71*(1+Inputs!$B$18))),AQ71)))</f>
        <v>1666.408675</v>
      </c>
      <c r="AS71" s="11" t="n">
        <f aca="false">IF(AS$1&lt;Units!$P70,0,IF(AND(Units!$K70=0,AS$1=Units!$O70),Units!$R70,IF(AND(AS$1&gt;=Units!$Q70,MOD(AS$1-Units!$Q70,12)=0),IF(AND(Units!$L70=1,AS$1=Units!$Q70),IF(Units!$J70&lt;&gt;"",Units!$J70,Mkt!AS71),Inputs!$B$15*Mkt!AS71+(1-Inputs!$B$15)*MIN(Mkt!AS71,AR71*(1+Inputs!$B$18))),AR71)))</f>
        <v>1666.408675</v>
      </c>
      <c r="AT71" s="11" t="n">
        <f aca="false">IF(AT$1&lt;Units!$P70,0,IF(AND(Units!$K70=0,AT$1=Units!$O70),Units!$R70,IF(AND(AT$1&gt;=Units!$Q70,MOD(AT$1-Units!$Q70,12)=0),IF(AND(Units!$L70=1,AT$1=Units!$Q70),IF(Units!$J70&lt;&gt;"",Units!$J70,Mkt!AT71),Inputs!$B$15*Mkt!AT71+(1-Inputs!$B$15)*MIN(Mkt!AT71,AS71*(1+Inputs!$B$18))),AS71)))</f>
        <v>1666.408675</v>
      </c>
      <c r="AU71" s="11" t="n">
        <f aca="false">IF(AU$1&lt;Units!$P70,0,IF(AND(Units!$K70=0,AU$1=Units!$O70),Units!$R70,IF(AND(AU$1&gt;=Units!$Q70,MOD(AU$1-Units!$Q70,12)=0),IF(AND(Units!$L70=1,AU$1=Units!$Q70),IF(Units!$J70&lt;&gt;"",Units!$J70,Mkt!AU71),Inputs!$B$15*Mkt!AU71+(1-Inputs!$B$15)*MIN(Mkt!AU71,AT71*(1+Inputs!$B$18))),AT71)))</f>
        <v>1666.408675</v>
      </c>
      <c r="AV71" s="11" t="n">
        <f aca="false">IF(AV$1&lt;Units!$P70,0,IF(AND(Units!$K70=0,AV$1=Units!$O70),Units!$R70,IF(AND(AV$1&gt;=Units!$Q70,MOD(AV$1-Units!$Q70,12)=0),IF(AND(Units!$L70=1,AV$1=Units!$Q70),IF(Units!$J70&lt;&gt;"",Units!$J70,Mkt!AV71),Inputs!$B$15*Mkt!AV71+(1-Inputs!$B$15)*MIN(Mkt!AV71,AU71*(1+Inputs!$B$18))),AU71)))</f>
        <v>1666.408675</v>
      </c>
      <c r="AW71" s="11" t="n">
        <f aca="false">IF(AW$1&lt;Units!$P70,0,IF(AND(Units!$K70=0,AW$1=Units!$O70),Units!$R70,IF(AND(AW$1&gt;=Units!$Q70,MOD(AW$1-Units!$Q70,12)=0),IF(AND(Units!$L70=1,AW$1=Units!$Q70),IF(Units!$J70&lt;&gt;"",Units!$J70,Mkt!AW71),Inputs!$B$15*Mkt!AW71+(1-Inputs!$B$15)*MIN(Mkt!AW71,AV71*(1+Inputs!$B$18))),AV71)))</f>
        <v>1666.408675</v>
      </c>
      <c r="AX71" s="11" t="n">
        <f aca="false">IF(AX$1&lt;Units!$P70,0,IF(AND(Units!$K70=0,AX$1=Units!$O70),Units!$R70,IF(AND(AX$1&gt;=Units!$Q70,MOD(AX$1-Units!$Q70,12)=0),IF(AND(Units!$L70=1,AX$1=Units!$Q70),IF(Units!$J70&lt;&gt;"",Units!$J70,Mkt!AX71),Inputs!$B$15*Mkt!AX71+(1-Inputs!$B$15)*MIN(Mkt!AX71,AW71*(1+Inputs!$B$18))),AW71)))</f>
        <v>1666.408675</v>
      </c>
      <c r="AY71" s="11" t="n">
        <f aca="false">IF(AY$1&lt;Units!$P70,0,IF(AND(Units!$K70=0,AY$1=Units!$O70),Units!$R70,IF(AND(AY$1&gt;=Units!$Q70,MOD(AY$1-Units!$Q70,12)=0),IF(AND(Units!$L70=1,AY$1=Units!$Q70),IF(Units!$J70&lt;&gt;"",Units!$J70,Mkt!AY71),Inputs!$B$15*Mkt!AY71+(1-Inputs!$B$15)*MIN(Mkt!AY71,AX71*(1+Inputs!$B$18))),AX71)))</f>
        <v>1666.408675</v>
      </c>
      <c r="AZ71" s="11" t="n">
        <f aca="false">IF(AZ$1&lt;Units!$P70,0,IF(AND(Units!$K70=0,AZ$1=Units!$O70),Units!$R70,IF(AND(AZ$1&gt;=Units!$Q70,MOD(AZ$1-Units!$Q70,12)=0),IF(AND(Units!$L70=1,AZ$1=Units!$Q70),IF(Units!$J70&lt;&gt;"",Units!$J70,Mkt!AZ71),Inputs!$B$15*Mkt!AZ71+(1-Inputs!$B$15)*MIN(Mkt!AZ71,AY71*(1+Inputs!$B$18))),AY71)))</f>
        <v>1716.40093525</v>
      </c>
      <c r="BA71" s="11" t="n">
        <f aca="false">IF(BA$1&lt;Units!$P70,0,IF(AND(Units!$K70=0,BA$1=Units!$O70),Units!$R70,IF(AND(BA$1&gt;=Units!$Q70,MOD(BA$1-Units!$Q70,12)=0),IF(AND(Units!$L70=1,BA$1=Units!$Q70),IF(Units!$J70&lt;&gt;"",Units!$J70,Mkt!BA71),Inputs!$B$15*Mkt!BA71+(1-Inputs!$B$15)*MIN(Mkt!BA71,AZ71*(1+Inputs!$B$18))),AZ71)))</f>
        <v>1716.40093525</v>
      </c>
      <c r="BB71" s="11" t="n">
        <f aca="false">IF(BB$1&lt;Units!$P70,0,IF(AND(Units!$K70=0,BB$1=Units!$O70),Units!$R70,IF(AND(BB$1&gt;=Units!$Q70,MOD(BB$1-Units!$Q70,12)=0),IF(AND(Units!$L70=1,BB$1=Units!$Q70),IF(Units!$J70&lt;&gt;"",Units!$J70,Mkt!BB71),Inputs!$B$15*Mkt!BB71+(1-Inputs!$B$15)*MIN(Mkt!BB71,BA71*(1+Inputs!$B$18))),BA71)))</f>
        <v>1716.40093525</v>
      </c>
      <c r="BC71" s="11" t="n">
        <f aca="false">IF(BC$1&lt;Units!$P70,0,IF(AND(Units!$K70=0,BC$1=Units!$O70),Units!$R70,IF(AND(BC$1&gt;=Units!$Q70,MOD(BC$1-Units!$Q70,12)=0),IF(AND(Units!$L70=1,BC$1=Units!$Q70),IF(Units!$J70&lt;&gt;"",Units!$J70,Mkt!BC71),Inputs!$B$15*Mkt!BC71+(1-Inputs!$B$15)*MIN(Mkt!BC71,BB71*(1+Inputs!$B$18))),BB71)))</f>
        <v>1716.40093525</v>
      </c>
      <c r="BD71" s="11" t="n">
        <f aca="false">IF(BD$1&lt;Units!$P70,0,IF(AND(Units!$K70=0,BD$1=Units!$O70),Units!$R70,IF(AND(BD$1&gt;=Units!$Q70,MOD(BD$1-Units!$Q70,12)=0),IF(AND(Units!$L70=1,BD$1=Units!$Q70),IF(Units!$J70&lt;&gt;"",Units!$J70,Mkt!BD71),Inputs!$B$15*Mkt!BD71+(1-Inputs!$B$15)*MIN(Mkt!BD71,BC71*(1+Inputs!$B$18))),BC71)))</f>
        <v>1716.40093525</v>
      </c>
      <c r="BE71" s="11" t="n">
        <f aca="false">IF(BE$1&lt;Units!$P70,0,IF(AND(Units!$K70=0,BE$1=Units!$O70),Units!$R70,IF(AND(BE$1&gt;=Units!$Q70,MOD(BE$1-Units!$Q70,12)=0),IF(AND(Units!$L70=1,BE$1=Units!$Q70),IF(Units!$J70&lt;&gt;"",Units!$J70,Mkt!BE71),Inputs!$B$15*Mkt!BE71+(1-Inputs!$B$15)*MIN(Mkt!BE71,BD71*(1+Inputs!$B$18))),BD71)))</f>
        <v>1716.40093525</v>
      </c>
      <c r="BF71" s="11" t="n">
        <f aca="false">IF(BF$1&lt;Units!$P70,0,IF(AND(Units!$K70=0,BF$1=Units!$O70),Units!$R70,IF(AND(BF$1&gt;=Units!$Q70,MOD(BF$1-Units!$Q70,12)=0),IF(AND(Units!$L70=1,BF$1=Units!$Q70),IF(Units!$J70&lt;&gt;"",Units!$J70,Mkt!BF71),Inputs!$B$15*Mkt!BF71+(1-Inputs!$B$15)*MIN(Mkt!BF71,BE71*(1+Inputs!$B$18))),BE71)))</f>
        <v>1716.40093525</v>
      </c>
      <c r="BG71" s="11" t="n">
        <f aca="false">IF(BG$1&lt;Units!$P70,0,IF(AND(Units!$K70=0,BG$1=Units!$O70),Units!$R70,IF(AND(BG$1&gt;=Units!$Q70,MOD(BG$1-Units!$Q70,12)=0),IF(AND(Units!$L70=1,BG$1=Units!$Q70),IF(Units!$J70&lt;&gt;"",Units!$J70,Mkt!BG71),Inputs!$B$15*Mkt!BG71+(1-Inputs!$B$15)*MIN(Mkt!BG71,BF71*(1+Inputs!$B$18))),BF71)))</f>
        <v>1716.40093525</v>
      </c>
      <c r="BH71" s="11" t="n">
        <f aca="false">IF(BH$1&lt;Units!$P70,0,IF(AND(Units!$K70=0,BH$1=Units!$O70),Units!$R70,IF(AND(BH$1&gt;=Units!$Q70,MOD(BH$1-Units!$Q70,12)=0),IF(AND(Units!$L70=1,BH$1=Units!$Q70),IF(Units!$J70&lt;&gt;"",Units!$J70,Mkt!BH71),Inputs!$B$15*Mkt!BH71+(1-Inputs!$B$15)*MIN(Mkt!BH71,BG71*(1+Inputs!$B$18))),BG71)))</f>
        <v>1716.40093525</v>
      </c>
      <c r="BI71" s="11" t="n">
        <f aca="false">IF(BI$1&lt;Units!$P70,0,IF(AND(Units!$K70=0,BI$1=Units!$O70),Units!$R70,IF(AND(BI$1&gt;=Units!$Q70,MOD(BI$1-Units!$Q70,12)=0),IF(AND(Units!$L70=1,BI$1=Units!$Q70),IF(Units!$J70&lt;&gt;"",Units!$J70,Mkt!BI71),Inputs!$B$15*Mkt!BI71+(1-Inputs!$B$15)*MIN(Mkt!BI71,BH71*(1+Inputs!$B$18))),BH71)))</f>
        <v>1716.40093525</v>
      </c>
      <c r="BJ71" s="11" t="n">
        <f aca="false">IF(BJ$1&lt;Units!$P70,0,IF(AND(Units!$K70=0,BJ$1=Units!$O70),Units!$R70,IF(AND(BJ$1&gt;=Units!$Q70,MOD(BJ$1-Units!$Q70,12)=0),IF(AND(Units!$L70=1,BJ$1=Units!$Q70),IF(Units!$J70&lt;&gt;"",Units!$J70,Mkt!BJ71),Inputs!$B$15*Mkt!BJ71+(1-Inputs!$B$15)*MIN(Mkt!BJ71,BI71*(1+Inputs!$B$18))),BI71)))</f>
        <v>1716.40093525</v>
      </c>
      <c r="BK71" s="11" t="n">
        <f aca="false">IF(BK$1&lt;Units!$P70,0,IF(AND(Units!$K70=0,BK$1=Units!$O70),Units!$R70,IF(AND(BK$1&gt;=Units!$Q70,MOD(BK$1-Units!$Q70,12)=0),IF(AND(Units!$L70=1,BK$1=Units!$Q70),IF(Units!$J70&lt;&gt;"",Units!$J70,Mkt!BK71),Inputs!$B$15*Mkt!BK71+(1-Inputs!$B$15)*MIN(Mkt!BK71,BJ71*(1+Inputs!$B$18))),BJ71)))</f>
        <v>1716.40093525</v>
      </c>
      <c r="BL71" s="11" t="n">
        <f aca="false">IF(BL$1&lt;Units!$P70,0,IF(AND(Units!$K70=0,BL$1=Units!$O70),Units!$R70,IF(AND(BL$1&gt;=Units!$Q70,MOD(BL$1-Units!$Q70,12)=0),IF(AND(Units!$L70=1,BL$1=Units!$Q70),IF(Units!$J70&lt;&gt;"",Units!$J70,Mkt!BL71),Inputs!$B$15*Mkt!BL71+(1-Inputs!$B$15)*MIN(Mkt!BL71,BK71*(1+Inputs!$B$18))),BK71)))</f>
        <v>1767.8929633075</v>
      </c>
      <c r="BM71" s="11" t="n">
        <f aca="false">IF(BM$1&lt;Units!$P70,0,IF(AND(Units!$K70=0,BM$1=Units!$O70),Units!$R70,IF(AND(BM$1&gt;=Units!$Q70,MOD(BM$1-Units!$Q70,12)=0),IF(AND(Units!$L70=1,BM$1=Units!$Q70),IF(Units!$J70&lt;&gt;"",Units!$J70,Mkt!BM71),Inputs!$B$15*Mkt!BM71+(1-Inputs!$B$15)*MIN(Mkt!BM71,BL71*(1+Inputs!$B$18))),BL71)))</f>
        <v>1767.8929633075</v>
      </c>
      <c r="BN71" s="11" t="n">
        <f aca="false">IF(BN$1&lt;Units!$P70,0,IF(AND(Units!$K70=0,BN$1=Units!$O70),Units!$R70,IF(AND(BN$1&gt;=Units!$Q70,MOD(BN$1-Units!$Q70,12)=0),IF(AND(Units!$L70=1,BN$1=Units!$Q70),IF(Units!$J70&lt;&gt;"",Units!$J70,Mkt!BN71),Inputs!$B$15*Mkt!BN71+(1-Inputs!$B$15)*MIN(Mkt!BN71,BM71*(1+Inputs!$B$18))),BM71)))</f>
        <v>1767.8929633075</v>
      </c>
      <c r="BO71" s="11" t="n">
        <f aca="false">IF(BO$1&lt;Units!$P70,0,IF(AND(Units!$K70=0,BO$1=Units!$O70),Units!$R70,IF(AND(BO$1&gt;=Units!$Q70,MOD(BO$1-Units!$Q70,12)=0),IF(AND(Units!$L70=1,BO$1=Units!$Q70),IF(Units!$J70&lt;&gt;"",Units!$J70,Mkt!BO71),Inputs!$B$15*Mkt!BO71+(1-Inputs!$B$15)*MIN(Mkt!BO71,BN71*(1+Inputs!$B$18))),BN71)))</f>
        <v>1767.8929633075</v>
      </c>
      <c r="BP71" s="11" t="n">
        <f aca="false">IF(BP$1&lt;Units!$P70,0,IF(AND(Units!$K70=0,BP$1=Units!$O70),Units!$R70,IF(AND(BP$1&gt;=Units!$Q70,MOD(BP$1-Units!$Q70,12)=0),IF(AND(Units!$L70=1,BP$1=Units!$Q70),IF(Units!$J70&lt;&gt;"",Units!$J70,Mkt!BP71),Inputs!$B$15*Mkt!BP71+(1-Inputs!$B$15)*MIN(Mkt!BP71,BO71*(1+Inputs!$B$18))),BO71)))</f>
        <v>1767.8929633075</v>
      </c>
      <c r="BQ71" s="11" t="n">
        <f aca="false">IF(BQ$1&lt;Units!$P70,0,IF(AND(Units!$K70=0,BQ$1=Units!$O70),Units!$R70,IF(AND(BQ$1&gt;=Units!$Q70,MOD(BQ$1-Units!$Q70,12)=0),IF(AND(Units!$L70=1,BQ$1=Units!$Q70),IF(Units!$J70&lt;&gt;"",Units!$J70,Mkt!BQ71),Inputs!$B$15*Mkt!BQ71+(1-Inputs!$B$15)*MIN(Mkt!BQ71,BP71*(1+Inputs!$B$18))),BP71)))</f>
        <v>1767.8929633075</v>
      </c>
      <c r="BR71" s="11" t="n">
        <f aca="false">IF(BR$1&lt;Units!$P70,0,IF(AND(Units!$K70=0,BR$1=Units!$O70),Units!$R70,IF(AND(BR$1&gt;=Units!$Q70,MOD(BR$1-Units!$Q70,12)=0),IF(AND(Units!$L70=1,BR$1=Units!$Q70),IF(Units!$J70&lt;&gt;"",Units!$J70,Mkt!BR71),Inputs!$B$15*Mkt!BR71+(1-Inputs!$B$15)*MIN(Mkt!BR71,BQ71*(1+Inputs!$B$18))),BQ71)))</f>
        <v>1767.8929633075</v>
      </c>
      <c r="BS71" s="11" t="n">
        <f aca="false">IF(BS$1&lt;Units!$P70,0,IF(AND(Units!$K70=0,BS$1=Units!$O70),Units!$R70,IF(AND(BS$1&gt;=Units!$Q70,MOD(BS$1-Units!$Q70,12)=0),IF(AND(Units!$L70=1,BS$1=Units!$Q70),IF(Units!$J70&lt;&gt;"",Units!$J70,Mkt!BS71),Inputs!$B$15*Mkt!BS71+(1-Inputs!$B$15)*MIN(Mkt!BS71,BR71*(1+Inputs!$B$18))),BR71)))</f>
        <v>1767.8929633075</v>
      </c>
      <c r="BT71" s="11" t="n">
        <f aca="false">IF(BT$1&lt;Units!$P70,0,IF(AND(Units!$K70=0,BT$1=Units!$O70),Units!$R70,IF(AND(BT$1&gt;=Units!$Q70,MOD(BT$1-Units!$Q70,12)=0),IF(AND(Units!$L70=1,BT$1=Units!$Q70),IF(Units!$J70&lt;&gt;"",Units!$J70,Mkt!BT71),Inputs!$B$15*Mkt!BT71+(1-Inputs!$B$15)*MIN(Mkt!BT71,BS71*(1+Inputs!$B$18))),BS71)))</f>
        <v>1767.8929633075</v>
      </c>
      <c r="BU71" s="11" t="n">
        <f aca="false">IF(BU$1&lt;Units!$P70,0,IF(AND(Units!$K70=0,BU$1=Units!$O70),Units!$R70,IF(AND(BU$1&gt;=Units!$Q70,MOD(BU$1-Units!$Q70,12)=0),IF(AND(Units!$L70=1,BU$1=Units!$Q70),IF(Units!$J70&lt;&gt;"",Units!$J70,Mkt!BU71),Inputs!$B$15*Mkt!BU71+(1-Inputs!$B$15)*MIN(Mkt!BU71,BT71*(1+Inputs!$B$18))),BT71)))</f>
        <v>1767.8929633075</v>
      </c>
      <c r="BV71" s="11" t="n">
        <f aca="false">IF(BV$1&lt;Units!$P70,0,IF(AND(Units!$K70=0,BV$1=Units!$O70),Units!$R70,IF(AND(BV$1&gt;=Units!$Q70,MOD(BV$1-Units!$Q70,12)=0),IF(AND(Units!$L70=1,BV$1=Units!$Q70),IF(Units!$J70&lt;&gt;"",Units!$J70,Mkt!BV71),Inputs!$B$15*Mkt!BV71+(1-Inputs!$B$15)*MIN(Mkt!BV71,BU71*(1+Inputs!$B$18))),BU71)))</f>
        <v>1767.8929633075</v>
      </c>
      <c r="BW71" s="11" t="n">
        <f aca="false">IF(BW$1&lt;Units!$P70,0,IF(AND(Units!$K70=0,BW$1=Units!$O70),Units!$R70,IF(AND(BW$1&gt;=Units!$Q70,MOD(BW$1-Units!$Q70,12)=0),IF(AND(Units!$L70=1,BW$1=Units!$Q70),IF(Units!$J70&lt;&gt;"",Units!$J70,Mkt!BW71),Inputs!$B$15*Mkt!BW71+(1-Inputs!$B$15)*MIN(Mkt!BW71,BV71*(1+Inputs!$B$18))),BV71)))</f>
        <v>1767.8929633075</v>
      </c>
      <c r="BX71" s="11" t="n">
        <f aca="false">IF(BX$1&lt;Units!$P70,0,IF(AND(Units!$K70=0,BX$1=Units!$O70),Units!$R70,IF(AND(BX$1&gt;=Units!$Q70,MOD(BX$1-Units!$Q70,12)=0),IF(AND(Units!$L70=1,BX$1=Units!$Q70),IF(Units!$J70&lt;&gt;"",Units!$J70,Mkt!BX71),Inputs!$B$15*Mkt!BX71+(1-Inputs!$B$15)*MIN(Mkt!BX71,BW71*(1+Inputs!$B$18))),BW71)))</f>
        <v>1820.92975220673</v>
      </c>
      <c r="BY71" s="11" t="n">
        <f aca="false">IF(BY$1&lt;Units!$P70,0,IF(AND(Units!$K70=0,BY$1=Units!$O70),Units!$R70,IF(AND(BY$1&gt;=Units!$Q70,MOD(BY$1-Units!$Q70,12)=0),IF(AND(Units!$L70=1,BY$1=Units!$Q70),IF(Units!$J70&lt;&gt;"",Units!$J70,Mkt!BY71),Inputs!$B$15*Mkt!BY71+(1-Inputs!$B$15)*MIN(Mkt!BY71,BX71*(1+Inputs!$B$18))),BX71)))</f>
        <v>1820.92975220673</v>
      </c>
      <c r="BZ71" s="11" t="n">
        <f aca="false">IF(BZ$1&lt;Units!$P70,0,IF(AND(Units!$K70=0,BZ$1=Units!$O70),Units!$R70,IF(AND(BZ$1&gt;=Units!$Q70,MOD(BZ$1-Units!$Q70,12)=0),IF(AND(Units!$L70=1,BZ$1=Units!$Q70),IF(Units!$J70&lt;&gt;"",Units!$J70,Mkt!BZ71),Inputs!$B$15*Mkt!BZ71+(1-Inputs!$B$15)*MIN(Mkt!BZ71,BY71*(1+Inputs!$B$18))),BY71)))</f>
        <v>1820.92975220673</v>
      </c>
      <c r="CA71" s="11" t="n">
        <f aca="false">IF(CA$1&lt;Units!$P70,0,IF(AND(Units!$K70=0,CA$1=Units!$O70),Units!$R70,IF(AND(CA$1&gt;=Units!$Q70,MOD(CA$1-Units!$Q70,12)=0),IF(AND(Units!$L70=1,CA$1=Units!$Q70),IF(Units!$J70&lt;&gt;"",Units!$J70,Mkt!CA71),Inputs!$B$15*Mkt!CA71+(1-Inputs!$B$15)*MIN(Mkt!CA71,BZ71*(1+Inputs!$B$18))),BZ71)))</f>
        <v>1820.92975220673</v>
      </c>
      <c r="CB71" s="11" t="n">
        <f aca="false">IF(CB$1&lt;Units!$P70,0,IF(AND(Units!$K70=0,CB$1=Units!$O70),Units!$R70,IF(AND(CB$1&gt;=Units!$Q70,MOD(CB$1-Units!$Q70,12)=0),IF(AND(Units!$L70=1,CB$1=Units!$Q70),IF(Units!$J70&lt;&gt;"",Units!$J70,Mkt!CB71),Inputs!$B$15*Mkt!CB71+(1-Inputs!$B$15)*MIN(Mkt!CB71,CA71*(1+Inputs!$B$18))),CA71)))</f>
        <v>1820.92975220673</v>
      </c>
      <c r="CC71" s="11" t="n">
        <f aca="false">IF(CC$1&lt;Units!$P70,0,IF(AND(Units!$K70=0,CC$1=Units!$O70),Units!$R70,IF(AND(CC$1&gt;=Units!$Q70,MOD(CC$1-Units!$Q70,12)=0),IF(AND(Units!$L70=1,CC$1=Units!$Q70),IF(Units!$J70&lt;&gt;"",Units!$J70,Mkt!CC71),Inputs!$B$15*Mkt!CC71+(1-Inputs!$B$15)*MIN(Mkt!CC71,CB71*(1+Inputs!$B$18))),CB71)))</f>
        <v>1820.92975220673</v>
      </c>
      <c r="CD71" s="11" t="n">
        <f aca="false">IF(CD$1&lt;Units!$P70,0,IF(AND(Units!$K70=0,CD$1=Units!$O70),Units!$R70,IF(AND(CD$1&gt;=Units!$Q70,MOD(CD$1-Units!$Q70,12)=0),IF(AND(Units!$L70=1,CD$1=Units!$Q70),IF(Units!$J70&lt;&gt;"",Units!$J70,Mkt!CD71),Inputs!$B$15*Mkt!CD71+(1-Inputs!$B$15)*MIN(Mkt!CD71,CC71*(1+Inputs!$B$18))),CC71)))</f>
        <v>1820.92975220673</v>
      </c>
      <c r="CE71" s="11" t="n">
        <f aca="false">IF(CE$1&lt;Units!$P70,0,IF(AND(Units!$K70=0,CE$1=Units!$O70),Units!$R70,IF(AND(CE$1&gt;=Units!$Q70,MOD(CE$1-Units!$Q70,12)=0),IF(AND(Units!$L70=1,CE$1=Units!$Q70),IF(Units!$J70&lt;&gt;"",Units!$J70,Mkt!CE71),Inputs!$B$15*Mkt!CE71+(1-Inputs!$B$15)*MIN(Mkt!CE71,CD71*(1+Inputs!$B$18))),CD71)))</f>
        <v>1820.92975220673</v>
      </c>
      <c r="CF71" s="11" t="n">
        <f aca="false">IF(CF$1&lt;Units!$P70,0,IF(AND(Units!$K70=0,CF$1=Units!$O70),Units!$R70,IF(AND(CF$1&gt;=Units!$Q70,MOD(CF$1-Units!$Q70,12)=0),IF(AND(Units!$L70=1,CF$1=Units!$Q70),IF(Units!$J70&lt;&gt;"",Units!$J70,Mkt!CF71),Inputs!$B$15*Mkt!CF71+(1-Inputs!$B$15)*MIN(Mkt!CF71,CE71*(1+Inputs!$B$18))),CE71)))</f>
        <v>1820.92975220673</v>
      </c>
      <c r="CG71" s="11" t="n">
        <f aca="false">IF(CG$1&lt;Units!$P70,0,IF(AND(Units!$K70=0,CG$1=Units!$O70),Units!$R70,IF(AND(CG$1&gt;=Units!$Q70,MOD(CG$1-Units!$Q70,12)=0),IF(AND(Units!$L70=1,CG$1=Units!$Q70),IF(Units!$J70&lt;&gt;"",Units!$J70,Mkt!CG71),Inputs!$B$15*Mkt!CG71+(1-Inputs!$B$15)*MIN(Mkt!CG71,CF71*(1+Inputs!$B$18))),CF71)))</f>
        <v>1820.92975220673</v>
      </c>
      <c r="CH71" s="11" t="n">
        <f aca="false">IF(CH$1&lt;Units!$P70,0,IF(AND(Units!$K70=0,CH$1=Units!$O70),Units!$R70,IF(AND(CH$1&gt;=Units!$Q70,MOD(CH$1-Units!$Q70,12)=0),IF(AND(Units!$L70=1,CH$1=Units!$Q70),IF(Units!$J70&lt;&gt;"",Units!$J70,Mkt!CH71),Inputs!$B$15*Mkt!CH71+(1-Inputs!$B$15)*MIN(Mkt!CH71,CG71*(1+Inputs!$B$18))),CG71)))</f>
        <v>1820.92975220673</v>
      </c>
      <c r="CI71" s="11" t="n">
        <f aca="false">IF(CI$1&lt;Units!$P70,0,IF(AND(Units!$K70=0,CI$1=Units!$O70),Units!$R70,IF(AND(CI$1&gt;=Units!$Q70,MOD(CI$1-Units!$Q70,12)=0),IF(AND(Units!$L70=1,CI$1=Units!$Q70),IF(Units!$J70&lt;&gt;"",Units!$J70,Mkt!CI71),Inputs!$B$15*Mkt!CI71+(1-Inputs!$B$15)*MIN(Mkt!CI71,CH71*(1+Inputs!$B$18))),CH71)))</f>
        <v>1820.92975220673</v>
      </c>
      <c r="CJ71" s="11" t="n">
        <f aca="false">IF(CJ$1&lt;Units!$P70,0,IF(AND(Units!$K70=0,CJ$1=Units!$O70),Units!$R70,IF(AND(CJ$1&gt;=Units!$Q70,MOD(CJ$1-Units!$Q70,12)=0),IF(AND(Units!$L70=1,CJ$1=Units!$Q70),IF(Units!$J70&lt;&gt;"",Units!$J70,Mkt!CJ71),Inputs!$B$15*Mkt!CJ71+(1-Inputs!$B$15)*MIN(Mkt!CJ71,CI71*(1+Inputs!$B$18))),CI71)))</f>
        <v>1875.55764477293</v>
      </c>
      <c r="CK71" s="11" t="n">
        <f aca="false">IF(CK$1&lt;Units!$P70,0,IF(AND(Units!$K70=0,CK$1=Units!$O70),Units!$R70,IF(AND(CK$1&gt;=Units!$Q70,MOD(CK$1-Units!$Q70,12)=0),IF(AND(Units!$L70=1,CK$1=Units!$Q70),IF(Units!$J70&lt;&gt;"",Units!$J70,Mkt!CK71),Inputs!$B$15*Mkt!CK71+(1-Inputs!$B$15)*MIN(Mkt!CK71,CJ71*(1+Inputs!$B$18))),CJ71)))</f>
        <v>1875.55764477293</v>
      </c>
      <c r="CL71" s="11" t="n">
        <f aca="false">IF(CL$1&lt;Units!$P70,0,IF(AND(Units!$K70=0,CL$1=Units!$O70),Units!$R70,IF(AND(CL$1&gt;=Units!$Q70,MOD(CL$1-Units!$Q70,12)=0),IF(AND(Units!$L70=1,CL$1=Units!$Q70),IF(Units!$J70&lt;&gt;"",Units!$J70,Mkt!CL71),Inputs!$B$15*Mkt!CL71+(1-Inputs!$B$15)*MIN(Mkt!CL71,CK71*(1+Inputs!$B$18))),CK71)))</f>
        <v>1875.55764477293</v>
      </c>
      <c r="CM71" s="11" t="n">
        <f aca="false">IF(CM$1&lt;Units!$P70,0,IF(AND(Units!$K70=0,CM$1=Units!$O70),Units!$R70,IF(AND(CM$1&gt;=Units!$Q70,MOD(CM$1-Units!$Q70,12)=0),IF(AND(Units!$L70=1,CM$1=Units!$Q70),IF(Units!$J70&lt;&gt;"",Units!$J70,Mkt!CM71),Inputs!$B$15*Mkt!CM71+(1-Inputs!$B$15)*MIN(Mkt!CM71,CL71*(1+Inputs!$B$18))),CL71)))</f>
        <v>1875.55764477293</v>
      </c>
      <c r="CN71" s="11" t="n">
        <f aca="false">IF(CN$1&lt;Units!$P70,0,IF(AND(Units!$K70=0,CN$1=Units!$O70),Units!$R70,IF(AND(CN$1&gt;=Units!$Q70,MOD(CN$1-Units!$Q70,12)=0),IF(AND(Units!$L70=1,CN$1=Units!$Q70),IF(Units!$J70&lt;&gt;"",Units!$J70,Mkt!CN71),Inputs!$B$15*Mkt!CN71+(1-Inputs!$B$15)*MIN(Mkt!CN71,CM71*(1+Inputs!$B$18))),CM71)))</f>
        <v>1875.55764477293</v>
      </c>
      <c r="CO71" s="11" t="n">
        <f aca="false">IF(CO$1&lt;Units!$P70,0,IF(AND(Units!$K70=0,CO$1=Units!$O70),Units!$R70,IF(AND(CO$1&gt;=Units!$Q70,MOD(CO$1-Units!$Q70,12)=0),IF(AND(Units!$L70=1,CO$1=Units!$Q70),IF(Units!$J70&lt;&gt;"",Units!$J70,Mkt!CO71),Inputs!$B$15*Mkt!CO71+(1-Inputs!$B$15)*MIN(Mkt!CO71,CN71*(1+Inputs!$B$18))),CN71)))</f>
        <v>1875.55764477293</v>
      </c>
      <c r="CP71" s="11" t="n">
        <f aca="false">IF(CP$1&lt;Units!$P70,0,IF(AND(Units!$K70=0,CP$1=Units!$O70),Units!$R70,IF(AND(CP$1&gt;=Units!$Q70,MOD(CP$1-Units!$Q70,12)=0),IF(AND(Units!$L70=1,CP$1=Units!$Q70),IF(Units!$J70&lt;&gt;"",Units!$J70,Mkt!CP71),Inputs!$B$15*Mkt!CP71+(1-Inputs!$B$15)*MIN(Mkt!CP71,CO71*(1+Inputs!$B$18))),CO71)))</f>
        <v>1875.55764477293</v>
      </c>
      <c r="CQ71" s="11" t="n">
        <f aca="false">IF(CQ$1&lt;Units!$P70,0,IF(AND(Units!$K70=0,CQ$1=Units!$O70),Units!$R70,IF(AND(CQ$1&gt;=Units!$Q70,MOD(CQ$1-Units!$Q70,12)=0),IF(AND(Units!$L70=1,CQ$1=Units!$Q70),IF(Units!$J70&lt;&gt;"",Units!$J70,Mkt!CQ71),Inputs!$B$15*Mkt!CQ71+(1-Inputs!$B$15)*MIN(Mkt!CQ71,CP71*(1+Inputs!$B$18))),CP71)))</f>
        <v>1875.55764477293</v>
      </c>
      <c r="CR71" s="11" t="n">
        <f aca="false">IF(CR$1&lt;Units!$P70,0,IF(AND(Units!$K70=0,CR$1=Units!$O70),Units!$R70,IF(AND(CR$1&gt;=Units!$Q70,MOD(CR$1-Units!$Q70,12)=0),IF(AND(Units!$L70=1,CR$1=Units!$Q70),IF(Units!$J70&lt;&gt;"",Units!$J70,Mkt!CR71),Inputs!$B$15*Mkt!CR71+(1-Inputs!$B$15)*MIN(Mkt!CR71,CQ71*(1+Inputs!$B$18))),CQ71)))</f>
        <v>1875.55764477293</v>
      </c>
      <c r="CS71" s="11" t="n">
        <f aca="false">IF(CS$1&lt;Units!$P70,0,IF(AND(Units!$K70=0,CS$1=Units!$O70),Units!$R70,IF(AND(CS$1&gt;=Units!$Q70,MOD(CS$1-Units!$Q70,12)=0),IF(AND(Units!$L70=1,CS$1=Units!$Q70),IF(Units!$J70&lt;&gt;"",Units!$J70,Mkt!CS71),Inputs!$B$15*Mkt!CS71+(1-Inputs!$B$15)*MIN(Mkt!CS71,CR71*(1+Inputs!$B$18))),CR71)))</f>
        <v>1875.55764477293</v>
      </c>
      <c r="CT71" s="11" t="n">
        <f aca="false">IF(CT$1&lt;Units!$P70,0,IF(AND(Units!$K70=0,CT$1=Units!$O70),Units!$R70,IF(AND(CT$1&gt;=Units!$Q70,MOD(CT$1-Units!$Q70,12)=0),IF(AND(Units!$L70=1,CT$1=Units!$Q70),IF(Units!$J70&lt;&gt;"",Units!$J70,Mkt!CT71),Inputs!$B$15*Mkt!CT71+(1-Inputs!$B$15)*MIN(Mkt!CT71,CS71*(1+Inputs!$B$18))),CS71)))</f>
        <v>1875.55764477293</v>
      </c>
      <c r="CU71" s="11" t="n">
        <f aca="false">IF(CU$1&lt;Units!$P70,0,IF(AND(Units!$K70=0,CU$1=Units!$O70),Units!$R70,IF(AND(CU$1&gt;=Units!$Q70,MOD(CU$1-Units!$Q70,12)=0),IF(AND(Units!$L70=1,CU$1=Units!$Q70),IF(Units!$J70&lt;&gt;"",Units!$J70,Mkt!CU71),Inputs!$B$15*Mkt!CU71+(1-Inputs!$B$15)*MIN(Mkt!CU71,CT71*(1+Inputs!$B$18))),CT71)))</f>
        <v>1875.55764477293</v>
      </c>
      <c r="CV71" s="11" t="n">
        <f aca="false">IF(CV$1&lt;Units!$P70,0,IF(AND(Units!$K70=0,CV$1=Units!$O70),Units!$R70,IF(AND(CV$1&gt;=Units!$Q70,MOD(CV$1-Units!$Q70,12)=0),IF(AND(Units!$L70=1,CV$1=Units!$Q70),IF(Units!$J70&lt;&gt;"",Units!$J70,Mkt!CV71),Inputs!$B$15*Mkt!CV71+(1-Inputs!$B$15)*MIN(Mkt!CV71,CU71*(1+Inputs!$B$18))),CU71)))</f>
        <v>1931.82437411612</v>
      </c>
      <c r="CW71" s="11" t="n">
        <f aca="false">IF(CW$1&lt;Units!$P70,0,IF(AND(Units!$K70=0,CW$1=Units!$O70),Units!$R70,IF(AND(CW$1&gt;=Units!$Q70,MOD(CW$1-Units!$Q70,12)=0),IF(AND(Units!$L70=1,CW$1=Units!$Q70),IF(Units!$J70&lt;&gt;"",Units!$J70,Mkt!CW71),Inputs!$B$15*Mkt!CW71+(1-Inputs!$B$15)*MIN(Mkt!CW71,CV71*(1+Inputs!$B$18))),CV71)))</f>
        <v>1931.82437411612</v>
      </c>
      <c r="CX71" s="11" t="n">
        <f aca="false">IF(CX$1&lt;Units!$P70,0,IF(AND(Units!$K70=0,CX$1=Units!$O70),Units!$R70,IF(AND(CX$1&gt;=Units!$Q70,MOD(CX$1-Units!$Q70,12)=0),IF(AND(Units!$L70=1,CX$1=Units!$Q70),IF(Units!$J70&lt;&gt;"",Units!$J70,Mkt!CX71),Inputs!$B$15*Mkt!CX71+(1-Inputs!$B$15)*MIN(Mkt!CX71,CW71*(1+Inputs!$B$18))),CW71)))</f>
        <v>1931.82437411612</v>
      </c>
      <c r="CY71" s="11" t="n">
        <f aca="false">IF(CY$1&lt;Units!$P70,0,IF(AND(Units!$K70=0,CY$1=Units!$O70),Units!$R70,IF(AND(CY$1&gt;=Units!$Q70,MOD(CY$1-Units!$Q70,12)=0),IF(AND(Units!$L70=1,CY$1=Units!$Q70),IF(Units!$J70&lt;&gt;"",Units!$J70,Mkt!CY71),Inputs!$B$15*Mkt!CY71+(1-Inputs!$B$15)*MIN(Mkt!CY71,CX71*(1+Inputs!$B$18))),CX71)))</f>
        <v>1931.82437411612</v>
      </c>
      <c r="CZ71" s="11" t="n">
        <f aca="false">IF(CZ$1&lt;Units!$P70,0,IF(AND(Units!$K70=0,CZ$1=Units!$O70),Units!$R70,IF(AND(CZ$1&gt;=Units!$Q70,MOD(CZ$1-Units!$Q70,12)=0),IF(AND(Units!$L70=1,CZ$1=Units!$Q70),IF(Units!$J70&lt;&gt;"",Units!$J70,Mkt!CZ71),Inputs!$B$15*Mkt!CZ71+(1-Inputs!$B$15)*MIN(Mkt!CZ71,CY71*(1+Inputs!$B$18))),CY71)))</f>
        <v>1931.82437411612</v>
      </c>
      <c r="DA71" s="11" t="n">
        <f aca="false">IF(DA$1&lt;Units!$P70,0,IF(AND(Units!$K70=0,DA$1=Units!$O70),Units!$R70,IF(AND(DA$1&gt;=Units!$Q70,MOD(DA$1-Units!$Q70,12)=0),IF(AND(Units!$L70=1,DA$1=Units!$Q70),IF(Units!$J70&lt;&gt;"",Units!$J70,Mkt!DA71),Inputs!$B$15*Mkt!DA71+(1-Inputs!$B$15)*MIN(Mkt!DA71,CZ71*(1+Inputs!$B$18))),CZ71)))</f>
        <v>1931.82437411612</v>
      </c>
      <c r="DB71" s="11" t="n">
        <f aca="false">IF(DB$1&lt;Units!$P70,0,IF(AND(Units!$K70=0,DB$1=Units!$O70),Units!$R70,IF(AND(DB$1&gt;=Units!$Q70,MOD(DB$1-Units!$Q70,12)=0),IF(AND(Units!$L70=1,DB$1=Units!$Q70),IF(Units!$J70&lt;&gt;"",Units!$J70,Mkt!DB71),Inputs!$B$15*Mkt!DB71+(1-Inputs!$B$15)*MIN(Mkt!DB71,DA71*(1+Inputs!$B$18))),DA71)))</f>
        <v>1931.82437411612</v>
      </c>
      <c r="DC71" s="11" t="n">
        <f aca="false">IF(DC$1&lt;Units!$P70,0,IF(AND(Units!$K70=0,DC$1=Units!$O70),Units!$R70,IF(AND(DC$1&gt;=Units!$Q70,MOD(DC$1-Units!$Q70,12)=0),IF(AND(Units!$L70=1,DC$1=Units!$Q70),IF(Units!$J70&lt;&gt;"",Units!$J70,Mkt!DC71),Inputs!$B$15*Mkt!DC71+(1-Inputs!$B$15)*MIN(Mkt!DC71,DB71*(1+Inputs!$B$18))),DB71)))</f>
        <v>1931.82437411612</v>
      </c>
      <c r="DD71" s="11" t="n">
        <f aca="false">IF(DD$1&lt;Units!$P70,0,IF(AND(Units!$K70=0,DD$1=Units!$O70),Units!$R70,IF(AND(DD$1&gt;=Units!$Q70,MOD(DD$1-Units!$Q70,12)=0),IF(AND(Units!$L70=1,DD$1=Units!$Q70),IF(Units!$J70&lt;&gt;"",Units!$J70,Mkt!DD71),Inputs!$B$15*Mkt!DD71+(1-Inputs!$B$15)*MIN(Mkt!DD71,DC71*(1+Inputs!$B$18))),DC71)))</f>
        <v>1931.82437411612</v>
      </c>
      <c r="DE71" s="11" t="n">
        <f aca="false">IF(DE$1&lt;Units!$P70,0,IF(AND(Units!$K70=0,DE$1=Units!$O70),Units!$R70,IF(AND(DE$1&gt;=Units!$Q70,MOD(DE$1-Units!$Q70,12)=0),IF(AND(Units!$L70=1,DE$1=Units!$Q70),IF(Units!$J70&lt;&gt;"",Units!$J70,Mkt!DE71),Inputs!$B$15*Mkt!DE71+(1-Inputs!$B$15)*MIN(Mkt!DE71,DD71*(1+Inputs!$B$18))),DD71)))</f>
        <v>1931.82437411612</v>
      </c>
      <c r="DF71" s="11" t="n">
        <f aca="false">IF(DF$1&lt;Units!$P70,0,IF(AND(Units!$K70=0,DF$1=Units!$O70),Units!$R70,IF(AND(DF$1&gt;=Units!$Q70,MOD(DF$1-Units!$Q70,12)=0),IF(AND(Units!$L70=1,DF$1=Units!$Q70),IF(Units!$J70&lt;&gt;"",Units!$J70,Mkt!DF71),Inputs!$B$15*Mkt!DF71+(1-Inputs!$B$15)*MIN(Mkt!DF71,DE71*(1+Inputs!$B$18))),DE71)))</f>
        <v>1931.82437411612</v>
      </c>
      <c r="DG71" s="11" t="n">
        <f aca="false">IF(DG$1&lt;Units!$P70,0,IF(AND(Units!$K70=0,DG$1=Units!$O70),Units!$R70,IF(AND(DG$1&gt;=Units!$Q70,MOD(DG$1-Units!$Q70,12)=0),IF(AND(Units!$L70=1,DG$1=Units!$Q70),IF(Units!$J70&lt;&gt;"",Units!$J70,Mkt!DG71),Inputs!$B$15*Mkt!DG71+(1-Inputs!$B$15)*MIN(Mkt!DG71,DF71*(1+Inputs!$B$18))),DF71)))</f>
        <v>1931.82437411612</v>
      </c>
      <c r="DH71" s="11" t="n">
        <f aca="false">IF(DH$1&lt;Units!$P70,0,IF(AND(Units!$K70=0,DH$1=Units!$O70),Units!$R70,IF(AND(DH$1&gt;=Units!$Q70,MOD(DH$1-Units!$Q70,12)=0),IF(AND(Units!$L70=1,DH$1=Units!$Q70),IF(Units!$J70&lt;&gt;"",Units!$J70,Mkt!DH71),Inputs!$B$15*Mkt!DH71+(1-Inputs!$B$15)*MIN(Mkt!DH71,DG71*(1+Inputs!$B$18))),DG71)))</f>
        <v>1989.7791053396</v>
      </c>
      <c r="DI71" s="11" t="n">
        <f aca="false">IF(DI$1&lt;Units!$P70,0,IF(AND(Units!$K70=0,DI$1=Units!$O70),Units!$R70,IF(AND(DI$1&gt;=Units!$Q70,MOD(DI$1-Units!$Q70,12)=0),IF(AND(Units!$L70=1,DI$1=Units!$Q70),IF(Units!$J70&lt;&gt;"",Units!$J70,Mkt!DI71),Inputs!$B$15*Mkt!DI71+(1-Inputs!$B$15)*MIN(Mkt!DI71,DH71*(1+Inputs!$B$18))),DH71)))</f>
        <v>1989.7791053396</v>
      </c>
      <c r="DJ71" s="11" t="n">
        <f aca="false">IF(DJ$1&lt;Units!$P70,0,IF(AND(Units!$K70=0,DJ$1=Units!$O70),Units!$R70,IF(AND(DJ$1&gt;=Units!$Q70,MOD(DJ$1-Units!$Q70,12)=0),IF(AND(Units!$L70=1,DJ$1=Units!$Q70),IF(Units!$J70&lt;&gt;"",Units!$J70,Mkt!DJ71),Inputs!$B$15*Mkt!DJ71+(1-Inputs!$B$15)*MIN(Mkt!DJ71,DI71*(1+Inputs!$B$18))),DI71)))</f>
        <v>1989.7791053396</v>
      </c>
      <c r="DK71" s="11" t="n">
        <f aca="false">IF(DK$1&lt;Units!$P70,0,IF(AND(Units!$K70=0,DK$1=Units!$O70),Units!$R70,IF(AND(DK$1&gt;=Units!$Q70,MOD(DK$1-Units!$Q70,12)=0),IF(AND(Units!$L70=1,DK$1=Units!$Q70),IF(Units!$J70&lt;&gt;"",Units!$J70,Mkt!DK71),Inputs!$B$15*Mkt!DK71+(1-Inputs!$B$15)*MIN(Mkt!DK71,DJ71*(1+Inputs!$B$18))),DJ71)))</f>
        <v>1989.7791053396</v>
      </c>
      <c r="DL71" s="11" t="n">
        <f aca="false">IF(DL$1&lt;Units!$P70,0,IF(AND(Units!$K70=0,DL$1=Units!$O70),Units!$R70,IF(AND(DL$1&gt;=Units!$Q70,MOD(DL$1-Units!$Q70,12)=0),IF(AND(Units!$L70=1,DL$1=Units!$Q70),IF(Units!$J70&lt;&gt;"",Units!$J70,Mkt!DL71),Inputs!$B$15*Mkt!DL71+(1-Inputs!$B$15)*MIN(Mkt!DL71,DK71*(1+Inputs!$B$18))),DK71)))</f>
        <v>1989.7791053396</v>
      </c>
      <c r="DM71" s="11" t="n">
        <f aca="false">IF(DM$1&lt;Units!$P70,0,IF(AND(Units!$K70=0,DM$1=Units!$O70),Units!$R70,IF(AND(DM$1&gt;=Units!$Q70,MOD(DM$1-Units!$Q70,12)=0),IF(AND(Units!$L70=1,DM$1=Units!$Q70),IF(Units!$J70&lt;&gt;"",Units!$J70,Mkt!DM71),Inputs!$B$15*Mkt!DM71+(1-Inputs!$B$15)*MIN(Mkt!DM71,DL71*(1+Inputs!$B$18))),DL71)))</f>
        <v>1989.7791053396</v>
      </c>
      <c r="DN71" s="11" t="n">
        <f aca="false">IF(DN$1&lt;Units!$P70,0,IF(AND(Units!$K70=0,DN$1=Units!$O70),Units!$R70,IF(AND(DN$1&gt;=Units!$Q70,MOD(DN$1-Units!$Q70,12)=0),IF(AND(Units!$L70=1,DN$1=Units!$Q70),IF(Units!$J70&lt;&gt;"",Units!$J70,Mkt!DN71),Inputs!$B$15*Mkt!DN71+(1-Inputs!$B$15)*MIN(Mkt!DN71,DM71*(1+Inputs!$B$18))),DM71)))</f>
        <v>1989.7791053396</v>
      </c>
      <c r="DO71" s="11" t="n">
        <f aca="false">IF(DO$1&lt;Units!$P70,0,IF(AND(Units!$K70=0,DO$1=Units!$O70),Units!$R70,IF(AND(DO$1&gt;=Units!$Q70,MOD(DO$1-Units!$Q70,12)=0),IF(AND(Units!$L70=1,DO$1=Units!$Q70),IF(Units!$J70&lt;&gt;"",Units!$J70,Mkt!DO71),Inputs!$B$15*Mkt!DO71+(1-Inputs!$B$15)*MIN(Mkt!DO71,DN71*(1+Inputs!$B$18))),DN71)))</f>
        <v>1989.7791053396</v>
      </c>
      <c r="DP71" s="11" t="n">
        <f aca="false">IF(DP$1&lt;Units!$P70,0,IF(AND(Units!$K70=0,DP$1=Units!$O70),Units!$R70,IF(AND(DP$1&gt;=Units!$Q70,MOD(DP$1-Units!$Q70,12)=0),IF(AND(Units!$L70=1,DP$1=Units!$Q70),IF(Units!$J70&lt;&gt;"",Units!$J70,Mkt!DP71),Inputs!$B$15*Mkt!DP71+(1-Inputs!$B$15)*MIN(Mkt!DP71,DO71*(1+Inputs!$B$18))),DO71)))</f>
        <v>1989.7791053396</v>
      </c>
      <c r="DQ71" s="11" t="n">
        <f aca="false">IF(DQ$1&lt;Units!$P70,0,IF(AND(Units!$K70=0,DQ$1=Units!$O70),Units!$R70,IF(AND(DQ$1&gt;=Units!$Q70,MOD(DQ$1-Units!$Q70,12)=0),IF(AND(Units!$L70=1,DQ$1=Units!$Q70),IF(Units!$J70&lt;&gt;"",Units!$J70,Mkt!DQ71),Inputs!$B$15*Mkt!DQ71+(1-Inputs!$B$15)*MIN(Mkt!DQ71,DP71*(1+Inputs!$B$18))),DP71)))</f>
        <v>1989.7791053396</v>
      </c>
      <c r="DR71" s="11" t="n">
        <f aca="false">IF(DR$1&lt;Units!$P70,0,IF(AND(Units!$K70=0,DR$1=Units!$O70),Units!$R70,IF(AND(DR$1&gt;=Units!$Q70,MOD(DR$1-Units!$Q70,12)=0),IF(AND(Units!$L70=1,DR$1=Units!$Q70),IF(Units!$J70&lt;&gt;"",Units!$J70,Mkt!DR71),Inputs!$B$15*Mkt!DR71+(1-Inputs!$B$15)*MIN(Mkt!DR71,DQ71*(1+Inputs!$B$18))),DQ71)))</f>
        <v>1989.7791053396</v>
      </c>
      <c r="DS71" s="11" t="n">
        <f aca="false">IF(DS$1&lt;Units!$P70,0,IF(AND(Units!$K70=0,DS$1=Units!$O70),Units!$R70,IF(AND(DS$1&gt;=Units!$Q70,MOD(DS$1-Units!$Q70,12)=0),IF(AND(Units!$L70=1,DS$1=Units!$Q70),IF(Units!$J70&lt;&gt;"",Units!$J70,Mkt!DS71),Inputs!$B$15*Mkt!DS71+(1-Inputs!$B$15)*MIN(Mkt!DS71,DR71*(1+Inputs!$B$18))),DR71)))</f>
        <v>1989.7791053396</v>
      </c>
      <c r="DT71" s="11" t="n">
        <f aca="false">IF(DT$1&lt;Units!$P70,0,IF(AND(Units!$K70=0,DT$1=Units!$O70),Units!$R70,IF(AND(DT$1&gt;=Units!$Q70,MOD(DT$1-Units!$Q70,12)=0),IF(AND(Units!$L70=1,DT$1=Units!$Q70),IF(Units!$J70&lt;&gt;"",Units!$J70,Mkt!DT71),Inputs!$B$15*Mkt!DT71+(1-Inputs!$B$15)*MIN(Mkt!DT71,DS71*(1+Inputs!$B$18))),DS71)))</f>
        <v>2049.47247849979</v>
      </c>
      <c r="DU71" s="11" t="n">
        <f aca="false">IF(DU$1&lt;Units!$P70,0,IF(AND(Units!$K70=0,DU$1=Units!$O70),Units!$R70,IF(AND(DU$1&gt;=Units!$Q70,MOD(DU$1-Units!$Q70,12)=0),IF(AND(Units!$L70=1,DU$1=Units!$Q70),IF(Units!$J70&lt;&gt;"",Units!$J70,Mkt!DU71),Inputs!$B$15*Mkt!DU71+(1-Inputs!$B$15)*MIN(Mkt!DU71,DT71*(1+Inputs!$B$18))),DT71)))</f>
        <v>2049.47247849979</v>
      </c>
      <c r="DV71" s="11" t="n">
        <f aca="false">IF(DV$1&lt;Units!$P70,0,IF(AND(Units!$K70=0,DV$1=Units!$O70),Units!$R70,IF(AND(DV$1&gt;=Units!$Q70,MOD(DV$1-Units!$Q70,12)=0),IF(AND(Units!$L70=1,DV$1=Units!$Q70),IF(Units!$J70&lt;&gt;"",Units!$J70,Mkt!DV71),Inputs!$B$15*Mkt!DV71+(1-Inputs!$B$15)*MIN(Mkt!DV71,DU71*(1+Inputs!$B$18))),DU71)))</f>
        <v>2049.47247849979</v>
      </c>
      <c r="DW71" s="11" t="n">
        <f aca="false">IF(DW$1&lt;Units!$P70,0,IF(AND(Units!$K70=0,DW$1=Units!$O70),Units!$R70,IF(AND(DW$1&gt;=Units!$Q70,MOD(DW$1-Units!$Q70,12)=0),IF(AND(Units!$L70=1,DW$1=Units!$Q70),IF(Units!$J70&lt;&gt;"",Units!$J70,Mkt!DW71),Inputs!$B$15*Mkt!DW71+(1-Inputs!$B$15)*MIN(Mkt!DW71,DV71*(1+Inputs!$B$18))),DV71)))</f>
        <v>2049.47247849979</v>
      </c>
      <c r="DX71" s="11" t="n">
        <f aca="false">IF(DX$1&lt;Units!$P70,0,IF(AND(Units!$K70=0,DX$1=Units!$O70),Units!$R70,IF(AND(DX$1&gt;=Units!$Q70,MOD(DX$1-Units!$Q70,12)=0),IF(AND(Units!$L70=1,DX$1=Units!$Q70),IF(Units!$J70&lt;&gt;"",Units!$J70,Mkt!DX71),Inputs!$B$15*Mkt!DX71+(1-Inputs!$B$15)*MIN(Mkt!DX71,DW71*(1+Inputs!$B$18))),DW71)))</f>
        <v>2049.47247849979</v>
      </c>
      <c r="DY71" s="11" t="n">
        <f aca="false">IF(DY$1&lt;Units!$P70,0,IF(AND(Units!$K70=0,DY$1=Units!$O70),Units!$R70,IF(AND(DY$1&gt;=Units!$Q70,MOD(DY$1-Units!$Q70,12)=0),IF(AND(Units!$L70=1,DY$1=Units!$Q70),IF(Units!$J70&lt;&gt;"",Units!$J70,Mkt!DY71),Inputs!$B$15*Mkt!DY71+(1-Inputs!$B$15)*MIN(Mkt!DY71,DX71*(1+Inputs!$B$18))),DX71)))</f>
        <v>2049.47247849979</v>
      </c>
      <c r="DZ71" s="11" t="n">
        <f aca="false">IF(DZ$1&lt;Units!$P70,0,IF(AND(Units!$K70=0,DZ$1=Units!$O70),Units!$R70,IF(AND(DZ$1&gt;=Units!$Q70,MOD(DZ$1-Units!$Q70,12)=0),IF(AND(Units!$L70=1,DZ$1=Units!$Q70),IF(Units!$J70&lt;&gt;"",Units!$J70,Mkt!DZ71),Inputs!$B$15*Mkt!DZ71+(1-Inputs!$B$15)*MIN(Mkt!DZ71,DY71*(1+Inputs!$B$18))),DY71)))</f>
        <v>2049.47247849979</v>
      </c>
      <c r="EA71" s="11" t="n">
        <f aca="false">IF(EA$1&lt;Units!$P70,0,IF(AND(Units!$K70=0,EA$1=Units!$O70),Units!$R70,IF(AND(EA$1&gt;=Units!$Q70,MOD(EA$1-Units!$Q70,12)=0),IF(AND(Units!$L70=1,EA$1=Units!$Q70),IF(Units!$J70&lt;&gt;"",Units!$J70,Mkt!EA71),Inputs!$B$15*Mkt!EA71+(1-Inputs!$B$15)*MIN(Mkt!EA71,DZ71*(1+Inputs!$B$18))),DZ71)))</f>
        <v>2049.47247849979</v>
      </c>
      <c r="EB71" s="11" t="n">
        <f aca="false">IF(EB$1&lt;Units!$P70,0,IF(AND(Units!$K70=0,EB$1=Units!$O70),Units!$R70,IF(AND(EB$1&gt;=Units!$Q70,MOD(EB$1-Units!$Q70,12)=0),IF(AND(Units!$L70=1,EB$1=Units!$Q70),IF(Units!$J70&lt;&gt;"",Units!$J70,Mkt!EB71),Inputs!$B$15*Mkt!EB71+(1-Inputs!$B$15)*MIN(Mkt!EB71,EA71*(1+Inputs!$B$18))),EA71)))</f>
        <v>2049.47247849979</v>
      </c>
      <c r="EC71" s="11" t="n">
        <f aca="false">IF(EC$1&lt;Units!$P70,0,IF(AND(Units!$K70=0,EC$1=Units!$O70),Units!$R70,IF(AND(EC$1&gt;=Units!$Q70,MOD(EC$1-Units!$Q70,12)=0),IF(AND(Units!$L70=1,EC$1=Units!$Q70),IF(Units!$J70&lt;&gt;"",Units!$J70,Mkt!EC71),Inputs!$B$15*Mkt!EC71+(1-Inputs!$B$15)*MIN(Mkt!EC71,EB71*(1+Inputs!$B$18))),EB71)))</f>
        <v>2049.47247849979</v>
      </c>
      <c r="ED71" s="11" t="n">
        <f aca="false">IF(ED$1&lt;Units!$P70,0,IF(AND(Units!$K70=0,ED$1=Units!$O70),Units!$R70,IF(AND(ED$1&gt;=Units!$Q70,MOD(ED$1-Units!$Q70,12)=0),IF(AND(Units!$L70=1,ED$1=Units!$Q70),IF(Units!$J70&lt;&gt;"",Units!$J70,Mkt!ED71),Inputs!$B$15*Mkt!ED71+(1-Inputs!$B$15)*MIN(Mkt!ED71,EC71*(1+Inputs!$B$18))),EC71)))</f>
        <v>2049.47247849979</v>
      </c>
    </row>
    <row r="72" customFormat="false" ht="15" hidden="false" customHeight="false" outlineLevel="0" collapsed="false">
      <c r="A72" s="22" t="n">
        <f aca="false">Units!A71</f>
        <v>310</v>
      </c>
      <c r="B72" s="24" t="n">
        <f aca="false">IF(Units!K71=1,Units!F71,0)</f>
        <v>1580</v>
      </c>
      <c r="C72" s="11" t="n">
        <f aca="false">IF(C$1&lt;Units!$P71,0,IF(AND(Units!$K71=0,C$1=Units!$O71),Units!$R71,IF(AND(C$1&gt;=Units!$Q71,MOD(C$1-Units!$Q71,12)=0),IF(AND(Units!$L71=1,C$1=Units!$Q71),IF(Units!$J71&lt;&gt;"",Units!$J71,Mkt!C72),Inputs!$B$15*Mkt!C72+(1-Inputs!$B$15)*MIN(Mkt!C72,B72*(1+Inputs!$B$18))),B72)))</f>
        <v>1580</v>
      </c>
      <c r="D72" s="11" t="n">
        <f aca="false">IF(D$1&lt;Units!$P71,0,IF(AND(Units!$K71=0,D$1=Units!$O71),Units!$R71,IF(AND(D$1&gt;=Units!$Q71,MOD(D$1-Units!$Q71,12)=0),IF(AND(Units!$L71=1,D$1=Units!$Q71),IF(Units!$J71&lt;&gt;"",Units!$J71,Mkt!D72),Inputs!$B$15*Mkt!D72+(1-Inputs!$B$15)*MIN(Mkt!D72,C72*(1+Inputs!$B$18))),C72)))</f>
        <v>1580</v>
      </c>
      <c r="E72" s="11" t="n">
        <f aca="false">IF(E$1&lt;Units!$P71,0,IF(AND(Units!$K71=0,E$1=Units!$O71),Units!$R71,IF(AND(E$1&gt;=Units!$Q71,MOD(E$1-Units!$Q71,12)=0),IF(AND(Units!$L71=1,E$1=Units!$Q71),IF(Units!$J71&lt;&gt;"",Units!$J71,Mkt!E72),Inputs!$B$15*Mkt!E72+(1-Inputs!$B$15)*MIN(Mkt!E72,D72*(1+Inputs!$B$18))),D72)))</f>
        <v>1580</v>
      </c>
      <c r="F72" s="11" t="n">
        <f aca="false">IF(F$1&lt;Units!$P71,0,IF(AND(Units!$K71=0,F$1=Units!$O71),Units!$R71,IF(AND(F$1&gt;=Units!$Q71,MOD(F$1-Units!$Q71,12)=0),IF(AND(Units!$L71=1,F$1=Units!$Q71),IF(Units!$J71&lt;&gt;"",Units!$J71,Mkt!F72),Inputs!$B$15*Mkt!F72+(1-Inputs!$B$15)*MIN(Mkt!F72,E72*(1+Inputs!$B$18))),E72)))</f>
        <v>1580</v>
      </c>
      <c r="G72" s="11" t="n">
        <f aca="false">IF(G$1&lt;Units!$P71,0,IF(AND(Units!$K71=0,G$1=Units!$O71),Units!$R71,IF(AND(G$1&gt;=Units!$Q71,MOD(G$1-Units!$Q71,12)=0),IF(AND(Units!$L71=1,G$1=Units!$Q71),IF(Units!$J71&lt;&gt;"",Units!$J71,Mkt!G72),Inputs!$B$15*Mkt!G72+(1-Inputs!$B$15)*MIN(Mkt!G72,F72*(1+Inputs!$B$18))),F72)))</f>
        <v>1580</v>
      </c>
      <c r="H72" s="11" t="n">
        <f aca="false">IF(H$1&lt;Units!$P71,0,IF(AND(Units!$K71=0,H$1=Units!$O71),Units!$R71,IF(AND(H$1&gt;=Units!$Q71,MOD(H$1-Units!$Q71,12)=0),IF(AND(Units!$L71=1,H$1=Units!$Q71),IF(Units!$J71&lt;&gt;"",Units!$J71,Mkt!H72),Inputs!$B$15*Mkt!H72+(1-Inputs!$B$15)*MIN(Mkt!H72,G72*(1+Inputs!$B$18))),G72)))</f>
        <v>1580</v>
      </c>
      <c r="I72" s="11" t="n">
        <f aca="false">IF(I$1&lt;Units!$P71,0,IF(AND(Units!$K71=0,I$1=Units!$O71),Units!$R71,IF(AND(I$1&gt;=Units!$Q71,MOD(I$1-Units!$Q71,12)=0),IF(AND(Units!$L71=1,I$1=Units!$Q71),IF(Units!$J71&lt;&gt;"",Units!$J71,Mkt!I72),Inputs!$B$15*Mkt!I72+(1-Inputs!$B$15)*MIN(Mkt!I72,H72*(1+Inputs!$B$18))),H72)))</f>
        <v>1580</v>
      </c>
      <c r="J72" s="11" t="n">
        <f aca="false">IF(J$1&lt;Units!$P71,0,IF(AND(Units!$K71=0,J$1=Units!$O71),Units!$R71,IF(AND(J$1&gt;=Units!$Q71,MOD(J$1-Units!$Q71,12)=0),IF(AND(Units!$L71=1,J$1=Units!$Q71),IF(Units!$J71&lt;&gt;"",Units!$J71,Mkt!J72),Inputs!$B$15*Mkt!J72+(1-Inputs!$B$15)*MIN(Mkt!J72,I72*(1+Inputs!$B$18))),I72)))</f>
        <v>1580</v>
      </c>
      <c r="K72" s="11" t="n">
        <f aca="false">IF(K$1&lt;Units!$P71,0,IF(AND(Units!$K71=0,K$1=Units!$O71),Units!$R71,IF(AND(K$1&gt;=Units!$Q71,MOD(K$1-Units!$Q71,12)=0),IF(AND(Units!$L71=1,K$1=Units!$Q71),IF(Units!$J71&lt;&gt;"",Units!$J71,Mkt!K72),Inputs!$B$15*Mkt!K72+(1-Inputs!$B$15)*MIN(Mkt!K72,J72*(1+Inputs!$B$18))),J72)))</f>
        <v>1580</v>
      </c>
      <c r="L72" s="11" t="n">
        <f aca="false">IF(L$1&lt;Units!$P71,0,IF(AND(Units!$K71=0,L$1=Units!$O71),Units!$R71,IF(AND(L$1&gt;=Units!$Q71,MOD(L$1-Units!$Q71,12)=0),IF(AND(Units!$L71=1,L$1=Units!$Q71),IF(Units!$J71&lt;&gt;"",Units!$J71,Mkt!L72),Inputs!$B$15*Mkt!L72+(1-Inputs!$B$15)*MIN(Mkt!L72,K72*(1+Inputs!$B$18))),K72)))</f>
        <v>1525</v>
      </c>
      <c r="M72" s="11" t="n">
        <f aca="false">IF(M$1&lt;Units!$P71,0,IF(AND(Units!$K71=0,M$1=Units!$O71),Units!$R71,IF(AND(M$1&gt;=Units!$Q71,MOD(M$1-Units!$Q71,12)=0),IF(AND(Units!$L71=1,M$1=Units!$Q71),IF(Units!$J71&lt;&gt;"",Units!$J71,Mkt!M72),Inputs!$B$15*Mkt!M72+(1-Inputs!$B$15)*MIN(Mkt!M72,L72*(1+Inputs!$B$18))),L72)))</f>
        <v>1525</v>
      </c>
      <c r="N72" s="11" t="n">
        <f aca="false">IF(N$1&lt;Units!$P71,0,IF(AND(Units!$K71=0,N$1=Units!$O71),Units!$R71,IF(AND(N$1&gt;=Units!$Q71,MOD(N$1-Units!$Q71,12)=0),IF(AND(Units!$L71=1,N$1=Units!$Q71),IF(Units!$J71&lt;&gt;"",Units!$J71,Mkt!N72),Inputs!$B$15*Mkt!N72+(1-Inputs!$B$15)*MIN(Mkt!N72,M72*(1+Inputs!$B$18))),M72)))</f>
        <v>1525</v>
      </c>
      <c r="O72" s="11" t="n">
        <f aca="false">IF(O$1&lt;Units!$P71,0,IF(AND(Units!$K71=0,O$1=Units!$O71),Units!$R71,IF(AND(O$1&gt;=Units!$Q71,MOD(O$1-Units!$Q71,12)=0),IF(AND(Units!$L71=1,O$1=Units!$Q71),IF(Units!$J71&lt;&gt;"",Units!$J71,Mkt!O72),Inputs!$B$15*Mkt!O72+(1-Inputs!$B$15)*MIN(Mkt!O72,N72*(1+Inputs!$B$18))),N72)))</f>
        <v>1525</v>
      </c>
      <c r="P72" s="11" t="n">
        <f aca="false">IF(P$1&lt;Units!$P71,0,IF(AND(Units!$K71=0,P$1=Units!$O71),Units!$R71,IF(AND(P$1&gt;=Units!$Q71,MOD(P$1-Units!$Q71,12)=0),IF(AND(Units!$L71=1,P$1=Units!$Q71),IF(Units!$J71&lt;&gt;"",Units!$J71,Mkt!P72),Inputs!$B$15*Mkt!P72+(1-Inputs!$B$15)*MIN(Mkt!P72,O72*(1+Inputs!$B$18))),O72)))</f>
        <v>1525</v>
      </c>
      <c r="Q72" s="11" t="n">
        <f aca="false">IF(Q$1&lt;Units!$P71,0,IF(AND(Units!$K71=0,Q$1=Units!$O71),Units!$R71,IF(AND(Q$1&gt;=Units!$Q71,MOD(Q$1-Units!$Q71,12)=0),IF(AND(Units!$L71=1,Q$1=Units!$Q71),IF(Units!$J71&lt;&gt;"",Units!$J71,Mkt!Q72),Inputs!$B$15*Mkt!Q72+(1-Inputs!$B$15)*MIN(Mkt!Q72,P72*(1+Inputs!$B$18))),P72)))</f>
        <v>1525</v>
      </c>
      <c r="R72" s="11" t="n">
        <f aca="false">IF(R$1&lt;Units!$P71,0,IF(AND(Units!$K71=0,R$1=Units!$O71),Units!$R71,IF(AND(R$1&gt;=Units!$Q71,MOD(R$1-Units!$Q71,12)=0),IF(AND(Units!$L71=1,R$1=Units!$Q71),IF(Units!$J71&lt;&gt;"",Units!$J71,Mkt!R72),Inputs!$B$15*Mkt!R72+(1-Inputs!$B$15)*MIN(Mkt!R72,Q72*(1+Inputs!$B$18))),Q72)))</f>
        <v>1525</v>
      </c>
      <c r="S72" s="11" t="n">
        <f aca="false">IF(S$1&lt;Units!$P71,0,IF(AND(Units!$K71=0,S$1=Units!$O71),Units!$R71,IF(AND(S$1&gt;=Units!$Q71,MOD(S$1-Units!$Q71,12)=0),IF(AND(Units!$L71=1,S$1=Units!$Q71),IF(Units!$J71&lt;&gt;"",Units!$J71,Mkt!S72),Inputs!$B$15*Mkt!S72+(1-Inputs!$B$15)*MIN(Mkt!S72,R72*(1+Inputs!$B$18))),R72)))</f>
        <v>1525</v>
      </c>
      <c r="T72" s="11" t="n">
        <f aca="false">IF(T$1&lt;Units!$P71,0,IF(AND(Units!$K71=0,T$1=Units!$O71),Units!$R71,IF(AND(T$1&gt;=Units!$Q71,MOD(T$1-Units!$Q71,12)=0),IF(AND(Units!$L71=1,T$1=Units!$Q71),IF(Units!$J71&lt;&gt;"",Units!$J71,Mkt!T72),Inputs!$B$15*Mkt!T72+(1-Inputs!$B$15)*MIN(Mkt!T72,S72*(1+Inputs!$B$18))),S72)))</f>
        <v>1525</v>
      </c>
      <c r="U72" s="11" t="n">
        <f aca="false">IF(U$1&lt;Units!$P71,0,IF(AND(Units!$K71=0,U$1=Units!$O71),Units!$R71,IF(AND(U$1&gt;=Units!$Q71,MOD(U$1-Units!$Q71,12)=0),IF(AND(Units!$L71=1,U$1=Units!$Q71),IF(Units!$J71&lt;&gt;"",Units!$J71,Mkt!U72),Inputs!$B$15*Mkt!U72+(1-Inputs!$B$15)*MIN(Mkt!U72,T72*(1+Inputs!$B$18))),T72)))</f>
        <v>1525</v>
      </c>
      <c r="V72" s="11" t="n">
        <f aca="false">IF(V$1&lt;Units!$P71,0,IF(AND(Units!$K71=0,V$1=Units!$O71),Units!$R71,IF(AND(V$1&gt;=Units!$Q71,MOD(V$1-Units!$Q71,12)=0),IF(AND(Units!$L71=1,V$1=Units!$Q71),IF(Units!$J71&lt;&gt;"",Units!$J71,Mkt!V72),Inputs!$B$15*Mkt!V72+(1-Inputs!$B$15)*MIN(Mkt!V72,U72*(1+Inputs!$B$18))),U72)))</f>
        <v>1525</v>
      </c>
      <c r="W72" s="11" t="n">
        <f aca="false">IF(W$1&lt;Units!$P71,0,IF(AND(Units!$K71=0,W$1=Units!$O71),Units!$R71,IF(AND(W$1&gt;=Units!$Q71,MOD(W$1-Units!$Q71,12)=0),IF(AND(Units!$L71=1,W$1=Units!$Q71),IF(Units!$J71&lt;&gt;"",Units!$J71,Mkt!W72),Inputs!$B$15*Mkt!W72+(1-Inputs!$B$15)*MIN(Mkt!W72,V72*(1+Inputs!$B$18))),V72)))</f>
        <v>1525</v>
      </c>
      <c r="X72" s="11" t="n">
        <f aca="false">IF(X$1&lt;Units!$P71,0,IF(AND(Units!$K71=0,X$1=Units!$O71),Units!$R71,IF(AND(X$1&gt;=Units!$Q71,MOD(X$1-Units!$Q71,12)=0),IF(AND(Units!$L71=1,X$1=Units!$Q71),IF(Units!$J71&lt;&gt;"",Units!$J71,Mkt!X72),Inputs!$B$15*Mkt!X72+(1-Inputs!$B$15)*MIN(Mkt!X72,W72*(1+Inputs!$B$18))),W72)))</f>
        <v>1570.75</v>
      </c>
      <c r="Y72" s="11" t="n">
        <f aca="false">IF(Y$1&lt;Units!$P71,0,IF(AND(Units!$K71=0,Y$1=Units!$O71),Units!$R71,IF(AND(Y$1&gt;=Units!$Q71,MOD(Y$1-Units!$Q71,12)=0),IF(AND(Units!$L71=1,Y$1=Units!$Q71),IF(Units!$J71&lt;&gt;"",Units!$J71,Mkt!Y72),Inputs!$B$15*Mkt!Y72+(1-Inputs!$B$15)*MIN(Mkt!Y72,X72*(1+Inputs!$B$18))),X72)))</f>
        <v>1570.75</v>
      </c>
      <c r="Z72" s="11" t="n">
        <f aca="false">IF(Z$1&lt;Units!$P71,0,IF(AND(Units!$K71=0,Z$1=Units!$O71),Units!$R71,IF(AND(Z$1&gt;=Units!$Q71,MOD(Z$1-Units!$Q71,12)=0),IF(AND(Units!$L71=1,Z$1=Units!$Q71),IF(Units!$J71&lt;&gt;"",Units!$J71,Mkt!Z72),Inputs!$B$15*Mkt!Z72+(1-Inputs!$B$15)*MIN(Mkt!Z72,Y72*(1+Inputs!$B$18))),Y72)))</f>
        <v>1570.75</v>
      </c>
      <c r="AA72" s="11" t="n">
        <f aca="false">IF(AA$1&lt;Units!$P71,0,IF(AND(Units!$K71=0,AA$1=Units!$O71),Units!$R71,IF(AND(AA$1&gt;=Units!$Q71,MOD(AA$1-Units!$Q71,12)=0),IF(AND(Units!$L71=1,AA$1=Units!$Q71),IF(Units!$J71&lt;&gt;"",Units!$J71,Mkt!AA72),Inputs!$B$15*Mkt!AA72+(1-Inputs!$B$15)*MIN(Mkt!AA72,Z72*(1+Inputs!$B$18))),Z72)))</f>
        <v>1570.75</v>
      </c>
      <c r="AB72" s="11" t="n">
        <f aca="false">IF(AB$1&lt;Units!$P71,0,IF(AND(Units!$K71=0,AB$1=Units!$O71),Units!$R71,IF(AND(AB$1&gt;=Units!$Q71,MOD(AB$1-Units!$Q71,12)=0),IF(AND(Units!$L71=1,AB$1=Units!$Q71),IF(Units!$J71&lt;&gt;"",Units!$J71,Mkt!AB72),Inputs!$B$15*Mkt!AB72+(1-Inputs!$B$15)*MIN(Mkt!AB72,AA72*(1+Inputs!$B$18))),AA72)))</f>
        <v>1570.75</v>
      </c>
      <c r="AC72" s="11" t="n">
        <f aca="false">IF(AC$1&lt;Units!$P71,0,IF(AND(Units!$K71=0,AC$1=Units!$O71),Units!$R71,IF(AND(AC$1&gt;=Units!$Q71,MOD(AC$1-Units!$Q71,12)=0),IF(AND(Units!$L71=1,AC$1=Units!$Q71),IF(Units!$J71&lt;&gt;"",Units!$J71,Mkt!AC72),Inputs!$B$15*Mkt!AC72+(1-Inputs!$B$15)*MIN(Mkt!AC72,AB72*(1+Inputs!$B$18))),AB72)))</f>
        <v>1570.75</v>
      </c>
      <c r="AD72" s="11" t="n">
        <f aca="false">IF(AD$1&lt;Units!$P71,0,IF(AND(Units!$K71=0,AD$1=Units!$O71),Units!$R71,IF(AND(AD$1&gt;=Units!$Q71,MOD(AD$1-Units!$Q71,12)=0),IF(AND(Units!$L71=1,AD$1=Units!$Q71),IF(Units!$J71&lt;&gt;"",Units!$J71,Mkt!AD72),Inputs!$B$15*Mkt!AD72+(1-Inputs!$B$15)*MIN(Mkt!AD72,AC72*(1+Inputs!$B$18))),AC72)))</f>
        <v>1570.75</v>
      </c>
      <c r="AE72" s="11" t="n">
        <f aca="false">IF(AE$1&lt;Units!$P71,0,IF(AND(Units!$K71=0,AE$1=Units!$O71),Units!$R71,IF(AND(AE$1&gt;=Units!$Q71,MOD(AE$1-Units!$Q71,12)=0),IF(AND(Units!$L71=1,AE$1=Units!$Q71),IF(Units!$J71&lt;&gt;"",Units!$J71,Mkt!AE72),Inputs!$B$15*Mkt!AE72+(1-Inputs!$B$15)*MIN(Mkt!AE72,AD72*(1+Inputs!$B$18))),AD72)))</f>
        <v>1570.75</v>
      </c>
      <c r="AF72" s="11" t="n">
        <f aca="false">IF(AF$1&lt;Units!$P71,0,IF(AND(Units!$K71=0,AF$1=Units!$O71),Units!$R71,IF(AND(AF$1&gt;=Units!$Q71,MOD(AF$1-Units!$Q71,12)=0),IF(AND(Units!$L71=1,AF$1=Units!$Q71),IF(Units!$J71&lt;&gt;"",Units!$J71,Mkt!AF72),Inputs!$B$15*Mkt!AF72+(1-Inputs!$B$15)*MIN(Mkt!AF72,AE72*(1+Inputs!$B$18))),AE72)))</f>
        <v>1570.75</v>
      </c>
      <c r="AG72" s="11" t="n">
        <f aca="false">IF(AG$1&lt;Units!$P71,0,IF(AND(Units!$K71=0,AG$1=Units!$O71),Units!$R71,IF(AND(AG$1&gt;=Units!$Q71,MOD(AG$1-Units!$Q71,12)=0),IF(AND(Units!$L71=1,AG$1=Units!$Q71),IF(Units!$J71&lt;&gt;"",Units!$J71,Mkt!AG72),Inputs!$B$15*Mkt!AG72+(1-Inputs!$B$15)*MIN(Mkt!AG72,AF72*(1+Inputs!$B$18))),AF72)))</f>
        <v>1570.75</v>
      </c>
      <c r="AH72" s="11" t="n">
        <f aca="false">IF(AH$1&lt;Units!$P71,0,IF(AND(Units!$K71=0,AH$1=Units!$O71),Units!$R71,IF(AND(AH$1&gt;=Units!$Q71,MOD(AH$1-Units!$Q71,12)=0),IF(AND(Units!$L71=1,AH$1=Units!$Q71),IF(Units!$J71&lt;&gt;"",Units!$J71,Mkt!AH72),Inputs!$B$15*Mkt!AH72+(1-Inputs!$B$15)*MIN(Mkt!AH72,AG72*(1+Inputs!$B$18))),AG72)))</f>
        <v>1570.75</v>
      </c>
      <c r="AI72" s="11" t="n">
        <f aca="false">IF(AI$1&lt;Units!$P71,0,IF(AND(Units!$K71=0,AI$1=Units!$O71),Units!$R71,IF(AND(AI$1&gt;=Units!$Q71,MOD(AI$1-Units!$Q71,12)=0),IF(AND(Units!$L71=1,AI$1=Units!$Q71),IF(Units!$J71&lt;&gt;"",Units!$J71,Mkt!AI72),Inputs!$B$15*Mkt!AI72+(1-Inputs!$B$15)*MIN(Mkt!AI72,AH72*(1+Inputs!$B$18))),AH72)))</f>
        <v>1570.75</v>
      </c>
      <c r="AJ72" s="11" t="n">
        <f aca="false">IF(AJ$1&lt;Units!$P71,0,IF(AND(Units!$K71=0,AJ$1=Units!$O71),Units!$R71,IF(AND(AJ$1&gt;=Units!$Q71,MOD(AJ$1-Units!$Q71,12)=0),IF(AND(Units!$L71=1,AJ$1=Units!$Q71),IF(Units!$J71&lt;&gt;"",Units!$J71,Mkt!AJ72),Inputs!$B$15*Mkt!AJ72+(1-Inputs!$B$15)*MIN(Mkt!AJ72,AI72*(1+Inputs!$B$18))),AI72)))</f>
        <v>1617.8725</v>
      </c>
      <c r="AK72" s="11" t="n">
        <f aca="false">IF(AK$1&lt;Units!$P71,0,IF(AND(Units!$K71=0,AK$1=Units!$O71),Units!$R71,IF(AND(AK$1&gt;=Units!$Q71,MOD(AK$1-Units!$Q71,12)=0),IF(AND(Units!$L71=1,AK$1=Units!$Q71),IF(Units!$J71&lt;&gt;"",Units!$J71,Mkt!AK72),Inputs!$B$15*Mkt!AK72+(1-Inputs!$B$15)*MIN(Mkt!AK72,AJ72*(1+Inputs!$B$18))),AJ72)))</f>
        <v>1617.8725</v>
      </c>
      <c r="AL72" s="11" t="n">
        <f aca="false">IF(AL$1&lt;Units!$P71,0,IF(AND(Units!$K71=0,AL$1=Units!$O71),Units!$R71,IF(AND(AL$1&gt;=Units!$Q71,MOD(AL$1-Units!$Q71,12)=0),IF(AND(Units!$L71=1,AL$1=Units!$Q71),IF(Units!$J71&lt;&gt;"",Units!$J71,Mkt!AL72),Inputs!$B$15*Mkt!AL72+(1-Inputs!$B$15)*MIN(Mkt!AL72,AK72*(1+Inputs!$B$18))),AK72)))</f>
        <v>1617.8725</v>
      </c>
      <c r="AM72" s="11" t="n">
        <f aca="false">IF(AM$1&lt;Units!$P71,0,IF(AND(Units!$K71=0,AM$1=Units!$O71),Units!$R71,IF(AND(AM$1&gt;=Units!$Q71,MOD(AM$1-Units!$Q71,12)=0),IF(AND(Units!$L71=1,AM$1=Units!$Q71),IF(Units!$J71&lt;&gt;"",Units!$J71,Mkt!AM72),Inputs!$B$15*Mkt!AM72+(1-Inputs!$B$15)*MIN(Mkt!AM72,AL72*(1+Inputs!$B$18))),AL72)))</f>
        <v>1617.8725</v>
      </c>
      <c r="AN72" s="11" t="n">
        <f aca="false">IF(AN$1&lt;Units!$P71,0,IF(AND(Units!$K71=0,AN$1=Units!$O71),Units!$R71,IF(AND(AN$1&gt;=Units!$Q71,MOD(AN$1-Units!$Q71,12)=0),IF(AND(Units!$L71=1,AN$1=Units!$Q71),IF(Units!$J71&lt;&gt;"",Units!$J71,Mkt!AN72),Inputs!$B$15*Mkt!AN72+(1-Inputs!$B$15)*MIN(Mkt!AN72,AM72*(1+Inputs!$B$18))),AM72)))</f>
        <v>1617.8725</v>
      </c>
      <c r="AO72" s="11" t="n">
        <f aca="false">IF(AO$1&lt;Units!$P71,0,IF(AND(Units!$K71=0,AO$1=Units!$O71),Units!$R71,IF(AND(AO$1&gt;=Units!$Q71,MOD(AO$1-Units!$Q71,12)=0),IF(AND(Units!$L71=1,AO$1=Units!$Q71),IF(Units!$J71&lt;&gt;"",Units!$J71,Mkt!AO72),Inputs!$B$15*Mkt!AO72+(1-Inputs!$B$15)*MIN(Mkt!AO72,AN72*(1+Inputs!$B$18))),AN72)))</f>
        <v>1617.8725</v>
      </c>
      <c r="AP72" s="11" t="n">
        <f aca="false">IF(AP$1&lt;Units!$P71,0,IF(AND(Units!$K71=0,AP$1=Units!$O71),Units!$R71,IF(AND(AP$1&gt;=Units!$Q71,MOD(AP$1-Units!$Q71,12)=0),IF(AND(Units!$L71=1,AP$1=Units!$Q71),IF(Units!$J71&lt;&gt;"",Units!$J71,Mkt!AP72),Inputs!$B$15*Mkt!AP72+(1-Inputs!$B$15)*MIN(Mkt!AP72,AO72*(1+Inputs!$B$18))),AO72)))</f>
        <v>1617.8725</v>
      </c>
      <c r="AQ72" s="11" t="n">
        <f aca="false">IF(AQ$1&lt;Units!$P71,0,IF(AND(Units!$K71=0,AQ$1=Units!$O71),Units!$R71,IF(AND(AQ$1&gt;=Units!$Q71,MOD(AQ$1-Units!$Q71,12)=0),IF(AND(Units!$L71=1,AQ$1=Units!$Q71),IF(Units!$J71&lt;&gt;"",Units!$J71,Mkt!AQ72),Inputs!$B$15*Mkt!AQ72+(1-Inputs!$B$15)*MIN(Mkt!AQ72,AP72*(1+Inputs!$B$18))),AP72)))</f>
        <v>1617.8725</v>
      </c>
      <c r="AR72" s="11" t="n">
        <f aca="false">IF(AR$1&lt;Units!$P71,0,IF(AND(Units!$K71=0,AR$1=Units!$O71),Units!$R71,IF(AND(AR$1&gt;=Units!$Q71,MOD(AR$1-Units!$Q71,12)=0),IF(AND(Units!$L71=1,AR$1=Units!$Q71),IF(Units!$J71&lt;&gt;"",Units!$J71,Mkt!AR72),Inputs!$B$15*Mkt!AR72+(1-Inputs!$B$15)*MIN(Mkt!AR72,AQ72*(1+Inputs!$B$18))),AQ72)))</f>
        <v>1617.8725</v>
      </c>
      <c r="AS72" s="11" t="n">
        <f aca="false">IF(AS$1&lt;Units!$P71,0,IF(AND(Units!$K71=0,AS$1=Units!$O71),Units!$R71,IF(AND(AS$1&gt;=Units!$Q71,MOD(AS$1-Units!$Q71,12)=0),IF(AND(Units!$L71=1,AS$1=Units!$Q71),IF(Units!$J71&lt;&gt;"",Units!$J71,Mkt!AS72),Inputs!$B$15*Mkt!AS72+(1-Inputs!$B$15)*MIN(Mkt!AS72,AR72*(1+Inputs!$B$18))),AR72)))</f>
        <v>1617.8725</v>
      </c>
      <c r="AT72" s="11" t="n">
        <f aca="false">IF(AT$1&lt;Units!$P71,0,IF(AND(Units!$K71=0,AT$1=Units!$O71),Units!$R71,IF(AND(AT$1&gt;=Units!$Q71,MOD(AT$1-Units!$Q71,12)=0),IF(AND(Units!$L71=1,AT$1=Units!$Q71),IF(Units!$J71&lt;&gt;"",Units!$J71,Mkt!AT72),Inputs!$B$15*Mkt!AT72+(1-Inputs!$B$15)*MIN(Mkt!AT72,AS72*(1+Inputs!$B$18))),AS72)))</f>
        <v>1617.8725</v>
      </c>
      <c r="AU72" s="11" t="n">
        <f aca="false">IF(AU$1&lt;Units!$P71,0,IF(AND(Units!$K71=0,AU$1=Units!$O71),Units!$R71,IF(AND(AU$1&gt;=Units!$Q71,MOD(AU$1-Units!$Q71,12)=0),IF(AND(Units!$L71=1,AU$1=Units!$Q71),IF(Units!$J71&lt;&gt;"",Units!$J71,Mkt!AU72),Inputs!$B$15*Mkt!AU72+(1-Inputs!$B$15)*MIN(Mkt!AU72,AT72*(1+Inputs!$B$18))),AT72)))</f>
        <v>1617.8725</v>
      </c>
      <c r="AV72" s="11" t="n">
        <f aca="false">IF(AV$1&lt;Units!$P71,0,IF(AND(Units!$K71=0,AV$1=Units!$O71),Units!$R71,IF(AND(AV$1&gt;=Units!$Q71,MOD(AV$1-Units!$Q71,12)=0),IF(AND(Units!$L71=1,AV$1=Units!$Q71),IF(Units!$J71&lt;&gt;"",Units!$J71,Mkt!AV72),Inputs!$B$15*Mkt!AV72+(1-Inputs!$B$15)*MIN(Mkt!AV72,AU72*(1+Inputs!$B$18))),AU72)))</f>
        <v>1666.408675</v>
      </c>
      <c r="AW72" s="11" t="n">
        <f aca="false">IF(AW$1&lt;Units!$P71,0,IF(AND(Units!$K71=0,AW$1=Units!$O71),Units!$R71,IF(AND(AW$1&gt;=Units!$Q71,MOD(AW$1-Units!$Q71,12)=0),IF(AND(Units!$L71=1,AW$1=Units!$Q71),IF(Units!$J71&lt;&gt;"",Units!$J71,Mkt!AW72),Inputs!$B$15*Mkt!AW72+(1-Inputs!$B$15)*MIN(Mkt!AW72,AV72*(1+Inputs!$B$18))),AV72)))</f>
        <v>1666.408675</v>
      </c>
      <c r="AX72" s="11" t="n">
        <f aca="false">IF(AX$1&lt;Units!$P71,0,IF(AND(Units!$K71=0,AX$1=Units!$O71),Units!$R71,IF(AND(AX$1&gt;=Units!$Q71,MOD(AX$1-Units!$Q71,12)=0),IF(AND(Units!$L71=1,AX$1=Units!$Q71),IF(Units!$J71&lt;&gt;"",Units!$J71,Mkt!AX72),Inputs!$B$15*Mkt!AX72+(1-Inputs!$B$15)*MIN(Mkt!AX72,AW72*(1+Inputs!$B$18))),AW72)))</f>
        <v>1666.408675</v>
      </c>
      <c r="AY72" s="11" t="n">
        <f aca="false">IF(AY$1&lt;Units!$P71,0,IF(AND(Units!$K71=0,AY$1=Units!$O71),Units!$R71,IF(AND(AY$1&gt;=Units!$Q71,MOD(AY$1-Units!$Q71,12)=0),IF(AND(Units!$L71=1,AY$1=Units!$Q71),IF(Units!$J71&lt;&gt;"",Units!$J71,Mkt!AY72),Inputs!$B$15*Mkt!AY72+(1-Inputs!$B$15)*MIN(Mkt!AY72,AX72*(1+Inputs!$B$18))),AX72)))</f>
        <v>1666.408675</v>
      </c>
      <c r="AZ72" s="11" t="n">
        <f aca="false">IF(AZ$1&lt;Units!$P71,0,IF(AND(Units!$K71=0,AZ$1=Units!$O71),Units!$R71,IF(AND(AZ$1&gt;=Units!$Q71,MOD(AZ$1-Units!$Q71,12)=0),IF(AND(Units!$L71=1,AZ$1=Units!$Q71),IF(Units!$J71&lt;&gt;"",Units!$J71,Mkt!AZ72),Inputs!$B$15*Mkt!AZ72+(1-Inputs!$B$15)*MIN(Mkt!AZ72,AY72*(1+Inputs!$B$18))),AY72)))</f>
        <v>1666.408675</v>
      </c>
      <c r="BA72" s="11" t="n">
        <f aca="false">IF(BA$1&lt;Units!$P71,0,IF(AND(Units!$K71=0,BA$1=Units!$O71),Units!$R71,IF(AND(BA$1&gt;=Units!$Q71,MOD(BA$1-Units!$Q71,12)=0),IF(AND(Units!$L71=1,BA$1=Units!$Q71),IF(Units!$J71&lt;&gt;"",Units!$J71,Mkt!BA72),Inputs!$B$15*Mkt!BA72+(1-Inputs!$B$15)*MIN(Mkt!BA72,AZ72*(1+Inputs!$B$18))),AZ72)))</f>
        <v>1666.408675</v>
      </c>
      <c r="BB72" s="11" t="n">
        <f aca="false">IF(BB$1&lt;Units!$P71,0,IF(AND(Units!$K71=0,BB$1=Units!$O71),Units!$R71,IF(AND(BB$1&gt;=Units!$Q71,MOD(BB$1-Units!$Q71,12)=0),IF(AND(Units!$L71=1,BB$1=Units!$Q71),IF(Units!$J71&lt;&gt;"",Units!$J71,Mkt!BB72),Inputs!$B$15*Mkt!BB72+(1-Inputs!$B$15)*MIN(Mkt!BB72,BA72*(1+Inputs!$B$18))),BA72)))</f>
        <v>1666.408675</v>
      </c>
      <c r="BC72" s="11" t="n">
        <f aca="false">IF(BC$1&lt;Units!$P71,0,IF(AND(Units!$K71=0,BC$1=Units!$O71),Units!$R71,IF(AND(BC$1&gt;=Units!$Q71,MOD(BC$1-Units!$Q71,12)=0),IF(AND(Units!$L71=1,BC$1=Units!$Q71),IF(Units!$J71&lt;&gt;"",Units!$J71,Mkt!BC72),Inputs!$B$15*Mkt!BC72+(1-Inputs!$B$15)*MIN(Mkt!BC72,BB72*(1+Inputs!$B$18))),BB72)))</f>
        <v>1666.408675</v>
      </c>
      <c r="BD72" s="11" t="n">
        <f aca="false">IF(BD$1&lt;Units!$P71,0,IF(AND(Units!$K71=0,BD$1=Units!$O71),Units!$R71,IF(AND(BD$1&gt;=Units!$Q71,MOD(BD$1-Units!$Q71,12)=0),IF(AND(Units!$L71=1,BD$1=Units!$Q71),IF(Units!$J71&lt;&gt;"",Units!$J71,Mkt!BD72),Inputs!$B$15*Mkt!BD72+(1-Inputs!$B$15)*MIN(Mkt!BD72,BC72*(1+Inputs!$B$18))),BC72)))</f>
        <v>1666.408675</v>
      </c>
      <c r="BE72" s="11" t="n">
        <f aca="false">IF(BE$1&lt;Units!$P71,0,IF(AND(Units!$K71=0,BE$1=Units!$O71),Units!$R71,IF(AND(BE$1&gt;=Units!$Q71,MOD(BE$1-Units!$Q71,12)=0),IF(AND(Units!$L71=1,BE$1=Units!$Q71),IF(Units!$J71&lt;&gt;"",Units!$J71,Mkt!BE72),Inputs!$B$15*Mkt!BE72+(1-Inputs!$B$15)*MIN(Mkt!BE72,BD72*(1+Inputs!$B$18))),BD72)))</f>
        <v>1666.408675</v>
      </c>
      <c r="BF72" s="11" t="n">
        <f aca="false">IF(BF$1&lt;Units!$P71,0,IF(AND(Units!$K71=0,BF$1=Units!$O71),Units!$R71,IF(AND(BF$1&gt;=Units!$Q71,MOD(BF$1-Units!$Q71,12)=0),IF(AND(Units!$L71=1,BF$1=Units!$Q71),IF(Units!$J71&lt;&gt;"",Units!$J71,Mkt!BF72),Inputs!$B$15*Mkt!BF72+(1-Inputs!$B$15)*MIN(Mkt!BF72,BE72*(1+Inputs!$B$18))),BE72)))</f>
        <v>1666.408675</v>
      </c>
      <c r="BG72" s="11" t="n">
        <f aca="false">IF(BG$1&lt;Units!$P71,0,IF(AND(Units!$K71=0,BG$1=Units!$O71),Units!$R71,IF(AND(BG$1&gt;=Units!$Q71,MOD(BG$1-Units!$Q71,12)=0),IF(AND(Units!$L71=1,BG$1=Units!$Q71),IF(Units!$J71&lt;&gt;"",Units!$J71,Mkt!BG72),Inputs!$B$15*Mkt!BG72+(1-Inputs!$B$15)*MIN(Mkt!BG72,BF72*(1+Inputs!$B$18))),BF72)))</f>
        <v>1666.408675</v>
      </c>
      <c r="BH72" s="11" t="n">
        <f aca="false">IF(BH$1&lt;Units!$P71,0,IF(AND(Units!$K71=0,BH$1=Units!$O71),Units!$R71,IF(AND(BH$1&gt;=Units!$Q71,MOD(BH$1-Units!$Q71,12)=0),IF(AND(Units!$L71=1,BH$1=Units!$Q71),IF(Units!$J71&lt;&gt;"",Units!$J71,Mkt!BH72),Inputs!$B$15*Mkt!BH72+(1-Inputs!$B$15)*MIN(Mkt!BH72,BG72*(1+Inputs!$B$18))),BG72)))</f>
        <v>1716.40093525</v>
      </c>
      <c r="BI72" s="11" t="n">
        <f aca="false">IF(BI$1&lt;Units!$P71,0,IF(AND(Units!$K71=0,BI$1=Units!$O71),Units!$R71,IF(AND(BI$1&gt;=Units!$Q71,MOD(BI$1-Units!$Q71,12)=0),IF(AND(Units!$L71=1,BI$1=Units!$Q71),IF(Units!$J71&lt;&gt;"",Units!$J71,Mkt!BI72),Inputs!$B$15*Mkt!BI72+(1-Inputs!$B$15)*MIN(Mkt!BI72,BH72*(1+Inputs!$B$18))),BH72)))</f>
        <v>1716.40093525</v>
      </c>
      <c r="BJ72" s="11" t="n">
        <f aca="false">IF(BJ$1&lt;Units!$P71,0,IF(AND(Units!$K71=0,BJ$1=Units!$O71),Units!$R71,IF(AND(BJ$1&gt;=Units!$Q71,MOD(BJ$1-Units!$Q71,12)=0),IF(AND(Units!$L71=1,BJ$1=Units!$Q71),IF(Units!$J71&lt;&gt;"",Units!$J71,Mkt!BJ72),Inputs!$B$15*Mkt!BJ72+(1-Inputs!$B$15)*MIN(Mkt!BJ72,BI72*(1+Inputs!$B$18))),BI72)))</f>
        <v>1716.40093525</v>
      </c>
      <c r="BK72" s="11" t="n">
        <f aca="false">IF(BK$1&lt;Units!$P71,0,IF(AND(Units!$K71=0,BK$1=Units!$O71),Units!$R71,IF(AND(BK$1&gt;=Units!$Q71,MOD(BK$1-Units!$Q71,12)=0),IF(AND(Units!$L71=1,BK$1=Units!$Q71),IF(Units!$J71&lt;&gt;"",Units!$J71,Mkt!BK72),Inputs!$B$15*Mkt!BK72+(1-Inputs!$B$15)*MIN(Mkt!BK72,BJ72*(1+Inputs!$B$18))),BJ72)))</f>
        <v>1716.40093525</v>
      </c>
      <c r="BL72" s="11" t="n">
        <f aca="false">IF(BL$1&lt;Units!$P71,0,IF(AND(Units!$K71=0,BL$1=Units!$O71),Units!$R71,IF(AND(BL$1&gt;=Units!$Q71,MOD(BL$1-Units!$Q71,12)=0),IF(AND(Units!$L71=1,BL$1=Units!$Q71),IF(Units!$J71&lt;&gt;"",Units!$J71,Mkt!BL72),Inputs!$B$15*Mkt!BL72+(1-Inputs!$B$15)*MIN(Mkt!BL72,BK72*(1+Inputs!$B$18))),BK72)))</f>
        <v>1716.40093525</v>
      </c>
      <c r="BM72" s="11" t="n">
        <f aca="false">IF(BM$1&lt;Units!$P71,0,IF(AND(Units!$K71=0,BM$1=Units!$O71),Units!$R71,IF(AND(BM$1&gt;=Units!$Q71,MOD(BM$1-Units!$Q71,12)=0),IF(AND(Units!$L71=1,BM$1=Units!$Q71),IF(Units!$J71&lt;&gt;"",Units!$J71,Mkt!BM72),Inputs!$B$15*Mkt!BM72+(1-Inputs!$B$15)*MIN(Mkt!BM72,BL72*(1+Inputs!$B$18))),BL72)))</f>
        <v>1716.40093525</v>
      </c>
      <c r="BN72" s="11" t="n">
        <f aca="false">IF(BN$1&lt;Units!$P71,0,IF(AND(Units!$K71=0,BN$1=Units!$O71),Units!$R71,IF(AND(BN$1&gt;=Units!$Q71,MOD(BN$1-Units!$Q71,12)=0),IF(AND(Units!$L71=1,BN$1=Units!$Q71),IF(Units!$J71&lt;&gt;"",Units!$J71,Mkt!BN72),Inputs!$B$15*Mkt!BN72+(1-Inputs!$B$15)*MIN(Mkt!BN72,BM72*(1+Inputs!$B$18))),BM72)))</f>
        <v>1716.40093525</v>
      </c>
      <c r="BO72" s="11" t="n">
        <f aca="false">IF(BO$1&lt;Units!$P71,0,IF(AND(Units!$K71=0,BO$1=Units!$O71),Units!$R71,IF(AND(BO$1&gt;=Units!$Q71,MOD(BO$1-Units!$Q71,12)=0),IF(AND(Units!$L71=1,BO$1=Units!$Q71),IF(Units!$J71&lt;&gt;"",Units!$J71,Mkt!BO72),Inputs!$B$15*Mkt!BO72+(1-Inputs!$B$15)*MIN(Mkt!BO72,BN72*(1+Inputs!$B$18))),BN72)))</f>
        <v>1716.40093525</v>
      </c>
      <c r="BP72" s="11" t="n">
        <f aca="false">IF(BP$1&lt;Units!$P71,0,IF(AND(Units!$K71=0,BP$1=Units!$O71),Units!$R71,IF(AND(BP$1&gt;=Units!$Q71,MOD(BP$1-Units!$Q71,12)=0),IF(AND(Units!$L71=1,BP$1=Units!$Q71),IF(Units!$J71&lt;&gt;"",Units!$J71,Mkt!BP72),Inputs!$B$15*Mkt!BP72+(1-Inputs!$B$15)*MIN(Mkt!BP72,BO72*(1+Inputs!$B$18))),BO72)))</f>
        <v>1716.40093525</v>
      </c>
      <c r="BQ72" s="11" t="n">
        <f aca="false">IF(BQ$1&lt;Units!$P71,0,IF(AND(Units!$K71=0,BQ$1=Units!$O71),Units!$R71,IF(AND(BQ$1&gt;=Units!$Q71,MOD(BQ$1-Units!$Q71,12)=0),IF(AND(Units!$L71=1,BQ$1=Units!$Q71),IF(Units!$J71&lt;&gt;"",Units!$J71,Mkt!BQ72),Inputs!$B$15*Mkt!BQ72+(1-Inputs!$B$15)*MIN(Mkt!BQ72,BP72*(1+Inputs!$B$18))),BP72)))</f>
        <v>1716.40093525</v>
      </c>
      <c r="BR72" s="11" t="n">
        <f aca="false">IF(BR$1&lt;Units!$P71,0,IF(AND(Units!$K71=0,BR$1=Units!$O71),Units!$R71,IF(AND(BR$1&gt;=Units!$Q71,MOD(BR$1-Units!$Q71,12)=0),IF(AND(Units!$L71=1,BR$1=Units!$Q71),IF(Units!$J71&lt;&gt;"",Units!$J71,Mkt!BR72),Inputs!$B$15*Mkt!BR72+(1-Inputs!$B$15)*MIN(Mkt!BR72,BQ72*(1+Inputs!$B$18))),BQ72)))</f>
        <v>1716.40093525</v>
      </c>
      <c r="BS72" s="11" t="n">
        <f aca="false">IF(BS$1&lt;Units!$P71,0,IF(AND(Units!$K71=0,BS$1=Units!$O71),Units!$R71,IF(AND(BS$1&gt;=Units!$Q71,MOD(BS$1-Units!$Q71,12)=0),IF(AND(Units!$L71=1,BS$1=Units!$Q71),IF(Units!$J71&lt;&gt;"",Units!$J71,Mkt!BS72),Inputs!$B$15*Mkt!BS72+(1-Inputs!$B$15)*MIN(Mkt!BS72,BR72*(1+Inputs!$B$18))),BR72)))</f>
        <v>1716.40093525</v>
      </c>
      <c r="BT72" s="11" t="n">
        <f aca="false">IF(BT$1&lt;Units!$P71,0,IF(AND(Units!$K71=0,BT$1=Units!$O71),Units!$R71,IF(AND(BT$1&gt;=Units!$Q71,MOD(BT$1-Units!$Q71,12)=0),IF(AND(Units!$L71=1,BT$1=Units!$Q71),IF(Units!$J71&lt;&gt;"",Units!$J71,Mkt!BT72),Inputs!$B$15*Mkt!BT72+(1-Inputs!$B$15)*MIN(Mkt!BT72,BS72*(1+Inputs!$B$18))),BS72)))</f>
        <v>1767.8929633075</v>
      </c>
      <c r="BU72" s="11" t="n">
        <f aca="false">IF(BU$1&lt;Units!$P71,0,IF(AND(Units!$K71=0,BU$1=Units!$O71),Units!$R71,IF(AND(BU$1&gt;=Units!$Q71,MOD(BU$1-Units!$Q71,12)=0),IF(AND(Units!$L71=1,BU$1=Units!$Q71),IF(Units!$J71&lt;&gt;"",Units!$J71,Mkt!BU72),Inputs!$B$15*Mkt!BU72+(1-Inputs!$B$15)*MIN(Mkt!BU72,BT72*(1+Inputs!$B$18))),BT72)))</f>
        <v>1767.8929633075</v>
      </c>
      <c r="BV72" s="11" t="n">
        <f aca="false">IF(BV$1&lt;Units!$P71,0,IF(AND(Units!$K71=0,BV$1=Units!$O71),Units!$R71,IF(AND(BV$1&gt;=Units!$Q71,MOD(BV$1-Units!$Q71,12)=0),IF(AND(Units!$L71=1,BV$1=Units!$Q71),IF(Units!$J71&lt;&gt;"",Units!$J71,Mkt!BV72),Inputs!$B$15*Mkt!BV72+(1-Inputs!$B$15)*MIN(Mkt!BV72,BU72*(1+Inputs!$B$18))),BU72)))</f>
        <v>1767.8929633075</v>
      </c>
      <c r="BW72" s="11" t="n">
        <f aca="false">IF(BW$1&lt;Units!$P71,0,IF(AND(Units!$K71=0,BW$1=Units!$O71),Units!$R71,IF(AND(BW$1&gt;=Units!$Q71,MOD(BW$1-Units!$Q71,12)=0),IF(AND(Units!$L71=1,BW$1=Units!$Q71),IF(Units!$J71&lt;&gt;"",Units!$J71,Mkt!BW72),Inputs!$B$15*Mkt!BW72+(1-Inputs!$B$15)*MIN(Mkt!BW72,BV72*(1+Inputs!$B$18))),BV72)))</f>
        <v>1767.8929633075</v>
      </c>
      <c r="BX72" s="11" t="n">
        <f aca="false">IF(BX$1&lt;Units!$P71,0,IF(AND(Units!$K71=0,BX$1=Units!$O71),Units!$R71,IF(AND(BX$1&gt;=Units!$Q71,MOD(BX$1-Units!$Q71,12)=0),IF(AND(Units!$L71=1,BX$1=Units!$Q71),IF(Units!$J71&lt;&gt;"",Units!$J71,Mkt!BX72),Inputs!$B$15*Mkt!BX72+(1-Inputs!$B$15)*MIN(Mkt!BX72,BW72*(1+Inputs!$B$18))),BW72)))</f>
        <v>1767.8929633075</v>
      </c>
      <c r="BY72" s="11" t="n">
        <f aca="false">IF(BY$1&lt;Units!$P71,0,IF(AND(Units!$K71=0,BY$1=Units!$O71),Units!$R71,IF(AND(BY$1&gt;=Units!$Q71,MOD(BY$1-Units!$Q71,12)=0),IF(AND(Units!$L71=1,BY$1=Units!$Q71),IF(Units!$J71&lt;&gt;"",Units!$J71,Mkt!BY72),Inputs!$B$15*Mkt!BY72+(1-Inputs!$B$15)*MIN(Mkt!BY72,BX72*(1+Inputs!$B$18))),BX72)))</f>
        <v>1767.8929633075</v>
      </c>
      <c r="BZ72" s="11" t="n">
        <f aca="false">IF(BZ$1&lt;Units!$P71,0,IF(AND(Units!$K71=0,BZ$1=Units!$O71),Units!$R71,IF(AND(BZ$1&gt;=Units!$Q71,MOD(BZ$1-Units!$Q71,12)=0),IF(AND(Units!$L71=1,BZ$1=Units!$Q71),IF(Units!$J71&lt;&gt;"",Units!$J71,Mkt!BZ72),Inputs!$B$15*Mkt!BZ72+(1-Inputs!$B$15)*MIN(Mkt!BZ72,BY72*(1+Inputs!$B$18))),BY72)))</f>
        <v>1767.8929633075</v>
      </c>
      <c r="CA72" s="11" t="n">
        <f aca="false">IF(CA$1&lt;Units!$P71,0,IF(AND(Units!$K71=0,CA$1=Units!$O71),Units!$R71,IF(AND(CA$1&gt;=Units!$Q71,MOD(CA$1-Units!$Q71,12)=0),IF(AND(Units!$L71=1,CA$1=Units!$Q71),IF(Units!$J71&lt;&gt;"",Units!$J71,Mkt!CA72),Inputs!$B$15*Mkt!CA72+(1-Inputs!$B$15)*MIN(Mkt!CA72,BZ72*(1+Inputs!$B$18))),BZ72)))</f>
        <v>1767.8929633075</v>
      </c>
      <c r="CB72" s="11" t="n">
        <f aca="false">IF(CB$1&lt;Units!$P71,0,IF(AND(Units!$K71=0,CB$1=Units!$O71),Units!$R71,IF(AND(CB$1&gt;=Units!$Q71,MOD(CB$1-Units!$Q71,12)=0),IF(AND(Units!$L71=1,CB$1=Units!$Q71),IF(Units!$J71&lt;&gt;"",Units!$J71,Mkt!CB72),Inputs!$B$15*Mkt!CB72+(1-Inputs!$B$15)*MIN(Mkt!CB72,CA72*(1+Inputs!$B$18))),CA72)))</f>
        <v>1767.8929633075</v>
      </c>
      <c r="CC72" s="11" t="n">
        <f aca="false">IF(CC$1&lt;Units!$P71,0,IF(AND(Units!$K71=0,CC$1=Units!$O71),Units!$R71,IF(AND(CC$1&gt;=Units!$Q71,MOD(CC$1-Units!$Q71,12)=0),IF(AND(Units!$L71=1,CC$1=Units!$Q71),IF(Units!$J71&lt;&gt;"",Units!$J71,Mkt!CC72),Inputs!$B$15*Mkt!CC72+(1-Inputs!$B$15)*MIN(Mkt!CC72,CB72*(1+Inputs!$B$18))),CB72)))</f>
        <v>1767.8929633075</v>
      </c>
      <c r="CD72" s="11" t="n">
        <f aca="false">IF(CD$1&lt;Units!$P71,0,IF(AND(Units!$K71=0,CD$1=Units!$O71),Units!$R71,IF(AND(CD$1&gt;=Units!$Q71,MOD(CD$1-Units!$Q71,12)=0),IF(AND(Units!$L71=1,CD$1=Units!$Q71),IF(Units!$J71&lt;&gt;"",Units!$J71,Mkt!CD72),Inputs!$B$15*Mkt!CD72+(1-Inputs!$B$15)*MIN(Mkt!CD72,CC72*(1+Inputs!$B$18))),CC72)))</f>
        <v>1767.8929633075</v>
      </c>
      <c r="CE72" s="11" t="n">
        <f aca="false">IF(CE$1&lt;Units!$P71,0,IF(AND(Units!$K71=0,CE$1=Units!$O71),Units!$R71,IF(AND(CE$1&gt;=Units!$Q71,MOD(CE$1-Units!$Q71,12)=0),IF(AND(Units!$L71=1,CE$1=Units!$Q71),IF(Units!$J71&lt;&gt;"",Units!$J71,Mkt!CE72),Inputs!$B$15*Mkt!CE72+(1-Inputs!$B$15)*MIN(Mkt!CE72,CD72*(1+Inputs!$B$18))),CD72)))</f>
        <v>1767.8929633075</v>
      </c>
      <c r="CF72" s="11" t="n">
        <f aca="false">IF(CF$1&lt;Units!$P71,0,IF(AND(Units!$K71=0,CF$1=Units!$O71),Units!$R71,IF(AND(CF$1&gt;=Units!$Q71,MOD(CF$1-Units!$Q71,12)=0),IF(AND(Units!$L71=1,CF$1=Units!$Q71),IF(Units!$J71&lt;&gt;"",Units!$J71,Mkt!CF72),Inputs!$B$15*Mkt!CF72+(1-Inputs!$B$15)*MIN(Mkt!CF72,CE72*(1+Inputs!$B$18))),CE72)))</f>
        <v>1820.92975220673</v>
      </c>
      <c r="CG72" s="11" t="n">
        <f aca="false">IF(CG$1&lt;Units!$P71,0,IF(AND(Units!$K71=0,CG$1=Units!$O71),Units!$R71,IF(AND(CG$1&gt;=Units!$Q71,MOD(CG$1-Units!$Q71,12)=0),IF(AND(Units!$L71=1,CG$1=Units!$Q71),IF(Units!$J71&lt;&gt;"",Units!$J71,Mkt!CG72),Inputs!$B$15*Mkt!CG72+(1-Inputs!$B$15)*MIN(Mkt!CG72,CF72*(1+Inputs!$B$18))),CF72)))</f>
        <v>1820.92975220673</v>
      </c>
      <c r="CH72" s="11" t="n">
        <f aca="false">IF(CH$1&lt;Units!$P71,0,IF(AND(Units!$K71=0,CH$1=Units!$O71),Units!$R71,IF(AND(CH$1&gt;=Units!$Q71,MOD(CH$1-Units!$Q71,12)=0),IF(AND(Units!$L71=1,CH$1=Units!$Q71),IF(Units!$J71&lt;&gt;"",Units!$J71,Mkt!CH72),Inputs!$B$15*Mkt!CH72+(1-Inputs!$B$15)*MIN(Mkt!CH72,CG72*(1+Inputs!$B$18))),CG72)))</f>
        <v>1820.92975220673</v>
      </c>
      <c r="CI72" s="11" t="n">
        <f aca="false">IF(CI$1&lt;Units!$P71,0,IF(AND(Units!$K71=0,CI$1=Units!$O71),Units!$R71,IF(AND(CI$1&gt;=Units!$Q71,MOD(CI$1-Units!$Q71,12)=0),IF(AND(Units!$L71=1,CI$1=Units!$Q71),IF(Units!$J71&lt;&gt;"",Units!$J71,Mkt!CI72),Inputs!$B$15*Mkt!CI72+(1-Inputs!$B$15)*MIN(Mkt!CI72,CH72*(1+Inputs!$B$18))),CH72)))</f>
        <v>1820.92975220673</v>
      </c>
      <c r="CJ72" s="11" t="n">
        <f aca="false">IF(CJ$1&lt;Units!$P71,0,IF(AND(Units!$K71=0,CJ$1=Units!$O71),Units!$R71,IF(AND(CJ$1&gt;=Units!$Q71,MOD(CJ$1-Units!$Q71,12)=0),IF(AND(Units!$L71=1,CJ$1=Units!$Q71),IF(Units!$J71&lt;&gt;"",Units!$J71,Mkt!CJ72),Inputs!$B$15*Mkt!CJ72+(1-Inputs!$B$15)*MIN(Mkt!CJ72,CI72*(1+Inputs!$B$18))),CI72)))</f>
        <v>1820.92975220673</v>
      </c>
      <c r="CK72" s="11" t="n">
        <f aca="false">IF(CK$1&lt;Units!$P71,0,IF(AND(Units!$K71=0,CK$1=Units!$O71),Units!$R71,IF(AND(CK$1&gt;=Units!$Q71,MOD(CK$1-Units!$Q71,12)=0),IF(AND(Units!$L71=1,CK$1=Units!$Q71),IF(Units!$J71&lt;&gt;"",Units!$J71,Mkt!CK72),Inputs!$B$15*Mkt!CK72+(1-Inputs!$B$15)*MIN(Mkt!CK72,CJ72*(1+Inputs!$B$18))),CJ72)))</f>
        <v>1820.92975220673</v>
      </c>
      <c r="CL72" s="11" t="n">
        <f aca="false">IF(CL$1&lt;Units!$P71,0,IF(AND(Units!$K71=0,CL$1=Units!$O71),Units!$R71,IF(AND(CL$1&gt;=Units!$Q71,MOD(CL$1-Units!$Q71,12)=0),IF(AND(Units!$L71=1,CL$1=Units!$Q71),IF(Units!$J71&lt;&gt;"",Units!$J71,Mkt!CL72),Inputs!$B$15*Mkt!CL72+(1-Inputs!$B$15)*MIN(Mkt!CL72,CK72*(1+Inputs!$B$18))),CK72)))</f>
        <v>1820.92975220673</v>
      </c>
      <c r="CM72" s="11" t="n">
        <f aca="false">IF(CM$1&lt;Units!$P71,0,IF(AND(Units!$K71=0,CM$1=Units!$O71),Units!$R71,IF(AND(CM$1&gt;=Units!$Q71,MOD(CM$1-Units!$Q71,12)=0),IF(AND(Units!$L71=1,CM$1=Units!$Q71),IF(Units!$J71&lt;&gt;"",Units!$J71,Mkt!CM72),Inputs!$B$15*Mkt!CM72+(1-Inputs!$B$15)*MIN(Mkt!CM72,CL72*(1+Inputs!$B$18))),CL72)))</f>
        <v>1820.92975220673</v>
      </c>
      <c r="CN72" s="11" t="n">
        <f aca="false">IF(CN$1&lt;Units!$P71,0,IF(AND(Units!$K71=0,CN$1=Units!$O71),Units!$R71,IF(AND(CN$1&gt;=Units!$Q71,MOD(CN$1-Units!$Q71,12)=0),IF(AND(Units!$L71=1,CN$1=Units!$Q71),IF(Units!$J71&lt;&gt;"",Units!$J71,Mkt!CN72),Inputs!$B$15*Mkt!CN72+(1-Inputs!$B$15)*MIN(Mkt!CN72,CM72*(1+Inputs!$B$18))),CM72)))</f>
        <v>1820.92975220673</v>
      </c>
      <c r="CO72" s="11" t="n">
        <f aca="false">IF(CO$1&lt;Units!$P71,0,IF(AND(Units!$K71=0,CO$1=Units!$O71),Units!$R71,IF(AND(CO$1&gt;=Units!$Q71,MOD(CO$1-Units!$Q71,12)=0),IF(AND(Units!$L71=1,CO$1=Units!$Q71),IF(Units!$J71&lt;&gt;"",Units!$J71,Mkt!CO72),Inputs!$B$15*Mkt!CO72+(1-Inputs!$B$15)*MIN(Mkt!CO72,CN72*(1+Inputs!$B$18))),CN72)))</f>
        <v>1820.92975220673</v>
      </c>
      <c r="CP72" s="11" t="n">
        <f aca="false">IF(CP$1&lt;Units!$P71,0,IF(AND(Units!$K71=0,CP$1=Units!$O71),Units!$R71,IF(AND(CP$1&gt;=Units!$Q71,MOD(CP$1-Units!$Q71,12)=0),IF(AND(Units!$L71=1,CP$1=Units!$Q71),IF(Units!$J71&lt;&gt;"",Units!$J71,Mkt!CP72),Inputs!$B$15*Mkt!CP72+(1-Inputs!$B$15)*MIN(Mkt!CP72,CO72*(1+Inputs!$B$18))),CO72)))</f>
        <v>1820.92975220673</v>
      </c>
      <c r="CQ72" s="11" t="n">
        <f aca="false">IF(CQ$1&lt;Units!$P71,0,IF(AND(Units!$K71=0,CQ$1=Units!$O71),Units!$R71,IF(AND(CQ$1&gt;=Units!$Q71,MOD(CQ$1-Units!$Q71,12)=0),IF(AND(Units!$L71=1,CQ$1=Units!$Q71),IF(Units!$J71&lt;&gt;"",Units!$J71,Mkt!CQ72),Inputs!$B$15*Mkt!CQ72+(1-Inputs!$B$15)*MIN(Mkt!CQ72,CP72*(1+Inputs!$B$18))),CP72)))</f>
        <v>1820.92975220673</v>
      </c>
      <c r="CR72" s="11" t="n">
        <f aca="false">IF(CR$1&lt;Units!$P71,0,IF(AND(Units!$K71=0,CR$1=Units!$O71),Units!$R71,IF(AND(CR$1&gt;=Units!$Q71,MOD(CR$1-Units!$Q71,12)=0),IF(AND(Units!$L71=1,CR$1=Units!$Q71),IF(Units!$J71&lt;&gt;"",Units!$J71,Mkt!CR72),Inputs!$B$15*Mkt!CR72+(1-Inputs!$B$15)*MIN(Mkt!CR72,CQ72*(1+Inputs!$B$18))),CQ72)))</f>
        <v>1875.55764477293</v>
      </c>
      <c r="CS72" s="11" t="n">
        <f aca="false">IF(CS$1&lt;Units!$P71,0,IF(AND(Units!$K71=0,CS$1=Units!$O71),Units!$R71,IF(AND(CS$1&gt;=Units!$Q71,MOD(CS$1-Units!$Q71,12)=0),IF(AND(Units!$L71=1,CS$1=Units!$Q71),IF(Units!$J71&lt;&gt;"",Units!$J71,Mkt!CS72),Inputs!$B$15*Mkt!CS72+(1-Inputs!$B$15)*MIN(Mkt!CS72,CR72*(1+Inputs!$B$18))),CR72)))</f>
        <v>1875.55764477293</v>
      </c>
      <c r="CT72" s="11" t="n">
        <f aca="false">IF(CT$1&lt;Units!$P71,0,IF(AND(Units!$K71=0,CT$1=Units!$O71),Units!$R71,IF(AND(CT$1&gt;=Units!$Q71,MOD(CT$1-Units!$Q71,12)=0),IF(AND(Units!$L71=1,CT$1=Units!$Q71),IF(Units!$J71&lt;&gt;"",Units!$J71,Mkt!CT72),Inputs!$B$15*Mkt!CT72+(1-Inputs!$B$15)*MIN(Mkt!CT72,CS72*(1+Inputs!$B$18))),CS72)))</f>
        <v>1875.55764477293</v>
      </c>
      <c r="CU72" s="11" t="n">
        <f aca="false">IF(CU$1&lt;Units!$P71,0,IF(AND(Units!$K71=0,CU$1=Units!$O71),Units!$R71,IF(AND(CU$1&gt;=Units!$Q71,MOD(CU$1-Units!$Q71,12)=0),IF(AND(Units!$L71=1,CU$1=Units!$Q71),IF(Units!$J71&lt;&gt;"",Units!$J71,Mkt!CU72),Inputs!$B$15*Mkt!CU72+(1-Inputs!$B$15)*MIN(Mkt!CU72,CT72*(1+Inputs!$B$18))),CT72)))</f>
        <v>1875.55764477293</v>
      </c>
      <c r="CV72" s="11" t="n">
        <f aca="false">IF(CV$1&lt;Units!$P71,0,IF(AND(Units!$K71=0,CV$1=Units!$O71),Units!$R71,IF(AND(CV$1&gt;=Units!$Q71,MOD(CV$1-Units!$Q71,12)=0),IF(AND(Units!$L71=1,CV$1=Units!$Q71),IF(Units!$J71&lt;&gt;"",Units!$J71,Mkt!CV72),Inputs!$B$15*Mkt!CV72+(1-Inputs!$B$15)*MIN(Mkt!CV72,CU72*(1+Inputs!$B$18))),CU72)))</f>
        <v>1875.55764477293</v>
      </c>
      <c r="CW72" s="11" t="n">
        <f aca="false">IF(CW$1&lt;Units!$P71,0,IF(AND(Units!$K71=0,CW$1=Units!$O71),Units!$R71,IF(AND(CW$1&gt;=Units!$Q71,MOD(CW$1-Units!$Q71,12)=0),IF(AND(Units!$L71=1,CW$1=Units!$Q71),IF(Units!$J71&lt;&gt;"",Units!$J71,Mkt!CW72),Inputs!$B$15*Mkt!CW72+(1-Inputs!$B$15)*MIN(Mkt!CW72,CV72*(1+Inputs!$B$18))),CV72)))</f>
        <v>1875.55764477293</v>
      </c>
      <c r="CX72" s="11" t="n">
        <f aca="false">IF(CX$1&lt;Units!$P71,0,IF(AND(Units!$K71=0,CX$1=Units!$O71),Units!$R71,IF(AND(CX$1&gt;=Units!$Q71,MOD(CX$1-Units!$Q71,12)=0),IF(AND(Units!$L71=1,CX$1=Units!$Q71),IF(Units!$J71&lt;&gt;"",Units!$J71,Mkt!CX72),Inputs!$B$15*Mkt!CX72+(1-Inputs!$B$15)*MIN(Mkt!CX72,CW72*(1+Inputs!$B$18))),CW72)))</f>
        <v>1875.55764477293</v>
      </c>
      <c r="CY72" s="11" t="n">
        <f aca="false">IF(CY$1&lt;Units!$P71,0,IF(AND(Units!$K71=0,CY$1=Units!$O71),Units!$R71,IF(AND(CY$1&gt;=Units!$Q71,MOD(CY$1-Units!$Q71,12)=0),IF(AND(Units!$L71=1,CY$1=Units!$Q71),IF(Units!$J71&lt;&gt;"",Units!$J71,Mkt!CY72),Inputs!$B$15*Mkt!CY72+(1-Inputs!$B$15)*MIN(Mkt!CY72,CX72*(1+Inputs!$B$18))),CX72)))</f>
        <v>1875.55764477293</v>
      </c>
      <c r="CZ72" s="11" t="n">
        <f aca="false">IF(CZ$1&lt;Units!$P71,0,IF(AND(Units!$K71=0,CZ$1=Units!$O71),Units!$R71,IF(AND(CZ$1&gt;=Units!$Q71,MOD(CZ$1-Units!$Q71,12)=0),IF(AND(Units!$L71=1,CZ$1=Units!$Q71),IF(Units!$J71&lt;&gt;"",Units!$J71,Mkt!CZ72),Inputs!$B$15*Mkt!CZ72+(1-Inputs!$B$15)*MIN(Mkt!CZ72,CY72*(1+Inputs!$B$18))),CY72)))</f>
        <v>1875.55764477293</v>
      </c>
      <c r="DA72" s="11" t="n">
        <f aca="false">IF(DA$1&lt;Units!$P71,0,IF(AND(Units!$K71=0,DA$1=Units!$O71),Units!$R71,IF(AND(DA$1&gt;=Units!$Q71,MOD(DA$1-Units!$Q71,12)=0),IF(AND(Units!$L71=1,DA$1=Units!$Q71),IF(Units!$J71&lt;&gt;"",Units!$J71,Mkt!DA72),Inputs!$B$15*Mkt!DA72+(1-Inputs!$B$15)*MIN(Mkt!DA72,CZ72*(1+Inputs!$B$18))),CZ72)))</f>
        <v>1875.55764477293</v>
      </c>
      <c r="DB72" s="11" t="n">
        <f aca="false">IF(DB$1&lt;Units!$P71,0,IF(AND(Units!$K71=0,DB$1=Units!$O71),Units!$R71,IF(AND(DB$1&gt;=Units!$Q71,MOD(DB$1-Units!$Q71,12)=0),IF(AND(Units!$L71=1,DB$1=Units!$Q71),IF(Units!$J71&lt;&gt;"",Units!$J71,Mkt!DB72),Inputs!$B$15*Mkt!DB72+(1-Inputs!$B$15)*MIN(Mkt!DB72,DA72*(1+Inputs!$B$18))),DA72)))</f>
        <v>1875.55764477293</v>
      </c>
      <c r="DC72" s="11" t="n">
        <f aca="false">IF(DC$1&lt;Units!$P71,0,IF(AND(Units!$K71=0,DC$1=Units!$O71),Units!$R71,IF(AND(DC$1&gt;=Units!$Q71,MOD(DC$1-Units!$Q71,12)=0),IF(AND(Units!$L71=1,DC$1=Units!$Q71),IF(Units!$J71&lt;&gt;"",Units!$J71,Mkt!DC72),Inputs!$B$15*Mkt!DC72+(1-Inputs!$B$15)*MIN(Mkt!DC72,DB72*(1+Inputs!$B$18))),DB72)))</f>
        <v>1875.55764477293</v>
      </c>
      <c r="DD72" s="11" t="n">
        <f aca="false">IF(DD$1&lt;Units!$P71,0,IF(AND(Units!$K71=0,DD$1=Units!$O71),Units!$R71,IF(AND(DD$1&gt;=Units!$Q71,MOD(DD$1-Units!$Q71,12)=0),IF(AND(Units!$L71=1,DD$1=Units!$Q71),IF(Units!$J71&lt;&gt;"",Units!$J71,Mkt!DD72),Inputs!$B$15*Mkt!DD72+(1-Inputs!$B$15)*MIN(Mkt!DD72,DC72*(1+Inputs!$B$18))),DC72)))</f>
        <v>1931.82437411612</v>
      </c>
      <c r="DE72" s="11" t="n">
        <f aca="false">IF(DE$1&lt;Units!$P71,0,IF(AND(Units!$K71=0,DE$1=Units!$O71),Units!$R71,IF(AND(DE$1&gt;=Units!$Q71,MOD(DE$1-Units!$Q71,12)=0),IF(AND(Units!$L71=1,DE$1=Units!$Q71),IF(Units!$J71&lt;&gt;"",Units!$J71,Mkt!DE72),Inputs!$B$15*Mkt!DE72+(1-Inputs!$B$15)*MIN(Mkt!DE72,DD72*(1+Inputs!$B$18))),DD72)))</f>
        <v>1931.82437411612</v>
      </c>
      <c r="DF72" s="11" t="n">
        <f aca="false">IF(DF$1&lt;Units!$P71,0,IF(AND(Units!$K71=0,DF$1=Units!$O71),Units!$R71,IF(AND(DF$1&gt;=Units!$Q71,MOD(DF$1-Units!$Q71,12)=0),IF(AND(Units!$L71=1,DF$1=Units!$Q71),IF(Units!$J71&lt;&gt;"",Units!$J71,Mkt!DF72),Inputs!$B$15*Mkt!DF72+(1-Inputs!$B$15)*MIN(Mkt!DF72,DE72*(1+Inputs!$B$18))),DE72)))</f>
        <v>1931.82437411612</v>
      </c>
      <c r="DG72" s="11" t="n">
        <f aca="false">IF(DG$1&lt;Units!$P71,0,IF(AND(Units!$K71=0,DG$1=Units!$O71),Units!$R71,IF(AND(DG$1&gt;=Units!$Q71,MOD(DG$1-Units!$Q71,12)=0),IF(AND(Units!$L71=1,DG$1=Units!$Q71),IF(Units!$J71&lt;&gt;"",Units!$J71,Mkt!DG72),Inputs!$B$15*Mkt!DG72+(1-Inputs!$B$15)*MIN(Mkt!DG72,DF72*(1+Inputs!$B$18))),DF72)))</f>
        <v>1931.82437411612</v>
      </c>
      <c r="DH72" s="11" t="n">
        <f aca="false">IF(DH$1&lt;Units!$P71,0,IF(AND(Units!$K71=0,DH$1=Units!$O71),Units!$R71,IF(AND(DH$1&gt;=Units!$Q71,MOD(DH$1-Units!$Q71,12)=0),IF(AND(Units!$L71=1,DH$1=Units!$Q71),IF(Units!$J71&lt;&gt;"",Units!$J71,Mkt!DH72),Inputs!$B$15*Mkt!DH72+(1-Inputs!$B$15)*MIN(Mkt!DH72,DG72*(1+Inputs!$B$18))),DG72)))</f>
        <v>1931.82437411612</v>
      </c>
      <c r="DI72" s="11" t="n">
        <f aca="false">IF(DI$1&lt;Units!$P71,0,IF(AND(Units!$K71=0,DI$1=Units!$O71),Units!$R71,IF(AND(DI$1&gt;=Units!$Q71,MOD(DI$1-Units!$Q71,12)=0),IF(AND(Units!$L71=1,DI$1=Units!$Q71),IF(Units!$J71&lt;&gt;"",Units!$J71,Mkt!DI72),Inputs!$B$15*Mkt!DI72+(1-Inputs!$B$15)*MIN(Mkt!DI72,DH72*(1+Inputs!$B$18))),DH72)))</f>
        <v>1931.82437411612</v>
      </c>
      <c r="DJ72" s="11" t="n">
        <f aca="false">IF(DJ$1&lt;Units!$P71,0,IF(AND(Units!$K71=0,DJ$1=Units!$O71),Units!$R71,IF(AND(DJ$1&gt;=Units!$Q71,MOD(DJ$1-Units!$Q71,12)=0),IF(AND(Units!$L71=1,DJ$1=Units!$Q71),IF(Units!$J71&lt;&gt;"",Units!$J71,Mkt!DJ72),Inputs!$B$15*Mkt!DJ72+(1-Inputs!$B$15)*MIN(Mkt!DJ72,DI72*(1+Inputs!$B$18))),DI72)))</f>
        <v>1931.82437411612</v>
      </c>
      <c r="DK72" s="11" t="n">
        <f aca="false">IF(DK$1&lt;Units!$P71,0,IF(AND(Units!$K71=0,DK$1=Units!$O71),Units!$R71,IF(AND(DK$1&gt;=Units!$Q71,MOD(DK$1-Units!$Q71,12)=0),IF(AND(Units!$L71=1,DK$1=Units!$Q71),IF(Units!$J71&lt;&gt;"",Units!$J71,Mkt!DK72),Inputs!$B$15*Mkt!DK72+(1-Inputs!$B$15)*MIN(Mkt!DK72,DJ72*(1+Inputs!$B$18))),DJ72)))</f>
        <v>1931.82437411612</v>
      </c>
      <c r="DL72" s="11" t="n">
        <f aca="false">IF(DL$1&lt;Units!$P71,0,IF(AND(Units!$K71=0,DL$1=Units!$O71),Units!$R71,IF(AND(DL$1&gt;=Units!$Q71,MOD(DL$1-Units!$Q71,12)=0),IF(AND(Units!$L71=1,DL$1=Units!$Q71),IF(Units!$J71&lt;&gt;"",Units!$J71,Mkt!DL72),Inputs!$B$15*Mkt!DL72+(1-Inputs!$B$15)*MIN(Mkt!DL72,DK72*(1+Inputs!$B$18))),DK72)))</f>
        <v>1931.82437411612</v>
      </c>
      <c r="DM72" s="11" t="n">
        <f aca="false">IF(DM$1&lt;Units!$P71,0,IF(AND(Units!$K71=0,DM$1=Units!$O71),Units!$R71,IF(AND(DM$1&gt;=Units!$Q71,MOD(DM$1-Units!$Q71,12)=0),IF(AND(Units!$L71=1,DM$1=Units!$Q71),IF(Units!$J71&lt;&gt;"",Units!$J71,Mkt!DM72),Inputs!$B$15*Mkt!DM72+(1-Inputs!$B$15)*MIN(Mkt!DM72,DL72*(1+Inputs!$B$18))),DL72)))</f>
        <v>1931.82437411612</v>
      </c>
      <c r="DN72" s="11" t="n">
        <f aca="false">IF(DN$1&lt;Units!$P71,0,IF(AND(Units!$K71=0,DN$1=Units!$O71),Units!$R71,IF(AND(DN$1&gt;=Units!$Q71,MOD(DN$1-Units!$Q71,12)=0),IF(AND(Units!$L71=1,DN$1=Units!$Q71),IF(Units!$J71&lt;&gt;"",Units!$J71,Mkt!DN72),Inputs!$B$15*Mkt!DN72+(1-Inputs!$B$15)*MIN(Mkt!DN72,DM72*(1+Inputs!$B$18))),DM72)))</f>
        <v>1931.82437411612</v>
      </c>
      <c r="DO72" s="11" t="n">
        <f aca="false">IF(DO$1&lt;Units!$P71,0,IF(AND(Units!$K71=0,DO$1=Units!$O71),Units!$R71,IF(AND(DO$1&gt;=Units!$Q71,MOD(DO$1-Units!$Q71,12)=0),IF(AND(Units!$L71=1,DO$1=Units!$Q71),IF(Units!$J71&lt;&gt;"",Units!$J71,Mkt!DO72),Inputs!$B$15*Mkt!DO72+(1-Inputs!$B$15)*MIN(Mkt!DO72,DN72*(1+Inputs!$B$18))),DN72)))</f>
        <v>1931.82437411612</v>
      </c>
      <c r="DP72" s="11" t="n">
        <f aca="false">IF(DP$1&lt;Units!$P71,0,IF(AND(Units!$K71=0,DP$1=Units!$O71),Units!$R71,IF(AND(DP$1&gt;=Units!$Q71,MOD(DP$1-Units!$Q71,12)=0),IF(AND(Units!$L71=1,DP$1=Units!$Q71),IF(Units!$J71&lt;&gt;"",Units!$J71,Mkt!DP72),Inputs!$B$15*Mkt!DP72+(1-Inputs!$B$15)*MIN(Mkt!DP72,DO72*(1+Inputs!$B$18))),DO72)))</f>
        <v>1989.7791053396</v>
      </c>
      <c r="DQ72" s="11" t="n">
        <f aca="false">IF(DQ$1&lt;Units!$P71,0,IF(AND(Units!$K71=0,DQ$1=Units!$O71),Units!$R71,IF(AND(DQ$1&gt;=Units!$Q71,MOD(DQ$1-Units!$Q71,12)=0),IF(AND(Units!$L71=1,DQ$1=Units!$Q71),IF(Units!$J71&lt;&gt;"",Units!$J71,Mkt!DQ72),Inputs!$B$15*Mkt!DQ72+(1-Inputs!$B$15)*MIN(Mkt!DQ72,DP72*(1+Inputs!$B$18))),DP72)))</f>
        <v>1989.7791053396</v>
      </c>
      <c r="DR72" s="11" t="n">
        <f aca="false">IF(DR$1&lt;Units!$P71,0,IF(AND(Units!$K71=0,DR$1=Units!$O71),Units!$R71,IF(AND(DR$1&gt;=Units!$Q71,MOD(DR$1-Units!$Q71,12)=0),IF(AND(Units!$L71=1,DR$1=Units!$Q71),IF(Units!$J71&lt;&gt;"",Units!$J71,Mkt!DR72),Inputs!$B$15*Mkt!DR72+(1-Inputs!$B$15)*MIN(Mkt!DR72,DQ72*(1+Inputs!$B$18))),DQ72)))</f>
        <v>1989.7791053396</v>
      </c>
      <c r="DS72" s="11" t="n">
        <f aca="false">IF(DS$1&lt;Units!$P71,0,IF(AND(Units!$K71=0,DS$1=Units!$O71),Units!$R71,IF(AND(DS$1&gt;=Units!$Q71,MOD(DS$1-Units!$Q71,12)=0),IF(AND(Units!$L71=1,DS$1=Units!$Q71),IF(Units!$J71&lt;&gt;"",Units!$J71,Mkt!DS72),Inputs!$B$15*Mkt!DS72+(1-Inputs!$B$15)*MIN(Mkt!DS72,DR72*(1+Inputs!$B$18))),DR72)))</f>
        <v>1989.7791053396</v>
      </c>
      <c r="DT72" s="11" t="n">
        <f aca="false">IF(DT$1&lt;Units!$P71,0,IF(AND(Units!$K71=0,DT$1=Units!$O71),Units!$R71,IF(AND(DT$1&gt;=Units!$Q71,MOD(DT$1-Units!$Q71,12)=0),IF(AND(Units!$L71=1,DT$1=Units!$Q71),IF(Units!$J71&lt;&gt;"",Units!$J71,Mkt!DT72),Inputs!$B$15*Mkt!DT72+(1-Inputs!$B$15)*MIN(Mkt!DT72,DS72*(1+Inputs!$B$18))),DS72)))</f>
        <v>1989.7791053396</v>
      </c>
      <c r="DU72" s="11" t="n">
        <f aca="false">IF(DU$1&lt;Units!$P71,0,IF(AND(Units!$K71=0,DU$1=Units!$O71),Units!$R71,IF(AND(DU$1&gt;=Units!$Q71,MOD(DU$1-Units!$Q71,12)=0),IF(AND(Units!$L71=1,DU$1=Units!$Q71),IF(Units!$J71&lt;&gt;"",Units!$J71,Mkt!DU72),Inputs!$B$15*Mkt!DU72+(1-Inputs!$B$15)*MIN(Mkt!DU72,DT72*(1+Inputs!$B$18))),DT72)))</f>
        <v>1989.7791053396</v>
      </c>
      <c r="DV72" s="11" t="n">
        <f aca="false">IF(DV$1&lt;Units!$P71,0,IF(AND(Units!$K71=0,DV$1=Units!$O71),Units!$R71,IF(AND(DV$1&gt;=Units!$Q71,MOD(DV$1-Units!$Q71,12)=0),IF(AND(Units!$L71=1,DV$1=Units!$Q71),IF(Units!$J71&lt;&gt;"",Units!$J71,Mkt!DV72),Inputs!$B$15*Mkt!DV72+(1-Inputs!$B$15)*MIN(Mkt!DV72,DU72*(1+Inputs!$B$18))),DU72)))</f>
        <v>1989.7791053396</v>
      </c>
      <c r="DW72" s="11" t="n">
        <f aca="false">IF(DW$1&lt;Units!$P71,0,IF(AND(Units!$K71=0,DW$1=Units!$O71),Units!$R71,IF(AND(DW$1&gt;=Units!$Q71,MOD(DW$1-Units!$Q71,12)=0),IF(AND(Units!$L71=1,DW$1=Units!$Q71),IF(Units!$J71&lt;&gt;"",Units!$J71,Mkt!DW72),Inputs!$B$15*Mkt!DW72+(1-Inputs!$B$15)*MIN(Mkt!DW72,DV72*(1+Inputs!$B$18))),DV72)))</f>
        <v>1989.7791053396</v>
      </c>
      <c r="DX72" s="11" t="n">
        <f aca="false">IF(DX$1&lt;Units!$P71,0,IF(AND(Units!$K71=0,DX$1=Units!$O71),Units!$R71,IF(AND(DX$1&gt;=Units!$Q71,MOD(DX$1-Units!$Q71,12)=0),IF(AND(Units!$L71=1,DX$1=Units!$Q71),IF(Units!$J71&lt;&gt;"",Units!$J71,Mkt!DX72),Inputs!$B$15*Mkt!DX72+(1-Inputs!$B$15)*MIN(Mkt!DX72,DW72*(1+Inputs!$B$18))),DW72)))</f>
        <v>1989.7791053396</v>
      </c>
      <c r="DY72" s="11" t="n">
        <f aca="false">IF(DY$1&lt;Units!$P71,0,IF(AND(Units!$K71=0,DY$1=Units!$O71),Units!$R71,IF(AND(DY$1&gt;=Units!$Q71,MOD(DY$1-Units!$Q71,12)=0),IF(AND(Units!$L71=1,DY$1=Units!$Q71),IF(Units!$J71&lt;&gt;"",Units!$J71,Mkt!DY72),Inputs!$B$15*Mkt!DY72+(1-Inputs!$B$15)*MIN(Mkt!DY72,DX72*(1+Inputs!$B$18))),DX72)))</f>
        <v>1989.7791053396</v>
      </c>
      <c r="DZ72" s="11" t="n">
        <f aca="false">IF(DZ$1&lt;Units!$P71,0,IF(AND(Units!$K71=0,DZ$1=Units!$O71),Units!$R71,IF(AND(DZ$1&gt;=Units!$Q71,MOD(DZ$1-Units!$Q71,12)=0),IF(AND(Units!$L71=1,DZ$1=Units!$Q71),IF(Units!$J71&lt;&gt;"",Units!$J71,Mkt!DZ72),Inputs!$B$15*Mkt!DZ72+(1-Inputs!$B$15)*MIN(Mkt!DZ72,DY72*(1+Inputs!$B$18))),DY72)))</f>
        <v>1989.7791053396</v>
      </c>
      <c r="EA72" s="11" t="n">
        <f aca="false">IF(EA$1&lt;Units!$P71,0,IF(AND(Units!$K71=0,EA$1=Units!$O71),Units!$R71,IF(AND(EA$1&gt;=Units!$Q71,MOD(EA$1-Units!$Q71,12)=0),IF(AND(Units!$L71=1,EA$1=Units!$Q71),IF(Units!$J71&lt;&gt;"",Units!$J71,Mkt!EA72),Inputs!$B$15*Mkt!EA72+(1-Inputs!$B$15)*MIN(Mkt!EA72,DZ72*(1+Inputs!$B$18))),DZ72)))</f>
        <v>1989.7791053396</v>
      </c>
      <c r="EB72" s="11" t="n">
        <f aca="false">IF(EB$1&lt;Units!$P71,0,IF(AND(Units!$K71=0,EB$1=Units!$O71),Units!$R71,IF(AND(EB$1&gt;=Units!$Q71,MOD(EB$1-Units!$Q71,12)=0),IF(AND(Units!$L71=1,EB$1=Units!$Q71),IF(Units!$J71&lt;&gt;"",Units!$J71,Mkt!EB72),Inputs!$B$15*Mkt!EB72+(1-Inputs!$B$15)*MIN(Mkt!EB72,EA72*(1+Inputs!$B$18))),EA72)))</f>
        <v>2049.47247849979</v>
      </c>
      <c r="EC72" s="11" t="n">
        <f aca="false">IF(EC$1&lt;Units!$P71,0,IF(AND(Units!$K71=0,EC$1=Units!$O71),Units!$R71,IF(AND(EC$1&gt;=Units!$Q71,MOD(EC$1-Units!$Q71,12)=0),IF(AND(Units!$L71=1,EC$1=Units!$Q71),IF(Units!$J71&lt;&gt;"",Units!$J71,Mkt!EC72),Inputs!$B$15*Mkt!EC72+(1-Inputs!$B$15)*MIN(Mkt!EC72,EB72*(1+Inputs!$B$18))),EB72)))</f>
        <v>2049.47247849979</v>
      </c>
      <c r="ED72" s="11" t="n">
        <f aca="false">IF(ED$1&lt;Units!$P71,0,IF(AND(Units!$K71=0,ED$1=Units!$O71),Units!$R71,IF(AND(ED$1&gt;=Units!$Q71,MOD(ED$1-Units!$Q71,12)=0),IF(AND(Units!$L71=1,ED$1=Units!$Q71),IF(Units!$J71&lt;&gt;"",Units!$J71,Mkt!ED72),Inputs!$B$15*Mkt!ED72+(1-Inputs!$B$15)*MIN(Mkt!ED72,EC72*(1+Inputs!$B$18))),EC72)))</f>
        <v>2049.47247849979</v>
      </c>
    </row>
    <row r="73" customFormat="false" ht="15" hidden="false" customHeight="false" outlineLevel="0" collapsed="false">
      <c r="A73" s="22" t="n">
        <f aca="false">Units!A72</f>
        <v>311</v>
      </c>
      <c r="B73" s="24" t="n">
        <f aca="false">IF(Units!K72=1,Units!F72,0)</f>
        <v>1190</v>
      </c>
      <c r="C73" s="11" t="n">
        <f aca="false">IF(C$1&lt;Units!$P72,0,IF(AND(Units!$K72=0,C$1=Units!$O72),Units!$R72,IF(AND(C$1&gt;=Units!$Q72,MOD(C$1-Units!$Q72,12)=0),IF(AND(Units!$L72=1,C$1=Units!$Q72),IF(Units!$J72&lt;&gt;"",Units!$J72,Mkt!C73),Inputs!$B$15*Mkt!C73+(1-Inputs!$B$15)*MIN(Mkt!C73,B73*(1+Inputs!$B$18))),B73)))</f>
        <v>1190</v>
      </c>
      <c r="D73" s="11" t="n">
        <f aca="false">IF(D$1&lt;Units!$P72,0,IF(AND(Units!$K72=0,D$1=Units!$O72),Units!$R72,IF(AND(D$1&gt;=Units!$Q72,MOD(D$1-Units!$Q72,12)=0),IF(AND(Units!$L72=1,D$1=Units!$Q72),IF(Units!$J72&lt;&gt;"",Units!$J72,Mkt!D73),Inputs!$B$15*Mkt!D73+(1-Inputs!$B$15)*MIN(Mkt!D73,C73*(1+Inputs!$B$18))),C73)))</f>
        <v>1190</v>
      </c>
      <c r="E73" s="11" t="n">
        <f aca="false">IF(E$1&lt;Units!$P72,0,IF(AND(Units!$K72=0,E$1=Units!$O72),Units!$R72,IF(AND(E$1&gt;=Units!$Q72,MOD(E$1-Units!$Q72,12)=0),IF(AND(Units!$L72=1,E$1=Units!$Q72),IF(Units!$J72&lt;&gt;"",Units!$J72,Mkt!E73),Inputs!$B$15*Mkt!E73+(1-Inputs!$B$15)*MIN(Mkt!E73,D73*(1+Inputs!$B$18))),D73)))</f>
        <v>1190</v>
      </c>
      <c r="F73" s="11" t="n">
        <f aca="false">IF(F$1&lt;Units!$P72,0,IF(AND(Units!$K72=0,F$1=Units!$O72),Units!$R72,IF(AND(F$1&gt;=Units!$Q72,MOD(F$1-Units!$Q72,12)=0),IF(AND(Units!$L72=1,F$1=Units!$Q72),IF(Units!$J72&lt;&gt;"",Units!$J72,Mkt!F73),Inputs!$B$15*Mkt!F73+(1-Inputs!$B$15)*MIN(Mkt!F73,E73*(1+Inputs!$B$18))),E73)))</f>
        <v>1190</v>
      </c>
      <c r="G73" s="11" t="n">
        <f aca="false">IF(G$1&lt;Units!$P72,0,IF(AND(Units!$K72=0,G$1=Units!$O72),Units!$R72,IF(AND(G$1&gt;=Units!$Q72,MOD(G$1-Units!$Q72,12)=0),IF(AND(Units!$L72=1,G$1=Units!$Q72),IF(Units!$J72&lt;&gt;"",Units!$J72,Mkt!G73),Inputs!$B$15*Mkt!G73+(1-Inputs!$B$15)*MIN(Mkt!G73,F73*(1+Inputs!$B$18))),F73)))</f>
        <v>1190</v>
      </c>
      <c r="H73" s="11" t="n">
        <f aca="false">IF(H$1&lt;Units!$P72,0,IF(AND(Units!$K72=0,H$1=Units!$O72),Units!$R72,IF(AND(H$1&gt;=Units!$Q72,MOD(H$1-Units!$Q72,12)=0),IF(AND(Units!$L72=1,H$1=Units!$Q72),IF(Units!$J72&lt;&gt;"",Units!$J72,Mkt!H73),Inputs!$B$15*Mkt!H73+(1-Inputs!$B$15)*MIN(Mkt!H73,G73*(1+Inputs!$B$18))),G73)))</f>
        <v>1190</v>
      </c>
      <c r="I73" s="11" t="n">
        <f aca="false">IF(I$1&lt;Units!$P72,0,IF(AND(Units!$K72=0,I$1=Units!$O72),Units!$R72,IF(AND(I$1&gt;=Units!$Q72,MOD(I$1-Units!$Q72,12)=0),IF(AND(Units!$L72=1,I$1=Units!$Q72),IF(Units!$J72&lt;&gt;"",Units!$J72,Mkt!I73),Inputs!$B$15*Mkt!I73+(1-Inputs!$B$15)*MIN(Mkt!I73,H73*(1+Inputs!$B$18))),H73)))</f>
        <v>1387.25</v>
      </c>
      <c r="J73" s="11" t="n">
        <f aca="false">IF(J$1&lt;Units!$P72,0,IF(AND(Units!$K72=0,J$1=Units!$O72),Units!$R72,IF(AND(J$1&gt;=Units!$Q72,MOD(J$1-Units!$Q72,12)=0),IF(AND(Units!$L72=1,J$1=Units!$Q72),IF(Units!$J72&lt;&gt;"",Units!$J72,Mkt!J73),Inputs!$B$15*Mkt!J73+(1-Inputs!$B$15)*MIN(Mkt!J73,I73*(1+Inputs!$B$18))),I73)))</f>
        <v>1387.25</v>
      </c>
      <c r="K73" s="11" t="n">
        <f aca="false">IF(K$1&lt;Units!$P72,0,IF(AND(Units!$K72=0,K$1=Units!$O72),Units!$R72,IF(AND(K$1&gt;=Units!$Q72,MOD(K$1-Units!$Q72,12)=0),IF(AND(Units!$L72=1,K$1=Units!$Q72),IF(Units!$J72&lt;&gt;"",Units!$J72,Mkt!K73),Inputs!$B$15*Mkt!K73+(1-Inputs!$B$15)*MIN(Mkt!K73,J73*(1+Inputs!$B$18))),J73)))</f>
        <v>1387.25</v>
      </c>
      <c r="L73" s="11" t="n">
        <f aca="false">IF(L$1&lt;Units!$P72,0,IF(AND(Units!$K72=0,L$1=Units!$O72),Units!$R72,IF(AND(L$1&gt;=Units!$Q72,MOD(L$1-Units!$Q72,12)=0),IF(AND(Units!$L72=1,L$1=Units!$Q72),IF(Units!$J72&lt;&gt;"",Units!$J72,Mkt!L73),Inputs!$B$15*Mkt!L73+(1-Inputs!$B$15)*MIN(Mkt!L73,K73*(1+Inputs!$B$18))),K73)))</f>
        <v>1387.25</v>
      </c>
      <c r="M73" s="11" t="n">
        <f aca="false">IF(M$1&lt;Units!$P72,0,IF(AND(Units!$K72=0,M$1=Units!$O72),Units!$R72,IF(AND(M$1&gt;=Units!$Q72,MOD(M$1-Units!$Q72,12)=0),IF(AND(Units!$L72=1,M$1=Units!$Q72),IF(Units!$J72&lt;&gt;"",Units!$J72,Mkt!M73),Inputs!$B$15*Mkt!M73+(1-Inputs!$B$15)*MIN(Mkt!M73,L73*(1+Inputs!$B$18))),L73)))</f>
        <v>1387.25</v>
      </c>
      <c r="N73" s="11" t="n">
        <f aca="false">IF(N$1&lt;Units!$P72,0,IF(AND(Units!$K72=0,N$1=Units!$O72),Units!$R72,IF(AND(N$1&gt;=Units!$Q72,MOD(N$1-Units!$Q72,12)=0),IF(AND(Units!$L72=1,N$1=Units!$Q72),IF(Units!$J72&lt;&gt;"",Units!$J72,Mkt!N73),Inputs!$B$15*Mkt!N73+(1-Inputs!$B$15)*MIN(Mkt!N73,M73*(1+Inputs!$B$18))),M73)))</f>
        <v>1387.25</v>
      </c>
      <c r="O73" s="11" t="n">
        <f aca="false">IF(O$1&lt;Units!$P72,0,IF(AND(Units!$K72=0,O$1=Units!$O72),Units!$R72,IF(AND(O$1&gt;=Units!$Q72,MOD(O$1-Units!$Q72,12)=0),IF(AND(Units!$L72=1,O$1=Units!$Q72),IF(Units!$J72&lt;&gt;"",Units!$J72,Mkt!O73),Inputs!$B$15*Mkt!O73+(1-Inputs!$B$15)*MIN(Mkt!O73,N73*(1+Inputs!$B$18))),N73)))</f>
        <v>1387.25</v>
      </c>
      <c r="P73" s="11" t="n">
        <f aca="false">IF(P$1&lt;Units!$P72,0,IF(AND(Units!$K72=0,P$1=Units!$O72),Units!$R72,IF(AND(P$1&gt;=Units!$Q72,MOD(P$1-Units!$Q72,12)=0),IF(AND(Units!$L72=1,P$1=Units!$Q72),IF(Units!$J72&lt;&gt;"",Units!$J72,Mkt!P73),Inputs!$B$15*Mkt!P73+(1-Inputs!$B$15)*MIN(Mkt!P73,O73*(1+Inputs!$B$18))),O73)))</f>
        <v>1387.25</v>
      </c>
      <c r="Q73" s="11" t="n">
        <f aca="false">IF(Q$1&lt;Units!$P72,0,IF(AND(Units!$K72=0,Q$1=Units!$O72),Units!$R72,IF(AND(Q$1&gt;=Units!$Q72,MOD(Q$1-Units!$Q72,12)=0),IF(AND(Units!$L72=1,Q$1=Units!$Q72),IF(Units!$J72&lt;&gt;"",Units!$J72,Mkt!Q73),Inputs!$B$15*Mkt!Q73+(1-Inputs!$B$15)*MIN(Mkt!Q73,P73*(1+Inputs!$B$18))),P73)))</f>
        <v>1387.25</v>
      </c>
      <c r="R73" s="11" t="n">
        <f aca="false">IF(R$1&lt;Units!$P72,0,IF(AND(Units!$K72=0,R$1=Units!$O72),Units!$R72,IF(AND(R$1&gt;=Units!$Q72,MOD(R$1-Units!$Q72,12)=0),IF(AND(Units!$L72=1,R$1=Units!$Q72),IF(Units!$J72&lt;&gt;"",Units!$J72,Mkt!R73),Inputs!$B$15*Mkt!R73+(1-Inputs!$B$15)*MIN(Mkt!R73,Q73*(1+Inputs!$B$18))),Q73)))</f>
        <v>1387.25</v>
      </c>
      <c r="S73" s="11" t="n">
        <f aca="false">IF(S$1&lt;Units!$P72,0,IF(AND(Units!$K72=0,S$1=Units!$O72),Units!$R72,IF(AND(S$1&gt;=Units!$Q72,MOD(S$1-Units!$Q72,12)=0),IF(AND(Units!$L72=1,S$1=Units!$Q72),IF(Units!$J72&lt;&gt;"",Units!$J72,Mkt!S73),Inputs!$B$15*Mkt!S73+(1-Inputs!$B$15)*MIN(Mkt!S73,R73*(1+Inputs!$B$18))),R73)))</f>
        <v>1387.25</v>
      </c>
      <c r="T73" s="11" t="n">
        <f aca="false">IF(T$1&lt;Units!$P72,0,IF(AND(Units!$K72=0,T$1=Units!$O72),Units!$R72,IF(AND(T$1&gt;=Units!$Q72,MOD(T$1-Units!$Q72,12)=0),IF(AND(Units!$L72=1,T$1=Units!$Q72),IF(Units!$J72&lt;&gt;"",Units!$J72,Mkt!T73),Inputs!$B$15*Mkt!T73+(1-Inputs!$B$15)*MIN(Mkt!T73,S73*(1+Inputs!$B$18))),S73)))</f>
        <v>1387.25</v>
      </c>
      <c r="U73" s="11" t="n">
        <f aca="false">IF(U$1&lt;Units!$P72,0,IF(AND(Units!$K72=0,U$1=Units!$O72),Units!$R72,IF(AND(U$1&gt;=Units!$Q72,MOD(U$1-Units!$Q72,12)=0),IF(AND(Units!$L72=1,U$1=Units!$Q72),IF(Units!$J72&lt;&gt;"",Units!$J72,Mkt!U73),Inputs!$B$15*Mkt!U73+(1-Inputs!$B$15)*MIN(Mkt!U73,T73*(1+Inputs!$B$18))),T73)))</f>
        <v>1513.68125</v>
      </c>
      <c r="V73" s="11" t="n">
        <f aca="false">IF(V$1&lt;Units!$P72,0,IF(AND(Units!$K72=0,V$1=Units!$O72),Units!$R72,IF(AND(V$1&gt;=Units!$Q72,MOD(V$1-Units!$Q72,12)=0),IF(AND(Units!$L72=1,V$1=Units!$Q72),IF(Units!$J72&lt;&gt;"",Units!$J72,Mkt!V73),Inputs!$B$15*Mkt!V73+(1-Inputs!$B$15)*MIN(Mkt!V73,U73*(1+Inputs!$B$18))),U73)))</f>
        <v>1513.68125</v>
      </c>
      <c r="W73" s="11" t="n">
        <f aca="false">IF(W$1&lt;Units!$P72,0,IF(AND(Units!$K72=0,W$1=Units!$O72),Units!$R72,IF(AND(W$1&gt;=Units!$Q72,MOD(W$1-Units!$Q72,12)=0),IF(AND(Units!$L72=1,W$1=Units!$Q72),IF(Units!$J72&lt;&gt;"",Units!$J72,Mkt!W73),Inputs!$B$15*Mkt!W73+(1-Inputs!$B$15)*MIN(Mkt!W73,V73*(1+Inputs!$B$18))),V73)))</f>
        <v>1513.68125</v>
      </c>
      <c r="X73" s="11" t="n">
        <f aca="false">IF(X$1&lt;Units!$P72,0,IF(AND(Units!$K72=0,X$1=Units!$O72),Units!$R72,IF(AND(X$1&gt;=Units!$Q72,MOD(X$1-Units!$Q72,12)=0),IF(AND(Units!$L72=1,X$1=Units!$Q72),IF(Units!$J72&lt;&gt;"",Units!$J72,Mkt!X73),Inputs!$B$15*Mkt!X73+(1-Inputs!$B$15)*MIN(Mkt!X73,W73*(1+Inputs!$B$18))),W73)))</f>
        <v>1513.68125</v>
      </c>
      <c r="Y73" s="11" t="n">
        <f aca="false">IF(Y$1&lt;Units!$P72,0,IF(AND(Units!$K72=0,Y$1=Units!$O72),Units!$R72,IF(AND(Y$1&gt;=Units!$Q72,MOD(Y$1-Units!$Q72,12)=0),IF(AND(Units!$L72=1,Y$1=Units!$Q72),IF(Units!$J72&lt;&gt;"",Units!$J72,Mkt!Y73),Inputs!$B$15*Mkt!Y73+(1-Inputs!$B$15)*MIN(Mkt!Y73,X73*(1+Inputs!$B$18))),X73)))</f>
        <v>1513.68125</v>
      </c>
      <c r="Z73" s="11" t="n">
        <f aca="false">IF(Z$1&lt;Units!$P72,0,IF(AND(Units!$K72=0,Z$1=Units!$O72),Units!$R72,IF(AND(Z$1&gt;=Units!$Q72,MOD(Z$1-Units!$Q72,12)=0),IF(AND(Units!$L72=1,Z$1=Units!$Q72),IF(Units!$J72&lt;&gt;"",Units!$J72,Mkt!Z73),Inputs!$B$15*Mkt!Z73+(1-Inputs!$B$15)*MIN(Mkt!Z73,Y73*(1+Inputs!$B$18))),Y73)))</f>
        <v>1513.68125</v>
      </c>
      <c r="AA73" s="11" t="n">
        <f aca="false">IF(AA$1&lt;Units!$P72,0,IF(AND(Units!$K72=0,AA$1=Units!$O72),Units!$R72,IF(AND(AA$1&gt;=Units!$Q72,MOD(AA$1-Units!$Q72,12)=0),IF(AND(Units!$L72=1,AA$1=Units!$Q72),IF(Units!$J72&lt;&gt;"",Units!$J72,Mkt!AA73),Inputs!$B$15*Mkt!AA73+(1-Inputs!$B$15)*MIN(Mkt!AA73,Z73*(1+Inputs!$B$18))),Z73)))</f>
        <v>1513.68125</v>
      </c>
      <c r="AB73" s="11" t="n">
        <f aca="false">IF(AB$1&lt;Units!$P72,0,IF(AND(Units!$K72=0,AB$1=Units!$O72),Units!$R72,IF(AND(AB$1&gt;=Units!$Q72,MOD(AB$1-Units!$Q72,12)=0),IF(AND(Units!$L72=1,AB$1=Units!$Q72),IF(Units!$J72&lt;&gt;"",Units!$J72,Mkt!AB73),Inputs!$B$15*Mkt!AB73+(1-Inputs!$B$15)*MIN(Mkt!AB73,AA73*(1+Inputs!$B$18))),AA73)))</f>
        <v>1513.68125</v>
      </c>
      <c r="AC73" s="11" t="n">
        <f aca="false">IF(AC$1&lt;Units!$P72,0,IF(AND(Units!$K72=0,AC$1=Units!$O72),Units!$R72,IF(AND(AC$1&gt;=Units!$Q72,MOD(AC$1-Units!$Q72,12)=0),IF(AND(Units!$L72=1,AC$1=Units!$Q72),IF(Units!$J72&lt;&gt;"",Units!$J72,Mkt!AC73),Inputs!$B$15*Mkt!AC73+(1-Inputs!$B$15)*MIN(Mkt!AC73,AB73*(1+Inputs!$B$18))),AB73)))</f>
        <v>1513.68125</v>
      </c>
      <c r="AD73" s="11" t="n">
        <f aca="false">IF(AD$1&lt;Units!$P72,0,IF(AND(Units!$K72=0,AD$1=Units!$O72),Units!$R72,IF(AND(AD$1&gt;=Units!$Q72,MOD(AD$1-Units!$Q72,12)=0),IF(AND(Units!$L72=1,AD$1=Units!$Q72),IF(Units!$J72&lt;&gt;"",Units!$J72,Mkt!AD73),Inputs!$B$15*Mkt!AD73+(1-Inputs!$B$15)*MIN(Mkt!AD73,AC73*(1+Inputs!$B$18))),AC73)))</f>
        <v>1513.68125</v>
      </c>
      <c r="AE73" s="11" t="n">
        <f aca="false">IF(AE$1&lt;Units!$P72,0,IF(AND(Units!$K72=0,AE$1=Units!$O72),Units!$R72,IF(AND(AE$1&gt;=Units!$Q72,MOD(AE$1-Units!$Q72,12)=0),IF(AND(Units!$L72=1,AE$1=Units!$Q72),IF(Units!$J72&lt;&gt;"",Units!$J72,Mkt!AE73),Inputs!$B$15*Mkt!AE73+(1-Inputs!$B$15)*MIN(Mkt!AE73,AD73*(1+Inputs!$B$18))),AD73)))</f>
        <v>1513.68125</v>
      </c>
      <c r="AF73" s="11" t="n">
        <f aca="false">IF(AF$1&lt;Units!$P72,0,IF(AND(Units!$K72=0,AF$1=Units!$O72),Units!$R72,IF(AND(AF$1&gt;=Units!$Q72,MOD(AF$1-Units!$Q72,12)=0),IF(AND(Units!$L72=1,AF$1=Units!$Q72),IF(Units!$J72&lt;&gt;"",Units!$J72,Mkt!AF73),Inputs!$B$15*Mkt!AF73+(1-Inputs!$B$15)*MIN(Mkt!AF73,AE73*(1+Inputs!$B$18))),AE73)))</f>
        <v>1513.68125</v>
      </c>
      <c r="AG73" s="11" t="n">
        <f aca="false">IF(AG$1&lt;Units!$P72,0,IF(AND(Units!$K72=0,AG$1=Units!$O72),Units!$R72,IF(AND(AG$1&gt;=Units!$Q72,MOD(AG$1-Units!$Q72,12)=0),IF(AND(Units!$L72=1,AG$1=Units!$Q72),IF(Units!$J72&lt;&gt;"",Units!$J72,Mkt!AG73),Inputs!$B$15*Mkt!AG73+(1-Inputs!$B$15)*MIN(Mkt!AG73,AF73*(1+Inputs!$B$18))),AF73)))</f>
        <v>1603.61890625</v>
      </c>
      <c r="AH73" s="11" t="n">
        <f aca="false">IF(AH$1&lt;Units!$P72,0,IF(AND(Units!$K72=0,AH$1=Units!$O72),Units!$R72,IF(AND(AH$1&gt;=Units!$Q72,MOD(AH$1-Units!$Q72,12)=0),IF(AND(Units!$L72=1,AH$1=Units!$Q72),IF(Units!$J72&lt;&gt;"",Units!$J72,Mkt!AH73),Inputs!$B$15*Mkt!AH73+(1-Inputs!$B$15)*MIN(Mkt!AH73,AG73*(1+Inputs!$B$18))),AG73)))</f>
        <v>1603.61890625</v>
      </c>
      <c r="AI73" s="11" t="n">
        <f aca="false">IF(AI$1&lt;Units!$P72,0,IF(AND(Units!$K72=0,AI$1=Units!$O72),Units!$R72,IF(AND(AI$1&gt;=Units!$Q72,MOD(AI$1-Units!$Q72,12)=0),IF(AND(Units!$L72=1,AI$1=Units!$Q72),IF(Units!$J72&lt;&gt;"",Units!$J72,Mkt!AI73),Inputs!$B$15*Mkt!AI73+(1-Inputs!$B$15)*MIN(Mkt!AI73,AH73*(1+Inputs!$B$18))),AH73)))</f>
        <v>1603.61890625</v>
      </c>
      <c r="AJ73" s="11" t="n">
        <f aca="false">IF(AJ$1&lt;Units!$P72,0,IF(AND(Units!$K72=0,AJ$1=Units!$O72),Units!$R72,IF(AND(AJ$1&gt;=Units!$Q72,MOD(AJ$1-Units!$Q72,12)=0),IF(AND(Units!$L72=1,AJ$1=Units!$Q72),IF(Units!$J72&lt;&gt;"",Units!$J72,Mkt!AJ73),Inputs!$B$15*Mkt!AJ73+(1-Inputs!$B$15)*MIN(Mkt!AJ73,AI73*(1+Inputs!$B$18))),AI73)))</f>
        <v>1603.61890625</v>
      </c>
      <c r="AK73" s="11" t="n">
        <f aca="false">IF(AK$1&lt;Units!$P72,0,IF(AND(Units!$K72=0,AK$1=Units!$O72),Units!$R72,IF(AND(AK$1&gt;=Units!$Q72,MOD(AK$1-Units!$Q72,12)=0),IF(AND(Units!$L72=1,AK$1=Units!$Q72),IF(Units!$J72&lt;&gt;"",Units!$J72,Mkt!AK73),Inputs!$B$15*Mkt!AK73+(1-Inputs!$B$15)*MIN(Mkt!AK73,AJ73*(1+Inputs!$B$18))),AJ73)))</f>
        <v>1603.61890625</v>
      </c>
      <c r="AL73" s="11" t="n">
        <f aca="false">IF(AL$1&lt;Units!$P72,0,IF(AND(Units!$K72=0,AL$1=Units!$O72),Units!$R72,IF(AND(AL$1&gt;=Units!$Q72,MOD(AL$1-Units!$Q72,12)=0),IF(AND(Units!$L72=1,AL$1=Units!$Q72),IF(Units!$J72&lt;&gt;"",Units!$J72,Mkt!AL73),Inputs!$B$15*Mkt!AL73+(1-Inputs!$B$15)*MIN(Mkt!AL73,AK73*(1+Inputs!$B$18))),AK73)))</f>
        <v>1603.61890625</v>
      </c>
      <c r="AM73" s="11" t="n">
        <f aca="false">IF(AM$1&lt;Units!$P72,0,IF(AND(Units!$K72=0,AM$1=Units!$O72),Units!$R72,IF(AND(AM$1&gt;=Units!$Q72,MOD(AM$1-Units!$Q72,12)=0),IF(AND(Units!$L72=1,AM$1=Units!$Q72),IF(Units!$J72&lt;&gt;"",Units!$J72,Mkt!AM73),Inputs!$B$15*Mkt!AM73+(1-Inputs!$B$15)*MIN(Mkt!AM73,AL73*(1+Inputs!$B$18))),AL73)))</f>
        <v>1603.61890625</v>
      </c>
      <c r="AN73" s="11" t="n">
        <f aca="false">IF(AN$1&lt;Units!$P72,0,IF(AND(Units!$K72=0,AN$1=Units!$O72),Units!$R72,IF(AND(AN$1&gt;=Units!$Q72,MOD(AN$1-Units!$Q72,12)=0),IF(AND(Units!$L72=1,AN$1=Units!$Q72),IF(Units!$J72&lt;&gt;"",Units!$J72,Mkt!AN73),Inputs!$B$15*Mkt!AN73+(1-Inputs!$B$15)*MIN(Mkt!AN73,AM73*(1+Inputs!$B$18))),AM73)))</f>
        <v>1603.61890625</v>
      </c>
      <c r="AO73" s="11" t="n">
        <f aca="false">IF(AO$1&lt;Units!$P72,0,IF(AND(Units!$K72=0,AO$1=Units!$O72),Units!$R72,IF(AND(AO$1&gt;=Units!$Q72,MOD(AO$1-Units!$Q72,12)=0),IF(AND(Units!$L72=1,AO$1=Units!$Q72),IF(Units!$J72&lt;&gt;"",Units!$J72,Mkt!AO73),Inputs!$B$15*Mkt!AO73+(1-Inputs!$B$15)*MIN(Mkt!AO73,AN73*(1+Inputs!$B$18))),AN73)))</f>
        <v>1603.61890625</v>
      </c>
      <c r="AP73" s="11" t="n">
        <f aca="false">IF(AP$1&lt;Units!$P72,0,IF(AND(Units!$K72=0,AP$1=Units!$O72),Units!$R72,IF(AND(AP$1&gt;=Units!$Q72,MOD(AP$1-Units!$Q72,12)=0),IF(AND(Units!$L72=1,AP$1=Units!$Q72),IF(Units!$J72&lt;&gt;"",Units!$J72,Mkt!AP73),Inputs!$B$15*Mkt!AP73+(1-Inputs!$B$15)*MIN(Mkt!AP73,AO73*(1+Inputs!$B$18))),AO73)))</f>
        <v>1603.61890625</v>
      </c>
      <c r="AQ73" s="11" t="n">
        <f aca="false">IF(AQ$1&lt;Units!$P72,0,IF(AND(Units!$K72=0,AQ$1=Units!$O72),Units!$R72,IF(AND(AQ$1&gt;=Units!$Q72,MOD(AQ$1-Units!$Q72,12)=0),IF(AND(Units!$L72=1,AQ$1=Units!$Q72),IF(Units!$J72&lt;&gt;"",Units!$J72,Mkt!AQ73),Inputs!$B$15*Mkt!AQ73+(1-Inputs!$B$15)*MIN(Mkt!AQ73,AP73*(1+Inputs!$B$18))),AP73)))</f>
        <v>1603.61890625</v>
      </c>
      <c r="AR73" s="11" t="n">
        <f aca="false">IF(AR$1&lt;Units!$P72,0,IF(AND(Units!$K72=0,AR$1=Units!$O72),Units!$R72,IF(AND(AR$1&gt;=Units!$Q72,MOD(AR$1-Units!$Q72,12)=0),IF(AND(Units!$L72=1,AR$1=Units!$Q72),IF(Units!$J72&lt;&gt;"",Units!$J72,Mkt!AR73),Inputs!$B$15*Mkt!AR73+(1-Inputs!$B$15)*MIN(Mkt!AR73,AQ73*(1+Inputs!$B$18))),AQ73)))</f>
        <v>1603.61890625</v>
      </c>
      <c r="AS73" s="11" t="n">
        <f aca="false">IF(AS$1&lt;Units!$P72,0,IF(AND(Units!$K72=0,AS$1=Units!$O72),Units!$R72,IF(AND(AS$1&gt;=Units!$Q72,MOD(AS$1-Units!$Q72,12)=0),IF(AND(Units!$L72=1,AS$1=Units!$Q72),IF(Units!$J72&lt;&gt;"",Units!$J72,Mkt!AS73),Inputs!$B$15*Mkt!AS73+(1-Inputs!$B$15)*MIN(Mkt!AS73,AR73*(1+Inputs!$B$18))),AR73)))</f>
        <v>1666.408675</v>
      </c>
      <c r="AT73" s="11" t="n">
        <f aca="false">IF(AT$1&lt;Units!$P72,0,IF(AND(Units!$K72=0,AT$1=Units!$O72),Units!$R72,IF(AND(AT$1&gt;=Units!$Q72,MOD(AT$1-Units!$Q72,12)=0),IF(AND(Units!$L72=1,AT$1=Units!$Q72),IF(Units!$J72&lt;&gt;"",Units!$J72,Mkt!AT73),Inputs!$B$15*Mkt!AT73+(1-Inputs!$B$15)*MIN(Mkt!AT73,AS73*(1+Inputs!$B$18))),AS73)))</f>
        <v>1666.408675</v>
      </c>
      <c r="AU73" s="11" t="n">
        <f aca="false">IF(AU$1&lt;Units!$P72,0,IF(AND(Units!$K72=0,AU$1=Units!$O72),Units!$R72,IF(AND(AU$1&gt;=Units!$Q72,MOD(AU$1-Units!$Q72,12)=0),IF(AND(Units!$L72=1,AU$1=Units!$Q72),IF(Units!$J72&lt;&gt;"",Units!$J72,Mkt!AU73),Inputs!$B$15*Mkt!AU73+(1-Inputs!$B$15)*MIN(Mkt!AU73,AT73*(1+Inputs!$B$18))),AT73)))</f>
        <v>1666.408675</v>
      </c>
      <c r="AV73" s="11" t="n">
        <f aca="false">IF(AV$1&lt;Units!$P72,0,IF(AND(Units!$K72=0,AV$1=Units!$O72),Units!$R72,IF(AND(AV$1&gt;=Units!$Q72,MOD(AV$1-Units!$Q72,12)=0),IF(AND(Units!$L72=1,AV$1=Units!$Q72),IF(Units!$J72&lt;&gt;"",Units!$J72,Mkt!AV73),Inputs!$B$15*Mkt!AV73+(1-Inputs!$B$15)*MIN(Mkt!AV73,AU73*(1+Inputs!$B$18))),AU73)))</f>
        <v>1666.408675</v>
      </c>
      <c r="AW73" s="11" t="n">
        <f aca="false">IF(AW$1&lt;Units!$P72,0,IF(AND(Units!$K72=0,AW$1=Units!$O72),Units!$R72,IF(AND(AW$1&gt;=Units!$Q72,MOD(AW$1-Units!$Q72,12)=0),IF(AND(Units!$L72=1,AW$1=Units!$Q72),IF(Units!$J72&lt;&gt;"",Units!$J72,Mkt!AW73),Inputs!$B$15*Mkt!AW73+(1-Inputs!$B$15)*MIN(Mkt!AW73,AV73*(1+Inputs!$B$18))),AV73)))</f>
        <v>1666.408675</v>
      </c>
      <c r="AX73" s="11" t="n">
        <f aca="false">IF(AX$1&lt;Units!$P72,0,IF(AND(Units!$K72=0,AX$1=Units!$O72),Units!$R72,IF(AND(AX$1&gt;=Units!$Q72,MOD(AX$1-Units!$Q72,12)=0),IF(AND(Units!$L72=1,AX$1=Units!$Q72),IF(Units!$J72&lt;&gt;"",Units!$J72,Mkt!AX73),Inputs!$B$15*Mkt!AX73+(1-Inputs!$B$15)*MIN(Mkt!AX73,AW73*(1+Inputs!$B$18))),AW73)))</f>
        <v>1666.408675</v>
      </c>
      <c r="AY73" s="11" t="n">
        <f aca="false">IF(AY$1&lt;Units!$P72,0,IF(AND(Units!$K72=0,AY$1=Units!$O72),Units!$R72,IF(AND(AY$1&gt;=Units!$Q72,MOD(AY$1-Units!$Q72,12)=0),IF(AND(Units!$L72=1,AY$1=Units!$Q72),IF(Units!$J72&lt;&gt;"",Units!$J72,Mkt!AY73),Inputs!$B$15*Mkt!AY73+(1-Inputs!$B$15)*MIN(Mkt!AY73,AX73*(1+Inputs!$B$18))),AX73)))</f>
        <v>1666.408675</v>
      </c>
      <c r="AZ73" s="11" t="n">
        <f aca="false">IF(AZ$1&lt;Units!$P72,0,IF(AND(Units!$K72=0,AZ$1=Units!$O72),Units!$R72,IF(AND(AZ$1&gt;=Units!$Q72,MOD(AZ$1-Units!$Q72,12)=0),IF(AND(Units!$L72=1,AZ$1=Units!$Q72),IF(Units!$J72&lt;&gt;"",Units!$J72,Mkt!AZ73),Inputs!$B$15*Mkt!AZ73+(1-Inputs!$B$15)*MIN(Mkt!AZ73,AY73*(1+Inputs!$B$18))),AY73)))</f>
        <v>1666.408675</v>
      </c>
      <c r="BA73" s="11" t="n">
        <f aca="false">IF(BA$1&lt;Units!$P72,0,IF(AND(Units!$K72=0,BA$1=Units!$O72),Units!$R72,IF(AND(BA$1&gt;=Units!$Q72,MOD(BA$1-Units!$Q72,12)=0),IF(AND(Units!$L72=1,BA$1=Units!$Q72),IF(Units!$J72&lt;&gt;"",Units!$J72,Mkt!BA73),Inputs!$B$15*Mkt!BA73+(1-Inputs!$B$15)*MIN(Mkt!BA73,AZ73*(1+Inputs!$B$18))),AZ73)))</f>
        <v>1666.408675</v>
      </c>
      <c r="BB73" s="11" t="n">
        <f aca="false">IF(BB$1&lt;Units!$P72,0,IF(AND(Units!$K72=0,BB$1=Units!$O72),Units!$R72,IF(AND(BB$1&gt;=Units!$Q72,MOD(BB$1-Units!$Q72,12)=0),IF(AND(Units!$L72=1,BB$1=Units!$Q72),IF(Units!$J72&lt;&gt;"",Units!$J72,Mkt!BB73),Inputs!$B$15*Mkt!BB73+(1-Inputs!$B$15)*MIN(Mkt!BB73,BA73*(1+Inputs!$B$18))),BA73)))</f>
        <v>1666.408675</v>
      </c>
      <c r="BC73" s="11" t="n">
        <f aca="false">IF(BC$1&lt;Units!$P72,0,IF(AND(Units!$K72=0,BC$1=Units!$O72),Units!$R72,IF(AND(BC$1&gt;=Units!$Q72,MOD(BC$1-Units!$Q72,12)=0),IF(AND(Units!$L72=1,BC$1=Units!$Q72),IF(Units!$J72&lt;&gt;"",Units!$J72,Mkt!BC73),Inputs!$B$15*Mkt!BC73+(1-Inputs!$B$15)*MIN(Mkt!BC73,BB73*(1+Inputs!$B$18))),BB73)))</f>
        <v>1666.408675</v>
      </c>
      <c r="BD73" s="11" t="n">
        <f aca="false">IF(BD$1&lt;Units!$P72,0,IF(AND(Units!$K72=0,BD$1=Units!$O72),Units!$R72,IF(AND(BD$1&gt;=Units!$Q72,MOD(BD$1-Units!$Q72,12)=0),IF(AND(Units!$L72=1,BD$1=Units!$Q72),IF(Units!$J72&lt;&gt;"",Units!$J72,Mkt!BD73),Inputs!$B$15*Mkt!BD73+(1-Inputs!$B$15)*MIN(Mkt!BD73,BC73*(1+Inputs!$B$18))),BC73)))</f>
        <v>1666.408675</v>
      </c>
      <c r="BE73" s="11" t="n">
        <f aca="false">IF(BE$1&lt;Units!$P72,0,IF(AND(Units!$K72=0,BE$1=Units!$O72),Units!$R72,IF(AND(BE$1&gt;=Units!$Q72,MOD(BE$1-Units!$Q72,12)=0),IF(AND(Units!$L72=1,BE$1=Units!$Q72),IF(Units!$J72&lt;&gt;"",Units!$J72,Mkt!BE73),Inputs!$B$15*Mkt!BE73+(1-Inputs!$B$15)*MIN(Mkt!BE73,BD73*(1+Inputs!$B$18))),BD73)))</f>
        <v>1716.40093525</v>
      </c>
      <c r="BF73" s="11" t="n">
        <f aca="false">IF(BF$1&lt;Units!$P72,0,IF(AND(Units!$K72=0,BF$1=Units!$O72),Units!$R72,IF(AND(BF$1&gt;=Units!$Q72,MOD(BF$1-Units!$Q72,12)=0),IF(AND(Units!$L72=1,BF$1=Units!$Q72),IF(Units!$J72&lt;&gt;"",Units!$J72,Mkt!BF73),Inputs!$B$15*Mkt!BF73+(1-Inputs!$B$15)*MIN(Mkt!BF73,BE73*(1+Inputs!$B$18))),BE73)))</f>
        <v>1716.40093525</v>
      </c>
      <c r="BG73" s="11" t="n">
        <f aca="false">IF(BG$1&lt;Units!$P72,0,IF(AND(Units!$K72=0,BG$1=Units!$O72),Units!$R72,IF(AND(BG$1&gt;=Units!$Q72,MOD(BG$1-Units!$Q72,12)=0),IF(AND(Units!$L72=1,BG$1=Units!$Q72),IF(Units!$J72&lt;&gt;"",Units!$J72,Mkt!BG73),Inputs!$B$15*Mkt!BG73+(1-Inputs!$B$15)*MIN(Mkt!BG73,BF73*(1+Inputs!$B$18))),BF73)))</f>
        <v>1716.40093525</v>
      </c>
      <c r="BH73" s="11" t="n">
        <f aca="false">IF(BH$1&lt;Units!$P72,0,IF(AND(Units!$K72=0,BH$1=Units!$O72),Units!$R72,IF(AND(BH$1&gt;=Units!$Q72,MOD(BH$1-Units!$Q72,12)=0),IF(AND(Units!$L72=1,BH$1=Units!$Q72),IF(Units!$J72&lt;&gt;"",Units!$J72,Mkt!BH73),Inputs!$B$15*Mkt!BH73+(1-Inputs!$B$15)*MIN(Mkt!BH73,BG73*(1+Inputs!$B$18))),BG73)))</f>
        <v>1716.40093525</v>
      </c>
      <c r="BI73" s="11" t="n">
        <f aca="false">IF(BI$1&lt;Units!$P72,0,IF(AND(Units!$K72=0,BI$1=Units!$O72),Units!$R72,IF(AND(BI$1&gt;=Units!$Q72,MOD(BI$1-Units!$Q72,12)=0),IF(AND(Units!$L72=1,BI$1=Units!$Q72),IF(Units!$J72&lt;&gt;"",Units!$J72,Mkt!BI73),Inputs!$B$15*Mkt!BI73+(1-Inputs!$B$15)*MIN(Mkt!BI73,BH73*(1+Inputs!$B$18))),BH73)))</f>
        <v>1716.40093525</v>
      </c>
      <c r="BJ73" s="11" t="n">
        <f aca="false">IF(BJ$1&lt;Units!$P72,0,IF(AND(Units!$K72=0,BJ$1=Units!$O72),Units!$R72,IF(AND(BJ$1&gt;=Units!$Q72,MOD(BJ$1-Units!$Q72,12)=0),IF(AND(Units!$L72=1,BJ$1=Units!$Q72),IF(Units!$J72&lt;&gt;"",Units!$J72,Mkt!BJ73),Inputs!$B$15*Mkt!BJ73+(1-Inputs!$B$15)*MIN(Mkt!BJ73,BI73*(1+Inputs!$B$18))),BI73)))</f>
        <v>1716.40093525</v>
      </c>
      <c r="BK73" s="11" t="n">
        <f aca="false">IF(BK$1&lt;Units!$P72,0,IF(AND(Units!$K72=0,BK$1=Units!$O72),Units!$R72,IF(AND(BK$1&gt;=Units!$Q72,MOD(BK$1-Units!$Q72,12)=0),IF(AND(Units!$L72=1,BK$1=Units!$Q72),IF(Units!$J72&lt;&gt;"",Units!$J72,Mkt!BK73),Inputs!$B$15*Mkt!BK73+(1-Inputs!$B$15)*MIN(Mkt!BK73,BJ73*(1+Inputs!$B$18))),BJ73)))</f>
        <v>1716.40093525</v>
      </c>
      <c r="BL73" s="11" t="n">
        <f aca="false">IF(BL$1&lt;Units!$P72,0,IF(AND(Units!$K72=0,BL$1=Units!$O72),Units!$R72,IF(AND(BL$1&gt;=Units!$Q72,MOD(BL$1-Units!$Q72,12)=0),IF(AND(Units!$L72=1,BL$1=Units!$Q72),IF(Units!$J72&lt;&gt;"",Units!$J72,Mkt!BL73),Inputs!$B$15*Mkt!BL73+(1-Inputs!$B$15)*MIN(Mkt!BL73,BK73*(1+Inputs!$B$18))),BK73)))</f>
        <v>1716.40093525</v>
      </c>
      <c r="BM73" s="11" t="n">
        <f aca="false">IF(BM$1&lt;Units!$P72,0,IF(AND(Units!$K72=0,BM$1=Units!$O72),Units!$R72,IF(AND(BM$1&gt;=Units!$Q72,MOD(BM$1-Units!$Q72,12)=0),IF(AND(Units!$L72=1,BM$1=Units!$Q72),IF(Units!$J72&lt;&gt;"",Units!$J72,Mkt!BM73),Inputs!$B$15*Mkt!BM73+(1-Inputs!$B$15)*MIN(Mkt!BM73,BL73*(1+Inputs!$B$18))),BL73)))</f>
        <v>1716.40093525</v>
      </c>
      <c r="BN73" s="11" t="n">
        <f aca="false">IF(BN$1&lt;Units!$P72,0,IF(AND(Units!$K72=0,BN$1=Units!$O72),Units!$R72,IF(AND(BN$1&gt;=Units!$Q72,MOD(BN$1-Units!$Q72,12)=0),IF(AND(Units!$L72=1,BN$1=Units!$Q72),IF(Units!$J72&lt;&gt;"",Units!$J72,Mkt!BN73),Inputs!$B$15*Mkt!BN73+(1-Inputs!$B$15)*MIN(Mkt!BN73,BM73*(1+Inputs!$B$18))),BM73)))</f>
        <v>1716.40093525</v>
      </c>
      <c r="BO73" s="11" t="n">
        <f aca="false">IF(BO$1&lt;Units!$P72,0,IF(AND(Units!$K72=0,BO$1=Units!$O72),Units!$R72,IF(AND(BO$1&gt;=Units!$Q72,MOD(BO$1-Units!$Q72,12)=0),IF(AND(Units!$L72=1,BO$1=Units!$Q72),IF(Units!$J72&lt;&gt;"",Units!$J72,Mkt!BO73),Inputs!$B$15*Mkt!BO73+(1-Inputs!$B$15)*MIN(Mkt!BO73,BN73*(1+Inputs!$B$18))),BN73)))</f>
        <v>1716.40093525</v>
      </c>
      <c r="BP73" s="11" t="n">
        <f aca="false">IF(BP$1&lt;Units!$P72,0,IF(AND(Units!$K72=0,BP$1=Units!$O72),Units!$R72,IF(AND(BP$1&gt;=Units!$Q72,MOD(BP$1-Units!$Q72,12)=0),IF(AND(Units!$L72=1,BP$1=Units!$Q72),IF(Units!$J72&lt;&gt;"",Units!$J72,Mkt!BP73),Inputs!$B$15*Mkt!BP73+(1-Inputs!$B$15)*MIN(Mkt!BP73,BO73*(1+Inputs!$B$18))),BO73)))</f>
        <v>1716.40093525</v>
      </c>
      <c r="BQ73" s="11" t="n">
        <f aca="false">IF(BQ$1&lt;Units!$P72,0,IF(AND(Units!$K72=0,BQ$1=Units!$O72),Units!$R72,IF(AND(BQ$1&gt;=Units!$Q72,MOD(BQ$1-Units!$Q72,12)=0),IF(AND(Units!$L72=1,BQ$1=Units!$Q72),IF(Units!$J72&lt;&gt;"",Units!$J72,Mkt!BQ73),Inputs!$B$15*Mkt!BQ73+(1-Inputs!$B$15)*MIN(Mkt!BQ73,BP73*(1+Inputs!$B$18))),BP73)))</f>
        <v>1767.8929633075</v>
      </c>
      <c r="BR73" s="11" t="n">
        <f aca="false">IF(BR$1&lt;Units!$P72,0,IF(AND(Units!$K72=0,BR$1=Units!$O72),Units!$R72,IF(AND(BR$1&gt;=Units!$Q72,MOD(BR$1-Units!$Q72,12)=0),IF(AND(Units!$L72=1,BR$1=Units!$Q72),IF(Units!$J72&lt;&gt;"",Units!$J72,Mkt!BR73),Inputs!$B$15*Mkt!BR73+(1-Inputs!$B$15)*MIN(Mkt!BR73,BQ73*(1+Inputs!$B$18))),BQ73)))</f>
        <v>1767.8929633075</v>
      </c>
      <c r="BS73" s="11" t="n">
        <f aca="false">IF(BS$1&lt;Units!$P72,0,IF(AND(Units!$K72=0,BS$1=Units!$O72),Units!$R72,IF(AND(BS$1&gt;=Units!$Q72,MOD(BS$1-Units!$Q72,12)=0),IF(AND(Units!$L72=1,BS$1=Units!$Q72),IF(Units!$J72&lt;&gt;"",Units!$J72,Mkt!BS73),Inputs!$B$15*Mkt!BS73+(1-Inputs!$B$15)*MIN(Mkt!BS73,BR73*(1+Inputs!$B$18))),BR73)))</f>
        <v>1767.8929633075</v>
      </c>
      <c r="BT73" s="11" t="n">
        <f aca="false">IF(BT$1&lt;Units!$P72,0,IF(AND(Units!$K72=0,BT$1=Units!$O72),Units!$R72,IF(AND(BT$1&gt;=Units!$Q72,MOD(BT$1-Units!$Q72,12)=0),IF(AND(Units!$L72=1,BT$1=Units!$Q72),IF(Units!$J72&lt;&gt;"",Units!$J72,Mkt!BT73),Inputs!$B$15*Mkt!BT73+(1-Inputs!$B$15)*MIN(Mkt!BT73,BS73*(1+Inputs!$B$18))),BS73)))</f>
        <v>1767.8929633075</v>
      </c>
      <c r="BU73" s="11" t="n">
        <f aca="false">IF(BU$1&lt;Units!$P72,0,IF(AND(Units!$K72=0,BU$1=Units!$O72),Units!$R72,IF(AND(BU$1&gt;=Units!$Q72,MOD(BU$1-Units!$Q72,12)=0),IF(AND(Units!$L72=1,BU$1=Units!$Q72),IF(Units!$J72&lt;&gt;"",Units!$J72,Mkt!BU73),Inputs!$B$15*Mkt!BU73+(1-Inputs!$B$15)*MIN(Mkt!BU73,BT73*(1+Inputs!$B$18))),BT73)))</f>
        <v>1767.8929633075</v>
      </c>
      <c r="BV73" s="11" t="n">
        <f aca="false">IF(BV$1&lt;Units!$P72,0,IF(AND(Units!$K72=0,BV$1=Units!$O72),Units!$R72,IF(AND(BV$1&gt;=Units!$Q72,MOD(BV$1-Units!$Q72,12)=0),IF(AND(Units!$L72=1,BV$1=Units!$Q72),IF(Units!$J72&lt;&gt;"",Units!$J72,Mkt!BV73),Inputs!$B$15*Mkt!BV73+(1-Inputs!$B$15)*MIN(Mkt!BV73,BU73*(1+Inputs!$B$18))),BU73)))</f>
        <v>1767.8929633075</v>
      </c>
      <c r="BW73" s="11" t="n">
        <f aca="false">IF(BW$1&lt;Units!$P72,0,IF(AND(Units!$K72=0,BW$1=Units!$O72),Units!$R72,IF(AND(BW$1&gt;=Units!$Q72,MOD(BW$1-Units!$Q72,12)=0),IF(AND(Units!$L72=1,BW$1=Units!$Q72),IF(Units!$J72&lt;&gt;"",Units!$J72,Mkt!BW73),Inputs!$B$15*Mkt!BW73+(1-Inputs!$B$15)*MIN(Mkt!BW73,BV73*(1+Inputs!$B$18))),BV73)))</f>
        <v>1767.8929633075</v>
      </c>
      <c r="BX73" s="11" t="n">
        <f aca="false">IF(BX$1&lt;Units!$P72,0,IF(AND(Units!$K72=0,BX$1=Units!$O72),Units!$R72,IF(AND(BX$1&gt;=Units!$Q72,MOD(BX$1-Units!$Q72,12)=0),IF(AND(Units!$L72=1,BX$1=Units!$Q72),IF(Units!$J72&lt;&gt;"",Units!$J72,Mkt!BX73),Inputs!$B$15*Mkt!BX73+(1-Inputs!$B$15)*MIN(Mkt!BX73,BW73*(1+Inputs!$B$18))),BW73)))</f>
        <v>1767.8929633075</v>
      </c>
      <c r="BY73" s="11" t="n">
        <f aca="false">IF(BY$1&lt;Units!$P72,0,IF(AND(Units!$K72=0,BY$1=Units!$O72),Units!$R72,IF(AND(BY$1&gt;=Units!$Q72,MOD(BY$1-Units!$Q72,12)=0),IF(AND(Units!$L72=1,BY$1=Units!$Q72),IF(Units!$J72&lt;&gt;"",Units!$J72,Mkt!BY73),Inputs!$B$15*Mkt!BY73+(1-Inputs!$B$15)*MIN(Mkt!BY73,BX73*(1+Inputs!$B$18))),BX73)))</f>
        <v>1767.8929633075</v>
      </c>
      <c r="BZ73" s="11" t="n">
        <f aca="false">IF(BZ$1&lt;Units!$P72,0,IF(AND(Units!$K72=0,BZ$1=Units!$O72),Units!$R72,IF(AND(BZ$1&gt;=Units!$Q72,MOD(BZ$1-Units!$Q72,12)=0),IF(AND(Units!$L72=1,BZ$1=Units!$Q72),IF(Units!$J72&lt;&gt;"",Units!$J72,Mkt!BZ73),Inputs!$B$15*Mkt!BZ73+(1-Inputs!$B$15)*MIN(Mkt!BZ73,BY73*(1+Inputs!$B$18))),BY73)))</f>
        <v>1767.8929633075</v>
      </c>
      <c r="CA73" s="11" t="n">
        <f aca="false">IF(CA$1&lt;Units!$P72,0,IF(AND(Units!$K72=0,CA$1=Units!$O72),Units!$R72,IF(AND(CA$1&gt;=Units!$Q72,MOD(CA$1-Units!$Q72,12)=0),IF(AND(Units!$L72=1,CA$1=Units!$Q72),IF(Units!$J72&lt;&gt;"",Units!$J72,Mkt!CA73),Inputs!$B$15*Mkt!CA73+(1-Inputs!$B$15)*MIN(Mkt!CA73,BZ73*(1+Inputs!$B$18))),BZ73)))</f>
        <v>1767.8929633075</v>
      </c>
      <c r="CB73" s="11" t="n">
        <f aca="false">IF(CB$1&lt;Units!$P72,0,IF(AND(Units!$K72=0,CB$1=Units!$O72),Units!$R72,IF(AND(CB$1&gt;=Units!$Q72,MOD(CB$1-Units!$Q72,12)=0),IF(AND(Units!$L72=1,CB$1=Units!$Q72),IF(Units!$J72&lt;&gt;"",Units!$J72,Mkt!CB73),Inputs!$B$15*Mkt!CB73+(1-Inputs!$B$15)*MIN(Mkt!CB73,CA73*(1+Inputs!$B$18))),CA73)))</f>
        <v>1767.8929633075</v>
      </c>
      <c r="CC73" s="11" t="n">
        <f aca="false">IF(CC$1&lt;Units!$P72,0,IF(AND(Units!$K72=0,CC$1=Units!$O72),Units!$R72,IF(AND(CC$1&gt;=Units!$Q72,MOD(CC$1-Units!$Q72,12)=0),IF(AND(Units!$L72=1,CC$1=Units!$Q72),IF(Units!$J72&lt;&gt;"",Units!$J72,Mkt!CC73),Inputs!$B$15*Mkt!CC73+(1-Inputs!$B$15)*MIN(Mkt!CC73,CB73*(1+Inputs!$B$18))),CB73)))</f>
        <v>1820.92975220673</v>
      </c>
      <c r="CD73" s="11" t="n">
        <f aca="false">IF(CD$1&lt;Units!$P72,0,IF(AND(Units!$K72=0,CD$1=Units!$O72),Units!$R72,IF(AND(CD$1&gt;=Units!$Q72,MOD(CD$1-Units!$Q72,12)=0),IF(AND(Units!$L72=1,CD$1=Units!$Q72),IF(Units!$J72&lt;&gt;"",Units!$J72,Mkt!CD73),Inputs!$B$15*Mkt!CD73+(1-Inputs!$B$15)*MIN(Mkt!CD73,CC73*(1+Inputs!$B$18))),CC73)))</f>
        <v>1820.92975220673</v>
      </c>
      <c r="CE73" s="11" t="n">
        <f aca="false">IF(CE$1&lt;Units!$P72,0,IF(AND(Units!$K72=0,CE$1=Units!$O72),Units!$R72,IF(AND(CE$1&gt;=Units!$Q72,MOD(CE$1-Units!$Q72,12)=0),IF(AND(Units!$L72=1,CE$1=Units!$Q72),IF(Units!$J72&lt;&gt;"",Units!$J72,Mkt!CE73),Inputs!$B$15*Mkt!CE73+(1-Inputs!$B$15)*MIN(Mkt!CE73,CD73*(1+Inputs!$B$18))),CD73)))</f>
        <v>1820.92975220673</v>
      </c>
      <c r="CF73" s="11" t="n">
        <f aca="false">IF(CF$1&lt;Units!$P72,0,IF(AND(Units!$K72=0,CF$1=Units!$O72),Units!$R72,IF(AND(CF$1&gt;=Units!$Q72,MOD(CF$1-Units!$Q72,12)=0),IF(AND(Units!$L72=1,CF$1=Units!$Q72),IF(Units!$J72&lt;&gt;"",Units!$J72,Mkt!CF73),Inputs!$B$15*Mkt!CF73+(1-Inputs!$B$15)*MIN(Mkt!CF73,CE73*(1+Inputs!$B$18))),CE73)))</f>
        <v>1820.92975220673</v>
      </c>
      <c r="CG73" s="11" t="n">
        <f aca="false">IF(CG$1&lt;Units!$P72,0,IF(AND(Units!$K72=0,CG$1=Units!$O72),Units!$R72,IF(AND(CG$1&gt;=Units!$Q72,MOD(CG$1-Units!$Q72,12)=0),IF(AND(Units!$L72=1,CG$1=Units!$Q72),IF(Units!$J72&lt;&gt;"",Units!$J72,Mkt!CG73),Inputs!$B$15*Mkt!CG73+(1-Inputs!$B$15)*MIN(Mkt!CG73,CF73*(1+Inputs!$B$18))),CF73)))</f>
        <v>1820.92975220673</v>
      </c>
      <c r="CH73" s="11" t="n">
        <f aca="false">IF(CH$1&lt;Units!$P72,0,IF(AND(Units!$K72=0,CH$1=Units!$O72),Units!$R72,IF(AND(CH$1&gt;=Units!$Q72,MOD(CH$1-Units!$Q72,12)=0),IF(AND(Units!$L72=1,CH$1=Units!$Q72),IF(Units!$J72&lt;&gt;"",Units!$J72,Mkt!CH73),Inputs!$B$15*Mkt!CH73+(1-Inputs!$B$15)*MIN(Mkt!CH73,CG73*(1+Inputs!$B$18))),CG73)))</f>
        <v>1820.92975220673</v>
      </c>
      <c r="CI73" s="11" t="n">
        <f aca="false">IF(CI$1&lt;Units!$P72,0,IF(AND(Units!$K72=0,CI$1=Units!$O72),Units!$R72,IF(AND(CI$1&gt;=Units!$Q72,MOD(CI$1-Units!$Q72,12)=0),IF(AND(Units!$L72=1,CI$1=Units!$Q72),IF(Units!$J72&lt;&gt;"",Units!$J72,Mkt!CI73),Inputs!$B$15*Mkt!CI73+(1-Inputs!$B$15)*MIN(Mkt!CI73,CH73*(1+Inputs!$B$18))),CH73)))</f>
        <v>1820.92975220673</v>
      </c>
      <c r="CJ73" s="11" t="n">
        <f aca="false">IF(CJ$1&lt;Units!$P72,0,IF(AND(Units!$K72=0,CJ$1=Units!$O72),Units!$R72,IF(AND(CJ$1&gt;=Units!$Q72,MOD(CJ$1-Units!$Q72,12)=0),IF(AND(Units!$L72=1,CJ$1=Units!$Q72),IF(Units!$J72&lt;&gt;"",Units!$J72,Mkt!CJ73),Inputs!$B$15*Mkt!CJ73+(1-Inputs!$B$15)*MIN(Mkt!CJ73,CI73*(1+Inputs!$B$18))),CI73)))</f>
        <v>1820.92975220673</v>
      </c>
      <c r="CK73" s="11" t="n">
        <f aca="false">IF(CK$1&lt;Units!$P72,0,IF(AND(Units!$K72=0,CK$1=Units!$O72),Units!$R72,IF(AND(CK$1&gt;=Units!$Q72,MOD(CK$1-Units!$Q72,12)=0),IF(AND(Units!$L72=1,CK$1=Units!$Q72),IF(Units!$J72&lt;&gt;"",Units!$J72,Mkt!CK73),Inputs!$B$15*Mkt!CK73+(1-Inputs!$B$15)*MIN(Mkt!CK73,CJ73*(1+Inputs!$B$18))),CJ73)))</f>
        <v>1820.92975220673</v>
      </c>
      <c r="CL73" s="11" t="n">
        <f aca="false">IF(CL$1&lt;Units!$P72,0,IF(AND(Units!$K72=0,CL$1=Units!$O72),Units!$R72,IF(AND(CL$1&gt;=Units!$Q72,MOD(CL$1-Units!$Q72,12)=0),IF(AND(Units!$L72=1,CL$1=Units!$Q72),IF(Units!$J72&lt;&gt;"",Units!$J72,Mkt!CL73),Inputs!$B$15*Mkt!CL73+(1-Inputs!$B$15)*MIN(Mkt!CL73,CK73*(1+Inputs!$B$18))),CK73)))</f>
        <v>1820.92975220673</v>
      </c>
      <c r="CM73" s="11" t="n">
        <f aca="false">IF(CM$1&lt;Units!$P72,0,IF(AND(Units!$K72=0,CM$1=Units!$O72),Units!$R72,IF(AND(CM$1&gt;=Units!$Q72,MOD(CM$1-Units!$Q72,12)=0),IF(AND(Units!$L72=1,CM$1=Units!$Q72),IF(Units!$J72&lt;&gt;"",Units!$J72,Mkt!CM73),Inputs!$B$15*Mkt!CM73+(1-Inputs!$B$15)*MIN(Mkt!CM73,CL73*(1+Inputs!$B$18))),CL73)))</f>
        <v>1820.92975220673</v>
      </c>
      <c r="CN73" s="11" t="n">
        <f aca="false">IF(CN$1&lt;Units!$P72,0,IF(AND(Units!$K72=0,CN$1=Units!$O72),Units!$R72,IF(AND(CN$1&gt;=Units!$Q72,MOD(CN$1-Units!$Q72,12)=0),IF(AND(Units!$L72=1,CN$1=Units!$Q72),IF(Units!$J72&lt;&gt;"",Units!$J72,Mkt!CN73),Inputs!$B$15*Mkt!CN73+(1-Inputs!$B$15)*MIN(Mkt!CN73,CM73*(1+Inputs!$B$18))),CM73)))</f>
        <v>1820.92975220673</v>
      </c>
      <c r="CO73" s="11" t="n">
        <f aca="false">IF(CO$1&lt;Units!$P72,0,IF(AND(Units!$K72=0,CO$1=Units!$O72),Units!$R72,IF(AND(CO$1&gt;=Units!$Q72,MOD(CO$1-Units!$Q72,12)=0),IF(AND(Units!$L72=1,CO$1=Units!$Q72),IF(Units!$J72&lt;&gt;"",Units!$J72,Mkt!CO73),Inputs!$B$15*Mkt!CO73+(1-Inputs!$B$15)*MIN(Mkt!CO73,CN73*(1+Inputs!$B$18))),CN73)))</f>
        <v>1875.55764477293</v>
      </c>
      <c r="CP73" s="11" t="n">
        <f aca="false">IF(CP$1&lt;Units!$P72,0,IF(AND(Units!$K72=0,CP$1=Units!$O72),Units!$R72,IF(AND(CP$1&gt;=Units!$Q72,MOD(CP$1-Units!$Q72,12)=0),IF(AND(Units!$L72=1,CP$1=Units!$Q72),IF(Units!$J72&lt;&gt;"",Units!$J72,Mkt!CP73),Inputs!$B$15*Mkt!CP73+(1-Inputs!$B$15)*MIN(Mkt!CP73,CO73*(1+Inputs!$B$18))),CO73)))</f>
        <v>1875.55764477293</v>
      </c>
      <c r="CQ73" s="11" t="n">
        <f aca="false">IF(CQ$1&lt;Units!$P72,0,IF(AND(Units!$K72=0,CQ$1=Units!$O72),Units!$R72,IF(AND(CQ$1&gt;=Units!$Q72,MOD(CQ$1-Units!$Q72,12)=0),IF(AND(Units!$L72=1,CQ$1=Units!$Q72),IF(Units!$J72&lt;&gt;"",Units!$J72,Mkt!CQ73),Inputs!$B$15*Mkt!CQ73+(1-Inputs!$B$15)*MIN(Mkt!CQ73,CP73*(1+Inputs!$B$18))),CP73)))</f>
        <v>1875.55764477293</v>
      </c>
      <c r="CR73" s="11" t="n">
        <f aca="false">IF(CR$1&lt;Units!$P72,0,IF(AND(Units!$K72=0,CR$1=Units!$O72),Units!$R72,IF(AND(CR$1&gt;=Units!$Q72,MOD(CR$1-Units!$Q72,12)=0),IF(AND(Units!$L72=1,CR$1=Units!$Q72),IF(Units!$J72&lt;&gt;"",Units!$J72,Mkt!CR73),Inputs!$B$15*Mkt!CR73+(1-Inputs!$B$15)*MIN(Mkt!CR73,CQ73*(1+Inputs!$B$18))),CQ73)))</f>
        <v>1875.55764477293</v>
      </c>
      <c r="CS73" s="11" t="n">
        <f aca="false">IF(CS$1&lt;Units!$P72,0,IF(AND(Units!$K72=0,CS$1=Units!$O72),Units!$R72,IF(AND(CS$1&gt;=Units!$Q72,MOD(CS$1-Units!$Q72,12)=0),IF(AND(Units!$L72=1,CS$1=Units!$Q72),IF(Units!$J72&lt;&gt;"",Units!$J72,Mkt!CS73),Inputs!$B$15*Mkt!CS73+(1-Inputs!$B$15)*MIN(Mkt!CS73,CR73*(1+Inputs!$B$18))),CR73)))</f>
        <v>1875.55764477293</v>
      </c>
      <c r="CT73" s="11" t="n">
        <f aca="false">IF(CT$1&lt;Units!$P72,0,IF(AND(Units!$K72=0,CT$1=Units!$O72),Units!$R72,IF(AND(CT$1&gt;=Units!$Q72,MOD(CT$1-Units!$Q72,12)=0),IF(AND(Units!$L72=1,CT$1=Units!$Q72),IF(Units!$J72&lt;&gt;"",Units!$J72,Mkt!CT73),Inputs!$B$15*Mkt!CT73+(1-Inputs!$B$15)*MIN(Mkt!CT73,CS73*(1+Inputs!$B$18))),CS73)))</f>
        <v>1875.55764477293</v>
      </c>
      <c r="CU73" s="11" t="n">
        <f aca="false">IF(CU$1&lt;Units!$P72,0,IF(AND(Units!$K72=0,CU$1=Units!$O72),Units!$R72,IF(AND(CU$1&gt;=Units!$Q72,MOD(CU$1-Units!$Q72,12)=0),IF(AND(Units!$L72=1,CU$1=Units!$Q72),IF(Units!$J72&lt;&gt;"",Units!$J72,Mkt!CU73),Inputs!$B$15*Mkt!CU73+(1-Inputs!$B$15)*MIN(Mkt!CU73,CT73*(1+Inputs!$B$18))),CT73)))</f>
        <v>1875.55764477293</v>
      </c>
      <c r="CV73" s="11" t="n">
        <f aca="false">IF(CV$1&lt;Units!$P72,0,IF(AND(Units!$K72=0,CV$1=Units!$O72),Units!$R72,IF(AND(CV$1&gt;=Units!$Q72,MOD(CV$1-Units!$Q72,12)=0),IF(AND(Units!$L72=1,CV$1=Units!$Q72),IF(Units!$J72&lt;&gt;"",Units!$J72,Mkt!CV73),Inputs!$B$15*Mkt!CV73+(1-Inputs!$B$15)*MIN(Mkt!CV73,CU73*(1+Inputs!$B$18))),CU73)))</f>
        <v>1875.55764477293</v>
      </c>
      <c r="CW73" s="11" t="n">
        <f aca="false">IF(CW$1&lt;Units!$P72,0,IF(AND(Units!$K72=0,CW$1=Units!$O72),Units!$R72,IF(AND(CW$1&gt;=Units!$Q72,MOD(CW$1-Units!$Q72,12)=0),IF(AND(Units!$L72=1,CW$1=Units!$Q72),IF(Units!$J72&lt;&gt;"",Units!$J72,Mkt!CW73),Inputs!$B$15*Mkt!CW73+(1-Inputs!$B$15)*MIN(Mkt!CW73,CV73*(1+Inputs!$B$18))),CV73)))</f>
        <v>1875.55764477293</v>
      </c>
      <c r="CX73" s="11" t="n">
        <f aca="false">IF(CX$1&lt;Units!$P72,0,IF(AND(Units!$K72=0,CX$1=Units!$O72),Units!$R72,IF(AND(CX$1&gt;=Units!$Q72,MOD(CX$1-Units!$Q72,12)=0),IF(AND(Units!$L72=1,CX$1=Units!$Q72),IF(Units!$J72&lt;&gt;"",Units!$J72,Mkt!CX73),Inputs!$B$15*Mkt!CX73+(1-Inputs!$B$15)*MIN(Mkt!CX73,CW73*(1+Inputs!$B$18))),CW73)))</f>
        <v>1875.55764477293</v>
      </c>
      <c r="CY73" s="11" t="n">
        <f aca="false">IF(CY$1&lt;Units!$P72,0,IF(AND(Units!$K72=0,CY$1=Units!$O72),Units!$R72,IF(AND(CY$1&gt;=Units!$Q72,MOD(CY$1-Units!$Q72,12)=0),IF(AND(Units!$L72=1,CY$1=Units!$Q72),IF(Units!$J72&lt;&gt;"",Units!$J72,Mkt!CY73),Inputs!$B$15*Mkt!CY73+(1-Inputs!$B$15)*MIN(Mkt!CY73,CX73*(1+Inputs!$B$18))),CX73)))</f>
        <v>1875.55764477293</v>
      </c>
      <c r="CZ73" s="11" t="n">
        <f aca="false">IF(CZ$1&lt;Units!$P72,0,IF(AND(Units!$K72=0,CZ$1=Units!$O72),Units!$R72,IF(AND(CZ$1&gt;=Units!$Q72,MOD(CZ$1-Units!$Q72,12)=0),IF(AND(Units!$L72=1,CZ$1=Units!$Q72),IF(Units!$J72&lt;&gt;"",Units!$J72,Mkt!CZ73),Inputs!$B$15*Mkt!CZ73+(1-Inputs!$B$15)*MIN(Mkt!CZ73,CY73*(1+Inputs!$B$18))),CY73)))</f>
        <v>1875.55764477293</v>
      </c>
      <c r="DA73" s="11" t="n">
        <f aca="false">IF(DA$1&lt;Units!$P72,0,IF(AND(Units!$K72=0,DA$1=Units!$O72),Units!$R72,IF(AND(DA$1&gt;=Units!$Q72,MOD(DA$1-Units!$Q72,12)=0),IF(AND(Units!$L72=1,DA$1=Units!$Q72),IF(Units!$J72&lt;&gt;"",Units!$J72,Mkt!DA73),Inputs!$B$15*Mkt!DA73+(1-Inputs!$B$15)*MIN(Mkt!DA73,CZ73*(1+Inputs!$B$18))),CZ73)))</f>
        <v>1931.82437411612</v>
      </c>
      <c r="DB73" s="11" t="n">
        <f aca="false">IF(DB$1&lt;Units!$P72,0,IF(AND(Units!$K72=0,DB$1=Units!$O72),Units!$R72,IF(AND(DB$1&gt;=Units!$Q72,MOD(DB$1-Units!$Q72,12)=0),IF(AND(Units!$L72=1,DB$1=Units!$Q72),IF(Units!$J72&lt;&gt;"",Units!$J72,Mkt!DB73),Inputs!$B$15*Mkt!DB73+(1-Inputs!$B$15)*MIN(Mkt!DB73,DA73*(1+Inputs!$B$18))),DA73)))</f>
        <v>1931.82437411612</v>
      </c>
      <c r="DC73" s="11" t="n">
        <f aca="false">IF(DC$1&lt;Units!$P72,0,IF(AND(Units!$K72=0,DC$1=Units!$O72),Units!$R72,IF(AND(DC$1&gt;=Units!$Q72,MOD(DC$1-Units!$Q72,12)=0),IF(AND(Units!$L72=1,DC$1=Units!$Q72),IF(Units!$J72&lt;&gt;"",Units!$J72,Mkt!DC73),Inputs!$B$15*Mkt!DC73+(1-Inputs!$B$15)*MIN(Mkt!DC73,DB73*(1+Inputs!$B$18))),DB73)))</f>
        <v>1931.82437411612</v>
      </c>
      <c r="DD73" s="11" t="n">
        <f aca="false">IF(DD$1&lt;Units!$P72,0,IF(AND(Units!$K72=0,DD$1=Units!$O72),Units!$R72,IF(AND(DD$1&gt;=Units!$Q72,MOD(DD$1-Units!$Q72,12)=0),IF(AND(Units!$L72=1,DD$1=Units!$Q72),IF(Units!$J72&lt;&gt;"",Units!$J72,Mkt!DD73),Inputs!$B$15*Mkt!DD73+(1-Inputs!$B$15)*MIN(Mkt!DD73,DC73*(1+Inputs!$B$18))),DC73)))</f>
        <v>1931.82437411612</v>
      </c>
      <c r="DE73" s="11" t="n">
        <f aca="false">IF(DE$1&lt;Units!$P72,0,IF(AND(Units!$K72=0,DE$1=Units!$O72),Units!$R72,IF(AND(DE$1&gt;=Units!$Q72,MOD(DE$1-Units!$Q72,12)=0),IF(AND(Units!$L72=1,DE$1=Units!$Q72),IF(Units!$J72&lt;&gt;"",Units!$J72,Mkt!DE73),Inputs!$B$15*Mkt!DE73+(1-Inputs!$B$15)*MIN(Mkt!DE73,DD73*(1+Inputs!$B$18))),DD73)))</f>
        <v>1931.82437411612</v>
      </c>
      <c r="DF73" s="11" t="n">
        <f aca="false">IF(DF$1&lt;Units!$P72,0,IF(AND(Units!$K72=0,DF$1=Units!$O72),Units!$R72,IF(AND(DF$1&gt;=Units!$Q72,MOD(DF$1-Units!$Q72,12)=0),IF(AND(Units!$L72=1,DF$1=Units!$Q72),IF(Units!$J72&lt;&gt;"",Units!$J72,Mkt!DF73),Inputs!$B$15*Mkt!DF73+(1-Inputs!$B$15)*MIN(Mkt!DF73,DE73*(1+Inputs!$B$18))),DE73)))</f>
        <v>1931.82437411612</v>
      </c>
      <c r="DG73" s="11" t="n">
        <f aca="false">IF(DG$1&lt;Units!$P72,0,IF(AND(Units!$K72=0,DG$1=Units!$O72),Units!$R72,IF(AND(DG$1&gt;=Units!$Q72,MOD(DG$1-Units!$Q72,12)=0),IF(AND(Units!$L72=1,DG$1=Units!$Q72),IF(Units!$J72&lt;&gt;"",Units!$J72,Mkt!DG73),Inputs!$B$15*Mkt!DG73+(1-Inputs!$B$15)*MIN(Mkt!DG73,DF73*(1+Inputs!$B$18))),DF73)))</f>
        <v>1931.82437411612</v>
      </c>
      <c r="DH73" s="11" t="n">
        <f aca="false">IF(DH$1&lt;Units!$P72,0,IF(AND(Units!$K72=0,DH$1=Units!$O72),Units!$R72,IF(AND(DH$1&gt;=Units!$Q72,MOD(DH$1-Units!$Q72,12)=0),IF(AND(Units!$L72=1,DH$1=Units!$Q72),IF(Units!$J72&lt;&gt;"",Units!$J72,Mkt!DH73),Inputs!$B$15*Mkt!DH73+(1-Inputs!$B$15)*MIN(Mkt!DH73,DG73*(1+Inputs!$B$18))),DG73)))</f>
        <v>1931.82437411612</v>
      </c>
      <c r="DI73" s="11" t="n">
        <f aca="false">IF(DI$1&lt;Units!$P72,0,IF(AND(Units!$K72=0,DI$1=Units!$O72),Units!$R72,IF(AND(DI$1&gt;=Units!$Q72,MOD(DI$1-Units!$Q72,12)=0),IF(AND(Units!$L72=1,DI$1=Units!$Q72),IF(Units!$J72&lt;&gt;"",Units!$J72,Mkt!DI73),Inputs!$B$15*Mkt!DI73+(1-Inputs!$B$15)*MIN(Mkt!DI73,DH73*(1+Inputs!$B$18))),DH73)))</f>
        <v>1931.82437411612</v>
      </c>
      <c r="DJ73" s="11" t="n">
        <f aca="false">IF(DJ$1&lt;Units!$P72,0,IF(AND(Units!$K72=0,DJ$1=Units!$O72),Units!$R72,IF(AND(DJ$1&gt;=Units!$Q72,MOD(DJ$1-Units!$Q72,12)=0),IF(AND(Units!$L72=1,DJ$1=Units!$Q72),IF(Units!$J72&lt;&gt;"",Units!$J72,Mkt!DJ73),Inputs!$B$15*Mkt!DJ73+(1-Inputs!$B$15)*MIN(Mkt!DJ73,DI73*(1+Inputs!$B$18))),DI73)))</f>
        <v>1931.82437411612</v>
      </c>
      <c r="DK73" s="11" t="n">
        <f aca="false">IF(DK$1&lt;Units!$P72,0,IF(AND(Units!$K72=0,DK$1=Units!$O72),Units!$R72,IF(AND(DK$1&gt;=Units!$Q72,MOD(DK$1-Units!$Q72,12)=0),IF(AND(Units!$L72=1,DK$1=Units!$Q72),IF(Units!$J72&lt;&gt;"",Units!$J72,Mkt!DK73),Inputs!$B$15*Mkt!DK73+(1-Inputs!$B$15)*MIN(Mkt!DK73,DJ73*(1+Inputs!$B$18))),DJ73)))</f>
        <v>1931.82437411612</v>
      </c>
      <c r="DL73" s="11" t="n">
        <f aca="false">IF(DL$1&lt;Units!$P72,0,IF(AND(Units!$K72=0,DL$1=Units!$O72),Units!$R72,IF(AND(DL$1&gt;=Units!$Q72,MOD(DL$1-Units!$Q72,12)=0),IF(AND(Units!$L72=1,DL$1=Units!$Q72),IF(Units!$J72&lt;&gt;"",Units!$J72,Mkt!DL73),Inputs!$B$15*Mkt!DL73+(1-Inputs!$B$15)*MIN(Mkt!DL73,DK73*(1+Inputs!$B$18))),DK73)))</f>
        <v>1931.82437411612</v>
      </c>
      <c r="DM73" s="11" t="n">
        <f aca="false">IF(DM$1&lt;Units!$P72,0,IF(AND(Units!$K72=0,DM$1=Units!$O72),Units!$R72,IF(AND(DM$1&gt;=Units!$Q72,MOD(DM$1-Units!$Q72,12)=0),IF(AND(Units!$L72=1,DM$1=Units!$Q72),IF(Units!$J72&lt;&gt;"",Units!$J72,Mkt!DM73),Inputs!$B$15*Mkt!DM73+(1-Inputs!$B$15)*MIN(Mkt!DM73,DL73*(1+Inputs!$B$18))),DL73)))</f>
        <v>1989.7791053396</v>
      </c>
      <c r="DN73" s="11" t="n">
        <f aca="false">IF(DN$1&lt;Units!$P72,0,IF(AND(Units!$K72=0,DN$1=Units!$O72),Units!$R72,IF(AND(DN$1&gt;=Units!$Q72,MOD(DN$1-Units!$Q72,12)=0),IF(AND(Units!$L72=1,DN$1=Units!$Q72),IF(Units!$J72&lt;&gt;"",Units!$J72,Mkt!DN73),Inputs!$B$15*Mkt!DN73+(1-Inputs!$B$15)*MIN(Mkt!DN73,DM73*(1+Inputs!$B$18))),DM73)))</f>
        <v>1989.7791053396</v>
      </c>
      <c r="DO73" s="11" t="n">
        <f aca="false">IF(DO$1&lt;Units!$P72,0,IF(AND(Units!$K72=0,DO$1=Units!$O72),Units!$R72,IF(AND(DO$1&gt;=Units!$Q72,MOD(DO$1-Units!$Q72,12)=0),IF(AND(Units!$L72=1,DO$1=Units!$Q72),IF(Units!$J72&lt;&gt;"",Units!$J72,Mkt!DO73),Inputs!$B$15*Mkt!DO73+(1-Inputs!$B$15)*MIN(Mkt!DO73,DN73*(1+Inputs!$B$18))),DN73)))</f>
        <v>1989.7791053396</v>
      </c>
      <c r="DP73" s="11" t="n">
        <f aca="false">IF(DP$1&lt;Units!$P72,0,IF(AND(Units!$K72=0,DP$1=Units!$O72),Units!$R72,IF(AND(DP$1&gt;=Units!$Q72,MOD(DP$1-Units!$Q72,12)=0),IF(AND(Units!$L72=1,DP$1=Units!$Q72),IF(Units!$J72&lt;&gt;"",Units!$J72,Mkt!DP73),Inputs!$B$15*Mkt!DP73+(1-Inputs!$B$15)*MIN(Mkt!DP73,DO73*(1+Inputs!$B$18))),DO73)))</f>
        <v>1989.7791053396</v>
      </c>
      <c r="DQ73" s="11" t="n">
        <f aca="false">IF(DQ$1&lt;Units!$P72,0,IF(AND(Units!$K72=0,DQ$1=Units!$O72),Units!$R72,IF(AND(DQ$1&gt;=Units!$Q72,MOD(DQ$1-Units!$Q72,12)=0),IF(AND(Units!$L72=1,DQ$1=Units!$Q72),IF(Units!$J72&lt;&gt;"",Units!$J72,Mkt!DQ73),Inputs!$B$15*Mkt!DQ73+(1-Inputs!$B$15)*MIN(Mkt!DQ73,DP73*(1+Inputs!$B$18))),DP73)))</f>
        <v>1989.7791053396</v>
      </c>
      <c r="DR73" s="11" t="n">
        <f aca="false">IF(DR$1&lt;Units!$P72,0,IF(AND(Units!$K72=0,DR$1=Units!$O72),Units!$R72,IF(AND(DR$1&gt;=Units!$Q72,MOD(DR$1-Units!$Q72,12)=0),IF(AND(Units!$L72=1,DR$1=Units!$Q72),IF(Units!$J72&lt;&gt;"",Units!$J72,Mkt!DR73),Inputs!$B$15*Mkt!DR73+(1-Inputs!$B$15)*MIN(Mkt!DR73,DQ73*(1+Inputs!$B$18))),DQ73)))</f>
        <v>1989.7791053396</v>
      </c>
      <c r="DS73" s="11" t="n">
        <f aca="false">IF(DS$1&lt;Units!$P72,0,IF(AND(Units!$K72=0,DS$1=Units!$O72),Units!$R72,IF(AND(DS$1&gt;=Units!$Q72,MOD(DS$1-Units!$Q72,12)=0),IF(AND(Units!$L72=1,DS$1=Units!$Q72),IF(Units!$J72&lt;&gt;"",Units!$J72,Mkt!DS73),Inputs!$B$15*Mkt!DS73+(1-Inputs!$B$15)*MIN(Mkt!DS73,DR73*(1+Inputs!$B$18))),DR73)))</f>
        <v>1989.7791053396</v>
      </c>
      <c r="DT73" s="11" t="n">
        <f aca="false">IF(DT$1&lt;Units!$P72,0,IF(AND(Units!$K72=0,DT$1=Units!$O72),Units!$R72,IF(AND(DT$1&gt;=Units!$Q72,MOD(DT$1-Units!$Q72,12)=0),IF(AND(Units!$L72=1,DT$1=Units!$Q72),IF(Units!$J72&lt;&gt;"",Units!$J72,Mkt!DT73),Inputs!$B$15*Mkt!DT73+(1-Inputs!$B$15)*MIN(Mkt!DT73,DS73*(1+Inputs!$B$18))),DS73)))</f>
        <v>1989.7791053396</v>
      </c>
      <c r="DU73" s="11" t="n">
        <f aca="false">IF(DU$1&lt;Units!$P72,0,IF(AND(Units!$K72=0,DU$1=Units!$O72),Units!$R72,IF(AND(DU$1&gt;=Units!$Q72,MOD(DU$1-Units!$Q72,12)=0),IF(AND(Units!$L72=1,DU$1=Units!$Q72),IF(Units!$J72&lt;&gt;"",Units!$J72,Mkt!DU73),Inputs!$B$15*Mkt!DU73+(1-Inputs!$B$15)*MIN(Mkt!DU73,DT73*(1+Inputs!$B$18))),DT73)))</f>
        <v>1989.7791053396</v>
      </c>
      <c r="DV73" s="11" t="n">
        <f aca="false">IF(DV$1&lt;Units!$P72,0,IF(AND(Units!$K72=0,DV$1=Units!$O72),Units!$R72,IF(AND(DV$1&gt;=Units!$Q72,MOD(DV$1-Units!$Q72,12)=0),IF(AND(Units!$L72=1,DV$1=Units!$Q72),IF(Units!$J72&lt;&gt;"",Units!$J72,Mkt!DV73),Inputs!$B$15*Mkt!DV73+(1-Inputs!$B$15)*MIN(Mkt!DV73,DU73*(1+Inputs!$B$18))),DU73)))</f>
        <v>1989.7791053396</v>
      </c>
      <c r="DW73" s="11" t="n">
        <f aca="false">IF(DW$1&lt;Units!$P72,0,IF(AND(Units!$K72=0,DW$1=Units!$O72),Units!$R72,IF(AND(DW$1&gt;=Units!$Q72,MOD(DW$1-Units!$Q72,12)=0),IF(AND(Units!$L72=1,DW$1=Units!$Q72),IF(Units!$J72&lt;&gt;"",Units!$J72,Mkt!DW73),Inputs!$B$15*Mkt!DW73+(1-Inputs!$B$15)*MIN(Mkt!DW73,DV73*(1+Inputs!$B$18))),DV73)))</f>
        <v>1989.7791053396</v>
      </c>
      <c r="DX73" s="11" t="n">
        <f aca="false">IF(DX$1&lt;Units!$P72,0,IF(AND(Units!$K72=0,DX$1=Units!$O72),Units!$R72,IF(AND(DX$1&gt;=Units!$Q72,MOD(DX$1-Units!$Q72,12)=0),IF(AND(Units!$L72=1,DX$1=Units!$Q72),IF(Units!$J72&lt;&gt;"",Units!$J72,Mkt!DX73),Inputs!$B$15*Mkt!DX73+(1-Inputs!$B$15)*MIN(Mkt!DX73,DW73*(1+Inputs!$B$18))),DW73)))</f>
        <v>1989.7791053396</v>
      </c>
      <c r="DY73" s="11" t="n">
        <f aca="false">IF(DY$1&lt;Units!$P72,0,IF(AND(Units!$K72=0,DY$1=Units!$O72),Units!$R72,IF(AND(DY$1&gt;=Units!$Q72,MOD(DY$1-Units!$Q72,12)=0),IF(AND(Units!$L72=1,DY$1=Units!$Q72),IF(Units!$J72&lt;&gt;"",Units!$J72,Mkt!DY73),Inputs!$B$15*Mkt!DY73+(1-Inputs!$B$15)*MIN(Mkt!DY73,DX73*(1+Inputs!$B$18))),DX73)))</f>
        <v>2049.47247849979</v>
      </c>
      <c r="DZ73" s="11" t="n">
        <f aca="false">IF(DZ$1&lt;Units!$P72,0,IF(AND(Units!$K72=0,DZ$1=Units!$O72),Units!$R72,IF(AND(DZ$1&gt;=Units!$Q72,MOD(DZ$1-Units!$Q72,12)=0),IF(AND(Units!$L72=1,DZ$1=Units!$Q72),IF(Units!$J72&lt;&gt;"",Units!$J72,Mkt!DZ73),Inputs!$B$15*Mkt!DZ73+(1-Inputs!$B$15)*MIN(Mkt!DZ73,DY73*(1+Inputs!$B$18))),DY73)))</f>
        <v>2049.47247849979</v>
      </c>
      <c r="EA73" s="11" t="n">
        <f aca="false">IF(EA$1&lt;Units!$P72,0,IF(AND(Units!$K72=0,EA$1=Units!$O72),Units!$R72,IF(AND(EA$1&gt;=Units!$Q72,MOD(EA$1-Units!$Q72,12)=0),IF(AND(Units!$L72=1,EA$1=Units!$Q72),IF(Units!$J72&lt;&gt;"",Units!$J72,Mkt!EA73),Inputs!$B$15*Mkt!EA73+(1-Inputs!$B$15)*MIN(Mkt!EA73,DZ73*(1+Inputs!$B$18))),DZ73)))</f>
        <v>2049.47247849979</v>
      </c>
      <c r="EB73" s="11" t="n">
        <f aca="false">IF(EB$1&lt;Units!$P72,0,IF(AND(Units!$K72=0,EB$1=Units!$O72),Units!$R72,IF(AND(EB$1&gt;=Units!$Q72,MOD(EB$1-Units!$Q72,12)=0),IF(AND(Units!$L72=1,EB$1=Units!$Q72),IF(Units!$J72&lt;&gt;"",Units!$J72,Mkt!EB73),Inputs!$B$15*Mkt!EB73+(1-Inputs!$B$15)*MIN(Mkt!EB73,EA73*(1+Inputs!$B$18))),EA73)))</f>
        <v>2049.47247849979</v>
      </c>
      <c r="EC73" s="11" t="n">
        <f aca="false">IF(EC$1&lt;Units!$P72,0,IF(AND(Units!$K72=0,EC$1=Units!$O72),Units!$R72,IF(AND(EC$1&gt;=Units!$Q72,MOD(EC$1-Units!$Q72,12)=0),IF(AND(Units!$L72=1,EC$1=Units!$Q72),IF(Units!$J72&lt;&gt;"",Units!$J72,Mkt!EC73),Inputs!$B$15*Mkt!EC73+(1-Inputs!$B$15)*MIN(Mkt!EC73,EB73*(1+Inputs!$B$18))),EB73)))</f>
        <v>2049.47247849979</v>
      </c>
      <c r="ED73" s="11" t="n">
        <f aca="false">IF(ED$1&lt;Units!$P72,0,IF(AND(Units!$K72=0,ED$1=Units!$O72),Units!$R72,IF(AND(ED$1&gt;=Units!$Q72,MOD(ED$1-Units!$Q72,12)=0),IF(AND(Units!$L72=1,ED$1=Units!$Q72),IF(Units!$J72&lt;&gt;"",Units!$J72,Mkt!ED73),Inputs!$B$15*Mkt!ED73+(1-Inputs!$B$15)*MIN(Mkt!ED73,EC73*(1+Inputs!$B$18))),EC73)))</f>
        <v>2049.47247849979</v>
      </c>
    </row>
    <row r="74" customFormat="false" ht="15" hidden="false" customHeight="false" outlineLevel="0" collapsed="false">
      <c r="A74" s="22" t="n">
        <f aca="false">Units!A73</f>
        <v>312</v>
      </c>
      <c r="B74" s="24" t="n">
        <f aca="false">IF(Units!K73=1,Units!F73,0)</f>
        <v>1485</v>
      </c>
      <c r="C74" s="11" t="n">
        <f aca="false">IF(C$1&lt;Units!$P73,0,IF(AND(Units!$K73=0,C$1=Units!$O73),Units!$R73,IF(AND(C$1&gt;=Units!$Q73,MOD(C$1-Units!$Q73,12)=0),IF(AND(Units!$L73=1,C$1=Units!$Q73),IF(Units!$J73&lt;&gt;"",Units!$J73,Mkt!C74),Inputs!$B$15*Mkt!C74+(1-Inputs!$B$15)*MIN(Mkt!C74,B74*(1+Inputs!$B$18))),B74)))</f>
        <v>1485</v>
      </c>
      <c r="D74" s="11" t="n">
        <f aca="false">IF(D$1&lt;Units!$P73,0,IF(AND(Units!$K73=0,D$1=Units!$O73),Units!$R73,IF(AND(D$1&gt;=Units!$Q73,MOD(D$1-Units!$Q73,12)=0),IF(AND(Units!$L73=1,D$1=Units!$Q73),IF(Units!$J73&lt;&gt;"",Units!$J73,Mkt!D74),Inputs!$B$15*Mkt!D74+(1-Inputs!$B$15)*MIN(Mkt!D74,C74*(1+Inputs!$B$18))),C74)))</f>
        <v>1485</v>
      </c>
      <c r="E74" s="11" t="n">
        <f aca="false">IF(E$1&lt;Units!$P73,0,IF(AND(Units!$K73=0,E$1=Units!$O73),Units!$R73,IF(AND(E$1&gt;=Units!$Q73,MOD(E$1-Units!$Q73,12)=0),IF(AND(Units!$L73=1,E$1=Units!$Q73),IF(Units!$J73&lt;&gt;"",Units!$J73,Mkt!E74),Inputs!$B$15*Mkt!E74+(1-Inputs!$B$15)*MIN(Mkt!E74,D74*(1+Inputs!$B$18))),D74)))</f>
        <v>1485</v>
      </c>
      <c r="F74" s="11" t="n">
        <f aca="false">IF(F$1&lt;Units!$P73,0,IF(AND(Units!$K73=0,F$1=Units!$O73),Units!$R73,IF(AND(F$1&gt;=Units!$Q73,MOD(F$1-Units!$Q73,12)=0),IF(AND(Units!$L73=1,F$1=Units!$Q73),IF(Units!$J73&lt;&gt;"",Units!$J73,Mkt!F74),Inputs!$B$15*Mkt!F74+(1-Inputs!$B$15)*MIN(Mkt!F74,E74*(1+Inputs!$B$18))),E74)))</f>
        <v>1525</v>
      </c>
      <c r="G74" s="11" t="n">
        <f aca="false">IF(G$1&lt;Units!$P73,0,IF(AND(Units!$K73=0,G$1=Units!$O73),Units!$R73,IF(AND(G$1&gt;=Units!$Q73,MOD(G$1-Units!$Q73,12)=0),IF(AND(Units!$L73=1,G$1=Units!$Q73),IF(Units!$J73&lt;&gt;"",Units!$J73,Mkt!G74),Inputs!$B$15*Mkt!G74+(1-Inputs!$B$15)*MIN(Mkt!G74,F74*(1+Inputs!$B$18))),F74)))</f>
        <v>1525</v>
      </c>
      <c r="H74" s="11" t="n">
        <f aca="false">IF(H$1&lt;Units!$P73,0,IF(AND(Units!$K73=0,H$1=Units!$O73),Units!$R73,IF(AND(H$1&gt;=Units!$Q73,MOD(H$1-Units!$Q73,12)=0),IF(AND(Units!$L73=1,H$1=Units!$Q73),IF(Units!$J73&lt;&gt;"",Units!$J73,Mkt!H74),Inputs!$B$15*Mkt!H74+(1-Inputs!$B$15)*MIN(Mkt!H74,G74*(1+Inputs!$B$18))),G74)))</f>
        <v>1525</v>
      </c>
      <c r="I74" s="11" t="n">
        <f aca="false">IF(I$1&lt;Units!$P73,0,IF(AND(Units!$K73=0,I$1=Units!$O73),Units!$R73,IF(AND(I$1&gt;=Units!$Q73,MOD(I$1-Units!$Q73,12)=0),IF(AND(Units!$L73=1,I$1=Units!$Q73),IF(Units!$J73&lt;&gt;"",Units!$J73,Mkt!I74),Inputs!$B$15*Mkt!I74+(1-Inputs!$B$15)*MIN(Mkt!I74,H74*(1+Inputs!$B$18))),H74)))</f>
        <v>1525</v>
      </c>
      <c r="J74" s="11" t="n">
        <f aca="false">IF(J$1&lt;Units!$P73,0,IF(AND(Units!$K73=0,J$1=Units!$O73),Units!$R73,IF(AND(J$1&gt;=Units!$Q73,MOD(J$1-Units!$Q73,12)=0),IF(AND(Units!$L73=1,J$1=Units!$Q73),IF(Units!$J73&lt;&gt;"",Units!$J73,Mkt!J74),Inputs!$B$15*Mkt!J74+(1-Inputs!$B$15)*MIN(Mkt!J74,I74*(1+Inputs!$B$18))),I74)))</f>
        <v>1525</v>
      </c>
      <c r="K74" s="11" t="n">
        <f aca="false">IF(K$1&lt;Units!$P73,0,IF(AND(Units!$K73=0,K$1=Units!$O73),Units!$R73,IF(AND(K$1&gt;=Units!$Q73,MOD(K$1-Units!$Q73,12)=0),IF(AND(Units!$L73=1,K$1=Units!$Q73),IF(Units!$J73&lt;&gt;"",Units!$J73,Mkt!K74),Inputs!$B$15*Mkt!K74+(1-Inputs!$B$15)*MIN(Mkt!K74,J74*(1+Inputs!$B$18))),J74)))</f>
        <v>1525</v>
      </c>
      <c r="L74" s="11" t="n">
        <f aca="false">IF(L$1&lt;Units!$P73,0,IF(AND(Units!$K73=0,L$1=Units!$O73),Units!$R73,IF(AND(L$1&gt;=Units!$Q73,MOD(L$1-Units!$Q73,12)=0),IF(AND(Units!$L73=1,L$1=Units!$Q73),IF(Units!$J73&lt;&gt;"",Units!$J73,Mkt!L74),Inputs!$B$15*Mkt!L74+(1-Inputs!$B$15)*MIN(Mkt!L74,K74*(1+Inputs!$B$18))),K74)))</f>
        <v>1525</v>
      </c>
      <c r="M74" s="11" t="n">
        <f aca="false">IF(M$1&lt;Units!$P73,0,IF(AND(Units!$K73=0,M$1=Units!$O73),Units!$R73,IF(AND(M$1&gt;=Units!$Q73,MOD(M$1-Units!$Q73,12)=0),IF(AND(Units!$L73=1,M$1=Units!$Q73),IF(Units!$J73&lt;&gt;"",Units!$J73,Mkt!M74),Inputs!$B$15*Mkt!M74+(1-Inputs!$B$15)*MIN(Mkt!M74,L74*(1+Inputs!$B$18))),L74)))</f>
        <v>1525</v>
      </c>
      <c r="N74" s="11" t="n">
        <f aca="false">IF(N$1&lt;Units!$P73,0,IF(AND(Units!$K73=0,N$1=Units!$O73),Units!$R73,IF(AND(N$1&gt;=Units!$Q73,MOD(N$1-Units!$Q73,12)=0),IF(AND(Units!$L73=1,N$1=Units!$Q73),IF(Units!$J73&lt;&gt;"",Units!$J73,Mkt!N74),Inputs!$B$15*Mkt!N74+(1-Inputs!$B$15)*MIN(Mkt!N74,M74*(1+Inputs!$B$18))),M74)))</f>
        <v>1525</v>
      </c>
      <c r="O74" s="11" t="n">
        <f aca="false">IF(O$1&lt;Units!$P73,0,IF(AND(Units!$K73=0,O$1=Units!$O73),Units!$R73,IF(AND(O$1&gt;=Units!$Q73,MOD(O$1-Units!$Q73,12)=0),IF(AND(Units!$L73=1,O$1=Units!$Q73),IF(Units!$J73&lt;&gt;"",Units!$J73,Mkt!O74),Inputs!$B$15*Mkt!O74+(1-Inputs!$B$15)*MIN(Mkt!O74,N74*(1+Inputs!$B$18))),N74)))</f>
        <v>1525</v>
      </c>
      <c r="P74" s="11" t="n">
        <f aca="false">IF(P$1&lt;Units!$P73,0,IF(AND(Units!$K73=0,P$1=Units!$O73),Units!$R73,IF(AND(P$1&gt;=Units!$Q73,MOD(P$1-Units!$Q73,12)=0),IF(AND(Units!$L73=1,P$1=Units!$Q73),IF(Units!$J73&lt;&gt;"",Units!$J73,Mkt!P74),Inputs!$B$15*Mkt!P74+(1-Inputs!$B$15)*MIN(Mkt!P74,O74*(1+Inputs!$B$18))),O74)))</f>
        <v>1525</v>
      </c>
      <c r="Q74" s="11" t="n">
        <f aca="false">IF(Q$1&lt;Units!$P73,0,IF(AND(Units!$K73=0,Q$1=Units!$O73),Units!$R73,IF(AND(Q$1&gt;=Units!$Q73,MOD(Q$1-Units!$Q73,12)=0),IF(AND(Units!$L73=1,Q$1=Units!$Q73),IF(Units!$J73&lt;&gt;"",Units!$J73,Mkt!Q74),Inputs!$B$15*Mkt!Q74+(1-Inputs!$B$15)*MIN(Mkt!Q74,P74*(1+Inputs!$B$18))),P74)))</f>
        <v>1525</v>
      </c>
      <c r="R74" s="11" t="n">
        <f aca="false">IF(R$1&lt;Units!$P73,0,IF(AND(Units!$K73=0,R$1=Units!$O73),Units!$R73,IF(AND(R$1&gt;=Units!$Q73,MOD(R$1-Units!$Q73,12)=0),IF(AND(Units!$L73=1,R$1=Units!$Q73),IF(Units!$J73&lt;&gt;"",Units!$J73,Mkt!R74),Inputs!$B$15*Mkt!R74+(1-Inputs!$B$15)*MIN(Mkt!R74,Q74*(1+Inputs!$B$18))),Q74)))</f>
        <v>1570.75</v>
      </c>
      <c r="S74" s="11" t="n">
        <f aca="false">IF(S$1&lt;Units!$P73,0,IF(AND(Units!$K73=0,S$1=Units!$O73),Units!$R73,IF(AND(S$1&gt;=Units!$Q73,MOD(S$1-Units!$Q73,12)=0),IF(AND(Units!$L73=1,S$1=Units!$Q73),IF(Units!$J73&lt;&gt;"",Units!$J73,Mkt!S74),Inputs!$B$15*Mkt!S74+(1-Inputs!$B$15)*MIN(Mkt!S74,R74*(1+Inputs!$B$18))),R74)))</f>
        <v>1570.75</v>
      </c>
      <c r="T74" s="11" t="n">
        <f aca="false">IF(T$1&lt;Units!$P73,0,IF(AND(Units!$K73=0,T$1=Units!$O73),Units!$R73,IF(AND(T$1&gt;=Units!$Q73,MOD(T$1-Units!$Q73,12)=0),IF(AND(Units!$L73=1,T$1=Units!$Q73),IF(Units!$J73&lt;&gt;"",Units!$J73,Mkt!T74),Inputs!$B$15*Mkt!T74+(1-Inputs!$B$15)*MIN(Mkt!T74,S74*(1+Inputs!$B$18))),S74)))</f>
        <v>1570.75</v>
      </c>
      <c r="U74" s="11" t="n">
        <f aca="false">IF(U$1&lt;Units!$P73,0,IF(AND(Units!$K73=0,U$1=Units!$O73),Units!$R73,IF(AND(U$1&gt;=Units!$Q73,MOD(U$1-Units!$Q73,12)=0),IF(AND(Units!$L73=1,U$1=Units!$Q73),IF(Units!$J73&lt;&gt;"",Units!$J73,Mkt!U74),Inputs!$B$15*Mkt!U74+(1-Inputs!$B$15)*MIN(Mkt!U74,T74*(1+Inputs!$B$18))),T74)))</f>
        <v>1570.75</v>
      </c>
      <c r="V74" s="11" t="n">
        <f aca="false">IF(V$1&lt;Units!$P73,0,IF(AND(Units!$K73=0,V$1=Units!$O73),Units!$R73,IF(AND(V$1&gt;=Units!$Q73,MOD(V$1-Units!$Q73,12)=0),IF(AND(Units!$L73=1,V$1=Units!$Q73),IF(Units!$J73&lt;&gt;"",Units!$J73,Mkt!V74),Inputs!$B$15*Mkt!V74+(1-Inputs!$B$15)*MIN(Mkt!V74,U74*(1+Inputs!$B$18))),U74)))</f>
        <v>1570.75</v>
      </c>
      <c r="W74" s="11" t="n">
        <f aca="false">IF(W$1&lt;Units!$P73,0,IF(AND(Units!$K73=0,W$1=Units!$O73),Units!$R73,IF(AND(W$1&gt;=Units!$Q73,MOD(W$1-Units!$Q73,12)=0),IF(AND(Units!$L73=1,W$1=Units!$Q73),IF(Units!$J73&lt;&gt;"",Units!$J73,Mkt!W74),Inputs!$B$15*Mkt!W74+(1-Inputs!$B$15)*MIN(Mkt!W74,V74*(1+Inputs!$B$18))),V74)))</f>
        <v>1570.75</v>
      </c>
      <c r="X74" s="11" t="n">
        <f aca="false">IF(X$1&lt;Units!$P73,0,IF(AND(Units!$K73=0,X$1=Units!$O73),Units!$R73,IF(AND(X$1&gt;=Units!$Q73,MOD(X$1-Units!$Q73,12)=0),IF(AND(Units!$L73=1,X$1=Units!$Q73),IF(Units!$J73&lt;&gt;"",Units!$J73,Mkt!X74),Inputs!$B$15*Mkt!X74+(1-Inputs!$B$15)*MIN(Mkt!X74,W74*(1+Inputs!$B$18))),W74)))</f>
        <v>1570.75</v>
      </c>
      <c r="Y74" s="11" t="n">
        <f aca="false">IF(Y$1&lt;Units!$P73,0,IF(AND(Units!$K73=0,Y$1=Units!$O73),Units!$R73,IF(AND(Y$1&gt;=Units!$Q73,MOD(Y$1-Units!$Q73,12)=0),IF(AND(Units!$L73=1,Y$1=Units!$Q73),IF(Units!$J73&lt;&gt;"",Units!$J73,Mkt!Y74),Inputs!$B$15*Mkt!Y74+(1-Inputs!$B$15)*MIN(Mkt!Y74,X74*(1+Inputs!$B$18))),X74)))</f>
        <v>1570.75</v>
      </c>
      <c r="Z74" s="11" t="n">
        <f aca="false">IF(Z$1&lt;Units!$P73,0,IF(AND(Units!$K73=0,Z$1=Units!$O73),Units!$R73,IF(AND(Z$1&gt;=Units!$Q73,MOD(Z$1-Units!$Q73,12)=0),IF(AND(Units!$L73=1,Z$1=Units!$Q73),IF(Units!$J73&lt;&gt;"",Units!$J73,Mkt!Z74),Inputs!$B$15*Mkt!Z74+(1-Inputs!$B$15)*MIN(Mkt!Z74,Y74*(1+Inputs!$B$18))),Y74)))</f>
        <v>1570.75</v>
      </c>
      <c r="AA74" s="11" t="n">
        <f aca="false">IF(AA$1&lt;Units!$P73,0,IF(AND(Units!$K73=0,AA$1=Units!$O73),Units!$R73,IF(AND(AA$1&gt;=Units!$Q73,MOD(AA$1-Units!$Q73,12)=0),IF(AND(Units!$L73=1,AA$1=Units!$Q73),IF(Units!$J73&lt;&gt;"",Units!$J73,Mkt!AA74),Inputs!$B$15*Mkt!AA74+(1-Inputs!$B$15)*MIN(Mkt!AA74,Z74*(1+Inputs!$B$18))),Z74)))</f>
        <v>1570.75</v>
      </c>
      <c r="AB74" s="11" t="n">
        <f aca="false">IF(AB$1&lt;Units!$P73,0,IF(AND(Units!$K73=0,AB$1=Units!$O73),Units!$R73,IF(AND(AB$1&gt;=Units!$Q73,MOD(AB$1-Units!$Q73,12)=0),IF(AND(Units!$L73=1,AB$1=Units!$Q73),IF(Units!$J73&lt;&gt;"",Units!$J73,Mkt!AB74),Inputs!$B$15*Mkt!AB74+(1-Inputs!$B$15)*MIN(Mkt!AB74,AA74*(1+Inputs!$B$18))),AA74)))</f>
        <v>1570.75</v>
      </c>
      <c r="AC74" s="11" t="n">
        <f aca="false">IF(AC$1&lt;Units!$P73,0,IF(AND(Units!$K73=0,AC$1=Units!$O73),Units!$R73,IF(AND(AC$1&gt;=Units!$Q73,MOD(AC$1-Units!$Q73,12)=0),IF(AND(Units!$L73=1,AC$1=Units!$Q73),IF(Units!$J73&lt;&gt;"",Units!$J73,Mkt!AC74),Inputs!$B$15*Mkt!AC74+(1-Inputs!$B$15)*MIN(Mkt!AC74,AB74*(1+Inputs!$B$18))),AB74)))</f>
        <v>1570.75</v>
      </c>
      <c r="AD74" s="11" t="n">
        <f aca="false">IF(AD$1&lt;Units!$P73,0,IF(AND(Units!$K73=0,AD$1=Units!$O73),Units!$R73,IF(AND(AD$1&gt;=Units!$Q73,MOD(AD$1-Units!$Q73,12)=0),IF(AND(Units!$L73=1,AD$1=Units!$Q73),IF(Units!$J73&lt;&gt;"",Units!$J73,Mkt!AD74),Inputs!$B$15*Mkt!AD74+(1-Inputs!$B$15)*MIN(Mkt!AD74,AC74*(1+Inputs!$B$18))),AC74)))</f>
        <v>1617.8725</v>
      </c>
      <c r="AE74" s="11" t="n">
        <f aca="false">IF(AE$1&lt;Units!$P73,0,IF(AND(Units!$K73=0,AE$1=Units!$O73),Units!$R73,IF(AND(AE$1&gt;=Units!$Q73,MOD(AE$1-Units!$Q73,12)=0),IF(AND(Units!$L73=1,AE$1=Units!$Q73),IF(Units!$J73&lt;&gt;"",Units!$J73,Mkt!AE74),Inputs!$B$15*Mkt!AE74+(1-Inputs!$B$15)*MIN(Mkt!AE74,AD74*(1+Inputs!$B$18))),AD74)))</f>
        <v>1617.8725</v>
      </c>
      <c r="AF74" s="11" t="n">
        <f aca="false">IF(AF$1&lt;Units!$P73,0,IF(AND(Units!$K73=0,AF$1=Units!$O73),Units!$R73,IF(AND(AF$1&gt;=Units!$Q73,MOD(AF$1-Units!$Q73,12)=0),IF(AND(Units!$L73=1,AF$1=Units!$Q73),IF(Units!$J73&lt;&gt;"",Units!$J73,Mkt!AF74),Inputs!$B$15*Mkt!AF74+(1-Inputs!$B$15)*MIN(Mkt!AF74,AE74*(1+Inputs!$B$18))),AE74)))</f>
        <v>1617.8725</v>
      </c>
      <c r="AG74" s="11" t="n">
        <f aca="false">IF(AG$1&lt;Units!$P73,0,IF(AND(Units!$K73=0,AG$1=Units!$O73),Units!$R73,IF(AND(AG$1&gt;=Units!$Q73,MOD(AG$1-Units!$Q73,12)=0),IF(AND(Units!$L73=1,AG$1=Units!$Q73),IF(Units!$J73&lt;&gt;"",Units!$J73,Mkt!AG74),Inputs!$B$15*Mkt!AG74+(1-Inputs!$B$15)*MIN(Mkt!AG74,AF74*(1+Inputs!$B$18))),AF74)))</f>
        <v>1617.8725</v>
      </c>
      <c r="AH74" s="11" t="n">
        <f aca="false">IF(AH$1&lt;Units!$P73,0,IF(AND(Units!$K73=0,AH$1=Units!$O73),Units!$R73,IF(AND(AH$1&gt;=Units!$Q73,MOD(AH$1-Units!$Q73,12)=0),IF(AND(Units!$L73=1,AH$1=Units!$Q73),IF(Units!$J73&lt;&gt;"",Units!$J73,Mkt!AH74),Inputs!$B$15*Mkt!AH74+(1-Inputs!$B$15)*MIN(Mkt!AH74,AG74*(1+Inputs!$B$18))),AG74)))</f>
        <v>1617.8725</v>
      </c>
      <c r="AI74" s="11" t="n">
        <f aca="false">IF(AI$1&lt;Units!$P73,0,IF(AND(Units!$K73=0,AI$1=Units!$O73),Units!$R73,IF(AND(AI$1&gt;=Units!$Q73,MOD(AI$1-Units!$Q73,12)=0),IF(AND(Units!$L73=1,AI$1=Units!$Q73),IF(Units!$J73&lt;&gt;"",Units!$J73,Mkt!AI74),Inputs!$B$15*Mkt!AI74+(1-Inputs!$B$15)*MIN(Mkt!AI74,AH74*(1+Inputs!$B$18))),AH74)))</f>
        <v>1617.8725</v>
      </c>
      <c r="AJ74" s="11" t="n">
        <f aca="false">IF(AJ$1&lt;Units!$P73,0,IF(AND(Units!$K73=0,AJ$1=Units!$O73),Units!$R73,IF(AND(AJ$1&gt;=Units!$Q73,MOD(AJ$1-Units!$Q73,12)=0),IF(AND(Units!$L73=1,AJ$1=Units!$Q73),IF(Units!$J73&lt;&gt;"",Units!$J73,Mkt!AJ74),Inputs!$B$15*Mkt!AJ74+(1-Inputs!$B$15)*MIN(Mkt!AJ74,AI74*(1+Inputs!$B$18))),AI74)))</f>
        <v>1617.8725</v>
      </c>
      <c r="AK74" s="11" t="n">
        <f aca="false">IF(AK$1&lt;Units!$P73,0,IF(AND(Units!$K73=0,AK$1=Units!$O73),Units!$R73,IF(AND(AK$1&gt;=Units!$Q73,MOD(AK$1-Units!$Q73,12)=0),IF(AND(Units!$L73=1,AK$1=Units!$Q73),IF(Units!$J73&lt;&gt;"",Units!$J73,Mkt!AK74),Inputs!$B$15*Mkt!AK74+(1-Inputs!$B$15)*MIN(Mkt!AK74,AJ74*(1+Inputs!$B$18))),AJ74)))</f>
        <v>1617.8725</v>
      </c>
      <c r="AL74" s="11" t="n">
        <f aca="false">IF(AL$1&lt;Units!$P73,0,IF(AND(Units!$K73=0,AL$1=Units!$O73),Units!$R73,IF(AND(AL$1&gt;=Units!$Q73,MOD(AL$1-Units!$Q73,12)=0),IF(AND(Units!$L73=1,AL$1=Units!$Q73),IF(Units!$J73&lt;&gt;"",Units!$J73,Mkt!AL74),Inputs!$B$15*Mkt!AL74+(1-Inputs!$B$15)*MIN(Mkt!AL74,AK74*(1+Inputs!$B$18))),AK74)))</f>
        <v>1617.8725</v>
      </c>
      <c r="AM74" s="11" t="n">
        <f aca="false">IF(AM$1&lt;Units!$P73,0,IF(AND(Units!$K73=0,AM$1=Units!$O73),Units!$R73,IF(AND(AM$1&gt;=Units!$Q73,MOD(AM$1-Units!$Q73,12)=0),IF(AND(Units!$L73=1,AM$1=Units!$Q73),IF(Units!$J73&lt;&gt;"",Units!$J73,Mkt!AM74),Inputs!$B$15*Mkt!AM74+(1-Inputs!$B$15)*MIN(Mkt!AM74,AL74*(1+Inputs!$B$18))),AL74)))</f>
        <v>1617.8725</v>
      </c>
      <c r="AN74" s="11" t="n">
        <f aca="false">IF(AN$1&lt;Units!$P73,0,IF(AND(Units!$K73=0,AN$1=Units!$O73),Units!$R73,IF(AND(AN$1&gt;=Units!$Q73,MOD(AN$1-Units!$Q73,12)=0),IF(AND(Units!$L73=1,AN$1=Units!$Q73),IF(Units!$J73&lt;&gt;"",Units!$J73,Mkt!AN74),Inputs!$B$15*Mkt!AN74+(1-Inputs!$B$15)*MIN(Mkt!AN74,AM74*(1+Inputs!$B$18))),AM74)))</f>
        <v>1617.8725</v>
      </c>
      <c r="AO74" s="11" t="n">
        <f aca="false">IF(AO$1&lt;Units!$P73,0,IF(AND(Units!$K73=0,AO$1=Units!$O73),Units!$R73,IF(AND(AO$1&gt;=Units!$Q73,MOD(AO$1-Units!$Q73,12)=0),IF(AND(Units!$L73=1,AO$1=Units!$Q73),IF(Units!$J73&lt;&gt;"",Units!$J73,Mkt!AO74),Inputs!$B$15*Mkt!AO74+(1-Inputs!$B$15)*MIN(Mkt!AO74,AN74*(1+Inputs!$B$18))),AN74)))</f>
        <v>1617.8725</v>
      </c>
      <c r="AP74" s="11" t="n">
        <f aca="false">IF(AP$1&lt;Units!$P73,0,IF(AND(Units!$K73=0,AP$1=Units!$O73),Units!$R73,IF(AND(AP$1&gt;=Units!$Q73,MOD(AP$1-Units!$Q73,12)=0),IF(AND(Units!$L73=1,AP$1=Units!$Q73),IF(Units!$J73&lt;&gt;"",Units!$J73,Mkt!AP74),Inputs!$B$15*Mkt!AP74+(1-Inputs!$B$15)*MIN(Mkt!AP74,AO74*(1+Inputs!$B$18))),AO74)))</f>
        <v>1666.408675</v>
      </c>
      <c r="AQ74" s="11" t="n">
        <f aca="false">IF(AQ$1&lt;Units!$P73,0,IF(AND(Units!$K73=0,AQ$1=Units!$O73),Units!$R73,IF(AND(AQ$1&gt;=Units!$Q73,MOD(AQ$1-Units!$Q73,12)=0),IF(AND(Units!$L73=1,AQ$1=Units!$Q73),IF(Units!$J73&lt;&gt;"",Units!$J73,Mkt!AQ74),Inputs!$B$15*Mkt!AQ74+(1-Inputs!$B$15)*MIN(Mkt!AQ74,AP74*(1+Inputs!$B$18))),AP74)))</f>
        <v>1666.408675</v>
      </c>
      <c r="AR74" s="11" t="n">
        <f aca="false">IF(AR$1&lt;Units!$P73,0,IF(AND(Units!$K73=0,AR$1=Units!$O73),Units!$R73,IF(AND(AR$1&gt;=Units!$Q73,MOD(AR$1-Units!$Q73,12)=0),IF(AND(Units!$L73=1,AR$1=Units!$Q73),IF(Units!$J73&lt;&gt;"",Units!$J73,Mkt!AR74),Inputs!$B$15*Mkt!AR74+(1-Inputs!$B$15)*MIN(Mkt!AR74,AQ74*(1+Inputs!$B$18))),AQ74)))</f>
        <v>1666.408675</v>
      </c>
      <c r="AS74" s="11" t="n">
        <f aca="false">IF(AS$1&lt;Units!$P73,0,IF(AND(Units!$K73=0,AS$1=Units!$O73),Units!$R73,IF(AND(AS$1&gt;=Units!$Q73,MOD(AS$1-Units!$Q73,12)=0),IF(AND(Units!$L73=1,AS$1=Units!$Q73),IF(Units!$J73&lt;&gt;"",Units!$J73,Mkt!AS74),Inputs!$B$15*Mkt!AS74+(1-Inputs!$B$15)*MIN(Mkt!AS74,AR74*(1+Inputs!$B$18))),AR74)))</f>
        <v>1666.408675</v>
      </c>
      <c r="AT74" s="11" t="n">
        <f aca="false">IF(AT$1&lt;Units!$P73,0,IF(AND(Units!$K73=0,AT$1=Units!$O73),Units!$R73,IF(AND(AT$1&gt;=Units!$Q73,MOD(AT$1-Units!$Q73,12)=0),IF(AND(Units!$L73=1,AT$1=Units!$Q73),IF(Units!$J73&lt;&gt;"",Units!$J73,Mkt!AT74),Inputs!$B$15*Mkt!AT74+(1-Inputs!$B$15)*MIN(Mkt!AT74,AS74*(1+Inputs!$B$18))),AS74)))</f>
        <v>1666.408675</v>
      </c>
      <c r="AU74" s="11" t="n">
        <f aca="false">IF(AU$1&lt;Units!$P73,0,IF(AND(Units!$K73=0,AU$1=Units!$O73),Units!$R73,IF(AND(AU$1&gt;=Units!$Q73,MOD(AU$1-Units!$Q73,12)=0),IF(AND(Units!$L73=1,AU$1=Units!$Q73),IF(Units!$J73&lt;&gt;"",Units!$J73,Mkt!AU74),Inputs!$B$15*Mkt!AU74+(1-Inputs!$B$15)*MIN(Mkt!AU74,AT74*(1+Inputs!$B$18))),AT74)))</f>
        <v>1666.408675</v>
      </c>
      <c r="AV74" s="11" t="n">
        <f aca="false">IF(AV$1&lt;Units!$P73,0,IF(AND(Units!$K73=0,AV$1=Units!$O73),Units!$R73,IF(AND(AV$1&gt;=Units!$Q73,MOD(AV$1-Units!$Q73,12)=0),IF(AND(Units!$L73=1,AV$1=Units!$Q73),IF(Units!$J73&lt;&gt;"",Units!$J73,Mkt!AV74),Inputs!$B$15*Mkt!AV74+(1-Inputs!$B$15)*MIN(Mkt!AV74,AU74*(1+Inputs!$B$18))),AU74)))</f>
        <v>1666.408675</v>
      </c>
      <c r="AW74" s="11" t="n">
        <f aca="false">IF(AW$1&lt;Units!$P73,0,IF(AND(Units!$K73=0,AW$1=Units!$O73),Units!$R73,IF(AND(AW$1&gt;=Units!$Q73,MOD(AW$1-Units!$Q73,12)=0),IF(AND(Units!$L73=1,AW$1=Units!$Q73),IF(Units!$J73&lt;&gt;"",Units!$J73,Mkt!AW74),Inputs!$B$15*Mkt!AW74+(1-Inputs!$B$15)*MIN(Mkt!AW74,AV74*(1+Inputs!$B$18))),AV74)))</f>
        <v>1666.408675</v>
      </c>
      <c r="AX74" s="11" t="n">
        <f aca="false">IF(AX$1&lt;Units!$P73,0,IF(AND(Units!$K73=0,AX$1=Units!$O73),Units!$R73,IF(AND(AX$1&gt;=Units!$Q73,MOD(AX$1-Units!$Q73,12)=0),IF(AND(Units!$L73=1,AX$1=Units!$Q73),IF(Units!$J73&lt;&gt;"",Units!$J73,Mkt!AX74),Inputs!$B$15*Mkt!AX74+(1-Inputs!$B$15)*MIN(Mkt!AX74,AW74*(1+Inputs!$B$18))),AW74)))</f>
        <v>1666.408675</v>
      </c>
      <c r="AY74" s="11" t="n">
        <f aca="false">IF(AY$1&lt;Units!$P73,0,IF(AND(Units!$K73=0,AY$1=Units!$O73),Units!$R73,IF(AND(AY$1&gt;=Units!$Q73,MOD(AY$1-Units!$Q73,12)=0),IF(AND(Units!$L73=1,AY$1=Units!$Q73),IF(Units!$J73&lt;&gt;"",Units!$J73,Mkt!AY74),Inputs!$B$15*Mkt!AY74+(1-Inputs!$B$15)*MIN(Mkt!AY74,AX74*(1+Inputs!$B$18))),AX74)))</f>
        <v>1666.408675</v>
      </c>
      <c r="AZ74" s="11" t="n">
        <f aca="false">IF(AZ$1&lt;Units!$P73,0,IF(AND(Units!$K73=0,AZ$1=Units!$O73),Units!$R73,IF(AND(AZ$1&gt;=Units!$Q73,MOD(AZ$1-Units!$Q73,12)=0),IF(AND(Units!$L73=1,AZ$1=Units!$Q73),IF(Units!$J73&lt;&gt;"",Units!$J73,Mkt!AZ74),Inputs!$B$15*Mkt!AZ74+(1-Inputs!$B$15)*MIN(Mkt!AZ74,AY74*(1+Inputs!$B$18))),AY74)))</f>
        <v>1666.408675</v>
      </c>
      <c r="BA74" s="11" t="n">
        <f aca="false">IF(BA$1&lt;Units!$P73,0,IF(AND(Units!$K73=0,BA$1=Units!$O73),Units!$R73,IF(AND(BA$1&gt;=Units!$Q73,MOD(BA$1-Units!$Q73,12)=0),IF(AND(Units!$L73=1,BA$1=Units!$Q73),IF(Units!$J73&lt;&gt;"",Units!$J73,Mkt!BA74),Inputs!$B$15*Mkt!BA74+(1-Inputs!$B$15)*MIN(Mkt!BA74,AZ74*(1+Inputs!$B$18))),AZ74)))</f>
        <v>1666.408675</v>
      </c>
      <c r="BB74" s="11" t="n">
        <f aca="false">IF(BB$1&lt;Units!$P73,0,IF(AND(Units!$K73=0,BB$1=Units!$O73),Units!$R73,IF(AND(BB$1&gt;=Units!$Q73,MOD(BB$1-Units!$Q73,12)=0),IF(AND(Units!$L73=1,BB$1=Units!$Q73),IF(Units!$J73&lt;&gt;"",Units!$J73,Mkt!BB74),Inputs!$B$15*Mkt!BB74+(1-Inputs!$B$15)*MIN(Mkt!BB74,BA74*(1+Inputs!$B$18))),BA74)))</f>
        <v>1716.40093525</v>
      </c>
      <c r="BC74" s="11" t="n">
        <f aca="false">IF(BC$1&lt;Units!$P73,0,IF(AND(Units!$K73=0,BC$1=Units!$O73),Units!$R73,IF(AND(BC$1&gt;=Units!$Q73,MOD(BC$1-Units!$Q73,12)=0),IF(AND(Units!$L73=1,BC$1=Units!$Q73),IF(Units!$J73&lt;&gt;"",Units!$J73,Mkt!BC74),Inputs!$B$15*Mkt!BC74+(1-Inputs!$B$15)*MIN(Mkt!BC74,BB74*(1+Inputs!$B$18))),BB74)))</f>
        <v>1716.40093525</v>
      </c>
      <c r="BD74" s="11" t="n">
        <f aca="false">IF(BD$1&lt;Units!$P73,0,IF(AND(Units!$K73=0,BD$1=Units!$O73),Units!$R73,IF(AND(BD$1&gt;=Units!$Q73,MOD(BD$1-Units!$Q73,12)=0),IF(AND(Units!$L73=1,BD$1=Units!$Q73),IF(Units!$J73&lt;&gt;"",Units!$J73,Mkt!BD74),Inputs!$B$15*Mkt!BD74+(1-Inputs!$B$15)*MIN(Mkt!BD74,BC74*(1+Inputs!$B$18))),BC74)))</f>
        <v>1716.40093525</v>
      </c>
      <c r="BE74" s="11" t="n">
        <f aca="false">IF(BE$1&lt;Units!$P73,0,IF(AND(Units!$K73=0,BE$1=Units!$O73),Units!$R73,IF(AND(BE$1&gt;=Units!$Q73,MOD(BE$1-Units!$Q73,12)=0),IF(AND(Units!$L73=1,BE$1=Units!$Q73),IF(Units!$J73&lt;&gt;"",Units!$J73,Mkt!BE74),Inputs!$B$15*Mkt!BE74+(1-Inputs!$B$15)*MIN(Mkt!BE74,BD74*(1+Inputs!$B$18))),BD74)))</f>
        <v>1716.40093525</v>
      </c>
      <c r="BF74" s="11" t="n">
        <f aca="false">IF(BF$1&lt;Units!$P73,0,IF(AND(Units!$K73=0,BF$1=Units!$O73),Units!$R73,IF(AND(BF$1&gt;=Units!$Q73,MOD(BF$1-Units!$Q73,12)=0),IF(AND(Units!$L73=1,BF$1=Units!$Q73),IF(Units!$J73&lt;&gt;"",Units!$J73,Mkt!BF74),Inputs!$B$15*Mkt!BF74+(1-Inputs!$B$15)*MIN(Mkt!BF74,BE74*(1+Inputs!$B$18))),BE74)))</f>
        <v>1716.40093525</v>
      </c>
      <c r="BG74" s="11" t="n">
        <f aca="false">IF(BG$1&lt;Units!$P73,0,IF(AND(Units!$K73=0,BG$1=Units!$O73),Units!$R73,IF(AND(BG$1&gt;=Units!$Q73,MOD(BG$1-Units!$Q73,12)=0),IF(AND(Units!$L73=1,BG$1=Units!$Q73),IF(Units!$J73&lt;&gt;"",Units!$J73,Mkt!BG74),Inputs!$B$15*Mkt!BG74+(1-Inputs!$B$15)*MIN(Mkt!BG74,BF74*(1+Inputs!$B$18))),BF74)))</f>
        <v>1716.40093525</v>
      </c>
      <c r="BH74" s="11" t="n">
        <f aca="false">IF(BH$1&lt;Units!$P73,0,IF(AND(Units!$K73=0,BH$1=Units!$O73),Units!$R73,IF(AND(BH$1&gt;=Units!$Q73,MOD(BH$1-Units!$Q73,12)=0),IF(AND(Units!$L73=1,BH$1=Units!$Q73),IF(Units!$J73&lt;&gt;"",Units!$J73,Mkt!BH74),Inputs!$B$15*Mkt!BH74+(1-Inputs!$B$15)*MIN(Mkt!BH74,BG74*(1+Inputs!$B$18))),BG74)))</f>
        <v>1716.40093525</v>
      </c>
      <c r="BI74" s="11" t="n">
        <f aca="false">IF(BI$1&lt;Units!$P73,0,IF(AND(Units!$K73=0,BI$1=Units!$O73),Units!$R73,IF(AND(BI$1&gt;=Units!$Q73,MOD(BI$1-Units!$Q73,12)=0),IF(AND(Units!$L73=1,BI$1=Units!$Q73),IF(Units!$J73&lt;&gt;"",Units!$J73,Mkt!BI74),Inputs!$B$15*Mkt!BI74+(1-Inputs!$B$15)*MIN(Mkt!BI74,BH74*(1+Inputs!$B$18))),BH74)))</f>
        <v>1716.40093525</v>
      </c>
      <c r="BJ74" s="11" t="n">
        <f aca="false">IF(BJ$1&lt;Units!$P73,0,IF(AND(Units!$K73=0,BJ$1=Units!$O73),Units!$R73,IF(AND(BJ$1&gt;=Units!$Q73,MOD(BJ$1-Units!$Q73,12)=0),IF(AND(Units!$L73=1,BJ$1=Units!$Q73),IF(Units!$J73&lt;&gt;"",Units!$J73,Mkt!BJ74),Inputs!$B$15*Mkt!BJ74+(1-Inputs!$B$15)*MIN(Mkt!BJ74,BI74*(1+Inputs!$B$18))),BI74)))</f>
        <v>1716.40093525</v>
      </c>
      <c r="BK74" s="11" t="n">
        <f aca="false">IF(BK$1&lt;Units!$P73,0,IF(AND(Units!$K73=0,BK$1=Units!$O73),Units!$R73,IF(AND(BK$1&gt;=Units!$Q73,MOD(BK$1-Units!$Q73,12)=0),IF(AND(Units!$L73=1,BK$1=Units!$Q73),IF(Units!$J73&lt;&gt;"",Units!$J73,Mkt!BK74),Inputs!$B$15*Mkt!BK74+(1-Inputs!$B$15)*MIN(Mkt!BK74,BJ74*(1+Inputs!$B$18))),BJ74)))</f>
        <v>1716.40093525</v>
      </c>
      <c r="BL74" s="11" t="n">
        <f aca="false">IF(BL$1&lt;Units!$P73,0,IF(AND(Units!$K73=0,BL$1=Units!$O73),Units!$R73,IF(AND(BL$1&gt;=Units!$Q73,MOD(BL$1-Units!$Q73,12)=0),IF(AND(Units!$L73=1,BL$1=Units!$Q73),IF(Units!$J73&lt;&gt;"",Units!$J73,Mkt!BL74),Inputs!$B$15*Mkt!BL74+(1-Inputs!$B$15)*MIN(Mkt!BL74,BK74*(1+Inputs!$B$18))),BK74)))</f>
        <v>1716.40093525</v>
      </c>
      <c r="BM74" s="11" t="n">
        <f aca="false">IF(BM$1&lt;Units!$P73,0,IF(AND(Units!$K73=0,BM$1=Units!$O73),Units!$R73,IF(AND(BM$1&gt;=Units!$Q73,MOD(BM$1-Units!$Q73,12)=0),IF(AND(Units!$L73=1,BM$1=Units!$Q73),IF(Units!$J73&lt;&gt;"",Units!$J73,Mkt!BM74),Inputs!$B$15*Mkt!BM74+(1-Inputs!$B$15)*MIN(Mkt!BM74,BL74*(1+Inputs!$B$18))),BL74)))</f>
        <v>1716.40093525</v>
      </c>
      <c r="BN74" s="11" t="n">
        <f aca="false">IF(BN$1&lt;Units!$P73,0,IF(AND(Units!$K73=0,BN$1=Units!$O73),Units!$R73,IF(AND(BN$1&gt;=Units!$Q73,MOD(BN$1-Units!$Q73,12)=0),IF(AND(Units!$L73=1,BN$1=Units!$Q73),IF(Units!$J73&lt;&gt;"",Units!$J73,Mkt!BN74),Inputs!$B$15*Mkt!BN74+(1-Inputs!$B$15)*MIN(Mkt!BN74,BM74*(1+Inputs!$B$18))),BM74)))</f>
        <v>1767.8929633075</v>
      </c>
      <c r="BO74" s="11" t="n">
        <f aca="false">IF(BO$1&lt;Units!$P73,0,IF(AND(Units!$K73=0,BO$1=Units!$O73),Units!$R73,IF(AND(BO$1&gt;=Units!$Q73,MOD(BO$1-Units!$Q73,12)=0),IF(AND(Units!$L73=1,BO$1=Units!$Q73),IF(Units!$J73&lt;&gt;"",Units!$J73,Mkt!BO74),Inputs!$B$15*Mkt!BO74+(1-Inputs!$B$15)*MIN(Mkt!BO74,BN74*(1+Inputs!$B$18))),BN74)))</f>
        <v>1767.8929633075</v>
      </c>
      <c r="BP74" s="11" t="n">
        <f aca="false">IF(BP$1&lt;Units!$P73,0,IF(AND(Units!$K73=0,BP$1=Units!$O73),Units!$R73,IF(AND(BP$1&gt;=Units!$Q73,MOD(BP$1-Units!$Q73,12)=0),IF(AND(Units!$L73=1,BP$1=Units!$Q73),IF(Units!$J73&lt;&gt;"",Units!$J73,Mkt!BP74),Inputs!$B$15*Mkt!BP74+(1-Inputs!$B$15)*MIN(Mkt!BP74,BO74*(1+Inputs!$B$18))),BO74)))</f>
        <v>1767.8929633075</v>
      </c>
      <c r="BQ74" s="11" t="n">
        <f aca="false">IF(BQ$1&lt;Units!$P73,0,IF(AND(Units!$K73=0,BQ$1=Units!$O73),Units!$R73,IF(AND(BQ$1&gt;=Units!$Q73,MOD(BQ$1-Units!$Q73,12)=0),IF(AND(Units!$L73=1,BQ$1=Units!$Q73),IF(Units!$J73&lt;&gt;"",Units!$J73,Mkt!BQ74),Inputs!$B$15*Mkt!BQ74+(1-Inputs!$B$15)*MIN(Mkt!BQ74,BP74*(1+Inputs!$B$18))),BP74)))</f>
        <v>1767.8929633075</v>
      </c>
      <c r="BR74" s="11" t="n">
        <f aca="false">IF(BR$1&lt;Units!$P73,0,IF(AND(Units!$K73=0,BR$1=Units!$O73),Units!$R73,IF(AND(BR$1&gt;=Units!$Q73,MOD(BR$1-Units!$Q73,12)=0),IF(AND(Units!$L73=1,BR$1=Units!$Q73),IF(Units!$J73&lt;&gt;"",Units!$J73,Mkt!BR74),Inputs!$B$15*Mkt!BR74+(1-Inputs!$B$15)*MIN(Mkt!BR74,BQ74*(1+Inputs!$B$18))),BQ74)))</f>
        <v>1767.8929633075</v>
      </c>
      <c r="BS74" s="11" t="n">
        <f aca="false">IF(BS$1&lt;Units!$P73,0,IF(AND(Units!$K73=0,BS$1=Units!$O73),Units!$R73,IF(AND(BS$1&gt;=Units!$Q73,MOD(BS$1-Units!$Q73,12)=0),IF(AND(Units!$L73=1,BS$1=Units!$Q73),IF(Units!$J73&lt;&gt;"",Units!$J73,Mkt!BS74),Inputs!$B$15*Mkt!BS74+(1-Inputs!$B$15)*MIN(Mkt!BS74,BR74*(1+Inputs!$B$18))),BR74)))</f>
        <v>1767.8929633075</v>
      </c>
      <c r="BT74" s="11" t="n">
        <f aca="false">IF(BT$1&lt;Units!$P73,0,IF(AND(Units!$K73=0,BT$1=Units!$O73),Units!$R73,IF(AND(BT$1&gt;=Units!$Q73,MOD(BT$1-Units!$Q73,12)=0),IF(AND(Units!$L73=1,BT$1=Units!$Q73),IF(Units!$J73&lt;&gt;"",Units!$J73,Mkt!BT74),Inputs!$B$15*Mkt!BT74+(1-Inputs!$B$15)*MIN(Mkt!BT74,BS74*(1+Inputs!$B$18))),BS74)))</f>
        <v>1767.8929633075</v>
      </c>
      <c r="BU74" s="11" t="n">
        <f aca="false">IF(BU$1&lt;Units!$P73,0,IF(AND(Units!$K73=0,BU$1=Units!$O73),Units!$R73,IF(AND(BU$1&gt;=Units!$Q73,MOD(BU$1-Units!$Q73,12)=0),IF(AND(Units!$L73=1,BU$1=Units!$Q73),IF(Units!$J73&lt;&gt;"",Units!$J73,Mkt!BU74),Inputs!$B$15*Mkt!BU74+(1-Inputs!$B$15)*MIN(Mkt!BU74,BT74*(1+Inputs!$B$18))),BT74)))</f>
        <v>1767.8929633075</v>
      </c>
      <c r="BV74" s="11" t="n">
        <f aca="false">IF(BV$1&lt;Units!$P73,0,IF(AND(Units!$K73=0,BV$1=Units!$O73),Units!$R73,IF(AND(BV$1&gt;=Units!$Q73,MOD(BV$1-Units!$Q73,12)=0),IF(AND(Units!$L73=1,BV$1=Units!$Q73),IF(Units!$J73&lt;&gt;"",Units!$J73,Mkt!BV74),Inputs!$B$15*Mkt!BV74+(1-Inputs!$B$15)*MIN(Mkt!BV74,BU74*(1+Inputs!$B$18))),BU74)))</f>
        <v>1767.8929633075</v>
      </c>
      <c r="BW74" s="11" t="n">
        <f aca="false">IF(BW$1&lt;Units!$P73,0,IF(AND(Units!$K73=0,BW$1=Units!$O73),Units!$R73,IF(AND(BW$1&gt;=Units!$Q73,MOD(BW$1-Units!$Q73,12)=0),IF(AND(Units!$L73=1,BW$1=Units!$Q73),IF(Units!$J73&lt;&gt;"",Units!$J73,Mkt!BW74),Inputs!$B$15*Mkt!BW74+(1-Inputs!$B$15)*MIN(Mkt!BW74,BV74*(1+Inputs!$B$18))),BV74)))</f>
        <v>1767.8929633075</v>
      </c>
      <c r="BX74" s="11" t="n">
        <f aca="false">IF(BX$1&lt;Units!$P73,0,IF(AND(Units!$K73=0,BX$1=Units!$O73),Units!$R73,IF(AND(BX$1&gt;=Units!$Q73,MOD(BX$1-Units!$Q73,12)=0),IF(AND(Units!$L73=1,BX$1=Units!$Q73),IF(Units!$J73&lt;&gt;"",Units!$J73,Mkt!BX74),Inputs!$B$15*Mkt!BX74+(1-Inputs!$B$15)*MIN(Mkt!BX74,BW74*(1+Inputs!$B$18))),BW74)))</f>
        <v>1767.8929633075</v>
      </c>
      <c r="BY74" s="11" t="n">
        <f aca="false">IF(BY$1&lt;Units!$P73,0,IF(AND(Units!$K73=0,BY$1=Units!$O73),Units!$R73,IF(AND(BY$1&gt;=Units!$Q73,MOD(BY$1-Units!$Q73,12)=0),IF(AND(Units!$L73=1,BY$1=Units!$Q73),IF(Units!$J73&lt;&gt;"",Units!$J73,Mkt!BY74),Inputs!$B$15*Mkt!BY74+(1-Inputs!$B$15)*MIN(Mkt!BY74,BX74*(1+Inputs!$B$18))),BX74)))</f>
        <v>1767.8929633075</v>
      </c>
      <c r="BZ74" s="11" t="n">
        <f aca="false">IF(BZ$1&lt;Units!$P73,0,IF(AND(Units!$K73=0,BZ$1=Units!$O73),Units!$R73,IF(AND(BZ$1&gt;=Units!$Q73,MOD(BZ$1-Units!$Q73,12)=0),IF(AND(Units!$L73=1,BZ$1=Units!$Q73),IF(Units!$J73&lt;&gt;"",Units!$J73,Mkt!BZ74),Inputs!$B$15*Mkt!BZ74+(1-Inputs!$B$15)*MIN(Mkt!BZ74,BY74*(1+Inputs!$B$18))),BY74)))</f>
        <v>1820.92975220673</v>
      </c>
      <c r="CA74" s="11" t="n">
        <f aca="false">IF(CA$1&lt;Units!$P73,0,IF(AND(Units!$K73=0,CA$1=Units!$O73),Units!$R73,IF(AND(CA$1&gt;=Units!$Q73,MOD(CA$1-Units!$Q73,12)=0),IF(AND(Units!$L73=1,CA$1=Units!$Q73),IF(Units!$J73&lt;&gt;"",Units!$J73,Mkt!CA74),Inputs!$B$15*Mkt!CA74+(1-Inputs!$B$15)*MIN(Mkt!CA74,BZ74*(1+Inputs!$B$18))),BZ74)))</f>
        <v>1820.92975220673</v>
      </c>
      <c r="CB74" s="11" t="n">
        <f aca="false">IF(CB$1&lt;Units!$P73,0,IF(AND(Units!$K73=0,CB$1=Units!$O73),Units!$R73,IF(AND(CB$1&gt;=Units!$Q73,MOD(CB$1-Units!$Q73,12)=0),IF(AND(Units!$L73=1,CB$1=Units!$Q73),IF(Units!$J73&lt;&gt;"",Units!$J73,Mkt!CB74),Inputs!$B$15*Mkt!CB74+(1-Inputs!$B$15)*MIN(Mkt!CB74,CA74*(1+Inputs!$B$18))),CA74)))</f>
        <v>1820.92975220673</v>
      </c>
      <c r="CC74" s="11" t="n">
        <f aca="false">IF(CC$1&lt;Units!$P73,0,IF(AND(Units!$K73=0,CC$1=Units!$O73),Units!$R73,IF(AND(CC$1&gt;=Units!$Q73,MOD(CC$1-Units!$Q73,12)=0),IF(AND(Units!$L73=1,CC$1=Units!$Q73),IF(Units!$J73&lt;&gt;"",Units!$J73,Mkt!CC74),Inputs!$B$15*Mkt!CC74+(1-Inputs!$B$15)*MIN(Mkt!CC74,CB74*(1+Inputs!$B$18))),CB74)))</f>
        <v>1820.92975220673</v>
      </c>
      <c r="CD74" s="11" t="n">
        <f aca="false">IF(CD$1&lt;Units!$P73,0,IF(AND(Units!$K73=0,CD$1=Units!$O73),Units!$R73,IF(AND(CD$1&gt;=Units!$Q73,MOD(CD$1-Units!$Q73,12)=0),IF(AND(Units!$L73=1,CD$1=Units!$Q73),IF(Units!$J73&lt;&gt;"",Units!$J73,Mkt!CD74),Inputs!$B$15*Mkt!CD74+(1-Inputs!$B$15)*MIN(Mkt!CD74,CC74*(1+Inputs!$B$18))),CC74)))</f>
        <v>1820.92975220673</v>
      </c>
      <c r="CE74" s="11" t="n">
        <f aca="false">IF(CE$1&lt;Units!$P73,0,IF(AND(Units!$K73=0,CE$1=Units!$O73),Units!$R73,IF(AND(CE$1&gt;=Units!$Q73,MOD(CE$1-Units!$Q73,12)=0),IF(AND(Units!$L73=1,CE$1=Units!$Q73),IF(Units!$J73&lt;&gt;"",Units!$J73,Mkt!CE74),Inputs!$B$15*Mkt!CE74+(1-Inputs!$B$15)*MIN(Mkt!CE74,CD74*(1+Inputs!$B$18))),CD74)))</f>
        <v>1820.92975220673</v>
      </c>
      <c r="CF74" s="11" t="n">
        <f aca="false">IF(CF$1&lt;Units!$P73,0,IF(AND(Units!$K73=0,CF$1=Units!$O73),Units!$R73,IF(AND(CF$1&gt;=Units!$Q73,MOD(CF$1-Units!$Q73,12)=0),IF(AND(Units!$L73=1,CF$1=Units!$Q73),IF(Units!$J73&lt;&gt;"",Units!$J73,Mkt!CF74),Inputs!$B$15*Mkt!CF74+(1-Inputs!$B$15)*MIN(Mkt!CF74,CE74*(1+Inputs!$B$18))),CE74)))</f>
        <v>1820.92975220673</v>
      </c>
      <c r="CG74" s="11" t="n">
        <f aca="false">IF(CG$1&lt;Units!$P73,0,IF(AND(Units!$K73=0,CG$1=Units!$O73),Units!$R73,IF(AND(CG$1&gt;=Units!$Q73,MOD(CG$1-Units!$Q73,12)=0),IF(AND(Units!$L73=1,CG$1=Units!$Q73),IF(Units!$J73&lt;&gt;"",Units!$J73,Mkt!CG74),Inputs!$B$15*Mkt!CG74+(1-Inputs!$B$15)*MIN(Mkt!CG74,CF74*(1+Inputs!$B$18))),CF74)))</f>
        <v>1820.92975220673</v>
      </c>
      <c r="CH74" s="11" t="n">
        <f aca="false">IF(CH$1&lt;Units!$P73,0,IF(AND(Units!$K73=0,CH$1=Units!$O73),Units!$R73,IF(AND(CH$1&gt;=Units!$Q73,MOD(CH$1-Units!$Q73,12)=0),IF(AND(Units!$L73=1,CH$1=Units!$Q73),IF(Units!$J73&lt;&gt;"",Units!$J73,Mkt!CH74),Inputs!$B$15*Mkt!CH74+(1-Inputs!$B$15)*MIN(Mkt!CH74,CG74*(1+Inputs!$B$18))),CG74)))</f>
        <v>1820.92975220673</v>
      </c>
      <c r="CI74" s="11" t="n">
        <f aca="false">IF(CI$1&lt;Units!$P73,0,IF(AND(Units!$K73=0,CI$1=Units!$O73),Units!$R73,IF(AND(CI$1&gt;=Units!$Q73,MOD(CI$1-Units!$Q73,12)=0),IF(AND(Units!$L73=1,CI$1=Units!$Q73),IF(Units!$J73&lt;&gt;"",Units!$J73,Mkt!CI74),Inputs!$B$15*Mkt!CI74+(1-Inputs!$B$15)*MIN(Mkt!CI74,CH74*(1+Inputs!$B$18))),CH74)))</f>
        <v>1820.92975220673</v>
      </c>
      <c r="CJ74" s="11" t="n">
        <f aca="false">IF(CJ$1&lt;Units!$P73,0,IF(AND(Units!$K73=0,CJ$1=Units!$O73),Units!$R73,IF(AND(CJ$1&gt;=Units!$Q73,MOD(CJ$1-Units!$Q73,12)=0),IF(AND(Units!$L73=1,CJ$1=Units!$Q73),IF(Units!$J73&lt;&gt;"",Units!$J73,Mkt!CJ74),Inputs!$B$15*Mkt!CJ74+(1-Inputs!$B$15)*MIN(Mkt!CJ74,CI74*(1+Inputs!$B$18))),CI74)))</f>
        <v>1820.92975220673</v>
      </c>
      <c r="CK74" s="11" t="n">
        <f aca="false">IF(CK$1&lt;Units!$P73,0,IF(AND(Units!$K73=0,CK$1=Units!$O73),Units!$R73,IF(AND(CK$1&gt;=Units!$Q73,MOD(CK$1-Units!$Q73,12)=0),IF(AND(Units!$L73=1,CK$1=Units!$Q73),IF(Units!$J73&lt;&gt;"",Units!$J73,Mkt!CK74),Inputs!$B$15*Mkt!CK74+(1-Inputs!$B$15)*MIN(Mkt!CK74,CJ74*(1+Inputs!$B$18))),CJ74)))</f>
        <v>1820.92975220673</v>
      </c>
      <c r="CL74" s="11" t="n">
        <f aca="false">IF(CL$1&lt;Units!$P73,0,IF(AND(Units!$K73=0,CL$1=Units!$O73),Units!$R73,IF(AND(CL$1&gt;=Units!$Q73,MOD(CL$1-Units!$Q73,12)=0),IF(AND(Units!$L73=1,CL$1=Units!$Q73),IF(Units!$J73&lt;&gt;"",Units!$J73,Mkt!CL74),Inputs!$B$15*Mkt!CL74+(1-Inputs!$B$15)*MIN(Mkt!CL74,CK74*(1+Inputs!$B$18))),CK74)))</f>
        <v>1875.55764477293</v>
      </c>
      <c r="CM74" s="11" t="n">
        <f aca="false">IF(CM$1&lt;Units!$P73,0,IF(AND(Units!$K73=0,CM$1=Units!$O73),Units!$R73,IF(AND(CM$1&gt;=Units!$Q73,MOD(CM$1-Units!$Q73,12)=0),IF(AND(Units!$L73=1,CM$1=Units!$Q73),IF(Units!$J73&lt;&gt;"",Units!$J73,Mkt!CM74),Inputs!$B$15*Mkt!CM74+(1-Inputs!$B$15)*MIN(Mkt!CM74,CL74*(1+Inputs!$B$18))),CL74)))</f>
        <v>1875.55764477293</v>
      </c>
      <c r="CN74" s="11" t="n">
        <f aca="false">IF(CN$1&lt;Units!$P73,0,IF(AND(Units!$K73=0,CN$1=Units!$O73),Units!$R73,IF(AND(CN$1&gt;=Units!$Q73,MOD(CN$1-Units!$Q73,12)=0),IF(AND(Units!$L73=1,CN$1=Units!$Q73),IF(Units!$J73&lt;&gt;"",Units!$J73,Mkt!CN74),Inputs!$B$15*Mkt!CN74+(1-Inputs!$B$15)*MIN(Mkt!CN74,CM74*(1+Inputs!$B$18))),CM74)))</f>
        <v>1875.55764477293</v>
      </c>
      <c r="CO74" s="11" t="n">
        <f aca="false">IF(CO$1&lt;Units!$P73,0,IF(AND(Units!$K73=0,CO$1=Units!$O73),Units!$R73,IF(AND(CO$1&gt;=Units!$Q73,MOD(CO$1-Units!$Q73,12)=0),IF(AND(Units!$L73=1,CO$1=Units!$Q73),IF(Units!$J73&lt;&gt;"",Units!$J73,Mkt!CO74),Inputs!$B$15*Mkt!CO74+(1-Inputs!$B$15)*MIN(Mkt!CO74,CN74*(1+Inputs!$B$18))),CN74)))</f>
        <v>1875.55764477293</v>
      </c>
      <c r="CP74" s="11" t="n">
        <f aca="false">IF(CP$1&lt;Units!$P73,0,IF(AND(Units!$K73=0,CP$1=Units!$O73),Units!$R73,IF(AND(CP$1&gt;=Units!$Q73,MOD(CP$1-Units!$Q73,12)=0),IF(AND(Units!$L73=1,CP$1=Units!$Q73),IF(Units!$J73&lt;&gt;"",Units!$J73,Mkt!CP74),Inputs!$B$15*Mkt!CP74+(1-Inputs!$B$15)*MIN(Mkt!CP74,CO74*(1+Inputs!$B$18))),CO74)))</f>
        <v>1875.55764477293</v>
      </c>
      <c r="CQ74" s="11" t="n">
        <f aca="false">IF(CQ$1&lt;Units!$P73,0,IF(AND(Units!$K73=0,CQ$1=Units!$O73),Units!$R73,IF(AND(CQ$1&gt;=Units!$Q73,MOD(CQ$1-Units!$Q73,12)=0),IF(AND(Units!$L73=1,CQ$1=Units!$Q73),IF(Units!$J73&lt;&gt;"",Units!$J73,Mkt!CQ74),Inputs!$B$15*Mkt!CQ74+(1-Inputs!$B$15)*MIN(Mkt!CQ74,CP74*(1+Inputs!$B$18))),CP74)))</f>
        <v>1875.55764477293</v>
      </c>
      <c r="CR74" s="11" t="n">
        <f aca="false">IF(CR$1&lt;Units!$P73,0,IF(AND(Units!$K73=0,CR$1=Units!$O73),Units!$R73,IF(AND(CR$1&gt;=Units!$Q73,MOD(CR$1-Units!$Q73,12)=0),IF(AND(Units!$L73=1,CR$1=Units!$Q73),IF(Units!$J73&lt;&gt;"",Units!$J73,Mkt!CR74),Inputs!$B$15*Mkt!CR74+(1-Inputs!$B$15)*MIN(Mkt!CR74,CQ74*(1+Inputs!$B$18))),CQ74)))</f>
        <v>1875.55764477293</v>
      </c>
      <c r="CS74" s="11" t="n">
        <f aca="false">IF(CS$1&lt;Units!$P73,0,IF(AND(Units!$K73=0,CS$1=Units!$O73),Units!$R73,IF(AND(CS$1&gt;=Units!$Q73,MOD(CS$1-Units!$Q73,12)=0),IF(AND(Units!$L73=1,CS$1=Units!$Q73),IF(Units!$J73&lt;&gt;"",Units!$J73,Mkt!CS74),Inputs!$B$15*Mkt!CS74+(1-Inputs!$B$15)*MIN(Mkt!CS74,CR74*(1+Inputs!$B$18))),CR74)))</f>
        <v>1875.55764477293</v>
      </c>
      <c r="CT74" s="11" t="n">
        <f aca="false">IF(CT$1&lt;Units!$P73,0,IF(AND(Units!$K73=0,CT$1=Units!$O73),Units!$R73,IF(AND(CT$1&gt;=Units!$Q73,MOD(CT$1-Units!$Q73,12)=0),IF(AND(Units!$L73=1,CT$1=Units!$Q73),IF(Units!$J73&lt;&gt;"",Units!$J73,Mkt!CT74),Inputs!$B$15*Mkt!CT74+(1-Inputs!$B$15)*MIN(Mkt!CT74,CS74*(1+Inputs!$B$18))),CS74)))</f>
        <v>1875.55764477293</v>
      </c>
      <c r="CU74" s="11" t="n">
        <f aca="false">IF(CU$1&lt;Units!$P73,0,IF(AND(Units!$K73=0,CU$1=Units!$O73),Units!$R73,IF(AND(CU$1&gt;=Units!$Q73,MOD(CU$1-Units!$Q73,12)=0),IF(AND(Units!$L73=1,CU$1=Units!$Q73),IF(Units!$J73&lt;&gt;"",Units!$J73,Mkt!CU74),Inputs!$B$15*Mkt!CU74+(1-Inputs!$B$15)*MIN(Mkt!CU74,CT74*(1+Inputs!$B$18))),CT74)))</f>
        <v>1875.55764477293</v>
      </c>
      <c r="CV74" s="11" t="n">
        <f aca="false">IF(CV$1&lt;Units!$P73,0,IF(AND(Units!$K73=0,CV$1=Units!$O73),Units!$R73,IF(AND(CV$1&gt;=Units!$Q73,MOD(CV$1-Units!$Q73,12)=0),IF(AND(Units!$L73=1,CV$1=Units!$Q73),IF(Units!$J73&lt;&gt;"",Units!$J73,Mkt!CV74),Inputs!$B$15*Mkt!CV74+(1-Inputs!$B$15)*MIN(Mkt!CV74,CU74*(1+Inputs!$B$18))),CU74)))</f>
        <v>1875.55764477293</v>
      </c>
      <c r="CW74" s="11" t="n">
        <f aca="false">IF(CW$1&lt;Units!$P73,0,IF(AND(Units!$K73=0,CW$1=Units!$O73),Units!$R73,IF(AND(CW$1&gt;=Units!$Q73,MOD(CW$1-Units!$Q73,12)=0),IF(AND(Units!$L73=1,CW$1=Units!$Q73),IF(Units!$J73&lt;&gt;"",Units!$J73,Mkt!CW74),Inputs!$B$15*Mkt!CW74+(1-Inputs!$B$15)*MIN(Mkt!CW74,CV74*(1+Inputs!$B$18))),CV74)))</f>
        <v>1875.55764477293</v>
      </c>
      <c r="CX74" s="11" t="n">
        <f aca="false">IF(CX$1&lt;Units!$P73,0,IF(AND(Units!$K73=0,CX$1=Units!$O73),Units!$R73,IF(AND(CX$1&gt;=Units!$Q73,MOD(CX$1-Units!$Q73,12)=0),IF(AND(Units!$L73=1,CX$1=Units!$Q73),IF(Units!$J73&lt;&gt;"",Units!$J73,Mkt!CX74),Inputs!$B$15*Mkt!CX74+(1-Inputs!$B$15)*MIN(Mkt!CX74,CW74*(1+Inputs!$B$18))),CW74)))</f>
        <v>1931.82437411612</v>
      </c>
      <c r="CY74" s="11" t="n">
        <f aca="false">IF(CY$1&lt;Units!$P73,0,IF(AND(Units!$K73=0,CY$1=Units!$O73),Units!$R73,IF(AND(CY$1&gt;=Units!$Q73,MOD(CY$1-Units!$Q73,12)=0),IF(AND(Units!$L73=1,CY$1=Units!$Q73),IF(Units!$J73&lt;&gt;"",Units!$J73,Mkt!CY74),Inputs!$B$15*Mkt!CY74+(1-Inputs!$B$15)*MIN(Mkt!CY74,CX74*(1+Inputs!$B$18))),CX74)))</f>
        <v>1931.82437411612</v>
      </c>
      <c r="CZ74" s="11" t="n">
        <f aca="false">IF(CZ$1&lt;Units!$P73,0,IF(AND(Units!$K73=0,CZ$1=Units!$O73),Units!$R73,IF(AND(CZ$1&gt;=Units!$Q73,MOD(CZ$1-Units!$Q73,12)=0),IF(AND(Units!$L73=1,CZ$1=Units!$Q73),IF(Units!$J73&lt;&gt;"",Units!$J73,Mkt!CZ74),Inputs!$B$15*Mkt!CZ74+(1-Inputs!$B$15)*MIN(Mkt!CZ74,CY74*(1+Inputs!$B$18))),CY74)))</f>
        <v>1931.82437411612</v>
      </c>
      <c r="DA74" s="11" t="n">
        <f aca="false">IF(DA$1&lt;Units!$P73,0,IF(AND(Units!$K73=0,DA$1=Units!$O73),Units!$R73,IF(AND(DA$1&gt;=Units!$Q73,MOD(DA$1-Units!$Q73,12)=0),IF(AND(Units!$L73=1,DA$1=Units!$Q73),IF(Units!$J73&lt;&gt;"",Units!$J73,Mkt!DA74),Inputs!$B$15*Mkt!DA74+(1-Inputs!$B$15)*MIN(Mkt!DA74,CZ74*(1+Inputs!$B$18))),CZ74)))</f>
        <v>1931.82437411612</v>
      </c>
      <c r="DB74" s="11" t="n">
        <f aca="false">IF(DB$1&lt;Units!$P73,0,IF(AND(Units!$K73=0,DB$1=Units!$O73),Units!$R73,IF(AND(DB$1&gt;=Units!$Q73,MOD(DB$1-Units!$Q73,12)=0),IF(AND(Units!$L73=1,DB$1=Units!$Q73),IF(Units!$J73&lt;&gt;"",Units!$J73,Mkt!DB74),Inputs!$B$15*Mkt!DB74+(1-Inputs!$B$15)*MIN(Mkt!DB74,DA74*(1+Inputs!$B$18))),DA74)))</f>
        <v>1931.82437411612</v>
      </c>
      <c r="DC74" s="11" t="n">
        <f aca="false">IF(DC$1&lt;Units!$P73,0,IF(AND(Units!$K73=0,DC$1=Units!$O73),Units!$R73,IF(AND(DC$1&gt;=Units!$Q73,MOD(DC$1-Units!$Q73,12)=0),IF(AND(Units!$L73=1,DC$1=Units!$Q73),IF(Units!$J73&lt;&gt;"",Units!$J73,Mkt!DC74),Inputs!$B$15*Mkt!DC74+(1-Inputs!$B$15)*MIN(Mkt!DC74,DB74*(1+Inputs!$B$18))),DB74)))</f>
        <v>1931.82437411612</v>
      </c>
      <c r="DD74" s="11" t="n">
        <f aca="false">IF(DD$1&lt;Units!$P73,0,IF(AND(Units!$K73=0,DD$1=Units!$O73),Units!$R73,IF(AND(DD$1&gt;=Units!$Q73,MOD(DD$1-Units!$Q73,12)=0),IF(AND(Units!$L73=1,DD$1=Units!$Q73),IF(Units!$J73&lt;&gt;"",Units!$J73,Mkt!DD74),Inputs!$B$15*Mkt!DD74+(1-Inputs!$B$15)*MIN(Mkt!DD74,DC74*(1+Inputs!$B$18))),DC74)))</f>
        <v>1931.82437411612</v>
      </c>
      <c r="DE74" s="11" t="n">
        <f aca="false">IF(DE$1&lt;Units!$P73,0,IF(AND(Units!$K73=0,DE$1=Units!$O73),Units!$R73,IF(AND(DE$1&gt;=Units!$Q73,MOD(DE$1-Units!$Q73,12)=0),IF(AND(Units!$L73=1,DE$1=Units!$Q73),IF(Units!$J73&lt;&gt;"",Units!$J73,Mkt!DE74),Inputs!$B$15*Mkt!DE74+(1-Inputs!$B$15)*MIN(Mkt!DE74,DD74*(1+Inputs!$B$18))),DD74)))</f>
        <v>1931.82437411612</v>
      </c>
      <c r="DF74" s="11" t="n">
        <f aca="false">IF(DF$1&lt;Units!$P73,0,IF(AND(Units!$K73=0,DF$1=Units!$O73),Units!$R73,IF(AND(DF$1&gt;=Units!$Q73,MOD(DF$1-Units!$Q73,12)=0),IF(AND(Units!$L73=1,DF$1=Units!$Q73),IF(Units!$J73&lt;&gt;"",Units!$J73,Mkt!DF74),Inputs!$B$15*Mkt!DF74+(1-Inputs!$B$15)*MIN(Mkt!DF74,DE74*(1+Inputs!$B$18))),DE74)))</f>
        <v>1931.82437411612</v>
      </c>
      <c r="DG74" s="11" t="n">
        <f aca="false">IF(DG$1&lt;Units!$P73,0,IF(AND(Units!$K73=0,DG$1=Units!$O73),Units!$R73,IF(AND(DG$1&gt;=Units!$Q73,MOD(DG$1-Units!$Q73,12)=0),IF(AND(Units!$L73=1,DG$1=Units!$Q73),IF(Units!$J73&lt;&gt;"",Units!$J73,Mkt!DG74),Inputs!$B$15*Mkt!DG74+(1-Inputs!$B$15)*MIN(Mkt!DG74,DF74*(1+Inputs!$B$18))),DF74)))</f>
        <v>1931.82437411612</v>
      </c>
      <c r="DH74" s="11" t="n">
        <f aca="false">IF(DH$1&lt;Units!$P73,0,IF(AND(Units!$K73=0,DH$1=Units!$O73),Units!$R73,IF(AND(DH$1&gt;=Units!$Q73,MOD(DH$1-Units!$Q73,12)=0),IF(AND(Units!$L73=1,DH$1=Units!$Q73),IF(Units!$J73&lt;&gt;"",Units!$J73,Mkt!DH74),Inputs!$B$15*Mkt!DH74+(1-Inputs!$B$15)*MIN(Mkt!DH74,DG74*(1+Inputs!$B$18))),DG74)))</f>
        <v>1931.82437411612</v>
      </c>
      <c r="DI74" s="11" t="n">
        <f aca="false">IF(DI$1&lt;Units!$P73,0,IF(AND(Units!$K73=0,DI$1=Units!$O73),Units!$R73,IF(AND(DI$1&gt;=Units!$Q73,MOD(DI$1-Units!$Q73,12)=0),IF(AND(Units!$L73=1,DI$1=Units!$Q73),IF(Units!$J73&lt;&gt;"",Units!$J73,Mkt!DI74),Inputs!$B$15*Mkt!DI74+(1-Inputs!$B$15)*MIN(Mkt!DI74,DH74*(1+Inputs!$B$18))),DH74)))</f>
        <v>1931.82437411612</v>
      </c>
      <c r="DJ74" s="11" t="n">
        <f aca="false">IF(DJ$1&lt;Units!$P73,0,IF(AND(Units!$K73=0,DJ$1=Units!$O73),Units!$R73,IF(AND(DJ$1&gt;=Units!$Q73,MOD(DJ$1-Units!$Q73,12)=0),IF(AND(Units!$L73=1,DJ$1=Units!$Q73),IF(Units!$J73&lt;&gt;"",Units!$J73,Mkt!DJ74),Inputs!$B$15*Mkt!DJ74+(1-Inputs!$B$15)*MIN(Mkt!DJ74,DI74*(1+Inputs!$B$18))),DI74)))</f>
        <v>1989.7791053396</v>
      </c>
      <c r="DK74" s="11" t="n">
        <f aca="false">IF(DK$1&lt;Units!$P73,0,IF(AND(Units!$K73=0,DK$1=Units!$O73),Units!$R73,IF(AND(DK$1&gt;=Units!$Q73,MOD(DK$1-Units!$Q73,12)=0),IF(AND(Units!$L73=1,DK$1=Units!$Q73),IF(Units!$J73&lt;&gt;"",Units!$J73,Mkt!DK74),Inputs!$B$15*Mkt!DK74+(1-Inputs!$B$15)*MIN(Mkt!DK74,DJ74*(1+Inputs!$B$18))),DJ74)))</f>
        <v>1989.7791053396</v>
      </c>
      <c r="DL74" s="11" t="n">
        <f aca="false">IF(DL$1&lt;Units!$P73,0,IF(AND(Units!$K73=0,DL$1=Units!$O73),Units!$R73,IF(AND(DL$1&gt;=Units!$Q73,MOD(DL$1-Units!$Q73,12)=0),IF(AND(Units!$L73=1,DL$1=Units!$Q73),IF(Units!$J73&lt;&gt;"",Units!$J73,Mkt!DL74),Inputs!$B$15*Mkt!DL74+(1-Inputs!$B$15)*MIN(Mkt!DL74,DK74*(1+Inputs!$B$18))),DK74)))</f>
        <v>1989.7791053396</v>
      </c>
      <c r="DM74" s="11" t="n">
        <f aca="false">IF(DM$1&lt;Units!$P73,0,IF(AND(Units!$K73=0,DM$1=Units!$O73),Units!$R73,IF(AND(DM$1&gt;=Units!$Q73,MOD(DM$1-Units!$Q73,12)=0),IF(AND(Units!$L73=1,DM$1=Units!$Q73),IF(Units!$J73&lt;&gt;"",Units!$J73,Mkt!DM74),Inputs!$B$15*Mkt!DM74+(1-Inputs!$B$15)*MIN(Mkt!DM74,DL74*(1+Inputs!$B$18))),DL74)))</f>
        <v>1989.7791053396</v>
      </c>
      <c r="DN74" s="11" t="n">
        <f aca="false">IF(DN$1&lt;Units!$P73,0,IF(AND(Units!$K73=0,DN$1=Units!$O73),Units!$R73,IF(AND(DN$1&gt;=Units!$Q73,MOD(DN$1-Units!$Q73,12)=0),IF(AND(Units!$L73=1,DN$1=Units!$Q73),IF(Units!$J73&lt;&gt;"",Units!$J73,Mkt!DN74),Inputs!$B$15*Mkt!DN74+(1-Inputs!$B$15)*MIN(Mkt!DN74,DM74*(1+Inputs!$B$18))),DM74)))</f>
        <v>1989.7791053396</v>
      </c>
      <c r="DO74" s="11" t="n">
        <f aca="false">IF(DO$1&lt;Units!$P73,0,IF(AND(Units!$K73=0,DO$1=Units!$O73),Units!$R73,IF(AND(DO$1&gt;=Units!$Q73,MOD(DO$1-Units!$Q73,12)=0),IF(AND(Units!$L73=1,DO$1=Units!$Q73),IF(Units!$J73&lt;&gt;"",Units!$J73,Mkt!DO74),Inputs!$B$15*Mkt!DO74+(1-Inputs!$B$15)*MIN(Mkt!DO74,DN74*(1+Inputs!$B$18))),DN74)))</f>
        <v>1989.7791053396</v>
      </c>
      <c r="DP74" s="11" t="n">
        <f aca="false">IF(DP$1&lt;Units!$P73,0,IF(AND(Units!$K73=0,DP$1=Units!$O73),Units!$R73,IF(AND(DP$1&gt;=Units!$Q73,MOD(DP$1-Units!$Q73,12)=0),IF(AND(Units!$L73=1,DP$1=Units!$Q73),IF(Units!$J73&lt;&gt;"",Units!$J73,Mkt!DP74),Inputs!$B$15*Mkt!DP74+(1-Inputs!$B$15)*MIN(Mkt!DP74,DO74*(1+Inputs!$B$18))),DO74)))</f>
        <v>1989.7791053396</v>
      </c>
      <c r="DQ74" s="11" t="n">
        <f aca="false">IF(DQ$1&lt;Units!$P73,0,IF(AND(Units!$K73=0,DQ$1=Units!$O73),Units!$R73,IF(AND(DQ$1&gt;=Units!$Q73,MOD(DQ$1-Units!$Q73,12)=0),IF(AND(Units!$L73=1,DQ$1=Units!$Q73),IF(Units!$J73&lt;&gt;"",Units!$J73,Mkt!DQ74),Inputs!$B$15*Mkt!DQ74+(1-Inputs!$B$15)*MIN(Mkt!DQ74,DP74*(1+Inputs!$B$18))),DP74)))</f>
        <v>1989.7791053396</v>
      </c>
      <c r="DR74" s="11" t="n">
        <f aca="false">IF(DR$1&lt;Units!$P73,0,IF(AND(Units!$K73=0,DR$1=Units!$O73),Units!$R73,IF(AND(DR$1&gt;=Units!$Q73,MOD(DR$1-Units!$Q73,12)=0),IF(AND(Units!$L73=1,DR$1=Units!$Q73),IF(Units!$J73&lt;&gt;"",Units!$J73,Mkt!DR74),Inputs!$B$15*Mkt!DR74+(1-Inputs!$B$15)*MIN(Mkt!DR74,DQ74*(1+Inputs!$B$18))),DQ74)))</f>
        <v>1989.7791053396</v>
      </c>
      <c r="DS74" s="11" t="n">
        <f aca="false">IF(DS$1&lt;Units!$P73,0,IF(AND(Units!$K73=0,DS$1=Units!$O73),Units!$R73,IF(AND(DS$1&gt;=Units!$Q73,MOD(DS$1-Units!$Q73,12)=0),IF(AND(Units!$L73=1,DS$1=Units!$Q73),IF(Units!$J73&lt;&gt;"",Units!$J73,Mkt!DS74),Inputs!$B$15*Mkt!DS74+(1-Inputs!$B$15)*MIN(Mkt!DS74,DR74*(1+Inputs!$B$18))),DR74)))</f>
        <v>1989.7791053396</v>
      </c>
      <c r="DT74" s="11" t="n">
        <f aca="false">IF(DT$1&lt;Units!$P73,0,IF(AND(Units!$K73=0,DT$1=Units!$O73),Units!$R73,IF(AND(DT$1&gt;=Units!$Q73,MOD(DT$1-Units!$Q73,12)=0),IF(AND(Units!$L73=1,DT$1=Units!$Q73),IF(Units!$J73&lt;&gt;"",Units!$J73,Mkt!DT74),Inputs!$B$15*Mkt!DT74+(1-Inputs!$B$15)*MIN(Mkt!DT74,DS74*(1+Inputs!$B$18))),DS74)))</f>
        <v>1989.7791053396</v>
      </c>
      <c r="DU74" s="11" t="n">
        <f aca="false">IF(DU$1&lt;Units!$P73,0,IF(AND(Units!$K73=0,DU$1=Units!$O73),Units!$R73,IF(AND(DU$1&gt;=Units!$Q73,MOD(DU$1-Units!$Q73,12)=0),IF(AND(Units!$L73=1,DU$1=Units!$Q73),IF(Units!$J73&lt;&gt;"",Units!$J73,Mkt!DU74),Inputs!$B$15*Mkt!DU74+(1-Inputs!$B$15)*MIN(Mkt!DU74,DT74*(1+Inputs!$B$18))),DT74)))</f>
        <v>1989.7791053396</v>
      </c>
      <c r="DV74" s="11" t="n">
        <f aca="false">IF(DV$1&lt;Units!$P73,0,IF(AND(Units!$K73=0,DV$1=Units!$O73),Units!$R73,IF(AND(DV$1&gt;=Units!$Q73,MOD(DV$1-Units!$Q73,12)=0),IF(AND(Units!$L73=1,DV$1=Units!$Q73),IF(Units!$J73&lt;&gt;"",Units!$J73,Mkt!DV74),Inputs!$B$15*Mkt!DV74+(1-Inputs!$B$15)*MIN(Mkt!DV74,DU74*(1+Inputs!$B$18))),DU74)))</f>
        <v>2049.47247849979</v>
      </c>
      <c r="DW74" s="11" t="n">
        <f aca="false">IF(DW$1&lt;Units!$P73,0,IF(AND(Units!$K73=0,DW$1=Units!$O73),Units!$R73,IF(AND(DW$1&gt;=Units!$Q73,MOD(DW$1-Units!$Q73,12)=0),IF(AND(Units!$L73=1,DW$1=Units!$Q73),IF(Units!$J73&lt;&gt;"",Units!$J73,Mkt!DW74),Inputs!$B$15*Mkt!DW74+(1-Inputs!$B$15)*MIN(Mkt!DW74,DV74*(1+Inputs!$B$18))),DV74)))</f>
        <v>2049.47247849979</v>
      </c>
      <c r="DX74" s="11" t="n">
        <f aca="false">IF(DX$1&lt;Units!$P73,0,IF(AND(Units!$K73=0,DX$1=Units!$O73),Units!$R73,IF(AND(DX$1&gt;=Units!$Q73,MOD(DX$1-Units!$Q73,12)=0),IF(AND(Units!$L73=1,DX$1=Units!$Q73),IF(Units!$J73&lt;&gt;"",Units!$J73,Mkt!DX74),Inputs!$B$15*Mkt!DX74+(1-Inputs!$B$15)*MIN(Mkt!DX74,DW74*(1+Inputs!$B$18))),DW74)))</f>
        <v>2049.47247849979</v>
      </c>
      <c r="DY74" s="11" t="n">
        <f aca="false">IF(DY$1&lt;Units!$P73,0,IF(AND(Units!$K73=0,DY$1=Units!$O73),Units!$R73,IF(AND(DY$1&gt;=Units!$Q73,MOD(DY$1-Units!$Q73,12)=0),IF(AND(Units!$L73=1,DY$1=Units!$Q73),IF(Units!$J73&lt;&gt;"",Units!$J73,Mkt!DY74),Inputs!$B$15*Mkt!DY74+(1-Inputs!$B$15)*MIN(Mkt!DY74,DX74*(1+Inputs!$B$18))),DX74)))</f>
        <v>2049.47247849979</v>
      </c>
      <c r="DZ74" s="11" t="n">
        <f aca="false">IF(DZ$1&lt;Units!$P73,0,IF(AND(Units!$K73=0,DZ$1=Units!$O73),Units!$R73,IF(AND(DZ$1&gt;=Units!$Q73,MOD(DZ$1-Units!$Q73,12)=0),IF(AND(Units!$L73=1,DZ$1=Units!$Q73),IF(Units!$J73&lt;&gt;"",Units!$J73,Mkt!DZ74),Inputs!$B$15*Mkt!DZ74+(1-Inputs!$B$15)*MIN(Mkt!DZ74,DY74*(1+Inputs!$B$18))),DY74)))</f>
        <v>2049.47247849979</v>
      </c>
      <c r="EA74" s="11" t="n">
        <f aca="false">IF(EA$1&lt;Units!$P73,0,IF(AND(Units!$K73=0,EA$1=Units!$O73),Units!$R73,IF(AND(EA$1&gt;=Units!$Q73,MOD(EA$1-Units!$Q73,12)=0),IF(AND(Units!$L73=1,EA$1=Units!$Q73),IF(Units!$J73&lt;&gt;"",Units!$J73,Mkt!EA74),Inputs!$B$15*Mkt!EA74+(1-Inputs!$B$15)*MIN(Mkt!EA74,DZ74*(1+Inputs!$B$18))),DZ74)))</f>
        <v>2049.47247849979</v>
      </c>
      <c r="EB74" s="11" t="n">
        <f aca="false">IF(EB$1&lt;Units!$P73,0,IF(AND(Units!$K73=0,EB$1=Units!$O73),Units!$R73,IF(AND(EB$1&gt;=Units!$Q73,MOD(EB$1-Units!$Q73,12)=0),IF(AND(Units!$L73=1,EB$1=Units!$Q73),IF(Units!$J73&lt;&gt;"",Units!$J73,Mkt!EB74),Inputs!$B$15*Mkt!EB74+(1-Inputs!$B$15)*MIN(Mkt!EB74,EA74*(1+Inputs!$B$18))),EA74)))</f>
        <v>2049.47247849979</v>
      </c>
      <c r="EC74" s="11" t="n">
        <f aca="false">IF(EC$1&lt;Units!$P73,0,IF(AND(Units!$K73=0,EC$1=Units!$O73),Units!$R73,IF(AND(EC$1&gt;=Units!$Q73,MOD(EC$1-Units!$Q73,12)=0),IF(AND(Units!$L73=1,EC$1=Units!$Q73),IF(Units!$J73&lt;&gt;"",Units!$J73,Mkt!EC74),Inputs!$B$15*Mkt!EC74+(1-Inputs!$B$15)*MIN(Mkt!EC74,EB74*(1+Inputs!$B$18))),EB74)))</f>
        <v>2049.47247849979</v>
      </c>
      <c r="ED74" s="11" t="n">
        <f aca="false">IF(ED$1&lt;Units!$P73,0,IF(AND(Units!$K73=0,ED$1=Units!$O73),Units!$R73,IF(AND(ED$1&gt;=Units!$Q73,MOD(ED$1-Units!$Q73,12)=0),IF(AND(Units!$L73=1,ED$1=Units!$Q73),IF(Units!$J73&lt;&gt;"",Units!$J73,Mkt!ED74),Inputs!$B$15*Mkt!ED74+(1-Inputs!$B$15)*MIN(Mkt!ED74,EC74*(1+Inputs!$B$18))),EC74)))</f>
        <v>2049.47247849979</v>
      </c>
    </row>
    <row r="75" customFormat="false" ht="15" hidden="false" customHeight="false" outlineLevel="0" collapsed="false">
      <c r="A75" s="22" t="n">
        <f aca="false">Units!A74</f>
        <v>313</v>
      </c>
      <c r="B75" s="24" t="n">
        <f aca="false">IF(Units!K74=1,Units!F74,0)</f>
        <v>1285</v>
      </c>
      <c r="C75" s="11" t="n">
        <f aca="false">IF(C$1&lt;Units!$P74,0,IF(AND(Units!$K74=0,C$1=Units!$O74),Units!$R74,IF(AND(C$1&gt;=Units!$Q74,MOD(C$1-Units!$Q74,12)=0),IF(AND(Units!$L74=1,C$1=Units!$Q74),IF(Units!$J74&lt;&gt;"",Units!$J74,Mkt!C75),Inputs!$B$15*Mkt!C75+(1-Inputs!$B$15)*MIN(Mkt!C75,B75*(1+Inputs!$B$18))),B75)))</f>
        <v>1285</v>
      </c>
      <c r="D75" s="11" t="n">
        <f aca="false">IF(D$1&lt;Units!$P74,0,IF(AND(Units!$K74=0,D$1=Units!$O74),Units!$R74,IF(AND(D$1&gt;=Units!$Q74,MOD(D$1-Units!$Q74,12)=0),IF(AND(Units!$L74=1,D$1=Units!$Q74),IF(Units!$J74&lt;&gt;"",Units!$J74,Mkt!D75),Inputs!$B$15*Mkt!D75+(1-Inputs!$B$15)*MIN(Mkt!D75,C75*(1+Inputs!$B$18))),C75)))</f>
        <v>1285</v>
      </c>
      <c r="E75" s="11" t="n">
        <f aca="false">IF(E$1&lt;Units!$P74,0,IF(AND(Units!$K74=0,E$1=Units!$O74),Units!$R74,IF(AND(E$1&gt;=Units!$Q74,MOD(E$1-Units!$Q74,12)=0),IF(AND(Units!$L74=1,E$1=Units!$Q74),IF(Units!$J74&lt;&gt;"",Units!$J74,Mkt!E75),Inputs!$B$15*Mkt!E75+(1-Inputs!$B$15)*MIN(Mkt!E75,D75*(1+Inputs!$B$18))),D75)))</f>
        <v>1285</v>
      </c>
      <c r="F75" s="11" t="n">
        <f aca="false">IF(F$1&lt;Units!$P74,0,IF(AND(Units!$K74=0,F$1=Units!$O74),Units!$R74,IF(AND(F$1&gt;=Units!$Q74,MOD(F$1-Units!$Q74,12)=0),IF(AND(Units!$L74=1,F$1=Units!$Q74),IF(Units!$J74&lt;&gt;"",Units!$J74,Mkt!F75),Inputs!$B$15*Mkt!F75+(1-Inputs!$B$15)*MIN(Mkt!F75,E75*(1+Inputs!$B$18))),E75)))</f>
        <v>1295</v>
      </c>
      <c r="G75" s="11" t="n">
        <f aca="false">IF(G$1&lt;Units!$P74,0,IF(AND(Units!$K74=0,G$1=Units!$O74),Units!$R74,IF(AND(G$1&gt;=Units!$Q74,MOD(G$1-Units!$Q74,12)=0),IF(AND(Units!$L74=1,G$1=Units!$Q74),IF(Units!$J74&lt;&gt;"",Units!$J74,Mkt!G75),Inputs!$B$15*Mkt!G75+(1-Inputs!$B$15)*MIN(Mkt!G75,F75*(1+Inputs!$B$18))),F75)))</f>
        <v>1295</v>
      </c>
      <c r="H75" s="11" t="n">
        <f aca="false">IF(H$1&lt;Units!$P74,0,IF(AND(Units!$K74=0,H$1=Units!$O74),Units!$R74,IF(AND(H$1&gt;=Units!$Q74,MOD(H$1-Units!$Q74,12)=0),IF(AND(Units!$L74=1,H$1=Units!$Q74),IF(Units!$J74&lt;&gt;"",Units!$J74,Mkt!H75),Inputs!$B$15*Mkt!H75+(1-Inputs!$B$15)*MIN(Mkt!H75,G75*(1+Inputs!$B$18))),G75)))</f>
        <v>1295</v>
      </c>
      <c r="I75" s="11" t="n">
        <f aca="false">IF(I$1&lt;Units!$P74,0,IF(AND(Units!$K74=0,I$1=Units!$O74),Units!$R74,IF(AND(I$1&gt;=Units!$Q74,MOD(I$1-Units!$Q74,12)=0),IF(AND(Units!$L74=1,I$1=Units!$Q74),IF(Units!$J74&lt;&gt;"",Units!$J74,Mkt!I75),Inputs!$B$15*Mkt!I75+(1-Inputs!$B$15)*MIN(Mkt!I75,H75*(1+Inputs!$B$18))),H75)))</f>
        <v>1295</v>
      </c>
      <c r="J75" s="11" t="n">
        <f aca="false">IF(J$1&lt;Units!$P74,0,IF(AND(Units!$K74=0,J$1=Units!$O74),Units!$R74,IF(AND(J$1&gt;=Units!$Q74,MOD(J$1-Units!$Q74,12)=0),IF(AND(Units!$L74=1,J$1=Units!$Q74),IF(Units!$J74&lt;&gt;"",Units!$J74,Mkt!J75),Inputs!$B$15*Mkt!J75+(1-Inputs!$B$15)*MIN(Mkt!J75,I75*(1+Inputs!$B$18))),I75)))</f>
        <v>1295</v>
      </c>
      <c r="K75" s="11" t="n">
        <f aca="false">IF(K$1&lt;Units!$P74,0,IF(AND(Units!$K74=0,K$1=Units!$O74),Units!$R74,IF(AND(K$1&gt;=Units!$Q74,MOD(K$1-Units!$Q74,12)=0),IF(AND(Units!$L74=1,K$1=Units!$Q74),IF(Units!$J74&lt;&gt;"",Units!$J74,Mkt!K75),Inputs!$B$15*Mkt!K75+(1-Inputs!$B$15)*MIN(Mkt!K75,J75*(1+Inputs!$B$18))),J75)))</f>
        <v>1295</v>
      </c>
      <c r="L75" s="11" t="n">
        <f aca="false">IF(L$1&lt;Units!$P74,0,IF(AND(Units!$K74=0,L$1=Units!$O74),Units!$R74,IF(AND(L$1&gt;=Units!$Q74,MOD(L$1-Units!$Q74,12)=0),IF(AND(Units!$L74=1,L$1=Units!$Q74),IF(Units!$J74&lt;&gt;"",Units!$J74,Mkt!L75),Inputs!$B$15*Mkt!L75+(1-Inputs!$B$15)*MIN(Mkt!L75,K75*(1+Inputs!$B$18))),K75)))</f>
        <v>1295</v>
      </c>
      <c r="M75" s="11" t="n">
        <f aca="false">IF(M$1&lt;Units!$P74,0,IF(AND(Units!$K74=0,M$1=Units!$O74),Units!$R74,IF(AND(M$1&gt;=Units!$Q74,MOD(M$1-Units!$Q74,12)=0),IF(AND(Units!$L74=1,M$1=Units!$Q74),IF(Units!$J74&lt;&gt;"",Units!$J74,Mkt!M75),Inputs!$B$15*Mkt!M75+(1-Inputs!$B$15)*MIN(Mkt!M75,L75*(1+Inputs!$B$18))),L75)))</f>
        <v>1295</v>
      </c>
      <c r="N75" s="11" t="n">
        <f aca="false">IF(N$1&lt;Units!$P74,0,IF(AND(Units!$K74=0,N$1=Units!$O74),Units!$R74,IF(AND(N$1&gt;=Units!$Q74,MOD(N$1-Units!$Q74,12)=0),IF(AND(Units!$L74=1,N$1=Units!$Q74),IF(Units!$J74&lt;&gt;"",Units!$J74,Mkt!N75),Inputs!$B$15*Mkt!N75+(1-Inputs!$B$15)*MIN(Mkt!N75,M75*(1+Inputs!$B$18))),M75)))</f>
        <v>1295</v>
      </c>
      <c r="O75" s="11" t="n">
        <f aca="false">IF(O$1&lt;Units!$P74,0,IF(AND(Units!$K74=0,O$1=Units!$O74),Units!$R74,IF(AND(O$1&gt;=Units!$Q74,MOD(O$1-Units!$Q74,12)=0),IF(AND(Units!$L74=1,O$1=Units!$Q74),IF(Units!$J74&lt;&gt;"",Units!$J74,Mkt!O75),Inputs!$B$15*Mkt!O75+(1-Inputs!$B$15)*MIN(Mkt!O75,N75*(1+Inputs!$B$18))),N75)))</f>
        <v>1295</v>
      </c>
      <c r="P75" s="11" t="n">
        <f aca="false">IF(P$1&lt;Units!$P74,0,IF(AND(Units!$K74=0,P$1=Units!$O74),Units!$R74,IF(AND(P$1&gt;=Units!$Q74,MOD(P$1-Units!$Q74,12)=0),IF(AND(Units!$L74=1,P$1=Units!$Q74),IF(Units!$J74&lt;&gt;"",Units!$J74,Mkt!P75),Inputs!$B$15*Mkt!P75+(1-Inputs!$B$15)*MIN(Mkt!P75,O75*(1+Inputs!$B$18))),O75)))</f>
        <v>1295</v>
      </c>
      <c r="Q75" s="11" t="n">
        <f aca="false">IF(Q$1&lt;Units!$P74,0,IF(AND(Units!$K74=0,Q$1=Units!$O74),Units!$R74,IF(AND(Q$1&gt;=Units!$Q74,MOD(Q$1-Units!$Q74,12)=0),IF(AND(Units!$L74=1,Q$1=Units!$Q74),IF(Units!$J74&lt;&gt;"",Units!$J74,Mkt!Q75),Inputs!$B$15*Mkt!Q75+(1-Inputs!$B$15)*MIN(Mkt!Q75,P75*(1+Inputs!$B$18))),P75)))</f>
        <v>1295</v>
      </c>
      <c r="R75" s="11" t="n">
        <f aca="false">IF(R$1&lt;Units!$P74,0,IF(AND(Units!$K74=0,R$1=Units!$O74),Units!$R74,IF(AND(R$1&gt;=Units!$Q74,MOD(R$1-Units!$Q74,12)=0),IF(AND(Units!$L74=1,R$1=Units!$Q74),IF(Units!$J74&lt;&gt;"",Units!$J74,Mkt!R75),Inputs!$B$15*Mkt!R75+(1-Inputs!$B$15)*MIN(Mkt!R75,Q75*(1+Inputs!$B$18))),Q75)))</f>
        <v>1333.85</v>
      </c>
      <c r="S75" s="11" t="n">
        <f aca="false">IF(S$1&lt;Units!$P74,0,IF(AND(Units!$K74=0,S$1=Units!$O74),Units!$R74,IF(AND(S$1&gt;=Units!$Q74,MOD(S$1-Units!$Q74,12)=0),IF(AND(Units!$L74=1,S$1=Units!$Q74),IF(Units!$J74&lt;&gt;"",Units!$J74,Mkt!S75),Inputs!$B$15*Mkt!S75+(1-Inputs!$B$15)*MIN(Mkt!S75,R75*(1+Inputs!$B$18))),R75)))</f>
        <v>1333.85</v>
      </c>
      <c r="T75" s="11" t="n">
        <f aca="false">IF(T$1&lt;Units!$P74,0,IF(AND(Units!$K74=0,T$1=Units!$O74),Units!$R74,IF(AND(T$1&gt;=Units!$Q74,MOD(T$1-Units!$Q74,12)=0),IF(AND(Units!$L74=1,T$1=Units!$Q74),IF(Units!$J74&lt;&gt;"",Units!$J74,Mkt!T75),Inputs!$B$15*Mkt!T75+(1-Inputs!$B$15)*MIN(Mkt!T75,S75*(1+Inputs!$B$18))),S75)))</f>
        <v>1333.85</v>
      </c>
      <c r="U75" s="11" t="n">
        <f aca="false">IF(U$1&lt;Units!$P74,0,IF(AND(Units!$K74=0,U$1=Units!$O74),Units!$R74,IF(AND(U$1&gt;=Units!$Q74,MOD(U$1-Units!$Q74,12)=0),IF(AND(Units!$L74=1,U$1=Units!$Q74),IF(Units!$J74&lt;&gt;"",Units!$J74,Mkt!U75),Inputs!$B$15*Mkt!U75+(1-Inputs!$B$15)*MIN(Mkt!U75,T75*(1+Inputs!$B$18))),T75)))</f>
        <v>1333.85</v>
      </c>
      <c r="V75" s="11" t="n">
        <f aca="false">IF(V$1&lt;Units!$P74,0,IF(AND(Units!$K74=0,V$1=Units!$O74),Units!$R74,IF(AND(V$1&gt;=Units!$Q74,MOD(V$1-Units!$Q74,12)=0),IF(AND(Units!$L74=1,V$1=Units!$Q74),IF(Units!$J74&lt;&gt;"",Units!$J74,Mkt!V75),Inputs!$B$15*Mkt!V75+(1-Inputs!$B$15)*MIN(Mkt!V75,U75*(1+Inputs!$B$18))),U75)))</f>
        <v>1333.85</v>
      </c>
      <c r="W75" s="11" t="n">
        <f aca="false">IF(W$1&lt;Units!$P74,0,IF(AND(Units!$K74=0,W$1=Units!$O74),Units!$R74,IF(AND(W$1&gt;=Units!$Q74,MOD(W$1-Units!$Q74,12)=0),IF(AND(Units!$L74=1,W$1=Units!$Q74),IF(Units!$J74&lt;&gt;"",Units!$J74,Mkt!W75),Inputs!$B$15*Mkt!W75+(1-Inputs!$B$15)*MIN(Mkt!W75,V75*(1+Inputs!$B$18))),V75)))</f>
        <v>1333.85</v>
      </c>
      <c r="X75" s="11" t="n">
        <f aca="false">IF(X$1&lt;Units!$P74,0,IF(AND(Units!$K74=0,X$1=Units!$O74),Units!$R74,IF(AND(X$1&gt;=Units!$Q74,MOD(X$1-Units!$Q74,12)=0),IF(AND(Units!$L74=1,X$1=Units!$Q74),IF(Units!$J74&lt;&gt;"",Units!$J74,Mkt!X75),Inputs!$B$15*Mkt!X75+(1-Inputs!$B$15)*MIN(Mkt!X75,W75*(1+Inputs!$B$18))),W75)))</f>
        <v>1333.85</v>
      </c>
      <c r="Y75" s="11" t="n">
        <f aca="false">IF(Y$1&lt;Units!$P74,0,IF(AND(Units!$K74=0,Y$1=Units!$O74),Units!$R74,IF(AND(Y$1&gt;=Units!$Q74,MOD(Y$1-Units!$Q74,12)=0),IF(AND(Units!$L74=1,Y$1=Units!$Q74),IF(Units!$J74&lt;&gt;"",Units!$J74,Mkt!Y75),Inputs!$B$15*Mkt!Y75+(1-Inputs!$B$15)*MIN(Mkt!Y75,X75*(1+Inputs!$B$18))),X75)))</f>
        <v>1333.85</v>
      </c>
      <c r="Z75" s="11" t="n">
        <f aca="false">IF(Z$1&lt;Units!$P74,0,IF(AND(Units!$K74=0,Z$1=Units!$O74),Units!$R74,IF(AND(Z$1&gt;=Units!$Q74,MOD(Z$1-Units!$Q74,12)=0),IF(AND(Units!$L74=1,Z$1=Units!$Q74),IF(Units!$J74&lt;&gt;"",Units!$J74,Mkt!Z75),Inputs!$B$15*Mkt!Z75+(1-Inputs!$B$15)*MIN(Mkt!Z75,Y75*(1+Inputs!$B$18))),Y75)))</f>
        <v>1333.85</v>
      </c>
      <c r="AA75" s="11" t="n">
        <f aca="false">IF(AA$1&lt;Units!$P74,0,IF(AND(Units!$K74=0,AA$1=Units!$O74),Units!$R74,IF(AND(AA$1&gt;=Units!$Q74,MOD(AA$1-Units!$Q74,12)=0),IF(AND(Units!$L74=1,AA$1=Units!$Q74),IF(Units!$J74&lt;&gt;"",Units!$J74,Mkt!AA75),Inputs!$B$15*Mkt!AA75+(1-Inputs!$B$15)*MIN(Mkt!AA75,Z75*(1+Inputs!$B$18))),Z75)))</f>
        <v>1333.85</v>
      </c>
      <c r="AB75" s="11" t="n">
        <f aca="false">IF(AB$1&lt;Units!$P74,0,IF(AND(Units!$K74=0,AB$1=Units!$O74),Units!$R74,IF(AND(AB$1&gt;=Units!$Q74,MOD(AB$1-Units!$Q74,12)=0),IF(AND(Units!$L74=1,AB$1=Units!$Q74),IF(Units!$J74&lt;&gt;"",Units!$J74,Mkt!AB75),Inputs!$B$15*Mkt!AB75+(1-Inputs!$B$15)*MIN(Mkt!AB75,AA75*(1+Inputs!$B$18))),AA75)))</f>
        <v>1333.85</v>
      </c>
      <c r="AC75" s="11" t="n">
        <f aca="false">IF(AC$1&lt;Units!$P74,0,IF(AND(Units!$K74=0,AC$1=Units!$O74),Units!$R74,IF(AND(AC$1&gt;=Units!$Q74,MOD(AC$1-Units!$Q74,12)=0),IF(AND(Units!$L74=1,AC$1=Units!$Q74),IF(Units!$J74&lt;&gt;"",Units!$J74,Mkt!AC75),Inputs!$B$15*Mkt!AC75+(1-Inputs!$B$15)*MIN(Mkt!AC75,AB75*(1+Inputs!$B$18))),AB75)))</f>
        <v>1333.85</v>
      </c>
      <c r="AD75" s="11" t="n">
        <f aca="false">IF(AD$1&lt;Units!$P74,0,IF(AND(Units!$K74=0,AD$1=Units!$O74),Units!$R74,IF(AND(AD$1&gt;=Units!$Q74,MOD(AD$1-Units!$Q74,12)=0),IF(AND(Units!$L74=1,AD$1=Units!$Q74),IF(Units!$J74&lt;&gt;"",Units!$J74,Mkt!AD75),Inputs!$B$15*Mkt!AD75+(1-Inputs!$B$15)*MIN(Mkt!AD75,AC75*(1+Inputs!$B$18))),AC75)))</f>
        <v>1373.8655</v>
      </c>
      <c r="AE75" s="11" t="n">
        <f aca="false">IF(AE$1&lt;Units!$P74,0,IF(AND(Units!$K74=0,AE$1=Units!$O74),Units!$R74,IF(AND(AE$1&gt;=Units!$Q74,MOD(AE$1-Units!$Q74,12)=0),IF(AND(Units!$L74=1,AE$1=Units!$Q74),IF(Units!$J74&lt;&gt;"",Units!$J74,Mkt!AE75),Inputs!$B$15*Mkt!AE75+(1-Inputs!$B$15)*MIN(Mkt!AE75,AD75*(1+Inputs!$B$18))),AD75)))</f>
        <v>1373.8655</v>
      </c>
      <c r="AF75" s="11" t="n">
        <f aca="false">IF(AF$1&lt;Units!$P74,0,IF(AND(Units!$K74=0,AF$1=Units!$O74),Units!$R74,IF(AND(AF$1&gt;=Units!$Q74,MOD(AF$1-Units!$Q74,12)=0),IF(AND(Units!$L74=1,AF$1=Units!$Q74),IF(Units!$J74&lt;&gt;"",Units!$J74,Mkt!AF75),Inputs!$B$15*Mkt!AF75+(1-Inputs!$B$15)*MIN(Mkt!AF75,AE75*(1+Inputs!$B$18))),AE75)))</f>
        <v>1373.8655</v>
      </c>
      <c r="AG75" s="11" t="n">
        <f aca="false">IF(AG$1&lt;Units!$P74,0,IF(AND(Units!$K74=0,AG$1=Units!$O74),Units!$R74,IF(AND(AG$1&gt;=Units!$Q74,MOD(AG$1-Units!$Q74,12)=0),IF(AND(Units!$L74=1,AG$1=Units!$Q74),IF(Units!$J74&lt;&gt;"",Units!$J74,Mkt!AG75),Inputs!$B$15*Mkt!AG75+(1-Inputs!$B$15)*MIN(Mkt!AG75,AF75*(1+Inputs!$B$18))),AF75)))</f>
        <v>1373.8655</v>
      </c>
      <c r="AH75" s="11" t="n">
        <f aca="false">IF(AH$1&lt;Units!$P74,0,IF(AND(Units!$K74=0,AH$1=Units!$O74),Units!$R74,IF(AND(AH$1&gt;=Units!$Q74,MOD(AH$1-Units!$Q74,12)=0),IF(AND(Units!$L74=1,AH$1=Units!$Q74),IF(Units!$J74&lt;&gt;"",Units!$J74,Mkt!AH75),Inputs!$B$15*Mkt!AH75+(1-Inputs!$B$15)*MIN(Mkt!AH75,AG75*(1+Inputs!$B$18))),AG75)))</f>
        <v>1373.8655</v>
      </c>
      <c r="AI75" s="11" t="n">
        <f aca="false">IF(AI$1&lt;Units!$P74,0,IF(AND(Units!$K74=0,AI$1=Units!$O74),Units!$R74,IF(AND(AI$1&gt;=Units!$Q74,MOD(AI$1-Units!$Q74,12)=0),IF(AND(Units!$L74=1,AI$1=Units!$Q74),IF(Units!$J74&lt;&gt;"",Units!$J74,Mkt!AI75),Inputs!$B$15*Mkt!AI75+(1-Inputs!$B$15)*MIN(Mkt!AI75,AH75*(1+Inputs!$B$18))),AH75)))</f>
        <v>1373.8655</v>
      </c>
      <c r="AJ75" s="11" t="n">
        <f aca="false">IF(AJ$1&lt;Units!$P74,0,IF(AND(Units!$K74=0,AJ$1=Units!$O74),Units!$R74,IF(AND(AJ$1&gt;=Units!$Q74,MOD(AJ$1-Units!$Q74,12)=0),IF(AND(Units!$L74=1,AJ$1=Units!$Q74),IF(Units!$J74&lt;&gt;"",Units!$J74,Mkt!AJ75),Inputs!$B$15*Mkt!AJ75+(1-Inputs!$B$15)*MIN(Mkt!AJ75,AI75*(1+Inputs!$B$18))),AI75)))</f>
        <v>1373.8655</v>
      </c>
      <c r="AK75" s="11" t="n">
        <f aca="false">IF(AK$1&lt;Units!$P74,0,IF(AND(Units!$K74=0,AK$1=Units!$O74),Units!$R74,IF(AND(AK$1&gt;=Units!$Q74,MOD(AK$1-Units!$Q74,12)=0),IF(AND(Units!$L74=1,AK$1=Units!$Q74),IF(Units!$J74&lt;&gt;"",Units!$J74,Mkt!AK75),Inputs!$B$15*Mkt!AK75+(1-Inputs!$B$15)*MIN(Mkt!AK75,AJ75*(1+Inputs!$B$18))),AJ75)))</f>
        <v>1373.8655</v>
      </c>
      <c r="AL75" s="11" t="n">
        <f aca="false">IF(AL$1&lt;Units!$P74,0,IF(AND(Units!$K74=0,AL$1=Units!$O74),Units!$R74,IF(AND(AL$1&gt;=Units!$Q74,MOD(AL$1-Units!$Q74,12)=0),IF(AND(Units!$L74=1,AL$1=Units!$Q74),IF(Units!$J74&lt;&gt;"",Units!$J74,Mkt!AL75),Inputs!$B$15*Mkt!AL75+(1-Inputs!$B$15)*MIN(Mkt!AL75,AK75*(1+Inputs!$B$18))),AK75)))</f>
        <v>1373.8655</v>
      </c>
      <c r="AM75" s="11" t="n">
        <f aca="false">IF(AM$1&lt;Units!$P74,0,IF(AND(Units!$K74=0,AM$1=Units!$O74),Units!$R74,IF(AND(AM$1&gt;=Units!$Q74,MOD(AM$1-Units!$Q74,12)=0),IF(AND(Units!$L74=1,AM$1=Units!$Q74),IF(Units!$J74&lt;&gt;"",Units!$J74,Mkt!AM75),Inputs!$B$15*Mkt!AM75+(1-Inputs!$B$15)*MIN(Mkt!AM75,AL75*(1+Inputs!$B$18))),AL75)))</f>
        <v>1373.8655</v>
      </c>
      <c r="AN75" s="11" t="n">
        <f aca="false">IF(AN$1&lt;Units!$P74,0,IF(AND(Units!$K74=0,AN$1=Units!$O74),Units!$R74,IF(AND(AN$1&gt;=Units!$Q74,MOD(AN$1-Units!$Q74,12)=0),IF(AND(Units!$L74=1,AN$1=Units!$Q74),IF(Units!$J74&lt;&gt;"",Units!$J74,Mkt!AN75),Inputs!$B$15*Mkt!AN75+(1-Inputs!$B$15)*MIN(Mkt!AN75,AM75*(1+Inputs!$B$18))),AM75)))</f>
        <v>1373.8655</v>
      </c>
      <c r="AO75" s="11" t="n">
        <f aca="false">IF(AO$1&lt;Units!$P74,0,IF(AND(Units!$K74=0,AO$1=Units!$O74),Units!$R74,IF(AND(AO$1&gt;=Units!$Q74,MOD(AO$1-Units!$Q74,12)=0),IF(AND(Units!$L74=1,AO$1=Units!$Q74),IF(Units!$J74&lt;&gt;"",Units!$J74,Mkt!AO75),Inputs!$B$15*Mkt!AO75+(1-Inputs!$B$15)*MIN(Mkt!AO75,AN75*(1+Inputs!$B$18))),AN75)))</f>
        <v>1373.8655</v>
      </c>
      <c r="AP75" s="11" t="n">
        <f aca="false">IF(AP$1&lt;Units!$P74,0,IF(AND(Units!$K74=0,AP$1=Units!$O74),Units!$R74,IF(AND(AP$1&gt;=Units!$Q74,MOD(AP$1-Units!$Q74,12)=0),IF(AND(Units!$L74=1,AP$1=Units!$Q74),IF(Units!$J74&lt;&gt;"",Units!$J74,Mkt!AP75),Inputs!$B$15*Mkt!AP75+(1-Inputs!$B$15)*MIN(Mkt!AP75,AO75*(1+Inputs!$B$18))),AO75)))</f>
        <v>1415.081465</v>
      </c>
      <c r="AQ75" s="11" t="n">
        <f aca="false">IF(AQ$1&lt;Units!$P74,0,IF(AND(Units!$K74=0,AQ$1=Units!$O74),Units!$R74,IF(AND(AQ$1&gt;=Units!$Q74,MOD(AQ$1-Units!$Q74,12)=0),IF(AND(Units!$L74=1,AQ$1=Units!$Q74),IF(Units!$J74&lt;&gt;"",Units!$J74,Mkt!AQ75),Inputs!$B$15*Mkt!AQ75+(1-Inputs!$B$15)*MIN(Mkt!AQ75,AP75*(1+Inputs!$B$18))),AP75)))</f>
        <v>1415.081465</v>
      </c>
      <c r="AR75" s="11" t="n">
        <f aca="false">IF(AR$1&lt;Units!$P74,0,IF(AND(Units!$K74=0,AR$1=Units!$O74),Units!$R74,IF(AND(AR$1&gt;=Units!$Q74,MOD(AR$1-Units!$Q74,12)=0),IF(AND(Units!$L74=1,AR$1=Units!$Q74),IF(Units!$J74&lt;&gt;"",Units!$J74,Mkt!AR75),Inputs!$B$15*Mkt!AR75+(1-Inputs!$B$15)*MIN(Mkt!AR75,AQ75*(1+Inputs!$B$18))),AQ75)))</f>
        <v>1415.081465</v>
      </c>
      <c r="AS75" s="11" t="n">
        <f aca="false">IF(AS$1&lt;Units!$P74,0,IF(AND(Units!$K74=0,AS$1=Units!$O74),Units!$R74,IF(AND(AS$1&gt;=Units!$Q74,MOD(AS$1-Units!$Q74,12)=0),IF(AND(Units!$L74=1,AS$1=Units!$Q74),IF(Units!$J74&lt;&gt;"",Units!$J74,Mkt!AS75),Inputs!$B$15*Mkt!AS75+(1-Inputs!$B$15)*MIN(Mkt!AS75,AR75*(1+Inputs!$B$18))),AR75)))</f>
        <v>1415.081465</v>
      </c>
      <c r="AT75" s="11" t="n">
        <f aca="false">IF(AT$1&lt;Units!$P74,0,IF(AND(Units!$K74=0,AT$1=Units!$O74),Units!$R74,IF(AND(AT$1&gt;=Units!$Q74,MOD(AT$1-Units!$Q74,12)=0),IF(AND(Units!$L74=1,AT$1=Units!$Q74),IF(Units!$J74&lt;&gt;"",Units!$J74,Mkt!AT75),Inputs!$B$15*Mkt!AT75+(1-Inputs!$B$15)*MIN(Mkt!AT75,AS75*(1+Inputs!$B$18))),AS75)))</f>
        <v>1415.081465</v>
      </c>
      <c r="AU75" s="11" t="n">
        <f aca="false">IF(AU$1&lt;Units!$P74,0,IF(AND(Units!$K74=0,AU$1=Units!$O74),Units!$R74,IF(AND(AU$1&gt;=Units!$Q74,MOD(AU$1-Units!$Q74,12)=0),IF(AND(Units!$L74=1,AU$1=Units!$Q74),IF(Units!$J74&lt;&gt;"",Units!$J74,Mkt!AU75),Inputs!$B$15*Mkt!AU75+(1-Inputs!$B$15)*MIN(Mkt!AU75,AT75*(1+Inputs!$B$18))),AT75)))</f>
        <v>1415.081465</v>
      </c>
      <c r="AV75" s="11" t="n">
        <f aca="false">IF(AV$1&lt;Units!$P74,0,IF(AND(Units!$K74=0,AV$1=Units!$O74),Units!$R74,IF(AND(AV$1&gt;=Units!$Q74,MOD(AV$1-Units!$Q74,12)=0),IF(AND(Units!$L74=1,AV$1=Units!$Q74),IF(Units!$J74&lt;&gt;"",Units!$J74,Mkt!AV75),Inputs!$B$15*Mkt!AV75+(1-Inputs!$B$15)*MIN(Mkt!AV75,AU75*(1+Inputs!$B$18))),AU75)))</f>
        <v>1415.081465</v>
      </c>
      <c r="AW75" s="11" t="n">
        <f aca="false">IF(AW$1&lt;Units!$P74,0,IF(AND(Units!$K74=0,AW$1=Units!$O74),Units!$R74,IF(AND(AW$1&gt;=Units!$Q74,MOD(AW$1-Units!$Q74,12)=0),IF(AND(Units!$L74=1,AW$1=Units!$Q74),IF(Units!$J74&lt;&gt;"",Units!$J74,Mkt!AW75),Inputs!$B$15*Mkt!AW75+(1-Inputs!$B$15)*MIN(Mkt!AW75,AV75*(1+Inputs!$B$18))),AV75)))</f>
        <v>1415.081465</v>
      </c>
      <c r="AX75" s="11" t="n">
        <f aca="false">IF(AX$1&lt;Units!$P74,0,IF(AND(Units!$K74=0,AX$1=Units!$O74),Units!$R74,IF(AND(AX$1&gt;=Units!$Q74,MOD(AX$1-Units!$Q74,12)=0),IF(AND(Units!$L74=1,AX$1=Units!$Q74),IF(Units!$J74&lt;&gt;"",Units!$J74,Mkt!AX75),Inputs!$B$15*Mkt!AX75+(1-Inputs!$B$15)*MIN(Mkt!AX75,AW75*(1+Inputs!$B$18))),AW75)))</f>
        <v>1415.081465</v>
      </c>
      <c r="AY75" s="11" t="n">
        <f aca="false">IF(AY$1&lt;Units!$P74,0,IF(AND(Units!$K74=0,AY$1=Units!$O74),Units!$R74,IF(AND(AY$1&gt;=Units!$Q74,MOD(AY$1-Units!$Q74,12)=0),IF(AND(Units!$L74=1,AY$1=Units!$Q74),IF(Units!$J74&lt;&gt;"",Units!$J74,Mkt!AY75),Inputs!$B$15*Mkt!AY75+(1-Inputs!$B$15)*MIN(Mkt!AY75,AX75*(1+Inputs!$B$18))),AX75)))</f>
        <v>1415.081465</v>
      </c>
      <c r="AZ75" s="11" t="n">
        <f aca="false">IF(AZ$1&lt;Units!$P74,0,IF(AND(Units!$K74=0,AZ$1=Units!$O74),Units!$R74,IF(AND(AZ$1&gt;=Units!$Q74,MOD(AZ$1-Units!$Q74,12)=0),IF(AND(Units!$L74=1,AZ$1=Units!$Q74),IF(Units!$J74&lt;&gt;"",Units!$J74,Mkt!AZ75),Inputs!$B$15*Mkt!AZ75+(1-Inputs!$B$15)*MIN(Mkt!AZ75,AY75*(1+Inputs!$B$18))),AY75)))</f>
        <v>1415.081465</v>
      </c>
      <c r="BA75" s="11" t="n">
        <f aca="false">IF(BA$1&lt;Units!$P74,0,IF(AND(Units!$K74=0,BA$1=Units!$O74),Units!$R74,IF(AND(BA$1&gt;=Units!$Q74,MOD(BA$1-Units!$Q74,12)=0),IF(AND(Units!$L74=1,BA$1=Units!$Q74),IF(Units!$J74&lt;&gt;"",Units!$J74,Mkt!BA75),Inputs!$B$15*Mkt!BA75+(1-Inputs!$B$15)*MIN(Mkt!BA75,AZ75*(1+Inputs!$B$18))),AZ75)))</f>
        <v>1415.081465</v>
      </c>
      <c r="BB75" s="11" t="n">
        <f aca="false">IF(BB$1&lt;Units!$P74,0,IF(AND(Units!$K74=0,BB$1=Units!$O74),Units!$R74,IF(AND(BB$1&gt;=Units!$Q74,MOD(BB$1-Units!$Q74,12)=0),IF(AND(Units!$L74=1,BB$1=Units!$Q74),IF(Units!$J74&lt;&gt;"",Units!$J74,Mkt!BB75),Inputs!$B$15*Mkt!BB75+(1-Inputs!$B$15)*MIN(Mkt!BB75,BA75*(1+Inputs!$B$18))),BA75)))</f>
        <v>1457.53390895</v>
      </c>
      <c r="BC75" s="11" t="n">
        <f aca="false">IF(BC$1&lt;Units!$P74,0,IF(AND(Units!$K74=0,BC$1=Units!$O74),Units!$R74,IF(AND(BC$1&gt;=Units!$Q74,MOD(BC$1-Units!$Q74,12)=0),IF(AND(Units!$L74=1,BC$1=Units!$Q74),IF(Units!$J74&lt;&gt;"",Units!$J74,Mkt!BC75),Inputs!$B$15*Mkt!BC75+(1-Inputs!$B$15)*MIN(Mkt!BC75,BB75*(1+Inputs!$B$18))),BB75)))</f>
        <v>1457.53390895</v>
      </c>
      <c r="BD75" s="11" t="n">
        <f aca="false">IF(BD$1&lt;Units!$P74,0,IF(AND(Units!$K74=0,BD$1=Units!$O74),Units!$R74,IF(AND(BD$1&gt;=Units!$Q74,MOD(BD$1-Units!$Q74,12)=0),IF(AND(Units!$L74=1,BD$1=Units!$Q74),IF(Units!$J74&lt;&gt;"",Units!$J74,Mkt!BD75),Inputs!$B$15*Mkt!BD75+(1-Inputs!$B$15)*MIN(Mkt!BD75,BC75*(1+Inputs!$B$18))),BC75)))</f>
        <v>1457.53390895</v>
      </c>
      <c r="BE75" s="11" t="n">
        <f aca="false">IF(BE$1&lt;Units!$P74,0,IF(AND(Units!$K74=0,BE$1=Units!$O74),Units!$R74,IF(AND(BE$1&gt;=Units!$Q74,MOD(BE$1-Units!$Q74,12)=0),IF(AND(Units!$L74=1,BE$1=Units!$Q74),IF(Units!$J74&lt;&gt;"",Units!$J74,Mkt!BE75),Inputs!$B$15*Mkt!BE75+(1-Inputs!$B$15)*MIN(Mkt!BE75,BD75*(1+Inputs!$B$18))),BD75)))</f>
        <v>1457.53390895</v>
      </c>
      <c r="BF75" s="11" t="n">
        <f aca="false">IF(BF$1&lt;Units!$P74,0,IF(AND(Units!$K74=0,BF$1=Units!$O74),Units!$R74,IF(AND(BF$1&gt;=Units!$Q74,MOD(BF$1-Units!$Q74,12)=0),IF(AND(Units!$L74=1,BF$1=Units!$Q74),IF(Units!$J74&lt;&gt;"",Units!$J74,Mkt!BF75),Inputs!$B$15*Mkt!BF75+(1-Inputs!$B$15)*MIN(Mkt!BF75,BE75*(1+Inputs!$B$18))),BE75)))</f>
        <v>1457.53390895</v>
      </c>
      <c r="BG75" s="11" t="n">
        <f aca="false">IF(BG$1&lt;Units!$P74,0,IF(AND(Units!$K74=0,BG$1=Units!$O74),Units!$R74,IF(AND(BG$1&gt;=Units!$Q74,MOD(BG$1-Units!$Q74,12)=0),IF(AND(Units!$L74=1,BG$1=Units!$Q74),IF(Units!$J74&lt;&gt;"",Units!$J74,Mkt!BG75),Inputs!$B$15*Mkt!BG75+(1-Inputs!$B$15)*MIN(Mkt!BG75,BF75*(1+Inputs!$B$18))),BF75)))</f>
        <v>1457.53390895</v>
      </c>
      <c r="BH75" s="11" t="n">
        <f aca="false">IF(BH$1&lt;Units!$P74,0,IF(AND(Units!$K74=0,BH$1=Units!$O74),Units!$R74,IF(AND(BH$1&gt;=Units!$Q74,MOD(BH$1-Units!$Q74,12)=0),IF(AND(Units!$L74=1,BH$1=Units!$Q74),IF(Units!$J74&lt;&gt;"",Units!$J74,Mkt!BH75),Inputs!$B$15*Mkt!BH75+(1-Inputs!$B$15)*MIN(Mkt!BH75,BG75*(1+Inputs!$B$18))),BG75)))</f>
        <v>1457.53390895</v>
      </c>
      <c r="BI75" s="11" t="n">
        <f aca="false">IF(BI$1&lt;Units!$P74,0,IF(AND(Units!$K74=0,BI$1=Units!$O74),Units!$R74,IF(AND(BI$1&gt;=Units!$Q74,MOD(BI$1-Units!$Q74,12)=0),IF(AND(Units!$L74=1,BI$1=Units!$Q74),IF(Units!$J74&lt;&gt;"",Units!$J74,Mkt!BI75),Inputs!$B$15*Mkt!BI75+(1-Inputs!$B$15)*MIN(Mkt!BI75,BH75*(1+Inputs!$B$18))),BH75)))</f>
        <v>1457.53390895</v>
      </c>
      <c r="BJ75" s="11" t="n">
        <f aca="false">IF(BJ$1&lt;Units!$P74,0,IF(AND(Units!$K74=0,BJ$1=Units!$O74),Units!$R74,IF(AND(BJ$1&gt;=Units!$Q74,MOD(BJ$1-Units!$Q74,12)=0),IF(AND(Units!$L74=1,BJ$1=Units!$Q74),IF(Units!$J74&lt;&gt;"",Units!$J74,Mkt!BJ75),Inputs!$B$15*Mkt!BJ75+(1-Inputs!$B$15)*MIN(Mkt!BJ75,BI75*(1+Inputs!$B$18))),BI75)))</f>
        <v>1457.53390895</v>
      </c>
      <c r="BK75" s="11" t="n">
        <f aca="false">IF(BK$1&lt;Units!$P74,0,IF(AND(Units!$K74=0,BK$1=Units!$O74),Units!$R74,IF(AND(BK$1&gt;=Units!$Q74,MOD(BK$1-Units!$Q74,12)=0),IF(AND(Units!$L74=1,BK$1=Units!$Q74),IF(Units!$J74&lt;&gt;"",Units!$J74,Mkt!BK75),Inputs!$B$15*Mkt!BK75+(1-Inputs!$B$15)*MIN(Mkt!BK75,BJ75*(1+Inputs!$B$18))),BJ75)))</f>
        <v>1457.53390895</v>
      </c>
      <c r="BL75" s="11" t="n">
        <f aca="false">IF(BL$1&lt;Units!$P74,0,IF(AND(Units!$K74=0,BL$1=Units!$O74),Units!$R74,IF(AND(BL$1&gt;=Units!$Q74,MOD(BL$1-Units!$Q74,12)=0),IF(AND(Units!$L74=1,BL$1=Units!$Q74),IF(Units!$J74&lt;&gt;"",Units!$J74,Mkt!BL75),Inputs!$B$15*Mkt!BL75+(1-Inputs!$B$15)*MIN(Mkt!BL75,BK75*(1+Inputs!$B$18))),BK75)))</f>
        <v>1457.53390895</v>
      </c>
      <c r="BM75" s="11" t="n">
        <f aca="false">IF(BM$1&lt;Units!$P74,0,IF(AND(Units!$K74=0,BM$1=Units!$O74),Units!$R74,IF(AND(BM$1&gt;=Units!$Q74,MOD(BM$1-Units!$Q74,12)=0),IF(AND(Units!$L74=1,BM$1=Units!$Q74),IF(Units!$J74&lt;&gt;"",Units!$J74,Mkt!BM75),Inputs!$B$15*Mkt!BM75+(1-Inputs!$B$15)*MIN(Mkt!BM75,BL75*(1+Inputs!$B$18))),BL75)))</f>
        <v>1457.53390895</v>
      </c>
      <c r="BN75" s="11" t="n">
        <f aca="false">IF(BN$1&lt;Units!$P74,0,IF(AND(Units!$K74=0,BN$1=Units!$O74),Units!$R74,IF(AND(BN$1&gt;=Units!$Q74,MOD(BN$1-Units!$Q74,12)=0),IF(AND(Units!$L74=1,BN$1=Units!$Q74),IF(Units!$J74&lt;&gt;"",Units!$J74,Mkt!BN75),Inputs!$B$15*Mkt!BN75+(1-Inputs!$B$15)*MIN(Mkt!BN75,BM75*(1+Inputs!$B$18))),BM75)))</f>
        <v>1501.2599262185</v>
      </c>
      <c r="BO75" s="11" t="n">
        <f aca="false">IF(BO$1&lt;Units!$P74,0,IF(AND(Units!$K74=0,BO$1=Units!$O74),Units!$R74,IF(AND(BO$1&gt;=Units!$Q74,MOD(BO$1-Units!$Q74,12)=0),IF(AND(Units!$L74=1,BO$1=Units!$Q74),IF(Units!$J74&lt;&gt;"",Units!$J74,Mkt!BO75),Inputs!$B$15*Mkt!BO75+(1-Inputs!$B$15)*MIN(Mkt!BO75,BN75*(1+Inputs!$B$18))),BN75)))</f>
        <v>1501.2599262185</v>
      </c>
      <c r="BP75" s="11" t="n">
        <f aca="false">IF(BP$1&lt;Units!$P74,0,IF(AND(Units!$K74=0,BP$1=Units!$O74),Units!$R74,IF(AND(BP$1&gt;=Units!$Q74,MOD(BP$1-Units!$Q74,12)=0),IF(AND(Units!$L74=1,BP$1=Units!$Q74),IF(Units!$J74&lt;&gt;"",Units!$J74,Mkt!BP75),Inputs!$B$15*Mkt!BP75+(1-Inputs!$B$15)*MIN(Mkt!BP75,BO75*(1+Inputs!$B$18))),BO75)))</f>
        <v>1501.2599262185</v>
      </c>
      <c r="BQ75" s="11" t="n">
        <f aca="false">IF(BQ$1&lt;Units!$P74,0,IF(AND(Units!$K74=0,BQ$1=Units!$O74),Units!$R74,IF(AND(BQ$1&gt;=Units!$Q74,MOD(BQ$1-Units!$Q74,12)=0),IF(AND(Units!$L74=1,BQ$1=Units!$Q74),IF(Units!$J74&lt;&gt;"",Units!$J74,Mkt!BQ75),Inputs!$B$15*Mkt!BQ75+(1-Inputs!$B$15)*MIN(Mkt!BQ75,BP75*(1+Inputs!$B$18))),BP75)))</f>
        <v>1501.2599262185</v>
      </c>
      <c r="BR75" s="11" t="n">
        <f aca="false">IF(BR$1&lt;Units!$P74,0,IF(AND(Units!$K74=0,BR$1=Units!$O74),Units!$R74,IF(AND(BR$1&gt;=Units!$Q74,MOD(BR$1-Units!$Q74,12)=0),IF(AND(Units!$L74=1,BR$1=Units!$Q74),IF(Units!$J74&lt;&gt;"",Units!$J74,Mkt!BR75),Inputs!$B$15*Mkt!BR75+(1-Inputs!$B$15)*MIN(Mkt!BR75,BQ75*(1+Inputs!$B$18))),BQ75)))</f>
        <v>1501.2599262185</v>
      </c>
      <c r="BS75" s="11" t="n">
        <f aca="false">IF(BS$1&lt;Units!$P74,0,IF(AND(Units!$K74=0,BS$1=Units!$O74),Units!$R74,IF(AND(BS$1&gt;=Units!$Q74,MOD(BS$1-Units!$Q74,12)=0),IF(AND(Units!$L74=1,BS$1=Units!$Q74),IF(Units!$J74&lt;&gt;"",Units!$J74,Mkt!BS75),Inputs!$B$15*Mkt!BS75+(1-Inputs!$B$15)*MIN(Mkt!BS75,BR75*(1+Inputs!$B$18))),BR75)))</f>
        <v>1501.2599262185</v>
      </c>
      <c r="BT75" s="11" t="n">
        <f aca="false">IF(BT$1&lt;Units!$P74,0,IF(AND(Units!$K74=0,BT$1=Units!$O74),Units!$R74,IF(AND(BT$1&gt;=Units!$Q74,MOD(BT$1-Units!$Q74,12)=0),IF(AND(Units!$L74=1,BT$1=Units!$Q74),IF(Units!$J74&lt;&gt;"",Units!$J74,Mkt!BT75),Inputs!$B$15*Mkt!BT75+(1-Inputs!$B$15)*MIN(Mkt!BT75,BS75*(1+Inputs!$B$18))),BS75)))</f>
        <v>1501.2599262185</v>
      </c>
      <c r="BU75" s="11" t="n">
        <f aca="false">IF(BU$1&lt;Units!$P74,0,IF(AND(Units!$K74=0,BU$1=Units!$O74),Units!$R74,IF(AND(BU$1&gt;=Units!$Q74,MOD(BU$1-Units!$Q74,12)=0),IF(AND(Units!$L74=1,BU$1=Units!$Q74),IF(Units!$J74&lt;&gt;"",Units!$J74,Mkt!BU75),Inputs!$B$15*Mkt!BU75+(1-Inputs!$B$15)*MIN(Mkt!BU75,BT75*(1+Inputs!$B$18))),BT75)))</f>
        <v>1501.2599262185</v>
      </c>
      <c r="BV75" s="11" t="n">
        <f aca="false">IF(BV$1&lt;Units!$P74,0,IF(AND(Units!$K74=0,BV$1=Units!$O74),Units!$R74,IF(AND(BV$1&gt;=Units!$Q74,MOD(BV$1-Units!$Q74,12)=0),IF(AND(Units!$L74=1,BV$1=Units!$Q74),IF(Units!$J74&lt;&gt;"",Units!$J74,Mkt!BV75),Inputs!$B$15*Mkt!BV75+(1-Inputs!$B$15)*MIN(Mkt!BV75,BU75*(1+Inputs!$B$18))),BU75)))</f>
        <v>1501.2599262185</v>
      </c>
      <c r="BW75" s="11" t="n">
        <f aca="false">IF(BW$1&lt;Units!$P74,0,IF(AND(Units!$K74=0,BW$1=Units!$O74),Units!$R74,IF(AND(BW$1&gt;=Units!$Q74,MOD(BW$1-Units!$Q74,12)=0),IF(AND(Units!$L74=1,BW$1=Units!$Q74),IF(Units!$J74&lt;&gt;"",Units!$J74,Mkt!BW75),Inputs!$B$15*Mkt!BW75+(1-Inputs!$B$15)*MIN(Mkt!BW75,BV75*(1+Inputs!$B$18))),BV75)))</f>
        <v>1501.2599262185</v>
      </c>
      <c r="BX75" s="11" t="n">
        <f aca="false">IF(BX$1&lt;Units!$P74,0,IF(AND(Units!$K74=0,BX$1=Units!$O74),Units!$R74,IF(AND(BX$1&gt;=Units!$Q74,MOD(BX$1-Units!$Q74,12)=0),IF(AND(Units!$L74=1,BX$1=Units!$Q74),IF(Units!$J74&lt;&gt;"",Units!$J74,Mkt!BX75),Inputs!$B$15*Mkt!BX75+(1-Inputs!$B$15)*MIN(Mkt!BX75,BW75*(1+Inputs!$B$18))),BW75)))</f>
        <v>1501.2599262185</v>
      </c>
      <c r="BY75" s="11" t="n">
        <f aca="false">IF(BY$1&lt;Units!$P74,0,IF(AND(Units!$K74=0,BY$1=Units!$O74),Units!$R74,IF(AND(BY$1&gt;=Units!$Q74,MOD(BY$1-Units!$Q74,12)=0),IF(AND(Units!$L74=1,BY$1=Units!$Q74),IF(Units!$J74&lt;&gt;"",Units!$J74,Mkt!BY75),Inputs!$B$15*Mkt!BY75+(1-Inputs!$B$15)*MIN(Mkt!BY75,BX75*(1+Inputs!$B$18))),BX75)))</f>
        <v>1501.2599262185</v>
      </c>
      <c r="BZ75" s="11" t="n">
        <f aca="false">IF(BZ$1&lt;Units!$P74,0,IF(AND(Units!$K74=0,BZ$1=Units!$O74),Units!$R74,IF(AND(BZ$1&gt;=Units!$Q74,MOD(BZ$1-Units!$Q74,12)=0),IF(AND(Units!$L74=1,BZ$1=Units!$Q74),IF(Units!$J74&lt;&gt;"",Units!$J74,Mkt!BZ75),Inputs!$B$15*Mkt!BZ75+(1-Inputs!$B$15)*MIN(Mkt!BZ75,BY75*(1+Inputs!$B$18))),BY75)))</f>
        <v>1546.29772400506</v>
      </c>
      <c r="CA75" s="11" t="n">
        <f aca="false">IF(CA$1&lt;Units!$P74,0,IF(AND(Units!$K74=0,CA$1=Units!$O74),Units!$R74,IF(AND(CA$1&gt;=Units!$Q74,MOD(CA$1-Units!$Q74,12)=0),IF(AND(Units!$L74=1,CA$1=Units!$Q74),IF(Units!$J74&lt;&gt;"",Units!$J74,Mkt!CA75),Inputs!$B$15*Mkt!CA75+(1-Inputs!$B$15)*MIN(Mkt!CA75,BZ75*(1+Inputs!$B$18))),BZ75)))</f>
        <v>1546.29772400506</v>
      </c>
      <c r="CB75" s="11" t="n">
        <f aca="false">IF(CB$1&lt;Units!$P74,0,IF(AND(Units!$K74=0,CB$1=Units!$O74),Units!$R74,IF(AND(CB$1&gt;=Units!$Q74,MOD(CB$1-Units!$Q74,12)=0),IF(AND(Units!$L74=1,CB$1=Units!$Q74),IF(Units!$J74&lt;&gt;"",Units!$J74,Mkt!CB75),Inputs!$B$15*Mkt!CB75+(1-Inputs!$B$15)*MIN(Mkt!CB75,CA75*(1+Inputs!$B$18))),CA75)))</f>
        <v>1546.29772400506</v>
      </c>
      <c r="CC75" s="11" t="n">
        <f aca="false">IF(CC$1&lt;Units!$P74,0,IF(AND(Units!$K74=0,CC$1=Units!$O74),Units!$R74,IF(AND(CC$1&gt;=Units!$Q74,MOD(CC$1-Units!$Q74,12)=0),IF(AND(Units!$L74=1,CC$1=Units!$Q74),IF(Units!$J74&lt;&gt;"",Units!$J74,Mkt!CC75),Inputs!$B$15*Mkt!CC75+(1-Inputs!$B$15)*MIN(Mkt!CC75,CB75*(1+Inputs!$B$18))),CB75)))</f>
        <v>1546.29772400506</v>
      </c>
      <c r="CD75" s="11" t="n">
        <f aca="false">IF(CD$1&lt;Units!$P74,0,IF(AND(Units!$K74=0,CD$1=Units!$O74),Units!$R74,IF(AND(CD$1&gt;=Units!$Q74,MOD(CD$1-Units!$Q74,12)=0),IF(AND(Units!$L74=1,CD$1=Units!$Q74),IF(Units!$J74&lt;&gt;"",Units!$J74,Mkt!CD75),Inputs!$B$15*Mkt!CD75+(1-Inputs!$B$15)*MIN(Mkt!CD75,CC75*(1+Inputs!$B$18))),CC75)))</f>
        <v>1546.29772400506</v>
      </c>
      <c r="CE75" s="11" t="n">
        <f aca="false">IF(CE$1&lt;Units!$P74,0,IF(AND(Units!$K74=0,CE$1=Units!$O74),Units!$R74,IF(AND(CE$1&gt;=Units!$Q74,MOD(CE$1-Units!$Q74,12)=0),IF(AND(Units!$L74=1,CE$1=Units!$Q74),IF(Units!$J74&lt;&gt;"",Units!$J74,Mkt!CE75),Inputs!$B$15*Mkt!CE75+(1-Inputs!$B$15)*MIN(Mkt!CE75,CD75*(1+Inputs!$B$18))),CD75)))</f>
        <v>1546.29772400506</v>
      </c>
      <c r="CF75" s="11" t="n">
        <f aca="false">IF(CF$1&lt;Units!$P74,0,IF(AND(Units!$K74=0,CF$1=Units!$O74),Units!$R74,IF(AND(CF$1&gt;=Units!$Q74,MOD(CF$1-Units!$Q74,12)=0),IF(AND(Units!$L74=1,CF$1=Units!$Q74),IF(Units!$J74&lt;&gt;"",Units!$J74,Mkt!CF75),Inputs!$B$15*Mkt!CF75+(1-Inputs!$B$15)*MIN(Mkt!CF75,CE75*(1+Inputs!$B$18))),CE75)))</f>
        <v>1546.29772400506</v>
      </c>
      <c r="CG75" s="11" t="n">
        <f aca="false">IF(CG$1&lt;Units!$P74,0,IF(AND(Units!$K74=0,CG$1=Units!$O74),Units!$R74,IF(AND(CG$1&gt;=Units!$Q74,MOD(CG$1-Units!$Q74,12)=0),IF(AND(Units!$L74=1,CG$1=Units!$Q74),IF(Units!$J74&lt;&gt;"",Units!$J74,Mkt!CG75),Inputs!$B$15*Mkt!CG75+(1-Inputs!$B$15)*MIN(Mkt!CG75,CF75*(1+Inputs!$B$18))),CF75)))</f>
        <v>1546.29772400506</v>
      </c>
      <c r="CH75" s="11" t="n">
        <f aca="false">IF(CH$1&lt;Units!$P74,0,IF(AND(Units!$K74=0,CH$1=Units!$O74),Units!$R74,IF(AND(CH$1&gt;=Units!$Q74,MOD(CH$1-Units!$Q74,12)=0),IF(AND(Units!$L74=1,CH$1=Units!$Q74),IF(Units!$J74&lt;&gt;"",Units!$J74,Mkt!CH75),Inputs!$B$15*Mkt!CH75+(1-Inputs!$B$15)*MIN(Mkt!CH75,CG75*(1+Inputs!$B$18))),CG75)))</f>
        <v>1546.29772400506</v>
      </c>
      <c r="CI75" s="11" t="n">
        <f aca="false">IF(CI$1&lt;Units!$P74,0,IF(AND(Units!$K74=0,CI$1=Units!$O74),Units!$R74,IF(AND(CI$1&gt;=Units!$Q74,MOD(CI$1-Units!$Q74,12)=0),IF(AND(Units!$L74=1,CI$1=Units!$Q74),IF(Units!$J74&lt;&gt;"",Units!$J74,Mkt!CI75),Inputs!$B$15*Mkt!CI75+(1-Inputs!$B$15)*MIN(Mkt!CI75,CH75*(1+Inputs!$B$18))),CH75)))</f>
        <v>1546.29772400506</v>
      </c>
      <c r="CJ75" s="11" t="n">
        <f aca="false">IF(CJ$1&lt;Units!$P74,0,IF(AND(Units!$K74=0,CJ$1=Units!$O74),Units!$R74,IF(AND(CJ$1&gt;=Units!$Q74,MOD(CJ$1-Units!$Q74,12)=0),IF(AND(Units!$L74=1,CJ$1=Units!$Q74),IF(Units!$J74&lt;&gt;"",Units!$J74,Mkt!CJ75),Inputs!$B$15*Mkt!CJ75+(1-Inputs!$B$15)*MIN(Mkt!CJ75,CI75*(1+Inputs!$B$18))),CI75)))</f>
        <v>1546.29772400506</v>
      </c>
      <c r="CK75" s="11" t="n">
        <f aca="false">IF(CK$1&lt;Units!$P74,0,IF(AND(Units!$K74=0,CK$1=Units!$O74),Units!$R74,IF(AND(CK$1&gt;=Units!$Q74,MOD(CK$1-Units!$Q74,12)=0),IF(AND(Units!$L74=1,CK$1=Units!$Q74),IF(Units!$J74&lt;&gt;"",Units!$J74,Mkt!CK75),Inputs!$B$15*Mkt!CK75+(1-Inputs!$B$15)*MIN(Mkt!CK75,CJ75*(1+Inputs!$B$18))),CJ75)))</f>
        <v>1546.29772400506</v>
      </c>
      <c r="CL75" s="11" t="n">
        <f aca="false">IF(CL$1&lt;Units!$P74,0,IF(AND(Units!$K74=0,CL$1=Units!$O74),Units!$R74,IF(AND(CL$1&gt;=Units!$Q74,MOD(CL$1-Units!$Q74,12)=0),IF(AND(Units!$L74=1,CL$1=Units!$Q74),IF(Units!$J74&lt;&gt;"",Units!$J74,Mkt!CL75),Inputs!$B$15*Mkt!CL75+(1-Inputs!$B$15)*MIN(Mkt!CL75,CK75*(1+Inputs!$B$18))),CK75)))</f>
        <v>1592.68665572521</v>
      </c>
      <c r="CM75" s="11" t="n">
        <f aca="false">IF(CM$1&lt;Units!$P74,0,IF(AND(Units!$K74=0,CM$1=Units!$O74),Units!$R74,IF(AND(CM$1&gt;=Units!$Q74,MOD(CM$1-Units!$Q74,12)=0),IF(AND(Units!$L74=1,CM$1=Units!$Q74),IF(Units!$J74&lt;&gt;"",Units!$J74,Mkt!CM75),Inputs!$B$15*Mkt!CM75+(1-Inputs!$B$15)*MIN(Mkt!CM75,CL75*(1+Inputs!$B$18))),CL75)))</f>
        <v>1592.68665572521</v>
      </c>
      <c r="CN75" s="11" t="n">
        <f aca="false">IF(CN$1&lt;Units!$P74,0,IF(AND(Units!$K74=0,CN$1=Units!$O74),Units!$R74,IF(AND(CN$1&gt;=Units!$Q74,MOD(CN$1-Units!$Q74,12)=0),IF(AND(Units!$L74=1,CN$1=Units!$Q74),IF(Units!$J74&lt;&gt;"",Units!$J74,Mkt!CN75),Inputs!$B$15*Mkt!CN75+(1-Inputs!$B$15)*MIN(Mkt!CN75,CM75*(1+Inputs!$B$18))),CM75)))</f>
        <v>1592.68665572521</v>
      </c>
      <c r="CO75" s="11" t="n">
        <f aca="false">IF(CO$1&lt;Units!$P74,0,IF(AND(Units!$K74=0,CO$1=Units!$O74),Units!$R74,IF(AND(CO$1&gt;=Units!$Q74,MOD(CO$1-Units!$Q74,12)=0),IF(AND(Units!$L74=1,CO$1=Units!$Q74),IF(Units!$J74&lt;&gt;"",Units!$J74,Mkt!CO75),Inputs!$B$15*Mkt!CO75+(1-Inputs!$B$15)*MIN(Mkt!CO75,CN75*(1+Inputs!$B$18))),CN75)))</f>
        <v>1592.68665572521</v>
      </c>
      <c r="CP75" s="11" t="n">
        <f aca="false">IF(CP$1&lt;Units!$P74,0,IF(AND(Units!$K74=0,CP$1=Units!$O74),Units!$R74,IF(AND(CP$1&gt;=Units!$Q74,MOD(CP$1-Units!$Q74,12)=0),IF(AND(Units!$L74=1,CP$1=Units!$Q74),IF(Units!$J74&lt;&gt;"",Units!$J74,Mkt!CP75),Inputs!$B$15*Mkt!CP75+(1-Inputs!$B$15)*MIN(Mkt!CP75,CO75*(1+Inputs!$B$18))),CO75)))</f>
        <v>1592.68665572521</v>
      </c>
      <c r="CQ75" s="11" t="n">
        <f aca="false">IF(CQ$1&lt;Units!$P74,0,IF(AND(Units!$K74=0,CQ$1=Units!$O74),Units!$R74,IF(AND(CQ$1&gt;=Units!$Q74,MOD(CQ$1-Units!$Q74,12)=0),IF(AND(Units!$L74=1,CQ$1=Units!$Q74),IF(Units!$J74&lt;&gt;"",Units!$J74,Mkt!CQ75),Inputs!$B$15*Mkt!CQ75+(1-Inputs!$B$15)*MIN(Mkt!CQ75,CP75*(1+Inputs!$B$18))),CP75)))</f>
        <v>1592.68665572521</v>
      </c>
      <c r="CR75" s="11" t="n">
        <f aca="false">IF(CR$1&lt;Units!$P74,0,IF(AND(Units!$K74=0,CR$1=Units!$O74),Units!$R74,IF(AND(CR$1&gt;=Units!$Q74,MOD(CR$1-Units!$Q74,12)=0),IF(AND(Units!$L74=1,CR$1=Units!$Q74),IF(Units!$J74&lt;&gt;"",Units!$J74,Mkt!CR75),Inputs!$B$15*Mkt!CR75+(1-Inputs!$B$15)*MIN(Mkt!CR75,CQ75*(1+Inputs!$B$18))),CQ75)))</f>
        <v>1592.68665572521</v>
      </c>
      <c r="CS75" s="11" t="n">
        <f aca="false">IF(CS$1&lt;Units!$P74,0,IF(AND(Units!$K74=0,CS$1=Units!$O74),Units!$R74,IF(AND(CS$1&gt;=Units!$Q74,MOD(CS$1-Units!$Q74,12)=0),IF(AND(Units!$L74=1,CS$1=Units!$Q74),IF(Units!$J74&lt;&gt;"",Units!$J74,Mkt!CS75),Inputs!$B$15*Mkt!CS75+(1-Inputs!$B$15)*MIN(Mkt!CS75,CR75*(1+Inputs!$B$18))),CR75)))</f>
        <v>1592.68665572521</v>
      </c>
      <c r="CT75" s="11" t="n">
        <f aca="false">IF(CT$1&lt;Units!$P74,0,IF(AND(Units!$K74=0,CT$1=Units!$O74),Units!$R74,IF(AND(CT$1&gt;=Units!$Q74,MOD(CT$1-Units!$Q74,12)=0),IF(AND(Units!$L74=1,CT$1=Units!$Q74),IF(Units!$J74&lt;&gt;"",Units!$J74,Mkt!CT75),Inputs!$B$15*Mkt!CT75+(1-Inputs!$B$15)*MIN(Mkt!CT75,CS75*(1+Inputs!$B$18))),CS75)))</f>
        <v>1592.68665572521</v>
      </c>
      <c r="CU75" s="11" t="n">
        <f aca="false">IF(CU$1&lt;Units!$P74,0,IF(AND(Units!$K74=0,CU$1=Units!$O74),Units!$R74,IF(AND(CU$1&gt;=Units!$Q74,MOD(CU$1-Units!$Q74,12)=0),IF(AND(Units!$L74=1,CU$1=Units!$Q74),IF(Units!$J74&lt;&gt;"",Units!$J74,Mkt!CU75),Inputs!$B$15*Mkt!CU75+(1-Inputs!$B$15)*MIN(Mkt!CU75,CT75*(1+Inputs!$B$18))),CT75)))</f>
        <v>1592.68665572521</v>
      </c>
      <c r="CV75" s="11" t="n">
        <f aca="false">IF(CV$1&lt;Units!$P74,0,IF(AND(Units!$K74=0,CV$1=Units!$O74),Units!$R74,IF(AND(CV$1&gt;=Units!$Q74,MOD(CV$1-Units!$Q74,12)=0),IF(AND(Units!$L74=1,CV$1=Units!$Q74),IF(Units!$J74&lt;&gt;"",Units!$J74,Mkt!CV75),Inputs!$B$15*Mkt!CV75+(1-Inputs!$B$15)*MIN(Mkt!CV75,CU75*(1+Inputs!$B$18))),CU75)))</f>
        <v>1592.68665572521</v>
      </c>
      <c r="CW75" s="11" t="n">
        <f aca="false">IF(CW$1&lt;Units!$P74,0,IF(AND(Units!$K74=0,CW$1=Units!$O74),Units!$R74,IF(AND(CW$1&gt;=Units!$Q74,MOD(CW$1-Units!$Q74,12)=0),IF(AND(Units!$L74=1,CW$1=Units!$Q74),IF(Units!$J74&lt;&gt;"",Units!$J74,Mkt!CW75),Inputs!$B$15*Mkt!CW75+(1-Inputs!$B$15)*MIN(Mkt!CW75,CV75*(1+Inputs!$B$18))),CV75)))</f>
        <v>1592.68665572521</v>
      </c>
      <c r="CX75" s="11" t="n">
        <f aca="false">IF(CX$1&lt;Units!$P74,0,IF(AND(Units!$K74=0,CX$1=Units!$O74),Units!$R74,IF(AND(CX$1&gt;=Units!$Q74,MOD(CX$1-Units!$Q74,12)=0),IF(AND(Units!$L74=1,CX$1=Units!$Q74),IF(Units!$J74&lt;&gt;"",Units!$J74,Mkt!CX75),Inputs!$B$15*Mkt!CX75+(1-Inputs!$B$15)*MIN(Mkt!CX75,CW75*(1+Inputs!$B$18))),CW75)))</f>
        <v>1640.46725539696</v>
      </c>
      <c r="CY75" s="11" t="n">
        <f aca="false">IF(CY$1&lt;Units!$P74,0,IF(AND(Units!$K74=0,CY$1=Units!$O74),Units!$R74,IF(AND(CY$1&gt;=Units!$Q74,MOD(CY$1-Units!$Q74,12)=0),IF(AND(Units!$L74=1,CY$1=Units!$Q74),IF(Units!$J74&lt;&gt;"",Units!$J74,Mkt!CY75),Inputs!$B$15*Mkt!CY75+(1-Inputs!$B$15)*MIN(Mkt!CY75,CX75*(1+Inputs!$B$18))),CX75)))</f>
        <v>1640.46725539696</v>
      </c>
      <c r="CZ75" s="11" t="n">
        <f aca="false">IF(CZ$1&lt;Units!$P74,0,IF(AND(Units!$K74=0,CZ$1=Units!$O74),Units!$R74,IF(AND(CZ$1&gt;=Units!$Q74,MOD(CZ$1-Units!$Q74,12)=0),IF(AND(Units!$L74=1,CZ$1=Units!$Q74),IF(Units!$J74&lt;&gt;"",Units!$J74,Mkt!CZ75),Inputs!$B$15*Mkt!CZ75+(1-Inputs!$B$15)*MIN(Mkt!CZ75,CY75*(1+Inputs!$B$18))),CY75)))</f>
        <v>1640.46725539696</v>
      </c>
      <c r="DA75" s="11" t="n">
        <f aca="false">IF(DA$1&lt;Units!$P74,0,IF(AND(Units!$K74=0,DA$1=Units!$O74),Units!$R74,IF(AND(DA$1&gt;=Units!$Q74,MOD(DA$1-Units!$Q74,12)=0),IF(AND(Units!$L74=1,DA$1=Units!$Q74),IF(Units!$J74&lt;&gt;"",Units!$J74,Mkt!DA75),Inputs!$B$15*Mkt!DA75+(1-Inputs!$B$15)*MIN(Mkt!DA75,CZ75*(1+Inputs!$B$18))),CZ75)))</f>
        <v>1640.46725539696</v>
      </c>
      <c r="DB75" s="11" t="n">
        <f aca="false">IF(DB$1&lt;Units!$P74,0,IF(AND(Units!$K74=0,DB$1=Units!$O74),Units!$R74,IF(AND(DB$1&gt;=Units!$Q74,MOD(DB$1-Units!$Q74,12)=0),IF(AND(Units!$L74=1,DB$1=Units!$Q74),IF(Units!$J74&lt;&gt;"",Units!$J74,Mkt!DB75),Inputs!$B$15*Mkt!DB75+(1-Inputs!$B$15)*MIN(Mkt!DB75,DA75*(1+Inputs!$B$18))),DA75)))</f>
        <v>1640.46725539696</v>
      </c>
      <c r="DC75" s="11" t="n">
        <f aca="false">IF(DC$1&lt;Units!$P74,0,IF(AND(Units!$K74=0,DC$1=Units!$O74),Units!$R74,IF(AND(DC$1&gt;=Units!$Q74,MOD(DC$1-Units!$Q74,12)=0),IF(AND(Units!$L74=1,DC$1=Units!$Q74),IF(Units!$J74&lt;&gt;"",Units!$J74,Mkt!DC75),Inputs!$B$15*Mkt!DC75+(1-Inputs!$B$15)*MIN(Mkt!DC75,DB75*(1+Inputs!$B$18))),DB75)))</f>
        <v>1640.46725539696</v>
      </c>
      <c r="DD75" s="11" t="n">
        <f aca="false">IF(DD$1&lt;Units!$P74,0,IF(AND(Units!$K74=0,DD$1=Units!$O74),Units!$R74,IF(AND(DD$1&gt;=Units!$Q74,MOD(DD$1-Units!$Q74,12)=0),IF(AND(Units!$L74=1,DD$1=Units!$Q74),IF(Units!$J74&lt;&gt;"",Units!$J74,Mkt!DD75),Inputs!$B$15*Mkt!DD75+(1-Inputs!$B$15)*MIN(Mkt!DD75,DC75*(1+Inputs!$B$18))),DC75)))</f>
        <v>1640.46725539696</v>
      </c>
      <c r="DE75" s="11" t="n">
        <f aca="false">IF(DE$1&lt;Units!$P74,0,IF(AND(Units!$K74=0,DE$1=Units!$O74),Units!$R74,IF(AND(DE$1&gt;=Units!$Q74,MOD(DE$1-Units!$Q74,12)=0),IF(AND(Units!$L74=1,DE$1=Units!$Q74),IF(Units!$J74&lt;&gt;"",Units!$J74,Mkt!DE75),Inputs!$B$15*Mkt!DE75+(1-Inputs!$B$15)*MIN(Mkt!DE75,DD75*(1+Inputs!$B$18))),DD75)))</f>
        <v>1640.46725539696</v>
      </c>
      <c r="DF75" s="11" t="n">
        <f aca="false">IF(DF$1&lt;Units!$P74,0,IF(AND(Units!$K74=0,DF$1=Units!$O74),Units!$R74,IF(AND(DF$1&gt;=Units!$Q74,MOD(DF$1-Units!$Q74,12)=0),IF(AND(Units!$L74=1,DF$1=Units!$Q74),IF(Units!$J74&lt;&gt;"",Units!$J74,Mkt!DF75),Inputs!$B$15*Mkt!DF75+(1-Inputs!$B$15)*MIN(Mkt!DF75,DE75*(1+Inputs!$B$18))),DE75)))</f>
        <v>1640.46725539696</v>
      </c>
      <c r="DG75" s="11" t="n">
        <f aca="false">IF(DG$1&lt;Units!$P74,0,IF(AND(Units!$K74=0,DG$1=Units!$O74),Units!$R74,IF(AND(DG$1&gt;=Units!$Q74,MOD(DG$1-Units!$Q74,12)=0),IF(AND(Units!$L74=1,DG$1=Units!$Q74),IF(Units!$J74&lt;&gt;"",Units!$J74,Mkt!DG75),Inputs!$B$15*Mkt!DG75+(1-Inputs!$B$15)*MIN(Mkt!DG75,DF75*(1+Inputs!$B$18))),DF75)))</f>
        <v>1640.46725539696</v>
      </c>
      <c r="DH75" s="11" t="n">
        <f aca="false">IF(DH$1&lt;Units!$P74,0,IF(AND(Units!$K74=0,DH$1=Units!$O74),Units!$R74,IF(AND(DH$1&gt;=Units!$Q74,MOD(DH$1-Units!$Q74,12)=0),IF(AND(Units!$L74=1,DH$1=Units!$Q74),IF(Units!$J74&lt;&gt;"",Units!$J74,Mkt!DH75),Inputs!$B$15*Mkt!DH75+(1-Inputs!$B$15)*MIN(Mkt!DH75,DG75*(1+Inputs!$B$18))),DG75)))</f>
        <v>1640.46725539696</v>
      </c>
      <c r="DI75" s="11" t="n">
        <f aca="false">IF(DI$1&lt;Units!$P74,0,IF(AND(Units!$K74=0,DI$1=Units!$O74),Units!$R74,IF(AND(DI$1&gt;=Units!$Q74,MOD(DI$1-Units!$Q74,12)=0),IF(AND(Units!$L74=1,DI$1=Units!$Q74),IF(Units!$J74&lt;&gt;"",Units!$J74,Mkt!DI75),Inputs!$B$15*Mkt!DI75+(1-Inputs!$B$15)*MIN(Mkt!DI75,DH75*(1+Inputs!$B$18))),DH75)))</f>
        <v>1640.46725539696</v>
      </c>
      <c r="DJ75" s="11" t="n">
        <f aca="false">IF(DJ$1&lt;Units!$P74,0,IF(AND(Units!$K74=0,DJ$1=Units!$O74),Units!$R74,IF(AND(DJ$1&gt;=Units!$Q74,MOD(DJ$1-Units!$Q74,12)=0),IF(AND(Units!$L74=1,DJ$1=Units!$Q74),IF(Units!$J74&lt;&gt;"",Units!$J74,Mkt!DJ75),Inputs!$B$15*Mkt!DJ75+(1-Inputs!$B$15)*MIN(Mkt!DJ75,DI75*(1+Inputs!$B$18))),DI75)))</f>
        <v>1689.68127305887</v>
      </c>
      <c r="DK75" s="11" t="n">
        <f aca="false">IF(DK$1&lt;Units!$P74,0,IF(AND(Units!$K74=0,DK$1=Units!$O74),Units!$R74,IF(AND(DK$1&gt;=Units!$Q74,MOD(DK$1-Units!$Q74,12)=0),IF(AND(Units!$L74=1,DK$1=Units!$Q74),IF(Units!$J74&lt;&gt;"",Units!$J74,Mkt!DK75),Inputs!$B$15*Mkt!DK75+(1-Inputs!$B$15)*MIN(Mkt!DK75,DJ75*(1+Inputs!$B$18))),DJ75)))</f>
        <v>1689.68127305887</v>
      </c>
      <c r="DL75" s="11" t="n">
        <f aca="false">IF(DL$1&lt;Units!$P74,0,IF(AND(Units!$K74=0,DL$1=Units!$O74),Units!$R74,IF(AND(DL$1&gt;=Units!$Q74,MOD(DL$1-Units!$Q74,12)=0),IF(AND(Units!$L74=1,DL$1=Units!$Q74),IF(Units!$J74&lt;&gt;"",Units!$J74,Mkt!DL75),Inputs!$B$15*Mkt!DL75+(1-Inputs!$B$15)*MIN(Mkt!DL75,DK75*(1+Inputs!$B$18))),DK75)))</f>
        <v>1689.68127305887</v>
      </c>
      <c r="DM75" s="11" t="n">
        <f aca="false">IF(DM$1&lt;Units!$P74,0,IF(AND(Units!$K74=0,DM$1=Units!$O74),Units!$R74,IF(AND(DM$1&gt;=Units!$Q74,MOD(DM$1-Units!$Q74,12)=0),IF(AND(Units!$L74=1,DM$1=Units!$Q74),IF(Units!$J74&lt;&gt;"",Units!$J74,Mkt!DM75),Inputs!$B$15*Mkt!DM75+(1-Inputs!$B$15)*MIN(Mkt!DM75,DL75*(1+Inputs!$B$18))),DL75)))</f>
        <v>1689.68127305887</v>
      </c>
      <c r="DN75" s="11" t="n">
        <f aca="false">IF(DN$1&lt;Units!$P74,0,IF(AND(Units!$K74=0,DN$1=Units!$O74),Units!$R74,IF(AND(DN$1&gt;=Units!$Q74,MOD(DN$1-Units!$Q74,12)=0),IF(AND(Units!$L74=1,DN$1=Units!$Q74),IF(Units!$J74&lt;&gt;"",Units!$J74,Mkt!DN75),Inputs!$B$15*Mkt!DN75+(1-Inputs!$B$15)*MIN(Mkt!DN75,DM75*(1+Inputs!$B$18))),DM75)))</f>
        <v>1689.68127305887</v>
      </c>
      <c r="DO75" s="11" t="n">
        <f aca="false">IF(DO$1&lt;Units!$P74,0,IF(AND(Units!$K74=0,DO$1=Units!$O74),Units!$R74,IF(AND(DO$1&gt;=Units!$Q74,MOD(DO$1-Units!$Q74,12)=0),IF(AND(Units!$L74=1,DO$1=Units!$Q74),IF(Units!$J74&lt;&gt;"",Units!$J74,Mkt!DO75),Inputs!$B$15*Mkt!DO75+(1-Inputs!$B$15)*MIN(Mkt!DO75,DN75*(1+Inputs!$B$18))),DN75)))</f>
        <v>1689.68127305887</v>
      </c>
      <c r="DP75" s="11" t="n">
        <f aca="false">IF(DP$1&lt;Units!$P74,0,IF(AND(Units!$K74=0,DP$1=Units!$O74),Units!$R74,IF(AND(DP$1&gt;=Units!$Q74,MOD(DP$1-Units!$Q74,12)=0),IF(AND(Units!$L74=1,DP$1=Units!$Q74),IF(Units!$J74&lt;&gt;"",Units!$J74,Mkt!DP75),Inputs!$B$15*Mkt!DP75+(1-Inputs!$B$15)*MIN(Mkt!DP75,DO75*(1+Inputs!$B$18))),DO75)))</f>
        <v>1689.68127305887</v>
      </c>
      <c r="DQ75" s="11" t="n">
        <f aca="false">IF(DQ$1&lt;Units!$P74,0,IF(AND(Units!$K74=0,DQ$1=Units!$O74),Units!$R74,IF(AND(DQ$1&gt;=Units!$Q74,MOD(DQ$1-Units!$Q74,12)=0),IF(AND(Units!$L74=1,DQ$1=Units!$Q74),IF(Units!$J74&lt;&gt;"",Units!$J74,Mkt!DQ75),Inputs!$B$15*Mkt!DQ75+(1-Inputs!$B$15)*MIN(Mkt!DQ75,DP75*(1+Inputs!$B$18))),DP75)))</f>
        <v>1689.68127305887</v>
      </c>
      <c r="DR75" s="11" t="n">
        <f aca="false">IF(DR$1&lt;Units!$P74,0,IF(AND(Units!$K74=0,DR$1=Units!$O74),Units!$R74,IF(AND(DR$1&gt;=Units!$Q74,MOD(DR$1-Units!$Q74,12)=0),IF(AND(Units!$L74=1,DR$1=Units!$Q74),IF(Units!$J74&lt;&gt;"",Units!$J74,Mkt!DR75),Inputs!$B$15*Mkt!DR75+(1-Inputs!$B$15)*MIN(Mkt!DR75,DQ75*(1+Inputs!$B$18))),DQ75)))</f>
        <v>1689.68127305887</v>
      </c>
      <c r="DS75" s="11" t="n">
        <f aca="false">IF(DS$1&lt;Units!$P74,0,IF(AND(Units!$K74=0,DS$1=Units!$O74),Units!$R74,IF(AND(DS$1&gt;=Units!$Q74,MOD(DS$1-Units!$Q74,12)=0),IF(AND(Units!$L74=1,DS$1=Units!$Q74),IF(Units!$J74&lt;&gt;"",Units!$J74,Mkt!DS75),Inputs!$B$15*Mkt!DS75+(1-Inputs!$B$15)*MIN(Mkt!DS75,DR75*(1+Inputs!$B$18))),DR75)))</f>
        <v>1689.68127305887</v>
      </c>
      <c r="DT75" s="11" t="n">
        <f aca="false">IF(DT$1&lt;Units!$P74,0,IF(AND(Units!$K74=0,DT$1=Units!$O74),Units!$R74,IF(AND(DT$1&gt;=Units!$Q74,MOD(DT$1-Units!$Q74,12)=0),IF(AND(Units!$L74=1,DT$1=Units!$Q74),IF(Units!$J74&lt;&gt;"",Units!$J74,Mkt!DT75),Inputs!$B$15*Mkt!DT75+(1-Inputs!$B$15)*MIN(Mkt!DT75,DS75*(1+Inputs!$B$18))),DS75)))</f>
        <v>1689.68127305887</v>
      </c>
      <c r="DU75" s="11" t="n">
        <f aca="false">IF(DU$1&lt;Units!$P74,0,IF(AND(Units!$K74=0,DU$1=Units!$O74),Units!$R74,IF(AND(DU$1&gt;=Units!$Q74,MOD(DU$1-Units!$Q74,12)=0),IF(AND(Units!$L74=1,DU$1=Units!$Q74),IF(Units!$J74&lt;&gt;"",Units!$J74,Mkt!DU75),Inputs!$B$15*Mkt!DU75+(1-Inputs!$B$15)*MIN(Mkt!DU75,DT75*(1+Inputs!$B$18))),DT75)))</f>
        <v>1689.68127305887</v>
      </c>
      <c r="DV75" s="11" t="n">
        <f aca="false">IF(DV$1&lt;Units!$P74,0,IF(AND(Units!$K74=0,DV$1=Units!$O74),Units!$R74,IF(AND(DV$1&gt;=Units!$Q74,MOD(DV$1-Units!$Q74,12)=0),IF(AND(Units!$L74=1,DV$1=Units!$Q74),IF(Units!$J74&lt;&gt;"",Units!$J74,Mkt!DV75),Inputs!$B$15*Mkt!DV75+(1-Inputs!$B$15)*MIN(Mkt!DV75,DU75*(1+Inputs!$B$18))),DU75)))</f>
        <v>1740.37171125064</v>
      </c>
      <c r="DW75" s="11" t="n">
        <f aca="false">IF(DW$1&lt;Units!$P74,0,IF(AND(Units!$K74=0,DW$1=Units!$O74),Units!$R74,IF(AND(DW$1&gt;=Units!$Q74,MOD(DW$1-Units!$Q74,12)=0),IF(AND(Units!$L74=1,DW$1=Units!$Q74),IF(Units!$J74&lt;&gt;"",Units!$J74,Mkt!DW75),Inputs!$B$15*Mkt!DW75+(1-Inputs!$B$15)*MIN(Mkt!DW75,DV75*(1+Inputs!$B$18))),DV75)))</f>
        <v>1740.37171125064</v>
      </c>
      <c r="DX75" s="11" t="n">
        <f aca="false">IF(DX$1&lt;Units!$P74,0,IF(AND(Units!$K74=0,DX$1=Units!$O74),Units!$R74,IF(AND(DX$1&gt;=Units!$Q74,MOD(DX$1-Units!$Q74,12)=0),IF(AND(Units!$L74=1,DX$1=Units!$Q74),IF(Units!$J74&lt;&gt;"",Units!$J74,Mkt!DX75),Inputs!$B$15*Mkt!DX75+(1-Inputs!$B$15)*MIN(Mkt!DX75,DW75*(1+Inputs!$B$18))),DW75)))</f>
        <v>1740.37171125064</v>
      </c>
      <c r="DY75" s="11" t="n">
        <f aca="false">IF(DY$1&lt;Units!$P74,0,IF(AND(Units!$K74=0,DY$1=Units!$O74),Units!$R74,IF(AND(DY$1&gt;=Units!$Q74,MOD(DY$1-Units!$Q74,12)=0),IF(AND(Units!$L74=1,DY$1=Units!$Q74),IF(Units!$J74&lt;&gt;"",Units!$J74,Mkt!DY75),Inputs!$B$15*Mkt!DY75+(1-Inputs!$B$15)*MIN(Mkt!DY75,DX75*(1+Inputs!$B$18))),DX75)))</f>
        <v>1740.37171125064</v>
      </c>
      <c r="DZ75" s="11" t="n">
        <f aca="false">IF(DZ$1&lt;Units!$P74,0,IF(AND(Units!$K74=0,DZ$1=Units!$O74),Units!$R74,IF(AND(DZ$1&gt;=Units!$Q74,MOD(DZ$1-Units!$Q74,12)=0),IF(AND(Units!$L74=1,DZ$1=Units!$Q74),IF(Units!$J74&lt;&gt;"",Units!$J74,Mkt!DZ75),Inputs!$B$15*Mkt!DZ75+(1-Inputs!$B$15)*MIN(Mkt!DZ75,DY75*(1+Inputs!$B$18))),DY75)))</f>
        <v>1740.37171125064</v>
      </c>
      <c r="EA75" s="11" t="n">
        <f aca="false">IF(EA$1&lt;Units!$P74,0,IF(AND(Units!$K74=0,EA$1=Units!$O74),Units!$R74,IF(AND(EA$1&gt;=Units!$Q74,MOD(EA$1-Units!$Q74,12)=0),IF(AND(Units!$L74=1,EA$1=Units!$Q74),IF(Units!$J74&lt;&gt;"",Units!$J74,Mkt!EA75),Inputs!$B$15*Mkt!EA75+(1-Inputs!$B$15)*MIN(Mkt!EA75,DZ75*(1+Inputs!$B$18))),DZ75)))</f>
        <v>1740.37171125064</v>
      </c>
      <c r="EB75" s="11" t="n">
        <f aca="false">IF(EB$1&lt;Units!$P74,0,IF(AND(Units!$K74=0,EB$1=Units!$O74),Units!$R74,IF(AND(EB$1&gt;=Units!$Q74,MOD(EB$1-Units!$Q74,12)=0),IF(AND(Units!$L74=1,EB$1=Units!$Q74),IF(Units!$J74&lt;&gt;"",Units!$J74,Mkt!EB75),Inputs!$B$15*Mkt!EB75+(1-Inputs!$B$15)*MIN(Mkt!EB75,EA75*(1+Inputs!$B$18))),EA75)))</f>
        <v>1740.37171125064</v>
      </c>
      <c r="EC75" s="11" t="n">
        <f aca="false">IF(EC$1&lt;Units!$P74,0,IF(AND(Units!$K74=0,EC$1=Units!$O74),Units!$R74,IF(AND(EC$1&gt;=Units!$Q74,MOD(EC$1-Units!$Q74,12)=0),IF(AND(Units!$L74=1,EC$1=Units!$Q74),IF(Units!$J74&lt;&gt;"",Units!$J74,Mkt!EC75),Inputs!$B$15*Mkt!EC75+(1-Inputs!$B$15)*MIN(Mkt!EC75,EB75*(1+Inputs!$B$18))),EB75)))</f>
        <v>1740.37171125064</v>
      </c>
      <c r="ED75" s="11" t="n">
        <f aca="false">IF(ED$1&lt;Units!$P74,0,IF(AND(Units!$K74=0,ED$1=Units!$O74),Units!$R74,IF(AND(ED$1&gt;=Units!$Q74,MOD(ED$1-Units!$Q74,12)=0),IF(AND(Units!$L74=1,ED$1=Units!$Q74),IF(Units!$J74&lt;&gt;"",Units!$J74,Mkt!ED75),Inputs!$B$15*Mkt!ED75+(1-Inputs!$B$15)*MIN(Mkt!ED75,EC75*(1+Inputs!$B$18))),EC75)))</f>
        <v>1740.37171125064</v>
      </c>
    </row>
    <row r="76" customFormat="false" ht="15" hidden="false" customHeight="false" outlineLevel="0" collapsed="false">
      <c r="A76" s="22" t="n">
        <f aca="false">Units!A75</f>
        <v>314</v>
      </c>
      <c r="B76" s="24" t="n">
        <f aca="false">IF(Units!K75=1,Units!F75,0)</f>
        <v>1195</v>
      </c>
      <c r="C76" s="11" t="n">
        <f aca="false">IF(C$1&lt;Units!$P75,0,IF(AND(Units!$K75=0,C$1=Units!$O75),Units!$R75,IF(AND(C$1&gt;=Units!$Q75,MOD(C$1-Units!$Q75,12)=0),IF(AND(Units!$L75=1,C$1=Units!$Q75),IF(Units!$J75&lt;&gt;"",Units!$J75,Mkt!C76),Inputs!$B$15*Mkt!C76+(1-Inputs!$B$15)*MIN(Mkt!C76,B76*(1+Inputs!$B$18))),B76)))</f>
        <v>1274.875</v>
      </c>
      <c r="D76" s="11" t="n">
        <f aca="false">IF(D$1&lt;Units!$P75,0,IF(AND(Units!$K75=0,D$1=Units!$O75),Units!$R75,IF(AND(D$1&gt;=Units!$Q75,MOD(D$1-Units!$Q75,12)=0),IF(AND(Units!$L75=1,D$1=Units!$Q75),IF(Units!$J75&lt;&gt;"",Units!$J75,Mkt!D76),Inputs!$B$15*Mkt!D76+(1-Inputs!$B$15)*MIN(Mkt!D76,C76*(1+Inputs!$B$18))),C76)))</f>
        <v>1274.875</v>
      </c>
      <c r="E76" s="11" t="n">
        <f aca="false">IF(E$1&lt;Units!$P75,0,IF(AND(Units!$K75=0,E$1=Units!$O75),Units!$R75,IF(AND(E$1&gt;=Units!$Q75,MOD(E$1-Units!$Q75,12)=0),IF(AND(Units!$L75=1,E$1=Units!$Q75),IF(Units!$J75&lt;&gt;"",Units!$J75,Mkt!E76),Inputs!$B$15*Mkt!E76+(1-Inputs!$B$15)*MIN(Mkt!E76,D76*(1+Inputs!$B$18))),D76)))</f>
        <v>1274.875</v>
      </c>
      <c r="F76" s="11" t="n">
        <f aca="false">IF(F$1&lt;Units!$P75,0,IF(AND(Units!$K75=0,F$1=Units!$O75),Units!$R75,IF(AND(F$1&gt;=Units!$Q75,MOD(F$1-Units!$Q75,12)=0),IF(AND(Units!$L75=1,F$1=Units!$Q75),IF(Units!$J75&lt;&gt;"",Units!$J75,Mkt!F76),Inputs!$B$15*Mkt!F76+(1-Inputs!$B$15)*MIN(Mkt!F76,E76*(1+Inputs!$B$18))),E76)))</f>
        <v>1274.875</v>
      </c>
      <c r="G76" s="11" t="n">
        <f aca="false">IF(G$1&lt;Units!$P75,0,IF(AND(Units!$K75=0,G$1=Units!$O75),Units!$R75,IF(AND(G$1&gt;=Units!$Q75,MOD(G$1-Units!$Q75,12)=0),IF(AND(Units!$L75=1,G$1=Units!$Q75),IF(Units!$J75&lt;&gt;"",Units!$J75,Mkt!G76),Inputs!$B$15*Mkt!G76+(1-Inputs!$B$15)*MIN(Mkt!G76,F76*(1+Inputs!$B$18))),F76)))</f>
        <v>1274.875</v>
      </c>
      <c r="H76" s="11" t="n">
        <f aca="false">IF(H$1&lt;Units!$P75,0,IF(AND(Units!$K75=0,H$1=Units!$O75),Units!$R75,IF(AND(H$1&gt;=Units!$Q75,MOD(H$1-Units!$Q75,12)=0),IF(AND(Units!$L75=1,H$1=Units!$Q75),IF(Units!$J75&lt;&gt;"",Units!$J75,Mkt!H76),Inputs!$B$15*Mkt!H76+(1-Inputs!$B$15)*MIN(Mkt!H76,G76*(1+Inputs!$B$18))),G76)))</f>
        <v>1274.875</v>
      </c>
      <c r="I76" s="11" t="n">
        <f aca="false">IF(I$1&lt;Units!$P75,0,IF(AND(Units!$K75=0,I$1=Units!$O75),Units!$R75,IF(AND(I$1&gt;=Units!$Q75,MOD(I$1-Units!$Q75,12)=0),IF(AND(Units!$L75=1,I$1=Units!$Q75),IF(Units!$J75&lt;&gt;"",Units!$J75,Mkt!I76),Inputs!$B$15*Mkt!I76+(1-Inputs!$B$15)*MIN(Mkt!I76,H76*(1+Inputs!$B$18))),H76)))</f>
        <v>1274.875</v>
      </c>
      <c r="J76" s="11" t="n">
        <f aca="false">IF(J$1&lt;Units!$P75,0,IF(AND(Units!$K75=0,J$1=Units!$O75),Units!$R75,IF(AND(J$1&gt;=Units!$Q75,MOD(J$1-Units!$Q75,12)=0),IF(AND(Units!$L75=1,J$1=Units!$Q75),IF(Units!$J75&lt;&gt;"",Units!$J75,Mkt!J76),Inputs!$B$15*Mkt!J76+(1-Inputs!$B$15)*MIN(Mkt!J76,I76*(1+Inputs!$B$18))),I76)))</f>
        <v>1274.875</v>
      </c>
      <c r="K76" s="11" t="n">
        <f aca="false">IF(K$1&lt;Units!$P75,0,IF(AND(Units!$K75=0,K$1=Units!$O75),Units!$R75,IF(AND(K$1&gt;=Units!$Q75,MOD(K$1-Units!$Q75,12)=0),IF(AND(Units!$L75=1,K$1=Units!$Q75),IF(Units!$J75&lt;&gt;"",Units!$J75,Mkt!K76),Inputs!$B$15*Mkt!K76+(1-Inputs!$B$15)*MIN(Mkt!K76,J76*(1+Inputs!$B$18))),J76)))</f>
        <v>1274.875</v>
      </c>
      <c r="L76" s="11" t="n">
        <f aca="false">IF(L$1&lt;Units!$P75,0,IF(AND(Units!$K75=0,L$1=Units!$O75),Units!$R75,IF(AND(L$1&gt;=Units!$Q75,MOD(L$1-Units!$Q75,12)=0),IF(AND(Units!$L75=1,L$1=Units!$Q75),IF(Units!$J75&lt;&gt;"",Units!$J75,Mkt!L76),Inputs!$B$15*Mkt!L76+(1-Inputs!$B$15)*MIN(Mkt!L76,K76*(1+Inputs!$B$18))),K76)))</f>
        <v>1274.875</v>
      </c>
      <c r="M76" s="11" t="n">
        <f aca="false">IF(M$1&lt;Units!$P75,0,IF(AND(Units!$K75=0,M$1=Units!$O75),Units!$R75,IF(AND(M$1&gt;=Units!$Q75,MOD(M$1-Units!$Q75,12)=0),IF(AND(Units!$L75=1,M$1=Units!$Q75),IF(Units!$J75&lt;&gt;"",Units!$J75,Mkt!M76),Inputs!$B$15*Mkt!M76+(1-Inputs!$B$15)*MIN(Mkt!M76,L76*(1+Inputs!$B$18))),L76)))</f>
        <v>1274.875</v>
      </c>
      <c r="N76" s="11" t="n">
        <f aca="false">IF(N$1&lt;Units!$P75,0,IF(AND(Units!$K75=0,N$1=Units!$O75),Units!$R75,IF(AND(N$1&gt;=Units!$Q75,MOD(N$1-Units!$Q75,12)=0),IF(AND(Units!$L75=1,N$1=Units!$Q75),IF(Units!$J75&lt;&gt;"",Units!$J75,Mkt!N76),Inputs!$B$15*Mkt!N76+(1-Inputs!$B$15)*MIN(Mkt!N76,M76*(1+Inputs!$B$18))),M76)))</f>
        <v>1274.875</v>
      </c>
      <c r="O76" s="11" t="n">
        <f aca="false">IF(O$1&lt;Units!$P75,0,IF(AND(Units!$K75=0,O$1=Units!$O75),Units!$R75,IF(AND(O$1&gt;=Units!$Q75,MOD(O$1-Units!$Q75,12)=0),IF(AND(Units!$L75=1,O$1=Units!$Q75),IF(Units!$J75&lt;&gt;"",Units!$J75,Mkt!O76),Inputs!$B$15*Mkt!O76+(1-Inputs!$B$15)*MIN(Mkt!O76,N76*(1+Inputs!$B$18))),N76)))</f>
        <v>1333.85</v>
      </c>
      <c r="P76" s="11" t="n">
        <f aca="false">IF(P$1&lt;Units!$P75,0,IF(AND(Units!$K75=0,P$1=Units!$O75),Units!$R75,IF(AND(P$1&gt;=Units!$Q75,MOD(P$1-Units!$Q75,12)=0),IF(AND(Units!$L75=1,P$1=Units!$Q75),IF(Units!$J75&lt;&gt;"",Units!$J75,Mkt!P76),Inputs!$B$15*Mkt!P76+(1-Inputs!$B$15)*MIN(Mkt!P76,O76*(1+Inputs!$B$18))),O76)))</f>
        <v>1333.85</v>
      </c>
      <c r="Q76" s="11" t="n">
        <f aca="false">IF(Q$1&lt;Units!$P75,0,IF(AND(Units!$K75=0,Q$1=Units!$O75),Units!$R75,IF(AND(Q$1&gt;=Units!$Q75,MOD(Q$1-Units!$Q75,12)=0),IF(AND(Units!$L75=1,Q$1=Units!$Q75),IF(Units!$J75&lt;&gt;"",Units!$J75,Mkt!Q76),Inputs!$B$15*Mkt!Q76+(1-Inputs!$B$15)*MIN(Mkt!Q76,P76*(1+Inputs!$B$18))),P76)))</f>
        <v>1333.85</v>
      </c>
      <c r="R76" s="11" t="n">
        <f aca="false">IF(R$1&lt;Units!$P75,0,IF(AND(Units!$K75=0,R$1=Units!$O75),Units!$R75,IF(AND(R$1&gt;=Units!$Q75,MOD(R$1-Units!$Q75,12)=0),IF(AND(Units!$L75=1,R$1=Units!$Q75),IF(Units!$J75&lt;&gt;"",Units!$J75,Mkt!R76),Inputs!$B$15*Mkt!R76+(1-Inputs!$B$15)*MIN(Mkt!R76,Q76*(1+Inputs!$B$18))),Q76)))</f>
        <v>1333.85</v>
      </c>
      <c r="S76" s="11" t="n">
        <f aca="false">IF(S$1&lt;Units!$P75,0,IF(AND(Units!$K75=0,S$1=Units!$O75),Units!$R75,IF(AND(S$1&gt;=Units!$Q75,MOD(S$1-Units!$Q75,12)=0),IF(AND(Units!$L75=1,S$1=Units!$Q75),IF(Units!$J75&lt;&gt;"",Units!$J75,Mkt!S76),Inputs!$B$15*Mkt!S76+(1-Inputs!$B$15)*MIN(Mkt!S76,R76*(1+Inputs!$B$18))),R76)))</f>
        <v>1333.85</v>
      </c>
      <c r="T76" s="11" t="n">
        <f aca="false">IF(T$1&lt;Units!$P75,0,IF(AND(Units!$K75=0,T$1=Units!$O75),Units!$R75,IF(AND(T$1&gt;=Units!$Q75,MOD(T$1-Units!$Q75,12)=0),IF(AND(Units!$L75=1,T$1=Units!$Q75),IF(Units!$J75&lt;&gt;"",Units!$J75,Mkt!T76),Inputs!$B$15*Mkt!T76+(1-Inputs!$B$15)*MIN(Mkt!T76,S76*(1+Inputs!$B$18))),S76)))</f>
        <v>1333.85</v>
      </c>
      <c r="U76" s="11" t="n">
        <f aca="false">IF(U$1&lt;Units!$P75,0,IF(AND(Units!$K75=0,U$1=Units!$O75),Units!$R75,IF(AND(U$1&gt;=Units!$Q75,MOD(U$1-Units!$Q75,12)=0),IF(AND(Units!$L75=1,U$1=Units!$Q75),IF(Units!$J75&lt;&gt;"",Units!$J75,Mkt!U76),Inputs!$B$15*Mkt!U76+(1-Inputs!$B$15)*MIN(Mkt!U76,T76*(1+Inputs!$B$18))),T76)))</f>
        <v>1333.85</v>
      </c>
      <c r="V76" s="11" t="n">
        <f aca="false">IF(V$1&lt;Units!$P75,0,IF(AND(Units!$K75=0,V$1=Units!$O75),Units!$R75,IF(AND(V$1&gt;=Units!$Q75,MOD(V$1-Units!$Q75,12)=0),IF(AND(Units!$L75=1,V$1=Units!$Q75),IF(Units!$J75&lt;&gt;"",Units!$J75,Mkt!V76),Inputs!$B$15*Mkt!V76+(1-Inputs!$B$15)*MIN(Mkt!V76,U76*(1+Inputs!$B$18))),U76)))</f>
        <v>1333.85</v>
      </c>
      <c r="W76" s="11" t="n">
        <f aca="false">IF(W$1&lt;Units!$P75,0,IF(AND(Units!$K75=0,W$1=Units!$O75),Units!$R75,IF(AND(W$1&gt;=Units!$Q75,MOD(W$1-Units!$Q75,12)=0),IF(AND(Units!$L75=1,W$1=Units!$Q75),IF(Units!$J75&lt;&gt;"",Units!$J75,Mkt!W76),Inputs!$B$15*Mkt!W76+(1-Inputs!$B$15)*MIN(Mkt!W76,V76*(1+Inputs!$B$18))),V76)))</f>
        <v>1333.85</v>
      </c>
      <c r="X76" s="11" t="n">
        <f aca="false">IF(X$1&lt;Units!$P75,0,IF(AND(Units!$K75=0,X$1=Units!$O75),Units!$R75,IF(AND(X$1&gt;=Units!$Q75,MOD(X$1-Units!$Q75,12)=0),IF(AND(Units!$L75=1,X$1=Units!$Q75),IF(Units!$J75&lt;&gt;"",Units!$J75,Mkt!X76),Inputs!$B$15*Mkt!X76+(1-Inputs!$B$15)*MIN(Mkt!X76,W76*(1+Inputs!$B$18))),W76)))</f>
        <v>1333.85</v>
      </c>
      <c r="Y76" s="11" t="n">
        <f aca="false">IF(Y$1&lt;Units!$P75,0,IF(AND(Units!$K75=0,Y$1=Units!$O75),Units!$R75,IF(AND(Y$1&gt;=Units!$Q75,MOD(Y$1-Units!$Q75,12)=0),IF(AND(Units!$L75=1,Y$1=Units!$Q75),IF(Units!$J75&lt;&gt;"",Units!$J75,Mkt!Y76),Inputs!$B$15*Mkt!Y76+(1-Inputs!$B$15)*MIN(Mkt!Y76,X76*(1+Inputs!$B$18))),X76)))</f>
        <v>1333.85</v>
      </c>
      <c r="Z76" s="11" t="n">
        <f aca="false">IF(Z$1&lt;Units!$P75,0,IF(AND(Units!$K75=0,Z$1=Units!$O75),Units!$R75,IF(AND(Z$1&gt;=Units!$Q75,MOD(Z$1-Units!$Q75,12)=0),IF(AND(Units!$L75=1,Z$1=Units!$Q75),IF(Units!$J75&lt;&gt;"",Units!$J75,Mkt!Z76),Inputs!$B$15*Mkt!Z76+(1-Inputs!$B$15)*MIN(Mkt!Z76,Y76*(1+Inputs!$B$18))),Y76)))</f>
        <v>1333.85</v>
      </c>
      <c r="AA76" s="11" t="n">
        <f aca="false">IF(AA$1&lt;Units!$P75,0,IF(AND(Units!$K75=0,AA$1=Units!$O75),Units!$R75,IF(AND(AA$1&gt;=Units!$Q75,MOD(AA$1-Units!$Q75,12)=0),IF(AND(Units!$L75=1,AA$1=Units!$Q75),IF(Units!$J75&lt;&gt;"",Units!$J75,Mkt!AA76),Inputs!$B$15*Mkt!AA76+(1-Inputs!$B$15)*MIN(Mkt!AA76,Z76*(1+Inputs!$B$18))),Z76)))</f>
        <v>1373.8655</v>
      </c>
      <c r="AB76" s="11" t="n">
        <f aca="false">IF(AB$1&lt;Units!$P75,0,IF(AND(Units!$K75=0,AB$1=Units!$O75),Units!$R75,IF(AND(AB$1&gt;=Units!$Q75,MOD(AB$1-Units!$Q75,12)=0),IF(AND(Units!$L75=1,AB$1=Units!$Q75),IF(Units!$J75&lt;&gt;"",Units!$J75,Mkt!AB76),Inputs!$B$15*Mkt!AB76+(1-Inputs!$B$15)*MIN(Mkt!AB76,AA76*(1+Inputs!$B$18))),AA76)))</f>
        <v>1373.8655</v>
      </c>
      <c r="AC76" s="11" t="n">
        <f aca="false">IF(AC$1&lt;Units!$P75,0,IF(AND(Units!$K75=0,AC$1=Units!$O75),Units!$R75,IF(AND(AC$1&gt;=Units!$Q75,MOD(AC$1-Units!$Q75,12)=0),IF(AND(Units!$L75=1,AC$1=Units!$Q75),IF(Units!$J75&lt;&gt;"",Units!$J75,Mkt!AC76),Inputs!$B$15*Mkt!AC76+(1-Inputs!$B$15)*MIN(Mkt!AC76,AB76*(1+Inputs!$B$18))),AB76)))</f>
        <v>1373.8655</v>
      </c>
      <c r="AD76" s="11" t="n">
        <f aca="false">IF(AD$1&lt;Units!$P75,0,IF(AND(Units!$K75=0,AD$1=Units!$O75),Units!$R75,IF(AND(AD$1&gt;=Units!$Q75,MOD(AD$1-Units!$Q75,12)=0),IF(AND(Units!$L75=1,AD$1=Units!$Q75),IF(Units!$J75&lt;&gt;"",Units!$J75,Mkt!AD76),Inputs!$B$15*Mkt!AD76+(1-Inputs!$B$15)*MIN(Mkt!AD76,AC76*(1+Inputs!$B$18))),AC76)))</f>
        <v>1373.8655</v>
      </c>
      <c r="AE76" s="11" t="n">
        <f aca="false">IF(AE$1&lt;Units!$P75,0,IF(AND(Units!$K75=0,AE$1=Units!$O75),Units!$R75,IF(AND(AE$1&gt;=Units!$Q75,MOD(AE$1-Units!$Q75,12)=0),IF(AND(Units!$L75=1,AE$1=Units!$Q75),IF(Units!$J75&lt;&gt;"",Units!$J75,Mkt!AE76),Inputs!$B$15*Mkt!AE76+(1-Inputs!$B$15)*MIN(Mkt!AE76,AD76*(1+Inputs!$B$18))),AD76)))</f>
        <v>1373.8655</v>
      </c>
      <c r="AF76" s="11" t="n">
        <f aca="false">IF(AF$1&lt;Units!$P75,0,IF(AND(Units!$K75=0,AF$1=Units!$O75),Units!$R75,IF(AND(AF$1&gt;=Units!$Q75,MOD(AF$1-Units!$Q75,12)=0),IF(AND(Units!$L75=1,AF$1=Units!$Q75),IF(Units!$J75&lt;&gt;"",Units!$J75,Mkt!AF76),Inputs!$B$15*Mkt!AF76+(1-Inputs!$B$15)*MIN(Mkt!AF76,AE76*(1+Inputs!$B$18))),AE76)))</f>
        <v>1373.8655</v>
      </c>
      <c r="AG76" s="11" t="n">
        <f aca="false">IF(AG$1&lt;Units!$P75,0,IF(AND(Units!$K75=0,AG$1=Units!$O75),Units!$R75,IF(AND(AG$1&gt;=Units!$Q75,MOD(AG$1-Units!$Q75,12)=0),IF(AND(Units!$L75=1,AG$1=Units!$Q75),IF(Units!$J75&lt;&gt;"",Units!$J75,Mkt!AG76),Inputs!$B$15*Mkt!AG76+(1-Inputs!$B$15)*MIN(Mkt!AG76,AF76*(1+Inputs!$B$18))),AF76)))</f>
        <v>1373.8655</v>
      </c>
      <c r="AH76" s="11" t="n">
        <f aca="false">IF(AH$1&lt;Units!$P75,0,IF(AND(Units!$K75=0,AH$1=Units!$O75),Units!$R75,IF(AND(AH$1&gt;=Units!$Q75,MOD(AH$1-Units!$Q75,12)=0),IF(AND(Units!$L75=1,AH$1=Units!$Q75),IF(Units!$J75&lt;&gt;"",Units!$J75,Mkt!AH76),Inputs!$B$15*Mkt!AH76+(1-Inputs!$B$15)*MIN(Mkt!AH76,AG76*(1+Inputs!$B$18))),AG76)))</f>
        <v>1373.8655</v>
      </c>
      <c r="AI76" s="11" t="n">
        <f aca="false">IF(AI$1&lt;Units!$P75,0,IF(AND(Units!$K75=0,AI$1=Units!$O75),Units!$R75,IF(AND(AI$1&gt;=Units!$Q75,MOD(AI$1-Units!$Q75,12)=0),IF(AND(Units!$L75=1,AI$1=Units!$Q75),IF(Units!$J75&lt;&gt;"",Units!$J75,Mkt!AI76),Inputs!$B$15*Mkt!AI76+(1-Inputs!$B$15)*MIN(Mkt!AI76,AH76*(1+Inputs!$B$18))),AH76)))</f>
        <v>1373.8655</v>
      </c>
      <c r="AJ76" s="11" t="n">
        <f aca="false">IF(AJ$1&lt;Units!$P75,0,IF(AND(Units!$K75=0,AJ$1=Units!$O75),Units!$R75,IF(AND(AJ$1&gt;=Units!$Q75,MOD(AJ$1-Units!$Q75,12)=0),IF(AND(Units!$L75=1,AJ$1=Units!$Q75),IF(Units!$J75&lt;&gt;"",Units!$J75,Mkt!AJ76),Inputs!$B$15*Mkt!AJ76+(1-Inputs!$B$15)*MIN(Mkt!AJ76,AI76*(1+Inputs!$B$18))),AI76)))</f>
        <v>1373.8655</v>
      </c>
      <c r="AK76" s="11" t="n">
        <f aca="false">IF(AK$1&lt;Units!$P75,0,IF(AND(Units!$K75=0,AK$1=Units!$O75),Units!$R75,IF(AND(AK$1&gt;=Units!$Q75,MOD(AK$1-Units!$Q75,12)=0),IF(AND(Units!$L75=1,AK$1=Units!$Q75),IF(Units!$J75&lt;&gt;"",Units!$J75,Mkt!AK76),Inputs!$B$15*Mkt!AK76+(1-Inputs!$B$15)*MIN(Mkt!AK76,AJ76*(1+Inputs!$B$18))),AJ76)))</f>
        <v>1373.8655</v>
      </c>
      <c r="AL76" s="11" t="n">
        <f aca="false">IF(AL$1&lt;Units!$P75,0,IF(AND(Units!$K75=0,AL$1=Units!$O75),Units!$R75,IF(AND(AL$1&gt;=Units!$Q75,MOD(AL$1-Units!$Q75,12)=0),IF(AND(Units!$L75=1,AL$1=Units!$Q75),IF(Units!$J75&lt;&gt;"",Units!$J75,Mkt!AL76),Inputs!$B$15*Mkt!AL76+(1-Inputs!$B$15)*MIN(Mkt!AL76,AK76*(1+Inputs!$B$18))),AK76)))</f>
        <v>1373.8655</v>
      </c>
      <c r="AM76" s="11" t="n">
        <f aca="false">IF(AM$1&lt;Units!$P75,0,IF(AND(Units!$K75=0,AM$1=Units!$O75),Units!$R75,IF(AND(AM$1&gt;=Units!$Q75,MOD(AM$1-Units!$Q75,12)=0),IF(AND(Units!$L75=1,AM$1=Units!$Q75),IF(Units!$J75&lt;&gt;"",Units!$J75,Mkt!AM76),Inputs!$B$15*Mkt!AM76+(1-Inputs!$B$15)*MIN(Mkt!AM76,AL76*(1+Inputs!$B$18))),AL76)))</f>
        <v>1415.081465</v>
      </c>
      <c r="AN76" s="11" t="n">
        <f aca="false">IF(AN$1&lt;Units!$P75,0,IF(AND(Units!$K75=0,AN$1=Units!$O75),Units!$R75,IF(AND(AN$1&gt;=Units!$Q75,MOD(AN$1-Units!$Q75,12)=0),IF(AND(Units!$L75=1,AN$1=Units!$Q75),IF(Units!$J75&lt;&gt;"",Units!$J75,Mkt!AN76),Inputs!$B$15*Mkt!AN76+(1-Inputs!$B$15)*MIN(Mkt!AN76,AM76*(1+Inputs!$B$18))),AM76)))</f>
        <v>1415.081465</v>
      </c>
      <c r="AO76" s="11" t="n">
        <f aca="false">IF(AO$1&lt;Units!$P75,0,IF(AND(Units!$K75=0,AO$1=Units!$O75),Units!$R75,IF(AND(AO$1&gt;=Units!$Q75,MOD(AO$1-Units!$Q75,12)=0),IF(AND(Units!$L75=1,AO$1=Units!$Q75),IF(Units!$J75&lt;&gt;"",Units!$J75,Mkt!AO76),Inputs!$B$15*Mkt!AO76+(1-Inputs!$B$15)*MIN(Mkt!AO76,AN76*(1+Inputs!$B$18))),AN76)))</f>
        <v>1415.081465</v>
      </c>
      <c r="AP76" s="11" t="n">
        <f aca="false">IF(AP$1&lt;Units!$P75,0,IF(AND(Units!$K75=0,AP$1=Units!$O75),Units!$R75,IF(AND(AP$1&gt;=Units!$Q75,MOD(AP$1-Units!$Q75,12)=0),IF(AND(Units!$L75=1,AP$1=Units!$Q75),IF(Units!$J75&lt;&gt;"",Units!$J75,Mkt!AP76),Inputs!$B$15*Mkt!AP76+(1-Inputs!$B$15)*MIN(Mkt!AP76,AO76*(1+Inputs!$B$18))),AO76)))</f>
        <v>1415.081465</v>
      </c>
      <c r="AQ76" s="11" t="n">
        <f aca="false">IF(AQ$1&lt;Units!$P75,0,IF(AND(Units!$K75=0,AQ$1=Units!$O75),Units!$R75,IF(AND(AQ$1&gt;=Units!$Q75,MOD(AQ$1-Units!$Q75,12)=0),IF(AND(Units!$L75=1,AQ$1=Units!$Q75),IF(Units!$J75&lt;&gt;"",Units!$J75,Mkt!AQ76),Inputs!$B$15*Mkt!AQ76+(1-Inputs!$B$15)*MIN(Mkt!AQ76,AP76*(1+Inputs!$B$18))),AP76)))</f>
        <v>1415.081465</v>
      </c>
      <c r="AR76" s="11" t="n">
        <f aca="false">IF(AR$1&lt;Units!$P75,0,IF(AND(Units!$K75=0,AR$1=Units!$O75),Units!$R75,IF(AND(AR$1&gt;=Units!$Q75,MOD(AR$1-Units!$Q75,12)=0),IF(AND(Units!$L75=1,AR$1=Units!$Q75),IF(Units!$J75&lt;&gt;"",Units!$J75,Mkt!AR76),Inputs!$B$15*Mkt!AR76+(1-Inputs!$B$15)*MIN(Mkt!AR76,AQ76*(1+Inputs!$B$18))),AQ76)))</f>
        <v>1415.081465</v>
      </c>
      <c r="AS76" s="11" t="n">
        <f aca="false">IF(AS$1&lt;Units!$P75,0,IF(AND(Units!$K75=0,AS$1=Units!$O75),Units!$R75,IF(AND(AS$1&gt;=Units!$Q75,MOD(AS$1-Units!$Q75,12)=0),IF(AND(Units!$L75=1,AS$1=Units!$Q75),IF(Units!$J75&lt;&gt;"",Units!$J75,Mkt!AS76),Inputs!$B$15*Mkt!AS76+(1-Inputs!$B$15)*MIN(Mkt!AS76,AR76*(1+Inputs!$B$18))),AR76)))</f>
        <v>1415.081465</v>
      </c>
      <c r="AT76" s="11" t="n">
        <f aca="false">IF(AT$1&lt;Units!$P75,0,IF(AND(Units!$K75=0,AT$1=Units!$O75),Units!$R75,IF(AND(AT$1&gt;=Units!$Q75,MOD(AT$1-Units!$Q75,12)=0),IF(AND(Units!$L75=1,AT$1=Units!$Q75),IF(Units!$J75&lt;&gt;"",Units!$J75,Mkt!AT76),Inputs!$B$15*Mkt!AT76+(1-Inputs!$B$15)*MIN(Mkt!AT76,AS76*(1+Inputs!$B$18))),AS76)))</f>
        <v>1415.081465</v>
      </c>
      <c r="AU76" s="11" t="n">
        <f aca="false">IF(AU$1&lt;Units!$P75,0,IF(AND(Units!$K75=0,AU$1=Units!$O75),Units!$R75,IF(AND(AU$1&gt;=Units!$Q75,MOD(AU$1-Units!$Q75,12)=0),IF(AND(Units!$L75=1,AU$1=Units!$Q75),IF(Units!$J75&lt;&gt;"",Units!$J75,Mkt!AU76),Inputs!$B$15*Mkt!AU76+(1-Inputs!$B$15)*MIN(Mkt!AU76,AT76*(1+Inputs!$B$18))),AT76)))</f>
        <v>1415.081465</v>
      </c>
      <c r="AV76" s="11" t="n">
        <f aca="false">IF(AV$1&lt;Units!$P75,0,IF(AND(Units!$K75=0,AV$1=Units!$O75),Units!$R75,IF(AND(AV$1&gt;=Units!$Q75,MOD(AV$1-Units!$Q75,12)=0),IF(AND(Units!$L75=1,AV$1=Units!$Q75),IF(Units!$J75&lt;&gt;"",Units!$J75,Mkt!AV76),Inputs!$B$15*Mkt!AV76+(1-Inputs!$B$15)*MIN(Mkt!AV76,AU76*(1+Inputs!$B$18))),AU76)))</f>
        <v>1415.081465</v>
      </c>
      <c r="AW76" s="11" t="n">
        <f aca="false">IF(AW$1&lt;Units!$P75,0,IF(AND(Units!$K75=0,AW$1=Units!$O75),Units!$R75,IF(AND(AW$1&gt;=Units!$Q75,MOD(AW$1-Units!$Q75,12)=0),IF(AND(Units!$L75=1,AW$1=Units!$Q75),IF(Units!$J75&lt;&gt;"",Units!$J75,Mkt!AW76),Inputs!$B$15*Mkt!AW76+(1-Inputs!$B$15)*MIN(Mkt!AW76,AV76*(1+Inputs!$B$18))),AV76)))</f>
        <v>1415.081465</v>
      </c>
      <c r="AX76" s="11" t="n">
        <f aca="false">IF(AX$1&lt;Units!$P75,0,IF(AND(Units!$K75=0,AX$1=Units!$O75),Units!$R75,IF(AND(AX$1&gt;=Units!$Q75,MOD(AX$1-Units!$Q75,12)=0),IF(AND(Units!$L75=1,AX$1=Units!$Q75),IF(Units!$J75&lt;&gt;"",Units!$J75,Mkt!AX76),Inputs!$B$15*Mkt!AX76+(1-Inputs!$B$15)*MIN(Mkt!AX76,AW76*(1+Inputs!$B$18))),AW76)))</f>
        <v>1415.081465</v>
      </c>
      <c r="AY76" s="11" t="n">
        <f aca="false">IF(AY$1&lt;Units!$P75,0,IF(AND(Units!$K75=0,AY$1=Units!$O75),Units!$R75,IF(AND(AY$1&gt;=Units!$Q75,MOD(AY$1-Units!$Q75,12)=0),IF(AND(Units!$L75=1,AY$1=Units!$Q75),IF(Units!$J75&lt;&gt;"",Units!$J75,Mkt!AY76),Inputs!$B$15*Mkt!AY76+(1-Inputs!$B$15)*MIN(Mkt!AY76,AX76*(1+Inputs!$B$18))),AX76)))</f>
        <v>1457.53390895</v>
      </c>
      <c r="AZ76" s="11" t="n">
        <f aca="false">IF(AZ$1&lt;Units!$P75,0,IF(AND(Units!$K75=0,AZ$1=Units!$O75),Units!$R75,IF(AND(AZ$1&gt;=Units!$Q75,MOD(AZ$1-Units!$Q75,12)=0),IF(AND(Units!$L75=1,AZ$1=Units!$Q75),IF(Units!$J75&lt;&gt;"",Units!$J75,Mkt!AZ76),Inputs!$B$15*Mkt!AZ76+(1-Inputs!$B$15)*MIN(Mkt!AZ76,AY76*(1+Inputs!$B$18))),AY76)))</f>
        <v>1457.53390895</v>
      </c>
      <c r="BA76" s="11" t="n">
        <f aca="false">IF(BA$1&lt;Units!$P75,0,IF(AND(Units!$K75=0,BA$1=Units!$O75),Units!$R75,IF(AND(BA$1&gt;=Units!$Q75,MOD(BA$1-Units!$Q75,12)=0),IF(AND(Units!$L75=1,BA$1=Units!$Q75),IF(Units!$J75&lt;&gt;"",Units!$J75,Mkt!BA76),Inputs!$B$15*Mkt!BA76+(1-Inputs!$B$15)*MIN(Mkt!BA76,AZ76*(1+Inputs!$B$18))),AZ76)))</f>
        <v>1457.53390895</v>
      </c>
      <c r="BB76" s="11" t="n">
        <f aca="false">IF(BB$1&lt;Units!$P75,0,IF(AND(Units!$K75=0,BB$1=Units!$O75),Units!$R75,IF(AND(BB$1&gt;=Units!$Q75,MOD(BB$1-Units!$Q75,12)=0),IF(AND(Units!$L75=1,BB$1=Units!$Q75),IF(Units!$J75&lt;&gt;"",Units!$J75,Mkt!BB76),Inputs!$B$15*Mkt!BB76+(1-Inputs!$B$15)*MIN(Mkt!BB76,BA76*(1+Inputs!$B$18))),BA76)))</f>
        <v>1457.53390895</v>
      </c>
      <c r="BC76" s="11" t="n">
        <f aca="false">IF(BC$1&lt;Units!$P75,0,IF(AND(Units!$K75=0,BC$1=Units!$O75),Units!$R75,IF(AND(BC$1&gt;=Units!$Q75,MOD(BC$1-Units!$Q75,12)=0),IF(AND(Units!$L75=1,BC$1=Units!$Q75),IF(Units!$J75&lt;&gt;"",Units!$J75,Mkt!BC76),Inputs!$B$15*Mkt!BC76+(1-Inputs!$B$15)*MIN(Mkt!BC76,BB76*(1+Inputs!$B$18))),BB76)))</f>
        <v>1457.53390895</v>
      </c>
      <c r="BD76" s="11" t="n">
        <f aca="false">IF(BD$1&lt;Units!$P75,0,IF(AND(Units!$K75=0,BD$1=Units!$O75),Units!$R75,IF(AND(BD$1&gt;=Units!$Q75,MOD(BD$1-Units!$Q75,12)=0),IF(AND(Units!$L75=1,BD$1=Units!$Q75),IF(Units!$J75&lt;&gt;"",Units!$J75,Mkt!BD76),Inputs!$B$15*Mkt!BD76+(1-Inputs!$B$15)*MIN(Mkt!BD76,BC76*(1+Inputs!$B$18))),BC76)))</f>
        <v>1457.53390895</v>
      </c>
      <c r="BE76" s="11" t="n">
        <f aca="false">IF(BE$1&lt;Units!$P75,0,IF(AND(Units!$K75=0,BE$1=Units!$O75),Units!$R75,IF(AND(BE$1&gt;=Units!$Q75,MOD(BE$1-Units!$Q75,12)=0),IF(AND(Units!$L75=1,BE$1=Units!$Q75),IF(Units!$J75&lt;&gt;"",Units!$J75,Mkt!BE76),Inputs!$B$15*Mkt!BE76+(1-Inputs!$B$15)*MIN(Mkt!BE76,BD76*(1+Inputs!$B$18))),BD76)))</f>
        <v>1457.53390895</v>
      </c>
      <c r="BF76" s="11" t="n">
        <f aca="false">IF(BF$1&lt;Units!$P75,0,IF(AND(Units!$K75=0,BF$1=Units!$O75),Units!$R75,IF(AND(BF$1&gt;=Units!$Q75,MOD(BF$1-Units!$Q75,12)=0),IF(AND(Units!$L75=1,BF$1=Units!$Q75),IF(Units!$J75&lt;&gt;"",Units!$J75,Mkt!BF76),Inputs!$B$15*Mkt!BF76+(1-Inputs!$B$15)*MIN(Mkt!BF76,BE76*(1+Inputs!$B$18))),BE76)))</f>
        <v>1457.53390895</v>
      </c>
      <c r="BG76" s="11" t="n">
        <f aca="false">IF(BG$1&lt;Units!$P75,0,IF(AND(Units!$K75=0,BG$1=Units!$O75),Units!$R75,IF(AND(BG$1&gt;=Units!$Q75,MOD(BG$1-Units!$Q75,12)=0),IF(AND(Units!$L75=1,BG$1=Units!$Q75),IF(Units!$J75&lt;&gt;"",Units!$J75,Mkt!BG76),Inputs!$B$15*Mkt!BG76+(1-Inputs!$B$15)*MIN(Mkt!BG76,BF76*(1+Inputs!$B$18))),BF76)))</f>
        <v>1457.53390895</v>
      </c>
      <c r="BH76" s="11" t="n">
        <f aca="false">IF(BH$1&lt;Units!$P75,0,IF(AND(Units!$K75=0,BH$1=Units!$O75),Units!$R75,IF(AND(BH$1&gt;=Units!$Q75,MOD(BH$1-Units!$Q75,12)=0),IF(AND(Units!$L75=1,BH$1=Units!$Q75),IF(Units!$J75&lt;&gt;"",Units!$J75,Mkt!BH76),Inputs!$B$15*Mkt!BH76+(1-Inputs!$B$15)*MIN(Mkt!BH76,BG76*(1+Inputs!$B$18))),BG76)))</f>
        <v>1457.53390895</v>
      </c>
      <c r="BI76" s="11" t="n">
        <f aca="false">IF(BI$1&lt;Units!$P75,0,IF(AND(Units!$K75=0,BI$1=Units!$O75),Units!$R75,IF(AND(BI$1&gt;=Units!$Q75,MOD(BI$1-Units!$Q75,12)=0),IF(AND(Units!$L75=1,BI$1=Units!$Q75),IF(Units!$J75&lt;&gt;"",Units!$J75,Mkt!BI76),Inputs!$B$15*Mkt!BI76+(1-Inputs!$B$15)*MIN(Mkt!BI76,BH76*(1+Inputs!$B$18))),BH76)))</f>
        <v>1457.53390895</v>
      </c>
      <c r="BJ76" s="11" t="n">
        <f aca="false">IF(BJ$1&lt;Units!$P75,0,IF(AND(Units!$K75=0,BJ$1=Units!$O75),Units!$R75,IF(AND(BJ$1&gt;=Units!$Q75,MOD(BJ$1-Units!$Q75,12)=0),IF(AND(Units!$L75=1,BJ$1=Units!$Q75),IF(Units!$J75&lt;&gt;"",Units!$J75,Mkt!BJ76),Inputs!$B$15*Mkt!BJ76+(1-Inputs!$B$15)*MIN(Mkt!BJ76,BI76*(1+Inputs!$B$18))),BI76)))</f>
        <v>1457.53390895</v>
      </c>
      <c r="BK76" s="11" t="n">
        <f aca="false">IF(BK$1&lt;Units!$P75,0,IF(AND(Units!$K75=0,BK$1=Units!$O75),Units!$R75,IF(AND(BK$1&gt;=Units!$Q75,MOD(BK$1-Units!$Q75,12)=0),IF(AND(Units!$L75=1,BK$1=Units!$Q75),IF(Units!$J75&lt;&gt;"",Units!$J75,Mkt!BK76),Inputs!$B$15*Mkt!BK76+(1-Inputs!$B$15)*MIN(Mkt!BK76,BJ76*(1+Inputs!$B$18))),BJ76)))</f>
        <v>1501.2599262185</v>
      </c>
      <c r="BL76" s="11" t="n">
        <f aca="false">IF(BL$1&lt;Units!$P75,0,IF(AND(Units!$K75=0,BL$1=Units!$O75),Units!$R75,IF(AND(BL$1&gt;=Units!$Q75,MOD(BL$1-Units!$Q75,12)=0),IF(AND(Units!$L75=1,BL$1=Units!$Q75),IF(Units!$J75&lt;&gt;"",Units!$J75,Mkt!BL76),Inputs!$B$15*Mkt!BL76+(1-Inputs!$B$15)*MIN(Mkt!BL76,BK76*(1+Inputs!$B$18))),BK76)))</f>
        <v>1501.2599262185</v>
      </c>
      <c r="BM76" s="11" t="n">
        <f aca="false">IF(BM$1&lt;Units!$P75,0,IF(AND(Units!$K75=0,BM$1=Units!$O75),Units!$R75,IF(AND(BM$1&gt;=Units!$Q75,MOD(BM$1-Units!$Q75,12)=0),IF(AND(Units!$L75=1,BM$1=Units!$Q75),IF(Units!$J75&lt;&gt;"",Units!$J75,Mkt!BM76),Inputs!$B$15*Mkt!BM76+(1-Inputs!$B$15)*MIN(Mkt!BM76,BL76*(1+Inputs!$B$18))),BL76)))</f>
        <v>1501.2599262185</v>
      </c>
      <c r="BN76" s="11" t="n">
        <f aca="false">IF(BN$1&lt;Units!$P75,0,IF(AND(Units!$K75=0,BN$1=Units!$O75),Units!$R75,IF(AND(BN$1&gt;=Units!$Q75,MOD(BN$1-Units!$Q75,12)=0),IF(AND(Units!$L75=1,BN$1=Units!$Q75),IF(Units!$J75&lt;&gt;"",Units!$J75,Mkt!BN76),Inputs!$B$15*Mkt!BN76+(1-Inputs!$B$15)*MIN(Mkt!BN76,BM76*(1+Inputs!$B$18))),BM76)))</f>
        <v>1501.2599262185</v>
      </c>
      <c r="BO76" s="11" t="n">
        <f aca="false">IF(BO$1&lt;Units!$P75,0,IF(AND(Units!$K75=0,BO$1=Units!$O75),Units!$R75,IF(AND(BO$1&gt;=Units!$Q75,MOD(BO$1-Units!$Q75,12)=0),IF(AND(Units!$L75=1,BO$1=Units!$Q75),IF(Units!$J75&lt;&gt;"",Units!$J75,Mkt!BO76),Inputs!$B$15*Mkt!BO76+(1-Inputs!$B$15)*MIN(Mkt!BO76,BN76*(1+Inputs!$B$18))),BN76)))</f>
        <v>1501.2599262185</v>
      </c>
      <c r="BP76" s="11" t="n">
        <f aca="false">IF(BP$1&lt;Units!$P75,0,IF(AND(Units!$K75=0,BP$1=Units!$O75),Units!$R75,IF(AND(BP$1&gt;=Units!$Q75,MOD(BP$1-Units!$Q75,12)=0),IF(AND(Units!$L75=1,BP$1=Units!$Q75),IF(Units!$J75&lt;&gt;"",Units!$J75,Mkt!BP76),Inputs!$B$15*Mkt!BP76+(1-Inputs!$B$15)*MIN(Mkt!BP76,BO76*(1+Inputs!$B$18))),BO76)))</f>
        <v>1501.2599262185</v>
      </c>
      <c r="BQ76" s="11" t="n">
        <f aca="false">IF(BQ$1&lt;Units!$P75,0,IF(AND(Units!$K75=0,BQ$1=Units!$O75),Units!$R75,IF(AND(BQ$1&gt;=Units!$Q75,MOD(BQ$1-Units!$Q75,12)=0),IF(AND(Units!$L75=1,BQ$1=Units!$Q75),IF(Units!$J75&lt;&gt;"",Units!$J75,Mkt!BQ76),Inputs!$B$15*Mkt!BQ76+(1-Inputs!$B$15)*MIN(Mkt!BQ76,BP76*(1+Inputs!$B$18))),BP76)))</f>
        <v>1501.2599262185</v>
      </c>
      <c r="BR76" s="11" t="n">
        <f aca="false">IF(BR$1&lt;Units!$P75,0,IF(AND(Units!$K75=0,BR$1=Units!$O75),Units!$R75,IF(AND(BR$1&gt;=Units!$Q75,MOD(BR$1-Units!$Q75,12)=0),IF(AND(Units!$L75=1,BR$1=Units!$Q75),IF(Units!$J75&lt;&gt;"",Units!$J75,Mkt!BR76),Inputs!$B$15*Mkt!BR76+(1-Inputs!$B$15)*MIN(Mkt!BR76,BQ76*(1+Inputs!$B$18))),BQ76)))</f>
        <v>1501.2599262185</v>
      </c>
      <c r="BS76" s="11" t="n">
        <f aca="false">IF(BS$1&lt;Units!$P75,0,IF(AND(Units!$K75=0,BS$1=Units!$O75),Units!$R75,IF(AND(BS$1&gt;=Units!$Q75,MOD(BS$1-Units!$Q75,12)=0),IF(AND(Units!$L75=1,BS$1=Units!$Q75),IF(Units!$J75&lt;&gt;"",Units!$J75,Mkt!BS76),Inputs!$B$15*Mkt!BS76+(1-Inputs!$B$15)*MIN(Mkt!BS76,BR76*(1+Inputs!$B$18))),BR76)))</f>
        <v>1501.2599262185</v>
      </c>
      <c r="BT76" s="11" t="n">
        <f aca="false">IF(BT$1&lt;Units!$P75,0,IF(AND(Units!$K75=0,BT$1=Units!$O75),Units!$R75,IF(AND(BT$1&gt;=Units!$Q75,MOD(BT$1-Units!$Q75,12)=0),IF(AND(Units!$L75=1,BT$1=Units!$Q75),IF(Units!$J75&lt;&gt;"",Units!$J75,Mkt!BT76),Inputs!$B$15*Mkt!BT76+(1-Inputs!$B$15)*MIN(Mkt!BT76,BS76*(1+Inputs!$B$18))),BS76)))</f>
        <v>1501.2599262185</v>
      </c>
      <c r="BU76" s="11" t="n">
        <f aca="false">IF(BU$1&lt;Units!$P75,0,IF(AND(Units!$K75=0,BU$1=Units!$O75),Units!$R75,IF(AND(BU$1&gt;=Units!$Q75,MOD(BU$1-Units!$Q75,12)=0),IF(AND(Units!$L75=1,BU$1=Units!$Q75),IF(Units!$J75&lt;&gt;"",Units!$J75,Mkt!BU76),Inputs!$B$15*Mkt!BU76+(1-Inputs!$B$15)*MIN(Mkt!BU76,BT76*(1+Inputs!$B$18))),BT76)))</f>
        <v>1501.2599262185</v>
      </c>
      <c r="BV76" s="11" t="n">
        <f aca="false">IF(BV$1&lt;Units!$P75,0,IF(AND(Units!$K75=0,BV$1=Units!$O75),Units!$R75,IF(AND(BV$1&gt;=Units!$Q75,MOD(BV$1-Units!$Q75,12)=0),IF(AND(Units!$L75=1,BV$1=Units!$Q75),IF(Units!$J75&lt;&gt;"",Units!$J75,Mkt!BV76),Inputs!$B$15*Mkt!BV76+(1-Inputs!$B$15)*MIN(Mkt!BV76,BU76*(1+Inputs!$B$18))),BU76)))</f>
        <v>1501.2599262185</v>
      </c>
      <c r="BW76" s="11" t="n">
        <f aca="false">IF(BW$1&lt;Units!$P75,0,IF(AND(Units!$K75=0,BW$1=Units!$O75),Units!$R75,IF(AND(BW$1&gt;=Units!$Q75,MOD(BW$1-Units!$Q75,12)=0),IF(AND(Units!$L75=1,BW$1=Units!$Q75),IF(Units!$J75&lt;&gt;"",Units!$J75,Mkt!BW76),Inputs!$B$15*Mkt!BW76+(1-Inputs!$B$15)*MIN(Mkt!BW76,BV76*(1+Inputs!$B$18))),BV76)))</f>
        <v>1546.29772400506</v>
      </c>
      <c r="BX76" s="11" t="n">
        <f aca="false">IF(BX$1&lt;Units!$P75,0,IF(AND(Units!$K75=0,BX$1=Units!$O75),Units!$R75,IF(AND(BX$1&gt;=Units!$Q75,MOD(BX$1-Units!$Q75,12)=0),IF(AND(Units!$L75=1,BX$1=Units!$Q75),IF(Units!$J75&lt;&gt;"",Units!$J75,Mkt!BX76),Inputs!$B$15*Mkt!BX76+(1-Inputs!$B$15)*MIN(Mkt!BX76,BW76*(1+Inputs!$B$18))),BW76)))</f>
        <v>1546.29772400506</v>
      </c>
      <c r="BY76" s="11" t="n">
        <f aca="false">IF(BY$1&lt;Units!$P75,0,IF(AND(Units!$K75=0,BY$1=Units!$O75),Units!$R75,IF(AND(BY$1&gt;=Units!$Q75,MOD(BY$1-Units!$Q75,12)=0),IF(AND(Units!$L75=1,BY$1=Units!$Q75),IF(Units!$J75&lt;&gt;"",Units!$J75,Mkt!BY76),Inputs!$B$15*Mkt!BY76+(1-Inputs!$B$15)*MIN(Mkt!BY76,BX76*(1+Inputs!$B$18))),BX76)))</f>
        <v>1546.29772400506</v>
      </c>
      <c r="BZ76" s="11" t="n">
        <f aca="false">IF(BZ$1&lt;Units!$P75,0,IF(AND(Units!$K75=0,BZ$1=Units!$O75),Units!$R75,IF(AND(BZ$1&gt;=Units!$Q75,MOD(BZ$1-Units!$Q75,12)=0),IF(AND(Units!$L75=1,BZ$1=Units!$Q75),IF(Units!$J75&lt;&gt;"",Units!$J75,Mkt!BZ76),Inputs!$B$15*Mkt!BZ76+(1-Inputs!$B$15)*MIN(Mkt!BZ76,BY76*(1+Inputs!$B$18))),BY76)))</f>
        <v>1546.29772400506</v>
      </c>
      <c r="CA76" s="11" t="n">
        <f aca="false">IF(CA$1&lt;Units!$P75,0,IF(AND(Units!$K75=0,CA$1=Units!$O75),Units!$R75,IF(AND(CA$1&gt;=Units!$Q75,MOD(CA$1-Units!$Q75,12)=0),IF(AND(Units!$L75=1,CA$1=Units!$Q75),IF(Units!$J75&lt;&gt;"",Units!$J75,Mkt!CA76),Inputs!$B$15*Mkt!CA76+(1-Inputs!$B$15)*MIN(Mkt!CA76,BZ76*(1+Inputs!$B$18))),BZ76)))</f>
        <v>1546.29772400506</v>
      </c>
      <c r="CB76" s="11" t="n">
        <f aca="false">IF(CB$1&lt;Units!$P75,0,IF(AND(Units!$K75=0,CB$1=Units!$O75),Units!$R75,IF(AND(CB$1&gt;=Units!$Q75,MOD(CB$1-Units!$Q75,12)=0),IF(AND(Units!$L75=1,CB$1=Units!$Q75),IF(Units!$J75&lt;&gt;"",Units!$J75,Mkt!CB76),Inputs!$B$15*Mkt!CB76+(1-Inputs!$B$15)*MIN(Mkt!CB76,CA76*(1+Inputs!$B$18))),CA76)))</f>
        <v>1546.29772400506</v>
      </c>
      <c r="CC76" s="11" t="n">
        <f aca="false">IF(CC$1&lt;Units!$P75,0,IF(AND(Units!$K75=0,CC$1=Units!$O75),Units!$R75,IF(AND(CC$1&gt;=Units!$Q75,MOD(CC$1-Units!$Q75,12)=0),IF(AND(Units!$L75=1,CC$1=Units!$Q75),IF(Units!$J75&lt;&gt;"",Units!$J75,Mkt!CC76),Inputs!$B$15*Mkt!CC76+(1-Inputs!$B$15)*MIN(Mkt!CC76,CB76*(1+Inputs!$B$18))),CB76)))</f>
        <v>1546.29772400506</v>
      </c>
      <c r="CD76" s="11" t="n">
        <f aca="false">IF(CD$1&lt;Units!$P75,0,IF(AND(Units!$K75=0,CD$1=Units!$O75),Units!$R75,IF(AND(CD$1&gt;=Units!$Q75,MOD(CD$1-Units!$Q75,12)=0),IF(AND(Units!$L75=1,CD$1=Units!$Q75),IF(Units!$J75&lt;&gt;"",Units!$J75,Mkt!CD76),Inputs!$B$15*Mkt!CD76+(1-Inputs!$B$15)*MIN(Mkt!CD76,CC76*(1+Inputs!$B$18))),CC76)))</f>
        <v>1546.29772400506</v>
      </c>
      <c r="CE76" s="11" t="n">
        <f aca="false">IF(CE$1&lt;Units!$P75,0,IF(AND(Units!$K75=0,CE$1=Units!$O75),Units!$R75,IF(AND(CE$1&gt;=Units!$Q75,MOD(CE$1-Units!$Q75,12)=0),IF(AND(Units!$L75=1,CE$1=Units!$Q75),IF(Units!$J75&lt;&gt;"",Units!$J75,Mkt!CE76),Inputs!$B$15*Mkt!CE76+(1-Inputs!$B$15)*MIN(Mkt!CE76,CD76*(1+Inputs!$B$18))),CD76)))</f>
        <v>1546.29772400506</v>
      </c>
      <c r="CF76" s="11" t="n">
        <f aca="false">IF(CF$1&lt;Units!$P75,0,IF(AND(Units!$K75=0,CF$1=Units!$O75),Units!$R75,IF(AND(CF$1&gt;=Units!$Q75,MOD(CF$1-Units!$Q75,12)=0),IF(AND(Units!$L75=1,CF$1=Units!$Q75),IF(Units!$J75&lt;&gt;"",Units!$J75,Mkt!CF76),Inputs!$B$15*Mkt!CF76+(1-Inputs!$B$15)*MIN(Mkt!CF76,CE76*(1+Inputs!$B$18))),CE76)))</f>
        <v>1546.29772400506</v>
      </c>
      <c r="CG76" s="11" t="n">
        <f aca="false">IF(CG$1&lt;Units!$P75,0,IF(AND(Units!$K75=0,CG$1=Units!$O75),Units!$R75,IF(AND(CG$1&gt;=Units!$Q75,MOD(CG$1-Units!$Q75,12)=0),IF(AND(Units!$L75=1,CG$1=Units!$Q75),IF(Units!$J75&lt;&gt;"",Units!$J75,Mkt!CG76),Inputs!$B$15*Mkt!CG76+(1-Inputs!$B$15)*MIN(Mkt!CG76,CF76*(1+Inputs!$B$18))),CF76)))</f>
        <v>1546.29772400506</v>
      </c>
      <c r="CH76" s="11" t="n">
        <f aca="false">IF(CH$1&lt;Units!$P75,0,IF(AND(Units!$K75=0,CH$1=Units!$O75),Units!$R75,IF(AND(CH$1&gt;=Units!$Q75,MOD(CH$1-Units!$Q75,12)=0),IF(AND(Units!$L75=1,CH$1=Units!$Q75),IF(Units!$J75&lt;&gt;"",Units!$J75,Mkt!CH76),Inputs!$B$15*Mkt!CH76+(1-Inputs!$B$15)*MIN(Mkt!CH76,CG76*(1+Inputs!$B$18))),CG76)))</f>
        <v>1546.29772400506</v>
      </c>
      <c r="CI76" s="11" t="n">
        <f aca="false">IF(CI$1&lt;Units!$P75,0,IF(AND(Units!$K75=0,CI$1=Units!$O75),Units!$R75,IF(AND(CI$1&gt;=Units!$Q75,MOD(CI$1-Units!$Q75,12)=0),IF(AND(Units!$L75=1,CI$1=Units!$Q75),IF(Units!$J75&lt;&gt;"",Units!$J75,Mkt!CI76),Inputs!$B$15*Mkt!CI76+(1-Inputs!$B$15)*MIN(Mkt!CI76,CH76*(1+Inputs!$B$18))),CH76)))</f>
        <v>1592.68665572521</v>
      </c>
      <c r="CJ76" s="11" t="n">
        <f aca="false">IF(CJ$1&lt;Units!$P75,0,IF(AND(Units!$K75=0,CJ$1=Units!$O75),Units!$R75,IF(AND(CJ$1&gt;=Units!$Q75,MOD(CJ$1-Units!$Q75,12)=0),IF(AND(Units!$L75=1,CJ$1=Units!$Q75),IF(Units!$J75&lt;&gt;"",Units!$J75,Mkt!CJ76),Inputs!$B$15*Mkt!CJ76+(1-Inputs!$B$15)*MIN(Mkt!CJ76,CI76*(1+Inputs!$B$18))),CI76)))</f>
        <v>1592.68665572521</v>
      </c>
      <c r="CK76" s="11" t="n">
        <f aca="false">IF(CK$1&lt;Units!$P75,0,IF(AND(Units!$K75=0,CK$1=Units!$O75),Units!$R75,IF(AND(CK$1&gt;=Units!$Q75,MOD(CK$1-Units!$Q75,12)=0),IF(AND(Units!$L75=1,CK$1=Units!$Q75),IF(Units!$J75&lt;&gt;"",Units!$J75,Mkt!CK76),Inputs!$B$15*Mkt!CK76+(1-Inputs!$B$15)*MIN(Mkt!CK76,CJ76*(1+Inputs!$B$18))),CJ76)))</f>
        <v>1592.68665572521</v>
      </c>
      <c r="CL76" s="11" t="n">
        <f aca="false">IF(CL$1&lt;Units!$P75,0,IF(AND(Units!$K75=0,CL$1=Units!$O75),Units!$R75,IF(AND(CL$1&gt;=Units!$Q75,MOD(CL$1-Units!$Q75,12)=0),IF(AND(Units!$L75=1,CL$1=Units!$Q75),IF(Units!$J75&lt;&gt;"",Units!$J75,Mkt!CL76),Inputs!$B$15*Mkt!CL76+(1-Inputs!$B$15)*MIN(Mkt!CL76,CK76*(1+Inputs!$B$18))),CK76)))</f>
        <v>1592.68665572521</v>
      </c>
      <c r="CM76" s="11" t="n">
        <f aca="false">IF(CM$1&lt;Units!$P75,0,IF(AND(Units!$K75=0,CM$1=Units!$O75),Units!$R75,IF(AND(CM$1&gt;=Units!$Q75,MOD(CM$1-Units!$Q75,12)=0),IF(AND(Units!$L75=1,CM$1=Units!$Q75),IF(Units!$J75&lt;&gt;"",Units!$J75,Mkt!CM76),Inputs!$B$15*Mkt!CM76+(1-Inputs!$B$15)*MIN(Mkt!CM76,CL76*(1+Inputs!$B$18))),CL76)))</f>
        <v>1592.68665572521</v>
      </c>
      <c r="CN76" s="11" t="n">
        <f aca="false">IF(CN$1&lt;Units!$P75,0,IF(AND(Units!$K75=0,CN$1=Units!$O75),Units!$R75,IF(AND(CN$1&gt;=Units!$Q75,MOD(CN$1-Units!$Q75,12)=0),IF(AND(Units!$L75=1,CN$1=Units!$Q75),IF(Units!$J75&lt;&gt;"",Units!$J75,Mkt!CN76),Inputs!$B$15*Mkt!CN76+(1-Inputs!$B$15)*MIN(Mkt!CN76,CM76*(1+Inputs!$B$18))),CM76)))</f>
        <v>1592.68665572521</v>
      </c>
      <c r="CO76" s="11" t="n">
        <f aca="false">IF(CO$1&lt;Units!$P75,0,IF(AND(Units!$K75=0,CO$1=Units!$O75),Units!$R75,IF(AND(CO$1&gt;=Units!$Q75,MOD(CO$1-Units!$Q75,12)=0),IF(AND(Units!$L75=1,CO$1=Units!$Q75),IF(Units!$J75&lt;&gt;"",Units!$J75,Mkt!CO76),Inputs!$B$15*Mkt!CO76+(1-Inputs!$B$15)*MIN(Mkt!CO76,CN76*(1+Inputs!$B$18))),CN76)))</f>
        <v>1592.68665572521</v>
      </c>
      <c r="CP76" s="11" t="n">
        <f aca="false">IF(CP$1&lt;Units!$P75,0,IF(AND(Units!$K75=0,CP$1=Units!$O75),Units!$R75,IF(AND(CP$1&gt;=Units!$Q75,MOD(CP$1-Units!$Q75,12)=0),IF(AND(Units!$L75=1,CP$1=Units!$Q75),IF(Units!$J75&lt;&gt;"",Units!$J75,Mkt!CP76),Inputs!$B$15*Mkt!CP76+(1-Inputs!$B$15)*MIN(Mkt!CP76,CO76*(1+Inputs!$B$18))),CO76)))</f>
        <v>1592.68665572521</v>
      </c>
      <c r="CQ76" s="11" t="n">
        <f aca="false">IF(CQ$1&lt;Units!$P75,0,IF(AND(Units!$K75=0,CQ$1=Units!$O75),Units!$R75,IF(AND(CQ$1&gt;=Units!$Q75,MOD(CQ$1-Units!$Q75,12)=0),IF(AND(Units!$L75=1,CQ$1=Units!$Q75),IF(Units!$J75&lt;&gt;"",Units!$J75,Mkt!CQ76),Inputs!$B$15*Mkt!CQ76+(1-Inputs!$B$15)*MIN(Mkt!CQ76,CP76*(1+Inputs!$B$18))),CP76)))</f>
        <v>1592.68665572521</v>
      </c>
      <c r="CR76" s="11" t="n">
        <f aca="false">IF(CR$1&lt;Units!$P75,0,IF(AND(Units!$K75=0,CR$1=Units!$O75),Units!$R75,IF(AND(CR$1&gt;=Units!$Q75,MOD(CR$1-Units!$Q75,12)=0),IF(AND(Units!$L75=1,CR$1=Units!$Q75),IF(Units!$J75&lt;&gt;"",Units!$J75,Mkt!CR76),Inputs!$B$15*Mkt!CR76+(1-Inputs!$B$15)*MIN(Mkt!CR76,CQ76*(1+Inputs!$B$18))),CQ76)))</f>
        <v>1592.68665572521</v>
      </c>
      <c r="CS76" s="11" t="n">
        <f aca="false">IF(CS$1&lt;Units!$P75,0,IF(AND(Units!$K75=0,CS$1=Units!$O75),Units!$R75,IF(AND(CS$1&gt;=Units!$Q75,MOD(CS$1-Units!$Q75,12)=0),IF(AND(Units!$L75=1,CS$1=Units!$Q75),IF(Units!$J75&lt;&gt;"",Units!$J75,Mkt!CS76),Inputs!$B$15*Mkt!CS76+(1-Inputs!$B$15)*MIN(Mkt!CS76,CR76*(1+Inputs!$B$18))),CR76)))</f>
        <v>1592.68665572521</v>
      </c>
      <c r="CT76" s="11" t="n">
        <f aca="false">IF(CT$1&lt;Units!$P75,0,IF(AND(Units!$K75=0,CT$1=Units!$O75),Units!$R75,IF(AND(CT$1&gt;=Units!$Q75,MOD(CT$1-Units!$Q75,12)=0),IF(AND(Units!$L75=1,CT$1=Units!$Q75),IF(Units!$J75&lt;&gt;"",Units!$J75,Mkt!CT76),Inputs!$B$15*Mkt!CT76+(1-Inputs!$B$15)*MIN(Mkt!CT76,CS76*(1+Inputs!$B$18))),CS76)))</f>
        <v>1592.68665572521</v>
      </c>
      <c r="CU76" s="11" t="n">
        <f aca="false">IF(CU$1&lt;Units!$P75,0,IF(AND(Units!$K75=0,CU$1=Units!$O75),Units!$R75,IF(AND(CU$1&gt;=Units!$Q75,MOD(CU$1-Units!$Q75,12)=0),IF(AND(Units!$L75=1,CU$1=Units!$Q75),IF(Units!$J75&lt;&gt;"",Units!$J75,Mkt!CU76),Inputs!$B$15*Mkt!CU76+(1-Inputs!$B$15)*MIN(Mkt!CU76,CT76*(1+Inputs!$B$18))),CT76)))</f>
        <v>1640.46725539696</v>
      </c>
      <c r="CV76" s="11" t="n">
        <f aca="false">IF(CV$1&lt;Units!$P75,0,IF(AND(Units!$K75=0,CV$1=Units!$O75),Units!$R75,IF(AND(CV$1&gt;=Units!$Q75,MOD(CV$1-Units!$Q75,12)=0),IF(AND(Units!$L75=1,CV$1=Units!$Q75),IF(Units!$J75&lt;&gt;"",Units!$J75,Mkt!CV76),Inputs!$B$15*Mkt!CV76+(1-Inputs!$B$15)*MIN(Mkt!CV76,CU76*(1+Inputs!$B$18))),CU76)))</f>
        <v>1640.46725539696</v>
      </c>
      <c r="CW76" s="11" t="n">
        <f aca="false">IF(CW$1&lt;Units!$P75,0,IF(AND(Units!$K75=0,CW$1=Units!$O75),Units!$R75,IF(AND(CW$1&gt;=Units!$Q75,MOD(CW$1-Units!$Q75,12)=0),IF(AND(Units!$L75=1,CW$1=Units!$Q75),IF(Units!$J75&lt;&gt;"",Units!$J75,Mkt!CW76),Inputs!$B$15*Mkt!CW76+(1-Inputs!$B$15)*MIN(Mkt!CW76,CV76*(1+Inputs!$B$18))),CV76)))</f>
        <v>1640.46725539696</v>
      </c>
      <c r="CX76" s="11" t="n">
        <f aca="false">IF(CX$1&lt;Units!$P75,0,IF(AND(Units!$K75=0,CX$1=Units!$O75),Units!$R75,IF(AND(CX$1&gt;=Units!$Q75,MOD(CX$1-Units!$Q75,12)=0),IF(AND(Units!$L75=1,CX$1=Units!$Q75),IF(Units!$J75&lt;&gt;"",Units!$J75,Mkt!CX76),Inputs!$B$15*Mkt!CX76+(1-Inputs!$B$15)*MIN(Mkt!CX76,CW76*(1+Inputs!$B$18))),CW76)))</f>
        <v>1640.46725539696</v>
      </c>
      <c r="CY76" s="11" t="n">
        <f aca="false">IF(CY$1&lt;Units!$P75,0,IF(AND(Units!$K75=0,CY$1=Units!$O75),Units!$R75,IF(AND(CY$1&gt;=Units!$Q75,MOD(CY$1-Units!$Q75,12)=0),IF(AND(Units!$L75=1,CY$1=Units!$Q75),IF(Units!$J75&lt;&gt;"",Units!$J75,Mkt!CY76),Inputs!$B$15*Mkt!CY76+(1-Inputs!$B$15)*MIN(Mkt!CY76,CX76*(1+Inputs!$B$18))),CX76)))</f>
        <v>1640.46725539696</v>
      </c>
      <c r="CZ76" s="11" t="n">
        <f aca="false">IF(CZ$1&lt;Units!$P75,0,IF(AND(Units!$K75=0,CZ$1=Units!$O75),Units!$R75,IF(AND(CZ$1&gt;=Units!$Q75,MOD(CZ$1-Units!$Q75,12)=0),IF(AND(Units!$L75=1,CZ$1=Units!$Q75),IF(Units!$J75&lt;&gt;"",Units!$J75,Mkt!CZ76),Inputs!$B$15*Mkt!CZ76+(1-Inputs!$B$15)*MIN(Mkt!CZ76,CY76*(1+Inputs!$B$18))),CY76)))</f>
        <v>1640.46725539696</v>
      </c>
      <c r="DA76" s="11" t="n">
        <f aca="false">IF(DA$1&lt;Units!$P75,0,IF(AND(Units!$K75=0,DA$1=Units!$O75),Units!$R75,IF(AND(DA$1&gt;=Units!$Q75,MOD(DA$1-Units!$Q75,12)=0),IF(AND(Units!$L75=1,DA$1=Units!$Q75),IF(Units!$J75&lt;&gt;"",Units!$J75,Mkt!DA76),Inputs!$B$15*Mkt!DA76+(1-Inputs!$B$15)*MIN(Mkt!DA76,CZ76*(1+Inputs!$B$18))),CZ76)))</f>
        <v>1640.46725539696</v>
      </c>
      <c r="DB76" s="11" t="n">
        <f aca="false">IF(DB$1&lt;Units!$P75,0,IF(AND(Units!$K75=0,DB$1=Units!$O75),Units!$R75,IF(AND(DB$1&gt;=Units!$Q75,MOD(DB$1-Units!$Q75,12)=0),IF(AND(Units!$L75=1,DB$1=Units!$Q75),IF(Units!$J75&lt;&gt;"",Units!$J75,Mkt!DB76),Inputs!$B$15*Mkt!DB76+(1-Inputs!$B$15)*MIN(Mkt!DB76,DA76*(1+Inputs!$B$18))),DA76)))</f>
        <v>1640.46725539696</v>
      </c>
      <c r="DC76" s="11" t="n">
        <f aca="false">IF(DC$1&lt;Units!$P75,0,IF(AND(Units!$K75=0,DC$1=Units!$O75),Units!$R75,IF(AND(DC$1&gt;=Units!$Q75,MOD(DC$1-Units!$Q75,12)=0),IF(AND(Units!$L75=1,DC$1=Units!$Q75),IF(Units!$J75&lt;&gt;"",Units!$J75,Mkt!DC76),Inputs!$B$15*Mkt!DC76+(1-Inputs!$B$15)*MIN(Mkt!DC76,DB76*(1+Inputs!$B$18))),DB76)))</f>
        <v>1640.46725539696</v>
      </c>
      <c r="DD76" s="11" t="n">
        <f aca="false">IF(DD$1&lt;Units!$P75,0,IF(AND(Units!$K75=0,DD$1=Units!$O75),Units!$R75,IF(AND(DD$1&gt;=Units!$Q75,MOD(DD$1-Units!$Q75,12)=0),IF(AND(Units!$L75=1,DD$1=Units!$Q75),IF(Units!$J75&lt;&gt;"",Units!$J75,Mkt!DD76),Inputs!$B$15*Mkt!DD76+(1-Inputs!$B$15)*MIN(Mkt!DD76,DC76*(1+Inputs!$B$18))),DC76)))</f>
        <v>1640.46725539696</v>
      </c>
      <c r="DE76" s="11" t="n">
        <f aca="false">IF(DE$1&lt;Units!$P75,0,IF(AND(Units!$K75=0,DE$1=Units!$O75),Units!$R75,IF(AND(DE$1&gt;=Units!$Q75,MOD(DE$1-Units!$Q75,12)=0),IF(AND(Units!$L75=1,DE$1=Units!$Q75),IF(Units!$J75&lt;&gt;"",Units!$J75,Mkt!DE76),Inputs!$B$15*Mkt!DE76+(1-Inputs!$B$15)*MIN(Mkt!DE76,DD76*(1+Inputs!$B$18))),DD76)))</f>
        <v>1640.46725539696</v>
      </c>
      <c r="DF76" s="11" t="n">
        <f aca="false">IF(DF$1&lt;Units!$P75,0,IF(AND(Units!$K75=0,DF$1=Units!$O75),Units!$R75,IF(AND(DF$1&gt;=Units!$Q75,MOD(DF$1-Units!$Q75,12)=0),IF(AND(Units!$L75=1,DF$1=Units!$Q75),IF(Units!$J75&lt;&gt;"",Units!$J75,Mkt!DF76),Inputs!$B$15*Mkt!DF76+(1-Inputs!$B$15)*MIN(Mkt!DF76,DE76*(1+Inputs!$B$18))),DE76)))</f>
        <v>1640.46725539696</v>
      </c>
      <c r="DG76" s="11" t="n">
        <f aca="false">IF(DG$1&lt;Units!$P75,0,IF(AND(Units!$K75=0,DG$1=Units!$O75),Units!$R75,IF(AND(DG$1&gt;=Units!$Q75,MOD(DG$1-Units!$Q75,12)=0),IF(AND(Units!$L75=1,DG$1=Units!$Q75),IF(Units!$J75&lt;&gt;"",Units!$J75,Mkt!DG76),Inputs!$B$15*Mkt!DG76+(1-Inputs!$B$15)*MIN(Mkt!DG76,DF76*(1+Inputs!$B$18))),DF76)))</f>
        <v>1689.68127305887</v>
      </c>
      <c r="DH76" s="11" t="n">
        <f aca="false">IF(DH$1&lt;Units!$P75,0,IF(AND(Units!$K75=0,DH$1=Units!$O75),Units!$R75,IF(AND(DH$1&gt;=Units!$Q75,MOD(DH$1-Units!$Q75,12)=0),IF(AND(Units!$L75=1,DH$1=Units!$Q75),IF(Units!$J75&lt;&gt;"",Units!$J75,Mkt!DH76),Inputs!$B$15*Mkt!DH76+(1-Inputs!$B$15)*MIN(Mkt!DH76,DG76*(1+Inputs!$B$18))),DG76)))</f>
        <v>1689.68127305887</v>
      </c>
      <c r="DI76" s="11" t="n">
        <f aca="false">IF(DI$1&lt;Units!$P75,0,IF(AND(Units!$K75=0,DI$1=Units!$O75),Units!$R75,IF(AND(DI$1&gt;=Units!$Q75,MOD(DI$1-Units!$Q75,12)=0),IF(AND(Units!$L75=1,DI$1=Units!$Q75),IF(Units!$J75&lt;&gt;"",Units!$J75,Mkt!DI76),Inputs!$B$15*Mkt!DI76+(1-Inputs!$B$15)*MIN(Mkt!DI76,DH76*(1+Inputs!$B$18))),DH76)))</f>
        <v>1689.68127305887</v>
      </c>
      <c r="DJ76" s="11" t="n">
        <f aca="false">IF(DJ$1&lt;Units!$P75,0,IF(AND(Units!$K75=0,DJ$1=Units!$O75),Units!$R75,IF(AND(DJ$1&gt;=Units!$Q75,MOD(DJ$1-Units!$Q75,12)=0),IF(AND(Units!$L75=1,DJ$1=Units!$Q75),IF(Units!$J75&lt;&gt;"",Units!$J75,Mkt!DJ76),Inputs!$B$15*Mkt!DJ76+(1-Inputs!$B$15)*MIN(Mkt!DJ76,DI76*(1+Inputs!$B$18))),DI76)))</f>
        <v>1689.68127305887</v>
      </c>
      <c r="DK76" s="11" t="n">
        <f aca="false">IF(DK$1&lt;Units!$P75,0,IF(AND(Units!$K75=0,DK$1=Units!$O75),Units!$R75,IF(AND(DK$1&gt;=Units!$Q75,MOD(DK$1-Units!$Q75,12)=0),IF(AND(Units!$L75=1,DK$1=Units!$Q75),IF(Units!$J75&lt;&gt;"",Units!$J75,Mkt!DK76),Inputs!$B$15*Mkt!DK76+(1-Inputs!$B$15)*MIN(Mkt!DK76,DJ76*(1+Inputs!$B$18))),DJ76)))</f>
        <v>1689.68127305887</v>
      </c>
      <c r="DL76" s="11" t="n">
        <f aca="false">IF(DL$1&lt;Units!$P75,0,IF(AND(Units!$K75=0,DL$1=Units!$O75),Units!$R75,IF(AND(DL$1&gt;=Units!$Q75,MOD(DL$1-Units!$Q75,12)=0),IF(AND(Units!$L75=1,DL$1=Units!$Q75),IF(Units!$J75&lt;&gt;"",Units!$J75,Mkt!DL76),Inputs!$B$15*Mkt!DL76+(1-Inputs!$B$15)*MIN(Mkt!DL76,DK76*(1+Inputs!$B$18))),DK76)))</f>
        <v>1689.68127305887</v>
      </c>
      <c r="DM76" s="11" t="n">
        <f aca="false">IF(DM$1&lt;Units!$P75,0,IF(AND(Units!$K75=0,DM$1=Units!$O75),Units!$R75,IF(AND(DM$1&gt;=Units!$Q75,MOD(DM$1-Units!$Q75,12)=0),IF(AND(Units!$L75=1,DM$1=Units!$Q75),IF(Units!$J75&lt;&gt;"",Units!$J75,Mkt!DM76),Inputs!$B$15*Mkt!DM76+(1-Inputs!$B$15)*MIN(Mkt!DM76,DL76*(1+Inputs!$B$18))),DL76)))</f>
        <v>1689.68127305887</v>
      </c>
      <c r="DN76" s="11" t="n">
        <f aca="false">IF(DN$1&lt;Units!$P75,0,IF(AND(Units!$K75=0,DN$1=Units!$O75),Units!$R75,IF(AND(DN$1&gt;=Units!$Q75,MOD(DN$1-Units!$Q75,12)=0),IF(AND(Units!$L75=1,DN$1=Units!$Q75),IF(Units!$J75&lt;&gt;"",Units!$J75,Mkt!DN76),Inputs!$B$15*Mkt!DN76+(1-Inputs!$B$15)*MIN(Mkt!DN76,DM76*(1+Inputs!$B$18))),DM76)))</f>
        <v>1689.68127305887</v>
      </c>
      <c r="DO76" s="11" t="n">
        <f aca="false">IF(DO$1&lt;Units!$P75,0,IF(AND(Units!$K75=0,DO$1=Units!$O75),Units!$R75,IF(AND(DO$1&gt;=Units!$Q75,MOD(DO$1-Units!$Q75,12)=0),IF(AND(Units!$L75=1,DO$1=Units!$Q75),IF(Units!$J75&lt;&gt;"",Units!$J75,Mkt!DO76),Inputs!$B$15*Mkt!DO76+(1-Inputs!$B$15)*MIN(Mkt!DO76,DN76*(1+Inputs!$B$18))),DN76)))</f>
        <v>1689.68127305887</v>
      </c>
      <c r="DP76" s="11" t="n">
        <f aca="false">IF(DP$1&lt;Units!$P75,0,IF(AND(Units!$K75=0,DP$1=Units!$O75),Units!$R75,IF(AND(DP$1&gt;=Units!$Q75,MOD(DP$1-Units!$Q75,12)=0),IF(AND(Units!$L75=1,DP$1=Units!$Q75),IF(Units!$J75&lt;&gt;"",Units!$J75,Mkt!DP76),Inputs!$B$15*Mkt!DP76+(1-Inputs!$B$15)*MIN(Mkt!DP76,DO76*(1+Inputs!$B$18))),DO76)))</f>
        <v>1689.68127305887</v>
      </c>
      <c r="DQ76" s="11" t="n">
        <f aca="false">IF(DQ$1&lt;Units!$P75,0,IF(AND(Units!$K75=0,DQ$1=Units!$O75),Units!$R75,IF(AND(DQ$1&gt;=Units!$Q75,MOD(DQ$1-Units!$Q75,12)=0),IF(AND(Units!$L75=1,DQ$1=Units!$Q75),IF(Units!$J75&lt;&gt;"",Units!$J75,Mkt!DQ76),Inputs!$B$15*Mkt!DQ76+(1-Inputs!$B$15)*MIN(Mkt!DQ76,DP76*(1+Inputs!$B$18))),DP76)))</f>
        <v>1689.68127305887</v>
      </c>
      <c r="DR76" s="11" t="n">
        <f aca="false">IF(DR$1&lt;Units!$P75,0,IF(AND(Units!$K75=0,DR$1=Units!$O75),Units!$R75,IF(AND(DR$1&gt;=Units!$Q75,MOD(DR$1-Units!$Q75,12)=0),IF(AND(Units!$L75=1,DR$1=Units!$Q75),IF(Units!$J75&lt;&gt;"",Units!$J75,Mkt!DR76),Inputs!$B$15*Mkt!DR76+(1-Inputs!$B$15)*MIN(Mkt!DR76,DQ76*(1+Inputs!$B$18))),DQ76)))</f>
        <v>1689.68127305887</v>
      </c>
      <c r="DS76" s="11" t="n">
        <f aca="false">IF(DS$1&lt;Units!$P75,0,IF(AND(Units!$K75=0,DS$1=Units!$O75),Units!$R75,IF(AND(DS$1&gt;=Units!$Q75,MOD(DS$1-Units!$Q75,12)=0),IF(AND(Units!$L75=1,DS$1=Units!$Q75),IF(Units!$J75&lt;&gt;"",Units!$J75,Mkt!DS76),Inputs!$B$15*Mkt!DS76+(1-Inputs!$B$15)*MIN(Mkt!DS76,DR76*(1+Inputs!$B$18))),DR76)))</f>
        <v>1740.37171125064</v>
      </c>
      <c r="DT76" s="11" t="n">
        <f aca="false">IF(DT$1&lt;Units!$P75,0,IF(AND(Units!$K75=0,DT$1=Units!$O75),Units!$R75,IF(AND(DT$1&gt;=Units!$Q75,MOD(DT$1-Units!$Q75,12)=0),IF(AND(Units!$L75=1,DT$1=Units!$Q75),IF(Units!$J75&lt;&gt;"",Units!$J75,Mkt!DT76),Inputs!$B$15*Mkt!DT76+(1-Inputs!$B$15)*MIN(Mkt!DT76,DS76*(1+Inputs!$B$18))),DS76)))</f>
        <v>1740.37171125064</v>
      </c>
      <c r="DU76" s="11" t="n">
        <f aca="false">IF(DU$1&lt;Units!$P75,0,IF(AND(Units!$K75=0,DU$1=Units!$O75),Units!$R75,IF(AND(DU$1&gt;=Units!$Q75,MOD(DU$1-Units!$Q75,12)=0),IF(AND(Units!$L75=1,DU$1=Units!$Q75),IF(Units!$J75&lt;&gt;"",Units!$J75,Mkt!DU76),Inputs!$B$15*Mkt!DU76+(1-Inputs!$B$15)*MIN(Mkt!DU76,DT76*(1+Inputs!$B$18))),DT76)))</f>
        <v>1740.37171125064</v>
      </c>
      <c r="DV76" s="11" t="n">
        <f aca="false">IF(DV$1&lt;Units!$P75,0,IF(AND(Units!$K75=0,DV$1=Units!$O75),Units!$R75,IF(AND(DV$1&gt;=Units!$Q75,MOD(DV$1-Units!$Q75,12)=0),IF(AND(Units!$L75=1,DV$1=Units!$Q75),IF(Units!$J75&lt;&gt;"",Units!$J75,Mkt!DV76),Inputs!$B$15*Mkt!DV76+(1-Inputs!$B$15)*MIN(Mkt!DV76,DU76*(1+Inputs!$B$18))),DU76)))</f>
        <v>1740.37171125064</v>
      </c>
      <c r="DW76" s="11" t="n">
        <f aca="false">IF(DW$1&lt;Units!$P75,0,IF(AND(Units!$K75=0,DW$1=Units!$O75),Units!$R75,IF(AND(DW$1&gt;=Units!$Q75,MOD(DW$1-Units!$Q75,12)=0),IF(AND(Units!$L75=1,DW$1=Units!$Q75),IF(Units!$J75&lt;&gt;"",Units!$J75,Mkt!DW76),Inputs!$B$15*Mkt!DW76+(1-Inputs!$B$15)*MIN(Mkt!DW76,DV76*(1+Inputs!$B$18))),DV76)))</f>
        <v>1740.37171125064</v>
      </c>
      <c r="DX76" s="11" t="n">
        <f aca="false">IF(DX$1&lt;Units!$P75,0,IF(AND(Units!$K75=0,DX$1=Units!$O75),Units!$R75,IF(AND(DX$1&gt;=Units!$Q75,MOD(DX$1-Units!$Q75,12)=0),IF(AND(Units!$L75=1,DX$1=Units!$Q75),IF(Units!$J75&lt;&gt;"",Units!$J75,Mkt!DX76),Inputs!$B$15*Mkt!DX76+(1-Inputs!$B$15)*MIN(Mkt!DX76,DW76*(1+Inputs!$B$18))),DW76)))</f>
        <v>1740.37171125064</v>
      </c>
      <c r="DY76" s="11" t="n">
        <f aca="false">IF(DY$1&lt;Units!$P75,0,IF(AND(Units!$K75=0,DY$1=Units!$O75),Units!$R75,IF(AND(DY$1&gt;=Units!$Q75,MOD(DY$1-Units!$Q75,12)=0),IF(AND(Units!$L75=1,DY$1=Units!$Q75),IF(Units!$J75&lt;&gt;"",Units!$J75,Mkt!DY76),Inputs!$B$15*Mkt!DY76+(1-Inputs!$B$15)*MIN(Mkt!DY76,DX76*(1+Inputs!$B$18))),DX76)))</f>
        <v>1740.37171125064</v>
      </c>
      <c r="DZ76" s="11" t="n">
        <f aca="false">IF(DZ$1&lt;Units!$P75,0,IF(AND(Units!$K75=0,DZ$1=Units!$O75),Units!$R75,IF(AND(DZ$1&gt;=Units!$Q75,MOD(DZ$1-Units!$Q75,12)=0),IF(AND(Units!$L75=1,DZ$1=Units!$Q75),IF(Units!$J75&lt;&gt;"",Units!$J75,Mkt!DZ76),Inputs!$B$15*Mkt!DZ76+(1-Inputs!$B$15)*MIN(Mkt!DZ76,DY76*(1+Inputs!$B$18))),DY76)))</f>
        <v>1740.37171125064</v>
      </c>
      <c r="EA76" s="11" t="n">
        <f aca="false">IF(EA$1&lt;Units!$P75,0,IF(AND(Units!$K75=0,EA$1=Units!$O75),Units!$R75,IF(AND(EA$1&gt;=Units!$Q75,MOD(EA$1-Units!$Q75,12)=0),IF(AND(Units!$L75=1,EA$1=Units!$Q75),IF(Units!$J75&lt;&gt;"",Units!$J75,Mkt!EA76),Inputs!$B$15*Mkt!EA76+(1-Inputs!$B$15)*MIN(Mkt!EA76,DZ76*(1+Inputs!$B$18))),DZ76)))</f>
        <v>1740.37171125064</v>
      </c>
      <c r="EB76" s="11" t="n">
        <f aca="false">IF(EB$1&lt;Units!$P75,0,IF(AND(Units!$K75=0,EB$1=Units!$O75),Units!$R75,IF(AND(EB$1&gt;=Units!$Q75,MOD(EB$1-Units!$Q75,12)=0),IF(AND(Units!$L75=1,EB$1=Units!$Q75),IF(Units!$J75&lt;&gt;"",Units!$J75,Mkt!EB76),Inputs!$B$15*Mkt!EB76+(1-Inputs!$B$15)*MIN(Mkt!EB76,EA76*(1+Inputs!$B$18))),EA76)))</f>
        <v>1740.37171125064</v>
      </c>
      <c r="EC76" s="11" t="n">
        <f aca="false">IF(EC$1&lt;Units!$P75,0,IF(AND(Units!$K75=0,EC$1=Units!$O75),Units!$R75,IF(AND(EC$1&gt;=Units!$Q75,MOD(EC$1-Units!$Q75,12)=0),IF(AND(Units!$L75=1,EC$1=Units!$Q75),IF(Units!$J75&lt;&gt;"",Units!$J75,Mkt!EC76),Inputs!$B$15*Mkt!EC76+(1-Inputs!$B$15)*MIN(Mkt!EC76,EB76*(1+Inputs!$B$18))),EB76)))</f>
        <v>1740.37171125064</v>
      </c>
      <c r="ED76" s="11" t="n">
        <f aca="false">IF(ED$1&lt;Units!$P75,0,IF(AND(Units!$K75=0,ED$1=Units!$O75),Units!$R75,IF(AND(ED$1&gt;=Units!$Q75,MOD(ED$1-Units!$Q75,12)=0),IF(AND(Units!$L75=1,ED$1=Units!$Q75),IF(Units!$J75&lt;&gt;"",Units!$J75,Mkt!ED76),Inputs!$B$15*Mkt!ED76+(1-Inputs!$B$15)*MIN(Mkt!ED76,EC76*(1+Inputs!$B$18))),EC76)))</f>
        <v>1740.37171125064</v>
      </c>
    </row>
    <row r="77" customFormat="false" ht="15" hidden="false" customHeight="false" outlineLevel="0" collapsed="false">
      <c r="A77" s="22" t="n">
        <f aca="false">Units!A76</f>
        <v>315</v>
      </c>
      <c r="B77" s="24" t="n">
        <f aca="false">IF(Units!K76=1,Units!F76,0)</f>
        <v>1275</v>
      </c>
      <c r="C77" s="11" t="n">
        <f aca="false">IF(C$1&lt;Units!$P76,0,IF(AND(Units!$K76=0,C$1=Units!$O76),Units!$R76,IF(AND(C$1&gt;=Units!$Q76,MOD(C$1-Units!$Q76,12)=0),IF(AND(Units!$L76=1,C$1=Units!$Q76),IF(Units!$J76&lt;&gt;"",Units!$J76,Mkt!C77),Inputs!$B$15*Mkt!C77+(1-Inputs!$B$15)*MIN(Mkt!C77,B77*(1+Inputs!$B$18))),B77)))</f>
        <v>1275</v>
      </c>
      <c r="D77" s="11" t="n">
        <f aca="false">IF(D$1&lt;Units!$P76,0,IF(AND(Units!$K76=0,D$1=Units!$O76),Units!$R76,IF(AND(D$1&gt;=Units!$Q76,MOD(D$1-Units!$Q76,12)=0),IF(AND(Units!$L76=1,D$1=Units!$Q76),IF(Units!$J76&lt;&gt;"",Units!$J76,Mkt!D77),Inputs!$B$15*Mkt!D77+(1-Inputs!$B$15)*MIN(Mkt!D77,C77*(1+Inputs!$B$18))),C77)))</f>
        <v>1275</v>
      </c>
      <c r="E77" s="11" t="n">
        <f aca="false">IF(E$1&lt;Units!$P76,0,IF(AND(Units!$K76=0,E$1=Units!$O76),Units!$R76,IF(AND(E$1&gt;=Units!$Q76,MOD(E$1-Units!$Q76,12)=0),IF(AND(Units!$L76=1,E$1=Units!$Q76),IF(Units!$J76&lt;&gt;"",Units!$J76,Mkt!E77),Inputs!$B$15*Mkt!E77+(1-Inputs!$B$15)*MIN(Mkt!E77,D77*(1+Inputs!$B$18))),D77)))</f>
        <v>1275</v>
      </c>
      <c r="F77" s="11" t="n">
        <f aca="false">IF(F$1&lt;Units!$P76,0,IF(AND(Units!$K76=0,F$1=Units!$O76),Units!$R76,IF(AND(F$1&gt;=Units!$Q76,MOD(F$1-Units!$Q76,12)=0),IF(AND(Units!$L76=1,F$1=Units!$Q76),IF(Units!$J76&lt;&gt;"",Units!$J76,Mkt!F77),Inputs!$B$15*Mkt!F77+(1-Inputs!$B$15)*MIN(Mkt!F77,E77*(1+Inputs!$B$18))),E77)))</f>
        <v>1275</v>
      </c>
      <c r="G77" s="11" t="n">
        <f aca="false">IF(G$1&lt;Units!$P76,0,IF(AND(Units!$K76=0,G$1=Units!$O76),Units!$R76,IF(AND(G$1&gt;=Units!$Q76,MOD(G$1-Units!$Q76,12)=0),IF(AND(Units!$L76=1,G$1=Units!$Q76),IF(Units!$J76&lt;&gt;"",Units!$J76,Mkt!G77),Inputs!$B$15*Mkt!G77+(1-Inputs!$B$15)*MIN(Mkt!G77,F77*(1+Inputs!$B$18))),F77)))</f>
        <v>1295</v>
      </c>
      <c r="H77" s="11" t="n">
        <f aca="false">IF(H$1&lt;Units!$P76,0,IF(AND(Units!$K76=0,H$1=Units!$O76),Units!$R76,IF(AND(H$1&gt;=Units!$Q76,MOD(H$1-Units!$Q76,12)=0),IF(AND(Units!$L76=1,H$1=Units!$Q76),IF(Units!$J76&lt;&gt;"",Units!$J76,Mkt!H77),Inputs!$B$15*Mkt!H77+(1-Inputs!$B$15)*MIN(Mkt!H77,G77*(1+Inputs!$B$18))),G77)))</f>
        <v>1295</v>
      </c>
      <c r="I77" s="11" t="n">
        <f aca="false">IF(I$1&lt;Units!$P76,0,IF(AND(Units!$K76=0,I$1=Units!$O76),Units!$R76,IF(AND(I$1&gt;=Units!$Q76,MOD(I$1-Units!$Q76,12)=0),IF(AND(Units!$L76=1,I$1=Units!$Q76),IF(Units!$J76&lt;&gt;"",Units!$J76,Mkt!I77),Inputs!$B$15*Mkt!I77+(1-Inputs!$B$15)*MIN(Mkt!I77,H77*(1+Inputs!$B$18))),H77)))</f>
        <v>1295</v>
      </c>
      <c r="J77" s="11" t="n">
        <f aca="false">IF(J$1&lt;Units!$P76,0,IF(AND(Units!$K76=0,J$1=Units!$O76),Units!$R76,IF(AND(J$1&gt;=Units!$Q76,MOD(J$1-Units!$Q76,12)=0),IF(AND(Units!$L76=1,J$1=Units!$Q76),IF(Units!$J76&lt;&gt;"",Units!$J76,Mkt!J77),Inputs!$B$15*Mkt!J77+(1-Inputs!$B$15)*MIN(Mkt!J77,I77*(1+Inputs!$B$18))),I77)))</f>
        <v>1295</v>
      </c>
      <c r="K77" s="11" t="n">
        <f aca="false">IF(K$1&lt;Units!$P76,0,IF(AND(Units!$K76=0,K$1=Units!$O76),Units!$R76,IF(AND(K$1&gt;=Units!$Q76,MOD(K$1-Units!$Q76,12)=0),IF(AND(Units!$L76=1,K$1=Units!$Q76),IF(Units!$J76&lt;&gt;"",Units!$J76,Mkt!K77),Inputs!$B$15*Mkt!K77+(1-Inputs!$B$15)*MIN(Mkt!K77,J77*(1+Inputs!$B$18))),J77)))</f>
        <v>1295</v>
      </c>
      <c r="L77" s="11" t="n">
        <f aca="false">IF(L$1&lt;Units!$P76,0,IF(AND(Units!$K76=0,L$1=Units!$O76),Units!$R76,IF(AND(L$1&gt;=Units!$Q76,MOD(L$1-Units!$Q76,12)=0),IF(AND(Units!$L76=1,L$1=Units!$Q76),IF(Units!$J76&lt;&gt;"",Units!$J76,Mkt!L77),Inputs!$B$15*Mkt!L77+(1-Inputs!$B$15)*MIN(Mkt!L77,K77*(1+Inputs!$B$18))),K77)))</f>
        <v>1295</v>
      </c>
      <c r="M77" s="11" t="n">
        <f aca="false">IF(M$1&lt;Units!$P76,0,IF(AND(Units!$K76=0,M$1=Units!$O76),Units!$R76,IF(AND(M$1&gt;=Units!$Q76,MOD(M$1-Units!$Q76,12)=0),IF(AND(Units!$L76=1,M$1=Units!$Q76),IF(Units!$J76&lt;&gt;"",Units!$J76,Mkt!M77),Inputs!$B$15*Mkt!M77+(1-Inputs!$B$15)*MIN(Mkt!M77,L77*(1+Inputs!$B$18))),L77)))</f>
        <v>1295</v>
      </c>
      <c r="N77" s="11" t="n">
        <f aca="false">IF(N$1&lt;Units!$P76,0,IF(AND(Units!$K76=0,N$1=Units!$O76),Units!$R76,IF(AND(N$1&gt;=Units!$Q76,MOD(N$1-Units!$Q76,12)=0),IF(AND(Units!$L76=1,N$1=Units!$Q76),IF(Units!$J76&lt;&gt;"",Units!$J76,Mkt!N77),Inputs!$B$15*Mkt!N77+(1-Inputs!$B$15)*MIN(Mkt!N77,M77*(1+Inputs!$B$18))),M77)))</f>
        <v>1295</v>
      </c>
      <c r="O77" s="11" t="n">
        <f aca="false">IF(O$1&lt;Units!$P76,0,IF(AND(Units!$K76=0,O$1=Units!$O76),Units!$R76,IF(AND(O$1&gt;=Units!$Q76,MOD(O$1-Units!$Q76,12)=0),IF(AND(Units!$L76=1,O$1=Units!$Q76),IF(Units!$J76&lt;&gt;"",Units!$J76,Mkt!O77),Inputs!$B$15*Mkt!O77+(1-Inputs!$B$15)*MIN(Mkt!O77,N77*(1+Inputs!$B$18))),N77)))</f>
        <v>1295</v>
      </c>
      <c r="P77" s="11" t="n">
        <f aca="false">IF(P$1&lt;Units!$P76,0,IF(AND(Units!$K76=0,P$1=Units!$O76),Units!$R76,IF(AND(P$1&gt;=Units!$Q76,MOD(P$1-Units!$Q76,12)=0),IF(AND(Units!$L76=1,P$1=Units!$Q76),IF(Units!$J76&lt;&gt;"",Units!$J76,Mkt!P77),Inputs!$B$15*Mkt!P77+(1-Inputs!$B$15)*MIN(Mkt!P77,O77*(1+Inputs!$B$18))),O77)))</f>
        <v>1295</v>
      </c>
      <c r="Q77" s="11" t="n">
        <f aca="false">IF(Q$1&lt;Units!$P76,0,IF(AND(Units!$K76=0,Q$1=Units!$O76),Units!$R76,IF(AND(Q$1&gt;=Units!$Q76,MOD(Q$1-Units!$Q76,12)=0),IF(AND(Units!$L76=1,Q$1=Units!$Q76),IF(Units!$J76&lt;&gt;"",Units!$J76,Mkt!Q77),Inputs!$B$15*Mkt!Q77+(1-Inputs!$B$15)*MIN(Mkt!Q77,P77*(1+Inputs!$B$18))),P77)))</f>
        <v>1295</v>
      </c>
      <c r="R77" s="11" t="n">
        <f aca="false">IF(R$1&lt;Units!$P76,0,IF(AND(Units!$K76=0,R$1=Units!$O76),Units!$R76,IF(AND(R$1&gt;=Units!$Q76,MOD(R$1-Units!$Q76,12)=0),IF(AND(Units!$L76=1,R$1=Units!$Q76),IF(Units!$J76&lt;&gt;"",Units!$J76,Mkt!R77),Inputs!$B$15*Mkt!R77+(1-Inputs!$B$15)*MIN(Mkt!R77,Q77*(1+Inputs!$B$18))),Q77)))</f>
        <v>1295</v>
      </c>
      <c r="S77" s="11" t="n">
        <f aca="false">IF(S$1&lt;Units!$P76,0,IF(AND(Units!$K76=0,S$1=Units!$O76),Units!$R76,IF(AND(S$1&gt;=Units!$Q76,MOD(S$1-Units!$Q76,12)=0),IF(AND(Units!$L76=1,S$1=Units!$Q76),IF(Units!$J76&lt;&gt;"",Units!$J76,Mkt!S77),Inputs!$B$15*Mkt!S77+(1-Inputs!$B$15)*MIN(Mkt!S77,R77*(1+Inputs!$B$18))),R77)))</f>
        <v>1333.85</v>
      </c>
      <c r="T77" s="11" t="n">
        <f aca="false">IF(T$1&lt;Units!$P76,0,IF(AND(Units!$K76=0,T$1=Units!$O76),Units!$R76,IF(AND(T$1&gt;=Units!$Q76,MOD(T$1-Units!$Q76,12)=0),IF(AND(Units!$L76=1,T$1=Units!$Q76),IF(Units!$J76&lt;&gt;"",Units!$J76,Mkt!T77),Inputs!$B$15*Mkt!T77+(1-Inputs!$B$15)*MIN(Mkt!T77,S77*(1+Inputs!$B$18))),S77)))</f>
        <v>1333.85</v>
      </c>
      <c r="U77" s="11" t="n">
        <f aca="false">IF(U$1&lt;Units!$P76,0,IF(AND(Units!$K76=0,U$1=Units!$O76),Units!$R76,IF(AND(U$1&gt;=Units!$Q76,MOD(U$1-Units!$Q76,12)=0),IF(AND(Units!$L76=1,U$1=Units!$Q76),IF(Units!$J76&lt;&gt;"",Units!$J76,Mkt!U77),Inputs!$B$15*Mkt!U77+(1-Inputs!$B$15)*MIN(Mkt!U77,T77*(1+Inputs!$B$18))),T77)))</f>
        <v>1333.85</v>
      </c>
      <c r="V77" s="11" t="n">
        <f aca="false">IF(V$1&lt;Units!$P76,0,IF(AND(Units!$K76=0,V$1=Units!$O76),Units!$R76,IF(AND(V$1&gt;=Units!$Q76,MOD(V$1-Units!$Q76,12)=0),IF(AND(Units!$L76=1,V$1=Units!$Q76),IF(Units!$J76&lt;&gt;"",Units!$J76,Mkt!V77),Inputs!$B$15*Mkt!V77+(1-Inputs!$B$15)*MIN(Mkt!V77,U77*(1+Inputs!$B$18))),U77)))</f>
        <v>1333.85</v>
      </c>
      <c r="W77" s="11" t="n">
        <f aca="false">IF(W$1&lt;Units!$P76,0,IF(AND(Units!$K76=0,W$1=Units!$O76),Units!$R76,IF(AND(W$1&gt;=Units!$Q76,MOD(W$1-Units!$Q76,12)=0),IF(AND(Units!$L76=1,W$1=Units!$Q76),IF(Units!$J76&lt;&gt;"",Units!$J76,Mkt!W77),Inputs!$B$15*Mkt!W77+(1-Inputs!$B$15)*MIN(Mkt!W77,V77*(1+Inputs!$B$18))),V77)))</f>
        <v>1333.85</v>
      </c>
      <c r="X77" s="11" t="n">
        <f aca="false">IF(X$1&lt;Units!$P76,0,IF(AND(Units!$K76=0,X$1=Units!$O76),Units!$R76,IF(AND(X$1&gt;=Units!$Q76,MOD(X$1-Units!$Q76,12)=0),IF(AND(Units!$L76=1,X$1=Units!$Q76),IF(Units!$J76&lt;&gt;"",Units!$J76,Mkt!X77),Inputs!$B$15*Mkt!X77+(1-Inputs!$B$15)*MIN(Mkt!X77,W77*(1+Inputs!$B$18))),W77)))</f>
        <v>1333.85</v>
      </c>
      <c r="Y77" s="11" t="n">
        <f aca="false">IF(Y$1&lt;Units!$P76,0,IF(AND(Units!$K76=0,Y$1=Units!$O76),Units!$R76,IF(AND(Y$1&gt;=Units!$Q76,MOD(Y$1-Units!$Q76,12)=0),IF(AND(Units!$L76=1,Y$1=Units!$Q76),IF(Units!$J76&lt;&gt;"",Units!$J76,Mkt!Y77),Inputs!$B$15*Mkt!Y77+(1-Inputs!$B$15)*MIN(Mkt!Y77,X77*(1+Inputs!$B$18))),X77)))</f>
        <v>1333.85</v>
      </c>
      <c r="Z77" s="11" t="n">
        <f aca="false">IF(Z$1&lt;Units!$P76,0,IF(AND(Units!$K76=0,Z$1=Units!$O76),Units!$R76,IF(AND(Z$1&gt;=Units!$Q76,MOD(Z$1-Units!$Q76,12)=0),IF(AND(Units!$L76=1,Z$1=Units!$Q76),IF(Units!$J76&lt;&gt;"",Units!$J76,Mkt!Z77),Inputs!$B$15*Mkt!Z77+(1-Inputs!$B$15)*MIN(Mkt!Z77,Y77*(1+Inputs!$B$18))),Y77)))</f>
        <v>1333.85</v>
      </c>
      <c r="AA77" s="11" t="n">
        <f aca="false">IF(AA$1&lt;Units!$P76,0,IF(AND(Units!$K76=0,AA$1=Units!$O76),Units!$R76,IF(AND(AA$1&gt;=Units!$Q76,MOD(AA$1-Units!$Q76,12)=0),IF(AND(Units!$L76=1,AA$1=Units!$Q76),IF(Units!$J76&lt;&gt;"",Units!$J76,Mkt!AA77),Inputs!$B$15*Mkt!AA77+(1-Inputs!$B$15)*MIN(Mkt!AA77,Z77*(1+Inputs!$B$18))),Z77)))</f>
        <v>1333.85</v>
      </c>
      <c r="AB77" s="11" t="n">
        <f aca="false">IF(AB$1&lt;Units!$P76,0,IF(AND(Units!$K76=0,AB$1=Units!$O76),Units!$R76,IF(AND(AB$1&gt;=Units!$Q76,MOD(AB$1-Units!$Q76,12)=0),IF(AND(Units!$L76=1,AB$1=Units!$Q76),IF(Units!$J76&lt;&gt;"",Units!$J76,Mkt!AB77),Inputs!$B$15*Mkt!AB77+(1-Inputs!$B$15)*MIN(Mkt!AB77,AA77*(1+Inputs!$B$18))),AA77)))</f>
        <v>1333.85</v>
      </c>
      <c r="AC77" s="11" t="n">
        <f aca="false">IF(AC$1&lt;Units!$P76,0,IF(AND(Units!$K76=0,AC$1=Units!$O76),Units!$R76,IF(AND(AC$1&gt;=Units!$Q76,MOD(AC$1-Units!$Q76,12)=0),IF(AND(Units!$L76=1,AC$1=Units!$Q76),IF(Units!$J76&lt;&gt;"",Units!$J76,Mkt!AC77),Inputs!$B$15*Mkt!AC77+(1-Inputs!$B$15)*MIN(Mkt!AC77,AB77*(1+Inputs!$B$18))),AB77)))</f>
        <v>1333.85</v>
      </c>
      <c r="AD77" s="11" t="n">
        <f aca="false">IF(AD$1&lt;Units!$P76,0,IF(AND(Units!$K76=0,AD$1=Units!$O76),Units!$R76,IF(AND(AD$1&gt;=Units!$Q76,MOD(AD$1-Units!$Q76,12)=0),IF(AND(Units!$L76=1,AD$1=Units!$Q76),IF(Units!$J76&lt;&gt;"",Units!$J76,Mkt!AD77),Inputs!$B$15*Mkt!AD77+(1-Inputs!$B$15)*MIN(Mkt!AD77,AC77*(1+Inputs!$B$18))),AC77)))</f>
        <v>1333.85</v>
      </c>
      <c r="AE77" s="11" t="n">
        <f aca="false">IF(AE$1&lt;Units!$P76,0,IF(AND(Units!$K76=0,AE$1=Units!$O76),Units!$R76,IF(AND(AE$1&gt;=Units!$Q76,MOD(AE$1-Units!$Q76,12)=0),IF(AND(Units!$L76=1,AE$1=Units!$Q76),IF(Units!$J76&lt;&gt;"",Units!$J76,Mkt!AE77),Inputs!$B$15*Mkt!AE77+(1-Inputs!$B$15)*MIN(Mkt!AE77,AD77*(1+Inputs!$B$18))),AD77)))</f>
        <v>1373.8655</v>
      </c>
      <c r="AF77" s="11" t="n">
        <f aca="false">IF(AF$1&lt;Units!$P76,0,IF(AND(Units!$K76=0,AF$1=Units!$O76),Units!$R76,IF(AND(AF$1&gt;=Units!$Q76,MOD(AF$1-Units!$Q76,12)=0),IF(AND(Units!$L76=1,AF$1=Units!$Q76),IF(Units!$J76&lt;&gt;"",Units!$J76,Mkt!AF77),Inputs!$B$15*Mkt!AF77+(1-Inputs!$B$15)*MIN(Mkt!AF77,AE77*(1+Inputs!$B$18))),AE77)))</f>
        <v>1373.8655</v>
      </c>
      <c r="AG77" s="11" t="n">
        <f aca="false">IF(AG$1&lt;Units!$P76,0,IF(AND(Units!$K76=0,AG$1=Units!$O76),Units!$R76,IF(AND(AG$1&gt;=Units!$Q76,MOD(AG$1-Units!$Q76,12)=0),IF(AND(Units!$L76=1,AG$1=Units!$Q76),IF(Units!$J76&lt;&gt;"",Units!$J76,Mkt!AG77),Inputs!$B$15*Mkt!AG77+(1-Inputs!$B$15)*MIN(Mkt!AG77,AF77*(1+Inputs!$B$18))),AF77)))</f>
        <v>1373.8655</v>
      </c>
      <c r="AH77" s="11" t="n">
        <f aca="false">IF(AH$1&lt;Units!$P76,0,IF(AND(Units!$K76=0,AH$1=Units!$O76),Units!$R76,IF(AND(AH$1&gt;=Units!$Q76,MOD(AH$1-Units!$Q76,12)=0),IF(AND(Units!$L76=1,AH$1=Units!$Q76),IF(Units!$J76&lt;&gt;"",Units!$J76,Mkt!AH77),Inputs!$B$15*Mkt!AH77+(1-Inputs!$B$15)*MIN(Mkt!AH77,AG77*(1+Inputs!$B$18))),AG77)))</f>
        <v>1373.8655</v>
      </c>
      <c r="AI77" s="11" t="n">
        <f aca="false">IF(AI$1&lt;Units!$P76,0,IF(AND(Units!$K76=0,AI$1=Units!$O76),Units!$R76,IF(AND(AI$1&gt;=Units!$Q76,MOD(AI$1-Units!$Q76,12)=0),IF(AND(Units!$L76=1,AI$1=Units!$Q76),IF(Units!$J76&lt;&gt;"",Units!$J76,Mkt!AI77),Inputs!$B$15*Mkt!AI77+(1-Inputs!$B$15)*MIN(Mkt!AI77,AH77*(1+Inputs!$B$18))),AH77)))</f>
        <v>1373.8655</v>
      </c>
      <c r="AJ77" s="11" t="n">
        <f aca="false">IF(AJ$1&lt;Units!$P76,0,IF(AND(Units!$K76=0,AJ$1=Units!$O76),Units!$R76,IF(AND(AJ$1&gt;=Units!$Q76,MOD(AJ$1-Units!$Q76,12)=0),IF(AND(Units!$L76=1,AJ$1=Units!$Q76),IF(Units!$J76&lt;&gt;"",Units!$J76,Mkt!AJ77),Inputs!$B$15*Mkt!AJ77+(1-Inputs!$B$15)*MIN(Mkt!AJ77,AI77*(1+Inputs!$B$18))),AI77)))</f>
        <v>1373.8655</v>
      </c>
      <c r="AK77" s="11" t="n">
        <f aca="false">IF(AK$1&lt;Units!$P76,0,IF(AND(Units!$K76=0,AK$1=Units!$O76),Units!$R76,IF(AND(AK$1&gt;=Units!$Q76,MOD(AK$1-Units!$Q76,12)=0),IF(AND(Units!$L76=1,AK$1=Units!$Q76),IF(Units!$J76&lt;&gt;"",Units!$J76,Mkt!AK77),Inputs!$B$15*Mkt!AK77+(1-Inputs!$B$15)*MIN(Mkt!AK77,AJ77*(1+Inputs!$B$18))),AJ77)))</f>
        <v>1373.8655</v>
      </c>
      <c r="AL77" s="11" t="n">
        <f aca="false">IF(AL$1&lt;Units!$P76,0,IF(AND(Units!$K76=0,AL$1=Units!$O76),Units!$R76,IF(AND(AL$1&gt;=Units!$Q76,MOD(AL$1-Units!$Q76,12)=0),IF(AND(Units!$L76=1,AL$1=Units!$Q76),IF(Units!$J76&lt;&gt;"",Units!$J76,Mkt!AL77),Inputs!$B$15*Mkt!AL77+(1-Inputs!$B$15)*MIN(Mkt!AL77,AK77*(1+Inputs!$B$18))),AK77)))</f>
        <v>1373.8655</v>
      </c>
      <c r="AM77" s="11" t="n">
        <f aca="false">IF(AM$1&lt;Units!$P76,0,IF(AND(Units!$K76=0,AM$1=Units!$O76),Units!$R76,IF(AND(AM$1&gt;=Units!$Q76,MOD(AM$1-Units!$Q76,12)=0),IF(AND(Units!$L76=1,AM$1=Units!$Q76),IF(Units!$J76&lt;&gt;"",Units!$J76,Mkt!AM77),Inputs!$B$15*Mkt!AM77+(1-Inputs!$B$15)*MIN(Mkt!AM77,AL77*(1+Inputs!$B$18))),AL77)))</f>
        <v>1373.8655</v>
      </c>
      <c r="AN77" s="11" t="n">
        <f aca="false">IF(AN$1&lt;Units!$P76,0,IF(AND(Units!$K76=0,AN$1=Units!$O76),Units!$R76,IF(AND(AN$1&gt;=Units!$Q76,MOD(AN$1-Units!$Q76,12)=0),IF(AND(Units!$L76=1,AN$1=Units!$Q76),IF(Units!$J76&lt;&gt;"",Units!$J76,Mkt!AN77),Inputs!$B$15*Mkt!AN77+(1-Inputs!$B$15)*MIN(Mkt!AN77,AM77*(1+Inputs!$B$18))),AM77)))</f>
        <v>1373.8655</v>
      </c>
      <c r="AO77" s="11" t="n">
        <f aca="false">IF(AO$1&lt;Units!$P76,0,IF(AND(Units!$K76=0,AO$1=Units!$O76),Units!$R76,IF(AND(AO$1&gt;=Units!$Q76,MOD(AO$1-Units!$Q76,12)=0),IF(AND(Units!$L76=1,AO$1=Units!$Q76),IF(Units!$J76&lt;&gt;"",Units!$J76,Mkt!AO77),Inputs!$B$15*Mkt!AO77+(1-Inputs!$B$15)*MIN(Mkt!AO77,AN77*(1+Inputs!$B$18))),AN77)))</f>
        <v>1373.8655</v>
      </c>
      <c r="AP77" s="11" t="n">
        <f aca="false">IF(AP$1&lt;Units!$P76,0,IF(AND(Units!$K76=0,AP$1=Units!$O76),Units!$R76,IF(AND(AP$1&gt;=Units!$Q76,MOD(AP$1-Units!$Q76,12)=0),IF(AND(Units!$L76=1,AP$1=Units!$Q76),IF(Units!$J76&lt;&gt;"",Units!$J76,Mkt!AP77),Inputs!$B$15*Mkt!AP77+(1-Inputs!$B$15)*MIN(Mkt!AP77,AO77*(1+Inputs!$B$18))),AO77)))</f>
        <v>1373.8655</v>
      </c>
      <c r="AQ77" s="11" t="n">
        <f aca="false">IF(AQ$1&lt;Units!$P76,0,IF(AND(Units!$K76=0,AQ$1=Units!$O76),Units!$R76,IF(AND(AQ$1&gt;=Units!$Q76,MOD(AQ$1-Units!$Q76,12)=0),IF(AND(Units!$L76=1,AQ$1=Units!$Q76),IF(Units!$J76&lt;&gt;"",Units!$J76,Mkt!AQ77),Inputs!$B$15*Mkt!AQ77+(1-Inputs!$B$15)*MIN(Mkt!AQ77,AP77*(1+Inputs!$B$18))),AP77)))</f>
        <v>1415.081465</v>
      </c>
      <c r="AR77" s="11" t="n">
        <f aca="false">IF(AR$1&lt;Units!$P76,0,IF(AND(Units!$K76=0,AR$1=Units!$O76),Units!$R76,IF(AND(AR$1&gt;=Units!$Q76,MOD(AR$1-Units!$Q76,12)=0),IF(AND(Units!$L76=1,AR$1=Units!$Q76),IF(Units!$J76&lt;&gt;"",Units!$J76,Mkt!AR77),Inputs!$B$15*Mkt!AR77+(1-Inputs!$B$15)*MIN(Mkt!AR77,AQ77*(1+Inputs!$B$18))),AQ77)))</f>
        <v>1415.081465</v>
      </c>
      <c r="AS77" s="11" t="n">
        <f aca="false">IF(AS$1&lt;Units!$P76,0,IF(AND(Units!$K76=0,AS$1=Units!$O76),Units!$R76,IF(AND(AS$1&gt;=Units!$Q76,MOD(AS$1-Units!$Q76,12)=0),IF(AND(Units!$L76=1,AS$1=Units!$Q76),IF(Units!$J76&lt;&gt;"",Units!$J76,Mkt!AS77),Inputs!$B$15*Mkt!AS77+(1-Inputs!$B$15)*MIN(Mkt!AS77,AR77*(1+Inputs!$B$18))),AR77)))</f>
        <v>1415.081465</v>
      </c>
      <c r="AT77" s="11" t="n">
        <f aca="false">IF(AT$1&lt;Units!$P76,0,IF(AND(Units!$K76=0,AT$1=Units!$O76),Units!$R76,IF(AND(AT$1&gt;=Units!$Q76,MOD(AT$1-Units!$Q76,12)=0),IF(AND(Units!$L76=1,AT$1=Units!$Q76),IF(Units!$J76&lt;&gt;"",Units!$J76,Mkt!AT77),Inputs!$B$15*Mkt!AT77+(1-Inputs!$B$15)*MIN(Mkt!AT77,AS77*(1+Inputs!$B$18))),AS77)))</f>
        <v>1415.081465</v>
      </c>
      <c r="AU77" s="11" t="n">
        <f aca="false">IF(AU$1&lt;Units!$P76,0,IF(AND(Units!$K76=0,AU$1=Units!$O76),Units!$R76,IF(AND(AU$1&gt;=Units!$Q76,MOD(AU$1-Units!$Q76,12)=0),IF(AND(Units!$L76=1,AU$1=Units!$Q76),IF(Units!$J76&lt;&gt;"",Units!$J76,Mkt!AU77),Inputs!$B$15*Mkt!AU77+(1-Inputs!$B$15)*MIN(Mkt!AU77,AT77*(1+Inputs!$B$18))),AT77)))</f>
        <v>1415.081465</v>
      </c>
      <c r="AV77" s="11" t="n">
        <f aca="false">IF(AV$1&lt;Units!$P76,0,IF(AND(Units!$K76=0,AV$1=Units!$O76),Units!$R76,IF(AND(AV$1&gt;=Units!$Q76,MOD(AV$1-Units!$Q76,12)=0),IF(AND(Units!$L76=1,AV$1=Units!$Q76),IF(Units!$J76&lt;&gt;"",Units!$J76,Mkt!AV77),Inputs!$B$15*Mkt!AV77+(1-Inputs!$B$15)*MIN(Mkt!AV77,AU77*(1+Inputs!$B$18))),AU77)))</f>
        <v>1415.081465</v>
      </c>
      <c r="AW77" s="11" t="n">
        <f aca="false">IF(AW$1&lt;Units!$P76,0,IF(AND(Units!$K76=0,AW$1=Units!$O76),Units!$R76,IF(AND(AW$1&gt;=Units!$Q76,MOD(AW$1-Units!$Q76,12)=0),IF(AND(Units!$L76=1,AW$1=Units!$Q76),IF(Units!$J76&lt;&gt;"",Units!$J76,Mkt!AW77),Inputs!$B$15*Mkt!AW77+(1-Inputs!$B$15)*MIN(Mkt!AW77,AV77*(1+Inputs!$B$18))),AV77)))</f>
        <v>1415.081465</v>
      </c>
      <c r="AX77" s="11" t="n">
        <f aca="false">IF(AX$1&lt;Units!$P76,0,IF(AND(Units!$K76=0,AX$1=Units!$O76),Units!$R76,IF(AND(AX$1&gt;=Units!$Q76,MOD(AX$1-Units!$Q76,12)=0),IF(AND(Units!$L76=1,AX$1=Units!$Q76),IF(Units!$J76&lt;&gt;"",Units!$J76,Mkt!AX77),Inputs!$B$15*Mkt!AX77+(1-Inputs!$B$15)*MIN(Mkt!AX77,AW77*(1+Inputs!$B$18))),AW77)))</f>
        <v>1415.081465</v>
      </c>
      <c r="AY77" s="11" t="n">
        <f aca="false">IF(AY$1&lt;Units!$P76,0,IF(AND(Units!$K76=0,AY$1=Units!$O76),Units!$R76,IF(AND(AY$1&gt;=Units!$Q76,MOD(AY$1-Units!$Q76,12)=0),IF(AND(Units!$L76=1,AY$1=Units!$Q76),IF(Units!$J76&lt;&gt;"",Units!$J76,Mkt!AY77),Inputs!$B$15*Mkt!AY77+(1-Inputs!$B$15)*MIN(Mkt!AY77,AX77*(1+Inputs!$B$18))),AX77)))</f>
        <v>1415.081465</v>
      </c>
      <c r="AZ77" s="11" t="n">
        <f aca="false">IF(AZ$1&lt;Units!$P76,0,IF(AND(Units!$K76=0,AZ$1=Units!$O76),Units!$R76,IF(AND(AZ$1&gt;=Units!$Q76,MOD(AZ$1-Units!$Q76,12)=0),IF(AND(Units!$L76=1,AZ$1=Units!$Q76),IF(Units!$J76&lt;&gt;"",Units!$J76,Mkt!AZ77),Inputs!$B$15*Mkt!AZ77+(1-Inputs!$B$15)*MIN(Mkt!AZ77,AY77*(1+Inputs!$B$18))),AY77)))</f>
        <v>1415.081465</v>
      </c>
      <c r="BA77" s="11" t="n">
        <f aca="false">IF(BA$1&lt;Units!$P76,0,IF(AND(Units!$K76=0,BA$1=Units!$O76),Units!$R76,IF(AND(BA$1&gt;=Units!$Q76,MOD(BA$1-Units!$Q76,12)=0),IF(AND(Units!$L76=1,BA$1=Units!$Q76),IF(Units!$J76&lt;&gt;"",Units!$J76,Mkt!BA77),Inputs!$B$15*Mkt!BA77+(1-Inputs!$B$15)*MIN(Mkt!BA77,AZ77*(1+Inputs!$B$18))),AZ77)))</f>
        <v>1415.081465</v>
      </c>
      <c r="BB77" s="11" t="n">
        <f aca="false">IF(BB$1&lt;Units!$P76,0,IF(AND(Units!$K76=0,BB$1=Units!$O76),Units!$R76,IF(AND(BB$1&gt;=Units!$Q76,MOD(BB$1-Units!$Q76,12)=0),IF(AND(Units!$L76=1,BB$1=Units!$Q76),IF(Units!$J76&lt;&gt;"",Units!$J76,Mkt!BB77),Inputs!$B$15*Mkt!BB77+(1-Inputs!$B$15)*MIN(Mkt!BB77,BA77*(1+Inputs!$B$18))),BA77)))</f>
        <v>1415.081465</v>
      </c>
      <c r="BC77" s="11" t="n">
        <f aca="false">IF(BC$1&lt;Units!$P76,0,IF(AND(Units!$K76=0,BC$1=Units!$O76),Units!$R76,IF(AND(BC$1&gt;=Units!$Q76,MOD(BC$1-Units!$Q76,12)=0),IF(AND(Units!$L76=1,BC$1=Units!$Q76),IF(Units!$J76&lt;&gt;"",Units!$J76,Mkt!BC77),Inputs!$B$15*Mkt!BC77+(1-Inputs!$B$15)*MIN(Mkt!BC77,BB77*(1+Inputs!$B$18))),BB77)))</f>
        <v>1457.53390895</v>
      </c>
      <c r="BD77" s="11" t="n">
        <f aca="false">IF(BD$1&lt;Units!$P76,0,IF(AND(Units!$K76=0,BD$1=Units!$O76),Units!$R76,IF(AND(BD$1&gt;=Units!$Q76,MOD(BD$1-Units!$Q76,12)=0),IF(AND(Units!$L76=1,BD$1=Units!$Q76),IF(Units!$J76&lt;&gt;"",Units!$J76,Mkt!BD77),Inputs!$B$15*Mkt!BD77+(1-Inputs!$B$15)*MIN(Mkt!BD77,BC77*(1+Inputs!$B$18))),BC77)))</f>
        <v>1457.53390895</v>
      </c>
      <c r="BE77" s="11" t="n">
        <f aca="false">IF(BE$1&lt;Units!$P76,0,IF(AND(Units!$K76=0,BE$1=Units!$O76),Units!$R76,IF(AND(BE$1&gt;=Units!$Q76,MOD(BE$1-Units!$Q76,12)=0),IF(AND(Units!$L76=1,BE$1=Units!$Q76),IF(Units!$J76&lt;&gt;"",Units!$J76,Mkt!BE77),Inputs!$B$15*Mkt!BE77+(1-Inputs!$B$15)*MIN(Mkt!BE77,BD77*(1+Inputs!$B$18))),BD77)))</f>
        <v>1457.53390895</v>
      </c>
      <c r="BF77" s="11" t="n">
        <f aca="false">IF(BF$1&lt;Units!$P76,0,IF(AND(Units!$K76=0,BF$1=Units!$O76),Units!$R76,IF(AND(BF$1&gt;=Units!$Q76,MOD(BF$1-Units!$Q76,12)=0),IF(AND(Units!$L76=1,BF$1=Units!$Q76),IF(Units!$J76&lt;&gt;"",Units!$J76,Mkt!BF77),Inputs!$B$15*Mkt!BF77+(1-Inputs!$B$15)*MIN(Mkt!BF77,BE77*(1+Inputs!$B$18))),BE77)))</f>
        <v>1457.53390895</v>
      </c>
      <c r="BG77" s="11" t="n">
        <f aca="false">IF(BG$1&lt;Units!$P76,0,IF(AND(Units!$K76=0,BG$1=Units!$O76),Units!$R76,IF(AND(BG$1&gt;=Units!$Q76,MOD(BG$1-Units!$Q76,12)=0),IF(AND(Units!$L76=1,BG$1=Units!$Q76),IF(Units!$J76&lt;&gt;"",Units!$J76,Mkt!BG77),Inputs!$B$15*Mkt!BG77+(1-Inputs!$B$15)*MIN(Mkt!BG77,BF77*(1+Inputs!$B$18))),BF77)))</f>
        <v>1457.53390895</v>
      </c>
      <c r="BH77" s="11" t="n">
        <f aca="false">IF(BH$1&lt;Units!$P76,0,IF(AND(Units!$K76=0,BH$1=Units!$O76),Units!$R76,IF(AND(BH$1&gt;=Units!$Q76,MOD(BH$1-Units!$Q76,12)=0),IF(AND(Units!$L76=1,BH$1=Units!$Q76),IF(Units!$J76&lt;&gt;"",Units!$J76,Mkt!BH77),Inputs!$B$15*Mkt!BH77+(1-Inputs!$B$15)*MIN(Mkt!BH77,BG77*(1+Inputs!$B$18))),BG77)))</f>
        <v>1457.53390895</v>
      </c>
      <c r="BI77" s="11" t="n">
        <f aca="false">IF(BI$1&lt;Units!$P76,0,IF(AND(Units!$K76=0,BI$1=Units!$O76),Units!$R76,IF(AND(BI$1&gt;=Units!$Q76,MOD(BI$1-Units!$Q76,12)=0),IF(AND(Units!$L76=1,BI$1=Units!$Q76),IF(Units!$J76&lt;&gt;"",Units!$J76,Mkt!BI77),Inputs!$B$15*Mkt!BI77+(1-Inputs!$B$15)*MIN(Mkt!BI77,BH77*(1+Inputs!$B$18))),BH77)))</f>
        <v>1457.53390895</v>
      </c>
      <c r="BJ77" s="11" t="n">
        <f aca="false">IF(BJ$1&lt;Units!$P76,0,IF(AND(Units!$K76=0,BJ$1=Units!$O76),Units!$R76,IF(AND(BJ$1&gt;=Units!$Q76,MOD(BJ$1-Units!$Q76,12)=0),IF(AND(Units!$L76=1,BJ$1=Units!$Q76),IF(Units!$J76&lt;&gt;"",Units!$J76,Mkt!BJ77),Inputs!$B$15*Mkt!BJ77+(1-Inputs!$B$15)*MIN(Mkt!BJ77,BI77*(1+Inputs!$B$18))),BI77)))</f>
        <v>1457.53390895</v>
      </c>
      <c r="BK77" s="11" t="n">
        <f aca="false">IF(BK$1&lt;Units!$P76,0,IF(AND(Units!$K76=0,BK$1=Units!$O76),Units!$R76,IF(AND(BK$1&gt;=Units!$Q76,MOD(BK$1-Units!$Q76,12)=0),IF(AND(Units!$L76=1,BK$1=Units!$Q76),IF(Units!$J76&lt;&gt;"",Units!$J76,Mkt!BK77),Inputs!$B$15*Mkt!BK77+(1-Inputs!$B$15)*MIN(Mkt!BK77,BJ77*(1+Inputs!$B$18))),BJ77)))</f>
        <v>1457.53390895</v>
      </c>
      <c r="BL77" s="11" t="n">
        <f aca="false">IF(BL$1&lt;Units!$P76,0,IF(AND(Units!$K76=0,BL$1=Units!$O76),Units!$R76,IF(AND(BL$1&gt;=Units!$Q76,MOD(BL$1-Units!$Q76,12)=0),IF(AND(Units!$L76=1,BL$1=Units!$Q76),IF(Units!$J76&lt;&gt;"",Units!$J76,Mkt!BL77),Inputs!$B$15*Mkt!BL77+(1-Inputs!$B$15)*MIN(Mkt!BL77,BK77*(1+Inputs!$B$18))),BK77)))</f>
        <v>1457.53390895</v>
      </c>
      <c r="BM77" s="11" t="n">
        <f aca="false">IF(BM$1&lt;Units!$P76,0,IF(AND(Units!$K76=0,BM$1=Units!$O76),Units!$R76,IF(AND(BM$1&gt;=Units!$Q76,MOD(BM$1-Units!$Q76,12)=0),IF(AND(Units!$L76=1,BM$1=Units!$Q76),IF(Units!$J76&lt;&gt;"",Units!$J76,Mkt!BM77),Inputs!$B$15*Mkt!BM77+(1-Inputs!$B$15)*MIN(Mkt!BM77,BL77*(1+Inputs!$B$18))),BL77)))</f>
        <v>1457.53390895</v>
      </c>
      <c r="BN77" s="11" t="n">
        <f aca="false">IF(BN$1&lt;Units!$P76,0,IF(AND(Units!$K76=0,BN$1=Units!$O76),Units!$R76,IF(AND(BN$1&gt;=Units!$Q76,MOD(BN$1-Units!$Q76,12)=0),IF(AND(Units!$L76=1,BN$1=Units!$Q76),IF(Units!$J76&lt;&gt;"",Units!$J76,Mkt!BN77),Inputs!$B$15*Mkt!BN77+(1-Inputs!$B$15)*MIN(Mkt!BN77,BM77*(1+Inputs!$B$18))),BM77)))</f>
        <v>1457.53390895</v>
      </c>
      <c r="BO77" s="11" t="n">
        <f aca="false">IF(BO$1&lt;Units!$P76,0,IF(AND(Units!$K76=0,BO$1=Units!$O76),Units!$R76,IF(AND(BO$1&gt;=Units!$Q76,MOD(BO$1-Units!$Q76,12)=0),IF(AND(Units!$L76=1,BO$1=Units!$Q76),IF(Units!$J76&lt;&gt;"",Units!$J76,Mkt!BO77),Inputs!$B$15*Mkt!BO77+(1-Inputs!$B$15)*MIN(Mkt!BO77,BN77*(1+Inputs!$B$18))),BN77)))</f>
        <v>1501.2599262185</v>
      </c>
      <c r="BP77" s="11" t="n">
        <f aca="false">IF(BP$1&lt;Units!$P76,0,IF(AND(Units!$K76=0,BP$1=Units!$O76),Units!$R76,IF(AND(BP$1&gt;=Units!$Q76,MOD(BP$1-Units!$Q76,12)=0),IF(AND(Units!$L76=1,BP$1=Units!$Q76),IF(Units!$J76&lt;&gt;"",Units!$J76,Mkt!BP77),Inputs!$B$15*Mkt!BP77+(1-Inputs!$B$15)*MIN(Mkt!BP77,BO77*(1+Inputs!$B$18))),BO77)))</f>
        <v>1501.2599262185</v>
      </c>
      <c r="BQ77" s="11" t="n">
        <f aca="false">IF(BQ$1&lt;Units!$P76,0,IF(AND(Units!$K76=0,BQ$1=Units!$O76),Units!$R76,IF(AND(BQ$1&gt;=Units!$Q76,MOD(BQ$1-Units!$Q76,12)=0),IF(AND(Units!$L76=1,BQ$1=Units!$Q76),IF(Units!$J76&lt;&gt;"",Units!$J76,Mkt!BQ77),Inputs!$B$15*Mkt!BQ77+(1-Inputs!$B$15)*MIN(Mkt!BQ77,BP77*(1+Inputs!$B$18))),BP77)))</f>
        <v>1501.2599262185</v>
      </c>
      <c r="BR77" s="11" t="n">
        <f aca="false">IF(BR$1&lt;Units!$P76,0,IF(AND(Units!$K76=0,BR$1=Units!$O76),Units!$R76,IF(AND(BR$1&gt;=Units!$Q76,MOD(BR$1-Units!$Q76,12)=0),IF(AND(Units!$L76=1,BR$1=Units!$Q76),IF(Units!$J76&lt;&gt;"",Units!$J76,Mkt!BR77),Inputs!$B$15*Mkt!BR77+(1-Inputs!$B$15)*MIN(Mkt!BR77,BQ77*(1+Inputs!$B$18))),BQ77)))</f>
        <v>1501.2599262185</v>
      </c>
      <c r="BS77" s="11" t="n">
        <f aca="false">IF(BS$1&lt;Units!$P76,0,IF(AND(Units!$K76=0,BS$1=Units!$O76),Units!$R76,IF(AND(BS$1&gt;=Units!$Q76,MOD(BS$1-Units!$Q76,12)=0),IF(AND(Units!$L76=1,BS$1=Units!$Q76),IF(Units!$J76&lt;&gt;"",Units!$J76,Mkt!BS77),Inputs!$B$15*Mkt!BS77+(1-Inputs!$B$15)*MIN(Mkt!BS77,BR77*(1+Inputs!$B$18))),BR77)))</f>
        <v>1501.2599262185</v>
      </c>
      <c r="BT77" s="11" t="n">
        <f aca="false">IF(BT$1&lt;Units!$P76,0,IF(AND(Units!$K76=0,BT$1=Units!$O76),Units!$R76,IF(AND(BT$1&gt;=Units!$Q76,MOD(BT$1-Units!$Q76,12)=0),IF(AND(Units!$L76=1,BT$1=Units!$Q76),IF(Units!$J76&lt;&gt;"",Units!$J76,Mkt!BT77),Inputs!$B$15*Mkt!BT77+(1-Inputs!$B$15)*MIN(Mkt!BT77,BS77*(1+Inputs!$B$18))),BS77)))</f>
        <v>1501.2599262185</v>
      </c>
      <c r="BU77" s="11" t="n">
        <f aca="false">IF(BU$1&lt;Units!$P76,0,IF(AND(Units!$K76=0,BU$1=Units!$O76),Units!$R76,IF(AND(BU$1&gt;=Units!$Q76,MOD(BU$1-Units!$Q76,12)=0),IF(AND(Units!$L76=1,BU$1=Units!$Q76),IF(Units!$J76&lt;&gt;"",Units!$J76,Mkt!BU77),Inputs!$B$15*Mkt!BU77+(1-Inputs!$B$15)*MIN(Mkt!BU77,BT77*(1+Inputs!$B$18))),BT77)))</f>
        <v>1501.2599262185</v>
      </c>
      <c r="BV77" s="11" t="n">
        <f aca="false">IF(BV$1&lt;Units!$P76,0,IF(AND(Units!$K76=0,BV$1=Units!$O76),Units!$R76,IF(AND(BV$1&gt;=Units!$Q76,MOD(BV$1-Units!$Q76,12)=0),IF(AND(Units!$L76=1,BV$1=Units!$Q76),IF(Units!$J76&lt;&gt;"",Units!$J76,Mkt!BV77),Inputs!$B$15*Mkt!BV77+(1-Inputs!$B$15)*MIN(Mkt!BV77,BU77*(1+Inputs!$B$18))),BU77)))</f>
        <v>1501.2599262185</v>
      </c>
      <c r="BW77" s="11" t="n">
        <f aca="false">IF(BW$1&lt;Units!$P76,0,IF(AND(Units!$K76=0,BW$1=Units!$O76),Units!$R76,IF(AND(BW$1&gt;=Units!$Q76,MOD(BW$1-Units!$Q76,12)=0),IF(AND(Units!$L76=1,BW$1=Units!$Q76),IF(Units!$J76&lt;&gt;"",Units!$J76,Mkt!BW77),Inputs!$B$15*Mkt!BW77+(1-Inputs!$B$15)*MIN(Mkt!BW77,BV77*(1+Inputs!$B$18))),BV77)))</f>
        <v>1501.2599262185</v>
      </c>
      <c r="BX77" s="11" t="n">
        <f aca="false">IF(BX$1&lt;Units!$P76,0,IF(AND(Units!$K76=0,BX$1=Units!$O76),Units!$R76,IF(AND(BX$1&gt;=Units!$Q76,MOD(BX$1-Units!$Q76,12)=0),IF(AND(Units!$L76=1,BX$1=Units!$Q76),IF(Units!$J76&lt;&gt;"",Units!$J76,Mkt!BX77),Inputs!$B$15*Mkt!BX77+(1-Inputs!$B$15)*MIN(Mkt!BX77,BW77*(1+Inputs!$B$18))),BW77)))</f>
        <v>1501.2599262185</v>
      </c>
      <c r="BY77" s="11" t="n">
        <f aca="false">IF(BY$1&lt;Units!$P76,0,IF(AND(Units!$K76=0,BY$1=Units!$O76),Units!$R76,IF(AND(BY$1&gt;=Units!$Q76,MOD(BY$1-Units!$Q76,12)=0),IF(AND(Units!$L76=1,BY$1=Units!$Q76),IF(Units!$J76&lt;&gt;"",Units!$J76,Mkt!BY77),Inputs!$B$15*Mkt!BY77+(1-Inputs!$B$15)*MIN(Mkt!BY77,BX77*(1+Inputs!$B$18))),BX77)))</f>
        <v>1501.2599262185</v>
      </c>
      <c r="BZ77" s="11" t="n">
        <f aca="false">IF(BZ$1&lt;Units!$P76,0,IF(AND(Units!$K76=0,BZ$1=Units!$O76),Units!$R76,IF(AND(BZ$1&gt;=Units!$Q76,MOD(BZ$1-Units!$Q76,12)=0),IF(AND(Units!$L76=1,BZ$1=Units!$Q76),IF(Units!$J76&lt;&gt;"",Units!$J76,Mkt!BZ77),Inputs!$B$15*Mkt!BZ77+(1-Inputs!$B$15)*MIN(Mkt!BZ77,BY77*(1+Inputs!$B$18))),BY77)))</f>
        <v>1501.2599262185</v>
      </c>
      <c r="CA77" s="11" t="n">
        <f aca="false">IF(CA$1&lt;Units!$P76,0,IF(AND(Units!$K76=0,CA$1=Units!$O76),Units!$R76,IF(AND(CA$1&gt;=Units!$Q76,MOD(CA$1-Units!$Q76,12)=0),IF(AND(Units!$L76=1,CA$1=Units!$Q76),IF(Units!$J76&lt;&gt;"",Units!$J76,Mkt!CA77),Inputs!$B$15*Mkt!CA77+(1-Inputs!$B$15)*MIN(Mkt!CA77,BZ77*(1+Inputs!$B$18))),BZ77)))</f>
        <v>1546.29772400506</v>
      </c>
      <c r="CB77" s="11" t="n">
        <f aca="false">IF(CB$1&lt;Units!$P76,0,IF(AND(Units!$K76=0,CB$1=Units!$O76),Units!$R76,IF(AND(CB$1&gt;=Units!$Q76,MOD(CB$1-Units!$Q76,12)=0),IF(AND(Units!$L76=1,CB$1=Units!$Q76),IF(Units!$J76&lt;&gt;"",Units!$J76,Mkt!CB77),Inputs!$B$15*Mkt!CB77+(1-Inputs!$B$15)*MIN(Mkt!CB77,CA77*(1+Inputs!$B$18))),CA77)))</f>
        <v>1546.29772400506</v>
      </c>
      <c r="CC77" s="11" t="n">
        <f aca="false">IF(CC$1&lt;Units!$P76,0,IF(AND(Units!$K76=0,CC$1=Units!$O76),Units!$R76,IF(AND(CC$1&gt;=Units!$Q76,MOD(CC$1-Units!$Q76,12)=0),IF(AND(Units!$L76=1,CC$1=Units!$Q76),IF(Units!$J76&lt;&gt;"",Units!$J76,Mkt!CC77),Inputs!$B$15*Mkt!CC77+(1-Inputs!$B$15)*MIN(Mkt!CC77,CB77*(1+Inputs!$B$18))),CB77)))</f>
        <v>1546.29772400506</v>
      </c>
      <c r="CD77" s="11" t="n">
        <f aca="false">IF(CD$1&lt;Units!$P76,0,IF(AND(Units!$K76=0,CD$1=Units!$O76),Units!$R76,IF(AND(CD$1&gt;=Units!$Q76,MOD(CD$1-Units!$Q76,12)=0),IF(AND(Units!$L76=1,CD$1=Units!$Q76),IF(Units!$J76&lt;&gt;"",Units!$J76,Mkt!CD77),Inputs!$B$15*Mkt!CD77+(1-Inputs!$B$15)*MIN(Mkt!CD77,CC77*(1+Inputs!$B$18))),CC77)))</f>
        <v>1546.29772400506</v>
      </c>
      <c r="CE77" s="11" t="n">
        <f aca="false">IF(CE$1&lt;Units!$P76,0,IF(AND(Units!$K76=0,CE$1=Units!$O76),Units!$R76,IF(AND(CE$1&gt;=Units!$Q76,MOD(CE$1-Units!$Q76,12)=0),IF(AND(Units!$L76=1,CE$1=Units!$Q76),IF(Units!$J76&lt;&gt;"",Units!$J76,Mkt!CE77),Inputs!$B$15*Mkt!CE77+(1-Inputs!$B$15)*MIN(Mkt!CE77,CD77*(1+Inputs!$B$18))),CD77)))</f>
        <v>1546.29772400506</v>
      </c>
      <c r="CF77" s="11" t="n">
        <f aca="false">IF(CF$1&lt;Units!$P76,0,IF(AND(Units!$K76=0,CF$1=Units!$O76),Units!$R76,IF(AND(CF$1&gt;=Units!$Q76,MOD(CF$1-Units!$Q76,12)=0),IF(AND(Units!$L76=1,CF$1=Units!$Q76),IF(Units!$J76&lt;&gt;"",Units!$J76,Mkt!CF77),Inputs!$B$15*Mkt!CF77+(1-Inputs!$B$15)*MIN(Mkt!CF77,CE77*(1+Inputs!$B$18))),CE77)))</f>
        <v>1546.29772400506</v>
      </c>
      <c r="CG77" s="11" t="n">
        <f aca="false">IF(CG$1&lt;Units!$P76,0,IF(AND(Units!$K76=0,CG$1=Units!$O76),Units!$R76,IF(AND(CG$1&gt;=Units!$Q76,MOD(CG$1-Units!$Q76,12)=0),IF(AND(Units!$L76=1,CG$1=Units!$Q76),IF(Units!$J76&lt;&gt;"",Units!$J76,Mkt!CG77),Inputs!$B$15*Mkt!CG77+(1-Inputs!$B$15)*MIN(Mkt!CG77,CF77*(1+Inputs!$B$18))),CF77)))</f>
        <v>1546.29772400506</v>
      </c>
      <c r="CH77" s="11" t="n">
        <f aca="false">IF(CH$1&lt;Units!$P76,0,IF(AND(Units!$K76=0,CH$1=Units!$O76),Units!$R76,IF(AND(CH$1&gt;=Units!$Q76,MOD(CH$1-Units!$Q76,12)=0),IF(AND(Units!$L76=1,CH$1=Units!$Q76),IF(Units!$J76&lt;&gt;"",Units!$J76,Mkt!CH77),Inputs!$B$15*Mkt!CH77+(1-Inputs!$B$15)*MIN(Mkt!CH77,CG77*(1+Inputs!$B$18))),CG77)))</f>
        <v>1546.29772400506</v>
      </c>
      <c r="CI77" s="11" t="n">
        <f aca="false">IF(CI$1&lt;Units!$P76,0,IF(AND(Units!$K76=0,CI$1=Units!$O76),Units!$R76,IF(AND(CI$1&gt;=Units!$Q76,MOD(CI$1-Units!$Q76,12)=0),IF(AND(Units!$L76=1,CI$1=Units!$Q76),IF(Units!$J76&lt;&gt;"",Units!$J76,Mkt!CI77),Inputs!$B$15*Mkt!CI77+(1-Inputs!$B$15)*MIN(Mkt!CI77,CH77*(1+Inputs!$B$18))),CH77)))</f>
        <v>1546.29772400506</v>
      </c>
      <c r="CJ77" s="11" t="n">
        <f aca="false">IF(CJ$1&lt;Units!$P76,0,IF(AND(Units!$K76=0,CJ$1=Units!$O76),Units!$R76,IF(AND(CJ$1&gt;=Units!$Q76,MOD(CJ$1-Units!$Q76,12)=0),IF(AND(Units!$L76=1,CJ$1=Units!$Q76),IF(Units!$J76&lt;&gt;"",Units!$J76,Mkt!CJ77),Inputs!$B$15*Mkt!CJ77+(1-Inputs!$B$15)*MIN(Mkt!CJ77,CI77*(1+Inputs!$B$18))),CI77)))</f>
        <v>1546.29772400506</v>
      </c>
      <c r="CK77" s="11" t="n">
        <f aca="false">IF(CK$1&lt;Units!$P76,0,IF(AND(Units!$K76=0,CK$1=Units!$O76),Units!$R76,IF(AND(CK$1&gt;=Units!$Q76,MOD(CK$1-Units!$Q76,12)=0),IF(AND(Units!$L76=1,CK$1=Units!$Q76),IF(Units!$J76&lt;&gt;"",Units!$J76,Mkt!CK77),Inputs!$B$15*Mkt!CK77+(1-Inputs!$B$15)*MIN(Mkt!CK77,CJ77*(1+Inputs!$B$18))),CJ77)))</f>
        <v>1546.29772400506</v>
      </c>
      <c r="CL77" s="11" t="n">
        <f aca="false">IF(CL$1&lt;Units!$P76,0,IF(AND(Units!$K76=0,CL$1=Units!$O76),Units!$R76,IF(AND(CL$1&gt;=Units!$Q76,MOD(CL$1-Units!$Q76,12)=0),IF(AND(Units!$L76=1,CL$1=Units!$Q76),IF(Units!$J76&lt;&gt;"",Units!$J76,Mkt!CL77),Inputs!$B$15*Mkt!CL77+(1-Inputs!$B$15)*MIN(Mkt!CL77,CK77*(1+Inputs!$B$18))),CK77)))</f>
        <v>1546.29772400506</v>
      </c>
      <c r="CM77" s="11" t="n">
        <f aca="false">IF(CM$1&lt;Units!$P76,0,IF(AND(Units!$K76=0,CM$1=Units!$O76),Units!$R76,IF(AND(CM$1&gt;=Units!$Q76,MOD(CM$1-Units!$Q76,12)=0),IF(AND(Units!$L76=1,CM$1=Units!$Q76),IF(Units!$J76&lt;&gt;"",Units!$J76,Mkt!CM77),Inputs!$B$15*Mkt!CM77+(1-Inputs!$B$15)*MIN(Mkt!CM77,CL77*(1+Inputs!$B$18))),CL77)))</f>
        <v>1592.68665572521</v>
      </c>
      <c r="CN77" s="11" t="n">
        <f aca="false">IF(CN$1&lt;Units!$P76,0,IF(AND(Units!$K76=0,CN$1=Units!$O76),Units!$R76,IF(AND(CN$1&gt;=Units!$Q76,MOD(CN$1-Units!$Q76,12)=0),IF(AND(Units!$L76=1,CN$1=Units!$Q76),IF(Units!$J76&lt;&gt;"",Units!$J76,Mkt!CN77),Inputs!$B$15*Mkt!CN77+(1-Inputs!$B$15)*MIN(Mkt!CN77,CM77*(1+Inputs!$B$18))),CM77)))</f>
        <v>1592.68665572521</v>
      </c>
      <c r="CO77" s="11" t="n">
        <f aca="false">IF(CO$1&lt;Units!$P76,0,IF(AND(Units!$K76=0,CO$1=Units!$O76),Units!$R76,IF(AND(CO$1&gt;=Units!$Q76,MOD(CO$1-Units!$Q76,12)=0),IF(AND(Units!$L76=1,CO$1=Units!$Q76),IF(Units!$J76&lt;&gt;"",Units!$J76,Mkt!CO77),Inputs!$B$15*Mkt!CO77+(1-Inputs!$B$15)*MIN(Mkt!CO77,CN77*(1+Inputs!$B$18))),CN77)))</f>
        <v>1592.68665572521</v>
      </c>
      <c r="CP77" s="11" t="n">
        <f aca="false">IF(CP$1&lt;Units!$P76,0,IF(AND(Units!$K76=0,CP$1=Units!$O76),Units!$R76,IF(AND(CP$1&gt;=Units!$Q76,MOD(CP$1-Units!$Q76,12)=0),IF(AND(Units!$L76=1,CP$1=Units!$Q76),IF(Units!$J76&lt;&gt;"",Units!$J76,Mkt!CP77),Inputs!$B$15*Mkt!CP77+(1-Inputs!$B$15)*MIN(Mkt!CP77,CO77*(1+Inputs!$B$18))),CO77)))</f>
        <v>1592.68665572521</v>
      </c>
      <c r="CQ77" s="11" t="n">
        <f aca="false">IF(CQ$1&lt;Units!$P76,0,IF(AND(Units!$K76=0,CQ$1=Units!$O76),Units!$R76,IF(AND(CQ$1&gt;=Units!$Q76,MOD(CQ$1-Units!$Q76,12)=0),IF(AND(Units!$L76=1,CQ$1=Units!$Q76),IF(Units!$J76&lt;&gt;"",Units!$J76,Mkt!CQ77),Inputs!$B$15*Mkt!CQ77+(1-Inputs!$B$15)*MIN(Mkt!CQ77,CP77*(1+Inputs!$B$18))),CP77)))</f>
        <v>1592.68665572521</v>
      </c>
      <c r="CR77" s="11" t="n">
        <f aca="false">IF(CR$1&lt;Units!$P76,0,IF(AND(Units!$K76=0,CR$1=Units!$O76),Units!$R76,IF(AND(CR$1&gt;=Units!$Q76,MOD(CR$1-Units!$Q76,12)=0),IF(AND(Units!$L76=1,CR$1=Units!$Q76),IF(Units!$J76&lt;&gt;"",Units!$J76,Mkt!CR77),Inputs!$B$15*Mkt!CR77+(1-Inputs!$B$15)*MIN(Mkt!CR77,CQ77*(1+Inputs!$B$18))),CQ77)))</f>
        <v>1592.68665572521</v>
      </c>
      <c r="CS77" s="11" t="n">
        <f aca="false">IF(CS$1&lt;Units!$P76,0,IF(AND(Units!$K76=0,CS$1=Units!$O76),Units!$R76,IF(AND(CS$1&gt;=Units!$Q76,MOD(CS$1-Units!$Q76,12)=0),IF(AND(Units!$L76=1,CS$1=Units!$Q76),IF(Units!$J76&lt;&gt;"",Units!$J76,Mkt!CS77),Inputs!$B$15*Mkt!CS77+(1-Inputs!$B$15)*MIN(Mkt!CS77,CR77*(1+Inputs!$B$18))),CR77)))</f>
        <v>1592.68665572521</v>
      </c>
      <c r="CT77" s="11" t="n">
        <f aca="false">IF(CT$1&lt;Units!$P76,0,IF(AND(Units!$K76=0,CT$1=Units!$O76),Units!$R76,IF(AND(CT$1&gt;=Units!$Q76,MOD(CT$1-Units!$Q76,12)=0),IF(AND(Units!$L76=1,CT$1=Units!$Q76),IF(Units!$J76&lt;&gt;"",Units!$J76,Mkt!CT77),Inputs!$B$15*Mkt!CT77+(1-Inputs!$B$15)*MIN(Mkt!CT77,CS77*(1+Inputs!$B$18))),CS77)))</f>
        <v>1592.68665572521</v>
      </c>
      <c r="CU77" s="11" t="n">
        <f aca="false">IF(CU$1&lt;Units!$P76,0,IF(AND(Units!$K76=0,CU$1=Units!$O76),Units!$R76,IF(AND(CU$1&gt;=Units!$Q76,MOD(CU$1-Units!$Q76,12)=0),IF(AND(Units!$L76=1,CU$1=Units!$Q76),IF(Units!$J76&lt;&gt;"",Units!$J76,Mkt!CU77),Inputs!$B$15*Mkt!CU77+(1-Inputs!$B$15)*MIN(Mkt!CU77,CT77*(1+Inputs!$B$18))),CT77)))</f>
        <v>1592.68665572521</v>
      </c>
      <c r="CV77" s="11" t="n">
        <f aca="false">IF(CV$1&lt;Units!$P76,0,IF(AND(Units!$K76=0,CV$1=Units!$O76),Units!$R76,IF(AND(CV$1&gt;=Units!$Q76,MOD(CV$1-Units!$Q76,12)=0),IF(AND(Units!$L76=1,CV$1=Units!$Q76),IF(Units!$J76&lt;&gt;"",Units!$J76,Mkt!CV77),Inputs!$B$15*Mkt!CV77+(1-Inputs!$B$15)*MIN(Mkt!CV77,CU77*(1+Inputs!$B$18))),CU77)))</f>
        <v>1592.68665572521</v>
      </c>
      <c r="CW77" s="11" t="n">
        <f aca="false">IF(CW$1&lt;Units!$P76,0,IF(AND(Units!$K76=0,CW$1=Units!$O76),Units!$R76,IF(AND(CW$1&gt;=Units!$Q76,MOD(CW$1-Units!$Q76,12)=0),IF(AND(Units!$L76=1,CW$1=Units!$Q76),IF(Units!$J76&lt;&gt;"",Units!$J76,Mkt!CW77),Inputs!$B$15*Mkt!CW77+(1-Inputs!$B$15)*MIN(Mkt!CW77,CV77*(1+Inputs!$B$18))),CV77)))</f>
        <v>1592.68665572521</v>
      </c>
      <c r="CX77" s="11" t="n">
        <f aca="false">IF(CX$1&lt;Units!$P76,0,IF(AND(Units!$K76=0,CX$1=Units!$O76),Units!$R76,IF(AND(CX$1&gt;=Units!$Q76,MOD(CX$1-Units!$Q76,12)=0),IF(AND(Units!$L76=1,CX$1=Units!$Q76),IF(Units!$J76&lt;&gt;"",Units!$J76,Mkt!CX77),Inputs!$B$15*Mkt!CX77+(1-Inputs!$B$15)*MIN(Mkt!CX77,CW77*(1+Inputs!$B$18))),CW77)))</f>
        <v>1592.68665572521</v>
      </c>
      <c r="CY77" s="11" t="n">
        <f aca="false">IF(CY$1&lt;Units!$P76,0,IF(AND(Units!$K76=0,CY$1=Units!$O76),Units!$R76,IF(AND(CY$1&gt;=Units!$Q76,MOD(CY$1-Units!$Q76,12)=0),IF(AND(Units!$L76=1,CY$1=Units!$Q76),IF(Units!$J76&lt;&gt;"",Units!$J76,Mkt!CY77),Inputs!$B$15*Mkt!CY77+(1-Inputs!$B$15)*MIN(Mkt!CY77,CX77*(1+Inputs!$B$18))),CX77)))</f>
        <v>1640.46725539696</v>
      </c>
      <c r="CZ77" s="11" t="n">
        <f aca="false">IF(CZ$1&lt;Units!$P76,0,IF(AND(Units!$K76=0,CZ$1=Units!$O76),Units!$R76,IF(AND(CZ$1&gt;=Units!$Q76,MOD(CZ$1-Units!$Q76,12)=0),IF(AND(Units!$L76=1,CZ$1=Units!$Q76),IF(Units!$J76&lt;&gt;"",Units!$J76,Mkt!CZ77),Inputs!$B$15*Mkt!CZ77+(1-Inputs!$B$15)*MIN(Mkt!CZ77,CY77*(1+Inputs!$B$18))),CY77)))</f>
        <v>1640.46725539696</v>
      </c>
      <c r="DA77" s="11" t="n">
        <f aca="false">IF(DA$1&lt;Units!$P76,0,IF(AND(Units!$K76=0,DA$1=Units!$O76),Units!$R76,IF(AND(DA$1&gt;=Units!$Q76,MOD(DA$1-Units!$Q76,12)=0),IF(AND(Units!$L76=1,DA$1=Units!$Q76),IF(Units!$J76&lt;&gt;"",Units!$J76,Mkt!DA77),Inputs!$B$15*Mkt!DA77+(1-Inputs!$B$15)*MIN(Mkt!DA77,CZ77*(1+Inputs!$B$18))),CZ77)))</f>
        <v>1640.46725539696</v>
      </c>
      <c r="DB77" s="11" t="n">
        <f aca="false">IF(DB$1&lt;Units!$P76,0,IF(AND(Units!$K76=0,DB$1=Units!$O76),Units!$R76,IF(AND(DB$1&gt;=Units!$Q76,MOD(DB$1-Units!$Q76,12)=0),IF(AND(Units!$L76=1,DB$1=Units!$Q76),IF(Units!$J76&lt;&gt;"",Units!$J76,Mkt!DB77),Inputs!$B$15*Mkt!DB77+(1-Inputs!$B$15)*MIN(Mkt!DB77,DA77*(1+Inputs!$B$18))),DA77)))</f>
        <v>1640.46725539696</v>
      </c>
      <c r="DC77" s="11" t="n">
        <f aca="false">IF(DC$1&lt;Units!$P76,0,IF(AND(Units!$K76=0,DC$1=Units!$O76),Units!$R76,IF(AND(DC$1&gt;=Units!$Q76,MOD(DC$1-Units!$Q76,12)=0),IF(AND(Units!$L76=1,DC$1=Units!$Q76),IF(Units!$J76&lt;&gt;"",Units!$J76,Mkt!DC77),Inputs!$B$15*Mkt!DC77+(1-Inputs!$B$15)*MIN(Mkt!DC77,DB77*(1+Inputs!$B$18))),DB77)))</f>
        <v>1640.46725539696</v>
      </c>
      <c r="DD77" s="11" t="n">
        <f aca="false">IF(DD$1&lt;Units!$P76,0,IF(AND(Units!$K76=0,DD$1=Units!$O76),Units!$R76,IF(AND(DD$1&gt;=Units!$Q76,MOD(DD$1-Units!$Q76,12)=0),IF(AND(Units!$L76=1,DD$1=Units!$Q76),IF(Units!$J76&lt;&gt;"",Units!$J76,Mkt!DD77),Inputs!$B$15*Mkt!DD77+(1-Inputs!$B$15)*MIN(Mkt!DD77,DC77*(1+Inputs!$B$18))),DC77)))</f>
        <v>1640.46725539696</v>
      </c>
      <c r="DE77" s="11" t="n">
        <f aca="false">IF(DE$1&lt;Units!$P76,0,IF(AND(Units!$K76=0,DE$1=Units!$O76),Units!$R76,IF(AND(DE$1&gt;=Units!$Q76,MOD(DE$1-Units!$Q76,12)=0),IF(AND(Units!$L76=1,DE$1=Units!$Q76),IF(Units!$J76&lt;&gt;"",Units!$J76,Mkt!DE77),Inputs!$B$15*Mkt!DE77+(1-Inputs!$B$15)*MIN(Mkt!DE77,DD77*(1+Inputs!$B$18))),DD77)))</f>
        <v>1640.46725539696</v>
      </c>
      <c r="DF77" s="11" t="n">
        <f aca="false">IF(DF$1&lt;Units!$P76,0,IF(AND(Units!$K76=0,DF$1=Units!$O76),Units!$R76,IF(AND(DF$1&gt;=Units!$Q76,MOD(DF$1-Units!$Q76,12)=0),IF(AND(Units!$L76=1,DF$1=Units!$Q76),IF(Units!$J76&lt;&gt;"",Units!$J76,Mkt!DF77),Inputs!$B$15*Mkt!DF77+(1-Inputs!$B$15)*MIN(Mkt!DF77,DE77*(1+Inputs!$B$18))),DE77)))</f>
        <v>1640.46725539696</v>
      </c>
      <c r="DG77" s="11" t="n">
        <f aca="false">IF(DG$1&lt;Units!$P76,0,IF(AND(Units!$K76=0,DG$1=Units!$O76),Units!$R76,IF(AND(DG$1&gt;=Units!$Q76,MOD(DG$1-Units!$Q76,12)=0),IF(AND(Units!$L76=1,DG$1=Units!$Q76),IF(Units!$J76&lt;&gt;"",Units!$J76,Mkt!DG77),Inputs!$B$15*Mkt!DG77+(1-Inputs!$B$15)*MIN(Mkt!DG77,DF77*(1+Inputs!$B$18))),DF77)))</f>
        <v>1640.46725539696</v>
      </c>
      <c r="DH77" s="11" t="n">
        <f aca="false">IF(DH$1&lt;Units!$P76,0,IF(AND(Units!$K76=0,DH$1=Units!$O76),Units!$R76,IF(AND(DH$1&gt;=Units!$Q76,MOD(DH$1-Units!$Q76,12)=0),IF(AND(Units!$L76=1,DH$1=Units!$Q76),IF(Units!$J76&lt;&gt;"",Units!$J76,Mkt!DH77),Inputs!$B$15*Mkt!DH77+(1-Inputs!$B$15)*MIN(Mkt!DH77,DG77*(1+Inputs!$B$18))),DG77)))</f>
        <v>1640.46725539696</v>
      </c>
      <c r="DI77" s="11" t="n">
        <f aca="false">IF(DI$1&lt;Units!$P76,0,IF(AND(Units!$K76=0,DI$1=Units!$O76),Units!$R76,IF(AND(DI$1&gt;=Units!$Q76,MOD(DI$1-Units!$Q76,12)=0),IF(AND(Units!$L76=1,DI$1=Units!$Q76),IF(Units!$J76&lt;&gt;"",Units!$J76,Mkt!DI77),Inputs!$B$15*Mkt!DI77+(1-Inputs!$B$15)*MIN(Mkt!DI77,DH77*(1+Inputs!$B$18))),DH77)))</f>
        <v>1640.46725539696</v>
      </c>
      <c r="DJ77" s="11" t="n">
        <f aca="false">IF(DJ$1&lt;Units!$P76,0,IF(AND(Units!$K76=0,DJ$1=Units!$O76),Units!$R76,IF(AND(DJ$1&gt;=Units!$Q76,MOD(DJ$1-Units!$Q76,12)=0),IF(AND(Units!$L76=1,DJ$1=Units!$Q76),IF(Units!$J76&lt;&gt;"",Units!$J76,Mkt!DJ77),Inputs!$B$15*Mkt!DJ77+(1-Inputs!$B$15)*MIN(Mkt!DJ77,DI77*(1+Inputs!$B$18))),DI77)))</f>
        <v>1640.46725539696</v>
      </c>
      <c r="DK77" s="11" t="n">
        <f aca="false">IF(DK$1&lt;Units!$P76,0,IF(AND(Units!$K76=0,DK$1=Units!$O76),Units!$R76,IF(AND(DK$1&gt;=Units!$Q76,MOD(DK$1-Units!$Q76,12)=0),IF(AND(Units!$L76=1,DK$1=Units!$Q76),IF(Units!$J76&lt;&gt;"",Units!$J76,Mkt!DK77),Inputs!$B$15*Mkt!DK77+(1-Inputs!$B$15)*MIN(Mkt!DK77,DJ77*(1+Inputs!$B$18))),DJ77)))</f>
        <v>1689.68127305887</v>
      </c>
      <c r="DL77" s="11" t="n">
        <f aca="false">IF(DL$1&lt;Units!$P76,0,IF(AND(Units!$K76=0,DL$1=Units!$O76),Units!$R76,IF(AND(DL$1&gt;=Units!$Q76,MOD(DL$1-Units!$Q76,12)=0),IF(AND(Units!$L76=1,DL$1=Units!$Q76),IF(Units!$J76&lt;&gt;"",Units!$J76,Mkt!DL77),Inputs!$B$15*Mkt!DL77+(1-Inputs!$B$15)*MIN(Mkt!DL77,DK77*(1+Inputs!$B$18))),DK77)))</f>
        <v>1689.68127305887</v>
      </c>
      <c r="DM77" s="11" t="n">
        <f aca="false">IF(DM$1&lt;Units!$P76,0,IF(AND(Units!$K76=0,DM$1=Units!$O76),Units!$R76,IF(AND(DM$1&gt;=Units!$Q76,MOD(DM$1-Units!$Q76,12)=0),IF(AND(Units!$L76=1,DM$1=Units!$Q76),IF(Units!$J76&lt;&gt;"",Units!$J76,Mkt!DM77),Inputs!$B$15*Mkt!DM77+(1-Inputs!$B$15)*MIN(Mkt!DM77,DL77*(1+Inputs!$B$18))),DL77)))</f>
        <v>1689.68127305887</v>
      </c>
      <c r="DN77" s="11" t="n">
        <f aca="false">IF(DN$1&lt;Units!$P76,0,IF(AND(Units!$K76=0,DN$1=Units!$O76),Units!$R76,IF(AND(DN$1&gt;=Units!$Q76,MOD(DN$1-Units!$Q76,12)=0),IF(AND(Units!$L76=1,DN$1=Units!$Q76),IF(Units!$J76&lt;&gt;"",Units!$J76,Mkt!DN77),Inputs!$B$15*Mkt!DN77+(1-Inputs!$B$15)*MIN(Mkt!DN77,DM77*(1+Inputs!$B$18))),DM77)))</f>
        <v>1689.68127305887</v>
      </c>
      <c r="DO77" s="11" t="n">
        <f aca="false">IF(DO$1&lt;Units!$P76,0,IF(AND(Units!$K76=0,DO$1=Units!$O76),Units!$R76,IF(AND(DO$1&gt;=Units!$Q76,MOD(DO$1-Units!$Q76,12)=0),IF(AND(Units!$L76=1,DO$1=Units!$Q76),IF(Units!$J76&lt;&gt;"",Units!$J76,Mkt!DO77),Inputs!$B$15*Mkt!DO77+(1-Inputs!$B$15)*MIN(Mkt!DO77,DN77*(1+Inputs!$B$18))),DN77)))</f>
        <v>1689.68127305887</v>
      </c>
      <c r="DP77" s="11" t="n">
        <f aca="false">IF(DP$1&lt;Units!$P76,0,IF(AND(Units!$K76=0,DP$1=Units!$O76),Units!$R76,IF(AND(DP$1&gt;=Units!$Q76,MOD(DP$1-Units!$Q76,12)=0),IF(AND(Units!$L76=1,DP$1=Units!$Q76),IF(Units!$J76&lt;&gt;"",Units!$J76,Mkt!DP77),Inputs!$B$15*Mkt!DP77+(1-Inputs!$B$15)*MIN(Mkt!DP77,DO77*(1+Inputs!$B$18))),DO77)))</f>
        <v>1689.68127305887</v>
      </c>
      <c r="DQ77" s="11" t="n">
        <f aca="false">IF(DQ$1&lt;Units!$P76,0,IF(AND(Units!$K76=0,DQ$1=Units!$O76),Units!$R76,IF(AND(DQ$1&gt;=Units!$Q76,MOD(DQ$1-Units!$Q76,12)=0),IF(AND(Units!$L76=1,DQ$1=Units!$Q76),IF(Units!$J76&lt;&gt;"",Units!$J76,Mkt!DQ77),Inputs!$B$15*Mkt!DQ77+(1-Inputs!$B$15)*MIN(Mkt!DQ77,DP77*(1+Inputs!$B$18))),DP77)))</f>
        <v>1689.68127305887</v>
      </c>
      <c r="DR77" s="11" t="n">
        <f aca="false">IF(DR$1&lt;Units!$P76,0,IF(AND(Units!$K76=0,DR$1=Units!$O76),Units!$R76,IF(AND(DR$1&gt;=Units!$Q76,MOD(DR$1-Units!$Q76,12)=0),IF(AND(Units!$L76=1,DR$1=Units!$Q76),IF(Units!$J76&lt;&gt;"",Units!$J76,Mkt!DR77),Inputs!$B$15*Mkt!DR77+(1-Inputs!$B$15)*MIN(Mkt!DR77,DQ77*(1+Inputs!$B$18))),DQ77)))</f>
        <v>1689.68127305887</v>
      </c>
      <c r="DS77" s="11" t="n">
        <f aca="false">IF(DS$1&lt;Units!$P76,0,IF(AND(Units!$K76=0,DS$1=Units!$O76),Units!$R76,IF(AND(DS$1&gt;=Units!$Q76,MOD(DS$1-Units!$Q76,12)=0),IF(AND(Units!$L76=1,DS$1=Units!$Q76),IF(Units!$J76&lt;&gt;"",Units!$J76,Mkt!DS77),Inputs!$B$15*Mkt!DS77+(1-Inputs!$B$15)*MIN(Mkt!DS77,DR77*(1+Inputs!$B$18))),DR77)))</f>
        <v>1689.68127305887</v>
      </c>
      <c r="DT77" s="11" t="n">
        <f aca="false">IF(DT$1&lt;Units!$P76,0,IF(AND(Units!$K76=0,DT$1=Units!$O76),Units!$R76,IF(AND(DT$1&gt;=Units!$Q76,MOD(DT$1-Units!$Q76,12)=0),IF(AND(Units!$L76=1,DT$1=Units!$Q76),IF(Units!$J76&lt;&gt;"",Units!$J76,Mkt!DT77),Inputs!$B$15*Mkt!DT77+(1-Inputs!$B$15)*MIN(Mkt!DT77,DS77*(1+Inputs!$B$18))),DS77)))</f>
        <v>1689.68127305887</v>
      </c>
      <c r="DU77" s="11" t="n">
        <f aca="false">IF(DU$1&lt;Units!$P76,0,IF(AND(Units!$K76=0,DU$1=Units!$O76),Units!$R76,IF(AND(DU$1&gt;=Units!$Q76,MOD(DU$1-Units!$Q76,12)=0),IF(AND(Units!$L76=1,DU$1=Units!$Q76),IF(Units!$J76&lt;&gt;"",Units!$J76,Mkt!DU77),Inputs!$B$15*Mkt!DU77+(1-Inputs!$B$15)*MIN(Mkt!DU77,DT77*(1+Inputs!$B$18))),DT77)))</f>
        <v>1689.68127305887</v>
      </c>
      <c r="DV77" s="11" t="n">
        <f aca="false">IF(DV$1&lt;Units!$P76,0,IF(AND(Units!$K76=0,DV$1=Units!$O76),Units!$R76,IF(AND(DV$1&gt;=Units!$Q76,MOD(DV$1-Units!$Q76,12)=0),IF(AND(Units!$L76=1,DV$1=Units!$Q76),IF(Units!$J76&lt;&gt;"",Units!$J76,Mkt!DV77),Inputs!$B$15*Mkt!DV77+(1-Inputs!$B$15)*MIN(Mkt!DV77,DU77*(1+Inputs!$B$18))),DU77)))</f>
        <v>1689.68127305887</v>
      </c>
      <c r="DW77" s="11" t="n">
        <f aca="false">IF(DW$1&lt;Units!$P76,0,IF(AND(Units!$K76=0,DW$1=Units!$O76),Units!$R76,IF(AND(DW$1&gt;=Units!$Q76,MOD(DW$1-Units!$Q76,12)=0),IF(AND(Units!$L76=1,DW$1=Units!$Q76),IF(Units!$J76&lt;&gt;"",Units!$J76,Mkt!DW77),Inputs!$B$15*Mkt!DW77+(1-Inputs!$B$15)*MIN(Mkt!DW77,DV77*(1+Inputs!$B$18))),DV77)))</f>
        <v>1740.37171125064</v>
      </c>
      <c r="DX77" s="11" t="n">
        <f aca="false">IF(DX$1&lt;Units!$P76,0,IF(AND(Units!$K76=0,DX$1=Units!$O76),Units!$R76,IF(AND(DX$1&gt;=Units!$Q76,MOD(DX$1-Units!$Q76,12)=0),IF(AND(Units!$L76=1,DX$1=Units!$Q76),IF(Units!$J76&lt;&gt;"",Units!$J76,Mkt!DX77),Inputs!$B$15*Mkt!DX77+(1-Inputs!$B$15)*MIN(Mkt!DX77,DW77*(1+Inputs!$B$18))),DW77)))</f>
        <v>1740.37171125064</v>
      </c>
      <c r="DY77" s="11" t="n">
        <f aca="false">IF(DY$1&lt;Units!$P76,0,IF(AND(Units!$K76=0,DY$1=Units!$O76),Units!$R76,IF(AND(DY$1&gt;=Units!$Q76,MOD(DY$1-Units!$Q76,12)=0),IF(AND(Units!$L76=1,DY$1=Units!$Q76),IF(Units!$J76&lt;&gt;"",Units!$J76,Mkt!DY77),Inputs!$B$15*Mkt!DY77+(1-Inputs!$B$15)*MIN(Mkt!DY77,DX77*(1+Inputs!$B$18))),DX77)))</f>
        <v>1740.37171125064</v>
      </c>
      <c r="DZ77" s="11" t="n">
        <f aca="false">IF(DZ$1&lt;Units!$P76,0,IF(AND(Units!$K76=0,DZ$1=Units!$O76),Units!$R76,IF(AND(DZ$1&gt;=Units!$Q76,MOD(DZ$1-Units!$Q76,12)=0),IF(AND(Units!$L76=1,DZ$1=Units!$Q76),IF(Units!$J76&lt;&gt;"",Units!$J76,Mkt!DZ77),Inputs!$B$15*Mkt!DZ77+(1-Inputs!$B$15)*MIN(Mkt!DZ77,DY77*(1+Inputs!$B$18))),DY77)))</f>
        <v>1740.37171125064</v>
      </c>
      <c r="EA77" s="11" t="n">
        <f aca="false">IF(EA$1&lt;Units!$P76,0,IF(AND(Units!$K76=0,EA$1=Units!$O76),Units!$R76,IF(AND(EA$1&gt;=Units!$Q76,MOD(EA$1-Units!$Q76,12)=0),IF(AND(Units!$L76=1,EA$1=Units!$Q76),IF(Units!$J76&lt;&gt;"",Units!$J76,Mkt!EA77),Inputs!$B$15*Mkt!EA77+(1-Inputs!$B$15)*MIN(Mkt!EA77,DZ77*(1+Inputs!$B$18))),DZ77)))</f>
        <v>1740.37171125064</v>
      </c>
      <c r="EB77" s="11" t="n">
        <f aca="false">IF(EB$1&lt;Units!$P76,0,IF(AND(Units!$K76=0,EB$1=Units!$O76),Units!$R76,IF(AND(EB$1&gt;=Units!$Q76,MOD(EB$1-Units!$Q76,12)=0),IF(AND(Units!$L76=1,EB$1=Units!$Q76),IF(Units!$J76&lt;&gt;"",Units!$J76,Mkt!EB77),Inputs!$B$15*Mkt!EB77+(1-Inputs!$B$15)*MIN(Mkt!EB77,EA77*(1+Inputs!$B$18))),EA77)))</f>
        <v>1740.37171125064</v>
      </c>
      <c r="EC77" s="11" t="n">
        <f aca="false">IF(EC$1&lt;Units!$P76,0,IF(AND(Units!$K76=0,EC$1=Units!$O76),Units!$R76,IF(AND(EC$1&gt;=Units!$Q76,MOD(EC$1-Units!$Q76,12)=0),IF(AND(Units!$L76=1,EC$1=Units!$Q76),IF(Units!$J76&lt;&gt;"",Units!$J76,Mkt!EC77),Inputs!$B$15*Mkt!EC77+(1-Inputs!$B$15)*MIN(Mkt!EC77,EB77*(1+Inputs!$B$18))),EB77)))</f>
        <v>1740.37171125064</v>
      </c>
      <c r="ED77" s="11" t="n">
        <f aca="false">IF(ED$1&lt;Units!$P76,0,IF(AND(Units!$K76=0,ED$1=Units!$O76),Units!$R76,IF(AND(ED$1&gt;=Units!$Q76,MOD(ED$1-Units!$Q76,12)=0),IF(AND(Units!$L76=1,ED$1=Units!$Q76),IF(Units!$J76&lt;&gt;"",Units!$J76,Mkt!ED77),Inputs!$B$15*Mkt!ED77+(1-Inputs!$B$15)*MIN(Mkt!ED77,EC77*(1+Inputs!$B$18))),EC77)))</f>
        <v>1740.37171125064</v>
      </c>
    </row>
    <row r="78" customFormat="false" ht="15" hidden="false" customHeight="false" outlineLevel="0" collapsed="false">
      <c r="A78" s="22" t="n">
        <f aca="false">Units!A77</f>
        <v>316</v>
      </c>
      <c r="B78" s="24" t="n">
        <f aca="false">IF(Units!K77=1,Units!F77,0)</f>
        <v>1290</v>
      </c>
      <c r="C78" s="11" t="n">
        <f aca="false">IF(C$1&lt;Units!$P77,0,IF(AND(Units!$K77=0,C$1=Units!$O77),Units!$R77,IF(AND(C$1&gt;=Units!$Q77,MOD(C$1-Units!$Q77,12)=0),IF(AND(Units!$L77=1,C$1=Units!$Q77),IF(Units!$J77&lt;&gt;"",Units!$J77,Mkt!C78),Inputs!$B$15*Mkt!C78+(1-Inputs!$B$15)*MIN(Mkt!C78,B78*(1+Inputs!$B$18))),B78)))</f>
        <v>1295</v>
      </c>
      <c r="D78" s="11" t="n">
        <f aca="false">IF(D$1&lt;Units!$P77,0,IF(AND(Units!$K77=0,D$1=Units!$O77),Units!$R77,IF(AND(D$1&gt;=Units!$Q77,MOD(D$1-Units!$Q77,12)=0),IF(AND(Units!$L77=1,D$1=Units!$Q77),IF(Units!$J77&lt;&gt;"",Units!$J77,Mkt!D78),Inputs!$B$15*Mkt!D78+(1-Inputs!$B$15)*MIN(Mkt!D78,C78*(1+Inputs!$B$18))),C78)))</f>
        <v>1295</v>
      </c>
      <c r="E78" s="11" t="n">
        <f aca="false">IF(E$1&lt;Units!$P77,0,IF(AND(Units!$K77=0,E$1=Units!$O77),Units!$R77,IF(AND(E$1&gt;=Units!$Q77,MOD(E$1-Units!$Q77,12)=0),IF(AND(Units!$L77=1,E$1=Units!$Q77),IF(Units!$J77&lt;&gt;"",Units!$J77,Mkt!E78),Inputs!$B$15*Mkt!E78+(1-Inputs!$B$15)*MIN(Mkt!E78,D78*(1+Inputs!$B$18))),D78)))</f>
        <v>1295</v>
      </c>
      <c r="F78" s="11" t="n">
        <f aca="false">IF(F$1&lt;Units!$P77,0,IF(AND(Units!$K77=0,F$1=Units!$O77),Units!$R77,IF(AND(F$1&gt;=Units!$Q77,MOD(F$1-Units!$Q77,12)=0),IF(AND(Units!$L77=1,F$1=Units!$Q77),IF(Units!$J77&lt;&gt;"",Units!$J77,Mkt!F78),Inputs!$B$15*Mkt!F78+(1-Inputs!$B$15)*MIN(Mkt!F78,E78*(1+Inputs!$B$18))),E78)))</f>
        <v>1295</v>
      </c>
      <c r="G78" s="11" t="n">
        <f aca="false">IF(G$1&lt;Units!$P77,0,IF(AND(Units!$K77=0,G$1=Units!$O77),Units!$R77,IF(AND(G$1&gt;=Units!$Q77,MOD(G$1-Units!$Q77,12)=0),IF(AND(Units!$L77=1,G$1=Units!$Q77),IF(Units!$J77&lt;&gt;"",Units!$J77,Mkt!G78),Inputs!$B$15*Mkt!G78+(1-Inputs!$B$15)*MIN(Mkt!G78,F78*(1+Inputs!$B$18))),F78)))</f>
        <v>1295</v>
      </c>
      <c r="H78" s="11" t="n">
        <f aca="false">IF(H$1&lt;Units!$P77,0,IF(AND(Units!$K77=0,H$1=Units!$O77),Units!$R77,IF(AND(H$1&gt;=Units!$Q77,MOD(H$1-Units!$Q77,12)=0),IF(AND(Units!$L77=1,H$1=Units!$Q77),IF(Units!$J77&lt;&gt;"",Units!$J77,Mkt!H78),Inputs!$B$15*Mkt!H78+(1-Inputs!$B$15)*MIN(Mkt!H78,G78*(1+Inputs!$B$18))),G78)))</f>
        <v>1295</v>
      </c>
      <c r="I78" s="11" t="n">
        <f aca="false">IF(I$1&lt;Units!$P77,0,IF(AND(Units!$K77=0,I$1=Units!$O77),Units!$R77,IF(AND(I$1&gt;=Units!$Q77,MOD(I$1-Units!$Q77,12)=0),IF(AND(Units!$L77=1,I$1=Units!$Q77),IF(Units!$J77&lt;&gt;"",Units!$J77,Mkt!I78),Inputs!$B$15*Mkt!I78+(1-Inputs!$B$15)*MIN(Mkt!I78,H78*(1+Inputs!$B$18))),H78)))</f>
        <v>1295</v>
      </c>
      <c r="J78" s="11" t="n">
        <f aca="false">IF(J$1&lt;Units!$P77,0,IF(AND(Units!$K77=0,J$1=Units!$O77),Units!$R77,IF(AND(J$1&gt;=Units!$Q77,MOD(J$1-Units!$Q77,12)=0),IF(AND(Units!$L77=1,J$1=Units!$Q77),IF(Units!$J77&lt;&gt;"",Units!$J77,Mkt!J78),Inputs!$B$15*Mkt!J78+(1-Inputs!$B$15)*MIN(Mkt!J78,I78*(1+Inputs!$B$18))),I78)))</f>
        <v>1295</v>
      </c>
      <c r="K78" s="11" t="n">
        <f aca="false">IF(K$1&lt;Units!$P77,0,IF(AND(Units!$K77=0,K$1=Units!$O77),Units!$R77,IF(AND(K$1&gt;=Units!$Q77,MOD(K$1-Units!$Q77,12)=0),IF(AND(Units!$L77=1,K$1=Units!$Q77),IF(Units!$J77&lt;&gt;"",Units!$J77,Mkt!K78),Inputs!$B$15*Mkt!K78+(1-Inputs!$B$15)*MIN(Mkt!K78,J78*(1+Inputs!$B$18))),J78)))</f>
        <v>1295</v>
      </c>
      <c r="L78" s="11" t="n">
        <f aca="false">IF(L$1&lt;Units!$P77,0,IF(AND(Units!$K77=0,L$1=Units!$O77),Units!$R77,IF(AND(L$1&gt;=Units!$Q77,MOD(L$1-Units!$Q77,12)=0),IF(AND(Units!$L77=1,L$1=Units!$Q77),IF(Units!$J77&lt;&gt;"",Units!$J77,Mkt!L78),Inputs!$B$15*Mkt!L78+(1-Inputs!$B$15)*MIN(Mkt!L78,K78*(1+Inputs!$B$18))),K78)))</f>
        <v>1295</v>
      </c>
      <c r="M78" s="11" t="n">
        <f aca="false">IF(M$1&lt;Units!$P77,0,IF(AND(Units!$K77=0,M$1=Units!$O77),Units!$R77,IF(AND(M$1&gt;=Units!$Q77,MOD(M$1-Units!$Q77,12)=0),IF(AND(Units!$L77=1,M$1=Units!$Q77),IF(Units!$J77&lt;&gt;"",Units!$J77,Mkt!M78),Inputs!$B$15*Mkt!M78+(1-Inputs!$B$15)*MIN(Mkt!M78,L78*(1+Inputs!$B$18))),L78)))</f>
        <v>1295</v>
      </c>
      <c r="N78" s="11" t="n">
        <f aca="false">IF(N$1&lt;Units!$P77,0,IF(AND(Units!$K77=0,N$1=Units!$O77),Units!$R77,IF(AND(N$1&gt;=Units!$Q77,MOD(N$1-Units!$Q77,12)=0),IF(AND(Units!$L77=1,N$1=Units!$Q77),IF(Units!$J77&lt;&gt;"",Units!$J77,Mkt!N78),Inputs!$B$15*Mkt!N78+(1-Inputs!$B$15)*MIN(Mkt!N78,M78*(1+Inputs!$B$18))),M78)))</f>
        <v>1295</v>
      </c>
      <c r="O78" s="11" t="n">
        <f aca="false">IF(O$1&lt;Units!$P77,0,IF(AND(Units!$K77=0,O$1=Units!$O77),Units!$R77,IF(AND(O$1&gt;=Units!$Q77,MOD(O$1-Units!$Q77,12)=0),IF(AND(Units!$L77=1,O$1=Units!$Q77),IF(Units!$J77&lt;&gt;"",Units!$J77,Mkt!O78),Inputs!$B$15*Mkt!O78+(1-Inputs!$B$15)*MIN(Mkt!O78,N78*(1+Inputs!$B$18))),N78)))</f>
        <v>1333.85</v>
      </c>
      <c r="P78" s="11" t="n">
        <f aca="false">IF(P$1&lt;Units!$P77,0,IF(AND(Units!$K77=0,P$1=Units!$O77),Units!$R77,IF(AND(P$1&gt;=Units!$Q77,MOD(P$1-Units!$Q77,12)=0),IF(AND(Units!$L77=1,P$1=Units!$Q77),IF(Units!$J77&lt;&gt;"",Units!$J77,Mkt!P78),Inputs!$B$15*Mkt!P78+(1-Inputs!$B$15)*MIN(Mkt!P78,O78*(1+Inputs!$B$18))),O78)))</f>
        <v>1333.85</v>
      </c>
      <c r="Q78" s="11" t="n">
        <f aca="false">IF(Q$1&lt;Units!$P77,0,IF(AND(Units!$K77=0,Q$1=Units!$O77),Units!$R77,IF(AND(Q$1&gt;=Units!$Q77,MOD(Q$1-Units!$Q77,12)=0),IF(AND(Units!$L77=1,Q$1=Units!$Q77),IF(Units!$J77&lt;&gt;"",Units!$J77,Mkt!Q78),Inputs!$B$15*Mkt!Q78+(1-Inputs!$B$15)*MIN(Mkt!Q78,P78*(1+Inputs!$B$18))),P78)))</f>
        <v>1333.85</v>
      </c>
      <c r="R78" s="11" t="n">
        <f aca="false">IF(R$1&lt;Units!$P77,0,IF(AND(Units!$K77=0,R$1=Units!$O77),Units!$R77,IF(AND(R$1&gt;=Units!$Q77,MOD(R$1-Units!$Q77,12)=0),IF(AND(Units!$L77=1,R$1=Units!$Q77),IF(Units!$J77&lt;&gt;"",Units!$J77,Mkt!R78),Inputs!$B$15*Mkt!R78+(1-Inputs!$B$15)*MIN(Mkt!R78,Q78*(1+Inputs!$B$18))),Q78)))</f>
        <v>1333.85</v>
      </c>
      <c r="S78" s="11" t="n">
        <f aca="false">IF(S$1&lt;Units!$P77,0,IF(AND(Units!$K77=0,S$1=Units!$O77),Units!$R77,IF(AND(S$1&gt;=Units!$Q77,MOD(S$1-Units!$Q77,12)=0),IF(AND(Units!$L77=1,S$1=Units!$Q77),IF(Units!$J77&lt;&gt;"",Units!$J77,Mkt!S78),Inputs!$B$15*Mkt!S78+(1-Inputs!$B$15)*MIN(Mkt!S78,R78*(1+Inputs!$B$18))),R78)))</f>
        <v>1333.85</v>
      </c>
      <c r="T78" s="11" t="n">
        <f aca="false">IF(T$1&lt;Units!$P77,0,IF(AND(Units!$K77=0,T$1=Units!$O77),Units!$R77,IF(AND(T$1&gt;=Units!$Q77,MOD(T$1-Units!$Q77,12)=0),IF(AND(Units!$L77=1,T$1=Units!$Q77),IF(Units!$J77&lt;&gt;"",Units!$J77,Mkt!T78),Inputs!$B$15*Mkt!T78+(1-Inputs!$B$15)*MIN(Mkt!T78,S78*(1+Inputs!$B$18))),S78)))</f>
        <v>1333.85</v>
      </c>
      <c r="U78" s="11" t="n">
        <f aca="false">IF(U$1&lt;Units!$P77,0,IF(AND(Units!$K77=0,U$1=Units!$O77),Units!$R77,IF(AND(U$1&gt;=Units!$Q77,MOD(U$1-Units!$Q77,12)=0),IF(AND(Units!$L77=1,U$1=Units!$Q77),IF(Units!$J77&lt;&gt;"",Units!$J77,Mkt!U78),Inputs!$B$15*Mkt!U78+(1-Inputs!$B$15)*MIN(Mkt!U78,T78*(1+Inputs!$B$18))),T78)))</f>
        <v>1333.85</v>
      </c>
      <c r="V78" s="11" t="n">
        <f aca="false">IF(V$1&lt;Units!$P77,0,IF(AND(Units!$K77=0,V$1=Units!$O77),Units!$R77,IF(AND(V$1&gt;=Units!$Q77,MOD(V$1-Units!$Q77,12)=0),IF(AND(Units!$L77=1,V$1=Units!$Q77),IF(Units!$J77&lt;&gt;"",Units!$J77,Mkt!V78),Inputs!$B$15*Mkt!V78+(1-Inputs!$B$15)*MIN(Mkt!V78,U78*(1+Inputs!$B$18))),U78)))</f>
        <v>1333.85</v>
      </c>
      <c r="W78" s="11" t="n">
        <f aca="false">IF(W$1&lt;Units!$P77,0,IF(AND(Units!$K77=0,W$1=Units!$O77),Units!$R77,IF(AND(W$1&gt;=Units!$Q77,MOD(W$1-Units!$Q77,12)=0),IF(AND(Units!$L77=1,W$1=Units!$Q77),IF(Units!$J77&lt;&gt;"",Units!$J77,Mkt!W78),Inputs!$B$15*Mkt!W78+(1-Inputs!$B$15)*MIN(Mkt!W78,V78*(1+Inputs!$B$18))),V78)))</f>
        <v>1333.85</v>
      </c>
      <c r="X78" s="11" t="n">
        <f aca="false">IF(X$1&lt;Units!$P77,0,IF(AND(Units!$K77=0,X$1=Units!$O77),Units!$R77,IF(AND(X$1&gt;=Units!$Q77,MOD(X$1-Units!$Q77,12)=0),IF(AND(Units!$L77=1,X$1=Units!$Q77),IF(Units!$J77&lt;&gt;"",Units!$J77,Mkt!X78),Inputs!$B$15*Mkt!X78+(1-Inputs!$B$15)*MIN(Mkt!X78,W78*(1+Inputs!$B$18))),W78)))</f>
        <v>1333.85</v>
      </c>
      <c r="Y78" s="11" t="n">
        <f aca="false">IF(Y$1&lt;Units!$P77,0,IF(AND(Units!$K77=0,Y$1=Units!$O77),Units!$R77,IF(AND(Y$1&gt;=Units!$Q77,MOD(Y$1-Units!$Q77,12)=0),IF(AND(Units!$L77=1,Y$1=Units!$Q77),IF(Units!$J77&lt;&gt;"",Units!$J77,Mkt!Y78),Inputs!$B$15*Mkt!Y78+(1-Inputs!$B$15)*MIN(Mkt!Y78,X78*(1+Inputs!$B$18))),X78)))</f>
        <v>1333.85</v>
      </c>
      <c r="Z78" s="11" t="n">
        <f aca="false">IF(Z$1&lt;Units!$P77,0,IF(AND(Units!$K77=0,Z$1=Units!$O77),Units!$R77,IF(AND(Z$1&gt;=Units!$Q77,MOD(Z$1-Units!$Q77,12)=0),IF(AND(Units!$L77=1,Z$1=Units!$Q77),IF(Units!$J77&lt;&gt;"",Units!$J77,Mkt!Z78),Inputs!$B$15*Mkt!Z78+(1-Inputs!$B$15)*MIN(Mkt!Z78,Y78*(1+Inputs!$B$18))),Y78)))</f>
        <v>1333.85</v>
      </c>
      <c r="AA78" s="11" t="n">
        <f aca="false">IF(AA$1&lt;Units!$P77,0,IF(AND(Units!$K77=0,AA$1=Units!$O77),Units!$R77,IF(AND(AA$1&gt;=Units!$Q77,MOD(AA$1-Units!$Q77,12)=0),IF(AND(Units!$L77=1,AA$1=Units!$Q77),IF(Units!$J77&lt;&gt;"",Units!$J77,Mkt!AA78),Inputs!$B$15*Mkt!AA78+(1-Inputs!$B$15)*MIN(Mkt!AA78,Z78*(1+Inputs!$B$18))),Z78)))</f>
        <v>1373.8655</v>
      </c>
      <c r="AB78" s="11" t="n">
        <f aca="false">IF(AB$1&lt;Units!$P77,0,IF(AND(Units!$K77=0,AB$1=Units!$O77),Units!$R77,IF(AND(AB$1&gt;=Units!$Q77,MOD(AB$1-Units!$Q77,12)=0),IF(AND(Units!$L77=1,AB$1=Units!$Q77),IF(Units!$J77&lt;&gt;"",Units!$J77,Mkt!AB78),Inputs!$B$15*Mkt!AB78+(1-Inputs!$B$15)*MIN(Mkt!AB78,AA78*(1+Inputs!$B$18))),AA78)))</f>
        <v>1373.8655</v>
      </c>
      <c r="AC78" s="11" t="n">
        <f aca="false">IF(AC$1&lt;Units!$P77,0,IF(AND(Units!$K77=0,AC$1=Units!$O77),Units!$R77,IF(AND(AC$1&gt;=Units!$Q77,MOD(AC$1-Units!$Q77,12)=0),IF(AND(Units!$L77=1,AC$1=Units!$Q77),IF(Units!$J77&lt;&gt;"",Units!$J77,Mkt!AC78),Inputs!$B$15*Mkt!AC78+(1-Inputs!$B$15)*MIN(Mkt!AC78,AB78*(1+Inputs!$B$18))),AB78)))</f>
        <v>1373.8655</v>
      </c>
      <c r="AD78" s="11" t="n">
        <f aca="false">IF(AD$1&lt;Units!$P77,0,IF(AND(Units!$K77=0,AD$1=Units!$O77),Units!$R77,IF(AND(AD$1&gt;=Units!$Q77,MOD(AD$1-Units!$Q77,12)=0),IF(AND(Units!$L77=1,AD$1=Units!$Q77),IF(Units!$J77&lt;&gt;"",Units!$J77,Mkt!AD78),Inputs!$B$15*Mkt!AD78+(1-Inputs!$B$15)*MIN(Mkt!AD78,AC78*(1+Inputs!$B$18))),AC78)))</f>
        <v>1373.8655</v>
      </c>
      <c r="AE78" s="11" t="n">
        <f aca="false">IF(AE$1&lt;Units!$P77,0,IF(AND(Units!$K77=0,AE$1=Units!$O77),Units!$R77,IF(AND(AE$1&gt;=Units!$Q77,MOD(AE$1-Units!$Q77,12)=0),IF(AND(Units!$L77=1,AE$1=Units!$Q77),IF(Units!$J77&lt;&gt;"",Units!$J77,Mkt!AE78),Inputs!$B$15*Mkt!AE78+(1-Inputs!$B$15)*MIN(Mkt!AE78,AD78*(1+Inputs!$B$18))),AD78)))</f>
        <v>1373.8655</v>
      </c>
      <c r="AF78" s="11" t="n">
        <f aca="false">IF(AF$1&lt;Units!$P77,0,IF(AND(Units!$K77=0,AF$1=Units!$O77),Units!$R77,IF(AND(AF$1&gt;=Units!$Q77,MOD(AF$1-Units!$Q77,12)=0),IF(AND(Units!$L77=1,AF$1=Units!$Q77),IF(Units!$J77&lt;&gt;"",Units!$J77,Mkt!AF78),Inputs!$B$15*Mkt!AF78+(1-Inputs!$B$15)*MIN(Mkt!AF78,AE78*(1+Inputs!$B$18))),AE78)))</f>
        <v>1373.8655</v>
      </c>
      <c r="AG78" s="11" t="n">
        <f aca="false">IF(AG$1&lt;Units!$P77,0,IF(AND(Units!$K77=0,AG$1=Units!$O77),Units!$R77,IF(AND(AG$1&gt;=Units!$Q77,MOD(AG$1-Units!$Q77,12)=0),IF(AND(Units!$L77=1,AG$1=Units!$Q77),IF(Units!$J77&lt;&gt;"",Units!$J77,Mkt!AG78),Inputs!$B$15*Mkt!AG78+(1-Inputs!$B$15)*MIN(Mkt!AG78,AF78*(1+Inputs!$B$18))),AF78)))</f>
        <v>1373.8655</v>
      </c>
      <c r="AH78" s="11" t="n">
        <f aca="false">IF(AH$1&lt;Units!$P77,0,IF(AND(Units!$K77=0,AH$1=Units!$O77),Units!$R77,IF(AND(AH$1&gt;=Units!$Q77,MOD(AH$1-Units!$Q77,12)=0),IF(AND(Units!$L77=1,AH$1=Units!$Q77),IF(Units!$J77&lt;&gt;"",Units!$J77,Mkt!AH78),Inputs!$B$15*Mkt!AH78+(1-Inputs!$B$15)*MIN(Mkt!AH78,AG78*(1+Inputs!$B$18))),AG78)))</f>
        <v>1373.8655</v>
      </c>
      <c r="AI78" s="11" t="n">
        <f aca="false">IF(AI$1&lt;Units!$P77,0,IF(AND(Units!$K77=0,AI$1=Units!$O77),Units!$R77,IF(AND(AI$1&gt;=Units!$Q77,MOD(AI$1-Units!$Q77,12)=0),IF(AND(Units!$L77=1,AI$1=Units!$Q77),IF(Units!$J77&lt;&gt;"",Units!$J77,Mkt!AI78),Inputs!$B$15*Mkt!AI78+(1-Inputs!$B$15)*MIN(Mkt!AI78,AH78*(1+Inputs!$B$18))),AH78)))</f>
        <v>1373.8655</v>
      </c>
      <c r="AJ78" s="11" t="n">
        <f aca="false">IF(AJ$1&lt;Units!$P77,0,IF(AND(Units!$K77=0,AJ$1=Units!$O77),Units!$R77,IF(AND(AJ$1&gt;=Units!$Q77,MOD(AJ$1-Units!$Q77,12)=0),IF(AND(Units!$L77=1,AJ$1=Units!$Q77),IF(Units!$J77&lt;&gt;"",Units!$J77,Mkt!AJ78),Inputs!$B$15*Mkt!AJ78+(1-Inputs!$B$15)*MIN(Mkt!AJ78,AI78*(1+Inputs!$B$18))),AI78)))</f>
        <v>1373.8655</v>
      </c>
      <c r="AK78" s="11" t="n">
        <f aca="false">IF(AK$1&lt;Units!$P77,0,IF(AND(Units!$K77=0,AK$1=Units!$O77),Units!$R77,IF(AND(AK$1&gt;=Units!$Q77,MOD(AK$1-Units!$Q77,12)=0),IF(AND(Units!$L77=1,AK$1=Units!$Q77),IF(Units!$J77&lt;&gt;"",Units!$J77,Mkt!AK78),Inputs!$B$15*Mkt!AK78+(1-Inputs!$B$15)*MIN(Mkt!AK78,AJ78*(1+Inputs!$B$18))),AJ78)))</f>
        <v>1373.8655</v>
      </c>
      <c r="AL78" s="11" t="n">
        <f aca="false">IF(AL$1&lt;Units!$P77,0,IF(AND(Units!$K77=0,AL$1=Units!$O77),Units!$R77,IF(AND(AL$1&gt;=Units!$Q77,MOD(AL$1-Units!$Q77,12)=0),IF(AND(Units!$L77=1,AL$1=Units!$Q77),IF(Units!$J77&lt;&gt;"",Units!$J77,Mkt!AL78),Inputs!$B$15*Mkt!AL78+(1-Inputs!$B$15)*MIN(Mkt!AL78,AK78*(1+Inputs!$B$18))),AK78)))</f>
        <v>1373.8655</v>
      </c>
      <c r="AM78" s="11" t="n">
        <f aca="false">IF(AM$1&lt;Units!$P77,0,IF(AND(Units!$K77=0,AM$1=Units!$O77),Units!$R77,IF(AND(AM$1&gt;=Units!$Q77,MOD(AM$1-Units!$Q77,12)=0),IF(AND(Units!$L77=1,AM$1=Units!$Q77),IF(Units!$J77&lt;&gt;"",Units!$J77,Mkt!AM78),Inputs!$B$15*Mkt!AM78+(1-Inputs!$B$15)*MIN(Mkt!AM78,AL78*(1+Inputs!$B$18))),AL78)))</f>
        <v>1415.081465</v>
      </c>
      <c r="AN78" s="11" t="n">
        <f aca="false">IF(AN$1&lt;Units!$P77,0,IF(AND(Units!$K77=0,AN$1=Units!$O77),Units!$R77,IF(AND(AN$1&gt;=Units!$Q77,MOD(AN$1-Units!$Q77,12)=0),IF(AND(Units!$L77=1,AN$1=Units!$Q77),IF(Units!$J77&lt;&gt;"",Units!$J77,Mkt!AN78),Inputs!$B$15*Mkt!AN78+(1-Inputs!$B$15)*MIN(Mkt!AN78,AM78*(1+Inputs!$B$18))),AM78)))</f>
        <v>1415.081465</v>
      </c>
      <c r="AO78" s="11" t="n">
        <f aca="false">IF(AO$1&lt;Units!$P77,0,IF(AND(Units!$K77=0,AO$1=Units!$O77),Units!$R77,IF(AND(AO$1&gt;=Units!$Q77,MOD(AO$1-Units!$Q77,12)=0),IF(AND(Units!$L77=1,AO$1=Units!$Q77),IF(Units!$J77&lt;&gt;"",Units!$J77,Mkt!AO78),Inputs!$B$15*Mkt!AO78+(1-Inputs!$B$15)*MIN(Mkt!AO78,AN78*(1+Inputs!$B$18))),AN78)))</f>
        <v>1415.081465</v>
      </c>
      <c r="AP78" s="11" t="n">
        <f aca="false">IF(AP$1&lt;Units!$P77,0,IF(AND(Units!$K77=0,AP$1=Units!$O77),Units!$R77,IF(AND(AP$1&gt;=Units!$Q77,MOD(AP$1-Units!$Q77,12)=0),IF(AND(Units!$L77=1,AP$1=Units!$Q77),IF(Units!$J77&lt;&gt;"",Units!$J77,Mkt!AP78),Inputs!$B$15*Mkt!AP78+(1-Inputs!$B$15)*MIN(Mkt!AP78,AO78*(1+Inputs!$B$18))),AO78)))</f>
        <v>1415.081465</v>
      </c>
      <c r="AQ78" s="11" t="n">
        <f aca="false">IF(AQ$1&lt;Units!$P77,0,IF(AND(Units!$K77=0,AQ$1=Units!$O77),Units!$R77,IF(AND(AQ$1&gt;=Units!$Q77,MOD(AQ$1-Units!$Q77,12)=0),IF(AND(Units!$L77=1,AQ$1=Units!$Q77),IF(Units!$J77&lt;&gt;"",Units!$J77,Mkt!AQ78),Inputs!$B$15*Mkt!AQ78+(1-Inputs!$B$15)*MIN(Mkt!AQ78,AP78*(1+Inputs!$B$18))),AP78)))</f>
        <v>1415.081465</v>
      </c>
      <c r="AR78" s="11" t="n">
        <f aca="false">IF(AR$1&lt;Units!$P77,0,IF(AND(Units!$K77=0,AR$1=Units!$O77),Units!$R77,IF(AND(AR$1&gt;=Units!$Q77,MOD(AR$1-Units!$Q77,12)=0),IF(AND(Units!$L77=1,AR$1=Units!$Q77),IF(Units!$J77&lt;&gt;"",Units!$J77,Mkt!AR78),Inputs!$B$15*Mkt!AR78+(1-Inputs!$B$15)*MIN(Mkt!AR78,AQ78*(1+Inputs!$B$18))),AQ78)))</f>
        <v>1415.081465</v>
      </c>
      <c r="AS78" s="11" t="n">
        <f aca="false">IF(AS$1&lt;Units!$P77,0,IF(AND(Units!$K77=0,AS$1=Units!$O77),Units!$R77,IF(AND(AS$1&gt;=Units!$Q77,MOD(AS$1-Units!$Q77,12)=0),IF(AND(Units!$L77=1,AS$1=Units!$Q77),IF(Units!$J77&lt;&gt;"",Units!$J77,Mkt!AS78),Inputs!$B$15*Mkt!AS78+(1-Inputs!$B$15)*MIN(Mkt!AS78,AR78*(1+Inputs!$B$18))),AR78)))</f>
        <v>1415.081465</v>
      </c>
      <c r="AT78" s="11" t="n">
        <f aca="false">IF(AT$1&lt;Units!$P77,0,IF(AND(Units!$K77=0,AT$1=Units!$O77),Units!$R77,IF(AND(AT$1&gt;=Units!$Q77,MOD(AT$1-Units!$Q77,12)=0),IF(AND(Units!$L77=1,AT$1=Units!$Q77),IF(Units!$J77&lt;&gt;"",Units!$J77,Mkt!AT78),Inputs!$B$15*Mkt!AT78+(1-Inputs!$B$15)*MIN(Mkt!AT78,AS78*(1+Inputs!$B$18))),AS78)))</f>
        <v>1415.081465</v>
      </c>
      <c r="AU78" s="11" t="n">
        <f aca="false">IF(AU$1&lt;Units!$P77,0,IF(AND(Units!$K77=0,AU$1=Units!$O77),Units!$R77,IF(AND(AU$1&gt;=Units!$Q77,MOD(AU$1-Units!$Q77,12)=0),IF(AND(Units!$L77=1,AU$1=Units!$Q77),IF(Units!$J77&lt;&gt;"",Units!$J77,Mkt!AU78),Inputs!$B$15*Mkt!AU78+(1-Inputs!$B$15)*MIN(Mkt!AU78,AT78*(1+Inputs!$B$18))),AT78)))</f>
        <v>1415.081465</v>
      </c>
      <c r="AV78" s="11" t="n">
        <f aca="false">IF(AV$1&lt;Units!$P77,0,IF(AND(Units!$K77=0,AV$1=Units!$O77),Units!$R77,IF(AND(AV$1&gt;=Units!$Q77,MOD(AV$1-Units!$Q77,12)=0),IF(AND(Units!$L77=1,AV$1=Units!$Q77),IF(Units!$J77&lt;&gt;"",Units!$J77,Mkt!AV78),Inputs!$B$15*Mkt!AV78+(1-Inputs!$B$15)*MIN(Mkt!AV78,AU78*(1+Inputs!$B$18))),AU78)))</f>
        <v>1415.081465</v>
      </c>
      <c r="AW78" s="11" t="n">
        <f aca="false">IF(AW$1&lt;Units!$P77,0,IF(AND(Units!$K77=0,AW$1=Units!$O77),Units!$R77,IF(AND(AW$1&gt;=Units!$Q77,MOD(AW$1-Units!$Q77,12)=0),IF(AND(Units!$L77=1,AW$1=Units!$Q77),IF(Units!$J77&lt;&gt;"",Units!$J77,Mkt!AW78),Inputs!$B$15*Mkt!AW78+(1-Inputs!$B$15)*MIN(Mkt!AW78,AV78*(1+Inputs!$B$18))),AV78)))</f>
        <v>1415.081465</v>
      </c>
      <c r="AX78" s="11" t="n">
        <f aca="false">IF(AX$1&lt;Units!$P77,0,IF(AND(Units!$K77=0,AX$1=Units!$O77),Units!$R77,IF(AND(AX$1&gt;=Units!$Q77,MOD(AX$1-Units!$Q77,12)=0),IF(AND(Units!$L77=1,AX$1=Units!$Q77),IF(Units!$J77&lt;&gt;"",Units!$J77,Mkt!AX78),Inputs!$B$15*Mkt!AX78+(1-Inputs!$B$15)*MIN(Mkt!AX78,AW78*(1+Inputs!$B$18))),AW78)))</f>
        <v>1415.081465</v>
      </c>
      <c r="AY78" s="11" t="n">
        <f aca="false">IF(AY$1&lt;Units!$P77,0,IF(AND(Units!$K77=0,AY$1=Units!$O77),Units!$R77,IF(AND(AY$1&gt;=Units!$Q77,MOD(AY$1-Units!$Q77,12)=0),IF(AND(Units!$L77=1,AY$1=Units!$Q77),IF(Units!$J77&lt;&gt;"",Units!$J77,Mkt!AY78),Inputs!$B$15*Mkt!AY78+(1-Inputs!$B$15)*MIN(Mkt!AY78,AX78*(1+Inputs!$B$18))),AX78)))</f>
        <v>1457.53390895</v>
      </c>
      <c r="AZ78" s="11" t="n">
        <f aca="false">IF(AZ$1&lt;Units!$P77,0,IF(AND(Units!$K77=0,AZ$1=Units!$O77),Units!$R77,IF(AND(AZ$1&gt;=Units!$Q77,MOD(AZ$1-Units!$Q77,12)=0),IF(AND(Units!$L77=1,AZ$1=Units!$Q77),IF(Units!$J77&lt;&gt;"",Units!$J77,Mkt!AZ78),Inputs!$B$15*Mkt!AZ78+(1-Inputs!$B$15)*MIN(Mkt!AZ78,AY78*(1+Inputs!$B$18))),AY78)))</f>
        <v>1457.53390895</v>
      </c>
      <c r="BA78" s="11" t="n">
        <f aca="false">IF(BA$1&lt;Units!$P77,0,IF(AND(Units!$K77=0,BA$1=Units!$O77),Units!$R77,IF(AND(BA$1&gt;=Units!$Q77,MOD(BA$1-Units!$Q77,12)=0),IF(AND(Units!$L77=1,BA$1=Units!$Q77),IF(Units!$J77&lt;&gt;"",Units!$J77,Mkt!BA78),Inputs!$B$15*Mkt!BA78+(1-Inputs!$B$15)*MIN(Mkt!BA78,AZ78*(1+Inputs!$B$18))),AZ78)))</f>
        <v>1457.53390895</v>
      </c>
      <c r="BB78" s="11" t="n">
        <f aca="false">IF(BB$1&lt;Units!$P77,0,IF(AND(Units!$K77=0,BB$1=Units!$O77),Units!$R77,IF(AND(BB$1&gt;=Units!$Q77,MOD(BB$1-Units!$Q77,12)=0),IF(AND(Units!$L77=1,BB$1=Units!$Q77),IF(Units!$J77&lt;&gt;"",Units!$J77,Mkt!BB78),Inputs!$B$15*Mkt!BB78+(1-Inputs!$B$15)*MIN(Mkt!BB78,BA78*(1+Inputs!$B$18))),BA78)))</f>
        <v>1457.53390895</v>
      </c>
      <c r="BC78" s="11" t="n">
        <f aca="false">IF(BC$1&lt;Units!$P77,0,IF(AND(Units!$K77=0,BC$1=Units!$O77),Units!$R77,IF(AND(BC$1&gt;=Units!$Q77,MOD(BC$1-Units!$Q77,12)=0),IF(AND(Units!$L77=1,BC$1=Units!$Q77),IF(Units!$J77&lt;&gt;"",Units!$J77,Mkt!BC78),Inputs!$B$15*Mkt!BC78+(1-Inputs!$B$15)*MIN(Mkt!BC78,BB78*(1+Inputs!$B$18))),BB78)))</f>
        <v>1457.53390895</v>
      </c>
      <c r="BD78" s="11" t="n">
        <f aca="false">IF(BD$1&lt;Units!$P77,0,IF(AND(Units!$K77=0,BD$1=Units!$O77),Units!$R77,IF(AND(BD$1&gt;=Units!$Q77,MOD(BD$1-Units!$Q77,12)=0),IF(AND(Units!$L77=1,BD$1=Units!$Q77),IF(Units!$J77&lt;&gt;"",Units!$J77,Mkt!BD78),Inputs!$B$15*Mkt!BD78+(1-Inputs!$B$15)*MIN(Mkt!BD78,BC78*(1+Inputs!$B$18))),BC78)))</f>
        <v>1457.53390895</v>
      </c>
      <c r="BE78" s="11" t="n">
        <f aca="false">IF(BE$1&lt;Units!$P77,0,IF(AND(Units!$K77=0,BE$1=Units!$O77),Units!$R77,IF(AND(BE$1&gt;=Units!$Q77,MOD(BE$1-Units!$Q77,12)=0),IF(AND(Units!$L77=1,BE$1=Units!$Q77),IF(Units!$J77&lt;&gt;"",Units!$J77,Mkt!BE78),Inputs!$B$15*Mkt!BE78+(1-Inputs!$B$15)*MIN(Mkt!BE78,BD78*(1+Inputs!$B$18))),BD78)))</f>
        <v>1457.53390895</v>
      </c>
      <c r="BF78" s="11" t="n">
        <f aca="false">IF(BF$1&lt;Units!$P77,0,IF(AND(Units!$K77=0,BF$1=Units!$O77),Units!$R77,IF(AND(BF$1&gt;=Units!$Q77,MOD(BF$1-Units!$Q77,12)=0),IF(AND(Units!$L77=1,BF$1=Units!$Q77),IF(Units!$J77&lt;&gt;"",Units!$J77,Mkt!BF78),Inputs!$B$15*Mkt!BF78+(1-Inputs!$B$15)*MIN(Mkt!BF78,BE78*(1+Inputs!$B$18))),BE78)))</f>
        <v>1457.53390895</v>
      </c>
      <c r="BG78" s="11" t="n">
        <f aca="false">IF(BG$1&lt;Units!$P77,0,IF(AND(Units!$K77=0,BG$1=Units!$O77),Units!$R77,IF(AND(BG$1&gt;=Units!$Q77,MOD(BG$1-Units!$Q77,12)=0),IF(AND(Units!$L77=1,BG$1=Units!$Q77),IF(Units!$J77&lt;&gt;"",Units!$J77,Mkt!BG78),Inputs!$B$15*Mkt!BG78+(1-Inputs!$B$15)*MIN(Mkt!BG78,BF78*(1+Inputs!$B$18))),BF78)))</f>
        <v>1457.53390895</v>
      </c>
      <c r="BH78" s="11" t="n">
        <f aca="false">IF(BH$1&lt;Units!$P77,0,IF(AND(Units!$K77=0,BH$1=Units!$O77),Units!$R77,IF(AND(BH$1&gt;=Units!$Q77,MOD(BH$1-Units!$Q77,12)=0),IF(AND(Units!$L77=1,BH$1=Units!$Q77),IF(Units!$J77&lt;&gt;"",Units!$J77,Mkt!BH78),Inputs!$B$15*Mkt!BH78+(1-Inputs!$B$15)*MIN(Mkt!BH78,BG78*(1+Inputs!$B$18))),BG78)))</f>
        <v>1457.53390895</v>
      </c>
      <c r="BI78" s="11" t="n">
        <f aca="false">IF(BI$1&lt;Units!$P77,0,IF(AND(Units!$K77=0,BI$1=Units!$O77),Units!$R77,IF(AND(BI$1&gt;=Units!$Q77,MOD(BI$1-Units!$Q77,12)=0),IF(AND(Units!$L77=1,BI$1=Units!$Q77),IF(Units!$J77&lt;&gt;"",Units!$J77,Mkt!BI78),Inputs!$B$15*Mkt!BI78+(1-Inputs!$B$15)*MIN(Mkt!BI78,BH78*(1+Inputs!$B$18))),BH78)))</f>
        <v>1457.53390895</v>
      </c>
      <c r="BJ78" s="11" t="n">
        <f aca="false">IF(BJ$1&lt;Units!$P77,0,IF(AND(Units!$K77=0,BJ$1=Units!$O77),Units!$R77,IF(AND(BJ$1&gt;=Units!$Q77,MOD(BJ$1-Units!$Q77,12)=0),IF(AND(Units!$L77=1,BJ$1=Units!$Q77),IF(Units!$J77&lt;&gt;"",Units!$J77,Mkt!BJ78),Inputs!$B$15*Mkt!BJ78+(1-Inputs!$B$15)*MIN(Mkt!BJ78,BI78*(1+Inputs!$B$18))),BI78)))</f>
        <v>1457.53390895</v>
      </c>
      <c r="BK78" s="11" t="n">
        <f aca="false">IF(BK$1&lt;Units!$P77,0,IF(AND(Units!$K77=0,BK$1=Units!$O77),Units!$R77,IF(AND(BK$1&gt;=Units!$Q77,MOD(BK$1-Units!$Q77,12)=0),IF(AND(Units!$L77=1,BK$1=Units!$Q77),IF(Units!$J77&lt;&gt;"",Units!$J77,Mkt!BK78),Inputs!$B$15*Mkt!BK78+(1-Inputs!$B$15)*MIN(Mkt!BK78,BJ78*(1+Inputs!$B$18))),BJ78)))</f>
        <v>1501.2599262185</v>
      </c>
      <c r="BL78" s="11" t="n">
        <f aca="false">IF(BL$1&lt;Units!$P77,0,IF(AND(Units!$K77=0,BL$1=Units!$O77),Units!$R77,IF(AND(BL$1&gt;=Units!$Q77,MOD(BL$1-Units!$Q77,12)=0),IF(AND(Units!$L77=1,BL$1=Units!$Q77),IF(Units!$J77&lt;&gt;"",Units!$J77,Mkt!BL78),Inputs!$B$15*Mkt!BL78+(1-Inputs!$B$15)*MIN(Mkt!BL78,BK78*(1+Inputs!$B$18))),BK78)))</f>
        <v>1501.2599262185</v>
      </c>
      <c r="BM78" s="11" t="n">
        <f aca="false">IF(BM$1&lt;Units!$P77,0,IF(AND(Units!$K77=0,BM$1=Units!$O77),Units!$R77,IF(AND(BM$1&gt;=Units!$Q77,MOD(BM$1-Units!$Q77,12)=0),IF(AND(Units!$L77=1,BM$1=Units!$Q77),IF(Units!$J77&lt;&gt;"",Units!$J77,Mkt!BM78),Inputs!$B$15*Mkt!BM78+(1-Inputs!$B$15)*MIN(Mkt!BM78,BL78*(1+Inputs!$B$18))),BL78)))</f>
        <v>1501.2599262185</v>
      </c>
      <c r="BN78" s="11" t="n">
        <f aca="false">IF(BN$1&lt;Units!$P77,0,IF(AND(Units!$K77=0,BN$1=Units!$O77),Units!$R77,IF(AND(BN$1&gt;=Units!$Q77,MOD(BN$1-Units!$Q77,12)=0),IF(AND(Units!$L77=1,BN$1=Units!$Q77),IF(Units!$J77&lt;&gt;"",Units!$J77,Mkt!BN78),Inputs!$B$15*Mkt!BN78+(1-Inputs!$B$15)*MIN(Mkt!BN78,BM78*(1+Inputs!$B$18))),BM78)))</f>
        <v>1501.2599262185</v>
      </c>
      <c r="BO78" s="11" t="n">
        <f aca="false">IF(BO$1&lt;Units!$P77,0,IF(AND(Units!$K77=0,BO$1=Units!$O77),Units!$R77,IF(AND(BO$1&gt;=Units!$Q77,MOD(BO$1-Units!$Q77,12)=0),IF(AND(Units!$L77=1,BO$1=Units!$Q77),IF(Units!$J77&lt;&gt;"",Units!$J77,Mkt!BO78),Inputs!$B$15*Mkt!BO78+(1-Inputs!$B$15)*MIN(Mkt!BO78,BN78*(1+Inputs!$B$18))),BN78)))</f>
        <v>1501.2599262185</v>
      </c>
      <c r="BP78" s="11" t="n">
        <f aca="false">IF(BP$1&lt;Units!$P77,0,IF(AND(Units!$K77=0,BP$1=Units!$O77),Units!$R77,IF(AND(BP$1&gt;=Units!$Q77,MOD(BP$1-Units!$Q77,12)=0),IF(AND(Units!$L77=1,BP$1=Units!$Q77),IF(Units!$J77&lt;&gt;"",Units!$J77,Mkt!BP78),Inputs!$B$15*Mkt!BP78+(1-Inputs!$B$15)*MIN(Mkt!BP78,BO78*(1+Inputs!$B$18))),BO78)))</f>
        <v>1501.2599262185</v>
      </c>
      <c r="BQ78" s="11" t="n">
        <f aca="false">IF(BQ$1&lt;Units!$P77,0,IF(AND(Units!$K77=0,BQ$1=Units!$O77),Units!$R77,IF(AND(BQ$1&gt;=Units!$Q77,MOD(BQ$1-Units!$Q77,12)=0),IF(AND(Units!$L77=1,BQ$1=Units!$Q77),IF(Units!$J77&lt;&gt;"",Units!$J77,Mkt!BQ78),Inputs!$B$15*Mkt!BQ78+(1-Inputs!$B$15)*MIN(Mkt!BQ78,BP78*(1+Inputs!$B$18))),BP78)))</f>
        <v>1501.2599262185</v>
      </c>
      <c r="BR78" s="11" t="n">
        <f aca="false">IF(BR$1&lt;Units!$P77,0,IF(AND(Units!$K77=0,BR$1=Units!$O77),Units!$R77,IF(AND(BR$1&gt;=Units!$Q77,MOD(BR$1-Units!$Q77,12)=0),IF(AND(Units!$L77=1,BR$1=Units!$Q77),IF(Units!$J77&lt;&gt;"",Units!$J77,Mkt!BR78),Inputs!$B$15*Mkt!BR78+(1-Inputs!$B$15)*MIN(Mkt!BR78,BQ78*(1+Inputs!$B$18))),BQ78)))</f>
        <v>1501.2599262185</v>
      </c>
      <c r="BS78" s="11" t="n">
        <f aca="false">IF(BS$1&lt;Units!$P77,0,IF(AND(Units!$K77=0,BS$1=Units!$O77),Units!$R77,IF(AND(BS$1&gt;=Units!$Q77,MOD(BS$1-Units!$Q77,12)=0),IF(AND(Units!$L77=1,BS$1=Units!$Q77),IF(Units!$J77&lt;&gt;"",Units!$J77,Mkt!BS78),Inputs!$B$15*Mkt!BS78+(1-Inputs!$B$15)*MIN(Mkt!BS78,BR78*(1+Inputs!$B$18))),BR78)))</f>
        <v>1501.2599262185</v>
      </c>
      <c r="BT78" s="11" t="n">
        <f aca="false">IF(BT$1&lt;Units!$P77,0,IF(AND(Units!$K77=0,BT$1=Units!$O77),Units!$R77,IF(AND(BT$1&gt;=Units!$Q77,MOD(BT$1-Units!$Q77,12)=0),IF(AND(Units!$L77=1,BT$1=Units!$Q77),IF(Units!$J77&lt;&gt;"",Units!$J77,Mkt!BT78),Inputs!$B$15*Mkt!BT78+(1-Inputs!$B$15)*MIN(Mkt!BT78,BS78*(1+Inputs!$B$18))),BS78)))</f>
        <v>1501.2599262185</v>
      </c>
      <c r="BU78" s="11" t="n">
        <f aca="false">IF(BU$1&lt;Units!$P77,0,IF(AND(Units!$K77=0,BU$1=Units!$O77),Units!$R77,IF(AND(BU$1&gt;=Units!$Q77,MOD(BU$1-Units!$Q77,12)=0),IF(AND(Units!$L77=1,BU$1=Units!$Q77),IF(Units!$J77&lt;&gt;"",Units!$J77,Mkt!BU78),Inputs!$B$15*Mkt!BU78+(1-Inputs!$B$15)*MIN(Mkt!BU78,BT78*(1+Inputs!$B$18))),BT78)))</f>
        <v>1501.2599262185</v>
      </c>
      <c r="BV78" s="11" t="n">
        <f aca="false">IF(BV$1&lt;Units!$P77,0,IF(AND(Units!$K77=0,BV$1=Units!$O77),Units!$R77,IF(AND(BV$1&gt;=Units!$Q77,MOD(BV$1-Units!$Q77,12)=0),IF(AND(Units!$L77=1,BV$1=Units!$Q77),IF(Units!$J77&lt;&gt;"",Units!$J77,Mkt!BV78),Inputs!$B$15*Mkt!BV78+(1-Inputs!$B$15)*MIN(Mkt!BV78,BU78*(1+Inputs!$B$18))),BU78)))</f>
        <v>1501.2599262185</v>
      </c>
      <c r="BW78" s="11" t="n">
        <f aca="false">IF(BW$1&lt;Units!$P77,0,IF(AND(Units!$K77=0,BW$1=Units!$O77),Units!$R77,IF(AND(BW$1&gt;=Units!$Q77,MOD(BW$1-Units!$Q77,12)=0),IF(AND(Units!$L77=1,BW$1=Units!$Q77),IF(Units!$J77&lt;&gt;"",Units!$J77,Mkt!BW78),Inputs!$B$15*Mkt!BW78+(1-Inputs!$B$15)*MIN(Mkt!BW78,BV78*(1+Inputs!$B$18))),BV78)))</f>
        <v>1546.29772400506</v>
      </c>
      <c r="BX78" s="11" t="n">
        <f aca="false">IF(BX$1&lt;Units!$P77,0,IF(AND(Units!$K77=0,BX$1=Units!$O77),Units!$R77,IF(AND(BX$1&gt;=Units!$Q77,MOD(BX$1-Units!$Q77,12)=0),IF(AND(Units!$L77=1,BX$1=Units!$Q77),IF(Units!$J77&lt;&gt;"",Units!$J77,Mkt!BX78),Inputs!$B$15*Mkt!BX78+(1-Inputs!$B$15)*MIN(Mkt!BX78,BW78*(1+Inputs!$B$18))),BW78)))</f>
        <v>1546.29772400506</v>
      </c>
      <c r="BY78" s="11" t="n">
        <f aca="false">IF(BY$1&lt;Units!$P77,0,IF(AND(Units!$K77=0,BY$1=Units!$O77),Units!$R77,IF(AND(BY$1&gt;=Units!$Q77,MOD(BY$1-Units!$Q77,12)=0),IF(AND(Units!$L77=1,BY$1=Units!$Q77),IF(Units!$J77&lt;&gt;"",Units!$J77,Mkt!BY78),Inputs!$B$15*Mkt!BY78+(1-Inputs!$B$15)*MIN(Mkt!BY78,BX78*(1+Inputs!$B$18))),BX78)))</f>
        <v>1546.29772400506</v>
      </c>
      <c r="BZ78" s="11" t="n">
        <f aca="false">IF(BZ$1&lt;Units!$P77,0,IF(AND(Units!$K77=0,BZ$1=Units!$O77),Units!$R77,IF(AND(BZ$1&gt;=Units!$Q77,MOD(BZ$1-Units!$Q77,12)=0),IF(AND(Units!$L77=1,BZ$1=Units!$Q77),IF(Units!$J77&lt;&gt;"",Units!$J77,Mkt!BZ78),Inputs!$B$15*Mkt!BZ78+(1-Inputs!$B$15)*MIN(Mkt!BZ78,BY78*(1+Inputs!$B$18))),BY78)))</f>
        <v>1546.29772400506</v>
      </c>
      <c r="CA78" s="11" t="n">
        <f aca="false">IF(CA$1&lt;Units!$P77,0,IF(AND(Units!$K77=0,CA$1=Units!$O77),Units!$R77,IF(AND(CA$1&gt;=Units!$Q77,MOD(CA$1-Units!$Q77,12)=0),IF(AND(Units!$L77=1,CA$1=Units!$Q77),IF(Units!$J77&lt;&gt;"",Units!$J77,Mkt!CA78),Inputs!$B$15*Mkt!CA78+(1-Inputs!$B$15)*MIN(Mkt!CA78,BZ78*(1+Inputs!$B$18))),BZ78)))</f>
        <v>1546.29772400506</v>
      </c>
      <c r="CB78" s="11" t="n">
        <f aca="false">IF(CB$1&lt;Units!$P77,0,IF(AND(Units!$K77=0,CB$1=Units!$O77),Units!$R77,IF(AND(CB$1&gt;=Units!$Q77,MOD(CB$1-Units!$Q77,12)=0),IF(AND(Units!$L77=1,CB$1=Units!$Q77),IF(Units!$J77&lt;&gt;"",Units!$J77,Mkt!CB78),Inputs!$B$15*Mkt!CB78+(1-Inputs!$B$15)*MIN(Mkt!CB78,CA78*(1+Inputs!$B$18))),CA78)))</f>
        <v>1546.29772400506</v>
      </c>
      <c r="CC78" s="11" t="n">
        <f aca="false">IF(CC$1&lt;Units!$P77,0,IF(AND(Units!$K77=0,CC$1=Units!$O77),Units!$R77,IF(AND(CC$1&gt;=Units!$Q77,MOD(CC$1-Units!$Q77,12)=0),IF(AND(Units!$L77=1,CC$1=Units!$Q77),IF(Units!$J77&lt;&gt;"",Units!$J77,Mkt!CC78),Inputs!$B$15*Mkt!CC78+(1-Inputs!$B$15)*MIN(Mkt!CC78,CB78*(1+Inputs!$B$18))),CB78)))</f>
        <v>1546.29772400506</v>
      </c>
      <c r="CD78" s="11" t="n">
        <f aca="false">IF(CD$1&lt;Units!$P77,0,IF(AND(Units!$K77=0,CD$1=Units!$O77),Units!$R77,IF(AND(CD$1&gt;=Units!$Q77,MOD(CD$1-Units!$Q77,12)=0),IF(AND(Units!$L77=1,CD$1=Units!$Q77),IF(Units!$J77&lt;&gt;"",Units!$J77,Mkt!CD78),Inputs!$B$15*Mkt!CD78+(1-Inputs!$B$15)*MIN(Mkt!CD78,CC78*(1+Inputs!$B$18))),CC78)))</f>
        <v>1546.29772400506</v>
      </c>
      <c r="CE78" s="11" t="n">
        <f aca="false">IF(CE$1&lt;Units!$P77,0,IF(AND(Units!$K77=0,CE$1=Units!$O77),Units!$R77,IF(AND(CE$1&gt;=Units!$Q77,MOD(CE$1-Units!$Q77,12)=0),IF(AND(Units!$L77=1,CE$1=Units!$Q77),IF(Units!$J77&lt;&gt;"",Units!$J77,Mkt!CE78),Inputs!$B$15*Mkt!CE78+(1-Inputs!$B$15)*MIN(Mkt!CE78,CD78*(1+Inputs!$B$18))),CD78)))</f>
        <v>1546.29772400506</v>
      </c>
      <c r="CF78" s="11" t="n">
        <f aca="false">IF(CF$1&lt;Units!$P77,0,IF(AND(Units!$K77=0,CF$1=Units!$O77),Units!$R77,IF(AND(CF$1&gt;=Units!$Q77,MOD(CF$1-Units!$Q77,12)=0),IF(AND(Units!$L77=1,CF$1=Units!$Q77),IF(Units!$J77&lt;&gt;"",Units!$J77,Mkt!CF78),Inputs!$B$15*Mkt!CF78+(1-Inputs!$B$15)*MIN(Mkt!CF78,CE78*(1+Inputs!$B$18))),CE78)))</f>
        <v>1546.29772400506</v>
      </c>
      <c r="CG78" s="11" t="n">
        <f aca="false">IF(CG$1&lt;Units!$P77,0,IF(AND(Units!$K77=0,CG$1=Units!$O77),Units!$R77,IF(AND(CG$1&gt;=Units!$Q77,MOD(CG$1-Units!$Q77,12)=0),IF(AND(Units!$L77=1,CG$1=Units!$Q77),IF(Units!$J77&lt;&gt;"",Units!$J77,Mkt!CG78),Inputs!$B$15*Mkt!CG78+(1-Inputs!$B$15)*MIN(Mkt!CG78,CF78*(1+Inputs!$B$18))),CF78)))</f>
        <v>1546.29772400506</v>
      </c>
      <c r="CH78" s="11" t="n">
        <f aca="false">IF(CH$1&lt;Units!$P77,0,IF(AND(Units!$K77=0,CH$1=Units!$O77),Units!$R77,IF(AND(CH$1&gt;=Units!$Q77,MOD(CH$1-Units!$Q77,12)=0),IF(AND(Units!$L77=1,CH$1=Units!$Q77),IF(Units!$J77&lt;&gt;"",Units!$J77,Mkt!CH78),Inputs!$B$15*Mkt!CH78+(1-Inputs!$B$15)*MIN(Mkt!CH78,CG78*(1+Inputs!$B$18))),CG78)))</f>
        <v>1546.29772400506</v>
      </c>
      <c r="CI78" s="11" t="n">
        <f aca="false">IF(CI$1&lt;Units!$P77,0,IF(AND(Units!$K77=0,CI$1=Units!$O77),Units!$R77,IF(AND(CI$1&gt;=Units!$Q77,MOD(CI$1-Units!$Q77,12)=0),IF(AND(Units!$L77=1,CI$1=Units!$Q77),IF(Units!$J77&lt;&gt;"",Units!$J77,Mkt!CI78),Inputs!$B$15*Mkt!CI78+(1-Inputs!$B$15)*MIN(Mkt!CI78,CH78*(1+Inputs!$B$18))),CH78)))</f>
        <v>1592.68665572521</v>
      </c>
      <c r="CJ78" s="11" t="n">
        <f aca="false">IF(CJ$1&lt;Units!$P77,0,IF(AND(Units!$K77=0,CJ$1=Units!$O77),Units!$R77,IF(AND(CJ$1&gt;=Units!$Q77,MOD(CJ$1-Units!$Q77,12)=0),IF(AND(Units!$L77=1,CJ$1=Units!$Q77),IF(Units!$J77&lt;&gt;"",Units!$J77,Mkt!CJ78),Inputs!$B$15*Mkt!CJ78+(1-Inputs!$B$15)*MIN(Mkt!CJ78,CI78*(1+Inputs!$B$18))),CI78)))</f>
        <v>1592.68665572521</v>
      </c>
      <c r="CK78" s="11" t="n">
        <f aca="false">IF(CK$1&lt;Units!$P77,0,IF(AND(Units!$K77=0,CK$1=Units!$O77),Units!$R77,IF(AND(CK$1&gt;=Units!$Q77,MOD(CK$1-Units!$Q77,12)=0),IF(AND(Units!$L77=1,CK$1=Units!$Q77),IF(Units!$J77&lt;&gt;"",Units!$J77,Mkt!CK78),Inputs!$B$15*Mkt!CK78+(1-Inputs!$B$15)*MIN(Mkt!CK78,CJ78*(1+Inputs!$B$18))),CJ78)))</f>
        <v>1592.68665572521</v>
      </c>
      <c r="CL78" s="11" t="n">
        <f aca="false">IF(CL$1&lt;Units!$P77,0,IF(AND(Units!$K77=0,CL$1=Units!$O77),Units!$R77,IF(AND(CL$1&gt;=Units!$Q77,MOD(CL$1-Units!$Q77,12)=0),IF(AND(Units!$L77=1,CL$1=Units!$Q77),IF(Units!$J77&lt;&gt;"",Units!$J77,Mkt!CL78),Inputs!$B$15*Mkt!CL78+(1-Inputs!$B$15)*MIN(Mkt!CL78,CK78*(1+Inputs!$B$18))),CK78)))</f>
        <v>1592.68665572521</v>
      </c>
      <c r="CM78" s="11" t="n">
        <f aca="false">IF(CM$1&lt;Units!$P77,0,IF(AND(Units!$K77=0,CM$1=Units!$O77),Units!$R77,IF(AND(CM$1&gt;=Units!$Q77,MOD(CM$1-Units!$Q77,12)=0),IF(AND(Units!$L77=1,CM$1=Units!$Q77),IF(Units!$J77&lt;&gt;"",Units!$J77,Mkt!CM78),Inputs!$B$15*Mkt!CM78+(1-Inputs!$B$15)*MIN(Mkt!CM78,CL78*(1+Inputs!$B$18))),CL78)))</f>
        <v>1592.68665572521</v>
      </c>
      <c r="CN78" s="11" t="n">
        <f aca="false">IF(CN$1&lt;Units!$P77,0,IF(AND(Units!$K77=0,CN$1=Units!$O77),Units!$R77,IF(AND(CN$1&gt;=Units!$Q77,MOD(CN$1-Units!$Q77,12)=0),IF(AND(Units!$L77=1,CN$1=Units!$Q77),IF(Units!$J77&lt;&gt;"",Units!$J77,Mkt!CN78),Inputs!$B$15*Mkt!CN78+(1-Inputs!$B$15)*MIN(Mkt!CN78,CM78*(1+Inputs!$B$18))),CM78)))</f>
        <v>1592.68665572521</v>
      </c>
      <c r="CO78" s="11" t="n">
        <f aca="false">IF(CO$1&lt;Units!$P77,0,IF(AND(Units!$K77=0,CO$1=Units!$O77),Units!$R77,IF(AND(CO$1&gt;=Units!$Q77,MOD(CO$1-Units!$Q77,12)=0),IF(AND(Units!$L77=1,CO$1=Units!$Q77),IF(Units!$J77&lt;&gt;"",Units!$J77,Mkt!CO78),Inputs!$B$15*Mkt!CO78+(1-Inputs!$B$15)*MIN(Mkt!CO78,CN78*(1+Inputs!$B$18))),CN78)))</f>
        <v>1592.68665572521</v>
      </c>
      <c r="CP78" s="11" t="n">
        <f aca="false">IF(CP$1&lt;Units!$P77,0,IF(AND(Units!$K77=0,CP$1=Units!$O77),Units!$R77,IF(AND(CP$1&gt;=Units!$Q77,MOD(CP$1-Units!$Q77,12)=0),IF(AND(Units!$L77=1,CP$1=Units!$Q77),IF(Units!$J77&lt;&gt;"",Units!$J77,Mkt!CP78),Inputs!$B$15*Mkt!CP78+(1-Inputs!$B$15)*MIN(Mkt!CP78,CO78*(1+Inputs!$B$18))),CO78)))</f>
        <v>1592.68665572521</v>
      </c>
      <c r="CQ78" s="11" t="n">
        <f aca="false">IF(CQ$1&lt;Units!$P77,0,IF(AND(Units!$K77=0,CQ$1=Units!$O77),Units!$R77,IF(AND(CQ$1&gt;=Units!$Q77,MOD(CQ$1-Units!$Q77,12)=0),IF(AND(Units!$L77=1,CQ$1=Units!$Q77),IF(Units!$J77&lt;&gt;"",Units!$J77,Mkt!CQ78),Inputs!$B$15*Mkt!CQ78+(1-Inputs!$B$15)*MIN(Mkt!CQ78,CP78*(1+Inputs!$B$18))),CP78)))</f>
        <v>1592.68665572521</v>
      </c>
      <c r="CR78" s="11" t="n">
        <f aca="false">IF(CR$1&lt;Units!$P77,0,IF(AND(Units!$K77=0,CR$1=Units!$O77),Units!$R77,IF(AND(CR$1&gt;=Units!$Q77,MOD(CR$1-Units!$Q77,12)=0),IF(AND(Units!$L77=1,CR$1=Units!$Q77),IF(Units!$J77&lt;&gt;"",Units!$J77,Mkt!CR78),Inputs!$B$15*Mkt!CR78+(1-Inputs!$B$15)*MIN(Mkt!CR78,CQ78*(1+Inputs!$B$18))),CQ78)))</f>
        <v>1592.68665572521</v>
      </c>
      <c r="CS78" s="11" t="n">
        <f aca="false">IF(CS$1&lt;Units!$P77,0,IF(AND(Units!$K77=0,CS$1=Units!$O77),Units!$R77,IF(AND(CS$1&gt;=Units!$Q77,MOD(CS$1-Units!$Q77,12)=0),IF(AND(Units!$L77=1,CS$1=Units!$Q77),IF(Units!$J77&lt;&gt;"",Units!$J77,Mkt!CS78),Inputs!$B$15*Mkt!CS78+(1-Inputs!$B$15)*MIN(Mkt!CS78,CR78*(1+Inputs!$B$18))),CR78)))</f>
        <v>1592.68665572521</v>
      </c>
      <c r="CT78" s="11" t="n">
        <f aca="false">IF(CT$1&lt;Units!$P77,0,IF(AND(Units!$K77=0,CT$1=Units!$O77),Units!$R77,IF(AND(CT$1&gt;=Units!$Q77,MOD(CT$1-Units!$Q77,12)=0),IF(AND(Units!$L77=1,CT$1=Units!$Q77),IF(Units!$J77&lt;&gt;"",Units!$J77,Mkt!CT78),Inputs!$B$15*Mkt!CT78+(1-Inputs!$B$15)*MIN(Mkt!CT78,CS78*(1+Inputs!$B$18))),CS78)))</f>
        <v>1592.68665572521</v>
      </c>
      <c r="CU78" s="11" t="n">
        <f aca="false">IF(CU$1&lt;Units!$P77,0,IF(AND(Units!$K77=0,CU$1=Units!$O77),Units!$R77,IF(AND(CU$1&gt;=Units!$Q77,MOD(CU$1-Units!$Q77,12)=0),IF(AND(Units!$L77=1,CU$1=Units!$Q77),IF(Units!$J77&lt;&gt;"",Units!$J77,Mkt!CU78),Inputs!$B$15*Mkt!CU78+(1-Inputs!$B$15)*MIN(Mkt!CU78,CT78*(1+Inputs!$B$18))),CT78)))</f>
        <v>1640.46725539696</v>
      </c>
      <c r="CV78" s="11" t="n">
        <f aca="false">IF(CV$1&lt;Units!$P77,0,IF(AND(Units!$K77=0,CV$1=Units!$O77),Units!$R77,IF(AND(CV$1&gt;=Units!$Q77,MOD(CV$1-Units!$Q77,12)=0),IF(AND(Units!$L77=1,CV$1=Units!$Q77),IF(Units!$J77&lt;&gt;"",Units!$J77,Mkt!CV78),Inputs!$B$15*Mkt!CV78+(1-Inputs!$B$15)*MIN(Mkt!CV78,CU78*(1+Inputs!$B$18))),CU78)))</f>
        <v>1640.46725539696</v>
      </c>
      <c r="CW78" s="11" t="n">
        <f aca="false">IF(CW$1&lt;Units!$P77,0,IF(AND(Units!$K77=0,CW$1=Units!$O77),Units!$R77,IF(AND(CW$1&gt;=Units!$Q77,MOD(CW$1-Units!$Q77,12)=0),IF(AND(Units!$L77=1,CW$1=Units!$Q77),IF(Units!$J77&lt;&gt;"",Units!$J77,Mkt!CW78),Inputs!$B$15*Mkt!CW78+(1-Inputs!$B$15)*MIN(Mkt!CW78,CV78*(1+Inputs!$B$18))),CV78)))</f>
        <v>1640.46725539696</v>
      </c>
      <c r="CX78" s="11" t="n">
        <f aca="false">IF(CX$1&lt;Units!$P77,0,IF(AND(Units!$K77=0,CX$1=Units!$O77),Units!$R77,IF(AND(CX$1&gt;=Units!$Q77,MOD(CX$1-Units!$Q77,12)=0),IF(AND(Units!$L77=1,CX$1=Units!$Q77),IF(Units!$J77&lt;&gt;"",Units!$J77,Mkt!CX78),Inputs!$B$15*Mkt!CX78+(1-Inputs!$B$15)*MIN(Mkt!CX78,CW78*(1+Inputs!$B$18))),CW78)))</f>
        <v>1640.46725539696</v>
      </c>
      <c r="CY78" s="11" t="n">
        <f aca="false">IF(CY$1&lt;Units!$P77,0,IF(AND(Units!$K77=0,CY$1=Units!$O77),Units!$R77,IF(AND(CY$1&gt;=Units!$Q77,MOD(CY$1-Units!$Q77,12)=0),IF(AND(Units!$L77=1,CY$1=Units!$Q77),IF(Units!$J77&lt;&gt;"",Units!$J77,Mkt!CY78),Inputs!$B$15*Mkt!CY78+(1-Inputs!$B$15)*MIN(Mkt!CY78,CX78*(1+Inputs!$B$18))),CX78)))</f>
        <v>1640.46725539696</v>
      </c>
      <c r="CZ78" s="11" t="n">
        <f aca="false">IF(CZ$1&lt;Units!$P77,0,IF(AND(Units!$K77=0,CZ$1=Units!$O77),Units!$R77,IF(AND(CZ$1&gt;=Units!$Q77,MOD(CZ$1-Units!$Q77,12)=0),IF(AND(Units!$L77=1,CZ$1=Units!$Q77),IF(Units!$J77&lt;&gt;"",Units!$J77,Mkt!CZ78),Inputs!$B$15*Mkt!CZ78+(1-Inputs!$B$15)*MIN(Mkt!CZ78,CY78*(1+Inputs!$B$18))),CY78)))</f>
        <v>1640.46725539696</v>
      </c>
      <c r="DA78" s="11" t="n">
        <f aca="false">IF(DA$1&lt;Units!$P77,0,IF(AND(Units!$K77=0,DA$1=Units!$O77),Units!$R77,IF(AND(DA$1&gt;=Units!$Q77,MOD(DA$1-Units!$Q77,12)=0),IF(AND(Units!$L77=1,DA$1=Units!$Q77),IF(Units!$J77&lt;&gt;"",Units!$J77,Mkt!DA78),Inputs!$B$15*Mkt!DA78+(1-Inputs!$B$15)*MIN(Mkt!DA78,CZ78*(1+Inputs!$B$18))),CZ78)))</f>
        <v>1640.46725539696</v>
      </c>
      <c r="DB78" s="11" t="n">
        <f aca="false">IF(DB$1&lt;Units!$P77,0,IF(AND(Units!$K77=0,DB$1=Units!$O77),Units!$R77,IF(AND(DB$1&gt;=Units!$Q77,MOD(DB$1-Units!$Q77,12)=0),IF(AND(Units!$L77=1,DB$1=Units!$Q77),IF(Units!$J77&lt;&gt;"",Units!$J77,Mkt!DB78),Inputs!$B$15*Mkt!DB78+(1-Inputs!$B$15)*MIN(Mkt!DB78,DA78*(1+Inputs!$B$18))),DA78)))</f>
        <v>1640.46725539696</v>
      </c>
      <c r="DC78" s="11" t="n">
        <f aca="false">IF(DC$1&lt;Units!$P77,0,IF(AND(Units!$K77=0,DC$1=Units!$O77),Units!$R77,IF(AND(DC$1&gt;=Units!$Q77,MOD(DC$1-Units!$Q77,12)=0),IF(AND(Units!$L77=1,DC$1=Units!$Q77),IF(Units!$J77&lt;&gt;"",Units!$J77,Mkt!DC78),Inputs!$B$15*Mkt!DC78+(1-Inputs!$B$15)*MIN(Mkt!DC78,DB78*(1+Inputs!$B$18))),DB78)))</f>
        <v>1640.46725539696</v>
      </c>
      <c r="DD78" s="11" t="n">
        <f aca="false">IF(DD$1&lt;Units!$P77,0,IF(AND(Units!$K77=0,DD$1=Units!$O77),Units!$R77,IF(AND(DD$1&gt;=Units!$Q77,MOD(DD$1-Units!$Q77,12)=0),IF(AND(Units!$L77=1,DD$1=Units!$Q77),IF(Units!$J77&lt;&gt;"",Units!$J77,Mkt!DD78),Inputs!$B$15*Mkt!DD78+(1-Inputs!$B$15)*MIN(Mkt!DD78,DC78*(1+Inputs!$B$18))),DC78)))</f>
        <v>1640.46725539696</v>
      </c>
      <c r="DE78" s="11" t="n">
        <f aca="false">IF(DE$1&lt;Units!$P77,0,IF(AND(Units!$K77=0,DE$1=Units!$O77),Units!$R77,IF(AND(DE$1&gt;=Units!$Q77,MOD(DE$1-Units!$Q77,12)=0),IF(AND(Units!$L77=1,DE$1=Units!$Q77),IF(Units!$J77&lt;&gt;"",Units!$J77,Mkt!DE78),Inputs!$B$15*Mkt!DE78+(1-Inputs!$B$15)*MIN(Mkt!DE78,DD78*(1+Inputs!$B$18))),DD78)))</f>
        <v>1640.46725539696</v>
      </c>
      <c r="DF78" s="11" t="n">
        <f aca="false">IF(DF$1&lt;Units!$P77,0,IF(AND(Units!$K77=0,DF$1=Units!$O77),Units!$R77,IF(AND(DF$1&gt;=Units!$Q77,MOD(DF$1-Units!$Q77,12)=0),IF(AND(Units!$L77=1,DF$1=Units!$Q77),IF(Units!$J77&lt;&gt;"",Units!$J77,Mkt!DF78),Inputs!$B$15*Mkt!DF78+(1-Inputs!$B$15)*MIN(Mkt!DF78,DE78*(1+Inputs!$B$18))),DE78)))</f>
        <v>1640.46725539696</v>
      </c>
      <c r="DG78" s="11" t="n">
        <f aca="false">IF(DG$1&lt;Units!$P77,0,IF(AND(Units!$K77=0,DG$1=Units!$O77),Units!$R77,IF(AND(DG$1&gt;=Units!$Q77,MOD(DG$1-Units!$Q77,12)=0),IF(AND(Units!$L77=1,DG$1=Units!$Q77),IF(Units!$J77&lt;&gt;"",Units!$J77,Mkt!DG78),Inputs!$B$15*Mkt!DG78+(1-Inputs!$B$15)*MIN(Mkt!DG78,DF78*(1+Inputs!$B$18))),DF78)))</f>
        <v>1689.68127305887</v>
      </c>
      <c r="DH78" s="11" t="n">
        <f aca="false">IF(DH$1&lt;Units!$P77,0,IF(AND(Units!$K77=0,DH$1=Units!$O77),Units!$R77,IF(AND(DH$1&gt;=Units!$Q77,MOD(DH$1-Units!$Q77,12)=0),IF(AND(Units!$L77=1,DH$1=Units!$Q77),IF(Units!$J77&lt;&gt;"",Units!$J77,Mkt!DH78),Inputs!$B$15*Mkt!DH78+(1-Inputs!$B$15)*MIN(Mkt!DH78,DG78*(1+Inputs!$B$18))),DG78)))</f>
        <v>1689.68127305887</v>
      </c>
      <c r="DI78" s="11" t="n">
        <f aca="false">IF(DI$1&lt;Units!$P77,0,IF(AND(Units!$K77=0,DI$1=Units!$O77),Units!$R77,IF(AND(DI$1&gt;=Units!$Q77,MOD(DI$1-Units!$Q77,12)=0),IF(AND(Units!$L77=1,DI$1=Units!$Q77),IF(Units!$J77&lt;&gt;"",Units!$J77,Mkt!DI78),Inputs!$B$15*Mkt!DI78+(1-Inputs!$B$15)*MIN(Mkt!DI78,DH78*(1+Inputs!$B$18))),DH78)))</f>
        <v>1689.68127305887</v>
      </c>
      <c r="DJ78" s="11" t="n">
        <f aca="false">IF(DJ$1&lt;Units!$P77,0,IF(AND(Units!$K77=0,DJ$1=Units!$O77),Units!$R77,IF(AND(DJ$1&gt;=Units!$Q77,MOD(DJ$1-Units!$Q77,12)=0),IF(AND(Units!$L77=1,DJ$1=Units!$Q77),IF(Units!$J77&lt;&gt;"",Units!$J77,Mkt!DJ78),Inputs!$B$15*Mkt!DJ78+(1-Inputs!$B$15)*MIN(Mkt!DJ78,DI78*(1+Inputs!$B$18))),DI78)))</f>
        <v>1689.68127305887</v>
      </c>
      <c r="DK78" s="11" t="n">
        <f aca="false">IF(DK$1&lt;Units!$P77,0,IF(AND(Units!$K77=0,DK$1=Units!$O77),Units!$R77,IF(AND(DK$1&gt;=Units!$Q77,MOD(DK$1-Units!$Q77,12)=0),IF(AND(Units!$L77=1,DK$1=Units!$Q77),IF(Units!$J77&lt;&gt;"",Units!$J77,Mkt!DK78),Inputs!$B$15*Mkt!DK78+(1-Inputs!$B$15)*MIN(Mkt!DK78,DJ78*(1+Inputs!$B$18))),DJ78)))</f>
        <v>1689.68127305887</v>
      </c>
      <c r="DL78" s="11" t="n">
        <f aca="false">IF(DL$1&lt;Units!$P77,0,IF(AND(Units!$K77=0,DL$1=Units!$O77),Units!$R77,IF(AND(DL$1&gt;=Units!$Q77,MOD(DL$1-Units!$Q77,12)=0),IF(AND(Units!$L77=1,DL$1=Units!$Q77),IF(Units!$J77&lt;&gt;"",Units!$J77,Mkt!DL78),Inputs!$B$15*Mkt!DL78+(1-Inputs!$B$15)*MIN(Mkt!DL78,DK78*(1+Inputs!$B$18))),DK78)))</f>
        <v>1689.68127305887</v>
      </c>
      <c r="DM78" s="11" t="n">
        <f aca="false">IF(DM$1&lt;Units!$P77,0,IF(AND(Units!$K77=0,DM$1=Units!$O77),Units!$R77,IF(AND(DM$1&gt;=Units!$Q77,MOD(DM$1-Units!$Q77,12)=0),IF(AND(Units!$L77=1,DM$1=Units!$Q77),IF(Units!$J77&lt;&gt;"",Units!$J77,Mkt!DM78),Inputs!$B$15*Mkt!DM78+(1-Inputs!$B$15)*MIN(Mkt!DM78,DL78*(1+Inputs!$B$18))),DL78)))</f>
        <v>1689.68127305887</v>
      </c>
      <c r="DN78" s="11" t="n">
        <f aca="false">IF(DN$1&lt;Units!$P77,0,IF(AND(Units!$K77=0,DN$1=Units!$O77),Units!$R77,IF(AND(DN$1&gt;=Units!$Q77,MOD(DN$1-Units!$Q77,12)=0),IF(AND(Units!$L77=1,DN$1=Units!$Q77),IF(Units!$J77&lt;&gt;"",Units!$J77,Mkt!DN78),Inputs!$B$15*Mkt!DN78+(1-Inputs!$B$15)*MIN(Mkt!DN78,DM78*(1+Inputs!$B$18))),DM78)))</f>
        <v>1689.68127305887</v>
      </c>
      <c r="DO78" s="11" t="n">
        <f aca="false">IF(DO$1&lt;Units!$P77,0,IF(AND(Units!$K77=0,DO$1=Units!$O77),Units!$R77,IF(AND(DO$1&gt;=Units!$Q77,MOD(DO$1-Units!$Q77,12)=0),IF(AND(Units!$L77=1,DO$1=Units!$Q77),IF(Units!$J77&lt;&gt;"",Units!$J77,Mkt!DO78),Inputs!$B$15*Mkt!DO78+(1-Inputs!$B$15)*MIN(Mkt!DO78,DN78*(1+Inputs!$B$18))),DN78)))</f>
        <v>1689.68127305887</v>
      </c>
      <c r="DP78" s="11" t="n">
        <f aca="false">IF(DP$1&lt;Units!$P77,0,IF(AND(Units!$K77=0,DP$1=Units!$O77),Units!$R77,IF(AND(DP$1&gt;=Units!$Q77,MOD(DP$1-Units!$Q77,12)=0),IF(AND(Units!$L77=1,DP$1=Units!$Q77),IF(Units!$J77&lt;&gt;"",Units!$J77,Mkt!DP78),Inputs!$B$15*Mkt!DP78+(1-Inputs!$B$15)*MIN(Mkt!DP78,DO78*(1+Inputs!$B$18))),DO78)))</f>
        <v>1689.68127305887</v>
      </c>
      <c r="DQ78" s="11" t="n">
        <f aca="false">IF(DQ$1&lt;Units!$P77,0,IF(AND(Units!$K77=0,DQ$1=Units!$O77),Units!$R77,IF(AND(DQ$1&gt;=Units!$Q77,MOD(DQ$1-Units!$Q77,12)=0),IF(AND(Units!$L77=1,DQ$1=Units!$Q77),IF(Units!$J77&lt;&gt;"",Units!$J77,Mkt!DQ78),Inputs!$B$15*Mkt!DQ78+(1-Inputs!$B$15)*MIN(Mkt!DQ78,DP78*(1+Inputs!$B$18))),DP78)))</f>
        <v>1689.68127305887</v>
      </c>
      <c r="DR78" s="11" t="n">
        <f aca="false">IF(DR$1&lt;Units!$P77,0,IF(AND(Units!$K77=0,DR$1=Units!$O77),Units!$R77,IF(AND(DR$1&gt;=Units!$Q77,MOD(DR$1-Units!$Q77,12)=0),IF(AND(Units!$L77=1,DR$1=Units!$Q77),IF(Units!$J77&lt;&gt;"",Units!$J77,Mkt!DR78),Inputs!$B$15*Mkt!DR78+(1-Inputs!$B$15)*MIN(Mkt!DR78,DQ78*(1+Inputs!$B$18))),DQ78)))</f>
        <v>1689.68127305887</v>
      </c>
      <c r="DS78" s="11" t="n">
        <f aca="false">IF(DS$1&lt;Units!$P77,0,IF(AND(Units!$K77=0,DS$1=Units!$O77),Units!$R77,IF(AND(DS$1&gt;=Units!$Q77,MOD(DS$1-Units!$Q77,12)=0),IF(AND(Units!$L77=1,DS$1=Units!$Q77),IF(Units!$J77&lt;&gt;"",Units!$J77,Mkt!DS78),Inputs!$B$15*Mkt!DS78+(1-Inputs!$B$15)*MIN(Mkt!DS78,DR78*(1+Inputs!$B$18))),DR78)))</f>
        <v>1740.37171125064</v>
      </c>
      <c r="DT78" s="11" t="n">
        <f aca="false">IF(DT$1&lt;Units!$P77,0,IF(AND(Units!$K77=0,DT$1=Units!$O77),Units!$R77,IF(AND(DT$1&gt;=Units!$Q77,MOD(DT$1-Units!$Q77,12)=0),IF(AND(Units!$L77=1,DT$1=Units!$Q77),IF(Units!$J77&lt;&gt;"",Units!$J77,Mkt!DT78),Inputs!$B$15*Mkt!DT78+(1-Inputs!$B$15)*MIN(Mkt!DT78,DS78*(1+Inputs!$B$18))),DS78)))</f>
        <v>1740.37171125064</v>
      </c>
      <c r="DU78" s="11" t="n">
        <f aca="false">IF(DU$1&lt;Units!$P77,0,IF(AND(Units!$K77=0,DU$1=Units!$O77),Units!$R77,IF(AND(DU$1&gt;=Units!$Q77,MOD(DU$1-Units!$Q77,12)=0),IF(AND(Units!$L77=1,DU$1=Units!$Q77),IF(Units!$J77&lt;&gt;"",Units!$J77,Mkt!DU78),Inputs!$B$15*Mkt!DU78+(1-Inputs!$B$15)*MIN(Mkt!DU78,DT78*(1+Inputs!$B$18))),DT78)))</f>
        <v>1740.37171125064</v>
      </c>
      <c r="DV78" s="11" t="n">
        <f aca="false">IF(DV$1&lt;Units!$P77,0,IF(AND(Units!$K77=0,DV$1=Units!$O77),Units!$R77,IF(AND(DV$1&gt;=Units!$Q77,MOD(DV$1-Units!$Q77,12)=0),IF(AND(Units!$L77=1,DV$1=Units!$Q77),IF(Units!$J77&lt;&gt;"",Units!$J77,Mkt!DV78),Inputs!$B$15*Mkt!DV78+(1-Inputs!$B$15)*MIN(Mkt!DV78,DU78*(1+Inputs!$B$18))),DU78)))</f>
        <v>1740.37171125064</v>
      </c>
      <c r="DW78" s="11" t="n">
        <f aca="false">IF(DW$1&lt;Units!$P77,0,IF(AND(Units!$K77=0,DW$1=Units!$O77),Units!$R77,IF(AND(DW$1&gt;=Units!$Q77,MOD(DW$1-Units!$Q77,12)=0),IF(AND(Units!$L77=1,DW$1=Units!$Q77),IF(Units!$J77&lt;&gt;"",Units!$J77,Mkt!DW78),Inputs!$B$15*Mkt!DW78+(1-Inputs!$B$15)*MIN(Mkt!DW78,DV78*(1+Inputs!$B$18))),DV78)))</f>
        <v>1740.37171125064</v>
      </c>
      <c r="DX78" s="11" t="n">
        <f aca="false">IF(DX$1&lt;Units!$P77,0,IF(AND(Units!$K77=0,DX$1=Units!$O77),Units!$R77,IF(AND(DX$1&gt;=Units!$Q77,MOD(DX$1-Units!$Q77,12)=0),IF(AND(Units!$L77=1,DX$1=Units!$Q77),IF(Units!$J77&lt;&gt;"",Units!$J77,Mkt!DX78),Inputs!$B$15*Mkt!DX78+(1-Inputs!$B$15)*MIN(Mkt!DX78,DW78*(1+Inputs!$B$18))),DW78)))</f>
        <v>1740.37171125064</v>
      </c>
      <c r="DY78" s="11" t="n">
        <f aca="false">IF(DY$1&lt;Units!$P77,0,IF(AND(Units!$K77=0,DY$1=Units!$O77),Units!$R77,IF(AND(DY$1&gt;=Units!$Q77,MOD(DY$1-Units!$Q77,12)=0),IF(AND(Units!$L77=1,DY$1=Units!$Q77),IF(Units!$J77&lt;&gt;"",Units!$J77,Mkt!DY78),Inputs!$B$15*Mkt!DY78+(1-Inputs!$B$15)*MIN(Mkt!DY78,DX78*(1+Inputs!$B$18))),DX78)))</f>
        <v>1740.37171125064</v>
      </c>
      <c r="DZ78" s="11" t="n">
        <f aca="false">IF(DZ$1&lt;Units!$P77,0,IF(AND(Units!$K77=0,DZ$1=Units!$O77),Units!$R77,IF(AND(DZ$1&gt;=Units!$Q77,MOD(DZ$1-Units!$Q77,12)=0),IF(AND(Units!$L77=1,DZ$1=Units!$Q77),IF(Units!$J77&lt;&gt;"",Units!$J77,Mkt!DZ78),Inputs!$B$15*Mkt!DZ78+(1-Inputs!$B$15)*MIN(Mkt!DZ78,DY78*(1+Inputs!$B$18))),DY78)))</f>
        <v>1740.37171125064</v>
      </c>
      <c r="EA78" s="11" t="n">
        <f aca="false">IF(EA$1&lt;Units!$P77,0,IF(AND(Units!$K77=0,EA$1=Units!$O77),Units!$R77,IF(AND(EA$1&gt;=Units!$Q77,MOD(EA$1-Units!$Q77,12)=0),IF(AND(Units!$L77=1,EA$1=Units!$Q77),IF(Units!$J77&lt;&gt;"",Units!$J77,Mkt!EA78),Inputs!$B$15*Mkt!EA78+(1-Inputs!$B$15)*MIN(Mkt!EA78,DZ78*(1+Inputs!$B$18))),DZ78)))</f>
        <v>1740.37171125064</v>
      </c>
      <c r="EB78" s="11" t="n">
        <f aca="false">IF(EB$1&lt;Units!$P77,0,IF(AND(Units!$K77=0,EB$1=Units!$O77),Units!$R77,IF(AND(EB$1&gt;=Units!$Q77,MOD(EB$1-Units!$Q77,12)=0),IF(AND(Units!$L77=1,EB$1=Units!$Q77),IF(Units!$J77&lt;&gt;"",Units!$J77,Mkt!EB78),Inputs!$B$15*Mkt!EB78+(1-Inputs!$B$15)*MIN(Mkt!EB78,EA78*(1+Inputs!$B$18))),EA78)))</f>
        <v>1740.37171125064</v>
      </c>
      <c r="EC78" s="11" t="n">
        <f aca="false">IF(EC$1&lt;Units!$P77,0,IF(AND(Units!$K77=0,EC$1=Units!$O77),Units!$R77,IF(AND(EC$1&gt;=Units!$Q77,MOD(EC$1-Units!$Q77,12)=0),IF(AND(Units!$L77=1,EC$1=Units!$Q77),IF(Units!$J77&lt;&gt;"",Units!$J77,Mkt!EC78),Inputs!$B$15*Mkt!EC78+(1-Inputs!$B$15)*MIN(Mkt!EC78,EB78*(1+Inputs!$B$18))),EB78)))</f>
        <v>1740.37171125064</v>
      </c>
      <c r="ED78" s="11" t="n">
        <f aca="false">IF(ED$1&lt;Units!$P77,0,IF(AND(Units!$K77=0,ED$1=Units!$O77),Units!$R77,IF(AND(ED$1&gt;=Units!$Q77,MOD(ED$1-Units!$Q77,12)=0),IF(AND(Units!$L77=1,ED$1=Units!$Q77),IF(Units!$J77&lt;&gt;"",Units!$J77,Mkt!ED78),Inputs!$B$15*Mkt!ED78+(1-Inputs!$B$15)*MIN(Mkt!ED78,EC78*(1+Inputs!$B$18))),EC78)))</f>
        <v>1740.37171125064</v>
      </c>
    </row>
    <row r="79" customFormat="false" ht="15" hidden="false" customHeight="false" outlineLevel="0" collapsed="false">
      <c r="A79" s="22" t="n">
        <f aca="false">Units!A78</f>
        <v>317</v>
      </c>
      <c r="B79" s="24" t="n">
        <f aca="false">IF(Units!K78=1,Units!F78,0)</f>
        <v>1200</v>
      </c>
      <c r="C79" s="11" t="n">
        <f aca="false">IF(C$1&lt;Units!$P78,0,IF(AND(Units!$K78=0,C$1=Units!$O78),Units!$R78,IF(AND(C$1&gt;=Units!$Q78,MOD(C$1-Units!$Q78,12)=0),IF(AND(Units!$L78=1,C$1=Units!$Q78),IF(Units!$J78&lt;&gt;"",Units!$J78,Mkt!C79),Inputs!$B$15*Mkt!C79+(1-Inputs!$B$15)*MIN(Mkt!C79,B79*(1+Inputs!$B$18))),B79)))</f>
        <v>1200</v>
      </c>
      <c r="D79" s="11" t="n">
        <f aca="false">IF(D$1&lt;Units!$P78,0,IF(AND(Units!$K78=0,D$1=Units!$O78),Units!$R78,IF(AND(D$1&gt;=Units!$Q78,MOD(D$1-Units!$Q78,12)=0),IF(AND(Units!$L78=1,D$1=Units!$Q78),IF(Units!$J78&lt;&gt;"",Units!$J78,Mkt!D79),Inputs!$B$15*Mkt!D79+(1-Inputs!$B$15)*MIN(Mkt!D79,C79*(1+Inputs!$B$18))),C79)))</f>
        <v>1200</v>
      </c>
      <c r="E79" s="11" t="n">
        <f aca="false">IF(E$1&lt;Units!$P78,0,IF(AND(Units!$K78=0,E$1=Units!$O78),Units!$R78,IF(AND(E$1&gt;=Units!$Q78,MOD(E$1-Units!$Q78,12)=0),IF(AND(Units!$L78=1,E$1=Units!$Q78),IF(Units!$J78&lt;&gt;"",Units!$J78,Mkt!E79),Inputs!$B$15*Mkt!E79+(1-Inputs!$B$15)*MIN(Mkt!E79,D79*(1+Inputs!$B$18))),D79)))</f>
        <v>1200</v>
      </c>
      <c r="F79" s="11" t="n">
        <f aca="false">IF(F$1&lt;Units!$P78,0,IF(AND(Units!$K78=0,F$1=Units!$O78),Units!$R78,IF(AND(F$1&gt;=Units!$Q78,MOD(F$1-Units!$Q78,12)=0),IF(AND(Units!$L78=1,F$1=Units!$Q78),IF(Units!$J78&lt;&gt;"",Units!$J78,Mkt!F79),Inputs!$B$15*Mkt!F79+(1-Inputs!$B$15)*MIN(Mkt!F79,E79*(1+Inputs!$B$18))),E79)))</f>
        <v>1200</v>
      </c>
      <c r="G79" s="11" t="n">
        <f aca="false">IF(G$1&lt;Units!$P78,0,IF(AND(Units!$K78=0,G$1=Units!$O78),Units!$R78,IF(AND(G$1&gt;=Units!$Q78,MOD(G$1-Units!$Q78,12)=0),IF(AND(Units!$L78=1,G$1=Units!$Q78),IF(Units!$J78&lt;&gt;"",Units!$J78,Mkt!G79),Inputs!$B$15*Mkt!G79+(1-Inputs!$B$15)*MIN(Mkt!G79,F79*(1+Inputs!$B$18))),F79)))</f>
        <v>1200</v>
      </c>
      <c r="H79" s="11" t="n">
        <f aca="false">IF(H$1&lt;Units!$P78,0,IF(AND(Units!$K78=0,H$1=Units!$O78),Units!$R78,IF(AND(H$1&gt;=Units!$Q78,MOD(H$1-Units!$Q78,12)=0),IF(AND(Units!$L78=1,H$1=Units!$Q78),IF(Units!$J78&lt;&gt;"",Units!$J78,Mkt!H79),Inputs!$B$15*Mkt!H79+(1-Inputs!$B$15)*MIN(Mkt!H79,G79*(1+Inputs!$B$18))),G79)))</f>
        <v>1200</v>
      </c>
      <c r="I79" s="11" t="n">
        <f aca="false">IF(I$1&lt;Units!$P78,0,IF(AND(Units!$K78=0,I$1=Units!$O78),Units!$R78,IF(AND(I$1&gt;=Units!$Q78,MOD(I$1-Units!$Q78,12)=0),IF(AND(Units!$L78=1,I$1=Units!$Q78),IF(Units!$J78&lt;&gt;"",Units!$J78,Mkt!I79),Inputs!$B$15*Mkt!I79+(1-Inputs!$B$15)*MIN(Mkt!I79,H79*(1+Inputs!$B$18))),H79)))</f>
        <v>1200</v>
      </c>
      <c r="J79" s="11" t="n">
        <f aca="false">IF(J$1&lt;Units!$P78,0,IF(AND(Units!$K78=0,J$1=Units!$O78),Units!$R78,IF(AND(J$1&gt;=Units!$Q78,MOD(J$1-Units!$Q78,12)=0),IF(AND(Units!$L78=1,J$1=Units!$Q78),IF(Units!$J78&lt;&gt;"",Units!$J78,Mkt!J79),Inputs!$B$15*Mkt!J79+(1-Inputs!$B$15)*MIN(Mkt!J79,I79*(1+Inputs!$B$18))),I79)))</f>
        <v>1200</v>
      </c>
      <c r="K79" s="11" t="n">
        <f aca="false">IF(K$1&lt;Units!$P78,0,IF(AND(Units!$K78=0,K$1=Units!$O78),Units!$R78,IF(AND(K$1&gt;=Units!$Q78,MOD(K$1-Units!$Q78,12)=0),IF(AND(Units!$L78=1,K$1=Units!$Q78),IF(Units!$J78&lt;&gt;"",Units!$J78,Mkt!K79),Inputs!$B$15*Mkt!K79+(1-Inputs!$B$15)*MIN(Mkt!K79,J79*(1+Inputs!$B$18))),J79)))</f>
        <v>1277.5</v>
      </c>
      <c r="L79" s="11" t="n">
        <f aca="false">IF(L$1&lt;Units!$P78,0,IF(AND(Units!$K78=0,L$1=Units!$O78),Units!$R78,IF(AND(L$1&gt;=Units!$Q78,MOD(L$1-Units!$Q78,12)=0),IF(AND(Units!$L78=1,L$1=Units!$Q78),IF(Units!$J78&lt;&gt;"",Units!$J78,Mkt!L79),Inputs!$B$15*Mkt!L79+(1-Inputs!$B$15)*MIN(Mkt!L79,K79*(1+Inputs!$B$18))),K79)))</f>
        <v>1277.5</v>
      </c>
      <c r="M79" s="11" t="n">
        <f aca="false">IF(M$1&lt;Units!$P78,0,IF(AND(Units!$K78=0,M$1=Units!$O78),Units!$R78,IF(AND(M$1&gt;=Units!$Q78,MOD(M$1-Units!$Q78,12)=0),IF(AND(Units!$L78=1,M$1=Units!$Q78),IF(Units!$J78&lt;&gt;"",Units!$J78,Mkt!M79),Inputs!$B$15*Mkt!M79+(1-Inputs!$B$15)*MIN(Mkt!M79,L79*(1+Inputs!$B$18))),L79)))</f>
        <v>1277.5</v>
      </c>
      <c r="N79" s="11" t="n">
        <f aca="false">IF(N$1&lt;Units!$P78,0,IF(AND(Units!$K78=0,N$1=Units!$O78),Units!$R78,IF(AND(N$1&gt;=Units!$Q78,MOD(N$1-Units!$Q78,12)=0),IF(AND(Units!$L78=1,N$1=Units!$Q78),IF(Units!$J78&lt;&gt;"",Units!$J78,Mkt!N79),Inputs!$B$15*Mkt!N79+(1-Inputs!$B$15)*MIN(Mkt!N79,M79*(1+Inputs!$B$18))),M79)))</f>
        <v>1277.5</v>
      </c>
      <c r="O79" s="11" t="n">
        <f aca="false">IF(O$1&lt;Units!$P78,0,IF(AND(Units!$K78=0,O$1=Units!$O78),Units!$R78,IF(AND(O$1&gt;=Units!$Q78,MOD(O$1-Units!$Q78,12)=0),IF(AND(Units!$L78=1,O$1=Units!$Q78),IF(Units!$J78&lt;&gt;"",Units!$J78,Mkt!O79),Inputs!$B$15*Mkt!O79+(1-Inputs!$B$15)*MIN(Mkt!O79,N79*(1+Inputs!$B$18))),N79)))</f>
        <v>1277.5</v>
      </c>
      <c r="P79" s="11" t="n">
        <f aca="false">IF(P$1&lt;Units!$P78,0,IF(AND(Units!$K78=0,P$1=Units!$O78),Units!$R78,IF(AND(P$1&gt;=Units!$Q78,MOD(P$1-Units!$Q78,12)=0),IF(AND(Units!$L78=1,P$1=Units!$Q78),IF(Units!$J78&lt;&gt;"",Units!$J78,Mkt!P79),Inputs!$B$15*Mkt!P79+(1-Inputs!$B$15)*MIN(Mkt!P79,O79*(1+Inputs!$B$18))),O79)))</f>
        <v>1277.5</v>
      </c>
      <c r="Q79" s="11" t="n">
        <f aca="false">IF(Q$1&lt;Units!$P78,0,IF(AND(Units!$K78=0,Q$1=Units!$O78),Units!$R78,IF(AND(Q$1&gt;=Units!$Q78,MOD(Q$1-Units!$Q78,12)=0),IF(AND(Units!$L78=1,Q$1=Units!$Q78),IF(Units!$J78&lt;&gt;"",Units!$J78,Mkt!Q79),Inputs!$B$15*Mkt!Q79+(1-Inputs!$B$15)*MIN(Mkt!Q79,P79*(1+Inputs!$B$18))),P79)))</f>
        <v>1277.5</v>
      </c>
      <c r="R79" s="11" t="n">
        <f aca="false">IF(R$1&lt;Units!$P78,0,IF(AND(Units!$K78=0,R$1=Units!$O78),Units!$R78,IF(AND(R$1&gt;=Units!$Q78,MOD(R$1-Units!$Q78,12)=0),IF(AND(Units!$L78=1,R$1=Units!$Q78),IF(Units!$J78&lt;&gt;"",Units!$J78,Mkt!R79),Inputs!$B$15*Mkt!R79+(1-Inputs!$B$15)*MIN(Mkt!R79,Q79*(1+Inputs!$B$18))),Q79)))</f>
        <v>1277.5</v>
      </c>
      <c r="S79" s="11" t="n">
        <f aca="false">IF(S$1&lt;Units!$P78,0,IF(AND(Units!$K78=0,S$1=Units!$O78),Units!$R78,IF(AND(S$1&gt;=Units!$Q78,MOD(S$1-Units!$Q78,12)=0),IF(AND(Units!$L78=1,S$1=Units!$Q78),IF(Units!$J78&lt;&gt;"",Units!$J78,Mkt!S79),Inputs!$B$15*Mkt!S79+(1-Inputs!$B$15)*MIN(Mkt!S79,R79*(1+Inputs!$B$18))),R79)))</f>
        <v>1277.5</v>
      </c>
      <c r="T79" s="11" t="n">
        <f aca="false">IF(T$1&lt;Units!$P78,0,IF(AND(Units!$K78=0,T$1=Units!$O78),Units!$R78,IF(AND(T$1&gt;=Units!$Q78,MOD(T$1-Units!$Q78,12)=0),IF(AND(Units!$L78=1,T$1=Units!$Q78),IF(Units!$J78&lt;&gt;"",Units!$J78,Mkt!T79),Inputs!$B$15*Mkt!T79+(1-Inputs!$B$15)*MIN(Mkt!T79,S79*(1+Inputs!$B$18))),S79)))</f>
        <v>1277.5</v>
      </c>
      <c r="U79" s="11" t="n">
        <f aca="false">IF(U$1&lt;Units!$P78,0,IF(AND(Units!$K78=0,U$1=Units!$O78),Units!$R78,IF(AND(U$1&gt;=Units!$Q78,MOD(U$1-Units!$Q78,12)=0),IF(AND(Units!$L78=1,U$1=Units!$Q78),IF(Units!$J78&lt;&gt;"",Units!$J78,Mkt!U79),Inputs!$B$15*Mkt!U79+(1-Inputs!$B$15)*MIN(Mkt!U79,T79*(1+Inputs!$B$18))),T79)))</f>
        <v>1277.5</v>
      </c>
      <c r="V79" s="11" t="n">
        <f aca="false">IF(V$1&lt;Units!$P78,0,IF(AND(Units!$K78=0,V$1=Units!$O78),Units!$R78,IF(AND(V$1&gt;=Units!$Q78,MOD(V$1-Units!$Q78,12)=0),IF(AND(Units!$L78=1,V$1=Units!$Q78),IF(Units!$J78&lt;&gt;"",Units!$J78,Mkt!V79),Inputs!$B$15*Mkt!V79+(1-Inputs!$B$15)*MIN(Mkt!V79,U79*(1+Inputs!$B$18))),U79)))</f>
        <v>1277.5</v>
      </c>
      <c r="W79" s="11" t="n">
        <f aca="false">IF(W$1&lt;Units!$P78,0,IF(AND(Units!$K78=0,W$1=Units!$O78),Units!$R78,IF(AND(W$1&gt;=Units!$Q78,MOD(W$1-Units!$Q78,12)=0),IF(AND(Units!$L78=1,W$1=Units!$Q78),IF(Units!$J78&lt;&gt;"",Units!$J78,Mkt!W79),Inputs!$B$15*Mkt!W79+(1-Inputs!$B$15)*MIN(Mkt!W79,V79*(1+Inputs!$B$18))),V79)))</f>
        <v>1333.85</v>
      </c>
      <c r="X79" s="11" t="n">
        <f aca="false">IF(X$1&lt;Units!$P78,0,IF(AND(Units!$K78=0,X$1=Units!$O78),Units!$R78,IF(AND(X$1&gt;=Units!$Q78,MOD(X$1-Units!$Q78,12)=0),IF(AND(Units!$L78=1,X$1=Units!$Q78),IF(Units!$J78&lt;&gt;"",Units!$J78,Mkt!X79),Inputs!$B$15*Mkt!X79+(1-Inputs!$B$15)*MIN(Mkt!X79,W79*(1+Inputs!$B$18))),W79)))</f>
        <v>1333.85</v>
      </c>
      <c r="Y79" s="11" t="n">
        <f aca="false">IF(Y$1&lt;Units!$P78,0,IF(AND(Units!$K78=0,Y$1=Units!$O78),Units!$R78,IF(AND(Y$1&gt;=Units!$Q78,MOD(Y$1-Units!$Q78,12)=0),IF(AND(Units!$L78=1,Y$1=Units!$Q78),IF(Units!$J78&lt;&gt;"",Units!$J78,Mkt!Y79),Inputs!$B$15*Mkt!Y79+(1-Inputs!$B$15)*MIN(Mkt!Y79,X79*(1+Inputs!$B$18))),X79)))</f>
        <v>1333.85</v>
      </c>
      <c r="Z79" s="11" t="n">
        <f aca="false">IF(Z$1&lt;Units!$P78,0,IF(AND(Units!$K78=0,Z$1=Units!$O78),Units!$R78,IF(AND(Z$1&gt;=Units!$Q78,MOD(Z$1-Units!$Q78,12)=0),IF(AND(Units!$L78=1,Z$1=Units!$Q78),IF(Units!$J78&lt;&gt;"",Units!$J78,Mkt!Z79),Inputs!$B$15*Mkt!Z79+(1-Inputs!$B$15)*MIN(Mkt!Z79,Y79*(1+Inputs!$B$18))),Y79)))</f>
        <v>1333.85</v>
      </c>
      <c r="AA79" s="11" t="n">
        <f aca="false">IF(AA$1&lt;Units!$P78,0,IF(AND(Units!$K78=0,AA$1=Units!$O78),Units!$R78,IF(AND(AA$1&gt;=Units!$Q78,MOD(AA$1-Units!$Q78,12)=0),IF(AND(Units!$L78=1,AA$1=Units!$Q78),IF(Units!$J78&lt;&gt;"",Units!$J78,Mkt!AA79),Inputs!$B$15*Mkt!AA79+(1-Inputs!$B$15)*MIN(Mkt!AA79,Z79*(1+Inputs!$B$18))),Z79)))</f>
        <v>1333.85</v>
      </c>
      <c r="AB79" s="11" t="n">
        <f aca="false">IF(AB$1&lt;Units!$P78,0,IF(AND(Units!$K78=0,AB$1=Units!$O78),Units!$R78,IF(AND(AB$1&gt;=Units!$Q78,MOD(AB$1-Units!$Q78,12)=0),IF(AND(Units!$L78=1,AB$1=Units!$Q78),IF(Units!$J78&lt;&gt;"",Units!$J78,Mkt!AB79),Inputs!$B$15*Mkt!AB79+(1-Inputs!$B$15)*MIN(Mkt!AB79,AA79*(1+Inputs!$B$18))),AA79)))</f>
        <v>1333.85</v>
      </c>
      <c r="AC79" s="11" t="n">
        <f aca="false">IF(AC$1&lt;Units!$P78,0,IF(AND(Units!$K78=0,AC$1=Units!$O78),Units!$R78,IF(AND(AC$1&gt;=Units!$Q78,MOD(AC$1-Units!$Q78,12)=0),IF(AND(Units!$L78=1,AC$1=Units!$Q78),IF(Units!$J78&lt;&gt;"",Units!$J78,Mkt!AC79),Inputs!$B$15*Mkt!AC79+(1-Inputs!$B$15)*MIN(Mkt!AC79,AB79*(1+Inputs!$B$18))),AB79)))</f>
        <v>1333.85</v>
      </c>
      <c r="AD79" s="11" t="n">
        <f aca="false">IF(AD$1&lt;Units!$P78,0,IF(AND(Units!$K78=0,AD$1=Units!$O78),Units!$R78,IF(AND(AD$1&gt;=Units!$Q78,MOD(AD$1-Units!$Q78,12)=0),IF(AND(Units!$L78=1,AD$1=Units!$Q78),IF(Units!$J78&lt;&gt;"",Units!$J78,Mkt!AD79),Inputs!$B$15*Mkt!AD79+(1-Inputs!$B$15)*MIN(Mkt!AD79,AC79*(1+Inputs!$B$18))),AC79)))</f>
        <v>1333.85</v>
      </c>
      <c r="AE79" s="11" t="n">
        <f aca="false">IF(AE$1&lt;Units!$P78,0,IF(AND(Units!$K78=0,AE$1=Units!$O78),Units!$R78,IF(AND(AE$1&gt;=Units!$Q78,MOD(AE$1-Units!$Q78,12)=0),IF(AND(Units!$L78=1,AE$1=Units!$Q78),IF(Units!$J78&lt;&gt;"",Units!$J78,Mkt!AE79),Inputs!$B$15*Mkt!AE79+(1-Inputs!$B$15)*MIN(Mkt!AE79,AD79*(1+Inputs!$B$18))),AD79)))</f>
        <v>1333.85</v>
      </c>
      <c r="AF79" s="11" t="n">
        <f aca="false">IF(AF$1&lt;Units!$P78,0,IF(AND(Units!$K78=0,AF$1=Units!$O78),Units!$R78,IF(AND(AF$1&gt;=Units!$Q78,MOD(AF$1-Units!$Q78,12)=0),IF(AND(Units!$L78=1,AF$1=Units!$Q78),IF(Units!$J78&lt;&gt;"",Units!$J78,Mkt!AF79),Inputs!$B$15*Mkt!AF79+(1-Inputs!$B$15)*MIN(Mkt!AF79,AE79*(1+Inputs!$B$18))),AE79)))</f>
        <v>1333.85</v>
      </c>
      <c r="AG79" s="11" t="n">
        <f aca="false">IF(AG$1&lt;Units!$P78,0,IF(AND(Units!$K78=0,AG$1=Units!$O78),Units!$R78,IF(AND(AG$1&gt;=Units!$Q78,MOD(AG$1-Units!$Q78,12)=0),IF(AND(Units!$L78=1,AG$1=Units!$Q78),IF(Units!$J78&lt;&gt;"",Units!$J78,Mkt!AG79),Inputs!$B$15*Mkt!AG79+(1-Inputs!$B$15)*MIN(Mkt!AG79,AF79*(1+Inputs!$B$18))),AF79)))</f>
        <v>1333.85</v>
      </c>
      <c r="AH79" s="11" t="n">
        <f aca="false">IF(AH$1&lt;Units!$P78,0,IF(AND(Units!$K78=0,AH$1=Units!$O78),Units!$R78,IF(AND(AH$1&gt;=Units!$Q78,MOD(AH$1-Units!$Q78,12)=0),IF(AND(Units!$L78=1,AH$1=Units!$Q78),IF(Units!$J78&lt;&gt;"",Units!$J78,Mkt!AH79),Inputs!$B$15*Mkt!AH79+(1-Inputs!$B$15)*MIN(Mkt!AH79,AG79*(1+Inputs!$B$18))),AG79)))</f>
        <v>1333.85</v>
      </c>
      <c r="AI79" s="11" t="n">
        <f aca="false">IF(AI$1&lt;Units!$P78,0,IF(AND(Units!$K78=0,AI$1=Units!$O78),Units!$R78,IF(AND(AI$1&gt;=Units!$Q78,MOD(AI$1-Units!$Q78,12)=0),IF(AND(Units!$L78=1,AI$1=Units!$Q78),IF(Units!$J78&lt;&gt;"",Units!$J78,Mkt!AI79),Inputs!$B$15*Mkt!AI79+(1-Inputs!$B$15)*MIN(Mkt!AI79,AH79*(1+Inputs!$B$18))),AH79)))</f>
        <v>1373.8655</v>
      </c>
      <c r="AJ79" s="11" t="n">
        <f aca="false">IF(AJ$1&lt;Units!$P78,0,IF(AND(Units!$K78=0,AJ$1=Units!$O78),Units!$R78,IF(AND(AJ$1&gt;=Units!$Q78,MOD(AJ$1-Units!$Q78,12)=0),IF(AND(Units!$L78=1,AJ$1=Units!$Q78),IF(Units!$J78&lt;&gt;"",Units!$J78,Mkt!AJ79),Inputs!$B$15*Mkt!AJ79+(1-Inputs!$B$15)*MIN(Mkt!AJ79,AI79*(1+Inputs!$B$18))),AI79)))</f>
        <v>1373.8655</v>
      </c>
      <c r="AK79" s="11" t="n">
        <f aca="false">IF(AK$1&lt;Units!$P78,0,IF(AND(Units!$K78=0,AK$1=Units!$O78),Units!$R78,IF(AND(AK$1&gt;=Units!$Q78,MOD(AK$1-Units!$Q78,12)=0),IF(AND(Units!$L78=1,AK$1=Units!$Q78),IF(Units!$J78&lt;&gt;"",Units!$J78,Mkt!AK79),Inputs!$B$15*Mkt!AK79+(1-Inputs!$B$15)*MIN(Mkt!AK79,AJ79*(1+Inputs!$B$18))),AJ79)))</f>
        <v>1373.8655</v>
      </c>
      <c r="AL79" s="11" t="n">
        <f aca="false">IF(AL$1&lt;Units!$P78,0,IF(AND(Units!$K78=0,AL$1=Units!$O78),Units!$R78,IF(AND(AL$1&gt;=Units!$Q78,MOD(AL$1-Units!$Q78,12)=0),IF(AND(Units!$L78=1,AL$1=Units!$Q78),IF(Units!$J78&lt;&gt;"",Units!$J78,Mkt!AL79),Inputs!$B$15*Mkt!AL79+(1-Inputs!$B$15)*MIN(Mkt!AL79,AK79*(1+Inputs!$B$18))),AK79)))</f>
        <v>1373.8655</v>
      </c>
      <c r="AM79" s="11" t="n">
        <f aca="false">IF(AM$1&lt;Units!$P78,0,IF(AND(Units!$K78=0,AM$1=Units!$O78),Units!$R78,IF(AND(AM$1&gt;=Units!$Q78,MOD(AM$1-Units!$Q78,12)=0),IF(AND(Units!$L78=1,AM$1=Units!$Q78),IF(Units!$J78&lt;&gt;"",Units!$J78,Mkt!AM79),Inputs!$B$15*Mkt!AM79+(1-Inputs!$B$15)*MIN(Mkt!AM79,AL79*(1+Inputs!$B$18))),AL79)))</f>
        <v>1373.8655</v>
      </c>
      <c r="AN79" s="11" t="n">
        <f aca="false">IF(AN$1&lt;Units!$P78,0,IF(AND(Units!$K78=0,AN$1=Units!$O78),Units!$R78,IF(AND(AN$1&gt;=Units!$Q78,MOD(AN$1-Units!$Q78,12)=0),IF(AND(Units!$L78=1,AN$1=Units!$Q78),IF(Units!$J78&lt;&gt;"",Units!$J78,Mkt!AN79),Inputs!$B$15*Mkt!AN79+(1-Inputs!$B$15)*MIN(Mkt!AN79,AM79*(1+Inputs!$B$18))),AM79)))</f>
        <v>1373.8655</v>
      </c>
      <c r="AO79" s="11" t="n">
        <f aca="false">IF(AO$1&lt;Units!$P78,0,IF(AND(Units!$K78=0,AO$1=Units!$O78),Units!$R78,IF(AND(AO$1&gt;=Units!$Q78,MOD(AO$1-Units!$Q78,12)=0),IF(AND(Units!$L78=1,AO$1=Units!$Q78),IF(Units!$J78&lt;&gt;"",Units!$J78,Mkt!AO79),Inputs!$B$15*Mkt!AO79+(1-Inputs!$B$15)*MIN(Mkt!AO79,AN79*(1+Inputs!$B$18))),AN79)))</f>
        <v>1373.8655</v>
      </c>
      <c r="AP79" s="11" t="n">
        <f aca="false">IF(AP$1&lt;Units!$P78,0,IF(AND(Units!$K78=0,AP$1=Units!$O78),Units!$R78,IF(AND(AP$1&gt;=Units!$Q78,MOD(AP$1-Units!$Q78,12)=0),IF(AND(Units!$L78=1,AP$1=Units!$Q78),IF(Units!$J78&lt;&gt;"",Units!$J78,Mkt!AP79),Inputs!$B$15*Mkt!AP79+(1-Inputs!$B$15)*MIN(Mkt!AP79,AO79*(1+Inputs!$B$18))),AO79)))</f>
        <v>1373.8655</v>
      </c>
      <c r="AQ79" s="11" t="n">
        <f aca="false">IF(AQ$1&lt;Units!$P78,0,IF(AND(Units!$K78=0,AQ$1=Units!$O78),Units!$R78,IF(AND(AQ$1&gt;=Units!$Q78,MOD(AQ$1-Units!$Q78,12)=0),IF(AND(Units!$L78=1,AQ$1=Units!$Q78),IF(Units!$J78&lt;&gt;"",Units!$J78,Mkt!AQ79),Inputs!$B$15*Mkt!AQ79+(1-Inputs!$B$15)*MIN(Mkt!AQ79,AP79*(1+Inputs!$B$18))),AP79)))</f>
        <v>1373.8655</v>
      </c>
      <c r="AR79" s="11" t="n">
        <f aca="false">IF(AR$1&lt;Units!$P78,0,IF(AND(Units!$K78=0,AR$1=Units!$O78),Units!$R78,IF(AND(AR$1&gt;=Units!$Q78,MOD(AR$1-Units!$Q78,12)=0),IF(AND(Units!$L78=1,AR$1=Units!$Q78),IF(Units!$J78&lt;&gt;"",Units!$J78,Mkt!AR79),Inputs!$B$15*Mkt!AR79+(1-Inputs!$B$15)*MIN(Mkt!AR79,AQ79*(1+Inputs!$B$18))),AQ79)))</f>
        <v>1373.8655</v>
      </c>
      <c r="AS79" s="11" t="n">
        <f aca="false">IF(AS$1&lt;Units!$P78,0,IF(AND(Units!$K78=0,AS$1=Units!$O78),Units!$R78,IF(AND(AS$1&gt;=Units!$Q78,MOD(AS$1-Units!$Q78,12)=0),IF(AND(Units!$L78=1,AS$1=Units!$Q78),IF(Units!$J78&lt;&gt;"",Units!$J78,Mkt!AS79),Inputs!$B$15*Mkt!AS79+(1-Inputs!$B$15)*MIN(Mkt!AS79,AR79*(1+Inputs!$B$18))),AR79)))</f>
        <v>1373.8655</v>
      </c>
      <c r="AT79" s="11" t="n">
        <f aca="false">IF(AT$1&lt;Units!$P78,0,IF(AND(Units!$K78=0,AT$1=Units!$O78),Units!$R78,IF(AND(AT$1&gt;=Units!$Q78,MOD(AT$1-Units!$Q78,12)=0),IF(AND(Units!$L78=1,AT$1=Units!$Q78),IF(Units!$J78&lt;&gt;"",Units!$J78,Mkt!AT79),Inputs!$B$15*Mkt!AT79+(1-Inputs!$B$15)*MIN(Mkt!AT79,AS79*(1+Inputs!$B$18))),AS79)))</f>
        <v>1373.8655</v>
      </c>
      <c r="AU79" s="11" t="n">
        <f aca="false">IF(AU$1&lt;Units!$P78,0,IF(AND(Units!$K78=0,AU$1=Units!$O78),Units!$R78,IF(AND(AU$1&gt;=Units!$Q78,MOD(AU$1-Units!$Q78,12)=0),IF(AND(Units!$L78=1,AU$1=Units!$Q78),IF(Units!$J78&lt;&gt;"",Units!$J78,Mkt!AU79),Inputs!$B$15*Mkt!AU79+(1-Inputs!$B$15)*MIN(Mkt!AU79,AT79*(1+Inputs!$B$18))),AT79)))</f>
        <v>1415.081465</v>
      </c>
      <c r="AV79" s="11" t="n">
        <f aca="false">IF(AV$1&lt;Units!$P78,0,IF(AND(Units!$K78=0,AV$1=Units!$O78),Units!$R78,IF(AND(AV$1&gt;=Units!$Q78,MOD(AV$1-Units!$Q78,12)=0),IF(AND(Units!$L78=1,AV$1=Units!$Q78),IF(Units!$J78&lt;&gt;"",Units!$J78,Mkt!AV79),Inputs!$B$15*Mkt!AV79+(1-Inputs!$B$15)*MIN(Mkt!AV79,AU79*(1+Inputs!$B$18))),AU79)))</f>
        <v>1415.081465</v>
      </c>
      <c r="AW79" s="11" t="n">
        <f aca="false">IF(AW$1&lt;Units!$P78,0,IF(AND(Units!$K78=0,AW$1=Units!$O78),Units!$R78,IF(AND(AW$1&gt;=Units!$Q78,MOD(AW$1-Units!$Q78,12)=0),IF(AND(Units!$L78=1,AW$1=Units!$Q78),IF(Units!$J78&lt;&gt;"",Units!$J78,Mkt!AW79),Inputs!$B$15*Mkt!AW79+(1-Inputs!$B$15)*MIN(Mkt!AW79,AV79*(1+Inputs!$B$18))),AV79)))</f>
        <v>1415.081465</v>
      </c>
      <c r="AX79" s="11" t="n">
        <f aca="false">IF(AX$1&lt;Units!$P78,0,IF(AND(Units!$K78=0,AX$1=Units!$O78),Units!$R78,IF(AND(AX$1&gt;=Units!$Q78,MOD(AX$1-Units!$Q78,12)=0),IF(AND(Units!$L78=1,AX$1=Units!$Q78),IF(Units!$J78&lt;&gt;"",Units!$J78,Mkt!AX79),Inputs!$B$15*Mkt!AX79+(1-Inputs!$B$15)*MIN(Mkt!AX79,AW79*(1+Inputs!$B$18))),AW79)))</f>
        <v>1415.081465</v>
      </c>
      <c r="AY79" s="11" t="n">
        <f aca="false">IF(AY$1&lt;Units!$P78,0,IF(AND(Units!$K78=0,AY$1=Units!$O78),Units!$R78,IF(AND(AY$1&gt;=Units!$Q78,MOD(AY$1-Units!$Q78,12)=0),IF(AND(Units!$L78=1,AY$1=Units!$Q78),IF(Units!$J78&lt;&gt;"",Units!$J78,Mkt!AY79),Inputs!$B$15*Mkt!AY79+(1-Inputs!$B$15)*MIN(Mkt!AY79,AX79*(1+Inputs!$B$18))),AX79)))</f>
        <v>1415.081465</v>
      </c>
      <c r="AZ79" s="11" t="n">
        <f aca="false">IF(AZ$1&lt;Units!$P78,0,IF(AND(Units!$K78=0,AZ$1=Units!$O78),Units!$R78,IF(AND(AZ$1&gt;=Units!$Q78,MOD(AZ$1-Units!$Q78,12)=0),IF(AND(Units!$L78=1,AZ$1=Units!$Q78),IF(Units!$J78&lt;&gt;"",Units!$J78,Mkt!AZ79),Inputs!$B$15*Mkt!AZ79+(1-Inputs!$B$15)*MIN(Mkt!AZ79,AY79*(1+Inputs!$B$18))),AY79)))</f>
        <v>1415.081465</v>
      </c>
      <c r="BA79" s="11" t="n">
        <f aca="false">IF(BA$1&lt;Units!$P78,0,IF(AND(Units!$K78=0,BA$1=Units!$O78),Units!$R78,IF(AND(BA$1&gt;=Units!$Q78,MOD(BA$1-Units!$Q78,12)=0),IF(AND(Units!$L78=1,BA$1=Units!$Q78),IF(Units!$J78&lt;&gt;"",Units!$J78,Mkt!BA79),Inputs!$B$15*Mkt!BA79+(1-Inputs!$B$15)*MIN(Mkt!BA79,AZ79*(1+Inputs!$B$18))),AZ79)))</f>
        <v>1415.081465</v>
      </c>
      <c r="BB79" s="11" t="n">
        <f aca="false">IF(BB$1&lt;Units!$P78,0,IF(AND(Units!$K78=0,BB$1=Units!$O78),Units!$R78,IF(AND(BB$1&gt;=Units!$Q78,MOD(BB$1-Units!$Q78,12)=0),IF(AND(Units!$L78=1,BB$1=Units!$Q78),IF(Units!$J78&lt;&gt;"",Units!$J78,Mkt!BB79),Inputs!$B$15*Mkt!BB79+(1-Inputs!$B$15)*MIN(Mkt!BB79,BA79*(1+Inputs!$B$18))),BA79)))</f>
        <v>1415.081465</v>
      </c>
      <c r="BC79" s="11" t="n">
        <f aca="false">IF(BC$1&lt;Units!$P78,0,IF(AND(Units!$K78=0,BC$1=Units!$O78),Units!$R78,IF(AND(BC$1&gt;=Units!$Q78,MOD(BC$1-Units!$Q78,12)=0),IF(AND(Units!$L78=1,BC$1=Units!$Q78),IF(Units!$J78&lt;&gt;"",Units!$J78,Mkt!BC79),Inputs!$B$15*Mkt!BC79+(1-Inputs!$B$15)*MIN(Mkt!BC79,BB79*(1+Inputs!$B$18))),BB79)))</f>
        <v>1415.081465</v>
      </c>
      <c r="BD79" s="11" t="n">
        <f aca="false">IF(BD$1&lt;Units!$P78,0,IF(AND(Units!$K78=0,BD$1=Units!$O78),Units!$R78,IF(AND(BD$1&gt;=Units!$Q78,MOD(BD$1-Units!$Q78,12)=0),IF(AND(Units!$L78=1,BD$1=Units!$Q78),IF(Units!$J78&lt;&gt;"",Units!$J78,Mkt!BD79),Inputs!$B$15*Mkt!BD79+(1-Inputs!$B$15)*MIN(Mkt!BD79,BC79*(1+Inputs!$B$18))),BC79)))</f>
        <v>1415.081465</v>
      </c>
      <c r="BE79" s="11" t="n">
        <f aca="false">IF(BE$1&lt;Units!$P78,0,IF(AND(Units!$K78=0,BE$1=Units!$O78),Units!$R78,IF(AND(BE$1&gt;=Units!$Q78,MOD(BE$1-Units!$Q78,12)=0),IF(AND(Units!$L78=1,BE$1=Units!$Q78),IF(Units!$J78&lt;&gt;"",Units!$J78,Mkt!BE79),Inputs!$B$15*Mkt!BE79+(1-Inputs!$B$15)*MIN(Mkt!BE79,BD79*(1+Inputs!$B$18))),BD79)))</f>
        <v>1415.081465</v>
      </c>
      <c r="BF79" s="11" t="n">
        <f aca="false">IF(BF$1&lt;Units!$P78,0,IF(AND(Units!$K78=0,BF$1=Units!$O78),Units!$R78,IF(AND(BF$1&gt;=Units!$Q78,MOD(BF$1-Units!$Q78,12)=0),IF(AND(Units!$L78=1,BF$1=Units!$Q78),IF(Units!$J78&lt;&gt;"",Units!$J78,Mkt!BF79),Inputs!$B$15*Mkt!BF79+(1-Inputs!$B$15)*MIN(Mkt!BF79,BE79*(1+Inputs!$B$18))),BE79)))</f>
        <v>1415.081465</v>
      </c>
      <c r="BG79" s="11" t="n">
        <f aca="false">IF(BG$1&lt;Units!$P78,0,IF(AND(Units!$K78=0,BG$1=Units!$O78),Units!$R78,IF(AND(BG$1&gt;=Units!$Q78,MOD(BG$1-Units!$Q78,12)=0),IF(AND(Units!$L78=1,BG$1=Units!$Q78),IF(Units!$J78&lt;&gt;"",Units!$J78,Mkt!BG79),Inputs!$B$15*Mkt!BG79+(1-Inputs!$B$15)*MIN(Mkt!BG79,BF79*(1+Inputs!$B$18))),BF79)))</f>
        <v>1457.53390895</v>
      </c>
      <c r="BH79" s="11" t="n">
        <f aca="false">IF(BH$1&lt;Units!$P78,0,IF(AND(Units!$K78=0,BH$1=Units!$O78),Units!$R78,IF(AND(BH$1&gt;=Units!$Q78,MOD(BH$1-Units!$Q78,12)=0),IF(AND(Units!$L78=1,BH$1=Units!$Q78),IF(Units!$J78&lt;&gt;"",Units!$J78,Mkt!BH79),Inputs!$B$15*Mkt!BH79+(1-Inputs!$B$15)*MIN(Mkt!BH79,BG79*(1+Inputs!$B$18))),BG79)))</f>
        <v>1457.53390895</v>
      </c>
      <c r="BI79" s="11" t="n">
        <f aca="false">IF(BI$1&lt;Units!$P78,0,IF(AND(Units!$K78=0,BI$1=Units!$O78),Units!$R78,IF(AND(BI$1&gt;=Units!$Q78,MOD(BI$1-Units!$Q78,12)=0),IF(AND(Units!$L78=1,BI$1=Units!$Q78),IF(Units!$J78&lt;&gt;"",Units!$J78,Mkt!BI79),Inputs!$B$15*Mkt!BI79+(1-Inputs!$B$15)*MIN(Mkt!BI79,BH79*(1+Inputs!$B$18))),BH79)))</f>
        <v>1457.53390895</v>
      </c>
      <c r="BJ79" s="11" t="n">
        <f aca="false">IF(BJ$1&lt;Units!$P78,0,IF(AND(Units!$K78=0,BJ$1=Units!$O78),Units!$R78,IF(AND(BJ$1&gt;=Units!$Q78,MOD(BJ$1-Units!$Q78,12)=0),IF(AND(Units!$L78=1,BJ$1=Units!$Q78),IF(Units!$J78&lt;&gt;"",Units!$J78,Mkt!BJ79),Inputs!$B$15*Mkt!BJ79+(1-Inputs!$B$15)*MIN(Mkt!BJ79,BI79*(1+Inputs!$B$18))),BI79)))</f>
        <v>1457.53390895</v>
      </c>
      <c r="BK79" s="11" t="n">
        <f aca="false">IF(BK$1&lt;Units!$P78,0,IF(AND(Units!$K78=0,BK$1=Units!$O78),Units!$R78,IF(AND(BK$1&gt;=Units!$Q78,MOD(BK$1-Units!$Q78,12)=0),IF(AND(Units!$L78=1,BK$1=Units!$Q78),IF(Units!$J78&lt;&gt;"",Units!$J78,Mkt!BK79),Inputs!$B$15*Mkt!BK79+(1-Inputs!$B$15)*MIN(Mkt!BK79,BJ79*(1+Inputs!$B$18))),BJ79)))</f>
        <v>1457.53390895</v>
      </c>
      <c r="BL79" s="11" t="n">
        <f aca="false">IF(BL$1&lt;Units!$P78,0,IF(AND(Units!$K78=0,BL$1=Units!$O78),Units!$R78,IF(AND(BL$1&gt;=Units!$Q78,MOD(BL$1-Units!$Q78,12)=0),IF(AND(Units!$L78=1,BL$1=Units!$Q78),IF(Units!$J78&lt;&gt;"",Units!$J78,Mkt!BL79),Inputs!$B$15*Mkt!BL79+(1-Inputs!$B$15)*MIN(Mkt!BL79,BK79*(1+Inputs!$B$18))),BK79)))</f>
        <v>1457.53390895</v>
      </c>
      <c r="BM79" s="11" t="n">
        <f aca="false">IF(BM$1&lt;Units!$P78,0,IF(AND(Units!$K78=0,BM$1=Units!$O78),Units!$R78,IF(AND(BM$1&gt;=Units!$Q78,MOD(BM$1-Units!$Q78,12)=0),IF(AND(Units!$L78=1,BM$1=Units!$Q78),IF(Units!$J78&lt;&gt;"",Units!$J78,Mkt!BM79),Inputs!$B$15*Mkt!BM79+(1-Inputs!$B$15)*MIN(Mkt!BM79,BL79*(1+Inputs!$B$18))),BL79)))</f>
        <v>1457.53390895</v>
      </c>
      <c r="BN79" s="11" t="n">
        <f aca="false">IF(BN$1&lt;Units!$P78,0,IF(AND(Units!$K78=0,BN$1=Units!$O78),Units!$R78,IF(AND(BN$1&gt;=Units!$Q78,MOD(BN$1-Units!$Q78,12)=0),IF(AND(Units!$L78=1,BN$1=Units!$Q78),IF(Units!$J78&lt;&gt;"",Units!$J78,Mkt!BN79),Inputs!$B$15*Mkt!BN79+(1-Inputs!$B$15)*MIN(Mkt!BN79,BM79*(1+Inputs!$B$18))),BM79)))</f>
        <v>1457.53390895</v>
      </c>
      <c r="BO79" s="11" t="n">
        <f aca="false">IF(BO$1&lt;Units!$P78,0,IF(AND(Units!$K78=0,BO$1=Units!$O78),Units!$R78,IF(AND(BO$1&gt;=Units!$Q78,MOD(BO$1-Units!$Q78,12)=0),IF(AND(Units!$L78=1,BO$1=Units!$Q78),IF(Units!$J78&lt;&gt;"",Units!$J78,Mkt!BO79),Inputs!$B$15*Mkt!BO79+(1-Inputs!$B$15)*MIN(Mkt!BO79,BN79*(1+Inputs!$B$18))),BN79)))</f>
        <v>1457.53390895</v>
      </c>
      <c r="BP79" s="11" t="n">
        <f aca="false">IF(BP$1&lt;Units!$P78,0,IF(AND(Units!$K78=0,BP$1=Units!$O78),Units!$R78,IF(AND(BP$1&gt;=Units!$Q78,MOD(BP$1-Units!$Q78,12)=0),IF(AND(Units!$L78=1,BP$1=Units!$Q78),IF(Units!$J78&lt;&gt;"",Units!$J78,Mkt!BP79),Inputs!$B$15*Mkt!BP79+(1-Inputs!$B$15)*MIN(Mkt!BP79,BO79*(1+Inputs!$B$18))),BO79)))</f>
        <v>1457.53390895</v>
      </c>
      <c r="BQ79" s="11" t="n">
        <f aca="false">IF(BQ$1&lt;Units!$P78,0,IF(AND(Units!$K78=0,BQ$1=Units!$O78),Units!$R78,IF(AND(BQ$1&gt;=Units!$Q78,MOD(BQ$1-Units!$Q78,12)=0),IF(AND(Units!$L78=1,BQ$1=Units!$Q78),IF(Units!$J78&lt;&gt;"",Units!$J78,Mkt!BQ79),Inputs!$B$15*Mkt!BQ79+(1-Inputs!$B$15)*MIN(Mkt!BQ79,BP79*(1+Inputs!$B$18))),BP79)))</f>
        <v>1457.53390895</v>
      </c>
      <c r="BR79" s="11" t="n">
        <f aca="false">IF(BR$1&lt;Units!$P78,0,IF(AND(Units!$K78=0,BR$1=Units!$O78),Units!$R78,IF(AND(BR$1&gt;=Units!$Q78,MOD(BR$1-Units!$Q78,12)=0),IF(AND(Units!$L78=1,BR$1=Units!$Q78),IF(Units!$J78&lt;&gt;"",Units!$J78,Mkt!BR79),Inputs!$B$15*Mkt!BR79+(1-Inputs!$B$15)*MIN(Mkt!BR79,BQ79*(1+Inputs!$B$18))),BQ79)))</f>
        <v>1457.53390895</v>
      </c>
      <c r="BS79" s="11" t="n">
        <f aca="false">IF(BS$1&lt;Units!$P78,0,IF(AND(Units!$K78=0,BS$1=Units!$O78),Units!$R78,IF(AND(BS$1&gt;=Units!$Q78,MOD(BS$1-Units!$Q78,12)=0),IF(AND(Units!$L78=1,BS$1=Units!$Q78),IF(Units!$J78&lt;&gt;"",Units!$J78,Mkt!BS79),Inputs!$B$15*Mkt!BS79+(1-Inputs!$B$15)*MIN(Mkt!BS79,BR79*(1+Inputs!$B$18))),BR79)))</f>
        <v>1501.2599262185</v>
      </c>
      <c r="BT79" s="11" t="n">
        <f aca="false">IF(BT$1&lt;Units!$P78,0,IF(AND(Units!$K78=0,BT$1=Units!$O78),Units!$R78,IF(AND(BT$1&gt;=Units!$Q78,MOD(BT$1-Units!$Q78,12)=0),IF(AND(Units!$L78=1,BT$1=Units!$Q78),IF(Units!$J78&lt;&gt;"",Units!$J78,Mkt!BT79),Inputs!$B$15*Mkt!BT79+(1-Inputs!$B$15)*MIN(Mkt!BT79,BS79*(1+Inputs!$B$18))),BS79)))</f>
        <v>1501.2599262185</v>
      </c>
      <c r="BU79" s="11" t="n">
        <f aca="false">IF(BU$1&lt;Units!$P78,0,IF(AND(Units!$K78=0,BU$1=Units!$O78),Units!$R78,IF(AND(BU$1&gt;=Units!$Q78,MOD(BU$1-Units!$Q78,12)=0),IF(AND(Units!$L78=1,BU$1=Units!$Q78),IF(Units!$J78&lt;&gt;"",Units!$J78,Mkt!BU79),Inputs!$B$15*Mkt!BU79+(1-Inputs!$B$15)*MIN(Mkt!BU79,BT79*(1+Inputs!$B$18))),BT79)))</f>
        <v>1501.2599262185</v>
      </c>
      <c r="BV79" s="11" t="n">
        <f aca="false">IF(BV$1&lt;Units!$P78,0,IF(AND(Units!$K78=0,BV$1=Units!$O78),Units!$R78,IF(AND(BV$1&gt;=Units!$Q78,MOD(BV$1-Units!$Q78,12)=0),IF(AND(Units!$L78=1,BV$1=Units!$Q78),IF(Units!$J78&lt;&gt;"",Units!$J78,Mkt!BV79),Inputs!$B$15*Mkt!BV79+(1-Inputs!$B$15)*MIN(Mkt!BV79,BU79*(1+Inputs!$B$18))),BU79)))</f>
        <v>1501.2599262185</v>
      </c>
      <c r="BW79" s="11" t="n">
        <f aca="false">IF(BW$1&lt;Units!$P78,0,IF(AND(Units!$K78=0,BW$1=Units!$O78),Units!$R78,IF(AND(BW$1&gt;=Units!$Q78,MOD(BW$1-Units!$Q78,12)=0),IF(AND(Units!$L78=1,BW$1=Units!$Q78),IF(Units!$J78&lt;&gt;"",Units!$J78,Mkt!BW79),Inputs!$B$15*Mkt!BW79+(1-Inputs!$B$15)*MIN(Mkt!BW79,BV79*(1+Inputs!$B$18))),BV79)))</f>
        <v>1501.2599262185</v>
      </c>
      <c r="BX79" s="11" t="n">
        <f aca="false">IF(BX$1&lt;Units!$P78,0,IF(AND(Units!$K78=0,BX$1=Units!$O78),Units!$R78,IF(AND(BX$1&gt;=Units!$Q78,MOD(BX$1-Units!$Q78,12)=0),IF(AND(Units!$L78=1,BX$1=Units!$Q78),IF(Units!$J78&lt;&gt;"",Units!$J78,Mkt!BX79),Inputs!$B$15*Mkt!BX79+(1-Inputs!$B$15)*MIN(Mkt!BX79,BW79*(1+Inputs!$B$18))),BW79)))</f>
        <v>1501.2599262185</v>
      </c>
      <c r="BY79" s="11" t="n">
        <f aca="false">IF(BY$1&lt;Units!$P78,0,IF(AND(Units!$K78=0,BY$1=Units!$O78),Units!$R78,IF(AND(BY$1&gt;=Units!$Q78,MOD(BY$1-Units!$Q78,12)=0),IF(AND(Units!$L78=1,BY$1=Units!$Q78),IF(Units!$J78&lt;&gt;"",Units!$J78,Mkt!BY79),Inputs!$B$15*Mkt!BY79+(1-Inputs!$B$15)*MIN(Mkt!BY79,BX79*(1+Inputs!$B$18))),BX79)))</f>
        <v>1501.2599262185</v>
      </c>
      <c r="BZ79" s="11" t="n">
        <f aca="false">IF(BZ$1&lt;Units!$P78,0,IF(AND(Units!$K78=0,BZ$1=Units!$O78),Units!$R78,IF(AND(BZ$1&gt;=Units!$Q78,MOD(BZ$1-Units!$Q78,12)=0),IF(AND(Units!$L78=1,BZ$1=Units!$Q78),IF(Units!$J78&lt;&gt;"",Units!$J78,Mkt!BZ79),Inputs!$B$15*Mkt!BZ79+(1-Inputs!$B$15)*MIN(Mkt!BZ79,BY79*(1+Inputs!$B$18))),BY79)))</f>
        <v>1501.2599262185</v>
      </c>
      <c r="CA79" s="11" t="n">
        <f aca="false">IF(CA$1&lt;Units!$P78,0,IF(AND(Units!$K78=0,CA$1=Units!$O78),Units!$R78,IF(AND(CA$1&gt;=Units!$Q78,MOD(CA$1-Units!$Q78,12)=0),IF(AND(Units!$L78=1,CA$1=Units!$Q78),IF(Units!$J78&lt;&gt;"",Units!$J78,Mkt!CA79),Inputs!$B$15*Mkt!CA79+(1-Inputs!$B$15)*MIN(Mkt!CA79,BZ79*(1+Inputs!$B$18))),BZ79)))</f>
        <v>1501.2599262185</v>
      </c>
      <c r="CB79" s="11" t="n">
        <f aca="false">IF(CB$1&lt;Units!$P78,0,IF(AND(Units!$K78=0,CB$1=Units!$O78),Units!$R78,IF(AND(CB$1&gt;=Units!$Q78,MOD(CB$1-Units!$Q78,12)=0),IF(AND(Units!$L78=1,CB$1=Units!$Q78),IF(Units!$J78&lt;&gt;"",Units!$J78,Mkt!CB79),Inputs!$B$15*Mkt!CB79+(1-Inputs!$B$15)*MIN(Mkt!CB79,CA79*(1+Inputs!$B$18))),CA79)))</f>
        <v>1501.2599262185</v>
      </c>
      <c r="CC79" s="11" t="n">
        <f aca="false">IF(CC$1&lt;Units!$P78,0,IF(AND(Units!$K78=0,CC$1=Units!$O78),Units!$R78,IF(AND(CC$1&gt;=Units!$Q78,MOD(CC$1-Units!$Q78,12)=0),IF(AND(Units!$L78=1,CC$1=Units!$Q78),IF(Units!$J78&lt;&gt;"",Units!$J78,Mkt!CC79),Inputs!$B$15*Mkt!CC79+(1-Inputs!$B$15)*MIN(Mkt!CC79,CB79*(1+Inputs!$B$18))),CB79)))</f>
        <v>1501.2599262185</v>
      </c>
      <c r="CD79" s="11" t="n">
        <f aca="false">IF(CD$1&lt;Units!$P78,0,IF(AND(Units!$K78=0,CD$1=Units!$O78),Units!$R78,IF(AND(CD$1&gt;=Units!$Q78,MOD(CD$1-Units!$Q78,12)=0),IF(AND(Units!$L78=1,CD$1=Units!$Q78),IF(Units!$J78&lt;&gt;"",Units!$J78,Mkt!CD79),Inputs!$B$15*Mkt!CD79+(1-Inputs!$B$15)*MIN(Mkt!CD79,CC79*(1+Inputs!$B$18))),CC79)))</f>
        <v>1501.2599262185</v>
      </c>
      <c r="CE79" s="11" t="n">
        <f aca="false">IF(CE$1&lt;Units!$P78,0,IF(AND(Units!$K78=0,CE$1=Units!$O78),Units!$R78,IF(AND(CE$1&gt;=Units!$Q78,MOD(CE$1-Units!$Q78,12)=0),IF(AND(Units!$L78=1,CE$1=Units!$Q78),IF(Units!$J78&lt;&gt;"",Units!$J78,Mkt!CE79),Inputs!$B$15*Mkt!CE79+(1-Inputs!$B$15)*MIN(Mkt!CE79,CD79*(1+Inputs!$B$18))),CD79)))</f>
        <v>1546.29772400506</v>
      </c>
      <c r="CF79" s="11" t="n">
        <f aca="false">IF(CF$1&lt;Units!$P78,0,IF(AND(Units!$K78=0,CF$1=Units!$O78),Units!$R78,IF(AND(CF$1&gt;=Units!$Q78,MOD(CF$1-Units!$Q78,12)=0),IF(AND(Units!$L78=1,CF$1=Units!$Q78),IF(Units!$J78&lt;&gt;"",Units!$J78,Mkt!CF79),Inputs!$B$15*Mkt!CF79+(1-Inputs!$B$15)*MIN(Mkt!CF79,CE79*(1+Inputs!$B$18))),CE79)))</f>
        <v>1546.29772400506</v>
      </c>
      <c r="CG79" s="11" t="n">
        <f aca="false">IF(CG$1&lt;Units!$P78,0,IF(AND(Units!$K78=0,CG$1=Units!$O78),Units!$R78,IF(AND(CG$1&gt;=Units!$Q78,MOD(CG$1-Units!$Q78,12)=0),IF(AND(Units!$L78=1,CG$1=Units!$Q78),IF(Units!$J78&lt;&gt;"",Units!$J78,Mkt!CG79),Inputs!$B$15*Mkt!CG79+(1-Inputs!$B$15)*MIN(Mkt!CG79,CF79*(1+Inputs!$B$18))),CF79)))</f>
        <v>1546.29772400506</v>
      </c>
      <c r="CH79" s="11" t="n">
        <f aca="false">IF(CH$1&lt;Units!$P78,0,IF(AND(Units!$K78=0,CH$1=Units!$O78),Units!$R78,IF(AND(CH$1&gt;=Units!$Q78,MOD(CH$1-Units!$Q78,12)=0),IF(AND(Units!$L78=1,CH$1=Units!$Q78),IF(Units!$J78&lt;&gt;"",Units!$J78,Mkt!CH79),Inputs!$B$15*Mkt!CH79+(1-Inputs!$B$15)*MIN(Mkt!CH79,CG79*(1+Inputs!$B$18))),CG79)))</f>
        <v>1546.29772400506</v>
      </c>
      <c r="CI79" s="11" t="n">
        <f aca="false">IF(CI$1&lt;Units!$P78,0,IF(AND(Units!$K78=0,CI$1=Units!$O78),Units!$R78,IF(AND(CI$1&gt;=Units!$Q78,MOD(CI$1-Units!$Q78,12)=0),IF(AND(Units!$L78=1,CI$1=Units!$Q78),IF(Units!$J78&lt;&gt;"",Units!$J78,Mkt!CI79),Inputs!$B$15*Mkt!CI79+(1-Inputs!$B$15)*MIN(Mkt!CI79,CH79*(1+Inputs!$B$18))),CH79)))</f>
        <v>1546.29772400506</v>
      </c>
      <c r="CJ79" s="11" t="n">
        <f aca="false">IF(CJ$1&lt;Units!$P78,0,IF(AND(Units!$K78=0,CJ$1=Units!$O78),Units!$R78,IF(AND(CJ$1&gt;=Units!$Q78,MOD(CJ$1-Units!$Q78,12)=0),IF(AND(Units!$L78=1,CJ$1=Units!$Q78),IF(Units!$J78&lt;&gt;"",Units!$J78,Mkt!CJ79),Inputs!$B$15*Mkt!CJ79+(1-Inputs!$B$15)*MIN(Mkt!CJ79,CI79*(1+Inputs!$B$18))),CI79)))</f>
        <v>1546.29772400506</v>
      </c>
      <c r="CK79" s="11" t="n">
        <f aca="false">IF(CK$1&lt;Units!$P78,0,IF(AND(Units!$K78=0,CK$1=Units!$O78),Units!$R78,IF(AND(CK$1&gt;=Units!$Q78,MOD(CK$1-Units!$Q78,12)=0),IF(AND(Units!$L78=1,CK$1=Units!$Q78),IF(Units!$J78&lt;&gt;"",Units!$J78,Mkt!CK79),Inputs!$B$15*Mkt!CK79+(1-Inputs!$B$15)*MIN(Mkt!CK79,CJ79*(1+Inputs!$B$18))),CJ79)))</f>
        <v>1546.29772400506</v>
      </c>
      <c r="CL79" s="11" t="n">
        <f aca="false">IF(CL$1&lt;Units!$P78,0,IF(AND(Units!$K78=0,CL$1=Units!$O78),Units!$R78,IF(AND(CL$1&gt;=Units!$Q78,MOD(CL$1-Units!$Q78,12)=0),IF(AND(Units!$L78=1,CL$1=Units!$Q78),IF(Units!$J78&lt;&gt;"",Units!$J78,Mkt!CL79),Inputs!$B$15*Mkt!CL79+(1-Inputs!$B$15)*MIN(Mkt!CL79,CK79*(1+Inputs!$B$18))),CK79)))</f>
        <v>1546.29772400506</v>
      </c>
      <c r="CM79" s="11" t="n">
        <f aca="false">IF(CM$1&lt;Units!$P78,0,IF(AND(Units!$K78=0,CM$1=Units!$O78),Units!$R78,IF(AND(CM$1&gt;=Units!$Q78,MOD(CM$1-Units!$Q78,12)=0),IF(AND(Units!$L78=1,CM$1=Units!$Q78),IF(Units!$J78&lt;&gt;"",Units!$J78,Mkt!CM79),Inputs!$B$15*Mkt!CM79+(1-Inputs!$B$15)*MIN(Mkt!CM79,CL79*(1+Inputs!$B$18))),CL79)))</f>
        <v>1546.29772400506</v>
      </c>
      <c r="CN79" s="11" t="n">
        <f aca="false">IF(CN$1&lt;Units!$P78,0,IF(AND(Units!$K78=0,CN$1=Units!$O78),Units!$R78,IF(AND(CN$1&gt;=Units!$Q78,MOD(CN$1-Units!$Q78,12)=0),IF(AND(Units!$L78=1,CN$1=Units!$Q78),IF(Units!$J78&lt;&gt;"",Units!$J78,Mkt!CN79),Inputs!$B$15*Mkt!CN79+(1-Inputs!$B$15)*MIN(Mkt!CN79,CM79*(1+Inputs!$B$18))),CM79)))</f>
        <v>1546.29772400506</v>
      </c>
      <c r="CO79" s="11" t="n">
        <f aca="false">IF(CO$1&lt;Units!$P78,0,IF(AND(Units!$K78=0,CO$1=Units!$O78),Units!$R78,IF(AND(CO$1&gt;=Units!$Q78,MOD(CO$1-Units!$Q78,12)=0),IF(AND(Units!$L78=1,CO$1=Units!$Q78),IF(Units!$J78&lt;&gt;"",Units!$J78,Mkt!CO79),Inputs!$B$15*Mkt!CO79+(1-Inputs!$B$15)*MIN(Mkt!CO79,CN79*(1+Inputs!$B$18))),CN79)))</f>
        <v>1546.29772400506</v>
      </c>
      <c r="CP79" s="11" t="n">
        <f aca="false">IF(CP$1&lt;Units!$P78,0,IF(AND(Units!$K78=0,CP$1=Units!$O78),Units!$R78,IF(AND(CP$1&gt;=Units!$Q78,MOD(CP$1-Units!$Q78,12)=0),IF(AND(Units!$L78=1,CP$1=Units!$Q78),IF(Units!$J78&lt;&gt;"",Units!$J78,Mkt!CP79),Inputs!$B$15*Mkt!CP79+(1-Inputs!$B$15)*MIN(Mkt!CP79,CO79*(1+Inputs!$B$18))),CO79)))</f>
        <v>1546.29772400506</v>
      </c>
      <c r="CQ79" s="11" t="n">
        <f aca="false">IF(CQ$1&lt;Units!$P78,0,IF(AND(Units!$K78=0,CQ$1=Units!$O78),Units!$R78,IF(AND(CQ$1&gt;=Units!$Q78,MOD(CQ$1-Units!$Q78,12)=0),IF(AND(Units!$L78=1,CQ$1=Units!$Q78),IF(Units!$J78&lt;&gt;"",Units!$J78,Mkt!CQ79),Inputs!$B$15*Mkt!CQ79+(1-Inputs!$B$15)*MIN(Mkt!CQ79,CP79*(1+Inputs!$B$18))),CP79)))</f>
        <v>1592.68665572521</v>
      </c>
      <c r="CR79" s="11" t="n">
        <f aca="false">IF(CR$1&lt;Units!$P78,0,IF(AND(Units!$K78=0,CR$1=Units!$O78),Units!$R78,IF(AND(CR$1&gt;=Units!$Q78,MOD(CR$1-Units!$Q78,12)=0),IF(AND(Units!$L78=1,CR$1=Units!$Q78),IF(Units!$J78&lt;&gt;"",Units!$J78,Mkt!CR79),Inputs!$B$15*Mkt!CR79+(1-Inputs!$B$15)*MIN(Mkt!CR79,CQ79*(1+Inputs!$B$18))),CQ79)))</f>
        <v>1592.68665572521</v>
      </c>
      <c r="CS79" s="11" t="n">
        <f aca="false">IF(CS$1&lt;Units!$P78,0,IF(AND(Units!$K78=0,CS$1=Units!$O78),Units!$R78,IF(AND(CS$1&gt;=Units!$Q78,MOD(CS$1-Units!$Q78,12)=0),IF(AND(Units!$L78=1,CS$1=Units!$Q78),IF(Units!$J78&lt;&gt;"",Units!$J78,Mkt!CS79),Inputs!$B$15*Mkt!CS79+(1-Inputs!$B$15)*MIN(Mkt!CS79,CR79*(1+Inputs!$B$18))),CR79)))</f>
        <v>1592.68665572521</v>
      </c>
      <c r="CT79" s="11" t="n">
        <f aca="false">IF(CT$1&lt;Units!$P78,0,IF(AND(Units!$K78=0,CT$1=Units!$O78),Units!$R78,IF(AND(CT$1&gt;=Units!$Q78,MOD(CT$1-Units!$Q78,12)=0),IF(AND(Units!$L78=1,CT$1=Units!$Q78),IF(Units!$J78&lt;&gt;"",Units!$J78,Mkt!CT79),Inputs!$B$15*Mkt!CT79+(1-Inputs!$B$15)*MIN(Mkt!CT79,CS79*(1+Inputs!$B$18))),CS79)))</f>
        <v>1592.68665572521</v>
      </c>
      <c r="CU79" s="11" t="n">
        <f aca="false">IF(CU$1&lt;Units!$P78,0,IF(AND(Units!$K78=0,CU$1=Units!$O78),Units!$R78,IF(AND(CU$1&gt;=Units!$Q78,MOD(CU$1-Units!$Q78,12)=0),IF(AND(Units!$L78=1,CU$1=Units!$Q78),IF(Units!$J78&lt;&gt;"",Units!$J78,Mkt!CU79),Inputs!$B$15*Mkt!CU79+(1-Inputs!$B$15)*MIN(Mkt!CU79,CT79*(1+Inputs!$B$18))),CT79)))</f>
        <v>1592.68665572521</v>
      </c>
      <c r="CV79" s="11" t="n">
        <f aca="false">IF(CV$1&lt;Units!$P78,0,IF(AND(Units!$K78=0,CV$1=Units!$O78),Units!$R78,IF(AND(CV$1&gt;=Units!$Q78,MOD(CV$1-Units!$Q78,12)=0),IF(AND(Units!$L78=1,CV$1=Units!$Q78),IF(Units!$J78&lt;&gt;"",Units!$J78,Mkt!CV79),Inputs!$B$15*Mkt!CV79+(1-Inputs!$B$15)*MIN(Mkt!CV79,CU79*(1+Inputs!$B$18))),CU79)))</f>
        <v>1592.68665572521</v>
      </c>
      <c r="CW79" s="11" t="n">
        <f aca="false">IF(CW$1&lt;Units!$P78,0,IF(AND(Units!$K78=0,CW$1=Units!$O78),Units!$R78,IF(AND(CW$1&gt;=Units!$Q78,MOD(CW$1-Units!$Q78,12)=0),IF(AND(Units!$L78=1,CW$1=Units!$Q78),IF(Units!$J78&lt;&gt;"",Units!$J78,Mkt!CW79),Inputs!$B$15*Mkt!CW79+(1-Inputs!$B$15)*MIN(Mkt!CW79,CV79*(1+Inputs!$B$18))),CV79)))</f>
        <v>1592.68665572521</v>
      </c>
      <c r="CX79" s="11" t="n">
        <f aca="false">IF(CX$1&lt;Units!$P78,0,IF(AND(Units!$K78=0,CX$1=Units!$O78),Units!$R78,IF(AND(CX$1&gt;=Units!$Q78,MOD(CX$1-Units!$Q78,12)=0),IF(AND(Units!$L78=1,CX$1=Units!$Q78),IF(Units!$J78&lt;&gt;"",Units!$J78,Mkt!CX79),Inputs!$B$15*Mkt!CX79+(1-Inputs!$B$15)*MIN(Mkt!CX79,CW79*(1+Inputs!$B$18))),CW79)))</f>
        <v>1592.68665572521</v>
      </c>
      <c r="CY79" s="11" t="n">
        <f aca="false">IF(CY$1&lt;Units!$P78,0,IF(AND(Units!$K78=0,CY$1=Units!$O78),Units!$R78,IF(AND(CY$1&gt;=Units!$Q78,MOD(CY$1-Units!$Q78,12)=0),IF(AND(Units!$L78=1,CY$1=Units!$Q78),IF(Units!$J78&lt;&gt;"",Units!$J78,Mkt!CY79),Inputs!$B$15*Mkt!CY79+(1-Inputs!$B$15)*MIN(Mkt!CY79,CX79*(1+Inputs!$B$18))),CX79)))</f>
        <v>1592.68665572521</v>
      </c>
      <c r="CZ79" s="11" t="n">
        <f aca="false">IF(CZ$1&lt;Units!$P78,0,IF(AND(Units!$K78=0,CZ$1=Units!$O78),Units!$R78,IF(AND(CZ$1&gt;=Units!$Q78,MOD(CZ$1-Units!$Q78,12)=0),IF(AND(Units!$L78=1,CZ$1=Units!$Q78),IF(Units!$J78&lt;&gt;"",Units!$J78,Mkt!CZ79),Inputs!$B$15*Mkt!CZ79+(1-Inputs!$B$15)*MIN(Mkt!CZ79,CY79*(1+Inputs!$B$18))),CY79)))</f>
        <v>1592.68665572521</v>
      </c>
      <c r="DA79" s="11" t="n">
        <f aca="false">IF(DA$1&lt;Units!$P78,0,IF(AND(Units!$K78=0,DA$1=Units!$O78),Units!$R78,IF(AND(DA$1&gt;=Units!$Q78,MOD(DA$1-Units!$Q78,12)=0),IF(AND(Units!$L78=1,DA$1=Units!$Q78),IF(Units!$J78&lt;&gt;"",Units!$J78,Mkt!DA79),Inputs!$B$15*Mkt!DA79+(1-Inputs!$B$15)*MIN(Mkt!DA79,CZ79*(1+Inputs!$B$18))),CZ79)))</f>
        <v>1592.68665572521</v>
      </c>
      <c r="DB79" s="11" t="n">
        <f aca="false">IF(DB$1&lt;Units!$P78,0,IF(AND(Units!$K78=0,DB$1=Units!$O78),Units!$R78,IF(AND(DB$1&gt;=Units!$Q78,MOD(DB$1-Units!$Q78,12)=0),IF(AND(Units!$L78=1,DB$1=Units!$Q78),IF(Units!$J78&lt;&gt;"",Units!$J78,Mkt!DB79),Inputs!$B$15*Mkt!DB79+(1-Inputs!$B$15)*MIN(Mkt!DB79,DA79*(1+Inputs!$B$18))),DA79)))</f>
        <v>1592.68665572521</v>
      </c>
      <c r="DC79" s="11" t="n">
        <f aca="false">IF(DC$1&lt;Units!$P78,0,IF(AND(Units!$K78=0,DC$1=Units!$O78),Units!$R78,IF(AND(DC$1&gt;=Units!$Q78,MOD(DC$1-Units!$Q78,12)=0),IF(AND(Units!$L78=1,DC$1=Units!$Q78),IF(Units!$J78&lt;&gt;"",Units!$J78,Mkt!DC79),Inputs!$B$15*Mkt!DC79+(1-Inputs!$B$15)*MIN(Mkt!DC79,DB79*(1+Inputs!$B$18))),DB79)))</f>
        <v>1640.46725539696</v>
      </c>
      <c r="DD79" s="11" t="n">
        <f aca="false">IF(DD$1&lt;Units!$P78,0,IF(AND(Units!$K78=0,DD$1=Units!$O78),Units!$R78,IF(AND(DD$1&gt;=Units!$Q78,MOD(DD$1-Units!$Q78,12)=0),IF(AND(Units!$L78=1,DD$1=Units!$Q78),IF(Units!$J78&lt;&gt;"",Units!$J78,Mkt!DD79),Inputs!$B$15*Mkt!DD79+(1-Inputs!$B$15)*MIN(Mkt!DD79,DC79*(1+Inputs!$B$18))),DC79)))</f>
        <v>1640.46725539696</v>
      </c>
      <c r="DE79" s="11" t="n">
        <f aca="false">IF(DE$1&lt;Units!$P78,0,IF(AND(Units!$K78=0,DE$1=Units!$O78),Units!$R78,IF(AND(DE$1&gt;=Units!$Q78,MOD(DE$1-Units!$Q78,12)=0),IF(AND(Units!$L78=1,DE$1=Units!$Q78),IF(Units!$J78&lt;&gt;"",Units!$J78,Mkt!DE79),Inputs!$B$15*Mkt!DE79+(1-Inputs!$B$15)*MIN(Mkt!DE79,DD79*(1+Inputs!$B$18))),DD79)))</f>
        <v>1640.46725539696</v>
      </c>
      <c r="DF79" s="11" t="n">
        <f aca="false">IF(DF$1&lt;Units!$P78,0,IF(AND(Units!$K78=0,DF$1=Units!$O78),Units!$R78,IF(AND(DF$1&gt;=Units!$Q78,MOD(DF$1-Units!$Q78,12)=0),IF(AND(Units!$L78=1,DF$1=Units!$Q78),IF(Units!$J78&lt;&gt;"",Units!$J78,Mkt!DF79),Inputs!$B$15*Mkt!DF79+(1-Inputs!$B$15)*MIN(Mkt!DF79,DE79*(1+Inputs!$B$18))),DE79)))</f>
        <v>1640.46725539696</v>
      </c>
      <c r="DG79" s="11" t="n">
        <f aca="false">IF(DG$1&lt;Units!$P78,0,IF(AND(Units!$K78=0,DG$1=Units!$O78),Units!$R78,IF(AND(DG$1&gt;=Units!$Q78,MOD(DG$1-Units!$Q78,12)=0),IF(AND(Units!$L78=1,DG$1=Units!$Q78),IF(Units!$J78&lt;&gt;"",Units!$J78,Mkt!DG79),Inputs!$B$15*Mkt!DG79+(1-Inputs!$B$15)*MIN(Mkt!DG79,DF79*(1+Inputs!$B$18))),DF79)))</f>
        <v>1640.46725539696</v>
      </c>
      <c r="DH79" s="11" t="n">
        <f aca="false">IF(DH$1&lt;Units!$P78,0,IF(AND(Units!$K78=0,DH$1=Units!$O78),Units!$R78,IF(AND(DH$1&gt;=Units!$Q78,MOD(DH$1-Units!$Q78,12)=0),IF(AND(Units!$L78=1,DH$1=Units!$Q78),IF(Units!$J78&lt;&gt;"",Units!$J78,Mkt!DH79),Inputs!$B$15*Mkt!DH79+(1-Inputs!$B$15)*MIN(Mkt!DH79,DG79*(1+Inputs!$B$18))),DG79)))</f>
        <v>1640.46725539696</v>
      </c>
      <c r="DI79" s="11" t="n">
        <f aca="false">IF(DI$1&lt;Units!$P78,0,IF(AND(Units!$K78=0,DI$1=Units!$O78),Units!$R78,IF(AND(DI$1&gt;=Units!$Q78,MOD(DI$1-Units!$Q78,12)=0),IF(AND(Units!$L78=1,DI$1=Units!$Q78),IF(Units!$J78&lt;&gt;"",Units!$J78,Mkt!DI79),Inputs!$B$15*Mkt!DI79+(1-Inputs!$B$15)*MIN(Mkt!DI79,DH79*(1+Inputs!$B$18))),DH79)))</f>
        <v>1640.46725539696</v>
      </c>
      <c r="DJ79" s="11" t="n">
        <f aca="false">IF(DJ$1&lt;Units!$P78,0,IF(AND(Units!$K78=0,DJ$1=Units!$O78),Units!$R78,IF(AND(DJ$1&gt;=Units!$Q78,MOD(DJ$1-Units!$Q78,12)=0),IF(AND(Units!$L78=1,DJ$1=Units!$Q78),IF(Units!$J78&lt;&gt;"",Units!$J78,Mkt!DJ79),Inputs!$B$15*Mkt!DJ79+(1-Inputs!$B$15)*MIN(Mkt!DJ79,DI79*(1+Inputs!$B$18))),DI79)))</f>
        <v>1640.46725539696</v>
      </c>
      <c r="DK79" s="11" t="n">
        <f aca="false">IF(DK$1&lt;Units!$P78,0,IF(AND(Units!$K78=0,DK$1=Units!$O78),Units!$R78,IF(AND(DK$1&gt;=Units!$Q78,MOD(DK$1-Units!$Q78,12)=0),IF(AND(Units!$L78=1,DK$1=Units!$Q78),IF(Units!$J78&lt;&gt;"",Units!$J78,Mkt!DK79),Inputs!$B$15*Mkt!DK79+(1-Inputs!$B$15)*MIN(Mkt!DK79,DJ79*(1+Inputs!$B$18))),DJ79)))</f>
        <v>1640.46725539696</v>
      </c>
      <c r="DL79" s="11" t="n">
        <f aca="false">IF(DL$1&lt;Units!$P78,0,IF(AND(Units!$K78=0,DL$1=Units!$O78),Units!$R78,IF(AND(DL$1&gt;=Units!$Q78,MOD(DL$1-Units!$Q78,12)=0),IF(AND(Units!$L78=1,DL$1=Units!$Q78),IF(Units!$J78&lt;&gt;"",Units!$J78,Mkt!DL79),Inputs!$B$15*Mkt!DL79+(1-Inputs!$B$15)*MIN(Mkt!DL79,DK79*(1+Inputs!$B$18))),DK79)))</f>
        <v>1640.46725539696</v>
      </c>
      <c r="DM79" s="11" t="n">
        <f aca="false">IF(DM$1&lt;Units!$P78,0,IF(AND(Units!$K78=0,DM$1=Units!$O78),Units!$R78,IF(AND(DM$1&gt;=Units!$Q78,MOD(DM$1-Units!$Q78,12)=0),IF(AND(Units!$L78=1,DM$1=Units!$Q78),IF(Units!$J78&lt;&gt;"",Units!$J78,Mkt!DM79),Inputs!$B$15*Mkt!DM79+(1-Inputs!$B$15)*MIN(Mkt!DM79,DL79*(1+Inputs!$B$18))),DL79)))</f>
        <v>1640.46725539696</v>
      </c>
      <c r="DN79" s="11" t="n">
        <f aca="false">IF(DN$1&lt;Units!$P78,0,IF(AND(Units!$K78=0,DN$1=Units!$O78),Units!$R78,IF(AND(DN$1&gt;=Units!$Q78,MOD(DN$1-Units!$Q78,12)=0),IF(AND(Units!$L78=1,DN$1=Units!$Q78),IF(Units!$J78&lt;&gt;"",Units!$J78,Mkt!DN79),Inputs!$B$15*Mkt!DN79+(1-Inputs!$B$15)*MIN(Mkt!DN79,DM79*(1+Inputs!$B$18))),DM79)))</f>
        <v>1640.46725539696</v>
      </c>
      <c r="DO79" s="11" t="n">
        <f aca="false">IF(DO$1&lt;Units!$P78,0,IF(AND(Units!$K78=0,DO$1=Units!$O78),Units!$R78,IF(AND(DO$1&gt;=Units!$Q78,MOD(DO$1-Units!$Q78,12)=0),IF(AND(Units!$L78=1,DO$1=Units!$Q78),IF(Units!$J78&lt;&gt;"",Units!$J78,Mkt!DO79),Inputs!$B$15*Mkt!DO79+(1-Inputs!$B$15)*MIN(Mkt!DO79,DN79*(1+Inputs!$B$18))),DN79)))</f>
        <v>1689.68127305887</v>
      </c>
      <c r="DP79" s="11" t="n">
        <f aca="false">IF(DP$1&lt;Units!$P78,0,IF(AND(Units!$K78=0,DP$1=Units!$O78),Units!$R78,IF(AND(DP$1&gt;=Units!$Q78,MOD(DP$1-Units!$Q78,12)=0),IF(AND(Units!$L78=1,DP$1=Units!$Q78),IF(Units!$J78&lt;&gt;"",Units!$J78,Mkt!DP79),Inputs!$B$15*Mkt!DP79+(1-Inputs!$B$15)*MIN(Mkt!DP79,DO79*(1+Inputs!$B$18))),DO79)))</f>
        <v>1689.68127305887</v>
      </c>
      <c r="DQ79" s="11" t="n">
        <f aca="false">IF(DQ$1&lt;Units!$P78,0,IF(AND(Units!$K78=0,DQ$1=Units!$O78),Units!$R78,IF(AND(DQ$1&gt;=Units!$Q78,MOD(DQ$1-Units!$Q78,12)=0),IF(AND(Units!$L78=1,DQ$1=Units!$Q78),IF(Units!$J78&lt;&gt;"",Units!$J78,Mkt!DQ79),Inputs!$B$15*Mkt!DQ79+(1-Inputs!$B$15)*MIN(Mkt!DQ79,DP79*(1+Inputs!$B$18))),DP79)))</f>
        <v>1689.68127305887</v>
      </c>
      <c r="DR79" s="11" t="n">
        <f aca="false">IF(DR$1&lt;Units!$P78,0,IF(AND(Units!$K78=0,DR$1=Units!$O78),Units!$R78,IF(AND(DR$1&gt;=Units!$Q78,MOD(DR$1-Units!$Q78,12)=0),IF(AND(Units!$L78=1,DR$1=Units!$Q78),IF(Units!$J78&lt;&gt;"",Units!$J78,Mkt!DR79),Inputs!$B$15*Mkt!DR79+(1-Inputs!$B$15)*MIN(Mkt!DR79,DQ79*(1+Inputs!$B$18))),DQ79)))</f>
        <v>1689.68127305887</v>
      </c>
      <c r="DS79" s="11" t="n">
        <f aca="false">IF(DS$1&lt;Units!$P78,0,IF(AND(Units!$K78=0,DS$1=Units!$O78),Units!$R78,IF(AND(DS$1&gt;=Units!$Q78,MOD(DS$1-Units!$Q78,12)=0),IF(AND(Units!$L78=1,DS$1=Units!$Q78),IF(Units!$J78&lt;&gt;"",Units!$J78,Mkt!DS79),Inputs!$B$15*Mkt!DS79+(1-Inputs!$B$15)*MIN(Mkt!DS79,DR79*(1+Inputs!$B$18))),DR79)))</f>
        <v>1689.68127305887</v>
      </c>
      <c r="DT79" s="11" t="n">
        <f aca="false">IF(DT$1&lt;Units!$P78,0,IF(AND(Units!$K78=0,DT$1=Units!$O78),Units!$R78,IF(AND(DT$1&gt;=Units!$Q78,MOD(DT$1-Units!$Q78,12)=0),IF(AND(Units!$L78=1,DT$1=Units!$Q78),IF(Units!$J78&lt;&gt;"",Units!$J78,Mkt!DT79),Inputs!$B$15*Mkt!DT79+(1-Inputs!$B$15)*MIN(Mkt!DT79,DS79*(1+Inputs!$B$18))),DS79)))</f>
        <v>1689.68127305887</v>
      </c>
      <c r="DU79" s="11" t="n">
        <f aca="false">IF(DU$1&lt;Units!$P78,0,IF(AND(Units!$K78=0,DU$1=Units!$O78),Units!$R78,IF(AND(DU$1&gt;=Units!$Q78,MOD(DU$1-Units!$Q78,12)=0),IF(AND(Units!$L78=1,DU$1=Units!$Q78),IF(Units!$J78&lt;&gt;"",Units!$J78,Mkt!DU79),Inputs!$B$15*Mkt!DU79+(1-Inputs!$B$15)*MIN(Mkt!DU79,DT79*(1+Inputs!$B$18))),DT79)))</f>
        <v>1689.68127305887</v>
      </c>
      <c r="DV79" s="11" t="n">
        <f aca="false">IF(DV$1&lt;Units!$P78,0,IF(AND(Units!$K78=0,DV$1=Units!$O78),Units!$R78,IF(AND(DV$1&gt;=Units!$Q78,MOD(DV$1-Units!$Q78,12)=0),IF(AND(Units!$L78=1,DV$1=Units!$Q78),IF(Units!$J78&lt;&gt;"",Units!$J78,Mkt!DV79),Inputs!$B$15*Mkt!DV79+(1-Inputs!$B$15)*MIN(Mkt!DV79,DU79*(1+Inputs!$B$18))),DU79)))</f>
        <v>1689.68127305887</v>
      </c>
      <c r="DW79" s="11" t="n">
        <f aca="false">IF(DW$1&lt;Units!$P78,0,IF(AND(Units!$K78=0,DW$1=Units!$O78),Units!$R78,IF(AND(DW$1&gt;=Units!$Q78,MOD(DW$1-Units!$Q78,12)=0),IF(AND(Units!$L78=1,DW$1=Units!$Q78),IF(Units!$J78&lt;&gt;"",Units!$J78,Mkt!DW79),Inputs!$B$15*Mkt!DW79+(1-Inputs!$B$15)*MIN(Mkt!DW79,DV79*(1+Inputs!$B$18))),DV79)))</f>
        <v>1689.68127305887</v>
      </c>
      <c r="DX79" s="11" t="n">
        <f aca="false">IF(DX$1&lt;Units!$P78,0,IF(AND(Units!$K78=0,DX$1=Units!$O78),Units!$R78,IF(AND(DX$1&gt;=Units!$Q78,MOD(DX$1-Units!$Q78,12)=0),IF(AND(Units!$L78=1,DX$1=Units!$Q78),IF(Units!$J78&lt;&gt;"",Units!$J78,Mkt!DX79),Inputs!$B$15*Mkt!DX79+(1-Inputs!$B$15)*MIN(Mkt!DX79,DW79*(1+Inputs!$B$18))),DW79)))</f>
        <v>1689.68127305887</v>
      </c>
      <c r="DY79" s="11" t="n">
        <f aca="false">IF(DY$1&lt;Units!$P78,0,IF(AND(Units!$K78=0,DY$1=Units!$O78),Units!$R78,IF(AND(DY$1&gt;=Units!$Q78,MOD(DY$1-Units!$Q78,12)=0),IF(AND(Units!$L78=1,DY$1=Units!$Q78),IF(Units!$J78&lt;&gt;"",Units!$J78,Mkt!DY79),Inputs!$B$15*Mkt!DY79+(1-Inputs!$B$15)*MIN(Mkt!DY79,DX79*(1+Inputs!$B$18))),DX79)))</f>
        <v>1689.68127305887</v>
      </c>
      <c r="DZ79" s="11" t="n">
        <f aca="false">IF(DZ$1&lt;Units!$P78,0,IF(AND(Units!$K78=0,DZ$1=Units!$O78),Units!$R78,IF(AND(DZ$1&gt;=Units!$Q78,MOD(DZ$1-Units!$Q78,12)=0),IF(AND(Units!$L78=1,DZ$1=Units!$Q78),IF(Units!$J78&lt;&gt;"",Units!$J78,Mkt!DZ79),Inputs!$B$15*Mkt!DZ79+(1-Inputs!$B$15)*MIN(Mkt!DZ79,DY79*(1+Inputs!$B$18))),DY79)))</f>
        <v>1689.68127305887</v>
      </c>
      <c r="EA79" s="11" t="n">
        <f aca="false">IF(EA$1&lt;Units!$P78,0,IF(AND(Units!$K78=0,EA$1=Units!$O78),Units!$R78,IF(AND(EA$1&gt;=Units!$Q78,MOD(EA$1-Units!$Q78,12)=0),IF(AND(Units!$L78=1,EA$1=Units!$Q78),IF(Units!$J78&lt;&gt;"",Units!$J78,Mkt!EA79),Inputs!$B$15*Mkt!EA79+(1-Inputs!$B$15)*MIN(Mkt!EA79,DZ79*(1+Inputs!$B$18))),DZ79)))</f>
        <v>1740.37171125064</v>
      </c>
      <c r="EB79" s="11" t="n">
        <f aca="false">IF(EB$1&lt;Units!$P78,0,IF(AND(Units!$K78=0,EB$1=Units!$O78),Units!$R78,IF(AND(EB$1&gt;=Units!$Q78,MOD(EB$1-Units!$Q78,12)=0),IF(AND(Units!$L78=1,EB$1=Units!$Q78),IF(Units!$J78&lt;&gt;"",Units!$J78,Mkt!EB79),Inputs!$B$15*Mkt!EB79+(1-Inputs!$B$15)*MIN(Mkt!EB79,EA79*(1+Inputs!$B$18))),EA79)))</f>
        <v>1740.37171125064</v>
      </c>
      <c r="EC79" s="11" t="n">
        <f aca="false">IF(EC$1&lt;Units!$P78,0,IF(AND(Units!$K78=0,EC$1=Units!$O78),Units!$R78,IF(AND(EC$1&gt;=Units!$Q78,MOD(EC$1-Units!$Q78,12)=0),IF(AND(Units!$L78=1,EC$1=Units!$Q78),IF(Units!$J78&lt;&gt;"",Units!$J78,Mkt!EC79),Inputs!$B$15*Mkt!EC79+(1-Inputs!$B$15)*MIN(Mkt!EC79,EB79*(1+Inputs!$B$18))),EB79)))</f>
        <v>1740.37171125064</v>
      </c>
      <c r="ED79" s="11" t="n">
        <f aca="false">IF(ED$1&lt;Units!$P78,0,IF(AND(Units!$K78=0,ED$1=Units!$O78),Units!$R78,IF(AND(ED$1&gt;=Units!$Q78,MOD(ED$1-Units!$Q78,12)=0),IF(AND(Units!$L78=1,ED$1=Units!$Q78),IF(Units!$J78&lt;&gt;"",Units!$J78,Mkt!ED79),Inputs!$B$15*Mkt!ED79+(1-Inputs!$B$15)*MIN(Mkt!ED79,EC79*(1+Inputs!$B$18))),EC79)))</f>
        <v>1740.37171125064</v>
      </c>
    </row>
    <row r="80" customFormat="false" ht="15" hidden="false" customHeight="false" outlineLevel="0" collapsed="false">
      <c r="A80" s="22" t="n">
        <f aca="false">Units!A79</f>
        <v>318</v>
      </c>
      <c r="B80" s="24" t="n">
        <f aca="false">IF(Units!K79=1,Units!F79,0)</f>
        <v>0</v>
      </c>
      <c r="C80" s="11" t="n">
        <f aca="false">IF(C$1&lt;Units!$P79,0,IF(AND(Units!$K79=0,C$1=Units!$O79),Units!$R79,IF(AND(C$1&gt;=Units!$Q79,MOD(C$1-Units!$Q79,12)=0),IF(AND(Units!$L79=1,C$1=Units!$Q79),IF(Units!$J79&lt;&gt;"",Units!$J79,Mkt!C80),Inputs!$B$15*Mkt!C80+(1-Inputs!$B$15)*MIN(Mkt!C80,B80*(1+Inputs!$B$18))),B80)))</f>
        <v>1295</v>
      </c>
      <c r="D80" s="11" t="n">
        <f aca="false">IF(D$1&lt;Units!$P79,0,IF(AND(Units!$K79=0,D$1=Units!$O79),Units!$R79,IF(AND(D$1&gt;=Units!$Q79,MOD(D$1-Units!$Q79,12)=0),IF(AND(Units!$L79=1,D$1=Units!$Q79),IF(Units!$J79&lt;&gt;"",Units!$J79,Mkt!D80),Inputs!$B$15*Mkt!D80+(1-Inputs!$B$15)*MIN(Mkt!D80,C80*(1+Inputs!$B$18))),C80)))</f>
        <v>1295</v>
      </c>
      <c r="E80" s="11" t="n">
        <f aca="false">IF(E$1&lt;Units!$P79,0,IF(AND(Units!$K79=0,E$1=Units!$O79),Units!$R79,IF(AND(E$1&gt;=Units!$Q79,MOD(E$1-Units!$Q79,12)=0),IF(AND(Units!$L79=1,E$1=Units!$Q79),IF(Units!$J79&lt;&gt;"",Units!$J79,Mkt!E80),Inputs!$B$15*Mkt!E80+(1-Inputs!$B$15)*MIN(Mkt!E80,D80*(1+Inputs!$B$18))),D80)))</f>
        <v>1295</v>
      </c>
      <c r="F80" s="11" t="n">
        <f aca="false">IF(F$1&lt;Units!$P79,0,IF(AND(Units!$K79=0,F$1=Units!$O79),Units!$R79,IF(AND(F$1&gt;=Units!$Q79,MOD(F$1-Units!$Q79,12)=0),IF(AND(Units!$L79=1,F$1=Units!$Q79),IF(Units!$J79&lt;&gt;"",Units!$J79,Mkt!F80),Inputs!$B$15*Mkt!F80+(1-Inputs!$B$15)*MIN(Mkt!F80,E80*(1+Inputs!$B$18))),E80)))</f>
        <v>1295</v>
      </c>
      <c r="G80" s="11" t="n">
        <f aca="false">IF(G$1&lt;Units!$P79,0,IF(AND(Units!$K79=0,G$1=Units!$O79),Units!$R79,IF(AND(G$1&gt;=Units!$Q79,MOD(G$1-Units!$Q79,12)=0),IF(AND(Units!$L79=1,G$1=Units!$Q79),IF(Units!$J79&lt;&gt;"",Units!$J79,Mkt!G80),Inputs!$B$15*Mkt!G80+(1-Inputs!$B$15)*MIN(Mkt!G80,F80*(1+Inputs!$B$18))),F80)))</f>
        <v>1295</v>
      </c>
      <c r="H80" s="11" t="n">
        <f aca="false">IF(H$1&lt;Units!$P79,0,IF(AND(Units!$K79=0,H$1=Units!$O79),Units!$R79,IF(AND(H$1&gt;=Units!$Q79,MOD(H$1-Units!$Q79,12)=0),IF(AND(Units!$L79=1,H$1=Units!$Q79),IF(Units!$J79&lt;&gt;"",Units!$J79,Mkt!H80),Inputs!$B$15*Mkt!H80+(1-Inputs!$B$15)*MIN(Mkt!H80,G80*(1+Inputs!$B$18))),G80)))</f>
        <v>1295</v>
      </c>
      <c r="I80" s="11" t="n">
        <f aca="false">IF(I$1&lt;Units!$P79,0,IF(AND(Units!$K79=0,I$1=Units!$O79),Units!$R79,IF(AND(I$1&gt;=Units!$Q79,MOD(I$1-Units!$Q79,12)=0),IF(AND(Units!$L79=1,I$1=Units!$Q79),IF(Units!$J79&lt;&gt;"",Units!$J79,Mkt!I80),Inputs!$B$15*Mkt!I80+(1-Inputs!$B$15)*MIN(Mkt!I80,H80*(1+Inputs!$B$18))),H80)))</f>
        <v>1295</v>
      </c>
      <c r="J80" s="11" t="n">
        <f aca="false">IF(J$1&lt;Units!$P79,0,IF(AND(Units!$K79=0,J$1=Units!$O79),Units!$R79,IF(AND(J$1&gt;=Units!$Q79,MOD(J$1-Units!$Q79,12)=0),IF(AND(Units!$L79=1,J$1=Units!$Q79),IF(Units!$J79&lt;&gt;"",Units!$J79,Mkt!J80),Inputs!$B$15*Mkt!J80+(1-Inputs!$B$15)*MIN(Mkt!J80,I80*(1+Inputs!$B$18))),I80)))</f>
        <v>1295</v>
      </c>
      <c r="K80" s="11" t="n">
        <f aca="false">IF(K$1&lt;Units!$P79,0,IF(AND(Units!$K79=0,K$1=Units!$O79),Units!$R79,IF(AND(K$1&gt;=Units!$Q79,MOD(K$1-Units!$Q79,12)=0),IF(AND(Units!$L79=1,K$1=Units!$Q79),IF(Units!$J79&lt;&gt;"",Units!$J79,Mkt!K80),Inputs!$B$15*Mkt!K80+(1-Inputs!$B$15)*MIN(Mkt!K80,J80*(1+Inputs!$B$18))),J80)))</f>
        <v>1295</v>
      </c>
      <c r="L80" s="11" t="n">
        <f aca="false">IF(L$1&lt;Units!$P79,0,IF(AND(Units!$K79=0,L$1=Units!$O79),Units!$R79,IF(AND(L$1&gt;=Units!$Q79,MOD(L$1-Units!$Q79,12)=0),IF(AND(Units!$L79=1,L$1=Units!$Q79),IF(Units!$J79&lt;&gt;"",Units!$J79,Mkt!L80),Inputs!$B$15*Mkt!L80+(1-Inputs!$B$15)*MIN(Mkt!L80,K80*(1+Inputs!$B$18))),K80)))</f>
        <v>1295</v>
      </c>
      <c r="M80" s="11" t="n">
        <f aca="false">IF(M$1&lt;Units!$P79,0,IF(AND(Units!$K79=0,M$1=Units!$O79),Units!$R79,IF(AND(M$1&gt;=Units!$Q79,MOD(M$1-Units!$Q79,12)=0),IF(AND(Units!$L79=1,M$1=Units!$Q79),IF(Units!$J79&lt;&gt;"",Units!$J79,Mkt!M80),Inputs!$B$15*Mkt!M80+(1-Inputs!$B$15)*MIN(Mkt!M80,L80*(1+Inputs!$B$18))),L80)))</f>
        <v>1295</v>
      </c>
      <c r="N80" s="11" t="n">
        <f aca="false">IF(N$1&lt;Units!$P79,0,IF(AND(Units!$K79=0,N$1=Units!$O79),Units!$R79,IF(AND(N$1&gt;=Units!$Q79,MOD(N$1-Units!$Q79,12)=0),IF(AND(Units!$L79=1,N$1=Units!$Q79),IF(Units!$J79&lt;&gt;"",Units!$J79,Mkt!N80),Inputs!$B$15*Mkt!N80+(1-Inputs!$B$15)*MIN(Mkt!N80,M80*(1+Inputs!$B$18))),M80)))</f>
        <v>1295</v>
      </c>
      <c r="O80" s="11" t="n">
        <f aca="false">IF(O$1&lt;Units!$P79,0,IF(AND(Units!$K79=0,O$1=Units!$O79),Units!$R79,IF(AND(O$1&gt;=Units!$Q79,MOD(O$1-Units!$Q79,12)=0),IF(AND(Units!$L79=1,O$1=Units!$Q79),IF(Units!$J79&lt;&gt;"",Units!$J79,Mkt!O80),Inputs!$B$15*Mkt!O80+(1-Inputs!$B$15)*MIN(Mkt!O80,N80*(1+Inputs!$B$18))),N80)))</f>
        <v>1333.85</v>
      </c>
      <c r="P80" s="11" t="n">
        <f aca="false">IF(P$1&lt;Units!$P79,0,IF(AND(Units!$K79=0,P$1=Units!$O79),Units!$R79,IF(AND(P$1&gt;=Units!$Q79,MOD(P$1-Units!$Q79,12)=0),IF(AND(Units!$L79=1,P$1=Units!$Q79),IF(Units!$J79&lt;&gt;"",Units!$J79,Mkt!P80),Inputs!$B$15*Mkt!P80+(1-Inputs!$B$15)*MIN(Mkt!P80,O80*(1+Inputs!$B$18))),O80)))</f>
        <v>1333.85</v>
      </c>
      <c r="Q80" s="11" t="n">
        <f aca="false">IF(Q$1&lt;Units!$P79,0,IF(AND(Units!$K79=0,Q$1=Units!$O79),Units!$R79,IF(AND(Q$1&gt;=Units!$Q79,MOD(Q$1-Units!$Q79,12)=0),IF(AND(Units!$L79=1,Q$1=Units!$Q79),IF(Units!$J79&lt;&gt;"",Units!$J79,Mkt!Q80),Inputs!$B$15*Mkt!Q80+(1-Inputs!$B$15)*MIN(Mkt!Q80,P80*(1+Inputs!$B$18))),P80)))</f>
        <v>1333.85</v>
      </c>
      <c r="R80" s="11" t="n">
        <f aca="false">IF(R$1&lt;Units!$P79,0,IF(AND(Units!$K79=0,R$1=Units!$O79),Units!$R79,IF(AND(R$1&gt;=Units!$Q79,MOD(R$1-Units!$Q79,12)=0),IF(AND(Units!$L79=1,R$1=Units!$Q79),IF(Units!$J79&lt;&gt;"",Units!$J79,Mkt!R80),Inputs!$B$15*Mkt!R80+(1-Inputs!$B$15)*MIN(Mkt!R80,Q80*(1+Inputs!$B$18))),Q80)))</f>
        <v>1333.85</v>
      </c>
      <c r="S80" s="11" t="n">
        <f aca="false">IF(S$1&lt;Units!$P79,0,IF(AND(Units!$K79=0,S$1=Units!$O79),Units!$R79,IF(AND(S$1&gt;=Units!$Q79,MOD(S$1-Units!$Q79,12)=0),IF(AND(Units!$L79=1,S$1=Units!$Q79),IF(Units!$J79&lt;&gt;"",Units!$J79,Mkt!S80),Inputs!$B$15*Mkt!S80+(1-Inputs!$B$15)*MIN(Mkt!S80,R80*(1+Inputs!$B$18))),R80)))</f>
        <v>1333.85</v>
      </c>
      <c r="T80" s="11" t="n">
        <f aca="false">IF(T$1&lt;Units!$P79,0,IF(AND(Units!$K79=0,T$1=Units!$O79),Units!$R79,IF(AND(T$1&gt;=Units!$Q79,MOD(T$1-Units!$Q79,12)=0),IF(AND(Units!$L79=1,T$1=Units!$Q79),IF(Units!$J79&lt;&gt;"",Units!$J79,Mkt!T80),Inputs!$B$15*Mkt!T80+(1-Inputs!$B$15)*MIN(Mkt!T80,S80*(1+Inputs!$B$18))),S80)))</f>
        <v>1333.85</v>
      </c>
      <c r="U80" s="11" t="n">
        <f aca="false">IF(U$1&lt;Units!$P79,0,IF(AND(Units!$K79=0,U$1=Units!$O79),Units!$R79,IF(AND(U$1&gt;=Units!$Q79,MOD(U$1-Units!$Q79,12)=0),IF(AND(Units!$L79=1,U$1=Units!$Q79),IF(Units!$J79&lt;&gt;"",Units!$J79,Mkt!U80),Inputs!$B$15*Mkt!U80+(1-Inputs!$B$15)*MIN(Mkt!U80,T80*(1+Inputs!$B$18))),T80)))</f>
        <v>1333.85</v>
      </c>
      <c r="V80" s="11" t="n">
        <f aca="false">IF(V$1&lt;Units!$P79,0,IF(AND(Units!$K79=0,V$1=Units!$O79),Units!$R79,IF(AND(V$1&gt;=Units!$Q79,MOD(V$1-Units!$Q79,12)=0),IF(AND(Units!$L79=1,V$1=Units!$Q79),IF(Units!$J79&lt;&gt;"",Units!$J79,Mkt!V80),Inputs!$B$15*Mkt!V80+(1-Inputs!$B$15)*MIN(Mkt!V80,U80*(1+Inputs!$B$18))),U80)))</f>
        <v>1333.85</v>
      </c>
      <c r="W80" s="11" t="n">
        <f aca="false">IF(W$1&lt;Units!$P79,0,IF(AND(Units!$K79=0,W$1=Units!$O79),Units!$R79,IF(AND(W$1&gt;=Units!$Q79,MOD(W$1-Units!$Q79,12)=0),IF(AND(Units!$L79=1,W$1=Units!$Q79),IF(Units!$J79&lt;&gt;"",Units!$J79,Mkt!W80),Inputs!$B$15*Mkt!W80+(1-Inputs!$B$15)*MIN(Mkt!W80,V80*(1+Inputs!$B$18))),V80)))</f>
        <v>1333.85</v>
      </c>
      <c r="X80" s="11" t="n">
        <f aca="false">IF(X$1&lt;Units!$P79,0,IF(AND(Units!$K79=0,X$1=Units!$O79),Units!$R79,IF(AND(X$1&gt;=Units!$Q79,MOD(X$1-Units!$Q79,12)=0),IF(AND(Units!$L79=1,X$1=Units!$Q79),IF(Units!$J79&lt;&gt;"",Units!$J79,Mkt!X80),Inputs!$B$15*Mkt!X80+(1-Inputs!$B$15)*MIN(Mkt!X80,W80*(1+Inputs!$B$18))),W80)))</f>
        <v>1333.85</v>
      </c>
      <c r="Y80" s="11" t="n">
        <f aca="false">IF(Y$1&lt;Units!$P79,0,IF(AND(Units!$K79=0,Y$1=Units!$O79),Units!$R79,IF(AND(Y$1&gt;=Units!$Q79,MOD(Y$1-Units!$Q79,12)=0),IF(AND(Units!$L79=1,Y$1=Units!$Q79),IF(Units!$J79&lt;&gt;"",Units!$J79,Mkt!Y80),Inputs!$B$15*Mkt!Y80+(1-Inputs!$B$15)*MIN(Mkt!Y80,X80*(1+Inputs!$B$18))),X80)))</f>
        <v>1333.85</v>
      </c>
      <c r="Z80" s="11" t="n">
        <f aca="false">IF(Z$1&lt;Units!$P79,0,IF(AND(Units!$K79=0,Z$1=Units!$O79),Units!$R79,IF(AND(Z$1&gt;=Units!$Q79,MOD(Z$1-Units!$Q79,12)=0),IF(AND(Units!$L79=1,Z$1=Units!$Q79),IF(Units!$J79&lt;&gt;"",Units!$J79,Mkt!Z80),Inputs!$B$15*Mkt!Z80+(1-Inputs!$B$15)*MIN(Mkt!Z80,Y80*(1+Inputs!$B$18))),Y80)))</f>
        <v>1333.85</v>
      </c>
      <c r="AA80" s="11" t="n">
        <f aca="false">IF(AA$1&lt;Units!$P79,0,IF(AND(Units!$K79=0,AA$1=Units!$O79),Units!$R79,IF(AND(AA$1&gt;=Units!$Q79,MOD(AA$1-Units!$Q79,12)=0),IF(AND(Units!$L79=1,AA$1=Units!$Q79),IF(Units!$J79&lt;&gt;"",Units!$J79,Mkt!AA80),Inputs!$B$15*Mkt!AA80+(1-Inputs!$B$15)*MIN(Mkt!AA80,Z80*(1+Inputs!$B$18))),Z80)))</f>
        <v>1373.8655</v>
      </c>
      <c r="AB80" s="11" t="n">
        <f aca="false">IF(AB$1&lt;Units!$P79,0,IF(AND(Units!$K79=0,AB$1=Units!$O79),Units!$R79,IF(AND(AB$1&gt;=Units!$Q79,MOD(AB$1-Units!$Q79,12)=0),IF(AND(Units!$L79=1,AB$1=Units!$Q79),IF(Units!$J79&lt;&gt;"",Units!$J79,Mkt!AB80),Inputs!$B$15*Mkt!AB80+(1-Inputs!$B$15)*MIN(Mkt!AB80,AA80*(1+Inputs!$B$18))),AA80)))</f>
        <v>1373.8655</v>
      </c>
      <c r="AC80" s="11" t="n">
        <f aca="false">IF(AC$1&lt;Units!$P79,0,IF(AND(Units!$K79=0,AC$1=Units!$O79),Units!$R79,IF(AND(AC$1&gt;=Units!$Q79,MOD(AC$1-Units!$Q79,12)=0),IF(AND(Units!$L79=1,AC$1=Units!$Q79),IF(Units!$J79&lt;&gt;"",Units!$J79,Mkt!AC80),Inputs!$B$15*Mkt!AC80+(1-Inputs!$B$15)*MIN(Mkt!AC80,AB80*(1+Inputs!$B$18))),AB80)))</f>
        <v>1373.8655</v>
      </c>
      <c r="AD80" s="11" t="n">
        <f aca="false">IF(AD$1&lt;Units!$P79,0,IF(AND(Units!$K79=0,AD$1=Units!$O79),Units!$R79,IF(AND(AD$1&gt;=Units!$Q79,MOD(AD$1-Units!$Q79,12)=0),IF(AND(Units!$L79=1,AD$1=Units!$Q79),IF(Units!$J79&lt;&gt;"",Units!$J79,Mkt!AD80),Inputs!$B$15*Mkt!AD80+(1-Inputs!$B$15)*MIN(Mkt!AD80,AC80*(1+Inputs!$B$18))),AC80)))</f>
        <v>1373.8655</v>
      </c>
      <c r="AE80" s="11" t="n">
        <f aca="false">IF(AE$1&lt;Units!$P79,0,IF(AND(Units!$K79=0,AE$1=Units!$O79),Units!$R79,IF(AND(AE$1&gt;=Units!$Q79,MOD(AE$1-Units!$Q79,12)=0),IF(AND(Units!$L79=1,AE$1=Units!$Q79),IF(Units!$J79&lt;&gt;"",Units!$J79,Mkt!AE80),Inputs!$B$15*Mkt!AE80+(1-Inputs!$B$15)*MIN(Mkt!AE80,AD80*(1+Inputs!$B$18))),AD80)))</f>
        <v>1373.8655</v>
      </c>
      <c r="AF80" s="11" t="n">
        <f aca="false">IF(AF$1&lt;Units!$P79,0,IF(AND(Units!$K79=0,AF$1=Units!$O79),Units!$R79,IF(AND(AF$1&gt;=Units!$Q79,MOD(AF$1-Units!$Q79,12)=0),IF(AND(Units!$L79=1,AF$1=Units!$Q79),IF(Units!$J79&lt;&gt;"",Units!$J79,Mkt!AF80),Inputs!$B$15*Mkt!AF80+(1-Inputs!$B$15)*MIN(Mkt!AF80,AE80*(1+Inputs!$B$18))),AE80)))</f>
        <v>1373.8655</v>
      </c>
      <c r="AG80" s="11" t="n">
        <f aca="false">IF(AG$1&lt;Units!$P79,0,IF(AND(Units!$K79=0,AG$1=Units!$O79),Units!$R79,IF(AND(AG$1&gt;=Units!$Q79,MOD(AG$1-Units!$Q79,12)=0),IF(AND(Units!$L79=1,AG$1=Units!$Q79),IF(Units!$J79&lt;&gt;"",Units!$J79,Mkt!AG80),Inputs!$B$15*Mkt!AG80+(1-Inputs!$B$15)*MIN(Mkt!AG80,AF80*(1+Inputs!$B$18))),AF80)))</f>
        <v>1373.8655</v>
      </c>
      <c r="AH80" s="11" t="n">
        <f aca="false">IF(AH$1&lt;Units!$P79,0,IF(AND(Units!$K79=0,AH$1=Units!$O79),Units!$R79,IF(AND(AH$1&gt;=Units!$Q79,MOD(AH$1-Units!$Q79,12)=0),IF(AND(Units!$L79=1,AH$1=Units!$Q79),IF(Units!$J79&lt;&gt;"",Units!$J79,Mkt!AH80),Inputs!$B$15*Mkt!AH80+(1-Inputs!$B$15)*MIN(Mkt!AH80,AG80*(1+Inputs!$B$18))),AG80)))</f>
        <v>1373.8655</v>
      </c>
      <c r="AI80" s="11" t="n">
        <f aca="false">IF(AI$1&lt;Units!$P79,0,IF(AND(Units!$K79=0,AI$1=Units!$O79),Units!$R79,IF(AND(AI$1&gt;=Units!$Q79,MOD(AI$1-Units!$Q79,12)=0),IF(AND(Units!$L79=1,AI$1=Units!$Q79),IF(Units!$J79&lt;&gt;"",Units!$J79,Mkt!AI80),Inputs!$B$15*Mkt!AI80+(1-Inputs!$B$15)*MIN(Mkt!AI80,AH80*(1+Inputs!$B$18))),AH80)))</f>
        <v>1373.8655</v>
      </c>
      <c r="AJ80" s="11" t="n">
        <f aca="false">IF(AJ$1&lt;Units!$P79,0,IF(AND(Units!$K79=0,AJ$1=Units!$O79),Units!$R79,IF(AND(AJ$1&gt;=Units!$Q79,MOD(AJ$1-Units!$Q79,12)=0),IF(AND(Units!$L79=1,AJ$1=Units!$Q79),IF(Units!$J79&lt;&gt;"",Units!$J79,Mkt!AJ80),Inputs!$B$15*Mkt!AJ80+(1-Inputs!$B$15)*MIN(Mkt!AJ80,AI80*(1+Inputs!$B$18))),AI80)))</f>
        <v>1373.8655</v>
      </c>
      <c r="AK80" s="11" t="n">
        <f aca="false">IF(AK$1&lt;Units!$P79,0,IF(AND(Units!$K79=0,AK$1=Units!$O79),Units!$R79,IF(AND(AK$1&gt;=Units!$Q79,MOD(AK$1-Units!$Q79,12)=0),IF(AND(Units!$L79=1,AK$1=Units!$Q79),IF(Units!$J79&lt;&gt;"",Units!$J79,Mkt!AK80),Inputs!$B$15*Mkt!AK80+(1-Inputs!$B$15)*MIN(Mkt!AK80,AJ80*(1+Inputs!$B$18))),AJ80)))</f>
        <v>1373.8655</v>
      </c>
      <c r="AL80" s="11" t="n">
        <f aca="false">IF(AL$1&lt;Units!$P79,0,IF(AND(Units!$K79=0,AL$1=Units!$O79),Units!$R79,IF(AND(AL$1&gt;=Units!$Q79,MOD(AL$1-Units!$Q79,12)=0),IF(AND(Units!$L79=1,AL$1=Units!$Q79),IF(Units!$J79&lt;&gt;"",Units!$J79,Mkt!AL80),Inputs!$B$15*Mkt!AL80+(1-Inputs!$B$15)*MIN(Mkt!AL80,AK80*(1+Inputs!$B$18))),AK80)))</f>
        <v>1373.8655</v>
      </c>
      <c r="AM80" s="11" t="n">
        <f aca="false">IF(AM$1&lt;Units!$P79,0,IF(AND(Units!$K79=0,AM$1=Units!$O79),Units!$R79,IF(AND(AM$1&gt;=Units!$Q79,MOD(AM$1-Units!$Q79,12)=0),IF(AND(Units!$L79=1,AM$1=Units!$Q79),IF(Units!$J79&lt;&gt;"",Units!$J79,Mkt!AM80),Inputs!$B$15*Mkt!AM80+(1-Inputs!$B$15)*MIN(Mkt!AM80,AL80*(1+Inputs!$B$18))),AL80)))</f>
        <v>1415.081465</v>
      </c>
      <c r="AN80" s="11" t="n">
        <f aca="false">IF(AN$1&lt;Units!$P79,0,IF(AND(Units!$K79=0,AN$1=Units!$O79),Units!$R79,IF(AND(AN$1&gt;=Units!$Q79,MOD(AN$1-Units!$Q79,12)=0),IF(AND(Units!$L79=1,AN$1=Units!$Q79),IF(Units!$J79&lt;&gt;"",Units!$J79,Mkt!AN80),Inputs!$B$15*Mkt!AN80+(1-Inputs!$B$15)*MIN(Mkt!AN80,AM80*(1+Inputs!$B$18))),AM80)))</f>
        <v>1415.081465</v>
      </c>
      <c r="AO80" s="11" t="n">
        <f aca="false">IF(AO$1&lt;Units!$P79,0,IF(AND(Units!$K79=0,AO$1=Units!$O79),Units!$R79,IF(AND(AO$1&gt;=Units!$Q79,MOD(AO$1-Units!$Q79,12)=0),IF(AND(Units!$L79=1,AO$1=Units!$Q79),IF(Units!$J79&lt;&gt;"",Units!$J79,Mkt!AO80),Inputs!$B$15*Mkt!AO80+(1-Inputs!$B$15)*MIN(Mkt!AO80,AN80*(1+Inputs!$B$18))),AN80)))</f>
        <v>1415.081465</v>
      </c>
      <c r="AP80" s="11" t="n">
        <f aca="false">IF(AP$1&lt;Units!$P79,0,IF(AND(Units!$K79=0,AP$1=Units!$O79),Units!$R79,IF(AND(AP$1&gt;=Units!$Q79,MOD(AP$1-Units!$Q79,12)=0),IF(AND(Units!$L79=1,AP$1=Units!$Q79),IF(Units!$J79&lt;&gt;"",Units!$J79,Mkt!AP80),Inputs!$B$15*Mkt!AP80+(1-Inputs!$B$15)*MIN(Mkt!AP80,AO80*(1+Inputs!$B$18))),AO80)))</f>
        <v>1415.081465</v>
      </c>
      <c r="AQ80" s="11" t="n">
        <f aca="false">IF(AQ$1&lt;Units!$P79,0,IF(AND(Units!$K79=0,AQ$1=Units!$O79),Units!$R79,IF(AND(AQ$1&gt;=Units!$Q79,MOD(AQ$1-Units!$Q79,12)=0),IF(AND(Units!$L79=1,AQ$1=Units!$Q79),IF(Units!$J79&lt;&gt;"",Units!$J79,Mkt!AQ80),Inputs!$B$15*Mkt!AQ80+(1-Inputs!$B$15)*MIN(Mkt!AQ80,AP80*(1+Inputs!$B$18))),AP80)))</f>
        <v>1415.081465</v>
      </c>
      <c r="AR80" s="11" t="n">
        <f aca="false">IF(AR$1&lt;Units!$P79,0,IF(AND(Units!$K79=0,AR$1=Units!$O79),Units!$R79,IF(AND(AR$1&gt;=Units!$Q79,MOD(AR$1-Units!$Q79,12)=0),IF(AND(Units!$L79=1,AR$1=Units!$Q79),IF(Units!$J79&lt;&gt;"",Units!$J79,Mkt!AR80),Inputs!$B$15*Mkt!AR80+(1-Inputs!$B$15)*MIN(Mkt!AR80,AQ80*(1+Inputs!$B$18))),AQ80)))</f>
        <v>1415.081465</v>
      </c>
      <c r="AS80" s="11" t="n">
        <f aca="false">IF(AS$1&lt;Units!$P79,0,IF(AND(Units!$K79=0,AS$1=Units!$O79),Units!$R79,IF(AND(AS$1&gt;=Units!$Q79,MOD(AS$1-Units!$Q79,12)=0),IF(AND(Units!$L79=1,AS$1=Units!$Q79),IF(Units!$J79&lt;&gt;"",Units!$J79,Mkt!AS80),Inputs!$B$15*Mkt!AS80+(1-Inputs!$B$15)*MIN(Mkt!AS80,AR80*(1+Inputs!$B$18))),AR80)))</f>
        <v>1415.081465</v>
      </c>
      <c r="AT80" s="11" t="n">
        <f aca="false">IF(AT$1&lt;Units!$P79,0,IF(AND(Units!$K79=0,AT$1=Units!$O79),Units!$R79,IF(AND(AT$1&gt;=Units!$Q79,MOD(AT$1-Units!$Q79,12)=0),IF(AND(Units!$L79=1,AT$1=Units!$Q79),IF(Units!$J79&lt;&gt;"",Units!$J79,Mkt!AT80),Inputs!$B$15*Mkt!AT80+(1-Inputs!$B$15)*MIN(Mkt!AT80,AS80*(1+Inputs!$B$18))),AS80)))</f>
        <v>1415.081465</v>
      </c>
      <c r="AU80" s="11" t="n">
        <f aca="false">IF(AU$1&lt;Units!$P79,0,IF(AND(Units!$K79=0,AU$1=Units!$O79),Units!$R79,IF(AND(AU$1&gt;=Units!$Q79,MOD(AU$1-Units!$Q79,12)=0),IF(AND(Units!$L79=1,AU$1=Units!$Q79),IF(Units!$J79&lt;&gt;"",Units!$J79,Mkt!AU80),Inputs!$B$15*Mkt!AU80+(1-Inputs!$B$15)*MIN(Mkt!AU80,AT80*(1+Inputs!$B$18))),AT80)))</f>
        <v>1415.081465</v>
      </c>
      <c r="AV80" s="11" t="n">
        <f aca="false">IF(AV$1&lt;Units!$P79,0,IF(AND(Units!$K79=0,AV$1=Units!$O79),Units!$R79,IF(AND(AV$1&gt;=Units!$Q79,MOD(AV$1-Units!$Q79,12)=0),IF(AND(Units!$L79=1,AV$1=Units!$Q79),IF(Units!$J79&lt;&gt;"",Units!$J79,Mkt!AV80),Inputs!$B$15*Mkt!AV80+(1-Inputs!$B$15)*MIN(Mkt!AV80,AU80*(1+Inputs!$B$18))),AU80)))</f>
        <v>1415.081465</v>
      </c>
      <c r="AW80" s="11" t="n">
        <f aca="false">IF(AW$1&lt;Units!$P79,0,IF(AND(Units!$K79=0,AW$1=Units!$O79),Units!$R79,IF(AND(AW$1&gt;=Units!$Q79,MOD(AW$1-Units!$Q79,12)=0),IF(AND(Units!$L79=1,AW$1=Units!$Q79),IF(Units!$J79&lt;&gt;"",Units!$J79,Mkt!AW80),Inputs!$B$15*Mkt!AW80+(1-Inputs!$B$15)*MIN(Mkt!AW80,AV80*(1+Inputs!$B$18))),AV80)))</f>
        <v>1415.081465</v>
      </c>
      <c r="AX80" s="11" t="n">
        <f aca="false">IF(AX$1&lt;Units!$P79,0,IF(AND(Units!$K79=0,AX$1=Units!$O79),Units!$R79,IF(AND(AX$1&gt;=Units!$Q79,MOD(AX$1-Units!$Q79,12)=0),IF(AND(Units!$L79=1,AX$1=Units!$Q79),IF(Units!$J79&lt;&gt;"",Units!$J79,Mkt!AX80),Inputs!$B$15*Mkt!AX80+(1-Inputs!$B$15)*MIN(Mkt!AX80,AW80*(1+Inputs!$B$18))),AW80)))</f>
        <v>1415.081465</v>
      </c>
      <c r="AY80" s="11" t="n">
        <f aca="false">IF(AY$1&lt;Units!$P79,0,IF(AND(Units!$K79=0,AY$1=Units!$O79),Units!$R79,IF(AND(AY$1&gt;=Units!$Q79,MOD(AY$1-Units!$Q79,12)=0),IF(AND(Units!$L79=1,AY$1=Units!$Q79),IF(Units!$J79&lt;&gt;"",Units!$J79,Mkt!AY80),Inputs!$B$15*Mkt!AY80+(1-Inputs!$B$15)*MIN(Mkt!AY80,AX80*(1+Inputs!$B$18))),AX80)))</f>
        <v>1457.53390895</v>
      </c>
      <c r="AZ80" s="11" t="n">
        <f aca="false">IF(AZ$1&lt;Units!$P79,0,IF(AND(Units!$K79=0,AZ$1=Units!$O79),Units!$R79,IF(AND(AZ$1&gt;=Units!$Q79,MOD(AZ$1-Units!$Q79,12)=0),IF(AND(Units!$L79=1,AZ$1=Units!$Q79),IF(Units!$J79&lt;&gt;"",Units!$J79,Mkt!AZ80),Inputs!$B$15*Mkt!AZ80+(1-Inputs!$B$15)*MIN(Mkt!AZ80,AY80*(1+Inputs!$B$18))),AY80)))</f>
        <v>1457.53390895</v>
      </c>
      <c r="BA80" s="11" t="n">
        <f aca="false">IF(BA$1&lt;Units!$P79,0,IF(AND(Units!$K79=0,BA$1=Units!$O79),Units!$R79,IF(AND(BA$1&gt;=Units!$Q79,MOD(BA$1-Units!$Q79,12)=0),IF(AND(Units!$L79=1,BA$1=Units!$Q79),IF(Units!$J79&lt;&gt;"",Units!$J79,Mkt!BA80),Inputs!$B$15*Mkt!BA80+(1-Inputs!$B$15)*MIN(Mkt!BA80,AZ80*(1+Inputs!$B$18))),AZ80)))</f>
        <v>1457.53390895</v>
      </c>
      <c r="BB80" s="11" t="n">
        <f aca="false">IF(BB$1&lt;Units!$P79,0,IF(AND(Units!$K79=0,BB$1=Units!$O79),Units!$R79,IF(AND(BB$1&gt;=Units!$Q79,MOD(BB$1-Units!$Q79,12)=0),IF(AND(Units!$L79=1,BB$1=Units!$Q79),IF(Units!$J79&lt;&gt;"",Units!$J79,Mkt!BB80),Inputs!$B$15*Mkt!BB80+(1-Inputs!$B$15)*MIN(Mkt!BB80,BA80*(1+Inputs!$B$18))),BA80)))</f>
        <v>1457.53390895</v>
      </c>
      <c r="BC80" s="11" t="n">
        <f aca="false">IF(BC$1&lt;Units!$P79,0,IF(AND(Units!$K79=0,BC$1=Units!$O79),Units!$R79,IF(AND(BC$1&gt;=Units!$Q79,MOD(BC$1-Units!$Q79,12)=0),IF(AND(Units!$L79=1,BC$1=Units!$Q79),IF(Units!$J79&lt;&gt;"",Units!$J79,Mkt!BC80),Inputs!$B$15*Mkt!BC80+(1-Inputs!$B$15)*MIN(Mkt!BC80,BB80*(1+Inputs!$B$18))),BB80)))</f>
        <v>1457.53390895</v>
      </c>
      <c r="BD80" s="11" t="n">
        <f aca="false">IF(BD$1&lt;Units!$P79,0,IF(AND(Units!$K79=0,BD$1=Units!$O79),Units!$R79,IF(AND(BD$1&gt;=Units!$Q79,MOD(BD$1-Units!$Q79,12)=0),IF(AND(Units!$L79=1,BD$1=Units!$Q79),IF(Units!$J79&lt;&gt;"",Units!$J79,Mkt!BD80),Inputs!$B$15*Mkt!BD80+(1-Inputs!$B$15)*MIN(Mkt!BD80,BC80*(1+Inputs!$B$18))),BC80)))</f>
        <v>1457.53390895</v>
      </c>
      <c r="BE80" s="11" t="n">
        <f aca="false">IF(BE$1&lt;Units!$P79,0,IF(AND(Units!$K79=0,BE$1=Units!$O79),Units!$R79,IF(AND(BE$1&gt;=Units!$Q79,MOD(BE$1-Units!$Q79,12)=0),IF(AND(Units!$L79=1,BE$1=Units!$Q79),IF(Units!$J79&lt;&gt;"",Units!$J79,Mkt!BE80),Inputs!$B$15*Mkt!BE80+(1-Inputs!$B$15)*MIN(Mkt!BE80,BD80*(1+Inputs!$B$18))),BD80)))</f>
        <v>1457.53390895</v>
      </c>
      <c r="BF80" s="11" t="n">
        <f aca="false">IF(BF$1&lt;Units!$P79,0,IF(AND(Units!$K79=0,BF$1=Units!$O79),Units!$R79,IF(AND(BF$1&gt;=Units!$Q79,MOD(BF$1-Units!$Q79,12)=0),IF(AND(Units!$L79=1,BF$1=Units!$Q79),IF(Units!$J79&lt;&gt;"",Units!$J79,Mkt!BF80),Inputs!$B$15*Mkt!BF80+(1-Inputs!$B$15)*MIN(Mkt!BF80,BE80*(1+Inputs!$B$18))),BE80)))</f>
        <v>1457.53390895</v>
      </c>
      <c r="BG80" s="11" t="n">
        <f aca="false">IF(BG$1&lt;Units!$P79,0,IF(AND(Units!$K79=0,BG$1=Units!$O79),Units!$R79,IF(AND(BG$1&gt;=Units!$Q79,MOD(BG$1-Units!$Q79,12)=0),IF(AND(Units!$L79=1,BG$1=Units!$Q79),IF(Units!$J79&lt;&gt;"",Units!$J79,Mkt!BG80),Inputs!$B$15*Mkt!BG80+(1-Inputs!$B$15)*MIN(Mkt!BG80,BF80*(1+Inputs!$B$18))),BF80)))</f>
        <v>1457.53390895</v>
      </c>
      <c r="BH80" s="11" t="n">
        <f aca="false">IF(BH$1&lt;Units!$P79,0,IF(AND(Units!$K79=0,BH$1=Units!$O79),Units!$R79,IF(AND(BH$1&gt;=Units!$Q79,MOD(BH$1-Units!$Q79,12)=0),IF(AND(Units!$L79=1,BH$1=Units!$Q79),IF(Units!$J79&lt;&gt;"",Units!$J79,Mkt!BH80),Inputs!$B$15*Mkt!BH80+(1-Inputs!$B$15)*MIN(Mkt!BH80,BG80*(1+Inputs!$B$18))),BG80)))</f>
        <v>1457.53390895</v>
      </c>
      <c r="BI80" s="11" t="n">
        <f aca="false">IF(BI$1&lt;Units!$P79,0,IF(AND(Units!$K79=0,BI$1=Units!$O79),Units!$R79,IF(AND(BI$1&gt;=Units!$Q79,MOD(BI$1-Units!$Q79,12)=0),IF(AND(Units!$L79=1,BI$1=Units!$Q79),IF(Units!$J79&lt;&gt;"",Units!$J79,Mkt!BI80),Inputs!$B$15*Mkt!BI80+(1-Inputs!$B$15)*MIN(Mkt!BI80,BH80*(1+Inputs!$B$18))),BH80)))</f>
        <v>1457.53390895</v>
      </c>
      <c r="BJ80" s="11" t="n">
        <f aca="false">IF(BJ$1&lt;Units!$P79,0,IF(AND(Units!$K79=0,BJ$1=Units!$O79),Units!$R79,IF(AND(BJ$1&gt;=Units!$Q79,MOD(BJ$1-Units!$Q79,12)=0),IF(AND(Units!$L79=1,BJ$1=Units!$Q79),IF(Units!$J79&lt;&gt;"",Units!$J79,Mkt!BJ80),Inputs!$B$15*Mkt!BJ80+(1-Inputs!$B$15)*MIN(Mkt!BJ80,BI80*(1+Inputs!$B$18))),BI80)))</f>
        <v>1457.53390895</v>
      </c>
      <c r="BK80" s="11" t="n">
        <f aca="false">IF(BK$1&lt;Units!$P79,0,IF(AND(Units!$K79=0,BK$1=Units!$O79),Units!$R79,IF(AND(BK$1&gt;=Units!$Q79,MOD(BK$1-Units!$Q79,12)=0),IF(AND(Units!$L79=1,BK$1=Units!$Q79),IF(Units!$J79&lt;&gt;"",Units!$J79,Mkt!BK80),Inputs!$B$15*Mkt!BK80+(1-Inputs!$B$15)*MIN(Mkt!BK80,BJ80*(1+Inputs!$B$18))),BJ80)))</f>
        <v>1501.2599262185</v>
      </c>
      <c r="BL80" s="11" t="n">
        <f aca="false">IF(BL$1&lt;Units!$P79,0,IF(AND(Units!$K79=0,BL$1=Units!$O79),Units!$R79,IF(AND(BL$1&gt;=Units!$Q79,MOD(BL$1-Units!$Q79,12)=0),IF(AND(Units!$L79=1,BL$1=Units!$Q79),IF(Units!$J79&lt;&gt;"",Units!$J79,Mkt!BL80),Inputs!$B$15*Mkt!BL80+(1-Inputs!$B$15)*MIN(Mkt!BL80,BK80*(1+Inputs!$B$18))),BK80)))</f>
        <v>1501.2599262185</v>
      </c>
      <c r="BM80" s="11" t="n">
        <f aca="false">IF(BM$1&lt;Units!$P79,0,IF(AND(Units!$K79=0,BM$1=Units!$O79),Units!$R79,IF(AND(BM$1&gt;=Units!$Q79,MOD(BM$1-Units!$Q79,12)=0),IF(AND(Units!$L79=1,BM$1=Units!$Q79),IF(Units!$J79&lt;&gt;"",Units!$J79,Mkt!BM80),Inputs!$B$15*Mkt!BM80+(1-Inputs!$B$15)*MIN(Mkt!BM80,BL80*(1+Inputs!$B$18))),BL80)))</f>
        <v>1501.2599262185</v>
      </c>
      <c r="BN80" s="11" t="n">
        <f aca="false">IF(BN$1&lt;Units!$P79,0,IF(AND(Units!$K79=0,BN$1=Units!$O79),Units!$R79,IF(AND(BN$1&gt;=Units!$Q79,MOD(BN$1-Units!$Q79,12)=0),IF(AND(Units!$L79=1,BN$1=Units!$Q79),IF(Units!$J79&lt;&gt;"",Units!$J79,Mkt!BN80),Inputs!$B$15*Mkt!BN80+(1-Inputs!$B$15)*MIN(Mkt!BN80,BM80*(1+Inputs!$B$18))),BM80)))</f>
        <v>1501.2599262185</v>
      </c>
      <c r="BO80" s="11" t="n">
        <f aca="false">IF(BO$1&lt;Units!$P79,0,IF(AND(Units!$K79=0,BO$1=Units!$O79),Units!$R79,IF(AND(BO$1&gt;=Units!$Q79,MOD(BO$1-Units!$Q79,12)=0),IF(AND(Units!$L79=1,BO$1=Units!$Q79),IF(Units!$J79&lt;&gt;"",Units!$J79,Mkt!BO80),Inputs!$B$15*Mkt!BO80+(1-Inputs!$B$15)*MIN(Mkt!BO80,BN80*(1+Inputs!$B$18))),BN80)))</f>
        <v>1501.2599262185</v>
      </c>
      <c r="BP80" s="11" t="n">
        <f aca="false">IF(BP$1&lt;Units!$P79,0,IF(AND(Units!$K79=0,BP$1=Units!$O79),Units!$R79,IF(AND(BP$1&gt;=Units!$Q79,MOD(BP$1-Units!$Q79,12)=0),IF(AND(Units!$L79=1,BP$1=Units!$Q79),IF(Units!$J79&lt;&gt;"",Units!$J79,Mkt!BP80),Inputs!$B$15*Mkt!BP80+(1-Inputs!$B$15)*MIN(Mkt!BP80,BO80*(1+Inputs!$B$18))),BO80)))</f>
        <v>1501.2599262185</v>
      </c>
      <c r="BQ80" s="11" t="n">
        <f aca="false">IF(BQ$1&lt;Units!$P79,0,IF(AND(Units!$K79=0,BQ$1=Units!$O79),Units!$R79,IF(AND(BQ$1&gt;=Units!$Q79,MOD(BQ$1-Units!$Q79,12)=0),IF(AND(Units!$L79=1,BQ$1=Units!$Q79),IF(Units!$J79&lt;&gt;"",Units!$J79,Mkt!BQ80),Inputs!$B$15*Mkt!BQ80+(1-Inputs!$B$15)*MIN(Mkt!BQ80,BP80*(1+Inputs!$B$18))),BP80)))</f>
        <v>1501.2599262185</v>
      </c>
      <c r="BR80" s="11" t="n">
        <f aca="false">IF(BR$1&lt;Units!$P79,0,IF(AND(Units!$K79=0,BR$1=Units!$O79),Units!$R79,IF(AND(BR$1&gt;=Units!$Q79,MOD(BR$1-Units!$Q79,12)=0),IF(AND(Units!$L79=1,BR$1=Units!$Q79),IF(Units!$J79&lt;&gt;"",Units!$J79,Mkt!BR80),Inputs!$B$15*Mkt!BR80+(1-Inputs!$B$15)*MIN(Mkt!BR80,BQ80*(1+Inputs!$B$18))),BQ80)))</f>
        <v>1501.2599262185</v>
      </c>
      <c r="BS80" s="11" t="n">
        <f aca="false">IF(BS$1&lt;Units!$P79,0,IF(AND(Units!$K79=0,BS$1=Units!$O79),Units!$R79,IF(AND(BS$1&gt;=Units!$Q79,MOD(BS$1-Units!$Q79,12)=0),IF(AND(Units!$L79=1,BS$1=Units!$Q79),IF(Units!$J79&lt;&gt;"",Units!$J79,Mkt!BS80),Inputs!$B$15*Mkt!BS80+(1-Inputs!$B$15)*MIN(Mkt!BS80,BR80*(1+Inputs!$B$18))),BR80)))</f>
        <v>1501.2599262185</v>
      </c>
      <c r="BT80" s="11" t="n">
        <f aca="false">IF(BT$1&lt;Units!$P79,0,IF(AND(Units!$K79=0,BT$1=Units!$O79),Units!$R79,IF(AND(BT$1&gt;=Units!$Q79,MOD(BT$1-Units!$Q79,12)=0),IF(AND(Units!$L79=1,BT$1=Units!$Q79),IF(Units!$J79&lt;&gt;"",Units!$J79,Mkt!BT80),Inputs!$B$15*Mkt!BT80+(1-Inputs!$B$15)*MIN(Mkt!BT80,BS80*(1+Inputs!$B$18))),BS80)))</f>
        <v>1501.2599262185</v>
      </c>
      <c r="BU80" s="11" t="n">
        <f aca="false">IF(BU$1&lt;Units!$P79,0,IF(AND(Units!$K79=0,BU$1=Units!$O79),Units!$R79,IF(AND(BU$1&gt;=Units!$Q79,MOD(BU$1-Units!$Q79,12)=0),IF(AND(Units!$L79=1,BU$1=Units!$Q79),IF(Units!$J79&lt;&gt;"",Units!$J79,Mkt!BU80),Inputs!$B$15*Mkt!BU80+(1-Inputs!$B$15)*MIN(Mkt!BU80,BT80*(1+Inputs!$B$18))),BT80)))</f>
        <v>1501.2599262185</v>
      </c>
      <c r="BV80" s="11" t="n">
        <f aca="false">IF(BV$1&lt;Units!$P79,0,IF(AND(Units!$K79=0,BV$1=Units!$O79),Units!$R79,IF(AND(BV$1&gt;=Units!$Q79,MOD(BV$1-Units!$Q79,12)=0),IF(AND(Units!$L79=1,BV$1=Units!$Q79),IF(Units!$J79&lt;&gt;"",Units!$J79,Mkt!BV80),Inputs!$B$15*Mkt!BV80+(1-Inputs!$B$15)*MIN(Mkt!BV80,BU80*(1+Inputs!$B$18))),BU80)))</f>
        <v>1501.2599262185</v>
      </c>
      <c r="BW80" s="11" t="n">
        <f aca="false">IF(BW$1&lt;Units!$P79,0,IF(AND(Units!$K79=0,BW$1=Units!$O79),Units!$R79,IF(AND(BW$1&gt;=Units!$Q79,MOD(BW$1-Units!$Q79,12)=0),IF(AND(Units!$L79=1,BW$1=Units!$Q79),IF(Units!$J79&lt;&gt;"",Units!$J79,Mkt!BW80),Inputs!$B$15*Mkt!BW80+(1-Inputs!$B$15)*MIN(Mkt!BW80,BV80*(1+Inputs!$B$18))),BV80)))</f>
        <v>1546.29772400506</v>
      </c>
      <c r="BX80" s="11" t="n">
        <f aca="false">IF(BX$1&lt;Units!$P79,0,IF(AND(Units!$K79=0,BX$1=Units!$O79),Units!$R79,IF(AND(BX$1&gt;=Units!$Q79,MOD(BX$1-Units!$Q79,12)=0),IF(AND(Units!$L79=1,BX$1=Units!$Q79),IF(Units!$J79&lt;&gt;"",Units!$J79,Mkt!BX80),Inputs!$B$15*Mkt!BX80+(1-Inputs!$B$15)*MIN(Mkt!BX80,BW80*(1+Inputs!$B$18))),BW80)))</f>
        <v>1546.29772400506</v>
      </c>
      <c r="BY80" s="11" t="n">
        <f aca="false">IF(BY$1&lt;Units!$P79,0,IF(AND(Units!$K79=0,BY$1=Units!$O79),Units!$R79,IF(AND(BY$1&gt;=Units!$Q79,MOD(BY$1-Units!$Q79,12)=0),IF(AND(Units!$L79=1,BY$1=Units!$Q79),IF(Units!$J79&lt;&gt;"",Units!$J79,Mkt!BY80),Inputs!$B$15*Mkt!BY80+(1-Inputs!$B$15)*MIN(Mkt!BY80,BX80*(1+Inputs!$B$18))),BX80)))</f>
        <v>1546.29772400506</v>
      </c>
      <c r="BZ80" s="11" t="n">
        <f aca="false">IF(BZ$1&lt;Units!$P79,0,IF(AND(Units!$K79=0,BZ$1=Units!$O79),Units!$R79,IF(AND(BZ$1&gt;=Units!$Q79,MOD(BZ$1-Units!$Q79,12)=0),IF(AND(Units!$L79=1,BZ$1=Units!$Q79),IF(Units!$J79&lt;&gt;"",Units!$J79,Mkt!BZ80),Inputs!$B$15*Mkt!BZ80+(1-Inputs!$B$15)*MIN(Mkt!BZ80,BY80*(1+Inputs!$B$18))),BY80)))</f>
        <v>1546.29772400506</v>
      </c>
      <c r="CA80" s="11" t="n">
        <f aca="false">IF(CA$1&lt;Units!$P79,0,IF(AND(Units!$K79=0,CA$1=Units!$O79),Units!$R79,IF(AND(CA$1&gt;=Units!$Q79,MOD(CA$1-Units!$Q79,12)=0),IF(AND(Units!$L79=1,CA$1=Units!$Q79),IF(Units!$J79&lt;&gt;"",Units!$J79,Mkt!CA80),Inputs!$B$15*Mkt!CA80+(1-Inputs!$B$15)*MIN(Mkt!CA80,BZ80*(1+Inputs!$B$18))),BZ80)))</f>
        <v>1546.29772400506</v>
      </c>
      <c r="CB80" s="11" t="n">
        <f aca="false">IF(CB$1&lt;Units!$P79,0,IF(AND(Units!$K79=0,CB$1=Units!$O79),Units!$R79,IF(AND(CB$1&gt;=Units!$Q79,MOD(CB$1-Units!$Q79,12)=0),IF(AND(Units!$L79=1,CB$1=Units!$Q79),IF(Units!$J79&lt;&gt;"",Units!$J79,Mkt!CB80),Inputs!$B$15*Mkt!CB80+(1-Inputs!$B$15)*MIN(Mkt!CB80,CA80*(1+Inputs!$B$18))),CA80)))</f>
        <v>1546.29772400506</v>
      </c>
      <c r="CC80" s="11" t="n">
        <f aca="false">IF(CC$1&lt;Units!$P79,0,IF(AND(Units!$K79=0,CC$1=Units!$O79),Units!$R79,IF(AND(CC$1&gt;=Units!$Q79,MOD(CC$1-Units!$Q79,12)=0),IF(AND(Units!$L79=1,CC$1=Units!$Q79),IF(Units!$J79&lt;&gt;"",Units!$J79,Mkt!CC80),Inputs!$B$15*Mkt!CC80+(1-Inputs!$B$15)*MIN(Mkt!CC80,CB80*(1+Inputs!$B$18))),CB80)))</f>
        <v>1546.29772400506</v>
      </c>
      <c r="CD80" s="11" t="n">
        <f aca="false">IF(CD$1&lt;Units!$P79,0,IF(AND(Units!$K79=0,CD$1=Units!$O79),Units!$R79,IF(AND(CD$1&gt;=Units!$Q79,MOD(CD$1-Units!$Q79,12)=0),IF(AND(Units!$L79=1,CD$1=Units!$Q79),IF(Units!$J79&lt;&gt;"",Units!$J79,Mkt!CD80),Inputs!$B$15*Mkt!CD80+(1-Inputs!$B$15)*MIN(Mkt!CD80,CC80*(1+Inputs!$B$18))),CC80)))</f>
        <v>1546.29772400506</v>
      </c>
      <c r="CE80" s="11" t="n">
        <f aca="false">IF(CE$1&lt;Units!$P79,0,IF(AND(Units!$K79=0,CE$1=Units!$O79),Units!$R79,IF(AND(CE$1&gt;=Units!$Q79,MOD(CE$1-Units!$Q79,12)=0),IF(AND(Units!$L79=1,CE$1=Units!$Q79),IF(Units!$J79&lt;&gt;"",Units!$J79,Mkt!CE80),Inputs!$B$15*Mkt!CE80+(1-Inputs!$B$15)*MIN(Mkt!CE80,CD80*(1+Inputs!$B$18))),CD80)))</f>
        <v>1546.29772400506</v>
      </c>
      <c r="CF80" s="11" t="n">
        <f aca="false">IF(CF$1&lt;Units!$P79,0,IF(AND(Units!$K79=0,CF$1=Units!$O79),Units!$R79,IF(AND(CF$1&gt;=Units!$Q79,MOD(CF$1-Units!$Q79,12)=0),IF(AND(Units!$L79=1,CF$1=Units!$Q79),IF(Units!$J79&lt;&gt;"",Units!$J79,Mkt!CF80),Inputs!$B$15*Mkt!CF80+(1-Inputs!$B$15)*MIN(Mkt!CF80,CE80*(1+Inputs!$B$18))),CE80)))</f>
        <v>1546.29772400506</v>
      </c>
      <c r="CG80" s="11" t="n">
        <f aca="false">IF(CG$1&lt;Units!$P79,0,IF(AND(Units!$K79=0,CG$1=Units!$O79),Units!$R79,IF(AND(CG$1&gt;=Units!$Q79,MOD(CG$1-Units!$Q79,12)=0),IF(AND(Units!$L79=1,CG$1=Units!$Q79),IF(Units!$J79&lt;&gt;"",Units!$J79,Mkt!CG80),Inputs!$B$15*Mkt!CG80+(1-Inputs!$B$15)*MIN(Mkt!CG80,CF80*(1+Inputs!$B$18))),CF80)))</f>
        <v>1546.29772400506</v>
      </c>
      <c r="CH80" s="11" t="n">
        <f aca="false">IF(CH$1&lt;Units!$P79,0,IF(AND(Units!$K79=0,CH$1=Units!$O79),Units!$R79,IF(AND(CH$1&gt;=Units!$Q79,MOD(CH$1-Units!$Q79,12)=0),IF(AND(Units!$L79=1,CH$1=Units!$Q79),IF(Units!$J79&lt;&gt;"",Units!$J79,Mkt!CH80),Inputs!$B$15*Mkt!CH80+(1-Inputs!$B$15)*MIN(Mkt!CH80,CG80*(1+Inputs!$B$18))),CG80)))</f>
        <v>1546.29772400506</v>
      </c>
      <c r="CI80" s="11" t="n">
        <f aca="false">IF(CI$1&lt;Units!$P79,0,IF(AND(Units!$K79=0,CI$1=Units!$O79),Units!$R79,IF(AND(CI$1&gt;=Units!$Q79,MOD(CI$1-Units!$Q79,12)=0),IF(AND(Units!$L79=1,CI$1=Units!$Q79),IF(Units!$J79&lt;&gt;"",Units!$J79,Mkt!CI80),Inputs!$B$15*Mkt!CI80+(1-Inputs!$B$15)*MIN(Mkt!CI80,CH80*(1+Inputs!$B$18))),CH80)))</f>
        <v>1592.68665572521</v>
      </c>
      <c r="CJ80" s="11" t="n">
        <f aca="false">IF(CJ$1&lt;Units!$P79,0,IF(AND(Units!$K79=0,CJ$1=Units!$O79),Units!$R79,IF(AND(CJ$1&gt;=Units!$Q79,MOD(CJ$1-Units!$Q79,12)=0),IF(AND(Units!$L79=1,CJ$1=Units!$Q79),IF(Units!$J79&lt;&gt;"",Units!$J79,Mkt!CJ80),Inputs!$B$15*Mkt!CJ80+(1-Inputs!$B$15)*MIN(Mkt!CJ80,CI80*(1+Inputs!$B$18))),CI80)))</f>
        <v>1592.68665572521</v>
      </c>
      <c r="CK80" s="11" t="n">
        <f aca="false">IF(CK$1&lt;Units!$P79,0,IF(AND(Units!$K79=0,CK$1=Units!$O79),Units!$R79,IF(AND(CK$1&gt;=Units!$Q79,MOD(CK$1-Units!$Q79,12)=0),IF(AND(Units!$L79=1,CK$1=Units!$Q79),IF(Units!$J79&lt;&gt;"",Units!$J79,Mkt!CK80),Inputs!$B$15*Mkt!CK80+(1-Inputs!$B$15)*MIN(Mkt!CK80,CJ80*(1+Inputs!$B$18))),CJ80)))</f>
        <v>1592.68665572521</v>
      </c>
      <c r="CL80" s="11" t="n">
        <f aca="false">IF(CL$1&lt;Units!$P79,0,IF(AND(Units!$K79=0,CL$1=Units!$O79),Units!$R79,IF(AND(CL$1&gt;=Units!$Q79,MOD(CL$1-Units!$Q79,12)=0),IF(AND(Units!$L79=1,CL$1=Units!$Q79),IF(Units!$J79&lt;&gt;"",Units!$J79,Mkt!CL80),Inputs!$B$15*Mkt!CL80+(1-Inputs!$B$15)*MIN(Mkt!CL80,CK80*(1+Inputs!$B$18))),CK80)))</f>
        <v>1592.68665572521</v>
      </c>
      <c r="CM80" s="11" t="n">
        <f aca="false">IF(CM$1&lt;Units!$P79,0,IF(AND(Units!$K79=0,CM$1=Units!$O79),Units!$R79,IF(AND(CM$1&gt;=Units!$Q79,MOD(CM$1-Units!$Q79,12)=0),IF(AND(Units!$L79=1,CM$1=Units!$Q79),IF(Units!$J79&lt;&gt;"",Units!$J79,Mkt!CM80),Inputs!$B$15*Mkt!CM80+(1-Inputs!$B$15)*MIN(Mkt!CM80,CL80*(1+Inputs!$B$18))),CL80)))</f>
        <v>1592.68665572521</v>
      </c>
      <c r="CN80" s="11" t="n">
        <f aca="false">IF(CN$1&lt;Units!$P79,0,IF(AND(Units!$K79=0,CN$1=Units!$O79),Units!$R79,IF(AND(CN$1&gt;=Units!$Q79,MOD(CN$1-Units!$Q79,12)=0),IF(AND(Units!$L79=1,CN$1=Units!$Q79),IF(Units!$J79&lt;&gt;"",Units!$J79,Mkt!CN80),Inputs!$B$15*Mkt!CN80+(1-Inputs!$B$15)*MIN(Mkt!CN80,CM80*(1+Inputs!$B$18))),CM80)))</f>
        <v>1592.68665572521</v>
      </c>
      <c r="CO80" s="11" t="n">
        <f aca="false">IF(CO$1&lt;Units!$P79,0,IF(AND(Units!$K79=0,CO$1=Units!$O79),Units!$R79,IF(AND(CO$1&gt;=Units!$Q79,MOD(CO$1-Units!$Q79,12)=0),IF(AND(Units!$L79=1,CO$1=Units!$Q79),IF(Units!$J79&lt;&gt;"",Units!$J79,Mkt!CO80),Inputs!$B$15*Mkt!CO80+(1-Inputs!$B$15)*MIN(Mkt!CO80,CN80*(1+Inputs!$B$18))),CN80)))</f>
        <v>1592.68665572521</v>
      </c>
      <c r="CP80" s="11" t="n">
        <f aca="false">IF(CP$1&lt;Units!$P79,0,IF(AND(Units!$K79=0,CP$1=Units!$O79),Units!$R79,IF(AND(CP$1&gt;=Units!$Q79,MOD(CP$1-Units!$Q79,12)=0),IF(AND(Units!$L79=1,CP$1=Units!$Q79),IF(Units!$J79&lt;&gt;"",Units!$J79,Mkt!CP80),Inputs!$B$15*Mkt!CP80+(1-Inputs!$B$15)*MIN(Mkt!CP80,CO80*(1+Inputs!$B$18))),CO80)))</f>
        <v>1592.68665572521</v>
      </c>
      <c r="CQ80" s="11" t="n">
        <f aca="false">IF(CQ$1&lt;Units!$P79,0,IF(AND(Units!$K79=0,CQ$1=Units!$O79),Units!$R79,IF(AND(CQ$1&gt;=Units!$Q79,MOD(CQ$1-Units!$Q79,12)=0),IF(AND(Units!$L79=1,CQ$1=Units!$Q79),IF(Units!$J79&lt;&gt;"",Units!$J79,Mkt!CQ80),Inputs!$B$15*Mkt!CQ80+(1-Inputs!$B$15)*MIN(Mkt!CQ80,CP80*(1+Inputs!$B$18))),CP80)))</f>
        <v>1592.68665572521</v>
      </c>
      <c r="CR80" s="11" t="n">
        <f aca="false">IF(CR$1&lt;Units!$P79,0,IF(AND(Units!$K79=0,CR$1=Units!$O79),Units!$R79,IF(AND(CR$1&gt;=Units!$Q79,MOD(CR$1-Units!$Q79,12)=0),IF(AND(Units!$L79=1,CR$1=Units!$Q79),IF(Units!$J79&lt;&gt;"",Units!$J79,Mkt!CR80),Inputs!$B$15*Mkt!CR80+(1-Inputs!$B$15)*MIN(Mkt!CR80,CQ80*(1+Inputs!$B$18))),CQ80)))</f>
        <v>1592.68665572521</v>
      </c>
      <c r="CS80" s="11" t="n">
        <f aca="false">IF(CS$1&lt;Units!$P79,0,IF(AND(Units!$K79=0,CS$1=Units!$O79),Units!$R79,IF(AND(CS$1&gt;=Units!$Q79,MOD(CS$1-Units!$Q79,12)=0),IF(AND(Units!$L79=1,CS$1=Units!$Q79),IF(Units!$J79&lt;&gt;"",Units!$J79,Mkt!CS80),Inputs!$B$15*Mkt!CS80+(1-Inputs!$B$15)*MIN(Mkt!CS80,CR80*(1+Inputs!$B$18))),CR80)))</f>
        <v>1592.68665572521</v>
      </c>
      <c r="CT80" s="11" t="n">
        <f aca="false">IF(CT$1&lt;Units!$P79,0,IF(AND(Units!$K79=0,CT$1=Units!$O79),Units!$R79,IF(AND(CT$1&gt;=Units!$Q79,MOD(CT$1-Units!$Q79,12)=0),IF(AND(Units!$L79=1,CT$1=Units!$Q79),IF(Units!$J79&lt;&gt;"",Units!$J79,Mkt!CT80),Inputs!$B$15*Mkt!CT80+(1-Inputs!$B$15)*MIN(Mkt!CT80,CS80*(1+Inputs!$B$18))),CS80)))</f>
        <v>1592.68665572521</v>
      </c>
      <c r="CU80" s="11" t="n">
        <f aca="false">IF(CU$1&lt;Units!$P79,0,IF(AND(Units!$K79=0,CU$1=Units!$O79),Units!$R79,IF(AND(CU$1&gt;=Units!$Q79,MOD(CU$1-Units!$Q79,12)=0),IF(AND(Units!$L79=1,CU$1=Units!$Q79),IF(Units!$J79&lt;&gt;"",Units!$J79,Mkt!CU80),Inputs!$B$15*Mkt!CU80+(1-Inputs!$B$15)*MIN(Mkt!CU80,CT80*(1+Inputs!$B$18))),CT80)))</f>
        <v>1640.46725539696</v>
      </c>
      <c r="CV80" s="11" t="n">
        <f aca="false">IF(CV$1&lt;Units!$P79,0,IF(AND(Units!$K79=0,CV$1=Units!$O79),Units!$R79,IF(AND(CV$1&gt;=Units!$Q79,MOD(CV$1-Units!$Q79,12)=0),IF(AND(Units!$L79=1,CV$1=Units!$Q79),IF(Units!$J79&lt;&gt;"",Units!$J79,Mkt!CV80),Inputs!$B$15*Mkt!CV80+(1-Inputs!$B$15)*MIN(Mkt!CV80,CU80*(1+Inputs!$B$18))),CU80)))</f>
        <v>1640.46725539696</v>
      </c>
      <c r="CW80" s="11" t="n">
        <f aca="false">IF(CW$1&lt;Units!$P79,0,IF(AND(Units!$K79=0,CW$1=Units!$O79),Units!$R79,IF(AND(CW$1&gt;=Units!$Q79,MOD(CW$1-Units!$Q79,12)=0),IF(AND(Units!$L79=1,CW$1=Units!$Q79),IF(Units!$J79&lt;&gt;"",Units!$J79,Mkt!CW80),Inputs!$B$15*Mkt!CW80+(1-Inputs!$B$15)*MIN(Mkt!CW80,CV80*(1+Inputs!$B$18))),CV80)))</f>
        <v>1640.46725539696</v>
      </c>
      <c r="CX80" s="11" t="n">
        <f aca="false">IF(CX$1&lt;Units!$P79,0,IF(AND(Units!$K79=0,CX$1=Units!$O79),Units!$R79,IF(AND(CX$1&gt;=Units!$Q79,MOD(CX$1-Units!$Q79,12)=0),IF(AND(Units!$L79=1,CX$1=Units!$Q79),IF(Units!$J79&lt;&gt;"",Units!$J79,Mkt!CX80),Inputs!$B$15*Mkt!CX80+(1-Inputs!$B$15)*MIN(Mkt!CX80,CW80*(1+Inputs!$B$18))),CW80)))</f>
        <v>1640.46725539696</v>
      </c>
      <c r="CY80" s="11" t="n">
        <f aca="false">IF(CY$1&lt;Units!$P79,0,IF(AND(Units!$K79=0,CY$1=Units!$O79),Units!$R79,IF(AND(CY$1&gt;=Units!$Q79,MOD(CY$1-Units!$Q79,12)=0),IF(AND(Units!$L79=1,CY$1=Units!$Q79),IF(Units!$J79&lt;&gt;"",Units!$J79,Mkt!CY80),Inputs!$B$15*Mkt!CY80+(1-Inputs!$B$15)*MIN(Mkt!CY80,CX80*(1+Inputs!$B$18))),CX80)))</f>
        <v>1640.46725539696</v>
      </c>
      <c r="CZ80" s="11" t="n">
        <f aca="false">IF(CZ$1&lt;Units!$P79,0,IF(AND(Units!$K79=0,CZ$1=Units!$O79),Units!$R79,IF(AND(CZ$1&gt;=Units!$Q79,MOD(CZ$1-Units!$Q79,12)=0),IF(AND(Units!$L79=1,CZ$1=Units!$Q79),IF(Units!$J79&lt;&gt;"",Units!$J79,Mkt!CZ80),Inputs!$B$15*Mkt!CZ80+(1-Inputs!$B$15)*MIN(Mkt!CZ80,CY80*(1+Inputs!$B$18))),CY80)))</f>
        <v>1640.46725539696</v>
      </c>
      <c r="DA80" s="11" t="n">
        <f aca="false">IF(DA$1&lt;Units!$P79,0,IF(AND(Units!$K79=0,DA$1=Units!$O79),Units!$R79,IF(AND(DA$1&gt;=Units!$Q79,MOD(DA$1-Units!$Q79,12)=0),IF(AND(Units!$L79=1,DA$1=Units!$Q79),IF(Units!$J79&lt;&gt;"",Units!$J79,Mkt!DA80),Inputs!$B$15*Mkt!DA80+(1-Inputs!$B$15)*MIN(Mkt!DA80,CZ80*(1+Inputs!$B$18))),CZ80)))</f>
        <v>1640.46725539696</v>
      </c>
      <c r="DB80" s="11" t="n">
        <f aca="false">IF(DB$1&lt;Units!$P79,0,IF(AND(Units!$K79=0,DB$1=Units!$O79),Units!$R79,IF(AND(DB$1&gt;=Units!$Q79,MOD(DB$1-Units!$Q79,12)=0),IF(AND(Units!$L79=1,DB$1=Units!$Q79),IF(Units!$J79&lt;&gt;"",Units!$J79,Mkt!DB80),Inputs!$B$15*Mkt!DB80+(1-Inputs!$B$15)*MIN(Mkt!DB80,DA80*(1+Inputs!$B$18))),DA80)))</f>
        <v>1640.46725539696</v>
      </c>
      <c r="DC80" s="11" t="n">
        <f aca="false">IF(DC$1&lt;Units!$P79,0,IF(AND(Units!$K79=0,DC$1=Units!$O79),Units!$R79,IF(AND(DC$1&gt;=Units!$Q79,MOD(DC$1-Units!$Q79,12)=0),IF(AND(Units!$L79=1,DC$1=Units!$Q79),IF(Units!$J79&lt;&gt;"",Units!$J79,Mkt!DC80),Inputs!$B$15*Mkt!DC80+(1-Inputs!$B$15)*MIN(Mkt!DC80,DB80*(1+Inputs!$B$18))),DB80)))</f>
        <v>1640.46725539696</v>
      </c>
      <c r="DD80" s="11" t="n">
        <f aca="false">IF(DD$1&lt;Units!$P79,0,IF(AND(Units!$K79=0,DD$1=Units!$O79),Units!$R79,IF(AND(DD$1&gt;=Units!$Q79,MOD(DD$1-Units!$Q79,12)=0),IF(AND(Units!$L79=1,DD$1=Units!$Q79),IF(Units!$J79&lt;&gt;"",Units!$J79,Mkt!DD80),Inputs!$B$15*Mkt!DD80+(1-Inputs!$B$15)*MIN(Mkt!DD80,DC80*(1+Inputs!$B$18))),DC80)))</f>
        <v>1640.46725539696</v>
      </c>
      <c r="DE80" s="11" t="n">
        <f aca="false">IF(DE$1&lt;Units!$P79,0,IF(AND(Units!$K79=0,DE$1=Units!$O79),Units!$R79,IF(AND(DE$1&gt;=Units!$Q79,MOD(DE$1-Units!$Q79,12)=0),IF(AND(Units!$L79=1,DE$1=Units!$Q79),IF(Units!$J79&lt;&gt;"",Units!$J79,Mkt!DE80),Inputs!$B$15*Mkt!DE80+(1-Inputs!$B$15)*MIN(Mkt!DE80,DD80*(1+Inputs!$B$18))),DD80)))</f>
        <v>1640.46725539696</v>
      </c>
      <c r="DF80" s="11" t="n">
        <f aca="false">IF(DF$1&lt;Units!$P79,0,IF(AND(Units!$K79=0,DF$1=Units!$O79),Units!$R79,IF(AND(DF$1&gt;=Units!$Q79,MOD(DF$1-Units!$Q79,12)=0),IF(AND(Units!$L79=1,DF$1=Units!$Q79),IF(Units!$J79&lt;&gt;"",Units!$J79,Mkt!DF80),Inputs!$B$15*Mkt!DF80+(1-Inputs!$B$15)*MIN(Mkt!DF80,DE80*(1+Inputs!$B$18))),DE80)))</f>
        <v>1640.46725539696</v>
      </c>
      <c r="DG80" s="11" t="n">
        <f aca="false">IF(DG$1&lt;Units!$P79,0,IF(AND(Units!$K79=0,DG$1=Units!$O79),Units!$R79,IF(AND(DG$1&gt;=Units!$Q79,MOD(DG$1-Units!$Q79,12)=0),IF(AND(Units!$L79=1,DG$1=Units!$Q79),IF(Units!$J79&lt;&gt;"",Units!$J79,Mkt!DG80),Inputs!$B$15*Mkt!DG80+(1-Inputs!$B$15)*MIN(Mkt!DG80,DF80*(1+Inputs!$B$18))),DF80)))</f>
        <v>1689.68127305887</v>
      </c>
      <c r="DH80" s="11" t="n">
        <f aca="false">IF(DH$1&lt;Units!$P79,0,IF(AND(Units!$K79=0,DH$1=Units!$O79),Units!$R79,IF(AND(DH$1&gt;=Units!$Q79,MOD(DH$1-Units!$Q79,12)=0),IF(AND(Units!$L79=1,DH$1=Units!$Q79),IF(Units!$J79&lt;&gt;"",Units!$J79,Mkt!DH80),Inputs!$B$15*Mkt!DH80+(1-Inputs!$B$15)*MIN(Mkt!DH80,DG80*(1+Inputs!$B$18))),DG80)))</f>
        <v>1689.68127305887</v>
      </c>
      <c r="DI80" s="11" t="n">
        <f aca="false">IF(DI$1&lt;Units!$P79,0,IF(AND(Units!$K79=0,DI$1=Units!$O79),Units!$R79,IF(AND(DI$1&gt;=Units!$Q79,MOD(DI$1-Units!$Q79,12)=0),IF(AND(Units!$L79=1,DI$1=Units!$Q79),IF(Units!$J79&lt;&gt;"",Units!$J79,Mkt!DI80),Inputs!$B$15*Mkt!DI80+(1-Inputs!$B$15)*MIN(Mkt!DI80,DH80*(1+Inputs!$B$18))),DH80)))</f>
        <v>1689.68127305887</v>
      </c>
      <c r="DJ80" s="11" t="n">
        <f aca="false">IF(DJ$1&lt;Units!$P79,0,IF(AND(Units!$K79=0,DJ$1=Units!$O79),Units!$R79,IF(AND(DJ$1&gt;=Units!$Q79,MOD(DJ$1-Units!$Q79,12)=0),IF(AND(Units!$L79=1,DJ$1=Units!$Q79),IF(Units!$J79&lt;&gt;"",Units!$J79,Mkt!DJ80),Inputs!$B$15*Mkt!DJ80+(1-Inputs!$B$15)*MIN(Mkt!DJ80,DI80*(1+Inputs!$B$18))),DI80)))</f>
        <v>1689.68127305887</v>
      </c>
      <c r="DK80" s="11" t="n">
        <f aca="false">IF(DK$1&lt;Units!$P79,0,IF(AND(Units!$K79=0,DK$1=Units!$O79),Units!$R79,IF(AND(DK$1&gt;=Units!$Q79,MOD(DK$1-Units!$Q79,12)=0),IF(AND(Units!$L79=1,DK$1=Units!$Q79),IF(Units!$J79&lt;&gt;"",Units!$J79,Mkt!DK80),Inputs!$B$15*Mkt!DK80+(1-Inputs!$B$15)*MIN(Mkt!DK80,DJ80*(1+Inputs!$B$18))),DJ80)))</f>
        <v>1689.68127305887</v>
      </c>
      <c r="DL80" s="11" t="n">
        <f aca="false">IF(DL$1&lt;Units!$P79,0,IF(AND(Units!$K79=0,DL$1=Units!$O79),Units!$R79,IF(AND(DL$1&gt;=Units!$Q79,MOD(DL$1-Units!$Q79,12)=0),IF(AND(Units!$L79=1,DL$1=Units!$Q79),IF(Units!$J79&lt;&gt;"",Units!$J79,Mkt!DL80),Inputs!$B$15*Mkt!DL80+(1-Inputs!$B$15)*MIN(Mkt!DL80,DK80*(1+Inputs!$B$18))),DK80)))</f>
        <v>1689.68127305887</v>
      </c>
      <c r="DM80" s="11" t="n">
        <f aca="false">IF(DM$1&lt;Units!$P79,0,IF(AND(Units!$K79=0,DM$1=Units!$O79),Units!$R79,IF(AND(DM$1&gt;=Units!$Q79,MOD(DM$1-Units!$Q79,12)=0),IF(AND(Units!$L79=1,DM$1=Units!$Q79),IF(Units!$J79&lt;&gt;"",Units!$J79,Mkt!DM80),Inputs!$B$15*Mkt!DM80+(1-Inputs!$B$15)*MIN(Mkt!DM80,DL80*(1+Inputs!$B$18))),DL80)))</f>
        <v>1689.68127305887</v>
      </c>
      <c r="DN80" s="11" t="n">
        <f aca="false">IF(DN$1&lt;Units!$P79,0,IF(AND(Units!$K79=0,DN$1=Units!$O79),Units!$R79,IF(AND(DN$1&gt;=Units!$Q79,MOD(DN$1-Units!$Q79,12)=0),IF(AND(Units!$L79=1,DN$1=Units!$Q79),IF(Units!$J79&lt;&gt;"",Units!$J79,Mkt!DN80),Inputs!$B$15*Mkt!DN80+(1-Inputs!$B$15)*MIN(Mkt!DN80,DM80*(1+Inputs!$B$18))),DM80)))</f>
        <v>1689.68127305887</v>
      </c>
      <c r="DO80" s="11" t="n">
        <f aca="false">IF(DO$1&lt;Units!$P79,0,IF(AND(Units!$K79=0,DO$1=Units!$O79),Units!$R79,IF(AND(DO$1&gt;=Units!$Q79,MOD(DO$1-Units!$Q79,12)=0),IF(AND(Units!$L79=1,DO$1=Units!$Q79),IF(Units!$J79&lt;&gt;"",Units!$J79,Mkt!DO80),Inputs!$B$15*Mkt!DO80+(1-Inputs!$B$15)*MIN(Mkt!DO80,DN80*(1+Inputs!$B$18))),DN80)))</f>
        <v>1689.68127305887</v>
      </c>
      <c r="DP80" s="11" t="n">
        <f aca="false">IF(DP$1&lt;Units!$P79,0,IF(AND(Units!$K79=0,DP$1=Units!$O79),Units!$R79,IF(AND(DP$1&gt;=Units!$Q79,MOD(DP$1-Units!$Q79,12)=0),IF(AND(Units!$L79=1,DP$1=Units!$Q79),IF(Units!$J79&lt;&gt;"",Units!$J79,Mkt!DP80),Inputs!$B$15*Mkt!DP80+(1-Inputs!$B$15)*MIN(Mkt!DP80,DO80*(1+Inputs!$B$18))),DO80)))</f>
        <v>1689.68127305887</v>
      </c>
      <c r="DQ80" s="11" t="n">
        <f aca="false">IF(DQ$1&lt;Units!$P79,0,IF(AND(Units!$K79=0,DQ$1=Units!$O79),Units!$R79,IF(AND(DQ$1&gt;=Units!$Q79,MOD(DQ$1-Units!$Q79,12)=0),IF(AND(Units!$L79=1,DQ$1=Units!$Q79),IF(Units!$J79&lt;&gt;"",Units!$J79,Mkt!DQ80),Inputs!$B$15*Mkt!DQ80+(1-Inputs!$B$15)*MIN(Mkt!DQ80,DP80*(1+Inputs!$B$18))),DP80)))</f>
        <v>1689.68127305887</v>
      </c>
      <c r="DR80" s="11" t="n">
        <f aca="false">IF(DR$1&lt;Units!$P79,0,IF(AND(Units!$K79=0,DR$1=Units!$O79),Units!$R79,IF(AND(DR$1&gt;=Units!$Q79,MOD(DR$1-Units!$Q79,12)=0),IF(AND(Units!$L79=1,DR$1=Units!$Q79),IF(Units!$J79&lt;&gt;"",Units!$J79,Mkt!DR80),Inputs!$B$15*Mkt!DR80+(1-Inputs!$B$15)*MIN(Mkt!DR80,DQ80*(1+Inputs!$B$18))),DQ80)))</f>
        <v>1689.68127305887</v>
      </c>
      <c r="DS80" s="11" t="n">
        <f aca="false">IF(DS$1&lt;Units!$P79,0,IF(AND(Units!$K79=0,DS$1=Units!$O79),Units!$R79,IF(AND(DS$1&gt;=Units!$Q79,MOD(DS$1-Units!$Q79,12)=0),IF(AND(Units!$L79=1,DS$1=Units!$Q79),IF(Units!$J79&lt;&gt;"",Units!$J79,Mkt!DS80),Inputs!$B$15*Mkt!DS80+(1-Inputs!$B$15)*MIN(Mkt!DS80,DR80*(1+Inputs!$B$18))),DR80)))</f>
        <v>1740.37171125064</v>
      </c>
      <c r="DT80" s="11" t="n">
        <f aca="false">IF(DT$1&lt;Units!$P79,0,IF(AND(Units!$K79=0,DT$1=Units!$O79),Units!$R79,IF(AND(DT$1&gt;=Units!$Q79,MOD(DT$1-Units!$Q79,12)=0),IF(AND(Units!$L79=1,DT$1=Units!$Q79),IF(Units!$J79&lt;&gt;"",Units!$J79,Mkt!DT80),Inputs!$B$15*Mkt!DT80+(1-Inputs!$B$15)*MIN(Mkt!DT80,DS80*(1+Inputs!$B$18))),DS80)))</f>
        <v>1740.37171125064</v>
      </c>
      <c r="DU80" s="11" t="n">
        <f aca="false">IF(DU$1&lt;Units!$P79,0,IF(AND(Units!$K79=0,DU$1=Units!$O79),Units!$R79,IF(AND(DU$1&gt;=Units!$Q79,MOD(DU$1-Units!$Q79,12)=0),IF(AND(Units!$L79=1,DU$1=Units!$Q79),IF(Units!$J79&lt;&gt;"",Units!$J79,Mkt!DU80),Inputs!$B$15*Mkt!DU80+(1-Inputs!$B$15)*MIN(Mkt!DU80,DT80*(1+Inputs!$B$18))),DT80)))</f>
        <v>1740.37171125064</v>
      </c>
      <c r="DV80" s="11" t="n">
        <f aca="false">IF(DV$1&lt;Units!$P79,0,IF(AND(Units!$K79=0,DV$1=Units!$O79),Units!$R79,IF(AND(DV$1&gt;=Units!$Q79,MOD(DV$1-Units!$Q79,12)=0),IF(AND(Units!$L79=1,DV$1=Units!$Q79),IF(Units!$J79&lt;&gt;"",Units!$J79,Mkt!DV80),Inputs!$B$15*Mkt!DV80+(1-Inputs!$B$15)*MIN(Mkt!DV80,DU80*(1+Inputs!$B$18))),DU80)))</f>
        <v>1740.37171125064</v>
      </c>
      <c r="DW80" s="11" t="n">
        <f aca="false">IF(DW$1&lt;Units!$P79,0,IF(AND(Units!$K79=0,DW$1=Units!$O79),Units!$R79,IF(AND(DW$1&gt;=Units!$Q79,MOD(DW$1-Units!$Q79,12)=0),IF(AND(Units!$L79=1,DW$1=Units!$Q79),IF(Units!$J79&lt;&gt;"",Units!$J79,Mkt!DW80),Inputs!$B$15*Mkt!DW80+(1-Inputs!$B$15)*MIN(Mkt!DW80,DV80*(1+Inputs!$B$18))),DV80)))</f>
        <v>1740.37171125064</v>
      </c>
      <c r="DX80" s="11" t="n">
        <f aca="false">IF(DX$1&lt;Units!$P79,0,IF(AND(Units!$K79=0,DX$1=Units!$O79),Units!$R79,IF(AND(DX$1&gt;=Units!$Q79,MOD(DX$1-Units!$Q79,12)=0),IF(AND(Units!$L79=1,DX$1=Units!$Q79),IF(Units!$J79&lt;&gt;"",Units!$J79,Mkt!DX80),Inputs!$B$15*Mkt!DX80+(1-Inputs!$B$15)*MIN(Mkt!DX80,DW80*(1+Inputs!$B$18))),DW80)))</f>
        <v>1740.37171125064</v>
      </c>
      <c r="DY80" s="11" t="n">
        <f aca="false">IF(DY$1&lt;Units!$P79,0,IF(AND(Units!$K79=0,DY$1=Units!$O79),Units!$R79,IF(AND(DY$1&gt;=Units!$Q79,MOD(DY$1-Units!$Q79,12)=0),IF(AND(Units!$L79=1,DY$1=Units!$Q79),IF(Units!$J79&lt;&gt;"",Units!$J79,Mkt!DY80),Inputs!$B$15*Mkt!DY80+(1-Inputs!$B$15)*MIN(Mkt!DY80,DX80*(1+Inputs!$B$18))),DX80)))</f>
        <v>1740.37171125064</v>
      </c>
      <c r="DZ80" s="11" t="n">
        <f aca="false">IF(DZ$1&lt;Units!$P79,0,IF(AND(Units!$K79=0,DZ$1=Units!$O79),Units!$R79,IF(AND(DZ$1&gt;=Units!$Q79,MOD(DZ$1-Units!$Q79,12)=0),IF(AND(Units!$L79=1,DZ$1=Units!$Q79),IF(Units!$J79&lt;&gt;"",Units!$J79,Mkt!DZ80),Inputs!$B$15*Mkt!DZ80+(1-Inputs!$B$15)*MIN(Mkt!DZ80,DY80*(1+Inputs!$B$18))),DY80)))</f>
        <v>1740.37171125064</v>
      </c>
      <c r="EA80" s="11" t="n">
        <f aca="false">IF(EA$1&lt;Units!$P79,0,IF(AND(Units!$K79=0,EA$1=Units!$O79),Units!$R79,IF(AND(EA$1&gt;=Units!$Q79,MOD(EA$1-Units!$Q79,12)=0),IF(AND(Units!$L79=1,EA$1=Units!$Q79),IF(Units!$J79&lt;&gt;"",Units!$J79,Mkt!EA80),Inputs!$B$15*Mkt!EA80+(1-Inputs!$B$15)*MIN(Mkt!EA80,DZ80*(1+Inputs!$B$18))),DZ80)))</f>
        <v>1740.37171125064</v>
      </c>
      <c r="EB80" s="11" t="n">
        <f aca="false">IF(EB$1&lt;Units!$P79,0,IF(AND(Units!$K79=0,EB$1=Units!$O79),Units!$R79,IF(AND(EB$1&gt;=Units!$Q79,MOD(EB$1-Units!$Q79,12)=0),IF(AND(Units!$L79=1,EB$1=Units!$Q79),IF(Units!$J79&lt;&gt;"",Units!$J79,Mkt!EB80),Inputs!$B$15*Mkt!EB80+(1-Inputs!$B$15)*MIN(Mkt!EB80,EA80*(1+Inputs!$B$18))),EA80)))</f>
        <v>1740.37171125064</v>
      </c>
      <c r="EC80" s="11" t="n">
        <f aca="false">IF(EC$1&lt;Units!$P79,0,IF(AND(Units!$K79=0,EC$1=Units!$O79),Units!$R79,IF(AND(EC$1&gt;=Units!$Q79,MOD(EC$1-Units!$Q79,12)=0),IF(AND(Units!$L79=1,EC$1=Units!$Q79),IF(Units!$J79&lt;&gt;"",Units!$J79,Mkt!EC80),Inputs!$B$15*Mkt!EC80+(1-Inputs!$B$15)*MIN(Mkt!EC80,EB80*(1+Inputs!$B$18))),EB80)))</f>
        <v>1740.37171125064</v>
      </c>
      <c r="ED80" s="11" t="n">
        <f aca="false">IF(ED$1&lt;Units!$P79,0,IF(AND(Units!$K79=0,ED$1=Units!$O79),Units!$R79,IF(AND(ED$1&gt;=Units!$Q79,MOD(ED$1-Units!$Q79,12)=0),IF(AND(Units!$L79=1,ED$1=Units!$Q79),IF(Units!$J79&lt;&gt;"",Units!$J79,Mkt!ED80),Inputs!$B$15*Mkt!ED80+(1-Inputs!$B$15)*MIN(Mkt!ED80,EC80*(1+Inputs!$B$18))),EC80)))</f>
        <v>1740.37171125064</v>
      </c>
    </row>
    <row r="81" customFormat="false" ht="15" hidden="false" customHeight="false" outlineLevel="0" collapsed="false">
      <c r="A81" s="22" t="n">
        <f aca="false">Units!A80</f>
        <v>319</v>
      </c>
      <c r="B81" s="24" t="n">
        <f aca="false">IF(Units!K80=1,Units!F80,0)</f>
        <v>1270</v>
      </c>
      <c r="C81" s="11" t="n">
        <f aca="false">IF(C$1&lt;Units!$P80,0,IF(AND(Units!$K80=0,C$1=Units!$O80),Units!$R80,IF(AND(C$1&gt;=Units!$Q80,MOD(C$1-Units!$Q80,12)=0),IF(AND(Units!$L80=1,C$1=Units!$Q80),IF(Units!$J80&lt;&gt;"",Units!$J80,Mkt!C81),Inputs!$B$15*Mkt!C81+(1-Inputs!$B$15)*MIN(Mkt!C81,B81*(1+Inputs!$B$18))),B81)))</f>
        <v>1270</v>
      </c>
      <c r="D81" s="11" t="n">
        <f aca="false">IF(D$1&lt;Units!$P80,0,IF(AND(Units!$K80=0,D$1=Units!$O80),Units!$R80,IF(AND(D$1&gt;=Units!$Q80,MOD(D$1-Units!$Q80,12)=0),IF(AND(Units!$L80=1,D$1=Units!$Q80),IF(Units!$J80&lt;&gt;"",Units!$J80,Mkt!D81),Inputs!$B$15*Mkt!D81+(1-Inputs!$B$15)*MIN(Mkt!D81,C81*(1+Inputs!$B$18))),C81)))</f>
        <v>1270</v>
      </c>
      <c r="E81" s="11" t="n">
        <f aca="false">IF(E$1&lt;Units!$P80,0,IF(AND(Units!$K80=0,E$1=Units!$O80),Units!$R80,IF(AND(E$1&gt;=Units!$Q80,MOD(E$1-Units!$Q80,12)=0),IF(AND(Units!$L80=1,E$1=Units!$Q80),IF(Units!$J80&lt;&gt;"",Units!$J80,Mkt!E81),Inputs!$B$15*Mkt!E81+(1-Inputs!$B$15)*MIN(Mkt!E81,D81*(1+Inputs!$B$18))),D81)))</f>
        <v>1270</v>
      </c>
      <c r="F81" s="11" t="n">
        <f aca="false">IF(F$1&lt;Units!$P80,0,IF(AND(Units!$K80=0,F$1=Units!$O80),Units!$R80,IF(AND(F$1&gt;=Units!$Q80,MOD(F$1-Units!$Q80,12)=0),IF(AND(Units!$L80=1,F$1=Units!$Q80),IF(Units!$J80&lt;&gt;"",Units!$J80,Mkt!F81),Inputs!$B$15*Mkt!F81+(1-Inputs!$B$15)*MIN(Mkt!F81,E81*(1+Inputs!$B$18))),E81)))</f>
        <v>1295</v>
      </c>
      <c r="G81" s="11" t="n">
        <f aca="false">IF(G$1&lt;Units!$P80,0,IF(AND(Units!$K80=0,G$1=Units!$O80),Units!$R80,IF(AND(G$1&gt;=Units!$Q80,MOD(G$1-Units!$Q80,12)=0),IF(AND(Units!$L80=1,G$1=Units!$Q80),IF(Units!$J80&lt;&gt;"",Units!$J80,Mkt!G81),Inputs!$B$15*Mkt!G81+(1-Inputs!$B$15)*MIN(Mkt!G81,F81*(1+Inputs!$B$18))),F81)))</f>
        <v>1295</v>
      </c>
      <c r="H81" s="11" t="n">
        <f aca="false">IF(H$1&lt;Units!$P80,0,IF(AND(Units!$K80=0,H$1=Units!$O80),Units!$R80,IF(AND(H$1&gt;=Units!$Q80,MOD(H$1-Units!$Q80,12)=0),IF(AND(Units!$L80=1,H$1=Units!$Q80),IF(Units!$J80&lt;&gt;"",Units!$J80,Mkt!H81),Inputs!$B$15*Mkt!H81+(1-Inputs!$B$15)*MIN(Mkt!H81,G81*(1+Inputs!$B$18))),G81)))</f>
        <v>1295</v>
      </c>
      <c r="I81" s="11" t="n">
        <f aca="false">IF(I$1&lt;Units!$P80,0,IF(AND(Units!$K80=0,I$1=Units!$O80),Units!$R80,IF(AND(I$1&gt;=Units!$Q80,MOD(I$1-Units!$Q80,12)=0),IF(AND(Units!$L80=1,I$1=Units!$Q80),IF(Units!$J80&lt;&gt;"",Units!$J80,Mkt!I81),Inputs!$B$15*Mkt!I81+(1-Inputs!$B$15)*MIN(Mkt!I81,H81*(1+Inputs!$B$18))),H81)))</f>
        <v>1295</v>
      </c>
      <c r="J81" s="11" t="n">
        <f aca="false">IF(J$1&lt;Units!$P80,0,IF(AND(Units!$K80=0,J$1=Units!$O80),Units!$R80,IF(AND(J$1&gt;=Units!$Q80,MOD(J$1-Units!$Q80,12)=0),IF(AND(Units!$L80=1,J$1=Units!$Q80),IF(Units!$J80&lt;&gt;"",Units!$J80,Mkt!J81),Inputs!$B$15*Mkt!J81+(1-Inputs!$B$15)*MIN(Mkt!J81,I81*(1+Inputs!$B$18))),I81)))</f>
        <v>1295</v>
      </c>
      <c r="K81" s="11" t="n">
        <f aca="false">IF(K$1&lt;Units!$P80,0,IF(AND(Units!$K80=0,K$1=Units!$O80),Units!$R80,IF(AND(K$1&gt;=Units!$Q80,MOD(K$1-Units!$Q80,12)=0),IF(AND(Units!$L80=1,K$1=Units!$Q80),IF(Units!$J80&lt;&gt;"",Units!$J80,Mkt!K81),Inputs!$B$15*Mkt!K81+(1-Inputs!$B$15)*MIN(Mkt!K81,J81*(1+Inputs!$B$18))),J81)))</f>
        <v>1295</v>
      </c>
      <c r="L81" s="11" t="n">
        <f aca="false">IF(L$1&lt;Units!$P80,0,IF(AND(Units!$K80=0,L$1=Units!$O80),Units!$R80,IF(AND(L$1&gt;=Units!$Q80,MOD(L$1-Units!$Q80,12)=0),IF(AND(Units!$L80=1,L$1=Units!$Q80),IF(Units!$J80&lt;&gt;"",Units!$J80,Mkt!L81),Inputs!$B$15*Mkt!L81+(1-Inputs!$B$15)*MIN(Mkt!L81,K81*(1+Inputs!$B$18))),K81)))</f>
        <v>1295</v>
      </c>
      <c r="M81" s="11" t="n">
        <f aca="false">IF(M$1&lt;Units!$P80,0,IF(AND(Units!$K80=0,M$1=Units!$O80),Units!$R80,IF(AND(M$1&gt;=Units!$Q80,MOD(M$1-Units!$Q80,12)=0),IF(AND(Units!$L80=1,M$1=Units!$Q80),IF(Units!$J80&lt;&gt;"",Units!$J80,Mkt!M81),Inputs!$B$15*Mkt!M81+(1-Inputs!$B$15)*MIN(Mkt!M81,L81*(1+Inputs!$B$18))),L81)))</f>
        <v>1295</v>
      </c>
      <c r="N81" s="11" t="n">
        <f aca="false">IF(N$1&lt;Units!$P80,0,IF(AND(Units!$K80=0,N$1=Units!$O80),Units!$R80,IF(AND(N$1&gt;=Units!$Q80,MOD(N$1-Units!$Q80,12)=0),IF(AND(Units!$L80=1,N$1=Units!$Q80),IF(Units!$J80&lt;&gt;"",Units!$J80,Mkt!N81),Inputs!$B$15*Mkt!N81+(1-Inputs!$B$15)*MIN(Mkt!N81,M81*(1+Inputs!$B$18))),M81)))</f>
        <v>1295</v>
      </c>
      <c r="O81" s="11" t="n">
        <f aca="false">IF(O$1&lt;Units!$P80,0,IF(AND(Units!$K80=0,O$1=Units!$O80),Units!$R80,IF(AND(O$1&gt;=Units!$Q80,MOD(O$1-Units!$Q80,12)=0),IF(AND(Units!$L80=1,O$1=Units!$Q80),IF(Units!$J80&lt;&gt;"",Units!$J80,Mkt!O81),Inputs!$B$15*Mkt!O81+(1-Inputs!$B$15)*MIN(Mkt!O81,N81*(1+Inputs!$B$18))),N81)))</f>
        <v>1295</v>
      </c>
      <c r="P81" s="11" t="n">
        <f aca="false">IF(P$1&lt;Units!$P80,0,IF(AND(Units!$K80=0,P$1=Units!$O80),Units!$R80,IF(AND(P$1&gt;=Units!$Q80,MOD(P$1-Units!$Q80,12)=0),IF(AND(Units!$L80=1,P$1=Units!$Q80),IF(Units!$J80&lt;&gt;"",Units!$J80,Mkt!P81),Inputs!$B$15*Mkt!P81+(1-Inputs!$B$15)*MIN(Mkt!P81,O81*(1+Inputs!$B$18))),O81)))</f>
        <v>1295</v>
      </c>
      <c r="Q81" s="11" t="n">
        <f aca="false">IF(Q$1&lt;Units!$P80,0,IF(AND(Units!$K80=0,Q$1=Units!$O80),Units!$R80,IF(AND(Q$1&gt;=Units!$Q80,MOD(Q$1-Units!$Q80,12)=0),IF(AND(Units!$L80=1,Q$1=Units!$Q80),IF(Units!$J80&lt;&gt;"",Units!$J80,Mkt!Q81),Inputs!$B$15*Mkt!Q81+(1-Inputs!$B$15)*MIN(Mkt!Q81,P81*(1+Inputs!$B$18))),P81)))</f>
        <v>1295</v>
      </c>
      <c r="R81" s="11" t="n">
        <f aca="false">IF(R$1&lt;Units!$P80,0,IF(AND(Units!$K80=0,R$1=Units!$O80),Units!$R80,IF(AND(R$1&gt;=Units!$Q80,MOD(R$1-Units!$Q80,12)=0),IF(AND(Units!$L80=1,R$1=Units!$Q80),IF(Units!$J80&lt;&gt;"",Units!$J80,Mkt!R81),Inputs!$B$15*Mkt!R81+(1-Inputs!$B$15)*MIN(Mkt!R81,Q81*(1+Inputs!$B$18))),Q81)))</f>
        <v>1333.85</v>
      </c>
      <c r="S81" s="11" t="n">
        <f aca="false">IF(S$1&lt;Units!$P80,0,IF(AND(Units!$K80=0,S$1=Units!$O80),Units!$R80,IF(AND(S$1&gt;=Units!$Q80,MOD(S$1-Units!$Q80,12)=0),IF(AND(Units!$L80=1,S$1=Units!$Q80),IF(Units!$J80&lt;&gt;"",Units!$J80,Mkt!S81),Inputs!$B$15*Mkt!S81+(1-Inputs!$B$15)*MIN(Mkt!S81,R81*(1+Inputs!$B$18))),R81)))</f>
        <v>1333.85</v>
      </c>
      <c r="T81" s="11" t="n">
        <f aca="false">IF(T$1&lt;Units!$P80,0,IF(AND(Units!$K80=0,T$1=Units!$O80),Units!$R80,IF(AND(T$1&gt;=Units!$Q80,MOD(T$1-Units!$Q80,12)=0),IF(AND(Units!$L80=1,T$1=Units!$Q80),IF(Units!$J80&lt;&gt;"",Units!$J80,Mkt!T81),Inputs!$B$15*Mkt!T81+(1-Inputs!$B$15)*MIN(Mkt!T81,S81*(1+Inputs!$B$18))),S81)))</f>
        <v>1333.85</v>
      </c>
      <c r="U81" s="11" t="n">
        <f aca="false">IF(U$1&lt;Units!$P80,0,IF(AND(Units!$K80=0,U$1=Units!$O80),Units!$R80,IF(AND(U$1&gt;=Units!$Q80,MOD(U$1-Units!$Q80,12)=0),IF(AND(Units!$L80=1,U$1=Units!$Q80),IF(Units!$J80&lt;&gt;"",Units!$J80,Mkt!U81),Inputs!$B$15*Mkt!U81+(1-Inputs!$B$15)*MIN(Mkt!U81,T81*(1+Inputs!$B$18))),T81)))</f>
        <v>1333.85</v>
      </c>
      <c r="V81" s="11" t="n">
        <f aca="false">IF(V$1&lt;Units!$P80,0,IF(AND(Units!$K80=0,V$1=Units!$O80),Units!$R80,IF(AND(V$1&gt;=Units!$Q80,MOD(V$1-Units!$Q80,12)=0),IF(AND(Units!$L80=1,V$1=Units!$Q80),IF(Units!$J80&lt;&gt;"",Units!$J80,Mkt!V81),Inputs!$B$15*Mkt!V81+(1-Inputs!$B$15)*MIN(Mkt!V81,U81*(1+Inputs!$B$18))),U81)))</f>
        <v>1333.85</v>
      </c>
      <c r="W81" s="11" t="n">
        <f aca="false">IF(W$1&lt;Units!$P80,0,IF(AND(Units!$K80=0,W$1=Units!$O80),Units!$R80,IF(AND(W$1&gt;=Units!$Q80,MOD(W$1-Units!$Q80,12)=0),IF(AND(Units!$L80=1,W$1=Units!$Q80),IF(Units!$J80&lt;&gt;"",Units!$J80,Mkt!W81),Inputs!$B$15*Mkt!W81+(1-Inputs!$B$15)*MIN(Mkt!W81,V81*(1+Inputs!$B$18))),V81)))</f>
        <v>1333.85</v>
      </c>
      <c r="X81" s="11" t="n">
        <f aca="false">IF(X$1&lt;Units!$P80,0,IF(AND(Units!$K80=0,X$1=Units!$O80),Units!$R80,IF(AND(X$1&gt;=Units!$Q80,MOD(X$1-Units!$Q80,12)=0),IF(AND(Units!$L80=1,X$1=Units!$Q80),IF(Units!$J80&lt;&gt;"",Units!$J80,Mkt!X81),Inputs!$B$15*Mkt!X81+(1-Inputs!$B$15)*MIN(Mkt!X81,W81*(1+Inputs!$B$18))),W81)))</f>
        <v>1333.85</v>
      </c>
      <c r="Y81" s="11" t="n">
        <f aca="false">IF(Y$1&lt;Units!$P80,0,IF(AND(Units!$K80=0,Y$1=Units!$O80),Units!$R80,IF(AND(Y$1&gt;=Units!$Q80,MOD(Y$1-Units!$Q80,12)=0),IF(AND(Units!$L80=1,Y$1=Units!$Q80),IF(Units!$J80&lt;&gt;"",Units!$J80,Mkt!Y81),Inputs!$B$15*Mkt!Y81+(1-Inputs!$B$15)*MIN(Mkt!Y81,X81*(1+Inputs!$B$18))),X81)))</f>
        <v>1333.85</v>
      </c>
      <c r="Z81" s="11" t="n">
        <f aca="false">IF(Z$1&lt;Units!$P80,0,IF(AND(Units!$K80=0,Z$1=Units!$O80),Units!$R80,IF(AND(Z$1&gt;=Units!$Q80,MOD(Z$1-Units!$Q80,12)=0),IF(AND(Units!$L80=1,Z$1=Units!$Q80),IF(Units!$J80&lt;&gt;"",Units!$J80,Mkt!Z81),Inputs!$B$15*Mkt!Z81+(1-Inputs!$B$15)*MIN(Mkt!Z81,Y81*(1+Inputs!$B$18))),Y81)))</f>
        <v>1333.85</v>
      </c>
      <c r="AA81" s="11" t="n">
        <f aca="false">IF(AA$1&lt;Units!$P80,0,IF(AND(Units!$K80=0,AA$1=Units!$O80),Units!$R80,IF(AND(AA$1&gt;=Units!$Q80,MOD(AA$1-Units!$Q80,12)=0),IF(AND(Units!$L80=1,AA$1=Units!$Q80),IF(Units!$J80&lt;&gt;"",Units!$J80,Mkt!AA81),Inputs!$B$15*Mkt!AA81+(1-Inputs!$B$15)*MIN(Mkt!AA81,Z81*(1+Inputs!$B$18))),Z81)))</f>
        <v>1333.85</v>
      </c>
      <c r="AB81" s="11" t="n">
        <f aca="false">IF(AB$1&lt;Units!$P80,0,IF(AND(Units!$K80=0,AB$1=Units!$O80),Units!$R80,IF(AND(AB$1&gt;=Units!$Q80,MOD(AB$1-Units!$Q80,12)=0),IF(AND(Units!$L80=1,AB$1=Units!$Q80),IF(Units!$J80&lt;&gt;"",Units!$J80,Mkt!AB81),Inputs!$B$15*Mkt!AB81+(1-Inputs!$B$15)*MIN(Mkt!AB81,AA81*(1+Inputs!$B$18))),AA81)))</f>
        <v>1333.85</v>
      </c>
      <c r="AC81" s="11" t="n">
        <f aca="false">IF(AC$1&lt;Units!$P80,0,IF(AND(Units!$K80=0,AC$1=Units!$O80),Units!$R80,IF(AND(AC$1&gt;=Units!$Q80,MOD(AC$1-Units!$Q80,12)=0),IF(AND(Units!$L80=1,AC$1=Units!$Q80),IF(Units!$J80&lt;&gt;"",Units!$J80,Mkt!AC81),Inputs!$B$15*Mkt!AC81+(1-Inputs!$B$15)*MIN(Mkt!AC81,AB81*(1+Inputs!$B$18))),AB81)))</f>
        <v>1333.85</v>
      </c>
      <c r="AD81" s="11" t="n">
        <f aca="false">IF(AD$1&lt;Units!$P80,0,IF(AND(Units!$K80=0,AD$1=Units!$O80),Units!$R80,IF(AND(AD$1&gt;=Units!$Q80,MOD(AD$1-Units!$Q80,12)=0),IF(AND(Units!$L80=1,AD$1=Units!$Q80),IF(Units!$J80&lt;&gt;"",Units!$J80,Mkt!AD81),Inputs!$B$15*Mkt!AD81+(1-Inputs!$B$15)*MIN(Mkt!AD81,AC81*(1+Inputs!$B$18))),AC81)))</f>
        <v>1373.8655</v>
      </c>
      <c r="AE81" s="11" t="n">
        <f aca="false">IF(AE$1&lt;Units!$P80,0,IF(AND(Units!$K80=0,AE$1=Units!$O80),Units!$R80,IF(AND(AE$1&gt;=Units!$Q80,MOD(AE$1-Units!$Q80,12)=0),IF(AND(Units!$L80=1,AE$1=Units!$Q80),IF(Units!$J80&lt;&gt;"",Units!$J80,Mkt!AE81),Inputs!$B$15*Mkt!AE81+(1-Inputs!$B$15)*MIN(Mkt!AE81,AD81*(1+Inputs!$B$18))),AD81)))</f>
        <v>1373.8655</v>
      </c>
      <c r="AF81" s="11" t="n">
        <f aca="false">IF(AF$1&lt;Units!$P80,0,IF(AND(Units!$K80=0,AF$1=Units!$O80),Units!$R80,IF(AND(AF$1&gt;=Units!$Q80,MOD(AF$1-Units!$Q80,12)=0),IF(AND(Units!$L80=1,AF$1=Units!$Q80),IF(Units!$J80&lt;&gt;"",Units!$J80,Mkt!AF81),Inputs!$B$15*Mkt!AF81+(1-Inputs!$B$15)*MIN(Mkt!AF81,AE81*(1+Inputs!$B$18))),AE81)))</f>
        <v>1373.8655</v>
      </c>
      <c r="AG81" s="11" t="n">
        <f aca="false">IF(AG$1&lt;Units!$P80,0,IF(AND(Units!$K80=0,AG$1=Units!$O80),Units!$R80,IF(AND(AG$1&gt;=Units!$Q80,MOD(AG$1-Units!$Q80,12)=0),IF(AND(Units!$L80=1,AG$1=Units!$Q80),IF(Units!$J80&lt;&gt;"",Units!$J80,Mkt!AG81),Inputs!$B$15*Mkt!AG81+(1-Inputs!$B$15)*MIN(Mkt!AG81,AF81*(1+Inputs!$B$18))),AF81)))</f>
        <v>1373.8655</v>
      </c>
      <c r="AH81" s="11" t="n">
        <f aca="false">IF(AH$1&lt;Units!$P80,0,IF(AND(Units!$K80=0,AH$1=Units!$O80),Units!$R80,IF(AND(AH$1&gt;=Units!$Q80,MOD(AH$1-Units!$Q80,12)=0),IF(AND(Units!$L80=1,AH$1=Units!$Q80),IF(Units!$J80&lt;&gt;"",Units!$J80,Mkt!AH81),Inputs!$B$15*Mkt!AH81+(1-Inputs!$B$15)*MIN(Mkt!AH81,AG81*(1+Inputs!$B$18))),AG81)))</f>
        <v>1373.8655</v>
      </c>
      <c r="AI81" s="11" t="n">
        <f aca="false">IF(AI$1&lt;Units!$P80,0,IF(AND(Units!$K80=0,AI$1=Units!$O80),Units!$R80,IF(AND(AI$1&gt;=Units!$Q80,MOD(AI$1-Units!$Q80,12)=0),IF(AND(Units!$L80=1,AI$1=Units!$Q80),IF(Units!$J80&lt;&gt;"",Units!$J80,Mkt!AI81),Inputs!$B$15*Mkt!AI81+(1-Inputs!$B$15)*MIN(Mkt!AI81,AH81*(1+Inputs!$B$18))),AH81)))</f>
        <v>1373.8655</v>
      </c>
      <c r="AJ81" s="11" t="n">
        <f aca="false">IF(AJ$1&lt;Units!$P80,0,IF(AND(Units!$K80=0,AJ$1=Units!$O80),Units!$R80,IF(AND(AJ$1&gt;=Units!$Q80,MOD(AJ$1-Units!$Q80,12)=0),IF(AND(Units!$L80=1,AJ$1=Units!$Q80),IF(Units!$J80&lt;&gt;"",Units!$J80,Mkt!AJ81),Inputs!$B$15*Mkt!AJ81+(1-Inputs!$B$15)*MIN(Mkt!AJ81,AI81*(1+Inputs!$B$18))),AI81)))</f>
        <v>1373.8655</v>
      </c>
      <c r="AK81" s="11" t="n">
        <f aca="false">IF(AK$1&lt;Units!$P80,0,IF(AND(Units!$K80=0,AK$1=Units!$O80),Units!$R80,IF(AND(AK$1&gt;=Units!$Q80,MOD(AK$1-Units!$Q80,12)=0),IF(AND(Units!$L80=1,AK$1=Units!$Q80),IF(Units!$J80&lt;&gt;"",Units!$J80,Mkt!AK81),Inputs!$B$15*Mkt!AK81+(1-Inputs!$B$15)*MIN(Mkt!AK81,AJ81*(1+Inputs!$B$18))),AJ81)))</f>
        <v>1373.8655</v>
      </c>
      <c r="AL81" s="11" t="n">
        <f aca="false">IF(AL$1&lt;Units!$P80,0,IF(AND(Units!$K80=0,AL$1=Units!$O80),Units!$R80,IF(AND(AL$1&gt;=Units!$Q80,MOD(AL$1-Units!$Q80,12)=0),IF(AND(Units!$L80=1,AL$1=Units!$Q80),IF(Units!$J80&lt;&gt;"",Units!$J80,Mkt!AL81),Inputs!$B$15*Mkt!AL81+(1-Inputs!$B$15)*MIN(Mkt!AL81,AK81*(1+Inputs!$B$18))),AK81)))</f>
        <v>1373.8655</v>
      </c>
      <c r="AM81" s="11" t="n">
        <f aca="false">IF(AM$1&lt;Units!$P80,0,IF(AND(Units!$K80=0,AM$1=Units!$O80),Units!$R80,IF(AND(AM$1&gt;=Units!$Q80,MOD(AM$1-Units!$Q80,12)=0),IF(AND(Units!$L80=1,AM$1=Units!$Q80),IF(Units!$J80&lt;&gt;"",Units!$J80,Mkt!AM81),Inputs!$B$15*Mkt!AM81+(1-Inputs!$B$15)*MIN(Mkt!AM81,AL81*(1+Inputs!$B$18))),AL81)))</f>
        <v>1373.8655</v>
      </c>
      <c r="AN81" s="11" t="n">
        <f aca="false">IF(AN$1&lt;Units!$P80,0,IF(AND(Units!$K80=0,AN$1=Units!$O80),Units!$R80,IF(AND(AN$1&gt;=Units!$Q80,MOD(AN$1-Units!$Q80,12)=0),IF(AND(Units!$L80=1,AN$1=Units!$Q80),IF(Units!$J80&lt;&gt;"",Units!$J80,Mkt!AN81),Inputs!$B$15*Mkt!AN81+(1-Inputs!$B$15)*MIN(Mkt!AN81,AM81*(1+Inputs!$B$18))),AM81)))</f>
        <v>1373.8655</v>
      </c>
      <c r="AO81" s="11" t="n">
        <f aca="false">IF(AO$1&lt;Units!$P80,0,IF(AND(Units!$K80=0,AO$1=Units!$O80),Units!$R80,IF(AND(AO$1&gt;=Units!$Q80,MOD(AO$1-Units!$Q80,12)=0),IF(AND(Units!$L80=1,AO$1=Units!$Q80),IF(Units!$J80&lt;&gt;"",Units!$J80,Mkt!AO81),Inputs!$B$15*Mkt!AO81+(1-Inputs!$B$15)*MIN(Mkt!AO81,AN81*(1+Inputs!$B$18))),AN81)))</f>
        <v>1373.8655</v>
      </c>
      <c r="AP81" s="11" t="n">
        <f aca="false">IF(AP$1&lt;Units!$P80,0,IF(AND(Units!$K80=0,AP$1=Units!$O80),Units!$R80,IF(AND(AP$1&gt;=Units!$Q80,MOD(AP$1-Units!$Q80,12)=0),IF(AND(Units!$L80=1,AP$1=Units!$Q80),IF(Units!$J80&lt;&gt;"",Units!$J80,Mkt!AP81),Inputs!$B$15*Mkt!AP81+(1-Inputs!$B$15)*MIN(Mkt!AP81,AO81*(1+Inputs!$B$18))),AO81)))</f>
        <v>1415.081465</v>
      </c>
      <c r="AQ81" s="11" t="n">
        <f aca="false">IF(AQ$1&lt;Units!$P80,0,IF(AND(Units!$K80=0,AQ$1=Units!$O80),Units!$R80,IF(AND(AQ$1&gt;=Units!$Q80,MOD(AQ$1-Units!$Q80,12)=0),IF(AND(Units!$L80=1,AQ$1=Units!$Q80),IF(Units!$J80&lt;&gt;"",Units!$J80,Mkt!AQ81),Inputs!$B$15*Mkt!AQ81+(1-Inputs!$B$15)*MIN(Mkt!AQ81,AP81*(1+Inputs!$B$18))),AP81)))</f>
        <v>1415.081465</v>
      </c>
      <c r="AR81" s="11" t="n">
        <f aca="false">IF(AR$1&lt;Units!$P80,0,IF(AND(Units!$K80=0,AR$1=Units!$O80),Units!$R80,IF(AND(AR$1&gt;=Units!$Q80,MOD(AR$1-Units!$Q80,12)=0),IF(AND(Units!$L80=1,AR$1=Units!$Q80),IF(Units!$J80&lt;&gt;"",Units!$J80,Mkt!AR81),Inputs!$B$15*Mkt!AR81+(1-Inputs!$B$15)*MIN(Mkt!AR81,AQ81*(1+Inputs!$B$18))),AQ81)))</f>
        <v>1415.081465</v>
      </c>
      <c r="AS81" s="11" t="n">
        <f aca="false">IF(AS$1&lt;Units!$P80,0,IF(AND(Units!$K80=0,AS$1=Units!$O80),Units!$R80,IF(AND(AS$1&gt;=Units!$Q80,MOD(AS$1-Units!$Q80,12)=0),IF(AND(Units!$L80=1,AS$1=Units!$Q80),IF(Units!$J80&lt;&gt;"",Units!$J80,Mkt!AS81),Inputs!$B$15*Mkt!AS81+(1-Inputs!$B$15)*MIN(Mkt!AS81,AR81*(1+Inputs!$B$18))),AR81)))</f>
        <v>1415.081465</v>
      </c>
      <c r="AT81" s="11" t="n">
        <f aca="false">IF(AT$1&lt;Units!$P80,0,IF(AND(Units!$K80=0,AT$1=Units!$O80),Units!$R80,IF(AND(AT$1&gt;=Units!$Q80,MOD(AT$1-Units!$Q80,12)=0),IF(AND(Units!$L80=1,AT$1=Units!$Q80),IF(Units!$J80&lt;&gt;"",Units!$J80,Mkt!AT81),Inputs!$B$15*Mkt!AT81+(1-Inputs!$B$15)*MIN(Mkt!AT81,AS81*(1+Inputs!$B$18))),AS81)))</f>
        <v>1415.081465</v>
      </c>
      <c r="AU81" s="11" t="n">
        <f aca="false">IF(AU$1&lt;Units!$P80,0,IF(AND(Units!$K80=0,AU$1=Units!$O80),Units!$R80,IF(AND(AU$1&gt;=Units!$Q80,MOD(AU$1-Units!$Q80,12)=0),IF(AND(Units!$L80=1,AU$1=Units!$Q80),IF(Units!$J80&lt;&gt;"",Units!$J80,Mkt!AU81),Inputs!$B$15*Mkt!AU81+(1-Inputs!$B$15)*MIN(Mkt!AU81,AT81*(1+Inputs!$B$18))),AT81)))</f>
        <v>1415.081465</v>
      </c>
      <c r="AV81" s="11" t="n">
        <f aca="false">IF(AV$1&lt;Units!$P80,0,IF(AND(Units!$K80=0,AV$1=Units!$O80),Units!$R80,IF(AND(AV$1&gt;=Units!$Q80,MOD(AV$1-Units!$Q80,12)=0),IF(AND(Units!$L80=1,AV$1=Units!$Q80),IF(Units!$J80&lt;&gt;"",Units!$J80,Mkt!AV81),Inputs!$B$15*Mkt!AV81+(1-Inputs!$B$15)*MIN(Mkt!AV81,AU81*(1+Inputs!$B$18))),AU81)))</f>
        <v>1415.081465</v>
      </c>
      <c r="AW81" s="11" t="n">
        <f aca="false">IF(AW$1&lt;Units!$P80,0,IF(AND(Units!$K80=0,AW$1=Units!$O80),Units!$R80,IF(AND(AW$1&gt;=Units!$Q80,MOD(AW$1-Units!$Q80,12)=0),IF(AND(Units!$L80=1,AW$1=Units!$Q80),IF(Units!$J80&lt;&gt;"",Units!$J80,Mkt!AW81),Inputs!$B$15*Mkt!AW81+(1-Inputs!$B$15)*MIN(Mkt!AW81,AV81*(1+Inputs!$B$18))),AV81)))</f>
        <v>1415.081465</v>
      </c>
      <c r="AX81" s="11" t="n">
        <f aca="false">IF(AX$1&lt;Units!$P80,0,IF(AND(Units!$K80=0,AX$1=Units!$O80),Units!$R80,IF(AND(AX$1&gt;=Units!$Q80,MOD(AX$1-Units!$Q80,12)=0),IF(AND(Units!$L80=1,AX$1=Units!$Q80),IF(Units!$J80&lt;&gt;"",Units!$J80,Mkt!AX81),Inputs!$B$15*Mkt!AX81+(1-Inputs!$B$15)*MIN(Mkt!AX81,AW81*(1+Inputs!$B$18))),AW81)))</f>
        <v>1415.081465</v>
      </c>
      <c r="AY81" s="11" t="n">
        <f aca="false">IF(AY$1&lt;Units!$P80,0,IF(AND(Units!$K80=0,AY$1=Units!$O80),Units!$R80,IF(AND(AY$1&gt;=Units!$Q80,MOD(AY$1-Units!$Q80,12)=0),IF(AND(Units!$L80=1,AY$1=Units!$Q80),IF(Units!$J80&lt;&gt;"",Units!$J80,Mkt!AY81),Inputs!$B$15*Mkt!AY81+(1-Inputs!$B$15)*MIN(Mkt!AY81,AX81*(1+Inputs!$B$18))),AX81)))</f>
        <v>1415.081465</v>
      </c>
      <c r="AZ81" s="11" t="n">
        <f aca="false">IF(AZ$1&lt;Units!$P80,0,IF(AND(Units!$K80=0,AZ$1=Units!$O80),Units!$R80,IF(AND(AZ$1&gt;=Units!$Q80,MOD(AZ$1-Units!$Q80,12)=0),IF(AND(Units!$L80=1,AZ$1=Units!$Q80),IF(Units!$J80&lt;&gt;"",Units!$J80,Mkt!AZ81),Inputs!$B$15*Mkt!AZ81+(1-Inputs!$B$15)*MIN(Mkt!AZ81,AY81*(1+Inputs!$B$18))),AY81)))</f>
        <v>1415.081465</v>
      </c>
      <c r="BA81" s="11" t="n">
        <f aca="false">IF(BA$1&lt;Units!$P80,0,IF(AND(Units!$K80=0,BA$1=Units!$O80),Units!$R80,IF(AND(BA$1&gt;=Units!$Q80,MOD(BA$1-Units!$Q80,12)=0),IF(AND(Units!$L80=1,BA$1=Units!$Q80),IF(Units!$J80&lt;&gt;"",Units!$J80,Mkt!BA81),Inputs!$B$15*Mkt!BA81+(1-Inputs!$B$15)*MIN(Mkt!BA81,AZ81*(1+Inputs!$B$18))),AZ81)))</f>
        <v>1415.081465</v>
      </c>
      <c r="BB81" s="11" t="n">
        <f aca="false">IF(BB$1&lt;Units!$P80,0,IF(AND(Units!$K80=0,BB$1=Units!$O80),Units!$R80,IF(AND(BB$1&gt;=Units!$Q80,MOD(BB$1-Units!$Q80,12)=0),IF(AND(Units!$L80=1,BB$1=Units!$Q80),IF(Units!$J80&lt;&gt;"",Units!$J80,Mkt!BB81),Inputs!$B$15*Mkt!BB81+(1-Inputs!$B$15)*MIN(Mkt!BB81,BA81*(1+Inputs!$B$18))),BA81)))</f>
        <v>1457.53390895</v>
      </c>
      <c r="BC81" s="11" t="n">
        <f aca="false">IF(BC$1&lt;Units!$P80,0,IF(AND(Units!$K80=0,BC$1=Units!$O80),Units!$R80,IF(AND(BC$1&gt;=Units!$Q80,MOD(BC$1-Units!$Q80,12)=0),IF(AND(Units!$L80=1,BC$1=Units!$Q80),IF(Units!$J80&lt;&gt;"",Units!$J80,Mkt!BC81),Inputs!$B$15*Mkt!BC81+(1-Inputs!$B$15)*MIN(Mkt!BC81,BB81*(1+Inputs!$B$18))),BB81)))</f>
        <v>1457.53390895</v>
      </c>
      <c r="BD81" s="11" t="n">
        <f aca="false">IF(BD$1&lt;Units!$P80,0,IF(AND(Units!$K80=0,BD$1=Units!$O80),Units!$R80,IF(AND(BD$1&gt;=Units!$Q80,MOD(BD$1-Units!$Q80,12)=0),IF(AND(Units!$L80=1,BD$1=Units!$Q80),IF(Units!$J80&lt;&gt;"",Units!$J80,Mkt!BD81),Inputs!$B$15*Mkt!BD81+(1-Inputs!$B$15)*MIN(Mkt!BD81,BC81*(1+Inputs!$B$18))),BC81)))</f>
        <v>1457.53390895</v>
      </c>
      <c r="BE81" s="11" t="n">
        <f aca="false">IF(BE$1&lt;Units!$P80,0,IF(AND(Units!$K80=0,BE$1=Units!$O80),Units!$R80,IF(AND(BE$1&gt;=Units!$Q80,MOD(BE$1-Units!$Q80,12)=0),IF(AND(Units!$L80=1,BE$1=Units!$Q80),IF(Units!$J80&lt;&gt;"",Units!$J80,Mkt!BE81),Inputs!$B$15*Mkt!BE81+(1-Inputs!$B$15)*MIN(Mkt!BE81,BD81*(1+Inputs!$B$18))),BD81)))</f>
        <v>1457.53390895</v>
      </c>
      <c r="BF81" s="11" t="n">
        <f aca="false">IF(BF$1&lt;Units!$P80,0,IF(AND(Units!$K80=0,BF$1=Units!$O80),Units!$R80,IF(AND(BF$1&gt;=Units!$Q80,MOD(BF$1-Units!$Q80,12)=0),IF(AND(Units!$L80=1,BF$1=Units!$Q80),IF(Units!$J80&lt;&gt;"",Units!$J80,Mkt!BF81),Inputs!$B$15*Mkt!BF81+(1-Inputs!$B$15)*MIN(Mkt!BF81,BE81*(1+Inputs!$B$18))),BE81)))</f>
        <v>1457.53390895</v>
      </c>
      <c r="BG81" s="11" t="n">
        <f aca="false">IF(BG$1&lt;Units!$P80,0,IF(AND(Units!$K80=0,BG$1=Units!$O80),Units!$R80,IF(AND(BG$1&gt;=Units!$Q80,MOD(BG$1-Units!$Q80,12)=0),IF(AND(Units!$L80=1,BG$1=Units!$Q80),IF(Units!$J80&lt;&gt;"",Units!$J80,Mkt!BG81),Inputs!$B$15*Mkt!BG81+(1-Inputs!$B$15)*MIN(Mkt!BG81,BF81*(1+Inputs!$B$18))),BF81)))</f>
        <v>1457.53390895</v>
      </c>
      <c r="BH81" s="11" t="n">
        <f aca="false">IF(BH$1&lt;Units!$P80,0,IF(AND(Units!$K80=0,BH$1=Units!$O80),Units!$R80,IF(AND(BH$1&gt;=Units!$Q80,MOD(BH$1-Units!$Q80,12)=0),IF(AND(Units!$L80=1,BH$1=Units!$Q80),IF(Units!$J80&lt;&gt;"",Units!$J80,Mkt!BH81),Inputs!$B$15*Mkt!BH81+(1-Inputs!$B$15)*MIN(Mkt!BH81,BG81*(1+Inputs!$B$18))),BG81)))</f>
        <v>1457.53390895</v>
      </c>
      <c r="BI81" s="11" t="n">
        <f aca="false">IF(BI$1&lt;Units!$P80,0,IF(AND(Units!$K80=0,BI$1=Units!$O80),Units!$R80,IF(AND(BI$1&gt;=Units!$Q80,MOD(BI$1-Units!$Q80,12)=0),IF(AND(Units!$L80=1,BI$1=Units!$Q80),IF(Units!$J80&lt;&gt;"",Units!$J80,Mkt!BI81),Inputs!$B$15*Mkt!BI81+(1-Inputs!$B$15)*MIN(Mkt!BI81,BH81*(1+Inputs!$B$18))),BH81)))</f>
        <v>1457.53390895</v>
      </c>
      <c r="BJ81" s="11" t="n">
        <f aca="false">IF(BJ$1&lt;Units!$P80,0,IF(AND(Units!$K80=0,BJ$1=Units!$O80),Units!$R80,IF(AND(BJ$1&gt;=Units!$Q80,MOD(BJ$1-Units!$Q80,12)=0),IF(AND(Units!$L80=1,BJ$1=Units!$Q80),IF(Units!$J80&lt;&gt;"",Units!$J80,Mkt!BJ81),Inputs!$B$15*Mkt!BJ81+(1-Inputs!$B$15)*MIN(Mkt!BJ81,BI81*(1+Inputs!$B$18))),BI81)))</f>
        <v>1457.53390895</v>
      </c>
      <c r="BK81" s="11" t="n">
        <f aca="false">IF(BK$1&lt;Units!$P80,0,IF(AND(Units!$K80=0,BK$1=Units!$O80),Units!$R80,IF(AND(BK$1&gt;=Units!$Q80,MOD(BK$1-Units!$Q80,12)=0),IF(AND(Units!$L80=1,BK$1=Units!$Q80),IF(Units!$J80&lt;&gt;"",Units!$J80,Mkt!BK81),Inputs!$B$15*Mkt!BK81+(1-Inputs!$B$15)*MIN(Mkt!BK81,BJ81*(1+Inputs!$B$18))),BJ81)))</f>
        <v>1457.53390895</v>
      </c>
      <c r="BL81" s="11" t="n">
        <f aca="false">IF(BL$1&lt;Units!$P80,0,IF(AND(Units!$K80=0,BL$1=Units!$O80),Units!$R80,IF(AND(BL$1&gt;=Units!$Q80,MOD(BL$1-Units!$Q80,12)=0),IF(AND(Units!$L80=1,BL$1=Units!$Q80),IF(Units!$J80&lt;&gt;"",Units!$J80,Mkt!BL81),Inputs!$B$15*Mkt!BL81+(1-Inputs!$B$15)*MIN(Mkt!BL81,BK81*(1+Inputs!$B$18))),BK81)))</f>
        <v>1457.53390895</v>
      </c>
      <c r="BM81" s="11" t="n">
        <f aca="false">IF(BM$1&lt;Units!$P80,0,IF(AND(Units!$K80=0,BM$1=Units!$O80),Units!$R80,IF(AND(BM$1&gt;=Units!$Q80,MOD(BM$1-Units!$Q80,12)=0),IF(AND(Units!$L80=1,BM$1=Units!$Q80),IF(Units!$J80&lt;&gt;"",Units!$J80,Mkt!BM81),Inputs!$B$15*Mkt!BM81+(1-Inputs!$B$15)*MIN(Mkt!BM81,BL81*(1+Inputs!$B$18))),BL81)))</f>
        <v>1457.53390895</v>
      </c>
      <c r="BN81" s="11" t="n">
        <f aca="false">IF(BN$1&lt;Units!$P80,0,IF(AND(Units!$K80=0,BN$1=Units!$O80),Units!$R80,IF(AND(BN$1&gt;=Units!$Q80,MOD(BN$1-Units!$Q80,12)=0),IF(AND(Units!$L80=1,BN$1=Units!$Q80),IF(Units!$J80&lt;&gt;"",Units!$J80,Mkt!BN81),Inputs!$B$15*Mkt!BN81+(1-Inputs!$B$15)*MIN(Mkt!BN81,BM81*(1+Inputs!$B$18))),BM81)))</f>
        <v>1501.2599262185</v>
      </c>
      <c r="BO81" s="11" t="n">
        <f aca="false">IF(BO$1&lt;Units!$P80,0,IF(AND(Units!$K80=0,BO$1=Units!$O80),Units!$R80,IF(AND(BO$1&gt;=Units!$Q80,MOD(BO$1-Units!$Q80,12)=0),IF(AND(Units!$L80=1,BO$1=Units!$Q80),IF(Units!$J80&lt;&gt;"",Units!$J80,Mkt!BO81),Inputs!$B$15*Mkt!BO81+(1-Inputs!$B$15)*MIN(Mkt!BO81,BN81*(1+Inputs!$B$18))),BN81)))</f>
        <v>1501.2599262185</v>
      </c>
      <c r="BP81" s="11" t="n">
        <f aca="false">IF(BP$1&lt;Units!$P80,0,IF(AND(Units!$K80=0,BP$1=Units!$O80),Units!$R80,IF(AND(BP$1&gt;=Units!$Q80,MOD(BP$1-Units!$Q80,12)=0),IF(AND(Units!$L80=1,BP$1=Units!$Q80),IF(Units!$J80&lt;&gt;"",Units!$J80,Mkt!BP81),Inputs!$B$15*Mkt!BP81+(1-Inputs!$B$15)*MIN(Mkt!BP81,BO81*(1+Inputs!$B$18))),BO81)))</f>
        <v>1501.2599262185</v>
      </c>
      <c r="BQ81" s="11" t="n">
        <f aca="false">IF(BQ$1&lt;Units!$P80,0,IF(AND(Units!$K80=0,BQ$1=Units!$O80),Units!$R80,IF(AND(BQ$1&gt;=Units!$Q80,MOD(BQ$1-Units!$Q80,12)=0),IF(AND(Units!$L80=1,BQ$1=Units!$Q80),IF(Units!$J80&lt;&gt;"",Units!$J80,Mkt!BQ81),Inputs!$B$15*Mkt!BQ81+(1-Inputs!$B$15)*MIN(Mkt!BQ81,BP81*(1+Inputs!$B$18))),BP81)))</f>
        <v>1501.2599262185</v>
      </c>
      <c r="BR81" s="11" t="n">
        <f aca="false">IF(BR$1&lt;Units!$P80,0,IF(AND(Units!$K80=0,BR$1=Units!$O80),Units!$R80,IF(AND(BR$1&gt;=Units!$Q80,MOD(BR$1-Units!$Q80,12)=0),IF(AND(Units!$L80=1,BR$1=Units!$Q80),IF(Units!$J80&lt;&gt;"",Units!$J80,Mkt!BR81),Inputs!$B$15*Mkt!BR81+(1-Inputs!$B$15)*MIN(Mkt!BR81,BQ81*(1+Inputs!$B$18))),BQ81)))</f>
        <v>1501.2599262185</v>
      </c>
      <c r="BS81" s="11" t="n">
        <f aca="false">IF(BS$1&lt;Units!$P80,0,IF(AND(Units!$K80=0,BS$1=Units!$O80),Units!$R80,IF(AND(BS$1&gt;=Units!$Q80,MOD(BS$1-Units!$Q80,12)=0),IF(AND(Units!$L80=1,BS$1=Units!$Q80),IF(Units!$J80&lt;&gt;"",Units!$J80,Mkt!BS81),Inputs!$B$15*Mkt!BS81+(1-Inputs!$B$15)*MIN(Mkt!BS81,BR81*(1+Inputs!$B$18))),BR81)))</f>
        <v>1501.2599262185</v>
      </c>
      <c r="BT81" s="11" t="n">
        <f aca="false">IF(BT$1&lt;Units!$P80,0,IF(AND(Units!$K80=0,BT$1=Units!$O80),Units!$R80,IF(AND(BT$1&gt;=Units!$Q80,MOD(BT$1-Units!$Q80,12)=0),IF(AND(Units!$L80=1,BT$1=Units!$Q80),IF(Units!$J80&lt;&gt;"",Units!$J80,Mkt!BT81),Inputs!$B$15*Mkt!BT81+(1-Inputs!$B$15)*MIN(Mkt!BT81,BS81*(1+Inputs!$B$18))),BS81)))</f>
        <v>1501.2599262185</v>
      </c>
      <c r="BU81" s="11" t="n">
        <f aca="false">IF(BU$1&lt;Units!$P80,0,IF(AND(Units!$K80=0,BU$1=Units!$O80),Units!$R80,IF(AND(BU$1&gt;=Units!$Q80,MOD(BU$1-Units!$Q80,12)=0),IF(AND(Units!$L80=1,BU$1=Units!$Q80),IF(Units!$J80&lt;&gt;"",Units!$J80,Mkt!BU81),Inputs!$B$15*Mkt!BU81+(1-Inputs!$B$15)*MIN(Mkt!BU81,BT81*(1+Inputs!$B$18))),BT81)))</f>
        <v>1501.2599262185</v>
      </c>
      <c r="BV81" s="11" t="n">
        <f aca="false">IF(BV$1&lt;Units!$P80,0,IF(AND(Units!$K80=0,BV$1=Units!$O80),Units!$R80,IF(AND(BV$1&gt;=Units!$Q80,MOD(BV$1-Units!$Q80,12)=0),IF(AND(Units!$L80=1,BV$1=Units!$Q80),IF(Units!$J80&lt;&gt;"",Units!$J80,Mkt!BV81),Inputs!$B$15*Mkt!BV81+(1-Inputs!$B$15)*MIN(Mkt!BV81,BU81*(1+Inputs!$B$18))),BU81)))</f>
        <v>1501.2599262185</v>
      </c>
      <c r="BW81" s="11" t="n">
        <f aca="false">IF(BW$1&lt;Units!$P80,0,IF(AND(Units!$K80=0,BW$1=Units!$O80),Units!$R80,IF(AND(BW$1&gt;=Units!$Q80,MOD(BW$1-Units!$Q80,12)=0),IF(AND(Units!$L80=1,BW$1=Units!$Q80),IF(Units!$J80&lt;&gt;"",Units!$J80,Mkt!BW81),Inputs!$B$15*Mkt!BW81+(1-Inputs!$B$15)*MIN(Mkt!BW81,BV81*(1+Inputs!$B$18))),BV81)))</f>
        <v>1501.2599262185</v>
      </c>
      <c r="BX81" s="11" t="n">
        <f aca="false">IF(BX$1&lt;Units!$P80,0,IF(AND(Units!$K80=0,BX$1=Units!$O80),Units!$R80,IF(AND(BX$1&gt;=Units!$Q80,MOD(BX$1-Units!$Q80,12)=0),IF(AND(Units!$L80=1,BX$1=Units!$Q80),IF(Units!$J80&lt;&gt;"",Units!$J80,Mkt!BX81),Inputs!$B$15*Mkt!BX81+(1-Inputs!$B$15)*MIN(Mkt!BX81,BW81*(1+Inputs!$B$18))),BW81)))</f>
        <v>1501.2599262185</v>
      </c>
      <c r="BY81" s="11" t="n">
        <f aca="false">IF(BY$1&lt;Units!$P80,0,IF(AND(Units!$K80=0,BY$1=Units!$O80),Units!$R80,IF(AND(BY$1&gt;=Units!$Q80,MOD(BY$1-Units!$Q80,12)=0),IF(AND(Units!$L80=1,BY$1=Units!$Q80),IF(Units!$J80&lt;&gt;"",Units!$J80,Mkt!BY81),Inputs!$B$15*Mkt!BY81+(1-Inputs!$B$15)*MIN(Mkt!BY81,BX81*(1+Inputs!$B$18))),BX81)))</f>
        <v>1501.2599262185</v>
      </c>
      <c r="BZ81" s="11" t="n">
        <f aca="false">IF(BZ$1&lt;Units!$P80,0,IF(AND(Units!$K80=0,BZ$1=Units!$O80),Units!$R80,IF(AND(BZ$1&gt;=Units!$Q80,MOD(BZ$1-Units!$Q80,12)=0),IF(AND(Units!$L80=1,BZ$1=Units!$Q80),IF(Units!$J80&lt;&gt;"",Units!$J80,Mkt!BZ81),Inputs!$B$15*Mkt!BZ81+(1-Inputs!$B$15)*MIN(Mkt!BZ81,BY81*(1+Inputs!$B$18))),BY81)))</f>
        <v>1546.29772400506</v>
      </c>
      <c r="CA81" s="11" t="n">
        <f aca="false">IF(CA$1&lt;Units!$P80,0,IF(AND(Units!$K80=0,CA$1=Units!$O80),Units!$R80,IF(AND(CA$1&gt;=Units!$Q80,MOD(CA$1-Units!$Q80,12)=0),IF(AND(Units!$L80=1,CA$1=Units!$Q80),IF(Units!$J80&lt;&gt;"",Units!$J80,Mkt!CA81),Inputs!$B$15*Mkt!CA81+(1-Inputs!$B$15)*MIN(Mkt!CA81,BZ81*(1+Inputs!$B$18))),BZ81)))</f>
        <v>1546.29772400506</v>
      </c>
      <c r="CB81" s="11" t="n">
        <f aca="false">IF(CB$1&lt;Units!$P80,0,IF(AND(Units!$K80=0,CB$1=Units!$O80),Units!$R80,IF(AND(CB$1&gt;=Units!$Q80,MOD(CB$1-Units!$Q80,12)=0),IF(AND(Units!$L80=1,CB$1=Units!$Q80),IF(Units!$J80&lt;&gt;"",Units!$J80,Mkt!CB81),Inputs!$B$15*Mkt!CB81+(1-Inputs!$B$15)*MIN(Mkt!CB81,CA81*(1+Inputs!$B$18))),CA81)))</f>
        <v>1546.29772400506</v>
      </c>
      <c r="CC81" s="11" t="n">
        <f aca="false">IF(CC$1&lt;Units!$P80,0,IF(AND(Units!$K80=0,CC$1=Units!$O80),Units!$R80,IF(AND(CC$1&gt;=Units!$Q80,MOD(CC$1-Units!$Q80,12)=0),IF(AND(Units!$L80=1,CC$1=Units!$Q80),IF(Units!$J80&lt;&gt;"",Units!$J80,Mkt!CC81),Inputs!$B$15*Mkt!CC81+(1-Inputs!$B$15)*MIN(Mkt!CC81,CB81*(1+Inputs!$B$18))),CB81)))</f>
        <v>1546.29772400506</v>
      </c>
      <c r="CD81" s="11" t="n">
        <f aca="false">IF(CD$1&lt;Units!$P80,0,IF(AND(Units!$K80=0,CD$1=Units!$O80),Units!$R80,IF(AND(CD$1&gt;=Units!$Q80,MOD(CD$1-Units!$Q80,12)=0),IF(AND(Units!$L80=1,CD$1=Units!$Q80),IF(Units!$J80&lt;&gt;"",Units!$J80,Mkt!CD81),Inputs!$B$15*Mkt!CD81+(1-Inputs!$B$15)*MIN(Mkt!CD81,CC81*(1+Inputs!$B$18))),CC81)))</f>
        <v>1546.29772400506</v>
      </c>
      <c r="CE81" s="11" t="n">
        <f aca="false">IF(CE$1&lt;Units!$P80,0,IF(AND(Units!$K80=0,CE$1=Units!$O80),Units!$R80,IF(AND(CE$1&gt;=Units!$Q80,MOD(CE$1-Units!$Q80,12)=0),IF(AND(Units!$L80=1,CE$1=Units!$Q80),IF(Units!$J80&lt;&gt;"",Units!$J80,Mkt!CE81),Inputs!$B$15*Mkt!CE81+(1-Inputs!$B$15)*MIN(Mkt!CE81,CD81*(1+Inputs!$B$18))),CD81)))</f>
        <v>1546.29772400506</v>
      </c>
      <c r="CF81" s="11" t="n">
        <f aca="false">IF(CF$1&lt;Units!$P80,0,IF(AND(Units!$K80=0,CF$1=Units!$O80),Units!$R80,IF(AND(CF$1&gt;=Units!$Q80,MOD(CF$1-Units!$Q80,12)=0),IF(AND(Units!$L80=1,CF$1=Units!$Q80),IF(Units!$J80&lt;&gt;"",Units!$J80,Mkt!CF81),Inputs!$B$15*Mkt!CF81+(1-Inputs!$B$15)*MIN(Mkt!CF81,CE81*(1+Inputs!$B$18))),CE81)))</f>
        <v>1546.29772400506</v>
      </c>
      <c r="CG81" s="11" t="n">
        <f aca="false">IF(CG$1&lt;Units!$P80,0,IF(AND(Units!$K80=0,CG$1=Units!$O80),Units!$R80,IF(AND(CG$1&gt;=Units!$Q80,MOD(CG$1-Units!$Q80,12)=0),IF(AND(Units!$L80=1,CG$1=Units!$Q80),IF(Units!$J80&lt;&gt;"",Units!$J80,Mkt!CG81),Inputs!$B$15*Mkt!CG81+(1-Inputs!$B$15)*MIN(Mkt!CG81,CF81*(1+Inputs!$B$18))),CF81)))</f>
        <v>1546.29772400506</v>
      </c>
      <c r="CH81" s="11" t="n">
        <f aca="false">IF(CH$1&lt;Units!$P80,0,IF(AND(Units!$K80=0,CH$1=Units!$O80),Units!$R80,IF(AND(CH$1&gt;=Units!$Q80,MOD(CH$1-Units!$Q80,12)=0),IF(AND(Units!$L80=1,CH$1=Units!$Q80),IF(Units!$J80&lt;&gt;"",Units!$J80,Mkt!CH81),Inputs!$B$15*Mkt!CH81+(1-Inputs!$B$15)*MIN(Mkt!CH81,CG81*(1+Inputs!$B$18))),CG81)))</f>
        <v>1546.29772400506</v>
      </c>
      <c r="CI81" s="11" t="n">
        <f aca="false">IF(CI$1&lt;Units!$P80,0,IF(AND(Units!$K80=0,CI$1=Units!$O80),Units!$R80,IF(AND(CI$1&gt;=Units!$Q80,MOD(CI$1-Units!$Q80,12)=0),IF(AND(Units!$L80=1,CI$1=Units!$Q80),IF(Units!$J80&lt;&gt;"",Units!$J80,Mkt!CI81),Inputs!$B$15*Mkt!CI81+(1-Inputs!$B$15)*MIN(Mkt!CI81,CH81*(1+Inputs!$B$18))),CH81)))</f>
        <v>1546.29772400506</v>
      </c>
      <c r="CJ81" s="11" t="n">
        <f aca="false">IF(CJ$1&lt;Units!$P80,0,IF(AND(Units!$K80=0,CJ$1=Units!$O80),Units!$R80,IF(AND(CJ$1&gt;=Units!$Q80,MOD(CJ$1-Units!$Q80,12)=0),IF(AND(Units!$L80=1,CJ$1=Units!$Q80),IF(Units!$J80&lt;&gt;"",Units!$J80,Mkt!CJ81),Inputs!$B$15*Mkt!CJ81+(1-Inputs!$B$15)*MIN(Mkt!CJ81,CI81*(1+Inputs!$B$18))),CI81)))</f>
        <v>1546.29772400506</v>
      </c>
      <c r="CK81" s="11" t="n">
        <f aca="false">IF(CK$1&lt;Units!$P80,0,IF(AND(Units!$K80=0,CK$1=Units!$O80),Units!$R80,IF(AND(CK$1&gt;=Units!$Q80,MOD(CK$1-Units!$Q80,12)=0),IF(AND(Units!$L80=1,CK$1=Units!$Q80),IF(Units!$J80&lt;&gt;"",Units!$J80,Mkt!CK81),Inputs!$B$15*Mkt!CK81+(1-Inputs!$B$15)*MIN(Mkt!CK81,CJ81*(1+Inputs!$B$18))),CJ81)))</f>
        <v>1546.29772400506</v>
      </c>
      <c r="CL81" s="11" t="n">
        <f aca="false">IF(CL$1&lt;Units!$P80,0,IF(AND(Units!$K80=0,CL$1=Units!$O80),Units!$R80,IF(AND(CL$1&gt;=Units!$Q80,MOD(CL$1-Units!$Q80,12)=0),IF(AND(Units!$L80=1,CL$1=Units!$Q80),IF(Units!$J80&lt;&gt;"",Units!$J80,Mkt!CL81),Inputs!$B$15*Mkt!CL81+(1-Inputs!$B$15)*MIN(Mkt!CL81,CK81*(1+Inputs!$B$18))),CK81)))</f>
        <v>1592.68665572521</v>
      </c>
      <c r="CM81" s="11" t="n">
        <f aca="false">IF(CM$1&lt;Units!$P80,0,IF(AND(Units!$K80=0,CM$1=Units!$O80),Units!$R80,IF(AND(CM$1&gt;=Units!$Q80,MOD(CM$1-Units!$Q80,12)=0),IF(AND(Units!$L80=1,CM$1=Units!$Q80),IF(Units!$J80&lt;&gt;"",Units!$J80,Mkt!CM81),Inputs!$B$15*Mkt!CM81+(1-Inputs!$B$15)*MIN(Mkt!CM81,CL81*(1+Inputs!$B$18))),CL81)))</f>
        <v>1592.68665572521</v>
      </c>
      <c r="CN81" s="11" t="n">
        <f aca="false">IF(CN$1&lt;Units!$P80,0,IF(AND(Units!$K80=0,CN$1=Units!$O80),Units!$R80,IF(AND(CN$1&gt;=Units!$Q80,MOD(CN$1-Units!$Q80,12)=0),IF(AND(Units!$L80=1,CN$1=Units!$Q80),IF(Units!$J80&lt;&gt;"",Units!$J80,Mkt!CN81),Inputs!$B$15*Mkt!CN81+(1-Inputs!$B$15)*MIN(Mkt!CN81,CM81*(1+Inputs!$B$18))),CM81)))</f>
        <v>1592.68665572521</v>
      </c>
      <c r="CO81" s="11" t="n">
        <f aca="false">IF(CO$1&lt;Units!$P80,0,IF(AND(Units!$K80=0,CO$1=Units!$O80),Units!$R80,IF(AND(CO$1&gt;=Units!$Q80,MOD(CO$1-Units!$Q80,12)=0),IF(AND(Units!$L80=1,CO$1=Units!$Q80),IF(Units!$J80&lt;&gt;"",Units!$J80,Mkt!CO81),Inputs!$B$15*Mkt!CO81+(1-Inputs!$B$15)*MIN(Mkt!CO81,CN81*(1+Inputs!$B$18))),CN81)))</f>
        <v>1592.68665572521</v>
      </c>
      <c r="CP81" s="11" t="n">
        <f aca="false">IF(CP$1&lt;Units!$P80,0,IF(AND(Units!$K80=0,CP$1=Units!$O80),Units!$R80,IF(AND(CP$1&gt;=Units!$Q80,MOD(CP$1-Units!$Q80,12)=0),IF(AND(Units!$L80=1,CP$1=Units!$Q80),IF(Units!$J80&lt;&gt;"",Units!$J80,Mkt!CP81),Inputs!$B$15*Mkt!CP81+(1-Inputs!$B$15)*MIN(Mkt!CP81,CO81*(1+Inputs!$B$18))),CO81)))</f>
        <v>1592.68665572521</v>
      </c>
      <c r="CQ81" s="11" t="n">
        <f aca="false">IF(CQ$1&lt;Units!$P80,0,IF(AND(Units!$K80=0,CQ$1=Units!$O80),Units!$R80,IF(AND(CQ$1&gt;=Units!$Q80,MOD(CQ$1-Units!$Q80,12)=0),IF(AND(Units!$L80=1,CQ$1=Units!$Q80),IF(Units!$J80&lt;&gt;"",Units!$J80,Mkt!CQ81),Inputs!$B$15*Mkt!CQ81+(1-Inputs!$B$15)*MIN(Mkt!CQ81,CP81*(1+Inputs!$B$18))),CP81)))</f>
        <v>1592.68665572521</v>
      </c>
      <c r="CR81" s="11" t="n">
        <f aca="false">IF(CR$1&lt;Units!$P80,0,IF(AND(Units!$K80=0,CR$1=Units!$O80),Units!$R80,IF(AND(CR$1&gt;=Units!$Q80,MOD(CR$1-Units!$Q80,12)=0),IF(AND(Units!$L80=1,CR$1=Units!$Q80),IF(Units!$J80&lt;&gt;"",Units!$J80,Mkt!CR81),Inputs!$B$15*Mkt!CR81+(1-Inputs!$B$15)*MIN(Mkt!CR81,CQ81*(1+Inputs!$B$18))),CQ81)))</f>
        <v>1592.68665572521</v>
      </c>
      <c r="CS81" s="11" t="n">
        <f aca="false">IF(CS$1&lt;Units!$P80,0,IF(AND(Units!$K80=0,CS$1=Units!$O80),Units!$R80,IF(AND(CS$1&gt;=Units!$Q80,MOD(CS$1-Units!$Q80,12)=0),IF(AND(Units!$L80=1,CS$1=Units!$Q80),IF(Units!$J80&lt;&gt;"",Units!$J80,Mkt!CS81),Inputs!$B$15*Mkt!CS81+(1-Inputs!$B$15)*MIN(Mkt!CS81,CR81*(1+Inputs!$B$18))),CR81)))</f>
        <v>1592.68665572521</v>
      </c>
      <c r="CT81" s="11" t="n">
        <f aca="false">IF(CT$1&lt;Units!$P80,0,IF(AND(Units!$K80=0,CT$1=Units!$O80),Units!$R80,IF(AND(CT$1&gt;=Units!$Q80,MOD(CT$1-Units!$Q80,12)=0),IF(AND(Units!$L80=1,CT$1=Units!$Q80),IF(Units!$J80&lt;&gt;"",Units!$J80,Mkt!CT81),Inputs!$B$15*Mkt!CT81+(1-Inputs!$B$15)*MIN(Mkt!CT81,CS81*(1+Inputs!$B$18))),CS81)))</f>
        <v>1592.68665572521</v>
      </c>
      <c r="CU81" s="11" t="n">
        <f aca="false">IF(CU$1&lt;Units!$P80,0,IF(AND(Units!$K80=0,CU$1=Units!$O80),Units!$R80,IF(AND(CU$1&gt;=Units!$Q80,MOD(CU$1-Units!$Q80,12)=0),IF(AND(Units!$L80=1,CU$1=Units!$Q80),IF(Units!$J80&lt;&gt;"",Units!$J80,Mkt!CU81),Inputs!$B$15*Mkt!CU81+(1-Inputs!$B$15)*MIN(Mkt!CU81,CT81*(1+Inputs!$B$18))),CT81)))</f>
        <v>1592.68665572521</v>
      </c>
      <c r="CV81" s="11" t="n">
        <f aca="false">IF(CV$1&lt;Units!$P80,0,IF(AND(Units!$K80=0,CV$1=Units!$O80),Units!$R80,IF(AND(CV$1&gt;=Units!$Q80,MOD(CV$1-Units!$Q80,12)=0),IF(AND(Units!$L80=1,CV$1=Units!$Q80),IF(Units!$J80&lt;&gt;"",Units!$J80,Mkt!CV81),Inputs!$B$15*Mkt!CV81+(1-Inputs!$B$15)*MIN(Mkt!CV81,CU81*(1+Inputs!$B$18))),CU81)))</f>
        <v>1592.68665572521</v>
      </c>
      <c r="CW81" s="11" t="n">
        <f aca="false">IF(CW$1&lt;Units!$P80,0,IF(AND(Units!$K80=0,CW$1=Units!$O80),Units!$R80,IF(AND(CW$1&gt;=Units!$Q80,MOD(CW$1-Units!$Q80,12)=0),IF(AND(Units!$L80=1,CW$1=Units!$Q80),IF(Units!$J80&lt;&gt;"",Units!$J80,Mkt!CW81),Inputs!$B$15*Mkt!CW81+(1-Inputs!$B$15)*MIN(Mkt!CW81,CV81*(1+Inputs!$B$18))),CV81)))</f>
        <v>1592.68665572521</v>
      </c>
      <c r="CX81" s="11" t="n">
        <f aca="false">IF(CX$1&lt;Units!$P80,0,IF(AND(Units!$K80=0,CX$1=Units!$O80),Units!$R80,IF(AND(CX$1&gt;=Units!$Q80,MOD(CX$1-Units!$Q80,12)=0),IF(AND(Units!$L80=1,CX$1=Units!$Q80),IF(Units!$J80&lt;&gt;"",Units!$J80,Mkt!CX81),Inputs!$B$15*Mkt!CX81+(1-Inputs!$B$15)*MIN(Mkt!CX81,CW81*(1+Inputs!$B$18))),CW81)))</f>
        <v>1640.46725539696</v>
      </c>
      <c r="CY81" s="11" t="n">
        <f aca="false">IF(CY$1&lt;Units!$P80,0,IF(AND(Units!$K80=0,CY$1=Units!$O80),Units!$R80,IF(AND(CY$1&gt;=Units!$Q80,MOD(CY$1-Units!$Q80,12)=0),IF(AND(Units!$L80=1,CY$1=Units!$Q80),IF(Units!$J80&lt;&gt;"",Units!$J80,Mkt!CY81),Inputs!$B$15*Mkt!CY81+(1-Inputs!$B$15)*MIN(Mkt!CY81,CX81*(1+Inputs!$B$18))),CX81)))</f>
        <v>1640.46725539696</v>
      </c>
      <c r="CZ81" s="11" t="n">
        <f aca="false">IF(CZ$1&lt;Units!$P80,0,IF(AND(Units!$K80=0,CZ$1=Units!$O80),Units!$R80,IF(AND(CZ$1&gt;=Units!$Q80,MOD(CZ$1-Units!$Q80,12)=0),IF(AND(Units!$L80=1,CZ$1=Units!$Q80),IF(Units!$J80&lt;&gt;"",Units!$J80,Mkt!CZ81),Inputs!$B$15*Mkt!CZ81+(1-Inputs!$B$15)*MIN(Mkt!CZ81,CY81*(1+Inputs!$B$18))),CY81)))</f>
        <v>1640.46725539696</v>
      </c>
      <c r="DA81" s="11" t="n">
        <f aca="false">IF(DA$1&lt;Units!$P80,0,IF(AND(Units!$K80=0,DA$1=Units!$O80),Units!$R80,IF(AND(DA$1&gt;=Units!$Q80,MOD(DA$1-Units!$Q80,12)=0),IF(AND(Units!$L80=1,DA$1=Units!$Q80),IF(Units!$J80&lt;&gt;"",Units!$J80,Mkt!DA81),Inputs!$B$15*Mkt!DA81+(1-Inputs!$B$15)*MIN(Mkt!DA81,CZ81*(1+Inputs!$B$18))),CZ81)))</f>
        <v>1640.46725539696</v>
      </c>
      <c r="DB81" s="11" t="n">
        <f aca="false">IF(DB$1&lt;Units!$P80,0,IF(AND(Units!$K80=0,DB$1=Units!$O80),Units!$R80,IF(AND(DB$1&gt;=Units!$Q80,MOD(DB$1-Units!$Q80,12)=0),IF(AND(Units!$L80=1,DB$1=Units!$Q80),IF(Units!$J80&lt;&gt;"",Units!$J80,Mkt!DB81),Inputs!$B$15*Mkt!DB81+(1-Inputs!$B$15)*MIN(Mkt!DB81,DA81*(1+Inputs!$B$18))),DA81)))</f>
        <v>1640.46725539696</v>
      </c>
      <c r="DC81" s="11" t="n">
        <f aca="false">IF(DC$1&lt;Units!$P80,0,IF(AND(Units!$K80=0,DC$1=Units!$O80),Units!$R80,IF(AND(DC$1&gt;=Units!$Q80,MOD(DC$1-Units!$Q80,12)=0),IF(AND(Units!$L80=1,DC$1=Units!$Q80),IF(Units!$J80&lt;&gt;"",Units!$J80,Mkt!DC81),Inputs!$B$15*Mkt!DC81+(1-Inputs!$B$15)*MIN(Mkt!DC81,DB81*(1+Inputs!$B$18))),DB81)))</f>
        <v>1640.46725539696</v>
      </c>
      <c r="DD81" s="11" t="n">
        <f aca="false">IF(DD$1&lt;Units!$P80,0,IF(AND(Units!$K80=0,DD$1=Units!$O80),Units!$R80,IF(AND(DD$1&gt;=Units!$Q80,MOD(DD$1-Units!$Q80,12)=0),IF(AND(Units!$L80=1,DD$1=Units!$Q80),IF(Units!$J80&lt;&gt;"",Units!$J80,Mkt!DD81),Inputs!$B$15*Mkt!DD81+(1-Inputs!$B$15)*MIN(Mkt!DD81,DC81*(1+Inputs!$B$18))),DC81)))</f>
        <v>1640.46725539696</v>
      </c>
      <c r="DE81" s="11" t="n">
        <f aca="false">IF(DE$1&lt;Units!$P80,0,IF(AND(Units!$K80=0,DE$1=Units!$O80),Units!$R80,IF(AND(DE$1&gt;=Units!$Q80,MOD(DE$1-Units!$Q80,12)=0),IF(AND(Units!$L80=1,DE$1=Units!$Q80),IF(Units!$J80&lt;&gt;"",Units!$J80,Mkt!DE81),Inputs!$B$15*Mkt!DE81+(1-Inputs!$B$15)*MIN(Mkt!DE81,DD81*(1+Inputs!$B$18))),DD81)))</f>
        <v>1640.46725539696</v>
      </c>
      <c r="DF81" s="11" t="n">
        <f aca="false">IF(DF$1&lt;Units!$P80,0,IF(AND(Units!$K80=0,DF$1=Units!$O80),Units!$R80,IF(AND(DF$1&gt;=Units!$Q80,MOD(DF$1-Units!$Q80,12)=0),IF(AND(Units!$L80=1,DF$1=Units!$Q80),IF(Units!$J80&lt;&gt;"",Units!$J80,Mkt!DF81),Inputs!$B$15*Mkt!DF81+(1-Inputs!$B$15)*MIN(Mkt!DF81,DE81*(1+Inputs!$B$18))),DE81)))</f>
        <v>1640.46725539696</v>
      </c>
      <c r="DG81" s="11" t="n">
        <f aca="false">IF(DG$1&lt;Units!$P80,0,IF(AND(Units!$K80=0,DG$1=Units!$O80),Units!$R80,IF(AND(DG$1&gt;=Units!$Q80,MOD(DG$1-Units!$Q80,12)=0),IF(AND(Units!$L80=1,DG$1=Units!$Q80),IF(Units!$J80&lt;&gt;"",Units!$J80,Mkt!DG81),Inputs!$B$15*Mkt!DG81+(1-Inputs!$B$15)*MIN(Mkt!DG81,DF81*(1+Inputs!$B$18))),DF81)))</f>
        <v>1640.46725539696</v>
      </c>
      <c r="DH81" s="11" t="n">
        <f aca="false">IF(DH$1&lt;Units!$P80,0,IF(AND(Units!$K80=0,DH$1=Units!$O80),Units!$R80,IF(AND(DH$1&gt;=Units!$Q80,MOD(DH$1-Units!$Q80,12)=0),IF(AND(Units!$L80=1,DH$1=Units!$Q80),IF(Units!$J80&lt;&gt;"",Units!$J80,Mkt!DH81),Inputs!$B$15*Mkt!DH81+(1-Inputs!$B$15)*MIN(Mkt!DH81,DG81*(1+Inputs!$B$18))),DG81)))</f>
        <v>1640.46725539696</v>
      </c>
      <c r="DI81" s="11" t="n">
        <f aca="false">IF(DI$1&lt;Units!$P80,0,IF(AND(Units!$K80=0,DI$1=Units!$O80),Units!$R80,IF(AND(DI$1&gt;=Units!$Q80,MOD(DI$1-Units!$Q80,12)=0),IF(AND(Units!$L80=1,DI$1=Units!$Q80),IF(Units!$J80&lt;&gt;"",Units!$J80,Mkt!DI81),Inputs!$B$15*Mkt!DI81+(1-Inputs!$B$15)*MIN(Mkt!DI81,DH81*(1+Inputs!$B$18))),DH81)))</f>
        <v>1640.46725539696</v>
      </c>
      <c r="DJ81" s="11" t="n">
        <f aca="false">IF(DJ$1&lt;Units!$P80,0,IF(AND(Units!$K80=0,DJ$1=Units!$O80),Units!$R80,IF(AND(DJ$1&gt;=Units!$Q80,MOD(DJ$1-Units!$Q80,12)=0),IF(AND(Units!$L80=1,DJ$1=Units!$Q80),IF(Units!$J80&lt;&gt;"",Units!$J80,Mkt!DJ81),Inputs!$B$15*Mkt!DJ81+(1-Inputs!$B$15)*MIN(Mkt!DJ81,DI81*(1+Inputs!$B$18))),DI81)))</f>
        <v>1689.68127305887</v>
      </c>
      <c r="DK81" s="11" t="n">
        <f aca="false">IF(DK$1&lt;Units!$P80,0,IF(AND(Units!$K80=0,DK$1=Units!$O80),Units!$R80,IF(AND(DK$1&gt;=Units!$Q80,MOD(DK$1-Units!$Q80,12)=0),IF(AND(Units!$L80=1,DK$1=Units!$Q80),IF(Units!$J80&lt;&gt;"",Units!$J80,Mkt!DK81),Inputs!$B$15*Mkt!DK81+(1-Inputs!$B$15)*MIN(Mkt!DK81,DJ81*(1+Inputs!$B$18))),DJ81)))</f>
        <v>1689.68127305887</v>
      </c>
      <c r="DL81" s="11" t="n">
        <f aca="false">IF(DL$1&lt;Units!$P80,0,IF(AND(Units!$K80=0,DL$1=Units!$O80),Units!$R80,IF(AND(DL$1&gt;=Units!$Q80,MOD(DL$1-Units!$Q80,12)=0),IF(AND(Units!$L80=1,DL$1=Units!$Q80),IF(Units!$J80&lt;&gt;"",Units!$J80,Mkt!DL81),Inputs!$B$15*Mkt!DL81+(1-Inputs!$B$15)*MIN(Mkt!DL81,DK81*(1+Inputs!$B$18))),DK81)))</f>
        <v>1689.68127305887</v>
      </c>
      <c r="DM81" s="11" t="n">
        <f aca="false">IF(DM$1&lt;Units!$P80,0,IF(AND(Units!$K80=0,DM$1=Units!$O80),Units!$R80,IF(AND(DM$1&gt;=Units!$Q80,MOD(DM$1-Units!$Q80,12)=0),IF(AND(Units!$L80=1,DM$1=Units!$Q80),IF(Units!$J80&lt;&gt;"",Units!$J80,Mkt!DM81),Inputs!$B$15*Mkt!DM81+(1-Inputs!$B$15)*MIN(Mkt!DM81,DL81*(1+Inputs!$B$18))),DL81)))</f>
        <v>1689.68127305887</v>
      </c>
      <c r="DN81" s="11" t="n">
        <f aca="false">IF(DN$1&lt;Units!$P80,0,IF(AND(Units!$K80=0,DN$1=Units!$O80),Units!$R80,IF(AND(DN$1&gt;=Units!$Q80,MOD(DN$1-Units!$Q80,12)=0),IF(AND(Units!$L80=1,DN$1=Units!$Q80),IF(Units!$J80&lt;&gt;"",Units!$J80,Mkt!DN81),Inputs!$B$15*Mkt!DN81+(1-Inputs!$B$15)*MIN(Mkt!DN81,DM81*(1+Inputs!$B$18))),DM81)))</f>
        <v>1689.68127305887</v>
      </c>
      <c r="DO81" s="11" t="n">
        <f aca="false">IF(DO$1&lt;Units!$P80,0,IF(AND(Units!$K80=0,DO$1=Units!$O80),Units!$R80,IF(AND(DO$1&gt;=Units!$Q80,MOD(DO$1-Units!$Q80,12)=0),IF(AND(Units!$L80=1,DO$1=Units!$Q80),IF(Units!$J80&lt;&gt;"",Units!$J80,Mkt!DO81),Inputs!$B$15*Mkt!DO81+(1-Inputs!$B$15)*MIN(Mkt!DO81,DN81*(1+Inputs!$B$18))),DN81)))</f>
        <v>1689.68127305887</v>
      </c>
      <c r="DP81" s="11" t="n">
        <f aca="false">IF(DP$1&lt;Units!$P80,0,IF(AND(Units!$K80=0,DP$1=Units!$O80),Units!$R80,IF(AND(DP$1&gt;=Units!$Q80,MOD(DP$1-Units!$Q80,12)=0),IF(AND(Units!$L80=1,DP$1=Units!$Q80),IF(Units!$J80&lt;&gt;"",Units!$J80,Mkt!DP81),Inputs!$B$15*Mkt!DP81+(1-Inputs!$B$15)*MIN(Mkt!DP81,DO81*(1+Inputs!$B$18))),DO81)))</f>
        <v>1689.68127305887</v>
      </c>
      <c r="DQ81" s="11" t="n">
        <f aca="false">IF(DQ$1&lt;Units!$P80,0,IF(AND(Units!$K80=0,DQ$1=Units!$O80),Units!$R80,IF(AND(DQ$1&gt;=Units!$Q80,MOD(DQ$1-Units!$Q80,12)=0),IF(AND(Units!$L80=1,DQ$1=Units!$Q80),IF(Units!$J80&lt;&gt;"",Units!$J80,Mkt!DQ81),Inputs!$B$15*Mkt!DQ81+(1-Inputs!$B$15)*MIN(Mkt!DQ81,DP81*(1+Inputs!$B$18))),DP81)))</f>
        <v>1689.68127305887</v>
      </c>
      <c r="DR81" s="11" t="n">
        <f aca="false">IF(DR$1&lt;Units!$P80,0,IF(AND(Units!$K80=0,DR$1=Units!$O80),Units!$R80,IF(AND(DR$1&gt;=Units!$Q80,MOD(DR$1-Units!$Q80,12)=0),IF(AND(Units!$L80=1,DR$1=Units!$Q80),IF(Units!$J80&lt;&gt;"",Units!$J80,Mkt!DR81),Inputs!$B$15*Mkt!DR81+(1-Inputs!$B$15)*MIN(Mkt!DR81,DQ81*(1+Inputs!$B$18))),DQ81)))</f>
        <v>1689.68127305887</v>
      </c>
      <c r="DS81" s="11" t="n">
        <f aca="false">IF(DS$1&lt;Units!$P80,0,IF(AND(Units!$K80=0,DS$1=Units!$O80),Units!$R80,IF(AND(DS$1&gt;=Units!$Q80,MOD(DS$1-Units!$Q80,12)=0),IF(AND(Units!$L80=1,DS$1=Units!$Q80),IF(Units!$J80&lt;&gt;"",Units!$J80,Mkt!DS81),Inputs!$B$15*Mkt!DS81+(1-Inputs!$B$15)*MIN(Mkt!DS81,DR81*(1+Inputs!$B$18))),DR81)))</f>
        <v>1689.68127305887</v>
      </c>
      <c r="DT81" s="11" t="n">
        <f aca="false">IF(DT$1&lt;Units!$P80,0,IF(AND(Units!$K80=0,DT$1=Units!$O80),Units!$R80,IF(AND(DT$1&gt;=Units!$Q80,MOD(DT$1-Units!$Q80,12)=0),IF(AND(Units!$L80=1,DT$1=Units!$Q80),IF(Units!$J80&lt;&gt;"",Units!$J80,Mkt!DT81),Inputs!$B$15*Mkt!DT81+(1-Inputs!$B$15)*MIN(Mkt!DT81,DS81*(1+Inputs!$B$18))),DS81)))</f>
        <v>1689.68127305887</v>
      </c>
      <c r="DU81" s="11" t="n">
        <f aca="false">IF(DU$1&lt;Units!$P80,0,IF(AND(Units!$K80=0,DU$1=Units!$O80),Units!$R80,IF(AND(DU$1&gt;=Units!$Q80,MOD(DU$1-Units!$Q80,12)=0),IF(AND(Units!$L80=1,DU$1=Units!$Q80),IF(Units!$J80&lt;&gt;"",Units!$J80,Mkt!DU81),Inputs!$B$15*Mkt!DU81+(1-Inputs!$B$15)*MIN(Mkt!DU81,DT81*(1+Inputs!$B$18))),DT81)))</f>
        <v>1689.68127305887</v>
      </c>
      <c r="DV81" s="11" t="n">
        <f aca="false">IF(DV$1&lt;Units!$P80,0,IF(AND(Units!$K80=0,DV$1=Units!$O80),Units!$R80,IF(AND(DV$1&gt;=Units!$Q80,MOD(DV$1-Units!$Q80,12)=0),IF(AND(Units!$L80=1,DV$1=Units!$Q80),IF(Units!$J80&lt;&gt;"",Units!$J80,Mkt!DV81),Inputs!$B$15*Mkt!DV81+(1-Inputs!$B$15)*MIN(Mkt!DV81,DU81*(1+Inputs!$B$18))),DU81)))</f>
        <v>1740.37171125064</v>
      </c>
      <c r="DW81" s="11" t="n">
        <f aca="false">IF(DW$1&lt;Units!$P80,0,IF(AND(Units!$K80=0,DW$1=Units!$O80),Units!$R80,IF(AND(DW$1&gt;=Units!$Q80,MOD(DW$1-Units!$Q80,12)=0),IF(AND(Units!$L80=1,DW$1=Units!$Q80),IF(Units!$J80&lt;&gt;"",Units!$J80,Mkt!DW81),Inputs!$B$15*Mkt!DW81+(1-Inputs!$B$15)*MIN(Mkt!DW81,DV81*(1+Inputs!$B$18))),DV81)))</f>
        <v>1740.37171125064</v>
      </c>
      <c r="DX81" s="11" t="n">
        <f aca="false">IF(DX$1&lt;Units!$P80,0,IF(AND(Units!$K80=0,DX$1=Units!$O80),Units!$R80,IF(AND(DX$1&gt;=Units!$Q80,MOD(DX$1-Units!$Q80,12)=0),IF(AND(Units!$L80=1,DX$1=Units!$Q80),IF(Units!$J80&lt;&gt;"",Units!$J80,Mkt!DX81),Inputs!$B$15*Mkt!DX81+(1-Inputs!$B$15)*MIN(Mkt!DX81,DW81*(1+Inputs!$B$18))),DW81)))</f>
        <v>1740.37171125064</v>
      </c>
      <c r="DY81" s="11" t="n">
        <f aca="false">IF(DY$1&lt;Units!$P80,0,IF(AND(Units!$K80=0,DY$1=Units!$O80),Units!$R80,IF(AND(DY$1&gt;=Units!$Q80,MOD(DY$1-Units!$Q80,12)=0),IF(AND(Units!$L80=1,DY$1=Units!$Q80),IF(Units!$J80&lt;&gt;"",Units!$J80,Mkt!DY81),Inputs!$B$15*Mkt!DY81+(1-Inputs!$B$15)*MIN(Mkt!DY81,DX81*(1+Inputs!$B$18))),DX81)))</f>
        <v>1740.37171125064</v>
      </c>
      <c r="DZ81" s="11" t="n">
        <f aca="false">IF(DZ$1&lt;Units!$P80,0,IF(AND(Units!$K80=0,DZ$1=Units!$O80),Units!$R80,IF(AND(DZ$1&gt;=Units!$Q80,MOD(DZ$1-Units!$Q80,12)=0),IF(AND(Units!$L80=1,DZ$1=Units!$Q80),IF(Units!$J80&lt;&gt;"",Units!$J80,Mkt!DZ81),Inputs!$B$15*Mkt!DZ81+(1-Inputs!$B$15)*MIN(Mkt!DZ81,DY81*(1+Inputs!$B$18))),DY81)))</f>
        <v>1740.37171125064</v>
      </c>
      <c r="EA81" s="11" t="n">
        <f aca="false">IF(EA$1&lt;Units!$P80,0,IF(AND(Units!$K80=0,EA$1=Units!$O80),Units!$R80,IF(AND(EA$1&gt;=Units!$Q80,MOD(EA$1-Units!$Q80,12)=0),IF(AND(Units!$L80=1,EA$1=Units!$Q80),IF(Units!$J80&lt;&gt;"",Units!$J80,Mkt!EA81),Inputs!$B$15*Mkt!EA81+(1-Inputs!$B$15)*MIN(Mkt!EA81,DZ81*(1+Inputs!$B$18))),DZ81)))</f>
        <v>1740.37171125064</v>
      </c>
      <c r="EB81" s="11" t="n">
        <f aca="false">IF(EB$1&lt;Units!$P80,0,IF(AND(Units!$K80=0,EB$1=Units!$O80),Units!$R80,IF(AND(EB$1&gt;=Units!$Q80,MOD(EB$1-Units!$Q80,12)=0),IF(AND(Units!$L80=1,EB$1=Units!$Q80),IF(Units!$J80&lt;&gt;"",Units!$J80,Mkt!EB81),Inputs!$B$15*Mkt!EB81+(1-Inputs!$B$15)*MIN(Mkt!EB81,EA81*(1+Inputs!$B$18))),EA81)))</f>
        <v>1740.37171125064</v>
      </c>
      <c r="EC81" s="11" t="n">
        <f aca="false">IF(EC$1&lt;Units!$P80,0,IF(AND(Units!$K80=0,EC$1=Units!$O80),Units!$R80,IF(AND(EC$1&gt;=Units!$Q80,MOD(EC$1-Units!$Q80,12)=0),IF(AND(Units!$L80=1,EC$1=Units!$Q80),IF(Units!$J80&lt;&gt;"",Units!$J80,Mkt!EC81),Inputs!$B$15*Mkt!EC81+(1-Inputs!$B$15)*MIN(Mkt!EC81,EB81*(1+Inputs!$B$18))),EB81)))</f>
        <v>1740.37171125064</v>
      </c>
      <c r="ED81" s="11" t="n">
        <f aca="false">IF(ED$1&lt;Units!$P80,0,IF(AND(Units!$K80=0,ED$1=Units!$O80),Units!$R80,IF(AND(ED$1&gt;=Units!$Q80,MOD(ED$1-Units!$Q80,12)=0),IF(AND(Units!$L80=1,ED$1=Units!$Q80),IF(Units!$J80&lt;&gt;"",Units!$J80,Mkt!ED81),Inputs!$B$15*Mkt!ED81+(1-Inputs!$B$15)*MIN(Mkt!ED81,EC81*(1+Inputs!$B$18))),EC81)))</f>
        <v>1740.37171125064</v>
      </c>
    </row>
    <row r="82" customFormat="false" ht="15" hidden="false" customHeight="false" outlineLevel="0" collapsed="false">
      <c r="A82" s="22" t="n">
        <f aca="false">Units!A81</f>
        <v>320</v>
      </c>
      <c r="B82" s="24" t="n">
        <f aca="false">IF(Units!K81=1,Units!F81,0)</f>
        <v>1475</v>
      </c>
      <c r="C82" s="11" t="n">
        <f aca="false">IF(C$1&lt;Units!$P81,0,IF(AND(Units!$K81=0,C$1=Units!$O81),Units!$R81,IF(AND(C$1&gt;=Units!$Q81,MOD(C$1-Units!$Q81,12)=0),IF(AND(Units!$L81=1,C$1=Units!$Q81),IF(Units!$J81&lt;&gt;"",Units!$J81,Mkt!C82),Inputs!$B$15*Mkt!C82+(1-Inputs!$B$15)*MIN(Mkt!C82,B82*(1+Inputs!$B$18))),B82)))</f>
        <v>1475</v>
      </c>
      <c r="D82" s="11" t="n">
        <f aca="false">IF(D$1&lt;Units!$P81,0,IF(AND(Units!$K81=0,D$1=Units!$O81),Units!$R81,IF(AND(D$1&gt;=Units!$Q81,MOD(D$1-Units!$Q81,12)=0),IF(AND(Units!$L81=1,D$1=Units!$Q81),IF(Units!$J81&lt;&gt;"",Units!$J81,Mkt!D82),Inputs!$B$15*Mkt!D82+(1-Inputs!$B$15)*MIN(Mkt!D82,C82*(1+Inputs!$B$18))),C82)))</f>
        <v>1475</v>
      </c>
      <c r="E82" s="11" t="n">
        <f aca="false">IF(E$1&lt;Units!$P81,0,IF(AND(Units!$K81=0,E$1=Units!$O81),Units!$R81,IF(AND(E$1&gt;=Units!$Q81,MOD(E$1-Units!$Q81,12)=0),IF(AND(Units!$L81=1,E$1=Units!$Q81),IF(Units!$J81&lt;&gt;"",Units!$J81,Mkt!E82),Inputs!$B$15*Mkt!E82+(1-Inputs!$B$15)*MIN(Mkt!E82,D82*(1+Inputs!$B$18))),D82)))</f>
        <v>1699.375</v>
      </c>
      <c r="F82" s="11" t="n">
        <f aca="false">IF(F$1&lt;Units!$P81,0,IF(AND(Units!$K81=0,F$1=Units!$O81),Units!$R81,IF(AND(F$1&gt;=Units!$Q81,MOD(F$1-Units!$Q81,12)=0),IF(AND(Units!$L81=1,F$1=Units!$Q81),IF(Units!$J81&lt;&gt;"",Units!$J81,Mkt!F82),Inputs!$B$15*Mkt!F82+(1-Inputs!$B$15)*MIN(Mkt!F82,E82*(1+Inputs!$B$18))),E82)))</f>
        <v>1699.375</v>
      </c>
      <c r="G82" s="11" t="n">
        <f aca="false">IF(G$1&lt;Units!$P81,0,IF(AND(Units!$K81=0,G$1=Units!$O81),Units!$R81,IF(AND(G$1&gt;=Units!$Q81,MOD(G$1-Units!$Q81,12)=0),IF(AND(Units!$L81=1,G$1=Units!$Q81),IF(Units!$J81&lt;&gt;"",Units!$J81,Mkt!G82),Inputs!$B$15*Mkt!G82+(1-Inputs!$B$15)*MIN(Mkt!G82,F82*(1+Inputs!$B$18))),F82)))</f>
        <v>1699.375</v>
      </c>
      <c r="H82" s="11" t="n">
        <f aca="false">IF(H$1&lt;Units!$P81,0,IF(AND(Units!$K81=0,H$1=Units!$O81),Units!$R81,IF(AND(H$1&gt;=Units!$Q81,MOD(H$1-Units!$Q81,12)=0),IF(AND(Units!$L81=1,H$1=Units!$Q81),IF(Units!$J81&lt;&gt;"",Units!$J81,Mkt!H82),Inputs!$B$15*Mkt!H82+(1-Inputs!$B$15)*MIN(Mkt!H82,G82*(1+Inputs!$B$18))),G82)))</f>
        <v>1699.375</v>
      </c>
      <c r="I82" s="11" t="n">
        <f aca="false">IF(I$1&lt;Units!$P81,0,IF(AND(Units!$K81=0,I$1=Units!$O81),Units!$R81,IF(AND(I$1&gt;=Units!$Q81,MOD(I$1-Units!$Q81,12)=0),IF(AND(Units!$L81=1,I$1=Units!$Q81),IF(Units!$J81&lt;&gt;"",Units!$J81,Mkt!I82),Inputs!$B$15*Mkt!I82+(1-Inputs!$B$15)*MIN(Mkt!I82,H82*(1+Inputs!$B$18))),H82)))</f>
        <v>1699.375</v>
      </c>
      <c r="J82" s="11" t="n">
        <f aca="false">IF(J$1&lt;Units!$P81,0,IF(AND(Units!$K81=0,J$1=Units!$O81),Units!$R81,IF(AND(J$1&gt;=Units!$Q81,MOD(J$1-Units!$Q81,12)=0),IF(AND(Units!$L81=1,J$1=Units!$Q81),IF(Units!$J81&lt;&gt;"",Units!$J81,Mkt!J82),Inputs!$B$15*Mkt!J82+(1-Inputs!$B$15)*MIN(Mkt!J82,I82*(1+Inputs!$B$18))),I82)))</f>
        <v>1699.375</v>
      </c>
      <c r="K82" s="11" t="n">
        <f aca="false">IF(K$1&lt;Units!$P81,0,IF(AND(Units!$K81=0,K$1=Units!$O81),Units!$R81,IF(AND(K$1&gt;=Units!$Q81,MOD(K$1-Units!$Q81,12)=0),IF(AND(Units!$L81=1,K$1=Units!$Q81),IF(Units!$J81&lt;&gt;"",Units!$J81,Mkt!K82),Inputs!$B$15*Mkt!K82+(1-Inputs!$B$15)*MIN(Mkt!K82,J82*(1+Inputs!$B$18))),J82)))</f>
        <v>1699.375</v>
      </c>
      <c r="L82" s="11" t="n">
        <f aca="false">IF(L$1&lt;Units!$P81,0,IF(AND(Units!$K81=0,L$1=Units!$O81),Units!$R81,IF(AND(L$1&gt;=Units!$Q81,MOD(L$1-Units!$Q81,12)=0),IF(AND(Units!$L81=1,L$1=Units!$Q81),IF(Units!$J81&lt;&gt;"",Units!$J81,Mkt!L82),Inputs!$B$15*Mkt!L82+(1-Inputs!$B$15)*MIN(Mkt!L82,K82*(1+Inputs!$B$18))),K82)))</f>
        <v>1699.375</v>
      </c>
      <c r="M82" s="11" t="n">
        <f aca="false">IF(M$1&lt;Units!$P81,0,IF(AND(Units!$K81=0,M$1=Units!$O81),Units!$R81,IF(AND(M$1&gt;=Units!$Q81,MOD(M$1-Units!$Q81,12)=0),IF(AND(Units!$L81=1,M$1=Units!$Q81),IF(Units!$J81&lt;&gt;"",Units!$J81,Mkt!M82),Inputs!$B$15*Mkt!M82+(1-Inputs!$B$15)*MIN(Mkt!M82,L82*(1+Inputs!$B$18))),L82)))</f>
        <v>1699.375</v>
      </c>
      <c r="N82" s="11" t="n">
        <f aca="false">IF(N$1&lt;Units!$P81,0,IF(AND(Units!$K81=0,N$1=Units!$O81),Units!$R81,IF(AND(N$1&gt;=Units!$Q81,MOD(N$1-Units!$Q81,12)=0),IF(AND(Units!$L81=1,N$1=Units!$Q81),IF(Units!$J81&lt;&gt;"",Units!$J81,Mkt!N82),Inputs!$B$15*Mkt!N82+(1-Inputs!$B$15)*MIN(Mkt!N82,M82*(1+Inputs!$B$18))),M82)))</f>
        <v>1699.375</v>
      </c>
      <c r="O82" s="11" t="n">
        <f aca="false">IF(O$1&lt;Units!$P81,0,IF(AND(Units!$K81=0,O$1=Units!$O81),Units!$R81,IF(AND(O$1&gt;=Units!$Q81,MOD(O$1-Units!$Q81,12)=0),IF(AND(Units!$L81=1,O$1=Units!$Q81),IF(Units!$J81&lt;&gt;"",Units!$J81,Mkt!O82),Inputs!$B$15*Mkt!O82+(1-Inputs!$B$15)*MIN(Mkt!O82,N82*(1+Inputs!$B$18))),N82)))</f>
        <v>1699.375</v>
      </c>
      <c r="P82" s="11" t="n">
        <f aca="false">IF(P$1&lt;Units!$P81,0,IF(AND(Units!$K81=0,P$1=Units!$O81),Units!$R81,IF(AND(P$1&gt;=Units!$Q81,MOD(P$1-Units!$Q81,12)=0),IF(AND(Units!$L81=1,P$1=Units!$Q81),IF(Units!$J81&lt;&gt;"",Units!$J81,Mkt!P82),Inputs!$B$15*Mkt!P82+(1-Inputs!$B$15)*MIN(Mkt!P82,O82*(1+Inputs!$B$18))),O82)))</f>
        <v>1699.375</v>
      </c>
      <c r="Q82" s="11" t="n">
        <f aca="false">IF(Q$1&lt;Units!$P81,0,IF(AND(Units!$K81=0,Q$1=Units!$O81),Units!$R81,IF(AND(Q$1&gt;=Units!$Q81,MOD(Q$1-Units!$Q81,12)=0),IF(AND(Units!$L81=1,Q$1=Units!$Q81),IF(Units!$J81&lt;&gt;"",Units!$J81,Mkt!Q82),Inputs!$B$15*Mkt!Q82+(1-Inputs!$B$15)*MIN(Mkt!Q82,P82*(1+Inputs!$B$18))),P82)))</f>
        <v>1844.921875</v>
      </c>
      <c r="R82" s="11" t="n">
        <f aca="false">IF(R$1&lt;Units!$P81,0,IF(AND(Units!$K81=0,R$1=Units!$O81),Units!$R81,IF(AND(R$1&gt;=Units!$Q81,MOD(R$1-Units!$Q81,12)=0),IF(AND(Units!$L81=1,R$1=Units!$Q81),IF(Units!$J81&lt;&gt;"",Units!$J81,Mkt!R82),Inputs!$B$15*Mkt!R82+(1-Inputs!$B$15)*MIN(Mkt!R82,Q82*(1+Inputs!$B$18))),Q82)))</f>
        <v>1844.921875</v>
      </c>
      <c r="S82" s="11" t="n">
        <f aca="false">IF(S$1&lt;Units!$P81,0,IF(AND(Units!$K81=0,S$1=Units!$O81),Units!$R81,IF(AND(S$1&gt;=Units!$Q81,MOD(S$1-Units!$Q81,12)=0),IF(AND(Units!$L81=1,S$1=Units!$Q81),IF(Units!$J81&lt;&gt;"",Units!$J81,Mkt!S82),Inputs!$B$15*Mkt!S82+(1-Inputs!$B$15)*MIN(Mkt!S82,R82*(1+Inputs!$B$18))),R82)))</f>
        <v>1844.921875</v>
      </c>
      <c r="T82" s="11" t="n">
        <f aca="false">IF(T$1&lt;Units!$P81,0,IF(AND(Units!$K81=0,T$1=Units!$O81),Units!$R81,IF(AND(T$1&gt;=Units!$Q81,MOD(T$1-Units!$Q81,12)=0),IF(AND(Units!$L81=1,T$1=Units!$Q81),IF(Units!$J81&lt;&gt;"",Units!$J81,Mkt!T82),Inputs!$B$15*Mkt!T82+(1-Inputs!$B$15)*MIN(Mkt!T82,S82*(1+Inputs!$B$18))),S82)))</f>
        <v>1844.921875</v>
      </c>
      <c r="U82" s="11" t="n">
        <f aca="false">IF(U$1&lt;Units!$P81,0,IF(AND(Units!$K81=0,U$1=Units!$O81),Units!$R81,IF(AND(U$1&gt;=Units!$Q81,MOD(U$1-Units!$Q81,12)=0),IF(AND(Units!$L81=1,U$1=Units!$Q81),IF(Units!$J81&lt;&gt;"",Units!$J81,Mkt!U82),Inputs!$B$15*Mkt!U82+(1-Inputs!$B$15)*MIN(Mkt!U82,T82*(1+Inputs!$B$18))),T82)))</f>
        <v>1844.921875</v>
      </c>
      <c r="V82" s="11" t="n">
        <f aca="false">IF(V$1&lt;Units!$P81,0,IF(AND(Units!$K81=0,V$1=Units!$O81),Units!$R81,IF(AND(V$1&gt;=Units!$Q81,MOD(V$1-Units!$Q81,12)=0),IF(AND(Units!$L81=1,V$1=Units!$Q81),IF(Units!$J81&lt;&gt;"",Units!$J81,Mkt!V82),Inputs!$B$15*Mkt!V82+(1-Inputs!$B$15)*MIN(Mkt!V82,U82*(1+Inputs!$B$18))),U82)))</f>
        <v>1844.921875</v>
      </c>
      <c r="W82" s="11" t="n">
        <f aca="false">IF(W$1&lt;Units!$P81,0,IF(AND(Units!$K81=0,W$1=Units!$O81),Units!$R81,IF(AND(W$1&gt;=Units!$Q81,MOD(W$1-Units!$Q81,12)=0),IF(AND(Units!$L81=1,W$1=Units!$Q81),IF(Units!$J81&lt;&gt;"",Units!$J81,Mkt!W82),Inputs!$B$15*Mkt!W82+(1-Inputs!$B$15)*MIN(Mkt!W82,V82*(1+Inputs!$B$18))),V82)))</f>
        <v>1844.921875</v>
      </c>
      <c r="X82" s="11" t="n">
        <f aca="false">IF(X$1&lt;Units!$P81,0,IF(AND(Units!$K81=0,X$1=Units!$O81),Units!$R81,IF(AND(X$1&gt;=Units!$Q81,MOD(X$1-Units!$Q81,12)=0),IF(AND(Units!$L81=1,X$1=Units!$Q81),IF(Units!$J81&lt;&gt;"",Units!$J81,Mkt!X82),Inputs!$B$15*Mkt!X82+(1-Inputs!$B$15)*MIN(Mkt!X82,W82*(1+Inputs!$B$18))),W82)))</f>
        <v>1844.921875</v>
      </c>
      <c r="Y82" s="11" t="n">
        <f aca="false">IF(Y$1&lt;Units!$P81,0,IF(AND(Units!$K81=0,Y$1=Units!$O81),Units!$R81,IF(AND(Y$1&gt;=Units!$Q81,MOD(Y$1-Units!$Q81,12)=0),IF(AND(Units!$L81=1,Y$1=Units!$Q81),IF(Units!$J81&lt;&gt;"",Units!$J81,Mkt!Y82),Inputs!$B$15*Mkt!Y82+(1-Inputs!$B$15)*MIN(Mkt!Y82,X82*(1+Inputs!$B$18))),X82)))</f>
        <v>1844.921875</v>
      </c>
      <c r="Z82" s="11" t="n">
        <f aca="false">IF(Z$1&lt;Units!$P81,0,IF(AND(Units!$K81=0,Z$1=Units!$O81),Units!$R81,IF(AND(Z$1&gt;=Units!$Q81,MOD(Z$1-Units!$Q81,12)=0),IF(AND(Units!$L81=1,Z$1=Units!$Q81),IF(Units!$J81&lt;&gt;"",Units!$J81,Mkt!Z82),Inputs!$B$15*Mkt!Z82+(1-Inputs!$B$15)*MIN(Mkt!Z82,Y82*(1+Inputs!$B$18))),Y82)))</f>
        <v>1844.921875</v>
      </c>
      <c r="AA82" s="11" t="n">
        <f aca="false">IF(AA$1&lt;Units!$P81,0,IF(AND(Units!$K81=0,AA$1=Units!$O81),Units!$R81,IF(AND(AA$1&gt;=Units!$Q81,MOD(AA$1-Units!$Q81,12)=0),IF(AND(Units!$L81=1,AA$1=Units!$Q81),IF(Units!$J81&lt;&gt;"",Units!$J81,Mkt!AA82),Inputs!$B$15*Mkt!AA82+(1-Inputs!$B$15)*MIN(Mkt!AA82,Z82*(1+Inputs!$B$18))),Z82)))</f>
        <v>1844.921875</v>
      </c>
      <c r="AB82" s="11" t="n">
        <f aca="false">IF(AB$1&lt;Units!$P81,0,IF(AND(Units!$K81=0,AB$1=Units!$O81),Units!$R81,IF(AND(AB$1&gt;=Units!$Q81,MOD(AB$1-Units!$Q81,12)=0),IF(AND(Units!$L81=1,AB$1=Units!$Q81),IF(Units!$J81&lt;&gt;"",Units!$J81,Mkt!AB82),Inputs!$B$15*Mkt!AB82+(1-Inputs!$B$15)*MIN(Mkt!AB82,AA82*(1+Inputs!$B$18))),AA82)))</f>
        <v>1844.921875</v>
      </c>
      <c r="AC82" s="11" t="n">
        <f aca="false">IF(AC$1&lt;Units!$P81,0,IF(AND(Units!$K81=0,AC$1=Units!$O81),Units!$R81,IF(AND(AC$1&gt;=Units!$Q81,MOD(AC$1-Units!$Q81,12)=0),IF(AND(Units!$L81=1,AC$1=Units!$Q81),IF(Units!$J81&lt;&gt;"",Units!$J81,Mkt!AC82),Inputs!$B$15*Mkt!AC82+(1-Inputs!$B$15)*MIN(Mkt!AC82,AB82*(1+Inputs!$B$18))),AB82)))</f>
        <v>1949.916484375</v>
      </c>
      <c r="AD82" s="11" t="n">
        <f aca="false">IF(AD$1&lt;Units!$P81,0,IF(AND(Units!$K81=0,AD$1=Units!$O81),Units!$R81,IF(AND(AD$1&gt;=Units!$Q81,MOD(AD$1-Units!$Q81,12)=0),IF(AND(Units!$L81=1,AD$1=Units!$Q81),IF(Units!$J81&lt;&gt;"",Units!$J81,Mkt!AD82),Inputs!$B$15*Mkt!AD82+(1-Inputs!$B$15)*MIN(Mkt!AD82,AC82*(1+Inputs!$B$18))),AC82)))</f>
        <v>1949.916484375</v>
      </c>
      <c r="AE82" s="11" t="n">
        <f aca="false">IF(AE$1&lt;Units!$P81,0,IF(AND(Units!$K81=0,AE$1=Units!$O81),Units!$R81,IF(AND(AE$1&gt;=Units!$Q81,MOD(AE$1-Units!$Q81,12)=0),IF(AND(Units!$L81=1,AE$1=Units!$Q81),IF(Units!$J81&lt;&gt;"",Units!$J81,Mkt!AE82),Inputs!$B$15*Mkt!AE82+(1-Inputs!$B$15)*MIN(Mkt!AE82,AD82*(1+Inputs!$B$18))),AD82)))</f>
        <v>1949.916484375</v>
      </c>
      <c r="AF82" s="11" t="n">
        <f aca="false">IF(AF$1&lt;Units!$P81,0,IF(AND(Units!$K81=0,AF$1=Units!$O81),Units!$R81,IF(AND(AF$1&gt;=Units!$Q81,MOD(AF$1-Units!$Q81,12)=0),IF(AND(Units!$L81=1,AF$1=Units!$Q81),IF(Units!$J81&lt;&gt;"",Units!$J81,Mkt!AF82),Inputs!$B$15*Mkt!AF82+(1-Inputs!$B$15)*MIN(Mkt!AF82,AE82*(1+Inputs!$B$18))),AE82)))</f>
        <v>1949.916484375</v>
      </c>
      <c r="AG82" s="11" t="n">
        <f aca="false">IF(AG$1&lt;Units!$P81,0,IF(AND(Units!$K81=0,AG$1=Units!$O81),Units!$R81,IF(AND(AG$1&gt;=Units!$Q81,MOD(AG$1-Units!$Q81,12)=0),IF(AND(Units!$L81=1,AG$1=Units!$Q81),IF(Units!$J81&lt;&gt;"",Units!$J81,Mkt!AG82),Inputs!$B$15*Mkt!AG82+(1-Inputs!$B$15)*MIN(Mkt!AG82,AF82*(1+Inputs!$B$18))),AF82)))</f>
        <v>1949.916484375</v>
      </c>
      <c r="AH82" s="11" t="n">
        <f aca="false">IF(AH$1&lt;Units!$P81,0,IF(AND(Units!$K81=0,AH$1=Units!$O81),Units!$R81,IF(AND(AH$1&gt;=Units!$Q81,MOD(AH$1-Units!$Q81,12)=0),IF(AND(Units!$L81=1,AH$1=Units!$Q81),IF(Units!$J81&lt;&gt;"",Units!$J81,Mkt!AH82),Inputs!$B$15*Mkt!AH82+(1-Inputs!$B$15)*MIN(Mkt!AH82,AG82*(1+Inputs!$B$18))),AG82)))</f>
        <v>1949.916484375</v>
      </c>
      <c r="AI82" s="11" t="n">
        <f aca="false">IF(AI$1&lt;Units!$P81,0,IF(AND(Units!$K81=0,AI$1=Units!$O81),Units!$R81,IF(AND(AI$1&gt;=Units!$Q81,MOD(AI$1-Units!$Q81,12)=0),IF(AND(Units!$L81=1,AI$1=Units!$Q81),IF(Units!$J81&lt;&gt;"",Units!$J81,Mkt!AI82),Inputs!$B$15*Mkt!AI82+(1-Inputs!$B$15)*MIN(Mkt!AI82,AH82*(1+Inputs!$B$18))),AH82)))</f>
        <v>1949.916484375</v>
      </c>
      <c r="AJ82" s="11" t="n">
        <f aca="false">IF(AJ$1&lt;Units!$P81,0,IF(AND(Units!$K81=0,AJ$1=Units!$O81),Units!$R81,IF(AND(AJ$1&gt;=Units!$Q81,MOD(AJ$1-Units!$Q81,12)=0),IF(AND(Units!$L81=1,AJ$1=Units!$Q81),IF(Units!$J81&lt;&gt;"",Units!$J81,Mkt!AJ82),Inputs!$B$15*Mkt!AJ82+(1-Inputs!$B$15)*MIN(Mkt!AJ82,AI82*(1+Inputs!$B$18))),AI82)))</f>
        <v>1949.916484375</v>
      </c>
      <c r="AK82" s="11" t="n">
        <f aca="false">IF(AK$1&lt;Units!$P81,0,IF(AND(Units!$K81=0,AK$1=Units!$O81),Units!$R81,IF(AND(AK$1&gt;=Units!$Q81,MOD(AK$1-Units!$Q81,12)=0),IF(AND(Units!$L81=1,AK$1=Units!$Q81),IF(Units!$J81&lt;&gt;"",Units!$J81,Mkt!AK82),Inputs!$B$15*Mkt!AK82+(1-Inputs!$B$15)*MIN(Mkt!AK82,AJ82*(1+Inputs!$B$18))),AJ82)))</f>
        <v>1949.916484375</v>
      </c>
      <c r="AL82" s="11" t="n">
        <f aca="false">IF(AL$1&lt;Units!$P81,0,IF(AND(Units!$K81=0,AL$1=Units!$O81),Units!$R81,IF(AND(AL$1&gt;=Units!$Q81,MOD(AL$1-Units!$Q81,12)=0),IF(AND(Units!$L81=1,AL$1=Units!$Q81),IF(Units!$J81&lt;&gt;"",Units!$J81,Mkt!AL82),Inputs!$B$15*Mkt!AL82+(1-Inputs!$B$15)*MIN(Mkt!AL82,AK82*(1+Inputs!$B$18))),AK82)))</f>
        <v>1949.916484375</v>
      </c>
      <c r="AM82" s="11" t="n">
        <f aca="false">IF(AM$1&lt;Units!$P81,0,IF(AND(Units!$K81=0,AM$1=Units!$O81),Units!$R81,IF(AND(AM$1&gt;=Units!$Q81,MOD(AM$1-Units!$Q81,12)=0),IF(AND(Units!$L81=1,AM$1=Units!$Q81),IF(Units!$J81&lt;&gt;"",Units!$J81,Mkt!AM82),Inputs!$B$15*Mkt!AM82+(1-Inputs!$B$15)*MIN(Mkt!AM82,AL82*(1+Inputs!$B$18))),AL82)))</f>
        <v>1949.916484375</v>
      </c>
      <c r="AN82" s="11" t="n">
        <f aca="false">IF(AN$1&lt;Units!$P81,0,IF(AND(Units!$K81=0,AN$1=Units!$O81),Units!$R81,IF(AND(AN$1&gt;=Units!$Q81,MOD(AN$1-Units!$Q81,12)=0),IF(AND(Units!$L81=1,AN$1=Units!$Q81),IF(Units!$J81&lt;&gt;"",Units!$J81,Mkt!AN82),Inputs!$B$15*Mkt!AN82+(1-Inputs!$B$15)*MIN(Mkt!AN82,AM82*(1+Inputs!$B$18))),AM82)))</f>
        <v>1949.916484375</v>
      </c>
      <c r="AO82" s="11" t="n">
        <f aca="false">IF(AO$1&lt;Units!$P81,0,IF(AND(Units!$K81=0,AO$1=Units!$O81),Units!$R81,IF(AND(AO$1&gt;=Units!$Q81,MOD(AO$1-Units!$Q81,12)=0),IF(AND(Units!$L81=1,AO$1=Units!$Q81),IF(Units!$J81&lt;&gt;"",Units!$J81,Mkt!AO82),Inputs!$B$15*Mkt!AO82+(1-Inputs!$B$15)*MIN(Mkt!AO82,AN82*(1+Inputs!$B$18))),AN82)))</f>
        <v>2021.54495</v>
      </c>
      <c r="AP82" s="11" t="n">
        <f aca="false">IF(AP$1&lt;Units!$P81,0,IF(AND(Units!$K81=0,AP$1=Units!$O81),Units!$R81,IF(AND(AP$1&gt;=Units!$Q81,MOD(AP$1-Units!$Q81,12)=0),IF(AND(Units!$L81=1,AP$1=Units!$Q81),IF(Units!$J81&lt;&gt;"",Units!$J81,Mkt!AP82),Inputs!$B$15*Mkt!AP82+(1-Inputs!$B$15)*MIN(Mkt!AP82,AO82*(1+Inputs!$B$18))),AO82)))</f>
        <v>2021.54495</v>
      </c>
      <c r="AQ82" s="11" t="n">
        <f aca="false">IF(AQ$1&lt;Units!$P81,0,IF(AND(Units!$K81=0,AQ$1=Units!$O81),Units!$R81,IF(AND(AQ$1&gt;=Units!$Q81,MOD(AQ$1-Units!$Q81,12)=0),IF(AND(Units!$L81=1,AQ$1=Units!$Q81),IF(Units!$J81&lt;&gt;"",Units!$J81,Mkt!AQ82),Inputs!$B$15*Mkt!AQ82+(1-Inputs!$B$15)*MIN(Mkt!AQ82,AP82*(1+Inputs!$B$18))),AP82)))</f>
        <v>2021.54495</v>
      </c>
      <c r="AR82" s="11" t="n">
        <f aca="false">IF(AR$1&lt;Units!$P81,0,IF(AND(Units!$K81=0,AR$1=Units!$O81),Units!$R81,IF(AND(AR$1&gt;=Units!$Q81,MOD(AR$1-Units!$Q81,12)=0),IF(AND(Units!$L81=1,AR$1=Units!$Q81),IF(Units!$J81&lt;&gt;"",Units!$J81,Mkt!AR82),Inputs!$B$15*Mkt!AR82+(1-Inputs!$B$15)*MIN(Mkt!AR82,AQ82*(1+Inputs!$B$18))),AQ82)))</f>
        <v>2021.54495</v>
      </c>
      <c r="AS82" s="11" t="n">
        <f aca="false">IF(AS$1&lt;Units!$P81,0,IF(AND(Units!$K81=0,AS$1=Units!$O81),Units!$R81,IF(AND(AS$1&gt;=Units!$Q81,MOD(AS$1-Units!$Q81,12)=0),IF(AND(Units!$L81=1,AS$1=Units!$Q81),IF(Units!$J81&lt;&gt;"",Units!$J81,Mkt!AS82),Inputs!$B$15*Mkt!AS82+(1-Inputs!$B$15)*MIN(Mkt!AS82,AR82*(1+Inputs!$B$18))),AR82)))</f>
        <v>2021.54495</v>
      </c>
      <c r="AT82" s="11" t="n">
        <f aca="false">IF(AT$1&lt;Units!$P81,0,IF(AND(Units!$K81=0,AT$1=Units!$O81),Units!$R81,IF(AND(AT$1&gt;=Units!$Q81,MOD(AT$1-Units!$Q81,12)=0),IF(AND(Units!$L81=1,AT$1=Units!$Q81),IF(Units!$J81&lt;&gt;"",Units!$J81,Mkt!AT82),Inputs!$B$15*Mkt!AT82+(1-Inputs!$B$15)*MIN(Mkt!AT82,AS82*(1+Inputs!$B$18))),AS82)))</f>
        <v>2021.54495</v>
      </c>
      <c r="AU82" s="11" t="n">
        <f aca="false">IF(AU$1&lt;Units!$P81,0,IF(AND(Units!$K81=0,AU$1=Units!$O81),Units!$R81,IF(AND(AU$1&gt;=Units!$Q81,MOD(AU$1-Units!$Q81,12)=0),IF(AND(Units!$L81=1,AU$1=Units!$Q81),IF(Units!$J81&lt;&gt;"",Units!$J81,Mkt!AU82),Inputs!$B$15*Mkt!AU82+(1-Inputs!$B$15)*MIN(Mkt!AU82,AT82*(1+Inputs!$B$18))),AT82)))</f>
        <v>2021.54495</v>
      </c>
      <c r="AV82" s="11" t="n">
        <f aca="false">IF(AV$1&lt;Units!$P81,0,IF(AND(Units!$K81=0,AV$1=Units!$O81),Units!$R81,IF(AND(AV$1&gt;=Units!$Q81,MOD(AV$1-Units!$Q81,12)=0),IF(AND(Units!$L81=1,AV$1=Units!$Q81),IF(Units!$J81&lt;&gt;"",Units!$J81,Mkt!AV82),Inputs!$B$15*Mkt!AV82+(1-Inputs!$B$15)*MIN(Mkt!AV82,AU82*(1+Inputs!$B$18))),AU82)))</f>
        <v>2021.54495</v>
      </c>
      <c r="AW82" s="11" t="n">
        <f aca="false">IF(AW$1&lt;Units!$P81,0,IF(AND(Units!$K81=0,AW$1=Units!$O81),Units!$R81,IF(AND(AW$1&gt;=Units!$Q81,MOD(AW$1-Units!$Q81,12)=0),IF(AND(Units!$L81=1,AW$1=Units!$Q81),IF(Units!$J81&lt;&gt;"",Units!$J81,Mkt!AW82),Inputs!$B$15*Mkt!AW82+(1-Inputs!$B$15)*MIN(Mkt!AW82,AV82*(1+Inputs!$B$18))),AV82)))</f>
        <v>2021.54495</v>
      </c>
      <c r="AX82" s="11" t="n">
        <f aca="false">IF(AX$1&lt;Units!$P81,0,IF(AND(Units!$K81=0,AX$1=Units!$O81),Units!$R81,IF(AND(AX$1&gt;=Units!$Q81,MOD(AX$1-Units!$Q81,12)=0),IF(AND(Units!$L81=1,AX$1=Units!$Q81),IF(Units!$J81&lt;&gt;"",Units!$J81,Mkt!AX82),Inputs!$B$15*Mkt!AX82+(1-Inputs!$B$15)*MIN(Mkt!AX82,AW82*(1+Inputs!$B$18))),AW82)))</f>
        <v>2021.54495</v>
      </c>
      <c r="AY82" s="11" t="n">
        <f aca="false">IF(AY$1&lt;Units!$P81,0,IF(AND(Units!$K81=0,AY$1=Units!$O81),Units!$R81,IF(AND(AY$1&gt;=Units!$Q81,MOD(AY$1-Units!$Q81,12)=0),IF(AND(Units!$L81=1,AY$1=Units!$Q81),IF(Units!$J81&lt;&gt;"",Units!$J81,Mkt!AY82),Inputs!$B$15*Mkt!AY82+(1-Inputs!$B$15)*MIN(Mkt!AY82,AX82*(1+Inputs!$B$18))),AX82)))</f>
        <v>2021.54495</v>
      </c>
      <c r="AZ82" s="11" t="n">
        <f aca="false">IF(AZ$1&lt;Units!$P81,0,IF(AND(Units!$K81=0,AZ$1=Units!$O81),Units!$R81,IF(AND(AZ$1&gt;=Units!$Q81,MOD(AZ$1-Units!$Q81,12)=0),IF(AND(Units!$L81=1,AZ$1=Units!$Q81),IF(Units!$J81&lt;&gt;"",Units!$J81,Mkt!AZ82),Inputs!$B$15*Mkt!AZ82+(1-Inputs!$B$15)*MIN(Mkt!AZ82,AY82*(1+Inputs!$B$18))),AY82)))</f>
        <v>2021.54495</v>
      </c>
      <c r="BA82" s="11" t="n">
        <f aca="false">IF(BA$1&lt;Units!$P81,0,IF(AND(Units!$K81=0,BA$1=Units!$O81),Units!$R81,IF(AND(BA$1&gt;=Units!$Q81,MOD(BA$1-Units!$Q81,12)=0),IF(AND(Units!$L81=1,BA$1=Units!$Q81),IF(Units!$J81&lt;&gt;"",Units!$J81,Mkt!BA82),Inputs!$B$15*Mkt!BA82+(1-Inputs!$B$15)*MIN(Mkt!BA82,AZ82*(1+Inputs!$B$18))),AZ82)))</f>
        <v>2082.1912985</v>
      </c>
      <c r="BB82" s="11" t="n">
        <f aca="false">IF(BB$1&lt;Units!$P81,0,IF(AND(Units!$K81=0,BB$1=Units!$O81),Units!$R81,IF(AND(BB$1&gt;=Units!$Q81,MOD(BB$1-Units!$Q81,12)=0),IF(AND(Units!$L81=1,BB$1=Units!$Q81),IF(Units!$J81&lt;&gt;"",Units!$J81,Mkt!BB82),Inputs!$B$15*Mkt!BB82+(1-Inputs!$B$15)*MIN(Mkt!BB82,BA82*(1+Inputs!$B$18))),BA82)))</f>
        <v>2082.1912985</v>
      </c>
      <c r="BC82" s="11" t="n">
        <f aca="false">IF(BC$1&lt;Units!$P81,0,IF(AND(Units!$K81=0,BC$1=Units!$O81),Units!$R81,IF(AND(BC$1&gt;=Units!$Q81,MOD(BC$1-Units!$Q81,12)=0),IF(AND(Units!$L81=1,BC$1=Units!$Q81),IF(Units!$J81&lt;&gt;"",Units!$J81,Mkt!BC82),Inputs!$B$15*Mkt!BC82+(1-Inputs!$B$15)*MIN(Mkt!BC82,BB82*(1+Inputs!$B$18))),BB82)))</f>
        <v>2082.1912985</v>
      </c>
      <c r="BD82" s="11" t="n">
        <f aca="false">IF(BD$1&lt;Units!$P81,0,IF(AND(Units!$K81=0,BD$1=Units!$O81),Units!$R81,IF(AND(BD$1&gt;=Units!$Q81,MOD(BD$1-Units!$Q81,12)=0),IF(AND(Units!$L81=1,BD$1=Units!$Q81),IF(Units!$J81&lt;&gt;"",Units!$J81,Mkt!BD82),Inputs!$B$15*Mkt!BD82+(1-Inputs!$B$15)*MIN(Mkt!BD82,BC82*(1+Inputs!$B$18))),BC82)))</f>
        <v>2082.1912985</v>
      </c>
      <c r="BE82" s="11" t="n">
        <f aca="false">IF(BE$1&lt;Units!$P81,0,IF(AND(Units!$K81=0,BE$1=Units!$O81),Units!$R81,IF(AND(BE$1&gt;=Units!$Q81,MOD(BE$1-Units!$Q81,12)=0),IF(AND(Units!$L81=1,BE$1=Units!$Q81),IF(Units!$J81&lt;&gt;"",Units!$J81,Mkt!BE82),Inputs!$B$15*Mkt!BE82+(1-Inputs!$B$15)*MIN(Mkt!BE82,BD82*(1+Inputs!$B$18))),BD82)))</f>
        <v>2082.1912985</v>
      </c>
      <c r="BF82" s="11" t="n">
        <f aca="false">IF(BF$1&lt;Units!$P81,0,IF(AND(Units!$K81=0,BF$1=Units!$O81),Units!$R81,IF(AND(BF$1&gt;=Units!$Q81,MOD(BF$1-Units!$Q81,12)=0),IF(AND(Units!$L81=1,BF$1=Units!$Q81),IF(Units!$J81&lt;&gt;"",Units!$J81,Mkt!BF82),Inputs!$B$15*Mkt!BF82+(1-Inputs!$B$15)*MIN(Mkt!BF82,BE82*(1+Inputs!$B$18))),BE82)))</f>
        <v>2082.1912985</v>
      </c>
      <c r="BG82" s="11" t="n">
        <f aca="false">IF(BG$1&lt;Units!$P81,0,IF(AND(Units!$K81=0,BG$1=Units!$O81),Units!$R81,IF(AND(BG$1&gt;=Units!$Q81,MOD(BG$1-Units!$Q81,12)=0),IF(AND(Units!$L81=1,BG$1=Units!$Q81),IF(Units!$J81&lt;&gt;"",Units!$J81,Mkt!BG82),Inputs!$B$15*Mkt!BG82+(1-Inputs!$B$15)*MIN(Mkt!BG82,BF82*(1+Inputs!$B$18))),BF82)))</f>
        <v>2082.1912985</v>
      </c>
      <c r="BH82" s="11" t="n">
        <f aca="false">IF(BH$1&lt;Units!$P81,0,IF(AND(Units!$K81=0,BH$1=Units!$O81),Units!$R81,IF(AND(BH$1&gt;=Units!$Q81,MOD(BH$1-Units!$Q81,12)=0),IF(AND(Units!$L81=1,BH$1=Units!$Q81),IF(Units!$J81&lt;&gt;"",Units!$J81,Mkt!BH82),Inputs!$B$15*Mkt!BH82+(1-Inputs!$B$15)*MIN(Mkt!BH82,BG82*(1+Inputs!$B$18))),BG82)))</f>
        <v>2082.1912985</v>
      </c>
      <c r="BI82" s="11" t="n">
        <f aca="false">IF(BI$1&lt;Units!$P81,0,IF(AND(Units!$K81=0,BI$1=Units!$O81),Units!$R81,IF(AND(BI$1&gt;=Units!$Q81,MOD(BI$1-Units!$Q81,12)=0),IF(AND(Units!$L81=1,BI$1=Units!$Q81),IF(Units!$J81&lt;&gt;"",Units!$J81,Mkt!BI82),Inputs!$B$15*Mkt!BI82+(1-Inputs!$B$15)*MIN(Mkt!BI82,BH82*(1+Inputs!$B$18))),BH82)))</f>
        <v>2082.1912985</v>
      </c>
      <c r="BJ82" s="11" t="n">
        <f aca="false">IF(BJ$1&lt;Units!$P81,0,IF(AND(Units!$K81=0,BJ$1=Units!$O81),Units!$R81,IF(AND(BJ$1&gt;=Units!$Q81,MOD(BJ$1-Units!$Q81,12)=0),IF(AND(Units!$L81=1,BJ$1=Units!$Q81),IF(Units!$J81&lt;&gt;"",Units!$J81,Mkt!BJ82),Inputs!$B$15*Mkt!BJ82+(1-Inputs!$B$15)*MIN(Mkt!BJ82,BI82*(1+Inputs!$B$18))),BI82)))</f>
        <v>2082.1912985</v>
      </c>
      <c r="BK82" s="11" t="n">
        <f aca="false">IF(BK$1&lt;Units!$P81,0,IF(AND(Units!$K81=0,BK$1=Units!$O81),Units!$R81,IF(AND(BK$1&gt;=Units!$Q81,MOD(BK$1-Units!$Q81,12)=0),IF(AND(Units!$L81=1,BK$1=Units!$Q81),IF(Units!$J81&lt;&gt;"",Units!$J81,Mkt!BK82),Inputs!$B$15*Mkt!BK82+(1-Inputs!$B$15)*MIN(Mkt!BK82,BJ82*(1+Inputs!$B$18))),BJ82)))</f>
        <v>2082.1912985</v>
      </c>
      <c r="BL82" s="11" t="n">
        <f aca="false">IF(BL$1&lt;Units!$P81,0,IF(AND(Units!$K81=0,BL$1=Units!$O81),Units!$R81,IF(AND(BL$1&gt;=Units!$Q81,MOD(BL$1-Units!$Q81,12)=0),IF(AND(Units!$L81=1,BL$1=Units!$Q81),IF(Units!$J81&lt;&gt;"",Units!$J81,Mkt!BL82),Inputs!$B$15*Mkt!BL82+(1-Inputs!$B$15)*MIN(Mkt!BL82,BK82*(1+Inputs!$B$18))),BK82)))</f>
        <v>2082.1912985</v>
      </c>
      <c r="BM82" s="11" t="n">
        <f aca="false">IF(BM$1&lt;Units!$P81,0,IF(AND(Units!$K81=0,BM$1=Units!$O81),Units!$R81,IF(AND(BM$1&gt;=Units!$Q81,MOD(BM$1-Units!$Q81,12)=0),IF(AND(Units!$L81=1,BM$1=Units!$Q81),IF(Units!$J81&lt;&gt;"",Units!$J81,Mkt!BM82),Inputs!$B$15*Mkt!BM82+(1-Inputs!$B$15)*MIN(Mkt!BM82,BL82*(1+Inputs!$B$18))),BL82)))</f>
        <v>2144.657037455</v>
      </c>
      <c r="BN82" s="11" t="n">
        <f aca="false">IF(BN$1&lt;Units!$P81,0,IF(AND(Units!$K81=0,BN$1=Units!$O81),Units!$R81,IF(AND(BN$1&gt;=Units!$Q81,MOD(BN$1-Units!$Q81,12)=0),IF(AND(Units!$L81=1,BN$1=Units!$Q81),IF(Units!$J81&lt;&gt;"",Units!$J81,Mkt!BN82),Inputs!$B$15*Mkt!BN82+(1-Inputs!$B$15)*MIN(Mkt!BN82,BM82*(1+Inputs!$B$18))),BM82)))</f>
        <v>2144.657037455</v>
      </c>
      <c r="BO82" s="11" t="n">
        <f aca="false">IF(BO$1&lt;Units!$P81,0,IF(AND(Units!$K81=0,BO$1=Units!$O81),Units!$R81,IF(AND(BO$1&gt;=Units!$Q81,MOD(BO$1-Units!$Q81,12)=0),IF(AND(Units!$L81=1,BO$1=Units!$Q81),IF(Units!$J81&lt;&gt;"",Units!$J81,Mkt!BO82),Inputs!$B$15*Mkt!BO82+(1-Inputs!$B$15)*MIN(Mkt!BO82,BN82*(1+Inputs!$B$18))),BN82)))</f>
        <v>2144.657037455</v>
      </c>
      <c r="BP82" s="11" t="n">
        <f aca="false">IF(BP$1&lt;Units!$P81,0,IF(AND(Units!$K81=0,BP$1=Units!$O81),Units!$R81,IF(AND(BP$1&gt;=Units!$Q81,MOD(BP$1-Units!$Q81,12)=0),IF(AND(Units!$L81=1,BP$1=Units!$Q81),IF(Units!$J81&lt;&gt;"",Units!$J81,Mkt!BP82),Inputs!$B$15*Mkt!BP82+(1-Inputs!$B$15)*MIN(Mkt!BP82,BO82*(1+Inputs!$B$18))),BO82)))</f>
        <v>2144.657037455</v>
      </c>
      <c r="BQ82" s="11" t="n">
        <f aca="false">IF(BQ$1&lt;Units!$P81,0,IF(AND(Units!$K81=0,BQ$1=Units!$O81),Units!$R81,IF(AND(BQ$1&gt;=Units!$Q81,MOD(BQ$1-Units!$Q81,12)=0),IF(AND(Units!$L81=1,BQ$1=Units!$Q81),IF(Units!$J81&lt;&gt;"",Units!$J81,Mkt!BQ82),Inputs!$B$15*Mkt!BQ82+(1-Inputs!$B$15)*MIN(Mkt!BQ82,BP82*(1+Inputs!$B$18))),BP82)))</f>
        <v>2144.657037455</v>
      </c>
      <c r="BR82" s="11" t="n">
        <f aca="false">IF(BR$1&lt;Units!$P81,0,IF(AND(Units!$K81=0,BR$1=Units!$O81),Units!$R81,IF(AND(BR$1&gt;=Units!$Q81,MOD(BR$1-Units!$Q81,12)=0),IF(AND(Units!$L81=1,BR$1=Units!$Q81),IF(Units!$J81&lt;&gt;"",Units!$J81,Mkt!BR82),Inputs!$B$15*Mkt!BR82+(1-Inputs!$B$15)*MIN(Mkt!BR82,BQ82*(1+Inputs!$B$18))),BQ82)))</f>
        <v>2144.657037455</v>
      </c>
      <c r="BS82" s="11" t="n">
        <f aca="false">IF(BS$1&lt;Units!$P81,0,IF(AND(Units!$K81=0,BS$1=Units!$O81),Units!$R81,IF(AND(BS$1&gt;=Units!$Q81,MOD(BS$1-Units!$Q81,12)=0),IF(AND(Units!$L81=1,BS$1=Units!$Q81),IF(Units!$J81&lt;&gt;"",Units!$J81,Mkt!BS82),Inputs!$B$15*Mkt!BS82+(1-Inputs!$B$15)*MIN(Mkt!BS82,BR82*(1+Inputs!$B$18))),BR82)))</f>
        <v>2144.657037455</v>
      </c>
      <c r="BT82" s="11" t="n">
        <f aca="false">IF(BT$1&lt;Units!$P81,0,IF(AND(Units!$K81=0,BT$1=Units!$O81),Units!$R81,IF(AND(BT$1&gt;=Units!$Q81,MOD(BT$1-Units!$Q81,12)=0),IF(AND(Units!$L81=1,BT$1=Units!$Q81),IF(Units!$J81&lt;&gt;"",Units!$J81,Mkt!BT82),Inputs!$B$15*Mkt!BT82+(1-Inputs!$B$15)*MIN(Mkt!BT82,BS82*(1+Inputs!$B$18))),BS82)))</f>
        <v>2144.657037455</v>
      </c>
      <c r="BU82" s="11" t="n">
        <f aca="false">IF(BU$1&lt;Units!$P81,0,IF(AND(Units!$K81=0,BU$1=Units!$O81),Units!$R81,IF(AND(BU$1&gt;=Units!$Q81,MOD(BU$1-Units!$Q81,12)=0),IF(AND(Units!$L81=1,BU$1=Units!$Q81),IF(Units!$J81&lt;&gt;"",Units!$J81,Mkt!BU82),Inputs!$B$15*Mkt!BU82+(1-Inputs!$B$15)*MIN(Mkt!BU82,BT82*(1+Inputs!$B$18))),BT82)))</f>
        <v>2144.657037455</v>
      </c>
      <c r="BV82" s="11" t="n">
        <f aca="false">IF(BV$1&lt;Units!$P81,0,IF(AND(Units!$K81=0,BV$1=Units!$O81),Units!$R81,IF(AND(BV$1&gt;=Units!$Q81,MOD(BV$1-Units!$Q81,12)=0),IF(AND(Units!$L81=1,BV$1=Units!$Q81),IF(Units!$J81&lt;&gt;"",Units!$J81,Mkt!BV82),Inputs!$B$15*Mkt!BV82+(1-Inputs!$B$15)*MIN(Mkt!BV82,BU82*(1+Inputs!$B$18))),BU82)))</f>
        <v>2144.657037455</v>
      </c>
      <c r="BW82" s="11" t="n">
        <f aca="false">IF(BW$1&lt;Units!$P81,0,IF(AND(Units!$K81=0,BW$1=Units!$O81),Units!$R81,IF(AND(BW$1&gt;=Units!$Q81,MOD(BW$1-Units!$Q81,12)=0),IF(AND(Units!$L81=1,BW$1=Units!$Q81),IF(Units!$J81&lt;&gt;"",Units!$J81,Mkt!BW82),Inputs!$B$15*Mkt!BW82+(1-Inputs!$B$15)*MIN(Mkt!BW82,BV82*(1+Inputs!$B$18))),BV82)))</f>
        <v>2144.657037455</v>
      </c>
      <c r="BX82" s="11" t="n">
        <f aca="false">IF(BX$1&lt;Units!$P81,0,IF(AND(Units!$K81=0,BX$1=Units!$O81),Units!$R81,IF(AND(BX$1&gt;=Units!$Q81,MOD(BX$1-Units!$Q81,12)=0),IF(AND(Units!$L81=1,BX$1=Units!$Q81),IF(Units!$J81&lt;&gt;"",Units!$J81,Mkt!BX82),Inputs!$B$15*Mkt!BX82+(1-Inputs!$B$15)*MIN(Mkt!BX82,BW82*(1+Inputs!$B$18))),BW82)))</f>
        <v>2144.657037455</v>
      </c>
      <c r="BY82" s="11" t="n">
        <f aca="false">IF(BY$1&lt;Units!$P81,0,IF(AND(Units!$K81=0,BY$1=Units!$O81),Units!$R81,IF(AND(BY$1&gt;=Units!$Q81,MOD(BY$1-Units!$Q81,12)=0),IF(AND(Units!$L81=1,BY$1=Units!$Q81),IF(Units!$J81&lt;&gt;"",Units!$J81,Mkt!BY82),Inputs!$B$15*Mkt!BY82+(1-Inputs!$B$15)*MIN(Mkt!BY82,BX82*(1+Inputs!$B$18))),BX82)))</f>
        <v>2208.99674857865</v>
      </c>
      <c r="BZ82" s="11" t="n">
        <f aca="false">IF(BZ$1&lt;Units!$P81,0,IF(AND(Units!$K81=0,BZ$1=Units!$O81),Units!$R81,IF(AND(BZ$1&gt;=Units!$Q81,MOD(BZ$1-Units!$Q81,12)=0),IF(AND(Units!$L81=1,BZ$1=Units!$Q81),IF(Units!$J81&lt;&gt;"",Units!$J81,Mkt!BZ82),Inputs!$B$15*Mkt!BZ82+(1-Inputs!$B$15)*MIN(Mkt!BZ82,BY82*(1+Inputs!$B$18))),BY82)))</f>
        <v>2208.99674857865</v>
      </c>
      <c r="CA82" s="11" t="n">
        <f aca="false">IF(CA$1&lt;Units!$P81,0,IF(AND(Units!$K81=0,CA$1=Units!$O81),Units!$R81,IF(AND(CA$1&gt;=Units!$Q81,MOD(CA$1-Units!$Q81,12)=0),IF(AND(Units!$L81=1,CA$1=Units!$Q81),IF(Units!$J81&lt;&gt;"",Units!$J81,Mkt!CA82),Inputs!$B$15*Mkt!CA82+(1-Inputs!$B$15)*MIN(Mkt!CA82,BZ82*(1+Inputs!$B$18))),BZ82)))</f>
        <v>2208.99674857865</v>
      </c>
      <c r="CB82" s="11" t="n">
        <f aca="false">IF(CB$1&lt;Units!$P81,0,IF(AND(Units!$K81=0,CB$1=Units!$O81),Units!$R81,IF(AND(CB$1&gt;=Units!$Q81,MOD(CB$1-Units!$Q81,12)=0),IF(AND(Units!$L81=1,CB$1=Units!$Q81),IF(Units!$J81&lt;&gt;"",Units!$J81,Mkt!CB82),Inputs!$B$15*Mkt!CB82+(1-Inputs!$B$15)*MIN(Mkt!CB82,CA82*(1+Inputs!$B$18))),CA82)))</f>
        <v>2208.99674857865</v>
      </c>
      <c r="CC82" s="11" t="n">
        <f aca="false">IF(CC$1&lt;Units!$P81,0,IF(AND(Units!$K81=0,CC$1=Units!$O81),Units!$R81,IF(AND(CC$1&gt;=Units!$Q81,MOD(CC$1-Units!$Q81,12)=0),IF(AND(Units!$L81=1,CC$1=Units!$Q81),IF(Units!$J81&lt;&gt;"",Units!$J81,Mkt!CC82),Inputs!$B$15*Mkt!CC82+(1-Inputs!$B$15)*MIN(Mkt!CC82,CB82*(1+Inputs!$B$18))),CB82)))</f>
        <v>2208.99674857865</v>
      </c>
      <c r="CD82" s="11" t="n">
        <f aca="false">IF(CD$1&lt;Units!$P81,0,IF(AND(Units!$K81=0,CD$1=Units!$O81),Units!$R81,IF(AND(CD$1&gt;=Units!$Q81,MOD(CD$1-Units!$Q81,12)=0),IF(AND(Units!$L81=1,CD$1=Units!$Q81),IF(Units!$J81&lt;&gt;"",Units!$J81,Mkt!CD82),Inputs!$B$15*Mkt!CD82+(1-Inputs!$B$15)*MIN(Mkt!CD82,CC82*(1+Inputs!$B$18))),CC82)))</f>
        <v>2208.99674857865</v>
      </c>
      <c r="CE82" s="11" t="n">
        <f aca="false">IF(CE$1&lt;Units!$P81,0,IF(AND(Units!$K81=0,CE$1=Units!$O81),Units!$R81,IF(AND(CE$1&gt;=Units!$Q81,MOD(CE$1-Units!$Q81,12)=0),IF(AND(Units!$L81=1,CE$1=Units!$Q81),IF(Units!$J81&lt;&gt;"",Units!$J81,Mkt!CE82),Inputs!$B$15*Mkt!CE82+(1-Inputs!$B$15)*MIN(Mkt!CE82,CD82*(1+Inputs!$B$18))),CD82)))</f>
        <v>2208.99674857865</v>
      </c>
      <c r="CF82" s="11" t="n">
        <f aca="false">IF(CF$1&lt;Units!$P81,0,IF(AND(Units!$K81=0,CF$1=Units!$O81),Units!$R81,IF(AND(CF$1&gt;=Units!$Q81,MOD(CF$1-Units!$Q81,12)=0),IF(AND(Units!$L81=1,CF$1=Units!$Q81),IF(Units!$J81&lt;&gt;"",Units!$J81,Mkt!CF82),Inputs!$B$15*Mkt!CF82+(1-Inputs!$B$15)*MIN(Mkt!CF82,CE82*(1+Inputs!$B$18))),CE82)))</f>
        <v>2208.99674857865</v>
      </c>
      <c r="CG82" s="11" t="n">
        <f aca="false">IF(CG$1&lt;Units!$P81,0,IF(AND(Units!$K81=0,CG$1=Units!$O81),Units!$R81,IF(AND(CG$1&gt;=Units!$Q81,MOD(CG$1-Units!$Q81,12)=0),IF(AND(Units!$L81=1,CG$1=Units!$Q81),IF(Units!$J81&lt;&gt;"",Units!$J81,Mkt!CG82),Inputs!$B$15*Mkt!CG82+(1-Inputs!$B$15)*MIN(Mkt!CG82,CF82*(1+Inputs!$B$18))),CF82)))</f>
        <v>2208.99674857865</v>
      </c>
      <c r="CH82" s="11" t="n">
        <f aca="false">IF(CH$1&lt;Units!$P81,0,IF(AND(Units!$K81=0,CH$1=Units!$O81),Units!$R81,IF(AND(CH$1&gt;=Units!$Q81,MOD(CH$1-Units!$Q81,12)=0),IF(AND(Units!$L81=1,CH$1=Units!$Q81),IF(Units!$J81&lt;&gt;"",Units!$J81,Mkt!CH82),Inputs!$B$15*Mkt!CH82+(1-Inputs!$B$15)*MIN(Mkt!CH82,CG82*(1+Inputs!$B$18))),CG82)))</f>
        <v>2208.99674857865</v>
      </c>
      <c r="CI82" s="11" t="n">
        <f aca="false">IF(CI$1&lt;Units!$P81,0,IF(AND(Units!$K81=0,CI$1=Units!$O81),Units!$R81,IF(AND(CI$1&gt;=Units!$Q81,MOD(CI$1-Units!$Q81,12)=0),IF(AND(Units!$L81=1,CI$1=Units!$Q81),IF(Units!$J81&lt;&gt;"",Units!$J81,Mkt!CI82),Inputs!$B$15*Mkt!CI82+(1-Inputs!$B$15)*MIN(Mkt!CI82,CH82*(1+Inputs!$B$18))),CH82)))</f>
        <v>2208.99674857865</v>
      </c>
      <c r="CJ82" s="11" t="n">
        <f aca="false">IF(CJ$1&lt;Units!$P81,0,IF(AND(Units!$K81=0,CJ$1=Units!$O81),Units!$R81,IF(AND(CJ$1&gt;=Units!$Q81,MOD(CJ$1-Units!$Q81,12)=0),IF(AND(Units!$L81=1,CJ$1=Units!$Q81),IF(Units!$J81&lt;&gt;"",Units!$J81,Mkt!CJ82),Inputs!$B$15*Mkt!CJ82+(1-Inputs!$B$15)*MIN(Mkt!CJ82,CI82*(1+Inputs!$B$18))),CI82)))</f>
        <v>2208.99674857865</v>
      </c>
      <c r="CK82" s="11" t="n">
        <f aca="false">IF(CK$1&lt;Units!$P81,0,IF(AND(Units!$K81=0,CK$1=Units!$O81),Units!$R81,IF(AND(CK$1&gt;=Units!$Q81,MOD(CK$1-Units!$Q81,12)=0),IF(AND(Units!$L81=1,CK$1=Units!$Q81),IF(Units!$J81&lt;&gt;"",Units!$J81,Mkt!CK82),Inputs!$B$15*Mkt!CK82+(1-Inputs!$B$15)*MIN(Mkt!CK82,CJ82*(1+Inputs!$B$18))),CJ82)))</f>
        <v>2275.26665103601</v>
      </c>
      <c r="CL82" s="11" t="n">
        <f aca="false">IF(CL$1&lt;Units!$P81,0,IF(AND(Units!$K81=0,CL$1=Units!$O81),Units!$R81,IF(AND(CL$1&gt;=Units!$Q81,MOD(CL$1-Units!$Q81,12)=0),IF(AND(Units!$L81=1,CL$1=Units!$Q81),IF(Units!$J81&lt;&gt;"",Units!$J81,Mkt!CL82),Inputs!$B$15*Mkt!CL82+(1-Inputs!$B$15)*MIN(Mkt!CL82,CK82*(1+Inputs!$B$18))),CK82)))</f>
        <v>2275.26665103601</v>
      </c>
      <c r="CM82" s="11" t="n">
        <f aca="false">IF(CM$1&lt;Units!$P81,0,IF(AND(Units!$K81=0,CM$1=Units!$O81),Units!$R81,IF(AND(CM$1&gt;=Units!$Q81,MOD(CM$1-Units!$Q81,12)=0),IF(AND(Units!$L81=1,CM$1=Units!$Q81),IF(Units!$J81&lt;&gt;"",Units!$J81,Mkt!CM82),Inputs!$B$15*Mkt!CM82+(1-Inputs!$B$15)*MIN(Mkt!CM82,CL82*(1+Inputs!$B$18))),CL82)))</f>
        <v>2275.26665103601</v>
      </c>
      <c r="CN82" s="11" t="n">
        <f aca="false">IF(CN$1&lt;Units!$P81,0,IF(AND(Units!$K81=0,CN$1=Units!$O81),Units!$R81,IF(AND(CN$1&gt;=Units!$Q81,MOD(CN$1-Units!$Q81,12)=0),IF(AND(Units!$L81=1,CN$1=Units!$Q81),IF(Units!$J81&lt;&gt;"",Units!$J81,Mkt!CN82),Inputs!$B$15*Mkt!CN82+(1-Inputs!$B$15)*MIN(Mkt!CN82,CM82*(1+Inputs!$B$18))),CM82)))</f>
        <v>2275.26665103601</v>
      </c>
      <c r="CO82" s="11" t="n">
        <f aca="false">IF(CO$1&lt;Units!$P81,0,IF(AND(Units!$K81=0,CO$1=Units!$O81),Units!$R81,IF(AND(CO$1&gt;=Units!$Q81,MOD(CO$1-Units!$Q81,12)=0),IF(AND(Units!$L81=1,CO$1=Units!$Q81),IF(Units!$J81&lt;&gt;"",Units!$J81,Mkt!CO82),Inputs!$B$15*Mkt!CO82+(1-Inputs!$B$15)*MIN(Mkt!CO82,CN82*(1+Inputs!$B$18))),CN82)))</f>
        <v>2275.26665103601</v>
      </c>
      <c r="CP82" s="11" t="n">
        <f aca="false">IF(CP$1&lt;Units!$P81,0,IF(AND(Units!$K81=0,CP$1=Units!$O81),Units!$R81,IF(AND(CP$1&gt;=Units!$Q81,MOD(CP$1-Units!$Q81,12)=0),IF(AND(Units!$L81=1,CP$1=Units!$Q81),IF(Units!$J81&lt;&gt;"",Units!$J81,Mkt!CP82),Inputs!$B$15*Mkt!CP82+(1-Inputs!$B$15)*MIN(Mkt!CP82,CO82*(1+Inputs!$B$18))),CO82)))</f>
        <v>2275.26665103601</v>
      </c>
      <c r="CQ82" s="11" t="n">
        <f aca="false">IF(CQ$1&lt;Units!$P81,0,IF(AND(Units!$K81=0,CQ$1=Units!$O81),Units!$R81,IF(AND(CQ$1&gt;=Units!$Q81,MOD(CQ$1-Units!$Q81,12)=0),IF(AND(Units!$L81=1,CQ$1=Units!$Q81),IF(Units!$J81&lt;&gt;"",Units!$J81,Mkt!CQ82),Inputs!$B$15*Mkt!CQ82+(1-Inputs!$B$15)*MIN(Mkt!CQ82,CP82*(1+Inputs!$B$18))),CP82)))</f>
        <v>2275.26665103601</v>
      </c>
      <c r="CR82" s="11" t="n">
        <f aca="false">IF(CR$1&lt;Units!$P81,0,IF(AND(Units!$K81=0,CR$1=Units!$O81),Units!$R81,IF(AND(CR$1&gt;=Units!$Q81,MOD(CR$1-Units!$Q81,12)=0),IF(AND(Units!$L81=1,CR$1=Units!$Q81),IF(Units!$J81&lt;&gt;"",Units!$J81,Mkt!CR82),Inputs!$B$15*Mkt!CR82+(1-Inputs!$B$15)*MIN(Mkt!CR82,CQ82*(1+Inputs!$B$18))),CQ82)))</f>
        <v>2275.26665103601</v>
      </c>
      <c r="CS82" s="11" t="n">
        <f aca="false">IF(CS$1&lt;Units!$P81,0,IF(AND(Units!$K81=0,CS$1=Units!$O81),Units!$R81,IF(AND(CS$1&gt;=Units!$Q81,MOD(CS$1-Units!$Q81,12)=0),IF(AND(Units!$L81=1,CS$1=Units!$Q81),IF(Units!$J81&lt;&gt;"",Units!$J81,Mkt!CS82),Inputs!$B$15*Mkt!CS82+(1-Inputs!$B$15)*MIN(Mkt!CS82,CR82*(1+Inputs!$B$18))),CR82)))</f>
        <v>2275.26665103601</v>
      </c>
      <c r="CT82" s="11" t="n">
        <f aca="false">IF(CT$1&lt;Units!$P81,0,IF(AND(Units!$K81=0,CT$1=Units!$O81),Units!$R81,IF(AND(CT$1&gt;=Units!$Q81,MOD(CT$1-Units!$Q81,12)=0),IF(AND(Units!$L81=1,CT$1=Units!$Q81),IF(Units!$J81&lt;&gt;"",Units!$J81,Mkt!CT82),Inputs!$B$15*Mkt!CT82+(1-Inputs!$B$15)*MIN(Mkt!CT82,CS82*(1+Inputs!$B$18))),CS82)))</f>
        <v>2275.26665103601</v>
      </c>
      <c r="CU82" s="11" t="n">
        <f aca="false">IF(CU$1&lt;Units!$P81,0,IF(AND(Units!$K81=0,CU$1=Units!$O81),Units!$R81,IF(AND(CU$1&gt;=Units!$Q81,MOD(CU$1-Units!$Q81,12)=0),IF(AND(Units!$L81=1,CU$1=Units!$Q81),IF(Units!$J81&lt;&gt;"",Units!$J81,Mkt!CU82),Inputs!$B$15*Mkt!CU82+(1-Inputs!$B$15)*MIN(Mkt!CU82,CT82*(1+Inputs!$B$18))),CT82)))</f>
        <v>2275.26665103601</v>
      </c>
      <c r="CV82" s="11" t="n">
        <f aca="false">IF(CV$1&lt;Units!$P81,0,IF(AND(Units!$K81=0,CV$1=Units!$O81),Units!$R81,IF(AND(CV$1&gt;=Units!$Q81,MOD(CV$1-Units!$Q81,12)=0),IF(AND(Units!$L81=1,CV$1=Units!$Q81),IF(Units!$J81&lt;&gt;"",Units!$J81,Mkt!CV82),Inputs!$B$15*Mkt!CV82+(1-Inputs!$B$15)*MIN(Mkt!CV82,CU82*(1+Inputs!$B$18))),CU82)))</f>
        <v>2275.26665103601</v>
      </c>
      <c r="CW82" s="11" t="n">
        <f aca="false">IF(CW$1&lt;Units!$P81,0,IF(AND(Units!$K81=0,CW$1=Units!$O81),Units!$R81,IF(AND(CW$1&gt;=Units!$Q81,MOD(CW$1-Units!$Q81,12)=0),IF(AND(Units!$L81=1,CW$1=Units!$Q81),IF(Units!$J81&lt;&gt;"",Units!$J81,Mkt!CW82),Inputs!$B$15*Mkt!CW82+(1-Inputs!$B$15)*MIN(Mkt!CW82,CV82*(1+Inputs!$B$18))),CV82)))</f>
        <v>2343.52465056709</v>
      </c>
      <c r="CX82" s="11" t="n">
        <f aca="false">IF(CX$1&lt;Units!$P81,0,IF(AND(Units!$K81=0,CX$1=Units!$O81),Units!$R81,IF(AND(CX$1&gt;=Units!$Q81,MOD(CX$1-Units!$Q81,12)=0),IF(AND(Units!$L81=1,CX$1=Units!$Q81),IF(Units!$J81&lt;&gt;"",Units!$J81,Mkt!CX82),Inputs!$B$15*Mkt!CX82+(1-Inputs!$B$15)*MIN(Mkt!CX82,CW82*(1+Inputs!$B$18))),CW82)))</f>
        <v>2343.52465056709</v>
      </c>
      <c r="CY82" s="11" t="n">
        <f aca="false">IF(CY$1&lt;Units!$P81,0,IF(AND(Units!$K81=0,CY$1=Units!$O81),Units!$R81,IF(AND(CY$1&gt;=Units!$Q81,MOD(CY$1-Units!$Q81,12)=0),IF(AND(Units!$L81=1,CY$1=Units!$Q81),IF(Units!$J81&lt;&gt;"",Units!$J81,Mkt!CY82),Inputs!$B$15*Mkt!CY82+(1-Inputs!$B$15)*MIN(Mkt!CY82,CX82*(1+Inputs!$B$18))),CX82)))</f>
        <v>2343.52465056709</v>
      </c>
      <c r="CZ82" s="11" t="n">
        <f aca="false">IF(CZ$1&lt;Units!$P81,0,IF(AND(Units!$K81=0,CZ$1=Units!$O81),Units!$R81,IF(AND(CZ$1&gt;=Units!$Q81,MOD(CZ$1-Units!$Q81,12)=0),IF(AND(Units!$L81=1,CZ$1=Units!$Q81),IF(Units!$J81&lt;&gt;"",Units!$J81,Mkt!CZ82),Inputs!$B$15*Mkt!CZ82+(1-Inputs!$B$15)*MIN(Mkt!CZ82,CY82*(1+Inputs!$B$18))),CY82)))</f>
        <v>2343.52465056709</v>
      </c>
      <c r="DA82" s="11" t="n">
        <f aca="false">IF(DA$1&lt;Units!$P81,0,IF(AND(Units!$K81=0,DA$1=Units!$O81),Units!$R81,IF(AND(DA$1&gt;=Units!$Q81,MOD(DA$1-Units!$Q81,12)=0),IF(AND(Units!$L81=1,DA$1=Units!$Q81),IF(Units!$J81&lt;&gt;"",Units!$J81,Mkt!DA82),Inputs!$B$15*Mkt!DA82+(1-Inputs!$B$15)*MIN(Mkt!DA82,CZ82*(1+Inputs!$B$18))),CZ82)))</f>
        <v>2343.52465056709</v>
      </c>
      <c r="DB82" s="11" t="n">
        <f aca="false">IF(DB$1&lt;Units!$P81,0,IF(AND(Units!$K81=0,DB$1=Units!$O81),Units!$R81,IF(AND(DB$1&gt;=Units!$Q81,MOD(DB$1-Units!$Q81,12)=0),IF(AND(Units!$L81=1,DB$1=Units!$Q81),IF(Units!$J81&lt;&gt;"",Units!$J81,Mkt!DB82),Inputs!$B$15*Mkt!DB82+(1-Inputs!$B$15)*MIN(Mkt!DB82,DA82*(1+Inputs!$B$18))),DA82)))</f>
        <v>2343.52465056709</v>
      </c>
      <c r="DC82" s="11" t="n">
        <f aca="false">IF(DC$1&lt;Units!$P81,0,IF(AND(Units!$K81=0,DC$1=Units!$O81),Units!$R81,IF(AND(DC$1&gt;=Units!$Q81,MOD(DC$1-Units!$Q81,12)=0),IF(AND(Units!$L81=1,DC$1=Units!$Q81),IF(Units!$J81&lt;&gt;"",Units!$J81,Mkt!DC82),Inputs!$B$15*Mkt!DC82+(1-Inputs!$B$15)*MIN(Mkt!DC82,DB82*(1+Inputs!$B$18))),DB82)))</f>
        <v>2343.52465056709</v>
      </c>
      <c r="DD82" s="11" t="n">
        <f aca="false">IF(DD$1&lt;Units!$P81,0,IF(AND(Units!$K81=0,DD$1=Units!$O81),Units!$R81,IF(AND(DD$1&gt;=Units!$Q81,MOD(DD$1-Units!$Q81,12)=0),IF(AND(Units!$L81=1,DD$1=Units!$Q81),IF(Units!$J81&lt;&gt;"",Units!$J81,Mkt!DD82),Inputs!$B$15*Mkt!DD82+(1-Inputs!$B$15)*MIN(Mkt!DD82,DC82*(1+Inputs!$B$18))),DC82)))</f>
        <v>2343.52465056709</v>
      </c>
      <c r="DE82" s="11" t="n">
        <f aca="false">IF(DE$1&lt;Units!$P81,0,IF(AND(Units!$K81=0,DE$1=Units!$O81),Units!$R81,IF(AND(DE$1&gt;=Units!$Q81,MOD(DE$1-Units!$Q81,12)=0),IF(AND(Units!$L81=1,DE$1=Units!$Q81),IF(Units!$J81&lt;&gt;"",Units!$J81,Mkt!DE82),Inputs!$B$15*Mkt!DE82+(1-Inputs!$B$15)*MIN(Mkt!DE82,DD82*(1+Inputs!$B$18))),DD82)))</f>
        <v>2343.52465056709</v>
      </c>
      <c r="DF82" s="11" t="n">
        <f aca="false">IF(DF$1&lt;Units!$P81,0,IF(AND(Units!$K81=0,DF$1=Units!$O81),Units!$R81,IF(AND(DF$1&gt;=Units!$Q81,MOD(DF$1-Units!$Q81,12)=0),IF(AND(Units!$L81=1,DF$1=Units!$Q81),IF(Units!$J81&lt;&gt;"",Units!$J81,Mkt!DF82),Inputs!$B$15*Mkt!DF82+(1-Inputs!$B$15)*MIN(Mkt!DF82,DE82*(1+Inputs!$B$18))),DE82)))</f>
        <v>2343.52465056709</v>
      </c>
      <c r="DG82" s="11" t="n">
        <f aca="false">IF(DG$1&lt;Units!$P81,0,IF(AND(Units!$K81=0,DG$1=Units!$O81),Units!$R81,IF(AND(DG$1&gt;=Units!$Q81,MOD(DG$1-Units!$Q81,12)=0),IF(AND(Units!$L81=1,DG$1=Units!$Q81),IF(Units!$J81&lt;&gt;"",Units!$J81,Mkt!DG82),Inputs!$B$15*Mkt!DG82+(1-Inputs!$B$15)*MIN(Mkt!DG82,DF82*(1+Inputs!$B$18))),DF82)))</f>
        <v>2343.52465056709</v>
      </c>
      <c r="DH82" s="11" t="n">
        <f aca="false">IF(DH$1&lt;Units!$P81,0,IF(AND(Units!$K81=0,DH$1=Units!$O81),Units!$R81,IF(AND(DH$1&gt;=Units!$Q81,MOD(DH$1-Units!$Q81,12)=0),IF(AND(Units!$L81=1,DH$1=Units!$Q81),IF(Units!$J81&lt;&gt;"",Units!$J81,Mkt!DH82),Inputs!$B$15*Mkt!DH82+(1-Inputs!$B$15)*MIN(Mkt!DH82,DG82*(1+Inputs!$B$18))),DG82)))</f>
        <v>2343.52465056709</v>
      </c>
      <c r="DI82" s="11" t="n">
        <f aca="false">IF(DI$1&lt;Units!$P81,0,IF(AND(Units!$K81=0,DI$1=Units!$O81),Units!$R81,IF(AND(DI$1&gt;=Units!$Q81,MOD(DI$1-Units!$Q81,12)=0),IF(AND(Units!$L81=1,DI$1=Units!$Q81),IF(Units!$J81&lt;&gt;"",Units!$J81,Mkt!DI82),Inputs!$B$15*Mkt!DI82+(1-Inputs!$B$15)*MIN(Mkt!DI82,DH82*(1+Inputs!$B$18))),DH82)))</f>
        <v>2413.8303900841</v>
      </c>
      <c r="DJ82" s="11" t="n">
        <f aca="false">IF(DJ$1&lt;Units!$P81,0,IF(AND(Units!$K81=0,DJ$1=Units!$O81),Units!$R81,IF(AND(DJ$1&gt;=Units!$Q81,MOD(DJ$1-Units!$Q81,12)=0),IF(AND(Units!$L81=1,DJ$1=Units!$Q81),IF(Units!$J81&lt;&gt;"",Units!$J81,Mkt!DJ82),Inputs!$B$15*Mkt!DJ82+(1-Inputs!$B$15)*MIN(Mkt!DJ82,DI82*(1+Inputs!$B$18))),DI82)))</f>
        <v>2413.8303900841</v>
      </c>
      <c r="DK82" s="11" t="n">
        <f aca="false">IF(DK$1&lt;Units!$P81,0,IF(AND(Units!$K81=0,DK$1=Units!$O81),Units!$R81,IF(AND(DK$1&gt;=Units!$Q81,MOD(DK$1-Units!$Q81,12)=0),IF(AND(Units!$L81=1,DK$1=Units!$Q81),IF(Units!$J81&lt;&gt;"",Units!$J81,Mkt!DK82),Inputs!$B$15*Mkt!DK82+(1-Inputs!$B$15)*MIN(Mkt!DK82,DJ82*(1+Inputs!$B$18))),DJ82)))</f>
        <v>2413.8303900841</v>
      </c>
      <c r="DL82" s="11" t="n">
        <f aca="false">IF(DL$1&lt;Units!$P81,0,IF(AND(Units!$K81=0,DL$1=Units!$O81),Units!$R81,IF(AND(DL$1&gt;=Units!$Q81,MOD(DL$1-Units!$Q81,12)=0),IF(AND(Units!$L81=1,DL$1=Units!$Q81),IF(Units!$J81&lt;&gt;"",Units!$J81,Mkt!DL82),Inputs!$B$15*Mkt!DL82+(1-Inputs!$B$15)*MIN(Mkt!DL82,DK82*(1+Inputs!$B$18))),DK82)))</f>
        <v>2413.8303900841</v>
      </c>
      <c r="DM82" s="11" t="n">
        <f aca="false">IF(DM$1&lt;Units!$P81,0,IF(AND(Units!$K81=0,DM$1=Units!$O81),Units!$R81,IF(AND(DM$1&gt;=Units!$Q81,MOD(DM$1-Units!$Q81,12)=0),IF(AND(Units!$L81=1,DM$1=Units!$Q81),IF(Units!$J81&lt;&gt;"",Units!$J81,Mkt!DM82),Inputs!$B$15*Mkt!DM82+(1-Inputs!$B$15)*MIN(Mkt!DM82,DL82*(1+Inputs!$B$18))),DL82)))</f>
        <v>2413.8303900841</v>
      </c>
      <c r="DN82" s="11" t="n">
        <f aca="false">IF(DN$1&lt;Units!$P81,0,IF(AND(Units!$K81=0,DN$1=Units!$O81),Units!$R81,IF(AND(DN$1&gt;=Units!$Q81,MOD(DN$1-Units!$Q81,12)=0),IF(AND(Units!$L81=1,DN$1=Units!$Q81),IF(Units!$J81&lt;&gt;"",Units!$J81,Mkt!DN82),Inputs!$B$15*Mkt!DN82+(1-Inputs!$B$15)*MIN(Mkt!DN82,DM82*(1+Inputs!$B$18))),DM82)))</f>
        <v>2413.8303900841</v>
      </c>
      <c r="DO82" s="11" t="n">
        <f aca="false">IF(DO$1&lt;Units!$P81,0,IF(AND(Units!$K81=0,DO$1=Units!$O81),Units!$R81,IF(AND(DO$1&gt;=Units!$Q81,MOD(DO$1-Units!$Q81,12)=0),IF(AND(Units!$L81=1,DO$1=Units!$Q81),IF(Units!$J81&lt;&gt;"",Units!$J81,Mkt!DO82),Inputs!$B$15*Mkt!DO82+(1-Inputs!$B$15)*MIN(Mkt!DO82,DN82*(1+Inputs!$B$18))),DN82)))</f>
        <v>2413.8303900841</v>
      </c>
      <c r="DP82" s="11" t="n">
        <f aca="false">IF(DP$1&lt;Units!$P81,0,IF(AND(Units!$K81=0,DP$1=Units!$O81),Units!$R81,IF(AND(DP$1&gt;=Units!$Q81,MOD(DP$1-Units!$Q81,12)=0),IF(AND(Units!$L81=1,DP$1=Units!$Q81),IF(Units!$J81&lt;&gt;"",Units!$J81,Mkt!DP82),Inputs!$B$15*Mkt!DP82+(1-Inputs!$B$15)*MIN(Mkt!DP82,DO82*(1+Inputs!$B$18))),DO82)))</f>
        <v>2413.8303900841</v>
      </c>
      <c r="DQ82" s="11" t="n">
        <f aca="false">IF(DQ$1&lt;Units!$P81,0,IF(AND(Units!$K81=0,DQ$1=Units!$O81),Units!$R81,IF(AND(DQ$1&gt;=Units!$Q81,MOD(DQ$1-Units!$Q81,12)=0),IF(AND(Units!$L81=1,DQ$1=Units!$Q81),IF(Units!$J81&lt;&gt;"",Units!$J81,Mkt!DQ82),Inputs!$B$15*Mkt!DQ82+(1-Inputs!$B$15)*MIN(Mkt!DQ82,DP82*(1+Inputs!$B$18))),DP82)))</f>
        <v>2413.8303900841</v>
      </c>
      <c r="DR82" s="11" t="n">
        <f aca="false">IF(DR$1&lt;Units!$P81,0,IF(AND(Units!$K81=0,DR$1=Units!$O81),Units!$R81,IF(AND(DR$1&gt;=Units!$Q81,MOD(DR$1-Units!$Q81,12)=0),IF(AND(Units!$L81=1,DR$1=Units!$Q81),IF(Units!$J81&lt;&gt;"",Units!$J81,Mkt!DR82),Inputs!$B$15*Mkt!DR82+(1-Inputs!$B$15)*MIN(Mkt!DR82,DQ82*(1+Inputs!$B$18))),DQ82)))</f>
        <v>2413.8303900841</v>
      </c>
      <c r="DS82" s="11" t="n">
        <f aca="false">IF(DS$1&lt;Units!$P81,0,IF(AND(Units!$K81=0,DS$1=Units!$O81),Units!$R81,IF(AND(DS$1&gt;=Units!$Q81,MOD(DS$1-Units!$Q81,12)=0),IF(AND(Units!$L81=1,DS$1=Units!$Q81),IF(Units!$J81&lt;&gt;"",Units!$J81,Mkt!DS82),Inputs!$B$15*Mkt!DS82+(1-Inputs!$B$15)*MIN(Mkt!DS82,DR82*(1+Inputs!$B$18))),DR82)))</f>
        <v>2413.8303900841</v>
      </c>
      <c r="DT82" s="11" t="n">
        <f aca="false">IF(DT$1&lt;Units!$P81,0,IF(AND(Units!$K81=0,DT$1=Units!$O81),Units!$R81,IF(AND(DT$1&gt;=Units!$Q81,MOD(DT$1-Units!$Q81,12)=0),IF(AND(Units!$L81=1,DT$1=Units!$Q81),IF(Units!$J81&lt;&gt;"",Units!$J81,Mkt!DT82),Inputs!$B$15*Mkt!DT82+(1-Inputs!$B$15)*MIN(Mkt!DT82,DS82*(1+Inputs!$B$18))),DS82)))</f>
        <v>2413.8303900841</v>
      </c>
      <c r="DU82" s="11" t="n">
        <f aca="false">IF(DU$1&lt;Units!$P81,0,IF(AND(Units!$K81=0,DU$1=Units!$O81),Units!$R81,IF(AND(DU$1&gt;=Units!$Q81,MOD(DU$1-Units!$Q81,12)=0),IF(AND(Units!$L81=1,DU$1=Units!$Q81),IF(Units!$J81&lt;&gt;"",Units!$J81,Mkt!DU82),Inputs!$B$15*Mkt!DU82+(1-Inputs!$B$15)*MIN(Mkt!DU82,DT82*(1+Inputs!$B$18))),DT82)))</f>
        <v>2486.24530178663</v>
      </c>
      <c r="DV82" s="11" t="n">
        <f aca="false">IF(DV$1&lt;Units!$P81,0,IF(AND(Units!$K81=0,DV$1=Units!$O81),Units!$R81,IF(AND(DV$1&gt;=Units!$Q81,MOD(DV$1-Units!$Q81,12)=0),IF(AND(Units!$L81=1,DV$1=Units!$Q81),IF(Units!$J81&lt;&gt;"",Units!$J81,Mkt!DV82),Inputs!$B$15*Mkt!DV82+(1-Inputs!$B$15)*MIN(Mkt!DV82,DU82*(1+Inputs!$B$18))),DU82)))</f>
        <v>2486.24530178663</v>
      </c>
      <c r="DW82" s="11" t="n">
        <f aca="false">IF(DW$1&lt;Units!$P81,0,IF(AND(Units!$K81=0,DW$1=Units!$O81),Units!$R81,IF(AND(DW$1&gt;=Units!$Q81,MOD(DW$1-Units!$Q81,12)=0),IF(AND(Units!$L81=1,DW$1=Units!$Q81),IF(Units!$J81&lt;&gt;"",Units!$J81,Mkt!DW82),Inputs!$B$15*Mkt!DW82+(1-Inputs!$B$15)*MIN(Mkt!DW82,DV82*(1+Inputs!$B$18))),DV82)))</f>
        <v>2486.24530178663</v>
      </c>
      <c r="DX82" s="11" t="n">
        <f aca="false">IF(DX$1&lt;Units!$P81,0,IF(AND(Units!$K81=0,DX$1=Units!$O81),Units!$R81,IF(AND(DX$1&gt;=Units!$Q81,MOD(DX$1-Units!$Q81,12)=0),IF(AND(Units!$L81=1,DX$1=Units!$Q81),IF(Units!$J81&lt;&gt;"",Units!$J81,Mkt!DX82),Inputs!$B$15*Mkt!DX82+(1-Inputs!$B$15)*MIN(Mkt!DX82,DW82*(1+Inputs!$B$18))),DW82)))</f>
        <v>2486.24530178663</v>
      </c>
      <c r="DY82" s="11" t="n">
        <f aca="false">IF(DY$1&lt;Units!$P81,0,IF(AND(Units!$K81=0,DY$1=Units!$O81),Units!$R81,IF(AND(DY$1&gt;=Units!$Q81,MOD(DY$1-Units!$Q81,12)=0),IF(AND(Units!$L81=1,DY$1=Units!$Q81),IF(Units!$J81&lt;&gt;"",Units!$J81,Mkt!DY82),Inputs!$B$15*Mkt!DY82+(1-Inputs!$B$15)*MIN(Mkt!DY82,DX82*(1+Inputs!$B$18))),DX82)))</f>
        <v>2486.24530178663</v>
      </c>
      <c r="DZ82" s="11" t="n">
        <f aca="false">IF(DZ$1&lt;Units!$P81,0,IF(AND(Units!$K81=0,DZ$1=Units!$O81),Units!$R81,IF(AND(DZ$1&gt;=Units!$Q81,MOD(DZ$1-Units!$Q81,12)=0),IF(AND(Units!$L81=1,DZ$1=Units!$Q81),IF(Units!$J81&lt;&gt;"",Units!$J81,Mkt!DZ82),Inputs!$B$15*Mkt!DZ82+(1-Inputs!$B$15)*MIN(Mkt!DZ82,DY82*(1+Inputs!$B$18))),DY82)))</f>
        <v>2486.24530178663</v>
      </c>
      <c r="EA82" s="11" t="n">
        <f aca="false">IF(EA$1&lt;Units!$P81,0,IF(AND(Units!$K81=0,EA$1=Units!$O81),Units!$R81,IF(AND(EA$1&gt;=Units!$Q81,MOD(EA$1-Units!$Q81,12)=0),IF(AND(Units!$L81=1,EA$1=Units!$Q81),IF(Units!$J81&lt;&gt;"",Units!$J81,Mkt!EA82),Inputs!$B$15*Mkt!EA82+(1-Inputs!$B$15)*MIN(Mkt!EA82,DZ82*(1+Inputs!$B$18))),DZ82)))</f>
        <v>2486.24530178663</v>
      </c>
      <c r="EB82" s="11" t="n">
        <f aca="false">IF(EB$1&lt;Units!$P81,0,IF(AND(Units!$K81=0,EB$1=Units!$O81),Units!$R81,IF(AND(EB$1&gt;=Units!$Q81,MOD(EB$1-Units!$Q81,12)=0),IF(AND(Units!$L81=1,EB$1=Units!$Q81),IF(Units!$J81&lt;&gt;"",Units!$J81,Mkt!EB82),Inputs!$B$15*Mkt!EB82+(1-Inputs!$B$15)*MIN(Mkt!EB82,EA82*(1+Inputs!$B$18))),EA82)))</f>
        <v>2486.24530178663</v>
      </c>
      <c r="EC82" s="11" t="n">
        <f aca="false">IF(EC$1&lt;Units!$P81,0,IF(AND(Units!$K81=0,EC$1=Units!$O81),Units!$R81,IF(AND(EC$1&gt;=Units!$Q81,MOD(EC$1-Units!$Q81,12)=0),IF(AND(Units!$L81=1,EC$1=Units!$Q81),IF(Units!$J81&lt;&gt;"",Units!$J81,Mkt!EC82),Inputs!$B$15*Mkt!EC82+(1-Inputs!$B$15)*MIN(Mkt!EC82,EB82*(1+Inputs!$B$18))),EB82)))</f>
        <v>2486.24530178663</v>
      </c>
      <c r="ED82" s="11" t="n">
        <f aca="false">IF(ED$1&lt;Units!$P81,0,IF(AND(Units!$K81=0,ED$1=Units!$O81),Units!$R81,IF(AND(ED$1&gt;=Units!$Q81,MOD(ED$1-Units!$Q81,12)=0),IF(AND(Units!$L81=1,ED$1=Units!$Q81),IF(Units!$J81&lt;&gt;"",Units!$J81,Mkt!ED82),Inputs!$B$15*Mkt!ED82+(1-Inputs!$B$15)*MIN(Mkt!ED82,EC82*(1+Inputs!$B$18))),EC82)))</f>
        <v>2486.24530178663</v>
      </c>
    </row>
    <row r="83" customFormat="false" ht="15" hidden="false" customHeight="false" outlineLevel="0" collapsed="false">
      <c r="A83" s="22" t="n">
        <f aca="false">Units!A82</f>
        <v>321</v>
      </c>
      <c r="B83" s="24" t="n">
        <f aca="false">IF(Units!K82=1,Units!F82,0)</f>
        <v>0</v>
      </c>
      <c r="C83" s="11" t="n">
        <f aca="false">IF(C$1&lt;Units!$P82,0,IF(AND(Units!$K82=0,C$1=Units!$O82),Units!$R82,IF(AND(C$1&gt;=Units!$Q82,MOD(C$1-Units!$Q82,12)=0),IF(AND(Units!$L82=1,C$1=Units!$Q82),IF(Units!$J82&lt;&gt;"",Units!$J82,Mkt!C83),Inputs!$B$15*Mkt!C83+(1-Inputs!$B$15)*MIN(Mkt!C83,B83*(1+Inputs!$B$18))),B83)))</f>
        <v>0</v>
      </c>
      <c r="D83" s="11" t="n">
        <f aca="false">IF(D$1&lt;Units!$P82,0,IF(AND(Units!$K82=0,D$1=Units!$O82),Units!$R82,IF(AND(D$1&gt;=Units!$Q82,MOD(D$1-Units!$Q82,12)=0),IF(AND(Units!$L82=1,D$1=Units!$Q82),IF(Units!$J82&lt;&gt;"",Units!$J82,Mkt!D83),Inputs!$B$15*Mkt!D83+(1-Inputs!$B$15)*MIN(Mkt!D83,C83*(1+Inputs!$B$18))),C83)))</f>
        <v>1850</v>
      </c>
      <c r="E83" s="11" t="n">
        <f aca="false">IF(E$1&lt;Units!$P82,0,IF(AND(Units!$K82=0,E$1=Units!$O82),Units!$R82,IF(AND(E$1&gt;=Units!$Q82,MOD(E$1-Units!$Q82,12)=0),IF(AND(Units!$L82=1,E$1=Units!$Q82),IF(Units!$J82&lt;&gt;"",Units!$J82,Mkt!E83),Inputs!$B$15*Mkt!E83+(1-Inputs!$B$15)*MIN(Mkt!E83,D83*(1+Inputs!$B$18))),D83)))</f>
        <v>1850</v>
      </c>
      <c r="F83" s="11" t="n">
        <f aca="false">IF(F$1&lt;Units!$P82,0,IF(AND(Units!$K82=0,F$1=Units!$O82),Units!$R82,IF(AND(F$1&gt;=Units!$Q82,MOD(F$1-Units!$Q82,12)=0),IF(AND(Units!$L82=1,F$1=Units!$Q82),IF(Units!$J82&lt;&gt;"",Units!$J82,Mkt!F83),Inputs!$B$15*Mkt!F83+(1-Inputs!$B$15)*MIN(Mkt!F83,E83*(1+Inputs!$B$18))),E83)))</f>
        <v>1850</v>
      </c>
      <c r="G83" s="11" t="n">
        <f aca="false">IF(G$1&lt;Units!$P82,0,IF(AND(Units!$K82=0,G$1=Units!$O82),Units!$R82,IF(AND(G$1&gt;=Units!$Q82,MOD(G$1-Units!$Q82,12)=0),IF(AND(Units!$L82=1,G$1=Units!$Q82),IF(Units!$J82&lt;&gt;"",Units!$J82,Mkt!G83),Inputs!$B$15*Mkt!G83+(1-Inputs!$B$15)*MIN(Mkt!G83,F83*(1+Inputs!$B$18))),F83)))</f>
        <v>1850</v>
      </c>
      <c r="H83" s="11" t="n">
        <f aca="false">IF(H$1&lt;Units!$P82,0,IF(AND(Units!$K82=0,H$1=Units!$O82),Units!$R82,IF(AND(H$1&gt;=Units!$Q82,MOD(H$1-Units!$Q82,12)=0),IF(AND(Units!$L82=1,H$1=Units!$Q82),IF(Units!$J82&lt;&gt;"",Units!$J82,Mkt!H83),Inputs!$B$15*Mkt!H83+(1-Inputs!$B$15)*MIN(Mkt!H83,G83*(1+Inputs!$B$18))),G83)))</f>
        <v>1850</v>
      </c>
      <c r="I83" s="11" t="n">
        <f aca="false">IF(I$1&lt;Units!$P82,0,IF(AND(Units!$K82=0,I$1=Units!$O82),Units!$R82,IF(AND(I$1&gt;=Units!$Q82,MOD(I$1-Units!$Q82,12)=0),IF(AND(Units!$L82=1,I$1=Units!$Q82),IF(Units!$J82&lt;&gt;"",Units!$J82,Mkt!I83),Inputs!$B$15*Mkt!I83+(1-Inputs!$B$15)*MIN(Mkt!I83,H83*(1+Inputs!$B$18))),H83)))</f>
        <v>1850</v>
      </c>
      <c r="J83" s="11" t="n">
        <f aca="false">IF(J$1&lt;Units!$P82,0,IF(AND(Units!$K82=0,J$1=Units!$O82),Units!$R82,IF(AND(J$1&gt;=Units!$Q82,MOD(J$1-Units!$Q82,12)=0),IF(AND(Units!$L82=1,J$1=Units!$Q82),IF(Units!$J82&lt;&gt;"",Units!$J82,Mkt!J83),Inputs!$B$15*Mkt!J83+(1-Inputs!$B$15)*MIN(Mkt!J83,I83*(1+Inputs!$B$18))),I83)))</f>
        <v>1850</v>
      </c>
      <c r="K83" s="11" t="n">
        <f aca="false">IF(K$1&lt;Units!$P82,0,IF(AND(Units!$K82=0,K$1=Units!$O82),Units!$R82,IF(AND(K$1&gt;=Units!$Q82,MOD(K$1-Units!$Q82,12)=0),IF(AND(Units!$L82=1,K$1=Units!$Q82),IF(Units!$J82&lt;&gt;"",Units!$J82,Mkt!K83),Inputs!$B$15*Mkt!K83+(1-Inputs!$B$15)*MIN(Mkt!K83,J83*(1+Inputs!$B$18))),J83)))</f>
        <v>1850</v>
      </c>
      <c r="L83" s="11" t="n">
        <f aca="false">IF(L$1&lt;Units!$P82,0,IF(AND(Units!$K82=0,L$1=Units!$O82),Units!$R82,IF(AND(L$1&gt;=Units!$Q82,MOD(L$1-Units!$Q82,12)=0),IF(AND(Units!$L82=1,L$1=Units!$Q82),IF(Units!$J82&lt;&gt;"",Units!$J82,Mkt!L83),Inputs!$B$15*Mkt!L83+(1-Inputs!$B$15)*MIN(Mkt!L83,K83*(1+Inputs!$B$18))),K83)))</f>
        <v>1850</v>
      </c>
      <c r="M83" s="11" t="n">
        <f aca="false">IF(M$1&lt;Units!$P82,0,IF(AND(Units!$K82=0,M$1=Units!$O82),Units!$R82,IF(AND(M$1&gt;=Units!$Q82,MOD(M$1-Units!$Q82,12)=0),IF(AND(Units!$L82=1,M$1=Units!$Q82),IF(Units!$J82&lt;&gt;"",Units!$J82,Mkt!M83),Inputs!$B$15*Mkt!M83+(1-Inputs!$B$15)*MIN(Mkt!M83,L83*(1+Inputs!$B$18))),L83)))</f>
        <v>1850</v>
      </c>
      <c r="N83" s="11" t="n">
        <f aca="false">IF(N$1&lt;Units!$P82,0,IF(AND(Units!$K82=0,N$1=Units!$O82),Units!$R82,IF(AND(N$1&gt;=Units!$Q82,MOD(N$1-Units!$Q82,12)=0),IF(AND(Units!$L82=1,N$1=Units!$Q82),IF(Units!$J82&lt;&gt;"",Units!$J82,Mkt!N83),Inputs!$B$15*Mkt!N83+(1-Inputs!$B$15)*MIN(Mkt!N83,M83*(1+Inputs!$B$18))),M83)))</f>
        <v>1850</v>
      </c>
      <c r="O83" s="11" t="n">
        <f aca="false">IF(O$1&lt;Units!$P82,0,IF(AND(Units!$K82=0,O$1=Units!$O82),Units!$R82,IF(AND(O$1&gt;=Units!$Q82,MOD(O$1-Units!$Q82,12)=0),IF(AND(Units!$L82=1,O$1=Units!$Q82),IF(Units!$J82&lt;&gt;"",Units!$J82,Mkt!O83),Inputs!$B$15*Mkt!O83+(1-Inputs!$B$15)*MIN(Mkt!O83,N83*(1+Inputs!$B$18))),N83)))</f>
        <v>1850</v>
      </c>
      <c r="P83" s="11" t="n">
        <f aca="false">IF(P$1&lt;Units!$P82,0,IF(AND(Units!$K82=0,P$1=Units!$O82),Units!$R82,IF(AND(P$1&gt;=Units!$Q82,MOD(P$1-Units!$Q82,12)=0),IF(AND(Units!$L82=1,P$1=Units!$Q82),IF(Units!$J82&lt;&gt;"",Units!$J82,Mkt!P83),Inputs!$B$15*Mkt!P83+(1-Inputs!$B$15)*MIN(Mkt!P83,O83*(1+Inputs!$B$18))),O83)))</f>
        <v>1905.5</v>
      </c>
      <c r="Q83" s="11" t="n">
        <f aca="false">IF(Q$1&lt;Units!$P82,0,IF(AND(Units!$K82=0,Q$1=Units!$O82),Units!$R82,IF(AND(Q$1&gt;=Units!$Q82,MOD(Q$1-Units!$Q82,12)=0),IF(AND(Units!$L82=1,Q$1=Units!$Q82),IF(Units!$J82&lt;&gt;"",Units!$J82,Mkt!Q83),Inputs!$B$15*Mkt!Q83+(1-Inputs!$B$15)*MIN(Mkt!Q83,P83*(1+Inputs!$B$18))),P83)))</f>
        <v>1905.5</v>
      </c>
      <c r="R83" s="11" t="n">
        <f aca="false">IF(R$1&lt;Units!$P82,0,IF(AND(Units!$K82=0,R$1=Units!$O82),Units!$R82,IF(AND(R$1&gt;=Units!$Q82,MOD(R$1-Units!$Q82,12)=0),IF(AND(Units!$L82=1,R$1=Units!$Q82),IF(Units!$J82&lt;&gt;"",Units!$J82,Mkt!R83),Inputs!$B$15*Mkt!R83+(1-Inputs!$B$15)*MIN(Mkt!R83,Q83*(1+Inputs!$B$18))),Q83)))</f>
        <v>1905.5</v>
      </c>
      <c r="S83" s="11" t="n">
        <f aca="false">IF(S$1&lt;Units!$P82,0,IF(AND(Units!$K82=0,S$1=Units!$O82),Units!$R82,IF(AND(S$1&gt;=Units!$Q82,MOD(S$1-Units!$Q82,12)=0),IF(AND(Units!$L82=1,S$1=Units!$Q82),IF(Units!$J82&lt;&gt;"",Units!$J82,Mkt!S83),Inputs!$B$15*Mkt!S83+(1-Inputs!$B$15)*MIN(Mkt!S83,R83*(1+Inputs!$B$18))),R83)))</f>
        <v>1905.5</v>
      </c>
      <c r="T83" s="11" t="n">
        <f aca="false">IF(T$1&lt;Units!$P82,0,IF(AND(Units!$K82=0,T$1=Units!$O82),Units!$R82,IF(AND(T$1&gt;=Units!$Q82,MOD(T$1-Units!$Q82,12)=0),IF(AND(Units!$L82=1,T$1=Units!$Q82),IF(Units!$J82&lt;&gt;"",Units!$J82,Mkt!T83),Inputs!$B$15*Mkt!T83+(1-Inputs!$B$15)*MIN(Mkt!T83,S83*(1+Inputs!$B$18))),S83)))</f>
        <v>1905.5</v>
      </c>
      <c r="U83" s="11" t="n">
        <f aca="false">IF(U$1&lt;Units!$P82,0,IF(AND(Units!$K82=0,U$1=Units!$O82),Units!$R82,IF(AND(U$1&gt;=Units!$Q82,MOD(U$1-Units!$Q82,12)=0),IF(AND(Units!$L82=1,U$1=Units!$Q82),IF(Units!$J82&lt;&gt;"",Units!$J82,Mkt!U83),Inputs!$B$15*Mkt!U83+(1-Inputs!$B$15)*MIN(Mkt!U83,T83*(1+Inputs!$B$18))),T83)))</f>
        <v>1905.5</v>
      </c>
      <c r="V83" s="11" t="n">
        <f aca="false">IF(V$1&lt;Units!$P82,0,IF(AND(Units!$K82=0,V$1=Units!$O82),Units!$R82,IF(AND(V$1&gt;=Units!$Q82,MOD(V$1-Units!$Q82,12)=0),IF(AND(Units!$L82=1,V$1=Units!$Q82),IF(Units!$J82&lt;&gt;"",Units!$J82,Mkt!V83),Inputs!$B$15*Mkt!V83+(1-Inputs!$B$15)*MIN(Mkt!V83,U83*(1+Inputs!$B$18))),U83)))</f>
        <v>1905.5</v>
      </c>
      <c r="W83" s="11" t="n">
        <f aca="false">IF(W$1&lt;Units!$P82,0,IF(AND(Units!$K82=0,W$1=Units!$O82),Units!$R82,IF(AND(W$1&gt;=Units!$Q82,MOD(W$1-Units!$Q82,12)=0),IF(AND(Units!$L82=1,W$1=Units!$Q82),IF(Units!$J82&lt;&gt;"",Units!$J82,Mkt!W83),Inputs!$B$15*Mkt!W83+(1-Inputs!$B$15)*MIN(Mkt!W83,V83*(1+Inputs!$B$18))),V83)))</f>
        <v>1905.5</v>
      </c>
      <c r="X83" s="11" t="n">
        <f aca="false">IF(X$1&lt;Units!$P82,0,IF(AND(Units!$K82=0,X$1=Units!$O82),Units!$R82,IF(AND(X$1&gt;=Units!$Q82,MOD(X$1-Units!$Q82,12)=0),IF(AND(Units!$L82=1,X$1=Units!$Q82),IF(Units!$J82&lt;&gt;"",Units!$J82,Mkt!X83),Inputs!$B$15*Mkt!X83+(1-Inputs!$B$15)*MIN(Mkt!X83,W83*(1+Inputs!$B$18))),W83)))</f>
        <v>1905.5</v>
      </c>
      <c r="Y83" s="11" t="n">
        <f aca="false">IF(Y$1&lt;Units!$P82,0,IF(AND(Units!$K82=0,Y$1=Units!$O82),Units!$R82,IF(AND(Y$1&gt;=Units!$Q82,MOD(Y$1-Units!$Q82,12)=0),IF(AND(Units!$L82=1,Y$1=Units!$Q82),IF(Units!$J82&lt;&gt;"",Units!$J82,Mkt!Y83),Inputs!$B$15*Mkt!Y83+(1-Inputs!$B$15)*MIN(Mkt!Y83,X83*(1+Inputs!$B$18))),X83)))</f>
        <v>1905.5</v>
      </c>
      <c r="Z83" s="11" t="n">
        <f aca="false">IF(Z$1&lt;Units!$P82,0,IF(AND(Units!$K82=0,Z$1=Units!$O82),Units!$R82,IF(AND(Z$1&gt;=Units!$Q82,MOD(Z$1-Units!$Q82,12)=0),IF(AND(Units!$L82=1,Z$1=Units!$Q82),IF(Units!$J82&lt;&gt;"",Units!$J82,Mkt!Z83),Inputs!$B$15*Mkt!Z83+(1-Inputs!$B$15)*MIN(Mkt!Z83,Y83*(1+Inputs!$B$18))),Y83)))</f>
        <v>1905.5</v>
      </c>
      <c r="AA83" s="11" t="n">
        <f aca="false">IF(AA$1&lt;Units!$P82,0,IF(AND(Units!$K82=0,AA$1=Units!$O82),Units!$R82,IF(AND(AA$1&gt;=Units!$Q82,MOD(AA$1-Units!$Q82,12)=0),IF(AND(Units!$L82=1,AA$1=Units!$Q82),IF(Units!$J82&lt;&gt;"",Units!$J82,Mkt!AA83),Inputs!$B$15*Mkt!AA83+(1-Inputs!$B$15)*MIN(Mkt!AA83,Z83*(1+Inputs!$B$18))),Z83)))</f>
        <v>1905.5</v>
      </c>
      <c r="AB83" s="11" t="n">
        <f aca="false">IF(AB$1&lt;Units!$P82,0,IF(AND(Units!$K82=0,AB$1=Units!$O82),Units!$R82,IF(AND(AB$1&gt;=Units!$Q82,MOD(AB$1-Units!$Q82,12)=0),IF(AND(Units!$L82=1,AB$1=Units!$Q82),IF(Units!$J82&lt;&gt;"",Units!$J82,Mkt!AB83),Inputs!$B$15*Mkt!AB83+(1-Inputs!$B$15)*MIN(Mkt!AB83,AA83*(1+Inputs!$B$18))),AA83)))</f>
        <v>1962.665</v>
      </c>
      <c r="AC83" s="11" t="n">
        <f aca="false">IF(AC$1&lt;Units!$P82,0,IF(AND(Units!$K82=0,AC$1=Units!$O82),Units!$R82,IF(AND(AC$1&gt;=Units!$Q82,MOD(AC$1-Units!$Q82,12)=0),IF(AND(Units!$L82=1,AC$1=Units!$Q82),IF(Units!$J82&lt;&gt;"",Units!$J82,Mkt!AC83),Inputs!$B$15*Mkt!AC83+(1-Inputs!$B$15)*MIN(Mkt!AC83,AB83*(1+Inputs!$B$18))),AB83)))</f>
        <v>1962.665</v>
      </c>
      <c r="AD83" s="11" t="n">
        <f aca="false">IF(AD$1&lt;Units!$P82,0,IF(AND(Units!$K82=0,AD$1=Units!$O82),Units!$R82,IF(AND(AD$1&gt;=Units!$Q82,MOD(AD$1-Units!$Q82,12)=0),IF(AND(Units!$L82=1,AD$1=Units!$Q82),IF(Units!$J82&lt;&gt;"",Units!$J82,Mkt!AD83),Inputs!$B$15*Mkt!AD83+(1-Inputs!$B$15)*MIN(Mkt!AD83,AC83*(1+Inputs!$B$18))),AC83)))</f>
        <v>1962.665</v>
      </c>
      <c r="AE83" s="11" t="n">
        <f aca="false">IF(AE$1&lt;Units!$P82,0,IF(AND(Units!$K82=0,AE$1=Units!$O82),Units!$R82,IF(AND(AE$1&gt;=Units!$Q82,MOD(AE$1-Units!$Q82,12)=0),IF(AND(Units!$L82=1,AE$1=Units!$Q82),IF(Units!$J82&lt;&gt;"",Units!$J82,Mkt!AE83),Inputs!$B$15*Mkt!AE83+(1-Inputs!$B$15)*MIN(Mkt!AE83,AD83*(1+Inputs!$B$18))),AD83)))</f>
        <v>1962.665</v>
      </c>
      <c r="AF83" s="11" t="n">
        <f aca="false">IF(AF$1&lt;Units!$P82,0,IF(AND(Units!$K82=0,AF$1=Units!$O82),Units!$R82,IF(AND(AF$1&gt;=Units!$Q82,MOD(AF$1-Units!$Q82,12)=0),IF(AND(Units!$L82=1,AF$1=Units!$Q82),IF(Units!$J82&lt;&gt;"",Units!$J82,Mkt!AF83),Inputs!$B$15*Mkt!AF83+(1-Inputs!$B$15)*MIN(Mkt!AF83,AE83*(1+Inputs!$B$18))),AE83)))</f>
        <v>1962.665</v>
      </c>
      <c r="AG83" s="11" t="n">
        <f aca="false">IF(AG$1&lt;Units!$P82,0,IF(AND(Units!$K82=0,AG$1=Units!$O82),Units!$R82,IF(AND(AG$1&gt;=Units!$Q82,MOD(AG$1-Units!$Q82,12)=0),IF(AND(Units!$L82=1,AG$1=Units!$Q82),IF(Units!$J82&lt;&gt;"",Units!$J82,Mkt!AG83),Inputs!$B$15*Mkt!AG83+(1-Inputs!$B$15)*MIN(Mkt!AG83,AF83*(1+Inputs!$B$18))),AF83)))</f>
        <v>1962.665</v>
      </c>
      <c r="AH83" s="11" t="n">
        <f aca="false">IF(AH$1&lt;Units!$P82,0,IF(AND(Units!$K82=0,AH$1=Units!$O82),Units!$R82,IF(AND(AH$1&gt;=Units!$Q82,MOD(AH$1-Units!$Q82,12)=0),IF(AND(Units!$L82=1,AH$1=Units!$Q82),IF(Units!$J82&lt;&gt;"",Units!$J82,Mkt!AH83),Inputs!$B$15*Mkt!AH83+(1-Inputs!$B$15)*MIN(Mkt!AH83,AG83*(1+Inputs!$B$18))),AG83)))</f>
        <v>1962.665</v>
      </c>
      <c r="AI83" s="11" t="n">
        <f aca="false">IF(AI$1&lt;Units!$P82,0,IF(AND(Units!$K82=0,AI$1=Units!$O82),Units!$R82,IF(AND(AI$1&gt;=Units!$Q82,MOD(AI$1-Units!$Q82,12)=0),IF(AND(Units!$L82=1,AI$1=Units!$Q82),IF(Units!$J82&lt;&gt;"",Units!$J82,Mkt!AI83),Inputs!$B$15*Mkt!AI83+(1-Inputs!$B$15)*MIN(Mkt!AI83,AH83*(1+Inputs!$B$18))),AH83)))</f>
        <v>1962.665</v>
      </c>
      <c r="AJ83" s="11" t="n">
        <f aca="false">IF(AJ$1&lt;Units!$P82,0,IF(AND(Units!$K82=0,AJ$1=Units!$O82),Units!$R82,IF(AND(AJ$1&gt;=Units!$Q82,MOD(AJ$1-Units!$Q82,12)=0),IF(AND(Units!$L82=1,AJ$1=Units!$Q82),IF(Units!$J82&lt;&gt;"",Units!$J82,Mkt!AJ83),Inputs!$B$15*Mkt!AJ83+(1-Inputs!$B$15)*MIN(Mkt!AJ83,AI83*(1+Inputs!$B$18))),AI83)))</f>
        <v>1962.665</v>
      </c>
      <c r="AK83" s="11" t="n">
        <f aca="false">IF(AK$1&lt;Units!$P82,0,IF(AND(Units!$K82=0,AK$1=Units!$O82),Units!$R82,IF(AND(AK$1&gt;=Units!$Q82,MOD(AK$1-Units!$Q82,12)=0),IF(AND(Units!$L82=1,AK$1=Units!$Q82),IF(Units!$J82&lt;&gt;"",Units!$J82,Mkt!AK83),Inputs!$B$15*Mkt!AK83+(1-Inputs!$B$15)*MIN(Mkt!AK83,AJ83*(1+Inputs!$B$18))),AJ83)))</f>
        <v>1962.665</v>
      </c>
      <c r="AL83" s="11" t="n">
        <f aca="false">IF(AL$1&lt;Units!$P82,0,IF(AND(Units!$K82=0,AL$1=Units!$O82),Units!$R82,IF(AND(AL$1&gt;=Units!$Q82,MOD(AL$1-Units!$Q82,12)=0),IF(AND(Units!$L82=1,AL$1=Units!$Q82),IF(Units!$J82&lt;&gt;"",Units!$J82,Mkt!AL83),Inputs!$B$15*Mkt!AL83+(1-Inputs!$B$15)*MIN(Mkt!AL83,AK83*(1+Inputs!$B$18))),AK83)))</f>
        <v>1962.665</v>
      </c>
      <c r="AM83" s="11" t="n">
        <f aca="false">IF(AM$1&lt;Units!$P82,0,IF(AND(Units!$K82=0,AM$1=Units!$O82),Units!$R82,IF(AND(AM$1&gt;=Units!$Q82,MOD(AM$1-Units!$Q82,12)=0),IF(AND(Units!$L82=1,AM$1=Units!$Q82),IF(Units!$J82&lt;&gt;"",Units!$J82,Mkt!AM83),Inputs!$B$15*Mkt!AM83+(1-Inputs!$B$15)*MIN(Mkt!AM83,AL83*(1+Inputs!$B$18))),AL83)))</f>
        <v>1962.665</v>
      </c>
      <c r="AN83" s="11" t="n">
        <f aca="false">IF(AN$1&lt;Units!$P82,0,IF(AND(Units!$K82=0,AN$1=Units!$O82),Units!$R82,IF(AND(AN$1&gt;=Units!$Q82,MOD(AN$1-Units!$Q82,12)=0),IF(AND(Units!$L82=1,AN$1=Units!$Q82),IF(Units!$J82&lt;&gt;"",Units!$J82,Mkt!AN83),Inputs!$B$15*Mkt!AN83+(1-Inputs!$B$15)*MIN(Mkt!AN83,AM83*(1+Inputs!$B$18))),AM83)))</f>
        <v>2021.54495</v>
      </c>
      <c r="AO83" s="11" t="n">
        <f aca="false">IF(AO$1&lt;Units!$P82,0,IF(AND(Units!$K82=0,AO$1=Units!$O82),Units!$R82,IF(AND(AO$1&gt;=Units!$Q82,MOD(AO$1-Units!$Q82,12)=0),IF(AND(Units!$L82=1,AO$1=Units!$Q82),IF(Units!$J82&lt;&gt;"",Units!$J82,Mkt!AO83),Inputs!$B$15*Mkt!AO83+(1-Inputs!$B$15)*MIN(Mkt!AO83,AN83*(1+Inputs!$B$18))),AN83)))</f>
        <v>2021.54495</v>
      </c>
      <c r="AP83" s="11" t="n">
        <f aca="false">IF(AP$1&lt;Units!$P82,0,IF(AND(Units!$K82=0,AP$1=Units!$O82),Units!$R82,IF(AND(AP$1&gt;=Units!$Q82,MOD(AP$1-Units!$Q82,12)=0),IF(AND(Units!$L82=1,AP$1=Units!$Q82),IF(Units!$J82&lt;&gt;"",Units!$J82,Mkt!AP83),Inputs!$B$15*Mkt!AP83+(1-Inputs!$B$15)*MIN(Mkt!AP83,AO83*(1+Inputs!$B$18))),AO83)))</f>
        <v>2021.54495</v>
      </c>
      <c r="AQ83" s="11" t="n">
        <f aca="false">IF(AQ$1&lt;Units!$P82,0,IF(AND(Units!$K82=0,AQ$1=Units!$O82),Units!$R82,IF(AND(AQ$1&gt;=Units!$Q82,MOD(AQ$1-Units!$Q82,12)=0),IF(AND(Units!$L82=1,AQ$1=Units!$Q82),IF(Units!$J82&lt;&gt;"",Units!$J82,Mkt!AQ83),Inputs!$B$15*Mkt!AQ83+(1-Inputs!$B$15)*MIN(Mkt!AQ83,AP83*(1+Inputs!$B$18))),AP83)))</f>
        <v>2021.54495</v>
      </c>
      <c r="AR83" s="11" t="n">
        <f aca="false">IF(AR$1&lt;Units!$P82,0,IF(AND(Units!$K82=0,AR$1=Units!$O82),Units!$R82,IF(AND(AR$1&gt;=Units!$Q82,MOD(AR$1-Units!$Q82,12)=0),IF(AND(Units!$L82=1,AR$1=Units!$Q82),IF(Units!$J82&lt;&gt;"",Units!$J82,Mkt!AR83),Inputs!$B$15*Mkt!AR83+(1-Inputs!$B$15)*MIN(Mkt!AR83,AQ83*(1+Inputs!$B$18))),AQ83)))</f>
        <v>2021.54495</v>
      </c>
      <c r="AS83" s="11" t="n">
        <f aca="false">IF(AS$1&lt;Units!$P82,0,IF(AND(Units!$K82=0,AS$1=Units!$O82),Units!$R82,IF(AND(AS$1&gt;=Units!$Q82,MOD(AS$1-Units!$Q82,12)=0),IF(AND(Units!$L82=1,AS$1=Units!$Q82),IF(Units!$J82&lt;&gt;"",Units!$J82,Mkt!AS83),Inputs!$B$15*Mkt!AS83+(1-Inputs!$B$15)*MIN(Mkt!AS83,AR83*(1+Inputs!$B$18))),AR83)))</f>
        <v>2021.54495</v>
      </c>
      <c r="AT83" s="11" t="n">
        <f aca="false">IF(AT$1&lt;Units!$P82,0,IF(AND(Units!$K82=0,AT$1=Units!$O82),Units!$R82,IF(AND(AT$1&gt;=Units!$Q82,MOD(AT$1-Units!$Q82,12)=0),IF(AND(Units!$L82=1,AT$1=Units!$Q82),IF(Units!$J82&lt;&gt;"",Units!$J82,Mkt!AT83),Inputs!$B$15*Mkt!AT83+(1-Inputs!$B$15)*MIN(Mkt!AT83,AS83*(1+Inputs!$B$18))),AS83)))</f>
        <v>2021.54495</v>
      </c>
      <c r="AU83" s="11" t="n">
        <f aca="false">IF(AU$1&lt;Units!$P82,0,IF(AND(Units!$K82=0,AU$1=Units!$O82),Units!$R82,IF(AND(AU$1&gt;=Units!$Q82,MOD(AU$1-Units!$Q82,12)=0),IF(AND(Units!$L82=1,AU$1=Units!$Q82),IF(Units!$J82&lt;&gt;"",Units!$J82,Mkt!AU83),Inputs!$B$15*Mkt!AU83+(1-Inputs!$B$15)*MIN(Mkt!AU83,AT83*(1+Inputs!$B$18))),AT83)))</f>
        <v>2021.54495</v>
      </c>
      <c r="AV83" s="11" t="n">
        <f aca="false">IF(AV$1&lt;Units!$P82,0,IF(AND(Units!$K82=0,AV$1=Units!$O82),Units!$R82,IF(AND(AV$1&gt;=Units!$Q82,MOD(AV$1-Units!$Q82,12)=0),IF(AND(Units!$L82=1,AV$1=Units!$Q82),IF(Units!$J82&lt;&gt;"",Units!$J82,Mkt!AV83),Inputs!$B$15*Mkt!AV83+(1-Inputs!$B$15)*MIN(Mkt!AV83,AU83*(1+Inputs!$B$18))),AU83)))</f>
        <v>2021.54495</v>
      </c>
      <c r="AW83" s="11" t="n">
        <f aca="false">IF(AW$1&lt;Units!$P82,0,IF(AND(Units!$K82=0,AW$1=Units!$O82),Units!$R82,IF(AND(AW$1&gt;=Units!$Q82,MOD(AW$1-Units!$Q82,12)=0),IF(AND(Units!$L82=1,AW$1=Units!$Q82),IF(Units!$J82&lt;&gt;"",Units!$J82,Mkt!AW83),Inputs!$B$15*Mkt!AW83+(1-Inputs!$B$15)*MIN(Mkt!AW83,AV83*(1+Inputs!$B$18))),AV83)))</f>
        <v>2021.54495</v>
      </c>
      <c r="AX83" s="11" t="n">
        <f aca="false">IF(AX$1&lt;Units!$P82,0,IF(AND(Units!$K82=0,AX$1=Units!$O82),Units!$R82,IF(AND(AX$1&gt;=Units!$Q82,MOD(AX$1-Units!$Q82,12)=0),IF(AND(Units!$L82=1,AX$1=Units!$Q82),IF(Units!$J82&lt;&gt;"",Units!$J82,Mkt!AX83),Inputs!$B$15*Mkt!AX83+(1-Inputs!$B$15)*MIN(Mkt!AX83,AW83*(1+Inputs!$B$18))),AW83)))</f>
        <v>2021.54495</v>
      </c>
      <c r="AY83" s="11" t="n">
        <f aca="false">IF(AY$1&lt;Units!$P82,0,IF(AND(Units!$K82=0,AY$1=Units!$O82),Units!$R82,IF(AND(AY$1&gt;=Units!$Q82,MOD(AY$1-Units!$Q82,12)=0),IF(AND(Units!$L82=1,AY$1=Units!$Q82),IF(Units!$J82&lt;&gt;"",Units!$J82,Mkt!AY83),Inputs!$B$15*Mkt!AY83+(1-Inputs!$B$15)*MIN(Mkt!AY83,AX83*(1+Inputs!$B$18))),AX83)))</f>
        <v>2021.54495</v>
      </c>
      <c r="AZ83" s="11" t="n">
        <f aca="false">IF(AZ$1&lt;Units!$P82,0,IF(AND(Units!$K82=0,AZ$1=Units!$O82),Units!$R82,IF(AND(AZ$1&gt;=Units!$Q82,MOD(AZ$1-Units!$Q82,12)=0),IF(AND(Units!$L82=1,AZ$1=Units!$Q82),IF(Units!$J82&lt;&gt;"",Units!$J82,Mkt!AZ83),Inputs!$B$15*Mkt!AZ83+(1-Inputs!$B$15)*MIN(Mkt!AZ83,AY83*(1+Inputs!$B$18))),AY83)))</f>
        <v>2082.1912985</v>
      </c>
      <c r="BA83" s="11" t="n">
        <f aca="false">IF(BA$1&lt;Units!$P82,0,IF(AND(Units!$K82=0,BA$1=Units!$O82),Units!$R82,IF(AND(BA$1&gt;=Units!$Q82,MOD(BA$1-Units!$Q82,12)=0),IF(AND(Units!$L82=1,BA$1=Units!$Q82),IF(Units!$J82&lt;&gt;"",Units!$J82,Mkt!BA83),Inputs!$B$15*Mkt!BA83+(1-Inputs!$B$15)*MIN(Mkt!BA83,AZ83*(1+Inputs!$B$18))),AZ83)))</f>
        <v>2082.1912985</v>
      </c>
      <c r="BB83" s="11" t="n">
        <f aca="false">IF(BB$1&lt;Units!$P82,0,IF(AND(Units!$K82=0,BB$1=Units!$O82),Units!$R82,IF(AND(BB$1&gt;=Units!$Q82,MOD(BB$1-Units!$Q82,12)=0),IF(AND(Units!$L82=1,BB$1=Units!$Q82),IF(Units!$J82&lt;&gt;"",Units!$J82,Mkt!BB83),Inputs!$B$15*Mkt!BB83+(1-Inputs!$B$15)*MIN(Mkt!BB83,BA83*(1+Inputs!$B$18))),BA83)))</f>
        <v>2082.1912985</v>
      </c>
      <c r="BC83" s="11" t="n">
        <f aca="false">IF(BC$1&lt;Units!$P82,0,IF(AND(Units!$K82=0,BC$1=Units!$O82),Units!$R82,IF(AND(BC$1&gt;=Units!$Q82,MOD(BC$1-Units!$Q82,12)=0),IF(AND(Units!$L82=1,BC$1=Units!$Q82),IF(Units!$J82&lt;&gt;"",Units!$J82,Mkt!BC83),Inputs!$B$15*Mkt!BC83+(1-Inputs!$B$15)*MIN(Mkt!BC83,BB83*(1+Inputs!$B$18))),BB83)))</f>
        <v>2082.1912985</v>
      </c>
      <c r="BD83" s="11" t="n">
        <f aca="false">IF(BD$1&lt;Units!$P82,0,IF(AND(Units!$K82=0,BD$1=Units!$O82),Units!$R82,IF(AND(BD$1&gt;=Units!$Q82,MOD(BD$1-Units!$Q82,12)=0),IF(AND(Units!$L82=1,BD$1=Units!$Q82),IF(Units!$J82&lt;&gt;"",Units!$J82,Mkt!BD83),Inputs!$B$15*Mkt!BD83+(1-Inputs!$B$15)*MIN(Mkt!BD83,BC83*(1+Inputs!$B$18))),BC83)))</f>
        <v>2082.1912985</v>
      </c>
      <c r="BE83" s="11" t="n">
        <f aca="false">IF(BE$1&lt;Units!$P82,0,IF(AND(Units!$K82=0,BE$1=Units!$O82),Units!$R82,IF(AND(BE$1&gt;=Units!$Q82,MOD(BE$1-Units!$Q82,12)=0),IF(AND(Units!$L82=1,BE$1=Units!$Q82),IF(Units!$J82&lt;&gt;"",Units!$J82,Mkt!BE83),Inputs!$B$15*Mkt!BE83+(1-Inputs!$B$15)*MIN(Mkt!BE83,BD83*(1+Inputs!$B$18))),BD83)))</f>
        <v>2082.1912985</v>
      </c>
      <c r="BF83" s="11" t="n">
        <f aca="false">IF(BF$1&lt;Units!$P82,0,IF(AND(Units!$K82=0,BF$1=Units!$O82),Units!$R82,IF(AND(BF$1&gt;=Units!$Q82,MOD(BF$1-Units!$Q82,12)=0),IF(AND(Units!$L82=1,BF$1=Units!$Q82),IF(Units!$J82&lt;&gt;"",Units!$J82,Mkt!BF83),Inputs!$B$15*Mkt!BF83+(1-Inputs!$B$15)*MIN(Mkt!BF83,BE83*(1+Inputs!$B$18))),BE83)))</f>
        <v>2082.1912985</v>
      </c>
      <c r="BG83" s="11" t="n">
        <f aca="false">IF(BG$1&lt;Units!$P82,0,IF(AND(Units!$K82=0,BG$1=Units!$O82),Units!$R82,IF(AND(BG$1&gt;=Units!$Q82,MOD(BG$1-Units!$Q82,12)=0),IF(AND(Units!$L82=1,BG$1=Units!$Q82),IF(Units!$J82&lt;&gt;"",Units!$J82,Mkt!BG83),Inputs!$B$15*Mkt!BG83+(1-Inputs!$B$15)*MIN(Mkt!BG83,BF83*(1+Inputs!$B$18))),BF83)))</f>
        <v>2082.1912985</v>
      </c>
      <c r="BH83" s="11" t="n">
        <f aca="false">IF(BH$1&lt;Units!$P82,0,IF(AND(Units!$K82=0,BH$1=Units!$O82),Units!$R82,IF(AND(BH$1&gt;=Units!$Q82,MOD(BH$1-Units!$Q82,12)=0),IF(AND(Units!$L82=1,BH$1=Units!$Q82),IF(Units!$J82&lt;&gt;"",Units!$J82,Mkt!BH83),Inputs!$B$15*Mkt!BH83+(1-Inputs!$B$15)*MIN(Mkt!BH83,BG83*(1+Inputs!$B$18))),BG83)))</f>
        <v>2082.1912985</v>
      </c>
      <c r="BI83" s="11" t="n">
        <f aca="false">IF(BI$1&lt;Units!$P82,0,IF(AND(Units!$K82=0,BI$1=Units!$O82),Units!$R82,IF(AND(BI$1&gt;=Units!$Q82,MOD(BI$1-Units!$Q82,12)=0),IF(AND(Units!$L82=1,BI$1=Units!$Q82),IF(Units!$J82&lt;&gt;"",Units!$J82,Mkt!BI83),Inputs!$B$15*Mkt!BI83+(1-Inputs!$B$15)*MIN(Mkt!BI83,BH83*(1+Inputs!$B$18))),BH83)))</f>
        <v>2082.1912985</v>
      </c>
      <c r="BJ83" s="11" t="n">
        <f aca="false">IF(BJ$1&lt;Units!$P82,0,IF(AND(Units!$K82=0,BJ$1=Units!$O82),Units!$R82,IF(AND(BJ$1&gt;=Units!$Q82,MOD(BJ$1-Units!$Q82,12)=0),IF(AND(Units!$L82=1,BJ$1=Units!$Q82),IF(Units!$J82&lt;&gt;"",Units!$J82,Mkt!BJ83),Inputs!$B$15*Mkt!BJ83+(1-Inputs!$B$15)*MIN(Mkt!BJ83,BI83*(1+Inputs!$B$18))),BI83)))</f>
        <v>2082.1912985</v>
      </c>
      <c r="BK83" s="11" t="n">
        <f aca="false">IF(BK$1&lt;Units!$P82,0,IF(AND(Units!$K82=0,BK$1=Units!$O82),Units!$R82,IF(AND(BK$1&gt;=Units!$Q82,MOD(BK$1-Units!$Q82,12)=0),IF(AND(Units!$L82=1,BK$1=Units!$Q82),IF(Units!$J82&lt;&gt;"",Units!$J82,Mkt!BK83),Inputs!$B$15*Mkt!BK83+(1-Inputs!$B$15)*MIN(Mkt!BK83,BJ83*(1+Inputs!$B$18))),BJ83)))</f>
        <v>2082.1912985</v>
      </c>
      <c r="BL83" s="11" t="n">
        <f aca="false">IF(BL$1&lt;Units!$P82,0,IF(AND(Units!$K82=0,BL$1=Units!$O82),Units!$R82,IF(AND(BL$1&gt;=Units!$Q82,MOD(BL$1-Units!$Q82,12)=0),IF(AND(Units!$L82=1,BL$1=Units!$Q82),IF(Units!$J82&lt;&gt;"",Units!$J82,Mkt!BL83),Inputs!$B$15*Mkt!BL83+(1-Inputs!$B$15)*MIN(Mkt!BL83,BK83*(1+Inputs!$B$18))),BK83)))</f>
        <v>2144.657037455</v>
      </c>
      <c r="BM83" s="11" t="n">
        <f aca="false">IF(BM$1&lt;Units!$P82,0,IF(AND(Units!$K82=0,BM$1=Units!$O82),Units!$R82,IF(AND(BM$1&gt;=Units!$Q82,MOD(BM$1-Units!$Q82,12)=0),IF(AND(Units!$L82=1,BM$1=Units!$Q82),IF(Units!$J82&lt;&gt;"",Units!$J82,Mkt!BM83),Inputs!$B$15*Mkt!BM83+(1-Inputs!$B$15)*MIN(Mkt!BM83,BL83*(1+Inputs!$B$18))),BL83)))</f>
        <v>2144.657037455</v>
      </c>
      <c r="BN83" s="11" t="n">
        <f aca="false">IF(BN$1&lt;Units!$P82,0,IF(AND(Units!$K82=0,BN$1=Units!$O82),Units!$R82,IF(AND(BN$1&gt;=Units!$Q82,MOD(BN$1-Units!$Q82,12)=0),IF(AND(Units!$L82=1,BN$1=Units!$Q82),IF(Units!$J82&lt;&gt;"",Units!$J82,Mkt!BN83),Inputs!$B$15*Mkt!BN83+(1-Inputs!$B$15)*MIN(Mkt!BN83,BM83*(1+Inputs!$B$18))),BM83)))</f>
        <v>2144.657037455</v>
      </c>
      <c r="BO83" s="11" t="n">
        <f aca="false">IF(BO$1&lt;Units!$P82,0,IF(AND(Units!$K82=0,BO$1=Units!$O82),Units!$R82,IF(AND(BO$1&gt;=Units!$Q82,MOD(BO$1-Units!$Q82,12)=0),IF(AND(Units!$L82=1,BO$1=Units!$Q82),IF(Units!$J82&lt;&gt;"",Units!$J82,Mkt!BO83),Inputs!$B$15*Mkt!BO83+(1-Inputs!$B$15)*MIN(Mkt!BO83,BN83*(1+Inputs!$B$18))),BN83)))</f>
        <v>2144.657037455</v>
      </c>
      <c r="BP83" s="11" t="n">
        <f aca="false">IF(BP$1&lt;Units!$P82,0,IF(AND(Units!$K82=0,BP$1=Units!$O82),Units!$R82,IF(AND(BP$1&gt;=Units!$Q82,MOD(BP$1-Units!$Q82,12)=0),IF(AND(Units!$L82=1,BP$1=Units!$Q82),IF(Units!$J82&lt;&gt;"",Units!$J82,Mkt!BP83),Inputs!$B$15*Mkt!BP83+(1-Inputs!$B$15)*MIN(Mkt!BP83,BO83*(1+Inputs!$B$18))),BO83)))</f>
        <v>2144.657037455</v>
      </c>
      <c r="BQ83" s="11" t="n">
        <f aca="false">IF(BQ$1&lt;Units!$P82,0,IF(AND(Units!$K82=0,BQ$1=Units!$O82),Units!$R82,IF(AND(BQ$1&gt;=Units!$Q82,MOD(BQ$1-Units!$Q82,12)=0),IF(AND(Units!$L82=1,BQ$1=Units!$Q82),IF(Units!$J82&lt;&gt;"",Units!$J82,Mkt!BQ83),Inputs!$B$15*Mkt!BQ83+(1-Inputs!$B$15)*MIN(Mkt!BQ83,BP83*(1+Inputs!$B$18))),BP83)))</f>
        <v>2144.657037455</v>
      </c>
      <c r="BR83" s="11" t="n">
        <f aca="false">IF(BR$1&lt;Units!$P82,0,IF(AND(Units!$K82=0,BR$1=Units!$O82),Units!$R82,IF(AND(BR$1&gt;=Units!$Q82,MOD(BR$1-Units!$Q82,12)=0),IF(AND(Units!$L82=1,BR$1=Units!$Q82),IF(Units!$J82&lt;&gt;"",Units!$J82,Mkt!BR83),Inputs!$B$15*Mkt!BR83+(1-Inputs!$B$15)*MIN(Mkt!BR83,BQ83*(1+Inputs!$B$18))),BQ83)))</f>
        <v>2144.657037455</v>
      </c>
      <c r="BS83" s="11" t="n">
        <f aca="false">IF(BS$1&lt;Units!$P82,0,IF(AND(Units!$K82=0,BS$1=Units!$O82),Units!$R82,IF(AND(BS$1&gt;=Units!$Q82,MOD(BS$1-Units!$Q82,12)=0),IF(AND(Units!$L82=1,BS$1=Units!$Q82),IF(Units!$J82&lt;&gt;"",Units!$J82,Mkt!BS83),Inputs!$B$15*Mkt!BS83+(1-Inputs!$B$15)*MIN(Mkt!BS83,BR83*(1+Inputs!$B$18))),BR83)))</f>
        <v>2144.657037455</v>
      </c>
      <c r="BT83" s="11" t="n">
        <f aca="false">IF(BT$1&lt;Units!$P82,0,IF(AND(Units!$K82=0,BT$1=Units!$O82),Units!$R82,IF(AND(BT$1&gt;=Units!$Q82,MOD(BT$1-Units!$Q82,12)=0),IF(AND(Units!$L82=1,BT$1=Units!$Q82),IF(Units!$J82&lt;&gt;"",Units!$J82,Mkt!BT83),Inputs!$B$15*Mkt!BT83+(1-Inputs!$B$15)*MIN(Mkt!BT83,BS83*(1+Inputs!$B$18))),BS83)))</f>
        <v>2144.657037455</v>
      </c>
      <c r="BU83" s="11" t="n">
        <f aca="false">IF(BU$1&lt;Units!$P82,0,IF(AND(Units!$K82=0,BU$1=Units!$O82),Units!$R82,IF(AND(BU$1&gt;=Units!$Q82,MOD(BU$1-Units!$Q82,12)=0),IF(AND(Units!$L82=1,BU$1=Units!$Q82),IF(Units!$J82&lt;&gt;"",Units!$J82,Mkt!BU83),Inputs!$B$15*Mkt!BU83+(1-Inputs!$B$15)*MIN(Mkt!BU83,BT83*(1+Inputs!$B$18))),BT83)))</f>
        <v>2144.657037455</v>
      </c>
      <c r="BV83" s="11" t="n">
        <f aca="false">IF(BV$1&lt;Units!$P82,0,IF(AND(Units!$K82=0,BV$1=Units!$O82),Units!$R82,IF(AND(BV$1&gt;=Units!$Q82,MOD(BV$1-Units!$Q82,12)=0),IF(AND(Units!$L82=1,BV$1=Units!$Q82),IF(Units!$J82&lt;&gt;"",Units!$J82,Mkt!BV83),Inputs!$B$15*Mkt!BV83+(1-Inputs!$B$15)*MIN(Mkt!BV83,BU83*(1+Inputs!$B$18))),BU83)))</f>
        <v>2144.657037455</v>
      </c>
      <c r="BW83" s="11" t="n">
        <f aca="false">IF(BW$1&lt;Units!$P82,0,IF(AND(Units!$K82=0,BW$1=Units!$O82),Units!$R82,IF(AND(BW$1&gt;=Units!$Q82,MOD(BW$1-Units!$Q82,12)=0),IF(AND(Units!$L82=1,BW$1=Units!$Q82),IF(Units!$J82&lt;&gt;"",Units!$J82,Mkt!BW83),Inputs!$B$15*Mkt!BW83+(1-Inputs!$B$15)*MIN(Mkt!BW83,BV83*(1+Inputs!$B$18))),BV83)))</f>
        <v>2144.657037455</v>
      </c>
      <c r="BX83" s="11" t="n">
        <f aca="false">IF(BX$1&lt;Units!$P82,0,IF(AND(Units!$K82=0,BX$1=Units!$O82),Units!$R82,IF(AND(BX$1&gt;=Units!$Q82,MOD(BX$1-Units!$Q82,12)=0),IF(AND(Units!$L82=1,BX$1=Units!$Q82),IF(Units!$J82&lt;&gt;"",Units!$J82,Mkt!BX83),Inputs!$B$15*Mkt!BX83+(1-Inputs!$B$15)*MIN(Mkt!BX83,BW83*(1+Inputs!$B$18))),BW83)))</f>
        <v>2208.99674857865</v>
      </c>
      <c r="BY83" s="11" t="n">
        <f aca="false">IF(BY$1&lt;Units!$P82,0,IF(AND(Units!$K82=0,BY$1=Units!$O82),Units!$R82,IF(AND(BY$1&gt;=Units!$Q82,MOD(BY$1-Units!$Q82,12)=0),IF(AND(Units!$L82=1,BY$1=Units!$Q82),IF(Units!$J82&lt;&gt;"",Units!$J82,Mkt!BY83),Inputs!$B$15*Mkt!BY83+(1-Inputs!$B$15)*MIN(Mkt!BY83,BX83*(1+Inputs!$B$18))),BX83)))</f>
        <v>2208.99674857865</v>
      </c>
      <c r="BZ83" s="11" t="n">
        <f aca="false">IF(BZ$1&lt;Units!$P82,0,IF(AND(Units!$K82=0,BZ$1=Units!$O82),Units!$R82,IF(AND(BZ$1&gt;=Units!$Q82,MOD(BZ$1-Units!$Q82,12)=0),IF(AND(Units!$L82=1,BZ$1=Units!$Q82),IF(Units!$J82&lt;&gt;"",Units!$J82,Mkt!BZ83),Inputs!$B$15*Mkt!BZ83+(1-Inputs!$B$15)*MIN(Mkt!BZ83,BY83*(1+Inputs!$B$18))),BY83)))</f>
        <v>2208.99674857865</v>
      </c>
      <c r="CA83" s="11" t="n">
        <f aca="false">IF(CA$1&lt;Units!$P82,0,IF(AND(Units!$K82=0,CA$1=Units!$O82),Units!$R82,IF(AND(CA$1&gt;=Units!$Q82,MOD(CA$1-Units!$Q82,12)=0),IF(AND(Units!$L82=1,CA$1=Units!$Q82),IF(Units!$J82&lt;&gt;"",Units!$J82,Mkt!CA83),Inputs!$B$15*Mkt!CA83+(1-Inputs!$B$15)*MIN(Mkt!CA83,BZ83*(1+Inputs!$B$18))),BZ83)))</f>
        <v>2208.99674857865</v>
      </c>
      <c r="CB83" s="11" t="n">
        <f aca="false">IF(CB$1&lt;Units!$P82,0,IF(AND(Units!$K82=0,CB$1=Units!$O82),Units!$R82,IF(AND(CB$1&gt;=Units!$Q82,MOD(CB$1-Units!$Q82,12)=0),IF(AND(Units!$L82=1,CB$1=Units!$Q82),IF(Units!$J82&lt;&gt;"",Units!$J82,Mkt!CB83),Inputs!$B$15*Mkt!CB83+(1-Inputs!$B$15)*MIN(Mkt!CB83,CA83*(1+Inputs!$B$18))),CA83)))</f>
        <v>2208.99674857865</v>
      </c>
      <c r="CC83" s="11" t="n">
        <f aca="false">IF(CC$1&lt;Units!$P82,0,IF(AND(Units!$K82=0,CC$1=Units!$O82),Units!$R82,IF(AND(CC$1&gt;=Units!$Q82,MOD(CC$1-Units!$Q82,12)=0),IF(AND(Units!$L82=1,CC$1=Units!$Q82),IF(Units!$J82&lt;&gt;"",Units!$J82,Mkt!CC83),Inputs!$B$15*Mkt!CC83+(1-Inputs!$B$15)*MIN(Mkt!CC83,CB83*(1+Inputs!$B$18))),CB83)))</f>
        <v>2208.99674857865</v>
      </c>
      <c r="CD83" s="11" t="n">
        <f aca="false">IF(CD$1&lt;Units!$P82,0,IF(AND(Units!$K82=0,CD$1=Units!$O82),Units!$R82,IF(AND(CD$1&gt;=Units!$Q82,MOD(CD$1-Units!$Q82,12)=0),IF(AND(Units!$L82=1,CD$1=Units!$Q82),IF(Units!$J82&lt;&gt;"",Units!$J82,Mkt!CD83),Inputs!$B$15*Mkt!CD83+(1-Inputs!$B$15)*MIN(Mkt!CD83,CC83*(1+Inputs!$B$18))),CC83)))</f>
        <v>2208.99674857865</v>
      </c>
      <c r="CE83" s="11" t="n">
        <f aca="false">IF(CE$1&lt;Units!$P82,0,IF(AND(Units!$K82=0,CE$1=Units!$O82),Units!$R82,IF(AND(CE$1&gt;=Units!$Q82,MOD(CE$1-Units!$Q82,12)=0),IF(AND(Units!$L82=1,CE$1=Units!$Q82),IF(Units!$J82&lt;&gt;"",Units!$J82,Mkt!CE83),Inputs!$B$15*Mkt!CE83+(1-Inputs!$B$15)*MIN(Mkt!CE83,CD83*(1+Inputs!$B$18))),CD83)))</f>
        <v>2208.99674857865</v>
      </c>
      <c r="CF83" s="11" t="n">
        <f aca="false">IF(CF$1&lt;Units!$P82,0,IF(AND(Units!$K82=0,CF$1=Units!$O82),Units!$R82,IF(AND(CF$1&gt;=Units!$Q82,MOD(CF$1-Units!$Q82,12)=0),IF(AND(Units!$L82=1,CF$1=Units!$Q82),IF(Units!$J82&lt;&gt;"",Units!$J82,Mkt!CF83),Inputs!$B$15*Mkt!CF83+(1-Inputs!$B$15)*MIN(Mkt!CF83,CE83*(1+Inputs!$B$18))),CE83)))</f>
        <v>2208.99674857865</v>
      </c>
      <c r="CG83" s="11" t="n">
        <f aca="false">IF(CG$1&lt;Units!$P82,0,IF(AND(Units!$K82=0,CG$1=Units!$O82),Units!$R82,IF(AND(CG$1&gt;=Units!$Q82,MOD(CG$1-Units!$Q82,12)=0),IF(AND(Units!$L82=1,CG$1=Units!$Q82),IF(Units!$J82&lt;&gt;"",Units!$J82,Mkt!CG83),Inputs!$B$15*Mkt!CG83+(1-Inputs!$B$15)*MIN(Mkt!CG83,CF83*(1+Inputs!$B$18))),CF83)))</f>
        <v>2208.99674857865</v>
      </c>
      <c r="CH83" s="11" t="n">
        <f aca="false">IF(CH$1&lt;Units!$P82,0,IF(AND(Units!$K82=0,CH$1=Units!$O82),Units!$R82,IF(AND(CH$1&gt;=Units!$Q82,MOD(CH$1-Units!$Q82,12)=0),IF(AND(Units!$L82=1,CH$1=Units!$Q82),IF(Units!$J82&lt;&gt;"",Units!$J82,Mkt!CH83),Inputs!$B$15*Mkt!CH83+(1-Inputs!$B$15)*MIN(Mkt!CH83,CG83*(1+Inputs!$B$18))),CG83)))</f>
        <v>2208.99674857865</v>
      </c>
      <c r="CI83" s="11" t="n">
        <f aca="false">IF(CI$1&lt;Units!$P82,0,IF(AND(Units!$K82=0,CI$1=Units!$O82),Units!$R82,IF(AND(CI$1&gt;=Units!$Q82,MOD(CI$1-Units!$Q82,12)=0),IF(AND(Units!$L82=1,CI$1=Units!$Q82),IF(Units!$J82&lt;&gt;"",Units!$J82,Mkt!CI83),Inputs!$B$15*Mkt!CI83+(1-Inputs!$B$15)*MIN(Mkt!CI83,CH83*(1+Inputs!$B$18))),CH83)))</f>
        <v>2208.99674857865</v>
      </c>
      <c r="CJ83" s="11" t="n">
        <f aca="false">IF(CJ$1&lt;Units!$P82,0,IF(AND(Units!$K82=0,CJ$1=Units!$O82),Units!$R82,IF(AND(CJ$1&gt;=Units!$Q82,MOD(CJ$1-Units!$Q82,12)=0),IF(AND(Units!$L82=1,CJ$1=Units!$Q82),IF(Units!$J82&lt;&gt;"",Units!$J82,Mkt!CJ83),Inputs!$B$15*Mkt!CJ83+(1-Inputs!$B$15)*MIN(Mkt!CJ83,CI83*(1+Inputs!$B$18))),CI83)))</f>
        <v>2275.26665103601</v>
      </c>
      <c r="CK83" s="11" t="n">
        <f aca="false">IF(CK$1&lt;Units!$P82,0,IF(AND(Units!$K82=0,CK$1=Units!$O82),Units!$R82,IF(AND(CK$1&gt;=Units!$Q82,MOD(CK$1-Units!$Q82,12)=0),IF(AND(Units!$L82=1,CK$1=Units!$Q82),IF(Units!$J82&lt;&gt;"",Units!$J82,Mkt!CK83),Inputs!$B$15*Mkt!CK83+(1-Inputs!$B$15)*MIN(Mkt!CK83,CJ83*(1+Inputs!$B$18))),CJ83)))</f>
        <v>2275.26665103601</v>
      </c>
      <c r="CL83" s="11" t="n">
        <f aca="false">IF(CL$1&lt;Units!$P82,0,IF(AND(Units!$K82=0,CL$1=Units!$O82),Units!$R82,IF(AND(CL$1&gt;=Units!$Q82,MOD(CL$1-Units!$Q82,12)=0),IF(AND(Units!$L82=1,CL$1=Units!$Q82),IF(Units!$J82&lt;&gt;"",Units!$J82,Mkt!CL83),Inputs!$B$15*Mkt!CL83+(1-Inputs!$B$15)*MIN(Mkt!CL83,CK83*(1+Inputs!$B$18))),CK83)))</f>
        <v>2275.26665103601</v>
      </c>
      <c r="CM83" s="11" t="n">
        <f aca="false">IF(CM$1&lt;Units!$P82,0,IF(AND(Units!$K82=0,CM$1=Units!$O82),Units!$R82,IF(AND(CM$1&gt;=Units!$Q82,MOD(CM$1-Units!$Q82,12)=0),IF(AND(Units!$L82=1,CM$1=Units!$Q82),IF(Units!$J82&lt;&gt;"",Units!$J82,Mkt!CM83),Inputs!$B$15*Mkt!CM83+(1-Inputs!$B$15)*MIN(Mkt!CM83,CL83*(1+Inputs!$B$18))),CL83)))</f>
        <v>2275.26665103601</v>
      </c>
      <c r="CN83" s="11" t="n">
        <f aca="false">IF(CN$1&lt;Units!$P82,0,IF(AND(Units!$K82=0,CN$1=Units!$O82),Units!$R82,IF(AND(CN$1&gt;=Units!$Q82,MOD(CN$1-Units!$Q82,12)=0),IF(AND(Units!$L82=1,CN$1=Units!$Q82),IF(Units!$J82&lt;&gt;"",Units!$J82,Mkt!CN83),Inputs!$B$15*Mkt!CN83+(1-Inputs!$B$15)*MIN(Mkt!CN83,CM83*(1+Inputs!$B$18))),CM83)))</f>
        <v>2275.26665103601</v>
      </c>
      <c r="CO83" s="11" t="n">
        <f aca="false">IF(CO$1&lt;Units!$P82,0,IF(AND(Units!$K82=0,CO$1=Units!$O82),Units!$R82,IF(AND(CO$1&gt;=Units!$Q82,MOD(CO$1-Units!$Q82,12)=0),IF(AND(Units!$L82=1,CO$1=Units!$Q82),IF(Units!$J82&lt;&gt;"",Units!$J82,Mkt!CO83),Inputs!$B$15*Mkt!CO83+(1-Inputs!$B$15)*MIN(Mkt!CO83,CN83*(1+Inputs!$B$18))),CN83)))</f>
        <v>2275.26665103601</v>
      </c>
      <c r="CP83" s="11" t="n">
        <f aca="false">IF(CP$1&lt;Units!$P82,0,IF(AND(Units!$K82=0,CP$1=Units!$O82),Units!$R82,IF(AND(CP$1&gt;=Units!$Q82,MOD(CP$1-Units!$Q82,12)=0),IF(AND(Units!$L82=1,CP$1=Units!$Q82),IF(Units!$J82&lt;&gt;"",Units!$J82,Mkt!CP83),Inputs!$B$15*Mkt!CP83+(1-Inputs!$B$15)*MIN(Mkt!CP83,CO83*(1+Inputs!$B$18))),CO83)))</f>
        <v>2275.26665103601</v>
      </c>
      <c r="CQ83" s="11" t="n">
        <f aca="false">IF(CQ$1&lt;Units!$P82,0,IF(AND(Units!$K82=0,CQ$1=Units!$O82),Units!$R82,IF(AND(CQ$1&gt;=Units!$Q82,MOD(CQ$1-Units!$Q82,12)=0),IF(AND(Units!$L82=1,CQ$1=Units!$Q82),IF(Units!$J82&lt;&gt;"",Units!$J82,Mkt!CQ83),Inputs!$B$15*Mkt!CQ83+(1-Inputs!$B$15)*MIN(Mkt!CQ83,CP83*(1+Inputs!$B$18))),CP83)))</f>
        <v>2275.26665103601</v>
      </c>
      <c r="CR83" s="11" t="n">
        <f aca="false">IF(CR$1&lt;Units!$P82,0,IF(AND(Units!$K82=0,CR$1=Units!$O82),Units!$R82,IF(AND(CR$1&gt;=Units!$Q82,MOD(CR$1-Units!$Q82,12)=0),IF(AND(Units!$L82=1,CR$1=Units!$Q82),IF(Units!$J82&lt;&gt;"",Units!$J82,Mkt!CR83),Inputs!$B$15*Mkt!CR83+(1-Inputs!$B$15)*MIN(Mkt!CR83,CQ83*(1+Inputs!$B$18))),CQ83)))</f>
        <v>2275.26665103601</v>
      </c>
      <c r="CS83" s="11" t="n">
        <f aca="false">IF(CS$1&lt;Units!$P82,0,IF(AND(Units!$K82=0,CS$1=Units!$O82),Units!$R82,IF(AND(CS$1&gt;=Units!$Q82,MOD(CS$1-Units!$Q82,12)=0),IF(AND(Units!$L82=1,CS$1=Units!$Q82),IF(Units!$J82&lt;&gt;"",Units!$J82,Mkt!CS83),Inputs!$B$15*Mkt!CS83+(1-Inputs!$B$15)*MIN(Mkt!CS83,CR83*(1+Inputs!$B$18))),CR83)))</f>
        <v>2275.26665103601</v>
      </c>
      <c r="CT83" s="11" t="n">
        <f aca="false">IF(CT$1&lt;Units!$P82,0,IF(AND(Units!$K82=0,CT$1=Units!$O82),Units!$R82,IF(AND(CT$1&gt;=Units!$Q82,MOD(CT$1-Units!$Q82,12)=0),IF(AND(Units!$L82=1,CT$1=Units!$Q82),IF(Units!$J82&lt;&gt;"",Units!$J82,Mkt!CT83),Inputs!$B$15*Mkt!CT83+(1-Inputs!$B$15)*MIN(Mkt!CT83,CS83*(1+Inputs!$B$18))),CS83)))</f>
        <v>2275.26665103601</v>
      </c>
      <c r="CU83" s="11" t="n">
        <f aca="false">IF(CU$1&lt;Units!$P82,0,IF(AND(Units!$K82=0,CU$1=Units!$O82),Units!$R82,IF(AND(CU$1&gt;=Units!$Q82,MOD(CU$1-Units!$Q82,12)=0),IF(AND(Units!$L82=1,CU$1=Units!$Q82),IF(Units!$J82&lt;&gt;"",Units!$J82,Mkt!CU83),Inputs!$B$15*Mkt!CU83+(1-Inputs!$B$15)*MIN(Mkt!CU83,CT83*(1+Inputs!$B$18))),CT83)))</f>
        <v>2275.26665103601</v>
      </c>
      <c r="CV83" s="11" t="n">
        <f aca="false">IF(CV$1&lt;Units!$P82,0,IF(AND(Units!$K82=0,CV$1=Units!$O82),Units!$R82,IF(AND(CV$1&gt;=Units!$Q82,MOD(CV$1-Units!$Q82,12)=0),IF(AND(Units!$L82=1,CV$1=Units!$Q82),IF(Units!$J82&lt;&gt;"",Units!$J82,Mkt!CV83),Inputs!$B$15*Mkt!CV83+(1-Inputs!$B$15)*MIN(Mkt!CV83,CU83*(1+Inputs!$B$18))),CU83)))</f>
        <v>2343.52465056709</v>
      </c>
      <c r="CW83" s="11" t="n">
        <f aca="false">IF(CW$1&lt;Units!$P82,0,IF(AND(Units!$K82=0,CW$1=Units!$O82),Units!$R82,IF(AND(CW$1&gt;=Units!$Q82,MOD(CW$1-Units!$Q82,12)=0),IF(AND(Units!$L82=1,CW$1=Units!$Q82),IF(Units!$J82&lt;&gt;"",Units!$J82,Mkt!CW83),Inputs!$B$15*Mkt!CW83+(1-Inputs!$B$15)*MIN(Mkt!CW83,CV83*(1+Inputs!$B$18))),CV83)))</f>
        <v>2343.52465056709</v>
      </c>
      <c r="CX83" s="11" t="n">
        <f aca="false">IF(CX$1&lt;Units!$P82,0,IF(AND(Units!$K82=0,CX$1=Units!$O82),Units!$R82,IF(AND(CX$1&gt;=Units!$Q82,MOD(CX$1-Units!$Q82,12)=0),IF(AND(Units!$L82=1,CX$1=Units!$Q82),IF(Units!$J82&lt;&gt;"",Units!$J82,Mkt!CX83),Inputs!$B$15*Mkt!CX83+(1-Inputs!$B$15)*MIN(Mkt!CX83,CW83*(1+Inputs!$B$18))),CW83)))</f>
        <v>2343.52465056709</v>
      </c>
      <c r="CY83" s="11" t="n">
        <f aca="false">IF(CY$1&lt;Units!$P82,0,IF(AND(Units!$K82=0,CY$1=Units!$O82),Units!$R82,IF(AND(CY$1&gt;=Units!$Q82,MOD(CY$1-Units!$Q82,12)=0),IF(AND(Units!$L82=1,CY$1=Units!$Q82),IF(Units!$J82&lt;&gt;"",Units!$J82,Mkt!CY83),Inputs!$B$15*Mkt!CY83+(1-Inputs!$B$15)*MIN(Mkt!CY83,CX83*(1+Inputs!$B$18))),CX83)))</f>
        <v>2343.52465056709</v>
      </c>
      <c r="CZ83" s="11" t="n">
        <f aca="false">IF(CZ$1&lt;Units!$P82,0,IF(AND(Units!$K82=0,CZ$1=Units!$O82),Units!$R82,IF(AND(CZ$1&gt;=Units!$Q82,MOD(CZ$1-Units!$Q82,12)=0),IF(AND(Units!$L82=1,CZ$1=Units!$Q82),IF(Units!$J82&lt;&gt;"",Units!$J82,Mkt!CZ83),Inputs!$B$15*Mkt!CZ83+(1-Inputs!$B$15)*MIN(Mkt!CZ83,CY83*(1+Inputs!$B$18))),CY83)))</f>
        <v>2343.52465056709</v>
      </c>
      <c r="DA83" s="11" t="n">
        <f aca="false">IF(DA$1&lt;Units!$P82,0,IF(AND(Units!$K82=0,DA$1=Units!$O82),Units!$R82,IF(AND(DA$1&gt;=Units!$Q82,MOD(DA$1-Units!$Q82,12)=0),IF(AND(Units!$L82=1,DA$1=Units!$Q82),IF(Units!$J82&lt;&gt;"",Units!$J82,Mkt!DA83),Inputs!$B$15*Mkt!DA83+(1-Inputs!$B$15)*MIN(Mkt!DA83,CZ83*(1+Inputs!$B$18))),CZ83)))</f>
        <v>2343.52465056709</v>
      </c>
      <c r="DB83" s="11" t="n">
        <f aca="false">IF(DB$1&lt;Units!$P82,0,IF(AND(Units!$K82=0,DB$1=Units!$O82),Units!$R82,IF(AND(DB$1&gt;=Units!$Q82,MOD(DB$1-Units!$Q82,12)=0),IF(AND(Units!$L82=1,DB$1=Units!$Q82),IF(Units!$J82&lt;&gt;"",Units!$J82,Mkt!DB83),Inputs!$B$15*Mkt!DB83+(1-Inputs!$B$15)*MIN(Mkt!DB83,DA83*(1+Inputs!$B$18))),DA83)))</f>
        <v>2343.52465056709</v>
      </c>
      <c r="DC83" s="11" t="n">
        <f aca="false">IF(DC$1&lt;Units!$P82,0,IF(AND(Units!$K82=0,DC$1=Units!$O82),Units!$R82,IF(AND(DC$1&gt;=Units!$Q82,MOD(DC$1-Units!$Q82,12)=0),IF(AND(Units!$L82=1,DC$1=Units!$Q82),IF(Units!$J82&lt;&gt;"",Units!$J82,Mkt!DC83),Inputs!$B$15*Mkt!DC83+(1-Inputs!$B$15)*MIN(Mkt!DC83,DB83*(1+Inputs!$B$18))),DB83)))</f>
        <v>2343.52465056709</v>
      </c>
      <c r="DD83" s="11" t="n">
        <f aca="false">IF(DD$1&lt;Units!$P82,0,IF(AND(Units!$K82=0,DD$1=Units!$O82),Units!$R82,IF(AND(DD$1&gt;=Units!$Q82,MOD(DD$1-Units!$Q82,12)=0),IF(AND(Units!$L82=1,DD$1=Units!$Q82),IF(Units!$J82&lt;&gt;"",Units!$J82,Mkt!DD83),Inputs!$B$15*Mkt!DD83+(1-Inputs!$B$15)*MIN(Mkt!DD83,DC83*(1+Inputs!$B$18))),DC83)))</f>
        <v>2343.52465056709</v>
      </c>
      <c r="DE83" s="11" t="n">
        <f aca="false">IF(DE$1&lt;Units!$P82,0,IF(AND(Units!$K82=0,DE$1=Units!$O82),Units!$R82,IF(AND(DE$1&gt;=Units!$Q82,MOD(DE$1-Units!$Q82,12)=0),IF(AND(Units!$L82=1,DE$1=Units!$Q82),IF(Units!$J82&lt;&gt;"",Units!$J82,Mkt!DE83),Inputs!$B$15*Mkt!DE83+(1-Inputs!$B$15)*MIN(Mkt!DE83,DD83*(1+Inputs!$B$18))),DD83)))</f>
        <v>2343.52465056709</v>
      </c>
      <c r="DF83" s="11" t="n">
        <f aca="false">IF(DF$1&lt;Units!$P82,0,IF(AND(Units!$K82=0,DF$1=Units!$O82),Units!$R82,IF(AND(DF$1&gt;=Units!$Q82,MOD(DF$1-Units!$Q82,12)=0),IF(AND(Units!$L82=1,DF$1=Units!$Q82),IF(Units!$J82&lt;&gt;"",Units!$J82,Mkt!DF83),Inputs!$B$15*Mkt!DF83+(1-Inputs!$B$15)*MIN(Mkt!DF83,DE83*(1+Inputs!$B$18))),DE83)))</f>
        <v>2343.52465056709</v>
      </c>
      <c r="DG83" s="11" t="n">
        <f aca="false">IF(DG$1&lt;Units!$P82,0,IF(AND(Units!$K82=0,DG$1=Units!$O82),Units!$R82,IF(AND(DG$1&gt;=Units!$Q82,MOD(DG$1-Units!$Q82,12)=0),IF(AND(Units!$L82=1,DG$1=Units!$Q82),IF(Units!$J82&lt;&gt;"",Units!$J82,Mkt!DG83),Inputs!$B$15*Mkt!DG83+(1-Inputs!$B$15)*MIN(Mkt!DG83,DF83*(1+Inputs!$B$18))),DF83)))</f>
        <v>2343.52465056709</v>
      </c>
      <c r="DH83" s="11" t="n">
        <f aca="false">IF(DH$1&lt;Units!$P82,0,IF(AND(Units!$K82=0,DH$1=Units!$O82),Units!$R82,IF(AND(DH$1&gt;=Units!$Q82,MOD(DH$1-Units!$Q82,12)=0),IF(AND(Units!$L82=1,DH$1=Units!$Q82),IF(Units!$J82&lt;&gt;"",Units!$J82,Mkt!DH83),Inputs!$B$15*Mkt!DH83+(1-Inputs!$B$15)*MIN(Mkt!DH83,DG83*(1+Inputs!$B$18))),DG83)))</f>
        <v>2413.8303900841</v>
      </c>
      <c r="DI83" s="11" t="n">
        <f aca="false">IF(DI$1&lt;Units!$P82,0,IF(AND(Units!$K82=0,DI$1=Units!$O82),Units!$R82,IF(AND(DI$1&gt;=Units!$Q82,MOD(DI$1-Units!$Q82,12)=0),IF(AND(Units!$L82=1,DI$1=Units!$Q82),IF(Units!$J82&lt;&gt;"",Units!$J82,Mkt!DI83),Inputs!$B$15*Mkt!DI83+(1-Inputs!$B$15)*MIN(Mkt!DI83,DH83*(1+Inputs!$B$18))),DH83)))</f>
        <v>2413.8303900841</v>
      </c>
      <c r="DJ83" s="11" t="n">
        <f aca="false">IF(DJ$1&lt;Units!$P82,0,IF(AND(Units!$K82=0,DJ$1=Units!$O82),Units!$R82,IF(AND(DJ$1&gt;=Units!$Q82,MOD(DJ$1-Units!$Q82,12)=0),IF(AND(Units!$L82=1,DJ$1=Units!$Q82),IF(Units!$J82&lt;&gt;"",Units!$J82,Mkt!DJ83),Inputs!$B$15*Mkt!DJ83+(1-Inputs!$B$15)*MIN(Mkt!DJ83,DI83*(1+Inputs!$B$18))),DI83)))</f>
        <v>2413.8303900841</v>
      </c>
      <c r="DK83" s="11" t="n">
        <f aca="false">IF(DK$1&lt;Units!$P82,0,IF(AND(Units!$K82=0,DK$1=Units!$O82),Units!$R82,IF(AND(DK$1&gt;=Units!$Q82,MOD(DK$1-Units!$Q82,12)=0),IF(AND(Units!$L82=1,DK$1=Units!$Q82),IF(Units!$J82&lt;&gt;"",Units!$J82,Mkt!DK83),Inputs!$B$15*Mkt!DK83+(1-Inputs!$B$15)*MIN(Mkt!DK83,DJ83*(1+Inputs!$B$18))),DJ83)))</f>
        <v>2413.8303900841</v>
      </c>
      <c r="DL83" s="11" t="n">
        <f aca="false">IF(DL$1&lt;Units!$P82,0,IF(AND(Units!$K82=0,DL$1=Units!$O82),Units!$R82,IF(AND(DL$1&gt;=Units!$Q82,MOD(DL$1-Units!$Q82,12)=0),IF(AND(Units!$L82=1,DL$1=Units!$Q82),IF(Units!$J82&lt;&gt;"",Units!$J82,Mkt!DL83),Inputs!$B$15*Mkt!DL83+(1-Inputs!$B$15)*MIN(Mkt!DL83,DK83*(1+Inputs!$B$18))),DK83)))</f>
        <v>2413.8303900841</v>
      </c>
      <c r="DM83" s="11" t="n">
        <f aca="false">IF(DM$1&lt;Units!$P82,0,IF(AND(Units!$K82=0,DM$1=Units!$O82),Units!$R82,IF(AND(DM$1&gt;=Units!$Q82,MOD(DM$1-Units!$Q82,12)=0),IF(AND(Units!$L82=1,DM$1=Units!$Q82),IF(Units!$J82&lt;&gt;"",Units!$J82,Mkt!DM83),Inputs!$B$15*Mkt!DM83+(1-Inputs!$B$15)*MIN(Mkt!DM83,DL83*(1+Inputs!$B$18))),DL83)))</f>
        <v>2413.8303900841</v>
      </c>
      <c r="DN83" s="11" t="n">
        <f aca="false">IF(DN$1&lt;Units!$P82,0,IF(AND(Units!$K82=0,DN$1=Units!$O82),Units!$R82,IF(AND(DN$1&gt;=Units!$Q82,MOD(DN$1-Units!$Q82,12)=0),IF(AND(Units!$L82=1,DN$1=Units!$Q82),IF(Units!$J82&lt;&gt;"",Units!$J82,Mkt!DN83),Inputs!$B$15*Mkt!DN83+(1-Inputs!$B$15)*MIN(Mkt!DN83,DM83*(1+Inputs!$B$18))),DM83)))</f>
        <v>2413.8303900841</v>
      </c>
      <c r="DO83" s="11" t="n">
        <f aca="false">IF(DO$1&lt;Units!$P82,0,IF(AND(Units!$K82=0,DO$1=Units!$O82),Units!$R82,IF(AND(DO$1&gt;=Units!$Q82,MOD(DO$1-Units!$Q82,12)=0),IF(AND(Units!$L82=1,DO$1=Units!$Q82),IF(Units!$J82&lt;&gt;"",Units!$J82,Mkt!DO83),Inputs!$B$15*Mkt!DO83+(1-Inputs!$B$15)*MIN(Mkt!DO83,DN83*(1+Inputs!$B$18))),DN83)))</f>
        <v>2413.8303900841</v>
      </c>
      <c r="DP83" s="11" t="n">
        <f aca="false">IF(DP$1&lt;Units!$P82,0,IF(AND(Units!$K82=0,DP$1=Units!$O82),Units!$R82,IF(AND(DP$1&gt;=Units!$Q82,MOD(DP$1-Units!$Q82,12)=0),IF(AND(Units!$L82=1,DP$1=Units!$Q82),IF(Units!$J82&lt;&gt;"",Units!$J82,Mkt!DP83),Inputs!$B$15*Mkt!DP83+(1-Inputs!$B$15)*MIN(Mkt!DP83,DO83*(1+Inputs!$B$18))),DO83)))</f>
        <v>2413.8303900841</v>
      </c>
      <c r="DQ83" s="11" t="n">
        <f aca="false">IF(DQ$1&lt;Units!$P82,0,IF(AND(Units!$K82=0,DQ$1=Units!$O82),Units!$R82,IF(AND(DQ$1&gt;=Units!$Q82,MOD(DQ$1-Units!$Q82,12)=0),IF(AND(Units!$L82=1,DQ$1=Units!$Q82),IF(Units!$J82&lt;&gt;"",Units!$J82,Mkt!DQ83),Inputs!$B$15*Mkt!DQ83+(1-Inputs!$B$15)*MIN(Mkt!DQ83,DP83*(1+Inputs!$B$18))),DP83)))</f>
        <v>2413.8303900841</v>
      </c>
      <c r="DR83" s="11" t="n">
        <f aca="false">IF(DR$1&lt;Units!$P82,0,IF(AND(Units!$K82=0,DR$1=Units!$O82),Units!$R82,IF(AND(DR$1&gt;=Units!$Q82,MOD(DR$1-Units!$Q82,12)=0),IF(AND(Units!$L82=1,DR$1=Units!$Q82),IF(Units!$J82&lt;&gt;"",Units!$J82,Mkt!DR83),Inputs!$B$15*Mkt!DR83+(1-Inputs!$B$15)*MIN(Mkt!DR83,DQ83*(1+Inputs!$B$18))),DQ83)))</f>
        <v>2413.8303900841</v>
      </c>
      <c r="DS83" s="11" t="n">
        <f aca="false">IF(DS$1&lt;Units!$P82,0,IF(AND(Units!$K82=0,DS$1=Units!$O82),Units!$R82,IF(AND(DS$1&gt;=Units!$Q82,MOD(DS$1-Units!$Q82,12)=0),IF(AND(Units!$L82=1,DS$1=Units!$Q82),IF(Units!$J82&lt;&gt;"",Units!$J82,Mkt!DS83),Inputs!$B$15*Mkt!DS83+(1-Inputs!$B$15)*MIN(Mkt!DS83,DR83*(1+Inputs!$B$18))),DR83)))</f>
        <v>2413.8303900841</v>
      </c>
      <c r="DT83" s="11" t="n">
        <f aca="false">IF(DT$1&lt;Units!$P82,0,IF(AND(Units!$K82=0,DT$1=Units!$O82),Units!$R82,IF(AND(DT$1&gt;=Units!$Q82,MOD(DT$1-Units!$Q82,12)=0),IF(AND(Units!$L82=1,DT$1=Units!$Q82),IF(Units!$J82&lt;&gt;"",Units!$J82,Mkt!DT83),Inputs!$B$15*Mkt!DT83+(1-Inputs!$B$15)*MIN(Mkt!DT83,DS83*(1+Inputs!$B$18))),DS83)))</f>
        <v>2486.24530178663</v>
      </c>
      <c r="DU83" s="11" t="n">
        <f aca="false">IF(DU$1&lt;Units!$P82,0,IF(AND(Units!$K82=0,DU$1=Units!$O82),Units!$R82,IF(AND(DU$1&gt;=Units!$Q82,MOD(DU$1-Units!$Q82,12)=0),IF(AND(Units!$L82=1,DU$1=Units!$Q82),IF(Units!$J82&lt;&gt;"",Units!$J82,Mkt!DU83),Inputs!$B$15*Mkt!DU83+(1-Inputs!$B$15)*MIN(Mkt!DU83,DT83*(1+Inputs!$B$18))),DT83)))</f>
        <v>2486.24530178663</v>
      </c>
      <c r="DV83" s="11" t="n">
        <f aca="false">IF(DV$1&lt;Units!$P82,0,IF(AND(Units!$K82=0,DV$1=Units!$O82),Units!$R82,IF(AND(DV$1&gt;=Units!$Q82,MOD(DV$1-Units!$Q82,12)=0),IF(AND(Units!$L82=1,DV$1=Units!$Q82),IF(Units!$J82&lt;&gt;"",Units!$J82,Mkt!DV83),Inputs!$B$15*Mkt!DV83+(1-Inputs!$B$15)*MIN(Mkt!DV83,DU83*(1+Inputs!$B$18))),DU83)))</f>
        <v>2486.24530178663</v>
      </c>
      <c r="DW83" s="11" t="n">
        <f aca="false">IF(DW$1&lt;Units!$P82,0,IF(AND(Units!$K82=0,DW$1=Units!$O82),Units!$R82,IF(AND(DW$1&gt;=Units!$Q82,MOD(DW$1-Units!$Q82,12)=0),IF(AND(Units!$L82=1,DW$1=Units!$Q82),IF(Units!$J82&lt;&gt;"",Units!$J82,Mkt!DW83),Inputs!$B$15*Mkt!DW83+(1-Inputs!$B$15)*MIN(Mkt!DW83,DV83*(1+Inputs!$B$18))),DV83)))</f>
        <v>2486.24530178663</v>
      </c>
      <c r="DX83" s="11" t="n">
        <f aca="false">IF(DX$1&lt;Units!$P82,0,IF(AND(Units!$K82=0,DX$1=Units!$O82),Units!$R82,IF(AND(DX$1&gt;=Units!$Q82,MOD(DX$1-Units!$Q82,12)=0),IF(AND(Units!$L82=1,DX$1=Units!$Q82),IF(Units!$J82&lt;&gt;"",Units!$J82,Mkt!DX83),Inputs!$B$15*Mkt!DX83+(1-Inputs!$B$15)*MIN(Mkt!DX83,DW83*(1+Inputs!$B$18))),DW83)))</f>
        <v>2486.24530178663</v>
      </c>
      <c r="DY83" s="11" t="n">
        <f aca="false">IF(DY$1&lt;Units!$P82,0,IF(AND(Units!$K82=0,DY$1=Units!$O82),Units!$R82,IF(AND(DY$1&gt;=Units!$Q82,MOD(DY$1-Units!$Q82,12)=0),IF(AND(Units!$L82=1,DY$1=Units!$Q82),IF(Units!$J82&lt;&gt;"",Units!$J82,Mkt!DY83),Inputs!$B$15*Mkt!DY83+(1-Inputs!$B$15)*MIN(Mkt!DY83,DX83*(1+Inputs!$B$18))),DX83)))</f>
        <v>2486.24530178663</v>
      </c>
      <c r="DZ83" s="11" t="n">
        <f aca="false">IF(DZ$1&lt;Units!$P82,0,IF(AND(Units!$K82=0,DZ$1=Units!$O82),Units!$R82,IF(AND(DZ$1&gt;=Units!$Q82,MOD(DZ$1-Units!$Q82,12)=0),IF(AND(Units!$L82=1,DZ$1=Units!$Q82),IF(Units!$J82&lt;&gt;"",Units!$J82,Mkt!DZ83),Inputs!$B$15*Mkt!DZ83+(1-Inputs!$B$15)*MIN(Mkt!DZ83,DY83*(1+Inputs!$B$18))),DY83)))</f>
        <v>2486.24530178663</v>
      </c>
      <c r="EA83" s="11" t="n">
        <f aca="false">IF(EA$1&lt;Units!$P82,0,IF(AND(Units!$K82=0,EA$1=Units!$O82),Units!$R82,IF(AND(EA$1&gt;=Units!$Q82,MOD(EA$1-Units!$Q82,12)=0),IF(AND(Units!$L82=1,EA$1=Units!$Q82),IF(Units!$J82&lt;&gt;"",Units!$J82,Mkt!EA83),Inputs!$B$15*Mkt!EA83+(1-Inputs!$B$15)*MIN(Mkt!EA83,DZ83*(1+Inputs!$B$18))),DZ83)))</f>
        <v>2486.24530178663</v>
      </c>
      <c r="EB83" s="11" t="n">
        <f aca="false">IF(EB$1&lt;Units!$P82,0,IF(AND(Units!$K82=0,EB$1=Units!$O82),Units!$R82,IF(AND(EB$1&gt;=Units!$Q82,MOD(EB$1-Units!$Q82,12)=0),IF(AND(Units!$L82=1,EB$1=Units!$Q82),IF(Units!$J82&lt;&gt;"",Units!$J82,Mkt!EB83),Inputs!$B$15*Mkt!EB83+(1-Inputs!$B$15)*MIN(Mkt!EB83,EA83*(1+Inputs!$B$18))),EA83)))</f>
        <v>2486.24530178663</v>
      </c>
      <c r="EC83" s="11" t="n">
        <f aca="false">IF(EC$1&lt;Units!$P82,0,IF(AND(Units!$K82=0,EC$1=Units!$O82),Units!$R82,IF(AND(EC$1&gt;=Units!$Q82,MOD(EC$1-Units!$Q82,12)=0),IF(AND(Units!$L82=1,EC$1=Units!$Q82),IF(Units!$J82&lt;&gt;"",Units!$J82,Mkt!EC83),Inputs!$B$15*Mkt!EC83+(1-Inputs!$B$15)*MIN(Mkt!EC83,EB83*(1+Inputs!$B$18))),EB83)))</f>
        <v>2486.24530178663</v>
      </c>
      <c r="ED83" s="11" t="n">
        <f aca="false">IF(ED$1&lt;Units!$P82,0,IF(AND(Units!$K82=0,ED$1=Units!$O82),Units!$R82,IF(AND(ED$1&gt;=Units!$Q82,MOD(ED$1-Units!$Q82,12)=0),IF(AND(Units!$L82=1,ED$1=Units!$Q82),IF(Units!$J82&lt;&gt;"",Units!$J82,Mkt!ED83),Inputs!$B$15*Mkt!ED83+(1-Inputs!$B$15)*MIN(Mkt!ED83,EC83*(1+Inputs!$B$18))),EC83)))</f>
        <v>2486.24530178663</v>
      </c>
    </row>
    <row r="84" customFormat="false" ht="15" hidden="false" customHeight="false" outlineLevel="0" collapsed="false">
      <c r="A84" s="22" t="n">
        <f aca="false">Units!A83</f>
        <v>322</v>
      </c>
      <c r="B84" s="24" t="n">
        <f aca="false">IF(Units!K83=1,Units!F83,0)</f>
        <v>1680</v>
      </c>
      <c r="C84" s="11" t="n">
        <f aca="false">IF(C$1&lt;Units!$P83,0,IF(AND(Units!$K83=0,C$1=Units!$O83),Units!$R83,IF(AND(C$1&gt;=Units!$Q83,MOD(C$1-Units!$Q83,12)=0),IF(AND(Units!$L83=1,C$1=Units!$Q83),IF(Units!$J83&lt;&gt;"",Units!$J83,Mkt!C84),Inputs!$B$15*Mkt!C84+(1-Inputs!$B$15)*MIN(Mkt!C84,B84*(1+Inputs!$B$18))),B84)))</f>
        <v>1680</v>
      </c>
      <c r="D84" s="11" t="n">
        <f aca="false">IF(D$1&lt;Units!$P83,0,IF(AND(Units!$K83=0,D$1=Units!$O83),Units!$R83,IF(AND(D$1&gt;=Units!$Q83,MOD(D$1-Units!$Q83,12)=0),IF(AND(Units!$L83=1,D$1=Units!$Q83),IF(Units!$J83&lt;&gt;"",Units!$J83,Mkt!D84),Inputs!$B$15*Mkt!D84+(1-Inputs!$B$15)*MIN(Mkt!D84,C84*(1+Inputs!$B$18))),C84)))</f>
        <v>1680</v>
      </c>
      <c r="E84" s="11" t="n">
        <f aca="false">IF(E$1&lt;Units!$P83,0,IF(AND(Units!$K83=0,E$1=Units!$O83),Units!$R83,IF(AND(E$1&gt;=Units!$Q83,MOD(E$1-Units!$Q83,12)=0),IF(AND(Units!$L83=1,E$1=Units!$Q83),IF(Units!$J83&lt;&gt;"",Units!$J83,Mkt!E84),Inputs!$B$15*Mkt!E84+(1-Inputs!$B$15)*MIN(Mkt!E84,D84*(1+Inputs!$B$18))),D84)))</f>
        <v>1807</v>
      </c>
      <c r="F84" s="11" t="n">
        <f aca="false">IF(F$1&lt;Units!$P83,0,IF(AND(Units!$K83=0,F$1=Units!$O83),Units!$R83,IF(AND(F$1&gt;=Units!$Q83,MOD(F$1-Units!$Q83,12)=0),IF(AND(Units!$L83=1,F$1=Units!$Q83),IF(Units!$J83&lt;&gt;"",Units!$J83,Mkt!F84),Inputs!$B$15*Mkt!F84+(1-Inputs!$B$15)*MIN(Mkt!F84,E84*(1+Inputs!$B$18))),E84)))</f>
        <v>1807</v>
      </c>
      <c r="G84" s="11" t="n">
        <f aca="false">IF(G$1&lt;Units!$P83,0,IF(AND(Units!$K83=0,G$1=Units!$O83),Units!$R83,IF(AND(G$1&gt;=Units!$Q83,MOD(G$1-Units!$Q83,12)=0),IF(AND(Units!$L83=1,G$1=Units!$Q83),IF(Units!$J83&lt;&gt;"",Units!$J83,Mkt!G84),Inputs!$B$15*Mkt!G84+(1-Inputs!$B$15)*MIN(Mkt!G84,F84*(1+Inputs!$B$18))),F84)))</f>
        <v>1807</v>
      </c>
      <c r="H84" s="11" t="n">
        <f aca="false">IF(H$1&lt;Units!$P83,0,IF(AND(Units!$K83=0,H$1=Units!$O83),Units!$R83,IF(AND(H$1&gt;=Units!$Q83,MOD(H$1-Units!$Q83,12)=0),IF(AND(Units!$L83=1,H$1=Units!$Q83),IF(Units!$J83&lt;&gt;"",Units!$J83,Mkt!H84),Inputs!$B$15*Mkt!H84+(1-Inputs!$B$15)*MIN(Mkt!H84,G84*(1+Inputs!$B$18))),G84)))</f>
        <v>1807</v>
      </c>
      <c r="I84" s="11" t="n">
        <f aca="false">IF(I$1&lt;Units!$P83,0,IF(AND(Units!$K83=0,I$1=Units!$O83),Units!$R83,IF(AND(I$1&gt;=Units!$Q83,MOD(I$1-Units!$Q83,12)=0),IF(AND(Units!$L83=1,I$1=Units!$Q83),IF(Units!$J83&lt;&gt;"",Units!$J83,Mkt!I84),Inputs!$B$15*Mkt!I84+(1-Inputs!$B$15)*MIN(Mkt!I84,H84*(1+Inputs!$B$18))),H84)))</f>
        <v>1807</v>
      </c>
      <c r="J84" s="11" t="n">
        <f aca="false">IF(J$1&lt;Units!$P83,0,IF(AND(Units!$K83=0,J$1=Units!$O83),Units!$R83,IF(AND(J$1&gt;=Units!$Q83,MOD(J$1-Units!$Q83,12)=0),IF(AND(Units!$L83=1,J$1=Units!$Q83),IF(Units!$J83&lt;&gt;"",Units!$J83,Mkt!J84),Inputs!$B$15*Mkt!J84+(1-Inputs!$B$15)*MIN(Mkt!J84,I84*(1+Inputs!$B$18))),I84)))</f>
        <v>1807</v>
      </c>
      <c r="K84" s="11" t="n">
        <f aca="false">IF(K$1&lt;Units!$P83,0,IF(AND(Units!$K83=0,K$1=Units!$O83),Units!$R83,IF(AND(K$1&gt;=Units!$Q83,MOD(K$1-Units!$Q83,12)=0),IF(AND(Units!$L83=1,K$1=Units!$Q83),IF(Units!$J83&lt;&gt;"",Units!$J83,Mkt!K84),Inputs!$B$15*Mkt!K84+(1-Inputs!$B$15)*MIN(Mkt!K84,J84*(1+Inputs!$B$18))),J84)))</f>
        <v>1807</v>
      </c>
      <c r="L84" s="11" t="n">
        <f aca="false">IF(L$1&lt;Units!$P83,0,IF(AND(Units!$K83=0,L$1=Units!$O83),Units!$R83,IF(AND(L$1&gt;=Units!$Q83,MOD(L$1-Units!$Q83,12)=0),IF(AND(Units!$L83=1,L$1=Units!$Q83),IF(Units!$J83&lt;&gt;"",Units!$J83,Mkt!L84),Inputs!$B$15*Mkt!L84+(1-Inputs!$B$15)*MIN(Mkt!L84,K84*(1+Inputs!$B$18))),K84)))</f>
        <v>1807</v>
      </c>
      <c r="M84" s="11" t="n">
        <f aca="false">IF(M$1&lt;Units!$P83,0,IF(AND(Units!$K83=0,M$1=Units!$O83),Units!$R83,IF(AND(M$1&gt;=Units!$Q83,MOD(M$1-Units!$Q83,12)=0),IF(AND(Units!$L83=1,M$1=Units!$Q83),IF(Units!$J83&lt;&gt;"",Units!$J83,Mkt!M84),Inputs!$B$15*Mkt!M84+(1-Inputs!$B$15)*MIN(Mkt!M84,L84*(1+Inputs!$B$18))),L84)))</f>
        <v>1807</v>
      </c>
      <c r="N84" s="11" t="n">
        <f aca="false">IF(N$1&lt;Units!$P83,0,IF(AND(Units!$K83=0,N$1=Units!$O83),Units!$R83,IF(AND(N$1&gt;=Units!$Q83,MOD(N$1-Units!$Q83,12)=0),IF(AND(Units!$L83=1,N$1=Units!$Q83),IF(Units!$J83&lt;&gt;"",Units!$J83,Mkt!N84),Inputs!$B$15*Mkt!N84+(1-Inputs!$B$15)*MIN(Mkt!N84,M84*(1+Inputs!$B$18))),M84)))</f>
        <v>1807</v>
      </c>
      <c r="O84" s="11" t="n">
        <f aca="false">IF(O$1&lt;Units!$P83,0,IF(AND(Units!$K83=0,O$1=Units!$O83),Units!$R83,IF(AND(O$1&gt;=Units!$Q83,MOD(O$1-Units!$Q83,12)=0),IF(AND(Units!$L83=1,O$1=Units!$Q83),IF(Units!$J83&lt;&gt;"",Units!$J83,Mkt!O84),Inputs!$B$15*Mkt!O84+(1-Inputs!$B$15)*MIN(Mkt!O84,N84*(1+Inputs!$B$18))),N84)))</f>
        <v>1807</v>
      </c>
      <c r="P84" s="11" t="n">
        <f aca="false">IF(P$1&lt;Units!$P83,0,IF(AND(Units!$K83=0,P$1=Units!$O83),Units!$R83,IF(AND(P$1&gt;=Units!$Q83,MOD(P$1-Units!$Q83,12)=0),IF(AND(Units!$L83=1,P$1=Units!$Q83),IF(Units!$J83&lt;&gt;"",Units!$J83,Mkt!P84),Inputs!$B$15*Mkt!P84+(1-Inputs!$B$15)*MIN(Mkt!P84,O84*(1+Inputs!$B$18))),O84)))</f>
        <v>1807</v>
      </c>
      <c r="Q84" s="11" t="n">
        <f aca="false">IF(Q$1&lt;Units!$P83,0,IF(AND(Units!$K83=0,Q$1=Units!$O83),Units!$R83,IF(AND(Q$1&gt;=Units!$Q83,MOD(Q$1-Units!$Q83,12)=0),IF(AND(Units!$L83=1,Q$1=Units!$Q83),IF(Units!$J83&lt;&gt;"",Units!$J83,Mkt!Q84),Inputs!$B$15*Mkt!Q84+(1-Inputs!$B$15)*MIN(Mkt!Q84,P84*(1+Inputs!$B$18))),P84)))</f>
        <v>1901.425</v>
      </c>
      <c r="R84" s="11" t="n">
        <f aca="false">IF(R$1&lt;Units!$P83,0,IF(AND(Units!$K83=0,R$1=Units!$O83),Units!$R83,IF(AND(R$1&gt;=Units!$Q83,MOD(R$1-Units!$Q83,12)=0),IF(AND(Units!$L83=1,R$1=Units!$Q83),IF(Units!$J83&lt;&gt;"",Units!$J83,Mkt!R84),Inputs!$B$15*Mkt!R84+(1-Inputs!$B$15)*MIN(Mkt!R84,Q84*(1+Inputs!$B$18))),Q84)))</f>
        <v>1901.425</v>
      </c>
      <c r="S84" s="11" t="n">
        <f aca="false">IF(S$1&lt;Units!$P83,0,IF(AND(Units!$K83=0,S$1=Units!$O83),Units!$R83,IF(AND(S$1&gt;=Units!$Q83,MOD(S$1-Units!$Q83,12)=0),IF(AND(Units!$L83=1,S$1=Units!$Q83),IF(Units!$J83&lt;&gt;"",Units!$J83,Mkt!S84),Inputs!$B$15*Mkt!S84+(1-Inputs!$B$15)*MIN(Mkt!S84,R84*(1+Inputs!$B$18))),R84)))</f>
        <v>1901.425</v>
      </c>
      <c r="T84" s="11" t="n">
        <f aca="false">IF(T$1&lt;Units!$P83,0,IF(AND(Units!$K83=0,T$1=Units!$O83),Units!$R83,IF(AND(T$1&gt;=Units!$Q83,MOD(T$1-Units!$Q83,12)=0),IF(AND(Units!$L83=1,T$1=Units!$Q83),IF(Units!$J83&lt;&gt;"",Units!$J83,Mkt!T84),Inputs!$B$15*Mkt!T84+(1-Inputs!$B$15)*MIN(Mkt!T84,S84*(1+Inputs!$B$18))),S84)))</f>
        <v>1901.425</v>
      </c>
      <c r="U84" s="11" t="n">
        <f aca="false">IF(U$1&lt;Units!$P83,0,IF(AND(Units!$K83=0,U$1=Units!$O83),Units!$R83,IF(AND(U$1&gt;=Units!$Q83,MOD(U$1-Units!$Q83,12)=0),IF(AND(Units!$L83=1,U$1=Units!$Q83),IF(Units!$J83&lt;&gt;"",Units!$J83,Mkt!U84),Inputs!$B$15*Mkt!U84+(1-Inputs!$B$15)*MIN(Mkt!U84,T84*(1+Inputs!$B$18))),T84)))</f>
        <v>1901.425</v>
      </c>
      <c r="V84" s="11" t="n">
        <f aca="false">IF(V$1&lt;Units!$P83,0,IF(AND(Units!$K83=0,V$1=Units!$O83),Units!$R83,IF(AND(V$1&gt;=Units!$Q83,MOD(V$1-Units!$Q83,12)=0),IF(AND(Units!$L83=1,V$1=Units!$Q83),IF(Units!$J83&lt;&gt;"",Units!$J83,Mkt!V84),Inputs!$B$15*Mkt!V84+(1-Inputs!$B$15)*MIN(Mkt!V84,U84*(1+Inputs!$B$18))),U84)))</f>
        <v>1901.425</v>
      </c>
      <c r="W84" s="11" t="n">
        <f aca="false">IF(W$1&lt;Units!$P83,0,IF(AND(Units!$K83=0,W$1=Units!$O83),Units!$R83,IF(AND(W$1&gt;=Units!$Q83,MOD(W$1-Units!$Q83,12)=0),IF(AND(Units!$L83=1,W$1=Units!$Q83),IF(Units!$J83&lt;&gt;"",Units!$J83,Mkt!W84),Inputs!$B$15*Mkt!W84+(1-Inputs!$B$15)*MIN(Mkt!W84,V84*(1+Inputs!$B$18))),V84)))</f>
        <v>1901.425</v>
      </c>
      <c r="X84" s="11" t="n">
        <f aca="false">IF(X$1&lt;Units!$P83,0,IF(AND(Units!$K83=0,X$1=Units!$O83),Units!$R83,IF(AND(X$1&gt;=Units!$Q83,MOD(X$1-Units!$Q83,12)=0),IF(AND(Units!$L83=1,X$1=Units!$Q83),IF(Units!$J83&lt;&gt;"",Units!$J83,Mkt!X84),Inputs!$B$15*Mkt!X84+(1-Inputs!$B$15)*MIN(Mkt!X84,W84*(1+Inputs!$B$18))),W84)))</f>
        <v>1901.425</v>
      </c>
      <c r="Y84" s="11" t="n">
        <f aca="false">IF(Y$1&lt;Units!$P83,0,IF(AND(Units!$K83=0,Y$1=Units!$O83),Units!$R83,IF(AND(Y$1&gt;=Units!$Q83,MOD(Y$1-Units!$Q83,12)=0),IF(AND(Units!$L83=1,Y$1=Units!$Q83),IF(Units!$J83&lt;&gt;"",Units!$J83,Mkt!Y84),Inputs!$B$15*Mkt!Y84+(1-Inputs!$B$15)*MIN(Mkt!Y84,X84*(1+Inputs!$B$18))),X84)))</f>
        <v>1901.425</v>
      </c>
      <c r="Z84" s="11" t="n">
        <f aca="false">IF(Z$1&lt;Units!$P83,0,IF(AND(Units!$K83=0,Z$1=Units!$O83),Units!$R83,IF(AND(Z$1&gt;=Units!$Q83,MOD(Z$1-Units!$Q83,12)=0),IF(AND(Units!$L83=1,Z$1=Units!$Q83),IF(Units!$J83&lt;&gt;"",Units!$J83,Mkt!Z84),Inputs!$B$15*Mkt!Z84+(1-Inputs!$B$15)*MIN(Mkt!Z84,Y84*(1+Inputs!$B$18))),Y84)))</f>
        <v>1901.425</v>
      </c>
      <c r="AA84" s="11" t="n">
        <f aca="false">IF(AA$1&lt;Units!$P83,0,IF(AND(Units!$K83=0,AA$1=Units!$O83),Units!$R83,IF(AND(AA$1&gt;=Units!$Q83,MOD(AA$1-Units!$Q83,12)=0),IF(AND(Units!$L83=1,AA$1=Units!$Q83),IF(Units!$J83&lt;&gt;"",Units!$J83,Mkt!AA84),Inputs!$B$15*Mkt!AA84+(1-Inputs!$B$15)*MIN(Mkt!AA84,Z84*(1+Inputs!$B$18))),Z84)))</f>
        <v>1901.425</v>
      </c>
      <c r="AB84" s="11" t="n">
        <f aca="false">IF(AB$1&lt;Units!$P83,0,IF(AND(Units!$K83=0,AB$1=Units!$O83),Units!$R83,IF(AND(AB$1&gt;=Units!$Q83,MOD(AB$1-Units!$Q83,12)=0),IF(AND(Units!$L83=1,AB$1=Units!$Q83),IF(Units!$J83&lt;&gt;"",Units!$J83,Mkt!AB84),Inputs!$B$15*Mkt!AB84+(1-Inputs!$B$15)*MIN(Mkt!AB84,AA84*(1+Inputs!$B$18))),AA84)))</f>
        <v>1901.425</v>
      </c>
      <c r="AC84" s="11" t="n">
        <f aca="false">IF(AC$1&lt;Units!$P83,0,IF(AND(Units!$K83=0,AC$1=Units!$O83),Units!$R83,IF(AND(AC$1&gt;=Units!$Q83,MOD(AC$1-Units!$Q83,12)=0),IF(AND(Units!$L83=1,AC$1=Units!$Q83),IF(Units!$J83&lt;&gt;"",Units!$J83,Mkt!AC84),Inputs!$B$15*Mkt!AC84+(1-Inputs!$B$15)*MIN(Mkt!AC84,AB84*(1+Inputs!$B$18))),AB84)))</f>
        <v>1962.665</v>
      </c>
      <c r="AD84" s="11" t="n">
        <f aca="false">IF(AD$1&lt;Units!$P83,0,IF(AND(Units!$K83=0,AD$1=Units!$O83),Units!$R83,IF(AND(AD$1&gt;=Units!$Q83,MOD(AD$1-Units!$Q83,12)=0),IF(AND(Units!$L83=1,AD$1=Units!$Q83),IF(Units!$J83&lt;&gt;"",Units!$J83,Mkt!AD84),Inputs!$B$15*Mkt!AD84+(1-Inputs!$B$15)*MIN(Mkt!AD84,AC84*(1+Inputs!$B$18))),AC84)))</f>
        <v>1962.665</v>
      </c>
      <c r="AE84" s="11" t="n">
        <f aca="false">IF(AE$1&lt;Units!$P83,0,IF(AND(Units!$K83=0,AE$1=Units!$O83),Units!$R83,IF(AND(AE$1&gt;=Units!$Q83,MOD(AE$1-Units!$Q83,12)=0),IF(AND(Units!$L83=1,AE$1=Units!$Q83),IF(Units!$J83&lt;&gt;"",Units!$J83,Mkt!AE84),Inputs!$B$15*Mkt!AE84+(1-Inputs!$B$15)*MIN(Mkt!AE84,AD84*(1+Inputs!$B$18))),AD84)))</f>
        <v>1962.665</v>
      </c>
      <c r="AF84" s="11" t="n">
        <f aca="false">IF(AF$1&lt;Units!$P83,0,IF(AND(Units!$K83=0,AF$1=Units!$O83),Units!$R83,IF(AND(AF$1&gt;=Units!$Q83,MOD(AF$1-Units!$Q83,12)=0),IF(AND(Units!$L83=1,AF$1=Units!$Q83),IF(Units!$J83&lt;&gt;"",Units!$J83,Mkt!AF84),Inputs!$B$15*Mkt!AF84+(1-Inputs!$B$15)*MIN(Mkt!AF84,AE84*(1+Inputs!$B$18))),AE84)))</f>
        <v>1962.665</v>
      </c>
      <c r="AG84" s="11" t="n">
        <f aca="false">IF(AG$1&lt;Units!$P83,0,IF(AND(Units!$K83=0,AG$1=Units!$O83),Units!$R83,IF(AND(AG$1&gt;=Units!$Q83,MOD(AG$1-Units!$Q83,12)=0),IF(AND(Units!$L83=1,AG$1=Units!$Q83),IF(Units!$J83&lt;&gt;"",Units!$J83,Mkt!AG84),Inputs!$B$15*Mkt!AG84+(1-Inputs!$B$15)*MIN(Mkt!AG84,AF84*(1+Inputs!$B$18))),AF84)))</f>
        <v>1962.665</v>
      </c>
      <c r="AH84" s="11" t="n">
        <f aca="false">IF(AH$1&lt;Units!$P83,0,IF(AND(Units!$K83=0,AH$1=Units!$O83),Units!$R83,IF(AND(AH$1&gt;=Units!$Q83,MOD(AH$1-Units!$Q83,12)=0),IF(AND(Units!$L83=1,AH$1=Units!$Q83),IF(Units!$J83&lt;&gt;"",Units!$J83,Mkt!AH84),Inputs!$B$15*Mkt!AH84+(1-Inputs!$B$15)*MIN(Mkt!AH84,AG84*(1+Inputs!$B$18))),AG84)))</f>
        <v>1962.665</v>
      </c>
      <c r="AI84" s="11" t="n">
        <f aca="false">IF(AI$1&lt;Units!$P83,0,IF(AND(Units!$K83=0,AI$1=Units!$O83),Units!$R83,IF(AND(AI$1&gt;=Units!$Q83,MOD(AI$1-Units!$Q83,12)=0),IF(AND(Units!$L83=1,AI$1=Units!$Q83),IF(Units!$J83&lt;&gt;"",Units!$J83,Mkt!AI84),Inputs!$B$15*Mkt!AI84+(1-Inputs!$B$15)*MIN(Mkt!AI84,AH84*(1+Inputs!$B$18))),AH84)))</f>
        <v>1962.665</v>
      </c>
      <c r="AJ84" s="11" t="n">
        <f aca="false">IF(AJ$1&lt;Units!$P83,0,IF(AND(Units!$K83=0,AJ$1=Units!$O83),Units!$R83,IF(AND(AJ$1&gt;=Units!$Q83,MOD(AJ$1-Units!$Q83,12)=0),IF(AND(Units!$L83=1,AJ$1=Units!$Q83),IF(Units!$J83&lt;&gt;"",Units!$J83,Mkt!AJ84),Inputs!$B$15*Mkt!AJ84+(1-Inputs!$B$15)*MIN(Mkt!AJ84,AI84*(1+Inputs!$B$18))),AI84)))</f>
        <v>1962.665</v>
      </c>
      <c r="AK84" s="11" t="n">
        <f aca="false">IF(AK$1&lt;Units!$P83,0,IF(AND(Units!$K83=0,AK$1=Units!$O83),Units!$R83,IF(AND(AK$1&gt;=Units!$Q83,MOD(AK$1-Units!$Q83,12)=0),IF(AND(Units!$L83=1,AK$1=Units!$Q83),IF(Units!$J83&lt;&gt;"",Units!$J83,Mkt!AK84),Inputs!$B$15*Mkt!AK84+(1-Inputs!$B$15)*MIN(Mkt!AK84,AJ84*(1+Inputs!$B$18))),AJ84)))</f>
        <v>1962.665</v>
      </c>
      <c r="AL84" s="11" t="n">
        <f aca="false">IF(AL$1&lt;Units!$P83,0,IF(AND(Units!$K83=0,AL$1=Units!$O83),Units!$R83,IF(AND(AL$1&gt;=Units!$Q83,MOD(AL$1-Units!$Q83,12)=0),IF(AND(Units!$L83=1,AL$1=Units!$Q83),IF(Units!$J83&lt;&gt;"",Units!$J83,Mkt!AL84),Inputs!$B$15*Mkt!AL84+(1-Inputs!$B$15)*MIN(Mkt!AL84,AK84*(1+Inputs!$B$18))),AK84)))</f>
        <v>1962.665</v>
      </c>
      <c r="AM84" s="11" t="n">
        <f aca="false">IF(AM$1&lt;Units!$P83,0,IF(AND(Units!$K83=0,AM$1=Units!$O83),Units!$R83,IF(AND(AM$1&gt;=Units!$Q83,MOD(AM$1-Units!$Q83,12)=0),IF(AND(Units!$L83=1,AM$1=Units!$Q83),IF(Units!$J83&lt;&gt;"",Units!$J83,Mkt!AM84),Inputs!$B$15*Mkt!AM84+(1-Inputs!$B$15)*MIN(Mkt!AM84,AL84*(1+Inputs!$B$18))),AL84)))</f>
        <v>1962.665</v>
      </c>
      <c r="AN84" s="11" t="n">
        <f aca="false">IF(AN$1&lt;Units!$P83,0,IF(AND(Units!$K83=0,AN$1=Units!$O83),Units!$R83,IF(AND(AN$1&gt;=Units!$Q83,MOD(AN$1-Units!$Q83,12)=0),IF(AND(Units!$L83=1,AN$1=Units!$Q83),IF(Units!$J83&lt;&gt;"",Units!$J83,Mkt!AN84),Inputs!$B$15*Mkt!AN84+(1-Inputs!$B$15)*MIN(Mkt!AN84,AM84*(1+Inputs!$B$18))),AM84)))</f>
        <v>1962.665</v>
      </c>
      <c r="AO84" s="11" t="n">
        <f aca="false">IF(AO$1&lt;Units!$P83,0,IF(AND(Units!$K83=0,AO$1=Units!$O83),Units!$R83,IF(AND(AO$1&gt;=Units!$Q83,MOD(AO$1-Units!$Q83,12)=0),IF(AND(Units!$L83=1,AO$1=Units!$Q83),IF(Units!$J83&lt;&gt;"",Units!$J83,Mkt!AO84),Inputs!$B$15*Mkt!AO84+(1-Inputs!$B$15)*MIN(Mkt!AO84,AN84*(1+Inputs!$B$18))),AN84)))</f>
        <v>2021.54495</v>
      </c>
      <c r="AP84" s="11" t="n">
        <f aca="false">IF(AP$1&lt;Units!$P83,0,IF(AND(Units!$K83=0,AP$1=Units!$O83),Units!$R83,IF(AND(AP$1&gt;=Units!$Q83,MOD(AP$1-Units!$Q83,12)=0),IF(AND(Units!$L83=1,AP$1=Units!$Q83),IF(Units!$J83&lt;&gt;"",Units!$J83,Mkt!AP84),Inputs!$B$15*Mkt!AP84+(1-Inputs!$B$15)*MIN(Mkt!AP84,AO84*(1+Inputs!$B$18))),AO84)))</f>
        <v>2021.54495</v>
      </c>
      <c r="AQ84" s="11" t="n">
        <f aca="false">IF(AQ$1&lt;Units!$P83,0,IF(AND(Units!$K83=0,AQ$1=Units!$O83),Units!$R83,IF(AND(AQ$1&gt;=Units!$Q83,MOD(AQ$1-Units!$Q83,12)=0),IF(AND(Units!$L83=1,AQ$1=Units!$Q83),IF(Units!$J83&lt;&gt;"",Units!$J83,Mkt!AQ84),Inputs!$B$15*Mkt!AQ84+(1-Inputs!$B$15)*MIN(Mkt!AQ84,AP84*(1+Inputs!$B$18))),AP84)))</f>
        <v>2021.54495</v>
      </c>
      <c r="AR84" s="11" t="n">
        <f aca="false">IF(AR$1&lt;Units!$P83,0,IF(AND(Units!$K83=0,AR$1=Units!$O83),Units!$R83,IF(AND(AR$1&gt;=Units!$Q83,MOD(AR$1-Units!$Q83,12)=0),IF(AND(Units!$L83=1,AR$1=Units!$Q83),IF(Units!$J83&lt;&gt;"",Units!$J83,Mkt!AR84),Inputs!$B$15*Mkt!AR84+(1-Inputs!$B$15)*MIN(Mkt!AR84,AQ84*(1+Inputs!$B$18))),AQ84)))</f>
        <v>2021.54495</v>
      </c>
      <c r="AS84" s="11" t="n">
        <f aca="false">IF(AS$1&lt;Units!$P83,0,IF(AND(Units!$K83=0,AS$1=Units!$O83),Units!$R83,IF(AND(AS$1&gt;=Units!$Q83,MOD(AS$1-Units!$Q83,12)=0),IF(AND(Units!$L83=1,AS$1=Units!$Q83),IF(Units!$J83&lt;&gt;"",Units!$J83,Mkt!AS84),Inputs!$B$15*Mkt!AS84+(1-Inputs!$B$15)*MIN(Mkt!AS84,AR84*(1+Inputs!$B$18))),AR84)))</f>
        <v>2021.54495</v>
      </c>
      <c r="AT84" s="11" t="n">
        <f aca="false">IF(AT$1&lt;Units!$P83,0,IF(AND(Units!$K83=0,AT$1=Units!$O83),Units!$R83,IF(AND(AT$1&gt;=Units!$Q83,MOD(AT$1-Units!$Q83,12)=0),IF(AND(Units!$L83=1,AT$1=Units!$Q83),IF(Units!$J83&lt;&gt;"",Units!$J83,Mkt!AT84),Inputs!$B$15*Mkt!AT84+(1-Inputs!$B$15)*MIN(Mkt!AT84,AS84*(1+Inputs!$B$18))),AS84)))</f>
        <v>2021.54495</v>
      </c>
      <c r="AU84" s="11" t="n">
        <f aca="false">IF(AU$1&lt;Units!$P83,0,IF(AND(Units!$K83=0,AU$1=Units!$O83),Units!$R83,IF(AND(AU$1&gt;=Units!$Q83,MOD(AU$1-Units!$Q83,12)=0),IF(AND(Units!$L83=1,AU$1=Units!$Q83),IF(Units!$J83&lt;&gt;"",Units!$J83,Mkt!AU84),Inputs!$B$15*Mkt!AU84+(1-Inputs!$B$15)*MIN(Mkt!AU84,AT84*(1+Inputs!$B$18))),AT84)))</f>
        <v>2021.54495</v>
      </c>
      <c r="AV84" s="11" t="n">
        <f aca="false">IF(AV$1&lt;Units!$P83,0,IF(AND(Units!$K83=0,AV$1=Units!$O83),Units!$R83,IF(AND(AV$1&gt;=Units!$Q83,MOD(AV$1-Units!$Q83,12)=0),IF(AND(Units!$L83=1,AV$1=Units!$Q83),IF(Units!$J83&lt;&gt;"",Units!$J83,Mkt!AV84),Inputs!$B$15*Mkt!AV84+(1-Inputs!$B$15)*MIN(Mkt!AV84,AU84*(1+Inputs!$B$18))),AU84)))</f>
        <v>2021.54495</v>
      </c>
      <c r="AW84" s="11" t="n">
        <f aca="false">IF(AW$1&lt;Units!$P83,0,IF(AND(Units!$K83=0,AW$1=Units!$O83),Units!$R83,IF(AND(AW$1&gt;=Units!$Q83,MOD(AW$1-Units!$Q83,12)=0),IF(AND(Units!$L83=1,AW$1=Units!$Q83),IF(Units!$J83&lt;&gt;"",Units!$J83,Mkt!AW84),Inputs!$B$15*Mkt!AW84+(1-Inputs!$B$15)*MIN(Mkt!AW84,AV84*(1+Inputs!$B$18))),AV84)))</f>
        <v>2021.54495</v>
      </c>
      <c r="AX84" s="11" t="n">
        <f aca="false">IF(AX$1&lt;Units!$P83,0,IF(AND(Units!$K83=0,AX$1=Units!$O83),Units!$R83,IF(AND(AX$1&gt;=Units!$Q83,MOD(AX$1-Units!$Q83,12)=0),IF(AND(Units!$L83=1,AX$1=Units!$Q83),IF(Units!$J83&lt;&gt;"",Units!$J83,Mkt!AX84),Inputs!$B$15*Mkt!AX84+(1-Inputs!$B$15)*MIN(Mkt!AX84,AW84*(1+Inputs!$B$18))),AW84)))</f>
        <v>2021.54495</v>
      </c>
      <c r="AY84" s="11" t="n">
        <f aca="false">IF(AY$1&lt;Units!$P83,0,IF(AND(Units!$K83=0,AY$1=Units!$O83),Units!$R83,IF(AND(AY$1&gt;=Units!$Q83,MOD(AY$1-Units!$Q83,12)=0),IF(AND(Units!$L83=1,AY$1=Units!$Q83),IF(Units!$J83&lt;&gt;"",Units!$J83,Mkt!AY84),Inputs!$B$15*Mkt!AY84+(1-Inputs!$B$15)*MIN(Mkt!AY84,AX84*(1+Inputs!$B$18))),AX84)))</f>
        <v>2021.54495</v>
      </c>
      <c r="AZ84" s="11" t="n">
        <f aca="false">IF(AZ$1&lt;Units!$P83,0,IF(AND(Units!$K83=0,AZ$1=Units!$O83),Units!$R83,IF(AND(AZ$1&gt;=Units!$Q83,MOD(AZ$1-Units!$Q83,12)=0),IF(AND(Units!$L83=1,AZ$1=Units!$Q83),IF(Units!$J83&lt;&gt;"",Units!$J83,Mkt!AZ84),Inputs!$B$15*Mkt!AZ84+(1-Inputs!$B$15)*MIN(Mkt!AZ84,AY84*(1+Inputs!$B$18))),AY84)))</f>
        <v>2021.54495</v>
      </c>
      <c r="BA84" s="11" t="n">
        <f aca="false">IF(BA$1&lt;Units!$P83,0,IF(AND(Units!$K83=0,BA$1=Units!$O83),Units!$R83,IF(AND(BA$1&gt;=Units!$Q83,MOD(BA$1-Units!$Q83,12)=0),IF(AND(Units!$L83=1,BA$1=Units!$Q83),IF(Units!$J83&lt;&gt;"",Units!$J83,Mkt!BA84),Inputs!$B$15*Mkt!BA84+(1-Inputs!$B$15)*MIN(Mkt!BA84,AZ84*(1+Inputs!$B$18))),AZ84)))</f>
        <v>2082.1912985</v>
      </c>
      <c r="BB84" s="11" t="n">
        <f aca="false">IF(BB$1&lt;Units!$P83,0,IF(AND(Units!$K83=0,BB$1=Units!$O83),Units!$R83,IF(AND(BB$1&gt;=Units!$Q83,MOD(BB$1-Units!$Q83,12)=0),IF(AND(Units!$L83=1,BB$1=Units!$Q83),IF(Units!$J83&lt;&gt;"",Units!$J83,Mkt!BB84),Inputs!$B$15*Mkt!BB84+(1-Inputs!$B$15)*MIN(Mkt!BB84,BA84*(1+Inputs!$B$18))),BA84)))</f>
        <v>2082.1912985</v>
      </c>
      <c r="BC84" s="11" t="n">
        <f aca="false">IF(BC$1&lt;Units!$P83,0,IF(AND(Units!$K83=0,BC$1=Units!$O83),Units!$R83,IF(AND(BC$1&gt;=Units!$Q83,MOD(BC$1-Units!$Q83,12)=0),IF(AND(Units!$L83=1,BC$1=Units!$Q83),IF(Units!$J83&lt;&gt;"",Units!$J83,Mkt!BC84),Inputs!$B$15*Mkt!BC84+(1-Inputs!$B$15)*MIN(Mkt!BC84,BB84*(1+Inputs!$B$18))),BB84)))</f>
        <v>2082.1912985</v>
      </c>
      <c r="BD84" s="11" t="n">
        <f aca="false">IF(BD$1&lt;Units!$P83,0,IF(AND(Units!$K83=0,BD$1=Units!$O83),Units!$R83,IF(AND(BD$1&gt;=Units!$Q83,MOD(BD$1-Units!$Q83,12)=0),IF(AND(Units!$L83=1,BD$1=Units!$Q83),IF(Units!$J83&lt;&gt;"",Units!$J83,Mkt!BD84),Inputs!$B$15*Mkt!BD84+(1-Inputs!$B$15)*MIN(Mkt!BD84,BC84*(1+Inputs!$B$18))),BC84)))</f>
        <v>2082.1912985</v>
      </c>
      <c r="BE84" s="11" t="n">
        <f aca="false">IF(BE$1&lt;Units!$P83,0,IF(AND(Units!$K83=0,BE$1=Units!$O83),Units!$R83,IF(AND(BE$1&gt;=Units!$Q83,MOD(BE$1-Units!$Q83,12)=0),IF(AND(Units!$L83=1,BE$1=Units!$Q83),IF(Units!$J83&lt;&gt;"",Units!$J83,Mkt!BE84),Inputs!$B$15*Mkt!BE84+(1-Inputs!$B$15)*MIN(Mkt!BE84,BD84*(1+Inputs!$B$18))),BD84)))</f>
        <v>2082.1912985</v>
      </c>
      <c r="BF84" s="11" t="n">
        <f aca="false">IF(BF$1&lt;Units!$P83,0,IF(AND(Units!$K83=0,BF$1=Units!$O83),Units!$R83,IF(AND(BF$1&gt;=Units!$Q83,MOD(BF$1-Units!$Q83,12)=0),IF(AND(Units!$L83=1,BF$1=Units!$Q83),IF(Units!$J83&lt;&gt;"",Units!$J83,Mkt!BF84),Inputs!$B$15*Mkt!BF84+(1-Inputs!$B$15)*MIN(Mkt!BF84,BE84*(1+Inputs!$B$18))),BE84)))</f>
        <v>2082.1912985</v>
      </c>
      <c r="BG84" s="11" t="n">
        <f aca="false">IF(BG$1&lt;Units!$P83,0,IF(AND(Units!$K83=0,BG$1=Units!$O83),Units!$R83,IF(AND(BG$1&gt;=Units!$Q83,MOD(BG$1-Units!$Q83,12)=0),IF(AND(Units!$L83=1,BG$1=Units!$Q83),IF(Units!$J83&lt;&gt;"",Units!$J83,Mkt!BG84),Inputs!$B$15*Mkt!BG84+(1-Inputs!$B$15)*MIN(Mkt!BG84,BF84*(1+Inputs!$B$18))),BF84)))</f>
        <v>2082.1912985</v>
      </c>
      <c r="BH84" s="11" t="n">
        <f aca="false">IF(BH$1&lt;Units!$P83,0,IF(AND(Units!$K83=0,BH$1=Units!$O83),Units!$R83,IF(AND(BH$1&gt;=Units!$Q83,MOD(BH$1-Units!$Q83,12)=0),IF(AND(Units!$L83=1,BH$1=Units!$Q83),IF(Units!$J83&lt;&gt;"",Units!$J83,Mkt!BH84),Inputs!$B$15*Mkt!BH84+(1-Inputs!$B$15)*MIN(Mkt!BH84,BG84*(1+Inputs!$B$18))),BG84)))</f>
        <v>2082.1912985</v>
      </c>
      <c r="BI84" s="11" t="n">
        <f aca="false">IF(BI$1&lt;Units!$P83,0,IF(AND(Units!$K83=0,BI$1=Units!$O83),Units!$R83,IF(AND(BI$1&gt;=Units!$Q83,MOD(BI$1-Units!$Q83,12)=0),IF(AND(Units!$L83=1,BI$1=Units!$Q83),IF(Units!$J83&lt;&gt;"",Units!$J83,Mkt!BI84),Inputs!$B$15*Mkt!BI84+(1-Inputs!$B$15)*MIN(Mkt!BI84,BH84*(1+Inputs!$B$18))),BH84)))</f>
        <v>2082.1912985</v>
      </c>
      <c r="BJ84" s="11" t="n">
        <f aca="false">IF(BJ$1&lt;Units!$P83,0,IF(AND(Units!$K83=0,BJ$1=Units!$O83),Units!$R83,IF(AND(BJ$1&gt;=Units!$Q83,MOD(BJ$1-Units!$Q83,12)=0),IF(AND(Units!$L83=1,BJ$1=Units!$Q83),IF(Units!$J83&lt;&gt;"",Units!$J83,Mkt!BJ84),Inputs!$B$15*Mkt!BJ84+(1-Inputs!$B$15)*MIN(Mkt!BJ84,BI84*(1+Inputs!$B$18))),BI84)))</f>
        <v>2082.1912985</v>
      </c>
      <c r="BK84" s="11" t="n">
        <f aca="false">IF(BK$1&lt;Units!$P83,0,IF(AND(Units!$K83=0,BK$1=Units!$O83),Units!$R83,IF(AND(BK$1&gt;=Units!$Q83,MOD(BK$1-Units!$Q83,12)=0),IF(AND(Units!$L83=1,BK$1=Units!$Q83),IF(Units!$J83&lt;&gt;"",Units!$J83,Mkt!BK84),Inputs!$B$15*Mkt!BK84+(1-Inputs!$B$15)*MIN(Mkt!BK84,BJ84*(1+Inputs!$B$18))),BJ84)))</f>
        <v>2082.1912985</v>
      </c>
      <c r="BL84" s="11" t="n">
        <f aca="false">IF(BL$1&lt;Units!$P83,0,IF(AND(Units!$K83=0,BL$1=Units!$O83),Units!$R83,IF(AND(BL$1&gt;=Units!$Q83,MOD(BL$1-Units!$Q83,12)=0),IF(AND(Units!$L83=1,BL$1=Units!$Q83),IF(Units!$J83&lt;&gt;"",Units!$J83,Mkt!BL84),Inputs!$B$15*Mkt!BL84+(1-Inputs!$B$15)*MIN(Mkt!BL84,BK84*(1+Inputs!$B$18))),BK84)))</f>
        <v>2082.1912985</v>
      </c>
      <c r="BM84" s="11" t="n">
        <f aca="false">IF(BM$1&lt;Units!$P83,0,IF(AND(Units!$K83=0,BM$1=Units!$O83),Units!$R83,IF(AND(BM$1&gt;=Units!$Q83,MOD(BM$1-Units!$Q83,12)=0),IF(AND(Units!$L83=1,BM$1=Units!$Q83),IF(Units!$J83&lt;&gt;"",Units!$J83,Mkt!BM84),Inputs!$B$15*Mkt!BM84+(1-Inputs!$B$15)*MIN(Mkt!BM84,BL84*(1+Inputs!$B$18))),BL84)))</f>
        <v>2144.657037455</v>
      </c>
      <c r="BN84" s="11" t="n">
        <f aca="false">IF(BN$1&lt;Units!$P83,0,IF(AND(Units!$K83=0,BN$1=Units!$O83),Units!$R83,IF(AND(BN$1&gt;=Units!$Q83,MOD(BN$1-Units!$Q83,12)=0),IF(AND(Units!$L83=1,BN$1=Units!$Q83),IF(Units!$J83&lt;&gt;"",Units!$J83,Mkt!BN84),Inputs!$B$15*Mkt!BN84+(1-Inputs!$B$15)*MIN(Mkt!BN84,BM84*(1+Inputs!$B$18))),BM84)))</f>
        <v>2144.657037455</v>
      </c>
      <c r="BO84" s="11" t="n">
        <f aca="false">IF(BO$1&lt;Units!$P83,0,IF(AND(Units!$K83=0,BO$1=Units!$O83),Units!$R83,IF(AND(BO$1&gt;=Units!$Q83,MOD(BO$1-Units!$Q83,12)=0),IF(AND(Units!$L83=1,BO$1=Units!$Q83),IF(Units!$J83&lt;&gt;"",Units!$J83,Mkt!BO84),Inputs!$B$15*Mkt!BO84+(1-Inputs!$B$15)*MIN(Mkt!BO84,BN84*(1+Inputs!$B$18))),BN84)))</f>
        <v>2144.657037455</v>
      </c>
      <c r="BP84" s="11" t="n">
        <f aca="false">IF(BP$1&lt;Units!$P83,0,IF(AND(Units!$K83=0,BP$1=Units!$O83),Units!$R83,IF(AND(BP$1&gt;=Units!$Q83,MOD(BP$1-Units!$Q83,12)=0),IF(AND(Units!$L83=1,BP$1=Units!$Q83),IF(Units!$J83&lt;&gt;"",Units!$J83,Mkt!BP84),Inputs!$B$15*Mkt!BP84+(1-Inputs!$B$15)*MIN(Mkt!BP84,BO84*(1+Inputs!$B$18))),BO84)))</f>
        <v>2144.657037455</v>
      </c>
      <c r="BQ84" s="11" t="n">
        <f aca="false">IF(BQ$1&lt;Units!$P83,0,IF(AND(Units!$K83=0,BQ$1=Units!$O83),Units!$R83,IF(AND(BQ$1&gt;=Units!$Q83,MOD(BQ$1-Units!$Q83,12)=0),IF(AND(Units!$L83=1,BQ$1=Units!$Q83),IF(Units!$J83&lt;&gt;"",Units!$J83,Mkt!BQ84),Inputs!$B$15*Mkt!BQ84+(1-Inputs!$B$15)*MIN(Mkt!BQ84,BP84*(1+Inputs!$B$18))),BP84)))</f>
        <v>2144.657037455</v>
      </c>
      <c r="BR84" s="11" t="n">
        <f aca="false">IF(BR$1&lt;Units!$P83,0,IF(AND(Units!$K83=0,BR$1=Units!$O83),Units!$R83,IF(AND(BR$1&gt;=Units!$Q83,MOD(BR$1-Units!$Q83,12)=0),IF(AND(Units!$L83=1,BR$1=Units!$Q83),IF(Units!$J83&lt;&gt;"",Units!$J83,Mkt!BR84),Inputs!$B$15*Mkt!BR84+(1-Inputs!$B$15)*MIN(Mkt!BR84,BQ84*(1+Inputs!$B$18))),BQ84)))</f>
        <v>2144.657037455</v>
      </c>
      <c r="BS84" s="11" t="n">
        <f aca="false">IF(BS$1&lt;Units!$P83,0,IF(AND(Units!$K83=0,BS$1=Units!$O83),Units!$R83,IF(AND(BS$1&gt;=Units!$Q83,MOD(BS$1-Units!$Q83,12)=0),IF(AND(Units!$L83=1,BS$1=Units!$Q83),IF(Units!$J83&lt;&gt;"",Units!$J83,Mkt!BS84),Inputs!$B$15*Mkt!BS84+(1-Inputs!$B$15)*MIN(Mkt!BS84,BR84*(1+Inputs!$B$18))),BR84)))</f>
        <v>2144.657037455</v>
      </c>
      <c r="BT84" s="11" t="n">
        <f aca="false">IF(BT$1&lt;Units!$P83,0,IF(AND(Units!$K83=0,BT$1=Units!$O83),Units!$R83,IF(AND(BT$1&gt;=Units!$Q83,MOD(BT$1-Units!$Q83,12)=0),IF(AND(Units!$L83=1,BT$1=Units!$Q83),IF(Units!$J83&lt;&gt;"",Units!$J83,Mkt!BT84),Inputs!$B$15*Mkt!BT84+(1-Inputs!$B$15)*MIN(Mkt!BT84,BS84*(1+Inputs!$B$18))),BS84)))</f>
        <v>2144.657037455</v>
      </c>
      <c r="BU84" s="11" t="n">
        <f aca="false">IF(BU$1&lt;Units!$P83,0,IF(AND(Units!$K83=0,BU$1=Units!$O83),Units!$R83,IF(AND(BU$1&gt;=Units!$Q83,MOD(BU$1-Units!$Q83,12)=0),IF(AND(Units!$L83=1,BU$1=Units!$Q83),IF(Units!$J83&lt;&gt;"",Units!$J83,Mkt!BU84),Inputs!$B$15*Mkt!BU84+(1-Inputs!$B$15)*MIN(Mkt!BU84,BT84*(1+Inputs!$B$18))),BT84)))</f>
        <v>2144.657037455</v>
      </c>
      <c r="BV84" s="11" t="n">
        <f aca="false">IF(BV$1&lt;Units!$P83,0,IF(AND(Units!$K83=0,BV$1=Units!$O83),Units!$R83,IF(AND(BV$1&gt;=Units!$Q83,MOD(BV$1-Units!$Q83,12)=0),IF(AND(Units!$L83=1,BV$1=Units!$Q83),IF(Units!$J83&lt;&gt;"",Units!$J83,Mkt!BV84),Inputs!$B$15*Mkt!BV84+(1-Inputs!$B$15)*MIN(Mkt!BV84,BU84*(1+Inputs!$B$18))),BU84)))</f>
        <v>2144.657037455</v>
      </c>
      <c r="BW84" s="11" t="n">
        <f aca="false">IF(BW$1&lt;Units!$P83,0,IF(AND(Units!$K83=0,BW$1=Units!$O83),Units!$R83,IF(AND(BW$1&gt;=Units!$Q83,MOD(BW$1-Units!$Q83,12)=0),IF(AND(Units!$L83=1,BW$1=Units!$Q83),IF(Units!$J83&lt;&gt;"",Units!$J83,Mkt!BW84),Inputs!$B$15*Mkt!BW84+(1-Inputs!$B$15)*MIN(Mkt!BW84,BV84*(1+Inputs!$B$18))),BV84)))</f>
        <v>2144.657037455</v>
      </c>
      <c r="BX84" s="11" t="n">
        <f aca="false">IF(BX$1&lt;Units!$P83,0,IF(AND(Units!$K83=0,BX$1=Units!$O83),Units!$R83,IF(AND(BX$1&gt;=Units!$Q83,MOD(BX$1-Units!$Q83,12)=0),IF(AND(Units!$L83=1,BX$1=Units!$Q83),IF(Units!$J83&lt;&gt;"",Units!$J83,Mkt!BX84),Inputs!$B$15*Mkt!BX84+(1-Inputs!$B$15)*MIN(Mkt!BX84,BW84*(1+Inputs!$B$18))),BW84)))</f>
        <v>2144.657037455</v>
      </c>
      <c r="BY84" s="11" t="n">
        <f aca="false">IF(BY$1&lt;Units!$P83,0,IF(AND(Units!$K83=0,BY$1=Units!$O83),Units!$R83,IF(AND(BY$1&gt;=Units!$Q83,MOD(BY$1-Units!$Q83,12)=0),IF(AND(Units!$L83=1,BY$1=Units!$Q83),IF(Units!$J83&lt;&gt;"",Units!$J83,Mkt!BY84),Inputs!$B$15*Mkt!BY84+(1-Inputs!$B$15)*MIN(Mkt!BY84,BX84*(1+Inputs!$B$18))),BX84)))</f>
        <v>2208.99674857865</v>
      </c>
      <c r="BZ84" s="11" t="n">
        <f aca="false">IF(BZ$1&lt;Units!$P83,0,IF(AND(Units!$K83=0,BZ$1=Units!$O83),Units!$R83,IF(AND(BZ$1&gt;=Units!$Q83,MOD(BZ$1-Units!$Q83,12)=0),IF(AND(Units!$L83=1,BZ$1=Units!$Q83),IF(Units!$J83&lt;&gt;"",Units!$J83,Mkt!BZ84),Inputs!$B$15*Mkt!BZ84+(1-Inputs!$B$15)*MIN(Mkt!BZ84,BY84*(1+Inputs!$B$18))),BY84)))</f>
        <v>2208.99674857865</v>
      </c>
      <c r="CA84" s="11" t="n">
        <f aca="false">IF(CA$1&lt;Units!$P83,0,IF(AND(Units!$K83=0,CA$1=Units!$O83),Units!$R83,IF(AND(CA$1&gt;=Units!$Q83,MOD(CA$1-Units!$Q83,12)=0),IF(AND(Units!$L83=1,CA$1=Units!$Q83),IF(Units!$J83&lt;&gt;"",Units!$J83,Mkt!CA84),Inputs!$B$15*Mkt!CA84+(1-Inputs!$B$15)*MIN(Mkt!CA84,BZ84*(1+Inputs!$B$18))),BZ84)))</f>
        <v>2208.99674857865</v>
      </c>
      <c r="CB84" s="11" t="n">
        <f aca="false">IF(CB$1&lt;Units!$P83,0,IF(AND(Units!$K83=0,CB$1=Units!$O83),Units!$R83,IF(AND(CB$1&gt;=Units!$Q83,MOD(CB$1-Units!$Q83,12)=0),IF(AND(Units!$L83=1,CB$1=Units!$Q83),IF(Units!$J83&lt;&gt;"",Units!$J83,Mkt!CB84),Inputs!$B$15*Mkt!CB84+(1-Inputs!$B$15)*MIN(Mkt!CB84,CA84*(1+Inputs!$B$18))),CA84)))</f>
        <v>2208.99674857865</v>
      </c>
      <c r="CC84" s="11" t="n">
        <f aca="false">IF(CC$1&lt;Units!$P83,0,IF(AND(Units!$K83=0,CC$1=Units!$O83),Units!$R83,IF(AND(CC$1&gt;=Units!$Q83,MOD(CC$1-Units!$Q83,12)=0),IF(AND(Units!$L83=1,CC$1=Units!$Q83),IF(Units!$J83&lt;&gt;"",Units!$J83,Mkt!CC84),Inputs!$B$15*Mkt!CC84+(1-Inputs!$B$15)*MIN(Mkt!CC84,CB84*(1+Inputs!$B$18))),CB84)))</f>
        <v>2208.99674857865</v>
      </c>
      <c r="CD84" s="11" t="n">
        <f aca="false">IF(CD$1&lt;Units!$P83,0,IF(AND(Units!$K83=0,CD$1=Units!$O83),Units!$R83,IF(AND(CD$1&gt;=Units!$Q83,MOD(CD$1-Units!$Q83,12)=0),IF(AND(Units!$L83=1,CD$1=Units!$Q83),IF(Units!$J83&lt;&gt;"",Units!$J83,Mkt!CD84),Inputs!$B$15*Mkt!CD84+(1-Inputs!$B$15)*MIN(Mkt!CD84,CC84*(1+Inputs!$B$18))),CC84)))</f>
        <v>2208.99674857865</v>
      </c>
      <c r="CE84" s="11" t="n">
        <f aca="false">IF(CE$1&lt;Units!$P83,0,IF(AND(Units!$K83=0,CE$1=Units!$O83),Units!$R83,IF(AND(CE$1&gt;=Units!$Q83,MOD(CE$1-Units!$Q83,12)=0),IF(AND(Units!$L83=1,CE$1=Units!$Q83),IF(Units!$J83&lt;&gt;"",Units!$J83,Mkt!CE84),Inputs!$B$15*Mkt!CE84+(1-Inputs!$B$15)*MIN(Mkt!CE84,CD84*(1+Inputs!$B$18))),CD84)))</f>
        <v>2208.99674857865</v>
      </c>
      <c r="CF84" s="11" t="n">
        <f aca="false">IF(CF$1&lt;Units!$P83,0,IF(AND(Units!$K83=0,CF$1=Units!$O83),Units!$R83,IF(AND(CF$1&gt;=Units!$Q83,MOD(CF$1-Units!$Q83,12)=0),IF(AND(Units!$L83=1,CF$1=Units!$Q83),IF(Units!$J83&lt;&gt;"",Units!$J83,Mkt!CF84),Inputs!$B$15*Mkt!CF84+(1-Inputs!$B$15)*MIN(Mkt!CF84,CE84*(1+Inputs!$B$18))),CE84)))</f>
        <v>2208.99674857865</v>
      </c>
      <c r="CG84" s="11" t="n">
        <f aca="false">IF(CG$1&lt;Units!$P83,0,IF(AND(Units!$K83=0,CG$1=Units!$O83),Units!$R83,IF(AND(CG$1&gt;=Units!$Q83,MOD(CG$1-Units!$Q83,12)=0),IF(AND(Units!$L83=1,CG$1=Units!$Q83),IF(Units!$J83&lt;&gt;"",Units!$J83,Mkt!CG84),Inputs!$B$15*Mkt!CG84+(1-Inputs!$B$15)*MIN(Mkt!CG84,CF84*(1+Inputs!$B$18))),CF84)))</f>
        <v>2208.99674857865</v>
      </c>
      <c r="CH84" s="11" t="n">
        <f aca="false">IF(CH$1&lt;Units!$P83,0,IF(AND(Units!$K83=0,CH$1=Units!$O83),Units!$R83,IF(AND(CH$1&gt;=Units!$Q83,MOD(CH$1-Units!$Q83,12)=0),IF(AND(Units!$L83=1,CH$1=Units!$Q83),IF(Units!$J83&lt;&gt;"",Units!$J83,Mkt!CH84),Inputs!$B$15*Mkt!CH84+(1-Inputs!$B$15)*MIN(Mkt!CH84,CG84*(1+Inputs!$B$18))),CG84)))</f>
        <v>2208.99674857865</v>
      </c>
      <c r="CI84" s="11" t="n">
        <f aca="false">IF(CI$1&lt;Units!$P83,0,IF(AND(Units!$K83=0,CI$1=Units!$O83),Units!$R83,IF(AND(CI$1&gt;=Units!$Q83,MOD(CI$1-Units!$Q83,12)=0),IF(AND(Units!$L83=1,CI$1=Units!$Q83),IF(Units!$J83&lt;&gt;"",Units!$J83,Mkt!CI84),Inputs!$B$15*Mkt!CI84+(1-Inputs!$B$15)*MIN(Mkt!CI84,CH84*(1+Inputs!$B$18))),CH84)))</f>
        <v>2208.99674857865</v>
      </c>
      <c r="CJ84" s="11" t="n">
        <f aca="false">IF(CJ$1&lt;Units!$P83,0,IF(AND(Units!$K83=0,CJ$1=Units!$O83),Units!$R83,IF(AND(CJ$1&gt;=Units!$Q83,MOD(CJ$1-Units!$Q83,12)=0),IF(AND(Units!$L83=1,CJ$1=Units!$Q83),IF(Units!$J83&lt;&gt;"",Units!$J83,Mkt!CJ84),Inputs!$B$15*Mkt!CJ84+(1-Inputs!$B$15)*MIN(Mkt!CJ84,CI84*(1+Inputs!$B$18))),CI84)))</f>
        <v>2208.99674857865</v>
      </c>
      <c r="CK84" s="11" t="n">
        <f aca="false">IF(CK$1&lt;Units!$P83,0,IF(AND(Units!$K83=0,CK$1=Units!$O83),Units!$R83,IF(AND(CK$1&gt;=Units!$Q83,MOD(CK$1-Units!$Q83,12)=0),IF(AND(Units!$L83=1,CK$1=Units!$Q83),IF(Units!$J83&lt;&gt;"",Units!$J83,Mkt!CK84),Inputs!$B$15*Mkt!CK84+(1-Inputs!$B$15)*MIN(Mkt!CK84,CJ84*(1+Inputs!$B$18))),CJ84)))</f>
        <v>2275.26665103601</v>
      </c>
      <c r="CL84" s="11" t="n">
        <f aca="false">IF(CL$1&lt;Units!$P83,0,IF(AND(Units!$K83=0,CL$1=Units!$O83),Units!$R83,IF(AND(CL$1&gt;=Units!$Q83,MOD(CL$1-Units!$Q83,12)=0),IF(AND(Units!$L83=1,CL$1=Units!$Q83),IF(Units!$J83&lt;&gt;"",Units!$J83,Mkt!CL84),Inputs!$B$15*Mkt!CL84+(1-Inputs!$B$15)*MIN(Mkt!CL84,CK84*(1+Inputs!$B$18))),CK84)))</f>
        <v>2275.26665103601</v>
      </c>
      <c r="CM84" s="11" t="n">
        <f aca="false">IF(CM$1&lt;Units!$P83,0,IF(AND(Units!$K83=0,CM$1=Units!$O83),Units!$R83,IF(AND(CM$1&gt;=Units!$Q83,MOD(CM$1-Units!$Q83,12)=0),IF(AND(Units!$L83=1,CM$1=Units!$Q83),IF(Units!$J83&lt;&gt;"",Units!$J83,Mkt!CM84),Inputs!$B$15*Mkt!CM84+(1-Inputs!$B$15)*MIN(Mkt!CM84,CL84*(1+Inputs!$B$18))),CL84)))</f>
        <v>2275.26665103601</v>
      </c>
      <c r="CN84" s="11" t="n">
        <f aca="false">IF(CN$1&lt;Units!$P83,0,IF(AND(Units!$K83=0,CN$1=Units!$O83),Units!$R83,IF(AND(CN$1&gt;=Units!$Q83,MOD(CN$1-Units!$Q83,12)=0),IF(AND(Units!$L83=1,CN$1=Units!$Q83),IF(Units!$J83&lt;&gt;"",Units!$J83,Mkt!CN84),Inputs!$B$15*Mkt!CN84+(1-Inputs!$B$15)*MIN(Mkt!CN84,CM84*(1+Inputs!$B$18))),CM84)))</f>
        <v>2275.26665103601</v>
      </c>
      <c r="CO84" s="11" t="n">
        <f aca="false">IF(CO$1&lt;Units!$P83,0,IF(AND(Units!$K83=0,CO$1=Units!$O83),Units!$R83,IF(AND(CO$1&gt;=Units!$Q83,MOD(CO$1-Units!$Q83,12)=0),IF(AND(Units!$L83=1,CO$1=Units!$Q83),IF(Units!$J83&lt;&gt;"",Units!$J83,Mkt!CO84),Inputs!$B$15*Mkt!CO84+(1-Inputs!$B$15)*MIN(Mkt!CO84,CN84*(1+Inputs!$B$18))),CN84)))</f>
        <v>2275.26665103601</v>
      </c>
      <c r="CP84" s="11" t="n">
        <f aca="false">IF(CP$1&lt;Units!$P83,0,IF(AND(Units!$K83=0,CP$1=Units!$O83),Units!$R83,IF(AND(CP$1&gt;=Units!$Q83,MOD(CP$1-Units!$Q83,12)=0),IF(AND(Units!$L83=1,CP$1=Units!$Q83),IF(Units!$J83&lt;&gt;"",Units!$J83,Mkt!CP84),Inputs!$B$15*Mkt!CP84+(1-Inputs!$B$15)*MIN(Mkt!CP84,CO84*(1+Inputs!$B$18))),CO84)))</f>
        <v>2275.26665103601</v>
      </c>
      <c r="CQ84" s="11" t="n">
        <f aca="false">IF(CQ$1&lt;Units!$P83,0,IF(AND(Units!$K83=0,CQ$1=Units!$O83),Units!$R83,IF(AND(CQ$1&gt;=Units!$Q83,MOD(CQ$1-Units!$Q83,12)=0),IF(AND(Units!$L83=1,CQ$1=Units!$Q83),IF(Units!$J83&lt;&gt;"",Units!$J83,Mkt!CQ84),Inputs!$B$15*Mkt!CQ84+(1-Inputs!$B$15)*MIN(Mkt!CQ84,CP84*(1+Inputs!$B$18))),CP84)))</f>
        <v>2275.26665103601</v>
      </c>
      <c r="CR84" s="11" t="n">
        <f aca="false">IF(CR$1&lt;Units!$P83,0,IF(AND(Units!$K83=0,CR$1=Units!$O83),Units!$R83,IF(AND(CR$1&gt;=Units!$Q83,MOD(CR$1-Units!$Q83,12)=0),IF(AND(Units!$L83=1,CR$1=Units!$Q83),IF(Units!$J83&lt;&gt;"",Units!$J83,Mkt!CR84),Inputs!$B$15*Mkt!CR84+(1-Inputs!$B$15)*MIN(Mkt!CR84,CQ84*(1+Inputs!$B$18))),CQ84)))</f>
        <v>2275.26665103601</v>
      </c>
      <c r="CS84" s="11" t="n">
        <f aca="false">IF(CS$1&lt;Units!$P83,0,IF(AND(Units!$K83=0,CS$1=Units!$O83),Units!$R83,IF(AND(CS$1&gt;=Units!$Q83,MOD(CS$1-Units!$Q83,12)=0),IF(AND(Units!$L83=1,CS$1=Units!$Q83),IF(Units!$J83&lt;&gt;"",Units!$J83,Mkt!CS84),Inputs!$B$15*Mkt!CS84+(1-Inputs!$B$15)*MIN(Mkt!CS84,CR84*(1+Inputs!$B$18))),CR84)))</f>
        <v>2275.26665103601</v>
      </c>
      <c r="CT84" s="11" t="n">
        <f aca="false">IF(CT$1&lt;Units!$P83,0,IF(AND(Units!$K83=0,CT$1=Units!$O83),Units!$R83,IF(AND(CT$1&gt;=Units!$Q83,MOD(CT$1-Units!$Q83,12)=0),IF(AND(Units!$L83=1,CT$1=Units!$Q83),IF(Units!$J83&lt;&gt;"",Units!$J83,Mkt!CT84),Inputs!$B$15*Mkt!CT84+(1-Inputs!$B$15)*MIN(Mkt!CT84,CS84*(1+Inputs!$B$18))),CS84)))</f>
        <v>2275.26665103601</v>
      </c>
      <c r="CU84" s="11" t="n">
        <f aca="false">IF(CU$1&lt;Units!$P83,0,IF(AND(Units!$K83=0,CU$1=Units!$O83),Units!$R83,IF(AND(CU$1&gt;=Units!$Q83,MOD(CU$1-Units!$Q83,12)=0),IF(AND(Units!$L83=1,CU$1=Units!$Q83),IF(Units!$J83&lt;&gt;"",Units!$J83,Mkt!CU84),Inputs!$B$15*Mkt!CU84+(1-Inputs!$B$15)*MIN(Mkt!CU84,CT84*(1+Inputs!$B$18))),CT84)))</f>
        <v>2275.26665103601</v>
      </c>
      <c r="CV84" s="11" t="n">
        <f aca="false">IF(CV$1&lt;Units!$P83,0,IF(AND(Units!$K83=0,CV$1=Units!$O83),Units!$R83,IF(AND(CV$1&gt;=Units!$Q83,MOD(CV$1-Units!$Q83,12)=0),IF(AND(Units!$L83=1,CV$1=Units!$Q83),IF(Units!$J83&lt;&gt;"",Units!$J83,Mkt!CV84),Inputs!$B$15*Mkt!CV84+(1-Inputs!$B$15)*MIN(Mkt!CV84,CU84*(1+Inputs!$B$18))),CU84)))</f>
        <v>2275.26665103601</v>
      </c>
      <c r="CW84" s="11" t="n">
        <f aca="false">IF(CW$1&lt;Units!$P83,0,IF(AND(Units!$K83=0,CW$1=Units!$O83),Units!$R83,IF(AND(CW$1&gt;=Units!$Q83,MOD(CW$1-Units!$Q83,12)=0),IF(AND(Units!$L83=1,CW$1=Units!$Q83),IF(Units!$J83&lt;&gt;"",Units!$J83,Mkt!CW84),Inputs!$B$15*Mkt!CW84+(1-Inputs!$B$15)*MIN(Mkt!CW84,CV84*(1+Inputs!$B$18))),CV84)))</f>
        <v>2343.52465056709</v>
      </c>
      <c r="CX84" s="11" t="n">
        <f aca="false">IF(CX$1&lt;Units!$P83,0,IF(AND(Units!$K83=0,CX$1=Units!$O83),Units!$R83,IF(AND(CX$1&gt;=Units!$Q83,MOD(CX$1-Units!$Q83,12)=0),IF(AND(Units!$L83=1,CX$1=Units!$Q83),IF(Units!$J83&lt;&gt;"",Units!$J83,Mkt!CX84),Inputs!$B$15*Mkt!CX84+(1-Inputs!$B$15)*MIN(Mkt!CX84,CW84*(1+Inputs!$B$18))),CW84)))</f>
        <v>2343.52465056709</v>
      </c>
      <c r="CY84" s="11" t="n">
        <f aca="false">IF(CY$1&lt;Units!$P83,0,IF(AND(Units!$K83=0,CY$1=Units!$O83),Units!$R83,IF(AND(CY$1&gt;=Units!$Q83,MOD(CY$1-Units!$Q83,12)=0),IF(AND(Units!$L83=1,CY$1=Units!$Q83),IF(Units!$J83&lt;&gt;"",Units!$J83,Mkt!CY84),Inputs!$B$15*Mkt!CY84+(1-Inputs!$B$15)*MIN(Mkt!CY84,CX84*(1+Inputs!$B$18))),CX84)))</f>
        <v>2343.52465056709</v>
      </c>
      <c r="CZ84" s="11" t="n">
        <f aca="false">IF(CZ$1&lt;Units!$P83,0,IF(AND(Units!$K83=0,CZ$1=Units!$O83),Units!$R83,IF(AND(CZ$1&gt;=Units!$Q83,MOD(CZ$1-Units!$Q83,12)=0),IF(AND(Units!$L83=1,CZ$1=Units!$Q83),IF(Units!$J83&lt;&gt;"",Units!$J83,Mkt!CZ84),Inputs!$B$15*Mkt!CZ84+(1-Inputs!$B$15)*MIN(Mkt!CZ84,CY84*(1+Inputs!$B$18))),CY84)))</f>
        <v>2343.52465056709</v>
      </c>
      <c r="DA84" s="11" t="n">
        <f aca="false">IF(DA$1&lt;Units!$P83,0,IF(AND(Units!$K83=0,DA$1=Units!$O83),Units!$R83,IF(AND(DA$1&gt;=Units!$Q83,MOD(DA$1-Units!$Q83,12)=0),IF(AND(Units!$L83=1,DA$1=Units!$Q83),IF(Units!$J83&lt;&gt;"",Units!$J83,Mkt!DA84),Inputs!$B$15*Mkt!DA84+(1-Inputs!$B$15)*MIN(Mkt!DA84,CZ84*(1+Inputs!$B$18))),CZ84)))</f>
        <v>2343.52465056709</v>
      </c>
      <c r="DB84" s="11" t="n">
        <f aca="false">IF(DB$1&lt;Units!$P83,0,IF(AND(Units!$K83=0,DB$1=Units!$O83),Units!$R83,IF(AND(DB$1&gt;=Units!$Q83,MOD(DB$1-Units!$Q83,12)=0),IF(AND(Units!$L83=1,DB$1=Units!$Q83),IF(Units!$J83&lt;&gt;"",Units!$J83,Mkt!DB84),Inputs!$B$15*Mkt!DB84+(1-Inputs!$B$15)*MIN(Mkt!DB84,DA84*(1+Inputs!$B$18))),DA84)))</f>
        <v>2343.52465056709</v>
      </c>
      <c r="DC84" s="11" t="n">
        <f aca="false">IF(DC$1&lt;Units!$P83,0,IF(AND(Units!$K83=0,DC$1=Units!$O83),Units!$R83,IF(AND(DC$1&gt;=Units!$Q83,MOD(DC$1-Units!$Q83,12)=0),IF(AND(Units!$L83=1,DC$1=Units!$Q83),IF(Units!$J83&lt;&gt;"",Units!$J83,Mkt!DC84),Inputs!$B$15*Mkt!DC84+(1-Inputs!$B$15)*MIN(Mkt!DC84,DB84*(1+Inputs!$B$18))),DB84)))</f>
        <v>2343.52465056709</v>
      </c>
      <c r="DD84" s="11" t="n">
        <f aca="false">IF(DD$1&lt;Units!$P83,0,IF(AND(Units!$K83=0,DD$1=Units!$O83),Units!$R83,IF(AND(DD$1&gt;=Units!$Q83,MOD(DD$1-Units!$Q83,12)=0),IF(AND(Units!$L83=1,DD$1=Units!$Q83),IF(Units!$J83&lt;&gt;"",Units!$J83,Mkt!DD84),Inputs!$B$15*Mkt!DD84+(1-Inputs!$B$15)*MIN(Mkt!DD84,DC84*(1+Inputs!$B$18))),DC84)))</f>
        <v>2343.52465056709</v>
      </c>
      <c r="DE84" s="11" t="n">
        <f aca="false">IF(DE$1&lt;Units!$P83,0,IF(AND(Units!$K83=0,DE$1=Units!$O83),Units!$R83,IF(AND(DE$1&gt;=Units!$Q83,MOD(DE$1-Units!$Q83,12)=0),IF(AND(Units!$L83=1,DE$1=Units!$Q83),IF(Units!$J83&lt;&gt;"",Units!$J83,Mkt!DE84),Inputs!$B$15*Mkt!DE84+(1-Inputs!$B$15)*MIN(Mkt!DE84,DD84*(1+Inputs!$B$18))),DD84)))</f>
        <v>2343.52465056709</v>
      </c>
      <c r="DF84" s="11" t="n">
        <f aca="false">IF(DF$1&lt;Units!$P83,0,IF(AND(Units!$K83=0,DF$1=Units!$O83),Units!$R83,IF(AND(DF$1&gt;=Units!$Q83,MOD(DF$1-Units!$Q83,12)=0),IF(AND(Units!$L83=1,DF$1=Units!$Q83),IF(Units!$J83&lt;&gt;"",Units!$J83,Mkt!DF84),Inputs!$B$15*Mkt!DF84+(1-Inputs!$B$15)*MIN(Mkt!DF84,DE84*(1+Inputs!$B$18))),DE84)))</f>
        <v>2343.52465056709</v>
      </c>
      <c r="DG84" s="11" t="n">
        <f aca="false">IF(DG$1&lt;Units!$P83,0,IF(AND(Units!$K83=0,DG$1=Units!$O83),Units!$R83,IF(AND(DG$1&gt;=Units!$Q83,MOD(DG$1-Units!$Q83,12)=0),IF(AND(Units!$L83=1,DG$1=Units!$Q83),IF(Units!$J83&lt;&gt;"",Units!$J83,Mkt!DG84),Inputs!$B$15*Mkt!DG84+(1-Inputs!$B$15)*MIN(Mkt!DG84,DF84*(1+Inputs!$B$18))),DF84)))</f>
        <v>2343.52465056709</v>
      </c>
      <c r="DH84" s="11" t="n">
        <f aca="false">IF(DH$1&lt;Units!$P83,0,IF(AND(Units!$K83=0,DH$1=Units!$O83),Units!$R83,IF(AND(DH$1&gt;=Units!$Q83,MOD(DH$1-Units!$Q83,12)=0),IF(AND(Units!$L83=1,DH$1=Units!$Q83),IF(Units!$J83&lt;&gt;"",Units!$J83,Mkt!DH84),Inputs!$B$15*Mkt!DH84+(1-Inputs!$B$15)*MIN(Mkt!DH84,DG84*(1+Inputs!$B$18))),DG84)))</f>
        <v>2343.52465056709</v>
      </c>
      <c r="DI84" s="11" t="n">
        <f aca="false">IF(DI$1&lt;Units!$P83,0,IF(AND(Units!$K83=0,DI$1=Units!$O83),Units!$R83,IF(AND(DI$1&gt;=Units!$Q83,MOD(DI$1-Units!$Q83,12)=0),IF(AND(Units!$L83=1,DI$1=Units!$Q83),IF(Units!$J83&lt;&gt;"",Units!$J83,Mkt!DI84),Inputs!$B$15*Mkt!DI84+(1-Inputs!$B$15)*MIN(Mkt!DI84,DH84*(1+Inputs!$B$18))),DH84)))</f>
        <v>2413.8303900841</v>
      </c>
      <c r="DJ84" s="11" t="n">
        <f aca="false">IF(DJ$1&lt;Units!$P83,0,IF(AND(Units!$K83=0,DJ$1=Units!$O83),Units!$R83,IF(AND(DJ$1&gt;=Units!$Q83,MOD(DJ$1-Units!$Q83,12)=0),IF(AND(Units!$L83=1,DJ$1=Units!$Q83),IF(Units!$J83&lt;&gt;"",Units!$J83,Mkt!DJ84),Inputs!$B$15*Mkt!DJ84+(1-Inputs!$B$15)*MIN(Mkt!DJ84,DI84*(1+Inputs!$B$18))),DI84)))</f>
        <v>2413.8303900841</v>
      </c>
      <c r="DK84" s="11" t="n">
        <f aca="false">IF(DK$1&lt;Units!$P83,0,IF(AND(Units!$K83=0,DK$1=Units!$O83),Units!$R83,IF(AND(DK$1&gt;=Units!$Q83,MOD(DK$1-Units!$Q83,12)=0),IF(AND(Units!$L83=1,DK$1=Units!$Q83),IF(Units!$J83&lt;&gt;"",Units!$J83,Mkt!DK84),Inputs!$B$15*Mkt!DK84+(1-Inputs!$B$15)*MIN(Mkt!DK84,DJ84*(1+Inputs!$B$18))),DJ84)))</f>
        <v>2413.8303900841</v>
      </c>
      <c r="DL84" s="11" t="n">
        <f aca="false">IF(DL$1&lt;Units!$P83,0,IF(AND(Units!$K83=0,DL$1=Units!$O83),Units!$R83,IF(AND(DL$1&gt;=Units!$Q83,MOD(DL$1-Units!$Q83,12)=0),IF(AND(Units!$L83=1,DL$1=Units!$Q83),IF(Units!$J83&lt;&gt;"",Units!$J83,Mkt!DL84),Inputs!$B$15*Mkt!DL84+(1-Inputs!$B$15)*MIN(Mkt!DL84,DK84*(1+Inputs!$B$18))),DK84)))</f>
        <v>2413.8303900841</v>
      </c>
      <c r="DM84" s="11" t="n">
        <f aca="false">IF(DM$1&lt;Units!$P83,0,IF(AND(Units!$K83=0,DM$1=Units!$O83),Units!$R83,IF(AND(DM$1&gt;=Units!$Q83,MOD(DM$1-Units!$Q83,12)=0),IF(AND(Units!$L83=1,DM$1=Units!$Q83),IF(Units!$J83&lt;&gt;"",Units!$J83,Mkt!DM84),Inputs!$B$15*Mkt!DM84+(1-Inputs!$B$15)*MIN(Mkt!DM84,DL84*(1+Inputs!$B$18))),DL84)))</f>
        <v>2413.8303900841</v>
      </c>
      <c r="DN84" s="11" t="n">
        <f aca="false">IF(DN$1&lt;Units!$P83,0,IF(AND(Units!$K83=0,DN$1=Units!$O83),Units!$R83,IF(AND(DN$1&gt;=Units!$Q83,MOD(DN$1-Units!$Q83,12)=0),IF(AND(Units!$L83=1,DN$1=Units!$Q83),IF(Units!$J83&lt;&gt;"",Units!$J83,Mkt!DN84),Inputs!$B$15*Mkt!DN84+(1-Inputs!$B$15)*MIN(Mkt!DN84,DM84*(1+Inputs!$B$18))),DM84)))</f>
        <v>2413.8303900841</v>
      </c>
      <c r="DO84" s="11" t="n">
        <f aca="false">IF(DO$1&lt;Units!$P83,0,IF(AND(Units!$K83=0,DO$1=Units!$O83),Units!$R83,IF(AND(DO$1&gt;=Units!$Q83,MOD(DO$1-Units!$Q83,12)=0),IF(AND(Units!$L83=1,DO$1=Units!$Q83),IF(Units!$J83&lt;&gt;"",Units!$J83,Mkt!DO84),Inputs!$B$15*Mkt!DO84+(1-Inputs!$B$15)*MIN(Mkt!DO84,DN84*(1+Inputs!$B$18))),DN84)))</f>
        <v>2413.8303900841</v>
      </c>
      <c r="DP84" s="11" t="n">
        <f aca="false">IF(DP$1&lt;Units!$P83,0,IF(AND(Units!$K83=0,DP$1=Units!$O83),Units!$R83,IF(AND(DP$1&gt;=Units!$Q83,MOD(DP$1-Units!$Q83,12)=0),IF(AND(Units!$L83=1,DP$1=Units!$Q83),IF(Units!$J83&lt;&gt;"",Units!$J83,Mkt!DP84),Inputs!$B$15*Mkt!DP84+(1-Inputs!$B$15)*MIN(Mkt!DP84,DO84*(1+Inputs!$B$18))),DO84)))</f>
        <v>2413.8303900841</v>
      </c>
      <c r="DQ84" s="11" t="n">
        <f aca="false">IF(DQ$1&lt;Units!$P83,0,IF(AND(Units!$K83=0,DQ$1=Units!$O83),Units!$R83,IF(AND(DQ$1&gt;=Units!$Q83,MOD(DQ$1-Units!$Q83,12)=0),IF(AND(Units!$L83=1,DQ$1=Units!$Q83),IF(Units!$J83&lt;&gt;"",Units!$J83,Mkt!DQ84),Inputs!$B$15*Mkt!DQ84+(1-Inputs!$B$15)*MIN(Mkt!DQ84,DP84*(1+Inputs!$B$18))),DP84)))</f>
        <v>2413.8303900841</v>
      </c>
      <c r="DR84" s="11" t="n">
        <f aca="false">IF(DR$1&lt;Units!$P83,0,IF(AND(Units!$K83=0,DR$1=Units!$O83),Units!$R83,IF(AND(DR$1&gt;=Units!$Q83,MOD(DR$1-Units!$Q83,12)=0),IF(AND(Units!$L83=1,DR$1=Units!$Q83),IF(Units!$J83&lt;&gt;"",Units!$J83,Mkt!DR84),Inputs!$B$15*Mkt!DR84+(1-Inputs!$B$15)*MIN(Mkt!DR84,DQ84*(1+Inputs!$B$18))),DQ84)))</f>
        <v>2413.8303900841</v>
      </c>
      <c r="DS84" s="11" t="n">
        <f aca="false">IF(DS$1&lt;Units!$P83,0,IF(AND(Units!$K83=0,DS$1=Units!$O83),Units!$R83,IF(AND(DS$1&gt;=Units!$Q83,MOD(DS$1-Units!$Q83,12)=0),IF(AND(Units!$L83=1,DS$1=Units!$Q83),IF(Units!$J83&lt;&gt;"",Units!$J83,Mkt!DS84),Inputs!$B$15*Mkt!DS84+(1-Inputs!$B$15)*MIN(Mkt!DS84,DR84*(1+Inputs!$B$18))),DR84)))</f>
        <v>2413.8303900841</v>
      </c>
      <c r="DT84" s="11" t="n">
        <f aca="false">IF(DT$1&lt;Units!$P83,0,IF(AND(Units!$K83=0,DT$1=Units!$O83),Units!$R83,IF(AND(DT$1&gt;=Units!$Q83,MOD(DT$1-Units!$Q83,12)=0),IF(AND(Units!$L83=1,DT$1=Units!$Q83),IF(Units!$J83&lt;&gt;"",Units!$J83,Mkt!DT84),Inputs!$B$15*Mkt!DT84+(1-Inputs!$B$15)*MIN(Mkt!DT84,DS84*(1+Inputs!$B$18))),DS84)))</f>
        <v>2413.8303900841</v>
      </c>
      <c r="DU84" s="11" t="n">
        <f aca="false">IF(DU$1&lt;Units!$P83,0,IF(AND(Units!$K83=0,DU$1=Units!$O83),Units!$R83,IF(AND(DU$1&gt;=Units!$Q83,MOD(DU$1-Units!$Q83,12)=0),IF(AND(Units!$L83=1,DU$1=Units!$Q83),IF(Units!$J83&lt;&gt;"",Units!$J83,Mkt!DU84),Inputs!$B$15*Mkt!DU84+(1-Inputs!$B$15)*MIN(Mkt!DU84,DT84*(1+Inputs!$B$18))),DT84)))</f>
        <v>2486.24530178663</v>
      </c>
      <c r="DV84" s="11" t="n">
        <f aca="false">IF(DV$1&lt;Units!$P83,0,IF(AND(Units!$K83=0,DV$1=Units!$O83),Units!$R83,IF(AND(DV$1&gt;=Units!$Q83,MOD(DV$1-Units!$Q83,12)=0),IF(AND(Units!$L83=1,DV$1=Units!$Q83),IF(Units!$J83&lt;&gt;"",Units!$J83,Mkt!DV84),Inputs!$B$15*Mkt!DV84+(1-Inputs!$B$15)*MIN(Mkt!DV84,DU84*(1+Inputs!$B$18))),DU84)))</f>
        <v>2486.24530178663</v>
      </c>
      <c r="DW84" s="11" t="n">
        <f aca="false">IF(DW$1&lt;Units!$P83,0,IF(AND(Units!$K83=0,DW$1=Units!$O83),Units!$R83,IF(AND(DW$1&gt;=Units!$Q83,MOD(DW$1-Units!$Q83,12)=0),IF(AND(Units!$L83=1,DW$1=Units!$Q83),IF(Units!$J83&lt;&gt;"",Units!$J83,Mkt!DW84),Inputs!$B$15*Mkt!DW84+(1-Inputs!$B$15)*MIN(Mkt!DW84,DV84*(1+Inputs!$B$18))),DV84)))</f>
        <v>2486.24530178663</v>
      </c>
      <c r="DX84" s="11" t="n">
        <f aca="false">IF(DX$1&lt;Units!$P83,0,IF(AND(Units!$K83=0,DX$1=Units!$O83),Units!$R83,IF(AND(DX$1&gt;=Units!$Q83,MOD(DX$1-Units!$Q83,12)=0),IF(AND(Units!$L83=1,DX$1=Units!$Q83),IF(Units!$J83&lt;&gt;"",Units!$J83,Mkt!DX84),Inputs!$B$15*Mkt!DX84+(1-Inputs!$B$15)*MIN(Mkt!DX84,DW84*(1+Inputs!$B$18))),DW84)))</f>
        <v>2486.24530178663</v>
      </c>
      <c r="DY84" s="11" t="n">
        <f aca="false">IF(DY$1&lt;Units!$P83,0,IF(AND(Units!$K83=0,DY$1=Units!$O83),Units!$R83,IF(AND(DY$1&gt;=Units!$Q83,MOD(DY$1-Units!$Q83,12)=0),IF(AND(Units!$L83=1,DY$1=Units!$Q83),IF(Units!$J83&lt;&gt;"",Units!$J83,Mkt!DY84),Inputs!$B$15*Mkt!DY84+(1-Inputs!$B$15)*MIN(Mkt!DY84,DX84*(1+Inputs!$B$18))),DX84)))</f>
        <v>2486.24530178663</v>
      </c>
      <c r="DZ84" s="11" t="n">
        <f aca="false">IF(DZ$1&lt;Units!$P83,0,IF(AND(Units!$K83=0,DZ$1=Units!$O83),Units!$R83,IF(AND(DZ$1&gt;=Units!$Q83,MOD(DZ$1-Units!$Q83,12)=0),IF(AND(Units!$L83=1,DZ$1=Units!$Q83),IF(Units!$J83&lt;&gt;"",Units!$J83,Mkt!DZ84),Inputs!$B$15*Mkt!DZ84+(1-Inputs!$B$15)*MIN(Mkt!DZ84,DY84*(1+Inputs!$B$18))),DY84)))</f>
        <v>2486.24530178663</v>
      </c>
      <c r="EA84" s="11" t="n">
        <f aca="false">IF(EA$1&lt;Units!$P83,0,IF(AND(Units!$K83=0,EA$1=Units!$O83),Units!$R83,IF(AND(EA$1&gt;=Units!$Q83,MOD(EA$1-Units!$Q83,12)=0),IF(AND(Units!$L83=1,EA$1=Units!$Q83),IF(Units!$J83&lt;&gt;"",Units!$J83,Mkt!EA84),Inputs!$B$15*Mkt!EA84+(1-Inputs!$B$15)*MIN(Mkt!EA84,DZ84*(1+Inputs!$B$18))),DZ84)))</f>
        <v>2486.24530178663</v>
      </c>
      <c r="EB84" s="11" t="n">
        <f aca="false">IF(EB$1&lt;Units!$P83,0,IF(AND(Units!$K83=0,EB$1=Units!$O83),Units!$R83,IF(AND(EB$1&gt;=Units!$Q83,MOD(EB$1-Units!$Q83,12)=0),IF(AND(Units!$L83=1,EB$1=Units!$Q83),IF(Units!$J83&lt;&gt;"",Units!$J83,Mkt!EB84),Inputs!$B$15*Mkt!EB84+(1-Inputs!$B$15)*MIN(Mkt!EB84,EA84*(1+Inputs!$B$18))),EA84)))</f>
        <v>2486.24530178663</v>
      </c>
      <c r="EC84" s="11" t="n">
        <f aca="false">IF(EC$1&lt;Units!$P83,0,IF(AND(Units!$K83=0,EC$1=Units!$O83),Units!$R83,IF(AND(EC$1&gt;=Units!$Q83,MOD(EC$1-Units!$Q83,12)=0),IF(AND(Units!$L83=1,EC$1=Units!$Q83),IF(Units!$J83&lt;&gt;"",Units!$J83,Mkt!EC84),Inputs!$B$15*Mkt!EC84+(1-Inputs!$B$15)*MIN(Mkt!EC84,EB84*(1+Inputs!$B$18))),EB84)))</f>
        <v>2486.24530178663</v>
      </c>
      <c r="ED84" s="11" t="n">
        <f aca="false">IF(ED$1&lt;Units!$P83,0,IF(AND(Units!$K83=0,ED$1=Units!$O83),Units!$R83,IF(AND(ED$1&gt;=Units!$Q83,MOD(ED$1-Units!$Q83,12)=0),IF(AND(Units!$L83=1,ED$1=Units!$Q83),IF(Units!$J83&lt;&gt;"",Units!$J83,Mkt!ED84),Inputs!$B$15*Mkt!ED84+(1-Inputs!$B$15)*MIN(Mkt!ED84,EC84*(1+Inputs!$B$18))),EC84)))</f>
        <v>2486.24530178663</v>
      </c>
    </row>
    <row r="85" customFormat="false" ht="15" hidden="false" customHeight="false" outlineLevel="0" collapsed="false">
      <c r="A85" s="22" t="n">
        <f aca="false">Units!A84</f>
        <v>323</v>
      </c>
      <c r="B85" s="24" t="n">
        <f aca="false">IF(Units!K84=1,Units!F84,0)</f>
        <v>1890</v>
      </c>
      <c r="C85" s="11" t="n">
        <f aca="false">IF(C$1&lt;Units!$P84,0,IF(AND(Units!$K84=0,C$1=Units!$O84),Units!$R84,IF(AND(C$1&gt;=Units!$Q84,MOD(C$1-Units!$Q84,12)=0),IF(AND(Units!$L84=1,C$1=Units!$Q84),IF(Units!$J84&lt;&gt;"",Units!$J84,Mkt!C85),Inputs!$B$15*Mkt!C85+(1-Inputs!$B$15)*MIN(Mkt!C85,B85*(1+Inputs!$B$18))),B85)))</f>
        <v>1850</v>
      </c>
      <c r="D85" s="11" t="n">
        <f aca="false">IF(D$1&lt;Units!$P84,0,IF(AND(Units!$K84=0,D$1=Units!$O84),Units!$R84,IF(AND(D$1&gt;=Units!$Q84,MOD(D$1-Units!$Q84,12)=0),IF(AND(Units!$L84=1,D$1=Units!$Q84),IF(Units!$J84&lt;&gt;"",Units!$J84,Mkt!D85),Inputs!$B$15*Mkt!D85+(1-Inputs!$B$15)*MIN(Mkt!D85,C85*(1+Inputs!$B$18))),C85)))</f>
        <v>1850</v>
      </c>
      <c r="E85" s="11" t="n">
        <f aca="false">IF(E$1&lt;Units!$P84,0,IF(AND(Units!$K84=0,E$1=Units!$O84),Units!$R84,IF(AND(E$1&gt;=Units!$Q84,MOD(E$1-Units!$Q84,12)=0),IF(AND(Units!$L84=1,E$1=Units!$Q84),IF(Units!$J84&lt;&gt;"",Units!$J84,Mkt!E85),Inputs!$B$15*Mkt!E85+(1-Inputs!$B$15)*MIN(Mkt!E85,D85*(1+Inputs!$B$18))),D85)))</f>
        <v>1850</v>
      </c>
      <c r="F85" s="11" t="n">
        <f aca="false">IF(F$1&lt;Units!$P84,0,IF(AND(Units!$K84=0,F$1=Units!$O84),Units!$R84,IF(AND(F$1&gt;=Units!$Q84,MOD(F$1-Units!$Q84,12)=0),IF(AND(Units!$L84=1,F$1=Units!$Q84),IF(Units!$J84&lt;&gt;"",Units!$J84,Mkt!F85),Inputs!$B$15*Mkt!F85+(1-Inputs!$B$15)*MIN(Mkt!F85,E85*(1+Inputs!$B$18))),E85)))</f>
        <v>1850</v>
      </c>
      <c r="G85" s="11" t="n">
        <f aca="false">IF(G$1&lt;Units!$P84,0,IF(AND(Units!$K84=0,G$1=Units!$O84),Units!$R84,IF(AND(G$1&gt;=Units!$Q84,MOD(G$1-Units!$Q84,12)=0),IF(AND(Units!$L84=1,G$1=Units!$Q84),IF(Units!$J84&lt;&gt;"",Units!$J84,Mkt!G85),Inputs!$B$15*Mkt!G85+(1-Inputs!$B$15)*MIN(Mkt!G85,F85*(1+Inputs!$B$18))),F85)))</f>
        <v>1850</v>
      </c>
      <c r="H85" s="11" t="n">
        <f aca="false">IF(H$1&lt;Units!$P84,0,IF(AND(Units!$K84=0,H$1=Units!$O84),Units!$R84,IF(AND(H$1&gt;=Units!$Q84,MOD(H$1-Units!$Q84,12)=0),IF(AND(Units!$L84=1,H$1=Units!$Q84),IF(Units!$J84&lt;&gt;"",Units!$J84,Mkt!H85),Inputs!$B$15*Mkt!H85+(1-Inputs!$B$15)*MIN(Mkt!H85,G85*(1+Inputs!$B$18))),G85)))</f>
        <v>1850</v>
      </c>
      <c r="I85" s="11" t="n">
        <f aca="false">IF(I$1&lt;Units!$P84,0,IF(AND(Units!$K84=0,I$1=Units!$O84),Units!$R84,IF(AND(I$1&gt;=Units!$Q84,MOD(I$1-Units!$Q84,12)=0),IF(AND(Units!$L84=1,I$1=Units!$Q84),IF(Units!$J84&lt;&gt;"",Units!$J84,Mkt!I85),Inputs!$B$15*Mkt!I85+(1-Inputs!$B$15)*MIN(Mkt!I85,H85*(1+Inputs!$B$18))),H85)))</f>
        <v>1850</v>
      </c>
      <c r="J85" s="11" t="n">
        <f aca="false">IF(J$1&lt;Units!$P84,0,IF(AND(Units!$K84=0,J$1=Units!$O84),Units!$R84,IF(AND(J$1&gt;=Units!$Q84,MOD(J$1-Units!$Q84,12)=0),IF(AND(Units!$L84=1,J$1=Units!$Q84),IF(Units!$J84&lt;&gt;"",Units!$J84,Mkt!J85),Inputs!$B$15*Mkt!J85+(1-Inputs!$B$15)*MIN(Mkt!J85,I85*(1+Inputs!$B$18))),I85)))</f>
        <v>1850</v>
      </c>
      <c r="K85" s="11" t="n">
        <f aca="false">IF(K$1&lt;Units!$P84,0,IF(AND(Units!$K84=0,K$1=Units!$O84),Units!$R84,IF(AND(K$1&gt;=Units!$Q84,MOD(K$1-Units!$Q84,12)=0),IF(AND(Units!$L84=1,K$1=Units!$Q84),IF(Units!$J84&lt;&gt;"",Units!$J84,Mkt!K85),Inputs!$B$15*Mkt!K85+(1-Inputs!$B$15)*MIN(Mkt!K85,J85*(1+Inputs!$B$18))),J85)))</f>
        <v>1850</v>
      </c>
      <c r="L85" s="11" t="n">
        <f aca="false">IF(L$1&lt;Units!$P84,0,IF(AND(Units!$K84=0,L$1=Units!$O84),Units!$R84,IF(AND(L$1&gt;=Units!$Q84,MOD(L$1-Units!$Q84,12)=0),IF(AND(Units!$L84=1,L$1=Units!$Q84),IF(Units!$J84&lt;&gt;"",Units!$J84,Mkt!L85),Inputs!$B$15*Mkt!L85+(1-Inputs!$B$15)*MIN(Mkt!L85,K85*(1+Inputs!$B$18))),K85)))</f>
        <v>1850</v>
      </c>
      <c r="M85" s="11" t="n">
        <f aca="false">IF(M$1&lt;Units!$P84,0,IF(AND(Units!$K84=0,M$1=Units!$O84),Units!$R84,IF(AND(M$1&gt;=Units!$Q84,MOD(M$1-Units!$Q84,12)=0),IF(AND(Units!$L84=1,M$1=Units!$Q84),IF(Units!$J84&lt;&gt;"",Units!$J84,Mkt!M85),Inputs!$B$15*Mkt!M85+(1-Inputs!$B$15)*MIN(Mkt!M85,L85*(1+Inputs!$B$18))),L85)))</f>
        <v>1850</v>
      </c>
      <c r="N85" s="11" t="n">
        <f aca="false">IF(N$1&lt;Units!$P84,0,IF(AND(Units!$K84=0,N$1=Units!$O84),Units!$R84,IF(AND(N$1&gt;=Units!$Q84,MOD(N$1-Units!$Q84,12)=0),IF(AND(Units!$L84=1,N$1=Units!$Q84),IF(Units!$J84&lt;&gt;"",Units!$J84,Mkt!N85),Inputs!$B$15*Mkt!N85+(1-Inputs!$B$15)*MIN(Mkt!N85,M85*(1+Inputs!$B$18))),M85)))</f>
        <v>1850</v>
      </c>
      <c r="O85" s="11" t="n">
        <f aca="false">IF(O$1&lt;Units!$P84,0,IF(AND(Units!$K84=0,O$1=Units!$O84),Units!$R84,IF(AND(O$1&gt;=Units!$Q84,MOD(O$1-Units!$Q84,12)=0),IF(AND(Units!$L84=1,O$1=Units!$Q84),IF(Units!$J84&lt;&gt;"",Units!$J84,Mkt!O85),Inputs!$B$15*Mkt!O85+(1-Inputs!$B$15)*MIN(Mkt!O85,N85*(1+Inputs!$B$18))),N85)))</f>
        <v>1905.5</v>
      </c>
      <c r="P85" s="11" t="n">
        <f aca="false">IF(P$1&lt;Units!$P84,0,IF(AND(Units!$K84=0,P$1=Units!$O84),Units!$R84,IF(AND(P$1&gt;=Units!$Q84,MOD(P$1-Units!$Q84,12)=0),IF(AND(Units!$L84=1,P$1=Units!$Q84),IF(Units!$J84&lt;&gt;"",Units!$J84,Mkt!P85),Inputs!$B$15*Mkt!P85+(1-Inputs!$B$15)*MIN(Mkt!P85,O85*(1+Inputs!$B$18))),O85)))</f>
        <v>1905.5</v>
      </c>
      <c r="Q85" s="11" t="n">
        <f aca="false">IF(Q$1&lt;Units!$P84,0,IF(AND(Units!$K84=0,Q$1=Units!$O84),Units!$R84,IF(AND(Q$1&gt;=Units!$Q84,MOD(Q$1-Units!$Q84,12)=0),IF(AND(Units!$L84=1,Q$1=Units!$Q84),IF(Units!$J84&lt;&gt;"",Units!$J84,Mkt!Q85),Inputs!$B$15*Mkt!Q85+(1-Inputs!$B$15)*MIN(Mkt!Q85,P85*(1+Inputs!$B$18))),P85)))</f>
        <v>1905.5</v>
      </c>
      <c r="R85" s="11" t="n">
        <f aca="false">IF(R$1&lt;Units!$P84,0,IF(AND(Units!$K84=0,R$1=Units!$O84),Units!$R84,IF(AND(R$1&gt;=Units!$Q84,MOD(R$1-Units!$Q84,12)=0),IF(AND(Units!$L84=1,R$1=Units!$Q84),IF(Units!$J84&lt;&gt;"",Units!$J84,Mkt!R85),Inputs!$B$15*Mkt!R85+(1-Inputs!$B$15)*MIN(Mkt!R85,Q85*(1+Inputs!$B$18))),Q85)))</f>
        <v>1905.5</v>
      </c>
      <c r="S85" s="11" t="n">
        <f aca="false">IF(S$1&lt;Units!$P84,0,IF(AND(Units!$K84=0,S$1=Units!$O84),Units!$R84,IF(AND(S$1&gt;=Units!$Q84,MOD(S$1-Units!$Q84,12)=0),IF(AND(Units!$L84=1,S$1=Units!$Q84),IF(Units!$J84&lt;&gt;"",Units!$J84,Mkt!S85),Inputs!$B$15*Mkt!S85+(1-Inputs!$B$15)*MIN(Mkt!S85,R85*(1+Inputs!$B$18))),R85)))</f>
        <v>1905.5</v>
      </c>
      <c r="T85" s="11" t="n">
        <f aca="false">IF(T$1&lt;Units!$P84,0,IF(AND(Units!$K84=0,T$1=Units!$O84),Units!$R84,IF(AND(T$1&gt;=Units!$Q84,MOD(T$1-Units!$Q84,12)=0),IF(AND(Units!$L84=1,T$1=Units!$Q84),IF(Units!$J84&lt;&gt;"",Units!$J84,Mkt!T85),Inputs!$B$15*Mkt!T85+(1-Inputs!$B$15)*MIN(Mkt!T85,S85*(1+Inputs!$B$18))),S85)))</f>
        <v>1905.5</v>
      </c>
      <c r="U85" s="11" t="n">
        <f aca="false">IF(U$1&lt;Units!$P84,0,IF(AND(Units!$K84=0,U$1=Units!$O84),Units!$R84,IF(AND(U$1&gt;=Units!$Q84,MOD(U$1-Units!$Q84,12)=0),IF(AND(Units!$L84=1,U$1=Units!$Q84),IF(Units!$J84&lt;&gt;"",Units!$J84,Mkt!U85),Inputs!$B$15*Mkt!U85+(1-Inputs!$B$15)*MIN(Mkt!U85,T85*(1+Inputs!$B$18))),T85)))</f>
        <v>1905.5</v>
      </c>
      <c r="V85" s="11" t="n">
        <f aca="false">IF(V$1&lt;Units!$P84,0,IF(AND(Units!$K84=0,V$1=Units!$O84),Units!$R84,IF(AND(V$1&gt;=Units!$Q84,MOD(V$1-Units!$Q84,12)=0),IF(AND(Units!$L84=1,V$1=Units!$Q84),IF(Units!$J84&lt;&gt;"",Units!$J84,Mkt!V85),Inputs!$B$15*Mkt!V85+(1-Inputs!$B$15)*MIN(Mkt!V85,U85*(1+Inputs!$B$18))),U85)))</f>
        <v>1905.5</v>
      </c>
      <c r="W85" s="11" t="n">
        <f aca="false">IF(W$1&lt;Units!$P84,0,IF(AND(Units!$K84=0,W$1=Units!$O84),Units!$R84,IF(AND(W$1&gt;=Units!$Q84,MOD(W$1-Units!$Q84,12)=0),IF(AND(Units!$L84=1,W$1=Units!$Q84),IF(Units!$J84&lt;&gt;"",Units!$J84,Mkt!W85),Inputs!$B$15*Mkt!W85+(1-Inputs!$B$15)*MIN(Mkt!W85,V85*(1+Inputs!$B$18))),V85)))</f>
        <v>1905.5</v>
      </c>
      <c r="X85" s="11" t="n">
        <f aca="false">IF(X$1&lt;Units!$P84,0,IF(AND(Units!$K84=0,X$1=Units!$O84),Units!$R84,IF(AND(X$1&gt;=Units!$Q84,MOD(X$1-Units!$Q84,12)=0),IF(AND(Units!$L84=1,X$1=Units!$Q84),IF(Units!$J84&lt;&gt;"",Units!$J84,Mkt!X85),Inputs!$B$15*Mkt!X85+(1-Inputs!$B$15)*MIN(Mkt!X85,W85*(1+Inputs!$B$18))),W85)))</f>
        <v>1905.5</v>
      </c>
      <c r="Y85" s="11" t="n">
        <f aca="false">IF(Y$1&lt;Units!$P84,0,IF(AND(Units!$K84=0,Y$1=Units!$O84),Units!$R84,IF(AND(Y$1&gt;=Units!$Q84,MOD(Y$1-Units!$Q84,12)=0),IF(AND(Units!$L84=1,Y$1=Units!$Q84),IF(Units!$J84&lt;&gt;"",Units!$J84,Mkt!Y85),Inputs!$B$15*Mkt!Y85+(1-Inputs!$B$15)*MIN(Mkt!Y85,X85*(1+Inputs!$B$18))),X85)))</f>
        <v>1905.5</v>
      </c>
      <c r="Z85" s="11" t="n">
        <f aca="false">IF(Z$1&lt;Units!$P84,0,IF(AND(Units!$K84=0,Z$1=Units!$O84),Units!$R84,IF(AND(Z$1&gt;=Units!$Q84,MOD(Z$1-Units!$Q84,12)=0),IF(AND(Units!$L84=1,Z$1=Units!$Q84),IF(Units!$J84&lt;&gt;"",Units!$J84,Mkt!Z85),Inputs!$B$15*Mkt!Z85+(1-Inputs!$B$15)*MIN(Mkt!Z85,Y85*(1+Inputs!$B$18))),Y85)))</f>
        <v>1905.5</v>
      </c>
      <c r="AA85" s="11" t="n">
        <f aca="false">IF(AA$1&lt;Units!$P84,0,IF(AND(Units!$K84=0,AA$1=Units!$O84),Units!$R84,IF(AND(AA$1&gt;=Units!$Q84,MOD(AA$1-Units!$Q84,12)=0),IF(AND(Units!$L84=1,AA$1=Units!$Q84),IF(Units!$J84&lt;&gt;"",Units!$J84,Mkt!AA85),Inputs!$B$15*Mkt!AA85+(1-Inputs!$B$15)*MIN(Mkt!AA85,Z85*(1+Inputs!$B$18))),Z85)))</f>
        <v>1962.665</v>
      </c>
      <c r="AB85" s="11" t="n">
        <f aca="false">IF(AB$1&lt;Units!$P84,0,IF(AND(Units!$K84=0,AB$1=Units!$O84),Units!$R84,IF(AND(AB$1&gt;=Units!$Q84,MOD(AB$1-Units!$Q84,12)=0),IF(AND(Units!$L84=1,AB$1=Units!$Q84),IF(Units!$J84&lt;&gt;"",Units!$J84,Mkt!AB85),Inputs!$B$15*Mkt!AB85+(1-Inputs!$B$15)*MIN(Mkt!AB85,AA85*(1+Inputs!$B$18))),AA85)))</f>
        <v>1962.665</v>
      </c>
      <c r="AC85" s="11" t="n">
        <f aca="false">IF(AC$1&lt;Units!$P84,0,IF(AND(Units!$K84=0,AC$1=Units!$O84),Units!$R84,IF(AND(AC$1&gt;=Units!$Q84,MOD(AC$1-Units!$Q84,12)=0),IF(AND(Units!$L84=1,AC$1=Units!$Q84),IF(Units!$J84&lt;&gt;"",Units!$J84,Mkt!AC85),Inputs!$B$15*Mkt!AC85+(1-Inputs!$B$15)*MIN(Mkt!AC85,AB85*(1+Inputs!$B$18))),AB85)))</f>
        <v>1962.665</v>
      </c>
      <c r="AD85" s="11" t="n">
        <f aca="false">IF(AD$1&lt;Units!$P84,0,IF(AND(Units!$K84=0,AD$1=Units!$O84),Units!$R84,IF(AND(AD$1&gt;=Units!$Q84,MOD(AD$1-Units!$Q84,12)=0),IF(AND(Units!$L84=1,AD$1=Units!$Q84),IF(Units!$J84&lt;&gt;"",Units!$J84,Mkt!AD85),Inputs!$B$15*Mkt!AD85+(1-Inputs!$B$15)*MIN(Mkt!AD85,AC85*(1+Inputs!$B$18))),AC85)))</f>
        <v>1962.665</v>
      </c>
      <c r="AE85" s="11" t="n">
        <f aca="false">IF(AE$1&lt;Units!$P84,0,IF(AND(Units!$K84=0,AE$1=Units!$O84),Units!$R84,IF(AND(AE$1&gt;=Units!$Q84,MOD(AE$1-Units!$Q84,12)=0),IF(AND(Units!$L84=1,AE$1=Units!$Q84),IF(Units!$J84&lt;&gt;"",Units!$J84,Mkt!AE85),Inputs!$B$15*Mkt!AE85+(1-Inputs!$B$15)*MIN(Mkt!AE85,AD85*(1+Inputs!$B$18))),AD85)))</f>
        <v>1962.665</v>
      </c>
      <c r="AF85" s="11" t="n">
        <f aca="false">IF(AF$1&lt;Units!$P84,0,IF(AND(Units!$K84=0,AF$1=Units!$O84),Units!$R84,IF(AND(AF$1&gt;=Units!$Q84,MOD(AF$1-Units!$Q84,12)=0),IF(AND(Units!$L84=1,AF$1=Units!$Q84),IF(Units!$J84&lt;&gt;"",Units!$J84,Mkt!AF85),Inputs!$B$15*Mkt!AF85+(1-Inputs!$B$15)*MIN(Mkt!AF85,AE85*(1+Inputs!$B$18))),AE85)))</f>
        <v>1962.665</v>
      </c>
      <c r="AG85" s="11" t="n">
        <f aca="false">IF(AG$1&lt;Units!$P84,0,IF(AND(Units!$K84=0,AG$1=Units!$O84),Units!$R84,IF(AND(AG$1&gt;=Units!$Q84,MOD(AG$1-Units!$Q84,12)=0),IF(AND(Units!$L84=1,AG$1=Units!$Q84),IF(Units!$J84&lt;&gt;"",Units!$J84,Mkt!AG85),Inputs!$B$15*Mkt!AG85+(1-Inputs!$B$15)*MIN(Mkt!AG85,AF85*(1+Inputs!$B$18))),AF85)))</f>
        <v>1962.665</v>
      </c>
      <c r="AH85" s="11" t="n">
        <f aca="false">IF(AH$1&lt;Units!$P84,0,IF(AND(Units!$K84=0,AH$1=Units!$O84),Units!$R84,IF(AND(AH$1&gt;=Units!$Q84,MOD(AH$1-Units!$Q84,12)=0),IF(AND(Units!$L84=1,AH$1=Units!$Q84),IF(Units!$J84&lt;&gt;"",Units!$J84,Mkt!AH85),Inputs!$B$15*Mkt!AH85+(1-Inputs!$B$15)*MIN(Mkt!AH85,AG85*(1+Inputs!$B$18))),AG85)))</f>
        <v>1962.665</v>
      </c>
      <c r="AI85" s="11" t="n">
        <f aca="false">IF(AI$1&lt;Units!$P84,0,IF(AND(Units!$K84=0,AI$1=Units!$O84),Units!$R84,IF(AND(AI$1&gt;=Units!$Q84,MOD(AI$1-Units!$Q84,12)=0),IF(AND(Units!$L84=1,AI$1=Units!$Q84),IF(Units!$J84&lt;&gt;"",Units!$J84,Mkt!AI85),Inputs!$B$15*Mkt!AI85+(1-Inputs!$B$15)*MIN(Mkt!AI85,AH85*(1+Inputs!$B$18))),AH85)))</f>
        <v>1962.665</v>
      </c>
      <c r="AJ85" s="11" t="n">
        <f aca="false">IF(AJ$1&lt;Units!$P84,0,IF(AND(Units!$K84=0,AJ$1=Units!$O84),Units!$R84,IF(AND(AJ$1&gt;=Units!$Q84,MOD(AJ$1-Units!$Q84,12)=0),IF(AND(Units!$L84=1,AJ$1=Units!$Q84),IF(Units!$J84&lt;&gt;"",Units!$J84,Mkt!AJ85),Inputs!$B$15*Mkt!AJ85+(1-Inputs!$B$15)*MIN(Mkt!AJ85,AI85*(1+Inputs!$B$18))),AI85)))</f>
        <v>1962.665</v>
      </c>
      <c r="AK85" s="11" t="n">
        <f aca="false">IF(AK$1&lt;Units!$P84,0,IF(AND(Units!$K84=0,AK$1=Units!$O84),Units!$R84,IF(AND(AK$1&gt;=Units!$Q84,MOD(AK$1-Units!$Q84,12)=0),IF(AND(Units!$L84=1,AK$1=Units!$Q84),IF(Units!$J84&lt;&gt;"",Units!$J84,Mkt!AK85),Inputs!$B$15*Mkt!AK85+(1-Inputs!$B$15)*MIN(Mkt!AK85,AJ85*(1+Inputs!$B$18))),AJ85)))</f>
        <v>1962.665</v>
      </c>
      <c r="AL85" s="11" t="n">
        <f aca="false">IF(AL$1&lt;Units!$P84,0,IF(AND(Units!$K84=0,AL$1=Units!$O84),Units!$R84,IF(AND(AL$1&gt;=Units!$Q84,MOD(AL$1-Units!$Q84,12)=0),IF(AND(Units!$L84=1,AL$1=Units!$Q84),IF(Units!$J84&lt;&gt;"",Units!$J84,Mkt!AL85),Inputs!$B$15*Mkt!AL85+(1-Inputs!$B$15)*MIN(Mkt!AL85,AK85*(1+Inputs!$B$18))),AK85)))</f>
        <v>1962.665</v>
      </c>
      <c r="AM85" s="11" t="n">
        <f aca="false">IF(AM$1&lt;Units!$P84,0,IF(AND(Units!$K84=0,AM$1=Units!$O84),Units!$R84,IF(AND(AM$1&gt;=Units!$Q84,MOD(AM$1-Units!$Q84,12)=0),IF(AND(Units!$L84=1,AM$1=Units!$Q84),IF(Units!$J84&lt;&gt;"",Units!$J84,Mkt!AM85),Inputs!$B$15*Mkt!AM85+(1-Inputs!$B$15)*MIN(Mkt!AM85,AL85*(1+Inputs!$B$18))),AL85)))</f>
        <v>2021.54495</v>
      </c>
      <c r="AN85" s="11" t="n">
        <f aca="false">IF(AN$1&lt;Units!$P84,0,IF(AND(Units!$K84=0,AN$1=Units!$O84),Units!$R84,IF(AND(AN$1&gt;=Units!$Q84,MOD(AN$1-Units!$Q84,12)=0),IF(AND(Units!$L84=1,AN$1=Units!$Q84),IF(Units!$J84&lt;&gt;"",Units!$J84,Mkt!AN85),Inputs!$B$15*Mkt!AN85+(1-Inputs!$B$15)*MIN(Mkt!AN85,AM85*(1+Inputs!$B$18))),AM85)))</f>
        <v>2021.54495</v>
      </c>
      <c r="AO85" s="11" t="n">
        <f aca="false">IF(AO$1&lt;Units!$P84,0,IF(AND(Units!$K84=0,AO$1=Units!$O84),Units!$R84,IF(AND(AO$1&gt;=Units!$Q84,MOD(AO$1-Units!$Q84,12)=0),IF(AND(Units!$L84=1,AO$1=Units!$Q84),IF(Units!$J84&lt;&gt;"",Units!$J84,Mkt!AO85),Inputs!$B$15*Mkt!AO85+(1-Inputs!$B$15)*MIN(Mkt!AO85,AN85*(1+Inputs!$B$18))),AN85)))</f>
        <v>2021.54495</v>
      </c>
      <c r="AP85" s="11" t="n">
        <f aca="false">IF(AP$1&lt;Units!$P84,0,IF(AND(Units!$K84=0,AP$1=Units!$O84),Units!$R84,IF(AND(AP$1&gt;=Units!$Q84,MOD(AP$1-Units!$Q84,12)=0),IF(AND(Units!$L84=1,AP$1=Units!$Q84),IF(Units!$J84&lt;&gt;"",Units!$J84,Mkt!AP85),Inputs!$B$15*Mkt!AP85+(1-Inputs!$B$15)*MIN(Mkt!AP85,AO85*(1+Inputs!$B$18))),AO85)))</f>
        <v>2021.54495</v>
      </c>
      <c r="AQ85" s="11" t="n">
        <f aca="false">IF(AQ$1&lt;Units!$P84,0,IF(AND(Units!$K84=0,AQ$1=Units!$O84),Units!$R84,IF(AND(AQ$1&gt;=Units!$Q84,MOD(AQ$1-Units!$Q84,12)=0),IF(AND(Units!$L84=1,AQ$1=Units!$Q84),IF(Units!$J84&lt;&gt;"",Units!$J84,Mkt!AQ85),Inputs!$B$15*Mkt!AQ85+(1-Inputs!$B$15)*MIN(Mkt!AQ85,AP85*(1+Inputs!$B$18))),AP85)))</f>
        <v>2021.54495</v>
      </c>
      <c r="AR85" s="11" t="n">
        <f aca="false">IF(AR$1&lt;Units!$P84,0,IF(AND(Units!$K84=0,AR$1=Units!$O84),Units!$R84,IF(AND(AR$1&gt;=Units!$Q84,MOD(AR$1-Units!$Q84,12)=0),IF(AND(Units!$L84=1,AR$1=Units!$Q84),IF(Units!$J84&lt;&gt;"",Units!$J84,Mkt!AR85),Inputs!$B$15*Mkt!AR85+(1-Inputs!$B$15)*MIN(Mkt!AR85,AQ85*(1+Inputs!$B$18))),AQ85)))</f>
        <v>2021.54495</v>
      </c>
      <c r="AS85" s="11" t="n">
        <f aca="false">IF(AS$1&lt;Units!$P84,0,IF(AND(Units!$K84=0,AS$1=Units!$O84),Units!$R84,IF(AND(AS$1&gt;=Units!$Q84,MOD(AS$1-Units!$Q84,12)=0),IF(AND(Units!$L84=1,AS$1=Units!$Q84),IF(Units!$J84&lt;&gt;"",Units!$J84,Mkt!AS85),Inputs!$B$15*Mkt!AS85+(1-Inputs!$B$15)*MIN(Mkt!AS85,AR85*(1+Inputs!$B$18))),AR85)))</f>
        <v>2021.54495</v>
      </c>
      <c r="AT85" s="11" t="n">
        <f aca="false">IF(AT$1&lt;Units!$P84,0,IF(AND(Units!$K84=0,AT$1=Units!$O84),Units!$R84,IF(AND(AT$1&gt;=Units!$Q84,MOD(AT$1-Units!$Q84,12)=0),IF(AND(Units!$L84=1,AT$1=Units!$Q84),IF(Units!$J84&lt;&gt;"",Units!$J84,Mkt!AT85),Inputs!$B$15*Mkt!AT85+(1-Inputs!$B$15)*MIN(Mkt!AT85,AS85*(1+Inputs!$B$18))),AS85)))</f>
        <v>2021.54495</v>
      </c>
      <c r="AU85" s="11" t="n">
        <f aca="false">IF(AU$1&lt;Units!$P84,0,IF(AND(Units!$K84=0,AU$1=Units!$O84),Units!$R84,IF(AND(AU$1&gt;=Units!$Q84,MOD(AU$1-Units!$Q84,12)=0),IF(AND(Units!$L84=1,AU$1=Units!$Q84),IF(Units!$J84&lt;&gt;"",Units!$J84,Mkt!AU85),Inputs!$B$15*Mkt!AU85+(1-Inputs!$B$15)*MIN(Mkt!AU85,AT85*(1+Inputs!$B$18))),AT85)))</f>
        <v>2021.54495</v>
      </c>
      <c r="AV85" s="11" t="n">
        <f aca="false">IF(AV$1&lt;Units!$P84,0,IF(AND(Units!$K84=0,AV$1=Units!$O84),Units!$R84,IF(AND(AV$1&gt;=Units!$Q84,MOD(AV$1-Units!$Q84,12)=0),IF(AND(Units!$L84=1,AV$1=Units!$Q84),IF(Units!$J84&lt;&gt;"",Units!$J84,Mkt!AV85),Inputs!$B$15*Mkt!AV85+(1-Inputs!$B$15)*MIN(Mkt!AV85,AU85*(1+Inputs!$B$18))),AU85)))</f>
        <v>2021.54495</v>
      </c>
      <c r="AW85" s="11" t="n">
        <f aca="false">IF(AW$1&lt;Units!$P84,0,IF(AND(Units!$K84=0,AW$1=Units!$O84),Units!$R84,IF(AND(AW$1&gt;=Units!$Q84,MOD(AW$1-Units!$Q84,12)=0),IF(AND(Units!$L84=1,AW$1=Units!$Q84),IF(Units!$J84&lt;&gt;"",Units!$J84,Mkt!AW85),Inputs!$B$15*Mkt!AW85+(1-Inputs!$B$15)*MIN(Mkt!AW85,AV85*(1+Inputs!$B$18))),AV85)))</f>
        <v>2021.54495</v>
      </c>
      <c r="AX85" s="11" t="n">
        <f aca="false">IF(AX$1&lt;Units!$P84,0,IF(AND(Units!$K84=0,AX$1=Units!$O84),Units!$R84,IF(AND(AX$1&gt;=Units!$Q84,MOD(AX$1-Units!$Q84,12)=0),IF(AND(Units!$L84=1,AX$1=Units!$Q84),IF(Units!$J84&lt;&gt;"",Units!$J84,Mkt!AX85),Inputs!$B$15*Mkt!AX85+(1-Inputs!$B$15)*MIN(Mkt!AX85,AW85*(1+Inputs!$B$18))),AW85)))</f>
        <v>2021.54495</v>
      </c>
      <c r="AY85" s="11" t="n">
        <f aca="false">IF(AY$1&lt;Units!$P84,0,IF(AND(Units!$K84=0,AY$1=Units!$O84),Units!$R84,IF(AND(AY$1&gt;=Units!$Q84,MOD(AY$1-Units!$Q84,12)=0),IF(AND(Units!$L84=1,AY$1=Units!$Q84),IF(Units!$J84&lt;&gt;"",Units!$J84,Mkt!AY85),Inputs!$B$15*Mkt!AY85+(1-Inputs!$B$15)*MIN(Mkt!AY85,AX85*(1+Inputs!$B$18))),AX85)))</f>
        <v>2082.1912985</v>
      </c>
      <c r="AZ85" s="11" t="n">
        <f aca="false">IF(AZ$1&lt;Units!$P84,0,IF(AND(Units!$K84=0,AZ$1=Units!$O84),Units!$R84,IF(AND(AZ$1&gt;=Units!$Q84,MOD(AZ$1-Units!$Q84,12)=0),IF(AND(Units!$L84=1,AZ$1=Units!$Q84),IF(Units!$J84&lt;&gt;"",Units!$J84,Mkt!AZ85),Inputs!$B$15*Mkt!AZ85+(1-Inputs!$B$15)*MIN(Mkt!AZ85,AY85*(1+Inputs!$B$18))),AY85)))</f>
        <v>2082.1912985</v>
      </c>
      <c r="BA85" s="11" t="n">
        <f aca="false">IF(BA$1&lt;Units!$P84,0,IF(AND(Units!$K84=0,BA$1=Units!$O84),Units!$R84,IF(AND(BA$1&gt;=Units!$Q84,MOD(BA$1-Units!$Q84,12)=0),IF(AND(Units!$L84=1,BA$1=Units!$Q84),IF(Units!$J84&lt;&gt;"",Units!$J84,Mkt!BA85),Inputs!$B$15*Mkt!BA85+(1-Inputs!$B$15)*MIN(Mkt!BA85,AZ85*(1+Inputs!$B$18))),AZ85)))</f>
        <v>2082.1912985</v>
      </c>
      <c r="BB85" s="11" t="n">
        <f aca="false">IF(BB$1&lt;Units!$P84,0,IF(AND(Units!$K84=0,BB$1=Units!$O84),Units!$R84,IF(AND(BB$1&gt;=Units!$Q84,MOD(BB$1-Units!$Q84,12)=0),IF(AND(Units!$L84=1,BB$1=Units!$Q84),IF(Units!$J84&lt;&gt;"",Units!$J84,Mkt!BB85),Inputs!$B$15*Mkt!BB85+(1-Inputs!$B$15)*MIN(Mkt!BB85,BA85*(1+Inputs!$B$18))),BA85)))</f>
        <v>2082.1912985</v>
      </c>
      <c r="BC85" s="11" t="n">
        <f aca="false">IF(BC$1&lt;Units!$P84,0,IF(AND(Units!$K84=0,BC$1=Units!$O84),Units!$R84,IF(AND(BC$1&gt;=Units!$Q84,MOD(BC$1-Units!$Q84,12)=0),IF(AND(Units!$L84=1,BC$1=Units!$Q84),IF(Units!$J84&lt;&gt;"",Units!$J84,Mkt!BC85),Inputs!$B$15*Mkt!BC85+(1-Inputs!$B$15)*MIN(Mkt!BC85,BB85*(1+Inputs!$B$18))),BB85)))</f>
        <v>2082.1912985</v>
      </c>
      <c r="BD85" s="11" t="n">
        <f aca="false">IF(BD$1&lt;Units!$P84,0,IF(AND(Units!$K84=0,BD$1=Units!$O84),Units!$R84,IF(AND(BD$1&gt;=Units!$Q84,MOD(BD$1-Units!$Q84,12)=0),IF(AND(Units!$L84=1,BD$1=Units!$Q84),IF(Units!$J84&lt;&gt;"",Units!$J84,Mkt!BD85),Inputs!$B$15*Mkt!BD85+(1-Inputs!$B$15)*MIN(Mkt!BD85,BC85*(1+Inputs!$B$18))),BC85)))</f>
        <v>2082.1912985</v>
      </c>
      <c r="BE85" s="11" t="n">
        <f aca="false">IF(BE$1&lt;Units!$P84,0,IF(AND(Units!$K84=0,BE$1=Units!$O84),Units!$R84,IF(AND(BE$1&gt;=Units!$Q84,MOD(BE$1-Units!$Q84,12)=0),IF(AND(Units!$L84=1,BE$1=Units!$Q84),IF(Units!$J84&lt;&gt;"",Units!$J84,Mkt!BE85),Inputs!$B$15*Mkt!BE85+(1-Inputs!$B$15)*MIN(Mkt!BE85,BD85*(1+Inputs!$B$18))),BD85)))</f>
        <v>2082.1912985</v>
      </c>
      <c r="BF85" s="11" t="n">
        <f aca="false">IF(BF$1&lt;Units!$P84,0,IF(AND(Units!$K84=0,BF$1=Units!$O84),Units!$R84,IF(AND(BF$1&gt;=Units!$Q84,MOD(BF$1-Units!$Q84,12)=0),IF(AND(Units!$L84=1,BF$1=Units!$Q84),IF(Units!$J84&lt;&gt;"",Units!$J84,Mkt!BF85),Inputs!$B$15*Mkt!BF85+(1-Inputs!$B$15)*MIN(Mkt!BF85,BE85*(1+Inputs!$B$18))),BE85)))</f>
        <v>2082.1912985</v>
      </c>
      <c r="BG85" s="11" t="n">
        <f aca="false">IF(BG$1&lt;Units!$P84,0,IF(AND(Units!$K84=0,BG$1=Units!$O84),Units!$R84,IF(AND(BG$1&gt;=Units!$Q84,MOD(BG$1-Units!$Q84,12)=0),IF(AND(Units!$L84=1,BG$1=Units!$Q84),IF(Units!$J84&lt;&gt;"",Units!$J84,Mkt!BG85),Inputs!$B$15*Mkt!BG85+(1-Inputs!$B$15)*MIN(Mkt!BG85,BF85*(1+Inputs!$B$18))),BF85)))</f>
        <v>2082.1912985</v>
      </c>
      <c r="BH85" s="11" t="n">
        <f aca="false">IF(BH$1&lt;Units!$P84,0,IF(AND(Units!$K84=0,BH$1=Units!$O84),Units!$R84,IF(AND(BH$1&gt;=Units!$Q84,MOD(BH$1-Units!$Q84,12)=0),IF(AND(Units!$L84=1,BH$1=Units!$Q84),IF(Units!$J84&lt;&gt;"",Units!$J84,Mkt!BH85),Inputs!$B$15*Mkt!BH85+(1-Inputs!$B$15)*MIN(Mkt!BH85,BG85*(1+Inputs!$B$18))),BG85)))</f>
        <v>2082.1912985</v>
      </c>
      <c r="BI85" s="11" t="n">
        <f aca="false">IF(BI$1&lt;Units!$P84,0,IF(AND(Units!$K84=0,BI$1=Units!$O84),Units!$R84,IF(AND(BI$1&gt;=Units!$Q84,MOD(BI$1-Units!$Q84,12)=0),IF(AND(Units!$L84=1,BI$1=Units!$Q84),IF(Units!$J84&lt;&gt;"",Units!$J84,Mkt!BI85),Inputs!$B$15*Mkt!BI85+(1-Inputs!$B$15)*MIN(Mkt!BI85,BH85*(1+Inputs!$B$18))),BH85)))</f>
        <v>2082.1912985</v>
      </c>
      <c r="BJ85" s="11" t="n">
        <f aca="false">IF(BJ$1&lt;Units!$P84,0,IF(AND(Units!$K84=0,BJ$1=Units!$O84),Units!$R84,IF(AND(BJ$1&gt;=Units!$Q84,MOD(BJ$1-Units!$Q84,12)=0),IF(AND(Units!$L84=1,BJ$1=Units!$Q84),IF(Units!$J84&lt;&gt;"",Units!$J84,Mkt!BJ85),Inputs!$B$15*Mkt!BJ85+(1-Inputs!$B$15)*MIN(Mkt!BJ85,BI85*(1+Inputs!$B$18))),BI85)))</f>
        <v>2082.1912985</v>
      </c>
      <c r="BK85" s="11" t="n">
        <f aca="false">IF(BK$1&lt;Units!$P84,0,IF(AND(Units!$K84=0,BK$1=Units!$O84),Units!$R84,IF(AND(BK$1&gt;=Units!$Q84,MOD(BK$1-Units!$Q84,12)=0),IF(AND(Units!$L84=1,BK$1=Units!$Q84),IF(Units!$J84&lt;&gt;"",Units!$J84,Mkt!BK85),Inputs!$B$15*Mkt!BK85+(1-Inputs!$B$15)*MIN(Mkt!BK85,BJ85*(1+Inputs!$B$18))),BJ85)))</f>
        <v>2144.657037455</v>
      </c>
      <c r="BL85" s="11" t="n">
        <f aca="false">IF(BL$1&lt;Units!$P84,0,IF(AND(Units!$K84=0,BL$1=Units!$O84),Units!$R84,IF(AND(BL$1&gt;=Units!$Q84,MOD(BL$1-Units!$Q84,12)=0),IF(AND(Units!$L84=1,BL$1=Units!$Q84),IF(Units!$J84&lt;&gt;"",Units!$J84,Mkt!BL85),Inputs!$B$15*Mkt!BL85+(1-Inputs!$B$15)*MIN(Mkt!BL85,BK85*(1+Inputs!$B$18))),BK85)))</f>
        <v>2144.657037455</v>
      </c>
      <c r="BM85" s="11" t="n">
        <f aca="false">IF(BM$1&lt;Units!$P84,0,IF(AND(Units!$K84=0,BM$1=Units!$O84),Units!$R84,IF(AND(BM$1&gt;=Units!$Q84,MOD(BM$1-Units!$Q84,12)=0),IF(AND(Units!$L84=1,BM$1=Units!$Q84),IF(Units!$J84&lt;&gt;"",Units!$J84,Mkt!BM85),Inputs!$B$15*Mkt!BM85+(1-Inputs!$B$15)*MIN(Mkt!BM85,BL85*(1+Inputs!$B$18))),BL85)))</f>
        <v>2144.657037455</v>
      </c>
      <c r="BN85" s="11" t="n">
        <f aca="false">IF(BN$1&lt;Units!$P84,0,IF(AND(Units!$K84=0,BN$1=Units!$O84),Units!$R84,IF(AND(BN$1&gt;=Units!$Q84,MOD(BN$1-Units!$Q84,12)=0),IF(AND(Units!$L84=1,BN$1=Units!$Q84),IF(Units!$J84&lt;&gt;"",Units!$J84,Mkt!BN85),Inputs!$B$15*Mkt!BN85+(1-Inputs!$B$15)*MIN(Mkt!BN85,BM85*(1+Inputs!$B$18))),BM85)))</f>
        <v>2144.657037455</v>
      </c>
      <c r="BO85" s="11" t="n">
        <f aca="false">IF(BO$1&lt;Units!$P84,0,IF(AND(Units!$K84=0,BO$1=Units!$O84),Units!$R84,IF(AND(BO$1&gt;=Units!$Q84,MOD(BO$1-Units!$Q84,12)=0),IF(AND(Units!$L84=1,BO$1=Units!$Q84),IF(Units!$J84&lt;&gt;"",Units!$J84,Mkt!BO85),Inputs!$B$15*Mkt!BO85+(1-Inputs!$B$15)*MIN(Mkt!BO85,BN85*(1+Inputs!$B$18))),BN85)))</f>
        <v>2144.657037455</v>
      </c>
      <c r="BP85" s="11" t="n">
        <f aca="false">IF(BP$1&lt;Units!$P84,0,IF(AND(Units!$K84=0,BP$1=Units!$O84),Units!$R84,IF(AND(BP$1&gt;=Units!$Q84,MOD(BP$1-Units!$Q84,12)=0),IF(AND(Units!$L84=1,BP$1=Units!$Q84),IF(Units!$J84&lt;&gt;"",Units!$J84,Mkt!BP85),Inputs!$B$15*Mkt!BP85+(1-Inputs!$B$15)*MIN(Mkt!BP85,BO85*(1+Inputs!$B$18))),BO85)))</f>
        <v>2144.657037455</v>
      </c>
      <c r="BQ85" s="11" t="n">
        <f aca="false">IF(BQ$1&lt;Units!$P84,0,IF(AND(Units!$K84=0,BQ$1=Units!$O84),Units!$R84,IF(AND(BQ$1&gt;=Units!$Q84,MOD(BQ$1-Units!$Q84,12)=0),IF(AND(Units!$L84=1,BQ$1=Units!$Q84),IF(Units!$J84&lt;&gt;"",Units!$J84,Mkt!BQ85),Inputs!$B$15*Mkt!BQ85+(1-Inputs!$B$15)*MIN(Mkt!BQ85,BP85*(1+Inputs!$B$18))),BP85)))</f>
        <v>2144.657037455</v>
      </c>
      <c r="BR85" s="11" t="n">
        <f aca="false">IF(BR$1&lt;Units!$P84,0,IF(AND(Units!$K84=0,BR$1=Units!$O84),Units!$R84,IF(AND(BR$1&gt;=Units!$Q84,MOD(BR$1-Units!$Q84,12)=0),IF(AND(Units!$L84=1,BR$1=Units!$Q84),IF(Units!$J84&lt;&gt;"",Units!$J84,Mkt!BR85),Inputs!$B$15*Mkt!BR85+(1-Inputs!$B$15)*MIN(Mkt!BR85,BQ85*(1+Inputs!$B$18))),BQ85)))</f>
        <v>2144.657037455</v>
      </c>
      <c r="BS85" s="11" t="n">
        <f aca="false">IF(BS$1&lt;Units!$P84,0,IF(AND(Units!$K84=0,BS$1=Units!$O84),Units!$R84,IF(AND(BS$1&gt;=Units!$Q84,MOD(BS$1-Units!$Q84,12)=0),IF(AND(Units!$L84=1,BS$1=Units!$Q84),IF(Units!$J84&lt;&gt;"",Units!$J84,Mkt!BS85),Inputs!$B$15*Mkt!BS85+(1-Inputs!$B$15)*MIN(Mkt!BS85,BR85*(1+Inputs!$B$18))),BR85)))</f>
        <v>2144.657037455</v>
      </c>
      <c r="BT85" s="11" t="n">
        <f aca="false">IF(BT$1&lt;Units!$P84,0,IF(AND(Units!$K84=0,BT$1=Units!$O84),Units!$R84,IF(AND(BT$1&gt;=Units!$Q84,MOD(BT$1-Units!$Q84,12)=0),IF(AND(Units!$L84=1,BT$1=Units!$Q84),IF(Units!$J84&lt;&gt;"",Units!$J84,Mkt!BT85),Inputs!$B$15*Mkt!BT85+(1-Inputs!$B$15)*MIN(Mkt!BT85,BS85*(1+Inputs!$B$18))),BS85)))</f>
        <v>2144.657037455</v>
      </c>
      <c r="BU85" s="11" t="n">
        <f aca="false">IF(BU$1&lt;Units!$P84,0,IF(AND(Units!$K84=0,BU$1=Units!$O84),Units!$R84,IF(AND(BU$1&gt;=Units!$Q84,MOD(BU$1-Units!$Q84,12)=0),IF(AND(Units!$L84=1,BU$1=Units!$Q84),IF(Units!$J84&lt;&gt;"",Units!$J84,Mkt!BU85),Inputs!$B$15*Mkt!BU85+(1-Inputs!$B$15)*MIN(Mkt!BU85,BT85*(1+Inputs!$B$18))),BT85)))</f>
        <v>2144.657037455</v>
      </c>
      <c r="BV85" s="11" t="n">
        <f aca="false">IF(BV$1&lt;Units!$P84,0,IF(AND(Units!$K84=0,BV$1=Units!$O84),Units!$R84,IF(AND(BV$1&gt;=Units!$Q84,MOD(BV$1-Units!$Q84,12)=0),IF(AND(Units!$L84=1,BV$1=Units!$Q84),IF(Units!$J84&lt;&gt;"",Units!$J84,Mkt!BV85),Inputs!$B$15*Mkt!BV85+(1-Inputs!$B$15)*MIN(Mkt!BV85,BU85*(1+Inputs!$B$18))),BU85)))</f>
        <v>2144.657037455</v>
      </c>
      <c r="BW85" s="11" t="n">
        <f aca="false">IF(BW$1&lt;Units!$P84,0,IF(AND(Units!$K84=0,BW$1=Units!$O84),Units!$R84,IF(AND(BW$1&gt;=Units!$Q84,MOD(BW$1-Units!$Q84,12)=0),IF(AND(Units!$L84=1,BW$1=Units!$Q84),IF(Units!$J84&lt;&gt;"",Units!$J84,Mkt!BW85),Inputs!$B$15*Mkt!BW85+(1-Inputs!$B$15)*MIN(Mkt!BW85,BV85*(1+Inputs!$B$18))),BV85)))</f>
        <v>2208.99674857865</v>
      </c>
      <c r="BX85" s="11" t="n">
        <f aca="false">IF(BX$1&lt;Units!$P84,0,IF(AND(Units!$K84=0,BX$1=Units!$O84),Units!$R84,IF(AND(BX$1&gt;=Units!$Q84,MOD(BX$1-Units!$Q84,12)=0),IF(AND(Units!$L84=1,BX$1=Units!$Q84),IF(Units!$J84&lt;&gt;"",Units!$J84,Mkt!BX85),Inputs!$B$15*Mkt!BX85+(1-Inputs!$B$15)*MIN(Mkt!BX85,BW85*(1+Inputs!$B$18))),BW85)))</f>
        <v>2208.99674857865</v>
      </c>
      <c r="BY85" s="11" t="n">
        <f aca="false">IF(BY$1&lt;Units!$P84,0,IF(AND(Units!$K84=0,BY$1=Units!$O84),Units!$R84,IF(AND(BY$1&gt;=Units!$Q84,MOD(BY$1-Units!$Q84,12)=0),IF(AND(Units!$L84=1,BY$1=Units!$Q84),IF(Units!$J84&lt;&gt;"",Units!$J84,Mkt!BY85),Inputs!$B$15*Mkt!BY85+(1-Inputs!$B$15)*MIN(Mkt!BY85,BX85*(1+Inputs!$B$18))),BX85)))</f>
        <v>2208.99674857865</v>
      </c>
      <c r="BZ85" s="11" t="n">
        <f aca="false">IF(BZ$1&lt;Units!$P84,0,IF(AND(Units!$K84=0,BZ$1=Units!$O84),Units!$R84,IF(AND(BZ$1&gt;=Units!$Q84,MOD(BZ$1-Units!$Q84,12)=0),IF(AND(Units!$L84=1,BZ$1=Units!$Q84),IF(Units!$J84&lt;&gt;"",Units!$J84,Mkt!BZ85),Inputs!$B$15*Mkt!BZ85+(1-Inputs!$B$15)*MIN(Mkt!BZ85,BY85*(1+Inputs!$B$18))),BY85)))</f>
        <v>2208.99674857865</v>
      </c>
      <c r="CA85" s="11" t="n">
        <f aca="false">IF(CA$1&lt;Units!$P84,0,IF(AND(Units!$K84=0,CA$1=Units!$O84),Units!$R84,IF(AND(CA$1&gt;=Units!$Q84,MOD(CA$1-Units!$Q84,12)=0),IF(AND(Units!$L84=1,CA$1=Units!$Q84),IF(Units!$J84&lt;&gt;"",Units!$J84,Mkt!CA85),Inputs!$B$15*Mkt!CA85+(1-Inputs!$B$15)*MIN(Mkt!CA85,BZ85*(1+Inputs!$B$18))),BZ85)))</f>
        <v>2208.99674857865</v>
      </c>
      <c r="CB85" s="11" t="n">
        <f aca="false">IF(CB$1&lt;Units!$P84,0,IF(AND(Units!$K84=0,CB$1=Units!$O84),Units!$R84,IF(AND(CB$1&gt;=Units!$Q84,MOD(CB$1-Units!$Q84,12)=0),IF(AND(Units!$L84=1,CB$1=Units!$Q84),IF(Units!$J84&lt;&gt;"",Units!$J84,Mkt!CB85),Inputs!$B$15*Mkt!CB85+(1-Inputs!$B$15)*MIN(Mkt!CB85,CA85*(1+Inputs!$B$18))),CA85)))</f>
        <v>2208.99674857865</v>
      </c>
      <c r="CC85" s="11" t="n">
        <f aca="false">IF(CC$1&lt;Units!$P84,0,IF(AND(Units!$K84=0,CC$1=Units!$O84),Units!$R84,IF(AND(CC$1&gt;=Units!$Q84,MOD(CC$1-Units!$Q84,12)=0),IF(AND(Units!$L84=1,CC$1=Units!$Q84),IF(Units!$J84&lt;&gt;"",Units!$J84,Mkt!CC85),Inputs!$B$15*Mkt!CC85+(1-Inputs!$B$15)*MIN(Mkt!CC85,CB85*(1+Inputs!$B$18))),CB85)))</f>
        <v>2208.99674857865</v>
      </c>
      <c r="CD85" s="11" t="n">
        <f aca="false">IF(CD$1&lt;Units!$P84,0,IF(AND(Units!$K84=0,CD$1=Units!$O84),Units!$R84,IF(AND(CD$1&gt;=Units!$Q84,MOD(CD$1-Units!$Q84,12)=0),IF(AND(Units!$L84=1,CD$1=Units!$Q84),IF(Units!$J84&lt;&gt;"",Units!$J84,Mkt!CD85),Inputs!$B$15*Mkt!CD85+(1-Inputs!$B$15)*MIN(Mkt!CD85,CC85*(1+Inputs!$B$18))),CC85)))</f>
        <v>2208.99674857865</v>
      </c>
      <c r="CE85" s="11" t="n">
        <f aca="false">IF(CE$1&lt;Units!$P84,0,IF(AND(Units!$K84=0,CE$1=Units!$O84),Units!$R84,IF(AND(CE$1&gt;=Units!$Q84,MOD(CE$1-Units!$Q84,12)=0),IF(AND(Units!$L84=1,CE$1=Units!$Q84),IF(Units!$J84&lt;&gt;"",Units!$J84,Mkt!CE85),Inputs!$B$15*Mkt!CE85+(1-Inputs!$B$15)*MIN(Mkt!CE85,CD85*(1+Inputs!$B$18))),CD85)))</f>
        <v>2208.99674857865</v>
      </c>
      <c r="CF85" s="11" t="n">
        <f aca="false">IF(CF$1&lt;Units!$P84,0,IF(AND(Units!$K84=0,CF$1=Units!$O84),Units!$R84,IF(AND(CF$1&gt;=Units!$Q84,MOD(CF$1-Units!$Q84,12)=0),IF(AND(Units!$L84=1,CF$1=Units!$Q84),IF(Units!$J84&lt;&gt;"",Units!$J84,Mkt!CF85),Inputs!$B$15*Mkt!CF85+(1-Inputs!$B$15)*MIN(Mkt!CF85,CE85*(1+Inputs!$B$18))),CE85)))</f>
        <v>2208.99674857865</v>
      </c>
      <c r="CG85" s="11" t="n">
        <f aca="false">IF(CG$1&lt;Units!$P84,0,IF(AND(Units!$K84=0,CG$1=Units!$O84),Units!$R84,IF(AND(CG$1&gt;=Units!$Q84,MOD(CG$1-Units!$Q84,12)=0),IF(AND(Units!$L84=1,CG$1=Units!$Q84),IF(Units!$J84&lt;&gt;"",Units!$J84,Mkt!CG85),Inputs!$B$15*Mkt!CG85+(1-Inputs!$B$15)*MIN(Mkt!CG85,CF85*(1+Inputs!$B$18))),CF85)))</f>
        <v>2208.99674857865</v>
      </c>
      <c r="CH85" s="11" t="n">
        <f aca="false">IF(CH$1&lt;Units!$P84,0,IF(AND(Units!$K84=0,CH$1=Units!$O84),Units!$R84,IF(AND(CH$1&gt;=Units!$Q84,MOD(CH$1-Units!$Q84,12)=0),IF(AND(Units!$L84=1,CH$1=Units!$Q84),IF(Units!$J84&lt;&gt;"",Units!$J84,Mkt!CH85),Inputs!$B$15*Mkt!CH85+(1-Inputs!$B$15)*MIN(Mkt!CH85,CG85*(1+Inputs!$B$18))),CG85)))</f>
        <v>2208.99674857865</v>
      </c>
      <c r="CI85" s="11" t="n">
        <f aca="false">IF(CI$1&lt;Units!$P84,0,IF(AND(Units!$K84=0,CI$1=Units!$O84),Units!$R84,IF(AND(CI$1&gt;=Units!$Q84,MOD(CI$1-Units!$Q84,12)=0),IF(AND(Units!$L84=1,CI$1=Units!$Q84),IF(Units!$J84&lt;&gt;"",Units!$J84,Mkt!CI85),Inputs!$B$15*Mkt!CI85+(1-Inputs!$B$15)*MIN(Mkt!CI85,CH85*(1+Inputs!$B$18))),CH85)))</f>
        <v>2275.26665103601</v>
      </c>
      <c r="CJ85" s="11" t="n">
        <f aca="false">IF(CJ$1&lt;Units!$P84,0,IF(AND(Units!$K84=0,CJ$1=Units!$O84),Units!$R84,IF(AND(CJ$1&gt;=Units!$Q84,MOD(CJ$1-Units!$Q84,12)=0),IF(AND(Units!$L84=1,CJ$1=Units!$Q84),IF(Units!$J84&lt;&gt;"",Units!$J84,Mkt!CJ85),Inputs!$B$15*Mkt!CJ85+(1-Inputs!$B$15)*MIN(Mkt!CJ85,CI85*(1+Inputs!$B$18))),CI85)))</f>
        <v>2275.26665103601</v>
      </c>
      <c r="CK85" s="11" t="n">
        <f aca="false">IF(CK$1&lt;Units!$P84,0,IF(AND(Units!$K84=0,CK$1=Units!$O84),Units!$R84,IF(AND(CK$1&gt;=Units!$Q84,MOD(CK$1-Units!$Q84,12)=0),IF(AND(Units!$L84=1,CK$1=Units!$Q84),IF(Units!$J84&lt;&gt;"",Units!$J84,Mkt!CK85),Inputs!$B$15*Mkt!CK85+(1-Inputs!$B$15)*MIN(Mkt!CK85,CJ85*(1+Inputs!$B$18))),CJ85)))</f>
        <v>2275.26665103601</v>
      </c>
      <c r="CL85" s="11" t="n">
        <f aca="false">IF(CL$1&lt;Units!$P84,0,IF(AND(Units!$K84=0,CL$1=Units!$O84),Units!$R84,IF(AND(CL$1&gt;=Units!$Q84,MOD(CL$1-Units!$Q84,12)=0),IF(AND(Units!$L84=1,CL$1=Units!$Q84),IF(Units!$J84&lt;&gt;"",Units!$J84,Mkt!CL85),Inputs!$B$15*Mkt!CL85+(1-Inputs!$B$15)*MIN(Mkt!CL85,CK85*(1+Inputs!$B$18))),CK85)))</f>
        <v>2275.26665103601</v>
      </c>
      <c r="CM85" s="11" t="n">
        <f aca="false">IF(CM$1&lt;Units!$P84,0,IF(AND(Units!$K84=0,CM$1=Units!$O84),Units!$R84,IF(AND(CM$1&gt;=Units!$Q84,MOD(CM$1-Units!$Q84,12)=0),IF(AND(Units!$L84=1,CM$1=Units!$Q84),IF(Units!$J84&lt;&gt;"",Units!$J84,Mkt!CM85),Inputs!$B$15*Mkt!CM85+(1-Inputs!$B$15)*MIN(Mkt!CM85,CL85*(1+Inputs!$B$18))),CL85)))</f>
        <v>2275.26665103601</v>
      </c>
      <c r="CN85" s="11" t="n">
        <f aca="false">IF(CN$1&lt;Units!$P84,0,IF(AND(Units!$K84=0,CN$1=Units!$O84),Units!$R84,IF(AND(CN$1&gt;=Units!$Q84,MOD(CN$1-Units!$Q84,12)=0),IF(AND(Units!$L84=1,CN$1=Units!$Q84),IF(Units!$J84&lt;&gt;"",Units!$J84,Mkt!CN85),Inputs!$B$15*Mkt!CN85+(1-Inputs!$B$15)*MIN(Mkt!CN85,CM85*(1+Inputs!$B$18))),CM85)))</f>
        <v>2275.26665103601</v>
      </c>
      <c r="CO85" s="11" t="n">
        <f aca="false">IF(CO$1&lt;Units!$P84,0,IF(AND(Units!$K84=0,CO$1=Units!$O84),Units!$R84,IF(AND(CO$1&gt;=Units!$Q84,MOD(CO$1-Units!$Q84,12)=0),IF(AND(Units!$L84=1,CO$1=Units!$Q84),IF(Units!$J84&lt;&gt;"",Units!$J84,Mkt!CO85),Inputs!$B$15*Mkt!CO85+(1-Inputs!$B$15)*MIN(Mkt!CO85,CN85*(1+Inputs!$B$18))),CN85)))</f>
        <v>2275.26665103601</v>
      </c>
      <c r="CP85" s="11" t="n">
        <f aca="false">IF(CP$1&lt;Units!$P84,0,IF(AND(Units!$K84=0,CP$1=Units!$O84),Units!$R84,IF(AND(CP$1&gt;=Units!$Q84,MOD(CP$1-Units!$Q84,12)=0),IF(AND(Units!$L84=1,CP$1=Units!$Q84),IF(Units!$J84&lt;&gt;"",Units!$J84,Mkt!CP85),Inputs!$B$15*Mkt!CP85+(1-Inputs!$B$15)*MIN(Mkt!CP85,CO85*(1+Inputs!$B$18))),CO85)))</f>
        <v>2275.26665103601</v>
      </c>
      <c r="CQ85" s="11" t="n">
        <f aca="false">IF(CQ$1&lt;Units!$P84,0,IF(AND(Units!$K84=0,CQ$1=Units!$O84),Units!$R84,IF(AND(CQ$1&gt;=Units!$Q84,MOD(CQ$1-Units!$Q84,12)=0),IF(AND(Units!$L84=1,CQ$1=Units!$Q84),IF(Units!$J84&lt;&gt;"",Units!$J84,Mkt!CQ85),Inputs!$B$15*Mkt!CQ85+(1-Inputs!$B$15)*MIN(Mkt!CQ85,CP85*(1+Inputs!$B$18))),CP85)))</f>
        <v>2275.26665103601</v>
      </c>
      <c r="CR85" s="11" t="n">
        <f aca="false">IF(CR$1&lt;Units!$P84,0,IF(AND(Units!$K84=0,CR$1=Units!$O84),Units!$R84,IF(AND(CR$1&gt;=Units!$Q84,MOD(CR$1-Units!$Q84,12)=0),IF(AND(Units!$L84=1,CR$1=Units!$Q84),IF(Units!$J84&lt;&gt;"",Units!$J84,Mkt!CR85),Inputs!$B$15*Mkt!CR85+(1-Inputs!$B$15)*MIN(Mkt!CR85,CQ85*(1+Inputs!$B$18))),CQ85)))</f>
        <v>2275.26665103601</v>
      </c>
      <c r="CS85" s="11" t="n">
        <f aca="false">IF(CS$1&lt;Units!$P84,0,IF(AND(Units!$K84=0,CS$1=Units!$O84),Units!$R84,IF(AND(CS$1&gt;=Units!$Q84,MOD(CS$1-Units!$Q84,12)=0),IF(AND(Units!$L84=1,CS$1=Units!$Q84),IF(Units!$J84&lt;&gt;"",Units!$J84,Mkt!CS85),Inputs!$B$15*Mkt!CS85+(1-Inputs!$B$15)*MIN(Mkt!CS85,CR85*(1+Inputs!$B$18))),CR85)))</f>
        <v>2275.26665103601</v>
      </c>
      <c r="CT85" s="11" t="n">
        <f aca="false">IF(CT$1&lt;Units!$P84,0,IF(AND(Units!$K84=0,CT$1=Units!$O84),Units!$R84,IF(AND(CT$1&gt;=Units!$Q84,MOD(CT$1-Units!$Q84,12)=0),IF(AND(Units!$L84=1,CT$1=Units!$Q84),IF(Units!$J84&lt;&gt;"",Units!$J84,Mkt!CT85),Inputs!$B$15*Mkt!CT85+(1-Inputs!$B$15)*MIN(Mkt!CT85,CS85*(1+Inputs!$B$18))),CS85)))</f>
        <v>2275.26665103601</v>
      </c>
      <c r="CU85" s="11" t="n">
        <f aca="false">IF(CU$1&lt;Units!$P84,0,IF(AND(Units!$K84=0,CU$1=Units!$O84),Units!$R84,IF(AND(CU$1&gt;=Units!$Q84,MOD(CU$1-Units!$Q84,12)=0),IF(AND(Units!$L84=1,CU$1=Units!$Q84),IF(Units!$J84&lt;&gt;"",Units!$J84,Mkt!CU85),Inputs!$B$15*Mkt!CU85+(1-Inputs!$B$15)*MIN(Mkt!CU85,CT85*(1+Inputs!$B$18))),CT85)))</f>
        <v>2343.52465056709</v>
      </c>
      <c r="CV85" s="11" t="n">
        <f aca="false">IF(CV$1&lt;Units!$P84,0,IF(AND(Units!$K84=0,CV$1=Units!$O84),Units!$R84,IF(AND(CV$1&gt;=Units!$Q84,MOD(CV$1-Units!$Q84,12)=0),IF(AND(Units!$L84=1,CV$1=Units!$Q84),IF(Units!$J84&lt;&gt;"",Units!$J84,Mkt!CV85),Inputs!$B$15*Mkt!CV85+(1-Inputs!$B$15)*MIN(Mkt!CV85,CU85*(1+Inputs!$B$18))),CU85)))</f>
        <v>2343.52465056709</v>
      </c>
      <c r="CW85" s="11" t="n">
        <f aca="false">IF(CW$1&lt;Units!$P84,0,IF(AND(Units!$K84=0,CW$1=Units!$O84),Units!$R84,IF(AND(CW$1&gt;=Units!$Q84,MOD(CW$1-Units!$Q84,12)=0),IF(AND(Units!$L84=1,CW$1=Units!$Q84),IF(Units!$J84&lt;&gt;"",Units!$J84,Mkt!CW85),Inputs!$B$15*Mkt!CW85+(1-Inputs!$B$15)*MIN(Mkt!CW85,CV85*(1+Inputs!$B$18))),CV85)))</f>
        <v>2343.52465056709</v>
      </c>
      <c r="CX85" s="11" t="n">
        <f aca="false">IF(CX$1&lt;Units!$P84,0,IF(AND(Units!$K84=0,CX$1=Units!$O84),Units!$R84,IF(AND(CX$1&gt;=Units!$Q84,MOD(CX$1-Units!$Q84,12)=0),IF(AND(Units!$L84=1,CX$1=Units!$Q84),IF(Units!$J84&lt;&gt;"",Units!$J84,Mkt!CX85),Inputs!$B$15*Mkt!CX85+(1-Inputs!$B$15)*MIN(Mkt!CX85,CW85*(1+Inputs!$B$18))),CW85)))</f>
        <v>2343.52465056709</v>
      </c>
      <c r="CY85" s="11" t="n">
        <f aca="false">IF(CY$1&lt;Units!$P84,0,IF(AND(Units!$K84=0,CY$1=Units!$O84),Units!$R84,IF(AND(CY$1&gt;=Units!$Q84,MOD(CY$1-Units!$Q84,12)=0),IF(AND(Units!$L84=1,CY$1=Units!$Q84),IF(Units!$J84&lt;&gt;"",Units!$J84,Mkt!CY85),Inputs!$B$15*Mkt!CY85+(1-Inputs!$B$15)*MIN(Mkt!CY85,CX85*(1+Inputs!$B$18))),CX85)))</f>
        <v>2343.52465056709</v>
      </c>
      <c r="CZ85" s="11" t="n">
        <f aca="false">IF(CZ$1&lt;Units!$P84,0,IF(AND(Units!$K84=0,CZ$1=Units!$O84),Units!$R84,IF(AND(CZ$1&gt;=Units!$Q84,MOD(CZ$1-Units!$Q84,12)=0),IF(AND(Units!$L84=1,CZ$1=Units!$Q84),IF(Units!$J84&lt;&gt;"",Units!$J84,Mkt!CZ85),Inputs!$B$15*Mkt!CZ85+(1-Inputs!$B$15)*MIN(Mkt!CZ85,CY85*(1+Inputs!$B$18))),CY85)))</f>
        <v>2343.52465056709</v>
      </c>
      <c r="DA85" s="11" t="n">
        <f aca="false">IF(DA$1&lt;Units!$P84,0,IF(AND(Units!$K84=0,DA$1=Units!$O84),Units!$R84,IF(AND(DA$1&gt;=Units!$Q84,MOD(DA$1-Units!$Q84,12)=0),IF(AND(Units!$L84=1,DA$1=Units!$Q84),IF(Units!$J84&lt;&gt;"",Units!$J84,Mkt!DA85),Inputs!$B$15*Mkt!DA85+(1-Inputs!$B$15)*MIN(Mkt!DA85,CZ85*(1+Inputs!$B$18))),CZ85)))</f>
        <v>2343.52465056709</v>
      </c>
      <c r="DB85" s="11" t="n">
        <f aca="false">IF(DB$1&lt;Units!$P84,0,IF(AND(Units!$K84=0,DB$1=Units!$O84),Units!$R84,IF(AND(DB$1&gt;=Units!$Q84,MOD(DB$1-Units!$Q84,12)=0),IF(AND(Units!$L84=1,DB$1=Units!$Q84),IF(Units!$J84&lt;&gt;"",Units!$J84,Mkt!DB85),Inputs!$B$15*Mkt!DB85+(1-Inputs!$B$15)*MIN(Mkt!DB85,DA85*(1+Inputs!$B$18))),DA85)))</f>
        <v>2343.52465056709</v>
      </c>
      <c r="DC85" s="11" t="n">
        <f aca="false">IF(DC$1&lt;Units!$P84,0,IF(AND(Units!$K84=0,DC$1=Units!$O84),Units!$R84,IF(AND(DC$1&gt;=Units!$Q84,MOD(DC$1-Units!$Q84,12)=0),IF(AND(Units!$L84=1,DC$1=Units!$Q84),IF(Units!$J84&lt;&gt;"",Units!$J84,Mkt!DC85),Inputs!$B$15*Mkt!DC85+(1-Inputs!$B$15)*MIN(Mkt!DC85,DB85*(1+Inputs!$B$18))),DB85)))</f>
        <v>2343.52465056709</v>
      </c>
      <c r="DD85" s="11" t="n">
        <f aca="false">IF(DD$1&lt;Units!$P84,0,IF(AND(Units!$K84=0,DD$1=Units!$O84),Units!$R84,IF(AND(DD$1&gt;=Units!$Q84,MOD(DD$1-Units!$Q84,12)=0),IF(AND(Units!$L84=1,DD$1=Units!$Q84),IF(Units!$J84&lt;&gt;"",Units!$J84,Mkt!DD85),Inputs!$B$15*Mkt!DD85+(1-Inputs!$B$15)*MIN(Mkt!DD85,DC85*(1+Inputs!$B$18))),DC85)))</f>
        <v>2343.52465056709</v>
      </c>
      <c r="DE85" s="11" t="n">
        <f aca="false">IF(DE$1&lt;Units!$P84,0,IF(AND(Units!$K84=0,DE$1=Units!$O84),Units!$R84,IF(AND(DE$1&gt;=Units!$Q84,MOD(DE$1-Units!$Q84,12)=0),IF(AND(Units!$L84=1,DE$1=Units!$Q84),IF(Units!$J84&lt;&gt;"",Units!$J84,Mkt!DE85),Inputs!$B$15*Mkt!DE85+(1-Inputs!$B$15)*MIN(Mkt!DE85,DD85*(1+Inputs!$B$18))),DD85)))</f>
        <v>2343.52465056709</v>
      </c>
      <c r="DF85" s="11" t="n">
        <f aca="false">IF(DF$1&lt;Units!$P84,0,IF(AND(Units!$K84=0,DF$1=Units!$O84),Units!$R84,IF(AND(DF$1&gt;=Units!$Q84,MOD(DF$1-Units!$Q84,12)=0),IF(AND(Units!$L84=1,DF$1=Units!$Q84),IF(Units!$J84&lt;&gt;"",Units!$J84,Mkt!DF85),Inputs!$B$15*Mkt!DF85+(1-Inputs!$B$15)*MIN(Mkt!DF85,DE85*(1+Inputs!$B$18))),DE85)))</f>
        <v>2343.52465056709</v>
      </c>
      <c r="DG85" s="11" t="n">
        <f aca="false">IF(DG$1&lt;Units!$P84,0,IF(AND(Units!$K84=0,DG$1=Units!$O84),Units!$R84,IF(AND(DG$1&gt;=Units!$Q84,MOD(DG$1-Units!$Q84,12)=0),IF(AND(Units!$L84=1,DG$1=Units!$Q84),IF(Units!$J84&lt;&gt;"",Units!$J84,Mkt!DG85),Inputs!$B$15*Mkt!DG85+(1-Inputs!$B$15)*MIN(Mkt!DG85,DF85*(1+Inputs!$B$18))),DF85)))</f>
        <v>2413.8303900841</v>
      </c>
      <c r="DH85" s="11" t="n">
        <f aca="false">IF(DH$1&lt;Units!$P84,0,IF(AND(Units!$K84=0,DH$1=Units!$O84),Units!$R84,IF(AND(DH$1&gt;=Units!$Q84,MOD(DH$1-Units!$Q84,12)=0),IF(AND(Units!$L84=1,DH$1=Units!$Q84),IF(Units!$J84&lt;&gt;"",Units!$J84,Mkt!DH85),Inputs!$B$15*Mkt!DH85+(1-Inputs!$B$15)*MIN(Mkt!DH85,DG85*(1+Inputs!$B$18))),DG85)))</f>
        <v>2413.8303900841</v>
      </c>
      <c r="DI85" s="11" t="n">
        <f aca="false">IF(DI$1&lt;Units!$P84,0,IF(AND(Units!$K84=0,DI$1=Units!$O84),Units!$R84,IF(AND(DI$1&gt;=Units!$Q84,MOD(DI$1-Units!$Q84,12)=0),IF(AND(Units!$L84=1,DI$1=Units!$Q84),IF(Units!$J84&lt;&gt;"",Units!$J84,Mkt!DI85),Inputs!$B$15*Mkt!DI85+(1-Inputs!$B$15)*MIN(Mkt!DI85,DH85*(1+Inputs!$B$18))),DH85)))</f>
        <v>2413.8303900841</v>
      </c>
      <c r="DJ85" s="11" t="n">
        <f aca="false">IF(DJ$1&lt;Units!$P84,0,IF(AND(Units!$K84=0,DJ$1=Units!$O84),Units!$R84,IF(AND(DJ$1&gt;=Units!$Q84,MOD(DJ$1-Units!$Q84,12)=0),IF(AND(Units!$L84=1,DJ$1=Units!$Q84),IF(Units!$J84&lt;&gt;"",Units!$J84,Mkt!DJ85),Inputs!$B$15*Mkt!DJ85+(1-Inputs!$B$15)*MIN(Mkt!DJ85,DI85*(1+Inputs!$B$18))),DI85)))</f>
        <v>2413.8303900841</v>
      </c>
      <c r="DK85" s="11" t="n">
        <f aca="false">IF(DK$1&lt;Units!$P84,0,IF(AND(Units!$K84=0,DK$1=Units!$O84),Units!$R84,IF(AND(DK$1&gt;=Units!$Q84,MOD(DK$1-Units!$Q84,12)=0),IF(AND(Units!$L84=1,DK$1=Units!$Q84),IF(Units!$J84&lt;&gt;"",Units!$J84,Mkt!DK85),Inputs!$B$15*Mkt!DK85+(1-Inputs!$B$15)*MIN(Mkt!DK85,DJ85*(1+Inputs!$B$18))),DJ85)))</f>
        <v>2413.8303900841</v>
      </c>
      <c r="DL85" s="11" t="n">
        <f aca="false">IF(DL$1&lt;Units!$P84,0,IF(AND(Units!$K84=0,DL$1=Units!$O84),Units!$R84,IF(AND(DL$1&gt;=Units!$Q84,MOD(DL$1-Units!$Q84,12)=0),IF(AND(Units!$L84=1,DL$1=Units!$Q84),IF(Units!$J84&lt;&gt;"",Units!$J84,Mkt!DL85),Inputs!$B$15*Mkt!DL85+(1-Inputs!$B$15)*MIN(Mkt!DL85,DK85*(1+Inputs!$B$18))),DK85)))</f>
        <v>2413.8303900841</v>
      </c>
      <c r="DM85" s="11" t="n">
        <f aca="false">IF(DM$1&lt;Units!$P84,0,IF(AND(Units!$K84=0,DM$1=Units!$O84),Units!$R84,IF(AND(DM$1&gt;=Units!$Q84,MOD(DM$1-Units!$Q84,12)=0),IF(AND(Units!$L84=1,DM$1=Units!$Q84),IF(Units!$J84&lt;&gt;"",Units!$J84,Mkt!DM85),Inputs!$B$15*Mkt!DM85+(1-Inputs!$B$15)*MIN(Mkt!DM85,DL85*(1+Inputs!$B$18))),DL85)))</f>
        <v>2413.8303900841</v>
      </c>
      <c r="DN85" s="11" t="n">
        <f aca="false">IF(DN$1&lt;Units!$P84,0,IF(AND(Units!$K84=0,DN$1=Units!$O84),Units!$R84,IF(AND(DN$1&gt;=Units!$Q84,MOD(DN$1-Units!$Q84,12)=0),IF(AND(Units!$L84=1,DN$1=Units!$Q84),IF(Units!$J84&lt;&gt;"",Units!$J84,Mkt!DN85),Inputs!$B$15*Mkt!DN85+(1-Inputs!$B$15)*MIN(Mkt!DN85,DM85*(1+Inputs!$B$18))),DM85)))</f>
        <v>2413.8303900841</v>
      </c>
      <c r="DO85" s="11" t="n">
        <f aca="false">IF(DO$1&lt;Units!$P84,0,IF(AND(Units!$K84=0,DO$1=Units!$O84),Units!$R84,IF(AND(DO$1&gt;=Units!$Q84,MOD(DO$1-Units!$Q84,12)=0),IF(AND(Units!$L84=1,DO$1=Units!$Q84),IF(Units!$J84&lt;&gt;"",Units!$J84,Mkt!DO85),Inputs!$B$15*Mkt!DO85+(1-Inputs!$B$15)*MIN(Mkt!DO85,DN85*(1+Inputs!$B$18))),DN85)))</f>
        <v>2413.8303900841</v>
      </c>
      <c r="DP85" s="11" t="n">
        <f aca="false">IF(DP$1&lt;Units!$P84,0,IF(AND(Units!$K84=0,DP$1=Units!$O84),Units!$R84,IF(AND(DP$1&gt;=Units!$Q84,MOD(DP$1-Units!$Q84,12)=0),IF(AND(Units!$L84=1,DP$1=Units!$Q84),IF(Units!$J84&lt;&gt;"",Units!$J84,Mkt!DP85),Inputs!$B$15*Mkt!DP85+(1-Inputs!$B$15)*MIN(Mkt!DP85,DO85*(1+Inputs!$B$18))),DO85)))</f>
        <v>2413.8303900841</v>
      </c>
      <c r="DQ85" s="11" t="n">
        <f aca="false">IF(DQ$1&lt;Units!$P84,0,IF(AND(Units!$K84=0,DQ$1=Units!$O84),Units!$R84,IF(AND(DQ$1&gt;=Units!$Q84,MOD(DQ$1-Units!$Q84,12)=0),IF(AND(Units!$L84=1,DQ$1=Units!$Q84),IF(Units!$J84&lt;&gt;"",Units!$J84,Mkt!DQ85),Inputs!$B$15*Mkt!DQ85+(1-Inputs!$B$15)*MIN(Mkt!DQ85,DP85*(1+Inputs!$B$18))),DP85)))</f>
        <v>2413.8303900841</v>
      </c>
      <c r="DR85" s="11" t="n">
        <f aca="false">IF(DR$1&lt;Units!$P84,0,IF(AND(Units!$K84=0,DR$1=Units!$O84),Units!$R84,IF(AND(DR$1&gt;=Units!$Q84,MOD(DR$1-Units!$Q84,12)=0),IF(AND(Units!$L84=1,DR$1=Units!$Q84),IF(Units!$J84&lt;&gt;"",Units!$J84,Mkt!DR85),Inputs!$B$15*Mkt!DR85+(1-Inputs!$B$15)*MIN(Mkt!DR85,DQ85*(1+Inputs!$B$18))),DQ85)))</f>
        <v>2413.8303900841</v>
      </c>
      <c r="DS85" s="11" t="n">
        <f aca="false">IF(DS$1&lt;Units!$P84,0,IF(AND(Units!$K84=0,DS$1=Units!$O84),Units!$R84,IF(AND(DS$1&gt;=Units!$Q84,MOD(DS$1-Units!$Q84,12)=0),IF(AND(Units!$L84=1,DS$1=Units!$Q84),IF(Units!$J84&lt;&gt;"",Units!$J84,Mkt!DS85),Inputs!$B$15*Mkt!DS85+(1-Inputs!$B$15)*MIN(Mkt!DS85,DR85*(1+Inputs!$B$18))),DR85)))</f>
        <v>2486.24530178663</v>
      </c>
      <c r="DT85" s="11" t="n">
        <f aca="false">IF(DT$1&lt;Units!$P84,0,IF(AND(Units!$K84=0,DT$1=Units!$O84),Units!$R84,IF(AND(DT$1&gt;=Units!$Q84,MOD(DT$1-Units!$Q84,12)=0),IF(AND(Units!$L84=1,DT$1=Units!$Q84),IF(Units!$J84&lt;&gt;"",Units!$J84,Mkt!DT85),Inputs!$B$15*Mkt!DT85+(1-Inputs!$B$15)*MIN(Mkt!DT85,DS85*(1+Inputs!$B$18))),DS85)))</f>
        <v>2486.24530178663</v>
      </c>
      <c r="DU85" s="11" t="n">
        <f aca="false">IF(DU$1&lt;Units!$P84,0,IF(AND(Units!$K84=0,DU$1=Units!$O84),Units!$R84,IF(AND(DU$1&gt;=Units!$Q84,MOD(DU$1-Units!$Q84,12)=0),IF(AND(Units!$L84=1,DU$1=Units!$Q84),IF(Units!$J84&lt;&gt;"",Units!$J84,Mkt!DU85),Inputs!$B$15*Mkt!DU85+(1-Inputs!$B$15)*MIN(Mkt!DU85,DT85*(1+Inputs!$B$18))),DT85)))</f>
        <v>2486.24530178663</v>
      </c>
      <c r="DV85" s="11" t="n">
        <f aca="false">IF(DV$1&lt;Units!$P84,0,IF(AND(Units!$K84=0,DV$1=Units!$O84),Units!$R84,IF(AND(DV$1&gt;=Units!$Q84,MOD(DV$1-Units!$Q84,12)=0),IF(AND(Units!$L84=1,DV$1=Units!$Q84),IF(Units!$J84&lt;&gt;"",Units!$J84,Mkt!DV85),Inputs!$B$15*Mkt!DV85+(1-Inputs!$B$15)*MIN(Mkt!DV85,DU85*(1+Inputs!$B$18))),DU85)))</f>
        <v>2486.24530178663</v>
      </c>
      <c r="DW85" s="11" t="n">
        <f aca="false">IF(DW$1&lt;Units!$P84,0,IF(AND(Units!$K84=0,DW$1=Units!$O84),Units!$R84,IF(AND(DW$1&gt;=Units!$Q84,MOD(DW$1-Units!$Q84,12)=0),IF(AND(Units!$L84=1,DW$1=Units!$Q84),IF(Units!$J84&lt;&gt;"",Units!$J84,Mkt!DW85),Inputs!$B$15*Mkt!DW85+(1-Inputs!$B$15)*MIN(Mkt!DW85,DV85*(1+Inputs!$B$18))),DV85)))</f>
        <v>2486.24530178663</v>
      </c>
      <c r="DX85" s="11" t="n">
        <f aca="false">IF(DX$1&lt;Units!$P84,0,IF(AND(Units!$K84=0,DX$1=Units!$O84),Units!$R84,IF(AND(DX$1&gt;=Units!$Q84,MOD(DX$1-Units!$Q84,12)=0),IF(AND(Units!$L84=1,DX$1=Units!$Q84),IF(Units!$J84&lt;&gt;"",Units!$J84,Mkt!DX85),Inputs!$B$15*Mkt!DX85+(1-Inputs!$B$15)*MIN(Mkt!DX85,DW85*(1+Inputs!$B$18))),DW85)))</f>
        <v>2486.24530178663</v>
      </c>
      <c r="DY85" s="11" t="n">
        <f aca="false">IF(DY$1&lt;Units!$P84,0,IF(AND(Units!$K84=0,DY$1=Units!$O84),Units!$R84,IF(AND(DY$1&gt;=Units!$Q84,MOD(DY$1-Units!$Q84,12)=0),IF(AND(Units!$L84=1,DY$1=Units!$Q84),IF(Units!$J84&lt;&gt;"",Units!$J84,Mkt!DY85),Inputs!$B$15*Mkt!DY85+(1-Inputs!$B$15)*MIN(Mkt!DY85,DX85*(1+Inputs!$B$18))),DX85)))</f>
        <v>2486.24530178663</v>
      </c>
      <c r="DZ85" s="11" t="n">
        <f aca="false">IF(DZ$1&lt;Units!$P84,0,IF(AND(Units!$K84=0,DZ$1=Units!$O84),Units!$R84,IF(AND(DZ$1&gt;=Units!$Q84,MOD(DZ$1-Units!$Q84,12)=0),IF(AND(Units!$L84=1,DZ$1=Units!$Q84),IF(Units!$J84&lt;&gt;"",Units!$J84,Mkt!DZ85),Inputs!$B$15*Mkt!DZ85+(1-Inputs!$B$15)*MIN(Mkt!DZ85,DY85*(1+Inputs!$B$18))),DY85)))</f>
        <v>2486.24530178663</v>
      </c>
      <c r="EA85" s="11" t="n">
        <f aca="false">IF(EA$1&lt;Units!$P84,0,IF(AND(Units!$K84=0,EA$1=Units!$O84),Units!$R84,IF(AND(EA$1&gt;=Units!$Q84,MOD(EA$1-Units!$Q84,12)=0),IF(AND(Units!$L84=1,EA$1=Units!$Q84),IF(Units!$J84&lt;&gt;"",Units!$J84,Mkt!EA85),Inputs!$B$15*Mkt!EA85+(1-Inputs!$B$15)*MIN(Mkt!EA85,DZ85*(1+Inputs!$B$18))),DZ85)))</f>
        <v>2486.24530178663</v>
      </c>
      <c r="EB85" s="11" t="n">
        <f aca="false">IF(EB$1&lt;Units!$P84,0,IF(AND(Units!$K84=0,EB$1=Units!$O84),Units!$R84,IF(AND(EB$1&gt;=Units!$Q84,MOD(EB$1-Units!$Q84,12)=0),IF(AND(Units!$L84=1,EB$1=Units!$Q84),IF(Units!$J84&lt;&gt;"",Units!$J84,Mkt!EB85),Inputs!$B$15*Mkt!EB85+(1-Inputs!$B$15)*MIN(Mkt!EB85,EA85*(1+Inputs!$B$18))),EA85)))</f>
        <v>2486.24530178663</v>
      </c>
      <c r="EC85" s="11" t="n">
        <f aca="false">IF(EC$1&lt;Units!$P84,0,IF(AND(Units!$K84=0,EC$1=Units!$O84),Units!$R84,IF(AND(EC$1&gt;=Units!$Q84,MOD(EC$1-Units!$Q84,12)=0),IF(AND(Units!$L84=1,EC$1=Units!$Q84),IF(Units!$J84&lt;&gt;"",Units!$J84,Mkt!EC85),Inputs!$B$15*Mkt!EC85+(1-Inputs!$B$15)*MIN(Mkt!EC85,EB85*(1+Inputs!$B$18))),EB85)))</f>
        <v>2486.24530178663</v>
      </c>
      <c r="ED85" s="11" t="n">
        <f aca="false">IF(ED$1&lt;Units!$P84,0,IF(AND(Units!$K84=0,ED$1=Units!$O84),Units!$R84,IF(AND(ED$1&gt;=Units!$Q84,MOD(ED$1-Units!$Q84,12)=0),IF(AND(Units!$L84=1,ED$1=Units!$Q84),IF(Units!$J84&lt;&gt;"",Units!$J84,Mkt!ED85),Inputs!$B$15*Mkt!ED85+(1-Inputs!$B$15)*MIN(Mkt!ED85,EC85*(1+Inputs!$B$18))),EC85)))</f>
        <v>2486.24530178663</v>
      </c>
    </row>
    <row r="86" customFormat="false" ht="15" hidden="false" customHeight="false" outlineLevel="0" collapsed="false">
      <c r="A86" s="22" t="n">
        <f aca="false">Units!A85</f>
        <v>324</v>
      </c>
      <c r="B86" s="24" t="n">
        <f aca="false">IF(Units!K85=1,Units!F85,0)</f>
        <v>1670</v>
      </c>
      <c r="C86" s="11" t="n">
        <f aca="false">IF(C$1&lt;Units!$P85,0,IF(AND(Units!$K85=0,C$1=Units!$O85),Units!$R85,IF(AND(C$1&gt;=Units!$Q85,MOD(C$1-Units!$Q85,12)=0),IF(AND(Units!$L85=1,C$1=Units!$Q85),IF(Units!$J85&lt;&gt;"",Units!$J85,Mkt!C86),Inputs!$B$15*Mkt!C86+(1-Inputs!$B$15)*MIN(Mkt!C86,B86*(1+Inputs!$B$18))),B86)))</f>
        <v>1670</v>
      </c>
      <c r="D86" s="11" t="n">
        <f aca="false">IF(D$1&lt;Units!$P85,0,IF(AND(Units!$K85=0,D$1=Units!$O85),Units!$R85,IF(AND(D$1&gt;=Units!$Q85,MOD(D$1-Units!$Q85,12)=0),IF(AND(Units!$L85=1,D$1=Units!$Q85),IF(Units!$J85&lt;&gt;"",Units!$J85,Mkt!D86),Inputs!$B$15*Mkt!D86+(1-Inputs!$B$15)*MIN(Mkt!D86,C86*(1+Inputs!$B$18))),C86)))</f>
        <v>1670</v>
      </c>
      <c r="E86" s="11" t="n">
        <f aca="false">IF(E$1&lt;Units!$P85,0,IF(AND(Units!$K85=0,E$1=Units!$O85),Units!$R85,IF(AND(E$1&gt;=Units!$Q85,MOD(E$1-Units!$Q85,12)=0),IF(AND(Units!$L85=1,E$1=Units!$Q85),IF(Units!$J85&lt;&gt;"",Units!$J85,Mkt!E86),Inputs!$B$15*Mkt!E86+(1-Inputs!$B$15)*MIN(Mkt!E86,D86*(1+Inputs!$B$18))),D86)))</f>
        <v>1670</v>
      </c>
      <c r="F86" s="11" t="n">
        <f aca="false">IF(F$1&lt;Units!$P85,0,IF(AND(Units!$K85=0,F$1=Units!$O85),Units!$R85,IF(AND(F$1&gt;=Units!$Q85,MOD(F$1-Units!$Q85,12)=0),IF(AND(Units!$L85=1,F$1=Units!$Q85),IF(Units!$J85&lt;&gt;"",Units!$J85,Mkt!F86),Inputs!$B$15*Mkt!F86+(1-Inputs!$B$15)*MIN(Mkt!F86,E86*(1+Inputs!$B$18))),E86)))</f>
        <v>1670</v>
      </c>
      <c r="G86" s="11" t="n">
        <f aca="false">IF(G$1&lt;Units!$P85,0,IF(AND(Units!$K85=0,G$1=Units!$O85),Units!$R85,IF(AND(G$1&gt;=Units!$Q85,MOD(G$1-Units!$Q85,12)=0),IF(AND(Units!$L85=1,G$1=Units!$Q85),IF(Units!$J85&lt;&gt;"",Units!$J85,Mkt!G86),Inputs!$B$15*Mkt!G86+(1-Inputs!$B$15)*MIN(Mkt!G86,F86*(1+Inputs!$B$18))),F86)))</f>
        <v>1670</v>
      </c>
      <c r="H86" s="11" t="n">
        <f aca="false">IF(H$1&lt;Units!$P85,0,IF(AND(Units!$K85=0,H$1=Units!$O85),Units!$R85,IF(AND(H$1&gt;=Units!$Q85,MOD(H$1-Units!$Q85,12)=0),IF(AND(Units!$L85=1,H$1=Units!$Q85),IF(Units!$J85&lt;&gt;"",Units!$J85,Mkt!H86),Inputs!$B$15*Mkt!H86+(1-Inputs!$B$15)*MIN(Mkt!H86,G86*(1+Inputs!$B$18))),G86)))</f>
        <v>1670</v>
      </c>
      <c r="I86" s="11" t="n">
        <f aca="false">IF(I$1&lt;Units!$P85,0,IF(AND(Units!$K85=0,I$1=Units!$O85),Units!$R85,IF(AND(I$1&gt;=Units!$Q85,MOD(I$1-Units!$Q85,12)=0),IF(AND(Units!$L85=1,I$1=Units!$Q85),IF(Units!$J85&lt;&gt;"",Units!$J85,Mkt!I86),Inputs!$B$15*Mkt!I86+(1-Inputs!$B$15)*MIN(Mkt!I86,H86*(1+Inputs!$B$18))),H86)))</f>
        <v>1670</v>
      </c>
      <c r="J86" s="11" t="n">
        <f aca="false">IF(J$1&lt;Units!$P85,0,IF(AND(Units!$K85=0,J$1=Units!$O85),Units!$R85,IF(AND(J$1&gt;=Units!$Q85,MOD(J$1-Units!$Q85,12)=0),IF(AND(Units!$L85=1,J$1=Units!$Q85),IF(Units!$J85&lt;&gt;"",Units!$J85,Mkt!J86),Inputs!$B$15*Mkt!J86+(1-Inputs!$B$15)*MIN(Mkt!J86,I86*(1+Inputs!$B$18))),I86)))</f>
        <v>1670</v>
      </c>
      <c r="K86" s="11" t="n">
        <f aca="false">IF(K$1&lt;Units!$P85,0,IF(AND(Units!$K85=0,K$1=Units!$O85),Units!$R85,IF(AND(K$1&gt;=Units!$Q85,MOD(K$1-Units!$Q85,12)=0),IF(AND(Units!$L85=1,K$1=Units!$Q85),IF(Units!$J85&lt;&gt;"",Units!$J85,Mkt!K86),Inputs!$B$15*Mkt!K86+(1-Inputs!$B$15)*MIN(Mkt!K86,J86*(1+Inputs!$B$18))),J86)))</f>
        <v>1670</v>
      </c>
      <c r="L86" s="11" t="n">
        <f aca="false">IF(L$1&lt;Units!$P85,0,IF(AND(Units!$K85=0,L$1=Units!$O85),Units!$R85,IF(AND(L$1&gt;=Units!$Q85,MOD(L$1-Units!$Q85,12)=0),IF(AND(Units!$L85=1,L$1=Units!$Q85),IF(Units!$J85&lt;&gt;"",Units!$J85,Mkt!L86),Inputs!$B$15*Mkt!L86+(1-Inputs!$B$15)*MIN(Mkt!L86,K86*(1+Inputs!$B$18))),K86)))</f>
        <v>1670</v>
      </c>
      <c r="M86" s="11" t="n">
        <f aca="false">IF(M$1&lt;Units!$P85,0,IF(AND(Units!$K85=0,M$1=Units!$O85),Units!$R85,IF(AND(M$1&gt;=Units!$Q85,MOD(M$1-Units!$Q85,12)=0),IF(AND(Units!$L85=1,M$1=Units!$Q85),IF(Units!$J85&lt;&gt;"",Units!$J85,Mkt!M86),Inputs!$B$15*Mkt!M86+(1-Inputs!$B$15)*MIN(Mkt!M86,L86*(1+Inputs!$B$18))),L86)))</f>
        <v>1670</v>
      </c>
      <c r="N86" s="11" t="n">
        <f aca="false">IF(N$1&lt;Units!$P85,0,IF(AND(Units!$K85=0,N$1=Units!$O85),Units!$R85,IF(AND(N$1&gt;=Units!$Q85,MOD(N$1-Units!$Q85,12)=0),IF(AND(Units!$L85=1,N$1=Units!$Q85),IF(Units!$J85&lt;&gt;"",Units!$J85,Mkt!N86),Inputs!$B$15*Mkt!N86+(1-Inputs!$B$15)*MIN(Mkt!N86,M86*(1+Inputs!$B$18))),M86)))</f>
        <v>1801.75</v>
      </c>
      <c r="O86" s="11" t="n">
        <f aca="false">IF(O$1&lt;Units!$P85,0,IF(AND(Units!$K85=0,O$1=Units!$O85),Units!$R85,IF(AND(O$1&gt;=Units!$Q85,MOD(O$1-Units!$Q85,12)=0),IF(AND(Units!$L85=1,O$1=Units!$Q85),IF(Units!$J85&lt;&gt;"",Units!$J85,Mkt!O86),Inputs!$B$15*Mkt!O86+(1-Inputs!$B$15)*MIN(Mkt!O86,N86*(1+Inputs!$B$18))),N86)))</f>
        <v>1801.75</v>
      </c>
      <c r="P86" s="11" t="n">
        <f aca="false">IF(P$1&lt;Units!$P85,0,IF(AND(Units!$K85=0,P$1=Units!$O85),Units!$R85,IF(AND(P$1&gt;=Units!$Q85,MOD(P$1-Units!$Q85,12)=0),IF(AND(Units!$L85=1,P$1=Units!$Q85),IF(Units!$J85&lt;&gt;"",Units!$J85,Mkt!P86),Inputs!$B$15*Mkt!P86+(1-Inputs!$B$15)*MIN(Mkt!P86,O86*(1+Inputs!$B$18))),O86)))</f>
        <v>1801.75</v>
      </c>
      <c r="Q86" s="11" t="n">
        <f aca="false">IF(Q$1&lt;Units!$P85,0,IF(AND(Units!$K85=0,Q$1=Units!$O85),Units!$R85,IF(AND(Q$1&gt;=Units!$Q85,MOD(Q$1-Units!$Q85,12)=0),IF(AND(Units!$L85=1,Q$1=Units!$Q85),IF(Units!$J85&lt;&gt;"",Units!$J85,Mkt!Q86),Inputs!$B$15*Mkt!Q86+(1-Inputs!$B$15)*MIN(Mkt!Q86,P86*(1+Inputs!$B$18))),P86)))</f>
        <v>1801.75</v>
      </c>
      <c r="R86" s="11" t="n">
        <f aca="false">IF(R$1&lt;Units!$P85,0,IF(AND(Units!$K85=0,R$1=Units!$O85),Units!$R85,IF(AND(R$1&gt;=Units!$Q85,MOD(R$1-Units!$Q85,12)=0),IF(AND(Units!$L85=1,R$1=Units!$Q85),IF(Units!$J85&lt;&gt;"",Units!$J85,Mkt!R86),Inputs!$B$15*Mkt!R86+(1-Inputs!$B$15)*MIN(Mkt!R86,Q86*(1+Inputs!$B$18))),Q86)))</f>
        <v>1801.75</v>
      </c>
      <c r="S86" s="11" t="n">
        <f aca="false">IF(S$1&lt;Units!$P85,0,IF(AND(Units!$K85=0,S$1=Units!$O85),Units!$R85,IF(AND(S$1&gt;=Units!$Q85,MOD(S$1-Units!$Q85,12)=0),IF(AND(Units!$L85=1,S$1=Units!$Q85),IF(Units!$J85&lt;&gt;"",Units!$J85,Mkt!S86),Inputs!$B$15*Mkt!S86+(1-Inputs!$B$15)*MIN(Mkt!S86,R86*(1+Inputs!$B$18))),R86)))</f>
        <v>1801.75</v>
      </c>
      <c r="T86" s="11" t="n">
        <f aca="false">IF(T$1&lt;Units!$P85,0,IF(AND(Units!$K85=0,T$1=Units!$O85),Units!$R85,IF(AND(T$1&gt;=Units!$Q85,MOD(T$1-Units!$Q85,12)=0),IF(AND(Units!$L85=1,T$1=Units!$Q85),IF(Units!$J85&lt;&gt;"",Units!$J85,Mkt!T86),Inputs!$B$15*Mkt!T86+(1-Inputs!$B$15)*MIN(Mkt!T86,S86*(1+Inputs!$B$18))),S86)))</f>
        <v>1801.75</v>
      </c>
      <c r="U86" s="11" t="n">
        <f aca="false">IF(U$1&lt;Units!$P85,0,IF(AND(Units!$K85=0,U$1=Units!$O85),Units!$R85,IF(AND(U$1&gt;=Units!$Q85,MOD(U$1-Units!$Q85,12)=0),IF(AND(Units!$L85=1,U$1=Units!$Q85),IF(Units!$J85&lt;&gt;"",Units!$J85,Mkt!U86),Inputs!$B$15*Mkt!U86+(1-Inputs!$B$15)*MIN(Mkt!U86,T86*(1+Inputs!$B$18))),T86)))</f>
        <v>1801.75</v>
      </c>
      <c r="V86" s="11" t="n">
        <f aca="false">IF(V$1&lt;Units!$P85,0,IF(AND(Units!$K85=0,V$1=Units!$O85),Units!$R85,IF(AND(V$1&gt;=Units!$Q85,MOD(V$1-Units!$Q85,12)=0),IF(AND(Units!$L85=1,V$1=Units!$Q85),IF(Units!$J85&lt;&gt;"",Units!$J85,Mkt!V86),Inputs!$B$15*Mkt!V86+(1-Inputs!$B$15)*MIN(Mkt!V86,U86*(1+Inputs!$B$18))),U86)))</f>
        <v>1801.75</v>
      </c>
      <c r="W86" s="11" t="n">
        <f aca="false">IF(W$1&lt;Units!$P85,0,IF(AND(Units!$K85=0,W$1=Units!$O85),Units!$R85,IF(AND(W$1&gt;=Units!$Q85,MOD(W$1-Units!$Q85,12)=0),IF(AND(Units!$L85=1,W$1=Units!$Q85),IF(Units!$J85&lt;&gt;"",Units!$J85,Mkt!W86),Inputs!$B$15*Mkt!W86+(1-Inputs!$B$15)*MIN(Mkt!W86,V86*(1+Inputs!$B$18))),V86)))</f>
        <v>1801.75</v>
      </c>
      <c r="X86" s="11" t="n">
        <f aca="false">IF(X$1&lt;Units!$P85,0,IF(AND(Units!$K85=0,X$1=Units!$O85),Units!$R85,IF(AND(X$1&gt;=Units!$Q85,MOD(X$1-Units!$Q85,12)=0),IF(AND(Units!$L85=1,X$1=Units!$Q85),IF(Units!$J85&lt;&gt;"",Units!$J85,Mkt!X86),Inputs!$B$15*Mkt!X86+(1-Inputs!$B$15)*MIN(Mkt!X86,W86*(1+Inputs!$B$18))),W86)))</f>
        <v>1801.75</v>
      </c>
      <c r="Y86" s="11" t="n">
        <f aca="false">IF(Y$1&lt;Units!$P85,0,IF(AND(Units!$K85=0,Y$1=Units!$O85),Units!$R85,IF(AND(Y$1&gt;=Units!$Q85,MOD(Y$1-Units!$Q85,12)=0),IF(AND(Units!$L85=1,Y$1=Units!$Q85),IF(Units!$J85&lt;&gt;"",Units!$J85,Mkt!Y86),Inputs!$B$15*Mkt!Y86+(1-Inputs!$B$15)*MIN(Mkt!Y86,X86*(1+Inputs!$B$18))),X86)))</f>
        <v>1801.75</v>
      </c>
      <c r="Z86" s="11" t="n">
        <f aca="false">IF(Z$1&lt;Units!$P85,0,IF(AND(Units!$K85=0,Z$1=Units!$O85),Units!$R85,IF(AND(Z$1&gt;=Units!$Q85,MOD(Z$1-Units!$Q85,12)=0),IF(AND(Units!$L85=1,Z$1=Units!$Q85),IF(Units!$J85&lt;&gt;"",Units!$J85,Mkt!Z86),Inputs!$B$15*Mkt!Z86+(1-Inputs!$B$15)*MIN(Mkt!Z86,Y86*(1+Inputs!$B$18))),Y86)))</f>
        <v>1898.66875</v>
      </c>
      <c r="AA86" s="11" t="n">
        <f aca="false">IF(AA$1&lt;Units!$P85,0,IF(AND(Units!$K85=0,AA$1=Units!$O85),Units!$R85,IF(AND(AA$1&gt;=Units!$Q85,MOD(AA$1-Units!$Q85,12)=0),IF(AND(Units!$L85=1,AA$1=Units!$Q85),IF(Units!$J85&lt;&gt;"",Units!$J85,Mkt!AA86),Inputs!$B$15*Mkt!AA86+(1-Inputs!$B$15)*MIN(Mkt!AA86,Z86*(1+Inputs!$B$18))),Z86)))</f>
        <v>1898.66875</v>
      </c>
      <c r="AB86" s="11" t="n">
        <f aca="false">IF(AB$1&lt;Units!$P85,0,IF(AND(Units!$K85=0,AB$1=Units!$O85),Units!$R85,IF(AND(AB$1&gt;=Units!$Q85,MOD(AB$1-Units!$Q85,12)=0),IF(AND(Units!$L85=1,AB$1=Units!$Q85),IF(Units!$J85&lt;&gt;"",Units!$J85,Mkt!AB86),Inputs!$B$15*Mkt!AB86+(1-Inputs!$B$15)*MIN(Mkt!AB86,AA86*(1+Inputs!$B$18))),AA86)))</f>
        <v>1898.66875</v>
      </c>
      <c r="AC86" s="11" t="n">
        <f aca="false">IF(AC$1&lt;Units!$P85,0,IF(AND(Units!$K85=0,AC$1=Units!$O85),Units!$R85,IF(AND(AC$1&gt;=Units!$Q85,MOD(AC$1-Units!$Q85,12)=0),IF(AND(Units!$L85=1,AC$1=Units!$Q85),IF(Units!$J85&lt;&gt;"",Units!$J85,Mkt!AC86),Inputs!$B$15*Mkt!AC86+(1-Inputs!$B$15)*MIN(Mkt!AC86,AB86*(1+Inputs!$B$18))),AB86)))</f>
        <v>1898.66875</v>
      </c>
      <c r="AD86" s="11" t="n">
        <f aca="false">IF(AD$1&lt;Units!$P85,0,IF(AND(Units!$K85=0,AD$1=Units!$O85),Units!$R85,IF(AND(AD$1&gt;=Units!$Q85,MOD(AD$1-Units!$Q85,12)=0),IF(AND(Units!$L85=1,AD$1=Units!$Q85),IF(Units!$J85&lt;&gt;"",Units!$J85,Mkt!AD86),Inputs!$B$15*Mkt!AD86+(1-Inputs!$B$15)*MIN(Mkt!AD86,AC86*(1+Inputs!$B$18))),AC86)))</f>
        <v>1898.66875</v>
      </c>
      <c r="AE86" s="11" t="n">
        <f aca="false">IF(AE$1&lt;Units!$P85,0,IF(AND(Units!$K85=0,AE$1=Units!$O85),Units!$R85,IF(AND(AE$1&gt;=Units!$Q85,MOD(AE$1-Units!$Q85,12)=0),IF(AND(Units!$L85=1,AE$1=Units!$Q85),IF(Units!$J85&lt;&gt;"",Units!$J85,Mkt!AE86),Inputs!$B$15*Mkt!AE86+(1-Inputs!$B$15)*MIN(Mkt!AE86,AD86*(1+Inputs!$B$18))),AD86)))</f>
        <v>1898.66875</v>
      </c>
      <c r="AF86" s="11" t="n">
        <f aca="false">IF(AF$1&lt;Units!$P85,0,IF(AND(Units!$K85=0,AF$1=Units!$O85),Units!$R85,IF(AND(AF$1&gt;=Units!$Q85,MOD(AF$1-Units!$Q85,12)=0),IF(AND(Units!$L85=1,AF$1=Units!$Q85),IF(Units!$J85&lt;&gt;"",Units!$J85,Mkt!AF86),Inputs!$B$15*Mkt!AF86+(1-Inputs!$B$15)*MIN(Mkt!AF86,AE86*(1+Inputs!$B$18))),AE86)))</f>
        <v>1898.66875</v>
      </c>
      <c r="AG86" s="11" t="n">
        <f aca="false">IF(AG$1&lt;Units!$P85,0,IF(AND(Units!$K85=0,AG$1=Units!$O85),Units!$R85,IF(AND(AG$1&gt;=Units!$Q85,MOD(AG$1-Units!$Q85,12)=0),IF(AND(Units!$L85=1,AG$1=Units!$Q85),IF(Units!$J85&lt;&gt;"",Units!$J85,Mkt!AG86),Inputs!$B$15*Mkt!AG86+(1-Inputs!$B$15)*MIN(Mkt!AG86,AF86*(1+Inputs!$B$18))),AF86)))</f>
        <v>1898.66875</v>
      </c>
      <c r="AH86" s="11" t="n">
        <f aca="false">IF(AH$1&lt;Units!$P85,0,IF(AND(Units!$K85=0,AH$1=Units!$O85),Units!$R85,IF(AND(AH$1&gt;=Units!$Q85,MOD(AH$1-Units!$Q85,12)=0),IF(AND(Units!$L85=1,AH$1=Units!$Q85),IF(Units!$J85&lt;&gt;"",Units!$J85,Mkt!AH86),Inputs!$B$15*Mkt!AH86+(1-Inputs!$B$15)*MIN(Mkt!AH86,AG86*(1+Inputs!$B$18))),AG86)))</f>
        <v>1898.66875</v>
      </c>
      <c r="AI86" s="11" t="n">
        <f aca="false">IF(AI$1&lt;Units!$P85,0,IF(AND(Units!$K85=0,AI$1=Units!$O85),Units!$R85,IF(AND(AI$1&gt;=Units!$Q85,MOD(AI$1-Units!$Q85,12)=0),IF(AND(Units!$L85=1,AI$1=Units!$Q85),IF(Units!$J85&lt;&gt;"",Units!$J85,Mkt!AI86),Inputs!$B$15*Mkt!AI86+(1-Inputs!$B$15)*MIN(Mkt!AI86,AH86*(1+Inputs!$B$18))),AH86)))</f>
        <v>1898.66875</v>
      </c>
      <c r="AJ86" s="11" t="n">
        <f aca="false">IF(AJ$1&lt;Units!$P85,0,IF(AND(Units!$K85=0,AJ$1=Units!$O85),Units!$R85,IF(AND(AJ$1&gt;=Units!$Q85,MOD(AJ$1-Units!$Q85,12)=0),IF(AND(Units!$L85=1,AJ$1=Units!$Q85),IF(Units!$J85&lt;&gt;"",Units!$J85,Mkt!AJ86),Inputs!$B$15*Mkt!AJ86+(1-Inputs!$B$15)*MIN(Mkt!AJ86,AI86*(1+Inputs!$B$18))),AI86)))</f>
        <v>1898.66875</v>
      </c>
      <c r="AK86" s="11" t="n">
        <f aca="false">IF(AK$1&lt;Units!$P85,0,IF(AND(Units!$K85=0,AK$1=Units!$O85),Units!$R85,IF(AND(AK$1&gt;=Units!$Q85,MOD(AK$1-Units!$Q85,12)=0),IF(AND(Units!$L85=1,AK$1=Units!$Q85),IF(Units!$J85&lt;&gt;"",Units!$J85,Mkt!AK86),Inputs!$B$15*Mkt!AK86+(1-Inputs!$B$15)*MIN(Mkt!AK86,AJ86*(1+Inputs!$B$18))),AJ86)))</f>
        <v>1898.66875</v>
      </c>
      <c r="AL86" s="11" t="n">
        <f aca="false">IF(AL$1&lt;Units!$P85,0,IF(AND(Units!$K85=0,AL$1=Units!$O85),Units!$R85,IF(AND(AL$1&gt;=Units!$Q85,MOD(AL$1-Units!$Q85,12)=0),IF(AND(Units!$L85=1,AL$1=Units!$Q85),IF(Units!$J85&lt;&gt;"",Units!$J85,Mkt!AL86),Inputs!$B$15*Mkt!AL86+(1-Inputs!$B$15)*MIN(Mkt!AL86,AK86*(1+Inputs!$B$18))),AK86)))</f>
        <v>1962.665</v>
      </c>
      <c r="AM86" s="11" t="n">
        <f aca="false">IF(AM$1&lt;Units!$P85,0,IF(AND(Units!$K85=0,AM$1=Units!$O85),Units!$R85,IF(AND(AM$1&gt;=Units!$Q85,MOD(AM$1-Units!$Q85,12)=0),IF(AND(Units!$L85=1,AM$1=Units!$Q85),IF(Units!$J85&lt;&gt;"",Units!$J85,Mkt!AM86),Inputs!$B$15*Mkt!AM86+(1-Inputs!$B$15)*MIN(Mkt!AM86,AL86*(1+Inputs!$B$18))),AL86)))</f>
        <v>1962.665</v>
      </c>
      <c r="AN86" s="11" t="n">
        <f aca="false">IF(AN$1&lt;Units!$P85,0,IF(AND(Units!$K85=0,AN$1=Units!$O85),Units!$R85,IF(AND(AN$1&gt;=Units!$Q85,MOD(AN$1-Units!$Q85,12)=0),IF(AND(Units!$L85=1,AN$1=Units!$Q85),IF(Units!$J85&lt;&gt;"",Units!$J85,Mkt!AN86),Inputs!$B$15*Mkt!AN86+(1-Inputs!$B$15)*MIN(Mkt!AN86,AM86*(1+Inputs!$B$18))),AM86)))</f>
        <v>1962.665</v>
      </c>
      <c r="AO86" s="11" t="n">
        <f aca="false">IF(AO$1&lt;Units!$P85,0,IF(AND(Units!$K85=0,AO$1=Units!$O85),Units!$R85,IF(AND(AO$1&gt;=Units!$Q85,MOD(AO$1-Units!$Q85,12)=0),IF(AND(Units!$L85=1,AO$1=Units!$Q85),IF(Units!$J85&lt;&gt;"",Units!$J85,Mkt!AO86),Inputs!$B$15*Mkt!AO86+(1-Inputs!$B$15)*MIN(Mkt!AO86,AN86*(1+Inputs!$B$18))),AN86)))</f>
        <v>1962.665</v>
      </c>
      <c r="AP86" s="11" t="n">
        <f aca="false">IF(AP$1&lt;Units!$P85,0,IF(AND(Units!$K85=0,AP$1=Units!$O85),Units!$R85,IF(AND(AP$1&gt;=Units!$Q85,MOD(AP$1-Units!$Q85,12)=0),IF(AND(Units!$L85=1,AP$1=Units!$Q85),IF(Units!$J85&lt;&gt;"",Units!$J85,Mkt!AP86),Inputs!$B$15*Mkt!AP86+(1-Inputs!$B$15)*MIN(Mkt!AP86,AO86*(1+Inputs!$B$18))),AO86)))</f>
        <v>1962.665</v>
      </c>
      <c r="AQ86" s="11" t="n">
        <f aca="false">IF(AQ$1&lt;Units!$P85,0,IF(AND(Units!$K85=0,AQ$1=Units!$O85),Units!$R85,IF(AND(AQ$1&gt;=Units!$Q85,MOD(AQ$1-Units!$Q85,12)=0),IF(AND(Units!$L85=1,AQ$1=Units!$Q85),IF(Units!$J85&lt;&gt;"",Units!$J85,Mkt!AQ86),Inputs!$B$15*Mkt!AQ86+(1-Inputs!$B$15)*MIN(Mkt!AQ86,AP86*(1+Inputs!$B$18))),AP86)))</f>
        <v>1962.665</v>
      </c>
      <c r="AR86" s="11" t="n">
        <f aca="false">IF(AR$1&lt;Units!$P85,0,IF(AND(Units!$K85=0,AR$1=Units!$O85),Units!$R85,IF(AND(AR$1&gt;=Units!$Q85,MOD(AR$1-Units!$Q85,12)=0),IF(AND(Units!$L85=1,AR$1=Units!$Q85),IF(Units!$J85&lt;&gt;"",Units!$J85,Mkt!AR86),Inputs!$B$15*Mkt!AR86+(1-Inputs!$B$15)*MIN(Mkt!AR86,AQ86*(1+Inputs!$B$18))),AQ86)))</f>
        <v>1962.665</v>
      </c>
      <c r="AS86" s="11" t="n">
        <f aca="false">IF(AS$1&lt;Units!$P85,0,IF(AND(Units!$K85=0,AS$1=Units!$O85),Units!$R85,IF(AND(AS$1&gt;=Units!$Q85,MOD(AS$1-Units!$Q85,12)=0),IF(AND(Units!$L85=1,AS$1=Units!$Q85),IF(Units!$J85&lt;&gt;"",Units!$J85,Mkt!AS86),Inputs!$B$15*Mkt!AS86+(1-Inputs!$B$15)*MIN(Mkt!AS86,AR86*(1+Inputs!$B$18))),AR86)))</f>
        <v>1962.665</v>
      </c>
      <c r="AT86" s="11" t="n">
        <f aca="false">IF(AT$1&lt;Units!$P85,0,IF(AND(Units!$K85=0,AT$1=Units!$O85),Units!$R85,IF(AND(AT$1&gt;=Units!$Q85,MOD(AT$1-Units!$Q85,12)=0),IF(AND(Units!$L85=1,AT$1=Units!$Q85),IF(Units!$J85&lt;&gt;"",Units!$J85,Mkt!AT86),Inputs!$B$15*Mkt!AT86+(1-Inputs!$B$15)*MIN(Mkt!AT86,AS86*(1+Inputs!$B$18))),AS86)))</f>
        <v>1962.665</v>
      </c>
      <c r="AU86" s="11" t="n">
        <f aca="false">IF(AU$1&lt;Units!$P85,0,IF(AND(Units!$K85=0,AU$1=Units!$O85),Units!$R85,IF(AND(AU$1&gt;=Units!$Q85,MOD(AU$1-Units!$Q85,12)=0),IF(AND(Units!$L85=1,AU$1=Units!$Q85),IF(Units!$J85&lt;&gt;"",Units!$J85,Mkt!AU86),Inputs!$B$15*Mkt!AU86+(1-Inputs!$B$15)*MIN(Mkt!AU86,AT86*(1+Inputs!$B$18))),AT86)))</f>
        <v>1962.665</v>
      </c>
      <c r="AV86" s="11" t="n">
        <f aca="false">IF(AV$1&lt;Units!$P85,0,IF(AND(Units!$K85=0,AV$1=Units!$O85),Units!$R85,IF(AND(AV$1&gt;=Units!$Q85,MOD(AV$1-Units!$Q85,12)=0),IF(AND(Units!$L85=1,AV$1=Units!$Q85),IF(Units!$J85&lt;&gt;"",Units!$J85,Mkt!AV86),Inputs!$B$15*Mkt!AV86+(1-Inputs!$B$15)*MIN(Mkt!AV86,AU86*(1+Inputs!$B$18))),AU86)))</f>
        <v>1962.665</v>
      </c>
      <c r="AW86" s="11" t="n">
        <f aca="false">IF(AW$1&lt;Units!$P85,0,IF(AND(Units!$K85=0,AW$1=Units!$O85),Units!$R85,IF(AND(AW$1&gt;=Units!$Q85,MOD(AW$1-Units!$Q85,12)=0),IF(AND(Units!$L85=1,AW$1=Units!$Q85),IF(Units!$J85&lt;&gt;"",Units!$J85,Mkt!AW86),Inputs!$B$15*Mkt!AW86+(1-Inputs!$B$15)*MIN(Mkt!AW86,AV86*(1+Inputs!$B$18))),AV86)))</f>
        <v>1962.665</v>
      </c>
      <c r="AX86" s="11" t="n">
        <f aca="false">IF(AX$1&lt;Units!$P85,0,IF(AND(Units!$K85=0,AX$1=Units!$O85),Units!$R85,IF(AND(AX$1&gt;=Units!$Q85,MOD(AX$1-Units!$Q85,12)=0),IF(AND(Units!$L85=1,AX$1=Units!$Q85),IF(Units!$J85&lt;&gt;"",Units!$J85,Mkt!AX86),Inputs!$B$15*Mkt!AX86+(1-Inputs!$B$15)*MIN(Mkt!AX86,AW86*(1+Inputs!$B$18))),AW86)))</f>
        <v>2021.54495</v>
      </c>
      <c r="AY86" s="11" t="n">
        <f aca="false">IF(AY$1&lt;Units!$P85,0,IF(AND(Units!$K85=0,AY$1=Units!$O85),Units!$R85,IF(AND(AY$1&gt;=Units!$Q85,MOD(AY$1-Units!$Q85,12)=0),IF(AND(Units!$L85=1,AY$1=Units!$Q85),IF(Units!$J85&lt;&gt;"",Units!$J85,Mkt!AY86),Inputs!$B$15*Mkt!AY86+(1-Inputs!$B$15)*MIN(Mkt!AY86,AX86*(1+Inputs!$B$18))),AX86)))</f>
        <v>2021.54495</v>
      </c>
      <c r="AZ86" s="11" t="n">
        <f aca="false">IF(AZ$1&lt;Units!$P85,0,IF(AND(Units!$K85=0,AZ$1=Units!$O85),Units!$R85,IF(AND(AZ$1&gt;=Units!$Q85,MOD(AZ$1-Units!$Q85,12)=0),IF(AND(Units!$L85=1,AZ$1=Units!$Q85),IF(Units!$J85&lt;&gt;"",Units!$J85,Mkt!AZ86),Inputs!$B$15*Mkt!AZ86+(1-Inputs!$B$15)*MIN(Mkt!AZ86,AY86*(1+Inputs!$B$18))),AY86)))</f>
        <v>2021.54495</v>
      </c>
      <c r="BA86" s="11" t="n">
        <f aca="false">IF(BA$1&lt;Units!$P85,0,IF(AND(Units!$K85=0,BA$1=Units!$O85),Units!$R85,IF(AND(BA$1&gt;=Units!$Q85,MOD(BA$1-Units!$Q85,12)=0),IF(AND(Units!$L85=1,BA$1=Units!$Q85),IF(Units!$J85&lt;&gt;"",Units!$J85,Mkt!BA86),Inputs!$B$15*Mkt!BA86+(1-Inputs!$B$15)*MIN(Mkt!BA86,AZ86*(1+Inputs!$B$18))),AZ86)))</f>
        <v>2021.54495</v>
      </c>
      <c r="BB86" s="11" t="n">
        <f aca="false">IF(BB$1&lt;Units!$P85,0,IF(AND(Units!$K85=0,BB$1=Units!$O85),Units!$R85,IF(AND(BB$1&gt;=Units!$Q85,MOD(BB$1-Units!$Q85,12)=0),IF(AND(Units!$L85=1,BB$1=Units!$Q85),IF(Units!$J85&lt;&gt;"",Units!$J85,Mkt!BB86),Inputs!$B$15*Mkt!BB86+(1-Inputs!$B$15)*MIN(Mkt!BB86,BA86*(1+Inputs!$B$18))),BA86)))</f>
        <v>2021.54495</v>
      </c>
      <c r="BC86" s="11" t="n">
        <f aca="false">IF(BC$1&lt;Units!$P85,0,IF(AND(Units!$K85=0,BC$1=Units!$O85),Units!$R85,IF(AND(BC$1&gt;=Units!$Q85,MOD(BC$1-Units!$Q85,12)=0),IF(AND(Units!$L85=1,BC$1=Units!$Q85),IF(Units!$J85&lt;&gt;"",Units!$J85,Mkt!BC86),Inputs!$B$15*Mkt!BC86+(1-Inputs!$B$15)*MIN(Mkt!BC86,BB86*(1+Inputs!$B$18))),BB86)))</f>
        <v>2021.54495</v>
      </c>
      <c r="BD86" s="11" t="n">
        <f aca="false">IF(BD$1&lt;Units!$P85,0,IF(AND(Units!$K85=0,BD$1=Units!$O85),Units!$R85,IF(AND(BD$1&gt;=Units!$Q85,MOD(BD$1-Units!$Q85,12)=0),IF(AND(Units!$L85=1,BD$1=Units!$Q85),IF(Units!$J85&lt;&gt;"",Units!$J85,Mkt!BD86),Inputs!$B$15*Mkt!BD86+(1-Inputs!$B$15)*MIN(Mkt!BD86,BC86*(1+Inputs!$B$18))),BC86)))</f>
        <v>2021.54495</v>
      </c>
      <c r="BE86" s="11" t="n">
        <f aca="false">IF(BE$1&lt;Units!$P85,0,IF(AND(Units!$K85=0,BE$1=Units!$O85),Units!$R85,IF(AND(BE$1&gt;=Units!$Q85,MOD(BE$1-Units!$Q85,12)=0),IF(AND(Units!$L85=1,BE$1=Units!$Q85),IF(Units!$J85&lt;&gt;"",Units!$J85,Mkt!BE86),Inputs!$B$15*Mkt!BE86+(1-Inputs!$B$15)*MIN(Mkt!BE86,BD86*(1+Inputs!$B$18))),BD86)))</f>
        <v>2021.54495</v>
      </c>
      <c r="BF86" s="11" t="n">
        <f aca="false">IF(BF$1&lt;Units!$P85,0,IF(AND(Units!$K85=0,BF$1=Units!$O85),Units!$R85,IF(AND(BF$1&gt;=Units!$Q85,MOD(BF$1-Units!$Q85,12)=0),IF(AND(Units!$L85=1,BF$1=Units!$Q85),IF(Units!$J85&lt;&gt;"",Units!$J85,Mkt!BF86),Inputs!$B$15*Mkt!BF86+(1-Inputs!$B$15)*MIN(Mkt!BF86,BE86*(1+Inputs!$B$18))),BE86)))</f>
        <v>2021.54495</v>
      </c>
      <c r="BG86" s="11" t="n">
        <f aca="false">IF(BG$1&lt;Units!$P85,0,IF(AND(Units!$K85=0,BG$1=Units!$O85),Units!$R85,IF(AND(BG$1&gt;=Units!$Q85,MOD(BG$1-Units!$Q85,12)=0),IF(AND(Units!$L85=1,BG$1=Units!$Q85),IF(Units!$J85&lt;&gt;"",Units!$J85,Mkt!BG86),Inputs!$B$15*Mkt!BG86+(1-Inputs!$B$15)*MIN(Mkt!BG86,BF86*(1+Inputs!$B$18))),BF86)))</f>
        <v>2021.54495</v>
      </c>
      <c r="BH86" s="11" t="n">
        <f aca="false">IF(BH$1&lt;Units!$P85,0,IF(AND(Units!$K85=0,BH$1=Units!$O85),Units!$R85,IF(AND(BH$1&gt;=Units!$Q85,MOD(BH$1-Units!$Q85,12)=0),IF(AND(Units!$L85=1,BH$1=Units!$Q85),IF(Units!$J85&lt;&gt;"",Units!$J85,Mkt!BH86),Inputs!$B$15*Mkt!BH86+(1-Inputs!$B$15)*MIN(Mkt!BH86,BG86*(1+Inputs!$B$18))),BG86)))</f>
        <v>2021.54495</v>
      </c>
      <c r="BI86" s="11" t="n">
        <f aca="false">IF(BI$1&lt;Units!$P85,0,IF(AND(Units!$K85=0,BI$1=Units!$O85),Units!$R85,IF(AND(BI$1&gt;=Units!$Q85,MOD(BI$1-Units!$Q85,12)=0),IF(AND(Units!$L85=1,BI$1=Units!$Q85),IF(Units!$J85&lt;&gt;"",Units!$J85,Mkt!BI86),Inputs!$B$15*Mkt!BI86+(1-Inputs!$B$15)*MIN(Mkt!BI86,BH86*(1+Inputs!$B$18))),BH86)))</f>
        <v>2021.54495</v>
      </c>
      <c r="BJ86" s="11" t="n">
        <f aca="false">IF(BJ$1&lt;Units!$P85,0,IF(AND(Units!$K85=0,BJ$1=Units!$O85),Units!$R85,IF(AND(BJ$1&gt;=Units!$Q85,MOD(BJ$1-Units!$Q85,12)=0),IF(AND(Units!$L85=1,BJ$1=Units!$Q85),IF(Units!$J85&lt;&gt;"",Units!$J85,Mkt!BJ86),Inputs!$B$15*Mkt!BJ86+(1-Inputs!$B$15)*MIN(Mkt!BJ86,BI86*(1+Inputs!$B$18))),BI86)))</f>
        <v>2082.1912985</v>
      </c>
      <c r="BK86" s="11" t="n">
        <f aca="false">IF(BK$1&lt;Units!$P85,0,IF(AND(Units!$K85=0,BK$1=Units!$O85),Units!$R85,IF(AND(BK$1&gt;=Units!$Q85,MOD(BK$1-Units!$Q85,12)=0),IF(AND(Units!$L85=1,BK$1=Units!$Q85),IF(Units!$J85&lt;&gt;"",Units!$J85,Mkt!BK86),Inputs!$B$15*Mkt!BK86+(1-Inputs!$B$15)*MIN(Mkt!BK86,BJ86*(1+Inputs!$B$18))),BJ86)))</f>
        <v>2082.1912985</v>
      </c>
      <c r="BL86" s="11" t="n">
        <f aca="false">IF(BL$1&lt;Units!$P85,0,IF(AND(Units!$K85=0,BL$1=Units!$O85),Units!$R85,IF(AND(BL$1&gt;=Units!$Q85,MOD(BL$1-Units!$Q85,12)=0),IF(AND(Units!$L85=1,BL$1=Units!$Q85),IF(Units!$J85&lt;&gt;"",Units!$J85,Mkt!BL86),Inputs!$B$15*Mkt!BL86+(1-Inputs!$B$15)*MIN(Mkt!BL86,BK86*(1+Inputs!$B$18))),BK86)))</f>
        <v>2082.1912985</v>
      </c>
      <c r="BM86" s="11" t="n">
        <f aca="false">IF(BM$1&lt;Units!$P85,0,IF(AND(Units!$K85=0,BM$1=Units!$O85),Units!$R85,IF(AND(BM$1&gt;=Units!$Q85,MOD(BM$1-Units!$Q85,12)=0),IF(AND(Units!$L85=1,BM$1=Units!$Q85),IF(Units!$J85&lt;&gt;"",Units!$J85,Mkt!BM86),Inputs!$B$15*Mkt!BM86+(1-Inputs!$B$15)*MIN(Mkt!BM86,BL86*(1+Inputs!$B$18))),BL86)))</f>
        <v>2082.1912985</v>
      </c>
      <c r="BN86" s="11" t="n">
        <f aca="false">IF(BN$1&lt;Units!$P85,0,IF(AND(Units!$K85=0,BN$1=Units!$O85),Units!$R85,IF(AND(BN$1&gt;=Units!$Q85,MOD(BN$1-Units!$Q85,12)=0),IF(AND(Units!$L85=1,BN$1=Units!$Q85),IF(Units!$J85&lt;&gt;"",Units!$J85,Mkt!BN86),Inputs!$B$15*Mkt!BN86+(1-Inputs!$B$15)*MIN(Mkt!BN86,BM86*(1+Inputs!$B$18))),BM86)))</f>
        <v>2082.1912985</v>
      </c>
      <c r="BO86" s="11" t="n">
        <f aca="false">IF(BO$1&lt;Units!$P85,0,IF(AND(Units!$K85=0,BO$1=Units!$O85),Units!$R85,IF(AND(BO$1&gt;=Units!$Q85,MOD(BO$1-Units!$Q85,12)=0),IF(AND(Units!$L85=1,BO$1=Units!$Q85),IF(Units!$J85&lt;&gt;"",Units!$J85,Mkt!BO86),Inputs!$B$15*Mkt!BO86+(1-Inputs!$B$15)*MIN(Mkt!BO86,BN86*(1+Inputs!$B$18))),BN86)))</f>
        <v>2082.1912985</v>
      </c>
      <c r="BP86" s="11" t="n">
        <f aca="false">IF(BP$1&lt;Units!$P85,0,IF(AND(Units!$K85=0,BP$1=Units!$O85),Units!$R85,IF(AND(BP$1&gt;=Units!$Q85,MOD(BP$1-Units!$Q85,12)=0),IF(AND(Units!$L85=1,BP$1=Units!$Q85),IF(Units!$J85&lt;&gt;"",Units!$J85,Mkt!BP86),Inputs!$B$15*Mkt!BP86+(1-Inputs!$B$15)*MIN(Mkt!BP86,BO86*(1+Inputs!$B$18))),BO86)))</f>
        <v>2082.1912985</v>
      </c>
      <c r="BQ86" s="11" t="n">
        <f aca="false">IF(BQ$1&lt;Units!$P85,0,IF(AND(Units!$K85=0,BQ$1=Units!$O85),Units!$R85,IF(AND(BQ$1&gt;=Units!$Q85,MOD(BQ$1-Units!$Q85,12)=0),IF(AND(Units!$L85=1,BQ$1=Units!$Q85),IF(Units!$J85&lt;&gt;"",Units!$J85,Mkt!BQ86),Inputs!$B$15*Mkt!BQ86+(1-Inputs!$B$15)*MIN(Mkt!BQ86,BP86*(1+Inputs!$B$18))),BP86)))</f>
        <v>2082.1912985</v>
      </c>
      <c r="BR86" s="11" t="n">
        <f aca="false">IF(BR$1&lt;Units!$P85,0,IF(AND(Units!$K85=0,BR$1=Units!$O85),Units!$R85,IF(AND(BR$1&gt;=Units!$Q85,MOD(BR$1-Units!$Q85,12)=0),IF(AND(Units!$L85=1,BR$1=Units!$Q85),IF(Units!$J85&lt;&gt;"",Units!$J85,Mkt!BR86),Inputs!$B$15*Mkt!BR86+(1-Inputs!$B$15)*MIN(Mkt!BR86,BQ86*(1+Inputs!$B$18))),BQ86)))</f>
        <v>2082.1912985</v>
      </c>
      <c r="BS86" s="11" t="n">
        <f aca="false">IF(BS$1&lt;Units!$P85,0,IF(AND(Units!$K85=0,BS$1=Units!$O85),Units!$R85,IF(AND(BS$1&gt;=Units!$Q85,MOD(BS$1-Units!$Q85,12)=0),IF(AND(Units!$L85=1,BS$1=Units!$Q85),IF(Units!$J85&lt;&gt;"",Units!$J85,Mkt!BS86),Inputs!$B$15*Mkt!BS86+(1-Inputs!$B$15)*MIN(Mkt!BS86,BR86*(1+Inputs!$B$18))),BR86)))</f>
        <v>2082.1912985</v>
      </c>
      <c r="BT86" s="11" t="n">
        <f aca="false">IF(BT$1&lt;Units!$P85,0,IF(AND(Units!$K85=0,BT$1=Units!$O85),Units!$R85,IF(AND(BT$1&gt;=Units!$Q85,MOD(BT$1-Units!$Q85,12)=0),IF(AND(Units!$L85=1,BT$1=Units!$Q85),IF(Units!$J85&lt;&gt;"",Units!$J85,Mkt!BT86),Inputs!$B$15*Mkt!BT86+(1-Inputs!$B$15)*MIN(Mkt!BT86,BS86*(1+Inputs!$B$18))),BS86)))</f>
        <v>2082.1912985</v>
      </c>
      <c r="BU86" s="11" t="n">
        <f aca="false">IF(BU$1&lt;Units!$P85,0,IF(AND(Units!$K85=0,BU$1=Units!$O85),Units!$R85,IF(AND(BU$1&gt;=Units!$Q85,MOD(BU$1-Units!$Q85,12)=0),IF(AND(Units!$L85=1,BU$1=Units!$Q85),IF(Units!$J85&lt;&gt;"",Units!$J85,Mkt!BU86),Inputs!$B$15*Mkt!BU86+(1-Inputs!$B$15)*MIN(Mkt!BU86,BT86*(1+Inputs!$B$18))),BT86)))</f>
        <v>2082.1912985</v>
      </c>
      <c r="BV86" s="11" t="n">
        <f aca="false">IF(BV$1&lt;Units!$P85,0,IF(AND(Units!$K85=0,BV$1=Units!$O85),Units!$R85,IF(AND(BV$1&gt;=Units!$Q85,MOD(BV$1-Units!$Q85,12)=0),IF(AND(Units!$L85=1,BV$1=Units!$Q85),IF(Units!$J85&lt;&gt;"",Units!$J85,Mkt!BV86),Inputs!$B$15*Mkt!BV86+(1-Inputs!$B$15)*MIN(Mkt!BV86,BU86*(1+Inputs!$B$18))),BU86)))</f>
        <v>2144.657037455</v>
      </c>
      <c r="BW86" s="11" t="n">
        <f aca="false">IF(BW$1&lt;Units!$P85,0,IF(AND(Units!$K85=0,BW$1=Units!$O85),Units!$R85,IF(AND(BW$1&gt;=Units!$Q85,MOD(BW$1-Units!$Q85,12)=0),IF(AND(Units!$L85=1,BW$1=Units!$Q85),IF(Units!$J85&lt;&gt;"",Units!$J85,Mkt!BW86),Inputs!$B$15*Mkt!BW86+(1-Inputs!$B$15)*MIN(Mkt!BW86,BV86*(1+Inputs!$B$18))),BV86)))</f>
        <v>2144.657037455</v>
      </c>
      <c r="BX86" s="11" t="n">
        <f aca="false">IF(BX$1&lt;Units!$P85,0,IF(AND(Units!$K85=0,BX$1=Units!$O85),Units!$R85,IF(AND(BX$1&gt;=Units!$Q85,MOD(BX$1-Units!$Q85,12)=0),IF(AND(Units!$L85=1,BX$1=Units!$Q85),IF(Units!$J85&lt;&gt;"",Units!$J85,Mkt!BX86),Inputs!$B$15*Mkt!BX86+(1-Inputs!$B$15)*MIN(Mkt!BX86,BW86*(1+Inputs!$B$18))),BW86)))</f>
        <v>2144.657037455</v>
      </c>
      <c r="BY86" s="11" t="n">
        <f aca="false">IF(BY$1&lt;Units!$P85,0,IF(AND(Units!$K85=0,BY$1=Units!$O85),Units!$R85,IF(AND(BY$1&gt;=Units!$Q85,MOD(BY$1-Units!$Q85,12)=0),IF(AND(Units!$L85=1,BY$1=Units!$Q85),IF(Units!$J85&lt;&gt;"",Units!$J85,Mkt!BY86),Inputs!$B$15*Mkt!BY86+(1-Inputs!$B$15)*MIN(Mkt!BY86,BX86*(1+Inputs!$B$18))),BX86)))</f>
        <v>2144.657037455</v>
      </c>
      <c r="BZ86" s="11" t="n">
        <f aca="false">IF(BZ$1&lt;Units!$P85,0,IF(AND(Units!$K85=0,BZ$1=Units!$O85),Units!$R85,IF(AND(BZ$1&gt;=Units!$Q85,MOD(BZ$1-Units!$Q85,12)=0),IF(AND(Units!$L85=1,BZ$1=Units!$Q85),IF(Units!$J85&lt;&gt;"",Units!$J85,Mkt!BZ86),Inputs!$B$15*Mkt!BZ86+(1-Inputs!$B$15)*MIN(Mkt!BZ86,BY86*(1+Inputs!$B$18))),BY86)))</f>
        <v>2144.657037455</v>
      </c>
      <c r="CA86" s="11" t="n">
        <f aca="false">IF(CA$1&lt;Units!$P85,0,IF(AND(Units!$K85=0,CA$1=Units!$O85),Units!$R85,IF(AND(CA$1&gt;=Units!$Q85,MOD(CA$1-Units!$Q85,12)=0),IF(AND(Units!$L85=1,CA$1=Units!$Q85),IF(Units!$J85&lt;&gt;"",Units!$J85,Mkt!CA86),Inputs!$B$15*Mkt!CA86+(1-Inputs!$B$15)*MIN(Mkt!CA86,BZ86*(1+Inputs!$B$18))),BZ86)))</f>
        <v>2144.657037455</v>
      </c>
      <c r="CB86" s="11" t="n">
        <f aca="false">IF(CB$1&lt;Units!$P85,0,IF(AND(Units!$K85=0,CB$1=Units!$O85),Units!$R85,IF(AND(CB$1&gt;=Units!$Q85,MOD(CB$1-Units!$Q85,12)=0),IF(AND(Units!$L85=1,CB$1=Units!$Q85),IF(Units!$J85&lt;&gt;"",Units!$J85,Mkt!CB86),Inputs!$B$15*Mkt!CB86+(1-Inputs!$B$15)*MIN(Mkt!CB86,CA86*(1+Inputs!$B$18))),CA86)))</f>
        <v>2144.657037455</v>
      </c>
      <c r="CC86" s="11" t="n">
        <f aca="false">IF(CC$1&lt;Units!$P85,0,IF(AND(Units!$K85=0,CC$1=Units!$O85),Units!$R85,IF(AND(CC$1&gt;=Units!$Q85,MOD(CC$1-Units!$Q85,12)=0),IF(AND(Units!$L85=1,CC$1=Units!$Q85),IF(Units!$J85&lt;&gt;"",Units!$J85,Mkt!CC86),Inputs!$B$15*Mkt!CC86+(1-Inputs!$B$15)*MIN(Mkt!CC86,CB86*(1+Inputs!$B$18))),CB86)))</f>
        <v>2144.657037455</v>
      </c>
      <c r="CD86" s="11" t="n">
        <f aca="false">IF(CD$1&lt;Units!$P85,0,IF(AND(Units!$K85=0,CD$1=Units!$O85),Units!$R85,IF(AND(CD$1&gt;=Units!$Q85,MOD(CD$1-Units!$Q85,12)=0),IF(AND(Units!$L85=1,CD$1=Units!$Q85),IF(Units!$J85&lt;&gt;"",Units!$J85,Mkt!CD86),Inputs!$B$15*Mkt!CD86+(1-Inputs!$B$15)*MIN(Mkt!CD86,CC86*(1+Inputs!$B$18))),CC86)))</f>
        <v>2144.657037455</v>
      </c>
      <c r="CE86" s="11" t="n">
        <f aca="false">IF(CE$1&lt;Units!$P85,0,IF(AND(Units!$K85=0,CE$1=Units!$O85),Units!$R85,IF(AND(CE$1&gt;=Units!$Q85,MOD(CE$1-Units!$Q85,12)=0),IF(AND(Units!$L85=1,CE$1=Units!$Q85),IF(Units!$J85&lt;&gt;"",Units!$J85,Mkt!CE86),Inputs!$B$15*Mkt!CE86+(1-Inputs!$B$15)*MIN(Mkt!CE86,CD86*(1+Inputs!$B$18))),CD86)))</f>
        <v>2144.657037455</v>
      </c>
      <c r="CF86" s="11" t="n">
        <f aca="false">IF(CF$1&lt;Units!$P85,0,IF(AND(Units!$K85=0,CF$1=Units!$O85),Units!$R85,IF(AND(CF$1&gt;=Units!$Q85,MOD(CF$1-Units!$Q85,12)=0),IF(AND(Units!$L85=1,CF$1=Units!$Q85),IF(Units!$J85&lt;&gt;"",Units!$J85,Mkt!CF86),Inputs!$B$15*Mkt!CF86+(1-Inputs!$B$15)*MIN(Mkt!CF86,CE86*(1+Inputs!$B$18))),CE86)))</f>
        <v>2144.657037455</v>
      </c>
      <c r="CG86" s="11" t="n">
        <f aca="false">IF(CG$1&lt;Units!$P85,0,IF(AND(Units!$K85=0,CG$1=Units!$O85),Units!$R85,IF(AND(CG$1&gt;=Units!$Q85,MOD(CG$1-Units!$Q85,12)=0),IF(AND(Units!$L85=1,CG$1=Units!$Q85),IF(Units!$J85&lt;&gt;"",Units!$J85,Mkt!CG86),Inputs!$B$15*Mkt!CG86+(1-Inputs!$B$15)*MIN(Mkt!CG86,CF86*(1+Inputs!$B$18))),CF86)))</f>
        <v>2144.657037455</v>
      </c>
      <c r="CH86" s="11" t="n">
        <f aca="false">IF(CH$1&lt;Units!$P85,0,IF(AND(Units!$K85=0,CH$1=Units!$O85),Units!$R85,IF(AND(CH$1&gt;=Units!$Q85,MOD(CH$1-Units!$Q85,12)=0),IF(AND(Units!$L85=1,CH$1=Units!$Q85),IF(Units!$J85&lt;&gt;"",Units!$J85,Mkt!CH86),Inputs!$B$15*Mkt!CH86+(1-Inputs!$B$15)*MIN(Mkt!CH86,CG86*(1+Inputs!$B$18))),CG86)))</f>
        <v>2208.99674857865</v>
      </c>
      <c r="CI86" s="11" t="n">
        <f aca="false">IF(CI$1&lt;Units!$P85,0,IF(AND(Units!$K85=0,CI$1=Units!$O85),Units!$R85,IF(AND(CI$1&gt;=Units!$Q85,MOD(CI$1-Units!$Q85,12)=0),IF(AND(Units!$L85=1,CI$1=Units!$Q85),IF(Units!$J85&lt;&gt;"",Units!$J85,Mkt!CI86),Inputs!$B$15*Mkt!CI86+(1-Inputs!$B$15)*MIN(Mkt!CI86,CH86*(1+Inputs!$B$18))),CH86)))</f>
        <v>2208.99674857865</v>
      </c>
      <c r="CJ86" s="11" t="n">
        <f aca="false">IF(CJ$1&lt;Units!$P85,0,IF(AND(Units!$K85=0,CJ$1=Units!$O85),Units!$R85,IF(AND(CJ$1&gt;=Units!$Q85,MOD(CJ$1-Units!$Q85,12)=0),IF(AND(Units!$L85=1,CJ$1=Units!$Q85),IF(Units!$J85&lt;&gt;"",Units!$J85,Mkt!CJ86),Inputs!$B$15*Mkt!CJ86+(1-Inputs!$B$15)*MIN(Mkt!CJ86,CI86*(1+Inputs!$B$18))),CI86)))</f>
        <v>2208.99674857865</v>
      </c>
      <c r="CK86" s="11" t="n">
        <f aca="false">IF(CK$1&lt;Units!$P85,0,IF(AND(Units!$K85=0,CK$1=Units!$O85),Units!$R85,IF(AND(CK$1&gt;=Units!$Q85,MOD(CK$1-Units!$Q85,12)=0),IF(AND(Units!$L85=1,CK$1=Units!$Q85),IF(Units!$J85&lt;&gt;"",Units!$J85,Mkt!CK86),Inputs!$B$15*Mkt!CK86+(1-Inputs!$B$15)*MIN(Mkt!CK86,CJ86*(1+Inputs!$B$18))),CJ86)))</f>
        <v>2208.99674857865</v>
      </c>
      <c r="CL86" s="11" t="n">
        <f aca="false">IF(CL$1&lt;Units!$P85,0,IF(AND(Units!$K85=0,CL$1=Units!$O85),Units!$R85,IF(AND(CL$1&gt;=Units!$Q85,MOD(CL$1-Units!$Q85,12)=0),IF(AND(Units!$L85=1,CL$1=Units!$Q85),IF(Units!$J85&lt;&gt;"",Units!$J85,Mkt!CL86),Inputs!$B$15*Mkt!CL86+(1-Inputs!$B$15)*MIN(Mkt!CL86,CK86*(1+Inputs!$B$18))),CK86)))</f>
        <v>2208.99674857865</v>
      </c>
      <c r="CM86" s="11" t="n">
        <f aca="false">IF(CM$1&lt;Units!$P85,0,IF(AND(Units!$K85=0,CM$1=Units!$O85),Units!$R85,IF(AND(CM$1&gt;=Units!$Q85,MOD(CM$1-Units!$Q85,12)=0),IF(AND(Units!$L85=1,CM$1=Units!$Q85),IF(Units!$J85&lt;&gt;"",Units!$J85,Mkt!CM86),Inputs!$B$15*Mkt!CM86+(1-Inputs!$B$15)*MIN(Mkt!CM86,CL86*(1+Inputs!$B$18))),CL86)))</f>
        <v>2208.99674857865</v>
      </c>
      <c r="CN86" s="11" t="n">
        <f aca="false">IF(CN$1&lt;Units!$P85,0,IF(AND(Units!$K85=0,CN$1=Units!$O85),Units!$R85,IF(AND(CN$1&gt;=Units!$Q85,MOD(CN$1-Units!$Q85,12)=0),IF(AND(Units!$L85=1,CN$1=Units!$Q85),IF(Units!$J85&lt;&gt;"",Units!$J85,Mkt!CN86),Inputs!$B$15*Mkt!CN86+(1-Inputs!$B$15)*MIN(Mkt!CN86,CM86*(1+Inputs!$B$18))),CM86)))</f>
        <v>2208.99674857865</v>
      </c>
      <c r="CO86" s="11" t="n">
        <f aca="false">IF(CO$1&lt;Units!$P85,0,IF(AND(Units!$K85=0,CO$1=Units!$O85),Units!$R85,IF(AND(CO$1&gt;=Units!$Q85,MOD(CO$1-Units!$Q85,12)=0),IF(AND(Units!$L85=1,CO$1=Units!$Q85),IF(Units!$J85&lt;&gt;"",Units!$J85,Mkt!CO86),Inputs!$B$15*Mkt!CO86+(1-Inputs!$B$15)*MIN(Mkt!CO86,CN86*(1+Inputs!$B$18))),CN86)))</f>
        <v>2208.99674857865</v>
      </c>
      <c r="CP86" s="11" t="n">
        <f aca="false">IF(CP$1&lt;Units!$P85,0,IF(AND(Units!$K85=0,CP$1=Units!$O85),Units!$R85,IF(AND(CP$1&gt;=Units!$Q85,MOD(CP$1-Units!$Q85,12)=0),IF(AND(Units!$L85=1,CP$1=Units!$Q85),IF(Units!$J85&lt;&gt;"",Units!$J85,Mkt!CP86),Inputs!$B$15*Mkt!CP86+(1-Inputs!$B$15)*MIN(Mkt!CP86,CO86*(1+Inputs!$B$18))),CO86)))</f>
        <v>2208.99674857865</v>
      </c>
      <c r="CQ86" s="11" t="n">
        <f aca="false">IF(CQ$1&lt;Units!$P85,0,IF(AND(Units!$K85=0,CQ$1=Units!$O85),Units!$R85,IF(AND(CQ$1&gt;=Units!$Q85,MOD(CQ$1-Units!$Q85,12)=0),IF(AND(Units!$L85=1,CQ$1=Units!$Q85),IF(Units!$J85&lt;&gt;"",Units!$J85,Mkt!CQ86),Inputs!$B$15*Mkt!CQ86+(1-Inputs!$B$15)*MIN(Mkt!CQ86,CP86*(1+Inputs!$B$18))),CP86)))</f>
        <v>2208.99674857865</v>
      </c>
      <c r="CR86" s="11" t="n">
        <f aca="false">IF(CR$1&lt;Units!$P85,0,IF(AND(Units!$K85=0,CR$1=Units!$O85),Units!$R85,IF(AND(CR$1&gt;=Units!$Q85,MOD(CR$1-Units!$Q85,12)=0),IF(AND(Units!$L85=1,CR$1=Units!$Q85),IF(Units!$J85&lt;&gt;"",Units!$J85,Mkt!CR86),Inputs!$B$15*Mkt!CR86+(1-Inputs!$B$15)*MIN(Mkt!CR86,CQ86*(1+Inputs!$B$18))),CQ86)))</f>
        <v>2208.99674857865</v>
      </c>
      <c r="CS86" s="11" t="n">
        <f aca="false">IF(CS$1&lt;Units!$P85,0,IF(AND(Units!$K85=0,CS$1=Units!$O85),Units!$R85,IF(AND(CS$1&gt;=Units!$Q85,MOD(CS$1-Units!$Q85,12)=0),IF(AND(Units!$L85=1,CS$1=Units!$Q85),IF(Units!$J85&lt;&gt;"",Units!$J85,Mkt!CS86),Inputs!$B$15*Mkt!CS86+(1-Inputs!$B$15)*MIN(Mkt!CS86,CR86*(1+Inputs!$B$18))),CR86)))</f>
        <v>2208.99674857865</v>
      </c>
      <c r="CT86" s="11" t="n">
        <f aca="false">IF(CT$1&lt;Units!$P85,0,IF(AND(Units!$K85=0,CT$1=Units!$O85),Units!$R85,IF(AND(CT$1&gt;=Units!$Q85,MOD(CT$1-Units!$Q85,12)=0),IF(AND(Units!$L85=1,CT$1=Units!$Q85),IF(Units!$J85&lt;&gt;"",Units!$J85,Mkt!CT86),Inputs!$B$15*Mkt!CT86+(1-Inputs!$B$15)*MIN(Mkt!CT86,CS86*(1+Inputs!$B$18))),CS86)))</f>
        <v>2275.26665103601</v>
      </c>
      <c r="CU86" s="11" t="n">
        <f aca="false">IF(CU$1&lt;Units!$P85,0,IF(AND(Units!$K85=0,CU$1=Units!$O85),Units!$R85,IF(AND(CU$1&gt;=Units!$Q85,MOD(CU$1-Units!$Q85,12)=0),IF(AND(Units!$L85=1,CU$1=Units!$Q85),IF(Units!$J85&lt;&gt;"",Units!$J85,Mkt!CU86),Inputs!$B$15*Mkt!CU86+(1-Inputs!$B$15)*MIN(Mkt!CU86,CT86*(1+Inputs!$B$18))),CT86)))</f>
        <v>2275.26665103601</v>
      </c>
      <c r="CV86" s="11" t="n">
        <f aca="false">IF(CV$1&lt;Units!$P85,0,IF(AND(Units!$K85=0,CV$1=Units!$O85),Units!$R85,IF(AND(CV$1&gt;=Units!$Q85,MOD(CV$1-Units!$Q85,12)=0),IF(AND(Units!$L85=1,CV$1=Units!$Q85),IF(Units!$J85&lt;&gt;"",Units!$J85,Mkt!CV86),Inputs!$B$15*Mkt!CV86+(1-Inputs!$B$15)*MIN(Mkt!CV86,CU86*(1+Inputs!$B$18))),CU86)))</f>
        <v>2275.26665103601</v>
      </c>
      <c r="CW86" s="11" t="n">
        <f aca="false">IF(CW$1&lt;Units!$P85,0,IF(AND(Units!$K85=0,CW$1=Units!$O85),Units!$R85,IF(AND(CW$1&gt;=Units!$Q85,MOD(CW$1-Units!$Q85,12)=0),IF(AND(Units!$L85=1,CW$1=Units!$Q85),IF(Units!$J85&lt;&gt;"",Units!$J85,Mkt!CW86),Inputs!$B$15*Mkt!CW86+(1-Inputs!$B$15)*MIN(Mkt!CW86,CV86*(1+Inputs!$B$18))),CV86)))</f>
        <v>2275.26665103601</v>
      </c>
      <c r="CX86" s="11" t="n">
        <f aca="false">IF(CX$1&lt;Units!$P85,0,IF(AND(Units!$K85=0,CX$1=Units!$O85),Units!$R85,IF(AND(CX$1&gt;=Units!$Q85,MOD(CX$1-Units!$Q85,12)=0),IF(AND(Units!$L85=1,CX$1=Units!$Q85),IF(Units!$J85&lt;&gt;"",Units!$J85,Mkt!CX86),Inputs!$B$15*Mkt!CX86+(1-Inputs!$B$15)*MIN(Mkt!CX86,CW86*(1+Inputs!$B$18))),CW86)))</f>
        <v>2275.26665103601</v>
      </c>
      <c r="CY86" s="11" t="n">
        <f aca="false">IF(CY$1&lt;Units!$P85,0,IF(AND(Units!$K85=0,CY$1=Units!$O85),Units!$R85,IF(AND(CY$1&gt;=Units!$Q85,MOD(CY$1-Units!$Q85,12)=0),IF(AND(Units!$L85=1,CY$1=Units!$Q85),IF(Units!$J85&lt;&gt;"",Units!$J85,Mkt!CY86),Inputs!$B$15*Mkt!CY86+(1-Inputs!$B$15)*MIN(Mkt!CY86,CX86*(1+Inputs!$B$18))),CX86)))</f>
        <v>2275.26665103601</v>
      </c>
      <c r="CZ86" s="11" t="n">
        <f aca="false">IF(CZ$1&lt;Units!$P85,0,IF(AND(Units!$K85=0,CZ$1=Units!$O85),Units!$R85,IF(AND(CZ$1&gt;=Units!$Q85,MOD(CZ$1-Units!$Q85,12)=0),IF(AND(Units!$L85=1,CZ$1=Units!$Q85),IF(Units!$J85&lt;&gt;"",Units!$J85,Mkt!CZ86),Inputs!$B$15*Mkt!CZ86+(1-Inputs!$B$15)*MIN(Mkt!CZ86,CY86*(1+Inputs!$B$18))),CY86)))</f>
        <v>2275.26665103601</v>
      </c>
      <c r="DA86" s="11" t="n">
        <f aca="false">IF(DA$1&lt;Units!$P85,0,IF(AND(Units!$K85=0,DA$1=Units!$O85),Units!$R85,IF(AND(DA$1&gt;=Units!$Q85,MOD(DA$1-Units!$Q85,12)=0),IF(AND(Units!$L85=1,DA$1=Units!$Q85),IF(Units!$J85&lt;&gt;"",Units!$J85,Mkt!DA86),Inputs!$B$15*Mkt!DA86+(1-Inputs!$B$15)*MIN(Mkt!DA86,CZ86*(1+Inputs!$B$18))),CZ86)))</f>
        <v>2275.26665103601</v>
      </c>
      <c r="DB86" s="11" t="n">
        <f aca="false">IF(DB$1&lt;Units!$P85,0,IF(AND(Units!$K85=0,DB$1=Units!$O85),Units!$R85,IF(AND(DB$1&gt;=Units!$Q85,MOD(DB$1-Units!$Q85,12)=0),IF(AND(Units!$L85=1,DB$1=Units!$Q85),IF(Units!$J85&lt;&gt;"",Units!$J85,Mkt!DB86),Inputs!$B$15*Mkt!DB86+(1-Inputs!$B$15)*MIN(Mkt!DB86,DA86*(1+Inputs!$B$18))),DA86)))</f>
        <v>2275.26665103601</v>
      </c>
      <c r="DC86" s="11" t="n">
        <f aca="false">IF(DC$1&lt;Units!$P85,0,IF(AND(Units!$K85=0,DC$1=Units!$O85),Units!$R85,IF(AND(DC$1&gt;=Units!$Q85,MOD(DC$1-Units!$Q85,12)=0),IF(AND(Units!$L85=1,DC$1=Units!$Q85),IF(Units!$J85&lt;&gt;"",Units!$J85,Mkt!DC86),Inputs!$B$15*Mkt!DC86+(1-Inputs!$B$15)*MIN(Mkt!DC86,DB86*(1+Inputs!$B$18))),DB86)))</f>
        <v>2275.26665103601</v>
      </c>
      <c r="DD86" s="11" t="n">
        <f aca="false">IF(DD$1&lt;Units!$P85,0,IF(AND(Units!$K85=0,DD$1=Units!$O85),Units!$R85,IF(AND(DD$1&gt;=Units!$Q85,MOD(DD$1-Units!$Q85,12)=0),IF(AND(Units!$L85=1,DD$1=Units!$Q85),IF(Units!$J85&lt;&gt;"",Units!$J85,Mkt!DD86),Inputs!$B$15*Mkt!DD86+(1-Inputs!$B$15)*MIN(Mkt!DD86,DC86*(1+Inputs!$B$18))),DC86)))</f>
        <v>2275.26665103601</v>
      </c>
      <c r="DE86" s="11" t="n">
        <f aca="false">IF(DE$1&lt;Units!$P85,0,IF(AND(Units!$K85=0,DE$1=Units!$O85),Units!$R85,IF(AND(DE$1&gt;=Units!$Q85,MOD(DE$1-Units!$Q85,12)=0),IF(AND(Units!$L85=1,DE$1=Units!$Q85),IF(Units!$J85&lt;&gt;"",Units!$J85,Mkt!DE86),Inputs!$B$15*Mkt!DE86+(1-Inputs!$B$15)*MIN(Mkt!DE86,DD86*(1+Inputs!$B$18))),DD86)))</f>
        <v>2275.26665103601</v>
      </c>
      <c r="DF86" s="11" t="n">
        <f aca="false">IF(DF$1&lt;Units!$P85,0,IF(AND(Units!$K85=0,DF$1=Units!$O85),Units!$R85,IF(AND(DF$1&gt;=Units!$Q85,MOD(DF$1-Units!$Q85,12)=0),IF(AND(Units!$L85=1,DF$1=Units!$Q85),IF(Units!$J85&lt;&gt;"",Units!$J85,Mkt!DF86),Inputs!$B$15*Mkt!DF86+(1-Inputs!$B$15)*MIN(Mkt!DF86,DE86*(1+Inputs!$B$18))),DE86)))</f>
        <v>2343.52465056709</v>
      </c>
      <c r="DG86" s="11" t="n">
        <f aca="false">IF(DG$1&lt;Units!$P85,0,IF(AND(Units!$K85=0,DG$1=Units!$O85),Units!$R85,IF(AND(DG$1&gt;=Units!$Q85,MOD(DG$1-Units!$Q85,12)=0),IF(AND(Units!$L85=1,DG$1=Units!$Q85),IF(Units!$J85&lt;&gt;"",Units!$J85,Mkt!DG86),Inputs!$B$15*Mkt!DG86+(1-Inputs!$B$15)*MIN(Mkt!DG86,DF86*(1+Inputs!$B$18))),DF86)))</f>
        <v>2343.52465056709</v>
      </c>
      <c r="DH86" s="11" t="n">
        <f aca="false">IF(DH$1&lt;Units!$P85,0,IF(AND(Units!$K85=0,DH$1=Units!$O85),Units!$R85,IF(AND(DH$1&gt;=Units!$Q85,MOD(DH$1-Units!$Q85,12)=0),IF(AND(Units!$L85=1,DH$1=Units!$Q85),IF(Units!$J85&lt;&gt;"",Units!$J85,Mkt!DH86),Inputs!$B$15*Mkt!DH86+(1-Inputs!$B$15)*MIN(Mkt!DH86,DG86*(1+Inputs!$B$18))),DG86)))</f>
        <v>2343.52465056709</v>
      </c>
      <c r="DI86" s="11" t="n">
        <f aca="false">IF(DI$1&lt;Units!$P85,0,IF(AND(Units!$K85=0,DI$1=Units!$O85),Units!$R85,IF(AND(DI$1&gt;=Units!$Q85,MOD(DI$1-Units!$Q85,12)=0),IF(AND(Units!$L85=1,DI$1=Units!$Q85),IF(Units!$J85&lt;&gt;"",Units!$J85,Mkt!DI86),Inputs!$B$15*Mkt!DI86+(1-Inputs!$B$15)*MIN(Mkt!DI86,DH86*(1+Inputs!$B$18))),DH86)))</f>
        <v>2343.52465056709</v>
      </c>
      <c r="DJ86" s="11" t="n">
        <f aca="false">IF(DJ$1&lt;Units!$P85,0,IF(AND(Units!$K85=0,DJ$1=Units!$O85),Units!$R85,IF(AND(DJ$1&gt;=Units!$Q85,MOD(DJ$1-Units!$Q85,12)=0),IF(AND(Units!$L85=1,DJ$1=Units!$Q85),IF(Units!$J85&lt;&gt;"",Units!$J85,Mkt!DJ86),Inputs!$B$15*Mkt!DJ86+(1-Inputs!$B$15)*MIN(Mkt!DJ86,DI86*(1+Inputs!$B$18))),DI86)))</f>
        <v>2343.52465056709</v>
      </c>
      <c r="DK86" s="11" t="n">
        <f aca="false">IF(DK$1&lt;Units!$P85,0,IF(AND(Units!$K85=0,DK$1=Units!$O85),Units!$R85,IF(AND(DK$1&gt;=Units!$Q85,MOD(DK$1-Units!$Q85,12)=0),IF(AND(Units!$L85=1,DK$1=Units!$Q85),IF(Units!$J85&lt;&gt;"",Units!$J85,Mkt!DK86),Inputs!$B$15*Mkt!DK86+(1-Inputs!$B$15)*MIN(Mkt!DK86,DJ86*(1+Inputs!$B$18))),DJ86)))</f>
        <v>2343.52465056709</v>
      </c>
      <c r="DL86" s="11" t="n">
        <f aca="false">IF(DL$1&lt;Units!$P85,0,IF(AND(Units!$K85=0,DL$1=Units!$O85),Units!$R85,IF(AND(DL$1&gt;=Units!$Q85,MOD(DL$1-Units!$Q85,12)=0),IF(AND(Units!$L85=1,DL$1=Units!$Q85),IF(Units!$J85&lt;&gt;"",Units!$J85,Mkt!DL86),Inputs!$B$15*Mkt!DL86+(1-Inputs!$B$15)*MIN(Mkt!DL86,DK86*(1+Inputs!$B$18))),DK86)))</f>
        <v>2343.52465056709</v>
      </c>
      <c r="DM86" s="11" t="n">
        <f aca="false">IF(DM$1&lt;Units!$P85,0,IF(AND(Units!$K85=0,DM$1=Units!$O85),Units!$R85,IF(AND(DM$1&gt;=Units!$Q85,MOD(DM$1-Units!$Q85,12)=0),IF(AND(Units!$L85=1,DM$1=Units!$Q85),IF(Units!$J85&lt;&gt;"",Units!$J85,Mkt!DM86),Inputs!$B$15*Mkt!DM86+(1-Inputs!$B$15)*MIN(Mkt!DM86,DL86*(1+Inputs!$B$18))),DL86)))</f>
        <v>2343.52465056709</v>
      </c>
      <c r="DN86" s="11" t="n">
        <f aca="false">IF(DN$1&lt;Units!$P85,0,IF(AND(Units!$K85=0,DN$1=Units!$O85),Units!$R85,IF(AND(DN$1&gt;=Units!$Q85,MOD(DN$1-Units!$Q85,12)=0),IF(AND(Units!$L85=1,DN$1=Units!$Q85),IF(Units!$J85&lt;&gt;"",Units!$J85,Mkt!DN86),Inputs!$B$15*Mkt!DN86+(1-Inputs!$B$15)*MIN(Mkt!DN86,DM86*(1+Inputs!$B$18))),DM86)))</f>
        <v>2343.52465056709</v>
      </c>
      <c r="DO86" s="11" t="n">
        <f aca="false">IF(DO$1&lt;Units!$P85,0,IF(AND(Units!$K85=0,DO$1=Units!$O85),Units!$R85,IF(AND(DO$1&gt;=Units!$Q85,MOD(DO$1-Units!$Q85,12)=0),IF(AND(Units!$L85=1,DO$1=Units!$Q85),IF(Units!$J85&lt;&gt;"",Units!$J85,Mkt!DO86),Inputs!$B$15*Mkt!DO86+(1-Inputs!$B$15)*MIN(Mkt!DO86,DN86*(1+Inputs!$B$18))),DN86)))</f>
        <v>2343.52465056709</v>
      </c>
      <c r="DP86" s="11" t="n">
        <f aca="false">IF(DP$1&lt;Units!$P85,0,IF(AND(Units!$K85=0,DP$1=Units!$O85),Units!$R85,IF(AND(DP$1&gt;=Units!$Q85,MOD(DP$1-Units!$Q85,12)=0),IF(AND(Units!$L85=1,DP$1=Units!$Q85),IF(Units!$J85&lt;&gt;"",Units!$J85,Mkt!DP86),Inputs!$B$15*Mkt!DP86+(1-Inputs!$B$15)*MIN(Mkt!DP86,DO86*(1+Inputs!$B$18))),DO86)))</f>
        <v>2343.52465056709</v>
      </c>
      <c r="DQ86" s="11" t="n">
        <f aca="false">IF(DQ$1&lt;Units!$P85,0,IF(AND(Units!$K85=0,DQ$1=Units!$O85),Units!$R85,IF(AND(DQ$1&gt;=Units!$Q85,MOD(DQ$1-Units!$Q85,12)=0),IF(AND(Units!$L85=1,DQ$1=Units!$Q85),IF(Units!$J85&lt;&gt;"",Units!$J85,Mkt!DQ86),Inputs!$B$15*Mkt!DQ86+(1-Inputs!$B$15)*MIN(Mkt!DQ86,DP86*(1+Inputs!$B$18))),DP86)))</f>
        <v>2343.52465056709</v>
      </c>
      <c r="DR86" s="11" t="n">
        <f aca="false">IF(DR$1&lt;Units!$P85,0,IF(AND(Units!$K85=0,DR$1=Units!$O85),Units!$R85,IF(AND(DR$1&gt;=Units!$Q85,MOD(DR$1-Units!$Q85,12)=0),IF(AND(Units!$L85=1,DR$1=Units!$Q85),IF(Units!$J85&lt;&gt;"",Units!$J85,Mkt!DR86),Inputs!$B$15*Mkt!DR86+(1-Inputs!$B$15)*MIN(Mkt!DR86,DQ86*(1+Inputs!$B$18))),DQ86)))</f>
        <v>2413.8303900841</v>
      </c>
      <c r="DS86" s="11" t="n">
        <f aca="false">IF(DS$1&lt;Units!$P85,0,IF(AND(Units!$K85=0,DS$1=Units!$O85),Units!$R85,IF(AND(DS$1&gt;=Units!$Q85,MOD(DS$1-Units!$Q85,12)=0),IF(AND(Units!$L85=1,DS$1=Units!$Q85),IF(Units!$J85&lt;&gt;"",Units!$J85,Mkt!DS86),Inputs!$B$15*Mkt!DS86+(1-Inputs!$B$15)*MIN(Mkt!DS86,DR86*(1+Inputs!$B$18))),DR86)))</f>
        <v>2413.8303900841</v>
      </c>
      <c r="DT86" s="11" t="n">
        <f aca="false">IF(DT$1&lt;Units!$P85,0,IF(AND(Units!$K85=0,DT$1=Units!$O85),Units!$R85,IF(AND(DT$1&gt;=Units!$Q85,MOD(DT$1-Units!$Q85,12)=0),IF(AND(Units!$L85=1,DT$1=Units!$Q85),IF(Units!$J85&lt;&gt;"",Units!$J85,Mkt!DT86),Inputs!$B$15*Mkt!DT86+(1-Inputs!$B$15)*MIN(Mkt!DT86,DS86*(1+Inputs!$B$18))),DS86)))</f>
        <v>2413.8303900841</v>
      </c>
      <c r="DU86" s="11" t="n">
        <f aca="false">IF(DU$1&lt;Units!$P85,0,IF(AND(Units!$K85=0,DU$1=Units!$O85),Units!$R85,IF(AND(DU$1&gt;=Units!$Q85,MOD(DU$1-Units!$Q85,12)=0),IF(AND(Units!$L85=1,DU$1=Units!$Q85),IF(Units!$J85&lt;&gt;"",Units!$J85,Mkt!DU86),Inputs!$B$15*Mkt!DU86+(1-Inputs!$B$15)*MIN(Mkt!DU86,DT86*(1+Inputs!$B$18))),DT86)))</f>
        <v>2413.8303900841</v>
      </c>
      <c r="DV86" s="11" t="n">
        <f aca="false">IF(DV$1&lt;Units!$P85,0,IF(AND(Units!$K85=0,DV$1=Units!$O85),Units!$R85,IF(AND(DV$1&gt;=Units!$Q85,MOD(DV$1-Units!$Q85,12)=0),IF(AND(Units!$L85=1,DV$1=Units!$Q85),IF(Units!$J85&lt;&gt;"",Units!$J85,Mkt!DV86),Inputs!$B$15*Mkt!DV86+(1-Inputs!$B$15)*MIN(Mkt!DV86,DU86*(1+Inputs!$B$18))),DU86)))</f>
        <v>2413.8303900841</v>
      </c>
      <c r="DW86" s="11" t="n">
        <f aca="false">IF(DW$1&lt;Units!$P85,0,IF(AND(Units!$K85=0,DW$1=Units!$O85),Units!$R85,IF(AND(DW$1&gt;=Units!$Q85,MOD(DW$1-Units!$Q85,12)=0),IF(AND(Units!$L85=1,DW$1=Units!$Q85),IF(Units!$J85&lt;&gt;"",Units!$J85,Mkt!DW86),Inputs!$B$15*Mkt!DW86+(1-Inputs!$B$15)*MIN(Mkt!DW86,DV86*(1+Inputs!$B$18))),DV86)))</f>
        <v>2413.8303900841</v>
      </c>
      <c r="DX86" s="11" t="n">
        <f aca="false">IF(DX$1&lt;Units!$P85,0,IF(AND(Units!$K85=0,DX$1=Units!$O85),Units!$R85,IF(AND(DX$1&gt;=Units!$Q85,MOD(DX$1-Units!$Q85,12)=0),IF(AND(Units!$L85=1,DX$1=Units!$Q85),IF(Units!$J85&lt;&gt;"",Units!$J85,Mkt!DX86),Inputs!$B$15*Mkt!DX86+(1-Inputs!$B$15)*MIN(Mkt!DX86,DW86*(1+Inputs!$B$18))),DW86)))</f>
        <v>2413.8303900841</v>
      </c>
      <c r="DY86" s="11" t="n">
        <f aca="false">IF(DY$1&lt;Units!$P85,0,IF(AND(Units!$K85=0,DY$1=Units!$O85),Units!$R85,IF(AND(DY$1&gt;=Units!$Q85,MOD(DY$1-Units!$Q85,12)=0),IF(AND(Units!$L85=1,DY$1=Units!$Q85),IF(Units!$J85&lt;&gt;"",Units!$J85,Mkt!DY86),Inputs!$B$15*Mkt!DY86+(1-Inputs!$B$15)*MIN(Mkt!DY86,DX86*(1+Inputs!$B$18))),DX86)))</f>
        <v>2413.8303900841</v>
      </c>
      <c r="DZ86" s="11" t="n">
        <f aca="false">IF(DZ$1&lt;Units!$P85,0,IF(AND(Units!$K85=0,DZ$1=Units!$O85),Units!$R85,IF(AND(DZ$1&gt;=Units!$Q85,MOD(DZ$1-Units!$Q85,12)=0),IF(AND(Units!$L85=1,DZ$1=Units!$Q85),IF(Units!$J85&lt;&gt;"",Units!$J85,Mkt!DZ86),Inputs!$B$15*Mkt!DZ86+(1-Inputs!$B$15)*MIN(Mkt!DZ86,DY86*(1+Inputs!$B$18))),DY86)))</f>
        <v>2413.8303900841</v>
      </c>
      <c r="EA86" s="11" t="n">
        <f aca="false">IF(EA$1&lt;Units!$P85,0,IF(AND(Units!$K85=0,EA$1=Units!$O85),Units!$R85,IF(AND(EA$1&gt;=Units!$Q85,MOD(EA$1-Units!$Q85,12)=0),IF(AND(Units!$L85=1,EA$1=Units!$Q85),IF(Units!$J85&lt;&gt;"",Units!$J85,Mkt!EA86),Inputs!$B$15*Mkt!EA86+(1-Inputs!$B$15)*MIN(Mkt!EA86,DZ86*(1+Inputs!$B$18))),DZ86)))</f>
        <v>2413.8303900841</v>
      </c>
      <c r="EB86" s="11" t="n">
        <f aca="false">IF(EB$1&lt;Units!$P85,0,IF(AND(Units!$K85=0,EB$1=Units!$O85),Units!$R85,IF(AND(EB$1&gt;=Units!$Q85,MOD(EB$1-Units!$Q85,12)=0),IF(AND(Units!$L85=1,EB$1=Units!$Q85),IF(Units!$J85&lt;&gt;"",Units!$J85,Mkt!EB86),Inputs!$B$15*Mkt!EB86+(1-Inputs!$B$15)*MIN(Mkt!EB86,EA86*(1+Inputs!$B$18))),EA86)))</f>
        <v>2413.8303900841</v>
      </c>
      <c r="EC86" s="11" t="n">
        <f aca="false">IF(EC$1&lt;Units!$P85,0,IF(AND(Units!$K85=0,EC$1=Units!$O85),Units!$R85,IF(AND(EC$1&gt;=Units!$Q85,MOD(EC$1-Units!$Q85,12)=0),IF(AND(Units!$L85=1,EC$1=Units!$Q85),IF(Units!$J85&lt;&gt;"",Units!$J85,Mkt!EC86),Inputs!$B$15*Mkt!EC86+(1-Inputs!$B$15)*MIN(Mkt!EC86,EB86*(1+Inputs!$B$18))),EB86)))</f>
        <v>2413.8303900841</v>
      </c>
      <c r="ED86" s="11" t="n">
        <f aca="false">IF(ED$1&lt;Units!$P85,0,IF(AND(Units!$K85=0,ED$1=Units!$O85),Units!$R85,IF(AND(ED$1&gt;=Units!$Q85,MOD(ED$1-Units!$Q85,12)=0),IF(AND(Units!$L85=1,ED$1=Units!$Q85),IF(Units!$J85&lt;&gt;"",Units!$J85,Mkt!ED86),Inputs!$B$15*Mkt!ED86+(1-Inputs!$B$15)*MIN(Mkt!ED86,EC86*(1+Inputs!$B$18))),EC86)))</f>
        <v>2486.24530178663</v>
      </c>
    </row>
    <row r="87" customFormat="false" ht="15" hidden="false" customHeight="false" outlineLevel="0" collapsed="false">
      <c r="A87" s="22" t="n">
        <f aca="false">Units!A86</f>
        <v>325</v>
      </c>
      <c r="B87" s="24" t="n">
        <f aca="false">IF(Units!K86=1,Units!F86,0)</f>
        <v>1910</v>
      </c>
      <c r="C87" s="11" t="n">
        <f aca="false">IF(C$1&lt;Units!$P86,0,IF(AND(Units!$K86=0,C$1=Units!$O86),Units!$R86,IF(AND(C$1&gt;=Units!$Q86,MOD(C$1-Units!$Q86,12)=0),IF(AND(Units!$L86=1,C$1=Units!$Q86),IF(Units!$J86&lt;&gt;"",Units!$J86,Mkt!C87),Inputs!$B$15*Mkt!C87+(1-Inputs!$B$15)*MIN(Mkt!C87,B87*(1+Inputs!$B$18))),B87)))</f>
        <v>1910</v>
      </c>
      <c r="D87" s="11" t="n">
        <f aca="false">IF(D$1&lt;Units!$P86,0,IF(AND(Units!$K86=0,D$1=Units!$O86),Units!$R86,IF(AND(D$1&gt;=Units!$Q86,MOD(D$1-Units!$Q86,12)=0),IF(AND(Units!$L86=1,D$1=Units!$Q86),IF(Units!$J86&lt;&gt;"",Units!$J86,Mkt!D87),Inputs!$B$15*Mkt!D87+(1-Inputs!$B$15)*MIN(Mkt!D87,C87*(1+Inputs!$B$18))),C87)))</f>
        <v>1910</v>
      </c>
      <c r="E87" s="11" t="n">
        <f aca="false">IF(E$1&lt;Units!$P86,0,IF(AND(Units!$K86=0,E$1=Units!$O86),Units!$R86,IF(AND(E$1&gt;=Units!$Q86,MOD(E$1-Units!$Q86,12)=0),IF(AND(Units!$L86=1,E$1=Units!$Q86),IF(Units!$J86&lt;&gt;"",Units!$J86,Mkt!E87),Inputs!$B$15*Mkt!E87+(1-Inputs!$B$15)*MIN(Mkt!E87,D87*(1+Inputs!$B$18))),D87)))</f>
        <v>1910</v>
      </c>
      <c r="F87" s="11" t="n">
        <f aca="false">IF(F$1&lt;Units!$P86,0,IF(AND(Units!$K86=0,F$1=Units!$O86),Units!$R86,IF(AND(F$1&gt;=Units!$Q86,MOD(F$1-Units!$Q86,12)=0),IF(AND(Units!$L86=1,F$1=Units!$Q86),IF(Units!$J86&lt;&gt;"",Units!$J86,Mkt!F87),Inputs!$B$15*Mkt!F87+(1-Inputs!$B$15)*MIN(Mkt!F87,E87*(1+Inputs!$B$18))),E87)))</f>
        <v>1910</v>
      </c>
      <c r="G87" s="11" t="n">
        <f aca="false">IF(G$1&lt;Units!$P86,0,IF(AND(Units!$K86=0,G$1=Units!$O86),Units!$R86,IF(AND(G$1&gt;=Units!$Q86,MOD(G$1-Units!$Q86,12)=0),IF(AND(Units!$L86=1,G$1=Units!$Q86),IF(Units!$J86&lt;&gt;"",Units!$J86,Mkt!G87),Inputs!$B$15*Mkt!G87+(1-Inputs!$B$15)*MIN(Mkt!G87,F87*(1+Inputs!$B$18))),F87)))</f>
        <v>1910</v>
      </c>
      <c r="H87" s="11" t="n">
        <f aca="false">IF(H$1&lt;Units!$P86,0,IF(AND(Units!$K86=0,H$1=Units!$O86),Units!$R86,IF(AND(H$1&gt;=Units!$Q86,MOD(H$1-Units!$Q86,12)=0),IF(AND(Units!$L86=1,H$1=Units!$Q86),IF(Units!$J86&lt;&gt;"",Units!$J86,Mkt!H87),Inputs!$B$15*Mkt!H87+(1-Inputs!$B$15)*MIN(Mkt!H87,G87*(1+Inputs!$B$18))),G87)))</f>
        <v>1910</v>
      </c>
      <c r="I87" s="11" t="n">
        <f aca="false">IF(I$1&lt;Units!$P86,0,IF(AND(Units!$K86=0,I$1=Units!$O86),Units!$R86,IF(AND(I$1&gt;=Units!$Q86,MOD(I$1-Units!$Q86,12)=0),IF(AND(Units!$L86=1,I$1=Units!$Q86),IF(Units!$J86&lt;&gt;"",Units!$J86,Mkt!I87),Inputs!$B$15*Mkt!I87+(1-Inputs!$B$15)*MIN(Mkt!I87,H87*(1+Inputs!$B$18))),H87)))</f>
        <v>1910</v>
      </c>
      <c r="J87" s="11" t="n">
        <f aca="false">IF(J$1&lt;Units!$P86,0,IF(AND(Units!$K86=0,J$1=Units!$O86),Units!$R86,IF(AND(J$1&gt;=Units!$Q86,MOD(J$1-Units!$Q86,12)=0),IF(AND(Units!$L86=1,J$1=Units!$Q86),IF(Units!$J86&lt;&gt;"",Units!$J86,Mkt!J87),Inputs!$B$15*Mkt!J87+(1-Inputs!$B$15)*MIN(Mkt!J87,I87*(1+Inputs!$B$18))),I87)))</f>
        <v>1850</v>
      </c>
      <c r="K87" s="11" t="n">
        <f aca="false">IF(K$1&lt;Units!$P86,0,IF(AND(Units!$K86=0,K$1=Units!$O86),Units!$R86,IF(AND(K$1&gt;=Units!$Q86,MOD(K$1-Units!$Q86,12)=0),IF(AND(Units!$L86=1,K$1=Units!$Q86),IF(Units!$J86&lt;&gt;"",Units!$J86,Mkt!K87),Inputs!$B$15*Mkt!K87+(1-Inputs!$B$15)*MIN(Mkt!K87,J87*(1+Inputs!$B$18))),J87)))</f>
        <v>1850</v>
      </c>
      <c r="L87" s="11" t="n">
        <f aca="false">IF(L$1&lt;Units!$P86,0,IF(AND(Units!$K86=0,L$1=Units!$O86),Units!$R86,IF(AND(L$1&gt;=Units!$Q86,MOD(L$1-Units!$Q86,12)=0),IF(AND(Units!$L86=1,L$1=Units!$Q86),IF(Units!$J86&lt;&gt;"",Units!$J86,Mkt!L87),Inputs!$B$15*Mkt!L87+(1-Inputs!$B$15)*MIN(Mkt!L87,K87*(1+Inputs!$B$18))),K87)))</f>
        <v>1850</v>
      </c>
      <c r="M87" s="11" t="n">
        <f aca="false">IF(M$1&lt;Units!$P86,0,IF(AND(Units!$K86=0,M$1=Units!$O86),Units!$R86,IF(AND(M$1&gt;=Units!$Q86,MOD(M$1-Units!$Q86,12)=0),IF(AND(Units!$L86=1,M$1=Units!$Q86),IF(Units!$J86&lt;&gt;"",Units!$J86,Mkt!M87),Inputs!$B$15*Mkt!M87+(1-Inputs!$B$15)*MIN(Mkt!M87,L87*(1+Inputs!$B$18))),L87)))</f>
        <v>1850</v>
      </c>
      <c r="N87" s="11" t="n">
        <f aca="false">IF(N$1&lt;Units!$P86,0,IF(AND(Units!$K86=0,N$1=Units!$O86),Units!$R86,IF(AND(N$1&gt;=Units!$Q86,MOD(N$1-Units!$Q86,12)=0),IF(AND(Units!$L86=1,N$1=Units!$Q86),IF(Units!$J86&lt;&gt;"",Units!$J86,Mkt!N87),Inputs!$B$15*Mkt!N87+(1-Inputs!$B$15)*MIN(Mkt!N87,M87*(1+Inputs!$B$18))),M87)))</f>
        <v>1850</v>
      </c>
      <c r="O87" s="11" t="n">
        <f aca="false">IF(O$1&lt;Units!$P86,0,IF(AND(Units!$K86=0,O$1=Units!$O86),Units!$R86,IF(AND(O$1&gt;=Units!$Q86,MOD(O$1-Units!$Q86,12)=0),IF(AND(Units!$L86=1,O$1=Units!$Q86),IF(Units!$J86&lt;&gt;"",Units!$J86,Mkt!O87),Inputs!$B$15*Mkt!O87+(1-Inputs!$B$15)*MIN(Mkt!O87,N87*(1+Inputs!$B$18))),N87)))</f>
        <v>1850</v>
      </c>
      <c r="P87" s="11" t="n">
        <f aca="false">IF(P$1&lt;Units!$P86,0,IF(AND(Units!$K86=0,P$1=Units!$O86),Units!$R86,IF(AND(P$1&gt;=Units!$Q86,MOD(P$1-Units!$Q86,12)=0),IF(AND(Units!$L86=1,P$1=Units!$Q86),IF(Units!$J86&lt;&gt;"",Units!$J86,Mkt!P87),Inputs!$B$15*Mkt!P87+(1-Inputs!$B$15)*MIN(Mkt!P87,O87*(1+Inputs!$B$18))),O87)))</f>
        <v>1850</v>
      </c>
      <c r="Q87" s="11" t="n">
        <f aca="false">IF(Q$1&lt;Units!$P86,0,IF(AND(Units!$K86=0,Q$1=Units!$O86),Units!$R86,IF(AND(Q$1&gt;=Units!$Q86,MOD(Q$1-Units!$Q86,12)=0),IF(AND(Units!$L86=1,Q$1=Units!$Q86),IF(Units!$J86&lt;&gt;"",Units!$J86,Mkt!Q87),Inputs!$B$15*Mkt!Q87+(1-Inputs!$B$15)*MIN(Mkt!Q87,P87*(1+Inputs!$B$18))),P87)))</f>
        <v>1850</v>
      </c>
      <c r="R87" s="11" t="n">
        <f aca="false">IF(R$1&lt;Units!$P86,0,IF(AND(Units!$K86=0,R$1=Units!$O86),Units!$R86,IF(AND(R$1&gt;=Units!$Q86,MOD(R$1-Units!$Q86,12)=0),IF(AND(Units!$L86=1,R$1=Units!$Q86),IF(Units!$J86&lt;&gt;"",Units!$J86,Mkt!R87),Inputs!$B$15*Mkt!R87+(1-Inputs!$B$15)*MIN(Mkt!R87,Q87*(1+Inputs!$B$18))),Q87)))</f>
        <v>1850</v>
      </c>
      <c r="S87" s="11" t="n">
        <f aca="false">IF(S$1&lt;Units!$P86,0,IF(AND(Units!$K86=0,S$1=Units!$O86),Units!$R86,IF(AND(S$1&gt;=Units!$Q86,MOD(S$1-Units!$Q86,12)=0),IF(AND(Units!$L86=1,S$1=Units!$Q86),IF(Units!$J86&lt;&gt;"",Units!$J86,Mkt!S87),Inputs!$B$15*Mkt!S87+(1-Inputs!$B$15)*MIN(Mkt!S87,R87*(1+Inputs!$B$18))),R87)))</f>
        <v>1850</v>
      </c>
      <c r="T87" s="11" t="n">
        <f aca="false">IF(T$1&lt;Units!$P86,0,IF(AND(Units!$K86=0,T$1=Units!$O86),Units!$R86,IF(AND(T$1&gt;=Units!$Q86,MOD(T$1-Units!$Q86,12)=0),IF(AND(Units!$L86=1,T$1=Units!$Q86),IF(Units!$J86&lt;&gt;"",Units!$J86,Mkt!T87),Inputs!$B$15*Mkt!T87+(1-Inputs!$B$15)*MIN(Mkt!T87,S87*(1+Inputs!$B$18))),S87)))</f>
        <v>1850</v>
      </c>
      <c r="U87" s="11" t="n">
        <f aca="false">IF(U$1&lt;Units!$P86,0,IF(AND(Units!$K86=0,U$1=Units!$O86),Units!$R86,IF(AND(U$1&gt;=Units!$Q86,MOD(U$1-Units!$Q86,12)=0),IF(AND(Units!$L86=1,U$1=Units!$Q86),IF(Units!$J86&lt;&gt;"",Units!$J86,Mkt!U87),Inputs!$B$15*Mkt!U87+(1-Inputs!$B$15)*MIN(Mkt!U87,T87*(1+Inputs!$B$18))),T87)))</f>
        <v>1850</v>
      </c>
      <c r="V87" s="11" t="n">
        <f aca="false">IF(V$1&lt;Units!$P86,0,IF(AND(Units!$K86=0,V$1=Units!$O86),Units!$R86,IF(AND(V$1&gt;=Units!$Q86,MOD(V$1-Units!$Q86,12)=0),IF(AND(Units!$L86=1,V$1=Units!$Q86),IF(Units!$J86&lt;&gt;"",Units!$J86,Mkt!V87),Inputs!$B$15*Mkt!V87+(1-Inputs!$B$15)*MIN(Mkt!V87,U87*(1+Inputs!$B$18))),U87)))</f>
        <v>1905.5</v>
      </c>
      <c r="W87" s="11" t="n">
        <f aca="false">IF(W$1&lt;Units!$P86,0,IF(AND(Units!$K86=0,W$1=Units!$O86),Units!$R86,IF(AND(W$1&gt;=Units!$Q86,MOD(W$1-Units!$Q86,12)=0),IF(AND(Units!$L86=1,W$1=Units!$Q86),IF(Units!$J86&lt;&gt;"",Units!$J86,Mkt!W87),Inputs!$B$15*Mkt!W87+(1-Inputs!$B$15)*MIN(Mkt!W87,V87*(1+Inputs!$B$18))),V87)))</f>
        <v>1905.5</v>
      </c>
      <c r="X87" s="11" t="n">
        <f aca="false">IF(X$1&lt;Units!$P86,0,IF(AND(Units!$K86=0,X$1=Units!$O86),Units!$R86,IF(AND(X$1&gt;=Units!$Q86,MOD(X$1-Units!$Q86,12)=0),IF(AND(Units!$L86=1,X$1=Units!$Q86),IF(Units!$J86&lt;&gt;"",Units!$J86,Mkt!X87),Inputs!$B$15*Mkt!X87+(1-Inputs!$B$15)*MIN(Mkt!X87,W87*(1+Inputs!$B$18))),W87)))</f>
        <v>1905.5</v>
      </c>
      <c r="Y87" s="11" t="n">
        <f aca="false">IF(Y$1&lt;Units!$P86,0,IF(AND(Units!$K86=0,Y$1=Units!$O86),Units!$R86,IF(AND(Y$1&gt;=Units!$Q86,MOD(Y$1-Units!$Q86,12)=0),IF(AND(Units!$L86=1,Y$1=Units!$Q86),IF(Units!$J86&lt;&gt;"",Units!$J86,Mkt!Y87),Inputs!$B$15*Mkt!Y87+(1-Inputs!$B$15)*MIN(Mkt!Y87,X87*(1+Inputs!$B$18))),X87)))</f>
        <v>1905.5</v>
      </c>
      <c r="Z87" s="11" t="n">
        <f aca="false">IF(Z$1&lt;Units!$P86,0,IF(AND(Units!$K86=0,Z$1=Units!$O86),Units!$R86,IF(AND(Z$1&gt;=Units!$Q86,MOD(Z$1-Units!$Q86,12)=0),IF(AND(Units!$L86=1,Z$1=Units!$Q86),IF(Units!$J86&lt;&gt;"",Units!$J86,Mkt!Z87),Inputs!$B$15*Mkt!Z87+(1-Inputs!$B$15)*MIN(Mkt!Z87,Y87*(1+Inputs!$B$18))),Y87)))</f>
        <v>1905.5</v>
      </c>
      <c r="AA87" s="11" t="n">
        <f aca="false">IF(AA$1&lt;Units!$P86,0,IF(AND(Units!$K86=0,AA$1=Units!$O86),Units!$R86,IF(AND(AA$1&gt;=Units!$Q86,MOD(AA$1-Units!$Q86,12)=0),IF(AND(Units!$L86=1,AA$1=Units!$Q86),IF(Units!$J86&lt;&gt;"",Units!$J86,Mkt!AA87),Inputs!$B$15*Mkt!AA87+(1-Inputs!$B$15)*MIN(Mkt!AA87,Z87*(1+Inputs!$B$18))),Z87)))</f>
        <v>1905.5</v>
      </c>
      <c r="AB87" s="11" t="n">
        <f aca="false">IF(AB$1&lt;Units!$P86,0,IF(AND(Units!$K86=0,AB$1=Units!$O86),Units!$R86,IF(AND(AB$1&gt;=Units!$Q86,MOD(AB$1-Units!$Q86,12)=0),IF(AND(Units!$L86=1,AB$1=Units!$Q86),IF(Units!$J86&lt;&gt;"",Units!$J86,Mkt!AB87),Inputs!$B$15*Mkt!AB87+(1-Inputs!$B$15)*MIN(Mkt!AB87,AA87*(1+Inputs!$B$18))),AA87)))</f>
        <v>1905.5</v>
      </c>
      <c r="AC87" s="11" t="n">
        <f aca="false">IF(AC$1&lt;Units!$P86,0,IF(AND(Units!$K86=0,AC$1=Units!$O86),Units!$R86,IF(AND(AC$1&gt;=Units!$Q86,MOD(AC$1-Units!$Q86,12)=0),IF(AND(Units!$L86=1,AC$1=Units!$Q86),IF(Units!$J86&lt;&gt;"",Units!$J86,Mkt!AC87),Inputs!$B$15*Mkt!AC87+(1-Inputs!$B$15)*MIN(Mkt!AC87,AB87*(1+Inputs!$B$18))),AB87)))</f>
        <v>1905.5</v>
      </c>
      <c r="AD87" s="11" t="n">
        <f aca="false">IF(AD$1&lt;Units!$P86,0,IF(AND(Units!$K86=0,AD$1=Units!$O86),Units!$R86,IF(AND(AD$1&gt;=Units!$Q86,MOD(AD$1-Units!$Q86,12)=0),IF(AND(Units!$L86=1,AD$1=Units!$Q86),IF(Units!$J86&lt;&gt;"",Units!$J86,Mkt!AD87),Inputs!$B$15*Mkt!AD87+(1-Inputs!$B$15)*MIN(Mkt!AD87,AC87*(1+Inputs!$B$18))),AC87)))</f>
        <v>1905.5</v>
      </c>
      <c r="AE87" s="11" t="n">
        <f aca="false">IF(AE$1&lt;Units!$P86,0,IF(AND(Units!$K86=0,AE$1=Units!$O86),Units!$R86,IF(AND(AE$1&gt;=Units!$Q86,MOD(AE$1-Units!$Q86,12)=0),IF(AND(Units!$L86=1,AE$1=Units!$Q86),IF(Units!$J86&lt;&gt;"",Units!$J86,Mkt!AE87),Inputs!$B$15*Mkt!AE87+(1-Inputs!$B$15)*MIN(Mkt!AE87,AD87*(1+Inputs!$B$18))),AD87)))</f>
        <v>1905.5</v>
      </c>
      <c r="AF87" s="11" t="n">
        <f aca="false">IF(AF$1&lt;Units!$P86,0,IF(AND(Units!$K86=0,AF$1=Units!$O86),Units!$R86,IF(AND(AF$1&gt;=Units!$Q86,MOD(AF$1-Units!$Q86,12)=0),IF(AND(Units!$L86=1,AF$1=Units!$Q86),IF(Units!$J86&lt;&gt;"",Units!$J86,Mkt!AF87),Inputs!$B$15*Mkt!AF87+(1-Inputs!$B$15)*MIN(Mkt!AF87,AE87*(1+Inputs!$B$18))),AE87)))</f>
        <v>1905.5</v>
      </c>
      <c r="AG87" s="11" t="n">
        <f aca="false">IF(AG$1&lt;Units!$P86,0,IF(AND(Units!$K86=0,AG$1=Units!$O86),Units!$R86,IF(AND(AG$1&gt;=Units!$Q86,MOD(AG$1-Units!$Q86,12)=0),IF(AND(Units!$L86=1,AG$1=Units!$Q86),IF(Units!$J86&lt;&gt;"",Units!$J86,Mkt!AG87),Inputs!$B$15*Mkt!AG87+(1-Inputs!$B$15)*MIN(Mkt!AG87,AF87*(1+Inputs!$B$18))),AF87)))</f>
        <v>1905.5</v>
      </c>
      <c r="AH87" s="11" t="n">
        <f aca="false">IF(AH$1&lt;Units!$P86,0,IF(AND(Units!$K86=0,AH$1=Units!$O86),Units!$R86,IF(AND(AH$1&gt;=Units!$Q86,MOD(AH$1-Units!$Q86,12)=0),IF(AND(Units!$L86=1,AH$1=Units!$Q86),IF(Units!$J86&lt;&gt;"",Units!$J86,Mkt!AH87),Inputs!$B$15*Mkt!AH87+(1-Inputs!$B$15)*MIN(Mkt!AH87,AG87*(1+Inputs!$B$18))),AG87)))</f>
        <v>1962.665</v>
      </c>
      <c r="AI87" s="11" t="n">
        <f aca="false">IF(AI$1&lt;Units!$P86,0,IF(AND(Units!$K86=0,AI$1=Units!$O86),Units!$R86,IF(AND(AI$1&gt;=Units!$Q86,MOD(AI$1-Units!$Q86,12)=0),IF(AND(Units!$L86=1,AI$1=Units!$Q86),IF(Units!$J86&lt;&gt;"",Units!$J86,Mkt!AI87),Inputs!$B$15*Mkt!AI87+(1-Inputs!$B$15)*MIN(Mkt!AI87,AH87*(1+Inputs!$B$18))),AH87)))</f>
        <v>1962.665</v>
      </c>
      <c r="AJ87" s="11" t="n">
        <f aca="false">IF(AJ$1&lt;Units!$P86,0,IF(AND(Units!$K86=0,AJ$1=Units!$O86),Units!$R86,IF(AND(AJ$1&gt;=Units!$Q86,MOD(AJ$1-Units!$Q86,12)=0),IF(AND(Units!$L86=1,AJ$1=Units!$Q86),IF(Units!$J86&lt;&gt;"",Units!$J86,Mkt!AJ87),Inputs!$B$15*Mkt!AJ87+(1-Inputs!$B$15)*MIN(Mkt!AJ87,AI87*(1+Inputs!$B$18))),AI87)))</f>
        <v>1962.665</v>
      </c>
      <c r="AK87" s="11" t="n">
        <f aca="false">IF(AK$1&lt;Units!$P86,0,IF(AND(Units!$K86=0,AK$1=Units!$O86),Units!$R86,IF(AND(AK$1&gt;=Units!$Q86,MOD(AK$1-Units!$Q86,12)=0),IF(AND(Units!$L86=1,AK$1=Units!$Q86),IF(Units!$J86&lt;&gt;"",Units!$J86,Mkt!AK87),Inputs!$B$15*Mkt!AK87+(1-Inputs!$B$15)*MIN(Mkt!AK87,AJ87*(1+Inputs!$B$18))),AJ87)))</f>
        <v>1962.665</v>
      </c>
      <c r="AL87" s="11" t="n">
        <f aca="false">IF(AL$1&lt;Units!$P86,0,IF(AND(Units!$K86=0,AL$1=Units!$O86),Units!$R86,IF(AND(AL$1&gt;=Units!$Q86,MOD(AL$1-Units!$Q86,12)=0),IF(AND(Units!$L86=1,AL$1=Units!$Q86),IF(Units!$J86&lt;&gt;"",Units!$J86,Mkt!AL87),Inputs!$B$15*Mkt!AL87+(1-Inputs!$B$15)*MIN(Mkt!AL87,AK87*(1+Inputs!$B$18))),AK87)))</f>
        <v>1962.665</v>
      </c>
      <c r="AM87" s="11" t="n">
        <f aca="false">IF(AM$1&lt;Units!$P86,0,IF(AND(Units!$K86=0,AM$1=Units!$O86),Units!$R86,IF(AND(AM$1&gt;=Units!$Q86,MOD(AM$1-Units!$Q86,12)=0),IF(AND(Units!$L86=1,AM$1=Units!$Q86),IF(Units!$J86&lt;&gt;"",Units!$J86,Mkt!AM87),Inputs!$B$15*Mkt!AM87+(1-Inputs!$B$15)*MIN(Mkt!AM87,AL87*(1+Inputs!$B$18))),AL87)))</f>
        <v>1962.665</v>
      </c>
      <c r="AN87" s="11" t="n">
        <f aca="false">IF(AN$1&lt;Units!$P86,0,IF(AND(Units!$K86=0,AN$1=Units!$O86),Units!$R86,IF(AND(AN$1&gt;=Units!$Q86,MOD(AN$1-Units!$Q86,12)=0),IF(AND(Units!$L86=1,AN$1=Units!$Q86),IF(Units!$J86&lt;&gt;"",Units!$J86,Mkt!AN87),Inputs!$B$15*Mkt!AN87+(1-Inputs!$B$15)*MIN(Mkt!AN87,AM87*(1+Inputs!$B$18))),AM87)))</f>
        <v>1962.665</v>
      </c>
      <c r="AO87" s="11" t="n">
        <f aca="false">IF(AO$1&lt;Units!$P86,0,IF(AND(Units!$K86=0,AO$1=Units!$O86),Units!$R86,IF(AND(AO$1&gt;=Units!$Q86,MOD(AO$1-Units!$Q86,12)=0),IF(AND(Units!$L86=1,AO$1=Units!$Q86),IF(Units!$J86&lt;&gt;"",Units!$J86,Mkt!AO87),Inputs!$B$15*Mkt!AO87+(1-Inputs!$B$15)*MIN(Mkt!AO87,AN87*(1+Inputs!$B$18))),AN87)))</f>
        <v>1962.665</v>
      </c>
      <c r="AP87" s="11" t="n">
        <f aca="false">IF(AP$1&lt;Units!$P86,0,IF(AND(Units!$K86=0,AP$1=Units!$O86),Units!$R86,IF(AND(AP$1&gt;=Units!$Q86,MOD(AP$1-Units!$Q86,12)=0),IF(AND(Units!$L86=1,AP$1=Units!$Q86),IF(Units!$J86&lt;&gt;"",Units!$J86,Mkt!AP87),Inputs!$B$15*Mkt!AP87+(1-Inputs!$B$15)*MIN(Mkt!AP87,AO87*(1+Inputs!$B$18))),AO87)))</f>
        <v>1962.665</v>
      </c>
      <c r="AQ87" s="11" t="n">
        <f aca="false">IF(AQ$1&lt;Units!$P86,0,IF(AND(Units!$K86=0,AQ$1=Units!$O86),Units!$R86,IF(AND(AQ$1&gt;=Units!$Q86,MOD(AQ$1-Units!$Q86,12)=0),IF(AND(Units!$L86=1,AQ$1=Units!$Q86),IF(Units!$J86&lt;&gt;"",Units!$J86,Mkt!AQ87),Inputs!$B$15*Mkt!AQ87+(1-Inputs!$B$15)*MIN(Mkt!AQ87,AP87*(1+Inputs!$B$18))),AP87)))</f>
        <v>1962.665</v>
      </c>
      <c r="AR87" s="11" t="n">
        <f aca="false">IF(AR$1&lt;Units!$P86,0,IF(AND(Units!$K86=0,AR$1=Units!$O86),Units!$R86,IF(AND(AR$1&gt;=Units!$Q86,MOD(AR$1-Units!$Q86,12)=0),IF(AND(Units!$L86=1,AR$1=Units!$Q86),IF(Units!$J86&lt;&gt;"",Units!$J86,Mkt!AR87),Inputs!$B$15*Mkt!AR87+(1-Inputs!$B$15)*MIN(Mkt!AR87,AQ87*(1+Inputs!$B$18))),AQ87)))</f>
        <v>1962.665</v>
      </c>
      <c r="AS87" s="11" t="n">
        <f aca="false">IF(AS$1&lt;Units!$P86,0,IF(AND(Units!$K86=0,AS$1=Units!$O86),Units!$R86,IF(AND(AS$1&gt;=Units!$Q86,MOD(AS$1-Units!$Q86,12)=0),IF(AND(Units!$L86=1,AS$1=Units!$Q86),IF(Units!$J86&lt;&gt;"",Units!$J86,Mkt!AS87),Inputs!$B$15*Mkt!AS87+(1-Inputs!$B$15)*MIN(Mkt!AS87,AR87*(1+Inputs!$B$18))),AR87)))</f>
        <v>1962.665</v>
      </c>
      <c r="AT87" s="11" t="n">
        <f aca="false">IF(AT$1&lt;Units!$P86,0,IF(AND(Units!$K86=0,AT$1=Units!$O86),Units!$R86,IF(AND(AT$1&gt;=Units!$Q86,MOD(AT$1-Units!$Q86,12)=0),IF(AND(Units!$L86=1,AT$1=Units!$Q86),IF(Units!$J86&lt;&gt;"",Units!$J86,Mkt!AT87),Inputs!$B$15*Mkt!AT87+(1-Inputs!$B$15)*MIN(Mkt!AT87,AS87*(1+Inputs!$B$18))),AS87)))</f>
        <v>2021.54495</v>
      </c>
      <c r="AU87" s="11" t="n">
        <f aca="false">IF(AU$1&lt;Units!$P86,0,IF(AND(Units!$K86=0,AU$1=Units!$O86),Units!$R86,IF(AND(AU$1&gt;=Units!$Q86,MOD(AU$1-Units!$Q86,12)=0),IF(AND(Units!$L86=1,AU$1=Units!$Q86),IF(Units!$J86&lt;&gt;"",Units!$J86,Mkt!AU87),Inputs!$B$15*Mkt!AU87+(1-Inputs!$B$15)*MIN(Mkt!AU87,AT87*(1+Inputs!$B$18))),AT87)))</f>
        <v>2021.54495</v>
      </c>
      <c r="AV87" s="11" t="n">
        <f aca="false">IF(AV$1&lt;Units!$P86,0,IF(AND(Units!$K86=0,AV$1=Units!$O86),Units!$R86,IF(AND(AV$1&gt;=Units!$Q86,MOD(AV$1-Units!$Q86,12)=0),IF(AND(Units!$L86=1,AV$1=Units!$Q86),IF(Units!$J86&lt;&gt;"",Units!$J86,Mkt!AV87),Inputs!$B$15*Mkt!AV87+(1-Inputs!$B$15)*MIN(Mkt!AV87,AU87*(1+Inputs!$B$18))),AU87)))</f>
        <v>2021.54495</v>
      </c>
      <c r="AW87" s="11" t="n">
        <f aca="false">IF(AW$1&lt;Units!$P86,0,IF(AND(Units!$K86=0,AW$1=Units!$O86),Units!$R86,IF(AND(AW$1&gt;=Units!$Q86,MOD(AW$1-Units!$Q86,12)=0),IF(AND(Units!$L86=1,AW$1=Units!$Q86),IF(Units!$J86&lt;&gt;"",Units!$J86,Mkt!AW87),Inputs!$B$15*Mkt!AW87+(1-Inputs!$B$15)*MIN(Mkt!AW87,AV87*(1+Inputs!$B$18))),AV87)))</f>
        <v>2021.54495</v>
      </c>
      <c r="AX87" s="11" t="n">
        <f aca="false">IF(AX$1&lt;Units!$P86,0,IF(AND(Units!$K86=0,AX$1=Units!$O86),Units!$R86,IF(AND(AX$1&gt;=Units!$Q86,MOD(AX$1-Units!$Q86,12)=0),IF(AND(Units!$L86=1,AX$1=Units!$Q86),IF(Units!$J86&lt;&gt;"",Units!$J86,Mkt!AX87),Inputs!$B$15*Mkt!AX87+(1-Inputs!$B$15)*MIN(Mkt!AX87,AW87*(1+Inputs!$B$18))),AW87)))</f>
        <v>2021.54495</v>
      </c>
      <c r="AY87" s="11" t="n">
        <f aca="false">IF(AY$1&lt;Units!$P86,0,IF(AND(Units!$K86=0,AY$1=Units!$O86),Units!$R86,IF(AND(AY$1&gt;=Units!$Q86,MOD(AY$1-Units!$Q86,12)=0),IF(AND(Units!$L86=1,AY$1=Units!$Q86),IF(Units!$J86&lt;&gt;"",Units!$J86,Mkt!AY87),Inputs!$B$15*Mkt!AY87+(1-Inputs!$B$15)*MIN(Mkt!AY87,AX87*(1+Inputs!$B$18))),AX87)))</f>
        <v>2021.54495</v>
      </c>
      <c r="AZ87" s="11" t="n">
        <f aca="false">IF(AZ$1&lt;Units!$P86,0,IF(AND(Units!$K86=0,AZ$1=Units!$O86),Units!$R86,IF(AND(AZ$1&gt;=Units!$Q86,MOD(AZ$1-Units!$Q86,12)=0),IF(AND(Units!$L86=1,AZ$1=Units!$Q86),IF(Units!$J86&lt;&gt;"",Units!$J86,Mkt!AZ87),Inputs!$B$15*Mkt!AZ87+(1-Inputs!$B$15)*MIN(Mkt!AZ87,AY87*(1+Inputs!$B$18))),AY87)))</f>
        <v>2021.54495</v>
      </c>
      <c r="BA87" s="11" t="n">
        <f aca="false">IF(BA$1&lt;Units!$P86,0,IF(AND(Units!$K86=0,BA$1=Units!$O86),Units!$R86,IF(AND(BA$1&gt;=Units!$Q86,MOD(BA$1-Units!$Q86,12)=0),IF(AND(Units!$L86=1,BA$1=Units!$Q86),IF(Units!$J86&lt;&gt;"",Units!$J86,Mkt!BA87),Inputs!$B$15*Mkt!BA87+(1-Inputs!$B$15)*MIN(Mkt!BA87,AZ87*(1+Inputs!$B$18))),AZ87)))</f>
        <v>2021.54495</v>
      </c>
      <c r="BB87" s="11" t="n">
        <f aca="false">IF(BB$1&lt;Units!$P86,0,IF(AND(Units!$K86=0,BB$1=Units!$O86),Units!$R86,IF(AND(BB$1&gt;=Units!$Q86,MOD(BB$1-Units!$Q86,12)=0),IF(AND(Units!$L86=1,BB$1=Units!$Q86),IF(Units!$J86&lt;&gt;"",Units!$J86,Mkt!BB87),Inputs!$B$15*Mkt!BB87+(1-Inputs!$B$15)*MIN(Mkt!BB87,BA87*(1+Inputs!$B$18))),BA87)))</f>
        <v>2021.54495</v>
      </c>
      <c r="BC87" s="11" t="n">
        <f aca="false">IF(BC$1&lt;Units!$P86,0,IF(AND(Units!$K86=0,BC$1=Units!$O86),Units!$R86,IF(AND(BC$1&gt;=Units!$Q86,MOD(BC$1-Units!$Q86,12)=0),IF(AND(Units!$L86=1,BC$1=Units!$Q86),IF(Units!$J86&lt;&gt;"",Units!$J86,Mkt!BC87),Inputs!$B$15*Mkt!BC87+(1-Inputs!$B$15)*MIN(Mkt!BC87,BB87*(1+Inputs!$B$18))),BB87)))</f>
        <v>2021.54495</v>
      </c>
      <c r="BD87" s="11" t="n">
        <f aca="false">IF(BD$1&lt;Units!$P86,0,IF(AND(Units!$K86=0,BD$1=Units!$O86),Units!$R86,IF(AND(BD$1&gt;=Units!$Q86,MOD(BD$1-Units!$Q86,12)=0),IF(AND(Units!$L86=1,BD$1=Units!$Q86),IF(Units!$J86&lt;&gt;"",Units!$J86,Mkt!BD87),Inputs!$B$15*Mkt!BD87+(1-Inputs!$B$15)*MIN(Mkt!BD87,BC87*(1+Inputs!$B$18))),BC87)))</f>
        <v>2021.54495</v>
      </c>
      <c r="BE87" s="11" t="n">
        <f aca="false">IF(BE$1&lt;Units!$P86,0,IF(AND(Units!$K86=0,BE$1=Units!$O86),Units!$R86,IF(AND(BE$1&gt;=Units!$Q86,MOD(BE$1-Units!$Q86,12)=0),IF(AND(Units!$L86=1,BE$1=Units!$Q86),IF(Units!$J86&lt;&gt;"",Units!$J86,Mkt!BE87),Inputs!$B$15*Mkt!BE87+(1-Inputs!$B$15)*MIN(Mkt!BE87,BD87*(1+Inputs!$B$18))),BD87)))</f>
        <v>2021.54495</v>
      </c>
      <c r="BF87" s="11" t="n">
        <f aca="false">IF(BF$1&lt;Units!$P86,0,IF(AND(Units!$K86=0,BF$1=Units!$O86),Units!$R86,IF(AND(BF$1&gt;=Units!$Q86,MOD(BF$1-Units!$Q86,12)=0),IF(AND(Units!$L86=1,BF$1=Units!$Q86),IF(Units!$J86&lt;&gt;"",Units!$J86,Mkt!BF87),Inputs!$B$15*Mkt!BF87+(1-Inputs!$B$15)*MIN(Mkt!BF87,BE87*(1+Inputs!$B$18))),BE87)))</f>
        <v>2082.1912985</v>
      </c>
      <c r="BG87" s="11" t="n">
        <f aca="false">IF(BG$1&lt;Units!$P86,0,IF(AND(Units!$K86=0,BG$1=Units!$O86),Units!$R86,IF(AND(BG$1&gt;=Units!$Q86,MOD(BG$1-Units!$Q86,12)=0),IF(AND(Units!$L86=1,BG$1=Units!$Q86),IF(Units!$J86&lt;&gt;"",Units!$J86,Mkt!BG87),Inputs!$B$15*Mkt!BG87+(1-Inputs!$B$15)*MIN(Mkt!BG87,BF87*(1+Inputs!$B$18))),BF87)))</f>
        <v>2082.1912985</v>
      </c>
      <c r="BH87" s="11" t="n">
        <f aca="false">IF(BH$1&lt;Units!$P86,0,IF(AND(Units!$K86=0,BH$1=Units!$O86),Units!$R86,IF(AND(BH$1&gt;=Units!$Q86,MOD(BH$1-Units!$Q86,12)=0),IF(AND(Units!$L86=1,BH$1=Units!$Q86),IF(Units!$J86&lt;&gt;"",Units!$J86,Mkt!BH87),Inputs!$B$15*Mkt!BH87+(1-Inputs!$B$15)*MIN(Mkt!BH87,BG87*(1+Inputs!$B$18))),BG87)))</f>
        <v>2082.1912985</v>
      </c>
      <c r="BI87" s="11" t="n">
        <f aca="false">IF(BI$1&lt;Units!$P86,0,IF(AND(Units!$K86=0,BI$1=Units!$O86),Units!$R86,IF(AND(BI$1&gt;=Units!$Q86,MOD(BI$1-Units!$Q86,12)=0),IF(AND(Units!$L86=1,BI$1=Units!$Q86),IF(Units!$J86&lt;&gt;"",Units!$J86,Mkt!BI87),Inputs!$B$15*Mkt!BI87+(1-Inputs!$B$15)*MIN(Mkt!BI87,BH87*(1+Inputs!$B$18))),BH87)))</f>
        <v>2082.1912985</v>
      </c>
      <c r="BJ87" s="11" t="n">
        <f aca="false">IF(BJ$1&lt;Units!$P86,0,IF(AND(Units!$K86=0,BJ$1=Units!$O86),Units!$R86,IF(AND(BJ$1&gt;=Units!$Q86,MOD(BJ$1-Units!$Q86,12)=0),IF(AND(Units!$L86=1,BJ$1=Units!$Q86),IF(Units!$J86&lt;&gt;"",Units!$J86,Mkt!BJ87),Inputs!$B$15*Mkt!BJ87+(1-Inputs!$B$15)*MIN(Mkt!BJ87,BI87*(1+Inputs!$B$18))),BI87)))</f>
        <v>2082.1912985</v>
      </c>
      <c r="BK87" s="11" t="n">
        <f aca="false">IF(BK$1&lt;Units!$P86,0,IF(AND(Units!$K86=0,BK$1=Units!$O86),Units!$R86,IF(AND(BK$1&gt;=Units!$Q86,MOD(BK$1-Units!$Q86,12)=0),IF(AND(Units!$L86=1,BK$1=Units!$Q86),IF(Units!$J86&lt;&gt;"",Units!$J86,Mkt!BK87),Inputs!$B$15*Mkt!BK87+(1-Inputs!$B$15)*MIN(Mkt!BK87,BJ87*(1+Inputs!$B$18))),BJ87)))</f>
        <v>2082.1912985</v>
      </c>
      <c r="BL87" s="11" t="n">
        <f aca="false">IF(BL$1&lt;Units!$P86,0,IF(AND(Units!$K86=0,BL$1=Units!$O86),Units!$R86,IF(AND(BL$1&gt;=Units!$Q86,MOD(BL$1-Units!$Q86,12)=0),IF(AND(Units!$L86=1,BL$1=Units!$Q86),IF(Units!$J86&lt;&gt;"",Units!$J86,Mkt!BL87),Inputs!$B$15*Mkt!BL87+(1-Inputs!$B$15)*MIN(Mkt!BL87,BK87*(1+Inputs!$B$18))),BK87)))</f>
        <v>2082.1912985</v>
      </c>
      <c r="BM87" s="11" t="n">
        <f aca="false">IF(BM$1&lt;Units!$P86,0,IF(AND(Units!$K86=0,BM$1=Units!$O86),Units!$R86,IF(AND(BM$1&gt;=Units!$Q86,MOD(BM$1-Units!$Q86,12)=0),IF(AND(Units!$L86=1,BM$1=Units!$Q86),IF(Units!$J86&lt;&gt;"",Units!$J86,Mkt!BM87),Inputs!$B$15*Mkt!BM87+(1-Inputs!$B$15)*MIN(Mkt!BM87,BL87*(1+Inputs!$B$18))),BL87)))</f>
        <v>2082.1912985</v>
      </c>
      <c r="BN87" s="11" t="n">
        <f aca="false">IF(BN$1&lt;Units!$P86,0,IF(AND(Units!$K86=0,BN$1=Units!$O86),Units!$R86,IF(AND(BN$1&gt;=Units!$Q86,MOD(BN$1-Units!$Q86,12)=0),IF(AND(Units!$L86=1,BN$1=Units!$Q86),IF(Units!$J86&lt;&gt;"",Units!$J86,Mkt!BN87),Inputs!$B$15*Mkt!BN87+(1-Inputs!$B$15)*MIN(Mkt!BN87,BM87*(1+Inputs!$B$18))),BM87)))</f>
        <v>2082.1912985</v>
      </c>
      <c r="BO87" s="11" t="n">
        <f aca="false">IF(BO$1&lt;Units!$P86,0,IF(AND(Units!$K86=0,BO$1=Units!$O86),Units!$R86,IF(AND(BO$1&gt;=Units!$Q86,MOD(BO$1-Units!$Q86,12)=0),IF(AND(Units!$L86=1,BO$1=Units!$Q86),IF(Units!$J86&lt;&gt;"",Units!$J86,Mkt!BO87),Inputs!$B$15*Mkt!BO87+(1-Inputs!$B$15)*MIN(Mkt!BO87,BN87*(1+Inputs!$B$18))),BN87)))</f>
        <v>2082.1912985</v>
      </c>
      <c r="BP87" s="11" t="n">
        <f aca="false">IF(BP$1&lt;Units!$P86,0,IF(AND(Units!$K86=0,BP$1=Units!$O86),Units!$R86,IF(AND(BP$1&gt;=Units!$Q86,MOD(BP$1-Units!$Q86,12)=0),IF(AND(Units!$L86=1,BP$1=Units!$Q86),IF(Units!$J86&lt;&gt;"",Units!$J86,Mkt!BP87),Inputs!$B$15*Mkt!BP87+(1-Inputs!$B$15)*MIN(Mkt!BP87,BO87*(1+Inputs!$B$18))),BO87)))</f>
        <v>2082.1912985</v>
      </c>
      <c r="BQ87" s="11" t="n">
        <f aca="false">IF(BQ$1&lt;Units!$P86,0,IF(AND(Units!$K86=0,BQ$1=Units!$O86),Units!$R86,IF(AND(BQ$1&gt;=Units!$Q86,MOD(BQ$1-Units!$Q86,12)=0),IF(AND(Units!$L86=1,BQ$1=Units!$Q86),IF(Units!$J86&lt;&gt;"",Units!$J86,Mkt!BQ87),Inputs!$B$15*Mkt!BQ87+(1-Inputs!$B$15)*MIN(Mkt!BQ87,BP87*(1+Inputs!$B$18))),BP87)))</f>
        <v>2082.1912985</v>
      </c>
      <c r="BR87" s="11" t="n">
        <f aca="false">IF(BR$1&lt;Units!$P86,0,IF(AND(Units!$K86=0,BR$1=Units!$O86),Units!$R86,IF(AND(BR$1&gt;=Units!$Q86,MOD(BR$1-Units!$Q86,12)=0),IF(AND(Units!$L86=1,BR$1=Units!$Q86),IF(Units!$J86&lt;&gt;"",Units!$J86,Mkt!BR87),Inputs!$B$15*Mkt!BR87+(1-Inputs!$B$15)*MIN(Mkt!BR87,BQ87*(1+Inputs!$B$18))),BQ87)))</f>
        <v>2144.657037455</v>
      </c>
      <c r="BS87" s="11" t="n">
        <f aca="false">IF(BS$1&lt;Units!$P86,0,IF(AND(Units!$K86=0,BS$1=Units!$O86),Units!$R86,IF(AND(BS$1&gt;=Units!$Q86,MOD(BS$1-Units!$Q86,12)=0),IF(AND(Units!$L86=1,BS$1=Units!$Q86),IF(Units!$J86&lt;&gt;"",Units!$J86,Mkt!BS87),Inputs!$B$15*Mkt!BS87+(1-Inputs!$B$15)*MIN(Mkt!BS87,BR87*(1+Inputs!$B$18))),BR87)))</f>
        <v>2144.657037455</v>
      </c>
      <c r="BT87" s="11" t="n">
        <f aca="false">IF(BT$1&lt;Units!$P86,0,IF(AND(Units!$K86=0,BT$1=Units!$O86),Units!$R86,IF(AND(BT$1&gt;=Units!$Q86,MOD(BT$1-Units!$Q86,12)=0),IF(AND(Units!$L86=1,BT$1=Units!$Q86),IF(Units!$J86&lt;&gt;"",Units!$J86,Mkt!BT87),Inputs!$B$15*Mkt!BT87+(1-Inputs!$B$15)*MIN(Mkt!BT87,BS87*(1+Inputs!$B$18))),BS87)))</f>
        <v>2144.657037455</v>
      </c>
      <c r="BU87" s="11" t="n">
        <f aca="false">IF(BU$1&lt;Units!$P86,0,IF(AND(Units!$K86=0,BU$1=Units!$O86),Units!$R86,IF(AND(BU$1&gt;=Units!$Q86,MOD(BU$1-Units!$Q86,12)=0),IF(AND(Units!$L86=1,BU$1=Units!$Q86),IF(Units!$J86&lt;&gt;"",Units!$J86,Mkt!BU87),Inputs!$B$15*Mkt!BU87+(1-Inputs!$B$15)*MIN(Mkt!BU87,BT87*(1+Inputs!$B$18))),BT87)))</f>
        <v>2144.657037455</v>
      </c>
      <c r="BV87" s="11" t="n">
        <f aca="false">IF(BV$1&lt;Units!$P86,0,IF(AND(Units!$K86=0,BV$1=Units!$O86),Units!$R86,IF(AND(BV$1&gt;=Units!$Q86,MOD(BV$1-Units!$Q86,12)=0),IF(AND(Units!$L86=1,BV$1=Units!$Q86),IF(Units!$J86&lt;&gt;"",Units!$J86,Mkt!BV87),Inputs!$B$15*Mkt!BV87+(1-Inputs!$B$15)*MIN(Mkt!BV87,BU87*(1+Inputs!$B$18))),BU87)))</f>
        <v>2144.657037455</v>
      </c>
      <c r="BW87" s="11" t="n">
        <f aca="false">IF(BW$1&lt;Units!$P86,0,IF(AND(Units!$K86=0,BW$1=Units!$O86),Units!$R86,IF(AND(BW$1&gt;=Units!$Q86,MOD(BW$1-Units!$Q86,12)=0),IF(AND(Units!$L86=1,BW$1=Units!$Q86),IF(Units!$J86&lt;&gt;"",Units!$J86,Mkt!BW87),Inputs!$B$15*Mkt!BW87+(1-Inputs!$B$15)*MIN(Mkt!BW87,BV87*(1+Inputs!$B$18))),BV87)))</f>
        <v>2144.657037455</v>
      </c>
      <c r="BX87" s="11" t="n">
        <f aca="false">IF(BX$1&lt;Units!$P86,0,IF(AND(Units!$K86=0,BX$1=Units!$O86),Units!$R86,IF(AND(BX$1&gt;=Units!$Q86,MOD(BX$1-Units!$Q86,12)=0),IF(AND(Units!$L86=1,BX$1=Units!$Q86),IF(Units!$J86&lt;&gt;"",Units!$J86,Mkt!BX87),Inputs!$B$15*Mkt!BX87+(1-Inputs!$B$15)*MIN(Mkt!BX87,BW87*(1+Inputs!$B$18))),BW87)))</f>
        <v>2144.657037455</v>
      </c>
      <c r="BY87" s="11" t="n">
        <f aca="false">IF(BY$1&lt;Units!$P86,0,IF(AND(Units!$K86=0,BY$1=Units!$O86),Units!$R86,IF(AND(BY$1&gt;=Units!$Q86,MOD(BY$1-Units!$Q86,12)=0),IF(AND(Units!$L86=1,BY$1=Units!$Q86),IF(Units!$J86&lt;&gt;"",Units!$J86,Mkt!BY87),Inputs!$B$15*Mkt!BY87+(1-Inputs!$B$15)*MIN(Mkt!BY87,BX87*(1+Inputs!$B$18))),BX87)))</f>
        <v>2144.657037455</v>
      </c>
      <c r="BZ87" s="11" t="n">
        <f aca="false">IF(BZ$1&lt;Units!$P86,0,IF(AND(Units!$K86=0,BZ$1=Units!$O86),Units!$R86,IF(AND(BZ$1&gt;=Units!$Q86,MOD(BZ$1-Units!$Q86,12)=0),IF(AND(Units!$L86=1,BZ$1=Units!$Q86),IF(Units!$J86&lt;&gt;"",Units!$J86,Mkt!BZ87),Inputs!$B$15*Mkt!BZ87+(1-Inputs!$B$15)*MIN(Mkt!BZ87,BY87*(1+Inputs!$B$18))),BY87)))</f>
        <v>2144.657037455</v>
      </c>
      <c r="CA87" s="11" t="n">
        <f aca="false">IF(CA$1&lt;Units!$P86,0,IF(AND(Units!$K86=0,CA$1=Units!$O86),Units!$R86,IF(AND(CA$1&gt;=Units!$Q86,MOD(CA$1-Units!$Q86,12)=0),IF(AND(Units!$L86=1,CA$1=Units!$Q86),IF(Units!$J86&lt;&gt;"",Units!$J86,Mkt!CA87),Inputs!$B$15*Mkt!CA87+(1-Inputs!$B$15)*MIN(Mkt!CA87,BZ87*(1+Inputs!$B$18))),BZ87)))</f>
        <v>2144.657037455</v>
      </c>
      <c r="CB87" s="11" t="n">
        <f aca="false">IF(CB$1&lt;Units!$P86,0,IF(AND(Units!$K86=0,CB$1=Units!$O86),Units!$R86,IF(AND(CB$1&gt;=Units!$Q86,MOD(CB$1-Units!$Q86,12)=0),IF(AND(Units!$L86=1,CB$1=Units!$Q86),IF(Units!$J86&lt;&gt;"",Units!$J86,Mkt!CB87),Inputs!$B$15*Mkt!CB87+(1-Inputs!$B$15)*MIN(Mkt!CB87,CA87*(1+Inputs!$B$18))),CA87)))</f>
        <v>2144.657037455</v>
      </c>
      <c r="CC87" s="11" t="n">
        <f aca="false">IF(CC$1&lt;Units!$P86,0,IF(AND(Units!$K86=0,CC$1=Units!$O86),Units!$R86,IF(AND(CC$1&gt;=Units!$Q86,MOD(CC$1-Units!$Q86,12)=0),IF(AND(Units!$L86=1,CC$1=Units!$Q86),IF(Units!$J86&lt;&gt;"",Units!$J86,Mkt!CC87),Inputs!$B$15*Mkt!CC87+(1-Inputs!$B$15)*MIN(Mkt!CC87,CB87*(1+Inputs!$B$18))),CB87)))</f>
        <v>2144.657037455</v>
      </c>
      <c r="CD87" s="11" t="n">
        <f aca="false">IF(CD$1&lt;Units!$P86,0,IF(AND(Units!$K86=0,CD$1=Units!$O86),Units!$R86,IF(AND(CD$1&gt;=Units!$Q86,MOD(CD$1-Units!$Q86,12)=0),IF(AND(Units!$L86=1,CD$1=Units!$Q86),IF(Units!$J86&lt;&gt;"",Units!$J86,Mkt!CD87),Inputs!$B$15*Mkt!CD87+(1-Inputs!$B$15)*MIN(Mkt!CD87,CC87*(1+Inputs!$B$18))),CC87)))</f>
        <v>2208.99674857865</v>
      </c>
      <c r="CE87" s="11" t="n">
        <f aca="false">IF(CE$1&lt;Units!$P86,0,IF(AND(Units!$K86=0,CE$1=Units!$O86),Units!$R86,IF(AND(CE$1&gt;=Units!$Q86,MOD(CE$1-Units!$Q86,12)=0),IF(AND(Units!$L86=1,CE$1=Units!$Q86),IF(Units!$J86&lt;&gt;"",Units!$J86,Mkt!CE87),Inputs!$B$15*Mkt!CE87+(1-Inputs!$B$15)*MIN(Mkt!CE87,CD87*(1+Inputs!$B$18))),CD87)))</f>
        <v>2208.99674857865</v>
      </c>
      <c r="CF87" s="11" t="n">
        <f aca="false">IF(CF$1&lt;Units!$P86,0,IF(AND(Units!$K86=0,CF$1=Units!$O86),Units!$R86,IF(AND(CF$1&gt;=Units!$Q86,MOD(CF$1-Units!$Q86,12)=0),IF(AND(Units!$L86=1,CF$1=Units!$Q86),IF(Units!$J86&lt;&gt;"",Units!$J86,Mkt!CF87),Inputs!$B$15*Mkt!CF87+(1-Inputs!$B$15)*MIN(Mkt!CF87,CE87*(1+Inputs!$B$18))),CE87)))</f>
        <v>2208.99674857865</v>
      </c>
      <c r="CG87" s="11" t="n">
        <f aca="false">IF(CG$1&lt;Units!$P86,0,IF(AND(Units!$K86=0,CG$1=Units!$O86),Units!$R86,IF(AND(CG$1&gt;=Units!$Q86,MOD(CG$1-Units!$Q86,12)=0),IF(AND(Units!$L86=1,CG$1=Units!$Q86),IF(Units!$J86&lt;&gt;"",Units!$J86,Mkt!CG87),Inputs!$B$15*Mkt!CG87+(1-Inputs!$B$15)*MIN(Mkt!CG87,CF87*(1+Inputs!$B$18))),CF87)))</f>
        <v>2208.99674857865</v>
      </c>
      <c r="CH87" s="11" t="n">
        <f aca="false">IF(CH$1&lt;Units!$P86,0,IF(AND(Units!$K86=0,CH$1=Units!$O86),Units!$R86,IF(AND(CH$1&gt;=Units!$Q86,MOD(CH$1-Units!$Q86,12)=0),IF(AND(Units!$L86=1,CH$1=Units!$Q86),IF(Units!$J86&lt;&gt;"",Units!$J86,Mkt!CH87),Inputs!$B$15*Mkt!CH87+(1-Inputs!$B$15)*MIN(Mkt!CH87,CG87*(1+Inputs!$B$18))),CG87)))</f>
        <v>2208.99674857865</v>
      </c>
      <c r="CI87" s="11" t="n">
        <f aca="false">IF(CI$1&lt;Units!$P86,0,IF(AND(Units!$K86=0,CI$1=Units!$O86),Units!$R86,IF(AND(CI$1&gt;=Units!$Q86,MOD(CI$1-Units!$Q86,12)=0),IF(AND(Units!$L86=1,CI$1=Units!$Q86),IF(Units!$J86&lt;&gt;"",Units!$J86,Mkt!CI87),Inputs!$B$15*Mkt!CI87+(1-Inputs!$B$15)*MIN(Mkt!CI87,CH87*(1+Inputs!$B$18))),CH87)))</f>
        <v>2208.99674857865</v>
      </c>
      <c r="CJ87" s="11" t="n">
        <f aca="false">IF(CJ$1&lt;Units!$P86,0,IF(AND(Units!$K86=0,CJ$1=Units!$O86),Units!$R86,IF(AND(CJ$1&gt;=Units!$Q86,MOD(CJ$1-Units!$Q86,12)=0),IF(AND(Units!$L86=1,CJ$1=Units!$Q86),IF(Units!$J86&lt;&gt;"",Units!$J86,Mkt!CJ87),Inputs!$B$15*Mkt!CJ87+(1-Inputs!$B$15)*MIN(Mkt!CJ87,CI87*(1+Inputs!$B$18))),CI87)))</f>
        <v>2208.99674857865</v>
      </c>
      <c r="CK87" s="11" t="n">
        <f aca="false">IF(CK$1&lt;Units!$P86,0,IF(AND(Units!$K86=0,CK$1=Units!$O86),Units!$R86,IF(AND(CK$1&gt;=Units!$Q86,MOD(CK$1-Units!$Q86,12)=0),IF(AND(Units!$L86=1,CK$1=Units!$Q86),IF(Units!$J86&lt;&gt;"",Units!$J86,Mkt!CK87),Inputs!$B$15*Mkt!CK87+(1-Inputs!$B$15)*MIN(Mkt!CK87,CJ87*(1+Inputs!$B$18))),CJ87)))</f>
        <v>2208.99674857865</v>
      </c>
      <c r="CL87" s="11" t="n">
        <f aca="false">IF(CL$1&lt;Units!$P86,0,IF(AND(Units!$K86=0,CL$1=Units!$O86),Units!$R86,IF(AND(CL$1&gt;=Units!$Q86,MOD(CL$1-Units!$Q86,12)=0),IF(AND(Units!$L86=1,CL$1=Units!$Q86),IF(Units!$J86&lt;&gt;"",Units!$J86,Mkt!CL87),Inputs!$B$15*Mkt!CL87+(1-Inputs!$B$15)*MIN(Mkt!CL87,CK87*(1+Inputs!$B$18))),CK87)))</f>
        <v>2208.99674857865</v>
      </c>
      <c r="CM87" s="11" t="n">
        <f aca="false">IF(CM$1&lt;Units!$P86,0,IF(AND(Units!$K86=0,CM$1=Units!$O86),Units!$R86,IF(AND(CM$1&gt;=Units!$Q86,MOD(CM$1-Units!$Q86,12)=0),IF(AND(Units!$L86=1,CM$1=Units!$Q86),IF(Units!$J86&lt;&gt;"",Units!$J86,Mkt!CM87),Inputs!$B$15*Mkt!CM87+(1-Inputs!$B$15)*MIN(Mkt!CM87,CL87*(1+Inputs!$B$18))),CL87)))</f>
        <v>2208.99674857865</v>
      </c>
      <c r="CN87" s="11" t="n">
        <f aca="false">IF(CN$1&lt;Units!$P86,0,IF(AND(Units!$K86=0,CN$1=Units!$O86),Units!$R86,IF(AND(CN$1&gt;=Units!$Q86,MOD(CN$1-Units!$Q86,12)=0),IF(AND(Units!$L86=1,CN$1=Units!$Q86),IF(Units!$J86&lt;&gt;"",Units!$J86,Mkt!CN87),Inputs!$B$15*Mkt!CN87+(1-Inputs!$B$15)*MIN(Mkt!CN87,CM87*(1+Inputs!$B$18))),CM87)))</f>
        <v>2208.99674857865</v>
      </c>
      <c r="CO87" s="11" t="n">
        <f aca="false">IF(CO$1&lt;Units!$P86,0,IF(AND(Units!$K86=0,CO$1=Units!$O86),Units!$R86,IF(AND(CO$1&gt;=Units!$Q86,MOD(CO$1-Units!$Q86,12)=0),IF(AND(Units!$L86=1,CO$1=Units!$Q86),IF(Units!$J86&lt;&gt;"",Units!$J86,Mkt!CO87),Inputs!$B$15*Mkt!CO87+(1-Inputs!$B$15)*MIN(Mkt!CO87,CN87*(1+Inputs!$B$18))),CN87)))</f>
        <v>2208.99674857865</v>
      </c>
      <c r="CP87" s="11" t="n">
        <f aca="false">IF(CP$1&lt;Units!$P86,0,IF(AND(Units!$K86=0,CP$1=Units!$O86),Units!$R86,IF(AND(CP$1&gt;=Units!$Q86,MOD(CP$1-Units!$Q86,12)=0),IF(AND(Units!$L86=1,CP$1=Units!$Q86),IF(Units!$J86&lt;&gt;"",Units!$J86,Mkt!CP87),Inputs!$B$15*Mkt!CP87+(1-Inputs!$B$15)*MIN(Mkt!CP87,CO87*(1+Inputs!$B$18))),CO87)))</f>
        <v>2275.26665103601</v>
      </c>
      <c r="CQ87" s="11" t="n">
        <f aca="false">IF(CQ$1&lt;Units!$P86,0,IF(AND(Units!$K86=0,CQ$1=Units!$O86),Units!$R86,IF(AND(CQ$1&gt;=Units!$Q86,MOD(CQ$1-Units!$Q86,12)=0),IF(AND(Units!$L86=1,CQ$1=Units!$Q86),IF(Units!$J86&lt;&gt;"",Units!$J86,Mkt!CQ87),Inputs!$B$15*Mkt!CQ87+(1-Inputs!$B$15)*MIN(Mkt!CQ87,CP87*(1+Inputs!$B$18))),CP87)))</f>
        <v>2275.26665103601</v>
      </c>
      <c r="CR87" s="11" t="n">
        <f aca="false">IF(CR$1&lt;Units!$P86,0,IF(AND(Units!$K86=0,CR$1=Units!$O86),Units!$R86,IF(AND(CR$1&gt;=Units!$Q86,MOD(CR$1-Units!$Q86,12)=0),IF(AND(Units!$L86=1,CR$1=Units!$Q86),IF(Units!$J86&lt;&gt;"",Units!$J86,Mkt!CR87),Inputs!$B$15*Mkt!CR87+(1-Inputs!$B$15)*MIN(Mkt!CR87,CQ87*(1+Inputs!$B$18))),CQ87)))</f>
        <v>2275.26665103601</v>
      </c>
      <c r="CS87" s="11" t="n">
        <f aca="false">IF(CS$1&lt;Units!$P86,0,IF(AND(Units!$K86=0,CS$1=Units!$O86),Units!$R86,IF(AND(CS$1&gt;=Units!$Q86,MOD(CS$1-Units!$Q86,12)=0),IF(AND(Units!$L86=1,CS$1=Units!$Q86),IF(Units!$J86&lt;&gt;"",Units!$J86,Mkt!CS87),Inputs!$B$15*Mkt!CS87+(1-Inputs!$B$15)*MIN(Mkt!CS87,CR87*(1+Inputs!$B$18))),CR87)))</f>
        <v>2275.26665103601</v>
      </c>
      <c r="CT87" s="11" t="n">
        <f aca="false">IF(CT$1&lt;Units!$P86,0,IF(AND(Units!$K86=0,CT$1=Units!$O86),Units!$R86,IF(AND(CT$1&gt;=Units!$Q86,MOD(CT$1-Units!$Q86,12)=0),IF(AND(Units!$L86=1,CT$1=Units!$Q86),IF(Units!$J86&lt;&gt;"",Units!$J86,Mkt!CT87),Inputs!$B$15*Mkt!CT87+(1-Inputs!$B$15)*MIN(Mkt!CT87,CS87*(1+Inputs!$B$18))),CS87)))</f>
        <v>2275.26665103601</v>
      </c>
      <c r="CU87" s="11" t="n">
        <f aca="false">IF(CU$1&lt;Units!$P86,0,IF(AND(Units!$K86=0,CU$1=Units!$O86),Units!$R86,IF(AND(CU$1&gt;=Units!$Q86,MOD(CU$1-Units!$Q86,12)=0),IF(AND(Units!$L86=1,CU$1=Units!$Q86),IF(Units!$J86&lt;&gt;"",Units!$J86,Mkt!CU87),Inputs!$B$15*Mkt!CU87+(1-Inputs!$B$15)*MIN(Mkt!CU87,CT87*(1+Inputs!$B$18))),CT87)))</f>
        <v>2275.26665103601</v>
      </c>
      <c r="CV87" s="11" t="n">
        <f aca="false">IF(CV$1&lt;Units!$P86,0,IF(AND(Units!$K86=0,CV$1=Units!$O86),Units!$R86,IF(AND(CV$1&gt;=Units!$Q86,MOD(CV$1-Units!$Q86,12)=0),IF(AND(Units!$L86=1,CV$1=Units!$Q86),IF(Units!$J86&lt;&gt;"",Units!$J86,Mkt!CV87),Inputs!$B$15*Mkt!CV87+(1-Inputs!$B$15)*MIN(Mkt!CV87,CU87*(1+Inputs!$B$18))),CU87)))</f>
        <v>2275.26665103601</v>
      </c>
      <c r="CW87" s="11" t="n">
        <f aca="false">IF(CW$1&lt;Units!$P86,0,IF(AND(Units!$K86=0,CW$1=Units!$O86),Units!$R86,IF(AND(CW$1&gt;=Units!$Q86,MOD(CW$1-Units!$Q86,12)=0),IF(AND(Units!$L86=1,CW$1=Units!$Q86),IF(Units!$J86&lt;&gt;"",Units!$J86,Mkt!CW87),Inputs!$B$15*Mkt!CW87+(1-Inputs!$B$15)*MIN(Mkt!CW87,CV87*(1+Inputs!$B$18))),CV87)))</f>
        <v>2275.26665103601</v>
      </c>
      <c r="CX87" s="11" t="n">
        <f aca="false">IF(CX$1&lt;Units!$P86,0,IF(AND(Units!$K86=0,CX$1=Units!$O86),Units!$R86,IF(AND(CX$1&gt;=Units!$Q86,MOD(CX$1-Units!$Q86,12)=0),IF(AND(Units!$L86=1,CX$1=Units!$Q86),IF(Units!$J86&lt;&gt;"",Units!$J86,Mkt!CX87),Inputs!$B$15*Mkt!CX87+(1-Inputs!$B$15)*MIN(Mkt!CX87,CW87*(1+Inputs!$B$18))),CW87)))</f>
        <v>2275.26665103601</v>
      </c>
      <c r="CY87" s="11" t="n">
        <f aca="false">IF(CY$1&lt;Units!$P86,0,IF(AND(Units!$K86=0,CY$1=Units!$O86),Units!$R86,IF(AND(CY$1&gt;=Units!$Q86,MOD(CY$1-Units!$Q86,12)=0),IF(AND(Units!$L86=1,CY$1=Units!$Q86),IF(Units!$J86&lt;&gt;"",Units!$J86,Mkt!CY87),Inputs!$B$15*Mkt!CY87+(1-Inputs!$B$15)*MIN(Mkt!CY87,CX87*(1+Inputs!$B$18))),CX87)))</f>
        <v>2275.26665103601</v>
      </c>
      <c r="CZ87" s="11" t="n">
        <f aca="false">IF(CZ$1&lt;Units!$P86,0,IF(AND(Units!$K86=0,CZ$1=Units!$O86),Units!$R86,IF(AND(CZ$1&gt;=Units!$Q86,MOD(CZ$1-Units!$Q86,12)=0),IF(AND(Units!$L86=1,CZ$1=Units!$Q86),IF(Units!$J86&lt;&gt;"",Units!$J86,Mkt!CZ87),Inputs!$B$15*Mkt!CZ87+(1-Inputs!$B$15)*MIN(Mkt!CZ87,CY87*(1+Inputs!$B$18))),CY87)))</f>
        <v>2275.26665103601</v>
      </c>
      <c r="DA87" s="11" t="n">
        <f aca="false">IF(DA$1&lt;Units!$P86,0,IF(AND(Units!$K86=0,DA$1=Units!$O86),Units!$R86,IF(AND(DA$1&gt;=Units!$Q86,MOD(DA$1-Units!$Q86,12)=0),IF(AND(Units!$L86=1,DA$1=Units!$Q86),IF(Units!$J86&lt;&gt;"",Units!$J86,Mkt!DA87),Inputs!$B$15*Mkt!DA87+(1-Inputs!$B$15)*MIN(Mkt!DA87,CZ87*(1+Inputs!$B$18))),CZ87)))</f>
        <v>2275.26665103601</v>
      </c>
      <c r="DB87" s="11" t="n">
        <f aca="false">IF(DB$1&lt;Units!$P86,0,IF(AND(Units!$K86=0,DB$1=Units!$O86),Units!$R86,IF(AND(DB$1&gt;=Units!$Q86,MOD(DB$1-Units!$Q86,12)=0),IF(AND(Units!$L86=1,DB$1=Units!$Q86),IF(Units!$J86&lt;&gt;"",Units!$J86,Mkt!DB87),Inputs!$B$15*Mkt!DB87+(1-Inputs!$B$15)*MIN(Mkt!DB87,DA87*(1+Inputs!$B$18))),DA87)))</f>
        <v>2343.52465056709</v>
      </c>
      <c r="DC87" s="11" t="n">
        <f aca="false">IF(DC$1&lt;Units!$P86,0,IF(AND(Units!$K86=0,DC$1=Units!$O86),Units!$R86,IF(AND(DC$1&gt;=Units!$Q86,MOD(DC$1-Units!$Q86,12)=0),IF(AND(Units!$L86=1,DC$1=Units!$Q86),IF(Units!$J86&lt;&gt;"",Units!$J86,Mkt!DC87),Inputs!$B$15*Mkt!DC87+(1-Inputs!$B$15)*MIN(Mkt!DC87,DB87*(1+Inputs!$B$18))),DB87)))</f>
        <v>2343.52465056709</v>
      </c>
      <c r="DD87" s="11" t="n">
        <f aca="false">IF(DD$1&lt;Units!$P86,0,IF(AND(Units!$K86=0,DD$1=Units!$O86),Units!$R86,IF(AND(DD$1&gt;=Units!$Q86,MOD(DD$1-Units!$Q86,12)=0),IF(AND(Units!$L86=1,DD$1=Units!$Q86),IF(Units!$J86&lt;&gt;"",Units!$J86,Mkt!DD87),Inputs!$B$15*Mkt!DD87+(1-Inputs!$B$15)*MIN(Mkt!DD87,DC87*(1+Inputs!$B$18))),DC87)))</f>
        <v>2343.52465056709</v>
      </c>
      <c r="DE87" s="11" t="n">
        <f aca="false">IF(DE$1&lt;Units!$P86,0,IF(AND(Units!$K86=0,DE$1=Units!$O86),Units!$R86,IF(AND(DE$1&gt;=Units!$Q86,MOD(DE$1-Units!$Q86,12)=0),IF(AND(Units!$L86=1,DE$1=Units!$Q86),IF(Units!$J86&lt;&gt;"",Units!$J86,Mkt!DE87),Inputs!$B$15*Mkt!DE87+(1-Inputs!$B$15)*MIN(Mkt!DE87,DD87*(1+Inputs!$B$18))),DD87)))</f>
        <v>2343.52465056709</v>
      </c>
      <c r="DF87" s="11" t="n">
        <f aca="false">IF(DF$1&lt;Units!$P86,0,IF(AND(Units!$K86=0,DF$1=Units!$O86),Units!$R86,IF(AND(DF$1&gt;=Units!$Q86,MOD(DF$1-Units!$Q86,12)=0),IF(AND(Units!$L86=1,DF$1=Units!$Q86),IF(Units!$J86&lt;&gt;"",Units!$J86,Mkt!DF87),Inputs!$B$15*Mkt!DF87+(1-Inputs!$B$15)*MIN(Mkt!DF87,DE87*(1+Inputs!$B$18))),DE87)))</f>
        <v>2343.52465056709</v>
      </c>
      <c r="DG87" s="11" t="n">
        <f aca="false">IF(DG$1&lt;Units!$P86,0,IF(AND(Units!$K86=0,DG$1=Units!$O86),Units!$R86,IF(AND(DG$1&gt;=Units!$Q86,MOD(DG$1-Units!$Q86,12)=0),IF(AND(Units!$L86=1,DG$1=Units!$Q86),IF(Units!$J86&lt;&gt;"",Units!$J86,Mkt!DG87),Inputs!$B$15*Mkt!DG87+(1-Inputs!$B$15)*MIN(Mkt!DG87,DF87*(1+Inputs!$B$18))),DF87)))</f>
        <v>2343.52465056709</v>
      </c>
      <c r="DH87" s="11" t="n">
        <f aca="false">IF(DH$1&lt;Units!$P86,0,IF(AND(Units!$K86=0,DH$1=Units!$O86),Units!$R86,IF(AND(DH$1&gt;=Units!$Q86,MOD(DH$1-Units!$Q86,12)=0),IF(AND(Units!$L86=1,DH$1=Units!$Q86),IF(Units!$J86&lt;&gt;"",Units!$J86,Mkt!DH87),Inputs!$B$15*Mkt!DH87+(1-Inputs!$B$15)*MIN(Mkt!DH87,DG87*(1+Inputs!$B$18))),DG87)))</f>
        <v>2343.52465056709</v>
      </c>
      <c r="DI87" s="11" t="n">
        <f aca="false">IF(DI$1&lt;Units!$P86,0,IF(AND(Units!$K86=0,DI$1=Units!$O86),Units!$R86,IF(AND(DI$1&gt;=Units!$Q86,MOD(DI$1-Units!$Q86,12)=0),IF(AND(Units!$L86=1,DI$1=Units!$Q86),IF(Units!$J86&lt;&gt;"",Units!$J86,Mkt!DI87),Inputs!$B$15*Mkt!DI87+(1-Inputs!$B$15)*MIN(Mkt!DI87,DH87*(1+Inputs!$B$18))),DH87)))</f>
        <v>2343.52465056709</v>
      </c>
      <c r="DJ87" s="11" t="n">
        <f aca="false">IF(DJ$1&lt;Units!$P86,0,IF(AND(Units!$K86=0,DJ$1=Units!$O86),Units!$R86,IF(AND(DJ$1&gt;=Units!$Q86,MOD(DJ$1-Units!$Q86,12)=0),IF(AND(Units!$L86=1,DJ$1=Units!$Q86),IF(Units!$J86&lt;&gt;"",Units!$J86,Mkt!DJ87),Inputs!$B$15*Mkt!DJ87+(1-Inputs!$B$15)*MIN(Mkt!DJ87,DI87*(1+Inputs!$B$18))),DI87)))</f>
        <v>2343.52465056709</v>
      </c>
      <c r="DK87" s="11" t="n">
        <f aca="false">IF(DK$1&lt;Units!$P86,0,IF(AND(Units!$K86=0,DK$1=Units!$O86),Units!$R86,IF(AND(DK$1&gt;=Units!$Q86,MOD(DK$1-Units!$Q86,12)=0),IF(AND(Units!$L86=1,DK$1=Units!$Q86),IF(Units!$J86&lt;&gt;"",Units!$J86,Mkt!DK87),Inputs!$B$15*Mkt!DK87+(1-Inputs!$B$15)*MIN(Mkt!DK87,DJ87*(1+Inputs!$B$18))),DJ87)))</f>
        <v>2343.52465056709</v>
      </c>
      <c r="DL87" s="11" t="n">
        <f aca="false">IF(DL$1&lt;Units!$P86,0,IF(AND(Units!$K86=0,DL$1=Units!$O86),Units!$R86,IF(AND(DL$1&gt;=Units!$Q86,MOD(DL$1-Units!$Q86,12)=0),IF(AND(Units!$L86=1,DL$1=Units!$Q86),IF(Units!$J86&lt;&gt;"",Units!$J86,Mkt!DL87),Inputs!$B$15*Mkt!DL87+(1-Inputs!$B$15)*MIN(Mkt!DL87,DK87*(1+Inputs!$B$18))),DK87)))</f>
        <v>2343.52465056709</v>
      </c>
      <c r="DM87" s="11" t="n">
        <f aca="false">IF(DM$1&lt;Units!$P86,0,IF(AND(Units!$K86=0,DM$1=Units!$O86),Units!$R86,IF(AND(DM$1&gt;=Units!$Q86,MOD(DM$1-Units!$Q86,12)=0),IF(AND(Units!$L86=1,DM$1=Units!$Q86),IF(Units!$J86&lt;&gt;"",Units!$J86,Mkt!DM87),Inputs!$B$15*Mkt!DM87+(1-Inputs!$B$15)*MIN(Mkt!DM87,DL87*(1+Inputs!$B$18))),DL87)))</f>
        <v>2343.52465056709</v>
      </c>
      <c r="DN87" s="11" t="n">
        <f aca="false">IF(DN$1&lt;Units!$P86,0,IF(AND(Units!$K86=0,DN$1=Units!$O86),Units!$R86,IF(AND(DN$1&gt;=Units!$Q86,MOD(DN$1-Units!$Q86,12)=0),IF(AND(Units!$L86=1,DN$1=Units!$Q86),IF(Units!$J86&lt;&gt;"",Units!$J86,Mkt!DN87),Inputs!$B$15*Mkt!DN87+(1-Inputs!$B$15)*MIN(Mkt!DN87,DM87*(1+Inputs!$B$18))),DM87)))</f>
        <v>2413.8303900841</v>
      </c>
      <c r="DO87" s="11" t="n">
        <f aca="false">IF(DO$1&lt;Units!$P86,0,IF(AND(Units!$K86=0,DO$1=Units!$O86),Units!$R86,IF(AND(DO$1&gt;=Units!$Q86,MOD(DO$1-Units!$Q86,12)=0),IF(AND(Units!$L86=1,DO$1=Units!$Q86),IF(Units!$J86&lt;&gt;"",Units!$J86,Mkt!DO87),Inputs!$B$15*Mkt!DO87+(1-Inputs!$B$15)*MIN(Mkt!DO87,DN87*(1+Inputs!$B$18))),DN87)))</f>
        <v>2413.8303900841</v>
      </c>
      <c r="DP87" s="11" t="n">
        <f aca="false">IF(DP$1&lt;Units!$P86,0,IF(AND(Units!$K86=0,DP$1=Units!$O86),Units!$R86,IF(AND(DP$1&gt;=Units!$Q86,MOD(DP$1-Units!$Q86,12)=0),IF(AND(Units!$L86=1,DP$1=Units!$Q86),IF(Units!$J86&lt;&gt;"",Units!$J86,Mkt!DP87),Inputs!$B$15*Mkt!DP87+(1-Inputs!$B$15)*MIN(Mkt!DP87,DO87*(1+Inputs!$B$18))),DO87)))</f>
        <v>2413.8303900841</v>
      </c>
      <c r="DQ87" s="11" t="n">
        <f aca="false">IF(DQ$1&lt;Units!$P86,0,IF(AND(Units!$K86=0,DQ$1=Units!$O86),Units!$R86,IF(AND(DQ$1&gt;=Units!$Q86,MOD(DQ$1-Units!$Q86,12)=0),IF(AND(Units!$L86=1,DQ$1=Units!$Q86),IF(Units!$J86&lt;&gt;"",Units!$J86,Mkt!DQ87),Inputs!$B$15*Mkt!DQ87+(1-Inputs!$B$15)*MIN(Mkt!DQ87,DP87*(1+Inputs!$B$18))),DP87)))</f>
        <v>2413.8303900841</v>
      </c>
      <c r="DR87" s="11" t="n">
        <f aca="false">IF(DR$1&lt;Units!$P86,0,IF(AND(Units!$K86=0,DR$1=Units!$O86),Units!$R86,IF(AND(DR$1&gt;=Units!$Q86,MOD(DR$1-Units!$Q86,12)=0),IF(AND(Units!$L86=1,DR$1=Units!$Q86),IF(Units!$J86&lt;&gt;"",Units!$J86,Mkt!DR87),Inputs!$B$15*Mkt!DR87+(1-Inputs!$B$15)*MIN(Mkt!DR87,DQ87*(1+Inputs!$B$18))),DQ87)))</f>
        <v>2413.8303900841</v>
      </c>
      <c r="DS87" s="11" t="n">
        <f aca="false">IF(DS$1&lt;Units!$P86,0,IF(AND(Units!$K86=0,DS$1=Units!$O86),Units!$R86,IF(AND(DS$1&gt;=Units!$Q86,MOD(DS$1-Units!$Q86,12)=0),IF(AND(Units!$L86=1,DS$1=Units!$Q86),IF(Units!$J86&lt;&gt;"",Units!$J86,Mkt!DS87),Inputs!$B$15*Mkt!DS87+(1-Inputs!$B$15)*MIN(Mkt!DS87,DR87*(1+Inputs!$B$18))),DR87)))</f>
        <v>2413.8303900841</v>
      </c>
      <c r="DT87" s="11" t="n">
        <f aca="false">IF(DT$1&lt;Units!$P86,0,IF(AND(Units!$K86=0,DT$1=Units!$O86),Units!$R86,IF(AND(DT$1&gt;=Units!$Q86,MOD(DT$1-Units!$Q86,12)=0),IF(AND(Units!$L86=1,DT$1=Units!$Q86),IF(Units!$J86&lt;&gt;"",Units!$J86,Mkt!DT87),Inputs!$B$15*Mkt!DT87+(1-Inputs!$B$15)*MIN(Mkt!DT87,DS87*(1+Inputs!$B$18))),DS87)))</f>
        <v>2413.8303900841</v>
      </c>
      <c r="DU87" s="11" t="n">
        <f aca="false">IF(DU$1&lt;Units!$P86,0,IF(AND(Units!$K86=0,DU$1=Units!$O86),Units!$R86,IF(AND(DU$1&gt;=Units!$Q86,MOD(DU$1-Units!$Q86,12)=0),IF(AND(Units!$L86=1,DU$1=Units!$Q86),IF(Units!$J86&lt;&gt;"",Units!$J86,Mkt!DU87),Inputs!$B$15*Mkt!DU87+(1-Inputs!$B$15)*MIN(Mkt!DU87,DT87*(1+Inputs!$B$18))),DT87)))</f>
        <v>2413.8303900841</v>
      </c>
      <c r="DV87" s="11" t="n">
        <f aca="false">IF(DV$1&lt;Units!$P86,0,IF(AND(Units!$K86=0,DV$1=Units!$O86),Units!$R86,IF(AND(DV$1&gt;=Units!$Q86,MOD(DV$1-Units!$Q86,12)=0),IF(AND(Units!$L86=1,DV$1=Units!$Q86),IF(Units!$J86&lt;&gt;"",Units!$J86,Mkt!DV87),Inputs!$B$15*Mkt!DV87+(1-Inputs!$B$15)*MIN(Mkt!DV87,DU87*(1+Inputs!$B$18))),DU87)))</f>
        <v>2413.8303900841</v>
      </c>
      <c r="DW87" s="11" t="n">
        <f aca="false">IF(DW$1&lt;Units!$P86,0,IF(AND(Units!$K86=0,DW$1=Units!$O86),Units!$R86,IF(AND(DW$1&gt;=Units!$Q86,MOD(DW$1-Units!$Q86,12)=0),IF(AND(Units!$L86=1,DW$1=Units!$Q86),IF(Units!$J86&lt;&gt;"",Units!$J86,Mkt!DW87),Inputs!$B$15*Mkt!DW87+(1-Inputs!$B$15)*MIN(Mkt!DW87,DV87*(1+Inputs!$B$18))),DV87)))</f>
        <v>2413.8303900841</v>
      </c>
      <c r="DX87" s="11" t="n">
        <f aca="false">IF(DX$1&lt;Units!$P86,0,IF(AND(Units!$K86=0,DX$1=Units!$O86),Units!$R86,IF(AND(DX$1&gt;=Units!$Q86,MOD(DX$1-Units!$Q86,12)=0),IF(AND(Units!$L86=1,DX$1=Units!$Q86),IF(Units!$J86&lt;&gt;"",Units!$J86,Mkt!DX87),Inputs!$B$15*Mkt!DX87+(1-Inputs!$B$15)*MIN(Mkt!DX87,DW87*(1+Inputs!$B$18))),DW87)))</f>
        <v>2413.8303900841</v>
      </c>
      <c r="DY87" s="11" t="n">
        <f aca="false">IF(DY$1&lt;Units!$P86,0,IF(AND(Units!$K86=0,DY$1=Units!$O86),Units!$R86,IF(AND(DY$1&gt;=Units!$Q86,MOD(DY$1-Units!$Q86,12)=0),IF(AND(Units!$L86=1,DY$1=Units!$Q86),IF(Units!$J86&lt;&gt;"",Units!$J86,Mkt!DY87),Inputs!$B$15*Mkt!DY87+(1-Inputs!$B$15)*MIN(Mkt!DY87,DX87*(1+Inputs!$B$18))),DX87)))</f>
        <v>2413.8303900841</v>
      </c>
      <c r="DZ87" s="11" t="n">
        <f aca="false">IF(DZ$1&lt;Units!$P86,0,IF(AND(Units!$K86=0,DZ$1=Units!$O86),Units!$R86,IF(AND(DZ$1&gt;=Units!$Q86,MOD(DZ$1-Units!$Q86,12)=0),IF(AND(Units!$L86=1,DZ$1=Units!$Q86),IF(Units!$J86&lt;&gt;"",Units!$J86,Mkt!DZ87),Inputs!$B$15*Mkt!DZ87+(1-Inputs!$B$15)*MIN(Mkt!DZ87,DY87*(1+Inputs!$B$18))),DY87)))</f>
        <v>2486.24530178663</v>
      </c>
      <c r="EA87" s="11" t="n">
        <f aca="false">IF(EA$1&lt;Units!$P86,0,IF(AND(Units!$K86=0,EA$1=Units!$O86),Units!$R86,IF(AND(EA$1&gt;=Units!$Q86,MOD(EA$1-Units!$Q86,12)=0),IF(AND(Units!$L86=1,EA$1=Units!$Q86),IF(Units!$J86&lt;&gt;"",Units!$J86,Mkt!EA87),Inputs!$B$15*Mkt!EA87+(1-Inputs!$B$15)*MIN(Mkt!EA87,DZ87*(1+Inputs!$B$18))),DZ87)))</f>
        <v>2486.24530178663</v>
      </c>
      <c r="EB87" s="11" t="n">
        <f aca="false">IF(EB$1&lt;Units!$P86,0,IF(AND(Units!$K86=0,EB$1=Units!$O86),Units!$R86,IF(AND(EB$1&gt;=Units!$Q86,MOD(EB$1-Units!$Q86,12)=0),IF(AND(Units!$L86=1,EB$1=Units!$Q86),IF(Units!$J86&lt;&gt;"",Units!$J86,Mkt!EB87),Inputs!$B$15*Mkt!EB87+(1-Inputs!$B$15)*MIN(Mkt!EB87,EA87*(1+Inputs!$B$18))),EA87)))</f>
        <v>2486.24530178663</v>
      </c>
      <c r="EC87" s="11" t="n">
        <f aca="false">IF(EC$1&lt;Units!$P86,0,IF(AND(Units!$K86=0,EC$1=Units!$O86),Units!$R86,IF(AND(EC$1&gt;=Units!$Q86,MOD(EC$1-Units!$Q86,12)=0),IF(AND(Units!$L86=1,EC$1=Units!$Q86),IF(Units!$J86&lt;&gt;"",Units!$J86,Mkt!EC87),Inputs!$B$15*Mkt!EC87+(1-Inputs!$B$15)*MIN(Mkt!EC87,EB87*(1+Inputs!$B$18))),EB87)))</f>
        <v>2486.24530178663</v>
      </c>
      <c r="ED87" s="11" t="n">
        <f aca="false">IF(ED$1&lt;Units!$P86,0,IF(AND(Units!$K86=0,ED$1=Units!$O86),Units!$R86,IF(AND(ED$1&gt;=Units!$Q86,MOD(ED$1-Units!$Q86,12)=0),IF(AND(Units!$L86=1,ED$1=Units!$Q86),IF(Units!$J86&lt;&gt;"",Units!$J86,Mkt!ED87),Inputs!$B$15*Mkt!ED87+(1-Inputs!$B$15)*MIN(Mkt!ED87,EC87*(1+Inputs!$B$18))),EC87)))</f>
        <v>2486.24530178663</v>
      </c>
    </row>
    <row r="88" customFormat="false" ht="15" hidden="false" customHeight="false" outlineLevel="0" collapsed="false">
      <c r="A88" s="22" t="n">
        <f aca="false">Units!A87</f>
        <v>326</v>
      </c>
      <c r="B88" s="24" t="n">
        <f aca="false">IF(Units!K87=1,Units!F87,0)</f>
        <v>1910</v>
      </c>
      <c r="C88" s="11" t="n">
        <f aca="false">IF(C$1&lt;Units!$P87,0,IF(AND(Units!$K87=0,C$1=Units!$O87),Units!$R87,IF(AND(C$1&gt;=Units!$Q87,MOD(C$1-Units!$Q87,12)=0),IF(AND(Units!$L87=1,C$1=Units!$Q87),IF(Units!$J87&lt;&gt;"",Units!$J87,Mkt!C88),Inputs!$B$15*Mkt!C88+(1-Inputs!$B$15)*MIN(Mkt!C88,B88*(1+Inputs!$B$18))),B88)))</f>
        <v>1910</v>
      </c>
      <c r="D88" s="11" t="n">
        <f aca="false">IF(D$1&lt;Units!$P87,0,IF(AND(Units!$K87=0,D$1=Units!$O87),Units!$R87,IF(AND(D$1&gt;=Units!$Q87,MOD(D$1-Units!$Q87,12)=0),IF(AND(Units!$L87=1,D$1=Units!$Q87),IF(Units!$J87&lt;&gt;"",Units!$J87,Mkt!D88),Inputs!$B$15*Mkt!D88+(1-Inputs!$B$15)*MIN(Mkt!D88,C88*(1+Inputs!$B$18))),C88)))</f>
        <v>1910</v>
      </c>
      <c r="E88" s="11" t="n">
        <f aca="false">IF(E$1&lt;Units!$P87,0,IF(AND(Units!$K87=0,E$1=Units!$O87),Units!$R87,IF(AND(E$1&gt;=Units!$Q87,MOD(E$1-Units!$Q87,12)=0),IF(AND(Units!$L87=1,E$1=Units!$Q87),IF(Units!$J87&lt;&gt;"",Units!$J87,Mkt!E88),Inputs!$B$15*Mkt!E88+(1-Inputs!$B$15)*MIN(Mkt!E88,D88*(1+Inputs!$B$18))),D88)))</f>
        <v>1910</v>
      </c>
      <c r="F88" s="11" t="n">
        <f aca="false">IF(F$1&lt;Units!$P87,0,IF(AND(Units!$K87=0,F$1=Units!$O87),Units!$R87,IF(AND(F$1&gt;=Units!$Q87,MOD(F$1-Units!$Q87,12)=0),IF(AND(Units!$L87=1,F$1=Units!$Q87),IF(Units!$J87&lt;&gt;"",Units!$J87,Mkt!F88),Inputs!$B$15*Mkt!F88+(1-Inputs!$B$15)*MIN(Mkt!F88,E88*(1+Inputs!$B$18))),E88)))</f>
        <v>1910</v>
      </c>
      <c r="G88" s="11" t="n">
        <f aca="false">IF(G$1&lt;Units!$P87,0,IF(AND(Units!$K87=0,G$1=Units!$O87),Units!$R87,IF(AND(G$1&gt;=Units!$Q87,MOD(G$1-Units!$Q87,12)=0),IF(AND(Units!$L87=1,G$1=Units!$Q87),IF(Units!$J87&lt;&gt;"",Units!$J87,Mkt!G88),Inputs!$B$15*Mkt!G88+(1-Inputs!$B$15)*MIN(Mkt!G88,F88*(1+Inputs!$B$18))),F88)))</f>
        <v>1910</v>
      </c>
      <c r="H88" s="11" t="n">
        <f aca="false">IF(H$1&lt;Units!$P87,0,IF(AND(Units!$K87=0,H$1=Units!$O87),Units!$R87,IF(AND(H$1&gt;=Units!$Q87,MOD(H$1-Units!$Q87,12)=0),IF(AND(Units!$L87=1,H$1=Units!$Q87),IF(Units!$J87&lt;&gt;"",Units!$J87,Mkt!H88),Inputs!$B$15*Mkt!H88+(1-Inputs!$B$15)*MIN(Mkt!H88,G88*(1+Inputs!$B$18))),G88)))</f>
        <v>1910</v>
      </c>
      <c r="I88" s="11" t="n">
        <f aca="false">IF(I$1&lt;Units!$P87,0,IF(AND(Units!$K87=0,I$1=Units!$O87),Units!$R87,IF(AND(I$1&gt;=Units!$Q87,MOD(I$1-Units!$Q87,12)=0),IF(AND(Units!$L87=1,I$1=Units!$Q87),IF(Units!$J87&lt;&gt;"",Units!$J87,Mkt!I88),Inputs!$B$15*Mkt!I88+(1-Inputs!$B$15)*MIN(Mkt!I88,H88*(1+Inputs!$B$18))),H88)))</f>
        <v>1850</v>
      </c>
      <c r="J88" s="11" t="n">
        <f aca="false">IF(J$1&lt;Units!$P87,0,IF(AND(Units!$K87=0,J$1=Units!$O87),Units!$R87,IF(AND(J$1&gt;=Units!$Q87,MOD(J$1-Units!$Q87,12)=0),IF(AND(Units!$L87=1,J$1=Units!$Q87),IF(Units!$J87&lt;&gt;"",Units!$J87,Mkt!J88),Inputs!$B$15*Mkt!J88+(1-Inputs!$B$15)*MIN(Mkt!J88,I88*(1+Inputs!$B$18))),I88)))</f>
        <v>1850</v>
      </c>
      <c r="K88" s="11" t="n">
        <f aca="false">IF(K$1&lt;Units!$P87,0,IF(AND(Units!$K87=0,K$1=Units!$O87),Units!$R87,IF(AND(K$1&gt;=Units!$Q87,MOD(K$1-Units!$Q87,12)=0),IF(AND(Units!$L87=1,K$1=Units!$Q87),IF(Units!$J87&lt;&gt;"",Units!$J87,Mkt!K88),Inputs!$B$15*Mkt!K88+(1-Inputs!$B$15)*MIN(Mkt!K88,J88*(1+Inputs!$B$18))),J88)))</f>
        <v>1850</v>
      </c>
      <c r="L88" s="11" t="n">
        <f aca="false">IF(L$1&lt;Units!$P87,0,IF(AND(Units!$K87=0,L$1=Units!$O87),Units!$R87,IF(AND(L$1&gt;=Units!$Q87,MOD(L$1-Units!$Q87,12)=0),IF(AND(Units!$L87=1,L$1=Units!$Q87),IF(Units!$J87&lt;&gt;"",Units!$J87,Mkt!L88),Inputs!$B$15*Mkt!L88+(1-Inputs!$B$15)*MIN(Mkt!L88,K88*(1+Inputs!$B$18))),K88)))</f>
        <v>1850</v>
      </c>
      <c r="M88" s="11" t="n">
        <f aca="false">IF(M$1&lt;Units!$P87,0,IF(AND(Units!$K87=0,M$1=Units!$O87),Units!$R87,IF(AND(M$1&gt;=Units!$Q87,MOD(M$1-Units!$Q87,12)=0),IF(AND(Units!$L87=1,M$1=Units!$Q87),IF(Units!$J87&lt;&gt;"",Units!$J87,Mkt!M88),Inputs!$B$15*Mkt!M88+(1-Inputs!$B$15)*MIN(Mkt!M88,L88*(1+Inputs!$B$18))),L88)))</f>
        <v>1850</v>
      </c>
      <c r="N88" s="11" t="n">
        <f aca="false">IF(N$1&lt;Units!$P87,0,IF(AND(Units!$K87=0,N$1=Units!$O87),Units!$R87,IF(AND(N$1&gt;=Units!$Q87,MOD(N$1-Units!$Q87,12)=0),IF(AND(Units!$L87=1,N$1=Units!$Q87),IF(Units!$J87&lt;&gt;"",Units!$J87,Mkt!N88),Inputs!$B$15*Mkt!N88+(1-Inputs!$B$15)*MIN(Mkt!N88,M88*(1+Inputs!$B$18))),M88)))</f>
        <v>1850</v>
      </c>
      <c r="O88" s="11" t="n">
        <f aca="false">IF(O$1&lt;Units!$P87,0,IF(AND(Units!$K87=0,O$1=Units!$O87),Units!$R87,IF(AND(O$1&gt;=Units!$Q87,MOD(O$1-Units!$Q87,12)=0),IF(AND(Units!$L87=1,O$1=Units!$Q87),IF(Units!$J87&lt;&gt;"",Units!$J87,Mkt!O88),Inputs!$B$15*Mkt!O88+(1-Inputs!$B$15)*MIN(Mkt!O88,N88*(1+Inputs!$B$18))),N88)))</f>
        <v>1850</v>
      </c>
      <c r="P88" s="11" t="n">
        <f aca="false">IF(P$1&lt;Units!$P87,0,IF(AND(Units!$K87=0,P$1=Units!$O87),Units!$R87,IF(AND(P$1&gt;=Units!$Q87,MOD(P$1-Units!$Q87,12)=0),IF(AND(Units!$L87=1,P$1=Units!$Q87),IF(Units!$J87&lt;&gt;"",Units!$J87,Mkt!P88),Inputs!$B$15*Mkt!P88+(1-Inputs!$B$15)*MIN(Mkt!P88,O88*(1+Inputs!$B$18))),O88)))</f>
        <v>1850</v>
      </c>
      <c r="Q88" s="11" t="n">
        <f aca="false">IF(Q$1&lt;Units!$P87,0,IF(AND(Units!$K87=0,Q$1=Units!$O87),Units!$R87,IF(AND(Q$1&gt;=Units!$Q87,MOD(Q$1-Units!$Q87,12)=0),IF(AND(Units!$L87=1,Q$1=Units!$Q87),IF(Units!$J87&lt;&gt;"",Units!$J87,Mkt!Q88),Inputs!$B$15*Mkt!Q88+(1-Inputs!$B$15)*MIN(Mkt!Q88,P88*(1+Inputs!$B$18))),P88)))</f>
        <v>1850</v>
      </c>
      <c r="R88" s="11" t="n">
        <f aca="false">IF(R$1&lt;Units!$P87,0,IF(AND(Units!$K87=0,R$1=Units!$O87),Units!$R87,IF(AND(R$1&gt;=Units!$Q87,MOD(R$1-Units!$Q87,12)=0),IF(AND(Units!$L87=1,R$1=Units!$Q87),IF(Units!$J87&lt;&gt;"",Units!$J87,Mkt!R88),Inputs!$B$15*Mkt!R88+(1-Inputs!$B$15)*MIN(Mkt!R88,Q88*(1+Inputs!$B$18))),Q88)))</f>
        <v>1850</v>
      </c>
      <c r="S88" s="11" t="n">
        <f aca="false">IF(S$1&lt;Units!$P87,0,IF(AND(Units!$K87=0,S$1=Units!$O87),Units!$R87,IF(AND(S$1&gt;=Units!$Q87,MOD(S$1-Units!$Q87,12)=0),IF(AND(Units!$L87=1,S$1=Units!$Q87),IF(Units!$J87&lt;&gt;"",Units!$J87,Mkt!S88),Inputs!$B$15*Mkt!S88+(1-Inputs!$B$15)*MIN(Mkt!S88,R88*(1+Inputs!$B$18))),R88)))</f>
        <v>1850</v>
      </c>
      <c r="T88" s="11" t="n">
        <f aca="false">IF(T$1&lt;Units!$P87,0,IF(AND(Units!$K87=0,T$1=Units!$O87),Units!$R87,IF(AND(T$1&gt;=Units!$Q87,MOD(T$1-Units!$Q87,12)=0),IF(AND(Units!$L87=1,T$1=Units!$Q87),IF(Units!$J87&lt;&gt;"",Units!$J87,Mkt!T88),Inputs!$B$15*Mkt!T88+(1-Inputs!$B$15)*MIN(Mkt!T88,S88*(1+Inputs!$B$18))),S88)))</f>
        <v>1850</v>
      </c>
      <c r="U88" s="11" t="n">
        <f aca="false">IF(U$1&lt;Units!$P87,0,IF(AND(Units!$K87=0,U$1=Units!$O87),Units!$R87,IF(AND(U$1&gt;=Units!$Q87,MOD(U$1-Units!$Q87,12)=0),IF(AND(Units!$L87=1,U$1=Units!$Q87),IF(Units!$J87&lt;&gt;"",Units!$J87,Mkt!U88),Inputs!$B$15*Mkt!U88+(1-Inputs!$B$15)*MIN(Mkt!U88,T88*(1+Inputs!$B$18))),T88)))</f>
        <v>1905.5</v>
      </c>
      <c r="V88" s="11" t="n">
        <f aca="false">IF(V$1&lt;Units!$P87,0,IF(AND(Units!$K87=0,V$1=Units!$O87),Units!$R87,IF(AND(V$1&gt;=Units!$Q87,MOD(V$1-Units!$Q87,12)=0),IF(AND(Units!$L87=1,V$1=Units!$Q87),IF(Units!$J87&lt;&gt;"",Units!$J87,Mkt!V88),Inputs!$B$15*Mkt!V88+(1-Inputs!$B$15)*MIN(Mkt!V88,U88*(1+Inputs!$B$18))),U88)))</f>
        <v>1905.5</v>
      </c>
      <c r="W88" s="11" t="n">
        <f aca="false">IF(W$1&lt;Units!$P87,0,IF(AND(Units!$K87=0,W$1=Units!$O87),Units!$R87,IF(AND(W$1&gt;=Units!$Q87,MOD(W$1-Units!$Q87,12)=0),IF(AND(Units!$L87=1,W$1=Units!$Q87),IF(Units!$J87&lt;&gt;"",Units!$J87,Mkt!W88),Inputs!$B$15*Mkt!W88+(1-Inputs!$B$15)*MIN(Mkt!W88,V88*(1+Inputs!$B$18))),V88)))</f>
        <v>1905.5</v>
      </c>
      <c r="X88" s="11" t="n">
        <f aca="false">IF(X$1&lt;Units!$P87,0,IF(AND(Units!$K87=0,X$1=Units!$O87),Units!$R87,IF(AND(X$1&gt;=Units!$Q87,MOD(X$1-Units!$Q87,12)=0),IF(AND(Units!$L87=1,X$1=Units!$Q87),IF(Units!$J87&lt;&gt;"",Units!$J87,Mkt!X88),Inputs!$B$15*Mkt!X88+(1-Inputs!$B$15)*MIN(Mkt!X88,W88*(1+Inputs!$B$18))),W88)))</f>
        <v>1905.5</v>
      </c>
      <c r="Y88" s="11" t="n">
        <f aca="false">IF(Y$1&lt;Units!$P87,0,IF(AND(Units!$K87=0,Y$1=Units!$O87),Units!$R87,IF(AND(Y$1&gt;=Units!$Q87,MOD(Y$1-Units!$Q87,12)=0),IF(AND(Units!$L87=1,Y$1=Units!$Q87),IF(Units!$J87&lt;&gt;"",Units!$J87,Mkt!Y88),Inputs!$B$15*Mkt!Y88+(1-Inputs!$B$15)*MIN(Mkt!Y88,X88*(1+Inputs!$B$18))),X88)))</f>
        <v>1905.5</v>
      </c>
      <c r="Z88" s="11" t="n">
        <f aca="false">IF(Z$1&lt;Units!$P87,0,IF(AND(Units!$K87=0,Z$1=Units!$O87),Units!$R87,IF(AND(Z$1&gt;=Units!$Q87,MOD(Z$1-Units!$Q87,12)=0),IF(AND(Units!$L87=1,Z$1=Units!$Q87),IF(Units!$J87&lt;&gt;"",Units!$J87,Mkt!Z88),Inputs!$B$15*Mkt!Z88+(1-Inputs!$B$15)*MIN(Mkt!Z88,Y88*(1+Inputs!$B$18))),Y88)))</f>
        <v>1905.5</v>
      </c>
      <c r="AA88" s="11" t="n">
        <f aca="false">IF(AA$1&lt;Units!$P87,0,IF(AND(Units!$K87=0,AA$1=Units!$O87),Units!$R87,IF(AND(AA$1&gt;=Units!$Q87,MOD(AA$1-Units!$Q87,12)=0),IF(AND(Units!$L87=1,AA$1=Units!$Q87),IF(Units!$J87&lt;&gt;"",Units!$J87,Mkt!AA88),Inputs!$B$15*Mkt!AA88+(1-Inputs!$B$15)*MIN(Mkt!AA88,Z88*(1+Inputs!$B$18))),Z88)))</f>
        <v>1905.5</v>
      </c>
      <c r="AB88" s="11" t="n">
        <f aca="false">IF(AB$1&lt;Units!$P87,0,IF(AND(Units!$K87=0,AB$1=Units!$O87),Units!$R87,IF(AND(AB$1&gt;=Units!$Q87,MOD(AB$1-Units!$Q87,12)=0),IF(AND(Units!$L87=1,AB$1=Units!$Q87),IF(Units!$J87&lt;&gt;"",Units!$J87,Mkt!AB88),Inputs!$B$15*Mkt!AB88+(1-Inputs!$B$15)*MIN(Mkt!AB88,AA88*(1+Inputs!$B$18))),AA88)))</f>
        <v>1905.5</v>
      </c>
      <c r="AC88" s="11" t="n">
        <f aca="false">IF(AC$1&lt;Units!$P87,0,IF(AND(Units!$K87=0,AC$1=Units!$O87),Units!$R87,IF(AND(AC$1&gt;=Units!$Q87,MOD(AC$1-Units!$Q87,12)=0),IF(AND(Units!$L87=1,AC$1=Units!$Q87),IF(Units!$J87&lt;&gt;"",Units!$J87,Mkt!AC88),Inputs!$B$15*Mkt!AC88+(1-Inputs!$B$15)*MIN(Mkt!AC88,AB88*(1+Inputs!$B$18))),AB88)))</f>
        <v>1905.5</v>
      </c>
      <c r="AD88" s="11" t="n">
        <f aca="false">IF(AD$1&lt;Units!$P87,0,IF(AND(Units!$K87=0,AD$1=Units!$O87),Units!$R87,IF(AND(AD$1&gt;=Units!$Q87,MOD(AD$1-Units!$Q87,12)=0),IF(AND(Units!$L87=1,AD$1=Units!$Q87),IF(Units!$J87&lt;&gt;"",Units!$J87,Mkt!AD88),Inputs!$B$15*Mkt!AD88+(1-Inputs!$B$15)*MIN(Mkt!AD88,AC88*(1+Inputs!$B$18))),AC88)))</f>
        <v>1905.5</v>
      </c>
      <c r="AE88" s="11" t="n">
        <f aca="false">IF(AE$1&lt;Units!$P87,0,IF(AND(Units!$K87=0,AE$1=Units!$O87),Units!$R87,IF(AND(AE$1&gt;=Units!$Q87,MOD(AE$1-Units!$Q87,12)=0),IF(AND(Units!$L87=1,AE$1=Units!$Q87),IF(Units!$J87&lt;&gt;"",Units!$J87,Mkt!AE88),Inputs!$B$15*Mkt!AE88+(1-Inputs!$B$15)*MIN(Mkt!AE88,AD88*(1+Inputs!$B$18))),AD88)))</f>
        <v>1905.5</v>
      </c>
      <c r="AF88" s="11" t="n">
        <f aca="false">IF(AF$1&lt;Units!$P87,0,IF(AND(Units!$K87=0,AF$1=Units!$O87),Units!$R87,IF(AND(AF$1&gt;=Units!$Q87,MOD(AF$1-Units!$Q87,12)=0),IF(AND(Units!$L87=1,AF$1=Units!$Q87),IF(Units!$J87&lt;&gt;"",Units!$J87,Mkt!AF88),Inputs!$B$15*Mkt!AF88+(1-Inputs!$B$15)*MIN(Mkt!AF88,AE88*(1+Inputs!$B$18))),AE88)))</f>
        <v>1905.5</v>
      </c>
      <c r="AG88" s="11" t="n">
        <f aca="false">IF(AG$1&lt;Units!$P87,0,IF(AND(Units!$K87=0,AG$1=Units!$O87),Units!$R87,IF(AND(AG$1&gt;=Units!$Q87,MOD(AG$1-Units!$Q87,12)=0),IF(AND(Units!$L87=1,AG$1=Units!$Q87),IF(Units!$J87&lt;&gt;"",Units!$J87,Mkt!AG88),Inputs!$B$15*Mkt!AG88+(1-Inputs!$B$15)*MIN(Mkt!AG88,AF88*(1+Inputs!$B$18))),AF88)))</f>
        <v>1962.665</v>
      </c>
      <c r="AH88" s="11" t="n">
        <f aca="false">IF(AH$1&lt;Units!$P87,0,IF(AND(Units!$K87=0,AH$1=Units!$O87),Units!$R87,IF(AND(AH$1&gt;=Units!$Q87,MOD(AH$1-Units!$Q87,12)=0),IF(AND(Units!$L87=1,AH$1=Units!$Q87),IF(Units!$J87&lt;&gt;"",Units!$J87,Mkt!AH88),Inputs!$B$15*Mkt!AH88+(1-Inputs!$B$15)*MIN(Mkt!AH88,AG88*(1+Inputs!$B$18))),AG88)))</f>
        <v>1962.665</v>
      </c>
      <c r="AI88" s="11" t="n">
        <f aca="false">IF(AI$1&lt;Units!$P87,0,IF(AND(Units!$K87=0,AI$1=Units!$O87),Units!$R87,IF(AND(AI$1&gt;=Units!$Q87,MOD(AI$1-Units!$Q87,12)=0),IF(AND(Units!$L87=1,AI$1=Units!$Q87),IF(Units!$J87&lt;&gt;"",Units!$J87,Mkt!AI88),Inputs!$B$15*Mkt!AI88+(1-Inputs!$B$15)*MIN(Mkt!AI88,AH88*(1+Inputs!$B$18))),AH88)))</f>
        <v>1962.665</v>
      </c>
      <c r="AJ88" s="11" t="n">
        <f aca="false">IF(AJ$1&lt;Units!$P87,0,IF(AND(Units!$K87=0,AJ$1=Units!$O87),Units!$R87,IF(AND(AJ$1&gt;=Units!$Q87,MOD(AJ$1-Units!$Q87,12)=0),IF(AND(Units!$L87=1,AJ$1=Units!$Q87),IF(Units!$J87&lt;&gt;"",Units!$J87,Mkt!AJ88),Inputs!$B$15*Mkt!AJ88+(1-Inputs!$B$15)*MIN(Mkt!AJ88,AI88*(1+Inputs!$B$18))),AI88)))</f>
        <v>1962.665</v>
      </c>
      <c r="AK88" s="11" t="n">
        <f aca="false">IF(AK$1&lt;Units!$P87,0,IF(AND(Units!$K87=0,AK$1=Units!$O87),Units!$R87,IF(AND(AK$1&gt;=Units!$Q87,MOD(AK$1-Units!$Q87,12)=0),IF(AND(Units!$L87=1,AK$1=Units!$Q87),IF(Units!$J87&lt;&gt;"",Units!$J87,Mkt!AK88),Inputs!$B$15*Mkt!AK88+(1-Inputs!$B$15)*MIN(Mkt!AK88,AJ88*(1+Inputs!$B$18))),AJ88)))</f>
        <v>1962.665</v>
      </c>
      <c r="AL88" s="11" t="n">
        <f aca="false">IF(AL$1&lt;Units!$P87,0,IF(AND(Units!$K87=0,AL$1=Units!$O87),Units!$R87,IF(AND(AL$1&gt;=Units!$Q87,MOD(AL$1-Units!$Q87,12)=0),IF(AND(Units!$L87=1,AL$1=Units!$Q87),IF(Units!$J87&lt;&gt;"",Units!$J87,Mkt!AL88),Inputs!$B$15*Mkt!AL88+(1-Inputs!$B$15)*MIN(Mkt!AL88,AK88*(1+Inputs!$B$18))),AK88)))</f>
        <v>1962.665</v>
      </c>
      <c r="AM88" s="11" t="n">
        <f aca="false">IF(AM$1&lt;Units!$P87,0,IF(AND(Units!$K87=0,AM$1=Units!$O87),Units!$R87,IF(AND(AM$1&gt;=Units!$Q87,MOD(AM$1-Units!$Q87,12)=0),IF(AND(Units!$L87=1,AM$1=Units!$Q87),IF(Units!$J87&lt;&gt;"",Units!$J87,Mkt!AM88),Inputs!$B$15*Mkt!AM88+(1-Inputs!$B$15)*MIN(Mkt!AM88,AL88*(1+Inputs!$B$18))),AL88)))</f>
        <v>1962.665</v>
      </c>
      <c r="AN88" s="11" t="n">
        <f aca="false">IF(AN$1&lt;Units!$P87,0,IF(AND(Units!$K87=0,AN$1=Units!$O87),Units!$R87,IF(AND(AN$1&gt;=Units!$Q87,MOD(AN$1-Units!$Q87,12)=0),IF(AND(Units!$L87=1,AN$1=Units!$Q87),IF(Units!$J87&lt;&gt;"",Units!$J87,Mkt!AN88),Inputs!$B$15*Mkt!AN88+(1-Inputs!$B$15)*MIN(Mkt!AN88,AM88*(1+Inputs!$B$18))),AM88)))</f>
        <v>1962.665</v>
      </c>
      <c r="AO88" s="11" t="n">
        <f aca="false">IF(AO$1&lt;Units!$P87,0,IF(AND(Units!$K87=0,AO$1=Units!$O87),Units!$R87,IF(AND(AO$1&gt;=Units!$Q87,MOD(AO$1-Units!$Q87,12)=0),IF(AND(Units!$L87=1,AO$1=Units!$Q87),IF(Units!$J87&lt;&gt;"",Units!$J87,Mkt!AO88),Inputs!$B$15*Mkt!AO88+(1-Inputs!$B$15)*MIN(Mkt!AO88,AN88*(1+Inputs!$B$18))),AN88)))</f>
        <v>1962.665</v>
      </c>
      <c r="AP88" s="11" t="n">
        <f aca="false">IF(AP$1&lt;Units!$P87,0,IF(AND(Units!$K87=0,AP$1=Units!$O87),Units!$R87,IF(AND(AP$1&gt;=Units!$Q87,MOD(AP$1-Units!$Q87,12)=0),IF(AND(Units!$L87=1,AP$1=Units!$Q87),IF(Units!$J87&lt;&gt;"",Units!$J87,Mkt!AP88),Inputs!$B$15*Mkt!AP88+(1-Inputs!$B$15)*MIN(Mkt!AP88,AO88*(1+Inputs!$B$18))),AO88)))</f>
        <v>1962.665</v>
      </c>
      <c r="AQ88" s="11" t="n">
        <f aca="false">IF(AQ$1&lt;Units!$P87,0,IF(AND(Units!$K87=0,AQ$1=Units!$O87),Units!$R87,IF(AND(AQ$1&gt;=Units!$Q87,MOD(AQ$1-Units!$Q87,12)=0),IF(AND(Units!$L87=1,AQ$1=Units!$Q87),IF(Units!$J87&lt;&gt;"",Units!$J87,Mkt!AQ88),Inputs!$B$15*Mkt!AQ88+(1-Inputs!$B$15)*MIN(Mkt!AQ88,AP88*(1+Inputs!$B$18))),AP88)))</f>
        <v>1962.665</v>
      </c>
      <c r="AR88" s="11" t="n">
        <f aca="false">IF(AR$1&lt;Units!$P87,0,IF(AND(Units!$K87=0,AR$1=Units!$O87),Units!$R87,IF(AND(AR$1&gt;=Units!$Q87,MOD(AR$1-Units!$Q87,12)=0),IF(AND(Units!$L87=1,AR$1=Units!$Q87),IF(Units!$J87&lt;&gt;"",Units!$J87,Mkt!AR88),Inputs!$B$15*Mkt!AR88+(1-Inputs!$B$15)*MIN(Mkt!AR88,AQ88*(1+Inputs!$B$18))),AQ88)))</f>
        <v>1962.665</v>
      </c>
      <c r="AS88" s="11" t="n">
        <f aca="false">IF(AS$1&lt;Units!$P87,0,IF(AND(Units!$K87=0,AS$1=Units!$O87),Units!$R87,IF(AND(AS$1&gt;=Units!$Q87,MOD(AS$1-Units!$Q87,12)=0),IF(AND(Units!$L87=1,AS$1=Units!$Q87),IF(Units!$J87&lt;&gt;"",Units!$J87,Mkt!AS88),Inputs!$B$15*Mkt!AS88+(1-Inputs!$B$15)*MIN(Mkt!AS88,AR88*(1+Inputs!$B$18))),AR88)))</f>
        <v>2021.54495</v>
      </c>
      <c r="AT88" s="11" t="n">
        <f aca="false">IF(AT$1&lt;Units!$P87,0,IF(AND(Units!$K87=0,AT$1=Units!$O87),Units!$R87,IF(AND(AT$1&gt;=Units!$Q87,MOD(AT$1-Units!$Q87,12)=0),IF(AND(Units!$L87=1,AT$1=Units!$Q87),IF(Units!$J87&lt;&gt;"",Units!$J87,Mkt!AT88),Inputs!$B$15*Mkt!AT88+(1-Inputs!$B$15)*MIN(Mkt!AT88,AS88*(1+Inputs!$B$18))),AS88)))</f>
        <v>2021.54495</v>
      </c>
      <c r="AU88" s="11" t="n">
        <f aca="false">IF(AU$1&lt;Units!$P87,0,IF(AND(Units!$K87=0,AU$1=Units!$O87),Units!$R87,IF(AND(AU$1&gt;=Units!$Q87,MOD(AU$1-Units!$Q87,12)=0),IF(AND(Units!$L87=1,AU$1=Units!$Q87),IF(Units!$J87&lt;&gt;"",Units!$J87,Mkt!AU88),Inputs!$B$15*Mkt!AU88+(1-Inputs!$B$15)*MIN(Mkt!AU88,AT88*(1+Inputs!$B$18))),AT88)))</f>
        <v>2021.54495</v>
      </c>
      <c r="AV88" s="11" t="n">
        <f aca="false">IF(AV$1&lt;Units!$P87,0,IF(AND(Units!$K87=0,AV$1=Units!$O87),Units!$R87,IF(AND(AV$1&gt;=Units!$Q87,MOD(AV$1-Units!$Q87,12)=0),IF(AND(Units!$L87=1,AV$1=Units!$Q87),IF(Units!$J87&lt;&gt;"",Units!$J87,Mkt!AV88),Inputs!$B$15*Mkt!AV88+(1-Inputs!$B$15)*MIN(Mkt!AV88,AU88*(1+Inputs!$B$18))),AU88)))</f>
        <v>2021.54495</v>
      </c>
      <c r="AW88" s="11" t="n">
        <f aca="false">IF(AW$1&lt;Units!$P87,0,IF(AND(Units!$K87=0,AW$1=Units!$O87),Units!$R87,IF(AND(AW$1&gt;=Units!$Q87,MOD(AW$1-Units!$Q87,12)=0),IF(AND(Units!$L87=1,AW$1=Units!$Q87),IF(Units!$J87&lt;&gt;"",Units!$J87,Mkt!AW88),Inputs!$B$15*Mkt!AW88+(1-Inputs!$B$15)*MIN(Mkt!AW88,AV88*(1+Inputs!$B$18))),AV88)))</f>
        <v>2021.54495</v>
      </c>
      <c r="AX88" s="11" t="n">
        <f aca="false">IF(AX$1&lt;Units!$P87,0,IF(AND(Units!$K87=0,AX$1=Units!$O87),Units!$R87,IF(AND(AX$1&gt;=Units!$Q87,MOD(AX$1-Units!$Q87,12)=0),IF(AND(Units!$L87=1,AX$1=Units!$Q87),IF(Units!$J87&lt;&gt;"",Units!$J87,Mkt!AX88),Inputs!$B$15*Mkt!AX88+(1-Inputs!$B$15)*MIN(Mkt!AX88,AW88*(1+Inputs!$B$18))),AW88)))</f>
        <v>2021.54495</v>
      </c>
      <c r="AY88" s="11" t="n">
        <f aca="false">IF(AY$1&lt;Units!$P87,0,IF(AND(Units!$K87=0,AY$1=Units!$O87),Units!$R87,IF(AND(AY$1&gt;=Units!$Q87,MOD(AY$1-Units!$Q87,12)=0),IF(AND(Units!$L87=1,AY$1=Units!$Q87),IF(Units!$J87&lt;&gt;"",Units!$J87,Mkt!AY88),Inputs!$B$15*Mkt!AY88+(1-Inputs!$B$15)*MIN(Mkt!AY88,AX88*(1+Inputs!$B$18))),AX88)))</f>
        <v>2021.54495</v>
      </c>
      <c r="AZ88" s="11" t="n">
        <f aca="false">IF(AZ$1&lt;Units!$P87,0,IF(AND(Units!$K87=0,AZ$1=Units!$O87),Units!$R87,IF(AND(AZ$1&gt;=Units!$Q87,MOD(AZ$1-Units!$Q87,12)=0),IF(AND(Units!$L87=1,AZ$1=Units!$Q87),IF(Units!$J87&lt;&gt;"",Units!$J87,Mkt!AZ88),Inputs!$B$15*Mkt!AZ88+(1-Inputs!$B$15)*MIN(Mkt!AZ88,AY88*(1+Inputs!$B$18))),AY88)))</f>
        <v>2021.54495</v>
      </c>
      <c r="BA88" s="11" t="n">
        <f aca="false">IF(BA$1&lt;Units!$P87,0,IF(AND(Units!$K87=0,BA$1=Units!$O87),Units!$R87,IF(AND(BA$1&gt;=Units!$Q87,MOD(BA$1-Units!$Q87,12)=0),IF(AND(Units!$L87=1,BA$1=Units!$Q87),IF(Units!$J87&lt;&gt;"",Units!$J87,Mkt!BA88),Inputs!$B$15*Mkt!BA88+(1-Inputs!$B$15)*MIN(Mkt!BA88,AZ88*(1+Inputs!$B$18))),AZ88)))</f>
        <v>2021.54495</v>
      </c>
      <c r="BB88" s="11" t="n">
        <f aca="false">IF(BB$1&lt;Units!$P87,0,IF(AND(Units!$K87=0,BB$1=Units!$O87),Units!$R87,IF(AND(BB$1&gt;=Units!$Q87,MOD(BB$1-Units!$Q87,12)=0),IF(AND(Units!$L87=1,BB$1=Units!$Q87),IF(Units!$J87&lt;&gt;"",Units!$J87,Mkt!BB88),Inputs!$B$15*Mkt!BB88+(1-Inputs!$B$15)*MIN(Mkt!BB88,BA88*(1+Inputs!$B$18))),BA88)))</f>
        <v>2021.54495</v>
      </c>
      <c r="BC88" s="11" t="n">
        <f aca="false">IF(BC$1&lt;Units!$P87,0,IF(AND(Units!$K87=0,BC$1=Units!$O87),Units!$R87,IF(AND(BC$1&gt;=Units!$Q87,MOD(BC$1-Units!$Q87,12)=0),IF(AND(Units!$L87=1,BC$1=Units!$Q87),IF(Units!$J87&lt;&gt;"",Units!$J87,Mkt!BC88),Inputs!$B$15*Mkt!BC88+(1-Inputs!$B$15)*MIN(Mkt!BC88,BB88*(1+Inputs!$B$18))),BB88)))</f>
        <v>2021.54495</v>
      </c>
      <c r="BD88" s="11" t="n">
        <f aca="false">IF(BD$1&lt;Units!$P87,0,IF(AND(Units!$K87=0,BD$1=Units!$O87),Units!$R87,IF(AND(BD$1&gt;=Units!$Q87,MOD(BD$1-Units!$Q87,12)=0),IF(AND(Units!$L87=1,BD$1=Units!$Q87),IF(Units!$J87&lt;&gt;"",Units!$J87,Mkt!BD88),Inputs!$B$15*Mkt!BD88+(1-Inputs!$B$15)*MIN(Mkt!BD88,BC88*(1+Inputs!$B$18))),BC88)))</f>
        <v>2021.54495</v>
      </c>
      <c r="BE88" s="11" t="n">
        <f aca="false">IF(BE$1&lt;Units!$P87,0,IF(AND(Units!$K87=0,BE$1=Units!$O87),Units!$R87,IF(AND(BE$1&gt;=Units!$Q87,MOD(BE$1-Units!$Q87,12)=0),IF(AND(Units!$L87=1,BE$1=Units!$Q87),IF(Units!$J87&lt;&gt;"",Units!$J87,Mkt!BE88),Inputs!$B$15*Mkt!BE88+(1-Inputs!$B$15)*MIN(Mkt!BE88,BD88*(1+Inputs!$B$18))),BD88)))</f>
        <v>2082.1912985</v>
      </c>
      <c r="BF88" s="11" t="n">
        <f aca="false">IF(BF$1&lt;Units!$P87,0,IF(AND(Units!$K87=0,BF$1=Units!$O87),Units!$R87,IF(AND(BF$1&gt;=Units!$Q87,MOD(BF$1-Units!$Q87,12)=0),IF(AND(Units!$L87=1,BF$1=Units!$Q87),IF(Units!$J87&lt;&gt;"",Units!$J87,Mkt!BF88),Inputs!$B$15*Mkt!BF88+(1-Inputs!$B$15)*MIN(Mkt!BF88,BE88*(1+Inputs!$B$18))),BE88)))</f>
        <v>2082.1912985</v>
      </c>
      <c r="BG88" s="11" t="n">
        <f aca="false">IF(BG$1&lt;Units!$P87,0,IF(AND(Units!$K87=0,BG$1=Units!$O87),Units!$R87,IF(AND(BG$1&gt;=Units!$Q87,MOD(BG$1-Units!$Q87,12)=0),IF(AND(Units!$L87=1,BG$1=Units!$Q87),IF(Units!$J87&lt;&gt;"",Units!$J87,Mkt!BG88),Inputs!$B$15*Mkt!BG88+(1-Inputs!$B$15)*MIN(Mkt!BG88,BF88*(1+Inputs!$B$18))),BF88)))</f>
        <v>2082.1912985</v>
      </c>
      <c r="BH88" s="11" t="n">
        <f aca="false">IF(BH$1&lt;Units!$P87,0,IF(AND(Units!$K87=0,BH$1=Units!$O87),Units!$R87,IF(AND(BH$1&gt;=Units!$Q87,MOD(BH$1-Units!$Q87,12)=0),IF(AND(Units!$L87=1,BH$1=Units!$Q87),IF(Units!$J87&lt;&gt;"",Units!$J87,Mkt!BH88),Inputs!$B$15*Mkt!BH88+(1-Inputs!$B$15)*MIN(Mkt!BH88,BG88*(1+Inputs!$B$18))),BG88)))</f>
        <v>2082.1912985</v>
      </c>
      <c r="BI88" s="11" t="n">
        <f aca="false">IF(BI$1&lt;Units!$P87,0,IF(AND(Units!$K87=0,BI$1=Units!$O87),Units!$R87,IF(AND(BI$1&gt;=Units!$Q87,MOD(BI$1-Units!$Q87,12)=0),IF(AND(Units!$L87=1,BI$1=Units!$Q87),IF(Units!$J87&lt;&gt;"",Units!$J87,Mkt!BI88),Inputs!$B$15*Mkt!BI88+(1-Inputs!$B$15)*MIN(Mkt!BI88,BH88*(1+Inputs!$B$18))),BH88)))</f>
        <v>2082.1912985</v>
      </c>
      <c r="BJ88" s="11" t="n">
        <f aca="false">IF(BJ$1&lt;Units!$P87,0,IF(AND(Units!$K87=0,BJ$1=Units!$O87),Units!$R87,IF(AND(BJ$1&gt;=Units!$Q87,MOD(BJ$1-Units!$Q87,12)=0),IF(AND(Units!$L87=1,BJ$1=Units!$Q87),IF(Units!$J87&lt;&gt;"",Units!$J87,Mkt!BJ88),Inputs!$B$15*Mkt!BJ88+(1-Inputs!$B$15)*MIN(Mkt!BJ88,BI88*(1+Inputs!$B$18))),BI88)))</f>
        <v>2082.1912985</v>
      </c>
      <c r="BK88" s="11" t="n">
        <f aca="false">IF(BK$1&lt;Units!$P87,0,IF(AND(Units!$K87=0,BK$1=Units!$O87),Units!$R87,IF(AND(BK$1&gt;=Units!$Q87,MOD(BK$1-Units!$Q87,12)=0),IF(AND(Units!$L87=1,BK$1=Units!$Q87),IF(Units!$J87&lt;&gt;"",Units!$J87,Mkt!BK88),Inputs!$B$15*Mkt!BK88+(1-Inputs!$B$15)*MIN(Mkt!BK88,BJ88*(1+Inputs!$B$18))),BJ88)))</f>
        <v>2082.1912985</v>
      </c>
      <c r="BL88" s="11" t="n">
        <f aca="false">IF(BL$1&lt;Units!$P87,0,IF(AND(Units!$K87=0,BL$1=Units!$O87),Units!$R87,IF(AND(BL$1&gt;=Units!$Q87,MOD(BL$1-Units!$Q87,12)=0),IF(AND(Units!$L87=1,BL$1=Units!$Q87),IF(Units!$J87&lt;&gt;"",Units!$J87,Mkt!BL88),Inputs!$B$15*Mkt!BL88+(1-Inputs!$B$15)*MIN(Mkt!BL88,BK88*(1+Inputs!$B$18))),BK88)))</f>
        <v>2082.1912985</v>
      </c>
      <c r="BM88" s="11" t="n">
        <f aca="false">IF(BM$1&lt;Units!$P87,0,IF(AND(Units!$K87=0,BM$1=Units!$O87),Units!$R87,IF(AND(BM$1&gt;=Units!$Q87,MOD(BM$1-Units!$Q87,12)=0),IF(AND(Units!$L87=1,BM$1=Units!$Q87),IF(Units!$J87&lt;&gt;"",Units!$J87,Mkt!BM88),Inputs!$B$15*Mkt!BM88+(1-Inputs!$B$15)*MIN(Mkt!BM88,BL88*(1+Inputs!$B$18))),BL88)))</f>
        <v>2082.1912985</v>
      </c>
      <c r="BN88" s="11" t="n">
        <f aca="false">IF(BN$1&lt;Units!$P87,0,IF(AND(Units!$K87=0,BN$1=Units!$O87),Units!$R87,IF(AND(BN$1&gt;=Units!$Q87,MOD(BN$1-Units!$Q87,12)=0),IF(AND(Units!$L87=1,BN$1=Units!$Q87),IF(Units!$J87&lt;&gt;"",Units!$J87,Mkt!BN88),Inputs!$B$15*Mkt!BN88+(1-Inputs!$B$15)*MIN(Mkt!BN88,BM88*(1+Inputs!$B$18))),BM88)))</f>
        <v>2082.1912985</v>
      </c>
      <c r="BO88" s="11" t="n">
        <f aca="false">IF(BO$1&lt;Units!$P87,0,IF(AND(Units!$K87=0,BO$1=Units!$O87),Units!$R87,IF(AND(BO$1&gt;=Units!$Q87,MOD(BO$1-Units!$Q87,12)=0),IF(AND(Units!$L87=1,BO$1=Units!$Q87),IF(Units!$J87&lt;&gt;"",Units!$J87,Mkt!BO88),Inputs!$B$15*Mkt!BO88+(1-Inputs!$B$15)*MIN(Mkt!BO88,BN88*(1+Inputs!$B$18))),BN88)))</f>
        <v>2082.1912985</v>
      </c>
      <c r="BP88" s="11" t="n">
        <f aca="false">IF(BP$1&lt;Units!$P87,0,IF(AND(Units!$K87=0,BP$1=Units!$O87),Units!$R87,IF(AND(BP$1&gt;=Units!$Q87,MOD(BP$1-Units!$Q87,12)=0),IF(AND(Units!$L87=1,BP$1=Units!$Q87),IF(Units!$J87&lt;&gt;"",Units!$J87,Mkt!BP88),Inputs!$B$15*Mkt!BP88+(1-Inputs!$B$15)*MIN(Mkt!BP88,BO88*(1+Inputs!$B$18))),BO88)))</f>
        <v>2082.1912985</v>
      </c>
      <c r="BQ88" s="11" t="n">
        <f aca="false">IF(BQ$1&lt;Units!$P87,0,IF(AND(Units!$K87=0,BQ$1=Units!$O87),Units!$R87,IF(AND(BQ$1&gt;=Units!$Q87,MOD(BQ$1-Units!$Q87,12)=0),IF(AND(Units!$L87=1,BQ$1=Units!$Q87),IF(Units!$J87&lt;&gt;"",Units!$J87,Mkt!BQ88),Inputs!$B$15*Mkt!BQ88+(1-Inputs!$B$15)*MIN(Mkt!BQ88,BP88*(1+Inputs!$B$18))),BP88)))</f>
        <v>2144.657037455</v>
      </c>
      <c r="BR88" s="11" t="n">
        <f aca="false">IF(BR$1&lt;Units!$P87,0,IF(AND(Units!$K87=0,BR$1=Units!$O87),Units!$R87,IF(AND(BR$1&gt;=Units!$Q87,MOD(BR$1-Units!$Q87,12)=0),IF(AND(Units!$L87=1,BR$1=Units!$Q87),IF(Units!$J87&lt;&gt;"",Units!$J87,Mkt!BR88),Inputs!$B$15*Mkt!BR88+(1-Inputs!$B$15)*MIN(Mkt!BR88,BQ88*(1+Inputs!$B$18))),BQ88)))</f>
        <v>2144.657037455</v>
      </c>
      <c r="BS88" s="11" t="n">
        <f aca="false">IF(BS$1&lt;Units!$P87,0,IF(AND(Units!$K87=0,BS$1=Units!$O87),Units!$R87,IF(AND(BS$1&gt;=Units!$Q87,MOD(BS$1-Units!$Q87,12)=0),IF(AND(Units!$L87=1,BS$1=Units!$Q87),IF(Units!$J87&lt;&gt;"",Units!$J87,Mkt!BS88),Inputs!$B$15*Mkt!BS88+(1-Inputs!$B$15)*MIN(Mkt!BS88,BR88*(1+Inputs!$B$18))),BR88)))</f>
        <v>2144.657037455</v>
      </c>
      <c r="BT88" s="11" t="n">
        <f aca="false">IF(BT$1&lt;Units!$P87,0,IF(AND(Units!$K87=0,BT$1=Units!$O87),Units!$R87,IF(AND(BT$1&gt;=Units!$Q87,MOD(BT$1-Units!$Q87,12)=0),IF(AND(Units!$L87=1,BT$1=Units!$Q87),IF(Units!$J87&lt;&gt;"",Units!$J87,Mkt!BT88),Inputs!$B$15*Mkt!BT88+(1-Inputs!$B$15)*MIN(Mkt!BT88,BS88*(1+Inputs!$B$18))),BS88)))</f>
        <v>2144.657037455</v>
      </c>
      <c r="BU88" s="11" t="n">
        <f aca="false">IF(BU$1&lt;Units!$P87,0,IF(AND(Units!$K87=0,BU$1=Units!$O87),Units!$R87,IF(AND(BU$1&gt;=Units!$Q87,MOD(BU$1-Units!$Q87,12)=0),IF(AND(Units!$L87=1,BU$1=Units!$Q87),IF(Units!$J87&lt;&gt;"",Units!$J87,Mkt!BU88),Inputs!$B$15*Mkt!BU88+(1-Inputs!$B$15)*MIN(Mkt!BU88,BT88*(1+Inputs!$B$18))),BT88)))</f>
        <v>2144.657037455</v>
      </c>
      <c r="BV88" s="11" t="n">
        <f aca="false">IF(BV$1&lt;Units!$P87,0,IF(AND(Units!$K87=0,BV$1=Units!$O87),Units!$R87,IF(AND(BV$1&gt;=Units!$Q87,MOD(BV$1-Units!$Q87,12)=0),IF(AND(Units!$L87=1,BV$1=Units!$Q87),IF(Units!$J87&lt;&gt;"",Units!$J87,Mkt!BV88),Inputs!$B$15*Mkt!BV88+(1-Inputs!$B$15)*MIN(Mkt!BV88,BU88*(1+Inputs!$B$18))),BU88)))</f>
        <v>2144.657037455</v>
      </c>
      <c r="BW88" s="11" t="n">
        <f aca="false">IF(BW$1&lt;Units!$P87,0,IF(AND(Units!$K87=0,BW$1=Units!$O87),Units!$R87,IF(AND(BW$1&gt;=Units!$Q87,MOD(BW$1-Units!$Q87,12)=0),IF(AND(Units!$L87=1,BW$1=Units!$Q87),IF(Units!$J87&lt;&gt;"",Units!$J87,Mkt!BW88),Inputs!$B$15*Mkt!BW88+(1-Inputs!$B$15)*MIN(Mkt!BW88,BV88*(1+Inputs!$B$18))),BV88)))</f>
        <v>2144.657037455</v>
      </c>
      <c r="BX88" s="11" t="n">
        <f aca="false">IF(BX$1&lt;Units!$P87,0,IF(AND(Units!$K87=0,BX$1=Units!$O87),Units!$R87,IF(AND(BX$1&gt;=Units!$Q87,MOD(BX$1-Units!$Q87,12)=0),IF(AND(Units!$L87=1,BX$1=Units!$Q87),IF(Units!$J87&lt;&gt;"",Units!$J87,Mkt!BX88),Inputs!$B$15*Mkt!BX88+(1-Inputs!$B$15)*MIN(Mkt!BX88,BW88*(1+Inputs!$B$18))),BW88)))</f>
        <v>2144.657037455</v>
      </c>
      <c r="BY88" s="11" t="n">
        <f aca="false">IF(BY$1&lt;Units!$P87,0,IF(AND(Units!$K87=0,BY$1=Units!$O87),Units!$R87,IF(AND(BY$1&gt;=Units!$Q87,MOD(BY$1-Units!$Q87,12)=0),IF(AND(Units!$L87=1,BY$1=Units!$Q87),IF(Units!$J87&lt;&gt;"",Units!$J87,Mkt!BY88),Inputs!$B$15*Mkt!BY88+(1-Inputs!$B$15)*MIN(Mkt!BY88,BX88*(1+Inputs!$B$18))),BX88)))</f>
        <v>2144.657037455</v>
      </c>
      <c r="BZ88" s="11" t="n">
        <f aca="false">IF(BZ$1&lt;Units!$P87,0,IF(AND(Units!$K87=0,BZ$1=Units!$O87),Units!$R87,IF(AND(BZ$1&gt;=Units!$Q87,MOD(BZ$1-Units!$Q87,12)=0),IF(AND(Units!$L87=1,BZ$1=Units!$Q87),IF(Units!$J87&lt;&gt;"",Units!$J87,Mkt!BZ88),Inputs!$B$15*Mkt!BZ88+(1-Inputs!$B$15)*MIN(Mkt!BZ88,BY88*(1+Inputs!$B$18))),BY88)))</f>
        <v>2144.657037455</v>
      </c>
      <c r="CA88" s="11" t="n">
        <f aca="false">IF(CA$1&lt;Units!$P87,0,IF(AND(Units!$K87=0,CA$1=Units!$O87),Units!$R87,IF(AND(CA$1&gt;=Units!$Q87,MOD(CA$1-Units!$Q87,12)=0),IF(AND(Units!$L87=1,CA$1=Units!$Q87),IF(Units!$J87&lt;&gt;"",Units!$J87,Mkt!CA88),Inputs!$B$15*Mkt!CA88+(1-Inputs!$B$15)*MIN(Mkt!CA88,BZ88*(1+Inputs!$B$18))),BZ88)))</f>
        <v>2144.657037455</v>
      </c>
      <c r="CB88" s="11" t="n">
        <f aca="false">IF(CB$1&lt;Units!$P87,0,IF(AND(Units!$K87=0,CB$1=Units!$O87),Units!$R87,IF(AND(CB$1&gt;=Units!$Q87,MOD(CB$1-Units!$Q87,12)=0),IF(AND(Units!$L87=1,CB$1=Units!$Q87),IF(Units!$J87&lt;&gt;"",Units!$J87,Mkt!CB88),Inputs!$B$15*Mkt!CB88+(1-Inputs!$B$15)*MIN(Mkt!CB88,CA88*(1+Inputs!$B$18))),CA88)))</f>
        <v>2144.657037455</v>
      </c>
      <c r="CC88" s="11" t="n">
        <f aca="false">IF(CC$1&lt;Units!$P87,0,IF(AND(Units!$K87=0,CC$1=Units!$O87),Units!$R87,IF(AND(CC$1&gt;=Units!$Q87,MOD(CC$1-Units!$Q87,12)=0),IF(AND(Units!$L87=1,CC$1=Units!$Q87),IF(Units!$J87&lt;&gt;"",Units!$J87,Mkt!CC88),Inputs!$B$15*Mkt!CC88+(1-Inputs!$B$15)*MIN(Mkt!CC88,CB88*(1+Inputs!$B$18))),CB88)))</f>
        <v>2208.99674857865</v>
      </c>
      <c r="CD88" s="11" t="n">
        <f aca="false">IF(CD$1&lt;Units!$P87,0,IF(AND(Units!$K87=0,CD$1=Units!$O87),Units!$R87,IF(AND(CD$1&gt;=Units!$Q87,MOD(CD$1-Units!$Q87,12)=0),IF(AND(Units!$L87=1,CD$1=Units!$Q87),IF(Units!$J87&lt;&gt;"",Units!$J87,Mkt!CD88),Inputs!$B$15*Mkt!CD88+(1-Inputs!$B$15)*MIN(Mkt!CD88,CC88*(1+Inputs!$B$18))),CC88)))</f>
        <v>2208.99674857865</v>
      </c>
      <c r="CE88" s="11" t="n">
        <f aca="false">IF(CE$1&lt;Units!$P87,0,IF(AND(Units!$K87=0,CE$1=Units!$O87),Units!$R87,IF(AND(CE$1&gt;=Units!$Q87,MOD(CE$1-Units!$Q87,12)=0),IF(AND(Units!$L87=1,CE$1=Units!$Q87),IF(Units!$J87&lt;&gt;"",Units!$J87,Mkt!CE88),Inputs!$B$15*Mkt!CE88+(1-Inputs!$B$15)*MIN(Mkt!CE88,CD88*(1+Inputs!$B$18))),CD88)))</f>
        <v>2208.99674857865</v>
      </c>
      <c r="CF88" s="11" t="n">
        <f aca="false">IF(CF$1&lt;Units!$P87,0,IF(AND(Units!$K87=0,CF$1=Units!$O87),Units!$R87,IF(AND(CF$1&gt;=Units!$Q87,MOD(CF$1-Units!$Q87,12)=0),IF(AND(Units!$L87=1,CF$1=Units!$Q87),IF(Units!$J87&lt;&gt;"",Units!$J87,Mkt!CF88),Inputs!$B$15*Mkt!CF88+(1-Inputs!$B$15)*MIN(Mkt!CF88,CE88*(1+Inputs!$B$18))),CE88)))</f>
        <v>2208.99674857865</v>
      </c>
      <c r="CG88" s="11" t="n">
        <f aca="false">IF(CG$1&lt;Units!$P87,0,IF(AND(Units!$K87=0,CG$1=Units!$O87),Units!$R87,IF(AND(CG$1&gt;=Units!$Q87,MOD(CG$1-Units!$Q87,12)=0),IF(AND(Units!$L87=1,CG$1=Units!$Q87),IF(Units!$J87&lt;&gt;"",Units!$J87,Mkt!CG88),Inputs!$B$15*Mkt!CG88+(1-Inputs!$B$15)*MIN(Mkt!CG88,CF88*(1+Inputs!$B$18))),CF88)))</f>
        <v>2208.99674857865</v>
      </c>
      <c r="CH88" s="11" t="n">
        <f aca="false">IF(CH$1&lt;Units!$P87,0,IF(AND(Units!$K87=0,CH$1=Units!$O87),Units!$R87,IF(AND(CH$1&gt;=Units!$Q87,MOD(CH$1-Units!$Q87,12)=0),IF(AND(Units!$L87=1,CH$1=Units!$Q87),IF(Units!$J87&lt;&gt;"",Units!$J87,Mkt!CH88),Inputs!$B$15*Mkt!CH88+(1-Inputs!$B$15)*MIN(Mkt!CH88,CG88*(1+Inputs!$B$18))),CG88)))</f>
        <v>2208.99674857865</v>
      </c>
      <c r="CI88" s="11" t="n">
        <f aca="false">IF(CI$1&lt;Units!$P87,0,IF(AND(Units!$K87=0,CI$1=Units!$O87),Units!$R87,IF(AND(CI$1&gt;=Units!$Q87,MOD(CI$1-Units!$Q87,12)=0),IF(AND(Units!$L87=1,CI$1=Units!$Q87),IF(Units!$J87&lt;&gt;"",Units!$J87,Mkt!CI88),Inputs!$B$15*Mkt!CI88+(1-Inputs!$B$15)*MIN(Mkt!CI88,CH88*(1+Inputs!$B$18))),CH88)))</f>
        <v>2208.99674857865</v>
      </c>
      <c r="CJ88" s="11" t="n">
        <f aca="false">IF(CJ$1&lt;Units!$P87,0,IF(AND(Units!$K87=0,CJ$1=Units!$O87),Units!$R87,IF(AND(CJ$1&gt;=Units!$Q87,MOD(CJ$1-Units!$Q87,12)=0),IF(AND(Units!$L87=1,CJ$1=Units!$Q87),IF(Units!$J87&lt;&gt;"",Units!$J87,Mkt!CJ88),Inputs!$B$15*Mkt!CJ88+(1-Inputs!$B$15)*MIN(Mkt!CJ88,CI88*(1+Inputs!$B$18))),CI88)))</f>
        <v>2208.99674857865</v>
      </c>
      <c r="CK88" s="11" t="n">
        <f aca="false">IF(CK$1&lt;Units!$P87,0,IF(AND(Units!$K87=0,CK$1=Units!$O87),Units!$R87,IF(AND(CK$1&gt;=Units!$Q87,MOD(CK$1-Units!$Q87,12)=0),IF(AND(Units!$L87=1,CK$1=Units!$Q87),IF(Units!$J87&lt;&gt;"",Units!$J87,Mkt!CK88),Inputs!$B$15*Mkt!CK88+(1-Inputs!$B$15)*MIN(Mkt!CK88,CJ88*(1+Inputs!$B$18))),CJ88)))</f>
        <v>2208.99674857865</v>
      </c>
      <c r="CL88" s="11" t="n">
        <f aca="false">IF(CL$1&lt;Units!$P87,0,IF(AND(Units!$K87=0,CL$1=Units!$O87),Units!$R87,IF(AND(CL$1&gt;=Units!$Q87,MOD(CL$1-Units!$Q87,12)=0),IF(AND(Units!$L87=1,CL$1=Units!$Q87),IF(Units!$J87&lt;&gt;"",Units!$J87,Mkt!CL88),Inputs!$B$15*Mkt!CL88+(1-Inputs!$B$15)*MIN(Mkt!CL88,CK88*(1+Inputs!$B$18))),CK88)))</f>
        <v>2208.99674857865</v>
      </c>
      <c r="CM88" s="11" t="n">
        <f aca="false">IF(CM$1&lt;Units!$P87,0,IF(AND(Units!$K87=0,CM$1=Units!$O87),Units!$R87,IF(AND(CM$1&gt;=Units!$Q87,MOD(CM$1-Units!$Q87,12)=0),IF(AND(Units!$L87=1,CM$1=Units!$Q87),IF(Units!$J87&lt;&gt;"",Units!$J87,Mkt!CM88),Inputs!$B$15*Mkt!CM88+(1-Inputs!$B$15)*MIN(Mkt!CM88,CL88*(1+Inputs!$B$18))),CL88)))</f>
        <v>2208.99674857865</v>
      </c>
      <c r="CN88" s="11" t="n">
        <f aca="false">IF(CN$1&lt;Units!$P87,0,IF(AND(Units!$K87=0,CN$1=Units!$O87),Units!$R87,IF(AND(CN$1&gt;=Units!$Q87,MOD(CN$1-Units!$Q87,12)=0),IF(AND(Units!$L87=1,CN$1=Units!$Q87),IF(Units!$J87&lt;&gt;"",Units!$J87,Mkt!CN88),Inputs!$B$15*Mkt!CN88+(1-Inputs!$B$15)*MIN(Mkt!CN88,CM88*(1+Inputs!$B$18))),CM88)))</f>
        <v>2208.99674857865</v>
      </c>
      <c r="CO88" s="11" t="n">
        <f aca="false">IF(CO$1&lt;Units!$P87,0,IF(AND(Units!$K87=0,CO$1=Units!$O87),Units!$R87,IF(AND(CO$1&gt;=Units!$Q87,MOD(CO$1-Units!$Q87,12)=0),IF(AND(Units!$L87=1,CO$1=Units!$Q87),IF(Units!$J87&lt;&gt;"",Units!$J87,Mkt!CO88),Inputs!$B$15*Mkt!CO88+(1-Inputs!$B$15)*MIN(Mkt!CO88,CN88*(1+Inputs!$B$18))),CN88)))</f>
        <v>2275.26665103601</v>
      </c>
      <c r="CP88" s="11" t="n">
        <f aca="false">IF(CP$1&lt;Units!$P87,0,IF(AND(Units!$K87=0,CP$1=Units!$O87),Units!$R87,IF(AND(CP$1&gt;=Units!$Q87,MOD(CP$1-Units!$Q87,12)=0),IF(AND(Units!$L87=1,CP$1=Units!$Q87),IF(Units!$J87&lt;&gt;"",Units!$J87,Mkt!CP88),Inputs!$B$15*Mkt!CP88+(1-Inputs!$B$15)*MIN(Mkt!CP88,CO88*(1+Inputs!$B$18))),CO88)))</f>
        <v>2275.26665103601</v>
      </c>
      <c r="CQ88" s="11" t="n">
        <f aca="false">IF(CQ$1&lt;Units!$P87,0,IF(AND(Units!$K87=0,CQ$1=Units!$O87),Units!$R87,IF(AND(CQ$1&gt;=Units!$Q87,MOD(CQ$1-Units!$Q87,12)=0),IF(AND(Units!$L87=1,CQ$1=Units!$Q87),IF(Units!$J87&lt;&gt;"",Units!$J87,Mkt!CQ88),Inputs!$B$15*Mkt!CQ88+(1-Inputs!$B$15)*MIN(Mkt!CQ88,CP88*(1+Inputs!$B$18))),CP88)))</f>
        <v>2275.26665103601</v>
      </c>
      <c r="CR88" s="11" t="n">
        <f aca="false">IF(CR$1&lt;Units!$P87,0,IF(AND(Units!$K87=0,CR$1=Units!$O87),Units!$R87,IF(AND(CR$1&gt;=Units!$Q87,MOD(CR$1-Units!$Q87,12)=0),IF(AND(Units!$L87=1,CR$1=Units!$Q87),IF(Units!$J87&lt;&gt;"",Units!$J87,Mkt!CR88),Inputs!$B$15*Mkt!CR88+(1-Inputs!$B$15)*MIN(Mkt!CR88,CQ88*(1+Inputs!$B$18))),CQ88)))</f>
        <v>2275.26665103601</v>
      </c>
      <c r="CS88" s="11" t="n">
        <f aca="false">IF(CS$1&lt;Units!$P87,0,IF(AND(Units!$K87=0,CS$1=Units!$O87),Units!$R87,IF(AND(CS$1&gt;=Units!$Q87,MOD(CS$1-Units!$Q87,12)=0),IF(AND(Units!$L87=1,CS$1=Units!$Q87),IF(Units!$J87&lt;&gt;"",Units!$J87,Mkt!CS88),Inputs!$B$15*Mkt!CS88+(1-Inputs!$B$15)*MIN(Mkt!CS88,CR88*(1+Inputs!$B$18))),CR88)))</f>
        <v>2275.26665103601</v>
      </c>
      <c r="CT88" s="11" t="n">
        <f aca="false">IF(CT$1&lt;Units!$P87,0,IF(AND(Units!$K87=0,CT$1=Units!$O87),Units!$R87,IF(AND(CT$1&gt;=Units!$Q87,MOD(CT$1-Units!$Q87,12)=0),IF(AND(Units!$L87=1,CT$1=Units!$Q87),IF(Units!$J87&lt;&gt;"",Units!$J87,Mkt!CT88),Inputs!$B$15*Mkt!CT88+(1-Inputs!$B$15)*MIN(Mkt!CT88,CS88*(1+Inputs!$B$18))),CS88)))</f>
        <v>2275.26665103601</v>
      </c>
      <c r="CU88" s="11" t="n">
        <f aca="false">IF(CU$1&lt;Units!$P87,0,IF(AND(Units!$K87=0,CU$1=Units!$O87),Units!$R87,IF(AND(CU$1&gt;=Units!$Q87,MOD(CU$1-Units!$Q87,12)=0),IF(AND(Units!$L87=1,CU$1=Units!$Q87),IF(Units!$J87&lt;&gt;"",Units!$J87,Mkt!CU88),Inputs!$B$15*Mkt!CU88+(1-Inputs!$B$15)*MIN(Mkt!CU88,CT88*(1+Inputs!$B$18))),CT88)))</f>
        <v>2275.26665103601</v>
      </c>
      <c r="CV88" s="11" t="n">
        <f aca="false">IF(CV$1&lt;Units!$P87,0,IF(AND(Units!$K87=0,CV$1=Units!$O87),Units!$R87,IF(AND(CV$1&gt;=Units!$Q87,MOD(CV$1-Units!$Q87,12)=0),IF(AND(Units!$L87=1,CV$1=Units!$Q87),IF(Units!$J87&lt;&gt;"",Units!$J87,Mkt!CV88),Inputs!$B$15*Mkt!CV88+(1-Inputs!$B$15)*MIN(Mkt!CV88,CU88*(1+Inputs!$B$18))),CU88)))</f>
        <v>2275.26665103601</v>
      </c>
      <c r="CW88" s="11" t="n">
        <f aca="false">IF(CW$1&lt;Units!$P87,0,IF(AND(Units!$K87=0,CW$1=Units!$O87),Units!$R87,IF(AND(CW$1&gt;=Units!$Q87,MOD(CW$1-Units!$Q87,12)=0),IF(AND(Units!$L87=1,CW$1=Units!$Q87),IF(Units!$J87&lt;&gt;"",Units!$J87,Mkt!CW88),Inputs!$B$15*Mkt!CW88+(1-Inputs!$B$15)*MIN(Mkt!CW88,CV88*(1+Inputs!$B$18))),CV88)))</f>
        <v>2275.26665103601</v>
      </c>
      <c r="CX88" s="11" t="n">
        <f aca="false">IF(CX$1&lt;Units!$P87,0,IF(AND(Units!$K87=0,CX$1=Units!$O87),Units!$R87,IF(AND(CX$1&gt;=Units!$Q87,MOD(CX$1-Units!$Q87,12)=0),IF(AND(Units!$L87=1,CX$1=Units!$Q87),IF(Units!$J87&lt;&gt;"",Units!$J87,Mkt!CX88),Inputs!$B$15*Mkt!CX88+(1-Inputs!$B$15)*MIN(Mkt!CX88,CW88*(1+Inputs!$B$18))),CW88)))</f>
        <v>2275.26665103601</v>
      </c>
      <c r="CY88" s="11" t="n">
        <f aca="false">IF(CY$1&lt;Units!$P87,0,IF(AND(Units!$K87=0,CY$1=Units!$O87),Units!$R87,IF(AND(CY$1&gt;=Units!$Q87,MOD(CY$1-Units!$Q87,12)=0),IF(AND(Units!$L87=1,CY$1=Units!$Q87),IF(Units!$J87&lt;&gt;"",Units!$J87,Mkt!CY88),Inputs!$B$15*Mkt!CY88+(1-Inputs!$B$15)*MIN(Mkt!CY88,CX88*(1+Inputs!$B$18))),CX88)))</f>
        <v>2275.26665103601</v>
      </c>
      <c r="CZ88" s="11" t="n">
        <f aca="false">IF(CZ$1&lt;Units!$P87,0,IF(AND(Units!$K87=0,CZ$1=Units!$O87),Units!$R87,IF(AND(CZ$1&gt;=Units!$Q87,MOD(CZ$1-Units!$Q87,12)=0),IF(AND(Units!$L87=1,CZ$1=Units!$Q87),IF(Units!$J87&lt;&gt;"",Units!$J87,Mkt!CZ88),Inputs!$B$15*Mkt!CZ88+(1-Inputs!$B$15)*MIN(Mkt!CZ88,CY88*(1+Inputs!$B$18))),CY88)))</f>
        <v>2275.26665103601</v>
      </c>
      <c r="DA88" s="11" t="n">
        <f aca="false">IF(DA$1&lt;Units!$P87,0,IF(AND(Units!$K87=0,DA$1=Units!$O87),Units!$R87,IF(AND(DA$1&gt;=Units!$Q87,MOD(DA$1-Units!$Q87,12)=0),IF(AND(Units!$L87=1,DA$1=Units!$Q87),IF(Units!$J87&lt;&gt;"",Units!$J87,Mkt!DA88),Inputs!$B$15*Mkt!DA88+(1-Inputs!$B$15)*MIN(Mkt!DA88,CZ88*(1+Inputs!$B$18))),CZ88)))</f>
        <v>2343.52465056709</v>
      </c>
      <c r="DB88" s="11" t="n">
        <f aca="false">IF(DB$1&lt;Units!$P87,0,IF(AND(Units!$K87=0,DB$1=Units!$O87),Units!$R87,IF(AND(DB$1&gt;=Units!$Q87,MOD(DB$1-Units!$Q87,12)=0),IF(AND(Units!$L87=1,DB$1=Units!$Q87),IF(Units!$J87&lt;&gt;"",Units!$J87,Mkt!DB88),Inputs!$B$15*Mkt!DB88+(1-Inputs!$B$15)*MIN(Mkt!DB88,DA88*(1+Inputs!$B$18))),DA88)))</f>
        <v>2343.52465056709</v>
      </c>
      <c r="DC88" s="11" t="n">
        <f aca="false">IF(DC$1&lt;Units!$P87,0,IF(AND(Units!$K87=0,DC$1=Units!$O87),Units!$R87,IF(AND(DC$1&gt;=Units!$Q87,MOD(DC$1-Units!$Q87,12)=0),IF(AND(Units!$L87=1,DC$1=Units!$Q87),IF(Units!$J87&lt;&gt;"",Units!$J87,Mkt!DC88),Inputs!$B$15*Mkt!DC88+(1-Inputs!$B$15)*MIN(Mkt!DC88,DB88*(1+Inputs!$B$18))),DB88)))</f>
        <v>2343.52465056709</v>
      </c>
      <c r="DD88" s="11" t="n">
        <f aca="false">IF(DD$1&lt;Units!$P87,0,IF(AND(Units!$K87=0,DD$1=Units!$O87),Units!$R87,IF(AND(DD$1&gt;=Units!$Q87,MOD(DD$1-Units!$Q87,12)=0),IF(AND(Units!$L87=1,DD$1=Units!$Q87),IF(Units!$J87&lt;&gt;"",Units!$J87,Mkt!DD88),Inputs!$B$15*Mkt!DD88+(1-Inputs!$B$15)*MIN(Mkt!DD88,DC88*(1+Inputs!$B$18))),DC88)))</f>
        <v>2343.52465056709</v>
      </c>
      <c r="DE88" s="11" t="n">
        <f aca="false">IF(DE$1&lt;Units!$P87,0,IF(AND(Units!$K87=0,DE$1=Units!$O87),Units!$R87,IF(AND(DE$1&gt;=Units!$Q87,MOD(DE$1-Units!$Q87,12)=0),IF(AND(Units!$L87=1,DE$1=Units!$Q87),IF(Units!$J87&lt;&gt;"",Units!$J87,Mkt!DE88),Inputs!$B$15*Mkt!DE88+(1-Inputs!$B$15)*MIN(Mkt!DE88,DD88*(1+Inputs!$B$18))),DD88)))</f>
        <v>2343.52465056709</v>
      </c>
      <c r="DF88" s="11" t="n">
        <f aca="false">IF(DF$1&lt;Units!$P87,0,IF(AND(Units!$K87=0,DF$1=Units!$O87),Units!$R87,IF(AND(DF$1&gt;=Units!$Q87,MOD(DF$1-Units!$Q87,12)=0),IF(AND(Units!$L87=1,DF$1=Units!$Q87),IF(Units!$J87&lt;&gt;"",Units!$J87,Mkt!DF88),Inputs!$B$15*Mkt!DF88+(1-Inputs!$B$15)*MIN(Mkt!DF88,DE88*(1+Inputs!$B$18))),DE88)))</f>
        <v>2343.52465056709</v>
      </c>
      <c r="DG88" s="11" t="n">
        <f aca="false">IF(DG$1&lt;Units!$P87,0,IF(AND(Units!$K87=0,DG$1=Units!$O87),Units!$R87,IF(AND(DG$1&gt;=Units!$Q87,MOD(DG$1-Units!$Q87,12)=0),IF(AND(Units!$L87=1,DG$1=Units!$Q87),IF(Units!$J87&lt;&gt;"",Units!$J87,Mkt!DG88),Inputs!$B$15*Mkt!DG88+(1-Inputs!$B$15)*MIN(Mkt!DG88,DF88*(1+Inputs!$B$18))),DF88)))</f>
        <v>2343.52465056709</v>
      </c>
      <c r="DH88" s="11" t="n">
        <f aca="false">IF(DH$1&lt;Units!$P87,0,IF(AND(Units!$K87=0,DH$1=Units!$O87),Units!$R87,IF(AND(DH$1&gt;=Units!$Q87,MOD(DH$1-Units!$Q87,12)=0),IF(AND(Units!$L87=1,DH$1=Units!$Q87),IF(Units!$J87&lt;&gt;"",Units!$J87,Mkt!DH88),Inputs!$B$15*Mkt!DH88+(1-Inputs!$B$15)*MIN(Mkt!DH88,DG88*(1+Inputs!$B$18))),DG88)))</f>
        <v>2343.52465056709</v>
      </c>
      <c r="DI88" s="11" t="n">
        <f aca="false">IF(DI$1&lt;Units!$P87,0,IF(AND(Units!$K87=0,DI$1=Units!$O87),Units!$R87,IF(AND(DI$1&gt;=Units!$Q87,MOD(DI$1-Units!$Q87,12)=0),IF(AND(Units!$L87=1,DI$1=Units!$Q87),IF(Units!$J87&lt;&gt;"",Units!$J87,Mkt!DI88),Inputs!$B$15*Mkt!DI88+(1-Inputs!$B$15)*MIN(Mkt!DI88,DH88*(1+Inputs!$B$18))),DH88)))</f>
        <v>2343.52465056709</v>
      </c>
      <c r="DJ88" s="11" t="n">
        <f aca="false">IF(DJ$1&lt;Units!$P87,0,IF(AND(Units!$K87=0,DJ$1=Units!$O87),Units!$R87,IF(AND(DJ$1&gt;=Units!$Q87,MOD(DJ$1-Units!$Q87,12)=0),IF(AND(Units!$L87=1,DJ$1=Units!$Q87),IF(Units!$J87&lt;&gt;"",Units!$J87,Mkt!DJ88),Inputs!$B$15*Mkt!DJ88+(1-Inputs!$B$15)*MIN(Mkt!DJ88,DI88*(1+Inputs!$B$18))),DI88)))</f>
        <v>2343.52465056709</v>
      </c>
      <c r="DK88" s="11" t="n">
        <f aca="false">IF(DK$1&lt;Units!$P87,0,IF(AND(Units!$K87=0,DK$1=Units!$O87),Units!$R87,IF(AND(DK$1&gt;=Units!$Q87,MOD(DK$1-Units!$Q87,12)=0),IF(AND(Units!$L87=1,DK$1=Units!$Q87),IF(Units!$J87&lt;&gt;"",Units!$J87,Mkt!DK88),Inputs!$B$15*Mkt!DK88+(1-Inputs!$B$15)*MIN(Mkt!DK88,DJ88*(1+Inputs!$B$18))),DJ88)))</f>
        <v>2343.52465056709</v>
      </c>
      <c r="DL88" s="11" t="n">
        <f aca="false">IF(DL$1&lt;Units!$P87,0,IF(AND(Units!$K87=0,DL$1=Units!$O87),Units!$R87,IF(AND(DL$1&gt;=Units!$Q87,MOD(DL$1-Units!$Q87,12)=0),IF(AND(Units!$L87=1,DL$1=Units!$Q87),IF(Units!$J87&lt;&gt;"",Units!$J87,Mkt!DL88),Inputs!$B$15*Mkt!DL88+(1-Inputs!$B$15)*MIN(Mkt!DL88,DK88*(1+Inputs!$B$18))),DK88)))</f>
        <v>2343.52465056709</v>
      </c>
      <c r="DM88" s="11" t="n">
        <f aca="false">IF(DM$1&lt;Units!$P87,0,IF(AND(Units!$K87=0,DM$1=Units!$O87),Units!$R87,IF(AND(DM$1&gt;=Units!$Q87,MOD(DM$1-Units!$Q87,12)=0),IF(AND(Units!$L87=1,DM$1=Units!$Q87),IF(Units!$J87&lt;&gt;"",Units!$J87,Mkt!DM88),Inputs!$B$15*Mkt!DM88+(1-Inputs!$B$15)*MIN(Mkt!DM88,DL88*(1+Inputs!$B$18))),DL88)))</f>
        <v>2413.8303900841</v>
      </c>
      <c r="DN88" s="11" t="n">
        <f aca="false">IF(DN$1&lt;Units!$P87,0,IF(AND(Units!$K87=0,DN$1=Units!$O87),Units!$R87,IF(AND(DN$1&gt;=Units!$Q87,MOD(DN$1-Units!$Q87,12)=0),IF(AND(Units!$L87=1,DN$1=Units!$Q87),IF(Units!$J87&lt;&gt;"",Units!$J87,Mkt!DN88),Inputs!$B$15*Mkt!DN88+(1-Inputs!$B$15)*MIN(Mkt!DN88,DM88*(1+Inputs!$B$18))),DM88)))</f>
        <v>2413.8303900841</v>
      </c>
      <c r="DO88" s="11" t="n">
        <f aca="false">IF(DO$1&lt;Units!$P87,0,IF(AND(Units!$K87=0,DO$1=Units!$O87),Units!$R87,IF(AND(DO$1&gt;=Units!$Q87,MOD(DO$1-Units!$Q87,12)=0),IF(AND(Units!$L87=1,DO$1=Units!$Q87),IF(Units!$J87&lt;&gt;"",Units!$J87,Mkt!DO88),Inputs!$B$15*Mkt!DO88+(1-Inputs!$B$15)*MIN(Mkt!DO88,DN88*(1+Inputs!$B$18))),DN88)))</f>
        <v>2413.8303900841</v>
      </c>
      <c r="DP88" s="11" t="n">
        <f aca="false">IF(DP$1&lt;Units!$P87,0,IF(AND(Units!$K87=0,DP$1=Units!$O87),Units!$R87,IF(AND(DP$1&gt;=Units!$Q87,MOD(DP$1-Units!$Q87,12)=0),IF(AND(Units!$L87=1,DP$1=Units!$Q87),IF(Units!$J87&lt;&gt;"",Units!$J87,Mkt!DP88),Inputs!$B$15*Mkt!DP88+(1-Inputs!$B$15)*MIN(Mkt!DP88,DO88*(1+Inputs!$B$18))),DO88)))</f>
        <v>2413.8303900841</v>
      </c>
      <c r="DQ88" s="11" t="n">
        <f aca="false">IF(DQ$1&lt;Units!$P87,0,IF(AND(Units!$K87=0,DQ$1=Units!$O87),Units!$R87,IF(AND(DQ$1&gt;=Units!$Q87,MOD(DQ$1-Units!$Q87,12)=0),IF(AND(Units!$L87=1,DQ$1=Units!$Q87),IF(Units!$J87&lt;&gt;"",Units!$J87,Mkt!DQ88),Inputs!$B$15*Mkt!DQ88+(1-Inputs!$B$15)*MIN(Mkt!DQ88,DP88*(1+Inputs!$B$18))),DP88)))</f>
        <v>2413.8303900841</v>
      </c>
      <c r="DR88" s="11" t="n">
        <f aca="false">IF(DR$1&lt;Units!$P87,0,IF(AND(Units!$K87=0,DR$1=Units!$O87),Units!$R87,IF(AND(DR$1&gt;=Units!$Q87,MOD(DR$1-Units!$Q87,12)=0),IF(AND(Units!$L87=1,DR$1=Units!$Q87),IF(Units!$J87&lt;&gt;"",Units!$J87,Mkt!DR88),Inputs!$B$15*Mkt!DR88+(1-Inputs!$B$15)*MIN(Mkt!DR88,DQ88*(1+Inputs!$B$18))),DQ88)))</f>
        <v>2413.8303900841</v>
      </c>
      <c r="DS88" s="11" t="n">
        <f aca="false">IF(DS$1&lt;Units!$P87,0,IF(AND(Units!$K87=0,DS$1=Units!$O87),Units!$R87,IF(AND(DS$1&gt;=Units!$Q87,MOD(DS$1-Units!$Q87,12)=0),IF(AND(Units!$L87=1,DS$1=Units!$Q87),IF(Units!$J87&lt;&gt;"",Units!$J87,Mkt!DS88),Inputs!$B$15*Mkt!DS88+(1-Inputs!$B$15)*MIN(Mkt!DS88,DR88*(1+Inputs!$B$18))),DR88)))</f>
        <v>2413.8303900841</v>
      </c>
      <c r="DT88" s="11" t="n">
        <f aca="false">IF(DT$1&lt;Units!$P87,0,IF(AND(Units!$K87=0,DT$1=Units!$O87),Units!$R87,IF(AND(DT$1&gt;=Units!$Q87,MOD(DT$1-Units!$Q87,12)=0),IF(AND(Units!$L87=1,DT$1=Units!$Q87),IF(Units!$J87&lt;&gt;"",Units!$J87,Mkt!DT88),Inputs!$B$15*Mkt!DT88+(1-Inputs!$B$15)*MIN(Mkt!DT88,DS88*(1+Inputs!$B$18))),DS88)))</f>
        <v>2413.8303900841</v>
      </c>
      <c r="DU88" s="11" t="n">
        <f aca="false">IF(DU$1&lt;Units!$P87,0,IF(AND(Units!$K87=0,DU$1=Units!$O87),Units!$R87,IF(AND(DU$1&gt;=Units!$Q87,MOD(DU$1-Units!$Q87,12)=0),IF(AND(Units!$L87=1,DU$1=Units!$Q87),IF(Units!$J87&lt;&gt;"",Units!$J87,Mkt!DU88),Inputs!$B$15*Mkt!DU88+(1-Inputs!$B$15)*MIN(Mkt!DU88,DT88*(1+Inputs!$B$18))),DT88)))</f>
        <v>2413.8303900841</v>
      </c>
      <c r="DV88" s="11" t="n">
        <f aca="false">IF(DV$1&lt;Units!$P87,0,IF(AND(Units!$K87=0,DV$1=Units!$O87),Units!$R87,IF(AND(DV$1&gt;=Units!$Q87,MOD(DV$1-Units!$Q87,12)=0),IF(AND(Units!$L87=1,DV$1=Units!$Q87),IF(Units!$J87&lt;&gt;"",Units!$J87,Mkt!DV88),Inputs!$B$15*Mkt!DV88+(1-Inputs!$B$15)*MIN(Mkt!DV88,DU88*(1+Inputs!$B$18))),DU88)))</f>
        <v>2413.8303900841</v>
      </c>
      <c r="DW88" s="11" t="n">
        <f aca="false">IF(DW$1&lt;Units!$P87,0,IF(AND(Units!$K87=0,DW$1=Units!$O87),Units!$R87,IF(AND(DW$1&gt;=Units!$Q87,MOD(DW$1-Units!$Q87,12)=0),IF(AND(Units!$L87=1,DW$1=Units!$Q87),IF(Units!$J87&lt;&gt;"",Units!$J87,Mkt!DW88),Inputs!$B$15*Mkt!DW88+(1-Inputs!$B$15)*MIN(Mkt!DW88,DV88*(1+Inputs!$B$18))),DV88)))</f>
        <v>2413.8303900841</v>
      </c>
      <c r="DX88" s="11" t="n">
        <f aca="false">IF(DX$1&lt;Units!$P87,0,IF(AND(Units!$K87=0,DX$1=Units!$O87),Units!$R87,IF(AND(DX$1&gt;=Units!$Q87,MOD(DX$1-Units!$Q87,12)=0),IF(AND(Units!$L87=1,DX$1=Units!$Q87),IF(Units!$J87&lt;&gt;"",Units!$J87,Mkt!DX88),Inputs!$B$15*Mkt!DX88+(1-Inputs!$B$15)*MIN(Mkt!DX88,DW88*(1+Inputs!$B$18))),DW88)))</f>
        <v>2413.8303900841</v>
      </c>
      <c r="DY88" s="11" t="n">
        <f aca="false">IF(DY$1&lt;Units!$P87,0,IF(AND(Units!$K87=0,DY$1=Units!$O87),Units!$R87,IF(AND(DY$1&gt;=Units!$Q87,MOD(DY$1-Units!$Q87,12)=0),IF(AND(Units!$L87=1,DY$1=Units!$Q87),IF(Units!$J87&lt;&gt;"",Units!$J87,Mkt!DY88),Inputs!$B$15*Mkt!DY88+(1-Inputs!$B$15)*MIN(Mkt!DY88,DX88*(1+Inputs!$B$18))),DX88)))</f>
        <v>2486.24530178663</v>
      </c>
      <c r="DZ88" s="11" t="n">
        <f aca="false">IF(DZ$1&lt;Units!$P87,0,IF(AND(Units!$K87=0,DZ$1=Units!$O87),Units!$R87,IF(AND(DZ$1&gt;=Units!$Q87,MOD(DZ$1-Units!$Q87,12)=0),IF(AND(Units!$L87=1,DZ$1=Units!$Q87),IF(Units!$J87&lt;&gt;"",Units!$J87,Mkt!DZ88),Inputs!$B$15*Mkt!DZ88+(1-Inputs!$B$15)*MIN(Mkt!DZ88,DY88*(1+Inputs!$B$18))),DY88)))</f>
        <v>2486.24530178663</v>
      </c>
      <c r="EA88" s="11" t="n">
        <f aca="false">IF(EA$1&lt;Units!$P87,0,IF(AND(Units!$K87=0,EA$1=Units!$O87),Units!$R87,IF(AND(EA$1&gt;=Units!$Q87,MOD(EA$1-Units!$Q87,12)=0),IF(AND(Units!$L87=1,EA$1=Units!$Q87),IF(Units!$J87&lt;&gt;"",Units!$J87,Mkt!EA88),Inputs!$B$15*Mkt!EA88+(1-Inputs!$B$15)*MIN(Mkt!EA88,DZ88*(1+Inputs!$B$18))),DZ88)))</f>
        <v>2486.24530178663</v>
      </c>
      <c r="EB88" s="11" t="n">
        <f aca="false">IF(EB$1&lt;Units!$P87,0,IF(AND(Units!$K87=0,EB$1=Units!$O87),Units!$R87,IF(AND(EB$1&gt;=Units!$Q87,MOD(EB$1-Units!$Q87,12)=0),IF(AND(Units!$L87=1,EB$1=Units!$Q87),IF(Units!$J87&lt;&gt;"",Units!$J87,Mkt!EB88),Inputs!$B$15*Mkt!EB88+(1-Inputs!$B$15)*MIN(Mkt!EB88,EA88*(1+Inputs!$B$18))),EA88)))</f>
        <v>2486.24530178663</v>
      </c>
      <c r="EC88" s="11" t="n">
        <f aca="false">IF(EC$1&lt;Units!$P87,0,IF(AND(Units!$K87=0,EC$1=Units!$O87),Units!$R87,IF(AND(EC$1&gt;=Units!$Q87,MOD(EC$1-Units!$Q87,12)=0),IF(AND(Units!$L87=1,EC$1=Units!$Q87),IF(Units!$J87&lt;&gt;"",Units!$J87,Mkt!EC88),Inputs!$B$15*Mkt!EC88+(1-Inputs!$B$15)*MIN(Mkt!EC88,EB88*(1+Inputs!$B$18))),EB88)))</f>
        <v>2486.24530178663</v>
      </c>
      <c r="ED88" s="11" t="n">
        <f aca="false">IF(ED$1&lt;Units!$P87,0,IF(AND(Units!$K87=0,ED$1=Units!$O87),Units!$R87,IF(AND(ED$1&gt;=Units!$Q87,MOD(ED$1-Units!$Q87,12)=0),IF(AND(Units!$L87=1,ED$1=Units!$Q87),IF(Units!$J87&lt;&gt;"",Units!$J87,Mkt!ED88),Inputs!$B$15*Mkt!ED88+(1-Inputs!$B$15)*MIN(Mkt!ED88,EC88*(1+Inputs!$B$18))),EC88)))</f>
        <v>2486.24530178663</v>
      </c>
    </row>
    <row r="89" customFormat="false" ht="15" hidden="false" customHeight="false" outlineLevel="0" collapsed="false">
      <c r="A89" s="22" t="n">
        <f aca="false">Units!A88</f>
        <v>327</v>
      </c>
      <c r="B89" s="24" t="n">
        <f aca="false">IF(Units!K88=1,Units!F88,0)</f>
        <v>1775</v>
      </c>
      <c r="C89" s="11" t="n">
        <f aca="false">IF(C$1&lt;Units!$P88,0,IF(AND(Units!$K88=0,C$1=Units!$O88),Units!$R88,IF(AND(C$1&gt;=Units!$Q88,MOD(C$1-Units!$Q88,12)=0),IF(AND(Units!$L88=1,C$1=Units!$Q88),IF(Units!$J88&lt;&gt;"",Units!$J88,Mkt!C89),Inputs!$B$15*Mkt!C89+(1-Inputs!$B$15)*MIN(Mkt!C89,B89*(1+Inputs!$B$18))),B89)))</f>
        <v>1775</v>
      </c>
      <c r="D89" s="11" t="n">
        <f aca="false">IF(D$1&lt;Units!$P88,0,IF(AND(Units!$K88=0,D$1=Units!$O88),Units!$R88,IF(AND(D$1&gt;=Units!$Q88,MOD(D$1-Units!$Q88,12)=0),IF(AND(Units!$L88=1,D$1=Units!$Q88),IF(Units!$J88&lt;&gt;"",Units!$J88,Mkt!D89),Inputs!$B$15*Mkt!D89+(1-Inputs!$B$15)*MIN(Mkt!D89,C89*(1+Inputs!$B$18))),C89)))</f>
        <v>1850</v>
      </c>
      <c r="E89" s="11" t="n">
        <f aca="false">IF(E$1&lt;Units!$P88,0,IF(AND(Units!$K88=0,E$1=Units!$O88),Units!$R88,IF(AND(E$1&gt;=Units!$Q88,MOD(E$1-Units!$Q88,12)=0),IF(AND(Units!$L88=1,E$1=Units!$Q88),IF(Units!$J88&lt;&gt;"",Units!$J88,Mkt!E89),Inputs!$B$15*Mkt!E89+(1-Inputs!$B$15)*MIN(Mkt!E89,D89*(1+Inputs!$B$18))),D89)))</f>
        <v>1850</v>
      </c>
      <c r="F89" s="11" t="n">
        <f aca="false">IF(F$1&lt;Units!$P88,0,IF(AND(Units!$K88=0,F$1=Units!$O88),Units!$R88,IF(AND(F$1&gt;=Units!$Q88,MOD(F$1-Units!$Q88,12)=0),IF(AND(Units!$L88=1,F$1=Units!$Q88),IF(Units!$J88&lt;&gt;"",Units!$J88,Mkt!F89),Inputs!$B$15*Mkt!F89+(1-Inputs!$B$15)*MIN(Mkt!F89,E89*(1+Inputs!$B$18))),E89)))</f>
        <v>1850</v>
      </c>
      <c r="G89" s="11" t="n">
        <f aca="false">IF(G$1&lt;Units!$P88,0,IF(AND(Units!$K88=0,G$1=Units!$O88),Units!$R88,IF(AND(G$1&gt;=Units!$Q88,MOD(G$1-Units!$Q88,12)=0),IF(AND(Units!$L88=1,G$1=Units!$Q88),IF(Units!$J88&lt;&gt;"",Units!$J88,Mkt!G89),Inputs!$B$15*Mkt!G89+(1-Inputs!$B$15)*MIN(Mkt!G89,F89*(1+Inputs!$B$18))),F89)))</f>
        <v>1850</v>
      </c>
      <c r="H89" s="11" t="n">
        <f aca="false">IF(H$1&lt;Units!$P88,0,IF(AND(Units!$K88=0,H$1=Units!$O88),Units!$R88,IF(AND(H$1&gt;=Units!$Q88,MOD(H$1-Units!$Q88,12)=0),IF(AND(Units!$L88=1,H$1=Units!$Q88),IF(Units!$J88&lt;&gt;"",Units!$J88,Mkt!H89),Inputs!$B$15*Mkt!H89+(1-Inputs!$B$15)*MIN(Mkt!H89,G89*(1+Inputs!$B$18))),G89)))</f>
        <v>1850</v>
      </c>
      <c r="I89" s="11" t="n">
        <f aca="false">IF(I$1&lt;Units!$P88,0,IF(AND(Units!$K88=0,I$1=Units!$O88),Units!$R88,IF(AND(I$1&gt;=Units!$Q88,MOD(I$1-Units!$Q88,12)=0),IF(AND(Units!$L88=1,I$1=Units!$Q88),IF(Units!$J88&lt;&gt;"",Units!$J88,Mkt!I89),Inputs!$B$15*Mkt!I89+(1-Inputs!$B$15)*MIN(Mkt!I89,H89*(1+Inputs!$B$18))),H89)))</f>
        <v>1850</v>
      </c>
      <c r="J89" s="11" t="n">
        <f aca="false">IF(J$1&lt;Units!$P88,0,IF(AND(Units!$K88=0,J$1=Units!$O88),Units!$R88,IF(AND(J$1&gt;=Units!$Q88,MOD(J$1-Units!$Q88,12)=0),IF(AND(Units!$L88=1,J$1=Units!$Q88),IF(Units!$J88&lt;&gt;"",Units!$J88,Mkt!J89),Inputs!$B$15*Mkt!J89+(1-Inputs!$B$15)*MIN(Mkt!J89,I89*(1+Inputs!$B$18))),I89)))</f>
        <v>1850</v>
      </c>
      <c r="K89" s="11" t="n">
        <f aca="false">IF(K$1&lt;Units!$P88,0,IF(AND(Units!$K88=0,K$1=Units!$O88),Units!$R88,IF(AND(K$1&gt;=Units!$Q88,MOD(K$1-Units!$Q88,12)=0),IF(AND(Units!$L88=1,K$1=Units!$Q88),IF(Units!$J88&lt;&gt;"",Units!$J88,Mkt!K89),Inputs!$B$15*Mkt!K89+(1-Inputs!$B$15)*MIN(Mkt!K89,J89*(1+Inputs!$B$18))),J89)))</f>
        <v>1850</v>
      </c>
      <c r="L89" s="11" t="n">
        <f aca="false">IF(L$1&lt;Units!$P88,0,IF(AND(Units!$K88=0,L$1=Units!$O88),Units!$R88,IF(AND(L$1&gt;=Units!$Q88,MOD(L$1-Units!$Q88,12)=0),IF(AND(Units!$L88=1,L$1=Units!$Q88),IF(Units!$J88&lt;&gt;"",Units!$J88,Mkt!L89),Inputs!$B$15*Mkt!L89+(1-Inputs!$B$15)*MIN(Mkt!L89,K89*(1+Inputs!$B$18))),K89)))</f>
        <v>1850</v>
      </c>
      <c r="M89" s="11" t="n">
        <f aca="false">IF(M$1&lt;Units!$P88,0,IF(AND(Units!$K88=0,M$1=Units!$O88),Units!$R88,IF(AND(M$1&gt;=Units!$Q88,MOD(M$1-Units!$Q88,12)=0),IF(AND(Units!$L88=1,M$1=Units!$Q88),IF(Units!$J88&lt;&gt;"",Units!$J88,Mkt!M89),Inputs!$B$15*Mkt!M89+(1-Inputs!$B$15)*MIN(Mkt!M89,L89*(1+Inputs!$B$18))),L89)))</f>
        <v>1850</v>
      </c>
      <c r="N89" s="11" t="n">
        <f aca="false">IF(N$1&lt;Units!$P88,0,IF(AND(Units!$K88=0,N$1=Units!$O88),Units!$R88,IF(AND(N$1&gt;=Units!$Q88,MOD(N$1-Units!$Q88,12)=0),IF(AND(Units!$L88=1,N$1=Units!$Q88),IF(Units!$J88&lt;&gt;"",Units!$J88,Mkt!N89),Inputs!$B$15*Mkt!N89+(1-Inputs!$B$15)*MIN(Mkt!N89,M89*(1+Inputs!$B$18))),M89)))</f>
        <v>1850</v>
      </c>
      <c r="O89" s="11" t="n">
        <f aca="false">IF(O$1&lt;Units!$P88,0,IF(AND(Units!$K88=0,O$1=Units!$O88),Units!$R88,IF(AND(O$1&gt;=Units!$Q88,MOD(O$1-Units!$Q88,12)=0),IF(AND(Units!$L88=1,O$1=Units!$Q88),IF(Units!$J88&lt;&gt;"",Units!$J88,Mkt!O89),Inputs!$B$15*Mkt!O89+(1-Inputs!$B$15)*MIN(Mkt!O89,N89*(1+Inputs!$B$18))),N89)))</f>
        <v>1850</v>
      </c>
      <c r="P89" s="11" t="n">
        <f aca="false">IF(P$1&lt;Units!$P88,0,IF(AND(Units!$K88=0,P$1=Units!$O88),Units!$R88,IF(AND(P$1&gt;=Units!$Q88,MOD(P$1-Units!$Q88,12)=0),IF(AND(Units!$L88=1,P$1=Units!$Q88),IF(Units!$J88&lt;&gt;"",Units!$J88,Mkt!P89),Inputs!$B$15*Mkt!P89+(1-Inputs!$B$15)*MIN(Mkt!P89,O89*(1+Inputs!$B$18))),O89)))</f>
        <v>1905.5</v>
      </c>
      <c r="Q89" s="11" t="n">
        <f aca="false">IF(Q$1&lt;Units!$P88,0,IF(AND(Units!$K88=0,Q$1=Units!$O88),Units!$R88,IF(AND(Q$1&gt;=Units!$Q88,MOD(Q$1-Units!$Q88,12)=0),IF(AND(Units!$L88=1,Q$1=Units!$Q88),IF(Units!$J88&lt;&gt;"",Units!$J88,Mkt!Q89),Inputs!$B$15*Mkt!Q89+(1-Inputs!$B$15)*MIN(Mkt!Q89,P89*(1+Inputs!$B$18))),P89)))</f>
        <v>1905.5</v>
      </c>
      <c r="R89" s="11" t="n">
        <f aca="false">IF(R$1&lt;Units!$P88,0,IF(AND(Units!$K88=0,R$1=Units!$O88),Units!$R88,IF(AND(R$1&gt;=Units!$Q88,MOD(R$1-Units!$Q88,12)=0),IF(AND(Units!$L88=1,R$1=Units!$Q88),IF(Units!$J88&lt;&gt;"",Units!$J88,Mkt!R89),Inputs!$B$15*Mkt!R89+(1-Inputs!$B$15)*MIN(Mkt!R89,Q89*(1+Inputs!$B$18))),Q89)))</f>
        <v>1905.5</v>
      </c>
      <c r="S89" s="11" t="n">
        <f aca="false">IF(S$1&lt;Units!$P88,0,IF(AND(Units!$K88=0,S$1=Units!$O88),Units!$R88,IF(AND(S$1&gt;=Units!$Q88,MOD(S$1-Units!$Q88,12)=0),IF(AND(Units!$L88=1,S$1=Units!$Q88),IF(Units!$J88&lt;&gt;"",Units!$J88,Mkt!S89),Inputs!$B$15*Mkt!S89+(1-Inputs!$B$15)*MIN(Mkt!S89,R89*(1+Inputs!$B$18))),R89)))</f>
        <v>1905.5</v>
      </c>
      <c r="T89" s="11" t="n">
        <f aca="false">IF(T$1&lt;Units!$P88,0,IF(AND(Units!$K88=0,T$1=Units!$O88),Units!$R88,IF(AND(T$1&gt;=Units!$Q88,MOD(T$1-Units!$Q88,12)=0),IF(AND(Units!$L88=1,T$1=Units!$Q88),IF(Units!$J88&lt;&gt;"",Units!$J88,Mkt!T89),Inputs!$B$15*Mkt!T89+(1-Inputs!$B$15)*MIN(Mkt!T89,S89*(1+Inputs!$B$18))),S89)))</f>
        <v>1905.5</v>
      </c>
      <c r="U89" s="11" t="n">
        <f aca="false">IF(U$1&lt;Units!$P88,0,IF(AND(Units!$K88=0,U$1=Units!$O88),Units!$R88,IF(AND(U$1&gt;=Units!$Q88,MOD(U$1-Units!$Q88,12)=0),IF(AND(Units!$L88=1,U$1=Units!$Q88),IF(Units!$J88&lt;&gt;"",Units!$J88,Mkt!U89),Inputs!$B$15*Mkt!U89+(1-Inputs!$B$15)*MIN(Mkt!U89,T89*(1+Inputs!$B$18))),T89)))</f>
        <v>1905.5</v>
      </c>
      <c r="V89" s="11" t="n">
        <f aca="false">IF(V$1&lt;Units!$P88,0,IF(AND(Units!$K88=0,V$1=Units!$O88),Units!$R88,IF(AND(V$1&gt;=Units!$Q88,MOD(V$1-Units!$Q88,12)=0),IF(AND(Units!$L88=1,V$1=Units!$Q88),IF(Units!$J88&lt;&gt;"",Units!$J88,Mkt!V89),Inputs!$B$15*Mkt!V89+(1-Inputs!$B$15)*MIN(Mkt!V89,U89*(1+Inputs!$B$18))),U89)))</f>
        <v>1905.5</v>
      </c>
      <c r="W89" s="11" t="n">
        <f aca="false">IF(W$1&lt;Units!$P88,0,IF(AND(Units!$K88=0,W$1=Units!$O88),Units!$R88,IF(AND(W$1&gt;=Units!$Q88,MOD(W$1-Units!$Q88,12)=0),IF(AND(Units!$L88=1,W$1=Units!$Q88),IF(Units!$J88&lt;&gt;"",Units!$J88,Mkt!W89),Inputs!$B$15*Mkt!W89+(1-Inputs!$B$15)*MIN(Mkt!W89,V89*(1+Inputs!$B$18))),V89)))</f>
        <v>1905.5</v>
      </c>
      <c r="X89" s="11" t="n">
        <f aca="false">IF(X$1&lt;Units!$P88,0,IF(AND(Units!$K88=0,X$1=Units!$O88),Units!$R88,IF(AND(X$1&gt;=Units!$Q88,MOD(X$1-Units!$Q88,12)=0),IF(AND(Units!$L88=1,X$1=Units!$Q88),IF(Units!$J88&lt;&gt;"",Units!$J88,Mkt!X89),Inputs!$B$15*Mkt!X89+(1-Inputs!$B$15)*MIN(Mkt!X89,W89*(1+Inputs!$B$18))),W89)))</f>
        <v>1905.5</v>
      </c>
      <c r="Y89" s="11" t="n">
        <f aca="false">IF(Y$1&lt;Units!$P88,0,IF(AND(Units!$K88=0,Y$1=Units!$O88),Units!$R88,IF(AND(Y$1&gt;=Units!$Q88,MOD(Y$1-Units!$Q88,12)=0),IF(AND(Units!$L88=1,Y$1=Units!$Q88),IF(Units!$J88&lt;&gt;"",Units!$J88,Mkt!Y89),Inputs!$B$15*Mkt!Y89+(1-Inputs!$B$15)*MIN(Mkt!Y89,X89*(1+Inputs!$B$18))),X89)))</f>
        <v>1905.5</v>
      </c>
      <c r="Z89" s="11" t="n">
        <f aca="false">IF(Z$1&lt;Units!$P88,0,IF(AND(Units!$K88=0,Z$1=Units!$O88),Units!$R88,IF(AND(Z$1&gt;=Units!$Q88,MOD(Z$1-Units!$Q88,12)=0),IF(AND(Units!$L88=1,Z$1=Units!$Q88),IF(Units!$J88&lt;&gt;"",Units!$J88,Mkt!Z89),Inputs!$B$15*Mkt!Z89+(1-Inputs!$B$15)*MIN(Mkt!Z89,Y89*(1+Inputs!$B$18))),Y89)))</f>
        <v>1905.5</v>
      </c>
      <c r="AA89" s="11" t="n">
        <f aca="false">IF(AA$1&lt;Units!$P88,0,IF(AND(Units!$K88=0,AA$1=Units!$O88),Units!$R88,IF(AND(AA$1&gt;=Units!$Q88,MOD(AA$1-Units!$Q88,12)=0),IF(AND(Units!$L88=1,AA$1=Units!$Q88),IF(Units!$J88&lt;&gt;"",Units!$J88,Mkt!AA89),Inputs!$B$15*Mkt!AA89+(1-Inputs!$B$15)*MIN(Mkt!AA89,Z89*(1+Inputs!$B$18))),Z89)))</f>
        <v>1905.5</v>
      </c>
      <c r="AB89" s="11" t="n">
        <f aca="false">IF(AB$1&lt;Units!$P88,0,IF(AND(Units!$K88=0,AB$1=Units!$O88),Units!$R88,IF(AND(AB$1&gt;=Units!$Q88,MOD(AB$1-Units!$Q88,12)=0),IF(AND(Units!$L88=1,AB$1=Units!$Q88),IF(Units!$J88&lt;&gt;"",Units!$J88,Mkt!AB89),Inputs!$B$15*Mkt!AB89+(1-Inputs!$B$15)*MIN(Mkt!AB89,AA89*(1+Inputs!$B$18))),AA89)))</f>
        <v>1962.665</v>
      </c>
      <c r="AC89" s="11" t="n">
        <f aca="false">IF(AC$1&lt;Units!$P88,0,IF(AND(Units!$K88=0,AC$1=Units!$O88),Units!$R88,IF(AND(AC$1&gt;=Units!$Q88,MOD(AC$1-Units!$Q88,12)=0),IF(AND(Units!$L88=1,AC$1=Units!$Q88),IF(Units!$J88&lt;&gt;"",Units!$J88,Mkt!AC89),Inputs!$B$15*Mkt!AC89+(1-Inputs!$B$15)*MIN(Mkt!AC89,AB89*(1+Inputs!$B$18))),AB89)))</f>
        <v>1962.665</v>
      </c>
      <c r="AD89" s="11" t="n">
        <f aca="false">IF(AD$1&lt;Units!$P88,0,IF(AND(Units!$K88=0,AD$1=Units!$O88),Units!$R88,IF(AND(AD$1&gt;=Units!$Q88,MOD(AD$1-Units!$Q88,12)=0),IF(AND(Units!$L88=1,AD$1=Units!$Q88),IF(Units!$J88&lt;&gt;"",Units!$J88,Mkt!AD89),Inputs!$B$15*Mkt!AD89+(1-Inputs!$B$15)*MIN(Mkt!AD89,AC89*(1+Inputs!$B$18))),AC89)))</f>
        <v>1962.665</v>
      </c>
      <c r="AE89" s="11" t="n">
        <f aca="false">IF(AE$1&lt;Units!$P88,0,IF(AND(Units!$K88=0,AE$1=Units!$O88),Units!$R88,IF(AND(AE$1&gt;=Units!$Q88,MOD(AE$1-Units!$Q88,12)=0),IF(AND(Units!$L88=1,AE$1=Units!$Q88),IF(Units!$J88&lt;&gt;"",Units!$J88,Mkt!AE89),Inputs!$B$15*Mkt!AE89+(1-Inputs!$B$15)*MIN(Mkt!AE89,AD89*(1+Inputs!$B$18))),AD89)))</f>
        <v>1962.665</v>
      </c>
      <c r="AF89" s="11" t="n">
        <f aca="false">IF(AF$1&lt;Units!$P88,0,IF(AND(Units!$K88=0,AF$1=Units!$O88),Units!$R88,IF(AND(AF$1&gt;=Units!$Q88,MOD(AF$1-Units!$Q88,12)=0),IF(AND(Units!$L88=1,AF$1=Units!$Q88),IF(Units!$J88&lt;&gt;"",Units!$J88,Mkt!AF89),Inputs!$B$15*Mkt!AF89+(1-Inputs!$B$15)*MIN(Mkt!AF89,AE89*(1+Inputs!$B$18))),AE89)))</f>
        <v>1962.665</v>
      </c>
      <c r="AG89" s="11" t="n">
        <f aca="false">IF(AG$1&lt;Units!$P88,0,IF(AND(Units!$K88=0,AG$1=Units!$O88),Units!$R88,IF(AND(AG$1&gt;=Units!$Q88,MOD(AG$1-Units!$Q88,12)=0),IF(AND(Units!$L88=1,AG$1=Units!$Q88),IF(Units!$J88&lt;&gt;"",Units!$J88,Mkt!AG89),Inputs!$B$15*Mkt!AG89+(1-Inputs!$B$15)*MIN(Mkt!AG89,AF89*(1+Inputs!$B$18))),AF89)))</f>
        <v>1962.665</v>
      </c>
      <c r="AH89" s="11" t="n">
        <f aca="false">IF(AH$1&lt;Units!$P88,0,IF(AND(Units!$K88=0,AH$1=Units!$O88),Units!$R88,IF(AND(AH$1&gt;=Units!$Q88,MOD(AH$1-Units!$Q88,12)=0),IF(AND(Units!$L88=1,AH$1=Units!$Q88),IF(Units!$J88&lt;&gt;"",Units!$J88,Mkt!AH89),Inputs!$B$15*Mkt!AH89+(1-Inputs!$B$15)*MIN(Mkt!AH89,AG89*(1+Inputs!$B$18))),AG89)))</f>
        <v>1962.665</v>
      </c>
      <c r="AI89" s="11" t="n">
        <f aca="false">IF(AI$1&lt;Units!$P88,0,IF(AND(Units!$K88=0,AI$1=Units!$O88),Units!$R88,IF(AND(AI$1&gt;=Units!$Q88,MOD(AI$1-Units!$Q88,12)=0),IF(AND(Units!$L88=1,AI$1=Units!$Q88),IF(Units!$J88&lt;&gt;"",Units!$J88,Mkt!AI89),Inputs!$B$15*Mkt!AI89+(1-Inputs!$B$15)*MIN(Mkt!AI89,AH89*(1+Inputs!$B$18))),AH89)))</f>
        <v>1962.665</v>
      </c>
      <c r="AJ89" s="11" t="n">
        <f aca="false">IF(AJ$1&lt;Units!$P88,0,IF(AND(Units!$K88=0,AJ$1=Units!$O88),Units!$R88,IF(AND(AJ$1&gt;=Units!$Q88,MOD(AJ$1-Units!$Q88,12)=0),IF(AND(Units!$L88=1,AJ$1=Units!$Q88),IF(Units!$J88&lt;&gt;"",Units!$J88,Mkt!AJ89),Inputs!$B$15*Mkt!AJ89+(1-Inputs!$B$15)*MIN(Mkt!AJ89,AI89*(1+Inputs!$B$18))),AI89)))</f>
        <v>1962.665</v>
      </c>
      <c r="AK89" s="11" t="n">
        <f aca="false">IF(AK$1&lt;Units!$P88,0,IF(AND(Units!$K88=0,AK$1=Units!$O88),Units!$R88,IF(AND(AK$1&gt;=Units!$Q88,MOD(AK$1-Units!$Q88,12)=0),IF(AND(Units!$L88=1,AK$1=Units!$Q88),IF(Units!$J88&lt;&gt;"",Units!$J88,Mkt!AK89),Inputs!$B$15*Mkt!AK89+(1-Inputs!$B$15)*MIN(Mkt!AK89,AJ89*(1+Inputs!$B$18))),AJ89)))</f>
        <v>1962.665</v>
      </c>
      <c r="AL89" s="11" t="n">
        <f aca="false">IF(AL$1&lt;Units!$P88,0,IF(AND(Units!$K88=0,AL$1=Units!$O88),Units!$R88,IF(AND(AL$1&gt;=Units!$Q88,MOD(AL$1-Units!$Q88,12)=0),IF(AND(Units!$L88=1,AL$1=Units!$Q88),IF(Units!$J88&lt;&gt;"",Units!$J88,Mkt!AL89),Inputs!$B$15*Mkt!AL89+(1-Inputs!$B$15)*MIN(Mkt!AL89,AK89*(1+Inputs!$B$18))),AK89)))</f>
        <v>1962.665</v>
      </c>
      <c r="AM89" s="11" t="n">
        <f aca="false">IF(AM$1&lt;Units!$P88,0,IF(AND(Units!$K88=0,AM$1=Units!$O88),Units!$R88,IF(AND(AM$1&gt;=Units!$Q88,MOD(AM$1-Units!$Q88,12)=0),IF(AND(Units!$L88=1,AM$1=Units!$Q88),IF(Units!$J88&lt;&gt;"",Units!$J88,Mkt!AM89),Inputs!$B$15*Mkt!AM89+(1-Inputs!$B$15)*MIN(Mkt!AM89,AL89*(1+Inputs!$B$18))),AL89)))</f>
        <v>1962.665</v>
      </c>
      <c r="AN89" s="11" t="n">
        <f aca="false">IF(AN$1&lt;Units!$P88,0,IF(AND(Units!$K88=0,AN$1=Units!$O88),Units!$R88,IF(AND(AN$1&gt;=Units!$Q88,MOD(AN$1-Units!$Q88,12)=0),IF(AND(Units!$L88=1,AN$1=Units!$Q88),IF(Units!$J88&lt;&gt;"",Units!$J88,Mkt!AN89),Inputs!$B$15*Mkt!AN89+(1-Inputs!$B$15)*MIN(Mkt!AN89,AM89*(1+Inputs!$B$18))),AM89)))</f>
        <v>2021.54495</v>
      </c>
      <c r="AO89" s="11" t="n">
        <f aca="false">IF(AO$1&lt;Units!$P88,0,IF(AND(Units!$K88=0,AO$1=Units!$O88),Units!$R88,IF(AND(AO$1&gt;=Units!$Q88,MOD(AO$1-Units!$Q88,12)=0),IF(AND(Units!$L88=1,AO$1=Units!$Q88),IF(Units!$J88&lt;&gt;"",Units!$J88,Mkt!AO89),Inputs!$B$15*Mkt!AO89+(1-Inputs!$B$15)*MIN(Mkt!AO89,AN89*(1+Inputs!$B$18))),AN89)))</f>
        <v>2021.54495</v>
      </c>
      <c r="AP89" s="11" t="n">
        <f aca="false">IF(AP$1&lt;Units!$P88,0,IF(AND(Units!$K88=0,AP$1=Units!$O88),Units!$R88,IF(AND(AP$1&gt;=Units!$Q88,MOD(AP$1-Units!$Q88,12)=0),IF(AND(Units!$L88=1,AP$1=Units!$Q88),IF(Units!$J88&lt;&gt;"",Units!$J88,Mkt!AP89),Inputs!$B$15*Mkt!AP89+(1-Inputs!$B$15)*MIN(Mkt!AP89,AO89*(1+Inputs!$B$18))),AO89)))</f>
        <v>2021.54495</v>
      </c>
      <c r="AQ89" s="11" t="n">
        <f aca="false">IF(AQ$1&lt;Units!$P88,0,IF(AND(Units!$K88=0,AQ$1=Units!$O88),Units!$R88,IF(AND(AQ$1&gt;=Units!$Q88,MOD(AQ$1-Units!$Q88,12)=0),IF(AND(Units!$L88=1,AQ$1=Units!$Q88),IF(Units!$J88&lt;&gt;"",Units!$J88,Mkt!AQ89),Inputs!$B$15*Mkt!AQ89+(1-Inputs!$B$15)*MIN(Mkt!AQ89,AP89*(1+Inputs!$B$18))),AP89)))</f>
        <v>2021.54495</v>
      </c>
      <c r="AR89" s="11" t="n">
        <f aca="false">IF(AR$1&lt;Units!$P88,0,IF(AND(Units!$K88=0,AR$1=Units!$O88),Units!$R88,IF(AND(AR$1&gt;=Units!$Q88,MOD(AR$1-Units!$Q88,12)=0),IF(AND(Units!$L88=1,AR$1=Units!$Q88),IF(Units!$J88&lt;&gt;"",Units!$J88,Mkt!AR89),Inputs!$B$15*Mkt!AR89+(1-Inputs!$B$15)*MIN(Mkt!AR89,AQ89*(1+Inputs!$B$18))),AQ89)))</f>
        <v>2021.54495</v>
      </c>
      <c r="AS89" s="11" t="n">
        <f aca="false">IF(AS$1&lt;Units!$P88,0,IF(AND(Units!$K88=0,AS$1=Units!$O88),Units!$R88,IF(AND(AS$1&gt;=Units!$Q88,MOD(AS$1-Units!$Q88,12)=0),IF(AND(Units!$L88=1,AS$1=Units!$Q88),IF(Units!$J88&lt;&gt;"",Units!$J88,Mkt!AS89),Inputs!$B$15*Mkt!AS89+(1-Inputs!$B$15)*MIN(Mkt!AS89,AR89*(1+Inputs!$B$18))),AR89)))</f>
        <v>2021.54495</v>
      </c>
      <c r="AT89" s="11" t="n">
        <f aca="false">IF(AT$1&lt;Units!$P88,0,IF(AND(Units!$K88=0,AT$1=Units!$O88),Units!$R88,IF(AND(AT$1&gt;=Units!$Q88,MOD(AT$1-Units!$Q88,12)=0),IF(AND(Units!$L88=1,AT$1=Units!$Q88),IF(Units!$J88&lt;&gt;"",Units!$J88,Mkt!AT89),Inputs!$B$15*Mkt!AT89+(1-Inputs!$B$15)*MIN(Mkt!AT89,AS89*(1+Inputs!$B$18))),AS89)))</f>
        <v>2021.54495</v>
      </c>
      <c r="AU89" s="11" t="n">
        <f aca="false">IF(AU$1&lt;Units!$P88,0,IF(AND(Units!$K88=0,AU$1=Units!$O88),Units!$R88,IF(AND(AU$1&gt;=Units!$Q88,MOD(AU$1-Units!$Q88,12)=0),IF(AND(Units!$L88=1,AU$1=Units!$Q88),IF(Units!$J88&lt;&gt;"",Units!$J88,Mkt!AU89),Inputs!$B$15*Mkt!AU89+(1-Inputs!$B$15)*MIN(Mkt!AU89,AT89*(1+Inputs!$B$18))),AT89)))</f>
        <v>2021.54495</v>
      </c>
      <c r="AV89" s="11" t="n">
        <f aca="false">IF(AV$1&lt;Units!$P88,0,IF(AND(Units!$K88=0,AV$1=Units!$O88),Units!$R88,IF(AND(AV$1&gt;=Units!$Q88,MOD(AV$1-Units!$Q88,12)=0),IF(AND(Units!$L88=1,AV$1=Units!$Q88),IF(Units!$J88&lt;&gt;"",Units!$J88,Mkt!AV89),Inputs!$B$15*Mkt!AV89+(1-Inputs!$B$15)*MIN(Mkt!AV89,AU89*(1+Inputs!$B$18))),AU89)))</f>
        <v>2021.54495</v>
      </c>
      <c r="AW89" s="11" t="n">
        <f aca="false">IF(AW$1&lt;Units!$P88,0,IF(AND(Units!$K88=0,AW$1=Units!$O88),Units!$R88,IF(AND(AW$1&gt;=Units!$Q88,MOD(AW$1-Units!$Q88,12)=0),IF(AND(Units!$L88=1,AW$1=Units!$Q88),IF(Units!$J88&lt;&gt;"",Units!$J88,Mkt!AW89),Inputs!$B$15*Mkt!AW89+(1-Inputs!$B$15)*MIN(Mkt!AW89,AV89*(1+Inputs!$B$18))),AV89)))</f>
        <v>2021.54495</v>
      </c>
      <c r="AX89" s="11" t="n">
        <f aca="false">IF(AX$1&lt;Units!$P88,0,IF(AND(Units!$K88=0,AX$1=Units!$O88),Units!$R88,IF(AND(AX$1&gt;=Units!$Q88,MOD(AX$1-Units!$Q88,12)=0),IF(AND(Units!$L88=1,AX$1=Units!$Q88),IF(Units!$J88&lt;&gt;"",Units!$J88,Mkt!AX89),Inputs!$B$15*Mkt!AX89+(1-Inputs!$B$15)*MIN(Mkt!AX89,AW89*(1+Inputs!$B$18))),AW89)))</f>
        <v>2021.54495</v>
      </c>
      <c r="AY89" s="11" t="n">
        <f aca="false">IF(AY$1&lt;Units!$P88,0,IF(AND(Units!$K88=0,AY$1=Units!$O88),Units!$R88,IF(AND(AY$1&gt;=Units!$Q88,MOD(AY$1-Units!$Q88,12)=0),IF(AND(Units!$L88=1,AY$1=Units!$Q88),IF(Units!$J88&lt;&gt;"",Units!$J88,Mkt!AY89),Inputs!$B$15*Mkt!AY89+(1-Inputs!$B$15)*MIN(Mkt!AY89,AX89*(1+Inputs!$B$18))),AX89)))</f>
        <v>2021.54495</v>
      </c>
      <c r="AZ89" s="11" t="n">
        <f aca="false">IF(AZ$1&lt;Units!$P88,0,IF(AND(Units!$K88=0,AZ$1=Units!$O88),Units!$R88,IF(AND(AZ$1&gt;=Units!$Q88,MOD(AZ$1-Units!$Q88,12)=0),IF(AND(Units!$L88=1,AZ$1=Units!$Q88),IF(Units!$J88&lt;&gt;"",Units!$J88,Mkt!AZ89),Inputs!$B$15*Mkt!AZ89+(1-Inputs!$B$15)*MIN(Mkt!AZ89,AY89*(1+Inputs!$B$18))),AY89)))</f>
        <v>2082.1912985</v>
      </c>
      <c r="BA89" s="11" t="n">
        <f aca="false">IF(BA$1&lt;Units!$P88,0,IF(AND(Units!$K88=0,BA$1=Units!$O88),Units!$R88,IF(AND(BA$1&gt;=Units!$Q88,MOD(BA$1-Units!$Q88,12)=0),IF(AND(Units!$L88=1,BA$1=Units!$Q88),IF(Units!$J88&lt;&gt;"",Units!$J88,Mkt!BA89),Inputs!$B$15*Mkt!BA89+(1-Inputs!$B$15)*MIN(Mkt!BA89,AZ89*(1+Inputs!$B$18))),AZ89)))</f>
        <v>2082.1912985</v>
      </c>
      <c r="BB89" s="11" t="n">
        <f aca="false">IF(BB$1&lt;Units!$P88,0,IF(AND(Units!$K88=0,BB$1=Units!$O88),Units!$R88,IF(AND(BB$1&gt;=Units!$Q88,MOD(BB$1-Units!$Q88,12)=0),IF(AND(Units!$L88=1,BB$1=Units!$Q88),IF(Units!$J88&lt;&gt;"",Units!$J88,Mkt!BB89),Inputs!$B$15*Mkt!BB89+(1-Inputs!$B$15)*MIN(Mkt!BB89,BA89*(1+Inputs!$B$18))),BA89)))</f>
        <v>2082.1912985</v>
      </c>
      <c r="BC89" s="11" t="n">
        <f aca="false">IF(BC$1&lt;Units!$P88,0,IF(AND(Units!$K88=0,BC$1=Units!$O88),Units!$R88,IF(AND(BC$1&gt;=Units!$Q88,MOD(BC$1-Units!$Q88,12)=0),IF(AND(Units!$L88=1,BC$1=Units!$Q88),IF(Units!$J88&lt;&gt;"",Units!$J88,Mkt!BC89),Inputs!$B$15*Mkt!BC89+(1-Inputs!$B$15)*MIN(Mkt!BC89,BB89*(1+Inputs!$B$18))),BB89)))</f>
        <v>2082.1912985</v>
      </c>
      <c r="BD89" s="11" t="n">
        <f aca="false">IF(BD$1&lt;Units!$P88,0,IF(AND(Units!$K88=0,BD$1=Units!$O88),Units!$R88,IF(AND(BD$1&gt;=Units!$Q88,MOD(BD$1-Units!$Q88,12)=0),IF(AND(Units!$L88=1,BD$1=Units!$Q88),IF(Units!$J88&lt;&gt;"",Units!$J88,Mkt!BD89),Inputs!$B$15*Mkt!BD89+(1-Inputs!$B$15)*MIN(Mkt!BD89,BC89*(1+Inputs!$B$18))),BC89)))</f>
        <v>2082.1912985</v>
      </c>
      <c r="BE89" s="11" t="n">
        <f aca="false">IF(BE$1&lt;Units!$P88,0,IF(AND(Units!$K88=0,BE$1=Units!$O88),Units!$R88,IF(AND(BE$1&gt;=Units!$Q88,MOD(BE$1-Units!$Q88,12)=0),IF(AND(Units!$L88=1,BE$1=Units!$Q88),IF(Units!$J88&lt;&gt;"",Units!$J88,Mkt!BE89),Inputs!$B$15*Mkt!BE89+(1-Inputs!$B$15)*MIN(Mkt!BE89,BD89*(1+Inputs!$B$18))),BD89)))</f>
        <v>2082.1912985</v>
      </c>
      <c r="BF89" s="11" t="n">
        <f aca="false">IF(BF$1&lt;Units!$P88,0,IF(AND(Units!$K88=0,BF$1=Units!$O88),Units!$R88,IF(AND(BF$1&gt;=Units!$Q88,MOD(BF$1-Units!$Q88,12)=0),IF(AND(Units!$L88=1,BF$1=Units!$Q88),IF(Units!$J88&lt;&gt;"",Units!$J88,Mkt!BF89),Inputs!$B$15*Mkt!BF89+(1-Inputs!$B$15)*MIN(Mkt!BF89,BE89*(1+Inputs!$B$18))),BE89)))</f>
        <v>2082.1912985</v>
      </c>
      <c r="BG89" s="11" t="n">
        <f aca="false">IF(BG$1&lt;Units!$P88,0,IF(AND(Units!$K88=0,BG$1=Units!$O88),Units!$R88,IF(AND(BG$1&gt;=Units!$Q88,MOD(BG$1-Units!$Q88,12)=0),IF(AND(Units!$L88=1,BG$1=Units!$Q88),IF(Units!$J88&lt;&gt;"",Units!$J88,Mkt!BG89),Inputs!$B$15*Mkt!BG89+(1-Inputs!$B$15)*MIN(Mkt!BG89,BF89*(1+Inputs!$B$18))),BF89)))</f>
        <v>2082.1912985</v>
      </c>
      <c r="BH89" s="11" t="n">
        <f aca="false">IF(BH$1&lt;Units!$P88,0,IF(AND(Units!$K88=0,BH$1=Units!$O88),Units!$R88,IF(AND(BH$1&gt;=Units!$Q88,MOD(BH$1-Units!$Q88,12)=0),IF(AND(Units!$L88=1,BH$1=Units!$Q88),IF(Units!$J88&lt;&gt;"",Units!$J88,Mkt!BH89),Inputs!$B$15*Mkt!BH89+(1-Inputs!$B$15)*MIN(Mkt!BH89,BG89*(1+Inputs!$B$18))),BG89)))</f>
        <v>2082.1912985</v>
      </c>
      <c r="BI89" s="11" t="n">
        <f aca="false">IF(BI$1&lt;Units!$P88,0,IF(AND(Units!$K88=0,BI$1=Units!$O88),Units!$R88,IF(AND(BI$1&gt;=Units!$Q88,MOD(BI$1-Units!$Q88,12)=0),IF(AND(Units!$L88=1,BI$1=Units!$Q88),IF(Units!$J88&lt;&gt;"",Units!$J88,Mkt!BI89),Inputs!$B$15*Mkt!BI89+(1-Inputs!$B$15)*MIN(Mkt!BI89,BH89*(1+Inputs!$B$18))),BH89)))</f>
        <v>2082.1912985</v>
      </c>
      <c r="BJ89" s="11" t="n">
        <f aca="false">IF(BJ$1&lt;Units!$P88,0,IF(AND(Units!$K88=0,BJ$1=Units!$O88),Units!$R88,IF(AND(BJ$1&gt;=Units!$Q88,MOD(BJ$1-Units!$Q88,12)=0),IF(AND(Units!$L88=1,BJ$1=Units!$Q88),IF(Units!$J88&lt;&gt;"",Units!$J88,Mkt!BJ89),Inputs!$B$15*Mkt!BJ89+(1-Inputs!$B$15)*MIN(Mkt!BJ89,BI89*(1+Inputs!$B$18))),BI89)))</f>
        <v>2082.1912985</v>
      </c>
      <c r="BK89" s="11" t="n">
        <f aca="false">IF(BK$1&lt;Units!$P88,0,IF(AND(Units!$K88=0,BK$1=Units!$O88),Units!$R88,IF(AND(BK$1&gt;=Units!$Q88,MOD(BK$1-Units!$Q88,12)=0),IF(AND(Units!$L88=1,BK$1=Units!$Q88),IF(Units!$J88&lt;&gt;"",Units!$J88,Mkt!BK89),Inputs!$B$15*Mkt!BK89+(1-Inputs!$B$15)*MIN(Mkt!BK89,BJ89*(1+Inputs!$B$18))),BJ89)))</f>
        <v>2082.1912985</v>
      </c>
      <c r="BL89" s="11" t="n">
        <f aca="false">IF(BL$1&lt;Units!$P88,0,IF(AND(Units!$K88=0,BL$1=Units!$O88),Units!$R88,IF(AND(BL$1&gt;=Units!$Q88,MOD(BL$1-Units!$Q88,12)=0),IF(AND(Units!$L88=1,BL$1=Units!$Q88),IF(Units!$J88&lt;&gt;"",Units!$J88,Mkt!BL89),Inputs!$B$15*Mkt!BL89+(1-Inputs!$B$15)*MIN(Mkt!BL89,BK89*(1+Inputs!$B$18))),BK89)))</f>
        <v>2144.657037455</v>
      </c>
      <c r="BM89" s="11" t="n">
        <f aca="false">IF(BM$1&lt;Units!$P88,0,IF(AND(Units!$K88=0,BM$1=Units!$O88),Units!$R88,IF(AND(BM$1&gt;=Units!$Q88,MOD(BM$1-Units!$Q88,12)=0),IF(AND(Units!$L88=1,BM$1=Units!$Q88),IF(Units!$J88&lt;&gt;"",Units!$J88,Mkt!BM89),Inputs!$B$15*Mkt!BM89+(1-Inputs!$B$15)*MIN(Mkt!BM89,BL89*(1+Inputs!$B$18))),BL89)))</f>
        <v>2144.657037455</v>
      </c>
      <c r="BN89" s="11" t="n">
        <f aca="false">IF(BN$1&lt;Units!$P88,0,IF(AND(Units!$K88=0,BN$1=Units!$O88),Units!$R88,IF(AND(BN$1&gt;=Units!$Q88,MOD(BN$1-Units!$Q88,12)=0),IF(AND(Units!$L88=1,BN$1=Units!$Q88),IF(Units!$J88&lt;&gt;"",Units!$J88,Mkt!BN89),Inputs!$B$15*Mkt!BN89+(1-Inputs!$B$15)*MIN(Mkt!BN89,BM89*(1+Inputs!$B$18))),BM89)))</f>
        <v>2144.657037455</v>
      </c>
      <c r="BO89" s="11" t="n">
        <f aca="false">IF(BO$1&lt;Units!$P88,0,IF(AND(Units!$K88=0,BO$1=Units!$O88),Units!$R88,IF(AND(BO$1&gt;=Units!$Q88,MOD(BO$1-Units!$Q88,12)=0),IF(AND(Units!$L88=1,BO$1=Units!$Q88),IF(Units!$J88&lt;&gt;"",Units!$J88,Mkt!BO89),Inputs!$B$15*Mkt!BO89+(1-Inputs!$B$15)*MIN(Mkt!BO89,BN89*(1+Inputs!$B$18))),BN89)))</f>
        <v>2144.657037455</v>
      </c>
      <c r="BP89" s="11" t="n">
        <f aca="false">IF(BP$1&lt;Units!$P88,0,IF(AND(Units!$K88=0,BP$1=Units!$O88),Units!$R88,IF(AND(BP$1&gt;=Units!$Q88,MOD(BP$1-Units!$Q88,12)=0),IF(AND(Units!$L88=1,BP$1=Units!$Q88),IF(Units!$J88&lt;&gt;"",Units!$J88,Mkt!BP89),Inputs!$B$15*Mkt!BP89+(1-Inputs!$B$15)*MIN(Mkt!BP89,BO89*(1+Inputs!$B$18))),BO89)))</f>
        <v>2144.657037455</v>
      </c>
      <c r="BQ89" s="11" t="n">
        <f aca="false">IF(BQ$1&lt;Units!$P88,0,IF(AND(Units!$K88=0,BQ$1=Units!$O88),Units!$R88,IF(AND(BQ$1&gt;=Units!$Q88,MOD(BQ$1-Units!$Q88,12)=0),IF(AND(Units!$L88=1,BQ$1=Units!$Q88),IF(Units!$J88&lt;&gt;"",Units!$J88,Mkt!BQ89),Inputs!$B$15*Mkt!BQ89+(1-Inputs!$B$15)*MIN(Mkt!BQ89,BP89*(1+Inputs!$B$18))),BP89)))</f>
        <v>2144.657037455</v>
      </c>
      <c r="BR89" s="11" t="n">
        <f aca="false">IF(BR$1&lt;Units!$P88,0,IF(AND(Units!$K88=0,BR$1=Units!$O88),Units!$R88,IF(AND(BR$1&gt;=Units!$Q88,MOD(BR$1-Units!$Q88,12)=0),IF(AND(Units!$L88=1,BR$1=Units!$Q88),IF(Units!$J88&lt;&gt;"",Units!$J88,Mkt!BR89),Inputs!$B$15*Mkt!BR89+(1-Inputs!$B$15)*MIN(Mkt!BR89,BQ89*(1+Inputs!$B$18))),BQ89)))</f>
        <v>2144.657037455</v>
      </c>
      <c r="BS89" s="11" t="n">
        <f aca="false">IF(BS$1&lt;Units!$P88,0,IF(AND(Units!$K88=0,BS$1=Units!$O88),Units!$R88,IF(AND(BS$1&gt;=Units!$Q88,MOD(BS$1-Units!$Q88,12)=0),IF(AND(Units!$L88=1,BS$1=Units!$Q88),IF(Units!$J88&lt;&gt;"",Units!$J88,Mkt!BS89),Inputs!$B$15*Mkt!BS89+(1-Inputs!$B$15)*MIN(Mkt!BS89,BR89*(1+Inputs!$B$18))),BR89)))</f>
        <v>2144.657037455</v>
      </c>
      <c r="BT89" s="11" t="n">
        <f aca="false">IF(BT$1&lt;Units!$P88,0,IF(AND(Units!$K88=0,BT$1=Units!$O88),Units!$R88,IF(AND(BT$1&gt;=Units!$Q88,MOD(BT$1-Units!$Q88,12)=0),IF(AND(Units!$L88=1,BT$1=Units!$Q88),IF(Units!$J88&lt;&gt;"",Units!$J88,Mkt!BT89),Inputs!$B$15*Mkt!BT89+(1-Inputs!$B$15)*MIN(Mkt!BT89,BS89*(1+Inputs!$B$18))),BS89)))</f>
        <v>2144.657037455</v>
      </c>
      <c r="BU89" s="11" t="n">
        <f aca="false">IF(BU$1&lt;Units!$P88,0,IF(AND(Units!$K88=0,BU$1=Units!$O88),Units!$R88,IF(AND(BU$1&gt;=Units!$Q88,MOD(BU$1-Units!$Q88,12)=0),IF(AND(Units!$L88=1,BU$1=Units!$Q88),IF(Units!$J88&lt;&gt;"",Units!$J88,Mkt!BU89),Inputs!$B$15*Mkt!BU89+(1-Inputs!$B$15)*MIN(Mkt!BU89,BT89*(1+Inputs!$B$18))),BT89)))</f>
        <v>2144.657037455</v>
      </c>
      <c r="BV89" s="11" t="n">
        <f aca="false">IF(BV$1&lt;Units!$P88,0,IF(AND(Units!$K88=0,BV$1=Units!$O88),Units!$R88,IF(AND(BV$1&gt;=Units!$Q88,MOD(BV$1-Units!$Q88,12)=0),IF(AND(Units!$L88=1,BV$1=Units!$Q88),IF(Units!$J88&lt;&gt;"",Units!$J88,Mkt!BV89),Inputs!$B$15*Mkt!BV89+(1-Inputs!$B$15)*MIN(Mkt!BV89,BU89*(1+Inputs!$B$18))),BU89)))</f>
        <v>2144.657037455</v>
      </c>
      <c r="BW89" s="11" t="n">
        <f aca="false">IF(BW$1&lt;Units!$P88,0,IF(AND(Units!$K88=0,BW$1=Units!$O88),Units!$R88,IF(AND(BW$1&gt;=Units!$Q88,MOD(BW$1-Units!$Q88,12)=0),IF(AND(Units!$L88=1,BW$1=Units!$Q88),IF(Units!$J88&lt;&gt;"",Units!$J88,Mkt!BW89),Inputs!$B$15*Mkt!BW89+(1-Inputs!$B$15)*MIN(Mkt!BW89,BV89*(1+Inputs!$B$18))),BV89)))</f>
        <v>2144.657037455</v>
      </c>
      <c r="BX89" s="11" t="n">
        <f aca="false">IF(BX$1&lt;Units!$P88,0,IF(AND(Units!$K88=0,BX$1=Units!$O88),Units!$R88,IF(AND(BX$1&gt;=Units!$Q88,MOD(BX$1-Units!$Q88,12)=0),IF(AND(Units!$L88=1,BX$1=Units!$Q88),IF(Units!$J88&lt;&gt;"",Units!$J88,Mkt!BX89),Inputs!$B$15*Mkt!BX89+(1-Inputs!$B$15)*MIN(Mkt!BX89,BW89*(1+Inputs!$B$18))),BW89)))</f>
        <v>2208.99674857865</v>
      </c>
      <c r="BY89" s="11" t="n">
        <f aca="false">IF(BY$1&lt;Units!$P88,0,IF(AND(Units!$K88=0,BY$1=Units!$O88),Units!$R88,IF(AND(BY$1&gt;=Units!$Q88,MOD(BY$1-Units!$Q88,12)=0),IF(AND(Units!$L88=1,BY$1=Units!$Q88),IF(Units!$J88&lt;&gt;"",Units!$J88,Mkt!BY89),Inputs!$B$15*Mkt!BY89+(1-Inputs!$B$15)*MIN(Mkt!BY89,BX89*(1+Inputs!$B$18))),BX89)))</f>
        <v>2208.99674857865</v>
      </c>
      <c r="BZ89" s="11" t="n">
        <f aca="false">IF(BZ$1&lt;Units!$P88,0,IF(AND(Units!$K88=0,BZ$1=Units!$O88),Units!$R88,IF(AND(BZ$1&gt;=Units!$Q88,MOD(BZ$1-Units!$Q88,12)=0),IF(AND(Units!$L88=1,BZ$1=Units!$Q88),IF(Units!$J88&lt;&gt;"",Units!$J88,Mkt!BZ89),Inputs!$B$15*Mkt!BZ89+(1-Inputs!$B$15)*MIN(Mkt!BZ89,BY89*(1+Inputs!$B$18))),BY89)))</f>
        <v>2208.99674857865</v>
      </c>
      <c r="CA89" s="11" t="n">
        <f aca="false">IF(CA$1&lt;Units!$P88,0,IF(AND(Units!$K88=0,CA$1=Units!$O88),Units!$R88,IF(AND(CA$1&gt;=Units!$Q88,MOD(CA$1-Units!$Q88,12)=0),IF(AND(Units!$L88=1,CA$1=Units!$Q88),IF(Units!$J88&lt;&gt;"",Units!$J88,Mkt!CA89),Inputs!$B$15*Mkt!CA89+(1-Inputs!$B$15)*MIN(Mkt!CA89,BZ89*(1+Inputs!$B$18))),BZ89)))</f>
        <v>2208.99674857865</v>
      </c>
      <c r="CB89" s="11" t="n">
        <f aca="false">IF(CB$1&lt;Units!$P88,0,IF(AND(Units!$K88=0,CB$1=Units!$O88),Units!$R88,IF(AND(CB$1&gt;=Units!$Q88,MOD(CB$1-Units!$Q88,12)=0),IF(AND(Units!$L88=1,CB$1=Units!$Q88),IF(Units!$J88&lt;&gt;"",Units!$J88,Mkt!CB89),Inputs!$B$15*Mkt!CB89+(1-Inputs!$B$15)*MIN(Mkt!CB89,CA89*(1+Inputs!$B$18))),CA89)))</f>
        <v>2208.99674857865</v>
      </c>
      <c r="CC89" s="11" t="n">
        <f aca="false">IF(CC$1&lt;Units!$P88,0,IF(AND(Units!$K88=0,CC$1=Units!$O88),Units!$R88,IF(AND(CC$1&gt;=Units!$Q88,MOD(CC$1-Units!$Q88,12)=0),IF(AND(Units!$L88=1,CC$1=Units!$Q88),IF(Units!$J88&lt;&gt;"",Units!$J88,Mkt!CC89),Inputs!$B$15*Mkt!CC89+(1-Inputs!$B$15)*MIN(Mkt!CC89,CB89*(1+Inputs!$B$18))),CB89)))</f>
        <v>2208.99674857865</v>
      </c>
      <c r="CD89" s="11" t="n">
        <f aca="false">IF(CD$1&lt;Units!$P88,0,IF(AND(Units!$K88=0,CD$1=Units!$O88),Units!$R88,IF(AND(CD$1&gt;=Units!$Q88,MOD(CD$1-Units!$Q88,12)=0),IF(AND(Units!$L88=1,CD$1=Units!$Q88),IF(Units!$J88&lt;&gt;"",Units!$J88,Mkt!CD89),Inputs!$B$15*Mkt!CD89+(1-Inputs!$B$15)*MIN(Mkt!CD89,CC89*(1+Inputs!$B$18))),CC89)))</f>
        <v>2208.99674857865</v>
      </c>
      <c r="CE89" s="11" t="n">
        <f aca="false">IF(CE$1&lt;Units!$P88,0,IF(AND(Units!$K88=0,CE$1=Units!$O88),Units!$R88,IF(AND(CE$1&gt;=Units!$Q88,MOD(CE$1-Units!$Q88,12)=0),IF(AND(Units!$L88=1,CE$1=Units!$Q88),IF(Units!$J88&lt;&gt;"",Units!$J88,Mkt!CE89),Inputs!$B$15*Mkt!CE89+(1-Inputs!$B$15)*MIN(Mkt!CE89,CD89*(1+Inputs!$B$18))),CD89)))</f>
        <v>2208.99674857865</v>
      </c>
      <c r="CF89" s="11" t="n">
        <f aca="false">IF(CF$1&lt;Units!$P88,0,IF(AND(Units!$K88=0,CF$1=Units!$O88),Units!$R88,IF(AND(CF$1&gt;=Units!$Q88,MOD(CF$1-Units!$Q88,12)=0),IF(AND(Units!$L88=1,CF$1=Units!$Q88),IF(Units!$J88&lt;&gt;"",Units!$J88,Mkt!CF89),Inputs!$B$15*Mkt!CF89+(1-Inputs!$B$15)*MIN(Mkt!CF89,CE89*(1+Inputs!$B$18))),CE89)))</f>
        <v>2208.99674857865</v>
      </c>
      <c r="CG89" s="11" t="n">
        <f aca="false">IF(CG$1&lt;Units!$P88,0,IF(AND(Units!$K88=0,CG$1=Units!$O88),Units!$R88,IF(AND(CG$1&gt;=Units!$Q88,MOD(CG$1-Units!$Q88,12)=0),IF(AND(Units!$L88=1,CG$1=Units!$Q88),IF(Units!$J88&lt;&gt;"",Units!$J88,Mkt!CG89),Inputs!$B$15*Mkt!CG89+(1-Inputs!$B$15)*MIN(Mkt!CG89,CF89*(1+Inputs!$B$18))),CF89)))</f>
        <v>2208.99674857865</v>
      </c>
      <c r="CH89" s="11" t="n">
        <f aca="false">IF(CH$1&lt;Units!$P88,0,IF(AND(Units!$K88=0,CH$1=Units!$O88),Units!$R88,IF(AND(CH$1&gt;=Units!$Q88,MOD(CH$1-Units!$Q88,12)=0),IF(AND(Units!$L88=1,CH$1=Units!$Q88),IF(Units!$J88&lt;&gt;"",Units!$J88,Mkt!CH89),Inputs!$B$15*Mkt!CH89+(1-Inputs!$B$15)*MIN(Mkt!CH89,CG89*(1+Inputs!$B$18))),CG89)))</f>
        <v>2208.99674857865</v>
      </c>
      <c r="CI89" s="11" t="n">
        <f aca="false">IF(CI$1&lt;Units!$P88,0,IF(AND(Units!$K88=0,CI$1=Units!$O88),Units!$R88,IF(AND(CI$1&gt;=Units!$Q88,MOD(CI$1-Units!$Q88,12)=0),IF(AND(Units!$L88=1,CI$1=Units!$Q88),IF(Units!$J88&lt;&gt;"",Units!$J88,Mkt!CI89),Inputs!$B$15*Mkt!CI89+(1-Inputs!$B$15)*MIN(Mkt!CI89,CH89*(1+Inputs!$B$18))),CH89)))</f>
        <v>2208.99674857865</v>
      </c>
      <c r="CJ89" s="11" t="n">
        <f aca="false">IF(CJ$1&lt;Units!$P88,0,IF(AND(Units!$K88=0,CJ$1=Units!$O88),Units!$R88,IF(AND(CJ$1&gt;=Units!$Q88,MOD(CJ$1-Units!$Q88,12)=0),IF(AND(Units!$L88=1,CJ$1=Units!$Q88),IF(Units!$J88&lt;&gt;"",Units!$J88,Mkt!CJ89),Inputs!$B$15*Mkt!CJ89+(1-Inputs!$B$15)*MIN(Mkt!CJ89,CI89*(1+Inputs!$B$18))),CI89)))</f>
        <v>2275.26665103601</v>
      </c>
      <c r="CK89" s="11" t="n">
        <f aca="false">IF(CK$1&lt;Units!$P88,0,IF(AND(Units!$K88=0,CK$1=Units!$O88),Units!$R88,IF(AND(CK$1&gt;=Units!$Q88,MOD(CK$1-Units!$Q88,12)=0),IF(AND(Units!$L88=1,CK$1=Units!$Q88),IF(Units!$J88&lt;&gt;"",Units!$J88,Mkt!CK89),Inputs!$B$15*Mkt!CK89+(1-Inputs!$B$15)*MIN(Mkt!CK89,CJ89*(1+Inputs!$B$18))),CJ89)))</f>
        <v>2275.26665103601</v>
      </c>
      <c r="CL89" s="11" t="n">
        <f aca="false">IF(CL$1&lt;Units!$P88,0,IF(AND(Units!$K88=0,CL$1=Units!$O88),Units!$R88,IF(AND(CL$1&gt;=Units!$Q88,MOD(CL$1-Units!$Q88,12)=0),IF(AND(Units!$L88=1,CL$1=Units!$Q88),IF(Units!$J88&lt;&gt;"",Units!$J88,Mkt!CL89),Inputs!$B$15*Mkt!CL89+(1-Inputs!$B$15)*MIN(Mkt!CL89,CK89*(1+Inputs!$B$18))),CK89)))</f>
        <v>2275.26665103601</v>
      </c>
      <c r="CM89" s="11" t="n">
        <f aca="false">IF(CM$1&lt;Units!$P88,0,IF(AND(Units!$K88=0,CM$1=Units!$O88),Units!$R88,IF(AND(CM$1&gt;=Units!$Q88,MOD(CM$1-Units!$Q88,12)=0),IF(AND(Units!$L88=1,CM$1=Units!$Q88),IF(Units!$J88&lt;&gt;"",Units!$J88,Mkt!CM89),Inputs!$B$15*Mkt!CM89+(1-Inputs!$B$15)*MIN(Mkt!CM89,CL89*(1+Inputs!$B$18))),CL89)))</f>
        <v>2275.26665103601</v>
      </c>
      <c r="CN89" s="11" t="n">
        <f aca="false">IF(CN$1&lt;Units!$P88,0,IF(AND(Units!$K88=0,CN$1=Units!$O88),Units!$R88,IF(AND(CN$1&gt;=Units!$Q88,MOD(CN$1-Units!$Q88,12)=0),IF(AND(Units!$L88=1,CN$1=Units!$Q88),IF(Units!$J88&lt;&gt;"",Units!$J88,Mkt!CN89),Inputs!$B$15*Mkt!CN89+(1-Inputs!$B$15)*MIN(Mkt!CN89,CM89*(1+Inputs!$B$18))),CM89)))</f>
        <v>2275.26665103601</v>
      </c>
      <c r="CO89" s="11" t="n">
        <f aca="false">IF(CO$1&lt;Units!$P88,0,IF(AND(Units!$K88=0,CO$1=Units!$O88),Units!$R88,IF(AND(CO$1&gt;=Units!$Q88,MOD(CO$1-Units!$Q88,12)=0),IF(AND(Units!$L88=1,CO$1=Units!$Q88),IF(Units!$J88&lt;&gt;"",Units!$J88,Mkt!CO89),Inputs!$B$15*Mkt!CO89+(1-Inputs!$B$15)*MIN(Mkt!CO89,CN89*(1+Inputs!$B$18))),CN89)))</f>
        <v>2275.26665103601</v>
      </c>
      <c r="CP89" s="11" t="n">
        <f aca="false">IF(CP$1&lt;Units!$P88,0,IF(AND(Units!$K88=0,CP$1=Units!$O88),Units!$R88,IF(AND(CP$1&gt;=Units!$Q88,MOD(CP$1-Units!$Q88,12)=0),IF(AND(Units!$L88=1,CP$1=Units!$Q88),IF(Units!$J88&lt;&gt;"",Units!$J88,Mkt!CP89),Inputs!$B$15*Mkt!CP89+(1-Inputs!$B$15)*MIN(Mkt!CP89,CO89*(1+Inputs!$B$18))),CO89)))</f>
        <v>2275.26665103601</v>
      </c>
      <c r="CQ89" s="11" t="n">
        <f aca="false">IF(CQ$1&lt;Units!$P88,0,IF(AND(Units!$K88=0,CQ$1=Units!$O88),Units!$R88,IF(AND(CQ$1&gt;=Units!$Q88,MOD(CQ$1-Units!$Q88,12)=0),IF(AND(Units!$L88=1,CQ$1=Units!$Q88),IF(Units!$J88&lt;&gt;"",Units!$J88,Mkt!CQ89),Inputs!$B$15*Mkt!CQ89+(1-Inputs!$B$15)*MIN(Mkt!CQ89,CP89*(1+Inputs!$B$18))),CP89)))</f>
        <v>2275.26665103601</v>
      </c>
      <c r="CR89" s="11" t="n">
        <f aca="false">IF(CR$1&lt;Units!$P88,0,IF(AND(Units!$K88=0,CR$1=Units!$O88),Units!$R88,IF(AND(CR$1&gt;=Units!$Q88,MOD(CR$1-Units!$Q88,12)=0),IF(AND(Units!$L88=1,CR$1=Units!$Q88),IF(Units!$J88&lt;&gt;"",Units!$J88,Mkt!CR89),Inputs!$B$15*Mkt!CR89+(1-Inputs!$B$15)*MIN(Mkt!CR89,CQ89*(1+Inputs!$B$18))),CQ89)))</f>
        <v>2275.26665103601</v>
      </c>
      <c r="CS89" s="11" t="n">
        <f aca="false">IF(CS$1&lt;Units!$P88,0,IF(AND(Units!$K88=0,CS$1=Units!$O88),Units!$R88,IF(AND(CS$1&gt;=Units!$Q88,MOD(CS$1-Units!$Q88,12)=0),IF(AND(Units!$L88=1,CS$1=Units!$Q88),IF(Units!$J88&lt;&gt;"",Units!$J88,Mkt!CS89),Inputs!$B$15*Mkt!CS89+(1-Inputs!$B$15)*MIN(Mkt!CS89,CR89*(1+Inputs!$B$18))),CR89)))</f>
        <v>2275.26665103601</v>
      </c>
      <c r="CT89" s="11" t="n">
        <f aca="false">IF(CT$1&lt;Units!$P88,0,IF(AND(Units!$K88=0,CT$1=Units!$O88),Units!$R88,IF(AND(CT$1&gt;=Units!$Q88,MOD(CT$1-Units!$Q88,12)=0),IF(AND(Units!$L88=1,CT$1=Units!$Q88),IF(Units!$J88&lt;&gt;"",Units!$J88,Mkt!CT89),Inputs!$B$15*Mkt!CT89+(1-Inputs!$B$15)*MIN(Mkt!CT89,CS89*(1+Inputs!$B$18))),CS89)))</f>
        <v>2275.26665103601</v>
      </c>
      <c r="CU89" s="11" t="n">
        <f aca="false">IF(CU$1&lt;Units!$P88,0,IF(AND(Units!$K88=0,CU$1=Units!$O88),Units!$R88,IF(AND(CU$1&gt;=Units!$Q88,MOD(CU$1-Units!$Q88,12)=0),IF(AND(Units!$L88=1,CU$1=Units!$Q88),IF(Units!$J88&lt;&gt;"",Units!$J88,Mkt!CU89),Inputs!$B$15*Mkt!CU89+(1-Inputs!$B$15)*MIN(Mkt!CU89,CT89*(1+Inputs!$B$18))),CT89)))</f>
        <v>2275.26665103601</v>
      </c>
      <c r="CV89" s="11" t="n">
        <f aca="false">IF(CV$1&lt;Units!$P88,0,IF(AND(Units!$K88=0,CV$1=Units!$O88),Units!$R88,IF(AND(CV$1&gt;=Units!$Q88,MOD(CV$1-Units!$Q88,12)=0),IF(AND(Units!$L88=1,CV$1=Units!$Q88),IF(Units!$J88&lt;&gt;"",Units!$J88,Mkt!CV89),Inputs!$B$15*Mkt!CV89+(1-Inputs!$B$15)*MIN(Mkt!CV89,CU89*(1+Inputs!$B$18))),CU89)))</f>
        <v>2343.52465056709</v>
      </c>
      <c r="CW89" s="11" t="n">
        <f aca="false">IF(CW$1&lt;Units!$P88,0,IF(AND(Units!$K88=0,CW$1=Units!$O88),Units!$R88,IF(AND(CW$1&gt;=Units!$Q88,MOD(CW$1-Units!$Q88,12)=0),IF(AND(Units!$L88=1,CW$1=Units!$Q88),IF(Units!$J88&lt;&gt;"",Units!$J88,Mkt!CW89),Inputs!$B$15*Mkt!CW89+(1-Inputs!$B$15)*MIN(Mkt!CW89,CV89*(1+Inputs!$B$18))),CV89)))</f>
        <v>2343.52465056709</v>
      </c>
      <c r="CX89" s="11" t="n">
        <f aca="false">IF(CX$1&lt;Units!$P88,0,IF(AND(Units!$K88=0,CX$1=Units!$O88),Units!$R88,IF(AND(CX$1&gt;=Units!$Q88,MOD(CX$1-Units!$Q88,12)=0),IF(AND(Units!$L88=1,CX$1=Units!$Q88),IF(Units!$J88&lt;&gt;"",Units!$J88,Mkt!CX89),Inputs!$B$15*Mkt!CX89+(1-Inputs!$B$15)*MIN(Mkt!CX89,CW89*(1+Inputs!$B$18))),CW89)))</f>
        <v>2343.52465056709</v>
      </c>
      <c r="CY89" s="11" t="n">
        <f aca="false">IF(CY$1&lt;Units!$P88,0,IF(AND(Units!$K88=0,CY$1=Units!$O88),Units!$R88,IF(AND(CY$1&gt;=Units!$Q88,MOD(CY$1-Units!$Q88,12)=0),IF(AND(Units!$L88=1,CY$1=Units!$Q88),IF(Units!$J88&lt;&gt;"",Units!$J88,Mkt!CY89),Inputs!$B$15*Mkt!CY89+(1-Inputs!$B$15)*MIN(Mkt!CY89,CX89*(1+Inputs!$B$18))),CX89)))</f>
        <v>2343.52465056709</v>
      </c>
      <c r="CZ89" s="11" t="n">
        <f aca="false">IF(CZ$1&lt;Units!$P88,0,IF(AND(Units!$K88=0,CZ$1=Units!$O88),Units!$R88,IF(AND(CZ$1&gt;=Units!$Q88,MOD(CZ$1-Units!$Q88,12)=0),IF(AND(Units!$L88=1,CZ$1=Units!$Q88),IF(Units!$J88&lt;&gt;"",Units!$J88,Mkt!CZ89),Inputs!$B$15*Mkt!CZ89+(1-Inputs!$B$15)*MIN(Mkt!CZ89,CY89*(1+Inputs!$B$18))),CY89)))</f>
        <v>2343.52465056709</v>
      </c>
      <c r="DA89" s="11" t="n">
        <f aca="false">IF(DA$1&lt;Units!$P88,0,IF(AND(Units!$K88=0,DA$1=Units!$O88),Units!$R88,IF(AND(DA$1&gt;=Units!$Q88,MOD(DA$1-Units!$Q88,12)=0),IF(AND(Units!$L88=1,DA$1=Units!$Q88),IF(Units!$J88&lt;&gt;"",Units!$J88,Mkt!DA89),Inputs!$B$15*Mkt!DA89+(1-Inputs!$B$15)*MIN(Mkt!DA89,CZ89*(1+Inputs!$B$18))),CZ89)))</f>
        <v>2343.52465056709</v>
      </c>
      <c r="DB89" s="11" t="n">
        <f aca="false">IF(DB$1&lt;Units!$P88,0,IF(AND(Units!$K88=0,DB$1=Units!$O88),Units!$R88,IF(AND(DB$1&gt;=Units!$Q88,MOD(DB$1-Units!$Q88,12)=0),IF(AND(Units!$L88=1,DB$1=Units!$Q88),IF(Units!$J88&lt;&gt;"",Units!$J88,Mkt!DB89),Inputs!$B$15*Mkt!DB89+(1-Inputs!$B$15)*MIN(Mkt!DB89,DA89*(1+Inputs!$B$18))),DA89)))</f>
        <v>2343.52465056709</v>
      </c>
      <c r="DC89" s="11" t="n">
        <f aca="false">IF(DC$1&lt;Units!$P88,0,IF(AND(Units!$K88=0,DC$1=Units!$O88),Units!$R88,IF(AND(DC$1&gt;=Units!$Q88,MOD(DC$1-Units!$Q88,12)=0),IF(AND(Units!$L88=1,DC$1=Units!$Q88),IF(Units!$J88&lt;&gt;"",Units!$J88,Mkt!DC89),Inputs!$B$15*Mkt!DC89+(1-Inputs!$B$15)*MIN(Mkt!DC89,DB89*(1+Inputs!$B$18))),DB89)))</f>
        <v>2343.52465056709</v>
      </c>
      <c r="DD89" s="11" t="n">
        <f aca="false">IF(DD$1&lt;Units!$P88,0,IF(AND(Units!$K88=0,DD$1=Units!$O88),Units!$R88,IF(AND(DD$1&gt;=Units!$Q88,MOD(DD$1-Units!$Q88,12)=0),IF(AND(Units!$L88=1,DD$1=Units!$Q88),IF(Units!$J88&lt;&gt;"",Units!$J88,Mkt!DD89),Inputs!$B$15*Mkt!DD89+(1-Inputs!$B$15)*MIN(Mkt!DD89,DC89*(1+Inputs!$B$18))),DC89)))</f>
        <v>2343.52465056709</v>
      </c>
      <c r="DE89" s="11" t="n">
        <f aca="false">IF(DE$1&lt;Units!$P88,0,IF(AND(Units!$K88=0,DE$1=Units!$O88),Units!$R88,IF(AND(DE$1&gt;=Units!$Q88,MOD(DE$1-Units!$Q88,12)=0),IF(AND(Units!$L88=1,DE$1=Units!$Q88),IF(Units!$J88&lt;&gt;"",Units!$J88,Mkt!DE89),Inputs!$B$15*Mkt!DE89+(1-Inputs!$B$15)*MIN(Mkt!DE89,DD89*(1+Inputs!$B$18))),DD89)))</f>
        <v>2343.52465056709</v>
      </c>
      <c r="DF89" s="11" t="n">
        <f aca="false">IF(DF$1&lt;Units!$P88,0,IF(AND(Units!$K88=0,DF$1=Units!$O88),Units!$R88,IF(AND(DF$1&gt;=Units!$Q88,MOD(DF$1-Units!$Q88,12)=0),IF(AND(Units!$L88=1,DF$1=Units!$Q88),IF(Units!$J88&lt;&gt;"",Units!$J88,Mkt!DF89),Inputs!$B$15*Mkt!DF89+(1-Inputs!$B$15)*MIN(Mkt!DF89,DE89*(1+Inputs!$B$18))),DE89)))</f>
        <v>2343.52465056709</v>
      </c>
      <c r="DG89" s="11" t="n">
        <f aca="false">IF(DG$1&lt;Units!$P88,0,IF(AND(Units!$K88=0,DG$1=Units!$O88),Units!$R88,IF(AND(DG$1&gt;=Units!$Q88,MOD(DG$1-Units!$Q88,12)=0),IF(AND(Units!$L88=1,DG$1=Units!$Q88),IF(Units!$J88&lt;&gt;"",Units!$J88,Mkt!DG89),Inputs!$B$15*Mkt!DG89+(1-Inputs!$B$15)*MIN(Mkt!DG89,DF89*(1+Inputs!$B$18))),DF89)))</f>
        <v>2343.52465056709</v>
      </c>
      <c r="DH89" s="11" t="n">
        <f aca="false">IF(DH$1&lt;Units!$P88,0,IF(AND(Units!$K88=0,DH$1=Units!$O88),Units!$R88,IF(AND(DH$1&gt;=Units!$Q88,MOD(DH$1-Units!$Q88,12)=0),IF(AND(Units!$L88=1,DH$1=Units!$Q88),IF(Units!$J88&lt;&gt;"",Units!$J88,Mkt!DH89),Inputs!$B$15*Mkt!DH89+(1-Inputs!$B$15)*MIN(Mkt!DH89,DG89*(1+Inputs!$B$18))),DG89)))</f>
        <v>2413.8303900841</v>
      </c>
      <c r="DI89" s="11" t="n">
        <f aca="false">IF(DI$1&lt;Units!$P88,0,IF(AND(Units!$K88=0,DI$1=Units!$O88),Units!$R88,IF(AND(DI$1&gt;=Units!$Q88,MOD(DI$1-Units!$Q88,12)=0),IF(AND(Units!$L88=1,DI$1=Units!$Q88),IF(Units!$J88&lt;&gt;"",Units!$J88,Mkt!DI89),Inputs!$B$15*Mkt!DI89+(1-Inputs!$B$15)*MIN(Mkt!DI89,DH89*(1+Inputs!$B$18))),DH89)))</f>
        <v>2413.8303900841</v>
      </c>
      <c r="DJ89" s="11" t="n">
        <f aca="false">IF(DJ$1&lt;Units!$P88,0,IF(AND(Units!$K88=0,DJ$1=Units!$O88),Units!$R88,IF(AND(DJ$1&gt;=Units!$Q88,MOD(DJ$1-Units!$Q88,12)=0),IF(AND(Units!$L88=1,DJ$1=Units!$Q88),IF(Units!$J88&lt;&gt;"",Units!$J88,Mkt!DJ89),Inputs!$B$15*Mkt!DJ89+(1-Inputs!$B$15)*MIN(Mkt!DJ89,DI89*(1+Inputs!$B$18))),DI89)))</f>
        <v>2413.8303900841</v>
      </c>
      <c r="DK89" s="11" t="n">
        <f aca="false">IF(DK$1&lt;Units!$P88,0,IF(AND(Units!$K88=0,DK$1=Units!$O88),Units!$R88,IF(AND(DK$1&gt;=Units!$Q88,MOD(DK$1-Units!$Q88,12)=0),IF(AND(Units!$L88=1,DK$1=Units!$Q88),IF(Units!$J88&lt;&gt;"",Units!$J88,Mkt!DK89),Inputs!$B$15*Mkt!DK89+(1-Inputs!$B$15)*MIN(Mkt!DK89,DJ89*(1+Inputs!$B$18))),DJ89)))</f>
        <v>2413.8303900841</v>
      </c>
      <c r="DL89" s="11" t="n">
        <f aca="false">IF(DL$1&lt;Units!$P88,0,IF(AND(Units!$K88=0,DL$1=Units!$O88),Units!$R88,IF(AND(DL$1&gt;=Units!$Q88,MOD(DL$1-Units!$Q88,12)=0),IF(AND(Units!$L88=1,DL$1=Units!$Q88),IF(Units!$J88&lt;&gt;"",Units!$J88,Mkt!DL89),Inputs!$B$15*Mkt!DL89+(1-Inputs!$B$15)*MIN(Mkt!DL89,DK89*(1+Inputs!$B$18))),DK89)))</f>
        <v>2413.8303900841</v>
      </c>
      <c r="DM89" s="11" t="n">
        <f aca="false">IF(DM$1&lt;Units!$P88,0,IF(AND(Units!$K88=0,DM$1=Units!$O88),Units!$R88,IF(AND(DM$1&gt;=Units!$Q88,MOD(DM$1-Units!$Q88,12)=0),IF(AND(Units!$L88=1,DM$1=Units!$Q88),IF(Units!$J88&lt;&gt;"",Units!$J88,Mkt!DM89),Inputs!$B$15*Mkt!DM89+(1-Inputs!$B$15)*MIN(Mkt!DM89,DL89*(1+Inputs!$B$18))),DL89)))</f>
        <v>2413.8303900841</v>
      </c>
      <c r="DN89" s="11" t="n">
        <f aca="false">IF(DN$1&lt;Units!$P88,0,IF(AND(Units!$K88=0,DN$1=Units!$O88),Units!$R88,IF(AND(DN$1&gt;=Units!$Q88,MOD(DN$1-Units!$Q88,12)=0),IF(AND(Units!$L88=1,DN$1=Units!$Q88),IF(Units!$J88&lt;&gt;"",Units!$J88,Mkt!DN89),Inputs!$B$15*Mkt!DN89+(1-Inputs!$B$15)*MIN(Mkt!DN89,DM89*(1+Inputs!$B$18))),DM89)))</f>
        <v>2413.8303900841</v>
      </c>
      <c r="DO89" s="11" t="n">
        <f aca="false">IF(DO$1&lt;Units!$P88,0,IF(AND(Units!$K88=0,DO$1=Units!$O88),Units!$R88,IF(AND(DO$1&gt;=Units!$Q88,MOD(DO$1-Units!$Q88,12)=0),IF(AND(Units!$L88=1,DO$1=Units!$Q88),IF(Units!$J88&lt;&gt;"",Units!$J88,Mkt!DO89),Inputs!$B$15*Mkt!DO89+(1-Inputs!$B$15)*MIN(Mkt!DO89,DN89*(1+Inputs!$B$18))),DN89)))</f>
        <v>2413.8303900841</v>
      </c>
      <c r="DP89" s="11" t="n">
        <f aca="false">IF(DP$1&lt;Units!$P88,0,IF(AND(Units!$K88=0,DP$1=Units!$O88),Units!$R88,IF(AND(DP$1&gt;=Units!$Q88,MOD(DP$1-Units!$Q88,12)=0),IF(AND(Units!$L88=1,DP$1=Units!$Q88),IF(Units!$J88&lt;&gt;"",Units!$J88,Mkt!DP89),Inputs!$B$15*Mkt!DP89+(1-Inputs!$B$15)*MIN(Mkt!DP89,DO89*(1+Inputs!$B$18))),DO89)))</f>
        <v>2413.8303900841</v>
      </c>
      <c r="DQ89" s="11" t="n">
        <f aca="false">IF(DQ$1&lt;Units!$P88,0,IF(AND(Units!$K88=0,DQ$1=Units!$O88),Units!$R88,IF(AND(DQ$1&gt;=Units!$Q88,MOD(DQ$1-Units!$Q88,12)=0),IF(AND(Units!$L88=1,DQ$1=Units!$Q88),IF(Units!$J88&lt;&gt;"",Units!$J88,Mkt!DQ89),Inputs!$B$15*Mkt!DQ89+(1-Inputs!$B$15)*MIN(Mkt!DQ89,DP89*(1+Inputs!$B$18))),DP89)))</f>
        <v>2413.8303900841</v>
      </c>
      <c r="DR89" s="11" t="n">
        <f aca="false">IF(DR$1&lt;Units!$P88,0,IF(AND(Units!$K88=0,DR$1=Units!$O88),Units!$R88,IF(AND(DR$1&gt;=Units!$Q88,MOD(DR$1-Units!$Q88,12)=0),IF(AND(Units!$L88=1,DR$1=Units!$Q88),IF(Units!$J88&lt;&gt;"",Units!$J88,Mkt!DR89),Inputs!$B$15*Mkt!DR89+(1-Inputs!$B$15)*MIN(Mkt!DR89,DQ89*(1+Inputs!$B$18))),DQ89)))</f>
        <v>2413.8303900841</v>
      </c>
      <c r="DS89" s="11" t="n">
        <f aca="false">IF(DS$1&lt;Units!$P88,0,IF(AND(Units!$K88=0,DS$1=Units!$O88),Units!$R88,IF(AND(DS$1&gt;=Units!$Q88,MOD(DS$1-Units!$Q88,12)=0),IF(AND(Units!$L88=1,DS$1=Units!$Q88),IF(Units!$J88&lt;&gt;"",Units!$J88,Mkt!DS89),Inputs!$B$15*Mkt!DS89+(1-Inputs!$B$15)*MIN(Mkt!DS89,DR89*(1+Inputs!$B$18))),DR89)))</f>
        <v>2413.8303900841</v>
      </c>
      <c r="DT89" s="11" t="n">
        <f aca="false">IF(DT$1&lt;Units!$P88,0,IF(AND(Units!$K88=0,DT$1=Units!$O88),Units!$R88,IF(AND(DT$1&gt;=Units!$Q88,MOD(DT$1-Units!$Q88,12)=0),IF(AND(Units!$L88=1,DT$1=Units!$Q88),IF(Units!$J88&lt;&gt;"",Units!$J88,Mkt!DT89),Inputs!$B$15*Mkt!DT89+(1-Inputs!$B$15)*MIN(Mkt!DT89,DS89*(1+Inputs!$B$18))),DS89)))</f>
        <v>2486.24530178663</v>
      </c>
      <c r="DU89" s="11" t="n">
        <f aca="false">IF(DU$1&lt;Units!$P88,0,IF(AND(Units!$K88=0,DU$1=Units!$O88),Units!$R88,IF(AND(DU$1&gt;=Units!$Q88,MOD(DU$1-Units!$Q88,12)=0),IF(AND(Units!$L88=1,DU$1=Units!$Q88),IF(Units!$J88&lt;&gt;"",Units!$J88,Mkt!DU89),Inputs!$B$15*Mkt!DU89+(1-Inputs!$B$15)*MIN(Mkt!DU89,DT89*(1+Inputs!$B$18))),DT89)))</f>
        <v>2486.24530178663</v>
      </c>
      <c r="DV89" s="11" t="n">
        <f aca="false">IF(DV$1&lt;Units!$P88,0,IF(AND(Units!$K88=0,DV$1=Units!$O88),Units!$R88,IF(AND(DV$1&gt;=Units!$Q88,MOD(DV$1-Units!$Q88,12)=0),IF(AND(Units!$L88=1,DV$1=Units!$Q88),IF(Units!$J88&lt;&gt;"",Units!$J88,Mkt!DV89),Inputs!$B$15*Mkt!DV89+(1-Inputs!$B$15)*MIN(Mkt!DV89,DU89*(1+Inputs!$B$18))),DU89)))</f>
        <v>2486.24530178663</v>
      </c>
      <c r="DW89" s="11" t="n">
        <f aca="false">IF(DW$1&lt;Units!$P88,0,IF(AND(Units!$K88=0,DW$1=Units!$O88),Units!$R88,IF(AND(DW$1&gt;=Units!$Q88,MOD(DW$1-Units!$Q88,12)=0),IF(AND(Units!$L88=1,DW$1=Units!$Q88),IF(Units!$J88&lt;&gt;"",Units!$J88,Mkt!DW89),Inputs!$B$15*Mkt!DW89+(1-Inputs!$B$15)*MIN(Mkt!DW89,DV89*(1+Inputs!$B$18))),DV89)))</f>
        <v>2486.24530178663</v>
      </c>
      <c r="DX89" s="11" t="n">
        <f aca="false">IF(DX$1&lt;Units!$P88,0,IF(AND(Units!$K88=0,DX$1=Units!$O88),Units!$R88,IF(AND(DX$1&gt;=Units!$Q88,MOD(DX$1-Units!$Q88,12)=0),IF(AND(Units!$L88=1,DX$1=Units!$Q88),IF(Units!$J88&lt;&gt;"",Units!$J88,Mkt!DX89),Inputs!$B$15*Mkt!DX89+(1-Inputs!$B$15)*MIN(Mkt!DX89,DW89*(1+Inputs!$B$18))),DW89)))</f>
        <v>2486.24530178663</v>
      </c>
      <c r="DY89" s="11" t="n">
        <f aca="false">IF(DY$1&lt;Units!$P88,0,IF(AND(Units!$K88=0,DY$1=Units!$O88),Units!$R88,IF(AND(DY$1&gt;=Units!$Q88,MOD(DY$1-Units!$Q88,12)=0),IF(AND(Units!$L88=1,DY$1=Units!$Q88),IF(Units!$J88&lt;&gt;"",Units!$J88,Mkt!DY89),Inputs!$B$15*Mkt!DY89+(1-Inputs!$B$15)*MIN(Mkt!DY89,DX89*(1+Inputs!$B$18))),DX89)))</f>
        <v>2486.24530178663</v>
      </c>
      <c r="DZ89" s="11" t="n">
        <f aca="false">IF(DZ$1&lt;Units!$P88,0,IF(AND(Units!$K88=0,DZ$1=Units!$O88),Units!$R88,IF(AND(DZ$1&gt;=Units!$Q88,MOD(DZ$1-Units!$Q88,12)=0),IF(AND(Units!$L88=1,DZ$1=Units!$Q88),IF(Units!$J88&lt;&gt;"",Units!$J88,Mkt!DZ89),Inputs!$B$15*Mkt!DZ89+(1-Inputs!$B$15)*MIN(Mkt!DZ89,DY89*(1+Inputs!$B$18))),DY89)))</f>
        <v>2486.24530178663</v>
      </c>
      <c r="EA89" s="11" t="n">
        <f aca="false">IF(EA$1&lt;Units!$P88,0,IF(AND(Units!$K88=0,EA$1=Units!$O88),Units!$R88,IF(AND(EA$1&gt;=Units!$Q88,MOD(EA$1-Units!$Q88,12)=0),IF(AND(Units!$L88=1,EA$1=Units!$Q88),IF(Units!$J88&lt;&gt;"",Units!$J88,Mkt!EA89),Inputs!$B$15*Mkt!EA89+(1-Inputs!$B$15)*MIN(Mkt!EA89,DZ89*(1+Inputs!$B$18))),DZ89)))</f>
        <v>2486.24530178663</v>
      </c>
      <c r="EB89" s="11" t="n">
        <f aca="false">IF(EB$1&lt;Units!$P88,0,IF(AND(Units!$K88=0,EB$1=Units!$O88),Units!$R88,IF(AND(EB$1&gt;=Units!$Q88,MOD(EB$1-Units!$Q88,12)=0),IF(AND(Units!$L88=1,EB$1=Units!$Q88),IF(Units!$J88&lt;&gt;"",Units!$J88,Mkt!EB89),Inputs!$B$15*Mkt!EB89+(1-Inputs!$B$15)*MIN(Mkt!EB89,EA89*(1+Inputs!$B$18))),EA89)))</f>
        <v>2486.24530178663</v>
      </c>
      <c r="EC89" s="11" t="n">
        <f aca="false">IF(EC$1&lt;Units!$P88,0,IF(AND(Units!$K88=0,EC$1=Units!$O88),Units!$R88,IF(AND(EC$1&gt;=Units!$Q88,MOD(EC$1-Units!$Q88,12)=0),IF(AND(Units!$L88=1,EC$1=Units!$Q88),IF(Units!$J88&lt;&gt;"",Units!$J88,Mkt!EC89),Inputs!$B$15*Mkt!EC89+(1-Inputs!$B$15)*MIN(Mkt!EC89,EB89*(1+Inputs!$B$18))),EB89)))</f>
        <v>2486.24530178663</v>
      </c>
      <c r="ED89" s="11" t="n">
        <f aca="false">IF(ED$1&lt;Units!$P88,0,IF(AND(Units!$K88=0,ED$1=Units!$O88),Units!$R88,IF(AND(ED$1&gt;=Units!$Q88,MOD(ED$1-Units!$Q88,12)=0),IF(AND(Units!$L88=1,ED$1=Units!$Q88),IF(Units!$J88&lt;&gt;"",Units!$J88,Mkt!ED89),Inputs!$B$15*Mkt!ED89+(1-Inputs!$B$15)*MIN(Mkt!ED89,EC89*(1+Inputs!$B$18))),EC89)))</f>
        <v>2486.24530178663</v>
      </c>
    </row>
    <row r="90" customFormat="false" ht="15" hidden="false" customHeight="false" outlineLevel="0" collapsed="false">
      <c r="A90" s="22" t="n">
        <f aca="false">Units!A89</f>
        <v>328</v>
      </c>
      <c r="B90" s="24" t="n">
        <f aca="false">IF(Units!K89=1,Units!F89,0)</f>
        <v>2125</v>
      </c>
      <c r="C90" s="11" t="n">
        <f aca="false">IF(C$1&lt;Units!$P89,0,IF(AND(Units!$K89=0,C$1=Units!$O89),Units!$R89,IF(AND(C$1&gt;=Units!$Q89,MOD(C$1-Units!$Q89,12)=0),IF(AND(Units!$L89=1,C$1=Units!$Q89),IF(Units!$J89&lt;&gt;"",Units!$J89,Mkt!C90),Inputs!$B$15*Mkt!C90+(1-Inputs!$B$15)*MIN(Mkt!C90,B90*(1+Inputs!$B$18))),B90)))</f>
        <v>2125</v>
      </c>
      <c r="D90" s="11" t="n">
        <f aca="false">IF(D$1&lt;Units!$P89,0,IF(AND(Units!$K89=0,D$1=Units!$O89),Units!$R89,IF(AND(D$1&gt;=Units!$Q89,MOD(D$1-Units!$Q89,12)=0),IF(AND(Units!$L89=1,D$1=Units!$Q89),IF(Units!$J89&lt;&gt;"",Units!$J89,Mkt!D90),Inputs!$B$15*Mkt!D90+(1-Inputs!$B$15)*MIN(Mkt!D90,C90*(1+Inputs!$B$18))),C90)))</f>
        <v>2125</v>
      </c>
      <c r="E90" s="11" t="n">
        <f aca="false">IF(E$1&lt;Units!$P89,0,IF(AND(Units!$K89=0,E$1=Units!$O89),Units!$R89,IF(AND(E$1&gt;=Units!$Q89,MOD(E$1-Units!$Q89,12)=0),IF(AND(Units!$L89=1,E$1=Units!$Q89),IF(Units!$J89&lt;&gt;"",Units!$J89,Mkt!E90),Inputs!$B$15*Mkt!E90+(1-Inputs!$B$15)*MIN(Mkt!E90,D90*(1+Inputs!$B$18))),D90)))</f>
        <v>2125</v>
      </c>
      <c r="F90" s="11" t="n">
        <f aca="false">IF(F$1&lt;Units!$P89,0,IF(AND(Units!$K89=0,F$1=Units!$O89),Units!$R89,IF(AND(F$1&gt;=Units!$Q89,MOD(F$1-Units!$Q89,12)=0),IF(AND(Units!$L89=1,F$1=Units!$Q89),IF(Units!$J89&lt;&gt;"",Units!$J89,Mkt!F90),Inputs!$B$15*Mkt!F90+(1-Inputs!$B$15)*MIN(Mkt!F90,E90*(1+Inputs!$B$18))),E90)))</f>
        <v>2125</v>
      </c>
      <c r="G90" s="11" t="n">
        <f aca="false">IF(G$1&lt;Units!$P89,0,IF(AND(Units!$K89=0,G$1=Units!$O89),Units!$R89,IF(AND(G$1&gt;=Units!$Q89,MOD(G$1-Units!$Q89,12)=0),IF(AND(Units!$L89=1,G$1=Units!$Q89),IF(Units!$J89&lt;&gt;"",Units!$J89,Mkt!G90),Inputs!$B$15*Mkt!G90+(1-Inputs!$B$15)*MIN(Mkt!G90,F90*(1+Inputs!$B$18))),F90)))</f>
        <v>2125</v>
      </c>
      <c r="H90" s="11" t="n">
        <f aca="false">IF(H$1&lt;Units!$P89,0,IF(AND(Units!$K89=0,H$1=Units!$O89),Units!$R89,IF(AND(H$1&gt;=Units!$Q89,MOD(H$1-Units!$Q89,12)=0),IF(AND(Units!$L89=1,H$1=Units!$Q89),IF(Units!$J89&lt;&gt;"",Units!$J89,Mkt!H90),Inputs!$B$15*Mkt!H90+(1-Inputs!$B$15)*MIN(Mkt!H90,G90*(1+Inputs!$B$18))),G90)))</f>
        <v>2125</v>
      </c>
      <c r="I90" s="11" t="n">
        <f aca="false">IF(I$1&lt;Units!$P89,0,IF(AND(Units!$K89=0,I$1=Units!$O89),Units!$R89,IF(AND(I$1&gt;=Units!$Q89,MOD(I$1-Units!$Q89,12)=0),IF(AND(Units!$L89=1,I$1=Units!$Q89),IF(Units!$J89&lt;&gt;"",Units!$J89,Mkt!I90),Inputs!$B$15*Mkt!I90+(1-Inputs!$B$15)*MIN(Mkt!I90,H90*(1+Inputs!$B$18))),H90)))</f>
        <v>2125</v>
      </c>
      <c r="J90" s="11" t="n">
        <f aca="false">IF(J$1&lt;Units!$P89,0,IF(AND(Units!$K89=0,J$1=Units!$O89),Units!$R89,IF(AND(J$1&gt;=Units!$Q89,MOD(J$1-Units!$Q89,12)=0),IF(AND(Units!$L89=1,J$1=Units!$Q89),IF(Units!$J89&lt;&gt;"",Units!$J89,Mkt!J90),Inputs!$B$15*Mkt!J90+(1-Inputs!$B$15)*MIN(Mkt!J90,I90*(1+Inputs!$B$18))),I90)))</f>
        <v>2235.625</v>
      </c>
      <c r="K90" s="11" t="n">
        <f aca="false">IF(K$1&lt;Units!$P89,0,IF(AND(Units!$K89=0,K$1=Units!$O89),Units!$R89,IF(AND(K$1&gt;=Units!$Q89,MOD(K$1-Units!$Q89,12)=0),IF(AND(Units!$L89=1,K$1=Units!$Q89),IF(Units!$J89&lt;&gt;"",Units!$J89,Mkt!K90),Inputs!$B$15*Mkt!K90+(1-Inputs!$B$15)*MIN(Mkt!K90,J90*(1+Inputs!$B$18))),J90)))</f>
        <v>2235.625</v>
      </c>
      <c r="L90" s="11" t="n">
        <f aca="false">IF(L$1&lt;Units!$P89,0,IF(AND(Units!$K89=0,L$1=Units!$O89),Units!$R89,IF(AND(L$1&gt;=Units!$Q89,MOD(L$1-Units!$Q89,12)=0),IF(AND(Units!$L89=1,L$1=Units!$Q89),IF(Units!$J89&lt;&gt;"",Units!$J89,Mkt!L90),Inputs!$B$15*Mkt!L90+(1-Inputs!$B$15)*MIN(Mkt!L90,K90*(1+Inputs!$B$18))),K90)))</f>
        <v>2235.625</v>
      </c>
      <c r="M90" s="11" t="n">
        <f aca="false">IF(M$1&lt;Units!$P89,0,IF(AND(Units!$K89=0,M$1=Units!$O89),Units!$R89,IF(AND(M$1&gt;=Units!$Q89,MOD(M$1-Units!$Q89,12)=0),IF(AND(Units!$L89=1,M$1=Units!$Q89),IF(Units!$J89&lt;&gt;"",Units!$J89,Mkt!M90),Inputs!$B$15*Mkt!M90+(1-Inputs!$B$15)*MIN(Mkt!M90,L90*(1+Inputs!$B$18))),L90)))</f>
        <v>2235.625</v>
      </c>
      <c r="N90" s="11" t="n">
        <f aca="false">IF(N$1&lt;Units!$P89,0,IF(AND(Units!$K89=0,N$1=Units!$O89),Units!$R89,IF(AND(N$1&gt;=Units!$Q89,MOD(N$1-Units!$Q89,12)=0),IF(AND(Units!$L89=1,N$1=Units!$Q89),IF(Units!$J89&lt;&gt;"",Units!$J89,Mkt!N90),Inputs!$B$15*Mkt!N90+(1-Inputs!$B$15)*MIN(Mkt!N90,M90*(1+Inputs!$B$18))),M90)))</f>
        <v>2235.625</v>
      </c>
      <c r="O90" s="11" t="n">
        <f aca="false">IF(O$1&lt;Units!$P89,0,IF(AND(Units!$K89=0,O$1=Units!$O89),Units!$R89,IF(AND(O$1&gt;=Units!$Q89,MOD(O$1-Units!$Q89,12)=0),IF(AND(Units!$L89=1,O$1=Units!$Q89),IF(Units!$J89&lt;&gt;"",Units!$J89,Mkt!O90),Inputs!$B$15*Mkt!O90+(1-Inputs!$B$15)*MIN(Mkt!O90,N90*(1+Inputs!$B$18))),N90)))</f>
        <v>2235.625</v>
      </c>
      <c r="P90" s="11" t="n">
        <f aca="false">IF(P$1&lt;Units!$P89,0,IF(AND(Units!$K89=0,P$1=Units!$O89),Units!$R89,IF(AND(P$1&gt;=Units!$Q89,MOD(P$1-Units!$Q89,12)=0),IF(AND(Units!$L89=1,P$1=Units!$Q89),IF(Units!$J89&lt;&gt;"",Units!$J89,Mkt!P90),Inputs!$B$15*Mkt!P90+(1-Inputs!$B$15)*MIN(Mkt!P90,O90*(1+Inputs!$B$18))),O90)))</f>
        <v>2235.625</v>
      </c>
      <c r="Q90" s="11" t="n">
        <f aca="false">IF(Q$1&lt;Units!$P89,0,IF(AND(Units!$K89=0,Q$1=Units!$O89),Units!$R89,IF(AND(Q$1&gt;=Units!$Q89,MOD(Q$1-Units!$Q89,12)=0),IF(AND(Units!$L89=1,Q$1=Units!$Q89),IF(Units!$J89&lt;&gt;"",Units!$J89,Mkt!Q90),Inputs!$B$15*Mkt!Q90+(1-Inputs!$B$15)*MIN(Mkt!Q90,P90*(1+Inputs!$B$18))),P90)))</f>
        <v>2235.625</v>
      </c>
      <c r="R90" s="11" t="n">
        <f aca="false">IF(R$1&lt;Units!$P89,0,IF(AND(Units!$K89=0,R$1=Units!$O89),Units!$R89,IF(AND(R$1&gt;=Units!$Q89,MOD(R$1-Units!$Q89,12)=0),IF(AND(Units!$L89=1,R$1=Units!$Q89),IF(Units!$J89&lt;&gt;"",Units!$J89,Mkt!R90),Inputs!$B$15*Mkt!R90+(1-Inputs!$B$15)*MIN(Mkt!R90,Q90*(1+Inputs!$B$18))),Q90)))</f>
        <v>2235.625</v>
      </c>
      <c r="S90" s="11" t="n">
        <f aca="false">IF(S$1&lt;Units!$P89,0,IF(AND(Units!$K89=0,S$1=Units!$O89),Units!$R89,IF(AND(S$1&gt;=Units!$Q89,MOD(S$1-Units!$Q89,12)=0),IF(AND(Units!$L89=1,S$1=Units!$Q89),IF(Units!$J89&lt;&gt;"",Units!$J89,Mkt!S90),Inputs!$B$15*Mkt!S90+(1-Inputs!$B$15)*MIN(Mkt!S90,R90*(1+Inputs!$B$18))),R90)))</f>
        <v>2235.625</v>
      </c>
      <c r="T90" s="11" t="n">
        <f aca="false">IF(T$1&lt;Units!$P89,0,IF(AND(Units!$K89=0,T$1=Units!$O89),Units!$R89,IF(AND(T$1&gt;=Units!$Q89,MOD(T$1-Units!$Q89,12)=0),IF(AND(Units!$L89=1,T$1=Units!$Q89),IF(Units!$J89&lt;&gt;"",Units!$J89,Mkt!T90),Inputs!$B$15*Mkt!T90+(1-Inputs!$B$15)*MIN(Mkt!T90,S90*(1+Inputs!$B$18))),S90)))</f>
        <v>2235.625</v>
      </c>
      <c r="U90" s="11" t="n">
        <f aca="false">IF(U$1&lt;Units!$P89,0,IF(AND(Units!$K89=0,U$1=Units!$O89),Units!$R89,IF(AND(U$1&gt;=Units!$Q89,MOD(U$1-Units!$Q89,12)=0),IF(AND(Units!$L89=1,U$1=Units!$Q89),IF(Units!$J89&lt;&gt;"",Units!$J89,Mkt!U90),Inputs!$B$15*Mkt!U90+(1-Inputs!$B$15)*MIN(Mkt!U90,T90*(1+Inputs!$B$18))),T90)))</f>
        <v>2235.625</v>
      </c>
      <c r="V90" s="11" t="n">
        <f aca="false">IF(V$1&lt;Units!$P89,0,IF(AND(Units!$K89=0,V$1=Units!$O89),Units!$R89,IF(AND(V$1&gt;=Units!$Q89,MOD(V$1-Units!$Q89,12)=0),IF(AND(Units!$L89=1,V$1=Units!$Q89),IF(Units!$J89&lt;&gt;"",Units!$J89,Mkt!V90),Inputs!$B$15*Mkt!V90+(1-Inputs!$B$15)*MIN(Mkt!V90,U90*(1+Inputs!$B$18))),U90)))</f>
        <v>2307.2</v>
      </c>
      <c r="W90" s="11" t="n">
        <f aca="false">IF(W$1&lt;Units!$P89,0,IF(AND(Units!$K89=0,W$1=Units!$O89),Units!$R89,IF(AND(W$1&gt;=Units!$Q89,MOD(W$1-Units!$Q89,12)=0),IF(AND(Units!$L89=1,W$1=Units!$Q89),IF(Units!$J89&lt;&gt;"",Units!$J89,Mkt!W90),Inputs!$B$15*Mkt!W90+(1-Inputs!$B$15)*MIN(Mkt!W90,V90*(1+Inputs!$B$18))),V90)))</f>
        <v>2307.2</v>
      </c>
      <c r="X90" s="11" t="n">
        <f aca="false">IF(X$1&lt;Units!$P89,0,IF(AND(Units!$K89=0,X$1=Units!$O89),Units!$R89,IF(AND(X$1&gt;=Units!$Q89,MOD(X$1-Units!$Q89,12)=0),IF(AND(Units!$L89=1,X$1=Units!$Q89),IF(Units!$J89&lt;&gt;"",Units!$J89,Mkt!X90),Inputs!$B$15*Mkt!X90+(1-Inputs!$B$15)*MIN(Mkt!X90,W90*(1+Inputs!$B$18))),W90)))</f>
        <v>2307.2</v>
      </c>
      <c r="Y90" s="11" t="n">
        <f aca="false">IF(Y$1&lt;Units!$P89,0,IF(AND(Units!$K89=0,Y$1=Units!$O89),Units!$R89,IF(AND(Y$1&gt;=Units!$Q89,MOD(Y$1-Units!$Q89,12)=0),IF(AND(Units!$L89=1,Y$1=Units!$Q89),IF(Units!$J89&lt;&gt;"",Units!$J89,Mkt!Y90),Inputs!$B$15*Mkt!Y90+(1-Inputs!$B$15)*MIN(Mkt!Y90,X90*(1+Inputs!$B$18))),X90)))</f>
        <v>2307.2</v>
      </c>
      <c r="Z90" s="11" t="n">
        <f aca="false">IF(Z$1&lt;Units!$P89,0,IF(AND(Units!$K89=0,Z$1=Units!$O89),Units!$R89,IF(AND(Z$1&gt;=Units!$Q89,MOD(Z$1-Units!$Q89,12)=0),IF(AND(Units!$L89=1,Z$1=Units!$Q89),IF(Units!$J89&lt;&gt;"",Units!$J89,Mkt!Z90),Inputs!$B$15*Mkt!Z90+(1-Inputs!$B$15)*MIN(Mkt!Z90,Y90*(1+Inputs!$B$18))),Y90)))</f>
        <v>2307.2</v>
      </c>
      <c r="AA90" s="11" t="n">
        <f aca="false">IF(AA$1&lt;Units!$P89,0,IF(AND(Units!$K89=0,AA$1=Units!$O89),Units!$R89,IF(AND(AA$1&gt;=Units!$Q89,MOD(AA$1-Units!$Q89,12)=0),IF(AND(Units!$L89=1,AA$1=Units!$Q89),IF(Units!$J89&lt;&gt;"",Units!$J89,Mkt!AA90),Inputs!$B$15*Mkt!AA90+(1-Inputs!$B$15)*MIN(Mkt!AA90,Z90*(1+Inputs!$B$18))),Z90)))</f>
        <v>2307.2</v>
      </c>
      <c r="AB90" s="11" t="n">
        <f aca="false">IF(AB$1&lt;Units!$P89,0,IF(AND(Units!$K89=0,AB$1=Units!$O89),Units!$R89,IF(AND(AB$1&gt;=Units!$Q89,MOD(AB$1-Units!$Q89,12)=0),IF(AND(Units!$L89=1,AB$1=Units!$Q89),IF(Units!$J89&lt;&gt;"",Units!$J89,Mkt!AB90),Inputs!$B$15*Mkt!AB90+(1-Inputs!$B$15)*MIN(Mkt!AB90,AA90*(1+Inputs!$B$18))),AA90)))</f>
        <v>2307.2</v>
      </c>
      <c r="AC90" s="11" t="n">
        <f aca="false">IF(AC$1&lt;Units!$P89,0,IF(AND(Units!$K89=0,AC$1=Units!$O89),Units!$R89,IF(AND(AC$1&gt;=Units!$Q89,MOD(AC$1-Units!$Q89,12)=0),IF(AND(Units!$L89=1,AC$1=Units!$Q89),IF(Units!$J89&lt;&gt;"",Units!$J89,Mkt!AC90),Inputs!$B$15*Mkt!AC90+(1-Inputs!$B$15)*MIN(Mkt!AC90,AB90*(1+Inputs!$B$18))),AB90)))</f>
        <v>2307.2</v>
      </c>
      <c r="AD90" s="11" t="n">
        <f aca="false">IF(AD$1&lt;Units!$P89,0,IF(AND(Units!$K89=0,AD$1=Units!$O89),Units!$R89,IF(AND(AD$1&gt;=Units!$Q89,MOD(AD$1-Units!$Q89,12)=0),IF(AND(Units!$L89=1,AD$1=Units!$Q89),IF(Units!$J89&lt;&gt;"",Units!$J89,Mkt!AD90),Inputs!$B$15*Mkt!AD90+(1-Inputs!$B$15)*MIN(Mkt!AD90,AC90*(1+Inputs!$B$18))),AC90)))</f>
        <v>2307.2</v>
      </c>
      <c r="AE90" s="11" t="n">
        <f aca="false">IF(AE$1&lt;Units!$P89,0,IF(AND(Units!$K89=0,AE$1=Units!$O89),Units!$R89,IF(AND(AE$1&gt;=Units!$Q89,MOD(AE$1-Units!$Q89,12)=0),IF(AND(Units!$L89=1,AE$1=Units!$Q89),IF(Units!$J89&lt;&gt;"",Units!$J89,Mkt!AE90),Inputs!$B$15*Mkt!AE90+(1-Inputs!$B$15)*MIN(Mkt!AE90,AD90*(1+Inputs!$B$18))),AD90)))</f>
        <v>2307.2</v>
      </c>
      <c r="AF90" s="11" t="n">
        <f aca="false">IF(AF$1&lt;Units!$P89,0,IF(AND(Units!$K89=0,AF$1=Units!$O89),Units!$R89,IF(AND(AF$1&gt;=Units!$Q89,MOD(AF$1-Units!$Q89,12)=0),IF(AND(Units!$L89=1,AF$1=Units!$Q89),IF(Units!$J89&lt;&gt;"",Units!$J89,Mkt!AF90),Inputs!$B$15*Mkt!AF90+(1-Inputs!$B$15)*MIN(Mkt!AF90,AE90*(1+Inputs!$B$18))),AE90)))</f>
        <v>2307.2</v>
      </c>
      <c r="AG90" s="11" t="n">
        <f aca="false">IF(AG$1&lt;Units!$P89,0,IF(AND(Units!$K89=0,AG$1=Units!$O89),Units!$R89,IF(AND(AG$1&gt;=Units!$Q89,MOD(AG$1-Units!$Q89,12)=0),IF(AND(Units!$L89=1,AG$1=Units!$Q89),IF(Units!$J89&lt;&gt;"",Units!$J89,Mkt!AG90),Inputs!$B$15*Mkt!AG90+(1-Inputs!$B$15)*MIN(Mkt!AG90,AF90*(1+Inputs!$B$18))),AF90)))</f>
        <v>2307.2</v>
      </c>
      <c r="AH90" s="11" t="n">
        <f aca="false">IF(AH$1&lt;Units!$P89,0,IF(AND(Units!$K89=0,AH$1=Units!$O89),Units!$R89,IF(AND(AH$1&gt;=Units!$Q89,MOD(AH$1-Units!$Q89,12)=0),IF(AND(Units!$L89=1,AH$1=Units!$Q89),IF(Units!$J89&lt;&gt;"",Units!$J89,Mkt!AH90),Inputs!$B$15*Mkt!AH90+(1-Inputs!$B$15)*MIN(Mkt!AH90,AG90*(1+Inputs!$B$18))),AG90)))</f>
        <v>2376.416</v>
      </c>
      <c r="AI90" s="11" t="n">
        <f aca="false">IF(AI$1&lt;Units!$P89,0,IF(AND(Units!$K89=0,AI$1=Units!$O89),Units!$R89,IF(AND(AI$1&gt;=Units!$Q89,MOD(AI$1-Units!$Q89,12)=0),IF(AND(Units!$L89=1,AI$1=Units!$Q89),IF(Units!$J89&lt;&gt;"",Units!$J89,Mkt!AI90),Inputs!$B$15*Mkt!AI90+(1-Inputs!$B$15)*MIN(Mkt!AI90,AH90*(1+Inputs!$B$18))),AH90)))</f>
        <v>2376.416</v>
      </c>
      <c r="AJ90" s="11" t="n">
        <f aca="false">IF(AJ$1&lt;Units!$P89,0,IF(AND(Units!$K89=0,AJ$1=Units!$O89),Units!$R89,IF(AND(AJ$1&gt;=Units!$Q89,MOD(AJ$1-Units!$Q89,12)=0),IF(AND(Units!$L89=1,AJ$1=Units!$Q89),IF(Units!$J89&lt;&gt;"",Units!$J89,Mkt!AJ90),Inputs!$B$15*Mkt!AJ90+(1-Inputs!$B$15)*MIN(Mkt!AJ90,AI90*(1+Inputs!$B$18))),AI90)))</f>
        <v>2376.416</v>
      </c>
      <c r="AK90" s="11" t="n">
        <f aca="false">IF(AK$1&lt;Units!$P89,0,IF(AND(Units!$K89=0,AK$1=Units!$O89),Units!$R89,IF(AND(AK$1&gt;=Units!$Q89,MOD(AK$1-Units!$Q89,12)=0),IF(AND(Units!$L89=1,AK$1=Units!$Q89),IF(Units!$J89&lt;&gt;"",Units!$J89,Mkt!AK90),Inputs!$B$15*Mkt!AK90+(1-Inputs!$B$15)*MIN(Mkt!AK90,AJ90*(1+Inputs!$B$18))),AJ90)))</f>
        <v>2376.416</v>
      </c>
      <c r="AL90" s="11" t="n">
        <f aca="false">IF(AL$1&lt;Units!$P89,0,IF(AND(Units!$K89=0,AL$1=Units!$O89),Units!$R89,IF(AND(AL$1&gt;=Units!$Q89,MOD(AL$1-Units!$Q89,12)=0),IF(AND(Units!$L89=1,AL$1=Units!$Q89),IF(Units!$J89&lt;&gt;"",Units!$J89,Mkt!AL90),Inputs!$B$15*Mkt!AL90+(1-Inputs!$B$15)*MIN(Mkt!AL90,AK90*(1+Inputs!$B$18))),AK90)))</f>
        <v>2376.416</v>
      </c>
      <c r="AM90" s="11" t="n">
        <f aca="false">IF(AM$1&lt;Units!$P89,0,IF(AND(Units!$K89=0,AM$1=Units!$O89),Units!$R89,IF(AND(AM$1&gt;=Units!$Q89,MOD(AM$1-Units!$Q89,12)=0),IF(AND(Units!$L89=1,AM$1=Units!$Q89),IF(Units!$J89&lt;&gt;"",Units!$J89,Mkt!AM90),Inputs!$B$15*Mkt!AM90+(1-Inputs!$B$15)*MIN(Mkt!AM90,AL90*(1+Inputs!$B$18))),AL90)))</f>
        <v>2376.416</v>
      </c>
      <c r="AN90" s="11" t="n">
        <f aca="false">IF(AN$1&lt;Units!$P89,0,IF(AND(Units!$K89=0,AN$1=Units!$O89),Units!$R89,IF(AND(AN$1&gt;=Units!$Q89,MOD(AN$1-Units!$Q89,12)=0),IF(AND(Units!$L89=1,AN$1=Units!$Q89),IF(Units!$J89&lt;&gt;"",Units!$J89,Mkt!AN90),Inputs!$B$15*Mkt!AN90+(1-Inputs!$B$15)*MIN(Mkt!AN90,AM90*(1+Inputs!$B$18))),AM90)))</f>
        <v>2376.416</v>
      </c>
      <c r="AO90" s="11" t="n">
        <f aca="false">IF(AO$1&lt;Units!$P89,0,IF(AND(Units!$K89=0,AO$1=Units!$O89),Units!$R89,IF(AND(AO$1&gt;=Units!$Q89,MOD(AO$1-Units!$Q89,12)=0),IF(AND(Units!$L89=1,AO$1=Units!$Q89),IF(Units!$J89&lt;&gt;"",Units!$J89,Mkt!AO90),Inputs!$B$15*Mkt!AO90+(1-Inputs!$B$15)*MIN(Mkt!AO90,AN90*(1+Inputs!$B$18))),AN90)))</f>
        <v>2376.416</v>
      </c>
      <c r="AP90" s="11" t="n">
        <f aca="false">IF(AP$1&lt;Units!$P89,0,IF(AND(Units!$K89=0,AP$1=Units!$O89),Units!$R89,IF(AND(AP$1&gt;=Units!$Q89,MOD(AP$1-Units!$Q89,12)=0),IF(AND(Units!$L89=1,AP$1=Units!$Q89),IF(Units!$J89&lt;&gt;"",Units!$J89,Mkt!AP90),Inputs!$B$15*Mkt!AP90+(1-Inputs!$B$15)*MIN(Mkt!AP90,AO90*(1+Inputs!$B$18))),AO90)))</f>
        <v>2376.416</v>
      </c>
      <c r="AQ90" s="11" t="n">
        <f aca="false">IF(AQ$1&lt;Units!$P89,0,IF(AND(Units!$K89=0,AQ$1=Units!$O89),Units!$R89,IF(AND(AQ$1&gt;=Units!$Q89,MOD(AQ$1-Units!$Q89,12)=0),IF(AND(Units!$L89=1,AQ$1=Units!$Q89),IF(Units!$J89&lt;&gt;"",Units!$J89,Mkt!AQ90),Inputs!$B$15*Mkt!AQ90+(1-Inputs!$B$15)*MIN(Mkt!AQ90,AP90*(1+Inputs!$B$18))),AP90)))</f>
        <v>2376.416</v>
      </c>
      <c r="AR90" s="11" t="n">
        <f aca="false">IF(AR$1&lt;Units!$P89,0,IF(AND(Units!$K89=0,AR$1=Units!$O89),Units!$R89,IF(AND(AR$1&gt;=Units!$Q89,MOD(AR$1-Units!$Q89,12)=0),IF(AND(Units!$L89=1,AR$1=Units!$Q89),IF(Units!$J89&lt;&gt;"",Units!$J89,Mkt!AR90),Inputs!$B$15*Mkt!AR90+(1-Inputs!$B$15)*MIN(Mkt!AR90,AQ90*(1+Inputs!$B$18))),AQ90)))</f>
        <v>2376.416</v>
      </c>
      <c r="AS90" s="11" t="n">
        <f aca="false">IF(AS$1&lt;Units!$P89,0,IF(AND(Units!$K89=0,AS$1=Units!$O89),Units!$R89,IF(AND(AS$1&gt;=Units!$Q89,MOD(AS$1-Units!$Q89,12)=0),IF(AND(Units!$L89=1,AS$1=Units!$Q89),IF(Units!$J89&lt;&gt;"",Units!$J89,Mkt!AS90),Inputs!$B$15*Mkt!AS90+(1-Inputs!$B$15)*MIN(Mkt!AS90,AR90*(1+Inputs!$B$18))),AR90)))</f>
        <v>2376.416</v>
      </c>
      <c r="AT90" s="11" t="n">
        <f aca="false">IF(AT$1&lt;Units!$P89,0,IF(AND(Units!$K89=0,AT$1=Units!$O89),Units!$R89,IF(AND(AT$1&gt;=Units!$Q89,MOD(AT$1-Units!$Q89,12)=0),IF(AND(Units!$L89=1,AT$1=Units!$Q89),IF(Units!$J89&lt;&gt;"",Units!$J89,Mkt!AT90),Inputs!$B$15*Mkt!AT90+(1-Inputs!$B$15)*MIN(Mkt!AT90,AS90*(1+Inputs!$B$18))),AS90)))</f>
        <v>2447.70848</v>
      </c>
      <c r="AU90" s="11" t="n">
        <f aca="false">IF(AU$1&lt;Units!$P89,0,IF(AND(Units!$K89=0,AU$1=Units!$O89),Units!$R89,IF(AND(AU$1&gt;=Units!$Q89,MOD(AU$1-Units!$Q89,12)=0),IF(AND(Units!$L89=1,AU$1=Units!$Q89),IF(Units!$J89&lt;&gt;"",Units!$J89,Mkt!AU90),Inputs!$B$15*Mkt!AU90+(1-Inputs!$B$15)*MIN(Mkt!AU90,AT90*(1+Inputs!$B$18))),AT90)))</f>
        <v>2447.70848</v>
      </c>
      <c r="AV90" s="11" t="n">
        <f aca="false">IF(AV$1&lt;Units!$P89,0,IF(AND(Units!$K89=0,AV$1=Units!$O89),Units!$R89,IF(AND(AV$1&gt;=Units!$Q89,MOD(AV$1-Units!$Q89,12)=0),IF(AND(Units!$L89=1,AV$1=Units!$Q89),IF(Units!$J89&lt;&gt;"",Units!$J89,Mkt!AV90),Inputs!$B$15*Mkt!AV90+(1-Inputs!$B$15)*MIN(Mkt!AV90,AU90*(1+Inputs!$B$18))),AU90)))</f>
        <v>2447.70848</v>
      </c>
      <c r="AW90" s="11" t="n">
        <f aca="false">IF(AW$1&lt;Units!$P89,0,IF(AND(Units!$K89=0,AW$1=Units!$O89),Units!$R89,IF(AND(AW$1&gt;=Units!$Q89,MOD(AW$1-Units!$Q89,12)=0),IF(AND(Units!$L89=1,AW$1=Units!$Q89),IF(Units!$J89&lt;&gt;"",Units!$J89,Mkt!AW90),Inputs!$B$15*Mkt!AW90+(1-Inputs!$B$15)*MIN(Mkt!AW90,AV90*(1+Inputs!$B$18))),AV90)))</f>
        <v>2447.70848</v>
      </c>
      <c r="AX90" s="11" t="n">
        <f aca="false">IF(AX$1&lt;Units!$P89,0,IF(AND(Units!$K89=0,AX$1=Units!$O89),Units!$R89,IF(AND(AX$1&gt;=Units!$Q89,MOD(AX$1-Units!$Q89,12)=0),IF(AND(Units!$L89=1,AX$1=Units!$Q89),IF(Units!$J89&lt;&gt;"",Units!$J89,Mkt!AX90),Inputs!$B$15*Mkt!AX90+(1-Inputs!$B$15)*MIN(Mkt!AX90,AW90*(1+Inputs!$B$18))),AW90)))</f>
        <v>2447.70848</v>
      </c>
      <c r="AY90" s="11" t="n">
        <f aca="false">IF(AY$1&lt;Units!$P89,0,IF(AND(Units!$K89=0,AY$1=Units!$O89),Units!$R89,IF(AND(AY$1&gt;=Units!$Q89,MOD(AY$1-Units!$Q89,12)=0),IF(AND(Units!$L89=1,AY$1=Units!$Q89),IF(Units!$J89&lt;&gt;"",Units!$J89,Mkt!AY90),Inputs!$B$15*Mkt!AY90+(1-Inputs!$B$15)*MIN(Mkt!AY90,AX90*(1+Inputs!$B$18))),AX90)))</f>
        <v>2447.70848</v>
      </c>
      <c r="AZ90" s="11" t="n">
        <f aca="false">IF(AZ$1&lt;Units!$P89,0,IF(AND(Units!$K89=0,AZ$1=Units!$O89),Units!$R89,IF(AND(AZ$1&gt;=Units!$Q89,MOD(AZ$1-Units!$Q89,12)=0),IF(AND(Units!$L89=1,AZ$1=Units!$Q89),IF(Units!$J89&lt;&gt;"",Units!$J89,Mkt!AZ90),Inputs!$B$15*Mkt!AZ90+(1-Inputs!$B$15)*MIN(Mkt!AZ90,AY90*(1+Inputs!$B$18))),AY90)))</f>
        <v>2447.70848</v>
      </c>
      <c r="BA90" s="11" t="n">
        <f aca="false">IF(BA$1&lt;Units!$P89,0,IF(AND(Units!$K89=0,BA$1=Units!$O89),Units!$R89,IF(AND(BA$1&gt;=Units!$Q89,MOD(BA$1-Units!$Q89,12)=0),IF(AND(Units!$L89=1,BA$1=Units!$Q89),IF(Units!$J89&lt;&gt;"",Units!$J89,Mkt!BA90),Inputs!$B$15*Mkt!BA90+(1-Inputs!$B$15)*MIN(Mkt!BA90,AZ90*(1+Inputs!$B$18))),AZ90)))</f>
        <v>2447.70848</v>
      </c>
      <c r="BB90" s="11" t="n">
        <f aca="false">IF(BB$1&lt;Units!$P89,0,IF(AND(Units!$K89=0,BB$1=Units!$O89),Units!$R89,IF(AND(BB$1&gt;=Units!$Q89,MOD(BB$1-Units!$Q89,12)=0),IF(AND(Units!$L89=1,BB$1=Units!$Q89),IF(Units!$J89&lt;&gt;"",Units!$J89,Mkt!BB90),Inputs!$B$15*Mkt!BB90+(1-Inputs!$B$15)*MIN(Mkt!BB90,BA90*(1+Inputs!$B$18))),BA90)))</f>
        <v>2447.70848</v>
      </c>
      <c r="BC90" s="11" t="n">
        <f aca="false">IF(BC$1&lt;Units!$P89,0,IF(AND(Units!$K89=0,BC$1=Units!$O89),Units!$R89,IF(AND(BC$1&gt;=Units!$Q89,MOD(BC$1-Units!$Q89,12)=0),IF(AND(Units!$L89=1,BC$1=Units!$Q89),IF(Units!$J89&lt;&gt;"",Units!$J89,Mkt!BC90),Inputs!$B$15*Mkt!BC90+(1-Inputs!$B$15)*MIN(Mkt!BC90,BB90*(1+Inputs!$B$18))),BB90)))</f>
        <v>2447.70848</v>
      </c>
      <c r="BD90" s="11" t="n">
        <f aca="false">IF(BD$1&lt;Units!$P89,0,IF(AND(Units!$K89=0,BD$1=Units!$O89),Units!$R89,IF(AND(BD$1&gt;=Units!$Q89,MOD(BD$1-Units!$Q89,12)=0),IF(AND(Units!$L89=1,BD$1=Units!$Q89),IF(Units!$J89&lt;&gt;"",Units!$J89,Mkt!BD90),Inputs!$B$15*Mkt!BD90+(1-Inputs!$B$15)*MIN(Mkt!BD90,BC90*(1+Inputs!$B$18))),BC90)))</f>
        <v>2447.70848</v>
      </c>
      <c r="BE90" s="11" t="n">
        <f aca="false">IF(BE$1&lt;Units!$P89,0,IF(AND(Units!$K89=0,BE$1=Units!$O89),Units!$R89,IF(AND(BE$1&gt;=Units!$Q89,MOD(BE$1-Units!$Q89,12)=0),IF(AND(Units!$L89=1,BE$1=Units!$Q89),IF(Units!$J89&lt;&gt;"",Units!$J89,Mkt!BE90),Inputs!$B$15*Mkt!BE90+(1-Inputs!$B$15)*MIN(Mkt!BE90,BD90*(1+Inputs!$B$18))),BD90)))</f>
        <v>2447.70848</v>
      </c>
      <c r="BF90" s="11" t="n">
        <f aca="false">IF(BF$1&lt;Units!$P89,0,IF(AND(Units!$K89=0,BF$1=Units!$O89),Units!$R89,IF(AND(BF$1&gt;=Units!$Q89,MOD(BF$1-Units!$Q89,12)=0),IF(AND(Units!$L89=1,BF$1=Units!$Q89),IF(Units!$J89&lt;&gt;"",Units!$J89,Mkt!BF90),Inputs!$B$15*Mkt!BF90+(1-Inputs!$B$15)*MIN(Mkt!BF90,BE90*(1+Inputs!$B$18))),BE90)))</f>
        <v>2521.1397344</v>
      </c>
      <c r="BG90" s="11" t="n">
        <f aca="false">IF(BG$1&lt;Units!$P89,0,IF(AND(Units!$K89=0,BG$1=Units!$O89),Units!$R89,IF(AND(BG$1&gt;=Units!$Q89,MOD(BG$1-Units!$Q89,12)=0),IF(AND(Units!$L89=1,BG$1=Units!$Q89),IF(Units!$J89&lt;&gt;"",Units!$J89,Mkt!BG90),Inputs!$B$15*Mkt!BG90+(1-Inputs!$B$15)*MIN(Mkt!BG90,BF90*(1+Inputs!$B$18))),BF90)))</f>
        <v>2521.1397344</v>
      </c>
      <c r="BH90" s="11" t="n">
        <f aca="false">IF(BH$1&lt;Units!$P89,0,IF(AND(Units!$K89=0,BH$1=Units!$O89),Units!$R89,IF(AND(BH$1&gt;=Units!$Q89,MOD(BH$1-Units!$Q89,12)=0),IF(AND(Units!$L89=1,BH$1=Units!$Q89),IF(Units!$J89&lt;&gt;"",Units!$J89,Mkt!BH90),Inputs!$B$15*Mkt!BH90+(1-Inputs!$B$15)*MIN(Mkt!BH90,BG90*(1+Inputs!$B$18))),BG90)))</f>
        <v>2521.1397344</v>
      </c>
      <c r="BI90" s="11" t="n">
        <f aca="false">IF(BI$1&lt;Units!$P89,0,IF(AND(Units!$K89=0,BI$1=Units!$O89),Units!$R89,IF(AND(BI$1&gt;=Units!$Q89,MOD(BI$1-Units!$Q89,12)=0),IF(AND(Units!$L89=1,BI$1=Units!$Q89),IF(Units!$J89&lt;&gt;"",Units!$J89,Mkt!BI90),Inputs!$B$15*Mkt!BI90+(1-Inputs!$B$15)*MIN(Mkt!BI90,BH90*(1+Inputs!$B$18))),BH90)))</f>
        <v>2521.1397344</v>
      </c>
      <c r="BJ90" s="11" t="n">
        <f aca="false">IF(BJ$1&lt;Units!$P89,0,IF(AND(Units!$K89=0,BJ$1=Units!$O89),Units!$R89,IF(AND(BJ$1&gt;=Units!$Q89,MOD(BJ$1-Units!$Q89,12)=0),IF(AND(Units!$L89=1,BJ$1=Units!$Q89),IF(Units!$J89&lt;&gt;"",Units!$J89,Mkt!BJ90),Inputs!$B$15*Mkt!BJ90+(1-Inputs!$B$15)*MIN(Mkt!BJ90,BI90*(1+Inputs!$B$18))),BI90)))</f>
        <v>2521.1397344</v>
      </c>
      <c r="BK90" s="11" t="n">
        <f aca="false">IF(BK$1&lt;Units!$P89,0,IF(AND(Units!$K89=0,BK$1=Units!$O89),Units!$R89,IF(AND(BK$1&gt;=Units!$Q89,MOD(BK$1-Units!$Q89,12)=0),IF(AND(Units!$L89=1,BK$1=Units!$Q89),IF(Units!$J89&lt;&gt;"",Units!$J89,Mkt!BK90),Inputs!$B$15*Mkt!BK90+(1-Inputs!$B$15)*MIN(Mkt!BK90,BJ90*(1+Inputs!$B$18))),BJ90)))</f>
        <v>2521.1397344</v>
      </c>
      <c r="BL90" s="11" t="n">
        <f aca="false">IF(BL$1&lt;Units!$P89,0,IF(AND(Units!$K89=0,BL$1=Units!$O89),Units!$R89,IF(AND(BL$1&gt;=Units!$Q89,MOD(BL$1-Units!$Q89,12)=0),IF(AND(Units!$L89=1,BL$1=Units!$Q89),IF(Units!$J89&lt;&gt;"",Units!$J89,Mkt!BL90),Inputs!$B$15*Mkt!BL90+(1-Inputs!$B$15)*MIN(Mkt!BL90,BK90*(1+Inputs!$B$18))),BK90)))</f>
        <v>2521.1397344</v>
      </c>
      <c r="BM90" s="11" t="n">
        <f aca="false">IF(BM$1&lt;Units!$P89,0,IF(AND(Units!$K89=0,BM$1=Units!$O89),Units!$R89,IF(AND(BM$1&gt;=Units!$Q89,MOD(BM$1-Units!$Q89,12)=0),IF(AND(Units!$L89=1,BM$1=Units!$Q89),IF(Units!$J89&lt;&gt;"",Units!$J89,Mkt!BM90),Inputs!$B$15*Mkt!BM90+(1-Inputs!$B$15)*MIN(Mkt!BM90,BL90*(1+Inputs!$B$18))),BL90)))</f>
        <v>2521.1397344</v>
      </c>
      <c r="BN90" s="11" t="n">
        <f aca="false">IF(BN$1&lt;Units!$P89,0,IF(AND(Units!$K89=0,BN$1=Units!$O89),Units!$R89,IF(AND(BN$1&gt;=Units!$Q89,MOD(BN$1-Units!$Q89,12)=0),IF(AND(Units!$L89=1,BN$1=Units!$Q89),IF(Units!$J89&lt;&gt;"",Units!$J89,Mkt!BN90),Inputs!$B$15*Mkt!BN90+(1-Inputs!$B$15)*MIN(Mkt!BN90,BM90*(1+Inputs!$B$18))),BM90)))</f>
        <v>2521.1397344</v>
      </c>
      <c r="BO90" s="11" t="n">
        <f aca="false">IF(BO$1&lt;Units!$P89,0,IF(AND(Units!$K89=0,BO$1=Units!$O89),Units!$R89,IF(AND(BO$1&gt;=Units!$Q89,MOD(BO$1-Units!$Q89,12)=0),IF(AND(Units!$L89=1,BO$1=Units!$Q89),IF(Units!$J89&lt;&gt;"",Units!$J89,Mkt!BO90),Inputs!$B$15*Mkt!BO90+(1-Inputs!$B$15)*MIN(Mkt!BO90,BN90*(1+Inputs!$B$18))),BN90)))</f>
        <v>2521.1397344</v>
      </c>
      <c r="BP90" s="11" t="n">
        <f aca="false">IF(BP$1&lt;Units!$P89,0,IF(AND(Units!$K89=0,BP$1=Units!$O89),Units!$R89,IF(AND(BP$1&gt;=Units!$Q89,MOD(BP$1-Units!$Q89,12)=0),IF(AND(Units!$L89=1,BP$1=Units!$Q89),IF(Units!$J89&lt;&gt;"",Units!$J89,Mkt!BP90),Inputs!$B$15*Mkt!BP90+(1-Inputs!$B$15)*MIN(Mkt!BP90,BO90*(1+Inputs!$B$18))),BO90)))</f>
        <v>2521.1397344</v>
      </c>
      <c r="BQ90" s="11" t="n">
        <f aca="false">IF(BQ$1&lt;Units!$P89,0,IF(AND(Units!$K89=0,BQ$1=Units!$O89),Units!$R89,IF(AND(BQ$1&gt;=Units!$Q89,MOD(BQ$1-Units!$Q89,12)=0),IF(AND(Units!$L89=1,BQ$1=Units!$Q89),IF(Units!$J89&lt;&gt;"",Units!$J89,Mkt!BQ90),Inputs!$B$15*Mkt!BQ90+(1-Inputs!$B$15)*MIN(Mkt!BQ90,BP90*(1+Inputs!$B$18))),BP90)))</f>
        <v>2521.1397344</v>
      </c>
      <c r="BR90" s="11" t="n">
        <f aca="false">IF(BR$1&lt;Units!$P89,0,IF(AND(Units!$K89=0,BR$1=Units!$O89),Units!$R89,IF(AND(BR$1&gt;=Units!$Q89,MOD(BR$1-Units!$Q89,12)=0),IF(AND(Units!$L89=1,BR$1=Units!$Q89),IF(Units!$J89&lt;&gt;"",Units!$J89,Mkt!BR90),Inputs!$B$15*Mkt!BR90+(1-Inputs!$B$15)*MIN(Mkt!BR90,BQ90*(1+Inputs!$B$18))),BQ90)))</f>
        <v>2596.773926432</v>
      </c>
      <c r="BS90" s="11" t="n">
        <f aca="false">IF(BS$1&lt;Units!$P89,0,IF(AND(Units!$K89=0,BS$1=Units!$O89),Units!$R89,IF(AND(BS$1&gt;=Units!$Q89,MOD(BS$1-Units!$Q89,12)=0),IF(AND(Units!$L89=1,BS$1=Units!$Q89),IF(Units!$J89&lt;&gt;"",Units!$J89,Mkt!BS90),Inputs!$B$15*Mkt!BS90+(1-Inputs!$B$15)*MIN(Mkt!BS90,BR90*(1+Inputs!$B$18))),BR90)))</f>
        <v>2596.773926432</v>
      </c>
      <c r="BT90" s="11" t="n">
        <f aca="false">IF(BT$1&lt;Units!$P89,0,IF(AND(Units!$K89=0,BT$1=Units!$O89),Units!$R89,IF(AND(BT$1&gt;=Units!$Q89,MOD(BT$1-Units!$Q89,12)=0),IF(AND(Units!$L89=1,BT$1=Units!$Q89),IF(Units!$J89&lt;&gt;"",Units!$J89,Mkt!BT90),Inputs!$B$15*Mkt!BT90+(1-Inputs!$B$15)*MIN(Mkt!BT90,BS90*(1+Inputs!$B$18))),BS90)))</f>
        <v>2596.773926432</v>
      </c>
      <c r="BU90" s="11" t="n">
        <f aca="false">IF(BU$1&lt;Units!$P89,0,IF(AND(Units!$K89=0,BU$1=Units!$O89),Units!$R89,IF(AND(BU$1&gt;=Units!$Q89,MOD(BU$1-Units!$Q89,12)=0),IF(AND(Units!$L89=1,BU$1=Units!$Q89),IF(Units!$J89&lt;&gt;"",Units!$J89,Mkt!BU90),Inputs!$B$15*Mkt!BU90+(1-Inputs!$B$15)*MIN(Mkt!BU90,BT90*(1+Inputs!$B$18))),BT90)))</f>
        <v>2596.773926432</v>
      </c>
      <c r="BV90" s="11" t="n">
        <f aca="false">IF(BV$1&lt;Units!$P89,0,IF(AND(Units!$K89=0,BV$1=Units!$O89),Units!$R89,IF(AND(BV$1&gt;=Units!$Q89,MOD(BV$1-Units!$Q89,12)=0),IF(AND(Units!$L89=1,BV$1=Units!$Q89),IF(Units!$J89&lt;&gt;"",Units!$J89,Mkt!BV90),Inputs!$B$15*Mkt!BV90+(1-Inputs!$B$15)*MIN(Mkt!BV90,BU90*(1+Inputs!$B$18))),BU90)))</f>
        <v>2596.773926432</v>
      </c>
      <c r="BW90" s="11" t="n">
        <f aca="false">IF(BW$1&lt;Units!$P89,0,IF(AND(Units!$K89=0,BW$1=Units!$O89),Units!$R89,IF(AND(BW$1&gt;=Units!$Q89,MOD(BW$1-Units!$Q89,12)=0),IF(AND(Units!$L89=1,BW$1=Units!$Q89),IF(Units!$J89&lt;&gt;"",Units!$J89,Mkt!BW90),Inputs!$B$15*Mkt!BW90+(1-Inputs!$B$15)*MIN(Mkt!BW90,BV90*(1+Inputs!$B$18))),BV90)))</f>
        <v>2596.773926432</v>
      </c>
      <c r="BX90" s="11" t="n">
        <f aca="false">IF(BX$1&lt;Units!$P89,0,IF(AND(Units!$K89=0,BX$1=Units!$O89),Units!$R89,IF(AND(BX$1&gt;=Units!$Q89,MOD(BX$1-Units!$Q89,12)=0),IF(AND(Units!$L89=1,BX$1=Units!$Q89),IF(Units!$J89&lt;&gt;"",Units!$J89,Mkt!BX90),Inputs!$B$15*Mkt!BX90+(1-Inputs!$B$15)*MIN(Mkt!BX90,BW90*(1+Inputs!$B$18))),BW90)))</f>
        <v>2596.773926432</v>
      </c>
      <c r="BY90" s="11" t="n">
        <f aca="false">IF(BY$1&lt;Units!$P89,0,IF(AND(Units!$K89=0,BY$1=Units!$O89),Units!$R89,IF(AND(BY$1&gt;=Units!$Q89,MOD(BY$1-Units!$Q89,12)=0),IF(AND(Units!$L89=1,BY$1=Units!$Q89),IF(Units!$J89&lt;&gt;"",Units!$J89,Mkt!BY90),Inputs!$B$15*Mkt!BY90+(1-Inputs!$B$15)*MIN(Mkt!BY90,BX90*(1+Inputs!$B$18))),BX90)))</f>
        <v>2596.773926432</v>
      </c>
      <c r="BZ90" s="11" t="n">
        <f aca="false">IF(BZ$1&lt;Units!$P89,0,IF(AND(Units!$K89=0,BZ$1=Units!$O89),Units!$R89,IF(AND(BZ$1&gt;=Units!$Q89,MOD(BZ$1-Units!$Q89,12)=0),IF(AND(Units!$L89=1,BZ$1=Units!$Q89),IF(Units!$J89&lt;&gt;"",Units!$J89,Mkt!BZ90),Inputs!$B$15*Mkt!BZ90+(1-Inputs!$B$15)*MIN(Mkt!BZ90,BY90*(1+Inputs!$B$18))),BY90)))</f>
        <v>2596.773926432</v>
      </c>
      <c r="CA90" s="11" t="n">
        <f aca="false">IF(CA$1&lt;Units!$P89,0,IF(AND(Units!$K89=0,CA$1=Units!$O89),Units!$R89,IF(AND(CA$1&gt;=Units!$Q89,MOD(CA$1-Units!$Q89,12)=0),IF(AND(Units!$L89=1,CA$1=Units!$Q89),IF(Units!$J89&lt;&gt;"",Units!$J89,Mkt!CA90),Inputs!$B$15*Mkt!CA90+(1-Inputs!$B$15)*MIN(Mkt!CA90,BZ90*(1+Inputs!$B$18))),BZ90)))</f>
        <v>2596.773926432</v>
      </c>
      <c r="CB90" s="11" t="n">
        <f aca="false">IF(CB$1&lt;Units!$P89,0,IF(AND(Units!$K89=0,CB$1=Units!$O89),Units!$R89,IF(AND(CB$1&gt;=Units!$Q89,MOD(CB$1-Units!$Q89,12)=0),IF(AND(Units!$L89=1,CB$1=Units!$Q89),IF(Units!$J89&lt;&gt;"",Units!$J89,Mkt!CB90),Inputs!$B$15*Mkt!CB90+(1-Inputs!$B$15)*MIN(Mkt!CB90,CA90*(1+Inputs!$B$18))),CA90)))</f>
        <v>2596.773926432</v>
      </c>
      <c r="CC90" s="11" t="n">
        <f aca="false">IF(CC$1&lt;Units!$P89,0,IF(AND(Units!$K89=0,CC$1=Units!$O89),Units!$R89,IF(AND(CC$1&gt;=Units!$Q89,MOD(CC$1-Units!$Q89,12)=0),IF(AND(Units!$L89=1,CC$1=Units!$Q89),IF(Units!$J89&lt;&gt;"",Units!$J89,Mkt!CC90),Inputs!$B$15*Mkt!CC90+(1-Inputs!$B$15)*MIN(Mkt!CC90,CB90*(1+Inputs!$B$18))),CB90)))</f>
        <v>2596.773926432</v>
      </c>
      <c r="CD90" s="11" t="n">
        <f aca="false">IF(CD$1&lt;Units!$P89,0,IF(AND(Units!$K89=0,CD$1=Units!$O89),Units!$R89,IF(AND(CD$1&gt;=Units!$Q89,MOD(CD$1-Units!$Q89,12)=0),IF(AND(Units!$L89=1,CD$1=Units!$Q89),IF(Units!$J89&lt;&gt;"",Units!$J89,Mkt!CD90),Inputs!$B$15*Mkt!CD90+(1-Inputs!$B$15)*MIN(Mkt!CD90,CC90*(1+Inputs!$B$18))),CC90)))</f>
        <v>2674.67714422496</v>
      </c>
      <c r="CE90" s="11" t="n">
        <f aca="false">IF(CE$1&lt;Units!$P89,0,IF(AND(Units!$K89=0,CE$1=Units!$O89),Units!$R89,IF(AND(CE$1&gt;=Units!$Q89,MOD(CE$1-Units!$Q89,12)=0),IF(AND(Units!$L89=1,CE$1=Units!$Q89),IF(Units!$J89&lt;&gt;"",Units!$J89,Mkt!CE90),Inputs!$B$15*Mkt!CE90+(1-Inputs!$B$15)*MIN(Mkt!CE90,CD90*(1+Inputs!$B$18))),CD90)))</f>
        <v>2674.67714422496</v>
      </c>
      <c r="CF90" s="11" t="n">
        <f aca="false">IF(CF$1&lt;Units!$P89,0,IF(AND(Units!$K89=0,CF$1=Units!$O89),Units!$R89,IF(AND(CF$1&gt;=Units!$Q89,MOD(CF$1-Units!$Q89,12)=0),IF(AND(Units!$L89=1,CF$1=Units!$Q89),IF(Units!$J89&lt;&gt;"",Units!$J89,Mkt!CF90),Inputs!$B$15*Mkt!CF90+(1-Inputs!$B$15)*MIN(Mkt!CF90,CE90*(1+Inputs!$B$18))),CE90)))</f>
        <v>2674.67714422496</v>
      </c>
      <c r="CG90" s="11" t="n">
        <f aca="false">IF(CG$1&lt;Units!$P89,0,IF(AND(Units!$K89=0,CG$1=Units!$O89),Units!$R89,IF(AND(CG$1&gt;=Units!$Q89,MOD(CG$1-Units!$Q89,12)=0),IF(AND(Units!$L89=1,CG$1=Units!$Q89),IF(Units!$J89&lt;&gt;"",Units!$J89,Mkt!CG90),Inputs!$B$15*Mkt!CG90+(1-Inputs!$B$15)*MIN(Mkt!CG90,CF90*(1+Inputs!$B$18))),CF90)))</f>
        <v>2674.67714422496</v>
      </c>
      <c r="CH90" s="11" t="n">
        <f aca="false">IF(CH$1&lt;Units!$P89,0,IF(AND(Units!$K89=0,CH$1=Units!$O89),Units!$R89,IF(AND(CH$1&gt;=Units!$Q89,MOD(CH$1-Units!$Q89,12)=0),IF(AND(Units!$L89=1,CH$1=Units!$Q89),IF(Units!$J89&lt;&gt;"",Units!$J89,Mkt!CH90),Inputs!$B$15*Mkt!CH90+(1-Inputs!$B$15)*MIN(Mkt!CH90,CG90*(1+Inputs!$B$18))),CG90)))</f>
        <v>2674.67714422496</v>
      </c>
      <c r="CI90" s="11" t="n">
        <f aca="false">IF(CI$1&lt;Units!$P89,0,IF(AND(Units!$K89=0,CI$1=Units!$O89),Units!$R89,IF(AND(CI$1&gt;=Units!$Q89,MOD(CI$1-Units!$Q89,12)=0),IF(AND(Units!$L89=1,CI$1=Units!$Q89),IF(Units!$J89&lt;&gt;"",Units!$J89,Mkt!CI90),Inputs!$B$15*Mkt!CI90+(1-Inputs!$B$15)*MIN(Mkt!CI90,CH90*(1+Inputs!$B$18))),CH90)))</f>
        <v>2674.67714422496</v>
      </c>
      <c r="CJ90" s="11" t="n">
        <f aca="false">IF(CJ$1&lt;Units!$P89,0,IF(AND(Units!$K89=0,CJ$1=Units!$O89),Units!$R89,IF(AND(CJ$1&gt;=Units!$Q89,MOD(CJ$1-Units!$Q89,12)=0),IF(AND(Units!$L89=1,CJ$1=Units!$Q89),IF(Units!$J89&lt;&gt;"",Units!$J89,Mkt!CJ90),Inputs!$B$15*Mkt!CJ90+(1-Inputs!$B$15)*MIN(Mkt!CJ90,CI90*(1+Inputs!$B$18))),CI90)))</f>
        <v>2674.67714422496</v>
      </c>
      <c r="CK90" s="11" t="n">
        <f aca="false">IF(CK$1&lt;Units!$P89,0,IF(AND(Units!$K89=0,CK$1=Units!$O89),Units!$R89,IF(AND(CK$1&gt;=Units!$Q89,MOD(CK$1-Units!$Q89,12)=0),IF(AND(Units!$L89=1,CK$1=Units!$Q89),IF(Units!$J89&lt;&gt;"",Units!$J89,Mkt!CK90),Inputs!$B$15*Mkt!CK90+(1-Inputs!$B$15)*MIN(Mkt!CK90,CJ90*(1+Inputs!$B$18))),CJ90)))</f>
        <v>2674.67714422496</v>
      </c>
      <c r="CL90" s="11" t="n">
        <f aca="false">IF(CL$1&lt;Units!$P89,0,IF(AND(Units!$K89=0,CL$1=Units!$O89),Units!$R89,IF(AND(CL$1&gt;=Units!$Q89,MOD(CL$1-Units!$Q89,12)=0),IF(AND(Units!$L89=1,CL$1=Units!$Q89),IF(Units!$J89&lt;&gt;"",Units!$J89,Mkt!CL90),Inputs!$B$15*Mkt!CL90+(1-Inputs!$B$15)*MIN(Mkt!CL90,CK90*(1+Inputs!$B$18))),CK90)))</f>
        <v>2674.67714422496</v>
      </c>
      <c r="CM90" s="11" t="n">
        <f aca="false">IF(CM$1&lt;Units!$P89,0,IF(AND(Units!$K89=0,CM$1=Units!$O89),Units!$R89,IF(AND(CM$1&gt;=Units!$Q89,MOD(CM$1-Units!$Q89,12)=0),IF(AND(Units!$L89=1,CM$1=Units!$Q89),IF(Units!$J89&lt;&gt;"",Units!$J89,Mkt!CM90),Inputs!$B$15*Mkt!CM90+(1-Inputs!$B$15)*MIN(Mkt!CM90,CL90*(1+Inputs!$B$18))),CL90)))</f>
        <v>2674.67714422496</v>
      </c>
      <c r="CN90" s="11" t="n">
        <f aca="false">IF(CN$1&lt;Units!$P89,0,IF(AND(Units!$K89=0,CN$1=Units!$O89),Units!$R89,IF(AND(CN$1&gt;=Units!$Q89,MOD(CN$1-Units!$Q89,12)=0),IF(AND(Units!$L89=1,CN$1=Units!$Q89),IF(Units!$J89&lt;&gt;"",Units!$J89,Mkt!CN90),Inputs!$B$15*Mkt!CN90+(1-Inputs!$B$15)*MIN(Mkt!CN90,CM90*(1+Inputs!$B$18))),CM90)))</f>
        <v>2674.67714422496</v>
      </c>
      <c r="CO90" s="11" t="n">
        <f aca="false">IF(CO$1&lt;Units!$P89,0,IF(AND(Units!$K89=0,CO$1=Units!$O89),Units!$R89,IF(AND(CO$1&gt;=Units!$Q89,MOD(CO$1-Units!$Q89,12)=0),IF(AND(Units!$L89=1,CO$1=Units!$Q89),IF(Units!$J89&lt;&gt;"",Units!$J89,Mkt!CO90),Inputs!$B$15*Mkt!CO90+(1-Inputs!$B$15)*MIN(Mkt!CO90,CN90*(1+Inputs!$B$18))),CN90)))</f>
        <v>2674.67714422496</v>
      </c>
      <c r="CP90" s="11" t="n">
        <f aca="false">IF(CP$1&lt;Units!$P89,0,IF(AND(Units!$K89=0,CP$1=Units!$O89),Units!$R89,IF(AND(CP$1&gt;=Units!$Q89,MOD(CP$1-Units!$Q89,12)=0),IF(AND(Units!$L89=1,CP$1=Units!$Q89),IF(Units!$J89&lt;&gt;"",Units!$J89,Mkt!CP90),Inputs!$B$15*Mkt!CP90+(1-Inputs!$B$15)*MIN(Mkt!CP90,CO90*(1+Inputs!$B$18))),CO90)))</f>
        <v>2754.91745855171</v>
      </c>
      <c r="CQ90" s="11" t="n">
        <f aca="false">IF(CQ$1&lt;Units!$P89,0,IF(AND(Units!$K89=0,CQ$1=Units!$O89),Units!$R89,IF(AND(CQ$1&gt;=Units!$Q89,MOD(CQ$1-Units!$Q89,12)=0),IF(AND(Units!$L89=1,CQ$1=Units!$Q89),IF(Units!$J89&lt;&gt;"",Units!$J89,Mkt!CQ90),Inputs!$B$15*Mkt!CQ90+(1-Inputs!$B$15)*MIN(Mkt!CQ90,CP90*(1+Inputs!$B$18))),CP90)))</f>
        <v>2754.91745855171</v>
      </c>
      <c r="CR90" s="11" t="n">
        <f aca="false">IF(CR$1&lt;Units!$P89,0,IF(AND(Units!$K89=0,CR$1=Units!$O89),Units!$R89,IF(AND(CR$1&gt;=Units!$Q89,MOD(CR$1-Units!$Q89,12)=0),IF(AND(Units!$L89=1,CR$1=Units!$Q89),IF(Units!$J89&lt;&gt;"",Units!$J89,Mkt!CR90),Inputs!$B$15*Mkt!CR90+(1-Inputs!$B$15)*MIN(Mkt!CR90,CQ90*(1+Inputs!$B$18))),CQ90)))</f>
        <v>2754.91745855171</v>
      </c>
      <c r="CS90" s="11" t="n">
        <f aca="false">IF(CS$1&lt;Units!$P89,0,IF(AND(Units!$K89=0,CS$1=Units!$O89),Units!$R89,IF(AND(CS$1&gt;=Units!$Q89,MOD(CS$1-Units!$Q89,12)=0),IF(AND(Units!$L89=1,CS$1=Units!$Q89),IF(Units!$J89&lt;&gt;"",Units!$J89,Mkt!CS90),Inputs!$B$15*Mkt!CS90+(1-Inputs!$B$15)*MIN(Mkt!CS90,CR90*(1+Inputs!$B$18))),CR90)))</f>
        <v>2754.91745855171</v>
      </c>
      <c r="CT90" s="11" t="n">
        <f aca="false">IF(CT$1&lt;Units!$P89,0,IF(AND(Units!$K89=0,CT$1=Units!$O89),Units!$R89,IF(AND(CT$1&gt;=Units!$Q89,MOD(CT$1-Units!$Q89,12)=0),IF(AND(Units!$L89=1,CT$1=Units!$Q89),IF(Units!$J89&lt;&gt;"",Units!$J89,Mkt!CT90),Inputs!$B$15*Mkt!CT90+(1-Inputs!$B$15)*MIN(Mkt!CT90,CS90*(1+Inputs!$B$18))),CS90)))</f>
        <v>2754.91745855171</v>
      </c>
      <c r="CU90" s="11" t="n">
        <f aca="false">IF(CU$1&lt;Units!$P89,0,IF(AND(Units!$K89=0,CU$1=Units!$O89),Units!$R89,IF(AND(CU$1&gt;=Units!$Q89,MOD(CU$1-Units!$Q89,12)=0),IF(AND(Units!$L89=1,CU$1=Units!$Q89),IF(Units!$J89&lt;&gt;"",Units!$J89,Mkt!CU90),Inputs!$B$15*Mkt!CU90+(1-Inputs!$B$15)*MIN(Mkt!CU90,CT90*(1+Inputs!$B$18))),CT90)))</f>
        <v>2754.91745855171</v>
      </c>
      <c r="CV90" s="11" t="n">
        <f aca="false">IF(CV$1&lt;Units!$P89,0,IF(AND(Units!$K89=0,CV$1=Units!$O89),Units!$R89,IF(AND(CV$1&gt;=Units!$Q89,MOD(CV$1-Units!$Q89,12)=0),IF(AND(Units!$L89=1,CV$1=Units!$Q89),IF(Units!$J89&lt;&gt;"",Units!$J89,Mkt!CV90),Inputs!$B$15*Mkt!CV90+(1-Inputs!$B$15)*MIN(Mkt!CV90,CU90*(1+Inputs!$B$18))),CU90)))</f>
        <v>2754.91745855171</v>
      </c>
      <c r="CW90" s="11" t="n">
        <f aca="false">IF(CW$1&lt;Units!$P89,0,IF(AND(Units!$K89=0,CW$1=Units!$O89),Units!$R89,IF(AND(CW$1&gt;=Units!$Q89,MOD(CW$1-Units!$Q89,12)=0),IF(AND(Units!$L89=1,CW$1=Units!$Q89),IF(Units!$J89&lt;&gt;"",Units!$J89,Mkt!CW90),Inputs!$B$15*Mkt!CW90+(1-Inputs!$B$15)*MIN(Mkt!CW90,CV90*(1+Inputs!$B$18))),CV90)))</f>
        <v>2754.91745855171</v>
      </c>
      <c r="CX90" s="11" t="n">
        <f aca="false">IF(CX$1&lt;Units!$P89,0,IF(AND(Units!$K89=0,CX$1=Units!$O89),Units!$R89,IF(AND(CX$1&gt;=Units!$Q89,MOD(CX$1-Units!$Q89,12)=0),IF(AND(Units!$L89=1,CX$1=Units!$Q89),IF(Units!$J89&lt;&gt;"",Units!$J89,Mkt!CX90),Inputs!$B$15*Mkt!CX90+(1-Inputs!$B$15)*MIN(Mkt!CX90,CW90*(1+Inputs!$B$18))),CW90)))</f>
        <v>2754.91745855171</v>
      </c>
      <c r="CY90" s="11" t="n">
        <f aca="false">IF(CY$1&lt;Units!$P89,0,IF(AND(Units!$K89=0,CY$1=Units!$O89),Units!$R89,IF(AND(CY$1&gt;=Units!$Q89,MOD(CY$1-Units!$Q89,12)=0),IF(AND(Units!$L89=1,CY$1=Units!$Q89),IF(Units!$J89&lt;&gt;"",Units!$J89,Mkt!CY90),Inputs!$B$15*Mkt!CY90+(1-Inputs!$B$15)*MIN(Mkt!CY90,CX90*(1+Inputs!$B$18))),CX90)))</f>
        <v>2754.91745855171</v>
      </c>
      <c r="CZ90" s="11" t="n">
        <f aca="false">IF(CZ$1&lt;Units!$P89,0,IF(AND(Units!$K89=0,CZ$1=Units!$O89),Units!$R89,IF(AND(CZ$1&gt;=Units!$Q89,MOD(CZ$1-Units!$Q89,12)=0),IF(AND(Units!$L89=1,CZ$1=Units!$Q89),IF(Units!$J89&lt;&gt;"",Units!$J89,Mkt!CZ90),Inputs!$B$15*Mkt!CZ90+(1-Inputs!$B$15)*MIN(Mkt!CZ90,CY90*(1+Inputs!$B$18))),CY90)))</f>
        <v>2754.91745855171</v>
      </c>
      <c r="DA90" s="11" t="n">
        <f aca="false">IF(DA$1&lt;Units!$P89,0,IF(AND(Units!$K89=0,DA$1=Units!$O89),Units!$R89,IF(AND(DA$1&gt;=Units!$Q89,MOD(DA$1-Units!$Q89,12)=0),IF(AND(Units!$L89=1,DA$1=Units!$Q89),IF(Units!$J89&lt;&gt;"",Units!$J89,Mkt!DA90),Inputs!$B$15*Mkt!DA90+(1-Inputs!$B$15)*MIN(Mkt!DA90,CZ90*(1+Inputs!$B$18))),CZ90)))</f>
        <v>2754.91745855171</v>
      </c>
      <c r="DB90" s="11" t="n">
        <f aca="false">IF(DB$1&lt;Units!$P89,0,IF(AND(Units!$K89=0,DB$1=Units!$O89),Units!$R89,IF(AND(DB$1&gt;=Units!$Q89,MOD(DB$1-Units!$Q89,12)=0),IF(AND(Units!$L89=1,DB$1=Units!$Q89),IF(Units!$J89&lt;&gt;"",Units!$J89,Mkt!DB90),Inputs!$B$15*Mkt!DB90+(1-Inputs!$B$15)*MIN(Mkt!DB90,DA90*(1+Inputs!$B$18))),DA90)))</f>
        <v>2837.56498230826</v>
      </c>
      <c r="DC90" s="11" t="n">
        <f aca="false">IF(DC$1&lt;Units!$P89,0,IF(AND(Units!$K89=0,DC$1=Units!$O89),Units!$R89,IF(AND(DC$1&gt;=Units!$Q89,MOD(DC$1-Units!$Q89,12)=0),IF(AND(Units!$L89=1,DC$1=Units!$Q89),IF(Units!$J89&lt;&gt;"",Units!$J89,Mkt!DC90),Inputs!$B$15*Mkt!DC90+(1-Inputs!$B$15)*MIN(Mkt!DC90,DB90*(1+Inputs!$B$18))),DB90)))</f>
        <v>2837.56498230826</v>
      </c>
      <c r="DD90" s="11" t="n">
        <f aca="false">IF(DD$1&lt;Units!$P89,0,IF(AND(Units!$K89=0,DD$1=Units!$O89),Units!$R89,IF(AND(DD$1&gt;=Units!$Q89,MOD(DD$1-Units!$Q89,12)=0),IF(AND(Units!$L89=1,DD$1=Units!$Q89),IF(Units!$J89&lt;&gt;"",Units!$J89,Mkt!DD90),Inputs!$B$15*Mkt!DD90+(1-Inputs!$B$15)*MIN(Mkt!DD90,DC90*(1+Inputs!$B$18))),DC90)))</f>
        <v>2837.56498230826</v>
      </c>
      <c r="DE90" s="11" t="n">
        <f aca="false">IF(DE$1&lt;Units!$P89,0,IF(AND(Units!$K89=0,DE$1=Units!$O89),Units!$R89,IF(AND(DE$1&gt;=Units!$Q89,MOD(DE$1-Units!$Q89,12)=0),IF(AND(Units!$L89=1,DE$1=Units!$Q89),IF(Units!$J89&lt;&gt;"",Units!$J89,Mkt!DE90),Inputs!$B$15*Mkt!DE90+(1-Inputs!$B$15)*MIN(Mkt!DE90,DD90*(1+Inputs!$B$18))),DD90)))</f>
        <v>2837.56498230826</v>
      </c>
      <c r="DF90" s="11" t="n">
        <f aca="false">IF(DF$1&lt;Units!$P89,0,IF(AND(Units!$K89=0,DF$1=Units!$O89),Units!$R89,IF(AND(DF$1&gt;=Units!$Q89,MOD(DF$1-Units!$Q89,12)=0),IF(AND(Units!$L89=1,DF$1=Units!$Q89),IF(Units!$J89&lt;&gt;"",Units!$J89,Mkt!DF90),Inputs!$B$15*Mkt!DF90+(1-Inputs!$B$15)*MIN(Mkt!DF90,DE90*(1+Inputs!$B$18))),DE90)))</f>
        <v>2837.56498230826</v>
      </c>
      <c r="DG90" s="11" t="n">
        <f aca="false">IF(DG$1&lt;Units!$P89,0,IF(AND(Units!$K89=0,DG$1=Units!$O89),Units!$R89,IF(AND(DG$1&gt;=Units!$Q89,MOD(DG$1-Units!$Q89,12)=0),IF(AND(Units!$L89=1,DG$1=Units!$Q89),IF(Units!$J89&lt;&gt;"",Units!$J89,Mkt!DG90),Inputs!$B$15*Mkt!DG90+(1-Inputs!$B$15)*MIN(Mkt!DG90,DF90*(1+Inputs!$B$18))),DF90)))</f>
        <v>2837.56498230826</v>
      </c>
      <c r="DH90" s="11" t="n">
        <f aca="false">IF(DH$1&lt;Units!$P89,0,IF(AND(Units!$K89=0,DH$1=Units!$O89),Units!$R89,IF(AND(DH$1&gt;=Units!$Q89,MOD(DH$1-Units!$Q89,12)=0),IF(AND(Units!$L89=1,DH$1=Units!$Q89),IF(Units!$J89&lt;&gt;"",Units!$J89,Mkt!DH90),Inputs!$B$15*Mkt!DH90+(1-Inputs!$B$15)*MIN(Mkt!DH90,DG90*(1+Inputs!$B$18))),DG90)))</f>
        <v>2837.56498230826</v>
      </c>
      <c r="DI90" s="11" t="n">
        <f aca="false">IF(DI$1&lt;Units!$P89,0,IF(AND(Units!$K89=0,DI$1=Units!$O89),Units!$R89,IF(AND(DI$1&gt;=Units!$Q89,MOD(DI$1-Units!$Q89,12)=0),IF(AND(Units!$L89=1,DI$1=Units!$Q89),IF(Units!$J89&lt;&gt;"",Units!$J89,Mkt!DI90),Inputs!$B$15*Mkt!DI90+(1-Inputs!$B$15)*MIN(Mkt!DI90,DH90*(1+Inputs!$B$18))),DH90)))</f>
        <v>2837.56498230826</v>
      </c>
      <c r="DJ90" s="11" t="n">
        <f aca="false">IF(DJ$1&lt;Units!$P89,0,IF(AND(Units!$K89=0,DJ$1=Units!$O89),Units!$R89,IF(AND(DJ$1&gt;=Units!$Q89,MOD(DJ$1-Units!$Q89,12)=0),IF(AND(Units!$L89=1,DJ$1=Units!$Q89),IF(Units!$J89&lt;&gt;"",Units!$J89,Mkt!DJ90),Inputs!$B$15*Mkt!DJ90+(1-Inputs!$B$15)*MIN(Mkt!DJ90,DI90*(1+Inputs!$B$18))),DI90)))</f>
        <v>2837.56498230826</v>
      </c>
      <c r="DK90" s="11" t="n">
        <f aca="false">IF(DK$1&lt;Units!$P89,0,IF(AND(Units!$K89=0,DK$1=Units!$O89),Units!$R89,IF(AND(DK$1&gt;=Units!$Q89,MOD(DK$1-Units!$Q89,12)=0),IF(AND(Units!$L89=1,DK$1=Units!$Q89),IF(Units!$J89&lt;&gt;"",Units!$J89,Mkt!DK90),Inputs!$B$15*Mkt!DK90+(1-Inputs!$B$15)*MIN(Mkt!DK90,DJ90*(1+Inputs!$B$18))),DJ90)))</f>
        <v>2837.56498230826</v>
      </c>
      <c r="DL90" s="11" t="n">
        <f aca="false">IF(DL$1&lt;Units!$P89,0,IF(AND(Units!$K89=0,DL$1=Units!$O89),Units!$R89,IF(AND(DL$1&gt;=Units!$Q89,MOD(DL$1-Units!$Q89,12)=0),IF(AND(Units!$L89=1,DL$1=Units!$Q89),IF(Units!$J89&lt;&gt;"",Units!$J89,Mkt!DL90),Inputs!$B$15*Mkt!DL90+(1-Inputs!$B$15)*MIN(Mkt!DL90,DK90*(1+Inputs!$B$18))),DK90)))</f>
        <v>2837.56498230826</v>
      </c>
      <c r="DM90" s="11" t="n">
        <f aca="false">IF(DM$1&lt;Units!$P89,0,IF(AND(Units!$K89=0,DM$1=Units!$O89),Units!$R89,IF(AND(DM$1&gt;=Units!$Q89,MOD(DM$1-Units!$Q89,12)=0),IF(AND(Units!$L89=1,DM$1=Units!$Q89),IF(Units!$J89&lt;&gt;"",Units!$J89,Mkt!DM90),Inputs!$B$15*Mkt!DM90+(1-Inputs!$B$15)*MIN(Mkt!DM90,DL90*(1+Inputs!$B$18))),DL90)))</f>
        <v>2837.56498230826</v>
      </c>
      <c r="DN90" s="11" t="n">
        <f aca="false">IF(DN$1&lt;Units!$P89,0,IF(AND(Units!$K89=0,DN$1=Units!$O89),Units!$R89,IF(AND(DN$1&gt;=Units!$Q89,MOD(DN$1-Units!$Q89,12)=0),IF(AND(Units!$L89=1,DN$1=Units!$Q89),IF(Units!$J89&lt;&gt;"",Units!$J89,Mkt!DN90),Inputs!$B$15*Mkt!DN90+(1-Inputs!$B$15)*MIN(Mkt!DN90,DM90*(1+Inputs!$B$18))),DM90)))</f>
        <v>2922.69193177751</v>
      </c>
      <c r="DO90" s="11" t="n">
        <f aca="false">IF(DO$1&lt;Units!$P89,0,IF(AND(Units!$K89=0,DO$1=Units!$O89),Units!$R89,IF(AND(DO$1&gt;=Units!$Q89,MOD(DO$1-Units!$Q89,12)=0),IF(AND(Units!$L89=1,DO$1=Units!$Q89),IF(Units!$J89&lt;&gt;"",Units!$J89,Mkt!DO90),Inputs!$B$15*Mkt!DO90+(1-Inputs!$B$15)*MIN(Mkt!DO90,DN90*(1+Inputs!$B$18))),DN90)))</f>
        <v>2922.69193177751</v>
      </c>
      <c r="DP90" s="11" t="n">
        <f aca="false">IF(DP$1&lt;Units!$P89,0,IF(AND(Units!$K89=0,DP$1=Units!$O89),Units!$R89,IF(AND(DP$1&gt;=Units!$Q89,MOD(DP$1-Units!$Q89,12)=0),IF(AND(Units!$L89=1,DP$1=Units!$Q89),IF(Units!$J89&lt;&gt;"",Units!$J89,Mkt!DP90),Inputs!$B$15*Mkt!DP90+(1-Inputs!$B$15)*MIN(Mkt!DP90,DO90*(1+Inputs!$B$18))),DO90)))</f>
        <v>2922.69193177751</v>
      </c>
      <c r="DQ90" s="11" t="n">
        <f aca="false">IF(DQ$1&lt;Units!$P89,0,IF(AND(Units!$K89=0,DQ$1=Units!$O89),Units!$R89,IF(AND(DQ$1&gt;=Units!$Q89,MOD(DQ$1-Units!$Q89,12)=0),IF(AND(Units!$L89=1,DQ$1=Units!$Q89),IF(Units!$J89&lt;&gt;"",Units!$J89,Mkt!DQ90),Inputs!$B$15*Mkt!DQ90+(1-Inputs!$B$15)*MIN(Mkt!DQ90,DP90*(1+Inputs!$B$18))),DP90)))</f>
        <v>2922.69193177751</v>
      </c>
      <c r="DR90" s="11" t="n">
        <f aca="false">IF(DR$1&lt;Units!$P89,0,IF(AND(Units!$K89=0,DR$1=Units!$O89),Units!$R89,IF(AND(DR$1&gt;=Units!$Q89,MOD(DR$1-Units!$Q89,12)=0),IF(AND(Units!$L89=1,DR$1=Units!$Q89),IF(Units!$J89&lt;&gt;"",Units!$J89,Mkt!DR90),Inputs!$B$15*Mkt!DR90+(1-Inputs!$B$15)*MIN(Mkt!DR90,DQ90*(1+Inputs!$B$18))),DQ90)))</f>
        <v>2922.69193177751</v>
      </c>
      <c r="DS90" s="11" t="n">
        <f aca="false">IF(DS$1&lt;Units!$P89,0,IF(AND(Units!$K89=0,DS$1=Units!$O89),Units!$R89,IF(AND(DS$1&gt;=Units!$Q89,MOD(DS$1-Units!$Q89,12)=0),IF(AND(Units!$L89=1,DS$1=Units!$Q89),IF(Units!$J89&lt;&gt;"",Units!$J89,Mkt!DS90),Inputs!$B$15*Mkt!DS90+(1-Inputs!$B$15)*MIN(Mkt!DS90,DR90*(1+Inputs!$B$18))),DR90)))</f>
        <v>2922.69193177751</v>
      </c>
      <c r="DT90" s="11" t="n">
        <f aca="false">IF(DT$1&lt;Units!$P89,0,IF(AND(Units!$K89=0,DT$1=Units!$O89),Units!$R89,IF(AND(DT$1&gt;=Units!$Q89,MOD(DT$1-Units!$Q89,12)=0),IF(AND(Units!$L89=1,DT$1=Units!$Q89),IF(Units!$J89&lt;&gt;"",Units!$J89,Mkt!DT90),Inputs!$B$15*Mkt!DT90+(1-Inputs!$B$15)*MIN(Mkt!DT90,DS90*(1+Inputs!$B$18))),DS90)))</f>
        <v>2922.69193177751</v>
      </c>
      <c r="DU90" s="11" t="n">
        <f aca="false">IF(DU$1&lt;Units!$P89,0,IF(AND(Units!$K89=0,DU$1=Units!$O89),Units!$R89,IF(AND(DU$1&gt;=Units!$Q89,MOD(DU$1-Units!$Q89,12)=0),IF(AND(Units!$L89=1,DU$1=Units!$Q89),IF(Units!$J89&lt;&gt;"",Units!$J89,Mkt!DU90),Inputs!$B$15*Mkt!DU90+(1-Inputs!$B$15)*MIN(Mkt!DU90,DT90*(1+Inputs!$B$18))),DT90)))</f>
        <v>2922.69193177751</v>
      </c>
      <c r="DV90" s="11" t="n">
        <f aca="false">IF(DV$1&lt;Units!$P89,0,IF(AND(Units!$K89=0,DV$1=Units!$O89),Units!$R89,IF(AND(DV$1&gt;=Units!$Q89,MOD(DV$1-Units!$Q89,12)=0),IF(AND(Units!$L89=1,DV$1=Units!$Q89),IF(Units!$J89&lt;&gt;"",Units!$J89,Mkt!DV90),Inputs!$B$15*Mkt!DV90+(1-Inputs!$B$15)*MIN(Mkt!DV90,DU90*(1+Inputs!$B$18))),DU90)))</f>
        <v>2922.69193177751</v>
      </c>
      <c r="DW90" s="11" t="n">
        <f aca="false">IF(DW$1&lt;Units!$P89,0,IF(AND(Units!$K89=0,DW$1=Units!$O89),Units!$R89,IF(AND(DW$1&gt;=Units!$Q89,MOD(DW$1-Units!$Q89,12)=0),IF(AND(Units!$L89=1,DW$1=Units!$Q89),IF(Units!$J89&lt;&gt;"",Units!$J89,Mkt!DW90),Inputs!$B$15*Mkt!DW90+(1-Inputs!$B$15)*MIN(Mkt!DW90,DV90*(1+Inputs!$B$18))),DV90)))</f>
        <v>2922.69193177751</v>
      </c>
      <c r="DX90" s="11" t="n">
        <f aca="false">IF(DX$1&lt;Units!$P89,0,IF(AND(Units!$K89=0,DX$1=Units!$O89),Units!$R89,IF(AND(DX$1&gt;=Units!$Q89,MOD(DX$1-Units!$Q89,12)=0),IF(AND(Units!$L89=1,DX$1=Units!$Q89),IF(Units!$J89&lt;&gt;"",Units!$J89,Mkt!DX90),Inputs!$B$15*Mkt!DX90+(1-Inputs!$B$15)*MIN(Mkt!DX90,DW90*(1+Inputs!$B$18))),DW90)))</f>
        <v>2922.69193177751</v>
      </c>
      <c r="DY90" s="11" t="n">
        <f aca="false">IF(DY$1&lt;Units!$P89,0,IF(AND(Units!$K89=0,DY$1=Units!$O89),Units!$R89,IF(AND(DY$1&gt;=Units!$Q89,MOD(DY$1-Units!$Q89,12)=0),IF(AND(Units!$L89=1,DY$1=Units!$Q89),IF(Units!$J89&lt;&gt;"",Units!$J89,Mkt!DY90),Inputs!$B$15*Mkt!DY90+(1-Inputs!$B$15)*MIN(Mkt!DY90,DX90*(1+Inputs!$B$18))),DX90)))</f>
        <v>2922.69193177751</v>
      </c>
      <c r="DZ90" s="11" t="n">
        <f aca="false">IF(DZ$1&lt;Units!$P89,0,IF(AND(Units!$K89=0,DZ$1=Units!$O89),Units!$R89,IF(AND(DZ$1&gt;=Units!$Q89,MOD(DZ$1-Units!$Q89,12)=0),IF(AND(Units!$L89=1,DZ$1=Units!$Q89),IF(Units!$J89&lt;&gt;"",Units!$J89,Mkt!DZ90),Inputs!$B$15*Mkt!DZ90+(1-Inputs!$B$15)*MIN(Mkt!DZ90,DY90*(1+Inputs!$B$18))),DY90)))</f>
        <v>3010.37268973083</v>
      </c>
      <c r="EA90" s="11" t="n">
        <f aca="false">IF(EA$1&lt;Units!$P89,0,IF(AND(Units!$K89=0,EA$1=Units!$O89),Units!$R89,IF(AND(EA$1&gt;=Units!$Q89,MOD(EA$1-Units!$Q89,12)=0),IF(AND(Units!$L89=1,EA$1=Units!$Q89),IF(Units!$J89&lt;&gt;"",Units!$J89,Mkt!EA90),Inputs!$B$15*Mkt!EA90+(1-Inputs!$B$15)*MIN(Mkt!EA90,DZ90*(1+Inputs!$B$18))),DZ90)))</f>
        <v>3010.37268973083</v>
      </c>
      <c r="EB90" s="11" t="n">
        <f aca="false">IF(EB$1&lt;Units!$P89,0,IF(AND(Units!$K89=0,EB$1=Units!$O89),Units!$R89,IF(AND(EB$1&gt;=Units!$Q89,MOD(EB$1-Units!$Q89,12)=0),IF(AND(Units!$L89=1,EB$1=Units!$Q89),IF(Units!$J89&lt;&gt;"",Units!$J89,Mkt!EB90),Inputs!$B$15*Mkt!EB90+(1-Inputs!$B$15)*MIN(Mkt!EB90,EA90*(1+Inputs!$B$18))),EA90)))</f>
        <v>3010.37268973083</v>
      </c>
      <c r="EC90" s="11" t="n">
        <f aca="false">IF(EC$1&lt;Units!$P89,0,IF(AND(Units!$K89=0,EC$1=Units!$O89),Units!$R89,IF(AND(EC$1&gt;=Units!$Q89,MOD(EC$1-Units!$Q89,12)=0),IF(AND(Units!$L89=1,EC$1=Units!$Q89),IF(Units!$J89&lt;&gt;"",Units!$J89,Mkt!EC90),Inputs!$B$15*Mkt!EC90+(1-Inputs!$B$15)*MIN(Mkt!EC90,EB90*(1+Inputs!$B$18))),EB90)))</f>
        <v>3010.37268973083</v>
      </c>
      <c r="ED90" s="11" t="n">
        <f aca="false">IF(ED$1&lt;Units!$P89,0,IF(AND(Units!$K89=0,ED$1=Units!$O89),Units!$R89,IF(AND(ED$1&gt;=Units!$Q89,MOD(ED$1-Units!$Q89,12)=0),IF(AND(Units!$L89=1,ED$1=Units!$Q89),IF(Units!$J89&lt;&gt;"",Units!$J89,Mkt!ED90),Inputs!$B$15*Mkt!ED90+(1-Inputs!$B$15)*MIN(Mkt!ED90,EC90*(1+Inputs!$B$18))),EC90)))</f>
        <v>3010.37268973083</v>
      </c>
    </row>
    <row r="91" customFormat="false" ht="15" hidden="false" customHeight="false" outlineLevel="0" collapsed="false">
      <c r="A91" s="22" t="n">
        <f aca="false">Units!A90</f>
        <v>329</v>
      </c>
      <c r="B91" s="24" t="n">
        <f aca="false">IF(Units!K90=1,Units!F90,0)</f>
        <v>2275</v>
      </c>
      <c r="C91" s="11" t="n">
        <f aca="false">IF(C$1&lt;Units!$P90,0,IF(AND(Units!$K90=0,C$1=Units!$O90),Units!$R90,IF(AND(C$1&gt;=Units!$Q90,MOD(C$1-Units!$Q90,12)=0),IF(AND(Units!$L90=1,C$1=Units!$Q90),IF(Units!$J90&lt;&gt;"",Units!$J90,Mkt!C91),Inputs!$B$15*Mkt!C91+(1-Inputs!$B$15)*MIN(Mkt!C91,B91*(1+Inputs!$B$18))),B91)))</f>
        <v>2275</v>
      </c>
      <c r="D91" s="11" t="n">
        <f aca="false">IF(D$1&lt;Units!$P90,0,IF(AND(Units!$K90=0,D$1=Units!$O90),Units!$R90,IF(AND(D$1&gt;=Units!$Q90,MOD(D$1-Units!$Q90,12)=0),IF(AND(Units!$L90=1,D$1=Units!$Q90),IF(Units!$J90&lt;&gt;"",Units!$J90,Mkt!D91),Inputs!$B$15*Mkt!D91+(1-Inputs!$B$15)*MIN(Mkt!D91,C91*(1+Inputs!$B$18))),C91)))</f>
        <v>2275</v>
      </c>
      <c r="E91" s="11" t="n">
        <f aca="false">IF(E$1&lt;Units!$P90,0,IF(AND(Units!$K90=0,E$1=Units!$O90),Units!$R90,IF(AND(E$1&gt;=Units!$Q90,MOD(E$1-Units!$Q90,12)=0),IF(AND(Units!$L90=1,E$1=Units!$Q90),IF(Units!$J90&lt;&gt;"",Units!$J90,Mkt!E91),Inputs!$B$15*Mkt!E91+(1-Inputs!$B$15)*MIN(Mkt!E91,D91*(1+Inputs!$B$18))),D91)))</f>
        <v>2275</v>
      </c>
      <c r="F91" s="11" t="n">
        <f aca="false">IF(F$1&lt;Units!$P90,0,IF(AND(Units!$K90=0,F$1=Units!$O90),Units!$R90,IF(AND(F$1&gt;=Units!$Q90,MOD(F$1-Units!$Q90,12)=0),IF(AND(Units!$L90=1,F$1=Units!$Q90),IF(Units!$J90&lt;&gt;"",Units!$J90,Mkt!F91),Inputs!$B$15*Mkt!F91+(1-Inputs!$B$15)*MIN(Mkt!F91,E91*(1+Inputs!$B$18))),E91)))</f>
        <v>2275</v>
      </c>
      <c r="G91" s="11" t="n">
        <f aca="false">IF(G$1&lt;Units!$P90,0,IF(AND(Units!$K90=0,G$1=Units!$O90),Units!$R90,IF(AND(G$1&gt;=Units!$Q90,MOD(G$1-Units!$Q90,12)=0),IF(AND(Units!$L90=1,G$1=Units!$Q90),IF(Units!$J90&lt;&gt;"",Units!$J90,Mkt!G91),Inputs!$B$15*Mkt!G91+(1-Inputs!$B$15)*MIN(Mkt!G91,F91*(1+Inputs!$B$18))),F91)))</f>
        <v>2275</v>
      </c>
      <c r="H91" s="11" t="n">
        <f aca="false">IF(H$1&lt;Units!$P90,0,IF(AND(Units!$K90=0,H$1=Units!$O90),Units!$R90,IF(AND(H$1&gt;=Units!$Q90,MOD(H$1-Units!$Q90,12)=0),IF(AND(Units!$L90=1,H$1=Units!$Q90),IF(Units!$J90&lt;&gt;"",Units!$J90,Mkt!H91),Inputs!$B$15*Mkt!H91+(1-Inputs!$B$15)*MIN(Mkt!H91,G91*(1+Inputs!$B$18))),G91)))</f>
        <v>2275</v>
      </c>
      <c r="I91" s="11" t="n">
        <f aca="false">IF(I$1&lt;Units!$P90,0,IF(AND(Units!$K90=0,I$1=Units!$O90),Units!$R90,IF(AND(I$1&gt;=Units!$Q90,MOD(I$1-Units!$Q90,12)=0),IF(AND(Units!$L90=1,I$1=Units!$Q90),IF(Units!$J90&lt;&gt;"",Units!$J90,Mkt!I91),Inputs!$B$15*Mkt!I91+(1-Inputs!$B$15)*MIN(Mkt!I91,H91*(1+Inputs!$B$18))),H91)))</f>
        <v>2240</v>
      </c>
      <c r="J91" s="11" t="n">
        <f aca="false">IF(J$1&lt;Units!$P90,0,IF(AND(Units!$K90=0,J$1=Units!$O90),Units!$R90,IF(AND(J$1&gt;=Units!$Q90,MOD(J$1-Units!$Q90,12)=0),IF(AND(Units!$L90=1,J$1=Units!$Q90),IF(Units!$J90&lt;&gt;"",Units!$J90,Mkt!J91),Inputs!$B$15*Mkt!J91+(1-Inputs!$B$15)*MIN(Mkt!J91,I91*(1+Inputs!$B$18))),I91)))</f>
        <v>2240</v>
      </c>
      <c r="K91" s="11" t="n">
        <f aca="false">IF(K$1&lt;Units!$P90,0,IF(AND(Units!$K90=0,K$1=Units!$O90),Units!$R90,IF(AND(K$1&gt;=Units!$Q90,MOD(K$1-Units!$Q90,12)=0),IF(AND(Units!$L90=1,K$1=Units!$Q90),IF(Units!$J90&lt;&gt;"",Units!$J90,Mkt!K91),Inputs!$B$15*Mkt!K91+(1-Inputs!$B$15)*MIN(Mkt!K91,J91*(1+Inputs!$B$18))),J91)))</f>
        <v>2240</v>
      </c>
      <c r="L91" s="11" t="n">
        <f aca="false">IF(L$1&lt;Units!$P90,0,IF(AND(Units!$K90=0,L$1=Units!$O90),Units!$R90,IF(AND(L$1&gt;=Units!$Q90,MOD(L$1-Units!$Q90,12)=0),IF(AND(Units!$L90=1,L$1=Units!$Q90),IF(Units!$J90&lt;&gt;"",Units!$J90,Mkt!L91),Inputs!$B$15*Mkt!L91+(1-Inputs!$B$15)*MIN(Mkt!L91,K91*(1+Inputs!$B$18))),K91)))</f>
        <v>2240</v>
      </c>
      <c r="M91" s="11" t="n">
        <f aca="false">IF(M$1&lt;Units!$P90,0,IF(AND(Units!$K90=0,M$1=Units!$O90),Units!$R90,IF(AND(M$1&gt;=Units!$Q90,MOD(M$1-Units!$Q90,12)=0),IF(AND(Units!$L90=1,M$1=Units!$Q90),IF(Units!$J90&lt;&gt;"",Units!$J90,Mkt!M91),Inputs!$B$15*Mkt!M91+(1-Inputs!$B$15)*MIN(Mkt!M91,L91*(1+Inputs!$B$18))),L91)))</f>
        <v>2240</v>
      </c>
      <c r="N91" s="11" t="n">
        <f aca="false">IF(N$1&lt;Units!$P90,0,IF(AND(Units!$K90=0,N$1=Units!$O90),Units!$R90,IF(AND(N$1&gt;=Units!$Q90,MOD(N$1-Units!$Q90,12)=0),IF(AND(Units!$L90=1,N$1=Units!$Q90),IF(Units!$J90&lt;&gt;"",Units!$J90,Mkt!N91),Inputs!$B$15*Mkt!N91+(1-Inputs!$B$15)*MIN(Mkt!N91,M91*(1+Inputs!$B$18))),M91)))</f>
        <v>2240</v>
      </c>
      <c r="O91" s="11" t="n">
        <f aca="false">IF(O$1&lt;Units!$P90,0,IF(AND(Units!$K90=0,O$1=Units!$O90),Units!$R90,IF(AND(O$1&gt;=Units!$Q90,MOD(O$1-Units!$Q90,12)=0),IF(AND(Units!$L90=1,O$1=Units!$Q90),IF(Units!$J90&lt;&gt;"",Units!$J90,Mkt!O91),Inputs!$B$15*Mkt!O91+(1-Inputs!$B$15)*MIN(Mkt!O91,N91*(1+Inputs!$B$18))),N91)))</f>
        <v>2240</v>
      </c>
      <c r="P91" s="11" t="n">
        <f aca="false">IF(P$1&lt;Units!$P90,0,IF(AND(Units!$K90=0,P$1=Units!$O90),Units!$R90,IF(AND(P$1&gt;=Units!$Q90,MOD(P$1-Units!$Q90,12)=0),IF(AND(Units!$L90=1,P$1=Units!$Q90),IF(Units!$J90&lt;&gt;"",Units!$J90,Mkt!P91),Inputs!$B$15*Mkt!P91+(1-Inputs!$B$15)*MIN(Mkt!P91,O91*(1+Inputs!$B$18))),O91)))</f>
        <v>2240</v>
      </c>
      <c r="Q91" s="11" t="n">
        <f aca="false">IF(Q$1&lt;Units!$P90,0,IF(AND(Units!$K90=0,Q$1=Units!$O90),Units!$R90,IF(AND(Q$1&gt;=Units!$Q90,MOD(Q$1-Units!$Q90,12)=0),IF(AND(Units!$L90=1,Q$1=Units!$Q90),IF(Units!$J90&lt;&gt;"",Units!$J90,Mkt!Q91),Inputs!$B$15*Mkt!Q91+(1-Inputs!$B$15)*MIN(Mkt!Q91,P91*(1+Inputs!$B$18))),P91)))</f>
        <v>2240</v>
      </c>
      <c r="R91" s="11" t="n">
        <f aca="false">IF(R$1&lt;Units!$P90,0,IF(AND(Units!$K90=0,R$1=Units!$O90),Units!$R90,IF(AND(R$1&gt;=Units!$Q90,MOD(R$1-Units!$Q90,12)=0),IF(AND(Units!$L90=1,R$1=Units!$Q90),IF(Units!$J90&lt;&gt;"",Units!$J90,Mkt!R91),Inputs!$B$15*Mkt!R91+(1-Inputs!$B$15)*MIN(Mkt!R91,Q91*(1+Inputs!$B$18))),Q91)))</f>
        <v>2240</v>
      </c>
      <c r="S91" s="11" t="n">
        <f aca="false">IF(S$1&lt;Units!$P90,0,IF(AND(Units!$K90=0,S$1=Units!$O90),Units!$R90,IF(AND(S$1&gt;=Units!$Q90,MOD(S$1-Units!$Q90,12)=0),IF(AND(Units!$L90=1,S$1=Units!$Q90),IF(Units!$J90&lt;&gt;"",Units!$J90,Mkt!S91),Inputs!$B$15*Mkt!S91+(1-Inputs!$B$15)*MIN(Mkt!S91,R91*(1+Inputs!$B$18))),R91)))</f>
        <v>2240</v>
      </c>
      <c r="T91" s="11" t="n">
        <f aca="false">IF(T$1&lt;Units!$P90,0,IF(AND(Units!$K90=0,T$1=Units!$O90),Units!$R90,IF(AND(T$1&gt;=Units!$Q90,MOD(T$1-Units!$Q90,12)=0),IF(AND(Units!$L90=1,T$1=Units!$Q90),IF(Units!$J90&lt;&gt;"",Units!$J90,Mkt!T91),Inputs!$B$15*Mkt!T91+(1-Inputs!$B$15)*MIN(Mkt!T91,S91*(1+Inputs!$B$18))),S91)))</f>
        <v>2240</v>
      </c>
      <c r="U91" s="11" t="n">
        <f aca="false">IF(U$1&lt;Units!$P90,0,IF(AND(Units!$K90=0,U$1=Units!$O90),Units!$R90,IF(AND(U$1&gt;=Units!$Q90,MOD(U$1-Units!$Q90,12)=0),IF(AND(Units!$L90=1,U$1=Units!$Q90),IF(Units!$J90&lt;&gt;"",Units!$J90,Mkt!U91),Inputs!$B$15*Mkt!U91+(1-Inputs!$B$15)*MIN(Mkt!U91,T91*(1+Inputs!$B$18))),T91)))</f>
        <v>2307.2</v>
      </c>
      <c r="V91" s="11" t="n">
        <f aca="false">IF(V$1&lt;Units!$P90,0,IF(AND(Units!$K90=0,V$1=Units!$O90),Units!$R90,IF(AND(V$1&gt;=Units!$Q90,MOD(V$1-Units!$Q90,12)=0),IF(AND(Units!$L90=1,V$1=Units!$Q90),IF(Units!$J90&lt;&gt;"",Units!$J90,Mkt!V91),Inputs!$B$15*Mkt!V91+(1-Inputs!$B$15)*MIN(Mkt!V91,U91*(1+Inputs!$B$18))),U91)))</f>
        <v>2307.2</v>
      </c>
      <c r="W91" s="11" t="n">
        <f aca="false">IF(W$1&lt;Units!$P90,0,IF(AND(Units!$K90=0,W$1=Units!$O90),Units!$R90,IF(AND(W$1&gt;=Units!$Q90,MOD(W$1-Units!$Q90,12)=0),IF(AND(Units!$L90=1,W$1=Units!$Q90),IF(Units!$J90&lt;&gt;"",Units!$J90,Mkt!W91),Inputs!$B$15*Mkt!W91+(1-Inputs!$B$15)*MIN(Mkt!W91,V91*(1+Inputs!$B$18))),V91)))</f>
        <v>2307.2</v>
      </c>
      <c r="X91" s="11" t="n">
        <f aca="false">IF(X$1&lt;Units!$P90,0,IF(AND(Units!$K90=0,X$1=Units!$O90),Units!$R90,IF(AND(X$1&gt;=Units!$Q90,MOD(X$1-Units!$Q90,12)=0),IF(AND(Units!$L90=1,X$1=Units!$Q90),IF(Units!$J90&lt;&gt;"",Units!$J90,Mkt!X91),Inputs!$B$15*Mkt!X91+(1-Inputs!$B$15)*MIN(Mkt!X91,W91*(1+Inputs!$B$18))),W91)))</f>
        <v>2307.2</v>
      </c>
      <c r="Y91" s="11" t="n">
        <f aca="false">IF(Y$1&lt;Units!$P90,0,IF(AND(Units!$K90=0,Y$1=Units!$O90),Units!$R90,IF(AND(Y$1&gt;=Units!$Q90,MOD(Y$1-Units!$Q90,12)=0),IF(AND(Units!$L90=1,Y$1=Units!$Q90),IF(Units!$J90&lt;&gt;"",Units!$J90,Mkt!Y91),Inputs!$B$15*Mkt!Y91+(1-Inputs!$B$15)*MIN(Mkt!Y91,X91*(1+Inputs!$B$18))),X91)))</f>
        <v>2307.2</v>
      </c>
      <c r="Z91" s="11" t="n">
        <f aca="false">IF(Z$1&lt;Units!$P90,0,IF(AND(Units!$K90=0,Z$1=Units!$O90),Units!$R90,IF(AND(Z$1&gt;=Units!$Q90,MOD(Z$1-Units!$Q90,12)=0),IF(AND(Units!$L90=1,Z$1=Units!$Q90),IF(Units!$J90&lt;&gt;"",Units!$J90,Mkt!Z91),Inputs!$B$15*Mkt!Z91+(1-Inputs!$B$15)*MIN(Mkt!Z91,Y91*(1+Inputs!$B$18))),Y91)))</f>
        <v>2307.2</v>
      </c>
      <c r="AA91" s="11" t="n">
        <f aca="false">IF(AA$1&lt;Units!$P90,0,IF(AND(Units!$K90=0,AA$1=Units!$O90),Units!$R90,IF(AND(AA$1&gt;=Units!$Q90,MOD(AA$1-Units!$Q90,12)=0),IF(AND(Units!$L90=1,AA$1=Units!$Q90),IF(Units!$J90&lt;&gt;"",Units!$J90,Mkt!AA91),Inputs!$B$15*Mkt!AA91+(1-Inputs!$B$15)*MIN(Mkt!AA91,Z91*(1+Inputs!$B$18))),Z91)))</f>
        <v>2307.2</v>
      </c>
      <c r="AB91" s="11" t="n">
        <f aca="false">IF(AB$1&lt;Units!$P90,0,IF(AND(Units!$K90=0,AB$1=Units!$O90),Units!$R90,IF(AND(AB$1&gt;=Units!$Q90,MOD(AB$1-Units!$Q90,12)=0),IF(AND(Units!$L90=1,AB$1=Units!$Q90),IF(Units!$J90&lt;&gt;"",Units!$J90,Mkt!AB91),Inputs!$B$15*Mkt!AB91+(1-Inputs!$B$15)*MIN(Mkt!AB91,AA91*(1+Inputs!$B$18))),AA91)))</f>
        <v>2307.2</v>
      </c>
      <c r="AC91" s="11" t="n">
        <f aca="false">IF(AC$1&lt;Units!$P90,0,IF(AND(Units!$K90=0,AC$1=Units!$O90),Units!$R90,IF(AND(AC$1&gt;=Units!$Q90,MOD(AC$1-Units!$Q90,12)=0),IF(AND(Units!$L90=1,AC$1=Units!$Q90),IF(Units!$J90&lt;&gt;"",Units!$J90,Mkt!AC91),Inputs!$B$15*Mkt!AC91+(1-Inputs!$B$15)*MIN(Mkt!AC91,AB91*(1+Inputs!$B$18))),AB91)))</f>
        <v>2307.2</v>
      </c>
      <c r="AD91" s="11" t="n">
        <f aca="false">IF(AD$1&lt;Units!$P90,0,IF(AND(Units!$K90=0,AD$1=Units!$O90),Units!$R90,IF(AND(AD$1&gt;=Units!$Q90,MOD(AD$1-Units!$Q90,12)=0),IF(AND(Units!$L90=1,AD$1=Units!$Q90),IF(Units!$J90&lt;&gt;"",Units!$J90,Mkt!AD91),Inputs!$B$15*Mkt!AD91+(1-Inputs!$B$15)*MIN(Mkt!AD91,AC91*(1+Inputs!$B$18))),AC91)))</f>
        <v>2307.2</v>
      </c>
      <c r="AE91" s="11" t="n">
        <f aca="false">IF(AE$1&lt;Units!$P90,0,IF(AND(Units!$K90=0,AE$1=Units!$O90),Units!$R90,IF(AND(AE$1&gt;=Units!$Q90,MOD(AE$1-Units!$Q90,12)=0),IF(AND(Units!$L90=1,AE$1=Units!$Q90),IF(Units!$J90&lt;&gt;"",Units!$J90,Mkt!AE91),Inputs!$B$15*Mkt!AE91+(1-Inputs!$B$15)*MIN(Mkt!AE91,AD91*(1+Inputs!$B$18))),AD91)))</f>
        <v>2307.2</v>
      </c>
      <c r="AF91" s="11" t="n">
        <f aca="false">IF(AF$1&lt;Units!$P90,0,IF(AND(Units!$K90=0,AF$1=Units!$O90),Units!$R90,IF(AND(AF$1&gt;=Units!$Q90,MOD(AF$1-Units!$Q90,12)=0),IF(AND(Units!$L90=1,AF$1=Units!$Q90),IF(Units!$J90&lt;&gt;"",Units!$J90,Mkt!AF91),Inputs!$B$15*Mkt!AF91+(1-Inputs!$B$15)*MIN(Mkt!AF91,AE91*(1+Inputs!$B$18))),AE91)))</f>
        <v>2307.2</v>
      </c>
      <c r="AG91" s="11" t="n">
        <f aca="false">IF(AG$1&lt;Units!$P90,0,IF(AND(Units!$K90=0,AG$1=Units!$O90),Units!$R90,IF(AND(AG$1&gt;=Units!$Q90,MOD(AG$1-Units!$Q90,12)=0),IF(AND(Units!$L90=1,AG$1=Units!$Q90),IF(Units!$J90&lt;&gt;"",Units!$J90,Mkt!AG91),Inputs!$B$15*Mkt!AG91+(1-Inputs!$B$15)*MIN(Mkt!AG91,AF91*(1+Inputs!$B$18))),AF91)))</f>
        <v>2376.416</v>
      </c>
      <c r="AH91" s="11" t="n">
        <f aca="false">IF(AH$1&lt;Units!$P90,0,IF(AND(Units!$K90=0,AH$1=Units!$O90),Units!$R90,IF(AND(AH$1&gt;=Units!$Q90,MOD(AH$1-Units!$Q90,12)=0),IF(AND(Units!$L90=1,AH$1=Units!$Q90),IF(Units!$J90&lt;&gt;"",Units!$J90,Mkt!AH91),Inputs!$B$15*Mkt!AH91+(1-Inputs!$B$15)*MIN(Mkt!AH91,AG91*(1+Inputs!$B$18))),AG91)))</f>
        <v>2376.416</v>
      </c>
      <c r="AI91" s="11" t="n">
        <f aca="false">IF(AI$1&lt;Units!$P90,0,IF(AND(Units!$K90=0,AI$1=Units!$O90),Units!$R90,IF(AND(AI$1&gt;=Units!$Q90,MOD(AI$1-Units!$Q90,12)=0),IF(AND(Units!$L90=1,AI$1=Units!$Q90),IF(Units!$J90&lt;&gt;"",Units!$J90,Mkt!AI91),Inputs!$B$15*Mkt!AI91+(1-Inputs!$B$15)*MIN(Mkt!AI91,AH91*(1+Inputs!$B$18))),AH91)))</f>
        <v>2376.416</v>
      </c>
      <c r="AJ91" s="11" t="n">
        <f aca="false">IF(AJ$1&lt;Units!$P90,0,IF(AND(Units!$K90=0,AJ$1=Units!$O90),Units!$R90,IF(AND(AJ$1&gt;=Units!$Q90,MOD(AJ$1-Units!$Q90,12)=0),IF(AND(Units!$L90=1,AJ$1=Units!$Q90),IF(Units!$J90&lt;&gt;"",Units!$J90,Mkt!AJ91),Inputs!$B$15*Mkt!AJ91+(1-Inputs!$B$15)*MIN(Mkt!AJ91,AI91*(1+Inputs!$B$18))),AI91)))</f>
        <v>2376.416</v>
      </c>
      <c r="AK91" s="11" t="n">
        <f aca="false">IF(AK$1&lt;Units!$P90,0,IF(AND(Units!$K90=0,AK$1=Units!$O90),Units!$R90,IF(AND(AK$1&gt;=Units!$Q90,MOD(AK$1-Units!$Q90,12)=0),IF(AND(Units!$L90=1,AK$1=Units!$Q90),IF(Units!$J90&lt;&gt;"",Units!$J90,Mkt!AK91),Inputs!$B$15*Mkt!AK91+(1-Inputs!$B$15)*MIN(Mkt!AK91,AJ91*(1+Inputs!$B$18))),AJ91)))</f>
        <v>2376.416</v>
      </c>
      <c r="AL91" s="11" t="n">
        <f aca="false">IF(AL$1&lt;Units!$P90,0,IF(AND(Units!$K90=0,AL$1=Units!$O90),Units!$R90,IF(AND(AL$1&gt;=Units!$Q90,MOD(AL$1-Units!$Q90,12)=0),IF(AND(Units!$L90=1,AL$1=Units!$Q90),IF(Units!$J90&lt;&gt;"",Units!$J90,Mkt!AL91),Inputs!$B$15*Mkt!AL91+(1-Inputs!$B$15)*MIN(Mkt!AL91,AK91*(1+Inputs!$B$18))),AK91)))</f>
        <v>2376.416</v>
      </c>
      <c r="AM91" s="11" t="n">
        <f aca="false">IF(AM$1&lt;Units!$P90,0,IF(AND(Units!$K90=0,AM$1=Units!$O90),Units!$R90,IF(AND(AM$1&gt;=Units!$Q90,MOD(AM$1-Units!$Q90,12)=0),IF(AND(Units!$L90=1,AM$1=Units!$Q90),IF(Units!$J90&lt;&gt;"",Units!$J90,Mkt!AM91),Inputs!$B$15*Mkt!AM91+(1-Inputs!$B$15)*MIN(Mkt!AM91,AL91*(1+Inputs!$B$18))),AL91)))</f>
        <v>2376.416</v>
      </c>
      <c r="AN91" s="11" t="n">
        <f aca="false">IF(AN$1&lt;Units!$P90,0,IF(AND(Units!$K90=0,AN$1=Units!$O90),Units!$R90,IF(AND(AN$1&gt;=Units!$Q90,MOD(AN$1-Units!$Q90,12)=0),IF(AND(Units!$L90=1,AN$1=Units!$Q90),IF(Units!$J90&lt;&gt;"",Units!$J90,Mkt!AN91),Inputs!$B$15*Mkt!AN91+(1-Inputs!$B$15)*MIN(Mkt!AN91,AM91*(1+Inputs!$B$18))),AM91)))</f>
        <v>2376.416</v>
      </c>
      <c r="AO91" s="11" t="n">
        <f aca="false">IF(AO$1&lt;Units!$P90,0,IF(AND(Units!$K90=0,AO$1=Units!$O90),Units!$R90,IF(AND(AO$1&gt;=Units!$Q90,MOD(AO$1-Units!$Q90,12)=0),IF(AND(Units!$L90=1,AO$1=Units!$Q90),IF(Units!$J90&lt;&gt;"",Units!$J90,Mkt!AO91),Inputs!$B$15*Mkt!AO91+(1-Inputs!$B$15)*MIN(Mkt!AO91,AN91*(1+Inputs!$B$18))),AN91)))</f>
        <v>2376.416</v>
      </c>
      <c r="AP91" s="11" t="n">
        <f aca="false">IF(AP$1&lt;Units!$P90,0,IF(AND(Units!$K90=0,AP$1=Units!$O90),Units!$R90,IF(AND(AP$1&gt;=Units!$Q90,MOD(AP$1-Units!$Q90,12)=0),IF(AND(Units!$L90=1,AP$1=Units!$Q90),IF(Units!$J90&lt;&gt;"",Units!$J90,Mkt!AP91),Inputs!$B$15*Mkt!AP91+(1-Inputs!$B$15)*MIN(Mkt!AP91,AO91*(1+Inputs!$B$18))),AO91)))</f>
        <v>2376.416</v>
      </c>
      <c r="AQ91" s="11" t="n">
        <f aca="false">IF(AQ$1&lt;Units!$P90,0,IF(AND(Units!$K90=0,AQ$1=Units!$O90),Units!$R90,IF(AND(AQ$1&gt;=Units!$Q90,MOD(AQ$1-Units!$Q90,12)=0),IF(AND(Units!$L90=1,AQ$1=Units!$Q90),IF(Units!$J90&lt;&gt;"",Units!$J90,Mkt!AQ91),Inputs!$B$15*Mkt!AQ91+(1-Inputs!$B$15)*MIN(Mkt!AQ91,AP91*(1+Inputs!$B$18))),AP91)))</f>
        <v>2376.416</v>
      </c>
      <c r="AR91" s="11" t="n">
        <f aca="false">IF(AR$1&lt;Units!$P90,0,IF(AND(Units!$K90=0,AR$1=Units!$O90),Units!$R90,IF(AND(AR$1&gt;=Units!$Q90,MOD(AR$1-Units!$Q90,12)=0),IF(AND(Units!$L90=1,AR$1=Units!$Q90),IF(Units!$J90&lt;&gt;"",Units!$J90,Mkt!AR91),Inputs!$B$15*Mkt!AR91+(1-Inputs!$B$15)*MIN(Mkt!AR91,AQ91*(1+Inputs!$B$18))),AQ91)))</f>
        <v>2376.416</v>
      </c>
      <c r="AS91" s="11" t="n">
        <f aca="false">IF(AS$1&lt;Units!$P90,0,IF(AND(Units!$K90=0,AS$1=Units!$O90),Units!$R90,IF(AND(AS$1&gt;=Units!$Q90,MOD(AS$1-Units!$Q90,12)=0),IF(AND(Units!$L90=1,AS$1=Units!$Q90),IF(Units!$J90&lt;&gt;"",Units!$J90,Mkt!AS91),Inputs!$B$15*Mkt!AS91+(1-Inputs!$B$15)*MIN(Mkt!AS91,AR91*(1+Inputs!$B$18))),AR91)))</f>
        <v>2447.70848</v>
      </c>
      <c r="AT91" s="11" t="n">
        <f aca="false">IF(AT$1&lt;Units!$P90,0,IF(AND(Units!$K90=0,AT$1=Units!$O90),Units!$R90,IF(AND(AT$1&gt;=Units!$Q90,MOD(AT$1-Units!$Q90,12)=0),IF(AND(Units!$L90=1,AT$1=Units!$Q90),IF(Units!$J90&lt;&gt;"",Units!$J90,Mkt!AT91),Inputs!$B$15*Mkt!AT91+(1-Inputs!$B$15)*MIN(Mkt!AT91,AS91*(1+Inputs!$B$18))),AS91)))</f>
        <v>2447.70848</v>
      </c>
      <c r="AU91" s="11" t="n">
        <f aca="false">IF(AU$1&lt;Units!$P90,0,IF(AND(Units!$K90=0,AU$1=Units!$O90),Units!$R90,IF(AND(AU$1&gt;=Units!$Q90,MOD(AU$1-Units!$Q90,12)=0),IF(AND(Units!$L90=1,AU$1=Units!$Q90),IF(Units!$J90&lt;&gt;"",Units!$J90,Mkt!AU91),Inputs!$B$15*Mkt!AU91+(1-Inputs!$B$15)*MIN(Mkt!AU91,AT91*(1+Inputs!$B$18))),AT91)))</f>
        <v>2447.70848</v>
      </c>
      <c r="AV91" s="11" t="n">
        <f aca="false">IF(AV$1&lt;Units!$P90,0,IF(AND(Units!$K90=0,AV$1=Units!$O90),Units!$R90,IF(AND(AV$1&gt;=Units!$Q90,MOD(AV$1-Units!$Q90,12)=0),IF(AND(Units!$L90=1,AV$1=Units!$Q90),IF(Units!$J90&lt;&gt;"",Units!$J90,Mkt!AV91),Inputs!$B$15*Mkt!AV91+(1-Inputs!$B$15)*MIN(Mkt!AV91,AU91*(1+Inputs!$B$18))),AU91)))</f>
        <v>2447.70848</v>
      </c>
      <c r="AW91" s="11" t="n">
        <f aca="false">IF(AW$1&lt;Units!$P90,0,IF(AND(Units!$K90=0,AW$1=Units!$O90),Units!$R90,IF(AND(AW$1&gt;=Units!$Q90,MOD(AW$1-Units!$Q90,12)=0),IF(AND(Units!$L90=1,AW$1=Units!$Q90),IF(Units!$J90&lt;&gt;"",Units!$J90,Mkt!AW91),Inputs!$B$15*Mkt!AW91+(1-Inputs!$B$15)*MIN(Mkt!AW91,AV91*(1+Inputs!$B$18))),AV91)))</f>
        <v>2447.70848</v>
      </c>
      <c r="AX91" s="11" t="n">
        <f aca="false">IF(AX$1&lt;Units!$P90,0,IF(AND(Units!$K90=0,AX$1=Units!$O90),Units!$R90,IF(AND(AX$1&gt;=Units!$Q90,MOD(AX$1-Units!$Q90,12)=0),IF(AND(Units!$L90=1,AX$1=Units!$Q90),IF(Units!$J90&lt;&gt;"",Units!$J90,Mkt!AX91),Inputs!$B$15*Mkt!AX91+(1-Inputs!$B$15)*MIN(Mkt!AX91,AW91*(1+Inputs!$B$18))),AW91)))</f>
        <v>2447.70848</v>
      </c>
      <c r="AY91" s="11" t="n">
        <f aca="false">IF(AY$1&lt;Units!$P90,0,IF(AND(Units!$K90=0,AY$1=Units!$O90),Units!$R90,IF(AND(AY$1&gt;=Units!$Q90,MOD(AY$1-Units!$Q90,12)=0),IF(AND(Units!$L90=1,AY$1=Units!$Q90),IF(Units!$J90&lt;&gt;"",Units!$J90,Mkt!AY91),Inputs!$B$15*Mkt!AY91+(1-Inputs!$B$15)*MIN(Mkt!AY91,AX91*(1+Inputs!$B$18))),AX91)))</f>
        <v>2447.70848</v>
      </c>
      <c r="AZ91" s="11" t="n">
        <f aca="false">IF(AZ$1&lt;Units!$P90,0,IF(AND(Units!$K90=0,AZ$1=Units!$O90),Units!$R90,IF(AND(AZ$1&gt;=Units!$Q90,MOD(AZ$1-Units!$Q90,12)=0),IF(AND(Units!$L90=1,AZ$1=Units!$Q90),IF(Units!$J90&lt;&gt;"",Units!$J90,Mkt!AZ91),Inputs!$B$15*Mkt!AZ91+(1-Inputs!$B$15)*MIN(Mkt!AZ91,AY91*(1+Inputs!$B$18))),AY91)))</f>
        <v>2447.70848</v>
      </c>
      <c r="BA91" s="11" t="n">
        <f aca="false">IF(BA$1&lt;Units!$P90,0,IF(AND(Units!$K90=0,BA$1=Units!$O90),Units!$R90,IF(AND(BA$1&gt;=Units!$Q90,MOD(BA$1-Units!$Q90,12)=0),IF(AND(Units!$L90=1,BA$1=Units!$Q90),IF(Units!$J90&lt;&gt;"",Units!$J90,Mkt!BA91),Inputs!$B$15*Mkt!BA91+(1-Inputs!$B$15)*MIN(Mkt!BA91,AZ91*(1+Inputs!$B$18))),AZ91)))</f>
        <v>2447.70848</v>
      </c>
      <c r="BB91" s="11" t="n">
        <f aca="false">IF(BB$1&lt;Units!$P90,0,IF(AND(Units!$K90=0,BB$1=Units!$O90),Units!$R90,IF(AND(BB$1&gt;=Units!$Q90,MOD(BB$1-Units!$Q90,12)=0),IF(AND(Units!$L90=1,BB$1=Units!$Q90),IF(Units!$J90&lt;&gt;"",Units!$J90,Mkt!BB91),Inputs!$B$15*Mkt!BB91+(1-Inputs!$B$15)*MIN(Mkt!BB91,BA91*(1+Inputs!$B$18))),BA91)))</f>
        <v>2447.70848</v>
      </c>
      <c r="BC91" s="11" t="n">
        <f aca="false">IF(BC$1&lt;Units!$P90,0,IF(AND(Units!$K90=0,BC$1=Units!$O90),Units!$R90,IF(AND(BC$1&gt;=Units!$Q90,MOD(BC$1-Units!$Q90,12)=0),IF(AND(Units!$L90=1,BC$1=Units!$Q90),IF(Units!$J90&lt;&gt;"",Units!$J90,Mkt!BC91),Inputs!$B$15*Mkt!BC91+(1-Inputs!$B$15)*MIN(Mkt!BC91,BB91*(1+Inputs!$B$18))),BB91)))</f>
        <v>2447.70848</v>
      </c>
      <c r="BD91" s="11" t="n">
        <f aca="false">IF(BD$1&lt;Units!$P90,0,IF(AND(Units!$K90=0,BD$1=Units!$O90),Units!$R90,IF(AND(BD$1&gt;=Units!$Q90,MOD(BD$1-Units!$Q90,12)=0),IF(AND(Units!$L90=1,BD$1=Units!$Q90),IF(Units!$J90&lt;&gt;"",Units!$J90,Mkt!BD91),Inputs!$B$15*Mkt!BD91+(1-Inputs!$B$15)*MIN(Mkt!BD91,BC91*(1+Inputs!$B$18))),BC91)))</f>
        <v>2447.70848</v>
      </c>
      <c r="BE91" s="11" t="n">
        <f aca="false">IF(BE$1&lt;Units!$P90,0,IF(AND(Units!$K90=0,BE$1=Units!$O90),Units!$R90,IF(AND(BE$1&gt;=Units!$Q90,MOD(BE$1-Units!$Q90,12)=0),IF(AND(Units!$L90=1,BE$1=Units!$Q90),IF(Units!$J90&lt;&gt;"",Units!$J90,Mkt!BE91),Inputs!$B$15*Mkt!BE91+(1-Inputs!$B$15)*MIN(Mkt!BE91,BD91*(1+Inputs!$B$18))),BD91)))</f>
        <v>2521.1397344</v>
      </c>
      <c r="BF91" s="11" t="n">
        <f aca="false">IF(BF$1&lt;Units!$P90,0,IF(AND(Units!$K90=0,BF$1=Units!$O90),Units!$R90,IF(AND(BF$1&gt;=Units!$Q90,MOD(BF$1-Units!$Q90,12)=0),IF(AND(Units!$L90=1,BF$1=Units!$Q90),IF(Units!$J90&lt;&gt;"",Units!$J90,Mkt!BF91),Inputs!$B$15*Mkt!BF91+(1-Inputs!$B$15)*MIN(Mkt!BF91,BE91*(1+Inputs!$B$18))),BE91)))</f>
        <v>2521.1397344</v>
      </c>
      <c r="BG91" s="11" t="n">
        <f aca="false">IF(BG$1&lt;Units!$P90,0,IF(AND(Units!$K90=0,BG$1=Units!$O90),Units!$R90,IF(AND(BG$1&gt;=Units!$Q90,MOD(BG$1-Units!$Q90,12)=0),IF(AND(Units!$L90=1,BG$1=Units!$Q90),IF(Units!$J90&lt;&gt;"",Units!$J90,Mkt!BG91),Inputs!$B$15*Mkt!BG91+(1-Inputs!$B$15)*MIN(Mkt!BG91,BF91*(1+Inputs!$B$18))),BF91)))</f>
        <v>2521.1397344</v>
      </c>
      <c r="BH91" s="11" t="n">
        <f aca="false">IF(BH$1&lt;Units!$P90,0,IF(AND(Units!$K90=0,BH$1=Units!$O90),Units!$R90,IF(AND(BH$1&gt;=Units!$Q90,MOD(BH$1-Units!$Q90,12)=0),IF(AND(Units!$L90=1,BH$1=Units!$Q90),IF(Units!$J90&lt;&gt;"",Units!$J90,Mkt!BH91),Inputs!$B$15*Mkt!BH91+(1-Inputs!$B$15)*MIN(Mkt!BH91,BG91*(1+Inputs!$B$18))),BG91)))</f>
        <v>2521.1397344</v>
      </c>
      <c r="BI91" s="11" t="n">
        <f aca="false">IF(BI$1&lt;Units!$P90,0,IF(AND(Units!$K90=0,BI$1=Units!$O90),Units!$R90,IF(AND(BI$1&gt;=Units!$Q90,MOD(BI$1-Units!$Q90,12)=0),IF(AND(Units!$L90=1,BI$1=Units!$Q90),IF(Units!$J90&lt;&gt;"",Units!$J90,Mkt!BI91),Inputs!$B$15*Mkt!BI91+(1-Inputs!$B$15)*MIN(Mkt!BI91,BH91*(1+Inputs!$B$18))),BH91)))</f>
        <v>2521.1397344</v>
      </c>
      <c r="BJ91" s="11" t="n">
        <f aca="false">IF(BJ$1&lt;Units!$P90,0,IF(AND(Units!$K90=0,BJ$1=Units!$O90),Units!$R90,IF(AND(BJ$1&gt;=Units!$Q90,MOD(BJ$1-Units!$Q90,12)=0),IF(AND(Units!$L90=1,BJ$1=Units!$Q90),IF(Units!$J90&lt;&gt;"",Units!$J90,Mkt!BJ91),Inputs!$B$15*Mkt!BJ91+(1-Inputs!$B$15)*MIN(Mkt!BJ91,BI91*(1+Inputs!$B$18))),BI91)))</f>
        <v>2521.1397344</v>
      </c>
      <c r="BK91" s="11" t="n">
        <f aca="false">IF(BK$1&lt;Units!$P90,0,IF(AND(Units!$K90=0,BK$1=Units!$O90),Units!$R90,IF(AND(BK$1&gt;=Units!$Q90,MOD(BK$1-Units!$Q90,12)=0),IF(AND(Units!$L90=1,BK$1=Units!$Q90),IF(Units!$J90&lt;&gt;"",Units!$J90,Mkt!BK91),Inputs!$B$15*Mkt!BK91+(1-Inputs!$B$15)*MIN(Mkt!BK91,BJ91*(1+Inputs!$B$18))),BJ91)))</f>
        <v>2521.1397344</v>
      </c>
      <c r="BL91" s="11" t="n">
        <f aca="false">IF(BL$1&lt;Units!$P90,0,IF(AND(Units!$K90=0,BL$1=Units!$O90),Units!$R90,IF(AND(BL$1&gt;=Units!$Q90,MOD(BL$1-Units!$Q90,12)=0),IF(AND(Units!$L90=1,BL$1=Units!$Q90),IF(Units!$J90&lt;&gt;"",Units!$J90,Mkt!BL91),Inputs!$B$15*Mkt!BL91+(1-Inputs!$B$15)*MIN(Mkt!BL91,BK91*(1+Inputs!$B$18))),BK91)))</f>
        <v>2521.1397344</v>
      </c>
      <c r="BM91" s="11" t="n">
        <f aca="false">IF(BM$1&lt;Units!$P90,0,IF(AND(Units!$K90=0,BM$1=Units!$O90),Units!$R90,IF(AND(BM$1&gt;=Units!$Q90,MOD(BM$1-Units!$Q90,12)=0),IF(AND(Units!$L90=1,BM$1=Units!$Q90),IF(Units!$J90&lt;&gt;"",Units!$J90,Mkt!BM91),Inputs!$B$15*Mkt!BM91+(1-Inputs!$B$15)*MIN(Mkt!BM91,BL91*(1+Inputs!$B$18))),BL91)))</f>
        <v>2521.1397344</v>
      </c>
      <c r="BN91" s="11" t="n">
        <f aca="false">IF(BN$1&lt;Units!$P90,0,IF(AND(Units!$K90=0,BN$1=Units!$O90),Units!$R90,IF(AND(BN$1&gt;=Units!$Q90,MOD(BN$1-Units!$Q90,12)=0),IF(AND(Units!$L90=1,BN$1=Units!$Q90),IF(Units!$J90&lt;&gt;"",Units!$J90,Mkt!BN91),Inputs!$B$15*Mkt!BN91+(1-Inputs!$B$15)*MIN(Mkt!BN91,BM91*(1+Inputs!$B$18))),BM91)))</f>
        <v>2521.1397344</v>
      </c>
      <c r="BO91" s="11" t="n">
        <f aca="false">IF(BO$1&lt;Units!$P90,0,IF(AND(Units!$K90=0,BO$1=Units!$O90),Units!$R90,IF(AND(BO$1&gt;=Units!$Q90,MOD(BO$1-Units!$Q90,12)=0),IF(AND(Units!$L90=1,BO$1=Units!$Q90),IF(Units!$J90&lt;&gt;"",Units!$J90,Mkt!BO91),Inputs!$B$15*Mkt!BO91+(1-Inputs!$B$15)*MIN(Mkt!BO91,BN91*(1+Inputs!$B$18))),BN91)))</f>
        <v>2521.1397344</v>
      </c>
      <c r="BP91" s="11" t="n">
        <f aca="false">IF(BP$1&lt;Units!$P90,0,IF(AND(Units!$K90=0,BP$1=Units!$O90),Units!$R90,IF(AND(BP$1&gt;=Units!$Q90,MOD(BP$1-Units!$Q90,12)=0),IF(AND(Units!$L90=1,BP$1=Units!$Q90),IF(Units!$J90&lt;&gt;"",Units!$J90,Mkt!BP91),Inputs!$B$15*Mkt!BP91+(1-Inputs!$B$15)*MIN(Mkt!BP91,BO91*(1+Inputs!$B$18))),BO91)))</f>
        <v>2521.1397344</v>
      </c>
      <c r="BQ91" s="11" t="n">
        <f aca="false">IF(BQ$1&lt;Units!$P90,0,IF(AND(Units!$K90=0,BQ$1=Units!$O90),Units!$R90,IF(AND(BQ$1&gt;=Units!$Q90,MOD(BQ$1-Units!$Q90,12)=0),IF(AND(Units!$L90=1,BQ$1=Units!$Q90),IF(Units!$J90&lt;&gt;"",Units!$J90,Mkt!BQ91),Inputs!$B$15*Mkt!BQ91+(1-Inputs!$B$15)*MIN(Mkt!BQ91,BP91*(1+Inputs!$B$18))),BP91)))</f>
        <v>2596.773926432</v>
      </c>
      <c r="BR91" s="11" t="n">
        <f aca="false">IF(BR$1&lt;Units!$P90,0,IF(AND(Units!$K90=0,BR$1=Units!$O90),Units!$R90,IF(AND(BR$1&gt;=Units!$Q90,MOD(BR$1-Units!$Q90,12)=0),IF(AND(Units!$L90=1,BR$1=Units!$Q90),IF(Units!$J90&lt;&gt;"",Units!$J90,Mkt!BR91),Inputs!$B$15*Mkt!BR91+(1-Inputs!$B$15)*MIN(Mkt!BR91,BQ91*(1+Inputs!$B$18))),BQ91)))</f>
        <v>2596.773926432</v>
      </c>
      <c r="BS91" s="11" t="n">
        <f aca="false">IF(BS$1&lt;Units!$P90,0,IF(AND(Units!$K90=0,BS$1=Units!$O90),Units!$R90,IF(AND(BS$1&gt;=Units!$Q90,MOD(BS$1-Units!$Q90,12)=0),IF(AND(Units!$L90=1,BS$1=Units!$Q90),IF(Units!$J90&lt;&gt;"",Units!$J90,Mkt!BS91),Inputs!$B$15*Mkt!BS91+(1-Inputs!$B$15)*MIN(Mkt!BS91,BR91*(1+Inputs!$B$18))),BR91)))</f>
        <v>2596.773926432</v>
      </c>
      <c r="BT91" s="11" t="n">
        <f aca="false">IF(BT$1&lt;Units!$P90,0,IF(AND(Units!$K90=0,BT$1=Units!$O90),Units!$R90,IF(AND(BT$1&gt;=Units!$Q90,MOD(BT$1-Units!$Q90,12)=0),IF(AND(Units!$L90=1,BT$1=Units!$Q90),IF(Units!$J90&lt;&gt;"",Units!$J90,Mkt!BT91),Inputs!$B$15*Mkt!BT91+(1-Inputs!$B$15)*MIN(Mkt!BT91,BS91*(1+Inputs!$B$18))),BS91)))</f>
        <v>2596.773926432</v>
      </c>
      <c r="BU91" s="11" t="n">
        <f aca="false">IF(BU$1&lt;Units!$P90,0,IF(AND(Units!$K90=0,BU$1=Units!$O90),Units!$R90,IF(AND(BU$1&gt;=Units!$Q90,MOD(BU$1-Units!$Q90,12)=0),IF(AND(Units!$L90=1,BU$1=Units!$Q90),IF(Units!$J90&lt;&gt;"",Units!$J90,Mkt!BU91),Inputs!$B$15*Mkt!BU91+(1-Inputs!$B$15)*MIN(Mkt!BU91,BT91*(1+Inputs!$B$18))),BT91)))</f>
        <v>2596.773926432</v>
      </c>
      <c r="BV91" s="11" t="n">
        <f aca="false">IF(BV$1&lt;Units!$P90,0,IF(AND(Units!$K90=0,BV$1=Units!$O90),Units!$R90,IF(AND(BV$1&gt;=Units!$Q90,MOD(BV$1-Units!$Q90,12)=0),IF(AND(Units!$L90=1,BV$1=Units!$Q90),IF(Units!$J90&lt;&gt;"",Units!$J90,Mkt!BV91),Inputs!$B$15*Mkt!BV91+(1-Inputs!$B$15)*MIN(Mkt!BV91,BU91*(1+Inputs!$B$18))),BU91)))</f>
        <v>2596.773926432</v>
      </c>
      <c r="BW91" s="11" t="n">
        <f aca="false">IF(BW$1&lt;Units!$P90,0,IF(AND(Units!$K90=0,BW$1=Units!$O90),Units!$R90,IF(AND(BW$1&gt;=Units!$Q90,MOD(BW$1-Units!$Q90,12)=0),IF(AND(Units!$L90=1,BW$1=Units!$Q90),IF(Units!$J90&lt;&gt;"",Units!$J90,Mkt!BW91),Inputs!$B$15*Mkt!BW91+(1-Inputs!$B$15)*MIN(Mkt!BW91,BV91*(1+Inputs!$B$18))),BV91)))</f>
        <v>2596.773926432</v>
      </c>
      <c r="BX91" s="11" t="n">
        <f aca="false">IF(BX$1&lt;Units!$P90,0,IF(AND(Units!$K90=0,BX$1=Units!$O90),Units!$R90,IF(AND(BX$1&gt;=Units!$Q90,MOD(BX$1-Units!$Q90,12)=0),IF(AND(Units!$L90=1,BX$1=Units!$Q90),IF(Units!$J90&lt;&gt;"",Units!$J90,Mkt!BX91),Inputs!$B$15*Mkt!BX91+(1-Inputs!$B$15)*MIN(Mkt!BX91,BW91*(1+Inputs!$B$18))),BW91)))</f>
        <v>2596.773926432</v>
      </c>
      <c r="BY91" s="11" t="n">
        <f aca="false">IF(BY$1&lt;Units!$P90,0,IF(AND(Units!$K90=0,BY$1=Units!$O90),Units!$R90,IF(AND(BY$1&gt;=Units!$Q90,MOD(BY$1-Units!$Q90,12)=0),IF(AND(Units!$L90=1,BY$1=Units!$Q90),IF(Units!$J90&lt;&gt;"",Units!$J90,Mkt!BY91),Inputs!$B$15*Mkt!BY91+(1-Inputs!$B$15)*MIN(Mkt!BY91,BX91*(1+Inputs!$B$18))),BX91)))</f>
        <v>2596.773926432</v>
      </c>
      <c r="BZ91" s="11" t="n">
        <f aca="false">IF(BZ$1&lt;Units!$P90,0,IF(AND(Units!$K90=0,BZ$1=Units!$O90),Units!$R90,IF(AND(BZ$1&gt;=Units!$Q90,MOD(BZ$1-Units!$Q90,12)=0),IF(AND(Units!$L90=1,BZ$1=Units!$Q90),IF(Units!$J90&lt;&gt;"",Units!$J90,Mkt!BZ91),Inputs!$B$15*Mkt!BZ91+(1-Inputs!$B$15)*MIN(Mkt!BZ91,BY91*(1+Inputs!$B$18))),BY91)))</f>
        <v>2596.773926432</v>
      </c>
      <c r="CA91" s="11" t="n">
        <f aca="false">IF(CA$1&lt;Units!$P90,0,IF(AND(Units!$K90=0,CA$1=Units!$O90),Units!$R90,IF(AND(CA$1&gt;=Units!$Q90,MOD(CA$1-Units!$Q90,12)=0),IF(AND(Units!$L90=1,CA$1=Units!$Q90),IF(Units!$J90&lt;&gt;"",Units!$J90,Mkt!CA91),Inputs!$B$15*Mkt!CA91+(1-Inputs!$B$15)*MIN(Mkt!CA91,BZ91*(1+Inputs!$B$18))),BZ91)))</f>
        <v>2596.773926432</v>
      </c>
      <c r="CB91" s="11" t="n">
        <f aca="false">IF(CB$1&lt;Units!$P90,0,IF(AND(Units!$K90=0,CB$1=Units!$O90),Units!$R90,IF(AND(CB$1&gt;=Units!$Q90,MOD(CB$1-Units!$Q90,12)=0),IF(AND(Units!$L90=1,CB$1=Units!$Q90),IF(Units!$J90&lt;&gt;"",Units!$J90,Mkt!CB91),Inputs!$B$15*Mkt!CB91+(1-Inputs!$B$15)*MIN(Mkt!CB91,CA91*(1+Inputs!$B$18))),CA91)))</f>
        <v>2596.773926432</v>
      </c>
      <c r="CC91" s="11" t="n">
        <f aca="false">IF(CC$1&lt;Units!$P90,0,IF(AND(Units!$K90=0,CC$1=Units!$O90),Units!$R90,IF(AND(CC$1&gt;=Units!$Q90,MOD(CC$1-Units!$Q90,12)=0),IF(AND(Units!$L90=1,CC$1=Units!$Q90),IF(Units!$J90&lt;&gt;"",Units!$J90,Mkt!CC91),Inputs!$B$15*Mkt!CC91+(1-Inputs!$B$15)*MIN(Mkt!CC91,CB91*(1+Inputs!$B$18))),CB91)))</f>
        <v>2674.67714422496</v>
      </c>
      <c r="CD91" s="11" t="n">
        <f aca="false">IF(CD$1&lt;Units!$P90,0,IF(AND(Units!$K90=0,CD$1=Units!$O90),Units!$R90,IF(AND(CD$1&gt;=Units!$Q90,MOD(CD$1-Units!$Q90,12)=0),IF(AND(Units!$L90=1,CD$1=Units!$Q90),IF(Units!$J90&lt;&gt;"",Units!$J90,Mkt!CD91),Inputs!$B$15*Mkt!CD91+(1-Inputs!$B$15)*MIN(Mkt!CD91,CC91*(1+Inputs!$B$18))),CC91)))</f>
        <v>2674.67714422496</v>
      </c>
      <c r="CE91" s="11" t="n">
        <f aca="false">IF(CE$1&lt;Units!$P90,0,IF(AND(Units!$K90=0,CE$1=Units!$O90),Units!$R90,IF(AND(CE$1&gt;=Units!$Q90,MOD(CE$1-Units!$Q90,12)=0),IF(AND(Units!$L90=1,CE$1=Units!$Q90),IF(Units!$J90&lt;&gt;"",Units!$J90,Mkt!CE91),Inputs!$B$15*Mkt!CE91+(1-Inputs!$B$15)*MIN(Mkt!CE91,CD91*(1+Inputs!$B$18))),CD91)))</f>
        <v>2674.67714422496</v>
      </c>
      <c r="CF91" s="11" t="n">
        <f aca="false">IF(CF$1&lt;Units!$P90,0,IF(AND(Units!$K90=0,CF$1=Units!$O90),Units!$R90,IF(AND(CF$1&gt;=Units!$Q90,MOD(CF$1-Units!$Q90,12)=0),IF(AND(Units!$L90=1,CF$1=Units!$Q90),IF(Units!$J90&lt;&gt;"",Units!$J90,Mkt!CF91),Inputs!$B$15*Mkt!CF91+(1-Inputs!$B$15)*MIN(Mkt!CF91,CE91*(1+Inputs!$B$18))),CE91)))</f>
        <v>2674.67714422496</v>
      </c>
      <c r="CG91" s="11" t="n">
        <f aca="false">IF(CG$1&lt;Units!$P90,0,IF(AND(Units!$K90=0,CG$1=Units!$O90),Units!$R90,IF(AND(CG$1&gt;=Units!$Q90,MOD(CG$1-Units!$Q90,12)=0),IF(AND(Units!$L90=1,CG$1=Units!$Q90),IF(Units!$J90&lt;&gt;"",Units!$J90,Mkt!CG91),Inputs!$B$15*Mkt!CG91+(1-Inputs!$B$15)*MIN(Mkt!CG91,CF91*(1+Inputs!$B$18))),CF91)))</f>
        <v>2674.67714422496</v>
      </c>
      <c r="CH91" s="11" t="n">
        <f aca="false">IF(CH$1&lt;Units!$P90,0,IF(AND(Units!$K90=0,CH$1=Units!$O90),Units!$R90,IF(AND(CH$1&gt;=Units!$Q90,MOD(CH$1-Units!$Q90,12)=0),IF(AND(Units!$L90=1,CH$1=Units!$Q90),IF(Units!$J90&lt;&gt;"",Units!$J90,Mkt!CH91),Inputs!$B$15*Mkt!CH91+(1-Inputs!$B$15)*MIN(Mkt!CH91,CG91*(1+Inputs!$B$18))),CG91)))</f>
        <v>2674.67714422496</v>
      </c>
      <c r="CI91" s="11" t="n">
        <f aca="false">IF(CI$1&lt;Units!$P90,0,IF(AND(Units!$K90=0,CI$1=Units!$O90),Units!$R90,IF(AND(CI$1&gt;=Units!$Q90,MOD(CI$1-Units!$Q90,12)=0),IF(AND(Units!$L90=1,CI$1=Units!$Q90),IF(Units!$J90&lt;&gt;"",Units!$J90,Mkt!CI91),Inputs!$B$15*Mkt!CI91+(1-Inputs!$B$15)*MIN(Mkt!CI91,CH91*(1+Inputs!$B$18))),CH91)))</f>
        <v>2674.67714422496</v>
      </c>
      <c r="CJ91" s="11" t="n">
        <f aca="false">IF(CJ$1&lt;Units!$P90,0,IF(AND(Units!$K90=0,CJ$1=Units!$O90),Units!$R90,IF(AND(CJ$1&gt;=Units!$Q90,MOD(CJ$1-Units!$Q90,12)=0),IF(AND(Units!$L90=1,CJ$1=Units!$Q90),IF(Units!$J90&lt;&gt;"",Units!$J90,Mkt!CJ91),Inputs!$B$15*Mkt!CJ91+(1-Inputs!$B$15)*MIN(Mkt!CJ91,CI91*(1+Inputs!$B$18))),CI91)))</f>
        <v>2674.67714422496</v>
      </c>
      <c r="CK91" s="11" t="n">
        <f aca="false">IF(CK$1&lt;Units!$P90,0,IF(AND(Units!$K90=0,CK$1=Units!$O90),Units!$R90,IF(AND(CK$1&gt;=Units!$Q90,MOD(CK$1-Units!$Q90,12)=0),IF(AND(Units!$L90=1,CK$1=Units!$Q90),IF(Units!$J90&lt;&gt;"",Units!$J90,Mkt!CK91),Inputs!$B$15*Mkt!CK91+(1-Inputs!$B$15)*MIN(Mkt!CK91,CJ91*(1+Inputs!$B$18))),CJ91)))</f>
        <v>2674.67714422496</v>
      </c>
      <c r="CL91" s="11" t="n">
        <f aca="false">IF(CL$1&lt;Units!$P90,0,IF(AND(Units!$K90=0,CL$1=Units!$O90),Units!$R90,IF(AND(CL$1&gt;=Units!$Q90,MOD(CL$1-Units!$Q90,12)=0),IF(AND(Units!$L90=1,CL$1=Units!$Q90),IF(Units!$J90&lt;&gt;"",Units!$J90,Mkt!CL91),Inputs!$B$15*Mkt!CL91+(1-Inputs!$B$15)*MIN(Mkt!CL91,CK91*(1+Inputs!$B$18))),CK91)))</f>
        <v>2674.67714422496</v>
      </c>
      <c r="CM91" s="11" t="n">
        <f aca="false">IF(CM$1&lt;Units!$P90,0,IF(AND(Units!$K90=0,CM$1=Units!$O90),Units!$R90,IF(AND(CM$1&gt;=Units!$Q90,MOD(CM$1-Units!$Q90,12)=0),IF(AND(Units!$L90=1,CM$1=Units!$Q90),IF(Units!$J90&lt;&gt;"",Units!$J90,Mkt!CM91),Inputs!$B$15*Mkt!CM91+(1-Inputs!$B$15)*MIN(Mkt!CM91,CL91*(1+Inputs!$B$18))),CL91)))</f>
        <v>2674.67714422496</v>
      </c>
      <c r="CN91" s="11" t="n">
        <f aca="false">IF(CN$1&lt;Units!$P90,0,IF(AND(Units!$K90=0,CN$1=Units!$O90),Units!$R90,IF(AND(CN$1&gt;=Units!$Q90,MOD(CN$1-Units!$Q90,12)=0),IF(AND(Units!$L90=1,CN$1=Units!$Q90),IF(Units!$J90&lt;&gt;"",Units!$J90,Mkt!CN91),Inputs!$B$15*Mkt!CN91+(1-Inputs!$B$15)*MIN(Mkt!CN91,CM91*(1+Inputs!$B$18))),CM91)))</f>
        <v>2674.67714422496</v>
      </c>
      <c r="CO91" s="11" t="n">
        <f aca="false">IF(CO$1&lt;Units!$P90,0,IF(AND(Units!$K90=0,CO$1=Units!$O90),Units!$R90,IF(AND(CO$1&gt;=Units!$Q90,MOD(CO$1-Units!$Q90,12)=0),IF(AND(Units!$L90=1,CO$1=Units!$Q90),IF(Units!$J90&lt;&gt;"",Units!$J90,Mkt!CO91),Inputs!$B$15*Mkt!CO91+(1-Inputs!$B$15)*MIN(Mkt!CO91,CN91*(1+Inputs!$B$18))),CN91)))</f>
        <v>2754.91745855171</v>
      </c>
      <c r="CP91" s="11" t="n">
        <f aca="false">IF(CP$1&lt;Units!$P90,0,IF(AND(Units!$K90=0,CP$1=Units!$O90),Units!$R90,IF(AND(CP$1&gt;=Units!$Q90,MOD(CP$1-Units!$Q90,12)=0),IF(AND(Units!$L90=1,CP$1=Units!$Q90),IF(Units!$J90&lt;&gt;"",Units!$J90,Mkt!CP91),Inputs!$B$15*Mkt!CP91+(1-Inputs!$B$15)*MIN(Mkt!CP91,CO91*(1+Inputs!$B$18))),CO91)))</f>
        <v>2754.91745855171</v>
      </c>
      <c r="CQ91" s="11" t="n">
        <f aca="false">IF(CQ$1&lt;Units!$P90,0,IF(AND(Units!$K90=0,CQ$1=Units!$O90),Units!$R90,IF(AND(CQ$1&gt;=Units!$Q90,MOD(CQ$1-Units!$Q90,12)=0),IF(AND(Units!$L90=1,CQ$1=Units!$Q90),IF(Units!$J90&lt;&gt;"",Units!$J90,Mkt!CQ91),Inputs!$B$15*Mkt!CQ91+(1-Inputs!$B$15)*MIN(Mkt!CQ91,CP91*(1+Inputs!$B$18))),CP91)))</f>
        <v>2754.91745855171</v>
      </c>
      <c r="CR91" s="11" t="n">
        <f aca="false">IF(CR$1&lt;Units!$P90,0,IF(AND(Units!$K90=0,CR$1=Units!$O90),Units!$R90,IF(AND(CR$1&gt;=Units!$Q90,MOD(CR$1-Units!$Q90,12)=0),IF(AND(Units!$L90=1,CR$1=Units!$Q90),IF(Units!$J90&lt;&gt;"",Units!$J90,Mkt!CR91),Inputs!$B$15*Mkt!CR91+(1-Inputs!$B$15)*MIN(Mkt!CR91,CQ91*(1+Inputs!$B$18))),CQ91)))</f>
        <v>2754.91745855171</v>
      </c>
      <c r="CS91" s="11" t="n">
        <f aca="false">IF(CS$1&lt;Units!$P90,0,IF(AND(Units!$K90=0,CS$1=Units!$O90),Units!$R90,IF(AND(CS$1&gt;=Units!$Q90,MOD(CS$1-Units!$Q90,12)=0),IF(AND(Units!$L90=1,CS$1=Units!$Q90),IF(Units!$J90&lt;&gt;"",Units!$J90,Mkt!CS91),Inputs!$B$15*Mkt!CS91+(1-Inputs!$B$15)*MIN(Mkt!CS91,CR91*(1+Inputs!$B$18))),CR91)))</f>
        <v>2754.91745855171</v>
      </c>
      <c r="CT91" s="11" t="n">
        <f aca="false">IF(CT$1&lt;Units!$P90,0,IF(AND(Units!$K90=0,CT$1=Units!$O90),Units!$R90,IF(AND(CT$1&gt;=Units!$Q90,MOD(CT$1-Units!$Q90,12)=0),IF(AND(Units!$L90=1,CT$1=Units!$Q90),IF(Units!$J90&lt;&gt;"",Units!$J90,Mkt!CT91),Inputs!$B$15*Mkt!CT91+(1-Inputs!$B$15)*MIN(Mkt!CT91,CS91*(1+Inputs!$B$18))),CS91)))</f>
        <v>2754.91745855171</v>
      </c>
      <c r="CU91" s="11" t="n">
        <f aca="false">IF(CU$1&lt;Units!$P90,0,IF(AND(Units!$K90=0,CU$1=Units!$O90),Units!$R90,IF(AND(CU$1&gt;=Units!$Q90,MOD(CU$1-Units!$Q90,12)=0),IF(AND(Units!$L90=1,CU$1=Units!$Q90),IF(Units!$J90&lt;&gt;"",Units!$J90,Mkt!CU91),Inputs!$B$15*Mkt!CU91+(1-Inputs!$B$15)*MIN(Mkt!CU91,CT91*(1+Inputs!$B$18))),CT91)))</f>
        <v>2754.91745855171</v>
      </c>
      <c r="CV91" s="11" t="n">
        <f aca="false">IF(CV$1&lt;Units!$P90,0,IF(AND(Units!$K90=0,CV$1=Units!$O90),Units!$R90,IF(AND(CV$1&gt;=Units!$Q90,MOD(CV$1-Units!$Q90,12)=0),IF(AND(Units!$L90=1,CV$1=Units!$Q90),IF(Units!$J90&lt;&gt;"",Units!$J90,Mkt!CV91),Inputs!$B$15*Mkt!CV91+(1-Inputs!$B$15)*MIN(Mkt!CV91,CU91*(1+Inputs!$B$18))),CU91)))</f>
        <v>2754.91745855171</v>
      </c>
      <c r="CW91" s="11" t="n">
        <f aca="false">IF(CW$1&lt;Units!$P90,0,IF(AND(Units!$K90=0,CW$1=Units!$O90),Units!$R90,IF(AND(CW$1&gt;=Units!$Q90,MOD(CW$1-Units!$Q90,12)=0),IF(AND(Units!$L90=1,CW$1=Units!$Q90),IF(Units!$J90&lt;&gt;"",Units!$J90,Mkt!CW91),Inputs!$B$15*Mkt!CW91+(1-Inputs!$B$15)*MIN(Mkt!CW91,CV91*(1+Inputs!$B$18))),CV91)))</f>
        <v>2754.91745855171</v>
      </c>
      <c r="CX91" s="11" t="n">
        <f aca="false">IF(CX$1&lt;Units!$P90,0,IF(AND(Units!$K90=0,CX$1=Units!$O90),Units!$R90,IF(AND(CX$1&gt;=Units!$Q90,MOD(CX$1-Units!$Q90,12)=0),IF(AND(Units!$L90=1,CX$1=Units!$Q90),IF(Units!$J90&lt;&gt;"",Units!$J90,Mkt!CX91),Inputs!$B$15*Mkt!CX91+(1-Inputs!$B$15)*MIN(Mkt!CX91,CW91*(1+Inputs!$B$18))),CW91)))</f>
        <v>2754.91745855171</v>
      </c>
      <c r="CY91" s="11" t="n">
        <f aca="false">IF(CY$1&lt;Units!$P90,0,IF(AND(Units!$K90=0,CY$1=Units!$O90),Units!$R90,IF(AND(CY$1&gt;=Units!$Q90,MOD(CY$1-Units!$Q90,12)=0),IF(AND(Units!$L90=1,CY$1=Units!$Q90),IF(Units!$J90&lt;&gt;"",Units!$J90,Mkt!CY91),Inputs!$B$15*Mkt!CY91+(1-Inputs!$B$15)*MIN(Mkt!CY91,CX91*(1+Inputs!$B$18))),CX91)))</f>
        <v>2754.91745855171</v>
      </c>
      <c r="CZ91" s="11" t="n">
        <f aca="false">IF(CZ$1&lt;Units!$P90,0,IF(AND(Units!$K90=0,CZ$1=Units!$O90),Units!$R90,IF(AND(CZ$1&gt;=Units!$Q90,MOD(CZ$1-Units!$Q90,12)=0),IF(AND(Units!$L90=1,CZ$1=Units!$Q90),IF(Units!$J90&lt;&gt;"",Units!$J90,Mkt!CZ91),Inputs!$B$15*Mkt!CZ91+(1-Inputs!$B$15)*MIN(Mkt!CZ91,CY91*(1+Inputs!$B$18))),CY91)))</f>
        <v>2754.91745855171</v>
      </c>
      <c r="DA91" s="11" t="n">
        <f aca="false">IF(DA$1&lt;Units!$P90,0,IF(AND(Units!$K90=0,DA$1=Units!$O90),Units!$R90,IF(AND(DA$1&gt;=Units!$Q90,MOD(DA$1-Units!$Q90,12)=0),IF(AND(Units!$L90=1,DA$1=Units!$Q90),IF(Units!$J90&lt;&gt;"",Units!$J90,Mkt!DA91),Inputs!$B$15*Mkt!DA91+(1-Inputs!$B$15)*MIN(Mkt!DA91,CZ91*(1+Inputs!$B$18))),CZ91)))</f>
        <v>2837.56498230826</v>
      </c>
      <c r="DB91" s="11" t="n">
        <f aca="false">IF(DB$1&lt;Units!$P90,0,IF(AND(Units!$K90=0,DB$1=Units!$O90),Units!$R90,IF(AND(DB$1&gt;=Units!$Q90,MOD(DB$1-Units!$Q90,12)=0),IF(AND(Units!$L90=1,DB$1=Units!$Q90),IF(Units!$J90&lt;&gt;"",Units!$J90,Mkt!DB91),Inputs!$B$15*Mkt!DB91+(1-Inputs!$B$15)*MIN(Mkt!DB91,DA91*(1+Inputs!$B$18))),DA91)))</f>
        <v>2837.56498230826</v>
      </c>
      <c r="DC91" s="11" t="n">
        <f aca="false">IF(DC$1&lt;Units!$P90,0,IF(AND(Units!$K90=0,DC$1=Units!$O90),Units!$R90,IF(AND(DC$1&gt;=Units!$Q90,MOD(DC$1-Units!$Q90,12)=0),IF(AND(Units!$L90=1,DC$1=Units!$Q90),IF(Units!$J90&lt;&gt;"",Units!$J90,Mkt!DC91),Inputs!$B$15*Mkt!DC91+(1-Inputs!$B$15)*MIN(Mkt!DC91,DB91*(1+Inputs!$B$18))),DB91)))</f>
        <v>2837.56498230826</v>
      </c>
      <c r="DD91" s="11" t="n">
        <f aca="false">IF(DD$1&lt;Units!$P90,0,IF(AND(Units!$K90=0,DD$1=Units!$O90),Units!$R90,IF(AND(DD$1&gt;=Units!$Q90,MOD(DD$1-Units!$Q90,12)=0),IF(AND(Units!$L90=1,DD$1=Units!$Q90),IF(Units!$J90&lt;&gt;"",Units!$J90,Mkt!DD91),Inputs!$B$15*Mkt!DD91+(1-Inputs!$B$15)*MIN(Mkt!DD91,DC91*(1+Inputs!$B$18))),DC91)))</f>
        <v>2837.56498230826</v>
      </c>
      <c r="DE91" s="11" t="n">
        <f aca="false">IF(DE$1&lt;Units!$P90,0,IF(AND(Units!$K90=0,DE$1=Units!$O90),Units!$R90,IF(AND(DE$1&gt;=Units!$Q90,MOD(DE$1-Units!$Q90,12)=0),IF(AND(Units!$L90=1,DE$1=Units!$Q90),IF(Units!$J90&lt;&gt;"",Units!$J90,Mkt!DE91),Inputs!$B$15*Mkt!DE91+(1-Inputs!$B$15)*MIN(Mkt!DE91,DD91*(1+Inputs!$B$18))),DD91)))</f>
        <v>2837.56498230826</v>
      </c>
      <c r="DF91" s="11" t="n">
        <f aca="false">IF(DF$1&lt;Units!$P90,0,IF(AND(Units!$K90=0,DF$1=Units!$O90),Units!$R90,IF(AND(DF$1&gt;=Units!$Q90,MOD(DF$1-Units!$Q90,12)=0),IF(AND(Units!$L90=1,DF$1=Units!$Q90),IF(Units!$J90&lt;&gt;"",Units!$J90,Mkt!DF91),Inputs!$B$15*Mkt!DF91+(1-Inputs!$B$15)*MIN(Mkt!DF91,DE91*(1+Inputs!$B$18))),DE91)))</f>
        <v>2837.56498230826</v>
      </c>
      <c r="DG91" s="11" t="n">
        <f aca="false">IF(DG$1&lt;Units!$P90,0,IF(AND(Units!$K90=0,DG$1=Units!$O90),Units!$R90,IF(AND(DG$1&gt;=Units!$Q90,MOD(DG$1-Units!$Q90,12)=0),IF(AND(Units!$L90=1,DG$1=Units!$Q90),IF(Units!$J90&lt;&gt;"",Units!$J90,Mkt!DG91),Inputs!$B$15*Mkt!DG91+(1-Inputs!$B$15)*MIN(Mkt!DG91,DF91*(1+Inputs!$B$18))),DF91)))</f>
        <v>2837.56498230826</v>
      </c>
      <c r="DH91" s="11" t="n">
        <f aca="false">IF(DH$1&lt;Units!$P90,0,IF(AND(Units!$K90=0,DH$1=Units!$O90),Units!$R90,IF(AND(DH$1&gt;=Units!$Q90,MOD(DH$1-Units!$Q90,12)=0),IF(AND(Units!$L90=1,DH$1=Units!$Q90),IF(Units!$J90&lt;&gt;"",Units!$J90,Mkt!DH91),Inputs!$B$15*Mkt!DH91+(1-Inputs!$B$15)*MIN(Mkt!DH91,DG91*(1+Inputs!$B$18))),DG91)))</f>
        <v>2837.56498230826</v>
      </c>
      <c r="DI91" s="11" t="n">
        <f aca="false">IF(DI$1&lt;Units!$P90,0,IF(AND(Units!$K90=0,DI$1=Units!$O90),Units!$R90,IF(AND(DI$1&gt;=Units!$Q90,MOD(DI$1-Units!$Q90,12)=0),IF(AND(Units!$L90=1,DI$1=Units!$Q90),IF(Units!$J90&lt;&gt;"",Units!$J90,Mkt!DI91),Inputs!$B$15*Mkt!DI91+(1-Inputs!$B$15)*MIN(Mkt!DI91,DH91*(1+Inputs!$B$18))),DH91)))</f>
        <v>2837.56498230826</v>
      </c>
      <c r="DJ91" s="11" t="n">
        <f aca="false">IF(DJ$1&lt;Units!$P90,0,IF(AND(Units!$K90=0,DJ$1=Units!$O90),Units!$R90,IF(AND(DJ$1&gt;=Units!$Q90,MOD(DJ$1-Units!$Q90,12)=0),IF(AND(Units!$L90=1,DJ$1=Units!$Q90),IF(Units!$J90&lt;&gt;"",Units!$J90,Mkt!DJ91),Inputs!$B$15*Mkt!DJ91+(1-Inputs!$B$15)*MIN(Mkt!DJ91,DI91*(1+Inputs!$B$18))),DI91)))</f>
        <v>2837.56498230826</v>
      </c>
      <c r="DK91" s="11" t="n">
        <f aca="false">IF(DK$1&lt;Units!$P90,0,IF(AND(Units!$K90=0,DK$1=Units!$O90),Units!$R90,IF(AND(DK$1&gt;=Units!$Q90,MOD(DK$1-Units!$Q90,12)=0),IF(AND(Units!$L90=1,DK$1=Units!$Q90),IF(Units!$J90&lt;&gt;"",Units!$J90,Mkt!DK91),Inputs!$B$15*Mkt!DK91+(1-Inputs!$B$15)*MIN(Mkt!DK91,DJ91*(1+Inputs!$B$18))),DJ91)))</f>
        <v>2837.56498230826</v>
      </c>
      <c r="DL91" s="11" t="n">
        <f aca="false">IF(DL$1&lt;Units!$P90,0,IF(AND(Units!$K90=0,DL$1=Units!$O90),Units!$R90,IF(AND(DL$1&gt;=Units!$Q90,MOD(DL$1-Units!$Q90,12)=0),IF(AND(Units!$L90=1,DL$1=Units!$Q90),IF(Units!$J90&lt;&gt;"",Units!$J90,Mkt!DL91),Inputs!$B$15*Mkt!DL91+(1-Inputs!$B$15)*MIN(Mkt!DL91,DK91*(1+Inputs!$B$18))),DK91)))</f>
        <v>2837.56498230826</v>
      </c>
      <c r="DM91" s="11" t="n">
        <f aca="false">IF(DM$1&lt;Units!$P90,0,IF(AND(Units!$K90=0,DM$1=Units!$O90),Units!$R90,IF(AND(DM$1&gt;=Units!$Q90,MOD(DM$1-Units!$Q90,12)=0),IF(AND(Units!$L90=1,DM$1=Units!$Q90),IF(Units!$J90&lt;&gt;"",Units!$J90,Mkt!DM91),Inputs!$B$15*Mkt!DM91+(1-Inputs!$B$15)*MIN(Mkt!DM91,DL91*(1+Inputs!$B$18))),DL91)))</f>
        <v>2922.69193177751</v>
      </c>
      <c r="DN91" s="11" t="n">
        <f aca="false">IF(DN$1&lt;Units!$P90,0,IF(AND(Units!$K90=0,DN$1=Units!$O90),Units!$R90,IF(AND(DN$1&gt;=Units!$Q90,MOD(DN$1-Units!$Q90,12)=0),IF(AND(Units!$L90=1,DN$1=Units!$Q90),IF(Units!$J90&lt;&gt;"",Units!$J90,Mkt!DN91),Inputs!$B$15*Mkt!DN91+(1-Inputs!$B$15)*MIN(Mkt!DN91,DM91*(1+Inputs!$B$18))),DM91)))</f>
        <v>2922.69193177751</v>
      </c>
      <c r="DO91" s="11" t="n">
        <f aca="false">IF(DO$1&lt;Units!$P90,0,IF(AND(Units!$K90=0,DO$1=Units!$O90),Units!$R90,IF(AND(DO$1&gt;=Units!$Q90,MOD(DO$1-Units!$Q90,12)=0),IF(AND(Units!$L90=1,DO$1=Units!$Q90),IF(Units!$J90&lt;&gt;"",Units!$J90,Mkt!DO91),Inputs!$B$15*Mkt!DO91+(1-Inputs!$B$15)*MIN(Mkt!DO91,DN91*(1+Inputs!$B$18))),DN91)))</f>
        <v>2922.69193177751</v>
      </c>
      <c r="DP91" s="11" t="n">
        <f aca="false">IF(DP$1&lt;Units!$P90,0,IF(AND(Units!$K90=0,DP$1=Units!$O90),Units!$R90,IF(AND(DP$1&gt;=Units!$Q90,MOD(DP$1-Units!$Q90,12)=0),IF(AND(Units!$L90=1,DP$1=Units!$Q90),IF(Units!$J90&lt;&gt;"",Units!$J90,Mkt!DP91),Inputs!$B$15*Mkt!DP91+(1-Inputs!$B$15)*MIN(Mkt!DP91,DO91*(1+Inputs!$B$18))),DO91)))</f>
        <v>2922.69193177751</v>
      </c>
      <c r="DQ91" s="11" t="n">
        <f aca="false">IF(DQ$1&lt;Units!$P90,0,IF(AND(Units!$K90=0,DQ$1=Units!$O90),Units!$R90,IF(AND(DQ$1&gt;=Units!$Q90,MOD(DQ$1-Units!$Q90,12)=0),IF(AND(Units!$L90=1,DQ$1=Units!$Q90),IF(Units!$J90&lt;&gt;"",Units!$J90,Mkt!DQ91),Inputs!$B$15*Mkt!DQ91+(1-Inputs!$B$15)*MIN(Mkt!DQ91,DP91*(1+Inputs!$B$18))),DP91)))</f>
        <v>2922.69193177751</v>
      </c>
      <c r="DR91" s="11" t="n">
        <f aca="false">IF(DR$1&lt;Units!$P90,0,IF(AND(Units!$K90=0,DR$1=Units!$O90),Units!$R90,IF(AND(DR$1&gt;=Units!$Q90,MOD(DR$1-Units!$Q90,12)=0),IF(AND(Units!$L90=1,DR$1=Units!$Q90),IF(Units!$J90&lt;&gt;"",Units!$J90,Mkt!DR91),Inputs!$B$15*Mkt!DR91+(1-Inputs!$B$15)*MIN(Mkt!DR91,DQ91*(1+Inputs!$B$18))),DQ91)))</f>
        <v>2922.69193177751</v>
      </c>
      <c r="DS91" s="11" t="n">
        <f aca="false">IF(DS$1&lt;Units!$P90,0,IF(AND(Units!$K90=0,DS$1=Units!$O90),Units!$R90,IF(AND(DS$1&gt;=Units!$Q90,MOD(DS$1-Units!$Q90,12)=0),IF(AND(Units!$L90=1,DS$1=Units!$Q90),IF(Units!$J90&lt;&gt;"",Units!$J90,Mkt!DS91),Inputs!$B$15*Mkt!DS91+(1-Inputs!$B$15)*MIN(Mkt!DS91,DR91*(1+Inputs!$B$18))),DR91)))</f>
        <v>2922.69193177751</v>
      </c>
      <c r="DT91" s="11" t="n">
        <f aca="false">IF(DT$1&lt;Units!$P90,0,IF(AND(Units!$K90=0,DT$1=Units!$O90),Units!$R90,IF(AND(DT$1&gt;=Units!$Q90,MOD(DT$1-Units!$Q90,12)=0),IF(AND(Units!$L90=1,DT$1=Units!$Q90),IF(Units!$J90&lt;&gt;"",Units!$J90,Mkt!DT91),Inputs!$B$15*Mkt!DT91+(1-Inputs!$B$15)*MIN(Mkt!DT91,DS91*(1+Inputs!$B$18))),DS91)))</f>
        <v>2922.69193177751</v>
      </c>
      <c r="DU91" s="11" t="n">
        <f aca="false">IF(DU$1&lt;Units!$P90,0,IF(AND(Units!$K90=0,DU$1=Units!$O90),Units!$R90,IF(AND(DU$1&gt;=Units!$Q90,MOD(DU$1-Units!$Q90,12)=0),IF(AND(Units!$L90=1,DU$1=Units!$Q90),IF(Units!$J90&lt;&gt;"",Units!$J90,Mkt!DU91),Inputs!$B$15*Mkt!DU91+(1-Inputs!$B$15)*MIN(Mkt!DU91,DT91*(1+Inputs!$B$18))),DT91)))</f>
        <v>2922.69193177751</v>
      </c>
      <c r="DV91" s="11" t="n">
        <f aca="false">IF(DV$1&lt;Units!$P90,0,IF(AND(Units!$K90=0,DV$1=Units!$O90),Units!$R90,IF(AND(DV$1&gt;=Units!$Q90,MOD(DV$1-Units!$Q90,12)=0),IF(AND(Units!$L90=1,DV$1=Units!$Q90),IF(Units!$J90&lt;&gt;"",Units!$J90,Mkt!DV91),Inputs!$B$15*Mkt!DV91+(1-Inputs!$B$15)*MIN(Mkt!DV91,DU91*(1+Inputs!$B$18))),DU91)))</f>
        <v>2922.69193177751</v>
      </c>
      <c r="DW91" s="11" t="n">
        <f aca="false">IF(DW$1&lt;Units!$P90,0,IF(AND(Units!$K90=0,DW$1=Units!$O90),Units!$R90,IF(AND(DW$1&gt;=Units!$Q90,MOD(DW$1-Units!$Q90,12)=0),IF(AND(Units!$L90=1,DW$1=Units!$Q90),IF(Units!$J90&lt;&gt;"",Units!$J90,Mkt!DW91),Inputs!$B$15*Mkt!DW91+(1-Inputs!$B$15)*MIN(Mkt!DW91,DV91*(1+Inputs!$B$18))),DV91)))</f>
        <v>2922.69193177751</v>
      </c>
      <c r="DX91" s="11" t="n">
        <f aca="false">IF(DX$1&lt;Units!$P90,0,IF(AND(Units!$K90=0,DX$1=Units!$O90),Units!$R90,IF(AND(DX$1&gt;=Units!$Q90,MOD(DX$1-Units!$Q90,12)=0),IF(AND(Units!$L90=1,DX$1=Units!$Q90),IF(Units!$J90&lt;&gt;"",Units!$J90,Mkt!DX91),Inputs!$B$15*Mkt!DX91+(1-Inputs!$B$15)*MIN(Mkt!DX91,DW91*(1+Inputs!$B$18))),DW91)))</f>
        <v>2922.69193177751</v>
      </c>
      <c r="DY91" s="11" t="n">
        <f aca="false">IF(DY$1&lt;Units!$P90,0,IF(AND(Units!$K90=0,DY$1=Units!$O90),Units!$R90,IF(AND(DY$1&gt;=Units!$Q90,MOD(DY$1-Units!$Q90,12)=0),IF(AND(Units!$L90=1,DY$1=Units!$Q90),IF(Units!$J90&lt;&gt;"",Units!$J90,Mkt!DY91),Inputs!$B$15*Mkt!DY91+(1-Inputs!$B$15)*MIN(Mkt!DY91,DX91*(1+Inputs!$B$18))),DX91)))</f>
        <v>3010.37268973083</v>
      </c>
      <c r="DZ91" s="11" t="n">
        <f aca="false">IF(DZ$1&lt;Units!$P90,0,IF(AND(Units!$K90=0,DZ$1=Units!$O90),Units!$R90,IF(AND(DZ$1&gt;=Units!$Q90,MOD(DZ$1-Units!$Q90,12)=0),IF(AND(Units!$L90=1,DZ$1=Units!$Q90),IF(Units!$J90&lt;&gt;"",Units!$J90,Mkt!DZ91),Inputs!$B$15*Mkt!DZ91+(1-Inputs!$B$15)*MIN(Mkt!DZ91,DY91*(1+Inputs!$B$18))),DY91)))</f>
        <v>3010.37268973083</v>
      </c>
      <c r="EA91" s="11" t="n">
        <f aca="false">IF(EA$1&lt;Units!$P90,0,IF(AND(Units!$K90=0,EA$1=Units!$O90),Units!$R90,IF(AND(EA$1&gt;=Units!$Q90,MOD(EA$1-Units!$Q90,12)=0),IF(AND(Units!$L90=1,EA$1=Units!$Q90),IF(Units!$J90&lt;&gt;"",Units!$J90,Mkt!EA91),Inputs!$B$15*Mkt!EA91+(1-Inputs!$B$15)*MIN(Mkt!EA91,DZ91*(1+Inputs!$B$18))),DZ91)))</f>
        <v>3010.37268973083</v>
      </c>
      <c r="EB91" s="11" t="n">
        <f aca="false">IF(EB$1&lt;Units!$P90,0,IF(AND(Units!$K90=0,EB$1=Units!$O90),Units!$R90,IF(AND(EB$1&gt;=Units!$Q90,MOD(EB$1-Units!$Q90,12)=0),IF(AND(Units!$L90=1,EB$1=Units!$Q90),IF(Units!$J90&lt;&gt;"",Units!$J90,Mkt!EB91),Inputs!$B$15*Mkt!EB91+(1-Inputs!$B$15)*MIN(Mkt!EB91,EA91*(1+Inputs!$B$18))),EA91)))</f>
        <v>3010.37268973083</v>
      </c>
      <c r="EC91" s="11" t="n">
        <f aca="false">IF(EC$1&lt;Units!$P90,0,IF(AND(Units!$K90=0,EC$1=Units!$O90),Units!$R90,IF(AND(EC$1&gt;=Units!$Q90,MOD(EC$1-Units!$Q90,12)=0),IF(AND(Units!$L90=1,EC$1=Units!$Q90),IF(Units!$J90&lt;&gt;"",Units!$J90,Mkt!EC91),Inputs!$B$15*Mkt!EC91+(1-Inputs!$B$15)*MIN(Mkt!EC91,EB91*(1+Inputs!$B$18))),EB91)))</f>
        <v>3010.37268973083</v>
      </c>
      <c r="ED91" s="11" t="n">
        <f aca="false">IF(ED$1&lt;Units!$P90,0,IF(AND(Units!$K90=0,ED$1=Units!$O90),Units!$R90,IF(AND(ED$1&gt;=Units!$Q90,MOD(ED$1-Units!$Q90,12)=0),IF(AND(Units!$L90=1,ED$1=Units!$Q90),IF(Units!$J90&lt;&gt;"",Units!$J90,Mkt!ED91),Inputs!$B$15*Mkt!ED91+(1-Inputs!$B$15)*MIN(Mkt!ED91,EC91*(1+Inputs!$B$18))),EC91)))</f>
        <v>3010.37268973083</v>
      </c>
    </row>
    <row r="92" customFormat="false" ht="15" hidden="false" customHeight="false" outlineLevel="0" collapsed="false">
      <c r="A92" s="22" t="n">
        <f aca="false">Units!A91</f>
        <v>330</v>
      </c>
      <c r="B92" s="24" t="n">
        <f aca="false">IF(Units!K91=1,Units!F91,0)</f>
        <v>2325</v>
      </c>
      <c r="C92" s="11" t="n">
        <f aca="false">IF(C$1&lt;Units!$P91,0,IF(AND(Units!$K91=0,C$1=Units!$O91),Units!$R91,IF(AND(C$1&gt;=Units!$Q91,MOD(C$1-Units!$Q91,12)=0),IF(AND(Units!$L91=1,C$1=Units!$Q91),IF(Units!$J91&lt;&gt;"",Units!$J91,Mkt!C92),Inputs!$B$15*Mkt!C92+(1-Inputs!$B$15)*MIN(Mkt!C92,B92*(1+Inputs!$B$18))),B92)))</f>
        <v>2325</v>
      </c>
      <c r="D92" s="11" t="n">
        <f aca="false">IF(D$1&lt;Units!$P91,0,IF(AND(Units!$K91=0,D$1=Units!$O91),Units!$R91,IF(AND(D$1&gt;=Units!$Q91,MOD(D$1-Units!$Q91,12)=0),IF(AND(Units!$L91=1,D$1=Units!$Q91),IF(Units!$J91&lt;&gt;"",Units!$J91,Mkt!D92),Inputs!$B$15*Mkt!D92+(1-Inputs!$B$15)*MIN(Mkt!D92,C92*(1+Inputs!$B$18))),C92)))</f>
        <v>2325</v>
      </c>
      <c r="E92" s="11" t="n">
        <f aca="false">IF(E$1&lt;Units!$P91,0,IF(AND(Units!$K91=0,E$1=Units!$O91),Units!$R91,IF(AND(E$1&gt;=Units!$Q91,MOD(E$1-Units!$Q91,12)=0),IF(AND(Units!$L91=1,E$1=Units!$Q91),IF(Units!$J91&lt;&gt;"",Units!$J91,Mkt!E92),Inputs!$B$15*Mkt!E92+(1-Inputs!$B$15)*MIN(Mkt!E92,D92*(1+Inputs!$B$18))),D92)))</f>
        <v>2240</v>
      </c>
      <c r="F92" s="11" t="n">
        <f aca="false">IF(F$1&lt;Units!$P91,0,IF(AND(Units!$K91=0,F$1=Units!$O91),Units!$R91,IF(AND(F$1&gt;=Units!$Q91,MOD(F$1-Units!$Q91,12)=0),IF(AND(Units!$L91=1,F$1=Units!$Q91),IF(Units!$J91&lt;&gt;"",Units!$J91,Mkt!F92),Inputs!$B$15*Mkt!F92+(1-Inputs!$B$15)*MIN(Mkt!F92,E92*(1+Inputs!$B$18))),E92)))</f>
        <v>2240</v>
      </c>
      <c r="G92" s="11" t="n">
        <f aca="false">IF(G$1&lt;Units!$P91,0,IF(AND(Units!$K91=0,G$1=Units!$O91),Units!$R91,IF(AND(G$1&gt;=Units!$Q91,MOD(G$1-Units!$Q91,12)=0),IF(AND(Units!$L91=1,G$1=Units!$Q91),IF(Units!$J91&lt;&gt;"",Units!$J91,Mkt!G92),Inputs!$B$15*Mkt!G92+(1-Inputs!$B$15)*MIN(Mkt!G92,F92*(1+Inputs!$B$18))),F92)))</f>
        <v>2240</v>
      </c>
      <c r="H92" s="11" t="n">
        <f aca="false">IF(H$1&lt;Units!$P91,0,IF(AND(Units!$K91=0,H$1=Units!$O91),Units!$R91,IF(AND(H$1&gt;=Units!$Q91,MOD(H$1-Units!$Q91,12)=0),IF(AND(Units!$L91=1,H$1=Units!$Q91),IF(Units!$J91&lt;&gt;"",Units!$J91,Mkt!H92),Inputs!$B$15*Mkt!H92+(1-Inputs!$B$15)*MIN(Mkt!H92,G92*(1+Inputs!$B$18))),G92)))</f>
        <v>2240</v>
      </c>
      <c r="I92" s="11" t="n">
        <f aca="false">IF(I$1&lt;Units!$P91,0,IF(AND(Units!$K91=0,I$1=Units!$O91),Units!$R91,IF(AND(I$1&gt;=Units!$Q91,MOD(I$1-Units!$Q91,12)=0),IF(AND(Units!$L91=1,I$1=Units!$Q91),IF(Units!$J91&lt;&gt;"",Units!$J91,Mkt!I92),Inputs!$B$15*Mkt!I92+(1-Inputs!$B$15)*MIN(Mkt!I92,H92*(1+Inputs!$B$18))),H92)))</f>
        <v>2240</v>
      </c>
      <c r="J92" s="11" t="n">
        <f aca="false">IF(J$1&lt;Units!$P91,0,IF(AND(Units!$K91=0,J$1=Units!$O91),Units!$R91,IF(AND(J$1&gt;=Units!$Q91,MOD(J$1-Units!$Q91,12)=0),IF(AND(Units!$L91=1,J$1=Units!$Q91),IF(Units!$J91&lt;&gt;"",Units!$J91,Mkt!J92),Inputs!$B$15*Mkt!J92+(1-Inputs!$B$15)*MIN(Mkt!J92,I92*(1+Inputs!$B$18))),I92)))</f>
        <v>2240</v>
      </c>
      <c r="K92" s="11" t="n">
        <f aca="false">IF(K$1&lt;Units!$P91,0,IF(AND(Units!$K91=0,K$1=Units!$O91),Units!$R91,IF(AND(K$1&gt;=Units!$Q91,MOD(K$1-Units!$Q91,12)=0),IF(AND(Units!$L91=1,K$1=Units!$Q91),IF(Units!$J91&lt;&gt;"",Units!$J91,Mkt!K92),Inputs!$B$15*Mkt!K92+(1-Inputs!$B$15)*MIN(Mkt!K92,J92*(1+Inputs!$B$18))),J92)))</f>
        <v>2240</v>
      </c>
      <c r="L92" s="11" t="n">
        <f aca="false">IF(L$1&lt;Units!$P91,0,IF(AND(Units!$K91=0,L$1=Units!$O91),Units!$R91,IF(AND(L$1&gt;=Units!$Q91,MOD(L$1-Units!$Q91,12)=0),IF(AND(Units!$L91=1,L$1=Units!$Q91),IF(Units!$J91&lt;&gt;"",Units!$J91,Mkt!L92),Inputs!$B$15*Mkt!L92+(1-Inputs!$B$15)*MIN(Mkt!L92,K92*(1+Inputs!$B$18))),K92)))</f>
        <v>2240</v>
      </c>
      <c r="M92" s="11" t="n">
        <f aca="false">IF(M$1&lt;Units!$P91,0,IF(AND(Units!$K91=0,M$1=Units!$O91),Units!$R91,IF(AND(M$1&gt;=Units!$Q91,MOD(M$1-Units!$Q91,12)=0),IF(AND(Units!$L91=1,M$1=Units!$Q91),IF(Units!$J91&lt;&gt;"",Units!$J91,Mkt!M92),Inputs!$B$15*Mkt!M92+(1-Inputs!$B$15)*MIN(Mkt!M92,L92*(1+Inputs!$B$18))),L92)))</f>
        <v>2240</v>
      </c>
      <c r="N92" s="11" t="n">
        <f aca="false">IF(N$1&lt;Units!$P91,0,IF(AND(Units!$K91=0,N$1=Units!$O91),Units!$R91,IF(AND(N$1&gt;=Units!$Q91,MOD(N$1-Units!$Q91,12)=0),IF(AND(Units!$L91=1,N$1=Units!$Q91),IF(Units!$J91&lt;&gt;"",Units!$J91,Mkt!N92),Inputs!$B$15*Mkt!N92+(1-Inputs!$B$15)*MIN(Mkt!N92,M92*(1+Inputs!$B$18))),M92)))</f>
        <v>2240</v>
      </c>
      <c r="O92" s="11" t="n">
        <f aca="false">IF(O$1&lt;Units!$P91,0,IF(AND(Units!$K91=0,O$1=Units!$O91),Units!$R91,IF(AND(O$1&gt;=Units!$Q91,MOD(O$1-Units!$Q91,12)=0),IF(AND(Units!$L91=1,O$1=Units!$Q91),IF(Units!$J91&lt;&gt;"",Units!$J91,Mkt!O92),Inputs!$B$15*Mkt!O92+(1-Inputs!$B$15)*MIN(Mkt!O92,N92*(1+Inputs!$B$18))),N92)))</f>
        <v>2240</v>
      </c>
      <c r="P92" s="11" t="n">
        <f aca="false">IF(P$1&lt;Units!$P91,0,IF(AND(Units!$K91=0,P$1=Units!$O91),Units!$R91,IF(AND(P$1&gt;=Units!$Q91,MOD(P$1-Units!$Q91,12)=0),IF(AND(Units!$L91=1,P$1=Units!$Q91),IF(Units!$J91&lt;&gt;"",Units!$J91,Mkt!P92),Inputs!$B$15*Mkt!P92+(1-Inputs!$B$15)*MIN(Mkt!P92,O92*(1+Inputs!$B$18))),O92)))</f>
        <v>2240</v>
      </c>
      <c r="Q92" s="11" t="n">
        <f aca="false">IF(Q$1&lt;Units!$P91,0,IF(AND(Units!$K91=0,Q$1=Units!$O91),Units!$R91,IF(AND(Q$1&gt;=Units!$Q91,MOD(Q$1-Units!$Q91,12)=0),IF(AND(Units!$L91=1,Q$1=Units!$Q91),IF(Units!$J91&lt;&gt;"",Units!$J91,Mkt!Q92),Inputs!$B$15*Mkt!Q92+(1-Inputs!$B$15)*MIN(Mkt!Q92,P92*(1+Inputs!$B$18))),P92)))</f>
        <v>2307.2</v>
      </c>
      <c r="R92" s="11" t="n">
        <f aca="false">IF(R$1&lt;Units!$P91,0,IF(AND(Units!$K91=0,R$1=Units!$O91),Units!$R91,IF(AND(R$1&gt;=Units!$Q91,MOD(R$1-Units!$Q91,12)=0),IF(AND(Units!$L91=1,R$1=Units!$Q91),IF(Units!$J91&lt;&gt;"",Units!$J91,Mkt!R92),Inputs!$B$15*Mkt!R92+(1-Inputs!$B$15)*MIN(Mkt!R92,Q92*(1+Inputs!$B$18))),Q92)))</f>
        <v>2307.2</v>
      </c>
      <c r="S92" s="11" t="n">
        <f aca="false">IF(S$1&lt;Units!$P91,0,IF(AND(Units!$K91=0,S$1=Units!$O91),Units!$R91,IF(AND(S$1&gt;=Units!$Q91,MOD(S$1-Units!$Q91,12)=0),IF(AND(Units!$L91=1,S$1=Units!$Q91),IF(Units!$J91&lt;&gt;"",Units!$J91,Mkt!S92),Inputs!$B$15*Mkt!S92+(1-Inputs!$B$15)*MIN(Mkt!S92,R92*(1+Inputs!$B$18))),R92)))</f>
        <v>2307.2</v>
      </c>
      <c r="T92" s="11" t="n">
        <f aca="false">IF(T$1&lt;Units!$P91,0,IF(AND(Units!$K91=0,T$1=Units!$O91),Units!$R91,IF(AND(T$1&gt;=Units!$Q91,MOD(T$1-Units!$Q91,12)=0),IF(AND(Units!$L91=1,T$1=Units!$Q91),IF(Units!$J91&lt;&gt;"",Units!$J91,Mkt!T92),Inputs!$B$15*Mkt!T92+(1-Inputs!$B$15)*MIN(Mkt!T92,S92*(1+Inputs!$B$18))),S92)))</f>
        <v>2307.2</v>
      </c>
      <c r="U92" s="11" t="n">
        <f aca="false">IF(U$1&lt;Units!$P91,0,IF(AND(Units!$K91=0,U$1=Units!$O91),Units!$R91,IF(AND(U$1&gt;=Units!$Q91,MOD(U$1-Units!$Q91,12)=0),IF(AND(Units!$L91=1,U$1=Units!$Q91),IF(Units!$J91&lt;&gt;"",Units!$J91,Mkt!U92),Inputs!$B$15*Mkt!U92+(1-Inputs!$B$15)*MIN(Mkt!U92,T92*(1+Inputs!$B$18))),T92)))</f>
        <v>2307.2</v>
      </c>
      <c r="V92" s="11" t="n">
        <f aca="false">IF(V$1&lt;Units!$P91,0,IF(AND(Units!$K91=0,V$1=Units!$O91),Units!$R91,IF(AND(V$1&gt;=Units!$Q91,MOD(V$1-Units!$Q91,12)=0),IF(AND(Units!$L91=1,V$1=Units!$Q91),IF(Units!$J91&lt;&gt;"",Units!$J91,Mkt!V92),Inputs!$B$15*Mkt!V92+(1-Inputs!$B$15)*MIN(Mkt!V92,U92*(1+Inputs!$B$18))),U92)))</f>
        <v>2307.2</v>
      </c>
      <c r="W92" s="11" t="n">
        <f aca="false">IF(W$1&lt;Units!$P91,0,IF(AND(Units!$K91=0,W$1=Units!$O91),Units!$R91,IF(AND(W$1&gt;=Units!$Q91,MOD(W$1-Units!$Q91,12)=0),IF(AND(Units!$L91=1,W$1=Units!$Q91),IF(Units!$J91&lt;&gt;"",Units!$J91,Mkt!W92),Inputs!$B$15*Mkt!W92+(1-Inputs!$B$15)*MIN(Mkt!W92,V92*(1+Inputs!$B$18))),V92)))</f>
        <v>2307.2</v>
      </c>
      <c r="X92" s="11" t="n">
        <f aca="false">IF(X$1&lt;Units!$P91,0,IF(AND(Units!$K91=0,X$1=Units!$O91),Units!$R91,IF(AND(X$1&gt;=Units!$Q91,MOD(X$1-Units!$Q91,12)=0),IF(AND(Units!$L91=1,X$1=Units!$Q91),IF(Units!$J91&lt;&gt;"",Units!$J91,Mkt!X92),Inputs!$B$15*Mkt!X92+(1-Inputs!$B$15)*MIN(Mkt!X92,W92*(1+Inputs!$B$18))),W92)))</f>
        <v>2307.2</v>
      </c>
      <c r="Y92" s="11" t="n">
        <f aca="false">IF(Y$1&lt;Units!$P91,0,IF(AND(Units!$K91=0,Y$1=Units!$O91),Units!$R91,IF(AND(Y$1&gt;=Units!$Q91,MOD(Y$1-Units!$Q91,12)=0),IF(AND(Units!$L91=1,Y$1=Units!$Q91),IF(Units!$J91&lt;&gt;"",Units!$J91,Mkt!Y92),Inputs!$B$15*Mkt!Y92+(1-Inputs!$B$15)*MIN(Mkt!Y92,X92*(1+Inputs!$B$18))),X92)))</f>
        <v>2307.2</v>
      </c>
      <c r="Z92" s="11" t="n">
        <f aca="false">IF(Z$1&lt;Units!$P91,0,IF(AND(Units!$K91=0,Z$1=Units!$O91),Units!$R91,IF(AND(Z$1&gt;=Units!$Q91,MOD(Z$1-Units!$Q91,12)=0),IF(AND(Units!$L91=1,Z$1=Units!$Q91),IF(Units!$J91&lt;&gt;"",Units!$J91,Mkt!Z92),Inputs!$B$15*Mkt!Z92+(1-Inputs!$B$15)*MIN(Mkt!Z92,Y92*(1+Inputs!$B$18))),Y92)))</f>
        <v>2307.2</v>
      </c>
      <c r="AA92" s="11" t="n">
        <f aca="false">IF(AA$1&lt;Units!$P91,0,IF(AND(Units!$K91=0,AA$1=Units!$O91),Units!$R91,IF(AND(AA$1&gt;=Units!$Q91,MOD(AA$1-Units!$Q91,12)=0),IF(AND(Units!$L91=1,AA$1=Units!$Q91),IF(Units!$J91&lt;&gt;"",Units!$J91,Mkt!AA92),Inputs!$B$15*Mkt!AA92+(1-Inputs!$B$15)*MIN(Mkt!AA92,Z92*(1+Inputs!$B$18))),Z92)))</f>
        <v>2307.2</v>
      </c>
      <c r="AB92" s="11" t="n">
        <f aca="false">IF(AB$1&lt;Units!$P91,0,IF(AND(Units!$K91=0,AB$1=Units!$O91),Units!$R91,IF(AND(AB$1&gt;=Units!$Q91,MOD(AB$1-Units!$Q91,12)=0),IF(AND(Units!$L91=1,AB$1=Units!$Q91),IF(Units!$J91&lt;&gt;"",Units!$J91,Mkt!AB92),Inputs!$B$15*Mkt!AB92+(1-Inputs!$B$15)*MIN(Mkt!AB92,AA92*(1+Inputs!$B$18))),AA92)))</f>
        <v>2307.2</v>
      </c>
      <c r="AC92" s="11" t="n">
        <f aca="false">IF(AC$1&lt;Units!$P91,0,IF(AND(Units!$K91=0,AC$1=Units!$O91),Units!$R91,IF(AND(AC$1&gt;=Units!$Q91,MOD(AC$1-Units!$Q91,12)=0),IF(AND(Units!$L91=1,AC$1=Units!$Q91),IF(Units!$J91&lt;&gt;"",Units!$J91,Mkt!AC92),Inputs!$B$15*Mkt!AC92+(1-Inputs!$B$15)*MIN(Mkt!AC92,AB92*(1+Inputs!$B$18))),AB92)))</f>
        <v>2376.416</v>
      </c>
      <c r="AD92" s="11" t="n">
        <f aca="false">IF(AD$1&lt;Units!$P91,0,IF(AND(Units!$K91=0,AD$1=Units!$O91),Units!$R91,IF(AND(AD$1&gt;=Units!$Q91,MOD(AD$1-Units!$Q91,12)=0),IF(AND(Units!$L91=1,AD$1=Units!$Q91),IF(Units!$J91&lt;&gt;"",Units!$J91,Mkt!AD92),Inputs!$B$15*Mkt!AD92+(1-Inputs!$B$15)*MIN(Mkt!AD92,AC92*(1+Inputs!$B$18))),AC92)))</f>
        <v>2376.416</v>
      </c>
      <c r="AE92" s="11" t="n">
        <f aca="false">IF(AE$1&lt;Units!$P91,0,IF(AND(Units!$K91=0,AE$1=Units!$O91),Units!$R91,IF(AND(AE$1&gt;=Units!$Q91,MOD(AE$1-Units!$Q91,12)=0),IF(AND(Units!$L91=1,AE$1=Units!$Q91),IF(Units!$J91&lt;&gt;"",Units!$J91,Mkt!AE92),Inputs!$B$15*Mkt!AE92+(1-Inputs!$B$15)*MIN(Mkt!AE92,AD92*(1+Inputs!$B$18))),AD92)))</f>
        <v>2376.416</v>
      </c>
      <c r="AF92" s="11" t="n">
        <f aca="false">IF(AF$1&lt;Units!$P91,0,IF(AND(Units!$K91=0,AF$1=Units!$O91),Units!$R91,IF(AND(AF$1&gt;=Units!$Q91,MOD(AF$1-Units!$Q91,12)=0),IF(AND(Units!$L91=1,AF$1=Units!$Q91),IF(Units!$J91&lt;&gt;"",Units!$J91,Mkt!AF92),Inputs!$B$15*Mkt!AF92+(1-Inputs!$B$15)*MIN(Mkt!AF92,AE92*(1+Inputs!$B$18))),AE92)))</f>
        <v>2376.416</v>
      </c>
      <c r="AG92" s="11" t="n">
        <f aca="false">IF(AG$1&lt;Units!$P91,0,IF(AND(Units!$K91=0,AG$1=Units!$O91),Units!$R91,IF(AND(AG$1&gt;=Units!$Q91,MOD(AG$1-Units!$Q91,12)=0),IF(AND(Units!$L91=1,AG$1=Units!$Q91),IF(Units!$J91&lt;&gt;"",Units!$J91,Mkt!AG92),Inputs!$B$15*Mkt!AG92+(1-Inputs!$B$15)*MIN(Mkt!AG92,AF92*(1+Inputs!$B$18))),AF92)))</f>
        <v>2376.416</v>
      </c>
      <c r="AH92" s="11" t="n">
        <f aca="false">IF(AH$1&lt;Units!$P91,0,IF(AND(Units!$K91=0,AH$1=Units!$O91),Units!$R91,IF(AND(AH$1&gt;=Units!$Q91,MOD(AH$1-Units!$Q91,12)=0),IF(AND(Units!$L91=1,AH$1=Units!$Q91),IF(Units!$J91&lt;&gt;"",Units!$J91,Mkt!AH92),Inputs!$B$15*Mkt!AH92+(1-Inputs!$B$15)*MIN(Mkt!AH92,AG92*(1+Inputs!$B$18))),AG92)))</f>
        <v>2376.416</v>
      </c>
      <c r="AI92" s="11" t="n">
        <f aca="false">IF(AI$1&lt;Units!$P91,0,IF(AND(Units!$K91=0,AI$1=Units!$O91),Units!$R91,IF(AND(AI$1&gt;=Units!$Q91,MOD(AI$1-Units!$Q91,12)=0),IF(AND(Units!$L91=1,AI$1=Units!$Q91),IF(Units!$J91&lt;&gt;"",Units!$J91,Mkt!AI92),Inputs!$B$15*Mkt!AI92+(1-Inputs!$B$15)*MIN(Mkt!AI92,AH92*(1+Inputs!$B$18))),AH92)))</f>
        <v>2376.416</v>
      </c>
      <c r="AJ92" s="11" t="n">
        <f aca="false">IF(AJ$1&lt;Units!$P91,0,IF(AND(Units!$K91=0,AJ$1=Units!$O91),Units!$R91,IF(AND(AJ$1&gt;=Units!$Q91,MOD(AJ$1-Units!$Q91,12)=0),IF(AND(Units!$L91=1,AJ$1=Units!$Q91),IF(Units!$J91&lt;&gt;"",Units!$J91,Mkt!AJ92),Inputs!$B$15*Mkt!AJ92+(1-Inputs!$B$15)*MIN(Mkt!AJ92,AI92*(1+Inputs!$B$18))),AI92)))</f>
        <v>2376.416</v>
      </c>
      <c r="AK92" s="11" t="n">
        <f aca="false">IF(AK$1&lt;Units!$P91,0,IF(AND(Units!$K91=0,AK$1=Units!$O91),Units!$R91,IF(AND(AK$1&gt;=Units!$Q91,MOD(AK$1-Units!$Q91,12)=0),IF(AND(Units!$L91=1,AK$1=Units!$Q91),IF(Units!$J91&lt;&gt;"",Units!$J91,Mkt!AK92),Inputs!$B$15*Mkt!AK92+(1-Inputs!$B$15)*MIN(Mkt!AK92,AJ92*(1+Inputs!$B$18))),AJ92)))</f>
        <v>2376.416</v>
      </c>
      <c r="AL92" s="11" t="n">
        <f aca="false">IF(AL$1&lt;Units!$P91,0,IF(AND(Units!$K91=0,AL$1=Units!$O91),Units!$R91,IF(AND(AL$1&gt;=Units!$Q91,MOD(AL$1-Units!$Q91,12)=0),IF(AND(Units!$L91=1,AL$1=Units!$Q91),IF(Units!$J91&lt;&gt;"",Units!$J91,Mkt!AL92),Inputs!$B$15*Mkt!AL92+(1-Inputs!$B$15)*MIN(Mkt!AL92,AK92*(1+Inputs!$B$18))),AK92)))</f>
        <v>2376.416</v>
      </c>
      <c r="AM92" s="11" t="n">
        <f aca="false">IF(AM$1&lt;Units!$P91,0,IF(AND(Units!$K91=0,AM$1=Units!$O91),Units!$R91,IF(AND(AM$1&gt;=Units!$Q91,MOD(AM$1-Units!$Q91,12)=0),IF(AND(Units!$L91=1,AM$1=Units!$Q91),IF(Units!$J91&lt;&gt;"",Units!$J91,Mkt!AM92),Inputs!$B$15*Mkt!AM92+(1-Inputs!$B$15)*MIN(Mkt!AM92,AL92*(1+Inputs!$B$18))),AL92)))</f>
        <v>2376.416</v>
      </c>
      <c r="AN92" s="11" t="n">
        <f aca="false">IF(AN$1&lt;Units!$P91,0,IF(AND(Units!$K91=0,AN$1=Units!$O91),Units!$R91,IF(AND(AN$1&gt;=Units!$Q91,MOD(AN$1-Units!$Q91,12)=0),IF(AND(Units!$L91=1,AN$1=Units!$Q91),IF(Units!$J91&lt;&gt;"",Units!$J91,Mkt!AN92),Inputs!$B$15*Mkt!AN92+(1-Inputs!$B$15)*MIN(Mkt!AN92,AM92*(1+Inputs!$B$18))),AM92)))</f>
        <v>2376.416</v>
      </c>
      <c r="AO92" s="11" t="n">
        <f aca="false">IF(AO$1&lt;Units!$P91,0,IF(AND(Units!$K91=0,AO$1=Units!$O91),Units!$R91,IF(AND(AO$1&gt;=Units!$Q91,MOD(AO$1-Units!$Q91,12)=0),IF(AND(Units!$L91=1,AO$1=Units!$Q91),IF(Units!$J91&lt;&gt;"",Units!$J91,Mkt!AO92),Inputs!$B$15*Mkt!AO92+(1-Inputs!$B$15)*MIN(Mkt!AO92,AN92*(1+Inputs!$B$18))),AN92)))</f>
        <v>2447.70848</v>
      </c>
      <c r="AP92" s="11" t="n">
        <f aca="false">IF(AP$1&lt;Units!$P91,0,IF(AND(Units!$K91=0,AP$1=Units!$O91),Units!$R91,IF(AND(AP$1&gt;=Units!$Q91,MOD(AP$1-Units!$Q91,12)=0),IF(AND(Units!$L91=1,AP$1=Units!$Q91),IF(Units!$J91&lt;&gt;"",Units!$J91,Mkt!AP92),Inputs!$B$15*Mkt!AP92+(1-Inputs!$B$15)*MIN(Mkt!AP92,AO92*(1+Inputs!$B$18))),AO92)))</f>
        <v>2447.70848</v>
      </c>
      <c r="AQ92" s="11" t="n">
        <f aca="false">IF(AQ$1&lt;Units!$P91,0,IF(AND(Units!$K91=0,AQ$1=Units!$O91),Units!$R91,IF(AND(AQ$1&gt;=Units!$Q91,MOD(AQ$1-Units!$Q91,12)=0),IF(AND(Units!$L91=1,AQ$1=Units!$Q91),IF(Units!$J91&lt;&gt;"",Units!$J91,Mkt!AQ92),Inputs!$B$15*Mkt!AQ92+(1-Inputs!$B$15)*MIN(Mkt!AQ92,AP92*(1+Inputs!$B$18))),AP92)))</f>
        <v>2447.70848</v>
      </c>
      <c r="AR92" s="11" t="n">
        <f aca="false">IF(AR$1&lt;Units!$P91,0,IF(AND(Units!$K91=0,AR$1=Units!$O91),Units!$R91,IF(AND(AR$1&gt;=Units!$Q91,MOD(AR$1-Units!$Q91,12)=0),IF(AND(Units!$L91=1,AR$1=Units!$Q91),IF(Units!$J91&lt;&gt;"",Units!$J91,Mkt!AR92),Inputs!$B$15*Mkt!AR92+(1-Inputs!$B$15)*MIN(Mkt!AR92,AQ92*(1+Inputs!$B$18))),AQ92)))</f>
        <v>2447.70848</v>
      </c>
      <c r="AS92" s="11" t="n">
        <f aca="false">IF(AS$1&lt;Units!$P91,0,IF(AND(Units!$K91=0,AS$1=Units!$O91),Units!$R91,IF(AND(AS$1&gt;=Units!$Q91,MOD(AS$1-Units!$Q91,12)=0),IF(AND(Units!$L91=1,AS$1=Units!$Q91),IF(Units!$J91&lt;&gt;"",Units!$J91,Mkt!AS92),Inputs!$B$15*Mkt!AS92+(1-Inputs!$B$15)*MIN(Mkt!AS92,AR92*(1+Inputs!$B$18))),AR92)))</f>
        <v>2447.70848</v>
      </c>
      <c r="AT92" s="11" t="n">
        <f aca="false">IF(AT$1&lt;Units!$P91,0,IF(AND(Units!$K91=0,AT$1=Units!$O91),Units!$R91,IF(AND(AT$1&gt;=Units!$Q91,MOD(AT$1-Units!$Q91,12)=0),IF(AND(Units!$L91=1,AT$1=Units!$Q91),IF(Units!$J91&lt;&gt;"",Units!$J91,Mkt!AT92),Inputs!$B$15*Mkt!AT92+(1-Inputs!$B$15)*MIN(Mkt!AT92,AS92*(1+Inputs!$B$18))),AS92)))</f>
        <v>2447.70848</v>
      </c>
      <c r="AU92" s="11" t="n">
        <f aca="false">IF(AU$1&lt;Units!$P91,0,IF(AND(Units!$K91=0,AU$1=Units!$O91),Units!$R91,IF(AND(AU$1&gt;=Units!$Q91,MOD(AU$1-Units!$Q91,12)=0),IF(AND(Units!$L91=1,AU$1=Units!$Q91),IF(Units!$J91&lt;&gt;"",Units!$J91,Mkt!AU92),Inputs!$B$15*Mkt!AU92+(1-Inputs!$B$15)*MIN(Mkt!AU92,AT92*(1+Inputs!$B$18))),AT92)))</f>
        <v>2447.70848</v>
      </c>
      <c r="AV92" s="11" t="n">
        <f aca="false">IF(AV$1&lt;Units!$P91,0,IF(AND(Units!$K91=0,AV$1=Units!$O91),Units!$R91,IF(AND(AV$1&gt;=Units!$Q91,MOD(AV$1-Units!$Q91,12)=0),IF(AND(Units!$L91=1,AV$1=Units!$Q91),IF(Units!$J91&lt;&gt;"",Units!$J91,Mkt!AV92),Inputs!$B$15*Mkt!AV92+(1-Inputs!$B$15)*MIN(Mkt!AV92,AU92*(1+Inputs!$B$18))),AU92)))</f>
        <v>2447.70848</v>
      </c>
      <c r="AW92" s="11" t="n">
        <f aca="false">IF(AW$1&lt;Units!$P91,0,IF(AND(Units!$K91=0,AW$1=Units!$O91),Units!$R91,IF(AND(AW$1&gt;=Units!$Q91,MOD(AW$1-Units!$Q91,12)=0),IF(AND(Units!$L91=1,AW$1=Units!$Q91),IF(Units!$J91&lt;&gt;"",Units!$J91,Mkt!AW92),Inputs!$B$15*Mkt!AW92+(1-Inputs!$B$15)*MIN(Mkt!AW92,AV92*(1+Inputs!$B$18))),AV92)))</f>
        <v>2447.70848</v>
      </c>
      <c r="AX92" s="11" t="n">
        <f aca="false">IF(AX$1&lt;Units!$P91,0,IF(AND(Units!$K91=0,AX$1=Units!$O91),Units!$R91,IF(AND(AX$1&gt;=Units!$Q91,MOD(AX$1-Units!$Q91,12)=0),IF(AND(Units!$L91=1,AX$1=Units!$Q91),IF(Units!$J91&lt;&gt;"",Units!$J91,Mkt!AX92),Inputs!$B$15*Mkt!AX92+(1-Inputs!$B$15)*MIN(Mkt!AX92,AW92*(1+Inputs!$B$18))),AW92)))</f>
        <v>2447.70848</v>
      </c>
      <c r="AY92" s="11" t="n">
        <f aca="false">IF(AY$1&lt;Units!$P91,0,IF(AND(Units!$K91=0,AY$1=Units!$O91),Units!$R91,IF(AND(AY$1&gt;=Units!$Q91,MOD(AY$1-Units!$Q91,12)=0),IF(AND(Units!$L91=1,AY$1=Units!$Q91),IF(Units!$J91&lt;&gt;"",Units!$J91,Mkt!AY92),Inputs!$B$15*Mkt!AY92+(1-Inputs!$B$15)*MIN(Mkt!AY92,AX92*(1+Inputs!$B$18))),AX92)))</f>
        <v>2447.70848</v>
      </c>
      <c r="AZ92" s="11" t="n">
        <f aca="false">IF(AZ$1&lt;Units!$P91,0,IF(AND(Units!$K91=0,AZ$1=Units!$O91),Units!$R91,IF(AND(AZ$1&gt;=Units!$Q91,MOD(AZ$1-Units!$Q91,12)=0),IF(AND(Units!$L91=1,AZ$1=Units!$Q91),IF(Units!$J91&lt;&gt;"",Units!$J91,Mkt!AZ92),Inputs!$B$15*Mkt!AZ92+(1-Inputs!$B$15)*MIN(Mkt!AZ92,AY92*(1+Inputs!$B$18))),AY92)))</f>
        <v>2447.70848</v>
      </c>
      <c r="BA92" s="11" t="n">
        <f aca="false">IF(BA$1&lt;Units!$P91,0,IF(AND(Units!$K91=0,BA$1=Units!$O91),Units!$R91,IF(AND(BA$1&gt;=Units!$Q91,MOD(BA$1-Units!$Q91,12)=0),IF(AND(Units!$L91=1,BA$1=Units!$Q91),IF(Units!$J91&lt;&gt;"",Units!$J91,Mkt!BA92),Inputs!$B$15*Mkt!BA92+(1-Inputs!$B$15)*MIN(Mkt!BA92,AZ92*(1+Inputs!$B$18))),AZ92)))</f>
        <v>2521.1397344</v>
      </c>
      <c r="BB92" s="11" t="n">
        <f aca="false">IF(BB$1&lt;Units!$P91,0,IF(AND(Units!$K91=0,BB$1=Units!$O91),Units!$R91,IF(AND(BB$1&gt;=Units!$Q91,MOD(BB$1-Units!$Q91,12)=0),IF(AND(Units!$L91=1,BB$1=Units!$Q91),IF(Units!$J91&lt;&gt;"",Units!$J91,Mkt!BB92),Inputs!$B$15*Mkt!BB92+(1-Inputs!$B$15)*MIN(Mkt!BB92,BA92*(1+Inputs!$B$18))),BA92)))</f>
        <v>2521.1397344</v>
      </c>
      <c r="BC92" s="11" t="n">
        <f aca="false">IF(BC$1&lt;Units!$P91,0,IF(AND(Units!$K91=0,BC$1=Units!$O91),Units!$R91,IF(AND(BC$1&gt;=Units!$Q91,MOD(BC$1-Units!$Q91,12)=0),IF(AND(Units!$L91=1,BC$1=Units!$Q91),IF(Units!$J91&lt;&gt;"",Units!$J91,Mkt!BC92),Inputs!$B$15*Mkt!BC92+(1-Inputs!$B$15)*MIN(Mkt!BC92,BB92*(1+Inputs!$B$18))),BB92)))</f>
        <v>2521.1397344</v>
      </c>
      <c r="BD92" s="11" t="n">
        <f aca="false">IF(BD$1&lt;Units!$P91,0,IF(AND(Units!$K91=0,BD$1=Units!$O91),Units!$R91,IF(AND(BD$1&gt;=Units!$Q91,MOD(BD$1-Units!$Q91,12)=0),IF(AND(Units!$L91=1,BD$1=Units!$Q91),IF(Units!$J91&lt;&gt;"",Units!$J91,Mkt!BD92),Inputs!$B$15*Mkt!BD92+(1-Inputs!$B$15)*MIN(Mkt!BD92,BC92*(1+Inputs!$B$18))),BC92)))</f>
        <v>2521.1397344</v>
      </c>
      <c r="BE92" s="11" t="n">
        <f aca="false">IF(BE$1&lt;Units!$P91,0,IF(AND(Units!$K91=0,BE$1=Units!$O91),Units!$R91,IF(AND(BE$1&gt;=Units!$Q91,MOD(BE$1-Units!$Q91,12)=0),IF(AND(Units!$L91=1,BE$1=Units!$Q91),IF(Units!$J91&lt;&gt;"",Units!$J91,Mkt!BE92),Inputs!$B$15*Mkt!BE92+(1-Inputs!$B$15)*MIN(Mkt!BE92,BD92*(1+Inputs!$B$18))),BD92)))</f>
        <v>2521.1397344</v>
      </c>
      <c r="BF92" s="11" t="n">
        <f aca="false">IF(BF$1&lt;Units!$P91,0,IF(AND(Units!$K91=0,BF$1=Units!$O91),Units!$R91,IF(AND(BF$1&gt;=Units!$Q91,MOD(BF$1-Units!$Q91,12)=0),IF(AND(Units!$L91=1,BF$1=Units!$Q91),IF(Units!$J91&lt;&gt;"",Units!$J91,Mkt!BF92),Inputs!$B$15*Mkt!BF92+(1-Inputs!$B$15)*MIN(Mkt!BF92,BE92*(1+Inputs!$B$18))),BE92)))</f>
        <v>2521.1397344</v>
      </c>
      <c r="BG92" s="11" t="n">
        <f aca="false">IF(BG$1&lt;Units!$P91,0,IF(AND(Units!$K91=0,BG$1=Units!$O91),Units!$R91,IF(AND(BG$1&gt;=Units!$Q91,MOD(BG$1-Units!$Q91,12)=0),IF(AND(Units!$L91=1,BG$1=Units!$Q91),IF(Units!$J91&lt;&gt;"",Units!$J91,Mkt!BG92),Inputs!$B$15*Mkt!BG92+(1-Inputs!$B$15)*MIN(Mkt!BG92,BF92*(1+Inputs!$B$18))),BF92)))</f>
        <v>2521.1397344</v>
      </c>
      <c r="BH92" s="11" t="n">
        <f aca="false">IF(BH$1&lt;Units!$P91,0,IF(AND(Units!$K91=0,BH$1=Units!$O91),Units!$R91,IF(AND(BH$1&gt;=Units!$Q91,MOD(BH$1-Units!$Q91,12)=0),IF(AND(Units!$L91=1,BH$1=Units!$Q91),IF(Units!$J91&lt;&gt;"",Units!$J91,Mkt!BH92),Inputs!$B$15*Mkt!BH92+(1-Inputs!$B$15)*MIN(Mkt!BH92,BG92*(1+Inputs!$B$18))),BG92)))</f>
        <v>2521.1397344</v>
      </c>
      <c r="BI92" s="11" t="n">
        <f aca="false">IF(BI$1&lt;Units!$P91,0,IF(AND(Units!$K91=0,BI$1=Units!$O91),Units!$R91,IF(AND(BI$1&gt;=Units!$Q91,MOD(BI$1-Units!$Q91,12)=0),IF(AND(Units!$L91=1,BI$1=Units!$Q91),IF(Units!$J91&lt;&gt;"",Units!$J91,Mkt!BI92),Inputs!$B$15*Mkt!BI92+(1-Inputs!$B$15)*MIN(Mkt!BI92,BH92*(1+Inputs!$B$18))),BH92)))</f>
        <v>2521.1397344</v>
      </c>
      <c r="BJ92" s="11" t="n">
        <f aca="false">IF(BJ$1&lt;Units!$P91,0,IF(AND(Units!$K91=0,BJ$1=Units!$O91),Units!$R91,IF(AND(BJ$1&gt;=Units!$Q91,MOD(BJ$1-Units!$Q91,12)=0),IF(AND(Units!$L91=1,BJ$1=Units!$Q91),IF(Units!$J91&lt;&gt;"",Units!$J91,Mkt!BJ92),Inputs!$B$15*Mkt!BJ92+(1-Inputs!$B$15)*MIN(Mkt!BJ92,BI92*(1+Inputs!$B$18))),BI92)))</f>
        <v>2521.1397344</v>
      </c>
      <c r="BK92" s="11" t="n">
        <f aca="false">IF(BK$1&lt;Units!$P91,0,IF(AND(Units!$K91=0,BK$1=Units!$O91),Units!$R91,IF(AND(BK$1&gt;=Units!$Q91,MOD(BK$1-Units!$Q91,12)=0),IF(AND(Units!$L91=1,BK$1=Units!$Q91),IF(Units!$J91&lt;&gt;"",Units!$J91,Mkt!BK92),Inputs!$B$15*Mkt!BK92+(1-Inputs!$B$15)*MIN(Mkt!BK92,BJ92*(1+Inputs!$B$18))),BJ92)))</f>
        <v>2521.1397344</v>
      </c>
      <c r="BL92" s="11" t="n">
        <f aca="false">IF(BL$1&lt;Units!$P91,0,IF(AND(Units!$K91=0,BL$1=Units!$O91),Units!$R91,IF(AND(BL$1&gt;=Units!$Q91,MOD(BL$1-Units!$Q91,12)=0),IF(AND(Units!$L91=1,BL$1=Units!$Q91),IF(Units!$J91&lt;&gt;"",Units!$J91,Mkt!BL92),Inputs!$B$15*Mkt!BL92+(1-Inputs!$B$15)*MIN(Mkt!BL92,BK92*(1+Inputs!$B$18))),BK92)))</f>
        <v>2521.1397344</v>
      </c>
      <c r="BM92" s="11" t="n">
        <f aca="false">IF(BM$1&lt;Units!$P91,0,IF(AND(Units!$K91=0,BM$1=Units!$O91),Units!$R91,IF(AND(BM$1&gt;=Units!$Q91,MOD(BM$1-Units!$Q91,12)=0),IF(AND(Units!$L91=1,BM$1=Units!$Q91),IF(Units!$J91&lt;&gt;"",Units!$J91,Mkt!BM92),Inputs!$B$15*Mkt!BM92+(1-Inputs!$B$15)*MIN(Mkt!BM92,BL92*(1+Inputs!$B$18))),BL92)))</f>
        <v>2596.773926432</v>
      </c>
      <c r="BN92" s="11" t="n">
        <f aca="false">IF(BN$1&lt;Units!$P91,0,IF(AND(Units!$K91=0,BN$1=Units!$O91),Units!$R91,IF(AND(BN$1&gt;=Units!$Q91,MOD(BN$1-Units!$Q91,12)=0),IF(AND(Units!$L91=1,BN$1=Units!$Q91),IF(Units!$J91&lt;&gt;"",Units!$J91,Mkt!BN92),Inputs!$B$15*Mkt!BN92+(1-Inputs!$B$15)*MIN(Mkt!BN92,BM92*(1+Inputs!$B$18))),BM92)))</f>
        <v>2596.773926432</v>
      </c>
      <c r="BO92" s="11" t="n">
        <f aca="false">IF(BO$1&lt;Units!$P91,0,IF(AND(Units!$K91=0,BO$1=Units!$O91),Units!$R91,IF(AND(BO$1&gt;=Units!$Q91,MOD(BO$1-Units!$Q91,12)=0),IF(AND(Units!$L91=1,BO$1=Units!$Q91),IF(Units!$J91&lt;&gt;"",Units!$J91,Mkt!BO92),Inputs!$B$15*Mkt!BO92+(1-Inputs!$B$15)*MIN(Mkt!BO92,BN92*(1+Inputs!$B$18))),BN92)))</f>
        <v>2596.773926432</v>
      </c>
      <c r="BP92" s="11" t="n">
        <f aca="false">IF(BP$1&lt;Units!$P91,0,IF(AND(Units!$K91=0,BP$1=Units!$O91),Units!$R91,IF(AND(BP$1&gt;=Units!$Q91,MOD(BP$1-Units!$Q91,12)=0),IF(AND(Units!$L91=1,BP$1=Units!$Q91),IF(Units!$J91&lt;&gt;"",Units!$J91,Mkt!BP92),Inputs!$B$15*Mkt!BP92+(1-Inputs!$B$15)*MIN(Mkt!BP92,BO92*(1+Inputs!$B$18))),BO92)))</f>
        <v>2596.773926432</v>
      </c>
      <c r="BQ92" s="11" t="n">
        <f aca="false">IF(BQ$1&lt;Units!$P91,0,IF(AND(Units!$K91=0,BQ$1=Units!$O91),Units!$R91,IF(AND(BQ$1&gt;=Units!$Q91,MOD(BQ$1-Units!$Q91,12)=0),IF(AND(Units!$L91=1,BQ$1=Units!$Q91),IF(Units!$J91&lt;&gt;"",Units!$J91,Mkt!BQ92),Inputs!$B$15*Mkt!BQ92+(1-Inputs!$B$15)*MIN(Mkt!BQ92,BP92*(1+Inputs!$B$18))),BP92)))</f>
        <v>2596.773926432</v>
      </c>
      <c r="BR92" s="11" t="n">
        <f aca="false">IF(BR$1&lt;Units!$P91,0,IF(AND(Units!$K91=0,BR$1=Units!$O91),Units!$R91,IF(AND(BR$1&gt;=Units!$Q91,MOD(BR$1-Units!$Q91,12)=0),IF(AND(Units!$L91=1,BR$1=Units!$Q91),IF(Units!$J91&lt;&gt;"",Units!$J91,Mkt!BR92),Inputs!$B$15*Mkt!BR92+(1-Inputs!$B$15)*MIN(Mkt!BR92,BQ92*(1+Inputs!$B$18))),BQ92)))</f>
        <v>2596.773926432</v>
      </c>
      <c r="BS92" s="11" t="n">
        <f aca="false">IF(BS$1&lt;Units!$P91,0,IF(AND(Units!$K91=0,BS$1=Units!$O91),Units!$R91,IF(AND(BS$1&gt;=Units!$Q91,MOD(BS$1-Units!$Q91,12)=0),IF(AND(Units!$L91=1,BS$1=Units!$Q91),IF(Units!$J91&lt;&gt;"",Units!$J91,Mkt!BS92),Inputs!$B$15*Mkt!BS92+(1-Inputs!$B$15)*MIN(Mkt!BS92,BR92*(1+Inputs!$B$18))),BR92)))</f>
        <v>2596.773926432</v>
      </c>
      <c r="BT92" s="11" t="n">
        <f aca="false">IF(BT$1&lt;Units!$P91,0,IF(AND(Units!$K91=0,BT$1=Units!$O91),Units!$R91,IF(AND(BT$1&gt;=Units!$Q91,MOD(BT$1-Units!$Q91,12)=0),IF(AND(Units!$L91=1,BT$1=Units!$Q91),IF(Units!$J91&lt;&gt;"",Units!$J91,Mkt!BT92),Inputs!$B$15*Mkt!BT92+(1-Inputs!$B$15)*MIN(Mkt!BT92,BS92*(1+Inputs!$B$18))),BS92)))</f>
        <v>2596.773926432</v>
      </c>
      <c r="BU92" s="11" t="n">
        <f aca="false">IF(BU$1&lt;Units!$P91,0,IF(AND(Units!$K91=0,BU$1=Units!$O91),Units!$R91,IF(AND(BU$1&gt;=Units!$Q91,MOD(BU$1-Units!$Q91,12)=0),IF(AND(Units!$L91=1,BU$1=Units!$Q91),IF(Units!$J91&lt;&gt;"",Units!$J91,Mkt!BU92),Inputs!$B$15*Mkt!BU92+(1-Inputs!$B$15)*MIN(Mkt!BU92,BT92*(1+Inputs!$B$18))),BT92)))</f>
        <v>2596.773926432</v>
      </c>
      <c r="BV92" s="11" t="n">
        <f aca="false">IF(BV$1&lt;Units!$P91,0,IF(AND(Units!$K91=0,BV$1=Units!$O91),Units!$R91,IF(AND(BV$1&gt;=Units!$Q91,MOD(BV$1-Units!$Q91,12)=0),IF(AND(Units!$L91=1,BV$1=Units!$Q91),IF(Units!$J91&lt;&gt;"",Units!$J91,Mkt!BV92),Inputs!$B$15*Mkt!BV92+(1-Inputs!$B$15)*MIN(Mkt!BV92,BU92*(1+Inputs!$B$18))),BU92)))</f>
        <v>2596.773926432</v>
      </c>
      <c r="BW92" s="11" t="n">
        <f aca="false">IF(BW$1&lt;Units!$P91,0,IF(AND(Units!$K91=0,BW$1=Units!$O91),Units!$R91,IF(AND(BW$1&gt;=Units!$Q91,MOD(BW$1-Units!$Q91,12)=0),IF(AND(Units!$L91=1,BW$1=Units!$Q91),IF(Units!$J91&lt;&gt;"",Units!$J91,Mkt!BW92),Inputs!$B$15*Mkt!BW92+(1-Inputs!$B$15)*MIN(Mkt!BW92,BV92*(1+Inputs!$B$18))),BV92)))</f>
        <v>2596.773926432</v>
      </c>
      <c r="BX92" s="11" t="n">
        <f aca="false">IF(BX$1&lt;Units!$P91,0,IF(AND(Units!$K91=0,BX$1=Units!$O91),Units!$R91,IF(AND(BX$1&gt;=Units!$Q91,MOD(BX$1-Units!$Q91,12)=0),IF(AND(Units!$L91=1,BX$1=Units!$Q91),IF(Units!$J91&lt;&gt;"",Units!$J91,Mkt!BX92),Inputs!$B$15*Mkt!BX92+(1-Inputs!$B$15)*MIN(Mkt!BX92,BW92*(1+Inputs!$B$18))),BW92)))</f>
        <v>2596.773926432</v>
      </c>
      <c r="BY92" s="11" t="n">
        <f aca="false">IF(BY$1&lt;Units!$P91,0,IF(AND(Units!$K91=0,BY$1=Units!$O91),Units!$R91,IF(AND(BY$1&gt;=Units!$Q91,MOD(BY$1-Units!$Q91,12)=0),IF(AND(Units!$L91=1,BY$1=Units!$Q91),IF(Units!$J91&lt;&gt;"",Units!$J91,Mkt!BY92),Inputs!$B$15*Mkt!BY92+(1-Inputs!$B$15)*MIN(Mkt!BY92,BX92*(1+Inputs!$B$18))),BX92)))</f>
        <v>2674.67714422496</v>
      </c>
      <c r="BZ92" s="11" t="n">
        <f aca="false">IF(BZ$1&lt;Units!$P91,0,IF(AND(Units!$K91=0,BZ$1=Units!$O91),Units!$R91,IF(AND(BZ$1&gt;=Units!$Q91,MOD(BZ$1-Units!$Q91,12)=0),IF(AND(Units!$L91=1,BZ$1=Units!$Q91),IF(Units!$J91&lt;&gt;"",Units!$J91,Mkt!BZ92),Inputs!$B$15*Mkt!BZ92+(1-Inputs!$B$15)*MIN(Mkt!BZ92,BY92*(1+Inputs!$B$18))),BY92)))</f>
        <v>2674.67714422496</v>
      </c>
      <c r="CA92" s="11" t="n">
        <f aca="false">IF(CA$1&lt;Units!$P91,0,IF(AND(Units!$K91=0,CA$1=Units!$O91),Units!$R91,IF(AND(CA$1&gt;=Units!$Q91,MOD(CA$1-Units!$Q91,12)=0),IF(AND(Units!$L91=1,CA$1=Units!$Q91),IF(Units!$J91&lt;&gt;"",Units!$J91,Mkt!CA92),Inputs!$B$15*Mkt!CA92+(1-Inputs!$B$15)*MIN(Mkt!CA92,BZ92*(1+Inputs!$B$18))),BZ92)))</f>
        <v>2674.67714422496</v>
      </c>
      <c r="CB92" s="11" t="n">
        <f aca="false">IF(CB$1&lt;Units!$P91,0,IF(AND(Units!$K91=0,CB$1=Units!$O91),Units!$R91,IF(AND(CB$1&gt;=Units!$Q91,MOD(CB$1-Units!$Q91,12)=0),IF(AND(Units!$L91=1,CB$1=Units!$Q91),IF(Units!$J91&lt;&gt;"",Units!$J91,Mkt!CB92),Inputs!$B$15*Mkt!CB92+(1-Inputs!$B$15)*MIN(Mkt!CB92,CA92*(1+Inputs!$B$18))),CA92)))</f>
        <v>2674.67714422496</v>
      </c>
      <c r="CC92" s="11" t="n">
        <f aca="false">IF(CC$1&lt;Units!$P91,0,IF(AND(Units!$K91=0,CC$1=Units!$O91),Units!$R91,IF(AND(CC$1&gt;=Units!$Q91,MOD(CC$1-Units!$Q91,12)=0),IF(AND(Units!$L91=1,CC$1=Units!$Q91),IF(Units!$J91&lt;&gt;"",Units!$J91,Mkt!CC92),Inputs!$B$15*Mkt!CC92+(1-Inputs!$B$15)*MIN(Mkt!CC92,CB92*(1+Inputs!$B$18))),CB92)))</f>
        <v>2674.67714422496</v>
      </c>
      <c r="CD92" s="11" t="n">
        <f aca="false">IF(CD$1&lt;Units!$P91,0,IF(AND(Units!$K91=0,CD$1=Units!$O91),Units!$R91,IF(AND(CD$1&gt;=Units!$Q91,MOD(CD$1-Units!$Q91,12)=0),IF(AND(Units!$L91=1,CD$1=Units!$Q91),IF(Units!$J91&lt;&gt;"",Units!$J91,Mkt!CD92),Inputs!$B$15*Mkt!CD92+(1-Inputs!$B$15)*MIN(Mkt!CD92,CC92*(1+Inputs!$B$18))),CC92)))</f>
        <v>2674.67714422496</v>
      </c>
      <c r="CE92" s="11" t="n">
        <f aca="false">IF(CE$1&lt;Units!$P91,0,IF(AND(Units!$K91=0,CE$1=Units!$O91),Units!$R91,IF(AND(CE$1&gt;=Units!$Q91,MOD(CE$1-Units!$Q91,12)=0),IF(AND(Units!$L91=1,CE$1=Units!$Q91),IF(Units!$J91&lt;&gt;"",Units!$J91,Mkt!CE92),Inputs!$B$15*Mkt!CE92+(1-Inputs!$B$15)*MIN(Mkt!CE92,CD92*(1+Inputs!$B$18))),CD92)))</f>
        <v>2674.67714422496</v>
      </c>
      <c r="CF92" s="11" t="n">
        <f aca="false">IF(CF$1&lt;Units!$P91,0,IF(AND(Units!$K91=0,CF$1=Units!$O91),Units!$R91,IF(AND(CF$1&gt;=Units!$Q91,MOD(CF$1-Units!$Q91,12)=0),IF(AND(Units!$L91=1,CF$1=Units!$Q91),IF(Units!$J91&lt;&gt;"",Units!$J91,Mkt!CF92),Inputs!$B$15*Mkt!CF92+(1-Inputs!$B$15)*MIN(Mkt!CF92,CE92*(1+Inputs!$B$18))),CE92)))</f>
        <v>2674.67714422496</v>
      </c>
      <c r="CG92" s="11" t="n">
        <f aca="false">IF(CG$1&lt;Units!$P91,0,IF(AND(Units!$K91=0,CG$1=Units!$O91),Units!$R91,IF(AND(CG$1&gt;=Units!$Q91,MOD(CG$1-Units!$Q91,12)=0),IF(AND(Units!$L91=1,CG$1=Units!$Q91),IF(Units!$J91&lt;&gt;"",Units!$J91,Mkt!CG92),Inputs!$B$15*Mkt!CG92+(1-Inputs!$B$15)*MIN(Mkt!CG92,CF92*(1+Inputs!$B$18))),CF92)))</f>
        <v>2674.67714422496</v>
      </c>
      <c r="CH92" s="11" t="n">
        <f aca="false">IF(CH$1&lt;Units!$P91,0,IF(AND(Units!$K91=0,CH$1=Units!$O91),Units!$R91,IF(AND(CH$1&gt;=Units!$Q91,MOD(CH$1-Units!$Q91,12)=0),IF(AND(Units!$L91=1,CH$1=Units!$Q91),IF(Units!$J91&lt;&gt;"",Units!$J91,Mkt!CH92),Inputs!$B$15*Mkt!CH92+(1-Inputs!$B$15)*MIN(Mkt!CH92,CG92*(1+Inputs!$B$18))),CG92)))</f>
        <v>2674.67714422496</v>
      </c>
      <c r="CI92" s="11" t="n">
        <f aca="false">IF(CI$1&lt;Units!$P91,0,IF(AND(Units!$K91=0,CI$1=Units!$O91),Units!$R91,IF(AND(CI$1&gt;=Units!$Q91,MOD(CI$1-Units!$Q91,12)=0),IF(AND(Units!$L91=1,CI$1=Units!$Q91),IF(Units!$J91&lt;&gt;"",Units!$J91,Mkt!CI92),Inputs!$B$15*Mkt!CI92+(1-Inputs!$B$15)*MIN(Mkt!CI92,CH92*(1+Inputs!$B$18))),CH92)))</f>
        <v>2674.67714422496</v>
      </c>
      <c r="CJ92" s="11" t="n">
        <f aca="false">IF(CJ$1&lt;Units!$P91,0,IF(AND(Units!$K91=0,CJ$1=Units!$O91),Units!$R91,IF(AND(CJ$1&gt;=Units!$Q91,MOD(CJ$1-Units!$Q91,12)=0),IF(AND(Units!$L91=1,CJ$1=Units!$Q91),IF(Units!$J91&lt;&gt;"",Units!$J91,Mkt!CJ92),Inputs!$B$15*Mkt!CJ92+(1-Inputs!$B$15)*MIN(Mkt!CJ92,CI92*(1+Inputs!$B$18))),CI92)))</f>
        <v>2674.67714422496</v>
      </c>
      <c r="CK92" s="11" t="n">
        <f aca="false">IF(CK$1&lt;Units!$P91,0,IF(AND(Units!$K91=0,CK$1=Units!$O91),Units!$R91,IF(AND(CK$1&gt;=Units!$Q91,MOD(CK$1-Units!$Q91,12)=0),IF(AND(Units!$L91=1,CK$1=Units!$Q91),IF(Units!$J91&lt;&gt;"",Units!$J91,Mkt!CK92),Inputs!$B$15*Mkt!CK92+(1-Inputs!$B$15)*MIN(Mkt!CK92,CJ92*(1+Inputs!$B$18))),CJ92)))</f>
        <v>2754.91745855171</v>
      </c>
      <c r="CL92" s="11" t="n">
        <f aca="false">IF(CL$1&lt;Units!$P91,0,IF(AND(Units!$K91=0,CL$1=Units!$O91),Units!$R91,IF(AND(CL$1&gt;=Units!$Q91,MOD(CL$1-Units!$Q91,12)=0),IF(AND(Units!$L91=1,CL$1=Units!$Q91),IF(Units!$J91&lt;&gt;"",Units!$J91,Mkt!CL92),Inputs!$B$15*Mkt!CL92+(1-Inputs!$B$15)*MIN(Mkt!CL92,CK92*(1+Inputs!$B$18))),CK92)))</f>
        <v>2754.91745855171</v>
      </c>
      <c r="CM92" s="11" t="n">
        <f aca="false">IF(CM$1&lt;Units!$P91,0,IF(AND(Units!$K91=0,CM$1=Units!$O91),Units!$R91,IF(AND(CM$1&gt;=Units!$Q91,MOD(CM$1-Units!$Q91,12)=0),IF(AND(Units!$L91=1,CM$1=Units!$Q91),IF(Units!$J91&lt;&gt;"",Units!$J91,Mkt!CM92),Inputs!$B$15*Mkt!CM92+(1-Inputs!$B$15)*MIN(Mkt!CM92,CL92*(1+Inputs!$B$18))),CL92)))</f>
        <v>2754.91745855171</v>
      </c>
      <c r="CN92" s="11" t="n">
        <f aca="false">IF(CN$1&lt;Units!$P91,0,IF(AND(Units!$K91=0,CN$1=Units!$O91),Units!$R91,IF(AND(CN$1&gt;=Units!$Q91,MOD(CN$1-Units!$Q91,12)=0),IF(AND(Units!$L91=1,CN$1=Units!$Q91),IF(Units!$J91&lt;&gt;"",Units!$J91,Mkt!CN92),Inputs!$B$15*Mkt!CN92+(1-Inputs!$B$15)*MIN(Mkt!CN92,CM92*(1+Inputs!$B$18))),CM92)))</f>
        <v>2754.91745855171</v>
      </c>
      <c r="CO92" s="11" t="n">
        <f aca="false">IF(CO$1&lt;Units!$P91,0,IF(AND(Units!$K91=0,CO$1=Units!$O91),Units!$R91,IF(AND(CO$1&gt;=Units!$Q91,MOD(CO$1-Units!$Q91,12)=0),IF(AND(Units!$L91=1,CO$1=Units!$Q91),IF(Units!$J91&lt;&gt;"",Units!$J91,Mkt!CO92),Inputs!$B$15*Mkt!CO92+(1-Inputs!$B$15)*MIN(Mkt!CO92,CN92*(1+Inputs!$B$18))),CN92)))</f>
        <v>2754.91745855171</v>
      </c>
      <c r="CP92" s="11" t="n">
        <f aca="false">IF(CP$1&lt;Units!$P91,0,IF(AND(Units!$K91=0,CP$1=Units!$O91),Units!$R91,IF(AND(CP$1&gt;=Units!$Q91,MOD(CP$1-Units!$Q91,12)=0),IF(AND(Units!$L91=1,CP$1=Units!$Q91),IF(Units!$J91&lt;&gt;"",Units!$J91,Mkt!CP92),Inputs!$B$15*Mkt!CP92+(1-Inputs!$B$15)*MIN(Mkt!CP92,CO92*(1+Inputs!$B$18))),CO92)))</f>
        <v>2754.91745855171</v>
      </c>
      <c r="CQ92" s="11" t="n">
        <f aca="false">IF(CQ$1&lt;Units!$P91,0,IF(AND(Units!$K91=0,CQ$1=Units!$O91),Units!$R91,IF(AND(CQ$1&gt;=Units!$Q91,MOD(CQ$1-Units!$Q91,12)=0),IF(AND(Units!$L91=1,CQ$1=Units!$Q91),IF(Units!$J91&lt;&gt;"",Units!$J91,Mkt!CQ92),Inputs!$B$15*Mkt!CQ92+(1-Inputs!$B$15)*MIN(Mkt!CQ92,CP92*(1+Inputs!$B$18))),CP92)))</f>
        <v>2754.91745855171</v>
      </c>
      <c r="CR92" s="11" t="n">
        <f aca="false">IF(CR$1&lt;Units!$P91,0,IF(AND(Units!$K91=0,CR$1=Units!$O91),Units!$R91,IF(AND(CR$1&gt;=Units!$Q91,MOD(CR$1-Units!$Q91,12)=0),IF(AND(Units!$L91=1,CR$1=Units!$Q91),IF(Units!$J91&lt;&gt;"",Units!$J91,Mkt!CR92),Inputs!$B$15*Mkt!CR92+(1-Inputs!$B$15)*MIN(Mkt!CR92,CQ92*(1+Inputs!$B$18))),CQ92)))</f>
        <v>2754.91745855171</v>
      </c>
      <c r="CS92" s="11" t="n">
        <f aca="false">IF(CS$1&lt;Units!$P91,0,IF(AND(Units!$K91=0,CS$1=Units!$O91),Units!$R91,IF(AND(CS$1&gt;=Units!$Q91,MOD(CS$1-Units!$Q91,12)=0),IF(AND(Units!$L91=1,CS$1=Units!$Q91),IF(Units!$J91&lt;&gt;"",Units!$J91,Mkt!CS92),Inputs!$B$15*Mkt!CS92+(1-Inputs!$B$15)*MIN(Mkt!CS92,CR92*(1+Inputs!$B$18))),CR92)))</f>
        <v>2754.91745855171</v>
      </c>
      <c r="CT92" s="11" t="n">
        <f aca="false">IF(CT$1&lt;Units!$P91,0,IF(AND(Units!$K91=0,CT$1=Units!$O91),Units!$R91,IF(AND(CT$1&gt;=Units!$Q91,MOD(CT$1-Units!$Q91,12)=0),IF(AND(Units!$L91=1,CT$1=Units!$Q91),IF(Units!$J91&lt;&gt;"",Units!$J91,Mkt!CT92),Inputs!$B$15*Mkt!CT92+(1-Inputs!$B$15)*MIN(Mkt!CT92,CS92*(1+Inputs!$B$18))),CS92)))</f>
        <v>2754.91745855171</v>
      </c>
      <c r="CU92" s="11" t="n">
        <f aca="false">IF(CU$1&lt;Units!$P91,0,IF(AND(Units!$K91=0,CU$1=Units!$O91),Units!$R91,IF(AND(CU$1&gt;=Units!$Q91,MOD(CU$1-Units!$Q91,12)=0),IF(AND(Units!$L91=1,CU$1=Units!$Q91),IF(Units!$J91&lt;&gt;"",Units!$J91,Mkt!CU92),Inputs!$B$15*Mkt!CU92+(1-Inputs!$B$15)*MIN(Mkt!CU92,CT92*(1+Inputs!$B$18))),CT92)))</f>
        <v>2754.91745855171</v>
      </c>
      <c r="CV92" s="11" t="n">
        <f aca="false">IF(CV$1&lt;Units!$P91,0,IF(AND(Units!$K91=0,CV$1=Units!$O91),Units!$R91,IF(AND(CV$1&gt;=Units!$Q91,MOD(CV$1-Units!$Q91,12)=0),IF(AND(Units!$L91=1,CV$1=Units!$Q91),IF(Units!$J91&lt;&gt;"",Units!$J91,Mkt!CV92),Inputs!$B$15*Mkt!CV92+(1-Inputs!$B$15)*MIN(Mkt!CV92,CU92*(1+Inputs!$B$18))),CU92)))</f>
        <v>2754.91745855171</v>
      </c>
      <c r="CW92" s="11" t="n">
        <f aca="false">IF(CW$1&lt;Units!$P91,0,IF(AND(Units!$K91=0,CW$1=Units!$O91),Units!$R91,IF(AND(CW$1&gt;=Units!$Q91,MOD(CW$1-Units!$Q91,12)=0),IF(AND(Units!$L91=1,CW$1=Units!$Q91),IF(Units!$J91&lt;&gt;"",Units!$J91,Mkt!CW92),Inputs!$B$15*Mkt!CW92+(1-Inputs!$B$15)*MIN(Mkt!CW92,CV92*(1+Inputs!$B$18))),CV92)))</f>
        <v>2837.56498230826</v>
      </c>
      <c r="CX92" s="11" t="n">
        <f aca="false">IF(CX$1&lt;Units!$P91,0,IF(AND(Units!$K91=0,CX$1=Units!$O91),Units!$R91,IF(AND(CX$1&gt;=Units!$Q91,MOD(CX$1-Units!$Q91,12)=0),IF(AND(Units!$L91=1,CX$1=Units!$Q91),IF(Units!$J91&lt;&gt;"",Units!$J91,Mkt!CX92),Inputs!$B$15*Mkt!CX92+(1-Inputs!$B$15)*MIN(Mkt!CX92,CW92*(1+Inputs!$B$18))),CW92)))</f>
        <v>2837.56498230826</v>
      </c>
      <c r="CY92" s="11" t="n">
        <f aca="false">IF(CY$1&lt;Units!$P91,0,IF(AND(Units!$K91=0,CY$1=Units!$O91),Units!$R91,IF(AND(CY$1&gt;=Units!$Q91,MOD(CY$1-Units!$Q91,12)=0),IF(AND(Units!$L91=1,CY$1=Units!$Q91),IF(Units!$J91&lt;&gt;"",Units!$J91,Mkt!CY92),Inputs!$B$15*Mkt!CY92+(1-Inputs!$B$15)*MIN(Mkt!CY92,CX92*(1+Inputs!$B$18))),CX92)))</f>
        <v>2837.56498230826</v>
      </c>
      <c r="CZ92" s="11" t="n">
        <f aca="false">IF(CZ$1&lt;Units!$P91,0,IF(AND(Units!$K91=0,CZ$1=Units!$O91),Units!$R91,IF(AND(CZ$1&gt;=Units!$Q91,MOD(CZ$1-Units!$Q91,12)=0),IF(AND(Units!$L91=1,CZ$1=Units!$Q91),IF(Units!$J91&lt;&gt;"",Units!$J91,Mkt!CZ92),Inputs!$B$15*Mkt!CZ92+(1-Inputs!$B$15)*MIN(Mkt!CZ92,CY92*(1+Inputs!$B$18))),CY92)))</f>
        <v>2837.56498230826</v>
      </c>
      <c r="DA92" s="11" t="n">
        <f aca="false">IF(DA$1&lt;Units!$P91,0,IF(AND(Units!$K91=0,DA$1=Units!$O91),Units!$R91,IF(AND(DA$1&gt;=Units!$Q91,MOD(DA$1-Units!$Q91,12)=0),IF(AND(Units!$L91=1,DA$1=Units!$Q91),IF(Units!$J91&lt;&gt;"",Units!$J91,Mkt!DA92),Inputs!$B$15*Mkt!DA92+(1-Inputs!$B$15)*MIN(Mkt!DA92,CZ92*(1+Inputs!$B$18))),CZ92)))</f>
        <v>2837.56498230826</v>
      </c>
      <c r="DB92" s="11" t="n">
        <f aca="false">IF(DB$1&lt;Units!$P91,0,IF(AND(Units!$K91=0,DB$1=Units!$O91),Units!$R91,IF(AND(DB$1&gt;=Units!$Q91,MOD(DB$1-Units!$Q91,12)=0),IF(AND(Units!$L91=1,DB$1=Units!$Q91),IF(Units!$J91&lt;&gt;"",Units!$J91,Mkt!DB92),Inputs!$B$15*Mkt!DB92+(1-Inputs!$B$15)*MIN(Mkt!DB92,DA92*(1+Inputs!$B$18))),DA92)))</f>
        <v>2837.56498230826</v>
      </c>
      <c r="DC92" s="11" t="n">
        <f aca="false">IF(DC$1&lt;Units!$P91,0,IF(AND(Units!$K91=0,DC$1=Units!$O91),Units!$R91,IF(AND(DC$1&gt;=Units!$Q91,MOD(DC$1-Units!$Q91,12)=0),IF(AND(Units!$L91=1,DC$1=Units!$Q91),IF(Units!$J91&lt;&gt;"",Units!$J91,Mkt!DC92),Inputs!$B$15*Mkt!DC92+(1-Inputs!$B$15)*MIN(Mkt!DC92,DB92*(1+Inputs!$B$18))),DB92)))</f>
        <v>2837.56498230826</v>
      </c>
      <c r="DD92" s="11" t="n">
        <f aca="false">IF(DD$1&lt;Units!$P91,0,IF(AND(Units!$K91=0,DD$1=Units!$O91),Units!$R91,IF(AND(DD$1&gt;=Units!$Q91,MOD(DD$1-Units!$Q91,12)=0),IF(AND(Units!$L91=1,DD$1=Units!$Q91),IF(Units!$J91&lt;&gt;"",Units!$J91,Mkt!DD92),Inputs!$B$15*Mkt!DD92+(1-Inputs!$B$15)*MIN(Mkt!DD92,DC92*(1+Inputs!$B$18))),DC92)))</f>
        <v>2837.56498230826</v>
      </c>
      <c r="DE92" s="11" t="n">
        <f aca="false">IF(DE$1&lt;Units!$P91,0,IF(AND(Units!$K91=0,DE$1=Units!$O91),Units!$R91,IF(AND(DE$1&gt;=Units!$Q91,MOD(DE$1-Units!$Q91,12)=0),IF(AND(Units!$L91=1,DE$1=Units!$Q91),IF(Units!$J91&lt;&gt;"",Units!$J91,Mkt!DE92),Inputs!$B$15*Mkt!DE92+(1-Inputs!$B$15)*MIN(Mkt!DE92,DD92*(1+Inputs!$B$18))),DD92)))</f>
        <v>2837.56498230826</v>
      </c>
      <c r="DF92" s="11" t="n">
        <f aca="false">IF(DF$1&lt;Units!$P91,0,IF(AND(Units!$K91=0,DF$1=Units!$O91),Units!$R91,IF(AND(DF$1&gt;=Units!$Q91,MOD(DF$1-Units!$Q91,12)=0),IF(AND(Units!$L91=1,DF$1=Units!$Q91),IF(Units!$J91&lt;&gt;"",Units!$J91,Mkt!DF92),Inputs!$B$15*Mkt!DF92+(1-Inputs!$B$15)*MIN(Mkt!DF92,DE92*(1+Inputs!$B$18))),DE92)))</f>
        <v>2837.56498230826</v>
      </c>
      <c r="DG92" s="11" t="n">
        <f aca="false">IF(DG$1&lt;Units!$P91,0,IF(AND(Units!$K91=0,DG$1=Units!$O91),Units!$R91,IF(AND(DG$1&gt;=Units!$Q91,MOD(DG$1-Units!$Q91,12)=0),IF(AND(Units!$L91=1,DG$1=Units!$Q91),IF(Units!$J91&lt;&gt;"",Units!$J91,Mkt!DG92),Inputs!$B$15*Mkt!DG92+(1-Inputs!$B$15)*MIN(Mkt!DG92,DF92*(1+Inputs!$B$18))),DF92)))</f>
        <v>2837.56498230826</v>
      </c>
      <c r="DH92" s="11" t="n">
        <f aca="false">IF(DH$1&lt;Units!$P91,0,IF(AND(Units!$K91=0,DH$1=Units!$O91),Units!$R91,IF(AND(DH$1&gt;=Units!$Q91,MOD(DH$1-Units!$Q91,12)=0),IF(AND(Units!$L91=1,DH$1=Units!$Q91),IF(Units!$J91&lt;&gt;"",Units!$J91,Mkt!DH92),Inputs!$B$15*Mkt!DH92+(1-Inputs!$B$15)*MIN(Mkt!DH92,DG92*(1+Inputs!$B$18))),DG92)))</f>
        <v>2837.56498230826</v>
      </c>
      <c r="DI92" s="11" t="n">
        <f aca="false">IF(DI$1&lt;Units!$P91,0,IF(AND(Units!$K91=0,DI$1=Units!$O91),Units!$R91,IF(AND(DI$1&gt;=Units!$Q91,MOD(DI$1-Units!$Q91,12)=0),IF(AND(Units!$L91=1,DI$1=Units!$Q91),IF(Units!$J91&lt;&gt;"",Units!$J91,Mkt!DI92),Inputs!$B$15*Mkt!DI92+(1-Inputs!$B$15)*MIN(Mkt!DI92,DH92*(1+Inputs!$B$18))),DH92)))</f>
        <v>2922.69193177751</v>
      </c>
      <c r="DJ92" s="11" t="n">
        <f aca="false">IF(DJ$1&lt;Units!$P91,0,IF(AND(Units!$K91=0,DJ$1=Units!$O91),Units!$R91,IF(AND(DJ$1&gt;=Units!$Q91,MOD(DJ$1-Units!$Q91,12)=0),IF(AND(Units!$L91=1,DJ$1=Units!$Q91),IF(Units!$J91&lt;&gt;"",Units!$J91,Mkt!DJ92),Inputs!$B$15*Mkt!DJ92+(1-Inputs!$B$15)*MIN(Mkt!DJ92,DI92*(1+Inputs!$B$18))),DI92)))</f>
        <v>2922.69193177751</v>
      </c>
      <c r="DK92" s="11" t="n">
        <f aca="false">IF(DK$1&lt;Units!$P91,0,IF(AND(Units!$K91=0,DK$1=Units!$O91),Units!$R91,IF(AND(DK$1&gt;=Units!$Q91,MOD(DK$1-Units!$Q91,12)=0),IF(AND(Units!$L91=1,DK$1=Units!$Q91),IF(Units!$J91&lt;&gt;"",Units!$J91,Mkt!DK92),Inputs!$B$15*Mkt!DK92+(1-Inputs!$B$15)*MIN(Mkt!DK92,DJ92*(1+Inputs!$B$18))),DJ92)))</f>
        <v>2922.69193177751</v>
      </c>
      <c r="DL92" s="11" t="n">
        <f aca="false">IF(DL$1&lt;Units!$P91,0,IF(AND(Units!$K91=0,DL$1=Units!$O91),Units!$R91,IF(AND(DL$1&gt;=Units!$Q91,MOD(DL$1-Units!$Q91,12)=0),IF(AND(Units!$L91=1,DL$1=Units!$Q91),IF(Units!$J91&lt;&gt;"",Units!$J91,Mkt!DL92),Inputs!$B$15*Mkt!DL92+(1-Inputs!$B$15)*MIN(Mkt!DL92,DK92*(1+Inputs!$B$18))),DK92)))</f>
        <v>2922.69193177751</v>
      </c>
      <c r="DM92" s="11" t="n">
        <f aca="false">IF(DM$1&lt;Units!$P91,0,IF(AND(Units!$K91=0,DM$1=Units!$O91),Units!$R91,IF(AND(DM$1&gt;=Units!$Q91,MOD(DM$1-Units!$Q91,12)=0),IF(AND(Units!$L91=1,DM$1=Units!$Q91),IF(Units!$J91&lt;&gt;"",Units!$J91,Mkt!DM92),Inputs!$B$15*Mkt!DM92+(1-Inputs!$B$15)*MIN(Mkt!DM92,DL92*(1+Inputs!$B$18))),DL92)))</f>
        <v>2922.69193177751</v>
      </c>
      <c r="DN92" s="11" t="n">
        <f aca="false">IF(DN$1&lt;Units!$P91,0,IF(AND(Units!$K91=0,DN$1=Units!$O91),Units!$R91,IF(AND(DN$1&gt;=Units!$Q91,MOD(DN$1-Units!$Q91,12)=0),IF(AND(Units!$L91=1,DN$1=Units!$Q91),IF(Units!$J91&lt;&gt;"",Units!$J91,Mkt!DN92),Inputs!$B$15*Mkt!DN92+(1-Inputs!$B$15)*MIN(Mkt!DN92,DM92*(1+Inputs!$B$18))),DM92)))</f>
        <v>2922.69193177751</v>
      </c>
      <c r="DO92" s="11" t="n">
        <f aca="false">IF(DO$1&lt;Units!$P91,0,IF(AND(Units!$K91=0,DO$1=Units!$O91),Units!$R91,IF(AND(DO$1&gt;=Units!$Q91,MOD(DO$1-Units!$Q91,12)=0),IF(AND(Units!$L91=1,DO$1=Units!$Q91),IF(Units!$J91&lt;&gt;"",Units!$J91,Mkt!DO92),Inputs!$B$15*Mkt!DO92+(1-Inputs!$B$15)*MIN(Mkt!DO92,DN92*(1+Inputs!$B$18))),DN92)))</f>
        <v>2922.69193177751</v>
      </c>
      <c r="DP92" s="11" t="n">
        <f aca="false">IF(DP$1&lt;Units!$P91,0,IF(AND(Units!$K91=0,DP$1=Units!$O91),Units!$R91,IF(AND(DP$1&gt;=Units!$Q91,MOD(DP$1-Units!$Q91,12)=0),IF(AND(Units!$L91=1,DP$1=Units!$Q91),IF(Units!$J91&lt;&gt;"",Units!$J91,Mkt!DP92),Inputs!$B$15*Mkt!DP92+(1-Inputs!$B$15)*MIN(Mkt!DP92,DO92*(1+Inputs!$B$18))),DO92)))</f>
        <v>2922.69193177751</v>
      </c>
      <c r="DQ92" s="11" t="n">
        <f aca="false">IF(DQ$1&lt;Units!$P91,0,IF(AND(Units!$K91=0,DQ$1=Units!$O91),Units!$R91,IF(AND(DQ$1&gt;=Units!$Q91,MOD(DQ$1-Units!$Q91,12)=0),IF(AND(Units!$L91=1,DQ$1=Units!$Q91),IF(Units!$J91&lt;&gt;"",Units!$J91,Mkt!DQ92),Inputs!$B$15*Mkt!DQ92+(1-Inputs!$B$15)*MIN(Mkt!DQ92,DP92*(1+Inputs!$B$18))),DP92)))</f>
        <v>2922.69193177751</v>
      </c>
      <c r="DR92" s="11" t="n">
        <f aca="false">IF(DR$1&lt;Units!$P91,0,IF(AND(Units!$K91=0,DR$1=Units!$O91),Units!$R91,IF(AND(DR$1&gt;=Units!$Q91,MOD(DR$1-Units!$Q91,12)=0),IF(AND(Units!$L91=1,DR$1=Units!$Q91),IF(Units!$J91&lt;&gt;"",Units!$J91,Mkt!DR92),Inputs!$B$15*Mkt!DR92+(1-Inputs!$B$15)*MIN(Mkt!DR92,DQ92*(1+Inputs!$B$18))),DQ92)))</f>
        <v>2922.69193177751</v>
      </c>
      <c r="DS92" s="11" t="n">
        <f aca="false">IF(DS$1&lt;Units!$P91,0,IF(AND(Units!$K91=0,DS$1=Units!$O91),Units!$R91,IF(AND(DS$1&gt;=Units!$Q91,MOD(DS$1-Units!$Q91,12)=0),IF(AND(Units!$L91=1,DS$1=Units!$Q91),IF(Units!$J91&lt;&gt;"",Units!$J91,Mkt!DS92),Inputs!$B$15*Mkt!DS92+(1-Inputs!$B$15)*MIN(Mkt!DS92,DR92*(1+Inputs!$B$18))),DR92)))</f>
        <v>2922.69193177751</v>
      </c>
      <c r="DT92" s="11" t="n">
        <f aca="false">IF(DT$1&lt;Units!$P91,0,IF(AND(Units!$K91=0,DT$1=Units!$O91),Units!$R91,IF(AND(DT$1&gt;=Units!$Q91,MOD(DT$1-Units!$Q91,12)=0),IF(AND(Units!$L91=1,DT$1=Units!$Q91),IF(Units!$J91&lt;&gt;"",Units!$J91,Mkt!DT92),Inputs!$B$15*Mkt!DT92+(1-Inputs!$B$15)*MIN(Mkt!DT92,DS92*(1+Inputs!$B$18))),DS92)))</f>
        <v>2922.69193177751</v>
      </c>
      <c r="DU92" s="11" t="n">
        <f aca="false">IF(DU$1&lt;Units!$P91,0,IF(AND(Units!$K91=0,DU$1=Units!$O91),Units!$R91,IF(AND(DU$1&gt;=Units!$Q91,MOD(DU$1-Units!$Q91,12)=0),IF(AND(Units!$L91=1,DU$1=Units!$Q91),IF(Units!$J91&lt;&gt;"",Units!$J91,Mkt!DU92),Inputs!$B$15*Mkt!DU92+(1-Inputs!$B$15)*MIN(Mkt!DU92,DT92*(1+Inputs!$B$18))),DT92)))</f>
        <v>3010.37268973083</v>
      </c>
      <c r="DV92" s="11" t="n">
        <f aca="false">IF(DV$1&lt;Units!$P91,0,IF(AND(Units!$K91=0,DV$1=Units!$O91),Units!$R91,IF(AND(DV$1&gt;=Units!$Q91,MOD(DV$1-Units!$Q91,12)=0),IF(AND(Units!$L91=1,DV$1=Units!$Q91),IF(Units!$J91&lt;&gt;"",Units!$J91,Mkt!DV92),Inputs!$B$15*Mkt!DV92+(1-Inputs!$B$15)*MIN(Mkt!DV92,DU92*(1+Inputs!$B$18))),DU92)))</f>
        <v>3010.37268973083</v>
      </c>
      <c r="DW92" s="11" t="n">
        <f aca="false">IF(DW$1&lt;Units!$P91,0,IF(AND(Units!$K91=0,DW$1=Units!$O91),Units!$R91,IF(AND(DW$1&gt;=Units!$Q91,MOD(DW$1-Units!$Q91,12)=0),IF(AND(Units!$L91=1,DW$1=Units!$Q91),IF(Units!$J91&lt;&gt;"",Units!$J91,Mkt!DW92),Inputs!$B$15*Mkt!DW92+(1-Inputs!$B$15)*MIN(Mkt!DW92,DV92*(1+Inputs!$B$18))),DV92)))</f>
        <v>3010.37268973083</v>
      </c>
      <c r="DX92" s="11" t="n">
        <f aca="false">IF(DX$1&lt;Units!$P91,0,IF(AND(Units!$K91=0,DX$1=Units!$O91),Units!$R91,IF(AND(DX$1&gt;=Units!$Q91,MOD(DX$1-Units!$Q91,12)=0),IF(AND(Units!$L91=1,DX$1=Units!$Q91),IF(Units!$J91&lt;&gt;"",Units!$J91,Mkt!DX92),Inputs!$B$15*Mkt!DX92+(1-Inputs!$B$15)*MIN(Mkt!DX92,DW92*(1+Inputs!$B$18))),DW92)))</f>
        <v>3010.37268973083</v>
      </c>
      <c r="DY92" s="11" t="n">
        <f aca="false">IF(DY$1&lt;Units!$P91,0,IF(AND(Units!$K91=0,DY$1=Units!$O91),Units!$R91,IF(AND(DY$1&gt;=Units!$Q91,MOD(DY$1-Units!$Q91,12)=0),IF(AND(Units!$L91=1,DY$1=Units!$Q91),IF(Units!$J91&lt;&gt;"",Units!$J91,Mkt!DY92),Inputs!$B$15*Mkt!DY92+(1-Inputs!$B$15)*MIN(Mkt!DY92,DX92*(1+Inputs!$B$18))),DX92)))</f>
        <v>3010.37268973083</v>
      </c>
      <c r="DZ92" s="11" t="n">
        <f aca="false">IF(DZ$1&lt;Units!$P91,0,IF(AND(Units!$K91=0,DZ$1=Units!$O91),Units!$R91,IF(AND(DZ$1&gt;=Units!$Q91,MOD(DZ$1-Units!$Q91,12)=0),IF(AND(Units!$L91=1,DZ$1=Units!$Q91),IF(Units!$J91&lt;&gt;"",Units!$J91,Mkt!DZ92),Inputs!$B$15*Mkt!DZ92+(1-Inputs!$B$15)*MIN(Mkt!DZ92,DY92*(1+Inputs!$B$18))),DY92)))</f>
        <v>3010.37268973083</v>
      </c>
      <c r="EA92" s="11" t="n">
        <f aca="false">IF(EA$1&lt;Units!$P91,0,IF(AND(Units!$K91=0,EA$1=Units!$O91),Units!$R91,IF(AND(EA$1&gt;=Units!$Q91,MOD(EA$1-Units!$Q91,12)=0),IF(AND(Units!$L91=1,EA$1=Units!$Q91),IF(Units!$J91&lt;&gt;"",Units!$J91,Mkt!EA92),Inputs!$B$15*Mkt!EA92+(1-Inputs!$B$15)*MIN(Mkt!EA92,DZ92*(1+Inputs!$B$18))),DZ92)))</f>
        <v>3010.37268973083</v>
      </c>
      <c r="EB92" s="11" t="n">
        <f aca="false">IF(EB$1&lt;Units!$P91,0,IF(AND(Units!$K91=0,EB$1=Units!$O91),Units!$R91,IF(AND(EB$1&gt;=Units!$Q91,MOD(EB$1-Units!$Q91,12)=0),IF(AND(Units!$L91=1,EB$1=Units!$Q91),IF(Units!$J91&lt;&gt;"",Units!$J91,Mkt!EB92),Inputs!$B$15*Mkt!EB92+(1-Inputs!$B$15)*MIN(Mkt!EB92,EA92*(1+Inputs!$B$18))),EA92)))</f>
        <v>3010.37268973083</v>
      </c>
      <c r="EC92" s="11" t="n">
        <f aca="false">IF(EC$1&lt;Units!$P91,0,IF(AND(Units!$K91=0,EC$1=Units!$O91),Units!$R91,IF(AND(EC$1&gt;=Units!$Q91,MOD(EC$1-Units!$Q91,12)=0),IF(AND(Units!$L91=1,EC$1=Units!$Q91),IF(Units!$J91&lt;&gt;"",Units!$J91,Mkt!EC92),Inputs!$B$15*Mkt!EC92+(1-Inputs!$B$15)*MIN(Mkt!EC92,EB92*(1+Inputs!$B$18))),EB92)))</f>
        <v>3010.37268973083</v>
      </c>
      <c r="ED92" s="11" t="n">
        <f aca="false">IF(ED$1&lt;Units!$P91,0,IF(AND(Units!$K91=0,ED$1=Units!$O91),Units!$R91,IF(AND(ED$1&gt;=Units!$Q91,MOD(ED$1-Units!$Q91,12)=0),IF(AND(Units!$L91=1,ED$1=Units!$Q91),IF(Units!$J91&lt;&gt;"",Units!$J91,Mkt!ED92),Inputs!$B$15*Mkt!ED92+(1-Inputs!$B$15)*MIN(Mkt!ED92,EC92*(1+Inputs!$B$18))),EC92)))</f>
        <v>3010.37268973083</v>
      </c>
    </row>
    <row r="93" customFormat="false" ht="15" hidden="false" customHeight="false" outlineLevel="0" collapsed="false">
      <c r="A93" s="22" t="n">
        <f aca="false">Units!A92</f>
        <v>401</v>
      </c>
      <c r="B93" s="24" t="n">
        <f aca="false">IF(Units!K92=1,Units!F92,0)</f>
        <v>1565</v>
      </c>
      <c r="C93" s="11" t="n">
        <f aca="false">IF(C$1&lt;Units!$P92,0,IF(AND(Units!$K92=0,C$1=Units!$O92),Units!$R92,IF(AND(C$1&gt;=Units!$Q92,MOD(C$1-Units!$Q92,12)=0),IF(AND(Units!$L92=1,C$1=Units!$Q92),IF(Units!$J92&lt;&gt;"",Units!$J92,Mkt!C93),Inputs!$B$15*Mkt!C93+(1-Inputs!$B$15)*MIN(Mkt!C93,B93*(1+Inputs!$B$18))),B93)))</f>
        <v>1565</v>
      </c>
      <c r="D93" s="11" t="n">
        <f aca="false">IF(D$1&lt;Units!$P92,0,IF(AND(Units!$K92=0,D$1=Units!$O92),Units!$R92,IF(AND(D$1&gt;=Units!$Q92,MOD(D$1-Units!$Q92,12)=0),IF(AND(Units!$L92=1,D$1=Units!$Q92),IF(Units!$J92&lt;&gt;"",Units!$J92,Mkt!D93),Inputs!$B$15*Mkt!D93+(1-Inputs!$B$15)*MIN(Mkt!D93,C93*(1+Inputs!$B$18))),C93)))</f>
        <v>1565</v>
      </c>
      <c r="E93" s="11" t="n">
        <f aca="false">IF(E$1&lt;Units!$P92,0,IF(AND(Units!$K92=0,E$1=Units!$O92),Units!$R92,IF(AND(E$1&gt;=Units!$Q92,MOD(E$1-Units!$Q92,12)=0),IF(AND(Units!$L92=1,E$1=Units!$Q92),IF(Units!$J92&lt;&gt;"",Units!$J92,Mkt!E93),Inputs!$B$15*Mkt!E93+(1-Inputs!$B$15)*MIN(Mkt!E93,D93*(1+Inputs!$B$18))),D93)))</f>
        <v>1565</v>
      </c>
      <c r="F93" s="11" t="n">
        <f aca="false">IF(F$1&lt;Units!$P92,0,IF(AND(Units!$K92=0,F$1=Units!$O92),Units!$R92,IF(AND(F$1&gt;=Units!$Q92,MOD(F$1-Units!$Q92,12)=0),IF(AND(Units!$L92=1,F$1=Units!$Q92),IF(Units!$J92&lt;&gt;"",Units!$J92,Mkt!F93),Inputs!$B$15*Mkt!F93+(1-Inputs!$B$15)*MIN(Mkt!F93,E93*(1+Inputs!$B$18))),E93)))</f>
        <v>1565</v>
      </c>
      <c r="G93" s="11" t="n">
        <f aca="false">IF(G$1&lt;Units!$P92,0,IF(AND(Units!$K92=0,G$1=Units!$O92),Units!$R92,IF(AND(G$1&gt;=Units!$Q92,MOD(G$1-Units!$Q92,12)=0),IF(AND(Units!$L92=1,G$1=Units!$Q92),IF(Units!$J92&lt;&gt;"",Units!$J92,Mkt!G93),Inputs!$B$15*Mkt!G93+(1-Inputs!$B$15)*MIN(Mkt!G93,F93*(1+Inputs!$B$18))),F93)))</f>
        <v>1565</v>
      </c>
      <c r="H93" s="11" t="n">
        <f aca="false">IF(H$1&lt;Units!$P92,0,IF(AND(Units!$K92=0,H$1=Units!$O92),Units!$R92,IF(AND(H$1&gt;=Units!$Q92,MOD(H$1-Units!$Q92,12)=0),IF(AND(Units!$L92=1,H$1=Units!$Q92),IF(Units!$J92&lt;&gt;"",Units!$J92,Mkt!H93),Inputs!$B$15*Mkt!H93+(1-Inputs!$B$15)*MIN(Mkt!H93,G93*(1+Inputs!$B$18))),G93)))</f>
        <v>1565</v>
      </c>
      <c r="I93" s="11" t="n">
        <f aca="false">IF(I$1&lt;Units!$P92,0,IF(AND(Units!$K92=0,I$1=Units!$O92),Units!$R92,IF(AND(I$1&gt;=Units!$Q92,MOD(I$1-Units!$Q92,12)=0),IF(AND(Units!$L92=1,I$1=Units!$Q92),IF(Units!$J92&lt;&gt;"",Units!$J92,Mkt!I93),Inputs!$B$15*Mkt!I93+(1-Inputs!$B$15)*MIN(Mkt!I93,H93*(1+Inputs!$B$18))),H93)))</f>
        <v>1565</v>
      </c>
      <c r="J93" s="11" t="n">
        <f aca="false">IF(J$1&lt;Units!$P92,0,IF(AND(Units!$K92=0,J$1=Units!$O92),Units!$R92,IF(AND(J$1&gt;=Units!$Q92,MOD(J$1-Units!$Q92,12)=0),IF(AND(Units!$L92=1,J$1=Units!$Q92),IF(Units!$J92&lt;&gt;"",Units!$J92,Mkt!J93),Inputs!$B$15*Mkt!J93+(1-Inputs!$B$15)*MIN(Mkt!J93,I93*(1+Inputs!$B$18))),I93)))</f>
        <v>1565</v>
      </c>
      <c r="K93" s="11" t="n">
        <f aca="false">IF(K$1&lt;Units!$P92,0,IF(AND(Units!$K92=0,K$1=Units!$O92),Units!$R92,IF(AND(K$1&gt;=Units!$Q92,MOD(K$1-Units!$Q92,12)=0),IF(AND(Units!$L92=1,K$1=Units!$Q92),IF(Units!$J92&lt;&gt;"",Units!$J92,Mkt!K93),Inputs!$B$15*Mkt!K93+(1-Inputs!$B$15)*MIN(Mkt!K93,J93*(1+Inputs!$B$18))),J93)))</f>
        <v>1525</v>
      </c>
      <c r="L93" s="11" t="n">
        <f aca="false">IF(L$1&lt;Units!$P92,0,IF(AND(Units!$K92=0,L$1=Units!$O92),Units!$R92,IF(AND(L$1&gt;=Units!$Q92,MOD(L$1-Units!$Q92,12)=0),IF(AND(Units!$L92=1,L$1=Units!$Q92),IF(Units!$J92&lt;&gt;"",Units!$J92,Mkt!L93),Inputs!$B$15*Mkt!L93+(1-Inputs!$B$15)*MIN(Mkt!L93,K93*(1+Inputs!$B$18))),K93)))</f>
        <v>1525</v>
      </c>
      <c r="M93" s="11" t="n">
        <f aca="false">IF(M$1&lt;Units!$P92,0,IF(AND(Units!$K92=0,M$1=Units!$O92),Units!$R92,IF(AND(M$1&gt;=Units!$Q92,MOD(M$1-Units!$Q92,12)=0),IF(AND(Units!$L92=1,M$1=Units!$Q92),IF(Units!$J92&lt;&gt;"",Units!$J92,Mkt!M93),Inputs!$B$15*Mkt!M93+(1-Inputs!$B$15)*MIN(Mkt!M93,L93*(1+Inputs!$B$18))),L93)))</f>
        <v>1525</v>
      </c>
      <c r="N93" s="11" t="n">
        <f aca="false">IF(N$1&lt;Units!$P92,0,IF(AND(Units!$K92=0,N$1=Units!$O92),Units!$R92,IF(AND(N$1&gt;=Units!$Q92,MOD(N$1-Units!$Q92,12)=0),IF(AND(Units!$L92=1,N$1=Units!$Q92),IF(Units!$J92&lt;&gt;"",Units!$J92,Mkt!N93),Inputs!$B$15*Mkt!N93+(1-Inputs!$B$15)*MIN(Mkt!N93,M93*(1+Inputs!$B$18))),M93)))</f>
        <v>1525</v>
      </c>
      <c r="O93" s="11" t="n">
        <f aca="false">IF(O$1&lt;Units!$P92,0,IF(AND(Units!$K92=0,O$1=Units!$O92),Units!$R92,IF(AND(O$1&gt;=Units!$Q92,MOD(O$1-Units!$Q92,12)=0),IF(AND(Units!$L92=1,O$1=Units!$Q92),IF(Units!$J92&lt;&gt;"",Units!$J92,Mkt!O93),Inputs!$B$15*Mkt!O93+(1-Inputs!$B$15)*MIN(Mkt!O93,N93*(1+Inputs!$B$18))),N93)))</f>
        <v>1525</v>
      </c>
      <c r="P93" s="11" t="n">
        <f aca="false">IF(P$1&lt;Units!$P92,0,IF(AND(Units!$K92=0,P$1=Units!$O92),Units!$R92,IF(AND(P$1&gt;=Units!$Q92,MOD(P$1-Units!$Q92,12)=0),IF(AND(Units!$L92=1,P$1=Units!$Q92),IF(Units!$J92&lt;&gt;"",Units!$J92,Mkt!P93),Inputs!$B$15*Mkt!P93+(1-Inputs!$B$15)*MIN(Mkt!P93,O93*(1+Inputs!$B$18))),O93)))</f>
        <v>1525</v>
      </c>
      <c r="Q93" s="11" t="n">
        <f aca="false">IF(Q$1&lt;Units!$P92,0,IF(AND(Units!$K92=0,Q$1=Units!$O92),Units!$R92,IF(AND(Q$1&gt;=Units!$Q92,MOD(Q$1-Units!$Q92,12)=0),IF(AND(Units!$L92=1,Q$1=Units!$Q92),IF(Units!$J92&lt;&gt;"",Units!$J92,Mkt!Q93),Inputs!$B$15*Mkt!Q93+(1-Inputs!$B$15)*MIN(Mkt!Q93,P93*(1+Inputs!$B$18))),P93)))</f>
        <v>1525</v>
      </c>
      <c r="R93" s="11" t="n">
        <f aca="false">IF(R$1&lt;Units!$P92,0,IF(AND(Units!$K92=0,R$1=Units!$O92),Units!$R92,IF(AND(R$1&gt;=Units!$Q92,MOD(R$1-Units!$Q92,12)=0),IF(AND(Units!$L92=1,R$1=Units!$Q92),IF(Units!$J92&lt;&gt;"",Units!$J92,Mkt!R93),Inputs!$B$15*Mkt!R93+(1-Inputs!$B$15)*MIN(Mkt!R93,Q93*(1+Inputs!$B$18))),Q93)))</f>
        <v>1525</v>
      </c>
      <c r="S93" s="11" t="n">
        <f aca="false">IF(S$1&lt;Units!$P92,0,IF(AND(Units!$K92=0,S$1=Units!$O92),Units!$R92,IF(AND(S$1&gt;=Units!$Q92,MOD(S$1-Units!$Q92,12)=0),IF(AND(Units!$L92=1,S$1=Units!$Q92),IF(Units!$J92&lt;&gt;"",Units!$J92,Mkt!S93),Inputs!$B$15*Mkt!S93+(1-Inputs!$B$15)*MIN(Mkt!S93,R93*(1+Inputs!$B$18))),R93)))</f>
        <v>1525</v>
      </c>
      <c r="T93" s="11" t="n">
        <f aca="false">IF(T$1&lt;Units!$P92,0,IF(AND(Units!$K92=0,T$1=Units!$O92),Units!$R92,IF(AND(T$1&gt;=Units!$Q92,MOD(T$1-Units!$Q92,12)=0),IF(AND(Units!$L92=1,T$1=Units!$Q92),IF(Units!$J92&lt;&gt;"",Units!$J92,Mkt!T93),Inputs!$B$15*Mkt!T93+(1-Inputs!$B$15)*MIN(Mkt!T93,S93*(1+Inputs!$B$18))),S93)))</f>
        <v>1525</v>
      </c>
      <c r="U93" s="11" t="n">
        <f aca="false">IF(U$1&lt;Units!$P92,0,IF(AND(Units!$K92=0,U$1=Units!$O92),Units!$R92,IF(AND(U$1&gt;=Units!$Q92,MOD(U$1-Units!$Q92,12)=0),IF(AND(Units!$L92=1,U$1=Units!$Q92),IF(Units!$J92&lt;&gt;"",Units!$J92,Mkt!U93),Inputs!$B$15*Mkt!U93+(1-Inputs!$B$15)*MIN(Mkt!U93,T93*(1+Inputs!$B$18))),T93)))</f>
        <v>1525</v>
      </c>
      <c r="V93" s="11" t="n">
        <f aca="false">IF(V$1&lt;Units!$P92,0,IF(AND(Units!$K92=0,V$1=Units!$O92),Units!$R92,IF(AND(V$1&gt;=Units!$Q92,MOD(V$1-Units!$Q92,12)=0),IF(AND(Units!$L92=1,V$1=Units!$Q92),IF(Units!$J92&lt;&gt;"",Units!$J92,Mkt!V93),Inputs!$B$15*Mkt!V93+(1-Inputs!$B$15)*MIN(Mkt!V93,U93*(1+Inputs!$B$18))),U93)))</f>
        <v>1525</v>
      </c>
      <c r="W93" s="11" t="n">
        <f aca="false">IF(W$1&lt;Units!$P92,0,IF(AND(Units!$K92=0,W$1=Units!$O92),Units!$R92,IF(AND(W$1&gt;=Units!$Q92,MOD(W$1-Units!$Q92,12)=0),IF(AND(Units!$L92=1,W$1=Units!$Q92),IF(Units!$J92&lt;&gt;"",Units!$J92,Mkt!W93),Inputs!$B$15*Mkt!W93+(1-Inputs!$B$15)*MIN(Mkt!W93,V93*(1+Inputs!$B$18))),V93)))</f>
        <v>1570.75</v>
      </c>
      <c r="X93" s="11" t="n">
        <f aca="false">IF(X$1&lt;Units!$P92,0,IF(AND(Units!$K92=0,X$1=Units!$O92),Units!$R92,IF(AND(X$1&gt;=Units!$Q92,MOD(X$1-Units!$Q92,12)=0),IF(AND(Units!$L92=1,X$1=Units!$Q92),IF(Units!$J92&lt;&gt;"",Units!$J92,Mkt!X93),Inputs!$B$15*Mkt!X93+(1-Inputs!$B$15)*MIN(Mkt!X93,W93*(1+Inputs!$B$18))),W93)))</f>
        <v>1570.75</v>
      </c>
      <c r="Y93" s="11" t="n">
        <f aca="false">IF(Y$1&lt;Units!$P92,0,IF(AND(Units!$K92=0,Y$1=Units!$O92),Units!$R92,IF(AND(Y$1&gt;=Units!$Q92,MOD(Y$1-Units!$Q92,12)=0),IF(AND(Units!$L92=1,Y$1=Units!$Q92),IF(Units!$J92&lt;&gt;"",Units!$J92,Mkt!Y93),Inputs!$B$15*Mkt!Y93+(1-Inputs!$B$15)*MIN(Mkt!Y93,X93*(1+Inputs!$B$18))),X93)))</f>
        <v>1570.75</v>
      </c>
      <c r="Z93" s="11" t="n">
        <f aca="false">IF(Z$1&lt;Units!$P92,0,IF(AND(Units!$K92=0,Z$1=Units!$O92),Units!$R92,IF(AND(Z$1&gt;=Units!$Q92,MOD(Z$1-Units!$Q92,12)=0),IF(AND(Units!$L92=1,Z$1=Units!$Q92),IF(Units!$J92&lt;&gt;"",Units!$J92,Mkt!Z93),Inputs!$B$15*Mkt!Z93+(1-Inputs!$B$15)*MIN(Mkt!Z93,Y93*(1+Inputs!$B$18))),Y93)))</f>
        <v>1570.75</v>
      </c>
      <c r="AA93" s="11" t="n">
        <f aca="false">IF(AA$1&lt;Units!$P92,0,IF(AND(Units!$K92=0,AA$1=Units!$O92),Units!$R92,IF(AND(AA$1&gt;=Units!$Q92,MOD(AA$1-Units!$Q92,12)=0),IF(AND(Units!$L92=1,AA$1=Units!$Q92),IF(Units!$J92&lt;&gt;"",Units!$J92,Mkt!AA93),Inputs!$B$15*Mkt!AA93+(1-Inputs!$B$15)*MIN(Mkt!AA93,Z93*(1+Inputs!$B$18))),Z93)))</f>
        <v>1570.75</v>
      </c>
      <c r="AB93" s="11" t="n">
        <f aca="false">IF(AB$1&lt;Units!$P92,0,IF(AND(Units!$K92=0,AB$1=Units!$O92),Units!$R92,IF(AND(AB$1&gt;=Units!$Q92,MOD(AB$1-Units!$Q92,12)=0),IF(AND(Units!$L92=1,AB$1=Units!$Q92),IF(Units!$J92&lt;&gt;"",Units!$J92,Mkt!AB93),Inputs!$B$15*Mkt!AB93+(1-Inputs!$B$15)*MIN(Mkt!AB93,AA93*(1+Inputs!$B$18))),AA93)))</f>
        <v>1570.75</v>
      </c>
      <c r="AC93" s="11" t="n">
        <f aca="false">IF(AC$1&lt;Units!$P92,0,IF(AND(Units!$K92=0,AC$1=Units!$O92),Units!$R92,IF(AND(AC$1&gt;=Units!$Q92,MOD(AC$1-Units!$Q92,12)=0),IF(AND(Units!$L92=1,AC$1=Units!$Q92),IF(Units!$J92&lt;&gt;"",Units!$J92,Mkt!AC93),Inputs!$B$15*Mkt!AC93+(1-Inputs!$B$15)*MIN(Mkt!AC93,AB93*(1+Inputs!$B$18))),AB93)))</f>
        <v>1570.75</v>
      </c>
      <c r="AD93" s="11" t="n">
        <f aca="false">IF(AD$1&lt;Units!$P92,0,IF(AND(Units!$K92=0,AD$1=Units!$O92),Units!$R92,IF(AND(AD$1&gt;=Units!$Q92,MOD(AD$1-Units!$Q92,12)=0),IF(AND(Units!$L92=1,AD$1=Units!$Q92),IF(Units!$J92&lt;&gt;"",Units!$J92,Mkt!AD93),Inputs!$B$15*Mkt!AD93+(1-Inputs!$B$15)*MIN(Mkt!AD93,AC93*(1+Inputs!$B$18))),AC93)))</f>
        <v>1570.75</v>
      </c>
      <c r="AE93" s="11" t="n">
        <f aca="false">IF(AE$1&lt;Units!$P92,0,IF(AND(Units!$K92=0,AE$1=Units!$O92),Units!$R92,IF(AND(AE$1&gt;=Units!$Q92,MOD(AE$1-Units!$Q92,12)=0),IF(AND(Units!$L92=1,AE$1=Units!$Q92),IF(Units!$J92&lt;&gt;"",Units!$J92,Mkt!AE93),Inputs!$B$15*Mkt!AE93+(1-Inputs!$B$15)*MIN(Mkt!AE93,AD93*(1+Inputs!$B$18))),AD93)))</f>
        <v>1570.75</v>
      </c>
      <c r="AF93" s="11" t="n">
        <f aca="false">IF(AF$1&lt;Units!$P92,0,IF(AND(Units!$K92=0,AF$1=Units!$O92),Units!$R92,IF(AND(AF$1&gt;=Units!$Q92,MOD(AF$1-Units!$Q92,12)=0),IF(AND(Units!$L92=1,AF$1=Units!$Q92),IF(Units!$J92&lt;&gt;"",Units!$J92,Mkt!AF93),Inputs!$B$15*Mkt!AF93+(1-Inputs!$B$15)*MIN(Mkt!AF93,AE93*(1+Inputs!$B$18))),AE93)))</f>
        <v>1570.75</v>
      </c>
      <c r="AG93" s="11" t="n">
        <f aca="false">IF(AG$1&lt;Units!$P92,0,IF(AND(Units!$K92=0,AG$1=Units!$O92),Units!$R92,IF(AND(AG$1&gt;=Units!$Q92,MOD(AG$1-Units!$Q92,12)=0),IF(AND(Units!$L92=1,AG$1=Units!$Q92),IF(Units!$J92&lt;&gt;"",Units!$J92,Mkt!AG93),Inputs!$B$15*Mkt!AG93+(1-Inputs!$B$15)*MIN(Mkt!AG93,AF93*(1+Inputs!$B$18))),AF93)))</f>
        <v>1570.75</v>
      </c>
      <c r="AH93" s="11" t="n">
        <f aca="false">IF(AH$1&lt;Units!$P92,0,IF(AND(Units!$K92=0,AH$1=Units!$O92),Units!$R92,IF(AND(AH$1&gt;=Units!$Q92,MOD(AH$1-Units!$Q92,12)=0),IF(AND(Units!$L92=1,AH$1=Units!$Q92),IF(Units!$J92&lt;&gt;"",Units!$J92,Mkt!AH93),Inputs!$B$15*Mkt!AH93+(1-Inputs!$B$15)*MIN(Mkt!AH93,AG93*(1+Inputs!$B$18))),AG93)))</f>
        <v>1570.75</v>
      </c>
      <c r="AI93" s="11" t="n">
        <f aca="false">IF(AI$1&lt;Units!$P92,0,IF(AND(Units!$K92=0,AI$1=Units!$O92),Units!$R92,IF(AND(AI$1&gt;=Units!$Q92,MOD(AI$1-Units!$Q92,12)=0),IF(AND(Units!$L92=1,AI$1=Units!$Q92),IF(Units!$J92&lt;&gt;"",Units!$J92,Mkt!AI93),Inputs!$B$15*Mkt!AI93+(1-Inputs!$B$15)*MIN(Mkt!AI93,AH93*(1+Inputs!$B$18))),AH93)))</f>
        <v>1617.8725</v>
      </c>
      <c r="AJ93" s="11" t="n">
        <f aca="false">IF(AJ$1&lt;Units!$P92,0,IF(AND(Units!$K92=0,AJ$1=Units!$O92),Units!$R92,IF(AND(AJ$1&gt;=Units!$Q92,MOD(AJ$1-Units!$Q92,12)=0),IF(AND(Units!$L92=1,AJ$1=Units!$Q92),IF(Units!$J92&lt;&gt;"",Units!$J92,Mkt!AJ93),Inputs!$B$15*Mkt!AJ93+(1-Inputs!$B$15)*MIN(Mkt!AJ93,AI93*(1+Inputs!$B$18))),AI93)))</f>
        <v>1617.8725</v>
      </c>
      <c r="AK93" s="11" t="n">
        <f aca="false">IF(AK$1&lt;Units!$P92,0,IF(AND(Units!$K92=0,AK$1=Units!$O92),Units!$R92,IF(AND(AK$1&gt;=Units!$Q92,MOD(AK$1-Units!$Q92,12)=0),IF(AND(Units!$L92=1,AK$1=Units!$Q92),IF(Units!$J92&lt;&gt;"",Units!$J92,Mkt!AK93),Inputs!$B$15*Mkt!AK93+(1-Inputs!$B$15)*MIN(Mkt!AK93,AJ93*(1+Inputs!$B$18))),AJ93)))</f>
        <v>1617.8725</v>
      </c>
      <c r="AL93" s="11" t="n">
        <f aca="false">IF(AL$1&lt;Units!$P92,0,IF(AND(Units!$K92=0,AL$1=Units!$O92),Units!$R92,IF(AND(AL$1&gt;=Units!$Q92,MOD(AL$1-Units!$Q92,12)=0),IF(AND(Units!$L92=1,AL$1=Units!$Q92),IF(Units!$J92&lt;&gt;"",Units!$J92,Mkt!AL93),Inputs!$B$15*Mkt!AL93+(1-Inputs!$B$15)*MIN(Mkt!AL93,AK93*(1+Inputs!$B$18))),AK93)))</f>
        <v>1617.8725</v>
      </c>
      <c r="AM93" s="11" t="n">
        <f aca="false">IF(AM$1&lt;Units!$P92,0,IF(AND(Units!$K92=0,AM$1=Units!$O92),Units!$R92,IF(AND(AM$1&gt;=Units!$Q92,MOD(AM$1-Units!$Q92,12)=0),IF(AND(Units!$L92=1,AM$1=Units!$Q92),IF(Units!$J92&lt;&gt;"",Units!$J92,Mkt!AM93),Inputs!$B$15*Mkt!AM93+(1-Inputs!$B$15)*MIN(Mkt!AM93,AL93*(1+Inputs!$B$18))),AL93)))</f>
        <v>1617.8725</v>
      </c>
      <c r="AN93" s="11" t="n">
        <f aca="false">IF(AN$1&lt;Units!$P92,0,IF(AND(Units!$K92=0,AN$1=Units!$O92),Units!$R92,IF(AND(AN$1&gt;=Units!$Q92,MOD(AN$1-Units!$Q92,12)=0),IF(AND(Units!$L92=1,AN$1=Units!$Q92),IF(Units!$J92&lt;&gt;"",Units!$J92,Mkt!AN93),Inputs!$B$15*Mkt!AN93+(1-Inputs!$B$15)*MIN(Mkt!AN93,AM93*(1+Inputs!$B$18))),AM93)))</f>
        <v>1617.8725</v>
      </c>
      <c r="AO93" s="11" t="n">
        <f aca="false">IF(AO$1&lt;Units!$P92,0,IF(AND(Units!$K92=0,AO$1=Units!$O92),Units!$R92,IF(AND(AO$1&gt;=Units!$Q92,MOD(AO$1-Units!$Q92,12)=0),IF(AND(Units!$L92=1,AO$1=Units!$Q92),IF(Units!$J92&lt;&gt;"",Units!$J92,Mkt!AO93),Inputs!$B$15*Mkt!AO93+(1-Inputs!$B$15)*MIN(Mkt!AO93,AN93*(1+Inputs!$B$18))),AN93)))</f>
        <v>1617.8725</v>
      </c>
      <c r="AP93" s="11" t="n">
        <f aca="false">IF(AP$1&lt;Units!$P92,0,IF(AND(Units!$K92=0,AP$1=Units!$O92),Units!$R92,IF(AND(AP$1&gt;=Units!$Q92,MOD(AP$1-Units!$Q92,12)=0),IF(AND(Units!$L92=1,AP$1=Units!$Q92),IF(Units!$J92&lt;&gt;"",Units!$J92,Mkt!AP93),Inputs!$B$15*Mkt!AP93+(1-Inputs!$B$15)*MIN(Mkt!AP93,AO93*(1+Inputs!$B$18))),AO93)))</f>
        <v>1617.8725</v>
      </c>
      <c r="AQ93" s="11" t="n">
        <f aca="false">IF(AQ$1&lt;Units!$P92,0,IF(AND(Units!$K92=0,AQ$1=Units!$O92),Units!$R92,IF(AND(AQ$1&gt;=Units!$Q92,MOD(AQ$1-Units!$Q92,12)=0),IF(AND(Units!$L92=1,AQ$1=Units!$Q92),IF(Units!$J92&lt;&gt;"",Units!$J92,Mkt!AQ93),Inputs!$B$15*Mkt!AQ93+(1-Inputs!$B$15)*MIN(Mkt!AQ93,AP93*(1+Inputs!$B$18))),AP93)))</f>
        <v>1617.8725</v>
      </c>
      <c r="AR93" s="11" t="n">
        <f aca="false">IF(AR$1&lt;Units!$P92,0,IF(AND(Units!$K92=0,AR$1=Units!$O92),Units!$R92,IF(AND(AR$1&gt;=Units!$Q92,MOD(AR$1-Units!$Q92,12)=0),IF(AND(Units!$L92=1,AR$1=Units!$Q92),IF(Units!$J92&lt;&gt;"",Units!$J92,Mkt!AR93),Inputs!$B$15*Mkt!AR93+(1-Inputs!$B$15)*MIN(Mkt!AR93,AQ93*(1+Inputs!$B$18))),AQ93)))</f>
        <v>1617.8725</v>
      </c>
      <c r="AS93" s="11" t="n">
        <f aca="false">IF(AS$1&lt;Units!$P92,0,IF(AND(Units!$K92=0,AS$1=Units!$O92),Units!$R92,IF(AND(AS$1&gt;=Units!$Q92,MOD(AS$1-Units!$Q92,12)=0),IF(AND(Units!$L92=1,AS$1=Units!$Q92),IF(Units!$J92&lt;&gt;"",Units!$J92,Mkt!AS93),Inputs!$B$15*Mkt!AS93+(1-Inputs!$B$15)*MIN(Mkt!AS93,AR93*(1+Inputs!$B$18))),AR93)))</f>
        <v>1617.8725</v>
      </c>
      <c r="AT93" s="11" t="n">
        <f aca="false">IF(AT$1&lt;Units!$P92,0,IF(AND(Units!$K92=0,AT$1=Units!$O92),Units!$R92,IF(AND(AT$1&gt;=Units!$Q92,MOD(AT$1-Units!$Q92,12)=0),IF(AND(Units!$L92=1,AT$1=Units!$Q92),IF(Units!$J92&lt;&gt;"",Units!$J92,Mkt!AT93),Inputs!$B$15*Mkt!AT93+(1-Inputs!$B$15)*MIN(Mkt!AT93,AS93*(1+Inputs!$B$18))),AS93)))</f>
        <v>1617.8725</v>
      </c>
      <c r="AU93" s="11" t="n">
        <f aca="false">IF(AU$1&lt;Units!$P92,0,IF(AND(Units!$K92=0,AU$1=Units!$O92),Units!$R92,IF(AND(AU$1&gt;=Units!$Q92,MOD(AU$1-Units!$Q92,12)=0),IF(AND(Units!$L92=1,AU$1=Units!$Q92),IF(Units!$J92&lt;&gt;"",Units!$J92,Mkt!AU93),Inputs!$B$15*Mkt!AU93+(1-Inputs!$B$15)*MIN(Mkt!AU93,AT93*(1+Inputs!$B$18))),AT93)))</f>
        <v>1666.408675</v>
      </c>
      <c r="AV93" s="11" t="n">
        <f aca="false">IF(AV$1&lt;Units!$P92,0,IF(AND(Units!$K92=0,AV$1=Units!$O92),Units!$R92,IF(AND(AV$1&gt;=Units!$Q92,MOD(AV$1-Units!$Q92,12)=0),IF(AND(Units!$L92=1,AV$1=Units!$Q92),IF(Units!$J92&lt;&gt;"",Units!$J92,Mkt!AV93),Inputs!$B$15*Mkt!AV93+(1-Inputs!$B$15)*MIN(Mkt!AV93,AU93*(1+Inputs!$B$18))),AU93)))</f>
        <v>1666.408675</v>
      </c>
      <c r="AW93" s="11" t="n">
        <f aca="false">IF(AW$1&lt;Units!$P92,0,IF(AND(Units!$K92=0,AW$1=Units!$O92),Units!$R92,IF(AND(AW$1&gt;=Units!$Q92,MOD(AW$1-Units!$Q92,12)=0),IF(AND(Units!$L92=1,AW$1=Units!$Q92),IF(Units!$J92&lt;&gt;"",Units!$J92,Mkt!AW93),Inputs!$B$15*Mkt!AW93+(1-Inputs!$B$15)*MIN(Mkt!AW93,AV93*(1+Inputs!$B$18))),AV93)))</f>
        <v>1666.408675</v>
      </c>
      <c r="AX93" s="11" t="n">
        <f aca="false">IF(AX$1&lt;Units!$P92,0,IF(AND(Units!$K92=0,AX$1=Units!$O92),Units!$R92,IF(AND(AX$1&gt;=Units!$Q92,MOD(AX$1-Units!$Q92,12)=0),IF(AND(Units!$L92=1,AX$1=Units!$Q92),IF(Units!$J92&lt;&gt;"",Units!$J92,Mkt!AX93),Inputs!$B$15*Mkt!AX93+(1-Inputs!$B$15)*MIN(Mkt!AX93,AW93*(1+Inputs!$B$18))),AW93)))</f>
        <v>1666.408675</v>
      </c>
      <c r="AY93" s="11" t="n">
        <f aca="false">IF(AY$1&lt;Units!$P92,0,IF(AND(Units!$K92=0,AY$1=Units!$O92),Units!$R92,IF(AND(AY$1&gt;=Units!$Q92,MOD(AY$1-Units!$Q92,12)=0),IF(AND(Units!$L92=1,AY$1=Units!$Q92),IF(Units!$J92&lt;&gt;"",Units!$J92,Mkt!AY93),Inputs!$B$15*Mkt!AY93+(1-Inputs!$B$15)*MIN(Mkt!AY93,AX93*(1+Inputs!$B$18))),AX93)))</f>
        <v>1666.408675</v>
      </c>
      <c r="AZ93" s="11" t="n">
        <f aca="false">IF(AZ$1&lt;Units!$P92,0,IF(AND(Units!$K92=0,AZ$1=Units!$O92),Units!$R92,IF(AND(AZ$1&gt;=Units!$Q92,MOD(AZ$1-Units!$Q92,12)=0),IF(AND(Units!$L92=1,AZ$1=Units!$Q92),IF(Units!$J92&lt;&gt;"",Units!$J92,Mkt!AZ93),Inputs!$B$15*Mkt!AZ93+(1-Inputs!$B$15)*MIN(Mkt!AZ93,AY93*(1+Inputs!$B$18))),AY93)))</f>
        <v>1666.408675</v>
      </c>
      <c r="BA93" s="11" t="n">
        <f aca="false">IF(BA$1&lt;Units!$P92,0,IF(AND(Units!$K92=0,BA$1=Units!$O92),Units!$R92,IF(AND(BA$1&gt;=Units!$Q92,MOD(BA$1-Units!$Q92,12)=0),IF(AND(Units!$L92=1,BA$1=Units!$Q92),IF(Units!$J92&lt;&gt;"",Units!$J92,Mkt!BA93),Inputs!$B$15*Mkt!BA93+(1-Inputs!$B$15)*MIN(Mkt!BA93,AZ93*(1+Inputs!$B$18))),AZ93)))</f>
        <v>1666.408675</v>
      </c>
      <c r="BB93" s="11" t="n">
        <f aca="false">IF(BB$1&lt;Units!$P92,0,IF(AND(Units!$K92=0,BB$1=Units!$O92),Units!$R92,IF(AND(BB$1&gt;=Units!$Q92,MOD(BB$1-Units!$Q92,12)=0),IF(AND(Units!$L92=1,BB$1=Units!$Q92),IF(Units!$J92&lt;&gt;"",Units!$J92,Mkt!BB93),Inputs!$B$15*Mkt!BB93+(1-Inputs!$B$15)*MIN(Mkt!BB93,BA93*(1+Inputs!$B$18))),BA93)))</f>
        <v>1666.408675</v>
      </c>
      <c r="BC93" s="11" t="n">
        <f aca="false">IF(BC$1&lt;Units!$P92,0,IF(AND(Units!$K92=0,BC$1=Units!$O92),Units!$R92,IF(AND(BC$1&gt;=Units!$Q92,MOD(BC$1-Units!$Q92,12)=0),IF(AND(Units!$L92=1,BC$1=Units!$Q92),IF(Units!$J92&lt;&gt;"",Units!$J92,Mkt!BC93),Inputs!$B$15*Mkt!BC93+(1-Inputs!$B$15)*MIN(Mkt!BC93,BB93*(1+Inputs!$B$18))),BB93)))</f>
        <v>1666.408675</v>
      </c>
      <c r="BD93" s="11" t="n">
        <f aca="false">IF(BD$1&lt;Units!$P92,0,IF(AND(Units!$K92=0,BD$1=Units!$O92),Units!$R92,IF(AND(BD$1&gt;=Units!$Q92,MOD(BD$1-Units!$Q92,12)=0),IF(AND(Units!$L92=1,BD$1=Units!$Q92),IF(Units!$J92&lt;&gt;"",Units!$J92,Mkt!BD93),Inputs!$B$15*Mkt!BD93+(1-Inputs!$B$15)*MIN(Mkt!BD93,BC93*(1+Inputs!$B$18))),BC93)))</f>
        <v>1666.408675</v>
      </c>
      <c r="BE93" s="11" t="n">
        <f aca="false">IF(BE$1&lt;Units!$P92,0,IF(AND(Units!$K92=0,BE$1=Units!$O92),Units!$R92,IF(AND(BE$1&gt;=Units!$Q92,MOD(BE$1-Units!$Q92,12)=0),IF(AND(Units!$L92=1,BE$1=Units!$Q92),IF(Units!$J92&lt;&gt;"",Units!$J92,Mkt!BE93),Inputs!$B$15*Mkt!BE93+(1-Inputs!$B$15)*MIN(Mkt!BE93,BD93*(1+Inputs!$B$18))),BD93)))</f>
        <v>1666.408675</v>
      </c>
      <c r="BF93" s="11" t="n">
        <f aca="false">IF(BF$1&lt;Units!$P92,0,IF(AND(Units!$K92=0,BF$1=Units!$O92),Units!$R92,IF(AND(BF$1&gt;=Units!$Q92,MOD(BF$1-Units!$Q92,12)=0),IF(AND(Units!$L92=1,BF$1=Units!$Q92),IF(Units!$J92&lt;&gt;"",Units!$J92,Mkt!BF93),Inputs!$B$15*Mkt!BF93+(1-Inputs!$B$15)*MIN(Mkt!BF93,BE93*(1+Inputs!$B$18))),BE93)))</f>
        <v>1666.408675</v>
      </c>
      <c r="BG93" s="11" t="n">
        <f aca="false">IF(BG$1&lt;Units!$P92,0,IF(AND(Units!$K92=0,BG$1=Units!$O92),Units!$R92,IF(AND(BG$1&gt;=Units!$Q92,MOD(BG$1-Units!$Q92,12)=0),IF(AND(Units!$L92=1,BG$1=Units!$Q92),IF(Units!$J92&lt;&gt;"",Units!$J92,Mkt!BG93),Inputs!$B$15*Mkt!BG93+(1-Inputs!$B$15)*MIN(Mkt!BG93,BF93*(1+Inputs!$B$18))),BF93)))</f>
        <v>1716.40093525</v>
      </c>
      <c r="BH93" s="11" t="n">
        <f aca="false">IF(BH$1&lt;Units!$P92,0,IF(AND(Units!$K92=0,BH$1=Units!$O92),Units!$R92,IF(AND(BH$1&gt;=Units!$Q92,MOD(BH$1-Units!$Q92,12)=0),IF(AND(Units!$L92=1,BH$1=Units!$Q92),IF(Units!$J92&lt;&gt;"",Units!$J92,Mkt!BH93),Inputs!$B$15*Mkt!BH93+(1-Inputs!$B$15)*MIN(Mkt!BH93,BG93*(1+Inputs!$B$18))),BG93)))</f>
        <v>1716.40093525</v>
      </c>
      <c r="BI93" s="11" t="n">
        <f aca="false">IF(BI$1&lt;Units!$P92,0,IF(AND(Units!$K92=0,BI$1=Units!$O92),Units!$R92,IF(AND(BI$1&gt;=Units!$Q92,MOD(BI$1-Units!$Q92,12)=0),IF(AND(Units!$L92=1,BI$1=Units!$Q92),IF(Units!$J92&lt;&gt;"",Units!$J92,Mkt!BI93),Inputs!$B$15*Mkt!BI93+(1-Inputs!$B$15)*MIN(Mkt!BI93,BH93*(1+Inputs!$B$18))),BH93)))</f>
        <v>1716.40093525</v>
      </c>
      <c r="BJ93" s="11" t="n">
        <f aca="false">IF(BJ$1&lt;Units!$P92,0,IF(AND(Units!$K92=0,BJ$1=Units!$O92),Units!$R92,IF(AND(BJ$1&gt;=Units!$Q92,MOD(BJ$1-Units!$Q92,12)=0),IF(AND(Units!$L92=1,BJ$1=Units!$Q92),IF(Units!$J92&lt;&gt;"",Units!$J92,Mkt!BJ93),Inputs!$B$15*Mkt!BJ93+(1-Inputs!$B$15)*MIN(Mkt!BJ93,BI93*(1+Inputs!$B$18))),BI93)))</f>
        <v>1716.40093525</v>
      </c>
      <c r="BK93" s="11" t="n">
        <f aca="false">IF(BK$1&lt;Units!$P92,0,IF(AND(Units!$K92=0,BK$1=Units!$O92),Units!$R92,IF(AND(BK$1&gt;=Units!$Q92,MOD(BK$1-Units!$Q92,12)=0),IF(AND(Units!$L92=1,BK$1=Units!$Q92),IF(Units!$J92&lt;&gt;"",Units!$J92,Mkt!BK93),Inputs!$B$15*Mkt!BK93+(1-Inputs!$B$15)*MIN(Mkt!BK93,BJ93*(1+Inputs!$B$18))),BJ93)))</f>
        <v>1716.40093525</v>
      </c>
      <c r="BL93" s="11" t="n">
        <f aca="false">IF(BL$1&lt;Units!$P92,0,IF(AND(Units!$K92=0,BL$1=Units!$O92),Units!$R92,IF(AND(BL$1&gt;=Units!$Q92,MOD(BL$1-Units!$Q92,12)=0),IF(AND(Units!$L92=1,BL$1=Units!$Q92),IF(Units!$J92&lt;&gt;"",Units!$J92,Mkt!BL93),Inputs!$B$15*Mkt!BL93+(1-Inputs!$B$15)*MIN(Mkt!BL93,BK93*(1+Inputs!$B$18))),BK93)))</f>
        <v>1716.40093525</v>
      </c>
      <c r="BM93" s="11" t="n">
        <f aca="false">IF(BM$1&lt;Units!$P92,0,IF(AND(Units!$K92=0,BM$1=Units!$O92),Units!$R92,IF(AND(BM$1&gt;=Units!$Q92,MOD(BM$1-Units!$Q92,12)=0),IF(AND(Units!$L92=1,BM$1=Units!$Q92),IF(Units!$J92&lt;&gt;"",Units!$J92,Mkt!BM93),Inputs!$B$15*Mkt!BM93+(1-Inputs!$B$15)*MIN(Mkt!BM93,BL93*(1+Inputs!$B$18))),BL93)))</f>
        <v>1716.40093525</v>
      </c>
      <c r="BN93" s="11" t="n">
        <f aca="false">IF(BN$1&lt;Units!$P92,0,IF(AND(Units!$K92=0,BN$1=Units!$O92),Units!$R92,IF(AND(BN$1&gt;=Units!$Q92,MOD(BN$1-Units!$Q92,12)=0),IF(AND(Units!$L92=1,BN$1=Units!$Q92),IF(Units!$J92&lt;&gt;"",Units!$J92,Mkt!BN93),Inputs!$B$15*Mkt!BN93+(1-Inputs!$B$15)*MIN(Mkt!BN93,BM93*(1+Inputs!$B$18))),BM93)))</f>
        <v>1716.40093525</v>
      </c>
      <c r="BO93" s="11" t="n">
        <f aca="false">IF(BO$1&lt;Units!$P92,0,IF(AND(Units!$K92=0,BO$1=Units!$O92),Units!$R92,IF(AND(BO$1&gt;=Units!$Q92,MOD(BO$1-Units!$Q92,12)=0),IF(AND(Units!$L92=1,BO$1=Units!$Q92),IF(Units!$J92&lt;&gt;"",Units!$J92,Mkt!BO93),Inputs!$B$15*Mkt!BO93+(1-Inputs!$B$15)*MIN(Mkt!BO93,BN93*(1+Inputs!$B$18))),BN93)))</f>
        <v>1716.40093525</v>
      </c>
      <c r="BP93" s="11" t="n">
        <f aca="false">IF(BP$1&lt;Units!$P92,0,IF(AND(Units!$K92=0,BP$1=Units!$O92),Units!$R92,IF(AND(BP$1&gt;=Units!$Q92,MOD(BP$1-Units!$Q92,12)=0),IF(AND(Units!$L92=1,BP$1=Units!$Q92),IF(Units!$J92&lt;&gt;"",Units!$J92,Mkt!BP93),Inputs!$B$15*Mkt!BP93+(1-Inputs!$B$15)*MIN(Mkt!BP93,BO93*(1+Inputs!$B$18))),BO93)))</f>
        <v>1716.40093525</v>
      </c>
      <c r="BQ93" s="11" t="n">
        <f aca="false">IF(BQ$1&lt;Units!$P92,0,IF(AND(Units!$K92=0,BQ$1=Units!$O92),Units!$R92,IF(AND(BQ$1&gt;=Units!$Q92,MOD(BQ$1-Units!$Q92,12)=0),IF(AND(Units!$L92=1,BQ$1=Units!$Q92),IF(Units!$J92&lt;&gt;"",Units!$J92,Mkt!BQ93),Inputs!$B$15*Mkt!BQ93+(1-Inputs!$B$15)*MIN(Mkt!BQ93,BP93*(1+Inputs!$B$18))),BP93)))</f>
        <v>1716.40093525</v>
      </c>
      <c r="BR93" s="11" t="n">
        <f aca="false">IF(BR$1&lt;Units!$P92,0,IF(AND(Units!$K92=0,BR$1=Units!$O92),Units!$R92,IF(AND(BR$1&gt;=Units!$Q92,MOD(BR$1-Units!$Q92,12)=0),IF(AND(Units!$L92=1,BR$1=Units!$Q92),IF(Units!$J92&lt;&gt;"",Units!$J92,Mkt!BR93),Inputs!$B$15*Mkt!BR93+(1-Inputs!$B$15)*MIN(Mkt!BR93,BQ93*(1+Inputs!$B$18))),BQ93)))</f>
        <v>1716.40093525</v>
      </c>
      <c r="BS93" s="11" t="n">
        <f aca="false">IF(BS$1&lt;Units!$P92,0,IF(AND(Units!$K92=0,BS$1=Units!$O92),Units!$R92,IF(AND(BS$1&gt;=Units!$Q92,MOD(BS$1-Units!$Q92,12)=0),IF(AND(Units!$L92=1,BS$1=Units!$Q92),IF(Units!$J92&lt;&gt;"",Units!$J92,Mkt!BS93),Inputs!$B$15*Mkt!BS93+(1-Inputs!$B$15)*MIN(Mkt!BS93,BR93*(1+Inputs!$B$18))),BR93)))</f>
        <v>1767.8929633075</v>
      </c>
      <c r="BT93" s="11" t="n">
        <f aca="false">IF(BT$1&lt;Units!$P92,0,IF(AND(Units!$K92=0,BT$1=Units!$O92),Units!$R92,IF(AND(BT$1&gt;=Units!$Q92,MOD(BT$1-Units!$Q92,12)=0),IF(AND(Units!$L92=1,BT$1=Units!$Q92),IF(Units!$J92&lt;&gt;"",Units!$J92,Mkt!BT93),Inputs!$B$15*Mkt!BT93+(1-Inputs!$B$15)*MIN(Mkt!BT93,BS93*(1+Inputs!$B$18))),BS93)))</f>
        <v>1767.8929633075</v>
      </c>
      <c r="BU93" s="11" t="n">
        <f aca="false">IF(BU$1&lt;Units!$P92,0,IF(AND(Units!$K92=0,BU$1=Units!$O92),Units!$R92,IF(AND(BU$1&gt;=Units!$Q92,MOD(BU$1-Units!$Q92,12)=0),IF(AND(Units!$L92=1,BU$1=Units!$Q92),IF(Units!$J92&lt;&gt;"",Units!$J92,Mkt!BU93),Inputs!$B$15*Mkt!BU93+(1-Inputs!$B$15)*MIN(Mkt!BU93,BT93*(1+Inputs!$B$18))),BT93)))</f>
        <v>1767.8929633075</v>
      </c>
      <c r="BV93" s="11" t="n">
        <f aca="false">IF(BV$1&lt;Units!$P92,0,IF(AND(Units!$K92=0,BV$1=Units!$O92),Units!$R92,IF(AND(BV$1&gt;=Units!$Q92,MOD(BV$1-Units!$Q92,12)=0),IF(AND(Units!$L92=1,BV$1=Units!$Q92),IF(Units!$J92&lt;&gt;"",Units!$J92,Mkt!BV93),Inputs!$B$15*Mkt!BV93+(1-Inputs!$B$15)*MIN(Mkt!BV93,BU93*(1+Inputs!$B$18))),BU93)))</f>
        <v>1767.8929633075</v>
      </c>
      <c r="BW93" s="11" t="n">
        <f aca="false">IF(BW$1&lt;Units!$P92,0,IF(AND(Units!$K92=0,BW$1=Units!$O92),Units!$R92,IF(AND(BW$1&gt;=Units!$Q92,MOD(BW$1-Units!$Q92,12)=0),IF(AND(Units!$L92=1,BW$1=Units!$Q92),IF(Units!$J92&lt;&gt;"",Units!$J92,Mkt!BW93),Inputs!$B$15*Mkt!BW93+(1-Inputs!$B$15)*MIN(Mkt!BW93,BV93*(1+Inputs!$B$18))),BV93)))</f>
        <v>1767.8929633075</v>
      </c>
      <c r="BX93" s="11" t="n">
        <f aca="false">IF(BX$1&lt;Units!$P92,0,IF(AND(Units!$K92=0,BX$1=Units!$O92),Units!$R92,IF(AND(BX$1&gt;=Units!$Q92,MOD(BX$1-Units!$Q92,12)=0),IF(AND(Units!$L92=1,BX$1=Units!$Q92),IF(Units!$J92&lt;&gt;"",Units!$J92,Mkt!BX93),Inputs!$B$15*Mkt!BX93+(1-Inputs!$B$15)*MIN(Mkt!BX93,BW93*(1+Inputs!$B$18))),BW93)))</f>
        <v>1767.8929633075</v>
      </c>
      <c r="BY93" s="11" t="n">
        <f aca="false">IF(BY$1&lt;Units!$P92,0,IF(AND(Units!$K92=0,BY$1=Units!$O92),Units!$R92,IF(AND(BY$1&gt;=Units!$Q92,MOD(BY$1-Units!$Q92,12)=0),IF(AND(Units!$L92=1,BY$1=Units!$Q92),IF(Units!$J92&lt;&gt;"",Units!$J92,Mkt!BY93),Inputs!$B$15*Mkt!BY93+(1-Inputs!$B$15)*MIN(Mkt!BY93,BX93*(1+Inputs!$B$18))),BX93)))</f>
        <v>1767.8929633075</v>
      </c>
      <c r="BZ93" s="11" t="n">
        <f aca="false">IF(BZ$1&lt;Units!$P92,0,IF(AND(Units!$K92=0,BZ$1=Units!$O92),Units!$R92,IF(AND(BZ$1&gt;=Units!$Q92,MOD(BZ$1-Units!$Q92,12)=0),IF(AND(Units!$L92=1,BZ$1=Units!$Q92),IF(Units!$J92&lt;&gt;"",Units!$J92,Mkt!BZ93),Inputs!$B$15*Mkt!BZ93+(1-Inputs!$B$15)*MIN(Mkt!BZ93,BY93*(1+Inputs!$B$18))),BY93)))</f>
        <v>1767.8929633075</v>
      </c>
      <c r="CA93" s="11" t="n">
        <f aca="false">IF(CA$1&lt;Units!$P92,0,IF(AND(Units!$K92=0,CA$1=Units!$O92),Units!$R92,IF(AND(CA$1&gt;=Units!$Q92,MOD(CA$1-Units!$Q92,12)=0),IF(AND(Units!$L92=1,CA$1=Units!$Q92),IF(Units!$J92&lt;&gt;"",Units!$J92,Mkt!CA93),Inputs!$B$15*Mkt!CA93+(1-Inputs!$B$15)*MIN(Mkt!CA93,BZ93*(1+Inputs!$B$18))),BZ93)))</f>
        <v>1767.8929633075</v>
      </c>
      <c r="CB93" s="11" t="n">
        <f aca="false">IF(CB$1&lt;Units!$P92,0,IF(AND(Units!$K92=0,CB$1=Units!$O92),Units!$R92,IF(AND(CB$1&gt;=Units!$Q92,MOD(CB$1-Units!$Q92,12)=0),IF(AND(Units!$L92=1,CB$1=Units!$Q92),IF(Units!$J92&lt;&gt;"",Units!$J92,Mkt!CB93),Inputs!$B$15*Mkt!CB93+(1-Inputs!$B$15)*MIN(Mkt!CB93,CA93*(1+Inputs!$B$18))),CA93)))</f>
        <v>1767.8929633075</v>
      </c>
      <c r="CC93" s="11" t="n">
        <f aca="false">IF(CC$1&lt;Units!$P92,0,IF(AND(Units!$K92=0,CC$1=Units!$O92),Units!$R92,IF(AND(CC$1&gt;=Units!$Q92,MOD(CC$1-Units!$Q92,12)=0),IF(AND(Units!$L92=1,CC$1=Units!$Q92),IF(Units!$J92&lt;&gt;"",Units!$J92,Mkt!CC93),Inputs!$B$15*Mkt!CC93+(1-Inputs!$B$15)*MIN(Mkt!CC93,CB93*(1+Inputs!$B$18))),CB93)))</f>
        <v>1767.8929633075</v>
      </c>
      <c r="CD93" s="11" t="n">
        <f aca="false">IF(CD$1&lt;Units!$P92,0,IF(AND(Units!$K92=0,CD$1=Units!$O92),Units!$R92,IF(AND(CD$1&gt;=Units!$Q92,MOD(CD$1-Units!$Q92,12)=0),IF(AND(Units!$L92=1,CD$1=Units!$Q92),IF(Units!$J92&lt;&gt;"",Units!$J92,Mkt!CD93),Inputs!$B$15*Mkt!CD93+(1-Inputs!$B$15)*MIN(Mkt!CD93,CC93*(1+Inputs!$B$18))),CC93)))</f>
        <v>1767.8929633075</v>
      </c>
      <c r="CE93" s="11" t="n">
        <f aca="false">IF(CE$1&lt;Units!$P92,0,IF(AND(Units!$K92=0,CE$1=Units!$O92),Units!$R92,IF(AND(CE$1&gt;=Units!$Q92,MOD(CE$1-Units!$Q92,12)=0),IF(AND(Units!$L92=1,CE$1=Units!$Q92),IF(Units!$J92&lt;&gt;"",Units!$J92,Mkt!CE93),Inputs!$B$15*Mkt!CE93+(1-Inputs!$B$15)*MIN(Mkt!CE93,CD93*(1+Inputs!$B$18))),CD93)))</f>
        <v>1820.92975220673</v>
      </c>
      <c r="CF93" s="11" t="n">
        <f aca="false">IF(CF$1&lt;Units!$P92,0,IF(AND(Units!$K92=0,CF$1=Units!$O92),Units!$R92,IF(AND(CF$1&gt;=Units!$Q92,MOD(CF$1-Units!$Q92,12)=0),IF(AND(Units!$L92=1,CF$1=Units!$Q92),IF(Units!$J92&lt;&gt;"",Units!$J92,Mkt!CF93),Inputs!$B$15*Mkt!CF93+(1-Inputs!$B$15)*MIN(Mkt!CF93,CE93*(1+Inputs!$B$18))),CE93)))</f>
        <v>1820.92975220673</v>
      </c>
      <c r="CG93" s="11" t="n">
        <f aca="false">IF(CG$1&lt;Units!$P92,0,IF(AND(Units!$K92=0,CG$1=Units!$O92),Units!$R92,IF(AND(CG$1&gt;=Units!$Q92,MOD(CG$1-Units!$Q92,12)=0),IF(AND(Units!$L92=1,CG$1=Units!$Q92),IF(Units!$J92&lt;&gt;"",Units!$J92,Mkt!CG93),Inputs!$B$15*Mkt!CG93+(1-Inputs!$B$15)*MIN(Mkt!CG93,CF93*(1+Inputs!$B$18))),CF93)))</f>
        <v>1820.92975220673</v>
      </c>
      <c r="CH93" s="11" t="n">
        <f aca="false">IF(CH$1&lt;Units!$P92,0,IF(AND(Units!$K92=0,CH$1=Units!$O92),Units!$R92,IF(AND(CH$1&gt;=Units!$Q92,MOD(CH$1-Units!$Q92,12)=0),IF(AND(Units!$L92=1,CH$1=Units!$Q92),IF(Units!$J92&lt;&gt;"",Units!$J92,Mkt!CH93),Inputs!$B$15*Mkt!CH93+(1-Inputs!$B$15)*MIN(Mkt!CH93,CG93*(1+Inputs!$B$18))),CG93)))</f>
        <v>1820.92975220673</v>
      </c>
      <c r="CI93" s="11" t="n">
        <f aca="false">IF(CI$1&lt;Units!$P92,0,IF(AND(Units!$K92=0,CI$1=Units!$O92),Units!$R92,IF(AND(CI$1&gt;=Units!$Q92,MOD(CI$1-Units!$Q92,12)=0),IF(AND(Units!$L92=1,CI$1=Units!$Q92),IF(Units!$J92&lt;&gt;"",Units!$J92,Mkt!CI93),Inputs!$B$15*Mkt!CI93+(1-Inputs!$B$15)*MIN(Mkt!CI93,CH93*(1+Inputs!$B$18))),CH93)))</f>
        <v>1820.92975220673</v>
      </c>
      <c r="CJ93" s="11" t="n">
        <f aca="false">IF(CJ$1&lt;Units!$P92,0,IF(AND(Units!$K92=0,CJ$1=Units!$O92),Units!$R92,IF(AND(CJ$1&gt;=Units!$Q92,MOD(CJ$1-Units!$Q92,12)=0),IF(AND(Units!$L92=1,CJ$1=Units!$Q92),IF(Units!$J92&lt;&gt;"",Units!$J92,Mkt!CJ93),Inputs!$B$15*Mkt!CJ93+(1-Inputs!$B$15)*MIN(Mkt!CJ93,CI93*(1+Inputs!$B$18))),CI93)))</f>
        <v>1820.92975220673</v>
      </c>
      <c r="CK93" s="11" t="n">
        <f aca="false">IF(CK$1&lt;Units!$P92,0,IF(AND(Units!$K92=0,CK$1=Units!$O92),Units!$R92,IF(AND(CK$1&gt;=Units!$Q92,MOD(CK$1-Units!$Q92,12)=0),IF(AND(Units!$L92=1,CK$1=Units!$Q92),IF(Units!$J92&lt;&gt;"",Units!$J92,Mkt!CK93),Inputs!$B$15*Mkt!CK93+(1-Inputs!$B$15)*MIN(Mkt!CK93,CJ93*(1+Inputs!$B$18))),CJ93)))</f>
        <v>1820.92975220673</v>
      </c>
      <c r="CL93" s="11" t="n">
        <f aca="false">IF(CL$1&lt;Units!$P92,0,IF(AND(Units!$K92=0,CL$1=Units!$O92),Units!$R92,IF(AND(CL$1&gt;=Units!$Q92,MOD(CL$1-Units!$Q92,12)=0),IF(AND(Units!$L92=1,CL$1=Units!$Q92),IF(Units!$J92&lt;&gt;"",Units!$J92,Mkt!CL93),Inputs!$B$15*Mkt!CL93+(1-Inputs!$B$15)*MIN(Mkt!CL93,CK93*(1+Inputs!$B$18))),CK93)))</f>
        <v>1820.92975220673</v>
      </c>
      <c r="CM93" s="11" t="n">
        <f aca="false">IF(CM$1&lt;Units!$P92,0,IF(AND(Units!$K92=0,CM$1=Units!$O92),Units!$R92,IF(AND(CM$1&gt;=Units!$Q92,MOD(CM$1-Units!$Q92,12)=0),IF(AND(Units!$L92=1,CM$1=Units!$Q92),IF(Units!$J92&lt;&gt;"",Units!$J92,Mkt!CM93),Inputs!$B$15*Mkt!CM93+(1-Inputs!$B$15)*MIN(Mkt!CM93,CL93*(1+Inputs!$B$18))),CL93)))</f>
        <v>1820.92975220673</v>
      </c>
      <c r="CN93" s="11" t="n">
        <f aca="false">IF(CN$1&lt;Units!$P92,0,IF(AND(Units!$K92=0,CN$1=Units!$O92),Units!$R92,IF(AND(CN$1&gt;=Units!$Q92,MOD(CN$1-Units!$Q92,12)=0),IF(AND(Units!$L92=1,CN$1=Units!$Q92),IF(Units!$J92&lt;&gt;"",Units!$J92,Mkt!CN93),Inputs!$B$15*Mkt!CN93+(1-Inputs!$B$15)*MIN(Mkt!CN93,CM93*(1+Inputs!$B$18))),CM93)))</f>
        <v>1820.92975220673</v>
      </c>
      <c r="CO93" s="11" t="n">
        <f aca="false">IF(CO$1&lt;Units!$P92,0,IF(AND(Units!$K92=0,CO$1=Units!$O92),Units!$R92,IF(AND(CO$1&gt;=Units!$Q92,MOD(CO$1-Units!$Q92,12)=0),IF(AND(Units!$L92=1,CO$1=Units!$Q92),IF(Units!$J92&lt;&gt;"",Units!$J92,Mkt!CO93),Inputs!$B$15*Mkt!CO93+(1-Inputs!$B$15)*MIN(Mkt!CO93,CN93*(1+Inputs!$B$18))),CN93)))</f>
        <v>1820.92975220673</v>
      </c>
      <c r="CP93" s="11" t="n">
        <f aca="false">IF(CP$1&lt;Units!$P92,0,IF(AND(Units!$K92=0,CP$1=Units!$O92),Units!$R92,IF(AND(CP$1&gt;=Units!$Q92,MOD(CP$1-Units!$Q92,12)=0),IF(AND(Units!$L92=1,CP$1=Units!$Q92),IF(Units!$J92&lt;&gt;"",Units!$J92,Mkt!CP93),Inputs!$B$15*Mkt!CP93+(1-Inputs!$B$15)*MIN(Mkt!CP93,CO93*(1+Inputs!$B$18))),CO93)))</f>
        <v>1820.92975220673</v>
      </c>
      <c r="CQ93" s="11" t="n">
        <f aca="false">IF(CQ$1&lt;Units!$P92,0,IF(AND(Units!$K92=0,CQ$1=Units!$O92),Units!$R92,IF(AND(CQ$1&gt;=Units!$Q92,MOD(CQ$1-Units!$Q92,12)=0),IF(AND(Units!$L92=1,CQ$1=Units!$Q92),IF(Units!$J92&lt;&gt;"",Units!$J92,Mkt!CQ93),Inputs!$B$15*Mkt!CQ93+(1-Inputs!$B$15)*MIN(Mkt!CQ93,CP93*(1+Inputs!$B$18))),CP93)))</f>
        <v>1875.55764477293</v>
      </c>
      <c r="CR93" s="11" t="n">
        <f aca="false">IF(CR$1&lt;Units!$P92,0,IF(AND(Units!$K92=0,CR$1=Units!$O92),Units!$R92,IF(AND(CR$1&gt;=Units!$Q92,MOD(CR$1-Units!$Q92,12)=0),IF(AND(Units!$L92=1,CR$1=Units!$Q92),IF(Units!$J92&lt;&gt;"",Units!$J92,Mkt!CR93),Inputs!$B$15*Mkt!CR93+(1-Inputs!$B$15)*MIN(Mkt!CR93,CQ93*(1+Inputs!$B$18))),CQ93)))</f>
        <v>1875.55764477293</v>
      </c>
      <c r="CS93" s="11" t="n">
        <f aca="false">IF(CS$1&lt;Units!$P92,0,IF(AND(Units!$K92=0,CS$1=Units!$O92),Units!$R92,IF(AND(CS$1&gt;=Units!$Q92,MOD(CS$1-Units!$Q92,12)=0),IF(AND(Units!$L92=1,CS$1=Units!$Q92),IF(Units!$J92&lt;&gt;"",Units!$J92,Mkt!CS93),Inputs!$B$15*Mkt!CS93+(1-Inputs!$B$15)*MIN(Mkt!CS93,CR93*(1+Inputs!$B$18))),CR93)))</f>
        <v>1875.55764477293</v>
      </c>
      <c r="CT93" s="11" t="n">
        <f aca="false">IF(CT$1&lt;Units!$P92,0,IF(AND(Units!$K92=0,CT$1=Units!$O92),Units!$R92,IF(AND(CT$1&gt;=Units!$Q92,MOD(CT$1-Units!$Q92,12)=0),IF(AND(Units!$L92=1,CT$1=Units!$Q92),IF(Units!$J92&lt;&gt;"",Units!$J92,Mkt!CT93),Inputs!$B$15*Mkt!CT93+(1-Inputs!$B$15)*MIN(Mkt!CT93,CS93*(1+Inputs!$B$18))),CS93)))</f>
        <v>1875.55764477293</v>
      </c>
      <c r="CU93" s="11" t="n">
        <f aca="false">IF(CU$1&lt;Units!$P92,0,IF(AND(Units!$K92=0,CU$1=Units!$O92),Units!$R92,IF(AND(CU$1&gt;=Units!$Q92,MOD(CU$1-Units!$Q92,12)=0),IF(AND(Units!$L92=1,CU$1=Units!$Q92),IF(Units!$J92&lt;&gt;"",Units!$J92,Mkt!CU93),Inputs!$B$15*Mkt!CU93+(1-Inputs!$B$15)*MIN(Mkt!CU93,CT93*(1+Inputs!$B$18))),CT93)))</f>
        <v>1875.55764477293</v>
      </c>
      <c r="CV93" s="11" t="n">
        <f aca="false">IF(CV$1&lt;Units!$P92,0,IF(AND(Units!$K92=0,CV$1=Units!$O92),Units!$R92,IF(AND(CV$1&gt;=Units!$Q92,MOD(CV$1-Units!$Q92,12)=0),IF(AND(Units!$L92=1,CV$1=Units!$Q92),IF(Units!$J92&lt;&gt;"",Units!$J92,Mkt!CV93),Inputs!$B$15*Mkt!CV93+(1-Inputs!$B$15)*MIN(Mkt!CV93,CU93*(1+Inputs!$B$18))),CU93)))</f>
        <v>1875.55764477293</v>
      </c>
      <c r="CW93" s="11" t="n">
        <f aca="false">IF(CW$1&lt;Units!$P92,0,IF(AND(Units!$K92=0,CW$1=Units!$O92),Units!$R92,IF(AND(CW$1&gt;=Units!$Q92,MOD(CW$1-Units!$Q92,12)=0),IF(AND(Units!$L92=1,CW$1=Units!$Q92),IF(Units!$J92&lt;&gt;"",Units!$J92,Mkt!CW93),Inputs!$B$15*Mkt!CW93+(1-Inputs!$B$15)*MIN(Mkt!CW93,CV93*(1+Inputs!$B$18))),CV93)))</f>
        <v>1875.55764477293</v>
      </c>
      <c r="CX93" s="11" t="n">
        <f aca="false">IF(CX$1&lt;Units!$P92,0,IF(AND(Units!$K92=0,CX$1=Units!$O92),Units!$R92,IF(AND(CX$1&gt;=Units!$Q92,MOD(CX$1-Units!$Q92,12)=0),IF(AND(Units!$L92=1,CX$1=Units!$Q92),IF(Units!$J92&lt;&gt;"",Units!$J92,Mkt!CX93),Inputs!$B$15*Mkt!CX93+(1-Inputs!$B$15)*MIN(Mkt!CX93,CW93*(1+Inputs!$B$18))),CW93)))</f>
        <v>1875.55764477293</v>
      </c>
      <c r="CY93" s="11" t="n">
        <f aca="false">IF(CY$1&lt;Units!$P92,0,IF(AND(Units!$K92=0,CY$1=Units!$O92),Units!$R92,IF(AND(CY$1&gt;=Units!$Q92,MOD(CY$1-Units!$Q92,12)=0),IF(AND(Units!$L92=1,CY$1=Units!$Q92),IF(Units!$J92&lt;&gt;"",Units!$J92,Mkt!CY93),Inputs!$B$15*Mkt!CY93+(1-Inputs!$B$15)*MIN(Mkt!CY93,CX93*(1+Inputs!$B$18))),CX93)))</f>
        <v>1875.55764477293</v>
      </c>
      <c r="CZ93" s="11" t="n">
        <f aca="false">IF(CZ$1&lt;Units!$P92,0,IF(AND(Units!$K92=0,CZ$1=Units!$O92),Units!$R92,IF(AND(CZ$1&gt;=Units!$Q92,MOD(CZ$1-Units!$Q92,12)=0),IF(AND(Units!$L92=1,CZ$1=Units!$Q92),IF(Units!$J92&lt;&gt;"",Units!$J92,Mkt!CZ93),Inputs!$B$15*Mkt!CZ93+(1-Inputs!$B$15)*MIN(Mkt!CZ93,CY93*(1+Inputs!$B$18))),CY93)))</f>
        <v>1875.55764477293</v>
      </c>
      <c r="DA93" s="11" t="n">
        <f aca="false">IF(DA$1&lt;Units!$P92,0,IF(AND(Units!$K92=0,DA$1=Units!$O92),Units!$R92,IF(AND(DA$1&gt;=Units!$Q92,MOD(DA$1-Units!$Q92,12)=0),IF(AND(Units!$L92=1,DA$1=Units!$Q92),IF(Units!$J92&lt;&gt;"",Units!$J92,Mkt!DA93),Inputs!$B$15*Mkt!DA93+(1-Inputs!$B$15)*MIN(Mkt!DA93,CZ93*(1+Inputs!$B$18))),CZ93)))</f>
        <v>1875.55764477293</v>
      </c>
      <c r="DB93" s="11" t="n">
        <f aca="false">IF(DB$1&lt;Units!$P92,0,IF(AND(Units!$K92=0,DB$1=Units!$O92),Units!$R92,IF(AND(DB$1&gt;=Units!$Q92,MOD(DB$1-Units!$Q92,12)=0),IF(AND(Units!$L92=1,DB$1=Units!$Q92),IF(Units!$J92&lt;&gt;"",Units!$J92,Mkt!DB93),Inputs!$B$15*Mkt!DB93+(1-Inputs!$B$15)*MIN(Mkt!DB93,DA93*(1+Inputs!$B$18))),DA93)))</f>
        <v>1875.55764477293</v>
      </c>
      <c r="DC93" s="11" t="n">
        <f aca="false">IF(DC$1&lt;Units!$P92,0,IF(AND(Units!$K92=0,DC$1=Units!$O92),Units!$R92,IF(AND(DC$1&gt;=Units!$Q92,MOD(DC$1-Units!$Q92,12)=0),IF(AND(Units!$L92=1,DC$1=Units!$Q92),IF(Units!$J92&lt;&gt;"",Units!$J92,Mkt!DC93),Inputs!$B$15*Mkt!DC93+(1-Inputs!$B$15)*MIN(Mkt!DC93,DB93*(1+Inputs!$B$18))),DB93)))</f>
        <v>1931.82437411612</v>
      </c>
      <c r="DD93" s="11" t="n">
        <f aca="false">IF(DD$1&lt;Units!$P92,0,IF(AND(Units!$K92=0,DD$1=Units!$O92),Units!$R92,IF(AND(DD$1&gt;=Units!$Q92,MOD(DD$1-Units!$Q92,12)=0),IF(AND(Units!$L92=1,DD$1=Units!$Q92),IF(Units!$J92&lt;&gt;"",Units!$J92,Mkt!DD93),Inputs!$B$15*Mkt!DD93+(1-Inputs!$B$15)*MIN(Mkt!DD93,DC93*(1+Inputs!$B$18))),DC93)))</f>
        <v>1931.82437411612</v>
      </c>
      <c r="DE93" s="11" t="n">
        <f aca="false">IF(DE$1&lt;Units!$P92,0,IF(AND(Units!$K92=0,DE$1=Units!$O92),Units!$R92,IF(AND(DE$1&gt;=Units!$Q92,MOD(DE$1-Units!$Q92,12)=0),IF(AND(Units!$L92=1,DE$1=Units!$Q92),IF(Units!$J92&lt;&gt;"",Units!$J92,Mkt!DE93),Inputs!$B$15*Mkt!DE93+(1-Inputs!$B$15)*MIN(Mkt!DE93,DD93*(1+Inputs!$B$18))),DD93)))</f>
        <v>1931.82437411612</v>
      </c>
      <c r="DF93" s="11" t="n">
        <f aca="false">IF(DF$1&lt;Units!$P92,0,IF(AND(Units!$K92=0,DF$1=Units!$O92),Units!$R92,IF(AND(DF$1&gt;=Units!$Q92,MOD(DF$1-Units!$Q92,12)=0),IF(AND(Units!$L92=1,DF$1=Units!$Q92),IF(Units!$J92&lt;&gt;"",Units!$J92,Mkt!DF93),Inputs!$B$15*Mkt!DF93+(1-Inputs!$B$15)*MIN(Mkt!DF93,DE93*(1+Inputs!$B$18))),DE93)))</f>
        <v>1931.82437411612</v>
      </c>
      <c r="DG93" s="11" t="n">
        <f aca="false">IF(DG$1&lt;Units!$P92,0,IF(AND(Units!$K92=0,DG$1=Units!$O92),Units!$R92,IF(AND(DG$1&gt;=Units!$Q92,MOD(DG$1-Units!$Q92,12)=0),IF(AND(Units!$L92=1,DG$1=Units!$Q92),IF(Units!$J92&lt;&gt;"",Units!$J92,Mkt!DG93),Inputs!$B$15*Mkt!DG93+(1-Inputs!$B$15)*MIN(Mkt!DG93,DF93*(1+Inputs!$B$18))),DF93)))</f>
        <v>1931.82437411612</v>
      </c>
      <c r="DH93" s="11" t="n">
        <f aca="false">IF(DH$1&lt;Units!$P92,0,IF(AND(Units!$K92=0,DH$1=Units!$O92),Units!$R92,IF(AND(DH$1&gt;=Units!$Q92,MOD(DH$1-Units!$Q92,12)=0),IF(AND(Units!$L92=1,DH$1=Units!$Q92),IF(Units!$J92&lt;&gt;"",Units!$J92,Mkt!DH93),Inputs!$B$15*Mkt!DH93+(1-Inputs!$B$15)*MIN(Mkt!DH93,DG93*(1+Inputs!$B$18))),DG93)))</f>
        <v>1931.82437411612</v>
      </c>
      <c r="DI93" s="11" t="n">
        <f aca="false">IF(DI$1&lt;Units!$P92,0,IF(AND(Units!$K92=0,DI$1=Units!$O92),Units!$R92,IF(AND(DI$1&gt;=Units!$Q92,MOD(DI$1-Units!$Q92,12)=0),IF(AND(Units!$L92=1,DI$1=Units!$Q92),IF(Units!$J92&lt;&gt;"",Units!$J92,Mkt!DI93),Inputs!$B$15*Mkt!DI93+(1-Inputs!$B$15)*MIN(Mkt!DI93,DH93*(1+Inputs!$B$18))),DH93)))</f>
        <v>1931.82437411612</v>
      </c>
      <c r="DJ93" s="11" t="n">
        <f aca="false">IF(DJ$1&lt;Units!$P92,0,IF(AND(Units!$K92=0,DJ$1=Units!$O92),Units!$R92,IF(AND(DJ$1&gt;=Units!$Q92,MOD(DJ$1-Units!$Q92,12)=0),IF(AND(Units!$L92=1,DJ$1=Units!$Q92),IF(Units!$J92&lt;&gt;"",Units!$J92,Mkt!DJ93),Inputs!$B$15*Mkt!DJ93+(1-Inputs!$B$15)*MIN(Mkt!DJ93,DI93*(1+Inputs!$B$18))),DI93)))</f>
        <v>1931.82437411612</v>
      </c>
      <c r="DK93" s="11" t="n">
        <f aca="false">IF(DK$1&lt;Units!$P92,0,IF(AND(Units!$K92=0,DK$1=Units!$O92),Units!$R92,IF(AND(DK$1&gt;=Units!$Q92,MOD(DK$1-Units!$Q92,12)=0),IF(AND(Units!$L92=1,DK$1=Units!$Q92),IF(Units!$J92&lt;&gt;"",Units!$J92,Mkt!DK93),Inputs!$B$15*Mkt!DK93+(1-Inputs!$B$15)*MIN(Mkt!DK93,DJ93*(1+Inputs!$B$18))),DJ93)))</f>
        <v>1931.82437411612</v>
      </c>
      <c r="DL93" s="11" t="n">
        <f aca="false">IF(DL$1&lt;Units!$P92,0,IF(AND(Units!$K92=0,DL$1=Units!$O92),Units!$R92,IF(AND(DL$1&gt;=Units!$Q92,MOD(DL$1-Units!$Q92,12)=0),IF(AND(Units!$L92=1,DL$1=Units!$Q92),IF(Units!$J92&lt;&gt;"",Units!$J92,Mkt!DL93),Inputs!$B$15*Mkt!DL93+(1-Inputs!$B$15)*MIN(Mkt!DL93,DK93*(1+Inputs!$B$18))),DK93)))</f>
        <v>1931.82437411612</v>
      </c>
      <c r="DM93" s="11" t="n">
        <f aca="false">IF(DM$1&lt;Units!$P92,0,IF(AND(Units!$K92=0,DM$1=Units!$O92),Units!$R92,IF(AND(DM$1&gt;=Units!$Q92,MOD(DM$1-Units!$Q92,12)=0),IF(AND(Units!$L92=1,DM$1=Units!$Q92),IF(Units!$J92&lt;&gt;"",Units!$J92,Mkt!DM93),Inputs!$B$15*Mkt!DM93+(1-Inputs!$B$15)*MIN(Mkt!DM93,DL93*(1+Inputs!$B$18))),DL93)))</f>
        <v>1931.82437411612</v>
      </c>
      <c r="DN93" s="11" t="n">
        <f aca="false">IF(DN$1&lt;Units!$P92,0,IF(AND(Units!$K92=0,DN$1=Units!$O92),Units!$R92,IF(AND(DN$1&gt;=Units!$Q92,MOD(DN$1-Units!$Q92,12)=0),IF(AND(Units!$L92=1,DN$1=Units!$Q92),IF(Units!$J92&lt;&gt;"",Units!$J92,Mkt!DN93),Inputs!$B$15*Mkt!DN93+(1-Inputs!$B$15)*MIN(Mkt!DN93,DM93*(1+Inputs!$B$18))),DM93)))</f>
        <v>1931.82437411612</v>
      </c>
      <c r="DO93" s="11" t="n">
        <f aca="false">IF(DO$1&lt;Units!$P92,0,IF(AND(Units!$K92=0,DO$1=Units!$O92),Units!$R92,IF(AND(DO$1&gt;=Units!$Q92,MOD(DO$1-Units!$Q92,12)=0),IF(AND(Units!$L92=1,DO$1=Units!$Q92),IF(Units!$J92&lt;&gt;"",Units!$J92,Mkt!DO93),Inputs!$B$15*Mkt!DO93+(1-Inputs!$B$15)*MIN(Mkt!DO93,DN93*(1+Inputs!$B$18))),DN93)))</f>
        <v>1989.7791053396</v>
      </c>
      <c r="DP93" s="11" t="n">
        <f aca="false">IF(DP$1&lt;Units!$P92,0,IF(AND(Units!$K92=0,DP$1=Units!$O92),Units!$R92,IF(AND(DP$1&gt;=Units!$Q92,MOD(DP$1-Units!$Q92,12)=0),IF(AND(Units!$L92=1,DP$1=Units!$Q92),IF(Units!$J92&lt;&gt;"",Units!$J92,Mkt!DP93),Inputs!$B$15*Mkt!DP93+(1-Inputs!$B$15)*MIN(Mkt!DP93,DO93*(1+Inputs!$B$18))),DO93)))</f>
        <v>1989.7791053396</v>
      </c>
      <c r="DQ93" s="11" t="n">
        <f aca="false">IF(DQ$1&lt;Units!$P92,0,IF(AND(Units!$K92=0,DQ$1=Units!$O92),Units!$R92,IF(AND(DQ$1&gt;=Units!$Q92,MOD(DQ$1-Units!$Q92,12)=0),IF(AND(Units!$L92=1,DQ$1=Units!$Q92),IF(Units!$J92&lt;&gt;"",Units!$J92,Mkt!DQ93),Inputs!$B$15*Mkt!DQ93+(1-Inputs!$B$15)*MIN(Mkt!DQ93,DP93*(1+Inputs!$B$18))),DP93)))</f>
        <v>1989.7791053396</v>
      </c>
      <c r="DR93" s="11" t="n">
        <f aca="false">IF(DR$1&lt;Units!$P92,0,IF(AND(Units!$K92=0,DR$1=Units!$O92),Units!$R92,IF(AND(DR$1&gt;=Units!$Q92,MOD(DR$1-Units!$Q92,12)=0),IF(AND(Units!$L92=1,DR$1=Units!$Q92),IF(Units!$J92&lt;&gt;"",Units!$J92,Mkt!DR93),Inputs!$B$15*Mkt!DR93+(1-Inputs!$B$15)*MIN(Mkt!DR93,DQ93*(1+Inputs!$B$18))),DQ93)))</f>
        <v>1989.7791053396</v>
      </c>
      <c r="DS93" s="11" t="n">
        <f aca="false">IF(DS$1&lt;Units!$P92,0,IF(AND(Units!$K92=0,DS$1=Units!$O92),Units!$R92,IF(AND(DS$1&gt;=Units!$Q92,MOD(DS$1-Units!$Q92,12)=0),IF(AND(Units!$L92=1,DS$1=Units!$Q92),IF(Units!$J92&lt;&gt;"",Units!$J92,Mkt!DS93),Inputs!$B$15*Mkt!DS93+(1-Inputs!$B$15)*MIN(Mkt!DS93,DR93*(1+Inputs!$B$18))),DR93)))</f>
        <v>1989.7791053396</v>
      </c>
      <c r="DT93" s="11" t="n">
        <f aca="false">IF(DT$1&lt;Units!$P92,0,IF(AND(Units!$K92=0,DT$1=Units!$O92),Units!$R92,IF(AND(DT$1&gt;=Units!$Q92,MOD(DT$1-Units!$Q92,12)=0),IF(AND(Units!$L92=1,DT$1=Units!$Q92),IF(Units!$J92&lt;&gt;"",Units!$J92,Mkt!DT93),Inputs!$B$15*Mkt!DT93+(1-Inputs!$B$15)*MIN(Mkt!DT93,DS93*(1+Inputs!$B$18))),DS93)))</f>
        <v>1989.7791053396</v>
      </c>
      <c r="DU93" s="11" t="n">
        <f aca="false">IF(DU$1&lt;Units!$P92,0,IF(AND(Units!$K92=0,DU$1=Units!$O92),Units!$R92,IF(AND(DU$1&gt;=Units!$Q92,MOD(DU$1-Units!$Q92,12)=0),IF(AND(Units!$L92=1,DU$1=Units!$Q92),IF(Units!$J92&lt;&gt;"",Units!$J92,Mkt!DU93),Inputs!$B$15*Mkt!DU93+(1-Inputs!$B$15)*MIN(Mkt!DU93,DT93*(1+Inputs!$B$18))),DT93)))</f>
        <v>1989.7791053396</v>
      </c>
      <c r="DV93" s="11" t="n">
        <f aca="false">IF(DV$1&lt;Units!$P92,0,IF(AND(Units!$K92=0,DV$1=Units!$O92),Units!$R92,IF(AND(DV$1&gt;=Units!$Q92,MOD(DV$1-Units!$Q92,12)=0),IF(AND(Units!$L92=1,DV$1=Units!$Q92),IF(Units!$J92&lt;&gt;"",Units!$J92,Mkt!DV93),Inputs!$B$15*Mkt!DV93+(1-Inputs!$B$15)*MIN(Mkt!DV93,DU93*(1+Inputs!$B$18))),DU93)))</f>
        <v>1989.7791053396</v>
      </c>
      <c r="DW93" s="11" t="n">
        <f aca="false">IF(DW$1&lt;Units!$P92,0,IF(AND(Units!$K92=0,DW$1=Units!$O92),Units!$R92,IF(AND(DW$1&gt;=Units!$Q92,MOD(DW$1-Units!$Q92,12)=0),IF(AND(Units!$L92=1,DW$1=Units!$Q92),IF(Units!$J92&lt;&gt;"",Units!$J92,Mkt!DW93),Inputs!$B$15*Mkt!DW93+(1-Inputs!$B$15)*MIN(Mkt!DW93,DV93*(1+Inputs!$B$18))),DV93)))</f>
        <v>1989.7791053396</v>
      </c>
      <c r="DX93" s="11" t="n">
        <f aca="false">IF(DX$1&lt;Units!$P92,0,IF(AND(Units!$K92=0,DX$1=Units!$O92),Units!$R92,IF(AND(DX$1&gt;=Units!$Q92,MOD(DX$1-Units!$Q92,12)=0),IF(AND(Units!$L92=1,DX$1=Units!$Q92),IF(Units!$J92&lt;&gt;"",Units!$J92,Mkt!DX93),Inputs!$B$15*Mkt!DX93+(1-Inputs!$B$15)*MIN(Mkt!DX93,DW93*(1+Inputs!$B$18))),DW93)))</f>
        <v>1989.7791053396</v>
      </c>
      <c r="DY93" s="11" t="n">
        <f aca="false">IF(DY$1&lt;Units!$P92,0,IF(AND(Units!$K92=0,DY$1=Units!$O92),Units!$R92,IF(AND(DY$1&gt;=Units!$Q92,MOD(DY$1-Units!$Q92,12)=0),IF(AND(Units!$L92=1,DY$1=Units!$Q92),IF(Units!$J92&lt;&gt;"",Units!$J92,Mkt!DY93),Inputs!$B$15*Mkt!DY93+(1-Inputs!$B$15)*MIN(Mkt!DY93,DX93*(1+Inputs!$B$18))),DX93)))</f>
        <v>1989.7791053396</v>
      </c>
      <c r="DZ93" s="11" t="n">
        <f aca="false">IF(DZ$1&lt;Units!$P92,0,IF(AND(Units!$K92=0,DZ$1=Units!$O92),Units!$R92,IF(AND(DZ$1&gt;=Units!$Q92,MOD(DZ$1-Units!$Q92,12)=0),IF(AND(Units!$L92=1,DZ$1=Units!$Q92),IF(Units!$J92&lt;&gt;"",Units!$J92,Mkt!DZ93),Inputs!$B$15*Mkt!DZ93+(1-Inputs!$B$15)*MIN(Mkt!DZ93,DY93*(1+Inputs!$B$18))),DY93)))</f>
        <v>1989.7791053396</v>
      </c>
      <c r="EA93" s="11" t="n">
        <f aca="false">IF(EA$1&lt;Units!$P92,0,IF(AND(Units!$K92=0,EA$1=Units!$O92),Units!$R92,IF(AND(EA$1&gt;=Units!$Q92,MOD(EA$1-Units!$Q92,12)=0),IF(AND(Units!$L92=1,EA$1=Units!$Q92),IF(Units!$J92&lt;&gt;"",Units!$J92,Mkt!EA93),Inputs!$B$15*Mkt!EA93+(1-Inputs!$B$15)*MIN(Mkt!EA93,DZ93*(1+Inputs!$B$18))),DZ93)))</f>
        <v>2049.47247849979</v>
      </c>
      <c r="EB93" s="11" t="n">
        <f aca="false">IF(EB$1&lt;Units!$P92,0,IF(AND(Units!$K92=0,EB$1=Units!$O92),Units!$R92,IF(AND(EB$1&gt;=Units!$Q92,MOD(EB$1-Units!$Q92,12)=0),IF(AND(Units!$L92=1,EB$1=Units!$Q92),IF(Units!$J92&lt;&gt;"",Units!$J92,Mkt!EB93),Inputs!$B$15*Mkt!EB93+(1-Inputs!$B$15)*MIN(Mkt!EB93,EA93*(1+Inputs!$B$18))),EA93)))</f>
        <v>2049.47247849979</v>
      </c>
      <c r="EC93" s="11" t="n">
        <f aca="false">IF(EC$1&lt;Units!$P92,0,IF(AND(Units!$K92=0,EC$1=Units!$O92),Units!$R92,IF(AND(EC$1&gt;=Units!$Q92,MOD(EC$1-Units!$Q92,12)=0),IF(AND(Units!$L92=1,EC$1=Units!$Q92),IF(Units!$J92&lt;&gt;"",Units!$J92,Mkt!EC93),Inputs!$B$15*Mkt!EC93+(1-Inputs!$B$15)*MIN(Mkt!EC93,EB93*(1+Inputs!$B$18))),EB93)))</f>
        <v>2049.47247849979</v>
      </c>
      <c r="ED93" s="11" t="n">
        <f aca="false">IF(ED$1&lt;Units!$P92,0,IF(AND(Units!$K92=0,ED$1=Units!$O92),Units!$R92,IF(AND(ED$1&gt;=Units!$Q92,MOD(ED$1-Units!$Q92,12)=0),IF(AND(Units!$L92=1,ED$1=Units!$Q92),IF(Units!$J92&lt;&gt;"",Units!$J92,Mkt!ED93),Inputs!$B$15*Mkt!ED93+(1-Inputs!$B$15)*MIN(Mkt!ED93,EC93*(1+Inputs!$B$18))),EC93)))</f>
        <v>2049.47247849979</v>
      </c>
    </row>
    <row r="94" customFormat="false" ht="15" hidden="false" customHeight="false" outlineLevel="0" collapsed="false">
      <c r="A94" s="22" t="n">
        <f aca="false">Units!A93</f>
        <v>402</v>
      </c>
      <c r="B94" s="24" t="n">
        <f aca="false">IF(Units!K93=1,Units!F93,0)</f>
        <v>1520</v>
      </c>
      <c r="C94" s="11" t="n">
        <f aca="false">IF(C$1&lt;Units!$P93,0,IF(AND(Units!$K93=0,C$1=Units!$O93),Units!$R93,IF(AND(C$1&gt;=Units!$Q93,MOD(C$1-Units!$Q93,12)=0),IF(AND(Units!$L93=1,C$1=Units!$Q93),IF(Units!$J93&lt;&gt;"",Units!$J93,Mkt!C94),Inputs!$B$15*Mkt!C94+(1-Inputs!$B$15)*MIN(Mkt!C94,B94*(1+Inputs!$B$18))),B94)))</f>
        <v>1520</v>
      </c>
      <c r="D94" s="11" t="n">
        <f aca="false">IF(D$1&lt;Units!$P93,0,IF(AND(Units!$K93=0,D$1=Units!$O93),Units!$R93,IF(AND(D$1&gt;=Units!$Q93,MOD(D$1-Units!$Q93,12)=0),IF(AND(Units!$L93=1,D$1=Units!$Q93),IF(Units!$J93&lt;&gt;"",Units!$J93,Mkt!D94),Inputs!$B$15*Mkt!D94+(1-Inputs!$B$15)*MIN(Mkt!D94,C94*(1+Inputs!$B$18))),C94)))</f>
        <v>1520</v>
      </c>
      <c r="E94" s="11" t="n">
        <f aca="false">IF(E$1&lt;Units!$P93,0,IF(AND(Units!$K93=0,E$1=Units!$O93),Units!$R93,IF(AND(E$1&gt;=Units!$Q93,MOD(E$1-Units!$Q93,12)=0),IF(AND(Units!$L93=1,E$1=Units!$Q93),IF(Units!$J93&lt;&gt;"",Units!$J93,Mkt!E94),Inputs!$B$15*Mkt!E94+(1-Inputs!$B$15)*MIN(Mkt!E94,D94*(1+Inputs!$B$18))),D94)))</f>
        <v>1520</v>
      </c>
      <c r="F94" s="11" t="n">
        <f aca="false">IF(F$1&lt;Units!$P93,0,IF(AND(Units!$K93=0,F$1=Units!$O93),Units!$R93,IF(AND(F$1&gt;=Units!$Q93,MOD(F$1-Units!$Q93,12)=0),IF(AND(Units!$L93=1,F$1=Units!$Q93),IF(Units!$J93&lt;&gt;"",Units!$J93,Mkt!F94),Inputs!$B$15*Mkt!F94+(1-Inputs!$B$15)*MIN(Mkt!F94,E94*(1+Inputs!$B$18))),E94)))</f>
        <v>1520</v>
      </c>
      <c r="G94" s="11" t="n">
        <f aca="false">IF(G$1&lt;Units!$P93,0,IF(AND(Units!$K93=0,G$1=Units!$O93),Units!$R93,IF(AND(G$1&gt;=Units!$Q93,MOD(G$1-Units!$Q93,12)=0),IF(AND(Units!$L93=1,G$1=Units!$Q93),IF(Units!$J93&lt;&gt;"",Units!$J93,Mkt!G94),Inputs!$B$15*Mkt!G94+(1-Inputs!$B$15)*MIN(Mkt!G94,F94*(1+Inputs!$B$18))),F94)))</f>
        <v>1520</v>
      </c>
      <c r="H94" s="11" t="n">
        <f aca="false">IF(H$1&lt;Units!$P93,0,IF(AND(Units!$K93=0,H$1=Units!$O93),Units!$R93,IF(AND(H$1&gt;=Units!$Q93,MOD(H$1-Units!$Q93,12)=0),IF(AND(Units!$L93=1,H$1=Units!$Q93),IF(Units!$J93&lt;&gt;"",Units!$J93,Mkt!H94),Inputs!$B$15*Mkt!H94+(1-Inputs!$B$15)*MIN(Mkt!H94,G94*(1+Inputs!$B$18))),G94)))</f>
        <v>1520</v>
      </c>
      <c r="I94" s="11" t="n">
        <f aca="false">IF(I$1&lt;Units!$P93,0,IF(AND(Units!$K93=0,I$1=Units!$O93),Units!$R93,IF(AND(I$1&gt;=Units!$Q93,MOD(I$1-Units!$Q93,12)=0),IF(AND(Units!$L93=1,I$1=Units!$Q93),IF(Units!$J93&lt;&gt;"",Units!$J93,Mkt!I94),Inputs!$B$15*Mkt!I94+(1-Inputs!$B$15)*MIN(Mkt!I94,H94*(1+Inputs!$B$18))),H94)))</f>
        <v>1525</v>
      </c>
      <c r="J94" s="11" t="n">
        <f aca="false">IF(J$1&lt;Units!$P93,0,IF(AND(Units!$K93=0,J$1=Units!$O93),Units!$R93,IF(AND(J$1&gt;=Units!$Q93,MOD(J$1-Units!$Q93,12)=0),IF(AND(Units!$L93=1,J$1=Units!$Q93),IF(Units!$J93&lt;&gt;"",Units!$J93,Mkt!J94),Inputs!$B$15*Mkt!J94+(1-Inputs!$B$15)*MIN(Mkt!J94,I94*(1+Inputs!$B$18))),I94)))</f>
        <v>1525</v>
      </c>
      <c r="K94" s="11" t="n">
        <f aca="false">IF(K$1&lt;Units!$P93,0,IF(AND(Units!$K93=0,K$1=Units!$O93),Units!$R93,IF(AND(K$1&gt;=Units!$Q93,MOD(K$1-Units!$Q93,12)=0),IF(AND(Units!$L93=1,K$1=Units!$Q93),IF(Units!$J93&lt;&gt;"",Units!$J93,Mkt!K94),Inputs!$B$15*Mkt!K94+(1-Inputs!$B$15)*MIN(Mkt!K94,J94*(1+Inputs!$B$18))),J94)))</f>
        <v>1525</v>
      </c>
      <c r="L94" s="11" t="n">
        <f aca="false">IF(L$1&lt;Units!$P93,0,IF(AND(Units!$K93=0,L$1=Units!$O93),Units!$R93,IF(AND(L$1&gt;=Units!$Q93,MOD(L$1-Units!$Q93,12)=0),IF(AND(Units!$L93=1,L$1=Units!$Q93),IF(Units!$J93&lt;&gt;"",Units!$J93,Mkt!L94),Inputs!$B$15*Mkt!L94+(1-Inputs!$B$15)*MIN(Mkt!L94,K94*(1+Inputs!$B$18))),K94)))</f>
        <v>1525</v>
      </c>
      <c r="M94" s="11" t="n">
        <f aca="false">IF(M$1&lt;Units!$P93,0,IF(AND(Units!$K93=0,M$1=Units!$O93),Units!$R93,IF(AND(M$1&gt;=Units!$Q93,MOD(M$1-Units!$Q93,12)=0),IF(AND(Units!$L93=1,M$1=Units!$Q93),IF(Units!$J93&lt;&gt;"",Units!$J93,Mkt!M94),Inputs!$B$15*Mkt!M94+(1-Inputs!$B$15)*MIN(Mkt!M94,L94*(1+Inputs!$B$18))),L94)))</f>
        <v>1525</v>
      </c>
      <c r="N94" s="11" t="n">
        <f aca="false">IF(N$1&lt;Units!$P93,0,IF(AND(Units!$K93=0,N$1=Units!$O93),Units!$R93,IF(AND(N$1&gt;=Units!$Q93,MOD(N$1-Units!$Q93,12)=0),IF(AND(Units!$L93=1,N$1=Units!$Q93),IF(Units!$J93&lt;&gt;"",Units!$J93,Mkt!N94),Inputs!$B$15*Mkt!N94+(1-Inputs!$B$15)*MIN(Mkt!N94,M94*(1+Inputs!$B$18))),M94)))</f>
        <v>1525</v>
      </c>
      <c r="O94" s="11" t="n">
        <f aca="false">IF(O$1&lt;Units!$P93,0,IF(AND(Units!$K93=0,O$1=Units!$O93),Units!$R93,IF(AND(O$1&gt;=Units!$Q93,MOD(O$1-Units!$Q93,12)=0),IF(AND(Units!$L93=1,O$1=Units!$Q93),IF(Units!$J93&lt;&gt;"",Units!$J93,Mkt!O94),Inputs!$B$15*Mkt!O94+(1-Inputs!$B$15)*MIN(Mkt!O94,N94*(1+Inputs!$B$18))),N94)))</f>
        <v>1525</v>
      </c>
      <c r="P94" s="11" t="n">
        <f aca="false">IF(P$1&lt;Units!$P93,0,IF(AND(Units!$K93=0,P$1=Units!$O93),Units!$R93,IF(AND(P$1&gt;=Units!$Q93,MOD(P$1-Units!$Q93,12)=0),IF(AND(Units!$L93=1,P$1=Units!$Q93),IF(Units!$J93&lt;&gt;"",Units!$J93,Mkt!P94),Inputs!$B$15*Mkt!P94+(1-Inputs!$B$15)*MIN(Mkt!P94,O94*(1+Inputs!$B$18))),O94)))</f>
        <v>1525</v>
      </c>
      <c r="Q94" s="11" t="n">
        <f aca="false">IF(Q$1&lt;Units!$P93,0,IF(AND(Units!$K93=0,Q$1=Units!$O93),Units!$R93,IF(AND(Q$1&gt;=Units!$Q93,MOD(Q$1-Units!$Q93,12)=0),IF(AND(Units!$L93=1,Q$1=Units!$Q93),IF(Units!$J93&lt;&gt;"",Units!$J93,Mkt!Q94),Inputs!$B$15*Mkt!Q94+(1-Inputs!$B$15)*MIN(Mkt!Q94,P94*(1+Inputs!$B$18))),P94)))</f>
        <v>1525</v>
      </c>
      <c r="R94" s="11" t="n">
        <f aca="false">IF(R$1&lt;Units!$P93,0,IF(AND(Units!$K93=0,R$1=Units!$O93),Units!$R93,IF(AND(R$1&gt;=Units!$Q93,MOD(R$1-Units!$Q93,12)=0),IF(AND(Units!$L93=1,R$1=Units!$Q93),IF(Units!$J93&lt;&gt;"",Units!$J93,Mkt!R94),Inputs!$B$15*Mkt!R94+(1-Inputs!$B$15)*MIN(Mkt!R94,Q94*(1+Inputs!$B$18))),Q94)))</f>
        <v>1525</v>
      </c>
      <c r="S94" s="11" t="n">
        <f aca="false">IF(S$1&lt;Units!$P93,0,IF(AND(Units!$K93=0,S$1=Units!$O93),Units!$R93,IF(AND(S$1&gt;=Units!$Q93,MOD(S$1-Units!$Q93,12)=0),IF(AND(Units!$L93=1,S$1=Units!$Q93),IF(Units!$J93&lt;&gt;"",Units!$J93,Mkt!S94),Inputs!$B$15*Mkt!S94+(1-Inputs!$B$15)*MIN(Mkt!S94,R94*(1+Inputs!$B$18))),R94)))</f>
        <v>1525</v>
      </c>
      <c r="T94" s="11" t="n">
        <f aca="false">IF(T$1&lt;Units!$P93,0,IF(AND(Units!$K93=0,T$1=Units!$O93),Units!$R93,IF(AND(T$1&gt;=Units!$Q93,MOD(T$1-Units!$Q93,12)=0),IF(AND(Units!$L93=1,T$1=Units!$Q93),IF(Units!$J93&lt;&gt;"",Units!$J93,Mkt!T94),Inputs!$B$15*Mkt!T94+(1-Inputs!$B$15)*MIN(Mkt!T94,S94*(1+Inputs!$B$18))),S94)))</f>
        <v>1525</v>
      </c>
      <c r="U94" s="11" t="n">
        <f aca="false">IF(U$1&lt;Units!$P93,0,IF(AND(Units!$K93=0,U$1=Units!$O93),Units!$R93,IF(AND(U$1&gt;=Units!$Q93,MOD(U$1-Units!$Q93,12)=0),IF(AND(Units!$L93=1,U$1=Units!$Q93),IF(Units!$J93&lt;&gt;"",Units!$J93,Mkt!U94),Inputs!$B$15*Mkt!U94+(1-Inputs!$B$15)*MIN(Mkt!U94,T94*(1+Inputs!$B$18))),T94)))</f>
        <v>1570.75</v>
      </c>
      <c r="V94" s="11" t="n">
        <f aca="false">IF(V$1&lt;Units!$P93,0,IF(AND(Units!$K93=0,V$1=Units!$O93),Units!$R93,IF(AND(V$1&gt;=Units!$Q93,MOD(V$1-Units!$Q93,12)=0),IF(AND(Units!$L93=1,V$1=Units!$Q93),IF(Units!$J93&lt;&gt;"",Units!$J93,Mkt!V94),Inputs!$B$15*Mkt!V94+(1-Inputs!$B$15)*MIN(Mkt!V94,U94*(1+Inputs!$B$18))),U94)))</f>
        <v>1570.75</v>
      </c>
      <c r="W94" s="11" t="n">
        <f aca="false">IF(W$1&lt;Units!$P93,0,IF(AND(Units!$K93=0,W$1=Units!$O93),Units!$R93,IF(AND(W$1&gt;=Units!$Q93,MOD(W$1-Units!$Q93,12)=0),IF(AND(Units!$L93=1,W$1=Units!$Q93),IF(Units!$J93&lt;&gt;"",Units!$J93,Mkt!W94),Inputs!$B$15*Mkt!W94+(1-Inputs!$B$15)*MIN(Mkt!W94,V94*(1+Inputs!$B$18))),V94)))</f>
        <v>1570.75</v>
      </c>
      <c r="X94" s="11" t="n">
        <f aca="false">IF(X$1&lt;Units!$P93,0,IF(AND(Units!$K93=0,X$1=Units!$O93),Units!$R93,IF(AND(X$1&gt;=Units!$Q93,MOD(X$1-Units!$Q93,12)=0),IF(AND(Units!$L93=1,X$1=Units!$Q93),IF(Units!$J93&lt;&gt;"",Units!$J93,Mkt!X94),Inputs!$B$15*Mkt!X94+(1-Inputs!$B$15)*MIN(Mkt!X94,W94*(1+Inputs!$B$18))),W94)))</f>
        <v>1570.75</v>
      </c>
      <c r="Y94" s="11" t="n">
        <f aca="false">IF(Y$1&lt;Units!$P93,0,IF(AND(Units!$K93=0,Y$1=Units!$O93),Units!$R93,IF(AND(Y$1&gt;=Units!$Q93,MOD(Y$1-Units!$Q93,12)=0),IF(AND(Units!$L93=1,Y$1=Units!$Q93),IF(Units!$J93&lt;&gt;"",Units!$J93,Mkt!Y94),Inputs!$B$15*Mkt!Y94+(1-Inputs!$B$15)*MIN(Mkt!Y94,X94*(1+Inputs!$B$18))),X94)))</f>
        <v>1570.75</v>
      </c>
      <c r="Z94" s="11" t="n">
        <f aca="false">IF(Z$1&lt;Units!$P93,0,IF(AND(Units!$K93=0,Z$1=Units!$O93),Units!$R93,IF(AND(Z$1&gt;=Units!$Q93,MOD(Z$1-Units!$Q93,12)=0),IF(AND(Units!$L93=1,Z$1=Units!$Q93),IF(Units!$J93&lt;&gt;"",Units!$J93,Mkt!Z94),Inputs!$B$15*Mkt!Z94+(1-Inputs!$B$15)*MIN(Mkt!Z94,Y94*(1+Inputs!$B$18))),Y94)))</f>
        <v>1570.75</v>
      </c>
      <c r="AA94" s="11" t="n">
        <f aca="false">IF(AA$1&lt;Units!$P93,0,IF(AND(Units!$K93=0,AA$1=Units!$O93),Units!$R93,IF(AND(AA$1&gt;=Units!$Q93,MOD(AA$1-Units!$Q93,12)=0),IF(AND(Units!$L93=1,AA$1=Units!$Q93),IF(Units!$J93&lt;&gt;"",Units!$J93,Mkt!AA94),Inputs!$B$15*Mkt!AA94+(1-Inputs!$B$15)*MIN(Mkt!AA94,Z94*(1+Inputs!$B$18))),Z94)))</f>
        <v>1570.75</v>
      </c>
      <c r="AB94" s="11" t="n">
        <f aca="false">IF(AB$1&lt;Units!$P93,0,IF(AND(Units!$K93=0,AB$1=Units!$O93),Units!$R93,IF(AND(AB$1&gt;=Units!$Q93,MOD(AB$1-Units!$Q93,12)=0),IF(AND(Units!$L93=1,AB$1=Units!$Q93),IF(Units!$J93&lt;&gt;"",Units!$J93,Mkt!AB94),Inputs!$B$15*Mkt!AB94+(1-Inputs!$B$15)*MIN(Mkt!AB94,AA94*(1+Inputs!$B$18))),AA94)))</f>
        <v>1570.75</v>
      </c>
      <c r="AC94" s="11" t="n">
        <f aca="false">IF(AC$1&lt;Units!$P93,0,IF(AND(Units!$K93=0,AC$1=Units!$O93),Units!$R93,IF(AND(AC$1&gt;=Units!$Q93,MOD(AC$1-Units!$Q93,12)=0),IF(AND(Units!$L93=1,AC$1=Units!$Q93),IF(Units!$J93&lt;&gt;"",Units!$J93,Mkt!AC94),Inputs!$B$15*Mkt!AC94+(1-Inputs!$B$15)*MIN(Mkt!AC94,AB94*(1+Inputs!$B$18))),AB94)))</f>
        <v>1570.75</v>
      </c>
      <c r="AD94" s="11" t="n">
        <f aca="false">IF(AD$1&lt;Units!$P93,0,IF(AND(Units!$K93=0,AD$1=Units!$O93),Units!$R93,IF(AND(AD$1&gt;=Units!$Q93,MOD(AD$1-Units!$Q93,12)=0),IF(AND(Units!$L93=1,AD$1=Units!$Q93),IF(Units!$J93&lt;&gt;"",Units!$J93,Mkt!AD94),Inputs!$B$15*Mkt!AD94+(1-Inputs!$B$15)*MIN(Mkt!AD94,AC94*(1+Inputs!$B$18))),AC94)))</f>
        <v>1570.75</v>
      </c>
      <c r="AE94" s="11" t="n">
        <f aca="false">IF(AE$1&lt;Units!$P93,0,IF(AND(Units!$K93=0,AE$1=Units!$O93),Units!$R93,IF(AND(AE$1&gt;=Units!$Q93,MOD(AE$1-Units!$Q93,12)=0),IF(AND(Units!$L93=1,AE$1=Units!$Q93),IF(Units!$J93&lt;&gt;"",Units!$J93,Mkt!AE94),Inputs!$B$15*Mkt!AE94+(1-Inputs!$B$15)*MIN(Mkt!AE94,AD94*(1+Inputs!$B$18))),AD94)))</f>
        <v>1570.75</v>
      </c>
      <c r="AF94" s="11" t="n">
        <f aca="false">IF(AF$1&lt;Units!$P93,0,IF(AND(Units!$K93=0,AF$1=Units!$O93),Units!$R93,IF(AND(AF$1&gt;=Units!$Q93,MOD(AF$1-Units!$Q93,12)=0),IF(AND(Units!$L93=1,AF$1=Units!$Q93),IF(Units!$J93&lt;&gt;"",Units!$J93,Mkt!AF94),Inputs!$B$15*Mkt!AF94+(1-Inputs!$B$15)*MIN(Mkt!AF94,AE94*(1+Inputs!$B$18))),AE94)))</f>
        <v>1570.75</v>
      </c>
      <c r="AG94" s="11" t="n">
        <f aca="false">IF(AG$1&lt;Units!$P93,0,IF(AND(Units!$K93=0,AG$1=Units!$O93),Units!$R93,IF(AND(AG$1&gt;=Units!$Q93,MOD(AG$1-Units!$Q93,12)=0),IF(AND(Units!$L93=1,AG$1=Units!$Q93),IF(Units!$J93&lt;&gt;"",Units!$J93,Mkt!AG94),Inputs!$B$15*Mkt!AG94+(1-Inputs!$B$15)*MIN(Mkt!AG94,AF94*(1+Inputs!$B$18))),AF94)))</f>
        <v>1617.8725</v>
      </c>
      <c r="AH94" s="11" t="n">
        <f aca="false">IF(AH$1&lt;Units!$P93,0,IF(AND(Units!$K93=0,AH$1=Units!$O93),Units!$R93,IF(AND(AH$1&gt;=Units!$Q93,MOD(AH$1-Units!$Q93,12)=0),IF(AND(Units!$L93=1,AH$1=Units!$Q93),IF(Units!$J93&lt;&gt;"",Units!$J93,Mkt!AH94),Inputs!$B$15*Mkt!AH94+(1-Inputs!$B$15)*MIN(Mkt!AH94,AG94*(1+Inputs!$B$18))),AG94)))</f>
        <v>1617.8725</v>
      </c>
      <c r="AI94" s="11" t="n">
        <f aca="false">IF(AI$1&lt;Units!$P93,0,IF(AND(Units!$K93=0,AI$1=Units!$O93),Units!$R93,IF(AND(AI$1&gt;=Units!$Q93,MOD(AI$1-Units!$Q93,12)=0),IF(AND(Units!$L93=1,AI$1=Units!$Q93),IF(Units!$J93&lt;&gt;"",Units!$J93,Mkt!AI94),Inputs!$B$15*Mkt!AI94+(1-Inputs!$B$15)*MIN(Mkt!AI94,AH94*(1+Inputs!$B$18))),AH94)))</f>
        <v>1617.8725</v>
      </c>
      <c r="AJ94" s="11" t="n">
        <f aca="false">IF(AJ$1&lt;Units!$P93,0,IF(AND(Units!$K93=0,AJ$1=Units!$O93),Units!$R93,IF(AND(AJ$1&gt;=Units!$Q93,MOD(AJ$1-Units!$Q93,12)=0),IF(AND(Units!$L93=1,AJ$1=Units!$Q93),IF(Units!$J93&lt;&gt;"",Units!$J93,Mkt!AJ94),Inputs!$B$15*Mkt!AJ94+(1-Inputs!$B$15)*MIN(Mkt!AJ94,AI94*(1+Inputs!$B$18))),AI94)))</f>
        <v>1617.8725</v>
      </c>
      <c r="AK94" s="11" t="n">
        <f aca="false">IF(AK$1&lt;Units!$P93,0,IF(AND(Units!$K93=0,AK$1=Units!$O93),Units!$R93,IF(AND(AK$1&gt;=Units!$Q93,MOD(AK$1-Units!$Q93,12)=0),IF(AND(Units!$L93=1,AK$1=Units!$Q93),IF(Units!$J93&lt;&gt;"",Units!$J93,Mkt!AK94),Inputs!$B$15*Mkt!AK94+(1-Inputs!$B$15)*MIN(Mkt!AK94,AJ94*(1+Inputs!$B$18))),AJ94)))</f>
        <v>1617.8725</v>
      </c>
      <c r="AL94" s="11" t="n">
        <f aca="false">IF(AL$1&lt;Units!$P93,0,IF(AND(Units!$K93=0,AL$1=Units!$O93),Units!$R93,IF(AND(AL$1&gt;=Units!$Q93,MOD(AL$1-Units!$Q93,12)=0),IF(AND(Units!$L93=1,AL$1=Units!$Q93),IF(Units!$J93&lt;&gt;"",Units!$J93,Mkt!AL94),Inputs!$B$15*Mkt!AL94+(1-Inputs!$B$15)*MIN(Mkt!AL94,AK94*(1+Inputs!$B$18))),AK94)))</f>
        <v>1617.8725</v>
      </c>
      <c r="AM94" s="11" t="n">
        <f aca="false">IF(AM$1&lt;Units!$P93,0,IF(AND(Units!$K93=0,AM$1=Units!$O93),Units!$R93,IF(AND(AM$1&gt;=Units!$Q93,MOD(AM$1-Units!$Q93,12)=0),IF(AND(Units!$L93=1,AM$1=Units!$Q93),IF(Units!$J93&lt;&gt;"",Units!$J93,Mkt!AM94),Inputs!$B$15*Mkt!AM94+(1-Inputs!$B$15)*MIN(Mkt!AM94,AL94*(1+Inputs!$B$18))),AL94)))</f>
        <v>1617.8725</v>
      </c>
      <c r="AN94" s="11" t="n">
        <f aca="false">IF(AN$1&lt;Units!$P93,0,IF(AND(Units!$K93=0,AN$1=Units!$O93),Units!$R93,IF(AND(AN$1&gt;=Units!$Q93,MOD(AN$1-Units!$Q93,12)=0),IF(AND(Units!$L93=1,AN$1=Units!$Q93),IF(Units!$J93&lt;&gt;"",Units!$J93,Mkt!AN94),Inputs!$B$15*Mkt!AN94+(1-Inputs!$B$15)*MIN(Mkt!AN94,AM94*(1+Inputs!$B$18))),AM94)))</f>
        <v>1617.8725</v>
      </c>
      <c r="AO94" s="11" t="n">
        <f aca="false">IF(AO$1&lt;Units!$P93,0,IF(AND(Units!$K93=0,AO$1=Units!$O93),Units!$R93,IF(AND(AO$1&gt;=Units!$Q93,MOD(AO$1-Units!$Q93,12)=0),IF(AND(Units!$L93=1,AO$1=Units!$Q93),IF(Units!$J93&lt;&gt;"",Units!$J93,Mkt!AO94),Inputs!$B$15*Mkt!AO94+(1-Inputs!$B$15)*MIN(Mkt!AO94,AN94*(1+Inputs!$B$18))),AN94)))</f>
        <v>1617.8725</v>
      </c>
      <c r="AP94" s="11" t="n">
        <f aca="false">IF(AP$1&lt;Units!$P93,0,IF(AND(Units!$K93=0,AP$1=Units!$O93),Units!$R93,IF(AND(AP$1&gt;=Units!$Q93,MOD(AP$1-Units!$Q93,12)=0),IF(AND(Units!$L93=1,AP$1=Units!$Q93),IF(Units!$J93&lt;&gt;"",Units!$J93,Mkt!AP94),Inputs!$B$15*Mkt!AP94+(1-Inputs!$B$15)*MIN(Mkt!AP94,AO94*(1+Inputs!$B$18))),AO94)))</f>
        <v>1617.8725</v>
      </c>
      <c r="AQ94" s="11" t="n">
        <f aca="false">IF(AQ$1&lt;Units!$P93,0,IF(AND(Units!$K93=0,AQ$1=Units!$O93),Units!$R93,IF(AND(AQ$1&gt;=Units!$Q93,MOD(AQ$1-Units!$Q93,12)=0),IF(AND(Units!$L93=1,AQ$1=Units!$Q93),IF(Units!$J93&lt;&gt;"",Units!$J93,Mkt!AQ94),Inputs!$B$15*Mkt!AQ94+(1-Inputs!$B$15)*MIN(Mkt!AQ94,AP94*(1+Inputs!$B$18))),AP94)))</f>
        <v>1617.8725</v>
      </c>
      <c r="AR94" s="11" t="n">
        <f aca="false">IF(AR$1&lt;Units!$P93,0,IF(AND(Units!$K93=0,AR$1=Units!$O93),Units!$R93,IF(AND(AR$1&gt;=Units!$Q93,MOD(AR$1-Units!$Q93,12)=0),IF(AND(Units!$L93=1,AR$1=Units!$Q93),IF(Units!$J93&lt;&gt;"",Units!$J93,Mkt!AR94),Inputs!$B$15*Mkt!AR94+(1-Inputs!$B$15)*MIN(Mkt!AR94,AQ94*(1+Inputs!$B$18))),AQ94)))</f>
        <v>1617.8725</v>
      </c>
      <c r="AS94" s="11" t="n">
        <f aca="false">IF(AS$1&lt;Units!$P93,0,IF(AND(Units!$K93=0,AS$1=Units!$O93),Units!$R93,IF(AND(AS$1&gt;=Units!$Q93,MOD(AS$1-Units!$Q93,12)=0),IF(AND(Units!$L93=1,AS$1=Units!$Q93),IF(Units!$J93&lt;&gt;"",Units!$J93,Mkt!AS94),Inputs!$B$15*Mkt!AS94+(1-Inputs!$B$15)*MIN(Mkt!AS94,AR94*(1+Inputs!$B$18))),AR94)))</f>
        <v>1666.408675</v>
      </c>
      <c r="AT94" s="11" t="n">
        <f aca="false">IF(AT$1&lt;Units!$P93,0,IF(AND(Units!$K93=0,AT$1=Units!$O93),Units!$R93,IF(AND(AT$1&gt;=Units!$Q93,MOD(AT$1-Units!$Q93,12)=0),IF(AND(Units!$L93=1,AT$1=Units!$Q93),IF(Units!$J93&lt;&gt;"",Units!$J93,Mkt!AT94),Inputs!$B$15*Mkt!AT94+(1-Inputs!$B$15)*MIN(Mkt!AT94,AS94*(1+Inputs!$B$18))),AS94)))</f>
        <v>1666.408675</v>
      </c>
      <c r="AU94" s="11" t="n">
        <f aca="false">IF(AU$1&lt;Units!$P93,0,IF(AND(Units!$K93=0,AU$1=Units!$O93),Units!$R93,IF(AND(AU$1&gt;=Units!$Q93,MOD(AU$1-Units!$Q93,12)=0),IF(AND(Units!$L93=1,AU$1=Units!$Q93),IF(Units!$J93&lt;&gt;"",Units!$J93,Mkt!AU94),Inputs!$B$15*Mkt!AU94+(1-Inputs!$B$15)*MIN(Mkt!AU94,AT94*(1+Inputs!$B$18))),AT94)))</f>
        <v>1666.408675</v>
      </c>
      <c r="AV94" s="11" t="n">
        <f aca="false">IF(AV$1&lt;Units!$P93,0,IF(AND(Units!$K93=0,AV$1=Units!$O93),Units!$R93,IF(AND(AV$1&gt;=Units!$Q93,MOD(AV$1-Units!$Q93,12)=0),IF(AND(Units!$L93=1,AV$1=Units!$Q93),IF(Units!$J93&lt;&gt;"",Units!$J93,Mkt!AV94),Inputs!$B$15*Mkt!AV94+(1-Inputs!$B$15)*MIN(Mkt!AV94,AU94*(1+Inputs!$B$18))),AU94)))</f>
        <v>1666.408675</v>
      </c>
      <c r="AW94" s="11" t="n">
        <f aca="false">IF(AW$1&lt;Units!$P93,0,IF(AND(Units!$K93=0,AW$1=Units!$O93),Units!$R93,IF(AND(AW$1&gt;=Units!$Q93,MOD(AW$1-Units!$Q93,12)=0),IF(AND(Units!$L93=1,AW$1=Units!$Q93),IF(Units!$J93&lt;&gt;"",Units!$J93,Mkt!AW94),Inputs!$B$15*Mkt!AW94+(1-Inputs!$B$15)*MIN(Mkt!AW94,AV94*(1+Inputs!$B$18))),AV94)))</f>
        <v>1666.408675</v>
      </c>
      <c r="AX94" s="11" t="n">
        <f aca="false">IF(AX$1&lt;Units!$P93,0,IF(AND(Units!$K93=0,AX$1=Units!$O93),Units!$R93,IF(AND(AX$1&gt;=Units!$Q93,MOD(AX$1-Units!$Q93,12)=0),IF(AND(Units!$L93=1,AX$1=Units!$Q93),IF(Units!$J93&lt;&gt;"",Units!$J93,Mkt!AX94),Inputs!$B$15*Mkt!AX94+(1-Inputs!$B$15)*MIN(Mkt!AX94,AW94*(1+Inputs!$B$18))),AW94)))</f>
        <v>1666.408675</v>
      </c>
      <c r="AY94" s="11" t="n">
        <f aca="false">IF(AY$1&lt;Units!$P93,0,IF(AND(Units!$K93=0,AY$1=Units!$O93),Units!$R93,IF(AND(AY$1&gt;=Units!$Q93,MOD(AY$1-Units!$Q93,12)=0),IF(AND(Units!$L93=1,AY$1=Units!$Q93),IF(Units!$J93&lt;&gt;"",Units!$J93,Mkt!AY94),Inputs!$B$15*Mkt!AY94+(1-Inputs!$B$15)*MIN(Mkt!AY94,AX94*(1+Inputs!$B$18))),AX94)))</f>
        <v>1666.408675</v>
      </c>
      <c r="AZ94" s="11" t="n">
        <f aca="false">IF(AZ$1&lt;Units!$P93,0,IF(AND(Units!$K93=0,AZ$1=Units!$O93),Units!$R93,IF(AND(AZ$1&gt;=Units!$Q93,MOD(AZ$1-Units!$Q93,12)=0),IF(AND(Units!$L93=1,AZ$1=Units!$Q93),IF(Units!$J93&lt;&gt;"",Units!$J93,Mkt!AZ94),Inputs!$B$15*Mkt!AZ94+(1-Inputs!$B$15)*MIN(Mkt!AZ94,AY94*(1+Inputs!$B$18))),AY94)))</f>
        <v>1666.408675</v>
      </c>
      <c r="BA94" s="11" t="n">
        <f aca="false">IF(BA$1&lt;Units!$P93,0,IF(AND(Units!$K93=0,BA$1=Units!$O93),Units!$R93,IF(AND(BA$1&gt;=Units!$Q93,MOD(BA$1-Units!$Q93,12)=0),IF(AND(Units!$L93=1,BA$1=Units!$Q93),IF(Units!$J93&lt;&gt;"",Units!$J93,Mkt!BA94),Inputs!$B$15*Mkt!BA94+(1-Inputs!$B$15)*MIN(Mkt!BA94,AZ94*(1+Inputs!$B$18))),AZ94)))</f>
        <v>1666.408675</v>
      </c>
      <c r="BB94" s="11" t="n">
        <f aca="false">IF(BB$1&lt;Units!$P93,0,IF(AND(Units!$K93=0,BB$1=Units!$O93),Units!$R93,IF(AND(BB$1&gt;=Units!$Q93,MOD(BB$1-Units!$Q93,12)=0),IF(AND(Units!$L93=1,BB$1=Units!$Q93),IF(Units!$J93&lt;&gt;"",Units!$J93,Mkt!BB94),Inputs!$B$15*Mkt!BB94+(1-Inputs!$B$15)*MIN(Mkt!BB94,BA94*(1+Inputs!$B$18))),BA94)))</f>
        <v>1666.408675</v>
      </c>
      <c r="BC94" s="11" t="n">
        <f aca="false">IF(BC$1&lt;Units!$P93,0,IF(AND(Units!$K93=0,BC$1=Units!$O93),Units!$R93,IF(AND(BC$1&gt;=Units!$Q93,MOD(BC$1-Units!$Q93,12)=0),IF(AND(Units!$L93=1,BC$1=Units!$Q93),IF(Units!$J93&lt;&gt;"",Units!$J93,Mkt!BC94),Inputs!$B$15*Mkt!BC94+(1-Inputs!$B$15)*MIN(Mkt!BC94,BB94*(1+Inputs!$B$18))),BB94)))</f>
        <v>1666.408675</v>
      </c>
      <c r="BD94" s="11" t="n">
        <f aca="false">IF(BD$1&lt;Units!$P93,0,IF(AND(Units!$K93=0,BD$1=Units!$O93),Units!$R93,IF(AND(BD$1&gt;=Units!$Q93,MOD(BD$1-Units!$Q93,12)=0),IF(AND(Units!$L93=1,BD$1=Units!$Q93),IF(Units!$J93&lt;&gt;"",Units!$J93,Mkt!BD94),Inputs!$B$15*Mkt!BD94+(1-Inputs!$B$15)*MIN(Mkt!BD94,BC94*(1+Inputs!$B$18))),BC94)))</f>
        <v>1666.408675</v>
      </c>
      <c r="BE94" s="11" t="n">
        <f aca="false">IF(BE$1&lt;Units!$P93,0,IF(AND(Units!$K93=0,BE$1=Units!$O93),Units!$R93,IF(AND(BE$1&gt;=Units!$Q93,MOD(BE$1-Units!$Q93,12)=0),IF(AND(Units!$L93=1,BE$1=Units!$Q93),IF(Units!$J93&lt;&gt;"",Units!$J93,Mkt!BE94),Inputs!$B$15*Mkt!BE94+(1-Inputs!$B$15)*MIN(Mkt!BE94,BD94*(1+Inputs!$B$18))),BD94)))</f>
        <v>1716.40093525</v>
      </c>
      <c r="BF94" s="11" t="n">
        <f aca="false">IF(BF$1&lt;Units!$P93,0,IF(AND(Units!$K93=0,BF$1=Units!$O93),Units!$R93,IF(AND(BF$1&gt;=Units!$Q93,MOD(BF$1-Units!$Q93,12)=0),IF(AND(Units!$L93=1,BF$1=Units!$Q93),IF(Units!$J93&lt;&gt;"",Units!$J93,Mkt!BF94),Inputs!$B$15*Mkt!BF94+(1-Inputs!$B$15)*MIN(Mkt!BF94,BE94*(1+Inputs!$B$18))),BE94)))</f>
        <v>1716.40093525</v>
      </c>
      <c r="BG94" s="11" t="n">
        <f aca="false">IF(BG$1&lt;Units!$P93,0,IF(AND(Units!$K93=0,BG$1=Units!$O93),Units!$R93,IF(AND(BG$1&gt;=Units!$Q93,MOD(BG$1-Units!$Q93,12)=0),IF(AND(Units!$L93=1,BG$1=Units!$Q93),IF(Units!$J93&lt;&gt;"",Units!$J93,Mkt!BG94),Inputs!$B$15*Mkt!BG94+(1-Inputs!$B$15)*MIN(Mkt!BG94,BF94*(1+Inputs!$B$18))),BF94)))</f>
        <v>1716.40093525</v>
      </c>
      <c r="BH94" s="11" t="n">
        <f aca="false">IF(BH$1&lt;Units!$P93,0,IF(AND(Units!$K93=0,BH$1=Units!$O93),Units!$R93,IF(AND(BH$1&gt;=Units!$Q93,MOD(BH$1-Units!$Q93,12)=0),IF(AND(Units!$L93=1,BH$1=Units!$Q93),IF(Units!$J93&lt;&gt;"",Units!$J93,Mkt!BH94),Inputs!$B$15*Mkt!BH94+(1-Inputs!$B$15)*MIN(Mkt!BH94,BG94*(1+Inputs!$B$18))),BG94)))</f>
        <v>1716.40093525</v>
      </c>
      <c r="BI94" s="11" t="n">
        <f aca="false">IF(BI$1&lt;Units!$P93,0,IF(AND(Units!$K93=0,BI$1=Units!$O93),Units!$R93,IF(AND(BI$1&gt;=Units!$Q93,MOD(BI$1-Units!$Q93,12)=0),IF(AND(Units!$L93=1,BI$1=Units!$Q93),IF(Units!$J93&lt;&gt;"",Units!$J93,Mkt!BI94),Inputs!$B$15*Mkt!BI94+(1-Inputs!$B$15)*MIN(Mkt!BI94,BH94*(1+Inputs!$B$18))),BH94)))</f>
        <v>1716.40093525</v>
      </c>
      <c r="BJ94" s="11" t="n">
        <f aca="false">IF(BJ$1&lt;Units!$P93,0,IF(AND(Units!$K93=0,BJ$1=Units!$O93),Units!$R93,IF(AND(BJ$1&gt;=Units!$Q93,MOD(BJ$1-Units!$Q93,12)=0),IF(AND(Units!$L93=1,BJ$1=Units!$Q93),IF(Units!$J93&lt;&gt;"",Units!$J93,Mkt!BJ94),Inputs!$B$15*Mkt!BJ94+(1-Inputs!$B$15)*MIN(Mkt!BJ94,BI94*(1+Inputs!$B$18))),BI94)))</f>
        <v>1716.40093525</v>
      </c>
      <c r="BK94" s="11" t="n">
        <f aca="false">IF(BK$1&lt;Units!$P93,0,IF(AND(Units!$K93=0,BK$1=Units!$O93),Units!$R93,IF(AND(BK$1&gt;=Units!$Q93,MOD(BK$1-Units!$Q93,12)=0),IF(AND(Units!$L93=1,BK$1=Units!$Q93),IF(Units!$J93&lt;&gt;"",Units!$J93,Mkt!BK94),Inputs!$B$15*Mkt!BK94+(1-Inputs!$B$15)*MIN(Mkt!BK94,BJ94*(1+Inputs!$B$18))),BJ94)))</f>
        <v>1716.40093525</v>
      </c>
      <c r="BL94" s="11" t="n">
        <f aca="false">IF(BL$1&lt;Units!$P93,0,IF(AND(Units!$K93=0,BL$1=Units!$O93),Units!$R93,IF(AND(BL$1&gt;=Units!$Q93,MOD(BL$1-Units!$Q93,12)=0),IF(AND(Units!$L93=1,BL$1=Units!$Q93),IF(Units!$J93&lt;&gt;"",Units!$J93,Mkt!BL94),Inputs!$B$15*Mkt!BL94+(1-Inputs!$B$15)*MIN(Mkt!BL94,BK94*(1+Inputs!$B$18))),BK94)))</f>
        <v>1716.40093525</v>
      </c>
      <c r="BM94" s="11" t="n">
        <f aca="false">IF(BM$1&lt;Units!$P93,0,IF(AND(Units!$K93=0,BM$1=Units!$O93),Units!$R93,IF(AND(BM$1&gt;=Units!$Q93,MOD(BM$1-Units!$Q93,12)=0),IF(AND(Units!$L93=1,BM$1=Units!$Q93),IF(Units!$J93&lt;&gt;"",Units!$J93,Mkt!BM94),Inputs!$B$15*Mkt!BM94+(1-Inputs!$B$15)*MIN(Mkt!BM94,BL94*(1+Inputs!$B$18))),BL94)))</f>
        <v>1716.40093525</v>
      </c>
      <c r="BN94" s="11" t="n">
        <f aca="false">IF(BN$1&lt;Units!$P93,0,IF(AND(Units!$K93=0,BN$1=Units!$O93),Units!$R93,IF(AND(BN$1&gt;=Units!$Q93,MOD(BN$1-Units!$Q93,12)=0),IF(AND(Units!$L93=1,BN$1=Units!$Q93),IF(Units!$J93&lt;&gt;"",Units!$J93,Mkt!BN94),Inputs!$B$15*Mkt!BN94+(1-Inputs!$B$15)*MIN(Mkt!BN94,BM94*(1+Inputs!$B$18))),BM94)))</f>
        <v>1716.40093525</v>
      </c>
      <c r="BO94" s="11" t="n">
        <f aca="false">IF(BO$1&lt;Units!$P93,0,IF(AND(Units!$K93=0,BO$1=Units!$O93),Units!$R93,IF(AND(BO$1&gt;=Units!$Q93,MOD(BO$1-Units!$Q93,12)=0),IF(AND(Units!$L93=1,BO$1=Units!$Q93),IF(Units!$J93&lt;&gt;"",Units!$J93,Mkt!BO94),Inputs!$B$15*Mkt!BO94+(1-Inputs!$B$15)*MIN(Mkt!BO94,BN94*(1+Inputs!$B$18))),BN94)))</f>
        <v>1716.40093525</v>
      </c>
      <c r="BP94" s="11" t="n">
        <f aca="false">IF(BP$1&lt;Units!$P93,0,IF(AND(Units!$K93=0,BP$1=Units!$O93),Units!$R93,IF(AND(BP$1&gt;=Units!$Q93,MOD(BP$1-Units!$Q93,12)=0),IF(AND(Units!$L93=1,BP$1=Units!$Q93),IF(Units!$J93&lt;&gt;"",Units!$J93,Mkt!BP94),Inputs!$B$15*Mkt!BP94+(1-Inputs!$B$15)*MIN(Mkt!BP94,BO94*(1+Inputs!$B$18))),BO94)))</f>
        <v>1716.40093525</v>
      </c>
      <c r="BQ94" s="11" t="n">
        <f aca="false">IF(BQ$1&lt;Units!$P93,0,IF(AND(Units!$K93=0,BQ$1=Units!$O93),Units!$R93,IF(AND(BQ$1&gt;=Units!$Q93,MOD(BQ$1-Units!$Q93,12)=0),IF(AND(Units!$L93=1,BQ$1=Units!$Q93),IF(Units!$J93&lt;&gt;"",Units!$J93,Mkt!BQ94),Inputs!$B$15*Mkt!BQ94+(1-Inputs!$B$15)*MIN(Mkt!BQ94,BP94*(1+Inputs!$B$18))),BP94)))</f>
        <v>1767.8929633075</v>
      </c>
      <c r="BR94" s="11" t="n">
        <f aca="false">IF(BR$1&lt;Units!$P93,0,IF(AND(Units!$K93=0,BR$1=Units!$O93),Units!$R93,IF(AND(BR$1&gt;=Units!$Q93,MOD(BR$1-Units!$Q93,12)=0),IF(AND(Units!$L93=1,BR$1=Units!$Q93),IF(Units!$J93&lt;&gt;"",Units!$J93,Mkt!BR94),Inputs!$B$15*Mkt!BR94+(1-Inputs!$B$15)*MIN(Mkt!BR94,BQ94*(1+Inputs!$B$18))),BQ94)))</f>
        <v>1767.8929633075</v>
      </c>
      <c r="BS94" s="11" t="n">
        <f aca="false">IF(BS$1&lt;Units!$P93,0,IF(AND(Units!$K93=0,BS$1=Units!$O93),Units!$R93,IF(AND(BS$1&gt;=Units!$Q93,MOD(BS$1-Units!$Q93,12)=0),IF(AND(Units!$L93=1,BS$1=Units!$Q93),IF(Units!$J93&lt;&gt;"",Units!$J93,Mkt!BS94),Inputs!$B$15*Mkt!BS94+(1-Inputs!$B$15)*MIN(Mkt!BS94,BR94*(1+Inputs!$B$18))),BR94)))</f>
        <v>1767.8929633075</v>
      </c>
      <c r="BT94" s="11" t="n">
        <f aca="false">IF(BT$1&lt;Units!$P93,0,IF(AND(Units!$K93=0,BT$1=Units!$O93),Units!$R93,IF(AND(BT$1&gt;=Units!$Q93,MOD(BT$1-Units!$Q93,12)=0),IF(AND(Units!$L93=1,BT$1=Units!$Q93),IF(Units!$J93&lt;&gt;"",Units!$J93,Mkt!BT94),Inputs!$B$15*Mkt!BT94+(1-Inputs!$B$15)*MIN(Mkt!BT94,BS94*(1+Inputs!$B$18))),BS94)))</f>
        <v>1767.8929633075</v>
      </c>
      <c r="BU94" s="11" t="n">
        <f aca="false">IF(BU$1&lt;Units!$P93,0,IF(AND(Units!$K93=0,BU$1=Units!$O93),Units!$R93,IF(AND(BU$1&gt;=Units!$Q93,MOD(BU$1-Units!$Q93,12)=0),IF(AND(Units!$L93=1,BU$1=Units!$Q93),IF(Units!$J93&lt;&gt;"",Units!$J93,Mkt!BU94),Inputs!$B$15*Mkt!BU94+(1-Inputs!$B$15)*MIN(Mkt!BU94,BT94*(1+Inputs!$B$18))),BT94)))</f>
        <v>1767.8929633075</v>
      </c>
      <c r="BV94" s="11" t="n">
        <f aca="false">IF(BV$1&lt;Units!$P93,0,IF(AND(Units!$K93=0,BV$1=Units!$O93),Units!$R93,IF(AND(BV$1&gt;=Units!$Q93,MOD(BV$1-Units!$Q93,12)=0),IF(AND(Units!$L93=1,BV$1=Units!$Q93),IF(Units!$J93&lt;&gt;"",Units!$J93,Mkt!BV94),Inputs!$B$15*Mkt!BV94+(1-Inputs!$B$15)*MIN(Mkt!BV94,BU94*(1+Inputs!$B$18))),BU94)))</f>
        <v>1767.8929633075</v>
      </c>
      <c r="BW94" s="11" t="n">
        <f aca="false">IF(BW$1&lt;Units!$P93,0,IF(AND(Units!$K93=0,BW$1=Units!$O93),Units!$R93,IF(AND(BW$1&gt;=Units!$Q93,MOD(BW$1-Units!$Q93,12)=0),IF(AND(Units!$L93=1,BW$1=Units!$Q93),IF(Units!$J93&lt;&gt;"",Units!$J93,Mkt!BW94),Inputs!$B$15*Mkt!BW94+(1-Inputs!$B$15)*MIN(Mkt!BW94,BV94*(1+Inputs!$B$18))),BV94)))</f>
        <v>1767.8929633075</v>
      </c>
      <c r="BX94" s="11" t="n">
        <f aca="false">IF(BX$1&lt;Units!$P93,0,IF(AND(Units!$K93=0,BX$1=Units!$O93),Units!$R93,IF(AND(BX$1&gt;=Units!$Q93,MOD(BX$1-Units!$Q93,12)=0),IF(AND(Units!$L93=1,BX$1=Units!$Q93),IF(Units!$J93&lt;&gt;"",Units!$J93,Mkt!BX94),Inputs!$B$15*Mkt!BX94+(1-Inputs!$B$15)*MIN(Mkt!BX94,BW94*(1+Inputs!$B$18))),BW94)))</f>
        <v>1767.8929633075</v>
      </c>
      <c r="BY94" s="11" t="n">
        <f aca="false">IF(BY$1&lt;Units!$P93,0,IF(AND(Units!$K93=0,BY$1=Units!$O93),Units!$R93,IF(AND(BY$1&gt;=Units!$Q93,MOD(BY$1-Units!$Q93,12)=0),IF(AND(Units!$L93=1,BY$1=Units!$Q93),IF(Units!$J93&lt;&gt;"",Units!$J93,Mkt!BY94),Inputs!$B$15*Mkt!BY94+(1-Inputs!$B$15)*MIN(Mkt!BY94,BX94*(1+Inputs!$B$18))),BX94)))</f>
        <v>1767.8929633075</v>
      </c>
      <c r="BZ94" s="11" t="n">
        <f aca="false">IF(BZ$1&lt;Units!$P93,0,IF(AND(Units!$K93=0,BZ$1=Units!$O93),Units!$R93,IF(AND(BZ$1&gt;=Units!$Q93,MOD(BZ$1-Units!$Q93,12)=0),IF(AND(Units!$L93=1,BZ$1=Units!$Q93),IF(Units!$J93&lt;&gt;"",Units!$J93,Mkt!BZ94),Inputs!$B$15*Mkt!BZ94+(1-Inputs!$B$15)*MIN(Mkt!BZ94,BY94*(1+Inputs!$B$18))),BY94)))</f>
        <v>1767.8929633075</v>
      </c>
      <c r="CA94" s="11" t="n">
        <f aca="false">IF(CA$1&lt;Units!$P93,0,IF(AND(Units!$K93=0,CA$1=Units!$O93),Units!$R93,IF(AND(CA$1&gt;=Units!$Q93,MOD(CA$1-Units!$Q93,12)=0),IF(AND(Units!$L93=1,CA$1=Units!$Q93),IF(Units!$J93&lt;&gt;"",Units!$J93,Mkt!CA94),Inputs!$B$15*Mkt!CA94+(1-Inputs!$B$15)*MIN(Mkt!CA94,BZ94*(1+Inputs!$B$18))),BZ94)))</f>
        <v>1767.8929633075</v>
      </c>
      <c r="CB94" s="11" t="n">
        <f aca="false">IF(CB$1&lt;Units!$P93,0,IF(AND(Units!$K93=0,CB$1=Units!$O93),Units!$R93,IF(AND(CB$1&gt;=Units!$Q93,MOD(CB$1-Units!$Q93,12)=0),IF(AND(Units!$L93=1,CB$1=Units!$Q93),IF(Units!$J93&lt;&gt;"",Units!$J93,Mkt!CB94),Inputs!$B$15*Mkt!CB94+(1-Inputs!$B$15)*MIN(Mkt!CB94,CA94*(1+Inputs!$B$18))),CA94)))</f>
        <v>1767.8929633075</v>
      </c>
      <c r="CC94" s="11" t="n">
        <f aca="false">IF(CC$1&lt;Units!$P93,0,IF(AND(Units!$K93=0,CC$1=Units!$O93),Units!$R93,IF(AND(CC$1&gt;=Units!$Q93,MOD(CC$1-Units!$Q93,12)=0),IF(AND(Units!$L93=1,CC$1=Units!$Q93),IF(Units!$J93&lt;&gt;"",Units!$J93,Mkt!CC94),Inputs!$B$15*Mkt!CC94+(1-Inputs!$B$15)*MIN(Mkt!CC94,CB94*(1+Inputs!$B$18))),CB94)))</f>
        <v>1820.92975220673</v>
      </c>
      <c r="CD94" s="11" t="n">
        <f aca="false">IF(CD$1&lt;Units!$P93,0,IF(AND(Units!$K93=0,CD$1=Units!$O93),Units!$R93,IF(AND(CD$1&gt;=Units!$Q93,MOD(CD$1-Units!$Q93,12)=0),IF(AND(Units!$L93=1,CD$1=Units!$Q93),IF(Units!$J93&lt;&gt;"",Units!$J93,Mkt!CD94),Inputs!$B$15*Mkt!CD94+(1-Inputs!$B$15)*MIN(Mkt!CD94,CC94*(1+Inputs!$B$18))),CC94)))</f>
        <v>1820.92975220673</v>
      </c>
      <c r="CE94" s="11" t="n">
        <f aca="false">IF(CE$1&lt;Units!$P93,0,IF(AND(Units!$K93=0,CE$1=Units!$O93),Units!$R93,IF(AND(CE$1&gt;=Units!$Q93,MOD(CE$1-Units!$Q93,12)=0),IF(AND(Units!$L93=1,CE$1=Units!$Q93),IF(Units!$J93&lt;&gt;"",Units!$J93,Mkt!CE94),Inputs!$B$15*Mkt!CE94+(1-Inputs!$B$15)*MIN(Mkt!CE94,CD94*(1+Inputs!$B$18))),CD94)))</f>
        <v>1820.92975220673</v>
      </c>
      <c r="CF94" s="11" t="n">
        <f aca="false">IF(CF$1&lt;Units!$P93,0,IF(AND(Units!$K93=0,CF$1=Units!$O93),Units!$R93,IF(AND(CF$1&gt;=Units!$Q93,MOD(CF$1-Units!$Q93,12)=0),IF(AND(Units!$L93=1,CF$1=Units!$Q93),IF(Units!$J93&lt;&gt;"",Units!$J93,Mkt!CF94),Inputs!$B$15*Mkt!CF94+(1-Inputs!$B$15)*MIN(Mkt!CF94,CE94*(1+Inputs!$B$18))),CE94)))</f>
        <v>1820.92975220673</v>
      </c>
      <c r="CG94" s="11" t="n">
        <f aca="false">IF(CG$1&lt;Units!$P93,0,IF(AND(Units!$K93=0,CG$1=Units!$O93),Units!$R93,IF(AND(CG$1&gt;=Units!$Q93,MOD(CG$1-Units!$Q93,12)=0),IF(AND(Units!$L93=1,CG$1=Units!$Q93),IF(Units!$J93&lt;&gt;"",Units!$J93,Mkt!CG94),Inputs!$B$15*Mkt!CG94+(1-Inputs!$B$15)*MIN(Mkt!CG94,CF94*(1+Inputs!$B$18))),CF94)))</f>
        <v>1820.92975220673</v>
      </c>
      <c r="CH94" s="11" t="n">
        <f aca="false">IF(CH$1&lt;Units!$P93,0,IF(AND(Units!$K93=0,CH$1=Units!$O93),Units!$R93,IF(AND(CH$1&gt;=Units!$Q93,MOD(CH$1-Units!$Q93,12)=0),IF(AND(Units!$L93=1,CH$1=Units!$Q93),IF(Units!$J93&lt;&gt;"",Units!$J93,Mkt!CH94),Inputs!$B$15*Mkt!CH94+(1-Inputs!$B$15)*MIN(Mkt!CH94,CG94*(1+Inputs!$B$18))),CG94)))</f>
        <v>1820.92975220673</v>
      </c>
      <c r="CI94" s="11" t="n">
        <f aca="false">IF(CI$1&lt;Units!$P93,0,IF(AND(Units!$K93=0,CI$1=Units!$O93),Units!$R93,IF(AND(CI$1&gt;=Units!$Q93,MOD(CI$1-Units!$Q93,12)=0),IF(AND(Units!$L93=1,CI$1=Units!$Q93),IF(Units!$J93&lt;&gt;"",Units!$J93,Mkt!CI94),Inputs!$B$15*Mkt!CI94+(1-Inputs!$B$15)*MIN(Mkt!CI94,CH94*(1+Inputs!$B$18))),CH94)))</f>
        <v>1820.92975220673</v>
      </c>
      <c r="CJ94" s="11" t="n">
        <f aca="false">IF(CJ$1&lt;Units!$P93,0,IF(AND(Units!$K93=0,CJ$1=Units!$O93),Units!$R93,IF(AND(CJ$1&gt;=Units!$Q93,MOD(CJ$1-Units!$Q93,12)=0),IF(AND(Units!$L93=1,CJ$1=Units!$Q93),IF(Units!$J93&lt;&gt;"",Units!$J93,Mkt!CJ94),Inputs!$B$15*Mkt!CJ94+(1-Inputs!$B$15)*MIN(Mkt!CJ94,CI94*(1+Inputs!$B$18))),CI94)))</f>
        <v>1820.92975220673</v>
      </c>
      <c r="CK94" s="11" t="n">
        <f aca="false">IF(CK$1&lt;Units!$P93,0,IF(AND(Units!$K93=0,CK$1=Units!$O93),Units!$R93,IF(AND(CK$1&gt;=Units!$Q93,MOD(CK$1-Units!$Q93,12)=0),IF(AND(Units!$L93=1,CK$1=Units!$Q93),IF(Units!$J93&lt;&gt;"",Units!$J93,Mkt!CK94),Inputs!$B$15*Mkt!CK94+(1-Inputs!$B$15)*MIN(Mkt!CK94,CJ94*(1+Inputs!$B$18))),CJ94)))</f>
        <v>1820.92975220673</v>
      </c>
      <c r="CL94" s="11" t="n">
        <f aca="false">IF(CL$1&lt;Units!$P93,0,IF(AND(Units!$K93=0,CL$1=Units!$O93),Units!$R93,IF(AND(CL$1&gt;=Units!$Q93,MOD(CL$1-Units!$Q93,12)=0),IF(AND(Units!$L93=1,CL$1=Units!$Q93),IF(Units!$J93&lt;&gt;"",Units!$J93,Mkt!CL94),Inputs!$B$15*Mkt!CL94+(1-Inputs!$B$15)*MIN(Mkt!CL94,CK94*(1+Inputs!$B$18))),CK94)))</f>
        <v>1820.92975220673</v>
      </c>
      <c r="CM94" s="11" t="n">
        <f aca="false">IF(CM$1&lt;Units!$P93,0,IF(AND(Units!$K93=0,CM$1=Units!$O93),Units!$R93,IF(AND(CM$1&gt;=Units!$Q93,MOD(CM$1-Units!$Q93,12)=0),IF(AND(Units!$L93=1,CM$1=Units!$Q93),IF(Units!$J93&lt;&gt;"",Units!$J93,Mkt!CM94),Inputs!$B$15*Mkt!CM94+(1-Inputs!$B$15)*MIN(Mkt!CM94,CL94*(1+Inputs!$B$18))),CL94)))</f>
        <v>1820.92975220673</v>
      </c>
      <c r="CN94" s="11" t="n">
        <f aca="false">IF(CN$1&lt;Units!$P93,0,IF(AND(Units!$K93=0,CN$1=Units!$O93),Units!$R93,IF(AND(CN$1&gt;=Units!$Q93,MOD(CN$1-Units!$Q93,12)=0),IF(AND(Units!$L93=1,CN$1=Units!$Q93),IF(Units!$J93&lt;&gt;"",Units!$J93,Mkt!CN94),Inputs!$B$15*Mkt!CN94+(1-Inputs!$B$15)*MIN(Mkt!CN94,CM94*(1+Inputs!$B$18))),CM94)))</f>
        <v>1820.92975220673</v>
      </c>
      <c r="CO94" s="11" t="n">
        <f aca="false">IF(CO$1&lt;Units!$P93,0,IF(AND(Units!$K93=0,CO$1=Units!$O93),Units!$R93,IF(AND(CO$1&gt;=Units!$Q93,MOD(CO$1-Units!$Q93,12)=0),IF(AND(Units!$L93=1,CO$1=Units!$Q93),IF(Units!$J93&lt;&gt;"",Units!$J93,Mkt!CO94),Inputs!$B$15*Mkt!CO94+(1-Inputs!$B$15)*MIN(Mkt!CO94,CN94*(1+Inputs!$B$18))),CN94)))</f>
        <v>1875.55764477293</v>
      </c>
      <c r="CP94" s="11" t="n">
        <f aca="false">IF(CP$1&lt;Units!$P93,0,IF(AND(Units!$K93=0,CP$1=Units!$O93),Units!$R93,IF(AND(CP$1&gt;=Units!$Q93,MOD(CP$1-Units!$Q93,12)=0),IF(AND(Units!$L93=1,CP$1=Units!$Q93),IF(Units!$J93&lt;&gt;"",Units!$J93,Mkt!CP94),Inputs!$B$15*Mkt!CP94+(1-Inputs!$B$15)*MIN(Mkt!CP94,CO94*(1+Inputs!$B$18))),CO94)))</f>
        <v>1875.55764477293</v>
      </c>
      <c r="CQ94" s="11" t="n">
        <f aca="false">IF(CQ$1&lt;Units!$P93,0,IF(AND(Units!$K93=0,CQ$1=Units!$O93),Units!$R93,IF(AND(CQ$1&gt;=Units!$Q93,MOD(CQ$1-Units!$Q93,12)=0),IF(AND(Units!$L93=1,CQ$1=Units!$Q93),IF(Units!$J93&lt;&gt;"",Units!$J93,Mkt!CQ94),Inputs!$B$15*Mkt!CQ94+(1-Inputs!$B$15)*MIN(Mkt!CQ94,CP94*(1+Inputs!$B$18))),CP94)))</f>
        <v>1875.55764477293</v>
      </c>
      <c r="CR94" s="11" t="n">
        <f aca="false">IF(CR$1&lt;Units!$P93,0,IF(AND(Units!$K93=0,CR$1=Units!$O93),Units!$R93,IF(AND(CR$1&gt;=Units!$Q93,MOD(CR$1-Units!$Q93,12)=0),IF(AND(Units!$L93=1,CR$1=Units!$Q93),IF(Units!$J93&lt;&gt;"",Units!$J93,Mkt!CR94),Inputs!$B$15*Mkt!CR94+(1-Inputs!$B$15)*MIN(Mkt!CR94,CQ94*(1+Inputs!$B$18))),CQ94)))</f>
        <v>1875.55764477293</v>
      </c>
      <c r="CS94" s="11" t="n">
        <f aca="false">IF(CS$1&lt;Units!$P93,0,IF(AND(Units!$K93=0,CS$1=Units!$O93),Units!$R93,IF(AND(CS$1&gt;=Units!$Q93,MOD(CS$1-Units!$Q93,12)=0),IF(AND(Units!$L93=1,CS$1=Units!$Q93),IF(Units!$J93&lt;&gt;"",Units!$J93,Mkt!CS94),Inputs!$B$15*Mkt!CS94+(1-Inputs!$B$15)*MIN(Mkt!CS94,CR94*(1+Inputs!$B$18))),CR94)))</f>
        <v>1875.55764477293</v>
      </c>
      <c r="CT94" s="11" t="n">
        <f aca="false">IF(CT$1&lt;Units!$P93,0,IF(AND(Units!$K93=0,CT$1=Units!$O93),Units!$R93,IF(AND(CT$1&gt;=Units!$Q93,MOD(CT$1-Units!$Q93,12)=0),IF(AND(Units!$L93=1,CT$1=Units!$Q93),IF(Units!$J93&lt;&gt;"",Units!$J93,Mkt!CT94),Inputs!$B$15*Mkt!CT94+(1-Inputs!$B$15)*MIN(Mkt!CT94,CS94*(1+Inputs!$B$18))),CS94)))</f>
        <v>1875.55764477293</v>
      </c>
      <c r="CU94" s="11" t="n">
        <f aca="false">IF(CU$1&lt;Units!$P93,0,IF(AND(Units!$K93=0,CU$1=Units!$O93),Units!$R93,IF(AND(CU$1&gt;=Units!$Q93,MOD(CU$1-Units!$Q93,12)=0),IF(AND(Units!$L93=1,CU$1=Units!$Q93),IF(Units!$J93&lt;&gt;"",Units!$J93,Mkt!CU94),Inputs!$B$15*Mkt!CU94+(1-Inputs!$B$15)*MIN(Mkt!CU94,CT94*(1+Inputs!$B$18))),CT94)))</f>
        <v>1875.55764477293</v>
      </c>
      <c r="CV94" s="11" t="n">
        <f aca="false">IF(CV$1&lt;Units!$P93,0,IF(AND(Units!$K93=0,CV$1=Units!$O93),Units!$R93,IF(AND(CV$1&gt;=Units!$Q93,MOD(CV$1-Units!$Q93,12)=0),IF(AND(Units!$L93=1,CV$1=Units!$Q93),IF(Units!$J93&lt;&gt;"",Units!$J93,Mkt!CV94),Inputs!$B$15*Mkt!CV94+(1-Inputs!$B$15)*MIN(Mkt!CV94,CU94*(1+Inputs!$B$18))),CU94)))</f>
        <v>1875.55764477293</v>
      </c>
      <c r="CW94" s="11" t="n">
        <f aca="false">IF(CW$1&lt;Units!$P93,0,IF(AND(Units!$K93=0,CW$1=Units!$O93),Units!$R93,IF(AND(CW$1&gt;=Units!$Q93,MOD(CW$1-Units!$Q93,12)=0),IF(AND(Units!$L93=1,CW$1=Units!$Q93),IF(Units!$J93&lt;&gt;"",Units!$J93,Mkt!CW94),Inputs!$B$15*Mkt!CW94+(1-Inputs!$B$15)*MIN(Mkt!CW94,CV94*(1+Inputs!$B$18))),CV94)))</f>
        <v>1875.55764477293</v>
      </c>
      <c r="CX94" s="11" t="n">
        <f aca="false">IF(CX$1&lt;Units!$P93,0,IF(AND(Units!$K93=0,CX$1=Units!$O93),Units!$R93,IF(AND(CX$1&gt;=Units!$Q93,MOD(CX$1-Units!$Q93,12)=0),IF(AND(Units!$L93=1,CX$1=Units!$Q93),IF(Units!$J93&lt;&gt;"",Units!$J93,Mkt!CX94),Inputs!$B$15*Mkt!CX94+(1-Inputs!$B$15)*MIN(Mkt!CX94,CW94*(1+Inputs!$B$18))),CW94)))</f>
        <v>1875.55764477293</v>
      </c>
      <c r="CY94" s="11" t="n">
        <f aca="false">IF(CY$1&lt;Units!$P93,0,IF(AND(Units!$K93=0,CY$1=Units!$O93),Units!$R93,IF(AND(CY$1&gt;=Units!$Q93,MOD(CY$1-Units!$Q93,12)=0),IF(AND(Units!$L93=1,CY$1=Units!$Q93),IF(Units!$J93&lt;&gt;"",Units!$J93,Mkt!CY94),Inputs!$B$15*Mkt!CY94+(1-Inputs!$B$15)*MIN(Mkt!CY94,CX94*(1+Inputs!$B$18))),CX94)))</f>
        <v>1875.55764477293</v>
      </c>
      <c r="CZ94" s="11" t="n">
        <f aca="false">IF(CZ$1&lt;Units!$P93,0,IF(AND(Units!$K93=0,CZ$1=Units!$O93),Units!$R93,IF(AND(CZ$1&gt;=Units!$Q93,MOD(CZ$1-Units!$Q93,12)=0),IF(AND(Units!$L93=1,CZ$1=Units!$Q93),IF(Units!$J93&lt;&gt;"",Units!$J93,Mkt!CZ94),Inputs!$B$15*Mkt!CZ94+(1-Inputs!$B$15)*MIN(Mkt!CZ94,CY94*(1+Inputs!$B$18))),CY94)))</f>
        <v>1875.55764477293</v>
      </c>
      <c r="DA94" s="11" t="n">
        <f aca="false">IF(DA$1&lt;Units!$P93,0,IF(AND(Units!$K93=0,DA$1=Units!$O93),Units!$R93,IF(AND(DA$1&gt;=Units!$Q93,MOD(DA$1-Units!$Q93,12)=0),IF(AND(Units!$L93=1,DA$1=Units!$Q93),IF(Units!$J93&lt;&gt;"",Units!$J93,Mkt!DA94),Inputs!$B$15*Mkt!DA94+(1-Inputs!$B$15)*MIN(Mkt!DA94,CZ94*(1+Inputs!$B$18))),CZ94)))</f>
        <v>1931.82437411612</v>
      </c>
      <c r="DB94" s="11" t="n">
        <f aca="false">IF(DB$1&lt;Units!$P93,0,IF(AND(Units!$K93=0,DB$1=Units!$O93),Units!$R93,IF(AND(DB$1&gt;=Units!$Q93,MOD(DB$1-Units!$Q93,12)=0),IF(AND(Units!$L93=1,DB$1=Units!$Q93),IF(Units!$J93&lt;&gt;"",Units!$J93,Mkt!DB94),Inputs!$B$15*Mkt!DB94+(1-Inputs!$B$15)*MIN(Mkt!DB94,DA94*(1+Inputs!$B$18))),DA94)))</f>
        <v>1931.82437411612</v>
      </c>
      <c r="DC94" s="11" t="n">
        <f aca="false">IF(DC$1&lt;Units!$P93,0,IF(AND(Units!$K93=0,DC$1=Units!$O93),Units!$R93,IF(AND(DC$1&gt;=Units!$Q93,MOD(DC$1-Units!$Q93,12)=0),IF(AND(Units!$L93=1,DC$1=Units!$Q93),IF(Units!$J93&lt;&gt;"",Units!$J93,Mkt!DC94),Inputs!$B$15*Mkt!DC94+(1-Inputs!$B$15)*MIN(Mkt!DC94,DB94*(1+Inputs!$B$18))),DB94)))</f>
        <v>1931.82437411612</v>
      </c>
      <c r="DD94" s="11" t="n">
        <f aca="false">IF(DD$1&lt;Units!$P93,0,IF(AND(Units!$K93=0,DD$1=Units!$O93),Units!$R93,IF(AND(DD$1&gt;=Units!$Q93,MOD(DD$1-Units!$Q93,12)=0),IF(AND(Units!$L93=1,DD$1=Units!$Q93),IF(Units!$J93&lt;&gt;"",Units!$J93,Mkt!DD94),Inputs!$B$15*Mkt!DD94+(1-Inputs!$B$15)*MIN(Mkt!DD94,DC94*(1+Inputs!$B$18))),DC94)))</f>
        <v>1931.82437411612</v>
      </c>
      <c r="DE94" s="11" t="n">
        <f aca="false">IF(DE$1&lt;Units!$P93,0,IF(AND(Units!$K93=0,DE$1=Units!$O93),Units!$R93,IF(AND(DE$1&gt;=Units!$Q93,MOD(DE$1-Units!$Q93,12)=0),IF(AND(Units!$L93=1,DE$1=Units!$Q93),IF(Units!$J93&lt;&gt;"",Units!$J93,Mkt!DE94),Inputs!$B$15*Mkt!DE94+(1-Inputs!$B$15)*MIN(Mkt!DE94,DD94*(1+Inputs!$B$18))),DD94)))</f>
        <v>1931.82437411612</v>
      </c>
      <c r="DF94" s="11" t="n">
        <f aca="false">IF(DF$1&lt;Units!$P93,0,IF(AND(Units!$K93=0,DF$1=Units!$O93),Units!$R93,IF(AND(DF$1&gt;=Units!$Q93,MOD(DF$1-Units!$Q93,12)=0),IF(AND(Units!$L93=1,DF$1=Units!$Q93),IF(Units!$J93&lt;&gt;"",Units!$J93,Mkt!DF94),Inputs!$B$15*Mkt!DF94+(1-Inputs!$B$15)*MIN(Mkt!DF94,DE94*(1+Inputs!$B$18))),DE94)))</f>
        <v>1931.82437411612</v>
      </c>
      <c r="DG94" s="11" t="n">
        <f aca="false">IF(DG$1&lt;Units!$P93,0,IF(AND(Units!$K93=0,DG$1=Units!$O93),Units!$R93,IF(AND(DG$1&gt;=Units!$Q93,MOD(DG$1-Units!$Q93,12)=0),IF(AND(Units!$L93=1,DG$1=Units!$Q93),IF(Units!$J93&lt;&gt;"",Units!$J93,Mkt!DG94),Inputs!$B$15*Mkt!DG94+(1-Inputs!$B$15)*MIN(Mkt!DG94,DF94*(1+Inputs!$B$18))),DF94)))</f>
        <v>1931.82437411612</v>
      </c>
      <c r="DH94" s="11" t="n">
        <f aca="false">IF(DH$1&lt;Units!$P93,0,IF(AND(Units!$K93=0,DH$1=Units!$O93),Units!$R93,IF(AND(DH$1&gt;=Units!$Q93,MOD(DH$1-Units!$Q93,12)=0),IF(AND(Units!$L93=1,DH$1=Units!$Q93),IF(Units!$J93&lt;&gt;"",Units!$J93,Mkt!DH94),Inputs!$B$15*Mkt!DH94+(1-Inputs!$B$15)*MIN(Mkt!DH94,DG94*(1+Inputs!$B$18))),DG94)))</f>
        <v>1931.82437411612</v>
      </c>
      <c r="DI94" s="11" t="n">
        <f aca="false">IF(DI$1&lt;Units!$P93,0,IF(AND(Units!$K93=0,DI$1=Units!$O93),Units!$R93,IF(AND(DI$1&gt;=Units!$Q93,MOD(DI$1-Units!$Q93,12)=0),IF(AND(Units!$L93=1,DI$1=Units!$Q93),IF(Units!$J93&lt;&gt;"",Units!$J93,Mkt!DI94),Inputs!$B$15*Mkt!DI94+(1-Inputs!$B$15)*MIN(Mkt!DI94,DH94*(1+Inputs!$B$18))),DH94)))</f>
        <v>1931.82437411612</v>
      </c>
      <c r="DJ94" s="11" t="n">
        <f aca="false">IF(DJ$1&lt;Units!$P93,0,IF(AND(Units!$K93=0,DJ$1=Units!$O93),Units!$R93,IF(AND(DJ$1&gt;=Units!$Q93,MOD(DJ$1-Units!$Q93,12)=0),IF(AND(Units!$L93=1,DJ$1=Units!$Q93),IF(Units!$J93&lt;&gt;"",Units!$J93,Mkt!DJ94),Inputs!$B$15*Mkt!DJ94+(1-Inputs!$B$15)*MIN(Mkt!DJ94,DI94*(1+Inputs!$B$18))),DI94)))</f>
        <v>1931.82437411612</v>
      </c>
      <c r="DK94" s="11" t="n">
        <f aca="false">IF(DK$1&lt;Units!$P93,0,IF(AND(Units!$K93=0,DK$1=Units!$O93),Units!$R93,IF(AND(DK$1&gt;=Units!$Q93,MOD(DK$1-Units!$Q93,12)=0),IF(AND(Units!$L93=1,DK$1=Units!$Q93),IF(Units!$J93&lt;&gt;"",Units!$J93,Mkt!DK94),Inputs!$B$15*Mkt!DK94+(1-Inputs!$B$15)*MIN(Mkt!DK94,DJ94*(1+Inputs!$B$18))),DJ94)))</f>
        <v>1931.82437411612</v>
      </c>
      <c r="DL94" s="11" t="n">
        <f aca="false">IF(DL$1&lt;Units!$P93,0,IF(AND(Units!$K93=0,DL$1=Units!$O93),Units!$R93,IF(AND(DL$1&gt;=Units!$Q93,MOD(DL$1-Units!$Q93,12)=0),IF(AND(Units!$L93=1,DL$1=Units!$Q93),IF(Units!$J93&lt;&gt;"",Units!$J93,Mkt!DL94),Inputs!$B$15*Mkt!DL94+(1-Inputs!$B$15)*MIN(Mkt!DL94,DK94*(1+Inputs!$B$18))),DK94)))</f>
        <v>1931.82437411612</v>
      </c>
      <c r="DM94" s="11" t="n">
        <f aca="false">IF(DM$1&lt;Units!$P93,0,IF(AND(Units!$K93=0,DM$1=Units!$O93),Units!$R93,IF(AND(DM$1&gt;=Units!$Q93,MOD(DM$1-Units!$Q93,12)=0),IF(AND(Units!$L93=1,DM$1=Units!$Q93),IF(Units!$J93&lt;&gt;"",Units!$J93,Mkt!DM94),Inputs!$B$15*Mkt!DM94+(1-Inputs!$B$15)*MIN(Mkt!DM94,DL94*(1+Inputs!$B$18))),DL94)))</f>
        <v>1989.7791053396</v>
      </c>
      <c r="DN94" s="11" t="n">
        <f aca="false">IF(DN$1&lt;Units!$P93,0,IF(AND(Units!$K93=0,DN$1=Units!$O93),Units!$R93,IF(AND(DN$1&gt;=Units!$Q93,MOD(DN$1-Units!$Q93,12)=0),IF(AND(Units!$L93=1,DN$1=Units!$Q93),IF(Units!$J93&lt;&gt;"",Units!$J93,Mkt!DN94),Inputs!$B$15*Mkt!DN94+(1-Inputs!$B$15)*MIN(Mkt!DN94,DM94*(1+Inputs!$B$18))),DM94)))</f>
        <v>1989.7791053396</v>
      </c>
      <c r="DO94" s="11" t="n">
        <f aca="false">IF(DO$1&lt;Units!$P93,0,IF(AND(Units!$K93=0,DO$1=Units!$O93),Units!$R93,IF(AND(DO$1&gt;=Units!$Q93,MOD(DO$1-Units!$Q93,12)=0),IF(AND(Units!$L93=1,DO$1=Units!$Q93),IF(Units!$J93&lt;&gt;"",Units!$J93,Mkt!DO94),Inputs!$B$15*Mkt!DO94+(1-Inputs!$B$15)*MIN(Mkt!DO94,DN94*(1+Inputs!$B$18))),DN94)))</f>
        <v>1989.7791053396</v>
      </c>
      <c r="DP94" s="11" t="n">
        <f aca="false">IF(DP$1&lt;Units!$P93,0,IF(AND(Units!$K93=0,DP$1=Units!$O93),Units!$R93,IF(AND(DP$1&gt;=Units!$Q93,MOD(DP$1-Units!$Q93,12)=0),IF(AND(Units!$L93=1,DP$1=Units!$Q93),IF(Units!$J93&lt;&gt;"",Units!$J93,Mkt!DP94),Inputs!$B$15*Mkt!DP94+(1-Inputs!$B$15)*MIN(Mkt!DP94,DO94*(1+Inputs!$B$18))),DO94)))</f>
        <v>1989.7791053396</v>
      </c>
      <c r="DQ94" s="11" t="n">
        <f aca="false">IF(DQ$1&lt;Units!$P93,0,IF(AND(Units!$K93=0,DQ$1=Units!$O93),Units!$R93,IF(AND(DQ$1&gt;=Units!$Q93,MOD(DQ$1-Units!$Q93,12)=0),IF(AND(Units!$L93=1,DQ$1=Units!$Q93),IF(Units!$J93&lt;&gt;"",Units!$J93,Mkt!DQ94),Inputs!$B$15*Mkt!DQ94+(1-Inputs!$B$15)*MIN(Mkt!DQ94,DP94*(1+Inputs!$B$18))),DP94)))</f>
        <v>1989.7791053396</v>
      </c>
      <c r="DR94" s="11" t="n">
        <f aca="false">IF(DR$1&lt;Units!$P93,0,IF(AND(Units!$K93=0,DR$1=Units!$O93),Units!$R93,IF(AND(DR$1&gt;=Units!$Q93,MOD(DR$1-Units!$Q93,12)=0),IF(AND(Units!$L93=1,DR$1=Units!$Q93),IF(Units!$J93&lt;&gt;"",Units!$J93,Mkt!DR94),Inputs!$B$15*Mkt!DR94+(1-Inputs!$B$15)*MIN(Mkt!DR94,DQ94*(1+Inputs!$B$18))),DQ94)))</f>
        <v>1989.7791053396</v>
      </c>
      <c r="DS94" s="11" t="n">
        <f aca="false">IF(DS$1&lt;Units!$P93,0,IF(AND(Units!$K93=0,DS$1=Units!$O93),Units!$R93,IF(AND(DS$1&gt;=Units!$Q93,MOD(DS$1-Units!$Q93,12)=0),IF(AND(Units!$L93=1,DS$1=Units!$Q93),IF(Units!$J93&lt;&gt;"",Units!$J93,Mkt!DS94),Inputs!$B$15*Mkt!DS94+(1-Inputs!$B$15)*MIN(Mkt!DS94,DR94*(1+Inputs!$B$18))),DR94)))</f>
        <v>1989.7791053396</v>
      </c>
      <c r="DT94" s="11" t="n">
        <f aca="false">IF(DT$1&lt;Units!$P93,0,IF(AND(Units!$K93=0,DT$1=Units!$O93),Units!$R93,IF(AND(DT$1&gt;=Units!$Q93,MOD(DT$1-Units!$Q93,12)=0),IF(AND(Units!$L93=1,DT$1=Units!$Q93),IF(Units!$J93&lt;&gt;"",Units!$J93,Mkt!DT94),Inputs!$B$15*Mkt!DT94+(1-Inputs!$B$15)*MIN(Mkt!DT94,DS94*(1+Inputs!$B$18))),DS94)))</f>
        <v>1989.7791053396</v>
      </c>
      <c r="DU94" s="11" t="n">
        <f aca="false">IF(DU$1&lt;Units!$P93,0,IF(AND(Units!$K93=0,DU$1=Units!$O93),Units!$R93,IF(AND(DU$1&gt;=Units!$Q93,MOD(DU$1-Units!$Q93,12)=0),IF(AND(Units!$L93=1,DU$1=Units!$Q93),IF(Units!$J93&lt;&gt;"",Units!$J93,Mkt!DU94),Inputs!$B$15*Mkt!DU94+(1-Inputs!$B$15)*MIN(Mkt!DU94,DT94*(1+Inputs!$B$18))),DT94)))</f>
        <v>1989.7791053396</v>
      </c>
      <c r="DV94" s="11" t="n">
        <f aca="false">IF(DV$1&lt;Units!$P93,0,IF(AND(Units!$K93=0,DV$1=Units!$O93),Units!$R93,IF(AND(DV$1&gt;=Units!$Q93,MOD(DV$1-Units!$Q93,12)=0),IF(AND(Units!$L93=1,DV$1=Units!$Q93),IF(Units!$J93&lt;&gt;"",Units!$J93,Mkt!DV94),Inputs!$B$15*Mkt!DV94+(1-Inputs!$B$15)*MIN(Mkt!DV94,DU94*(1+Inputs!$B$18))),DU94)))</f>
        <v>1989.7791053396</v>
      </c>
      <c r="DW94" s="11" t="n">
        <f aca="false">IF(DW$1&lt;Units!$P93,0,IF(AND(Units!$K93=0,DW$1=Units!$O93),Units!$R93,IF(AND(DW$1&gt;=Units!$Q93,MOD(DW$1-Units!$Q93,12)=0),IF(AND(Units!$L93=1,DW$1=Units!$Q93),IF(Units!$J93&lt;&gt;"",Units!$J93,Mkt!DW94),Inputs!$B$15*Mkt!DW94+(1-Inputs!$B$15)*MIN(Mkt!DW94,DV94*(1+Inputs!$B$18))),DV94)))</f>
        <v>1989.7791053396</v>
      </c>
      <c r="DX94" s="11" t="n">
        <f aca="false">IF(DX$1&lt;Units!$P93,0,IF(AND(Units!$K93=0,DX$1=Units!$O93),Units!$R93,IF(AND(DX$1&gt;=Units!$Q93,MOD(DX$1-Units!$Q93,12)=0),IF(AND(Units!$L93=1,DX$1=Units!$Q93),IF(Units!$J93&lt;&gt;"",Units!$J93,Mkt!DX94),Inputs!$B$15*Mkt!DX94+(1-Inputs!$B$15)*MIN(Mkt!DX94,DW94*(1+Inputs!$B$18))),DW94)))</f>
        <v>1989.7791053396</v>
      </c>
      <c r="DY94" s="11" t="n">
        <f aca="false">IF(DY$1&lt;Units!$P93,0,IF(AND(Units!$K93=0,DY$1=Units!$O93),Units!$R93,IF(AND(DY$1&gt;=Units!$Q93,MOD(DY$1-Units!$Q93,12)=0),IF(AND(Units!$L93=1,DY$1=Units!$Q93),IF(Units!$J93&lt;&gt;"",Units!$J93,Mkt!DY94),Inputs!$B$15*Mkt!DY94+(1-Inputs!$B$15)*MIN(Mkt!DY94,DX94*(1+Inputs!$B$18))),DX94)))</f>
        <v>2049.47247849979</v>
      </c>
      <c r="DZ94" s="11" t="n">
        <f aca="false">IF(DZ$1&lt;Units!$P93,0,IF(AND(Units!$K93=0,DZ$1=Units!$O93),Units!$R93,IF(AND(DZ$1&gt;=Units!$Q93,MOD(DZ$1-Units!$Q93,12)=0),IF(AND(Units!$L93=1,DZ$1=Units!$Q93),IF(Units!$J93&lt;&gt;"",Units!$J93,Mkt!DZ94),Inputs!$B$15*Mkt!DZ94+(1-Inputs!$B$15)*MIN(Mkt!DZ94,DY94*(1+Inputs!$B$18))),DY94)))</f>
        <v>2049.47247849979</v>
      </c>
      <c r="EA94" s="11" t="n">
        <f aca="false">IF(EA$1&lt;Units!$P93,0,IF(AND(Units!$K93=0,EA$1=Units!$O93),Units!$R93,IF(AND(EA$1&gt;=Units!$Q93,MOD(EA$1-Units!$Q93,12)=0),IF(AND(Units!$L93=1,EA$1=Units!$Q93),IF(Units!$J93&lt;&gt;"",Units!$J93,Mkt!EA94),Inputs!$B$15*Mkt!EA94+(1-Inputs!$B$15)*MIN(Mkt!EA94,DZ94*(1+Inputs!$B$18))),DZ94)))</f>
        <v>2049.47247849979</v>
      </c>
      <c r="EB94" s="11" t="n">
        <f aca="false">IF(EB$1&lt;Units!$P93,0,IF(AND(Units!$K93=0,EB$1=Units!$O93),Units!$R93,IF(AND(EB$1&gt;=Units!$Q93,MOD(EB$1-Units!$Q93,12)=0),IF(AND(Units!$L93=1,EB$1=Units!$Q93),IF(Units!$J93&lt;&gt;"",Units!$J93,Mkt!EB94),Inputs!$B$15*Mkt!EB94+(1-Inputs!$B$15)*MIN(Mkt!EB94,EA94*(1+Inputs!$B$18))),EA94)))</f>
        <v>2049.47247849979</v>
      </c>
      <c r="EC94" s="11" t="n">
        <f aca="false">IF(EC$1&lt;Units!$P93,0,IF(AND(Units!$K93=0,EC$1=Units!$O93),Units!$R93,IF(AND(EC$1&gt;=Units!$Q93,MOD(EC$1-Units!$Q93,12)=0),IF(AND(Units!$L93=1,EC$1=Units!$Q93),IF(Units!$J93&lt;&gt;"",Units!$J93,Mkt!EC94),Inputs!$B$15*Mkt!EC94+(1-Inputs!$B$15)*MIN(Mkt!EC94,EB94*(1+Inputs!$B$18))),EB94)))</f>
        <v>2049.47247849979</v>
      </c>
      <c r="ED94" s="11" t="n">
        <f aca="false">IF(ED$1&lt;Units!$P93,0,IF(AND(Units!$K93=0,ED$1=Units!$O93),Units!$R93,IF(AND(ED$1&gt;=Units!$Q93,MOD(ED$1-Units!$Q93,12)=0),IF(AND(Units!$L93=1,ED$1=Units!$Q93),IF(Units!$J93&lt;&gt;"",Units!$J93,Mkt!ED94),Inputs!$B$15*Mkt!ED94+(1-Inputs!$B$15)*MIN(Mkt!ED94,EC94*(1+Inputs!$B$18))),EC94)))</f>
        <v>2049.47247849979</v>
      </c>
    </row>
    <row r="95" customFormat="false" ht="15" hidden="false" customHeight="false" outlineLevel="0" collapsed="false">
      <c r="A95" s="22" t="n">
        <f aca="false">Units!A94</f>
        <v>403</v>
      </c>
      <c r="B95" s="24" t="n">
        <f aca="false">IF(Units!K94=1,Units!F94,0)</f>
        <v>1380</v>
      </c>
      <c r="C95" s="11" t="n">
        <f aca="false">IF(C$1&lt;Units!$P94,0,IF(AND(Units!$K94=0,C$1=Units!$O94),Units!$R94,IF(AND(C$1&gt;=Units!$Q94,MOD(C$1-Units!$Q94,12)=0),IF(AND(Units!$L94=1,C$1=Units!$Q94),IF(Units!$J94&lt;&gt;"",Units!$J94,Mkt!C95),Inputs!$B$15*Mkt!C95+(1-Inputs!$B$15)*MIN(Mkt!C95,B95*(1+Inputs!$B$18))),B95)))</f>
        <v>1380</v>
      </c>
      <c r="D95" s="11" t="n">
        <f aca="false">IF(D$1&lt;Units!$P94,0,IF(AND(Units!$K94=0,D$1=Units!$O94),Units!$R94,IF(AND(D$1&gt;=Units!$Q94,MOD(D$1-Units!$Q94,12)=0),IF(AND(Units!$L94=1,D$1=Units!$Q94),IF(Units!$J94&lt;&gt;"",Units!$J94,Mkt!D95),Inputs!$B$15*Mkt!D95+(1-Inputs!$B$15)*MIN(Mkt!D95,C95*(1+Inputs!$B$18))),C95)))</f>
        <v>1380</v>
      </c>
      <c r="E95" s="11" t="n">
        <f aca="false">IF(E$1&lt;Units!$P94,0,IF(AND(Units!$K94=0,E$1=Units!$O94),Units!$R94,IF(AND(E$1&gt;=Units!$Q94,MOD(E$1-Units!$Q94,12)=0),IF(AND(Units!$L94=1,E$1=Units!$Q94),IF(Units!$J94&lt;&gt;"",Units!$J94,Mkt!E95),Inputs!$B$15*Mkt!E95+(1-Inputs!$B$15)*MIN(Mkt!E95,D95*(1+Inputs!$B$18))),D95)))</f>
        <v>1380</v>
      </c>
      <c r="F95" s="11" t="n">
        <f aca="false">IF(F$1&lt;Units!$P94,0,IF(AND(Units!$K94=0,F$1=Units!$O94),Units!$R94,IF(AND(F$1&gt;=Units!$Q94,MOD(F$1-Units!$Q94,12)=0),IF(AND(Units!$L94=1,F$1=Units!$Q94),IF(Units!$J94&lt;&gt;"",Units!$J94,Mkt!F95),Inputs!$B$15*Mkt!F95+(1-Inputs!$B$15)*MIN(Mkt!F95,E95*(1+Inputs!$B$18))),E95)))</f>
        <v>1380</v>
      </c>
      <c r="G95" s="11" t="n">
        <f aca="false">IF(G$1&lt;Units!$P94,0,IF(AND(Units!$K94=0,G$1=Units!$O94),Units!$R94,IF(AND(G$1&gt;=Units!$Q94,MOD(G$1-Units!$Q94,12)=0),IF(AND(Units!$L94=1,G$1=Units!$Q94),IF(Units!$J94&lt;&gt;"",Units!$J94,Mkt!G95),Inputs!$B$15*Mkt!G95+(1-Inputs!$B$15)*MIN(Mkt!G95,F95*(1+Inputs!$B$18))),F95)))</f>
        <v>1380</v>
      </c>
      <c r="H95" s="11" t="n">
        <f aca="false">IF(H$1&lt;Units!$P94,0,IF(AND(Units!$K94=0,H$1=Units!$O94),Units!$R94,IF(AND(H$1&gt;=Units!$Q94,MOD(H$1-Units!$Q94,12)=0),IF(AND(Units!$L94=1,H$1=Units!$Q94),IF(Units!$J94&lt;&gt;"",Units!$J94,Mkt!H95),Inputs!$B$15*Mkt!H95+(1-Inputs!$B$15)*MIN(Mkt!H95,G95*(1+Inputs!$B$18))),G95)))</f>
        <v>1487</v>
      </c>
      <c r="I95" s="11" t="n">
        <f aca="false">IF(I$1&lt;Units!$P94,0,IF(AND(Units!$K94=0,I$1=Units!$O94),Units!$R94,IF(AND(I$1&gt;=Units!$Q94,MOD(I$1-Units!$Q94,12)=0),IF(AND(Units!$L94=1,I$1=Units!$Q94),IF(Units!$J94&lt;&gt;"",Units!$J94,Mkt!I95),Inputs!$B$15*Mkt!I95+(1-Inputs!$B$15)*MIN(Mkt!I95,H95*(1+Inputs!$B$18))),H95)))</f>
        <v>1487</v>
      </c>
      <c r="J95" s="11" t="n">
        <f aca="false">IF(J$1&lt;Units!$P94,0,IF(AND(Units!$K94=0,J$1=Units!$O94),Units!$R94,IF(AND(J$1&gt;=Units!$Q94,MOD(J$1-Units!$Q94,12)=0),IF(AND(Units!$L94=1,J$1=Units!$Q94),IF(Units!$J94&lt;&gt;"",Units!$J94,Mkt!J95),Inputs!$B$15*Mkt!J95+(1-Inputs!$B$15)*MIN(Mkt!J95,I95*(1+Inputs!$B$18))),I95)))</f>
        <v>1487</v>
      </c>
      <c r="K95" s="11" t="n">
        <f aca="false">IF(K$1&lt;Units!$P94,0,IF(AND(Units!$K94=0,K$1=Units!$O94),Units!$R94,IF(AND(K$1&gt;=Units!$Q94,MOD(K$1-Units!$Q94,12)=0),IF(AND(Units!$L94=1,K$1=Units!$Q94),IF(Units!$J94&lt;&gt;"",Units!$J94,Mkt!K95),Inputs!$B$15*Mkt!K95+(1-Inputs!$B$15)*MIN(Mkt!K95,J95*(1+Inputs!$B$18))),J95)))</f>
        <v>1487</v>
      </c>
      <c r="L95" s="11" t="n">
        <f aca="false">IF(L$1&lt;Units!$P94,0,IF(AND(Units!$K94=0,L$1=Units!$O94),Units!$R94,IF(AND(L$1&gt;=Units!$Q94,MOD(L$1-Units!$Q94,12)=0),IF(AND(Units!$L94=1,L$1=Units!$Q94),IF(Units!$J94&lt;&gt;"",Units!$J94,Mkt!L95),Inputs!$B$15*Mkt!L95+(1-Inputs!$B$15)*MIN(Mkt!L95,K95*(1+Inputs!$B$18))),K95)))</f>
        <v>1487</v>
      </c>
      <c r="M95" s="11" t="n">
        <f aca="false">IF(M$1&lt;Units!$P94,0,IF(AND(Units!$K94=0,M$1=Units!$O94),Units!$R94,IF(AND(M$1&gt;=Units!$Q94,MOD(M$1-Units!$Q94,12)=0),IF(AND(Units!$L94=1,M$1=Units!$Q94),IF(Units!$J94&lt;&gt;"",Units!$J94,Mkt!M95),Inputs!$B$15*Mkt!M95+(1-Inputs!$B$15)*MIN(Mkt!M95,L95*(1+Inputs!$B$18))),L95)))</f>
        <v>1487</v>
      </c>
      <c r="N95" s="11" t="n">
        <f aca="false">IF(N$1&lt;Units!$P94,0,IF(AND(Units!$K94=0,N$1=Units!$O94),Units!$R94,IF(AND(N$1&gt;=Units!$Q94,MOD(N$1-Units!$Q94,12)=0),IF(AND(Units!$L94=1,N$1=Units!$Q94),IF(Units!$J94&lt;&gt;"",Units!$J94,Mkt!N95),Inputs!$B$15*Mkt!N95+(1-Inputs!$B$15)*MIN(Mkt!N95,M95*(1+Inputs!$B$18))),M95)))</f>
        <v>1487</v>
      </c>
      <c r="O95" s="11" t="n">
        <f aca="false">IF(O$1&lt;Units!$P94,0,IF(AND(Units!$K94=0,O$1=Units!$O94),Units!$R94,IF(AND(O$1&gt;=Units!$Q94,MOD(O$1-Units!$Q94,12)=0),IF(AND(Units!$L94=1,O$1=Units!$Q94),IF(Units!$J94&lt;&gt;"",Units!$J94,Mkt!O95),Inputs!$B$15*Mkt!O95+(1-Inputs!$B$15)*MIN(Mkt!O95,N95*(1+Inputs!$B$18))),N95)))</f>
        <v>1487</v>
      </c>
      <c r="P95" s="11" t="n">
        <f aca="false">IF(P$1&lt;Units!$P94,0,IF(AND(Units!$K94=0,P$1=Units!$O94),Units!$R94,IF(AND(P$1&gt;=Units!$Q94,MOD(P$1-Units!$Q94,12)=0),IF(AND(Units!$L94=1,P$1=Units!$Q94),IF(Units!$J94&lt;&gt;"",Units!$J94,Mkt!P95),Inputs!$B$15*Mkt!P95+(1-Inputs!$B$15)*MIN(Mkt!P95,O95*(1+Inputs!$B$18))),O95)))</f>
        <v>1487</v>
      </c>
      <c r="Q95" s="11" t="n">
        <f aca="false">IF(Q$1&lt;Units!$P94,0,IF(AND(Units!$K94=0,Q$1=Units!$O94),Units!$R94,IF(AND(Q$1&gt;=Units!$Q94,MOD(Q$1-Units!$Q94,12)=0),IF(AND(Units!$L94=1,Q$1=Units!$Q94),IF(Units!$J94&lt;&gt;"",Units!$J94,Mkt!Q95),Inputs!$B$15*Mkt!Q95+(1-Inputs!$B$15)*MIN(Mkt!Q95,P95*(1+Inputs!$B$18))),P95)))</f>
        <v>1487</v>
      </c>
      <c r="R95" s="11" t="n">
        <f aca="false">IF(R$1&lt;Units!$P94,0,IF(AND(Units!$K94=0,R$1=Units!$O94),Units!$R94,IF(AND(R$1&gt;=Units!$Q94,MOD(R$1-Units!$Q94,12)=0),IF(AND(Units!$L94=1,R$1=Units!$Q94),IF(Units!$J94&lt;&gt;"",Units!$J94,Mkt!R95),Inputs!$B$15*Mkt!R95+(1-Inputs!$B$15)*MIN(Mkt!R95,Q95*(1+Inputs!$B$18))),Q95)))</f>
        <v>1487</v>
      </c>
      <c r="S95" s="11" t="n">
        <f aca="false">IF(S$1&lt;Units!$P94,0,IF(AND(Units!$K94=0,S$1=Units!$O94),Units!$R94,IF(AND(S$1&gt;=Units!$Q94,MOD(S$1-Units!$Q94,12)=0),IF(AND(Units!$L94=1,S$1=Units!$Q94),IF(Units!$J94&lt;&gt;"",Units!$J94,Mkt!S95),Inputs!$B$15*Mkt!S95+(1-Inputs!$B$15)*MIN(Mkt!S95,R95*(1+Inputs!$B$18))),R95)))</f>
        <v>1487</v>
      </c>
      <c r="T95" s="11" t="n">
        <f aca="false">IF(T$1&lt;Units!$P94,0,IF(AND(Units!$K94=0,T$1=Units!$O94),Units!$R94,IF(AND(T$1&gt;=Units!$Q94,MOD(T$1-Units!$Q94,12)=0),IF(AND(Units!$L94=1,T$1=Units!$Q94),IF(Units!$J94&lt;&gt;"",Units!$J94,Mkt!T95),Inputs!$B$15*Mkt!T95+(1-Inputs!$B$15)*MIN(Mkt!T95,S95*(1+Inputs!$B$18))),S95)))</f>
        <v>1566.05</v>
      </c>
      <c r="U95" s="11" t="n">
        <f aca="false">IF(U$1&lt;Units!$P94,0,IF(AND(Units!$K94=0,U$1=Units!$O94),Units!$R94,IF(AND(U$1&gt;=Units!$Q94,MOD(U$1-Units!$Q94,12)=0),IF(AND(Units!$L94=1,U$1=Units!$Q94),IF(Units!$J94&lt;&gt;"",Units!$J94,Mkt!U95),Inputs!$B$15*Mkt!U95+(1-Inputs!$B$15)*MIN(Mkt!U95,T95*(1+Inputs!$B$18))),T95)))</f>
        <v>1566.05</v>
      </c>
      <c r="V95" s="11" t="n">
        <f aca="false">IF(V$1&lt;Units!$P94,0,IF(AND(Units!$K94=0,V$1=Units!$O94),Units!$R94,IF(AND(V$1&gt;=Units!$Q94,MOD(V$1-Units!$Q94,12)=0),IF(AND(Units!$L94=1,V$1=Units!$Q94),IF(Units!$J94&lt;&gt;"",Units!$J94,Mkt!V95),Inputs!$B$15*Mkt!V95+(1-Inputs!$B$15)*MIN(Mkt!V95,U95*(1+Inputs!$B$18))),U95)))</f>
        <v>1566.05</v>
      </c>
      <c r="W95" s="11" t="n">
        <f aca="false">IF(W$1&lt;Units!$P94,0,IF(AND(Units!$K94=0,W$1=Units!$O94),Units!$R94,IF(AND(W$1&gt;=Units!$Q94,MOD(W$1-Units!$Q94,12)=0),IF(AND(Units!$L94=1,W$1=Units!$Q94),IF(Units!$J94&lt;&gt;"",Units!$J94,Mkt!W95),Inputs!$B$15*Mkt!W95+(1-Inputs!$B$15)*MIN(Mkt!W95,V95*(1+Inputs!$B$18))),V95)))</f>
        <v>1566.05</v>
      </c>
      <c r="X95" s="11" t="n">
        <f aca="false">IF(X$1&lt;Units!$P94,0,IF(AND(Units!$K94=0,X$1=Units!$O94),Units!$R94,IF(AND(X$1&gt;=Units!$Q94,MOD(X$1-Units!$Q94,12)=0),IF(AND(Units!$L94=1,X$1=Units!$Q94),IF(Units!$J94&lt;&gt;"",Units!$J94,Mkt!X95),Inputs!$B$15*Mkt!X95+(1-Inputs!$B$15)*MIN(Mkt!X95,W95*(1+Inputs!$B$18))),W95)))</f>
        <v>1566.05</v>
      </c>
      <c r="Y95" s="11" t="n">
        <f aca="false">IF(Y$1&lt;Units!$P94,0,IF(AND(Units!$K94=0,Y$1=Units!$O94),Units!$R94,IF(AND(Y$1&gt;=Units!$Q94,MOD(Y$1-Units!$Q94,12)=0),IF(AND(Units!$L94=1,Y$1=Units!$Q94),IF(Units!$J94&lt;&gt;"",Units!$J94,Mkt!Y95),Inputs!$B$15*Mkt!Y95+(1-Inputs!$B$15)*MIN(Mkt!Y95,X95*(1+Inputs!$B$18))),X95)))</f>
        <v>1566.05</v>
      </c>
      <c r="Z95" s="11" t="n">
        <f aca="false">IF(Z$1&lt;Units!$P94,0,IF(AND(Units!$K94=0,Z$1=Units!$O94),Units!$R94,IF(AND(Z$1&gt;=Units!$Q94,MOD(Z$1-Units!$Q94,12)=0),IF(AND(Units!$L94=1,Z$1=Units!$Q94),IF(Units!$J94&lt;&gt;"",Units!$J94,Mkt!Z95),Inputs!$B$15*Mkt!Z95+(1-Inputs!$B$15)*MIN(Mkt!Z95,Y95*(1+Inputs!$B$18))),Y95)))</f>
        <v>1566.05</v>
      </c>
      <c r="AA95" s="11" t="n">
        <f aca="false">IF(AA$1&lt;Units!$P94,0,IF(AND(Units!$K94=0,AA$1=Units!$O94),Units!$R94,IF(AND(AA$1&gt;=Units!$Q94,MOD(AA$1-Units!$Q94,12)=0),IF(AND(Units!$L94=1,AA$1=Units!$Q94),IF(Units!$J94&lt;&gt;"",Units!$J94,Mkt!AA95),Inputs!$B$15*Mkt!AA95+(1-Inputs!$B$15)*MIN(Mkt!AA95,Z95*(1+Inputs!$B$18))),Z95)))</f>
        <v>1566.05</v>
      </c>
      <c r="AB95" s="11" t="n">
        <f aca="false">IF(AB$1&lt;Units!$P94,0,IF(AND(Units!$K94=0,AB$1=Units!$O94),Units!$R94,IF(AND(AB$1&gt;=Units!$Q94,MOD(AB$1-Units!$Q94,12)=0),IF(AND(Units!$L94=1,AB$1=Units!$Q94),IF(Units!$J94&lt;&gt;"",Units!$J94,Mkt!AB95),Inputs!$B$15*Mkt!AB95+(1-Inputs!$B$15)*MIN(Mkt!AB95,AA95*(1+Inputs!$B$18))),AA95)))</f>
        <v>1566.05</v>
      </c>
      <c r="AC95" s="11" t="n">
        <f aca="false">IF(AC$1&lt;Units!$P94,0,IF(AND(Units!$K94=0,AC$1=Units!$O94),Units!$R94,IF(AND(AC$1&gt;=Units!$Q94,MOD(AC$1-Units!$Q94,12)=0),IF(AND(Units!$L94=1,AC$1=Units!$Q94),IF(Units!$J94&lt;&gt;"",Units!$J94,Mkt!AC95),Inputs!$B$15*Mkt!AC95+(1-Inputs!$B$15)*MIN(Mkt!AC95,AB95*(1+Inputs!$B$18))),AB95)))</f>
        <v>1566.05</v>
      </c>
      <c r="AD95" s="11" t="n">
        <f aca="false">IF(AD$1&lt;Units!$P94,0,IF(AND(Units!$K94=0,AD$1=Units!$O94),Units!$R94,IF(AND(AD$1&gt;=Units!$Q94,MOD(AD$1-Units!$Q94,12)=0),IF(AND(Units!$L94=1,AD$1=Units!$Q94),IF(Units!$J94&lt;&gt;"",Units!$J94,Mkt!AD95),Inputs!$B$15*Mkt!AD95+(1-Inputs!$B$15)*MIN(Mkt!AD95,AC95*(1+Inputs!$B$18))),AC95)))</f>
        <v>1566.05</v>
      </c>
      <c r="AE95" s="11" t="n">
        <f aca="false">IF(AE$1&lt;Units!$P94,0,IF(AND(Units!$K94=0,AE$1=Units!$O94),Units!$R94,IF(AND(AE$1&gt;=Units!$Q94,MOD(AE$1-Units!$Q94,12)=0),IF(AND(Units!$L94=1,AE$1=Units!$Q94),IF(Units!$J94&lt;&gt;"",Units!$J94,Mkt!AE95),Inputs!$B$15*Mkt!AE95+(1-Inputs!$B$15)*MIN(Mkt!AE95,AD95*(1+Inputs!$B$18))),AD95)))</f>
        <v>1566.05</v>
      </c>
      <c r="AF95" s="11" t="n">
        <f aca="false">IF(AF$1&lt;Units!$P94,0,IF(AND(Units!$K94=0,AF$1=Units!$O94),Units!$R94,IF(AND(AF$1&gt;=Units!$Q94,MOD(AF$1-Units!$Q94,12)=0),IF(AND(Units!$L94=1,AF$1=Units!$Q94),IF(Units!$J94&lt;&gt;"",Units!$J94,Mkt!AF95),Inputs!$B$15*Mkt!AF95+(1-Inputs!$B$15)*MIN(Mkt!AF95,AE95*(1+Inputs!$B$18))),AE95)))</f>
        <v>1617.8725</v>
      </c>
      <c r="AG95" s="11" t="n">
        <f aca="false">IF(AG$1&lt;Units!$P94,0,IF(AND(Units!$K94=0,AG$1=Units!$O94),Units!$R94,IF(AND(AG$1&gt;=Units!$Q94,MOD(AG$1-Units!$Q94,12)=0),IF(AND(Units!$L94=1,AG$1=Units!$Q94),IF(Units!$J94&lt;&gt;"",Units!$J94,Mkt!AG95),Inputs!$B$15*Mkt!AG95+(1-Inputs!$B$15)*MIN(Mkt!AG95,AF95*(1+Inputs!$B$18))),AF95)))</f>
        <v>1617.8725</v>
      </c>
      <c r="AH95" s="11" t="n">
        <f aca="false">IF(AH$1&lt;Units!$P94,0,IF(AND(Units!$K94=0,AH$1=Units!$O94),Units!$R94,IF(AND(AH$1&gt;=Units!$Q94,MOD(AH$1-Units!$Q94,12)=0),IF(AND(Units!$L94=1,AH$1=Units!$Q94),IF(Units!$J94&lt;&gt;"",Units!$J94,Mkt!AH95),Inputs!$B$15*Mkt!AH95+(1-Inputs!$B$15)*MIN(Mkt!AH95,AG95*(1+Inputs!$B$18))),AG95)))</f>
        <v>1617.8725</v>
      </c>
      <c r="AI95" s="11" t="n">
        <f aca="false">IF(AI$1&lt;Units!$P94,0,IF(AND(Units!$K94=0,AI$1=Units!$O94),Units!$R94,IF(AND(AI$1&gt;=Units!$Q94,MOD(AI$1-Units!$Q94,12)=0),IF(AND(Units!$L94=1,AI$1=Units!$Q94),IF(Units!$J94&lt;&gt;"",Units!$J94,Mkt!AI95),Inputs!$B$15*Mkt!AI95+(1-Inputs!$B$15)*MIN(Mkt!AI95,AH95*(1+Inputs!$B$18))),AH95)))</f>
        <v>1617.8725</v>
      </c>
      <c r="AJ95" s="11" t="n">
        <f aca="false">IF(AJ$1&lt;Units!$P94,0,IF(AND(Units!$K94=0,AJ$1=Units!$O94),Units!$R94,IF(AND(AJ$1&gt;=Units!$Q94,MOD(AJ$1-Units!$Q94,12)=0),IF(AND(Units!$L94=1,AJ$1=Units!$Q94),IF(Units!$J94&lt;&gt;"",Units!$J94,Mkt!AJ95),Inputs!$B$15*Mkt!AJ95+(1-Inputs!$B$15)*MIN(Mkt!AJ95,AI95*(1+Inputs!$B$18))),AI95)))</f>
        <v>1617.8725</v>
      </c>
      <c r="AK95" s="11" t="n">
        <f aca="false">IF(AK$1&lt;Units!$P94,0,IF(AND(Units!$K94=0,AK$1=Units!$O94),Units!$R94,IF(AND(AK$1&gt;=Units!$Q94,MOD(AK$1-Units!$Q94,12)=0),IF(AND(Units!$L94=1,AK$1=Units!$Q94),IF(Units!$J94&lt;&gt;"",Units!$J94,Mkt!AK95),Inputs!$B$15*Mkt!AK95+(1-Inputs!$B$15)*MIN(Mkt!AK95,AJ95*(1+Inputs!$B$18))),AJ95)))</f>
        <v>1617.8725</v>
      </c>
      <c r="AL95" s="11" t="n">
        <f aca="false">IF(AL$1&lt;Units!$P94,0,IF(AND(Units!$K94=0,AL$1=Units!$O94),Units!$R94,IF(AND(AL$1&gt;=Units!$Q94,MOD(AL$1-Units!$Q94,12)=0),IF(AND(Units!$L94=1,AL$1=Units!$Q94),IF(Units!$J94&lt;&gt;"",Units!$J94,Mkt!AL95),Inputs!$B$15*Mkt!AL95+(1-Inputs!$B$15)*MIN(Mkt!AL95,AK95*(1+Inputs!$B$18))),AK95)))</f>
        <v>1617.8725</v>
      </c>
      <c r="AM95" s="11" t="n">
        <f aca="false">IF(AM$1&lt;Units!$P94,0,IF(AND(Units!$K94=0,AM$1=Units!$O94),Units!$R94,IF(AND(AM$1&gt;=Units!$Q94,MOD(AM$1-Units!$Q94,12)=0),IF(AND(Units!$L94=1,AM$1=Units!$Q94),IF(Units!$J94&lt;&gt;"",Units!$J94,Mkt!AM95),Inputs!$B$15*Mkt!AM95+(1-Inputs!$B$15)*MIN(Mkt!AM95,AL95*(1+Inputs!$B$18))),AL95)))</f>
        <v>1617.8725</v>
      </c>
      <c r="AN95" s="11" t="n">
        <f aca="false">IF(AN$1&lt;Units!$P94,0,IF(AND(Units!$K94=0,AN$1=Units!$O94),Units!$R94,IF(AND(AN$1&gt;=Units!$Q94,MOD(AN$1-Units!$Q94,12)=0),IF(AND(Units!$L94=1,AN$1=Units!$Q94),IF(Units!$J94&lt;&gt;"",Units!$J94,Mkt!AN95),Inputs!$B$15*Mkt!AN95+(1-Inputs!$B$15)*MIN(Mkt!AN95,AM95*(1+Inputs!$B$18))),AM95)))</f>
        <v>1617.8725</v>
      </c>
      <c r="AO95" s="11" t="n">
        <f aca="false">IF(AO$1&lt;Units!$P94,0,IF(AND(Units!$K94=0,AO$1=Units!$O94),Units!$R94,IF(AND(AO$1&gt;=Units!$Q94,MOD(AO$1-Units!$Q94,12)=0),IF(AND(Units!$L94=1,AO$1=Units!$Q94),IF(Units!$J94&lt;&gt;"",Units!$J94,Mkt!AO95),Inputs!$B$15*Mkt!AO95+(1-Inputs!$B$15)*MIN(Mkt!AO95,AN95*(1+Inputs!$B$18))),AN95)))</f>
        <v>1617.8725</v>
      </c>
      <c r="AP95" s="11" t="n">
        <f aca="false">IF(AP$1&lt;Units!$P94,0,IF(AND(Units!$K94=0,AP$1=Units!$O94),Units!$R94,IF(AND(AP$1&gt;=Units!$Q94,MOD(AP$1-Units!$Q94,12)=0),IF(AND(Units!$L94=1,AP$1=Units!$Q94),IF(Units!$J94&lt;&gt;"",Units!$J94,Mkt!AP95),Inputs!$B$15*Mkt!AP95+(1-Inputs!$B$15)*MIN(Mkt!AP95,AO95*(1+Inputs!$B$18))),AO95)))</f>
        <v>1617.8725</v>
      </c>
      <c r="AQ95" s="11" t="n">
        <f aca="false">IF(AQ$1&lt;Units!$P94,0,IF(AND(Units!$K94=0,AQ$1=Units!$O94),Units!$R94,IF(AND(AQ$1&gt;=Units!$Q94,MOD(AQ$1-Units!$Q94,12)=0),IF(AND(Units!$L94=1,AQ$1=Units!$Q94),IF(Units!$J94&lt;&gt;"",Units!$J94,Mkt!AQ95),Inputs!$B$15*Mkt!AQ95+(1-Inputs!$B$15)*MIN(Mkt!AQ95,AP95*(1+Inputs!$B$18))),AP95)))</f>
        <v>1617.8725</v>
      </c>
      <c r="AR95" s="11" t="n">
        <f aca="false">IF(AR$1&lt;Units!$P94,0,IF(AND(Units!$K94=0,AR$1=Units!$O94),Units!$R94,IF(AND(AR$1&gt;=Units!$Q94,MOD(AR$1-Units!$Q94,12)=0),IF(AND(Units!$L94=1,AR$1=Units!$Q94),IF(Units!$J94&lt;&gt;"",Units!$J94,Mkt!AR95),Inputs!$B$15*Mkt!AR95+(1-Inputs!$B$15)*MIN(Mkt!AR95,AQ95*(1+Inputs!$B$18))),AQ95)))</f>
        <v>1666.408675</v>
      </c>
      <c r="AS95" s="11" t="n">
        <f aca="false">IF(AS$1&lt;Units!$P94,0,IF(AND(Units!$K94=0,AS$1=Units!$O94),Units!$R94,IF(AND(AS$1&gt;=Units!$Q94,MOD(AS$1-Units!$Q94,12)=0),IF(AND(Units!$L94=1,AS$1=Units!$Q94),IF(Units!$J94&lt;&gt;"",Units!$J94,Mkt!AS95),Inputs!$B$15*Mkt!AS95+(1-Inputs!$B$15)*MIN(Mkt!AS95,AR95*(1+Inputs!$B$18))),AR95)))</f>
        <v>1666.408675</v>
      </c>
      <c r="AT95" s="11" t="n">
        <f aca="false">IF(AT$1&lt;Units!$P94,0,IF(AND(Units!$K94=0,AT$1=Units!$O94),Units!$R94,IF(AND(AT$1&gt;=Units!$Q94,MOD(AT$1-Units!$Q94,12)=0),IF(AND(Units!$L94=1,AT$1=Units!$Q94),IF(Units!$J94&lt;&gt;"",Units!$J94,Mkt!AT95),Inputs!$B$15*Mkt!AT95+(1-Inputs!$B$15)*MIN(Mkt!AT95,AS95*(1+Inputs!$B$18))),AS95)))</f>
        <v>1666.408675</v>
      </c>
      <c r="AU95" s="11" t="n">
        <f aca="false">IF(AU$1&lt;Units!$P94,0,IF(AND(Units!$K94=0,AU$1=Units!$O94),Units!$R94,IF(AND(AU$1&gt;=Units!$Q94,MOD(AU$1-Units!$Q94,12)=0),IF(AND(Units!$L94=1,AU$1=Units!$Q94),IF(Units!$J94&lt;&gt;"",Units!$J94,Mkt!AU95),Inputs!$B$15*Mkt!AU95+(1-Inputs!$B$15)*MIN(Mkt!AU95,AT95*(1+Inputs!$B$18))),AT95)))</f>
        <v>1666.408675</v>
      </c>
      <c r="AV95" s="11" t="n">
        <f aca="false">IF(AV$1&lt;Units!$P94,0,IF(AND(Units!$K94=0,AV$1=Units!$O94),Units!$R94,IF(AND(AV$1&gt;=Units!$Q94,MOD(AV$1-Units!$Q94,12)=0),IF(AND(Units!$L94=1,AV$1=Units!$Q94),IF(Units!$J94&lt;&gt;"",Units!$J94,Mkt!AV95),Inputs!$B$15*Mkt!AV95+(1-Inputs!$B$15)*MIN(Mkt!AV95,AU95*(1+Inputs!$B$18))),AU95)))</f>
        <v>1666.408675</v>
      </c>
      <c r="AW95" s="11" t="n">
        <f aca="false">IF(AW$1&lt;Units!$P94,0,IF(AND(Units!$K94=0,AW$1=Units!$O94),Units!$R94,IF(AND(AW$1&gt;=Units!$Q94,MOD(AW$1-Units!$Q94,12)=0),IF(AND(Units!$L94=1,AW$1=Units!$Q94),IF(Units!$J94&lt;&gt;"",Units!$J94,Mkt!AW95),Inputs!$B$15*Mkt!AW95+(1-Inputs!$B$15)*MIN(Mkt!AW95,AV95*(1+Inputs!$B$18))),AV95)))</f>
        <v>1666.408675</v>
      </c>
      <c r="AX95" s="11" t="n">
        <f aca="false">IF(AX$1&lt;Units!$P94,0,IF(AND(Units!$K94=0,AX$1=Units!$O94),Units!$R94,IF(AND(AX$1&gt;=Units!$Q94,MOD(AX$1-Units!$Q94,12)=0),IF(AND(Units!$L94=1,AX$1=Units!$Q94),IF(Units!$J94&lt;&gt;"",Units!$J94,Mkt!AX95),Inputs!$B$15*Mkt!AX95+(1-Inputs!$B$15)*MIN(Mkt!AX95,AW95*(1+Inputs!$B$18))),AW95)))</f>
        <v>1666.408675</v>
      </c>
      <c r="AY95" s="11" t="n">
        <f aca="false">IF(AY$1&lt;Units!$P94,0,IF(AND(Units!$K94=0,AY$1=Units!$O94),Units!$R94,IF(AND(AY$1&gt;=Units!$Q94,MOD(AY$1-Units!$Q94,12)=0),IF(AND(Units!$L94=1,AY$1=Units!$Q94),IF(Units!$J94&lt;&gt;"",Units!$J94,Mkt!AY95),Inputs!$B$15*Mkt!AY95+(1-Inputs!$B$15)*MIN(Mkt!AY95,AX95*(1+Inputs!$B$18))),AX95)))</f>
        <v>1666.408675</v>
      </c>
      <c r="AZ95" s="11" t="n">
        <f aca="false">IF(AZ$1&lt;Units!$P94,0,IF(AND(Units!$K94=0,AZ$1=Units!$O94),Units!$R94,IF(AND(AZ$1&gt;=Units!$Q94,MOD(AZ$1-Units!$Q94,12)=0),IF(AND(Units!$L94=1,AZ$1=Units!$Q94),IF(Units!$J94&lt;&gt;"",Units!$J94,Mkt!AZ95),Inputs!$B$15*Mkt!AZ95+(1-Inputs!$B$15)*MIN(Mkt!AZ95,AY95*(1+Inputs!$B$18))),AY95)))</f>
        <v>1666.408675</v>
      </c>
      <c r="BA95" s="11" t="n">
        <f aca="false">IF(BA$1&lt;Units!$P94,0,IF(AND(Units!$K94=0,BA$1=Units!$O94),Units!$R94,IF(AND(BA$1&gt;=Units!$Q94,MOD(BA$1-Units!$Q94,12)=0),IF(AND(Units!$L94=1,BA$1=Units!$Q94),IF(Units!$J94&lt;&gt;"",Units!$J94,Mkt!BA95),Inputs!$B$15*Mkt!BA95+(1-Inputs!$B$15)*MIN(Mkt!BA95,AZ95*(1+Inputs!$B$18))),AZ95)))</f>
        <v>1666.408675</v>
      </c>
      <c r="BB95" s="11" t="n">
        <f aca="false">IF(BB$1&lt;Units!$P94,0,IF(AND(Units!$K94=0,BB$1=Units!$O94),Units!$R94,IF(AND(BB$1&gt;=Units!$Q94,MOD(BB$1-Units!$Q94,12)=0),IF(AND(Units!$L94=1,BB$1=Units!$Q94),IF(Units!$J94&lt;&gt;"",Units!$J94,Mkt!BB95),Inputs!$B$15*Mkt!BB95+(1-Inputs!$B$15)*MIN(Mkt!BB95,BA95*(1+Inputs!$B$18))),BA95)))</f>
        <v>1666.408675</v>
      </c>
      <c r="BC95" s="11" t="n">
        <f aca="false">IF(BC$1&lt;Units!$P94,0,IF(AND(Units!$K94=0,BC$1=Units!$O94),Units!$R94,IF(AND(BC$1&gt;=Units!$Q94,MOD(BC$1-Units!$Q94,12)=0),IF(AND(Units!$L94=1,BC$1=Units!$Q94),IF(Units!$J94&lt;&gt;"",Units!$J94,Mkt!BC95),Inputs!$B$15*Mkt!BC95+(1-Inputs!$B$15)*MIN(Mkt!BC95,BB95*(1+Inputs!$B$18))),BB95)))</f>
        <v>1666.408675</v>
      </c>
      <c r="BD95" s="11" t="n">
        <f aca="false">IF(BD$1&lt;Units!$P94,0,IF(AND(Units!$K94=0,BD$1=Units!$O94),Units!$R94,IF(AND(BD$1&gt;=Units!$Q94,MOD(BD$1-Units!$Q94,12)=0),IF(AND(Units!$L94=1,BD$1=Units!$Q94),IF(Units!$J94&lt;&gt;"",Units!$J94,Mkt!BD95),Inputs!$B$15*Mkt!BD95+(1-Inputs!$B$15)*MIN(Mkt!BD95,BC95*(1+Inputs!$B$18))),BC95)))</f>
        <v>1716.40093525</v>
      </c>
      <c r="BE95" s="11" t="n">
        <f aca="false">IF(BE$1&lt;Units!$P94,0,IF(AND(Units!$K94=0,BE$1=Units!$O94),Units!$R94,IF(AND(BE$1&gt;=Units!$Q94,MOD(BE$1-Units!$Q94,12)=0),IF(AND(Units!$L94=1,BE$1=Units!$Q94),IF(Units!$J94&lt;&gt;"",Units!$J94,Mkt!BE95),Inputs!$B$15*Mkt!BE95+(1-Inputs!$B$15)*MIN(Mkt!BE95,BD95*(1+Inputs!$B$18))),BD95)))</f>
        <v>1716.40093525</v>
      </c>
      <c r="BF95" s="11" t="n">
        <f aca="false">IF(BF$1&lt;Units!$P94,0,IF(AND(Units!$K94=0,BF$1=Units!$O94),Units!$R94,IF(AND(BF$1&gt;=Units!$Q94,MOD(BF$1-Units!$Q94,12)=0),IF(AND(Units!$L94=1,BF$1=Units!$Q94),IF(Units!$J94&lt;&gt;"",Units!$J94,Mkt!BF95),Inputs!$B$15*Mkt!BF95+(1-Inputs!$B$15)*MIN(Mkt!BF95,BE95*(1+Inputs!$B$18))),BE95)))</f>
        <v>1716.40093525</v>
      </c>
      <c r="BG95" s="11" t="n">
        <f aca="false">IF(BG$1&lt;Units!$P94,0,IF(AND(Units!$K94=0,BG$1=Units!$O94),Units!$R94,IF(AND(BG$1&gt;=Units!$Q94,MOD(BG$1-Units!$Q94,12)=0),IF(AND(Units!$L94=1,BG$1=Units!$Q94),IF(Units!$J94&lt;&gt;"",Units!$J94,Mkt!BG95),Inputs!$B$15*Mkt!BG95+(1-Inputs!$B$15)*MIN(Mkt!BG95,BF95*(1+Inputs!$B$18))),BF95)))</f>
        <v>1716.40093525</v>
      </c>
      <c r="BH95" s="11" t="n">
        <f aca="false">IF(BH$1&lt;Units!$P94,0,IF(AND(Units!$K94=0,BH$1=Units!$O94),Units!$R94,IF(AND(BH$1&gt;=Units!$Q94,MOD(BH$1-Units!$Q94,12)=0),IF(AND(Units!$L94=1,BH$1=Units!$Q94),IF(Units!$J94&lt;&gt;"",Units!$J94,Mkt!BH95),Inputs!$B$15*Mkt!BH95+(1-Inputs!$B$15)*MIN(Mkt!BH95,BG95*(1+Inputs!$B$18))),BG95)))</f>
        <v>1716.40093525</v>
      </c>
      <c r="BI95" s="11" t="n">
        <f aca="false">IF(BI$1&lt;Units!$P94,0,IF(AND(Units!$K94=0,BI$1=Units!$O94),Units!$R94,IF(AND(BI$1&gt;=Units!$Q94,MOD(BI$1-Units!$Q94,12)=0),IF(AND(Units!$L94=1,BI$1=Units!$Q94),IF(Units!$J94&lt;&gt;"",Units!$J94,Mkt!BI95),Inputs!$B$15*Mkt!BI95+(1-Inputs!$B$15)*MIN(Mkt!BI95,BH95*(1+Inputs!$B$18))),BH95)))</f>
        <v>1716.40093525</v>
      </c>
      <c r="BJ95" s="11" t="n">
        <f aca="false">IF(BJ$1&lt;Units!$P94,0,IF(AND(Units!$K94=0,BJ$1=Units!$O94),Units!$R94,IF(AND(BJ$1&gt;=Units!$Q94,MOD(BJ$1-Units!$Q94,12)=0),IF(AND(Units!$L94=1,BJ$1=Units!$Q94),IF(Units!$J94&lt;&gt;"",Units!$J94,Mkt!BJ95),Inputs!$B$15*Mkt!BJ95+(1-Inputs!$B$15)*MIN(Mkt!BJ95,BI95*(1+Inputs!$B$18))),BI95)))</f>
        <v>1716.40093525</v>
      </c>
      <c r="BK95" s="11" t="n">
        <f aca="false">IF(BK$1&lt;Units!$P94,0,IF(AND(Units!$K94=0,BK$1=Units!$O94),Units!$R94,IF(AND(BK$1&gt;=Units!$Q94,MOD(BK$1-Units!$Q94,12)=0),IF(AND(Units!$L94=1,BK$1=Units!$Q94),IF(Units!$J94&lt;&gt;"",Units!$J94,Mkt!BK95),Inputs!$B$15*Mkt!BK95+(1-Inputs!$B$15)*MIN(Mkt!BK95,BJ95*(1+Inputs!$B$18))),BJ95)))</f>
        <v>1716.40093525</v>
      </c>
      <c r="BL95" s="11" t="n">
        <f aca="false">IF(BL$1&lt;Units!$P94,0,IF(AND(Units!$K94=0,BL$1=Units!$O94),Units!$R94,IF(AND(BL$1&gt;=Units!$Q94,MOD(BL$1-Units!$Q94,12)=0),IF(AND(Units!$L94=1,BL$1=Units!$Q94),IF(Units!$J94&lt;&gt;"",Units!$J94,Mkt!BL95),Inputs!$B$15*Mkt!BL95+(1-Inputs!$B$15)*MIN(Mkt!BL95,BK95*(1+Inputs!$B$18))),BK95)))</f>
        <v>1716.40093525</v>
      </c>
      <c r="BM95" s="11" t="n">
        <f aca="false">IF(BM$1&lt;Units!$P94,0,IF(AND(Units!$K94=0,BM$1=Units!$O94),Units!$R94,IF(AND(BM$1&gt;=Units!$Q94,MOD(BM$1-Units!$Q94,12)=0),IF(AND(Units!$L94=1,BM$1=Units!$Q94),IF(Units!$J94&lt;&gt;"",Units!$J94,Mkt!BM95),Inputs!$B$15*Mkt!BM95+(1-Inputs!$B$15)*MIN(Mkt!BM95,BL95*(1+Inputs!$B$18))),BL95)))</f>
        <v>1716.40093525</v>
      </c>
      <c r="BN95" s="11" t="n">
        <f aca="false">IF(BN$1&lt;Units!$P94,0,IF(AND(Units!$K94=0,BN$1=Units!$O94),Units!$R94,IF(AND(BN$1&gt;=Units!$Q94,MOD(BN$1-Units!$Q94,12)=0),IF(AND(Units!$L94=1,BN$1=Units!$Q94),IF(Units!$J94&lt;&gt;"",Units!$J94,Mkt!BN95),Inputs!$B$15*Mkt!BN95+(1-Inputs!$B$15)*MIN(Mkt!BN95,BM95*(1+Inputs!$B$18))),BM95)))</f>
        <v>1716.40093525</v>
      </c>
      <c r="BO95" s="11" t="n">
        <f aca="false">IF(BO$1&lt;Units!$P94,0,IF(AND(Units!$K94=0,BO$1=Units!$O94),Units!$R94,IF(AND(BO$1&gt;=Units!$Q94,MOD(BO$1-Units!$Q94,12)=0),IF(AND(Units!$L94=1,BO$1=Units!$Q94),IF(Units!$J94&lt;&gt;"",Units!$J94,Mkt!BO95),Inputs!$B$15*Mkt!BO95+(1-Inputs!$B$15)*MIN(Mkt!BO95,BN95*(1+Inputs!$B$18))),BN95)))</f>
        <v>1716.40093525</v>
      </c>
      <c r="BP95" s="11" t="n">
        <f aca="false">IF(BP$1&lt;Units!$P94,0,IF(AND(Units!$K94=0,BP$1=Units!$O94),Units!$R94,IF(AND(BP$1&gt;=Units!$Q94,MOD(BP$1-Units!$Q94,12)=0),IF(AND(Units!$L94=1,BP$1=Units!$Q94),IF(Units!$J94&lt;&gt;"",Units!$J94,Mkt!BP95),Inputs!$B$15*Mkt!BP95+(1-Inputs!$B$15)*MIN(Mkt!BP95,BO95*(1+Inputs!$B$18))),BO95)))</f>
        <v>1767.8929633075</v>
      </c>
      <c r="BQ95" s="11" t="n">
        <f aca="false">IF(BQ$1&lt;Units!$P94,0,IF(AND(Units!$K94=0,BQ$1=Units!$O94),Units!$R94,IF(AND(BQ$1&gt;=Units!$Q94,MOD(BQ$1-Units!$Q94,12)=0),IF(AND(Units!$L94=1,BQ$1=Units!$Q94),IF(Units!$J94&lt;&gt;"",Units!$J94,Mkt!BQ95),Inputs!$B$15*Mkt!BQ95+(1-Inputs!$B$15)*MIN(Mkt!BQ95,BP95*(1+Inputs!$B$18))),BP95)))</f>
        <v>1767.8929633075</v>
      </c>
      <c r="BR95" s="11" t="n">
        <f aca="false">IF(BR$1&lt;Units!$P94,0,IF(AND(Units!$K94=0,BR$1=Units!$O94),Units!$R94,IF(AND(BR$1&gt;=Units!$Q94,MOD(BR$1-Units!$Q94,12)=0),IF(AND(Units!$L94=1,BR$1=Units!$Q94),IF(Units!$J94&lt;&gt;"",Units!$J94,Mkt!BR95),Inputs!$B$15*Mkt!BR95+(1-Inputs!$B$15)*MIN(Mkt!BR95,BQ95*(1+Inputs!$B$18))),BQ95)))</f>
        <v>1767.8929633075</v>
      </c>
      <c r="BS95" s="11" t="n">
        <f aca="false">IF(BS$1&lt;Units!$P94,0,IF(AND(Units!$K94=0,BS$1=Units!$O94),Units!$R94,IF(AND(BS$1&gt;=Units!$Q94,MOD(BS$1-Units!$Q94,12)=0),IF(AND(Units!$L94=1,BS$1=Units!$Q94),IF(Units!$J94&lt;&gt;"",Units!$J94,Mkt!BS95),Inputs!$B$15*Mkt!BS95+(1-Inputs!$B$15)*MIN(Mkt!BS95,BR95*(1+Inputs!$B$18))),BR95)))</f>
        <v>1767.8929633075</v>
      </c>
      <c r="BT95" s="11" t="n">
        <f aca="false">IF(BT$1&lt;Units!$P94,0,IF(AND(Units!$K94=0,BT$1=Units!$O94),Units!$R94,IF(AND(BT$1&gt;=Units!$Q94,MOD(BT$1-Units!$Q94,12)=0),IF(AND(Units!$L94=1,BT$1=Units!$Q94),IF(Units!$J94&lt;&gt;"",Units!$J94,Mkt!BT95),Inputs!$B$15*Mkt!BT95+(1-Inputs!$B$15)*MIN(Mkt!BT95,BS95*(1+Inputs!$B$18))),BS95)))</f>
        <v>1767.8929633075</v>
      </c>
      <c r="BU95" s="11" t="n">
        <f aca="false">IF(BU$1&lt;Units!$P94,0,IF(AND(Units!$K94=0,BU$1=Units!$O94),Units!$R94,IF(AND(BU$1&gt;=Units!$Q94,MOD(BU$1-Units!$Q94,12)=0),IF(AND(Units!$L94=1,BU$1=Units!$Q94),IF(Units!$J94&lt;&gt;"",Units!$J94,Mkt!BU95),Inputs!$B$15*Mkt!BU95+(1-Inputs!$B$15)*MIN(Mkt!BU95,BT95*(1+Inputs!$B$18))),BT95)))</f>
        <v>1767.8929633075</v>
      </c>
      <c r="BV95" s="11" t="n">
        <f aca="false">IF(BV$1&lt;Units!$P94,0,IF(AND(Units!$K94=0,BV$1=Units!$O94),Units!$R94,IF(AND(BV$1&gt;=Units!$Q94,MOD(BV$1-Units!$Q94,12)=0),IF(AND(Units!$L94=1,BV$1=Units!$Q94),IF(Units!$J94&lt;&gt;"",Units!$J94,Mkt!BV95),Inputs!$B$15*Mkt!BV95+(1-Inputs!$B$15)*MIN(Mkt!BV95,BU95*(1+Inputs!$B$18))),BU95)))</f>
        <v>1767.8929633075</v>
      </c>
      <c r="BW95" s="11" t="n">
        <f aca="false">IF(BW$1&lt;Units!$P94,0,IF(AND(Units!$K94=0,BW$1=Units!$O94),Units!$R94,IF(AND(BW$1&gt;=Units!$Q94,MOD(BW$1-Units!$Q94,12)=0),IF(AND(Units!$L94=1,BW$1=Units!$Q94),IF(Units!$J94&lt;&gt;"",Units!$J94,Mkt!BW95),Inputs!$B$15*Mkt!BW95+(1-Inputs!$B$15)*MIN(Mkt!BW95,BV95*(1+Inputs!$B$18))),BV95)))</f>
        <v>1767.8929633075</v>
      </c>
      <c r="BX95" s="11" t="n">
        <f aca="false">IF(BX$1&lt;Units!$P94,0,IF(AND(Units!$K94=0,BX$1=Units!$O94),Units!$R94,IF(AND(BX$1&gt;=Units!$Q94,MOD(BX$1-Units!$Q94,12)=0),IF(AND(Units!$L94=1,BX$1=Units!$Q94),IF(Units!$J94&lt;&gt;"",Units!$J94,Mkt!BX95),Inputs!$B$15*Mkt!BX95+(1-Inputs!$B$15)*MIN(Mkt!BX95,BW95*(1+Inputs!$B$18))),BW95)))</f>
        <v>1767.8929633075</v>
      </c>
      <c r="BY95" s="11" t="n">
        <f aca="false">IF(BY$1&lt;Units!$P94,0,IF(AND(Units!$K94=0,BY$1=Units!$O94),Units!$R94,IF(AND(BY$1&gt;=Units!$Q94,MOD(BY$1-Units!$Q94,12)=0),IF(AND(Units!$L94=1,BY$1=Units!$Q94),IF(Units!$J94&lt;&gt;"",Units!$J94,Mkt!BY95),Inputs!$B$15*Mkt!BY95+(1-Inputs!$B$15)*MIN(Mkt!BY95,BX95*(1+Inputs!$B$18))),BX95)))</f>
        <v>1767.8929633075</v>
      </c>
      <c r="BZ95" s="11" t="n">
        <f aca="false">IF(BZ$1&lt;Units!$P94,0,IF(AND(Units!$K94=0,BZ$1=Units!$O94),Units!$R94,IF(AND(BZ$1&gt;=Units!$Q94,MOD(BZ$1-Units!$Q94,12)=0),IF(AND(Units!$L94=1,BZ$1=Units!$Q94),IF(Units!$J94&lt;&gt;"",Units!$J94,Mkt!BZ95),Inputs!$B$15*Mkt!BZ95+(1-Inputs!$B$15)*MIN(Mkt!BZ95,BY95*(1+Inputs!$B$18))),BY95)))</f>
        <v>1767.8929633075</v>
      </c>
      <c r="CA95" s="11" t="n">
        <f aca="false">IF(CA$1&lt;Units!$P94,0,IF(AND(Units!$K94=0,CA$1=Units!$O94),Units!$R94,IF(AND(CA$1&gt;=Units!$Q94,MOD(CA$1-Units!$Q94,12)=0),IF(AND(Units!$L94=1,CA$1=Units!$Q94),IF(Units!$J94&lt;&gt;"",Units!$J94,Mkt!CA95),Inputs!$B$15*Mkt!CA95+(1-Inputs!$B$15)*MIN(Mkt!CA95,BZ95*(1+Inputs!$B$18))),BZ95)))</f>
        <v>1767.8929633075</v>
      </c>
      <c r="CB95" s="11" t="n">
        <f aca="false">IF(CB$1&lt;Units!$P94,0,IF(AND(Units!$K94=0,CB$1=Units!$O94),Units!$R94,IF(AND(CB$1&gt;=Units!$Q94,MOD(CB$1-Units!$Q94,12)=0),IF(AND(Units!$L94=1,CB$1=Units!$Q94),IF(Units!$J94&lt;&gt;"",Units!$J94,Mkt!CB95),Inputs!$B$15*Mkt!CB95+(1-Inputs!$B$15)*MIN(Mkt!CB95,CA95*(1+Inputs!$B$18))),CA95)))</f>
        <v>1820.92975220673</v>
      </c>
      <c r="CC95" s="11" t="n">
        <f aca="false">IF(CC$1&lt;Units!$P94,0,IF(AND(Units!$K94=0,CC$1=Units!$O94),Units!$R94,IF(AND(CC$1&gt;=Units!$Q94,MOD(CC$1-Units!$Q94,12)=0),IF(AND(Units!$L94=1,CC$1=Units!$Q94),IF(Units!$J94&lt;&gt;"",Units!$J94,Mkt!CC95),Inputs!$B$15*Mkt!CC95+(1-Inputs!$B$15)*MIN(Mkt!CC95,CB95*(1+Inputs!$B$18))),CB95)))</f>
        <v>1820.92975220673</v>
      </c>
      <c r="CD95" s="11" t="n">
        <f aca="false">IF(CD$1&lt;Units!$P94,0,IF(AND(Units!$K94=0,CD$1=Units!$O94),Units!$R94,IF(AND(CD$1&gt;=Units!$Q94,MOD(CD$1-Units!$Q94,12)=0),IF(AND(Units!$L94=1,CD$1=Units!$Q94),IF(Units!$J94&lt;&gt;"",Units!$J94,Mkt!CD95),Inputs!$B$15*Mkt!CD95+(1-Inputs!$B$15)*MIN(Mkt!CD95,CC95*(1+Inputs!$B$18))),CC95)))</f>
        <v>1820.92975220673</v>
      </c>
      <c r="CE95" s="11" t="n">
        <f aca="false">IF(CE$1&lt;Units!$P94,0,IF(AND(Units!$K94=0,CE$1=Units!$O94),Units!$R94,IF(AND(CE$1&gt;=Units!$Q94,MOD(CE$1-Units!$Q94,12)=0),IF(AND(Units!$L94=1,CE$1=Units!$Q94),IF(Units!$J94&lt;&gt;"",Units!$J94,Mkt!CE95),Inputs!$B$15*Mkt!CE95+(1-Inputs!$B$15)*MIN(Mkt!CE95,CD95*(1+Inputs!$B$18))),CD95)))</f>
        <v>1820.92975220673</v>
      </c>
      <c r="CF95" s="11" t="n">
        <f aca="false">IF(CF$1&lt;Units!$P94,0,IF(AND(Units!$K94=0,CF$1=Units!$O94),Units!$R94,IF(AND(CF$1&gt;=Units!$Q94,MOD(CF$1-Units!$Q94,12)=0),IF(AND(Units!$L94=1,CF$1=Units!$Q94),IF(Units!$J94&lt;&gt;"",Units!$J94,Mkt!CF95),Inputs!$B$15*Mkt!CF95+(1-Inputs!$B$15)*MIN(Mkt!CF95,CE95*(1+Inputs!$B$18))),CE95)))</f>
        <v>1820.92975220673</v>
      </c>
      <c r="CG95" s="11" t="n">
        <f aca="false">IF(CG$1&lt;Units!$P94,0,IF(AND(Units!$K94=0,CG$1=Units!$O94),Units!$R94,IF(AND(CG$1&gt;=Units!$Q94,MOD(CG$1-Units!$Q94,12)=0),IF(AND(Units!$L94=1,CG$1=Units!$Q94),IF(Units!$J94&lt;&gt;"",Units!$J94,Mkt!CG95),Inputs!$B$15*Mkt!CG95+(1-Inputs!$B$15)*MIN(Mkt!CG95,CF95*(1+Inputs!$B$18))),CF95)))</f>
        <v>1820.92975220673</v>
      </c>
      <c r="CH95" s="11" t="n">
        <f aca="false">IF(CH$1&lt;Units!$P94,0,IF(AND(Units!$K94=0,CH$1=Units!$O94),Units!$R94,IF(AND(CH$1&gt;=Units!$Q94,MOD(CH$1-Units!$Q94,12)=0),IF(AND(Units!$L94=1,CH$1=Units!$Q94),IF(Units!$J94&lt;&gt;"",Units!$J94,Mkt!CH95),Inputs!$B$15*Mkt!CH95+(1-Inputs!$B$15)*MIN(Mkt!CH95,CG95*(1+Inputs!$B$18))),CG95)))</f>
        <v>1820.92975220673</v>
      </c>
      <c r="CI95" s="11" t="n">
        <f aca="false">IF(CI$1&lt;Units!$P94,0,IF(AND(Units!$K94=0,CI$1=Units!$O94),Units!$R94,IF(AND(CI$1&gt;=Units!$Q94,MOD(CI$1-Units!$Q94,12)=0),IF(AND(Units!$L94=1,CI$1=Units!$Q94),IF(Units!$J94&lt;&gt;"",Units!$J94,Mkt!CI95),Inputs!$B$15*Mkt!CI95+(1-Inputs!$B$15)*MIN(Mkt!CI95,CH95*(1+Inputs!$B$18))),CH95)))</f>
        <v>1820.92975220673</v>
      </c>
      <c r="CJ95" s="11" t="n">
        <f aca="false">IF(CJ$1&lt;Units!$P94,0,IF(AND(Units!$K94=0,CJ$1=Units!$O94),Units!$R94,IF(AND(CJ$1&gt;=Units!$Q94,MOD(CJ$1-Units!$Q94,12)=0),IF(AND(Units!$L94=1,CJ$1=Units!$Q94),IF(Units!$J94&lt;&gt;"",Units!$J94,Mkt!CJ95),Inputs!$B$15*Mkt!CJ95+(1-Inputs!$B$15)*MIN(Mkt!CJ95,CI95*(1+Inputs!$B$18))),CI95)))</f>
        <v>1820.92975220673</v>
      </c>
      <c r="CK95" s="11" t="n">
        <f aca="false">IF(CK$1&lt;Units!$P94,0,IF(AND(Units!$K94=0,CK$1=Units!$O94),Units!$R94,IF(AND(CK$1&gt;=Units!$Q94,MOD(CK$1-Units!$Q94,12)=0),IF(AND(Units!$L94=1,CK$1=Units!$Q94),IF(Units!$J94&lt;&gt;"",Units!$J94,Mkt!CK95),Inputs!$B$15*Mkt!CK95+(1-Inputs!$B$15)*MIN(Mkt!CK95,CJ95*(1+Inputs!$B$18))),CJ95)))</f>
        <v>1820.92975220673</v>
      </c>
      <c r="CL95" s="11" t="n">
        <f aca="false">IF(CL$1&lt;Units!$P94,0,IF(AND(Units!$K94=0,CL$1=Units!$O94),Units!$R94,IF(AND(CL$1&gt;=Units!$Q94,MOD(CL$1-Units!$Q94,12)=0),IF(AND(Units!$L94=1,CL$1=Units!$Q94),IF(Units!$J94&lt;&gt;"",Units!$J94,Mkt!CL95),Inputs!$B$15*Mkt!CL95+(1-Inputs!$B$15)*MIN(Mkt!CL95,CK95*(1+Inputs!$B$18))),CK95)))</f>
        <v>1820.92975220673</v>
      </c>
      <c r="CM95" s="11" t="n">
        <f aca="false">IF(CM$1&lt;Units!$P94,0,IF(AND(Units!$K94=0,CM$1=Units!$O94),Units!$R94,IF(AND(CM$1&gt;=Units!$Q94,MOD(CM$1-Units!$Q94,12)=0),IF(AND(Units!$L94=1,CM$1=Units!$Q94),IF(Units!$J94&lt;&gt;"",Units!$J94,Mkt!CM95),Inputs!$B$15*Mkt!CM95+(1-Inputs!$B$15)*MIN(Mkt!CM95,CL95*(1+Inputs!$B$18))),CL95)))</f>
        <v>1820.92975220673</v>
      </c>
      <c r="CN95" s="11" t="n">
        <f aca="false">IF(CN$1&lt;Units!$P94,0,IF(AND(Units!$K94=0,CN$1=Units!$O94),Units!$R94,IF(AND(CN$1&gt;=Units!$Q94,MOD(CN$1-Units!$Q94,12)=0),IF(AND(Units!$L94=1,CN$1=Units!$Q94),IF(Units!$J94&lt;&gt;"",Units!$J94,Mkt!CN95),Inputs!$B$15*Mkt!CN95+(1-Inputs!$B$15)*MIN(Mkt!CN95,CM95*(1+Inputs!$B$18))),CM95)))</f>
        <v>1875.55764477293</v>
      </c>
      <c r="CO95" s="11" t="n">
        <f aca="false">IF(CO$1&lt;Units!$P94,0,IF(AND(Units!$K94=0,CO$1=Units!$O94),Units!$R94,IF(AND(CO$1&gt;=Units!$Q94,MOD(CO$1-Units!$Q94,12)=0),IF(AND(Units!$L94=1,CO$1=Units!$Q94),IF(Units!$J94&lt;&gt;"",Units!$J94,Mkt!CO95),Inputs!$B$15*Mkt!CO95+(1-Inputs!$B$15)*MIN(Mkt!CO95,CN95*(1+Inputs!$B$18))),CN95)))</f>
        <v>1875.55764477293</v>
      </c>
      <c r="CP95" s="11" t="n">
        <f aca="false">IF(CP$1&lt;Units!$P94,0,IF(AND(Units!$K94=0,CP$1=Units!$O94),Units!$R94,IF(AND(CP$1&gt;=Units!$Q94,MOD(CP$1-Units!$Q94,12)=0),IF(AND(Units!$L94=1,CP$1=Units!$Q94),IF(Units!$J94&lt;&gt;"",Units!$J94,Mkt!CP95),Inputs!$B$15*Mkt!CP95+(1-Inputs!$B$15)*MIN(Mkt!CP95,CO95*(1+Inputs!$B$18))),CO95)))</f>
        <v>1875.55764477293</v>
      </c>
      <c r="CQ95" s="11" t="n">
        <f aca="false">IF(CQ$1&lt;Units!$P94,0,IF(AND(Units!$K94=0,CQ$1=Units!$O94),Units!$R94,IF(AND(CQ$1&gt;=Units!$Q94,MOD(CQ$1-Units!$Q94,12)=0),IF(AND(Units!$L94=1,CQ$1=Units!$Q94),IF(Units!$J94&lt;&gt;"",Units!$J94,Mkt!CQ95),Inputs!$B$15*Mkt!CQ95+(1-Inputs!$B$15)*MIN(Mkt!CQ95,CP95*(1+Inputs!$B$18))),CP95)))</f>
        <v>1875.55764477293</v>
      </c>
      <c r="CR95" s="11" t="n">
        <f aca="false">IF(CR$1&lt;Units!$P94,0,IF(AND(Units!$K94=0,CR$1=Units!$O94),Units!$R94,IF(AND(CR$1&gt;=Units!$Q94,MOD(CR$1-Units!$Q94,12)=0),IF(AND(Units!$L94=1,CR$1=Units!$Q94),IF(Units!$J94&lt;&gt;"",Units!$J94,Mkt!CR95),Inputs!$B$15*Mkt!CR95+(1-Inputs!$B$15)*MIN(Mkt!CR95,CQ95*(1+Inputs!$B$18))),CQ95)))</f>
        <v>1875.55764477293</v>
      </c>
      <c r="CS95" s="11" t="n">
        <f aca="false">IF(CS$1&lt;Units!$P94,0,IF(AND(Units!$K94=0,CS$1=Units!$O94),Units!$R94,IF(AND(CS$1&gt;=Units!$Q94,MOD(CS$1-Units!$Q94,12)=0),IF(AND(Units!$L94=1,CS$1=Units!$Q94),IF(Units!$J94&lt;&gt;"",Units!$J94,Mkt!CS95),Inputs!$B$15*Mkt!CS95+(1-Inputs!$B$15)*MIN(Mkt!CS95,CR95*(1+Inputs!$B$18))),CR95)))</f>
        <v>1875.55764477293</v>
      </c>
      <c r="CT95" s="11" t="n">
        <f aca="false">IF(CT$1&lt;Units!$P94,0,IF(AND(Units!$K94=0,CT$1=Units!$O94),Units!$R94,IF(AND(CT$1&gt;=Units!$Q94,MOD(CT$1-Units!$Q94,12)=0),IF(AND(Units!$L94=1,CT$1=Units!$Q94),IF(Units!$J94&lt;&gt;"",Units!$J94,Mkt!CT95),Inputs!$B$15*Mkt!CT95+(1-Inputs!$B$15)*MIN(Mkt!CT95,CS95*(1+Inputs!$B$18))),CS95)))</f>
        <v>1875.55764477293</v>
      </c>
      <c r="CU95" s="11" t="n">
        <f aca="false">IF(CU$1&lt;Units!$P94,0,IF(AND(Units!$K94=0,CU$1=Units!$O94),Units!$R94,IF(AND(CU$1&gt;=Units!$Q94,MOD(CU$1-Units!$Q94,12)=0),IF(AND(Units!$L94=1,CU$1=Units!$Q94),IF(Units!$J94&lt;&gt;"",Units!$J94,Mkt!CU95),Inputs!$B$15*Mkt!CU95+(1-Inputs!$B$15)*MIN(Mkt!CU95,CT95*(1+Inputs!$B$18))),CT95)))</f>
        <v>1875.55764477293</v>
      </c>
      <c r="CV95" s="11" t="n">
        <f aca="false">IF(CV$1&lt;Units!$P94,0,IF(AND(Units!$K94=0,CV$1=Units!$O94),Units!$R94,IF(AND(CV$1&gt;=Units!$Q94,MOD(CV$1-Units!$Q94,12)=0),IF(AND(Units!$L94=1,CV$1=Units!$Q94),IF(Units!$J94&lt;&gt;"",Units!$J94,Mkt!CV95),Inputs!$B$15*Mkt!CV95+(1-Inputs!$B$15)*MIN(Mkt!CV95,CU95*(1+Inputs!$B$18))),CU95)))</f>
        <v>1875.55764477293</v>
      </c>
      <c r="CW95" s="11" t="n">
        <f aca="false">IF(CW$1&lt;Units!$P94,0,IF(AND(Units!$K94=0,CW$1=Units!$O94),Units!$R94,IF(AND(CW$1&gt;=Units!$Q94,MOD(CW$1-Units!$Q94,12)=0),IF(AND(Units!$L94=1,CW$1=Units!$Q94),IF(Units!$J94&lt;&gt;"",Units!$J94,Mkt!CW95),Inputs!$B$15*Mkt!CW95+(1-Inputs!$B$15)*MIN(Mkt!CW95,CV95*(1+Inputs!$B$18))),CV95)))</f>
        <v>1875.55764477293</v>
      </c>
      <c r="CX95" s="11" t="n">
        <f aca="false">IF(CX$1&lt;Units!$P94,0,IF(AND(Units!$K94=0,CX$1=Units!$O94),Units!$R94,IF(AND(CX$1&gt;=Units!$Q94,MOD(CX$1-Units!$Q94,12)=0),IF(AND(Units!$L94=1,CX$1=Units!$Q94),IF(Units!$J94&lt;&gt;"",Units!$J94,Mkt!CX95),Inputs!$B$15*Mkt!CX95+(1-Inputs!$B$15)*MIN(Mkt!CX95,CW95*(1+Inputs!$B$18))),CW95)))</f>
        <v>1875.55764477293</v>
      </c>
      <c r="CY95" s="11" t="n">
        <f aca="false">IF(CY$1&lt;Units!$P94,0,IF(AND(Units!$K94=0,CY$1=Units!$O94),Units!$R94,IF(AND(CY$1&gt;=Units!$Q94,MOD(CY$1-Units!$Q94,12)=0),IF(AND(Units!$L94=1,CY$1=Units!$Q94),IF(Units!$J94&lt;&gt;"",Units!$J94,Mkt!CY95),Inputs!$B$15*Mkt!CY95+(1-Inputs!$B$15)*MIN(Mkt!CY95,CX95*(1+Inputs!$B$18))),CX95)))</f>
        <v>1875.55764477293</v>
      </c>
      <c r="CZ95" s="11" t="n">
        <f aca="false">IF(CZ$1&lt;Units!$P94,0,IF(AND(Units!$K94=0,CZ$1=Units!$O94),Units!$R94,IF(AND(CZ$1&gt;=Units!$Q94,MOD(CZ$1-Units!$Q94,12)=0),IF(AND(Units!$L94=1,CZ$1=Units!$Q94),IF(Units!$J94&lt;&gt;"",Units!$J94,Mkt!CZ95),Inputs!$B$15*Mkt!CZ95+(1-Inputs!$B$15)*MIN(Mkt!CZ95,CY95*(1+Inputs!$B$18))),CY95)))</f>
        <v>1931.82437411612</v>
      </c>
      <c r="DA95" s="11" t="n">
        <f aca="false">IF(DA$1&lt;Units!$P94,0,IF(AND(Units!$K94=0,DA$1=Units!$O94),Units!$R94,IF(AND(DA$1&gt;=Units!$Q94,MOD(DA$1-Units!$Q94,12)=0),IF(AND(Units!$L94=1,DA$1=Units!$Q94),IF(Units!$J94&lt;&gt;"",Units!$J94,Mkt!DA95),Inputs!$B$15*Mkt!DA95+(1-Inputs!$B$15)*MIN(Mkt!DA95,CZ95*(1+Inputs!$B$18))),CZ95)))</f>
        <v>1931.82437411612</v>
      </c>
      <c r="DB95" s="11" t="n">
        <f aca="false">IF(DB$1&lt;Units!$P94,0,IF(AND(Units!$K94=0,DB$1=Units!$O94),Units!$R94,IF(AND(DB$1&gt;=Units!$Q94,MOD(DB$1-Units!$Q94,12)=0),IF(AND(Units!$L94=1,DB$1=Units!$Q94),IF(Units!$J94&lt;&gt;"",Units!$J94,Mkt!DB95),Inputs!$B$15*Mkt!DB95+(1-Inputs!$B$15)*MIN(Mkt!DB95,DA95*(1+Inputs!$B$18))),DA95)))</f>
        <v>1931.82437411612</v>
      </c>
      <c r="DC95" s="11" t="n">
        <f aca="false">IF(DC$1&lt;Units!$P94,0,IF(AND(Units!$K94=0,DC$1=Units!$O94),Units!$R94,IF(AND(DC$1&gt;=Units!$Q94,MOD(DC$1-Units!$Q94,12)=0),IF(AND(Units!$L94=1,DC$1=Units!$Q94),IF(Units!$J94&lt;&gt;"",Units!$J94,Mkt!DC95),Inputs!$B$15*Mkt!DC95+(1-Inputs!$B$15)*MIN(Mkt!DC95,DB95*(1+Inputs!$B$18))),DB95)))</f>
        <v>1931.82437411612</v>
      </c>
      <c r="DD95" s="11" t="n">
        <f aca="false">IF(DD$1&lt;Units!$P94,0,IF(AND(Units!$K94=0,DD$1=Units!$O94),Units!$R94,IF(AND(DD$1&gt;=Units!$Q94,MOD(DD$1-Units!$Q94,12)=0),IF(AND(Units!$L94=1,DD$1=Units!$Q94),IF(Units!$J94&lt;&gt;"",Units!$J94,Mkt!DD95),Inputs!$B$15*Mkt!DD95+(1-Inputs!$B$15)*MIN(Mkt!DD95,DC95*(1+Inputs!$B$18))),DC95)))</f>
        <v>1931.82437411612</v>
      </c>
      <c r="DE95" s="11" t="n">
        <f aca="false">IF(DE$1&lt;Units!$P94,0,IF(AND(Units!$K94=0,DE$1=Units!$O94),Units!$R94,IF(AND(DE$1&gt;=Units!$Q94,MOD(DE$1-Units!$Q94,12)=0),IF(AND(Units!$L94=1,DE$1=Units!$Q94),IF(Units!$J94&lt;&gt;"",Units!$J94,Mkt!DE95),Inputs!$B$15*Mkt!DE95+(1-Inputs!$B$15)*MIN(Mkt!DE95,DD95*(1+Inputs!$B$18))),DD95)))</f>
        <v>1931.82437411612</v>
      </c>
      <c r="DF95" s="11" t="n">
        <f aca="false">IF(DF$1&lt;Units!$P94,0,IF(AND(Units!$K94=0,DF$1=Units!$O94),Units!$R94,IF(AND(DF$1&gt;=Units!$Q94,MOD(DF$1-Units!$Q94,12)=0),IF(AND(Units!$L94=1,DF$1=Units!$Q94),IF(Units!$J94&lt;&gt;"",Units!$J94,Mkt!DF95),Inputs!$B$15*Mkt!DF95+(1-Inputs!$B$15)*MIN(Mkt!DF95,DE95*(1+Inputs!$B$18))),DE95)))</f>
        <v>1931.82437411612</v>
      </c>
      <c r="DG95" s="11" t="n">
        <f aca="false">IF(DG$1&lt;Units!$P94,0,IF(AND(Units!$K94=0,DG$1=Units!$O94),Units!$R94,IF(AND(DG$1&gt;=Units!$Q94,MOD(DG$1-Units!$Q94,12)=0),IF(AND(Units!$L94=1,DG$1=Units!$Q94),IF(Units!$J94&lt;&gt;"",Units!$J94,Mkt!DG95),Inputs!$B$15*Mkt!DG95+(1-Inputs!$B$15)*MIN(Mkt!DG95,DF95*(1+Inputs!$B$18))),DF95)))</f>
        <v>1931.82437411612</v>
      </c>
      <c r="DH95" s="11" t="n">
        <f aca="false">IF(DH$1&lt;Units!$P94,0,IF(AND(Units!$K94=0,DH$1=Units!$O94),Units!$R94,IF(AND(DH$1&gt;=Units!$Q94,MOD(DH$1-Units!$Q94,12)=0),IF(AND(Units!$L94=1,DH$1=Units!$Q94),IF(Units!$J94&lt;&gt;"",Units!$J94,Mkt!DH95),Inputs!$B$15*Mkt!DH95+(1-Inputs!$B$15)*MIN(Mkt!DH95,DG95*(1+Inputs!$B$18))),DG95)))</f>
        <v>1931.82437411612</v>
      </c>
      <c r="DI95" s="11" t="n">
        <f aca="false">IF(DI$1&lt;Units!$P94,0,IF(AND(Units!$K94=0,DI$1=Units!$O94),Units!$R94,IF(AND(DI$1&gt;=Units!$Q94,MOD(DI$1-Units!$Q94,12)=0),IF(AND(Units!$L94=1,DI$1=Units!$Q94),IF(Units!$J94&lt;&gt;"",Units!$J94,Mkt!DI95),Inputs!$B$15*Mkt!DI95+(1-Inputs!$B$15)*MIN(Mkt!DI95,DH95*(1+Inputs!$B$18))),DH95)))</f>
        <v>1931.82437411612</v>
      </c>
      <c r="DJ95" s="11" t="n">
        <f aca="false">IF(DJ$1&lt;Units!$P94,0,IF(AND(Units!$K94=0,DJ$1=Units!$O94),Units!$R94,IF(AND(DJ$1&gt;=Units!$Q94,MOD(DJ$1-Units!$Q94,12)=0),IF(AND(Units!$L94=1,DJ$1=Units!$Q94),IF(Units!$J94&lt;&gt;"",Units!$J94,Mkt!DJ95),Inputs!$B$15*Mkt!DJ95+(1-Inputs!$B$15)*MIN(Mkt!DJ95,DI95*(1+Inputs!$B$18))),DI95)))</f>
        <v>1931.82437411612</v>
      </c>
      <c r="DK95" s="11" t="n">
        <f aca="false">IF(DK$1&lt;Units!$P94,0,IF(AND(Units!$K94=0,DK$1=Units!$O94),Units!$R94,IF(AND(DK$1&gt;=Units!$Q94,MOD(DK$1-Units!$Q94,12)=0),IF(AND(Units!$L94=1,DK$1=Units!$Q94),IF(Units!$J94&lt;&gt;"",Units!$J94,Mkt!DK95),Inputs!$B$15*Mkt!DK95+(1-Inputs!$B$15)*MIN(Mkt!DK95,DJ95*(1+Inputs!$B$18))),DJ95)))</f>
        <v>1931.82437411612</v>
      </c>
      <c r="DL95" s="11" t="n">
        <f aca="false">IF(DL$1&lt;Units!$P94,0,IF(AND(Units!$K94=0,DL$1=Units!$O94),Units!$R94,IF(AND(DL$1&gt;=Units!$Q94,MOD(DL$1-Units!$Q94,12)=0),IF(AND(Units!$L94=1,DL$1=Units!$Q94),IF(Units!$J94&lt;&gt;"",Units!$J94,Mkt!DL95),Inputs!$B$15*Mkt!DL95+(1-Inputs!$B$15)*MIN(Mkt!DL95,DK95*(1+Inputs!$B$18))),DK95)))</f>
        <v>1989.7791053396</v>
      </c>
      <c r="DM95" s="11" t="n">
        <f aca="false">IF(DM$1&lt;Units!$P94,0,IF(AND(Units!$K94=0,DM$1=Units!$O94),Units!$R94,IF(AND(DM$1&gt;=Units!$Q94,MOD(DM$1-Units!$Q94,12)=0),IF(AND(Units!$L94=1,DM$1=Units!$Q94),IF(Units!$J94&lt;&gt;"",Units!$J94,Mkt!DM95),Inputs!$B$15*Mkt!DM95+(1-Inputs!$B$15)*MIN(Mkt!DM95,DL95*(1+Inputs!$B$18))),DL95)))</f>
        <v>1989.7791053396</v>
      </c>
      <c r="DN95" s="11" t="n">
        <f aca="false">IF(DN$1&lt;Units!$P94,0,IF(AND(Units!$K94=0,DN$1=Units!$O94),Units!$R94,IF(AND(DN$1&gt;=Units!$Q94,MOD(DN$1-Units!$Q94,12)=0),IF(AND(Units!$L94=1,DN$1=Units!$Q94),IF(Units!$J94&lt;&gt;"",Units!$J94,Mkt!DN95),Inputs!$B$15*Mkt!DN95+(1-Inputs!$B$15)*MIN(Mkt!DN95,DM95*(1+Inputs!$B$18))),DM95)))</f>
        <v>1989.7791053396</v>
      </c>
      <c r="DO95" s="11" t="n">
        <f aca="false">IF(DO$1&lt;Units!$P94,0,IF(AND(Units!$K94=0,DO$1=Units!$O94),Units!$R94,IF(AND(DO$1&gt;=Units!$Q94,MOD(DO$1-Units!$Q94,12)=0),IF(AND(Units!$L94=1,DO$1=Units!$Q94),IF(Units!$J94&lt;&gt;"",Units!$J94,Mkt!DO95),Inputs!$B$15*Mkt!DO95+(1-Inputs!$B$15)*MIN(Mkt!DO95,DN95*(1+Inputs!$B$18))),DN95)))</f>
        <v>1989.7791053396</v>
      </c>
      <c r="DP95" s="11" t="n">
        <f aca="false">IF(DP$1&lt;Units!$P94,0,IF(AND(Units!$K94=0,DP$1=Units!$O94),Units!$R94,IF(AND(DP$1&gt;=Units!$Q94,MOD(DP$1-Units!$Q94,12)=0),IF(AND(Units!$L94=1,DP$1=Units!$Q94),IF(Units!$J94&lt;&gt;"",Units!$J94,Mkt!DP95),Inputs!$B$15*Mkt!DP95+(1-Inputs!$B$15)*MIN(Mkt!DP95,DO95*(1+Inputs!$B$18))),DO95)))</f>
        <v>1989.7791053396</v>
      </c>
      <c r="DQ95" s="11" t="n">
        <f aca="false">IF(DQ$1&lt;Units!$P94,0,IF(AND(Units!$K94=0,DQ$1=Units!$O94),Units!$R94,IF(AND(DQ$1&gt;=Units!$Q94,MOD(DQ$1-Units!$Q94,12)=0),IF(AND(Units!$L94=1,DQ$1=Units!$Q94),IF(Units!$J94&lt;&gt;"",Units!$J94,Mkt!DQ95),Inputs!$B$15*Mkt!DQ95+(1-Inputs!$B$15)*MIN(Mkt!DQ95,DP95*(1+Inputs!$B$18))),DP95)))</f>
        <v>1989.7791053396</v>
      </c>
      <c r="DR95" s="11" t="n">
        <f aca="false">IF(DR$1&lt;Units!$P94,0,IF(AND(Units!$K94=0,DR$1=Units!$O94),Units!$R94,IF(AND(DR$1&gt;=Units!$Q94,MOD(DR$1-Units!$Q94,12)=0),IF(AND(Units!$L94=1,DR$1=Units!$Q94),IF(Units!$J94&lt;&gt;"",Units!$J94,Mkt!DR95),Inputs!$B$15*Mkt!DR95+(1-Inputs!$B$15)*MIN(Mkt!DR95,DQ95*(1+Inputs!$B$18))),DQ95)))</f>
        <v>1989.7791053396</v>
      </c>
      <c r="DS95" s="11" t="n">
        <f aca="false">IF(DS$1&lt;Units!$P94,0,IF(AND(Units!$K94=0,DS$1=Units!$O94),Units!$R94,IF(AND(DS$1&gt;=Units!$Q94,MOD(DS$1-Units!$Q94,12)=0),IF(AND(Units!$L94=1,DS$1=Units!$Q94),IF(Units!$J94&lt;&gt;"",Units!$J94,Mkt!DS95),Inputs!$B$15*Mkt!DS95+(1-Inputs!$B$15)*MIN(Mkt!DS95,DR95*(1+Inputs!$B$18))),DR95)))</f>
        <v>1989.7791053396</v>
      </c>
      <c r="DT95" s="11" t="n">
        <f aca="false">IF(DT$1&lt;Units!$P94,0,IF(AND(Units!$K94=0,DT$1=Units!$O94),Units!$R94,IF(AND(DT$1&gt;=Units!$Q94,MOD(DT$1-Units!$Q94,12)=0),IF(AND(Units!$L94=1,DT$1=Units!$Q94),IF(Units!$J94&lt;&gt;"",Units!$J94,Mkt!DT95),Inputs!$B$15*Mkt!DT95+(1-Inputs!$B$15)*MIN(Mkt!DT95,DS95*(1+Inputs!$B$18))),DS95)))</f>
        <v>1989.7791053396</v>
      </c>
      <c r="DU95" s="11" t="n">
        <f aca="false">IF(DU$1&lt;Units!$P94,0,IF(AND(Units!$K94=0,DU$1=Units!$O94),Units!$R94,IF(AND(DU$1&gt;=Units!$Q94,MOD(DU$1-Units!$Q94,12)=0),IF(AND(Units!$L94=1,DU$1=Units!$Q94),IF(Units!$J94&lt;&gt;"",Units!$J94,Mkt!DU95),Inputs!$B$15*Mkt!DU95+(1-Inputs!$B$15)*MIN(Mkt!DU95,DT95*(1+Inputs!$B$18))),DT95)))</f>
        <v>1989.7791053396</v>
      </c>
      <c r="DV95" s="11" t="n">
        <f aca="false">IF(DV$1&lt;Units!$P94,0,IF(AND(Units!$K94=0,DV$1=Units!$O94),Units!$R94,IF(AND(DV$1&gt;=Units!$Q94,MOD(DV$1-Units!$Q94,12)=0),IF(AND(Units!$L94=1,DV$1=Units!$Q94),IF(Units!$J94&lt;&gt;"",Units!$J94,Mkt!DV95),Inputs!$B$15*Mkt!DV95+(1-Inputs!$B$15)*MIN(Mkt!DV95,DU95*(1+Inputs!$B$18))),DU95)))</f>
        <v>1989.7791053396</v>
      </c>
      <c r="DW95" s="11" t="n">
        <f aca="false">IF(DW$1&lt;Units!$P94,0,IF(AND(Units!$K94=0,DW$1=Units!$O94),Units!$R94,IF(AND(DW$1&gt;=Units!$Q94,MOD(DW$1-Units!$Q94,12)=0),IF(AND(Units!$L94=1,DW$1=Units!$Q94),IF(Units!$J94&lt;&gt;"",Units!$J94,Mkt!DW95),Inputs!$B$15*Mkt!DW95+(1-Inputs!$B$15)*MIN(Mkt!DW95,DV95*(1+Inputs!$B$18))),DV95)))</f>
        <v>1989.7791053396</v>
      </c>
      <c r="DX95" s="11" t="n">
        <f aca="false">IF(DX$1&lt;Units!$P94,0,IF(AND(Units!$K94=0,DX$1=Units!$O94),Units!$R94,IF(AND(DX$1&gt;=Units!$Q94,MOD(DX$1-Units!$Q94,12)=0),IF(AND(Units!$L94=1,DX$1=Units!$Q94),IF(Units!$J94&lt;&gt;"",Units!$J94,Mkt!DX95),Inputs!$B$15*Mkt!DX95+(1-Inputs!$B$15)*MIN(Mkt!DX95,DW95*(1+Inputs!$B$18))),DW95)))</f>
        <v>2049.47247849979</v>
      </c>
      <c r="DY95" s="11" t="n">
        <f aca="false">IF(DY$1&lt;Units!$P94,0,IF(AND(Units!$K94=0,DY$1=Units!$O94),Units!$R94,IF(AND(DY$1&gt;=Units!$Q94,MOD(DY$1-Units!$Q94,12)=0),IF(AND(Units!$L94=1,DY$1=Units!$Q94),IF(Units!$J94&lt;&gt;"",Units!$J94,Mkt!DY95),Inputs!$B$15*Mkt!DY95+(1-Inputs!$B$15)*MIN(Mkt!DY95,DX95*(1+Inputs!$B$18))),DX95)))</f>
        <v>2049.47247849979</v>
      </c>
      <c r="DZ95" s="11" t="n">
        <f aca="false">IF(DZ$1&lt;Units!$P94,0,IF(AND(Units!$K94=0,DZ$1=Units!$O94),Units!$R94,IF(AND(DZ$1&gt;=Units!$Q94,MOD(DZ$1-Units!$Q94,12)=0),IF(AND(Units!$L94=1,DZ$1=Units!$Q94),IF(Units!$J94&lt;&gt;"",Units!$J94,Mkt!DZ95),Inputs!$B$15*Mkt!DZ95+(1-Inputs!$B$15)*MIN(Mkt!DZ95,DY95*(1+Inputs!$B$18))),DY95)))</f>
        <v>2049.47247849979</v>
      </c>
      <c r="EA95" s="11" t="n">
        <f aca="false">IF(EA$1&lt;Units!$P94,0,IF(AND(Units!$K94=0,EA$1=Units!$O94),Units!$R94,IF(AND(EA$1&gt;=Units!$Q94,MOD(EA$1-Units!$Q94,12)=0),IF(AND(Units!$L94=1,EA$1=Units!$Q94),IF(Units!$J94&lt;&gt;"",Units!$J94,Mkt!EA95),Inputs!$B$15*Mkt!EA95+(1-Inputs!$B$15)*MIN(Mkt!EA95,DZ95*(1+Inputs!$B$18))),DZ95)))</f>
        <v>2049.47247849979</v>
      </c>
      <c r="EB95" s="11" t="n">
        <f aca="false">IF(EB$1&lt;Units!$P94,0,IF(AND(Units!$K94=0,EB$1=Units!$O94),Units!$R94,IF(AND(EB$1&gt;=Units!$Q94,MOD(EB$1-Units!$Q94,12)=0),IF(AND(Units!$L94=1,EB$1=Units!$Q94),IF(Units!$J94&lt;&gt;"",Units!$J94,Mkt!EB95),Inputs!$B$15*Mkt!EB95+(1-Inputs!$B$15)*MIN(Mkt!EB95,EA95*(1+Inputs!$B$18))),EA95)))</f>
        <v>2049.47247849979</v>
      </c>
      <c r="EC95" s="11" t="n">
        <f aca="false">IF(EC$1&lt;Units!$P94,0,IF(AND(Units!$K94=0,EC$1=Units!$O94),Units!$R94,IF(AND(EC$1&gt;=Units!$Q94,MOD(EC$1-Units!$Q94,12)=0),IF(AND(Units!$L94=1,EC$1=Units!$Q94),IF(Units!$J94&lt;&gt;"",Units!$J94,Mkt!EC95),Inputs!$B$15*Mkt!EC95+(1-Inputs!$B$15)*MIN(Mkt!EC95,EB95*(1+Inputs!$B$18))),EB95)))</f>
        <v>2049.47247849979</v>
      </c>
      <c r="ED95" s="11" t="n">
        <f aca="false">IF(ED$1&lt;Units!$P94,0,IF(AND(Units!$K94=0,ED$1=Units!$O94),Units!$R94,IF(AND(ED$1&gt;=Units!$Q94,MOD(ED$1-Units!$Q94,12)=0),IF(AND(Units!$L94=1,ED$1=Units!$Q94),IF(Units!$J94&lt;&gt;"",Units!$J94,Mkt!ED95),Inputs!$B$15*Mkt!ED95+(1-Inputs!$B$15)*MIN(Mkt!ED95,EC95*(1+Inputs!$B$18))),EC95)))</f>
        <v>2049.47247849979</v>
      </c>
    </row>
    <row r="96" customFormat="false" ht="15" hidden="false" customHeight="false" outlineLevel="0" collapsed="false">
      <c r="A96" s="22" t="n">
        <f aca="false">Units!A95</f>
        <v>404</v>
      </c>
      <c r="B96" s="24" t="n">
        <f aca="false">IF(Units!K95=1,Units!F95,0)</f>
        <v>1400</v>
      </c>
      <c r="C96" s="11" t="n">
        <f aca="false">IF(C$1&lt;Units!$P95,0,IF(AND(Units!$K95=0,C$1=Units!$O95),Units!$R95,IF(AND(C$1&gt;=Units!$Q95,MOD(C$1-Units!$Q95,12)=0),IF(AND(Units!$L95=1,C$1=Units!$Q95),IF(Units!$J95&lt;&gt;"",Units!$J95,Mkt!C96),Inputs!$B$15*Mkt!C96+(1-Inputs!$B$15)*MIN(Mkt!C96,B96*(1+Inputs!$B$18))),B96)))</f>
        <v>1400</v>
      </c>
      <c r="D96" s="11" t="n">
        <f aca="false">IF(D$1&lt;Units!$P95,0,IF(AND(Units!$K95=0,D$1=Units!$O95),Units!$R95,IF(AND(D$1&gt;=Units!$Q95,MOD(D$1-Units!$Q95,12)=0),IF(AND(Units!$L95=1,D$1=Units!$Q95),IF(Units!$J95&lt;&gt;"",Units!$J95,Mkt!D96),Inputs!$B$15*Mkt!D96+(1-Inputs!$B$15)*MIN(Mkt!D96,C96*(1+Inputs!$B$18))),C96)))</f>
        <v>1497.5</v>
      </c>
      <c r="E96" s="11" t="n">
        <f aca="false">IF(E$1&lt;Units!$P95,0,IF(AND(Units!$K95=0,E$1=Units!$O95),Units!$R95,IF(AND(E$1&gt;=Units!$Q95,MOD(E$1-Units!$Q95,12)=0),IF(AND(Units!$L95=1,E$1=Units!$Q95),IF(Units!$J95&lt;&gt;"",Units!$J95,Mkt!E96),Inputs!$B$15*Mkt!E96+(1-Inputs!$B$15)*MIN(Mkt!E96,D96*(1+Inputs!$B$18))),D96)))</f>
        <v>1497.5</v>
      </c>
      <c r="F96" s="11" t="n">
        <f aca="false">IF(F$1&lt;Units!$P95,0,IF(AND(Units!$K95=0,F$1=Units!$O95),Units!$R95,IF(AND(F$1&gt;=Units!$Q95,MOD(F$1-Units!$Q95,12)=0),IF(AND(Units!$L95=1,F$1=Units!$Q95),IF(Units!$J95&lt;&gt;"",Units!$J95,Mkt!F96),Inputs!$B$15*Mkt!F96+(1-Inputs!$B$15)*MIN(Mkt!F96,E96*(1+Inputs!$B$18))),E96)))</f>
        <v>1497.5</v>
      </c>
      <c r="G96" s="11" t="n">
        <f aca="false">IF(G$1&lt;Units!$P95,0,IF(AND(Units!$K95=0,G$1=Units!$O95),Units!$R95,IF(AND(G$1&gt;=Units!$Q95,MOD(G$1-Units!$Q95,12)=0),IF(AND(Units!$L95=1,G$1=Units!$Q95),IF(Units!$J95&lt;&gt;"",Units!$J95,Mkt!G96),Inputs!$B$15*Mkt!G96+(1-Inputs!$B$15)*MIN(Mkt!G96,F96*(1+Inputs!$B$18))),F96)))</f>
        <v>1497.5</v>
      </c>
      <c r="H96" s="11" t="n">
        <f aca="false">IF(H$1&lt;Units!$P95,0,IF(AND(Units!$K95=0,H$1=Units!$O95),Units!$R95,IF(AND(H$1&gt;=Units!$Q95,MOD(H$1-Units!$Q95,12)=0),IF(AND(Units!$L95=1,H$1=Units!$Q95),IF(Units!$J95&lt;&gt;"",Units!$J95,Mkt!H96),Inputs!$B$15*Mkt!H96+(1-Inputs!$B$15)*MIN(Mkt!H96,G96*(1+Inputs!$B$18))),G96)))</f>
        <v>1497.5</v>
      </c>
      <c r="I96" s="11" t="n">
        <f aca="false">IF(I$1&lt;Units!$P95,0,IF(AND(Units!$K95=0,I$1=Units!$O95),Units!$R95,IF(AND(I$1&gt;=Units!$Q95,MOD(I$1-Units!$Q95,12)=0),IF(AND(Units!$L95=1,I$1=Units!$Q95),IF(Units!$J95&lt;&gt;"",Units!$J95,Mkt!I96),Inputs!$B$15*Mkt!I96+(1-Inputs!$B$15)*MIN(Mkt!I96,H96*(1+Inputs!$B$18))),H96)))</f>
        <v>1497.5</v>
      </c>
      <c r="J96" s="11" t="n">
        <f aca="false">IF(J$1&lt;Units!$P95,0,IF(AND(Units!$K95=0,J$1=Units!$O95),Units!$R95,IF(AND(J$1&gt;=Units!$Q95,MOD(J$1-Units!$Q95,12)=0),IF(AND(Units!$L95=1,J$1=Units!$Q95),IF(Units!$J95&lt;&gt;"",Units!$J95,Mkt!J96),Inputs!$B$15*Mkt!J96+(1-Inputs!$B$15)*MIN(Mkt!J96,I96*(1+Inputs!$B$18))),I96)))</f>
        <v>1497.5</v>
      </c>
      <c r="K96" s="11" t="n">
        <f aca="false">IF(K$1&lt;Units!$P95,0,IF(AND(Units!$K95=0,K$1=Units!$O95),Units!$R95,IF(AND(K$1&gt;=Units!$Q95,MOD(K$1-Units!$Q95,12)=0),IF(AND(Units!$L95=1,K$1=Units!$Q95),IF(Units!$J95&lt;&gt;"",Units!$J95,Mkt!K96),Inputs!$B$15*Mkt!K96+(1-Inputs!$B$15)*MIN(Mkt!K96,J96*(1+Inputs!$B$18))),J96)))</f>
        <v>1497.5</v>
      </c>
      <c r="L96" s="11" t="n">
        <f aca="false">IF(L$1&lt;Units!$P95,0,IF(AND(Units!$K95=0,L$1=Units!$O95),Units!$R95,IF(AND(L$1&gt;=Units!$Q95,MOD(L$1-Units!$Q95,12)=0),IF(AND(Units!$L95=1,L$1=Units!$Q95),IF(Units!$J95&lt;&gt;"",Units!$J95,Mkt!L96),Inputs!$B$15*Mkt!L96+(1-Inputs!$B$15)*MIN(Mkt!L96,K96*(1+Inputs!$B$18))),K96)))</f>
        <v>1497.5</v>
      </c>
      <c r="M96" s="11" t="n">
        <f aca="false">IF(M$1&lt;Units!$P95,0,IF(AND(Units!$K95=0,M$1=Units!$O95),Units!$R95,IF(AND(M$1&gt;=Units!$Q95,MOD(M$1-Units!$Q95,12)=0),IF(AND(Units!$L95=1,M$1=Units!$Q95),IF(Units!$J95&lt;&gt;"",Units!$J95,Mkt!M96),Inputs!$B$15*Mkt!M96+(1-Inputs!$B$15)*MIN(Mkt!M96,L96*(1+Inputs!$B$18))),L96)))</f>
        <v>1497.5</v>
      </c>
      <c r="N96" s="11" t="n">
        <f aca="false">IF(N$1&lt;Units!$P95,0,IF(AND(Units!$K95=0,N$1=Units!$O95),Units!$R95,IF(AND(N$1&gt;=Units!$Q95,MOD(N$1-Units!$Q95,12)=0),IF(AND(Units!$L95=1,N$1=Units!$Q95),IF(Units!$J95&lt;&gt;"",Units!$J95,Mkt!N96),Inputs!$B$15*Mkt!N96+(1-Inputs!$B$15)*MIN(Mkt!N96,M96*(1+Inputs!$B$18))),M96)))</f>
        <v>1497.5</v>
      </c>
      <c r="O96" s="11" t="n">
        <f aca="false">IF(O$1&lt;Units!$P95,0,IF(AND(Units!$K95=0,O$1=Units!$O95),Units!$R95,IF(AND(O$1&gt;=Units!$Q95,MOD(O$1-Units!$Q95,12)=0),IF(AND(Units!$L95=1,O$1=Units!$Q95),IF(Units!$J95&lt;&gt;"",Units!$J95,Mkt!O96),Inputs!$B$15*Mkt!O96+(1-Inputs!$B$15)*MIN(Mkt!O96,N96*(1+Inputs!$B$18))),N96)))</f>
        <v>1497.5</v>
      </c>
      <c r="P96" s="11" t="n">
        <f aca="false">IF(P$1&lt;Units!$P95,0,IF(AND(Units!$K95=0,P$1=Units!$O95),Units!$R95,IF(AND(P$1&gt;=Units!$Q95,MOD(P$1-Units!$Q95,12)=0),IF(AND(Units!$L95=1,P$1=Units!$Q95),IF(Units!$J95&lt;&gt;"",Units!$J95,Mkt!P96),Inputs!$B$15*Mkt!P96+(1-Inputs!$B$15)*MIN(Mkt!P96,O96*(1+Inputs!$B$18))),O96)))</f>
        <v>1570.75</v>
      </c>
      <c r="Q96" s="11" t="n">
        <f aca="false">IF(Q$1&lt;Units!$P95,0,IF(AND(Units!$K95=0,Q$1=Units!$O95),Units!$R95,IF(AND(Q$1&gt;=Units!$Q95,MOD(Q$1-Units!$Q95,12)=0),IF(AND(Units!$L95=1,Q$1=Units!$Q95),IF(Units!$J95&lt;&gt;"",Units!$J95,Mkt!Q96),Inputs!$B$15*Mkt!Q96+(1-Inputs!$B$15)*MIN(Mkt!Q96,P96*(1+Inputs!$B$18))),P96)))</f>
        <v>1570.75</v>
      </c>
      <c r="R96" s="11" t="n">
        <f aca="false">IF(R$1&lt;Units!$P95,0,IF(AND(Units!$K95=0,R$1=Units!$O95),Units!$R95,IF(AND(R$1&gt;=Units!$Q95,MOD(R$1-Units!$Q95,12)=0),IF(AND(Units!$L95=1,R$1=Units!$Q95),IF(Units!$J95&lt;&gt;"",Units!$J95,Mkt!R96),Inputs!$B$15*Mkt!R96+(1-Inputs!$B$15)*MIN(Mkt!R96,Q96*(1+Inputs!$B$18))),Q96)))</f>
        <v>1570.75</v>
      </c>
      <c r="S96" s="11" t="n">
        <f aca="false">IF(S$1&lt;Units!$P95,0,IF(AND(Units!$K95=0,S$1=Units!$O95),Units!$R95,IF(AND(S$1&gt;=Units!$Q95,MOD(S$1-Units!$Q95,12)=0),IF(AND(Units!$L95=1,S$1=Units!$Q95),IF(Units!$J95&lt;&gt;"",Units!$J95,Mkt!S96),Inputs!$B$15*Mkt!S96+(1-Inputs!$B$15)*MIN(Mkt!S96,R96*(1+Inputs!$B$18))),R96)))</f>
        <v>1570.75</v>
      </c>
      <c r="T96" s="11" t="n">
        <f aca="false">IF(T$1&lt;Units!$P95,0,IF(AND(Units!$K95=0,T$1=Units!$O95),Units!$R95,IF(AND(T$1&gt;=Units!$Q95,MOD(T$1-Units!$Q95,12)=0),IF(AND(Units!$L95=1,T$1=Units!$Q95),IF(Units!$J95&lt;&gt;"",Units!$J95,Mkt!T96),Inputs!$B$15*Mkt!T96+(1-Inputs!$B$15)*MIN(Mkt!T96,S96*(1+Inputs!$B$18))),S96)))</f>
        <v>1570.75</v>
      </c>
      <c r="U96" s="11" t="n">
        <f aca="false">IF(U$1&lt;Units!$P95,0,IF(AND(Units!$K95=0,U$1=Units!$O95),Units!$R95,IF(AND(U$1&gt;=Units!$Q95,MOD(U$1-Units!$Q95,12)=0),IF(AND(Units!$L95=1,U$1=Units!$Q95),IF(Units!$J95&lt;&gt;"",Units!$J95,Mkt!U96),Inputs!$B$15*Mkt!U96+(1-Inputs!$B$15)*MIN(Mkt!U96,T96*(1+Inputs!$B$18))),T96)))</f>
        <v>1570.75</v>
      </c>
      <c r="V96" s="11" t="n">
        <f aca="false">IF(V$1&lt;Units!$P95,0,IF(AND(Units!$K95=0,V$1=Units!$O95),Units!$R95,IF(AND(V$1&gt;=Units!$Q95,MOD(V$1-Units!$Q95,12)=0),IF(AND(Units!$L95=1,V$1=Units!$Q95),IF(Units!$J95&lt;&gt;"",Units!$J95,Mkt!V96),Inputs!$B$15*Mkt!V96+(1-Inputs!$B$15)*MIN(Mkt!V96,U96*(1+Inputs!$B$18))),U96)))</f>
        <v>1570.75</v>
      </c>
      <c r="W96" s="11" t="n">
        <f aca="false">IF(W$1&lt;Units!$P95,0,IF(AND(Units!$K95=0,W$1=Units!$O95),Units!$R95,IF(AND(W$1&gt;=Units!$Q95,MOD(W$1-Units!$Q95,12)=0),IF(AND(Units!$L95=1,W$1=Units!$Q95),IF(Units!$J95&lt;&gt;"",Units!$J95,Mkt!W96),Inputs!$B$15*Mkt!W96+(1-Inputs!$B$15)*MIN(Mkt!W96,V96*(1+Inputs!$B$18))),V96)))</f>
        <v>1570.75</v>
      </c>
      <c r="X96" s="11" t="n">
        <f aca="false">IF(X$1&lt;Units!$P95,0,IF(AND(Units!$K95=0,X$1=Units!$O95),Units!$R95,IF(AND(X$1&gt;=Units!$Q95,MOD(X$1-Units!$Q95,12)=0),IF(AND(Units!$L95=1,X$1=Units!$Q95),IF(Units!$J95&lt;&gt;"",Units!$J95,Mkt!X96),Inputs!$B$15*Mkt!X96+(1-Inputs!$B$15)*MIN(Mkt!X96,W96*(1+Inputs!$B$18))),W96)))</f>
        <v>1570.75</v>
      </c>
      <c r="Y96" s="11" t="n">
        <f aca="false">IF(Y$1&lt;Units!$P95,0,IF(AND(Units!$K95=0,Y$1=Units!$O95),Units!$R95,IF(AND(Y$1&gt;=Units!$Q95,MOD(Y$1-Units!$Q95,12)=0),IF(AND(Units!$L95=1,Y$1=Units!$Q95),IF(Units!$J95&lt;&gt;"",Units!$J95,Mkt!Y96),Inputs!$B$15*Mkt!Y96+(1-Inputs!$B$15)*MIN(Mkt!Y96,X96*(1+Inputs!$B$18))),X96)))</f>
        <v>1570.75</v>
      </c>
      <c r="Z96" s="11" t="n">
        <f aca="false">IF(Z$1&lt;Units!$P95,0,IF(AND(Units!$K95=0,Z$1=Units!$O95),Units!$R95,IF(AND(Z$1&gt;=Units!$Q95,MOD(Z$1-Units!$Q95,12)=0),IF(AND(Units!$L95=1,Z$1=Units!$Q95),IF(Units!$J95&lt;&gt;"",Units!$J95,Mkt!Z96),Inputs!$B$15*Mkt!Z96+(1-Inputs!$B$15)*MIN(Mkt!Z96,Y96*(1+Inputs!$B$18))),Y96)))</f>
        <v>1570.75</v>
      </c>
      <c r="AA96" s="11" t="n">
        <f aca="false">IF(AA$1&lt;Units!$P95,0,IF(AND(Units!$K95=0,AA$1=Units!$O95),Units!$R95,IF(AND(AA$1&gt;=Units!$Q95,MOD(AA$1-Units!$Q95,12)=0),IF(AND(Units!$L95=1,AA$1=Units!$Q95),IF(Units!$J95&lt;&gt;"",Units!$J95,Mkt!AA96),Inputs!$B$15*Mkt!AA96+(1-Inputs!$B$15)*MIN(Mkt!AA96,Z96*(1+Inputs!$B$18))),Z96)))</f>
        <v>1570.75</v>
      </c>
      <c r="AB96" s="11" t="n">
        <f aca="false">IF(AB$1&lt;Units!$P95,0,IF(AND(Units!$K95=0,AB$1=Units!$O95),Units!$R95,IF(AND(AB$1&gt;=Units!$Q95,MOD(AB$1-Units!$Q95,12)=0),IF(AND(Units!$L95=1,AB$1=Units!$Q95),IF(Units!$J95&lt;&gt;"",Units!$J95,Mkt!AB96),Inputs!$B$15*Mkt!AB96+(1-Inputs!$B$15)*MIN(Mkt!AB96,AA96*(1+Inputs!$B$18))),AA96)))</f>
        <v>1617.8725</v>
      </c>
      <c r="AC96" s="11" t="n">
        <f aca="false">IF(AC$1&lt;Units!$P95,0,IF(AND(Units!$K95=0,AC$1=Units!$O95),Units!$R95,IF(AND(AC$1&gt;=Units!$Q95,MOD(AC$1-Units!$Q95,12)=0),IF(AND(Units!$L95=1,AC$1=Units!$Q95),IF(Units!$J95&lt;&gt;"",Units!$J95,Mkt!AC96),Inputs!$B$15*Mkt!AC96+(1-Inputs!$B$15)*MIN(Mkt!AC96,AB96*(1+Inputs!$B$18))),AB96)))</f>
        <v>1617.8725</v>
      </c>
      <c r="AD96" s="11" t="n">
        <f aca="false">IF(AD$1&lt;Units!$P95,0,IF(AND(Units!$K95=0,AD$1=Units!$O95),Units!$R95,IF(AND(AD$1&gt;=Units!$Q95,MOD(AD$1-Units!$Q95,12)=0),IF(AND(Units!$L95=1,AD$1=Units!$Q95),IF(Units!$J95&lt;&gt;"",Units!$J95,Mkt!AD96),Inputs!$B$15*Mkt!AD96+(1-Inputs!$B$15)*MIN(Mkt!AD96,AC96*(1+Inputs!$B$18))),AC96)))</f>
        <v>1617.8725</v>
      </c>
      <c r="AE96" s="11" t="n">
        <f aca="false">IF(AE$1&lt;Units!$P95,0,IF(AND(Units!$K95=0,AE$1=Units!$O95),Units!$R95,IF(AND(AE$1&gt;=Units!$Q95,MOD(AE$1-Units!$Q95,12)=0),IF(AND(Units!$L95=1,AE$1=Units!$Q95),IF(Units!$J95&lt;&gt;"",Units!$J95,Mkt!AE96),Inputs!$B$15*Mkt!AE96+(1-Inputs!$B$15)*MIN(Mkt!AE96,AD96*(1+Inputs!$B$18))),AD96)))</f>
        <v>1617.8725</v>
      </c>
      <c r="AF96" s="11" t="n">
        <f aca="false">IF(AF$1&lt;Units!$P95,0,IF(AND(Units!$K95=0,AF$1=Units!$O95),Units!$R95,IF(AND(AF$1&gt;=Units!$Q95,MOD(AF$1-Units!$Q95,12)=0),IF(AND(Units!$L95=1,AF$1=Units!$Q95),IF(Units!$J95&lt;&gt;"",Units!$J95,Mkt!AF96),Inputs!$B$15*Mkt!AF96+(1-Inputs!$B$15)*MIN(Mkt!AF96,AE96*(1+Inputs!$B$18))),AE96)))</f>
        <v>1617.8725</v>
      </c>
      <c r="AG96" s="11" t="n">
        <f aca="false">IF(AG$1&lt;Units!$P95,0,IF(AND(Units!$K95=0,AG$1=Units!$O95),Units!$R95,IF(AND(AG$1&gt;=Units!$Q95,MOD(AG$1-Units!$Q95,12)=0),IF(AND(Units!$L95=1,AG$1=Units!$Q95),IF(Units!$J95&lt;&gt;"",Units!$J95,Mkt!AG96),Inputs!$B$15*Mkt!AG96+(1-Inputs!$B$15)*MIN(Mkt!AG96,AF96*(1+Inputs!$B$18))),AF96)))</f>
        <v>1617.8725</v>
      </c>
      <c r="AH96" s="11" t="n">
        <f aca="false">IF(AH$1&lt;Units!$P95,0,IF(AND(Units!$K95=0,AH$1=Units!$O95),Units!$R95,IF(AND(AH$1&gt;=Units!$Q95,MOD(AH$1-Units!$Q95,12)=0),IF(AND(Units!$L95=1,AH$1=Units!$Q95),IF(Units!$J95&lt;&gt;"",Units!$J95,Mkt!AH96),Inputs!$B$15*Mkt!AH96+(1-Inputs!$B$15)*MIN(Mkt!AH96,AG96*(1+Inputs!$B$18))),AG96)))</f>
        <v>1617.8725</v>
      </c>
      <c r="AI96" s="11" t="n">
        <f aca="false">IF(AI$1&lt;Units!$P95,0,IF(AND(Units!$K95=0,AI$1=Units!$O95),Units!$R95,IF(AND(AI$1&gt;=Units!$Q95,MOD(AI$1-Units!$Q95,12)=0),IF(AND(Units!$L95=1,AI$1=Units!$Q95),IF(Units!$J95&lt;&gt;"",Units!$J95,Mkt!AI96),Inputs!$B$15*Mkt!AI96+(1-Inputs!$B$15)*MIN(Mkt!AI96,AH96*(1+Inputs!$B$18))),AH96)))</f>
        <v>1617.8725</v>
      </c>
      <c r="AJ96" s="11" t="n">
        <f aca="false">IF(AJ$1&lt;Units!$P95,0,IF(AND(Units!$K95=0,AJ$1=Units!$O95),Units!$R95,IF(AND(AJ$1&gt;=Units!$Q95,MOD(AJ$1-Units!$Q95,12)=0),IF(AND(Units!$L95=1,AJ$1=Units!$Q95),IF(Units!$J95&lt;&gt;"",Units!$J95,Mkt!AJ96),Inputs!$B$15*Mkt!AJ96+(1-Inputs!$B$15)*MIN(Mkt!AJ96,AI96*(1+Inputs!$B$18))),AI96)))</f>
        <v>1617.8725</v>
      </c>
      <c r="AK96" s="11" t="n">
        <f aca="false">IF(AK$1&lt;Units!$P95,0,IF(AND(Units!$K95=0,AK$1=Units!$O95),Units!$R95,IF(AND(AK$1&gt;=Units!$Q95,MOD(AK$1-Units!$Q95,12)=0),IF(AND(Units!$L95=1,AK$1=Units!$Q95),IF(Units!$J95&lt;&gt;"",Units!$J95,Mkt!AK96),Inputs!$B$15*Mkt!AK96+(1-Inputs!$B$15)*MIN(Mkt!AK96,AJ96*(1+Inputs!$B$18))),AJ96)))</f>
        <v>1617.8725</v>
      </c>
      <c r="AL96" s="11" t="n">
        <f aca="false">IF(AL$1&lt;Units!$P95,0,IF(AND(Units!$K95=0,AL$1=Units!$O95),Units!$R95,IF(AND(AL$1&gt;=Units!$Q95,MOD(AL$1-Units!$Q95,12)=0),IF(AND(Units!$L95=1,AL$1=Units!$Q95),IF(Units!$J95&lt;&gt;"",Units!$J95,Mkt!AL96),Inputs!$B$15*Mkt!AL96+(1-Inputs!$B$15)*MIN(Mkt!AL96,AK96*(1+Inputs!$B$18))),AK96)))</f>
        <v>1617.8725</v>
      </c>
      <c r="AM96" s="11" t="n">
        <f aca="false">IF(AM$1&lt;Units!$P95,0,IF(AND(Units!$K95=0,AM$1=Units!$O95),Units!$R95,IF(AND(AM$1&gt;=Units!$Q95,MOD(AM$1-Units!$Q95,12)=0),IF(AND(Units!$L95=1,AM$1=Units!$Q95),IF(Units!$J95&lt;&gt;"",Units!$J95,Mkt!AM96),Inputs!$B$15*Mkt!AM96+(1-Inputs!$B$15)*MIN(Mkt!AM96,AL96*(1+Inputs!$B$18))),AL96)))</f>
        <v>1617.8725</v>
      </c>
      <c r="AN96" s="11" t="n">
        <f aca="false">IF(AN$1&lt;Units!$P95,0,IF(AND(Units!$K95=0,AN$1=Units!$O95),Units!$R95,IF(AND(AN$1&gt;=Units!$Q95,MOD(AN$1-Units!$Q95,12)=0),IF(AND(Units!$L95=1,AN$1=Units!$Q95),IF(Units!$J95&lt;&gt;"",Units!$J95,Mkt!AN96),Inputs!$B$15*Mkt!AN96+(1-Inputs!$B$15)*MIN(Mkt!AN96,AM96*(1+Inputs!$B$18))),AM96)))</f>
        <v>1666.408675</v>
      </c>
      <c r="AO96" s="11" t="n">
        <f aca="false">IF(AO$1&lt;Units!$P95,0,IF(AND(Units!$K95=0,AO$1=Units!$O95),Units!$R95,IF(AND(AO$1&gt;=Units!$Q95,MOD(AO$1-Units!$Q95,12)=0),IF(AND(Units!$L95=1,AO$1=Units!$Q95),IF(Units!$J95&lt;&gt;"",Units!$J95,Mkt!AO96),Inputs!$B$15*Mkt!AO96+(1-Inputs!$B$15)*MIN(Mkt!AO96,AN96*(1+Inputs!$B$18))),AN96)))</f>
        <v>1666.408675</v>
      </c>
      <c r="AP96" s="11" t="n">
        <f aca="false">IF(AP$1&lt;Units!$P95,0,IF(AND(Units!$K95=0,AP$1=Units!$O95),Units!$R95,IF(AND(AP$1&gt;=Units!$Q95,MOD(AP$1-Units!$Q95,12)=0),IF(AND(Units!$L95=1,AP$1=Units!$Q95),IF(Units!$J95&lt;&gt;"",Units!$J95,Mkt!AP96),Inputs!$B$15*Mkt!AP96+(1-Inputs!$B$15)*MIN(Mkt!AP96,AO96*(1+Inputs!$B$18))),AO96)))</f>
        <v>1666.408675</v>
      </c>
      <c r="AQ96" s="11" t="n">
        <f aca="false">IF(AQ$1&lt;Units!$P95,0,IF(AND(Units!$K95=0,AQ$1=Units!$O95),Units!$R95,IF(AND(AQ$1&gt;=Units!$Q95,MOD(AQ$1-Units!$Q95,12)=0),IF(AND(Units!$L95=1,AQ$1=Units!$Q95),IF(Units!$J95&lt;&gt;"",Units!$J95,Mkt!AQ96),Inputs!$B$15*Mkt!AQ96+(1-Inputs!$B$15)*MIN(Mkt!AQ96,AP96*(1+Inputs!$B$18))),AP96)))</f>
        <v>1666.408675</v>
      </c>
      <c r="AR96" s="11" t="n">
        <f aca="false">IF(AR$1&lt;Units!$P95,0,IF(AND(Units!$K95=0,AR$1=Units!$O95),Units!$R95,IF(AND(AR$1&gt;=Units!$Q95,MOD(AR$1-Units!$Q95,12)=0),IF(AND(Units!$L95=1,AR$1=Units!$Q95),IF(Units!$J95&lt;&gt;"",Units!$J95,Mkt!AR96),Inputs!$B$15*Mkt!AR96+(1-Inputs!$B$15)*MIN(Mkt!AR96,AQ96*(1+Inputs!$B$18))),AQ96)))</f>
        <v>1666.408675</v>
      </c>
      <c r="AS96" s="11" t="n">
        <f aca="false">IF(AS$1&lt;Units!$P95,0,IF(AND(Units!$K95=0,AS$1=Units!$O95),Units!$R95,IF(AND(AS$1&gt;=Units!$Q95,MOD(AS$1-Units!$Q95,12)=0),IF(AND(Units!$L95=1,AS$1=Units!$Q95),IF(Units!$J95&lt;&gt;"",Units!$J95,Mkt!AS96),Inputs!$B$15*Mkt!AS96+(1-Inputs!$B$15)*MIN(Mkt!AS96,AR96*(1+Inputs!$B$18))),AR96)))</f>
        <v>1666.408675</v>
      </c>
      <c r="AT96" s="11" t="n">
        <f aca="false">IF(AT$1&lt;Units!$P95,0,IF(AND(Units!$K95=0,AT$1=Units!$O95),Units!$R95,IF(AND(AT$1&gt;=Units!$Q95,MOD(AT$1-Units!$Q95,12)=0),IF(AND(Units!$L95=1,AT$1=Units!$Q95),IF(Units!$J95&lt;&gt;"",Units!$J95,Mkt!AT96),Inputs!$B$15*Mkt!AT96+(1-Inputs!$B$15)*MIN(Mkt!AT96,AS96*(1+Inputs!$B$18))),AS96)))</f>
        <v>1666.408675</v>
      </c>
      <c r="AU96" s="11" t="n">
        <f aca="false">IF(AU$1&lt;Units!$P95,0,IF(AND(Units!$K95=0,AU$1=Units!$O95),Units!$R95,IF(AND(AU$1&gt;=Units!$Q95,MOD(AU$1-Units!$Q95,12)=0),IF(AND(Units!$L95=1,AU$1=Units!$Q95),IF(Units!$J95&lt;&gt;"",Units!$J95,Mkt!AU96),Inputs!$B$15*Mkt!AU96+(1-Inputs!$B$15)*MIN(Mkt!AU96,AT96*(1+Inputs!$B$18))),AT96)))</f>
        <v>1666.408675</v>
      </c>
      <c r="AV96" s="11" t="n">
        <f aca="false">IF(AV$1&lt;Units!$P95,0,IF(AND(Units!$K95=0,AV$1=Units!$O95),Units!$R95,IF(AND(AV$1&gt;=Units!$Q95,MOD(AV$1-Units!$Q95,12)=0),IF(AND(Units!$L95=1,AV$1=Units!$Q95),IF(Units!$J95&lt;&gt;"",Units!$J95,Mkt!AV96),Inputs!$B$15*Mkt!AV96+(1-Inputs!$B$15)*MIN(Mkt!AV96,AU96*(1+Inputs!$B$18))),AU96)))</f>
        <v>1666.408675</v>
      </c>
      <c r="AW96" s="11" t="n">
        <f aca="false">IF(AW$1&lt;Units!$P95,0,IF(AND(Units!$K95=0,AW$1=Units!$O95),Units!$R95,IF(AND(AW$1&gt;=Units!$Q95,MOD(AW$1-Units!$Q95,12)=0),IF(AND(Units!$L95=1,AW$1=Units!$Q95),IF(Units!$J95&lt;&gt;"",Units!$J95,Mkt!AW96),Inputs!$B$15*Mkt!AW96+(1-Inputs!$B$15)*MIN(Mkt!AW96,AV96*(1+Inputs!$B$18))),AV96)))</f>
        <v>1666.408675</v>
      </c>
      <c r="AX96" s="11" t="n">
        <f aca="false">IF(AX$1&lt;Units!$P95,0,IF(AND(Units!$K95=0,AX$1=Units!$O95),Units!$R95,IF(AND(AX$1&gt;=Units!$Q95,MOD(AX$1-Units!$Q95,12)=0),IF(AND(Units!$L95=1,AX$1=Units!$Q95),IF(Units!$J95&lt;&gt;"",Units!$J95,Mkt!AX96),Inputs!$B$15*Mkt!AX96+(1-Inputs!$B$15)*MIN(Mkt!AX96,AW96*(1+Inputs!$B$18))),AW96)))</f>
        <v>1666.408675</v>
      </c>
      <c r="AY96" s="11" t="n">
        <f aca="false">IF(AY$1&lt;Units!$P95,0,IF(AND(Units!$K95=0,AY$1=Units!$O95),Units!$R95,IF(AND(AY$1&gt;=Units!$Q95,MOD(AY$1-Units!$Q95,12)=0),IF(AND(Units!$L95=1,AY$1=Units!$Q95),IF(Units!$J95&lt;&gt;"",Units!$J95,Mkt!AY96),Inputs!$B$15*Mkt!AY96+(1-Inputs!$B$15)*MIN(Mkt!AY96,AX96*(1+Inputs!$B$18))),AX96)))</f>
        <v>1666.408675</v>
      </c>
      <c r="AZ96" s="11" t="n">
        <f aca="false">IF(AZ$1&lt;Units!$P95,0,IF(AND(Units!$K95=0,AZ$1=Units!$O95),Units!$R95,IF(AND(AZ$1&gt;=Units!$Q95,MOD(AZ$1-Units!$Q95,12)=0),IF(AND(Units!$L95=1,AZ$1=Units!$Q95),IF(Units!$J95&lt;&gt;"",Units!$J95,Mkt!AZ96),Inputs!$B$15*Mkt!AZ96+(1-Inputs!$B$15)*MIN(Mkt!AZ96,AY96*(1+Inputs!$B$18))),AY96)))</f>
        <v>1716.40093525</v>
      </c>
      <c r="BA96" s="11" t="n">
        <f aca="false">IF(BA$1&lt;Units!$P95,0,IF(AND(Units!$K95=0,BA$1=Units!$O95),Units!$R95,IF(AND(BA$1&gt;=Units!$Q95,MOD(BA$1-Units!$Q95,12)=0),IF(AND(Units!$L95=1,BA$1=Units!$Q95),IF(Units!$J95&lt;&gt;"",Units!$J95,Mkt!BA96),Inputs!$B$15*Mkt!BA96+(1-Inputs!$B$15)*MIN(Mkt!BA96,AZ96*(1+Inputs!$B$18))),AZ96)))</f>
        <v>1716.40093525</v>
      </c>
      <c r="BB96" s="11" t="n">
        <f aca="false">IF(BB$1&lt;Units!$P95,0,IF(AND(Units!$K95=0,BB$1=Units!$O95),Units!$R95,IF(AND(BB$1&gt;=Units!$Q95,MOD(BB$1-Units!$Q95,12)=0),IF(AND(Units!$L95=1,BB$1=Units!$Q95),IF(Units!$J95&lt;&gt;"",Units!$J95,Mkt!BB96),Inputs!$B$15*Mkt!BB96+(1-Inputs!$B$15)*MIN(Mkt!BB96,BA96*(1+Inputs!$B$18))),BA96)))</f>
        <v>1716.40093525</v>
      </c>
      <c r="BC96" s="11" t="n">
        <f aca="false">IF(BC$1&lt;Units!$P95,0,IF(AND(Units!$K95=0,BC$1=Units!$O95),Units!$R95,IF(AND(BC$1&gt;=Units!$Q95,MOD(BC$1-Units!$Q95,12)=0),IF(AND(Units!$L95=1,BC$1=Units!$Q95),IF(Units!$J95&lt;&gt;"",Units!$J95,Mkt!BC96),Inputs!$B$15*Mkt!BC96+(1-Inputs!$B$15)*MIN(Mkt!BC96,BB96*(1+Inputs!$B$18))),BB96)))</f>
        <v>1716.40093525</v>
      </c>
      <c r="BD96" s="11" t="n">
        <f aca="false">IF(BD$1&lt;Units!$P95,0,IF(AND(Units!$K95=0,BD$1=Units!$O95),Units!$R95,IF(AND(BD$1&gt;=Units!$Q95,MOD(BD$1-Units!$Q95,12)=0),IF(AND(Units!$L95=1,BD$1=Units!$Q95),IF(Units!$J95&lt;&gt;"",Units!$J95,Mkt!BD96),Inputs!$B$15*Mkt!BD96+(1-Inputs!$B$15)*MIN(Mkt!BD96,BC96*(1+Inputs!$B$18))),BC96)))</f>
        <v>1716.40093525</v>
      </c>
      <c r="BE96" s="11" t="n">
        <f aca="false">IF(BE$1&lt;Units!$P95,0,IF(AND(Units!$K95=0,BE$1=Units!$O95),Units!$R95,IF(AND(BE$1&gt;=Units!$Q95,MOD(BE$1-Units!$Q95,12)=0),IF(AND(Units!$L95=1,BE$1=Units!$Q95),IF(Units!$J95&lt;&gt;"",Units!$J95,Mkt!BE96),Inputs!$B$15*Mkt!BE96+(1-Inputs!$B$15)*MIN(Mkt!BE96,BD96*(1+Inputs!$B$18))),BD96)))</f>
        <v>1716.40093525</v>
      </c>
      <c r="BF96" s="11" t="n">
        <f aca="false">IF(BF$1&lt;Units!$P95,0,IF(AND(Units!$K95=0,BF$1=Units!$O95),Units!$R95,IF(AND(BF$1&gt;=Units!$Q95,MOD(BF$1-Units!$Q95,12)=0),IF(AND(Units!$L95=1,BF$1=Units!$Q95),IF(Units!$J95&lt;&gt;"",Units!$J95,Mkt!BF96),Inputs!$B$15*Mkt!BF96+(1-Inputs!$B$15)*MIN(Mkt!BF96,BE96*(1+Inputs!$B$18))),BE96)))</f>
        <v>1716.40093525</v>
      </c>
      <c r="BG96" s="11" t="n">
        <f aca="false">IF(BG$1&lt;Units!$P95,0,IF(AND(Units!$K95=0,BG$1=Units!$O95),Units!$R95,IF(AND(BG$1&gt;=Units!$Q95,MOD(BG$1-Units!$Q95,12)=0),IF(AND(Units!$L95=1,BG$1=Units!$Q95),IF(Units!$J95&lt;&gt;"",Units!$J95,Mkt!BG96),Inputs!$B$15*Mkt!BG96+(1-Inputs!$B$15)*MIN(Mkt!BG96,BF96*(1+Inputs!$B$18))),BF96)))</f>
        <v>1716.40093525</v>
      </c>
      <c r="BH96" s="11" t="n">
        <f aca="false">IF(BH$1&lt;Units!$P95,0,IF(AND(Units!$K95=0,BH$1=Units!$O95),Units!$R95,IF(AND(BH$1&gt;=Units!$Q95,MOD(BH$1-Units!$Q95,12)=0),IF(AND(Units!$L95=1,BH$1=Units!$Q95),IF(Units!$J95&lt;&gt;"",Units!$J95,Mkt!BH96),Inputs!$B$15*Mkt!BH96+(1-Inputs!$B$15)*MIN(Mkt!BH96,BG96*(1+Inputs!$B$18))),BG96)))</f>
        <v>1716.40093525</v>
      </c>
      <c r="BI96" s="11" t="n">
        <f aca="false">IF(BI$1&lt;Units!$P95,0,IF(AND(Units!$K95=0,BI$1=Units!$O95),Units!$R95,IF(AND(BI$1&gt;=Units!$Q95,MOD(BI$1-Units!$Q95,12)=0),IF(AND(Units!$L95=1,BI$1=Units!$Q95),IF(Units!$J95&lt;&gt;"",Units!$J95,Mkt!BI96),Inputs!$B$15*Mkt!BI96+(1-Inputs!$B$15)*MIN(Mkt!BI96,BH96*(1+Inputs!$B$18))),BH96)))</f>
        <v>1716.40093525</v>
      </c>
      <c r="BJ96" s="11" t="n">
        <f aca="false">IF(BJ$1&lt;Units!$P95,0,IF(AND(Units!$K95=0,BJ$1=Units!$O95),Units!$R95,IF(AND(BJ$1&gt;=Units!$Q95,MOD(BJ$1-Units!$Q95,12)=0),IF(AND(Units!$L95=1,BJ$1=Units!$Q95),IF(Units!$J95&lt;&gt;"",Units!$J95,Mkt!BJ96),Inputs!$B$15*Mkt!BJ96+(1-Inputs!$B$15)*MIN(Mkt!BJ96,BI96*(1+Inputs!$B$18))),BI96)))</f>
        <v>1716.40093525</v>
      </c>
      <c r="BK96" s="11" t="n">
        <f aca="false">IF(BK$1&lt;Units!$P95,0,IF(AND(Units!$K95=0,BK$1=Units!$O95),Units!$R95,IF(AND(BK$1&gt;=Units!$Q95,MOD(BK$1-Units!$Q95,12)=0),IF(AND(Units!$L95=1,BK$1=Units!$Q95),IF(Units!$J95&lt;&gt;"",Units!$J95,Mkt!BK96),Inputs!$B$15*Mkt!BK96+(1-Inputs!$B$15)*MIN(Mkt!BK96,BJ96*(1+Inputs!$B$18))),BJ96)))</f>
        <v>1716.40093525</v>
      </c>
      <c r="BL96" s="11" t="n">
        <f aca="false">IF(BL$1&lt;Units!$P95,0,IF(AND(Units!$K95=0,BL$1=Units!$O95),Units!$R95,IF(AND(BL$1&gt;=Units!$Q95,MOD(BL$1-Units!$Q95,12)=0),IF(AND(Units!$L95=1,BL$1=Units!$Q95),IF(Units!$J95&lt;&gt;"",Units!$J95,Mkt!BL96),Inputs!$B$15*Mkt!BL96+(1-Inputs!$B$15)*MIN(Mkt!BL96,BK96*(1+Inputs!$B$18))),BK96)))</f>
        <v>1767.8929633075</v>
      </c>
      <c r="BM96" s="11" t="n">
        <f aca="false">IF(BM$1&lt;Units!$P95,0,IF(AND(Units!$K95=0,BM$1=Units!$O95),Units!$R95,IF(AND(BM$1&gt;=Units!$Q95,MOD(BM$1-Units!$Q95,12)=0),IF(AND(Units!$L95=1,BM$1=Units!$Q95),IF(Units!$J95&lt;&gt;"",Units!$J95,Mkt!BM96),Inputs!$B$15*Mkt!BM96+(1-Inputs!$B$15)*MIN(Mkt!BM96,BL96*(1+Inputs!$B$18))),BL96)))</f>
        <v>1767.8929633075</v>
      </c>
      <c r="BN96" s="11" t="n">
        <f aca="false">IF(BN$1&lt;Units!$P95,0,IF(AND(Units!$K95=0,BN$1=Units!$O95),Units!$R95,IF(AND(BN$1&gt;=Units!$Q95,MOD(BN$1-Units!$Q95,12)=0),IF(AND(Units!$L95=1,BN$1=Units!$Q95),IF(Units!$J95&lt;&gt;"",Units!$J95,Mkt!BN96),Inputs!$B$15*Mkt!BN96+(1-Inputs!$B$15)*MIN(Mkt!BN96,BM96*(1+Inputs!$B$18))),BM96)))</f>
        <v>1767.8929633075</v>
      </c>
      <c r="BO96" s="11" t="n">
        <f aca="false">IF(BO$1&lt;Units!$P95,0,IF(AND(Units!$K95=0,BO$1=Units!$O95),Units!$R95,IF(AND(BO$1&gt;=Units!$Q95,MOD(BO$1-Units!$Q95,12)=0),IF(AND(Units!$L95=1,BO$1=Units!$Q95),IF(Units!$J95&lt;&gt;"",Units!$J95,Mkt!BO96),Inputs!$B$15*Mkt!BO96+(1-Inputs!$B$15)*MIN(Mkt!BO96,BN96*(1+Inputs!$B$18))),BN96)))</f>
        <v>1767.8929633075</v>
      </c>
      <c r="BP96" s="11" t="n">
        <f aca="false">IF(BP$1&lt;Units!$P95,0,IF(AND(Units!$K95=0,BP$1=Units!$O95),Units!$R95,IF(AND(BP$1&gt;=Units!$Q95,MOD(BP$1-Units!$Q95,12)=0),IF(AND(Units!$L95=1,BP$1=Units!$Q95),IF(Units!$J95&lt;&gt;"",Units!$J95,Mkt!BP96),Inputs!$B$15*Mkt!BP96+(1-Inputs!$B$15)*MIN(Mkt!BP96,BO96*(1+Inputs!$B$18))),BO96)))</f>
        <v>1767.8929633075</v>
      </c>
      <c r="BQ96" s="11" t="n">
        <f aca="false">IF(BQ$1&lt;Units!$P95,0,IF(AND(Units!$K95=0,BQ$1=Units!$O95),Units!$R95,IF(AND(BQ$1&gt;=Units!$Q95,MOD(BQ$1-Units!$Q95,12)=0),IF(AND(Units!$L95=1,BQ$1=Units!$Q95),IF(Units!$J95&lt;&gt;"",Units!$J95,Mkt!BQ96),Inputs!$B$15*Mkt!BQ96+(1-Inputs!$B$15)*MIN(Mkt!BQ96,BP96*(1+Inputs!$B$18))),BP96)))</f>
        <v>1767.8929633075</v>
      </c>
      <c r="BR96" s="11" t="n">
        <f aca="false">IF(BR$1&lt;Units!$P95,0,IF(AND(Units!$K95=0,BR$1=Units!$O95),Units!$R95,IF(AND(BR$1&gt;=Units!$Q95,MOD(BR$1-Units!$Q95,12)=0),IF(AND(Units!$L95=1,BR$1=Units!$Q95),IF(Units!$J95&lt;&gt;"",Units!$J95,Mkt!BR96),Inputs!$B$15*Mkt!BR96+(1-Inputs!$B$15)*MIN(Mkt!BR96,BQ96*(1+Inputs!$B$18))),BQ96)))</f>
        <v>1767.8929633075</v>
      </c>
      <c r="BS96" s="11" t="n">
        <f aca="false">IF(BS$1&lt;Units!$P95,0,IF(AND(Units!$K95=0,BS$1=Units!$O95),Units!$R95,IF(AND(BS$1&gt;=Units!$Q95,MOD(BS$1-Units!$Q95,12)=0),IF(AND(Units!$L95=1,BS$1=Units!$Q95),IF(Units!$J95&lt;&gt;"",Units!$J95,Mkt!BS96),Inputs!$B$15*Mkt!BS96+(1-Inputs!$B$15)*MIN(Mkt!BS96,BR96*(1+Inputs!$B$18))),BR96)))</f>
        <v>1767.8929633075</v>
      </c>
      <c r="BT96" s="11" t="n">
        <f aca="false">IF(BT$1&lt;Units!$P95,0,IF(AND(Units!$K95=0,BT$1=Units!$O95),Units!$R95,IF(AND(BT$1&gt;=Units!$Q95,MOD(BT$1-Units!$Q95,12)=0),IF(AND(Units!$L95=1,BT$1=Units!$Q95),IF(Units!$J95&lt;&gt;"",Units!$J95,Mkt!BT96),Inputs!$B$15*Mkt!BT96+(1-Inputs!$B$15)*MIN(Mkt!BT96,BS96*(1+Inputs!$B$18))),BS96)))</f>
        <v>1767.8929633075</v>
      </c>
      <c r="BU96" s="11" t="n">
        <f aca="false">IF(BU$1&lt;Units!$P95,0,IF(AND(Units!$K95=0,BU$1=Units!$O95),Units!$R95,IF(AND(BU$1&gt;=Units!$Q95,MOD(BU$1-Units!$Q95,12)=0),IF(AND(Units!$L95=1,BU$1=Units!$Q95),IF(Units!$J95&lt;&gt;"",Units!$J95,Mkt!BU96),Inputs!$B$15*Mkt!BU96+(1-Inputs!$B$15)*MIN(Mkt!BU96,BT96*(1+Inputs!$B$18))),BT96)))</f>
        <v>1767.8929633075</v>
      </c>
      <c r="BV96" s="11" t="n">
        <f aca="false">IF(BV$1&lt;Units!$P95,0,IF(AND(Units!$K95=0,BV$1=Units!$O95),Units!$R95,IF(AND(BV$1&gt;=Units!$Q95,MOD(BV$1-Units!$Q95,12)=0),IF(AND(Units!$L95=1,BV$1=Units!$Q95),IF(Units!$J95&lt;&gt;"",Units!$J95,Mkt!BV96),Inputs!$B$15*Mkt!BV96+(1-Inputs!$B$15)*MIN(Mkt!BV96,BU96*(1+Inputs!$B$18))),BU96)))</f>
        <v>1767.8929633075</v>
      </c>
      <c r="BW96" s="11" t="n">
        <f aca="false">IF(BW$1&lt;Units!$P95,0,IF(AND(Units!$K95=0,BW$1=Units!$O95),Units!$R95,IF(AND(BW$1&gt;=Units!$Q95,MOD(BW$1-Units!$Q95,12)=0),IF(AND(Units!$L95=1,BW$1=Units!$Q95),IF(Units!$J95&lt;&gt;"",Units!$J95,Mkt!BW96),Inputs!$B$15*Mkt!BW96+(1-Inputs!$B$15)*MIN(Mkt!BW96,BV96*(1+Inputs!$B$18))),BV96)))</f>
        <v>1767.8929633075</v>
      </c>
      <c r="BX96" s="11" t="n">
        <f aca="false">IF(BX$1&lt;Units!$P95,0,IF(AND(Units!$K95=0,BX$1=Units!$O95),Units!$R95,IF(AND(BX$1&gt;=Units!$Q95,MOD(BX$1-Units!$Q95,12)=0),IF(AND(Units!$L95=1,BX$1=Units!$Q95),IF(Units!$J95&lt;&gt;"",Units!$J95,Mkt!BX96),Inputs!$B$15*Mkt!BX96+(1-Inputs!$B$15)*MIN(Mkt!BX96,BW96*(1+Inputs!$B$18))),BW96)))</f>
        <v>1820.92975220673</v>
      </c>
      <c r="BY96" s="11" t="n">
        <f aca="false">IF(BY$1&lt;Units!$P95,0,IF(AND(Units!$K95=0,BY$1=Units!$O95),Units!$R95,IF(AND(BY$1&gt;=Units!$Q95,MOD(BY$1-Units!$Q95,12)=0),IF(AND(Units!$L95=1,BY$1=Units!$Q95),IF(Units!$J95&lt;&gt;"",Units!$J95,Mkt!BY96),Inputs!$B$15*Mkt!BY96+(1-Inputs!$B$15)*MIN(Mkt!BY96,BX96*(1+Inputs!$B$18))),BX96)))</f>
        <v>1820.92975220673</v>
      </c>
      <c r="BZ96" s="11" t="n">
        <f aca="false">IF(BZ$1&lt;Units!$P95,0,IF(AND(Units!$K95=0,BZ$1=Units!$O95),Units!$R95,IF(AND(BZ$1&gt;=Units!$Q95,MOD(BZ$1-Units!$Q95,12)=0),IF(AND(Units!$L95=1,BZ$1=Units!$Q95),IF(Units!$J95&lt;&gt;"",Units!$J95,Mkt!BZ96),Inputs!$B$15*Mkt!BZ96+(1-Inputs!$B$15)*MIN(Mkt!BZ96,BY96*(1+Inputs!$B$18))),BY96)))</f>
        <v>1820.92975220673</v>
      </c>
      <c r="CA96" s="11" t="n">
        <f aca="false">IF(CA$1&lt;Units!$P95,0,IF(AND(Units!$K95=0,CA$1=Units!$O95),Units!$R95,IF(AND(CA$1&gt;=Units!$Q95,MOD(CA$1-Units!$Q95,12)=0),IF(AND(Units!$L95=1,CA$1=Units!$Q95),IF(Units!$J95&lt;&gt;"",Units!$J95,Mkt!CA96),Inputs!$B$15*Mkt!CA96+(1-Inputs!$B$15)*MIN(Mkt!CA96,BZ96*(1+Inputs!$B$18))),BZ96)))</f>
        <v>1820.92975220673</v>
      </c>
      <c r="CB96" s="11" t="n">
        <f aca="false">IF(CB$1&lt;Units!$P95,0,IF(AND(Units!$K95=0,CB$1=Units!$O95),Units!$R95,IF(AND(CB$1&gt;=Units!$Q95,MOD(CB$1-Units!$Q95,12)=0),IF(AND(Units!$L95=1,CB$1=Units!$Q95),IF(Units!$J95&lt;&gt;"",Units!$J95,Mkt!CB96),Inputs!$B$15*Mkt!CB96+(1-Inputs!$B$15)*MIN(Mkt!CB96,CA96*(1+Inputs!$B$18))),CA96)))</f>
        <v>1820.92975220673</v>
      </c>
      <c r="CC96" s="11" t="n">
        <f aca="false">IF(CC$1&lt;Units!$P95,0,IF(AND(Units!$K95=0,CC$1=Units!$O95),Units!$R95,IF(AND(CC$1&gt;=Units!$Q95,MOD(CC$1-Units!$Q95,12)=0),IF(AND(Units!$L95=1,CC$1=Units!$Q95),IF(Units!$J95&lt;&gt;"",Units!$J95,Mkt!CC96),Inputs!$B$15*Mkt!CC96+(1-Inputs!$B$15)*MIN(Mkt!CC96,CB96*(1+Inputs!$B$18))),CB96)))</f>
        <v>1820.92975220673</v>
      </c>
      <c r="CD96" s="11" t="n">
        <f aca="false">IF(CD$1&lt;Units!$P95,0,IF(AND(Units!$K95=0,CD$1=Units!$O95),Units!$R95,IF(AND(CD$1&gt;=Units!$Q95,MOD(CD$1-Units!$Q95,12)=0),IF(AND(Units!$L95=1,CD$1=Units!$Q95),IF(Units!$J95&lt;&gt;"",Units!$J95,Mkt!CD96),Inputs!$B$15*Mkt!CD96+(1-Inputs!$B$15)*MIN(Mkt!CD96,CC96*(1+Inputs!$B$18))),CC96)))</f>
        <v>1820.92975220673</v>
      </c>
      <c r="CE96" s="11" t="n">
        <f aca="false">IF(CE$1&lt;Units!$P95,0,IF(AND(Units!$K95=0,CE$1=Units!$O95),Units!$R95,IF(AND(CE$1&gt;=Units!$Q95,MOD(CE$1-Units!$Q95,12)=0),IF(AND(Units!$L95=1,CE$1=Units!$Q95),IF(Units!$J95&lt;&gt;"",Units!$J95,Mkt!CE96),Inputs!$B$15*Mkt!CE96+(1-Inputs!$B$15)*MIN(Mkt!CE96,CD96*(1+Inputs!$B$18))),CD96)))</f>
        <v>1820.92975220673</v>
      </c>
      <c r="CF96" s="11" t="n">
        <f aca="false">IF(CF$1&lt;Units!$P95,0,IF(AND(Units!$K95=0,CF$1=Units!$O95),Units!$R95,IF(AND(CF$1&gt;=Units!$Q95,MOD(CF$1-Units!$Q95,12)=0),IF(AND(Units!$L95=1,CF$1=Units!$Q95),IF(Units!$J95&lt;&gt;"",Units!$J95,Mkt!CF96),Inputs!$B$15*Mkt!CF96+(1-Inputs!$B$15)*MIN(Mkt!CF96,CE96*(1+Inputs!$B$18))),CE96)))</f>
        <v>1820.92975220673</v>
      </c>
      <c r="CG96" s="11" t="n">
        <f aca="false">IF(CG$1&lt;Units!$P95,0,IF(AND(Units!$K95=0,CG$1=Units!$O95),Units!$R95,IF(AND(CG$1&gt;=Units!$Q95,MOD(CG$1-Units!$Q95,12)=0),IF(AND(Units!$L95=1,CG$1=Units!$Q95),IF(Units!$J95&lt;&gt;"",Units!$J95,Mkt!CG96),Inputs!$B$15*Mkt!CG96+(1-Inputs!$B$15)*MIN(Mkt!CG96,CF96*(1+Inputs!$B$18))),CF96)))</f>
        <v>1820.92975220673</v>
      </c>
      <c r="CH96" s="11" t="n">
        <f aca="false">IF(CH$1&lt;Units!$P95,0,IF(AND(Units!$K95=0,CH$1=Units!$O95),Units!$R95,IF(AND(CH$1&gt;=Units!$Q95,MOD(CH$1-Units!$Q95,12)=0),IF(AND(Units!$L95=1,CH$1=Units!$Q95),IF(Units!$J95&lt;&gt;"",Units!$J95,Mkt!CH96),Inputs!$B$15*Mkt!CH96+(1-Inputs!$B$15)*MIN(Mkt!CH96,CG96*(1+Inputs!$B$18))),CG96)))</f>
        <v>1820.92975220673</v>
      </c>
      <c r="CI96" s="11" t="n">
        <f aca="false">IF(CI$1&lt;Units!$P95,0,IF(AND(Units!$K95=0,CI$1=Units!$O95),Units!$R95,IF(AND(CI$1&gt;=Units!$Q95,MOD(CI$1-Units!$Q95,12)=0),IF(AND(Units!$L95=1,CI$1=Units!$Q95),IF(Units!$J95&lt;&gt;"",Units!$J95,Mkt!CI96),Inputs!$B$15*Mkt!CI96+(1-Inputs!$B$15)*MIN(Mkt!CI96,CH96*(1+Inputs!$B$18))),CH96)))</f>
        <v>1820.92975220673</v>
      </c>
      <c r="CJ96" s="11" t="n">
        <f aca="false">IF(CJ$1&lt;Units!$P95,0,IF(AND(Units!$K95=0,CJ$1=Units!$O95),Units!$R95,IF(AND(CJ$1&gt;=Units!$Q95,MOD(CJ$1-Units!$Q95,12)=0),IF(AND(Units!$L95=1,CJ$1=Units!$Q95),IF(Units!$J95&lt;&gt;"",Units!$J95,Mkt!CJ96),Inputs!$B$15*Mkt!CJ96+(1-Inputs!$B$15)*MIN(Mkt!CJ96,CI96*(1+Inputs!$B$18))),CI96)))</f>
        <v>1875.55764477293</v>
      </c>
      <c r="CK96" s="11" t="n">
        <f aca="false">IF(CK$1&lt;Units!$P95,0,IF(AND(Units!$K95=0,CK$1=Units!$O95),Units!$R95,IF(AND(CK$1&gt;=Units!$Q95,MOD(CK$1-Units!$Q95,12)=0),IF(AND(Units!$L95=1,CK$1=Units!$Q95),IF(Units!$J95&lt;&gt;"",Units!$J95,Mkt!CK96),Inputs!$B$15*Mkt!CK96+(1-Inputs!$B$15)*MIN(Mkt!CK96,CJ96*(1+Inputs!$B$18))),CJ96)))</f>
        <v>1875.55764477293</v>
      </c>
      <c r="CL96" s="11" t="n">
        <f aca="false">IF(CL$1&lt;Units!$P95,0,IF(AND(Units!$K95=0,CL$1=Units!$O95),Units!$R95,IF(AND(CL$1&gt;=Units!$Q95,MOD(CL$1-Units!$Q95,12)=0),IF(AND(Units!$L95=1,CL$1=Units!$Q95),IF(Units!$J95&lt;&gt;"",Units!$J95,Mkt!CL96),Inputs!$B$15*Mkt!CL96+(1-Inputs!$B$15)*MIN(Mkt!CL96,CK96*(1+Inputs!$B$18))),CK96)))</f>
        <v>1875.55764477293</v>
      </c>
      <c r="CM96" s="11" t="n">
        <f aca="false">IF(CM$1&lt;Units!$P95,0,IF(AND(Units!$K95=0,CM$1=Units!$O95),Units!$R95,IF(AND(CM$1&gt;=Units!$Q95,MOD(CM$1-Units!$Q95,12)=0),IF(AND(Units!$L95=1,CM$1=Units!$Q95),IF(Units!$J95&lt;&gt;"",Units!$J95,Mkt!CM96),Inputs!$B$15*Mkt!CM96+(1-Inputs!$B$15)*MIN(Mkt!CM96,CL96*(1+Inputs!$B$18))),CL96)))</f>
        <v>1875.55764477293</v>
      </c>
      <c r="CN96" s="11" t="n">
        <f aca="false">IF(CN$1&lt;Units!$P95,0,IF(AND(Units!$K95=0,CN$1=Units!$O95),Units!$R95,IF(AND(CN$1&gt;=Units!$Q95,MOD(CN$1-Units!$Q95,12)=0),IF(AND(Units!$L95=1,CN$1=Units!$Q95),IF(Units!$J95&lt;&gt;"",Units!$J95,Mkt!CN96),Inputs!$B$15*Mkt!CN96+(1-Inputs!$B$15)*MIN(Mkt!CN96,CM96*(1+Inputs!$B$18))),CM96)))</f>
        <v>1875.55764477293</v>
      </c>
      <c r="CO96" s="11" t="n">
        <f aca="false">IF(CO$1&lt;Units!$P95,0,IF(AND(Units!$K95=0,CO$1=Units!$O95),Units!$R95,IF(AND(CO$1&gt;=Units!$Q95,MOD(CO$1-Units!$Q95,12)=0),IF(AND(Units!$L95=1,CO$1=Units!$Q95),IF(Units!$J95&lt;&gt;"",Units!$J95,Mkt!CO96),Inputs!$B$15*Mkt!CO96+(1-Inputs!$B$15)*MIN(Mkt!CO96,CN96*(1+Inputs!$B$18))),CN96)))</f>
        <v>1875.55764477293</v>
      </c>
      <c r="CP96" s="11" t="n">
        <f aca="false">IF(CP$1&lt;Units!$P95,0,IF(AND(Units!$K95=0,CP$1=Units!$O95),Units!$R95,IF(AND(CP$1&gt;=Units!$Q95,MOD(CP$1-Units!$Q95,12)=0),IF(AND(Units!$L95=1,CP$1=Units!$Q95),IF(Units!$J95&lt;&gt;"",Units!$J95,Mkt!CP96),Inputs!$B$15*Mkt!CP96+(1-Inputs!$B$15)*MIN(Mkt!CP96,CO96*(1+Inputs!$B$18))),CO96)))</f>
        <v>1875.55764477293</v>
      </c>
      <c r="CQ96" s="11" t="n">
        <f aca="false">IF(CQ$1&lt;Units!$P95,0,IF(AND(Units!$K95=0,CQ$1=Units!$O95),Units!$R95,IF(AND(CQ$1&gt;=Units!$Q95,MOD(CQ$1-Units!$Q95,12)=0),IF(AND(Units!$L95=1,CQ$1=Units!$Q95),IF(Units!$J95&lt;&gt;"",Units!$J95,Mkt!CQ96),Inputs!$B$15*Mkt!CQ96+(1-Inputs!$B$15)*MIN(Mkt!CQ96,CP96*(1+Inputs!$B$18))),CP96)))</f>
        <v>1875.55764477293</v>
      </c>
      <c r="CR96" s="11" t="n">
        <f aca="false">IF(CR$1&lt;Units!$P95,0,IF(AND(Units!$K95=0,CR$1=Units!$O95),Units!$R95,IF(AND(CR$1&gt;=Units!$Q95,MOD(CR$1-Units!$Q95,12)=0),IF(AND(Units!$L95=1,CR$1=Units!$Q95),IF(Units!$J95&lt;&gt;"",Units!$J95,Mkt!CR96),Inputs!$B$15*Mkt!CR96+(1-Inputs!$B$15)*MIN(Mkt!CR96,CQ96*(1+Inputs!$B$18))),CQ96)))</f>
        <v>1875.55764477293</v>
      </c>
      <c r="CS96" s="11" t="n">
        <f aca="false">IF(CS$1&lt;Units!$P95,0,IF(AND(Units!$K95=0,CS$1=Units!$O95),Units!$R95,IF(AND(CS$1&gt;=Units!$Q95,MOD(CS$1-Units!$Q95,12)=0),IF(AND(Units!$L95=1,CS$1=Units!$Q95),IF(Units!$J95&lt;&gt;"",Units!$J95,Mkt!CS96),Inputs!$B$15*Mkt!CS96+(1-Inputs!$B$15)*MIN(Mkt!CS96,CR96*(1+Inputs!$B$18))),CR96)))</f>
        <v>1875.55764477293</v>
      </c>
      <c r="CT96" s="11" t="n">
        <f aca="false">IF(CT$1&lt;Units!$P95,0,IF(AND(Units!$K95=0,CT$1=Units!$O95),Units!$R95,IF(AND(CT$1&gt;=Units!$Q95,MOD(CT$1-Units!$Q95,12)=0),IF(AND(Units!$L95=1,CT$1=Units!$Q95),IF(Units!$J95&lt;&gt;"",Units!$J95,Mkt!CT96),Inputs!$B$15*Mkt!CT96+(1-Inputs!$B$15)*MIN(Mkt!CT96,CS96*(1+Inputs!$B$18))),CS96)))</f>
        <v>1875.55764477293</v>
      </c>
      <c r="CU96" s="11" t="n">
        <f aca="false">IF(CU$1&lt;Units!$P95,0,IF(AND(Units!$K95=0,CU$1=Units!$O95),Units!$R95,IF(AND(CU$1&gt;=Units!$Q95,MOD(CU$1-Units!$Q95,12)=0),IF(AND(Units!$L95=1,CU$1=Units!$Q95),IF(Units!$J95&lt;&gt;"",Units!$J95,Mkt!CU96),Inputs!$B$15*Mkt!CU96+(1-Inputs!$B$15)*MIN(Mkt!CU96,CT96*(1+Inputs!$B$18))),CT96)))</f>
        <v>1875.55764477293</v>
      </c>
      <c r="CV96" s="11" t="n">
        <f aca="false">IF(CV$1&lt;Units!$P95,0,IF(AND(Units!$K95=0,CV$1=Units!$O95),Units!$R95,IF(AND(CV$1&gt;=Units!$Q95,MOD(CV$1-Units!$Q95,12)=0),IF(AND(Units!$L95=1,CV$1=Units!$Q95),IF(Units!$J95&lt;&gt;"",Units!$J95,Mkt!CV96),Inputs!$B$15*Mkt!CV96+(1-Inputs!$B$15)*MIN(Mkt!CV96,CU96*(1+Inputs!$B$18))),CU96)))</f>
        <v>1931.82437411612</v>
      </c>
      <c r="CW96" s="11" t="n">
        <f aca="false">IF(CW$1&lt;Units!$P95,0,IF(AND(Units!$K95=0,CW$1=Units!$O95),Units!$R95,IF(AND(CW$1&gt;=Units!$Q95,MOD(CW$1-Units!$Q95,12)=0),IF(AND(Units!$L95=1,CW$1=Units!$Q95),IF(Units!$J95&lt;&gt;"",Units!$J95,Mkt!CW96),Inputs!$B$15*Mkt!CW96+(1-Inputs!$B$15)*MIN(Mkt!CW96,CV96*(1+Inputs!$B$18))),CV96)))</f>
        <v>1931.82437411612</v>
      </c>
      <c r="CX96" s="11" t="n">
        <f aca="false">IF(CX$1&lt;Units!$P95,0,IF(AND(Units!$K95=0,CX$1=Units!$O95),Units!$R95,IF(AND(CX$1&gt;=Units!$Q95,MOD(CX$1-Units!$Q95,12)=0),IF(AND(Units!$L95=1,CX$1=Units!$Q95),IF(Units!$J95&lt;&gt;"",Units!$J95,Mkt!CX96),Inputs!$B$15*Mkt!CX96+(1-Inputs!$B$15)*MIN(Mkt!CX96,CW96*(1+Inputs!$B$18))),CW96)))</f>
        <v>1931.82437411612</v>
      </c>
      <c r="CY96" s="11" t="n">
        <f aca="false">IF(CY$1&lt;Units!$P95,0,IF(AND(Units!$K95=0,CY$1=Units!$O95),Units!$R95,IF(AND(CY$1&gt;=Units!$Q95,MOD(CY$1-Units!$Q95,12)=0),IF(AND(Units!$L95=1,CY$1=Units!$Q95),IF(Units!$J95&lt;&gt;"",Units!$J95,Mkt!CY96),Inputs!$B$15*Mkt!CY96+(1-Inputs!$B$15)*MIN(Mkt!CY96,CX96*(1+Inputs!$B$18))),CX96)))</f>
        <v>1931.82437411612</v>
      </c>
      <c r="CZ96" s="11" t="n">
        <f aca="false">IF(CZ$1&lt;Units!$P95,0,IF(AND(Units!$K95=0,CZ$1=Units!$O95),Units!$R95,IF(AND(CZ$1&gt;=Units!$Q95,MOD(CZ$1-Units!$Q95,12)=0),IF(AND(Units!$L95=1,CZ$1=Units!$Q95),IF(Units!$J95&lt;&gt;"",Units!$J95,Mkt!CZ96),Inputs!$B$15*Mkt!CZ96+(1-Inputs!$B$15)*MIN(Mkt!CZ96,CY96*(1+Inputs!$B$18))),CY96)))</f>
        <v>1931.82437411612</v>
      </c>
      <c r="DA96" s="11" t="n">
        <f aca="false">IF(DA$1&lt;Units!$P95,0,IF(AND(Units!$K95=0,DA$1=Units!$O95),Units!$R95,IF(AND(DA$1&gt;=Units!$Q95,MOD(DA$1-Units!$Q95,12)=0),IF(AND(Units!$L95=1,DA$1=Units!$Q95),IF(Units!$J95&lt;&gt;"",Units!$J95,Mkt!DA96),Inputs!$B$15*Mkt!DA96+(1-Inputs!$B$15)*MIN(Mkt!DA96,CZ96*(1+Inputs!$B$18))),CZ96)))</f>
        <v>1931.82437411612</v>
      </c>
      <c r="DB96" s="11" t="n">
        <f aca="false">IF(DB$1&lt;Units!$P95,0,IF(AND(Units!$K95=0,DB$1=Units!$O95),Units!$R95,IF(AND(DB$1&gt;=Units!$Q95,MOD(DB$1-Units!$Q95,12)=0),IF(AND(Units!$L95=1,DB$1=Units!$Q95),IF(Units!$J95&lt;&gt;"",Units!$J95,Mkt!DB96),Inputs!$B$15*Mkt!DB96+(1-Inputs!$B$15)*MIN(Mkt!DB96,DA96*(1+Inputs!$B$18))),DA96)))</f>
        <v>1931.82437411612</v>
      </c>
      <c r="DC96" s="11" t="n">
        <f aca="false">IF(DC$1&lt;Units!$P95,0,IF(AND(Units!$K95=0,DC$1=Units!$O95),Units!$R95,IF(AND(DC$1&gt;=Units!$Q95,MOD(DC$1-Units!$Q95,12)=0),IF(AND(Units!$L95=1,DC$1=Units!$Q95),IF(Units!$J95&lt;&gt;"",Units!$J95,Mkt!DC96),Inputs!$B$15*Mkt!DC96+(1-Inputs!$B$15)*MIN(Mkt!DC96,DB96*(1+Inputs!$B$18))),DB96)))</f>
        <v>1931.82437411612</v>
      </c>
      <c r="DD96" s="11" t="n">
        <f aca="false">IF(DD$1&lt;Units!$P95,0,IF(AND(Units!$K95=0,DD$1=Units!$O95),Units!$R95,IF(AND(DD$1&gt;=Units!$Q95,MOD(DD$1-Units!$Q95,12)=0),IF(AND(Units!$L95=1,DD$1=Units!$Q95),IF(Units!$J95&lt;&gt;"",Units!$J95,Mkt!DD96),Inputs!$B$15*Mkt!DD96+(1-Inputs!$B$15)*MIN(Mkt!DD96,DC96*(1+Inputs!$B$18))),DC96)))</f>
        <v>1931.82437411612</v>
      </c>
      <c r="DE96" s="11" t="n">
        <f aca="false">IF(DE$1&lt;Units!$P95,0,IF(AND(Units!$K95=0,DE$1=Units!$O95),Units!$R95,IF(AND(DE$1&gt;=Units!$Q95,MOD(DE$1-Units!$Q95,12)=0),IF(AND(Units!$L95=1,DE$1=Units!$Q95),IF(Units!$J95&lt;&gt;"",Units!$J95,Mkt!DE96),Inputs!$B$15*Mkt!DE96+(1-Inputs!$B$15)*MIN(Mkt!DE96,DD96*(1+Inputs!$B$18))),DD96)))</f>
        <v>1931.82437411612</v>
      </c>
      <c r="DF96" s="11" t="n">
        <f aca="false">IF(DF$1&lt;Units!$P95,0,IF(AND(Units!$K95=0,DF$1=Units!$O95),Units!$R95,IF(AND(DF$1&gt;=Units!$Q95,MOD(DF$1-Units!$Q95,12)=0),IF(AND(Units!$L95=1,DF$1=Units!$Q95),IF(Units!$J95&lt;&gt;"",Units!$J95,Mkt!DF96),Inputs!$B$15*Mkt!DF96+(1-Inputs!$B$15)*MIN(Mkt!DF96,DE96*(1+Inputs!$B$18))),DE96)))</f>
        <v>1931.82437411612</v>
      </c>
      <c r="DG96" s="11" t="n">
        <f aca="false">IF(DG$1&lt;Units!$P95,0,IF(AND(Units!$K95=0,DG$1=Units!$O95),Units!$R95,IF(AND(DG$1&gt;=Units!$Q95,MOD(DG$1-Units!$Q95,12)=0),IF(AND(Units!$L95=1,DG$1=Units!$Q95),IF(Units!$J95&lt;&gt;"",Units!$J95,Mkt!DG96),Inputs!$B$15*Mkt!DG96+(1-Inputs!$B$15)*MIN(Mkt!DG96,DF96*(1+Inputs!$B$18))),DF96)))</f>
        <v>1931.82437411612</v>
      </c>
      <c r="DH96" s="11" t="n">
        <f aca="false">IF(DH$1&lt;Units!$P95,0,IF(AND(Units!$K95=0,DH$1=Units!$O95),Units!$R95,IF(AND(DH$1&gt;=Units!$Q95,MOD(DH$1-Units!$Q95,12)=0),IF(AND(Units!$L95=1,DH$1=Units!$Q95),IF(Units!$J95&lt;&gt;"",Units!$J95,Mkt!DH96),Inputs!$B$15*Mkt!DH96+(1-Inputs!$B$15)*MIN(Mkt!DH96,DG96*(1+Inputs!$B$18))),DG96)))</f>
        <v>1989.7791053396</v>
      </c>
      <c r="DI96" s="11" t="n">
        <f aca="false">IF(DI$1&lt;Units!$P95,0,IF(AND(Units!$K95=0,DI$1=Units!$O95),Units!$R95,IF(AND(DI$1&gt;=Units!$Q95,MOD(DI$1-Units!$Q95,12)=0),IF(AND(Units!$L95=1,DI$1=Units!$Q95),IF(Units!$J95&lt;&gt;"",Units!$J95,Mkt!DI96),Inputs!$B$15*Mkt!DI96+(1-Inputs!$B$15)*MIN(Mkt!DI96,DH96*(1+Inputs!$B$18))),DH96)))</f>
        <v>1989.7791053396</v>
      </c>
      <c r="DJ96" s="11" t="n">
        <f aca="false">IF(DJ$1&lt;Units!$P95,0,IF(AND(Units!$K95=0,DJ$1=Units!$O95),Units!$R95,IF(AND(DJ$1&gt;=Units!$Q95,MOD(DJ$1-Units!$Q95,12)=0),IF(AND(Units!$L95=1,DJ$1=Units!$Q95),IF(Units!$J95&lt;&gt;"",Units!$J95,Mkt!DJ96),Inputs!$B$15*Mkt!DJ96+(1-Inputs!$B$15)*MIN(Mkt!DJ96,DI96*(1+Inputs!$B$18))),DI96)))</f>
        <v>1989.7791053396</v>
      </c>
      <c r="DK96" s="11" t="n">
        <f aca="false">IF(DK$1&lt;Units!$P95,0,IF(AND(Units!$K95=0,DK$1=Units!$O95),Units!$R95,IF(AND(DK$1&gt;=Units!$Q95,MOD(DK$1-Units!$Q95,12)=0),IF(AND(Units!$L95=1,DK$1=Units!$Q95),IF(Units!$J95&lt;&gt;"",Units!$J95,Mkt!DK96),Inputs!$B$15*Mkt!DK96+(1-Inputs!$B$15)*MIN(Mkt!DK96,DJ96*(1+Inputs!$B$18))),DJ96)))</f>
        <v>1989.7791053396</v>
      </c>
      <c r="DL96" s="11" t="n">
        <f aca="false">IF(DL$1&lt;Units!$P95,0,IF(AND(Units!$K95=0,DL$1=Units!$O95),Units!$R95,IF(AND(DL$1&gt;=Units!$Q95,MOD(DL$1-Units!$Q95,12)=0),IF(AND(Units!$L95=1,DL$1=Units!$Q95),IF(Units!$J95&lt;&gt;"",Units!$J95,Mkt!DL96),Inputs!$B$15*Mkt!DL96+(1-Inputs!$B$15)*MIN(Mkt!DL96,DK96*(1+Inputs!$B$18))),DK96)))</f>
        <v>1989.7791053396</v>
      </c>
      <c r="DM96" s="11" t="n">
        <f aca="false">IF(DM$1&lt;Units!$P95,0,IF(AND(Units!$K95=0,DM$1=Units!$O95),Units!$R95,IF(AND(DM$1&gt;=Units!$Q95,MOD(DM$1-Units!$Q95,12)=0),IF(AND(Units!$L95=1,DM$1=Units!$Q95),IF(Units!$J95&lt;&gt;"",Units!$J95,Mkt!DM96),Inputs!$B$15*Mkt!DM96+(1-Inputs!$B$15)*MIN(Mkt!DM96,DL96*(1+Inputs!$B$18))),DL96)))</f>
        <v>1989.7791053396</v>
      </c>
      <c r="DN96" s="11" t="n">
        <f aca="false">IF(DN$1&lt;Units!$P95,0,IF(AND(Units!$K95=0,DN$1=Units!$O95),Units!$R95,IF(AND(DN$1&gt;=Units!$Q95,MOD(DN$1-Units!$Q95,12)=0),IF(AND(Units!$L95=1,DN$1=Units!$Q95),IF(Units!$J95&lt;&gt;"",Units!$J95,Mkt!DN96),Inputs!$B$15*Mkt!DN96+(1-Inputs!$B$15)*MIN(Mkt!DN96,DM96*(1+Inputs!$B$18))),DM96)))</f>
        <v>1989.7791053396</v>
      </c>
      <c r="DO96" s="11" t="n">
        <f aca="false">IF(DO$1&lt;Units!$P95,0,IF(AND(Units!$K95=0,DO$1=Units!$O95),Units!$R95,IF(AND(DO$1&gt;=Units!$Q95,MOD(DO$1-Units!$Q95,12)=0),IF(AND(Units!$L95=1,DO$1=Units!$Q95),IF(Units!$J95&lt;&gt;"",Units!$J95,Mkt!DO96),Inputs!$B$15*Mkt!DO96+(1-Inputs!$B$15)*MIN(Mkt!DO96,DN96*(1+Inputs!$B$18))),DN96)))</f>
        <v>1989.7791053396</v>
      </c>
      <c r="DP96" s="11" t="n">
        <f aca="false">IF(DP$1&lt;Units!$P95,0,IF(AND(Units!$K95=0,DP$1=Units!$O95),Units!$R95,IF(AND(DP$1&gt;=Units!$Q95,MOD(DP$1-Units!$Q95,12)=0),IF(AND(Units!$L95=1,DP$1=Units!$Q95),IF(Units!$J95&lt;&gt;"",Units!$J95,Mkt!DP96),Inputs!$B$15*Mkt!DP96+(1-Inputs!$B$15)*MIN(Mkt!DP96,DO96*(1+Inputs!$B$18))),DO96)))</f>
        <v>1989.7791053396</v>
      </c>
      <c r="DQ96" s="11" t="n">
        <f aca="false">IF(DQ$1&lt;Units!$P95,0,IF(AND(Units!$K95=0,DQ$1=Units!$O95),Units!$R95,IF(AND(DQ$1&gt;=Units!$Q95,MOD(DQ$1-Units!$Q95,12)=0),IF(AND(Units!$L95=1,DQ$1=Units!$Q95),IF(Units!$J95&lt;&gt;"",Units!$J95,Mkt!DQ96),Inputs!$B$15*Mkt!DQ96+(1-Inputs!$B$15)*MIN(Mkt!DQ96,DP96*(1+Inputs!$B$18))),DP96)))</f>
        <v>1989.7791053396</v>
      </c>
      <c r="DR96" s="11" t="n">
        <f aca="false">IF(DR$1&lt;Units!$P95,0,IF(AND(Units!$K95=0,DR$1=Units!$O95),Units!$R95,IF(AND(DR$1&gt;=Units!$Q95,MOD(DR$1-Units!$Q95,12)=0),IF(AND(Units!$L95=1,DR$1=Units!$Q95),IF(Units!$J95&lt;&gt;"",Units!$J95,Mkt!DR96),Inputs!$B$15*Mkt!DR96+(1-Inputs!$B$15)*MIN(Mkt!DR96,DQ96*(1+Inputs!$B$18))),DQ96)))</f>
        <v>1989.7791053396</v>
      </c>
      <c r="DS96" s="11" t="n">
        <f aca="false">IF(DS$1&lt;Units!$P95,0,IF(AND(Units!$K95=0,DS$1=Units!$O95),Units!$R95,IF(AND(DS$1&gt;=Units!$Q95,MOD(DS$1-Units!$Q95,12)=0),IF(AND(Units!$L95=1,DS$1=Units!$Q95),IF(Units!$J95&lt;&gt;"",Units!$J95,Mkt!DS96),Inputs!$B$15*Mkt!DS96+(1-Inputs!$B$15)*MIN(Mkt!DS96,DR96*(1+Inputs!$B$18))),DR96)))</f>
        <v>1989.7791053396</v>
      </c>
      <c r="DT96" s="11" t="n">
        <f aca="false">IF(DT$1&lt;Units!$P95,0,IF(AND(Units!$K95=0,DT$1=Units!$O95),Units!$R95,IF(AND(DT$1&gt;=Units!$Q95,MOD(DT$1-Units!$Q95,12)=0),IF(AND(Units!$L95=1,DT$1=Units!$Q95),IF(Units!$J95&lt;&gt;"",Units!$J95,Mkt!DT96),Inputs!$B$15*Mkt!DT96+(1-Inputs!$B$15)*MIN(Mkt!DT96,DS96*(1+Inputs!$B$18))),DS96)))</f>
        <v>2049.47247849979</v>
      </c>
      <c r="DU96" s="11" t="n">
        <f aca="false">IF(DU$1&lt;Units!$P95,0,IF(AND(Units!$K95=0,DU$1=Units!$O95),Units!$R95,IF(AND(DU$1&gt;=Units!$Q95,MOD(DU$1-Units!$Q95,12)=0),IF(AND(Units!$L95=1,DU$1=Units!$Q95),IF(Units!$J95&lt;&gt;"",Units!$J95,Mkt!DU96),Inputs!$B$15*Mkt!DU96+(1-Inputs!$B$15)*MIN(Mkt!DU96,DT96*(1+Inputs!$B$18))),DT96)))</f>
        <v>2049.47247849979</v>
      </c>
      <c r="DV96" s="11" t="n">
        <f aca="false">IF(DV$1&lt;Units!$P95,0,IF(AND(Units!$K95=0,DV$1=Units!$O95),Units!$R95,IF(AND(DV$1&gt;=Units!$Q95,MOD(DV$1-Units!$Q95,12)=0),IF(AND(Units!$L95=1,DV$1=Units!$Q95),IF(Units!$J95&lt;&gt;"",Units!$J95,Mkt!DV96),Inputs!$B$15*Mkt!DV96+(1-Inputs!$B$15)*MIN(Mkt!DV96,DU96*(1+Inputs!$B$18))),DU96)))</f>
        <v>2049.47247849979</v>
      </c>
      <c r="DW96" s="11" t="n">
        <f aca="false">IF(DW$1&lt;Units!$P95,0,IF(AND(Units!$K95=0,DW$1=Units!$O95),Units!$R95,IF(AND(DW$1&gt;=Units!$Q95,MOD(DW$1-Units!$Q95,12)=0),IF(AND(Units!$L95=1,DW$1=Units!$Q95),IF(Units!$J95&lt;&gt;"",Units!$J95,Mkt!DW96),Inputs!$B$15*Mkt!DW96+(1-Inputs!$B$15)*MIN(Mkt!DW96,DV96*(1+Inputs!$B$18))),DV96)))</f>
        <v>2049.47247849979</v>
      </c>
      <c r="DX96" s="11" t="n">
        <f aca="false">IF(DX$1&lt;Units!$P95,0,IF(AND(Units!$K95=0,DX$1=Units!$O95),Units!$R95,IF(AND(DX$1&gt;=Units!$Q95,MOD(DX$1-Units!$Q95,12)=0),IF(AND(Units!$L95=1,DX$1=Units!$Q95),IF(Units!$J95&lt;&gt;"",Units!$J95,Mkt!DX96),Inputs!$B$15*Mkt!DX96+(1-Inputs!$B$15)*MIN(Mkt!DX96,DW96*(1+Inputs!$B$18))),DW96)))</f>
        <v>2049.47247849979</v>
      </c>
      <c r="DY96" s="11" t="n">
        <f aca="false">IF(DY$1&lt;Units!$P95,0,IF(AND(Units!$K95=0,DY$1=Units!$O95),Units!$R95,IF(AND(DY$1&gt;=Units!$Q95,MOD(DY$1-Units!$Q95,12)=0),IF(AND(Units!$L95=1,DY$1=Units!$Q95),IF(Units!$J95&lt;&gt;"",Units!$J95,Mkt!DY96),Inputs!$B$15*Mkt!DY96+(1-Inputs!$B$15)*MIN(Mkt!DY96,DX96*(1+Inputs!$B$18))),DX96)))</f>
        <v>2049.47247849979</v>
      </c>
      <c r="DZ96" s="11" t="n">
        <f aca="false">IF(DZ$1&lt;Units!$P95,0,IF(AND(Units!$K95=0,DZ$1=Units!$O95),Units!$R95,IF(AND(DZ$1&gt;=Units!$Q95,MOD(DZ$1-Units!$Q95,12)=0),IF(AND(Units!$L95=1,DZ$1=Units!$Q95),IF(Units!$J95&lt;&gt;"",Units!$J95,Mkt!DZ96),Inputs!$B$15*Mkt!DZ96+(1-Inputs!$B$15)*MIN(Mkt!DZ96,DY96*(1+Inputs!$B$18))),DY96)))</f>
        <v>2049.47247849979</v>
      </c>
      <c r="EA96" s="11" t="n">
        <f aca="false">IF(EA$1&lt;Units!$P95,0,IF(AND(Units!$K95=0,EA$1=Units!$O95),Units!$R95,IF(AND(EA$1&gt;=Units!$Q95,MOD(EA$1-Units!$Q95,12)=0),IF(AND(Units!$L95=1,EA$1=Units!$Q95),IF(Units!$J95&lt;&gt;"",Units!$J95,Mkt!EA96),Inputs!$B$15*Mkt!EA96+(1-Inputs!$B$15)*MIN(Mkt!EA96,DZ96*(1+Inputs!$B$18))),DZ96)))</f>
        <v>2049.47247849979</v>
      </c>
      <c r="EB96" s="11" t="n">
        <f aca="false">IF(EB$1&lt;Units!$P95,0,IF(AND(Units!$K95=0,EB$1=Units!$O95),Units!$R95,IF(AND(EB$1&gt;=Units!$Q95,MOD(EB$1-Units!$Q95,12)=0),IF(AND(Units!$L95=1,EB$1=Units!$Q95),IF(Units!$J95&lt;&gt;"",Units!$J95,Mkt!EB96),Inputs!$B$15*Mkt!EB96+(1-Inputs!$B$15)*MIN(Mkt!EB96,EA96*(1+Inputs!$B$18))),EA96)))</f>
        <v>2049.47247849979</v>
      </c>
      <c r="EC96" s="11" t="n">
        <f aca="false">IF(EC$1&lt;Units!$P95,0,IF(AND(Units!$K95=0,EC$1=Units!$O95),Units!$R95,IF(AND(EC$1&gt;=Units!$Q95,MOD(EC$1-Units!$Q95,12)=0),IF(AND(Units!$L95=1,EC$1=Units!$Q95),IF(Units!$J95&lt;&gt;"",Units!$J95,Mkt!EC96),Inputs!$B$15*Mkt!EC96+(1-Inputs!$B$15)*MIN(Mkt!EC96,EB96*(1+Inputs!$B$18))),EB96)))</f>
        <v>2049.47247849979</v>
      </c>
      <c r="ED96" s="11" t="n">
        <f aca="false">IF(ED$1&lt;Units!$P95,0,IF(AND(Units!$K95=0,ED$1=Units!$O95),Units!$R95,IF(AND(ED$1&gt;=Units!$Q95,MOD(ED$1-Units!$Q95,12)=0),IF(AND(Units!$L95=1,ED$1=Units!$Q95),IF(Units!$J95&lt;&gt;"",Units!$J95,Mkt!ED96),Inputs!$B$15*Mkt!ED96+(1-Inputs!$B$15)*MIN(Mkt!ED96,EC96*(1+Inputs!$B$18))),EC96)))</f>
        <v>2049.47247849979</v>
      </c>
    </row>
    <row r="97" customFormat="false" ht="15" hidden="false" customHeight="false" outlineLevel="0" collapsed="false">
      <c r="A97" s="22" t="n">
        <f aca="false">Units!A96</f>
        <v>405</v>
      </c>
      <c r="B97" s="24" t="n">
        <f aca="false">IF(Units!K96=1,Units!F96,0)</f>
        <v>1535</v>
      </c>
      <c r="C97" s="11" t="n">
        <f aca="false">IF(C$1&lt;Units!$P96,0,IF(AND(Units!$K96=0,C$1=Units!$O96),Units!$R96,IF(AND(C$1&gt;=Units!$Q96,MOD(C$1-Units!$Q96,12)=0),IF(AND(Units!$L96=1,C$1=Units!$Q96),IF(Units!$J96&lt;&gt;"",Units!$J96,Mkt!C97),Inputs!$B$15*Mkt!C97+(1-Inputs!$B$15)*MIN(Mkt!C97,B97*(1+Inputs!$B$18))),B97)))</f>
        <v>1535</v>
      </c>
      <c r="D97" s="11" t="n">
        <f aca="false">IF(D$1&lt;Units!$P96,0,IF(AND(Units!$K96=0,D$1=Units!$O96),Units!$R96,IF(AND(D$1&gt;=Units!$Q96,MOD(D$1-Units!$Q96,12)=0),IF(AND(Units!$L96=1,D$1=Units!$Q96),IF(Units!$J96&lt;&gt;"",Units!$J96,Mkt!D97),Inputs!$B$15*Mkt!D97+(1-Inputs!$B$15)*MIN(Mkt!D97,C97*(1+Inputs!$B$18))),C97)))</f>
        <v>1535</v>
      </c>
      <c r="E97" s="11" t="n">
        <f aca="false">IF(E$1&lt;Units!$P96,0,IF(AND(Units!$K96=0,E$1=Units!$O96),Units!$R96,IF(AND(E$1&gt;=Units!$Q96,MOD(E$1-Units!$Q96,12)=0),IF(AND(Units!$L96=1,E$1=Units!$Q96),IF(Units!$J96&lt;&gt;"",Units!$J96,Mkt!E97),Inputs!$B$15*Mkt!E97+(1-Inputs!$B$15)*MIN(Mkt!E97,D97*(1+Inputs!$B$18))),D97)))</f>
        <v>1535</v>
      </c>
      <c r="F97" s="11" t="n">
        <f aca="false">IF(F$1&lt;Units!$P96,0,IF(AND(Units!$K96=0,F$1=Units!$O96),Units!$R96,IF(AND(F$1&gt;=Units!$Q96,MOD(F$1-Units!$Q96,12)=0),IF(AND(Units!$L96=1,F$1=Units!$Q96),IF(Units!$J96&lt;&gt;"",Units!$J96,Mkt!F97),Inputs!$B$15*Mkt!F97+(1-Inputs!$B$15)*MIN(Mkt!F97,E97*(1+Inputs!$B$18))),E97)))</f>
        <v>1535</v>
      </c>
      <c r="G97" s="11" t="n">
        <f aca="false">IF(G$1&lt;Units!$P96,0,IF(AND(Units!$K96=0,G$1=Units!$O96),Units!$R96,IF(AND(G$1&gt;=Units!$Q96,MOD(G$1-Units!$Q96,12)=0),IF(AND(Units!$L96=1,G$1=Units!$Q96),IF(Units!$J96&lt;&gt;"",Units!$J96,Mkt!G97),Inputs!$B$15*Mkt!G97+(1-Inputs!$B$15)*MIN(Mkt!G97,F97*(1+Inputs!$B$18))),F97)))</f>
        <v>1535</v>
      </c>
      <c r="H97" s="11" t="n">
        <f aca="false">IF(H$1&lt;Units!$P96,0,IF(AND(Units!$K96=0,H$1=Units!$O96),Units!$R96,IF(AND(H$1&gt;=Units!$Q96,MOD(H$1-Units!$Q96,12)=0),IF(AND(Units!$L96=1,H$1=Units!$Q96),IF(Units!$J96&lt;&gt;"",Units!$J96,Mkt!H97),Inputs!$B$15*Mkt!H97+(1-Inputs!$B$15)*MIN(Mkt!H97,G97*(1+Inputs!$B$18))),G97)))</f>
        <v>1535</v>
      </c>
      <c r="I97" s="11" t="n">
        <f aca="false">IF(I$1&lt;Units!$P96,0,IF(AND(Units!$K96=0,I$1=Units!$O96),Units!$R96,IF(AND(I$1&gt;=Units!$Q96,MOD(I$1-Units!$Q96,12)=0),IF(AND(Units!$L96=1,I$1=Units!$Q96),IF(Units!$J96&lt;&gt;"",Units!$J96,Mkt!I97),Inputs!$B$15*Mkt!I97+(1-Inputs!$B$15)*MIN(Mkt!I97,H97*(1+Inputs!$B$18))),H97)))</f>
        <v>1535</v>
      </c>
      <c r="J97" s="11" t="n">
        <f aca="false">IF(J$1&lt;Units!$P96,0,IF(AND(Units!$K96=0,J$1=Units!$O96),Units!$R96,IF(AND(J$1&gt;=Units!$Q96,MOD(J$1-Units!$Q96,12)=0),IF(AND(Units!$L96=1,J$1=Units!$Q96),IF(Units!$J96&lt;&gt;"",Units!$J96,Mkt!J97),Inputs!$B$15*Mkt!J97+(1-Inputs!$B$15)*MIN(Mkt!J97,I97*(1+Inputs!$B$18))),I97)))</f>
        <v>1535</v>
      </c>
      <c r="K97" s="11" t="n">
        <f aca="false">IF(K$1&lt;Units!$P96,0,IF(AND(Units!$K96=0,K$1=Units!$O96),Units!$R96,IF(AND(K$1&gt;=Units!$Q96,MOD(K$1-Units!$Q96,12)=0),IF(AND(Units!$L96=1,K$1=Units!$Q96),IF(Units!$J96&lt;&gt;"",Units!$J96,Mkt!K97),Inputs!$B$15*Mkt!K97+(1-Inputs!$B$15)*MIN(Mkt!K97,J97*(1+Inputs!$B$18))),J97)))</f>
        <v>1535</v>
      </c>
      <c r="L97" s="11" t="n">
        <f aca="false">IF(L$1&lt;Units!$P96,0,IF(AND(Units!$K96=0,L$1=Units!$O96),Units!$R96,IF(AND(L$1&gt;=Units!$Q96,MOD(L$1-Units!$Q96,12)=0),IF(AND(Units!$L96=1,L$1=Units!$Q96),IF(Units!$J96&lt;&gt;"",Units!$J96,Mkt!L97),Inputs!$B$15*Mkt!L97+(1-Inputs!$B$15)*MIN(Mkt!L97,K97*(1+Inputs!$B$18))),K97)))</f>
        <v>1535</v>
      </c>
      <c r="M97" s="11" t="n">
        <f aca="false">IF(M$1&lt;Units!$P96,0,IF(AND(Units!$K96=0,M$1=Units!$O96),Units!$R96,IF(AND(M$1&gt;=Units!$Q96,MOD(M$1-Units!$Q96,12)=0),IF(AND(Units!$L96=1,M$1=Units!$Q96),IF(Units!$J96&lt;&gt;"",Units!$J96,Mkt!M97),Inputs!$B$15*Mkt!M97+(1-Inputs!$B$15)*MIN(Mkt!M97,L97*(1+Inputs!$B$18))),L97)))</f>
        <v>1535</v>
      </c>
      <c r="N97" s="11" t="n">
        <f aca="false">IF(N$1&lt;Units!$P96,0,IF(AND(Units!$K96=0,N$1=Units!$O96),Units!$R96,IF(AND(N$1&gt;=Units!$Q96,MOD(N$1-Units!$Q96,12)=0),IF(AND(Units!$L96=1,N$1=Units!$Q96),IF(Units!$J96&lt;&gt;"",Units!$J96,Mkt!N97),Inputs!$B$15*Mkt!N97+(1-Inputs!$B$15)*MIN(Mkt!N97,M97*(1+Inputs!$B$18))),M97)))</f>
        <v>1525</v>
      </c>
      <c r="O97" s="11" t="n">
        <f aca="false">IF(O$1&lt;Units!$P96,0,IF(AND(Units!$K96=0,O$1=Units!$O96),Units!$R96,IF(AND(O$1&gt;=Units!$Q96,MOD(O$1-Units!$Q96,12)=0),IF(AND(Units!$L96=1,O$1=Units!$Q96),IF(Units!$J96&lt;&gt;"",Units!$J96,Mkt!O97),Inputs!$B$15*Mkt!O97+(1-Inputs!$B$15)*MIN(Mkt!O97,N97*(1+Inputs!$B$18))),N97)))</f>
        <v>1525</v>
      </c>
      <c r="P97" s="11" t="n">
        <f aca="false">IF(P$1&lt;Units!$P96,0,IF(AND(Units!$K96=0,P$1=Units!$O96),Units!$R96,IF(AND(P$1&gt;=Units!$Q96,MOD(P$1-Units!$Q96,12)=0),IF(AND(Units!$L96=1,P$1=Units!$Q96),IF(Units!$J96&lt;&gt;"",Units!$J96,Mkt!P97),Inputs!$B$15*Mkt!P97+(1-Inputs!$B$15)*MIN(Mkt!P97,O97*(1+Inputs!$B$18))),O97)))</f>
        <v>1525</v>
      </c>
      <c r="Q97" s="11" t="n">
        <f aca="false">IF(Q$1&lt;Units!$P96,0,IF(AND(Units!$K96=0,Q$1=Units!$O96),Units!$R96,IF(AND(Q$1&gt;=Units!$Q96,MOD(Q$1-Units!$Q96,12)=0),IF(AND(Units!$L96=1,Q$1=Units!$Q96),IF(Units!$J96&lt;&gt;"",Units!$J96,Mkt!Q97),Inputs!$B$15*Mkt!Q97+(1-Inputs!$B$15)*MIN(Mkt!Q97,P97*(1+Inputs!$B$18))),P97)))</f>
        <v>1525</v>
      </c>
      <c r="R97" s="11" t="n">
        <f aca="false">IF(R$1&lt;Units!$P96,0,IF(AND(Units!$K96=0,R$1=Units!$O96),Units!$R96,IF(AND(R$1&gt;=Units!$Q96,MOD(R$1-Units!$Q96,12)=0),IF(AND(Units!$L96=1,R$1=Units!$Q96),IF(Units!$J96&lt;&gt;"",Units!$J96,Mkt!R97),Inputs!$B$15*Mkt!R97+(1-Inputs!$B$15)*MIN(Mkt!R97,Q97*(1+Inputs!$B$18))),Q97)))</f>
        <v>1525</v>
      </c>
      <c r="S97" s="11" t="n">
        <f aca="false">IF(S$1&lt;Units!$P96,0,IF(AND(Units!$K96=0,S$1=Units!$O96),Units!$R96,IF(AND(S$1&gt;=Units!$Q96,MOD(S$1-Units!$Q96,12)=0),IF(AND(Units!$L96=1,S$1=Units!$Q96),IF(Units!$J96&lt;&gt;"",Units!$J96,Mkt!S97),Inputs!$B$15*Mkt!S97+(1-Inputs!$B$15)*MIN(Mkt!S97,R97*(1+Inputs!$B$18))),R97)))</f>
        <v>1525</v>
      </c>
      <c r="T97" s="11" t="n">
        <f aca="false">IF(T$1&lt;Units!$P96,0,IF(AND(Units!$K96=0,T$1=Units!$O96),Units!$R96,IF(AND(T$1&gt;=Units!$Q96,MOD(T$1-Units!$Q96,12)=0),IF(AND(Units!$L96=1,T$1=Units!$Q96),IF(Units!$J96&lt;&gt;"",Units!$J96,Mkt!T97),Inputs!$B$15*Mkt!T97+(1-Inputs!$B$15)*MIN(Mkt!T97,S97*(1+Inputs!$B$18))),S97)))</f>
        <v>1525</v>
      </c>
      <c r="U97" s="11" t="n">
        <f aca="false">IF(U$1&lt;Units!$P96,0,IF(AND(Units!$K96=0,U$1=Units!$O96),Units!$R96,IF(AND(U$1&gt;=Units!$Q96,MOD(U$1-Units!$Q96,12)=0),IF(AND(Units!$L96=1,U$1=Units!$Q96),IF(Units!$J96&lt;&gt;"",Units!$J96,Mkt!U97),Inputs!$B$15*Mkt!U97+(1-Inputs!$B$15)*MIN(Mkt!U97,T97*(1+Inputs!$B$18))),T97)))</f>
        <v>1525</v>
      </c>
      <c r="V97" s="11" t="n">
        <f aca="false">IF(V$1&lt;Units!$P96,0,IF(AND(Units!$K96=0,V$1=Units!$O96),Units!$R96,IF(AND(V$1&gt;=Units!$Q96,MOD(V$1-Units!$Q96,12)=0),IF(AND(Units!$L96=1,V$1=Units!$Q96),IF(Units!$J96&lt;&gt;"",Units!$J96,Mkt!V97),Inputs!$B$15*Mkt!V97+(1-Inputs!$B$15)*MIN(Mkt!V97,U97*(1+Inputs!$B$18))),U97)))</f>
        <v>1525</v>
      </c>
      <c r="W97" s="11" t="n">
        <f aca="false">IF(W$1&lt;Units!$P96,0,IF(AND(Units!$K96=0,W$1=Units!$O96),Units!$R96,IF(AND(W$1&gt;=Units!$Q96,MOD(W$1-Units!$Q96,12)=0),IF(AND(Units!$L96=1,W$1=Units!$Q96),IF(Units!$J96&lt;&gt;"",Units!$J96,Mkt!W97),Inputs!$B$15*Mkt!W97+(1-Inputs!$B$15)*MIN(Mkt!W97,V97*(1+Inputs!$B$18))),V97)))</f>
        <v>1525</v>
      </c>
      <c r="X97" s="11" t="n">
        <f aca="false">IF(X$1&lt;Units!$P96,0,IF(AND(Units!$K96=0,X$1=Units!$O96),Units!$R96,IF(AND(X$1&gt;=Units!$Q96,MOD(X$1-Units!$Q96,12)=0),IF(AND(Units!$L96=1,X$1=Units!$Q96),IF(Units!$J96&lt;&gt;"",Units!$J96,Mkt!X97),Inputs!$B$15*Mkt!X97+(1-Inputs!$B$15)*MIN(Mkt!X97,W97*(1+Inputs!$B$18))),W97)))</f>
        <v>1525</v>
      </c>
      <c r="Y97" s="11" t="n">
        <f aca="false">IF(Y$1&lt;Units!$P96,0,IF(AND(Units!$K96=0,Y$1=Units!$O96),Units!$R96,IF(AND(Y$1&gt;=Units!$Q96,MOD(Y$1-Units!$Q96,12)=0),IF(AND(Units!$L96=1,Y$1=Units!$Q96),IF(Units!$J96&lt;&gt;"",Units!$J96,Mkt!Y97),Inputs!$B$15*Mkt!Y97+(1-Inputs!$B$15)*MIN(Mkt!Y97,X97*(1+Inputs!$B$18))),X97)))</f>
        <v>1525</v>
      </c>
      <c r="Z97" s="11" t="n">
        <f aca="false">IF(Z$1&lt;Units!$P96,0,IF(AND(Units!$K96=0,Z$1=Units!$O96),Units!$R96,IF(AND(Z$1&gt;=Units!$Q96,MOD(Z$1-Units!$Q96,12)=0),IF(AND(Units!$L96=1,Z$1=Units!$Q96),IF(Units!$J96&lt;&gt;"",Units!$J96,Mkt!Z97),Inputs!$B$15*Mkt!Z97+(1-Inputs!$B$15)*MIN(Mkt!Z97,Y97*(1+Inputs!$B$18))),Y97)))</f>
        <v>1570.75</v>
      </c>
      <c r="AA97" s="11" t="n">
        <f aca="false">IF(AA$1&lt;Units!$P96,0,IF(AND(Units!$K96=0,AA$1=Units!$O96),Units!$R96,IF(AND(AA$1&gt;=Units!$Q96,MOD(AA$1-Units!$Q96,12)=0),IF(AND(Units!$L96=1,AA$1=Units!$Q96),IF(Units!$J96&lt;&gt;"",Units!$J96,Mkt!AA97),Inputs!$B$15*Mkt!AA97+(1-Inputs!$B$15)*MIN(Mkt!AA97,Z97*(1+Inputs!$B$18))),Z97)))</f>
        <v>1570.75</v>
      </c>
      <c r="AB97" s="11" t="n">
        <f aca="false">IF(AB$1&lt;Units!$P96,0,IF(AND(Units!$K96=0,AB$1=Units!$O96),Units!$R96,IF(AND(AB$1&gt;=Units!$Q96,MOD(AB$1-Units!$Q96,12)=0),IF(AND(Units!$L96=1,AB$1=Units!$Q96),IF(Units!$J96&lt;&gt;"",Units!$J96,Mkt!AB97),Inputs!$B$15*Mkt!AB97+(1-Inputs!$B$15)*MIN(Mkt!AB97,AA97*(1+Inputs!$B$18))),AA97)))</f>
        <v>1570.75</v>
      </c>
      <c r="AC97" s="11" t="n">
        <f aca="false">IF(AC$1&lt;Units!$P96,0,IF(AND(Units!$K96=0,AC$1=Units!$O96),Units!$R96,IF(AND(AC$1&gt;=Units!$Q96,MOD(AC$1-Units!$Q96,12)=0),IF(AND(Units!$L96=1,AC$1=Units!$Q96),IF(Units!$J96&lt;&gt;"",Units!$J96,Mkt!AC97),Inputs!$B$15*Mkt!AC97+(1-Inputs!$B$15)*MIN(Mkt!AC97,AB97*(1+Inputs!$B$18))),AB97)))</f>
        <v>1570.75</v>
      </c>
      <c r="AD97" s="11" t="n">
        <f aca="false">IF(AD$1&lt;Units!$P96,0,IF(AND(Units!$K96=0,AD$1=Units!$O96),Units!$R96,IF(AND(AD$1&gt;=Units!$Q96,MOD(AD$1-Units!$Q96,12)=0),IF(AND(Units!$L96=1,AD$1=Units!$Q96),IF(Units!$J96&lt;&gt;"",Units!$J96,Mkt!AD97),Inputs!$B$15*Mkt!AD97+(1-Inputs!$B$15)*MIN(Mkt!AD97,AC97*(1+Inputs!$B$18))),AC97)))</f>
        <v>1570.75</v>
      </c>
      <c r="AE97" s="11" t="n">
        <f aca="false">IF(AE$1&lt;Units!$P96,0,IF(AND(Units!$K96=0,AE$1=Units!$O96),Units!$R96,IF(AND(AE$1&gt;=Units!$Q96,MOD(AE$1-Units!$Q96,12)=0),IF(AND(Units!$L96=1,AE$1=Units!$Q96),IF(Units!$J96&lt;&gt;"",Units!$J96,Mkt!AE97),Inputs!$B$15*Mkt!AE97+(1-Inputs!$B$15)*MIN(Mkt!AE97,AD97*(1+Inputs!$B$18))),AD97)))</f>
        <v>1570.75</v>
      </c>
      <c r="AF97" s="11" t="n">
        <f aca="false">IF(AF$1&lt;Units!$P96,0,IF(AND(Units!$K96=0,AF$1=Units!$O96),Units!$R96,IF(AND(AF$1&gt;=Units!$Q96,MOD(AF$1-Units!$Q96,12)=0),IF(AND(Units!$L96=1,AF$1=Units!$Q96),IF(Units!$J96&lt;&gt;"",Units!$J96,Mkt!AF97),Inputs!$B$15*Mkt!AF97+(1-Inputs!$B$15)*MIN(Mkt!AF97,AE97*(1+Inputs!$B$18))),AE97)))</f>
        <v>1570.75</v>
      </c>
      <c r="AG97" s="11" t="n">
        <f aca="false">IF(AG$1&lt;Units!$P96,0,IF(AND(Units!$K96=0,AG$1=Units!$O96),Units!$R96,IF(AND(AG$1&gt;=Units!$Q96,MOD(AG$1-Units!$Q96,12)=0),IF(AND(Units!$L96=1,AG$1=Units!$Q96),IF(Units!$J96&lt;&gt;"",Units!$J96,Mkt!AG97),Inputs!$B$15*Mkt!AG97+(1-Inputs!$B$15)*MIN(Mkt!AG97,AF97*(1+Inputs!$B$18))),AF97)))</f>
        <v>1570.75</v>
      </c>
      <c r="AH97" s="11" t="n">
        <f aca="false">IF(AH$1&lt;Units!$P96,0,IF(AND(Units!$K96=0,AH$1=Units!$O96),Units!$R96,IF(AND(AH$1&gt;=Units!$Q96,MOD(AH$1-Units!$Q96,12)=0),IF(AND(Units!$L96=1,AH$1=Units!$Q96),IF(Units!$J96&lt;&gt;"",Units!$J96,Mkt!AH97),Inputs!$B$15*Mkt!AH97+(1-Inputs!$B$15)*MIN(Mkt!AH97,AG97*(1+Inputs!$B$18))),AG97)))</f>
        <v>1570.75</v>
      </c>
      <c r="AI97" s="11" t="n">
        <f aca="false">IF(AI$1&lt;Units!$P96,0,IF(AND(Units!$K96=0,AI$1=Units!$O96),Units!$R96,IF(AND(AI$1&gt;=Units!$Q96,MOD(AI$1-Units!$Q96,12)=0),IF(AND(Units!$L96=1,AI$1=Units!$Q96),IF(Units!$J96&lt;&gt;"",Units!$J96,Mkt!AI97),Inputs!$B$15*Mkt!AI97+(1-Inputs!$B$15)*MIN(Mkt!AI97,AH97*(1+Inputs!$B$18))),AH97)))</f>
        <v>1570.75</v>
      </c>
      <c r="AJ97" s="11" t="n">
        <f aca="false">IF(AJ$1&lt;Units!$P96,0,IF(AND(Units!$K96=0,AJ$1=Units!$O96),Units!$R96,IF(AND(AJ$1&gt;=Units!$Q96,MOD(AJ$1-Units!$Q96,12)=0),IF(AND(Units!$L96=1,AJ$1=Units!$Q96),IF(Units!$J96&lt;&gt;"",Units!$J96,Mkt!AJ97),Inputs!$B$15*Mkt!AJ97+(1-Inputs!$B$15)*MIN(Mkt!AJ97,AI97*(1+Inputs!$B$18))),AI97)))</f>
        <v>1570.75</v>
      </c>
      <c r="AK97" s="11" t="n">
        <f aca="false">IF(AK$1&lt;Units!$P96,0,IF(AND(Units!$K96=0,AK$1=Units!$O96),Units!$R96,IF(AND(AK$1&gt;=Units!$Q96,MOD(AK$1-Units!$Q96,12)=0),IF(AND(Units!$L96=1,AK$1=Units!$Q96),IF(Units!$J96&lt;&gt;"",Units!$J96,Mkt!AK97),Inputs!$B$15*Mkt!AK97+(1-Inputs!$B$15)*MIN(Mkt!AK97,AJ97*(1+Inputs!$B$18))),AJ97)))</f>
        <v>1570.75</v>
      </c>
      <c r="AL97" s="11" t="n">
        <f aca="false">IF(AL$1&lt;Units!$P96,0,IF(AND(Units!$K96=0,AL$1=Units!$O96),Units!$R96,IF(AND(AL$1&gt;=Units!$Q96,MOD(AL$1-Units!$Q96,12)=0),IF(AND(Units!$L96=1,AL$1=Units!$Q96),IF(Units!$J96&lt;&gt;"",Units!$J96,Mkt!AL97),Inputs!$B$15*Mkt!AL97+(1-Inputs!$B$15)*MIN(Mkt!AL97,AK97*(1+Inputs!$B$18))),AK97)))</f>
        <v>1617.8725</v>
      </c>
      <c r="AM97" s="11" t="n">
        <f aca="false">IF(AM$1&lt;Units!$P96,0,IF(AND(Units!$K96=0,AM$1=Units!$O96),Units!$R96,IF(AND(AM$1&gt;=Units!$Q96,MOD(AM$1-Units!$Q96,12)=0),IF(AND(Units!$L96=1,AM$1=Units!$Q96),IF(Units!$J96&lt;&gt;"",Units!$J96,Mkt!AM97),Inputs!$B$15*Mkt!AM97+(1-Inputs!$B$15)*MIN(Mkt!AM97,AL97*(1+Inputs!$B$18))),AL97)))</f>
        <v>1617.8725</v>
      </c>
      <c r="AN97" s="11" t="n">
        <f aca="false">IF(AN$1&lt;Units!$P96,0,IF(AND(Units!$K96=0,AN$1=Units!$O96),Units!$R96,IF(AND(AN$1&gt;=Units!$Q96,MOD(AN$1-Units!$Q96,12)=0),IF(AND(Units!$L96=1,AN$1=Units!$Q96),IF(Units!$J96&lt;&gt;"",Units!$J96,Mkt!AN97),Inputs!$B$15*Mkt!AN97+(1-Inputs!$B$15)*MIN(Mkt!AN97,AM97*(1+Inputs!$B$18))),AM97)))</f>
        <v>1617.8725</v>
      </c>
      <c r="AO97" s="11" t="n">
        <f aca="false">IF(AO$1&lt;Units!$P96,0,IF(AND(Units!$K96=0,AO$1=Units!$O96),Units!$R96,IF(AND(AO$1&gt;=Units!$Q96,MOD(AO$1-Units!$Q96,12)=0),IF(AND(Units!$L96=1,AO$1=Units!$Q96),IF(Units!$J96&lt;&gt;"",Units!$J96,Mkt!AO97),Inputs!$B$15*Mkt!AO97+(1-Inputs!$B$15)*MIN(Mkt!AO97,AN97*(1+Inputs!$B$18))),AN97)))</f>
        <v>1617.8725</v>
      </c>
      <c r="AP97" s="11" t="n">
        <f aca="false">IF(AP$1&lt;Units!$P96,0,IF(AND(Units!$K96=0,AP$1=Units!$O96),Units!$R96,IF(AND(AP$1&gt;=Units!$Q96,MOD(AP$1-Units!$Q96,12)=0),IF(AND(Units!$L96=1,AP$1=Units!$Q96),IF(Units!$J96&lt;&gt;"",Units!$J96,Mkt!AP97),Inputs!$B$15*Mkt!AP97+(1-Inputs!$B$15)*MIN(Mkt!AP97,AO97*(1+Inputs!$B$18))),AO97)))</f>
        <v>1617.8725</v>
      </c>
      <c r="AQ97" s="11" t="n">
        <f aca="false">IF(AQ$1&lt;Units!$P96,0,IF(AND(Units!$K96=0,AQ$1=Units!$O96),Units!$R96,IF(AND(AQ$1&gt;=Units!$Q96,MOD(AQ$1-Units!$Q96,12)=0),IF(AND(Units!$L96=1,AQ$1=Units!$Q96),IF(Units!$J96&lt;&gt;"",Units!$J96,Mkt!AQ97),Inputs!$B$15*Mkt!AQ97+(1-Inputs!$B$15)*MIN(Mkt!AQ97,AP97*(1+Inputs!$B$18))),AP97)))</f>
        <v>1617.8725</v>
      </c>
      <c r="AR97" s="11" t="n">
        <f aca="false">IF(AR$1&lt;Units!$P96,0,IF(AND(Units!$K96=0,AR$1=Units!$O96),Units!$R96,IF(AND(AR$1&gt;=Units!$Q96,MOD(AR$1-Units!$Q96,12)=0),IF(AND(Units!$L96=1,AR$1=Units!$Q96),IF(Units!$J96&lt;&gt;"",Units!$J96,Mkt!AR97),Inputs!$B$15*Mkt!AR97+(1-Inputs!$B$15)*MIN(Mkt!AR97,AQ97*(1+Inputs!$B$18))),AQ97)))</f>
        <v>1617.8725</v>
      </c>
      <c r="AS97" s="11" t="n">
        <f aca="false">IF(AS$1&lt;Units!$P96,0,IF(AND(Units!$K96=0,AS$1=Units!$O96),Units!$R96,IF(AND(AS$1&gt;=Units!$Q96,MOD(AS$1-Units!$Q96,12)=0),IF(AND(Units!$L96=1,AS$1=Units!$Q96),IF(Units!$J96&lt;&gt;"",Units!$J96,Mkt!AS97),Inputs!$B$15*Mkt!AS97+(1-Inputs!$B$15)*MIN(Mkt!AS97,AR97*(1+Inputs!$B$18))),AR97)))</f>
        <v>1617.8725</v>
      </c>
      <c r="AT97" s="11" t="n">
        <f aca="false">IF(AT$1&lt;Units!$P96,0,IF(AND(Units!$K96=0,AT$1=Units!$O96),Units!$R96,IF(AND(AT$1&gt;=Units!$Q96,MOD(AT$1-Units!$Q96,12)=0),IF(AND(Units!$L96=1,AT$1=Units!$Q96),IF(Units!$J96&lt;&gt;"",Units!$J96,Mkt!AT97),Inputs!$B$15*Mkt!AT97+(1-Inputs!$B$15)*MIN(Mkt!AT97,AS97*(1+Inputs!$B$18))),AS97)))</f>
        <v>1617.8725</v>
      </c>
      <c r="AU97" s="11" t="n">
        <f aca="false">IF(AU$1&lt;Units!$P96,0,IF(AND(Units!$K96=0,AU$1=Units!$O96),Units!$R96,IF(AND(AU$1&gt;=Units!$Q96,MOD(AU$1-Units!$Q96,12)=0),IF(AND(Units!$L96=1,AU$1=Units!$Q96),IF(Units!$J96&lt;&gt;"",Units!$J96,Mkt!AU97),Inputs!$B$15*Mkt!AU97+(1-Inputs!$B$15)*MIN(Mkt!AU97,AT97*(1+Inputs!$B$18))),AT97)))</f>
        <v>1617.8725</v>
      </c>
      <c r="AV97" s="11" t="n">
        <f aca="false">IF(AV$1&lt;Units!$P96,0,IF(AND(Units!$K96=0,AV$1=Units!$O96),Units!$R96,IF(AND(AV$1&gt;=Units!$Q96,MOD(AV$1-Units!$Q96,12)=0),IF(AND(Units!$L96=1,AV$1=Units!$Q96),IF(Units!$J96&lt;&gt;"",Units!$J96,Mkt!AV97),Inputs!$B$15*Mkt!AV97+(1-Inputs!$B$15)*MIN(Mkt!AV97,AU97*(1+Inputs!$B$18))),AU97)))</f>
        <v>1617.8725</v>
      </c>
      <c r="AW97" s="11" t="n">
        <f aca="false">IF(AW$1&lt;Units!$P96,0,IF(AND(Units!$K96=0,AW$1=Units!$O96),Units!$R96,IF(AND(AW$1&gt;=Units!$Q96,MOD(AW$1-Units!$Q96,12)=0),IF(AND(Units!$L96=1,AW$1=Units!$Q96),IF(Units!$J96&lt;&gt;"",Units!$J96,Mkt!AW97),Inputs!$B$15*Mkt!AW97+(1-Inputs!$B$15)*MIN(Mkt!AW97,AV97*(1+Inputs!$B$18))),AV97)))</f>
        <v>1617.8725</v>
      </c>
      <c r="AX97" s="11" t="n">
        <f aca="false">IF(AX$1&lt;Units!$P96,0,IF(AND(Units!$K96=0,AX$1=Units!$O96),Units!$R96,IF(AND(AX$1&gt;=Units!$Q96,MOD(AX$1-Units!$Q96,12)=0),IF(AND(Units!$L96=1,AX$1=Units!$Q96),IF(Units!$J96&lt;&gt;"",Units!$J96,Mkt!AX97),Inputs!$B$15*Mkt!AX97+(1-Inputs!$B$15)*MIN(Mkt!AX97,AW97*(1+Inputs!$B$18))),AW97)))</f>
        <v>1666.408675</v>
      </c>
      <c r="AY97" s="11" t="n">
        <f aca="false">IF(AY$1&lt;Units!$P96,0,IF(AND(Units!$K96=0,AY$1=Units!$O96),Units!$R96,IF(AND(AY$1&gt;=Units!$Q96,MOD(AY$1-Units!$Q96,12)=0),IF(AND(Units!$L96=1,AY$1=Units!$Q96),IF(Units!$J96&lt;&gt;"",Units!$J96,Mkt!AY97),Inputs!$B$15*Mkt!AY97+(1-Inputs!$B$15)*MIN(Mkt!AY97,AX97*(1+Inputs!$B$18))),AX97)))</f>
        <v>1666.408675</v>
      </c>
      <c r="AZ97" s="11" t="n">
        <f aca="false">IF(AZ$1&lt;Units!$P96,0,IF(AND(Units!$K96=0,AZ$1=Units!$O96),Units!$R96,IF(AND(AZ$1&gt;=Units!$Q96,MOD(AZ$1-Units!$Q96,12)=0),IF(AND(Units!$L96=1,AZ$1=Units!$Q96),IF(Units!$J96&lt;&gt;"",Units!$J96,Mkt!AZ97),Inputs!$B$15*Mkt!AZ97+(1-Inputs!$B$15)*MIN(Mkt!AZ97,AY97*(1+Inputs!$B$18))),AY97)))</f>
        <v>1666.408675</v>
      </c>
      <c r="BA97" s="11" t="n">
        <f aca="false">IF(BA$1&lt;Units!$P96,0,IF(AND(Units!$K96=0,BA$1=Units!$O96),Units!$R96,IF(AND(BA$1&gt;=Units!$Q96,MOD(BA$1-Units!$Q96,12)=0),IF(AND(Units!$L96=1,BA$1=Units!$Q96),IF(Units!$J96&lt;&gt;"",Units!$J96,Mkt!BA97),Inputs!$B$15*Mkt!BA97+(1-Inputs!$B$15)*MIN(Mkt!BA97,AZ97*(1+Inputs!$B$18))),AZ97)))</f>
        <v>1666.408675</v>
      </c>
      <c r="BB97" s="11" t="n">
        <f aca="false">IF(BB$1&lt;Units!$P96,0,IF(AND(Units!$K96=0,BB$1=Units!$O96),Units!$R96,IF(AND(BB$1&gt;=Units!$Q96,MOD(BB$1-Units!$Q96,12)=0),IF(AND(Units!$L96=1,BB$1=Units!$Q96),IF(Units!$J96&lt;&gt;"",Units!$J96,Mkt!BB97),Inputs!$B$15*Mkt!BB97+(1-Inputs!$B$15)*MIN(Mkt!BB97,BA97*(1+Inputs!$B$18))),BA97)))</f>
        <v>1666.408675</v>
      </c>
      <c r="BC97" s="11" t="n">
        <f aca="false">IF(BC$1&lt;Units!$P96,0,IF(AND(Units!$K96=0,BC$1=Units!$O96),Units!$R96,IF(AND(BC$1&gt;=Units!$Q96,MOD(BC$1-Units!$Q96,12)=0),IF(AND(Units!$L96=1,BC$1=Units!$Q96),IF(Units!$J96&lt;&gt;"",Units!$J96,Mkt!BC97),Inputs!$B$15*Mkt!BC97+(1-Inputs!$B$15)*MIN(Mkt!BC97,BB97*(1+Inputs!$B$18))),BB97)))</f>
        <v>1666.408675</v>
      </c>
      <c r="BD97" s="11" t="n">
        <f aca="false">IF(BD$1&lt;Units!$P96,0,IF(AND(Units!$K96=0,BD$1=Units!$O96),Units!$R96,IF(AND(BD$1&gt;=Units!$Q96,MOD(BD$1-Units!$Q96,12)=0),IF(AND(Units!$L96=1,BD$1=Units!$Q96),IF(Units!$J96&lt;&gt;"",Units!$J96,Mkt!BD97),Inputs!$B$15*Mkt!BD97+(1-Inputs!$B$15)*MIN(Mkt!BD97,BC97*(1+Inputs!$B$18))),BC97)))</f>
        <v>1666.408675</v>
      </c>
      <c r="BE97" s="11" t="n">
        <f aca="false">IF(BE$1&lt;Units!$P96,0,IF(AND(Units!$K96=0,BE$1=Units!$O96),Units!$R96,IF(AND(BE$1&gt;=Units!$Q96,MOD(BE$1-Units!$Q96,12)=0),IF(AND(Units!$L96=1,BE$1=Units!$Q96),IF(Units!$J96&lt;&gt;"",Units!$J96,Mkt!BE97),Inputs!$B$15*Mkt!BE97+(1-Inputs!$B$15)*MIN(Mkt!BE97,BD97*(1+Inputs!$B$18))),BD97)))</f>
        <v>1666.408675</v>
      </c>
      <c r="BF97" s="11" t="n">
        <f aca="false">IF(BF$1&lt;Units!$P96,0,IF(AND(Units!$K96=0,BF$1=Units!$O96),Units!$R96,IF(AND(BF$1&gt;=Units!$Q96,MOD(BF$1-Units!$Q96,12)=0),IF(AND(Units!$L96=1,BF$1=Units!$Q96),IF(Units!$J96&lt;&gt;"",Units!$J96,Mkt!BF97),Inputs!$B$15*Mkt!BF97+(1-Inputs!$B$15)*MIN(Mkt!BF97,BE97*(1+Inputs!$B$18))),BE97)))</f>
        <v>1666.408675</v>
      </c>
      <c r="BG97" s="11" t="n">
        <f aca="false">IF(BG$1&lt;Units!$P96,0,IF(AND(Units!$K96=0,BG$1=Units!$O96),Units!$R96,IF(AND(BG$1&gt;=Units!$Q96,MOD(BG$1-Units!$Q96,12)=0),IF(AND(Units!$L96=1,BG$1=Units!$Q96),IF(Units!$J96&lt;&gt;"",Units!$J96,Mkt!BG97),Inputs!$B$15*Mkt!BG97+(1-Inputs!$B$15)*MIN(Mkt!BG97,BF97*(1+Inputs!$B$18))),BF97)))</f>
        <v>1666.408675</v>
      </c>
      <c r="BH97" s="11" t="n">
        <f aca="false">IF(BH$1&lt;Units!$P96,0,IF(AND(Units!$K96=0,BH$1=Units!$O96),Units!$R96,IF(AND(BH$1&gt;=Units!$Q96,MOD(BH$1-Units!$Q96,12)=0),IF(AND(Units!$L96=1,BH$1=Units!$Q96),IF(Units!$J96&lt;&gt;"",Units!$J96,Mkt!BH97),Inputs!$B$15*Mkt!BH97+(1-Inputs!$B$15)*MIN(Mkt!BH97,BG97*(1+Inputs!$B$18))),BG97)))</f>
        <v>1666.408675</v>
      </c>
      <c r="BI97" s="11" t="n">
        <f aca="false">IF(BI$1&lt;Units!$P96,0,IF(AND(Units!$K96=0,BI$1=Units!$O96),Units!$R96,IF(AND(BI$1&gt;=Units!$Q96,MOD(BI$1-Units!$Q96,12)=0),IF(AND(Units!$L96=1,BI$1=Units!$Q96),IF(Units!$J96&lt;&gt;"",Units!$J96,Mkt!BI97),Inputs!$B$15*Mkt!BI97+(1-Inputs!$B$15)*MIN(Mkt!BI97,BH97*(1+Inputs!$B$18))),BH97)))</f>
        <v>1666.408675</v>
      </c>
      <c r="BJ97" s="11" t="n">
        <f aca="false">IF(BJ$1&lt;Units!$P96,0,IF(AND(Units!$K96=0,BJ$1=Units!$O96),Units!$R96,IF(AND(BJ$1&gt;=Units!$Q96,MOD(BJ$1-Units!$Q96,12)=0),IF(AND(Units!$L96=1,BJ$1=Units!$Q96),IF(Units!$J96&lt;&gt;"",Units!$J96,Mkt!BJ97),Inputs!$B$15*Mkt!BJ97+(1-Inputs!$B$15)*MIN(Mkt!BJ97,BI97*(1+Inputs!$B$18))),BI97)))</f>
        <v>1716.40093525</v>
      </c>
      <c r="BK97" s="11" t="n">
        <f aca="false">IF(BK$1&lt;Units!$P96,0,IF(AND(Units!$K96=0,BK$1=Units!$O96),Units!$R96,IF(AND(BK$1&gt;=Units!$Q96,MOD(BK$1-Units!$Q96,12)=0),IF(AND(Units!$L96=1,BK$1=Units!$Q96),IF(Units!$J96&lt;&gt;"",Units!$J96,Mkt!BK97),Inputs!$B$15*Mkt!BK97+(1-Inputs!$B$15)*MIN(Mkt!BK97,BJ97*(1+Inputs!$B$18))),BJ97)))</f>
        <v>1716.40093525</v>
      </c>
      <c r="BL97" s="11" t="n">
        <f aca="false">IF(BL$1&lt;Units!$P96,0,IF(AND(Units!$K96=0,BL$1=Units!$O96),Units!$R96,IF(AND(BL$1&gt;=Units!$Q96,MOD(BL$1-Units!$Q96,12)=0),IF(AND(Units!$L96=1,BL$1=Units!$Q96),IF(Units!$J96&lt;&gt;"",Units!$J96,Mkt!BL97),Inputs!$B$15*Mkt!BL97+(1-Inputs!$B$15)*MIN(Mkt!BL97,BK97*(1+Inputs!$B$18))),BK97)))</f>
        <v>1716.40093525</v>
      </c>
      <c r="BM97" s="11" t="n">
        <f aca="false">IF(BM$1&lt;Units!$P96,0,IF(AND(Units!$K96=0,BM$1=Units!$O96),Units!$R96,IF(AND(BM$1&gt;=Units!$Q96,MOD(BM$1-Units!$Q96,12)=0),IF(AND(Units!$L96=1,BM$1=Units!$Q96),IF(Units!$J96&lt;&gt;"",Units!$J96,Mkt!BM97),Inputs!$B$15*Mkt!BM97+(1-Inputs!$B$15)*MIN(Mkt!BM97,BL97*(1+Inputs!$B$18))),BL97)))</f>
        <v>1716.40093525</v>
      </c>
      <c r="BN97" s="11" t="n">
        <f aca="false">IF(BN$1&lt;Units!$P96,0,IF(AND(Units!$K96=0,BN$1=Units!$O96),Units!$R96,IF(AND(BN$1&gt;=Units!$Q96,MOD(BN$1-Units!$Q96,12)=0),IF(AND(Units!$L96=1,BN$1=Units!$Q96),IF(Units!$J96&lt;&gt;"",Units!$J96,Mkt!BN97),Inputs!$B$15*Mkt!BN97+(1-Inputs!$B$15)*MIN(Mkt!BN97,BM97*(1+Inputs!$B$18))),BM97)))</f>
        <v>1716.40093525</v>
      </c>
      <c r="BO97" s="11" t="n">
        <f aca="false">IF(BO$1&lt;Units!$P96,0,IF(AND(Units!$K96=0,BO$1=Units!$O96),Units!$R96,IF(AND(BO$1&gt;=Units!$Q96,MOD(BO$1-Units!$Q96,12)=0),IF(AND(Units!$L96=1,BO$1=Units!$Q96),IF(Units!$J96&lt;&gt;"",Units!$J96,Mkt!BO97),Inputs!$B$15*Mkt!BO97+(1-Inputs!$B$15)*MIN(Mkt!BO97,BN97*(1+Inputs!$B$18))),BN97)))</f>
        <v>1716.40093525</v>
      </c>
      <c r="BP97" s="11" t="n">
        <f aca="false">IF(BP$1&lt;Units!$P96,0,IF(AND(Units!$K96=0,BP$1=Units!$O96),Units!$R96,IF(AND(BP$1&gt;=Units!$Q96,MOD(BP$1-Units!$Q96,12)=0),IF(AND(Units!$L96=1,BP$1=Units!$Q96),IF(Units!$J96&lt;&gt;"",Units!$J96,Mkt!BP97),Inputs!$B$15*Mkt!BP97+(1-Inputs!$B$15)*MIN(Mkt!BP97,BO97*(1+Inputs!$B$18))),BO97)))</f>
        <v>1716.40093525</v>
      </c>
      <c r="BQ97" s="11" t="n">
        <f aca="false">IF(BQ$1&lt;Units!$P96,0,IF(AND(Units!$K96=0,BQ$1=Units!$O96),Units!$R96,IF(AND(BQ$1&gt;=Units!$Q96,MOD(BQ$1-Units!$Q96,12)=0),IF(AND(Units!$L96=1,BQ$1=Units!$Q96),IF(Units!$J96&lt;&gt;"",Units!$J96,Mkt!BQ97),Inputs!$B$15*Mkt!BQ97+(1-Inputs!$B$15)*MIN(Mkt!BQ97,BP97*(1+Inputs!$B$18))),BP97)))</f>
        <v>1716.40093525</v>
      </c>
      <c r="BR97" s="11" t="n">
        <f aca="false">IF(BR$1&lt;Units!$P96,0,IF(AND(Units!$K96=0,BR$1=Units!$O96),Units!$R96,IF(AND(BR$1&gt;=Units!$Q96,MOD(BR$1-Units!$Q96,12)=0),IF(AND(Units!$L96=1,BR$1=Units!$Q96),IF(Units!$J96&lt;&gt;"",Units!$J96,Mkt!BR97),Inputs!$B$15*Mkt!BR97+(1-Inputs!$B$15)*MIN(Mkt!BR97,BQ97*(1+Inputs!$B$18))),BQ97)))</f>
        <v>1716.40093525</v>
      </c>
      <c r="BS97" s="11" t="n">
        <f aca="false">IF(BS$1&lt;Units!$P96,0,IF(AND(Units!$K96=0,BS$1=Units!$O96),Units!$R96,IF(AND(BS$1&gt;=Units!$Q96,MOD(BS$1-Units!$Q96,12)=0),IF(AND(Units!$L96=1,BS$1=Units!$Q96),IF(Units!$J96&lt;&gt;"",Units!$J96,Mkt!BS97),Inputs!$B$15*Mkt!BS97+(1-Inputs!$B$15)*MIN(Mkt!BS97,BR97*(1+Inputs!$B$18))),BR97)))</f>
        <v>1716.40093525</v>
      </c>
      <c r="BT97" s="11" t="n">
        <f aca="false">IF(BT$1&lt;Units!$P96,0,IF(AND(Units!$K96=0,BT$1=Units!$O96),Units!$R96,IF(AND(BT$1&gt;=Units!$Q96,MOD(BT$1-Units!$Q96,12)=0),IF(AND(Units!$L96=1,BT$1=Units!$Q96),IF(Units!$J96&lt;&gt;"",Units!$J96,Mkt!BT97),Inputs!$B$15*Mkt!BT97+(1-Inputs!$B$15)*MIN(Mkt!BT97,BS97*(1+Inputs!$B$18))),BS97)))</f>
        <v>1716.40093525</v>
      </c>
      <c r="BU97" s="11" t="n">
        <f aca="false">IF(BU$1&lt;Units!$P96,0,IF(AND(Units!$K96=0,BU$1=Units!$O96),Units!$R96,IF(AND(BU$1&gt;=Units!$Q96,MOD(BU$1-Units!$Q96,12)=0),IF(AND(Units!$L96=1,BU$1=Units!$Q96),IF(Units!$J96&lt;&gt;"",Units!$J96,Mkt!BU97),Inputs!$B$15*Mkt!BU97+(1-Inputs!$B$15)*MIN(Mkt!BU97,BT97*(1+Inputs!$B$18))),BT97)))</f>
        <v>1716.40093525</v>
      </c>
      <c r="BV97" s="11" t="n">
        <f aca="false">IF(BV$1&lt;Units!$P96,0,IF(AND(Units!$K96=0,BV$1=Units!$O96),Units!$R96,IF(AND(BV$1&gt;=Units!$Q96,MOD(BV$1-Units!$Q96,12)=0),IF(AND(Units!$L96=1,BV$1=Units!$Q96),IF(Units!$J96&lt;&gt;"",Units!$J96,Mkt!BV97),Inputs!$B$15*Mkt!BV97+(1-Inputs!$B$15)*MIN(Mkt!BV97,BU97*(1+Inputs!$B$18))),BU97)))</f>
        <v>1767.8929633075</v>
      </c>
      <c r="BW97" s="11" t="n">
        <f aca="false">IF(BW$1&lt;Units!$P96,0,IF(AND(Units!$K96=0,BW$1=Units!$O96),Units!$R96,IF(AND(BW$1&gt;=Units!$Q96,MOD(BW$1-Units!$Q96,12)=0),IF(AND(Units!$L96=1,BW$1=Units!$Q96),IF(Units!$J96&lt;&gt;"",Units!$J96,Mkt!BW97),Inputs!$B$15*Mkt!BW97+(1-Inputs!$B$15)*MIN(Mkt!BW97,BV97*(1+Inputs!$B$18))),BV97)))</f>
        <v>1767.8929633075</v>
      </c>
      <c r="BX97" s="11" t="n">
        <f aca="false">IF(BX$1&lt;Units!$P96,0,IF(AND(Units!$K96=0,BX$1=Units!$O96),Units!$R96,IF(AND(BX$1&gt;=Units!$Q96,MOD(BX$1-Units!$Q96,12)=0),IF(AND(Units!$L96=1,BX$1=Units!$Q96),IF(Units!$J96&lt;&gt;"",Units!$J96,Mkt!BX97),Inputs!$B$15*Mkt!BX97+(1-Inputs!$B$15)*MIN(Mkt!BX97,BW97*(1+Inputs!$B$18))),BW97)))</f>
        <v>1767.8929633075</v>
      </c>
      <c r="BY97" s="11" t="n">
        <f aca="false">IF(BY$1&lt;Units!$P96,0,IF(AND(Units!$K96=0,BY$1=Units!$O96),Units!$R96,IF(AND(BY$1&gt;=Units!$Q96,MOD(BY$1-Units!$Q96,12)=0),IF(AND(Units!$L96=1,BY$1=Units!$Q96),IF(Units!$J96&lt;&gt;"",Units!$J96,Mkt!BY97),Inputs!$B$15*Mkt!BY97+(1-Inputs!$B$15)*MIN(Mkt!BY97,BX97*(1+Inputs!$B$18))),BX97)))</f>
        <v>1767.8929633075</v>
      </c>
      <c r="BZ97" s="11" t="n">
        <f aca="false">IF(BZ$1&lt;Units!$P96,0,IF(AND(Units!$K96=0,BZ$1=Units!$O96),Units!$R96,IF(AND(BZ$1&gt;=Units!$Q96,MOD(BZ$1-Units!$Q96,12)=0),IF(AND(Units!$L96=1,BZ$1=Units!$Q96),IF(Units!$J96&lt;&gt;"",Units!$J96,Mkt!BZ97),Inputs!$B$15*Mkt!BZ97+(1-Inputs!$B$15)*MIN(Mkt!BZ97,BY97*(1+Inputs!$B$18))),BY97)))</f>
        <v>1767.8929633075</v>
      </c>
      <c r="CA97" s="11" t="n">
        <f aca="false">IF(CA$1&lt;Units!$P96,0,IF(AND(Units!$K96=0,CA$1=Units!$O96),Units!$R96,IF(AND(CA$1&gt;=Units!$Q96,MOD(CA$1-Units!$Q96,12)=0),IF(AND(Units!$L96=1,CA$1=Units!$Q96),IF(Units!$J96&lt;&gt;"",Units!$J96,Mkt!CA97),Inputs!$B$15*Mkt!CA97+(1-Inputs!$B$15)*MIN(Mkt!CA97,BZ97*(1+Inputs!$B$18))),BZ97)))</f>
        <v>1767.8929633075</v>
      </c>
      <c r="CB97" s="11" t="n">
        <f aca="false">IF(CB$1&lt;Units!$P96,0,IF(AND(Units!$K96=0,CB$1=Units!$O96),Units!$R96,IF(AND(CB$1&gt;=Units!$Q96,MOD(CB$1-Units!$Q96,12)=0),IF(AND(Units!$L96=1,CB$1=Units!$Q96),IF(Units!$J96&lt;&gt;"",Units!$J96,Mkt!CB97),Inputs!$B$15*Mkt!CB97+(1-Inputs!$B$15)*MIN(Mkt!CB97,CA97*(1+Inputs!$B$18))),CA97)))</f>
        <v>1767.8929633075</v>
      </c>
      <c r="CC97" s="11" t="n">
        <f aca="false">IF(CC$1&lt;Units!$P96,0,IF(AND(Units!$K96=0,CC$1=Units!$O96),Units!$R96,IF(AND(CC$1&gt;=Units!$Q96,MOD(CC$1-Units!$Q96,12)=0),IF(AND(Units!$L96=1,CC$1=Units!$Q96),IF(Units!$J96&lt;&gt;"",Units!$J96,Mkt!CC97),Inputs!$B$15*Mkt!CC97+(1-Inputs!$B$15)*MIN(Mkt!CC97,CB97*(1+Inputs!$B$18))),CB97)))</f>
        <v>1767.8929633075</v>
      </c>
      <c r="CD97" s="11" t="n">
        <f aca="false">IF(CD$1&lt;Units!$P96,0,IF(AND(Units!$K96=0,CD$1=Units!$O96),Units!$R96,IF(AND(CD$1&gt;=Units!$Q96,MOD(CD$1-Units!$Q96,12)=0),IF(AND(Units!$L96=1,CD$1=Units!$Q96),IF(Units!$J96&lt;&gt;"",Units!$J96,Mkt!CD97),Inputs!$B$15*Mkt!CD97+(1-Inputs!$B$15)*MIN(Mkt!CD97,CC97*(1+Inputs!$B$18))),CC97)))</f>
        <v>1767.8929633075</v>
      </c>
      <c r="CE97" s="11" t="n">
        <f aca="false">IF(CE$1&lt;Units!$P96,0,IF(AND(Units!$K96=0,CE$1=Units!$O96),Units!$R96,IF(AND(CE$1&gt;=Units!$Q96,MOD(CE$1-Units!$Q96,12)=0),IF(AND(Units!$L96=1,CE$1=Units!$Q96),IF(Units!$J96&lt;&gt;"",Units!$J96,Mkt!CE97),Inputs!$B$15*Mkt!CE97+(1-Inputs!$B$15)*MIN(Mkt!CE97,CD97*(1+Inputs!$B$18))),CD97)))</f>
        <v>1767.8929633075</v>
      </c>
      <c r="CF97" s="11" t="n">
        <f aca="false">IF(CF$1&lt;Units!$P96,0,IF(AND(Units!$K96=0,CF$1=Units!$O96),Units!$R96,IF(AND(CF$1&gt;=Units!$Q96,MOD(CF$1-Units!$Q96,12)=0),IF(AND(Units!$L96=1,CF$1=Units!$Q96),IF(Units!$J96&lt;&gt;"",Units!$J96,Mkt!CF97),Inputs!$B$15*Mkt!CF97+(1-Inputs!$B$15)*MIN(Mkt!CF97,CE97*(1+Inputs!$B$18))),CE97)))</f>
        <v>1767.8929633075</v>
      </c>
      <c r="CG97" s="11" t="n">
        <f aca="false">IF(CG$1&lt;Units!$P96,0,IF(AND(Units!$K96=0,CG$1=Units!$O96),Units!$R96,IF(AND(CG$1&gt;=Units!$Q96,MOD(CG$1-Units!$Q96,12)=0),IF(AND(Units!$L96=1,CG$1=Units!$Q96),IF(Units!$J96&lt;&gt;"",Units!$J96,Mkt!CG97),Inputs!$B$15*Mkt!CG97+(1-Inputs!$B$15)*MIN(Mkt!CG97,CF97*(1+Inputs!$B$18))),CF97)))</f>
        <v>1767.8929633075</v>
      </c>
      <c r="CH97" s="11" t="n">
        <f aca="false">IF(CH$1&lt;Units!$P96,0,IF(AND(Units!$K96=0,CH$1=Units!$O96),Units!$R96,IF(AND(CH$1&gt;=Units!$Q96,MOD(CH$1-Units!$Q96,12)=0),IF(AND(Units!$L96=1,CH$1=Units!$Q96),IF(Units!$J96&lt;&gt;"",Units!$J96,Mkt!CH97),Inputs!$B$15*Mkt!CH97+(1-Inputs!$B$15)*MIN(Mkt!CH97,CG97*(1+Inputs!$B$18))),CG97)))</f>
        <v>1820.92975220673</v>
      </c>
      <c r="CI97" s="11" t="n">
        <f aca="false">IF(CI$1&lt;Units!$P96,0,IF(AND(Units!$K96=0,CI$1=Units!$O96),Units!$R96,IF(AND(CI$1&gt;=Units!$Q96,MOD(CI$1-Units!$Q96,12)=0),IF(AND(Units!$L96=1,CI$1=Units!$Q96),IF(Units!$J96&lt;&gt;"",Units!$J96,Mkt!CI97),Inputs!$B$15*Mkt!CI97+(1-Inputs!$B$15)*MIN(Mkt!CI97,CH97*(1+Inputs!$B$18))),CH97)))</f>
        <v>1820.92975220673</v>
      </c>
      <c r="CJ97" s="11" t="n">
        <f aca="false">IF(CJ$1&lt;Units!$P96,0,IF(AND(Units!$K96=0,CJ$1=Units!$O96),Units!$R96,IF(AND(CJ$1&gt;=Units!$Q96,MOD(CJ$1-Units!$Q96,12)=0),IF(AND(Units!$L96=1,CJ$1=Units!$Q96),IF(Units!$J96&lt;&gt;"",Units!$J96,Mkt!CJ97),Inputs!$B$15*Mkt!CJ97+(1-Inputs!$B$15)*MIN(Mkt!CJ97,CI97*(1+Inputs!$B$18))),CI97)))</f>
        <v>1820.92975220673</v>
      </c>
      <c r="CK97" s="11" t="n">
        <f aca="false">IF(CK$1&lt;Units!$P96,0,IF(AND(Units!$K96=0,CK$1=Units!$O96),Units!$R96,IF(AND(CK$1&gt;=Units!$Q96,MOD(CK$1-Units!$Q96,12)=0),IF(AND(Units!$L96=1,CK$1=Units!$Q96),IF(Units!$J96&lt;&gt;"",Units!$J96,Mkt!CK97),Inputs!$B$15*Mkt!CK97+(1-Inputs!$B$15)*MIN(Mkt!CK97,CJ97*(1+Inputs!$B$18))),CJ97)))</f>
        <v>1820.92975220673</v>
      </c>
      <c r="CL97" s="11" t="n">
        <f aca="false">IF(CL$1&lt;Units!$P96,0,IF(AND(Units!$K96=0,CL$1=Units!$O96),Units!$R96,IF(AND(CL$1&gt;=Units!$Q96,MOD(CL$1-Units!$Q96,12)=0),IF(AND(Units!$L96=1,CL$1=Units!$Q96),IF(Units!$J96&lt;&gt;"",Units!$J96,Mkt!CL97),Inputs!$B$15*Mkt!CL97+(1-Inputs!$B$15)*MIN(Mkt!CL97,CK97*(1+Inputs!$B$18))),CK97)))</f>
        <v>1820.92975220673</v>
      </c>
      <c r="CM97" s="11" t="n">
        <f aca="false">IF(CM$1&lt;Units!$P96,0,IF(AND(Units!$K96=0,CM$1=Units!$O96),Units!$R96,IF(AND(CM$1&gt;=Units!$Q96,MOD(CM$1-Units!$Q96,12)=0),IF(AND(Units!$L96=1,CM$1=Units!$Q96),IF(Units!$J96&lt;&gt;"",Units!$J96,Mkt!CM97),Inputs!$B$15*Mkt!CM97+(1-Inputs!$B$15)*MIN(Mkt!CM97,CL97*(1+Inputs!$B$18))),CL97)))</f>
        <v>1820.92975220673</v>
      </c>
      <c r="CN97" s="11" t="n">
        <f aca="false">IF(CN$1&lt;Units!$P96,0,IF(AND(Units!$K96=0,CN$1=Units!$O96),Units!$R96,IF(AND(CN$1&gt;=Units!$Q96,MOD(CN$1-Units!$Q96,12)=0),IF(AND(Units!$L96=1,CN$1=Units!$Q96),IF(Units!$J96&lt;&gt;"",Units!$J96,Mkt!CN97),Inputs!$B$15*Mkt!CN97+(1-Inputs!$B$15)*MIN(Mkt!CN97,CM97*(1+Inputs!$B$18))),CM97)))</f>
        <v>1820.92975220673</v>
      </c>
      <c r="CO97" s="11" t="n">
        <f aca="false">IF(CO$1&lt;Units!$P96,0,IF(AND(Units!$K96=0,CO$1=Units!$O96),Units!$R96,IF(AND(CO$1&gt;=Units!$Q96,MOD(CO$1-Units!$Q96,12)=0),IF(AND(Units!$L96=1,CO$1=Units!$Q96),IF(Units!$J96&lt;&gt;"",Units!$J96,Mkt!CO97),Inputs!$B$15*Mkt!CO97+(1-Inputs!$B$15)*MIN(Mkt!CO97,CN97*(1+Inputs!$B$18))),CN97)))</f>
        <v>1820.92975220673</v>
      </c>
      <c r="CP97" s="11" t="n">
        <f aca="false">IF(CP$1&lt;Units!$P96,0,IF(AND(Units!$K96=0,CP$1=Units!$O96),Units!$R96,IF(AND(CP$1&gt;=Units!$Q96,MOD(CP$1-Units!$Q96,12)=0),IF(AND(Units!$L96=1,CP$1=Units!$Q96),IF(Units!$J96&lt;&gt;"",Units!$J96,Mkt!CP97),Inputs!$B$15*Mkt!CP97+(1-Inputs!$B$15)*MIN(Mkt!CP97,CO97*(1+Inputs!$B$18))),CO97)))</f>
        <v>1820.92975220673</v>
      </c>
      <c r="CQ97" s="11" t="n">
        <f aca="false">IF(CQ$1&lt;Units!$P96,0,IF(AND(Units!$K96=0,CQ$1=Units!$O96),Units!$R96,IF(AND(CQ$1&gt;=Units!$Q96,MOD(CQ$1-Units!$Q96,12)=0),IF(AND(Units!$L96=1,CQ$1=Units!$Q96),IF(Units!$J96&lt;&gt;"",Units!$J96,Mkt!CQ97),Inputs!$B$15*Mkt!CQ97+(1-Inputs!$B$15)*MIN(Mkt!CQ97,CP97*(1+Inputs!$B$18))),CP97)))</f>
        <v>1820.92975220673</v>
      </c>
      <c r="CR97" s="11" t="n">
        <f aca="false">IF(CR$1&lt;Units!$P96,0,IF(AND(Units!$K96=0,CR$1=Units!$O96),Units!$R96,IF(AND(CR$1&gt;=Units!$Q96,MOD(CR$1-Units!$Q96,12)=0),IF(AND(Units!$L96=1,CR$1=Units!$Q96),IF(Units!$J96&lt;&gt;"",Units!$J96,Mkt!CR97),Inputs!$B$15*Mkt!CR97+(1-Inputs!$B$15)*MIN(Mkt!CR97,CQ97*(1+Inputs!$B$18))),CQ97)))</f>
        <v>1820.92975220673</v>
      </c>
      <c r="CS97" s="11" t="n">
        <f aca="false">IF(CS$1&lt;Units!$P96,0,IF(AND(Units!$K96=0,CS$1=Units!$O96),Units!$R96,IF(AND(CS$1&gt;=Units!$Q96,MOD(CS$1-Units!$Q96,12)=0),IF(AND(Units!$L96=1,CS$1=Units!$Q96),IF(Units!$J96&lt;&gt;"",Units!$J96,Mkt!CS97),Inputs!$B$15*Mkt!CS97+(1-Inputs!$B$15)*MIN(Mkt!CS97,CR97*(1+Inputs!$B$18))),CR97)))</f>
        <v>1820.92975220673</v>
      </c>
      <c r="CT97" s="11" t="n">
        <f aca="false">IF(CT$1&lt;Units!$P96,0,IF(AND(Units!$K96=0,CT$1=Units!$O96),Units!$R96,IF(AND(CT$1&gt;=Units!$Q96,MOD(CT$1-Units!$Q96,12)=0),IF(AND(Units!$L96=1,CT$1=Units!$Q96),IF(Units!$J96&lt;&gt;"",Units!$J96,Mkt!CT97),Inputs!$B$15*Mkt!CT97+(1-Inputs!$B$15)*MIN(Mkt!CT97,CS97*(1+Inputs!$B$18))),CS97)))</f>
        <v>1875.55764477293</v>
      </c>
      <c r="CU97" s="11" t="n">
        <f aca="false">IF(CU$1&lt;Units!$P96,0,IF(AND(Units!$K96=0,CU$1=Units!$O96),Units!$R96,IF(AND(CU$1&gt;=Units!$Q96,MOD(CU$1-Units!$Q96,12)=0),IF(AND(Units!$L96=1,CU$1=Units!$Q96),IF(Units!$J96&lt;&gt;"",Units!$J96,Mkt!CU97),Inputs!$B$15*Mkt!CU97+(1-Inputs!$B$15)*MIN(Mkt!CU97,CT97*(1+Inputs!$B$18))),CT97)))</f>
        <v>1875.55764477293</v>
      </c>
      <c r="CV97" s="11" t="n">
        <f aca="false">IF(CV$1&lt;Units!$P96,0,IF(AND(Units!$K96=0,CV$1=Units!$O96),Units!$R96,IF(AND(CV$1&gt;=Units!$Q96,MOD(CV$1-Units!$Q96,12)=0),IF(AND(Units!$L96=1,CV$1=Units!$Q96),IF(Units!$J96&lt;&gt;"",Units!$J96,Mkt!CV97),Inputs!$B$15*Mkt!CV97+(1-Inputs!$B$15)*MIN(Mkt!CV97,CU97*(1+Inputs!$B$18))),CU97)))</f>
        <v>1875.55764477293</v>
      </c>
      <c r="CW97" s="11" t="n">
        <f aca="false">IF(CW$1&lt;Units!$P96,0,IF(AND(Units!$K96=0,CW$1=Units!$O96),Units!$R96,IF(AND(CW$1&gt;=Units!$Q96,MOD(CW$1-Units!$Q96,12)=0),IF(AND(Units!$L96=1,CW$1=Units!$Q96),IF(Units!$J96&lt;&gt;"",Units!$J96,Mkt!CW97),Inputs!$B$15*Mkt!CW97+(1-Inputs!$B$15)*MIN(Mkt!CW97,CV97*(1+Inputs!$B$18))),CV97)))</f>
        <v>1875.55764477293</v>
      </c>
      <c r="CX97" s="11" t="n">
        <f aca="false">IF(CX$1&lt;Units!$P96,0,IF(AND(Units!$K96=0,CX$1=Units!$O96),Units!$R96,IF(AND(CX$1&gt;=Units!$Q96,MOD(CX$1-Units!$Q96,12)=0),IF(AND(Units!$L96=1,CX$1=Units!$Q96),IF(Units!$J96&lt;&gt;"",Units!$J96,Mkt!CX97),Inputs!$B$15*Mkt!CX97+(1-Inputs!$B$15)*MIN(Mkt!CX97,CW97*(1+Inputs!$B$18))),CW97)))</f>
        <v>1875.55764477293</v>
      </c>
      <c r="CY97" s="11" t="n">
        <f aca="false">IF(CY$1&lt;Units!$P96,0,IF(AND(Units!$K96=0,CY$1=Units!$O96),Units!$R96,IF(AND(CY$1&gt;=Units!$Q96,MOD(CY$1-Units!$Q96,12)=0),IF(AND(Units!$L96=1,CY$1=Units!$Q96),IF(Units!$J96&lt;&gt;"",Units!$J96,Mkt!CY97),Inputs!$B$15*Mkt!CY97+(1-Inputs!$B$15)*MIN(Mkt!CY97,CX97*(1+Inputs!$B$18))),CX97)))</f>
        <v>1875.55764477293</v>
      </c>
      <c r="CZ97" s="11" t="n">
        <f aca="false">IF(CZ$1&lt;Units!$P96,0,IF(AND(Units!$K96=0,CZ$1=Units!$O96),Units!$R96,IF(AND(CZ$1&gt;=Units!$Q96,MOD(CZ$1-Units!$Q96,12)=0),IF(AND(Units!$L96=1,CZ$1=Units!$Q96),IF(Units!$J96&lt;&gt;"",Units!$J96,Mkt!CZ97),Inputs!$B$15*Mkt!CZ97+(1-Inputs!$B$15)*MIN(Mkt!CZ97,CY97*(1+Inputs!$B$18))),CY97)))</f>
        <v>1875.55764477293</v>
      </c>
      <c r="DA97" s="11" t="n">
        <f aca="false">IF(DA$1&lt;Units!$P96,0,IF(AND(Units!$K96=0,DA$1=Units!$O96),Units!$R96,IF(AND(DA$1&gt;=Units!$Q96,MOD(DA$1-Units!$Q96,12)=0),IF(AND(Units!$L96=1,DA$1=Units!$Q96),IF(Units!$J96&lt;&gt;"",Units!$J96,Mkt!DA97),Inputs!$B$15*Mkt!DA97+(1-Inputs!$B$15)*MIN(Mkt!DA97,CZ97*(1+Inputs!$B$18))),CZ97)))</f>
        <v>1875.55764477293</v>
      </c>
      <c r="DB97" s="11" t="n">
        <f aca="false">IF(DB$1&lt;Units!$P96,0,IF(AND(Units!$K96=0,DB$1=Units!$O96),Units!$R96,IF(AND(DB$1&gt;=Units!$Q96,MOD(DB$1-Units!$Q96,12)=0),IF(AND(Units!$L96=1,DB$1=Units!$Q96),IF(Units!$J96&lt;&gt;"",Units!$J96,Mkt!DB97),Inputs!$B$15*Mkt!DB97+(1-Inputs!$B$15)*MIN(Mkt!DB97,DA97*(1+Inputs!$B$18))),DA97)))</f>
        <v>1875.55764477293</v>
      </c>
      <c r="DC97" s="11" t="n">
        <f aca="false">IF(DC$1&lt;Units!$P96,0,IF(AND(Units!$K96=0,DC$1=Units!$O96),Units!$R96,IF(AND(DC$1&gt;=Units!$Q96,MOD(DC$1-Units!$Q96,12)=0),IF(AND(Units!$L96=1,DC$1=Units!$Q96),IF(Units!$J96&lt;&gt;"",Units!$J96,Mkt!DC97),Inputs!$B$15*Mkt!DC97+(1-Inputs!$B$15)*MIN(Mkt!DC97,DB97*(1+Inputs!$B$18))),DB97)))</f>
        <v>1875.55764477293</v>
      </c>
      <c r="DD97" s="11" t="n">
        <f aca="false">IF(DD$1&lt;Units!$P96,0,IF(AND(Units!$K96=0,DD$1=Units!$O96),Units!$R96,IF(AND(DD$1&gt;=Units!$Q96,MOD(DD$1-Units!$Q96,12)=0),IF(AND(Units!$L96=1,DD$1=Units!$Q96),IF(Units!$J96&lt;&gt;"",Units!$J96,Mkt!DD97),Inputs!$B$15*Mkt!DD97+(1-Inputs!$B$15)*MIN(Mkt!DD97,DC97*(1+Inputs!$B$18))),DC97)))</f>
        <v>1875.55764477293</v>
      </c>
      <c r="DE97" s="11" t="n">
        <f aca="false">IF(DE$1&lt;Units!$P96,0,IF(AND(Units!$K96=0,DE$1=Units!$O96),Units!$R96,IF(AND(DE$1&gt;=Units!$Q96,MOD(DE$1-Units!$Q96,12)=0),IF(AND(Units!$L96=1,DE$1=Units!$Q96),IF(Units!$J96&lt;&gt;"",Units!$J96,Mkt!DE97),Inputs!$B$15*Mkt!DE97+(1-Inputs!$B$15)*MIN(Mkt!DE97,DD97*(1+Inputs!$B$18))),DD97)))</f>
        <v>1875.55764477293</v>
      </c>
      <c r="DF97" s="11" t="n">
        <f aca="false">IF(DF$1&lt;Units!$P96,0,IF(AND(Units!$K96=0,DF$1=Units!$O96),Units!$R96,IF(AND(DF$1&gt;=Units!$Q96,MOD(DF$1-Units!$Q96,12)=0),IF(AND(Units!$L96=1,DF$1=Units!$Q96),IF(Units!$J96&lt;&gt;"",Units!$J96,Mkt!DF97),Inputs!$B$15*Mkt!DF97+(1-Inputs!$B$15)*MIN(Mkt!DF97,DE97*(1+Inputs!$B$18))),DE97)))</f>
        <v>1931.82437411612</v>
      </c>
      <c r="DG97" s="11" t="n">
        <f aca="false">IF(DG$1&lt;Units!$P96,0,IF(AND(Units!$K96=0,DG$1=Units!$O96),Units!$R96,IF(AND(DG$1&gt;=Units!$Q96,MOD(DG$1-Units!$Q96,12)=0),IF(AND(Units!$L96=1,DG$1=Units!$Q96),IF(Units!$J96&lt;&gt;"",Units!$J96,Mkt!DG97),Inputs!$B$15*Mkt!DG97+(1-Inputs!$B$15)*MIN(Mkt!DG97,DF97*(1+Inputs!$B$18))),DF97)))</f>
        <v>1931.82437411612</v>
      </c>
      <c r="DH97" s="11" t="n">
        <f aca="false">IF(DH$1&lt;Units!$P96,0,IF(AND(Units!$K96=0,DH$1=Units!$O96),Units!$R96,IF(AND(DH$1&gt;=Units!$Q96,MOD(DH$1-Units!$Q96,12)=0),IF(AND(Units!$L96=1,DH$1=Units!$Q96),IF(Units!$J96&lt;&gt;"",Units!$J96,Mkt!DH97),Inputs!$B$15*Mkt!DH97+(1-Inputs!$B$15)*MIN(Mkt!DH97,DG97*(1+Inputs!$B$18))),DG97)))</f>
        <v>1931.82437411612</v>
      </c>
      <c r="DI97" s="11" t="n">
        <f aca="false">IF(DI$1&lt;Units!$P96,0,IF(AND(Units!$K96=0,DI$1=Units!$O96),Units!$R96,IF(AND(DI$1&gt;=Units!$Q96,MOD(DI$1-Units!$Q96,12)=0),IF(AND(Units!$L96=1,DI$1=Units!$Q96),IF(Units!$J96&lt;&gt;"",Units!$J96,Mkt!DI97),Inputs!$B$15*Mkt!DI97+(1-Inputs!$B$15)*MIN(Mkt!DI97,DH97*(1+Inputs!$B$18))),DH97)))</f>
        <v>1931.82437411612</v>
      </c>
      <c r="DJ97" s="11" t="n">
        <f aca="false">IF(DJ$1&lt;Units!$P96,0,IF(AND(Units!$K96=0,DJ$1=Units!$O96),Units!$R96,IF(AND(DJ$1&gt;=Units!$Q96,MOD(DJ$1-Units!$Q96,12)=0),IF(AND(Units!$L96=1,DJ$1=Units!$Q96),IF(Units!$J96&lt;&gt;"",Units!$J96,Mkt!DJ97),Inputs!$B$15*Mkt!DJ97+(1-Inputs!$B$15)*MIN(Mkt!DJ97,DI97*(1+Inputs!$B$18))),DI97)))</f>
        <v>1931.82437411612</v>
      </c>
      <c r="DK97" s="11" t="n">
        <f aca="false">IF(DK$1&lt;Units!$P96,0,IF(AND(Units!$K96=0,DK$1=Units!$O96),Units!$R96,IF(AND(DK$1&gt;=Units!$Q96,MOD(DK$1-Units!$Q96,12)=0),IF(AND(Units!$L96=1,DK$1=Units!$Q96),IF(Units!$J96&lt;&gt;"",Units!$J96,Mkt!DK97),Inputs!$B$15*Mkt!DK97+(1-Inputs!$B$15)*MIN(Mkt!DK97,DJ97*(1+Inputs!$B$18))),DJ97)))</f>
        <v>1931.82437411612</v>
      </c>
      <c r="DL97" s="11" t="n">
        <f aca="false">IF(DL$1&lt;Units!$P96,0,IF(AND(Units!$K96=0,DL$1=Units!$O96),Units!$R96,IF(AND(DL$1&gt;=Units!$Q96,MOD(DL$1-Units!$Q96,12)=0),IF(AND(Units!$L96=1,DL$1=Units!$Q96),IF(Units!$J96&lt;&gt;"",Units!$J96,Mkt!DL97),Inputs!$B$15*Mkt!DL97+(1-Inputs!$B$15)*MIN(Mkt!DL97,DK97*(1+Inputs!$B$18))),DK97)))</f>
        <v>1931.82437411612</v>
      </c>
      <c r="DM97" s="11" t="n">
        <f aca="false">IF(DM$1&lt;Units!$P96,0,IF(AND(Units!$K96=0,DM$1=Units!$O96),Units!$R96,IF(AND(DM$1&gt;=Units!$Q96,MOD(DM$1-Units!$Q96,12)=0),IF(AND(Units!$L96=1,DM$1=Units!$Q96),IF(Units!$J96&lt;&gt;"",Units!$J96,Mkt!DM97),Inputs!$B$15*Mkt!DM97+(1-Inputs!$B$15)*MIN(Mkt!DM97,DL97*(1+Inputs!$B$18))),DL97)))</f>
        <v>1931.82437411612</v>
      </c>
      <c r="DN97" s="11" t="n">
        <f aca="false">IF(DN$1&lt;Units!$P96,0,IF(AND(Units!$K96=0,DN$1=Units!$O96),Units!$R96,IF(AND(DN$1&gt;=Units!$Q96,MOD(DN$1-Units!$Q96,12)=0),IF(AND(Units!$L96=1,DN$1=Units!$Q96),IF(Units!$J96&lt;&gt;"",Units!$J96,Mkt!DN97),Inputs!$B$15*Mkt!DN97+(1-Inputs!$B$15)*MIN(Mkt!DN97,DM97*(1+Inputs!$B$18))),DM97)))</f>
        <v>1931.82437411612</v>
      </c>
      <c r="DO97" s="11" t="n">
        <f aca="false">IF(DO$1&lt;Units!$P96,0,IF(AND(Units!$K96=0,DO$1=Units!$O96),Units!$R96,IF(AND(DO$1&gt;=Units!$Q96,MOD(DO$1-Units!$Q96,12)=0),IF(AND(Units!$L96=1,DO$1=Units!$Q96),IF(Units!$J96&lt;&gt;"",Units!$J96,Mkt!DO97),Inputs!$B$15*Mkt!DO97+(1-Inputs!$B$15)*MIN(Mkt!DO97,DN97*(1+Inputs!$B$18))),DN97)))</f>
        <v>1931.82437411612</v>
      </c>
      <c r="DP97" s="11" t="n">
        <f aca="false">IF(DP$1&lt;Units!$P96,0,IF(AND(Units!$K96=0,DP$1=Units!$O96),Units!$R96,IF(AND(DP$1&gt;=Units!$Q96,MOD(DP$1-Units!$Q96,12)=0),IF(AND(Units!$L96=1,DP$1=Units!$Q96),IF(Units!$J96&lt;&gt;"",Units!$J96,Mkt!DP97),Inputs!$B$15*Mkt!DP97+(1-Inputs!$B$15)*MIN(Mkt!DP97,DO97*(1+Inputs!$B$18))),DO97)))</f>
        <v>1931.82437411612</v>
      </c>
      <c r="DQ97" s="11" t="n">
        <f aca="false">IF(DQ$1&lt;Units!$P96,0,IF(AND(Units!$K96=0,DQ$1=Units!$O96),Units!$R96,IF(AND(DQ$1&gt;=Units!$Q96,MOD(DQ$1-Units!$Q96,12)=0),IF(AND(Units!$L96=1,DQ$1=Units!$Q96),IF(Units!$J96&lt;&gt;"",Units!$J96,Mkt!DQ97),Inputs!$B$15*Mkt!DQ97+(1-Inputs!$B$15)*MIN(Mkt!DQ97,DP97*(1+Inputs!$B$18))),DP97)))</f>
        <v>1931.82437411612</v>
      </c>
      <c r="DR97" s="11" t="n">
        <f aca="false">IF(DR$1&lt;Units!$P96,0,IF(AND(Units!$K96=0,DR$1=Units!$O96),Units!$R96,IF(AND(DR$1&gt;=Units!$Q96,MOD(DR$1-Units!$Q96,12)=0),IF(AND(Units!$L96=1,DR$1=Units!$Q96),IF(Units!$J96&lt;&gt;"",Units!$J96,Mkt!DR97),Inputs!$B$15*Mkt!DR97+(1-Inputs!$B$15)*MIN(Mkt!DR97,DQ97*(1+Inputs!$B$18))),DQ97)))</f>
        <v>1989.7791053396</v>
      </c>
      <c r="DS97" s="11" t="n">
        <f aca="false">IF(DS$1&lt;Units!$P96,0,IF(AND(Units!$K96=0,DS$1=Units!$O96),Units!$R96,IF(AND(DS$1&gt;=Units!$Q96,MOD(DS$1-Units!$Q96,12)=0),IF(AND(Units!$L96=1,DS$1=Units!$Q96),IF(Units!$J96&lt;&gt;"",Units!$J96,Mkt!DS97),Inputs!$B$15*Mkt!DS97+(1-Inputs!$B$15)*MIN(Mkt!DS97,DR97*(1+Inputs!$B$18))),DR97)))</f>
        <v>1989.7791053396</v>
      </c>
      <c r="DT97" s="11" t="n">
        <f aca="false">IF(DT$1&lt;Units!$P96,0,IF(AND(Units!$K96=0,DT$1=Units!$O96),Units!$R96,IF(AND(DT$1&gt;=Units!$Q96,MOD(DT$1-Units!$Q96,12)=0),IF(AND(Units!$L96=1,DT$1=Units!$Q96),IF(Units!$J96&lt;&gt;"",Units!$J96,Mkt!DT97),Inputs!$B$15*Mkt!DT97+(1-Inputs!$B$15)*MIN(Mkt!DT97,DS97*(1+Inputs!$B$18))),DS97)))</f>
        <v>1989.7791053396</v>
      </c>
      <c r="DU97" s="11" t="n">
        <f aca="false">IF(DU$1&lt;Units!$P96,0,IF(AND(Units!$K96=0,DU$1=Units!$O96),Units!$R96,IF(AND(DU$1&gt;=Units!$Q96,MOD(DU$1-Units!$Q96,12)=0),IF(AND(Units!$L96=1,DU$1=Units!$Q96),IF(Units!$J96&lt;&gt;"",Units!$J96,Mkt!DU97),Inputs!$B$15*Mkt!DU97+(1-Inputs!$B$15)*MIN(Mkt!DU97,DT97*(1+Inputs!$B$18))),DT97)))</f>
        <v>1989.7791053396</v>
      </c>
      <c r="DV97" s="11" t="n">
        <f aca="false">IF(DV$1&lt;Units!$P96,0,IF(AND(Units!$K96=0,DV$1=Units!$O96),Units!$R96,IF(AND(DV$1&gt;=Units!$Q96,MOD(DV$1-Units!$Q96,12)=0),IF(AND(Units!$L96=1,DV$1=Units!$Q96),IF(Units!$J96&lt;&gt;"",Units!$J96,Mkt!DV97),Inputs!$B$15*Mkt!DV97+(1-Inputs!$B$15)*MIN(Mkt!DV97,DU97*(1+Inputs!$B$18))),DU97)))</f>
        <v>1989.7791053396</v>
      </c>
      <c r="DW97" s="11" t="n">
        <f aca="false">IF(DW$1&lt;Units!$P96,0,IF(AND(Units!$K96=0,DW$1=Units!$O96),Units!$R96,IF(AND(DW$1&gt;=Units!$Q96,MOD(DW$1-Units!$Q96,12)=0),IF(AND(Units!$L96=1,DW$1=Units!$Q96),IF(Units!$J96&lt;&gt;"",Units!$J96,Mkt!DW97),Inputs!$B$15*Mkt!DW97+(1-Inputs!$B$15)*MIN(Mkt!DW97,DV97*(1+Inputs!$B$18))),DV97)))</f>
        <v>1989.7791053396</v>
      </c>
      <c r="DX97" s="11" t="n">
        <f aca="false">IF(DX$1&lt;Units!$P96,0,IF(AND(Units!$K96=0,DX$1=Units!$O96),Units!$R96,IF(AND(DX$1&gt;=Units!$Q96,MOD(DX$1-Units!$Q96,12)=0),IF(AND(Units!$L96=1,DX$1=Units!$Q96),IF(Units!$J96&lt;&gt;"",Units!$J96,Mkt!DX97),Inputs!$B$15*Mkt!DX97+(1-Inputs!$B$15)*MIN(Mkt!DX97,DW97*(1+Inputs!$B$18))),DW97)))</f>
        <v>1989.7791053396</v>
      </c>
      <c r="DY97" s="11" t="n">
        <f aca="false">IF(DY$1&lt;Units!$P96,0,IF(AND(Units!$K96=0,DY$1=Units!$O96),Units!$R96,IF(AND(DY$1&gt;=Units!$Q96,MOD(DY$1-Units!$Q96,12)=0),IF(AND(Units!$L96=1,DY$1=Units!$Q96),IF(Units!$J96&lt;&gt;"",Units!$J96,Mkt!DY97),Inputs!$B$15*Mkt!DY97+(1-Inputs!$B$15)*MIN(Mkt!DY97,DX97*(1+Inputs!$B$18))),DX97)))</f>
        <v>1989.7791053396</v>
      </c>
      <c r="DZ97" s="11" t="n">
        <f aca="false">IF(DZ$1&lt;Units!$P96,0,IF(AND(Units!$K96=0,DZ$1=Units!$O96),Units!$R96,IF(AND(DZ$1&gt;=Units!$Q96,MOD(DZ$1-Units!$Q96,12)=0),IF(AND(Units!$L96=1,DZ$1=Units!$Q96),IF(Units!$J96&lt;&gt;"",Units!$J96,Mkt!DZ97),Inputs!$B$15*Mkt!DZ97+(1-Inputs!$B$15)*MIN(Mkt!DZ97,DY97*(1+Inputs!$B$18))),DY97)))</f>
        <v>1989.7791053396</v>
      </c>
      <c r="EA97" s="11" t="n">
        <f aca="false">IF(EA$1&lt;Units!$P96,0,IF(AND(Units!$K96=0,EA$1=Units!$O96),Units!$R96,IF(AND(EA$1&gt;=Units!$Q96,MOD(EA$1-Units!$Q96,12)=0),IF(AND(Units!$L96=1,EA$1=Units!$Q96),IF(Units!$J96&lt;&gt;"",Units!$J96,Mkt!EA97),Inputs!$B$15*Mkt!EA97+(1-Inputs!$B$15)*MIN(Mkt!EA97,DZ97*(1+Inputs!$B$18))),DZ97)))</f>
        <v>1989.7791053396</v>
      </c>
      <c r="EB97" s="11" t="n">
        <f aca="false">IF(EB$1&lt;Units!$P96,0,IF(AND(Units!$K96=0,EB$1=Units!$O96),Units!$R96,IF(AND(EB$1&gt;=Units!$Q96,MOD(EB$1-Units!$Q96,12)=0),IF(AND(Units!$L96=1,EB$1=Units!$Q96),IF(Units!$J96&lt;&gt;"",Units!$J96,Mkt!EB97),Inputs!$B$15*Mkt!EB97+(1-Inputs!$B$15)*MIN(Mkt!EB97,EA97*(1+Inputs!$B$18))),EA97)))</f>
        <v>1989.7791053396</v>
      </c>
      <c r="EC97" s="11" t="n">
        <f aca="false">IF(EC$1&lt;Units!$P96,0,IF(AND(Units!$K96=0,EC$1=Units!$O96),Units!$R96,IF(AND(EC$1&gt;=Units!$Q96,MOD(EC$1-Units!$Q96,12)=0),IF(AND(Units!$L96=1,EC$1=Units!$Q96),IF(Units!$J96&lt;&gt;"",Units!$J96,Mkt!EC97),Inputs!$B$15*Mkt!EC97+(1-Inputs!$B$15)*MIN(Mkt!EC97,EB97*(1+Inputs!$B$18))),EB97)))</f>
        <v>1989.7791053396</v>
      </c>
      <c r="ED97" s="11" t="n">
        <f aca="false">IF(ED$1&lt;Units!$P96,0,IF(AND(Units!$K96=0,ED$1=Units!$O96),Units!$R96,IF(AND(ED$1&gt;=Units!$Q96,MOD(ED$1-Units!$Q96,12)=0),IF(AND(Units!$L96=1,ED$1=Units!$Q96),IF(Units!$J96&lt;&gt;"",Units!$J96,Mkt!ED97),Inputs!$B$15*Mkt!ED97+(1-Inputs!$B$15)*MIN(Mkt!ED97,EC97*(1+Inputs!$B$18))),EC97)))</f>
        <v>2049.47247849979</v>
      </c>
    </row>
    <row r="98" customFormat="false" ht="15" hidden="false" customHeight="false" outlineLevel="0" collapsed="false">
      <c r="A98" s="22" t="n">
        <f aca="false">Units!A97</f>
        <v>406</v>
      </c>
      <c r="B98" s="24" t="n">
        <f aca="false">IF(Units!K97=1,Units!F97,0)</f>
        <v>1510</v>
      </c>
      <c r="C98" s="11" t="n">
        <f aca="false">IF(C$1&lt;Units!$P97,0,IF(AND(Units!$K97=0,C$1=Units!$O97),Units!$R97,IF(AND(C$1&gt;=Units!$Q97,MOD(C$1-Units!$Q97,12)=0),IF(AND(Units!$L97=1,C$1=Units!$Q97),IF(Units!$J97&lt;&gt;"",Units!$J97,Mkt!C98),Inputs!$B$15*Mkt!C98+(1-Inputs!$B$15)*MIN(Mkt!C98,B98*(1+Inputs!$B$18))),B98)))</f>
        <v>1510</v>
      </c>
      <c r="D98" s="11" t="n">
        <f aca="false">IF(D$1&lt;Units!$P97,0,IF(AND(Units!$K97=0,D$1=Units!$O97),Units!$R97,IF(AND(D$1&gt;=Units!$Q97,MOD(D$1-Units!$Q97,12)=0),IF(AND(Units!$L97=1,D$1=Units!$Q97),IF(Units!$J97&lt;&gt;"",Units!$J97,Mkt!D98),Inputs!$B$15*Mkt!D98+(1-Inputs!$B$15)*MIN(Mkt!D98,C98*(1+Inputs!$B$18))),C98)))</f>
        <v>1510</v>
      </c>
      <c r="E98" s="11" t="n">
        <f aca="false">IF(E$1&lt;Units!$P97,0,IF(AND(Units!$K97=0,E$1=Units!$O97),Units!$R97,IF(AND(E$1&gt;=Units!$Q97,MOD(E$1-Units!$Q97,12)=0),IF(AND(Units!$L97=1,E$1=Units!$Q97),IF(Units!$J97&lt;&gt;"",Units!$J97,Mkt!E98),Inputs!$B$15*Mkt!E98+(1-Inputs!$B$15)*MIN(Mkt!E98,D98*(1+Inputs!$B$18))),D98)))</f>
        <v>1510</v>
      </c>
      <c r="F98" s="11" t="n">
        <f aca="false">IF(F$1&lt;Units!$P97,0,IF(AND(Units!$K97=0,F$1=Units!$O97),Units!$R97,IF(AND(F$1&gt;=Units!$Q97,MOD(F$1-Units!$Q97,12)=0),IF(AND(Units!$L97=1,F$1=Units!$Q97),IF(Units!$J97&lt;&gt;"",Units!$J97,Mkt!F98),Inputs!$B$15*Mkt!F98+(1-Inputs!$B$15)*MIN(Mkt!F98,E98*(1+Inputs!$B$18))),E98)))</f>
        <v>1510</v>
      </c>
      <c r="G98" s="11" t="n">
        <f aca="false">IF(G$1&lt;Units!$P97,0,IF(AND(Units!$K97=0,G$1=Units!$O97),Units!$R97,IF(AND(G$1&gt;=Units!$Q97,MOD(G$1-Units!$Q97,12)=0),IF(AND(Units!$L97=1,G$1=Units!$Q97),IF(Units!$J97&lt;&gt;"",Units!$J97,Mkt!G98),Inputs!$B$15*Mkt!G98+(1-Inputs!$B$15)*MIN(Mkt!G98,F98*(1+Inputs!$B$18))),F98)))</f>
        <v>1510</v>
      </c>
      <c r="H98" s="11" t="n">
        <f aca="false">IF(H$1&lt;Units!$P97,0,IF(AND(Units!$K97=0,H$1=Units!$O97),Units!$R97,IF(AND(H$1&gt;=Units!$Q97,MOD(H$1-Units!$Q97,12)=0),IF(AND(Units!$L97=1,H$1=Units!$Q97),IF(Units!$J97&lt;&gt;"",Units!$J97,Mkt!H98),Inputs!$B$15*Mkt!H98+(1-Inputs!$B$15)*MIN(Mkt!H98,G98*(1+Inputs!$B$18))),G98)))</f>
        <v>1510</v>
      </c>
      <c r="I98" s="11" t="n">
        <f aca="false">IF(I$1&lt;Units!$P97,0,IF(AND(Units!$K97=0,I$1=Units!$O97),Units!$R97,IF(AND(I$1&gt;=Units!$Q97,MOD(I$1-Units!$Q97,12)=0),IF(AND(Units!$L97=1,I$1=Units!$Q97),IF(Units!$J97&lt;&gt;"",Units!$J97,Mkt!I98),Inputs!$B$15*Mkt!I98+(1-Inputs!$B$15)*MIN(Mkt!I98,H98*(1+Inputs!$B$18))),H98)))</f>
        <v>1510</v>
      </c>
      <c r="J98" s="11" t="n">
        <f aca="false">IF(J$1&lt;Units!$P97,0,IF(AND(Units!$K97=0,J$1=Units!$O97),Units!$R97,IF(AND(J$1&gt;=Units!$Q97,MOD(J$1-Units!$Q97,12)=0),IF(AND(Units!$L97=1,J$1=Units!$Q97),IF(Units!$J97&lt;&gt;"",Units!$J97,Mkt!J98),Inputs!$B$15*Mkt!J98+(1-Inputs!$B$15)*MIN(Mkt!J98,I98*(1+Inputs!$B$18))),I98)))</f>
        <v>1510</v>
      </c>
      <c r="K98" s="11" t="n">
        <f aca="false">IF(K$1&lt;Units!$P97,0,IF(AND(Units!$K97=0,K$1=Units!$O97),Units!$R97,IF(AND(K$1&gt;=Units!$Q97,MOD(K$1-Units!$Q97,12)=0),IF(AND(Units!$L97=1,K$1=Units!$Q97),IF(Units!$J97&lt;&gt;"",Units!$J97,Mkt!K98),Inputs!$B$15*Mkt!K98+(1-Inputs!$B$15)*MIN(Mkt!K98,J98*(1+Inputs!$B$18))),J98)))</f>
        <v>1525</v>
      </c>
      <c r="L98" s="11" t="n">
        <f aca="false">IF(L$1&lt;Units!$P97,0,IF(AND(Units!$K97=0,L$1=Units!$O97),Units!$R97,IF(AND(L$1&gt;=Units!$Q97,MOD(L$1-Units!$Q97,12)=0),IF(AND(Units!$L97=1,L$1=Units!$Q97),IF(Units!$J97&lt;&gt;"",Units!$J97,Mkt!L98),Inputs!$B$15*Mkt!L98+(1-Inputs!$B$15)*MIN(Mkt!L98,K98*(1+Inputs!$B$18))),K98)))</f>
        <v>1525</v>
      </c>
      <c r="M98" s="11" t="n">
        <f aca="false">IF(M$1&lt;Units!$P97,0,IF(AND(Units!$K97=0,M$1=Units!$O97),Units!$R97,IF(AND(M$1&gt;=Units!$Q97,MOD(M$1-Units!$Q97,12)=0),IF(AND(Units!$L97=1,M$1=Units!$Q97),IF(Units!$J97&lt;&gt;"",Units!$J97,Mkt!M98),Inputs!$B$15*Mkt!M98+(1-Inputs!$B$15)*MIN(Mkt!M98,L98*(1+Inputs!$B$18))),L98)))</f>
        <v>1525</v>
      </c>
      <c r="N98" s="11" t="n">
        <f aca="false">IF(N$1&lt;Units!$P97,0,IF(AND(Units!$K97=0,N$1=Units!$O97),Units!$R97,IF(AND(N$1&gt;=Units!$Q97,MOD(N$1-Units!$Q97,12)=0),IF(AND(Units!$L97=1,N$1=Units!$Q97),IF(Units!$J97&lt;&gt;"",Units!$J97,Mkt!N98),Inputs!$B$15*Mkt!N98+(1-Inputs!$B$15)*MIN(Mkt!N98,M98*(1+Inputs!$B$18))),M98)))</f>
        <v>1525</v>
      </c>
      <c r="O98" s="11" t="n">
        <f aca="false">IF(O$1&lt;Units!$P97,0,IF(AND(Units!$K97=0,O$1=Units!$O97),Units!$R97,IF(AND(O$1&gt;=Units!$Q97,MOD(O$1-Units!$Q97,12)=0),IF(AND(Units!$L97=1,O$1=Units!$Q97),IF(Units!$J97&lt;&gt;"",Units!$J97,Mkt!O98),Inputs!$B$15*Mkt!O98+(1-Inputs!$B$15)*MIN(Mkt!O98,N98*(1+Inputs!$B$18))),N98)))</f>
        <v>1525</v>
      </c>
      <c r="P98" s="11" t="n">
        <f aca="false">IF(P$1&lt;Units!$P97,0,IF(AND(Units!$K97=0,P$1=Units!$O97),Units!$R97,IF(AND(P$1&gt;=Units!$Q97,MOD(P$1-Units!$Q97,12)=0),IF(AND(Units!$L97=1,P$1=Units!$Q97),IF(Units!$J97&lt;&gt;"",Units!$J97,Mkt!P98),Inputs!$B$15*Mkt!P98+(1-Inputs!$B$15)*MIN(Mkt!P98,O98*(1+Inputs!$B$18))),O98)))</f>
        <v>1525</v>
      </c>
      <c r="Q98" s="11" t="n">
        <f aca="false">IF(Q$1&lt;Units!$P97,0,IF(AND(Units!$K97=0,Q$1=Units!$O97),Units!$R97,IF(AND(Q$1&gt;=Units!$Q97,MOD(Q$1-Units!$Q97,12)=0),IF(AND(Units!$L97=1,Q$1=Units!$Q97),IF(Units!$J97&lt;&gt;"",Units!$J97,Mkt!Q98),Inputs!$B$15*Mkt!Q98+(1-Inputs!$B$15)*MIN(Mkt!Q98,P98*(1+Inputs!$B$18))),P98)))</f>
        <v>1525</v>
      </c>
      <c r="R98" s="11" t="n">
        <f aca="false">IF(R$1&lt;Units!$P97,0,IF(AND(Units!$K97=0,R$1=Units!$O97),Units!$R97,IF(AND(R$1&gt;=Units!$Q97,MOD(R$1-Units!$Q97,12)=0),IF(AND(Units!$L97=1,R$1=Units!$Q97),IF(Units!$J97&lt;&gt;"",Units!$J97,Mkt!R98),Inputs!$B$15*Mkt!R98+(1-Inputs!$B$15)*MIN(Mkt!R98,Q98*(1+Inputs!$B$18))),Q98)))</f>
        <v>1525</v>
      </c>
      <c r="S98" s="11" t="n">
        <f aca="false">IF(S$1&lt;Units!$P97,0,IF(AND(Units!$K97=0,S$1=Units!$O97),Units!$R97,IF(AND(S$1&gt;=Units!$Q97,MOD(S$1-Units!$Q97,12)=0),IF(AND(Units!$L97=1,S$1=Units!$Q97),IF(Units!$J97&lt;&gt;"",Units!$J97,Mkt!S98),Inputs!$B$15*Mkt!S98+(1-Inputs!$B$15)*MIN(Mkt!S98,R98*(1+Inputs!$B$18))),R98)))</f>
        <v>1525</v>
      </c>
      <c r="T98" s="11" t="n">
        <f aca="false">IF(T$1&lt;Units!$P97,0,IF(AND(Units!$K97=0,T$1=Units!$O97),Units!$R97,IF(AND(T$1&gt;=Units!$Q97,MOD(T$1-Units!$Q97,12)=0),IF(AND(Units!$L97=1,T$1=Units!$Q97),IF(Units!$J97&lt;&gt;"",Units!$J97,Mkt!T98),Inputs!$B$15*Mkt!T98+(1-Inputs!$B$15)*MIN(Mkt!T98,S98*(1+Inputs!$B$18))),S98)))</f>
        <v>1525</v>
      </c>
      <c r="U98" s="11" t="n">
        <f aca="false">IF(U$1&lt;Units!$P97,0,IF(AND(Units!$K97=0,U$1=Units!$O97),Units!$R97,IF(AND(U$1&gt;=Units!$Q97,MOD(U$1-Units!$Q97,12)=0),IF(AND(Units!$L97=1,U$1=Units!$Q97),IF(Units!$J97&lt;&gt;"",Units!$J97,Mkt!U98),Inputs!$B$15*Mkt!U98+(1-Inputs!$B$15)*MIN(Mkt!U98,T98*(1+Inputs!$B$18))),T98)))</f>
        <v>1525</v>
      </c>
      <c r="V98" s="11" t="n">
        <f aca="false">IF(V$1&lt;Units!$P97,0,IF(AND(Units!$K97=0,V$1=Units!$O97),Units!$R97,IF(AND(V$1&gt;=Units!$Q97,MOD(V$1-Units!$Q97,12)=0),IF(AND(Units!$L97=1,V$1=Units!$Q97),IF(Units!$J97&lt;&gt;"",Units!$J97,Mkt!V98),Inputs!$B$15*Mkt!V98+(1-Inputs!$B$15)*MIN(Mkt!V98,U98*(1+Inputs!$B$18))),U98)))</f>
        <v>1525</v>
      </c>
      <c r="W98" s="11" t="n">
        <f aca="false">IF(W$1&lt;Units!$P97,0,IF(AND(Units!$K97=0,W$1=Units!$O97),Units!$R97,IF(AND(W$1&gt;=Units!$Q97,MOD(W$1-Units!$Q97,12)=0),IF(AND(Units!$L97=1,W$1=Units!$Q97),IF(Units!$J97&lt;&gt;"",Units!$J97,Mkt!W98),Inputs!$B$15*Mkt!W98+(1-Inputs!$B$15)*MIN(Mkt!W98,V98*(1+Inputs!$B$18))),V98)))</f>
        <v>1570.75</v>
      </c>
      <c r="X98" s="11" t="n">
        <f aca="false">IF(X$1&lt;Units!$P97,0,IF(AND(Units!$K97=0,X$1=Units!$O97),Units!$R97,IF(AND(X$1&gt;=Units!$Q97,MOD(X$1-Units!$Q97,12)=0),IF(AND(Units!$L97=1,X$1=Units!$Q97),IF(Units!$J97&lt;&gt;"",Units!$J97,Mkt!X98),Inputs!$B$15*Mkt!X98+(1-Inputs!$B$15)*MIN(Mkt!X98,W98*(1+Inputs!$B$18))),W98)))</f>
        <v>1570.75</v>
      </c>
      <c r="Y98" s="11" t="n">
        <f aca="false">IF(Y$1&lt;Units!$P97,0,IF(AND(Units!$K97=0,Y$1=Units!$O97),Units!$R97,IF(AND(Y$1&gt;=Units!$Q97,MOD(Y$1-Units!$Q97,12)=0),IF(AND(Units!$L97=1,Y$1=Units!$Q97),IF(Units!$J97&lt;&gt;"",Units!$J97,Mkt!Y98),Inputs!$B$15*Mkt!Y98+(1-Inputs!$B$15)*MIN(Mkt!Y98,X98*(1+Inputs!$B$18))),X98)))</f>
        <v>1570.75</v>
      </c>
      <c r="Z98" s="11" t="n">
        <f aca="false">IF(Z$1&lt;Units!$P97,0,IF(AND(Units!$K97=0,Z$1=Units!$O97),Units!$R97,IF(AND(Z$1&gt;=Units!$Q97,MOD(Z$1-Units!$Q97,12)=0),IF(AND(Units!$L97=1,Z$1=Units!$Q97),IF(Units!$J97&lt;&gt;"",Units!$J97,Mkt!Z98),Inputs!$B$15*Mkt!Z98+(1-Inputs!$B$15)*MIN(Mkt!Z98,Y98*(1+Inputs!$B$18))),Y98)))</f>
        <v>1570.75</v>
      </c>
      <c r="AA98" s="11" t="n">
        <f aca="false">IF(AA$1&lt;Units!$P97,0,IF(AND(Units!$K97=0,AA$1=Units!$O97),Units!$R97,IF(AND(AA$1&gt;=Units!$Q97,MOD(AA$1-Units!$Q97,12)=0),IF(AND(Units!$L97=1,AA$1=Units!$Q97),IF(Units!$J97&lt;&gt;"",Units!$J97,Mkt!AA98),Inputs!$B$15*Mkt!AA98+(1-Inputs!$B$15)*MIN(Mkt!AA98,Z98*(1+Inputs!$B$18))),Z98)))</f>
        <v>1570.75</v>
      </c>
      <c r="AB98" s="11" t="n">
        <f aca="false">IF(AB$1&lt;Units!$P97,0,IF(AND(Units!$K97=0,AB$1=Units!$O97),Units!$R97,IF(AND(AB$1&gt;=Units!$Q97,MOD(AB$1-Units!$Q97,12)=0),IF(AND(Units!$L97=1,AB$1=Units!$Q97),IF(Units!$J97&lt;&gt;"",Units!$J97,Mkt!AB98),Inputs!$B$15*Mkt!AB98+(1-Inputs!$B$15)*MIN(Mkt!AB98,AA98*(1+Inputs!$B$18))),AA98)))</f>
        <v>1570.75</v>
      </c>
      <c r="AC98" s="11" t="n">
        <f aca="false">IF(AC$1&lt;Units!$P97,0,IF(AND(Units!$K97=0,AC$1=Units!$O97),Units!$R97,IF(AND(AC$1&gt;=Units!$Q97,MOD(AC$1-Units!$Q97,12)=0),IF(AND(Units!$L97=1,AC$1=Units!$Q97),IF(Units!$J97&lt;&gt;"",Units!$J97,Mkt!AC98),Inputs!$B$15*Mkt!AC98+(1-Inputs!$B$15)*MIN(Mkt!AC98,AB98*(1+Inputs!$B$18))),AB98)))</f>
        <v>1570.75</v>
      </c>
      <c r="AD98" s="11" t="n">
        <f aca="false">IF(AD$1&lt;Units!$P97,0,IF(AND(Units!$K97=0,AD$1=Units!$O97),Units!$R97,IF(AND(AD$1&gt;=Units!$Q97,MOD(AD$1-Units!$Q97,12)=0),IF(AND(Units!$L97=1,AD$1=Units!$Q97),IF(Units!$J97&lt;&gt;"",Units!$J97,Mkt!AD98),Inputs!$B$15*Mkt!AD98+(1-Inputs!$B$15)*MIN(Mkt!AD98,AC98*(1+Inputs!$B$18))),AC98)))</f>
        <v>1570.75</v>
      </c>
      <c r="AE98" s="11" t="n">
        <f aca="false">IF(AE$1&lt;Units!$P97,0,IF(AND(Units!$K97=0,AE$1=Units!$O97),Units!$R97,IF(AND(AE$1&gt;=Units!$Q97,MOD(AE$1-Units!$Q97,12)=0),IF(AND(Units!$L97=1,AE$1=Units!$Q97),IF(Units!$J97&lt;&gt;"",Units!$J97,Mkt!AE98),Inputs!$B$15*Mkt!AE98+(1-Inputs!$B$15)*MIN(Mkt!AE98,AD98*(1+Inputs!$B$18))),AD98)))</f>
        <v>1570.75</v>
      </c>
      <c r="AF98" s="11" t="n">
        <f aca="false">IF(AF$1&lt;Units!$P97,0,IF(AND(Units!$K97=0,AF$1=Units!$O97),Units!$R97,IF(AND(AF$1&gt;=Units!$Q97,MOD(AF$1-Units!$Q97,12)=0),IF(AND(Units!$L97=1,AF$1=Units!$Q97),IF(Units!$J97&lt;&gt;"",Units!$J97,Mkt!AF98),Inputs!$B$15*Mkt!AF98+(1-Inputs!$B$15)*MIN(Mkt!AF98,AE98*(1+Inputs!$B$18))),AE98)))</f>
        <v>1570.75</v>
      </c>
      <c r="AG98" s="11" t="n">
        <f aca="false">IF(AG$1&lt;Units!$P97,0,IF(AND(Units!$K97=0,AG$1=Units!$O97),Units!$R97,IF(AND(AG$1&gt;=Units!$Q97,MOD(AG$1-Units!$Q97,12)=0),IF(AND(Units!$L97=1,AG$1=Units!$Q97),IF(Units!$J97&lt;&gt;"",Units!$J97,Mkt!AG98),Inputs!$B$15*Mkt!AG98+(1-Inputs!$B$15)*MIN(Mkt!AG98,AF98*(1+Inputs!$B$18))),AF98)))</f>
        <v>1570.75</v>
      </c>
      <c r="AH98" s="11" t="n">
        <f aca="false">IF(AH$1&lt;Units!$P97,0,IF(AND(Units!$K97=0,AH$1=Units!$O97),Units!$R97,IF(AND(AH$1&gt;=Units!$Q97,MOD(AH$1-Units!$Q97,12)=0),IF(AND(Units!$L97=1,AH$1=Units!$Q97),IF(Units!$J97&lt;&gt;"",Units!$J97,Mkt!AH98),Inputs!$B$15*Mkt!AH98+(1-Inputs!$B$15)*MIN(Mkt!AH98,AG98*(1+Inputs!$B$18))),AG98)))</f>
        <v>1570.75</v>
      </c>
      <c r="AI98" s="11" t="n">
        <f aca="false">IF(AI$1&lt;Units!$P97,0,IF(AND(Units!$K97=0,AI$1=Units!$O97),Units!$R97,IF(AND(AI$1&gt;=Units!$Q97,MOD(AI$1-Units!$Q97,12)=0),IF(AND(Units!$L97=1,AI$1=Units!$Q97),IF(Units!$J97&lt;&gt;"",Units!$J97,Mkt!AI98),Inputs!$B$15*Mkt!AI98+(1-Inputs!$B$15)*MIN(Mkt!AI98,AH98*(1+Inputs!$B$18))),AH98)))</f>
        <v>1617.8725</v>
      </c>
      <c r="AJ98" s="11" t="n">
        <f aca="false">IF(AJ$1&lt;Units!$P97,0,IF(AND(Units!$K97=0,AJ$1=Units!$O97),Units!$R97,IF(AND(AJ$1&gt;=Units!$Q97,MOD(AJ$1-Units!$Q97,12)=0),IF(AND(Units!$L97=1,AJ$1=Units!$Q97),IF(Units!$J97&lt;&gt;"",Units!$J97,Mkt!AJ98),Inputs!$B$15*Mkt!AJ98+(1-Inputs!$B$15)*MIN(Mkt!AJ98,AI98*(1+Inputs!$B$18))),AI98)))</f>
        <v>1617.8725</v>
      </c>
      <c r="AK98" s="11" t="n">
        <f aca="false">IF(AK$1&lt;Units!$P97,0,IF(AND(Units!$K97=0,AK$1=Units!$O97),Units!$R97,IF(AND(AK$1&gt;=Units!$Q97,MOD(AK$1-Units!$Q97,12)=0),IF(AND(Units!$L97=1,AK$1=Units!$Q97),IF(Units!$J97&lt;&gt;"",Units!$J97,Mkt!AK98),Inputs!$B$15*Mkt!AK98+(1-Inputs!$B$15)*MIN(Mkt!AK98,AJ98*(1+Inputs!$B$18))),AJ98)))</f>
        <v>1617.8725</v>
      </c>
      <c r="AL98" s="11" t="n">
        <f aca="false">IF(AL$1&lt;Units!$P97,0,IF(AND(Units!$K97=0,AL$1=Units!$O97),Units!$R97,IF(AND(AL$1&gt;=Units!$Q97,MOD(AL$1-Units!$Q97,12)=0),IF(AND(Units!$L97=1,AL$1=Units!$Q97),IF(Units!$J97&lt;&gt;"",Units!$J97,Mkt!AL98),Inputs!$B$15*Mkt!AL98+(1-Inputs!$B$15)*MIN(Mkt!AL98,AK98*(1+Inputs!$B$18))),AK98)))</f>
        <v>1617.8725</v>
      </c>
      <c r="AM98" s="11" t="n">
        <f aca="false">IF(AM$1&lt;Units!$P97,0,IF(AND(Units!$K97=0,AM$1=Units!$O97),Units!$R97,IF(AND(AM$1&gt;=Units!$Q97,MOD(AM$1-Units!$Q97,12)=0),IF(AND(Units!$L97=1,AM$1=Units!$Q97),IF(Units!$J97&lt;&gt;"",Units!$J97,Mkt!AM98),Inputs!$B$15*Mkt!AM98+(1-Inputs!$B$15)*MIN(Mkt!AM98,AL98*(1+Inputs!$B$18))),AL98)))</f>
        <v>1617.8725</v>
      </c>
      <c r="AN98" s="11" t="n">
        <f aca="false">IF(AN$1&lt;Units!$P97,0,IF(AND(Units!$K97=0,AN$1=Units!$O97),Units!$R97,IF(AND(AN$1&gt;=Units!$Q97,MOD(AN$1-Units!$Q97,12)=0),IF(AND(Units!$L97=1,AN$1=Units!$Q97),IF(Units!$J97&lt;&gt;"",Units!$J97,Mkt!AN98),Inputs!$B$15*Mkt!AN98+(1-Inputs!$B$15)*MIN(Mkt!AN98,AM98*(1+Inputs!$B$18))),AM98)))</f>
        <v>1617.8725</v>
      </c>
      <c r="AO98" s="11" t="n">
        <f aca="false">IF(AO$1&lt;Units!$P97,0,IF(AND(Units!$K97=0,AO$1=Units!$O97),Units!$R97,IF(AND(AO$1&gt;=Units!$Q97,MOD(AO$1-Units!$Q97,12)=0),IF(AND(Units!$L97=1,AO$1=Units!$Q97),IF(Units!$J97&lt;&gt;"",Units!$J97,Mkt!AO98),Inputs!$B$15*Mkt!AO98+(1-Inputs!$B$15)*MIN(Mkt!AO98,AN98*(1+Inputs!$B$18))),AN98)))</f>
        <v>1617.8725</v>
      </c>
      <c r="AP98" s="11" t="n">
        <f aca="false">IF(AP$1&lt;Units!$P97,0,IF(AND(Units!$K97=0,AP$1=Units!$O97),Units!$R97,IF(AND(AP$1&gt;=Units!$Q97,MOD(AP$1-Units!$Q97,12)=0),IF(AND(Units!$L97=1,AP$1=Units!$Q97),IF(Units!$J97&lt;&gt;"",Units!$J97,Mkt!AP98),Inputs!$B$15*Mkt!AP98+(1-Inputs!$B$15)*MIN(Mkt!AP98,AO98*(1+Inputs!$B$18))),AO98)))</f>
        <v>1617.8725</v>
      </c>
      <c r="AQ98" s="11" t="n">
        <f aca="false">IF(AQ$1&lt;Units!$P97,0,IF(AND(Units!$K97=0,AQ$1=Units!$O97),Units!$R97,IF(AND(AQ$1&gt;=Units!$Q97,MOD(AQ$1-Units!$Q97,12)=0),IF(AND(Units!$L97=1,AQ$1=Units!$Q97),IF(Units!$J97&lt;&gt;"",Units!$J97,Mkt!AQ98),Inputs!$B$15*Mkt!AQ98+(1-Inputs!$B$15)*MIN(Mkt!AQ98,AP98*(1+Inputs!$B$18))),AP98)))</f>
        <v>1617.8725</v>
      </c>
      <c r="AR98" s="11" t="n">
        <f aca="false">IF(AR$1&lt;Units!$P97,0,IF(AND(Units!$K97=0,AR$1=Units!$O97),Units!$R97,IF(AND(AR$1&gt;=Units!$Q97,MOD(AR$1-Units!$Q97,12)=0),IF(AND(Units!$L97=1,AR$1=Units!$Q97),IF(Units!$J97&lt;&gt;"",Units!$J97,Mkt!AR98),Inputs!$B$15*Mkt!AR98+(1-Inputs!$B$15)*MIN(Mkt!AR98,AQ98*(1+Inputs!$B$18))),AQ98)))</f>
        <v>1617.8725</v>
      </c>
      <c r="AS98" s="11" t="n">
        <f aca="false">IF(AS$1&lt;Units!$P97,0,IF(AND(Units!$K97=0,AS$1=Units!$O97),Units!$R97,IF(AND(AS$1&gt;=Units!$Q97,MOD(AS$1-Units!$Q97,12)=0),IF(AND(Units!$L97=1,AS$1=Units!$Q97),IF(Units!$J97&lt;&gt;"",Units!$J97,Mkt!AS98),Inputs!$B$15*Mkt!AS98+(1-Inputs!$B$15)*MIN(Mkt!AS98,AR98*(1+Inputs!$B$18))),AR98)))</f>
        <v>1617.8725</v>
      </c>
      <c r="AT98" s="11" t="n">
        <f aca="false">IF(AT$1&lt;Units!$P97,0,IF(AND(Units!$K97=0,AT$1=Units!$O97),Units!$R97,IF(AND(AT$1&gt;=Units!$Q97,MOD(AT$1-Units!$Q97,12)=0),IF(AND(Units!$L97=1,AT$1=Units!$Q97),IF(Units!$J97&lt;&gt;"",Units!$J97,Mkt!AT98),Inputs!$B$15*Mkt!AT98+(1-Inputs!$B$15)*MIN(Mkt!AT98,AS98*(1+Inputs!$B$18))),AS98)))</f>
        <v>1617.8725</v>
      </c>
      <c r="AU98" s="11" t="n">
        <f aca="false">IF(AU$1&lt;Units!$P97,0,IF(AND(Units!$K97=0,AU$1=Units!$O97),Units!$R97,IF(AND(AU$1&gt;=Units!$Q97,MOD(AU$1-Units!$Q97,12)=0),IF(AND(Units!$L97=1,AU$1=Units!$Q97),IF(Units!$J97&lt;&gt;"",Units!$J97,Mkt!AU98),Inputs!$B$15*Mkt!AU98+(1-Inputs!$B$15)*MIN(Mkt!AU98,AT98*(1+Inputs!$B$18))),AT98)))</f>
        <v>1666.408675</v>
      </c>
      <c r="AV98" s="11" t="n">
        <f aca="false">IF(AV$1&lt;Units!$P97,0,IF(AND(Units!$K97=0,AV$1=Units!$O97),Units!$R97,IF(AND(AV$1&gt;=Units!$Q97,MOD(AV$1-Units!$Q97,12)=0),IF(AND(Units!$L97=1,AV$1=Units!$Q97),IF(Units!$J97&lt;&gt;"",Units!$J97,Mkt!AV98),Inputs!$B$15*Mkt!AV98+(1-Inputs!$B$15)*MIN(Mkt!AV98,AU98*(1+Inputs!$B$18))),AU98)))</f>
        <v>1666.408675</v>
      </c>
      <c r="AW98" s="11" t="n">
        <f aca="false">IF(AW$1&lt;Units!$P97,0,IF(AND(Units!$K97=0,AW$1=Units!$O97),Units!$R97,IF(AND(AW$1&gt;=Units!$Q97,MOD(AW$1-Units!$Q97,12)=0),IF(AND(Units!$L97=1,AW$1=Units!$Q97),IF(Units!$J97&lt;&gt;"",Units!$J97,Mkt!AW98),Inputs!$B$15*Mkt!AW98+(1-Inputs!$B$15)*MIN(Mkt!AW98,AV98*(1+Inputs!$B$18))),AV98)))</f>
        <v>1666.408675</v>
      </c>
      <c r="AX98" s="11" t="n">
        <f aca="false">IF(AX$1&lt;Units!$P97,0,IF(AND(Units!$K97=0,AX$1=Units!$O97),Units!$R97,IF(AND(AX$1&gt;=Units!$Q97,MOD(AX$1-Units!$Q97,12)=0),IF(AND(Units!$L97=1,AX$1=Units!$Q97),IF(Units!$J97&lt;&gt;"",Units!$J97,Mkt!AX98),Inputs!$B$15*Mkt!AX98+(1-Inputs!$B$15)*MIN(Mkt!AX98,AW98*(1+Inputs!$B$18))),AW98)))</f>
        <v>1666.408675</v>
      </c>
      <c r="AY98" s="11" t="n">
        <f aca="false">IF(AY$1&lt;Units!$P97,0,IF(AND(Units!$K97=0,AY$1=Units!$O97),Units!$R97,IF(AND(AY$1&gt;=Units!$Q97,MOD(AY$1-Units!$Q97,12)=0),IF(AND(Units!$L97=1,AY$1=Units!$Q97),IF(Units!$J97&lt;&gt;"",Units!$J97,Mkt!AY98),Inputs!$B$15*Mkt!AY98+(1-Inputs!$B$15)*MIN(Mkt!AY98,AX98*(1+Inputs!$B$18))),AX98)))</f>
        <v>1666.408675</v>
      </c>
      <c r="AZ98" s="11" t="n">
        <f aca="false">IF(AZ$1&lt;Units!$P97,0,IF(AND(Units!$K97=0,AZ$1=Units!$O97),Units!$R97,IF(AND(AZ$1&gt;=Units!$Q97,MOD(AZ$1-Units!$Q97,12)=0),IF(AND(Units!$L97=1,AZ$1=Units!$Q97),IF(Units!$J97&lt;&gt;"",Units!$J97,Mkt!AZ98),Inputs!$B$15*Mkt!AZ98+(1-Inputs!$B$15)*MIN(Mkt!AZ98,AY98*(1+Inputs!$B$18))),AY98)))</f>
        <v>1666.408675</v>
      </c>
      <c r="BA98" s="11" t="n">
        <f aca="false">IF(BA$1&lt;Units!$P97,0,IF(AND(Units!$K97=0,BA$1=Units!$O97),Units!$R97,IF(AND(BA$1&gt;=Units!$Q97,MOD(BA$1-Units!$Q97,12)=0),IF(AND(Units!$L97=1,BA$1=Units!$Q97),IF(Units!$J97&lt;&gt;"",Units!$J97,Mkt!BA98),Inputs!$B$15*Mkt!BA98+(1-Inputs!$B$15)*MIN(Mkt!BA98,AZ98*(1+Inputs!$B$18))),AZ98)))</f>
        <v>1666.408675</v>
      </c>
      <c r="BB98" s="11" t="n">
        <f aca="false">IF(BB$1&lt;Units!$P97,0,IF(AND(Units!$K97=0,BB$1=Units!$O97),Units!$R97,IF(AND(BB$1&gt;=Units!$Q97,MOD(BB$1-Units!$Q97,12)=0),IF(AND(Units!$L97=1,BB$1=Units!$Q97),IF(Units!$J97&lt;&gt;"",Units!$J97,Mkt!BB98),Inputs!$B$15*Mkt!BB98+(1-Inputs!$B$15)*MIN(Mkt!BB98,BA98*(1+Inputs!$B$18))),BA98)))</f>
        <v>1666.408675</v>
      </c>
      <c r="BC98" s="11" t="n">
        <f aca="false">IF(BC$1&lt;Units!$P97,0,IF(AND(Units!$K97=0,BC$1=Units!$O97),Units!$R97,IF(AND(BC$1&gt;=Units!$Q97,MOD(BC$1-Units!$Q97,12)=0),IF(AND(Units!$L97=1,BC$1=Units!$Q97),IF(Units!$J97&lt;&gt;"",Units!$J97,Mkt!BC98),Inputs!$B$15*Mkt!BC98+(1-Inputs!$B$15)*MIN(Mkt!BC98,BB98*(1+Inputs!$B$18))),BB98)))</f>
        <v>1666.408675</v>
      </c>
      <c r="BD98" s="11" t="n">
        <f aca="false">IF(BD$1&lt;Units!$P97,0,IF(AND(Units!$K97=0,BD$1=Units!$O97),Units!$R97,IF(AND(BD$1&gt;=Units!$Q97,MOD(BD$1-Units!$Q97,12)=0),IF(AND(Units!$L97=1,BD$1=Units!$Q97),IF(Units!$J97&lt;&gt;"",Units!$J97,Mkt!BD98),Inputs!$B$15*Mkt!BD98+(1-Inputs!$B$15)*MIN(Mkt!BD98,BC98*(1+Inputs!$B$18))),BC98)))</f>
        <v>1666.408675</v>
      </c>
      <c r="BE98" s="11" t="n">
        <f aca="false">IF(BE$1&lt;Units!$P97,0,IF(AND(Units!$K97=0,BE$1=Units!$O97),Units!$R97,IF(AND(BE$1&gt;=Units!$Q97,MOD(BE$1-Units!$Q97,12)=0),IF(AND(Units!$L97=1,BE$1=Units!$Q97),IF(Units!$J97&lt;&gt;"",Units!$J97,Mkt!BE98),Inputs!$B$15*Mkt!BE98+(1-Inputs!$B$15)*MIN(Mkt!BE98,BD98*(1+Inputs!$B$18))),BD98)))</f>
        <v>1666.408675</v>
      </c>
      <c r="BF98" s="11" t="n">
        <f aca="false">IF(BF$1&lt;Units!$P97,0,IF(AND(Units!$K97=0,BF$1=Units!$O97),Units!$R97,IF(AND(BF$1&gt;=Units!$Q97,MOD(BF$1-Units!$Q97,12)=0),IF(AND(Units!$L97=1,BF$1=Units!$Q97),IF(Units!$J97&lt;&gt;"",Units!$J97,Mkt!BF98),Inputs!$B$15*Mkt!BF98+(1-Inputs!$B$15)*MIN(Mkt!BF98,BE98*(1+Inputs!$B$18))),BE98)))</f>
        <v>1666.408675</v>
      </c>
      <c r="BG98" s="11" t="n">
        <f aca="false">IF(BG$1&lt;Units!$P97,0,IF(AND(Units!$K97=0,BG$1=Units!$O97),Units!$R97,IF(AND(BG$1&gt;=Units!$Q97,MOD(BG$1-Units!$Q97,12)=0),IF(AND(Units!$L97=1,BG$1=Units!$Q97),IF(Units!$J97&lt;&gt;"",Units!$J97,Mkt!BG98),Inputs!$B$15*Mkt!BG98+(1-Inputs!$B$15)*MIN(Mkt!BG98,BF98*(1+Inputs!$B$18))),BF98)))</f>
        <v>1716.40093525</v>
      </c>
      <c r="BH98" s="11" t="n">
        <f aca="false">IF(BH$1&lt;Units!$P97,0,IF(AND(Units!$K97=0,BH$1=Units!$O97),Units!$R97,IF(AND(BH$1&gt;=Units!$Q97,MOD(BH$1-Units!$Q97,12)=0),IF(AND(Units!$L97=1,BH$1=Units!$Q97),IF(Units!$J97&lt;&gt;"",Units!$J97,Mkt!BH98),Inputs!$B$15*Mkt!BH98+(1-Inputs!$B$15)*MIN(Mkt!BH98,BG98*(1+Inputs!$B$18))),BG98)))</f>
        <v>1716.40093525</v>
      </c>
      <c r="BI98" s="11" t="n">
        <f aca="false">IF(BI$1&lt;Units!$P97,0,IF(AND(Units!$K97=0,BI$1=Units!$O97),Units!$R97,IF(AND(BI$1&gt;=Units!$Q97,MOD(BI$1-Units!$Q97,12)=0),IF(AND(Units!$L97=1,BI$1=Units!$Q97),IF(Units!$J97&lt;&gt;"",Units!$J97,Mkt!BI98),Inputs!$B$15*Mkt!BI98+(1-Inputs!$B$15)*MIN(Mkt!BI98,BH98*(1+Inputs!$B$18))),BH98)))</f>
        <v>1716.40093525</v>
      </c>
      <c r="BJ98" s="11" t="n">
        <f aca="false">IF(BJ$1&lt;Units!$P97,0,IF(AND(Units!$K97=0,BJ$1=Units!$O97),Units!$R97,IF(AND(BJ$1&gt;=Units!$Q97,MOD(BJ$1-Units!$Q97,12)=0),IF(AND(Units!$L97=1,BJ$1=Units!$Q97),IF(Units!$J97&lt;&gt;"",Units!$J97,Mkt!BJ98),Inputs!$B$15*Mkt!BJ98+(1-Inputs!$B$15)*MIN(Mkt!BJ98,BI98*(1+Inputs!$B$18))),BI98)))</f>
        <v>1716.40093525</v>
      </c>
      <c r="BK98" s="11" t="n">
        <f aca="false">IF(BK$1&lt;Units!$P97,0,IF(AND(Units!$K97=0,BK$1=Units!$O97),Units!$R97,IF(AND(BK$1&gt;=Units!$Q97,MOD(BK$1-Units!$Q97,12)=0),IF(AND(Units!$L97=1,BK$1=Units!$Q97),IF(Units!$J97&lt;&gt;"",Units!$J97,Mkt!BK98),Inputs!$B$15*Mkt!BK98+(1-Inputs!$B$15)*MIN(Mkt!BK98,BJ98*(1+Inputs!$B$18))),BJ98)))</f>
        <v>1716.40093525</v>
      </c>
      <c r="BL98" s="11" t="n">
        <f aca="false">IF(BL$1&lt;Units!$P97,0,IF(AND(Units!$K97=0,BL$1=Units!$O97),Units!$R97,IF(AND(BL$1&gt;=Units!$Q97,MOD(BL$1-Units!$Q97,12)=0),IF(AND(Units!$L97=1,BL$1=Units!$Q97),IF(Units!$J97&lt;&gt;"",Units!$J97,Mkt!BL98),Inputs!$B$15*Mkt!BL98+(1-Inputs!$B$15)*MIN(Mkt!BL98,BK98*(1+Inputs!$B$18))),BK98)))</f>
        <v>1716.40093525</v>
      </c>
      <c r="BM98" s="11" t="n">
        <f aca="false">IF(BM$1&lt;Units!$P97,0,IF(AND(Units!$K97=0,BM$1=Units!$O97),Units!$R97,IF(AND(BM$1&gt;=Units!$Q97,MOD(BM$1-Units!$Q97,12)=0),IF(AND(Units!$L97=1,BM$1=Units!$Q97),IF(Units!$J97&lt;&gt;"",Units!$J97,Mkt!BM98),Inputs!$B$15*Mkt!BM98+(1-Inputs!$B$15)*MIN(Mkt!BM98,BL98*(1+Inputs!$B$18))),BL98)))</f>
        <v>1716.40093525</v>
      </c>
      <c r="BN98" s="11" t="n">
        <f aca="false">IF(BN$1&lt;Units!$P97,0,IF(AND(Units!$K97=0,BN$1=Units!$O97),Units!$R97,IF(AND(BN$1&gt;=Units!$Q97,MOD(BN$1-Units!$Q97,12)=0),IF(AND(Units!$L97=1,BN$1=Units!$Q97),IF(Units!$J97&lt;&gt;"",Units!$J97,Mkt!BN98),Inputs!$B$15*Mkt!BN98+(1-Inputs!$B$15)*MIN(Mkt!BN98,BM98*(1+Inputs!$B$18))),BM98)))</f>
        <v>1716.40093525</v>
      </c>
      <c r="BO98" s="11" t="n">
        <f aca="false">IF(BO$1&lt;Units!$P97,0,IF(AND(Units!$K97=0,BO$1=Units!$O97),Units!$R97,IF(AND(BO$1&gt;=Units!$Q97,MOD(BO$1-Units!$Q97,12)=0),IF(AND(Units!$L97=1,BO$1=Units!$Q97),IF(Units!$J97&lt;&gt;"",Units!$J97,Mkt!BO98),Inputs!$B$15*Mkt!BO98+(1-Inputs!$B$15)*MIN(Mkt!BO98,BN98*(1+Inputs!$B$18))),BN98)))</f>
        <v>1716.40093525</v>
      </c>
      <c r="BP98" s="11" t="n">
        <f aca="false">IF(BP$1&lt;Units!$P97,0,IF(AND(Units!$K97=0,BP$1=Units!$O97),Units!$R97,IF(AND(BP$1&gt;=Units!$Q97,MOD(BP$1-Units!$Q97,12)=0),IF(AND(Units!$L97=1,BP$1=Units!$Q97),IF(Units!$J97&lt;&gt;"",Units!$J97,Mkt!BP98),Inputs!$B$15*Mkt!BP98+(1-Inputs!$B$15)*MIN(Mkt!BP98,BO98*(1+Inputs!$B$18))),BO98)))</f>
        <v>1716.40093525</v>
      </c>
      <c r="BQ98" s="11" t="n">
        <f aca="false">IF(BQ$1&lt;Units!$P97,0,IF(AND(Units!$K97=0,BQ$1=Units!$O97),Units!$R97,IF(AND(BQ$1&gt;=Units!$Q97,MOD(BQ$1-Units!$Q97,12)=0),IF(AND(Units!$L97=1,BQ$1=Units!$Q97),IF(Units!$J97&lt;&gt;"",Units!$J97,Mkt!BQ98),Inputs!$B$15*Mkt!BQ98+(1-Inputs!$B$15)*MIN(Mkt!BQ98,BP98*(1+Inputs!$B$18))),BP98)))</f>
        <v>1716.40093525</v>
      </c>
      <c r="BR98" s="11" t="n">
        <f aca="false">IF(BR$1&lt;Units!$P97,0,IF(AND(Units!$K97=0,BR$1=Units!$O97),Units!$R97,IF(AND(BR$1&gt;=Units!$Q97,MOD(BR$1-Units!$Q97,12)=0),IF(AND(Units!$L97=1,BR$1=Units!$Q97),IF(Units!$J97&lt;&gt;"",Units!$J97,Mkt!BR98),Inputs!$B$15*Mkt!BR98+(1-Inputs!$B$15)*MIN(Mkt!BR98,BQ98*(1+Inputs!$B$18))),BQ98)))</f>
        <v>1716.40093525</v>
      </c>
      <c r="BS98" s="11" t="n">
        <f aca="false">IF(BS$1&lt;Units!$P97,0,IF(AND(Units!$K97=0,BS$1=Units!$O97),Units!$R97,IF(AND(BS$1&gt;=Units!$Q97,MOD(BS$1-Units!$Q97,12)=0),IF(AND(Units!$L97=1,BS$1=Units!$Q97),IF(Units!$J97&lt;&gt;"",Units!$J97,Mkt!BS98),Inputs!$B$15*Mkt!BS98+(1-Inputs!$B$15)*MIN(Mkt!BS98,BR98*(1+Inputs!$B$18))),BR98)))</f>
        <v>1767.8929633075</v>
      </c>
      <c r="BT98" s="11" t="n">
        <f aca="false">IF(BT$1&lt;Units!$P97,0,IF(AND(Units!$K97=0,BT$1=Units!$O97),Units!$R97,IF(AND(BT$1&gt;=Units!$Q97,MOD(BT$1-Units!$Q97,12)=0),IF(AND(Units!$L97=1,BT$1=Units!$Q97),IF(Units!$J97&lt;&gt;"",Units!$J97,Mkt!BT98),Inputs!$B$15*Mkt!BT98+(1-Inputs!$B$15)*MIN(Mkt!BT98,BS98*(1+Inputs!$B$18))),BS98)))</f>
        <v>1767.8929633075</v>
      </c>
      <c r="BU98" s="11" t="n">
        <f aca="false">IF(BU$1&lt;Units!$P97,0,IF(AND(Units!$K97=0,BU$1=Units!$O97),Units!$R97,IF(AND(BU$1&gt;=Units!$Q97,MOD(BU$1-Units!$Q97,12)=0),IF(AND(Units!$L97=1,BU$1=Units!$Q97),IF(Units!$J97&lt;&gt;"",Units!$J97,Mkt!BU98),Inputs!$B$15*Mkt!BU98+(1-Inputs!$B$15)*MIN(Mkt!BU98,BT98*(1+Inputs!$B$18))),BT98)))</f>
        <v>1767.8929633075</v>
      </c>
      <c r="BV98" s="11" t="n">
        <f aca="false">IF(BV$1&lt;Units!$P97,0,IF(AND(Units!$K97=0,BV$1=Units!$O97),Units!$R97,IF(AND(BV$1&gt;=Units!$Q97,MOD(BV$1-Units!$Q97,12)=0),IF(AND(Units!$L97=1,BV$1=Units!$Q97),IF(Units!$J97&lt;&gt;"",Units!$J97,Mkt!BV98),Inputs!$B$15*Mkt!BV98+(1-Inputs!$B$15)*MIN(Mkt!BV98,BU98*(1+Inputs!$B$18))),BU98)))</f>
        <v>1767.8929633075</v>
      </c>
      <c r="BW98" s="11" t="n">
        <f aca="false">IF(BW$1&lt;Units!$P97,0,IF(AND(Units!$K97=0,BW$1=Units!$O97),Units!$R97,IF(AND(BW$1&gt;=Units!$Q97,MOD(BW$1-Units!$Q97,12)=0),IF(AND(Units!$L97=1,BW$1=Units!$Q97),IF(Units!$J97&lt;&gt;"",Units!$J97,Mkt!BW98),Inputs!$B$15*Mkt!BW98+(1-Inputs!$B$15)*MIN(Mkt!BW98,BV98*(1+Inputs!$B$18))),BV98)))</f>
        <v>1767.8929633075</v>
      </c>
      <c r="BX98" s="11" t="n">
        <f aca="false">IF(BX$1&lt;Units!$P97,0,IF(AND(Units!$K97=0,BX$1=Units!$O97),Units!$R97,IF(AND(BX$1&gt;=Units!$Q97,MOD(BX$1-Units!$Q97,12)=0),IF(AND(Units!$L97=1,BX$1=Units!$Q97),IF(Units!$J97&lt;&gt;"",Units!$J97,Mkt!BX98),Inputs!$B$15*Mkt!BX98+(1-Inputs!$B$15)*MIN(Mkt!BX98,BW98*(1+Inputs!$B$18))),BW98)))</f>
        <v>1767.8929633075</v>
      </c>
      <c r="BY98" s="11" t="n">
        <f aca="false">IF(BY$1&lt;Units!$P97,0,IF(AND(Units!$K97=0,BY$1=Units!$O97),Units!$R97,IF(AND(BY$1&gt;=Units!$Q97,MOD(BY$1-Units!$Q97,12)=0),IF(AND(Units!$L97=1,BY$1=Units!$Q97),IF(Units!$J97&lt;&gt;"",Units!$J97,Mkt!BY98),Inputs!$B$15*Mkt!BY98+(1-Inputs!$B$15)*MIN(Mkt!BY98,BX98*(1+Inputs!$B$18))),BX98)))</f>
        <v>1767.8929633075</v>
      </c>
      <c r="BZ98" s="11" t="n">
        <f aca="false">IF(BZ$1&lt;Units!$P97,0,IF(AND(Units!$K97=0,BZ$1=Units!$O97),Units!$R97,IF(AND(BZ$1&gt;=Units!$Q97,MOD(BZ$1-Units!$Q97,12)=0),IF(AND(Units!$L97=1,BZ$1=Units!$Q97),IF(Units!$J97&lt;&gt;"",Units!$J97,Mkt!BZ98),Inputs!$B$15*Mkt!BZ98+(1-Inputs!$B$15)*MIN(Mkt!BZ98,BY98*(1+Inputs!$B$18))),BY98)))</f>
        <v>1767.8929633075</v>
      </c>
      <c r="CA98" s="11" t="n">
        <f aca="false">IF(CA$1&lt;Units!$P97,0,IF(AND(Units!$K97=0,CA$1=Units!$O97),Units!$R97,IF(AND(CA$1&gt;=Units!$Q97,MOD(CA$1-Units!$Q97,12)=0),IF(AND(Units!$L97=1,CA$1=Units!$Q97),IF(Units!$J97&lt;&gt;"",Units!$J97,Mkt!CA98),Inputs!$B$15*Mkt!CA98+(1-Inputs!$B$15)*MIN(Mkt!CA98,BZ98*(1+Inputs!$B$18))),BZ98)))</f>
        <v>1767.8929633075</v>
      </c>
      <c r="CB98" s="11" t="n">
        <f aca="false">IF(CB$1&lt;Units!$P97,0,IF(AND(Units!$K97=0,CB$1=Units!$O97),Units!$R97,IF(AND(CB$1&gt;=Units!$Q97,MOD(CB$1-Units!$Q97,12)=0),IF(AND(Units!$L97=1,CB$1=Units!$Q97),IF(Units!$J97&lt;&gt;"",Units!$J97,Mkt!CB98),Inputs!$B$15*Mkt!CB98+(1-Inputs!$B$15)*MIN(Mkt!CB98,CA98*(1+Inputs!$B$18))),CA98)))</f>
        <v>1767.8929633075</v>
      </c>
      <c r="CC98" s="11" t="n">
        <f aca="false">IF(CC$1&lt;Units!$P97,0,IF(AND(Units!$K97=0,CC$1=Units!$O97),Units!$R97,IF(AND(CC$1&gt;=Units!$Q97,MOD(CC$1-Units!$Q97,12)=0),IF(AND(Units!$L97=1,CC$1=Units!$Q97),IF(Units!$J97&lt;&gt;"",Units!$J97,Mkt!CC98),Inputs!$B$15*Mkt!CC98+(1-Inputs!$B$15)*MIN(Mkt!CC98,CB98*(1+Inputs!$B$18))),CB98)))</f>
        <v>1767.8929633075</v>
      </c>
      <c r="CD98" s="11" t="n">
        <f aca="false">IF(CD$1&lt;Units!$P97,0,IF(AND(Units!$K97=0,CD$1=Units!$O97),Units!$R97,IF(AND(CD$1&gt;=Units!$Q97,MOD(CD$1-Units!$Q97,12)=0),IF(AND(Units!$L97=1,CD$1=Units!$Q97),IF(Units!$J97&lt;&gt;"",Units!$J97,Mkt!CD98),Inputs!$B$15*Mkt!CD98+(1-Inputs!$B$15)*MIN(Mkt!CD98,CC98*(1+Inputs!$B$18))),CC98)))</f>
        <v>1767.8929633075</v>
      </c>
      <c r="CE98" s="11" t="n">
        <f aca="false">IF(CE$1&lt;Units!$P97,0,IF(AND(Units!$K97=0,CE$1=Units!$O97),Units!$R97,IF(AND(CE$1&gt;=Units!$Q97,MOD(CE$1-Units!$Q97,12)=0),IF(AND(Units!$L97=1,CE$1=Units!$Q97),IF(Units!$J97&lt;&gt;"",Units!$J97,Mkt!CE98),Inputs!$B$15*Mkt!CE98+(1-Inputs!$B$15)*MIN(Mkt!CE98,CD98*(1+Inputs!$B$18))),CD98)))</f>
        <v>1820.92975220673</v>
      </c>
      <c r="CF98" s="11" t="n">
        <f aca="false">IF(CF$1&lt;Units!$P97,0,IF(AND(Units!$K97=0,CF$1=Units!$O97),Units!$R97,IF(AND(CF$1&gt;=Units!$Q97,MOD(CF$1-Units!$Q97,12)=0),IF(AND(Units!$L97=1,CF$1=Units!$Q97),IF(Units!$J97&lt;&gt;"",Units!$J97,Mkt!CF98),Inputs!$B$15*Mkt!CF98+(1-Inputs!$B$15)*MIN(Mkt!CF98,CE98*(1+Inputs!$B$18))),CE98)))</f>
        <v>1820.92975220673</v>
      </c>
      <c r="CG98" s="11" t="n">
        <f aca="false">IF(CG$1&lt;Units!$P97,0,IF(AND(Units!$K97=0,CG$1=Units!$O97),Units!$R97,IF(AND(CG$1&gt;=Units!$Q97,MOD(CG$1-Units!$Q97,12)=0),IF(AND(Units!$L97=1,CG$1=Units!$Q97),IF(Units!$J97&lt;&gt;"",Units!$J97,Mkt!CG98),Inputs!$B$15*Mkt!CG98+(1-Inputs!$B$15)*MIN(Mkt!CG98,CF98*(1+Inputs!$B$18))),CF98)))</f>
        <v>1820.92975220673</v>
      </c>
      <c r="CH98" s="11" t="n">
        <f aca="false">IF(CH$1&lt;Units!$P97,0,IF(AND(Units!$K97=0,CH$1=Units!$O97),Units!$R97,IF(AND(CH$1&gt;=Units!$Q97,MOD(CH$1-Units!$Q97,12)=0),IF(AND(Units!$L97=1,CH$1=Units!$Q97),IF(Units!$J97&lt;&gt;"",Units!$J97,Mkt!CH98),Inputs!$B$15*Mkt!CH98+(1-Inputs!$B$15)*MIN(Mkt!CH98,CG98*(1+Inputs!$B$18))),CG98)))</f>
        <v>1820.92975220673</v>
      </c>
      <c r="CI98" s="11" t="n">
        <f aca="false">IF(CI$1&lt;Units!$P97,0,IF(AND(Units!$K97=0,CI$1=Units!$O97),Units!$R97,IF(AND(CI$1&gt;=Units!$Q97,MOD(CI$1-Units!$Q97,12)=0),IF(AND(Units!$L97=1,CI$1=Units!$Q97),IF(Units!$J97&lt;&gt;"",Units!$J97,Mkt!CI98),Inputs!$B$15*Mkt!CI98+(1-Inputs!$B$15)*MIN(Mkt!CI98,CH98*(1+Inputs!$B$18))),CH98)))</f>
        <v>1820.92975220673</v>
      </c>
      <c r="CJ98" s="11" t="n">
        <f aca="false">IF(CJ$1&lt;Units!$P97,0,IF(AND(Units!$K97=0,CJ$1=Units!$O97),Units!$R97,IF(AND(CJ$1&gt;=Units!$Q97,MOD(CJ$1-Units!$Q97,12)=0),IF(AND(Units!$L97=1,CJ$1=Units!$Q97),IF(Units!$J97&lt;&gt;"",Units!$J97,Mkt!CJ98),Inputs!$B$15*Mkt!CJ98+(1-Inputs!$B$15)*MIN(Mkt!CJ98,CI98*(1+Inputs!$B$18))),CI98)))</f>
        <v>1820.92975220673</v>
      </c>
      <c r="CK98" s="11" t="n">
        <f aca="false">IF(CK$1&lt;Units!$P97,0,IF(AND(Units!$K97=0,CK$1=Units!$O97),Units!$R97,IF(AND(CK$1&gt;=Units!$Q97,MOD(CK$1-Units!$Q97,12)=0),IF(AND(Units!$L97=1,CK$1=Units!$Q97),IF(Units!$J97&lt;&gt;"",Units!$J97,Mkt!CK98),Inputs!$B$15*Mkt!CK98+(1-Inputs!$B$15)*MIN(Mkt!CK98,CJ98*(1+Inputs!$B$18))),CJ98)))</f>
        <v>1820.92975220673</v>
      </c>
      <c r="CL98" s="11" t="n">
        <f aca="false">IF(CL$1&lt;Units!$P97,0,IF(AND(Units!$K97=0,CL$1=Units!$O97),Units!$R97,IF(AND(CL$1&gt;=Units!$Q97,MOD(CL$1-Units!$Q97,12)=0),IF(AND(Units!$L97=1,CL$1=Units!$Q97),IF(Units!$J97&lt;&gt;"",Units!$J97,Mkt!CL98),Inputs!$B$15*Mkt!CL98+(1-Inputs!$B$15)*MIN(Mkt!CL98,CK98*(1+Inputs!$B$18))),CK98)))</f>
        <v>1820.92975220673</v>
      </c>
      <c r="CM98" s="11" t="n">
        <f aca="false">IF(CM$1&lt;Units!$P97,0,IF(AND(Units!$K97=0,CM$1=Units!$O97),Units!$R97,IF(AND(CM$1&gt;=Units!$Q97,MOD(CM$1-Units!$Q97,12)=0),IF(AND(Units!$L97=1,CM$1=Units!$Q97),IF(Units!$J97&lt;&gt;"",Units!$J97,Mkt!CM98),Inputs!$B$15*Mkt!CM98+(1-Inputs!$B$15)*MIN(Mkt!CM98,CL98*(1+Inputs!$B$18))),CL98)))</f>
        <v>1820.92975220673</v>
      </c>
      <c r="CN98" s="11" t="n">
        <f aca="false">IF(CN$1&lt;Units!$P97,0,IF(AND(Units!$K97=0,CN$1=Units!$O97),Units!$R97,IF(AND(CN$1&gt;=Units!$Q97,MOD(CN$1-Units!$Q97,12)=0),IF(AND(Units!$L97=1,CN$1=Units!$Q97),IF(Units!$J97&lt;&gt;"",Units!$J97,Mkt!CN98),Inputs!$B$15*Mkt!CN98+(1-Inputs!$B$15)*MIN(Mkt!CN98,CM98*(1+Inputs!$B$18))),CM98)))</f>
        <v>1820.92975220673</v>
      </c>
      <c r="CO98" s="11" t="n">
        <f aca="false">IF(CO$1&lt;Units!$P97,0,IF(AND(Units!$K97=0,CO$1=Units!$O97),Units!$R97,IF(AND(CO$1&gt;=Units!$Q97,MOD(CO$1-Units!$Q97,12)=0),IF(AND(Units!$L97=1,CO$1=Units!$Q97),IF(Units!$J97&lt;&gt;"",Units!$J97,Mkt!CO98),Inputs!$B$15*Mkt!CO98+(1-Inputs!$B$15)*MIN(Mkt!CO98,CN98*(1+Inputs!$B$18))),CN98)))</f>
        <v>1820.92975220673</v>
      </c>
      <c r="CP98" s="11" t="n">
        <f aca="false">IF(CP$1&lt;Units!$P97,0,IF(AND(Units!$K97=0,CP$1=Units!$O97),Units!$R97,IF(AND(CP$1&gt;=Units!$Q97,MOD(CP$1-Units!$Q97,12)=0),IF(AND(Units!$L97=1,CP$1=Units!$Q97),IF(Units!$J97&lt;&gt;"",Units!$J97,Mkt!CP98),Inputs!$B$15*Mkt!CP98+(1-Inputs!$B$15)*MIN(Mkt!CP98,CO98*(1+Inputs!$B$18))),CO98)))</f>
        <v>1820.92975220673</v>
      </c>
      <c r="CQ98" s="11" t="n">
        <f aca="false">IF(CQ$1&lt;Units!$P97,0,IF(AND(Units!$K97=0,CQ$1=Units!$O97),Units!$R97,IF(AND(CQ$1&gt;=Units!$Q97,MOD(CQ$1-Units!$Q97,12)=0),IF(AND(Units!$L97=1,CQ$1=Units!$Q97),IF(Units!$J97&lt;&gt;"",Units!$J97,Mkt!CQ98),Inputs!$B$15*Mkt!CQ98+(1-Inputs!$B$15)*MIN(Mkt!CQ98,CP98*(1+Inputs!$B$18))),CP98)))</f>
        <v>1875.55764477293</v>
      </c>
      <c r="CR98" s="11" t="n">
        <f aca="false">IF(CR$1&lt;Units!$P97,0,IF(AND(Units!$K97=0,CR$1=Units!$O97),Units!$R97,IF(AND(CR$1&gt;=Units!$Q97,MOD(CR$1-Units!$Q97,12)=0),IF(AND(Units!$L97=1,CR$1=Units!$Q97),IF(Units!$J97&lt;&gt;"",Units!$J97,Mkt!CR98),Inputs!$B$15*Mkt!CR98+(1-Inputs!$B$15)*MIN(Mkt!CR98,CQ98*(1+Inputs!$B$18))),CQ98)))</f>
        <v>1875.55764477293</v>
      </c>
      <c r="CS98" s="11" t="n">
        <f aca="false">IF(CS$1&lt;Units!$P97,0,IF(AND(Units!$K97=0,CS$1=Units!$O97),Units!$R97,IF(AND(CS$1&gt;=Units!$Q97,MOD(CS$1-Units!$Q97,12)=0),IF(AND(Units!$L97=1,CS$1=Units!$Q97),IF(Units!$J97&lt;&gt;"",Units!$J97,Mkt!CS98),Inputs!$B$15*Mkt!CS98+(1-Inputs!$B$15)*MIN(Mkt!CS98,CR98*(1+Inputs!$B$18))),CR98)))</f>
        <v>1875.55764477293</v>
      </c>
      <c r="CT98" s="11" t="n">
        <f aca="false">IF(CT$1&lt;Units!$P97,0,IF(AND(Units!$K97=0,CT$1=Units!$O97),Units!$R97,IF(AND(CT$1&gt;=Units!$Q97,MOD(CT$1-Units!$Q97,12)=0),IF(AND(Units!$L97=1,CT$1=Units!$Q97),IF(Units!$J97&lt;&gt;"",Units!$J97,Mkt!CT98),Inputs!$B$15*Mkt!CT98+(1-Inputs!$B$15)*MIN(Mkt!CT98,CS98*(1+Inputs!$B$18))),CS98)))</f>
        <v>1875.55764477293</v>
      </c>
      <c r="CU98" s="11" t="n">
        <f aca="false">IF(CU$1&lt;Units!$P97,0,IF(AND(Units!$K97=0,CU$1=Units!$O97),Units!$R97,IF(AND(CU$1&gt;=Units!$Q97,MOD(CU$1-Units!$Q97,12)=0),IF(AND(Units!$L97=1,CU$1=Units!$Q97),IF(Units!$J97&lt;&gt;"",Units!$J97,Mkt!CU98),Inputs!$B$15*Mkt!CU98+(1-Inputs!$B$15)*MIN(Mkt!CU98,CT98*(1+Inputs!$B$18))),CT98)))</f>
        <v>1875.55764477293</v>
      </c>
      <c r="CV98" s="11" t="n">
        <f aca="false">IF(CV$1&lt;Units!$P97,0,IF(AND(Units!$K97=0,CV$1=Units!$O97),Units!$R97,IF(AND(CV$1&gt;=Units!$Q97,MOD(CV$1-Units!$Q97,12)=0),IF(AND(Units!$L97=1,CV$1=Units!$Q97),IF(Units!$J97&lt;&gt;"",Units!$J97,Mkt!CV98),Inputs!$B$15*Mkt!CV98+(1-Inputs!$B$15)*MIN(Mkt!CV98,CU98*(1+Inputs!$B$18))),CU98)))</f>
        <v>1875.55764477293</v>
      </c>
      <c r="CW98" s="11" t="n">
        <f aca="false">IF(CW$1&lt;Units!$P97,0,IF(AND(Units!$K97=0,CW$1=Units!$O97),Units!$R97,IF(AND(CW$1&gt;=Units!$Q97,MOD(CW$1-Units!$Q97,12)=0),IF(AND(Units!$L97=1,CW$1=Units!$Q97),IF(Units!$J97&lt;&gt;"",Units!$J97,Mkt!CW98),Inputs!$B$15*Mkt!CW98+(1-Inputs!$B$15)*MIN(Mkt!CW98,CV98*(1+Inputs!$B$18))),CV98)))</f>
        <v>1875.55764477293</v>
      </c>
      <c r="CX98" s="11" t="n">
        <f aca="false">IF(CX$1&lt;Units!$P97,0,IF(AND(Units!$K97=0,CX$1=Units!$O97),Units!$R97,IF(AND(CX$1&gt;=Units!$Q97,MOD(CX$1-Units!$Q97,12)=0),IF(AND(Units!$L97=1,CX$1=Units!$Q97),IF(Units!$J97&lt;&gt;"",Units!$J97,Mkt!CX98),Inputs!$B$15*Mkt!CX98+(1-Inputs!$B$15)*MIN(Mkt!CX98,CW98*(1+Inputs!$B$18))),CW98)))</f>
        <v>1875.55764477293</v>
      </c>
      <c r="CY98" s="11" t="n">
        <f aca="false">IF(CY$1&lt;Units!$P97,0,IF(AND(Units!$K97=0,CY$1=Units!$O97),Units!$R97,IF(AND(CY$1&gt;=Units!$Q97,MOD(CY$1-Units!$Q97,12)=0),IF(AND(Units!$L97=1,CY$1=Units!$Q97),IF(Units!$J97&lt;&gt;"",Units!$J97,Mkt!CY98),Inputs!$B$15*Mkt!CY98+(1-Inputs!$B$15)*MIN(Mkt!CY98,CX98*(1+Inputs!$B$18))),CX98)))</f>
        <v>1875.55764477293</v>
      </c>
      <c r="CZ98" s="11" t="n">
        <f aca="false">IF(CZ$1&lt;Units!$P97,0,IF(AND(Units!$K97=0,CZ$1=Units!$O97),Units!$R97,IF(AND(CZ$1&gt;=Units!$Q97,MOD(CZ$1-Units!$Q97,12)=0),IF(AND(Units!$L97=1,CZ$1=Units!$Q97),IF(Units!$J97&lt;&gt;"",Units!$J97,Mkt!CZ98),Inputs!$B$15*Mkt!CZ98+(1-Inputs!$B$15)*MIN(Mkt!CZ98,CY98*(1+Inputs!$B$18))),CY98)))</f>
        <v>1875.55764477293</v>
      </c>
      <c r="DA98" s="11" t="n">
        <f aca="false">IF(DA$1&lt;Units!$P97,0,IF(AND(Units!$K97=0,DA$1=Units!$O97),Units!$R97,IF(AND(DA$1&gt;=Units!$Q97,MOD(DA$1-Units!$Q97,12)=0),IF(AND(Units!$L97=1,DA$1=Units!$Q97),IF(Units!$J97&lt;&gt;"",Units!$J97,Mkt!DA98),Inputs!$B$15*Mkt!DA98+(1-Inputs!$B$15)*MIN(Mkt!DA98,CZ98*(1+Inputs!$B$18))),CZ98)))</f>
        <v>1875.55764477293</v>
      </c>
      <c r="DB98" s="11" t="n">
        <f aca="false">IF(DB$1&lt;Units!$P97,0,IF(AND(Units!$K97=0,DB$1=Units!$O97),Units!$R97,IF(AND(DB$1&gt;=Units!$Q97,MOD(DB$1-Units!$Q97,12)=0),IF(AND(Units!$L97=1,DB$1=Units!$Q97),IF(Units!$J97&lt;&gt;"",Units!$J97,Mkt!DB98),Inputs!$B$15*Mkt!DB98+(1-Inputs!$B$15)*MIN(Mkt!DB98,DA98*(1+Inputs!$B$18))),DA98)))</f>
        <v>1875.55764477293</v>
      </c>
      <c r="DC98" s="11" t="n">
        <f aca="false">IF(DC$1&lt;Units!$P97,0,IF(AND(Units!$K97=0,DC$1=Units!$O97),Units!$R97,IF(AND(DC$1&gt;=Units!$Q97,MOD(DC$1-Units!$Q97,12)=0),IF(AND(Units!$L97=1,DC$1=Units!$Q97),IF(Units!$J97&lt;&gt;"",Units!$J97,Mkt!DC98),Inputs!$B$15*Mkt!DC98+(1-Inputs!$B$15)*MIN(Mkt!DC98,DB98*(1+Inputs!$B$18))),DB98)))</f>
        <v>1931.82437411612</v>
      </c>
      <c r="DD98" s="11" t="n">
        <f aca="false">IF(DD$1&lt;Units!$P97,0,IF(AND(Units!$K97=0,DD$1=Units!$O97),Units!$R97,IF(AND(DD$1&gt;=Units!$Q97,MOD(DD$1-Units!$Q97,12)=0),IF(AND(Units!$L97=1,DD$1=Units!$Q97),IF(Units!$J97&lt;&gt;"",Units!$J97,Mkt!DD98),Inputs!$B$15*Mkt!DD98+(1-Inputs!$B$15)*MIN(Mkt!DD98,DC98*(1+Inputs!$B$18))),DC98)))</f>
        <v>1931.82437411612</v>
      </c>
      <c r="DE98" s="11" t="n">
        <f aca="false">IF(DE$1&lt;Units!$P97,0,IF(AND(Units!$K97=0,DE$1=Units!$O97),Units!$R97,IF(AND(DE$1&gt;=Units!$Q97,MOD(DE$1-Units!$Q97,12)=0),IF(AND(Units!$L97=1,DE$1=Units!$Q97),IF(Units!$J97&lt;&gt;"",Units!$J97,Mkt!DE98),Inputs!$B$15*Mkt!DE98+(1-Inputs!$B$15)*MIN(Mkt!DE98,DD98*(1+Inputs!$B$18))),DD98)))</f>
        <v>1931.82437411612</v>
      </c>
      <c r="DF98" s="11" t="n">
        <f aca="false">IF(DF$1&lt;Units!$P97,0,IF(AND(Units!$K97=0,DF$1=Units!$O97),Units!$R97,IF(AND(DF$1&gt;=Units!$Q97,MOD(DF$1-Units!$Q97,12)=0),IF(AND(Units!$L97=1,DF$1=Units!$Q97),IF(Units!$J97&lt;&gt;"",Units!$J97,Mkt!DF98),Inputs!$B$15*Mkt!DF98+(1-Inputs!$B$15)*MIN(Mkt!DF98,DE98*(1+Inputs!$B$18))),DE98)))</f>
        <v>1931.82437411612</v>
      </c>
      <c r="DG98" s="11" t="n">
        <f aca="false">IF(DG$1&lt;Units!$P97,0,IF(AND(Units!$K97=0,DG$1=Units!$O97),Units!$R97,IF(AND(DG$1&gt;=Units!$Q97,MOD(DG$1-Units!$Q97,12)=0),IF(AND(Units!$L97=1,DG$1=Units!$Q97),IF(Units!$J97&lt;&gt;"",Units!$J97,Mkt!DG98),Inputs!$B$15*Mkt!DG98+(1-Inputs!$B$15)*MIN(Mkt!DG98,DF98*(1+Inputs!$B$18))),DF98)))</f>
        <v>1931.82437411612</v>
      </c>
      <c r="DH98" s="11" t="n">
        <f aca="false">IF(DH$1&lt;Units!$P97,0,IF(AND(Units!$K97=0,DH$1=Units!$O97),Units!$R97,IF(AND(DH$1&gt;=Units!$Q97,MOD(DH$1-Units!$Q97,12)=0),IF(AND(Units!$L97=1,DH$1=Units!$Q97),IF(Units!$J97&lt;&gt;"",Units!$J97,Mkt!DH98),Inputs!$B$15*Mkt!DH98+(1-Inputs!$B$15)*MIN(Mkt!DH98,DG98*(1+Inputs!$B$18))),DG98)))</f>
        <v>1931.82437411612</v>
      </c>
      <c r="DI98" s="11" t="n">
        <f aca="false">IF(DI$1&lt;Units!$P97,0,IF(AND(Units!$K97=0,DI$1=Units!$O97),Units!$R97,IF(AND(DI$1&gt;=Units!$Q97,MOD(DI$1-Units!$Q97,12)=0),IF(AND(Units!$L97=1,DI$1=Units!$Q97),IF(Units!$J97&lt;&gt;"",Units!$J97,Mkt!DI98),Inputs!$B$15*Mkt!DI98+(1-Inputs!$B$15)*MIN(Mkt!DI98,DH98*(1+Inputs!$B$18))),DH98)))</f>
        <v>1931.82437411612</v>
      </c>
      <c r="DJ98" s="11" t="n">
        <f aca="false">IF(DJ$1&lt;Units!$P97,0,IF(AND(Units!$K97=0,DJ$1=Units!$O97),Units!$R97,IF(AND(DJ$1&gt;=Units!$Q97,MOD(DJ$1-Units!$Q97,12)=0),IF(AND(Units!$L97=1,DJ$1=Units!$Q97),IF(Units!$J97&lt;&gt;"",Units!$J97,Mkt!DJ98),Inputs!$B$15*Mkt!DJ98+(1-Inputs!$B$15)*MIN(Mkt!DJ98,DI98*(1+Inputs!$B$18))),DI98)))</f>
        <v>1931.82437411612</v>
      </c>
      <c r="DK98" s="11" t="n">
        <f aca="false">IF(DK$1&lt;Units!$P97,0,IF(AND(Units!$K97=0,DK$1=Units!$O97),Units!$R97,IF(AND(DK$1&gt;=Units!$Q97,MOD(DK$1-Units!$Q97,12)=0),IF(AND(Units!$L97=1,DK$1=Units!$Q97),IF(Units!$J97&lt;&gt;"",Units!$J97,Mkt!DK98),Inputs!$B$15*Mkt!DK98+(1-Inputs!$B$15)*MIN(Mkt!DK98,DJ98*(1+Inputs!$B$18))),DJ98)))</f>
        <v>1931.82437411612</v>
      </c>
      <c r="DL98" s="11" t="n">
        <f aca="false">IF(DL$1&lt;Units!$P97,0,IF(AND(Units!$K97=0,DL$1=Units!$O97),Units!$R97,IF(AND(DL$1&gt;=Units!$Q97,MOD(DL$1-Units!$Q97,12)=0),IF(AND(Units!$L97=1,DL$1=Units!$Q97),IF(Units!$J97&lt;&gt;"",Units!$J97,Mkt!DL98),Inputs!$B$15*Mkt!DL98+(1-Inputs!$B$15)*MIN(Mkt!DL98,DK98*(1+Inputs!$B$18))),DK98)))</f>
        <v>1931.82437411612</v>
      </c>
      <c r="DM98" s="11" t="n">
        <f aca="false">IF(DM$1&lt;Units!$P97,0,IF(AND(Units!$K97=0,DM$1=Units!$O97),Units!$R97,IF(AND(DM$1&gt;=Units!$Q97,MOD(DM$1-Units!$Q97,12)=0),IF(AND(Units!$L97=1,DM$1=Units!$Q97),IF(Units!$J97&lt;&gt;"",Units!$J97,Mkt!DM98),Inputs!$B$15*Mkt!DM98+(1-Inputs!$B$15)*MIN(Mkt!DM98,DL98*(1+Inputs!$B$18))),DL98)))</f>
        <v>1931.82437411612</v>
      </c>
      <c r="DN98" s="11" t="n">
        <f aca="false">IF(DN$1&lt;Units!$P97,0,IF(AND(Units!$K97=0,DN$1=Units!$O97),Units!$R97,IF(AND(DN$1&gt;=Units!$Q97,MOD(DN$1-Units!$Q97,12)=0),IF(AND(Units!$L97=1,DN$1=Units!$Q97),IF(Units!$J97&lt;&gt;"",Units!$J97,Mkt!DN98),Inputs!$B$15*Mkt!DN98+(1-Inputs!$B$15)*MIN(Mkt!DN98,DM98*(1+Inputs!$B$18))),DM98)))</f>
        <v>1931.82437411612</v>
      </c>
      <c r="DO98" s="11" t="n">
        <f aca="false">IF(DO$1&lt;Units!$P97,0,IF(AND(Units!$K97=0,DO$1=Units!$O97),Units!$R97,IF(AND(DO$1&gt;=Units!$Q97,MOD(DO$1-Units!$Q97,12)=0),IF(AND(Units!$L97=1,DO$1=Units!$Q97),IF(Units!$J97&lt;&gt;"",Units!$J97,Mkt!DO98),Inputs!$B$15*Mkt!DO98+(1-Inputs!$B$15)*MIN(Mkt!DO98,DN98*(1+Inputs!$B$18))),DN98)))</f>
        <v>1989.7791053396</v>
      </c>
      <c r="DP98" s="11" t="n">
        <f aca="false">IF(DP$1&lt;Units!$P97,0,IF(AND(Units!$K97=0,DP$1=Units!$O97),Units!$R97,IF(AND(DP$1&gt;=Units!$Q97,MOD(DP$1-Units!$Q97,12)=0),IF(AND(Units!$L97=1,DP$1=Units!$Q97),IF(Units!$J97&lt;&gt;"",Units!$J97,Mkt!DP98),Inputs!$B$15*Mkt!DP98+(1-Inputs!$B$15)*MIN(Mkt!DP98,DO98*(1+Inputs!$B$18))),DO98)))</f>
        <v>1989.7791053396</v>
      </c>
      <c r="DQ98" s="11" t="n">
        <f aca="false">IF(DQ$1&lt;Units!$P97,0,IF(AND(Units!$K97=0,DQ$1=Units!$O97),Units!$R97,IF(AND(DQ$1&gt;=Units!$Q97,MOD(DQ$1-Units!$Q97,12)=0),IF(AND(Units!$L97=1,DQ$1=Units!$Q97),IF(Units!$J97&lt;&gt;"",Units!$J97,Mkt!DQ98),Inputs!$B$15*Mkt!DQ98+(1-Inputs!$B$15)*MIN(Mkt!DQ98,DP98*(1+Inputs!$B$18))),DP98)))</f>
        <v>1989.7791053396</v>
      </c>
      <c r="DR98" s="11" t="n">
        <f aca="false">IF(DR$1&lt;Units!$P97,0,IF(AND(Units!$K97=0,DR$1=Units!$O97),Units!$R97,IF(AND(DR$1&gt;=Units!$Q97,MOD(DR$1-Units!$Q97,12)=0),IF(AND(Units!$L97=1,DR$1=Units!$Q97),IF(Units!$J97&lt;&gt;"",Units!$J97,Mkt!DR98),Inputs!$B$15*Mkt!DR98+(1-Inputs!$B$15)*MIN(Mkt!DR98,DQ98*(1+Inputs!$B$18))),DQ98)))</f>
        <v>1989.7791053396</v>
      </c>
      <c r="DS98" s="11" t="n">
        <f aca="false">IF(DS$1&lt;Units!$P97,0,IF(AND(Units!$K97=0,DS$1=Units!$O97),Units!$R97,IF(AND(DS$1&gt;=Units!$Q97,MOD(DS$1-Units!$Q97,12)=0),IF(AND(Units!$L97=1,DS$1=Units!$Q97),IF(Units!$J97&lt;&gt;"",Units!$J97,Mkt!DS98),Inputs!$B$15*Mkt!DS98+(1-Inputs!$B$15)*MIN(Mkt!DS98,DR98*(1+Inputs!$B$18))),DR98)))</f>
        <v>1989.7791053396</v>
      </c>
      <c r="DT98" s="11" t="n">
        <f aca="false">IF(DT$1&lt;Units!$P97,0,IF(AND(Units!$K97=0,DT$1=Units!$O97),Units!$R97,IF(AND(DT$1&gt;=Units!$Q97,MOD(DT$1-Units!$Q97,12)=0),IF(AND(Units!$L97=1,DT$1=Units!$Q97),IF(Units!$J97&lt;&gt;"",Units!$J97,Mkt!DT98),Inputs!$B$15*Mkt!DT98+(1-Inputs!$B$15)*MIN(Mkt!DT98,DS98*(1+Inputs!$B$18))),DS98)))</f>
        <v>1989.7791053396</v>
      </c>
      <c r="DU98" s="11" t="n">
        <f aca="false">IF(DU$1&lt;Units!$P97,0,IF(AND(Units!$K97=0,DU$1=Units!$O97),Units!$R97,IF(AND(DU$1&gt;=Units!$Q97,MOD(DU$1-Units!$Q97,12)=0),IF(AND(Units!$L97=1,DU$1=Units!$Q97),IF(Units!$J97&lt;&gt;"",Units!$J97,Mkt!DU98),Inputs!$B$15*Mkt!DU98+(1-Inputs!$B$15)*MIN(Mkt!DU98,DT98*(1+Inputs!$B$18))),DT98)))</f>
        <v>1989.7791053396</v>
      </c>
      <c r="DV98" s="11" t="n">
        <f aca="false">IF(DV$1&lt;Units!$P97,0,IF(AND(Units!$K97=0,DV$1=Units!$O97),Units!$R97,IF(AND(DV$1&gt;=Units!$Q97,MOD(DV$1-Units!$Q97,12)=0),IF(AND(Units!$L97=1,DV$1=Units!$Q97),IF(Units!$J97&lt;&gt;"",Units!$J97,Mkt!DV98),Inputs!$B$15*Mkt!DV98+(1-Inputs!$B$15)*MIN(Mkt!DV98,DU98*(1+Inputs!$B$18))),DU98)))</f>
        <v>1989.7791053396</v>
      </c>
      <c r="DW98" s="11" t="n">
        <f aca="false">IF(DW$1&lt;Units!$P97,0,IF(AND(Units!$K97=0,DW$1=Units!$O97),Units!$R97,IF(AND(DW$1&gt;=Units!$Q97,MOD(DW$1-Units!$Q97,12)=0),IF(AND(Units!$L97=1,DW$1=Units!$Q97),IF(Units!$J97&lt;&gt;"",Units!$J97,Mkt!DW98),Inputs!$B$15*Mkt!DW98+(1-Inputs!$B$15)*MIN(Mkt!DW98,DV98*(1+Inputs!$B$18))),DV98)))</f>
        <v>1989.7791053396</v>
      </c>
      <c r="DX98" s="11" t="n">
        <f aca="false">IF(DX$1&lt;Units!$P97,0,IF(AND(Units!$K97=0,DX$1=Units!$O97),Units!$R97,IF(AND(DX$1&gt;=Units!$Q97,MOD(DX$1-Units!$Q97,12)=0),IF(AND(Units!$L97=1,DX$1=Units!$Q97),IF(Units!$J97&lt;&gt;"",Units!$J97,Mkt!DX98),Inputs!$B$15*Mkt!DX98+(1-Inputs!$B$15)*MIN(Mkt!DX98,DW98*(1+Inputs!$B$18))),DW98)))</f>
        <v>1989.7791053396</v>
      </c>
      <c r="DY98" s="11" t="n">
        <f aca="false">IF(DY$1&lt;Units!$P97,0,IF(AND(Units!$K97=0,DY$1=Units!$O97),Units!$R97,IF(AND(DY$1&gt;=Units!$Q97,MOD(DY$1-Units!$Q97,12)=0),IF(AND(Units!$L97=1,DY$1=Units!$Q97),IF(Units!$J97&lt;&gt;"",Units!$J97,Mkt!DY98),Inputs!$B$15*Mkt!DY98+(1-Inputs!$B$15)*MIN(Mkt!DY98,DX98*(1+Inputs!$B$18))),DX98)))</f>
        <v>1989.7791053396</v>
      </c>
      <c r="DZ98" s="11" t="n">
        <f aca="false">IF(DZ$1&lt;Units!$P97,0,IF(AND(Units!$K97=0,DZ$1=Units!$O97),Units!$R97,IF(AND(DZ$1&gt;=Units!$Q97,MOD(DZ$1-Units!$Q97,12)=0),IF(AND(Units!$L97=1,DZ$1=Units!$Q97),IF(Units!$J97&lt;&gt;"",Units!$J97,Mkt!DZ98),Inputs!$B$15*Mkt!DZ98+(1-Inputs!$B$15)*MIN(Mkt!DZ98,DY98*(1+Inputs!$B$18))),DY98)))</f>
        <v>1989.7791053396</v>
      </c>
      <c r="EA98" s="11" t="n">
        <f aca="false">IF(EA$1&lt;Units!$P97,0,IF(AND(Units!$K97=0,EA$1=Units!$O97),Units!$R97,IF(AND(EA$1&gt;=Units!$Q97,MOD(EA$1-Units!$Q97,12)=0),IF(AND(Units!$L97=1,EA$1=Units!$Q97),IF(Units!$J97&lt;&gt;"",Units!$J97,Mkt!EA98),Inputs!$B$15*Mkt!EA98+(1-Inputs!$B$15)*MIN(Mkt!EA98,DZ98*(1+Inputs!$B$18))),DZ98)))</f>
        <v>2049.47247849979</v>
      </c>
      <c r="EB98" s="11" t="n">
        <f aca="false">IF(EB$1&lt;Units!$P97,0,IF(AND(Units!$K97=0,EB$1=Units!$O97),Units!$R97,IF(AND(EB$1&gt;=Units!$Q97,MOD(EB$1-Units!$Q97,12)=0),IF(AND(Units!$L97=1,EB$1=Units!$Q97),IF(Units!$J97&lt;&gt;"",Units!$J97,Mkt!EB98),Inputs!$B$15*Mkt!EB98+(1-Inputs!$B$15)*MIN(Mkt!EB98,EA98*(1+Inputs!$B$18))),EA98)))</f>
        <v>2049.47247849979</v>
      </c>
      <c r="EC98" s="11" t="n">
        <f aca="false">IF(EC$1&lt;Units!$P97,0,IF(AND(Units!$K97=0,EC$1=Units!$O97),Units!$R97,IF(AND(EC$1&gt;=Units!$Q97,MOD(EC$1-Units!$Q97,12)=0),IF(AND(Units!$L97=1,EC$1=Units!$Q97),IF(Units!$J97&lt;&gt;"",Units!$J97,Mkt!EC98),Inputs!$B$15*Mkt!EC98+(1-Inputs!$B$15)*MIN(Mkt!EC98,EB98*(1+Inputs!$B$18))),EB98)))</f>
        <v>2049.47247849979</v>
      </c>
      <c r="ED98" s="11" t="n">
        <f aca="false">IF(ED$1&lt;Units!$P97,0,IF(AND(Units!$K97=0,ED$1=Units!$O97),Units!$R97,IF(AND(ED$1&gt;=Units!$Q97,MOD(ED$1-Units!$Q97,12)=0),IF(AND(Units!$L97=1,ED$1=Units!$Q97),IF(Units!$J97&lt;&gt;"",Units!$J97,Mkt!ED98),Inputs!$B$15*Mkt!ED98+(1-Inputs!$B$15)*MIN(Mkt!ED98,EC98*(1+Inputs!$B$18))),EC98)))</f>
        <v>2049.47247849979</v>
      </c>
    </row>
    <row r="99" customFormat="false" ht="15" hidden="false" customHeight="false" outlineLevel="0" collapsed="false">
      <c r="A99" s="22" t="n">
        <f aca="false">Units!A98</f>
        <v>407</v>
      </c>
      <c r="B99" s="24" t="n">
        <f aca="false">IF(Units!K98=1,Units!F98,0)</f>
        <v>1395</v>
      </c>
      <c r="C99" s="11" t="n">
        <f aca="false">IF(C$1&lt;Units!$P98,0,IF(AND(Units!$K98=0,C$1=Units!$O98),Units!$R98,IF(AND(C$1&gt;=Units!$Q98,MOD(C$1-Units!$Q98,12)=0),IF(AND(Units!$L98=1,C$1=Units!$Q98),IF(Units!$J98&lt;&gt;"",Units!$J98,Mkt!C99),Inputs!$B$15*Mkt!C99+(1-Inputs!$B$15)*MIN(Mkt!C99,B99*(1+Inputs!$B$18))),B99)))</f>
        <v>1395</v>
      </c>
      <c r="D99" s="11" t="n">
        <f aca="false">IF(D$1&lt;Units!$P98,0,IF(AND(Units!$K98=0,D$1=Units!$O98),Units!$R98,IF(AND(D$1&gt;=Units!$Q98,MOD(D$1-Units!$Q98,12)=0),IF(AND(Units!$L98=1,D$1=Units!$Q98),IF(Units!$J98&lt;&gt;"",Units!$J98,Mkt!D99),Inputs!$B$15*Mkt!D99+(1-Inputs!$B$15)*MIN(Mkt!D99,C99*(1+Inputs!$B$18))),C99)))</f>
        <v>1395</v>
      </c>
      <c r="E99" s="11" t="n">
        <f aca="false">IF(E$1&lt;Units!$P98,0,IF(AND(Units!$K98=0,E$1=Units!$O98),Units!$R98,IF(AND(E$1&gt;=Units!$Q98,MOD(E$1-Units!$Q98,12)=0),IF(AND(Units!$L98=1,E$1=Units!$Q98),IF(Units!$J98&lt;&gt;"",Units!$J98,Mkt!E99),Inputs!$B$15*Mkt!E99+(1-Inputs!$B$15)*MIN(Mkt!E99,D99*(1+Inputs!$B$18))),D99)))</f>
        <v>1395</v>
      </c>
      <c r="F99" s="11" t="n">
        <f aca="false">IF(F$1&lt;Units!$P98,0,IF(AND(Units!$K98=0,F$1=Units!$O98),Units!$R98,IF(AND(F$1&gt;=Units!$Q98,MOD(F$1-Units!$Q98,12)=0),IF(AND(Units!$L98=1,F$1=Units!$Q98),IF(Units!$J98&lt;&gt;"",Units!$J98,Mkt!F99),Inputs!$B$15*Mkt!F99+(1-Inputs!$B$15)*MIN(Mkt!F99,E99*(1+Inputs!$B$18))),E99)))</f>
        <v>1395</v>
      </c>
      <c r="G99" s="11" t="n">
        <f aca="false">IF(G$1&lt;Units!$P98,0,IF(AND(Units!$K98=0,G$1=Units!$O98),Units!$R98,IF(AND(G$1&gt;=Units!$Q98,MOD(G$1-Units!$Q98,12)=0),IF(AND(Units!$L98=1,G$1=Units!$Q98),IF(Units!$J98&lt;&gt;"",Units!$J98,Mkt!G99),Inputs!$B$15*Mkt!G99+(1-Inputs!$B$15)*MIN(Mkt!G99,F99*(1+Inputs!$B$18))),F99)))</f>
        <v>1395</v>
      </c>
      <c r="H99" s="11" t="n">
        <f aca="false">IF(H$1&lt;Units!$P98,0,IF(AND(Units!$K98=0,H$1=Units!$O98),Units!$R98,IF(AND(H$1&gt;=Units!$Q98,MOD(H$1-Units!$Q98,12)=0),IF(AND(Units!$L98=1,H$1=Units!$Q98),IF(Units!$J98&lt;&gt;"",Units!$J98,Mkt!H99),Inputs!$B$15*Mkt!H99+(1-Inputs!$B$15)*MIN(Mkt!H99,G99*(1+Inputs!$B$18))),G99)))</f>
        <v>1494.875</v>
      </c>
      <c r="I99" s="11" t="n">
        <f aca="false">IF(I$1&lt;Units!$P98,0,IF(AND(Units!$K98=0,I$1=Units!$O98),Units!$R98,IF(AND(I$1&gt;=Units!$Q98,MOD(I$1-Units!$Q98,12)=0),IF(AND(Units!$L98=1,I$1=Units!$Q98),IF(Units!$J98&lt;&gt;"",Units!$J98,Mkt!I99),Inputs!$B$15*Mkt!I99+(1-Inputs!$B$15)*MIN(Mkt!I99,H99*(1+Inputs!$B$18))),H99)))</f>
        <v>1494.875</v>
      </c>
      <c r="J99" s="11" t="n">
        <f aca="false">IF(J$1&lt;Units!$P98,0,IF(AND(Units!$K98=0,J$1=Units!$O98),Units!$R98,IF(AND(J$1&gt;=Units!$Q98,MOD(J$1-Units!$Q98,12)=0),IF(AND(Units!$L98=1,J$1=Units!$Q98),IF(Units!$J98&lt;&gt;"",Units!$J98,Mkt!J99),Inputs!$B$15*Mkt!J99+(1-Inputs!$B$15)*MIN(Mkt!J99,I99*(1+Inputs!$B$18))),I99)))</f>
        <v>1494.875</v>
      </c>
      <c r="K99" s="11" t="n">
        <f aca="false">IF(K$1&lt;Units!$P98,0,IF(AND(Units!$K98=0,K$1=Units!$O98),Units!$R98,IF(AND(K$1&gt;=Units!$Q98,MOD(K$1-Units!$Q98,12)=0),IF(AND(Units!$L98=1,K$1=Units!$Q98),IF(Units!$J98&lt;&gt;"",Units!$J98,Mkt!K99),Inputs!$B$15*Mkt!K99+(1-Inputs!$B$15)*MIN(Mkt!K99,J99*(1+Inputs!$B$18))),J99)))</f>
        <v>1494.875</v>
      </c>
      <c r="L99" s="11" t="n">
        <f aca="false">IF(L$1&lt;Units!$P98,0,IF(AND(Units!$K98=0,L$1=Units!$O98),Units!$R98,IF(AND(L$1&gt;=Units!$Q98,MOD(L$1-Units!$Q98,12)=0),IF(AND(Units!$L98=1,L$1=Units!$Q98),IF(Units!$J98&lt;&gt;"",Units!$J98,Mkt!L99),Inputs!$B$15*Mkt!L99+(1-Inputs!$B$15)*MIN(Mkt!L99,K99*(1+Inputs!$B$18))),K99)))</f>
        <v>1494.875</v>
      </c>
      <c r="M99" s="11" t="n">
        <f aca="false">IF(M$1&lt;Units!$P98,0,IF(AND(Units!$K98=0,M$1=Units!$O98),Units!$R98,IF(AND(M$1&gt;=Units!$Q98,MOD(M$1-Units!$Q98,12)=0),IF(AND(Units!$L98=1,M$1=Units!$Q98),IF(Units!$J98&lt;&gt;"",Units!$J98,Mkt!M99),Inputs!$B$15*Mkt!M99+(1-Inputs!$B$15)*MIN(Mkt!M99,L99*(1+Inputs!$B$18))),L99)))</f>
        <v>1494.875</v>
      </c>
      <c r="N99" s="11" t="n">
        <f aca="false">IF(N$1&lt;Units!$P98,0,IF(AND(Units!$K98=0,N$1=Units!$O98),Units!$R98,IF(AND(N$1&gt;=Units!$Q98,MOD(N$1-Units!$Q98,12)=0),IF(AND(Units!$L98=1,N$1=Units!$Q98),IF(Units!$J98&lt;&gt;"",Units!$J98,Mkt!N99),Inputs!$B$15*Mkt!N99+(1-Inputs!$B$15)*MIN(Mkt!N99,M99*(1+Inputs!$B$18))),M99)))</f>
        <v>1494.875</v>
      </c>
      <c r="O99" s="11" t="n">
        <f aca="false">IF(O$1&lt;Units!$P98,0,IF(AND(Units!$K98=0,O$1=Units!$O98),Units!$R98,IF(AND(O$1&gt;=Units!$Q98,MOD(O$1-Units!$Q98,12)=0),IF(AND(Units!$L98=1,O$1=Units!$Q98),IF(Units!$J98&lt;&gt;"",Units!$J98,Mkt!O99),Inputs!$B$15*Mkt!O99+(1-Inputs!$B$15)*MIN(Mkt!O99,N99*(1+Inputs!$B$18))),N99)))</f>
        <v>1494.875</v>
      </c>
      <c r="P99" s="11" t="n">
        <f aca="false">IF(P$1&lt;Units!$P98,0,IF(AND(Units!$K98=0,P$1=Units!$O98),Units!$R98,IF(AND(P$1&gt;=Units!$Q98,MOD(P$1-Units!$Q98,12)=0),IF(AND(Units!$L98=1,P$1=Units!$Q98),IF(Units!$J98&lt;&gt;"",Units!$J98,Mkt!P99),Inputs!$B$15*Mkt!P99+(1-Inputs!$B$15)*MIN(Mkt!P99,O99*(1+Inputs!$B$18))),O99)))</f>
        <v>1494.875</v>
      </c>
      <c r="Q99" s="11" t="n">
        <f aca="false">IF(Q$1&lt;Units!$P98,0,IF(AND(Units!$K98=0,Q$1=Units!$O98),Units!$R98,IF(AND(Q$1&gt;=Units!$Q98,MOD(Q$1-Units!$Q98,12)=0),IF(AND(Units!$L98=1,Q$1=Units!$Q98),IF(Units!$J98&lt;&gt;"",Units!$J98,Mkt!Q99),Inputs!$B$15*Mkt!Q99+(1-Inputs!$B$15)*MIN(Mkt!Q99,P99*(1+Inputs!$B$18))),P99)))</f>
        <v>1494.875</v>
      </c>
      <c r="R99" s="11" t="n">
        <f aca="false">IF(R$1&lt;Units!$P98,0,IF(AND(Units!$K98=0,R$1=Units!$O98),Units!$R98,IF(AND(R$1&gt;=Units!$Q98,MOD(R$1-Units!$Q98,12)=0),IF(AND(Units!$L98=1,R$1=Units!$Q98),IF(Units!$J98&lt;&gt;"",Units!$J98,Mkt!R99),Inputs!$B$15*Mkt!R99+(1-Inputs!$B$15)*MIN(Mkt!R99,Q99*(1+Inputs!$B$18))),Q99)))</f>
        <v>1494.875</v>
      </c>
      <c r="S99" s="11" t="n">
        <f aca="false">IF(S$1&lt;Units!$P98,0,IF(AND(Units!$K98=0,S$1=Units!$O98),Units!$R98,IF(AND(S$1&gt;=Units!$Q98,MOD(S$1-Units!$Q98,12)=0),IF(AND(Units!$L98=1,S$1=Units!$Q98),IF(Units!$J98&lt;&gt;"",Units!$J98,Mkt!S99),Inputs!$B$15*Mkt!S99+(1-Inputs!$B$15)*MIN(Mkt!S99,R99*(1+Inputs!$B$18))),R99)))</f>
        <v>1494.875</v>
      </c>
      <c r="T99" s="11" t="n">
        <f aca="false">IF(T$1&lt;Units!$P98,0,IF(AND(Units!$K98=0,T$1=Units!$O98),Units!$R98,IF(AND(T$1&gt;=Units!$Q98,MOD(T$1-Units!$Q98,12)=0),IF(AND(Units!$L98=1,T$1=Units!$Q98),IF(Units!$J98&lt;&gt;"",Units!$J98,Mkt!T99),Inputs!$B$15*Mkt!T99+(1-Inputs!$B$15)*MIN(Mkt!T99,S99*(1+Inputs!$B$18))),S99)))</f>
        <v>1570.184375</v>
      </c>
      <c r="U99" s="11" t="n">
        <f aca="false">IF(U$1&lt;Units!$P98,0,IF(AND(Units!$K98=0,U$1=Units!$O98),Units!$R98,IF(AND(U$1&gt;=Units!$Q98,MOD(U$1-Units!$Q98,12)=0),IF(AND(Units!$L98=1,U$1=Units!$Q98),IF(Units!$J98&lt;&gt;"",Units!$J98,Mkt!U99),Inputs!$B$15*Mkt!U99+(1-Inputs!$B$15)*MIN(Mkt!U99,T99*(1+Inputs!$B$18))),T99)))</f>
        <v>1570.184375</v>
      </c>
      <c r="V99" s="11" t="n">
        <f aca="false">IF(V$1&lt;Units!$P98,0,IF(AND(Units!$K98=0,V$1=Units!$O98),Units!$R98,IF(AND(V$1&gt;=Units!$Q98,MOD(V$1-Units!$Q98,12)=0),IF(AND(Units!$L98=1,V$1=Units!$Q98),IF(Units!$J98&lt;&gt;"",Units!$J98,Mkt!V99),Inputs!$B$15*Mkt!V99+(1-Inputs!$B$15)*MIN(Mkt!V99,U99*(1+Inputs!$B$18))),U99)))</f>
        <v>1570.184375</v>
      </c>
      <c r="W99" s="11" t="n">
        <f aca="false">IF(W$1&lt;Units!$P98,0,IF(AND(Units!$K98=0,W$1=Units!$O98),Units!$R98,IF(AND(W$1&gt;=Units!$Q98,MOD(W$1-Units!$Q98,12)=0),IF(AND(Units!$L98=1,W$1=Units!$Q98),IF(Units!$J98&lt;&gt;"",Units!$J98,Mkt!W99),Inputs!$B$15*Mkt!W99+(1-Inputs!$B$15)*MIN(Mkt!W99,V99*(1+Inputs!$B$18))),V99)))</f>
        <v>1570.184375</v>
      </c>
      <c r="X99" s="11" t="n">
        <f aca="false">IF(X$1&lt;Units!$P98,0,IF(AND(Units!$K98=0,X$1=Units!$O98),Units!$R98,IF(AND(X$1&gt;=Units!$Q98,MOD(X$1-Units!$Q98,12)=0),IF(AND(Units!$L98=1,X$1=Units!$Q98),IF(Units!$J98&lt;&gt;"",Units!$J98,Mkt!X99),Inputs!$B$15*Mkt!X99+(1-Inputs!$B$15)*MIN(Mkt!X99,W99*(1+Inputs!$B$18))),W99)))</f>
        <v>1570.184375</v>
      </c>
      <c r="Y99" s="11" t="n">
        <f aca="false">IF(Y$1&lt;Units!$P98,0,IF(AND(Units!$K98=0,Y$1=Units!$O98),Units!$R98,IF(AND(Y$1&gt;=Units!$Q98,MOD(Y$1-Units!$Q98,12)=0),IF(AND(Units!$L98=1,Y$1=Units!$Q98),IF(Units!$J98&lt;&gt;"",Units!$J98,Mkt!Y99),Inputs!$B$15*Mkt!Y99+(1-Inputs!$B$15)*MIN(Mkt!Y99,X99*(1+Inputs!$B$18))),X99)))</f>
        <v>1570.184375</v>
      </c>
      <c r="Z99" s="11" t="n">
        <f aca="false">IF(Z$1&lt;Units!$P98,0,IF(AND(Units!$K98=0,Z$1=Units!$O98),Units!$R98,IF(AND(Z$1&gt;=Units!$Q98,MOD(Z$1-Units!$Q98,12)=0),IF(AND(Units!$L98=1,Z$1=Units!$Q98),IF(Units!$J98&lt;&gt;"",Units!$J98,Mkt!Z99),Inputs!$B$15*Mkt!Z99+(1-Inputs!$B$15)*MIN(Mkt!Z99,Y99*(1+Inputs!$B$18))),Y99)))</f>
        <v>1570.184375</v>
      </c>
      <c r="AA99" s="11" t="n">
        <f aca="false">IF(AA$1&lt;Units!$P98,0,IF(AND(Units!$K98=0,AA$1=Units!$O98),Units!$R98,IF(AND(AA$1&gt;=Units!$Q98,MOD(AA$1-Units!$Q98,12)=0),IF(AND(Units!$L98=1,AA$1=Units!$Q98),IF(Units!$J98&lt;&gt;"",Units!$J98,Mkt!AA99),Inputs!$B$15*Mkt!AA99+(1-Inputs!$B$15)*MIN(Mkt!AA99,Z99*(1+Inputs!$B$18))),Z99)))</f>
        <v>1570.184375</v>
      </c>
      <c r="AB99" s="11" t="n">
        <f aca="false">IF(AB$1&lt;Units!$P98,0,IF(AND(Units!$K98=0,AB$1=Units!$O98),Units!$R98,IF(AND(AB$1&gt;=Units!$Q98,MOD(AB$1-Units!$Q98,12)=0),IF(AND(Units!$L98=1,AB$1=Units!$Q98),IF(Units!$J98&lt;&gt;"",Units!$J98,Mkt!AB99),Inputs!$B$15*Mkt!AB99+(1-Inputs!$B$15)*MIN(Mkt!AB99,AA99*(1+Inputs!$B$18))),AA99)))</f>
        <v>1570.184375</v>
      </c>
      <c r="AC99" s="11" t="n">
        <f aca="false">IF(AC$1&lt;Units!$P98,0,IF(AND(Units!$K98=0,AC$1=Units!$O98),Units!$R98,IF(AND(AC$1&gt;=Units!$Q98,MOD(AC$1-Units!$Q98,12)=0),IF(AND(Units!$L98=1,AC$1=Units!$Q98),IF(Units!$J98&lt;&gt;"",Units!$J98,Mkt!AC99),Inputs!$B$15*Mkt!AC99+(1-Inputs!$B$15)*MIN(Mkt!AC99,AB99*(1+Inputs!$B$18))),AB99)))</f>
        <v>1570.184375</v>
      </c>
      <c r="AD99" s="11" t="n">
        <f aca="false">IF(AD$1&lt;Units!$P98,0,IF(AND(Units!$K98=0,AD$1=Units!$O98),Units!$R98,IF(AND(AD$1&gt;=Units!$Q98,MOD(AD$1-Units!$Q98,12)=0),IF(AND(Units!$L98=1,AD$1=Units!$Q98),IF(Units!$J98&lt;&gt;"",Units!$J98,Mkt!AD99),Inputs!$B$15*Mkt!AD99+(1-Inputs!$B$15)*MIN(Mkt!AD99,AC99*(1+Inputs!$B$18))),AC99)))</f>
        <v>1570.184375</v>
      </c>
      <c r="AE99" s="11" t="n">
        <f aca="false">IF(AE$1&lt;Units!$P98,0,IF(AND(Units!$K98=0,AE$1=Units!$O98),Units!$R98,IF(AND(AE$1&gt;=Units!$Q98,MOD(AE$1-Units!$Q98,12)=0),IF(AND(Units!$L98=1,AE$1=Units!$Q98),IF(Units!$J98&lt;&gt;"",Units!$J98,Mkt!AE99),Inputs!$B$15*Mkt!AE99+(1-Inputs!$B$15)*MIN(Mkt!AE99,AD99*(1+Inputs!$B$18))),AD99)))</f>
        <v>1570.184375</v>
      </c>
      <c r="AF99" s="11" t="n">
        <f aca="false">IF(AF$1&lt;Units!$P98,0,IF(AND(Units!$K98=0,AF$1=Units!$O98),Units!$R98,IF(AND(AF$1&gt;=Units!$Q98,MOD(AF$1-Units!$Q98,12)=0),IF(AND(Units!$L98=1,AF$1=Units!$Q98),IF(Units!$J98&lt;&gt;"",Units!$J98,Mkt!AF99),Inputs!$B$15*Mkt!AF99+(1-Inputs!$B$15)*MIN(Mkt!AF99,AE99*(1+Inputs!$B$18))),AE99)))</f>
        <v>1617.8725</v>
      </c>
      <c r="AG99" s="11" t="n">
        <f aca="false">IF(AG$1&lt;Units!$P98,0,IF(AND(Units!$K98=0,AG$1=Units!$O98),Units!$R98,IF(AND(AG$1&gt;=Units!$Q98,MOD(AG$1-Units!$Q98,12)=0),IF(AND(Units!$L98=1,AG$1=Units!$Q98),IF(Units!$J98&lt;&gt;"",Units!$J98,Mkt!AG99),Inputs!$B$15*Mkt!AG99+(1-Inputs!$B$15)*MIN(Mkt!AG99,AF99*(1+Inputs!$B$18))),AF99)))</f>
        <v>1617.8725</v>
      </c>
      <c r="AH99" s="11" t="n">
        <f aca="false">IF(AH$1&lt;Units!$P98,0,IF(AND(Units!$K98=0,AH$1=Units!$O98),Units!$R98,IF(AND(AH$1&gt;=Units!$Q98,MOD(AH$1-Units!$Q98,12)=0),IF(AND(Units!$L98=1,AH$1=Units!$Q98),IF(Units!$J98&lt;&gt;"",Units!$J98,Mkt!AH99),Inputs!$B$15*Mkt!AH99+(1-Inputs!$B$15)*MIN(Mkt!AH99,AG99*(1+Inputs!$B$18))),AG99)))</f>
        <v>1617.8725</v>
      </c>
      <c r="AI99" s="11" t="n">
        <f aca="false">IF(AI$1&lt;Units!$P98,0,IF(AND(Units!$K98=0,AI$1=Units!$O98),Units!$R98,IF(AND(AI$1&gt;=Units!$Q98,MOD(AI$1-Units!$Q98,12)=0),IF(AND(Units!$L98=1,AI$1=Units!$Q98),IF(Units!$J98&lt;&gt;"",Units!$J98,Mkt!AI99),Inputs!$B$15*Mkt!AI99+(1-Inputs!$B$15)*MIN(Mkt!AI99,AH99*(1+Inputs!$B$18))),AH99)))</f>
        <v>1617.8725</v>
      </c>
      <c r="AJ99" s="11" t="n">
        <f aca="false">IF(AJ$1&lt;Units!$P98,0,IF(AND(Units!$K98=0,AJ$1=Units!$O98),Units!$R98,IF(AND(AJ$1&gt;=Units!$Q98,MOD(AJ$1-Units!$Q98,12)=0),IF(AND(Units!$L98=1,AJ$1=Units!$Q98),IF(Units!$J98&lt;&gt;"",Units!$J98,Mkt!AJ99),Inputs!$B$15*Mkt!AJ99+(1-Inputs!$B$15)*MIN(Mkt!AJ99,AI99*(1+Inputs!$B$18))),AI99)))</f>
        <v>1617.8725</v>
      </c>
      <c r="AK99" s="11" t="n">
        <f aca="false">IF(AK$1&lt;Units!$P98,0,IF(AND(Units!$K98=0,AK$1=Units!$O98),Units!$R98,IF(AND(AK$1&gt;=Units!$Q98,MOD(AK$1-Units!$Q98,12)=0),IF(AND(Units!$L98=1,AK$1=Units!$Q98),IF(Units!$J98&lt;&gt;"",Units!$J98,Mkt!AK99),Inputs!$B$15*Mkt!AK99+(1-Inputs!$B$15)*MIN(Mkt!AK99,AJ99*(1+Inputs!$B$18))),AJ99)))</f>
        <v>1617.8725</v>
      </c>
      <c r="AL99" s="11" t="n">
        <f aca="false">IF(AL$1&lt;Units!$P98,0,IF(AND(Units!$K98=0,AL$1=Units!$O98),Units!$R98,IF(AND(AL$1&gt;=Units!$Q98,MOD(AL$1-Units!$Q98,12)=0),IF(AND(Units!$L98=1,AL$1=Units!$Q98),IF(Units!$J98&lt;&gt;"",Units!$J98,Mkt!AL99),Inputs!$B$15*Mkt!AL99+(1-Inputs!$B$15)*MIN(Mkt!AL99,AK99*(1+Inputs!$B$18))),AK99)))</f>
        <v>1617.8725</v>
      </c>
      <c r="AM99" s="11" t="n">
        <f aca="false">IF(AM$1&lt;Units!$P98,0,IF(AND(Units!$K98=0,AM$1=Units!$O98),Units!$R98,IF(AND(AM$1&gt;=Units!$Q98,MOD(AM$1-Units!$Q98,12)=0),IF(AND(Units!$L98=1,AM$1=Units!$Q98),IF(Units!$J98&lt;&gt;"",Units!$J98,Mkt!AM99),Inputs!$B$15*Mkt!AM99+(1-Inputs!$B$15)*MIN(Mkt!AM99,AL99*(1+Inputs!$B$18))),AL99)))</f>
        <v>1617.8725</v>
      </c>
      <c r="AN99" s="11" t="n">
        <f aca="false">IF(AN$1&lt;Units!$P98,0,IF(AND(Units!$K98=0,AN$1=Units!$O98),Units!$R98,IF(AND(AN$1&gt;=Units!$Q98,MOD(AN$1-Units!$Q98,12)=0),IF(AND(Units!$L98=1,AN$1=Units!$Q98),IF(Units!$J98&lt;&gt;"",Units!$J98,Mkt!AN99),Inputs!$B$15*Mkt!AN99+(1-Inputs!$B$15)*MIN(Mkt!AN99,AM99*(1+Inputs!$B$18))),AM99)))</f>
        <v>1617.8725</v>
      </c>
      <c r="AO99" s="11" t="n">
        <f aca="false">IF(AO$1&lt;Units!$P98,0,IF(AND(Units!$K98=0,AO$1=Units!$O98),Units!$R98,IF(AND(AO$1&gt;=Units!$Q98,MOD(AO$1-Units!$Q98,12)=0),IF(AND(Units!$L98=1,AO$1=Units!$Q98),IF(Units!$J98&lt;&gt;"",Units!$J98,Mkt!AO99),Inputs!$B$15*Mkt!AO99+(1-Inputs!$B$15)*MIN(Mkt!AO99,AN99*(1+Inputs!$B$18))),AN99)))</f>
        <v>1617.8725</v>
      </c>
      <c r="AP99" s="11" t="n">
        <f aca="false">IF(AP$1&lt;Units!$P98,0,IF(AND(Units!$K98=0,AP$1=Units!$O98),Units!$R98,IF(AND(AP$1&gt;=Units!$Q98,MOD(AP$1-Units!$Q98,12)=0),IF(AND(Units!$L98=1,AP$1=Units!$Q98),IF(Units!$J98&lt;&gt;"",Units!$J98,Mkt!AP99),Inputs!$B$15*Mkt!AP99+(1-Inputs!$B$15)*MIN(Mkt!AP99,AO99*(1+Inputs!$B$18))),AO99)))</f>
        <v>1617.8725</v>
      </c>
      <c r="AQ99" s="11" t="n">
        <f aca="false">IF(AQ$1&lt;Units!$P98,0,IF(AND(Units!$K98=0,AQ$1=Units!$O98),Units!$R98,IF(AND(AQ$1&gt;=Units!$Q98,MOD(AQ$1-Units!$Q98,12)=0),IF(AND(Units!$L98=1,AQ$1=Units!$Q98),IF(Units!$J98&lt;&gt;"",Units!$J98,Mkt!AQ99),Inputs!$B$15*Mkt!AQ99+(1-Inputs!$B$15)*MIN(Mkt!AQ99,AP99*(1+Inputs!$B$18))),AP99)))</f>
        <v>1617.8725</v>
      </c>
      <c r="AR99" s="11" t="n">
        <f aca="false">IF(AR$1&lt;Units!$P98,0,IF(AND(Units!$K98=0,AR$1=Units!$O98),Units!$R98,IF(AND(AR$1&gt;=Units!$Q98,MOD(AR$1-Units!$Q98,12)=0),IF(AND(Units!$L98=1,AR$1=Units!$Q98),IF(Units!$J98&lt;&gt;"",Units!$J98,Mkt!AR99),Inputs!$B$15*Mkt!AR99+(1-Inputs!$B$15)*MIN(Mkt!AR99,AQ99*(1+Inputs!$B$18))),AQ99)))</f>
        <v>1666.408675</v>
      </c>
      <c r="AS99" s="11" t="n">
        <f aca="false">IF(AS$1&lt;Units!$P98,0,IF(AND(Units!$K98=0,AS$1=Units!$O98),Units!$R98,IF(AND(AS$1&gt;=Units!$Q98,MOD(AS$1-Units!$Q98,12)=0),IF(AND(Units!$L98=1,AS$1=Units!$Q98),IF(Units!$J98&lt;&gt;"",Units!$J98,Mkt!AS99),Inputs!$B$15*Mkt!AS99+(1-Inputs!$B$15)*MIN(Mkt!AS99,AR99*(1+Inputs!$B$18))),AR99)))</f>
        <v>1666.408675</v>
      </c>
      <c r="AT99" s="11" t="n">
        <f aca="false">IF(AT$1&lt;Units!$P98,0,IF(AND(Units!$K98=0,AT$1=Units!$O98),Units!$R98,IF(AND(AT$1&gt;=Units!$Q98,MOD(AT$1-Units!$Q98,12)=0),IF(AND(Units!$L98=1,AT$1=Units!$Q98),IF(Units!$J98&lt;&gt;"",Units!$J98,Mkt!AT99),Inputs!$B$15*Mkt!AT99+(1-Inputs!$B$15)*MIN(Mkt!AT99,AS99*(1+Inputs!$B$18))),AS99)))</f>
        <v>1666.408675</v>
      </c>
      <c r="AU99" s="11" t="n">
        <f aca="false">IF(AU$1&lt;Units!$P98,0,IF(AND(Units!$K98=0,AU$1=Units!$O98),Units!$R98,IF(AND(AU$1&gt;=Units!$Q98,MOD(AU$1-Units!$Q98,12)=0),IF(AND(Units!$L98=1,AU$1=Units!$Q98),IF(Units!$J98&lt;&gt;"",Units!$J98,Mkt!AU99),Inputs!$B$15*Mkt!AU99+(1-Inputs!$B$15)*MIN(Mkt!AU99,AT99*(1+Inputs!$B$18))),AT99)))</f>
        <v>1666.408675</v>
      </c>
      <c r="AV99" s="11" t="n">
        <f aca="false">IF(AV$1&lt;Units!$P98,0,IF(AND(Units!$K98=0,AV$1=Units!$O98),Units!$R98,IF(AND(AV$1&gt;=Units!$Q98,MOD(AV$1-Units!$Q98,12)=0),IF(AND(Units!$L98=1,AV$1=Units!$Q98),IF(Units!$J98&lt;&gt;"",Units!$J98,Mkt!AV99),Inputs!$B$15*Mkt!AV99+(1-Inputs!$B$15)*MIN(Mkt!AV99,AU99*(1+Inputs!$B$18))),AU99)))</f>
        <v>1666.408675</v>
      </c>
      <c r="AW99" s="11" t="n">
        <f aca="false">IF(AW$1&lt;Units!$P98,0,IF(AND(Units!$K98=0,AW$1=Units!$O98),Units!$R98,IF(AND(AW$1&gt;=Units!$Q98,MOD(AW$1-Units!$Q98,12)=0),IF(AND(Units!$L98=1,AW$1=Units!$Q98),IF(Units!$J98&lt;&gt;"",Units!$J98,Mkt!AW99),Inputs!$B$15*Mkt!AW99+(1-Inputs!$B$15)*MIN(Mkt!AW99,AV99*(1+Inputs!$B$18))),AV99)))</f>
        <v>1666.408675</v>
      </c>
      <c r="AX99" s="11" t="n">
        <f aca="false">IF(AX$1&lt;Units!$P98,0,IF(AND(Units!$K98=0,AX$1=Units!$O98),Units!$R98,IF(AND(AX$1&gt;=Units!$Q98,MOD(AX$1-Units!$Q98,12)=0),IF(AND(Units!$L98=1,AX$1=Units!$Q98),IF(Units!$J98&lt;&gt;"",Units!$J98,Mkt!AX99),Inputs!$B$15*Mkt!AX99+(1-Inputs!$B$15)*MIN(Mkt!AX99,AW99*(1+Inputs!$B$18))),AW99)))</f>
        <v>1666.408675</v>
      </c>
      <c r="AY99" s="11" t="n">
        <f aca="false">IF(AY$1&lt;Units!$P98,0,IF(AND(Units!$K98=0,AY$1=Units!$O98),Units!$R98,IF(AND(AY$1&gt;=Units!$Q98,MOD(AY$1-Units!$Q98,12)=0),IF(AND(Units!$L98=1,AY$1=Units!$Q98),IF(Units!$J98&lt;&gt;"",Units!$J98,Mkt!AY99),Inputs!$B$15*Mkt!AY99+(1-Inputs!$B$15)*MIN(Mkt!AY99,AX99*(1+Inputs!$B$18))),AX99)))</f>
        <v>1666.408675</v>
      </c>
      <c r="AZ99" s="11" t="n">
        <f aca="false">IF(AZ$1&lt;Units!$P98,0,IF(AND(Units!$K98=0,AZ$1=Units!$O98),Units!$R98,IF(AND(AZ$1&gt;=Units!$Q98,MOD(AZ$1-Units!$Q98,12)=0),IF(AND(Units!$L98=1,AZ$1=Units!$Q98),IF(Units!$J98&lt;&gt;"",Units!$J98,Mkt!AZ99),Inputs!$B$15*Mkt!AZ99+(1-Inputs!$B$15)*MIN(Mkt!AZ99,AY99*(1+Inputs!$B$18))),AY99)))</f>
        <v>1666.408675</v>
      </c>
      <c r="BA99" s="11" t="n">
        <f aca="false">IF(BA$1&lt;Units!$P98,0,IF(AND(Units!$K98=0,BA$1=Units!$O98),Units!$R98,IF(AND(BA$1&gt;=Units!$Q98,MOD(BA$1-Units!$Q98,12)=0),IF(AND(Units!$L98=1,BA$1=Units!$Q98),IF(Units!$J98&lt;&gt;"",Units!$J98,Mkt!BA99),Inputs!$B$15*Mkt!BA99+(1-Inputs!$B$15)*MIN(Mkt!BA99,AZ99*(1+Inputs!$B$18))),AZ99)))</f>
        <v>1666.408675</v>
      </c>
      <c r="BB99" s="11" t="n">
        <f aca="false">IF(BB$1&lt;Units!$P98,0,IF(AND(Units!$K98=0,BB$1=Units!$O98),Units!$R98,IF(AND(BB$1&gt;=Units!$Q98,MOD(BB$1-Units!$Q98,12)=0),IF(AND(Units!$L98=1,BB$1=Units!$Q98),IF(Units!$J98&lt;&gt;"",Units!$J98,Mkt!BB99),Inputs!$B$15*Mkt!BB99+(1-Inputs!$B$15)*MIN(Mkt!BB99,BA99*(1+Inputs!$B$18))),BA99)))</f>
        <v>1666.408675</v>
      </c>
      <c r="BC99" s="11" t="n">
        <f aca="false">IF(BC$1&lt;Units!$P98,0,IF(AND(Units!$K98=0,BC$1=Units!$O98),Units!$R98,IF(AND(BC$1&gt;=Units!$Q98,MOD(BC$1-Units!$Q98,12)=0),IF(AND(Units!$L98=1,BC$1=Units!$Q98),IF(Units!$J98&lt;&gt;"",Units!$J98,Mkt!BC99),Inputs!$B$15*Mkt!BC99+(1-Inputs!$B$15)*MIN(Mkt!BC99,BB99*(1+Inputs!$B$18))),BB99)))</f>
        <v>1666.408675</v>
      </c>
      <c r="BD99" s="11" t="n">
        <f aca="false">IF(BD$1&lt;Units!$P98,0,IF(AND(Units!$K98=0,BD$1=Units!$O98),Units!$R98,IF(AND(BD$1&gt;=Units!$Q98,MOD(BD$1-Units!$Q98,12)=0),IF(AND(Units!$L98=1,BD$1=Units!$Q98),IF(Units!$J98&lt;&gt;"",Units!$J98,Mkt!BD99),Inputs!$B$15*Mkt!BD99+(1-Inputs!$B$15)*MIN(Mkt!BD99,BC99*(1+Inputs!$B$18))),BC99)))</f>
        <v>1716.40093525</v>
      </c>
      <c r="BE99" s="11" t="n">
        <f aca="false">IF(BE$1&lt;Units!$P98,0,IF(AND(Units!$K98=0,BE$1=Units!$O98),Units!$R98,IF(AND(BE$1&gt;=Units!$Q98,MOD(BE$1-Units!$Q98,12)=0),IF(AND(Units!$L98=1,BE$1=Units!$Q98),IF(Units!$J98&lt;&gt;"",Units!$J98,Mkt!BE99),Inputs!$B$15*Mkt!BE99+(1-Inputs!$B$15)*MIN(Mkt!BE99,BD99*(1+Inputs!$B$18))),BD99)))</f>
        <v>1716.40093525</v>
      </c>
      <c r="BF99" s="11" t="n">
        <f aca="false">IF(BF$1&lt;Units!$P98,0,IF(AND(Units!$K98=0,BF$1=Units!$O98),Units!$R98,IF(AND(BF$1&gt;=Units!$Q98,MOD(BF$1-Units!$Q98,12)=0),IF(AND(Units!$L98=1,BF$1=Units!$Q98),IF(Units!$J98&lt;&gt;"",Units!$J98,Mkt!BF99),Inputs!$B$15*Mkt!BF99+(1-Inputs!$B$15)*MIN(Mkt!BF99,BE99*(1+Inputs!$B$18))),BE99)))</f>
        <v>1716.40093525</v>
      </c>
      <c r="BG99" s="11" t="n">
        <f aca="false">IF(BG$1&lt;Units!$P98,0,IF(AND(Units!$K98=0,BG$1=Units!$O98),Units!$R98,IF(AND(BG$1&gt;=Units!$Q98,MOD(BG$1-Units!$Q98,12)=0),IF(AND(Units!$L98=1,BG$1=Units!$Q98),IF(Units!$J98&lt;&gt;"",Units!$J98,Mkt!BG99),Inputs!$B$15*Mkt!BG99+(1-Inputs!$B$15)*MIN(Mkt!BG99,BF99*(1+Inputs!$B$18))),BF99)))</f>
        <v>1716.40093525</v>
      </c>
      <c r="BH99" s="11" t="n">
        <f aca="false">IF(BH$1&lt;Units!$P98,0,IF(AND(Units!$K98=0,BH$1=Units!$O98),Units!$R98,IF(AND(BH$1&gt;=Units!$Q98,MOD(BH$1-Units!$Q98,12)=0),IF(AND(Units!$L98=1,BH$1=Units!$Q98),IF(Units!$J98&lt;&gt;"",Units!$J98,Mkt!BH99),Inputs!$B$15*Mkt!BH99+(1-Inputs!$B$15)*MIN(Mkt!BH99,BG99*(1+Inputs!$B$18))),BG99)))</f>
        <v>1716.40093525</v>
      </c>
      <c r="BI99" s="11" t="n">
        <f aca="false">IF(BI$1&lt;Units!$P98,0,IF(AND(Units!$K98=0,BI$1=Units!$O98),Units!$R98,IF(AND(BI$1&gt;=Units!$Q98,MOD(BI$1-Units!$Q98,12)=0),IF(AND(Units!$L98=1,BI$1=Units!$Q98),IF(Units!$J98&lt;&gt;"",Units!$J98,Mkt!BI99),Inputs!$B$15*Mkt!BI99+(1-Inputs!$B$15)*MIN(Mkt!BI99,BH99*(1+Inputs!$B$18))),BH99)))</f>
        <v>1716.40093525</v>
      </c>
      <c r="BJ99" s="11" t="n">
        <f aca="false">IF(BJ$1&lt;Units!$P98,0,IF(AND(Units!$K98=0,BJ$1=Units!$O98),Units!$R98,IF(AND(BJ$1&gt;=Units!$Q98,MOD(BJ$1-Units!$Q98,12)=0),IF(AND(Units!$L98=1,BJ$1=Units!$Q98),IF(Units!$J98&lt;&gt;"",Units!$J98,Mkt!BJ99),Inputs!$B$15*Mkt!BJ99+(1-Inputs!$B$15)*MIN(Mkt!BJ99,BI99*(1+Inputs!$B$18))),BI99)))</f>
        <v>1716.40093525</v>
      </c>
      <c r="BK99" s="11" t="n">
        <f aca="false">IF(BK$1&lt;Units!$P98,0,IF(AND(Units!$K98=0,BK$1=Units!$O98),Units!$R98,IF(AND(BK$1&gt;=Units!$Q98,MOD(BK$1-Units!$Q98,12)=0),IF(AND(Units!$L98=1,BK$1=Units!$Q98),IF(Units!$J98&lt;&gt;"",Units!$J98,Mkt!BK99),Inputs!$B$15*Mkt!BK99+(1-Inputs!$B$15)*MIN(Mkt!BK99,BJ99*(1+Inputs!$B$18))),BJ99)))</f>
        <v>1716.40093525</v>
      </c>
      <c r="BL99" s="11" t="n">
        <f aca="false">IF(BL$1&lt;Units!$P98,0,IF(AND(Units!$K98=0,BL$1=Units!$O98),Units!$R98,IF(AND(BL$1&gt;=Units!$Q98,MOD(BL$1-Units!$Q98,12)=0),IF(AND(Units!$L98=1,BL$1=Units!$Q98),IF(Units!$J98&lt;&gt;"",Units!$J98,Mkt!BL99),Inputs!$B$15*Mkt!BL99+(1-Inputs!$B$15)*MIN(Mkt!BL99,BK99*(1+Inputs!$B$18))),BK99)))</f>
        <v>1716.40093525</v>
      </c>
      <c r="BM99" s="11" t="n">
        <f aca="false">IF(BM$1&lt;Units!$P98,0,IF(AND(Units!$K98=0,BM$1=Units!$O98),Units!$R98,IF(AND(BM$1&gt;=Units!$Q98,MOD(BM$1-Units!$Q98,12)=0),IF(AND(Units!$L98=1,BM$1=Units!$Q98),IF(Units!$J98&lt;&gt;"",Units!$J98,Mkt!BM99),Inputs!$B$15*Mkt!BM99+(1-Inputs!$B$15)*MIN(Mkt!BM99,BL99*(1+Inputs!$B$18))),BL99)))</f>
        <v>1716.40093525</v>
      </c>
      <c r="BN99" s="11" t="n">
        <f aca="false">IF(BN$1&lt;Units!$P98,0,IF(AND(Units!$K98=0,BN$1=Units!$O98),Units!$R98,IF(AND(BN$1&gt;=Units!$Q98,MOD(BN$1-Units!$Q98,12)=0),IF(AND(Units!$L98=1,BN$1=Units!$Q98),IF(Units!$J98&lt;&gt;"",Units!$J98,Mkt!BN99),Inputs!$B$15*Mkt!BN99+(1-Inputs!$B$15)*MIN(Mkt!BN99,BM99*(1+Inputs!$B$18))),BM99)))</f>
        <v>1716.40093525</v>
      </c>
      <c r="BO99" s="11" t="n">
        <f aca="false">IF(BO$1&lt;Units!$P98,0,IF(AND(Units!$K98=0,BO$1=Units!$O98),Units!$R98,IF(AND(BO$1&gt;=Units!$Q98,MOD(BO$1-Units!$Q98,12)=0),IF(AND(Units!$L98=1,BO$1=Units!$Q98),IF(Units!$J98&lt;&gt;"",Units!$J98,Mkt!BO99),Inputs!$B$15*Mkt!BO99+(1-Inputs!$B$15)*MIN(Mkt!BO99,BN99*(1+Inputs!$B$18))),BN99)))</f>
        <v>1716.40093525</v>
      </c>
      <c r="BP99" s="11" t="n">
        <f aca="false">IF(BP$1&lt;Units!$P98,0,IF(AND(Units!$K98=0,BP$1=Units!$O98),Units!$R98,IF(AND(BP$1&gt;=Units!$Q98,MOD(BP$1-Units!$Q98,12)=0),IF(AND(Units!$L98=1,BP$1=Units!$Q98),IF(Units!$J98&lt;&gt;"",Units!$J98,Mkt!BP99),Inputs!$B$15*Mkt!BP99+(1-Inputs!$B$15)*MIN(Mkt!BP99,BO99*(1+Inputs!$B$18))),BO99)))</f>
        <v>1767.8929633075</v>
      </c>
      <c r="BQ99" s="11" t="n">
        <f aca="false">IF(BQ$1&lt;Units!$P98,0,IF(AND(Units!$K98=0,BQ$1=Units!$O98),Units!$R98,IF(AND(BQ$1&gt;=Units!$Q98,MOD(BQ$1-Units!$Q98,12)=0),IF(AND(Units!$L98=1,BQ$1=Units!$Q98),IF(Units!$J98&lt;&gt;"",Units!$J98,Mkt!BQ99),Inputs!$B$15*Mkt!BQ99+(1-Inputs!$B$15)*MIN(Mkt!BQ99,BP99*(1+Inputs!$B$18))),BP99)))</f>
        <v>1767.8929633075</v>
      </c>
      <c r="BR99" s="11" t="n">
        <f aca="false">IF(BR$1&lt;Units!$P98,0,IF(AND(Units!$K98=0,BR$1=Units!$O98),Units!$R98,IF(AND(BR$1&gt;=Units!$Q98,MOD(BR$1-Units!$Q98,12)=0),IF(AND(Units!$L98=1,BR$1=Units!$Q98),IF(Units!$J98&lt;&gt;"",Units!$J98,Mkt!BR99),Inputs!$B$15*Mkt!BR99+(1-Inputs!$B$15)*MIN(Mkt!BR99,BQ99*(1+Inputs!$B$18))),BQ99)))</f>
        <v>1767.8929633075</v>
      </c>
      <c r="BS99" s="11" t="n">
        <f aca="false">IF(BS$1&lt;Units!$P98,0,IF(AND(Units!$K98=0,BS$1=Units!$O98),Units!$R98,IF(AND(BS$1&gt;=Units!$Q98,MOD(BS$1-Units!$Q98,12)=0),IF(AND(Units!$L98=1,BS$1=Units!$Q98),IF(Units!$J98&lt;&gt;"",Units!$J98,Mkt!BS99),Inputs!$B$15*Mkt!BS99+(1-Inputs!$B$15)*MIN(Mkt!BS99,BR99*(1+Inputs!$B$18))),BR99)))</f>
        <v>1767.8929633075</v>
      </c>
      <c r="BT99" s="11" t="n">
        <f aca="false">IF(BT$1&lt;Units!$P98,0,IF(AND(Units!$K98=0,BT$1=Units!$O98),Units!$R98,IF(AND(BT$1&gt;=Units!$Q98,MOD(BT$1-Units!$Q98,12)=0),IF(AND(Units!$L98=1,BT$1=Units!$Q98),IF(Units!$J98&lt;&gt;"",Units!$J98,Mkt!BT99),Inputs!$B$15*Mkt!BT99+(1-Inputs!$B$15)*MIN(Mkt!BT99,BS99*(1+Inputs!$B$18))),BS99)))</f>
        <v>1767.8929633075</v>
      </c>
      <c r="BU99" s="11" t="n">
        <f aca="false">IF(BU$1&lt;Units!$P98,0,IF(AND(Units!$K98=0,BU$1=Units!$O98),Units!$R98,IF(AND(BU$1&gt;=Units!$Q98,MOD(BU$1-Units!$Q98,12)=0),IF(AND(Units!$L98=1,BU$1=Units!$Q98),IF(Units!$J98&lt;&gt;"",Units!$J98,Mkt!BU99),Inputs!$B$15*Mkt!BU99+(1-Inputs!$B$15)*MIN(Mkt!BU99,BT99*(1+Inputs!$B$18))),BT99)))</f>
        <v>1767.8929633075</v>
      </c>
      <c r="BV99" s="11" t="n">
        <f aca="false">IF(BV$1&lt;Units!$P98,0,IF(AND(Units!$K98=0,BV$1=Units!$O98),Units!$R98,IF(AND(BV$1&gt;=Units!$Q98,MOD(BV$1-Units!$Q98,12)=0),IF(AND(Units!$L98=1,BV$1=Units!$Q98),IF(Units!$J98&lt;&gt;"",Units!$J98,Mkt!BV99),Inputs!$B$15*Mkt!BV99+(1-Inputs!$B$15)*MIN(Mkt!BV99,BU99*(1+Inputs!$B$18))),BU99)))</f>
        <v>1767.8929633075</v>
      </c>
      <c r="BW99" s="11" t="n">
        <f aca="false">IF(BW$1&lt;Units!$P98,0,IF(AND(Units!$K98=0,BW$1=Units!$O98),Units!$R98,IF(AND(BW$1&gt;=Units!$Q98,MOD(BW$1-Units!$Q98,12)=0),IF(AND(Units!$L98=1,BW$1=Units!$Q98),IF(Units!$J98&lt;&gt;"",Units!$J98,Mkt!BW99),Inputs!$B$15*Mkt!BW99+(1-Inputs!$B$15)*MIN(Mkt!BW99,BV99*(1+Inputs!$B$18))),BV99)))</f>
        <v>1767.8929633075</v>
      </c>
      <c r="BX99" s="11" t="n">
        <f aca="false">IF(BX$1&lt;Units!$P98,0,IF(AND(Units!$K98=0,BX$1=Units!$O98),Units!$R98,IF(AND(BX$1&gt;=Units!$Q98,MOD(BX$1-Units!$Q98,12)=0),IF(AND(Units!$L98=1,BX$1=Units!$Q98),IF(Units!$J98&lt;&gt;"",Units!$J98,Mkt!BX99),Inputs!$B$15*Mkt!BX99+(1-Inputs!$B$15)*MIN(Mkt!BX99,BW99*(1+Inputs!$B$18))),BW99)))</f>
        <v>1767.8929633075</v>
      </c>
      <c r="BY99" s="11" t="n">
        <f aca="false">IF(BY$1&lt;Units!$P98,0,IF(AND(Units!$K98=0,BY$1=Units!$O98),Units!$R98,IF(AND(BY$1&gt;=Units!$Q98,MOD(BY$1-Units!$Q98,12)=0),IF(AND(Units!$L98=1,BY$1=Units!$Q98),IF(Units!$J98&lt;&gt;"",Units!$J98,Mkt!BY99),Inputs!$B$15*Mkt!BY99+(1-Inputs!$B$15)*MIN(Mkt!BY99,BX99*(1+Inputs!$B$18))),BX99)))</f>
        <v>1767.8929633075</v>
      </c>
      <c r="BZ99" s="11" t="n">
        <f aca="false">IF(BZ$1&lt;Units!$P98,0,IF(AND(Units!$K98=0,BZ$1=Units!$O98),Units!$R98,IF(AND(BZ$1&gt;=Units!$Q98,MOD(BZ$1-Units!$Q98,12)=0),IF(AND(Units!$L98=1,BZ$1=Units!$Q98),IF(Units!$J98&lt;&gt;"",Units!$J98,Mkt!BZ99),Inputs!$B$15*Mkt!BZ99+(1-Inputs!$B$15)*MIN(Mkt!BZ99,BY99*(1+Inputs!$B$18))),BY99)))</f>
        <v>1767.8929633075</v>
      </c>
      <c r="CA99" s="11" t="n">
        <f aca="false">IF(CA$1&lt;Units!$P98,0,IF(AND(Units!$K98=0,CA$1=Units!$O98),Units!$R98,IF(AND(CA$1&gt;=Units!$Q98,MOD(CA$1-Units!$Q98,12)=0),IF(AND(Units!$L98=1,CA$1=Units!$Q98),IF(Units!$J98&lt;&gt;"",Units!$J98,Mkt!CA99),Inputs!$B$15*Mkt!CA99+(1-Inputs!$B$15)*MIN(Mkt!CA99,BZ99*(1+Inputs!$B$18))),BZ99)))</f>
        <v>1767.8929633075</v>
      </c>
      <c r="CB99" s="11" t="n">
        <f aca="false">IF(CB$1&lt;Units!$P98,0,IF(AND(Units!$K98=0,CB$1=Units!$O98),Units!$R98,IF(AND(CB$1&gt;=Units!$Q98,MOD(CB$1-Units!$Q98,12)=0),IF(AND(Units!$L98=1,CB$1=Units!$Q98),IF(Units!$J98&lt;&gt;"",Units!$J98,Mkt!CB99),Inputs!$B$15*Mkt!CB99+(1-Inputs!$B$15)*MIN(Mkt!CB99,CA99*(1+Inputs!$B$18))),CA99)))</f>
        <v>1820.92975220673</v>
      </c>
      <c r="CC99" s="11" t="n">
        <f aca="false">IF(CC$1&lt;Units!$P98,0,IF(AND(Units!$K98=0,CC$1=Units!$O98),Units!$R98,IF(AND(CC$1&gt;=Units!$Q98,MOD(CC$1-Units!$Q98,12)=0),IF(AND(Units!$L98=1,CC$1=Units!$Q98),IF(Units!$J98&lt;&gt;"",Units!$J98,Mkt!CC99),Inputs!$B$15*Mkt!CC99+(1-Inputs!$B$15)*MIN(Mkt!CC99,CB99*(1+Inputs!$B$18))),CB99)))</f>
        <v>1820.92975220673</v>
      </c>
      <c r="CD99" s="11" t="n">
        <f aca="false">IF(CD$1&lt;Units!$P98,0,IF(AND(Units!$K98=0,CD$1=Units!$O98),Units!$R98,IF(AND(CD$1&gt;=Units!$Q98,MOD(CD$1-Units!$Q98,12)=0),IF(AND(Units!$L98=1,CD$1=Units!$Q98),IF(Units!$J98&lt;&gt;"",Units!$J98,Mkt!CD99),Inputs!$B$15*Mkt!CD99+(1-Inputs!$B$15)*MIN(Mkt!CD99,CC99*(1+Inputs!$B$18))),CC99)))</f>
        <v>1820.92975220673</v>
      </c>
      <c r="CE99" s="11" t="n">
        <f aca="false">IF(CE$1&lt;Units!$P98,0,IF(AND(Units!$K98=0,CE$1=Units!$O98),Units!$R98,IF(AND(CE$1&gt;=Units!$Q98,MOD(CE$1-Units!$Q98,12)=0),IF(AND(Units!$L98=1,CE$1=Units!$Q98),IF(Units!$J98&lt;&gt;"",Units!$J98,Mkt!CE99),Inputs!$B$15*Mkt!CE99+(1-Inputs!$B$15)*MIN(Mkt!CE99,CD99*(1+Inputs!$B$18))),CD99)))</f>
        <v>1820.92975220673</v>
      </c>
      <c r="CF99" s="11" t="n">
        <f aca="false">IF(CF$1&lt;Units!$P98,0,IF(AND(Units!$K98=0,CF$1=Units!$O98),Units!$R98,IF(AND(CF$1&gt;=Units!$Q98,MOD(CF$1-Units!$Q98,12)=0),IF(AND(Units!$L98=1,CF$1=Units!$Q98),IF(Units!$J98&lt;&gt;"",Units!$J98,Mkt!CF99),Inputs!$B$15*Mkt!CF99+(1-Inputs!$B$15)*MIN(Mkt!CF99,CE99*(1+Inputs!$B$18))),CE99)))</f>
        <v>1820.92975220673</v>
      </c>
      <c r="CG99" s="11" t="n">
        <f aca="false">IF(CG$1&lt;Units!$P98,0,IF(AND(Units!$K98=0,CG$1=Units!$O98),Units!$R98,IF(AND(CG$1&gt;=Units!$Q98,MOD(CG$1-Units!$Q98,12)=0),IF(AND(Units!$L98=1,CG$1=Units!$Q98),IF(Units!$J98&lt;&gt;"",Units!$J98,Mkt!CG99),Inputs!$B$15*Mkt!CG99+(1-Inputs!$B$15)*MIN(Mkt!CG99,CF99*(1+Inputs!$B$18))),CF99)))</f>
        <v>1820.92975220673</v>
      </c>
      <c r="CH99" s="11" t="n">
        <f aca="false">IF(CH$1&lt;Units!$P98,0,IF(AND(Units!$K98=0,CH$1=Units!$O98),Units!$R98,IF(AND(CH$1&gt;=Units!$Q98,MOD(CH$1-Units!$Q98,12)=0),IF(AND(Units!$L98=1,CH$1=Units!$Q98),IF(Units!$J98&lt;&gt;"",Units!$J98,Mkt!CH99),Inputs!$B$15*Mkt!CH99+(1-Inputs!$B$15)*MIN(Mkt!CH99,CG99*(1+Inputs!$B$18))),CG99)))</f>
        <v>1820.92975220673</v>
      </c>
      <c r="CI99" s="11" t="n">
        <f aca="false">IF(CI$1&lt;Units!$P98,0,IF(AND(Units!$K98=0,CI$1=Units!$O98),Units!$R98,IF(AND(CI$1&gt;=Units!$Q98,MOD(CI$1-Units!$Q98,12)=0),IF(AND(Units!$L98=1,CI$1=Units!$Q98),IF(Units!$J98&lt;&gt;"",Units!$J98,Mkt!CI99),Inputs!$B$15*Mkt!CI99+(1-Inputs!$B$15)*MIN(Mkt!CI99,CH99*(1+Inputs!$B$18))),CH99)))</f>
        <v>1820.92975220673</v>
      </c>
      <c r="CJ99" s="11" t="n">
        <f aca="false">IF(CJ$1&lt;Units!$P98,0,IF(AND(Units!$K98=0,CJ$1=Units!$O98),Units!$R98,IF(AND(CJ$1&gt;=Units!$Q98,MOD(CJ$1-Units!$Q98,12)=0),IF(AND(Units!$L98=1,CJ$1=Units!$Q98),IF(Units!$J98&lt;&gt;"",Units!$J98,Mkt!CJ99),Inputs!$B$15*Mkt!CJ99+(1-Inputs!$B$15)*MIN(Mkt!CJ99,CI99*(1+Inputs!$B$18))),CI99)))</f>
        <v>1820.92975220673</v>
      </c>
      <c r="CK99" s="11" t="n">
        <f aca="false">IF(CK$1&lt;Units!$P98,0,IF(AND(Units!$K98=0,CK$1=Units!$O98),Units!$R98,IF(AND(CK$1&gt;=Units!$Q98,MOD(CK$1-Units!$Q98,12)=0),IF(AND(Units!$L98=1,CK$1=Units!$Q98),IF(Units!$J98&lt;&gt;"",Units!$J98,Mkt!CK99),Inputs!$B$15*Mkt!CK99+(1-Inputs!$B$15)*MIN(Mkt!CK99,CJ99*(1+Inputs!$B$18))),CJ99)))</f>
        <v>1820.92975220673</v>
      </c>
      <c r="CL99" s="11" t="n">
        <f aca="false">IF(CL$1&lt;Units!$P98,0,IF(AND(Units!$K98=0,CL$1=Units!$O98),Units!$R98,IF(AND(CL$1&gt;=Units!$Q98,MOD(CL$1-Units!$Q98,12)=0),IF(AND(Units!$L98=1,CL$1=Units!$Q98),IF(Units!$J98&lt;&gt;"",Units!$J98,Mkt!CL99),Inputs!$B$15*Mkt!CL99+(1-Inputs!$B$15)*MIN(Mkt!CL99,CK99*(1+Inputs!$B$18))),CK99)))</f>
        <v>1820.92975220673</v>
      </c>
      <c r="CM99" s="11" t="n">
        <f aca="false">IF(CM$1&lt;Units!$P98,0,IF(AND(Units!$K98=0,CM$1=Units!$O98),Units!$R98,IF(AND(CM$1&gt;=Units!$Q98,MOD(CM$1-Units!$Q98,12)=0),IF(AND(Units!$L98=1,CM$1=Units!$Q98),IF(Units!$J98&lt;&gt;"",Units!$J98,Mkt!CM99),Inputs!$B$15*Mkt!CM99+(1-Inputs!$B$15)*MIN(Mkt!CM99,CL99*(1+Inputs!$B$18))),CL99)))</f>
        <v>1820.92975220673</v>
      </c>
      <c r="CN99" s="11" t="n">
        <f aca="false">IF(CN$1&lt;Units!$P98,0,IF(AND(Units!$K98=0,CN$1=Units!$O98),Units!$R98,IF(AND(CN$1&gt;=Units!$Q98,MOD(CN$1-Units!$Q98,12)=0),IF(AND(Units!$L98=1,CN$1=Units!$Q98),IF(Units!$J98&lt;&gt;"",Units!$J98,Mkt!CN99),Inputs!$B$15*Mkt!CN99+(1-Inputs!$B$15)*MIN(Mkt!CN99,CM99*(1+Inputs!$B$18))),CM99)))</f>
        <v>1875.55764477293</v>
      </c>
      <c r="CO99" s="11" t="n">
        <f aca="false">IF(CO$1&lt;Units!$P98,0,IF(AND(Units!$K98=0,CO$1=Units!$O98),Units!$R98,IF(AND(CO$1&gt;=Units!$Q98,MOD(CO$1-Units!$Q98,12)=0),IF(AND(Units!$L98=1,CO$1=Units!$Q98),IF(Units!$J98&lt;&gt;"",Units!$J98,Mkt!CO99),Inputs!$B$15*Mkt!CO99+(1-Inputs!$B$15)*MIN(Mkt!CO99,CN99*(1+Inputs!$B$18))),CN99)))</f>
        <v>1875.55764477293</v>
      </c>
      <c r="CP99" s="11" t="n">
        <f aca="false">IF(CP$1&lt;Units!$P98,0,IF(AND(Units!$K98=0,CP$1=Units!$O98),Units!$R98,IF(AND(CP$1&gt;=Units!$Q98,MOD(CP$1-Units!$Q98,12)=0),IF(AND(Units!$L98=1,CP$1=Units!$Q98),IF(Units!$J98&lt;&gt;"",Units!$J98,Mkt!CP99),Inputs!$B$15*Mkt!CP99+(1-Inputs!$B$15)*MIN(Mkt!CP99,CO99*(1+Inputs!$B$18))),CO99)))</f>
        <v>1875.55764477293</v>
      </c>
      <c r="CQ99" s="11" t="n">
        <f aca="false">IF(CQ$1&lt;Units!$P98,0,IF(AND(Units!$K98=0,CQ$1=Units!$O98),Units!$R98,IF(AND(CQ$1&gt;=Units!$Q98,MOD(CQ$1-Units!$Q98,12)=0),IF(AND(Units!$L98=1,CQ$1=Units!$Q98),IF(Units!$J98&lt;&gt;"",Units!$J98,Mkt!CQ99),Inputs!$B$15*Mkt!CQ99+(1-Inputs!$B$15)*MIN(Mkt!CQ99,CP99*(1+Inputs!$B$18))),CP99)))</f>
        <v>1875.55764477293</v>
      </c>
      <c r="CR99" s="11" t="n">
        <f aca="false">IF(CR$1&lt;Units!$P98,0,IF(AND(Units!$K98=0,CR$1=Units!$O98),Units!$R98,IF(AND(CR$1&gt;=Units!$Q98,MOD(CR$1-Units!$Q98,12)=0),IF(AND(Units!$L98=1,CR$1=Units!$Q98),IF(Units!$J98&lt;&gt;"",Units!$J98,Mkt!CR99),Inputs!$B$15*Mkt!CR99+(1-Inputs!$B$15)*MIN(Mkt!CR99,CQ99*(1+Inputs!$B$18))),CQ99)))</f>
        <v>1875.55764477293</v>
      </c>
      <c r="CS99" s="11" t="n">
        <f aca="false">IF(CS$1&lt;Units!$P98,0,IF(AND(Units!$K98=0,CS$1=Units!$O98),Units!$R98,IF(AND(CS$1&gt;=Units!$Q98,MOD(CS$1-Units!$Q98,12)=0),IF(AND(Units!$L98=1,CS$1=Units!$Q98),IF(Units!$J98&lt;&gt;"",Units!$J98,Mkt!CS99),Inputs!$B$15*Mkt!CS99+(1-Inputs!$B$15)*MIN(Mkt!CS99,CR99*(1+Inputs!$B$18))),CR99)))</f>
        <v>1875.55764477293</v>
      </c>
      <c r="CT99" s="11" t="n">
        <f aca="false">IF(CT$1&lt;Units!$P98,0,IF(AND(Units!$K98=0,CT$1=Units!$O98),Units!$R98,IF(AND(CT$1&gt;=Units!$Q98,MOD(CT$1-Units!$Q98,12)=0),IF(AND(Units!$L98=1,CT$1=Units!$Q98),IF(Units!$J98&lt;&gt;"",Units!$J98,Mkt!CT99),Inputs!$B$15*Mkt!CT99+(1-Inputs!$B$15)*MIN(Mkt!CT99,CS99*(1+Inputs!$B$18))),CS99)))</f>
        <v>1875.55764477293</v>
      </c>
      <c r="CU99" s="11" t="n">
        <f aca="false">IF(CU$1&lt;Units!$P98,0,IF(AND(Units!$K98=0,CU$1=Units!$O98),Units!$R98,IF(AND(CU$1&gt;=Units!$Q98,MOD(CU$1-Units!$Q98,12)=0),IF(AND(Units!$L98=1,CU$1=Units!$Q98),IF(Units!$J98&lt;&gt;"",Units!$J98,Mkt!CU99),Inputs!$B$15*Mkt!CU99+(1-Inputs!$B$15)*MIN(Mkt!CU99,CT99*(1+Inputs!$B$18))),CT99)))</f>
        <v>1875.55764477293</v>
      </c>
      <c r="CV99" s="11" t="n">
        <f aca="false">IF(CV$1&lt;Units!$P98,0,IF(AND(Units!$K98=0,CV$1=Units!$O98),Units!$R98,IF(AND(CV$1&gt;=Units!$Q98,MOD(CV$1-Units!$Q98,12)=0),IF(AND(Units!$L98=1,CV$1=Units!$Q98),IF(Units!$J98&lt;&gt;"",Units!$J98,Mkt!CV99),Inputs!$B$15*Mkt!CV99+(1-Inputs!$B$15)*MIN(Mkt!CV99,CU99*(1+Inputs!$B$18))),CU99)))</f>
        <v>1875.55764477293</v>
      </c>
      <c r="CW99" s="11" t="n">
        <f aca="false">IF(CW$1&lt;Units!$P98,0,IF(AND(Units!$K98=0,CW$1=Units!$O98),Units!$R98,IF(AND(CW$1&gt;=Units!$Q98,MOD(CW$1-Units!$Q98,12)=0),IF(AND(Units!$L98=1,CW$1=Units!$Q98),IF(Units!$J98&lt;&gt;"",Units!$J98,Mkt!CW99),Inputs!$B$15*Mkt!CW99+(1-Inputs!$B$15)*MIN(Mkt!CW99,CV99*(1+Inputs!$B$18))),CV99)))</f>
        <v>1875.55764477293</v>
      </c>
      <c r="CX99" s="11" t="n">
        <f aca="false">IF(CX$1&lt;Units!$P98,0,IF(AND(Units!$K98=0,CX$1=Units!$O98),Units!$R98,IF(AND(CX$1&gt;=Units!$Q98,MOD(CX$1-Units!$Q98,12)=0),IF(AND(Units!$L98=1,CX$1=Units!$Q98),IF(Units!$J98&lt;&gt;"",Units!$J98,Mkt!CX99),Inputs!$B$15*Mkt!CX99+(1-Inputs!$B$15)*MIN(Mkt!CX99,CW99*(1+Inputs!$B$18))),CW99)))</f>
        <v>1875.55764477293</v>
      </c>
      <c r="CY99" s="11" t="n">
        <f aca="false">IF(CY$1&lt;Units!$P98,0,IF(AND(Units!$K98=0,CY$1=Units!$O98),Units!$R98,IF(AND(CY$1&gt;=Units!$Q98,MOD(CY$1-Units!$Q98,12)=0),IF(AND(Units!$L98=1,CY$1=Units!$Q98),IF(Units!$J98&lt;&gt;"",Units!$J98,Mkt!CY99),Inputs!$B$15*Mkt!CY99+(1-Inputs!$B$15)*MIN(Mkt!CY99,CX99*(1+Inputs!$B$18))),CX99)))</f>
        <v>1875.55764477293</v>
      </c>
      <c r="CZ99" s="11" t="n">
        <f aca="false">IF(CZ$1&lt;Units!$P98,0,IF(AND(Units!$K98=0,CZ$1=Units!$O98),Units!$R98,IF(AND(CZ$1&gt;=Units!$Q98,MOD(CZ$1-Units!$Q98,12)=0),IF(AND(Units!$L98=1,CZ$1=Units!$Q98),IF(Units!$J98&lt;&gt;"",Units!$J98,Mkt!CZ99),Inputs!$B$15*Mkt!CZ99+(1-Inputs!$B$15)*MIN(Mkt!CZ99,CY99*(1+Inputs!$B$18))),CY99)))</f>
        <v>1931.82437411612</v>
      </c>
      <c r="DA99" s="11" t="n">
        <f aca="false">IF(DA$1&lt;Units!$P98,0,IF(AND(Units!$K98=0,DA$1=Units!$O98),Units!$R98,IF(AND(DA$1&gt;=Units!$Q98,MOD(DA$1-Units!$Q98,12)=0),IF(AND(Units!$L98=1,DA$1=Units!$Q98),IF(Units!$J98&lt;&gt;"",Units!$J98,Mkt!DA99),Inputs!$B$15*Mkt!DA99+(1-Inputs!$B$15)*MIN(Mkt!DA99,CZ99*(1+Inputs!$B$18))),CZ99)))</f>
        <v>1931.82437411612</v>
      </c>
      <c r="DB99" s="11" t="n">
        <f aca="false">IF(DB$1&lt;Units!$P98,0,IF(AND(Units!$K98=0,DB$1=Units!$O98),Units!$R98,IF(AND(DB$1&gt;=Units!$Q98,MOD(DB$1-Units!$Q98,12)=0),IF(AND(Units!$L98=1,DB$1=Units!$Q98),IF(Units!$J98&lt;&gt;"",Units!$J98,Mkt!DB99),Inputs!$B$15*Mkt!DB99+(1-Inputs!$B$15)*MIN(Mkt!DB99,DA99*(1+Inputs!$B$18))),DA99)))</f>
        <v>1931.82437411612</v>
      </c>
      <c r="DC99" s="11" t="n">
        <f aca="false">IF(DC$1&lt;Units!$P98,0,IF(AND(Units!$K98=0,DC$1=Units!$O98),Units!$R98,IF(AND(DC$1&gt;=Units!$Q98,MOD(DC$1-Units!$Q98,12)=0),IF(AND(Units!$L98=1,DC$1=Units!$Q98),IF(Units!$J98&lt;&gt;"",Units!$J98,Mkt!DC99),Inputs!$B$15*Mkt!DC99+(1-Inputs!$B$15)*MIN(Mkt!DC99,DB99*(1+Inputs!$B$18))),DB99)))</f>
        <v>1931.82437411612</v>
      </c>
      <c r="DD99" s="11" t="n">
        <f aca="false">IF(DD$1&lt;Units!$P98,0,IF(AND(Units!$K98=0,DD$1=Units!$O98),Units!$R98,IF(AND(DD$1&gt;=Units!$Q98,MOD(DD$1-Units!$Q98,12)=0),IF(AND(Units!$L98=1,DD$1=Units!$Q98),IF(Units!$J98&lt;&gt;"",Units!$J98,Mkt!DD99),Inputs!$B$15*Mkt!DD99+(1-Inputs!$B$15)*MIN(Mkt!DD99,DC99*(1+Inputs!$B$18))),DC99)))</f>
        <v>1931.82437411612</v>
      </c>
      <c r="DE99" s="11" t="n">
        <f aca="false">IF(DE$1&lt;Units!$P98,0,IF(AND(Units!$K98=0,DE$1=Units!$O98),Units!$R98,IF(AND(DE$1&gt;=Units!$Q98,MOD(DE$1-Units!$Q98,12)=0),IF(AND(Units!$L98=1,DE$1=Units!$Q98),IF(Units!$J98&lt;&gt;"",Units!$J98,Mkt!DE99),Inputs!$B$15*Mkt!DE99+(1-Inputs!$B$15)*MIN(Mkt!DE99,DD99*(1+Inputs!$B$18))),DD99)))</f>
        <v>1931.82437411612</v>
      </c>
      <c r="DF99" s="11" t="n">
        <f aca="false">IF(DF$1&lt;Units!$P98,0,IF(AND(Units!$K98=0,DF$1=Units!$O98),Units!$R98,IF(AND(DF$1&gt;=Units!$Q98,MOD(DF$1-Units!$Q98,12)=0),IF(AND(Units!$L98=1,DF$1=Units!$Q98),IF(Units!$J98&lt;&gt;"",Units!$J98,Mkt!DF99),Inputs!$B$15*Mkt!DF99+(1-Inputs!$B$15)*MIN(Mkt!DF99,DE99*(1+Inputs!$B$18))),DE99)))</f>
        <v>1931.82437411612</v>
      </c>
      <c r="DG99" s="11" t="n">
        <f aca="false">IF(DG$1&lt;Units!$P98,0,IF(AND(Units!$K98=0,DG$1=Units!$O98),Units!$R98,IF(AND(DG$1&gt;=Units!$Q98,MOD(DG$1-Units!$Q98,12)=0),IF(AND(Units!$L98=1,DG$1=Units!$Q98),IF(Units!$J98&lt;&gt;"",Units!$J98,Mkt!DG99),Inputs!$B$15*Mkt!DG99+(1-Inputs!$B$15)*MIN(Mkt!DG99,DF99*(1+Inputs!$B$18))),DF99)))</f>
        <v>1931.82437411612</v>
      </c>
      <c r="DH99" s="11" t="n">
        <f aca="false">IF(DH$1&lt;Units!$P98,0,IF(AND(Units!$K98=0,DH$1=Units!$O98),Units!$R98,IF(AND(DH$1&gt;=Units!$Q98,MOD(DH$1-Units!$Q98,12)=0),IF(AND(Units!$L98=1,DH$1=Units!$Q98),IF(Units!$J98&lt;&gt;"",Units!$J98,Mkt!DH99),Inputs!$B$15*Mkt!DH99+(1-Inputs!$B$15)*MIN(Mkt!DH99,DG99*(1+Inputs!$B$18))),DG99)))</f>
        <v>1931.82437411612</v>
      </c>
      <c r="DI99" s="11" t="n">
        <f aca="false">IF(DI$1&lt;Units!$P98,0,IF(AND(Units!$K98=0,DI$1=Units!$O98),Units!$R98,IF(AND(DI$1&gt;=Units!$Q98,MOD(DI$1-Units!$Q98,12)=0),IF(AND(Units!$L98=1,DI$1=Units!$Q98),IF(Units!$J98&lt;&gt;"",Units!$J98,Mkt!DI99),Inputs!$B$15*Mkt!DI99+(1-Inputs!$B$15)*MIN(Mkt!DI99,DH99*(1+Inputs!$B$18))),DH99)))</f>
        <v>1931.82437411612</v>
      </c>
      <c r="DJ99" s="11" t="n">
        <f aca="false">IF(DJ$1&lt;Units!$P98,0,IF(AND(Units!$K98=0,DJ$1=Units!$O98),Units!$R98,IF(AND(DJ$1&gt;=Units!$Q98,MOD(DJ$1-Units!$Q98,12)=0),IF(AND(Units!$L98=1,DJ$1=Units!$Q98),IF(Units!$J98&lt;&gt;"",Units!$J98,Mkt!DJ99),Inputs!$B$15*Mkt!DJ99+(1-Inputs!$B$15)*MIN(Mkt!DJ99,DI99*(1+Inputs!$B$18))),DI99)))</f>
        <v>1931.82437411612</v>
      </c>
      <c r="DK99" s="11" t="n">
        <f aca="false">IF(DK$1&lt;Units!$P98,0,IF(AND(Units!$K98=0,DK$1=Units!$O98),Units!$R98,IF(AND(DK$1&gt;=Units!$Q98,MOD(DK$1-Units!$Q98,12)=0),IF(AND(Units!$L98=1,DK$1=Units!$Q98),IF(Units!$J98&lt;&gt;"",Units!$J98,Mkt!DK99),Inputs!$B$15*Mkt!DK99+(1-Inputs!$B$15)*MIN(Mkt!DK99,DJ99*(1+Inputs!$B$18))),DJ99)))</f>
        <v>1931.82437411612</v>
      </c>
      <c r="DL99" s="11" t="n">
        <f aca="false">IF(DL$1&lt;Units!$P98,0,IF(AND(Units!$K98=0,DL$1=Units!$O98),Units!$R98,IF(AND(DL$1&gt;=Units!$Q98,MOD(DL$1-Units!$Q98,12)=0),IF(AND(Units!$L98=1,DL$1=Units!$Q98),IF(Units!$J98&lt;&gt;"",Units!$J98,Mkt!DL99),Inputs!$B$15*Mkt!DL99+(1-Inputs!$B$15)*MIN(Mkt!DL99,DK99*(1+Inputs!$B$18))),DK99)))</f>
        <v>1989.7791053396</v>
      </c>
      <c r="DM99" s="11" t="n">
        <f aca="false">IF(DM$1&lt;Units!$P98,0,IF(AND(Units!$K98=0,DM$1=Units!$O98),Units!$R98,IF(AND(DM$1&gt;=Units!$Q98,MOD(DM$1-Units!$Q98,12)=0),IF(AND(Units!$L98=1,DM$1=Units!$Q98),IF(Units!$J98&lt;&gt;"",Units!$J98,Mkt!DM99),Inputs!$B$15*Mkt!DM99+(1-Inputs!$B$15)*MIN(Mkt!DM99,DL99*(1+Inputs!$B$18))),DL99)))</f>
        <v>1989.7791053396</v>
      </c>
      <c r="DN99" s="11" t="n">
        <f aca="false">IF(DN$1&lt;Units!$P98,0,IF(AND(Units!$K98=0,DN$1=Units!$O98),Units!$R98,IF(AND(DN$1&gt;=Units!$Q98,MOD(DN$1-Units!$Q98,12)=0),IF(AND(Units!$L98=1,DN$1=Units!$Q98),IF(Units!$J98&lt;&gt;"",Units!$J98,Mkt!DN99),Inputs!$B$15*Mkt!DN99+(1-Inputs!$B$15)*MIN(Mkt!DN99,DM99*(1+Inputs!$B$18))),DM99)))</f>
        <v>1989.7791053396</v>
      </c>
      <c r="DO99" s="11" t="n">
        <f aca="false">IF(DO$1&lt;Units!$P98,0,IF(AND(Units!$K98=0,DO$1=Units!$O98),Units!$R98,IF(AND(DO$1&gt;=Units!$Q98,MOD(DO$1-Units!$Q98,12)=0),IF(AND(Units!$L98=1,DO$1=Units!$Q98),IF(Units!$J98&lt;&gt;"",Units!$J98,Mkt!DO99),Inputs!$B$15*Mkt!DO99+(1-Inputs!$B$15)*MIN(Mkt!DO99,DN99*(1+Inputs!$B$18))),DN99)))</f>
        <v>1989.7791053396</v>
      </c>
      <c r="DP99" s="11" t="n">
        <f aca="false">IF(DP$1&lt;Units!$P98,0,IF(AND(Units!$K98=0,DP$1=Units!$O98),Units!$R98,IF(AND(DP$1&gt;=Units!$Q98,MOD(DP$1-Units!$Q98,12)=0),IF(AND(Units!$L98=1,DP$1=Units!$Q98),IF(Units!$J98&lt;&gt;"",Units!$J98,Mkt!DP99),Inputs!$B$15*Mkt!DP99+(1-Inputs!$B$15)*MIN(Mkt!DP99,DO99*(1+Inputs!$B$18))),DO99)))</f>
        <v>1989.7791053396</v>
      </c>
      <c r="DQ99" s="11" t="n">
        <f aca="false">IF(DQ$1&lt;Units!$P98,0,IF(AND(Units!$K98=0,DQ$1=Units!$O98),Units!$R98,IF(AND(DQ$1&gt;=Units!$Q98,MOD(DQ$1-Units!$Q98,12)=0),IF(AND(Units!$L98=1,DQ$1=Units!$Q98),IF(Units!$J98&lt;&gt;"",Units!$J98,Mkt!DQ99),Inputs!$B$15*Mkt!DQ99+(1-Inputs!$B$15)*MIN(Mkt!DQ99,DP99*(1+Inputs!$B$18))),DP99)))</f>
        <v>1989.7791053396</v>
      </c>
      <c r="DR99" s="11" t="n">
        <f aca="false">IF(DR$1&lt;Units!$P98,0,IF(AND(Units!$K98=0,DR$1=Units!$O98),Units!$R98,IF(AND(DR$1&gt;=Units!$Q98,MOD(DR$1-Units!$Q98,12)=0),IF(AND(Units!$L98=1,DR$1=Units!$Q98),IF(Units!$J98&lt;&gt;"",Units!$J98,Mkt!DR99),Inputs!$B$15*Mkt!DR99+(1-Inputs!$B$15)*MIN(Mkt!DR99,DQ99*(1+Inputs!$B$18))),DQ99)))</f>
        <v>1989.7791053396</v>
      </c>
      <c r="DS99" s="11" t="n">
        <f aca="false">IF(DS$1&lt;Units!$P98,0,IF(AND(Units!$K98=0,DS$1=Units!$O98),Units!$R98,IF(AND(DS$1&gt;=Units!$Q98,MOD(DS$1-Units!$Q98,12)=0),IF(AND(Units!$L98=1,DS$1=Units!$Q98),IF(Units!$J98&lt;&gt;"",Units!$J98,Mkt!DS99),Inputs!$B$15*Mkt!DS99+(1-Inputs!$B$15)*MIN(Mkt!DS99,DR99*(1+Inputs!$B$18))),DR99)))</f>
        <v>1989.7791053396</v>
      </c>
      <c r="DT99" s="11" t="n">
        <f aca="false">IF(DT$1&lt;Units!$P98,0,IF(AND(Units!$K98=0,DT$1=Units!$O98),Units!$R98,IF(AND(DT$1&gt;=Units!$Q98,MOD(DT$1-Units!$Q98,12)=0),IF(AND(Units!$L98=1,DT$1=Units!$Q98),IF(Units!$J98&lt;&gt;"",Units!$J98,Mkt!DT99),Inputs!$B$15*Mkt!DT99+(1-Inputs!$B$15)*MIN(Mkt!DT99,DS99*(1+Inputs!$B$18))),DS99)))</f>
        <v>1989.7791053396</v>
      </c>
      <c r="DU99" s="11" t="n">
        <f aca="false">IF(DU$1&lt;Units!$P98,0,IF(AND(Units!$K98=0,DU$1=Units!$O98),Units!$R98,IF(AND(DU$1&gt;=Units!$Q98,MOD(DU$1-Units!$Q98,12)=0),IF(AND(Units!$L98=1,DU$1=Units!$Q98),IF(Units!$J98&lt;&gt;"",Units!$J98,Mkt!DU99),Inputs!$B$15*Mkt!DU99+(1-Inputs!$B$15)*MIN(Mkt!DU99,DT99*(1+Inputs!$B$18))),DT99)))</f>
        <v>1989.7791053396</v>
      </c>
      <c r="DV99" s="11" t="n">
        <f aca="false">IF(DV$1&lt;Units!$P98,0,IF(AND(Units!$K98=0,DV$1=Units!$O98),Units!$R98,IF(AND(DV$1&gt;=Units!$Q98,MOD(DV$1-Units!$Q98,12)=0),IF(AND(Units!$L98=1,DV$1=Units!$Q98),IF(Units!$J98&lt;&gt;"",Units!$J98,Mkt!DV99),Inputs!$B$15*Mkt!DV99+(1-Inputs!$B$15)*MIN(Mkt!DV99,DU99*(1+Inputs!$B$18))),DU99)))</f>
        <v>1989.7791053396</v>
      </c>
      <c r="DW99" s="11" t="n">
        <f aca="false">IF(DW$1&lt;Units!$P98,0,IF(AND(Units!$K98=0,DW$1=Units!$O98),Units!$R98,IF(AND(DW$1&gt;=Units!$Q98,MOD(DW$1-Units!$Q98,12)=0),IF(AND(Units!$L98=1,DW$1=Units!$Q98),IF(Units!$J98&lt;&gt;"",Units!$J98,Mkt!DW99),Inputs!$B$15*Mkt!DW99+(1-Inputs!$B$15)*MIN(Mkt!DW99,DV99*(1+Inputs!$B$18))),DV99)))</f>
        <v>1989.7791053396</v>
      </c>
      <c r="DX99" s="11" t="n">
        <f aca="false">IF(DX$1&lt;Units!$P98,0,IF(AND(Units!$K98=0,DX$1=Units!$O98),Units!$R98,IF(AND(DX$1&gt;=Units!$Q98,MOD(DX$1-Units!$Q98,12)=0),IF(AND(Units!$L98=1,DX$1=Units!$Q98),IF(Units!$J98&lt;&gt;"",Units!$J98,Mkt!DX99),Inputs!$B$15*Mkt!DX99+(1-Inputs!$B$15)*MIN(Mkt!DX99,DW99*(1+Inputs!$B$18))),DW99)))</f>
        <v>2049.47247849979</v>
      </c>
      <c r="DY99" s="11" t="n">
        <f aca="false">IF(DY$1&lt;Units!$P98,0,IF(AND(Units!$K98=0,DY$1=Units!$O98),Units!$R98,IF(AND(DY$1&gt;=Units!$Q98,MOD(DY$1-Units!$Q98,12)=0),IF(AND(Units!$L98=1,DY$1=Units!$Q98),IF(Units!$J98&lt;&gt;"",Units!$J98,Mkt!DY99),Inputs!$B$15*Mkt!DY99+(1-Inputs!$B$15)*MIN(Mkt!DY99,DX99*(1+Inputs!$B$18))),DX99)))</f>
        <v>2049.47247849979</v>
      </c>
      <c r="DZ99" s="11" t="n">
        <f aca="false">IF(DZ$1&lt;Units!$P98,0,IF(AND(Units!$K98=0,DZ$1=Units!$O98),Units!$R98,IF(AND(DZ$1&gt;=Units!$Q98,MOD(DZ$1-Units!$Q98,12)=0),IF(AND(Units!$L98=1,DZ$1=Units!$Q98),IF(Units!$J98&lt;&gt;"",Units!$J98,Mkt!DZ99),Inputs!$B$15*Mkt!DZ99+(1-Inputs!$B$15)*MIN(Mkt!DZ99,DY99*(1+Inputs!$B$18))),DY99)))</f>
        <v>2049.47247849979</v>
      </c>
      <c r="EA99" s="11" t="n">
        <f aca="false">IF(EA$1&lt;Units!$P98,0,IF(AND(Units!$K98=0,EA$1=Units!$O98),Units!$R98,IF(AND(EA$1&gt;=Units!$Q98,MOD(EA$1-Units!$Q98,12)=0),IF(AND(Units!$L98=1,EA$1=Units!$Q98),IF(Units!$J98&lt;&gt;"",Units!$J98,Mkt!EA99),Inputs!$B$15*Mkt!EA99+(1-Inputs!$B$15)*MIN(Mkt!EA99,DZ99*(1+Inputs!$B$18))),DZ99)))</f>
        <v>2049.47247849979</v>
      </c>
      <c r="EB99" s="11" t="n">
        <f aca="false">IF(EB$1&lt;Units!$P98,0,IF(AND(Units!$K98=0,EB$1=Units!$O98),Units!$R98,IF(AND(EB$1&gt;=Units!$Q98,MOD(EB$1-Units!$Q98,12)=0),IF(AND(Units!$L98=1,EB$1=Units!$Q98),IF(Units!$J98&lt;&gt;"",Units!$J98,Mkt!EB99),Inputs!$B$15*Mkt!EB99+(1-Inputs!$B$15)*MIN(Mkt!EB99,EA99*(1+Inputs!$B$18))),EA99)))</f>
        <v>2049.47247849979</v>
      </c>
      <c r="EC99" s="11" t="n">
        <f aca="false">IF(EC$1&lt;Units!$P98,0,IF(AND(Units!$K98=0,EC$1=Units!$O98),Units!$R98,IF(AND(EC$1&gt;=Units!$Q98,MOD(EC$1-Units!$Q98,12)=0),IF(AND(Units!$L98=1,EC$1=Units!$Q98),IF(Units!$J98&lt;&gt;"",Units!$J98,Mkt!EC99),Inputs!$B$15*Mkt!EC99+(1-Inputs!$B$15)*MIN(Mkt!EC99,EB99*(1+Inputs!$B$18))),EB99)))</f>
        <v>2049.47247849979</v>
      </c>
      <c r="ED99" s="11" t="n">
        <f aca="false">IF(ED$1&lt;Units!$P98,0,IF(AND(Units!$K98=0,ED$1=Units!$O98),Units!$R98,IF(AND(ED$1&gt;=Units!$Q98,MOD(ED$1-Units!$Q98,12)=0),IF(AND(Units!$L98=1,ED$1=Units!$Q98),IF(Units!$J98&lt;&gt;"",Units!$J98,Mkt!ED99),Inputs!$B$15*Mkt!ED99+(1-Inputs!$B$15)*MIN(Mkt!ED99,EC99*(1+Inputs!$B$18))),EC99)))</f>
        <v>2049.47247849979</v>
      </c>
    </row>
    <row r="100" customFormat="false" ht="15" hidden="false" customHeight="false" outlineLevel="0" collapsed="false">
      <c r="A100" s="22" t="n">
        <f aca="false">Units!A99</f>
        <v>408</v>
      </c>
      <c r="B100" s="24" t="n">
        <f aca="false">IF(Units!K99=1,Units!F99,0)</f>
        <v>1225</v>
      </c>
      <c r="C100" s="11" t="n">
        <f aca="false">IF(C$1&lt;Units!$P99,0,IF(AND(Units!$K99=0,C$1=Units!$O99),Units!$R99,IF(AND(C$1&gt;=Units!$Q99,MOD(C$1-Units!$Q99,12)=0),IF(AND(Units!$L99=1,C$1=Units!$Q99),IF(Units!$J99&lt;&gt;"",Units!$J99,Mkt!C100),Inputs!$B$15*Mkt!C100+(1-Inputs!$B$15)*MIN(Mkt!C100,B100*(1+Inputs!$B$18))),B100)))</f>
        <v>1225</v>
      </c>
      <c r="D100" s="11" t="n">
        <f aca="false">IF(D$1&lt;Units!$P99,0,IF(AND(Units!$K99=0,D$1=Units!$O99),Units!$R99,IF(AND(D$1&gt;=Units!$Q99,MOD(D$1-Units!$Q99,12)=0),IF(AND(Units!$L99=1,D$1=Units!$Q99),IF(Units!$J99&lt;&gt;"",Units!$J99,Mkt!D100),Inputs!$B$15*Mkt!D100+(1-Inputs!$B$15)*MIN(Mkt!D100,C100*(1+Inputs!$B$18))),C100)))</f>
        <v>1225</v>
      </c>
      <c r="E100" s="11" t="n">
        <f aca="false">IF(E$1&lt;Units!$P99,0,IF(AND(Units!$K99=0,E$1=Units!$O99),Units!$R99,IF(AND(E$1&gt;=Units!$Q99,MOD(E$1-Units!$Q99,12)=0),IF(AND(Units!$L99=1,E$1=Units!$Q99),IF(Units!$J99&lt;&gt;"",Units!$J99,Mkt!E100),Inputs!$B$15*Mkt!E100+(1-Inputs!$B$15)*MIN(Mkt!E100,D100*(1+Inputs!$B$18))),D100)))</f>
        <v>1225</v>
      </c>
      <c r="F100" s="11" t="n">
        <f aca="false">IF(F$1&lt;Units!$P99,0,IF(AND(Units!$K99=0,F$1=Units!$O99),Units!$R99,IF(AND(F$1&gt;=Units!$Q99,MOD(F$1-Units!$Q99,12)=0),IF(AND(Units!$L99=1,F$1=Units!$Q99),IF(Units!$J99&lt;&gt;"",Units!$J99,Mkt!F100),Inputs!$B$15*Mkt!F100+(1-Inputs!$B$15)*MIN(Mkt!F100,E100*(1+Inputs!$B$18))),E100)))</f>
        <v>1405.625</v>
      </c>
      <c r="G100" s="11" t="n">
        <f aca="false">IF(G$1&lt;Units!$P99,0,IF(AND(Units!$K99=0,G$1=Units!$O99),Units!$R99,IF(AND(G$1&gt;=Units!$Q99,MOD(G$1-Units!$Q99,12)=0),IF(AND(Units!$L99=1,G$1=Units!$Q99),IF(Units!$J99&lt;&gt;"",Units!$J99,Mkt!G100),Inputs!$B$15*Mkt!G100+(1-Inputs!$B$15)*MIN(Mkt!G100,F100*(1+Inputs!$B$18))),F100)))</f>
        <v>1405.625</v>
      </c>
      <c r="H100" s="11" t="n">
        <f aca="false">IF(H$1&lt;Units!$P99,0,IF(AND(Units!$K99=0,H$1=Units!$O99),Units!$R99,IF(AND(H$1&gt;=Units!$Q99,MOD(H$1-Units!$Q99,12)=0),IF(AND(Units!$L99=1,H$1=Units!$Q99),IF(Units!$J99&lt;&gt;"",Units!$J99,Mkt!H100),Inputs!$B$15*Mkt!H100+(1-Inputs!$B$15)*MIN(Mkt!H100,G100*(1+Inputs!$B$18))),G100)))</f>
        <v>1405.625</v>
      </c>
      <c r="I100" s="11" t="n">
        <f aca="false">IF(I$1&lt;Units!$P99,0,IF(AND(Units!$K99=0,I$1=Units!$O99),Units!$R99,IF(AND(I$1&gt;=Units!$Q99,MOD(I$1-Units!$Q99,12)=0),IF(AND(Units!$L99=1,I$1=Units!$Q99),IF(Units!$J99&lt;&gt;"",Units!$J99,Mkt!I100),Inputs!$B$15*Mkt!I100+(1-Inputs!$B$15)*MIN(Mkt!I100,H100*(1+Inputs!$B$18))),H100)))</f>
        <v>1405.625</v>
      </c>
      <c r="J100" s="11" t="n">
        <f aca="false">IF(J$1&lt;Units!$P99,0,IF(AND(Units!$K99=0,J$1=Units!$O99),Units!$R99,IF(AND(J$1&gt;=Units!$Q99,MOD(J$1-Units!$Q99,12)=0),IF(AND(Units!$L99=1,J$1=Units!$Q99),IF(Units!$J99&lt;&gt;"",Units!$J99,Mkt!J100),Inputs!$B$15*Mkt!J100+(1-Inputs!$B$15)*MIN(Mkt!J100,I100*(1+Inputs!$B$18))),I100)))</f>
        <v>1405.625</v>
      </c>
      <c r="K100" s="11" t="n">
        <f aca="false">IF(K$1&lt;Units!$P99,0,IF(AND(Units!$K99=0,K$1=Units!$O99),Units!$R99,IF(AND(K$1&gt;=Units!$Q99,MOD(K$1-Units!$Q99,12)=0),IF(AND(Units!$L99=1,K$1=Units!$Q99),IF(Units!$J99&lt;&gt;"",Units!$J99,Mkt!K100),Inputs!$B$15*Mkt!K100+(1-Inputs!$B$15)*MIN(Mkt!K100,J100*(1+Inputs!$B$18))),J100)))</f>
        <v>1405.625</v>
      </c>
      <c r="L100" s="11" t="n">
        <f aca="false">IF(L$1&lt;Units!$P99,0,IF(AND(Units!$K99=0,L$1=Units!$O99),Units!$R99,IF(AND(L$1&gt;=Units!$Q99,MOD(L$1-Units!$Q99,12)=0),IF(AND(Units!$L99=1,L$1=Units!$Q99),IF(Units!$J99&lt;&gt;"",Units!$J99,Mkt!L100),Inputs!$B$15*Mkt!L100+(1-Inputs!$B$15)*MIN(Mkt!L100,K100*(1+Inputs!$B$18))),K100)))</f>
        <v>1405.625</v>
      </c>
      <c r="M100" s="11" t="n">
        <f aca="false">IF(M$1&lt;Units!$P99,0,IF(AND(Units!$K99=0,M$1=Units!$O99),Units!$R99,IF(AND(M$1&gt;=Units!$Q99,MOD(M$1-Units!$Q99,12)=0),IF(AND(Units!$L99=1,M$1=Units!$Q99),IF(Units!$J99&lt;&gt;"",Units!$J99,Mkt!M100),Inputs!$B$15*Mkt!M100+(1-Inputs!$B$15)*MIN(Mkt!M100,L100*(1+Inputs!$B$18))),L100)))</f>
        <v>1405.625</v>
      </c>
      <c r="N100" s="11" t="n">
        <f aca="false">IF(N$1&lt;Units!$P99,0,IF(AND(Units!$K99=0,N$1=Units!$O99),Units!$R99,IF(AND(N$1&gt;=Units!$Q99,MOD(N$1-Units!$Q99,12)=0),IF(AND(Units!$L99=1,N$1=Units!$Q99),IF(Units!$J99&lt;&gt;"",Units!$J99,Mkt!N100),Inputs!$B$15*Mkt!N100+(1-Inputs!$B$15)*MIN(Mkt!N100,M100*(1+Inputs!$B$18))),M100)))</f>
        <v>1405.625</v>
      </c>
      <c r="O100" s="11" t="n">
        <f aca="false">IF(O$1&lt;Units!$P99,0,IF(AND(Units!$K99=0,O$1=Units!$O99),Units!$R99,IF(AND(O$1&gt;=Units!$Q99,MOD(O$1-Units!$Q99,12)=0),IF(AND(Units!$L99=1,O$1=Units!$Q99),IF(Units!$J99&lt;&gt;"",Units!$J99,Mkt!O100),Inputs!$B$15*Mkt!O100+(1-Inputs!$B$15)*MIN(Mkt!O100,N100*(1+Inputs!$B$18))),N100)))</f>
        <v>1405.625</v>
      </c>
      <c r="P100" s="11" t="n">
        <f aca="false">IF(P$1&lt;Units!$P99,0,IF(AND(Units!$K99=0,P$1=Units!$O99),Units!$R99,IF(AND(P$1&gt;=Units!$Q99,MOD(P$1-Units!$Q99,12)=0),IF(AND(Units!$L99=1,P$1=Units!$Q99),IF(Units!$J99&lt;&gt;"",Units!$J99,Mkt!P100),Inputs!$B$15*Mkt!P100+(1-Inputs!$B$15)*MIN(Mkt!P100,O100*(1+Inputs!$B$18))),O100)))</f>
        <v>1405.625</v>
      </c>
      <c r="Q100" s="11" t="n">
        <f aca="false">IF(Q$1&lt;Units!$P99,0,IF(AND(Units!$K99=0,Q$1=Units!$O99),Units!$R99,IF(AND(Q$1&gt;=Units!$Q99,MOD(Q$1-Units!$Q99,12)=0),IF(AND(Units!$L99=1,Q$1=Units!$Q99),IF(Units!$J99&lt;&gt;"",Units!$J99,Mkt!Q100),Inputs!$B$15*Mkt!Q100+(1-Inputs!$B$15)*MIN(Mkt!Q100,P100*(1+Inputs!$B$18))),P100)))</f>
        <v>1405.625</v>
      </c>
      <c r="R100" s="11" t="n">
        <f aca="false">IF(R$1&lt;Units!$P99,0,IF(AND(Units!$K99=0,R$1=Units!$O99),Units!$R99,IF(AND(R$1&gt;=Units!$Q99,MOD(R$1-Units!$Q99,12)=0),IF(AND(Units!$L99=1,R$1=Units!$Q99),IF(Units!$J99&lt;&gt;"",Units!$J99,Mkt!R100),Inputs!$B$15*Mkt!R100+(1-Inputs!$B$15)*MIN(Mkt!R100,Q100*(1+Inputs!$B$18))),Q100)))</f>
        <v>1523.328125</v>
      </c>
      <c r="S100" s="11" t="n">
        <f aca="false">IF(S$1&lt;Units!$P99,0,IF(AND(Units!$K99=0,S$1=Units!$O99),Units!$R99,IF(AND(S$1&gt;=Units!$Q99,MOD(S$1-Units!$Q99,12)=0),IF(AND(Units!$L99=1,S$1=Units!$Q99),IF(Units!$J99&lt;&gt;"",Units!$J99,Mkt!S100),Inputs!$B$15*Mkt!S100+(1-Inputs!$B$15)*MIN(Mkt!S100,R100*(1+Inputs!$B$18))),R100)))</f>
        <v>1523.328125</v>
      </c>
      <c r="T100" s="11" t="n">
        <f aca="false">IF(T$1&lt;Units!$P99,0,IF(AND(Units!$K99=0,T$1=Units!$O99),Units!$R99,IF(AND(T$1&gt;=Units!$Q99,MOD(T$1-Units!$Q99,12)=0),IF(AND(Units!$L99=1,T$1=Units!$Q99),IF(Units!$J99&lt;&gt;"",Units!$J99,Mkt!T100),Inputs!$B$15*Mkt!T100+(1-Inputs!$B$15)*MIN(Mkt!T100,S100*(1+Inputs!$B$18))),S100)))</f>
        <v>1523.328125</v>
      </c>
      <c r="U100" s="11" t="n">
        <f aca="false">IF(U$1&lt;Units!$P99,0,IF(AND(Units!$K99=0,U$1=Units!$O99),Units!$R99,IF(AND(U$1&gt;=Units!$Q99,MOD(U$1-Units!$Q99,12)=0),IF(AND(Units!$L99=1,U$1=Units!$Q99),IF(Units!$J99&lt;&gt;"",Units!$J99,Mkt!U100),Inputs!$B$15*Mkt!U100+(1-Inputs!$B$15)*MIN(Mkt!U100,T100*(1+Inputs!$B$18))),T100)))</f>
        <v>1523.328125</v>
      </c>
      <c r="V100" s="11" t="n">
        <f aca="false">IF(V$1&lt;Units!$P99,0,IF(AND(Units!$K99=0,V$1=Units!$O99),Units!$R99,IF(AND(V$1&gt;=Units!$Q99,MOD(V$1-Units!$Q99,12)=0),IF(AND(Units!$L99=1,V$1=Units!$Q99),IF(Units!$J99&lt;&gt;"",Units!$J99,Mkt!V100),Inputs!$B$15*Mkt!V100+(1-Inputs!$B$15)*MIN(Mkt!V100,U100*(1+Inputs!$B$18))),U100)))</f>
        <v>1523.328125</v>
      </c>
      <c r="W100" s="11" t="n">
        <f aca="false">IF(W$1&lt;Units!$P99,0,IF(AND(Units!$K99=0,W$1=Units!$O99),Units!$R99,IF(AND(W$1&gt;=Units!$Q99,MOD(W$1-Units!$Q99,12)=0),IF(AND(Units!$L99=1,W$1=Units!$Q99),IF(Units!$J99&lt;&gt;"",Units!$J99,Mkt!W100),Inputs!$B$15*Mkt!W100+(1-Inputs!$B$15)*MIN(Mkt!W100,V100*(1+Inputs!$B$18))),V100)))</f>
        <v>1523.328125</v>
      </c>
      <c r="X100" s="11" t="n">
        <f aca="false">IF(X$1&lt;Units!$P99,0,IF(AND(Units!$K99=0,X$1=Units!$O99),Units!$R99,IF(AND(X$1&gt;=Units!$Q99,MOD(X$1-Units!$Q99,12)=0),IF(AND(Units!$L99=1,X$1=Units!$Q99),IF(Units!$J99&lt;&gt;"",Units!$J99,Mkt!X100),Inputs!$B$15*Mkt!X100+(1-Inputs!$B$15)*MIN(Mkt!X100,W100*(1+Inputs!$B$18))),W100)))</f>
        <v>1523.328125</v>
      </c>
      <c r="Y100" s="11" t="n">
        <f aca="false">IF(Y$1&lt;Units!$P99,0,IF(AND(Units!$K99=0,Y$1=Units!$O99),Units!$R99,IF(AND(Y$1&gt;=Units!$Q99,MOD(Y$1-Units!$Q99,12)=0),IF(AND(Units!$L99=1,Y$1=Units!$Q99),IF(Units!$J99&lt;&gt;"",Units!$J99,Mkt!Y100),Inputs!$B$15*Mkt!Y100+(1-Inputs!$B$15)*MIN(Mkt!Y100,X100*(1+Inputs!$B$18))),X100)))</f>
        <v>1523.328125</v>
      </c>
      <c r="Z100" s="11" t="n">
        <f aca="false">IF(Z$1&lt;Units!$P99,0,IF(AND(Units!$K99=0,Z$1=Units!$O99),Units!$R99,IF(AND(Z$1&gt;=Units!$Q99,MOD(Z$1-Units!$Q99,12)=0),IF(AND(Units!$L99=1,Z$1=Units!$Q99),IF(Units!$J99&lt;&gt;"",Units!$J99,Mkt!Z100),Inputs!$B$15*Mkt!Z100+(1-Inputs!$B$15)*MIN(Mkt!Z100,Y100*(1+Inputs!$B$18))),Y100)))</f>
        <v>1523.328125</v>
      </c>
      <c r="AA100" s="11" t="n">
        <f aca="false">IF(AA$1&lt;Units!$P99,0,IF(AND(Units!$K99=0,AA$1=Units!$O99),Units!$R99,IF(AND(AA$1&gt;=Units!$Q99,MOD(AA$1-Units!$Q99,12)=0),IF(AND(Units!$L99=1,AA$1=Units!$Q99),IF(Units!$J99&lt;&gt;"",Units!$J99,Mkt!AA100),Inputs!$B$15*Mkt!AA100+(1-Inputs!$B$15)*MIN(Mkt!AA100,Z100*(1+Inputs!$B$18))),Z100)))</f>
        <v>1523.328125</v>
      </c>
      <c r="AB100" s="11" t="n">
        <f aca="false">IF(AB$1&lt;Units!$P99,0,IF(AND(Units!$K99=0,AB$1=Units!$O99),Units!$R99,IF(AND(AB$1&gt;=Units!$Q99,MOD(AB$1-Units!$Q99,12)=0),IF(AND(Units!$L99=1,AB$1=Units!$Q99),IF(Units!$J99&lt;&gt;"",Units!$J99,Mkt!AB100),Inputs!$B$15*Mkt!AB100+(1-Inputs!$B$15)*MIN(Mkt!AB100,AA100*(1+Inputs!$B$18))),AA100)))</f>
        <v>1523.328125</v>
      </c>
      <c r="AC100" s="11" t="n">
        <f aca="false">IF(AC$1&lt;Units!$P99,0,IF(AND(Units!$K99=0,AC$1=Units!$O99),Units!$R99,IF(AND(AC$1&gt;=Units!$Q99,MOD(AC$1-Units!$Q99,12)=0),IF(AND(Units!$L99=1,AC$1=Units!$Q99),IF(Units!$J99&lt;&gt;"",Units!$J99,Mkt!AC100),Inputs!$B$15*Mkt!AC100+(1-Inputs!$B$15)*MIN(Mkt!AC100,AB100*(1+Inputs!$B$18))),AB100)))</f>
        <v>1523.328125</v>
      </c>
      <c r="AD100" s="11" t="n">
        <f aca="false">IF(AD$1&lt;Units!$P99,0,IF(AND(Units!$K99=0,AD$1=Units!$O99),Units!$R99,IF(AND(AD$1&gt;=Units!$Q99,MOD(AD$1-Units!$Q99,12)=0),IF(AND(Units!$L99=1,AD$1=Units!$Q99),IF(Units!$J99&lt;&gt;"",Units!$J99,Mkt!AD100),Inputs!$B$15*Mkt!AD100+(1-Inputs!$B$15)*MIN(Mkt!AD100,AC100*(1+Inputs!$B$18))),AC100)))</f>
        <v>1608.683515625</v>
      </c>
      <c r="AE100" s="11" t="n">
        <f aca="false">IF(AE$1&lt;Units!$P99,0,IF(AND(Units!$K99=0,AE$1=Units!$O99),Units!$R99,IF(AND(AE$1&gt;=Units!$Q99,MOD(AE$1-Units!$Q99,12)=0),IF(AND(Units!$L99=1,AE$1=Units!$Q99),IF(Units!$J99&lt;&gt;"",Units!$J99,Mkt!AE100),Inputs!$B$15*Mkt!AE100+(1-Inputs!$B$15)*MIN(Mkt!AE100,AD100*(1+Inputs!$B$18))),AD100)))</f>
        <v>1608.683515625</v>
      </c>
      <c r="AF100" s="11" t="n">
        <f aca="false">IF(AF$1&lt;Units!$P99,0,IF(AND(Units!$K99=0,AF$1=Units!$O99),Units!$R99,IF(AND(AF$1&gt;=Units!$Q99,MOD(AF$1-Units!$Q99,12)=0),IF(AND(Units!$L99=1,AF$1=Units!$Q99),IF(Units!$J99&lt;&gt;"",Units!$J99,Mkt!AF100),Inputs!$B$15*Mkt!AF100+(1-Inputs!$B$15)*MIN(Mkt!AF100,AE100*(1+Inputs!$B$18))),AE100)))</f>
        <v>1608.683515625</v>
      </c>
      <c r="AG100" s="11" t="n">
        <f aca="false">IF(AG$1&lt;Units!$P99,0,IF(AND(Units!$K99=0,AG$1=Units!$O99),Units!$R99,IF(AND(AG$1&gt;=Units!$Q99,MOD(AG$1-Units!$Q99,12)=0),IF(AND(Units!$L99=1,AG$1=Units!$Q99),IF(Units!$J99&lt;&gt;"",Units!$J99,Mkt!AG100),Inputs!$B$15*Mkt!AG100+(1-Inputs!$B$15)*MIN(Mkt!AG100,AF100*(1+Inputs!$B$18))),AF100)))</f>
        <v>1608.683515625</v>
      </c>
      <c r="AH100" s="11" t="n">
        <f aca="false">IF(AH$1&lt;Units!$P99,0,IF(AND(Units!$K99=0,AH$1=Units!$O99),Units!$R99,IF(AND(AH$1&gt;=Units!$Q99,MOD(AH$1-Units!$Q99,12)=0),IF(AND(Units!$L99=1,AH$1=Units!$Q99),IF(Units!$J99&lt;&gt;"",Units!$J99,Mkt!AH100),Inputs!$B$15*Mkt!AH100+(1-Inputs!$B$15)*MIN(Mkt!AH100,AG100*(1+Inputs!$B$18))),AG100)))</f>
        <v>1608.683515625</v>
      </c>
      <c r="AI100" s="11" t="n">
        <f aca="false">IF(AI$1&lt;Units!$P99,0,IF(AND(Units!$K99=0,AI$1=Units!$O99),Units!$R99,IF(AND(AI$1&gt;=Units!$Q99,MOD(AI$1-Units!$Q99,12)=0),IF(AND(Units!$L99=1,AI$1=Units!$Q99),IF(Units!$J99&lt;&gt;"",Units!$J99,Mkt!AI100),Inputs!$B$15*Mkt!AI100+(1-Inputs!$B$15)*MIN(Mkt!AI100,AH100*(1+Inputs!$B$18))),AH100)))</f>
        <v>1608.683515625</v>
      </c>
      <c r="AJ100" s="11" t="n">
        <f aca="false">IF(AJ$1&lt;Units!$P99,0,IF(AND(Units!$K99=0,AJ$1=Units!$O99),Units!$R99,IF(AND(AJ$1&gt;=Units!$Q99,MOD(AJ$1-Units!$Q99,12)=0),IF(AND(Units!$L99=1,AJ$1=Units!$Q99),IF(Units!$J99&lt;&gt;"",Units!$J99,Mkt!AJ100),Inputs!$B$15*Mkt!AJ100+(1-Inputs!$B$15)*MIN(Mkt!AJ100,AI100*(1+Inputs!$B$18))),AI100)))</f>
        <v>1608.683515625</v>
      </c>
      <c r="AK100" s="11" t="n">
        <f aca="false">IF(AK$1&lt;Units!$P99,0,IF(AND(Units!$K99=0,AK$1=Units!$O99),Units!$R99,IF(AND(AK$1&gt;=Units!$Q99,MOD(AK$1-Units!$Q99,12)=0),IF(AND(Units!$L99=1,AK$1=Units!$Q99),IF(Units!$J99&lt;&gt;"",Units!$J99,Mkt!AK100),Inputs!$B$15*Mkt!AK100+(1-Inputs!$B$15)*MIN(Mkt!AK100,AJ100*(1+Inputs!$B$18))),AJ100)))</f>
        <v>1608.683515625</v>
      </c>
      <c r="AL100" s="11" t="n">
        <f aca="false">IF(AL$1&lt;Units!$P99,0,IF(AND(Units!$K99=0,AL$1=Units!$O99),Units!$R99,IF(AND(AL$1&gt;=Units!$Q99,MOD(AL$1-Units!$Q99,12)=0),IF(AND(Units!$L99=1,AL$1=Units!$Q99),IF(Units!$J99&lt;&gt;"",Units!$J99,Mkt!AL100),Inputs!$B$15*Mkt!AL100+(1-Inputs!$B$15)*MIN(Mkt!AL100,AK100*(1+Inputs!$B$18))),AK100)))</f>
        <v>1608.683515625</v>
      </c>
      <c r="AM100" s="11" t="n">
        <f aca="false">IF(AM$1&lt;Units!$P99,0,IF(AND(Units!$K99=0,AM$1=Units!$O99),Units!$R99,IF(AND(AM$1&gt;=Units!$Q99,MOD(AM$1-Units!$Q99,12)=0),IF(AND(Units!$L99=1,AM$1=Units!$Q99),IF(Units!$J99&lt;&gt;"",Units!$J99,Mkt!AM100),Inputs!$B$15*Mkt!AM100+(1-Inputs!$B$15)*MIN(Mkt!AM100,AL100*(1+Inputs!$B$18))),AL100)))</f>
        <v>1608.683515625</v>
      </c>
      <c r="AN100" s="11" t="n">
        <f aca="false">IF(AN$1&lt;Units!$P99,0,IF(AND(Units!$K99=0,AN$1=Units!$O99),Units!$R99,IF(AND(AN$1&gt;=Units!$Q99,MOD(AN$1-Units!$Q99,12)=0),IF(AND(Units!$L99=1,AN$1=Units!$Q99),IF(Units!$J99&lt;&gt;"",Units!$J99,Mkt!AN100),Inputs!$B$15*Mkt!AN100+(1-Inputs!$B$15)*MIN(Mkt!AN100,AM100*(1+Inputs!$B$18))),AM100)))</f>
        <v>1608.683515625</v>
      </c>
      <c r="AO100" s="11" t="n">
        <f aca="false">IF(AO$1&lt;Units!$P99,0,IF(AND(Units!$K99=0,AO$1=Units!$O99),Units!$R99,IF(AND(AO$1&gt;=Units!$Q99,MOD(AO$1-Units!$Q99,12)=0),IF(AND(Units!$L99=1,AO$1=Units!$Q99),IF(Units!$J99&lt;&gt;"",Units!$J99,Mkt!AO100),Inputs!$B$15*Mkt!AO100+(1-Inputs!$B$15)*MIN(Mkt!AO100,AN100*(1+Inputs!$B$18))),AN100)))</f>
        <v>1608.683515625</v>
      </c>
      <c r="AP100" s="11" t="n">
        <f aca="false">IF(AP$1&lt;Units!$P99,0,IF(AND(Units!$K99=0,AP$1=Units!$O99),Units!$R99,IF(AND(AP$1&gt;=Units!$Q99,MOD(AP$1-Units!$Q99,12)=0),IF(AND(Units!$L99=1,AP$1=Units!$Q99),IF(Units!$J99&lt;&gt;"",Units!$J99,Mkt!AP100),Inputs!$B$15*Mkt!AP100+(1-Inputs!$B$15)*MIN(Mkt!AP100,AO100*(1+Inputs!$B$18))),AO100)))</f>
        <v>1666.408675</v>
      </c>
      <c r="AQ100" s="11" t="n">
        <f aca="false">IF(AQ$1&lt;Units!$P99,0,IF(AND(Units!$K99=0,AQ$1=Units!$O99),Units!$R99,IF(AND(AQ$1&gt;=Units!$Q99,MOD(AQ$1-Units!$Q99,12)=0),IF(AND(Units!$L99=1,AQ$1=Units!$Q99),IF(Units!$J99&lt;&gt;"",Units!$J99,Mkt!AQ100),Inputs!$B$15*Mkt!AQ100+(1-Inputs!$B$15)*MIN(Mkt!AQ100,AP100*(1+Inputs!$B$18))),AP100)))</f>
        <v>1666.408675</v>
      </c>
      <c r="AR100" s="11" t="n">
        <f aca="false">IF(AR$1&lt;Units!$P99,0,IF(AND(Units!$K99=0,AR$1=Units!$O99),Units!$R99,IF(AND(AR$1&gt;=Units!$Q99,MOD(AR$1-Units!$Q99,12)=0),IF(AND(Units!$L99=1,AR$1=Units!$Q99),IF(Units!$J99&lt;&gt;"",Units!$J99,Mkt!AR100),Inputs!$B$15*Mkt!AR100+(1-Inputs!$B$15)*MIN(Mkt!AR100,AQ100*(1+Inputs!$B$18))),AQ100)))</f>
        <v>1666.408675</v>
      </c>
      <c r="AS100" s="11" t="n">
        <f aca="false">IF(AS$1&lt;Units!$P99,0,IF(AND(Units!$K99=0,AS$1=Units!$O99),Units!$R99,IF(AND(AS$1&gt;=Units!$Q99,MOD(AS$1-Units!$Q99,12)=0),IF(AND(Units!$L99=1,AS$1=Units!$Q99),IF(Units!$J99&lt;&gt;"",Units!$J99,Mkt!AS100),Inputs!$B$15*Mkt!AS100+(1-Inputs!$B$15)*MIN(Mkt!AS100,AR100*(1+Inputs!$B$18))),AR100)))</f>
        <v>1666.408675</v>
      </c>
      <c r="AT100" s="11" t="n">
        <f aca="false">IF(AT$1&lt;Units!$P99,0,IF(AND(Units!$K99=0,AT$1=Units!$O99),Units!$R99,IF(AND(AT$1&gt;=Units!$Q99,MOD(AT$1-Units!$Q99,12)=0),IF(AND(Units!$L99=1,AT$1=Units!$Q99),IF(Units!$J99&lt;&gt;"",Units!$J99,Mkt!AT100),Inputs!$B$15*Mkt!AT100+(1-Inputs!$B$15)*MIN(Mkt!AT100,AS100*(1+Inputs!$B$18))),AS100)))</f>
        <v>1666.408675</v>
      </c>
      <c r="AU100" s="11" t="n">
        <f aca="false">IF(AU$1&lt;Units!$P99,0,IF(AND(Units!$K99=0,AU$1=Units!$O99),Units!$R99,IF(AND(AU$1&gt;=Units!$Q99,MOD(AU$1-Units!$Q99,12)=0),IF(AND(Units!$L99=1,AU$1=Units!$Q99),IF(Units!$J99&lt;&gt;"",Units!$J99,Mkt!AU100),Inputs!$B$15*Mkt!AU100+(1-Inputs!$B$15)*MIN(Mkt!AU100,AT100*(1+Inputs!$B$18))),AT100)))</f>
        <v>1666.408675</v>
      </c>
      <c r="AV100" s="11" t="n">
        <f aca="false">IF(AV$1&lt;Units!$P99,0,IF(AND(Units!$K99=0,AV$1=Units!$O99),Units!$R99,IF(AND(AV$1&gt;=Units!$Q99,MOD(AV$1-Units!$Q99,12)=0),IF(AND(Units!$L99=1,AV$1=Units!$Q99),IF(Units!$J99&lt;&gt;"",Units!$J99,Mkt!AV100),Inputs!$B$15*Mkt!AV100+(1-Inputs!$B$15)*MIN(Mkt!AV100,AU100*(1+Inputs!$B$18))),AU100)))</f>
        <v>1666.408675</v>
      </c>
      <c r="AW100" s="11" t="n">
        <f aca="false">IF(AW$1&lt;Units!$P99,0,IF(AND(Units!$K99=0,AW$1=Units!$O99),Units!$R99,IF(AND(AW$1&gt;=Units!$Q99,MOD(AW$1-Units!$Q99,12)=0),IF(AND(Units!$L99=1,AW$1=Units!$Q99),IF(Units!$J99&lt;&gt;"",Units!$J99,Mkt!AW100),Inputs!$B$15*Mkt!AW100+(1-Inputs!$B$15)*MIN(Mkt!AW100,AV100*(1+Inputs!$B$18))),AV100)))</f>
        <v>1666.408675</v>
      </c>
      <c r="AX100" s="11" t="n">
        <f aca="false">IF(AX$1&lt;Units!$P99,0,IF(AND(Units!$K99=0,AX$1=Units!$O99),Units!$R99,IF(AND(AX$1&gt;=Units!$Q99,MOD(AX$1-Units!$Q99,12)=0),IF(AND(Units!$L99=1,AX$1=Units!$Q99),IF(Units!$J99&lt;&gt;"",Units!$J99,Mkt!AX100),Inputs!$B$15*Mkt!AX100+(1-Inputs!$B$15)*MIN(Mkt!AX100,AW100*(1+Inputs!$B$18))),AW100)))</f>
        <v>1666.408675</v>
      </c>
      <c r="AY100" s="11" t="n">
        <f aca="false">IF(AY$1&lt;Units!$P99,0,IF(AND(Units!$K99=0,AY$1=Units!$O99),Units!$R99,IF(AND(AY$1&gt;=Units!$Q99,MOD(AY$1-Units!$Q99,12)=0),IF(AND(Units!$L99=1,AY$1=Units!$Q99),IF(Units!$J99&lt;&gt;"",Units!$J99,Mkt!AY100),Inputs!$B$15*Mkt!AY100+(1-Inputs!$B$15)*MIN(Mkt!AY100,AX100*(1+Inputs!$B$18))),AX100)))</f>
        <v>1666.408675</v>
      </c>
      <c r="AZ100" s="11" t="n">
        <f aca="false">IF(AZ$1&lt;Units!$P99,0,IF(AND(Units!$K99=0,AZ$1=Units!$O99),Units!$R99,IF(AND(AZ$1&gt;=Units!$Q99,MOD(AZ$1-Units!$Q99,12)=0),IF(AND(Units!$L99=1,AZ$1=Units!$Q99),IF(Units!$J99&lt;&gt;"",Units!$J99,Mkt!AZ100),Inputs!$B$15*Mkt!AZ100+(1-Inputs!$B$15)*MIN(Mkt!AZ100,AY100*(1+Inputs!$B$18))),AY100)))</f>
        <v>1666.408675</v>
      </c>
      <c r="BA100" s="11" t="n">
        <f aca="false">IF(BA$1&lt;Units!$P99,0,IF(AND(Units!$K99=0,BA$1=Units!$O99),Units!$R99,IF(AND(BA$1&gt;=Units!$Q99,MOD(BA$1-Units!$Q99,12)=0),IF(AND(Units!$L99=1,BA$1=Units!$Q99),IF(Units!$J99&lt;&gt;"",Units!$J99,Mkt!BA100),Inputs!$B$15*Mkt!BA100+(1-Inputs!$B$15)*MIN(Mkt!BA100,AZ100*(1+Inputs!$B$18))),AZ100)))</f>
        <v>1666.408675</v>
      </c>
      <c r="BB100" s="11" t="n">
        <f aca="false">IF(BB$1&lt;Units!$P99,0,IF(AND(Units!$K99=0,BB$1=Units!$O99),Units!$R99,IF(AND(BB$1&gt;=Units!$Q99,MOD(BB$1-Units!$Q99,12)=0),IF(AND(Units!$L99=1,BB$1=Units!$Q99),IF(Units!$J99&lt;&gt;"",Units!$J99,Mkt!BB100),Inputs!$B$15*Mkt!BB100+(1-Inputs!$B$15)*MIN(Mkt!BB100,BA100*(1+Inputs!$B$18))),BA100)))</f>
        <v>1716.40093525</v>
      </c>
      <c r="BC100" s="11" t="n">
        <f aca="false">IF(BC$1&lt;Units!$P99,0,IF(AND(Units!$K99=0,BC$1=Units!$O99),Units!$R99,IF(AND(BC$1&gt;=Units!$Q99,MOD(BC$1-Units!$Q99,12)=0),IF(AND(Units!$L99=1,BC$1=Units!$Q99),IF(Units!$J99&lt;&gt;"",Units!$J99,Mkt!BC100),Inputs!$B$15*Mkt!BC100+(1-Inputs!$B$15)*MIN(Mkt!BC100,BB100*(1+Inputs!$B$18))),BB100)))</f>
        <v>1716.40093525</v>
      </c>
      <c r="BD100" s="11" t="n">
        <f aca="false">IF(BD$1&lt;Units!$P99,0,IF(AND(Units!$K99=0,BD$1=Units!$O99),Units!$R99,IF(AND(BD$1&gt;=Units!$Q99,MOD(BD$1-Units!$Q99,12)=0),IF(AND(Units!$L99=1,BD$1=Units!$Q99),IF(Units!$J99&lt;&gt;"",Units!$J99,Mkt!BD100),Inputs!$B$15*Mkt!BD100+(1-Inputs!$B$15)*MIN(Mkt!BD100,BC100*(1+Inputs!$B$18))),BC100)))</f>
        <v>1716.40093525</v>
      </c>
      <c r="BE100" s="11" t="n">
        <f aca="false">IF(BE$1&lt;Units!$P99,0,IF(AND(Units!$K99=0,BE$1=Units!$O99),Units!$R99,IF(AND(BE$1&gt;=Units!$Q99,MOD(BE$1-Units!$Q99,12)=0),IF(AND(Units!$L99=1,BE$1=Units!$Q99),IF(Units!$J99&lt;&gt;"",Units!$J99,Mkt!BE100),Inputs!$B$15*Mkt!BE100+(1-Inputs!$B$15)*MIN(Mkt!BE100,BD100*(1+Inputs!$B$18))),BD100)))</f>
        <v>1716.40093525</v>
      </c>
      <c r="BF100" s="11" t="n">
        <f aca="false">IF(BF$1&lt;Units!$P99,0,IF(AND(Units!$K99=0,BF$1=Units!$O99),Units!$R99,IF(AND(BF$1&gt;=Units!$Q99,MOD(BF$1-Units!$Q99,12)=0),IF(AND(Units!$L99=1,BF$1=Units!$Q99),IF(Units!$J99&lt;&gt;"",Units!$J99,Mkt!BF100),Inputs!$B$15*Mkt!BF100+(1-Inputs!$B$15)*MIN(Mkt!BF100,BE100*(1+Inputs!$B$18))),BE100)))</f>
        <v>1716.40093525</v>
      </c>
      <c r="BG100" s="11" t="n">
        <f aca="false">IF(BG$1&lt;Units!$P99,0,IF(AND(Units!$K99=0,BG$1=Units!$O99),Units!$R99,IF(AND(BG$1&gt;=Units!$Q99,MOD(BG$1-Units!$Q99,12)=0),IF(AND(Units!$L99=1,BG$1=Units!$Q99),IF(Units!$J99&lt;&gt;"",Units!$J99,Mkt!BG100),Inputs!$B$15*Mkt!BG100+(1-Inputs!$B$15)*MIN(Mkt!BG100,BF100*(1+Inputs!$B$18))),BF100)))</f>
        <v>1716.40093525</v>
      </c>
      <c r="BH100" s="11" t="n">
        <f aca="false">IF(BH$1&lt;Units!$P99,0,IF(AND(Units!$K99=0,BH$1=Units!$O99),Units!$R99,IF(AND(BH$1&gt;=Units!$Q99,MOD(BH$1-Units!$Q99,12)=0),IF(AND(Units!$L99=1,BH$1=Units!$Q99),IF(Units!$J99&lt;&gt;"",Units!$J99,Mkt!BH100),Inputs!$B$15*Mkt!BH100+(1-Inputs!$B$15)*MIN(Mkt!BH100,BG100*(1+Inputs!$B$18))),BG100)))</f>
        <v>1716.40093525</v>
      </c>
      <c r="BI100" s="11" t="n">
        <f aca="false">IF(BI$1&lt;Units!$P99,0,IF(AND(Units!$K99=0,BI$1=Units!$O99),Units!$R99,IF(AND(BI$1&gt;=Units!$Q99,MOD(BI$1-Units!$Q99,12)=0),IF(AND(Units!$L99=1,BI$1=Units!$Q99),IF(Units!$J99&lt;&gt;"",Units!$J99,Mkt!BI100),Inputs!$B$15*Mkt!BI100+(1-Inputs!$B$15)*MIN(Mkt!BI100,BH100*(1+Inputs!$B$18))),BH100)))</f>
        <v>1716.40093525</v>
      </c>
      <c r="BJ100" s="11" t="n">
        <f aca="false">IF(BJ$1&lt;Units!$P99,0,IF(AND(Units!$K99=0,BJ$1=Units!$O99),Units!$R99,IF(AND(BJ$1&gt;=Units!$Q99,MOD(BJ$1-Units!$Q99,12)=0),IF(AND(Units!$L99=1,BJ$1=Units!$Q99),IF(Units!$J99&lt;&gt;"",Units!$J99,Mkt!BJ100),Inputs!$B$15*Mkt!BJ100+(1-Inputs!$B$15)*MIN(Mkt!BJ100,BI100*(1+Inputs!$B$18))),BI100)))</f>
        <v>1716.40093525</v>
      </c>
      <c r="BK100" s="11" t="n">
        <f aca="false">IF(BK$1&lt;Units!$P99,0,IF(AND(Units!$K99=0,BK$1=Units!$O99),Units!$R99,IF(AND(BK$1&gt;=Units!$Q99,MOD(BK$1-Units!$Q99,12)=0),IF(AND(Units!$L99=1,BK$1=Units!$Q99),IF(Units!$J99&lt;&gt;"",Units!$J99,Mkt!BK100),Inputs!$B$15*Mkt!BK100+(1-Inputs!$B$15)*MIN(Mkt!BK100,BJ100*(1+Inputs!$B$18))),BJ100)))</f>
        <v>1716.40093525</v>
      </c>
      <c r="BL100" s="11" t="n">
        <f aca="false">IF(BL$1&lt;Units!$P99,0,IF(AND(Units!$K99=0,BL$1=Units!$O99),Units!$R99,IF(AND(BL$1&gt;=Units!$Q99,MOD(BL$1-Units!$Q99,12)=0),IF(AND(Units!$L99=1,BL$1=Units!$Q99),IF(Units!$J99&lt;&gt;"",Units!$J99,Mkt!BL100),Inputs!$B$15*Mkt!BL100+(1-Inputs!$B$15)*MIN(Mkt!BL100,BK100*(1+Inputs!$B$18))),BK100)))</f>
        <v>1716.40093525</v>
      </c>
      <c r="BM100" s="11" t="n">
        <f aca="false">IF(BM$1&lt;Units!$P99,0,IF(AND(Units!$K99=0,BM$1=Units!$O99),Units!$R99,IF(AND(BM$1&gt;=Units!$Q99,MOD(BM$1-Units!$Q99,12)=0),IF(AND(Units!$L99=1,BM$1=Units!$Q99),IF(Units!$J99&lt;&gt;"",Units!$J99,Mkt!BM100),Inputs!$B$15*Mkt!BM100+(1-Inputs!$B$15)*MIN(Mkt!BM100,BL100*(1+Inputs!$B$18))),BL100)))</f>
        <v>1716.40093525</v>
      </c>
      <c r="BN100" s="11" t="n">
        <f aca="false">IF(BN$1&lt;Units!$P99,0,IF(AND(Units!$K99=0,BN$1=Units!$O99),Units!$R99,IF(AND(BN$1&gt;=Units!$Q99,MOD(BN$1-Units!$Q99,12)=0),IF(AND(Units!$L99=1,BN$1=Units!$Q99),IF(Units!$J99&lt;&gt;"",Units!$J99,Mkt!BN100),Inputs!$B$15*Mkt!BN100+(1-Inputs!$B$15)*MIN(Mkt!BN100,BM100*(1+Inputs!$B$18))),BM100)))</f>
        <v>1767.8929633075</v>
      </c>
      <c r="BO100" s="11" t="n">
        <f aca="false">IF(BO$1&lt;Units!$P99,0,IF(AND(Units!$K99=0,BO$1=Units!$O99),Units!$R99,IF(AND(BO$1&gt;=Units!$Q99,MOD(BO$1-Units!$Q99,12)=0),IF(AND(Units!$L99=1,BO$1=Units!$Q99),IF(Units!$J99&lt;&gt;"",Units!$J99,Mkt!BO100),Inputs!$B$15*Mkt!BO100+(1-Inputs!$B$15)*MIN(Mkt!BO100,BN100*(1+Inputs!$B$18))),BN100)))</f>
        <v>1767.8929633075</v>
      </c>
      <c r="BP100" s="11" t="n">
        <f aca="false">IF(BP$1&lt;Units!$P99,0,IF(AND(Units!$K99=0,BP$1=Units!$O99),Units!$R99,IF(AND(BP$1&gt;=Units!$Q99,MOD(BP$1-Units!$Q99,12)=0),IF(AND(Units!$L99=1,BP$1=Units!$Q99),IF(Units!$J99&lt;&gt;"",Units!$J99,Mkt!BP100),Inputs!$B$15*Mkt!BP100+(1-Inputs!$B$15)*MIN(Mkt!BP100,BO100*(1+Inputs!$B$18))),BO100)))</f>
        <v>1767.8929633075</v>
      </c>
      <c r="BQ100" s="11" t="n">
        <f aca="false">IF(BQ$1&lt;Units!$P99,0,IF(AND(Units!$K99=0,BQ$1=Units!$O99),Units!$R99,IF(AND(BQ$1&gt;=Units!$Q99,MOD(BQ$1-Units!$Q99,12)=0),IF(AND(Units!$L99=1,BQ$1=Units!$Q99),IF(Units!$J99&lt;&gt;"",Units!$J99,Mkt!BQ100),Inputs!$B$15*Mkt!BQ100+(1-Inputs!$B$15)*MIN(Mkt!BQ100,BP100*(1+Inputs!$B$18))),BP100)))</f>
        <v>1767.8929633075</v>
      </c>
      <c r="BR100" s="11" t="n">
        <f aca="false">IF(BR$1&lt;Units!$P99,0,IF(AND(Units!$K99=0,BR$1=Units!$O99),Units!$R99,IF(AND(BR$1&gt;=Units!$Q99,MOD(BR$1-Units!$Q99,12)=0),IF(AND(Units!$L99=1,BR$1=Units!$Q99),IF(Units!$J99&lt;&gt;"",Units!$J99,Mkt!BR100),Inputs!$B$15*Mkt!BR100+(1-Inputs!$B$15)*MIN(Mkt!BR100,BQ100*(1+Inputs!$B$18))),BQ100)))</f>
        <v>1767.8929633075</v>
      </c>
      <c r="BS100" s="11" t="n">
        <f aca="false">IF(BS$1&lt;Units!$P99,0,IF(AND(Units!$K99=0,BS$1=Units!$O99),Units!$R99,IF(AND(BS$1&gt;=Units!$Q99,MOD(BS$1-Units!$Q99,12)=0),IF(AND(Units!$L99=1,BS$1=Units!$Q99),IF(Units!$J99&lt;&gt;"",Units!$J99,Mkt!BS100),Inputs!$B$15*Mkt!BS100+(1-Inputs!$B$15)*MIN(Mkt!BS100,BR100*(1+Inputs!$B$18))),BR100)))</f>
        <v>1767.8929633075</v>
      </c>
      <c r="BT100" s="11" t="n">
        <f aca="false">IF(BT$1&lt;Units!$P99,0,IF(AND(Units!$K99=0,BT$1=Units!$O99),Units!$R99,IF(AND(BT$1&gt;=Units!$Q99,MOD(BT$1-Units!$Q99,12)=0),IF(AND(Units!$L99=1,BT$1=Units!$Q99),IF(Units!$J99&lt;&gt;"",Units!$J99,Mkt!BT100),Inputs!$B$15*Mkt!BT100+(1-Inputs!$B$15)*MIN(Mkt!BT100,BS100*(1+Inputs!$B$18))),BS100)))</f>
        <v>1767.8929633075</v>
      </c>
      <c r="BU100" s="11" t="n">
        <f aca="false">IF(BU$1&lt;Units!$P99,0,IF(AND(Units!$K99=0,BU$1=Units!$O99),Units!$R99,IF(AND(BU$1&gt;=Units!$Q99,MOD(BU$1-Units!$Q99,12)=0),IF(AND(Units!$L99=1,BU$1=Units!$Q99),IF(Units!$J99&lt;&gt;"",Units!$J99,Mkt!BU100),Inputs!$B$15*Mkt!BU100+(1-Inputs!$B$15)*MIN(Mkt!BU100,BT100*(1+Inputs!$B$18))),BT100)))</f>
        <v>1767.8929633075</v>
      </c>
      <c r="BV100" s="11" t="n">
        <f aca="false">IF(BV$1&lt;Units!$P99,0,IF(AND(Units!$K99=0,BV$1=Units!$O99),Units!$R99,IF(AND(BV$1&gt;=Units!$Q99,MOD(BV$1-Units!$Q99,12)=0),IF(AND(Units!$L99=1,BV$1=Units!$Q99),IF(Units!$J99&lt;&gt;"",Units!$J99,Mkt!BV100),Inputs!$B$15*Mkt!BV100+(1-Inputs!$B$15)*MIN(Mkt!BV100,BU100*(1+Inputs!$B$18))),BU100)))</f>
        <v>1767.8929633075</v>
      </c>
      <c r="BW100" s="11" t="n">
        <f aca="false">IF(BW$1&lt;Units!$P99,0,IF(AND(Units!$K99=0,BW$1=Units!$O99),Units!$R99,IF(AND(BW$1&gt;=Units!$Q99,MOD(BW$1-Units!$Q99,12)=0),IF(AND(Units!$L99=1,BW$1=Units!$Q99),IF(Units!$J99&lt;&gt;"",Units!$J99,Mkt!BW100),Inputs!$B$15*Mkt!BW100+(1-Inputs!$B$15)*MIN(Mkt!BW100,BV100*(1+Inputs!$B$18))),BV100)))</f>
        <v>1767.8929633075</v>
      </c>
      <c r="BX100" s="11" t="n">
        <f aca="false">IF(BX$1&lt;Units!$P99,0,IF(AND(Units!$K99=0,BX$1=Units!$O99),Units!$R99,IF(AND(BX$1&gt;=Units!$Q99,MOD(BX$1-Units!$Q99,12)=0),IF(AND(Units!$L99=1,BX$1=Units!$Q99),IF(Units!$J99&lt;&gt;"",Units!$J99,Mkt!BX100),Inputs!$B$15*Mkt!BX100+(1-Inputs!$B$15)*MIN(Mkt!BX100,BW100*(1+Inputs!$B$18))),BW100)))</f>
        <v>1767.8929633075</v>
      </c>
      <c r="BY100" s="11" t="n">
        <f aca="false">IF(BY$1&lt;Units!$P99,0,IF(AND(Units!$K99=0,BY$1=Units!$O99),Units!$R99,IF(AND(BY$1&gt;=Units!$Q99,MOD(BY$1-Units!$Q99,12)=0),IF(AND(Units!$L99=1,BY$1=Units!$Q99),IF(Units!$J99&lt;&gt;"",Units!$J99,Mkt!BY100),Inputs!$B$15*Mkt!BY100+(1-Inputs!$B$15)*MIN(Mkt!BY100,BX100*(1+Inputs!$B$18))),BX100)))</f>
        <v>1767.8929633075</v>
      </c>
      <c r="BZ100" s="11" t="n">
        <f aca="false">IF(BZ$1&lt;Units!$P99,0,IF(AND(Units!$K99=0,BZ$1=Units!$O99),Units!$R99,IF(AND(BZ$1&gt;=Units!$Q99,MOD(BZ$1-Units!$Q99,12)=0),IF(AND(Units!$L99=1,BZ$1=Units!$Q99),IF(Units!$J99&lt;&gt;"",Units!$J99,Mkt!BZ100),Inputs!$B$15*Mkt!BZ100+(1-Inputs!$B$15)*MIN(Mkt!BZ100,BY100*(1+Inputs!$B$18))),BY100)))</f>
        <v>1820.92975220673</v>
      </c>
      <c r="CA100" s="11" t="n">
        <f aca="false">IF(CA$1&lt;Units!$P99,0,IF(AND(Units!$K99=0,CA$1=Units!$O99),Units!$R99,IF(AND(CA$1&gt;=Units!$Q99,MOD(CA$1-Units!$Q99,12)=0),IF(AND(Units!$L99=1,CA$1=Units!$Q99),IF(Units!$J99&lt;&gt;"",Units!$J99,Mkt!CA100),Inputs!$B$15*Mkt!CA100+(1-Inputs!$B$15)*MIN(Mkt!CA100,BZ100*(1+Inputs!$B$18))),BZ100)))</f>
        <v>1820.92975220673</v>
      </c>
      <c r="CB100" s="11" t="n">
        <f aca="false">IF(CB$1&lt;Units!$P99,0,IF(AND(Units!$K99=0,CB$1=Units!$O99),Units!$R99,IF(AND(CB$1&gt;=Units!$Q99,MOD(CB$1-Units!$Q99,12)=0),IF(AND(Units!$L99=1,CB$1=Units!$Q99),IF(Units!$J99&lt;&gt;"",Units!$J99,Mkt!CB100),Inputs!$B$15*Mkt!CB100+(1-Inputs!$B$15)*MIN(Mkt!CB100,CA100*(1+Inputs!$B$18))),CA100)))</f>
        <v>1820.92975220673</v>
      </c>
      <c r="CC100" s="11" t="n">
        <f aca="false">IF(CC$1&lt;Units!$P99,0,IF(AND(Units!$K99=0,CC$1=Units!$O99),Units!$R99,IF(AND(CC$1&gt;=Units!$Q99,MOD(CC$1-Units!$Q99,12)=0),IF(AND(Units!$L99=1,CC$1=Units!$Q99),IF(Units!$J99&lt;&gt;"",Units!$J99,Mkt!CC100),Inputs!$B$15*Mkt!CC100+(1-Inputs!$B$15)*MIN(Mkt!CC100,CB100*(1+Inputs!$B$18))),CB100)))</f>
        <v>1820.92975220673</v>
      </c>
      <c r="CD100" s="11" t="n">
        <f aca="false">IF(CD$1&lt;Units!$P99,0,IF(AND(Units!$K99=0,CD$1=Units!$O99),Units!$R99,IF(AND(CD$1&gt;=Units!$Q99,MOD(CD$1-Units!$Q99,12)=0),IF(AND(Units!$L99=1,CD$1=Units!$Q99),IF(Units!$J99&lt;&gt;"",Units!$J99,Mkt!CD100),Inputs!$B$15*Mkt!CD100+(1-Inputs!$B$15)*MIN(Mkt!CD100,CC100*(1+Inputs!$B$18))),CC100)))</f>
        <v>1820.92975220673</v>
      </c>
      <c r="CE100" s="11" t="n">
        <f aca="false">IF(CE$1&lt;Units!$P99,0,IF(AND(Units!$K99=0,CE$1=Units!$O99),Units!$R99,IF(AND(CE$1&gt;=Units!$Q99,MOD(CE$1-Units!$Q99,12)=0),IF(AND(Units!$L99=1,CE$1=Units!$Q99),IF(Units!$J99&lt;&gt;"",Units!$J99,Mkt!CE100),Inputs!$B$15*Mkt!CE100+(1-Inputs!$B$15)*MIN(Mkt!CE100,CD100*(1+Inputs!$B$18))),CD100)))</f>
        <v>1820.92975220673</v>
      </c>
      <c r="CF100" s="11" t="n">
        <f aca="false">IF(CF$1&lt;Units!$P99,0,IF(AND(Units!$K99=0,CF$1=Units!$O99),Units!$R99,IF(AND(CF$1&gt;=Units!$Q99,MOD(CF$1-Units!$Q99,12)=0),IF(AND(Units!$L99=1,CF$1=Units!$Q99),IF(Units!$J99&lt;&gt;"",Units!$J99,Mkt!CF100),Inputs!$B$15*Mkt!CF100+(1-Inputs!$B$15)*MIN(Mkt!CF100,CE100*(1+Inputs!$B$18))),CE100)))</f>
        <v>1820.92975220673</v>
      </c>
      <c r="CG100" s="11" t="n">
        <f aca="false">IF(CG$1&lt;Units!$P99,0,IF(AND(Units!$K99=0,CG$1=Units!$O99),Units!$R99,IF(AND(CG$1&gt;=Units!$Q99,MOD(CG$1-Units!$Q99,12)=0),IF(AND(Units!$L99=1,CG$1=Units!$Q99),IF(Units!$J99&lt;&gt;"",Units!$J99,Mkt!CG100),Inputs!$B$15*Mkt!CG100+(1-Inputs!$B$15)*MIN(Mkt!CG100,CF100*(1+Inputs!$B$18))),CF100)))</f>
        <v>1820.92975220673</v>
      </c>
      <c r="CH100" s="11" t="n">
        <f aca="false">IF(CH$1&lt;Units!$P99,0,IF(AND(Units!$K99=0,CH$1=Units!$O99),Units!$R99,IF(AND(CH$1&gt;=Units!$Q99,MOD(CH$1-Units!$Q99,12)=0),IF(AND(Units!$L99=1,CH$1=Units!$Q99),IF(Units!$J99&lt;&gt;"",Units!$J99,Mkt!CH100),Inputs!$B$15*Mkt!CH100+(1-Inputs!$B$15)*MIN(Mkt!CH100,CG100*(1+Inputs!$B$18))),CG100)))</f>
        <v>1820.92975220673</v>
      </c>
      <c r="CI100" s="11" t="n">
        <f aca="false">IF(CI$1&lt;Units!$P99,0,IF(AND(Units!$K99=0,CI$1=Units!$O99),Units!$R99,IF(AND(CI$1&gt;=Units!$Q99,MOD(CI$1-Units!$Q99,12)=0),IF(AND(Units!$L99=1,CI$1=Units!$Q99),IF(Units!$J99&lt;&gt;"",Units!$J99,Mkt!CI100),Inputs!$B$15*Mkt!CI100+(1-Inputs!$B$15)*MIN(Mkt!CI100,CH100*(1+Inputs!$B$18))),CH100)))</f>
        <v>1820.92975220673</v>
      </c>
      <c r="CJ100" s="11" t="n">
        <f aca="false">IF(CJ$1&lt;Units!$P99,0,IF(AND(Units!$K99=0,CJ$1=Units!$O99),Units!$R99,IF(AND(CJ$1&gt;=Units!$Q99,MOD(CJ$1-Units!$Q99,12)=0),IF(AND(Units!$L99=1,CJ$1=Units!$Q99),IF(Units!$J99&lt;&gt;"",Units!$J99,Mkt!CJ100),Inputs!$B$15*Mkt!CJ100+(1-Inputs!$B$15)*MIN(Mkt!CJ100,CI100*(1+Inputs!$B$18))),CI100)))</f>
        <v>1820.92975220673</v>
      </c>
      <c r="CK100" s="11" t="n">
        <f aca="false">IF(CK$1&lt;Units!$P99,0,IF(AND(Units!$K99=0,CK$1=Units!$O99),Units!$R99,IF(AND(CK$1&gt;=Units!$Q99,MOD(CK$1-Units!$Q99,12)=0),IF(AND(Units!$L99=1,CK$1=Units!$Q99),IF(Units!$J99&lt;&gt;"",Units!$J99,Mkt!CK100),Inputs!$B$15*Mkt!CK100+(1-Inputs!$B$15)*MIN(Mkt!CK100,CJ100*(1+Inputs!$B$18))),CJ100)))</f>
        <v>1820.92975220673</v>
      </c>
      <c r="CL100" s="11" t="n">
        <f aca="false">IF(CL$1&lt;Units!$P99,0,IF(AND(Units!$K99=0,CL$1=Units!$O99),Units!$R99,IF(AND(CL$1&gt;=Units!$Q99,MOD(CL$1-Units!$Q99,12)=0),IF(AND(Units!$L99=1,CL$1=Units!$Q99),IF(Units!$J99&lt;&gt;"",Units!$J99,Mkt!CL100),Inputs!$B$15*Mkt!CL100+(1-Inputs!$B$15)*MIN(Mkt!CL100,CK100*(1+Inputs!$B$18))),CK100)))</f>
        <v>1875.55764477293</v>
      </c>
      <c r="CM100" s="11" t="n">
        <f aca="false">IF(CM$1&lt;Units!$P99,0,IF(AND(Units!$K99=0,CM$1=Units!$O99),Units!$R99,IF(AND(CM$1&gt;=Units!$Q99,MOD(CM$1-Units!$Q99,12)=0),IF(AND(Units!$L99=1,CM$1=Units!$Q99),IF(Units!$J99&lt;&gt;"",Units!$J99,Mkt!CM100),Inputs!$B$15*Mkt!CM100+(1-Inputs!$B$15)*MIN(Mkt!CM100,CL100*(1+Inputs!$B$18))),CL100)))</f>
        <v>1875.55764477293</v>
      </c>
      <c r="CN100" s="11" t="n">
        <f aca="false">IF(CN$1&lt;Units!$P99,0,IF(AND(Units!$K99=0,CN$1=Units!$O99),Units!$R99,IF(AND(CN$1&gt;=Units!$Q99,MOD(CN$1-Units!$Q99,12)=0),IF(AND(Units!$L99=1,CN$1=Units!$Q99),IF(Units!$J99&lt;&gt;"",Units!$J99,Mkt!CN100),Inputs!$B$15*Mkt!CN100+(1-Inputs!$B$15)*MIN(Mkt!CN100,CM100*(1+Inputs!$B$18))),CM100)))</f>
        <v>1875.55764477293</v>
      </c>
      <c r="CO100" s="11" t="n">
        <f aca="false">IF(CO$1&lt;Units!$P99,0,IF(AND(Units!$K99=0,CO$1=Units!$O99),Units!$R99,IF(AND(CO$1&gt;=Units!$Q99,MOD(CO$1-Units!$Q99,12)=0),IF(AND(Units!$L99=1,CO$1=Units!$Q99),IF(Units!$J99&lt;&gt;"",Units!$J99,Mkt!CO100),Inputs!$B$15*Mkt!CO100+(1-Inputs!$B$15)*MIN(Mkt!CO100,CN100*(1+Inputs!$B$18))),CN100)))</f>
        <v>1875.55764477293</v>
      </c>
      <c r="CP100" s="11" t="n">
        <f aca="false">IF(CP$1&lt;Units!$P99,0,IF(AND(Units!$K99=0,CP$1=Units!$O99),Units!$R99,IF(AND(CP$1&gt;=Units!$Q99,MOD(CP$1-Units!$Q99,12)=0),IF(AND(Units!$L99=1,CP$1=Units!$Q99),IF(Units!$J99&lt;&gt;"",Units!$J99,Mkt!CP100),Inputs!$B$15*Mkt!CP100+(1-Inputs!$B$15)*MIN(Mkt!CP100,CO100*(1+Inputs!$B$18))),CO100)))</f>
        <v>1875.55764477293</v>
      </c>
      <c r="CQ100" s="11" t="n">
        <f aca="false">IF(CQ$1&lt;Units!$P99,0,IF(AND(Units!$K99=0,CQ$1=Units!$O99),Units!$R99,IF(AND(CQ$1&gt;=Units!$Q99,MOD(CQ$1-Units!$Q99,12)=0),IF(AND(Units!$L99=1,CQ$1=Units!$Q99),IF(Units!$J99&lt;&gt;"",Units!$J99,Mkt!CQ100),Inputs!$B$15*Mkt!CQ100+(1-Inputs!$B$15)*MIN(Mkt!CQ100,CP100*(1+Inputs!$B$18))),CP100)))</f>
        <v>1875.55764477293</v>
      </c>
      <c r="CR100" s="11" t="n">
        <f aca="false">IF(CR$1&lt;Units!$P99,0,IF(AND(Units!$K99=0,CR$1=Units!$O99),Units!$R99,IF(AND(CR$1&gt;=Units!$Q99,MOD(CR$1-Units!$Q99,12)=0),IF(AND(Units!$L99=1,CR$1=Units!$Q99),IF(Units!$J99&lt;&gt;"",Units!$J99,Mkt!CR100),Inputs!$B$15*Mkt!CR100+(1-Inputs!$B$15)*MIN(Mkt!CR100,CQ100*(1+Inputs!$B$18))),CQ100)))</f>
        <v>1875.55764477293</v>
      </c>
      <c r="CS100" s="11" t="n">
        <f aca="false">IF(CS$1&lt;Units!$P99,0,IF(AND(Units!$K99=0,CS$1=Units!$O99),Units!$R99,IF(AND(CS$1&gt;=Units!$Q99,MOD(CS$1-Units!$Q99,12)=0),IF(AND(Units!$L99=1,CS$1=Units!$Q99),IF(Units!$J99&lt;&gt;"",Units!$J99,Mkt!CS100),Inputs!$B$15*Mkt!CS100+(1-Inputs!$B$15)*MIN(Mkt!CS100,CR100*(1+Inputs!$B$18))),CR100)))</f>
        <v>1875.55764477293</v>
      </c>
      <c r="CT100" s="11" t="n">
        <f aca="false">IF(CT$1&lt;Units!$P99,0,IF(AND(Units!$K99=0,CT$1=Units!$O99),Units!$R99,IF(AND(CT$1&gt;=Units!$Q99,MOD(CT$1-Units!$Q99,12)=0),IF(AND(Units!$L99=1,CT$1=Units!$Q99),IF(Units!$J99&lt;&gt;"",Units!$J99,Mkt!CT100),Inputs!$B$15*Mkt!CT100+(1-Inputs!$B$15)*MIN(Mkt!CT100,CS100*(1+Inputs!$B$18))),CS100)))</f>
        <v>1875.55764477293</v>
      </c>
      <c r="CU100" s="11" t="n">
        <f aca="false">IF(CU$1&lt;Units!$P99,0,IF(AND(Units!$K99=0,CU$1=Units!$O99),Units!$R99,IF(AND(CU$1&gt;=Units!$Q99,MOD(CU$1-Units!$Q99,12)=0),IF(AND(Units!$L99=1,CU$1=Units!$Q99),IF(Units!$J99&lt;&gt;"",Units!$J99,Mkt!CU100),Inputs!$B$15*Mkt!CU100+(1-Inputs!$B$15)*MIN(Mkt!CU100,CT100*(1+Inputs!$B$18))),CT100)))</f>
        <v>1875.55764477293</v>
      </c>
      <c r="CV100" s="11" t="n">
        <f aca="false">IF(CV$1&lt;Units!$P99,0,IF(AND(Units!$K99=0,CV$1=Units!$O99),Units!$R99,IF(AND(CV$1&gt;=Units!$Q99,MOD(CV$1-Units!$Q99,12)=0),IF(AND(Units!$L99=1,CV$1=Units!$Q99),IF(Units!$J99&lt;&gt;"",Units!$J99,Mkt!CV100),Inputs!$B$15*Mkt!CV100+(1-Inputs!$B$15)*MIN(Mkt!CV100,CU100*(1+Inputs!$B$18))),CU100)))</f>
        <v>1875.55764477293</v>
      </c>
      <c r="CW100" s="11" t="n">
        <f aca="false">IF(CW$1&lt;Units!$P99,0,IF(AND(Units!$K99=0,CW$1=Units!$O99),Units!$R99,IF(AND(CW$1&gt;=Units!$Q99,MOD(CW$1-Units!$Q99,12)=0),IF(AND(Units!$L99=1,CW$1=Units!$Q99),IF(Units!$J99&lt;&gt;"",Units!$J99,Mkt!CW100),Inputs!$B$15*Mkt!CW100+(1-Inputs!$B$15)*MIN(Mkt!CW100,CV100*(1+Inputs!$B$18))),CV100)))</f>
        <v>1875.55764477293</v>
      </c>
      <c r="CX100" s="11" t="n">
        <f aca="false">IF(CX$1&lt;Units!$P99,0,IF(AND(Units!$K99=0,CX$1=Units!$O99),Units!$R99,IF(AND(CX$1&gt;=Units!$Q99,MOD(CX$1-Units!$Q99,12)=0),IF(AND(Units!$L99=1,CX$1=Units!$Q99),IF(Units!$J99&lt;&gt;"",Units!$J99,Mkt!CX100),Inputs!$B$15*Mkt!CX100+(1-Inputs!$B$15)*MIN(Mkt!CX100,CW100*(1+Inputs!$B$18))),CW100)))</f>
        <v>1931.82437411612</v>
      </c>
      <c r="CY100" s="11" t="n">
        <f aca="false">IF(CY$1&lt;Units!$P99,0,IF(AND(Units!$K99=0,CY$1=Units!$O99),Units!$R99,IF(AND(CY$1&gt;=Units!$Q99,MOD(CY$1-Units!$Q99,12)=0),IF(AND(Units!$L99=1,CY$1=Units!$Q99),IF(Units!$J99&lt;&gt;"",Units!$J99,Mkt!CY100),Inputs!$B$15*Mkt!CY100+(1-Inputs!$B$15)*MIN(Mkt!CY100,CX100*(1+Inputs!$B$18))),CX100)))</f>
        <v>1931.82437411612</v>
      </c>
      <c r="CZ100" s="11" t="n">
        <f aca="false">IF(CZ$1&lt;Units!$P99,0,IF(AND(Units!$K99=0,CZ$1=Units!$O99),Units!$R99,IF(AND(CZ$1&gt;=Units!$Q99,MOD(CZ$1-Units!$Q99,12)=0),IF(AND(Units!$L99=1,CZ$1=Units!$Q99),IF(Units!$J99&lt;&gt;"",Units!$J99,Mkt!CZ100),Inputs!$B$15*Mkt!CZ100+(1-Inputs!$B$15)*MIN(Mkt!CZ100,CY100*(1+Inputs!$B$18))),CY100)))</f>
        <v>1931.82437411612</v>
      </c>
      <c r="DA100" s="11" t="n">
        <f aca="false">IF(DA$1&lt;Units!$P99,0,IF(AND(Units!$K99=0,DA$1=Units!$O99),Units!$R99,IF(AND(DA$1&gt;=Units!$Q99,MOD(DA$1-Units!$Q99,12)=0),IF(AND(Units!$L99=1,DA$1=Units!$Q99),IF(Units!$J99&lt;&gt;"",Units!$J99,Mkt!DA100),Inputs!$B$15*Mkt!DA100+(1-Inputs!$B$15)*MIN(Mkt!DA100,CZ100*(1+Inputs!$B$18))),CZ100)))</f>
        <v>1931.82437411612</v>
      </c>
      <c r="DB100" s="11" t="n">
        <f aca="false">IF(DB$1&lt;Units!$P99,0,IF(AND(Units!$K99=0,DB$1=Units!$O99),Units!$R99,IF(AND(DB$1&gt;=Units!$Q99,MOD(DB$1-Units!$Q99,12)=0),IF(AND(Units!$L99=1,DB$1=Units!$Q99),IF(Units!$J99&lt;&gt;"",Units!$J99,Mkt!DB100),Inputs!$B$15*Mkt!DB100+(1-Inputs!$B$15)*MIN(Mkt!DB100,DA100*(1+Inputs!$B$18))),DA100)))</f>
        <v>1931.82437411612</v>
      </c>
      <c r="DC100" s="11" t="n">
        <f aca="false">IF(DC$1&lt;Units!$P99,0,IF(AND(Units!$K99=0,DC$1=Units!$O99),Units!$R99,IF(AND(DC$1&gt;=Units!$Q99,MOD(DC$1-Units!$Q99,12)=0),IF(AND(Units!$L99=1,DC$1=Units!$Q99),IF(Units!$J99&lt;&gt;"",Units!$J99,Mkt!DC100),Inputs!$B$15*Mkt!DC100+(1-Inputs!$B$15)*MIN(Mkt!DC100,DB100*(1+Inputs!$B$18))),DB100)))</f>
        <v>1931.82437411612</v>
      </c>
      <c r="DD100" s="11" t="n">
        <f aca="false">IF(DD$1&lt;Units!$P99,0,IF(AND(Units!$K99=0,DD$1=Units!$O99),Units!$R99,IF(AND(DD$1&gt;=Units!$Q99,MOD(DD$1-Units!$Q99,12)=0),IF(AND(Units!$L99=1,DD$1=Units!$Q99),IF(Units!$J99&lt;&gt;"",Units!$J99,Mkt!DD100),Inputs!$B$15*Mkt!DD100+(1-Inputs!$B$15)*MIN(Mkt!DD100,DC100*(1+Inputs!$B$18))),DC100)))</f>
        <v>1931.82437411612</v>
      </c>
      <c r="DE100" s="11" t="n">
        <f aca="false">IF(DE$1&lt;Units!$P99,0,IF(AND(Units!$K99=0,DE$1=Units!$O99),Units!$R99,IF(AND(DE$1&gt;=Units!$Q99,MOD(DE$1-Units!$Q99,12)=0),IF(AND(Units!$L99=1,DE$1=Units!$Q99),IF(Units!$J99&lt;&gt;"",Units!$J99,Mkt!DE100),Inputs!$B$15*Mkt!DE100+(1-Inputs!$B$15)*MIN(Mkt!DE100,DD100*(1+Inputs!$B$18))),DD100)))</f>
        <v>1931.82437411612</v>
      </c>
      <c r="DF100" s="11" t="n">
        <f aca="false">IF(DF$1&lt;Units!$P99,0,IF(AND(Units!$K99=0,DF$1=Units!$O99),Units!$R99,IF(AND(DF$1&gt;=Units!$Q99,MOD(DF$1-Units!$Q99,12)=0),IF(AND(Units!$L99=1,DF$1=Units!$Q99),IF(Units!$J99&lt;&gt;"",Units!$J99,Mkt!DF100),Inputs!$B$15*Mkt!DF100+(1-Inputs!$B$15)*MIN(Mkt!DF100,DE100*(1+Inputs!$B$18))),DE100)))</f>
        <v>1931.82437411612</v>
      </c>
      <c r="DG100" s="11" t="n">
        <f aca="false">IF(DG$1&lt;Units!$P99,0,IF(AND(Units!$K99=0,DG$1=Units!$O99),Units!$R99,IF(AND(DG$1&gt;=Units!$Q99,MOD(DG$1-Units!$Q99,12)=0),IF(AND(Units!$L99=1,DG$1=Units!$Q99),IF(Units!$J99&lt;&gt;"",Units!$J99,Mkt!DG100),Inputs!$B$15*Mkt!DG100+(1-Inputs!$B$15)*MIN(Mkt!DG100,DF100*(1+Inputs!$B$18))),DF100)))</f>
        <v>1931.82437411612</v>
      </c>
      <c r="DH100" s="11" t="n">
        <f aca="false">IF(DH$1&lt;Units!$P99,0,IF(AND(Units!$K99=0,DH$1=Units!$O99),Units!$R99,IF(AND(DH$1&gt;=Units!$Q99,MOD(DH$1-Units!$Q99,12)=0),IF(AND(Units!$L99=1,DH$1=Units!$Q99),IF(Units!$J99&lt;&gt;"",Units!$J99,Mkt!DH100),Inputs!$B$15*Mkt!DH100+(1-Inputs!$B$15)*MIN(Mkt!DH100,DG100*(1+Inputs!$B$18))),DG100)))</f>
        <v>1931.82437411612</v>
      </c>
      <c r="DI100" s="11" t="n">
        <f aca="false">IF(DI$1&lt;Units!$P99,0,IF(AND(Units!$K99=0,DI$1=Units!$O99),Units!$R99,IF(AND(DI$1&gt;=Units!$Q99,MOD(DI$1-Units!$Q99,12)=0),IF(AND(Units!$L99=1,DI$1=Units!$Q99),IF(Units!$J99&lt;&gt;"",Units!$J99,Mkt!DI100),Inputs!$B$15*Mkt!DI100+(1-Inputs!$B$15)*MIN(Mkt!DI100,DH100*(1+Inputs!$B$18))),DH100)))</f>
        <v>1931.82437411612</v>
      </c>
      <c r="DJ100" s="11" t="n">
        <f aca="false">IF(DJ$1&lt;Units!$P99,0,IF(AND(Units!$K99=0,DJ$1=Units!$O99),Units!$R99,IF(AND(DJ$1&gt;=Units!$Q99,MOD(DJ$1-Units!$Q99,12)=0),IF(AND(Units!$L99=1,DJ$1=Units!$Q99),IF(Units!$J99&lt;&gt;"",Units!$J99,Mkt!DJ100),Inputs!$B$15*Mkt!DJ100+(1-Inputs!$B$15)*MIN(Mkt!DJ100,DI100*(1+Inputs!$B$18))),DI100)))</f>
        <v>1989.7791053396</v>
      </c>
      <c r="DK100" s="11" t="n">
        <f aca="false">IF(DK$1&lt;Units!$P99,0,IF(AND(Units!$K99=0,DK$1=Units!$O99),Units!$R99,IF(AND(DK$1&gt;=Units!$Q99,MOD(DK$1-Units!$Q99,12)=0),IF(AND(Units!$L99=1,DK$1=Units!$Q99),IF(Units!$J99&lt;&gt;"",Units!$J99,Mkt!DK100),Inputs!$B$15*Mkt!DK100+(1-Inputs!$B$15)*MIN(Mkt!DK100,DJ100*(1+Inputs!$B$18))),DJ100)))</f>
        <v>1989.7791053396</v>
      </c>
      <c r="DL100" s="11" t="n">
        <f aca="false">IF(DL$1&lt;Units!$P99,0,IF(AND(Units!$K99=0,DL$1=Units!$O99),Units!$R99,IF(AND(DL$1&gt;=Units!$Q99,MOD(DL$1-Units!$Q99,12)=0),IF(AND(Units!$L99=1,DL$1=Units!$Q99),IF(Units!$J99&lt;&gt;"",Units!$J99,Mkt!DL100),Inputs!$B$15*Mkt!DL100+(1-Inputs!$B$15)*MIN(Mkt!DL100,DK100*(1+Inputs!$B$18))),DK100)))</f>
        <v>1989.7791053396</v>
      </c>
      <c r="DM100" s="11" t="n">
        <f aca="false">IF(DM$1&lt;Units!$P99,0,IF(AND(Units!$K99=0,DM$1=Units!$O99),Units!$R99,IF(AND(DM$1&gt;=Units!$Q99,MOD(DM$1-Units!$Q99,12)=0),IF(AND(Units!$L99=1,DM$1=Units!$Q99),IF(Units!$J99&lt;&gt;"",Units!$J99,Mkt!DM100),Inputs!$B$15*Mkt!DM100+(1-Inputs!$B$15)*MIN(Mkt!DM100,DL100*(1+Inputs!$B$18))),DL100)))</f>
        <v>1989.7791053396</v>
      </c>
      <c r="DN100" s="11" t="n">
        <f aca="false">IF(DN$1&lt;Units!$P99,0,IF(AND(Units!$K99=0,DN$1=Units!$O99),Units!$R99,IF(AND(DN$1&gt;=Units!$Q99,MOD(DN$1-Units!$Q99,12)=0),IF(AND(Units!$L99=1,DN$1=Units!$Q99),IF(Units!$J99&lt;&gt;"",Units!$J99,Mkt!DN100),Inputs!$B$15*Mkt!DN100+(1-Inputs!$B$15)*MIN(Mkt!DN100,DM100*(1+Inputs!$B$18))),DM100)))</f>
        <v>1989.7791053396</v>
      </c>
      <c r="DO100" s="11" t="n">
        <f aca="false">IF(DO$1&lt;Units!$P99,0,IF(AND(Units!$K99=0,DO$1=Units!$O99),Units!$R99,IF(AND(DO$1&gt;=Units!$Q99,MOD(DO$1-Units!$Q99,12)=0),IF(AND(Units!$L99=1,DO$1=Units!$Q99),IF(Units!$J99&lt;&gt;"",Units!$J99,Mkt!DO100),Inputs!$B$15*Mkt!DO100+(1-Inputs!$B$15)*MIN(Mkt!DO100,DN100*(1+Inputs!$B$18))),DN100)))</f>
        <v>1989.7791053396</v>
      </c>
      <c r="DP100" s="11" t="n">
        <f aca="false">IF(DP$1&lt;Units!$P99,0,IF(AND(Units!$K99=0,DP$1=Units!$O99),Units!$R99,IF(AND(DP$1&gt;=Units!$Q99,MOD(DP$1-Units!$Q99,12)=0),IF(AND(Units!$L99=1,DP$1=Units!$Q99),IF(Units!$J99&lt;&gt;"",Units!$J99,Mkt!DP100),Inputs!$B$15*Mkt!DP100+(1-Inputs!$B$15)*MIN(Mkt!DP100,DO100*(1+Inputs!$B$18))),DO100)))</f>
        <v>1989.7791053396</v>
      </c>
      <c r="DQ100" s="11" t="n">
        <f aca="false">IF(DQ$1&lt;Units!$P99,0,IF(AND(Units!$K99=0,DQ$1=Units!$O99),Units!$R99,IF(AND(DQ$1&gt;=Units!$Q99,MOD(DQ$1-Units!$Q99,12)=0),IF(AND(Units!$L99=1,DQ$1=Units!$Q99),IF(Units!$J99&lt;&gt;"",Units!$J99,Mkt!DQ100),Inputs!$B$15*Mkt!DQ100+(1-Inputs!$B$15)*MIN(Mkt!DQ100,DP100*(1+Inputs!$B$18))),DP100)))</f>
        <v>1989.7791053396</v>
      </c>
      <c r="DR100" s="11" t="n">
        <f aca="false">IF(DR$1&lt;Units!$P99,0,IF(AND(Units!$K99=0,DR$1=Units!$O99),Units!$R99,IF(AND(DR$1&gt;=Units!$Q99,MOD(DR$1-Units!$Q99,12)=0),IF(AND(Units!$L99=1,DR$1=Units!$Q99),IF(Units!$J99&lt;&gt;"",Units!$J99,Mkt!DR100),Inputs!$B$15*Mkt!DR100+(1-Inputs!$B$15)*MIN(Mkt!DR100,DQ100*(1+Inputs!$B$18))),DQ100)))</f>
        <v>1989.7791053396</v>
      </c>
      <c r="DS100" s="11" t="n">
        <f aca="false">IF(DS$1&lt;Units!$P99,0,IF(AND(Units!$K99=0,DS$1=Units!$O99),Units!$R99,IF(AND(DS$1&gt;=Units!$Q99,MOD(DS$1-Units!$Q99,12)=0),IF(AND(Units!$L99=1,DS$1=Units!$Q99),IF(Units!$J99&lt;&gt;"",Units!$J99,Mkt!DS100),Inputs!$B$15*Mkt!DS100+(1-Inputs!$B$15)*MIN(Mkt!DS100,DR100*(1+Inputs!$B$18))),DR100)))</f>
        <v>1989.7791053396</v>
      </c>
      <c r="DT100" s="11" t="n">
        <f aca="false">IF(DT$1&lt;Units!$P99,0,IF(AND(Units!$K99=0,DT$1=Units!$O99),Units!$R99,IF(AND(DT$1&gt;=Units!$Q99,MOD(DT$1-Units!$Q99,12)=0),IF(AND(Units!$L99=1,DT$1=Units!$Q99),IF(Units!$J99&lt;&gt;"",Units!$J99,Mkt!DT100),Inputs!$B$15*Mkt!DT100+(1-Inputs!$B$15)*MIN(Mkt!DT100,DS100*(1+Inputs!$B$18))),DS100)))</f>
        <v>1989.7791053396</v>
      </c>
      <c r="DU100" s="11" t="n">
        <f aca="false">IF(DU$1&lt;Units!$P99,0,IF(AND(Units!$K99=0,DU$1=Units!$O99),Units!$R99,IF(AND(DU$1&gt;=Units!$Q99,MOD(DU$1-Units!$Q99,12)=0),IF(AND(Units!$L99=1,DU$1=Units!$Q99),IF(Units!$J99&lt;&gt;"",Units!$J99,Mkt!DU100),Inputs!$B$15*Mkt!DU100+(1-Inputs!$B$15)*MIN(Mkt!DU100,DT100*(1+Inputs!$B$18))),DT100)))</f>
        <v>1989.7791053396</v>
      </c>
      <c r="DV100" s="11" t="n">
        <f aca="false">IF(DV$1&lt;Units!$P99,0,IF(AND(Units!$K99=0,DV$1=Units!$O99),Units!$R99,IF(AND(DV$1&gt;=Units!$Q99,MOD(DV$1-Units!$Q99,12)=0),IF(AND(Units!$L99=1,DV$1=Units!$Q99),IF(Units!$J99&lt;&gt;"",Units!$J99,Mkt!DV100),Inputs!$B$15*Mkt!DV100+(1-Inputs!$B$15)*MIN(Mkt!DV100,DU100*(1+Inputs!$B$18))),DU100)))</f>
        <v>2049.47247849979</v>
      </c>
      <c r="DW100" s="11" t="n">
        <f aca="false">IF(DW$1&lt;Units!$P99,0,IF(AND(Units!$K99=0,DW$1=Units!$O99),Units!$R99,IF(AND(DW$1&gt;=Units!$Q99,MOD(DW$1-Units!$Q99,12)=0),IF(AND(Units!$L99=1,DW$1=Units!$Q99),IF(Units!$J99&lt;&gt;"",Units!$J99,Mkt!DW100),Inputs!$B$15*Mkt!DW100+(1-Inputs!$B$15)*MIN(Mkt!DW100,DV100*(1+Inputs!$B$18))),DV100)))</f>
        <v>2049.47247849979</v>
      </c>
      <c r="DX100" s="11" t="n">
        <f aca="false">IF(DX$1&lt;Units!$P99,0,IF(AND(Units!$K99=0,DX$1=Units!$O99),Units!$R99,IF(AND(DX$1&gt;=Units!$Q99,MOD(DX$1-Units!$Q99,12)=0),IF(AND(Units!$L99=1,DX$1=Units!$Q99),IF(Units!$J99&lt;&gt;"",Units!$J99,Mkt!DX100),Inputs!$B$15*Mkt!DX100+(1-Inputs!$B$15)*MIN(Mkt!DX100,DW100*(1+Inputs!$B$18))),DW100)))</f>
        <v>2049.47247849979</v>
      </c>
      <c r="DY100" s="11" t="n">
        <f aca="false">IF(DY$1&lt;Units!$P99,0,IF(AND(Units!$K99=0,DY$1=Units!$O99),Units!$R99,IF(AND(DY$1&gt;=Units!$Q99,MOD(DY$1-Units!$Q99,12)=0),IF(AND(Units!$L99=1,DY$1=Units!$Q99),IF(Units!$J99&lt;&gt;"",Units!$J99,Mkt!DY100),Inputs!$B$15*Mkt!DY100+(1-Inputs!$B$15)*MIN(Mkt!DY100,DX100*(1+Inputs!$B$18))),DX100)))</f>
        <v>2049.47247849979</v>
      </c>
      <c r="DZ100" s="11" t="n">
        <f aca="false">IF(DZ$1&lt;Units!$P99,0,IF(AND(Units!$K99=0,DZ$1=Units!$O99),Units!$R99,IF(AND(DZ$1&gt;=Units!$Q99,MOD(DZ$1-Units!$Q99,12)=0),IF(AND(Units!$L99=1,DZ$1=Units!$Q99),IF(Units!$J99&lt;&gt;"",Units!$J99,Mkt!DZ100),Inputs!$B$15*Mkt!DZ100+(1-Inputs!$B$15)*MIN(Mkt!DZ100,DY100*(1+Inputs!$B$18))),DY100)))</f>
        <v>2049.47247849979</v>
      </c>
      <c r="EA100" s="11" t="n">
        <f aca="false">IF(EA$1&lt;Units!$P99,0,IF(AND(Units!$K99=0,EA$1=Units!$O99),Units!$R99,IF(AND(EA$1&gt;=Units!$Q99,MOD(EA$1-Units!$Q99,12)=0),IF(AND(Units!$L99=1,EA$1=Units!$Q99),IF(Units!$J99&lt;&gt;"",Units!$J99,Mkt!EA100),Inputs!$B$15*Mkt!EA100+(1-Inputs!$B$15)*MIN(Mkt!EA100,DZ100*(1+Inputs!$B$18))),DZ100)))</f>
        <v>2049.47247849979</v>
      </c>
      <c r="EB100" s="11" t="n">
        <f aca="false">IF(EB$1&lt;Units!$P99,0,IF(AND(Units!$K99=0,EB$1=Units!$O99),Units!$R99,IF(AND(EB$1&gt;=Units!$Q99,MOD(EB$1-Units!$Q99,12)=0),IF(AND(Units!$L99=1,EB$1=Units!$Q99),IF(Units!$J99&lt;&gt;"",Units!$J99,Mkt!EB100),Inputs!$B$15*Mkt!EB100+(1-Inputs!$B$15)*MIN(Mkt!EB100,EA100*(1+Inputs!$B$18))),EA100)))</f>
        <v>2049.47247849979</v>
      </c>
      <c r="EC100" s="11" t="n">
        <f aca="false">IF(EC$1&lt;Units!$P99,0,IF(AND(Units!$K99=0,EC$1=Units!$O99),Units!$R99,IF(AND(EC$1&gt;=Units!$Q99,MOD(EC$1-Units!$Q99,12)=0),IF(AND(Units!$L99=1,EC$1=Units!$Q99),IF(Units!$J99&lt;&gt;"",Units!$J99,Mkt!EC100),Inputs!$B$15*Mkt!EC100+(1-Inputs!$B$15)*MIN(Mkt!EC100,EB100*(1+Inputs!$B$18))),EB100)))</f>
        <v>2049.47247849979</v>
      </c>
      <c r="ED100" s="11" t="n">
        <f aca="false">IF(ED$1&lt;Units!$P99,0,IF(AND(Units!$K99=0,ED$1=Units!$O99),Units!$R99,IF(AND(ED$1&gt;=Units!$Q99,MOD(ED$1-Units!$Q99,12)=0),IF(AND(Units!$L99=1,ED$1=Units!$Q99),IF(Units!$J99&lt;&gt;"",Units!$J99,Mkt!ED100),Inputs!$B$15*Mkt!ED100+(1-Inputs!$B$15)*MIN(Mkt!ED100,EC100*(1+Inputs!$B$18))),EC100)))</f>
        <v>2049.47247849979</v>
      </c>
    </row>
    <row r="101" customFormat="false" ht="15" hidden="false" customHeight="false" outlineLevel="0" collapsed="false">
      <c r="A101" s="22" t="n">
        <f aca="false">Units!A100</f>
        <v>409</v>
      </c>
      <c r="B101" s="24" t="n">
        <f aca="false">IF(Units!K100=1,Units!F100,0)</f>
        <v>1570</v>
      </c>
      <c r="C101" s="11" t="n">
        <f aca="false">IF(C$1&lt;Units!$P100,0,IF(AND(Units!$K100=0,C$1=Units!$O100),Units!$R100,IF(AND(C$1&gt;=Units!$Q100,MOD(C$1-Units!$Q100,12)=0),IF(AND(Units!$L100=1,C$1=Units!$Q100),IF(Units!$J100&lt;&gt;"",Units!$J100,Mkt!C101),Inputs!$B$15*Mkt!C101+(1-Inputs!$B$15)*MIN(Mkt!C101,B101*(1+Inputs!$B$18))),B101)))</f>
        <v>1570</v>
      </c>
      <c r="D101" s="11" t="n">
        <f aca="false">IF(D$1&lt;Units!$P100,0,IF(AND(Units!$K100=0,D$1=Units!$O100),Units!$R100,IF(AND(D$1&gt;=Units!$Q100,MOD(D$1-Units!$Q100,12)=0),IF(AND(Units!$L100=1,D$1=Units!$Q100),IF(Units!$J100&lt;&gt;"",Units!$J100,Mkt!D101),Inputs!$B$15*Mkt!D101+(1-Inputs!$B$15)*MIN(Mkt!D101,C101*(1+Inputs!$B$18))),C101)))</f>
        <v>1570</v>
      </c>
      <c r="E101" s="11" t="n">
        <f aca="false">IF(E$1&lt;Units!$P100,0,IF(AND(Units!$K100=0,E$1=Units!$O100),Units!$R100,IF(AND(E$1&gt;=Units!$Q100,MOD(E$1-Units!$Q100,12)=0),IF(AND(Units!$L100=1,E$1=Units!$Q100),IF(Units!$J100&lt;&gt;"",Units!$J100,Mkt!E101),Inputs!$B$15*Mkt!E101+(1-Inputs!$B$15)*MIN(Mkt!E101,D101*(1+Inputs!$B$18))),D101)))</f>
        <v>1570</v>
      </c>
      <c r="F101" s="11" t="n">
        <f aca="false">IF(F$1&lt;Units!$P100,0,IF(AND(Units!$K100=0,F$1=Units!$O100),Units!$R100,IF(AND(F$1&gt;=Units!$Q100,MOD(F$1-Units!$Q100,12)=0),IF(AND(Units!$L100=1,F$1=Units!$Q100),IF(Units!$J100&lt;&gt;"",Units!$J100,Mkt!F101),Inputs!$B$15*Mkt!F101+(1-Inputs!$B$15)*MIN(Mkt!F101,E101*(1+Inputs!$B$18))),E101)))</f>
        <v>1570</v>
      </c>
      <c r="G101" s="11" t="n">
        <f aca="false">IF(G$1&lt;Units!$P100,0,IF(AND(Units!$K100=0,G$1=Units!$O100),Units!$R100,IF(AND(G$1&gt;=Units!$Q100,MOD(G$1-Units!$Q100,12)=0),IF(AND(Units!$L100=1,G$1=Units!$Q100),IF(Units!$J100&lt;&gt;"",Units!$J100,Mkt!G101),Inputs!$B$15*Mkt!G101+(1-Inputs!$B$15)*MIN(Mkt!G101,F101*(1+Inputs!$B$18))),F101)))</f>
        <v>1570</v>
      </c>
      <c r="H101" s="11" t="n">
        <f aca="false">IF(H$1&lt;Units!$P100,0,IF(AND(Units!$K100=0,H$1=Units!$O100),Units!$R100,IF(AND(H$1&gt;=Units!$Q100,MOD(H$1-Units!$Q100,12)=0),IF(AND(Units!$L100=1,H$1=Units!$Q100),IF(Units!$J100&lt;&gt;"",Units!$J100,Mkt!H101),Inputs!$B$15*Mkt!H101+(1-Inputs!$B$15)*MIN(Mkt!H101,G101*(1+Inputs!$B$18))),G101)))</f>
        <v>1570</v>
      </c>
      <c r="I101" s="11" t="n">
        <f aca="false">IF(I$1&lt;Units!$P100,0,IF(AND(Units!$K100=0,I$1=Units!$O100),Units!$R100,IF(AND(I$1&gt;=Units!$Q100,MOD(I$1-Units!$Q100,12)=0),IF(AND(Units!$L100=1,I$1=Units!$Q100),IF(Units!$J100&lt;&gt;"",Units!$J100,Mkt!I101),Inputs!$B$15*Mkt!I101+(1-Inputs!$B$15)*MIN(Mkt!I101,H101*(1+Inputs!$B$18))),H101)))</f>
        <v>1570</v>
      </c>
      <c r="J101" s="11" t="n">
        <f aca="false">IF(J$1&lt;Units!$P100,0,IF(AND(Units!$K100=0,J$1=Units!$O100),Units!$R100,IF(AND(J$1&gt;=Units!$Q100,MOD(J$1-Units!$Q100,12)=0),IF(AND(Units!$L100=1,J$1=Units!$Q100),IF(Units!$J100&lt;&gt;"",Units!$J100,Mkt!J101),Inputs!$B$15*Mkt!J101+(1-Inputs!$B$15)*MIN(Mkt!J101,I101*(1+Inputs!$B$18))),I101)))</f>
        <v>1525</v>
      </c>
      <c r="K101" s="11" t="n">
        <f aca="false">IF(K$1&lt;Units!$P100,0,IF(AND(Units!$K100=0,K$1=Units!$O100),Units!$R100,IF(AND(K$1&gt;=Units!$Q100,MOD(K$1-Units!$Q100,12)=0),IF(AND(Units!$L100=1,K$1=Units!$Q100),IF(Units!$J100&lt;&gt;"",Units!$J100,Mkt!K101),Inputs!$B$15*Mkt!K101+(1-Inputs!$B$15)*MIN(Mkt!K101,J101*(1+Inputs!$B$18))),J101)))</f>
        <v>1525</v>
      </c>
      <c r="L101" s="11" t="n">
        <f aca="false">IF(L$1&lt;Units!$P100,0,IF(AND(Units!$K100=0,L$1=Units!$O100),Units!$R100,IF(AND(L$1&gt;=Units!$Q100,MOD(L$1-Units!$Q100,12)=0),IF(AND(Units!$L100=1,L$1=Units!$Q100),IF(Units!$J100&lt;&gt;"",Units!$J100,Mkt!L101),Inputs!$B$15*Mkt!L101+(1-Inputs!$B$15)*MIN(Mkt!L101,K101*(1+Inputs!$B$18))),K101)))</f>
        <v>1525</v>
      </c>
      <c r="M101" s="11" t="n">
        <f aca="false">IF(M$1&lt;Units!$P100,0,IF(AND(Units!$K100=0,M$1=Units!$O100),Units!$R100,IF(AND(M$1&gt;=Units!$Q100,MOD(M$1-Units!$Q100,12)=0),IF(AND(Units!$L100=1,M$1=Units!$Q100),IF(Units!$J100&lt;&gt;"",Units!$J100,Mkt!M101),Inputs!$B$15*Mkt!M101+(1-Inputs!$B$15)*MIN(Mkt!M101,L101*(1+Inputs!$B$18))),L101)))</f>
        <v>1525</v>
      </c>
      <c r="N101" s="11" t="n">
        <f aca="false">IF(N$1&lt;Units!$P100,0,IF(AND(Units!$K100=0,N$1=Units!$O100),Units!$R100,IF(AND(N$1&gt;=Units!$Q100,MOD(N$1-Units!$Q100,12)=0),IF(AND(Units!$L100=1,N$1=Units!$Q100),IF(Units!$J100&lt;&gt;"",Units!$J100,Mkt!N101),Inputs!$B$15*Mkt!N101+(1-Inputs!$B$15)*MIN(Mkt!N101,M101*(1+Inputs!$B$18))),M101)))</f>
        <v>1525</v>
      </c>
      <c r="O101" s="11" t="n">
        <f aca="false">IF(O$1&lt;Units!$P100,0,IF(AND(Units!$K100=0,O$1=Units!$O100),Units!$R100,IF(AND(O$1&gt;=Units!$Q100,MOD(O$1-Units!$Q100,12)=0),IF(AND(Units!$L100=1,O$1=Units!$Q100),IF(Units!$J100&lt;&gt;"",Units!$J100,Mkt!O101),Inputs!$B$15*Mkt!O101+(1-Inputs!$B$15)*MIN(Mkt!O101,N101*(1+Inputs!$B$18))),N101)))</f>
        <v>1525</v>
      </c>
      <c r="P101" s="11" t="n">
        <f aca="false">IF(P$1&lt;Units!$P100,0,IF(AND(Units!$K100=0,P$1=Units!$O100),Units!$R100,IF(AND(P$1&gt;=Units!$Q100,MOD(P$1-Units!$Q100,12)=0),IF(AND(Units!$L100=1,P$1=Units!$Q100),IF(Units!$J100&lt;&gt;"",Units!$J100,Mkt!P101),Inputs!$B$15*Mkt!P101+(1-Inputs!$B$15)*MIN(Mkt!P101,O101*(1+Inputs!$B$18))),O101)))</f>
        <v>1525</v>
      </c>
      <c r="Q101" s="11" t="n">
        <f aca="false">IF(Q$1&lt;Units!$P100,0,IF(AND(Units!$K100=0,Q$1=Units!$O100),Units!$R100,IF(AND(Q$1&gt;=Units!$Q100,MOD(Q$1-Units!$Q100,12)=0),IF(AND(Units!$L100=1,Q$1=Units!$Q100),IF(Units!$J100&lt;&gt;"",Units!$J100,Mkt!Q101),Inputs!$B$15*Mkt!Q101+(1-Inputs!$B$15)*MIN(Mkt!Q101,P101*(1+Inputs!$B$18))),P101)))</f>
        <v>1525</v>
      </c>
      <c r="R101" s="11" t="n">
        <f aca="false">IF(R$1&lt;Units!$P100,0,IF(AND(Units!$K100=0,R$1=Units!$O100),Units!$R100,IF(AND(R$1&gt;=Units!$Q100,MOD(R$1-Units!$Q100,12)=0),IF(AND(Units!$L100=1,R$1=Units!$Q100),IF(Units!$J100&lt;&gt;"",Units!$J100,Mkt!R101),Inputs!$B$15*Mkt!R101+(1-Inputs!$B$15)*MIN(Mkt!R101,Q101*(1+Inputs!$B$18))),Q101)))</f>
        <v>1525</v>
      </c>
      <c r="S101" s="11" t="n">
        <f aca="false">IF(S$1&lt;Units!$P100,0,IF(AND(Units!$K100=0,S$1=Units!$O100),Units!$R100,IF(AND(S$1&gt;=Units!$Q100,MOD(S$1-Units!$Q100,12)=0),IF(AND(Units!$L100=1,S$1=Units!$Q100),IF(Units!$J100&lt;&gt;"",Units!$J100,Mkt!S101),Inputs!$B$15*Mkt!S101+(1-Inputs!$B$15)*MIN(Mkt!S101,R101*(1+Inputs!$B$18))),R101)))</f>
        <v>1525</v>
      </c>
      <c r="T101" s="11" t="n">
        <f aca="false">IF(T$1&lt;Units!$P100,0,IF(AND(Units!$K100=0,T$1=Units!$O100),Units!$R100,IF(AND(T$1&gt;=Units!$Q100,MOD(T$1-Units!$Q100,12)=0),IF(AND(Units!$L100=1,T$1=Units!$Q100),IF(Units!$J100&lt;&gt;"",Units!$J100,Mkt!T101),Inputs!$B$15*Mkt!T101+(1-Inputs!$B$15)*MIN(Mkt!T101,S101*(1+Inputs!$B$18))),S101)))</f>
        <v>1525</v>
      </c>
      <c r="U101" s="11" t="n">
        <f aca="false">IF(U$1&lt;Units!$P100,0,IF(AND(Units!$K100=0,U$1=Units!$O100),Units!$R100,IF(AND(U$1&gt;=Units!$Q100,MOD(U$1-Units!$Q100,12)=0),IF(AND(Units!$L100=1,U$1=Units!$Q100),IF(Units!$J100&lt;&gt;"",Units!$J100,Mkt!U101),Inputs!$B$15*Mkt!U101+(1-Inputs!$B$15)*MIN(Mkt!U101,T101*(1+Inputs!$B$18))),T101)))</f>
        <v>1525</v>
      </c>
      <c r="V101" s="11" t="n">
        <f aca="false">IF(V$1&lt;Units!$P100,0,IF(AND(Units!$K100=0,V$1=Units!$O100),Units!$R100,IF(AND(V$1&gt;=Units!$Q100,MOD(V$1-Units!$Q100,12)=0),IF(AND(Units!$L100=1,V$1=Units!$Q100),IF(Units!$J100&lt;&gt;"",Units!$J100,Mkt!V101),Inputs!$B$15*Mkt!V101+(1-Inputs!$B$15)*MIN(Mkt!V101,U101*(1+Inputs!$B$18))),U101)))</f>
        <v>1570.75</v>
      </c>
      <c r="W101" s="11" t="n">
        <f aca="false">IF(W$1&lt;Units!$P100,0,IF(AND(Units!$K100=0,W$1=Units!$O100),Units!$R100,IF(AND(W$1&gt;=Units!$Q100,MOD(W$1-Units!$Q100,12)=0),IF(AND(Units!$L100=1,W$1=Units!$Q100),IF(Units!$J100&lt;&gt;"",Units!$J100,Mkt!W101),Inputs!$B$15*Mkt!W101+(1-Inputs!$B$15)*MIN(Mkt!W101,V101*(1+Inputs!$B$18))),V101)))</f>
        <v>1570.75</v>
      </c>
      <c r="X101" s="11" t="n">
        <f aca="false">IF(X$1&lt;Units!$P100,0,IF(AND(Units!$K100=0,X$1=Units!$O100),Units!$R100,IF(AND(X$1&gt;=Units!$Q100,MOD(X$1-Units!$Q100,12)=0),IF(AND(Units!$L100=1,X$1=Units!$Q100),IF(Units!$J100&lt;&gt;"",Units!$J100,Mkt!X101),Inputs!$B$15*Mkt!X101+(1-Inputs!$B$15)*MIN(Mkt!X101,W101*(1+Inputs!$B$18))),W101)))</f>
        <v>1570.75</v>
      </c>
      <c r="Y101" s="11" t="n">
        <f aca="false">IF(Y$1&lt;Units!$P100,0,IF(AND(Units!$K100=0,Y$1=Units!$O100),Units!$R100,IF(AND(Y$1&gt;=Units!$Q100,MOD(Y$1-Units!$Q100,12)=0),IF(AND(Units!$L100=1,Y$1=Units!$Q100),IF(Units!$J100&lt;&gt;"",Units!$J100,Mkt!Y101),Inputs!$B$15*Mkt!Y101+(1-Inputs!$B$15)*MIN(Mkt!Y101,X101*(1+Inputs!$B$18))),X101)))</f>
        <v>1570.75</v>
      </c>
      <c r="Z101" s="11" t="n">
        <f aca="false">IF(Z$1&lt;Units!$P100,0,IF(AND(Units!$K100=0,Z$1=Units!$O100),Units!$R100,IF(AND(Z$1&gt;=Units!$Q100,MOD(Z$1-Units!$Q100,12)=0),IF(AND(Units!$L100=1,Z$1=Units!$Q100),IF(Units!$J100&lt;&gt;"",Units!$J100,Mkt!Z101),Inputs!$B$15*Mkt!Z101+(1-Inputs!$B$15)*MIN(Mkt!Z101,Y101*(1+Inputs!$B$18))),Y101)))</f>
        <v>1570.75</v>
      </c>
      <c r="AA101" s="11" t="n">
        <f aca="false">IF(AA$1&lt;Units!$P100,0,IF(AND(Units!$K100=0,AA$1=Units!$O100),Units!$R100,IF(AND(AA$1&gt;=Units!$Q100,MOD(AA$1-Units!$Q100,12)=0),IF(AND(Units!$L100=1,AA$1=Units!$Q100),IF(Units!$J100&lt;&gt;"",Units!$J100,Mkt!AA101),Inputs!$B$15*Mkt!AA101+(1-Inputs!$B$15)*MIN(Mkt!AA101,Z101*(1+Inputs!$B$18))),Z101)))</f>
        <v>1570.75</v>
      </c>
      <c r="AB101" s="11" t="n">
        <f aca="false">IF(AB$1&lt;Units!$P100,0,IF(AND(Units!$K100=0,AB$1=Units!$O100),Units!$R100,IF(AND(AB$1&gt;=Units!$Q100,MOD(AB$1-Units!$Q100,12)=0),IF(AND(Units!$L100=1,AB$1=Units!$Q100),IF(Units!$J100&lt;&gt;"",Units!$J100,Mkt!AB101),Inputs!$B$15*Mkt!AB101+(1-Inputs!$B$15)*MIN(Mkt!AB101,AA101*(1+Inputs!$B$18))),AA101)))</f>
        <v>1570.75</v>
      </c>
      <c r="AC101" s="11" t="n">
        <f aca="false">IF(AC$1&lt;Units!$P100,0,IF(AND(Units!$K100=0,AC$1=Units!$O100),Units!$R100,IF(AND(AC$1&gt;=Units!$Q100,MOD(AC$1-Units!$Q100,12)=0),IF(AND(Units!$L100=1,AC$1=Units!$Q100),IF(Units!$J100&lt;&gt;"",Units!$J100,Mkt!AC101),Inputs!$B$15*Mkt!AC101+(1-Inputs!$B$15)*MIN(Mkt!AC101,AB101*(1+Inputs!$B$18))),AB101)))</f>
        <v>1570.75</v>
      </c>
      <c r="AD101" s="11" t="n">
        <f aca="false">IF(AD$1&lt;Units!$P100,0,IF(AND(Units!$K100=0,AD$1=Units!$O100),Units!$R100,IF(AND(AD$1&gt;=Units!$Q100,MOD(AD$1-Units!$Q100,12)=0),IF(AND(Units!$L100=1,AD$1=Units!$Q100),IF(Units!$J100&lt;&gt;"",Units!$J100,Mkt!AD101),Inputs!$B$15*Mkt!AD101+(1-Inputs!$B$15)*MIN(Mkt!AD101,AC101*(1+Inputs!$B$18))),AC101)))</f>
        <v>1570.75</v>
      </c>
      <c r="AE101" s="11" t="n">
        <f aca="false">IF(AE$1&lt;Units!$P100,0,IF(AND(Units!$K100=0,AE$1=Units!$O100),Units!$R100,IF(AND(AE$1&gt;=Units!$Q100,MOD(AE$1-Units!$Q100,12)=0),IF(AND(Units!$L100=1,AE$1=Units!$Q100),IF(Units!$J100&lt;&gt;"",Units!$J100,Mkt!AE101),Inputs!$B$15*Mkt!AE101+(1-Inputs!$B$15)*MIN(Mkt!AE101,AD101*(1+Inputs!$B$18))),AD101)))</f>
        <v>1570.75</v>
      </c>
      <c r="AF101" s="11" t="n">
        <f aca="false">IF(AF$1&lt;Units!$P100,0,IF(AND(Units!$K100=0,AF$1=Units!$O100),Units!$R100,IF(AND(AF$1&gt;=Units!$Q100,MOD(AF$1-Units!$Q100,12)=0),IF(AND(Units!$L100=1,AF$1=Units!$Q100),IF(Units!$J100&lt;&gt;"",Units!$J100,Mkt!AF101),Inputs!$B$15*Mkt!AF101+(1-Inputs!$B$15)*MIN(Mkt!AF101,AE101*(1+Inputs!$B$18))),AE101)))</f>
        <v>1570.75</v>
      </c>
      <c r="AG101" s="11" t="n">
        <f aca="false">IF(AG$1&lt;Units!$P100,0,IF(AND(Units!$K100=0,AG$1=Units!$O100),Units!$R100,IF(AND(AG$1&gt;=Units!$Q100,MOD(AG$1-Units!$Q100,12)=0),IF(AND(Units!$L100=1,AG$1=Units!$Q100),IF(Units!$J100&lt;&gt;"",Units!$J100,Mkt!AG101),Inputs!$B$15*Mkt!AG101+(1-Inputs!$B$15)*MIN(Mkt!AG101,AF101*(1+Inputs!$B$18))),AF101)))</f>
        <v>1570.75</v>
      </c>
      <c r="AH101" s="11" t="n">
        <f aca="false">IF(AH$1&lt;Units!$P100,0,IF(AND(Units!$K100=0,AH$1=Units!$O100),Units!$R100,IF(AND(AH$1&gt;=Units!$Q100,MOD(AH$1-Units!$Q100,12)=0),IF(AND(Units!$L100=1,AH$1=Units!$Q100),IF(Units!$J100&lt;&gt;"",Units!$J100,Mkt!AH101),Inputs!$B$15*Mkt!AH101+(1-Inputs!$B$15)*MIN(Mkt!AH101,AG101*(1+Inputs!$B$18))),AG101)))</f>
        <v>1617.8725</v>
      </c>
      <c r="AI101" s="11" t="n">
        <f aca="false">IF(AI$1&lt;Units!$P100,0,IF(AND(Units!$K100=0,AI$1=Units!$O100),Units!$R100,IF(AND(AI$1&gt;=Units!$Q100,MOD(AI$1-Units!$Q100,12)=0),IF(AND(Units!$L100=1,AI$1=Units!$Q100),IF(Units!$J100&lt;&gt;"",Units!$J100,Mkt!AI101),Inputs!$B$15*Mkt!AI101+(1-Inputs!$B$15)*MIN(Mkt!AI101,AH101*(1+Inputs!$B$18))),AH101)))</f>
        <v>1617.8725</v>
      </c>
      <c r="AJ101" s="11" t="n">
        <f aca="false">IF(AJ$1&lt;Units!$P100,0,IF(AND(Units!$K100=0,AJ$1=Units!$O100),Units!$R100,IF(AND(AJ$1&gt;=Units!$Q100,MOD(AJ$1-Units!$Q100,12)=0),IF(AND(Units!$L100=1,AJ$1=Units!$Q100),IF(Units!$J100&lt;&gt;"",Units!$J100,Mkt!AJ101),Inputs!$B$15*Mkt!AJ101+(1-Inputs!$B$15)*MIN(Mkt!AJ101,AI101*(1+Inputs!$B$18))),AI101)))</f>
        <v>1617.8725</v>
      </c>
      <c r="AK101" s="11" t="n">
        <f aca="false">IF(AK$1&lt;Units!$P100,0,IF(AND(Units!$K100=0,AK$1=Units!$O100),Units!$R100,IF(AND(AK$1&gt;=Units!$Q100,MOD(AK$1-Units!$Q100,12)=0),IF(AND(Units!$L100=1,AK$1=Units!$Q100),IF(Units!$J100&lt;&gt;"",Units!$J100,Mkt!AK101),Inputs!$B$15*Mkt!AK101+(1-Inputs!$B$15)*MIN(Mkt!AK101,AJ101*(1+Inputs!$B$18))),AJ101)))</f>
        <v>1617.8725</v>
      </c>
      <c r="AL101" s="11" t="n">
        <f aca="false">IF(AL$1&lt;Units!$P100,0,IF(AND(Units!$K100=0,AL$1=Units!$O100),Units!$R100,IF(AND(AL$1&gt;=Units!$Q100,MOD(AL$1-Units!$Q100,12)=0),IF(AND(Units!$L100=1,AL$1=Units!$Q100),IF(Units!$J100&lt;&gt;"",Units!$J100,Mkt!AL101),Inputs!$B$15*Mkt!AL101+(1-Inputs!$B$15)*MIN(Mkt!AL101,AK101*(1+Inputs!$B$18))),AK101)))</f>
        <v>1617.8725</v>
      </c>
      <c r="AM101" s="11" t="n">
        <f aca="false">IF(AM$1&lt;Units!$P100,0,IF(AND(Units!$K100=0,AM$1=Units!$O100),Units!$R100,IF(AND(AM$1&gt;=Units!$Q100,MOD(AM$1-Units!$Q100,12)=0),IF(AND(Units!$L100=1,AM$1=Units!$Q100),IF(Units!$J100&lt;&gt;"",Units!$J100,Mkt!AM101),Inputs!$B$15*Mkt!AM101+(1-Inputs!$B$15)*MIN(Mkt!AM101,AL101*(1+Inputs!$B$18))),AL101)))</f>
        <v>1617.8725</v>
      </c>
      <c r="AN101" s="11" t="n">
        <f aca="false">IF(AN$1&lt;Units!$P100,0,IF(AND(Units!$K100=0,AN$1=Units!$O100),Units!$R100,IF(AND(AN$1&gt;=Units!$Q100,MOD(AN$1-Units!$Q100,12)=0),IF(AND(Units!$L100=1,AN$1=Units!$Q100),IF(Units!$J100&lt;&gt;"",Units!$J100,Mkt!AN101),Inputs!$B$15*Mkt!AN101+(1-Inputs!$B$15)*MIN(Mkt!AN101,AM101*(1+Inputs!$B$18))),AM101)))</f>
        <v>1617.8725</v>
      </c>
      <c r="AO101" s="11" t="n">
        <f aca="false">IF(AO$1&lt;Units!$P100,0,IF(AND(Units!$K100=0,AO$1=Units!$O100),Units!$R100,IF(AND(AO$1&gt;=Units!$Q100,MOD(AO$1-Units!$Q100,12)=0),IF(AND(Units!$L100=1,AO$1=Units!$Q100),IF(Units!$J100&lt;&gt;"",Units!$J100,Mkt!AO101),Inputs!$B$15*Mkt!AO101+(1-Inputs!$B$15)*MIN(Mkt!AO101,AN101*(1+Inputs!$B$18))),AN101)))</f>
        <v>1617.8725</v>
      </c>
      <c r="AP101" s="11" t="n">
        <f aca="false">IF(AP$1&lt;Units!$P100,0,IF(AND(Units!$K100=0,AP$1=Units!$O100),Units!$R100,IF(AND(AP$1&gt;=Units!$Q100,MOD(AP$1-Units!$Q100,12)=0),IF(AND(Units!$L100=1,AP$1=Units!$Q100),IF(Units!$J100&lt;&gt;"",Units!$J100,Mkt!AP101),Inputs!$B$15*Mkt!AP101+(1-Inputs!$B$15)*MIN(Mkt!AP101,AO101*(1+Inputs!$B$18))),AO101)))</f>
        <v>1617.8725</v>
      </c>
      <c r="AQ101" s="11" t="n">
        <f aca="false">IF(AQ$1&lt;Units!$P100,0,IF(AND(Units!$K100=0,AQ$1=Units!$O100),Units!$R100,IF(AND(AQ$1&gt;=Units!$Q100,MOD(AQ$1-Units!$Q100,12)=0),IF(AND(Units!$L100=1,AQ$1=Units!$Q100),IF(Units!$J100&lt;&gt;"",Units!$J100,Mkt!AQ101),Inputs!$B$15*Mkt!AQ101+(1-Inputs!$B$15)*MIN(Mkt!AQ101,AP101*(1+Inputs!$B$18))),AP101)))</f>
        <v>1617.8725</v>
      </c>
      <c r="AR101" s="11" t="n">
        <f aca="false">IF(AR$1&lt;Units!$P100,0,IF(AND(Units!$K100=0,AR$1=Units!$O100),Units!$R100,IF(AND(AR$1&gt;=Units!$Q100,MOD(AR$1-Units!$Q100,12)=0),IF(AND(Units!$L100=1,AR$1=Units!$Q100),IF(Units!$J100&lt;&gt;"",Units!$J100,Mkt!AR101),Inputs!$B$15*Mkt!AR101+(1-Inputs!$B$15)*MIN(Mkt!AR101,AQ101*(1+Inputs!$B$18))),AQ101)))</f>
        <v>1617.8725</v>
      </c>
      <c r="AS101" s="11" t="n">
        <f aca="false">IF(AS$1&lt;Units!$P100,0,IF(AND(Units!$K100=0,AS$1=Units!$O100),Units!$R100,IF(AND(AS$1&gt;=Units!$Q100,MOD(AS$1-Units!$Q100,12)=0),IF(AND(Units!$L100=1,AS$1=Units!$Q100),IF(Units!$J100&lt;&gt;"",Units!$J100,Mkt!AS101),Inputs!$B$15*Mkt!AS101+(1-Inputs!$B$15)*MIN(Mkt!AS101,AR101*(1+Inputs!$B$18))),AR101)))</f>
        <v>1617.8725</v>
      </c>
      <c r="AT101" s="11" t="n">
        <f aca="false">IF(AT$1&lt;Units!$P100,0,IF(AND(Units!$K100=0,AT$1=Units!$O100),Units!$R100,IF(AND(AT$1&gt;=Units!$Q100,MOD(AT$1-Units!$Q100,12)=0),IF(AND(Units!$L100=1,AT$1=Units!$Q100),IF(Units!$J100&lt;&gt;"",Units!$J100,Mkt!AT101),Inputs!$B$15*Mkt!AT101+(1-Inputs!$B$15)*MIN(Mkt!AT101,AS101*(1+Inputs!$B$18))),AS101)))</f>
        <v>1666.408675</v>
      </c>
      <c r="AU101" s="11" t="n">
        <f aca="false">IF(AU$1&lt;Units!$P100,0,IF(AND(Units!$K100=0,AU$1=Units!$O100),Units!$R100,IF(AND(AU$1&gt;=Units!$Q100,MOD(AU$1-Units!$Q100,12)=0),IF(AND(Units!$L100=1,AU$1=Units!$Q100),IF(Units!$J100&lt;&gt;"",Units!$J100,Mkt!AU101),Inputs!$B$15*Mkt!AU101+(1-Inputs!$B$15)*MIN(Mkt!AU101,AT101*(1+Inputs!$B$18))),AT101)))</f>
        <v>1666.408675</v>
      </c>
      <c r="AV101" s="11" t="n">
        <f aca="false">IF(AV$1&lt;Units!$P100,0,IF(AND(Units!$K100=0,AV$1=Units!$O100),Units!$R100,IF(AND(AV$1&gt;=Units!$Q100,MOD(AV$1-Units!$Q100,12)=0),IF(AND(Units!$L100=1,AV$1=Units!$Q100),IF(Units!$J100&lt;&gt;"",Units!$J100,Mkt!AV101),Inputs!$B$15*Mkt!AV101+(1-Inputs!$B$15)*MIN(Mkt!AV101,AU101*(1+Inputs!$B$18))),AU101)))</f>
        <v>1666.408675</v>
      </c>
      <c r="AW101" s="11" t="n">
        <f aca="false">IF(AW$1&lt;Units!$P100,0,IF(AND(Units!$K100=0,AW$1=Units!$O100),Units!$R100,IF(AND(AW$1&gt;=Units!$Q100,MOD(AW$1-Units!$Q100,12)=0),IF(AND(Units!$L100=1,AW$1=Units!$Q100),IF(Units!$J100&lt;&gt;"",Units!$J100,Mkt!AW101),Inputs!$B$15*Mkt!AW101+(1-Inputs!$B$15)*MIN(Mkt!AW101,AV101*(1+Inputs!$B$18))),AV101)))</f>
        <v>1666.408675</v>
      </c>
      <c r="AX101" s="11" t="n">
        <f aca="false">IF(AX$1&lt;Units!$P100,0,IF(AND(Units!$K100=0,AX$1=Units!$O100),Units!$R100,IF(AND(AX$1&gt;=Units!$Q100,MOD(AX$1-Units!$Q100,12)=0),IF(AND(Units!$L100=1,AX$1=Units!$Q100),IF(Units!$J100&lt;&gt;"",Units!$J100,Mkt!AX101),Inputs!$B$15*Mkt!AX101+(1-Inputs!$B$15)*MIN(Mkt!AX101,AW101*(1+Inputs!$B$18))),AW101)))</f>
        <v>1666.408675</v>
      </c>
      <c r="AY101" s="11" t="n">
        <f aca="false">IF(AY$1&lt;Units!$P100,0,IF(AND(Units!$K100=0,AY$1=Units!$O100),Units!$R100,IF(AND(AY$1&gt;=Units!$Q100,MOD(AY$1-Units!$Q100,12)=0),IF(AND(Units!$L100=1,AY$1=Units!$Q100),IF(Units!$J100&lt;&gt;"",Units!$J100,Mkt!AY101),Inputs!$B$15*Mkt!AY101+(1-Inputs!$B$15)*MIN(Mkt!AY101,AX101*(1+Inputs!$B$18))),AX101)))</f>
        <v>1666.408675</v>
      </c>
      <c r="AZ101" s="11" t="n">
        <f aca="false">IF(AZ$1&lt;Units!$P100,0,IF(AND(Units!$K100=0,AZ$1=Units!$O100),Units!$R100,IF(AND(AZ$1&gt;=Units!$Q100,MOD(AZ$1-Units!$Q100,12)=0),IF(AND(Units!$L100=1,AZ$1=Units!$Q100),IF(Units!$J100&lt;&gt;"",Units!$J100,Mkt!AZ101),Inputs!$B$15*Mkt!AZ101+(1-Inputs!$B$15)*MIN(Mkt!AZ101,AY101*(1+Inputs!$B$18))),AY101)))</f>
        <v>1666.408675</v>
      </c>
      <c r="BA101" s="11" t="n">
        <f aca="false">IF(BA$1&lt;Units!$P100,0,IF(AND(Units!$K100=0,BA$1=Units!$O100),Units!$R100,IF(AND(BA$1&gt;=Units!$Q100,MOD(BA$1-Units!$Q100,12)=0),IF(AND(Units!$L100=1,BA$1=Units!$Q100),IF(Units!$J100&lt;&gt;"",Units!$J100,Mkt!BA101),Inputs!$B$15*Mkt!BA101+(1-Inputs!$B$15)*MIN(Mkt!BA101,AZ101*(1+Inputs!$B$18))),AZ101)))</f>
        <v>1666.408675</v>
      </c>
      <c r="BB101" s="11" t="n">
        <f aca="false">IF(BB$1&lt;Units!$P100,0,IF(AND(Units!$K100=0,BB$1=Units!$O100),Units!$R100,IF(AND(BB$1&gt;=Units!$Q100,MOD(BB$1-Units!$Q100,12)=0),IF(AND(Units!$L100=1,BB$1=Units!$Q100),IF(Units!$J100&lt;&gt;"",Units!$J100,Mkt!BB101),Inputs!$B$15*Mkt!BB101+(1-Inputs!$B$15)*MIN(Mkt!BB101,BA101*(1+Inputs!$B$18))),BA101)))</f>
        <v>1666.408675</v>
      </c>
      <c r="BC101" s="11" t="n">
        <f aca="false">IF(BC$1&lt;Units!$P100,0,IF(AND(Units!$K100=0,BC$1=Units!$O100),Units!$R100,IF(AND(BC$1&gt;=Units!$Q100,MOD(BC$1-Units!$Q100,12)=0),IF(AND(Units!$L100=1,BC$1=Units!$Q100),IF(Units!$J100&lt;&gt;"",Units!$J100,Mkt!BC101),Inputs!$B$15*Mkt!BC101+(1-Inputs!$B$15)*MIN(Mkt!BC101,BB101*(1+Inputs!$B$18))),BB101)))</f>
        <v>1666.408675</v>
      </c>
      <c r="BD101" s="11" t="n">
        <f aca="false">IF(BD$1&lt;Units!$P100,0,IF(AND(Units!$K100=0,BD$1=Units!$O100),Units!$R100,IF(AND(BD$1&gt;=Units!$Q100,MOD(BD$1-Units!$Q100,12)=0),IF(AND(Units!$L100=1,BD$1=Units!$Q100),IF(Units!$J100&lt;&gt;"",Units!$J100,Mkt!BD101),Inputs!$B$15*Mkt!BD101+(1-Inputs!$B$15)*MIN(Mkt!BD101,BC101*(1+Inputs!$B$18))),BC101)))</f>
        <v>1666.408675</v>
      </c>
      <c r="BE101" s="11" t="n">
        <f aca="false">IF(BE$1&lt;Units!$P100,0,IF(AND(Units!$K100=0,BE$1=Units!$O100),Units!$R100,IF(AND(BE$1&gt;=Units!$Q100,MOD(BE$1-Units!$Q100,12)=0),IF(AND(Units!$L100=1,BE$1=Units!$Q100),IF(Units!$J100&lt;&gt;"",Units!$J100,Mkt!BE101),Inputs!$B$15*Mkt!BE101+(1-Inputs!$B$15)*MIN(Mkt!BE101,BD101*(1+Inputs!$B$18))),BD101)))</f>
        <v>1666.408675</v>
      </c>
      <c r="BF101" s="11" t="n">
        <f aca="false">IF(BF$1&lt;Units!$P100,0,IF(AND(Units!$K100=0,BF$1=Units!$O100),Units!$R100,IF(AND(BF$1&gt;=Units!$Q100,MOD(BF$1-Units!$Q100,12)=0),IF(AND(Units!$L100=1,BF$1=Units!$Q100),IF(Units!$J100&lt;&gt;"",Units!$J100,Mkt!BF101),Inputs!$B$15*Mkt!BF101+(1-Inputs!$B$15)*MIN(Mkt!BF101,BE101*(1+Inputs!$B$18))),BE101)))</f>
        <v>1716.40093525</v>
      </c>
      <c r="BG101" s="11" t="n">
        <f aca="false">IF(BG$1&lt;Units!$P100,0,IF(AND(Units!$K100=0,BG$1=Units!$O100),Units!$R100,IF(AND(BG$1&gt;=Units!$Q100,MOD(BG$1-Units!$Q100,12)=0),IF(AND(Units!$L100=1,BG$1=Units!$Q100),IF(Units!$J100&lt;&gt;"",Units!$J100,Mkt!BG101),Inputs!$B$15*Mkt!BG101+(1-Inputs!$B$15)*MIN(Mkt!BG101,BF101*(1+Inputs!$B$18))),BF101)))</f>
        <v>1716.40093525</v>
      </c>
      <c r="BH101" s="11" t="n">
        <f aca="false">IF(BH$1&lt;Units!$P100,0,IF(AND(Units!$K100=0,BH$1=Units!$O100),Units!$R100,IF(AND(BH$1&gt;=Units!$Q100,MOD(BH$1-Units!$Q100,12)=0),IF(AND(Units!$L100=1,BH$1=Units!$Q100),IF(Units!$J100&lt;&gt;"",Units!$J100,Mkt!BH101),Inputs!$B$15*Mkt!BH101+(1-Inputs!$B$15)*MIN(Mkt!BH101,BG101*(1+Inputs!$B$18))),BG101)))</f>
        <v>1716.40093525</v>
      </c>
      <c r="BI101" s="11" t="n">
        <f aca="false">IF(BI$1&lt;Units!$P100,0,IF(AND(Units!$K100=0,BI$1=Units!$O100),Units!$R100,IF(AND(BI$1&gt;=Units!$Q100,MOD(BI$1-Units!$Q100,12)=0),IF(AND(Units!$L100=1,BI$1=Units!$Q100),IF(Units!$J100&lt;&gt;"",Units!$J100,Mkt!BI101),Inputs!$B$15*Mkt!BI101+(1-Inputs!$B$15)*MIN(Mkt!BI101,BH101*(1+Inputs!$B$18))),BH101)))</f>
        <v>1716.40093525</v>
      </c>
      <c r="BJ101" s="11" t="n">
        <f aca="false">IF(BJ$1&lt;Units!$P100,0,IF(AND(Units!$K100=0,BJ$1=Units!$O100),Units!$R100,IF(AND(BJ$1&gt;=Units!$Q100,MOD(BJ$1-Units!$Q100,12)=0),IF(AND(Units!$L100=1,BJ$1=Units!$Q100),IF(Units!$J100&lt;&gt;"",Units!$J100,Mkt!BJ101),Inputs!$B$15*Mkt!BJ101+(1-Inputs!$B$15)*MIN(Mkt!BJ101,BI101*(1+Inputs!$B$18))),BI101)))</f>
        <v>1716.40093525</v>
      </c>
      <c r="BK101" s="11" t="n">
        <f aca="false">IF(BK$1&lt;Units!$P100,0,IF(AND(Units!$K100=0,BK$1=Units!$O100),Units!$R100,IF(AND(BK$1&gt;=Units!$Q100,MOD(BK$1-Units!$Q100,12)=0),IF(AND(Units!$L100=1,BK$1=Units!$Q100),IF(Units!$J100&lt;&gt;"",Units!$J100,Mkt!BK101),Inputs!$B$15*Mkt!BK101+(1-Inputs!$B$15)*MIN(Mkt!BK101,BJ101*(1+Inputs!$B$18))),BJ101)))</f>
        <v>1716.40093525</v>
      </c>
      <c r="BL101" s="11" t="n">
        <f aca="false">IF(BL$1&lt;Units!$P100,0,IF(AND(Units!$K100=0,BL$1=Units!$O100),Units!$R100,IF(AND(BL$1&gt;=Units!$Q100,MOD(BL$1-Units!$Q100,12)=0),IF(AND(Units!$L100=1,BL$1=Units!$Q100),IF(Units!$J100&lt;&gt;"",Units!$J100,Mkt!BL101),Inputs!$B$15*Mkt!BL101+(1-Inputs!$B$15)*MIN(Mkt!BL101,BK101*(1+Inputs!$B$18))),BK101)))</f>
        <v>1716.40093525</v>
      </c>
      <c r="BM101" s="11" t="n">
        <f aca="false">IF(BM$1&lt;Units!$P100,0,IF(AND(Units!$K100=0,BM$1=Units!$O100),Units!$R100,IF(AND(BM$1&gt;=Units!$Q100,MOD(BM$1-Units!$Q100,12)=0),IF(AND(Units!$L100=1,BM$1=Units!$Q100),IF(Units!$J100&lt;&gt;"",Units!$J100,Mkt!BM101),Inputs!$B$15*Mkt!BM101+(1-Inputs!$B$15)*MIN(Mkt!BM101,BL101*(1+Inputs!$B$18))),BL101)))</f>
        <v>1716.40093525</v>
      </c>
      <c r="BN101" s="11" t="n">
        <f aca="false">IF(BN$1&lt;Units!$P100,0,IF(AND(Units!$K100=0,BN$1=Units!$O100),Units!$R100,IF(AND(BN$1&gt;=Units!$Q100,MOD(BN$1-Units!$Q100,12)=0),IF(AND(Units!$L100=1,BN$1=Units!$Q100),IF(Units!$J100&lt;&gt;"",Units!$J100,Mkt!BN101),Inputs!$B$15*Mkt!BN101+(1-Inputs!$B$15)*MIN(Mkt!BN101,BM101*(1+Inputs!$B$18))),BM101)))</f>
        <v>1716.40093525</v>
      </c>
      <c r="BO101" s="11" t="n">
        <f aca="false">IF(BO$1&lt;Units!$P100,0,IF(AND(Units!$K100=0,BO$1=Units!$O100),Units!$R100,IF(AND(BO$1&gt;=Units!$Q100,MOD(BO$1-Units!$Q100,12)=0),IF(AND(Units!$L100=1,BO$1=Units!$Q100),IF(Units!$J100&lt;&gt;"",Units!$J100,Mkt!BO101),Inputs!$B$15*Mkt!BO101+(1-Inputs!$B$15)*MIN(Mkt!BO101,BN101*(1+Inputs!$B$18))),BN101)))</f>
        <v>1716.40093525</v>
      </c>
      <c r="BP101" s="11" t="n">
        <f aca="false">IF(BP$1&lt;Units!$P100,0,IF(AND(Units!$K100=0,BP$1=Units!$O100),Units!$R100,IF(AND(BP$1&gt;=Units!$Q100,MOD(BP$1-Units!$Q100,12)=0),IF(AND(Units!$L100=1,BP$1=Units!$Q100),IF(Units!$J100&lt;&gt;"",Units!$J100,Mkt!BP101),Inputs!$B$15*Mkt!BP101+(1-Inputs!$B$15)*MIN(Mkt!BP101,BO101*(1+Inputs!$B$18))),BO101)))</f>
        <v>1716.40093525</v>
      </c>
      <c r="BQ101" s="11" t="n">
        <f aca="false">IF(BQ$1&lt;Units!$P100,0,IF(AND(Units!$K100=0,BQ$1=Units!$O100),Units!$R100,IF(AND(BQ$1&gt;=Units!$Q100,MOD(BQ$1-Units!$Q100,12)=0),IF(AND(Units!$L100=1,BQ$1=Units!$Q100),IF(Units!$J100&lt;&gt;"",Units!$J100,Mkt!BQ101),Inputs!$B$15*Mkt!BQ101+(1-Inputs!$B$15)*MIN(Mkt!BQ101,BP101*(1+Inputs!$B$18))),BP101)))</f>
        <v>1716.40093525</v>
      </c>
      <c r="BR101" s="11" t="n">
        <f aca="false">IF(BR$1&lt;Units!$P100,0,IF(AND(Units!$K100=0,BR$1=Units!$O100),Units!$R100,IF(AND(BR$1&gt;=Units!$Q100,MOD(BR$1-Units!$Q100,12)=0),IF(AND(Units!$L100=1,BR$1=Units!$Q100),IF(Units!$J100&lt;&gt;"",Units!$J100,Mkt!BR101),Inputs!$B$15*Mkt!BR101+(1-Inputs!$B$15)*MIN(Mkt!BR101,BQ101*(1+Inputs!$B$18))),BQ101)))</f>
        <v>1767.8929633075</v>
      </c>
      <c r="BS101" s="11" t="n">
        <f aca="false">IF(BS$1&lt;Units!$P100,0,IF(AND(Units!$K100=0,BS$1=Units!$O100),Units!$R100,IF(AND(BS$1&gt;=Units!$Q100,MOD(BS$1-Units!$Q100,12)=0),IF(AND(Units!$L100=1,BS$1=Units!$Q100),IF(Units!$J100&lt;&gt;"",Units!$J100,Mkt!BS101),Inputs!$B$15*Mkt!BS101+(1-Inputs!$B$15)*MIN(Mkt!BS101,BR101*(1+Inputs!$B$18))),BR101)))</f>
        <v>1767.8929633075</v>
      </c>
      <c r="BT101" s="11" t="n">
        <f aca="false">IF(BT$1&lt;Units!$P100,0,IF(AND(Units!$K100=0,BT$1=Units!$O100),Units!$R100,IF(AND(BT$1&gt;=Units!$Q100,MOD(BT$1-Units!$Q100,12)=0),IF(AND(Units!$L100=1,BT$1=Units!$Q100),IF(Units!$J100&lt;&gt;"",Units!$J100,Mkt!BT101),Inputs!$B$15*Mkt!BT101+(1-Inputs!$B$15)*MIN(Mkt!BT101,BS101*(1+Inputs!$B$18))),BS101)))</f>
        <v>1767.8929633075</v>
      </c>
      <c r="BU101" s="11" t="n">
        <f aca="false">IF(BU$1&lt;Units!$P100,0,IF(AND(Units!$K100=0,BU$1=Units!$O100),Units!$R100,IF(AND(BU$1&gt;=Units!$Q100,MOD(BU$1-Units!$Q100,12)=0),IF(AND(Units!$L100=1,BU$1=Units!$Q100),IF(Units!$J100&lt;&gt;"",Units!$J100,Mkt!BU101),Inputs!$B$15*Mkt!BU101+(1-Inputs!$B$15)*MIN(Mkt!BU101,BT101*(1+Inputs!$B$18))),BT101)))</f>
        <v>1767.8929633075</v>
      </c>
      <c r="BV101" s="11" t="n">
        <f aca="false">IF(BV$1&lt;Units!$P100,0,IF(AND(Units!$K100=0,BV$1=Units!$O100),Units!$R100,IF(AND(BV$1&gt;=Units!$Q100,MOD(BV$1-Units!$Q100,12)=0),IF(AND(Units!$L100=1,BV$1=Units!$Q100),IF(Units!$J100&lt;&gt;"",Units!$J100,Mkt!BV101),Inputs!$B$15*Mkt!BV101+(1-Inputs!$B$15)*MIN(Mkt!BV101,BU101*(1+Inputs!$B$18))),BU101)))</f>
        <v>1767.8929633075</v>
      </c>
      <c r="BW101" s="11" t="n">
        <f aca="false">IF(BW$1&lt;Units!$P100,0,IF(AND(Units!$K100=0,BW$1=Units!$O100),Units!$R100,IF(AND(BW$1&gt;=Units!$Q100,MOD(BW$1-Units!$Q100,12)=0),IF(AND(Units!$L100=1,BW$1=Units!$Q100),IF(Units!$J100&lt;&gt;"",Units!$J100,Mkt!BW101),Inputs!$B$15*Mkt!BW101+(1-Inputs!$B$15)*MIN(Mkt!BW101,BV101*(1+Inputs!$B$18))),BV101)))</f>
        <v>1767.8929633075</v>
      </c>
      <c r="BX101" s="11" t="n">
        <f aca="false">IF(BX$1&lt;Units!$P100,0,IF(AND(Units!$K100=0,BX$1=Units!$O100),Units!$R100,IF(AND(BX$1&gt;=Units!$Q100,MOD(BX$1-Units!$Q100,12)=0),IF(AND(Units!$L100=1,BX$1=Units!$Q100),IF(Units!$J100&lt;&gt;"",Units!$J100,Mkt!BX101),Inputs!$B$15*Mkt!BX101+(1-Inputs!$B$15)*MIN(Mkt!BX101,BW101*(1+Inputs!$B$18))),BW101)))</f>
        <v>1767.8929633075</v>
      </c>
      <c r="BY101" s="11" t="n">
        <f aca="false">IF(BY$1&lt;Units!$P100,0,IF(AND(Units!$K100=0,BY$1=Units!$O100),Units!$R100,IF(AND(BY$1&gt;=Units!$Q100,MOD(BY$1-Units!$Q100,12)=0),IF(AND(Units!$L100=1,BY$1=Units!$Q100),IF(Units!$J100&lt;&gt;"",Units!$J100,Mkt!BY101),Inputs!$B$15*Mkt!BY101+(1-Inputs!$B$15)*MIN(Mkt!BY101,BX101*(1+Inputs!$B$18))),BX101)))</f>
        <v>1767.8929633075</v>
      </c>
      <c r="BZ101" s="11" t="n">
        <f aca="false">IF(BZ$1&lt;Units!$P100,0,IF(AND(Units!$K100=0,BZ$1=Units!$O100),Units!$R100,IF(AND(BZ$1&gt;=Units!$Q100,MOD(BZ$1-Units!$Q100,12)=0),IF(AND(Units!$L100=1,BZ$1=Units!$Q100),IF(Units!$J100&lt;&gt;"",Units!$J100,Mkt!BZ101),Inputs!$B$15*Mkt!BZ101+(1-Inputs!$B$15)*MIN(Mkt!BZ101,BY101*(1+Inputs!$B$18))),BY101)))</f>
        <v>1767.8929633075</v>
      </c>
      <c r="CA101" s="11" t="n">
        <f aca="false">IF(CA$1&lt;Units!$P100,0,IF(AND(Units!$K100=0,CA$1=Units!$O100),Units!$R100,IF(AND(CA$1&gt;=Units!$Q100,MOD(CA$1-Units!$Q100,12)=0),IF(AND(Units!$L100=1,CA$1=Units!$Q100),IF(Units!$J100&lt;&gt;"",Units!$J100,Mkt!CA101),Inputs!$B$15*Mkt!CA101+(1-Inputs!$B$15)*MIN(Mkt!CA101,BZ101*(1+Inputs!$B$18))),BZ101)))</f>
        <v>1767.8929633075</v>
      </c>
      <c r="CB101" s="11" t="n">
        <f aca="false">IF(CB$1&lt;Units!$P100,0,IF(AND(Units!$K100=0,CB$1=Units!$O100),Units!$R100,IF(AND(CB$1&gt;=Units!$Q100,MOD(CB$1-Units!$Q100,12)=0),IF(AND(Units!$L100=1,CB$1=Units!$Q100),IF(Units!$J100&lt;&gt;"",Units!$J100,Mkt!CB101),Inputs!$B$15*Mkt!CB101+(1-Inputs!$B$15)*MIN(Mkt!CB101,CA101*(1+Inputs!$B$18))),CA101)))</f>
        <v>1767.8929633075</v>
      </c>
      <c r="CC101" s="11" t="n">
        <f aca="false">IF(CC$1&lt;Units!$P100,0,IF(AND(Units!$K100=0,CC$1=Units!$O100),Units!$R100,IF(AND(CC$1&gt;=Units!$Q100,MOD(CC$1-Units!$Q100,12)=0),IF(AND(Units!$L100=1,CC$1=Units!$Q100),IF(Units!$J100&lt;&gt;"",Units!$J100,Mkt!CC101),Inputs!$B$15*Mkt!CC101+(1-Inputs!$B$15)*MIN(Mkt!CC101,CB101*(1+Inputs!$B$18))),CB101)))</f>
        <v>1767.8929633075</v>
      </c>
      <c r="CD101" s="11" t="n">
        <f aca="false">IF(CD$1&lt;Units!$P100,0,IF(AND(Units!$K100=0,CD$1=Units!$O100),Units!$R100,IF(AND(CD$1&gt;=Units!$Q100,MOD(CD$1-Units!$Q100,12)=0),IF(AND(Units!$L100=1,CD$1=Units!$Q100),IF(Units!$J100&lt;&gt;"",Units!$J100,Mkt!CD101),Inputs!$B$15*Mkt!CD101+(1-Inputs!$B$15)*MIN(Mkt!CD101,CC101*(1+Inputs!$B$18))),CC101)))</f>
        <v>1820.92975220673</v>
      </c>
      <c r="CE101" s="11" t="n">
        <f aca="false">IF(CE$1&lt;Units!$P100,0,IF(AND(Units!$K100=0,CE$1=Units!$O100),Units!$R100,IF(AND(CE$1&gt;=Units!$Q100,MOD(CE$1-Units!$Q100,12)=0),IF(AND(Units!$L100=1,CE$1=Units!$Q100),IF(Units!$J100&lt;&gt;"",Units!$J100,Mkt!CE101),Inputs!$B$15*Mkt!CE101+(1-Inputs!$B$15)*MIN(Mkt!CE101,CD101*(1+Inputs!$B$18))),CD101)))</f>
        <v>1820.92975220673</v>
      </c>
      <c r="CF101" s="11" t="n">
        <f aca="false">IF(CF$1&lt;Units!$P100,0,IF(AND(Units!$K100=0,CF$1=Units!$O100),Units!$R100,IF(AND(CF$1&gt;=Units!$Q100,MOD(CF$1-Units!$Q100,12)=0),IF(AND(Units!$L100=1,CF$1=Units!$Q100),IF(Units!$J100&lt;&gt;"",Units!$J100,Mkt!CF101),Inputs!$B$15*Mkt!CF101+(1-Inputs!$B$15)*MIN(Mkt!CF101,CE101*(1+Inputs!$B$18))),CE101)))</f>
        <v>1820.92975220673</v>
      </c>
      <c r="CG101" s="11" t="n">
        <f aca="false">IF(CG$1&lt;Units!$P100,0,IF(AND(Units!$K100=0,CG$1=Units!$O100),Units!$R100,IF(AND(CG$1&gt;=Units!$Q100,MOD(CG$1-Units!$Q100,12)=0),IF(AND(Units!$L100=1,CG$1=Units!$Q100),IF(Units!$J100&lt;&gt;"",Units!$J100,Mkt!CG101),Inputs!$B$15*Mkt!CG101+(1-Inputs!$B$15)*MIN(Mkt!CG101,CF101*(1+Inputs!$B$18))),CF101)))</f>
        <v>1820.92975220673</v>
      </c>
      <c r="CH101" s="11" t="n">
        <f aca="false">IF(CH$1&lt;Units!$P100,0,IF(AND(Units!$K100=0,CH$1=Units!$O100),Units!$R100,IF(AND(CH$1&gt;=Units!$Q100,MOD(CH$1-Units!$Q100,12)=0),IF(AND(Units!$L100=1,CH$1=Units!$Q100),IF(Units!$J100&lt;&gt;"",Units!$J100,Mkt!CH101),Inputs!$B$15*Mkt!CH101+(1-Inputs!$B$15)*MIN(Mkt!CH101,CG101*(1+Inputs!$B$18))),CG101)))</f>
        <v>1820.92975220673</v>
      </c>
      <c r="CI101" s="11" t="n">
        <f aca="false">IF(CI$1&lt;Units!$P100,0,IF(AND(Units!$K100=0,CI$1=Units!$O100),Units!$R100,IF(AND(CI$1&gt;=Units!$Q100,MOD(CI$1-Units!$Q100,12)=0),IF(AND(Units!$L100=1,CI$1=Units!$Q100),IF(Units!$J100&lt;&gt;"",Units!$J100,Mkt!CI101),Inputs!$B$15*Mkt!CI101+(1-Inputs!$B$15)*MIN(Mkt!CI101,CH101*(1+Inputs!$B$18))),CH101)))</f>
        <v>1820.92975220673</v>
      </c>
      <c r="CJ101" s="11" t="n">
        <f aca="false">IF(CJ$1&lt;Units!$P100,0,IF(AND(Units!$K100=0,CJ$1=Units!$O100),Units!$R100,IF(AND(CJ$1&gt;=Units!$Q100,MOD(CJ$1-Units!$Q100,12)=0),IF(AND(Units!$L100=1,CJ$1=Units!$Q100),IF(Units!$J100&lt;&gt;"",Units!$J100,Mkt!CJ101),Inputs!$B$15*Mkt!CJ101+(1-Inputs!$B$15)*MIN(Mkt!CJ101,CI101*(1+Inputs!$B$18))),CI101)))</f>
        <v>1820.92975220673</v>
      </c>
      <c r="CK101" s="11" t="n">
        <f aca="false">IF(CK$1&lt;Units!$P100,0,IF(AND(Units!$K100=0,CK$1=Units!$O100),Units!$R100,IF(AND(CK$1&gt;=Units!$Q100,MOD(CK$1-Units!$Q100,12)=0),IF(AND(Units!$L100=1,CK$1=Units!$Q100),IF(Units!$J100&lt;&gt;"",Units!$J100,Mkt!CK101),Inputs!$B$15*Mkt!CK101+(1-Inputs!$B$15)*MIN(Mkt!CK101,CJ101*(1+Inputs!$B$18))),CJ101)))</f>
        <v>1820.92975220673</v>
      </c>
      <c r="CL101" s="11" t="n">
        <f aca="false">IF(CL$1&lt;Units!$P100,0,IF(AND(Units!$K100=0,CL$1=Units!$O100),Units!$R100,IF(AND(CL$1&gt;=Units!$Q100,MOD(CL$1-Units!$Q100,12)=0),IF(AND(Units!$L100=1,CL$1=Units!$Q100),IF(Units!$J100&lt;&gt;"",Units!$J100,Mkt!CL101),Inputs!$B$15*Mkt!CL101+(1-Inputs!$B$15)*MIN(Mkt!CL101,CK101*(1+Inputs!$B$18))),CK101)))</f>
        <v>1820.92975220673</v>
      </c>
      <c r="CM101" s="11" t="n">
        <f aca="false">IF(CM$1&lt;Units!$P100,0,IF(AND(Units!$K100=0,CM$1=Units!$O100),Units!$R100,IF(AND(CM$1&gt;=Units!$Q100,MOD(CM$1-Units!$Q100,12)=0),IF(AND(Units!$L100=1,CM$1=Units!$Q100),IF(Units!$J100&lt;&gt;"",Units!$J100,Mkt!CM101),Inputs!$B$15*Mkt!CM101+(1-Inputs!$B$15)*MIN(Mkt!CM101,CL101*(1+Inputs!$B$18))),CL101)))</f>
        <v>1820.92975220673</v>
      </c>
      <c r="CN101" s="11" t="n">
        <f aca="false">IF(CN$1&lt;Units!$P100,0,IF(AND(Units!$K100=0,CN$1=Units!$O100),Units!$R100,IF(AND(CN$1&gt;=Units!$Q100,MOD(CN$1-Units!$Q100,12)=0),IF(AND(Units!$L100=1,CN$1=Units!$Q100),IF(Units!$J100&lt;&gt;"",Units!$J100,Mkt!CN101),Inputs!$B$15*Mkt!CN101+(1-Inputs!$B$15)*MIN(Mkt!CN101,CM101*(1+Inputs!$B$18))),CM101)))</f>
        <v>1820.92975220673</v>
      </c>
      <c r="CO101" s="11" t="n">
        <f aca="false">IF(CO$1&lt;Units!$P100,0,IF(AND(Units!$K100=0,CO$1=Units!$O100),Units!$R100,IF(AND(CO$1&gt;=Units!$Q100,MOD(CO$1-Units!$Q100,12)=0),IF(AND(Units!$L100=1,CO$1=Units!$Q100),IF(Units!$J100&lt;&gt;"",Units!$J100,Mkt!CO101),Inputs!$B$15*Mkt!CO101+(1-Inputs!$B$15)*MIN(Mkt!CO101,CN101*(1+Inputs!$B$18))),CN101)))</f>
        <v>1820.92975220673</v>
      </c>
      <c r="CP101" s="11" t="n">
        <f aca="false">IF(CP$1&lt;Units!$P100,0,IF(AND(Units!$K100=0,CP$1=Units!$O100),Units!$R100,IF(AND(CP$1&gt;=Units!$Q100,MOD(CP$1-Units!$Q100,12)=0),IF(AND(Units!$L100=1,CP$1=Units!$Q100),IF(Units!$J100&lt;&gt;"",Units!$J100,Mkt!CP101),Inputs!$B$15*Mkt!CP101+(1-Inputs!$B$15)*MIN(Mkt!CP101,CO101*(1+Inputs!$B$18))),CO101)))</f>
        <v>1875.55764477293</v>
      </c>
      <c r="CQ101" s="11" t="n">
        <f aca="false">IF(CQ$1&lt;Units!$P100,0,IF(AND(Units!$K100=0,CQ$1=Units!$O100),Units!$R100,IF(AND(CQ$1&gt;=Units!$Q100,MOD(CQ$1-Units!$Q100,12)=0),IF(AND(Units!$L100=1,CQ$1=Units!$Q100),IF(Units!$J100&lt;&gt;"",Units!$J100,Mkt!CQ101),Inputs!$B$15*Mkt!CQ101+(1-Inputs!$B$15)*MIN(Mkt!CQ101,CP101*(1+Inputs!$B$18))),CP101)))</f>
        <v>1875.55764477293</v>
      </c>
      <c r="CR101" s="11" t="n">
        <f aca="false">IF(CR$1&lt;Units!$P100,0,IF(AND(Units!$K100=0,CR$1=Units!$O100),Units!$R100,IF(AND(CR$1&gt;=Units!$Q100,MOD(CR$1-Units!$Q100,12)=0),IF(AND(Units!$L100=1,CR$1=Units!$Q100),IF(Units!$J100&lt;&gt;"",Units!$J100,Mkt!CR101),Inputs!$B$15*Mkt!CR101+(1-Inputs!$B$15)*MIN(Mkt!CR101,CQ101*(1+Inputs!$B$18))),CQ101)))</f>
        <v>1875.55764477293</v>
      </c>
      <c r="CS101" s="11" t="n">
        <f aca="false">IF(CS$1&lt;Units!$P100,0,IF(AND(Units!$K100=0,CS$1=Units!$O100),Units!$R100,IF(AND(CS$1&gt;=Units!$Q100,MOD(CS$1-Units!$Q100,12)=0),IF(AND(Units!$L100=1,CS$1=Units!$Q100),IF(Units!$J100&lt;&gt;"",Units!$J100,Mkt!CS101),Inputs!$B$15*Mkt!CS101+(1-Inputs!$B$15)*MIN(Mkt!CS101,CR101*(1+Inputs!$B$18))),CR101)))</f>
        <v>1875.55764477293</v>
      </c>
      <c r="CT101" s="11" t="n">
        <f aca="false">IF(CT$1&lt;Units!$P100,0,IF(AND(Units!$K100=0,CT$1=Units!$O100),Units!$R100,IF(AND(CT$1&gt;=Units!$Q100,MOD(CT$1-Units!$Q100,12)=0),IF(AND(Units!$L100=1,CT$1=Units!$Q100),IF(Units!$J100&lt;&gt;"",Units!$J100,Mkt!CT101),Inputs!$B$15*Mkt!CT101+(1-Inputs!$B$15)*MIN(Mkt!CT101,CS101*(1+Inputs!$B$18))),CS101)))</f>
        <v>1875.55764477293</v>
      </c>
      <c r="CU101" s="11" t="n">
        <f aca="false">IF(CU$1&lt;Units!$P100,0,IF(AND(Units!$K100=0,CU$1=Units!$O100),Units!$R100,IF(AND(CU$1&gt;=Units!$Q100,MOD(CU$1-Units!$Q100,12)=0),IF(AND(Units!$L100=1,CU$1=Units!$Q100),IF(Units!$J100&lt;&gt;"",Units!$J100,Mkt!CU101),Inputs!$B$15*Mkt!CU101+(1-Inputs!$B$15)*MIN(Mkt!CU101,CT101*(1+Inputs!$B$18))),CT101)))</f>
        <v>1875.55764477293</v>
      </c>
      <c r="CV101" s="11" t="n">
        <f aca="false">IF(CV$1&lt;Units!$P100,0,IF(AND(Units!$K100=0,CV$1=Units!$O100),Units!$R100,IF(AND(CV$1&gt;=Units!$Q100,MOD(CV$1-Units!$Q100,12)=0),IF(AND(Units!$L100=1,CV$1=Units!$Q100),IF(Units!$J100&lt;&gt;"",Units!$J100,Mkt!CV101),Inputs!$B$15*Mkt!CV101+(1-Inputs!$B$15)*MIN(Mkt!CV101,CU101*(1+Inputs!$B$18))),CU101)))</f>
        <v>1875.55764477293</v>
      </c>
      <c r="CW101" s="11" t="n">
        <f aca="false">IF(CW$1&lt;Units!$P100,0,IF(AND(Units!$K100=0,CW$1=Units!$O100),Units!$R100,IF(AND(CW$1&gt;=Units!$Q100,MOD(CW$1-Units!$Q100,12)=0),IF(AND(Units!$L100=1,CW$1=Units!$Q100),IF(Units!$J100&lt;&gt;"",Units!$J100,Mkt!CW101),Inputs!$B$15*Mkt!CW101+(1-Inputs!$B$15)*MIN(Mkt!CW101,CV101*(1+Inputs!$B$18))),CV101)))</f>
        <v>1875.55764477293</v>
      </c>
      <c r="CX101" s="11" t="n">
        <f aca="false">IF(CX$1&lt;Units!$P100,0,IF(AND(Units!$K100=0,CX$1=Units!$O100),Units!$R100,IF(AND(CX$1&gt;=Units!$Q100,MOD(CX$1-Units!$Q100,12)=0),IF(AND(Units!$L100=1,CX$1=Units!$Q100),IF(Units!$J100&lt;&gt;"",Units!$J100,Mkt!CX101),Inputs!$B$15*Mkt!CX101+(1-Inputs!$B$15)*MIN(Mkt!CX101,CW101*(1+Inputs!$B$18))),CW101)))</f>
        <v>1875.55764477293</v>
      </c>
      <c r="CY101" s="11" t="n">
        <f aca="false">IF(CY$1&lt;Units!$P100,0,IF(AND(Units!$K100=0,CY$1=Units!$O100),Units!$R100,IF(AND(CY$1&gt;=Units!$Q100,MOD(CY$1-Units!$Q100,12)=0),IF(AND(Units!$L100=1,CY$1=Units!$Q100),IF(Units!$J100&lt;&gt;"",Units!$J100,Mkt!CY101),Inputs!$B$15*Mkt!CY101+(1-Inputs!$B$15)*MIN(Mkt!CY101,CX101*(1+Inputs!$B$18))),CX101)))</f>
        <v>1875.55764477293</v>
      </c>
      <c r="CZ101" s="11" t="n">
        <f aca="false">IF(CZ$1&lt;Units!$P100,0,IF(AND(Units!$K100=0,CZ$1=Units!$O100),Units!$R100,IF(AND(CZ$1&gt;=Units!$Q100,MOD(CZ$1-Units!$Q100,12)=0),IF(AND(Units!$L100=1,CZ$1=Units!$Q100),IF(Units!$J100&lt;&gt;"",Units!$J100,Mkt!CZ101),Inputs!$B$15*Mkt!CZ101+(1-Inputs!$B$15)*MIN(Mkt!CZ101,CY101*(1+Inputs!$B$18))),CY101)))</f>
        <v>1875.55764477293</v>
      </c>
      <c r="DA101" s="11" t="n">
        <f aca="false">IF(DA$1&lt;Units!$P100,0,IF(AND(Units!$K100=0,DA$1=Units!$O100),Units!$R100,IF(AND(DA$1&gt;=Units!$Q100,MOD(DA$1-Units!$Q100,12)=0),IF(AND(Units!$L100=1,DA$1=Units!$Q100),IF(Units!$J100&lt;&gt;"",Units!$J100,Mkt!DA101),Inputs!$B$15*Mkt!DA101+(1-Inputs!$B$15)*MIN(Mkt!DA101,CZ101*(1+Inputs!$B$18))),CZ101)))</f>
        <v>1875.55764477293</v>
      </c>
      <c r="DB101" s="11" t="n">
        <f aca="false">IF(DB$1&lt;Units!$P100,0,IF(AND(Units!$K100=0,DB$1=Units!$O100),Units!$R100,IF(AND(DB$1&gt;=Units!$Q100,MOD(DB$1-Units!$Q100,12)=0),IF(AND(Units!$L100=1,DB$1=Units!$Q100),IF(Units!$J100&lt;&gt;"",Units!$J100,Mkt!DB101),Inputs!$B$15*Mkt!DB101+(1-Inputs!$B$15)*MIN(Mkt!DB101,DA101*(1+Inputs!$B$18))),DA101)))</f>
        <v>1931.82437411612</v>
      </c>
      <c r="DC101" s="11" t="n">
        <f aca="false">IF(DC$1&lt;Units!$P100,0,IF(AND(Units!$K100=0,DC$1=Units!$O100),Units!$R100,IF(AND(DC$1&gt;=Units!$Q100,MOD(DC$1-Units!$Q100,12)=0),IF(AND(Units!$L100=1,DC$1=Units!$Q100),IF(Units!$J100&lt;&gt;"",Units!$J100,Mkt!DC101),Inputs!$B$15*Mkt!DC101+(1-Inputs!$B$15)*MIN(Mkt!DC101,DB101*(1+Inputs!$B$18))),DB101)))</f>
        <v>1931.82437411612</v>
      </c>
      <c r="DD101" s="11" t="n">
        <f aca="false">IF(DD$1&lt;Units!$P100,0,IF(AND(Units!$K100=0,DD$1=Units!$O100),Units!$R100,IF(AND(DD$1&gt;=Units!$Q100,MOD(DD$1-Units!$Q100,12)=0),IF(AND(Units!$L100=1,DD$1=Units!$Q100),IF(Units!$J100&lt;&gt;"",Units!$J100,Mkt!DD101),Inputs!$B$15*Mkt!DD101+(1-Inputs!$B$15)*MIN(Mkt!DD101,DC101*(1+Inputs!$B$18))),DC101)))</f>
        <v>1931.82437411612</v>
      </c>
      <c r="DE101" s="11" t="n">
        <f aca="false">IF(DE$1&lt;Units!$P100,0,IF(AND(Units!$K100=0,DE$1=Units!$O100),Units!$R100,IF(AND(DE$1&gt;=Units!$Q100,MOD(DE$1-Units!$Q100,12)=0),IF(AND(Units!$L100=1,DE$1=Units!$Q100),IF(Units!$J100&lt;&gt;"",Units!$J100,Mkt!DE101),Inputs!$B$15*Mkt!DE101+(1-Inputs!$B$15)*MIN(Mkt!DE101,DD101*(1+Inputs!$B$18))),DD101)))</f>
        <v>1931.82437411612</v>
      </c>
      <c r="DF101" s="11" t="n">
        <f aca="false">IF(DF$1&lt;Units!$P100,0,IF(AND(Units!$K100=0,DF$1=Units!$O100),Units!$R100,IF(AND(DF$1&gt;=Units!$Q100,MOD(DF$1-Units!$Q100,12)=0),IF(AND(Units!$L100=1,DF$1=Units!$Q100),IF(Units!$J100&lt;&gt;"",Units!$J100,Mkt!DF101),Inputs!$B$15*Mkt!DF101+(1-Inputs!$B$15)*MIN(Mkt!DF101,DE101*(1+Inputs!$B$18))),DE101)))</f>
        <v>1931.82437411612</v>
      </c>
      <c r="DG101" s="11" t="n">
        <f aca="false">IF(DG$1&lt;Units!$P100,0,IF(AND(Units!$K100=0,DG$1=Units!$O100),Units!$R100,IF(AND(DG$1&gt;=Units!$Q100,MOD(DG$1-Units!$Q100,12)=0),IF(AND(Units!$L100=1,DG$1=Units!$Q100),IF(Units!$J100&lt;&gt;"",Units!$J100,Mkt!DG101),Inputs!$B$15*Mkt!DG101+(1-Inputs!$B$15)*MIN(Mkt!DG101,DF101*(1+Inputs!$B$18))),DF101)))</f>
        <v>1931.82437411612</v>
      </c>
      <c r="DH101" s="11" t="n">
        <f aca="false">IF(DH$1&lt;Units!$P100,0,IF(AND(Units!$K100=0,DH$1=Units!$O100),Units!$R100,IF(AND(DH$1&gt;=Units!$Q100,MOD(DH$1-Units!$Q100,12)=0),IF(AND(Units!$L100=1,DH$1=Units!$Q100),IF(Units!$J100&lt;&gt;"",Units!$J100,Mkt!DH101),Inputs!$B$15*Mkt!DH101+(1-Inputs!$B$15)*MIN(Mkt!DH101,DG101*(1+Inputs!$B$18))),DG101)))</f>
        <v>1931.82437411612</v>
      </c>
      <c r="DI101" s="11" t="n">
        <f aca="false">IF(DI$1&lt;Units!$P100,0,IF(AND(Units!$K100=0,DI$1=Units!$O100),Units!$R100,IF(AND(DI$1&gt;=Units!$Q100,MOD(DI$1-Units!$Q100,12)=0),IF(AND(Units!$L100=1,DI$1=Units!$Q100),IF(Units!$J100&lt;&gt;"",Units!$J100,Mkt!DI101),Inputs!$B$15*Mkt!DI101+(1-Inputs!$B$15)*MIN(Mkt!DI101,DH101*(1+Inputs!$B$18))),DH101)))</f>
        <v>1931.82437411612</v>
      </c>
      <c r="DJ101" s="11" t="n">
        <f aca="false">IF(DJ$1&lt;Units!$P100,0,IF(AND(Units!$K100=0,DJ$1=Units!$O100),Units!$R100,IF(AND(DJ$1&gt;=Units!$Q100,MOD(DJ$1-Units!$Q100,12)=0),IF(AND(Units!$L100=1,DJ$1=Units!$Q100),IF(Units!$J100&lt;&gt;"",Units!$J100,Mkt!DJ101),Inputs!$B$15*Mkt!DJ101+(1-Inputs!$B$15)*MIN(Mkt!DJ101,DI101*(1+Inputs!$B$18))),DI101)))</f>
        <v>1931.82437411612</v>
      </c>
      <c r="DK101" s="11" t="n">
        <f aca="false">IF(DK$1&lt;Units!$P100,0,IF(AND(Units!$K100=0,DK$1=Units!$O100),Units!$R100,IF(AND(DK$1&gt;=Units!$Q100,MOD(DK$1-Units!$Q100,12)=0),IF(AND(Units!$L100=1,DK$1=Units!$Q100),IF(Units!$J100&lt;&gt;"",Units!$J100,Mkt!DK101),Inputs!$B$15*Mkt!DK101+(1-Inputs!$B$15)*MIN(Mkt!DK101,DJ101*(1+Inputs!$B$18))),DJ101)))</f>
        <v>1931.82437411612</v>
      </c>
      <c r="DL101" s="11" t="n">
        <f aca="false">IF(DL$1&lt;Units!$P100,0,IF(AND(Units!$K100=0,DL$1=Units!$O100),Units!$R100,IF(AND(DL$1&gt;=Units!$Q100,MOD(DL$1-Units!$Q100,12)=0),IF(AND(Units!$L100=1,DL$1=Units!$Q100),IF(Units!$J100&lt;&gt;"",Units!$J100,Mkt!DL101),Inputs!$B$15*Mkt!DL101+(1-Inputs!$B$15)*MIN(Mkt!DL101,DK101*(1+Inputs!$B$18))),DK101)))</f>
        <v>1931.82437411612</v>
      </c>
      <c r="DM101" s="11" t="n">
        <f aca="false">IF(DM$1&lt;Units!$P100,0,IF(AND(Units!$K100=0,DM$1=Units!$O100),Units!$R100,IF(AND(DM$1&gt;=Units!$Q100,MOD(DM$1-Units!$Q100,12)=0),IF(AND(Units!$L100=1,DM$1=Units!$Q100),IF(Units!$J100&lt;&gt;"",Units!$J100,Mkt!DM101),Inputs!$B$15*Mkt!DM101+(1-Inputs!$B$15)*MIN(Mkt!DM101,DL101*(1+Inputs!$B$18))),DL101)))</f>
        <v>1931.82437411612</v>
      </c>
      <c r="DN101" s="11" t="n">
        <f aca="false">IF(DN$1&lt;Units!$P100,0,IF(AND(Units!$K100=0,DN$1=Units!$O100),Units!$R100,IF(AND(DN$1&gt;=Units!$Q100,MOD(DN$1-Units!$Q100,12)=0),IF(AND(Units!$L100=1,DN$1=Units!$Q100),IF(Units!$J100&lt;&gt;"",Units!$J100,Mkt!DN101),Inputs!$B$15*Mkt!DN101+(1-Inputs!$B$15)*MIN(Mkt!DN101,DM101*(1+Inputs!$B$18))),DM101)))</f>
        <v>1989.7791053396</v>
      </c>
      <c r="DO101" s="11" t="n">
        <f aca="false">IF(DO$1&lt;Units!$P100,0,IF(AND(Units!$K100=0,DO$1=Units!$O100),Units!$R100,IF(AND(DO$1&gt;=Units!$Q100,MOD(DO$1-Units!$Q100,12)=0),IF(AND(Units!$L100=1,DO$1=Units!$Q100),IF(Units!$J100&lt;&gt;"",Units!$J100,Mkt!DO101),Inputs!$B$15*Mkt!DO101+(1-Inputs!$B$15)*MIN(Mkt!DO101,DN101*(1+Inputs!$B$18))),DN101)))</f>
        <v>1989.7791053396</v>
      </c>
      <c r="DP101" s="11" t="n">
        <f aca="false">IF(DP$1&lt;Units!$P100,0,IF(AND(Units!$K100=0,DP$1=Units!$O100),Units!$R100,IF(AND(DP$1&gt;=Units!$Q100,MOD(DP$1-Units!$Q100,12)=0),IF(AND(Units!$L100=1,DP$1=Units!$Q100),IF(Units!$J100&lt;&gt;"",Units!$J100,Mkt!DP101),Inputs!$B$15*Mkt!DP101+(1-Inputs!$B$15)*MIN(Mkt!DP101,DO101*(1+Inputs!$B$18))),DO101)))</f>
        <v>1989.7791053396</v>
      </c>
      <c r="DQ101" s="11" t="n">
        <f aca="false">IF(DQ$1&lt;Units!$P100,0,IF(AND(Units!$K100=0,DQ$1=Units!$O100),Units!$R100,IF(AND(DQ$1&gt;=Units!$Q100,MOD(DQ$1-Units!$Q100,12)=0),IF(AND(Units!$L100=1,DQ$1=Units!$Q100),IF(Units!$J100&lt;&gt;"",Units!$J100,Mkt!DQ101),Inputs!$B$15*Mkt!DQ101+(1-Inputs!$B$15)*MIN(Mkt!DQ101,DP101*(1+Inputs!$B$18))),DP101)))</f>
        <v>1989.7791053396</v>
      </c>
      <c r="DR101" s="11" t="n">
        <f aca="false">IF(DR$1&lt;Units!$P100,0,IF(AND(Units!$K100=0,DR$1=Units!$O100),Units!$R100,IF(AND(DR$1&gt;=Units!$Q100,MOD(DR$1-Units!$Q100,12)=0),IF(AND(Units!$L100=1,DR$1=Units!$Q100),IF(Units!$J100&lt;&gt;"",Units!$J100,Mkt!DR101),Inputs!$B$15*Mkt!DR101+(1-Inputs!$B$15)*MIN(Mkt!DR101,DQ101*(1+Inputs!$B$18))),DQ101)))</f>
        <v>1989.7791053396</v>
      </c>
      <c r="DS101" s="11" t="n">
        <f aca="false">IF(DS$1&lt;Units!$P100,0,IF(AND(Units!$K100=0,DS$1=Units!$O100),Units!$R100,IF(AND(DS$1&gt;=Units!$Q100,MOD(DS$1-Units!$Q100,12)=0),IF(AND(Units!$L100=1,DS$1=Units!$Q100),IF(Units!$J100&lt;&gt;"",Units!$J100,Mkt!DS101),Inputs!$B$15*Mkt!DS101+(1-Inputs!$B$15)*MIN(Mkt!DS101,DR101*(1+Inputs!$B$18))),DR101)))</f>
        <v>1989.7791053396</v>
      </c>
      <c r="DT101" s="11" t="n">
        <f aca="false">IF(DT$1&lt;Units!$P100,0,IF(AND(Units!$K100=0,DT$1=Units!$O100),Units!$R100,IF(AND(DT$1&gt;=Units!$Q100,MOD(DT$1-Units!$Q100,12)=0),IF(AND(Units!$L100=1,DT$1=Units!$Q100),IF(Units!$J100&lt;&gt;"",Units!$J100,Mkt!DT101),Inputs!$B$15*Mkt!DT101+(1-Inputs!$B$15)*MIN(Mkt!DT101,DS101*(1+Inputs!$B$18))),DS101)))</f>
        <v>1989.7791053396</v>
      </c>
      <c r="DU101" s="11" t="n">
        <f aca="false">IF(DU$1&lt;Units!$P100,0,IF(AND(Units!$K100=0,DU$1=Units!$O100),Units!$R100,IF(AND(DU$1&gt;=Units!$Q100,MOD(DU$1-Units!$Q100,12)=0),IF(AND(Units!$L100=1,DU$1=Units!$Q100),IF(Units!$J100&lt;&gt;"",Units!$J100,Mkt!DU101),Inputs!$B$15*Mkt!DU101+(1-Inputs!$B$15)*MIN(Mkt!DU101,DT101*(1+Inputs!$B$18))),DT101)))</f>
        <v>1989.7791053396</v>
      </c>
      <c r="DV101" s="11" t="n">
        <f aca="false">IF(DV$1&lt;Units!$P100,0,IF(AND(Units!$K100=0,DV$1=Units!$O100),Units!$R100,IF(AND(DV$1&gt;=Units!$Q100,MOD(DV$1-Units!$Q100,12)=0),IF(AND(Units!$L100=1,DV$1=Units!$Q100),IF(Units!$J100&lt;&gt;"",Units!$J100,Mkt!DV101),Inputs!$B$15*Mkt!DV101+(1-Inputs!$B$15)*MIN(Mkt!DV101,DU101*(1+Inputs!$B$18))),DU101)))</f>
        <v>1989.7791053396</v>
      </c>
      <c r="DW101" s="11" t="n">
        <f aca="false">IF(DW$1&lt;Units!$P100,0,IF(AND(Units!$K100=0,DW$1=Units!$O100),Units!$R100,IF(AND(DW$1&gt;=Units!$Q100,MOD(DW$1-Units!$Q100,12)=0),IF(AND(Units!$L100=1,DW$1=Units!$Q100),IF(Units!$J100&lt;&gt;"",Units!$J100,Mkt!DW101),Inputs!$B$15*Mkt!DW101+(1-Inputs!$B$15)*MIN(Mkt!DW101,DV101*(1+Inputs!$B$18))),DV101)))</f>
        <v>1989.7791053396</v>
      </c>
      <c r="DX101" s="11" t="n">
        <f aca="false">IF(DX$1&lt;Units!$P100,0,IF(AND(Units!$K100=0,DX$1=Units!$O100),Units!$R100,IF(AND(DX$1&gt;=Units!$Q100,MOD(DX$1-Units!$Q100,12)=0),IF(AND(Units!$L100=1,DX$1=Units!$Q100),IF(Units!$J100&lt;&gt;"",Units!$J100,Mkt!DX101),Inputs!$B$15*Mkt!DX101+(1-Inputs!$B$15)*MIN(Mkt!DX101,DW101*(1+Inputs!$B$18))),DW101)))</f>
        <v>1989.7791053396</v>
      </c>
      <c r="DY101" s="11" t="n">
        <f aca="false">IF(DY$1&lt;Units!$P100,0,IF(AND(Units!$K100=0,DY$1=Units!$O100),Units!$R100,IF(AND(DY$1&gt;=Units!$Q100,MOD(DY$1-Units!$Q100,12)=0),IF(AND(Units!$L100=1,DY$1=Units!$Q100),IF(Units!$J100&lt;&gt;"",Units!$J100,Mkt!DY101),Inputs!$B$15*Mkt!DY101+(1-Inputs!$B$15)*MIN(Mkt!DY101,DX101*(1+Inputs!$B$18))),DX101)))</f>
        <v>1989.7791053396</v>
      </c>
      <c r="DZ101" s="11" t="n">
        <f aca="false">IF(DZ$1&lt;Units!$P100,0,IF(AND(Units!$K100=0,DZ$1=Units!$O100),Units!$R100,IF(AND(DZ$1&gt;=Units!$Q100,MOD(DZ$1-Units!$Q100,12)=0),IF(AND(Units!$L100=1,DZ$1=Units!$Q100),IF(Units!$J100&lt;&gt;"",Units!$J100,Mkt!DZ101),Inputs!$B$15*Mkt!DZ101+(1-Inputs!$B$15)*MIN(Mkt!DZ101,DY101*(1+Inputs!$B$18))),DY101)))</f>
        <v>2049.47247849979</v>
      </c>
      <c r="EA101" s="11" t="n">
        <f aca="false">IF(EA$1&lt;Units!$P100,0,IF(AND(Units!$K100=0,EA$1=Units!$O100),Units!$R100,IF(AND(EA$1&gt;=Units!$Q100,MOD(EA$1-Units!$Q100,12)=0),IF(AND(Units!$L100=1,EA$1=Units!$Q100),IF(Units!$J100&lt;&gt;"",Units!$J100,Mkt!EA101),Inputs!$B$15*Mkt!EA101+(1-Inputs!$B$15)*MIN(Mkt!EA101,DZ101*(1+Inputs!$B$18))),DZ101)))</f>
        <v>2049.47247849979</v>
      </c>
      <c r="EB101" s="11" t="n">
        <f aca="false">IF(EB$1&lt;Units!$P100,0,IF(AND(Units!$K100=0,EB$1=Units!$O100),Units!$R100,IF(AND(EB$1&gt;=Units!$Q100,MOD(EB$1-Units!$Q100,12)=0),IF(AND(Units!$L100=1,EB$1=Units!$Q100),IF(Units!$J100&lt;&gt;"",Units!$J100,Mkt!EB101),Inputs!$B$15*Mkt!EB101+(1-Inputs!$B$15)*MIN(Mkt!EB101,EA101*(1+Inputs!$B$18))),EA101)))</f>
        <v>2049.47247849979</v>
      </c>
      <c r="EC101" s="11" t="n">
        <f aca="false">IF(EC$1&lt;Units!$P100,0,IF(AND(Units!$K100=0,EC$1=Units!$O100),Units!$R100,IF(AND(EC$1&gt;=Units!$Q100,MOD(EC$1-Units!$Q100,12)=0),IF(AND(Units!$L100=1,EC$1=Units!$Q100),IF(Units!$J100&lt;&gt;"",Units!$J100,Mkt!EC101),Inputs!$B$15*Mkt!EC101+(1-Inputs!$B$15)*MIN(Mkt!EC101,EB101*(1+Inputs!$B$18))),EB101)))</f>
        <v>2049.47247849979</v>
      </c>
      <c r="ED101" s="11" t="n">
        <f aca="false">IF(ED$1&lt;Units!$P100,0,IF(AND(Units!$K100=0,ED$1=Units!$O100),Units!$R100,IF(AND(ED$1&gt;=Units!$Q100,MOD(ED$1-Units!$Q100,12)=0),IF(AND(Units!$L100=1,ED$1=Units!$Q100),IF(Units!$J100&lt;&gt;"",Units!$J100,Mkt!ED101),Inputs!$B$15*Mkt!ED101+(1-Inputs!$B$15)*MIN(Mkt!ED101,EC101*(1+Inputs!$B$18))),EC101)))</f>
        <v>2049.47247849979</v>
      </c>
    </row>
    <row r="102" customFormat="false" ht="15" hidden="false" customHeight="false" outlineLevel="0" collapsed="false">
      <c r="A102" s="22" t="n">
        <f aca="false">Units!A101</f>
        <v>410</v>
      </c>
      <c r="B102" s="24" t="n">
        <f aca="false">IF(Units!K101=1,Units!F101,0)</f>
        <v>1570</v>
      </c>
      <c r="C102" s="11" t="n">
        <f aca="false">IF(C$1&lt;Units!$P101,0,IF(AND(Units!$K101=0,C$1=Units!$O101),Units!$R101,IF(AND(C$1&gt;=Units!$Q101,MOD(C$1-Units!$Q101,12)=0),IF(AND(Units!$L101=1,C$1=Units!$Q101),IF(Units!$J101&lt;&gt;"",Units!$J101,Mkt!C102),Inputs!$B$15*Mkt!C102+(1-Inputs!$B$15)*MIN(Mkt!C102,B102*(1+Inputs!$B$18))),B102)))</f>
        <v>1525</v>
      </c>
      <c r="D102" s="11" t="n">
        <f aca="false">IF(D$1&lt;Units!$P101,0,IF(AND(Units!$K101=0,D$1=Units!$O101),Units!$R101,IF(AND(D$1&gt;=Units!$Q101,MOD(D$1-Units!$Q101,12)=0),IF(AND(Units!$L101=1,D$1=Units!$Q101),IF(Units!$J101&lt;&gt;"",Units!$J101,Mkt!D102),Inputs!$B$15*Mkt!D102+(1-Inputs!$B$15)*MIN(Mkt!D102,C102*(1+Inputs!$B$18))),C102)))</f>
        <v>1525</v>
      </c>
      <c r="E102" s="11" t="n">
        <f aca="false">IF(E$1&lt;Units!$P101,0,IF(AND(Units!$K101=0,E$1=Units!$O101),Units!$R101,IF(AND(E$1&gt;=Units!$Q101,MOD(E$1-Units!$Q101,12)=0),IF(AND(Units!$L101=1,E$1=Units!$Q101),IF(Units!$J101&lt;&gt;"",Units!$J101,Mkt!E102),Inputs!$B$15*Mkt!E102+(1-Inputs!$B$15)*MIN(Mkt!E102,D102*(1+Inputs!$B$18))),D102)))</f>
        <v>1525</v>
      </c>
      <c r="F102" s="11" t="n">
        <f aca="false">IF(F$1&lt;Units!$P101,0,IF(AND(Units!$K101=0,F$1=Units!$O101),Units!$R101,IF(AND(F$1&gt;=Units!$Q101,MOD(F$1-Units!$Q101,12)=0),IF(AND(Units!$L101=1,F$1=Units!$Q101),IF(Units!$J101&lt;&gt;"",Units!$J101,Mkt!F102),Inputs!$B$15*Mkt!F102+(1-Inputs!$B$15)*MIN(Mkt!F102,E102*(1+Inputs!$B$18))),E102)))</f>
        <v>1525</v>
      </c>
      <c r="G102" s="11" t="n">
        <f aca="false">IF(G$1&lt;Units!$P101,0,IF(AND(Units!$K101=0,G$1=Units!$O101),Units!$R101,IF(AND(G$1&gt;=Units!$Q101,MOD(G$1-Units!$Q101,12)=0),IF(AND(Units!$L101=1,G$1=Units!$Q101),IF(Units!$J101&lt;&gt;"",Units!$J101,Mkt!G102),Inputs!$B$15*Mkt!G102+(1-Inputs!$B$15)*MIN(Mkt!G102,F102*(1+Inputs!$B$18))),F102)))</f>
        <v>1525</v>
      </c>
      <c r="H102" s="11" t="n">
        <f aca="false">IF(H$1&lt;Units!$P101,0,IF(AND(Units!$K101=0,H$1=Units!$O101),Units!$R101,IF(AND(H$1&gt;=Units!$Q101,MOD(H$1-Units!$Q101,12)=0),IF(AND(Units!$L101=1,H$1=Units!$Q101),IF(Units!$J101&lt;&gt;"",Units!$J101,Mkt!H102),Inputs!$B$15*Mkt!H102+(1-Inputs!$B$15)*MIN(Mkt!H102,G102*(1+Inputs!$B$18))),G102)))</f>
        <v>1525</v>
      </c>
      <c r="I102" s="11" t="n">
        <f aca="false">IF(I$1&lt;Units!$P101,0,IF(AND(Units!$K101=0,I$1=Units!$O101),Units!$R101,IF(AND(I$1&gt;=Units!$Q101,MOD(I$1-Units!$Q101,12)=0),IF(AND(Units!$L101=1,I$1=Units!$Q101),IF(Units!$J101&lt;&gt;"",Units!$J101,Mkt!I102),Inputs!$B$15*Mkt!I102+(1-Inputs!$B$15)*MIN(Mkt!I102,H102*(1+Inputs!$B$18))),H102)))</f>
        <v>1525</v>
      </c>
      <c r="J102" s="11" t="n">
        <f aca="false">IF(J$1&lt;Units!$P101,0,IF(AND(Units!$K101=0,J$1=Units!$O101),Units!$R101,IF(AND(J$1&gt;=Units!$Q101,MOD(J$1-Units!$Q101,12)=0),IF(AND(Units!$L101=1,J$1=Units!$Q101),IF(Units!$J101&lt;&gt;"",Units!$J101,Mkt!J102),Inputs!$B$15*Mkt!J102+(1-Inputs!$B$15)*MIN(Mkt!J102,I102*(1+Inputs!$B$18))),I102)))</f>
        <v>1525</v>
      </c>
      <c r="K102" s="11" t="n">
        <f aca="false">IF(K$1&lt;Units!$P101,0,IF(AND(Units!$K101=0,K$1=Units!$O101),Units!$R101,IF(AND(K$1&gt;=Units!$Q101,MOD(K$1-Units!$Q101,12)=0),IF(AND(Units!$L101=1,K$1=Units!$Q101),IF(Units!$J101&lt;&gt;"",Units!$J101,Mkt!K102),Inputs!$B$15*Mkt!K102+(1-Inputs!$B$15)*MIN(Mkt!K102,J102*(1+Inputs!$B$18))),J102)))</f>
        <v>1525</v>
      </c>
      <c r="L102" s="11" t="n">
        <f aca="false">IF(L$1&lt;Units!$P101,0,IF(AND(Units!$K101=0,L$1=Units!$O101),Units!$R101,IF(AND(L$1&gt;=Units!$Q101,MOD(L$1-Units!$Q101,12)=0),IF(AND(Units!$L101=1,L$1=Units!$Q101),IF(Units!$J101&lt;&gt;"",Units!$J101,Mkt!L102),Inputs!$B$15*Mkt!L102+(1-Inputs!$B$15)*MIN(Mkt!L102,K102*(1+Inputs!$B$18))),K102)))</f>
        <v>1525</v>
      </c>
      <c r="M102" s="11" t="n">
        <f aca="false">IF(M$1&lt;Units!$P101,0,IF(AND(Units!$K101=0,M$1=Units!$O101),Units!$R101,IF(AND(M$1&gt;=Units!$Q101,MOD(M$1-Units!$Q101,12)=0),IF(AND(Units!$L101=1,M$1=Units!$Q101),IF(Units!$J101&lt;&gt;"",Units!$J101,Mkt!M102),Inputs!$B$15*Mkt!M102+(1-Inputs!$B$15)*MIN(Mkt!M102,L102*(1+Inputs!$B$18))),L102)))</f>
        <v>1525</v>
      </c>
      <c r="N102" s="11" t="n">
        <f aca="false">IF(N$1&lt;Units!$P101,0,IF(AND(Units!$K101=0,N$1=Units!$O101),Units!$R101,IF(AND(N$1&gt;=Units!$Q101,MOD(N$1-Units!$Q101,12)=0),IF(AND(Units!$L101=1,N$1=Units!$Q101),IF(Units!$J101&lt;&gt;"",Units!$J101,Mkt!N102),Inputs!$B$15*Mkt!N102+(1-Inputs!$B$15)*MIN(Mkt!N102,M102*(1+Inputs!$B$18))),M102)))</f>
        <v>1525</v>
      </c>
      <c r="O102" s="11" t="n">
        <f aca="false">IF(O$1&lt;Units!$P101,0,IF(AND(Units!$K101=0,O$1=Units!$O101),Units!$R101,IF(AND(O$1&gt;=Units!$Q101,MOD(O$1-Units!$Q101,12)=0),IF(AND(Units!$L101=1,O$1=Units!$Q101),IF(Units!$J101&lt;&gt;"",Units!$J101,Mkt!O102),Inputs!$B$15*Mkt!O102+(1-Inputs!$B$15)*MIN(Mkt!O102,N102*(1+Inputs!$B$18))),N102)))</f>
        <v>1570.75</v>
      </c>
      <c r="P102" s="11" t="n">
        <f aca="false">IF(P$1&lt;Units!$P101,0,IF(AND(Units!$K101=0,P$1=Units!$O101),Units!$R101,IF(AND(P$1&gt;=Units!$Q101,MOD(P$1-Units!$Q101,12)=0),IF(AND(Units!$L101=1,P$1=Units!$Q101),IF(Units!$J101&lt;&gt;"",Units!$J101,Mkt!P102),Inputs!$B$15*Mkt!P102+(1-Inputs!$B$15)*MIN(Mkt!P102,O102*(1+Inputs!$B$18))),O102)))</f>
        <v>1570.75</v>
      </c>
      <c r="Q102" s="11" t="n">
        <f aca="false">IF(Q$1&lt;Units!$P101,0,IF(AND(Units!$K101=0,Q$1=Units!$O101),Units!$R101,IF(AND(Q$1&gt;=Units!$Q101,MOD(Q$1-Units!$Q101,12)=0),IF(AND(Units!$L101=1,Q$1=Units!$Q101),IF(Units!$J101&lt;&gt;"",Units!$J101,Mkt!Q102),Inputs!$B$15*Mkt!Q102+(1-Inputs!$B$15)*MIN(Mkt!Q102,P102*(1+Inputs!$B$18))),P102)))</f>
        <v>1570.75</v>
      </c>
      <c r="R102" s="11" t="n">
        <f aca="false">IF(R$1&lt;Units!$P101,0,IF(AND(Units!$K101=0,R$1=Units!$O101),Units!$R101,IF(AND(R$1&gt;=Units!$Q101,MOD(R$1-Units!$Q101,12)=0),IF(AND(Units!$L101=1,R$1=Units!$Q101),IF(Units!$J101&lt;&gt;"",Units!$J101,Mkt!R102),Inputs!$B$15*Mkt!R102+(1-Inputs!$B$15)*MIN(Mkt!R102,Q102*(1+Inputs!$B$18))),Q102)))</f>
        <v>1570.75</v>
      </c>
      <c r="S102" s="11" t="n">
        <f aca="false">IF(S$1&lt;Units!$P101,0,IF(AND(Units!$K101=0,S$1=Units!$O101),Units!$R101,IF(AND(S$1&gt;=Units!$Q101,MOD(S$1-Units!$Q101,12)=0),IF(AND(Units!$L101=1,S$1=Units!$Q101),IF(Units!$J101&lt;&gt;"",Units!$J101,Mkt!S102),Inputs!$B$15*Mkt!S102+(1-Inputs!$B$15)*MIN(Mkt!S102,R102*(1+Inputs!$B$18))),R102)))</f>
        <v>1570.75</v>
      </c>
      <c r="T102" s="11" t="n">
        <f aca="false">IF(T$1&lt;Units!$P101,0,IF(AND(Units!$K101=0,T$1=Units!$O101),Units!$R101,IF(AND(T$1&gt;=Units!$Q101,MOD(T$1-Units!$Q101,12)=0),IF(AND(Units!$L101=1,T$1=Units!$Q101),IF(Units!$J101&lt;&gt;"",Units!$J101,Mkt!T102),Inputs!$B$15*Mkt!T102+(1-Inputs!$B$15)*MIN(Mkt!T102,S102*(1+Inputs!$B$18))),S102)))</f>
        <v>1570.75</v>
      </c>
      <c r="U102" s="11" t="n">
        <f aca="false">IF(U$1&lt;Units!$P101,0,IF(AND(Units!$K101=0,U$1=Units!$O101),Units!$R101,IF(AND(U$1&gt;=Units!$Q101,MOD(U$1-Units!$Q101,12)=0),IF(AND(Units!$L101=1,U$1=Units!$Q101),IF(Units!$J101&lt;&gt;"",Units!$J101,Mkt!U102),Inputs!$B$15*Mkt!U102+(1-Inputs!$B$15)*MIN(Mkt!U102,T102*(1+Inputs!$B$18))),T102)))</f>
        <v>1570.75</v>
      </c>
      <c r="V102" s="11" t="n">
        <f aca="false">IF(V$1&lt;Units!$P101,0,IF(AND(Units!$K101=0,V$1=Units!$O101),Units!$R101,IF(AND(V$1&gt;=Units!$Q101,MOD(V$1-Units!$Q101,12)=0),IF(AND(Units!$L101=1,V$1=Units!$Q101),IF(Units!$J101&lt;&gt;"",Units!$J101,Mkt!V102),Inputs!$B$15*Mkt!V102+(1-Inputs!$B$15)*MIN(Mkt!V102,U102*(1+Inputs!$B$18))),U102)))</f>
        <v>1570.75</v>
      </c>
      <c r="W102" s="11" t="n">
        <f aca="false">IF(W$1&lt;Units!$P101,0,IF(AND(Units!$K101=0,W$1=Units!$O101),Units!$R101,IF(AND(W$1&gt;=Units!$Q101,MOD(W$1-Units!$Q101,12)=0),IF(AND(Units!$L101=1,W$1=Units!$Q101),IF(Units!$J101&lt;&gt;"",Units!$J101,Mkt!W102),Inputs!$B$15*Mkt!W102+(1-Inputs!$B$15)*MIN(Mkt!W102,V102*(1+Inputs!$B$18))),V102)))</f>
        <v>1570.75</v>
      </c>
      <c r="X102" s="11" t="n">
        <f aca="false">IF(X$1&lt;Units!$P101,0,IF(AND(Units!$K101=0,X$1=Units!$O101),Units!$R101,IF(AND(X$1&gt;=Units!$Q101,MOD(X$1-Units!$Q101,12)=0),IF(AND(Units!$L101=1,X$1=Units!$Q101),IF(Units!$J101&lt;&gt;"",Units!$J101,Mkt!X102),Inputs!$B$15*Mkt!X102+(1-Inputs!$B$15)*MIN(Mkt!X102,W102*(1+Inputs!$B$18))),W102)))</f>
        <v>1570.75</v>
      </c>
      <c r="Y102" s="11" t="n">
        <f aca="false">IF(Y$1&lt;Units!$P101,0,IF(AND(Units!$K101=0,Y$1=Units!$O101),Units!$R101,IF(AND(Y$1&gt;=Units!$Q101,MOD(Y$1-Units!$Q101,12)=0),IF(AND(Units!$L101=1,Y$1=Units!$Q101),IF(Units!$J101&lt;&gt;"",Units!$J101,Mkt!Y102),Inputs!$B$15*Mkt!Y102+(1-Inputs!$B$15)*MIN(Mkt!Y102,X102*(1+Inputs!$B$18))),X102)))</f>
        <v>1570.75</v>
      </c>
      <c r="Z102" s="11" t="n">
        <f aca="false">IF(Z$1&lt;Units!$P101,0,IF(AND(Units!$K101=0,Z$1=Units!$O101),Units!$R101,IF(AND(Z$1&gt;=Units!$Q101,MOD(Z$1-Units!$Q101,12)=0),IF(AND(Units!$L101=1,Z$1=Units!$Q101),IF(Units!$J101&lt;&gt;"",Units!$J101,Mkt!Z102),Inputs!$B$15*Mkt!Z102+(1-Inputs!$B$15)*MIN(Mkt!Z102,Y102*(1+Inputs!$B$18))),Y102)))</f>
        <v>1570.75</v>
      </c>
      <c r="AA102" s="11" t="n">
        <f aca="false">IF(AA$1&lt;Units!$P101,0,IF(AND(Units!$K101=0,AA$1=Units!$O101),Units!$R101,IF(AND(AA$1&gt;=Units!$Q101,MOD(AA$1-Units!$Q101,12)=0),IF(AND(Units!$L101=1,AA$1=Units!$Q101),IF(Units!$J101&lt;&gt;"",Units!$J101,Mkt!AA102),Inputs!$B$15*Mkt!AA102+(1-Inputs!$B$15)*MIN(Mkt!AA102,Z102*(1+Inputs!$B$18))),Z102)))</f>
        <v>1617.8725</v>
      </c>
      <c r="AB102" s="11" t="n">
        <f aca="false">IF(AB$1&lt;Units!$P101,0,IF(AND(Units!$K101=0,AB$1=Units!$O101),Units!$R101,IF(AND(AB$1&gt;=Units!$Q101,MOD(AB$1-Units!$Q101,12)=0),IF(AND(Units!$L101=1,AB$1=Units!$Q101),IF(Units!$J101&lt;&gt;"",Units!$J101,Mkt!AB102),Inputs!$B$15*Mkt!AB102+(1-Inputs!$B$15)*MIN(Mkt!AB102,AA102*(1+Inputs!$B$18))),AA102)))</f>
        <v>1617.8725</v>
      </c>
      <c r="AC102" s="11" t="n">
        <f aca="false">IF(AC$1&lt;Units!$P101,0,IF(AND(Units!$K101=0,AC$1=Units!$O101),Units!$R101,IF(AND(AC$1&gt;=Units!$Q101,MOD(AC$1-Units!$Q101,12)=0),IF(AND(Units!$L101=1,AC$1=Units!$Q101),IF(Units!$J101&lt;&gt;"",Units!$J101,Mkt!AC102),Inputs!$B$15*Mkt!AC102+(1-Inputs!$B$15)*MIN(Mkt!AC102,AB102*(1+Inputs!$B$18))),AB102)))</f>
        <v>1617.8725</v>
      </c>
      <c r="AD102" s="11" t="n">
        <f aca="false">IF(AD$1&lt;Units!$P101,0,IF(AND(Units!$K101=0,AD$1=Units!$O101),Units!$R101,IF(AND(AD$1&gt;=Units!$Q101,MOD(AD$1-Units!$Q101,12)=0),IF(AND(Units!$L101=1,AD$1=Units!$Q101),IF(Units!$J101&lt;&gt;"",Units!$J101,Mkt!AD102),Inputs!$B$15*Mkt!AD102+(1-Inputs!$B$15)*MIN(Mkt!AD102,AC102*(1+Inputs!$B$18))),AC102)))</f>
        <v>1617.8725</v>
      </c>
      <c r="AE102" s="11" t="n">
        <f aca="false">IF(AE$1&lt;Units!$P101,0,IF(AND(Units!$K101=0,AE$1=Units!$O101),Units!$R101,IF(AND(AE$1&gt;=Units!$Q101,MOD(AE$1-Units!$Q101,12)=0),IF(AND(Units!$L101=1,AE$1=Units!$Q101),IF(Units!$J101&lt;&gt;"",Units!$J101,Mkt!AE102),Inputs!$B$15*Mkt!AE102+(1-Inputs!$B$15)*MIN(Mkt!AE102,AD102*(1+Inputs!$B$18))),AD102)))</f>
        <v>1617.8725</v>
      </c>
      <c r="AF102" s="11" t="n">
        <f aca="false">IF(AF$1&lt;Units!$P101,0,IF(AND(Units!$K101=0,AF$1=Units!$O101),Units!$R101,IF(AND(AF$1&gt;=Units!$Q101,MOD(AF$1-Units!$Q101,12)=0),IF(AND(Units!$L101=1,AF$1=Units!$Q101),IF(Units!$J101&lt;&gt;"",Units!$J101,Mkt!AF102),Inputs!$B$15*Mkt!AF102+(1-Inputs!$B$15)*MIN(Mkt!AF102,AE102*(1+Inputs!$B$18))),AE102)))</f>
        <v>1617.8725</v>
      </c>
      <c r="AG102" s="11" t="n">
        <f aca="false">IF(AG$1&lt;Units!$P101,0,IF(AND(Units!$K101=0,AG$1=Units!$O101),Units!$R101,IF(AND(AG$1&gt;=Units!$Q101,MOD(AG$1-Units!$Q101,12)=0),IF(AND(Units!$L101=1,AG$1=Units!$Q101),IF(Units!$J101&lt;&gt;"",Units!$J101,Mkt!AG102),Inputs!$B$15*Mkt!AG102+(1-Inputs!$B$15)*MIN(Mkt!AG102,AF102*(1+Inputs!$B$18))),AF102)))</f>
        <v>1617.8725</v>
      </c>
      <c r="AH102" s="11" t="n">
        <f aca="false">IF(AH$1&lt;Units!$P101,0,IF(AND(Units!$K101=0,AH$1=Units!$O101),Units!$R101,IF(AND(AH$1&gt;=Units!$Q101,MOD(AH$1-Units!$Q101,12)=0),IF(AND(Units!$L101=1,AH$1=Units!$Q101),IF(Units!$J101&lt;&gt;"",Units!$J101,Mkt!AH102),Inputs!$B$15*Mkt!AH102+(1-Inputs!$B$15)*MIN(Mkt!AH102,AG102*(1+Inputs!$B$18))),AG102)))</f>
        <v>1617.8725</v>
      </c>
      <c r="AI102" s="11" t="n">
        <f aca="false">IF(AI$1&lt;Units!$P101,0,IF(AND(Units!$K101=0,AI$1=Units!$O101),Units!$R101,IF(AND(AI$1&gt;=Units!$Q101,MOD(AI$1-Units!$Q101,12)=0),IF(AND(Units!$L101=1,AI$1=Units!$Q101),IF(Units!$J101&lt;&gt;"",Units!$J101,Mkt!AI102),Inputs!$B$15*Mkt!AI102+(1-Inputs!$B$15)*MIN(Mkt!AI102,AH102*(1+Inputs!$B$18))),AH102)))</f>
        <v>1617.8725</v>
      </c>
      <c r="AJ102" s="11" t="n">
        <f aca="false">IF(AJ$1&lt;Units!$P101,0,IF(AND(Units!$K101=0,AJ$1=Units!$O101),Units!$R101,IF(AND(AJ$1&gt;=Units!$Q101,MOD(AJ$1-Units!$Q101,12)=0),IF(AND(Units!$L101=1,AJ$1=Units!$Q101),IF(Units!$J101&lt;&gt;"",Units!$J101,Mkt!AJ102),Inputs!$B$15*Mkt!AJ102+(1-Inputs!$B$15)*MIN(Mkt!AJ102,AI102*(1+Inputs!$B$18))),AI102)))</f>
        <v>1617.8725</v>
      </c>
      <c r="AK102" s="11" t="n">
        <f aca="false">IF(AK$1&lt;Units!$P101,0,IF(AND(Units!$K101=0,AK$1=Units!$O101),Units!$R101,IF(AND(AK$1&gt;=Units!$Q101,MOD(AK$1-Units!$Q101,12)=0),IF(AND(Units!$L101=1,AK$1=Units!$Q101),IF(Units!$J101&lt;&gt;"",Units!$J101,Mkt!AK102),Inputs!$B$15*Mkt!AK102+(1-Inputs!$B$15)*MIN(Mkt!AK102,AJ102*(1+Inputs!$B$18))),AJ102)))</f>
        <v>1617.8725</v>
      </c>
      <c r="AL102" s="11" t="n">
        <f aca="false">IF(AL$1&lt;Units!$P101,0,IF(AND(Units!$K101=0,AL$1=Units!$O101),Units!$R101,IF(AND(AL$1&gt;=Units!$Q101,MOD(AL$1-Units!$Q101,12)=0),IF(AND(Units!$L101=1,AL$1=Units!$Q101),IF(Units!$J101&lt;&gt;"",Units!$J101,Mkt!AL102),Inputs!$B$15*Mkt!AL102+(1-Inputs!$B$15)*MIN(Mkt!AL102,AK102*(1+Inputs!$B$18))),AK102)))</f>
        <v>1617.8725</v>
      </c>
      <c r="AM102" s="11" t="n">
        <f aca="false">IF(AM$1&lt;Units!$P101,0,IF(AND(Units!$K101=0,AM$1=Units!$O101),Units!$R101,IF(AND(AM$1&gt;=Units!$Q101,MOD(AM$1-Units!$Q101,12)=0),IF(AND(Units!$L101=1,AM$1=Units!$Q101),IF(Units!$J101&lt;&gt;"",Units!$J101,Mkt!AM102),Inputs!$B$15*Mkt!AM102+(1-Inputs!$B$15)*MIN(Mkt!AM102,AL102*(1+Inputs!$B$18))),AL102)))</f>
        <v>1666.408675</v>
      </c>
      <c r="AN102" s="11" t="n">
        <f aca="false">IF(AN$1&lt;Units!$P101,0,IF(AND(Units!$K101=0,AN$1=Units!$O101),Units!$R101,IF(AND(AN$1&gt;=Units!$Q101,MOD(AN$1-Units!$Q101,12)=0),IF(AND(Units!$L101=1,AN$1=Units!$Q101),IF(Units!$J101&lt;&gt;"",Units!$J101,Mkt!AN102),Inputs!$B$15*Mkt!AN102+(1-Inputs!$B$15)*MIN(Mkt!AN102,AM102*(1+Inputs!$B$18))),AM102)))</f>
        <v>1666.408675</v>
      </c>
      <c r="AO102" s="11" t="n">
        <f aca="false">IF(AO$1&lt;Units!$P101,0,IF(AND(Units!$K101=0,AO$1=Units!$O101),Units!$R101,IF(AND(AO$1&gt;=Units!$Q101,MOD(AO$1-Units!$Q101,12)=0),IF(AND(Units!$L101=1,AO$1=Units!$Q101),IF(Units!$J101&lt;&gt;"",Units!$J101,Mkt!AO102),Inputs!$B$15*Mkt!AO102+(1-Inputs!$B$15)*MIN(Mkt!AO102,AN102*(1+Inputs!$B$18))),AN102)))</f>
        <v>1666.408675</v>
      </c>
      <c r="AP102" s="11" t="n">
        <f aca="false">IF(AP$1&lt;Units!$P101,0,IF(AND(Units!$K101=0,AP$1=Units!$O101),Units!$R101,IF(AND(AP$1&gt;=Units!$Q101,MOD(AP$1-Units!$Q101,12)=0),IF(AND(Units!$L101=1,AP$1=Units!$Q101),IF(Units!$J101&lt;&gt;"",Units!$J101,Mkt!AP102),Inputs!$B$15*Mkt!AP102+(1-Inputs!$B$15)*MIN(Mkt!AP102,AO102*(1+Inputs!$B$18))),AO102)))</f>
        <v>1666.408675</v>
      </c>
      <c r="AQ102" s="11" t="n">
        <f aca="false">IF(AQ$1&lt;Units!$P101,0,IF(AND(Units!$K101=0,AQ$1=Units!$O101),Units!$R101,IF(AND(AQ$1&gt;=Units!$Q101,MOD(AQ$1-Units!$Q101,12)=0),IF(AND(Units!$L101=1,AQ$1=Units!$Q101),IF(Units!$J101&lt;&gt;"",Units!$J101,Mkt!AQ102),Inputs!$B$15*Mkt!AQ102+(1-Inputs!$B$15)*MIN(Mkt!AQ102,AP102*(1+Inputs!$B$18))),AP102)))</f>
        <v>1666.408675</v>
      </c>
      <c r="AR102" s="11" t="n">
        <f aca="false">IF(AR$1&lt;Units!$P101,0,IF(AND(Units!$K101=0,AR$1=Units!$O101),Units!$R101,IF(AND(AR$1&gt;=Units!$Q101,MOD(AR$1-Units!$Q101,12)=0),IF(AND(Units!$L101=1,AR$1=Units!$Q101),IF(Units!$J101&lt;&gt;"",Units!$J101,Mkt!AR102),Inputs!$B$15*Mkt!AR102+(1-Inputs!$B$15)*MIN(Mkt!AR102,AQ102*(1+Inputs!$B$18))),AQ102)))</f>
        <v>1666.408675</v>
      </c>
      <c r="AS102" s="11" t="n">
        <f aca="false">IF(AS$1&lt;Units!$P101,0,IF(AND(Units!$K101=0,AS$1=Units!$O101),Units!$R101,IF(AND(AS$1&gt;=Units!$Q101,MOD(AS$1-Units!$Q101,12)=0),IF(AND(Units!$L101=1,AS$1=Units!$Q101),IF(Units!$J101&lt;&gt;"",Units!$J101,Mkt!AS102),Inputs!$B$15*Mkt!AS102+(1-Inputs!$B$15)*MIN(Mkt!AS102,AR102*(1+Inputs!$B$18))),AR102)))</f>
        <v>1666.408675</v>
      </c>
      <c r="AT102" s="11" t="n">
        <f aca="false">IF(AT$1&lt;Units!$P101,0,IF(AND(Units!$K101=0,AT$1=Units!$O101),Units!$R101,IF(AND(AT$1&gt;=Units!$Q101,MOD(AT$1-Units!$Q101,12)=0),IF(AND(Units!$L101=1,AT$1=Units!$Q101),IF(Units!$J101&lt;&gt;"",Units!$J101,Mkt!AT102),Inputs!$B$15*Mkt!AT102+(1-Inputs!$B$15)*MIN(Mkt!AT102,AS102*(1+Inputs!$B$18))),AS102)))</f>
        <v>1666.408675</v>
      </c>
      <c r="AU102" s="11" t="n">
        <f aca="false">IF(AU$1&lt;Units!$P101,0,IF(AND(Units!$K101=0,AU$1=Units!$O101),Units!$R101,IF(AND(AU$1&gt;=Units!$Q101,MOD(AU$1-Units!$Q101,12)=0),IF(AND(Units!$L101=1,AU$1=Units!$Q101),IF(Units!$J101&lt;&gt;"",Units!$J101,Mkt!AU102),Inputs!$B$15*Mkt!AU102+(1-Inputs!$B$15)*MIN(Mkt!AU102,AT102*(1+Inputs!$B$18))),AT102)))</f>
        <v>1666.408675</v>
      </c>
      <c r="AV102" s="11" t="n">
        <f aca="false">IF(AV$1&lt;Units!$P101,0,IF(AND(Units!$K101=0,AV$1=Units!$O101),Units!$R101,IF(AND(AV$1&gt;=Units!$Q101,MOD(AV$1-Units!$Q101,12)=0),IF(AND(Units!$L101=1,AV$1=Units!$Q101),IF(Units!$J101&lt;&gt;"",Units!$J101,Mkt!AV102),Inputs!$B$15*Mkt!AV102+(1-Inputs!$B$15)*MIN(Mkt!AV102,AU102*(1+Inputs!$B$18))),AU102)))</f>
        <v>1666.408675</v>
      </c>
      <c r="AW102" s="11" t="n">
        <f aca="false">IF(AW$1&lt;Units!$P101,0,IF(AND(Units!$K101=0,AW$1=Units!$O101),Units!$R101,IF(AND(AW$1&gt;=Units!$Q101,MOD(AW$1-Units!$Q101,12)=0),IF(AND(Units!$L101=1,AW$1=Units!$Q101),IF(Units!$J101&lt;&gt;"",Units!$J101,Mkt!AW102),Inputs!$B$15*Mkt!AW102+(1-Inputs!$B$15)*MIN(Mkt!AW102,AV102*(1+Inputs!$B$18))),AV102)))</f>
        <v>1666.408675</v>
      </c>
      <c r="AX102" s="11" t="n">
        <f aca="false">IF(AX$1&lt;Units!$P101,0,IF(AND(Units!$K101=0,AX$1=Units!$O101),Units!$R101,IF(AND(AX$1&gt;=Units!$Q101,MOD(AX$1-Units!$Q101,12)=0),IF(AND(Units!$L101=1,AX$1=Units!$Q101),IF(Units!$J101&lt;&gt;"",Units!$J101,Mkt!AX102),Inputs!$B$15*Mkt!AX102+(1-Inputs!$B$15)*MIN(Mkt!AX102,AW102*(1+Inputs!$B$18))),AW102)))</f>
        <v>1666.408675</v>
      </c>
      <c r="AY102" s="11" t="n">
        <f aca="false">IF(AY$1&lt;Units!$P101,0,IF(AND(Units!$K101=0,AY$1=Units!$O101),Units!$R101,IF(AND(AY$1&gt;=Units!$Q101,MOD(AY$1-Units!$Q101,12)=0),IF(AND(Units!$L101=1,AY$1=Units!$Q101),IF(Units!$J101&lt;&gt;"",Units!$J101,Mkt!AY102),Inputs!$B$15*Mkt!AY102+(1-Inputs!$B$15)*MIN(Mkt!AY102,AX102*(1+Inputs!$B$18))),AX102)))</f>
        <v>1716.40093525</v>
      </c>
      <c r="AZ102" s="11" t="n">
        <f aca="false">IF(AZ$1&lt;Units!$P101,0,IF(AND(Units!$K101=0,AZ$1=Units!$O101),Units!$R101,IF(AND(AZ$1&gt;=Units!$Q101,MOD(AZ$1-Units!$Q101,12)=0),IF(AND(Units!$L101=1,AZ$1=Units!$Q101),IF(Units!$J101&lt;&gt;"",Units!$J101,Mkt!AZ102),Inputs!$B$15*Mkt!AZ102+(1-Inputs!$B$15)*MIN(Mkt!AZ102,AY102*(1+Inputs!$B$18))),AY102)))</f>
        <v>1716.40093525</v>
      </c>
      <c r="BA102" s="11" t="n">
        <f aca="false">IF(BA$1&lt;Units!$P101,0,IF(AND(Units!$K101=0,BA$1=Units!$O101),Units!$R101,IF(AND(BA$1&gt;=Units!$Q101,MOD(BA$1-Units!$Q101,12)=0),IF(AND(Units!$L101=1,BA$1=Units!$Q101),IF(Units!$J101&lt;&gt;"",Units!$J101,Mkt!BA102),Inputs!$B$15*Mkt!BA102+(1-Inputs!$B$15)*MIN(Mkt!BA102,AZ102*(1+Inputs!$B$18))),AZ102)))</f>
        <v>1716.40093525</v>
      </c>
      <c r="BB102" s="11" t="n">
        <f aca="false">IF(BB$1&lt;Units!$P101,0,IF(AND(Units!$K101=0,BB$1=Units!$O101),Units!$R101,IF(AND(BB$1&gt;=Units!$Q101,MOD(BB$1-Units!$Q101,12)=0),IF(AND(Units!$L101=1,BB$1=Units!$Q101),IF(Units!$J101&lt;&gt;"",Units!$J101,Mkt!BB102),Inputs!$B$15*Mkt!BB102+(1-Inputs!$B$15)*MIN(Mkt!BB102,BA102*(1+Inputs!$B$18))),BA102)))</f>
        <v>1716.40093525</v>
      </c>
      <c r="BC102" s="11" t="n">
        <f aca="false">IF(BC$1&lt;Units!$P101,0,IF(AND(Units!$K101=0,BC$1=Units!$O101),Units!$R101,IF(AND(BC$1&gt;=Units!$Q101,MOD(BC$1-Units!$Q101,12)=0),IF(AND(Units!$L101=1,BC$1=Units!$Q101),IF(Units!$J101&lt;&gt;"",Units!$J101,Mkt!BC102),Inputs!$B$15*Mkt!BC102+(1-Inputs!$B$15)*MIN(Mkt!BC102,BB102*(1+Inputs!$B$18))),BB102)))</f>
        <v>1716.40093525</v>
      </c>
      <c r="BD102" s="11" t="n">
        <f aca="false">IF(BD$1&lt;Units!$P101,0,IF(AND(Units!$K101=0,BD$1=Units!$O101),Units!$R101,IF(AND(BD$1&gt;=Units!$Q101,MOD(BD$1-Units!$Q101,12)=0),IF(AND(Units!$L101=1,BD$1=Units!$Q101),IF(Units!$J101&lt;&gt;"",Units!$J101,Mkt!BD102),Inputs!$B$15*Mkt!BD102+(1-Inputs!$B$15)*MIN(Mkt!BD102,BC102*(1+Inputs!$B$18))),BC102)))</f>
        <v>1716.40093525</v>
      </c>
      <c r="BE102" s="11" t="n">
        <f aca="false">IF(BE$1&lt;Units!$P101,0,IF(AND(Units!$K101=0,BE$1=Units!$O101),Units!$R101,IF(AND(BE$1&gt;=Units!$Q101,MOD(BE$1-Units!$Q101,12)=0),IF(AND(Units!$L101=1,BE$1=Units!$Q101),IF(Units!$J101&lt;&gt;"",Units!$J101,Mkt!BE102),Inputs!$B$15*Mkt!BE102+(1-Inputs!$B$15)*MIN(Mkt!BE102,BD102*(1+Inputs!$B$18))),BD102)))</f>
        <v>1716.40093525</v>
      </c>
      <c r="BF102" s="11" t="n">
        <f aca="false">IF(BF$1&lt;Units!$P101,0,IF(AND(Units!$K101=0,BF$1=Units!$O101),Units!$R101,IF(AND(BF$1&gt;=Units!$Q101,MOD(BF$1-Units!$Q101,12)=0),IF(AND(Units!$L101=1,BF$1=Units!$Q101),IF(Units!$J101&lt;&gt;"",Units!$J101,Mkt!BF102),Inputs!$B$15*Mkt!BF102+(1-Inputs!$B$15)*MIN(Mkt!BF102,BE102*(1+Inputs!$B$18))),BE102)))</f>
        <v>1716.40093525</v>
      </c>
      <c r="BG102" s="11" t="n">
        <f aca="false">IF(BG$1&lt;Units!$P101,0,IF(AND(Units!$K101=0,BG$1=Units!$O101),Units!$R101,IF(AND(BG$1&gt;=Units!$Q101,MOD(BG$1-Units!$Q101,12)=0),IF(AND(Units!$L101=1,BG$1=Units!$Q101),IF(Units!$J101&lt;&gt;"",Units!$J101,Mkt!BG102),Inputs!$B$15*Mkt!BG102+(1-Inputs!$B$15)*MIN(Mkt!BG102,BF102*(1+Inputs!$B$18))),BF102)))</f>
        <v>1716.40093525</v>
      </c>
      <c r="BH102" s="11" t="n">
        <f aca="false">IF(BH$1&lt;Units!$P101,0,IF(AND(Units!$K101=0,BH$1=Units!$O101),Units!$R101,IF(AND(BH$1&gt;=Units!$Q101,MOD(BH$1-Units!$Q101,12)=0),IF(AND(Units!$L101=1,BH$1=Units!$Q101),IF(Units!$J101&lt;&gt;"",Units!$J101,Mkt!BH102),Inputs!$B$15*Mkt!BH102+(1-Inputs!$B$15)*MIN(Mkt!BH102,BG102*(1+Inputs!$B$18))),BG102)))</f>
        <v>1716.40093525</v>
      </c>
      <c r="BI102" s="11" t="n">
        <f aca="false">IF(BI$1&lt;Units!$P101,0,IF(AND(Units!$K101=0,BI$1=Units!$O101),Units!$R101,IF(AND(BI$1&gt;=Units!$Q101,MOD(BI$1-Units!$Q101,12)=0),IF(AND(Units!$L101=1,BI$1=Units!$Q101),IF(Units!$J101&lt;&gt;"",Units!$J101,Mkt!BI102),Inputs!$B$15*Mkt!BI102+(1-Inputs!$B$15)*MIN(Mkt!BI102,BH102*(1+Inputs!$B$18))),BH102)))</f>
        <v>1716.40093525</v>
      </c>
      <c r="BJ102" s="11" t="n">
        <f aca="false">IF(BJ$1&lt;Units!$P101,0,IF(AND(Units!$K101=0,BJ$1=Units!$O101),Units!$R101,IF(AND(BJ$1&gt;=Units!$Q101,MOD(BJ$1-Units!$Q101,12)=0),IF(AND(Units!$L101=1,BJ$1=Units!$Q101),IF(Units!$J101&lt;&gt;"",Units!$J101,Mkt!BJ102),Inputs!$B$15*Mkt!BJ102+(1-Inputs!$B$15)*MIN(Mkt!BJ102,BI102*(1+Inputs!$B$18))),BI102)))</f>
        <v>1716.40093525</v>
      </c>
      <c r="BK102" s="11" t="n">
        <f aca="false">IF(BK$1&lt;Units!$P101,0,IF(AND(Units!$K101=0,BK$1=Units!$O101),Units!$R101,IF(AND(BK$1&gt;=Units!$Q101,MOD(BK$1-Units!$Q101,12)=0),IF(AND(Units!$L101=1,BK$1=Units!$Q101),IF(Units!$J101&lt;&gt;"",Units!$J101,Mkt!BK102),Inputs!$B$15*Mkt!BK102+(1-Inputs!$B$15)*MIN(Mkt!BK102,BJ102*(1+Inputs!$B$18))),BJ102)))</f>
        <v>1767.8929633075</v>
      </c>
      <c r="BL102" s="11" t="n">
        <f aca="false">IF(BL$1&lt;Units!$P101,0,IF(AND(Units!$K101=0,BL$1=Units!$O101),Units!$R101,IF(AND(BL$1&gt;=Units!$Q101,MOD(BL$1-Units!$Q101,12)=0),IF(AND(Units!$L101=1,BL$1=Units!$Q101),IF(Units!$J101&lt;&gt;"",Units!$J101,Mkt!BL102),Inputs!$B$15*Mkt!BL102+(1-Inputs!$B$15)*MIN(Mkt!BL102,BK102*(1+Inputs!$B$18))),BK102)))</f>
        <v>1767.8929633075</v>
      </c>
      <c r="BM102" s="11" t="n">
        <f aca="false">IF(BM$1&lt;Units!$P101,0,IF(AND(Units!$K101=0,BM$1=Units!$O101),Units!$R101,IF(AND(BM$1&gt;=Units!$Q101,MOD(BM$1-Units!$Q101,12)=0),IF(AND(Units!$L101=1,BM$1=Units!$Q101),IF(Units!$J101&lt;&gt;"",Units!$J101,Mkt!BM102),Inputs!$B$15*Mkt!BM102+(1-Inputs!$B$15)*MIN(Mkt!BM102,BL102*(1+Inputs!$B$18))),BL102)))</f>
        <v>1767.8929633075</v>
      </c>
      <c r="BN102" s="11" t="n">
        <f aca="false">IF(BN$1&lt;Units!$P101,0,IF(AND(Units!$K101=0,BN$1=Units!$O101),Units!$R101,IF(AND(BN$1&gt;=Units!$Q101,MOD(BN$1-Units!$Q101,12)=0),IF(AND(Units!$L101=1,BN$1=Units!$Q101),IF(Units!$J101&lt;&gt;"",Units!$J101,Mkt!BN102),Inputs!$B$15*Mkt!BN102+(1-Inputs!$B$15)*MIN(Mkt!BN102,BM102*(1+Inputs!$B$18))),BM102)))</f>
        <v>1767.8929633075</v>
      </c>
      <c r="BO102" s="11" t="n">
        <f aca="false">IF(BO$1&lt;Units!$P101,0,IF(AND(Units!$K101=0,BO$1=Units!$O101),Units!$R101,IF(AND(BO$1&gt;=Units!$Q101,MOD(BO$1-Units!$Q101,12)=0),IF(AND(Units!$L101=1,BO$1=Units!$Q101),IF(Units!$J101&lt;&gt;"",Units!$J101,Mkt!BO102),Inputs!$B$15*Mkt!BO102+(1-Inputs!$B$15)*MIN(Mkt!BO102,BN102*(1+Inputs!$B$18))),BN102)))</f>
        <v>1767.8929633075</v>
      </c>
      <c r="BP102" s="11" t="n">
        <f aca="false">IF(BP$1&lt;Units!$P101,0,IF(AND(Units!$K101=0,BP$1=Units!$O101),Units!$R101,IF(AND(BP$1&gt;=Units!$Q101,MOD(BP$1-Units!$Q101,12)=0),IF(AND(Units!$L101=1,BP$1=Units!$Q101),IF(Units!$J101&lt;&gt;"",Units!$J101,Mkt!BP102),Inputs!$B$15*Mkt!BP102+(1-Inputs!$B$15)*MIN(Mkt!BP102,BO102*(1+Inputs!$B$18))),BO102)))</f>
        <v>1767.8929633075</v>
      </c>
      <c r="BQ102" s="11" t="n">
        <f aca="false">IF(BQ$1&lt;Units!$P101,0,IF(AND(Units!$K101=0,BQ$1=Units!$O101),Units!$R101,IF(AND(BQ$1&gt;=Units!$Q101,MOD(BQ$1-Units!$Q101,12)=0),IF(AND(Units!$L101=1,BQ$1=Units!$Q101),IF(Units!$J101&lt;&gt;"",Units!$J101,Mkt!BQ102),Inputs!$B$15*Mkt!BQ102+(1-Inputs!$B$15)*MIN(Mkt!BQ102,BP102*(1+Inputs!$B$18))),BP102)))</f>
        <v>1767.8929633075</v>
      </c>
      <c r="BR102" s="11" t="n">
        <f aca="false">IF(BR$1&lt;Units!$P101,0,IF(AND(Units!$K101=0,BR$1=Units!$O101),Units!$R101,IF(AND(BR$1&gt;=Units!$Q101,MOD(BR$1-Units!$Q101,12)=0),IF(AND(Units!$L101=1,BR$1=Units!$Q101),IF(Units!$J101&lt;&gt;"",Units!$J101,Mkt!BR102),Inputs!$B$15*Mkt!BR102+(1-Inputs!$B$15)*MIN(Mkt!BR102,BQ102*(1+Inputs!$B$18))),BQ102)))</f>
        <v>1767.8929633075</v>
      </c>
      <c r="BS102" s="11" t="n">
        <f aca="false">IF(BS$1&lt;Units!$P101,0,IF(AND(Units!$K101=0,BS$1=Units!$O101),Units!$R101,IF(AND(BS$1&gt;=Units!$Q101,MOD(BS$1-Units!$Q101,12)=0),IF(AND(Units!$L101=1,BS$1=Units!$Q101),IF(Units!$J101&lt;&gt;"",Units!$J101,Mkt!BS102),Inputs!$B$15*Mkt!BS102+(1-Inputs!$B$15)*MIN(Mkt!BS102,BR102*(1+Inputs!$B$18))),BR102)))</f>
        <v>1767.8929633075</v>
      </c>
      <c r="BT102" s="11" t="n">
        <f aca="false">IF(BT$1&lt;Units!$P101,0,IF(AND(Units!$K101=0,BT$1=Units!$O101),Units!$R101,IF(AND(BT$1&gt;=Units!$Q101,MOD(BT$1-Units!$Q101,12)=0),IF(AND(Units!$L101=1,BT$1=Units!$Q101),IF(Units!$J101&lt;&gt;"",Units!$J101,Mkt!BT102),Inputs!$B$15*Mkt!BT102+(1-Inputs!$B$15)*MIN(Mkt!BT102,BS102*(1+Inputs!$B$18))),BS102)))</f>
        <v>1767.8929633075</v>
      </c>
      <c r="BU102" s="11" t="n">
        <f aca="false">IF(BU$1&lt;Units!$P101,0,IF(AND(Units!$K101=0,BU$1=Units!$O101),Units!$R101,IF(AND(BU$1&gt;=Units!$Q101,MOD(BU$1-Units!$Q101,12)=0),IF(AND(Units!$L101=1,BU$1=Units!$Q101),IF(Units!$J101&lt;&gt;"",Units!$J101,Mkt!BU102),Inputs!$B$15*Mkt!BU102+(1-Inputs!$B$15)*MIN(Mkt!BU102,BT102*(1+Inputs!$B$18))),BT102)))</f>
        <v>1767.8929633075</v>
      </c>
      <c r="BV102" s="11" t="n">
        <f aca="false">IF(BV$1&lt;Units!$P101,0,IF(AND(Units!$K101=0,BV$1=Units!$O101),Units!$R101,IF(AND(BV$1&gt;=Units!$Q101,MOD(BV$1-Units!$Q101,12)=0),IF(AND(Units!$L101=1,BV$1=Units!$Q101),IF(Units!$J101&lt;&gt;"",Units!$J101,Mkt!BV102),Inputs!$B$15*Mkt!BV102+(1-Inputs!$B$15)*MIN(Mkt!BV102,BU102*(1+Inputs!$B$18))),BU102)))</f>
        <v>1767.8929633075</v>
      </c>
      <c r="BW102" s="11" t="n">
        <f aca="false">IF(BW$1&lt;Units!$P101,0,IF(AND(Units!$K101=0,BW$1=Units!$O101),Units!$R101,IF(AND(BW$1&gt;=Units!$Q101,MOD(BW$1-Units!$Q101,12)=0),IF(AND(Units!$L101=1,BW$1=Units!$Q101),IF(Units!$J101&lt;&gt;"",Units!$J101,Mkt!BW102),Inputs!$B$15*Mkt!BW102+(1-Inputs!$B$15)*MIN(Mkt!BW102,BV102*(1+Inputs!$B$18))),BV102)))</f>
        <v>1820.92975220673</v>
      </c>
      <c r="BX102" s="11" t="n">
        <f aca="false">IF(BX$1&lt;Units!$P101,0,IF(AND(Units!$K101=0,BX$1=Units!$O101),Units!$R101,IF(AND(BX$1&gt;=Units!$Q101,MOD(BX$1-Units!$Q101,12)=0),IF(AND(Units!$L101=1,BX$1=Units!$Q101),IF(Units!$J101&lt;&gt;"",Units!$J101,Mkt!BX102),Inputs!$B$15*Mkt!BX102+(1-Inputs!$B$15)*MIN(Mkt!BX102,BW102*(1+Inputs!$B$18))),BW102)))</f>
        <v>1820.92975220673</v>
      </c>
      <c r="BY102" s="11" t="n">
        <f aca="false">IF(BY$1&lt;Units!$P101,0,IF(AND(Units!$K101=0,BY$1=Units!$O101),Units!$R101,IF(AND(BY$1&gt;=Units!$Q101,MOD(BY$1-Units!$Q101,12)=0),IF(AND(Units!$L101=1,BY$1=Units!$Q101),IF(Units!$J101&lt;&gt;"",Units!$J101,Mkt!BY102),Inputs!$B$15*Mkt!BY102+(1-Inputs!$B$15)*MIN(Mkt!BY102,BX102*(1+Inputs!$B$18))),BX102)))</f>
        <v>1820.92975220673</v>
      </c>
      <c r="BZ102" s="11" t="n">
        <f aca="false">IF(BZ$1&lt;Units!$P101,0,IF(AND(Units!$K101=0,BZ$1=Units!$O101),Units!$R101,IF(AND(BZ$1&gt;=Units!$Q101,MOD(BZ$1-Units!$Q101,12)=0),IF(AND(Units!$L101=1,BZ$1=Units!$Q101),IF(Units!$J101&lt;&gt;"",Units!$J101,Mkt!BZ102),Inputs!$B$15*Mkt!BZ102+(1-Inputs!$B$15)*MIN(Mkt!BZ102,BY102*(1+Inputs!$B$18))),BY102)))</f>
        <v>1820.92975220673</v>
      </c>
      <c r="CA102" s="11" t="n">
        <f aca="false">IF(CA$1&lt;Units!$P101,0,IF(AND(Units!$K101=0,CA$1=Units!$O101),Units!$R101,IF(AND(CA$1&gt;=Units!$Q101,MOD(CA$1-Units!$Q101,12)=0),IF(AND(Units!$L101=1,CA$1=Units!$Q101),IF(Units!$J101&lt;&gt;"",Units!$J101,Mkt!CA102),Inputs!$B$15*Mkt!CA102+(1-Inputs!$B$15)*MIN(Mkt!CA102,BZ102*(1+Inputs!$B$18))),BZ102)))</f>
        <v>1820.92975220673</v>
      </c>
      <c r="CB102" s="11" t="n">
        <f aca="false">IF(CB$1&lt;Units!$P101,0,IF(AND(Units!$K101=0,CB$1=Units!$O101),Units!$R101,IF(AND(CB$1&gt;=Units!$Q101,MOD(CB$1-Units!$Q101,12)=0),IF(AND(Units!$L101=1,CB$1=Units!$Q101),IF(Units!$J101&lt;&gt;"",Units!$J101,Mkt!CB102),Inputs!$B$15*Mkt!CB102+(1-Inputs!$B$15)*MIN(Mkt!CB102,CA102*(1+Inputs!$B$18))),CA102)))</f>
        <v>1820.92975220673</v>
      </c>
      <c r="CC102" s="11" t="n">
        <f aca="false">IF(CC$1&lt;Units!$P101,0,IF(AND(Units!$K101=0,CC$1=Units!$O101),Units!$R101,IF(AND(CC$1&gt;=Units!$Q101,MOD(CC$1-Units!$Q101,12)=0),IF(AND(Units!$L101=1,CC$1=Units!$Q101),IF(Units!$J101&lt;&gt;"",Units!$J101,Mkt!CC102),Inputs!$B$15*Mkt!CC102+(1-Inputs!$B$15)*MIN(Mkt!CC102,CB102*(1+Inputs!$B$18))),CB102)))</f>
        <v>1820.92975220673</v>
      </c>
      <c r="CD102" s="11" t="n">
        <f aca="false">IF(CD$1&lt;Units!$P101,0,IF(AND(Units!$K101=0,CD$1=Units!$O101),Units!$R101,IF(AND(CD$1&gt;=Units!$Q101,MOD(CD$1-Units!$Q101,12)=0),IF(AND(Units!$L101=1,CD$1=Units!$Q101),IF(Units!$J101&lt;&gt;"",Units!$J101,Mkt!CD102),Inputs!$B$15*Mkt!CD102+(1-Inputs!$B$15)*MIN(Mkt!CD102,CC102*(1+Inputs!$B$18))),CC102)))</f>
        <v>1820.92975220673</v>
      </c>
      <c r="CE102" s="11" t="n">
        <f aca="false">IF(CE$1&lt;Units!$P101,0,IF(AND(Units!$K101=0,CE$1=Units!$O101),Units!$R101,IF(AND(CE$1&gt;=Units!$Q101,MOD(CE$1-Units!$Q101,12)=0),IF(AND(Units!$L101=1,CE$1=Units!$Q101),IF(Units!$J101&lt;&gt;"",Units!$J101,Mkt!CE102),Inputs!$B$15*Mkt!CE102+(1-Inputs!$B$15)*MIN(Mkt!CE102,CD102*(1+Inputs!$B$18))),CD102)))</f>
        <v>1820.92975220673</v>
      </c>
      <c r="CF102" s="11" t="n">
        <f aca="false">IF(CF$1&lt;Units!$P101,0,IF(AND(Units!$K101=0,CF$1=Units!$O101),Units!$R101,IF(AND(CF$1&gt;=Units!$Q101,MOD(CF$1-Units!$Q101,12)=0),IF(AND(Units!$L101=1,CF$1=Units!$Q101),IF(Units!$J101&lt;&gt;"",Units!$J101,Mkt!CF102),Inputs!$B$15*Mkt!CF102+(1-Inputs!$B$15)*MIN(Mkt!CF102,CE102*(1+Inputs!$B$18))),CE102)))</f>
        <v>1820.92975220673</v>
      </c>
      <c r="CG102" s="11" t="n">
        <f aca="false">IF(CG$1&lt;Units!$P101,0,IF(AND(Units!$K101=0,CG$1=Units!$O101),Units!$R101,IF(AND(CG$1&gt;=Units!$Q101,MOD(CG$1-Units!$Q101,12)=0),IF(AND(Units!$L101=1,CG$1=Units!$Q101),IF(Units!$J101&lt;&gt;"",Units!$J101,Mkt!CG102),Inputs!$B$15*Mkt!CG102+(1-Inputs!$B$15)*MIN(Mkt!CG102,CF102*(1+Inputs!$B$18))),CF102)))</f>
        <v>1820.92975220673</v>
      </c>
      <c r="CH102" s="11" t="n">
        <f aca="false">IF(CH$1&lt;Units!$P101,0,IF(AND(Units!$K101=0,CH$1=Units!$O101),Units!$R101,IF(AND(CH$1&gt;=Units!$Q101,MOD(CH$1-Units!$Q101,12)=0),IF(AND(Units!$L101=1,CH$1=Units!$Q101),IF(Units!$J101&lt;&gt;"",Units!$J101,Mkt!CH102),Inputs!$B$15*Mkt!CH102+(1-Inputs!$B$15)*MIN(Mkt!CH102,CG102*(1+Inputs!$B$18))),CG102)))</f>
        <v>1820.92975220673</v>
      </c>
      <c r="CI102" s="11" t="n">
        <f aca="false">IF(CI$1&lt;Units!$P101,0,IF(AND(Units!$K101=0,CI$1=Units!$O101),Units!$R101,IF(AND(CI$1&gt;=Units!$Q101,MOD(CI$1-Units!$Q101,12)=0),IF(AND(Units!$L101=1,CI$1=Units!$Q101),IF(Units!$J101&lt;&gt;"",Units!$J101,Mkt!CI102),Inputs!$B$15*Mkt!CI102+(1-Inputs!$B$15)*MIN(Mkt!CI102,CH102*(1+Inputs!$B$18))),CH102)))</f>
        <v>1875.55764477293</v>
      </c>
      <c r="CJ102" s="11" t="n">
        <f aca="false">IF(CJ$1&lt;Units!$P101,0,IF(AND(Units!$K101=0,CJ$1=Units!$O101),Units!$R101,IF(AND(CJ$1&gt;=Units!$Q101,MOD(CJ$1-Units!$Q101,12)=0),IF(AND(Units!$L101=1,CJ$1=Units!$Q101),IF(Units!$J101&lt;&gt;"",Units!$J101,Mkt!CJ102),Inputs!$B$15*Mkt!CJ102+(1-Inputs!$B$15)*MIN(Mkt!CJ102,CI102*(1+Inputs!$B$18))),CI102)))</f>
        <v>1875.55764477293</v>
      </c>
      <c r="CK102" s="11" t="n">
        <f aca="false">IF(CK$1&lt;Units!$P101,0,IF(AND(Units!$K101=0,CK$1=Units!$O101),Units!$R101,IF(AND(CK$1&gt;=Units!$Q101,MOD(CK$1-Units!$Q101,12)=0),IF(AND(Units!$L101=1,CK$1=Units!$Q101),IF(Units!$J101&lt;&gt;"",Units!$J101,Mkt!CK102),Inputs!$B$15*Mkt!CK102+(1-Inputs!$B$15)*MIN(Mkt!CK102,CJ102*(1+Inputs!$B$18))),CJ102)))</f>
        <v>1875.55764477293</v>
      </c>
      <c r="CL102" s="11" t="n">
        <f aca="false">IF(CL$1&lt;Units!$P101,0,IF(AND(Units!$K101=0,CL$1=Units!$O101),Units!$R101,IF(AND(CL$1&gt;=Units!$Q101,MOD(CL$1-Units!$Q101,12)=0),IF(AND(Units!$L101=1,CL$1=Units!$Q101),IF(Units!$J101&lt;&gt;"",Units!$J101,Mkt!CL102),Inputs!$B$15*Mkt!CL102+(1-Inputs!$B$15)*MIN(Mkt!CL102,CK102*(1+Inputs!$B$18))),CK102)))</f>
        <v>1875.55764477293</v>
      </c>
      <c r="CM102" s="11" t="n">
        <f aca="false">IF(CM$1&lt;Units!$P101,0,IF(AND(Units!$K101=0,CM$1=Units!$O101),Units!$R101,IF(AND(CM$1&gt;=Units!$Q101,MOD(CM$1-Units!$Q101,12)=0),IF(AND(Units!$L101=1,CM$1=Units!$Q101),IF(Units!$J101&lt;&gt;"",Units!$J101,Mkt!CM102),Inputs!$B$15*Mkt!CM102+(1-Inputs!$B$15)*MIN(Mkt!CM102,CL102*(1+Inputs!$B$18))),CL102)))</f>
        <v>1875.55764477293</v>
      </c>
      <c r="CN102" s="11" t="n">
        <f aca="false">IF(CN$1&lt;Units!$P101,0,IF(AND(Units!$K101=0,CN$1=Units!$O101),Units!$R101,IF(AND(CN$1&gt;=Units!$Q101,MOD(CN$1-Units!$Q101,12)=0),IF(AND(Units!$L101=1,CN$1=Units!$Q101),IF(Units!$J101&lt;&gt;"",Units!$J101,Mkt!CN102),Inputs!$B$15*Mkt!CN102+(1-Inputs!$B$15)*MIN(Mkt!CN102,CM102*(1+Inputs!$B$18))),CM102)))</f>
        <v>1875.55764477293</v>
      </c>
      <c r="CO102" s="11" t="n">
        <f aca="false">IF(CO$1&lt;Units!$P101,0,IF(AND(Units!$K101=0,CO$1=Units!$O101),Units!$R101,IF(AND(CO$1&gt;=Units!$Q101,MOD(CO$1-Units!$Q101,12)=0),IF(AND(Units!$L101=1,CO$1=Units!$Q101),IF(Units!$J101&lt;&gt;"",Units!$J101,Mkt!CO102),Inputs!$B$15*Mkt!CO102+(1-Inputs!$B$15)*MIN(Mkt!CO102,CN102*(1+Inputs!$B$18))),CN102)))</f>
        <v>1875.55764477293</v>
      </c>
      <c r="CP102" s="11" t="n">
        <f aca="false">IF(CP$1&lt;Units!$P101,0,IF(AND(Units!$K101=0,CP$1=Units!$O101),Units!$R101,IF(AND(CP$1&gt;=Units!$Q101,MOD(CP$1-Units!$Q101,12)=0),IF(AND(Units!$L101=1,CP$1=Units!$Q101),IF(Units!$J101&lt;&gt;"",Units!$J101,Mkt!CP102),Inputs!$B$15*Mkt!CP102+(1-Inputs!$B$15)*MIN(Mkt!CP102,CO102*(1+Inputs!$B$18))),CO102)))</f>
        <v>1875.55764477293</v>
      </c>
      <c r="CQ102" s="11" t="n">
        <f aca="false">IF(CQ$1&lt;Units!$P101,0,IF(AND(Units!$K101=0,CQ$1=Units!$O101),Units!$R101,IF(AND(CQ$1&gt;=Units!$Q101,MOD(CQ$1-Units!$Q101,12)=0),IF(AND(Units!$L101=1,CQ$1=Units!$Q101),IF(Units!$J101&lt;&gt;"",Units!$J101,Mkt!CQ102),Inputs!$B$15*Mkt!CQ102+(1-Inputs!$B$15)*MIN(Mkt!CQ102,CP102*(1+Inputs!$B$18))),CP102)))</f>
        <v>1875.55764477293</v>
      </c>
      <c r="CR102" s="11" t="n">
        <f aca="false">IF(CR$1&lt;Units!$P101,0,IF(AND(Units!$K101=0,CR$1=Units!$O101),Units!$R101,IF(AND(CR$1&gt;=Units!$Q101,MOD(CR$1-Units!$Q101,12)=0),IF(AND(Units!$L101=1,CR$1=Units!$Q101),IF(Units!$J101&lt;&gt;"",Units!$J101,Mkt!CR102),Inputs!$B$15*Mkt!CR102+(1-Inputs!$B$15)*MIN(Mkt!CR102,CQ102*(1+Inputs!$B$18))),CQ102)))</f>
        <v>1875.55764477293</v>
      </c>
      <c r="CS102" s="11" t="n">
        <f aca="false">IF(CS$1&lt;Units!$P101,0,IF(AND(Units!$K101=0,CS$1=Units!$O101),Units!$R101,IF(AND(CS$1&gt;=Units!$Q101,MOD(CS$1-Units!$Q101,12)=0),IF(AND(Units!$L101=1,CS$1=Units!$Q101),IF(Units!$J101&lt;&gt;"",Units!$J101,Mkt!CS102),Inputs!$B$15*Mkt!CS102+(1-Inputs!$B$15)*MIN(Mkt!CS102,CR102*(1+Inputs!$B$18))),CR102)))</f>
        <v>1875.55764477293</v>
      </c>
      <c r="CT102" s="11" t="n">
        <f aca="false">IF(CT$1&lt;Units!$P101,0,IF(AND(Units!$K101=0,CT$1=Units!$O101),Units!$R101,IF(AND(CT$1&gt;=Units!$Q101,MOD(CT$1-Units!$Q101,12)=0),IF(AND(Units!$L101=1,CT$1=Units!$Q101),IF(Units!$J101&lt;&gt;"",Units!$J101,Mkt!CT102),Inputs!$B$15*Mkt!CT102+(1-Inputs!$B$15)*MIN(Mkt!CT102,CS102*(1+Inputs!$B$18))),CS102)))</f>
        <v>1875.55764477293</v>
      </c>
      <c r="CU102" s="11" t="n">
        <f aca="false">IF(CU$1&lt;Units!$P101,0,IF(AND(Units!$K101=0,CU$1=Units!$O101),Units!$R101,IF(AND(CU$1&gt;=Units!$Q101,MOD(CU$1-Units!$Q101,12)=0),IF(AND(Units!$L101=1,CU$1=Units!$Q101),IF(Units!$J101&lt;&gt;"",Units!$J101,Mkt!CU102),Inputs!$B$15*Mkt!CU102+(1-Inputs!$B$15)*MIN(Mkt!CU102,CT102*(1+Inputs!$B$18))),CT102)))</f>
        <v>1931.82437411612</v>
      </c>
      <c r="CV102" s="11" t="n">
        <f aca="false">IF(CV$1&lt;Units!$P101,0,IF(AND(Units!$K101=0,CV$1=Units!$O101),Units!$R101,IF(AND(CV$1&gt;=Units!$Q101,MOD(CV$1-Units!$Q101,12)=0),IF(AND(Units!$L101=1,CV$1=Units!$Q101),IF(Units!$J101&lt;&gt;"",Units!$J101,Mkt!CV102),Inputs!$B$15*Mkt!CV102+(1-Inputs!$B$15)*MIN(Mkt!CV102,CU102*(1+Inputs!$B$18))),CU102)))</f>
        <v>1931.82437411612</v>
      </c>
      <c r="CW102" s="11" t="n">
        <f aca="false">IF(CW$1&lt;Units!$P101,0,IF(AND(Units!$K101=0,CW$1=Units!$O101),Units!$R101,IF(AND(CW$1&gt;=Units!$Q101,MOD(CW$1-Units!$Q101,12)=0),IF(AND(Units!$L101=1,CW$1=Units!$Q101),IF(Units!$J101&lt;&gt;"",Units!$J101,Mkt!CW102),Inputs!$B$15*Mkt!CW102+(1-Inputs!$B$15)*MIN(Mkt!CW102,CV102*(1+Inputs!$B$18))),CV102)))</f>
        <v>1931.82437411612</v>
      </c>
      <c r="CX102" s="11" t="n">
        <f aca="false">IF(CX$1&lt;Units!$P101,0,IF(AND(Units!$K101=0,CX$1=Units!$O101),Units!$R101,IF(AND(CX$1&gt;=Units!$Q101,MOD(CX$1-Units!$Q101,12)=0),IF(AND(Units!$L101=1,CX$1=Units!$Q101),IF(Units!$J101&lt;&gt;"",Units!$J101,Mkt!CX102),Inputs!$B$15*Mkt!CX102+(1-Inputs!$B$15)*MIN(Mkt!CX102,CW102*(1+Inputs!$B$18))),CW102)))</f>
        <v>1931.82437411612</v>
      </c>
      <c r="CY102" s="11" t="n">
        <f aca="false">IF(CY$1&lt;Units!$P101,0,IF(AND(Units!$K101=0,CY$1=Units!$O101),Units!$R101,IF(AND(CY$1&gt;=Units!$Q101,MOD(CY$1-Units!$Q101,12)=0),IF(AND(Units!$L101=1,CY$1=Units!$Q101),IF(Units!$J101&lt;&gt;"",Units!$J101,Mkt!CY102),Inputs!$B$15*Mkt!CY102+(1-Inputs!$B$15)*MIN(Mkt!CY102,CX102*(1+Inputs!$B$18))),CX102)))</f>
        <v>1931.82437411612</v>
      </c>
      <c r="CZ102" s="11" t="n">
        <f aca="false">IF(CZ$1&lt;Units!$P101,0,IF(AND(Units!$K101=0,CZ$1=Units!$O101),Units!$R101,IF(AND(CZ$1&gt;=Units!$Q101,MOD(CZ$1-Units!$Q101,12)=0),IF(AND(Units!$L101=1,CZ$1=Units!$Q101),IF(Units!$J101&lt;&gt;"",Units!$J101,Mkt!CZ102),Inputs!$B$15*Mkt!CZ102+(1-Inputs!$B$15)*MIN(Mkt!CZ102,CY102*(1+Inputs!$B$18))),CY102)))</f>
        <v>1931.82437411612</v>
      </c>
      <c r="DA102" s="11" t="n">
        <f aca="false">IF(DA$1&lt;Units!$P101,0,IF(AND(Units!$K101=0,DA$1=Units!$O101),Units!$R101,IF(AND(DA$1&gt;=Units!$Q101,MOD(DA$1-Units!$Q101,12)=0),IF(AND(Units!$L101=1,DA$1=Units!$Q101),IF(Units!$J101&lt;&gt;"",Units!$J101,Mkt!DA102),Inputs!$B$15*Mkt!DA102+(1-Inputs!$B$15)*MIN(Mkt!DA102,CZ102*(1+Inputs!$B$18))),CZ102)))</f>
        <v>1931.82437411612</v>
      </c>
      <c r="DB102" s="11" t="n">
        <f aca="false">IF(DB$1&lt;Units!$P101,0,IF(AND(Units!$K101=0,DB$1=Units!$O101),Units!$R101,IF(AND(DB$1&gt;=Units!$Q101,MOD(DB$1-Units!$Q101,12)=0),IF(AND(Units!$L101=1,DB$1=Units!$Q101),IF(Units!$J101&lt;&gt;"",Units!$J101,Mkt!DB102),Inputs!$B$15*Mkt!DB102+(1-Inputs!$B$15)*MIN(Mkt!DB102,DA102*(1+Inputs!$B$18))),DA102)))</f>
        <v>1931.82437411612</v>
      </c>
      <c r="DC102" s="11" t="n">
        <f aca="false">IF(DC$1&lt;Units!$P101,0,IF(AND(Units!$K101=0,DC$1=Units!$O101),Units!$R101,IF(AND(DC$1&gt;=Units!$Q101,MOD(DC$1-Units!$Q101,12)=0),IF(AND(Units!$L101=1,DC$1=Units!$Q101),IF(Units!$J101&lt;&gt;"",Units!$J101,Mkt!DC102),Inputs!$B$15*Mkt!DC102+(1-Inputs!$B$15)*MIN(Mkt!DC102,DB102*(1+Inputs!$B$18))),DB102)))</f>
        <v>1931.82437411612</v>
      </c>
      <c r="DD102" s="11" t="n">
        <f aca="false">IF(DD$1&lt;Units!$P101,0,IF(AND(Units!$K101=0,DD$1=Units!$O101),Units!$R101,IF(AND(DD$1&gt;=Units!$Q101,MOD(DD$1-Units!$Q101,12)=0),IF(AND(Units!$L101=1,DD$1=Units!$Q101),IF(Units!$J101&lt;&gt;"",Units!$J101,Mkt!DD102),Inputs!$B$15*Mkt!DD102+(1-Inputs!$B$15)*MIN(Mkt!DD102,DC102*(1+Inputs!$B$18))),DC102)))</f>
        <v>1931.82437411612</v>
      </c>
      <c r="DE102" s="11" t="n">
        <f aca="false">IF(DE$1&lt;Units!$P101,0,IF(AND(Units!$K101=0,DE$1=Units!$O101),Units!$R101,IF(AND(DE$1&gt;=Units!$Q101,MOD(DE$1-Units!$Q101,12)=0),IF(AND(Units!$L101=1,DE$1=Units!$Q101),IF(Units!$J101&lt;&gt;"",Units!$J101,Mkt!DE102),Inputs!$B$15*Mkt!DE102+(1-Inputs!$B$15)*MIN(Mkt!DE102,DD102*(1+Inputs!$B$18))),DD102)))</f>
        <v>1931.82437411612</v>
      </c>
      <c r="DF102" s="11" t="n">
        <f aca="false">IF(DF$1&lt;Units!$P101,0,IF(AND(Units!$K101=0,DF$1=Units!$O101),Units!$R101,IF(AND(DF$1&gt;=Units!$Q101,MOD(DF$1-Units!$Q101,12)=0),IF(AND(Units!$L101=1,DF$1=Units!$Q101),IF(Units!$J101&lt;&gt;"",Units!$J101,Mkt!DF102),Inputs!$B$15*Mkt!DF102+(1-Inputs!$B$15)*MIN(Mkt!DF102,DE102*(1+Inputs!$B$18))),DE102)))</f>
        <v>1931.82437411612</v>
      </c>
      <c r="DG102" s="11" t="n">
        <f aca="false">IF(DG$1&lt;Units!$P101,0,IF(AND(Units!$K101=0,DG$1=Units!$O101),Units!$R101,IF(AND(DG$1&gt;=Units!$Q101,MOD(DG$1-Units!$Q101,12)=0),IF(AND(Units!$L101=1,DG$1=Units!$Q101),IF(Units!$J101&lt;&gt;"",Units!$J101,Mkt!DG102),Inputs!$B$15*Mkt!DG102+(1-Inputs!$B$15)*MIN(Mkt!DG102,DF102*(1+Inputs!$B$18))),DF102)))</f>
        <v>1989.7791053396</v>
      </c>
      <c r="DH102" s="11" t="n">
        <f aca="false">IF(DH$1&lt;Units!$P101,0,IF(AND(Units!$K101=0,DH$1=Units!$O101),Units!$R101,IF(AND(DH$1&gt;=Units!$Q101,MOD(DH$1-Units!$Q101,12)=0),IF(AND(Units!$L101=1,DH$1=Units!$Q101),IF(Units!$J101&lt;&gt;"",Units!$J101,Mkt!DH102),Inputs!$B$15*Mkt!DH102+(1-Inputs!$B$15)*MIN(Mkt!DH102,DG102*(1+Inputs!$B$18))),DG102)))</f>
        <v>1989.7791053396</v>
      </c>
      <c r="DI102" s="11" t="n">
        <f aca="false">IF(DI$1&lt;Units!$P101,0,IF(AND(Units!$K101=0,DI$1=Units!$O101),Units!$R101,IF(AND(DI$1&gt;=Units!$Q101,MOD(DI$1-Units!$Q101,12)=0),IF(AND(Units!$L101=1,DI$1=Units!$Q101),IF(Units!$J101&lt;&gt;"",Units!$J101,Mkt!DI102),Inputs!$B$15*Mkt!DI102+(1-Inputs!$B$15)*MIN(Mkt!DI102,DH102*(1+Inputs!$B$18))),DH102)))</f>
        <v>1989.7791053396</v>
      </c>
      <c r="DJ102" s="11" t="n">
        <f aca="false">IF(DJ$1&lt;Units!$P101,0,IF(AND(Units!$K101=0,DJ$1=Units!$O101),Units!$R101,IF(AND(DJ$1&gt;=Units!$Q101,MOD(DJ$1-Units!$Q101,12)=0),IF(AND(Units!$L101=1,DJ$1=Units!$Q101),IF(Units!$J101&lt;&gt;"",Units!$J101,Mkt!DJ102),Inputs!$B$15*Mkt!DJ102+(1-Inputs!$B$15)*MIN(Mkt!DJ102,DI102*(1+Inputs!$B$18))),DI102)))</f>
        <v>1989.7791053396</v>
      </c>
      <c r="DK102" s="11" t="n">
        <f aca="false">IF(DK$1&lt;Units!$P101,0,IF(AND(Units!$K101=0,DK$1=Units!$O101),Units!$R101,IF(AND(DK$1&gt;=Units!$Q101,MOD(DK$1-Units!$Q101,12)=0),IF(AND(Units!$L101=1,DK$1=Units!$Q101),IF(Units!$J101&lt;&gt;"",Units!$J101,Mkt!DK102),Inputs!$B$15*Mkt!DK102+(1-Inputs!$B$15)*MIN(Mkt!DK102,DJ102*(1+Inputs!$B$18))),DJ102)))</f>
        <v>1989.7791053396</v>
      </c>
      <c r="DL102" s="11" t="n">
        <f aca="false">IF(DL$1&lt;Units!$P101,0,IF(AND(Units!$K101=0,DL$1=Units!$O101),Units!$R101,IF(AND(DL$1&gt;=Units!$Q101,MOD(DL$1-Units!$Q101,12)=0),IF(AND(Units!$L101=1,DL$1=Units!$Q101),IF(Units!$J101&lt;&gt;"",Units!$J101,Mkt!DL102),Inputs!$B$15*Mkt!DL102+(1-Inputs!$B$15)*MIN(Mkt!DL102,DK102*(1+Inputs!$B$18))),DK102)))</f>
        <v>1989.7791053396</v>
      </c>
      <c r="DM102" s="11" t="n">
        <f aca="false">IF(DM$1&lt;Units!$P101,0,IF(AND(Units!$K101=0,DM$1=Units!$O101),Units!$R101,IF(AND(DM$1&gt;=Units!$Q101,MOD(DM$1-Units!$Q101,12)=0),IF(AND(Units!$L101=1,DM$1=Units!$Q101),IF(Units!$J101&lt;&gt;"",Units!$J101,Mkt!DM102),Inputs!$B$15*Mkt!DM102+(1-Inputs!$B$15)*MIN(Mkt!DM102,DL102*(1+Inputs!$B$18))),DL102)))</f>
        <v>1989.7791053396</v>
      </c>
      <c r="DN102" s="11" t="n">
        <f aca="false">IF(DN$1&lt;Units!$P101,0,IF(AND(Units!$K101=0,DN$1=Units!$O101),Units!$R101,IF(AND(DN$1&gt;=Units!$Q101,MOD(DN$1-Units!$Q101,12)=0),IF(AND(Units!$L101=1,DN$1=Units!$Q101),IF(Units!$J101&lt;&gt;"",Units!$J101,Mkt!DN102),Inputs!$B$15*Mkt!DN102+(1-Inputs!$B$15)*MIN(Mkt!DN102,DM102*(1+Inputs!$B$18))),DM102)))</f>
        <v>1989.7791053396</v>
      </c>
      <c r="DO102" s="11" t="n">
        <f aca="false">IF(DO$1&lt;Units!$P101,0,IF(AND(Units!$K101=0,DO$1=Units!$O101),Units!$R101,IF(AND(DO$1&gt;=Units!$Q101,MOD(DO$1-Units!$Q101,12)=0),IF(AND(Units!$L101=1,DO$1=Units!$Q101),IF(Units!$J101&lt;&gt;"",Units!$J101,Mkt!DO102),Inputs!$B$15*Mkt!DO102+(1-Inputs!$B$15)*MIN(Mkt!DO102,DN102*(1+Inputs!$B$18))),DN102)))</f>
        <v>1989.7791053396</v>
      </c>
      <c r="DP102" s="11" t="n">
        <f aca="false">IF(DP$1&lt;Units!$P101,0,IF(AND(Units!$K101=0,DP$1=Units!$O101),Units!$R101,IF(AND(DP$1&gt;=Units!$Q101,MOD(DP$1-Units!$Q101,12)=0),IF(AND(Units!$L101=1,DP$1=Units!$Q101),IF(Units!$J101&lt;&gt;"",Units!$J101,Mkt!DP102),Inputs!$B$15*Mkt!DP102+(1-Inputs!$B$15)*MIN(Mkt!DP102,DO102*(1+Inputs!$B$18))),DO102)))</f>
        <v>1989.7791053396</v>
      </c>
      <c r="DQ102" s="11" t="n">
        <f aca="false">IF(DQ$1&lt;Units!$P101,0,IF(AND(Units!$K101=0,DQ$1=Units!$O101),Units!$R101,IF(AND(DQ$1&gt;=Units!$Q101,MOD(DQ$1-Units!$Q101,12)=0),IF(AND(Units!$L101=1,DQ$1=Units!$Q101),IF(Units!$J101&lt;&gt;"",Units!$J101,Mkt!DQ102),Inputs!$B$15*Mkt!DQ102+(1-Inputs!$B$15)*MIN(Mkt!DQ102,DP102*(1+Inputs!$B$18))),DP102)))</f>
        <v>1989.7791053396</v>
      </c>
      <c r="DR102" s="11" t="n">
        <f aca="false">IF(DR$1&lt;Units!$P101,0,IF(AND(Units!$K101=0,DR$1=Units!$O101),Units!$R101,IF(AND(DR$1&gt;=Units!$Q101,MOD(DR$1-Units!$Q101,12)=0),IF(AND(Units!$L101=1,DR$1=Units!$Q101),IF(Units!$J101&lt;&gt;"",Units!$J101,Mkt!DR102),Inputs!$B$15*Mkt!DR102+(1-Inputs!$B$15)*MIN(Mkt!DR102,DQ102*(1+Inputs!$B$18))),DQ102)))</f>
        <v>1989.7791053396</v>
      </c>
      <c r="DS102" s="11" t="n">
        <f aca="false">IF(DS$1&lt;Units!$P101,0,IF(AND(Units!$K101=0,DS$1=Units!$O101),Units!$R101,IF(AND(DS$1&gt;=Units!$Q101,MOD(DS$1-Units!$Q101,12)=0),IF(AND(Units!$L101=1,DS$1=Units!$Q101),IF(Units!$J101&lt;&gt;"",Units!$J101,Mkt!DS102),Inputs!$B$15*Mkt!DS102+(1-Inputs!$B$15)*MIN(Mkt!DS102,DR102*(1+Inputs!$B$18))),DR102)))</f>
        <v>2049.47247849979</v>
      </c>
      <c r="DT102" s="11" t="n">
        <f aca="false">IF(DT$1&lt;Units!$P101,0,IF(AND(Units!$K101=0,DT$1=Units!$O101),Units!$R101,IF(AND(DT$1&gt;=Units!$Q101,MOD(DT$1-Units!$Q101,12)=0),IF(AND(Units!$L101=1,DT$1=Units!$Q101),IF(Units!$J101&lt;&gt;"",Units!$J101,Mkt!DT102),Inputs!$B$15*Mkt!DT102+(1-Inputs!$B$15)*MIN(Mkt!DT102,DS102*(1+Inputs!$B$18))),DS102)))</f>
        <v>2049.47247849979</v>
      </c>
      <c r="DU102" s="11" t="n">
        <f aca="false">IF(DU$1&lt;Units!$P101,0,IF(AND(Units!$K101=0,DU$1=Units!$O101),Units!$R101,IF(AND(DU$1&gt;=Units!$Q101,MOD(DU$1-Units!$Q101,12)=0),IF(AND(Units!$L101=1,DU$1=Units!$Q101),IF(Units!$J101&lt;&gt;"",Units!$J101,Mkt!DU102),Inputs!$B$15*Mkt!DU102+(1-Inputs!$B$15)*MIN(Mkt!DU102,DT102*(1+Inputs!$B$18))),DT102)))</f>
        <v>2049.47247849979</v>
      </c>
      <c r="DV102" s="11" t="n">
        <f aca="false">IF(DV$1&lt;Units!$P101,0,IF(AND(Units!$K101=0,DV$1=Units!$O101),Units!$R101,IF(AND(DV$1&gt;=Units!$Q101,MOD(DV$1-Units!$Q101,12)=0),IF(AND(Units!$L101=1,DV$1=Units!$Q101),IF(Units!$J101&lt;&gt;"",Units!$J101,Mkt!DV102),Inputs!$B$15*Mkt!DV102+(1-Inputs!$B$15)*MIN(Mkt!DV102,DU102*(1+Inputs!$B$18))),DU102)))</f>
        <v>2049.47247849979</v>
      </c>
      <c r="DW102" s="11" t="n">
        <f aca="false">IF(DW$1&lt;Units!$P101,0,IF(AND(Units!$K101=0,DW$1=Units!$O101),Units!$R101,IF(AND(DW$1&gt;=Units!$Q101,MOD(DW$1-Units!$Q101,12)=0),IF(AND(Units!$L101=1,DW$1=Units!$Q101),IF(Units!$J101&lt;&gt;"",Units!$J101,Mkt!DW102),Inputs!$B$15*Mkt!DW102+(1-Inputs!$B$15)*MIN(Mkt!DW102,DV102*(1+Inputs!$B$18))),DV102)))</f>
        <v>2049.47247849979</v>
      </c>
      <c r="DX102" s="11" t="n">
        <f aca="false">IF(DX$1&lt;Units!$P101,0,IF(AND(Units!$K101=0,DX$1=Units!$O101),Units!$R101,IF(AND(DX$1&gt;=Units!$Q101,MOD(DX$1-Units!$Q101,12)=0),IF(AND(Units!$L101=1,DX$1=Units!$Q101),IF(Units!$J101&lt;&gt;"",Units!$J101,Mkt!DX102),Inputs!$B$15*Mkt!DX102+(1-Inputs!$B$15)*MIN(Mkt!DX102,DW102*(1+Inputs!$B$18))),DW102)))</f>
        <v>2049.47247849979</v>
      </c>
      <c r="DY102" s="11" t="n">
        <f aca="false">IF(DY$1&lt;Units!$P101,0,IF(AND(Units!$K101=0,DY$1=Units!$O101),Units!$R101,IF(AND(DY$1&gt;=Units!$Q101,MOD(DY$1-Units!$Q101,12)=0),IF(AND(Units!$L101=1,DY$1=Units!$Q101),IF(Units!$J101&lt;&gt;"",Units!$J101,Mkt!DY102),Inputs!$B$15*Mkt!DY102+(1-Inputs!$B$15)*MIN(Mkt!DY102,DX102*(1+Inputs!$B$18))),DX102)))</f>
        <v>2049.47247849979</v>
      </c>
      <c r="DZ102" s="11" t="n">
        <f aca="false">IF(DZ$1&lt;Units!$P101,0,IF(AND(Units!$K101=0,DZ$1=Units!$O101),Units!$R101,IF(AND(DZ$1&gt;=Units!$Q101,MOD(DZ$1-Units!$Q101,12)=0),IF(AND(Units!$L101=1,DZ$1=Units!$Q101),IF(Units!$J101&lt;&gt;"",Units!$J101,Mkt!DZ102),Inputs!$B$15*Mkt!DZ102+(1-Inputs!$B$15)*MIN(Mkt!DZ102,DY102*(1+Inputs!$B$18))),DY102)))</f>
        <v>2049.47247849979</v>
      </c>
      <c r="EA102" s="11" t="n">
        <f aca="false">IF(EA$1&lt;Units!$P101,0,IF(AND(Units!$K101=0,EA$1=Units!$O101),Units!$R101,IF(AND(EA$1&gt;=Units!$Q101,MOD(EA$1-Units!$Q101,12)=0),IF(AND(Units!$L101=1,EA$1=Units!$Q101),IF(Units!$J101&lt;&gt;"",Units!$J101,Mkt!EA102),Inputs!$B$15*Mkt!EA102+(1-Inputs!$B$15)*MIN(Mkt!EA102,DZ102*(1+Inputs!$B$18))),DZ102)))</f>
        <v>2049.47247849979</v>
      </c>
      <c r="EB102" s="11" t="n">
        <f aca="false">IF(EB$1&lt;Units!$P101,0,IF(AND(Units!$K101=0,EB$1=Units!$O101),Units!$R101,IF(AND(EB$1&gt;=Units!$Q101,MOD(EB$1-Units!$Q101,12)=0),IF(AND(Units!$L101=1,EB$1=Units!$Q101),IF(Units!$J101&lt;&gt;"",Units!$J101,Mkt!EB102),Inputs!$B$15*Mkt!EB102+(1-Inputs!$B$15)*MIN(Mkt!EB102,EA102*(1+Inputs!$B$18))),EA102)))</f>
        <v>2049.47247849979</v>
      </c>
      <c r="EC102" s="11" t="n">
        <f aca="false">IF(EC$1&lt;Units!$P101,0,IF(AND(Units!$K101=0,EC$1=Units!$O101),Units!$R101,IF(AND(EC$1&gt;=Units!$Q101,MOD(EC$1-Units!$Q101,12)=0),IF(AND(Units!$L101=1,EC$1=Units!$Q101),IF(Units!$J101&lt;&gt;"",Units!$J101,Mkt!EC102),Inputs!$B$15*Mkt!EC102+(1-Inputs!$B$15)*MIN(Mkt!EC102,EB102*(1+Inputs!$B$18))),EB102)))</f>
        <v>2049.47247849979</v>
      </c>
      <c r="ED102" s="11" t="n">
        <f aca="false">IF(ED$1&lt;Units!$P101,0,IF(AND(Units!$K101=0,ED$1=Units!$O101),Units!$R101,IF(AND(ED$1&gt;=Units!$Q101,MOD(ED$1-Units!$Q101,12)=0),IF(AND(Units!$L101=1,ED$1=Units!$Q101),IF(Units!$J101&lt;&gt;"",Units!$J101,Mkt!ED102),Inputs!$B$15*Mkt!ED102+(1-Inputs!$B$15)*MIN(Mkt!ED102,EC102*(1+Inputs!$B$18))),EC102)))</f>
        <v>2049.47247849979</v>
      </c>
    </row>
    <row r="103" customFormat="false" ht="15" hidden="false" customHeight="false" outlineLevel="0" collapsed="false">
      <c r="A103" s="22" t="n">
        <f aca="false">Units!A102</f>
        <v>411</v>
      </c>
      <c r="B103" s="24" t="n">
        <f aca="false">IF(Units!K102=1,Units!F102,0)</f>
        <v>1510</v>
      </c>
      <c r="C103" s="11" t="n">
        <f aca="false">IF(C$1&lt;Units!$P102,0,IF(AND(Units!$K102=0,C$1=Units!$O102),Units!$R102,IF(AND(C$1&gt;=Units!$Q102,MOD(C$1-Units!$Q102,12)=0),IF(AND(Units!$L102=1,C$1=Units!$Q102),IF(Units!$J102&lt;&gt;"",Units!$J102,Mkt!C103),Inputs!$B$15*Mkt!C103+(1-Inputs!$B$15)*MIN(Mkt!C103,B103*(1+Inputs!$B$18))),B103)))</f>
        <v>1510</v>
      </c>
      <c r="D103" s="11" t="n">
        <f aca="false">IF(D$1&lt;Units!$P102,0,IF(AND(Units!$K102=0,D$1=Units!$O102),Units!$R102,IF(AND(D$1&gt;=Units!$Q102,MOD(D$1-Units!$Q102,12)=0),IF(AND(Units!$L102=1,D$1=Units!$Q102),IF(Units!$J102&lt;&gt;"",Units!$J102,Mkt!D103),Inputs!$B$15*Mkt!D103+(1-Inputs!$B$15)*MIN(Mkt!D103,C103*(1+Inputs!$B$18))),C103)))</f>
        <v>1510</v>
      </c>
      <c r="E103" s="11" t="n">
        <f aca="false">IF(E$1&lt;Units!$P102,0,IF(AND(Units!$K102=0,E$1=Units!$O102),Units!$R102,IF(AND(E$1&gt;=Units!$Q102,MOD(E$1-Units!$Q102,12)=0),IF(AND(Units!$L102=1,E$1=Units!$Q102),IF(Units!$J102&lt;&gt;"",Units!$J102,Mkt!E103),Inputs!$B$15*Mkt!E103+(1-Inputs!$B$15)*MIN(Mkt!E103,D103*(1+Inputs!$B$18))),D103)))</f>
        <v>1525</v>
      </c>
      <c r="F103" s="11" t="n">
        <f aca="false">IF(F$1&lt;Units!$P102,0,IF(AND(Units!$K102=0,F$1=Units!$O102),Units!$R102,IF(AND(F$1&gt;=Units!$Q102,MOD(F$1-Units!$Q102,12)=0),IF(AND(Units!$L102=1,F$1=Units!$Q102),IF(Units!$J102&lt;&gt;"",Units!$J102,Mkt!F103),Inputs!$B$15*Mkt!F103+(1-Inputs!$B$15)*MIN(Mkt!F103,E103*(1+Inputs!$B$18))),E103)))</f>
        <v>1525</v>
      </c>
      <c r="G103" s="11" t="n">
        <f aca="false">IF(G$1&lt;Units!$P102,0,IF(AND(Units!$K102=0,G$1=Units!$O102),Units!$R102,IF(AND(G$1&gt;=Units!$Q102,MOD(G$1-Units!$Q102,12)=0),IF(AND(Units!$L102=1,G$1=Units!$Q102),IF(Units!$J102&lt;&gt;"",Units!$J102,Mkt!G103),Inputs!$B$15*Mkt!G103+(1-Inputs!$B$15)*MIN(Mkt!G103,F103*(1+Inputs!$B$18))),F103)))</f>
        <v>1525</v>
      </c>
      <c r="H103" s="11" t="n">
        <f aca="false">IF(H$1&lt;Units!$P102,0,IF(AND(Units!$K102=0,H$1=Units!$O102),Units!$R102,IF(AND(H$1&gt;=Units!$Q102,MOD(H$1-Units!$Q102,12)=0),IF(AND(Units!$L102=1,H$1=Units!$Q102),IF(Units!$J102&lt;&gt;"",Units!$J102,Mkt!H103),Inputs!$B$15*Mkt!H103+(1-Inputs!$B$15)*MIN(Mkt!H103,G103*(1+Inputs!$B$18))),G103)))</f>
        <v>1525</v>
      </c>
      <c r="I103" s="11" t="n">
        <f aca="false">IF(I$1&lt;Units!$P102,0,IF(AND(Units!$K102=0,I$1=Units!$O102),Units!$R102,IF(AND(I$1&gt;=Units!$Q102,MOD(I$1-Units!$Q102,12)=0),IF(AND(Units!$L102=1,I$1=Units!$Q102),IF(Units!$J102&lt;&gt;"",Units!$J102,Mkt!I103),Inputs!$B$15*Mkt!I103+(1-Inputs!$B$15)*MIN(Mkt!I103,H103*(1+Inputs!$B$18))),H103)))</f>
        <v>1525</v>
      </c>
      <c r="J103" s="11" t="n">
        <f aca="false">IF(J$1&lt;Units!$P102,0,IF(AND(Units!$K102=0,J$1=Units!$O102),Units!$R102,IF(AND(J$1&gt;=Units!$Q102,MOD(J$1-Units!$Q102,12)=0),IF(AND(Units!$L102=1,J$1=Units!$Q102),IF(Units!$J102&lt;&gt;"",Units!$J102,Mkt!J103),Inputs!$B$15*Mkt!J103+(1-Inputs!$B$15)*MIN(Mkt!J103,I103*(1+Inputs!$B$18))),I103)))</f>
        <v>1525</v>
      </c>
      <c r="K103" s="11" t="n">
        <f aca="false">IF(K$1&lt;Units!$P102,0,IF(AND(Units!$K102=0,K$1=Units!$O102),Units!$R102,IF(AND(K$1&gt;=Units!$Q102,MOD(K$1-Units!$Q102,12)=0),IF(AND(Units!$L102=1,K$1=Units!$Q102),IF(Units!$J102&lt;&gt;"",Units!$J102,Mkt!K103),Inputs!$B$15*Mkt!K103+(1-Inputs!$B$15)*MIN(Mkt!K103,J103*(1+Inputs!$B$18))),J103)))</f>
        <v>1525</v>
      </c>
      <c r="L103" s="11" t="n">
        <f aca="false">IF(L$1&lt;Units!$P102,0,IF(AND(Units!$K102=0,L$1=Units!$O102),Units!$R102,IF(AND(L$1&gt;=Units!$Q102,MOD(L$1-Units!$Q102,12)=0),IF(AND(Units!$L102=1,L$1=Units!$Q102),IF(Units!$J102&lt;&gt;"",Units!$J102,Mkt!L103),Inputs!$B$15*Mkt!L103+(1-Inputs!$B$15)*MIN(Mkt!L103,K103*(1+Inputs!$B$18))),K103)))</f>
        <v>1525</v>
      </c>
      <c r="M103" s="11" t="n">
        <f aca="false">IF(M$1&lt;Units!$P102,0,IF(AND(Units!$K102=0,M$1=Units!$O102),Units!$R102,IF(AND(M$1&gt;=Units!$Q102,MOD(M$1-Units!$Q102,12)=0),IF(AND(Units!$L102=1,M$1=Units!$Q102),IF(Units!$J102&lt;&gt;"",Units!$J102,Mkt!M103),Inputs!$B$15*Mkt!M103+(1-Inputs!$B$15)*MIN(Mkt!M103,L103*(1+Inputs!$B$18))),L103)))</f>
        <v>1525</v>
      </c>
      <c r="N103" s="11" t="n">
        <f aca="false">IF(N$1&lt;Units!$P102,0,IF(AND(Units!$K102=0,N$1=Units!$O102),Units!$R102,IF(AND(N$1&gt;=Units!$Q102,MOD(N$1-Units!$Q102,12)=0),IF(AND(Units!$L102=1,N$1=Units!$Q102),IF(Units!$J102&lt;&gt;"",Units!$J102,Mkt!N103),Inputs!$B$15*Mkt!N103+(1-Inputs!$B$15)*MIN(Mkt!N103,M103*(1+Inputs!$B$18))),M103)))</f>
        <v>1525</v>
      </c>
      <c r="O103" s="11" t="n">
        <f aca="false">IF(O$1&lt;Units!$P102,0,IF(AND(Units!$K102=0,O$1=Units!$O102),Units!$R102,IF(AND(O$1&gt;=Units!$Q102,MOD(O$1-Units!$Q102,12)=0),IF(AND(Units!$L102=1,O$1=Units!$Q102),IF(Units!$J102&lt;&gt;"",Units!$J102,Mkt!O103),Inputs!$B$15*Mkt!O103+(1-Inputs!$B$15)*MIN(Mkt!O103,N103*(1+Inputs!$B$18))),N103)))</f>
        <v>1525</v>
      </c>
      <c r="P103" s="11" t="n">
        <f aca="false">IF(P$1&lt;Units!$P102,0,IF(AND(Units!$K102=0,P$1=Units!$O102),Units!$R102,IF(AND(P$1&gt;=Units!$Q102,MOD(P$1-Units!$Q102,12)=0),IF(AND(Units!$L102=1,P$1=Units!$Q102),IF(Units!$J102&lt;&gt;"",Units!$J102,Mkt!P103),Inputs!$B$15*Mkt!P103+(1-Inputs!$B$15)*MIN(Mkt!P103,O103*(1+Inputs!$B$18))),O103)))</f>
        <v>1525</v>
      </c>
      <c r="Q103" s="11" t="n">
        <f aca="false">IF(Q$1&lt;Units!$P102,0,IF(AND(Units!$K102=0,Q$1=Units!$O102),Units!$R102,IF(AND(Q$1&gt;=Units!$Q102,MOD(Q$1-Units!$Q102,12)=0),IF(AND(Units!$L102=1,Q$1=Units!$Q102),IF(Units!$J102&lt;&gt;"",Units!$J102,Mkt!Q103),Inputs!$B$15*Mkt!Q103+(1-Inputs!$B$15)*MIN(Mkt!Q103,P103*(1+Inputs!$B$18))),P103)))</f>
        <v>1570.75</v>
      </c>
      <c r="R103" s="11" t="n">
        <f aca="false">IF(R$1&lt;Units!$P102,0,IF(AND(Units!$K102=0,R$1=Units!$O102),Units!$R102,IF(AND(R$1&gt;=Units!$Q102,MOD(R$1-Units!$Q102,12)=0),IF(AND(Units!$L102=1,R$1=Units!$Q102),IF(Units!$J102&lt;&gt;"",Units!$J102,Mkt!R103),Inputs!$B$15*Mkt!R103+(1-Inputs!$B$15)*MIN(Mkt!R103,Q103*(1+Inputs!$B$18))),Q103)))</f>
        <v>1570.75</v>
      </c>
      <c r="S103" s="11" t="n">
        <f aca="false">IF(S$1&lt;Units!$P102,0,IF(AND(Units!$K102=0,S$1=Units!$O102),Units!$R102,IF(AND(S$1&gt;=Units!$Q102,MOD(S$1-Units!$Q102,12)=0),IF(AND(Units!$L102=1,S$1=Units!$Q102),IF(Units!$J102&lt;&gt;"",Units!$J102,Mkt!S103),Inputs!$B$15*Mkt!S103+(1-Inputs!$B$15)*MIN(Mkt!S103,R103*(1+Inputs!$B$18))),R103)))</f>
        <v>1570.75</v>
      </c>
      <c r="T103" s="11" t="n">
        <f aca="false">IF(T$1&lt;Units!$P102,0,IF(AND(Units!$K102=0,T$1=Units!$O102),Units!$R102,IF(AND(T$1&gt;=Units!$Q102,MOD(T$1-Units!$Q102,12)=0),IF(AND(Units!$L102=1,T$1=Units!$Q102),IF(Units!$J102&lt;&gt;"",Units!$J102,Mkt!T103),Inputs!$B$15*Mkt!T103+(1-Inputs!$B$15)*MIN(Mkt!T103,S103*(1+Inputs!$B$18))),S103)))</f>
        <v>1570.75</v>
      </c>
      <c r="U103" s="11" t="n">
        <f aca="false">IF(U$1&lt;Units!$P102,0,IF(AND(Units!$K102=0,U$1=Units!$O102),Units!$R102,IF(AND(U$1&gt;=Units!$Q102,MOD(U$1-Units!$Q102,12)=0),IF(AND(Units!$L102=1,U$1=Units!$Q102),IF(Units!$J102&lt;&gt;"",Units!$J102,Mkt!U103),Inputs!$B$15*Mkt!U103+(1-Inputs!$B$15)*MIN(Mkt!U103,T103*(1+Inputs!$B$18))),T103)))</f>
        <v>1570.75</v>
      </c>
      <c r="V103" s="11" t="n">
        <f aca="false">IF(V$1&lt;Units!$P102,0,IF(AND(Units!$K102=0,V$1=Units!$O102),Units!$R102,IF(AND(V$1&gt;=Units!$Q102,MOD(V$1-Units!$Q102,12)=0),IF(AND(Units!$L102=1,V$1=Units!$Q102),IF(Units!$J102&lt;&gt;"",Units!$J102,Mkt!V103),Inputs!$B$15*Mkt!V103+(1-Inputs!$B$15)*MIN(Mkt!V103,U103*(1+Inputs!$B$18))),U103)))</f>
        <v>1570.75</v>
      </c>
      <c r="W103" s="11" t="n">
        <f aca="false">IF(W$1&lt;Units!$P102,0,IF(AND(Units!$K102=0,W$1=Units!$O102),Units!$R102,IF(AND(W$1&gt;=Units!$Q102,MOD(W$1-Units!$Q102,12)=0),IF(AND(Units!$L102=1,W$1=Units!$Q102),IF(Units!$J102&lt;&gt;"",Units!$J102,Mkt!W103),Inputs!$B$15*Mkt!W103+(1-Inputs!$B$15)*MIN(Mkt!W103,V103*(1+Inputs!$B$18))),V103)))</f>
        <v>1570.75</v>
      </c>
      <c r="X103" s="11" t="n">
        <f aca="false">IF(X$1&lt;Units!$P102,0,IF(AND(Units!$K102=0,X$1=Units!$O102),Units!$R102,IF(AND(X$1&gt;=Units!$Q102,MOD(X$1-Units!$Q102,12)=0),IF(AND(Units!$L102=1,X$1=Units!$Q102),IF(Units!$J102&lt;&gt;"",Units!$J102,Mkt!X103),Inputs!$B$15*Mkt!X103+(1-Inputs!$B$15)*MIN(Mkt!X103,W103*(1+Inputs!$B$18))),W103)))</f>
        <v>1570.75</v>
      </c>
      <c r="Y103" s="11" t="n">
        <f aca="false">IF(Y$1&lt;Units!$P102,0,IF(AND(Units!$K102=0,Y$1=Units!$O102),Units!$R102,IF(AND(Y$1&gt;=Units!$Q102,MOD(Y$1-Units!$Q102,12)=0),IF(AND(Units!$L102=1,Y$1=Units!$Q102),IF(Units!$J102&lt;&gt;"",Units!$J102,Mkt!Y103),Inputs!$B$15*Mkt!Y103+(1-Inputs!$B$15)*MIN(Mkt!Y103,X103*(1+Inputs!$B$18))),X103)))</f>
        <v>1570.75</v>
      </c>
      <c r="Z103" s="11" t="n">
        <f aca="false">IF(Z$1&lt;Units!$P102,0,IF(AND(Units!$K102=0,Z$1=Units!$O102),Units!$R102,IF(AND(Z$1&gt;=Units!$Q102,MOD(Z$1-Units!$Q102,12)=0),IF(AND(Units!$L102=1,Z$1=Units!$Q102),IF(Units!$J102&lt;&gt;"",Units!$J102,Mkt!Z103),Inputs!$B$15*Mkt!Z103+(1-Inputs!$B$15)*MIN(Mkt!Z103,Y103*(1+Inputs!$B$18))),Y103)))</f>
        <v>1570.75</v>
      </c>
      <c r="AA103" s="11" t="n">
        <f aca="false">IF(AA$1&lt;Units!$P102,0,IF(AND(Units!$K102=0,AA$1=Units!$O102),Units!$R102,IF(AND(AA$1&gt;=Units!$Q102,MOD(AA$1-Units!$Q102,12)=0),IF(AND(Units!$L102=1,AA$1=Units!$Q102),IF(Units!$J102&lt;&gt;"",Units!$J102,Mkt!AA103),Inputs!$B$15*Mkt!AA103+(1-Inputs!$B$15)*MIN(Mkt!AA103,Z103*(1+Inputs!$B$18))),Z103)))</f>
        <v>1570.75</v>
      </c>
      <c r="AB103" s="11" t="n">
        <f aca="false">IF(AB$1&lt;Units!$P102,0,IF(AND(Units!$K102=0,AB$1=Units!$O102),Units!$R102,IF(AND(AB$1&gt;=Units!$Q102,MOD(AB$1-Units!$Q102,12)=0),IF(AND(Units!$L102=1,AB$1=Units!$Q102),IF(Units!$J102&lt;&gt;"",Units!$J102,Mkt!AB103),Inputs!$B$15*Mkt!AB103+(1-Inputs!$B$15)*MIN(Mkt!AB103,AA103*(1+Inputs!$B$18))),AA103)))</f>
        <v>1570.75</v>
      </c>
      <c r="AC103" s="11" t="n">
        <f aca="false">IF(AC$1&lt;Units!$P102,0,IF(AND(Units!$K102=0,AC$1=Units!$O102),Units!$R102,IF(AND(AC$1&gt;=Units!$Q102,MOD(AC$1-Units!$Q102,12)=0),IF(AND(Units!$L102=1,AC$1=Units!$Q102),IF(Units!$J102&lt;&gt;"",Units!$J102,Mkt!AC103),Inputs!$B$15*Mkt!AC103+(1-Inputs!$B$15)*MIN(Mkt!AC103,AB103*(1+Inputs!$B$18))),AB103)))</f>
        <v>1617.8725</v>
      </c>
      <c r="AD103" s="11" t="n">
        <f aca="false">IF(AD$1&lt;Units!$P102,0,IF(AND(Units!$K102=0,AD$1=Units!$O102),Units!$R102,IF(AND(AD$1&gt;=Units!$Q102,MOD(AD$1-Units!$Q102,12)=0),IF(AND(Units!$L102=1,AD$1=Units!$Q102),IF(Units!$J102&lt;&gt;"",Units!$J102,Mkt!AD103),Inputs!$B$15*Mkt!AD103+(1-Inputs!$B$15)*MIN(Mkt!AD103,AC103*(1+Inputs!$B$18))),AC103)))</f>
        <v>1617.8725</v>
      </c>
      <c r="AE103" s="11" t="n">
        <f aca="false">IF(AE$1&lt;Units!$P102,0,IF(AND(Units!$K102=0,AE$1=Units!$O102),Units!$R102,IF(AND(AE$1&gt;=Units!$Q102,MOD(AE$1-Units!$Q102,12)=0),IF(AND(Units!$L102=1,AE$1=Units!$Q102),IF(Units!$J102&lt;&gt;"",Units!$J102,Mkt!AE103),Inputs!$B$15*Mkt!AE103+(1-Inputs!$B$15)*MIN(Mkt!AE103,AD103*(1+Inputs!$B$18))),AD103)))</f>
        <v>1617.8725</v>
      </c>
      <c r="AF103" s="11" t="n">
        <f aca="false">IF(AF$1&lt;Units!$P102,0,IF(AND(Units!$K102=0,AF$1=Units!$O102),Units!$R102,IF(AND(AF$1&gt;=Units!$Q102,MOD(AF$1-Units!$Q102,12)=0),IF(AND(Units!$L102=1,AF$1=Units!$Q102),IF(Units!$J102&lt;&gt;"",Units!$J102,Mkt!AF103),Inputs!$B$15*Mkt!AF103+(1-Inputs!$B$15)*MIN(Mkt!AF103,AE103*(1+Inputs!$B$18))),AE103)))</f>
        <v>1617.8725</v>
      </c>
      <c r="AG103" s="11" t="n">
        <f aca="false">IF(AG$1&lt;Units!$P102,0,IF(AND(Units!$K102=0,AG$1=Units!$O102),Units!$R102,IF(AND(AG$1&gt;=Units!$Q102,MOD(AG$1-Units!$Q102,12)=0),IF(AND(Units!$L102=1,AG$1=Units!$Q102),IF(Units!$J102&lt;&gt;"",Units!$J102,Mkt!AG103),Inputs!$B$15*Mkt!AG103+(1-Inputs!$B$15)*MIN(Mkt!AG103,AF103*(1+Inputs!$B$18))),AF103)))</f>
        <v>1617.8725</v>
      </c>
      <c r="AH103" s="11" t="n">
        <f aca="false">IF(AH$1&lt;Units!$P102,0,IF(AND(Units!$K102=0,AH$1=Units!$O102),Units!$R102,IF(AND(AH$1&gt;=Units!$Q102,MOD(AH$1-Units!$Q102,12)=0),IF(AND(Units!$L102=1,AH$1=Units!$Q102),IF(Units!$J102&lt;&gt;"",Units!$J102,Mkt!AH103),Inputs!$B$15*Mkt!AH103+(1-Inputs!$B$15)*MIN(Mkt!AH103,AG103*(1+Inputs!$B$18))),AG103)))</f>
        <v>1617.8725</v>
      </c>
      <c r="AI103" s="11" t="n">
        <f aca="false">IF(AI$1&lt;Units!$P102,0,IF(AND(Units!$K102=0,AI$1=Units!$O102),Units!$R102,IF(AND(AI$1&gt;=Units!$Q102,MOD(AI$1-Units!$Q102,12)=0),IF(AND(Units!$L102=1,AI$1=Units!$Q102),IF(Units!$J102&lt;&gt;"",Units!$J102,Mkt!AI103),Inputs!$B$15*Mkt!AI103+(1-Inputs!$B$15)*MIN(Mkt!AI103,AH103*(1+Inputs!$B$18))),AH103)))</f>
        <v>1617.8725</v>
      </c>
      <c r="AJ103" s="11" t="n">
        <f aca="false">IF(AJ$1&lt;Units!$P102,0,IF(AND(Units!$K102=0,AJ$1=Units!$O102),Units!$R102,IF(AND(AJ$1&gt;=Units!$Q102,MOD(AJ$1-Units!$Q102,12)=0),IF(AND(Units!$L102=1,AJ$1=Units!$Q102),IF(Units!$J102&lt;&gt;"",Units!$J102,Mkt!AJ103),Inputs!$B$15*Mkt!AJ103+(1-Inputs!$B$15)*MIN(Mkt!AJ103,AI103*(1+Inputs!$B$18))),AI103)))</f>
        <v>1617.8725</v>
      </c>
      <c r="AK103" s="11" t="n">
        <f aca="false">IF(AK$1&lt;Units!$P102,0,IF(AND(Units!$K102=0,AK$1=Units!$O102),Units!$R102,IF(AND(AK$1&gt;=Units!$Q102,MOD(AK$1-Units!$Q102,12)=0),IF(AND(Units!$L102=1,AK$1=Units!$Q102),IF(Units!$J102&lt;&gt;"",Units!$J102,Mkt!AK103),Inputs!$B$15*Mkt!AK103+(1-Inputs!$B$15)*MIN(Mkt!AK103,AJ103*(1+Inputs!$B$18))),AJ103)))</f>
        <v>1617.8725</v>
      </c>
      <c r="AL103" s="11" t="n">
        <f aca="false">IF(AL$1&lt;Units!$P102,0,IF(AND(Units!$K102=0,AL$1=Units!$O102),Units!$R102,IF(AND(AL$1&gt;=Units!$Q102,MOD(AL$1-Units!$Q102,12)=0),IF(AND(Units!$L102=1,AL$1=Units!$Q102),IF(Units!$J102&lt;&gt;"",Units!$J102,Mkt!AL103),Inputs!$B$15*Mkt!AL103+(1-Inputs!$B$15)*MIN(Mkt!AL103,AK103*(1+Inputs!$B$18))),AK103)))</f>
        <v>1617.8725</v>
      </c>
      <c r="AM103" s="11" t="n">
        <f aca="false">IF(AM$1&lt;Units!$P102,0,IF(AND(Units!$K102=0,AM$1=Units!$O102),Units!$R102,IF(AND(AM$1&gt;=Units!$Q102,MOD(AM$1-Units!$Q102,12)=0),IF(AND(Units!$L102=1,AM$1=Units!$Q102),IF(Units!$J102&lt;&gt;"",Units!$J102,Mkt!AM103),Inputs!$B$15*Mkt!AM103+(1-Inputs!$B$15)*MIN(Mkt!AM103,AL103*(1+Inputs!$B$18))),AL103)))</f>
        <v>1617.8725</v>
      </c>
      <c r="AN103" s="11" t="n">
        <f aca="false">IF(AN$1&lt;Units!$P102,0,IF(AND(Units!$K102=0,AN$1=Units!$O102),Units!$R102,IF(AND(AN$1&gt;=Units!$Q102,MOD(AN$1-Units!$Q102,12)=0),IF(AND(Units!$L102=1,AN$1=Units!$Q102),IF(Units!$J102&lt;&gt;"",Units!$J102,Mkt!AN103),Inputs!$B$15*Mkt!AN103+(1-Inputs!$B$15)*MIN(Mkt!AN103,AM103*(1+Inputs!$B$18))),AM103)))</f>
        <v>1617.8725</v>
      </c>
      <c r="AO103" s="11" t="n">
        <f aca="false">IF(AO$1&lt;Units!$P102,0,IF(AND(Units!$K102=0,AO$1=Units!$O102),Units!$R102,IF(AND(AO$1&gt;=Units!$Q102,MOD(AO$1-Units!$Q102,12)=0),IF(AND(Units!$L102=1,AO$1=Units!$Q102),IF(Units!$J102&lt;&gt;"",Units!$J102,Mkt!AO103),Inputs!$B$15*Mkt!AO103+(1-Inputs!$B$15)*MIN(Mkt!AO103,AN103*(1+Inputs!$B$18))),AN103)))</f>
        <v>1666.408675</v>
      </c>
      <c r="AP103" s="11" t="n">
        <f aca="false">IF(AP$1&lt;Units!$P102,0,IF(AND(Units!$K102=0,AP$1=Units!$O102),Units!$R102,IF(AND(AP$1&gt;=Units!$Q102,MOD(AP$1-Units!$Q102,12)=0),IF(AND(Units!$L102=1,AP$1=Units!$Q102),IF(Units!$J102&lt;&gt;"",Units!$J102,Mkt!AP103),Inputs!$B$15*Mkt!AP103+(1-Inputs!$B$15)*MIN(Mkt!AP103,AO103*(1+Inputs!$B$18))),AO103)))</f>
        <v>1666.408675</v>
      </c>
      <c r="AQ103" s="11" t="n">
        <f aca="false">IF(AQ$1&lt;Units!$P102,0,IF(AND(Units!$K102=0,AQ$1=Units!$O102),Units!$R102,IF(AND(AQ$1&gt;=Units!$Q102,MOD(AQ$1-Units!$Q102,12)=0),IF(AND(Units!$L102=1,AQ$1=Units!$Q102),IF(Units!$J102&lt;&gt;"",Units!$J102,Mkt!AQ103),Inputs!$B$15*Mkt!AQ103+(1-Inputs!$B$15)*MIN(Mkt!AQ103,AP103*(1+Inputs!$B$18))),AP103)))</f>
        <v>1666.408675</v>
      </c>
      <c r="AR103" s="11" t="n">
        <f aca="false">IF(AR$1&lt;Units!$P102,0,IF(AND(Units!$K102=0,AR$1=Units!$O102),Units!$R102,IF(AND(AR$1&gt;=Units!$Q102,MOD(AR$1-Units!$Q102,12)=0),IF(AND(Units!$L102=1,AR$1=Units!$Q102),IF(Units!$J102&lt;&gt;"",Units!$J102,Mkt!AR103),Inputs!$B$15*Mkt!AR103+(1-Inputs!$B$15)*MIN(Mkt!AR103,AQ103*(1+Inputs!$B$18))),AQ103)))</f>
        <v>1666.408675</v>
      </c>
      <c r="AS103" s="11" t="n">
        <f aca="false">IF(AS$1&lt;Units!$P102,0,IF(AND(Units!$K102=0,AS$1=Units!$O102),Units!$R102,IF(AND(AS$1&gt;=Units!$Q102,MOD(AS$1-Units!$Q102,12)=0),IF(AND(Units!$L102=1,AS$1=Units!$Q102),IF(Units!$J102&lt;&gt;"",Units!$J102,Mkt!AS103),Inputs!$B$15*Mkt!AS103+(1-Inputs!$B$15)*MIN(Mkt!AS103,AR103*(1+Inputs!$B$18))),AR103)))</f>
        <v>1666.408675</v>
      </c>
      <c r="AT103" s="11" t="n">
        <f aca="false">IF(AT$1&lt;Units!$P102,0,IF(AND(Units!$K102=0,AT$1=Units!$O102),Units!$R102,IF(AND(AT$1&gt;=Units!$Q102,MOD(AT$1-Units!$Q102,12)=0),IF(AND(Units!$L102=1,AT$1=Units!$Q102),IF(Units!$J102&lt;&gt;"",Units!$J102,Mkt!AT103),Inputs!$B$15*Mkt!AT103+(1-Inputs!$B$15)*MIN(Mkt!AT103,AS103*(1+Inputs!$B$18))),AS103)))</f>
        <v>1666.408675</v>
      </c>
      <c r="AU103" s="11" t="n">
        <f aca="false">IF(AU$1&lt;Units!$P102,0,IF(AND(Units!$K102=0,AU$1=Units!$O102),Units!$R102,IF(AND(AU$1&gt;=Units!$Q102,MOD(AU$1-Units!$Q102,12)=0),IF(AND(Units!$L102=1,AU$1=Units!$Q102),IF(Units!$J102&lt;&gt;"",Units!$J102,Mkt!AU103),Inputs!$B$15*Mkt!AU103+(1-Inputs!$B$15)*MIN(Mkt!AU103,AT103*(1+Inputs!$B$18))),AT103)))</f>
        <v>1666.408675</v>
      </c>
      <c r="AV103" s="11" t="n">
        <f aca="false">IF(AV$1&lt;Units!$P102,0,IF(AND(Units!$K102=0,AV$1=Units!$O102),Units!$R102,IF(AND(AV$1&gt;=Units!$Q102,MOD(AV$1-Units!$Q102,12)=0),IF(AND(Units!$L102=1,AV$1=Units!$Q102),IF(Units!$J102&lt;&gt;"",Units!$J102,Mkt!AV103),Inputs!$B$15*Mkt!AV103+(1-Inputs!$B$15)*MIN(Mkt!AV103,AU103*(1+Inputs!$B$18))),AU103)))</f>
        <v>1666.408675</v>
      </c>
      <c r="AW103" s="11" t="n">
        <f aca="false">IF(AW$1&lt;Units!$P102,0,IF(AND(Units!$K102=0,AW$1=Units!$O102),Units!$R102,IF(AND(AW$1&gt;=Units!$Q102,MOD(AW$1-Units!$Q102,12)=0),IF(AND(Units!$L102=1,AW$1=Units!$Q102),IF(Units!$J102&lt;&gt;"",Units!$J102,Mkt!AW103),Inputs!$B$15*Mkt!AW103+(1-Inputs!$B$15)*MIN(Mkt!AW103,AV103*(1+Inputs!$B$18))),AV103)))</f>
        <v>1666.408675</v>
      </c>
      <c r="AX103" s="11" t="n">
        <f aca="false">IF(AX$1&lt;Units!$P102,0,IF(AND(Units!$K102=0,AX$1=Units!$O102),Units!$R102,IF(AND(AX$1&gt;=Units!$Q102,MOD(AX$1-Units!$Q102,12)=0),IF(AND(Units!$L102=1,AX$1=Units!$Q102),IF(Units!$J102&lt;&gt;"",Units!$J102,Mkt!AX103),Inputs!$B$15*Mkt!AX103+(1-Inputs!$B$15)*MIN(Mkt!AX103,AW103*(1+Inputs!$B$18))),AW103)))</f>
        <v>1666.408675</v>
      </c>
      <c r="AY103" s="11" t="n">
        <f aca="false">IF(AY$1&lt;Units!$P102,0,IF(AND(Units!$K102=0,AY$1=Units!$O102),Units!$R102,IF(AND(AY$1&gt;=Units!$Q102,MOD(AY$1-Units!$Q102,12)=0),IF(AND(Units!$L102=1,AY$1=Units!$Q102),IF(Units!$J102&lt;&gt;"",Units!$J102,Mkt!AY103),Inputs!$B$15*Mkt!AY103+(1-Inputs!$B$15)*MIN(Mkt!AY103,AX103*(1+Inputs!$B$18))),AX103)))</f>
        <v>1666.408675</v>
      </c>
      <c r="AZ103" s="11" t="n">
        <f aca="false">IF(AZ$1&lt;Units!$P102,0,IF(AND(Units!$K102=0,AZ$1=Units!$O102),Units!$R102,IF(AND(AZ$1&gt;=Units!$Q102,MOD(AZ$1-Units!$Q102,12)=0),IF(AND(Units!$L102=1,AZ$1=Units!$Q102),IF(Units!$J102&lt;&gt;"",Units!$J102,Mkt!AZ103),Inputs!$B$15*Mkt!AZ103+(1-Inputs!$B$15)*MIN(Mkt!AZ103,AY103*(1+Inputs!$B$18))),AY103)))</f>
        <v>1666.408675</v>
      </c>
      <c r="BA103" s="11" t="n">
        <f aca="false">IF(BA$1&lt;Units!$P102,0,IF(AND(Units!$K102=0,BA$1=Units!$O102),Units!$R102,IF(AND(BA$1&gt;=Units!$Q102,MOD(BA$1-Units!$Q102,12)=0),IF(AND(Units!$L102=1,BA$1=Units!$Q102),IF(Units!$J102&lt;&gt;"",Units!$J102,Mkt!BA103),Inputs!$B$15*Mkt!BA103+(1-Inputs!$B$15)*MIN(Mkt!BA103,AZ103*(1+Inputs!$B$18))),AZ103)))</f>
        <v>1716.40093525</v>
      </c>
      <c r="BB103" s="11" t="n">
        <f aca="false">IF(BB$1&lt;Units!$P102,0,IF(AND(Units!$K102=0,BB$1=Units!$O102),Units!$R102,IF(AND(BB$1&gt;=Units!$Q102,MOD(BB$1-Units!$Q102,12)=0),IF(AND(Units!$L102=1,BB$1=Units!$Q102),IF(Units!$J102&lt;&gt;"",Units!$J102,Mkt!BB103),Inputs!$B$15*Mkt!BB103+(1-Inputs!$B$15)*MIN(Mkt!BB103,BA103*(1+Inputs!$B$18))),BA103)))</f>
        <v>1716.40093525</v>
      </c>
      <c r="BC103" s="11" t="n">
        <f aca="false">IF(BC$1&lt;Units!$P102,0,IF(AND(Units!$K102=0,BC$1=Units!$O102),Units!$R102,IF(AND(BC$1&gt;=Units!$Q102,MOD(BC$1-Units!$Q102,12)=0),IF(AND(Units!$L102=1,BC$1=Units!$Q102),IF(Units!$J102&lt;&gt;"",Units!$J102,Mkt!BC103),Inputs!$B$15*Mkt!BC103+(1-Inputs!$B$15)*MIN(Mkt!BC103,BB103*(1+Inputs!$B$18))),BB103)))</f>
        <v>1716.40093525</v>
      </c>
      <c r="BD103" s="11" t="n">
        <f aca="false">IF(BD$1&lt;Units!$P102,0,IF(AND(Units!$K102=0,BD$1=Units!$O102),Units!$R102,IF(AND(BD$1&gt;=Units!$Q102,MOD(BD$1-Units!$Q102,12)=0),IF(AND(Units!$L102=1,BD$1=Units!$Q102),IF(Units!$J102&lt;&gt;"",Units!$J102,Mkt!BD103),Inputs!$B$15*Mkt!BD103+(1-Inputs!$B$15)*MIN(Mkt!BD103,BC103*(1+Inputs!$B$18))),BC103)))</f>
        <v>1716.40093525</v>
      </c>
      <c r="BE103" s="11" t="n">
        <f aca="false">IF(BE$1&lt;Units!$P102,0,IF(AND(Units!$K102=0,BE$1=Units!$O102),Units!$R102,IF(AND(BE$1&gt;=Units!$Q102,MOD(BE$1-Units!$Q102,12)=0),IF(AND(Units!$L102=1,BE$1=Units!$Q102),IF(Units!$J102&lt;&gt;"",Units!$J102,Mkt!BE103),Inputs!$B$15*Mkt!BE103+(1-Inputs!$B$15)*MIN(Mkt!BE103,BD103*(1+Inputs!$B$18))),BD103)))</f>
        <v>1716.40093525</v>
      </c>
      <c r="BF103" s="11" t="n">
        <f aca="false">IF(BF$1&lt;Units!$P102,0,IF(AND(Units!$K102=0,BF$1=Units!$O102),Units!$R102,IF(AND(BF$1&gt;=Units!$Q102,MOD(BF$1-Units!$Q102,12)=0),IF(AND(Units!$L102=1,BF$1=Units!$Q102),IF(Units!$J102&lt;&gt;"",Units!$J102,Mkt!BF103),Inputs!$B$15*Mkt!BF103+(1-Inputs!$B$15)*MIN(Mkt!BF103,BE103*(1+Inputs!$B$18))),BE103)))</f>
        <v>1716.40093525</v>
      </c>
      <c r="BG103" s="11" t="n">
        <f aca="false">IF(BG$1&lt;Units!$P102,0,IF(AND(Units!$K102=0,BG$1=Units!$O102),Units!$R102,IF(AND(BG$1&gt;=Units!$Q102,MOD(BG$1-Units!$Q102,12)=0),IF(AND(Units!$L102=1,BG$1=Units!$Q102),IF(Units!$J102&lt;&gt;"",Units!$J102,Mkt!BG103),Inputs!$B$15*Mkt!BG103+(1-Inputs!$B$15)*MIN(Mkt!BG103,BF103*(1+Inputs!$B$18))),BF103)))</f>
        <v>1716.40093525</v>
      </c>
      <c r="BH103" s="11" t="n">
        <f aca="false">IF(BH$1&lt;Units!$P102,0,IF(AND(Units!$K102=0,BH$1=Units!$O102),Units!$R102,IF(AND(BH$1&gt;=Units!$Q102,MOD(BH$1-Units!$Q102,12)=0),IF(AND(Units!$L102=1,BH$1=Units!$Q102),IF(Units!$J102&lt;&gt;"",Units!$J102,Mkt!BH103),Inputs!$B$15*Mkt!BH103+(1-Inputs!$B$15)*MIN(Mkt!BH103,BG103*(1+Inputs!$B$18))),BG103)))</f>
        <v>1716.40093525</v>
      </c>
      <c r="BI103" s="11" t="n">
        <f aca="false">IF(BI$1&lt;Units!$P102,0,IF(AND(Units!$K102=0,BI$1=Units!$O102),Units!$R102,IF(AND(BI$1&gt;=Units!$Q102,MOD(BI$1-Units!$Q102,12)=0),IF(AND(Units!$L102=1,BI$1=Units!$Q102),IF(Units!$J102&lt;&gt;"",Units!$J102,Mkt!BI103),Inputs!$B$15*Mkt!BI103+(1-Inputs!$B$15)*MIN(Mkt!BI103,BH103*(1+Inputs!$B$18))),BH103)))</f>
        <v>1716.40093525</v>
      </c>
      <c r="BJ103" s="11" t="n">
        <f aca="false">IF(BJ$1&lt;Units!$P102,0,IF(AND(Units!$K102=0,BJ$1=Units!$O102),Units!$R102,IF(AND(BJ$1&gt;=Units!$Q102,MOD(BJ$1-Units!$Q102,12)=0),IF(AND(Units!$L102=1,BJ$1=Units!$Q102),IF(Units!$J102&lt;&gt;"",Units!$J102,Mkt!BJ103),Inputs!$B$15*Mkt!BJ103+(1-Inputs!$B$15)*MIN(Mkt!BJ103,BI103*(1+Inputs!$B$18))),BI103)))</f>
        <v>1716.40093525</v>
      </c>
      <c r="BK103" s="11" t="n">
        <f aca="false">IF(BK$1&lt;Units!$P102,0,IF(AND(Units!$K102=0,BK$1=Units!$O102),Units!$R102,IF(AND(BK$1&gt;=Units!$Q102,MOD(BK$1-Units!$Q102,12)=0),IF(AND(Units!$L102=1,BK$1=Units!$Q102),IF(Units!$J102&lt;&gt;"",Units!$J102,Mkt!BK103),Inputs!$B$15*Mkt!BK103+(1-Inputs!$B$15)*MIN(Mkt!BK103,BJ103*(1+Inputs!$B$18))),BJ103)))</f>
        <v>1716.40093525</v>
      </c>
      <c r="BL103" s="11" t="n">
        <f aca="false">IF(BL$1&lt;Units!$P102,0,IF(AND(Units!$K102=0,BL$1=Units!$O102),Units!$R102,IF(AND(BL$1&gt;=Units!$Q102,MOD(BL$1-Units!$Q102,12)=0),IF(AND(Units!$L102=1,BL$1=Units!$Q102),IF(Units!$J102&lt;&gt;"",Units!$J102,Mkt!BL103),Inputs!$B$15*Mkt!BL103+(1-Inputs!$B$15)*MIN(Mkt!BL103,BK103*(1+Inputs!$B$18))),BK103)))</f>
        <v>1716.40093525</v>
      </c>
      <c r="BM103" s="11" t="n">
        <f aca="false">IF(BM$1&lt;Units!$P102,0,IF(AND(Units!$K102=0,BM$1=Units!$O102),Units!$R102,IF(AND(BM$1&gt;=Units!$Q102,MOD(BM$1-Units!$Q102,12)=0),IF(AND(Units!$L102=1,BM$1=Units!$Q102),IF(Units!$J102&lt;&gt;"",Units!$J102,Mkt!BM103),Inputs!$B$15*Mkt!BM103+(1-Inputs!$B$15)*MIN(Mkt!BM103,BL103*(1+Inputs!$B$18))),BL103)))</f>
        <v>1767.8929633075</v>
      </c>
      <c r="BN103" s="11" t="n">
        <f aca="false">IF(BN$1&lt;Units!$P102,0,IF(AND(Units!$K102=0,BN$1=Units!$O102),Units!$R102,IF(AND(BN$1&gt;=Units!$Q102,MOD(BN$1-Units!$Q102,12)=0),IF(AND(Units!$L102=1,BN$1=Units!$Q102),IF(Units!$J102&lt;&gt;"",Units!$J102,Mkt!BN103),Inputs!$B$15*Mkt!BN103+(1-Inputs!$B$15)*MIN(Mkt!BN103,BM103*(1+Inputs!$B$18))),BM103)))</f>
        <v>1767.8929633075</v>
      </c>
      <c r="BO103" s="11" t="n">
        <f aca="false">IF(BO$1&lt;Units!$P102,0,IF(AND(Units!$K102=0,BO$1=Units!$O102),Units!$R102,IF(AND(BO$1&gt;=Units!$Q102,MOD(BO$1-Units!$Q102,12)=0),IF(AND(Units!$L102=1,BO$1=Units!$Q102),IF(Units!$J102&lt;&gt;"",Units!$J102,Mkt!BO103),Inputs!$B$15*Mkt!BO103+(1-Inputs!$B$15)*MIN(Mkt!BO103,BN103*(1+Inputs!$B$18))),BN103)))</f>
        <v>1767.8929633075</v>
      </c>
      <c r="BP103" s="11" t="n">
        <f aca="false">IF(BP$1&lt;Units!$P102,0,IF(AND(Units!$K102=0,BP$1=Units!$O102),Units!$R102,IF(AND(BP$1&gt;=Units!$Q102,MOD(BP$1-Units!$Q102,12)=0),IF(AND(Units!$L102=1,BP$1=Units!$Q102),IF(Units!$J102&lt;&gt;"",Units!$J102,Mkt!BP103),Inputs!$B$15*Mkt!BP103+(1-Inputs!$B$15)*MIN(Mkt!BP103,BO103*(1+Inputs!$B$18))),BO103)))</f>
        <v>1767.8929633075</v>
      </c>
      <c r="BQ103" s="11" t="n">
        <f aca="false">IF(BQ$1&lt;Units!$P102,0,IF(AND(Units!$K102=0,BQ$1=Units!$O102),Units!$R102,IF(AND(BQ$1&gt;=Units!$Q102,MOD(BQ$1-Units!$Q102,12)=0),IF(AND(Units!$L102=1,BQ$1=Units!$Q102),IF(Units!$J102&lt;&gt;"",Units!$J102,Mkt!BQ103),Inputs!$B$15*Mkt!BQ103+(1-Inputs!$B$15)*MIN(Mkt!BQ103,BP103*(1+Inputs!$B$18))),BP103)))</f>
        <v>1767.8929633075</v>
      </c>
      <c r="BR103" s="11" t="n">
        <f aca="false">IF(BR$1&lt;Units!$P102,0,IF(AND(Units!$K102=0,BR$1=Units!$O102),Units!$R102,IF(AND(BR$1&gt;=Units!$Q102,MOD(BR$1-Units!$Q102,12)=0),IF(AND(Units!$L102=1,BR$1=Units!$Q102),IF(Units!$J102&lt;&gt;"",Units!$J102,Mkt!BR103),Inputs!$B$15*Mkt!BR103+(1-Inputs!$B$15)*MIN(Mkt!BR103,BQ103*(1+Inputs!$B$18))),BQ103)))</f>
        <v>1767.8929633075</v>
      </c>
      <c r="BS103" s="11" t="n">
        <f aca="false">IF(BS$1&lt;Units!$P102,0,IF(AND(Units!$K102=0,BS$1=Units!$O102),Units!$R102,IF(AND(BS$1&gt;=Units!$Q102,MOD(BS$1-Units!$Q102,12)=0),IF(AND(Units!$L102=1,BS$1=Units!$Q102),IF(Units!$J102&lt;&gt;"",Units!$J102,Mkt!BS103),Inputs!$B$15*Mkt!BS103+(1-Inputs!$B$15)*MIN(Mkt!BS103,BR103*(1+Inputs!$B$18))),BR103)))</f>
        <v>1767.8929633075</v>
      </c>
      <c r="BT103" s="11" t="n">
        <f aca="false">IF(BT$1&lt;Units!$P102,0,IF(AND(Units!$K102=0,BT$1=Units!$O102),Units!$R102,IF(AND(BT$1&gt;=Units!$Q102,MOD(BT$1-Units!$Q102,12)=0),IF(AND(Units!$L102=1,BT$1=Units!$Q102),IF(Units!$J102&lt;&gt;"",Units!$J102,Mkt!BT103),Inputs!$B$15*Mkt!BT103+(1-Inputs!$B$15)*MIN(Mkt!BT103,BS103*(1+Inputs!$B$18))),BS103)))</f>
        <v>1767.8929633075</v>
      </c>
      <c r="BU103" s="11" t="n">
        <f aca="false">IF(BU$1&lt;Units!$P102,0,IF(AND(Units!$K102=0,BU$1=Units!$O102),Units!$R102,IF(AND(BU$1&gt;=Units!$Q102,MOD(BU$1-Units!$Q102,12)=0),IF(AND(Units!$L102=1,BU$1=Units!$Q102),IF(Units!$J102&lt;&gt;"",Units!$J102,Mkt!BU103),Inputs!$B$15*Mkt!BU103+(1-Inputs!$B$15)*MIN(Mkt!BU103,BT103*(1+Inputs!$B$18))),BT103)))</f>
        <v>1767.8929633075</v>
      </c>
      <c r="BV103" s="11" t="n">
        <f aca="false">IF(BV$1&lt;Units!$P102,0,IF(AND(Units!$K102=0,BV$1=Units!$O102),Units!$R102,IF(AND(BV$1&gt;=Units!$Q102,MOD(BV$1-Units!$Q102,12)=0),IF(AND(Units!$L102=1,BV$1=Units!$Q102),IF(Units!$J102&lt;&gt;"",Units!$J102,Mkt!BV103),Inputs!$B$15*Mkt!BV103+(1-Inputs!$B$15)*MIN(Mkt!BV103,BU103*(1+Inputs!$B$18))),BU103)))</f>
        <v>1767.8929633075</v>
      </c>
      <c r="BW103" s="11" t="n">
        <f aca="false">IF(BW$1&lt;Units!$P102,0,IF(AND(Units!$K102=0,BW$1=Units!$O102),Units!$R102,IF(AND(BW$1&gt;=Units!$Q102,MOD(BW$1-Units!$Q102,12)=0),IF(AND(Units!$L102=1,BW$1=Units!$Q102),IF(Units!$J102&lt;&gt;"",Units!$J102,Mkt!BW103),Inputs!$B$15*Mkt!BW103+(1-Inputs!$B$15)*MIN(Mkt!BW103,BV103*(1+Inputs!$B$18))),BV103)))</f>
        <v>1767.8929633075</v>
      </c>
      <c r="BX103" s="11" t="n">
        <f aca="false">IF(BX$1&lt;Units!$P102,0,IF(AND(Units!$K102=0,BX$1=Units!$O102),Units!$R102,IF(AND(BX$1&gt;=Units!$Q102,MOD(BX$1-Units!$Q102,12)=0),IF(AND(Units!$L102=1,BX$1=Units!$Q102),IF(Units!$J102&lt;&gt;"",Units!$J102,Mkt!BX103),Inputs!$B$15*Mkt!BX103+(1-Inputs!$B$15)*MIN(Mkt!BX103,BW103*(1+Inputs!$B$18))),BW103)))</f>
        <v>1767.8929633075</v>
      </c>
      <c r="BY103" s="11" t="n">
        <f aca="false">IF(BY$1&lt;Units!$P102,0,IF(AND(Units!$K102=0,BY$1=Units!$O102),Units!$R102,IF(AND(BY$1&gt;=Units!$Q102,MOD(BY$1-Units!$Q102,12)=0),IF(AND(Units!$L102=1,BY$1=Units!$Q102),IF(Units!$J102&lt;&gt;"",Units!$J102,Mkt!BY103),Inputs!$B$15*Mkt!BY103+(1-Inputs!$B$15)*MIN(Mkt!BY103,BX103*(1+Inputs!$B$18))),BX103)))</f>
        <v>1820.92975220673</v>
      </c>
      <c r="BZ103" s="11" t="n">
        <f aca="false">IF(BZ$1&lt;Units!$P102,0,IF(AND(Units!$K102=0,BZ$1=Units!$O102),Units!$R102,IF(AND(BZ$1&gt;=Units!$Q102,MOD(BZ$1-Units!$Q102,12)=0),IF(AND(Units!$L102=1,BZ$1=Units!$Q102),IF(Units!$J102&lt;&gt;"",Units!$J102,Mkt!BZ103),Inputs!$B$15*Mkt!BZ103+(1-Inputs!$B$15)*MIN(Mkt!BZ103,BY103*(1+Inputs!$B$18))),BY103)))</f>
        <v>1820.92975220673</v>
      </c>
      <c r="CA103" s="11" t="n">
        <f aca="false">IF(CA$1&lt;Units!$P102,0,IF(AND(Units!$K102=0,CA$1=Units!$O102),Units!$R102,IF(AND(CA$1&gt;=Units!$Q102,MOD(CA$1-Units!$Q102,12)=0),IF(AND(Units!$L102=1,CA$1=Units!$Q102),IF(Units!$J102&lt;&gt;"",Units!$J102,Mkt!CA103),Inputs!$B$15*Mkt!CA103+(1-Inputs!$B$15)*MIN(Mkt!CA103,BZ103*(1+Inputs!$B$18))),BZ103)))</f>
        <v>1820.92975220673</v>
      </c>
      <c r="CB103" s="11" t="n">
        <f aca="false">IF(CB$1&lt;Units!$P102,0,IF(AND(Units!$K102=0,CB$1=Units!$O102),Units!$R102,IF(AND(CB$1&gt;=Units!$Q102,MOD(CB$1-Units!$Q102,12)=0),IF(AND(Units!$L102=1,CB$1=Units!$Q102),IF(Units!$J102&lt;&gt;"",Units!$J102,Mkt!CB103),Inputs!$B$15*Mkt!CB103+(1-Inputs!$B$15)*MIN(Mkt!CB103,CA103*(1+Inputs!$B$18))),CA103)))</f>
        <v>1820.92975220673</v>
      </c>
      <c r="CC103" s="11" t="n">
        <f aca="false">IF(CC$1&lt;Units!$P102,0,IF(AND(Units!$K102=0,CC$1=Units!$O102),Units!$R102,IF(AND(CC$1&gt;=Units!$Q102,MOD(CC$1-Units!$Q102,12)=0),IF(AND(Units!$L102=1,CC$1=Units!$Q102),IF(Units!$J102&lt;&gt;"",Units!$J102,Mkt!CC103),Inputs!$B$15*Mkt!CC103+(1-Inputs!$B$15)*MIN(Mkt!CC103,CB103*(1+Inputs!$B$18))),CB103)))</f>
        <v>1820.92975220673</v>
      </c>
      <c r="CD103" s="11" t="n">
        <f aca="false">IF(CD$1&lt;Units!$P102,0,IF(AND(Units!$K102=0,CD$1=Units!$O102),Units!$R102,IF(AND(CD$1&gt;=Units!$Q102,MOD(CD$1-Units!$Q102,12)=0),IF(AND(Units!$L102=1,CD$1=Units!$Q102),IF(Units!$J102&lt;&gt;"",Units!$J102,Mkt!CD103),Inputs!$B$15*Mkt!CD103+(1-Inputs!$B$15)*MIN(Mkt!CD103,CC103*(1+Inputs!$B$18))),CC103)))</f>
        <v>1820.92975220673</v>
      </c>
      <c r="CE103" s="11" t="n">
        <f aca="false">IF(CE$1&lt;Units!$P102,0,IF(AND(Units!$K102=0,CE$1=Units!$O102),Units!$R102,IF(AND(CE$1&gt;=Units!$Q102,MOD(CE$1-Units!$Q102,12)=0),IF(AND(Units!$L102=1,CE$1=Units!$Q102),IF(Units!$J102&lt;&gt;"",Units!$J102,Mkt!CE103),Inputs!$B$15*Mkt!CE103+(1-Inputs!$B$15)*MIN(Mkt!CE103,CD103*(1+Inputs!$B$18))),CD103)))</f>
        <v>1820.92975220673</v>
      </c>
      <c r="CF103" s="11" t="n">
        <f aca="false">IF(CF$1&lt;Units!$P102,0,IF(AND(Units!$K102=0,CF$1=Units!$O102),Units!$R102,IF(AND(CF$1&gt;=Units!$Q102,MOD(CF$1-Units!$Q102,12)=0),IF(AND(Units!$L102=1,CF$1=Units!$Q102),IF(Units!$J102&lt;&gt;"",Units!$J102,Mkt!CF103),Inputs!$B$15*Mkt!CF103+(1-Inputs!$B$15)*MIN(Mkt!CF103,CE103*(1+Inputs!$B$18))),CE103)))</f>
        <v>1820.92975220673</v>
      </c>
      <c r="CG103" s="11" t="n">
        <f aca="false">IF(CG$1&lt;Units!$P102,0,IF(AND(Units!$K102=0,CG$1=Units!$O102),Units!$R102,IF(AND(CG$1&gt;=Units!$Q102,MOD(CG$1-Units!$Q102,12)=0),IF(AND(Units!$L102=1,CG$1=Units!$Q102),IF(Units!$J102&lt;&gt;"",Units!$J102,Mkt!CG103),Inputs!$B$15*Mkt!CG103+(1-Inputs!$B$15)*MIN(Mkt!CG103,CF103*(1+Inputs!$B$18))),CF103)))</f>
        <v>1820.92975220673</v>
      </c>
      <c r="CH103" s="11" t="n">
        <f aca="false">IF(CH$1&lt;Units!$P102,0,IF(AND(Units!$K102=0,CH$1=Units!$O102),Units!$R102,IF(AND(CH$1&gt;=Units!$Q102,MOD(CH$1-Units!$Q102,12)=0),IF(AND(Units!$L102=1,CH$1=Units!$Q102),IF(Units!$J102&lt;&gt;"",Units!$J102,Mkt!CH103),Inputs!$B$15*Mkt!CH103+(1-Inputs!$B$15)*MIN(Mkt!CH103,CG103*(1+Inputs!$B$18))),CG103)))</f>
        <v>1820.92975220673</v>
      </c>
      <c r="CI103" s="11" t="n">
        <f aca="false">IF(CI$1&lt;Units!$P102,0,IF(AND(Units!$K102=0,CI$1=Units!$O102),Units!$R102,IF(AND(CI$1&gt;=Units!$Q102,MOD(CI$1-Units!$Q102,12)=0),IF(AND(Units!$L102=1,CI$1=Units!$Q102),IF(Units!$J102&lt;&gt;"",Units!$J102,Mkt!CI103),Inputs!$B$15*Mkt!CI103+(1-Inputs!$B$15)*MIN(Mkt!CI103,CH103*(1+Inputs!$B$18))),CH103)))</f>
        <v>1820.92975220673</v>
      </c>
      <c r="CJ103" s="11" t="n">
        <f aca="false">IF(CJ$1&lt;Units!$P102,0,IF(AND(Units!$K102=0,CJ$1=Units!$O102),Units!$R102,IF(AND(CJ$1&gt;=Units!$Q102,MOD(CJ$1-Units!$Q102,12)=0),IF(AND(Units!$L102=1,CJ$1=Units!$Q102),IF(Units!$J102&lt;&gt;"",Units!$J102,Mkt!CJ103),Inputs!$B$15*Mkt!CJ103+(1-Inputs!$B$15)*MIN(Mkt!CJ103,CI103*(1+Inputs!$B$18))),CI103)))</f>
        <v>1820.92975220673</v>
      </c>
      <c r="CK103" s="11" t="n">
        <f aca="false">IF(CK$1&lt;Units!$P102,0,IF(AND(Units!$K102=0,CK$1=Units!$O102),Units!$R102,IF(AND(CK$1&gt;=Units!$Q102,MOD(CK$1-Units!$Q102,12)=0),IF(AND(Units!$L102=1,CK$1=Units!$Q102),IF(Units!$J102&lt;&gt;"",Units!$J102,Mkt!CK103),Inputs!$B$15*Mkt!CK103+(1-Inputs!$B$15)*MIN(Mkt!CK103,CJ103*(1+Inputs!$B$18))),CJ103)))</f>
        <v>1875.55764477293</v>
      </c>
      <c r="CL103" s="11" t="n">
        <f aca="false">IF(CL$1&lt;Units!$P102,0,IF(AND(Units!$K102=0,CL$1=Units!$O102),Units!$R102,IF(AND(CL$1&gt;=Units!$Q102,MOD(CL$1-Units!$Q102,12)=0),IF(AND(Units!$L102=1,CL$1=Units!$Q102),IF(Units!$J102&lt;&gt;"",Units!$J102,Mkt!CL103),Inputs!$B$15*Mkt!CL103+(1-Inputs!$B$15)*MIN(Mkt!CL103,CK103*(1+Inputs!$B$18))),CK103)))</f>
        <v>1875.55764477293</v>
      </c>
      <c r="CM103" s="11" t="n">
        <f aca="false">IF(CM$1&lt;Units!$P102,0,IF(AND(Units!$K102=0,CM$1=Units!$O102),Units!$R102,IF(AND(CM$1&gt;=Units!$Q102,MOD(CM$1-Units!$Q102,12)=0),IF(AND(Units!$L102=1,CM$1=Units!$Q102),IF(Units!$J102&lt;&gt;"",Units!$J102,Mkt!CM103),Inputs!$B$15*Mkt!CM103+(1-Inputs!$B$15)*MIN(Mkt!CM103,CL103*(1+Inputs!$B$18))),CL103)))</f>
        <v>1875.55764477293</v>
      </c>
      <c r="CN103" s="11" t="n">
        <f aca="false">IF(CN$1&lt;Units!$P102,0,IF(AND(Units!$K102=0,CN$1=Units!$O102),Units!$R102,IF(AND(CN$1&gt;=Units!$Q102,MOD(CN$1-Units!$Q102,12)=0),IF(AND(Units!$L102=1,CN$1=Units!$Q102),IF(Units!$J102&lt;&gt;"",Units!$J102,Mkt!CN103),Inputs!$B$15*Mkt!CN103+(1-Inputs!$B$15)*MIN(Mkt!CN103,CM103*(1+Inputs!$B$18))),CM103)))</f>
        <v>1875.55764477293</v>
      </c>
      <c r="CO103" s="11" t="n">
        <f aca="false">IF(CO$1&lt;Units!$P102,0,IF(AND(Units!$K102=0,CO$1=Units!$O102),Units!$R102,IF(AND(CO$1&gt;=Units!$Q102,MOD(CO$1-Units!$Q102,12)=0),IF(AND(Units!$L102=1,CO$1=Units!$Q102),IF(Units!$J102&lt;&gt;"",Units!$J102,Mkt!CO103),Inputs!$B$15*Mkt!CO103+(1-Inputs!$B$15)*MIN(Mkt!CO103,CN103*(1+Inputs!$B$18))),CN103)))</f>
        <v>1875.55764477293</v>
      </c>
      <c r="CP103" s="11" t="n">
        <f aca="false">IF(CP$1&lt;Units!$P102,0,IF(AND(Units!$K102=0,CP$1=Units!$O102),Units!$R102,IF(AND(CP$1&gt;=Units!$Q102,MOD(CP$1-Units!$Q102,12)=0),IF(AND(Units!$L102=1,CP$1=Units!$Q102),IF(Units!$J102&lt;&gt;"",Units!$J102,Mkt!CP103),Inputs!$B$15*Mkt!CP103+(1-Inputs!$B$15)*MIN(Mkt!CP103,CO103*(1+Inputs!$B$18))),CO103)))</f>
        <v>1875.55764477293</v>
      </c>
      <c r="CQ103" s="11" t="n">
        <f aca="false">IF(CQ$1&lt;Units!$P102,0,IF(AND(Units!$K102=0,CQ$1=Units!$O102),Units!$R102,IF(AND(CQ$1&gt;=Units!$Q102,MOD(CQ$1-Units!$Q102,12)=0),IF(AND(Units!$L102=1,CQ$1=Units!$Q102),IF(Units!$J102&lt;&gt;"",Units!$J102,Mkt!CQ103),Inputs!$B$15*Mkt!CQ103+(1-Inputs!$B$15)*MIN(Mkt!CQ103,CP103*(1+Inputs!$B$18))),CP103)))</f>
        <v>1875.55764477293</v>
      </c>
      <c r="CR103" s="11" t="n">
        <f aca="false">IF(CR$1&lt;Units!$P102,0,IF(AND(Units!$K102=0,CR$1=Units!$O102),Units!$R102,IF(AND(CR$1&gt;=Units!$Q102,MOD(CR$1-Units!$Q102,12)=0),IF(AND(Units!$L102=1,CR$1=Units!$Q102),IF(Units!$J102&lt;&gt;"",Units!$J102,Mkt!CR103),Inputs!$B$15*Mkt!CR103+(1-Inputs!$B$15)*MIN(Mkt!CR103,CQ103*(1+Inputs!$B$18))),CQ103)))</f>
        <v>1875.55764477293</v>
      </c>
      <c r="CS103" s="11" t="n">
        <f aca="false">IF(CS$1&lt;Units!$P102,0,IF(AND(Units!$K102=0,CS$1=Units!$O102),Units!$R102,IF(AND(CS$1&gt;=Units!$Q102,MOD(CS$1-Units!$Q102,12)=0),IF(AND(Units!$L102=1,CS$1=Units!$Q102),IF(Units!$J102&lt;&gt;"",Units!$J102,Mkt!CS103),Inputs!$B$15*Mkt!CS103+(1-Inputs!$B$15)*MIN(Mkt!CS103,CR103*(1+Inputs!$B$18))),CR103)))</f>
        <v>1875.55764477293</v>
      </c>
      <c r="CT103" s="11" t="n">
        <f aca="false">IF(CT$1&lt;Units!$P102,0,IF(AND(Units!$K102=0,CT$1=Units!$O102),Units!$R102,IF(AND(CT$1&gt;=Units!$Q102,MOD(CT$1-Units!$Q102,12)=0),IF(AND(Units!$L102=1,CT$1=Units!$Q102),IF(Units!$J102&lt;&gt;"",Units!$J102,Mkt!CT103),Inputs!$B$15*Mkt!CT103+(1-Inputs!$B$15)*MIN(Mkt!CT103,CS103*(1+Inputs!$B$18))),CS103)))</f>
        <v>1875.55764477293</v>
      </c>
      <c r="CU103" s="11" t="n">
        <f aca="false">IF(CU$1&lt;Units!$P102,0,IF(AND(Units!$K102=0,CU$1=Units!$O102),Units!$R102,IF(AND(CU$1&gt;=Units!$Q102,MOD(CU$1-Units!$Q102,12)=0),IF(AND(Units!$L102=1,CU$1=Units!$Q102),IF(Units!$J102&lt;&gt;"",Units!$J102,Mkt!CU103),Inputs!$B$15*Mkt!CU103+(1-Inputs!$B$15)*MIN(Mkt!CU103,CT103*(1+Inputs!$B$18))),CT103)))</f>
        <v>1875.55764477293</v>
      </c>
      <c r="CV103" s="11" t="n">
        <f aca="false">IF(CV$1&lt;Units!$P102,0,IF(AND(Units!$K102=0,CV$1=Units!$O102),Units!$R102,IF(AND(CV$1&gt;=Units!$Q102,MOD(CV$1-Units!$Q102,12)=0),IF(AND(Units!$L102=1,CV$1=Units!$Q102),IF(Units!$J102&lt;&gt;"",Units!$J102,Mkt!CV103),Inputs!$B$15*Mkt!CV103+(1-Inputs!$B$15)*MIN(Mkt!CV103,CU103*(1+Inputs!$B$18))),CU103)))</f>
        <v>1875.55764477293</v>
      </c>
      <c r="CW103" s="11" t="n">
        <f aca="false">IF(CW$1&lt;Units!$P102,0,IF(AND(Units!$K102=0,CW$1=Units!$O102),Units!$R102,IF(AND(CW$1&gt;=Units!$Q102,MOD(CW$1-Units!$Q102,12)=0),IF(AND(Units!$L102=1,CW$1=Units!$Q102),IF(Units!$J102&lt;&gt;"",Units!$J102,Mkt!CW103),Inputs!$B$15*Mkt!CW103+(1-Inputs!$B$15)*MIN(Mkt!CW103,CV103*(1+Inputs!$B$18))),CV103)))</f>
        <v>1931.82437411612</v>
      </c>
      <c r="CX103" s="11" t="n">
        <f aca="false">IF(CX$1&lt;Units!$P102,0,IF(AND(Units!$K102=0,CX$1=Units!$O102),Units!$R102,IF(AND(CX$1&gt;=Units!$Q102,MOD(CX$1-Units!$Q102,12)=0),IF(AND(Units!$L102=1,CX$1=Units!$Q102),IF(Units!$J102&lt;&gt;"",Units!$J102,Mkt!CX103),Inputs!$B$15*Mkt!CX103+(1-Inputs!$B$15)*MIN(Mkt!CX103,CW103*(1+Inputs!$B$18))),CW103)))</f>
        <v>1931.82437411612</v>
      </c>
      <c r="CY103" s="11" t="n">
        <f aca="false">IF(CY$1&lt;Units!$P102,0,IF(AND(Units!$K102=0,CY$1=Units!$O102),Units!$R102,IF(AND(CY$1&gt;=Units!$Q102,MOD(CY$1-Units!$Q102,12)=0),IF(AND(Units!$L102=1,CY$1=Units!$Q102),IF(Units!$J102&lt;&gt;"",Units!$J102,Mkt!CY103),Inputs!$B$15*Mkt!CY103+(1-Inputs!$B$15)*MIN(Mkt!CY103,CX103*(1+Inputs!$B$18))),CX103)))</f>
        <v>1931.82437411612</v>
      </c>
      <c r="CZ103" s="11" t="n">
        <f aca="false">IF(CZ$1&lt;Units!$P102,0,IF(AND(Units!$K102=0,CZ$1=Units!$O102),Units!$R102,IF(AND(CZ$1&gt;=Units!$Q102,MOD(CZ$1-Units!$Q102,12)=0),IF(AND(Units!$L102=1,CZ$1=Units!$Q102),IF(Units!$J102&lt;&gt;"",Units!$J102,Mkt!CZ103),Inputs!$B$15*Mkt!CZ103+(1-Inputs!$B$15)*MIN(Mkt!CZ103,CY103*(1+Inputs!$B$18))),CY103)))</f>
        <v>1931.82437411612</v>
      </c>
      <c r="DA103" s="11" t="n">
        <f aca="false">IF(DA$1&lt;Units!$P102,0,IF(AND(Units!$K102=0,DA$1=Units!$O102),Units!$R102,IF(AND(DA$1&gt;=Units!$Q102,MOD(DA$1-Units!$Q102,12)=0),IF(AND(Units!$L102=1,DA$1=Units!$Q102),IF(Units!$J102&lt;&gt;"",Units!$J102,Mkt!DA103),Inputs!$B$15*Mkt!DA103+(1-Inputs!$B$15)*MIN(Mkt!DA103,CZ103*(1+Inputs!$B$18))),CZ103)))</f>
        <v>1931.82437411612</v>
      </c>
      <c r="DB103" s="11" t="n">
        <f aca="false">IF(DB$1&lt;Units!$P102,0,IF(AND(Units!$K102=0,DB$1=Units!$O102),Units!$R102,IF(AND(DB$1&gt;=Units!$Q102,MOD(DB$1-Units!$Q102,12)=0),IF(AND(Units!$L102=1,DB$1=Units!$Q102),IF(Units!$J102&lt;&gt;"",Units!$J102,Mkt!DB103),Inputs!$B$15*Mkt!DB103+(1-Inputs!$B$15)*MIN(Mkt!DB103,DA103*(1+Inputs!$B$18))),DA103)))</f>
        <v>1931.82437411612</v>
      </c>
      <c r="DC103" s="11" t="n">
        <f aca="false">IF(DC$1&lt;Units!$P102,0,IF(AND(Units!$K102=0,DC$1=Units!$O102),Units!$R102,IF(AND(DC$1&gt;=Units!$Q102,MOD(DC$1-Units!$Q102,12)=0),IF(AND(Units!$L102=1,DC$1=Units!$Q102),IF(Units!$J102&lt;&gt;"",Units!$J102,Mkt!DC103),Inputs!$B$15*Mkt!DC103+(1-Inputs!$B$15)*MIN(Mkt!DC103,DB103*(1+Inputs!$B$18))),DB103)))</f>
        <v>1931.82437411612</v>
      </c>
      <c r="DD103" s="11" t="n">
        <f aca="false">IF(DD$1&lt;Units!$P102,0,IF(AND(Units!$K102=0,DD$1=Units!$O102),Units!$R102,IF(AND(DD$1&gt;=Units!$Q102,MOD(DD$1-Units!$Q102,12)=0),IF(AND(Units!$L102=1,DD$1=Units!$Q102),IF(Units!$J102&lt;&gt;"",Units!$J102,Mkt!DD103),Inputs!$B$15*Mkt!DD103+(1-Inputs!$B$15)*MIN(Mkt!DD103,DC103*(1+Inputs!$B$18))),DC103)))</f>
        <v>1931.82437411612</v>
      </c>
      <c r="DE103" s="11" t="n">
        <f aca="false">IF(DE$1&lt;Units!$P102,0,IF(AND(Units!$K102=0,DE$1=Units!$O102),Units!$R102,IF(AND(DE$1&gt;=Units!$Q102,MOD(DE$1-Units!$Q102,12)=0),IF(AND(Units!$L102=1,DE$1=Units!$Q102),IF(Units!$J102&lt;&gt;"",Units!$J102,Mkt!DE103),Inputs!$B$15*Mkt!DE103+(1-Inputs!$B$15)*MIN(Mkt!DE103,DD103*(1+Inputs!$B$18))),DD103)))</f>
        <v>1931.82437411612</v>
      </c>
      <c r="DF103" s="11" t="n">
        <f aca="false">IF(DF$1&lt;Units!$P102,0,IF(AND(Units!$K102=0,DF$1=Units!$O102),Units!$R102,IF(AND(DF$1&gt;=Units!$Q102,MOD(DF$1-Units!$Q102,12)=0),IF(AND(Units!$L102=1,DF$1=Units!$Q102),IF(Units!$J102&lt;&gt;"",Units!$J102,Mkt!DF103),Inputs!$B$15*Mkt!DF103+(1-Inputs!$B$15)*MIN(Mkt!DF103,DE103*(1+Inputs!$B$18))),DE103)))</f>
        <v>1931.82437411612</v>
      </c>
      <c r="DG103" s="11" t="n">
        <f aca="false">IF(DG$1&lt;Units!$P102,0,IF(AND(Units!$K102=0,DG$1=Units!$O102),Units!$R102,IF(AND(DG$1&gt;=Units!$Q102,MOD(DG$1-Units!$Q102,12)=0),IF(AND(Units!$L102=1,DG$1=Units!$Q102),IF(Units!$J102&lt;&gt;"",Units!$J102,Mkt!DG103),Inputs!$B$15*Mkt!DG103+(1-Inputs!$B$15)*MIN(Mkt!DG103,DF103*(1+Inputs!$B$18))),DF103)))</f>
        <v>1931.82437411612</v>
      </c>
      <c r="DH103" s="11" t="n">
        <f aca="false">IF(DH$1&lt;Units!$P102,0,IF(AND(Units!$K102=0,DH$1=Units!$O102),Units!$R102,IF(AND(DH$1&gt;=Units!$Q102,MOD(DH$1-Units!$Q102,12)=0),IF(AND(Units!$L102=1,DH$1=Units!$Q102),IF(Units!$J102&lt;&gt;"",Units!$J102,Mkt!DH103),Inputs!$B$15*Mkt!DH103+(1-Inputs!$B$15)*MIN(Mkt!DH103,DG103*(1+Inputs!$B$18))),DG103)))</f>
        <v>1931.82437411612</v>
      </c>
      <c r="DI103" s="11" t="n">
        <f aca="false">IF(DI$1&lt;Units!$P102,0,IF(AND(Units!$K102=0,DI$1=Units!$O102),Units!$R102,IF(AND(DI$1&gt;=Units!$Q102,MOD(DI$1-Units!$Q102,12)=0),IF(AND(Units!$L102=1,DI$1=Units!$Q102),IF(Units!$J102&lt;&gt;"",Units!$J102,Mkt!DI103),Inputs!$B$15*Mkt!DI103+(1-Inputs!$B$15)*MIN(Mkt!DI103,DH103*(1+Inputs!$B$18))),DH103)))</f>
        <v>1989.7791053396</v>
      </c>
      <c r="DJ103" s="11" t="n">
        <f aca="false">IF(DJ$1&lt;Units!$P102,0,IF(AND(Units!$K102=0,DJ$1=Units!$O102),Units!$R102,IF(AND(DJ$1&gt;=Units!$Q102,MOD(DJ$1-Units!$Q102,12)=0),IF(AND(Units!$L102=1,DJ$1=Units!$Q102),IF(Units!$J102&lt;&gt;"",Units!$J102,Mkt!DJ103),Inputs!$B$15*Mkt!DJ103+(1-Inputs!$B$15)*MIN(Mkt!DJ103,DI103*(1+Inputs!$B$18))),DI103)))</f>
        <v>1989.7791053396</v>
      </c>
      <c r="DK103" s="11" t="n">
        <f aca="false">IF(DK$1&lt;Units!$P102,0,IF(AND(Units!$K102=0,DK$1=Units!$O102),Units!$R102,IF(AND(DK$1&gt;=Units!$Q102,MOD(DK$1-Units!$Q102,12)=0),IF(AND(Units!$L102=1,DK$1=Units!$Q102),IF(Units!$J102&lt;&gt;"",Units!$J102,Mkt!DK103),Inputs!$B$15*Mkt!DK103+(1-Inputs!$B$15)*MIN(Mkt!DK103,DJ103*(1+Inputs!$B$18))),DJ103)))</f>
        <v>1989.7791053396</v>
      </c>
      <c r="DL103" s="11" t="n">
        <f aca="false">IF(DL$1&lt;Units!$P102,0,IF(AND(Units!$K102=0,DL$1=Units!$O102),Units!$R102,IF(AND(DL$1&gt;=Units!$Q102,MOD(DL$1-Units!$Q102,12)=0),IF(AND(Units!$L102=1,DL$1=Units!$Q102),IF(Units!$J102&lt;&gt;"",Units!$J102,Mkt!DL103),Inputs!$B$15*Mkt!DL103+(1-Inputs!$B$15)*MIN(Mkt!DL103,DK103*(1+Inputs!$B$18))),DK103)))</f>
        <v>1989.7791053396</v>
      </c>
      <c r="DM103" s="11" t="n">
        <f aca="false">IF(DM$1&lt;Units!$P102,0,IF(AND(Units!$K102=0,DM$1=Units!$O102),Units!$R102,IF(AND(DM$1&gt;=Units!$Q102,MOD(DM$1-Units!$Q102,12)=0),IF(AND(Units!$L102=1,DM$1=Units!$Q102),IF(Units!$J102&lt;&gt;"",Units!$J102,Mkt!DM103),Inputs!$B$15*Mkt!DM103+(1-Inputs!$B$15)*MIN(Mkt!DM103,DL103*(1+Inputs!$B$18))),DL103)))</f>
        <v>1989.7791053396</v>
      </c>
      <c r="DN103" s="11" t="n">
        <f aca="false">IF(DN$1&lt;Units!$P102,0,IF(AND(Units!$K102=0,DN$1=Units!$O102),Units!$R102,IF(AND(DN$1&gt;=Units!$Q102,MOD(DN$1-Units!$Q102,12)=0),IF(AND(Units!$L102=1,DN$1=Units!$Q102),IF(Units!$J102&lt;&gt;"",Units!$J102,Mkt!DN103),Inputs!$B$15*Mkt!DN103+(1-Inputs!$B$15)*MIN(Mkt!DN103,DM103*(1+Inputs!$B$18))),DM103)))</f>
        <v>1989.7791053396</v>
      </c>
      <c r="DO103" s="11" t="n">
        <f aca="false">IF(DO$1&lt;Units!$P102,0,IF(AND(Units!$K102=0,DO$1=Units!$O102),Units!$R102,IF(AND(DO$1&gt;=Units!$Q102,MOD(DO$1-Units!$Q102,12)=0),IF(AND(Units!$L102=1,DO$1=Units!$Q102),IF(Units!$J102&lt;&gt;"",Units!$J102,Mkt!DO103),Inputs!$B$15*Mkt!DO103+(1-Inputs!$B$15)*MIN(Mkt!DO103,DN103*(1+Inputs!$B$18))),DN103)))</f>
        <v>1989.7791053396</v>
      </c>
      <c r="DP103" s="11" t="n">
        <f aca="false">IF(DP$1&lt;Units!$P102,0,IF(AND(Units!$K102=0,DP$1=Units!$O102),Units!$R102,IF(AND(DP$1&gt;=Units!$Q102,MOD(DP$1-Units!$Q102,12)=0),IF(AND(Units!$L102=1,DP$1=Units!$Q102),IF(Units!$J102&lt;&gt;"",Units!$J102,Mkt!DP103),Inputs!$B$15*Mkt!DP103+(1-Inputs!$B$15)*MIN(Mkt!DP103,DO103*(1+Inputs!$B$18))),DO103)))</f>
        <v>1989.7791053396</v>
      </c>
      <c r="DQ103" s="11" t="n">
        <f aca="false">IF(DQ$1&lt;Units!$P102,0,IF(AND(Units!$K102=0,DQ$1=Units!$O102),Units!$R102,IF(AND(DQ$1&gt;=Units!$Q102,MOD(DQ$1-Units!$Q102,12)=0),IF(AND(Units!$L102=1,DQ$1=Units!$Q102),IF(Units!$J102&lt;&gt;"",Units!$J102,Mkt!DQ103),Inputs!$B$15*Mkt!DQ103+(1-Inputs!$B$15)*MIN(Mkt!DQ103,DP103*(1+Inputs!$B$18))),DP103)))</f>
        <v>1989.7791053396</v>
      </c>
      <c r="DR103" s="11" t="n">
        <f aca="false">IF(DR$1&lt;Units!$P102,0,IF(AND(Units!$K102=0,DR$1=Units!$O102),Units!$R102,IF(AND(DR$1&gt;=Units!$Q102,MOD(DR$1-Units!$Q102,12)=0),IF(AND(Units!$L102=1,DR$1=Units!$Q102),IF(Units!$J102&lt;&gt;"",Units!$J102,Mkt!DR103),Inputs!$B$15*Mkt!DR103+(1-Inputs!$B$15)*MIN(Mkt!DR103,DQ103*(1+Inputs!$B$18))),DQ103)))</f>
        <v>1989.7791053396</v>
      </c>
      <c r="DS103" s="11" t="n">
        <f aca="false">IF(DS$1&lt;Units!$P102,0,IF(AND(Units!$K102=0,DS$1=Units!$O102),Units!$R102,IF(AND(DS$1&gt;=Units!$Q102,MOD(DS$1-Units!$Q102,12)=0),IF(AND(Units!$L102=1,DS$1=Units!$Q102),IF(Units!$J102&lt;&gt;"",Units!$J102,Mkt!DS103),Inputs!$B$15*Mkt!DS103+(1-Inputs!$B$15)*MIN(Mkt!DS103,DR103*(1+Inputs!$B$18))),DR103)))</f>
        <v>1989.7791053396</v>
      </c>
      <c r="DT103" s="11" t="n">
        <f aca="false">IF(DT$1&lt;Units!$P102,0,IF(AND(Units!$K102=0,DT$1=Units!$O102),Units!$R102,IF(AND(DT$1&gt;=Units!$Q102,MOD(DT$1-Units!$Q102,12)=0),IF(AND(Units!$L102=1,DT$1=Units!$Q102),IF(Units!$J102&lt;&gt;"",Units!$J102,Mkt!DT103),Inputs!$B$15*Mkt!DT103+(1-Inputs!$B$15)*MIN(Mkt!DT103,DS103*(1+Inputs!$B$18))),DS103)))</f>
        <v>1989.7791053396</v>
      </c>
      <c r="DU103" s="11" t="n">
        <f aca="false">IF(DU$1&lt;Units!$P102,0,IF(AND(Units!$K102=0,DU$1=Units!$O102),Units!$R102,IF(AND(DU$1&gt;=Units!$Q102,MOD(DU$1-Units!$Q102,12)=0),IF(AND(Units!$L102=1,DU$1=Units!$Q102),IF(Units!$J102&lt;&gt;"",Units!$J102,Mkt!DU103),Inputs!$B$15*Mkt!DU103+(1-Inputs!$B$15)*MIN(Mkt!DU103,DT103*(1+Inputs!$B$18))),DT103)))</f>
        <v>2049.47247849979</v>
      </c>
      <c r="DV103" s="11" t="n">
        <f aca="false">IF(DV$1&lt;Units!$P102,0,IF(AND(Units!$K102=0,DV$1=Units!$O102),Units!$R102,IF(AND(DV$1&gt;=Units!$Q102,MOD(DV$1-Units!$Q102,12)=0),IF(AND(Units!$L102=1,DV$1=Units!$Q102),IF(Units!$J102&lt;&gt;"",Units!$J102,Mkt!DV103),Inputs!$B$15*Mkt!DV103+(1-Inputs!$B$15)*MIN(Mkt!DV103,DU103*(1+Inputs!$B$18))),DU103)))</f>
        <v>2049.47247849979</v>
      </c>
      <c r="DW103" s="11" t="n">
        <f aca="false">IF(DW$1&lt;Units!$P102,0,IF(AND(Units!$K102=0,DW$1=Units!$O102),Units!$R102,IF(AND(DW$1&gt;=Units!$Q102,MOD(DW$1-Units!$Q102,12)=0),IF(AND(Units!$L102=1,DW$1=Units!$Q102),IF(Units!$J102&lt;&gt;"",Units!$J102,Mkt!DW103),Inputs!$B$15*Mkt!DW103+(1-Inputs!$B$15)*MIN(Mkt!DW103,DV103*(1+Inputs!$B$18))),DV103)))</f>
        <v>2049.47247849979</v>
      </c>
      <c r="DX103" s="11" t="n">
        <f aca="false">IF(DX$1&lt;Units!$P102,0,IF(AND(Units!$K102=0,DX$1=Units!$O102),Units!$R102,IF(AND(DX$1&gt;=Units!$Q102,MOD(DX$1-Units!$Q102,12)=0),IF(AND(Units!$L102=1,DX$1=Units!$Q102),IF(Units!$J102&lt;&gt;"",Units!$J102,Mkt!DX103),Inputs!$B$15*Mkt!DX103+(1-Inputs!$B$15)*MIN(Mkt!DX103,DW103*(1+Inputs!$B$18))),DW103)))</f>
        <v>2049.47247849979</v>
      </c>
      <c r="DY103" s="11" t="n">
        <f aca="false">IF(DY$1&lt;Units!$P102,0,IF(AND(Units!$K102=0,DY$1=Units!$O102),Units!$R102,IF(AND(DY$1&gt;=Units!$Q102,MOD(DY$1-Units!$Q102,12)=0),IF(AND(Units!$L102=1,DY$1=Units!$Q102),IF(Units!$J102&lt;&gt;"",Units!$J102,Mkt!DY103),Inputs!$B$15*Mkt!DY103+(1-Inputs!$B$15)*MIN(Mkt!DY103,DX103*(1+Inputs!$B$18))),DX103)))</f>
        <v>2049.47247849979</v>
      </c>
      <c r="DZ103" s="11" t="n">
        <f aca="false">IF(DZ$1&lt;Units!$P102,0,IF(AND(Units!$K102=0,DZ$1=Units!$O102),Units!$R102,IF(AND(DZ$1&gt;=Units!$Q102,MOD(DZ$1-Units!$Q102,12)=0),IF(AND(Units!$L102=1,DZ$1=Units!$Q102),IF(Units!$J102&lt;&gt;"",Units!$J102,Mkt!DZ103),Inputs!$B$15*Mkt!DZ103+(1-Inputs!$B$15)*MIN(Mkt!DZ103,DY103*(1+Inputs!$B$18))),DY103)))</f>
        <v>2049.47247849979</v>
      </c>
      <c r="EA103" s="11" t="n">
        <f aca="false">IF(EA$1&lt;Units!$P102,0,IF(AND(Units!$K102=0,EA$1=Units!$O102),Units!$R102,IF(AND(EA$1&gt;=Units!$Q102,MOD(EA$1-Units!$Q102,12)=0),IF(AND(Units!$L102=1,EA$1=Units!$Q102),IF(Units!$J102&lt;&gt;"",Units!$J102,Mkt!EA103),Inputs!$B$15*Mkt!EA103+(1-Inputs!$B$15)*MIN(Mkt!EA103,DZ103*(1+Inputs!$B$18))),DZ103)))</f>
        <v>2049.47247849979</v>
      </c>
      <c r="EB103" s="11" t="n">
        <f aca="false">IF(EB$1&lt;Units!$P102,0,IF(AND(Units!$K102=0,EB$1=Units!$O102),Units!$R102,IF(AND(EB$1&gt;=Units!$Q102,MOD(EB$1-Units!$Q102,12)=0),IF(AND(Units!$L102=1,EB$1=Units!$Q102),IF(Units!$J102&lt;&gt;"",Units!$J102,Mkt!EB103),Inputs!$B$15*Mkt!EB103+(1-Inputs!$B$15)*MIN(Mkt!EB103,EA103*(1+Inputs!$B$18))),EA103)))</f>
        <v>2049.47247849979</v>
      </c>
      <c r="EC103" s="11" t="n">
        <f aca="false">IF(EC$1&lt;Units!$P102,0,IF(AND(Units!$K102=0,EC$1=Units!$O102),Units!$R102,IF(AND(EC$1&gt;=Units!$Q102,MOD(EC$1-Units!$Q102,12)=0),IF(AND(Units!$L102=1,EC$1=Units!$Q102),IF(Units!$J102&lt;&gt;"",Units!$J102,Mkt!EC103),Inputs!$B$15*Mkt!EC103+(1-Inputs!$B$15)*MIN(Mkt!EC103,EB103*(1+Inputs!$B$18))),EB103)))</f>
        <v>2049.47247849979</v>
      </c>
      <c r="ED103" s="11" t="n">
        <f aca="false">IF(ED$1&lt;Units!$P102,0,IF(AND(Units!$K102=0,ED$1=Units!$O102),Units!$R102,IF(AND(ED$1&gt;=Units!$Q102,MOD(ED$1-Units!$Q102,12)=0),IF(AND(Units!$L102=1,ED$1=Units!$Q102),IF(Units!$J102&lt;&gt;"",Units!$J102,Mkt!ED103),Inputs!$B$15*Mkt!ED103+(1-Inputs!$B$15)*MIN(Mkt!ED103,EC103*(1+Inputs!$B$18))),EC103)))</f>
        <v>2049.47247849979</v>
      </c>
    </row>
    <row r="104" customFormat="false" ht="15" hidden="false" customHeight="false" outlineLevel="0" collapsed="false">
      <c r="A104" s="22" t="n">
        <f aca="false">Units!A103</f>
        <v>412</v>
      </c>
      <c r="B104" s="24" t="n">
        <f aca="false">IF(Units!K103=1,Units!F103,0)</f>
        <v>0</v>
      </c>
      <c r="C104" s="11" t="n">
        <f aca="false">IF(C$1&lt;Units!$P103,0,IF(AND(Units!$K103=0,C$1=Units!$O103),Units!$R103,IF(AND(C$1&gt;=Units!$Q103,MOD(C$1-Units!$Q103,12)=0),IF(AND(Units!$L103=1,C$1=Units!$Q103),IF(Units!$J103&lt;&gt;"",Units!$J103,Mkt!C104),Inputs!$B$15*Mkt!C104+(1-Inputs!$B$15)*MIN(Mkt!C104,B104*(1+Inputs!$B$18))),B104)))</f>
        <v>0</v>
      </c>
      <c r="D104" s="11" t="n">
        <f aca="false">IF(D$1&lt;Units!$P103,0,IF(AND(Units!$K103=0,D$1=Units!$O103),Units!$R103,IF(AND(D$1&gt;=Units!$Q103,MOD(D$1-Units!$Q103,12)=0),IF(AND(Units!$L103=1,D$1=Units!$Q103),IF(Units!$J103&lt;&gt;"",Units!$J103,Mkt!D104),Inputs!$B$15*Mkt!D104+(1-Inputs!$B$15)*MIN(Mkt!D104,C104*(1+Inputs!$B$18))),C104)))</f>
        <v>1525</v>
      </c>
      <c r="E104" s="11" t="n">
        <f aca="false">IF(E$1&lt;Units!$P103,0,IF(AND(Units!$K103=0,E$1=Units!$O103),Units!$R103,IF(AND(E$1&gt;=Units!$Q103,MOD(E$1-Units!$Q103,12)=0),IF(AND(Units!$L103=1,E$1=Units!$Q103),IF(Units!$J103&lt;&gt;"",Units!$J103,Mkt!E104),Inputs!$B$15*Mkt!E104+(1-Inputs!$B$15)*MIN(Mkt!E104,D104*(1+Inputs!$B$18))),D104)))</f>
        <v>1525</v>
      </c>
      <c r="F104" s="11" t="n">
        <f aca="false">IF(F$1&lt;Units!$P103,0,IF(AND(Units!$K103=0,F$1=Units!$O103),Units!$R103,IF(AND(F$1&gt;=Units!$Q103,MOD(F$1-Units!$Q103,12)=0),IF(AND(Units!$L103=1,F$1=Units!$Q103),IF(Units!$J103&lt;&gt;"",Units!$J103,Mkt!F104),Inputs!$B$15*Mkt!F104+(1-Inputs!$B$15)*MIN(Mkt!F104,E104*(1+Inputs!$B$18))),E104)))</f>
        <v>1525</v>
      </c>
      <c r="G104" s="11" t="n">
        <f aca="false">IF(G$1&lt;Units!$P103,0,IF(AND(Units!$K103=0,G$1=Units!$O103),Units!$R103,IF(AND(G$1&gt;=Units!$Q103,MOD(G$1-Units!$Q103,12)=0),IF(AND(Units!$L103=1,G$1=Units!$Q103),IF(Units!$J103&lt;&gt;"",Units!$J103,Mkt!G104),Inputs!$B$15*Mkt!G104+(1-Inputs!$B$15)*MIN(Mkt!G104,F104*(1+Inputs!$B$18))),F104)))</f>
        <v>1525</v>
      </c>
      <c r="H104" s="11" t="n">
        <f aca="false">IF(H$1&lt;Units!$P103,0,IF(AND(Units!$K103=0,H$1=Units!$O103),Units!$R103,IF(AND(H$1&gt;=Units!$Q103,MOD(H$1-Units!$Q103,12)=0),IF(AND(Units!$L103=1,H$1=Units!$Q103),IF(Units!$J103&lt;&gt;"",Units!$J103,Mkt!H104),Inputs!$B$15*Mkt!H104+(1-Inputs!$B$15)*MIN(Mkt!H104,G104*(1+Inputs!$B$18))),G104)))</f>
        <v>1525</v>
      </c>
      <c r="I104" s="11" t="n">
        <f aca="false">IF(I$1&lt;Units!$P103,0,IF(AND(Units!$K103=0,I$1=Units!$O103),Units!$R103,IF(AND(I$1&gt;=Units!$Q103,MOD(I$1-Units!$Q103,12)=0),IF(AND(Units!$L103=1,I$1=Units!$Q103),IF(Units!$J103&lt;&gt;"",Units!$J103,Mkt!I104),Inputs!$B$15*Mkt!I104+(1-Inputs!$B$15)*MIN(Mkt!I104,H104*(1+Inputs!$B$18))),H104)))</f>
        <v>1525</v>
      </c>
      <c r="J104" s="11" t="n">
        <f aca="false">IF(J$1&lt;Units!$P103,0,IF(AND(Units!$K103=0,J$1=Units!$O103),Units!$R103,IF(AND(J$1&gt;=Units!$Q103,MOD(J$1-Units!$Q103,12)=0),IF(AND(Units!$L103=1,J$1=Units!$Q103),IF(Units!$J103&lt;&gt;"",Units!$J103,Mkt!J104),Inputs!$B$15*Mkt!J104+(1-Inputs!$B$15)*MIN(Mkt!J104,I104*(1+Inputs!$B$18))),I104)))</f>
        <v>1525</v>
      </c>
      <c r="K104" s="11" t="n">
        <f aca="false">IF(K$1&lt;Units!$P103,0,IF(AND(Units!$K103=0,K$1=Units!$O103),Units!$R103,IF(AND(K$1&gt;=Units!$Q103,MOD(K$1-Units!$Q103,12)=0),IF(AND(Units!$L103=1,K$1=Units!$Q103),IF(Units!$J103&lt;&gt;"",Units!$J103,Mkt!K104),Inputs!$B$15*Mkt!K104+(1-Inputs!$B$15)*MIN(Mkt!K104,J104*(1+Inputs!$B$18))),J104)))</f>
        <v>1525</v>
      </c>
      <c r="L104" s="11" t="n">
        <f aca="false">IF(L$1&lt;Units!$P103,0,IF(AND(Units!$K103=0,L$1=Units!$O103),Units!$R103,IF(AND(L$1&gt;=Units!$Q103,MOD(L$1-Units!$Q103,12)=0),IF(AND(Units!$L103=1,L$1=Units!$Q103),IF(Units!$J103&lt;&gt;"",Units!$J103,Mkt!L104),Inputs!$B$15*Mkt!L104+(1-Inputs!$B$15)*MIN(Mkt!L104,K104*(1+Inputs!$B$18))),K104)))</f>
        <v>1525</v>
      </c>
      <c r="M104" s="11" t="n">
        <f aca="false">IF(M$1&lt;Units!$P103,0,IF(AND(Units!$K103=0,M$1=Units!$O103),Units!$R103,IF(AND(M$1&gt;=Units!$Q103,MOD(M$1-Units!$Q103,12)=0),IF(AND(Units!$L103=1,M$1=Units!$Q103),IF(Units!$J103&lt;&gt;"",Units!$J103,Mkt!M104),Inputs!$B$15*Mkt!M104+(1-Inputs!$B$15)*MIN(Mkt!M104,L104*(1+Inputs!$B$18))),L104)))</f>
        <v>1525</v>
      </c>
      <c r="N104" s="11" t="n">
        <f aca="false">IF(N$1&lt;Units!$P103,0,IF(AND(Units!$K103=0,N$1=Units!$O103),Units!$R103,IF(AND(N$1&gt;=Units!$Q103,MOD(N$1-Units!$Q103,12)=0),IF(AND(Units!$L103=1,N$1=Units!$Q103),IF(Units!$J103&lt;&gt;"",Units!$J103,Mkt!N104),Inputs!$B$15*Mkt!N104+(1-Inputs!$B$15)*MIN(Mkt!N104,M104*(1+Inputs!$B$18))),M104)))</f>
        <v>1525</v>
      </c>
      <c r="O104" s="11" t="n">
        <f aca="false">IF(O$1&lt;Units!$P103,0,IF(AND(Units!$K103=0,O$1=Units!$O103),Units!$R103,IF(AND(O$1&gt;=Units!$Q103,MOD(O$1-Units!$Q103,12)=0),IF(AND(Units!$L103=1,O$1=Units!$Q103),IF(Units!$J103&lt;&gt;"",Units!$J103,Mkt!O104),Inputs!$B$15*Mkt!O104+(1-Inputs!$B$15)*MIN(Mkt!O104,N104*(1+Inputs!$B$18))),N104)))</f>
        <v>1525</v>
      </c>
      <c r="P104" s="11" t="n">
        <f aca="false">IF(P$1&lt;Units!$P103,0,IF(AND(Units!$K103=0,P$1=Units!$O103),Units!$R103,IF(AND(P$1&gt;=Units!$Q103,MOD(P$1-Units!$Q103,12)=0),IF(AND(Units!$L103=1,P$1=Units!$Q103),IF(Units!$J103&lt;&gt;"",Units!$J103,Mkt!P104),Inputs!$B$15*Mkt!P104+(1-Inputs!$B$15)*MIN(Mkt!P104,O104*(1+Inputs!$B$18))),O104)))</f>
        <v>1570.75</v>
      </c>
      <c r="Q104" s="11" t="n">
        <f aca="false">IF(Q$1&lt;Units!$P103,0,IF(AND(Units!$K103=0,Q$1=Units!$O103),Units!$R103,IF(AND(Q$1&gt;=Units!$Q103,MOD(Q$1-Units!$Q103,12)=0),IF(AND(Units!$L103=1,Q$1=Units!$Q103),IF(Units!$J103&lt;&gt;"",Units!$J103,Mkt!Q104),Inputs!$B$15*Mkt!Q104+(1-Inputs!$B$15)*MIN(Mkt!Q104,P104*(1+Inputs!$B$18))),P104)))</f>
        <v>1570.75</v>
      </c>
      <c r="R104" s="11" t="n">
        <f aca="false">IF(R$1&lt;Units!$P103,0,IF(AND(Units!$K103=0,R$1=Units!$O103),Units!$R103,IF(AND(R$1&gt;=Units!$Q103,MOD(R$1-Units!$Q103,12)=0),IF(AND(Units!$L103=1,R$1=Units!$Q103),IF(Units!$J103&lt;&gt;"",Units!$J103,Mkt!R104),Inputs!$B$15*Mkt!R104+(1-Inputs!$B$15)*MIN(Mkt!R104,Q104*(1+Inputs!$B$18))),Q104)))</f>
        <v>1570.75</v>
      </c>
      <c r="S104" s="11" t="n">
        <f aca="false">IF(S$1&lt;Units!$P103,0,IF(AND(Units!$K103=0,S$1=Units!$O103),Units!$R103,IF(AND(S$1&gt;=Units!$Q103,MOD(S$1-Units!$Q103,12)=0),IF(AND(Units!$L103=1,S$1=Units!$Q103),IF(Units!$J103&lt;&gt;"",Units!$J103,Mkt!S104),Inputs!$B$15*Mkt!S104+(1-Inputs!$B$15)*MIN(Mkt!S104,R104*(1+Inputs!$B$18))),R104)))</f>
        <v>1570.75</v>
      </c>
      <c r="T104" s="11" t="n">
        <f aca="false">IF(T$1&lt;Units!$P103,0,IF(AND(Units!$K103=0,T$1=Units!$O103),Units!$R103,IF(AND(T$1&gt;=Units!$Q103,MOD(T$1-Units!$Q103,12)=0),IF(AND(Units!$L103=1,T$1=Units!$Q103),IF(Units!$J103&lt;&gt;"",Units!$J103,Mkt!T104),Inputs!$B$15*Mkt!T104+(1-Inputs!$B$15)*MIN(Mkt!T104,S104*(1+Inputs!$B$18))),S104)))</f>
        <v>1570.75</v>
      </c>
      <c r="U104" s="11" t="n">
        <f aca="false">IF(U$1&lt;Units!$P103,0,IF(AND(Units!$K103=0,U$1=Units!$O103),Units!$R103,IF(AND(U$1&gt;=Units!$Q103,MOD(U$1-Units!$Q103,12)=0),IF(AND(Units!$L103=1,U$1=Units!$Q103),IF(Units!$J103&lt;&gt;"",Units!$J103,Mkt!U104),Inputs!$B$15*Mkt!U104+(1-Inputs!$B$15)*MIN(Mkt!U104,T104*(1+Inputs!$B$18))),T104)))</f>
        <v>1570.75</v>
      </c>
      <c r="V104" s="11" t="n">
        <f aca="false">IF(V$1&lt;Units!$P103,0,IF(AND(Units!$K103=0,V$1=Units!$O103),Units!$R103,IF(AND(V$1&gt;=Units!$Q103,MOD(V$1-Units!$Q103,12)=0),IF(AND(Units!$L103=1,V$1=Units!$Q103),IF(Units!$J103&lt;&gt;"",Units!$J103,Mkt!V104),Inputs!$B$15*Mkt!V104+(1-Inputs!$B$15)*MIN(Mkt!V104,U104*(1+Inputs!$B$18))),U104)))</f>
        <v>1570.75</v>
      </c>
      <c r="W104" s="11" t="n">
        <f aca="false">IF(W$1&lt;Units!$P103,0,IF(AND(Units!$K103=0,W$1=Units!$O103),Units!$R103,IF(AND(W$1&gt;=Units!$Q103,MOD(W$1-Units!$Q103,12)=0),IF(AND(Units!$L103=1,W$1=Units!$Q103),IF(Units!$J103&lt;&gt;"",Units!$J103,Mkt!W104),Inputs!$B$15*Mkt!W104+(1-Inputs!$B$15)*MIN(Mkt!W104,V104*(1+Inputs!$B$18))),V104)))</f>
        <v>1570.75</v>
      </c>
      <c r="X104" s="11" t="n">
        <f aca="false">IF(X$1&lt;Units!$P103,0,IF(AND(Units!$K103=0,X$1=Units!$O103),Units!$R103,IF(AND(X$1&gt;=Units!$Q103,MOD(X$1-Units!$Q103,12)=0),IF(AND(Units!$L103=1,X$1=Units!$Q103),IF(Units!$J103&lt;&gt;"",Units!$J103,Mkt!X104),Inputs!$B$15*Mkt!X104+(1-Inputs!$B$15)*MIN(Mkt!X104,W104*(1+Inputs!$B$18))),W104)))</f>
        <v>1570.75</v>
      </c>
      <c r="Y104" s="11" t="n">
        <f aca="false">IF(Y$1&lt;Units!$P103,0,IF(AND(Units!$K103=0,Y$1=Units!$O103),Units!$R103,IF(AND(Y$1&gt;=Units!$Q103,MOD(Y$1-Units!$Q103,12)=0),IF(AND(Units!$L103=1,Y$1=Units!$Q103),IF(Units!$J103&lt;&gt;"",Units!$J103,Mkt!Y104),Inputs!$B$15*Mkt!Y104+(1-Inputs!$B$15)*MIN(Mkt!Y104,X104*(1+Inputs!$B$18))),X104)))</f>
        <v>1570.75</v>
      </c>
      <c r="Z104" s="11" t="n">
        <f aca="false">IF(Z$1&lt;Units!$P103,0,IF(AND(Units!$K103=0,Z$1=Units!$O103),Units!$R103,IF(AND(Z$1&gt;=Units!$Q103,MOD(Z$1-Units!$Q103,12)=0),IF(AND(Units!$L103=1,Z$1=Units!$Q103),IF(Units!$J103&lt;&gt;"",Units!$J103,Mkt!Z104),Inputs!$B$15*Mkt!Z104+(1-Inputs!$B$15)*MIN(Mkt!Z104,Y104*(1+Inputs!$B$18))),Y104)))</f>
        <v>1570.75</v>
      </c>
      <c r="AA104" s="11" t="n">
        <f aca="false">IF(AA$1&lt;Units!$P103,0,IF(AND(Units!$K103=0,AA$1=Units!$O103),Units!$R103,IF(AND(AA$1&gt;=Units!$Q103,MOD(AA$1-Units!$Q103,12)=0),IF(AND(Units!$L103=1,AA$1=Units!$Q103),IF(Units!$J103&lt;&gt;"",Units!$J103,Mkt!AA104),Inputs!$B$15*Mkt!AA104+(1-Inputs!$B$15)*MIN(Mkt!AA104,Z104*(1+Inputs!$B$18))),Z104)))</f>
        <v>1570.75</v>
      </c>
      <c r="AB104" s="11" t="n">
        <f aca="false">IF(AB$1&lt;Units!$P103,0,IF(AND(Units!$K103=0,AB$1=Units!$O103),Units!$R103,IF(AND(AB$1&gt;=Units!$Q103,MOD(AB$1-Units!$Q103,12)=0),IF(AND(Units!$L103=1,AB$1=Units!$Q103),IF(Units!$J103&lt;&gt;"",Units!$J103,Mkt!AB104),Inputs!$B$15*Mkt!AB104+(1-Inputs!$B$15)*MIN(Mkt!AB104,AA104*(1+Inputs!$B$18))),AA104)))</f>
        <v>1617.8725</v>
      </c>
      <c r="AC104" s="11" t="n">
        <f aca="false">IF(AC$1&lt;Units!$P103,0,IF(AND(Units!$K103=0,AC$1=Units!$O103),Units!$R103,IF(AND(AC$1&gt;=Units!$Q103,MOD(AC$1-Units!$Q103,12)=0),IF(AND(Units!$L103=1,AC$1=Units!$Q103),IF(Units!$J103&lt;&gt;"",Units!$J103,Mkt!AC104),Inputs!$B$15*Mkt!AC104+(1-Inputs!$B$15)*MIN(Mkt!AC104,AB104*(1+Inputs!$B$18))),AB104)))</f>
        <v>1617.8725</v>
      </c>
      <c r="AD104" s="11" t="n">
        <f aca="false">IF(AD$1&lt;Units!$P103,0,IF(AND(Units!$K103=0,AD$1=Units!$O103),Units!$R103,IF(AND(AD$1&gt;=Units!$Q103,MOD(AD$1-Units!$Q103,12)=0),IF(AND(Units!$L103=1,AD$1=Units!$Q103),IF(Units!$J103&lt;&gt;"",Units!$J103,Mkt!AD104),Inputs!$B$15*Mkt!AD104+(1-Inputs!$B$15)*MIN(Mkt!AD104,AC104*(1+Inputs!$B$18))),AC104)))</f>
        <v>1617.8725</v>
      </c>
      <c r="AE104" s="11" t="n">
        <f aca="false">IF(AE$1&lt;Units!$P103,0,IF(AND(Units!$K103=0,AE$1=Units!$O103),Units!$R103,IF(AND(AE$1&gt;=Units!$Q103,MOD(AE$1-Units!$Q103,12)=0),IF(AND(Units!$L103=1,AE$1=Units!$Q103),IF(Units!$J103&lt;&gt;"",Units!$J103,Mkt!AE104),Inputs!$B$15*Mkt!AE104+(1-Inputs!$B$15)*MIN(Mkt!AE104,AD104*(1+Inputs!$B$18))),AD104)))</f>
        <v>1617.8725</v>
      </c>
      <c r="AF104" s="11" t="n">
        <f aca="false">IF(AF$1&lt;Units!$P103,0,IF(AND(Units!$K103=0,AF$1=Units!$O103),Units!$R103,IF(AND(AF$1&gt;=Units!$Q103,MOD(AF$1-Units!$Q103,12)=0),IF(AND(Units!$L103=1,AF$1=Units!$Q103),IF(Units!$J103&lt;&gt;"",Units!$J103,Mkt!AF104),Inputs!$B$15*Mkt!AF104+(1-Inputs!$B$15)*MIN(Mkt!AF104,AE104*(1+Inputs!$B$18))),AE104)))</f>
        <v>1617.8725</v>
      </c>
      <c r="AG104" s="11" t="n">
        <f aca="false">IF(AG$1&lt;Units!$P103,0,IF(AND(Units!$K103=0,AG$1=Units!$O103),Units!$R103,IF(AND(AG$1&gt;=Units!$Q103,MOD(AG$1-Units!$Q103,12)=0),IF(AND(Units!$L103=1,AG$1=Units!$Q103),IF(Units!$J103&lt;&gt;"",Units!$J103,Mkt!AG104),Inputs!$B$15*Mkt!AG104+(1-Inputs!$B$15)*MIN(Mkt!AG104,AF104*(1+Inputs!$B$18))),AF104)))</f>
        <v>1617.8725</v>
      </c>
      <c r="AH104" s="11" t="n">
        <f aca="false">IF(AH$1&lt;Units!$P103,0,IF(AND(Units!$K103=0,AH$1=Units!$O103),Units!$R103,IF(AND(AH$1&gt;=Units!$Q103,MOD(AH$1-Units!$Q103,12)=0),IF(AND(Units!$L103=1,AH$1=Units!$Q103),IF(Units!$J103&lt;&gt;"",Units!$J103,Mkt!AH104),Inputs!$B$15*Mkt!AH104+(1-Inputs!$B$15)*MIN(Mkt!AH104,AG104*(1+Inputs!$B$18))),AG104)))</f>
        <v>1617.8725</v>
      </c>
      <c r="AI104" s="11" t="n">
        <f aca="false">IF(AI$1&lt;Units!$P103,0,IF(AND(Units!$K103=0,AI$1=Units!$O103),Units!$R103,IF(AND(AI$1&gt;=Units!$Q103,MOD(AI$1-Units!$Q103,12)=0),IF(AND(Units!$L103=1,AI$1=Units!$Q103),IF(Units!$J103&lt;&gt;"",Units!$J103,Mkt!AI104),Inputs!$B$15*Mkt!AI104+(1-Inputs!$B$15)*MIN(Mkt!AI104,AH104*(1+Inputs!$B$18))),AH104)))</f>
        <v>1617.8725</v>
      </c>
      <c r="AJ104" s="11" t="n">
        <f aca="false">IF(AJ$1&lt;Units!$P103,0,IF(AND(Units!$K103=0,AJ$1=Units!$O103),Units!$R103,IF(AND(AJ$1&gt;=Units!$Q103,MOD(AJ$1-Units!$Q103,12)=0),IF(AND(Units!$L103=1,AJ$1=Units!$Q103),IF(Units!$J103&lt;&gt;"",Units!$J103,Mkt!AJ104),Inputs!$B$15*Mkt!AJ104+(1-Inputs!$B$15)*MIN(Mkt!AJ104,AI104*(1+Inputs!$B$18))),AI104)))</f>
        <v>1617.8725</v>
      </c>
      <c r="AK104" s="11" t="n">
        <f aca="false">IF(AK$1&lt;Units!$P103,0,IF(AND(Units!$K103=0,AK$1=Units!$O103),Units!$R103,IF(AND(AK$1&gt;=Units!$Q103,MOD(AK$1-Units!$Q103,12)=0),IF(AND(Units!$L103=1,AK$1=Units!$Q103),IF(Units!$J103&lt;&gt;"",Units!$J103,Mkt!AK104),Inputs!$B$15*Mkt!AK104+(1-Inputs!$B$15)*MIN(Mkt!AK104,AJ104*(1+Inputs!$B$18))),AJ104)))</f>
        <v>1617.8725</v>
      </c>
      <c r="AL104" s="11" t="n">
        <f aca="false">IF(AL$1&lt;Units!$P103,0,IF(AND(Units!$K103=0,AL$1=Units!$O103),Units!$R103,IF(AND(AL$1&gt;=Units!$Q103,MOD(AL$1-Units!$Q103,12)=0),IF(AND(Units!$L103=1,AL$1=Units!$Q103),IF(Units!$J103&lt;&gt;"",Units!$J103,Mkt!AL104),Inputs!$B$15*Mkt!AL104+(1-Inputs!$B$15)*MIN(Mkt!AL104,AK104*(1+Inputs!$B$18))),AK104)))</f>
        <v>1617.8725</v>
      </c>
      <c r="AM104" s="11" t="n">
        <f aca="false">IF(AM$1&lt;Units!$P103,0,IF(AND(Units!$K103=0,AM$1=Units!$O103),Units!$R103,IF(AND(AM$1&gt;=Units!$Q103,MOD(AM$1-Units!$Q103,12)=0),IF(AND(Units!$L103=1,AM$1=Units!$Q103),IF(Units!$J103&lt;&gt;"",Units!$J103,Mkt!AM104),Inputs!$B$15*Mkt!AM104+(1-Inputs!$B$15)*MIN(Mkt!AM104,AL104*(1+Inputs!$B$18))),AL104)))</f>
        <v>1617.8725</v>
      </c>
      <c r="AN104" s="11" t="n">
        <f aca="false">IF(AN$1&lt;Units!$P103,0,IF(AND(Units!$K103=0,AN$1=Units!$O103),Units!$R103,IF(AND(AN$1&gt;=Units!$Q103,MOD(AN$1-Units!$Q103,12)=0),IF(AND(Units!$L103=1,AN$1=Units!$Q103),IF(Units!$J103&lt;&gt;"",Units!$J103,Mkt!AN104),Inputs!$B$15*Mkt!AN104+(1-Inputs!$B$15)*MIN(Mkt!AN104,AM104*(1+Inputs!$B$18))),AM104)))</f>
        <v>1666.408675</v>
      </c>
      <c r="AO104" s="11" t="n">
        <f aca="false">IF(AO$1&lt;Units!$P103,0,IF(AND(Units!$K103=0,AO$1=Units!$O103),Units!$R103,IF(AND(AO$1&gt;=Units!$Q103,MOD(AO$1-Units!$Q103,12)=0),IF(AND(Units!$L103=1,AO$1=Units!$Q103),IF(Units!$J103&lt;&gt;"",Units!$J103,Mkt!AO104),Inputs!$B$15*Mkt!AO104+(1-Inputs!$B$15)*MIN(Mkt!AO104,AN104*(1+Inputs!$B$18))),AN104)))</f>
        <v>1666.408675</v>
      </c>
      <c r="AP104" s="11" t="n">
        <f aca="false">IF(AP$1&lt;Units!$P103,0,IF(AND(Units!$K103=0,AP$1=Units!$O103),Units!$R103,IF(AND(AP$1&gt;=Units!$Q103,MOD(AP$1-Units!$Q103,12)=0),IF(AND(Units!$L103=1,AP$1=Units!$Q103),IF(Units!$J103&lt;&gt;"",Units!$J103,Mkt!AP104),Inputs!$B$15*Mkt!AP104+(1-Inputs!$B$15)*MIN(Mkt!AP104,AO104*(1+Inputs!$B$18))),AO104)))</f>
        <v>1666.408675</v>
      </c>
      <c r="AQ104" s="11" t="n">
        <f aca="false">IF(AQ$1&lt;Units!$P103,0,IF(AND(Units!$K103=0,AQ$1=Units!$O103),Units!$R103,IF(AND(AQ$1&gt;=Units!$Q103,MOD(AQ$1-Units!$Q103,12)=0),IF(AND(Units!$L103=1,AQ$1=Units!$Q103),IF(Units!$J103&lt;&gt;"",Units!$J103,Mkt!AQ104),Inputs!$B$15*Mkt!AQ104+(1-Inputs!$B$15)*MIN(Mkt!AQ104,AP104*(1+Inputs!$B$18))),AP104)))</f>
        <v>1666.408675</v>
      </c>
      <c r="AR104" s="11" t="n">
        <f aca="false">IF(AR$1&lt;Units!$P103,0,IF(AND(Units!$K103=0,AR$1=Units!$O103),Units!$R103,IF(AND(AR$1&gt;=Units!$Q103,MOD(AR$1-Units!$Q103,12)=0),IF(AND(Units!$L103=1,AR$1=Units!$Q103),IF(Units!$J103&lt;&gt;"",Units!$J103,Mkt!AR104),Inputs!$B$15*Mkt!AR104+(1-Inputs!$B$15)*MIN(Mkt!AR104,AQ104*(1+Inputs!$B$18))),AQ104)))</f>
        <v>1666.408675</v>
      </c>
      <c r="AS104" s="11" t="n">
        <f aca="false">IF(AS$1&lt;Units!$P103,0,IF(AND(Units!$K103=0,AS$1=Units!$O103),Units!$R103,IF(AND(AS$1&gt;=Units!$Q103,MOD(AS$1-Units!$Q103,12)=0),IF(AND(Units!$L103=1,AS$1=Units!$Q103),IF(Units!$J103&lt;&gt;"",Units!$J103,Mkt!AS104),Inputs!$B$15*Mkt!AS104+(1-Inputs!$B$15)*MIN(Mkt!AS104,AR104*(1+Inputs!$B$18))),AR104)))</f>
        <v>1666.408675</v>
      </c>
      <c r="AT104" s="11" t="n">
        <f aca="false">IF(AT$1&lt;Units!$P103,0,IF(AND(Units!$K103=0,AT$1=Units!$O103),Units!$R103,IF(AND(AT$1&gt;=Units!$Q103,MOD(AT$1-Units!$Q103,12)=0),IF(AND(Units!$L103=1,AT$1=Units!$Q103),IF(Units!$J103&lt;&gt;"",Units!$J103,Mkt!AT104),Inputs!$B$15*Mkt!AT104+(1-Inputs!$B$15)*MIN(Mkt!AT104,AS104*(1+Inputs!$B$18))),AS104)))</f>
        <v>1666.408675</v>
      </c>
      <c r="AU104" s="11" t="n">
        <f aca="false">IF(AU$1&lt;Units!$P103,0,IF(AND(Units!$K103=0,AU$1=Units!$O103),Units!$R103,IF(AND(AU$1&gt;=Units!$Q103,MOD(AU$1-Units!$Q103,12)=0),IF(AND(Units!$L103=1,AU$1=Units!$Q103),IF(Units!$J103&lt;&gt;"",Units!$J103,Mkt!AU104),Inputs!$B$15*Mkt!AU104+(1-Inputs!$B$15)*MIN(Mkt!AU104,AT104*(1+Inputs!$B$18))),AT104)))</f>
        <v>1666.408675</v>
      </c>
      <c r="AV104" s="11" t="n">
        <f aca="false">IF(AV$1&lt;Units!$P103,0,IF(AND(Units!$K103=0,AV$1=Units!$O103),Units!$R103,IF(AND(AV$1&gt;=Units!$Q103,MOD(AV$1-Units!$Q103,12)=0),IF(AND(Units!$L103=1,AV$1=Units!$Q103),IF(Units!$J103&lt;&gt;"",Units!$J103,Mkt!AV104),Inputs!$B$15*Mkt!AV104+(1-Inputs!$B$15)*MIN(Mkt!AV104,AU104*(1+Inputs!$B$18))),AU104)))</f>
        <v>1666.408675</v>
      </c>
      <c r="AW104" s="11" t="n">
        <f aca="false">IF(AW$1&lt;Units!$P103,0,IF(AND(Units!$K103=0,AW$1=Units!$O103),Units!$R103,IF(AND(AW$1&gt;=Units!$Q103,MOD(AW$1-Units!$Q103,12)=0),IF(AND(Units!$L103=1,AW$1=Units!$Q103),IF(Units!$J103&lt;&gt;"",Units!$J103,Mkt!AW104),Inputs!$B$15*Mkt!AW104+(1-Inputs!$B$15)*MIN(Mkt!AW104,AV104*(1+Inputs!$B$18))),AV104)))</f>
        <v>1666.408675</v>
      </c>
      <c r="AX104" s="11" t="n">
        <f aca="false">IF(AX$1&lt;Units!$P103,0,IF(AND(Units!$K103=0,AX$1=Units!$O103),Units!$R103,IF(AND(AX$1&gt;=Units!$Q103,MOD(AX$1-Units!$Q103,12)=0),IF(AND(Units!$L103=1,AX$1=Units!$Q103),IF(Units!$J103&lt;&gt;"",Units!$J103,Mkt!AX104),Inputs!$B$15*Mkt!AX104+(1-Inputs!$B$15)*MIN(Mkt!AX104,AW104*(1+Inputs!$B$18))),AW104)))</f>
        <v>1666.408675</v>
      </c>
      <c r="AY104" s="11" t="n">
        <f aca="false">IF(AY$1&lt;Units!$P103,0,IF(AND(Units!$K103=0,AY$1=Units!$O103),Units!$R103,IF(AND(AY$1&gt;=Units!$Q103,MOD(AY$1-Units!$Q103,12)=0),IF(AND(Units!$L103=1,AY$1=Units!$Q103),IF(Units!$J103&lt;&gt;"",Units!$J103,Mkt!AY104),Inputs!$B$15*Mkt!AY104+(1-Inputs!$B$15)*MIN(Mkt!AY104,AX104*(1+Inputs!$B$18))),AX104)))</f>
        <v>1666.408675</v>
      </c>
      <c r="AZ104" s="11" t="n">
        <f aca="false">IF(AZ$1&lt;Units!$P103,0,IF(AND(Units!$K103=0,AZ$1=Units!$O103),Units!$R103,IF(AND(AZ$1&gt;=Units!$Q103,MOD(AZ$1-Units!$Q103,12)=0),IF(AND(Units!$L103=1,AZ$1=Units!$Q103),IF(Units!$J103&lt;&gt;"",Units!$J103,Mkt!AZ104),Inputs!$B$15*Mkt!AZ104+(1-Inputs!$B$15)*MIN(Mkt!AZ104,AY104*(1+Inputs!$B$18))),AY104)))</f>
        <v>1716.40093525</v>
      </c>
      <c r="BA104" s="11" t="n">
        <f aca="false">IF(BA$1&lt;Units!$P103,0,IF(AND(Units!$K103=0,BA$1=Units!$O103),Units!$R103,IF(AND(BA$1&gt;=Units!$Q103,MOD(BA$1-Units!$Q103,12)=0),IF(AND(Units!$L103=1,BA$1=Units!$Q103),IF(Units!$J103&lt;&gt;"",Units!$J103,Mkt!BA104),Inputs!$B$15*Mkt!BA104+(1-Inputs!$B$15)*MIN(Mkt!BA104,AZ104*(1+Inputs!$B$18))),AZ104)))</f>
        <v>1716.40093525</v>
      </c>
      <c r="BB104" s="11" t="n">
        <f aca="false">IF(BB$1&lt;Units!$P103,0,IF(AND(Units!$K103=0,BB$1=Units!$O103),Units!$R103,IF(AND(BB$1&gt;=Units!$Q103,MOD(BB$1-Units!$Q103,12)=0),IF(AND(Units!$L103=1,BB$1=Units!$Q103),IF(Units!$J103&lt;&gt;"",Units!$J103,Mkt!BB104),Inputs!$B$15*Mkt!BB104+(1-Inputs!$B$15)*MIN(Mkt!BB104,BA104*(1+Inputs!$B$18))),BA104)))</f>
        <v>1716.40093525</v>
      </c>
      <c r="BC104" s="11" t="n">
        <f aca="false">IF(BC$1&lt;Units!$P103,0,IF(AND(Units!$K103=0,BC$1=Units!$O103),Units!$R103,IF(AND(BC$1&gt;=Units!$Q103,MOD(BC$1-Units!$Q103,12)=0),IF(AND(Units!$L103=1,BC$1=Units!$Q103),IF(Units!$J103&lt;&gt;"",Units!$J103,Mkt!BC104),Inputs!$B$15*Mkt!BC104+(1-Inputs!$B$15)*MIN(Mkt!BC104,BB104*(1+Inputs!$B$18))),BB104)))</f>
        <v>1716.40093525</v>
      </c>
      <c r="BD104" s="11" t="n">
        <f aca="false">IF(BD$1&lt;Units!$P103,0,IF(AND(Units!$K103=0,BD$1=Units!$O103),Units!$R103,IF(AND(BD$1&gt;=Units!$Q103,MOD(BD$1-Units!$Q103,12)=0),IF(AND(Units!$L103=1,BD$1=Units!$Q103),IF(Units!$J103&lt;&gt;"",Units!$J103,Mkt!BD104),Inputs!$B$15*Mkt!BD104+(1-Inputs!$B$15)*MIN(Mkt!BD104,BC104*(1+Inputs!$B$18))),BC104)))</f>
        <v>1716.40093525</v>
      </c>
      <c r="BE104" s="11" t="n">
        <f aca="false">IF(BE$1&lt;Units!$P103,0,IF(AND(Units!$K103=0,BE$1=Units!$O103),Units!$R103,IF(AND(BE$1&gt;=Units!$Q103,MOD(BE$1-Units!$Q103,12)=0),IF(AND(Units!$L103=1,BE$1=Units!$Q103),IF(Units!$J103&lt;&gt;"",Units!$J103,Mkt!BE104),Inputs!$B$15*Mkt!BE104+(1-Inputs!$B$15)*MIN(Mkt!BE104,BD104*(1+Inputs!$B$18))),BD104)))</f>
        <v>1716.40093525</v>
      </c>
      <c r="BF104" s="11" t="n">
        <f aca="false">IF(BF$1&lt;Units!$P103,0,IF(AND(Units!$K103=0,BF$1=Units!$O103),Units!$R103,IF(AND(BF$1&gt;=Units!$Q103,MOD(BF$1-Units!$Q103,12)=0),IF(AND(Units!$L103=1,BF$1=Units!$Q103),IF(Units!$J103&lt;&gt;"",Units!$J103,Mkt!BF104),Inputs!$B$15*Mkt!BF104+(1-Inputs!$B$15)*MIN(Mkt!BF104,BE104*(1+Inputs!$B$18))),BE104)))</f>
        <v>1716.40093525</v>
      </c>
      <c r="BG104" s="11" t="n">
        <f aca="false">IF(BG$1&lt;Units!$P103,0,IF(AND(Units!$K103=0,BG$1=Units!$O103),Units!$R103,IF(AND(BG$1&gt;=Units!$Q103,MOD(BG$1-Units!$Q103,12)=0),IF(AND(Units!$L103=1,BG$1=Units!$Q103),IF(Units!$J103&lt;&gt;"",Units!$J103,Mkt!BG104),Inputs!$B$15*Mkt!BG104+(1-Inputs!$B$15)*MIN(Mkt!BG104,BF104*(1+Inputs!$B$18))),BF104)))</f>
        <v>1716.40093525</v>
      </c>
      <c r="BH104" s="11" t="n">
        <f aca="false">IF(BH$1&lt;Units!$P103,0,IF(AND(Units!$K103=0,BH$1=Units!$O103),Units!$R103,IF(AND(BH$1&gt;=Units!$Q103,MOD(BH$1-Units!$Q103,12)=0),IF(AND(Units!$L103=1,BH$1=Units!$Q103),IF(Units!$J103&lt;&gt;"",Units!$J103,Mkt!BH104),Inputs!$B$15*Mkt!BH104+(1-Inputs!$B$15)*MIN(Mkt!BH104,BG104*(1+Inputs!$B$18))),BG104)))</f>
        <v>1716.40093525</v>
      </c>
      <c r="BI104" s="11" t="n">
        <f aca="false">IF(BI$1&lt;Units!$P103,0,IF(AND(Units!$K103=0,BI$1=Units!$O103),Units!$R103,IF(AND(BI$1&gt;=Units!$Q103,MOD(BI$1-Units!$Q103,12)=0),IF(AND(Units!$L103=1,BI$1=Units!$Q103),IF(Units!$J103&lt;&gt;"",Units!$J103,Mkt!BI104),Inputs!$B$15*Mkt!BI104+(1-Inputs!$B$15)*MIN(Mkt!BI104,BH104*(1+Inputs!$B$18))),BH104)))</f>
        <v>1716.40093525</v>
      </c>
      <c r="BJ104" s="11" t="n">
        <f aca="false">IF(BJ$1&lt;Units!$P103,0,IF(AND(Units!$K103=0,BJ$1=Units!$O103),Units!$R103,IF(AND(BJ$1&gt;=Units!$Q103,MOD(BJ$1-Units!$Q103,12)=0),IF(AND(Units!$L103=1,BJ$1=Units!$Q103),IF(Units!$J103&lt;&gt;"",Units!$J103,Mkt!BJ104),Inputs!$B$15*Mkt!BJ104+(1-Inputs!$B$15)*MIN(Mkt!BJ104,BI104*(1+Inputs!$B$18))),BI104)))</f>
        <v>1716.40093525</v>
      </c>
      <c r="BK104" s="11" t="n">
        <f aca="false">IF(BK$1&lt;Units!$P103,0,IF(AND(Units!$K103=0,BK$1=Units!$O103),Units!$R103,IF(AND(BK$1&gt;=Units!$Q103,MOD(BK$1-Units!$Q103,12)=0),IF(AND(Units!$L103=1,BK$1=Units!$Q103),IF(Units!$J103&lt;&gt;"",Units!$J103,Mkt!BK104),Inputs!$B$15*Mkt!BK104+(1-Inputs!$B$15)*MIN(Mkt!BK104,BJ104*(1+Inputs!$B$18))),BJ104)))</f>
        <v>1716.40093525</v>
      </c>
      <c r="BL104" s="11" t="n">
        <f aca="false">IF(BL$1&lt;Units!$P103,0,IF(AND(Units!$K103=0,BL$1=Units!$O103),Units!$R103,IF(AND(BL$1&gt;=Units!$Q103,MOD(BL$1-Units!$Q103,12)=0),IF(AND(Units!$L103=1,BL$1=Units!$Q103),IF(Units!$J103&lt;&gt;"",Units!$J103,Mkt!BL104),Inputs!$B$15*Mkt!BL104+(1-Inputs!$B$15)*MIN(Mkt!BL104,BK104*(1+Inputs!$B$18))),BK104)))</f>
        <v>1767.8929633075</v>
      </c>
      <c r="BM104" s="11" t="n">
        <f aca="false">IF(BM$1&lt;Units!$P103,0,IF(AND(Units!$K103=0,BM$1=Units!$O103),Units!$R103,IF(AND(BM$1&gt;=Units!$Q103,MOD(BM$1-Units!$Q103,12)=0),IF(AND(Units!$L103=1,BM$1=Units!$Q103),IF(Units!$J103&lt;&gt;"",Units!$J103,Mkt!BM104),Inputs!$B$15*Mkt!BM104+(1-Inputs!$B$15)*MIN(Mkt!BM104,BL104*(1+Inputs!$B$18))),BL104)))</f>
        <v>1767.8929633075</v>
      </c>
      <c r="BN104" s="11" t="n">
        <f aca="false">IF(BN$1&lt;Units!$P103,0,IF(AND(Units!$K103=0,BN$1=Units!$O103),Units!$R103,IF(AND(BN$1&gt;=Units!$Q103,MOD(BN$1-Units!$Q103,12)=0),IF(AND(Units!$L103=1,BN$1=Units!$Q103),IF(Units!$J103&lt;&gt;"",Units!$J103,Mkt!BN104),Inputs!$B$15*Mkt!BN104+(1-Inputs!$B$15)*MIN(Mkt!BN104,BM104*(1+Inputs!$B$18))),BM104)))</f>
        <v>1767.8929633075</v>
      </c>
      <c r="BO104" s="11" t="n">
        <f aca="false">IF(BO$1&lt;Units!$P103,0,IF(AND(Units!$K103=0,BO$1=Units!$O103),Units!$R103,IF(AND(BO$1&gt;=Units!$Q103,MOD(BO$1-Units!$Q103,12)=0),IF(AND(Units!$L103=1,BO$1=Units!$Q103),IF(Units!$J103&lt;&gt;"",Units!$J103,Mkt!BO104),Inputs!$B$15*Mkt!BO104+(1-Inputs!$B$15)*MIN(Mkt!BO104,BN104*(1+Inputs!$B$18))),BN104)))</f>
        <v>1767.8929633075</v>
      </c>
      <c r="BP104" s="11" t="n">
        <f aca="false">IF(BP$1&lt;Units!$P103,0,IF(AND(Units!$K103=0,BP$1=Units!$O103),Units!$R103,IF(AND(BP$1&gt;=Units!$Q103,MOD(BP$1-Units!$Q103,12)=0),IF(AND(Units!$L103=1,BP$1=Units!$Q103),IF(Units!$J103&lt;&gt;"",Units!$J103,Mkt!BP104),Inputs!$B$15*Mkt!BP104+(1-Inputs!$B$15)*MIN(Mkt!BP104,BO104*(1+Inputs!$B$18))),BO104)))</f>
        <v>1767.8929633075</v>
      </c>
      <c r="BQ104" s="11" t="n">
        <f aca="false">IF(BQ$1&lt;Units!$P103,0,IF(AND(Units!$K103=0,BQ$1=Units!$O103),Units!$R103,IF(AND(BQ$1&gt;=Units!$Q103,MOD(BQ$1-Units!$Q103,12)=0),IF(AND(Units!$L103=1,BQ$1=Units!$Q103),IF(Units!$J103&lt;&gt;"",Units!$J103,Mkt!BQ104),Inputs!$B$15*Mkt!BQ104+(1-Inputs!$B$15)*MIN(Mkt!BQ104,BP104*(1+Inputs!$B$18))),BP104)))</f>
        <v>1767.8929633075</v>
      </c>
      <c r="BR104" s="11" t="n">
        <f aca="false">IF(BR$1&lt;Units!$P103,0,IF(AND(Units!$K103=0,BR$1=Units!$O103),Units!$R103,IF(AND(BR$1&gt;=Units!$Q103,MOD(BR$1-Units!$Q103,12)=0),IF(AND(Units!$L103=1,BR$1=Units!$Q103),IF(Units!$J103&lt;&gt;"",Units!$J103,Mkt!BR104),Inputs!$B$15*Mkt!BR104+(1-Inputs!$B$15)*MIN(Mkt!BR104,BQ104*(1+Inputs!$B$18))),BQ104)))</f>
        <v>1767.8929633075</v>
      </c>
      <c r="BS104" s="11" t="n">
        <f aca="false">IF(BS$1&lt;Units!$P103,0,IF(AND(Units!$K103=0,BS$1=Units!$O103),Units!$R103,IF(AND(BS$1&gt;=Units!$Q103,MOD(BS$1-Units!$Q103,12)=0),IF(AND(Units!$L103=1,BS$1=Units!$Q103),IF(Units!$J103&lt;&gt;"",Units!$J103,Mkt!BS104),Inputs!$B$15*Mkt!BS104+(1-Inputs!$B$15)*MIN(Mkt!BS104,BR104*(1+Inputs!$B$18))),BR104)))</f>
        <v>1767.8929633075</v>
      </c>
      <c r="BT104" s="11" t="n">
        <f aca="false">IF(BT$1&lt;Units!$P103,0,IF(AND(Units!$K103=0,BT$1=Units!$O103),Units!$R103,IF(AND(BT$1&gt;=Units!$Q103,MOD(BT$1-Units!$Q103,12)=0),IF(AND(Units!$L103=1,BT$1=Units!$Q103),IF(Units!$J103&lt;&gt;"",Units!$J103,Mkt!BT104),Inputs!$B$15*Mkt!BT104+(1-Inputs!$B$15)*MIN(Mkt!BT104,BS104*(1+Inputs!$B$18))),BS104)))</f>
        <v>1767.8929633075</v>
      </c>
      <c r="BU104" s="11" t="n">
        <f aca="false">IF(BU$1&lt;Units!$P103,0,IF(AND(Units!$K103=0,BU$1=Units!$O103),Units!$R103,IF(AND(BU$1&gt;=Units!$Q103,MOD(BU$1-Units!$Q103,12)=0),IF(AND(Units!$L103=1,BU$1=Units!$Q103),IF(Units!$J103&lt;&gt;"",Units!$J103,Mkt!BU104),Inputs!$B$15*Mkt!BU104+(1-Inputs!$B$15)*MIN(Mkt!BU104,BT104*(1+Inputs!$B$18))),BT104)))</f>
        <v>1767.8929633075</v>
      </c>
      <c r="BV104" s="11" t="n">
        <f aca="false">IF(BV$1&lt;Units!$P103,0,IF(AND(Units!$K103=0,BV$1=Units!$O103),Units!$R103,IF(AND(BV$1&gt;=Units!$Q103,MOD(BV$1-Units!$Q103,12)=0),IF(AND(Units!$L103=1,BV$1=Units!$Q103),IF(Units!$J103&lt;&gt;"",Units!$J103,Mkt!BV104),Inputs!$B$15*Mkt!BV104+(1-Inputs!$B$15)*MIN(Mkt!BV104,BU104*(1+Inputs!$B$18))),BU104)))</f>
        <v>1767.8929633075</v>
      </c>
      <c r="BW104" s="11" t="n">
        <f aca="false">IF(BW$1&lt;Units!$P103,0,IF(AND(Units!$K103=0,BW$1=Units!$O103),Units!$R103,IF(AND(BW$1&gt;=Units!$Q103,MOD(BW$1-Units!$Q103,12)=0),IF(AND(Units!$L103=1,BW$1=Units!$Q103),IF(Units!$J103&lt;&gt;"",Units!$J103,Mkt!BW104),Inputs!$B$15*Mkt!BW104+(1-Inputs!$B$15)*MIN(Mkt!BW104,BV104*(1+Inputs!$B$18))),BV104)))</f>
        <v>1767.8929633075</v>
      </c>
      <c r="BX104" s="11" t="n">
        <f aca="false">IF(BX$1&lt;Units!$P103,0,IF(AND(Units!$K103=0,BX$1=Units!$O103),Units!$R103,IF(AND(BX$1&gt;=Units!$Q103,MOD(BX$1-Units!$Q103,12)=0),IF(AND(Units!$L103=1,BX$1=Units!$Q103),IF(Units!$J103&lt;&gt;"",Units!$J103,Mkt!BX104),Inputs!$B$15*Mkt!BX104+(1-Inputs!$B$15)*MIN(Mkt!BX104,BW104*(1+Inputs!$B$18))),BW104)))</f>
        <v>1820.92975220673</v>
      </c>
      <c r="BY104" s="11" t="n">
        <f aca="false">IF(BY$1&lt;Units!$P103,0,IF(AND(Units!$K103=0,BY$1=Units!$O103),Units!$R103,IF(AND(BY$1&gt;=Units!$Q103,MOD(BY$1-Units!$Q103,12)=0),IF(AND(Units!$L103=1,BY$1=Units!$Q103),IF(Units!$J103&lt;&gt;"",Units!$J103,Mkt!BY104),Inputs!$B$15*Mkt!BY104+(1-Inputs!$B$15)*MIN(Mkt!BY104,BX104*(1+Inputs!$B$18))),BX104)))</f>
        <v>1820.92975220673</v>
      </c>
      <c r="BZ104" s="11" t="n">
        <f aca="false">IF(BZ$1&lt;Units!$P103,0,IF(AND(Units!$K103=0,BZ$1=Units!$O103),Units!$R103,IF(AND(BZ$1&gt;=Units!$Q103,MOD(BZ$1-Units!$Q103,12)=0),IF(AND(Units!$L103=1,BZ$1=Units!$Q103),IF(Units!$J103&lt;&gt;"",Units!$J103,Mkt!BZ104),Inputs!$B$15*Mkt!BZ104+(1-Inputs!$B$15)*MIN(Mkt!BZ104,BY104*(1+Inputs!$B$18))),BY104)))</f>
        <v>1820.92975220673</v>
      </c>
      <c r="CA104" s="11" t="n">
        <f aca="false">IF(CA$1&lt;Units!$P103,0,IF(AND(Units!$K103=0,CA$1=Units!$O103),Units!$R103,IF(AND(CA$1&gt;=Units!$Q103,MOD(CA$1-Units!$Q103,12)=0),IF(AND(Units!$L103=1,CA$1=Units!$Q103),IF(Units!$J103&lt;&gt;"",Units!$J103,Mkt!CA104),Inputs!$B$15*Mkt!CA104+(1-Inputs!$B$15)*MIN(Mkt!CA104,BZ104*(1+Inputs!$B$18))),BZ104)))</f>
        <v>1820.92975220673</v>
      </c>
      <c r="CB104" s="11" t="n">
        <f aca="false">IF(CB$1&lt;Units!$P103,0,IF(AND(Units!$K103=0,CB$1=Units!$O103),Units!$R103,IF(AND(CB$1&gt;=Units!$Q103,MOD(CB$1-Units!$Q103,12)=0),IF(AND(Units!$L103=1,CB$1=Units!$Q103),IF(Units!$J103&lt;&gt;"",Units!$J103,Mkt!CB104),Inputs!$B$15*Mkt!CB104+(1-Inputs!$B$15)*MIN(Mkt!CB104,CA104*(1+Inputs!$B$18))),CA104)))</f>
        <v>1820.92975220673</v>
      </c>
      <c r="CC104" s="11" t="n">
        <f aca="false">IF(CC$1&lt;Units!$P103,0,IF(AND(Units!$K103=0,CC$1=Units!$O103),Units!$R103,IF(AND(CC$1&gt;=Units!$Q103,MOD(CC$1-Units!$Q103,12)=0),IF(AND(Units!$L103=1,CC$1=Units!$Q103),IF(Units!$J103&lt;&gt;"",Units!$J103,Mkt!CC104),Inputs!$B$15*Mkt!CC104+(1-Inputs!$B$15)*MIN(Mkt!CC104,CB104*(1+Inputs!$B$18))),CB104)))</f>
        <v>1820.92975220673</v>
      </c>
      <c r="CD104" s="11" t="n">
        <f aca="false">IF(CD$1&lt;Units!$P103,0,IF(AND(Units!$K103=0,CD$1=Units!$O103),Units!$R103,IF(AND(CD$1&gt;=Units!$Q103,MOD(CD$1-Units!$Q103,12)=0),IF(AND(Units!$L103=1,CD$1=Units!$Q103),IF(Units!$J103&lt;&gt;"",Units!$J103,Mkt!CD104),Inputs!$B$15*Mkt!CD104+(1-Inputs!$B$15)*MIN(Mkt!CD104,CC104*(1+Inputs!$B$18))),CC104)))</f>
        <v>1820.92975220673</v>
      </c>
      <c r="CE104" s="11" t="n">
        <f aca="false">IF(CE$1&lt;Units!$P103,0,IF(AND(Units!$K103=0,CE$1=Units!$O103),Units!$R103,IF(AND(CE$1&gt;=Units!$Q103,MOD(CE$1-Units!$Q103,12)=0),IF(AND(Units!$L103=1,CE$1=Units!$Q103),IF(Units!$J103&lt;&gt;"",Units!$J103,Mkt!CE104),Inputs!$B$15*Mkt!CE104+(1-Inputs!$B$15)*MIN(Mkt!CE104,CD104*(1+Inputs!$B$18))),CD104)))</f>
        <v>1820.92975220673</v>
      </c>
      <c r="CF104" s="11" t="n">
        <f aca="false">IF(CF$1&lt;Units!$P103,0,IF(AND(Units!$K103=0,CF$1=Units!$O103),Units!$R103,IF(AND(CF$1&gt;=Units!$Q103,MOD(CF$1-Units!$Q103,12)=0),IF(AND(Units!$L103=1,CF$1=Units!$Q103),IF(Units!$J103&lt;&gt;"",Units!$J103,Mkt!CF104),Inputs!$B$15*Mkt!CF104+(1-Inputs!$B$15)*MIN(Mkt!CF104,CE104*(1+Inputs!$B$18))),CE104)))</f>
        <v>1820.92975220673</v>
      </c>
      <c r="CG104" s="11" t="n">
        <f aca="false">IF(CG$1&lt;Units!$P103,0,IF(AND(Units!$K103=0,CG$1=Units!$O103),Units!$R103,IF(AND(CG$1&gt;=Units!$Q103,MOD(CG$1-Units!$Q103,12)=0),IF(AND(Units!$L103=1,CG$1=Units!$Q103),IF(Units!$J103&lt;&gt;"",Units!$J103,Mkt!CG104),Inputs!$B$15*Mkt!CG104+(1-Inputs!$B$15)*MIN(Mkt!CG104,CF104*(1+Inputs!$B$18))),CF104)))</f>
        <v>1820.92975220673</v>
      </c>
      <c r="CH104" s="11" t="n">
        <f aca="false">IF(CH$1&lt;Units!$P103,0,IF(AND(Units!$K103=0,CH$1=Units!$O103),Units!$R103,IF(AND(CH$1&gt;=Units!$Q103,MOD(CH$1-Units!$Q103,12)=0),IF(AND(Units!$L103=1,CH$1=Units!$Q103),IF(Units!$J103&lt;&gt;"",Units!$J103,Mkt!CH104),Inputs!$B$15*Mkt!CH104+(1-Inputs!$B$15)*MIN(Mkt!CH104,CG104*(1+Inputs!$B$18))),CG104)))</f>
        <v>1820.92975220673</v>
      </c>
      <c r="CI104" s="11" t="n">
        <f aca="false">IF(CI$1&lt;Units!$P103,0,IF(AND(Units!$K103=0,CI$1=Units!$O103),Units!$R103,IF(AND(CI$1&gt;=Units!$Q103,MOD(CI$1-Units!$Q103,12)=0),IF(AND(Units!$L103=1,CI$1=Units!$Q103),IF(Units!$J103&lt;&gt;"",Units!$J103,Mkt!CI104),Inputs!$B$15*Mkt!CI104+(1-Inputs!$B$15)*MIN(Mkt!CI104,CH104*(1+Inputs!$B$18))),CH104)))</f>
        <v>1820.92975220673</v>
      </c>
      <c r="CJ104" s="11" t="n">
        <f aca="false">IF(CJ$1&lt;Units!$P103,0,IF(AND(Units!$K103=0,CJ$1=Units!$O103),Units!$R103,IF(AND(CJ$1&gt;=Units!$Q103,MOD(CJ$1-Units!$Q103,12)=0),IF(AND(Units!$L103=1,CJ$1=Units!$Q103),IF(Units!$J103&lt;&gt;"",Units!$J103,Mkt!CJ104),Inputs!$B$15*Mkt!CJ104+(1-Inputs!$B$15)*MIN(Mkt!CJ104,CI104*(1+Inputs!$B$18))),CI104)))</f>
        <v>1875.55764477293</v>
      </c>
      <c r="CK104" s="11" t="n">
        <f aca="false">IF(CK$1&lt;Units!$P103,0,IF(AND(Units!$K103=0,CK$1=Units!$O103),Units!$R103,IF(AND(CK$1&gt;=Units!$Q103,MOD(CK$1-Units!$Q103,12)=0),IF(AND(Units!$L103=1,CK$1=Units!$Q103),IF(Units!$J103&lt;&gt;"",Units!$J103,Mkt!CK104),Inputs!$B$15*Mkt!CK104+(1-Inputs!$B$15)*MIN(Mkt!CK104,CJ104*(1+Inputs!$B$18))),CJ104)))</f>
        <v>1875.55764477293</v>
      </c>
      <c r="CL104" s="11" t="n">
        <f aca="false">IF(CL$1&lt;Units!$P103,0,IF(AND(Units!$K103=0,CL$1=Units!$O103),Units!$R103,IF(AND(CL$1&gt;=Units!$Q103,MOD(CL$1-Units!$Q103,12)=0),IF(AND(Units!$L103=1,CL$1=Units!$Q103),IF(Units!$J103&lt;&gt;"",Units!$J103,Mkt!CL104),Inputs!$B$15*Mkt!CL104+(1-Inputs!$B$15)*MIN(Mkt!CL104,CK104*(1+Inputs!$B$18))),CK104)))</f>
        <v>1875.55764477293</v>
      </c>
      <c r="CM104" s="11" t="n">
        <f aca="false">IF(CM$1&lt;Units!$P103,0,IF(AND(Units!$K103=0,CM$1=Units!$O103),Units!$R103,IF(AND(CM$1&gt;=Units!$Q103,MOD(CM$1-Units!$Q103,12)=0),IF(AND(Units!$L103=1,CM$1=Units!$Q103),IF(Units!$J103&lt;&gt;"",Units!$J103,Mkt!CM104),Inputs!$B$15*Mkt!CM104+(1-Inputs!$B$15)*MIN(Mkt!CM104,CL104*(1+Inputs!$B$18))),CL104)))</f>
        <v>1875.55764477293</v>
      </c>
      <c r="CN104" s="11" t="n">
        <f aca="false">IF(CN$1&lt;Units!$P103,0,IF(AND(Units!$K103=0,CN$1=Units!$O103),Units!$R103,IF(AND(CN$1&gt;=Units!$Q103,MOD(CN$1-Units!$Q103,12)=0),IF(AND(Units!$L103=1,CN$1=Units!$Q103),IF(Units!$J103&lt;&gt;"",Units!$J103,Mkt!CN104),Inputs!$B$15*Mkt!CN104+(1-Inputs!$B$15)*MIN(Mkt!CN104,CM104*(1+Inputs!$B$18))),CM104)))</f>
        <v>1875.55764477293</v>
      </c>
      <c r="CO104" s="11" t="n">
        <f aca="false">IF(CO$1&lt;Units!$P103,0,IF(AND(Units!$K103=0,CO$1=Units!$O103),Units!$R103,IF(AND(CO$1&gt;=Units!$Q103,MOD(CO$1-Units!$Q103,12)=0),IF(AND(Units!$L103=1,CO$1=Units!$Q103),IF(Units!$J103&lt;&gt;"",Units!$J103,Mkt!CO104),Inputs!$B$15*Mkt!CO104+(1-Inputs!$B$15)*MIN(Mkt!CO104,CN104*(1+Inputs!$B$18))),CN104)))</f>
        <v>1875.55764477293</v>
      </c>
      <c r="CP104" s="11" t="n">
        <f aca="false">IF(CP$1&lt;Units!$P103,0,IF(AND(Units!$K103=0,CP$1=Units!$O103),Units!$R103,IF(AND(CP$1&gt;=Units!$Q103,MOD(CP$1-Units!$Q103,12)=0),IF(AND(Units!$L103=1,CP$1=Units!$Q103),IF(Units!$J103&lt;&gt;"",Units!$J103,Mkt!CP104),Inputs!$B$15*Mkt!CP104+(1-Inputs!$B$15)*MIN(Mkt!CP104,CO104*(1+Inputs!$B$18))),CO104)))</f>
        <v>1875.55764477293</v>
      </c>
      <c r="CQ104" s="11" t="n">
        <f aca="false">IF(CQ$1&lt;Units!$P103,0,IF(AND(Units!$K103=0,CQ$1=Units!$O103),Units!$R103,IF(AND(CQ$1&gt;=Units!$Q103,MOD(CQ$1-Units!$Q103,12)=0),IF(AND(Units!$L103=1,CQ$1=Units!$Q103),IF(Units!$J103&lt;&gt;"",Units!$J103,Mkt!CQ104),Inputs!$B$15*Mkt!CQ104+(1-Inputs!$B$15)*MIN(Mkt!CQ104,CP104*(1+Inputs!$B$18))),CP104)))</f>
        <v>1875.55764477293</v>
      </c>
      <c r="CR104" s="11" t="n">
        <f aca="false">IF(CR$1&lt;Units!$P103,0,IF(AND(Units!$K103=0,CR$1=Units!$O103),Units!$R103,IF(AND(CR$1&gt;=Units!$Q103,MOD(CR$1-Units!$Q103,12)=0),IF(AND(Units!$L103=1,CR$1=Units!$Q103),IF(Units!$J103&lt;&gt;"",Units!$J103,Mkt!CR104),Inputs!$B$15*Mkt!CR104+(1-Inputs!$B$15)*MIN(Mkt!CR104,CQ104*(1+Inputs!$B$18))),CQ104)))</f>
        <v>1875.55764477293</v>
      </c>
      <c r="CS104" s="11" t="n">
        <f aca="false">IF(CS$1&lt;Units!$P103,0,IF(AND(Units!$K103=0,CS$1=Units!$O103),Units!$R103,IF(AND(CS$1&gt;=Units!$Q103,MOD(CS$1-Units!$Q103,12)=0),IF(AND(Units!$L103=1,CS$1=Units!$Q103),IF(Units!$J103&lt;&gt;"",Units!$J103,Mkt!CS104),Inputs!$B$15*Mkt!CS104+(1-Inputs!$B$15)*MIN(Mkt!CS104,CR104*(1+Inputs!$B$18))),CR104)))</f>
        <v>1875.55764477293</v>
      </c>
      <c r="CT104" s="11" t="n">
        <f aca="false">IF(CT$1&lt;Units!$P103,0,IF(AND(Units!$K103=0,CT$1=Units!$O103),Units!$R103,IF(AND(CT$1&gt;=Units!$Q103,MOD(CT$1-Units!$Q103,12)=0),IF(AND(Units!$L103=1,CT$1=Units!$Q103),IF(Units!$J103&lt;&gt;"",Units!$J103,Mkt!CT104),Inputs!$B$15*Mkt!CT104+(1-Inputs!$B$15)*MIN(Mkt!CT104,CS104*(1+Inputs!$B$18))),CS104)))</f>
        <v>1875.55764477293</v>
      </c>
      <c r="CU104" s="11" t="n">
        <f aca="false">IF(CU$1&lt;Units!$P103,0,IF(AND(Units!$K103=0,CU$1=Units!$O103),Units!$R103,IF(AND(CU$1&gt;=Units!$Q103,MOD(CU$1-Units!$Q103,12)=0),IF(AND(Units!$L103=1,CU$1=Units!$Q103),IF(Units!$J103&lt;&gt;"",Units!$J103,Mkt!CU104),Inputs!$B$15*Mkt!CU104+(1-Inputs!$B$15)*MIN(Mkt!CU104,CT104*(1+Inputs!$B$18))),CT104)))</f>
        <v>1875.55764477293</v>
      </c>
      <c r="CV104" s="11" t="n">
        <f aca="false">IF(CV$1&lt;Units!$P103,0,IF(AND(Units!$K103=0,CV$1=Units!$O103),Units!$R103,IF(AND(CV$1&gt;=Units!$Q103,MOD(CV$1-Units!$Q103,12)=0),IF(AND(Units!$L103=1,CV$1=Units!$Q103),IF(Units!$J103&lt;&gt;"",Units!$J103,Mkt!CV104),Inputs!$B$15*Mkt!CV104+(1-Inputs!$B$15)*MIN(Mkt!CV104,CU104*(1+Inputs!$B$18))),CU104)))</f>
        <v>1931.82437411612</v>
      </c>
      <c r="CW104" s="11" t="n">
        <f aca="false">IF(CW$1&lt;Units!$P103,0,IF(AND(Units!$K103=0,CW$1=Units!$O103),Units!$R103,IF(AND(CW$1&gt;=Units!$Q103,MOD(CW$1-Units!$Q103,12)=0),IF(AND(Units!$L103=1,CW$1=Units!$Q103),IF(Units!$J103&lt;&gt;"",Units!$J103,Mkt!CW104),Inputs!$B$15*Mkt!CW104+(1-Inputs!$B$15)*MIN(Mkt!CW104,CV104*(1+Inputs!$B$18))),CV104)))</f>
        <v>1931.82437411612</v>
      </c>
      <c r="CX104" s="11" t="n">
        <f aca="false">IF(CX$1&lt;Units!$P103,0,IF(AND(Units!$K103=0,CX$1=Units!$O103),Units!$R103,IF(AND(CX$1&gt;=Units!$Q103,MOD(CX$1-Units!$Q103,12)=0),IF(AND(Units!$L103=1,CX$1=Units!$Q103),IF(Units!$J103&lt;&gt;"",Units!$J103,Mkt!CX104),Inputs!$B$15*Mkt!CX104+(1-Inputs!$B$15)*MIN(Mkt!CX104,CW104*(1+Inputs!$B$18))),CW104)))</f>
        <v>1931.82437411612</v>
      </c>
      <c r="CY104" s="11" t="n">
        <f aca="false">IF(CY$1&lt;Units!$P103,0,IF(AND(Units!$K103=0,CY$1=Units!$O103),Units!$R103,IF(AND(CY$1&gt;=Units!$Q103,MOD(CY$1-Units!$Q103,12)=0),IF(AND(Units!$L103=1,CY$1=Units!$Q103),IF(Units!$J103&lt;&gt;"",Units!$J103,Mkt!CY104),Inputs!$B$15*Mkt!CY104+(1-Inputs!$B$15)*MIN(Mkt!CY104,CX104*(1+Inputs!$B$18))),CX104)))</f>
        <v>1931.82437411612</v>
      </c>
      <c r="CZ104" s="11" t="n">
        <f aca="false">IF(CZ$1&lt;Units!$P103,0,IF(AND(Units!$K103=0,CZ$1=Units!$O103),Units!$R103,IF(AND(CZ$1&gt;=Units!$Q103,MOD(CZ$1-Units!$Q103,12)=0),IF(AND(Units!$L103=1,CZ$1=Units!$Q103),IF(Units!$J103&lt;&gt;"",Units!$J103,Mkt!CZ104),Inputs!$B$15*Mkt!CZ104+(1-Inputs!$B$15)*MIN(Mkt!CZ104,CY104*(1+Inputs!$B$18))),CY104)))</f>
        <v>1931.82437411612</v>
      </c>
      <c r="DA104" s="11" t="n">
        <f aca="false">IF(DA$1&lt;Units!$P103,0,IF(AND(Units!$K103=0,DA$1=Units!$O103),Units!$R103,IF(AND(DA$1&gt;=Units!$Q103,MOD(DA$1-Units!$Q103,12)=0),IF(AND(Units!$L103=1,DA$1=Units!$Q103),IF(Units!$J103&lt;&gt;"",Units!$J103,Mkt!DA104),Inputs!$B$15*Mkt!DA104+(1-Inputs!$B$15)*MIN(Mkt!DA104,CZ104*(1+Inputs!$B$18))),CZ104)))</f>
        <v>1931.82437411612</v>
      </c>
      <c r="DB104" s="11" t="n">
        <f aca="false">IF(DB$1&lt;Units!$P103,0,IF(AND(Units!$K103=0,DB$1=Units!$O103),Units!$R103,IF(AND(DB$1&gt;=Units!$Q103,MOD(DB$1-Units!$Q103,12)=0),IF(AND(Units!$L103=1,DB$1=Units!$Q103),IF(Units!$J103&lt;&gt;"",Units!$J103,Mkt!DB104),Inputs!$B$15*Mkt!DB104+(1-Inputs!$B$15)*MIN(Mkt!DB104,DA104*(1+Inputs!$B$18))),DA104)))</f>
        <v>1931.82437411612</v>
      </c>
      <c r="DC104" s="11" t="n">
        <f aca="false">IF(DC$1&lt;Units!$P103,0,IF(AND(Units!$K103=0,DC$1=Units!$O103),Units!$R103,IF(AND(DC$1&gt;=Units!$Q103,MOD(DC$1-Units!$Q103,12)=0),IF(AND(Units!$L103=1,DC$1=Units!$Q103),IF(Units!$J103&lt;&gt;"",Units!$J103,Mkt!DC104),Inputs!$B$15*Mkt!DC104+(1-Inputs!$B$15)*MIN(Mkt!DC104,DB104*(1+Inputs!$B$18))),DB104)))</f>
        <v>1931.82437411612</v>
      </c>
      <c r="DD104" s="11" t="n">
        <f aca="false">IF(DD$1&lt;Units!$P103,0,IF(AND(Units!$K103=0,DD$1=Units!$O103),Units!$R103,IF(AND(DD$1&gt;=Units!$Q103,MOD(DD$1-Units!$Q103,12)=0),IF(AND(Units!$L103=1,DD$1=Units!$Q103),IF(Units!$J103&lt;&gt;"",Units!$J103,Mkt!DD104),Inputs!$B$15*Mkt!DD104+(1-Inputs!$B$15)*MIN(Mkt!DD104,DC104*(1+Inputs!$B$18))),DC104)))</f>
        <v>1931.82437411612</v>
      </c>
      <c r="DE104" s="11" t="n">
        <f aca="false">IF(DE$1&lt;Units!$P103,0,IF(AND(Units!$K103=0,DE$1=Units!$O103),Units!$R103,IF(AND(DE$1&gt;=Units!$Q103,MOD(DE$1-Units!$Q103,12)=0),IF(AND(Units!$L103=1,DE$1=Units!$Q103),IF(Units!$J103&lt;&gt;"",Units!$J103,Mkt!DE104),Inputs!$B$15*Mkt!DE104+(1-Inputs!$B$15)*MIN(Mkt!DE104,DD104*(1+Inputs!$B$18))),DD104)))</f>
        <v>1931.82437411612</v>
      </c>
      <c r="DF104" s="11" t="n">
        <f aca="false">IF(DF$1&lt;Units!$P103,0,IF(AND(Units!$K103=0,DF$1=Units!$O103),Units!$R103,IF(AND(DF$1&gt;=Units!$Q103,MOD(DF$1-Units!$Q103,12)=0),IF(AND(Units!$L103=1,DF$1=Units!$Q103),IF(Units!$J103&lt;&gt;"",Units!$J103,Mkt!DF104),Inputs!$B$15*Mkt!DF104+(1-Inputs!$B$15)*MIN(Mkt!DF104,DE104*(1+Inputs!$B$18))),DE104)))</f>
        <v>1931.82437411612</v>
      </c>
      <c r="DG104" s="11" t="n">
        <f aca="false">IF(DG$1&lt;Units!$P103,0,IF(AND(Units!$K103=0,DG$1=Units!$O103),Units!$R103,IF(AND(DG$1&gt;=Units!$Q103,MOD(DG$1-Units!$Q103,12)=0),IF(AND(Units!$L103=1,DG$1=Units!$Q103),IF(Units!$J103&lt;&gt;"",Units!$J103,Mkt!DG104),Inputs!$B$15*Mkt!DG104+(1-Inputs!$B$15)*MIN(Mkt!DG104,DF104*(1+Inputs!$B$18))),DF104)))</f>
        <v>1931.82437411612</v>
      </c>
      <c r="DH104" s="11" t="n">
        <f aca="false">IF(DH$1&lt;Units!$P103,0,IF(AND(Units!$K103=0,DH$1=Units!$O103),Units!$R103,IF(AND(DH$1&gt;=Units!$Q103,MOD(DH$1-Units!$Q103,12)=0),IF(AND(Units!$L103=1,DH$1=Units!$Q103),IF(Units!$J103&lt;&gt;"",Units!$J103,Mkt!DH104),Inputs!$B$15*Mkt!DH104+(1-Inputs!$B$15)*MIN(Mkt!DH104,DG104*(1+Inputs!$B$18))),DG104)))</f>
        <v>1989.7791053396</v>
      </c>
      <c r="DI104" s="11" t="n">
        <f aca="false">IF(DI$1&lt;Units!$P103,0,IF(AND(Units!$K103=0,DI$1=Units!$O103),Units!$R103,IF(AND(DI$1&gt;=Units!$Q103,MOD(DI$1-Units!$Q103,12)=0),IF(AND(Units!$L103=1,DI$1=Units!$Q103),IF(Units!$J103&lt;&gt;"",Units!$J103,Mkt!DI104),Inputs!$B$15*Mkt!DI104+(1-Inputs!$B$15)*MIN(Mkt!DI104,DH104*(1+Inputs!$B$18))),DH104)))</f>
        <v>1989.7791053396</v>
      </c>
      <c r="DJ104" s="11" t="n">
        <f aca="false">IF(DJ$1&lt;Units!$P103,0,IF(AND(Units!$K103=0,DJ$1=Units!$O103),Units!$R103,IF(AND(DJ$1&gt;=Units!$Q103,MOD(DJ$1-Units!$Q103,12)=0),IF(AND(Units!$L103=1,DJ$1=Units!$Q103),IF(Units!$J103&lt;&gt;"",Units!$J103,Mkt!DJ104),Inputs!$B$15*Mkt!DJ104+(1-Inputs!$B$15)*MIN(Mkt!DJ104,DI104*(1+Inputs!$B$18))),DI104)))</f>
        <v>1989.7791053396</v>
      </c>
      <c r="DK104" s="11" t="n">
        <f aca="false">IF(DK$1&lt;Units!$P103,0,IF(AND(Units!$K103=0,DK$1=Units!$O103),Units!$R103,IF(AND(DK$1&gt;=Units!$Q103,MOD(DK$1-Units!$Q103,12)=0),IF(AND(Units!$L103=1,DK$1=Units!$Q103),IF(Units!$J103&lt;&gt;"",Units!$J103,Mkt!DK104),Inputs!$B$15*Mkt!DK104+(1-Inputs!$B$15)*MIN(Mkt!DK104,DJ104*(1+Inputs!$B$18))),DJ104)))</f>
        <v>1989.7791053396</v>
      </c>
      <c r="DL104" s="11" t="n">
        <f aca="false">IF(DL$1&lt;Units!$P103,0,IF(AND(Units!$K103=0,DL$1=Units!$O103),Units!$R103,IF(AND(DL$1&gt;=Units!$Q103,MOD(DL$1-Units!$Q103,12)=0),IF(AND(Units!$L103=1,DL$1=Units!$Q103),IF(Units!$J103&lt;&gt;"",Units!$J103,Mkt!DL104),Inputs!$B$15*Mkt!DL104+(1-Inputs!$B$15)*MIN(Mkt!DL104,DK104*(1+Inputs!$B$18))),DK104)))</f>
        <v>1989.7791053396</v>
      </c>
      <c r="DM104" s="11" t="n">
        <f aca="false">IF(DM$1&lt;Units!$P103,0,IF(AND(Units!$K103=0,DM$1=Units!$O103),Units!$R103,IF(AND(DM$1&gt;=Units!$Q103,MOD(DM$1-Units!$Q103,12)=0),IF(AND(Units!$L103=1,DM$1=Units!$Q103),IF(Units!$J103&lt;&gt;"",Units!$J103,Mkt!DM104),Inputs!$B$15*Mkt!DM104+(1-Inputs!$B$15)*MIN(Mkt!DM104,DL104*(1+Inputs!$B$18))),DL104)))</f>
        <v>1989.7791053396</v>
      </c>
      <c r="DN104" s="11" t="n">
        <f aca="false">IF(DN$1&lt;Units!$P103,0,IF(AND(Units!$K103=0,DN$1=Units!$O103),Units!$R103,IF(AND(DN$1&gt;=Units!$Q103,MOD(DN$1-Units!$Q103,12)=0),IF(AND(Units!$L103=1,DN$1=Units!$Q103),IF(Units!$J103&lt;&gt;"",Units!$J103,Mkt!DN104),Inputs!$B$15*Mkt!DN104+(1-Inputs!$B$15)*MIN(Mkt!DN104,DM104*(1+Inputs!$B$18))),DM104)))</f>
        <v>1989.7791053396</v>
      </c>
      <c r="DO104" s="11" t="n">
        <f aca="false">IF(DO$1&lt;Units!$P103,0,IF(AND(Units!$K103=0,DO$1=Units!$O103),Units!$R103,IF(AND(DO$1&gt;=Units!$Q103,MOD(DO$1-Units!$Q103,12)=0),IF(AND(Units!$L103=1,DO$1=Units!$Q103),IF(Units!$J103&lt;&gt;"",Units!$J103,Mkt!DO104),Inputs!$B$15*Mkt!DO104+(1-Inputs!$B$15)*MIN(Mkt!DO104,DN104*(1+Inputs!$B$18))),DN104)))</f>
        <v>1989.7791053396</v>
      </c>
      <c r="DP104" s="11" t="n">
        <f aca="false">IF(DP$1&lt;Units!$P103,0,IF(AND(Units!$K103=0,DP$1=Units!$O103),Units!$R103,IF(AND(DP$1&gt;=Units!$Q103,MOD(DP$1-Units!$Q103,12)=0),IF(AND(Units!$L103=1,DP$1=Units!$Q103),IF(Units!$J103&lt;&gt;"",Units!$J103,Mkt!DP104),Inputs!$B$15*Mkt!DP104+(1-Inputs!$B$15)*MIN(Mkt!DP104,DO104*(1+Inputs!$B$18))),DO104)))</f>
        <v>1989.7791053396</v>
      </c>
      <c r="DQ104" s="11" t="n">
        <f aca="false">IF(DQ$1&lt;Units!$P103,0,IF(AND(Units!$K103=0,DQ$1=Units!$O103),Units!$R103,IF(AND(DQ$1&gt;=Units!$Q103,MOD(DQ$1-Units!$Q103,12)=0),IF(AND(Units!$L103=1,DQ$1=Units!$Q103),IF(Units!$J103&lt;&gt;"",Units!$J103,Mkt!DQ104),Inputs!$B$15*Mkt!DQ104+(1-Inputs!$B$15)*MIN(Mkt!DQ104,DP104*(1+Inputs!$B$18))),DP104)))</f>
        <v>1989.7791053396</v>
      </c>
      <c r="DR104" s="11" t="n">
        <f aca="false">IF(DR$1&lt;Units!$P103,0,IF(AND(Units!$K103=0,DR$1=Units!$O103),Units!$R103,IF(AND(DR$1&gt;=Units!$Q103,MOD(DR$1-Units!$Q103,12)=0),IF(AND(Units!$L103=1,DR$1=Units!$Q103),IF(Units!$J103&lt;&gt;"",Units!$J103,Mkt!DR104),Inputs!$B$15*Mkt!DR104+(1-Inputs!$B$15)*MIN(Mkt!DR104,DQ104*(1+Inputs!$B$18))),DQ104)))</f>
        <v>1989.7791053396</v>
      </c>
      <c r="DS104" s="11" t="n">
        <f aca="false">IF(DS$1&lt;Units!$P103,0,IF(AND(Units!$K103=0,DS$1=Units!$O103),Units!$R103,IF(AND(DS$1&gt;=Units!$Q103,MOD(DS$1-Units!$Q103,12)=0),IF(AND(Units!$L103=1,DS$1=Units!$Q103),IF(Units!$J103&lt;&gt;"",Units!$J103,Mkt!DS104),Inputs!$B$15*Mkt!DS104+(1-Inputs!$B$15)*MIN(Mkt!DS104,DR104*(1+Inputs!$B$18))),DR104)))</f>
        <v>1989.7791053396</v>
      </c>
      <c r="DT104" s="11" t="n">
        <f aca="false">IF(DT$1&lt;Units!$P103,0,IF(AND(Units!$K103=0,DT$1=Units!$O103),Units!$R103,IF(AND(DT$1&gt;=Units!$Q103,MOD(DT$1-Units!$Q103,12)=0),IF(AND(Units!$L103=1,DT$1=Units!$Q103),IF(Units!$J103&lt;&gt;"",Units!$J103,Mkt!DT104),Inputs!$B$15*Mkt!DT104+(1-Inputs!$B$15)*MIN(Mkt!DT104,DS104*(1+Inputs!$B$18))),DS104)))</f>
        <v>2049.47247849979</v>
      </c>
      <c r="DU104" s="11" t="n">
        <f aca="false">IF(DU$1&lt;Units!$P103,0,IF(AND(Units!$K103=0,DU$1=Units!$O103),Units!$R103,IF(AND(DU$1&gt;=Units!$Q103,MOD(DU$1-Units!$Q103,12)=0),IF(AND(Units!$L103=1,DU$1=Units!$Q103),IF(Units!$J103&lt;&gt;"",Units!$J103,Mkt!DU104),Inputs!$B$15*Mkt!DU104+(1-Inputs!$B$15)*MIN(Mkt!DU104,DT104*(1+Inputs!$B$18))),DT104)))</f>
        <v>2049.47247849979</v>
      </c>
      <c r="DV104" s="11" t="n">
        <f aca="false">IF(DV$1&lt;Units!$P103,0,IF(AND(Units!$K103=0,DV$1=Units!$O103),Units!$R103,IF(AND(DV$1&gt;=Units!$Q103,MOD(DV$1-Units!$Q103,12)=0),IF(AND(Units!$L103=1,DV$1=Units!$Q103),IF(Units!$J103&lt;&gt;"",Units!$J103,Mkt!DV104),Inputs!$B$15*Mkt!DV104+(1-Inputs!$B$15)*MIN(Mkt!DV104,DU104*(1+Inputs!$B$18))),DU104)))</f>
        <v>2049.47247849979</v>
      </c>
      <c r="DW104" s="11" t="n">
        <f aca="false">IF(DW$1&lt;Units!$P103,0,IF(AND(Units!$K103=0,DW$1=Units!$O103),Units!$R103,IF(AND(DW$1&gt;=Units!$Q103,MOD(DW$1-Units!$Q103,12)=0),IF(AND(Units!$L103=1,DW$1=Units!$Q103),IF(Units!$J103&lt;&gt;"",Units!$J103,Mkt!DW104),Inputs!$B$15*Mkt!DW104+(1-Inputs!$B$15)*MIN(Mkt!DW104,DV104*(1+Inputs!$B$18))),DV104)))</f>
        <v>2049.47247849979</v>
      </c>
      <c r="DX104" s="11" t="n">
        <f aca="false">IF(DX$1&lt;Units!$P103,0,IF(AND(Units!$K103=0,DX$1=Units!$O103),Units!$R103,IF(AND(DX$1&gt;=Units!$Q103,MOD(DX$1-Units!$Q103,12)=0),IF(AND(Units!$L103=1,DX$1=Units!$Q103),IF(Units!$J103&lt;&gt;"",Units!$J103,Mkt!DX104),Inputs!$B$15*Mkt!DX104+(1-Inputs!$B$15)*MIN(Mkt!DX104,DW104*(1+Inputs!$B$18))),DW104)))</f>
        <v>2049.47247849979</v>
      </c>
      <c r="DY104" s="11" t="n">
        <f aca="false">IF(DY$1&lt;Units!$P103,0,IF(AND(Units!$K103=0,DY$1=Units!$O103),Units!$R103,IF(AND(DY$1&gt;=Units!$Q103,MOD(DY$1-Units!$Q103,12)=0),IF(AND(Units!$L103=1,DY$1=Units!$Q103),IF(Units!$J103&lt;&gt;"",Units!$J103,Mkt!DY104),Inputs!$B$15*Mkt!DY104+(1-Inputs!$B$15)*MIN(Mkt!DY104,DX104*(1+Inputs!$B$18))),DX104)))</f>
        <v>2049.47247849979</v>
      </c>
      <c r="DZ104" s="11" t="n">
        <f aca="false">IF(DZ$1&lt;Units!$P103,0,IF(AND(Units!$K103=0,DZ$1=Units!$O103),Units!$R103,IF(AND(DZ$1&gt;=Units!$Q103,MOD(DZ$1-Units!$Q103,12)=0),IF(AND(Units!$L103=1,DZ$1=Units!$Q103),IF(Units!$J103&lt;&gt;"",Units!$J103,Mkt!DZ104),Inputs!$B$15*Mkt!DZ104+(1-Inputs!$B$15)*MIN(Mkt!DZ104,DY104*(1+Inputs!$B$18))),DY104)))</f>
        <v>2049.47247849979</v>
      </c>
      <c r="EA104" s="11" t="n">
        <f aca="false">IF(EA$1&lt;Units!$P103,0,IF(AND(Units!$K103=0,EA$1=Units!$O103),Units!$R103,IF(AND(EA$1&gt;=Units!$Q103,MOD(EA$1-Units!$Q103,12)=0),IF(AND(Units!$L103=1,EA$1=Units!$Q103),IF(Units!$J103&lt;&gt;"",Units!$J103,Mkt!EA104),Inputs!$B$15*Mkt!EA104+(1-Inputs!$B$15)*MIN(Mkt!EA104,DZ104*(1+Inputs!$B$18))),DZ104)))</f>
        <v>2049.47247849979</v>
      </c>
      <c r="EB104" s="11" t="n">
        <f aca="false">IF(EB$1&lt;Units!$P103,0,IF(AND(Units!$K103=0,EB$1=Units!$O103),Units!$R103,IF(AND(EB$1&gt;=Units!$Q103,MOD(EB$1-Units!$Q103,12)=0),IF(AND(Units!$L103=1,EB$1=Units!$Q103),IF(Units!$J103&lt;&gt;"",Units!$J103,Mkt!EB104),Inputs!$B$15*Mkt!EB104+(1-Inputs!$B$15)*MIN(Mkt!EB104,EA104*(1+Inputs!$B$18))),EA104)))</f>
        <v>2049.47247849979</v>
      </c>
      <c r="EC104" s="11" t="n">
        <f aca="false">IF(EC$1&lt;Units!$P103,0,IF(AND(Units!$K103=0,EC$1=Units!$O103),Units!$R103,IF(AND(EC$1&gt;=Units!$Q103,MOD(EC$1-Units!$Q103,12)=0),IF(AND(Units!$L103=1,EC$1=Units!$Q103),IF(Units!$J103&lt;&gt;"",Units!$J103,Mkt!EC104),Inputs!$B$15*Mkt!EC104+(1-Inputs!$B$15)*MIN(Mkt!EC104,EB104*(1+Inputs!$B$18))),EB104)))</f>
        <v>2049.47247849979</v>
      </c>
      <c r="ED104" s="11" t="n">
        <f aca="false">IF(ED$1&lt;Units!$P103,0,IF(AND(Units!$K103=0,ED$1=Units!$O103),Units!$R103,IF(AND(ED$1&gt;=Units!$Q103,MOD(ED$1-Units!$Q103,12)=0),IF(AND(Units!$L103=1,ED$1=Units!$Q103),IF(Units!$J103&lt;&gt;"",Units!$J103,Mkt!ED104),Inputs!$B$15*Mkt!ED104+(1-Inputs!$B$15)*MIN(Mkt!ED104,EC104*(1+Inputs!$B$18))),EC104)))</f>
        <v>2049.47247849979</v>
      </c>
    </row>
    <row r="105" customFormat="false" ht="15" hidden="false" customHeight="false" outlineLevel="0" collapsed="false">
      <c r="A105" s="22" t="n">
        <f aca="false">Units!A104</f>
        <v>413</v>
      </c>
      <c r="B105" s="24" t="n">
        <f aca="false">IF(Units!K104=1,Units!F104,0)</f>
        <v>1170</v>
      </c>
      <c r="C105" s="11" t="n">
        <f aca="false">IF(C$1&lt;Units!$P104,0,IF(AND(Units!$K104=0,C$1=Units!$O104),Units!$R104,IF(AND(C$1&gt;=Units!$Q104,MOD(C$1-Units!$Q104,12)=0),IF(AND(Units!$L104=1,C$1=Units!$Q104),IF(Units!$J104&lt;&gt;"",Units!$J104,Mkt!C105),Inputs!$B$15*Mkt!C105+(1-Inputs!$B$15)*MIN(Mkt!C105,B105*(1+Inputs!$B$18))),B105)))</f>
        <v>1170</v>
      </c>
      <c r="D105" s="11" t="n">
        <f aca="false">IF(D$1&lt;Units!$P104,0,IF(AND(Units!$K104=0,D$1=Units!$O104),Units!$R104,IF(AND(D$1&gt;=Units!$Q104,MOD(D$1-Units!$Q104,12)=0),IF(AND(Units!$L104=1,D$1=Units!$Q104),IF(Units!$J104&lt;&gt;"",Units!$J104,Mkt!D105),Inputs!$B$15*Mkt!D105+(1-Inputs!$B$15)*MIN(Mkt!D105,C105*(1+Inputs!$B$18))),C105)))</f>
        <v>1170</v>
      </c>
      <c r="E105" s="11" t="n">
        <f aca="false">IF(E$1&lt;Units!$P104,0,IF(AND(Units!$K104=0,E$1=Units!$O104),Units!$R104,IF(AND(E$1&gt;=Units!$Q104,MOD(E$1-Units!$Q104,12)=0),IF(AND(Units!$L104=1,E$1=Units!$Q104),IF(Units!$J104&lt;&gt;"",Units!$J104,Mkt!E105),Inputs!$B$15*Mkt!E105+(1-Inputs!$B$15)*MIN(Mkt!E105,D105*(1+Inputs!$B$18))),D105)))</f>
        <v>1261.75</v>
      </c>
      <c r="F105" s="11" t="n">
        <f aca="false">IF(F$1&lt;Units!$P104,0,IF(AND(Units!$K104=0,F$1=Units!$O104),Units!$R104,IF(AND(F$1&gt;=Units!$Q104,MOD(F$1-Units!$Q104,12)=0),IF(AND(Units!$L104=1,F$1=Units!$Q104),IF(Units!$J104&lt;&gt;"",Units!$J104,Mkt!F105),Inputs!$B$15*Mkt!F105+(1-Inputs!$B$15)*MIN(Mkt!F105,E105*(1+Inputs!$B$18))),E105)))</f>
        <v>1261.75</v>
      </c>
      <c r="G105" s="11" t="n">
        <f aca="false">IF(G$1&lt;Units!$P104,0,IF(AND(Units!$K104=0,G$1=Units!$O104),Units!$R104,IF(AND(G$1&gt;=Units!$Q104,MOD(G$1-Units!$Q104,12)=0),IF(AND(Units!$L104=1,G$1=Units!$Q104),IF(Units!$J104&lt;&gt;"",Units!$J104,Mkt!G105),Inputs!$B$15*Mkt!G105+(1-Inputs!$B$15)*MIN(Mkt!G105,F105*(1+Inputs!$B$18))),F105)))</f>
        <v>1261.75</v>
      </c>
      <c r="H105" s="11" t="n">
        <f aca="false">IF(H$1&lt;Units!$P104,0,IF(AND(Units!$K104=0,H$1=Units!$O104),Units!$R104,IF(AND(H$1&gt;=Units!$Q104,MOD(H$1-Units!$Q104,12)=0),IF(AND(Units!$L104=1,H$1=Units!$Q104),IF(Units!$J104&lt;&gt;"",Units!$J104,Mkt!H105),Inputs!$B$15*Mkt!H105+(1-Inputs!$B$15)*MIN(Mkt!H105,G105*(1+Inputs!$B$18))),G105)))</f>
        <v>1261.75</v>
      </c>
      <c r="I105" s="11" t="n">
        <f aca="false">IF(I$1&lt;Units!$P104,0,IF(AND(Units!$K104=0,I$1=Units!$O104),Units!$R104,IF(AND(I$1&gt;=Units!$Q104,MOD(I$1-Units!$Q104,12)=0),IF(AND(Units!$L104=1,I$1=Units!$Q104),IF(Units!$J104&lt;&gt;"",Units!$J104,Mkt!I105),Inputs!$B$15*Mkt!I105+(1-Inputs!$B$15)*MIN(Mkt!I105,H105*(1+Inputs!$B$18))),H105)))</f>
        <v>1261.75</v>
      </c>
      <c r="J105" s="11" t="n">
        <f aca="false">IF(J$1&lt;Units!$P104,0,IF(AND(Units!$K104=0,J$1=Units!$O104),Units!$R104,IF(AND(J$1&gt;=Units!$Q104,MOD(J$1-Units!$Q104,12)=0),IF(AND(Units!$L104=1,J$1=Units!$Q104),IF(Units!$J104&lt;&gt;"",Units!$J104,Mkt!J105),Inputs!$B$15*Mkt!J105+(1-Inputs!$B$15)*MIN(Mkt!J105,I105*(1+Inputs!$B$18))),I105)))</f>
        <v>1261.75</v>
      </c>
      <c r="K105" s="11" t="n">
        <f aca="false">IF(K$1&lt;Units!$P104,0,IF(AND(Units!$K104=0,K$1=Units!$O104),Units!$R104,IF(AND(K$1&gt;=Units!$Q104,MOD(K$1-Units!$Q104,12)=0),IF(AND(Units!$L104=1,K$1=Units!$Q104),IF(Units!$J104&lt;&gt;"",Units!$J104,Mkt!K105),Inputs!$B$15*Mkt!K105+(1-Inputs!$B$15)*MIN(Mkt!K105,J105*(1+Inputs!$B$18))),J105)))</f>
        <v>1261.75</v>
      </c>
      <c r="L105" s="11" t="n">
        <f aca="false">IF(L$1&lt;Units!$P104,0,IF(AND(Units!$K104=0,L$1=Units!$O104),Units!$R104,IF(AND(L$1&gt;=Units!$Q104,MOD(L$1-Units!$Q104,12)=0),IF(AND(Units!$L104=1,L$1=Units!$Q104),IF(Units!$J104&lt;&gt;"",Units!$J104,Mkt!L105),Inputs!$B$15*Mkt!L105+(1-Inputs!$B$15)*MIN(Mkt!L105,K105*(1+Inputs!$B$18))),K105)))</f>
        <v>1261.75</v>
      </c>
      <c r="M105" s="11" t="n">
        <f aca="false">IF(M$1&lt;Units!$P104,0,IF(AND(Units!$K104=0,M$1=Units!$O104),Units!$R104,IF(AND(M$1&gt;=Units!$Q104,MOD(M$1-Units!$Q104,12)=0),IF(AND(Units!$L104=1,M$1=Units!$Q104),IF(Units!$J104&lt;&gt;"",Units!$J104,Mkt!M105),Inputs!$B$15*Mkt!M105+(1-Inputs!$B$15)*MIN(Mkt!M105,L105*(1+Inputs!$B$18))),L105)))</f>
        <v>1261.75</v>
      </c>
      <c r="N105" s="11" t="n">
        <f aca="false">IF(N$1&lt;Units!$P104,0,IF(AND(Units!$K104=0,N$1=Units!$O104),Units!$R104,IF(AND(N$1&gt;=Units!$Q104,MOD(N$1-Units!$Q104,12)=0),IF(AND(Units!$L104=1,N$1=Units!$Q104),IF(Units!$J104&lt;&gt;"",Units!$J104,Mkt!N105),Inputs!$B$15*Mkt!N105+(1-Inputs!$B$15)*MIN(Mkt!N105,M105*(1+Inputs!$B$18))),M105)))</f>
        <v>1261.75</v>
      </c>
      <c r="O105" s="11" t="n">
        <f aca="false">IF(O$1&lt;Units!$P104,0,IF(AND(Units!$K104=0,O$1=Units!$O104),Units!$R104,IF(AND(O$1&gt;=Units!$Q104,MOD(O$1-Units!$Q104,12)=0),IF(AND(Units!$L104=1,O$1=Units!$Q104),IF(Units!$J104&lt;&gt;"",Units!$J104,Mkt!O105),Inputs!$B$15*Mkt!O105+(1-Inputs!$B$15)*MIN(Mkt!O105,N105*(1+Inputs!$B$18))),N105)))</f>
        <v>1261.75</v>
      </c>
      <c r="P105" s="11" t="n">
        <f aca="false">IF(P$1&lt;Units!$P104,0,IF(AND(Units!$K104=0,P$1=Units!$O104),Units!$R104,IF(AND(P$1&gt;=Units!$Q104,MOD(P$1-Units!$Q104,12)=0),IF(AND(Units!$L104=1,P$1=Units!$Q104),IF(Units!$J104&lt;&gt;"",Units!$J104,Mkt!P105),Inputs!$B$15*Mkt!P105+(1-Inputs!$B$15)*MIN(Mkt!P105,O105*(1+Inputs!$B$18))),O105)))</f>
        <v>1261.75</v>
      </c>
      <c r="Q105" s="11" t="n">
        <f aca="false">IF(Q$1&lt;Units!$P104,0,IF(AND(Units!$K104=0,Q$1=Units!$O104),Units!$R104,IF(AND(Q$1&gt;=Units!$Q104,MOD(Q$1-Units!$Q104,12)=0),IF(AND(Units!$L104=1,Q$1=Units!$Q104),IF(Units!$J104&lt;&gt;"",Units!$J104,Mkt!Q105),Inputs!$B$15*Mkt!Q105+(1-Inputs!$B$15)*MIN(Mkt!Q105,P105*(1+Inputs!$B$18))),P105)))</f>
        <v>1329.34375</v>
      </c>
      <c r="R105" s="11" t="n">
        <f aca="false">IF(R$1&lt;Units!$P104,0,IF(AND(Units!$K104=0,R$1=Units!$O104),Units!$R104,IF(AND(R$1&gt;=Units!$Q104,MOD(R$1-Units!$Q104,12)=0),IF(AND(Units!$L104=1,R$1=Units!$Q104),IF(Units!$J104&lt;&gt;"",Units!$J104,Mkt!R105),Inputs!$B$15*Mkt!R105+(1-Inputs!$B$15)*MIN(Mkt!R105,Q105*(1+Inputs!$B$18))),Q105)))</f>
        <v>1329.34375</v>
      </c>
      <c r="S105" s="11" t="n">
        <f aca="false">IF(S$1&lt;Units!$P104,0,IF(AND(Units!$K104=0,S$1=Units!$O104),Units!$R104,IF(AND(S$1&gt;=Units!$Q104,MOD(S$1-Units!$Q104,12)=0),IF(AND(Units!$L104=1,S$1=Units!$Q104),IF(Units!$J104&lt;&gt;"",Units!$J104,Mkt!S105),Inputs!$B$15*Mkt!S105+(1-Inputs!$B$15)*MIN(Mkt!S105,R105*(1+Inputs!$B$18))),R105)))</f>
        <v>1329.34375</v>
      </c>
      <c r="T105" s="11" t="n">
        <f aca="false">IF(T$1&lt;Units!$P104,0,IF(AND(Units!$K104=0,T$1=Units!$O104),Units!$R104,IF(AND(T$1&gt;=Units!$Q104,MOD(T$1-Units!$Q104,12)=0),IF(AND(Units!$L104=1,T$1=Units!$Q104),IF(Units!$J104&lt;&gt;"",Units!$J104,Mkt!T105),Inputs!$B$15*Mkt!T105+(1-Inputs!$B$15)*MIN(Mkt!T105,S105*(1+Inputs!$B$18))),S105)))</f>
        <v>1329.34375</v>
      </c>
      <c r="U105" s="11" t="n">
        <f aca="false">IF(U$1&lt;Units!$P104,0,IF(AND(Units!$K104=0,U$1=Units!$O104),Units!$R104,IF(AND(U$1&gt;=Units!$Q104,MOD(U$1-Units!$Q104,12)=0),IF(AND(Units!$L104=1,U$1=Units!$Q104),IF(Units!$J104&lt;&gt;"",Units!$J104,Mkt!U105),Inputs!$B$15*Mkt!U105+(1-Inputs!$B$15)*MIN(Mkt!U105,T105*(1+Inputs!$B$18))),T105)))</f>
        <v>1329.34375</v>
      </c>
      <c r="V105" s="11" t="n">
        <f aca="false">IF(V$1&lt;Units!$P104,0,IF(AND(Units!$K104=0,V$1=Units!$O104),Units!$R104,IF(AND(V$1&gt;=Units!$Q104,MOD(V$1-Units!$Q104,12)=0),IF(AND(Units!$L104=1,V$1=Units!$Q104),IF(Units!$J104&lt;&gt;"",Units!$J104,Mkt!V105),Inputs!$B$15*Mkt!V105+(1-Inputs!$B$15)*MIN(Mkt!V105,U105*(1+Inputs!$B$18))),U105)))</f>
        <v>1329.34375</v>
      </c>
      <c r="W105" s="11" t="n">
        <f aca="false">IF(W$1&lt;Units!$P104,0,IF(AND(Units!$K104=0,W$1=Units!$O104),Units!$R104,IF(AND(W$1&gt;=Units!$Q104,MOD(W$1-Units!$Q104,12)=0),IF(AND(Units!$L104=1,W$1=Units!$Q104),IF(Units!$J104&lt;&gt;"",Units!$J104,Mkt!W105),Inputs!$B$15*Mkt!W105+(1-Inputs!$B$15)*MIN(Mkt!W105,V105*(1+Inputs!$B$18))),V105)))</f>
        <v>1329.34375</v>
      </c>
      <c r="X105" s="11" t="n">
        <f aca="false">IF(X$1&lt;Units!$P104,0,IF(AND(Units!$K104=0,X$1=Units!$O104),Units!$R104,IF(AND(X$1&gt;=Units!$Q104,MOD(X$1-Units!$Q104,12)=0),IF(AND(Units!$L104=1,X$1=Units!$Q104),IF(Units!$J104&lt;&gt;"",Units!$J104,Mkt!X105),Inputs!$B$15*Mkt!X105+(1-Inputs!$B$15)*MIN(Mkt!X105,W105*(1+Inputs!$B$18))),W105)))</f>
        <v>1329.34375</v>
      </c>
      <c r="Y105" s="11" t="n">
        <f aca="false">IF(Y$1&lt;Units!$P104,0,IF(AND(Units!$K104=0,Y$1=Units!$O104),Units!$R104,IF(AND(Y$1&gt;=Units!$Q104,MOD(Y$1-Units!$Q104,12)=0),IF(AND(Units!$L104=1,Y$1=Units!$Q104),IF(Units!$J104&lt;&gt;"",Units!$J104,Mkt!Y105),Inputs!$B$15*Mkt!Y105+(1-Inputs!$B$15)*MIN(Mkt!Y105,X105*(1+Inputs!$B$18))),X105)))</f>
        <v>1329.34375</v>
      </c>
      <c r="Z105" s="11" t="n">
        <f aca="false">IF(Z$1&lt;Units!$P104,0,IF(AND(Units!$K104=0,Z$1=Units!$O104),Units!$R104,IF(AND(Z$1&gt;=Units!$Q104,MOD(Z$1-Units!$Q104,12)=0),IF(AND(Units!$L104=1,Z$1=Units!$Q104),IF(Units!$J104&lt;&gt;"",Units!$J104,Mkt!Z105),Inputs!$B$15*Mkt!Z105+(1-Inputs!$B$15)*MIN(Mkt!Z105,Y105*(1+Inputs!$B$18))),Y105)))</f>
        <v>1329.34375</v>
      </c>
      <c r="AA105" s="11" t="n">
        <f aca="false">IF(AA$1&lt;Units!$P104,0,IF(AND(Units!$K104=0,AA$1=Units!$O104),Units!$R104,IF(AND(AA$1&gt;=Units!$Q104,MOD(AA$1-Units!$Q104,12)=0),IF(AND(Units!$L104=1,AA$1=Units!$Q104),IF(Units!$J104&lt;&gt;"",Units!$J104,Mkt!AA105),Inputs!$B$15*Mkt!AA105+(1-Inputs!$B$15)*MIN(Mkt!AA105,Z105*(1+Inputs!$B$18))),Z105)))</f>
        <v>1329.34375</v>
      </c>
      <c r="AB105" s="11" t="n">
        <f aca="false">IF(AB$1&lt;Units!$P104,0,IF(AND(Units!$K104=0,AB$1=Units!$O104),Units!$R104,IF(AND(AB$1&gt;=Units!$Q104,MOD(AB$1-Units!$Q104,12)=0),IF(AND(Units!$L104=1,AB$1=Units!$Q104),IF(Units!$J104&lt;&gt;"",Units!$J104,Mkt!AB105),Inputs!$B$15*Mkt!AB105+(1-Inputs!$B$15)*MIN(Mkt!AB105,AA105*(1+Inputs!$B$18))),AA105)))</f>
        <v>1329.34375</v>
      </c>
      <c r="AC105" s="11" t="n">
        <f aca="false">IF(AC$1&lt;Units!$P104,0,IF(AND(Units!$K104=0,AC$1=Units!$O104),Units!$R104,IF(AND(AC$1&gt;=Units!$Q104,MOD(AC$1-Units!$Q104,12)=0),IF(AND(Units!$L104=1,AC$1=Units!$Q104),IF(Units!$J104&lt;&gt;"",Units!$J104,Mkt!AC105),Inputs!$B$15*Mkt!AC105+(1-Inputs!$B$15)*MIN(Mkt!AC105,AB105*(1+Inputs!$B$18))),AB105)))</f>
        <v>1373.8655</v>
      </c>
      <c r="AD105" s="11" t="n">
        <f aca="false">IF(AD$1&lt;Units!$P104,0,IF(AND(Units!$K104=0,AD$1=Units!$O104),Units!$R104,IF(AND(AD$1&gt;=Units!$Q104,MOD(AD$1-Units!$Q104,12)=0),IF(AND(Units!$L104=1,AD$1=Units!$Q104),IF(Units!$J104&lt;&gt;"",Units!$J104,Mkt!AD105),Inputs!$B$15*Mkt!AD105+(1-Inputs!$B$15)*MIN(Mkt!AD105,AC105*(1+Inputs!$B$18))),AC105)))</f>
        <v>1373.8655</v>
      </c>
      <c r="AE105" s="11" t="n">
        <f aca="false">IF(AE$1&lt;Units!$P104,0,IF(AND(Units!$K104=0,AE$1=Units!$O104),Units!$R104,IF(AND(AE$1&gt;=Units!$Q104,MOD(AE$1-Units!$Q104,12)=0),IF(AND(Units!$L104=1,AE$1=Units!$Q104),IF(Units!$J104&lt;&gt;"",Units!$J104,Mkt!AE105),Inputs!$B$15*Mkt!AE105+(1-Inputs!$B$15)*MIN(Mkt!AE105,AD105*(1+Inputs!$B$18))),AD105)))</f>
        <v>1373.8655</v>
      </c>
      <c r="AF105" s="11" t="n">
        <f aca="false">IF(AF$1&lt;Units!$P104,0,IF(AND(Units!$K104=0,AF$1=Units!$O104),Units!$R104,IF(AND(AF$1&gt;=Units!$Q104,MOD(AF$1-Units!$Q104,12)=0),IF(AND(Units!$L104=1,AF$1=Units!$Q104),IF(Units!$J104&lt;&gt;"",Units!$J104,Mkt!AF105),Inputs!$B$15*Mkt!AF105+(1-Inputs!$B$15)*MIN(Mkt!AF105,AE105*(1+Inputs!$B$18))),AE105)))</f>
        <v>1373.8655</v>
      </c>
      <c r="AG105" s="11" t="n">
        <f aca="false">IF(AG$1&lt;Units!$P104,0,IF(AND(Units!$K104=0,AG$1=Units!$O104),Units!$R104,IF(AND(AG$1&gt;=Units!$Q104,MOD(AG$1-Units!$Q104,12)=0),IF(AND(Units!$L104=1,AG$1=Units!$Q104),IF(Units!$J104&lt;&gt;"",Units!$J104,Mkt!AG105),Inputs!$B$15*Mkt!AG105+(1-Inputs!$B$15)*MIN(Mkt!AG105,AF105*(1+Inputs!$B$18))),AF105)))</f>
        <v>1373.8655</v>
      </c>
      <c r="AH105" s="11" t="n">
        <f aca="false">IF(AH$1&lt;Units!$P104,0,IF(AND(Units!$K104=0,AH$1=Units!$O104),Units!$R104,IF(AND(AH$1&gt;=Units!$Q104,MOD(AH$1-Units!$Q104,12)=0),IF(AND(Units!$L104=1,AH$1=Units!$Q104),IF(Units!$J104&lt;&gt;"",Units!$J104,Mkt!AH105),Inputs!$B$15*Mkt!AH105+(1-Inputs!$B$15)*MIN(Mkt!AH105,AG105*(1+Inputs!$B$18))),AG105)))</f>
        <v>1373.8655</v>
      </c>
      <c r="AI105" s="11" t="n">
        <f aca="false">IF(AI$1&lt;Units!$P104,0,IF(AND(Units!$K104=0,AI$1=Units!$O104),Units!$R104,IF(AND(AI$1&gt;=Units!$Q104,MOD(AI$1-Units!$Q104,12)=0),IF(AND(Units!$L104=1,AI$1=Units!$Q104),IF(Units!$J104&lt;&gt;"",Units!$J104,Mkt!AI105),Inputs!$B$15*Mkt!AI105+(1-Inputs!$B$15)*MIN(Mkt!AI105,AH105*(1+Inputs!$B$18))),AH105)))</f>
        <v>1373.8655</v>
      </c>
      <c r="AJ105" s="11" t="n">
        <f aca="false">IF(AJ$1&lt;Units!$P104,0,IF(AND(Units!$K104=0,AJ$1=Units!$O104),Units!$R104,IF(AND(AJ$1&gt;=Units!$Q104,MOD(AJ$1-Units!$Q104,12)=0),IF(AND(Units!$L104=1,AJ$1=Units!$Q104),IF(Units!$J104&lt;&gt;"",Units!$J104,Mkt!AJ105),Inputs!$B$15*Mkt!AJ105+(1-Inputs!$B$15)*MIN(Mkt!AJ105,AI105*(1+Inputs!$B$18))),AI105)))</f>
        <v>1373.8655</v>
      </c>
      <c r="AK105" s="11" t="n">
        <f aca="false">IF(AK$1&lt;Units!$P104,0,IF(AND(Units!$K104=0,AK$1=Units!$O104),Units!$R104,IF(AND(AK$1&gt;=Units!$Q104,MOD(AK$1-Units!$Q104,12)=0),IF(AND(Units!$L104=1,AK$1=Units!$Q104),IF(Units!$J104&lt;&gt;"",Units!$J104,Mkt!AK105),Inputs!$B$15*Mkt!AK105+(1-Inputs!$B$15)*MIN(Mkt!AK105,AJ105*(1+Inputs!$B$18))),AJ105)))</f>
        <v>1373.8655</v>
      </c>
      <c r="AL105" s="11" t="n">
        <f aca="false">IF(AL$1&lt;Units!$P104,0,IF(AND(Units!$K104=0,AL$1=Units!$O104),Units!$R104,IF(AND(AL$1&gt;=Units!$Q104,MOD(AL$1-Units!$Q104,12)=0),IF(AND(Units!$L104=1,AL$1=Units!$Q104),IF(Units!$J104&lt;&gt;"",Units!$J104,Mkt!AL105),Inputs!$B$15*Mkt!AL105+(1-Inputs!$B$15)*MIN(Mkt!AL105,AK105*(1+Inputs!$B$18))),AK105)))</f>
        <v>1373.8655</v>
      </c>
      <c r="AM105" s="11" t="n">
        <f aca="false">IF(AM$1&lt;Units!$P104,0,IF(AND(Units!$K104=0,AM$1=Units!$O104),Units!$R104,IF(AND(AM$1&gt;=Units!$Q104,MOD(AM$1-Units!$Q104,12)=0),IF(AND(Units!$L104=1,AM$1=Units!$Q104),IF(Units!$J104&lt;&gt;"",Units!$J104,Mkt!AM105),Inputs!$B$15*Mkt!AM105+(1-Inputs!$B$15)*MIN(Mkt!AM105,AL105*(1+Inputs!$B$18))),AL105)))</f>
        <v>1373.8655</v>
      </c>
      <c r="AN105" s="11" t="n">
        <f aca="false">IF(AN$1&lt;Units!$P104,0,IF(AND(Units!$K104=0,AN$1=Units!$O104),Units!$R104,IF(AND(AN$1&gt;=Units!$Q104,MOD(AN$1-Units!$Q104,12)=0),IF(AND(Units!$L104=1,AN$1=Units!$Q104),IF(Units!$J104&lt;&gt;"",Units!$J104,Mkt!AN105),Inputs!$B$15*Mkt!AN105+(1-Inputs!$B$15)*MIN(Mkt!AN105,AM105*(1+Inputs!$B$18))),AM105)))</f>
        <v>1373.8655</v>
      </c>
      <c r="AO105" s="11" t="n">
        <f aca="false">IF(AO$1&lt;Units!$P104,0,IF(AND(Units!$K104=0,AO$1=Units!$O104),Units!$R104,IF(AND(AO$1&gt;=Units!$Q104,MOD(AO$1-Units!$Q104,12)=0),IF(AND(Units!$L104=1,AO$1=Units!$Q104),IF(Units!$J104&lt;&gt;"",Units!$J104,Mkt!AO105),Inputs!$B$15*Mkt!AO105+(1-Inputs!$B$15)*MIN(Mkt!AO105,AN105*(1+Inputs!$B$18))),AN105)))</f>
        <v>1415.081465</v>
      </c>
      <c r="AP105" s="11" t="n">
        <f aca="false">IF(AP$1&lt;Units!$P104,0,IF(AND(Units!$K104=0,AP$1=Units!$O104),Units!$R104,IF(AND(AP$1&gt;=Units!$Q104,MOD(AP$1-Units!$Q104,12)=0),IF(AND(Units!$L104=1,AP$1=Units!$Q104),IF(Units!$J104&lt;&gt;"",Units!$J104,Mkt!AP105),Inputs!$B$15*Mkt!AP105+(1-Inputs!$B$15)*MIN(Mkt!AP105,AO105*(1+Inputs!$B$18))),AO105)))</f>
        <v>1415.081465</v>
      </c>
      <c r="AQ105" s="11" t="n">
        <f aca="false">IF(AQ$1&lt;Units!$P104,0,IF(AND(Units!$K104=0,AQ$1=Units!$O104),Units!$R104,IF(AND(AQ$1&gt;=Units!$Q104,MOD(AQ$1-Units!$Q104,12)=0),IF(AND(Units!$L104=1,AQ$1=Units!$Q104),IF(Units!$J104&lt;&gt;"",Units!$J104,Mkt!AQ105),Inputs!$B$15*Mkt!AQ105+(1-Inputs!$B$15)*MIN(Mkt!AQ105,AP105*(1+Inputs!$B$18))),AP105)))</f>
        <v>1415.081465</v>
      </c>
      <c r="AR105" s="11" t="n">
        <f aca="false">IF(AR$1&lt;Units!$P104,0,IF(AND(Units!$K104=0,AR$1=Units!$O104),Units!$R104,IF(AND(AR$1&gt;=Units!$Q104,MOD(AR$1-Units!$Q104,12)=0),IF(AND(Units!$L104=1,AR$1=Units!$Q104),IF(Units!$J104&lt;&gt;"",Units!$J104,Mkt!AR105),Inputs!$B$15*Mkt!AR105+(1-Inputs!$B$15)*MIN(Mkt!AR105,AQ105*(1+Inputs!$B$18))),AQ105)))</f>
        <v>1415.081465</v>
      </c>
      <c r="AS105" s="11" t="n">
        <f aca="false">IF(AS$1&lt;Units!$P104,0,IF(AND(Units!$K104=0,AS$1=Units!$O104),Units!$R104,IF(AND(AS$1&gt;=Units!$Q104,MOD(AS$1-Units!$Q104,12)=0),IF(AND(Units!$L104=1,AS$1=Units!$Q104),IF(Units!$J104&lt;&gt;"",Units!$J104,Mkt!AS105),Inputs!$B$15*Mkt!AS105+(1-Inputs!$B$15)*MIN(Mkt!AS105,AR105*(1+Inputs!$B$18))),AR105)))</f>
        <v>1415.081465</v>
      </c>
      <c r="AT105" s="11" t="n">
        <f aca="false">IF(AT$1&lt;Units!$P104,0,IF(AND(Units!$K104=0,AT$1=Units!$O104),Units!$R104,IF(AND(AT$1&gt;=Units!$Q104,MOD(AT$1-Units!$Q104,12)=0),IF(AND(Units!$L104=1,AT$1=Units!$Q104),IF(Units!$J104&lt;&gt;"",Units!$J104,Mkt!AT105),Inputs!$B$15*Mkt!AT105+(1-Inputs!$B$15)*MIN(Mkt!AT105,AS105*(1+Inputs!$B$18))),AS105)))</f>
        <v>1415.081465</v>
      </c>
      <c r="AU105" s="11" t="n">
        <f aca="false">IF(AU$1&lt;Units!$P104,0,IF(AND(Units!$K104=0,AU$1=Units!$O104),Units!$R104,IF(AND(AU$1&gt;=Units!$Q104,MOD(AU$1-Units!$Q104,12)=0),IF(AND(Units!$L104=1,AU$1=Units!$Q104),IF(Units!$J104&lt;&gt;"",Units!$J104,Mkt!AU105),Inputs!$B$15*Mkt!AU105+(1-Inputs!$B$15)*MIN(Mkt!AU105,AT105*(1+Inputs!$B$18))),AT105)))</f>
        <v>1415.081465</v>
      </c>
      <c r="AV105" s="11" t="n">
        <f aca="false">IF(AV$1&lt;Units!$P104,0,IF(AND(Units!$K104=0,AV$1=Units!$O104),Units!$R104,IF(AND(AV$1&gt;=Units!$Q104,MOD(AV$1-Units!$Q104,12)=0),IF(AND(Units!$L104=1,AV$1=Units!$Q104),IF(Units!$J104&lt;&gt;"",Units!$J104,Mkt!AV105),Inputs!$B$15*Mkt!AV105+(1-Inputs!$B$15)*MIN(Mkt!AV105,AU105*(1+Inputs!$B$18))),AU105)))</f>
        <v>1415.081465</v>
      </c>
      <c r="AW105" s="11" t="n">
        <f aca="false">IF(AW$1&lt;Units!$P104,0,IF(AND(Units!$K104=0,AW$1=Units!$O104),Units!$R104,IF(AND(AW$1&gt;=Units!$Q104,MOD(AW$1-Units!$Q104,12)=0),IF(AND(Units!$L104=1,AW$1=Units!$Q104),IF(Units!$J104&lt;&gt;"",Units!$J104,Mkt!AW105),Inputs!$B$15*Mkt!AW105+(1-Inputs!$B$15)*MIN(Mkt!AW105,AV105*(1+Inputs!$B$18))),AV105)))</f>
        <v>1415.081465</v>
      </c>
      <c r="AX105" s="11" t="n">
        <f aca="false">IF(AX$1&lt;Units!$P104,0,IF(AND(Units!$K104=0,AX$1=Units!$O104),Units!$R104,IF(AND(AX$1&gt;=Units!$Q104,MOD(AX$1-Units!$Q104,12)=0),IF(AND(Units!$L104=1,AX$1=Units!$Q104),IF(Units!$J104&lt;&gt;"",Units!$J104,Mkt!AX105),Inputs!$B$15*Mkt!AX105+(1-Inputs!$B$15)*MIN(Mkt!AX105,AW105*(1+Inputs!$B$18))),AW105)))</f>
        <v>1415.081465</v>
      </c>
      <c r="AY105" s="11" t="n">
        <f aca="false">IF(AY$1&lt;Units!$P104,0,IF(AND(Units!$K104=0,AY$1=Units!$O104),Units!$R104,IF(AND(AY$1&gt;=Units!$Q104,MOD(AY$1-Units!$Q104,12)=0),IF(AND(Units!$L104=1,AY$1=Units!$Q104),IF(Units!$J104&lt;&gt;"",Units!$J104,Mkt!AY105),Inputs!$B$15*Mkt!AY105+(1-Inputs!$B$15)*MIN(Mkt!AY105,AX105*(1+Inputs!$B$18))),AX105)))</f>
        <v>1415.081465</v>
      </c>
      <c r="AZ105" s="11" t="n">
        <f aca="false">IF(AZ$1&lt;Units!$P104,0,IF(AND(Units!$K104=0,AZ$1=Units!$O104),Units!$R104,IF(AND(AZ$1&gt;=Units!$Q104,MOD(AZ$1-Units!$Q104,12)=0),IF(AND(Units!$L104=1,AZ$1=Units!$Q104),IF(Units!$J104&lt;&gt;"",Units!$J104,Mkt!AZ105),Inputs!$B$15*Mkt!AZ105+(1-Inputs!$B$15)*MIN(Mkt!AZ105,AY105*(1+Inputs!$B$18))),AY105)))</f>
        <v>1415.081465</v>
      </c>
      <c r="BA105" s="11" t="n">
        <f aca="false">IF(BA$1&lt;Units!$P104,0,IF(AND(Units!$K104=0,BA$1=Units!$O104),Units!$R104,IF(AND(BA$1&gt;=Units!$Q104,MOD(BA$1-Units!$Q104,12)=0),IF(AND(Units!$L104=1,BA$1=Units!$Q104),IF(Units!$J104&lt;&gt;"",Units!$J104,Mkt!BA105),Inputs!$B$15*Mkt!BA105+(1-Inputs!$B$15)*MIN(Mkt!BA105,AZ105*(1+Inputs!$B$18))),AZ105)))</f>
        <v>1457.53390895</v>
      </c>
      <c r="BB105" s="11" t="n">
        <f aca="false">IF(BB$1&lt;Units!$P104,0,IF(AND(Units!$K104=0,BB$1=Units!$O104),Units!$R104,IF(AND(BB$1&gt;=Units!$Q104,MOD(BB$1-Units!$Q104,12)=0),IF(AND(Units!$L104=1,BB$1=Units!$Q104),IF(Units!$J104&lt;&gt;"",Units!$J104,Mkt!BB105),Inputs!$B$15*Mkt!BB105+(1-Inputs!$B$15)*MIN(Mkt!BB105,BA105*(1+Inputs!$B$18))),BA105)))</f>
        <v>1457.53390895</v>
      </c>
      <c r="BC105" s="11" t="n">
        <f aca="false">IF(BC$1&lt;Units!$P104,0,IF(AND(Units!$K104=0,BC$1=Units!$O104),Units!$R104,IF(AND(BC$1&gt;=Units!$Q104,MOD(BC$1-Units!$Q104,12)=0),IF(AND(Units!$L104=1,BC$1=Units!$Q104),IF(Units!$J104&lt;&gt;"",Units!$J104,Mkt!BC105),Inputs!$B$15*Mkt!BC105+(1-Inputs!$B$15)*MIN(Mkt!BC105,BB105*(1+Inputs!$B$18))),BB105)))</f>
        <v>1457.53390895</v>
      </c>
      <c r="BD105" s="11" t="n">
        <f aca="false">IF(BD$1&lt;Units!$P104,0,IF(AND(Units!$K104=0,BD$1=Units!$O104),Units!$R104,IF(AND(BD$1&gt;=Units!$Q104,MOD(BD$1-Units!$Q104,12)=0),IF(AND(Units!$L104=1,BD$1=Units!$Q104),IF(Units!$J104&lt;&gt;"",Units!$J104,Mkt!BD105),Inputs!$B$15*Mkt!BD105+(1-Inputs!$B$15)*MIN(Mkt!BD105,BC105*(1+Inputs!$B$18))),BC105)))</f>
        <v>1457.53390895</v>
      </c>
      <c r="BE105" s="11" t="n">
        <f aca="false">IF(BE$1&lt;Units!$P104,0,IF(AND(Units!$K104=0,BE$1=Units!$O104),Units!$R104,IF(AND(BE$1&gt;=Units!$Q104,MOD(BE$1-Units!$Q104,12)=0),IF(AND(Units!$L104=1,BE$1=Units!$Q104),IF(Units!$J104&lt;&gt;"",Units!$J104,Mkt!BE105),Inputs!$B$15*Mkt!BE105+(1-Inputs!$B$15)*MIN(Mkt!BE105,BD105*(1+Inputs!$B$18))),BD105)))</f>
        <v>1457.53390895</v>
      </c>
      <c r="BF105" s="11" t="n">
        <f aca="false">IF(BF$1&lt;Units!$P104,0,IF(AND(Units!$K104=0,BF$1=Units!$O104),Units!$R104,IF(AND(BF$1&gt;=Units!$Q104,MOD(BF$1-Units!$Q104,12)=0),IF(AND(Units!$L104=1,BF$1=Units!$Q104),IF(Units!$J104&lt;&gt;"",Units!$J104,Mkt!BF105),Inputs!$B$15*Mkt!BF105+(1-Inputs!$B$15)*MIN(Mkt!BF105,BE105*(1+Inputs!$B$18))),BE105)))</f>
        <v>1457.53390895</v>
      </c>
      <c r="BG105" s="11" t="n">
        <f aca="false">IF(BG$1&lt;Units!$P104,0,IF(AND(Units!$K104=0,BG$1=Units!$O104),Units!$R104,IF(AND(BG$1&gt;=Units!$Q104,MOD(BG$1-Units!$Q104,12)=0),IF(AND(Units!$L104=1,BG$1=Units!$Q104),IF(Units!$J104&lt;&gt;"",Units!$J104,Mkt!BG105),Inputs!$B$15*Mkt!BG105+(1-Inputs!$B$15)*MIN(Mkt!BG105,BF105*(1+Inputs!$B$18))),BF105)))</f>
        <v>1457.53390895</v>
      </c>
      <c r="BH105" s="11" t="n">
        <f aca="false">IF(BH$1&lt;Units!$P104,0,IF(AND(Units!$K104=0,BH$1=Units!$O104),Units!$R104,IF(AND(BH$1&gt;=Units!$Q104,MOD(BH$1-Units!$Q104,12)=0),IF(AND(Units!$L104=1,BH$1=Units!$Q104),IF(Units!$J104&lt;&gt;"",Units!$J104,Mkt!BH105),Inputs!$B$15*Mkt!BH105+(1-Inputs!$B$15)*MIN(Mkt!BH105,BG105*(1+Inputs!$B$18))),BG105)))</f>
        <v>1457.53390895</v>
      </c>
      <c r="BI105" s="11" t="n">
        <f aca="false">IF(BI$1&lt;Units!$P104,0,IF(AND(Units!$K104=0,BI$1=Units!$O104),Units!$R104,IF(AND(BI$1&gt;=Units!$Q104,MOD(BI$1-Units!$Q104,12)=0),IF(AND(Units!$L104=1,BI$1=Units!$Q104),IF(Units!$J104&lt;&gt;"",Units!$J104,Mkt!BI105),Inputs!$B$15*Mkt!BI105+(1-Inputs!$B$15)*MIN(Mkt!BI105,BH105*(1+Inputs!$B$18))),BH105)))</f>
        <v>1457.53390895</v>
      </c>
      <c r="BJ105" s="11" t="n">
        <f aca="false">IF(BJ$1&lt;Units!$P104,0,IF(AND(Units!$K104=0,BJ$1=Units!$O104),Units!$R104,IF(AND(BJ$1&gt;=Units!$Q104,MOD(BJ$1-Units!$Q104,12)=0),IF(AND(Units!$L104=1,BJ$1=Units!$Q104),IF(Units!$J104&lt;&gt;"",Units!$J104,Mkt!BJ105),Inputs!$B$15*Mkt!BJ105+(1-Inputs!$B$15)*MIN(Mkt!BJ105,BI105*(1+Inputs!$B$18))),BI105)))</f>
        <v>1457.53390895</v>
      </c>
      <c r="BK105" s="11" t="n">
        <f aca="false">IF(BK$1&lt;Units!$P104,0,IF(AND(Units!$K104=0,BK$1=Units!$O104),Units!$R104,IF(AND(BK$1&gt;=Units!$Q104,MOD(BK$1-Units!$Q104,12)=0),IF(AND(Units!$L104=1,BK$1=Units!$Q104),IF(Units!$J104&lt;&gt;"",Units!$J104,Mkt!BK105),Inputs!$B$15*Mkt!BK105+(1-Inputs!$B$15)*MIN(Mkt!BK105,BJ105*(1+Inputs!$B$18))),BJ105)))</f>
        <v>1457.53390895</v>
      </c>
      <c r="BL105" s="11" t="n">
        <f aca="false">IF(BL$1&lt;Units!$P104,0,IF(AND(Units!$K104=0,BL$1=Units!$O104),Units!$R104,IF(AND(BL$1&gt;=Units!$Q104,MOD(BL$1-Units!$Q104,12)=0),IF(AND(Units!$L104=1,BL$1=Units!$Q104),IF(Units!$J104&lt;&gt;"",Units!$J104,Mkt!BL105),Inputs!$B$15*Mkt!BL105+(1-Inputs!$B$15)*MIN(Mkt!BL105,BK105*(1+Inputs!$B$18))),BK105)))</f>
        <v>1457.53390895</v>
      </c>
      <c r="BM105" s="11" t="n">
        <f aca="false">IF(BM$1&lt;Units!$P104,0,IF(AND(Units!$K104=0,BM$1=Units!$O104),Units!$R104,IF(AND(BM$1&gt;=Units!$Q104,MOD(BM$1-Units!$Q104,12)=0),IF(AND(Units!$L104=1,BM$1=Units!$Q104),IF(Units!$J104&lt;&gt;"",Units!$J104,Mkt!BM105),Inputs!$B$15*Mkt!BM105+(1-Inputs!$B$15)*MIN(Mkt!BM105,BL105*(1+Inputs!$B$18))),BL105)))</f>
        <v>1501.2599262185</v>
      </c>
      <c r="BN105" s="11" t="n">
        <f aca="false">IF(BN$1&lt;Units!$P104,0,IF(AND(Units!$K104=0,BN$1=Units!$O104),Units!$R104,IF(AND(BN$1&gt;=Units!$Q104,MOD(BN$1-Units!$Q104,12)=0),IF(AND(Units!$L104=1,BN$1=Units!$Q104),IF(Units!$J104&lt;&gt;"",Units!$J104,Mkt!BN105),Inputs!$B$15*Mkt!BN105+(1-Inputs!$B$15)*MIN(Mkt!BN105,BM105*(1+Inputs!$B$18))),BM105)))</f>
        <v>1501.2599262185</v>
      </c>
      <c r="BO105" s="11" t="n">
        <f aca="false">IF(BO$1&lt;Units!$P104,0,IF(AND(Units!$K104=0,BO$1=Units!$O104),Units!$R104,IF(AND(BO$1&gt;=Units!$Q104,MOD(BO$1-Units!$Q104,12)=0),IF(AND(Units!$L104=1,BO$1=Units!$Q104),IF(Units!$J104&lt;&gt;"",Units!$J104,Mkt!BO105),Inputs!$B$15*Mkt!BO105+(1-Inputs!$B$15)*MIN(Mkt!BO105,BN105*(1+Inputs!$B$18))),BN105)))</f>
        <v>1501.2599262185</v>
      </c>
      <c r="BP105" s="11" t="n">
        <f aca="false">IF(BP$1&lt;Units!$P104,0,IF(AND(Units!$K104=0,BP$1=Units!$O104),Units!$R104,IF(AND(BP$1&gt;=Units!$Q104,MOD(BP$1-Units!$Q104,12)=0),IF(AND(Units!$L104=1,BP$1=Units!$Q104),IF(Units!$J104&lt;&gt;"",Units!$J104,Mkt!BP105),Inputs!$B$15*Mkt!BP105+(1-Inputs!$B$15)*MIN(Mkt!BP105,BO105*(1+Inputs!$B$18))),BO105)))</f>
        <v>1501.2599262185</v>
      </c>
      <c r="BQ105" s="11" t="n">
        <f aca="false">IF(BQ$1&lt;Units!$P104,0,IF(AND(Units!$K104=0,BQ$1=Units!$O104),Units!$R104,IF(AND(BQ$1&gt;=Units!$Q104,MOD(BQ$1-Units!$Q104,12)=0),IF(AND(Units!$L104=1,BQ$1=Units!$Q104),IF(Units!$J104&lt;&gt;"",Units!$J104,Mkt!BQ105),Inputs!$B$15*Mkt!BQ105+(1-Inputs!$B$15)*MIN(Mkt!BQ105,BP105*(1+Inputs!$B$18))),BP105)))</f>
        <v>1501.2599262185</v>
      </c>
      <c r="BR105" s="11" t="n">
        <f aca="false">IF(BR$1&lt;Units!$P104,0,IF(AND(Units!$K104=0,BR$1=Units!$O104),Units!$R104,IF(AND(BR$1&gt;=Units!$Q104,MOD(BR$1-Units!$Q104,12)=0),IF(AND(Units!$L104=1,BR$1=Units!$Q104),IF(Units!$J104&lt;&gt;"",Units!$J104,Mkt!BR105),Inputs!$B$15*Mkt!BR105+(1-Inputs!$B$15)*MIN(Mkt!BR105,BQ105*(1+Inputs!$B$18))),BQ105)))</f>
        <v>1501.2599262185</v>
      </c>
      <c r="BS105" s="11" t="n">
        <f aca="false">IF(BS$1&lt;Units!$P104,0,IF(AND(Units!$K104=0,BS$1=Units!$O104),Units!$R104,IF(AND(BS$1&gt;=Units!$Q104,MOD(BS$1-Units!$Q104,12)=0),IF(AND(Units!$L104=1,BS$1=Units!$Q104),IF(Units!$J104&lt;&gt;"",Units!$J104,Mkt!BS105),Inputs!$B$15*Mkt!BS105+(1-Inputs!$B$15)*MIN(Mkt!BS105,BR105*(1+Inputs!$B$18))),BR105)))</f>
        <v>1501.2599262185</v>
      </c>
      <c r="BT105" s="11" t="n">
        <f aca="false">IF(BT$1&lt;Units!$P104,0,IF(AND(Units!$K104=0,BT$1=Units!$O104),Units!$R104,IF(AND(BT$1&gt;=Units!$Q104,MOD(BT$1-Units!$Q104,12)=0),IF(AND(Units!$L104=1,BT$1=Units!$Q104),IF(Units!$J104&lt;&gt;"",Units!$J104,Mkt!BT105),Inputs!$B$15*Mkt!BT105+(1-Inputs!$B$15)*MIN(Mkt!BT105,BS105*(1+Inputs!$B$18))),BS105)))</f>
        <v>1501.2599262185</v>
      </c>
      <c r="BU105" s="11" t="n">
        <f aca="false">IF(BU$1&lt;Units!$P104,0,IF(AND(Units!$K104=0,BU$1=Units!$O104),Units!$R104,IF(AND(BU$1&gt;=Units!$Q104,MOD(BU$1-Units!$Q104,12)=0),IF(AND(Units!$L104=1,BU$1=Units!$Q104),IF(Units!$J104&lt;&gt;"",Units!$J104,Mkt!BU105),Inputs!$B$15*Mkt!BU105+(1-Inputs!$B$15)*MIN(Mkt!BU105,BT105*(1+Inputs!$B$18))),BT105)))</f>
        <v>1501.2599262185</v>
      </c>
      <c r="BV105" s="11" t="n">
        <f aca="false">IF(BV$1&lt;Units!$P104,0,IF(AND(Units!$K104=0,BV$1=Units!$O104),Units!$R104,IF(AND(BV$1&gt;=Units!$Q104,MOD(BV$1-Units!$Q104,12)=0),IF(AND(Units!$L104=1,BV$1=Units!$Q104),IF(Units!$J104&lt;&gt;"",Units!$J104,Mkt!BV105),Inputs!$B$15*Mkt!BV105+(1-Inputs!$B$15)*MIN(Mkt!BV105,BU105*(1+Inputs!$B$18))),BU105)))</f>
        <v>1501.2599262185</v>
      </c>
      <c r="BW105" s="11" t="n">
        <f aca="false">IF(BW$1&lt;Units!$P104,0,IF(AND(Units!$K104=0,BW$1=Units!$O104),Units!$R104,IF(AND(BW$1&gt;=Units!$Q104,MOD(BW$1-Units!$Q104,12)=0),IF(AND(Units!$L104=1,BW$1=Units!$Q104),IF(Units!$J104&lt;&gt;"",Units!$J104,Mkt!BW105),Inputs!$B$15*Mkt!BW105+(1-Inputs!$B$15)*MIN(Mkt!BW105,BV105*(1+Inputs!$B$18))),BV105)))</f>
        <v>1501.2599262185</v>
      </c>
      <c r="BX105" s="11" t="n">
        <f aca="false">IF(BX$1&lt;Units!$P104,0,IF(AND(Units!$K104=0,BX$1=Units!$O104),Units!$R104,IF(AND(BX$1&gt;=Units!$Q104,MOD(BX$1-Units!$Q104,12)=0),IF(AND(Units!$L104=1,BX$1=Units!$Q104),IF(Units!$J104&lt;&gt;"",Units!$J104,Mkt!BX105),Inputs!$B$15*Mkt!BX105+(1-Inputs!$B$15)*MIN(Mkt!BX105,BW105*(1+Inputs!$B$18))),BW105)))</f>
        <v>1501.2599262185</v>
      </c>
      <c r="BY105" s="11" t="n">
        <f aca="false">IF(BY$1&lt;Units!$P104,0,IF(AND(Units!$K104=0,BY$1=Units!$O104),Units!$R104,IF(AND(BY$1&gt;=Units!$Q104,MOD(BY$1-Units!$Q104,12)=0),IF(AND(Units!$L104=1,BY$1=Units!$Q104),IF(Units!$J104&lt;&gt;"",Units!$J104,Mkt!BY105),Inputs!$B$15*Mkt!BY105+(1-Inputs!$B$15)*MIN(Mkt!BY105,BX105*(1+Inputs!$B$18))),BX105)))</f>
        <v>1546.29772400506</v>
      </c>
      <c r="BZ105" s="11" t="n">
        <f aca="false">IF(BZ$1&lt;Units!$P104,0,IF(AND(Units!$K104=0,BZ$1=Units!$O104),Units!$R104,IF(AND(BZ$1&gt;=Units!$Q104,MOD(BZ$1-Units!$Q104,12)=0),IF(AND(Units!$L104=1,BZ$1=Units!$Q104),IF(Units!$J104&lt;&gt;"",Units!$J104,Mkt!BZ105),Inputs!$B$15*Mkt!BZ105+(1-Inputs!$B$15)*MIN(Mkt!BZ105,BY105*(1+Inputs!$B$18))),BY105)))</f>
        <v>1546.29772400506</v>
      </c>
      <c r="CA105" s="11" t="n">
        <f aca="false">IF(CA$1&lt;Units!$P104,0,IF(AND(Units!$K104=0,CA$1=Units!$O104),Units!$R104,IF(AND(CA$1&gt;=Units!$Q104,MOD(CA$1-Units!$Q104,12)=0),IF(AND(Units!$L104=1,CA$1=Units!$Q104),IF(Units!$J104&lt;&gt;"",Units!$J104,Mkt!CA105),Inputs!$B$15*Mkt!CA105+(1-Inputs!$B$15)*MIN(Mkt!CA105,BZ105*(1+Inputs!$B$18))),BZ105)))</f>
        <v>1546.29772400506</v>
      </c>
      <c r="CB105" s="11" t="n">
        <f aca="false">IF(CB$1&lt;Units!$P104,0,IF(AND(Units!$K104=0,CB$1=Units!$O104),Units!$R104,IF(AND(CB$1&gt;=Units!$Q104,MOD(CB$1-Units!$Q104,12)=0),IF(AND(Units!$L104=1,CB$1=Units!$Q104),IF(Units!$J104&lt;&gt;"",Units!$J104,Mkt!CB105),Inputs!$B$15*Mkt!CB105+(1-Inputs!$B$15)*MIN(Mkt!CB105,CA105*(1+Inputs!$B$18))),CA105)))</f>
        <v>1546.29772400506</v>
      </c>
      <c r="CC105" s="11" t="n">
        <f aca="false">IF(CC$1&lt;Units!$P104,0,IF(AND(Units!$K104=0,CC$1=Units!$O104),Units!$R104,IF(AND(CC$1&gt;=Units!$Q104,MOD(CC$1-Units!$Q104,12)=0),IF(AND(Units!$L104=1,CC$1=Units!$Q104),IF(Units!$J104&lt;&gt;"",Units!$J104,Mkt!CC105),Inputs!$B$15*Mkt!CC105+(1-Inputs!$B$15)*MIN(Mkt!CC105,CB105*(1+Inputs!$B$18))),CB105)))</f>
        <v>1546.29772400506</v>
      </c>
      <c r="CD105" s="11" t="n">
        <f aca="false">IF(CD$1&lt;Units!$P104,0,IF(AND(Units!$K104=0,CD$1=Units!$O104),Units!$R104,IF(AND(CD$1&gt;=Units!$Q104,MOD(CD$1-Units!$Q104,12)=0),IF(AND(Units!$L104=1,CD$1=Units!$Q104),IF(Units!$J104&lt;&gt;"",Units!$J104,Mkt!CD105),Inputs!$B$15*Mkt!CD105+(1-Inputs!$B$15)*MIN(Mkt!CD105,CC105*(1+Inputs!$B$18))),CC105)))</f>
        <v>1546.29772400506</v>
      </c>
      <c r="CE105" s="11" t="n">
        <f aca="false">IF(CE$1&lt;Units!$P104,0,IF(AND(Units!$K104=0,CE$1=Units!$O104),Units!$R104,IF(AND(CE$1&gt;=Units!$Q104,MOD(CE$1-Units!$Q104,12)=0),IF(AND(Units!$L104=1,CE$1=Units!$Q104),IF(Units!$J104&lt;&gt;"",Units!$J104,Mkt!CE105),Inputs!$B$15*Mkt!CE105+(1-Inputs!$B$15)*MIN(Mkt!CE105,CD105*(1+Inputs!$B$18))),CD105)))</f>
        <v>1546.29772400506</v>
      </c>
      <c r="CF105" s="11" t="n">
        <f aca="false">IF(CF$1&lt;Units!$P104,0,IF(AND(Units!$K104=0,CF$1=Units!$O104),Units!$R104,IF(AND(CF$1&gt;=Units!$Q104,MOD(CF$1-Units!$Q104,12)=0),IF(AND(Units!$L104=1,CF$1=Units!$Q104),IF(Units!$J104&lt;&gt;"",Units!$J104,Mkt!CF105),Inputs!$B$15*Mkt!CF105+(1-Inputs!$B$15)*MIN(Mkt!CF105,CE105*(1+Inputs!$B$18))),CE105)))</f>
        <v>1546.29772400506</v>
      </c>
      <c r="CG105" s="11" t="n">
        <f aca="false">IF(CG$1&lt;Units!$P104,0,IF(AND(Units!$K104=0,CG$1=Units!$O104),Units!$R104,IF(AND(CG$1&gt;=Units!$Q104,MOD(CG$1-Units!$Q104,12)=0),IF(AND(Units!$L104=1,CG$1=Units!$Q104),IF(Units!$J104&lt;&gt;"",Units!$J104,Mkt!CG105),Inputs!$B$15*Mkt!CG105+(1-Inputs!$B$15)*MIN(Mkt!CG105,CF105*(1+Inputs!$B$18))),CF105)))</f>
        <v>1546.29772400506</v>
      </c>
      <c r="CH105" s="11" t="n">
        <f aca="false">IF(CH$1&lt;Units!$P104,0,IF(AND(Units!$K104=0,CH$1=Units!$O104),Units!$R104,IF(AND(CH$1&gt;=Units!$Q104,MOD(CH$1-Units!$Q104,12)=0),IF(AND(Units!$L104=1,CH$1=Units!$Q104),IF(Units!$J104&lt;&gt;"",Units!$J104,Mkt!CH105),Inputs!$B$15*Mkt!CH105+(1-Inputs!$B$15)*MIN(Mkt!CH105,CG105*(1+Inputs!$B$18))),CG105)))</f>
        <v>1546.29772400506</v>
      </c>
      <c r="CI105" s="11" t="n">
        <f aca="false">IF(CI$1&lt;Units!$P104,0,IF(AND(Units!$K104=0,CI$1=Units!$O104),Units!$R104,IF(AND(CI$1&gt;=Units!$Q104,MOD(CI$1-Units!$Q104,12)=0),IF(AND(Units!$L104=1,CI$1=Units!$Q104),IF(Units!$J104&lt;&gt;"",Units!$J104,Mkt!CI105),Inputs!$B$15*Mkt!CI105+(1-Inputs!$B$15)*MIN(Mkt!CI105,CH105*(1+Inputs!$B$18))),CH105)))</f>
        <v>1546.29772400506</v>
      </c>
      <c r="CJ105" s="11" t="n">
        <f aca="false">IF(CJ$1&lt;Units!$P104,0,IF(AND(Units!$K104=0,CJ$1=Units!$O104),Units!$R104,IF(AND(CJ$1&gt;=Units!$Q104,MOD(CJ$1-Units!$Q104,12)=0),IF(AND(Units!$L104=1,CJ$1=Units!$Q104),IF(Units!$J104&lt;&gt;"",Units!$J104,Mkt!CJ105),Inputs!$B$15*Mkt!CJ105+(1-Inputs!$B$15)*MIN(Mkt!CJ105,CI105*(1+Inputs!$B$18))),CI105)))</f>
        <v>1546.29772400506</v>
      </c>
      <c r="CK105" s="11" t="n">
        <f aca="false">IF(CK$1&lt;Units!$P104,0,IF(AND(Units!$K104=0,CK$1=Units!$O104),Units!$R104,IF(AND(CK$1&gt;=Units!$Q104,MOD(CK$1-Units!$Q104,12)=0),IF(AND(Units!$L104=1,CK$1=Units!$Q104),IF(Units!$J104&lt;&gt;"",Units!$J104,Mkt!CK105),Inputs!$B$15*Mkt!CK105+(1-Inputs!$B$15)*MIN(Mkt!CK105,CJ105*(1+Inputs!$B$18))),CJ105)))</f>
        <v>1592.68665572521</v>
      </c>
      <c r="CL105" s="11" t="n">
        <f aca="false">IF(CL$1&lt;Units!$P104,0,IF(AND(Units!$K104=0,CL$1=Units!$O104),Units!$R104,IF(AND(CL$1&gt;=Units!$Q104,MOD(CL$1-Units!$Q104,12)=0),IF(AND(Units!$L104=1,CL$1=Units!$Q104),IF(Units!$J104&lt;&gt;"",Units!$J104,Mkt!CL105),Inputs!$B$15*Mkt!CL105+(1-Inputs!$B$15)*MIN(Mkt!CL105,CK105*(1+Inputs!$B$18))),CK105)))</f>
        <v>1592.68665572521</v>
      </c>
      <c r="CM105" s="11" t="n">
        <f aca="false">IF(CM$1&lt;Units!$P104,0,IF(AND(Units!$K104=0,CM$1=Units!$O104),Units!$R104,IF(AND(CM$1&gt;=Units!$Q104,MOD(CM$1-Units!$Q104,12)=0),IF(AND(Units!$L104=1,CM$1=Units!$Q104),IF(Units!$J104&lt;&gt;"",Units!$J104,Mkt!CM105),Inputs!$B$15*Mkt!CM105+(1-Inputs!$B$15)*MIN(Mkt!CM105,CL105*(1+Inputs!$B$18))),CL105)))</f>
        <v>1592.68665572521</v>
      </c>
      <c r="CN105" s="11" t="n">
        <f aca="false">IF(CN$1&lt;Units!$P104,0,IF(AND(Units!$K104=0,CN$1=Units!$O104),Units!$R104,IF(AND(CN$1&gt;=Units!$Q104,MOD(CN$1-Units!$Q104,12)=0),IF(AND(Units!$L104=1,CN$1=Units!$Q104),IF(Units!$J104&lt;&gt;"",Units!$J104,Mkt!CN105),Inputs!$B$15*Mkt!CN105+(1-Inputs!$B$15)*MIN(Mkt!CN105,CM105*(1+Inputs!$B$18))),CM105)))</f>
        <v>1592.68665572521</v>
      </c>
      <c r="CO105" s="11" t="n">
        <f aca="false">IF(CO$1&lt;Units!$P104,0,IF(AND(Units!$K104=0,CO$1=Units!$O104),Units!$R104,IF(AND(CO$1&gt;=Units!$Q104,MOD(CO$1-Units!$Q104,12)=0),IF(AND(Units!$L104=1,CO$1=Units!$Q104),IF(Units!$J104&lt;&gt;"",Units!$J104,Mkt!CO105),Inputs!$B$15*Mkt!CO105+(1-Inputs!$B$15)*MIN(Mkt!CO105,CN105*(1+Inputs!$B$18))),CN105)))</f>
        <v>1592.68665572521</v>
      </c>
      <c r="CP105" s="11" t="n">
        <f aca="false">IF(CP$1&lt;Units!$P104,0,IF(AND(Units!$K104=0,CP$1=Units!$O104),Units!$R104,IF(AND(CP$1&gt;=Units!$Q104,MOD(CP$1-Units!$Q104,12)=0),IF(AND(Units!$L104=1,CP$1=Units!$Q104),IF(Units!$J104&lt;&gt;"",Units!$J104,Mkt!CP105),Inputs!$B$15*Mkt!CP105+(1-Inputs!$B$15)*MIN(Mkt!CP105,CO105*(1+Inputs!$B$18))),CO105)))</f>
        <v>1592.68665572521</v>
      </c>
      <c r="CQ105" s="11" t="n">
        <f aca="false">IF(CQ$1&lt;Units!$P104,0,IF(AND(Units!$K104=0,CQ$1=Units!$O104),Units!$R104,IF(AND(CQ$1&gt;=Units!$Q104,MOD(CQ$1-Units!$Q104,12)=0),IF(AND(Units!$L104=1,CQ$1=Units!$Q104),IF(Units!$J104&lt;&gt;"",Units!$J104,Mkt!CQ105),Inputs!$B$15*Mkt!CQ105+(1-Inputs!$B$15)*MIN(Mkt!CQ105,CP105*(1+Inputs!$B$18))),CP105)))</f>
        <v>1592.68665572521</v>
      </c>
      <c r="CR105" s="11" t="n">
        <f aca="false">IF(CR$1&lt;Units!$P104,0,IF(AND(Units!$K104=0,CR$1=Units!$O104),Units!$R104,IF(AND(CR$1&gt;=Units!$Q104,MOD(CR$1-Units!$Q104,12)=0),IF(AND(Units!$L104=1,CR$1=Units!$Q104),IF(Units!$J104&lt;&gt;"",Units!$J104,Mkt!CR105),Inputs!$B$15*Mkt!CR105+(1-Inputs!$B$15)*MIN(Mkt!CR105,CQ105*(1+Inputs!$B$18))),CQ105)))</f>
        <v>1592.68665572521</v>
      </c>
      <c r="CS105" s="11" t="n">
        <f aca="false">IF(CS$1&lt;Units!$P104,0,IF(AND(Units!$K104=0,CS$1=Units!$O104),Units!$R104,IF(AND(CS$1&gt;=Units!$Q104,MOD(CS$1-Units!$Q104,12)=0),IF(AND(Units!$L104=1,CS$1=Units!$Q104),IF(Units!$J104&lt;&gt;"",Units!$J104,Mkt!CS105),Inputs!$B$15*Mkt!CS105+(1-Inputs!$B$15)*MIN(Mkt!CS105,CR105*(1+Inputs!$B$18))),CR105)))</f>
        <v>1592.68665572521</v>
      </c>
      <c r="CT105" s="11" t="n">
        <f aca="false">IF(CT$1&lt;Units!$P104,0,IF(AND(Units!$K104=0,CT$1=Units!$O104),Units!$R104,IF(AND(CT$1&gt;=Units!$Q104,MOD(CT$1-Units!$Q104,12)=0),IF(AND(Units!$L104=1,CT$1=Units!$Q104),IF(Units!$J104&lt;&gt;"",Units!$J104,Mkt!CT105),Inputs!$B$15*Mkt!CT105+(1-Inputs!$B$15)*MIN(Mkt!CT105,CS105*(1+Inputs!$B$18))),CS105)))</f>
        <v>1592.68665572521</v>
      </c>
      <c r="CU105" s="11" t="n">
        <f aca="false">IF(CU$1&lt;Units!$P104,0,IF(AND(Units!$K104=0,CU$1=Units!$O104),Units!$R104,IF(AND(CU$1&gt;=Units!$Q104,MOD(CU$1-Units!$Q104,12)=0),IF(AND(Units!$L104=1,CU$1=Units!$Q104),IF(Units!$J104&lt;&gt;"",Units!$J104,Mkt!CU105),Inputs!$B$15*Mkt!CU105+(1-Inputs!$B$15)*MIN(Mkt!CU105,CT105*(1+Inputs!$B$18))),CT105)))</f>
        <v>1592.68665572521</v>
      </c>
      <c r="CV105" s="11" t="n">
        <f aca="false">IF(CV$1&lt;Units!$P104,0,IF(AND(Units!$K104=0,CV$1=Units!$O104),Units!$R104,IF(AND(CV$1&gt;=Units!$Q104,MOD(CV$1-Units!$Q104,12)=0),IF(AND(Units!$L104=1,CV$1=Units!$Q104),IF(Units!$J104&lt;&gt;"",Units!$J104,Mkt!CV105),Inputs!$B$15*Mkt!CV105+(1-Inputs!$B$15)*MIN(Mkt!CV105,CU105*(1+Inputs!$B$18))),CU105)))</f>
        <v>1592.68665572521</v>
      </c>
      <c r="CW105" s="11" t="n">
        <f aca="false">IF(CW$1&lt;Units!$P104,0,IF(AND(Units!$K104=0,CW$1=Units!$O104),Units!$R104,IF(AND(CW$1&gt;=Units!$Q104,MOD(CW$1-Units!$Q104,12)=0),IF(AND(Units!$L104=1,CW$1=Units!$Q104),IF(Units!$J104&lt;&gt;"",Units!$J104,Mkt!CW105),Inputs!$B$15*Mkt!CW105+(1-Inputs!$B$15)*MIN(Mkt!CW105,CV105*(1+Inputs!$B$18))),CV105)))</f>
        <v>1640.46725539696</v>
      </c>
      <c r="CX105" s="11" t="n">
        <f aca="false">IF(CX$1&lt;Units!$P104,0,IF(AND(Units!$K104=0,CX$1=Units!$O104),Units!$R104,IF(AND(CX$1&gt;=Units!$Q104,MOD(CX$1-Units!$Q104,12)=0),IF(AND(Units!$L104=1,CX$1=Units!$Q104),IF(Units!$J104&lt;&gt;"",Units!$J104,Mkt!CX105),Inputs!$B$15*Mkt!CX105+(1-Inputs!$B$15)*MIN(Mkt!CX105,CW105*(1+Inputs!$B$18))),CW105)))</f>
        <v>1640.46725539696</v>
      </c>
      <c r="CY105" s="11" t="n">
        <f aca="false">IF(CY$1&lt;Units!$P104,0,IF(AND(Units!$K104=0,CY$1=Units!$O104),Units!$R104,IF(AND(CY$1&gt;=Units!$Q104,MOD(CY$1-Units!$Q104,12)=0),IF(AND(Units!$L104=1,CY$1=Units!$Q104),IF(Units!$J104&lt;&gt;"",Units!$J104,Mkt!CY105),Inputs!$B$15*Mkt!CY105+(1-Inputs!$B$15)*MIN(Mkt!CY105,CX105*(1+Inputs!$B$18))),CX105)))</f>
        <v>1640.46725539696</v>
      </c>
      <c r="CZ105" s="11" t="n">
        <f aca="false">IF(CZ$1&lt;Units!$P104,0,IF(AND(Units!$K104=0,CZ$1=Units!$O104),Units!$R104,IF(AND(CZ$1&gt;=Units!$Q104,MOD(CZ$1-Units!$Q104,12)=0),IF(AND(Units!$L104=1,CZ$1=Units!$Q104),IF(Units!$J104&lt;&gt;"",Units!$J104,Mkt!CZ105),Inputs!$B$15*Mkt!CZ105+(1-Inputs!$B$15)*MIN(Mkt!CZ105,CY105*(1+Inputs!$B$18))),CY105)))</f>
        <v>1640.46725539696</v>
      </c>
      <c r="DA105" s="11" t="n">
        <f aca="false">IF(DA$1&lt;Units!$P104,0,IF(AND(Units!$K104=0,DA$1=Units!$O104),Units!$R104,IF(AND(DA$1&gt;=Units!$Q104,MOD(DA$1-Units!$Q104,12)=0),IF(AND(Units!$L104=1,DA$1=Units!$Q104),IF(Units!$J104&lt;&gt;"",Units!$J104,Mkt!DA105),Inputs!$B$15*Mkt!DA105+(1-Inputs!$B$15)*MIN(Mkt!DA105,CZ105*(1+Inputs!$B$18))),CZ105)))</f>
        <v>1640.46725539696</v>
      </c>
      <c r="DB105" s="11" t="n">
        <f aca="false">IF(DB$1&lt;Units!$P104,0,IF(AND(Units!$K104=0,DB$1=Units!$O104),Units!$R104,IF(AND(DB$1&gt;=Units!$Q104,MOD(DB$1-Units!$Q104,12)=0),IF(AND(Units!$L104=1,DB$1=Units!$Q104),IF(Units!$J104&lt;&gt;"",Units!$J104,Mkt!DB105),Inputs!$B$15*Mkt!DB105+(1-Inputs!$B$15)*MIN(Mkt!DB105,DA105*(1+Inputs!$B$18))),DA105)))</f>
        <v>1640.46725539696</v>
      </c>
      <c r="DC105" s="11" t="n">
        <f aca="false">IF(DC$1&lt;Units!$P104,0,IF(AND(Units!$K104=0,DC$1=Units!$O104),Units!$R104,IF(AND(DC$1&gt;=Units!$Q104,MOD(DC$1-Units!$Q104,12)=0),IF(AND(Units!$L104=1,DC$1=Units!$Q104),IF(Units!$J104&lt;&gt;"",Units!$J104,Mkt!DC105),Inputs!$B$15*Mkt!DC105+(1-Inputs!$B$15)*MIN(Mkt!DC105,DB105*(1+Inputs!$B$18))),DB105)))</f>
        <v>1640.46725539696</v>
      </c>
      <c r="DD105" s="11" t="n">
        <f aca="false">IF(DD$1&lt;Units!$P104,0,IF(AND(Units!$K104=0,DD$1=Units!$O104),Units!$R104,IF(AND(DD$1&gt;=Units!$Q104,MOD(DD$1-Units!$Q104,12)=0),IF(AND(Units!$L104=1,DD$1=Units!$Q104),IF(Units!$J104&lt;&gt;"",Units!$J104,Mkt!DD105),Inputs!$B$15*Mkt!DD105+(1-Inputs!$B$15)*MIN(Mkt!DD105,DC105*(1+Inputs!$B$18))),DC105)))</f>
        <v>1640.46725539696</v>
      </c>
      <c r="DE105" s="11" t="n">
        <f aca="false">IF(DE$1&lt;Units!$P104,0,IF(AND(Units!$K104=0,DE$1=Units!$O104),Units!$R104,IF(AND(DE$1&gt;=Units!$Q104,MOD(DE$1-Units!$Q104,12)=0),IF(AND(Units!$L104=1,DE$1=Units!$Q104),IF(Units!$J104&lt;&gt;"",Units!$J104,Mkt!DE105),Inputs!$B$15*Mkt!DE105+(1-Inputs!$B$15)*MIN(Mkt!DE105,DD105*(1+Inputs!$B$18))),DD105)))</f>
        <v>1640.46725539696</v>
      </c>
      <c r="DF105" s="11" t="n">
        <f aca="false">IF(DF$1&lt;Units!$P104,0,IF(AND(Units!$K104=0,DF$1=Units!$O104),Units!$R104,IF(AND(DF$1&gt;=Units!$Q104,MOD(DF$1-Units!$Q104,12)=0),IF(AND(Units!$L104=1,DF$1=Units!$Q104),IF(Units!$J104&lt;&gt;"",Units!$J104,Mkt!DF105),Inputs!$B$15*Mkt!DF105+(1-Inputs!$B$15)*MIN(Mkt!DF105,DE105*(1+Inputs!$B$18))),DE105)))</f>
        <v>1640.46725539696</v>
      </c>
      <c r="DG105" s="11" t="n">
        <f aca="false">IF(DG$1&lt;Units!$P104,0,IF(AND(Units!$K104=0,DG$1=Units!$O104),Units!$R104,IF(AND(DG$1&gt;=Units!$Q104,MOD(DG$1-Units!$Q104,12)=0),IF(AND(Units!$L104=1,DG$1=Units!$Q104),IF(Units!$J104&lt;&gt;"",Units!$J104,Mkt!DG105),Inputs!$B$15*Mkt!DG105+(1-Inputs!$B$15)*MIN(Mkt!DG105,DF105*(1+Inputs!$B$18))),DF105)))</f>
        <v>1640.46725539696</v>
      </c>
      <c r="DH105" s="11" t="n">
        <f aca="false">IF(DH$1&lt;Units!$P104,0,IF(AND(Units!$K104=0,DH$1=Units!$O104),Units!$R104,IF(AND(DH$1&gt;=Units!$Q104,MOD(DH$1-Units!$Q104,12)=0),IF(AND(Units!$L104=1,DH$1=Units!$Q104),IF(Units!$J104&lt;&gt;"",Units!$J104,Mkt!DH105),Inputs!$B$15*Mkt!DH105+(1-Inputs!$B$15)*MIN(Mkt!DH105,DG105*(1+Inputs!$B$18))),DG105)))</f>
        <v>1640.46725539696</v>
      </c>
      <c r="DI105" s="11" t="n">
        <f aca="false">IF(DI$1&lt;Units!$P104,0,IF(AND(Units!$K104=0,DI$1=Units!$O104),Units!$R104,IF(AND(DI$1&gt;=Units!$Q104,MOD(DI$1-Units!$Q104,12)=0),IF(AND(Units!$L104=1,DI$1=Units!$Q104),IF(Units!$J104&lt;&gt;"",Units!$J104,Mkt!DI105),Inputs!$B$15*Mkt!DI105+(1-Inputs!$B$15)*MIN(Mkt!DI105,DH105*(1+Inputs!$B$18))),DH105)))</f>
        <v>1689.68127305887</v>
      </c>
      <c r="DJ105" s="11" t="n">
        <f aca="false">IF(DJ$1&lt;Units!$P104,0,IF(AND(Units!$K104=0,DJ$1=Units!$O104),Units!$R104,IF(AND(DJ$1&gt;=Units!$Q104,MOD(DJ$1-Units!$Q104,12)=0),IF(AND(Units!$L104=1,DJ$1=Units!$Q104),IF(Units!$J104&lt;&gt;"",Units!$J104,Mkt!DJ105),Inputs!$B$15*Mkt!DJ105+(1-Inputs!$B$15)*MIN(Mkt!DJ105,DI105*(1+Inputs!$B$18))),DI105)))</f>
        <v>1689.68127305887</v>
      </c>
      <c r="DK105" s="11" t="n">
        <f aca="false">IF(DK$1&lt;Units!$P104,0,IF(AND(Units!$K104=0,DK$1=Units!$O104),Units!$R104,IF(AND(DK$1&gt;=Units!$Q104,MOD(DK$1-Units!$Q104,12)=0),IF(AND(Units!$L104=1,DK$1=Units!$Q104),IF(Units!$J104&lt;&gt;"",Units!$J104,Mkt!DK105),Inputs!$B$15*Mkt!DK105+(1-Inputs!$B$15)*MIN(Mkt!DK105,DJ105*(1+Inputs!$B$18))),DJ105)))</f>
        <v>1689.68127305887</v>
      </c>
      <c r="DL105" s="11" t="n">
        <f aca="false">IF(DL$1&lt;Units!$P104,0,IF(AND(Units!$K104=0,DL$1=Units!$O104),Units!$R104,IF(AND(DL$1&gt;=Units!$Q104,MOD(DL$1-Units!$Q104,12)=0),IF(AND(Units!$L104=1,DL$1=Units!$Q104),IF(Units!$J104&lt;&gt;"",Units!$J104,Mkt!DL105),Inputs!$B$15*Mkt!DL105+(1-Inputs!$B$15)*MIN(Mkt!DL105,DK105*(1+Inputs!$B$18))),DK105)))</f>
        <v>1689.68127305887</v>
      </c>
      <c r="DM105" s="11" t="n">
        <f aca="false">IF(DM$1&lt;Units!$P104,0,IF(AND(Units!$K104=0,DM$1=Units!$O104),Units!$R104,IF(AND(DM$1&gt;=Units!$Q104,MOD(DM$1-Units!$Q104,12)=0),IF(AND(Units!$L104=1,DM$1=Units!$Q104),IF(Units!$J104&lt;&gt;"",Units!$J104,Mkt!DM105),Inputs!$B$15*Mkt!DM105+(1-Inputs!$B$15)*MIN(Mkt!DM105,DL105*(1+Inputs!$B$18))),DL105)))</f>
        <v>1689.68127305887</v>
      </c>
      <c r="DN105" s="11" t="n">
        <f aca="false">IF(DN$1&lt;Units!$P104,0,IF(AND(Units!$K104=0,DN$1=Units!$O104),Units!$R104,IF(AND(DN$1&gt;=Units!$Q104,MOD(DN$1-Units!$Q104,12)=0),IF(AND(Units!$L104=1,DN$1=Units!$Q104),IF(Units!$J104&lt;&gt;"",Units!$J104,Mkt!DN105),Inputs!$B$15*Mkt!DN105+(1-Inputs!$B$15)*MIN(Mkt!DN105,DM105*(1+Inputs!$B$18))),DM105)))</f>
        <v>1689.68127305887</v>
      </c>
      <c r="DO105" s="11" t="n">
        <f aca="false">IF(DO$1&lt;Units!$P104,0,IF(AND(Units!$K104=0,DO$1=Units!$O104),Units!$R104,IF(AND(DO$1&gt;=Units!$Q104,MOD(DO$1-Units!$Q104,12)=0),IF(AND(Units!$L104=1,DO$1=Units!$Q104),IF(Units!$J104&lt;&gt;"",Units!$J104,Mkt!DO105),Inputs!$B$15*Mkt!DO105+(1-Inputs!$B$15)*MIN(Mkt!DO105,DN105*(1+Inputs!$B$18))),DN105)))</f>
        <v>1689.68127305887</v>
      </c>
      <c r="DP105" s="11" t="n">
        <f aca="false">IF(DP$1&lt;Units!$P104,0,IF(AND(Units!$K104=0,DP$1=Units!$O104),Units!$R104,IF(AND(DP$1&gt;=Units!$Q104,MOD(DP$1-Units!$Q104,12)=0),IF(AND(Units!$L104=1,DP$1=Units!$Q104),IF(Units!$J104&lt;&gt;"",Units!$J104,Mkt!DP105),Inputs!$B$15*Mkt!DP105+(1-Inputs!$B$15)*MIN(Mkt!DP105,DO105*(1+Inputs!$B$18))),DO105)))</f>
        <v>1689.68127305887</v>
      </c>
      <c r="DQ105" s="11" t="n">
        <f aca="false">IF(DQ$1&lt;Units!$P104,0,IF(AND(Units!$K104=0,DQ$1=Units!$O104),Units!$R104,IF(AND(DQ$1&gt;=Units!$Q104,MOD(DQ$1-Units!$Q104,12)=0),IF(AND(Units!$L104=1,DQ$1=Units!$Q104),IF(Units!$J104&lt;&gt;"",Units!$J104,Mkt!DQ105),Inputs!$B$15*Mkt!DQ105+(1-Inputs!$B$15)*MIN(Mkt!DQ105,DP105*(1+Inputs!$B$18))),DP105)))</f>
        <v>1689.68127305887</v>
      </c>
      <c r="DR105" s="11" t="n">
        <f aca="false">IF(DR$1&lt;Units!$P104,0,IF(AND(Units!$K104=0,DR$1=Units!$O104),Units!$R104,IF(AND(DR$1&gt;=Units!$Q104,MOD(DR$1-Units!$Q104,12)=0),IF(AND(Units!$L104=1,DR$1=Units!$Q104),IF(Units!$J104&lt;&gt;"",Units!$J104,Mkt!DR105),Inputs!$B$15*Mkt!DR105+(1-Inputs!$B$15)*MIN(Mkt!DR105,DQ105*(1+Inputs!$B$18))),DQ105)))</f>
        <v>1689.68127305887</v>
      </c>
      <c r="DS105" s="11" t="n">
        <f aca="false">IF(DS$1&lt;Units!$P104,0,IF(AND(Units!$K104=0,DS$1=Units!$O104),Units!$R104,IF(AND(DS$1&gt;=Units!$Q104,MOD(DS$1-Units!$Q104,12)=0),IF(AND(Units!$L104=1,DS$1=Units!$Q104),IF(Units!$J104&lt;&gt;"",Units!$J104,Mkt!DS105),Inputs!$B$15*Mkt!DS105+(1-Inputs!$B$15)*MIN(Mkt!DS105,DR105*(1+Inputs!$B$18))),DR105)))</f>
        <v>1689.68127305887</v>
      </c>
      <c r="DT105" s="11" t="n">
        <f aca="false">IF(DT$1&lt;Units!$P104,0,IF(AND(Units!$K104=0,DT$1=Units!$O104),Units!$R104,IF(AND(DT$1&gt;=Units!$Q104,MOD(DT$1-Units!$Q104,12)=0),IF(AND(Units!$L104=1,DT$1=Units!$Q104),IF(Units!$J104&lt;&gt;"",Units!$J104,Mkt!DT105),Inputs!$B$15*Mkt!DT105+(1-Inputs!$B$15)*MIN(Mkt!DT105,DS105*(1+Inputs!$B$18))),DS105)))</f>
        <v>1689.68127305887</v>
      </c>
      <c r="DU105" s="11" t="n">
        <f aca="false">IF(DU$1&lt;Units!$P104,0,IF(AND(Units!$K104=0,DU$1=Units!$O104),Units!$R104,IF(AND(DU$1&gt;=Units!$Q104,MOD(DU$1-Units!$Q104,12)=0),IF(AND(Units!$L104=1,DU$1=Units!$Q104),IF(Units!$J104&lt;&gt;"",Units!$J104,Mkt!DU105),Inputs!$B$15*Mkt!DU105+(1-Inputs!$B$15)*MIN(Mkt!DU105,DT105*(1+Inputs!$B$18))),DT105)))</f>
        <v>1740.37171125064</v>
      </c>
      <c r="DV105" s="11" t="n">
        <f aca="false">IF(DV$1&lt;Units!$P104,0,IF(AND(Units!$K104=0,DV$1=Units!$O104),Units!$R104,IF(AND(DV$1&gt;=Units!$Q104,MOD(DV$1-Units!$Q104,12)=0),IF(AND(Units!$L104=1,DV$1=Units!$Q104),IF(Units!$J104&lt;&gt;"",Units!$J104,Mkt!DV105),Inputs!$B$15*Mkt!DV105+(1-Inputs!$B$15)*MIN(Mkt!DV105,DU105*(1+Inputs!$B$18))),DU105)))</f>
        <v>1740.37171125064</v>
      </c>
      <c r="DW105" s="11" t="n">
        <f aca="false">IF(DW$1&lt;Units!$P104,0,IF(AND(Units!$K104=0,DW$1=Units!$O104),Units!$R104,IF(AND(DW$1&gt;=Units!$Q104,MOD(DW$1-Units!$Q104,12)=0),IF(AND(Units!$L104=1,DW$1=Units!$Q104),IF(Units!$J104&lt;&gt;"",Units!$J104,Mkt!DW105),Inputs!$B$15*Mkt!DW105+(1-Inputs!$B$15)*MIN(Mkt!DW105,DV105*(1+Inputs!$B$18))),DV105)))</f>
        <v>1740.37171125064</v>
      </c>
      <c r="DX105" s="11" t="n">
        <f aca="false">IF(DX$1&lt;Units!$P104,0,IF(AND(Units!$K104=0,DX$1=Units!$O104),Units!$R104,IF(AND(DX$1&gt;=Units!$Q104,MOD(DX$1-Units!$Q104,12)=0),IF(AND(Units!$L104=1,DX$1=Units!$Q104),IF(Units!$J104&lt;&gt;"",Units!$J104,Mkt!DX105),Inputs!$B$15*Mkt!DX105+(1-Inputs!$B$15)*MIN(Mkt!DX105,DW105*(1+Inputs!$B$18))),DW105)))</f>
        <v>1740.37171125064</v>
      </c>
      <c r="DY105" s="11" t="n">
        <f aca="false">IF(DY$1&lt;Units!$P104,0,IF(AND(Units!$K104=0,DY$1=Units!$O104),Units!$R104,IF(AND(DY$1&gt;=Units!$Q104,MOD(DY$1-Units!$Q104,12)=0),IF(AND(Units!$L104=1,DY$1=Units!$Q104),IF(Units!$J104&lt;&gt;"",Units!$J104,Mkt!DY105),Inputs!$B$15*Mkt!DY105+(1-Inputs!$B$15)*MIN(Mkt!DY105,DX105*(1+Inputs!$B$18))),DX105)))</f>
        <v>1740.37171125064</v>
      </c>
      <c r="DZ105" s="11" t="n">
        <f aca="false">IF(DZ$1&lt;Units!$P104,0,IF(AND(Units!$K104=0,DZ$1=Units!$O104),Units!$R104,IF(AND(DZ$1&gt;=Units!$Q104,MOD(DZ$1-Units!$Q104,12)=0),IF(AND(Units!$L104=1,DZ$1=Units!$Q104),IF(Units!$J104&lt;&gt;"",Units!$J104,Mkt!DZ105),Inputs!$B$15*Mkt!DZ105+(1-Inputs!$B$15)*MIN(Mkt!DZ105,DY105*(1+Inputs!$B$18))),DY105)))</f>
        <v>1740.37171125064</v>
      </c>
      <c r="EA105" s="11" t="n">
        <f aca="false">IF(EA$1&lt;Units!$P104,0,IF(AND(Units!$K104=0,EA$1=Units!$O104),Units!$R104,IF(AND(EA$1&gt;=Units!$Q104,MOD(EA$1-Units!$Q104,12)=0),IF(AND(Units!$L104=1,EA$1=Units!$Q104),IF(Units!$J104&lt;&gt;"",Units!$J104,Mkt!EA105),Inputs!$B$15*Mkt!EA105+(1-Inputs!$B$15)*MIN(Mkt!EA105,DZ105*(1+Inputs!$B$18))),DZ105)))</f>
        <v>1740.37171125064</v>
      </c>
      <c r="EB105" s="11" t="n">
        <f aca="false">IF(EB$1&lt;Units!$P104,0,IF(AND(Units!$K104=0,EB$1=Units!$O104),Units!$R104,IF(AND(EB$1&gt;=Units!$Q104,MOD(EB$1-Units!$Q104,12)=0),IF(AND(Units!$L104=1,EB$1=Units!$Q104),IF(Units!$J104&lt;&gt;"",Units!$J104,Mkt!EB105),Inputs!$B$15*Mkt!EB105+(1-Inputs!$B$15)*MIN(Mkt!EB105,EA105*(1+Inputs!$B$18))),EA105)))</f>
        <v>1740.37171125064</v>
      </c>
      <c r="EC105" s="11" t="n">
        <f aca="false">IF(EC$1&lt;Units!$P104,0,IF(AND(Units!$K104=0,EC$1=Units!$O104),Units!$R104,IF(AND(EC$1&gt;=Units!$Q104,MOD(EC$1-Units!$Q104,12)=0),IF(AND(Units!$L104=1,EC$1=Units!$Q104),IF(Units!$J104&lt;&gt;"",Units!$J104,Mkt!EC105),Inputs!$B$15*Mkt!EC105+(1-Inputs!$B$15)*MIN(Mkt!EC105,EB105*(1+Inputs!$B$18))),EB105)))</f>
        <v>1740.37171125064</v>
      </c>
      <c r="ED105" s="11" t="n">
        <f aca="false">IF(ED$1&lt;Units!$P104,0,IF(AND(Units!$K104=0,ED$1=Units!$O104),Units!$R104,IF(AND(ED$1&gt;=Units!$Q104,MOD(ED$1-Units!$Q104,12)=0),IF(AND(Units!$L104=1,ED$1=Units!$Q104),IF(Units!$J104&lt;&gt;"",Units!$J104,Mkt!ED105),Inputs!$B$15*Mkt!ED105+(1-Inputs!$B$15)*MIN(Mkt!ED105,EC105*(1+Inputs!$B$18))),EC105)))</f>
        <v>1740.37171125064</v>
      </c>
    </row>
    <row r="106" customFormat="false" ht="15" hidden="false" customHeight="false" outlineLevel="0" collapsed="false">
      <c r="A106" s="22" t="n">
        <f aca="false">Units!A105</f>
        <v>414</v>
      </c>
      <c r="B106" s="24" t="n">
        <f aca="false">IF(Units!K105=1,Units!F105,0)</f>
        <v>1260</v>
      </c>
      <c r="C106" s="11" t="n">
        <f aca="false">IF(C$1&lt;Units!$P105,0,IF(AND(Units!$K105=0,C$1=Units!$O105),Units!$R105,IF(AND(C$1&gt;=Units!$Q105,MOD(C$1-Units!$Q105,12)=0),IF(AND(Units!$L105=1,C$1=Units!$Q105),IF(Units!$J105&lt;&gt;"",Units!$J105,Mkt!C106),Inputs!$B$15*Mkt!C106+(1-Inputs!$B$15)*MIN(Mkt!C106,B106*(1+Inputs!$B$18))),B106)))</f>
        <v>1260</v>
      </c>
      <c r="D106" s="11" t="n">
        <f aca="false">IF(D$1&lt;Units!$P105,0,IF(AND(Units!$K105=0,D$1=Units!$O105),Units!$R105,IF(AND(D$1&gt;=Units!$Q105,MOD(D$1-Units!$Q105,12)=0),IF(AND(Units!$L105=1,D$1=Units!$Q105),IF(Units!$J105&lt;&gt;"",Units!$J105,Mkt!D106),Inputs!$B$15*Mkt!D106+(1-Inputs!$B$15)*MIN(Mkt!D106,C106*(1+Inputs!$B$18))),C106)))</f>
        <v>1260</v>
      </c>
      <c r="E106" s="11" t="n">
        <f aca="false">IF(E$1&lt;Units!$P105,0,IF(AND(Units!$K105=0,E$1=Units!$O105),Units!$R105,IF(AND(E$1&gt;=Units!$Q105,MOD(E$1-Units!$Q105,12)=0),IF(AND(Units!$L105=1,E$1=Units!$Q105),IF(Units!$J105&lt;&gt;"",Units!$J105,Mkt!E106),Inputs!$B$15*Mkt!E106+(1-Inputs!$B$15)*MIN(Mkt!E106,D106*(1+Inputs!$B$18))),D106)))</f>
        <v>1260</v>
      </c>
      <c r="F106" s="11" t="n">
        <f aca="false">IF(F$1&lt;Units!$P105,0,IF(AND(Units!$K105=0,F$1=Units!$O105),Units!$R105,IF(AND(F$1&gt;=Units!$Q105,MOD(F$1-Units!$Q105,12)=0),IF(AND(Units!$L105=1,F$1=Units!$Q105),IF(Units!$J105&lt;&gt;"",Units!$J105,Mkt!F106),Inputs!$B$15*Mkt!F106+(1-Inputs!$B$15)*MIN(Mkt!F106,E106*(1+Inputs!$B$18))),E106)))</f>
        <v>1260</v>
      </c>
      <c r="G106" s="11" t="n">
        <f aca="false">IF(G$1&lt;Units!$P105,0,IF(AND(Units!$K105=0,G$1=Units!$O105),Units!$R105,IF(AND(G$1&gt;=Units!$Q105,MOD(G$1-Units!$Q105,12)=0),IF(AND(Units!$L105=1,G$1=Units!$Q105),IF(Units!$J105&lt;&gt;"",Units!$J105,Mkt!G106),Inputs!$B$15*Mkt!G106+(1-Inputs!$B$15)*MIN(Mkt!G106,F106*(1+Inputs!$B$18))),F106)))</f>
        <v>1295</v>
      </c>
      <c r="H106" s="11" t="n">
        <f aca="false">IF(H$1&lt;Units!$P105,0,IF(AND(Units!$K105=0,H$1=Units!$O105),Units!$R105,IF(AND(H$1&gt;=Units!$Q105,MOD(H$1-Units!$Q105,12)=0),IF(AND(Units!$L105=1,H$1=Units!$Q105),IF(Units!$J105&lt;&gt;"",Units!$J105,Mkt!H106),Inputs!$B$15*Mkt!H106+(1-Inputs!$B$15)*MIN(Mkt!H106,G106*(1+Inputs!$B$18))),G106)))</f>
        <v>1295</v>
      </c>
      <c r="I106" s="11" t="n">
        <f aca="false">IF(I$1&lt;Units!$P105,0,IF(AND(Units!$K105=0,I$1=Units!$O105),Units!$R105,IF(AND(I$1&gt;=Units!$Q105,MOD(I$1-Units!$Q105,12)=0),IF(AND(Units!$L105=1,I$1=Units!$Q105),IF(Units!$J105&lt;&gt;"",Units!$J105,Mkt!I106),Inputs!$B$15*Mkt!I106+(1-Inputs!$B$15)*MIN(Mkt!I106,H106*(1+Inputs!$B$18))),H106)))</f>
        <v>1295</v>
      </c>
      <c r="J106" s="11" t="n">
        <f aca="false">IF(J$1&lt;Units!$P105,0,IF(AND(Units!$K105=0,J$1=Units!$O105),Units!$R105,IF(AND(J$1&gt;=Units!$Q105,MOD(J$1-Units!$Q105,12)=0),IF(AND(Units!$L105=1,J$1=Units!$Q105),IF(Units!$J105&lt;&gt;"",Units!$J105,Mkt!J106),Inputs!$B$15*Mkt!J106+(1-Inputs!$B$15)*MIN(Mkt!J106,I106*(1+Inputs!$B$18))),I106)))</f>
        <v>1295</v>
      </c>
      <c r="K106" s="11" t="n">
        <f aca="false">IF(K$1&lt;Units!$P105,0,IF(AND(Units!$K105=0,K$1=Units!$O105),Units!$R105,IF(AND(K$1&gt;=Units!$Q105,MOD(K$1-Units!$Q105,12)=0),IF(AND(Units!$L105=1,K$1=Units!$Q105),IF(Units!$J105&lt;&gt;"",Units!$J105,Mkt!K106),Inputs!$B$15*Mkt!K106+(1-Inputs!$B$15)*MIN(Mkt!K106,J106*(1+Inputs!$B$18))),J106)))</f>
        <v>1295</v>
      </c>
      <c r="L106" s="11" t="n">
        <f aca="false">IF(L$1&lt;Units!$P105,0,IF(AND(Units!$K105=0,L$1=Units!$O105),Units!$R105,IF(AND(L$1&gt;=Units!$Q105,MOD(L$1-Units!$Q105,12)=0),IF(AND(Units!$L105=1,L$1=Units!$Q105),IF(Units!$J105&lt;&gt;"",Units!$J105,Mkt!L106),Inputs!$B$15*Mkt!L106+(1-Inputs!$B$15)*MIN(Mkt!L106,K106*(1+Inputs!$B$18))),K106)))</f>
        <v>1295</v>
      </c>
      <c r="M106" s="11" t="n">
        <f aca="false">IF(M$1&lt;Units!$P105,0,IF(AND(Units!$K105=0,M$1=Units!$O105),Units!$R105,IF(AND(M$1&gt;=Units!$Q105,MOD(M$1-Units!$Q105,12)=0),IF(AND(Units!$L105=1,M$1=Units!$Q105),IF(Units!$J105&lt;&gt;"",Units!$J105,Mkt!M106),Inputs!$B$15*Mkt!M106+(1-Inputs!$B$15)*MIN(Mkt!M106,L106*(1+Inputs!$B$18))),L106)))</f>
        <v>1295</v>
      </c>
      <c r="N106" s="11" t="n">
        <f aca="false">IF(N$1&lt;Units!$P105,0,IF(AND(Units!$K105=0,N$1=Units!$O105),Units!$R105,IF(AND(N$1&gt;=Units!$Q105,MOD(N$1-Units!$Q105,12)=0),IF(AND(Units!$L105=1,N$1=Units!$Q105),IF(Units!$J105&lt;&gt;"",Units!$J105,Mkt!N106),Inputs!$B$15*Mkt!N106+(1-Inputs!$B$15)*MIN(Mkt!N106,M106*(1+Inputs!$B$18))),M106)))</f>
        <v>1295</v>
      </c>
      <c r="O106" s="11" t="n">
        <f aca="false">IF(O$1&lt;Units!$P105,0,IF(AND(Units!$K105=0,O$1=Units!$O105),Units!$R105,IF(AND(O$1&gt;=Units!$Q105,MOD(O$1-Units!$Q105,12)=0),IF(AND(Units!$L105=1,O$1=Units!$Q105),IF(Units!$J105&lt;&gt;"",Units!$J105,Mkt!O106),Inputs!$B$15*Mkt!O106+(1-Inputs!$B$15)*MIN(Mkt!O106,N106*(1+Inputs!$B$18))),N106)))</f>
        <v>1295</v>
      </c>
      <c r="P106" s="11" t="n">
        <f aca="false">IF(P$1&lt;Units!$P105,0,IF(AND(Units!$K105=0,P$1=Units!$O105),Units!$R105,IF(AND(P$1&gt;=Units!$Q105,MOD(P$1-Units!$Q105,12)=0),IF(AND(Units!$L105=1,P$1=Units!$Q105),IF(Units!$J105&lt;&gt;"",Units!$J105,Mkt!P106),Inputs!$B$15*Mkt!P106+(1-Inputs!$B$15)*MIN(Mkt!P106,O106*(1+Inputs!$B$18))),O106)))</f>
        <v>1295</v>
      </c>
      <c r="Q106" s="11" t="n">
        <f aca="false">IF(Q$1&lt;Units!$P105,0,IF(AND(Units!$K105=0,Q$1=Units!$O105),Units!$R105,IF(AND(Q$1&gt;=Units!$Q105,MOD(Q$1-Units!$Q105,12)=0),IF(AND(Units!$L105=1,Q$1=Units!$Q105),IF(Units!$J105&lt;&gt;"",Units!$J105,Mkt!Q106),Inputs!$B$15*Mkt!Q106+(1-Inputs!$B$15)*MIN(Mkt!Q106,P106*(1+Inputs!$B$18))),P106)))</f>
        <v>1295</v>
      </c>
      <c r="R106" s="11" t="n">
        <f aca="false">IF(R$1&lt;Units!$P105,0,IF(AND(Units!$K105=0,R$1=Units!$O105),Units!$R105,IF(AND(R$1&gt;=Units!$Q105,MOD(R$1-Units!$Q105,12)=0),IF(AND(Units!$L105=1,R$1=Units!$Q105),IF(Units!$J105&lt;&gt;"",Units!$J105,Mkt!R106),Inputs!$B$15*Mkt!R106+(1-Inputs!$B$15)*MIN(Mkt!R106,Q106*(1+Inputs!$B$18))),Q106)))</f>
        <v>1295</v>
      </c>
      <c r="S106" s="11" t="n">
        <f aca="false">IF(S$1&lt;Units!$P105,0,IF(AND(Units!$K105=0,S$1=Units!$O105),Units!$R105,IF(AND(S$1&gt;=Units!$Q105,MOD(S$1-Units!$Q105,12)=0),IF(AND(Units!$L105=1,S$1=Units!$Q105),IF(Units!$J105&lt;&gt;"",Units!$J105,Mkt!S106),Inputs!$B$15*Mkt!S106+(1-Inputs!$B$15)*MIN(Mkt!S106,R106*(1+Inputs!$B$18))),R106)))</f>
        <v>1333.85</v>
      </c>
      <c r="T106" s="11" t="n">
        <f aca="false">IF(T$1&lt;Units!$P105,0,IF(AND(Units!$K105=0,T$1=Units!$O105),Units!$R105,IF(AND(T$1&gt;=Units!$Q105,MOD(T$1-Units!$Q105,12)=0),IF(AND(Units!$L105=1,T$1=Units!$Q105),IF(Units!$J105&lt;&gt;"",Units!$J105,Mkt!T106),Inputs!$B$15*Mkt!T106+(1-Inputs!$B$15)*MIN(Mkt!T106,S106*(1+Inputs!$B$18))),S106)))</f>
        <v>1333.85</v>
      </c>
      <c r="U106" s="11" t="n">
        <f aca="false">IF(U$1&lt;Units!$P105,0,IF(AND(Units!$K105=0,U$1=Units!$O105),Units!$R105,IF(AND(U$1&gt;=Units!$Q105,MOD(U$1-Units!$Q105,12)=0),IF(AND(Units!$L105=1,U$1=Units!$Q105),IF(Units!$J105&lt;&gt;"",Units!$J105,Mkt!U106),Inputs!$B$15*Mkt!U106+(1-Inputs!$B$15)*MIN(Mkt!U106,T106*(1+Inputs!$B$18))),T106)))</f>
        <v>1333.85</v>
      </c>
      <c r="V106" s="11" t="n">
        <f aca="false">IF(V$1&lt;Units!$P105,0,IF(AND(Units!$K105=0,V$1=Units!$O105),Units!$R105,IF(AND(V$1&gt;=Units!$Q105,MOD(V$1-Units!$Q105,12)=0),IF(AND(Units!$L105=1,V$1=Units!$Q105),IF(Units!$J105&lt;&gt;"",Units!$J105,Mkt!V106),Inputs!$B$15*Mkt!V106+(1-Inputs!$B$15)*MIN(Mkt!V106,U106*(1+Inputs!$B$18))),U106)))</f>
        <v>1333.85</v>
      </c>
      <c r="W106" s="11" t="n">
        <f aca="false">IF(W$1&lt;Units!$P105,0,IF(AND(Units!$K105=0,W$1=Units!$O105),Units!$R105,IF(AND(W$1&gt;=Units!$Q105,MOD(W$1-Units!$Q105,12)=0),IF(AND(Units!$L105=1,W$1=Units!$Q105),IF(Units!$J105&lt;&gt;"",Units!$J105,Mkt!W106),Inputs!$B$15*Mkt!W106+(1-Inputs!$B$15)*MIN(Mkt!W106,V106*(1+Inputs!$B$18))),V106)))</f>
        <v>1333.85</v>
      </c>
      <c r="X106" s="11" t="n">
        <f aca="false">IF(X$1&lt;Units!$P105,0,IF(AND(Units!$K105=0,X$1=Units!$O105),Units!$R105,IF(AND(X$1&gt;=Units!$Q105,MOD(X$1-Units!$Q105,12)=0),IF(AND(Units!$L105=1,X$1=Units!$Q105),IF(Units!$J105&lt;&gt;"",Units!$J105,Mkt!X106),Inputs!$B$15*Mkt!X106+(1-Inputs!$B$15)*MIN(Mkt!X106,W106*(1+Inputs!$B$18))),W106)))</f>
        <v>1333.85</v>
      </c>
      <c r="Y106" s="11" t="n">
        <f aca="false">IF(Y$1&lt;Units!$P105,0,IF(AND(Units!$K105=0,Y$1=Units!$O105),Units!$R105,IF(AND(Y$1&gt;=Units!$Q105,MOD(Y$1-Units!$Q105,12)=0),IF(AND(Units!$L105=1,Y$1=Units!$Q105),IF(Units!$J105&lt;&gt;"",Units!$J105,Mkt!Y106),Inputs!$B$15*Mkt!Y106+(1-Inputs!$B$15)*MIN(Mkt!Y106,X106*(1+Inputs!$B$18))),X106)))</f>
        <v>1333.85</v>
      </c>
      <c r="Z106" s="11" t="n">
        <f aca="false">IF(Z$1&lt;Units!$P105,0,IF(AND(Units!$K105=0,Z$1=Units!$O105),Units!$R105,IF(AND(Z$1&gt;=Units!$Q105,MOD(Z$1-Units!$Q105,12)=0),IF(AND(Units!$L105=1,Z$1=Units!$Q105),IF(Units!$J105&lt;&gt;"",Units!$J105,Mkt!Z106),Inputs!$B$15*Mkt!Z106+(1-Inputs!$B$15)*MIN(Mkt!Z106,Y106*(1+Inputs!$B$18))),Y106)))</f>
        <v>1333.85</v>
      </c>
      <c r="AA106" s="11" t="n">
        <f aca="false">IF(AA$1&lt;Units!$P105,0,IF(AND(Units!$K105=0,AA$1=Units!$O105),Units!$R105,IF(AND(AA$1&gt;=Units!$Q105,MOD(AA$1-Units!$Q105,12)=0),IF(AND(Units!$L105=1,AA$1=Units!$Q105),IF(Units!$J105&lt;&gt;"",Units!$J105,Mkt!AA106),Inputs!$B$15*Mkt!AA106+(1-Inputs!$B$15)*MIN(Mkt!AA106,Z106*(1+Inputs!$B$18))),Z106)))</f>
        <v>1333.85</v>
      </c>
      <c r="AB106" s="11" t="n">
        <f aca="false">IF(AB$1&lt;Units!$P105,0,IF(AND(Units!$K105=0,AB$1=Units!$O105),Units!$R105,IF(AND(AB$1&gt;=Units!$Q105,MOD(AB$1-Units!$Q105,12)=0),IF(AND(Units!$L105=1,AB$1=Units!$Q105),IF(Units!$J105&lt;&gt;"",Units!$J105,Mkt!AB106),Inputs!$B$15*Mkt!AB106+(1-Inputs!$B$15)*MIN(Mkt!AB106,AA106*(1+Inputs!$B$18))),AA106)))</f>
        <v>1333.85</v>
      </c>
      <c r="AC106" s="11" t="n">
        <f aca="false">IF(AC$1&lt;Units!$P105,0,IF(AND(Units!$K105=0,AC$1=Units!$O105),Units!$R105,IF(AND(AC$1&gt;=Units!$Q105,MOD(AC$1-Units!$Q105,12)=0),IF(AND(Units!$L105=1,AC$1=Units!$Q105),IF(Units!$J105&lt;&gt;"",Units!$J105,Mkt!AC106),Inputs!$B$15*Mkt!AC106+(1-Inputs!$B$15)*MIN(Mkt!AC106,AB106*(1+Inputs!$B$18))),AB106)))</f>
        <v>1333.85</v>
      </c>
      <c r="AD106" s="11" t="n">
        <f aca="false">IF(AD$1&lt;Units!$P105,0,IF(AND(Units!$K105=0,AD$1=Units!$O105),Units!$R105,IF(AND(AD$1&gt;=Units!$Q105,MOD(AD$1-Units!$Q105,12)=0),IF(AND(Units!$L105=1,AD$1=Units!$Q105),IF(Units!$J105&lt;&gt;"",Units!$J105,Mkt!AD106),Inputs!$B$15*Mkt!AD106+(1-Inputs!$B$15)*MIN(Mkt!AD106,AC106*(1+Inputs!$B$18))),AC106)))</f>
        <v>1333.85</v>
      </c>
      <c r="AE106" s="11" t="n">
        <f aca="false">IF(AE$1&lt;Units!$P105,0,IF(AND(Units!$K105=0,AE$1=Units!$O105),Units!$R105,IF(AND(AE$1&gt;=Units!$Q105,MOD(AE$1-Units!$Q105,12)=0),IF(AND(Units!$L105=1,AE$1=Units!$Q105),IF(Units!$J105&lt;&gt;"",Units!$J105,Mkt!AE106),Inputs!$B$15*Mkt!AE106+(1-Inputs!$B$15)*MIN(Mkt!AE106,AD106*(1+Inputs!$B$18))),AD106)))</f>
        <v>1373.8655</v>
      </c>
      <c r="AF106" s="11" t="n">
        <f aca="false">IF(AF$1&lt;Units!$P105,0,IF(AND(Units!$K105=0,AF$1=Units!$O105),Units!$R105,IF(AND(AF$1&gt;=Units!$Q105,MOD(AF$1-Units!$Q105,12)=0),IF(AND(Units!$L105=1,AF$1=Units!$Q105),IF(Units!$J105&lt;&gt;"",Units!$J105,Mkt!AF106),Inputs!$B$15*Mkt!AF106+(1-Inputs!$B$15)*MIN(Mkt!AF106,AE106*(1+Inputs!$B$18))),AE106)))</f>
        <v>1373.8655</v>
      </c>
      <c r="AG106" s="11" t="n">
        <f aca="false">IF(AG$1&lt;Units!$P105,0,IF(AND(Units!$K105=0,AG$1=Units!$O105),Units!$R105,IF(AND(AG$1&gt;=Units!$Q105,MOD(AG$1-Units!$Q105,12)=0),IF(AND(Units!$L105=1,AG$1=Units!$Q105),IF(Units!$J105&lt;&gt;"",Units!$J105,Mkt!AG106),Inputs!$B$15*Mkt!AG106+(1-Inputs!$B$15)*MIN(Mkt!AG106,AF106*(1+Inputs!$B$18))),AF106)))</f>
        <v>1373.8655</v>
      </c>
      <c r="AH106" s="11" t="n">
        <f aca="false">IF(AH$1&lt;Units!$P105,0,IF(AND(Units!$K105=0,AH$1=Units!$O105),Units!$R105,IF(AND(AH$1&gt;=Units!$Q105,MOD(AH$1-Units!$Q105,12)=0),IF(AND(Units!$L105=1,AH$1=Units!$Q105),IF(Units!$J105&lt;&gt;"",Units!$J105,Mkt!AH106),Inputs!$B$15*Mkt!AH106+(1-Inputs!$B$15)*MIN(Mkt!AH106,AG106*(1+Inputs!$B$18))),AG106)))</f>
        <v>1373.8655</v>
      </c>
      <c r="AI106" s="11" t="n">
        <f aca="false">IF(AI$1&lt;Units!$P105,0,IF(AND(Units!$K105=0,AI$1=Units!$O105),Units!$R105,IF(AND(AI$1&gt;=Units!$Q105,MOD(AI$1-Units!$Q105,12)=0),IF(AND(Units!$L105=1,AI$1=Units!$Q105),IF(Units!$J105&lt;&gt;"",Units!$J105,Mkt!AI106),Inputs!$B$15*Mkt!AI106+(1-Inputs!$B$15)*MIN(Mkt!AI106,AH106*(1+Inputs!$B$18))),AH106)))</f>
        <v>1373.8655</v>
      </c>
      <c r="AJ106" s="11" t="n">
        <f aca="false">IF(AJ$1&lt;Units!$P105,0,IF(AND(Units!$K105=0,AJ$1=Units!$O105),Units!$R105,IF(AND(AJ$1&gt;=Units!$Q105,MOD(AJ$1-Units!$Q105,12)=0),IF(AND(Units!$L105=1,AJ$1=Units!$Q105),IF(Units!$J105&lt;&gt;"",Units!$J105,Mkt!AJ106),Inputs!$B$15*Mkt!AJ106+(1-Inputs!$B$15)*MIN(Mkt!AJ106,AI106*(1+Inputs!$B$18))),AI106)))</f>
        <v>1373.8655</v>
      </c>
      <c r="AK106" s="11" t="n">
        <f aca="false">IF(AK$1&lt;Units!$P105,0,IF(AND(Units!$K105=0,AK$1=Units!$O105),Units!$R105,IF(AND(AK$1&gt;=Units!$Q105,MOD(AK$1-Units!$Q105,12)=0),IF(AND(Units!$L105=1,AK$1=Units!$Q105),IF(Units!$J105&lt;&gt;"",Units!$J105,Mkt!AK106),Inputs!$B$15*Mkt!AK106+(1-Inputs!$B$15)*MIN(Mkt!AK106,AJ106*(1+Inputs!$B$18))),AJ106)))</f>
        <v>1373.8655</v>
      </c>
      <c r="AL106" s="11" t="n">
        <f aca="false">IF(AL$1&lt;Units!$P105,0,IF(AND(Units!$K105=0,AL$1=Units!$O105),Units!$R105,IF(AND(AL$1&gt;=Units!$Q105,MOD(AL$1-Units!$Q105,12)=0),IF(AND(Units!$L105=1,AL$1=Units!$Q105),IF(Units!$J105&lt;&gt;"",Units!$J105,Mkt!AL106),Inputs!$B$15*Mkt!AL106+(1-Inputs!$B$15)*MIN(Mkt!AL106,AK106*(1+Inputs!$B$18))),AK106)))</f>
        <v>1373.8655</v>
      </c>
      <c r="AM106" s="11" t="n">
        <f aca="false">IF(AM$1&lt;Units!$P105,0,IF(AND(Units!$K105=0,AM$1=Units!$O105),Units!$R105,IF(AND(AM$1&gt;=Units!$Q105,MOD(AM$1-Units!$Q105,12)=0),IF(AND(Units!$L105=1,AM$1=Units!$Q105),IF(Units!$J105&lt;&gt;"",Units!$J105,Mkt!AM106),Inputs!$B$15*Mkt!AM106+(1-Inputs!$B$15)*MIN(Mkt!AM106,AL106*(1+Inputs!$B$18))),AL106)))</f>
        <v>1373.8655</v>
      </c>
      <c r="AN106" s="11" t="n">
        <f aca="false">IF(AN$1&lt;Units!$P105,0,IF(AND(Units!$K105=0,AN$1=Units!$O105),Units!$R105,IF(AND(AN$1&gt;=Units!$Q105,MOD(AN$1-Units!$Q105,12)=0),IF(AND(Units!$L105=1,AN$1=Units!$Q105),IF(Units!$J105&lt;&gt;"",Units!$J105,Mkt!AN106),Inputs!$B$15*Mkt!AN106+(1-Inputs!$B$15)*MIN(Mkt!AN106,AM106*(1+Inputs!$B$18))),AM106)))</f>
        <v>1373.8655</v>
      </c>
      <c r="AO106" s="11" t="n">
        <f aca="false">IF(AO$1&lt;Units!$P105,0,IF(AND(Units!$K105=0,AO$1=Units!$O105),Units!$R105,IF(AND(AO$1&gt;=Units!$Q105,MOD(AO$1-Units!$Q105,12)=0),IF(AND(Units!$L105=1,AO$1=Units!$Q105),IF(Units!$J105&lt;&gt;"",Units!$J105,Mkt!AO106),Inputs!$B$15*Mkt!AO106+(1-Inputs!$B$15)*MIN(Mkt!AO106,AN106*(1+Inputs!$B$18))),AN106)))</f>
        <v>1373.8655</v>
      </c>
      <c r="AP106" s="11" t="n">
        <f aca="false">IF(AP$1&lt;Units!$P105,0,IF(AND(Units!$K105=0,AP$1=Units!$O105),Units!$R105,IF(AND(AP$1&gt;=Units!$Q105,MOD(AP$1-Units!$Q105,12)=0),IF(AND(Units!$L105=1,AP$1=Units!$Q105),IF(Units!$J105&lt;&gt;"",Units!$J105,Mkt!AP106),Inputs!$B$15*Mkt!AP106+(1-Inputs!$B$15)*MIN(Mkt!AP106,AO106*(1+Inputs!$B$18))),AO106)))</f>
        <v>1373.8655</v>
      </c>
      <c r="AQ106" s="11" t="n">
        <f aca="false">IF(AQ$1&lt;Units!$P105,0,IF(AND(Units!$K105=0,AQ$1=Units!$O105),Units!$R105,IF(AND(AQ$1&gt;=Units!$Q105,MOD(AQ$1-Units!$Q105,12)=0),IF(AND(Units!$L105=1,AQ$1=Units!$Q105),IF(Units!$J105&lt;&gt;"",Units!$J105,Mkt!AQ106),Inputs!$B$15*Mkt!AQ106+(1-Inputs!$B$15)*MIN(Mkt!AQ106,AP106*(1+Inputs!$B$18))),AP106)))</f>
        <v>1415.081465</v>
      </c>
      <c r="AR106" s="11" t="n">
        <f aca="false">IF(AR$1&lt;Units!$P105,0,IF(AND(Units!$K105=0,AR$1=Units!$O105),Units!$R105,IF(AND(AR$1&gt;=Units!$Q105,MOD(AR$1-Units!$Q105,12)=0),IF(AND(Units!$L105=1,AR$1=Units!$Q105),IF(Units!$J105&lt;&gt;"",Units!$J105,Mkt!AR106),Inputs!$B$15*Mkt!AR106+(1-Inputs!$B$15)*MIN(Mkt!AR106,AQ106*(1+Inputs!$B$18))),AQ106)))</f>
        <v>1415.081465</v>
      </c>
      <c r="AS106" s="11" t="n">
        <f aca="false">IF(AS$1&lt;Units!$P105,0,IF(AND(Units!$K105=0,AS$1=Units!$O105),Units!$R105,IF(AND(AS$1&gt;=Units!$Q105,MOD(AS$1-Units!$Q105,12)=0),IF(AND(Units!$L105=1,AS$1=Units!$Q105),IF(Units!$J105&lt;&gt;"",Units!$J105,Mkt!AS106),Inputs!$B$15*Mkt!AS106+(1-Inputs!$B$15)*MIN(Mkt!AS106,AR106*(1+Inputs!$B$18))),AR106)))</f>
        <v>1415.081465</v>
      </c>
      <c r="AT106" s="11" t="n">
        <f aca="false">IF(AT$1&lt;Units!$P105,0,IF(AND(Units!$K105=0,AT$1=Units!$O105),Units!$R105,IF(AND(AT$1&gt;=Units!$Q105,MOD(AT$1-Units!$Q105,12)=0),IF(AND(Units!$L105=1,AT$1=Units!$Q105),IF(Units!$J105&lt;&gt;"",Units!$J105,Mkt!AT106),Inputs!$B$15*Mkt!AT106+(1-Inputs!$B$15)*MIN(Mkt!AT106,AS106*(1+Inputs!$B$18))),AS106)))</f>
        <v>1415.081465</v>
      </c>
      <c r="AU106" s="11" t="n">
        <f aca="false">IF(AU$1&lt;Units!$P105,0,IF(AND(Units!$K105=0,AU$1=Units!$O105),Units!$R105,IF(AND(AU$1&gt;=Units!$Q105,MOD(AU$1-Units!$Q105,12)=0),IF(AND(Units!$L105=1,AU$1=Units!$Q105),IF(Units!$J105&lt;&gt;"",Units!$J105,Mkt!AU106),Inputs!$B$15*Mkt!AU106+(1-Inputs!$B$15)*MIN(Mkt!AU106,AT106*(1+Inputs!$B$18))),AT106)))</f>
        <v>1415.081465</v>
      </c>
      <c r="AV106" s="11" t="n">
        <f aca="false">IF(AV$1&lt;Units!$P105,0,IF(AND(Units!$K105=0,AV$1=Units!$O105),Units!$R105,IF(AND(AV$1&gt;=Units!$Q105,MOD(AV$1-Units!$Q105,12)=0),IF(AND(Units!$L105=1,AV$1=Units!$Q105),IF(Units!$J105&lt;&gt;"",Units!$J105,Mkt!AV106),Inputs!$B$15*Mkt!AV106+(1-Inputs!$B$15)*MIN(Mkt!AV106,AU106*(1+Inputs!$B$18))),AU106)))</f>
        <v>1415.081465</v>
      </c>
      <c r="AW106" s="11" t="n">
        <f aca="false">IF(AW$1&lt;Units!$P105,0,IF(AND(Units!$K105=0,AW$1=Units!$O105),Units!$R105,IF(AND(AW$1&gt;=Units!$Q105,MOD(AW$1-Units!$Q105,12)=0),IF(AND(Units!$L105=1,AW$1=Units!$Q105),IF(Units!$J105&lt;&gt;"",Units!$J105,Mkt!AW106),Inputs!$B$15*Mkt!AW106+(1-Inputs!$B$15)*MIN(Mkt!AW106,AV106*(1+Inputs!$B$18))),AV106)))</f>
        <v>1415.081465</v>
      </c>
      <c r="AX106" s="11" t="n">
        <f aca="false">IF(AX$1&lt;Units!$P105,0,IF(AND(Units!$K105=0,AX$1=Units!$O105),Units!$R105,IF(AND(AX$1&gt;=Units!$Q105,MOD(AX$1-Units!$Q105,12)=0),IF(AND(Units!$L105=1,AX$1=Units!$Q105),IF(Units!$J105&lt;&gt;"",Units!$J105,Mkt!AX106),Inputs!$B$15*Mkt!AX106+(1-Inputs!$B$15)*MIN(Mkt!AX106,AW106*(1+Inputs!$B$18))),AW106)))</f>
        <v>1415.081465</v>
      </c>
      <c r="AY106" s="11" t="n">
        <f aca="false">IF(AY$1&lt;Units!$P105,0,IF(AND(Units!$K105=0,AY$1=Units!$O105),Units!$R105,IF(AND(AY$1&gt;=Units!$Q105,MOD(AY$1-Units!$Q105,12)=0),IF(AND(Units!$L105=1,AY$1=Units!$Q105),IF(Units!$J105&lt;&gt;"",Units!$J105,Mkt!AY106),Inputs!$B$15*Mkt!AY106+(1-Inputs!$B$15)*MIN(Mkt!AY106,AX106*(1+Inputs!$B$18))),AX106)))</f>
        <v>1415.081465</v>
      </c>
      <c r="AZ106" s="11" t="n">
        <f aca="false">IF(AZ$1&lt;Units!$P105,0,IF(AND(Units!$K105=0,AZ$1=Units!$O105),Units!$R105,IF(AND(AZ$1&gt;=Units!$Q105,MOD(AZ$1-Units!$Q105,12)=0),IF(AND(Units!$L105=1,AZ$1=Units!$Q105),IF(Units!$J105&lt;&gt;"",Units!$J105,Mkt!AZ106),Inputs!$B$15*Mkt!AZ106+(1-Inputs!$B$15)*MIN(Mkt!AZ106,AY106*(1+Inputs!$B$18))),AY106)))</f>
        <v>1415.081465</v>
      </c>
      <c r="BA106" s="11" t="n">
        <f aca="false">IF(BA$1&lt;Units!$P105,0,IF(AND(Units!$K105=0,BA$1=Units!$O105),Units!$R105,IF(AND(BA$1&gt;=Units!$Q105,MOD(BA$1-Units!$Q105,12)=0),IF(AND(Units!$L105=1,BA$1=Units!$Q105),IF(Units!$J105&lt;&gt;"",Units!$J105,Mkt!BA106),Inputs!$B$15*Mkt!BA106+(1-Inputs!$B$15)*MIN(Mkt!BA106,AZ106*(1+Inputs!$B$18))),AZ106)))</f>
        <v>1415.081465</v>
      </c>
      <c r="BB106" s="11" t="n">
        <f aca="false">IF(BB$1&lt;Units!$P105,0,IF(AND(Units!$K105=0,BB$1=Units!$O105),Units!$R105,IF(AND(BB$1&gt;=Units!$Q105,MOD(BB$1-Units!$Q105,12)=0),IF(AND(Units!$L105=1,BB$1=Units!$Q105),IF(Units!$J105&lt;&gt;"",Units!$J105,Mkt!BB106),Inputs!$B$15*Mkt!BB106+(1-Inputs!$B$15)*MIN(Mkt!BB106,BA106*(1+Inputs!$B$18))),BA106)))</f>
        <v>1415.081465</v>
      </c>
      <c r="BC106" s="11" t="n">
        <f aca="false">IF(BC$1&lt;Units!$P105,0,IF(AND(Units!$K105=0,BC$1=Units!$O105),Units!$R105,IF(AND(BC$1&gt;=Units!$Q105,MOD(BC$1-Units!$Q105,12)=0),IF(AND(Units!$L105=1,BC$1=Units!$Q105),IF(Units!$J105&lt;&gt;"",Units!$J105,Mkt!BC106),Inputs!$B$15*Mkt!BC106+(1-Inputs!$B$15)*MIN(Mkt!BC106,BB106*(1+Inputs!$B$18))),BB106)))</f>
        <v>1457.53390895</v>
      </c>
      <c r="BD106" s="11" t="n">
        <f aca="false">IF(BD$1&lt;Units!$P105,0,IF(AND(Units!$K105=0,BD$1=Units!$O105),Units!$R105,IF(AND(BD$1&gt;=Units!$Q105,MOD(BD$1-Units!$Q105,12)=0),IF(AND(Units!$L105=1,BD$1=Units!$Q105),IF(Units!$J105&lt;&gt;"",Units!$J105,Mkt!BD106),Inputs!$B$15*Mkt!BD106+(1-Inputs!$B$15)*MIN(Mkt!BD106,BC106*(1+Inputs!$B$18))),BC106)))</f>
        <v>1457.53390895</v>
      </c>
      <c r="BE106" s="11" t="n">
        <f aca="false">IF(BE$1&lt;Units!$P105,0,IF(AND(Units!$K105=0,BE$1=Units!$O105),Units!$R105,IF(AND(BE$1&gt;=Units!$Q105,MOD(BE$1-Units!$Q105,12)=0),IF(AND(Units!$L105=1,BE$1=Units!$Q105),IF(Units!$J105&lt;&gt;"",Units!$J105,Mkt!BE106),Inputs!$B$15*Mkt!BE106+(1-Inputs!$B$15)*MIN(Mkt!BE106,BD106*(1+Inputs!$B$18))),BD106)))</f>
        <v>1457.53390895</v>
      </c>
      <c r="BF106" s="11" t="n">
        <f aca="false">IF(BF$1&lt;Units!$P105,0,IF(AND(Units!$K105=0,BF$1=Units!$O105),Units!$R105,IF(AND(BF$1&gt;=Units!$Q105,MOD(BF$1-Units!$Q105,12)=0),IF(AND(Units!$L105=1,BF$1=Units!$Q105),IF(Units!$J105&lt;&gt;"",Units!$J105,Mkt!BF106),Inputs!$B$15*Mkt!BF106+(1-Inputs!$B$15)*MIN(Mkt!BF106,BE106*(1+Inputs!$B$18))),BE106)))</f>
        <v>1457.53390895</v>
      </c>
      <c r="BG106" s="11" t="n">
        <f aca="false">IF(BG$1&lt;Units!$P105,0,IF(AND(Units!$K105=0,BG$1=Units!$O105),Units!$R105,IF(AND(BG$1&gt;=Units!$Q105,MOD(BG$1-Units!$Q105,12)=0),IF(AND(Units!$L105=1,BG$1=Units!$Q105),IF(Units!$J105&lt;&gt;"",Units!$J105,Mkt!BG106),Inputs!$B$15*Mkt!BG106+(1-Inputs!$B$15)*MIN(Mkt!BG106,BF106*(1+Inputs!$B$18))),BF106)))</f>
        <v>1457.53390895</v>
      </c>
      <c r="BH106" s="11" t="n">
        <f aca="false">IF(BH$1&lt;Units!$P105,0,IF(AND(Units!$K105=0,BH$1=Units!$O105),Units!$R105,IF(AND(BH$1&gt;=Units!$Q105,MOD(BH$1-Units!$Q105,12)=0),IF(AND(Units!$L105=1,BH$1=Units!$Q105),IF(Units!$J105&lt;&gt;"",Units!$J105,Mkt!BH106),Inputs!$B$15*Mkt!BH106+(1-Inputs!$B$15)*MIN(Mkt!BH106,BG106*(1+Inputs!$B$18))),BG106)))</f>
        <v>1457.53390895</v>
      </c>
      <c r="BI106" s="11" t="n">
        <f aca="false">IF(BI$1&lt;Units!$P105,0,IF(AND(Units!$K105=0,BI$1=Units!$O105),Units!$R105,IF(AND(BI$1&gt;=Units!$Q105,MOD(BI$1-Units!$Q105,12)=0),IF(AND(Units!$L105=1,BI$1=Units!$Q105),IF(Units!$J105&lt;&gt;"",Units!$J105,Mkt!BI106),Inputs!$B$15*Mkt!BI106+(1-Inputs!$B$15)*MIN(Mkt!BI106,BH106*(1+Inputs!$B$18))),BH106)))</f>
        <v>1457.53390895</v>
      </c>
      <c r="BJ106" s="11" t="n">
        <f aca="false">IF(BJ$1&lt;Units!$P105,0,IF(AND(Units!$K105=0,BJ$1=Units!$O105),Units!$R105,IF(AND(BJ$1&gt;=Units!$Q105,MOD(BJ$1-Units!$Q105,12)=0),IF(AND(Units!$L105=1,BJ$1=Units!$Q105),IF(Units!$J105&lt;&gt;"",Units!$J105,Mkt!BJ106),Inputs!$B$15*Mkt!BJ106+(1-Inputs!$B$15)*MIN(Mkt!BJ106,BI106*(1+Inputs!$B$18))),BI106)))</f>
        <v>1457.53390895</v>
      </c>
      <c r="BK106" s="11" t="n">
        <f aca="false">IF(BK$1&lt;Units!$P105,0,IF(AND(Units!$K105=0,BK$1=Units!$O105),Units!$R105,IF(AND(BK$1&gt;=Units!$Q105,MOD(BK$1-Units!$Q105,12)=0),IF(AND(Units!$L105=1,BK$1=Units!$Q105),IF(Units!$J105&lt;&gt;"",Units!$J105,Mkt!BK106),Inputs!$B$15*Mkt!BK106+(1-Inputs!$B$15)*MIN(Mkt!BK106,BJ106*(1+Inputs!$B$18))),BJ106)))</f>
        <v>1457.53390895</v>
      </c>
      <c r="BL106" s="11" t="n">
        <f aca="false">IF(BL$1&lt;Units!$P105,0,IF(AND(Units!$K105=0,BL$1=Units!$O105),Units!$R105,IF(AND(BL$1&gt;=Units!$Q105,MOD(BL$1-Units!$Q105,12)=0),IF(AND(Units!$L105=1,BL$1=Units!$Q105),IF(Units!$J105&lt;&gt;"",Units!$J105,Mkt!BL106),Inputs!$B$15*Mkt!BL106+(1-Inputs!$B$15)*MIN(Mkt!BL106,BK106*(1+Inputs!$B$18))),BK106)))</f>
        <v>1457.53390895</v>
      </c>
      <c r="BM106" s="11" t="n">
        <f aca="false">IF(BM$1&lt;Units!$P105,0,IF(AND(Units!$K105=0,BM$1=Units!$O105),Units!$R105,IF(AND(BM$1&gt;=Units!$Q105,MOD(BM$1-Units!$Q105,12)=0),IF(AND(Units!$L105=1,BM$1=Units!$Q105),IF(Units!$J105&lt;&gt;"",Units!$J105,Mkt!BM106),Inputs!$B$15*Mkt!BM106+(1-Inputs!$B$15)*MIN(Mkt!BM106,BL106*(1+Inputs!$B$18))),BL106)))</f>
        <v>1457.53390895</v>
      </c>
      <c r="BN106" s="11" t="n">
        <f aca="false">IF(BN$1&lt;Units!$P105,0,IF(AND(Units!$K105=0,BN$1=Units!$O105),Units!$R105,IF(AND(BN$1&gt;=Units!$Q105,MOD(BN$1-Units!$Q105,12)=0),IF(AND(Units!$L105=1,BN$1=Units!$Q105),IF(Units!$J105&lt;&gt;"",Units!$J105,Mkt!BN106),Inputs!$B$15*Mkt!BN106+(1-Inputs!$B$15)*MIN(Mkt!BN106,BM106*(1+Inputs!$B$18))),BM106)))</f>
        <v>1457.53390895</v>
      </c>
      <c r="BO106" s="11" t="n">
        <f aca="false">IF(BO$1&lt;Units!$P105,0,IF(AND(Units!$K105=0,BO$1=Units!$O105),Units!$R105,IF(AND(BO$1&gt;=Units!$Q105,MOD(BO$1-Units!$Q105,12)=0),IF(AND(Units!$L105=1,BO$1=Units!$Q105),IF(Units!$J105&lt;&gt;"",Units!$J105,Mkt!BO106),Inputs!$B$15*Mkt!BO106+(1-Inputs!$B$15)*MIN(Mkt!BO106,BN106*(1+Inputs!$B$18))),BN106)))</f>
        <v>1501.2599262185</v>
      </c>
      <c r="BP106" s="11" t="n">
        <f aca="false">IF(BP$1&lt;Units!$P105,0,IF(AND(Units!$K105=0,BP$1=Units!$O105),Units!$R105,IF(AND(BP$1&gt;=Units!$Q105,MOD(BP$1-Units!$Q105,12)=0),IF(AND(Units!$L105=1,BP$1=Units!$Q105),IF(Units!$J105&lt;&gt;"",Units!$J105,Mkt!BP106),Inputs!$B$15*Mkt!BP106+(1-Inputs!$B$15)*MIN(Mkt!BP106,BO106*(1+Inputs!$B$18))),BO106)))</f>
        <v>1501.2599262185</v>
      </c>
      <c r="BQ106" s="11" t="n">
        <f aca="false">IF(BQ$1&lt;Units!$P105,0,IF(AND(Units!$K105=0,BQ$1=Units!$O105),Units!$R105,IF(AND(BQ$1&gt;=Units!$Q105,MOD(BQ$1-Units!$Q105,12)=0),IF(AND(Units!$L105=1,BQ$1=Units!$Q105),IF(Units!$J105&lt;&gt;"",Units!$J105,Mkt!BQ106),Inputs!$B$15*Mkt!BQ106+(1-Inputs!$B$15)*MIN(Mkt!BQ106,BP106*(1+Inputs!$B$18))),BP106)))</f>
        <v>1501.2599262185</v>
      </c>
      <c r="BR106" s="11" t="n">
        <f aca="false">IF(BR$1&lt;Units!$P105,0,IF(AND(Units!$K105=0,BR$1=Units!$O105),Units!$R105,IF(AND(BR$1&gt;=Units!$Q105,MOD(BR$1-Units!$Q105,12)=0),IF(AND(Units!$L105=1,BR$1=Units!$Q105),IF(Units!$J105&lt;&gt;"",Units!$J105,Mkt!BR106),Inputs!$B$15*Mkt!BR106+(1-Inputs!$B$15)*MIN(Mkt!BR106,BQ106*(1+Inputs!$B$18))),BQ106)))</f>
        <v>1501.2599262185</v>
      </c>
      <c r="BS106" s="11" t="n">
        <f aca="false">IF(BS$1&lt;Units!$P105,0,IF(AND(Units!$K105=0,BS$1=Units!$O105),Units!$R105,IF(AND(BS$1&gt;=Units!$Q105,MOD(BS$1-Units!$Q105,12)=0),IF(AND(Units!$L105=1,BS$1=Units!$Q105),IF(Units!$J105&lt;&gt;"",Units!$J105,Mkt!BS106),Inputs!$B$15*Mkt!BS106+(1-Inputs!$B$15)*MIN(Mkt!BS106,BR106*(1+Inputs!$B$18))),BR106)))</f>
        <v>1501.2599262185</v>
      </c>
      <c r="BT106" s="11" t="n">
        <f aca="false">IF(BT$1&lt;Units!$P105,0,IF(AND(Units!$K105=0,BT$1=Units!$O105),Units!$R105,IF(AND(BT$1&gt;=Units!$Q105,MOD(BT$1-Units!$Q105,12)=0),IF(AND(Units!$L105=1,BT$1=Units!$Q105),IF(Units!$J105&lt;&gt;"",Units!$J105,Mkt!BT106),Inputs!$B$15*Mkt!BT106+(1-Inputs!$B$15)*MIN(Mkt!BT106,BS106*(1+Inputs!$B$18))),BS106)))</f>
        <v>1501.2599262185</v>
      </c>
      <c r="BU106" s="11" t="n">
        <f aca="false">IF(BU$1&lt;Units!$P105,0,IF(AND(Units!$K105=0,BU$1=Units!$O105),Units!$R105,IF(AND(BU$1&gt;=Units!$Q105,MOD(BU$1-Units!$Q105,12)=0),IF(AND(Units!$L105=1,BU$1=Units!$Q105),IF(Units!$J105&lt;&gt;"",Units!$J105,Mkt!BU106),Inputs!$B$15*Mkt!BU106+(1-Inputs!$B$15)*MIN(Mkt!BU106,BT106*(1+Inputs!$B$18))),BT106)))</f>
        <v>1501.2599262185</v>
      </c>
      <c r="BV106" s="11" t="n">
        <f aca="false">IF(BV$1&lt;Units!$P105,0,IF(AND(Units!$K105=0,BV$1=Units!$O105),Units!$R105,IF(AND(BV$1&gt;=Units!$Q105,MOD(BV$1-Units!$Q105,12)=0),IF(AND(Units!$L105=1,BV$1=Units!$Q105),IF(Units!$J105&lt;&gt;"",Units!$J105,Mkt!BV106),Inputs!$B$15*Mkt!BV106+(1-Inputs!$B$15)*MIN(Mkt!BV106,BU106*(1+Inputs!$B$18))),BU106)))</f>
        <v>1501.2599262185</v>
      </c>
      <c r="BW106" s="11" t="n">
        <f aca="false">IF(BW$1&lt;Units!$P105,0,IF(AND(Units!$K105=0,BW$1=Units!$O105),Units!$R105,IF(AND(BW$1&gt;=Units!$Q105,MOD(BW$1-Units!$Q105,12)=0),IF(AND(Units!$L105=1,BW$1=Units!$Q105),IF(Units!$J105&lt;&gt;"",Units!$J105,Mkt!BW106),Inputs!$B$15*Mkt!BW106+(1-Inputs!$B$15)*MIN(Mkt!BW106,BV106*(1+Inputs!$B$18))),BV106)))</f>
        <v>1501.2599262185</v>
      </c>
      <c r="BX106" s="11" t="n">
        <f aca="false">IF(BX$1&lt;Units!$P105,0,IF(AND(Units!$K105=0,BX$1=Units!$O105),Units!$R105,IF(AND(BX$1&gt;=Units!$Q105,MOD(BX$1-Units!$Q105,12)=0),IF(AND(Units!$L105=1,BX$1=Units!$Q105),IF(Units!$J105&lt;&gt;"",Units!$J105,Mkt!BX106),Inputs!$B$15*Mkt!BX106+(1-Inputs!$B$15)*MIN(Mkt!BX106,BW106*(1+Inputs!$B$18))),BW106)))</f>
        <v>1501.2599262185</v>
      </c>
      <c r="BY106" s="11" t="n">
        <f aca="false">IF(BY$1&lt;Units!$P105,0,IF(AND(Units!$K105=0,BY$1=Units!$O105),Units!$R105,IF(AND(BY$1&gt;=Units!$Q105,MOD(BY$1-Units!$Q105,12)=0),IF(AND(Units!$L105=1,BY$1=Units!$Q105),IF(Units!$J105&lt;&gt;"",Units!$J105,Mkt!BY106),Inputs!$B$15*Mkt!BY106+(1-Inputs!$B$15)*MIN(Mkt!BY106,BX106*(1+Inputs!$B$18))),BX106)))</f>
        <v>1501.2599262185</v>
      </c>
      <c r="BZ106" s="11" t="n">
        <f aca="false">IF(BZ$1&lt;Units!$P105,0,IF(AND(Units!$K105=0,BZ$1=Units!$O105),Units!$R105,IF(AND(BZ$1&gt;=Units!$Q105,MOD(BZ$1-Units!$Q105,12)=0),IF(AND(Units!$L105=1,BZ$1=Units!$Q105),IF(Units!$J105&lt;&gt;"",Units!$J105,Mkt!BZ106),Inputs!$B$15*Mkt!BZ106+(1-Inputs!$B$15)*MIN(Mkt!BZ106,BY106*(1+Inputs!$B$18))),BY106)))</f>
        <v>1501.2599262185</v>
      </c>
      <c r="CA106" s="11" t="n">
        <f aca="false">IF(CA$1&lt;Units!$P105,0,IF(AND(Units!$K105=0,CA$1=Units!$O105),Units!$R105,IF(AND(CA$1&gt;=Units!$Q105,MOD(CA$1-Units!$Q105,12)=0),IF(AND(Units!$L105=1,CA$1=Units!$Q105),IF(Units!$J105&lt;&gt;"",Units!$J105,Mkt!CA106),Inputs!$B$15*Mkt!CA106+(1-Inputs!$B$15)*MIN(Mkt!CA106,BZ106*(1+Inputs!$B$18))),BZ106)))</f>
        <v>1546.29772400506</v>
      </c>
      <c r="CB106" s="11" t="n">
        <f aca="false">IF(CB$1&lt;Units!$P105,0,IF(AND(Units!$K105=0,CB$1=Units!$O105),Units!$R105,IF(AND(CB$1&gt;=Units!$Q105,MOD(CB$1-Units!$Q105,12)=0),IF(AND(Units!$L105=1,CB$1=Units!$Q105),IF(Units!$J105&lt;&gt;"",Units!$J105,Mkt!CB106),Inputs!$B$15*Mkt!CB106+(1-Inputs!$B$15)*MIN(Mkt!CB106,CA106*(1+Inputs!$B$18))),CA106)))</f>
        <v>1546.29772400506</v>
      </c>
      <c r="CC106" s="11" t="n">
        <f aca="false">IF(CC$1&lt;Units!$P105,0,IF(AND(Units!$K105=0,CC$1=Units!$O105),Units!$R105,IF(AND(CC$1&gt;=Units!$Q105,MOD(CC$1-Units!$Q105,12)=0),IF(AND(Units!$L105=1,CC$1=Units!$Q105),IF(Units!$J105&lt;&gt;"",Units!$J105,Mkt!CC106),Inputs!$B$15*Mkt!CC106+(1-Inputs!$B$15)*MIN(Mkt!CC106,CB106*(1+Inputs!$B$18))),CB106)))</f>
        <v>1546.29772400506</v>
      </c>
      <c r="CD106" s="11" t="n">
        <f aca="false">IF(CD$1&lt;Units!$P105,0,IF(AND(Units!$K105=0,CD$1=Units!$O105),Units!$R105,IF(AND(CD$1&gt;=Units!$Q105,MOD(CD$1-Units!$Q105,12)=0),IF(AND(Units!$L105=1,CD$1=Units!$Q105),IF(Units!$J105&lt;&gt;"",Units!$J105,Mkt!CD106),Inputs!$B$15*Mkt!CD106+(1-Inputs!$B$15)*MIN(Mkt!CD106,CC106*(1+Inputs!$B$18))),CC106)))</f>
        <v>1546.29772400506</v>
      </c>
      <c r="CE106" s="11" t="n">
        <f aca="false">IF(CE$1&lt;Units!$P105,0,IF(AND(Units!$K105=0,CE$1=Units!$O105),Units!$R105,IF(AND(CE$1&gt;=Units!$Q105,MOD(CE$1-Units!$Q105,12)=0),IF(AND(Units!$L105=1,CE$1=Units!$Q105),IF(Units!$J105&lt;&gt;"",Units!$J105,Mkt!CE106),Inputs!$B$15*Mkt!CE106+(1-Inputs!$B$15)*MIN(Mkt!CE106,CD106*(1+Inputs!$B$18))),CD106)))</f>
        <v>1546.29772400506</v>
      </c>
      <c r="CF106" s="11" t="n">
        <f aca="false">IF(CF$1&lt;Units!$P105,0,IF(AND(Units!$K105=0,CF$1=Units!$O105),Units!$R105,IF(AND(CF$1&gt;=Units!$Q105,MOD(CF$1-Units!$Q105,12)=0),IF(AND(Units!$L105=1,CF$1=Units!$Q105),IF(Units!$J105&lt;&gt;"",Units!$J105,Mkt!CF106),Inputs!$B$15*Mkt!CF106+(1-Inputs!$B$15)*MIN(Mkt!CF106,CE106*(1+Inputs!$B$18))),CE106)))</f>
        <v>1546.29772400506</v>
      </c>
      <c r="CG106" s="11" t="n">
        <f aca="false">IF(CG$1&lt;Units!$P105,0,IF(AND(Units!$K105=0,CG$1=Units!$O105),Units!$R105,IF(AND(CG$1&gt;=Units!$Q105,MOD(CG$1-Units!$Q105,12)=0),IF(AND(Units!$L105=1,CG$1=Units!$Q105),IF(Units!$J105&lt;&gt;"",Units!$J105,Mkt!CG106),Inputs!$B$15*Mkt!CG106+(1-Inputs!$B$15)*MIN(Mkt!CG106,CF106*(1+Inputs!$B$18))),CF106)))</f>
        <v>1546.29772400506</v>
      </c>
      <c r="CH106" s="11" t="n">
        <f aca="false">IF(CH$1&lt;Units!$P105,0,IF(AND(Units!$K105=0,CH$1=Units!$O105),Units!$R105,IF(AND(CH$1&gt;=Units!$Q105,MOD(CH$1-Units!$Q105,12)=0),IF(AND(Units!$L105=1,CH$1=Units!$Q105),IF(Units!$J105&lt;&gt;"",Units!$J105,Mkt!CH106),Inputs!$B$15*Mkt!CH106+(1-Inputs!$B$15)*MIN(Mkt!CH106,CG106*(1+Inputs!$B$18))),CG106)))</f>
        <v>1546.29772400506</v>
      </c>
      <c r="CI106" s="11" t="n">
        <f aca="false">IF(CI$1&lt;Units!$P105,0,IF(AND(Units!$K105=0,CI$1=Units!$O105),Units!$R105,IF(AND(CI$1&gt;=Units!$Q105,MOD(CI$1-Units!$Q105,12)=0),IF(AND(Units!$L105=1,CI$1=Units!$Q105),IF(Units!$J105&lt;&gt;"",Units!$J105,Mkt!CI106),Inputs!$B$15*Mkt!CI106+(1-Inputs!$B$15)*MIN(Mkt!CI106,CH106*(1+Inputs!$B$18))),CH106)))</f>
        <v>1546.29772400506</v>
      </c>
      <c r="CJ106" s="11" t="n">
        <f aca="false">IF(CJ$1&lt;Units!$P105,0,IF(AND(Units!$K105=0,CJ$1=Units!$O105),Units!$R105,IF(AND(CJ$1&gt;=Units!$Q105,MOD(CJ$1-Units!$Q105,12)=0),IF(AND(Units!$L105=1,CJ$1=Units!$Q105),IF(Units!$J105&lt;&gt;"",Units!$J105,Mkt!CJ106),Inputs!$B$15*Mkt!CJ106+(1-Inputs!$B$15)*MIN(Mkt!CJ106,CI106*(1+Inputs!$B$18))),CI106)))</f>
        <v>1546.29772400506</v>
      </c>
      <c r="CK106" s="11" t="n">
        <f aca="false">IF(CK$1&lt;Units!$P105,0,IF(AND(Units!$K105=0,CK$1=Units!$O105),Units!$R105,IF(AND(CK$1&gt;=Units!$Q105,MOD(CK$1-Units!$Q105,12)=0),IF(AND(Units!$L105=1,CK$1=Units!$Q105),IF(Units!$J105&lt;&gt;"",Units!$J105,Mkt!CK106),Inputs!$B$15*Mkt!CK106+(1-Inputs!$B$15)*MIN(Mkt!CK106,CJ106*(1+Inputs!$B$18))),CJ106)))</f>
        <v>1546.29772400506</v>
      </c>
      <c r="CL106" s="11" t="n">
        <f aca="false">IF(CL$1&lt;Units!$P105,0,IF(AND(Units!$K105=0,CL$1=Units!$O105),Units!$R105,IF(AND(CL$1&gt;=Units!$Q105,MOD(CL$1-Units!$Q105,12)=0),IF(AND(Units!$L105=1,CL$1=Units!$Q105),IF(Units!$J105&lt;&gt;"",Units!$J105,Mkt!CL106),Inputs!$B$15*Mkt!CL106+(1-Inputs!$B$15)*MIN(Mkt!CL106,CK106*(1+Inputs!$B$18))),CK106)))</f>
        <v>1546.29772400506</v>
      </c>
      <c r="CM106" s="11" t="n">
        <f aca="false">IF(CM$1&lt;Units!$P105,0,IF(AND(Units!$K105=0,CM$1=Units!$O105),Units!$R105,IF(AND(CM$1&gt;=Units!$Q105,MOD(CM$1-Units!$Q105,12)=0),IF(AND(Units!$L105=1,CM$1=Units!$Q105),IF(Units!$J105&lt;&gt;"",Units!$J105,Mkt!CM106),Inputs!$B$15*Mkt!CM106+(1-Inputs!$B$15)*MIN(Mkt!CM106,CL106*(1+Inputs!$B$18))),CL106)))</f>
        <v>1592.68665572521</v>
      </c>
      <c r="CN106" s="11" t="n">
        <f aca="false">IF(CN$1&lt;Units!$P105,0,IF(AND(Units!$K105=0,CN$1=Units!$O105),Units!$R105,IF(AND(CN$1&gt;=Units!$Q105,MOD(CN$1-Units!$Q105,12)=0),IF(AND(Units!$L105=1,CN$1=Units!$Q105),IF(Units!$J105&lt;&gt;"",Units!$J105,Mkt!CN106),Inputs!$B$15*Mkt!CN106+(1-Inputs!$B$15)*MIN(Mkt!CN106,CM106*(1+Inputs!$B$18))),CM106)))</f>
        <v>1592.68665572521</v>
      </c>
      <c r="CO106" s="11" t="n">
        <f aca="false">IF(CO$1&lt;Units!$P105,0,IF(AND(Units!$K105=0,CO$1=Units!$O105),Units!$R105,IF(AND(CO$1&gt;=Units!$Q105,MOD(CO$1-Units!$Q105,12)=0),IF(AND(Units!$L105=1,CO$1=Units!$Q105),IF(Units!$J105&lt;&gt;"",Units!$J105,Mkt!CO106),Inputs!$B$15*Mkt!CO106+(1-Inputs!$B$15)*MIN(Mkt!CO106,CN106*(1+Inputs!$B$18))),CN106)))</f>
        <v>1592.68665572521</v>
      </c>
      <c r="CP106" s="11" t="n">
        <f aca="false">IF(CP$1&lt;Units!$P105,0,IF(AND(Units!$K105=0,CP$1=Units!$O105),Units!$R105,IF(AND(CP$1&gt;=Units!$Q105,MOD(CP$1-Units!$Q105,12)=0),IF(AND(Units!$L105=1,CP$1=Units!$Q105),IF(Units!$J105&lt;&gt;"",Units!$J105,Mkt!CP106),Inputs!$B$15*Mkt!CP106+(1-Inputs!$B$15)*MIN(Mkt!CP106,CO106*(1+Inputs!$B$18))),CO106)))</f>
        <v>1592.68665572521</v>
      </c>
      <c r="CQ106" s="11" t="n">
        <f aca="false">IF(CQ$1&lt;Units!$P105,0,IF(AND(Units!$K105=0,CQ$1=Units!$O105),Units!$R105,IF(AND(CQ$1&gt;=Units!$Q105,MOD(CQ$1-Units!$Q105,12)=0),IF(AND(Units!$L105=1,CQ$1=Units!$Q105),IF(Units!$J105&lt;&gt;"",Units!$J105,Mkt!CQ106),Inputs!$B$15*Mkt!CQ106+(1-Inputs!$B$15)*MIN(Mkt!CQ106,CP106*(1+Inputs!$B$18))),CP106)))</f>
        <v>1592.68665572521</v>
      </c>
      <c r="CR106" s="11" t="n">
        <f aca="false">IF(CR$1&lt;Units!$P105,0,IF(AND(Units!$K105=0,CR$1=Units!$O105),Units!$R105,IF(AND(CR$1&gt;=Units!$Q105,MOD(CR$1-Units!$Q105,12)=0),IF(AND(Units!$L105=1,CR$1=Units!$Q105),IF(Units!$J105&lt;&gt;"",Units!$J105,Mkt!CR106),Inputs!$B$15*Mkt!CR106+(1-Inputs!$B$15)*MIN(Mkt!CR106,CQ106*(1+Inputs!$B$18))),CQ106)))</f>
        <v>1592.68665572521</v>
      </c>
      <c r="CS106" s="11" t="n">
        <f aca="false">IF(CS$1&lt;Units!$P105,0,IF(AND(Units!$K105=0,CS$1=Units!$O105),Units!$R105,IF(AND(CS$1&gt;=Units!$Q105,MOD(CS$1-Units!$Q105,12)=0),IF(AND(Units!$L105=1,CS$1=Units!$Q105),IF(Units!$J105&lt;&gt;"",Units!$J105,Mkt!CS106),Inputs!$B$15*Mkt!CS106+(1-Inputs!$B$15)*MIN(Mkt!CS106,CR106*(1+Inputs!$B$18))),CR106)))</f>
        <v>1592.68665572521</v>
      </c>
      <c r="CT106" s="11" t="n">
        <f aca="false">IF(CT$1&lt;Units!$P105,0,IF(AND(Units!$K105=0,CT$1=Units!$O105),Units!$R105,IF(AND(CT$1&gt;=Units!$Q105,MOD(CT$1-Units!$Q105,12)=0),IF(AND(Units!$L105=1,CT$1=Units!$Q105),IF(Units!$J105&lt;&gt;"",Units!$J105,Mkt!CT106),Inputs!$B$15*Mkt!CT106+(1-Inputs!$B$15)*MIN(Mkt!CT106,CS106*(1+Inputs!$B$18))),CS106)))</f>
        <v>1592.68665572521</v>
      </c>
      <c r="CU106" s="11" t="n">
        <f aca="false">IF(CU$1&lt;Units!$P105,0,IF(AND(Units!$K105=0,CU$1=Units!$O105),Units!$R105,IF(AND(CU$1&gt;=Units!$Q105,MOD(CU$1-Units!$Q105,12)=0),IF(AND(Units!$L105=1,CU$1=Units!$Q105),IF(Units!$J105&lt;&gt;"",Units!$J105,Mkt!CU106),Inputs!$B$15*Mkt!CU106+(1-Inputs!$B$15)*MIN(Mkt!CU106,CT106*(1+Inputs!$B$18))),CT106)))</f>
        <v>1592.68665572521</v>
      </c>
      <c r="CV106" s="11" t="n">
        <f aca="false">IF(CV$1&lt;Units!$P105,0,IF(AND(Units!$K105=0,CV$1=Units!$O105),Units!$R105,IF(AND(CV$1&gt;=Units!$Q105,MOD(CV$1-Units!$Q105,12)=0),IF(AND(Units!$L105=1,CV$1=Units!$Q105),IF(Units!$J105&lt;&gt;"",Units!$J105,Mkt!CV106),Inputs!$B$15*Mkt!CV106+(1-Inputs!$B$15)*MIN(Mkt!CV106,CU106*(1+Inputs!$B$18))),CU106)))</f>
        <v>1592.68665572521</v>
      </c>
      <c r="CW106" s="11" t="n">
        <f aca="false">IF(CW$1&lt;Units!$P105,0,IF(AND(Units!$K105=0,CW$1=Units!$O105),Units!$R105,IF(AND(CW$1&gt;=Units!$Q105,MOD(CW$1-Units!$Q105,12)=0),IF(AND(Units!$L105=1,CW$1=Units!$Q105),IF(Units!$J105&lt;&gt;"",Units!$J105,Mkt!CW106),Inputs!$B$15*Mkt!CW106+(1-Inputs!$B$15)*MIN(Mkt!CW106,CV106*(1+Inputs!$B$18))),CV106)))</f>
        <v>1592.68665572521</v>
      </c>
      <c r="CX106" s="11" t="n">
        <f aca="false">IF(CX$1&lt;Units!$P105,0,IF(AND(Units!$K105=0,CX$1=Units!$O105),Units!$R105,IF(AND(CX$1&gt;=Units!$Q105,MOD(CX$1-Units!$Q105,12)=0),IF(AND(Units!$L105=1,CX$1=Units!$Q105),IF(Units!$J105&lt;&gt;"",Units!$J105,Mkt!CX106),Inputs!$B$15*Mkt!CX106+(1-Inputs!$B$15)*MIN(Mkt!CX106,CW106*(1+Inputs!$B$18))),CW106)))</f>
        <v>1592.68665572521</v>
      </c>
      <c r="CY106" s="11" t="n">
        <f aca="false">IF(CY$1&lt;Units!$P105,0,IF(AND(Units!$K105=0,CY$1=Units!$O105),Units!$R105,IF(AND(CY$1&gt;=Units!$Q105,MOD(CY$1-Units!$Q105,12)=0),IF(AND(Units!$L105=1,CY$1=Units!$Q105),IF(Units!$J105&lt;&gt;"",Units!$J105,Mkt!CY106),Inputs!$B$15*Mkt!CY106+(1-Inputs!$B$15)*MIN(Mkt!CY106,CX106*(1+Inputs!$B$18))),CX106)))</f>
        <v>1640.46725539696</v>
      </c>
      <c r="CZ106" s="11" t="n">
        <f aca="false">IF(CZ$1&lt;Units!$P105,0,IF(AND(Units!$K105=0,CZ$1=Units!$O105),Units!$R105,IF(AND(CZ$1&gt;=Units!$Q105,MOD(CZ$1-Units!$Q105,12)=0),IF(AND(Units!$L105=1,CZ$1=Units!$Q105),IF(Units!$J105&lt;&gt;"",Units!$J105,Mkt!CZ106),Inputs!$B$15*Mkt!CZ106+(1-Inputs!$B$15)*MIN(Mkt!CZ106,CY106*(1+Inputs!$B$18))),CY106)))</f>
        <v>1640.46725539696</v>
      </c>
      <c r="DA106" s="11" t="n">
        <f aca="false">IF(DA$1&lt;Units!$P105,0,IF(AND(Units!$K105=0,DA$1=Units!$O105),Units!$R105,IF(AND(DA$1&gt;=Units!$Q105,MOD(DA$1-Units!$Q105,12)=0),IF(AND(Units!$L105=1,DA$1=Units!$Q105),IF(Units!$J105&lt;&gt;"",Units!$J105,Mkt!DA106),Inputs!$B$15*Mkt!DA106+(1-Inputs!$B$15)*MIN(Mkt!DA106,CZ106*(1+Inputs!$B$18))),CZ106)))</f>
        <v>1640.46725539696</v>
      </c>
      <c r="DB106" s="11" t="n">
        <f aca="false">IF(DB$1&lt;Units!$P105,0,IF(AND(Units!$K105=0,DB$1=Units!$O105),Units!$R105,IF(AND(DB$1&gt;=Units!$Q105,MOD(DB$1-Units!$Q105,12)=0),IF(AND(Units!$L105=1,DB$1=Units!$Q105),IF(Units!$J105&lt;&gt;"",Units!$J105,Mkt!DB106),Inputs!$B$15*Mkt!DB106+(1-Inputs!$B$15)*MIN(Mkt!DB106,DA106*(1+Inputs!$B$18))),DA106)))</f>
        <v>1640.46725539696</v>
      </c>
      <c r="DC106" s="11" t="n">
        <f aca="false">IF(DC$1&lt;Units!$P105,0,IF(AND(Units!$K105=0,DC$1=Units!$O105),Units!$R105,IF(AND(DC$1&gt;=Units!$Q105,MOD(DC$1-Units!$Q105,12)=0),IF(AND(Units!$L105=1,DC$1=Units!$Q105),IF(Units!$J105&lt;&gt;"",Units!$J105,Mkt!DC106),Inputs!$B$15*Mkt!DC106+(1-Inputs!$B$15)*MIN(Mkt!DC106,DB106*(1+Inputs!$B$18))),DB106)))</f>
        <v>1640.46725539696</v>
      </c>
      <c r="DD106" s="11" t="n">
        <f aca="false">IF(DD$1&lt;Units!$P105,0,IF(AND(Units!$K105=0,DD$1=Units!$O105),Units!$R105,IF(AND(DD$1&gt;=Units!$Q105,MOD(DD$1-Units!$Q105,12)=0),IF(AND(Units!$L105=1,DD$1=Units!$Q105),IF(Units!$J105&lt;&gt;"",Units!$J105,Mkt!DD106),Inputs!$B$15*Mkt!DD106+(1-Inputs!$B$15)*MIN(Mkt!DD106,DC106*(1+Inputs!$B$18))),DC106)))</f>
        <v>1640.46725539696</v>
      </c>
      <c r="DE106" s="11" t="n">
        <f aca="false">IF(DE$1&lt;Units!$P105,0,IF(AND(Units!$K105=0,DE$1=Units!$O105),Units!$R105,IF(AND(DE$1&gt;=Units!$Q105,MOD(DE$1-Units!$Q105,12)=0),IF(AND(Units!$L105=1,DE$1=Units!$Q105),IF(Units!$J105&lt;&gt;"",Units!$J105,Mkt!DE106),Inputs!$B$15*Mkt!DE106+(1-Inputs!$B$15)*MIN(Mkt!DE106,DD106*(1+Inputs!$B$18))),DD106)))</f>
        <v>1640.46725539696</v>
      </c>
      <c r="DF106" s="11" t="n">
        <f aca="false">IF(DF$1&lt;Units!$P105,0,IF(AND(Units!$K105=0,DF$1=Units!$O105),Units!$R105,IF(AND(DF$1&gt;=Units!$Q105,MOD(DF$1-Units!$Q105,12)=0),IF(AND(Units!$L105=1,DF$1=Units!$Q105),IF(Units!$J105&lt;&gt;"",Units!$J105,Mkt!DF106),Inputs!$B$15*Mkt!DF106+(1-Inputs!$B$15)*MIN(Mkt!DF106,DE106*(1+Inputs!$B$18))),DE106)))</f>
        <v>1640.46725539696</v>
      </c>
      <c r="DG106" s="11" t="n">
        <f aca="false">IF(DG$1&lt;Units!$P105,0,IF(AND(Units!$K105=0,DG$1=Units!$O105),Units!$R105,IF(AND(DG$1&gt;=Units!$Q105,MOD(DG$1-Units!$Q105,12)=0),IF(AND(Units!$L105=1,DG$1=Units!$Q105),IF(Units!$J105&lt;&gt;"",Units!$J105,Mkt!DG106),Inputs!$B$15*Mkt!DG106+(1-Inputs!$B$15)*MIN(Mkt!DG106,DF106*(1+Inputs!$B$18))),DF106)))</f>
        <v>1640.46725539696</v>
      </c>
      <c r="DH106" s="11" t="n">
        <f aca="false">IF(DH$1&lt;Units!$P105,0,IF(AND(Units!$K105=0,DH$1=Units!$O105),Units!$R105,IF(AND(DH$1&gt;=Units!$Q105,MOD(DH$1-Units!$Q105,12)=0),IF(AND(Units!$L105=1,DH$1=Units!$Q105),IF(Units!$J105&lt;&gt;"",Units!$J105,Mkt!DH106),Inputs!$B$15*Mkt!DH106+(1-Inputs!$B$15)*MIN(Mkt!DH106,DG106*(1+Inputs!$B$18))),DG106)))</f>
        <v>1640.46725539696</v>
      </c>
      <c r="DI106" s="11" t="n">
        <f aca="false">IF(DI$1&lt;Units!$P105,0,IF(AND(Units!$K105=0,DI$1=Units!$O105),Units!$R105,IF(AND(DI$1&gt;=Units!$Q105,MOD(DI$1-Units!$Q105,12)=0),IF(AND(Units!$L105=1,DI$1=Units!$Q105),IF(Units!$J105&lt;&gt;"",Units!$J105,Mkt!DI106),Inputs!$B$15*Mkt!DI106+(1-Inputs!$B$15)*MIN(Mkt!DI106,DH106*(1+Inputs!$B$18))),DH106)))</f>
        <v>1640.46725539696</v>
      </c>
      <c r="DJ106" s="11" t="n">
        <f aca="false">IF(DJ$1&lt;Units!$P105,0,IF(AND(Units!$K105=0,DJ$1=Units!$O105),Units!$R105,IF(AND(DJ$1&gt;=Units!$Q105,MOD(DJ$1-Units!$Q105,12)=0),IF(AND(Units!$L105=1,DJ$1=Units!$Q105),IF(Units!$J105&lt;&gt;"",Units!$J105,Mkt!DJ106),Inputs!$B$15*Mkt!DJ106+(1-Inputs!$B$15)*MIN(Mkt!DJ106,DI106*(1+Inputs!$B$18))),DI106)))</f>
        <v>1640.46725539696</v>
      </c>
      <c r="DK106" s="11" t="n">
        <f aca="false">IF(DK$1&lt;Units!$P105,0,IF(AND(Units!$K105=0,DK$1=Units!$O105),Units!$R105,IF(AND(DK$1&gt;=Units!$Q105,MOD(DK$1-Units!$Q105,12)=0),IF(AND(Units!$L105=1,DK$1=Units!$Q105),IF(Units!$J105&lt;&gt;"",Units!$J105,Mkt!DK106),Inputs!$B$15*Mkt!DK106+(1-Inputs!$B$15)*MIN(Mkt!DK106,DJ106*(1+Inputs!$B$18))),DJ106)))</f>
        <v>1689.68127305887</v>
      </c>
      <c r="DL106" s="11" t="n">
        <f aca="false">IF(DL$1&lt;Units!$P105,0,IF(AND(Units!$K105=0,DL$1=Units!$O105),Units!$R105,IF(AND(DL$1&gt;=Units!$Q105,MOD(DL$1-Units!$Q105,12)=0),IF(AND(Units!$L105=1,DL$1=Units!$Q105),IF(Units!$J105&lt;&gt;"",Units!$J105,Mkt!DL106),Inputs!$B$15*Mkt!DL106+(1-Inputs!$B$15)*MIN(Mkt!DL106,DK106*(1+Inputs!$B$18))),DK106)))</f>
        <v>1689.68127305887</v>
      </c>
      <c r="DM106" s="11" t="n">
        <f aca="false">IF(DM$1&lt;Units!$P105,0,IF(AND(Units!$K105=0,DM$1=Units!$O105),Units!$R105,IF(AND(DM$1&gt;=Units!$Q105,MOD(DM$1-Units!$Q105,12)=0),IF(AND(Units!$L105=1,DM$1=Units!$Q105),IF(Units!$J105&lt;&gt;"",Units!$J105,Mkt!DM106),Inputs!$B$15*Mkt!DM106+(1-Inputs!$B$15)*MIN(Mkt!DM106,DL106*(1+Inputs!$B$18))),DL106)))</f>
        <v>1689.68127305887</v>
      </c>
      <c r="DN106" s="11" t="n">
        <f aca="false">IF(DN$1&lt;Units!$P105,0,IF(AND(Units!$K105=0,DN$1=Units!$O105),Units!$R105,IF(AND(DN$1&gt;=Units!$Q105,MOD(DN$1-Units!$Q105,12)=0),IF(AND(Units!$L105=1,DN$1=Units!$Q105),IF(Units!$J105&lt;&gt;"",Units!$J105,Mkt!DN106),Inputs!$B$15*Mkt!DN106+(1-Inputs!$B$15)*MIN(Mkt!DN106,DM106*(1+Inputs!$B$18))),DM106)))</f>
        <v>1689.68127305887</v>
      </c>
      <c r="DO106" s="11" t="n">
        <f aca="false">IF(DO$1&lt;Units!$P105,0,IF(AND(Units!$K105=0,DO$1=Units!$O105),Units!$R105,IF(AND(DO$1&gt;=Units!$Q105,MOD(DO$1-Units!$Q105,12)=0),IF(AND(Units!$L105=1,DO$1=Units!$Q105),IF(Units!$J105&lt;&gt;"",Units!$J105,Mkt!DO106),Inputs!$B$15*Mkt!DO106+(1-Inputs!$B$15)*MIN(Mkt!DO106,DN106*(1+Inputs!$B$18))),DN106)))</f>
        <v>1689.68127305887</v>
      </c>
      <c r="DP106" s="11" t="n">
        <f aca="false">IF(DP$1&lt;Units!$P105,0,IF(AND(Units!$K105=0,DP$1=Units!$O105),Units!$R105,IF(AND(DP$1&gt;=Units!$Q105,MOD(DP$1-Units!$Q105,12)=0),IF(AND(Units!$L105=1,DP$1=Units!$Q105),IF(Units!$J105&lt;&gt;"",Units!$J105,Mkt!DP106),Inputs!$B$15*Mkt!DP106+(1-Inputs!$B$15)*MIN(Mkt!DP106,DO106*(1+Inputs!$B$18))),DO106)))</f>
        <v>1689.68127305887</v>
      </c>
      <c r="DQ106" s="11" t="n">
        <f aca="false">IF(DQ$1&lt;Units!$P105,0,IF(AND(Units!$K105=0,DQ$1=Units!$O105),Units!$R105,IF(AND(DQ$1&gt;=Units!$Q105,MOD(DQ$1-Units!$Q105,12)=0),IF(AND(Units!$L105=1,DQ$1=Units!$Q105),IF(Units!$J105&lt;&gt;"",Units!$J105,Mkt!DQ106),Inputs!$B$15*Mkt!DQ106+(1-Inputs!$B$15)*MIN(Mkt!DQ106,DP106*(1+Inputs!$B$18))),DP106)))</f>
        <v>1689.68127305887</v>
      </c>
      <c r="DR106" s="11" t="n">
        <f aca="false">IF(DR$1&lt;Units!$P105,0,IF(AND(Units!$K105=0,DR$1=Units!$O105),Units!$R105,IF(AND(DR$1&gt;=Units!$Q105,MOD(DR$1-Units!$Q105,12)=0),IF(AND(Units!$L105=1,DR$1=Units!$Q105),IF(Units!$J105&lt;&gt;"",Units!$J105,Mkt!DR106),Inputs!$B$15*Mkt!DR106+(1-Inputs!$B$15)*MIN(Mkt!DR106,DQ106*(1+Inputs!$B$18))),DQ106)))</f>
        <v>1689.68127305887</v>
      </c>
      <c r="DS106" s="11" t="n">
        <f aca="false">IF(DS$1&lt;Units!$P105,0,IF(AND(Units!$K105=0,DS$1=Units!$O105),Units!$R105,IF(AND(DS$1&gt;=Units!$Q105,MOD(DS$1-Units!$Q105,12)=0),IF(AND(Units!$L105=1,DS$1=Units!$Q105),IF(Units!$J105&lt;&gt;"",Units!$J105,Mkt!DS106),Inputs!$B$15*Mkt!DS106+(1-Inputs!$B$15)*MIN(Mkt!DS106,DR106*(1+Inputs!$B$18))),DR106)))</f>
        <v>1689.68127305887</v>
      </c>
      <c r="DT106" s="11" t="n">
        <f aca="false">IF(DT$1&lt;Units!$P105,0,IF(AND(Units!$K105=0,DT$1=Units!$O105),Units!$R105,IF(AND(DT$1&gt;=Units!$Q105,MOD(DT$1-Units!$Q105,12)=0),IF(AND(Units!$L105=1,DT$1=Units!$Q105),IF(Units!$J105&lt;&gt;"",Units!$J105,Mkt!DT106),Inputs!$B$15*Mkt!DT106+(1-Inputs!$B$15)*MIN(Mkt!DT106,DS106*(1+Inputs!$B$18))),DS106)))</f>
        <v>1689.68127305887</v>
      </c>
      <c r="DU106" s="11" t="n">
        <f aca="false">IF(DU$1&lt;Units!$P105,0,IF(AND(Units!$K105=0,DU$1=Units!$O105),Units!$R105,IF(AND(DU$1&gt;=Units!$Q105,MOD(DU$1-Units!$Q105,12)=0),IF(AND(Units!$L105=1,DU$1=Units!$Q105),IF(Units!$J105&lt;&gt;"",Units!$J105,Mkt!DU106),Inputs!$B$15*Mkt!DU106+(1-Inputs!$B$15)*MIN(Mkt!DU106,DT106*(1+Inputs!$B$18))),DT106)))</f>
        <v>1689.68127305887</v>
      </c>
      <c r="DV106" s="11" t="n">
        <f aca="false">IF(DV$1&lt;Units!$P105,0,IF(AND(Units!$K105=0,DV$1=Units!$O105),Units!$R105,IF(AND(DV$1&gt;=Units!$Q105,MOD(DV$1-Units!$Q105,12)=0),IF(AND(Units!$L105=1,DV$1=Units!$Q105),IF(Units!$J105&lt;&gt;"",Units!$J105,Mkt!DV106),Inputs!$B$15*Mkt!DV106+(1-Inputs!$B$15)*MIN(Mkt!DV106,DU106*(1+Inputs!$B$18))),DU106)))</f>
        <v>1689.68127305887</v>
      </c>
      <c r="DW106" s="11" t="n">
        <f aca="false">IF(DW$1&lt;Units!$P105,0,IF(AND(Units!$K105=0,DW$1=Units!$O105),Units!$R105,IF(AND(DW$1&gt;=Units!$Q105,MOD(DW$1-Units!$Q105,12)=0),IF(AND(Units!$L105=1,DW$1=Units!$Q105),IF(Units!$J105&lt;&gt;"",Units!$J105,Mkt!DW106),Inputs!$B$15*Mkt!DW106+(1-Inputs!$B$15)*MIN(Mkt!DW106,DV106*(1+Inputs!$B$18))),DV106)))</f>
        <v>1740.37171125064</v>
      </c>
      <c r="DX106" s="11" t="n">
        <f aca="false">IF(DX$1&lt;Units!$P105,0,IF(AND(Units!$K105=0,DX$1=Units!$O105),Units!$R105,IF(AND(DX$1&gt;=Units!$Q105,MOD(DX$1-Units!$Q105,12)=0),IF(AND(Units!$L105=1,DX$1=Units!$Q105),IF(Units!$J105&lt;&gt;"",Units!$J105,Mkt!DX106),Inputs!$B$15*Mkt!DX106+(1-Inputs!$B$15)*MIN(Mkt!DX106,DW106*(1+Inputs!$B$18))),DW106)))</f>
        <v>1740.37171125064</v>
      </c>
      <c r="DY106" s="11" t="n">
        <f aca="false">IF(DY$1&lt;Units!$P105,0,IF(AND(Units!$K105=0,DY$1=Units!$O105),Units!$R105,IF(AND(DY$1&gt;=Units!$Q105,MOD(DY$1-Units!$Q105,12)=0),IF(AND(Units!$L105=1,DY$1=Units!$Q105),IF(Units!$J105&lt;&gt;"",Units!$J105,Mkt!DY106),Inputs!$B$15*Mkt!DY106+(1-Inputs!$B$15)*MIN(Mkt!DY106,DX106*(1+Inputs!$B$18))),DX106)))</f>
        <v>1740.37171125064</v>
      </c>
      <c r="DZ106" s="11" t="n">
        <f aca="false">IF(DZ$1&lt;Units!$P105,0,IF(AND(Units!$K105=0,DZ$1=Units!$O105),Units!$R105,IF(AND(DZ$1&gt;=Units!$Q105,MOD(DZ$1-Units!$Q105,12)=0),IF(AND(Units!$L105=1,DZ$1=Units!$Q105),IF(Units!$J105&lt;&gt;"",Units!$J105,Mkt!DZ106),Inputs!$B$15*Mkt!DZ106+(1-Inputs!$B$15)*MIN(Mkt!DZ106,DY106*(1+Inputs!$B$18))),DY106)))</f>
        <v>1740.37171125064</v>
      </c>
      <c r="EA106" s="11" t="n">
        <f aca="false">IF(EA$1&lt;Units!$P105,0,IF(AND(Units!$K105=0,EA$1=Units!$O105),Units!$R105,IF(AND(EA$1&gt;=Units!$Q105,MOD(EA$1-Units!$Q105,12)=0),IF(AND(Units!$L105=1,EA$1=Units!$Q105),IF(Units!$J105&lt;&gt;"",Units!$J105,Mkt!EA106),Inputs!$B$15*Mkt!EA106+(1-Inputs!$B$15)*MIN(Mkt!EA106,DZ106*(1+Inputs!$B$18))),DZ106)))</f>
        <v>1740.37171125064</v>
      </c>
      <c r="EB106" s="11" t="n">
        <f aca="false">IF(EB$1&lt;Units!$P105,0,IF(AND(Units!$K105=0,EB$1=Units!$O105),Units!$R105,IF(AND(EB$1&gt;=Units!$Q105,MOD(EB$1-Units!$Q105,12)=0),IF(AND(Units!$L105=1,EB$1=Units!$Q105),IF(Units!$J105&lt;&gt;"",Units!$J105,Mkt!EB106),Inputs!$B$15*Mkt!EB106+(1-Inputs!$B$15)*MIN(Mkt!EB106,EA106*(1+Inputs!$B$18))),EA106)))</f>
        <v>1740.37171125064</v>
      </c>
      <c r="EC106" s="11" t="n">
        <f aca="false">IF(EC$1&lt;Units!$P105,0,IF(AND(Units!$K105=0,EC$1=Units!$O105),Units!$R105,IF(AND(EC$1&gt;=Units!$Q105,MOD(EC$1-Units!$Q105,12)=0),IF(AND(Units!$L105=1,EC$1=Units!$Q105),IF(Units!$J105&lt;&gt;"",Units!$J105,Mkt!EC106),Inputs!$B$15*Mkt!EC106+(1-Inputs!$B$15)*MIN(Mkt!EC106,EB106*(1+Inputs!$B$18))),EB106)))</f>
        <v>1740.37171125064</v>
      </c>
      <c r="ED106" s="11" t="n">
        <f aca="false">IF(ED$1&lt;Units!$P105,0,IF(AND(Units!$K105=0,ED$1=Units!$O105),Units!$R105,IF(AND(ED$1&gt;=Units!$Q105,MOD(ED$1-Units!$Q105,12)=0),IF(AND(Units!$L105=1,ED$1=Units!$Q105),IF(Units!$J105&lt;&gt;"",Units!$J105,Mkt!ED106),Inputs!$B$15*Mkt!ED106+(1-Inputs!$B$15)*MIN(Mkt!ED106,EC106*(1+Inputs!$B$18))),EC106)))</f>
        <v>1740.37171125064</v>
      </c>
    </row>
    <row r="107" customFormat="false" ht="15" hidden="false" customHeight="false" outlineLevel="0" collapsed="false">
      <c r="A107" s="22" t="n">
        <f aca="false">Units!A106</f>
        <v>415</v>
      </c>
      <c r="B107" s="24" t="n">
        <f aca="false">IF(Units!K106=1,Units!F106,0)</f>
        <v>1240</v>
      </c>
      <c r="C107" s="11" t="n">
        <f aca="false">IF(C$1&lt;Units!$P106,0,IF(AND(Units!$K106=0,C$1=Units!$O106),Units!$R106,IF(AND(C$1&gt;=Units!$Q106,MOD(C$1-Units!$Q106,12)=0),IF(AND(Units!$L106=1,C$1=Units!$Q106),IF(Units!$J106&lt;&gt;"",Units!$J106,Mkt!C107),Inputs!$B$15*Mkt!C107+(1-Inputs!$B$15)*MIN(Mkt!C107,B107*(1+Inputs!$B$18))),B107)))</f>
        <v>1295</v>
      </c>
      <c r="D107" s="11" t="n">
        <f aca="false">IF(D$1&lt;Units!$P106,0,IF(AND(Units!$K106=0,D$1=Units!$O106),Units!$R106,IF(AND(D$1&gt;=Units!$Q106,MOD(D$1-Units!$Q106,12)=0),IF(AND(Units!$L106=1,D$1=Units!$Q106),IF(Units!$J106&lt;&gt;"",Units!$J106,Mkt!D107),Inputs!$B$15*Mkt!D107+(1-Inputs!$B$15)*MIN(Mkt!D107,C107*(1+Inputs!$B$18))),C107)))</f>
        <v>1295</v>
      </c>
      <c r="E107" s="11" t="n">
        <f aca="false">IF(E$1&lt;Units!$P106,0,IF(AND(Units!$K106=0,E$1=Units!$O106),Units!$R106,IF(AND(E$1&gt;=Units!$Q106,MOD(E$1-Units!$Q106,12)=0),IF(AND(Units!$L106=1,E$1=Units!$Q106),IF(Units!$J106&lt;&gt;"",Units!$J106,Mkt!E107),Inputs!$B$15*Mkt!E107+(1-Inputs!$B$15)*MIN(Mkt!E107,D107*(1+Inputs!$B$18))),D107)))</f>
        <v>1295</v>
      </c>
      <c r="F107" s="11" t="n">
        <f aca="false">IF(F$1&lt;Units!$P106,0,IF(AND(Units!$K106=0,F$1=Units!$O106),Units!$R106,IF(AND(F$1&gt;=Units!$Q106,MOD(F$1-Units!$Q106,12)=0),IF(AND(Units!$L106=1,F$1=Units!$Q106),IF(Units!$J106&lt;&gt;"",Units!$J106,Mkt!F107),Inputs!$B$15*Mkt!F107+(1-Inputs!$B$15)*MIN(Mkt!F107,E107*(1+Inputs!$B$18))),E107)))</f>
        <v>1295</v>
      </c>
      <c r="G107" s="11" t="n">
        <f aca="false">IF(G$1&lt;Units!$P106,0,IF(AND(Units!$K106=0,G$1=Units!$O106),Units!$R106,IF(AND(G$1&gt;=Units!$Q106,MOD(G$1-Units!$Q106,12)=0),IF(AND(Units!$L106=1,G$1=Units!$Q106),IF(Units!$J106&lt;&gt;"",Units!$J106,Mkt!G107),Inputs!$B$15*Mkt!G107+(1-Inputs!$B$15)*MIN(Mkt!G107,F107*(1+Inputs!$B$18))),F107)))</f>
        <v>1295</v>
      </c>
      <c r="H107" s="11" t="n">
        <f aca="false">IF(H$1&lt;Units!$P106,0,IF(AND(Units!$K106=0,H$1=Units!$O106),Units!$R106,IF(AND(H$1&gt;=Units!$Q106,MOD(H$1-Units!$Q106,12)=0),IF(AND(Units!$L106=1,H$1=Units!$Q106),IF(Units!$J106&lt;&gt;"",Units!$J106,Mkt!H107),Inputs!$B$15*Mkt!H107+(1-Inputs!$B$15)*MIN(Mkt!H107,G107*(1+Inputs!$B$18))),G107)))</f>
        <v>1295</v>
      </c>
      <c r="I107" s="11" t="n">
        <f aca="false">IF(I$1&lt;Units!$P106,0,IF(AND(Units!$K106=0,I$1=Units!$O106),Units!$R106,IF(AND(I$1&gt;=Units!$Q106,MOD(I$1-Units!$Q106,12)=0),IF(AND(Units!$L106=1,I$1=Units!$Q106),IF(Units!$J106&lt;&gt;"",Units!$J106,Mkt!I107),Inputs!$B$15*Mkt!I107+(1-Inputs!$B$15)*MIN(Mkt!I107,H107*(1+Inputs!$B$18))),H107)))</f>
        <v>1295</v>
      </c>
      <c r="J107" s="11" t="n">
        <f aca="false">IF(J$1&lt;Units!$P106,0,IF(AND(Units!$K106=0,J$1=Units!$O106),Units!$R106,IF(AND(J$1&gt;=Units!$Q106,MOD(J$1-Units!$Q106,12)=0),IF(AND(Units!$L106=1,J$1=Units!$Q106),IF(Units!$J106&lt;&gt;"",Units!$J106,Mkt!J107),Inputs!$B$15*Mkt!J107+(1-Inputs!$B$15)*MIN(Mkt!J107,I107*(1+Inputs!$B$18))),I107)))</f>
        <v>1295</v>
      </c>
      <c r="K107" s="11" t="n">
        <f aca="false">IF(K$1&lt;Units!$P106,0,IF(AND(Units!$K106=0,K$1=Units!$O106),Units!$R106,IF(AND(K$1&gt;=Units!$Q106,MOD(K$1-Units!$Q106,12)=0),IF(AND(Units!$L106=1,K$1=Units!$Q106),IF(Units!$J106&lt;&gt;"",Units!$J106,Mkt!K107),Inputs!$B$15*Mkt!K107+(1-Inputs!$B$15)*MIN(Mkt!K107,J107*(1+Inputs!$B$18))),J107)))</f>
        <v>1295</v>
      </c>
      <c r="L107" s="11" t="n">
        <f aca="false">IF(L$1&lt;Units!$P106,0,IF(AND(Units!$K106=0,L$1=Units!$O106),Units!$R106,IF(AND(L$1&gt;=Units!$Q106,MOD(L$1-Units!$Q106,12)=0),IF(AND(Units!$L106=1,L$1=Units!$Q106),IF(Units!$J106&lt;&gt;"",Units!$J106,Mkt!L107),Inputs!$B$15*Mkt!L107+(1-Inputs!$B$15)*MIN(Mkt!L107,K107*(1+Inputs!$B$18))),K107)))</f>
        <v>1295</v>
      </c>
      <c r="M107" s="11" t="n">
        <f aca="false">IF(M$1&lt;Units!$P106,0,IF(AND(Units!$K106=0,M$1=Units!$O106),Units!$R106,IF(AND(M$1&gt;=Units!$Q106,MOD(M$1-Units!$Q106,12)=0),IF(AND(Units!$L106=1,M$1=Units!$Q106),IF(Units!$J106&lt;&gt;"",Units!$J106,Mkt!M107),Inputs!$B$15*Mkt!M107+(1-Inputs!$B$15)*MIN(Mkt!M107,L107*(1+Inputs!$B$18))),L107)))</f>
        <v>1295</v>
      </c>
      <c r="N107" s="11" t="n">
        <f aca="false">IF(N$1&lt;Units!$P106,0,IF(AND(Units!$K106=0,N$1=Units!$O106),Units!$R106,IF(AND(N$1&gt;=Units!$Q106,MOD(N$1-Units!$Q106,12)=0),IF(AND(Units!$L106=1,N$1=Units!$Q106),IF(Units!$J106&lt;&gt;"",Units!$J106,Mkt!N107),Inputs!$B$15*Mkt!N107+(1-Inputs!$B$15)*MIN(Mkt!N107,M107*(1+Inputs!$B$18))),M107)))</f>
        <v>1295</v>
      </c>
      <c r="O107" s="11" t="n">
        <f aca="false">IF(O$1&lt;Units!$P106,0,IF(AND(Units!$K106=0,O$1=Units!$O106),Units!$R106,IF(AND(O$1&gt;=Units!$Q106,MOD(O$1-Units!$Q106,12)=0),IF(AND(Units!$L106=1,O$1=Units!$Q106),IF(Units!$J106&lt;&gt;"",Units!$J106,Mkt!O107),Inputs!$B$15*Mkt!O107+(1-Inputs!$B$15)*MIN(Mkt!O107,N107*(1+Inputs!$B$18))),N107)))</f>
        <v>1333.85</v>
      </c>
      <c r="P107" s="11" t="n">
        <f aca="false">IF(P$1&lt;Units!$P106,0,IF(AND(Units!$K106=0,P$1=Units!$O106),Units!$R106,IF(AND(P$1&gt;=Units!$Q106,MOD(P$1-Units!$Q106,12)=0),IF(AND(Units!$L106=1,P$1=Units!$Q106),IF(Units!$J106&lt;&gt;"",Units!$J106,Mkt!P107),Inputs!$B$15*Mkt!P107+(1-Inputs!$B$15)*MIN(Mkt!P107,O107*(1+Inputs!$B$18))),O107)))</f>
        <v>1333.85</v>
      </c>
      <c r="Q107" s="11" t="n">
        <f aca="false">IF(Q$1&lt;Units!$P106,0,IF(AND(Units!$K106=0,Q$1=Units!$O106),Units!$R106,IF(AND(Q$1&gt;=Units!$Q106,MOD(Q$1-Units!$Q106,12)=0),IF(AND(Units!$L106=1,Q$1=Units!$Q106),IF(Units!$J106&lt;&gt;"",Units!$J106,Mkt!Q107),Inputs!$B$15*Mkt!Q107+(1-Inputs!$B$15)*MIN(Mkt!Q107,P107*(1+Inputs!$B$18))),P107)))</f>
        <v>1333.85</v>
      </c>
      <c r="R107" s="11" t="n">
        <f aca="false">IF(R$1&lt;Units!$P106,0,IF(AND(Units!$K106=0,R$1=Units!$O106),Units!$R106,IF(AND(R$1&gt;=Units!$Q106,MOD(R$1-Units!$Q106,12)=0),IF(AND(Units!$L106=1,R$1=Units!$Q106),IF(Units!$J106&lt;&gt;"",Units!$J106,Mkt!R107),Inputs!$B$15*Mkt!R107+(1-Inputs!$B$15)*MIN(Mkt!R107,Q107*(1+Inputs!$B$18))),Q107)))</f>
        <v>1333.85</v>
      </c>
      <c r="S107" s="11" t="n">
        <f aca="false">IF(S$1&lt;Units!$P106,0,IF(AND(Units!$K106=0,S$1=Units!$O106),Units!$R106,IF(AND(S$1&gt;=Units!$Q106,MOD(S$1-Units!$Q106,12)=0),IF(AND(Units!$L106=1,S$1=Units!$Q106),IF(Units!$J106&lt;&gt;"",Units!$J106,Mkt!S107),Inputs!$B$15*Mkt!S107+(1-Inputs!$B$15)*MIN(Mkt!S107,R107*(1+Inputs!$B$18))),R107)))</f>
        <v>1333.85</v>
      </c>
      <c r="T107" s="11" t="n">
        <f aca="false">IF(T$1&lt;Units!$P106,0,IF(AND(Units!$K106=0,T$1=Units!$O106),Units!$R106,IF(AND(T$1&gt;=Units!$Q106,MOD(T$1-Units!$Q106,12)=0),IF(AND(Units!$L106=1,T$1=Units!$Q106),IF(Units!$J106&lt;&gt;"",Units!$J106,Mkt!T107),Inputs!$B$15*Mkt!T107+(1-Inputs!$B$15)*MIN(Mkt!T107,S107*(1+Inputs!$B$18))),S107)))</f>
        <v>1333.85</v>
      </c>
      <c r="U107" s="11" t="n">
        <f aca="false">IF(U$1&lt;Units!$P106,0,IF(AND(Units!$K106=0,U$1=Units!$O106),Units!$R106,IF(AND(U$1&gt;=Units!$Q106,MOD(U$1-Units!$Q106,12)=0),IF(AND(Units!$L106=1,U$1=Units!$Q106),IF(Units!$J106&lt;&gt;"",Units!$J106,Mkt!U107),Inputs!$B$15*Mkt!U107+(1-Inputs!$B$15)*MIN(Mkt!U107,T107*(1+Inputs!$B$18))),T107)))</f>
        <v>1333.85</v>
      </c>
      <c r="V107" s="11" t="n">
        <f aca="false">IF(V$1&lt;Units!$P106,0,IF(AND(Units!$K106=0,V$1=Units!$O106),Units!$R106,IF(AND(V$1&gt;=Units!$Q106,MOD(V$1-Units!$Q106,12)=0),IF(AND(Units!$L106=1,V$1=Units!$Q106),IF(Units!$J106&lt;&gt;"",Units!$J106,Mkt!V107),Inputs!$B$15*Mkt!V107+(1-Inputs!$B$15)*MIN(Mkt!V107,U107*(1+Inputs!$B$18))),U107)))</f>
        <v>1333.85</v>
      </c>
      <c r="W107" s="11" t="n">
        <f aca="false">IF(W$1&lt;Units!$P106,0,IF(AND(Units!$K106=0,W$1=Units!$O106),Units!$R106,IF(AND(W$1&gt;=Units!$Q106,MOD(W$1-Units!$Q106,12)=0),IF(AND(Units!$L106=1,W$1=Units!$Q106),IF(Units!$J106&lt;&gt;"",Units!$J106,Mkt!W107),Inputs!$B$15*Mkt!W107+(1-Inputs!$B$15)*MIN(Mkt!W107,V107*(1+Inputs!$B$18))),V107)))</f>
        <v>1333.85</v>
      </c>
      <c r="X107" s="11" t="n">
        <f aca="false">IF(X$1&lt;Units!$P106,0,IF(AND(Units!$K106=0,X$1=Units!$O106),Units!$R106,IF(AND(X$1&gt;=Units!$Q106,MOD(X$1-Units!$Q106,12)=0),IF(AND(Units!$L106=1,X$1=Units!$Q106),IF(Units!$J106&lt;&gt;"",Units!$J106,Mkt!X107),Inputs!$B$15*Mkt!X107+(1-Inputs!$B$15)*MIN(Mkt!X107,W107*(1+Inputs!$B$18))),W107)))</f>
        <v>1333.85</v>
      </c>
      <c r="Y107" s="11" t="n">
        <f aca="false">IF(Y$1&lt;Units!$P106,0,IF(AND(Units!$K106=0,Y$1=Units!$O106),Units!$R106,IF(AND(Y$1&gt;=Units!$Q106,MOD(Y$1-Units!$Q106,12)=0),IF(AND(Units!$L106=1,Y$1=Units!$Q106),IF(Units!$J106&lt;&gt;"",Units!$J106,Mkt!Y107),Inputs!$B$15*Mkt!Y107+(1-Inputs!$B$15)*MIN(Mkt!Y107,X107*(1+Inputs!$B$18))),X107)))</f>
        <v>1333.85</v>
      </c>
      <c r="Z107" s="11" t="n">
        <f aca="false">IF(Z$1&lt;Units!$P106,0,IF(AND(Units!$K106=0,Z$1=Units!$O106),Units!$R106,IF(AND(Z$1&gt;=Units!$Q106,MOD(Z$1-Units!$Q106,12)=0),IF(AND(Units!$L106=1,Z$1=Units!$Q106),IF(Units!$J106&lt;&gt;"",Units!$J106,Mkt!Z107),Inputs!$B$15*Mkt!Z107+(1-Inputs!$B$15)*MIN(Mkt!Z107,Y107*(1+Inputs!$B$18))),Y107)))</f>
        <v>1333.85</v>
      </c>
      <c r="AA107" s="11" t="n">
        <f aca="false">IF(AA$1&lt;Units!$P106,0,IF(AND(Units!$K106=0,AA$1=Units!$O106),Units!$R106,IF(AND(AA$1&gt;=Units!$Q106,MOD(AA$1-Units!$Q106,12)=0),IF(AND(Units!$L106=1,AA$1=Units!$Q106),IF(Units!$J106&lt;&gt;"",Units!$J106,Mkt!AA107),Inputs!$B$15*Mkt!AA107+(1-Inputs!$B$15)*MIN(Mkt!AA107,Z107*(1+Inputs!$B$18))),Z107)))</f>
        <v>1373.8655</v>
      </c>
      <c r="AB107" s="11" t="n">
        <f aca="false">IF(AB$1&lt;Units!$P106,0,IF(AND(Units!$K106=0,AB$1=Units!$O106),Units!$R106,IF(AND(AB$1&gt;=Units!$Q106,MOD(AB$1-Units!$Q106,12)=0),IF(AND(Units!$L106=1,AB$1=Units!$Q106),IF(Units!$J106&lt;&gt;"",Units!$J106,Mkt!AB107),Inputs!$B$15*Mkt!AB107+(1-Inputs!$B$15)*MIN(Mkt!AB107,AA107*(1+Inputs!$B$18))),AA107)))</f>
        <v>1373.8655</v>
      </c>
      <c r="AC107" s="11" t="n">
        <f aca="false">IF(AC$1&lt;Units!$P106,0,IF(AND(Units!$K106=0,AC$1=Units!$O106),Units!$R106,IF(AND(AC$1&gt;=Units!$Q106,MOD(AC$1-Units!$Q106,12)=0),IF(AND(Units!$L106=1,AC$1=Units!$Q106),IF(Units!$J106&lt;&gt;"",Units!$J106,Mkt!AC107),Inputs!$B$15*Mkt!AC107+(1-Inputs!$B$15)*MIN(Mkt!AC107,AB107*(1+Inputs!$B$18))),AB107)))</f>
        <v>1373.8655</v>
      </c>
      <c r="AD107" s="11" t="n">
        <f aca="false">IF(AD$1&lt;Units!$P106,0,IF(AND(Units!$K106=0,AD$1=Units!$O106),Units!$R106,IF(AND(AD$1&gt;=Units!$Q106,MOD(AD$1-Units!$Q106,12)=0),IF(AND(Units!$L106=1,AD$1=Units!$Q106),IF(Units!$J106&lt;&gt;"",Units!$J106,Mkt!AD107),Inputs!$B$15*Mkt!AD107+(1-Inputs!$B$15)*MIN(Mkt!AD107,AC107*(1+Inputs!$B$18))),AC107)))</f>
        <v>1373.8655</v>
      </c>
      <c r="AE107" s="11" t="n">
        <f aca="false">IF(AE$1&lt;Units!$P106,0,IF(AND(Units!$K106=0,AE$1=Units!$O106),Units!$R106,IF(AND(AE$1&gt;=Units!$Q106,MOD(AE$1-Units!$Q106,12)=0),IF(AND(Units!$L106=1,AE$1=Units!$Q106),IF(Units!$J106&lt;&gt;"",Units!$J106,Mkt!AE107),Inputs!$B$15*Mkt!AE107+(1-Inputs!$B$15)*MIN(Mkt!AE107,AD107*(1+Inputs!$B$18))),AD107)))</f>
        <v>1373.8655</v>
      </c>
      <c r="AF107" s="11" t="n">
        <f aca="false">IF(AF$1&lt;Units!$P106,0,IF(AND(Units!$K106=0,AF$1=Units!$O106),Units!$R106,IF(AND(AF$1&gt;=Units!$Q106,MOD(AF$1-Units!$Q106,12)=0),IF(AND(Units!$L106=1,AF$1=Units!$Q106),IF(Units!$J106&lt;&gt;"",Units!$J106,Mkt!AF107),Inputs!$B$15*Mkt!AF107+(1-Inputs!$B$15)*MIN(Mkt!AF107,AE107*(1+Inputs!$B$18))),AE107)))</f>
        <v>1373.8655</v>
      </c>
      <c r="AG107" s="11" t="n">
        <f aca="false">IF(AG$1&lt;Units!$P106,0,IF(AND(Units!$K106=0,AG$1=Units!$O106),Units!$R106,IF(AND(AG$1&gt;=Units!$Q106,MOD(AG$1-Units!$Q106,12)=0),IF(AND(Units!$L106=1,AG$1=Units!$Q106),IF(Units!$J106&lt;&gt;"",Units!$J106,Mkt!AG107),Inputs!$B$15*Mkt!AG107+(1-Inputs!$B$15)*MIN(Mkt!AG107,AF107*(1+Inputs!$B$18))),AF107)))</f>
        <v>1373.8655</v>
      </c>
      <c r="AH107" s="11" t="n">
        <f aca="false">IF(AH$1&lt;Units!$P106,0,IF(AND(Units!$K106=0,AH$1=Units!$O106),Units!$R106,IF(AND(AH$1&gt;=Units!$Q106,MOD(AH$1-Units!$Q106,12)=0),IF(AND(Units!$L106=1,AH$1=Units!$Q106),IF(Units!$J106&lt;&gt;"",Units!$J106,Mkt!AH107),Inputs!$B$15*Mkt!AH107+(1-Inputs!$B$15)*MIN(Mkt!AH107,AG107*(1+Inputs!$B$18))),AG107)))</f>
        <v>1373.8655</v>
      </c>
      <c r="AI107" s="11" t="n">
        <f aca="false">IF(AI$1&lt;Units!$P106,0,IF(AND(Units!$K106=0,AI$1=Units!$O106),Units!$R106,IF(AND(AI$1&gt;=Units!$Q106,MOD(AI$1-Units!$Q106,12)=0),IF(AND(Units!$L106=1,AI$1=Units!$Q106),IF(Units!$J106&lt;&gt;"",Units!$J106,Mkt!AI107),Inputs!$B$15*Mkt!AI107+(1-Inputs!$B$15)*MIN(Mkt!AI107,AH107*(1+Inputs!$B$18))),AH107)))</f>
        <v>1373.8655</v>
      </c>
      <c r="AJ107" s="11" t="n">
        <f aca="false">IF(AJ$1&lt;Units!$P106,0,IF(AND(Units!$K106=0,AJ$1=Units!$O106),Units!$R106,IF(AND(AJ$1&gt;=Units!$Q106,MOD(AJ$1-Units!$Q106,12)=0),IF(AND(Units!$L106=1,AJ$1=Units!$Q106),IF(Units!$J106&lt;&gt;"",Units!$J106,Mkt!AJ107),Inputs!$B$15*Mkt!AJ107+(1-Inputs!$B$15)*MIN(Mkt!AJ107,AI107*(1+Inputs!$B$18))),AI107)))</f>
        <v>1373.8655</v>
      </c>
      <c r="AK107" s="11" t="n">
        <f aca="false">IF(AK$1&lt;Units!$P106,0,IF(AND(Units!$K106=0,AK$1=Units!$O106),Units!$R106,IF(AND(AK$1&gt;=Units!$Q106,MOD(AK$1-Units!$Q106,12)=0),IF(AND(Units!$L106=1,AK$1=Units!$Q106),IF(Units!$J106&lt;&gt;"",Units!$J106,Mkt!AK107),Inputs!$B$15*Mkt!AK107+(1-Inputs!$B$15)*MIN(Mkt!AK107,AJ107*(1+Inputs!$B$18))),AJ107)))</f>
        <v>1373.8655</v>
      </c>
      <c r="AL107" s="11" t="n">
        <f aca="false">IF(AL$1&lt;Units!$P106,0,IF(AND(Units!$K106=0,AL$1=Units!$O106),Units!$R106,IF(AND(AL$1&gt;=Units!$Q106,MOD(AL$1-Units!$Q106,12)=0),IF(AND(Units!$L106=1,AL$1=Units!$Q106),IF(Units!$J106&lt;&gt;"",Units!$J106,Mkt!AL107),Inputs!$B$15*Mkt!AL107+(1-Inputs!$B$15)*MIN(Mkt!AL107,AK107*(1+Inputs!$B$18))),AK107)))</f>
        <v>1373.8655</v>
      </c>
      <c r="AM107" s="11" t="n">
        <f aca="false">IF(AM$1&lt;Units!$P106,0,IF(AND(Units!$K106=0,AM$1=Units!$O106),Units!$R106,IF(AND(AM$1&gt;=Units!$Q106,MOD(AM$1-Units!$Q106,12)=0),IF(AND(Units!$L106=1,AM$1=Units!$Q106),IF(Units!$J106&lt;&gt;"",Units!$J106,Mkt!AM107),Inputs!$B$15*Mkt!AM107+(1-Inputs!$B$15)*MIN(Mkt!AM107,AL107*(1+Inputs!$B$18))),AL107)))</f>
        <v>1415.081465</v>
      </c>
      <c r="AN107" s="11" t="n">
        <f aca="false">IF(AN$1&lt;Units!$P106,0,IF(AND(Units!$K106=0,AN$1=Units!$O106),Units!$R106,IF(AND(AN$1&gt;=Units!$Q106,MOD(AN$1-Units!$Q106,12)=0),IF(AND(Units!$L106=1,AN$1=Units!$Q106),IF(Units!$J106&lt;&gt;"",Units!$J106,Mkt!AN107),Inputs!$B$15*Mkt!AN107+(1-Inputs!$B$15)*MIN(Mkt!AN107,AM107*(1+Inputs!$B$18))),AM107)))</f>
        <v>1415.081465</v>
      </c>
      <c r="AO107" s="11" t="n">
        <f aca="false">IF(AO$1&lt;Units!$P106,0,IF(AND(Units!$K106=0,AO$1=Units!$O106),Units!$R106,IF(AND(AO$1&gt;=Units!$Q106,MOD(AO$1-Units!$Q106,12)=0),IF(AND(Units!$L106=1,AO$1=Units!$Q106),IF(Units!$J106&lt;&gt;"",Units!$J106,Mkt!AO107),Inputs!$B$15*Mkt!AO107+(1-Inputs!$B$15)*MIN(Mkt!AO107,AN107*(1+Inputs!$B$18))),AN107)))</f>
        <v>1415.081465</v>
      </c>
      <c r="AP107" s="11" t="n">
        <f aca="false">IF(AP$1&lt;Units!$P106,0,IF(AND(Units!$K106=0,AP$1=Units!$O106),Units!$R106,IF(AND(AP$1&gt;=Units!$Q106,MOD(AP$1-Units!$Q106,12)=0),IF(AND(Units!$L106=1,AP$1=Units!$Q106),IF(Units!$J106&lt;&gt;"",Units!$J106,Mkt!AP107),Inputs!$B$15*Mkt!AP107+(1-Inputs!$B$15)*MIN(Mkt!AP107,AO107*(1+Inputs!$B$18))),AO107)))</f>
        <v>1415.081465</v>
      </c>
      <c r="AQ107" s="11" t="n">
        <f aca="false">IF(AQ$1&lt;Units!$P106,0,IF(AND(Units!$K106=0,AQ$1=Units!$O106),Units!$R106,IF(AND(AQ$1&gt;=Units!$Q106,MOD(AQ$1-Units!$Q106,12)=0),IF(AND(Units!$L106=1,AQ$1=Units!$Q106),IF(Units!$J106&lt;&gt;"",Units!$J106,Mkt!AQ107),Inputs!$B$15*Mkt!AQ107+(1-Inputs!$B$15)*MIN(Mkt!AQ107,AP107*(1+Inputs!$B$18))),AP107)))</f>
        <v>1415.081465</v>
      </c>
      <c r="AR107" s="11" t="n">
        <f aca="false">IF(AR$1&lt;Units!$P106,0,IF(AND(Units!$K106=0,AR$1=Units!$O106),Units!$R106,IF(AND(AR$1&gt;=Units!$Q106,MOD(AR$1-Units!$Q106,12)=0),IF(AND(Units!$L106=1,AR$1=Units!$Q106),IF(Units!$J106&lt;&gt;"",Units!$J106,Mkt!AR107),Inputs!$B$15*Mkt!AR107+(1-Inputs!$B$15)*MIN(Mkt!AR107,AQ107*(1+Inputs!$B$18))),AQ107)))</f>
        <v>1415.081465</v>
      </c>
      <c r="AS107" s="11" t="n">
        <f aca="false">IF(AS$1&lt;Units!$P106,0,IF(AND(Units!$K106=0,AS$1=Units!$O106),Units!$R106,IF(AND(AS$1&gt;=Units!$Q106,MOD(AS$1-Units!$Q106,12)=0),IF(AND(Units!$L106=1,AS$1=Units!$Q106),IF(Units!$J106&lt;&gt;"",Units!$J106,Mkt!AS107),Inputs!$B$15*Mkt!AS107+(1-Inputs!$B$15)*MIN(Mkt!AS107,AR107*(1+Inputs!$B$18))),AR107)))</f>
        <v>1415.081465</v>
      </c>
      <c r="AT107" s="11" t="n">
        <f aca="false">IF(AT$1&lt;Units!$P106,0,IF(AND(Units!$K106=0,AT$1=Units!$O106),Units!$R106,IF(AND(AT$1&gt;=Units!$Q106,MOD(AT$1-Units!$Q106,12)=0),IF(AND(Units!$L106=1,AT$1=Units!$Q106),IF(Units!$J106&lt;&gt;"",Units!$J106,Mkt!AT107),Inputs!$B$15*Mkt!AT107+(1-Inputs!$B$15)*MIN(Mkt!AT107,AS107*(1+Inputs!$B$18))),AS107)))</f>
        <v>1415.081465</v>
      </c>
      <c r="AU107" s="11" t="n">
        <f aca="false">IF(AU$1&lt;Units!$P106,0,IF(AND(Units!$K106=0,AU$1=Units!$O106),Units!$R106,IF(AND(AU$1&gt;=Units!$Q106,MOD(AU$1-Units!$Q106,12)=0),IF(AND(Units!$L106=1,AU$1=Units!$Q106),IF(Units!$J106&lt;&gt;"",Units!$J106,Mkt!AU107),Inputs!$B$15*Mkt!AU107+(1-Inputs!$B$15)*MIN(Mkt!AU107,AT107*(1+Inputs!$B$18))),AT107)))</f>
        <v>1415.081465</v>
      </c>
      <c r="AV107" s="11" t="n">
        <f aca="false">IF(AV$1&lt;Units!$P106,0,IF(AND(Units!$K106=0,AV$1=Units!$O106),Units!$R106,IF(AND(AV$1&gt;=Units!$Q106,MOD(AV$1-Units!$Q106,12)=0),IF(AND(Units!$L106=1,AV$1=Units!$Q106),IF(Units!$J106&lt;&gt;"",Units!$J106,Mkt!AV107),Inputs!$B$15*Mkt!AV107+(1-Inputs!$B$15)*MIN(Mkt!AV107,AU107*(1+Inputs!$B$18))),AU107)))</f>
        <v>1415.081465</v>
      </c>
      <c r="AW107" s="11" t="n">
        <f aca="false">IF(AW$1&lt;Units!$P106,0,IF(AND(Units!$K106=0,AW$1=Units!$O106),Units!$R106,IF(AND(AW$1&gt;=Units!$Q106,MOD(AW$1-Units!$Q106,12)=0),IF(AND(Units!$L106=1,AW$1=Units!$Q106),IF(Units!$J106&lt;&gt;"",Units!$J106,Mkt!AW107),Inputs!$B$15*Mkt!AW107+(1-Inputs!$B$15)*MIN(Mkt!AW107,AV107*(1+Inputs!$B$18))),AV107)))</f>
        <v>1415.081465</v>
      </c>
      <c r="AX107" s="11" t="n">
        <f aca="false">IF(AX$1&lt;Units!$P106,0,IF(AND(Units!$K106=0,AX$1=Units!$O106),Units!$R106,IF(AND(AX$1&gt;=Units!$Q106,MOD(AX$1-Units!$Q106,12)=0),IF(AND(Units!$L106=1,AX$1=Units!$Q106),IF(Units!$J106&lt;&gt;"",Units!$J106,Mkt!AX107),Inputs!$B$15*Mkt!AX107+(1-Inputs!$B$15)*MIN(Mkt!AX107,AW107*(1+Inputs!$B$18))),AW107)))</f>
        <v>1415.081465</v>
      </c>
      <c r="AY107" s="11" t="n">
        <f aca="false">IF(AY$1&lt;Units!$P106,0,IF(AND(Units!$K106=0,AY$1=Units!$O106),Units!$R106,IF(AND(AY$1&gt;=Units!$Q106,MOD(AY$1-Units!$Q106,12)=0),IF(AND(Units!$L106=1,AY$1=Units!$Q106),IF(Units!$J106&lt;&gt;"",Units!$J106,Mkt!AY107),Inputs!$B$15*Mkt!AY107+(1-Inputs!$B$15)*MIN(Mkt!AY107,AX107*(1+Inputs!$B$18))),AX107)))</f>
        <v>1457.53390895</v>
      </c>
      <c r="AZ107" s="11" t="n">
        <f aca="false">IF(AZ$1&lt;Units!$P106,0,IF(AND(Units!$K106=0,AZ$1=Units!$O106),Units!$R106,IF(AND(AZ$1&gt;=Units!$Q106,MOD(AZ$1-Units!$Q106,12)=0),IF(AND(Units!$L106=1,AZ$1=Units!$Q106),IF(Units!$J106&lt;&gt;"",Units!$J106,Mkt!AZ107),Inputs!$B$15*Mkt!AZ107+(1-Inputs!$B$15)*MIN(Mkt!AZ107,AY107*(1+Inputs!$B$18))),AY107)))</f>
        <v>1457.53390895</v>
      </c>
      <c r="BA107" s="11" t="n">
        <f aca="false">IF(BA$1&lt;Units!$P106,0,IF(AND(Units!$K106=0,BA$1=Units!$O106),Units!$R106,IF(AND(BA$1&gt;=Units!$Q106,MOD(BA$1-Units!$Q106,12)=0),IF(AND(Units!$L106=1,BA$1=Units!$Q106),IF(Units!$J106&lt;&gt;"",Units!$J106,Mkt!BA107),Inputs!$B$15*Mkt!BA107+(1-Inputs!$B$15)*MIN(Mkt!BA107,AZ107*(1+Inputs!$B$18))),AZ107)))</f>
        <v>1457.53390895</v>
      </c>
      <c r="BB107" s="11" t="n">
        <f aca="false">IF(BB$1&lt;Units!$P106,0,IF(AND(Units!$K106=0,BB$1=Units!$O106),Units!$R106,IF(AND(BB$1&gt;=Units!$Q106,MOD(BB$1-Units!$Q106,12)=0),IF(AND(Units!$L106=1,BB$1=Units!$Q106),IF(Units!$J106&lt;&gt;"",Units!$J106,Mkt!BB107),Inputs!$B$15*Mkt!BB107+(1-Inputs!$B$15)*MIN(Mkt!BB107,BA107*(1+Inputs!$B$18))),BA107)))</f>
        <v>1457.53390895</v>
      </c>
      <c r="BC107" s="11" t="n">
        <f aca="false">IF(BC$1&lt;Units!$P106,0,IF(AND(Units!$K106=0,BC$1=Units!$O106),Units!$R106,IF(AND(BC$1&gt;=Units!$Q106,MOD(BC$1-Units!$Q106,12)=0),IF(AND(Units!$L106=1,BC$1=Units!$Q106),IF(Units!$J106&lt;&gt;"",Units!$J106,Mkt!BC107),Inputs!$B$15*Mkt!BC107+(1-Inputs!$B$15)*MIN(Mkt!BC107,BB107*(1+Inputs!$B$18))),BB107)))</f>
        <v>1457.53390895</v>
      </c>
      <c r="BD107" s="11" t="n">
        <f aca="false">IF(BD$1&lt;Units!$P106,0,IF(AND(Units!$K106=0,BD$1=Units!$O106),Units!$R106,IF(AND(BD$1&gt;=Units!$Q106,MOD(BD$1-Units!$Q106,12)=0),IF(AND(Units!$L106=1,BD$1=Units!$Q106),IF(Units!$J106&lt;&gt;"",Units!$J106,Mkt!BD107),Inputs!$B$15*Mkt!BD107+(1-Inputs!$B$15)*MIN(Mkt!BD107,BC107*(1+Inputs!$B$18))),BC107)))</f>
        <v>1457.53390895</v>
      </c>
      <c r="BE107" s="11" t="n">
        <f aca="false">IF(BE$1&lt;Units!$P106,0,IF(AND(Units!$K106=0,BE$1=Units!$O106),Units!$R106,IF(AND(BE$1&gt;=Units!$Q106,MOD(BE$1-Units!$Q106,12)=0),IF(AND(Units!$L106=1,BE$1=Units!$Q106),IF(Units!$J106&lt;&gt;"",Units!$J106,Mkt!BE107),Inputs!$B$15*Mkt!BE107+(1-Inputs!$B$15)*MIN(Mkt!BE107,BD107*(1+Inputs!$B$18))),BD107)))</f>
        <v>1457.53390895</v>
      </c>
      <c r="BF107" s="11" t="n">
        <f aca="false">IF(BF$1&lt;Units!$P106,0,IF(AND(Units!$K106=0,BF$1=Units!$O106),Units!$R106,IF(AND(BF$1&gt;=Units!$Q106,MOD(BF$1-Units!$Q106,12)=0),IF(AND(Units!$L106=1,BF$1=Units!$Q106),IF(Units!$J106&lt;&gt;"",Units!$J106,Mkt!BF107),Inputs!$B$15*Mkt!BF107+(1-Inputs!$B$15)*MIN(Mkt!BF107,BE107*(1+Inputs!$B$18))),BE107)))</f>
        <v>1457.53390895</v>
      </c>
      <c r="BG107" s="11" t="n">
        <f aca="false">IF(BG$1&lt;Units!$P106,0,IF(AND(Units!$K106=0,BG$1=Units!$O106),Units!$R106,IF(AND(BG$1&gt;=Units!$Q106,MOD(BG$1-Units!$Q106,12)=0),IF(AND(Units!$L106=1,BG$1=Units!$Q106),IF(Units!$J106&lt;&gt;"",Units!$J106,Mkt!BG107),Inputs!$B$15*Mkt!BG107+(1-Inputs!$B$15)*MIN(Mkt!BG107,BF107*(1+Inputs!$B$18))),BF107)))</f>
        <v>1457.53390895</v>
      </c>
      <c r="BH107" s="11" t="n">
        <f aca="false">IF(BH$1&lt;Units!$P106,0,IF(AND(Units!$K106=0,BH$1=Units!$O106),Units!$R106,IF(AND(BH$1&gt;=Units!$Q106,MOD(BH$1-Units!$Q106,12)=0),IF(AND(Units!$L106=1,BH$1=Units!$Q106),IF(Units!$J106&lt;&gt;"",Units!$J106,Mkt!BH107),Inputs!$B$15*Mkt!BH107+(1-Inputs!$B$15)*MIN(Mkt!BH107,BG107*(1+Inputs!$B$18))),BG107)))</f>
        <v>1457.53390895</v>
      </c>
      <c r="BI107" s="11" t="n">
        <f aca="false">IF(BI$1&lt;Units!$P106,0,IF(AND(Units!$K106=0,BI$1=Units!$O106),Units!$R106,IF(AND(BI$1&gt;=Units!$Q106,MOD(BI$1-Units!$Q106,12)=0),IF(AND(Units!$L106=1,BI$1=Units!$Q106),IF(Units!$J106&lt;&gt;"",Units!$J106,Mkt!BI107),Inputs!$B$15*Mkt!BI107+(1-Inputs!$B$15)*MIN(Mkt!BI107,BH107*(1+Inputs!$B$18))),BH107)))</f>
        <v>1457.53390895</v>
      </c>
      <c r="BJ107" s="11" t="n">
        <f aca="false">IF(BJ$1&lt;Units!$P106,0,IF(AND(Units!$K106=0,BJ$1=Units!$O106),Units!$R106,IF(AND(BJ$1&gt;=Units!$Q106,MOD(BJ$1-Units!$Q106,12)=0),IF(AND(Units!$L106=1,BJ$1=Units!$Q106),IF(Units!$J106&lt;&gt;"",Units!$J106,Mkt!BJ107),Inputs!$B$15*Mkt!BJ107+(1-Inputs!$B$15)*MIN(Mkt!BJ107,BI107*(1+Inputs!$B$18))),BI107)))</f>
        <v>1457.53390895</v>
      </c>
      <c r="BK107" s="11" t="n">
        <f aca="false">IF(BK$1&lt;Units!$P106,0,IF(AND(Units!$K106=0,BK$1=Units!$O106),Units!$R106,IF(AND(BK$1&gt;=Units!$Q106,MOD(BK$1-Units!$Q106,12)=0),IF(AND(Units!$L106=1,BK$1=Units!$Q106),IF(Units!$J106&lt;&gt;"",Units!$J106,Mkt!BK107),Inputs!$B$15*Mkt!BK107+(1-Inputs!$B$15)*MIN(Mkt!BK107,BJ107*(1+Inputs!$B$18))),BJ107)))</f>
        <v>1501.2599262185</v>
      </c>
      <c r="BL107" s="11" t="n">
        <f aca="false">IF(BL$1&lt;Units!$P106,0,IF(AND(Units!$K106=0,BL$1=Units!$O106),Units!$R106,IF(AND(BL$1&gt;=Units!$Q106,MOD(BL$1-Units!$Q106,12)=0),IF(AND(Units!$L106=1,BL$1=Units!$Q106),IF(Units!$J106&lt;&gt;"",Units!$J106,Mkt!BL107),Inputs!$B$15*Mkt!BL107+(1-Inputs!$B$15)*MIN(Mkt!BL107,BK107*(1+Inputs!$B$18))),BK107)))</f>
        <v>1501.2599262185</v>
      </c>
      <c r="BM107" s="11" t="n">
        <f aca="false">IF(BM$1&lt;Units!$P106,0,IF(AND(Units!$K106=0,BM$1=Units!$O106),Units!$R106,IF(AND(BM$1&gt;=Units!$Q106,MOD(BM$1-Units!$Q106,12)=0),IF(AND(Units!$L106=1,BM$1=Units!$Q106),IF(Units!$J106&lt;&gt;"",Units!$J106,Mkt!BM107),Inputs!$B$15*Mkt!BM107+(1-Inputs!$B$15)*MIN(Mkt!BM107,BL107*(1+Inputs!$B$18))),BL107)))</f>
        <v>1501.2599262185</v>
      </c>
      <c r="BN107" s="11" t="n">
        <f aca="false">IF(BN$1&lt;Units!$P106,0,IF(AND(Units!$K106=0,BN$1=Units!$O106),Units!$R106,IF(AND(BN$1&gt;=Units!$Q106,MOD(BN$1-Units!$Q106,12)=0),IF(AND(Units!$L106=1,BN$1=Units!$Q106),IF(Units!$J106&lt;&gt;"",Units!$J106,Mkt!BN107),Inputs!$B$15*Mkt!BN107+(1-Inputs!$B$15)*MIN(Mkt!BN107,BM107*(1+Inputs!$B$18))),BM107)))</f>
        <v>1501.2599262185</v>
      </c>
      <c r="BO107" s="11" t="n">
        <f aca="false">IF(BO$1&lt;Units!$P106,0,IF(AND(Units!$K106=0,BO$1=Units!$O106),Units!$R106,IF(AND(BO$1&gt;=Units!$Q106,MOD(BO$1-Units!$Q106,12)=0),IF(AND(Units!$L106=1,BO$1=Units!$Q106),IF(Units!$J106&lt;&gt;"",Units!$J106,Mkt!BO107),Inputs!$B$15*Mkt!BO107+(1-Inputs!$B$15)*MIN(Mkt!BO107,BN107*(1+Inputs!$B$18))),BN107)))</f>
        <v>1501.2599262185</v>
      </c>
      <c r="BP107" s="11" t="n">
        <f aca="false">IF(BP$1&lt;Units!$P106,0,IF(AND(Units!$K106=0,BP$1=Units!$O106),Units!$R106,IF(AND(BP$1&gt;=Units!$Q106,MOD(BP$1-Units!$Q106,12)=0),IF(AND(Units!$L106=1,BP$1=Units!$Q106),IF(Units!$J106&lt;&gt;"",Units!$J106,Mkt!BP107),Inputs!$B$15*Mkt!BP107+(1-Inputs!$B$15)*MIN(Mkt!BP107,BO107*(1+Inputs!$B$18))),BO107)))</f>
        <v>1501.2599262185</v>
      </c>
      <c r="BQ107" s="11" t="n">
        <f aca="false">IF(BQ$1&lt;Units!$P106,0,IF(AND(Units!$K106=0,BQ$1=Units!$O106),Units!$R106,IF(AND(BQ$1&gt;=Units!$Q106,MOD(BQ$1-Units!$Q106,12)=0),IF(AND(Units!$L106=1,BQ$1=Units!$Q106),IF(Units!$J106&lt;&gt;"",Units!$J106,Mkt!BQ107),Inputs!$B$15*Mkt!BQ107+(1-Inputs!$B$15)*MIN(Mkt!BQ107,BP107*(1+Inputs!$B$18))),BP107)))</f>
        <v>1501.2599262185</v>
      </c>
      <c r="BR107" s="11" t="n">
        <f aca="false">IF(BR$1&lt;Units!$P106,0,IF(AND(Units!$K106=0,BR$1=Units!$O106),Units!$R106,IF(AND(BR$1&gt;=Units!$Q106,MOD(BR$1-Units!$Q106,12)=0),IF(AND(Units!$L106=1,BR$1=Units!$Q106),IF(Units!$J106&lt;&gt;"",Units!$J106,Mkt!BR107),Inputs!$B$15*Mkt!BR107+(1-Inputs!$B$15)*MIN(Mkt!BR107,BQ107*(1+Inputs!$B$18))),BQ107)))</f>
        <v>1501.2599262185</v>
      </c>
      <c r="BS107" s="11" t="n">
        <f aca="false">IF(BS$1&lt;Units!$P106,0,IF(AND(Units!$K106=0,BS$1=Units!$O106),Units!$R106,IF(AND(BS$1&gt;=Units!$Q106,MOD(BS$1-Units!$Q106,12)=0),IF(AND(Units!$L106=1,BS$1=Units!$Q106),IF(Units!$J106&lt;&gt;"",Units!$J106,Mkt!BS107),Inputs!$B$15*Mkt!BS107+(1-Inputs!$B$15)*MIN(Mkt!BS107,BR107*(1+Inputs!$B$18))),BR107)))</f>
        <v>1501.2599262185</v>
      </c>
      <c r="BT107" s="11" t="n">
        <f aca="false">IF(BT$1&lt;Units!$P106,0,IF(AND(Units!$K106=0,BT$1=Units!$O106),Units!$R106,IF(AND(BT$1&gt;=Units!$Q106,MOD(BT$1-Units!$Q106,12)=0),IF(AND(Units!$L106=1,BT$1=Units!$Q106),IF(Units!$J106&lt;&gt;"",Units!$J106,Mkt!BT107),Inputs!$B$15*Mkt!BT107+(1-Inputs!$B$15)*MIN(Mkt!BT107,BS107*(1+Inputs!$B$18))),BS107)))</f>
        <v>1501.2599262185</v>
      </c>
      <c r="BU107" s="11" t="n">
        <f aca="false">IF(BU$1&lt;Units!$P106,0,IF(AND(Units!$K106=0,BU$1=Units!$O106),Units!$R106,IF(AND(BU$1&gt;=Units!$Q106,MOD(BU$1-Units!$Q106,12)=0),IF(AND(Units!$L106=1,BU$1=Units!$Q106),IF(Units!$J106&lt;&gt;"",Units!$J106,Mkt!BU107),Inputs!$B$15*Mkt!BU107+(1-Inputs!$B$15)*MIN(Mkt!BU107,BT107*(1+Inputs!$B$18))),BT107)))</f>
        <v>1501.2599262185</v>
      </c>
      <c r="BV107" s="11" t="n">
        <f aca="false">IF(BV$1&lt;Units!$P106,0,IF(AND(Units!$K106=0,BV$1=Units!$O106),Units!$R106,IF(AND(BV$1&gt;=Units!$Q106,MOD(BV$1-Units!$Q106,12)=0),IF(AND(Units!$L106=1,BV$1=Units!$Q106),IF(Units!$J106&lt;&gt;"",Units!$J106,Mkt!BV107),Inputs!$B$15*Mkt!BV107+(1-Inputs!$B$15)*MIN(Mkt!BV107,BU107*(1+Inputs!$B$18))),BU107)))</f>
        <v>1501.2599262185</v>
      </c>
      <c r="BW107" s="11" t="n">
        <f aca="false">IF(BW$1&lt;Units!$P106,0,IF(AND(Units!$K106=0,BW$1=Units!$O106),Units!$R106,IF(AND(BW$1&gt;=Units!$Q106,MOD(BW$1-Units!$Q106,12)=0),IF(AND(Units!$L106=1,BW$1=Units!$Q106),IF(Units!$J106&lt;&gt;"",Units!$J106,Mkt!BW107),Inputs!$B$15*Mkt!BW107+(1-Inputs!$B$15)*MIN(Mkt!BW107,BV107*(1+Inputs!$B$18))),BV107)))</f>
        <v>1546.29772400506</v>
      </c>
      <c r="BX107" s="11" t="n">
        <f aca="false">IF(BX$1&lt;Units!$P106,0,IF(AND(Units!$K106=0,BX$1=Units!$O106),Units!$R106,IF(AND(BX$1&gt;=Units!$Q106,MOD(BX$1-Units!$Q106,12)=0),IF(AND(Units!$L106=1,BX$1=Units!$Q106),IF(Units!$J106&lt;&gt;"",Units!$J106,Mkt!BX107),Inputs!$B$15*Mkt!BX107+(1-Inputs!$B$15)*MIN(Mkt!BX107,BW107*(1+Inputs!$B$18))),BW107)))</f>
        <v>1546.29772400506</v>
      </c>
      <c r="BY107" s="11" t="n">
        <f aca="false">IF(BY$1&lt;Units!$P106,0,IF(AND(Units!$K106=0,BY$1=Units!$O106),Units!$R106,IF(AND(BY$1&gt;=Units!$Q106,MOD(BY$1-Units!$Q106,12)=0),IF(AND(Units!$L106=1,BY$1=Units!$Q106),IF(Units!$J106&lt;&gt;"",Units!$J106,Mkt!BY107),Inputs!$B$15*Mkt!BY107+(1-Inputs!$B$15)*MIN(Mkt!BY107,BX107*(1+Inputs!$B$18))),BX107)))</f>
        <v>1546.29772400506</v>
      </c>
      <c r="BZ107" s="11" t="n">
        <f aca="false">IF(BZ$1&lt;Units!$P106,0,IF(AND(Units!$K106=0,BZ$1=Units!$O106),Units!$R106,IF(AND(BZ$1&gt;=Units!$Q106,MOD(BZ$1-Units!$Q106,12)=0),IF(AND(Units!$L106=1,BZ$1=Units!$Q106),IF(Units!$J106&lt;&gt;"",Units!$J106,Mkt!BZ107),Inputs!$B$15*Mkt!BZ107+(1-Inputs!$B$15)*MIN(Mkt!BZ107,BY107*(1+Inputs!$B$18))),BY107)))</f>
        <v>1546.29772400506</v>
      </c>
      <c r="CA107" s="11" t="n">
        <f aca="false">IF(CA$1&lt;Units!$P106,0,IF(AND(Units!$K106=0,CA$1=Units!$O106),Units!$R106,IF(AND(CA$1&gt;=Units!$Q106,MOD(CA$1-Units!$Q106,12)=0),IF(AND(Units!$L106=1,CA$1=Units!$Q106),IF(Units!$J106&lt;&gt;"",Units!$J106,Mkt!CA107),Inputs!$B$15*Mkt!CA107+(1-Inputs!$B$15)*MIN(Mkt!CA107,BZ107*(1+Inputs!$B$18))),BZ107)))</f>
        <v>1546.29772400506</v>
      </c>
      <c r="CB107" s="11" t="n">
        <f aca="false">IF(CB$1&lt;Units!$P106,0,IF(AND(Units!$K106=0,CB$1=Units!$O106),Units!$R106,IF(AND(CB$1&gt;=Units!$Q106,MOD(CB$1-Units!$Q106,12)=0),IF(AND(Units!$L106=1,CB$1=Units!$Q106),IF(Units!$J106&lt;&gt;"",Units!$J106,Mkt!CB107),Inputs!$B$15*Mkt!CB107+(1-Inputs!$B$15)*MIN(Mkt!CB107,CA107*(1+Inputs!$B$18))),CA107)))</f>
        <v>1546.29772400506</v>
      </c>
      <c r="CC107" s="11" t="n">
        <f aca="false">IF(CC$1&lt;Units!$P106,0,IF(AND(Units!$K106=0,CC$1=Units!$O106),Units!$R106,IF(AND(CC$1&gt;=Units!$Q106,MOD(CC$1-Units!$Q106,12)=0),IF(AND(Units!$L106=1,CC$1=Units!$Q106),IF(Units!$J106&lt;&gt;"",Units!$J106,Mkt!CC107),Inputs!$B$15*Mkt!CC107+(1-Inputs!$B$15)*MIN(Mkt!CC107,CB107*(1+Inputs!$B$18))),CB107)))</f>
        <v>1546.29772400506</v>
      </c>
      <c r="CD107" s="11" t="n">
        <f aca="false">IF(CD$1&lt;Units!$P106,0,IF(AND(Units!$K106=0,CD$1=Units!$O106),Units!$R106,IF(AND(CD$1&gt;=Units!$Q106,MOD(CD$1-Units!$Q106,12)=0),IF(AND(Units!$L106=1,CD$1=Units!$Q106),IF(Units!$J106&lt;&gt;"",Units!$J106,Mkt!CD107),Inputs!$B$15*Mkt!CD107+(1-Inputs!$B$15)*MIN(Mkt!CD107,CC107*(1+Inputs!$B$18))),CC107)))</f>
        <v>1546.29772400506</v>
      </c>
      <c r="CE107" s="11" t="n">
        <f aca="false">IF(CE$1&lt;Units!$P106,0,IF(AND(Units!$K106=0,CE$1=Units!$O106),Units!$R106,IF(AND(CE$1&gt;=Units!$Q106,MOD(CE$1-Units!$Q106,12)=0),IF(AND(Units!$L106=1,CE$1=Units!$Q106),IF(Units!$J106&lt;&gt;"",Units!$J106,Mkt!CE107),Inputs!$B$15*Mkt!CE107+(1-Inputs!$B$15)*MIN(Mkt!CE107,CD107*(1+Inputs!$B$18))),CD107)))</f>
        <v>1546.29772400506</v>
      </c>
      <c r="CF107" s="11" t="n">
        <f aca="false">IF(CF$1&lt;Units!$P106,0,IF(AND(Units!$K106=0,CF$1=Units!$O106),Units!$R106,IF(AND(CF$1&gt;=Units!$Q106,MOD(CF$1-Units!$Q106,12)=0),IF(AND(Units!$L106=1,CF$1=Units!$Q106),IF(Units!$J106&lt;&gt;"",Units!$J106,Mkt!CF107),Inputs!$B$15*Mkt!CF107+(1-Inputs!$B$15)*MIN(Mkt!CF107,CE107*(1+Inputs!$B$18))),CE107)))</f>
        <v>1546.29772400506</v>
      </c>
      <c r="CG107" s="11" t="n">
        <f aca="false">IF(CG$1&lt;Units!$P106,0,IF(AND(Units!$K106=0,CG$1=Units!$O106),Units!$R106,IF(AND(CG$1&gt;=Units!$Q106,MOD(CG$1-Units!$Q106,12)=0),IF(AND(Units!$L106=1,CG$1=Units!$Q106),IF(Units!$J106&lt;&gt;"",Units!$J106,Mkt!CG107),Inputs!$B$15*Mkt!CG107+(1-Inputs!$B$15)*MIN(Mkt!CG107,CF107*(1+Inputs!$B$18))),CF107)))</f>
        <v>1546.29772400506</v>
      </c>
      <c r="CH107" s="11" t="n">
        <f aca="false">IF(CH$1&lt;Units!$P106,0,IF(AND(Units!$K106=0,CH$1=Units!$O106),Units!$R106,IF(AND(CH$1&gt;=Units!$Q106,MOD(CH$1-Units!$Q106,12)=0),IF(AND(Units!$L106=1,CH$1=Units!$Q106),IF(Units!$J106&lt;&gt;"",Units!$J106,Mkt!CH107),Inputs!$B$15*Mkt!CH107+(1-Inputs!$B$15)*MIN(Mkt!CH107,CG107*(1+Inputs!$B$18))),CG107)))</f>
        <v>1546.29772400506</v>
      </c>
      <c r="CI107" s="11" t="n">
        <f aca="false">IF(CI$1&lt;Units!$P106,0,IF(AND(Units!$K106=0,CI$1=Units!$O106),Units!$R106,IF(AND(CI$1&gt;=Units!$Q106,MOD(CI$1-Units!$Q106,12)=0),IF(AND(Units!$L106=1,CI$1=Units!$Q106),IF(Units!$J106&lt;&gt;"",Units!$J106,Mkt!CI107),Inputs!$B$15*Mkt!CI107+(1-Inputs!$B$15)*MIN(Mkt!CI107,CH107*(1+Inputs!$B$18))),CH107)))</f>
        <v>1592.68665572521</v>
      </c>
      <c r="CJ107" s="11" t="n">
        <f aca="false">IF(CJ$1&lt;Units!$P106,0,IF(AND(Units!$K106=0,CJ$1=Units!$O106),Units!$R106,IF(AND(CJ$1&gt;=Units!$Q106,MOD(CJ$1-Units!$Q106,12)=0),IF(AND(Units!$L106=1,CJ$1=Units!$Q106),IF(Units!$J106&lt;&gt;"",Units!$J106,Mkt!CJ107),Inputs!$B$15*Mkt!CJ107+(1-Inputs!$B$15)*MIN(Mkt!CJ107,CI107*(1+Inputs!$B$18))),CI107)))</f>
        <v>1592.68665572521</v>
      </c>
      <c r="CK107" s="11" t="n">
        <f aca="false">IF(CK$1&lt;Units!$P106,0,IF(AND(Units!$K106=0,CK$1=Units!$O106),Units!$R106,IF(AND(CK$1&gt;=Units!$Q106,MOD(CK$1-Units!$Q106,12)=0),IF(AND(Units!$L106=1,CK$1=Units!$Q106),IF(Units!$J106&lt;&gt;"",Units!$J106,Mkt!CK107),Inputs!$B$15*Mkt!CK107+(1-Inputs!$B$15)*MIN(Mkt!CK107,CJ107*(1+Inputs!$B$18))),CJ107)))</f>
        <v>1592.68665572521</v>
      </c>
      <c r="CL107" s="11" t="n">
        <f aca="false">IF(CL$1&lt;Units!$P106,0,IF(AND(Units!$K106=0,CL$1=Units!$O106),Units!$R106,IF(AND(CL$1&gt;=Units!$Q106,MOD(CL$1-Units!$Q106,12)=0),IF(AND(Units!$L106=1,CL$1=Units!$Q106),IF(Units!$J106&lt;&gt;"",Units!$J106,Mkt!CL107),Inputs!$B$15*Mkt!CL107+(1-Inputs!$B$15)*MIN(Mkt!CL107,CK107*(1+Inputs!$B$18))),CK107)))</f>
        <v>1592.68665572521</v>
      </c>
      <c r="CM107" s="11" t="n">
        <f aca="false">IF(CM$1&lt;Units!$P106,0,IF(AND(Units!$K106=0,CM$1=Units!$O106),Units!$R106,IF(AND(CM$1&gt;=Units!$Q106,MOD(CM$1-Units!$Q106,12)=0),IF(AND(Units!$L106=1,CM$1=Units!$Q106),IF(Units!$J106&lt;&gt;"",Units!$J106,Mkt!CM107),Inputs!$B$15*Mkt!CM107+(1-Inputs!$B$15)*MIN(Mkt!CM107,CL107*(1+Inputs!$B$18))),CL107)))</f>
        <v>1592.68665572521</v>
      </c>
      <c r="CN107" s="11" t="n">
        <f aca="false">IF(CN$1&lt;Units!$P106,0,IF(AND(Units!$K106=0,CN$1=Units!$O106),Units!$R106,IF(AND(CN$1&gt;=Units!$Q106,MOD(CN$1-Units!$Q106,12)=0),IF(AND(Units!$L106=1,CN$1=Units!$Q106),IF(Units!$J106&lt;&gt;"",Units!$J106,Mkt!CN107),Inputs!$B$15*Mkt!CN107+(1-Inputs!$B$15)*MIN(Mkt!CN107,CM107*(1+Inputs!$B$18))),CM107)))</f>
        <v>1592.68665572521</v>
      </c>
      <c r="CO107" s="11" t="n">
        <f aca="false">IF(CO$1&lt;Units!$P106,0,IF(AND(Units!$K106=0,CO$1=Units!$O106),Units!$R106,IF(AND(CO$1&gt;=Units!$Q106,MOD(CO$1-Units!$Q106,12)=0),IF(AND(Units!$L106=1,CO$1=Units!$Q106),IF(Units!$J106&lt;&gt;"",Units!$J106,Mkt!CO107),Inputs!$B$15*Mkt!CO107+(1-Inputs!$B$15)*MIN(Mkt!CO107,CN107*(1+Inputs!$B$18))),CN107)))</f>
        <v>1592.68665572521</v>
      </c>
      <c r="CP107" s="11" t="n">
        <f aca="false">IF(CP$1&lt;Units!$P106,0,IF(AND(Units!$K106=0,CP$1=Units!$O106),Units!$R106,IF(AND(CP$1&gt;=Units!$Q106,MOD(CP$1-Units!$Q106,12)=0),IF(AND(Units!$L106=1,CP$1=Units!$Q106),IF(Units!$J106&lt;&gt;"",Units!$J106,Mkt!CP107),Inputs!$B$15*Mkt!CP107+(1-Inputs!$B$15)*MIN(Mkt!CP107,CO107*(1+Inputs!$B$18))),CO107)))</f>
        <v>1592.68665572521</v>
      </c>
      <c r="CQ107" s="11" t="n">
        <f aca="false">IF(CQ$1&lt;Units!$P106,0,IF(AND(Units!$K106=0,CQ$1=Units!$O106),Units!$R106,IF(AND(CQ$1&gt;=Units!$Q106,MOD(CQ$1-Units!$Q106,12)=0),IF(AND(Units!$L106=1,CQ$1=Units!$Q106),IF(Units!$J106&lt;&gt;"",Units!$J106,Mkt!CQ107),Inputs!$B$15*Mkt!CQ107+(1-Inputs!$B$15)*MIN(Mkt!CQ107,CP107*(1+Inputs!$B$18))),CP107)))</f>
        <v>1592.68665572521</v>
      </c>
      <c r="CR107" s="11" t="n">
        <f aca="false">IF(CR$1&lt;Units!$P106,0,IF(AND(Units!$K106=0,CR$1=Units!$O106),Units!$R106,IF(AND(CR$1&gt;=Units!$Q106,MOD(CR$1-Units!$Q106,12)=0),IF(AND(Units!$L106=1,CR$1=Units!$Q106),IF(Units!$J106&lt;&gt;"",Units!$J106,Mkt!CR107),Inputs!$B$15*Mkt!CR107+(1-Inputs!$B$15)*MIN(Mkt!CR107,CQ107*(1+Inputs!$B$18))),CQ107)))</f>
        <v>1592.68665572521</v>
      </c>
      <c r="CS107" s="11" t="n">
        <f aca="false">IF(CS$1&lt;Units!$P106,0,IF(AND(Units!$K106=0,CS$1=Units!$O106),Units!$R106,IF(AND(CS$1&gt;=Units!$Q106,MOD(CS$1-Units!$Q106,12)=0),IF(AND(Units!$L106=1,CS$1=Units!$Q106),IF(Units!$J106&lt;&gt;"",Units!$J106,Mkt!CS107),Inputs!$B$15*Mkt!CS107+(1-Inputs!$B$15)*MIN(Mkt!CS107,CR107*(1+Inputs!$B$18))),CR107)))</f>
        <v>1592.68665572521</v>
      </c>
      <c r="CT107" s="11" t="n">
        <f aca="false">IF(CT$1&lt;Units!$P106,0,IF(AND(Units!$K106=0,CT$1=Units!$O106),Units!$R106,IF(AND(CT$1&gt;=Units!$Q106,MOD(CT$1-Units!$Q106,12)=0),IF(AND(Units!$L106=1,CT$1=Units!$Q106),IF(Units!$J106&lt;&gt;"",Units!$J106,Mkt!CT107),Inputs!$B$15*Mkt!CT107+(1-Inputs!$B$15)*MIN(Mkt!CT107,CS107*(1+Inputs!$B$18))),CS107)))</f>
        <v>1592.68665572521</v>
      </c>
      <c r="CU107" s="11" t="n">
        <f aca="false">IF(CU$1&lt;Units!$P106,0,IF(AND(Units!$K106=0,CU$1=Units!$O106),Units!$R106,IF(AND(CU$1&gt;=Units!$Q106,MOD(CU$1-Units!$Q106,12)=0),IF(AND(Units!$L106=1,CU$1=Units!$Q106),IF(Units!$J106&lt;&gt;"",Units!$J106,Mkt!CU107),Inputs!$B$15*Mkt!CU107+(1-Inputs!$B$15)*MIN(Mkt!CU107,CT107*(1+Inputs!$B$18))),CT107)))</f>
        <v>1640.46725539696</v>
      </c>
      <c r="CV107" s="11" t="n">
        <f aca="false">IF(CV$1&lt;Units!$P106,0,IF(AND(Units!$K106=0,CV$1=Units!$O106),Units!$R106,IF(AND(CV$1&gt;=Units!$Q106,MOD(CV$1-Units!$Q106,12)=0),IF(AND(Units!$L106=1,CV$1=Units!$Q106),IF(Units!$J106&lt;&gt;"",Units!$J106,Mkt!CV107),Inputs!$B$15*Mkt!CV107+(1-Inputs!$B$15)*MIN(Mkt!CV107,CU107*(1+Inputs!$B$18))),CU107)))</f>
        <v>1640.46725539696</v>
      </c>
      <c r="CW107" s="11" t="n">
        <f aca="false">IF(CW$1&lt;Units!$P106,0,IF(AND(Units!$K106=0,CW$1=Units!$O106),Units!$R106,IF(AND(CW$1&gt;=Units!$Q106,MOD(CW$1-Units!$Q106,12)=0),IF(AND(Units!$L106=1,CW$1=Units!$Q106),IF(Units!$J106&lt;&gt;"",Units!$J106,Mkt!CW107),Inputs!$B$15*Mkt!CW107+(1-Inputs!$B$15)*MIN(Mkt!CW107,CV107*(1+Inputs!$B$18))),CV107)))</f>
        <v>1640.46725539696</v>
      </c>
      <c r="CX107" s="11" t="n">
        <f aca="false">IF(CX$1&lt;Units!$P106,0,IF(AND(Units!$K106=0,CX$1=Units!$O106),Units!$R106,IF(AND(CX$1&gt;=Units!$Q106,MOD(CX$1-Units!$Q106,12)=0),IF(AND(Units!$L106=1,CX$1=Units!$Q106),IF(Units!$J106&lt;&gt;"",Units!$J106,Mkt!CX107),Inputs!$B$15*Mkt!CX107+(1-Inputs!$B$15)*MIN(Mkt!CX107,CW107*(1+Inputs!$B$18))),CW107)))</f>
        <v>1640.46725539696</v>
      </c>
      <c r="CY107" s="11" t="n">
        <f aca="false">IF(CY$1&lt;Units!$P106,0,IF(AND(Units!$K106=0,CY$1=Units!$O106),Units!$R106,IF(AND(CY$1&gt;=Units!$Q106,MOD(CY$1-Units!$Q106,12)=0),IF(AND(Units!$L106=1,CY$1=Units!$Q106),IF(Units!$J106&lt;&gt;"",Units!$J106,Mkt!CY107),Inputs!$B$15*Mkt!CY107+(1-Inputs!$B$15)*MIN(Mkt!CY107,CX107*(1+Inputs!$B$18))),CX107)))</f>
        <v>1640.46725539696</v>
      </c>
      <c r="CZ107" s="11" t="n">
        <f aca="false">IF(CZ$1&lt;Units!$P106,0,IF(AND(Units!$K106=0,CZ$1=Units!$O106),Units!$R106,IF(AND(CZ$1&gt;=Units!$Q106,MOD(CZ$1-Units!$Q106,12)=0),IF(AND(Units!$L106=1,CZ$1=Units!$Q106),IF(Units!$J106&lt;&gt;"",Units!$J106,Mkt!CZ107),Inputs!$B$15*Mkt!CZ107+(1-Inputs!$B$15)*MIN(Mkt!CZ107,CY107*(1+Inputs!$B$18))),CY107)))</f>
        <v>1640.46725539696</v>
      </c>
      <c r="DA107" s="11" t="n">
        <f aca="false">IF(DA$1&lt;Units!$P106,0,IF(AND(Units!$K106=0,DA$1=Units!$O106),Units!$R106,IF(AND(DA$1&gt;=Units!$Q106,MOD(DA$1-Units!$Q106,12)=0),IF(AND(Units!$L106=1,DA$1=Units!$Q106),IF(Units!$J106&lt;&gt;"",Units!$J106,Mkt!DA107),Inputs!$B$15*Mkt!DA107+(1-Inputs!$B$15)*MIN(Mkt!DA107,CZ107*(1+Inputs!$B$18))),CZ107)))</f>
        <v>1640.46725539696</v>
      </c>
      <c r="DB107" s="11" t="n">
        <f aca="false">IF(DB$1&lt;Units!$P106,0,IF(AND(Units!$K106=0,DB$1=Units!$O106),Units!$R106,IF(AND(DB$1&gt;=Units!$Q106,MOD(DB$1-Units!$Q106,12)=0),IF(AND(Units!$L106=1,DB$1=Units!$Q106),IF(Units!$J106&lt;&gt;"",Units!$J106,Mkt!DB107),Inputs!$B$15*Mkt!DB107+(1-Inputs!$B$15)*MIN(Mkt!DB107,DA107*(1+Inputs!$B$18))),DA107)))</f>
        <v>1640.46725539696</v>
      </c>
      <c r="DC107" s="11" t="n">
        <f aca="false">IF(DC$1&lt;Units!$P106,0,IF(AND(Units!$K106=0,DC$1=Units!$O106),Units!$R106,IF(AND(DC$1&gt;=Units!$Q106,MOD(DC$1-Units!$Q106,12)=0),IF(AND(Units!$L106=1,DC$1=Units!$Q106),IF(Units!$J106&lt;&gt;"",Units!$J106,Mkt!DC107),Inputs!$B$15*Mkt!DC107+(1-Inputs!$B$15)*MIN(Mkt!DC107,DB107*(1+Inputs!$B$18))),DB107)))</f>
        <v>1640.46725539696</v>
      </c>
      <c r="DD107" s="11" t="n">
        <f aca="false">IF(DD$1&lt;Units!$P106,0,IF(AND(Units!$K106=0,DD$1=Units!$O106),Units!$R106,IF(AND(DD$1&gt;=Units!$Q106,MOD(DD$1-Units!$Q106,12)=0),IF(AND(Units!$L106=1,DD$1=Units!$Q106),IF(Units!$J106&lt;&gt;"",Units!$J106,Mkt!DD107),Inputs!$B$15*Mkt!DD107+(1-Inputs!$B$15)*MIN(Mkt!DD107,DC107*(1+Inputs!$B$18))),DC107)))</f>
        <v>1640.46725539696</v>
      </c>
      <c r="DE107" s="11" t="n">
        <f aca="false">IF(DE$1&lt;Units!$P106,0,IF(AND(Units!$K106=0,DE$1=Units!$O106),Units!$R106,IF(AND(DE$1&gt;=Units!$Q106,MOD(DE$1-Units!$Q106,12)=0),IF(AND(Units!$L106=1,DE$1=Units!$Q106),IF(Units!$J106&lt;&gt;"",Units!$J106,Mkt!DE107),Inputs!$B$15*Mkt!DE107+(1-Inputs!$B$15)*MIN(Mkt!DE107,DD107*(1+Inputs!$B$18))),DD107)))</f>
        <v>1640.46725539696</v>
      </c>
      <c r="DF107" s="11" t="n">
        <f aca="false">IF(DF$1&lt;Units!$P106,0,IF(AND(Units!$K106=0,DF$1=Units!$O106),Units!$R106,IF(AND(DF$1&gt;=Units!$Q106,MOD(DF$1-Units!$Q106,12)=0),IF(AND(Units!$L106=1,DF$1=Units!$Q106),IF(Units!$J106&lt;&gt;"",Units!$J106,Mkt!DF107),Inputs!$B$15*Mkt!DF107+(1-Inputs!$B$15)*MIN(Mkt!DF107,DE107*(1+Inputs!$B$18))),DE107)))</f>
        <v>1640.46725539696</v>
      </c>
      <c r="DG107" s="11" t="n">
        <f aca="false">IF(DG$1&lt;Units!$P106,0,IF(AND(Units!$K106=0,DG$1=Units!$O106),Units!$R106,IF(AND(DG$1&gt;=Units!$Q106,MOD(DG$1-Units!$Q106,12)=0),IF(AND(Units!$L106=1,DG$1=Units!$Q106),IF(Units!$J106&lt;&gt;"",Units!$J106,Mkt!DG107),Inputs!$B$15*Mkt!DG107+(1-Inputs!$B$15)*MIN(Mkt!DG107,DF107*(1+Inputs!$B$18))),DF107)))</f>
        <v>1689.68127305887</v>
      </c>
      <c r="DH107" s="11" t="n">
        <f aca="false">IF(DH$1&lt;Units!$P106,0,IF(AND(Units!$K106=0,DH$1=Units!$O106),Units!$R106,IF(AND(DH$1&gt;=Units!$Q106,MOD(DH$1-Units!$Q106,12)=0),IF(AND(Units!$L106=1,DH$1=Units!$Q106),IF(Units!$J106&lt;&gt;"",Units!$J106,Mkt!DH107),Inputs!$B$15*Mkt!DH107+(1-Inputs!$B$15)*MIN(Mkt!DH107,DG107*(1+Inputs!$B$18))),DG107)))</f>
        <v>1689.68127305887</v>
      </c>
      <c r="DI107" s="11" t="n">
        <f aca="false">IF(DI$1&lt;Units!$P106,0,IF(AND(Units!$K106=0,DI$1=Units!$O106),Units!$R106,IF(AND(DI$1&gt;=Units!$Q106,MOD(DI$1-Units!$Q106,12)=0),IF(AND(Units!$L106=1,DI$1=Units!$Q106),IF(Units!$J106&lt;&gt;"",Units!$J106,Mkt!DI107),Inputs!$B$15*Mkt!DI107+(1-Inputs!$B$15)*MIN(Mkt!DI107,DH107*(1+Inputs!$B$18))),DH107)))</f>
        <v>1689.68127305887</v>
      </c>
      <c r="DJ107" s="11" t="n">
        <f aca="false">IF(DJ$1&lt;Units!$P106,0,IF(AND(Units!$K106=0,DJ$1=Units!$O106),Units!$R106,IF(AND(DJ$1&gt;=Units!$Q106,MOD(DJ$1-Units!$Q106,12)=0),IF(AND(Units!$L106=1,DJ$1=Units!$Q106),IF(Units!$J106&lt;&gt;"",Units!$J106,Mkt!DJ107),Inputs!$B$15*Mkt!DJ107+(1-Inputs!$B$15)*MIN(Mkt!DJ107,DI107*(1+Inputs!$B$18))),DI107)))</f>
        <v>1689.68127305887</v>
      </c>
      <c r="DK107" s="11" t="n">
        <f aca="false">IF(DK$1&lt;Units!$P106,0,IF(AND(Units!$K106=0,DK$1=Units!$O106),Units!$R106,IF(AND(DK$1&gt;=Units!$Q106,MOD(DK$1-Units!$Q106,12)=0),IF(AND(Units!$L106=1,DK$1=Units!$Q106),IF(Units!$J106&lt;&gt;"",Units!$J106,Mkt!DK107),Inputs!$B$15*Mkt!DK107+(1-Inputs!$B$15)*MIN(Mkt!DK107,DJ107*(1+Inputs!$B$18))),DJ107)))</f>
        <v>1689.68127305887</v>
      </c>
      <c r="DL107" s="11" t="n">
        <f aca="false">IF(DL$1&lt;Units!$P106,0,IF(AND(Units!$K106=0,DL$1=Units!$O106),Units!$R106,IF(AND(DL$1&gt;=Units!$Q106,MOD(DL$1-Units!$Q106,12)=0),IF(AND(Units!$L106=1,DL$1=Units!$Q106),IF(Units!$J106&lt;&gt;"",Units!$J106,Mkt!DL107),Inputs!$B$15*Mkt!DL107+(1-Inputs!$B$15)*MIN(Mkt!DL107,DK107*(1+Inputs!$B$18))),DK107)))</f>
        <v>1689.68127305887</v>
      </c>
      <c r="DM107" s="11" t="n">
        <f aca="false">IF(DM$1&lt;Units!$P106,0,IF(AND(Units!$K106=0,DM$1=Units!$O106),Units!$R106,IF(AND(DM$1&gt;=Units!$Q106,MOD(DM$1-Units!$Q106,12)=0),IF(AND(Units!$L106=1,DM$1=Units!$Q106),IF(Units!$J106&lt;&gt;"",Units!$J106,Mkt!DM107),Inputs!$B$15*Mkt!DM107+(1-Inputs!$B$15)*MIN(Mkt!DM107,DL107*(1+Inputs!$B$18))),DL107)))</f>
        <v>1689.68127305887</v>
      </c>
      <c r="DN107" s="11" t="n">
        <f aca="false">IF(DN$1&lt;Units!$P106,0,IF(AND(Units!$K106=0,DN$1=Units!$O106),Units!$R106,IF(AND(DN$1&gt;=Units!$Q106,MOD(DN$1-Units!$Q106,12)=0),IF(AND(Units!$L106=1,DN$1=Units!$Q106),IF(Units!$J106&lt;&gt;"",Units!$J106,Mkt!DN107),Inputs!$B$15*Mkt!DN107+(1-Inputs!$B$15)*MIN(Mkt!DN107,DM107*(1+Inputs!$B$18))),DM107)))</f>
        <v>1689.68127305887</v>
      </c>
      <c r="DO107" s="11" t="n">
        <f aca="false">IF(DO$1&lt;Units!$P106,0,IF(AND(Units!$K106=0,DO$1=Units!$O106),Units!$R106,IF(AND(DO$1&gt;=Units!$Q106,MOD(DO$1-Units!$Q106,12)=0),IF(AND(Units!$L106=1,DO$1=Units!$Q106),IF(Units!$J106&lt;&gt;"",Units!$J106,Mkt!DO107),Inputs!$B$15*Mkt!DO107+(1-Inputs!$B$15)*MIN(Mkt!DO107,DN107*(1+Inputs!$B$18))),DN107)))</f>
        <v>1689.68127305887</v>
      </c>
      <c r="DP107" s="11" t="n">
        <f aca="false">IF(DP$1&lt;Units!$P106,0,IF(AND(Units!$K106=0,DP$1=Units!$O106),Units!$R106,IF(AND(DP$1&gt;=Units!$Q106,MOD(DP$1-Units!$Q106,12)=0),IF(AND(Units!$L106=1,DP$1=Units!$Q106),IF(Units!$J106&lt;&gt;"",Units!$J106,Mkt!DP107),Inputs!$B$15*Mkt!DP107+(1-Inputs!$B$15)*MIN(Mkt!DP107,DO107*(1+Inputs!$B$18))),DO107)))</f>
        <v>1689.68127305887</v>
      </c>
      <c r="DQ107" s="11" t="n">
        <f aca="false">IF(DQ$1&lt;Units!$P106,0,IF(AND(Units!$K106=0,DQ$1=Units!$O106),Units!$R106,IF(AND(DQ$1&gt;=Units!$Q106,MOD(DQ$1-Units!$Q106,12)=0),IF(AND(Units!$L106=1,DQ$1=Units!$Q106),IF(Units!$J106&lt;&gt;"",Units!$J106,Mkt!DQ107),Inputs!$B$15*Mkt!DQ107+(1-Inputs!$B$15)*MIN(Mkt!DQ107,DP107*(1+Inputs!$B$18))),DP107)))</f>
        <v>1689.68127305887</v>
      </c>
      <c r="DR107" s="11" t="n">
        <f aca="false">IF(DR$1&lt;Units!$P106,0,IF(AND(Units!$K106=0,DR$1=Units!$O106),Units!$R106,IF(AND(DR$1&gt;=Units!$Q106,MOD(DR$1-Units!$Q106,12)=0),IF(AND(Units!$L106=1,DR$1=Units!$Q106),IF(Units!$J106&lt;&gt;"",Units!$J106,Mkt!DR107),Inputs!$B$15*Mkt!DR107+(1-Inputs!$B$15)*MIN(Mkt!DR107,DQ107*(1+Inputs!$B$18))),DQ107)))</f>
        <v>1689.68127305887</v>
      </c>
      <c r="DS107" s="11" t="n">
        <f aca="false">IF(DS$1&lt;Units!$P106,0,IF(AND(Units!$K106=0,DS$1=Units!$O106),Units!$R106,IF(AND(DS$1&gt;=Units!$Q106,MOD(DS$1-Units!$Q106,12)=0),IF(AND(Units!$L106=1,DS$1=Units!$Q106),IF(Units!$J106&lt;&gt;"",Units!$J106,Mkt!DS107),Inputs!$B$15*Mkt!DS107+(1-Inputs!$B$15)*MIN(Mkt!DS107,DR107*(1+Inputs!$B$18))),DR107)))</f>
        <v>1740.37171125064</v>
      </c>
      <c r="DT107" s="11" t="n">
        <f aca="false">IF(DT$1&lt;Units!$P106,0,IF(AND(Units!$K106=0,DT$1=Units!$O106),Units!$R106,IF(AND(DT$1&gt;=Units!$Q106,MOD(DT$1-Units!$Q106,12)=0),IF(AND(Units!$L106=1,DT$1=Units!$Q106),IF(Units!$J106&lt;&gt;"",Units!$J106,Mkt!DT107),Inputs!$B$15*Mkt!DT107+(1-Inputs!$B$15)*MIN(Mkt!DT107,DS107*(1+Inputs!$B$18))),DS107)))</f>
        <v>1740.37171125064</v>
      </c>
      <c r="DU107" s="11" t="n">
        <f aca="false">IF(DU$1&lt;Units!$P106,0,IF(AND(Units!$K106=0,DU$1=Units!$O106),Units!$R106,IF(AND(DU$1&gt;=Units!$Q106,MOD(DU$1-Units!$Q106,12)=0),IF(AND(Units!$L106=1,DU$1=Units!$Q106),IF(Units!$J106&lt;&gt;"",Units!$J106,Mkt!DU107),Inputs!$B$15*Mkt!DU107+(1-Inputs!$B$15)*MIN(Mkt!DU107,DT107*(1+Inputs!$B$18))),DT107)))</f>
        <v>1740.37171125064</v>
      </c>
      <c r="DV107" s="11" t="n">
        <f aca="false">IF(DV$1&lt;Units!$P106,0,IF(AND(Units!$K106=0,DV$1=Units!$O106),Units!$R106,IF(AND(DV$1&gt;=Units!$Q106,MOD(DV$1-Units!$Q106,12)=0),IF(AND(Units!$L106=1,DV$1=Units!$Q106),IF(Units!$J106&lt;&gt;"",Units!$J106,Mkt!DV107),Inputs!$B$15*Mkt!DV107+(1-Inputs!$B$15)*MIN(Mkt!DV107,DU107*(1+Inputs!$B$18))),DU107)))</f>
        <v>1740.37171125064</v>
      </c>
      <c r="DW107" s="11" t="n">
        <f aca="false">IF(DW$1&lt;Units!$P106,0,IF(AND(Units!$K106=0,DW$1=Units!$O106),Units!$R106,IF(AND(DW$1&gt;=Units!$Q106,MOD(DW$1-Units!$Q106,12)=0),IF(AND(Units!$L106=1,DW$1=Units!$Q106),IF(Units!$J106&lt;&gt;"",Units!$J106,Mkt!DW107),Inputs!$B$15*Mkt!DW107+(1-Inputs!$B$15)*MIN(Mkt!DW107,DV107*(1+Inputs!$B$18))),DV107)))</f>
        <v>1740.37171125064</v>
      </c>
      <c r="DX107" s="11" t="n">
        <f aca="false">IF(DX$1&lt;Units!$P106,0,IF(AND(Units!$K106=0,DX$1=Units!$O106),Units!$R106,IF(AND(DX$1&gt;=Units!$Q106,MOD(DX$1-Units!$Q106,12)=0),IF(AND(Units!$L106=1,DX$1=Units!$Q106),IF(Units!$J106&lt;&gt;"",Units!$J106,Mkt!DX107),Inputs!$B$15*Mkt!DX107+(1-Inputs!$B$15)*MIN(Mkt!DX107,DW107*(1+Inputs!$B$18))),DW107)))</f>
        <v>1740.37171125064</v>
      </c>
      <c r="DY107" s="11" t="n">
        <f aca="false">IF(DY$1&lt;Units!$P106,0,IF(AND(Units!$K106=0,DY$1=Units!$O106),Units!$R106,IF(AND(DY$1&gt;=Units!$Q106,MOD(DY$1-Units!$Q106,12)=0),IF(AND(Units!$L106=1,DY$1=Units!$Q106),IF(Units!$J106&lt;&gt;"",Units!$J106,Mkt!DY107),Inputs!$B$15*Mkt!DY107+(1-Inputs!$B$15)*MIN(Mkt!DY107,DX107*(1+Inputs!$B$18))),DX107)))</f>
        <v>1740.37171125064</v>
      </c>
      <c r="DZ107" s="11" t="n">
        <f aca="false">IF(DZ$1&lt;Units!$P106,0,IF(AND(Units!$K106=0,DZ$1=Units!$O106),Units!$R106,IF(AND(DZ$1&gt;=Units!$Q106,MOD(DZ$1-Units!$Q106,12)=0),IF(AND(Units!$L106=1,DZ$1=Units!$Q106),IF(Units!$J106&lt;&gt;"",Units!$J106,Mkt!DZ107),Inputs!$B$15*Mkt!DZ107+(1-Inputs!$B$15)*MIN(Mkt!DZ107,DY107*(1+Inputs!$B$18))),DY107)))</f>
        <v>1740.37171125064</v>
      </c>
      <c r="EA107" s="11" t="n">
        <f aca="false">IF(EA$1&lt;Units!$P106,0,IF(AND(Units!$K106=0,EA$1=Units!$O106),Units!$R106,IF(AND(EA$1&gt;=Units!$Q106,MOD(EA$1-Units!$Q106,12)=0),IF(AND(Units!$L106=1,EA$1=Units!$Q106),IF(Units!$J106&lt;&gt;"",Units!$J106,Mkt!EA107),Inputs!$B$15*Mkt!EA107+(1-Inputs!$B$15)*MIN(Mkt!EA107,DZ107*(1+Inputs!$B$18))),DZ107)))</f>
        <v>1740.37171125064</v>
      </c>
      <c r="EB107" s="11" t="n">
        <f aca="false">IF(EB$1&lt;Units!$P106,0,IF(AND(Units!$K106=0,EB$1=Units!$O106),Units!$R106,IF(AND(EB$1&gt;=Units!$Q106,MOD(EB$1-Units!$Q106,12)=0),IF(AND(Units!$L106=1,EB$1=Units!$Q106),IF(Units!$J106&lt;&gt;"",Units!$J106,Mkt!EB107),Inputs!$B$15*Mkt!EB107+(1-Inputs!$B$15)*MIN(Mkt!EB107,EA107*(1+Inputs!$B$18))),EA107)))</f>
        <v>1740.37171125064</v>
      </c>
      <c r="EC107" s="11" t="n">
        <f aca="false">IF(EC$1&lt;Units!$P106,0,IF(AND(Units!$K106=0,EC$1=Units!$O106),Units!$R106,IF(AND(EC$1&gt;=Units!$Q106,MOD(EC$1-Units!$Q106,12)=0),IF(AND(Units!$L106=1,EC$1=Units!$Q106),IF(Units!$J106&lt;&gt;"",Units!$J106,Mkt!EC107),Inputs!$B$15*Mkt!EC107+(1-Inputs!$B$15)*MIN(Mkt!EC107,EB107*(1+Inputs!$B$18))),EB107)))</f>
        <v>1740.37171125064</v>
      </c>
      <c r="ED107" s="11" t="n">
        <f aca="false">IF(ED$1&lt;Units!$P106,0,IF(AND(Units!$K106=0,ED$1=Units!$O106),Units!$R106,IF(AND(ED$1&gt;=Units!$Q106,MOD(ED$1-Units!$Q106,12)=0),IF(AND(Units!$L106=1,ED$1=Units!$Q106),IF(Units!$J106&lt;&gt;"",Units!$J106,Mkt!ED107),Inputs!$B$15*Mkt!ED107+(1-Inputs!$B$15)*MIN(Mkt!ED107,EC107*(1+Inputs!$B$18))),EC107)))</f>
        <v>1740.37171125064</v>
      </c>
    </row>
    <row r="108" customFormat="false" ht="15" hidden="false" customHeight="false" outlineLevel="0" collapsed="false">
      <c r="A108" s="22" t="n">
        <f aca="false">Units!A107</f>
        <v>416</v>
      </c>
      <c r="B108" s="24" t="n">
        <f aca="false">IF(Units!K107=1,Units!F107,0)</f>
        <v>1270</v>
      </c>
      <c r="C108" s="11" t="n">
        <f aca="false">IF(C$1&lt;Units!$P107,0,IF(AND(Units!$K107=0,C$1=Units!$O107),Units!$R107,IF(AND(C$1&gt;=Units!$Q107,MOD(C$1-Units!$Q107,12)=0),IF(AND(Units!$L107=1,C$1=Units!$Q107),IF(Units!$J107&lt;&gt;"",Units!$J107,Mkt!C108),Inputs!$B$15*Mkt!C108+(1-Inputs!$B$15)*MIN(Mkt!C108,B108*(1+Inputs!$B$18))),B108)))</f>
        <v>1270</v>
      </c>
      <c r="D108" s="11" t="n">
        <f aca="false">IF(D$1&lt;Units!$P107,0,IF(AND(Units!$K107=0,D$1=Units!$O107),Units!$R107,IF(AND(D$1&gt;=Units!$Q107,MOD(D$1-Units!$Q107,12)=0),IF(AND(Units!$L107=1,D$1=Units!$Q107),IF(Units!$J107&lt;&gt;"",Units!$J107,Mkt!D108),Inputs!$B$15*Mkt!D108+(1-Inputs!$B$15)*MIN(Mkt!D108,C108*(1+Inputs!$B$18))),C108)))</f>
        <v>1295</v>
      </c>
      <c r="E108" s="11" t="n">
        <f aca="false">IF(E$1&lt;Units!$P107,0,IF(AND(Units!$K107=0,E$1=Units!$O107),Units!$R107,IF(AND(E$1&gt;=Units!$Q107,MOD(E$1-Units!$Q107,12)=0),IF(AND(Units!$L107=1,E$1=Units!$Q107),IF(Units!$J107&lt;&gt;"",Units!$J107,Mkt!E108),Inputs!$B$15*Mkt!E108+(1-Inputs!$B$15)*MIN(Mkt!E108,D108*(1+Inputs!$B$18))),D108)))</f>
        <v>1295</v>
      </c>
      <c r="F108" s="11" t="n">
        <f aca="false">IF(F$1&lt;Units!$P107,0,IF(AND(Units!$K107=0,F$1=Units!$O107),Units!$R107,IF(AND(F$1&gt;=Units!$Q107,MOD(F$1-Units!$Q107,12)=0),IF(AND(Units!$L107=1,F$1=Units!$Q107),IF(Units!$J107&lt;&gt;"",Units!$J107,Mkt!F108),Inputs!$B$15*Mkt!F108+(1-Inputs!$B$15)*MIN(Mkt!F108,E108*(1+Inputs!$B$18))),E108)))</f>
        <v>1295</v>
      </c>
      <c r="G108" s="11" t="n">
        <f aca="false">IF(G$1&lt;Units!$P107,0,IF(AND(Units!$K107=0,G$1=Units!$O107),Units!$R107,IF(AND(G$1&gt;=Units!$Q107,MOD(G$1-Units!$Q107,12)=0),IF(AND(Units!$L107=1,G$1=Units!$Q107),IF(Units!$J107&lt;&gt;"",Units!$J107,Mkt!G108),Inputs!$B$15*Mkt!G108+(1-Inputs!$B$15)*MIN(Mkt!G108,F108*(1+Inputs!$B$18))),F108)))</f>
        <v>1295</v>
      </c>
      <c r="H108" s="11" t="n">
        <f aca="false">IF(H$1&lt;Units!$P107,0,IF(AND(Units!$K107=0,H$1=Units!$O107),Units!$R107,IF(AND(H$1&gt;=Units!$Q107,MOD(H$1-Units!$Q107,12)=0),IF(AND(Units!$L107=1,H$1=Units!$Q107),IF(Units!$J107&lt;&gt;"",Units!$J107,Mkt!H108),Inputs!$B$15*Mkt!H108+(1-Inputs!$B$15)*MIN(Mkt!H108,G108*(1+Inputs!$B$18))),G108)))</f>
        <v>1295</v>
      </c>
      <c r="I108" s="11" t="n">
        <f aca="false">IF(I$1&lt;Units!$P107,0,IF(AND(Units!$K107=0,I$1=Units!$O107),Units!$R107,IF(AND(I$1&gt;=Units!$Q107,MOD(I$1-Units!$Q107,12)=0),IF(AND(Units!$L107=1,I$1=Units!$Q107),IF(Units!$J107&lt;&gt;"",Units!$J107,Mkt!I108),Inputs!$B$15*Mkt!I108+(1-Inputs!$B$15)*MIN(Mkt!I108,H108*(1+Inputs!$B$18))),H108)))</f>
        <v>1295</v>
      </c>
      <c r="J108" s="11" t="n">
        <f aca="false">IF(J$1&lt;Units!$P107,0,IF(AND(Units!$K107=0,J$1=Units!$O107),Units!$R107,IF(AND(J$1&gt;=Units!$Q107,MOD(J$1-Units!$Q107,12)=0),IF(AND(Units!$L107=1,J$1=Units!$Q107),IF(Units!$J107&lt;&gt;"",Units!$J107,Mkt!J108),Inputs!$B$15*Mkt!J108+(1-Inputs!$B$15)*MIN(Mkt!J108,I108*(1+Inputs!$B$18))),I108)))</f>
        <v>1295</v>
      </c>
      <c r="K108" s="11" t="n">
        <f aca="false">IF(K$1&lt;Units!$P107,0,IF(AND(Units!$K107=0,K$1=Units!$O107),Units!$R107,IF(AND(K$1&gt;=Units!$Q107,MOD(K$1-Units!$Q107,12)=0),IF(AND(Units!$L107=1,K$1=Units!$Q107),IF(Units!$J107&lt;&gt;"",Units!$J107,Mkt!K108),Inputs!$B$15*Mkt!K108+(1-Inputs!$B$15)*MIN(Mkt!K108,J108*(1+Inputs!$B$18))),J108)))</f>
        <v>1295</v>
      </c>
      <c r="L108" s="11" t="n">
        <f aca="false">IF(L$1&lt;Units!$P107,0,IF(AND(Units!$K107=0,L$1=Units!$O107),Units!$R107,IF(AND(L$1&gt;=Units!$Q107,MOD(L$1-Units!$Q107,12)=0),IF(AND(Units!$L107=1,L$1=Units!$Q107),IF(Units!$J107&lt;&gt;"",Units!$J107,Mkt!L108),Inputs!$B$15*Mkt!L108+(1-Inputs!$B$15)*MIN(Mkt!L108,K108*(1+Inputs!$B$18))),K108)))</f>
        <v>1295</v>
      </c>
      <c r="M108" s="11" t="n">
        <f aca="false">IF(M$1&lt;Units!$P107,0,IF(AND(Units!$K107=0,M$1=Units!$O107),Units!$R107,IF(AND(M$1&gt;=Units!$Q107,MOD(M$1-Units!$Q107,12)=0),IF(AND(Units!$L107=1,M$1=Units!$Q107),IF(Units!$J107&lt;&gt;"",Units!$J107,Mkt!M108),Inputs!$B$15*Mkt!M108+(1-Inputs!$B$15)*MIN(Mkt!M108,L108*(1+Inputs!$B$18))),L108)))</f>
        <v>1295</v>
      </c>
      <c r="N108" s="11" t="n">
        <f aca="false">IF(N$1&lt;Units!$P107,0,IF(AND(Units!$K107=0,N$1=Units!$O107),Units!$R107,IF(AND(N$1&gt;=Units!$Q107,MOD(N$1-Units!$Q107,12)=0),IF(AND(Units!$L107=1,N$1=Units!$Q107),IF(Units!$J107&lt;&gt;"",Units!$J107,Mkt!N108),Inputs!$B$15*Mkt!N108+(1-Inputs!$B$15)*MIN(Mkt!N108,M108*(1+Inputs!$B$18))),M108)))</f>
        <v>1295</v>
      </c>
      <c r="O108" s="11" t="n">
        <f aca="false">IF(O$1&lt;Units!$P107,0,IF(AND(Units!$K107=0,O$1=Units!$O107),Units!$R107,IF(AND(O$1&gt;=Units!$Q107,MOD(O$1-Units!$Q107,12)=0),IF(AND(Units!$L107=1,O$1=Units!$Q107),IF(Units!$J107&lt;&gt;"",Units!$J107,Mkt!O108),Inputs!$B$15*Mkt!O108+(1-Inputs!$B$15)*MIN(Mkt!O108,N108*(1+Inputs!$B$18))),N108)))</f>
        <v>1295</v>
      </c>
      <c r="P108" s="11" t="n">
        <f aca="false">IF(P$1&lt;Units!$P107,0,IF(AND(Units!$K107=0,P$1=Units!$O107),Units!$R107,IF(AND(P$1&gt;=Units!$Q107,MOD(P$1-Units!$Q107,12)=0),IF(AND(Units!$L107=1,P$1=Units!$Q107),IF(Units!$J107&lt;&gt;"",Units!$J107,Mkt!P108),Inputs!$B$15*Mkt!P108+(1-Inputs!$B$15)*MIN(Mkt!P108,O108*(1+Inputs!$B$18))),O108)))</f>
        <v>1333.85</v>
      </c>
      <c r="Q108" s="11" t="n">
        <f aca="false">IF(Q$1&lt;Units!$P107,0,IF(AND(Units!$K107=0,Q$1=Units!$O107),Units!$R107,IF(AND(Q$1&gt;=Units!$Q107,MOD(Q$1-Units!$Q107,12)=0),IF(AND(Units!$L107=1,Q$1=Units!$Q107),IF(Units!$J107&lt;&gt;"",Units!$J107,Mkt!Q108),Inputs!$B$15*Mkt!Q108+(1-Inputs!$B$15)*MIN(Mkt!Q108,P108*(1+Inputs!$B$18))),P108)))</f>
        <v>1333.85</v>
      </c>
      <c r="R108" s="11" t="n">
        <f aca="false">IF(R$1&lt;Units!$P107,0,IF(AND(Units!$K107=0,R$1=Units!$O107),Units!$R107,IF(AND(R$1&gt;=Units!$Q107,MOD(R$1-Units!$Q107,12)=0),IF(AND(Units!$L107=1,R$1=Units!$Q107),IF(Units!$J107&lt;&gt;"",Units!$J107,Mkt!R108),Inputs!$B$15*Mkt!R108+(1-Inputs!$B$15)*MIN(Mkt!R108,Q108*(1+Inputs!$B$18))),Q108)))</f>
        <v>1333.85</v>
      </c>
      <c r="S108" s="11" t="n">
        <f aca="false">IF(S$1&lt;Units!$P107,0,IF(AND(Units!$K107=0,S$1=Units!$O107),Units!$R107,IF(AND(S$1&gt;=Units!$Q107,MOD(S$1-Units!$Q107,12)=0),IF(AND(Units!$L107=1,S$1=Units!$Q107),IF(Units!$J107&lt;&gt;"",Units!$J107,Mkt!S108),Inputs!$B$15*Mkt!S108+(1-Inputs!$B$15)*MIN(Mkt!S108,R108*(1+Inputs!$B$18))),R108)))</f>
        <v>1333.85</v>
      </c>
      <c r="T108" s="11" t="n">
        <f aca="false">IF(T$1&lt;Units!$P107,0,IF(AND(Units!$K107=0,T$1=Units!$O107),Units!$R107,IF(AND(T$1&gt;=Units!$Q107,MOD(T$1-Units!$Q107,12)=0),IF(AND(Units!$L107=1,T$1=Units!$Q107),IF(Units!$J107&lt;&gt;"",Units!$J107,Mkt!T108),Inputs!$B$15*Mkt!T108+(1-Inputs!$B$15)*MIN(Mkt!T108,S108*(1+Inputs!$B$18))),S108)))</f>
        <v>1333.85</v>
      </c>
      <c r="U108" s="11" t="n">
        <f aca="false">IF(U$1&lt;Units!$P107,0,IF(AND(Units!$K107=0,U$1=Units!$O107),Units!$R107,IF(AND(U$1&gt;=Units!$Q107,MOD(U$1-Units!$Q107,12)=0),IF(AND(Units!$L107=1,U$1=Units!$Q107),IF(Units!$J107&lt;&gt;"",Units!$J107,Mkt!U108),Inputs!$B$15*Mkt!U108+(1-Inputs!$B$15)*MIN(Mkt!U108,T108*(1+Inputs!$B$18))),T108)))</f>
        <v>1333.85</v>
      </c>
      <c r="V108" s="11" t="n">
        <f aca="false">IF(V$1&lt;Units!$P107,0,IF(AND(Units!$K107=0,V$1=Units!$O107),Units!$R107,IF(AND(V$1&gt;=Units!$Q107,MOD(V$1-Units!$Q107,12)=0),IF(AND(Units!$L107=1,V$1=Units!$Q107),IF(Units!$J107&lt;&gt;"",Units!$J107,Mkt!V108),Inputs!$B$15*Mkt!V108+(1-Inputs!$B$15)*MIN(Mkt!V108,U108*(1+Inputs!$B$18))),U108)))</f>
        <v>1333.85</v>
      </c>
      <c r="W108" s="11" t="n">
        <f aca="false">IF(W$1&lt;Units!$P107,0,IF(AND(Units!$K107=0,W$1=Units!$O107),Units!$R107,IF(AND(W$1&gt;=Units!$Q107,MOD(W$1-Units!$Q107,12)=0),IF(AND(Units!$L107=1,W$1=Units!$Q107),IF(Units!$J107&lt;&gt;"",Units!$J107,Mkt!W108),Inputs!$B$15*Mkt!W108+(1-Inputs!$B$15)*MIN(Mkt!W108,V108*(1+Inputs!$B$18))),V108)))</f>
        <v>1333.85</v>
      </c>
      <c r="X108" s="11" t="n">
        <f aca="false">IF(X$1&lt;Units!$P107,0,IF(AND(Units!$K107=0,X$1=Units!$O107),Units!$R107,IF(AND(X$1&gt;=Units!$Q107,MOD(X$1-Units!$Q107,12)=0),IF(AND(Units!$L107=1,X$1=Units!$Q107),IF(Units!$J107&lt;&gt;"",Units!$J107,Mkt!X108),Inputs!$B$15*Mkt!X108+(1-Inputs!$B$15)*MIN(Mkt!X108,W108*(1+Inputs!$B$18))),W108)))</f>
        <v>1333.85</v>
      </c>
      <c r="Y108" s="11" t="n">
        <f aca="false">IF(Y$1&lt;Units!$P107,0,IF(AND(Units!$K107=0,Y$1=Units!$O107),Units!$R107,IF(AND(Y$1&gt;=Units!$Q107,MOD(Y$1-Units!$Q107,12)=0),IF(AND(Units!$L107=1,Y$1=Units!$Q107),IF(Units!$J107&lt;&gt;"",Units!$J107,Mkt!Y108),Inputs!$B$15*Mkt!Y108+(1-Inputs!$B$15)*MIN(Mkt!Y108,X108*(1+Inputs!$B$18))),X108)))</f>
        <v>1333.85</v>
      </c>
      <c r="Z108" s="11" t="n">
        <f aca="false">IF(Z$1&lt;Units!$P107,0,IF(AND(Units!$K107=0,Z$1=Units!$O107),Units!$R107,IF(AND(Z$1&gt;=Units!$Q107,MOD(Z$1-Units!$Q107,12)=0),IF(AND(Units!$L107=1,Z$1=Units!$Q107),IF(Units!$J107&lt;&gt;"",Units!$J107,Mkt!Z108),Inputs!$B$15*Mkt!Z108+(1-Inputs!$B$15)*MIN(Mkt!Z108,Y108*(1+Inputs!$B$18))),Y108)))</f>
        <v>1333.85</v>
      </c>
      <c r="AA108" s="11" t="n">
        <f aca="false">IF(AA$1&lt;Units!$P107,0,IF(AND(Units!$K107=0,AA$1=Units!$O107),Units!$R107,IF(AND(AA$1&gt;=Units!$Q107,MOD(AA$1-Units!$Q107,12)=0),IF(AND(Units!$L107=1,AA$1=Units!$Q107),IF(Units!$J107&lt;&gt;"",Units!$J107,Mkt!AA108),Inputs!$B$15*Mkt!AA108+(1-Inputs!$B$15)*MIN(Mkt!AA108,Z108*(1+Inputs!$B$18))),Z108)))</f>
        <v>1333.85</v>
      </c>
      <c r="AB108" s="11" t="n">
        <f aca="false">IF(AB$1&lt;Units!$P107,0,IF(AND(Units!$K107=0,AB$1=Units!$O107),Units!$R107,IF(AND(AB$1&gt;=Units!$Q107,MOD(AB$1-Units!$Q107,12)=0),IF(AND(Units!$L107=1,AB$1=Units!$Q107),IF(Units!$J107&lt;&gt;"",Units!$J107,Mkt!AB108),Inputs!$B$15*Mkt!AB108+(1-Inputs!$B$15)*MIN(Mkt!AB108,AA108*(1+Inputs!$B$18))),AA108)))</f>
        <v>1373.8655</v>
      </c>
      <c r="AC108" s="11" t="n">
        <f aca="false">IF(AC$1&lt;Units!$P107,0,IF(AND(Units!$K107=0,AC$1=Units!$O107),Units!$R107,IF(AND(AC$1&gt;=Units!$Q107,MOD(AC$1-Units!$Q107,12)=0),IF(AND(Units!$L107=1,AC$1=Units!$Q107),IF(Units!$J107&lt;&gt;"",Units!$J107,Mkt!AC108),Inputs!$B$15*Mkt!AC108+(1-Inputs!$B$15)*MIN(Mkt!AC108,AB108*(1+Inputs!$B$18))),AB108)))</f>
        <v>1373.8655</v>
      </c>
      <c r="AD108" s="11" t="n">
        <f aca="false">IF(AD$1&lt;Units!$P107,0,IF(AND(Units!$K107=0,AD$1=Units!$O107),Units!$R107,IF(AND(AD$1&gt;=Units!$Q107,MOD(AD$1-Units!$Q107,12)=0),IF(AND(Units!$L107=1,AD$1=Units!$Q107),IF(Units!$J107&lt;&gt;"",Units!$J107,Mkt!AD108),Inputs!$B$15*Mkt!AD108+(1-Inputs!$B$15)*MIN(Mkt!AD108,AC108*(1+Inputs!$B$18))),AC108)))</f>
        <v>1373.8655</v>
      </c>
      <c r="AE108" s="11" t="n">
        <f aca="false">IF(AE$1&lt;Units!$P107,0,IF(AND(Units!$K107=0,AE$1=Units!$O107),Units!$R107,IF(AND(AE$1&gt;=Units!$Q107,MOD(AE$1-Units!$Q107,12)=0),IF(AND(Units!$L107=1,AE$1=Units!$Q107),IF(Units!$J107&lt;&gt;"",Units!$J107,Mkt!AE108),Inputs!$B$15*Mkt!AE108+(1-Inputs!$B$15)*MIN(Mkt!AE108,AD108*(1+Inputs!$B$18))),AD108)))</f>
        <v>1373.8655</v>
      </c>
      <c r="AF108" s="11" t="n">
        <f aca="false">IF(AF$1&lt;Units!$P107,0,IF(AND(Units!$K107=0,AF$1=Units!$O107),Units!$R107,IF(AND(AF$1&gt;=Units!$Q107,MOD(AF$1-Units!$Q107,12)=0),IF(AND(Units!$L107=1,AF$1=Units!$Q107),IF(Units!$J107&lt;&gt;"",Units!$J107,Mkt!AF108),Inputs!$B$15*Mkt!AF108+(1-Inputs!$B$15)*MIN(Mkt!AF108,AE108*(1+Inputs!$B$18))),AE108)))</f>
        <v>1373.8655</v>
      </c>
      <c r="AG108" s="11" t="n">
        <f aca="false">IF(AG$1&lt;Units!$P107,0,IF(AND(Units!$K107=0,AG$1=Units!$O107),Units!$R107,IF(AND(AG$1&gt;=Units!$Q107,MOD(AG$1-Units!$Q107,12)=0),IF(AND(Units!$L107=1,AG$1=Units!$Q107),IF(Units!$J107&lt;&gt;"",Units!$J107,Mkt!AG108),Inputs!$B$15*Mkt!AG108+(1-Inputs!$B$15)*MIN(Mkt!AG108,AF108*(1+Inputs!$B$18))),AF108)))</f>
        <v>1373.8655</v>
      </c>
      <c r="AH108" s="11" t="n">
        <f aca="false">IF(AH$1&lt;Units!$P107,0,IF(AND(Units!$K107=0,AH$1=Units!$O107),Units!$R107,IF(AND(AH$1&gt;=Units!$Q107,MOD(AH$1-Units!$Q107,12)=0),IF(AND(Units!$L107=1,AH$1=Units!$Q107),IF(Units!$J107&lt;&gt;"",Units!$J107,Mkt!AH108),Inputs!$B$15*Mkt!AH108+(1-Inputs!$B$15)*MIN(Mkt!AH108,AG108*(1+Inputs!$B$18))),AG108)))</f>
        <v>1373.8655</v>
      </c>
      <c r="AI108" s="11" t="n">
        <f aca="false">IF(AI$1&lt;Units!$P107,0,IF(AND(Units!$K107=0,AI$1=Units!$O107),Units!$R107,IF(AND(AI$1&gt;=Units!$Q107,MOD(AI$1-Units!$Q107,12)=0),IF(AND(Units!$L107=1,AI$1=Units!$Q107),IF(Units!$J107&lt;&gt;"",Units!$J107,Mkt!AI108),Inputs!$B$15*Mkt!AI108+(1-Inputs!$B$15)*MIN(Mkt!AI108,AH108*(1+Inputs!$B$18))),AH108)))</f>
        <v>1373.8655</v>
      </c>
      <c r="AJ108" s="11" t="n">
        <f aca="false">IF(AJ$1&lt;Units!$P107,0,IF(AND(Units!$K107=0,AJ$1=Units!$O107),Units!$R107,IF(AND(AJ$1&gt;=Units!$Q107,MOD(AJ$1-Units!$Q107,12)=0),IF(AND(Units!$L107=1,AJ$1=Units!$Q107),IF(Units!$J107&lt;&gt;"",Units!$J107,Mkt!AJ108),Inputs!$B$15*Mkt!AJ108+(1-Inputs!$B$15)*MIN(Mkt!AJ108,AI108*(1+Inputs!$B$18))),AI108)))</f>
        <v>1373.8655</v>
      </c>
      <c r="AK108" s="11" t="n">
        <f aca="false">IF(AK$1&lt;Units!$P107,0,IF(AND(Units!$K107=0,AK$1=Units!$O107),Units!$R107,IF(AND(AK$1&gt;=Units!$Q107,MOD(AK$1-Units!$Q107,12)=0),IF(AND(Units!$L107=1,AK$1=Units!$Q107),IF(Units!$J107&lt;&gt;"",Units!$J107,Mkt!AK108),Inputs!$B$15*Mkt!AK108+(1-Inputs!$B$15)*MIN(Mkt!AK108,AJ108*(1+Inputs!$B$18))),AJ108)))</f>
        <v>1373.8655</v>
      </c>
      <c r="AL108" s="11" t="n">
        <f aca="false">IF(AL$1&lt;Units!$P107,0,IF(AND(Units!$K107=0,AL$1=Units!$O107),Units!$R107,IF(AND(AL$1&gt;=Units!$Q107,MOD(AL$1-Units!$Q107,12)=0),IF(AND(Units!$L107=1,AL$1=Units!$Q107),IF(Units!$J107&lt;&gt;"",Units!$J107,Mkt!AL108),Inputs!$B$15*Mkt!AL108+(1-Inputs!$B$15)*MIN(Mkt!AL108,AK108*(1+Inputs!$B$18))),AK108)))</f>
        <v>1373.8655</v>
      </c>
      <c r="AM108" s="11" t="n">
        <f aca="false">IF(AM$1&lt;Units!$P107,0,IF(AND(Units!$K107=0,AM$1=Units!$O107),Units!$R107,IF(AND(AM$1&gt;=Units!$Q107,MOD(AM$1-Units!$Q107,12)=0),IF(AND(Units!$L107=1,AM$1=Units!$Q107),IF(Units!$J107&lt;&gt;"",Units!$J107,Mkt!AM108),Inputs!$B$15*Mkt!AM108+(1-Inputs!$B$15)*MIN(Mkt!AM108,AL108*(1+Inputs!$B$18))),AL108)))</f>
        <v>1373.8655</v>
      </c>
      <c r="AN108" s="11" t="n">
        <f aca="false">IF(AN$1&lt;Units!$P107,0,IF(AND(Units!$K107=0,AN$1=Units!$O107),Units!$R107,IF(AND(AN$1&gt;=Units!$Q107,MOD(AN$1-Units!$Q107,12)=0),IF(AND(Units!$L107=1,AN$1=Units!$Q107),IF(Units!$J107&lt;&gt;"",Units!$J107,Mkt!AN108),Inputs!$B$15*Mkt!AN108+(1-Inputs!$B$15)*MIN(Mkt!AN108,AM108*(1+Inputs!$B$18))),AM108)))</f>
        <v>1415.081465</v>
      </c>
      <c r="AO108" s="11" t="n">
        <f aca="false">IF(AO$1&lt;Units!$P107,0,IF(AND(Units!$K107=0,AO$1=Units!$O107),Units!$R107,IF(AND(AO$1&gt;=Units!$Q107,MOD(AO$1-Units!$Q107,12)=0),IF(AND(Units!$L107=1,AO$1=Units!$Q107),IF(Units!$J107&lt;&gt;"",Units!$J107,Mkt!AO108),Inputs!$B$15*Mkt!AO108+(1-Inputs!$B$15)*MIN(Mkt!AO108,AN108*(1+Inputs!$B$18))),AN108)))</f>
        <v>1415.081465</v>
      </c>
      <c r="AP108" s="11" t="n">
        <f aca="false">IF(AP$1&lt;Units!$P107,0,IF(AND(Units!$K107=0,AP$1=Units!$O107),Units!$R107,IF(AND(AP$1&gt;=Units!$Q107,MOD(AP$1-Units!$Q107,12)=0),IF(AND(Units!$L107=1,AP$1=Units!$Q107),IF(Units!$J107&lt;&gt;"",Units!$J107,Mkt!AP108),Inputs!$B$15*Mkt!AP108+(1-Inputs!$B$15)*MIN(Mkt!AP108,AO108*(1+Inputs!$B$18))),AO108)))</f>
        <v>1415.081465</v>
      </c>
      <c r="AQ108" s="11" t="n">
        <f aca="false">IF(AQ$1&lt;Units!$P107,0,IF(AND(Units!$K107=0,AQ$1=Units!$O107),Units!$R107,IF(AND(AQ$1&gt;=Units!$Q107,MOD(AQ$1-Units!$Q107,12)=0),IF(AND(Units!$L107=1,AQ$1=Units!$Q107),IF(Units!$J107&lt;&gt;"",Units!$J107,Mkt!AQ108),Inputs!$B$15*Mkt!AQ108+(1-Inputs!$B$15)*MIN(Mkt!AQ108,AP108*(1+Inputs!$B$18))),AP108)))</f>
        <v>1415.081465</v>
      </c>
      <c r="AR108" s="11" t="n">
        <f aca="false">IF(AR$1&lt;Units!$P107,0,IF(AND(Units!$K107=0,AR$1=Units!$O107),Units!$R107,IF(AND(AR$1&gt;=Units!$Q107,MOD(AR$1-Units!$Q107,12)=0),IF(AND(Units!$L107=1,AR$1=Units!$Q107),IF(Units!$J107&lt;&gt;"",Units!$J107,Mkt!AR108),Inputs!$B$15*Mkt!AR108+(1-Inputs!$B$15)*MIN(Mkt!AR108,AQ108*(1+Inputs!$B$18))),AQ108)))</f>
        <v>1415.081465</v>
      </c>
      <c r="AS108" s="11" t="n">
        <f aca="false">IF(AS$1&lt;Units!$P107,0,IF(AND(Units!$K107=0,AS$1=Units!$O107),Units!$R107,IF(AND(AS$1&gt;=Units!$Q107,MOD(AS$1-Units!$Q107,12)=0),IF(AND(Units!$L107=1,AS$1=Units!$Q107),IF(Units!$J107&lt;&gt;"",Units!$J107,Mkt!AS108),Inputs!$B$15*Mkt!AS108+(1-Inputs!$B$15)*MIN(Mkt!AS108,AR108*(1+Inputs!$B$18))),AR108)))</f>
        <v>1415.081465</v>
      </c>
      <c r="AT108" s="11" t="n">
        <f aca="false">IF(AT$1&lt;Units!$P107,0,IF(AND(Units!$K107=0,AT$1=Units!$O107),Units!$R107,IF(AND(AT$1&gt;=Units!$Q107,MOD(AT$1-Units!$Q107,12)=0),IF(AND(Units!$L107=1,AT$1=Units!$Q107),IF(Units!$J107&lt;&gt;"",Units!$J107,Mkt!AT108),Inputs!$B$15*Mkt!AT108+(1-Inputs!$B$15)*MIN(Mkt!AT108,AS108*(1+Inputs!$B$18))),AS108)))</f>
        <v>1415.081465</v>
      </c>
      <c r="AU108" s="11" t="n">
        <f aca="false">IF(AU$1&lt;Units!$P107,0,IF(AND(Units!$K107=0,AU$1=Units!$O107),Units!$R107,IF(AND(AU$1&gt;=Units!$Q107,MOD(AU$1-Units!$Q107,12)=0),IF(AND(Units!$L107=1,AU$1=Units!$Q107),IF(Units!$J107&lt;&gt;"",Units!$J107,Mkt!AU108),Inputs!$B$15*Mkt!AU108+(1-Inputs!$B$15)*MIN(Mkt!AU108,AT108*(1+Inputs!$B$18))),AT108)))</f>
        <v>1415.081465</v>
      </c>
      <c r="AV108" s="11" t="n">
        <f aca="false">IF(AV$1&lt;Units!$P107,0,IF(AND(Units!$K107=0,AV$1=Units!$O107),Units!$R107,IF(AND(AV$1&gt;=Units!$Q107,MOD(AV$1-Units!$Q107,12)=0),IF(AND(Units!$L107=1,AV$1=Units!$Q107),IF(Units!$J107&lt;&gt;"",Units!$J107,Mkt!AV108),Inputs!$B$15*Mkt!AV108+(1-Inputs!$B$15)*MIN(Mkt!AV108,AU108*(1+Inputs!$B$18))),AU108)))</f>
        <v>1415.081465</v>
      </c>
      <c r="AW108" s="11" t="n">
        <f aca="false">IF(AW$1&lt;Units!$P107,0,IF(AND(Units!$K107=0,AW$1=Units!$O107),Units!$R107,IF(AND(AW$1&gt;=Units!$Q107,MOD(AW$1-Units!$Q107,12)=0),IF(AND(Units!$L107=1,AW$1=Units!$Q107),IF(Units!$J107&lt;&gt;"",Units!$J107,Mkt!AW108),Inputs!$B$15*Mkt!AW108+(1-Inputs!$B$15)*MIN(Mkt!AW108,AV108*(1+Inputs!$B$18))),AV108)))</f>
        <v>1415.081465</v>
      </c>
      <c r="AX108" s="11" t="n">
        <f aca="false">IF(AX$1&lt;Units!$P107,0,IF(AND(Units!$K107=0,AX$1=Units!$O107),Units!$R107,IF(AND(AX$1&gt;=Units!$Q107,MOD(AX$1-Units!$Q107,12)=0),IF(AND(Units!$L107=1,AX$1=Units!$Q107),IF(Units!$J107&lt;&gt;"",Units!$J107,Mkt!AX108),Inputs!$B$15*Mkt!AX108+(1-Inputs!$B$15)*MIN(Mkt!AX108,AW108*(1+Inputs!$B$18))),AW108)))</f>
        <v>1415.081465</v>
      </c>
      <c r="AY108" s="11" t="n">
        <f aca="false">IF(AY$1&lt;Units!$P107,0,IF(AND(Units!$K107=0,AY$1=Units!$O107),Units!$R107,IF(AND(AY$1&gt;=Units!$Q107,MOD(AY$1-Units!$Q107,12)=0),IF(AND(Units!$L107=1,AY$1=Units!$Q107),IF(Units!$J107&lt;&gt;"",Units!$J107,Mkt!AY108),Inputs!$B$15*Mkt!AY108+(1-Inputs!$B$15)*MIN(Mkt!AY108,AX108*(1+Inputs!$B$18))),AX108)))</f>
        <v>1415.081465</v>
      </c>
      <c r="AZ108" s="11" t="n">
        <f aca="false">IF(AZ$1&lt;Units!$P107,0,IF(AND(Units!$K107=0,AZ$1=Units!$O107),Units!$R107,IF(AND(AZ$1&gt;=Units!$Q107,MOD(AZ$1-Units!$Q107,12)=0),IF(AND(Units!$L107=1,AZ$1=Units!$Q107),IF(Units!$J107&lt;&gt;"",Units!$J107,Mkt!AZ108),Inputs!$B$15*Mkt!AZ108+(1-Inputs!$B$15)*MIN(Mkt!AZ108,AY108*(1+Inputs!$B$18))),AY108)))</f>
        <v>1457.53390895</v>
      </c>
      <c r="BA108" s="11" t="n">
        <f aca="false">IF(BA$1&lt;Units!$P107,0,IF(AND(Units!$K107=0,BA$1=Units!$O107),Units!$R107,IF(AND(BA$1&gt;=Units!$Q107,MOD(BA$1-Units!$Q107,12)=0),IF(AND(Units!$L107=1,BA$1=Units!$Q107),IF(Units!$J107&lt;&gt;"",Units!$J107,Mkt!BA108),Inputs!$B$15*Mkt!BA108+(1-Inputs!$B$15)*MIN(Mkt!BA108,AZ108*(1+Inputs!$B$18))),AZ108)))</f>
        <v>1457.53390895</v>
      </c>
      <c r="BB108" s="11" t="n">
        <f aca="false">IF(BB$1&lt;Units!$P107,0,IF(AND(Units!$K107=0,BB$1=Units!$O107),Units!$R107,IF(AND(BB$1&gt;=Units!$Q107,MOD(BB$1-Units!$Q107,12)=0),IF(AND(Units!$L107=1,BB$1=Units!$Q107),IF(Units!$J107&lt;&gt;"",Units!$J107,Mkt!BB108),Inputs!$B$15*Mkt!BB108+(1-Inputs!$B$15)*MIN(Mkt!BB108,BA108*(1+Inputs!$B$18))),BA108)))</f>
        <v>1457.53390895</v>
      </c>
      <c r="BC108" s="11" t="n">
        <f aca="false">IF(BC$1&lt;Units!$P107,0,IF(AND(Units!$K107=0,BC$1=Units!$O107),Units!$R107,IF(AND(BC$1&gt;=Units!$Q107,MOD(BC$1-Units!$Q107,12)=0),IF(AND(Units!$L107=1,BC$1=Units!$Q107),IF(Units!$J107&lt;&gt;"",Units!$J107,Mkt!BC108),Inputs!$B$15*Mkt!BC108+(1-Inputs!$B$15)*MIN(Mkt!BC108,BB108*(1+Inputs!$B$18))),BB108)))</f>
        <v>1457.53390895</v>
      </c>
      <c r="BD108" s="11" t="n">
        <f aca="false">IF(BD$1&lt;Units!$P107,0,IF(AND(Units!$K107=0,BD$1=Units!$O107),Units!$R107,IF(AND(BD$1&gt;=Units!$Q107,MOD(BD$1-Units!$Q107,12)=0),IF(AND(Units!$L107=1,BD$1=Units!$Q107),IF(Units!$J107&lt;&gt;"",Units!$J107,Mkt!BD108),Inputs!$B$15*Mkt!BD108+(1-Inputs!$B$15)*MIN(Mkt!BD108,BC108*(1+Inputs!$B$18))),BC108)))</f>
        <v>1457.53390895</v>
      </c>
      <c r="BE108" s="11" t="n">
        <f aca="false">IF(BE$1&lt;Units!$P107,0,IF(AND(Units!$K107=0,BE$1=Units!$O107),Units!$R107,IF(AND(BE$1&gt;=Units!$Q107,MOD(BE$1-Units!$Q107,12)=0),IF(AND(Units!$L107=1,BE$1=Units!$Q107),IF(Units!$J107&lt;&gt;"",Units!$J107,Mkt!BE108),Inputs!$B$15*Mkt!BE108+(1-Inputs!$B$15)*MIN(Mkt!BE108,BD108*(1+Inputs!$B$18))),BD108)))</f>
        <v>1457.53390895</v>
      </c>
      <c r="BF108" s="11" t="n">
        <f aca="false">IF(BF$1&lt;Units!$P107,0,IF(AND(Units!$K107=0,BF$1=Units!$O107),Units!$R107,IF(AND(BF$1&gt;=Units!$Q107,MOD(BF$1-Units!$Q107,12)=0),IF(AND(Units!$L107=1,BF$1=Units!$Q107),IF(Units!$J107&lt;&gt;"",Units!$J107,Mkt!BF108),Inputs!$B$15*Mkt!BF108+(1-Inputs!$B$15)*MIN(Mkt!BF108,BE108*(1+Inputs!$B$18))),BE108)))</f>
        <v>1457.53390895</v>
      </c>
      <c r="BG108" s="11" t="n">
        <f aca="false">IF(BG$1&lt;Units!$P107,0,IF(AND(Units!$K107=0,BG$1=Units!$O107),Units!$R107,IF(AND(BG$1&gt;=Units!$Q107,MOD(BG$1-Units!$Q107,12)=0),IF(AND(Units!$L107=1,BG$1=Units!$Q107),IF(Units!$J107&lt;&gt;"",Units!$J107,Mkt!BG108),Inputs!$B$15*Mkt!BG108+(1-Inputs!$B$15)*MIN(Mkt!BG108,BF108*(1+Inputs!$B$18))),BF108)))</f>
        <v>1457.53390895</v>
      </c>
      <c r="BH108" s="11" t="n">
        <f aca="false">IF(BH$1&lt;Units!$P107,0,IF(AND(Units!$K107=0,BH$1=Units!$O107),Units!$R107,IF(AND(BH$1&gt;=Units!$Q107,MOD(BH$1-Units!$Q107,12)=0),IF(AND(Units!$L107=1,BH$1=Units!$Q107),IF(Units!$J107&lt;&gt;"",Units!$J107,Mkt!BH108),Inputs!$B$15*Mkt!BH108+(1-Inputs!$B$15)*MIN(Mkt!BH108,BG108*(1+Inputs!$B$18))),BG108)))</f>
        <v>1457.53390895</v>
      </c>
      <c r="BI108" s="11" t="n">
        <f aca="false">IF(BI$1&lt;Units!$P107,0,IF(AND(Units!$K107=0,BI$1=Units!$O107),Units!$R107,IF(AND(BI$1&gt;=Units!$Q107,MOD(BI$1-Units!$Q107,12)=0),IF(AND(Units!$L107=1,BI$1=Units!$Q107),IF(Units!$J107&lt;&gt;"",Units!$J107,Mkt!BI108),Inputs!$B$15*Mkt!BI108+(1-Inputs!$B$15)*MIN(Mkt!BI108,BH108*(1+Inputs!$B$18))),BH108)))</f>
        <v>1457.53390895</v>
      </c>
      <c r="BJ108" s="11" t="n">
        <f aca="false">IF(BJ$1&lt;Units!$P107,0,IF(AND(Units!$K107=0,BJ$1=Units!$O107),Units!$R107,IF(AND(BJ$1&gt;=Units!$Q107,MOD(BJ$1-Units!$Q107,12)=0),IF(AND(Units!$L107=1,BJ$1=Units!$Q107),IF(Units!$J107&lt;&gt;"",Units!$J107,Mkt!BJ108),Inputs!$B$15*Mkt!BJ108+(1-Inputs!$B$15)*MIN(Mkt!BJ108,BI108*(1+Inputs!$B$18))),BI108)))</f>
        <v>1457.53390895</v>
      </c>
      <c r="BK108" s="11" t="n">
        <f aca="false">IF(BK$1&lt;Units!$P107,0,IF(AND(Units!$K107=0,BK$1=Units!$O107),Units!$R107,IF(AND(BK$1&gt;=Units!$Q107,MOD(BK$1-Units!$Q107,12)=0),IF(AND(Units!$L107=1,BK$1=Units!$Q107),IF(Units!$J107&lt;&gt;"",Units!$J107,Mkt!BK108),Inputs!$B$15*Mkt!BK108+(1-Inputs!$B$15)*MIN(Mkt!BK108,BJ108*(1+Inputs!$B$18))),BJ108)))</f>
        <v>1457.53390895</v>
      </c>
      <c r="BL108" s="11" t="n">
        <f aca="false">IF(BL$1&lt;Units!$P107,0,IF(AND(Units!$K107=0,BL$1=Units!$O107),Units!$R107,IF(AND(BL$1&gt;=Units!$Q107,MOD(BL$1-Units!$Q107,12)=0),IF(AND(Units!$L107=1,BL$1=Units!$Q107),IF(Units!$J107&lt;&gt;"",Units!$J107,Mkt!BL108),Inputs!$B$15*Mkt!BL108+(1-Inputs!$B$15)*MIN(Mkt!BL108,BK108*(1+Inputs!$B$18))),BK108)))</f>
        <v>1501.2599262185</v>
      </c>
      <c r="BM108" s="11" t="n">
        <f aca="false">IF(BM$1&lt;Units!$P107,0,IF(AND(Units!$K107=0,BM$1=Units!$O107),Units!$R107,IF(AND(BM$1&gt;=Units!$Q107,MOD(BM$1-Units!$Q107,12)=0),IF(AND(Units!$L107=1,BM$1=Units!$Q107),IF(Units!$J107&lt;&gt;"",Units!$J107,Mkt!BM108),Inputs!$B$15*Mkt!BM108+(1-Inputs!$B$15)*MIN(Mkt!BM108,BL108*(1+Inputs!$B$18))),BL108)))</f>
        <v>1501.2599262185</v>
      </c>
      <c r="BN108" s="11" t="n">
        <f aca="false">IF(BN$1&lt;Units!$P107,0,IF(AND(Units!$K107=0,BN$1=Units!$O107),Units!$R107,IF(AND(BN$1&gt;=Units!$Q107,MOD(BN$1-Units!$Q107,12)=0),IF(AND(Units!$L107=1,BN$1=Units!$Q107),IF(Units!$J107&lt;&gt;"",Units!$J107,Mkt!BN108),Inputs!$B$15*Mkt!BN108+(1-Inputs!$B$15)*MIN(Mkt!BN108,BM108*(1+Inputs!$B$18))),BM108)))</f>
        <v>1501.2599262185</v>
      </c>
      <c r="BO108" s="11" t="n">
        <f aca="false">IF(BO$1&lt;Units!$P107,0,IF(AND(Units!$K107=0,BO$1=Units!$O107),Units!$R107,IF(AND(BO$1&gt;=Units!$Q107,MOD(BO$1-Units!$Q107,12)=0),IF(AND(Units!$L107=1,BO$1=Units!$Q107),IF(Units!$J107&lt;&gt;"",Units!$J107,Mkt!BO108),Inputs!$B$15*Mkt!BO108+(1-Inputs!$B$15)*MIN(Mkt!BO108,BN108*(1+Inputs!$B$18))),BN108)))</f>
        <v>1501.2599262185</v>
      </c>
      <c r="BP108" s="11" t="n">
        <f aca="false">IF(BP$1&lt;Units!$P107,0,IF(AND(Units!$K107=0,BP$1=Units!$O107),Units!$R107,IF(AND(BP$1&gt;=Units!$Q107,MOD(BP$1-Units!$Q107,12)=0),IF(AND(Units!$L107=1,BP$1=Units!$Q107),IF(Units!$J107&lt;&gt;"",Units!$J107,Mkt!BP108),Inputs!$B$15*Mkt!BP108+(1-Inputs!$B$15)*MIN(Mkt!BP108,BO108*(1+Inputs!$B$18))),BO108)))</f>
        <v>1501.2599262185</v>
      </c>
      <c r="BQ108" s="11" t="n">
        <f aca="false">IF(BQ$1&lt;Units!$P107,0,IF(AND(Units!$K107=0,BQ$1=Units!$O107),Units!$R107,IF(AND(BQ$1&gt;=Units!$Q107,MOD(BQ$1-Units!$Q107,12)=0),IF(AND(Units!$L107=1,BQ$1=Units!$Q107),IF(Units!$J107&lt;&gt;"",Units!$J107,Mkt!BQ108),Inputs!$B$15*Mkt!BQ108+(1-Inputs!$B$15)*MIN(Mkt!BQ108,BP108*(1+Inputs!$B$18))),BP108)))</f>
        <v>1501.2599262185</v>
      </c>
      <c r="BR108" s="11" t="n">
        <f aca="false">IF(BR$1&lt;Units!$P107,0,IF(AND(Units!$K107=0,BR$1=Units!$O107),Units!$R107,IF(AND(BR$1&gt;=Units!$Q107,MOD(BR$1-Units!$Q107,12)=0),IF(AND(Units!$L107=1,BR$1=Units!$Q107),IF(Units!$J107&lt;&gt;"",Units!$J107,Mkt!BR108),Inputs!$B$15*Mkt!BR108+(1-Inputs!$B$15)*MIN(Mkt!BR108,BQ108*(1+Inputs!$B$18))),BQ108)))</f>
        <v>1501.2599262185</v>
      </c>
      <c r="BS108" s="11" t="n">
        <f aca="false">IF(BS$1&lt;Units!$P107,0,IF(AND(Units!$K107=0,BS$1=Units!$O107),Units!$R107,IF(AND(BS$1&gt;=Units!$Q107,MOD(BS$1-Units!$Q107,12)=0),IF(AND(Units!$L107=1,BS$1=Units!$Q107),IF(Units!$J107&lt;&gt;"",Units!$J107,Mkt!BS108),Inputs!$B$15*Mkt!BS108+(1-Inputs!$B$15)*MIN(Mkt!BS108,BR108*(1+Inputs!$B$18))),BR108)))</f>
        <v>1501.2599262185</v>
      </c>
      <c r="BT108" s="11" t="n">
        <f aca="false">IF(BT$1&lt;Units!$P107,0,IF(AND(Units!$K107=0,BT$1=Units!$O107),Units!$R107,IF(AND(BT$1&gt;=Units!$Q107,MOD(BT$1-Units!$Q107,12)=0),IF(AND(Units!$L107=1,BT$1=Units!$Q107),IF(Units!$J107&lt;&gt;"",Units!$J107,Mkt!BT108),Inputs!$B$15*Mkt!BT108+(1-Inputs!$B$15)*MIN(Mkt!BT108,BS108*(1+Inputs!$B$18))),BS108)))</f>
        <v>1501.2599262185</v>
      </c>
      <c r="BU108" s="11" t="n">
        <f aca="false">IF(BU$1&lt;Units!$P107,0,IF(AND(Units!$K107=0,BU$1=Units!$O107),Units!$R107,IF(AND(BU$1&gt;=Units!$Q107,MOD(BU$1-Units!$Q107,12)=0),IF(AND(Units!$L107=1,BU$1=Units!$Q107),IF(Units!$J107&lt;&gt;"",Units!$J107,Mkt!BU108),Inputs!$B$15*Mkt!BU108+(1-Inputs!$B$15)*MIN(Mkt!BU108,BT108*(1+Inputs!$B$18))),BT108)))</f>
        <v>1501.2599262185</v>
      </c>
      <c r="BV108" s="11" t="n">
        <f aca="false">IF(BV$1&lt;Units!$P107,0,IF(AND(Units!$K107=0,BV$1=Units!$O107),Units!$R107,IF(AND(BV$1&gt;=Units!$Q107,MOD(BV$1-Units!$Q107,12)=0),IF(AND(Units!$L107=1,BV$1=Units!$Q107),IF(Units!$J107&lt;&gt;"",Units!$J107,Mkt!BV108),Inputs!$B$15*Mkt!BV108+(1-Inputs!$B$15)*MIN(Mkt!BV108,BU108*(1+Inputs!$B$18))),BU108)))</f>
        <v>1501.2599262185</v>
      </c>
      <c r="BW108" s="11" t="n">
        <f aca="false">IF(BW$1&lt;Units!$P107,0,IF(AND(Units!$K107=0,BW$1=Units!$O107),Units!$R107,IF(AND(BW$1&gt;=Units!$Q107,MOD(BW$1-Units!$Q107,12)=0),IF(AND(Units!$L107=1,BW$1=Units!$Q107),IF(Units!$J107&lt;&gt;"",Units!$J107,Mkt!BW108),Inputs!$B$15*Mkt!BW108+(1-Inputs!$B$15)*MIN(Mkt!BW108,BV108*(1+Inputs!$B$18))),BV108)))</f>
        <v>1501.2599262185</v>
      </c>
      <c r="BX108" s="11" t="n">
        <f aca="false">IF(BX$1&lt;Units!$P107,0,IF(AND(Units!$K107=0,BX$1=Units!$O107),Units!$R107,IF(AND(BX$1&gt;=Units!$Q107,MOD(BX$1-Units!$Q107,12)=0),IF(AND(Units!$L107=1,BX$1=Units!$Q107),IF(Units!$J107&lt;&gt;"",Units!$J107,Mkt!BX108),Inputs!$B$15*Mkt!BX108+(1-Inputs!$B$15)*MIN(Mkt!BX108,BW108*(1+Inputs!$B$18))),BW108)))</f>
        <v>1546.29772400506</v>
      </c>
      <c r="BY108" s="11" t="n">
        <f aca="false">IF(BY$1&lt;Units!$P107,0,IF(AND(Units!$K107=0,BY$1=Units!$O107),Units!$R107,IF(AND(BY$1&gt;=Units!$Q107,MOD(BY$1-Units!$Q107,12)=0),IF(AND(Units!$L107=1,BY$1=Units!$Q107),IF(Units!$J107&lt;&gt;"",Units!$J107,Mkt!BY108),Inputs!$B$15*Mkt!BY108+(1-Inputs!$B$15)*MIN(Mkt!BY108,BX108*(1+Inputs!$B$18))),BX108)))</f>
        <v>1546.29772400506</v>
      </c>
      <c r="BZ108" s="11" t="n">
        <f aca="false">IF(BZ$1&lt;Units!$P107,0,IF(AND(Units!$K107=0,BZ$1=Units!$O107),Units!$R107,IF(AND(BZ$1&gt;=Units!$Q107,MOD(BZ$1-Units!$Q107,12)=0),IF(AND(Units!$L107=1,BZ$1=Units!$Q107),IF(Units!$J107&lt;&gt;"",Units!$J107,Mkt!BZ108),Inputs!$B$15*Mkt!BZ108+(1-Inputs!$B$15)*MIN(Mkt!BZ108,BY108*(1+Inputs!$B$18))),BY108)))</f>
        <v>1546.29772400506</v>
      </c>
      <c r="CA108" s="11" t="n">
        <f aca="false">IF(CA$1&lt;Units!$P107,0,IF(AND(Units!$K107=0,CA$1=Units!$O107),Units!$R107,IF(AND(CA$1&gt;=Units!$Q107,MOD(CA$1-Units!$Q107,12)=0),IF(AND(Units!$L107=1,CA$1=Units!$Q107),IF(Units!$J107&lt;&gt;"",Units!$J107,Mkt!CA108),Inputs!$B$15*Mkt!CA108+(1-Inputs!$B$15)*MIN(Mkt!CA108,BZ108*(1+Inputs!$B$18))),BZ108)))</f>
        <v>1546.29772400506</v>
      </c>
      <c r="CB108" s="11" t="n">
        <f aca="false">IF(CB$1&lt;Units!$P107,0,IF(AND(Units!$K107=0,CB$1=Units!$O107),Units!$R107,IF(AND(CB$1&gt;=Units!$Q107,MOD(CB$1-Units!$Q107,12)=0),IF(AND(Units!$L107=1,CB$1=Units!$Q107),IF(Units!$J107&lt;&gt;"",Units!$J107,Mkt!CB108),Inputs!$B$15*Mkt!CB108+(1-Inputs!$B$15)*MIN(Mkt!CB108,CA108*(1+Inputs!$B$18))),CA108)))</f>
        <v>1546.29772400506</v>
      </c>
      <c r="CC108" s="11" t="n">
        <f aca="false">IF(CC$1&lt;Units!$P107,0,IF(AND(Units!$K107=0,CC$1=Units!$O107),Units!$R107,IF(AND(CC$1&gt;=Units!$Q107,MOD(CC$1-Units!$Q107,12)=0),IF(AND(Units!$L107=1,CC$1=Units!$Q107),IF(Units!$J107&lt;&gt;"",Units!$J107,Mkt!CC108),Inputs!$B$15*Mkt!CC108+(1-Inputs!$B$15)*MIN(Mkt!CC108,CB108*(1+Inputs!$B$18))),CB108)))</f>
        <v>1546.29772400506</v>
      </c>
      <c r="CD108" s="11" t="n">
        <f aca="false">IF(CD$1&lt;Units!$P107,0,IF(AND(Units!$K107=0,CD$1=Units!$O107),Units!$R107,IF(AND(CD$1&gt;=Units!$Q107,MOD(CD$1-Units!$Q107,12)=0),IF(AND(Units!$L107=1,CD$1=Units!$Q107),IF(Units!$J107&lt;&gt;"",Units!$J107,Mkt!CD108),Inputs!$B$15*Mkt!CD108+(1-Inputs!$B$15)*MIN(Mkt!CD108,CC108*(1+Inputs!$B$18))),CC108)))</f>
        <v>1546.29772400506</v>
      </c>
      <c r="CE108" s="11" t="n">
        <f aca="false">IF(CE$1&lt;Units!$P107,0,IF(AND(Units!$K107=0,CE$1=Units!$O107),Units!$R107,IF(AND(CE$1&gt;=Units!$Q107,MOD(CE$1-Units!$Q107,12)=0),IF(AND(Units!$L107=1,CE$1=Units!$Q107),IF(Units!$J107&lt;&gt;"",Units!$J107,Mkt!CE108),Inputs!$B$15*Mkt!CE108+(1-Inputs!$B$15)*MIN(Mkt!CE108,CD108*(1+Inputs!$B$18))),CD108)))</f>
        <v>1546.29772400506</v>
      </c>
      <c r="CF108" s="11" t="n">
        <f aca="false">IF(CF$1&lt;Units!$P107,0,IF(AND(Units!$K107=0,CF$1=Units!$O107),Units!$R107,IF(AND(CF$1&gt;=Units!$Q107,MOD(CF$1-Units!$Q107,12)=0),IF(AND(Units!$L107=1,CF$1=Units!$Q107),IF(Units!$J107&lt;&gt;"",Units!$J107,Mkt!CF108),Inputs!$B$15*Mkt!CF108+(1-Inputs!$B$15)*MIN(Mkt!CF108,CE108*(1+Inputs!$B$18))),CE108)))</f>
        <v>1546.29772400506</v>
      </c>
      <c r="CG108" s="11" t="n">
        <f aca="false">IF(CG$1&lt;Units!$P107,0,IF(AND(Units!$K107=0,CG$1=Units!$O107),Units!$R107,IF(AND(CG$1&gt;=Units!$Q107,MOD(CG$1-Units!$Q107,12)=0),IF(AND(Units!$L107=1,CG$1=Units!$Q107),IF(Units!$J107&lt;&gt;"",Units!$J107,Mkt!CG108),Inputs!$B$15*Mkt!CG108+(1-Inputs!$B$15)*MIN(Mkt!CG108,CF108*(1+Inputs!$B$18))),CF108)))</f>
        <v>1546.29772400506</v>
      </c>
      <c r="CH108" s="11" t="n">
        <f aca="false">IF(CH$1&lt;Units!$P107,0,IF(AND(Units!$K107=0,CH$1=Units!$O107),Units!$R107,IF(AND(CH$1&gt;=Units!$Q107,MOD(CH$1-Units!$Q107,12)=0),IF(AND(Units!$L107=1,CH$1=Units!$Q107),IF(Units!$J107&lt;&gt;"",Units!$J107,Mkt!CH108),Inputs!$B$15*Mkt!CH108+(1-Inputs!$B$15)*MIN(Mkt!CH108,CG108*(1+Inputs!$B$18))),CG108)))</f>
        <v>1546.29772400506</v>
      </c>
      <c r="CI108" s="11" t="n">
        <f aca="false">IF(CI$1&lt;Units!$P107,0,IF(AND(Units!$K107=0,CI$1=Units!$O107),Units!$R107,IF(AND(CI$1&gt;=Units!$Q107,MOD(CI$1-Units!$Q107,12)=0),IF(AND(Units!$L107=1,CI$1=Units!$Q107),IF(Units!$J107&lt;&gt;"",Units!$J107,Mkt!CI108),Inputs!$B$15*Mkt!CI108+(1-Inputs!$B$15)*MIN(Mkt!CI108,CH108*(1+Inputs!$B$18))),CH108)))</f>
        <v>1546.29772400506</v>
      </c>
      <c r="CJ108" s="11" t="n">
        <f aca="false">IF(CJ$1&lt;Units!$P107,0,IF(AND(Units!$K107=0,CJ$1=Units!$O107),Units!$R107,IF(AND(CJ$1&gt;=Units!$Q107,MOD(CJ$1-Units!$Q107,12)=0),IF(AND(Units!$L107=1,CJ$1=Units!$Q107),IF(Units!$J107&lt;&gt;"",Units!$J107,Mkt!CJ108),Inputs!$B$15*Mkt!CJ108+(1-Inputs!$B$15)*MIN(Mkt!CJ108,CI108*(1+Inputs!$B$18))),CI108)))</f>
        <v>1592.68665572521</v>
      </c>
      <c r="CK108" s="11" t="n">
        <f aca="false">IF(CK$1&lt;Units!$P107,0,IF(AND(Units!$K107=0,CK$1=Units!$O107),Units!$R107,IF(AND(CK$1&gt;=Units!$Q107,MOD(CK$1-Units!$Q107,12)=0),IF(AND(Units!$L107=1,CK$1=Units!$Q107),IF(Units!$J107&lt;&gt;"",Units!$J107,Mkt!CK108),Inputs!$B$15*Mkt!CK108+(1-Inputs!$B$15)*MIN(Mkt!CK108,CJ108*(1+Inputs!$B$18))),CJ108)))</f>
        <v>1592.68665572521</v>
      </c>
      <c r="CL108" s="11" t="n">
        <f aca="false">IF(CL$1&lt;Units!$P107,0,IF(AND(Units!$K107=0,CL$1=Units!$O107),Units!$R107,IF(AND(CL$1&gt;=Units!$Q107,MOD(CL$1-Units!$Q107,12)=0),IF(AND(Units!$L107=1,CL$1=Units!$Q107),IF(Units!$J107&lt;&gt;"",Units!$J107,Mkt!CL108),Inputs!$B$15*Mkt!CL108+(1-Inputs!$B$15)*MIN(Mkt!CL108,CK108*(1+Inputs!$B$18))),CK108)))</f>
        <v>1592.68665572521</v>
      </c>
      <c r="CM108" s="11" t="n">
        <f aca="false">IF(CM$1&lt;Units!$P107,0,IF(AND(Units!$K107=0,CM$1=Units!$O107),Units!$R107,IF(AND(CM$1&gt;=Units!$Q107,MOD(CM$1-Units!$Q107,12)=0),IF(AND(Units!$L107=1,CM$1=Units!$Q107),IF(Units!$J107&lt;&gt;"",Units!$J107,Mkt!CM108),Inputs!$B$15*Mkt!CM108+(1-Inputs!$B$15)*MIN(Mkt!CM108,CL108*(1+Inputs!$B$18))),CL108)))</f>
        <v>1592.68665572521</v>
      </c>
      <c r="CN108" s="11" t="n">
        <f aca="false">IF(CN$1&lt;Units!$P107,0,IF(AND(Units!$K107=0,CN$1=Units!$O107),Units!$R107,IF(AND(CN$1&gt;=Units!$Q107,MOD(CN$1-Units!$Q107,12)=0),IF(AND(Units!$L107=1,CN$1=Units!$Q107),IF(Units!$J107&lt;&gt;"",Units!$J107,Mkt!CN108),Inputs!$B$15*Mkt!CN108+(1-Inputs!$B$15)*MIN(Mkt!CN108,CM108*(1+Inputs!$B$18))),CM108)))</f>
        <v>1592.68665572521</v>
      </c>
      <c r="CO108" s="11" t="n">
        <f aca="false">IF(CO$1&lt;Units!$P107,0,IF(AND(Units!$K107=0,CO$1=Units!$O107),Units!$R107,IF(AND(CO$1&gt;=Units!$Q107,MOD(CO$1-Units!$Q107,12)=0),IF(AND(Units!$L107=1,CO$1=Units!$Q107),IF(Units!$J107&lt;&gt;"",Units!$J107,Mkt!CO108),Inputs!$B$15*Mkt!CO108+(1-Inputs!$B$15)*MIN(Mkt!CO108,CN108*(1+Inputs!$B$18))),CN108)))</f>
        <v>1592.68665572521</v>
      </c>
      <c r="CP108" s="11" t="n">
        <f aca="false">IF(CP$1&lt;Units!$P107,0,IF(AND(Units!$K107=0,CP$1=Units!$O107),Units!$R107,IF(AND(CP$1&gt;=Units!$Q107,MOD(CP$1-Units!$Q107,12)=0),IF(AND(Units!$L107=1,CP$1=Units!$Q107),IF(Units!$J107&lt;&gt;"",Units!$J107,Mkt!CP108),Inputs!$B$15*Mkt!CP108+(1-Inputs!$B$15)*MIN(Mkt!CP108,CO108*(1+Inputs!$B$18))),CO108)))</f>
        <v>1592.68665572521</v>
      </c>
      <c r="CQ108" s="11" t="n">
        <f aca="false">IF(CQ$1&lt;Units!$P107,0,IF(AND(Units!$K107=0,CQ$1=Units!$O107),Units!$R107,IF(AND(CQ$1&gt;=Units!$Q107,MOD(CQ$1-Units!$Q107,12)=0),IF(AND(Units!$L107=1,CQ$1=Units!$Q107),IF(Units!$J107&lt;&gt;"",Units!$J107,Mkt!CQ108),Inputs!$B$15*Mkt!CQ108+(1-Inputs!$B$15)*MIN(Mkt!CQ108,CP108*(1+Inputs!$B$18))),CP108)))</f>
        <v>1592.68665572521</v>
      </c>
      <c r="CR108" s="11" t="n">
        <f aca="false">IF(CR$1&lt;Units!$P107,0,IF(AND(Units!$K107=0,CR$1=Units!$O107),Units!$R107,IF(AND(CR$1&gt;=Units!$Q107,MOD(CR$1-Units!$Q107,12)=0),IF(AND(Units!$L107=1,CR$1=Units!$Q107),IF(Units!$J107&lt;&gt;"",Units!$J107,Mkt!CR108),Inputs!$B$15*Mkt!CR108+(1-Inputs!$B$15)*MIN(Mkt!CR108,CQ108*(1+Inputs!$B$18))),CQ108)))</f>
        <v>1592.68665572521</v>
      </c>
      <c r="CS108" s="11" t="n">
        <f aca="false">IF(CS$1&lt;Units!$P107,0,IF(AND(Units!$K107=0,CS$1=Units!$O107),Units!$R107,IF(AND(CS$1&gt;=Units!$Q107,MOD(CS$1-Units!$Q107,12)=0),IF(AND(Units!$L107=1,CS$1=Units!$Q107),IF(Units!$J107&lt;&gt;"",Units!$J107,Mkt!CS108),Inputs!$B$15*Mkt!CS108+(1-Inputs!$B$15)*MIN(Mkt!CS108,CR108*(1+Inputs!$B$18))),CR108)))</f>
        <v>1592.68665572521</v>
      </c>
      <c r="CT108" s="11" t="n">
        <f aca="false">IF(CT$1&lt;Units!$P107,0,IF(AND(Units!$K107=0,CT$1=Units!$O107),Units!$R107,IF(AND(CT$1&gt;=Units!$Q107,MOD(CT$1-Units!$Q107,12)=0),IF(AND(Units!$L107=1,CT$1=Units!$Q107),IF(Units!$J107&lt;&gt;"",Units!$J107,Mkt!CT108),Inputs!$B$15*Mkt!CT108+(1-Inputs!$B$15)*MIN(Mkt!CT108,CS108*(1+Inputs!$B$18))),CS108)))</f>
        <v>1592.68665572521</v>
      </c>
      <c r="CU108" s="11" t="n">
        <f aca="false">IF(CU$1&lt;Units!$P107,0,IF(AND(Units!$K107=0,CU$1=Units!$O107),Units!$R107,IF(AND(CU$1&gt;=Units!$Q107,MOD(CU$1-Units!$Q107,12)=0),IF(AND(Units!$L107=1,CU$1=Units!$Q107),IF(Units!$J107&lt;&gt;"",Units!$J107,Mkt!CU108),Inputs!$B$15*Mkt!CU108+(1-Inputs!$B$15)*MIN(Mkt!CU108,CT108*(1+Inputs!$B$18))),CT108)))</f>
        <v>1592.68665572521</v>
      </c>
      <c r="CV108" s="11" t="n">
        <f aca="false">IF(CV$1&lt;Units!$P107,0,IF(AND(Units!$K107=0,CV$1=Units!$O107),Units!$R107,IF(AND(CV$1&gt;=Units!$Q107,MOD(CV$1-Units!$Q107,12)=0),IF(AND(Units!$L107=1,CV$1=Units!$Q107),IF(Units!$J107&lt;&gt;"",Units!$J107,Mkt!CV108),Inputs!$B$15*Mkt!CV108+(1-Inputs!$B$15)*MIN(Mkt!CV108,CU108*(1+Inputs!$B$18))),CU108)))</f>
        <v>1640.46725539696</v>
      </c>
      <c r="CW108" s="11" t="n">
        <f aca="false">IF(CW$1&lt;Units!$P107,0,IF(AND(Units!$K107=0,CW$1=Units!$O107),Units!$R107,IF(AND(CW$1&gt;=Units!$Q107,MOD(CW$1-Units!$Q107,12)=0),IF(AND(Units!$L107=1,CW$1=Units!$Q107),IF(Units!$J107&lt;&gt;"",Units!$J107,Mkt!CW108),Inputs!$B$15*Mkt!CW108+(1-Inputs!$B$15)*MIN(Mkt!CW108,CV108*(1+Inputs!$B$18))),CV108)))</f>
        <v>1640.46725539696</v>
      </c>
      <c r="CX108" s="11" t="n">
        <f aca="false">IF(CX$1&lt;Units!$P107,0,IF(AND(Units!$K107=0,CX$1=Units!$O107),Units!$R107,IF(AND(CX$1&gt;=Units!$Q107,MOD(CX$1-Units!$Q107,12)=0),IF(AND(Units!$L107=1,CX$1=Units!$Q107),IF(Units!$J107&lt;&gt;"",Units!$J107,Mkt!CX108),Inputs!$B$15*Mkt!CX108+(1-Inputs!$B$15)*MIN(Mkt!CX108,CW108*(1+Inputs!$B$18))),CW108)))</f>
        <v>1640.46725539696</v>
      </c>
      <c r="CY108" s="11" t="n">
        <f aca="false">IF(CY$1&lt;Units!$P107,0,IF(AND(Units!$K107=0,CY$1=Units!$O107),Units!$R107,IF(AND(CY$1&gt;=Units!$Q107,MOD(CY$1-Units!$Q107,12)=0),IF(AND(Units!$L107=1,CY$1=Units!$Q107),IF(Units!$J107&lt;&gt;"",Units!$J107,Mkt!CY108),Inputs!$B$15*Mkt!CY108+(1-Inputs!$B$15)*MIN(Mkt!CY108,CX108*(1+Inputs!$B$18))),CX108)))</f>
        <v>1640.46725539696</v>
      </c>
      <c r="CZ108" s="11" t="n">
        <f aca="false">IF(CZ$1&lt;Units!$P107,0,IF(AND(Units!$K107=0,CZ$1=Units!$O107),Units!$R107,IF(AND(CZ$1&gt;=Units!$Q107,MOD(CZ$1-Units!$Q107,12)=0),IF(AND(Units!$L107=1,CZ$1=Units!$Q107),IF(Units!$J107&lt;&gt;"",Units!$J107,Mkt!CZ108),Inputs!$B$15*Mkt!CZ108+(1-Inputs!$B$15)*MIN(Mkt!CZ108,CY108*(1+Inputs!$B$18))),CY108)))</f>
        <v>1640.46725539696</v>
      </c>
      <c r="DA108" s="11" t="n">
        <f aca="false">IF(DA$1&lt;Units!$P107,0,IF(AND(Units!$K107=0,DA$1=Units!$O107),Units!$R107,IF(AND(DA$1&gt;=Units!$Q107,MOD(DA$1-Units!$Q107,12)=0),IF(AND(Units!$L107=1,DA$1=Units!$Q107),IF(Units!$J107&lt;&gt;"",Units!$J107,Mkt!DA108),Inputs!$B$15*Mkt!DA108+(1-Inputs!$B$15)*MIN(Mkt!DA108,CZ108*(1+Inputs!$B$18))),CZ108)))</f>
        <v>1640.46725539696</v>
      </c>
      <c r="DB108" s="11" t="n">
        <f aca="false">IF(DB$1&lt;Units!$P107,0,IF(AND(Units!$K107=0,DB$1=Units!$O107),Units!$R107,IF(AND(DB$1&gt;=Units!$Q107,MOD(DB$1-Units!$Q107,12)=0),IF(AND(Units!$L107=1,DB$1=Units!$Q107),IF(Units!$J107&lt;&gt;"",Units!$J107,Mkt!DB108),Inputs!$B$15*Mkt!DB108+(1-Inputs!$B$15)*MIN(Mkt!DB108,DA108*(1+Inputs!$B$18))),DA108)))</f>
        <v>1640.46725539696</v>
      </c>
      <c r="DC108" s="11" t="n">
        <f aca="false">IF(DC$1&lt;Units!$P107,0,IF(AND(Units!$K107=0,DC$1=Units!$O107),Units!$R107,IF(AND(DC$1&gt;=Units!$Q107,MOD(DC$1-Units!$Q107,12)=0),IF(AND(Units!$L107=1,DC$1=Units!$Q107),IF(Units!$J107&lt;&gt;"",Units!$J107,Mkt!DC108),Inputs!$B$15*Mkt!DC108+(1-Inputs!$B$15)*MIN(Mkt!DC108,DB108*(1+Inputs!$B$18))),DB108)))</f>
        <v>1640.46725539696</v>
      </c>
      <c r="DD108" s="11" t="n">
        <f aca="false">IF(DD$1&lt;Units!$P107,0,IF(AND(Units!$K107=0,DD$1=Units!$O107),Units!$R107,IF(AND(DD$1&gt;=Units!$Q107,MOD(DD$1-Units!$Q107,12)=0),IF(AND(Units!$L107=1,DD$1=Units!$Q107),IF(Units!$J107&lt;&gt;"",Units!$J107,Mkt!DD108),Inputs!$B$15*Mkt!DD108+(1-Inputs!$B$15)*MIN(Mkt!DD108,DC108*(1+Inputs!$B$18))),DC108)))</f>
        <v>1640.46725539696</v>
      </c>
      <c r="DE108" s="11" t="n">
        <f aca="false">IF(DE$1&lt;Units!$P107,0,IF(AND(Units!$K107=0,DE$1=Units!$O107),Units!$R107,IF(AND(DE$1&gt;=Units!$Q107,MOD(DE$1-Units!$Q107,12)=0),IF(AND(Units!$L107=1,DE$1=Units!$Q107),IF(Units!$J107&lt;&gt;"",Units!$J107,Mkt!DE108),Inputs!$B$15*Mkt!DE108+(1-Inputs!$B$15)*MIN(Mkt!DE108,DD108*(1+Inputs!$B$18))),DD108)))</f>
        <v>1640.46725539696</v>
      </c>
      <c r="DF108" s="11" t="n">
        <f aca="false">IF(DF$1&lt;Units!$P107,0,IF(AND(Units!$K107=0,DF$1=Units!$O107),Units!$R107,IF(AND(DF$1&gt;=Units!$Q107,MOD(DF$1-Units!$Q107,12)=0),IF(AND(Units!$L107=1,DF$1=Units!$Q107),IF(Units!$J107&lt;&gt;"",Units!$J107,Mkt!DF108),Inputs!$B$15*Mkt!DF108+(1-Inputs!$B$15)*MIN(Mkt!DF108,DE108*(1+Inputs!$B$18))),DE108)))</f>
        <v>1640.46725539696</v>
      </c>
      <c r="DG108" s="11" t="n">
        <f aca="false">IF(DG$1&lt;Units!$P107,0,IF(AND(Units!$K107=0,DG$1=Units!$O107),Units!$R107,IF(AND(DG$1&gt;=Units!$Q107,MOD(DG$1-Units!$Q107,12)=0),IF(AND(Units!$L107=1,DG$1=Units!$Q107),IF(Units!$J107&lt;&gt;"",Units!$J107,Mkt!DG108),Inputs!$B$15*Mkt!DG108+(1-Inputs!$B$15)*MIN(Mkt!DG108,DF108*(1+Inputs!$B$18))),DF108)))</f>
        <v>1640.46725539696</v>
      </c>
      <c r="DH108" s="11" t="n">
        <f aca="false">IF(DH$1&lt;Units!$P107,0,IF(AND(Units!$K107=0,DH$1=Units!$O107),Units!$R107,IF(AND(DH$1&gt;=Units!$Q107,MOD(DH$1-Units!$Q107,12)=0),IF(AND(Units!$L107=1,DH$1=Units!$Q107),IF(Units!$J107&lt;&gt;"",Units!$J107,Mkt!DH108),Inputs!$B$15*Mkt!DH108+(1-Inputs!$B$15)*MIN(Mkt!DH108,DG108*(1+Inputs!$B$18))),DG108)))</f>
        <v>1689.68127305887</v>
      </c>
      <c r="DI108" s="11" t="n">
        <f aca="false">IF(DI$1&lt;Units!$P107,0,IF(AND(Units!$K107=0,DI$1=Units!$O107),Units!$R107,IF(AND(DI$1&gt;=Units!$Q107,MOD(DI$1-Units!$Q107,12)=0),IF(AND(Units!$L107=1,DI$1=Units!$Q107),IF(Units!$J107&lt;&gt;"",Units!$J107,Mkt!DI108),Inputs!$B$15*Mkt!DI108+(1-Inputs!$B$15)*MIN(Mkt!DI108,DH108*(1+Inputs!$B$18))),DH108)))</f>
        <v>1689.68127305887</v>
      </c>
      <c r="DJ108" s="11" t="n">
        <f aca="false">IF(DJ$1&lt;Units!$P107,0,IF(AND(Units!$K107=0,DJ$1=Units!$O107),Units!$R107,IF(AND(DJ$1&gt;=Units!$Q107,MOD(DJ$1-Units!$Q107,12)=0),IF(AND(Units!$L107=1,DJ$1=Units!$Q107),IF(Units!$J107&lt;&gt;"",Units!$J107,Mkt!DJ108),Inputs!$B$15*Mkt!DJ108+(1-Inputs!$B$15)*MIN(Mkt!DJ108,DI108*(1+Inputs!$B$18))),DI108)))</f>
        <v>1689.68127305887</v>
      </c>
      <c r="DK108" s="11" t="n">
        <f aca="false">IF(DK$1&lt;Units!$P107,0,IF(AND(Units!$K107=0,DK$1=Units!$O107),Units!$R107,IF(AND(DK$1&gt;=Units!$Q107,MOD(DK$1-Units!$Q107,12)=0),IF(AND(Units!$L107=1,DK$1=Units!$Q107),IF(Units!$J107&lt;&gt;"",Units!$J107,Mkt!DK108),Inputs!$B$15*Mkt!DK108+(1-Inputs!$B$15)*MIN(Mkt!DK108,DJ108*(1+Inputs!$B$18))),DJ108)))</f>
        <v>1689.68127305887</v>
      </c>
      <c r="DL108" s="11" t="n">
        <f aca="false">IF(DL$1&lt;Units!$P107,0,IF(AND(Units!$K107=0,DL$1=Units!$O107),Units!$R107,IF(AND(DL$1&gt;=Units!$Q107,MOD(DL$1-Units!$Q107,12)=0),IF(AND(Units!$L107=1,DL$1=Units!$Q107),IF(Units!$J107&lt;&gt;"",Units!$J107,Mkt!DL108),Inputs!$B$15*Mkt!DL108+(1-Inputs!$B$15)*MIN(Mkt!DL108,DK108*(1+Inputs!$B$18))),DK108)))</f>
        <v>1689.68127305887</v>
      </c>
      <c r="DM108" s="11" t="n">
        <f aca="false">IF(DM$1&lt;Units!$P107,0,IF(AND(Units!$K107=0,DM$1=Units!$O107),Units!$R107,IF(AND(DM$1&gt;=Units!$Q107,MOD(DM$1-Units!$Q107,12)=0),IF(AND(Units!$L107=1,DM$1=Units!$Q107),IF(Units!$J107&lt;&gt;"",Units!$J107,Mkt!DM108),Inputs!$B$15*Mkt!DM108+(1-Inputs!$B$15)*MIN(Mkt!DM108,DL108*(1+Inputs!$B$18))),DL108)))</f>
        <v>1689.68127305887</v>
      </c>
      <c r="DN108" s="11" t="n">
        <f aca="false">IF(DN$1&lt;Units!$P107,0,IF(AND(Units!$K107=0,DN$1=Units!$O107),Units!$R107,IF(AND(DN$1&gt;=Units!$Q107,MOD(DN$1-Units!$Q107,12)=0),IF(AND(Units!$L107=1,DN$1=Units!$Q107),IF(Units!$J107&lt;&gt;"",Units!$J107,Mkt!DN108),Inputs!$B$15*Mkt!DN108+(1-Inputs!$B$15)*MIN(Mkt!DN108,DM108*(1+Inputs!$B$18))),DM108)))</f>
        <v>1689.68127305887</v>
      </c>
      <c r="DO108" s="11" t="n">
        <f aca="false">IF(DO$1&lt;Units!$P107,0,IF(AND(Units!$K107=0,DO$1=Units!$O107),Units!$R107,IF(AND(DO$1&gt;=Units!$Q107,MOD(DO$1-Units!$Q107,12)=0),IF(AND(Units!$L107=1,DO$1=Units!$Q107),IF(Units!$J107&lt;&gt;"",Units!$J107,Mkt!DO108),Inputs!$B$15*Mkt!DO108+(1-Inputs!$B$15)*MIN(Mkt!DO108,DN108*(1+Inputs!$B$18))),DN108)))</f>
        <v>1689.68127305887</v>
      </c>
      <c r="DP108" s="11" t="n">
        <f aca="false">IF(DP$1&lt;Units!$P107,0,IF(AND(Units!$K107=0,DP$1=Units!$O107),Units!$R107,IF(AND(DP$1&gt;=Units!$Q107,MOD(DP$1-Units!$Q107,12)=0),IF(AND(Units!$L107=1,DP$1=Units!$Q107),IF(Units!$J107&lt;&gt;"",Units!$J107,Mkt!DP108),Inputs!$B$15*Mkt!DP108+(1-Inputs!$B$15)*MIN(Mkt!DP108,DO108*(1+Inputs!$B$18))),DO108)))</f>
        <v>1689.68127305887</v>
      </c>
      <c r="DQ108" s="11" t="n">
        <f aca="false">IF(DQ$1&lt;Units!$P107,0,IF(AND(Units!$K107=0,DQ$1=Units!$O107),Units!$R107,IF(AND(DQ$1&gt;=Units!$Q107,MOD(DQ$1-Units!$Q107,12)=0),IF(AND(Units!$L107=1,DQ$1=Units!$Q107),IF(Units!$J107&lt;&gt;"",Units!$J107,Mkt!DQ108),Inputs!$B$15*Mkt!DQ108+(1-Inputs!$B$15)*MIN(Mkt!DQ108,DP108*(1+Inputs!$B$18))),DP108)))</f>
        <v>1689.68127305887</v>
      </c>
      <c r="DR108" s="11" t="n">
        <f aca="false">IF(DR$1&lt;Units!$P107,0,IF(AND(Units!$K107=0,DR$1=Units!$O107),Units!$R107,IF(AND(DR$1&gt;=Units!$Q107,MOD(DR$1-Units!$Q107,12)=0),IF(AND(Units!$L107=1,DR$1=Units!$Q107),IF(Units!$J107&lt;&gt;"",Units!$J107,Mkt!DR108),Inputs!$B$15*Mkt!DR108+(1-Inputs!$B$15)*MIN(Mkt!DR108,DQ108*(1+Inputs!$B$18))),DQ108)))</f>
        <v>1689.68127305887</v>
      </c>
      <c r="DS108" s="11" t="n">
        <f aca="false">IF(DS$1&lt;Units!$P107,0,IF(AND(Units!$K107=0,DS$1=Units!$O107),Units!$R107,IF(AND(DS$1&gt;=Units!$Q107,MOD(DS$1-Units!$Q107,12)=0),IF(AND(Units!$L107=1,DS$1=Units!$Q107),IF(Units!$J107&lt;&gt;"",Units!$J107,Mkt!DS108),Inputs!$B$15*Mkt!DS108+(1-Inputs!$B$15)*MIN(Mkt!DS108,DR108*(1+Inputs!$B$18))),DR108)))</f>
        <v>1689.68127305887</v>
      </c>
      <c r="DT108" s="11" t="n">
        <f aca="false">IF(DT$1&lt;Units!$P107,0,IF(AND(Units!$K107=0,DT$1=Units!$O107),Units!$R107,IF(AND(DT$1&gt;=Units!$Q107,MOD(DT$1-Units!$Q107,12)=0),IF(AND(Units!$L107=1,DT$1=Units!$Q107),IF(Units!$J107&lt;&gt;"",Units!$J107,Mkt!DT108),Inputs!$B$15*Mkt!DT108+(1-Inputs!$B$15)*MIN(Mkt!DT108,DS108*(1+Inputs!$B$18))),DS108)))</f>
        <v>1740.37171125064</v>
      </c>
      <c r="DU108" s="11" t="n">
        <f aca="false">IF(DU$1&lt;Units!$P107,0,IF(AND(Units!$K107=0,DU$1=Units!$O107),Units!$R107,IF(AND(DU$1&gt;=Units!$Q107,MOD(DU$1-Units!$Q107,12)=0),IF(AND(Units!$L107=1,DU$1=Units!$Q107),IF(Units!$J107&lt;&gt;"",Units!$J107,Mkt!DU108),Inputs!$B$15*Mkt!DU108+(1-Inputs!$B$15)*MIN(Mkt!DU108,DT108*(1+Inputs!$B$18))),DT108)))</f>
        <v>1740.37171125064</v>
      </c>
      <c r="DV108" s="11" t="n">
        <f aca="false">IF(DV$1&lt;Units!$P107,0,IF(AND(Units!$K107=0,DV$1=Units!$O107),Units!$R107,IF(AND(DV$1&gt;=Units!$Q107,MOD(DV$1-Units!$Q107,12)=0),IF(AND(Units!$L107=1,DV$1=Units!$Q107),IF(Units!$J107&lt;&gt;"",Units!$J107,Mkt!DV108),Inputs!$B$15*Mkt!DV108+(1-Inputs!$B$15)*MIN(Mkt!DV108,DU108*(1+Inputs!$B$18))),DU108)))</f>
        <v>1740.37171125064</v>
      </c>
      <c r="DW108" s="11" t="n">
        <f aca="false">IF(DW$1&lt;Units!$P107,0,IF(AND(Units!$K107=0,DW$1=Units!$O107),Units!$R107,IF(AND(DW$1&gt;=Units!$Q107,MOD(DW$1-Units!$Q107,12)=0),IF(AND(Units!$L107=1,DW$1=Units!$Q107),IF(Units!$J107&lt;&gt;"",Units!$J107,Mkt!DW108),Inputs!$B$15*Mkt!DW108+(1-Inputs!$B$15)*MIN(Mkt!DW108,DV108*(1+Inputs!$B$18))),DV108)))</f>
        <v>1740.37171125064</v>
      </c>
      <c r="DX108" s="11" t="n">
        <f aca="false">IF(DX$1&lt;Units!$P107,0,IF(AND(Units!$K107=0,DX$1=Units!$O107),Units!$R107,IF(AND(DX$1&gt;=Units!$Q107,MOD(DX$1-Units!$Q107,12)=0),IF(AND(Units!$L107=1,DX$1=Units!$Q107),IF(Units!$J107&lt;&gt;"",Units!$J107,Mkt!DX108),Inputs!$B$15*Mkt!DX108+(1-Inputs!$B$15)*MIN(Mkt!DX108,DW108*(1+Inputs!$B$18))),DW108)))</f>
        <v>1740.37171125064</v>
      </c>
      <c r="DY108" s="11" t="n">
        <f aca="false">IF(DY$1&lt;Units!$P107,0,IF(AND(Units!$K107=0,DY$1=Units!$O107),Units!$R107,IF(AND(DY$1&gt;=Units!$Q107,MOD(DY$1-Units!$Q107,12)=0),IF(AND(Units!$L107=1,DY$1=Units!$Q107),IF(Units!$J107&lt;&gt;"",Units!$J107,Mkt!DY108),Inputs!$B$15*Mkt!DY108+(1-Inputs!$B$15)*MIN(Mkt!DY108,DX108*(1+Inputs!$B$18))),DX108)))</f>
        <v>1740.37171125064</v>
      </c>
      <c r="DZ108" s="11" t="n">
        <f aca="false">IF(DZ$1&lt;Units!$P107,0,IF(AND(Units!$K107=0,DZ$1=Units!$O107),Units!$R107,IF(AND(DZ$1&gt;=Units!$Q107,MOD(DZ$1-Units!$Q107,12)=0),IF(AND(Units!$L107=1,DZ$1=Units!$Q107),IF(Units!$J107&lt;&gt;"",Units!$J107,Mkt!DZ108),Inputs!$B$15*Mkt!DZ108+(1-Inputs!$B$15)*MIN(Mkt!DZ108,DY108*(1+Inputs!$B$18))),DY108)))</f>
        <v>1740.37171125064</v>
      </c>
      <c r="EA108" s="11" t="n">
        <f aca="false">IF(EA$1&lt;Units!$P107,0,IF(AND(Units!$K107=0,EA$1=Units!$O107),Units!$R107,IF(AND(EA$1&gt;=Units!$Q107,MOD(EA$1-Units!$Q107,12)=0),IF(AND(Units!$L107=1,EA$1=Units!$Q107),IF(Units!$J107&lt;&gt;"",Units!$J107,Mkt!EA108),Inputs!$B$15*Mkt!EA108+(1-Inputs!$B$15)*MIN(Mkt!EA108,DZ108*(1+Inputs!$B$18))),DZ108)))</f>
        <v>1740.37171125064</v>
      </c>
      <c r="EB108" s="11" t="n">
        <f aca="false">IF(EB$1&lt;Units!$P107,0,IF(AND(Units!$K107=0,EB$1=Units!$O107),Units!$R107,IF(AND(EB$1&gt;=Units!$Q107,MOD(EB$1-Units!$Q107,12)=0),IF(AND(Units!$L107=1,EB$1=Units!$Q107),IF(Units!$J107&lt;&gt;"",Units!$J107,Mkt!EB108),Inputs!$B$15*Mkt!EB108+(1-Inputs!$B$15)*MIN(Mkt!EB108,EA108*(1+Inputs!$B$18))),EA108)))</f>
        <v>1740.37171125064</v>
      </c>
      <c r="EC108" s="11" t="n">
        <f aca="false">IF(EC$1&lt;Units!$P107,0,IF(AND(Units!$K107=0,EC$1=Units!$O107),Units!$R107,IF(AND(EC$1&gt;=Units!$Q107,MOD(EC$1-Units!$Q107,12)=0),IF(AND(Units!$L107=1,EC$1=Units!$Q107),IF(Units!$J107&lt;&gt;"",Units!$J107,Mkt!EC108),Inputs!$B$15*Mkt!EC108+(1-Inputs!$B$15)*MIN(Mkt!EC108,EB108*(1+Inputs!$B$18))),EB108)))</f>
        <v>1740.37171125064</v>
      </c>
      <c r="ED108" s="11" t="n">
        <f aca="false">IF(ED$1&lt;Units!$P107,0,IF(AND(Units!$K107=0,ED$1=Units!$O107),Units!$R107,IF(AND(ED$1&gt;=Units!$Q107,MOD(ED$1-Units!$Q107,12)=0),IF(AND(Units!$L107=1,ED$1=Units!$Q107),IF(Units!$J107&lt;&gt;"",Units!$J107,Mkt!ED108),Inputs!$B$15*Mkt!ED108+(1-Inputs!$B$15)*MIN(Mkt!ED108,EC108*(1+Inputs!$B$18))),EC108)))</f>
        <v>1740.37171125064</v>
      </c>
    </row>
    <row r="109" customFormat="false" ht="15" hidden="false" customHeight="false" outlineLevel="0" collapsed="false">
      <c r="A109" s="22" t="n">
        <f aca="false">Units!A108</f>
        <v>417</v>
      </c>
      <c r="B109" s="24" t="n">
        <f aca="false">IF(Units!K108=1,Units!F108,0)</f>
        <v>1325</v>
      </c>
      <c r="C109" s="11" t="n">
        <f aca="false">IF(C$1&lt;Units!$P108,0,IF(AND(Units!$K108=0,C$1=Units!$O108),Units!$R108,IF(AND(C$1&gt;=Units!$Q108,MOD(C$1-Units!$Q108,12)=0),IF(AND(Units!$L108=1,C$1=Units!$Q108),IF(Units!$J108&lt;&gt;"",Units!$J108,Mkt!C109),Inputs!$B$15*Mkt!C109+(1-Inputs!$B$15)*MIN(Mkt!C109,B109*(1+Inputs!$B$18))),B109)))</f>
        <v>1325</v>
      </c>
      <c r="D109" s="11" t="n">
        <f aca="false">IF(D$1&lt;Units!$P108,0,IF(AND(Units!$K108=0,D$1=Units!$O108),Units!$R108,IF(AND(D$1&gt;=Units!$Q108,MOD(D$1-Units!$Q108,12)=0),IF(AND(Units!$L108=1,D$1=Units!$Q108),IF(Units!$J108&lt;&gt;"",Units!$J108,Mkt!D109),Inputs!$B$15*Mkt!D109+(1-Inputs!$B$15)*MIN(Mkt!D109,C109*(1+Inputs!$B$18))),C109)))</f>
        <v>1325</v>
      </c>
      <c r="E109" s="11" t="n">
        <f aca="false">IF(E$1&lt;Units!$P108,0,IF(AND(Units!$K108=0,E$1=Units!$O108),Units!$R108,IF(AND(E$1&gt;=Units!$Q108,MOD(E$1-Units!$Q108,12)=0),IF(AND(Units!$L108=1,E$1=Units!$Q108),IF(Units!$J108&lt;&gt;"",Units!$J108,Mkt!E109),Inputs!$B$15*Mkt!E109+(1-Inputs!$B$15)*MIN(Mkt!E109,D109*(1+Inputs!$B$18))),D109)))</f>
        <v>1325</v>
      </c>
      <c r="F109" s="11" t="n">
        <f aca="false">IF(F$1&lt;Units!$P108,0,IF(AND(Units!$K108=0,F$1=Units!$O108),Units!$R108,IF(AND(F$1&gt;=Units!$Q108,MOD(F$1-Units!$Q108,12)=0),IF(AND(Units!$L108=1,F$1=Units!$Q108),IF(Units!$J108&lt;&gt;"",Units!$J108,Mkt!F109),Inputs!$B$15*Mkt!F109+(1-Inputs!$B$15)*MIN(Mkt!F109,E109*(1+Inputs!$B$18))),E109)))</f>
        <v>1325</v>
      </c>
      <c r="G109" s="11" t="n">
        <f aca="false">IF(G$1&lt;Units!$P108,0,IF(AND(Units!$K108=0,G$1=Units!$O108),Units!$R108,IF(AND(G$1&gt;=Units!$Q108,MOD(G$1-Units!$Q108,12)=0),IF(AND(Units!$L108=1,G$1=Units!$Q108),IF(Units!$J108&lt;&gt;"",Units!$J108,Mkt!G109),Inputs!$B$15*Mkt!G109+(1-Inputs!$B$15)*MIN(Mkt!G109,F109*(1+Inputs!$B$18))),F109)))</f>
        <v>1325</v>
      </c>
      <c r="H109" s="11" t="n">
        <f aca="false">IF(H$1&lt;Units!$P108,0,IF(AND(Units!$K108=0,H$1=Units!$O108),Units!$R108,IF(AND(H$1&gt;=Units!$Q108,MOD(H$1-Units!$Q108,12)=0),IF(AND(Units!$L108=1,H$1=Units!$Q108),IF(Units!$J108&lt;&gt;"",Units!$J108,Mkt!H109),Inputs!$B$15*Mkt!H109+(1-Inputs!$B$15)*MIN(Mkt!H109,G109*(1+Inputs!$B$18))),G109)))</f>
        <v>1325</v>
      </c>
      <c r="I109" s="11" t="n">
        <f aca="false">IF(I$1&lt;Units!$P108,0,IF(AND(Units!$K108=0,I$1=Units!$O108),Units!$R108,IF(AND(I$1&gt;=Units!$Q108,MOD(I$1-Units!$Q108,12)=0),IF(AND(Units!$L108=1,I$1=Units!$Q108),IF(Units!$J108&lt;&gt;"",Units!$J108,Mkt!I109),Inputs!$B$15*Mkt!I109+(1-Inputs!$B$15)*MIN(Mkt!I109,H109*(1+Inputs!$B$18))),H109)))</f>
        <v>1325</v>
      </c>
      <c r="J109" s="11" t="n">
        <f aca="false">IF(J$1&lt;Units!$P108,0,IF(AND(Units!$K108=0,J$1=Units!$O108),Units!$R108,IF(AND(J$1&gt;=Units!$Q108,MOD(J$1-Units!$Q108,12)=0),IF(AND(Units!$L108=1,J$1=Units!$Q108),IF(Units!$J108&lt;&gt;"",Units!$J108,Mkt!J109),Inputs!$B$15*Mkt!J109+(1-Inputs!$B$15)*MIN(Mkt!J109,I109*(1+Inputs!$B$18))),I109)))</f>
        <v>1325</v>
      </c>
      <c r="K109" s="11" t="n">
        <f aca="false">IF(K$1&lt;Units!$P108,0,IF(AND(Units!$K108=0,K$1=Units!$O108),Units!$R108,IF(AND(K$1&gt;=Units!$Q108,MOD(K$1-Units!$Q108,12)=0),IF(AND(Units!$L108=1,K$1=Units!$Q108),IF(Units!$J108&lt;&gt;"",Units!$J108,Mkt!K109),Inputs!$B$15*Mkt!K109+(1-Inputs!$B$15)*MIN(Mkt!K109,J109*(1+Inputs!$B$18))),J109)))</f>
        <v>1325</v>
      </c>
      <c r="L109" s="11" t="n">
        <f aca="false">IF(L$1&lt;Units!$P108,0,IF(AND(Units!$K108=0,L$1=Units!$O108),Units!$R108,IF(AND(L$1&gt;=Units!$Q108,MOD(L$1-Units!$Q108,12)=0),IF(AND(Units!$L108=1,L$1=Units!$Q108),IF(Units!$J108&lt;&gt;"",Units!$J108,Mkt!L109),Inputs!$B$15*Mkt!L109+(1-Inputs!$B$15)*MIN(Mkt!L109,K109*(1+Inputs!$B$18))),K109)))</f>
        <v>1325</v>
      </c>
      <c r="M109" s="11" t="n">
        <f aca="false">IF(M$1&lt;Units!$P108,0,IF(AND(Units!$K108=0,M$1=Units!$O108),Units!$R108,IF(AND(M$1&gt;=Units!$Q108,MOD(M$1-Units!$Q108,12)=0),IF(AND(Units!$L108=1,M$1=Units!$Q108),IF(Units!$J108&lt;&gt;"",Units!$J108,Mkt!M109),Inputs!$B$15*Mkt!M109+(1-Inputs!$B$15)*MIN(Mkt!M109,L109*(1+Inputs!$B$18))),L109)))</f>
        <v>1325</v>
      </c>
      <c r="N109" s="11" t="n">
        <f aca="false">IF(N$1&lt;Units!$P108,0,IF(AND(Units!$K108=0,N$1=Units!$O108),Units!$R108,IF(AND(N$1&gt;=Units!$Q108,MOD(N$1-Units!$Q108,12)=0),IF(AND(Units!$L108=1,N$1=Units!$Q108),IF(Units!$J108&lt;&gt;"",Units!$J108,Mkt!N109),Inputs!$B$15*Mkt!N109+(1-Inputs!$B$15)*MIN(Mkt!N109,M109*(1+Inputs!$B$18))),M109)))</f>
        <v>1295</v>
      </c>
      <c r="O109" s="11" t="n">
        <f aca="false">IF(O$1&lt;Units!$P108,0,IF(AND(Units!$K108=0,O$1=Units!$O108),Units!$R108,IF(AND(O$1&gt;=Units!$Q108,MOD(O$1-Units!$Q108,12)=0),IF(AND(Units!$L108=1,O$1=Units!$Q108),IF(Units!$J108&lt;&gt;"",Units!$J108,Mkt!O109),Inputs!$B$15*Mkt!O109+(1-Inputs!$B$15)*MIN(Mkt!O109,N109*(1+Inputs!$B$18))),N109)))</f>
        <v>1295</v>
      </c>
      <c r="P109" s="11" t="n">
        <f aca="false">IF(P$1&lt;Units!$P108,0,IF(AND(Units!$K108=0,P$1=Units!$O108),Units!$R108,IF(AND(P$1&gt;=Units!$Q108,MOD(P$1-Units!$Q108,12)=0),IF(AND(Units!$L108=1,P$1=Units!$Q108),IF(Units!$J108&lt;&gt;"",Units!$J108,Mkt!P109),Inputs!$B$15*Mkt!P109+(1-Inputs!$B$15)*MIN(Mkt!P109,O109*(1+Inputs!$B$18))),O109)))</f>
        <v>1295</v>
      </c>
      <c r="Q109" s="11" t="n">
        <f aca="false">IF(Q$1&lt;Units!$P108,0,IF(AND(Units!$K108=0,Q$1=Units!$O108),Units!$R108,IF(AND(Q$1&gt;=Units!$Q108,MOD(Q$1-Units!$Q108,12)=0),IF(AND(Units!$L108=1,Q$1=Units!$Q108),IF(Units!$J108&lt;&gt;"",Units!$J108,Mkt!Q109),Inputs!$B$15*Mkt!Q109+(1-Inputs!$B$15)*MIN(Mkt!Q109,P109*(1+Inputs!$B$18))),P109)))</f>
        <v>1295</v>
      </c>
      <c r="R109" s="11" t="n">
        <f aca="false">IF(R$1&lt;Units!$P108,0,IF(AND(Units!$K108=0,R$1=Units!$O108),Units!$R108,IF(AND(R$1&gt;=Units!$Q108,MOD(R$1-Units!$Q108,12)=0),IF(AND(Units!$L108=1,R$1=Units!$Q108),IF(Units!$J108&lt;&gt;"",Units!$J108,Mkt!R109),Inputs!$B$15*Mkt!R109+(1-Inputs!$B$15)*MIN(Mkt!R109,Q109*(1+Inputs!$B$18))),Q109)))</f>
        <v>1295</v>
      </c>
      <c r="S109" s="11" t="n">
        <f aca="false">IF(S$1&lt;Units!$P108,0,IF(AND(Units!$K108=0,S$1=Units!$O108),Units!$R108,IF(AND(S$1&gt;=Units!$Q108,MOD(S$1-Units!$Q108,12)=0),IF(AND(Units!$L108=1,S$1=Units!$Q108),IF(Units!$J108&lt;&gt;"",Units!$J108,Mkt!S109),Inputs!$B$15*Mkt!S109+(1-Inputs!$B$15)*MIN(Mkt!S109,R109*(1+Inputs!$B$18))),R109)))</f>
        <v>1295</v>
      </c>
      <c r="T109" s="11" t="n">
        <f aca="false">IF(T$1&lt;Units!$P108,0,IF(AND(Units!$K108=0,T$1=Units!$O108),Units!$R108,IF(AND(T$1&gt;=Units!$Q108,MOD(T$1-Units!$Q108,12)=0),IF(AND(Units!$L108=1,T$1=Units!$Q108),IF(Units!$J108&lt;&gt;"",Units!$J108,Mkt!T109),Inputs!$B$15*Mkt!T109+(1-Inputs!$B$15)*MIN(Mkt!T109,S109*(1+Inputs!$B$18))),S109)))</f>
        <v>1295</v>
      </c>
      <c r="U109" s="11" t="n">
        <f aca="false">IF(U$1&lt;Units!$P108,0,IF(AND(Units!$K108=0,U$1=Units!$O108),Units!$R108,IF(AND(U$1&gt;=Units!$Q108,MOD(U$1-Units!$Q108,12)=0),IF(AND(Units!$L108=1,U$1=Units!$Q108),IF(Units!$J108&lt;&gt;"",Units!$J108,Mkt!U109),Inputs!$B$15*Mkt!U109+(1-Inputs!$B$15)*MIN(Mkt!U109,T109*(1+Inputs!$B$18))),T109)))</f>
        <v>1295</v>
      </c>
      <c r="V109" s="11" t="n">
        <f aca="false">IF(V$1&lt;Units!$P108,0,IF(AND(Units!$K108=0,V$1=Units!$O108),Units!$R108,IF(AND(V$1&gt;=Units!$Q108,MOD(V$1-Units!$Q108,12)=0),IF(AND(Units!$L108=1,V$1=Units!$Q108),IF(Units!$J108&lt;&gt;"",Units!$J108,Mkt!V109),Inputs!$B$15*Mkt!V109+(1-Inputs!$B$15)*MIN(Mkt!V109,U109*(1+Inputs!$B$18))),U109)))</f>
        <v>1295</v>
      </c>
      <c r="W109" s="11" t="n">
        <f aca="false">IF(W$1&lt;Units!$P108,0,IF(AND(Units!$K108=0,W$1=Units!$O108),Units!$R108,IF(AND(W$1&gt;=Units!$Q108,MOD(W$1-Units!$Q108,12)=0),IF(AND(Units!$L108=1,W$1=Units!$Q108),IF(Units!$J108&lt;&gt;"",Units!$J108,Mkt!W109),Inputs!$B$15*Mkt!W109+(1-Inputs!$B$15)*MIN(Mkt!W109,V109*(1+Inputs!$B$18))),V109)))</f>
        <v>1295</v>
      </c>
      <c r="X109" s="11" t="n">
        <f aca="false">IF(X$1&lt;Units!$P108,0,IF(AND(Units!$K108=0,X$1=Units!$O108),Units!$R108,IF(AND(X$1&gt;=Units!$Q108,MOD(X$1-Units!$Q108,12)=0),IF(AND(Units!$L108=1,X$1=Units!$Q108),IF(Units!$J108&lt;&gt;"",Units!$J108,Mkt!X109),Inputs!$B$15*Mkt!X109+(1-Inputs!$B$15)*MIN(Mkt!X109,W109*(1+Inputs!$B$18))),W109)))</f>
        <v>1295</v>
      </c>
      <c r="Y109" s="11" t="n">
        <f aca="false">IF(Y$1&lt;Units!$P108,0,IF(AND(Units!$K108=0,Y$1=Units!$O108),Units!$R108,IF(AND(Y$1&gt;=Units!$Q108,MOD(Y$1-Units!$Q108,12)=0),IF(AND(Units!$L108=1,Y$1=Units!$Q108),IF(Units!$J108&lt;&gt;"",Units!$J108,Mkt!Y109),Inputs!$B$15*Mkt!Y109+(1-Inputs!$B$15)*MIN(Mkt!Y109,X109*(1+Inputs!$B$18))),X109)))</f>
        <v>1295</v>
      </c>
      <c r="Z109" s="11" t="n">
        <f aca="false">IF(Z$1&lt;Units!$P108,0,IF(AND(Units!$K108=0,Z$1=Units!$O108),Units!$R108,IF(AND(Z$1&gt;=Units!$Q108,MOD(Z$1-Units!$Q108,12)=0),IF(AND(Units!$L108=1,Z$1=Units!$Q108),IF(Units!$J108&lt;&gt;"",Units!$J108,Mkt!Z109),Inputs!$B$15*Mkt!Z109+(1-Inputs!$B$15)*MIN(Mkt!Z109,Y109*(1+Inputs!$B$18))),Y109)))</f>
        <v>1333.85</v>
      </c>
      <c r="AA109" s="11" t="n">
        <f aca="false">IF(AA$1&lt;Units!$P108,0,IF(AND(Units!$K108=0,AA$1=Units!$O108),Units!$R108,IF(AND(AA$1&gt;=Units!$Q108,MOD(AA$1-Units!$Q108,12)=0),IF(AND(Units!$L108=1,AA$1=Units!$Q108),IF(Units!$J108&lt;&gt;"",Units!$J108,Mkt!AA109),Inputs!$B$15*Mkt!AA109+(1-Inputs!$B$15)*MIN(Mkt!AA109,Z109*(1+Inputs!$B$18))),Z109)))</f>
        <v>1333.85</v>
      </c>
      <c r="AB109" s="11" t="n">
        <f aca="false">IF(AB$1&lt;Units!$P108,0,IF(AND(Units!$K108=0,AB$1=Units!$O108),Units!$R108,IF(AND(AB$1&gt;=Units!$Q108,MOD(AB$1-Units!$Q108,12)=0),IF(AND(Units!$L108=1,AB$1=Units!$Q108),IF(Units!$J108&lt;&gt;"",Units!$J108,Mkt!AB109),Inputs!$B$15*Mkt!AB109+(1-Inputs!$B$15)*MIN(Mkt!AB109,AA109*(1+Inputs!$B$18))),AA109)))</f>
        <v>1333.85</v>
      </c>
      <c r="AC109" s="11" t="n">
        <f aca="false">IF(AC$1&lt;Units!$P108,0,IF(AND(Units!$K108=0,AC$1=Units!$O108),Units!$R108,IF(AND(AC$1&gt;=Units!$Q108,MOD(AC$1-Units!$Q108,12)=0),IF(AND(Units!$L108=1,AC$1=Units!$Q108),IF(Units!$J108&lt;&gt;"",Units!$J108,Mkt!AC109),Inputs!$B$15*Mkt!AC109+(1-Inputs!$B$15)*MIN(Mkt!AC109,AB109*(1+Inputs!$B$18))),AB109)))</f>
        <v>1333.85</v>
      </c>
      <c r="AD109" s="11" t="n">
        <f aca="false">IF(AD$1&lt;Units!$P108,0,IF(AND(Units!$K108=0,AD$1=Units!$O108),Units!$R108,IF(AND(AD$1&gt;=Units!$Q108,MOD(AD$1-Units!$Q108,12)=0),IF(AND(Units!$L108=1,AD$1=Units!$Q108),IF(Units!$J108&lt;&gt;"",Units!$J108,Mkt!AD109),Inputs!$B$15*Mkt!AD109+(1-Inputs!$B$15)*MIN(Mkt!AD109,AC109*(1+Inputs!$B$18))),AC109)))</f>
        <v>1333.85</v>
      </c>
      <c r="AE109" s="11" t="n">
        <f aca="false">IF(AE$1&lt;Units!$P108,0,IF(AND(Units!$K108=0,AE$1=Units!$O108),Units!$R108,IF(AND(AE$1&gt;=Units!$Q108,MOD(AE$1-Units!$Q108,12)=0),IF(AND(Units!$L108=1,AE$1=Units!$Q108),IF(Units!$J108&lt;&gt;"",Units!$J108,Mkt!AE109),Inputs!$B$15*Mkt!AE109+(1-Inputs!$B$15)*MIN(Mkt!AE109,AD109*(1+Inputs!$B$18))),AD109)))</f>
        <v>1333.85</v>
      </c>
      <c r="AF109" s="11" t="n">
        <f aca="false">IF(AF$1&lt;Units!$P108,0,IF(AND(Units!$K108=0,AF$1=Units!$O108),Units!$R108,IF(AND(AF$1&gt;=Units!$Q108,MOD(AF$1-Units!$Q108,12)=0),IF(AND(Units!$L108=1,AF$1=Units!$Q108),IF(Units!$J108&lt;&gt;"",Units!$J108,Mkt!AF109),Inputs!$B$15*Mkt!AF109+(1-Inputs!$B$15)*MIN(Mkt!AF109,AE109*(1+Inputs!$B$18))),AE109)))</f>
        <v>1333.85</v>
      </c>
      <c r="AG109" s="11" t="n">
        <f aca="false">IF(AG$1&lt;Units!$P108,0,IF(AND(Units!$K108=0,AG$1=Units!$O108),Units!$R108,IF(AND(AG$1&gt;=Units!$Q108,MOD(AG$1-Units!$Q108,12)=0),IF(AND(Units!$L108=1,AG$1=Units!$Q108),IF(Units!$J108&lt;&gt;"",Units!$J108,Mkt!AG109),Inputs!$B$15*Mkt!AG109+(1-Inputs!$B$15)*MIN(Mkt!AG109,AF109*(1+Inputs!$B$18))),AF109)))</f>
        <v>1333.85</v>
      </c>
      <c r="AH109" s="11" t="n">
        <f aca="false">IF(AH$1&lt;Units!$P108,0,IF(AND(Units!$K108=0,AH$1=Units!$O108),Units!$R108,IF(AND(AH$1&gt;=Units!$Q108,MOD(AH$1-Units!$Q108,12)=0),IF(AND(Units!$L108=1,AH$1=Units!$Q108),IF(Units!$J108&lt;&gt;"",Units!$J108,Mkt!AH109),Inputs!$B$15*Mkt!AH109+(1-Inputs!$B$15)*MIN(Mkt!AH109,AG109*(1+Inputs!$B$18))),AG109)))</f>
        <v>1333.85</v>
      </c>
      <c r="AI109" s="11" t="n">
        <f aca="false">IF(AI$1&lt;Units!$P108,0,IF(AND(Units!$K108=0,AI$1=Units!$O108),Units!$R108,IF(AND(AI$1&gt;=Units!$Q108,MOD(AI$1-Units!$Q108,12)=0),IF(AND(Units!$L108=1,AI$1=Units!$Q108),IF(Units!$J108&lt;&gt;"",Units!$J108,Mkt!AI109),Inputs!$B$15*Mkt!AI109+(1-Inputs!$B$15)*MIN(Mkt!AI109,AH109*(1+Inputs!$B$18))),AH109)))</f>
        <v>1333.85</v>
      </c>
      <c r="AJ109" s="11" t="n">
        <f aca="false">IF(AJ$1&lt;Units!$P108,0,IF(AND(Units!$K108=0,AJ$1=Units!$O108),Units!$R108,IF(AND(AJ$1&gt;=Units!$Q108,MOD(AJ$1-Units!$Q108,12)=0),IF(AND(Units!$L108=1,AJ$1=Units!$Q108),IF(Units!$J108&lt;&gt;"",Units!$J108,Mkt!AJ109),Inputs!$B$15*Mkt!AJ109+(1-Inputs!$B$15)*MIN(Mkt!AJ109,AI109*(1+Inputs!$B$18))),AI109)))</f>
        <v>1333.85</v>
      </c>
      <c r="AK109" s="11" t="n">
        <f aca="false">IF(AK$1&lt;Units!$P108,0,IF(AND(Units!$K108=0,AK$1=Units!$O108),Units!$R108,IF(AND(AK$1&gt;=Units!$Q108,MOD(AK$1-Units!$Q108,12)=0),IF(AND(Units!$L108=1,AK$1=Units!$Q108),IF(Units!$J108&lt;&gt;"",Units!$J108,Mkt!AK109),Inputs!$B$15*Mkt!AK109+(1-Inputs!$B$15)*MIN(Mkt!AK109,AJ109*(1+Inputs!$B$18))),AJ109)))</f>
        <v>1333.85</v>
      </c>
      <c r="AL109" s="11" t="n">
        <f aca="false">IF(AL$1&lt;Units!$P108,0,IF(AND(Units!$K108=0,AL$1=Units!$O108),Units!$R108,IF(AND(AL$1&gt;=Units!$Q108,MOD(AL$1-Units!$Q108,12)=0),IF(AND(Units!$L108=1,AL$1=Units!$Q108),IF(Units!$J108&lt;&gt;"",Units!$J108,Mkt!AL109),Inputs!$B$15*Mkt!AL109+(1-Inputs!$B$15)*MIN(Mkt!AL109,AK109*(1+Inputs!$B$18))),AK109)))</f>
        <v>1373.8655</v>
      </c>
      <c r="AM109" s="11" t="n">
        <f aca="false">IF(AM$1&lt;Units!$P108,0,IF(AND(Units!$K108=0,AM$1=Units!$O108),Units!$R108,IF(AND(AM$1&gt;=Units!$Q108,MOD(AM$1-Units!$Q108,12)=0),IF(AND(Units!$L108=1,AM$1=Units!$Q108),IF(Units!$J108&lt;&gt;"",Units!$J108,Mkt!AM109),Inputs!$B$15*Mkt!AM109+(1-Inputs!$B$15)*MIN(Mkt!AM109,AL109*(1+Inputs!$B$18))),AL109)))</f>
        <v>1373.8655</v>
      </c>
      <c r="AN109" s="11" t="n">
        <f aca="false">IF(AN$1&lt;Units!$P108,0,IF(AND(Units!$K108=0,AN$1=Units!$O108),Units!$R108,IF(AND(AN$1&gt;=Units!$Q108,MOD(AN$1-Units!$Q108,12)=0),IF(AND(Units!$L108=1,AN$1=Units!$Q108),IF(Units!$J108&lt;&gt;"",Units!$J108,Mkt!AN109),Inputs!$B$15*Mkt!AN109+(1-Inputs!$B$15)*MIN(Mkt!AN109,AM109*(1+Inputs!$B$18))),AM109)))</f>
        <v>1373.8655</v>
      </c>
      <c r="AO109" s="11" t="n">
        <f aca="false">IF(AO$1&lt;Units!$P108,0,IF(AND(Units!$K108=0,AO$1=Units!$O108),Units!$R108,IF(AND(AO$1&gt;=Units!$Q108,MOD(AO$1-Units!$Q108,12)=0),IF(AND(Units!$L108=1,AO$1=Units!$Q108),IF(Units!$J108&lt;&gt;"",Units!$J108,Mkt!AO109),Inputs!$B$15*Mkt!AO109+(1-Inputs!$B$15)*MIN(Mkt!AO109,AN109*(1+Inputs!$B$18))),AN109)))</f>
        <v>1373.8655</v>
      </c>
      <c r="AP109" s="11" t="n">
        <f aca="false">IF(AP$1&lt;Units!$P108,0,IF(AND(Units!$K108=0,AP$1=Units!$O108),Units!$R108,IF(AND(AP$1&gt;=Units!$Q108,MOD(AP$1-Units!$Q108,12)=0),IF(AND(Units!$L108=1,AP$1=Units!$Q108),IF(Units!$J108&lt;&gt;"",Units!$J108,Mkt!AP109),Inputs!$B$15*Mkt!AP109+(1-Inputs!$B$15)*MIN(Mkt!AP109,AO109*(1+Inputs!$B$18))),AO109)))</f>
        <v>1373.8655</v>
      </c>
      <c r="AQ109" s="11" t="n">
        <f aca="false">IF(AQ$1&lt;Units!$P108,0,IF(AND(Units!$K108=0,AQ$1=Units!$O108),Units!$R108,IF(AND(AQ$1&gt;=Units!$Q108,MOD(AQ$1-Units!$Q108,12)=0),IF(AND(Units!$L108=1,AQ$1=Units!$Q108),IF(Units!$J108&lt;&gt;"",Units!$J108,Mkt!AQ109),Inputs!$B$15*Mkt!AQ109+(1-Inputs!$B$15)*MIN(Mkt!AQ109,AP109*(1+Inputs!$B$18))),AP109)))</f>
        <v>1373.8655</v>
      </c>
      <c r="AR109" s="11" t="n">
        <f aca="false">IF(AR$1&lt;Units!$P108,0,IF(AND(Units!$K108=0,AR$1=Units!$O108),Units!$R108,IF(AND(AR$1&gt;=Units!$Q108,MOD(AR$1-Units!$Q108,12)=0),IF(AND(Units!$L108=1,AR$1=Units!$Q108),IF(Units!$J108&lt;&gt;"",Units!$J108,Mkt!AR109),Inputs!$B$15*Mkt!AR109+(1-Inputs!$B$15)*MIN(Mkt!AR109,AQ109*(1+Inputs!$B$18))),AQ109)))</f>
        <v>1373.8655</v>
      </c>
      <c r="AS109" s="11" t="n">
        <f aca="false">IF(AS$1&lt;Units!$P108,0,IF(AND(Units!$K108=0,AS$1=Units!$O108),Units!$R108,IF(AND(AS$1&gt;=Units!$Q108,MOD(AS$1-Units!$Q108,12)=0),IF(AND(Units!$L108=1,AS$1=Units!$Q108),IF(Units!$J108&lt;&gt;"",Units!$J108,Mkt!AS109),Inputs!$B$15*Mkt!AS109+(1-Inputs!$B$15)*MIN(Mkt!AS109,AR109*(1+Inputs!$B$18))),AR109)))</f>
        <v>1373.8655</v>
      </c>
      <c r="AT109" s="11" t="n">
        <f aca="false">IF(AT$1&lt;Units!$P108,0,IF(AND(Units!$K108=0,AT$1=Units!$O108),Units!$R108,IF(AND(AT$1&gt;=Units!$Q108,MOD(AT$1-Units!$Q108,12)=0),IF(AND(Units!$L108=1,AT$1=Units!$Q108),IF(Units!$J108&lt;&gt;"",Units!$J108,Mkt!AT109),Inputs!$B$15*Mkt!AT109+(1-Inputs!$B$15)*MIN(Mkt!AT109,AS109*(1+Inputs!$B$18))),AS109)))</f>
        <v>1373.8655</v>
      </c>
      <c r="AU109" s="11" t="n">
        <f aca="false">IF(AU$1&lt;Units!$P108,0,IF(AND(Units!$K108=0,AU$1=Units!$O108),Units!$R108,IF(AND(AU$1&gt;=Units!$Q108,MOD(AU$1-Units!$Q108,12)=0),IF(AND(Units!$L108=1,AU$1=Units!$Q108),IF(Units!$J108&lt;&gt;"",Units!$J108,Mkt!AU109),Inputs!$B$15*Mkt!AU109+(1-Inputs!$B$15)*MIN(Mkt!AU109,AT109*(1+Inputs!$B$18))),AT109)))</f>
        <v>1373.8655</v>
      </c>
      <c r="AV109" s="11" t="n">
        <f aca="false">IF(AV$1&lt;Units!$P108,0,IF(AND(Units!$K108=0,AV$1=Units!$O108),Units!$R108,IF(AND(AV$1&gt;=Units!$Q108,MOD(AV$1-Units!$Q108,12)=0),IF(AND(Units!$L108=1,AV$1=Units!$Q108),IF(Units!$J108&lt;&gt;"",Units!$J108,Mkt!AV109),Inputs!$B$15*Mkt!AV109+(1-Inputs!$B$15)*MIN(Mkt!AV109,AU109*(1+Inputs!$B$18))),AU109)))</f>
        <v>1373.8655</v>
      </c>
      <c r="AW109" s="11" t="n">
        <f aca="false">IF(AW$1&lt;Units!$P108,0,IF(AND(Units!$K108=0,AW$1=Units!$O108),Units!$R108,IF(AND(AW$1&gt;=Units!$Q108,MOD(AW$1-Units!$Q108,12)=0),IF(AND(Units!$L108=1,AW$1=Units!$Q108),IF(Units!$J108&lt;&gt;"",Units!$J108,Mkt!AW109),Inputs!$B$15*Mkt!AW109+(1-Inputs!$B$15)*MIN(Mkt!AW109,AV109*(1+Inputs!$B$18))),AV109)))</f>
        <v>1373.8655</v>
      </c>
      <c r="AX109" s="11" t="n">
        <f aca="false">IF(AX$1&lt;Units!$P108,0,IF(AND(Units!$K108=0,AX$1=Units!$O108),Units!$R108,IF(AND(AX$1&gt;=Units!$Q108,MOD(AX$1-Units!$Q108,12)=0),IF(AND(Units!$L108=1,AX$1=Units!$Q108),IF(Units!$J108&lt;&gt;"",Units!$J108,Mkt!AX109),Inputs!$B$15*Mkt!AX109+(1-Inputs!$B$15)*MIN(Mkt!AX109,AW109*(1+Inputs!$B$18))),AW109)))</f>
        <v>1415.081465</v>
      </c>
      <c r="AY109" s="11" t="n">
        <f aca="false">IF(AY$1&lt;Units!$P108,0,IF(AND(Units!$K108=0,AY$1=Units!$O108),Units!$R108,IF(AND(AY$1&gt;=Units!$Q108,MOD(AY$1-Units!$Q108,12)=0),IF(AND(Units!$L108=1,AY$1=Units!$Q108),IF(Units!$J108&lt;&gt;"",Units!$J108,Mkt!AY109),Inputs!$B$15*Mkt!AY109+(1-Inputs!$B$15)*MIN(Mkt!AY109,AX109*(1+Inputs!$B$18))),AX109)))</f>
        <v>1415.081465</v>
      </c>
      <c r="AZ109" s="11" t="n">
        <f aca="false">IF(AZ$1&lt;Units!$P108,0,IF(AND(Units!$K108=0,AZ$1=Units!$O108),Units!$R108,IF(AND(AZ$1&gt;=Units!$Q108,MOD(AZ$1-Units!$Q108,12)=0),IF(AND(Units!$L108=1,AZ$1=Units!$Q108),IF(Units!$J108&lt;&gt;"",Units!$J108,Mkt!AZ109),Inputs!$B$15*Mkt!AZ109+(1-Inputs!$B$15)*MIN(Mkt!AZ109,AY109*(1+Inputs!$B$18))),AY109)))</f>
        <v>1415.081465</v>
      </c>
      <c r="BA109" s="11" t="n">
        <f aca="false">IF(BA$1&lt;Units!$P108,0,IF(AND(Units!$K108=0,BA$1=Units!$O108),Units!$R108,IF(AND(BA$1&gt;=Units!$Q108,MOD(BA$1-Units!$Q108,12)=0),IF(AND(Units!$L108=1,BA$1=Units!$Q108),IF(Units!$J108&lt;&gt;"",Units!$J108,Mkt!BA109),Inputs!$B$15*Mkt!BA109+(1-Inputs!$B$15)*MIN(Mkt!BA109,AZ109*(1+Inputs!$B$18))),AZ109)))</f>
        <v>1415.081465</v>
      </c>
      <c r="BB109" s="11" t="n">
        <f aca="false">IF(BB$1&lt;Units!$P108,0,IF(AND(Units!$K108=0,BB$1=Units!$O108),Units!$R108,IF(AND(BB$1&gt;=Units!$Q108,MOD(BB$1-Units!$Q108,12)=0),IF(AND(Units!$L108=1,BB$1=Units!$Q108),IF(Units!$J108&lt;&gt;"",Units!$J108,Mkt!BB109),Inputs!$B$15*Mkt!BB109+(1-Inputs!$B$15)*MIN(Mkt!BB109,BA109*(1+Inputs!$B$18))),BA109)))</f>
        <v>1415.081465</v>
      </c>
      <c r="BC109" s="11" t="n">
        <f aca="false">IF(BC$1&lt;Units!$P108,0,IF(AND(Units!$K108=0,BC$1=Units!$O108),Units!$R108,IF(AND(BC$1&gt;=Units!$Q108,MOD(BC$1-Units!$Q108,12)=0),IF(AND(Units!$L108=1,BC$1=Units!$Q108),IF(Units!$J108&lt;&gt;"",Units!$J108,Mkt!BC109),Inputs!$B$15*Mkt!BC109+(1-Inputs!$B$15)*MIN(Mkt!BC109,BB109*(1+Inputs!$B$18))),BB109)))</f>
        <v>1415.081465</v>
      </c>
      <c r="BD109" s="11" t="n">
        <f aca="false">IF(BD$1&lt;Units!$P108,0,IF(AND(Units!$K108=0,BD$1=Units!$O108),Units!$R108,IF(AND(BD$1&gt;=Units!$Q108,MOD(BD$1-Units!$Q108,12)=0),IF(AND(Units!$L108=1,BD$1=Units!$Q108),IF(Units!$J108&lt;&gt;"",Units!$J108,Mkt!BD109),Inputs!$B$15*Mkt!BD109+(1-Inputs!$B$15)*MIN(Mkt!BD109,BC109*(1+Inputs!$B$18))),BC109)))</f>
        <v>1415.081465</v>
      </c>
      <c r="BE109" s="11" t="n">
        <f aca="false">IF(BE$1&lt;Units!$P108,0,IF(AND(Units!$K108=0,BE$1=Units!$O108),Units!$R108,IF(AND(BE$1&gt;=Units!$Q108,MOD(BE$1-Units!$Q108,12)=0),IF(AND(Units!$L108=1,BE$1=Units!$Q108),IF(Units!$J108&lt;&gt;"",Units!$J108,Mkt!BE109),Inputs!$B$15*Mkt!BE109+(1-Inputs!$B$15)*MIN(Mkt!BE109,BD109*(1+Inputs!$B$18))),BD109)))</f>
        <v>1415.081465</v>
      </c>
      <c r="BF109" s="11" t="n">
        <f aca="false">IF(BF$1&lt;Units!$P108,0,IF(AND(Units!$K108=0,BF$1=Units!$O108),Units!$R108,IF(AND(BF$1&gt;=Units!$Q108,MOD(BF$1-Units!$Q108,12)=0),IF(AND(Units!$L108=1,BF$1=Units!$Q108),IF(Units!$J108&lt;&gt;"",Units!$J108,Mkt!BF109),Inputs!$B$15*Mkt!BF109+(1-Inputs!$B$15)*MIN(Mkt!BF109,BE109*(1+Inputs!$B$18))),BE109)))</f>
        <v>1415.081465</v>
      </c>
      <c r="BG109" s="11" t="n">
        <f aca="false">IF(BG$1&lt;Units!$P108,0,IF(AND(Units!$K108=0,BG$1=Units!$O108),Units!$R108,IF(AND(BG$1&gt;=Units!$Q108,MOD(BG$1-Units!$Q108,12)=0),IF(AND(Units!$L108=1,BG$1=Units!$Q108),IF(Units!$J108&lt;&gt;"",Units!$J108,Mkt!BG109),Inputs!$B$15*Mkt!BG109+(1-Inputs!$B$15)*MIN(Mkt!BG109,BF109*(1+Inputs!$B$18))),BF109)))</f>
        <v>1415.081465</v>
      </c>
      <c r="BH109" s="11" t="n">
        <f aca="false">IF(BH$1&lt;Units!$P108,0,IF(AND(Units!$K108=0,BH$1=Units!$O108),Units!$R108,IF(AND(BH$1&gt;=Units!$Q108,MOD(BH$1-Units!$Q108,12)=0),IF(AND(Units!$L108=1,BH$1=Units!$Q108),IF(Units!$J108&lt;&gt;"",Units!$J108,Mkt!BH109),Inputs!$B$15*Mkt!BH109+(1-Inputs!$B$15)*MIN(Mkt!BH109,BG109*(1+Inputs!$B$18))),BG109)))</f>
        <v>1415.081465</v>
      </c>
      <c r="BI109" s="11" t="n">
        <f aca="false">IF(BI$1&lt;Units!$P108,0,IF(AND(Units!$K108=0,BI$1=Units!$O108),Units!$R108,IF(AND(BI$1&gt;=Units!$Q108,MOD(BI$1-Units!$Q108,12)=0),IF(AND(Units!$L108=1,BI$1=Units!$Q108),IF(Units!$J108&lt;&gt;"",Units!$J108,Mkt!BI109),Inputs!$B$15*Mkt!BI109+(1-Inputs!$B$15)*MIN(Mkt!BI109,BH109*(1+Inputs!$B$18))),BH109)))</f>
        <v>1415.081465</v>
      </c>
      <c r="BJ109" s="11" t="n">
        <f aca="false">IF(BJ$1&lt;Units!$P108,0,IF(AND(Units!$K108=0,BJ$1=Units!$O108),Units!$R108,IF(AND(BJ$1&gt;=Units!$Q108,MOD(BJ$1-Units!$Q108,12)=0),IF(AND(Units!$L108=1,BJ$1=Units!$Q108),IF(Units!$J108&lt;&gt;"",Units!$J108,Mkt!BJ109),Inputs!$B$15*Mkt!BJ109+(1-Inputs!$B$15)*MIN(Mkt!BJ109,BI109*(1+Inputs!$B$18))),BI109)))</f>
        <v>1457.53390895</v>
      </c>
      <c r="BK109" s="11" t="n">
        <f aca="false">IF(BK$1&lt;Units!$P108,0,IF(AND(Units!$K108=0,BK$1=Units!$O108),Units!$R108,IF(AND(BK$1&gt;=Units!$Q108,MOD(BK$1-Units!$Q108,12)=0),IF(AND(Units!$L108=1,BK$1=Units!$Q108),IF(Units!$J108&lt;&gt;"",Units!$J108,Mkt!BK109),Inputs!$B$15*Mkt!BK109+(1-Inputs!$B$15)*MIN(Mkt!BK109,BJ109*(1+Inputs!$B$18))),BJ109)))</f>
        <v>1457.53390895</v>
      </c>
      <c r="BL109" s="11" t="n">
        <f aca="false">IF(BL$1&lt;Units!$P108,0,IF(AND(Units!$K108=0,BL$1=Units!$O108),Units!$R108,IF(AND(BL$1&gt;=Units!$Q108,MOD(BL$1-Units!$Q108,12)=0),IF(AND(Units!$L108=1,BL$1=Units!$Q108),IF(Units!$J108&lt;&gt;"",Units!$J108,Mkt!BL109),Inputs!$B$15*Mkt!BL109+(1-Inputs!$B$15)*MIN(Mkt!BL109,BK109*(1+Inputs!$B$18))),BK109)))</f>
        <v>1457.53390895</v>
      </c>
      <c r="BM109" s="11" t="n">
        <f aca="false">IF(BM$1&lt;Units!$P108,0,IF(AND(Units!$K108=0,BM$1=Units!$O108),Units!$R108,IF(AND(BM$1&gt;=Units!$Q108,MOD(BM$1-Units!$Q108,12)=0),IF(AND(Units!$L108=1,BM$1=Units!$Q108),IF(Units!$J108&lt;&gt;"",Units!$J108,Mkt!BM109),Inputs!$B$15*Mkt!BM109+(1-Inputs!$B$15)*MIN(Mkt!BM109,BL109*(1+Inputs!$B$18))),BL109)))</f>
        <v>1457.53390895</v>
      </c>
      <c r="BN109" s="11" t="n">
        <f aca="false">IF(BN$1&lt;Units!$P108,0,IF(AND(Units!$K108=0,BN$1=Units!$O108),Units!$R108,IF(AND(BN$1&gt;=Units!$Q108,MOD(BN$1-Units!$Q108,12)=0),IF(AND(Units!$L108=1,BN$1=Units!$Q108),IF(Units!$J108&lt;&gt;"",Units!$J108,Mkt!BN109),Inputs!$B$15*Mkt!BN109+(1-Inputs!$B$15)*MIN(Mkt!BN109,BM109*(1+Inputs!$B$18))),BM109)))</f>
        <v>1457.53390895</v>
      </c>
      <c r="BO109" s="11" t="n">
        <f aca="false">IF(BO$1&lt;Units!$P108,0,IF(AND(Units!$K108=0,BO$1=Units!$O108),Units!$R108,IF(AND(BO$1&gt;=Units!$Q108,MOD(BO$1-Units!$Q108,12)=0),IF(AND(Units!$L108=1,BO$1=Units!$Q108),IF(Units!$J108&lt;&gt;"",Units!$J108,Mkt!BO109),Inputs!$B$15*Mkt!BO109+(1-Inputs!$B$15)*MIN(Mkt!BO109,BN109*(1+Inputs!$B$18))),BN109)))</f>
        <v>1457.53390895</v>
      </c>
      <c r="BP109" s="11" t="n">
        <f aca="false">IF(BP$1&lt;Units!$P108,0,IF(AND(Units!$K108=0,BP$1=Units!$O108),Units!$R108,IF(AND(BP$1&gt;=Units!$Q108,MOD(BP$1-Units!$Q108,12)=0),IF(AND(Units!$L108=1,BP$1=Units!$Q108),IF(Units!$J108&lt;&gt;"",Units!$J108,Mkt!BP109),Inputs!$B$15*Mkt!BP109+(1-Inputs!$B$15)*MIN(Mkt!BP109,BO109*(1+Inputs!$B$18))),BO109)))</f>
        <v>1457.53390895</v>
      </c>
      <c r="BQ109" s="11" t="n">
        <f aca="false">IF(BQ$1&lt;Units!$P108,0,IF(AND(Units!$K108=0,BQ$1=Units!$O108),Units!$R108,IF(AND(BQ$1&gt;=Units!$Q108,MOD(BQ$1-Units!$Q108,12)=0),IF(AND(Units!$L108=1,BQ$1=Units!$Q108),IF(Units!$J108&lt;&gt;"",Units!$J108,Mkt!BQ109),Inputs!$B$15*Mkt!BQ109+(1-Inputs!$B$15)*MIN(Mkt!BQ109,BP109*(1+Inputs!$B$18))),BP109)))</f>
        <v>1457.53390895</v>
      </c>
      <c r="BR109" s="11" t="n">
        <f aca="false">IF(BR$1&lt;Units!$P108,0,IF(AND(Units!$K108=0,BR$1=Units!$O108),Units!$R108,IF(AND(BR$1&gt;=Units!$Q108,MOD(BR$1-Units!$Q108,12)=0),IF(AND(Units!$L108=1,BR$1=Units!$Q108),IF(Units!$J108&lt;&gt;"",Units!$J108,Mkt!BR109),Inputs!$B$15*Mkt!BR109+(1-Inputs!$B$15)*MIN(Mkt!BR109,BQ109*(1+Inputs!$B$18))),BQ109)))</f>
        <v>1457.53390895</v>
      </c>
      <c r="BS109" s="11" t="n">
        <f aca="false">IF(BS$1&lt;Units!$P108,0,IF(AND(Units!$K108=0,BS$1=Units!$O108),Units!$R108,IF(AND(BS$1&gt;=Units!$Q108,MOD(BS$1-Units!$Q108,12)=0),IF(AND(Units!$L108=1,BS$1=Units!$Q108),IF(Units!$J108&lt;&gt;"",Units!$J108,Mkt!BS109),Inputs!$B$15*Mkt!BS109+(1-Inputs!$B$15)*MIN(Mkt!BS109,BR109*(1+Inputs!$B$18))),BR109)))</f>
        <v>1457.53390895</v>
      </c>
      <c r="BT109" s="11" t="n">
        <f aca="false">IF(BT$1&lt;Units!$P108,0,IF(AND(Units!$K108=0,BT$1=Units!$O108),Units!$R108,IF(AND(BT$1&gt;=Units!$Q108,MOD(BT$1-Units!$Q108,12)=0),IF(AND(Units!$L108=1,BT$1=Units!$Q108),IF(Units!$J108&lt;&gt;"",Units!$J108,Mkt!BT109),Inputs!$B$15*Mkt!BT109+(1-Inputs!$B$15)*MIN(Mkt!BT109,BS109*(1+Inputs!$B$18))),BS109)))</f>
        <v>1457.53390895</v>
      </c>
      <c r="BU109" s="11" t="n">
        <f aca="false">IF(BU$1&lt;Units!$P108,0,IF(AND(Units!$K108=0,BU$1=Units!$O108),Units!$R108,IF(AND(BU$1&gt;=Units!$Q108,MOD(BU$1-Units!$Q108,12)=0),IF(AND(Units!$L108=1,BU$1=Units!$Q108),IF(Units!$J108&lt;&gt;"",Units!$J108,Mkt!BU109),Inputs!$B$15*Mkt!BU109+(1-Inputs!$B$15)*MIN(Mkt!BU109,BT109*(1+Inputs!$B$18))),BT109)))</f>
        <v>1457.53390895</v>
      </c>
      <c r="BV109" s="11" t="n">
        <f aca="false">IF(BV$1&lt;Units!$P108,0,IF(AND(Units!$K108=0,BV$1=Units!$O108),Units!$R108,IF(AND(BV$1&gt;=Units!$Q108,MOD(BV$1-Units!$Q108,12)=0),IF(AND(Units!$L108=1,BV$1=Units!$Q108),IF(Units!$J108&lt;&gt;"",Units!$J108,Mkt!BV109),Inputs!$B$15*Mkt!BV109+(1-Inputs!$B$15)*MIN(Mkt!BV109,BU109*(1+Inputs!$B$18))),BU109)))</f>
        <v>1501.2599262185</v>
      </c>
      <c r="BW109" s="11" t="n">
        <f aca="false">IF(BW$1&lt;Units!$P108,0,IF(AND(Units!$K108=0,BW$1=Units!$O108),Units!$R108,IF(AND(BW$1&gt;=Units!$Q108,MOD(BW$1-Units!$Q108,12)=0),IF(AND(Units!$L108=1,BW$1=Units!$Q108),IF(Units!$J108&lt;&gt;"",Units!$J108,Mkt!BW109),Inputs!$B$15*Mkt!BW109+(1-Inputs!$B$15)*MIN(Mkt!BW109,BV109*(1+Inputs!$B$18))),BV109)))</f>
        <v>1501.2599262185</v>
      </c>
      <c r="BX109" s="11" t="n">
        <f aca="false">IF(BX$1&lt;Units!$P108,0,IF(AND(Units!$K108=0,BX$1=Units!$O108),Units!$R108,IF(AND(BX$1&gt;=Units!$Q108,MOD(BX$1-Units!$Q108,12)=0),IF(AND(Units!$L108=1,BX$1=Units!$Q108),IF(Units!$J108&lt;&gt;"",Units!$J108,Mkt!BX109),Inputs!$B$15*Mkt!BX109+(1-Inputs!$B$15)*MIN(Mkt!BX109,BW109*(1+Inputs!$B$18))),BW109)))</f>
        <v>1501.2599262185</v>
      </c>
      <c r="BY109" s="11" t="n">
        <f aca="false">IF(BY$1&lt;Units!$P108,0,IF(AND(Units!$K108=0,BY$1=Units!$O108),Units!$R108,IF(AND(BY$1&gt;=Units!$Q108,MOD(BY$1-Units!$Q108,12)=0),IF(AND(Units!$L108=1,BY$1=Units!$Q108),IF(Units!$J108&lt;&gt;"",Units!$J108,Mkt!BY109),Inputs!$B$15*Mkt!BY109+(1-Inputs!$B$15)*MIN(Mkt!BY109,BX109*(1+Inputs!$B$18))),BX109)))</f>
        <v>1501.2599262185</v>
      </c>
      <c r="BZ109" s="11" t="n">
        <f aca="false">IF(BZ$1&lt;Units!$P108,0,IF(AND(Units!$K108=0,BZ$1=Units!$O108),Units!$R108,IF(AND(BZ$1&gt;=Units!$Q108,MOD(BZ$1-Units!$Q108,12)=0),IF(AND(Units!$L108=1,BZ$1=Units!$Q108),IF(Units!$J108&lt;&gt;"",Units!$J108,Mkt!BZ109),Inputs!$B$15*Mkt!BZ109+(1-Inputs!$B$15)*MIN(Mkt!BZ109,BY109*(1+Inputs!$B$18))),BY109)))</f>
        <v>1501.2599262185</v>
      </c>
      <c r="CA109" s="11" t="n">
        <f aca="false">IF(CA$1&lt;Units!$P108,0,IF(AND(Units!$K108=0,CA$1=Units!$O108),Units!$R108,IF(AND(CA$1&gt;=Units!$Q108,MOD(CA$1-Units!$Q108,12)=0),IF(AND(Units!$L108=1,CA$1=Units!$Q108),IF(Units!$J108&lt;&gt;"",Units!$J108,Mkt!CA109),Inputs!$B$15*Mkt!CA109+(1-Inputs!$B$15)*MIN(Mkt!CA109,BZ109*(1+Inputs!$B$18))),BZ109)))</f>
        <v>1501.2599262185</v>
      </c>
      <c r="CB109" s="11" t="n">
        <f aca="false">IF(CB$1&lt;Units!$P108,0,IF(AND(Units!$K108=0,CB$1=Units!$O108),Units!$R108,IF(AND(CB$1&gt;=Units!$Q108,MOD(CB$1-Units!$Q108,12)=0),IF(AND(Units!$L108=1,CB$1=Units!$Q108),IF(Units!$J108&lt;&gt;"",Units!$J108,Mkt!CB109),Inputs!$B$15*Mkt!CB109+(1-Inputs!$B$15)*MIN(Mkt!CB109,CA109*(1+Inputs!$B$18))),CA109)))</f>
        <v>1501.2599262185</v>
      </c>
      <c r="CC109" s="11" t="n">
        <f aca="false">IF(CC$1&lt;Units!$P108,0,IF(AND(Units!$K108=0,CC$1=Units!$O108),Units!$R108,IF(AND(CC$1&gt;=Units!$Q108,MOD(CC$1-Units!$Q108,12)=0),IF(AND(Units!$L108=1,CC$1=Units!$Q108),IF(Units!$J108&lt;&gt;"",Units!$J108,Mkt!CC109),Inputs!$B$15*Mkt!CC109+(1-Inputs!$B$15)*MIN(Mkt!CC109,CB109*(1+Inputs!$B$18))),CB109)))</f>
        <v>1501.2599262185</v>
      </c>
      <c r="CD109" s="11" t="n">
        <f aca="false">IF(CD$1&lt;Units!$P108,0,IF(AND(Units!$K108=0,CD$1=Units!$O108),Units!$R108,IF(AND(CD$1&gt;=Units!$Q108,MOD(CD$1-Units!$Q108,12)=0),IF(AND(Units!$L108=1,CD$1=Units!$Q108),IF(Units!$J108&lt;&gt;"",Units!$J108,Mkt!CD109),Inputs!$B$15*Mkt!CD109+(1-Inputs!$B$15)*MIN(Mkt!CD109,CC109*(1+Inputs!$B$18))),CC109)))</f>
        <v>1501.2599262185</v>
      </c>
      <c r="CE109" s="11" t="n">
        <f aca="false">IF(CE$1&lt;Units!$P108,0,IF(AND(Units!$K108=0,CE$1=Units!$O108),Units!$R108,IF(AND(CE$1&gt;=Units!$Q108,MOD(CE$1-Units!$Q108,12)=0),IF(AND(Units!$L108=1,CE$1=Units!$Q108),IF(Units!$J108&lt;&gt;"",Units!$J108,Mkt!CE109),Inputs!$B$15*Mkt!CE109+(1-Inputs!$B$15)*MIN(Mkt!CE109,CD109*(1+Inputs!$B$18))),CD109)))</f>
        <v>1501.2599262185</v>
      </c>
      <c r="CF109" s="11" t="n">
        <f aca="false">IF(CF$1&lt;Units!$P108,0,IF(AND(Units!$K108=0,CF$1=Units!$O108),Units!$R108,IF(AND(CF$1&gt;=Units!$Q108,MOD(CF$1-Units!$Q108,12)=0),IF(AND(Units!$L108=1,CF$1=Units!$Q108),IF(Units!$J108&lt;&gt;"",Units!$J108,Mkt!CF109),Inputs!$B$15*Mkt!CF109+(1-Inputs!$B$15)*MIN(Mkt!CF109,CE109*(1+Inputs!$B$18))),CE109)))</f>
        <v>1501.2599262185</v>
      </c>
      <c r="CG109" s="11" t="n">
        <f aca="false">IF(CG$1&lt;Units!$P108,0,IF(AND(Units!$K108=0,CG$1=Units!$O108),Units!$R108,IF(AND(CG$1&gt;=Units!$Q108,MOD(CG$1-Units!$Q108,12)=0),IF(AND(Units!$L108=1,CG$1=Units!$Q108),IF(Units!$J108&lt;&gt;"",Units!$J108,Mkt!CG109),Inputs!$B$15*Mkt!CG109+(1-Inputs!$B$15)*MIN(Mkt!CG109,CF109*(1+Inputs!$B$18))),CF109)))</f>
        <v>1501.2599262185</v>
      </c>
      <c r="CH109" s="11" t="n">
        <f aca="false">IF(CH$1&lt;Units!$P108,0,IF(AND(Units!$K108=0,CH$1=Units!$O108),Units!$R108,IF(AND(CH$1&gt;=Units!$Q108,MOD(CH$1-Units!$Q108,12)=0),IF(AND(Units!$L108=1,CH$1=Units!$Q108),IF(Units!$J108&lt;&gt;"",Units!$J108,Mkt!CH109),Inputs!$B$15*Mkt!CH109+(1-Inputs!$B$15)*MIN(Mkt!CH109,CG109*(1+Inputs!$B$18))),CG109)))</f>
        <v>1546.29772400506</v>
      </c>
      <c r="CI109" s="11" t="n">
        <f aca="false">IF(CI$1&lt;Units!$P108,0,IF(AND(Units!$K108=0,CI$1=Units!$O108),Units!$R108,IF(AND(CI$1&gt;=Units!$Q108,MOD(CI$1-Units!$Q108,12)=0),IF(AND(Units!$L108=1,CI$1=Units!$Q108),IF(Units!$J108&lt;&gt;"",Units!$J108,Mkt!CI109),Inputs!$B$15*Mkt!CI109+(1-Inputs!$B$15)*MIN(Mkt!CI109,CH109*(1+Inputs!$B$18))),CH109)))</f>
        <v>1546.29772400506</v>
      </c>
      <c r="CJ109" s="11" t="n">
        <f aca="false">IF(CJ$1&lt;Units!$P108,0,IF(AND(Units!$K108=0,CJ$1=Units!$O108),Units!$R108,IF(AND(CJ$1&gt;=Units!$Q108,MOD(CJ$1-Units!$Q108,12)=0),IF(AND(Units!$L108=1,CJ$1=Units!$Q108),IF(Units!$J108&lt;&gt;"",Units!$J108,Mkt!CJ109),Inputs!$B$15*Mkt!CJ109+(1-Inputs!$B$15)*MIN(Mkt!CJ109,CI109*(1+Inputs!$B$18))),CI109)))</f>
        <v>1546.29772400506</v>
      </c>
      <c r="CK109" s="11" t="n">
        <f aca="false">IF(CK$1&lt;Units!$P108,0,IF(AND(Units!$K108=0,CK$1=Units!$O108),Units!$R108,IF(AND(CK$1&gt;=Units!$Q108,MOD(CK$1-Units!$Q108,12)=0),IF(AND(Units!$L108=1,CK$1=Units!$Q108),IF(Units!$J108&lt;&gt;"",Units!$J108,Mkt!CK109),Inputs!$B$15*Mkt!CK109+(1-Inputs!$B$15)*MIN(Mkt!CK109,CJ109*(1+Inputs!$B$18))),CJ109)))</f>
        <v>1546.29772400506</v>
      </c>
      <c r="CL109" s="11" t="n">
        <f aca="false">IF(CL$1&lt;Units!$P108,0,IF(AND(Units!$K108=0,CL$1=Units!$O108),Units!$R108,IF(AND(CL$1&gt;=Units!$Q108,MOD(CL$1-Units!$Q108,12)=0),IF(AND(Units!$L108=1,CL$1=Units!$Q108),IF(Units!$J108&lt;&gt;"",Units!$J108,Mkt!CL109),Inputs!$B$15*Mkt!CL109+(1-Inputs!$B$15)*MIN(Mkt!CL109,CK109*(1+Inputs!$B$18))),CK109)))</f>
        <v>1546.29772400506</v>
      </c>
      <c r="CM109" s="11" t="n">
        <f aca="false">IF(CM$1&lt;Units!$P108,0,IF(AND(Units!$K108=0,CM$1=Units!$O108),Units!$R108,IF(AND(CM$1&gt;=Units!$Q108,MOD(CM$1-Units!$Q108,12)=0),IF(AND(Units!$L108=1,CM$1=Units!$Q108),IF(Units!$J108&lt;&gt;"",Units!$J108,Mkt!CM109),Inputs!$B$15*Mkt!CM109+(1-Inputs!$B$15)*MIN(Mkt!CM109,CL109*(1+Inputs!$B$18))),CL109)))</f>
        <v>1546.29772400506</v>
      </c>
      <c r="CN109" s="11" t="n">
        <f aca="false">IF(CN$1&lt;Units!$P108,0,IF(AND(Units!$K108=0,CN$1=Units!$O108),Units!$R108,IF(AND(CN$1&gt;=Units!$Q108,MOD(CN$1-Units!$Q108,12)=0),IF(AND(Units!$L108=1,CN$1=Units!$Q108),IF(Units!$J108&lt;&gt;"",Units!$J108,Mkt!CN109),Inputs!$B$15*Mkt!CN109+(1-Inputs!$B$15)*MIN(Mkt!CN109,CM109*(1+Inputs!$B$18))),CM109)))</f>
        <v>1546.29772400506</v>
      </c>
      <c r="CO109" s="11" t="n">
        <f aca="false">IF(CO$1&lt;Units!$P108,0,IF(AND(Units!$K108=0,CO$1=Units!$O108),Units!$R108,IF(AND(CO$1&gt;=Units!$Q108,MOD(CO$1-Units!$Q108,12)=0),IF(AND(Units!$L108=1,CO$1=Units!$Q108),IF(Units!$J108&lt;&gt;"",Units!$J108,Mkt!CO109),Inputs!$B$15*Mkt!CO109+(1-Inputs!$B$15)*MIN(Mkt!CO109,CN109*(1+Inputs!$B$18))),CN109)))</f>
        <v>1546.29772400506</v>
      </c>
      <c r="CP109" s="11" t="n">
        <f aca="false">IF(CP$1&lt;Units!$P108,0,IF(AND(Units!$K108=0,CP$1=Units!$O108),Units!$R108,IF(AND(CP$1&gt;=Units!$Q108,MOD(CP$1-Units!$Q108,12)=0),IF(AND(Units!$L108=1,CP$1=Units!$Q108),IF(Units!$J108&lt;&gt;"",Units!$J108,Mkt!CP109),Inputs!$B$15*Mkt!CP109+(1-Inputs!$B$15)*MIN(Mkt!CP109,CO109*(1+Inputs!$B$18))),CO109)))</f>
        <v>1546.29772400506</v>
      </c>
      <c r="CQ109" s="11" t="n">
        <f aca="false">IF(CQ$1&lt;Units!$P108,0,IF(AND(Units!$K108=0,CQ$1=Units!$O108),Units!$R108,IF(AND(CQ$1&gt;=Units!$Q108,MOD(CQ$1-Units!$Q108,12)=0),IF(AND(Units!$L108=1,CQ$1=Units!$Q108),IF(Units!$J108&lt;&gt;"",Units!$J108,Mkt!CQ109),Inputs!$B$15*Mkt!CQ109+(1-Inputs!$B$15)*MIN(Mkt!CQ109,CP109*(1+Inputs!$B$18))),CP109)))</f>
        <v>1546.29772400506</v>
      </c>
      <c r="CR109" s="11" t="n">
        <f aca="false">IF(CR$1&lt;Units!$P108,0,IF(AND(Units!$K108=0,CR$1=Units!$O108),Units!$R108,IF(AND(CR$1&gt;=Units!$Q108,MOD(CR$1-Units!$Q108,12)=0),IF(AND(Units!$L108=1,CR$1=Units!$Q108),IF(Units!$J108&lt;&gt;"",Units!$J108,Mkt!CR109),Inputs!$B$15*Mkt!CR109+(1-Inputs!$B$15)*MIN(Mkt!CR109,CQ109*(1+Inputs!$B$18))),CQ109)))</f>
        <v>1546.29772400506</v>
      </c>
      <c r="CS109" s="11" t="n">
        <f aca="false">IF(CS$1&lt;Units!$P108,0,IF(AND(Units!$K108=0,CS$1=Units!$O108),Units!$R108,IF(AND(CS$1&gt;=Units!$Q108,MOD(CS$1-Units!$Q108,12)=0),IF(AND(Units!$L108=1,CS$1=Units!$Q108),IF(Units!$J108&lt;&gt;"",Units!$J108,Mkt!CS109),Inputs!$B$15*Mkt!CS109+(1-Inputs!$B$15)*MIN(Mkt!CS109,CR109*(1+Inputs!$B$18))),CR109)))</f>
        <v>1546.29772400506</v>
      </c>
      <c r="CT109" s="11" t="n">
        <f aca="false">IF(CT$1&lt;Units!$P108,0,IF(AND(Units!$K108=0,CT$1=Units!$O108),Units!$R108,IF(AND(CT$1&gt;=Units!$Q108,MOD(CT$1-Units!$Q108,12)=0),IF(AND(Units!$L108=1,CT$1=Units!$Q108),IF(Units!$J108&lt;&gt;"",Units!$J108,Mkt!CT109),Inputs!$B$15*Mkt!CT109+(1-Inputs!$B$15)*MIN(Mkt!CT109,CS109*(1+Inputs!$B$18))),CS109)))</f>
        <v>1592.68665572521</v>
      </c>
      <c r="CU109" s="11" t="n">
        <f aca="false">IF(CU$1&lt;Units!$P108,0,IF(AND(Units!$K108=0,CU$1=Units!$O108),Units!$R108,IF(AND(CU$1&gt;=Units!$Q108,MOD(CU$1-Units!$Q108,12)=0),IF(AND(Units!$L108=1,CU$1=Units!$Q108),IF(Units!$J108&lt;&gt;"",Units!$J108,Mkt!CU109),Inputs!$B$15*Mkt!CU109+(1-Inputs!$B$15)*MIN(Mkt!CU109,CT109*(1+Inputs!$B$18))),CT109)))</f>
        <v>1592.68665572521</v>
      </c>
      <c r="CV109" s="11" t="n">
        <f aca="false">IF(CV$1&lt;Units!$P108,0,IF(AND(Units!$K108=0,CV$1=Units!$O108),Units!$R108,IF(AND(CV$1&gt;=Units!$Q108,MOD(CV$1-Units!$Q108,12)=0),IF(AND(Units!$L108=1,CV$1=Units!$Q108),IF(Units!$J108&lt;&gt;"",Units!$J108,Mkt!CV109),Inputs!$B$15*Mkt!CV109+(1-Inputs!$B$15)*MIN(Mkt!CV109,CU109*(1+Inputs!$B$18))),CU109)))</f>
        <v>1592.68665572521</v>
      </c>
      <c r="CW109" s="11" t="n">
        <f aca="false">IF(CW$1&lt;Units!$P108,0,IF(AND(Units!$K108=0,CW$1=Units!$O108),Units!$R108,IF(AND(CW$1&gt;=Units!$Q108,MOD(CW$1-Units!$Q108,12)=0),IF(AND(Units!$L108=1,CW$1=Units!$Q108),IF(Units!$J108&lt;&gt;"",Units!$J108,Mkt!CW109),Inputs!$B$15*Mkt!CW109+(1-Inputs!$B$15)*MIN(Mkt!CW109,CV109*(1+Inputs!$B$18))),CV109)))</f>
        <v>1592.68665572521</v>
      </c>
      <c r="CX109" s="11" t="n">
        <f aca="false">IF(CX$1&lt;Units!$P108,0,IF(AND(Units!$K108=0,CX$1=Units!$O108),Units!$R108,IF(AND(CX$1&gt;=Units!$Q108,MOD(CX$1-Units!$Q108,12)=0),IF(AND(Units!$L108=1,CX$1=Units!$Q108),IF(Units!$J108&lt;&gt;"",Units!$J108,Mkt!CX109),Inputs!$B$15*Mkt!CX109+(1-Inputs!$B$15)*MIN(Mkt!CX109,CW109*(1+Inputs!$B$18))),CW109)))</f>
        <v>1592.68665572521</v>
      </c>
      <c r="CY109" s="11" t="n">
        <f aca="false">IF(CY$1&lt;Units!$P108,0,IF(AND(Units!$K108=0,CY$1=Units!$O108),Units!$R108,IF(AND(CY$1&gt;=Units!$Q108,MOD(CY$1-Units!$Q108,12)=0),IF(AND(Units!$L108=1,CY$1=Units!$Q108),IF(Units!$J108&lt;&gt;"",Units!$J108,Mkt!CY109),Inputs!$B$15*Mkt!CY109+(1-Inputs!$B$15)*MIN(Mkt!CY109,CX109*(1+Inputs!$B$18))),CX109)))</f>
        <v>1592.68665572521</v>
      </c>
      <c r="CZ109" s="11" t="n">
        <f aca="false">IF(CZ$1&lt;Units!$P108,0,IF(AND(Units!$K108=0,CZ$1=Units!$O108),Units!$R108,IF(AND(CZ$1&gt;=Units!$Q108,MOD(CZ$1-Units!$Q108,12)=0),IF(AND(Units!$L108=1,CZ$1=Units!$Q108),IF(Units!$J108&lt;&gt;"",Units!$J108,Mkt!CZ109),Inputs!$B$15*Mkt!CZ109+(1-Inputs!$B$15)*MIN(Mkt!CZ109,CY109*(1+Inputs!$B$18))),CY109)))</f>
        <v>1592.68665572521</v>
      </c>
      <c r="DA109" s="11" t="n">
        <f aca="false">IF(DA$1&lt;Units!$P108,0,IF(AND(Units!$K108=0,DA$1=Units!$O108),Units!$R108,IF(AND(DA$1&gt;=Units!$Q108,MOD(DA$1-Units!$Q108,12)=0),IF(AND(Units!$L108=1,DA$1=Units!$Q108),IF(Units!$J108&lt;&gt;"",Units!$J108,Mkt!DA109),Inputs!$B$15*Mkt!DA109+(1-Inputs!$B$15)*MIN(Mkt!DA109,CZ109*(1+Inputs!$B$18))),CZ109)))</f>
        <v>1592.68665572521</v>
      </c>
      <c r="DB109" s="11" t="n">
        <f aca="false">IF(DB$1&lt;Units!$P108,0,IF(AND(Units!$K108=0,DB$1=Units!$O108),Units!$R108,IF(AND(DB$1&gt;=Units!$Q108,MOD(DB$1-Units!$Q108,12)=0),IF(AND(Units!$L108=1,DB$1=Units!$Q108),IF(Units!$J108&lt;&gt;"",Units!$J108,Mkt!DB109),Inputs!$B$15*Mkt!DB109+(1-Inputs!$B$15)*MIN(Mkt!DB109,DA109*(1+Inputs!$B$18))),DA109)))</f>
        <v>1592.68665572521</v>
      </c>
      <c r="DC109" s="11" t="n">
        <f aca="false">IF(DC$1&lt;Units!$P108,0,IF(AND(Units!$K108=0,DC$1=Units!$O108),Units!$R108,IF(AND(DC$1&gt;=Units!$Q108,MOD(DC$1-Units!$Q108,12)=0),IF(AND(Units!$L108=1,DC$1=Units!$Q108),IF(Units!$J108&lt;&gt;"",Units!$J108,Mkt!DC109),Inputs!$B$15*Mkt!DC109+(1-Inputs!$B$15)*MIN(Mkt!DC109,DB109*(1+Inputs!$B$18))),DB109)))</f>
        <v>1592.68665572521</v>
      </c>
      <c r="DD109" s="11" t="n">
        <f aca="false">IF(DD$1&lt;Units!$P108,0,IF(AND(Units!$K108=0,DD$1=Units!$O108),Units!$R108,IF(AND(DD$1&gt;=Units!$Q108,MOD(DD$1-Units!$Q108,12)=0),IF(AND(Units!$L108=1,DD$1=Units!$Q108),IF(Units!$J108&lt;&gt;"",Units!$J108,Mkt!DD109),Inputs!$B$15*Mkt!DD109+(1-Inputs!$B$15)*MIN(Mkt!DD109,DC109*(1+Inputs!$B$18))),DC109)))</f>
        <v>1592.68665572521</v>
      </c>
      <c r="DE109" s="11" t="n">
        <f aca="false">IF(DE$1&lt;Units!$P108,0,IF(AND(Units!$K108=0,DE$1=Units!$O108),Units!$R108,IF(AND(DE$1&gt;=Units!$Q108,MOD(DE$1-Units!$Q108,12)=0),IF(AND(Units!$L108=1,DE$1=Units!$Q108),IF(Units!$J108&lt;&gt;"",Units!$J108,Mkt!DE109),Inputs!$B$15*Mkt!DE109+(1-Inputs!$B$15)*MIN(Mkt!DE109,DD109*(1+Inputs!$B$18))),DD109)))</f>
        <v>1592.68665572521</v>
      </c>
      <c r="DF109" s="11" t="n">
        <f aca="false">IF(DF$1&lt;Units!$P108,0,IF(AND(Units!$K108=0,DF$1=Units!$O108),Units!$R108,IF(AND(DF$1&gt;=Units!$Q108,MOD(DF$1-Units!$Q108,12)=0),IF(AND(Units!$L108=1,DF$1=Units!$Q108),IF(Units!$J108&lt;&gt;"",Units!$J108,Mkt!DF109),Inputs!$B$15*Mkt!DF109+(1-Inputs!$B$15)*MIN(Mkt!DF109,DE109*(1+Inputs!$B$18))),DE109)))</f>
        <v>1640.46725539696</v>
      </c>
      <c r="DG109" s="11" t="n">
        <f aca="false">IF(DG$1&lt;Units!$P108,0,IF(AND(Units!$K108=0,DG$1=Units!$O108),Units!$R108,IF(AND(DG$1&gt;=Units!$Q108,MOD(DG$1-Units!$Q108,12)=0),IF(AND(Units!$L108=1,DG$1=Units!$Q108),IF(Units!$J108&lt;&gt;"",Units!$J108,Mkt!DG109),Inputs!$B$15*Mkt!DG109+(1-Inputs!$B$15)*MIN(Mkt!DG109,DF109*(1+Inputs!$B$18))),DF109)))</f>
        <v>1640.46725539696</v>
      </c>
      <c r="DH109" s="11" t="n">
        <f aca="false">IF(DH$1&lt;Units!$P108,0,IF(AND(Units!$K108=0,DH$1=Units!$O108),Units!$R108,IF(AND(DH$1&gt;=Units!$Q108,MOD(DH$1-Units!$Q108,12)=0),IF(AND(Units!$L108=1,DH$1=Units!$Q108),IF(Units!$J108&lt;&gt;"",Units!$J108,Mkt!DH109),Inputs!$B$15*Mkt!DH109+(1-Inputs!$B$15)*MIN(Mkt!DH109,DG109*(1+Inputs!$B$18))),DG109)))</f>
        <v>1640.46725539696</v>
      </c>
      <c r="DI109" s="11" t="n">
        <f aca="false">IF(DI$1&lt;Units!$P108,0,IF(AND(Units!$K108=0,DI$1=Units!$O108),Units!$R108,IF(AND(DI$1&gt;=Units!$Q108,MOD(DI$1-Units!$Q108,12)=0),IF(AND(Units!$L108=1,DI$1=Units!$Q108),IF(Units!$J108&lt;&gt;"",Units!$J108,Mkt!DI109),Inputs!$B$15*Mkt!DI109+(1-Inputs!$B$15)*MIN(Mkt!DI109,DH109*(1+Inputs!$B$18))),DH109)))</f>
        <v>1640.46725539696</v>
      </c>
      <c r="DJ109" s="11" t="n">
        <f aca="false">IF(DJ$1&lt;Units!$P108,0,IF(AND(Units!$K108=0,DJ$1=Units!$O108),Units!$R108,IF(AND(DJ$1&gt;=Units!$Q108,MOD(DJ$1-Units!$Q108,12)=0),IF(AND(Units!$L108=1,DJ$1=Units!$Q108),IF(Units!$J108&lt;&gt;"",Units!$J108,Mkt!DJ109),Inputs!$B$15*Mkt!DJ109+(1-Inputs!$B$15)*MIN(Mkt!DJ109,DI109*(1+Inputs!$B$18))),DI109)))</f>
        <v>1640.46725539696</v>
      </c>
      <c r="DK109" s="11" t="n">
        <f aca="false">IF(DK$1&lt;Units!$P108,0,IF(AND(Units!$K108=0,DK$1=Units!$O108),Units!$R108,IF(AND(DK$1&gt;=Units!$Q108,MOD(DK$1-Units!$Q108,12)=0),IF(AND(Units!$L108=1,DK$1=Units!$Q108),IF(Units!$J108&lt;&gt;"",Units!$J108,Mkt!DK109),Inputs!$B$15*Mkt!DK109+(1-Inputs!$B$15)*MIN(Mkt!DK109,DJ109*(1+Inputs!$B$18))),DJ109)))</f>
        <v>1640.46725539696</v>
      </c>
      <c r="DL109" s="11" t="n">
        <f aca="false">IF(DL$1&lt;Units!$P108,0,IF(AND(Units!$K108=0,DL$1=Units!$O108),Units!$R108,IF(AND(DL$1&gt;=Units!$Q108,MOD(DL$1-Units!$Q108,12)=0),IF(AND(Units!$L108=1,DL$1=Units!$Q108),IF(Units!$J108&lt;&gt;"",Units!$J108,Mkt!DL109),Inputs!$B$15*Mkt!DL109+(1-Inputs!$B$15)*MIN(Mkt!DL109,DK109*(1+Inputs!$B$18))),DK109)))</f>
        <v>1640.46725539696</v>
      </c>
      <c r="DM109" s="11" t="n">
        <f aca="false">IF(DM$1&lt;Units!$P108,0,IF(AND(Units!$K108=0,DM$1=Units!$O108),Units!$R108,IF(AND(DM$1&gt;=Units!$Q108,MOD(DM$1-Units!$Q108,12)=0),IF(AND(Units!$L108=1,DM$1=Units!$Q108),IF(Units!$J108&lt;&gt;"",Units!$J108,Mkt!DM109),Inputs!$B$15*Mkt!DM109+(1-Inputs!$B$15)*MIN(Mkt!DM109,DL109*(1+Inputs!$B$18))),DL109)))</f>
        <v>1640.46725539696</v>
      </c>
      <c r="DN109" s="11" t="n">
        <f aca="false">IF(DN$1&lt;Units!$P108,0,IF(AND(Units!$K108=0,DN$1=Units!$O108),Units!$R108,IF(AND(DN$1&gt;=Units!$Q108,MOD(DN$1-Units!$Q108,12)=0),IF(AND(Units!$L108=1,DN$1=Units!$Q108),IF(Units!$J108&lt;&gt;"",Units!$J108,Mkt!DN109),Inputs!$B$15*Mkt!DN109+(1-Inputs!$B$15)*MIN(Mkt!DN109,DM109*(1+Inputs!$B$18))),DM109)))</f>
        <v>1640.46725539696</v>
      </c>
      <c r="DO109" s="11" t="n">
        <f aca="false">IF(DO$1&lt;Units!$P108,0,IF(AND(Units!$K108=0,DO$1=Units!$O108),Units!$R108,IF(AND(DO$1&gt;=Units!$Q108,MOD(DO$1-Units!$Q108,12)=0),IF(AND(Units!$L108=1,DO$1=Units!$Q108),IF(Units!$J108&lt;&gt;"",Units!$J108,Mkt!DO109),Inputs!$B$15*Mkt!DO109+(1-Inputs!$B$15)*MIN(Mkt!DO109,DN109*(1+Inputs!$B$18))),DN109)))</f>
        <v>1640.46725539696</v>
      </c>
      <c r="DP109" s="11" t="n">
        <f aca="false">IF(DP$1&lt;Units!$P108,0,IF(AND(Units!$K108=0,DP$1=Units!$O108),Units!$R108,IF(AND(DP$1&gt;=Units!$Q108,MOD(DP$1-Units!$Q108,12)=0),IF(AND(Units!$L108=1,DP$1=Units!$Q108),IF(Units!$J108&lt;&gt;"",Units!$J108,Mkt!DP109),Inputs!$B$15*Mkt!DP109+(1-Inputs!$B$15)*MIN(Mkt!DP109,DO109*(1+Inputs!$B$18))),DO109)))</f>
        <v>1640.46725539696</v>
      </c>
      <c r="DQ109" s="11" t="n">
        <f aca="false">IF(DQ$1&lt;Units!$P108,0,IF(AND(Units!$K108=0,DQ$1=Units!$O108),Units!$R108,IF(AND(DQ$1&gt;=Units!$Q108,MOD(DQ$1-Units!$Q108,12)=0),IF(AND(Units!$L108=1,DQ$1=Units!$Q108),IF(Units!$J108&lt;&gt;"",Units!$J108,Mkt!DQ109),Inputs!$B$15*Mkt!DQ109+(1-Inputs!$B$15)*MIN(Mkt!DQ109,DP109*(1+Inputs!$B$18))),DP109)))</f>
        <v>1640.46725539696</v>
      </c>
      <c r="DR109" s="11" t="n">
        <f aca="false">IF(DR$1&lt;Units!$P108,0,IF(AND(Units!$K108=0,DR$1=Units!$O108),Units!$R108,IF(AND(DR$1&gt;=Units!$Q108,MOD(DR$1-Units!$Q108,12)=0),IF(AND(Units!$L108=1,DR$1=Units!$Q108),IF(Units!$J108&lt;&gt;"",Units!$J108,Mkt!DR109),Inputs!$B$15*Mkt!DR109+(1-Inputs!$B$15)*MIN(Mkt!DR109,DQ109*(1+Inputs!$B$18))),DQ109)))</f>
        <v>1689.68127305887</v>
      </c>
      <c r="DS109" s="11" t="n">
        <f aca="false">IF(DS$1&lt;Units!$P108,0,IF(AND(Units!$K108=0,DS$1=Units!$O108),Units!$R108,IF(AND(DS$1&gt;=Units!$Q108,MOD(DS$1-Units!$Q108,12)=0),IF(AND(Units!$L108=1,DS$1=Units!$Q108),IF(Units!$J108&lt;&gt;"",Units!$J108,Mkt!DS109),Inputs!$B$15*Mkt!DS109+(1-Inputs!$B$15)*MIN(Mkt!DS109,DR109*(1+Inputs!$B$18))),DR109)))</f>
        <v>1689.68127305887</v>
      </c>
      <c r="DT109" s="11" t="n">
        <f aca="false">IF(DT$1&lt;Units!$P108,0,IF(AND(Units!$K108=0,DT$1=Units!$O108),Units!$R108,IF(AND(DT$1&gt;=Units!$Q108,MOD(DT$1-Units!$Q108,12)=0),IF(AND(Units!$L108=1,DT$1=Units!$Q108),IF(Units!$J108&lt;&gt;"",Units!$J108,Mkt!DT109),Inputs!$B$15*Mkt!DT109+(1-Inputs!$B$15)*MIN(Mkt!DT109,DS109*(1+Inputs!$B$18))),DS109)))</f>
        <v>1689.68127305887</v>
      </c>
      <c r="DU109" s="11" t="n">
        <f aca="false">IF(DU$1&lt;Units!$P108,0,IF(AND(Units!$K108=0,DU$1=Units!$O108),Units!$R108,IF(AND(DU$1&gt;=Units!$Q108,MOD(DU$1-Units!$Q108,12)=0),IF(AND(Units!$L108=1,DU$1=Units!$Q108),IF(Units!$J108&lt;&gt;"",Units!$J108,Mkt!DU109),Inputs!$B$15*Mkt!DU109+(1-Inputs!$B$15)*MIN(Mkt!DU109,DT109*(1+Inputs!$B$18))),DT109)))</f>
        <v>1689.68127305887</v>
      </c>
      <c r="DV109" s="11" t="n">
        <f aca="false">IF(DV$1&lt;Units!$P108,0,IF(AND(Units!$K108=0,DV$1=Units!$O108),Units!$R108,IF(AND(DV$1&gt;=Units!$Q108,MOD(DV$1-Units!$Q108,12)=0),IF(AND(Units!$L108=1,DV$1=Units!$Q108),IF(Units!$J108&lt;&gt;"",Units!$J108,Mkt!DV109),Inputs!$B$15*Mkt!DV109+(1-Inputs!$B$15)*MIN(Mkt!DV109,DU109*(1+Inputs!$B$18))),DU109)))</f>
        <v>1689.68127305887</v>
      </c>
      <c r="DW109" s="11" t="n">
        <f aca="false">IF(DW$1&lt;Units!$P108,0,IF(AND(Units!$K108=0,DW$1=Units!$O108),Units!$R108,IF(AND(DW$1&gt;=Units!$Q108,MOD(DW$1-Units!$Q108,12)=0),IF(AND(Units!$L108=1,DW$1=Units!$Q108),IF(Units!$J108&lt;&gt;"",Units!$J108,Mkt!DW109),Inputs!$B$15*Mkt!DW109+(1-Inputs!$B$15)*MIN(Mkt!DW109,DV109*(1+Inputs!$B$18))),DV109)))</f>
        <v>1689.68127305887</v>
      </c>
      <c r="DX109" s="11" t="n">
        <f aca="false">IF(DX$1&lt;Units!$P108,0,IF(AND(Units!$K108=0,DX$1=Units!$O108),Units!$R108,IF(AND(DX$1&gt;=Units!$Q108,MOD(DX$1-Units!$Q108,12)=0),IF(AND(Units!$L108=1,DX$1=Units!$Q108),IF(Units!$J108&lt;&gt;"",Units!$J108,Mkt!DX109),Inputs!$B$15*Mkt!DX109+(1-Inputs!$B$15)*MIN(Mkt!DX109,DW109*(1+Inputs!$B$18))),DW109)))</f>
        <v>1689.68127305887</v>
      </c>
      <c r="DY109" s="11" t="n">
        <f aca="false">IF(DY$1&lt;Units!$P108,0,IF(AND(Units!$K108=0,DY$1=Units!$O108),Units!$R108,IF(AND(DY$1&gt;=Units!$Q108,MOD(DY$1-Units!$Q108,12)=0),IF(AND(Units!$L108=1,DY$1=Units!$Q108),IF(Units!$J108&lt;&gt;"",Units!$J108,Mkt!DY109),Inputs!$B$15*Mkt!DY109+(1-Inputs!$B$15)*MIN(Mkt!DY109,DX109*(1+Inputs!$B$18))),DX109)))</f>
        <v>1689.68127305887</v>
      </c>
      <c r="DZ109" s="11" t="n">
        <f aca="false">IF(DZ$1&lt;Units!$P108,0,IF(AND(Units!$K108=0,DZ$1=Units!$O108),Units!$R108,IF(AND(DZ$1&gt;=Units!$Q108,MOD(DZ$1-Units!$Q108,12)=0),IF(AND(Units!$L108=1,DZ$1=Units!$Q108),IF(Units!$J108&lt;&gt;"",Units!$J108,Mkt!DZ109),Inputs!$B$15*Mkt!DZ109+(1-Inputs!$B$15)*MIN(Mkt!DZ109,DY109*(1+Inputs!$B$18))),DY109)))</f>
        <v>1689.68127305887</v>
      </c>
      <c r="EA109" s="11" t="n">
        <f aca="false">IF(EA$1&lt;Units!$P108,0,IF(AND(Units!$K108=0,EA$1=Units!$O108),Units!$R108,IF(AND(EA$1&gt;=Units!$Q108,MOD(EA$1-Units!$Q108,12)=0),IF(AND(Units!$L108=1,EA$1=Units!$Q108),IF(Units!$J108&lt;&gt;"",Units!$J108,Mkt!EA109),Inputs!$B$15*Mkt!EA109+(1-Inputs!$B$15)*MIN(Mkt!EA109,DZ109*(1+Inputs!$B$18))),DZ109)))</f>
        <v>1689.68127305887</v>
      </c>
      <c r="EB109" s="11" t="n">
        <f aca="false">IF(EB$1&lt;Units!$P108,0,IF(AND(Units!$K108=0,EB$1=Units!$O108),Units!$R108,IF(AND(EB$1&gt;=Units!$Q108,MOD(EB$1-Units!$Q108,12)=0),IF(AND(Units!$L108=1,EB$1=Units!$Q108),IF(Units!$J108&lt;&gt;"",Units!$J108,Mkt!EB109),Inputs!$B$15*Mkt!EB109+(1-Inputs!$B$15)*MIN(Mkt!EB109,EA109*(1+Inputs!$B$18))),EA109)))</f>
        <v>1689.68127305887</v>
      </c>
      <c r="EC109" s="11" t="n">
        <f aca="false">IF(EC$1&lt;Units!$P108,0,IF(AND(Units!$K108=0,EC$1=Units!$O108),Units!$R108,IF(AND(EC$1&gt;=Units!$Q108,MOD(EC$1-Units!$Q108,12)=0),IF(AND(Units!$L108=1,EC$1=Units!$Q108),IF(Units!$J108&lt;&gt;"",Units!$J108,Mkt!EC109),Inputs!$B$15*Mkt!EC109+(1-Inputs!$B$15)*MIN(Mkt!EC109,EB109*(1+Inputs!$B$18))),EB109)))</f>
        <v>1689.68127305887</v>
      </c>
      <c r="ED109" s="11" t="n">
        <f aca="false">IF(ED$1&lt;Units!$P108,0,IF(AND(Units!$K108=0,ED$1=Units!$O108),Units!$R108,IF(AND(ED$1&gt;=Units!$Q108,MOD(ED$1-Units!$Q108,12)=0),IF(AND(Units!$L108=1,ED$1=Units!$Q108),IF(Units!$J108&lt;&gt;"",Units!$J108,Mkt!ED109),Inputs!$B$15*Mkt!ED109+(1-Inputs!$B$15)*MIN(Mkt!ED109,EC109*(1+Inputs!$B$18))),EC109)))</f>
        <v>1740.37171125064</v>
      </c>
    </row>
    <row r="110" customFormat="false" ht="15" hidden="false" customHeight="false" outlineLevel="0" collapsed="false">
      <c r="A110" s="22" t="n">
        <f aca="false">Units!A109</f>
        <v>418</v>
      </c>
      <c r="B110" s="24" t="n">
        <f aca="false">IF(Units!K109=1,Units!F109,0)</f>
        <v>1265</v>
      </c>
      <c r="C110" s="11" t="n">
        <f aca="false">IF(C$1&lt;Units!$P109,0,IF(AND(Units!$K109=0,C$1=Units!$O109),Units!$R109,IF(AND(C$1&gt;=Units!$Q109,MOD(C$1-Units!$Q109,12)=0),IF(AND(Units!$L109=1,C$1=Units!$Q109),IF(Units!$J109&lt;&gt;"",Units!$J109,Mkt!C110),Inputs!$B$15*Mkt!C110+(1-Inputs!$B$15)*MIN(Mkt!C110,B110*(1+Inputs!$B$18))),B110)))</f>
        <v>1265</v>
      </c>
      <c r="D110" s="11" t="n">
        <f aca="false">IF(D$1&lt;Units!$P109,0,IF(AND(Units!$K109=0,D$1=Units!$O109),Units!$R109,IF(AND(D$1&gt;=Units!$Q109,MOD(D$1-Units!$Q109,12)=0),IF(AND(Units!$L109=1,D$1=Units!$Q109),IF(Units!$J109&lt;&gt;"",Units!$J109,Mkt!D110),Inputs!$B$15*Mkt!D110+(1-Inputs!$B$15)*MIN(Mkt!D110,C110*(1+Inputs!$B$18))),C110)))</f>
        <v>1265</v>
      </c>
      <c r="E110" s="11" t="n">
        <f aca="false">IF(E$1&lt;Units!$P109,0,IF(AND(Units!$K109=0,E$1=Units!$O109),Units!$R109,IF(AND(E$1&gt;=Units!$Q109,MOD(E$1-Units!$Q109,12)=0),IF(AND(Units!$L109=1,E$1=Units!$Q109),IF(Units!$J109&lt;&gt;"",Units!$J109,Mkt!E110),Inputs!$B$15*Mkt!E110+(1-Inputs!$B$15)*MIN(Mkt!E110,D110*(1+Inputs!$B$18))),D110)))</f>
        <v>1265</v>
      </c>
      <c r="F110" s="11" t="n">
        <f aca="false">IF(F$1&lt;Units!$P109,0,IF(AND(Units!$K109=0,F$1=Units!$O109),Units!$R109,IF(AND(F$1&gt;=Units!$Q109,MOD(F$1-Units!$Q109,12)=0),IF(AND(Units!$L109=1,F$1=Units!$Q109),IF(Units!$J109&lt;&gt;"",Units!$J109,Mkt!F110),Inputs!$B$15*Mkt!F110+(1-Inputs!$B$15)*MIN(Mkt!F110,E110*(1+Inputs!$B$18))),E110)))</f>
        <v>1295</v>
      </c>
      <c r="G110" s="11" t="n">
        <f aca="false">IF(G$1&lt;Units!$P109,0,IF(AND(Units!$K109=0,G$1=Units!$O109),Units!$R109,IF(AND(G$1&gt;=Units!$Q109,MOD(G$1-Units!$Q109,12)=0),IF(AND(Units!$L109=1,G$1=Units!$Q109),IF(Units!$J109&lt;&gt;"",Units!$J109,Mkt!G110),Inputs!$B$15*Mkt!G110+(1-Inputs!$B$15)*MIN(Mkt!G110,F110*(1+Inputs!$B$18))),F110)))</f>
        <v>1295</v>
      </c>
      <c r="H110" s="11" t="n">
        <f aca="false">IF(H$1&lt;Units!$P109,0,IF(AND(Units!$K109=0,H$1=Units!$O109),Units!$R109,IF(AND(H$1&gt;=Units!$Q109,MOD(H$1-Units!$Q109,12)=0),IF(AND(Units!$L109=1,H$1=Units!$Q109),IF(Units!$J109&lt;&gt;"",Units!$J109,Mkt!H110),Inputs!$B$15*Mkt!H110+(1-Inputs!$B$15)*MIN(Mkt!H110,G110*(1+Inputs!$B$18))),G110)))</f>
        <v>1295</v>
      </c>
      <c r="I110" s="11" t="n">
        <f aca="false">IF(I$1&lt;Units!$P109,0,IF(AND(Units!$K109=0,I$1=Units!$O109),Units!$R109,IF(AND(I$1&gt;=Units!$Q109,MOD(I$1-Units!$Q109,12)=0),IF(AND(Units!$L109=1,I$1=Units!$Q109),IF(Units!$J109&lt;&gt;"",Units!$J109,Mkt!I110),Inputs!$B$15*Mkt!I110+(1-Inputs!$B$15)*MIN(Mkt!I110,H110*(1+Inputs!$B$18))),H110)))</f>
        <v>1295</v>
      </c>
      <c r="J110" s="11" t="n">
        <f aca="false">IF(J$1&lt;Units!$P109,0,IF(AND(Units!$K109=0,J$1=Units!$O109),Units!$R109,IF(AND(J$1&gt;=Units!$Q109,MOD(J$1-Units!$Q109,12)=0),IF(AND(Units!$L109=1,J$1=Units!$Q109),IF(Units!$J109&lt;&gt;"",Units!$J109,Mkt!J110),Inputs!$B$15*Mkt!J110+(1-Inputs!$B$15)*MIN(Mkt!J110,I110*(1+Inputs!$B$18))),I110)))</f>
        <v>1295</v>
      </c>
      <c r="K110" s="11" t="n">
        <f aca="false">IF(K$1&lt;Units!$P109,0,IF(AND(Units!$K109=0,K$1=Units!$O109),Units!$R109,IF(AND(K$1&gt;=Units!$Q109,MOD(K$1-Units!$Q109,12)=0),IF(AND(Units!$L109=1,K$1=Units!$Q109),IF(Units!$J109&lt;&gt;"",Units!$J109,Mkt!K110),Inputs!$B$15*Mkt!K110+(1-Inputs!$B$15)*MIN(Mkt!K110,J110*(1+Inputs!$B$18))),J110)))</f>
        <v>1295</v>
      </c>
      <c r="L110" s="11" t="n">
        <f aca="false">IF(L$1&lt;Units!$P109,0,IF(AND(Units!$K109=0,L$1=Units!$O109),Units!$R109,IF(AND(L$1&gt;=Units!$Q109,MOD(L$1-Units!$Q109,12)=0),IF(AND(Units!$L109=1,L$1=Units!$Q109),IF(Units!$J109&lt;&gt;"",Units!$J109,Mkt!L110),Inputs!$B$15*Mkt!L110+(1-Inputs!$B$15)*MIN(Mkt!L110,K110*(1+Inputs!$B$18))),K110)))</f>
        <v>1295</v>
      </c>
      <c r="M110" s="11" t="n">
        <f aca="false">IF(M$1&lt;Units!$P109,0,IF(AND(Units!$K109=0,M$1=Units!$O109),Units!$R109,IF(AND(M$1&gt;=Units!$Q109,MOD(M$1-Units!$Q109,12)=0),IF(AND(Units!$L109=1,M$1=Units!$Q109),IF(Units!$J109&lt;&gt;"",Units!$J109,Mkt!M110),Inputs!$B$15*Mkt!M110+(1-Inputs!$B$15)*MIN(Mkt!M110,L110*(1+Inputs!$B$18))),L110)))</f>
        <v>1295</v>
      </c>
      <c r="N110" s="11" t="n">
        <f aca="false">IF(N$1&lt;Units!$P109,0,IF(AND(Units!$K109=0,N$1=Units!$O109),Units!$R109,IF(AND(N$1&gt;=Units!$Q109,MOD(N$1-Units!$Q109,12)=0),IF(AND(Units!$L109=1,N$1=Units!$Q109),IF(Units!$J109&lt;&gt;"",Units!$J109,Mkt!N110),Inputs!$B$15*Mkt!N110+(1-Inputs!$B$15)*MIN(Mkt!N110,M110*(1+Inputs!$B$18))),M110)))</f>
        <v>1295</v>
      </c>
      <c r="O110" s="11" t="n">
        <f aca="false">IF(O$1&lt;Units!$P109,0,IF(AND(Units!$K109=0,O$1=Units!$O109),Units!$R109,IF(AND(O$1&gt;=Units!$Q109,MOD(O$1-Units!$Q109,12)=0),IF(AND(Units!$L109=1,O$1=Units!$Q109),IF(Units!$J109&lt;&gt;"",Units!$J109,Mkt!O110),Inputs!$B$15*Mkt!O110+(1-Inputs!$B$15)*MIN(Mkt!O110,N110*(1+Inputs!$B$18))),N110)))</f>
        <v>1295</v>
      </c>
      <c r="P110" s="11" t="n">
        <f aca="false">IF(P$1&lt;Units!$P109,0,IF(AND(Units!$K109=0,P$1=Units!$O109),Units!$R109,IF(AND(P$1&gt;=Units!$Q109,MOD(P$1-Units!$Q109,12)=0),IF(AND(Units!$L109=1,P$1=Units!$Q109),IF(Units!$J109&lt;&gt;"",Units!$J109,Mkt!P110),Inputs!$B$15*Mkt!P110+(1-Inputs!$B$15)*MIN(Mkt!P110,O110*(1+Inputs!$B$18))),O110)))</f>
        <v>1295</v>
      </c>
      <c r="Q110" s="11" t="n">
        <f aca="false">IF(Q$1&lt;Units!$P109,0,IF(AND(Units!$K109=0,Q$1=Units!$O109),Units!$R109,IF(AND(Q$1&gt;=Units!$Q109,MOD(Q$1-Units!$Q109,12)=0),IF(AND(Units!$L109=1,Q$1=Units!$Q109),IF(Units!$J109&lt;&gt;"",Units!$J109,Mkt!Q110),Inputs!$B$15*Mkt!Q110+(1-Inputs!$B$15)*MIN(Mkt!Q110,P110*(1+Inputs!$B$18))),P110)))</f>
        <v>1295</v>
      </c>
      <c r="R110" s="11" t="n">
        <f aca="false">IF(R$1&lt;Units!$P109,0,IF(AND(Units!$K109=0,R$1=Units!$O109),Units!$R109,IF(AND(R$1&gt;=Units!$Q109,MOD(R$1-Units!$Q109,12)=0),IF(AND(Units!$L109=1,R$1=Units!$Q109),IF(Units!$J109&lt;&gt;"",Units!$J109,Mkt!R110),Inputs!$B$15*Mkt!R110+(1-Inputs!$B$15)*MIN(Mkt!R110,Q110*(1+Inputs!$B$18))),Q110)))</f>
        <v>1333.85</v>
      </c>
      <c r="S110" s="11" t="n">
        <f aca="false">IF(S$1&lt;Units!$P109,0,IF(AND(Units!$K109=0,S$1=Units!$O109),Units!$R109,IF(AND(S$1&gt;=Units!$Q109,MOD(S$1-Units!$Q109,12)=0),IF(AND(Units!$L109=1,S$1=Units!$Q109),IF(Units!$J109&lt;&gt;"",Units!$J109,Mkt!S110),Inputs!$B$15*Mkt!S110+(1-Inputs!$B$15)*MIN(Mkt!S110,R110*(1+Inputs!$B$18))),R110)))</f>
        <v>1333.85</v>
      </c>
      <c r="T110" s="11" t="n">
        <f aca="false">IF(T$1&lt;Units!$P109,0,IF(AND(Units!$K109=0,T$1=Units!$O109),Units!$R109,IF(AND(T$1&gt;=Units!$Q109,MOD(T$1-Units!$Q109,12)=0),IF(AND(Units!$L109=1,T$1=Units!$Q109),IF(Units!$J109&lt;&gt;"",Units!$J109,Mkt!T110),Inputs!$B$15*Mkt!T110+(1-Inputs!$B$15)*MIN(Mkt!T110,S110*(1+Inputs!$B$18))),S110)))</f>
        <v>1333.85</v>
      </c>
      <c r="U110" s="11" t="n">
        <f aca="false">IF(U$1&lt;Units!$P109,0,IF(AND(Units!$K109=0,U$1=Units!$O109),Units!$R109,IF(AND(U$1&gt;=Units!$Q109,MOD(U$1-Units!$Q109,12)=0),IF(AND(Units!$L109=1,U$1=Units!$Q109),IF(Units!$J109&lt;&gt;"",Units!$J109,Mkt!U110),Inputs!$B$15*Mkt!U110+(1-Inputs!$B$15)*MIN(Mkt!U110,T110*(1+Inputs!$B$18))),T110)))</f>
        <v>1333.85</v>
      </c>
      <c r="V110" s="11" t="n">
        <f aca="false">IF(V$1&lt;Units!$P109,0,IF(AND(Units!$K109=0,V$1=Units!$O109),Units!$R109,IF(AND(V$1&gt;=Units!$Q109,MOD(V$1-Units!$Q109,12)=0),IF(AND(Units!$L109=1,V$1=Units!$Q109),IF(Units!$J109&lt;&gt;"",Units!$J109,Mkt!V110),Inputs!$B$15*Mkt!V110+(1-Inputs!$B$15)*MIN(Mkt!V110,U110*(1+Inputs!$B$18))),U110)))</f>
        <v>1333.85</v>
      </c>
      <c r="W110" s="11" t="n">
        <f aca="false">IF(W$1&lt;Units!$P109,0,IF(AND(Units!$K109=0,W$1=Units!$O109),Units!$R109,IF(AND(W$1&gt;=Units!$Q109,MOD(W$1-Units!$Q109,12)=0),IF(AND(Units!$L109=1,W$1=Units!$Q109),IF(Units!$J109&lt;&gt;"",Units!$J109,Mkt!W110),Inputs!$B$15*Mkt!W110+(1-Inputs!$B$15)*MIN(Mkt!W110,V110*(1+Inputs!$B$18))),V110)))</f>
        <v>1333.85</v>
      </c>
      <c r="X110" s="11" t="n">
        <f aca="false">IF(X$1&lt;Units!$P109,0,IF(AND(Units!$K109=0,X$1=Units!$O109),Units!$R109,IF(AND(X$1&gt;=Units!$Q109,MOD(X$1-Units!$Q109,12)=0),IF(AND(Units!$L109=1,X$1=Units!$Q109),IF(Units!$J109&lt;&gt;"",Units!$J109,Mkt!X110),Inputs!$B$15*Mkt!X110+(1-Inputs!$B$15)*MIN(Mkt!X110,W110*(1+Inputs!$B$18))),W110)))</f>
        <v>1333.85</v>
      </c>
      <c r="Y110" s="11" t="n">
        <f aca="false">IF(Y$1&lt;Units!$P109,0,IF(AND(Units!$K109=0,Y$1=Units!$O109),Units!$R109,IF(AND(Y$1&gt;=Units!$Q109,MOD(Y$1-Units!$Q109,12)=0),IF(AND(Units!$L109=1,Y$1=Units!$Q109),IF(Units!$J109&lt;&gt;"",Units!$J109,Mkt!Y110),Inputs!$B$15*Mkt!Y110+(1-Inputs!$B$15)*MIN(Mkt!Y110,X110*(1+Inputs!$B$18))),X110)))</f>
        <v>1333.85</v>
      </c>
      <c r="Z110" s="11" t="n">
        <f aca="false">IF(Z$1&lt;Units!$P109,0,IF(AND(Units!$K109=0,Z$1=Units!$O109),Units!$R109,IF(AND(Z$1&gt;=Units!$Q109,MOD(Z$1-Units!$Q109,12)=0),IF(AND(Units!$L109=1,Z$1=Units!$Q109),IF(Units!$J109&lt;&gt;"",Units!$J109,Mkt!Z110),Inputs!$B$15*Mkt!Z110+(1-Inputs!$B$15)*MIN(Mkt!Z110,Y110*(1+Inputs!$B$18))),Y110)))</f>
        <v>1333.85</v>
      </c>
      <c r="AA110" s="11" t="n">
        <f aca="false">IF(AA$1&lt;Units!$P109,0,IF(AND(Units!$K109=0,AA$1=Units!$O109),Units!$R109,IF(AND(AA$1&gt;=Units!$Q109,MOD(AA$1-Units!$Q109,12)=0),IF(AND(Units!$L109=1,AA$1=Units!$Q109),IF(Units!$J109&lt;&gt;"",Units!$J109,Mkt!AA110),Inputs!$B$15*Mkt!AA110+(1-Inputs!$B$15)*MIN(Mkt!AA110,Z110*(1+Inputs!$B$18))),Z110)))</f>
        <v>1333.85</v>
      </c>
      <c r="AB110" s="11" t="n">
        <f aca="false">IF(AB$1&lt;Units!$P109,0,IF(AND(Units!$K109=0,AB$1=Units!$O109),Units!$R109,IF(AND(AB$1&gt;=Units!$Q109,MOD(AB$1-Units!$Q109,12)=0),IF(AND(Units!$L109=1,AB$1=Units!$Q109),IF(Units!$J109&lt;&gt;"",Units!$J109,Mkt!AB110),Inputs!$B$15*Mkt!AB110+(1-Inputs!$B$15)*MIN(Mkt!AB110,AA110*(1+Inputs!$B$18))),AA110)))</f>
        <v>1333.85</v>
      </c>
      <c r="AC110" s="11" t="n">
        <f aca="false">IF(AC$1&lt;Units!$P109,0,IF(AND(Units!$K109=0,AC$1=Units!$O109),Units!$R109,IF(AND(AC$1&gt;=Units!$Q109,MOD(AC$1-Units!$Q109,12)=0),IF(AND(Units!$L109=1,AC$1=Units!$Q109),IF(Units!$J109&lt;&gt;"",Units!$J109,Mkt!AC110),Inputs!$B$15*Mkt!AC110+(1-Inputs!$B$15)*MIN(Mkt!AC110,AB110*(1+Inputs!$B$18))),AB110)))</f>
        <v>1333.85</v>
      </c>
      <c r="AD110" s="11" t="n">
        <f aca="false">IF(AD$1&lt;Units!$P109,0,IF(AND(Units!$K109=0,AD$1=Units!$O109),Units!$R109,IF(AND(AD$1&gt;=Units!$Q109,MOD(AD$1-Units!$Q109,12)=0),IF(AND(Units!$L109=1,AD$1=Units!$Q109),IF(Units!$J109&lt;&gt;"",Units!$J109,Mkt!AD110),Inputs!$B$15*Mkt!AD110+(1-Inputs!$B$15)*MIN(Mkt!AD110,AC110*(1+Inputs!$B$18))),AC110)))</f>
        <v>1373.8655</v>
      </c>
      <c r="AE110" s="11" t="n">
        <f aca="false">IF(AE$1&lt;Units!$P109,0,IF(AND(Units!$K109=0,AE$1=Units!$O109),Units!$R109,IF(AND(AE$1&gt;=Units!$Q109,MOD(AE$1-Units!$Q109,12)=0),IF(AND(Units!$L109=1,AE$1=Units!$Q109),IF(Units!$J109&lt;&gt;"",Units!$J109,Mkt!AE110),Inputs!$B$15*Mkt!AE110+(1-Inputs!$B$15)*MIN(Mkt!AE110,AD110*(1+Inputs!$B$18))),AD110)))</f>
        <v>1373.8655</v>
      </c>
      <c r="AF110" s="11" t="n">
        <f aca="false">IF(AF$1&lt;Units!$P109,0,IF(AND(Units!$K109=0,AF$1=Units!$O109),Units!$R109,IF(AND(AF$1&gt;=Units!$Q109,MOD(AF$1-Units!$Q109,12)=0),IF(AND(Units!$L109=1,AF$1=Units!$Q109),IF(Units!$J109&lt;&gt;"",Units!$J109,Mkt!AF110),Inputs!$B$15*Mkt!AF110+(1-Inputs!$B$15)*MIN(Mkt!AF110,AE110*(1+Inputs!$B$18))),AE110)))</f>
        <v>1373.8655</v>
      </c>
      <c r="AG110" s="11" t="n">
        <f aca="false">IF(AG$1&lt;Units!$P109,0,IF(AND(Units!$K109=0,AG$1=Units!$O109),Units!$R109,IF(AND(AG$1&gt;=Units!$Q109,MOD(AG$1-Units!$Q109,12)=0),IF(AND(Units!$L109=1,AG$1=Units!$Q109),IF(Units!$J109&lt;&gt;"",Units!$J109,Mkt!AG110),Inputs!$B$15*Mkt!AG110+(1-Inputs!$B$15)*MIN(Mkt!AG110,AF110*(1+Inputs!$B$18))),AF110)))</f>
        <v>1373.8655</v>
      </c>
      <c r="AH110" s="11" t="n">
        <f aca="false">IF(AH$1&lt;Units!$P109,0,IF(AND(Units!$K109=0,AH$1=Units!$O109),Units!$R109,IF(AND(AH$1&gt;=Units!$Q109,MOD(AH$1-Units!$Q109,12)=0),IF(AND(Units!$L109=1,AH$1=Units!$Q109),IF(Units!$J109&lt;&gt;"",Units!$J109,Mkt!AH110),Inputs!$B$15*Mkt!AH110+(1-Inputs!$B$15)*MIN(Mkt!AH110,AG110*(1+Inputs!$B$18))),AG110)))</f>
        <v>1373.8655</v>
      </c>
      <c r="AI110" s="11" t="n">
        <f aca="false">IF(AI$1&lt;Units!$P109,0,IF(AND(Units!$K109=0,AI$1=Units!$O109),Units!$R109,IF(AND(AI$1&gt;=Units!$Q109,MOD(AI$1-Units!$Q109,12)=0),IF(AND(Units!$L109=1,AI$1=Units!$Q109),IF(Units!$J109&lt;&gt;"",Units!$J109,Mkt!AI110),Inputs!$B$15*Mkt!AI110+(1-Inputs!$B$15)*MIN(Mkt!AI110,AH110*(1+Inputs!$B$18))),AH110)))</f>
        <v>1373.8655</v>
      </c>
      <c r="AJ110" s="11" t="n">
        <f aca="false">IF(AJ$1&lt;Units!$P109,0,IF(AND(Units!$K109=0,AJ$1=Units!$O109),Units!$R109,IF(AND(AJ$1&gt;=Units!$Q109,MOD(AJ$1-Units!$Q109,12)=0),IF(AND(Units!$L109=1,AJ$1=Units!$Q109),IF(Units!$J109&lt;&gt;"",Units!$J109,Mkt!AJ110),Inputs!$B$15*Mkt!AJ110+(1-Inputs!$B$15)*MIN(Mkt!AJ110,AI110*(1+Inputs!$B$18))),AI110)))</f>
        <v>1373.8655</v>
      </c>
      <c r="AK110" s="11" t="n">
        <f aca="false">IF(AK$1&lt;Units!$P109,0,IF(AND(Units!$K109=0,AK$1=Units!$O109),Units!$R109,IF(AND(AK$1&gt;=Units!$Q109,MOD(AK$1-Units!$Q109,12)=0),IF(AND(Units!$L109=1,AK$1=Units!$Q109),IF(Units!$J109&lt;&gt;"",Units!$J109,Mkt!AK110),Inputs!$B$15*Mkt!AK110+(1-Inputs!$B$15)*MIN(Mkt!AK110,AJ110*(1+Inputs!$B$18))),AJ110)))</f>
        <v>1373.8655</v>
      </c>
      <c r="AL110" s="11" t="n">
        <f aca="false">IF(AL$1&lt;Units!$P109,0,IF(AND(Units!$K109=0,AL$1=Units!$O109),Units!$R109,IF(AND(AL$1&gt;=Units!$Q109,MOD(AL$1-Units!$Q109,12)=0),IF(AND(Units!$L109=1,AL$1=Units!$Q109),IF(Units!$J109&lt;&gt;"",Units!$J109,Mkt!AL110),Inputs!$B$15*Mkt!AL110+(1-Inputs!$B$15)*MIN(Mkt!AL110,AK110*(1+Inputs!$B$18))),AK110)))</f>
        <v>1373.8655</v>
      </c>
      <c r="AM110" s="11" t="n">
        <f aca="false">IF(AM$1&lt;Units!$P109,0,IF(AND(Units!$K109=0,AM$1=Units!$O109),Units!$R109,IF(AND(AM$1&gt;=Units!$Q109,MOD(AM$1-Units!$Q109,12)=0),IF(AND(Units!$L109=1,AM$1=Units!$Q109),IF(Units!$J109&lt;&gt;"",Units!$J109,Mkt!AM110),Inputs!$B$15*Mkt!AM110+(1-Inputs!$B$15)*MIN(Mkt!AM110,AL110*(1+Inputs!$B$18))),AL110)))</f>
        <v>1373.8655</v>
      </c>
      <c r="AN110" s="11" t="n">
        <f aca="false">IF(AN$1&lt;Units!$P109,0,IF(AND(Units!$K109=0,AN$1=Units!$O109),Units!$R109,IF(AND(AN$1&gt;=Units!$Q109,MOD(AN$1-Units!$Q109,12)=0),IF(AND(Units!$L109=1,AN$1=Units!$Q109),IF(Units!$J109&lt;&gt;"",Units!$J109,Mkt!AN110),Inputs!$B$15*Mkt!AN110+(1-Inputs!$B$15)*MIN(Mkt!AN110,AM110*(1+Inputs!$B$18))),AM110)))</f>
        <v>1373.8655</v>
      </c>
      <c r="AO110" s="11" t="n">
        <f aca="false">IF(AO$1&lt;Units!$P109,0,IF(AND(Units!$K109=0,AO$1=Units!$O109),Units!$R109,IF(AND(AO$1&gt;=Units!$Q109,MOD(AO$1-Units!$Q109,12)=0),IF(AND(Units!$L109=1,AO$1=Units!$Q109),IF(Units!$J109&lt;&gt;"",Units!$J109,Mkt!AO110),Inputs!$B$15*Mkt!AO110+(1-Inputs!$B$15)*MIN(Mkt!AO110,AN110*(1+Inputs!$B$18))),AN110)))</f>
        <v>1373.8655</v>
      </c>
      <c r="AP110" s="11" t="n">
        <f aca="false">IF(AP$1&lt;Units!$P109,0,IF(AND(Units!$K109=0,AP$1=Units!$O109),Units!$R109,IF(AND(AP$1&gt;=Units!$Q109,MOD(AP$1-Units!$Q109,12)=0),IF(AND(Units!$L109=1,AP$1=Units!$Q109),IF(Units!$J109&lt;&gt;"",Units!$J109,Mkt!AP110),Inputs!$B$15*Mkt!AP110+(1-Inputs!$B$15)*MIN(Mkt!AP110,AO110*(1+Inputs!$B$18))),AO110)))</f>
        <v>1415.081465</v>
      </c>
      <c r="AQ110" s="11" t="n">
        <f aca="false">IF(AQ$1&lt;Units!$P109,0,IF(AND(Units!$K109=0,AQ$1=Units!$O109),Units!$R109,IF(AND(AQ$1&gt;=Units!$Q109,MOD(AQ$1-Units!$Q109,12)=0),IF(AND(Units!$L109=1,AQ$1=Units!$Q109),IF(Units!$J109&lt;&gt;"",Units!$J109,Mkt!AQ110),Inputs!$B$15*Mkt!AQ110+(1-Inputs!$B$15)*MIN(Mkt!AQ110,AP110*(1+Inputs!$B$18))),AP110)))</f>
        <v>1415.081465</v>
      </c>
      <c r="AR110" s="11" t="n">
        <f aca="false">IF(AR$1&lt;Units!$P109,0,IF(AND(Units!$K109=0,AR$1=Units!$O109),Units!$R109,IF(AND(AR$1&gt;=Units!$Q109,MOD(AR$1-Units!$Q109,12)=0),IF(AND(Units!$L109=1,AR$1=Units!$Q109),IF(Units!$J109&lt;&gt;"",Units!$J109,Mkt!AR110),Inputs!$B$15*Mkt!AR110+(1-Inputs!$B$15)*MIN(Mkt!AR110,AQ110*(1+Inputs!$B$18))),AQ110)))</f>
        <v>1415.081465</v>
      </c>
      <c r="AS110" s="11" t="n">
        <f aca="false">IF(AS$1&lt;Units!$P109,0,IF(AND(Units!$K109=0,AS$1=Units!$O109),Units!$R109,IF(AND(AS$1&gt;=Units!$Q109,MOD(AS$1-Units!$Q109,12)=0),IF(AND(Units!$L109=1,AS$1=Units!$Q109),IF(Units!$J109&lt;&gt;"",Units!$J109,Mkt!AS110),Inputs!$B$15*Mkt!AS110+(1-Inputs!$B$15)*MIN(Mkt!AS110,AR110*(1+Inputs!$B$18))),AR110)))</f>
        <v>1415.081465</v>
      </c>
      <c r="AT110" s="11" t="n">
        <f aca="false">IF(AT$1&lt;Units!$P109,0,IF(AND(Units!$K109=0,AT$1=Units!$O109),Units!$R109,IF(AND(AT$1&gt;=Units!$Q109,MOD(AT$1-Units!$Q109,12)=0),IF(AND(Units!$L109=1,AT$1=Units!$Q109),IF(Units!$J109&lt;&gt;"",Units!$J109,Mkt!AT110),Inputs!$B$15*Mkt!AT110+(1-Inputs!$B$15)*MIN(Mkt!AT110,AS110*(1+Inputs!$B$18))),AS110)))</f>
        <v>1415.081465</v>
      </c>
      <c r="AU110" s="11" t="n">
        <f aca="false">IF(AU$1&lt;Units!$P109,0,IF(AND(Units!$K109=0,AU$1=Units!$O109),Units!$R109,IF(AND(AU$1&gt;=Units!$Q109,MOD(AU$1-Units!$Q109,12)=0),IF(AND(Units!$L109=1,AU$1=Units!$Q109),IF(Units!$J109&lt;&gt;"",Units!$J109,Mkt!AU110),Inputs!$B$15*Mkt!AU110+(1-Inputs!$B$15)*MIN(Mkt!AU110,AT110*(1+Inputs!$B$18))),AT110)))</f>
        <v>1415.081465</v>
      </c>
      <c r="AV110" s="11" t="n">
        <f aca="false">IF(AV$1&lt;Units!$P109,0,IF(AND(Units!$K109=0,AV$1=Units!$O109),Units!$R109,IF(AND(AV$1&gt;=Units!$Q109,MOD(AV$1-Units!$Q109,12)=0),IF(AND(Units!$L109=1,AV$1=Units!$Q109),IF(Units!$J109&lt;&gt;"",Units!$J109,Mkt!AV110),Inputs!$B$15*Mkt!AV110+(1-Inputs!$B$15)*MIN(Mkt!AV110,AU110*(1+Inputs!$B$18))),AU110)))</f>
        <v>1415.081465</v>
      </c>
      <c r="AW110" s="11" t="n">
        <f aca="false">IF(AW$1&lt;Units!$P109,0,IF(AND(Units!$K109=0,AW$1=Units!$O109),Units!$R109,IF(AND(AW$1&gt;=Units!$Q109,MOD(AW$1-Units!$Q109,12)=0),IF(AND(Units!$L109=1,AW$1=Units!$Q109),IF(Units!$J109&lt;&gt;"",Units!$J109,Mkt!AW110),Inputs!$B$15*Mkt!AW110+(1-Inputs!$B$15)*MIN(Mkt!AW110,AV110*(1+Inputs!$B$18))),AV110)))</f>
        <v>1415.081465</v>
      </c>
      <c r="AX110" s="11" t="n">
        <f aca="false">IF(AX$1&lt;Units!$P109,0,IF(AND(Units!$K109=0,AX$1=Units!$O109),Units!$R109,IF(AND(AX$1&gt;=Units!$Q109,MOD(AX$1-Units!$Q109,12)=0),IF(AND(Units!$L109=1,AX$1=Units!$Q109),IF(Units!$J109&lt;&gt;"",Units!$J109,Mkt!AX110),Inputs!$B$15*Mkt!AX110+(1-Inputs!$B$15)*MIN(Mkt!AX110,AW110*(1+Inputs!$B$18))),AW110)))</f>
        <v>1415.081465</v>
      </c>
      <c r="AY110" s="11" t="n">
        <f aca="false">IF(AY$1&lt;Units!$P109,0,IF(AND(Units!$K109=0,AY$1=Units!$O109),Units!$R109,IF(AND(AY$1&gt;=Units!$Q109,MOD(AY$1-Units!$Q109,12)=0),IF(AND(Units!$L109=1,AY$1=Units!$Q109),IF(Units!$J109&lt;&gt;"",Units!$J109,Mkt!AY110),Inputs!$B$15*Mkt!AY110+(1-Inputs!$B$15)*MIN(Mkt!AY110,AX110*(1+Inputs!$B$18))),AX110)))</f>
        <v>1415.081465</v>
      </c>
      <c r="AZ110" s="11" t="n">
        <f aca="false">IF(AZ$1&lt;Units!$P109,0,IF(AND(Units!$K109=0,AZ$1=Units!$O109),Units!$R109,IF(AND(AZ$1&gt;=Units!$Q109,MOD(AZ$1-Units!$Q109,12)=0),IF(AND(Units!$L109=1,AZ$1=Units!$Q109),IF(Units!$J109&lt;&gt;"",Units!$J109,Mkt!AZ110),Inputs!$B$15*Mkt!AZ110+(1-Inputs!$B$15)*MIN(Mkt!AZ110,AY110*(1+Inputs!$B$18))),AY110)))</f>
        <v>1415.081465</v>
      </c>
      <c r="BA110" s="11" t="n">
        <f aca="false">IF(BA$1&lt;Units!$P109,0,IF(AND(Units!$K109=0,BA$1=Units!$O109),Units!$R109,IF(AND(BA$1&gt;=Units!$Q109,MOD(BA$1-Units!$Q109,12)=0),IF(AND(Units!$L109=1,BA$1=Units!$Q109),IF(Units!$J109&lt;&gt;"",Units!$J109,Mkt!BA110),Inputs!$B$15*Mkt!BA110+(1-Inputs!$B$15)*MIN(Mkt!BA110,AZ110*(1+Inputs!$B$18))),AZ110)))</f>
        <v>1415.081465</v>
      </c>
      <c r="BB110" s="11" t="n">
        <f aca="false">IF(BB$1&lt;Units!$P109,0,IF(AND(Units!$K109=0,BB$1=Units!$O109),Units!$R109,IF(AND(BB$1&gt;=Units!$Q109,MOD(BB$1-Units!$Q109,12)=0),IF(AND(Units!$L109=1,BB$1=Units!$Q109),IF(Units!$J109&lt;&gt;"",Units!$J109,Mkt!BB110),Inputs!$B$15*Mkt!BB110+(1-Inputs!$B$15)*MIN(Mkt!BB110,BA110*(1+Inputs!$B$18))),BA110)))</f>
        <v>1457.53390895</v>
      </c>
      <c r="BC110" s="11" t="n">
        <f aca="false">IF(BC$1&lt;Units!$P109,0,IF(AND(Units!$K109=0,BC$1=Units!$O109),Units!$R109,IF(AND(BC$1&gt;=Units!$Q109,MOD(BC$1-Units!$Q109,12)=0),IF(AND(Units!$L109=1,BC$1=Units!$Q109),IF(Units!$J109&lt;&gt;"",Units!$J109,Mkt!BC110),Inputs!$B$15*Mkt!BC110+(1-Inputs!$B$15)*MIN(Mkt!BC110,BB110*(1+Inputs!$B$18))),BB110)))</f>
        <v>1457.53390895</v>
      </c>
      <c r="BD110" s="11" t="n">
        <f aca="false">IF(BD$1&lt;Units!$P109,0,IF(AND(Units!$K109=0,BD$1=Units!$O109),Units!$R109,IF(AND(BD$1&gt;=Units!$Q109,MOD(BD$1-Units!$Q109,12)=0),IF(AND(Units!$L109=1,BD$1=Units!$Q109),IF(Units!$J109&lt;&gt;"",Units!$J109,Mkt!BD110),Inputs!$B$15*Mkt!BD110+(1-Inputs!$B$15)*MIN(Mkt!BD110,BC110*(1+Inputs!$B$18))),BC110)))</f>
        <v>1457.53390895</v>
      </c>
      <c r="BE110" s="11" t="n">
        <f aca="false">IF(BE$1&lt;Units!$P109,0,IF(AND(Units!$K109=0,BE$1=Units!$O109),Units!$R109,IF(AND(BE$1&gt;=Units!$Q109,MOD(BE$1-Units!$Q109,12)=0),IF(AND(Units!$L109=1,BE$1=Units!$Q109),IF(Units!$J109&lt;&gt;"",Units!$J109,Mkt!BE110),Inputs!$B$15*Mkt!BE110+(1-Inputs!$B$15)*MIN(Mkt!BE110,BD110*(1+Inputs!$B$18))),BD110)))</f>
        <v>1457.53390895</v>
      </c>
      <c r="BF110" s="11" t="n">
        <f aca="false">IF(BF$1&lt;Units!$P109,0,IF(AND(Units!$K109=0,BF$1=Units!$O109),Units!$R109,IF(AND(BF$1&gt;=Units!$Q109,MOD(BF$1-Units!$Q109,12)=0),IF(AND(Units!$L109=1,BF$1=Units!$Q109),IF(Units!$J109&lt;&gt;"",Units!$J109,Mkt!BF110),Inputs!$B$15*Mkt!BF110+(1-Inputs!$B$15)*MIN(Mkt!BF110,BE110*(1+Inputs!$B$18))),BE110)))</f>
        <v>1457.53390895</v>
      </c>
      <c r="BG110" s="11" t="n">
        <f aca="false">IF(BG$1&lt;Units!$P109,0,IF(AND(Units!$K109=0,BG$1=Units!$O109),Units!$R109,IF(AND(BG$1&gt;=Units!$Q109,MOD(BG$1-Units!$Q109,12)=0),IF(AND(Units!$L109=1,BG$1=Units!$Q109),IF(Units!$J109&lt;&gt;"",Units!$J109,Mkt!BG110),Inputs!$B$15*Mkt!BG110+(1-Inputs!$B$15)*MIN(Mkt!BG110,BF110*(1+Inputs!$B$18))),BF110)))</f>
        <v>1457.53390895</v>
      </c>
      <c r="BH110" s="11" t="n">
        <f aca="false">IF(BH$1&lt;Units!$P109,0,IF(AND(Units!$K109=0,BH$1=Units!$O109),Units!$R109,IF(AND(BH$1&gt;=Units!$Q109,MOD(BH$1-Units!$Q109,12)=0),IF(AND(Units!$L109=1,BH$1=Units!$Q109),IF(Units!$J109&lt;&gt;"",Units!$J109,Mkt!BH110),Inputs!$B$15*Mkt!BH110+(1-Inputs!$B$15)*MIN(Mkt!BH110,BG110*(1+Inputs!$B$18))),BG110)))</f>
        <v>1457.53390895</v>
      </c>
      <c r="BI110" s="11" t="n">
        <f aca="false">IF(BI$1&lt;Units!$P109,0,IF(AND(Units!$K109=0,BI$1=Units!$O109),Units!$R109,IF(AND(BI$1&gt;=Units!$Q109,MOD(BI$1-Units!$Q109,12)=0),IF(AND(Units!$L109=1,BI$1=Units!$Q109),IF(Units!$J109&lt;&gt;"",Units!$J109,Mkt!BI110),Inputs!$B$15*Mkt!BI110+(1-Inputs!$B$15)*MIN(Mkt!BI110,BH110*(1+Inputs!$B$18))),BH110)))</f>
        <v>1457.53390895</v>
      </c>
      <c r="BJ110" s="11" t="n">
        <f aca="false">IF(BJ$1&lt;Units!$P109,0,IF(AND(Units!$K109=0,BJ$1=Units!$O109),Units!$R109,IF(AND(BJ$1&gt;=Units!$Q109,MOD(BJ$1-Units!$Q109,12)=0),IF(AND(Units!$L109=1,BJ$1=Units!$Q109),IF(Units!$J109&lt;&gt;"",Units!$J109,Mkt!BJ110),Inputs!$B$15*Mkt!BJ110+(1-Inputs!$B$15)*MIN(Mkt!BJ110,BI110*(1+Inputs!$B$18))),BI110)))</f>
        <v>1457.53390895</v>
      </c>
      <c r="BK110" s="11" t="n">
        <f aca="false">IF(BK$1&lt;Units!$P109,0,IF(AND(Units!$K109=0,BK$1=Units!$O109),Units!$R109,IF(AND(BK$1&gt;=Units!$Q109,MOD(BK$1-Units!$Q109,12)=0),IF(AND(Units!$L109=1,BK$1=Units!$Q109),IF(Units!$J109&lt;&gt;"",Units!$J109,Mkt!BK110),Inputs!$B$15*Mkt!BK110+(1-Inputs!$B$15)*MIN(Mkt!BK110,BJ110*(1+Inputs!$B$18))),BJ110)))</f>
        <v>1457.53390895</v>
      </c>
      <c r="BL110" s="11" t="n">
        <f aca="false">IF(BL$1&lt;Units!$P109,0,IF(AND(Units!$K109=0,BL$1=Units!$O109),Units!$R109,IF(AND(BL$1&gt;=Units!$Q109,MOD(BL$1-Units!$Q109,12)=0),IF(AND(Units!$L109=1,BL$1=Units!$Q109),IF(Units!$J109&lt;&gt;"",Units!$J109,Mkt!BL110),Inputs!$B$15*Mkt!BL110+(1-Inputs!$B$15)*MIN(Mkt!BL110,BK110*(1+Inputs!$B$18))),BK110)))</f>
        <v>1457.53390895</v>
      </c>
      <c r="BM110" s="11" t="n">
        <f aca="false">IF(BM$1&lt;Units!$P109,0,IF(AND(Units!$K109=0,BM$1=Units!$O109),Units!$R109,IF(AND(BM$1&gt;=Units!$Q109,MOD(BM$1-Units!$Q109,12)=0),IF(AND(Units!$L109=1,BM$1=Units!$Q109),IF(Units!$J109&lt;&gt;"",Units!$J109,Mkt!BM110),Inputs!$B$15*Mkt!BM110+(1-Inputs!$B$15)*MIN(Mkt!BM110,BL110*(1+Inputs!$B$18))),BL110)))</f>
        <v>1457.53390895</v>
      </c>
      <c r="BN110" s="11" t="n">
        <f aca="false">IF(BN$1&lt;Units!$P109,0,IF(AND(Units!$K109=0,BN$1=Units!$O109),Units!$R109,IF(AND(BN$1&gt;=Units!$Q109,MOD(BN$1-Units!$Q109,12)=0),IF(AND(Units!$L109=1,BN$1=Units!$Q109),IF(Units!$J109&lt;&gt;"",Units!$J109,Mkt!BN110),Inputs!$B$15*Mkt!BN110+(1-Inputs!$B$15)*MIN(Mkt!BN110,BM110*(1+Inputs!$B$18))),BM110)))</f>
        <v>1501.2599262185</v>
      </c>
      <c r="BO110" s="11" t="n">
        <f aca="false">IF(BO$1&lt;Units!$P109,0,IF(AND(Units!$K109=0,BO$1=Units!$O109),Units!$R109,IF(AND(BO$1&gt;=Units!$Q109,MOD(BO$1-Units!$Q109,12)=0),IF(AND(Units!$L109=1,BO$1=Units!$Q109),IF(Units!$J109&lt;&gt;"",Units!$J109,Mkt!BO110),Inputs!$B$15*Mkt!BO110+(1-Inputs!$B$15)*MIN(Mkt!BO110,BN110*(1+Inputs!$B$18))),BN110)))</f>
        <v>1501.2599262185</v>
      </c>
      <c r="BP110" s="11" t="n">
        <f aca="false">IF(BP$1&lt;Units!$P109,0,IF(AND(Units!$K109=0,BP$1=Units!$O109),Units!$R109,IF(AND(BP$1&gt;=Units!$Q109,MOD(BP$1-Units!$Q109,12)=0),IF(AND(Units!$L109=1,BP$1=Units!$Q109),IF(Units!$J109&lt;&gt;"",Units!$J109,Mkt!BP110),Inputs!$B$15*Mkt!BP110+(1-Inputs!$B$15)*MIN(Mkt!BP110,BO110*(1+Inputs!$B$18))),BO110)))</f>
        <v>1501.2599262185</v>
      </c>
      <c r="BQ110" s="11" t="n">
        <f aca="false">IF(BQ$1&lt;Units!$P109,0,IF(AND(Units!$K109=0,BQ$1=Units!$O109),Units!$R109,IF(AND(BQ$1&gt;=Units!$Q109,MOD(BQ$1-Units!$Q109,12)=0),IF(AND(Units!$L109=1,BQ$1=Units!$Q109),IF(Units!$J109&lt;&gt;"",Units!$J109,Mkt!BQ110),Inputs!$B$15*Mkt!BQ110+(1-Inputs!$B$15)*MIN(Mkt!BQ110,BP110*(1+Inputs!$B$18))),BP110)))</f>
        <v>1501.2599262185</v>
      </c>
      <c r="BR110" s="11" t="n">
        <f aca="false">IF(BR$1&lt;Units!$P109,0,IF(AND(Units!$K109=0,BR$1=Units!$O109),Units!$R109,IF(AND(BR$1&gt;=Units!$Q109,MOD(BR$1-Units!$Q109,12)=0),IF(AND(Units!$L109=1,BR$1=Units!$Q109),IF(Units!$J109&lt;&gt;"",Units!$J109,Mkt!BR110),Inputs!$B$15*Mkt!BR110+(1-Inputs!$B$15)*MIN(Mkt!BR110,BQ110*(1+Inputs!$B$18))),BQ110)))</f>
        <v>1501.2599262185</v>
      </c>
      <c r="BS110" s="11" t="n">
        <f aca="false">IF(BS$1&lt;Units!$P109,0,IF(AND(Units!$K109=0,BS$1=Units!$O109),Units!$R109,IF(AND(BS$1&gt;=Units!$Q109,MOD(BS$1-Units!$Q109,12)=0),IF(AND(Units!$L109=1,BS$1=Units!$Q109),IF(Units!$J109&lt;&gt;"",Units!$J109,Mkt!BS110),Inputs!$B$15*Mkt!BS110+(1-Inputs!$B$15)*MIN(Mkt!BS110,BR110*(1+Inputs!$B$18))),BR110)))</f>
        <v>1501.2599262185</v>
      </c>
      <c r="BT110" s="11" t="n">
        <f aca="false">IF(BT$1&lt;Units!$P109,0,IF(AND(Units!$K109=0,BT$1=Units!$O109),Units!$R109,IF(AND(BT$1&gt;=Units!$Q109,MOD(BT$1-Units!$Q109,12)=0),IF(AND(Units!$L109=1,BT$1=Units!$Q109),IF(Units!$J109&lt;&gt;"",Units!$J109,Mkt!BT110),Inputs!$B$15*Mkt!BT110+(1-Inputs!$B$15)*MIN(Mkt!BT110,BS110*(1+Inputs!$B$18))),BS110)))</f>
        <v>1501.2599262185</v>
      </c>
      <c r="BU110" s="11" t="n">
        <f aca="false">IF(BU$1&lt;Units!$P109,0,IF(AND(Units!$K109=0,BU$1=Units!$O109),Units!$R109,IF(AND(BU$1&gt;=Units!$Q109,MOD(BU$1-Units!$Q109,12)=0),IF(AND(Units!$L109=1,BU$1=Units!$Q109),IF(Units!$J109&lt;&gt;"",Units!$J109,Mkt!BU110),Inputs!$B$15*Mkt!BU110+(1-Inputs!$B$15)*MIN(Mkt!BU110,BT110*(1+Inputs!$B$18))),BT110)))</f>
        <v>1501.2599262185</v>
      </c>
      <c r="BV110" s="11" t="n">
        <f aca="false">IF(BV$1&lt;Units!$P109,0,IF(AND(Units!$K109=0,BV$1=Units!$O109),Units!$R109,IF(AND(BV$1&gt;=Units!$Q109,MOD(BV$1-Units!$Q109,12)=0),IF(AND(Units!$L109=1,BV$1=Units!$Q109),IF(Units!$J109&lt;&gt;"",Units!$J109,Mkt!BV110),Inputs!$B$15*Mkt!BV110+(1-Inputs!$B$15)*MIN(Mkt!BV110,BU110*(1+Inputs!$B$18))),BU110)))</f>
        <v>1501.2599262185</v>
      </c>
      <c r="BW110" s="11" t="n">
        <f aca="false">IF(BW$1&lt;Units!$P109,0,IF(AND(Units!$K109=0,BW$1=Units!$O109),Units!$R109,IF(AND(BW$1&gt;=Units!$Q109,MOD(BW$1-Units!$Q109,12)=0),IF(AND(Units!$L109=1,BW$1=Units!$Q109),IF(Units!$J109&lt;&gt;"",Units!$J109,Mkt!BW110),Inputs!$B$15*Mkt!BW110+(1-Inputs!$B$15)*MIN(Mkt!BW110,BV110*(1+Inputs!$B$18))),BV110)))</f>
        <v>1501.2599262185</v>
      </c>
      <c r="BX110" s="11" t="n">
        <f aca="false">IF(BX$1&lt;Units!$P109,0,IF(AND(Units!$K109=0,BX$1=Units!$O109),Units!$R109,IF(AND(BX$1&gt;=Units!$Q109,MOD(BX$1-Units!$Q109,12)=0),IF(AND(Units!$L109=1,BX$1=Units!$Q109),IF(Units!$J109&lt;&gt;"",Units!$J109,Mkt!BX110),Inputs!$B$15*Mkt!BX110+(1-Inputs!$B$15)*MIN(Mkt!BX110,BW110*(1+Inputs!$B$18))),BW110)))</f>
        <v>1501.2599262185</v>
      </c>
      <c r="BY110" s="11" t="n">
        <f aca="false">IF(BY$1&lt;Units!$P109,0,IF(AND(Units!$K109=0,BY$1=Units!$O109),Units!$R109,IF(AND(BY$1&gt;=Units!$Q109,MOD(BY$1-Units!$Q109,12)=0),IF(AND(Units!$L109=1,BY$1=Units!$Q109),IF(Units!$J109&lt;&gt;"",Units!$J109,Mkt!BY110),Inputs!$B$15*Mkt!BY110+(1-Inputs!$B$15)*MIN(Mkt!BY110,BX110*(1+Inputs!$B$18))),BX110)))</f>
        <v>1501.2599262185</v>
      </c>
      <c r="BZ110" s="11" t="n">
        <f aca="false">IF(BZ$1&lt;Units!$P109,0,IF(AND(Units!$K109=0,BZ$1=Units!$O109),Units!$R109,IF(AND(BZ$1&gt;=Units!$Q109,MOD(BZ$1-Units!$Q109,12)=0),IF(AND(Units!$L109=1,BZ$1=Units!$Q109),IF(Units!$J109&lt;&gt;"",Units!$J109,Mkt!BZ110),Inputs!$B$15*Mkt!BZ110+(1-Inputs!$B$15)*MIN(Mkt!BZ110,BY110*(1+Inputs!$B$18))),BY110)))</f>
        <v>1546.29772400506</v>
      </c>
      <c r="CA110" s="11" t="n">
        <f aca="false">IF(CA$1&lt;Units!$P109,0,IF(AND(Units!$K109=0,CA$1=Units!$O109),Units!$R109,IF(AND(CA$1&gt;=Units!$Q109,MOD(CA$1-Units!$Q109,12)=0),IF(AND(Units!$L109=1,CA$1=Units!$Q109),IF(Units!$J109&lt;&gt;"",Units!$J109,Mkt!CA110),Inputs!$B$15*Mkt!CA110+(1-Inputs!$B$15)*MIN(Mkt!CA110,BZ110*(1+Inputs!$B$18))),BZ110)))</f>
        <v>1546.29772400506</v>
      </c>
      <c r="CB110" s="11" t="n">
        <f aca="false">IF(CB$1&lt;Units!$P109,0,IF(AND(Units!$K109=0,CB$1=Units!$O109),Units!$R109,IF(AND(CB$1&gt;=Units!$Q109,MOD(CB$1-Units!$Q109,12)=0),IF(AND(Units!$L109=1,CB$1=Units!$Q109),IF(Units!$J109&lt;&gt;"",Units!$J109,Mkt!CB110),Inputs!$B$15*Mkt!CB110+(1-Inputs!$B$15)*MIN(Mkt!CB110,CA110*(1+Inputs!$B$18))),CA110)))</f>
        <v>1546.29772400506</v>
      </c>
      <c r="CC110" s="11" t="n">
        <f aca="false">IF(CC$1&lt;Units!$P109,0,IF(AND(Units!$K109=0,CC$1=Units!$O109),Units!$R109,IF(AND(CC$1&gt;=Units!$Q109,MOD(CC$1-Units!$Q109,12)=0),IF(AND(Units!$L109=1,CC$1=Units!$Q109),IF(Units!$J109&lt;&gt;"",Units!$J109,Mkt!CC110),Inputs!$B$15*Mkt!CC110+(1-Inputs!$B$15)*MIN(Mkt!CC110,CB110*(1+Inputs!$B$18))),CB110)))</f>
        <v>1546.29772400506</v>
      </c>
      <c r="CD110" s="11" t="n">
        <f aca="false">IF(CD$1&lt;Units!$P109,0,IF(AND(Units!$K109=0,CD$1=Units!$O109),Units!$R109,IF(AND(CD$1&gt;=Units!$Q109,MOD(CD$1-Units!$Q109,12)=0),IF(AND(Units!$L109=1,CD$1=Units!$Q109),IF(Units!$J109&lt;&gt;"",Units!$J109,Mkt!CD110),Inputs!$B$15*Mkt!CD110+(1-Inputs!$B$15)*MIN(Mkt!CD110,CC110*(1+Inputs!$B$18))),CC110)))</f>
        <v>1546.29772400506</v>
      </c>
      <c r="CE110" s="11" t="n">
        <f aca="false">IF(CE$1&lt;Units!$P109,0,IF(AND(Units!$K109=0,CE$1=Units!$O109),Units!$R109,IF(AND(CE$1&gt;=Units!$Q109,MOD(CE$1-Units!$Q109,12)=0),IF(AND(Units!$L109=1,CE$1=Units!$Q109),IF(Units!$J109&lt;&gt;"",Units!$J109,Mkt!CE110),Inputs!$B$15*Mkt!CE110+(1-Inputs!$B$15)*MIN(Mkt!CE110,CD110*(1+Inputs!$B$18))),CD110)))</f>
        <v>1546.29772400506</v>
      </c>
      <c r="CF110" s="11" t="n">
        <f aca="false">IF(CF$1&lt;Units!$P109,0,IF(AND(Units!$K109=0,CF$1=Units!$O109),Units!$R109,IF(AND(CF$1&gt;=Units!$Q109,MOD(CF$1-Units!$Q109,12)=0),IF(AND(Units!$L109=1,CF$1=Units!$Q109),IF(Units!$J109&lt;&gt;"",Units!$J109,Mkt!CF110),Inputs!$B$15*Mkt!CF110+(1-Inputs!$B$15)*MIN(Mkt!CF110,CE110*(1+Inputs!$B$18))),CE110)))</f>
        <v>1546.29772400506</v>
      </c>
      <c r="CG110" s="11" t="n">
        <f aca="false">IF(CG$1&lt;Units!$P109,0,IF(AND(Units!$K109=0,CG$1=Units!$O109),Units!$R109,IF(AND(CG$1&gt;=Units!$Q109,MOD(CG$1-Units!$Q109,12)=0),IF(AND(Units!$L109=1,CG$1=Units!$Q109),IF(Units!$J109&lt;&gt;"",Units!$J109,Mkt!CG110),Inputs!$B$15*Mkt!CG110+(1-Inputs!$B$15)*MIN(Mkt!CG110,CF110*(1+Inputs!$B$18))),CF110)))</f>
        <v>1546.29772400506</v>
      </c>
      <c r="CH110" s="11" t="n">
        <f aca="false">IF(CH$1&lt;Units!$P109,0,IF(AND(Units!$K109=0,CH$1=Units!$O109),Units!$R109,IF(AND(CH$1&gt;=Units!$Q109,MOD(CH$1-Units!$Q109,12)=0),IF(AND(Units!$L109=1,CH$1=Units!$Q109),IF(Units!$J109&lt;&gt;"",Units!$J109,Mkt!CH110),Inputs!$B$15*Mkt!CH110+(1-Inputs!$B$15)*MIN(Mkt!CH110,CG110*(1+Inputs!$B$18))),CG110)))</f>
        <v>1546.29772400506</v>
      </c>
      <c r="CI110" s="11" t="n">
        <f aca="false">IF(CI$1&lt;Units!$P109,0,IF(AND(Units!$K109=0,CI$1=Units!$O109),Units!$R109,IF(AND(CI$1&gt;=Units!$Q109,MOD(CI$1-Units!$Q109,12)=0),IF(AND(Units!$L109=1,CI$1=Units!$Q109),IF(Units!$J109&lt;&gt;"",Units!$J109,Mkt!CI110),Inputs!$B$15*Mkt!CI110+(1-Inputs!$B$15)*MIN(Mkt!CI110,CH110*(1+Inputs!$B$18))),CH110)))</f>
        <v>1546.29772400506</v>
      </c>
      <c r="CJ110" s="11" t="n">
        <f aca="false">IF(CJ$1&lt;Units!$P109,0,IF(AND(Units!$K109=0,CJ$1=Units!$O109),Units!$R109,IF(AND(CJ$1&gt;=Units!$Q109,MOD(CJ$1-Units!$Q109,12)=0),IF(AND(Units!$L109=1,CJ$1=Units!$Q109),IF(Units!$J109&lt;&gt;"",Units!$J109,Mkt!CJ110),Inputs!$B$15*Mkt!CJ110+(1-Inputs!$B$15)*MIN(Mkt!CJ110,CI110*(1+Inputs!$B$18))),CI110)))</f>
        <v>1546.29772400506</v>
      </c>
      <c r="CK110" s="11" t="n">
        <f aca="false">IF(CK$1&lt;Units!$P109,0,IF(AND(Units!$K109=0,CK$1=Units!$O109),Units!$R109,IF(AND(CK$1&gt;=Units!$Q109,MOD(CK$1-Units!$Q109,12)=0),IF(AND(Units!$L109=1,CK$1=Units!$Q109),IF(Units!$J109&lt;&gt;"",Units!$J109,Mkt!CK110),Inputs!$B$15*Mkt!CK110+(1-Inputs!$B$15)*MIN(Mkt!CK110,CJ110*(1+Inputs!$B$18))),CJ110)))</f>
        <v>1546.29772400506</v>
      </c>
      <c r="CL110" s="11" t="n">
        <f aca="false">IF(CL$1&lt;Units!$P109,0,IF(AND(Units!$K109=0,CL$1=Units!$O109),Units!$R109,IF(AND(CL$1&gt;=Units!$Q109,MOD(CL$1-Units!$Q109,12)=0),IF(AND(Units!$L109=1,CL$1=Units!$Q109),IF(Units!$J109&lt;&gt;"",Units!$J109,Mkt!CL110),Inputs!$B$15*Mkt!CL110+(1-Inputs!$B$15)*MIN(Mkt!CL110,CK110*(1+Inputs!$B$18))),CK110)))</f>
        <v>1592.68665572521</v>
      </c>
      <c r="CM110" s="11" t="n">
        <f aca="false">IF(CM$1&lt;Units!$P109,0,IF(AND(Units!$K109=0,CM$1=Units!$O109),Units!$R109,IF(AND(CM$1&gt;=Units!$Q109,MOD(CM$1-Units!$Q109,12)=0),IF(AND(Units!$L109=1,CM$1=Units!$Q109),IF(Units!$J109&lt;&gt;"",Units!$J109,Mkt!CM110),Inputs!$B$15*Mkt!CM110+(1-Inputs!$B$15)*MIN(Mkt!CM110,CL110*(1+Inputs!$B$18))),CL110)))</f>
        <v>1592.68665572521</v>
      </c>
      <c r="CN110" s="11" t="n">
        <f aca="false">IF(CN$1&lt;Units!$P109,0,IF(AND(Units!$K109=0,CN$1=Units!$O109),Units!$R109,IF(AND(CN$1&gt;=Units!$Q109,MOD(CN$1-Units!$Q109,12)=0),IF(AND(Units!$L109=1,CN$1=Units!$Q109),IF(Units!$J109&lt;&gt;"",Units!$J109,Mkt!CN110),Inputs!$B$15*Mkt!CN110+(1-Inputs!$B$15)*MIN(Mkt!CN110,CM110*(1+Inputs!$B$18))),CM110)))</f>
        <v>1592.68665572521</v>
      </c>
      <c r="CO110" s="11" t="n">
        <f aca="false">IF(CO$1&lt;Units!$P109,0,IF(AND(Units!$K109=0,CO$1=Units!$O109),Units!$R109,IF(AND(CO$1&gt;=Units!$Q109,MOD(CO$1-Units!$Q109,12)=0),IF(AND(Units!$L109=1,CO$1=Units!$Q109),IF(Units!$J109&lt;&gt;"",Units!$J109,Mkt!CO110),Inputs!$B$15*Mkt!CO110+(1-Inputs!$B$15)*MIN(Mkt!CO110,CN110*(1+Inputs!$B$18))),CN110)))</f>
        <v>1592.68665572521</v>
      </c>
      <c r="CP110" s="11" t="n">
        <f aca="false">IF(CP$1&lt;Units!$P109,0,IF(AND(Units!$K109=0,CP$1=Units!$O109),Units!$R109,IF(AND(CP$1&gt;=Units!$Q109,MOD(CP$1-Units!$Q109,12)=0),IF(AND(Units!$L109=1,CP$1=Units!$Q109),IF(Units!$J109&lt;&gt;"",Units!$J109,Mkt!CP110),Inputs!$B$15*Mkt!CP110+(1-Inputs!$B$15)*MIN(Mkt!CP110,CO110*(1+Inputs!$B$18))),CO110)))</f>
        <v>1592.68665572521</v>
      </c>
      <c r="CQ110" s="11" t="n">
        <f aca="false">IF(CQ$1&lt;Units!$P109,0,IF(AND(Units!$K109=0,CQ$1=Units!$O109),Units!$R109,IF(AND(CQ$1&gt;=Units!$Q109,MOD(CQ$1-Units!$Q109,12)=0),IF(AND(Units!$L109=1,CQ$1=Units!$Q109),IF(Units!$J109&lt;&gt;"",Units!$J109,Mkt!CQ110),Inputs!$B$15*Mkt!CQ110+(1-Inputs!$B$15)*MIN(Mkt!CQ110,CP110*(1+Inputs!$B$18))),CP110)))</f>
        <v>1592.68665572521</v>
      </c>
      <c r="CR110" s="11" t="n">
        <f aca="false">IF(CR$1&lt;Units!$P109,0,IF(AND(Units!$K109=0,CR$1=Units!$O109),Units!$R109,IF(AND(CR$1&gt;=Units!$Q109,MOD(CR$1-Units!$Q109,12)=0),IF(AND(Units!$L109=1,CR$1=Units!$Q109),IF(Units!$J109&lt;&gt;"",Units!$J109,Mkt!CR110),Inputs!$B$15*Mkt!CR110+(1-Inputs!$B$15)*MIN(Mkt!CR110,CQ110*(1+Inputs!$B$18))),CQ110)))</f>
        <v>1592.68665572521</v>
      </c>
      <c r="CS110" s="11" t="n">
        <f aca="false">IF(CS$1&lt;Units!$P109,0,IF(AND(Units!$K109=0,CS$1=Units!$O109),Units!$R109,IF(AND(CS$1&gt;=Units!$Q109,MOD(CS$1-Units!$Q109,12)=0),IF(AND(Units!$L109=1,CS$1=Units!$Q109),IF(Units!$J109&lt;&gt;"",Units!$J109,Mkt!CS110),Inputs!$B$15*Mkt!CS110+(1-Inputs!$B$15)*MIN(Mkt!CS110,CR110*(1+Inputs!$B$18))),CR110)))</f>
        <v>1592.68665572521</v>
      </c>
      <c r="CT110" s="11" t="n">
        <f aca="false">IF(CT$1&lt;Units!$P109,0,IF(AND(Units!$K109=0,CT$1=Units!$O109),Units!$R109,IF(AND(CT$1&gt;=Units!$Q109,MOD(CT$1-Units!$Q109,12)=0),IF(AND(Units!$L109=1,CT$1=Units!$Q109),IF(Units!$J109&lt;&gt;"",Units!$J109,Mkt!CT110),Inputs!$B$15*Mkt!CT110+(1-Inputs!$B$15)*MIN(Mkt!CT110,CS110*(1+Inputs!$B$18))),CS110)))</f>
        <v>1592.68665572521</v>
      </c>
      <c r="CU110" s="11" t="n">
        <f aca="false">IF(CU$1&lt;Units!$P109,0,IF(AND(Units!$K109=0,CU$1=Units!$O109),Units!$R109,IF(AND(CU$1&gt;=Units!$Q109,MOD(CU$1-Units!$Q109,12)=0),IF(AND(Units!$L109=1,CU$1=Units!$Q109),IF(Units!$J109&lt;&gt;"",Units!$J109,Mkt!CU110),Inputs!$B$15*Mkt!CU110+(1-Inputs!$B$15)*MIN(Mkt!CU110,CT110*(1+Inputs!$B$18))),CT110)))</f>
        <v>1592.68665572521</v>
      </c>
      <c r="CV110" s="11" t="n">
        <f aca="false">IF(CV$1&lt;Units!$P109,0,IF(AND(Units!$K109=0,CV$1=Units!$O109),Units!$R109,IF(AND(CV$1&gt;=Units!$Q109,MOD(CV$1-Units!$Q109,12)=0),IF(AND(Units!$L109=1,CV$1=Units!$Q109),IF(Units!$J109&lt;&gt;"",Units!$J109,Mkt!CV110),Inputs!$B$15*Mkt!CV110+(1-Inputs!$B$15)*MIN(Mkt!CV110,CU110*(1+Inputs!$B$18))),CU110)))</f>
        <v>1592.68665572521</v>
      </c>
      <c r="CW110" s="11" t="n">
        <f aca="false">IF(CW$1&lt;Units!$P109,0,IF(AND(Units!$K109=0,CW$1=Units!$O109),Units!$R109,IF(AND(CW$1&gt;=Units!$Q109,MOD(CW$1-Units!$Q109,12)=0),IF(AND(Units!$L109=1,CW$1=Units!$Q109),IF(Units!$J109&lt;&gt;"",Units!$J109,Mkt!CW110),Inputs!$B$15*Mkt!CW110+(1-Inputs!$B$15)*MIN(Mkt!CW110,CV110*(1+Inputs!$B$18))),CV110)))</f>
        <v>1592.68665572521</v>
      </c>
      <c r="CX110" s="11" t="n">
        <f aca="false">IF(CX$1&lt;Units!$P109,0,IF(AND(Units!$K109=0,CX$1=Units!$O109),Units!$R109,IF(AND(CX$1&gt;=Units!$Q109,MOD(CX$1-Units!$Q109,12)=0),IF(AND(Units!$L109=1,CX$1=Units!$Q109),IF(Units!$J109&lt;&gt;"",Units!$J109,Mkt!CX110),Inputs!$B$15*Mkt!CX110+(1-Inputs!$B$15)*MIN(Mkt!CX110,CW110*(1+Inputs!$B$18))),CW110)))</f>
        <v>1640.46725539696</v>
      </c>
      <c r="CY110" s="11" t="n">
        <f aca="false">IF(CY$1&lt;Units!$P109,0,IF(AND(Units!$K109=0,CY$1=Units!$O109),Units!$R109,IF(AND(CY$1&gt;=Units!$Q109,MOD(CY$1-Units!$Q109,12)=0),IF(AND(Units!$L109=1,CY$1=Units!$Q109),IF(Units!$J109&lt;&gt;"",Units!$J109,Mkt!CY110),Inputs!$B$15*Mkt!CY110+(1-Inputs!$B$15)*MIN(Mkt!CY110,CX110*(1+Inputs!$B$18))),CX110)))</f>
        <v>1640.46725539696</v>
      </c>
      <c r="CZ110" s="11" t="n">
        <f aca="false">IF(CZ$1&lt;Units!$P109,0,IF(AND(Units!$K109=0,CZ$1=Units!$O109),Units!$R109,IF(AND(CZ$1&gt;=Units!$Q109,MOD(CZ$1-Units!$Q109,12)=0),IF(AND(Units!$L109=1,CZ$1=Units!$Q109),IF(Units!$J109&lt;&gt;"",Units!$J109,Mkt!CZ110),Inputs!$B$15*Mkt!CZ110+(1-Inputs!$B$15)*MIN(Mkt!CZ110,CY110*(1+Inputs!$B$18))),CY110)))</f>
        <v>1640.46725539696</v>
      </c>
      <c r="DA110" s="11" t="n">
        <f aca="false">IF(DA$1&lt;Units!$P109,0,IF(AND(Units!$K109=0,DA$1=Units!$O109),Units!$R109,IF(AND(DA$1&gt;=Units!$Q109,MOD(DA$1-Units!$Q109,12)=0),IF(AND(Units!$L109=1,DA$1=Units!$Q109),IF(Units!$J109&lt;&gt;"",Units!$J109,Mkt!DA110),Inputs!$B$15*Mkt!DA110+(1-Inputs!$B$15)*MIN(Mkt!DA110,CZ110*(1+Inputs!$B$18))),CZ110)))</f>
        <v>1640.46725539696</v>
      </c>
      <c r="DB110" s="11" t="n">
        <f aca="false">IF(DB$1&lt;Units!$P109,0,IF(AND(Units!$K109=0,DB$1=Units!$O109),Units!$R109,IF(AND(DB$1&gt;=Units!$Q109,MOD(DB$1-Units!$Q109,12)=0),IF(AND(Units!$L109=1,DB$1=Units!$Q109),IF(Units!$J109&lt;&gt;"",Units!$J109,Mkt!DB110),Inputs!$B$15*Mkt!DB110+(1-Inputs!$B$15)*MIN(Mkt!DB110,DA110*(1+Inputs!$B$18))),DA110)))</f>
        <v>1640.46725539696</v>
      </c>
      <c r="DC110" s="11" t="n">
        <f aca="false">IF(DC$1&lt;Units!$P109,0,IF(AND(Units!$K109=0,DC$1=Units!$O109),Units!$R109,IF(AND(DC$1&gt;=Units!$Q109,MOD(DC$1-Units!$Q109,12)=0),IF(AND(Units!$L109=1,DC$1=Units!$Q109),IF(Units!$J109&lt;&gt;"",Units!$J109,Mkt!DC110),Inputs!$B$15*Mkt!DC110+(1-Inputs!$B$15)*MIN(Mkt!DC110,DB110*(1+Inputs!$B$18))),DB110)))</f>
        <v>1640.46725539696</v>
      </c>
      <c r="DD110" s="11" t="n">
        <f aca="false">IF(DD$1&lt;Units!$P109,0,IF(AND(Units!$K109=0,DD$1=Units!$O109),Units!$R109,IF(AND(DD$1&gt;=Units!$Q109,MOD(DD$1-Units!$Q109,12)=0),IF(AND(Units!$L109=1,DD$1=Units!$Q109),IF(Units!$J109&lt;&gt;"",Units!$J109,Mkt!DD110),Inputs!$B$15*Mkt!DD110+(1-Inputs!$B$15)*MIN(Mkt!DD110,DC110*(1+Inputs!$B$18))),DC110)))</f>
        <v>1640.46725539696</v>
      </c>
      <c r="DE110" s="11" t="n">
        <f aca="false">IF(DE$1&lt;Units!$P109,0,IF(AND(Units!$K109=0,DE$1=Units!$O109),Units!$R109,IF(AND(DE$1&gt;=Units!$Q109,MOD(DE$1-Units!$Q109,12)=0),IF(AND(Units!$L109=1,DE$1=Units!$Q109),IF(Units!$J109&lt;&gt;"",Units!$J109,Mkt!DE110),Inputs!$B$15*Mkt!DE110+(1-Inputs!$B$15)*MIN(Mkt!DE110,DD110*(1+Inputs!$B$18))),DD110)))</f>
        <v>1640.46725539696</v>
      </c>
      <c r="DF110" s="11" t="n">
        <f aca="false">IF(DF$1&lt;Units!$P109,0,IF(AND(Units!$K109=0,DF$1=Units!$O109),Units!$R109,IF(AND(DF$1&gt;=Units!$Q109,MOD(DF$1-Units!$Q109,12)=0),IF(AND(Units!$L109=1,DF$1=Units!$Q109),IF(Units!$J109&lt;&gt;"",Units!$J109,Mkt!DF110),Inputs!$B$15*Mkt!DF110+(1-Inputs!$B$15)*MIN(Mkt!DF110,DE110*(1+Inputs!$B$18))),DE110)))</f>
        <v>1640.46725539696</v>
      </c>
      <c r="DG110" s="11" t="n">
        <f aca="false">IF(DG$1&lt;Units!$P109,0,IF(AND(Units!$K109=0,DG$1=Units!$O109),Units!$R109,IF(AND(DG$1&gt;=Units!$Q109,MOD(DG$1-Units!$Q109,12)=0),IF(AND(Units!$L109=1,DG$1=Units!$Q109),IF(Units!$J109&lt;&gt;"",Units!$J109,Mkt!DG110),Inputs!$B$15*Mkt!DG110+(1-Inputs!$B$15)*MIN(Mkt!DG110,DF110*(1+Inputs!$B$18))),DF110)))</f>
        <v>1640.46725539696</v>
      </c>
      <c r="DH110" s="11" t="n">
        <f aca="false">IF(DH$1&lt;Units!$P109,0,IF(AND(Units!$K109=0,DH$1=Units!$O109),Units!$R109,IF(AND(DH$1&gt;=Units!$Q109,MOD(DH$1-Units!$Q109,12)=0),IF(AND(Units!$L109=1,DH$1=Units!$Q109),IF(Units!$J109&lt;&gt;"",Units!$J109,Mkt!DH110),Inputs!$B$15*Mkt!DH110+(1-Inputs!$B$15)*MIN(Mkt!DH110,DG110*(1+Inputs!$B$18))),DG110)))</f>
        <v>1640.46725539696</v>
      </c>
      <c r="DI110" s="11" t="n">
        <f aca="false">IF(DI$1&lt;Units!$P109,0,IF(AND(Units!$K109=0,DI$1=Units!$O109),Units!$R109,IF(AND(DI$1&gt;=Units!$Q109,MOD(DI$1-Units!$Q109,12)=0),IF(AND(Units!$L109=1,DI$1=Units!$Q109),IF(Units!$J109&lt;&gt;"",Units!$J109,Mkt!DI110),Inputs!$B$15*Mkt!DI110+(1-Inputs!$B$15)*MIN(Mkt!DI110,DH110*(1+Inputs!$B$18))),DH110)))</f>
        <v>1640.46725539696</v>
      </c>
      <c r="DJ110" s="11" t="n">
        <f aca="false">IF(DJ$1&lt;Units!$P109,0,IF(AND(Units!$K109=0,DJ$1=Units!$O109),Units!$R109,IF(AND(DJ$1&gt;=Units!$Q109,MOD(DJ$1-Units!$Q109,12)=0),IF(AND(Units!$L109=1,DJ$1=Units!$Q109),IF(Units!$J109&lt;&gt;"",Units!$J109,Mkt!DJ110),Inputs!$B$15*Mkt!DJ110+(1-Inputs!$B$15)*MIN(Mkt!DJ110,DI110*(1+Inputs!$B$18))),DI110)))</f>
        <v>1689.68127305887</v>
      </c>
      <c r="DK110" s="11" t="n">
        <f aca="false">IF(DK$1&lt;Units!$P109,0,IF(AND(Units!$K109=0,DK$1=Units!$O109),Units!$R109,IF(AND(DK$1&gt;=Units!$Q109,MOD(DK$1-Units!$Q109,12)=0),IF(AND(Units!$L109=1,DK$1=Units!$Q109),IF(Units!$J109&lt;&gt;"",Units!$J109,Mkt!DK110),Inputs!$B$15*Mkt!DK110+(1-Inputs!$B$15)*MIN(Mkt!DK110,DJ110*(1+Inputs!$B$18))),DJ110)))</f>
        <v>1689.68127305887</v>
      </c>
      <c r="DL110" s="11" t="n">
        <f aca="false">IF(DL$1&lt;Units!$P109,0,IF(AND(Units!$K109=0,DL$1=Units!$O109),Units!$R109,IF(AND(DL$1&gt;=Units!$Q109,MOD(DL$1-Units!$Q109,12)=0),IF(AND(Units!$L109=1,DL$1=Units!$Q109),IF(Units!$J109&lt;&gt;"",Units!$J109,Mkt!DL110),Inputs!$B$15*Mkt!DL110+(1-Inputs!$B$15)*MIN(Mkt!DL110,DK110*(1+Inputs!$B$18))),DK110)))</f>
        <v>1689.68127305887</v>
      </c>
      <c r="DM110" s="11" t="n">
        <f aca="false">IF(DM$1&lt;Units!$P109,0,IF(AND(Units!$K109=0,DM$1=Units!$O109),Units!$R109,IF(AND(DM$1&gt;=Units!$Q109,MOD(DM$1-Units!$Q109,12)=0),IF(AND(Units!$L109=1,DM$1=Units!$Q109),IF(Units!$J109&lt;&gt;"",Units!$J109,Mkt!DM110),Inputs!$B$15*Mkt!DM110+(1-Inputs!$B$15)*MIN(Mkt!DM110,DL110*(1+Inputs!$B$18))),DL110)))</f>
        <v>1689.68127305887</v>
      </c>
      <c r="DN110" s="11" t="n">
        <f aca="false">IF(DN$1&lt;Units!$P109,0,IF(AND(Units!$K109=0,DN$1=Units!$O109),Units!$R109,IF(AND(DN$1&gt;=Units!$Q109,MOD(DN$1-Units!$Q109,12)=0),IF(AND(Units!$L109=1,DN$1=Units!$Q109),IF(Units!$J109&lt;&gt;"",Units!$J109,Mkt!DN110),Inputs!$B$15*Mkt!DN110+(1-Inputs!$B$15)*MIN(Mkt!DN110,DM110*(1+Inputs!$B$18))),DM110)))</f>
        <v>1689.68127305887</v>
      </c>
      <c r="DO110" s="11" t="n">
        <f aca="false">IF(DO$1&lt;Units!$P109,0,IF(AND(Units!$K109=0,DO$1=Units!$O109),Units!$R109,IF(AND(DO$1&gt;=Units!$Q109,MOD(DO$1-Units!$Q109,12)=0),IF(AND(Units!$L109=1,DO$1=Units!$Q109),IF(Units!$J109&lt;&gt;"",Units!$J109,Mkt!DO110),Inputs!$B$15*Mkt!DO110+(1-Inputs!$B$15)*MIN(Mkt!DO110,DN110*(1+Inputs!$B$18))),DN110)))</f>
        <v>1689.68127305887</v>
      </c>
      <c r="DP110" s="11" t="n">
        <f aca="false">IF(DP$1&lt;Units!$P109,0,IF(AND(Units!$K109=0,DP$1=Units!$O109),Units!$R109,IF(AND(DP$1&gt;=Units!$Q109,MOD(DP$1-Units!$Q109,12)=0),IF(AND(Units!$L109=1,DP$1=Units!$Q109),IF(Units!$J109&lt;&gt;"",Units!$J109,Mkt!DP110),Inputs!$B$15*Mkt!DP110+(1-Inputs!$B$15)*MIN(Mkt!DP110,DO110*(1+Inputs!$B$18))),DO110)))</f>
        <v>1689.68127305887</v>
      </c>
      <c r="DQ110" s="11" t="n">
        <f aca="false">IF(DQ$1&lt;Units!$P109,0,IF(AND(Units!$K109=0,DQ$1=Units!$O109),Units!$R109,IF(AND(DQ$1&gt;=Units!$Q109,MOD(DQ$1-Units!$Q109,12)=0),IF(AND(Units!$L109=1,DQ$1=Units!$Q109),IF(Units!$J109&lt;&gt;"",Units!$J109,Mkt!DQ110),Inputs!$B$15*Mkt!DQ110+(1-Inputs!$B$15)*MIN(Mkt!DQ110,DP110*(1+Inputs!$B$18))),DP110)))</f>
        <v>1689.68127305887</v>
      </c>
      <c r="DR110" s="11" t="n">
        <f aca="false">IF(DR$1&lt;Units!$P109,0,IF(AND(Units!$K109=0,DR$1=Units!$O109),Units!$R109,IF(AND(DR$1&gt;=Units!$Q109,MOD(DR$1-Units!$Q109,12)=0),IF(AND(Units!$L109=1,DR$1=Units!$Q109),IF(Units!$J109&lt;&gt;"",Units!$J109,Mkt!DR110),Inputs!$B$15*Mkt!DR110+(1-Inputs!$B$15)*MIN(Mkt!DR110,DQ110*(1+Inputs!$B$18))),DQ110)))</f>
        <v>1689.68127305887</v>
      </c>
      <c r="DS110" s="11" t="n">
        <f aca="false">IF(DS$1&lt;Units!$P109,0,IF(AND(Units!$K109=0,DS$1=Units!$O109),Units!$R109,IF(AND(DS$1&gt;=Units!$Q109,MOD(DS$1-Units!$Q109,12)=0),IF(AND(Units!$L109=1,DS$1=Units!$Q109),IF(Units!$J109&lt;&gt;"",Units!$J109,Mkt!DS110),Inputs!$B$15*Mkt!DS110+(1-Inputs!$B$15)*MIN(Mkt!DS110,DR110*(1+Inputs!$B$18))),DR110)))</f>
        <v>1689.68127305887</v>
      </c>
      <c r="DT110" s="11" t="n">
        <f aca="false">IF(DT$1&lt;Units!$P109,0,IF(AND(Units!$K109=0,DT$1=Units!$O109),Units!$R109,IF(AND(DT$1&gt;=Units!$Q109,MOD(DT$1-Units!$Q109,12)=0),IF(AND(Units!$L109=1,DT$1=Units!$Q109),IF(Units!$J109&lt;&gt;"",Units!$J109,Mkt!DT110),Inputs!$B$15*Mkt!DT110+(1-Inputs!$B$15)*MIN(Mkt!DT110,DS110*(1+Inputs!$B$18))),DS110)))</f>
        <v>1689.68127305887</v>
      </c>
      <c r="DU110" s="11" t="n">
        <f aca="false">IF(DU$1&lt;Units!$P109,0,IF(AND(Units!$K109=0,DU$1=Units!$O109),Units!$R109,IF(AND(DU$1&gt;=Units!$Q109,MOD(DU$1-Units!$Q109,12)=0),IF(AND(Units!$L109=1,DU$1=Units!$Q109),IF(Units!$J109&lt;&gt;"",Units!$J109,Mkt!DU110),Inputs!$B$15*Mkt!DU110+(1-Inputs!$B$15)*MIN(Mkt!DU110,DT110*(1+Inputs!$B$18))),DT110)))</f>
        <v>1689.68127305887</v>
      </c>
      <c r="DV110" s="11" t="n">
        <f aca="false">IF(DV$1&lt;Units!$P109,0,IF(AND(Units!$K109=0,DV$1=Units!$O109),Units!$R109,IF(AND(DV$1&gt;=Units!$Q109,MOD(DV$1-Units!$Q109,12)=0),IF(AND(Units!$L109=1,DV$1=Units!$Q109),IF(Units!$J109&lt;&gt;"",Units!$J109,Mkt!DV110),Inputs!$B$15*Mkt!DV110+(1-Inputs!$B$15)*MIN(Mkt!DV110,DU110*(1+Inputs!$B$18))),DU110)))</f>
        <v>1740.37171125064</v>
      </c>
      <c r="DW110" s="11" t="n">
        <f aca="false">IF(DW$1&lt;Units!$P109,0,IF(AND(Units!$K109=0,DW$1=Units!$O109),Units!$R109,IF(AND(DW$1&gt;=Units!$Q109,MOD(DW$1-Units!$Q109,12)=0),IF(AND(Units!$L109=1,DW$1=Units!$Q109),IF(Units!$J109&lt;&gt;"",Units!$J109,Mkt!DW110),Inputs!$B$15*Mkt!DW110+(1-Inputs!$B$15)*MIN(Mkt!DW110,DV110*(1+Inputs!$B$18))),DV110)))</f>
        <v>1740.37171125064</v>
      </c>
      <c r="DX110" s="11" t="n">
        <f aca="false">IF(DX$1&lt;Units!$P109,0,IF(AND(Units!$K109=0,DX$1=Units!$O109),Units!$R109,IF(AND(DX$1&gt;=Units!$Q109,MOD(DX$1-Units!$Q109,12)=0),IF(AND(Units!$L109=1,DX$1=Units!$Q109),IF(Units!$J109&lt;&gt;"",Units!$J109,Mkt!DX110),Inputs!$B$15*Mkt!DX110+(1-Inputs!$B$15)*MIN(Mkt!DX110,DW110*(1+Inputs!$B$18))),DW110)))</f>
        <v>1740.37171125064</v>
      </c>
      <c r="DY110" s="11" t="n">
        <f aca="false">IF(DY$1&lt;Units!$P109,0,IF(AND(Units!$K109=0,DY$1=Units!$O109),Units!$R109,IF(AND(DY$1&gt;=Units!$Q109,MOD(DY$1-Units!$Q109,12)=0),IF(AND(Units!$L109=1,DY$1=Units!$Q109),IF(Units!$J109&lt;&gt;"",Units!$J109,Mkt!DY110),Inputs!$B$15*Mkt!DY110+(1-Inputs!$B$15)*MIN(Mkt!DY110,DX110*(1+Inputs!$B$18))),DX110)))</f>
        <v>1740.37171125064</v>
      </c>
      <c r="DZ110" s="11" t="n">
        <f aca="false">IF(DZ$1&lt;Units!$P109,0,IF(AND(Units!$K109=0,DZ$1=Units!$O109),Units!$R109,IF(AND(DZ$1&gt;=Units!$Q109,MOD(DZ$1-Units!$Q109,12)=0),IF(AND(Units!$L109=1,DZ$1=Units!$Q109),IF(Units!$J109&lt;&gt;"",Units!$J109,Mkt!DZ110),Inputs!$B$15*Mkt!DZ110+(1-Inputs!$B$15)*MIN(Mkt!DZ110,DY110*(1+Inputs!$B$18))),DY110)))</f>
        <v>1740.37171125064</v>
      </c>
      <c r="EA110" s="11" t="n">
        <f aca="false">IF(EA$1&lt;Units!$P109,0,IF(AND(Units!$K109=0,EA$1=Units!$O109),Units!$R109,IF(AND(EA$1&gt;=Units!$Q109,MOD(EA$1-Units!$Q109,12)=0),IF(AND(Units!$L109=1,EA$1=Units!$Q109),IF(Units!$J109&lt;&gt;"",Units!$J109,Mkt!EA110),Inputs!$B$15*Mkt!EA110+(1-Inputs!$B$15)*MIN(Mkt!EA110,DZ110*(1+Inputs!$B$18))),DZ110)))</f>
        <v>1740.37171125064</v>
      </c>
      <c r="EB110" s="11" t="n">
        <f aca="false">IF(EB$1&lt;Units!$P109,0,IF(AND(Units!$K109=0,EB$1=Units!$O109),Units!$R109,IF(AND(EB$1&gt;=Units!$Q109,MOD(EB$1-Units!$Q109,12)=0),IF(AND(Units!$L109=1,EB$1=Units!$Q109),IF(Units!$J109&lt;&gt;"",Units!$J109,Mkt!EB110),Inputs!$B$15*Mkt!EB110+(1-Inputs!$B$15)*MIN(Mkt!EB110,EA110*(1+Inputs!$B$18))),EA110)))</f>
        <v>1740.37171125064</v>
      </c>
      <c r="EC110" s="11" t="n">
        <f aca="false">IF(EC$1&lt;Units!$P109,0,IF(AND(Units!$K109=0,EC$1=Units!$O109),Units!$R109,IF(AND(EC$1&gt;=Units!$Q109,MOD(EC$1-Units!$Q109,12)=0),IF(AND(Units!$L109=1,EC$1=Units!$Q109),IF(Units!$J109&lt;&gt;"",Units!$J109,Mkt!EC110),Inputs!$B$15*Mkt!EC110+(1-Inputs!$B$15)*MIN(Mkt!EC110,EB110*(1+Inputs!$B$18))),EB110)))</f>
        <v>1740.37171125064</v>
      </c>
      <c r="ED110" s="11" t="n">
        <f aca="false">IF(ED$1&lt;Units!$P109,0,IF(AND(Units!$K109=0,ED$1=Units!$O109),Units!$R109,IF(AND(ED$1&gt;=Units!$Q109,MOD(ED$1-Units!$Q109,12)=0),IF(AND(Units!$L109=1,ED$1=Units!$Q109),IF(Units!$J109&lt;&gt;"",Units!$J109,Mkt!ED110),Inputs!$B$15*Mkt!ED110+(1-Inputs!$B$15)*MIN(Mkt!ED110,EC110*(1+Inputs!$B$18))),EC110)))</f>
        <v>1740.37171125064</v>
      </c>
    </row>
    <row r="111" customFormat="false" ht="15" hidden="false" customHeight="false" outlineLevel="0" collapsed="false">
      <c r="A111" s="22" t="n">
        <f aca="false">Units!A110</f>
        <v>419</v>
      </c>
      <c r="B111" s="24" t="n">
        <f aca="false">IF(Units!K110=1,Units!F110,0)</f>
        <v>1275</v>
      </c>
      <c r="C111" s="11" t="n">
        <f aca="false">IF(C$1&lt;Units!$P110,0,IF(AND(Units!$K110=0,C$1=Units!$O110),Units!$R110,IF(AND(C$1&gt;=Units!$Q110,MOD(C$1-Units!$Q110,12)=0),IF(AND(Units!$L110=1,C$1=Units!$Q110),IF(Units!$J110&lt;&gt;"",Units!$J110,Mkt!C111),Inputs!$B$15*Mkt!C111+(1-Inputs!$B$15)*MIN(Mkt!C111,B111*(1+Inputs!$B$18))),B111)))</f>
        <v>1275</v>
      </c>
      <c r="D111" s="11" t="n">
        <f aca="false">IF(D$1&lt;Units!$P110,0,IF(AND(Units!$K110=0,D$1=Units!$O110),Units!$R110,IF(AND(D$1&gt;=Units!$Q110,MOD(D$1-Units!$Q110,12)=0),IF(AND(Units!$L110=1,D$1=Units!$Q110),IF(Units!$J110&lt;&gt;"",Units!$J110,Mkt!D111),Inputs!$B$15*Mkt!D111+(1-Inputs!$B$15)*MIN(Mkt!D111,C111*(1+Inputs!$B$18))),C111)))</f>
        <v>1275</v>
      </c>
      <c r="E111" s="11" t="n">
        <f aca="false">IF(E$1&lt;Units!$P110,0,IF(AND(Units!$K110=0,E$1=Units!$O110),Units!$R110,IF(AND(E$1&gt;=Units!$Q110,MOD(E$1-Units!$Q110,12)=0),IF(AND(Units!$L110=1,E$1=Units!$Q110),IF(Units!$J110&lt;&gt;"",Units!$J110,Mkt!E111),Inputs!$B$15*Mkt!E111+(1-Inputs!$B$15)*MIN(Mkt!E111,D111*(1+Inputs!$B$18))),D111)))</f>
        <v>1275</v>
      </c>
      <c r="F111" s="11" t="n">
        <f aca="false">IF(F$1&lt;Units!$P110,0,IF(AND(Units!$K110=0,F$1=Units!$O110),Units!$R110,IF(AND(F$1&gt;=Units!$Q110,MOD(F$1-Units!$Q110,12)=0),IF(AND(Units!$L110=1,F$1=Units!$Q110),IF(Units!$J110&lt;&gt;"",Units!$J110,Mkt!F111),Inputs!$B$15*Mkt!F111+(1-Inputs!$B$15)*MIN(Mkt!F111,E111*(1+Inputs!$B$18))),E111)))</f>
        <v>1275</v>
      </c>
      <c r="G111" s="11" t="n">
        <f aca="false">IF(G$1&lt;Units!$P110,0,IF(AND(Units!$K110=0,G$1=Units!$O110),Units!$R110,IF(AND(G$1&gt;=Units!$Q110,MOD(G$1-Units!$Q110,12)=0),IF(AND(Units!$L110=1,G$1=Units!$Q110),IF(Units!$J110&lt;&gt;"",Units!$J110,Mkt!G111),Inputs!$B$15*Mkt!G111+(1-Inputs!$B$15)*MIN(Mkt!G111,F111*(1+Inputs!$B$18))),F111)))</f>
        <v>1275</v>
      </c>
      <c r="H111" s="11" t="n">
        <f aca="false">IF(H$1&lt;Units!$P110,0,IF(AND(Units!$K110=0,H$1=Units!$O110),Units!$R110,IF(AND(H$1&gt;=Units!$Q110,MOD(H$1-Units!$Q110,12)=0),IF(AND(Units!$L110=1,H$1=Units!$Q110),IF(Units!$J110&lt;&gt;"",Units!$J110,Mkt!H111),Inputs!$B$15*Mkt!H111+(1-Inputs!$B$15)*MIN(Mkt!H111,G111*(1+Inputs!$B$18))),G111)))</f>
        <v>1275</v>
      </c>
      <c r="I111" s="11" t="n">
        <f aca="false">IF(I$1&lt;Units!$P110,0,IF(AND(Units!$K110=0,I$1=Units!$O110),Units!$R110,IF(AND(I$1&gt;=Units!$Q110,MOD(I$1-Units!$Q110,12)=0),IF(AND(Units!$L110=1,I$1=Units!$Q110),IF(Units!$J110&lt;&gt;"",Units!$J110,Mkt!I111),Inputs!$B$15*Mkt!I111+(1-Inputs!$B$15)*MIN(Mkt!I111,H111*(1+Inputs!$B$18))),H111)))</f>
        <v>1275</v>
      </c>
      <c r="J111" s="11" t="n">
        <f aca="false">IF(J$1&lt;Units!$P110,0,IF(AND(Units!$K110=0,J$1=Units!$O110),Units!$R110,IF(AND(J$1&gt;=Units!$Q110,MOD(J$1-Units!$Q110,12)=0),IF(AND(Units!$L110=1,J$1=Units!$Q110),IF(Units!$J110&lt;&gt;"",Units!$J110,Mkt!J111),Inputs!$B$15*Mkt!J111+(1-Inputs!$B$15)*MIN(Mkt!J111,I111*(1+Inputs!$B$18))),I111)))</f>
        <v>1275</v>
      </c>
      <c r="K111" s="11" t="n">
        <f aca="false">IF(K$1&lt;Units!$P110,0,IF(AND(Units!$K110=0,K$1=Units!$O110),Units!$R110,IF(AND(K$1&gt;=Units!$Q110,MOD(K$1-Units!$Q110,12)=0),IF(AND(Units!$L110=1,K$1=Units!$Q110),IF(Units!$J110&lt;&gt;"",Units!$J110,Mkt!K111),Inputs!$B$15*Mkt!K111+(1-Inputs!$B$15)*MIN(Mkt!K111,J111*(1+Inputs!$B$18))),J111)))</f>
        <v>1295</v>
      </c>
      <c r="L111" s="11" t="n">
        <f aca="false">IF(L$1&lt;Units!$P110,0,IF(AND(Units!$K110=0,L$1=Units!$O110),Units!$R110,IF(AND(L$1&gt;=Units!$Q110,MOD(L$1-Units!$Q110,12)=0),IF(AND(Units!$L110=1,L$1=Units!$Q110),IF(Units!$J110&lt;&gt;"",Units!$J110,Mkt!L111),Inputs!$B$15*Mkt!L111+(1-Inputs!$B$15)*MIN(Mkt!L111,K111*(1+Inputs!$B$18))),K111)))</f>
        <v>1295</v>
      </c>
      <c r="M111" s="11" t="n">
        <f aca="false">IF(M$1&lt;Units!$P110,0,IF(AND(Units!$K110=0,M$1=Units!$O110),Units!$R110,IF(AND(M$1&gt;=Units!$Q110,MOD(M$1-Units!$Q110,12)=0),IF(AND(Units!$L110=1,M$1=Units!$Q110),IF(Units!$J110&lt;&gt;"",Units!$J110,Mkt!M111),Inputs!$B$15*Mkt!M111+(1-Inputs!$B$15)*MIN(Mkt!M111,L111*(1+Inputs!$B$18))),L111)))</f>
        <v>1295</v>
      </c>
      <c r="N111" s="11" t="n">
        <f aca="false">IF(N$1&lt;Units!$P110,0,IF(AND(Units!$K110=0,N$1=Units!$O110),Units!$R110,IF(AND(N$1&gt;=Units!$Q110,MOD(N$1-Units!$Q110,12)=0),IF(AND(Units!$L110=1,N$1=Units!$Q110),IF(Units!$J110&lt;&gt;"",Units!$J110,Mkt!N111),Inputs!$B$15*Mkt!N111+(1-Inputs!$B$15)*MIN(Mkt!N111,M111*(1+Inputs!$B$18))),M111)))</f>
        <v>1295</v>
      </c>
      <c r="O111" s="11" t="n">
        <f aca="false">IF(O$1&lt;Units!$P110,0,IF(AND(Units!$K110=0,O$1=Units!$O110),Units!$R110,IF(AND(O$1&gt;=Units!$Q110,MOD(O$1-Units!$Q110,12)=0),IF(AND(Units!$L110=1,O$1=Units!$Q110),IF(Units!$J110&lt;&gt;"",Units!$J110,Mkt!O111),Inputs!$B$15*Mkt!O111+(1-Inputs!$B$15)*MIN(Mkt!O111,N111*(1+Inputs!$B$18))),N111)))</f>
        <v>1295</v>
      </c>
      <c r="P111" s="11" t="n">
        <f aca="false">IF(P$1&lt;Units!$P110,0,IF(AND(Units!$K110=0,P$1=Units!$O110),Units!$R110,IF(AND(P$1&gt;=Units!$Q110,MOD(P$1-Units!$Q110,12)=0),IF(AND(Units!$L110=1,P$1=Units!$Q110),IF(Units!$J110&lt;&gt;"",Units!$J110,Mkt!P111),Inputs!$B$15*Mkt!P111+(1-Inputs!$B$15)*MIN(Mkt!P111,O111*(1+Inputs!$B$18))),O111)))</f>
        <v>1295</v>
      </c>
      <c r="Q111" s="11" t="n">
        <f aca="false">IF(Q$1&lt;Units!$P110,0,IF(AND(Units!$K110=0,Q$1=Units!$O110),Units!$R110,IF(AND(Q$1&gt;=Units!$Q110,MOD(Q$1-Units!$Q110,12)=0),IF(AND(Units!$L110=1,Q$1=Units!$Q110),IF(Units!$J110&lt;&gt;"",Units!$J110,Mkt!Q111),Inputs!$B$15*Mkt!Q111+(1-Inputs!$B$15)*MIN(Mkt!Q111,P111*(1+Inputs!$B$18))),P111)))</f>
        <v>1295</v>
      </c>
      <c r="R111" s="11" t="n">
        <f aca="false">IF(R$1&lt;Units!$P110,0,IF(AND(Units!$K110=0,R$1=Units!$O110),Units!$R110,IF(AND(R$1&gt;=Units!$Q110,MOD(R$1-Units!$Q110,12)=0),IF(AND(Units!$L110=1,R$1=Units!$Q110),IF(Units!$J110&lt;&gt;"",Units!$J110,Mkt!R111),Inputs!$B$15*Mkt!R111+(1-Inputs!$B$15)*MIN(Mkt!R111,Q111*(1+Inputs!$B$18))),Q111)))</f>
        <v>1295</v>
      </c>
      <c r="S111" s="11" t="n">
        <f aca="false">IF(S$1&lt;Units!$P110,0,IF(AND(Units!$K110=0,S$1=Units!$O110),Units!$R110,IF(AND(S$1&gt;=Units!$Q110,MOD(S$1-Units!$Q110,12)=0),IF(AND(Units!$L110=1,S$1=Units!$Q110),IF(Units!$J110&lt;&gt;"",Units!$J110,Mkt!S111),Inputs!$B$15*Mkt!S111+(1-Inputs!$B$15)*MIN(Mkt!S111,R111*(1+Inputs!$B$18))),R111)))</f>
        <v>1295</v>
      </c>
      <c r="T111" s="11" t="n">
        <f aca="false">IF(T$1&lt;Units!$P110,0,IF(AND(Units!$K110=0,T$1=Units!$O110),Units!$R110,IF(AND(T$1&gt;=Units!$Q110,MOD(T$1-Units!$Q110,12)=0),IF(AND(Units!$L110=1,T$1=Units!$Q110),IF(Units!$J110&lt;&gt;"",Units!$J110,Mkt!T111),Inputs!$B$15*Mkt!T111+(1-Inputs!$B$15)*MIN(Mkt!T111,S111*(1+Inputs!$B$18))),S111)))</f>
        <v>1295</v>
      </c>
      <c r="U111" s="11" t="n">
        <f aca="false">IF(U$1&lt;Units!$P110,0,IF(AND(Units!$K110=0,U$1=Units!$O110),Units!$R110,IF(AND(U$1&gt;=Units!$Q110,MOD(U$1-Units!$Q110,12)=0),IF(AND(Units!$L110=1,U$1=Units!$Q110),IF(Units!$J110&lt;&gt;"",Units!$J110,Mkt!U111),Inputs!$B$15*Mkt!U111+(1-Inputs!$B$15)*MIN(Mkt!U111,T111*(1+Inputs!$B$18))),T111)))</f>
        <v>1295</v>
      </c>
      <c r="V111" s="11" t="n">
        <f aca="false">IF(V$1&lt;Units!$P110,0,IF(AND(Units!$K110=0,V$1=Units!$O110),Units!$R110,IF(AND(V$1&gt;=Units!$Q110,MOD(V$1-Units!$Q110,12)=0),IF(AND(Units!$L110=1,V$1=Units!$Q110),IF(Units!$J110&lt;&gt;"",Units!$J110,Mkt!V111),Inputs!$B$15*Mkt!V111+(1-Inputs!$B$15)*MIN(Mkt!V111,U111*(1+Inputs!$B$18))),U111)))</f>
        <v>1295</v>
      </c>
      <c r="W111" s="11" t="n">
        <f aca="false">IF(W$1&lt;Units!$P110,0,IF(AND(Units!$K110=0,W$1=Units!$O110),Units!$R110,IF(AND(W$1&gt;=Units!$Q110,MOD(W$1-Units!$Q110,12)=0),IF(AND(Units!$L110=1,W$1=Units!$Q110),IF(Units!$J110&lt;&gt;"",Units!$J110,Mkt!W111),Inputs!$B$15*Mkt!W111+(1-Inputs!$B$15)*MIN(Mkt!W111,V111*(1+Inputs!$B$18))),V111)))</f>
        <v>1333.85</v>
      </c>
      <c r="X111" s="11" t="n">
        <f aca="false">IF(X$1&lt;Units!$P110,0,IF(AND(Units!$K110=0,X$1=Units!$O110),Units!$R110,IF(AND(X$1&gt;=Units!$Q110,MOD(X$1-Units!$Q110,12)=0),IF(AND(Units!$L110=1,X$1=Units!$Q110),IF(Units!$J110&lt;&gt;"",Units!$J110,Mkt!X111),Inputs!$B$15*Mkt!X111+(1-Inputs!$B$15)*MIN(Mkt!X111,W111*(1+Inputs!$B$18))),W111)))</f>
        <v>1333.85</v>
      </c>
      <c r="Y111" s="11" t="n">
        <f aca="false">IF(Y$1&lt;Units!$P110,0,IF(AND(Units!$K110=0,Y$1=Units!$O110),Units!$R110,IF(AND(Y$1&gt;=Units!$Q110,MOD(Y$1-Units!$Q110,12)=0),IF(AND(Units!$L110=1,Y$1=Units!$Q110),IF(Units!$J110&lt;&gt;"",Units!$J110,Mkt!Y111),Inputs!$B$15*Mkt!Y111+(1-Inputs!$B$15)*MIN(Mkt!Y111,X111*(1+Inputs!$B$18))),X111)))</f>
        <v>1333.85</v>
      </c>
      <c r="Z111" s="11" t="n">
        <f aca="false">IF(Z$1&lt;Units!$P110,0,IF(AND(Units!$K110=0,Z$1=Units!$O110),Units!$R110,IF(AND(Z$1&gt;=Units!$Q110,MOD(Z$1-Units!$Q110,12)=0),IF(AND(Units!$L110=1,Z$1=Units!$Q110),IF(Units!$J110&lt;&gt;"",Units!$J110,Mkt!Z111),Inputs!$B$15*Mkt!Z111+(1-Inputs!$B$15)*MIN(Mkt!Z111,Y111*(1+Inputs!$B$18))),Y111)))</f>
        <v>1333.85</v>
      </c>
      <c r="AA111" s="11" t="n">
        <f aca="false">IF(AA$1&lt;Units!$P110,0,IF(AND(Units!$K110=0,AA$1=Units!$O110),Units!$R110,IF(AND(AA$1&gt;=Units!$Q110,MOD(AA$1-Units!$Q110,12)=0),IF(AND(Units!$L110=1,AA$1=Units!$Q110),IF(Units!$J110&lt;&gt;"",Units!$J110,Mkt!AA111),Inputs!$B$15*Mkt!AA111+(1-Inputs!$B$15)*MIN(Mkt!AA111,Z111*(1+Inputs!$B$18))),Z111)))</f>
        <v>1333.85</v>
      </c>
      <c r="AB111" s="11" t="n">
        <f aca="false">IF(AB$1&lt;Units!$P110,0,IF(AND(Units!$K110=0,AB$1=Units!$O110),Units!$R110,IF(AND(AB$1&gt;=Units!$Q110,MOD(AB$1-Units!$Q110,12)=0),IF(AND(Units!$L110=1,AB$1=Units!$Q110),IF(Units!$J110&lt;&gt;"",Units!$J110,Mkt!AB111),Inputs!$B$15*Mkt!AB111+(1-Inputs!$B$15)*MIN(Mkt!AB111,AA111*(1+Inputs!$B$18))),AA111)))</f>
        <v>1333.85</v>
      </c>
      <c r="AC111" s="11" t="n">
        <f aca="false">IF(AC$1&lt;Units!$P110,0,IF(AND(Units!$K110=0,AC$1=Units!$O110),Units!$R110,IF(AND(AC$1&gt;=Units!$Q110,MOD(AC$1-Units!$Q110,12)=0),IF(AND(Units!$L110=1,AC$1=Units!$Q110),IF(Units!$J110&lt;&gt;"",Units!$J110,Mkt!AC111),Inputs!$B$15*Mkt!AC111+(1-Inputs!$B$15)*MIN(Mkt!AC111,AB111*(1+Inputs!$B$18))),AB111)))</f>
        <v>1333.85</v>
      </c>
      <c r="AD111" s="11" t="n">
        <f aca="false">IF(AD$1&lt;Units!$P110,0,IF(AND(Units!$K110=0,AD$1=Units!$O110),Units!$R110,IF(AND(AD$1&gt;=Units!$Q110,MOD(AD$1-Units!$Q110,12)=0),IF(AND(Units!$L110=1,AD$1=Units!$Q110),IF(Units!$J110&lt;&gt;"",Units!$J110,Mkt!AD111),Inputs!$B$15*Mkt!AD111+(1-Inputs!$B$15)*MIN(Mkt!AD111,AC111*(1+Inputs!$B$18))),AC111)))</f>
        <v>1333.85</v>
      </c>
      <c r="AE111" s="11" t="n">
        <f aca="false">IF(AE$1&lt;Units!$P110,0,IF(AND(Units!$K110=0,AE$1=Units!$O110),Units!$R110,IF(AND(AE$1&gt;=Units!$Q110,MOD(AE$1-Units!$Q110,12)=0),IF(AND(Units!$L110=1,AE$1=Units!$Q110),IF(Units!$J110&lt;&gt;"",Units!$J110,Mkt!AE111),Inputs!$B$15*Mkt!AE111+(1-Inputs!$B$15)*MIN(Mkt!AE111,AD111*(1+Inputs!$B$18))),AD111)))</f>
        <v>1333.85</v>
      </c>
      <c r="AF111" s="11" t="n">
        <f aca="false">IF(AF$1&lt;Units!$P110,0,IF(AND(Units!$K110=0,AF$1=Units!$O110),Units!$R110,IF(AND(AF$1&gt;=Units!$Q110,MOD(AF$1-Units!$Q110,12)=0),IF(AND(Units!$L110=1,AF$1=Units!$Q110),IF(Units!$J110&lt;&gt;"",Units!$J110,Mkt!AF111),Inputs!$B$15*Mkt!AF111+(1-Inputs!$B$15)*MIN(Mkt!AF111,AE111*(1+Inputs!$B$18))),AE111)))</f>
        <v>1333.85</v>
      </c>
      <c r="AG111" s="11" t="n">
        <f aca="false">IF(AG$1&lt;Units!$P110,0,IF(AND(Units!$K110=0,AG$1=Units!$O110),Units!$R110,IF(AND(AG$1&gt;=Units!$Q110,MOD(AG$1-Units!$Q110,12)=0),IF(AND(Units!$L110=1,AG$1=Units!$Q110),IF(Units!$J110&lt;&gt;"",Units!$J110,Mkt!AG111),Inputs!$B$15*Mkt!AG111+(1-Inputs!$B$15)*MIN(Mkt!AG111,AF111*(1+Inputs!$B$18))),AF111)))</f>
        <v>1333.85</v>
      </c>
      <c r="AH111" s="11" t="n">
        <f aca="false">IF(AH$1&lt;Units!$P110,0,IF(AND(Units!$K110=0,AH$1=Units!$O110),Units!$R110,IF(AND(AH$1&gt;=Units!$Q110,MOD(AH$1-Units!$Q110,12)=0),IF(AND(Units!$L110=1,AH$1=Units!$Q110),IF(Units!$J110&lt;&gt;"",Units!$J110,Mkt!AH111),Inputs!$B$15*Mkt!AH111+(1-Inputs!$B$15)*MIN(Mkt!AH111,AG111*(1+Inputs!$B$18))),AG111)))</f>
        <v>1333.85</v>
      </c>
      <c r="AI111" s="11" t="n">
        <f aca="false">IF(AI$1&lt;Units!$P110,0,IF(AND(Units!$K110=0,AI$1=Units!$O110),Units!$R110,IF(AND(AI$1&gt;=Units!$Q110,MOD(AI$1-Units!$Q110,12)=0),IF(AND(Units!$L110=1,AI$1=Units!$Q110),IF(Units!$J110&lt;&gt;"",Units!$J110,Mkt!AI111),Inputs!$B$15*Mkt!AI111+(1-Inputs!$B$15)*MIN(Mkt!AI111,AH111*(1+Inputs!$B$18))),AH111)))</f>
        <v>1373.8655</v>
      </c>
      <c r="AJ111" s="11" t="n">
        <f aca="false">IF(AJ$1&lt;Units!$P110,0,IF(AND(Units!$K110=0,AJ$1=Units!$O110),Units!$R110,IF(AND(AJ$1&gt;=Units!$Q110,MOD(AJ$1-Units!$Q110,12)=0),IF(AND(Units!$L110=1,AJ$1=Units!$Q110),IF(Units!$J110&lt;&gt;"",Units!$J110,Mkt!AJ111),Inputs!$B$15*Mkt!AJ111+(1-Inputs!$B$15)*MIN(Mkt!AJ111,AI111*(1+Inputs!$B$18))),AI111)))</f>
        <v>1373.8655</v>
      </c>
      <c r="AK111" s="11" t="n">
        <f aca="false">IF(AK$1&lt;Units!$P110,0,IF(AND(Units!$K110=0,AK$1=Units!$O110),Units!$R110,IF(AND(AK$1&gt;=Units!$Q110,MOD(AK$1-Units!$Q110,12)=0),IF(AND(Units!$L110=1,AK$1=Units!$Q110),IF(Units!$J110&lt;&gt;"",Units!$J110,Mkt!AK111),Inputs!$B$15*Mkt!AK111+(1-Inputs!$B$15)*MIN(Mkt!AK111,AJ111*(1+Inputs!$B$18))),AJ111)))</f>
        <v>1373.8655</v>
      </c>
      <c r="AL111" s="11" t="n">
        <f aca="false">IF(AL$1&lt;Units!$P110,0,IF(AND(Units!$K110=0,AL$1=Units!$O110),Units!$R110,IF(AND(AL$1&gt;=Units!$Q110,MOD(AL$1-Units!$Q110,12)=0),IF(AND(Units!$L110=1,AL$1=Units!$Q110),IF(Units!$J110&lt;&gt;"",Units!$J110,Mkt!AL111),Inputs!$B$15*Mkt!AL111+(1-Inputs!$B$15)*MIN(Mkt!AL111,AK111*(1+Inputs!$B$18))),AK111)))</f>
        <v>1373.8655</v>
      </c>
      <c r="AM111" s="11" t="n">
        <f aca="false">IF(AM$1&lt;Units!$P110,0,IF(AND(Units!$K110=0,AM$1=Units!$O110),Units!$R110,IF(AND(AM$1&gt;=Units!$Q110,MOD(AM$1-Units!$Q110,12)=0),IF(AND(Units!$L110=1,AM$1=Units!$Q110),IF(Units!$J110&lt;&gt;"",Units!$J110,Mkt!AM111),Inputs!$B$15*Mkt!AM111+(1-Inputs!$B$15)*MIN(Mkt!AM111,AL111*(1+Inputs!$B$18))),AL111)))</f>
        <v>1373.8655</v>
      </c>
      <c r="AN111" s="11" t="n">
        <f aca="false">IF(AN$1&lt;Units!$P110,0,IF(AND(Units!$K110=0,AN$1=Units!$O110),Units!$R110,IF(AND(AN$1&gt;=Units!$Q110,MOD(AN$1-Units!$Q110,12)=0),IF(AND(Units!$L110=1,AN$1=Units!$Q110),IF(Units!$J110&lt;&gt;"",Units!$J110,Mkt!AN111),Inputs!$B$15*Mkt!AN111+(1-Inputs!$B$15)*MIN(Mkt!AN111,AM111*(1+Inputs!$B$18))),AM111)))</f>
        <v>1373.8655</v>
      </c>
      <c r="AO111" s="11" t="n">
        <f aca="false">IF(AO$1&lt;Units!$P110,0,IF(AND(Units!$K110=0,AO$1=Units!$O110),Units!$R110,IF(AND(AO$1&gt;=Units!$Q110,MOD(AO$1-Units!$Q110,12)=0),IF(AND(Units!$L110=1,AO$1=Units!$Q110),IF(Units!$J110&lt;&gt;"",Units!$J110,Mkt!AO111),Inputs!$B$15*Mkt!AO111+(1-Inputs!$B$15)*MIN(Mkt!AO111,AN111*(1+Inputs!$B$18))),AN111)))</f>
        <v>1373.8655</v>
      </c>
      <c r="AP111" s="11" t="n">
        <f aca="false">IF(AP$1&lt;Units!$P110,0,IF(AND(Units!$K110=0,AP$1=Units!$O110),Units!$R110,IF(AND(AP$1&gt;=Units!$Q110,MOD(AP$1-Units!$Q110,12)=0),IF(AND(Units!$L110=1,AP$1=Units!$Q110),IF(Units!$J110&lt;&gt;"",Units!$J110,Mkt!AP111),Inputs!$B$15*Mkt!AP111+(1-Inputs!$B$15)*MIN(Mkt!AP111,AO111*(1+Inputs!$B$18))),AO111)))</f>
        <v>1373.8655</v>
      </c>
      <c r="AQ111" s="11" t="n">
        <f aca="false">IF(AQ$1&lt;Units!$P110,0,IF(AND(Units!$K110=0,AQ$1=Units!$O110),Units!$R110,IF(AND(AQ$1&gt;=Units!$Q110,MOD(AQ$1-Units!$Q110,12)=0),IF(AND(Units!$L110=1,AQ$1=Units!$Q110),IF(Units!$J110&lt;&gt;"",Units!$J110,Mkt!AQ111),Inputs!$B$15*Mkt!AQ111+(1-Inputs!$B$15)*MIN(Mkt!AQ111,AP111*(1+Inputs!$B$18))),AP111)))</f>
        <v>1373.8655</v>
      </c>
      <c r="AR111" s="11" t="n">
        <f aca="false">IF(AR$1&lt;Units!$P110,0,IF(AND(Units!$K110=0,AR$1=Units!$O110),Units!$R110,IF(AND(AR$1&gt;=Units!$Q110,MOD(AR$1-Units!$Q110,12)=0),IF(AND(Units!$L110=1,AR$1=Units!$Q110),IF(Units!$J110&lt;&gt;"",Units!$J110,Mkt!AR111),Inputs!$B$15*Mkt!AR111+(1-Inputs!$B$15)*MIN(Mkt!AR111,AQ111*(1+Inputs!$B$18))),AQ111)))</f>
        <v>1373.8655</v>
      </c>
      <c r="AS111" s="11" t="n">
        <f aca="false">IF(AS$1&lt;Units!$P110,0,IF(AND(Units!$K110=0,AS$1=Units!$O110),Units!$R110,IF(AND(AS$1&gt;=Units!$Q110,MOD(AS$1-Units!$Q110,12)=0),IF(AND(Units!$L110=1,AS$1=Units!$Q110),IF(Units!$J110&lt;&gt;"",Units!$J110,Mkt!AS111),Inputs!$B$15*Mkt!AS111+(1-Inputs!$B$15)*MIN(Mkt!AS111,AR111*(1+Inputs!$B$18))),AR111)))</f>
        <v>1373.8655</v>
      </c>
      <c r="AT111" s="11" t="n">
        <f aca="false">IF(AT$1&lt;Units!$P110,0,IF(AND(Units!$K110=0,AT$1=Units!$O110),Units!$R110,IF(AND(AT$1&gt;=Units!$Q110,MOD(AT$1-Units!$Q110,12)=0),IF(AND(Units!$L110=1,AT$1=Units!$Q110),IF(Units!$J110&lt;&gt;"",Units!$J110,Mkt!AT111),Inputs!$B$15*Mkt!AT111+(1-Inputs!$B$15)*MIN(Mkt!AT111,AS111*(1+Inputs!$B$18))),AS111)))</f>
        <v>1373.8655</v>
      </c>
      <c r="AU111" s="11" t="n">
        <f aca="false">IF(AU$1&lt;Units!$P110,0,IF(AND(Units!$K110=0,AU$1=Units!$O110),Units!$R110,IF(AND(AU$1&gt;=Units!$Q110,MOD(AU$1-Units!$Q110,12)=0),IF(AND(Units!$L110=1,AU$1=Units!$Q110),IF(Units!$J110&lt;&gt;"",Units!$J110,Mkt!AU111),Inputs!$B$15*Mkt!AU111+(1-Inputs!$B$15)*MIN(Mkt!AU111,AT111*(1+Inputs!$B$18))),AT111)))</f>
        <v>1415.081465</v>
      </c>
      <c r="AV111" s="11" t="n">
        <f aca="false">IF(AV$1&lt;Units!$P110,0,IF(AND(Units!$K110=0,AV$1=Units!$O110),Units!$R110,IF(AND(AV$1&gt;=Units!$Q110,MOD(AV$1-Units!$Q110,12)=0),IF(AND(Units!$L110=1,AV$1=Units!$Q110),IF(Units!$J110&lt;&gt;"",Units!$J110,Mkt!AV111),Inputs!$B$15*Mkt!AV111+(1-Inputs!$B$15)*MIN(Mkt!AV111,AU111*(1+Inputs!$B$18))),AU111)))</f>
        <v>1415.081465</v>
      </c>
      <c r="AW111" s="11" t="n">
        <f aca="false">IF(AW$1&lt;Units!$P110,0,IF(AND(Units!$K110=0,AW$1=Units!$O110),Units!$R110,IF(AND(AW$1&gt;=Units!$Q110,MOD(AW$1-Units!$Q110,12)=0),IF(AND(Units!$L110=1,AW$1=Units!$Q110),IF(Units!$J110&lt;&gt;"",Units!$J110,Mkt!AW111),Inputs!$B$15*Mkt!AW111+(1-Inputs!$B$15)*MIN(Mkt!AW111,AV111*(1+Inputs!$B$18))),AV111)))</f>
        <v>1415.081465</v>
      </c>
      <c r="AX111" s="11" t="n">
        <f aca="false">IF(AX$1&lt;Units!$P110,0,IF(AND(Units!$K110=0,AX$1=Units!$O110),Units!$R110,IF(AND(AX$1&gt;=Units!$Q110,MOD(AX$1-Units!$Q110,12)=0),IF(AND(Units!$L110=1,AX$1=Units!$Q110),IF(Units!$J110&lt;&gt;"",Units!$J110,Mkt!AX111),Inputs!$B$15*Mkt!AX111+(1-Inputs!$B$15)*MIN(Mkt!AX111,AW111*(1+Inputs!$B$18))),AW111)))</f>
        <v>1415.081465</v>
      </c>
      <c r="AY111" s="11" t="n">
        <f aca="false">IF(AY$1&lt;Units!$P110,0,IF(AND(Units!$K110=0,AY$1=Units!$O110),Units!$R110,IF(AND(AY$1&gt;=Units!$Q110,MOD(AY$1-Units!$Q110,12)=0),IF(AND(Units!$L110=1,AY$1=Units!$Q110),IF(Units!$J110&lt;&gt;"",Units!$J110,Mkt!AY111),Inputs!$B$15*Mkt!AY111+(1-Inputs!$B$15)*MIN(Mkt!AY111,AX111*(1+Inputs!$B$18))),AX111)))</f>
        <v>1415.081465</v>
      </c>
      <c r="AZ111" s="11" t="n">
        <f aca="false">IF(AZ$1&lt;Units!$P110,0,IF(AND(Units!$K110=0,AZ$1=Units!$O110),Units!$R110,IF(AND(AZ$1&gt;=Units!$Q110,MOD(AZ$1-Units!$Q110,12)=0),IF(AND(Units!$L110=1,AZ$1=Units!$Q110),IF(Units!$J110&lt;&gt;"",Units!$J110,Mkt!AZ111),Inputs!$B$15*Mkt!AZ111+(1-Inputs!$B$15)*MIN(Mkt!AZ111,AY111*(1+Inputs!$B$18))),AY111)))</f>
        <v>1415.081465</v>
      </c>
      <c r="BA111" s="11" t="n">
        <f aca="false">IF(BA$1&lt;Units!$P110,0,IF(AND(Units!$K110=0,BA$1=Units!$O110),Units!$R110,IF(AND(BA$1&gt;=Units!$Q110,MOD(BA$1-Units!$Q110,12)=0),IF(AND(Units!$L110=1,BA$1=Units!$Q110),IF(Units!$J110&lt;&gt;"",Units!$J110,Mkt!BA111),Inputs!$B$15*Mkt!BA111+(1-Inputs!$B$15)*MIN(Mkt!BA111,AZ111*(1+Inputs!$B$18))),AZ111)))</f>
        <v>1415.081465</v>
      </c>
      <c r="BB111" s="11" t="n">
        <f aca="false">IF(BB$1&lt;Units!$P110,0,IF(AND(Units!$K110=0,BB$1=Units!$O110),Units!$R110,IF(AND(BB$1&gt;=Units!$Q110,MOD(BB$1-Units!$Q110,12)=0),IF(AND(Units!$L110=1,BB$1=Units!$Q110),IF(Units!$J110&lt;&gt;"",Units!$J110,Mkt!BB111),Inputs!$B$15*Mkt!BB111+(1-Inputs!$B$15)*MIN(Mkt!BB111,BA111*(1+Inputs!$B$18))),BA111)))</f>
        <v>1415.081465</v>
      </c>
      <c r="BC111" s="11" t="n">
        <f aca="false">IF(BC$1&lt;Units!$P110,0,IF(AND(Units!$K110=0,BC$1=Units!$O110),Units!$R110,IF(AND(BC$1&gt;=Units!$Q110,MOD(BC$1-Units!$Q110,12)=0),IF(AND(Units!$L110=1,BC$1=Units!$Q110),IF(Units!$J110&lt;&gt;"",Units!$J110,Mkt!BC111),Inputs!$B$15*Mkt!BC111+(1-Inputs!$B$15)*MIN(Mkt!BC111,BB111*(1+Inputs!$B$18))),BB111)))</f>
        <v>1415.081465</v>
      </c>
      <c r="BD111" s="11" t="n">
        <f aca="false">IF(BD$1&lt;Units!$P110,0,IF(AND(Units!$K110=0,BD$1=Units!$O110),Units!$R110,IF(AND(BD$1&gt;=Units!$Q110,MOD(BD$1-Units!$Q110,12)=0),IF(AND(Units!$L110=1,BD$1=Units!$Q110),IF(Units!$J110&lt;&gt;"",Units!$J110,Mkt!BD111),Inputs!$B$15*Mkt!BD111+(1-Inputs!$B$15)*MIN(Mkt!BD111,BC111*(1+Inputs!$B$18))),BC111)))</f>
        <v>1415.081465</v>
      </c>
      <c r="BE111" s="11" t="n">
        <f aca="false">IF(BE$1&lt;Units!$P110,0,IF(AND(Units!$K110=0,BE$1=Units!$O110),Units!$R110,IF(AND(BE$1&gt;=Units!$Q110,MOD(BE$1-Units!$Q110,12)=0),IF(AND(Units!$L110=1,BE$1=Units!$Q110),IF(Units!$J110&lt;&gt;"",Units!$J110,Mkt!BE111),Inputs!$B$15*Mkt!BE111+(1-Inputs!$B$15)*MIN(Mkt!BE111,BD111*(1+Inputs!$B$18))),BD111)))</f>
        <v>1415.081465</v>
      </c>
      <c r="BF111" s="11" t="n">
        <f aca="false">IF(BF$1&lt;Units!$P110,0,IF(AND(Units!$K110=0,BF$1=Units!$O110),Units!$R110,IF(AND(BF$1&gt;=Units!$Q110,MOD(BF$1-Units!$Q110,12)=0),IF(AND(Units!$L110=1,BF$1=Units!$Q110),IF(Units!$J110&lt;&gt;"",Units!$J110,Mkt!BF111),Inputs!$B$15*Mkt!BF111+(1-Inputs!$B$15)*MIN(Mkt!BF111,BE111*(1+Inputs!$B$18))),BE111)))</f>
        <v>1415.081465</v>
      </c>
      <c r="BG111" s="11" t="n">
        <f aca="false">IF(BG$1&lt;Units!$P110,0,IF(AND(Units!$K110=0,BG$1=Units!$O110),Units!$R110,IF(AND(BG$1&gt;=Units!$Q110,MOD(BG$1-Units!$Q110,12)=0),IF(AND(Units!$L110=1,BG$1=Units!$Q110),IF(Units!$J110&lt;&gt;"",Units!$J110,Mkt!BG111),Inputs!$B$15*Mkt!BG111+(1-Inputs!$B$15)*MIN(Mkt!BG111,BF111*(1+Inputs!$B$18))),BF111)))</f>
        <v>1457.53390895</v>
      </c>
      <c r="BH111" s="11" t="n">
        <f aca="false">IF(BH$1&lt;Units!$P110,0,IF(AND(Units!$K110=0,BH$1=Units!$O110),Units!$R110,IF(AND(BH$1&gt;=Units!$Q110,MOD(BH$1-Units!$Q110,12)=0),IF(AND(Units!$L110=1,BH$1=Units!$Q110),IF(Units!$J110&lt;&gt;"",Units!$J110,Mkt!BH111),Inputs!$B$15*Mkt!BH111+(1-Inputs!$B$15)*MIN(Mkt!BH111,BG111*(1+Inputs!$B$18))),BG111)))</f>
        <v>1457.53390895</v>
      </c>
      <c r="BI111" s="11" t="n">
        <f aca="false">IF(BI$1&lt;Units!$P110,0,IF(AND(Units!$K110=0,BI$1=Units!$O110),Units!$R110,IF(AND(BI$1&gt;=Units!$Q110,MOD(BI$1-Units!$Q110,12)=0),IF(AND(Units!$L110=1,BI$1=Units!$Q110),IF(Units!$J110&lt;&gt;"",Units!$J110,Mkt!BI111),Inputs!$B$15*Mkt!BI111+(1-Inputs!$B$15)*MIN(Mkt!BI111,BH111*(1+Inputs!$B$18))),BH111)))</f>
        <v>1457.53390895</v>
      </c>
      <c r="BJ111" s="11" t="n">
        <f aca="false">IF(BJ$1&lt;Units!$P110,0,IF(AND(Units!$K110=0,BJ$1=Units!$O110),Units!$R110,IF(AND(BJ$1&gt;=Units!$Q110,MOD(BJ$1-Units!$Q110,12)=0),IF(AND(Units!$L110=1,BJ$1=Units!$Q110),IF(Units!$J110&lt;&gt;"",Units!$J110,Mkt!BJ111),Inputs!$B$15*Mkt!BJ111+(1-Inputs!$B$15)*MIN(Mkt!BJ111,BI111*(1+Inputs!$B$18))),BI111)))</f>
        <v>1457.53390895</v>
      </c>
      <c r="BK111" s="11" t="n">
        <f aca="false">IF(BK$1&lt;Units!$P110,0,IF(AND(Units!$K110=0,BK$1=Units!$O110),Units!$R110,IF(AND(BK$1&gt;=Units!$Q110,MOD(BK$1-Units!$Q110,12)=0),IF(AND(Units!$L110=1,BK$1=Units!$Q110),IF(Units!$J110&lt;&gt;"",Units!$J110,Mkt!BK111),Inputs!$B$15*Mkt!BK111+(1-Inputs!$B$15)*MIN(Mkt!BK111,BJ111*(1+Inputs!$B$18))),BJ111)))</f>
        <v>1457.53390895</v>
      </c>
      <c r="BL111" s="11" t="n">
        <f aca="false">IF(BL$1&lt;Units!$P110,0,IF(AND(Units!$K110=0,BL$1=Units!$O110),Units!$R110,IF(AND(BL$1&gt;=Units!$Q110,MOD(BL$1-Units!$Q110,12)=0),IF(AND(Units!$L110=1,BL$1=Units!$Q110),IF(Units!$J110&lt;&gt;"",Units!$J110,Mkt!BL111),Inputs!$B$15*Mkt!BL111+(1-Inputs!$B$15)*MIN(Mkt!BL111,BK111*(1+Inputs!$B$18))),BK111)))</f>
        <v>1457.53390895</v>
      </c>
      <c r="BM111" s="11" t="n">
        <f aca="false">IF(BM$1&lt;Units!$P110,0,IF(AND(Units!$K110=0,BM$1=Units!$O110),Units!$R110,IF(AND(BM$1&gt;=Units!$Q110,MOD(BM$1-Units!$Q110,12)=0),IF(AND(Units!$L110=1,BM$1=Units!$Q110),IF(Units!$J110&lt;&gt;"",Units!$J110,Mkt!BM111),Inputs!$B$15*Mkt!BM111+(1-Inputs!$B$15)*MIN(Mkt!BM111,BL111*(1+Inputs!$B$18))),BL111)))</f>
        <v>1457.53390895</v>
      </c>
      <c r="BN111" s="11" t="n">
        <f aca="false">IF(BN$1&lt;Units!$P110,0,IF(AND(Units!$K110=0,BN$1=Units!$O110),Units!$R110,IF(AND(BN$1&gt;=Units!$Q110,MOD(BN$1-Units!$Q110,12)=0),IF(AND(Units!$L110=1,BN$1=Units!$Q110),IF(Units!$J110&lt;&gt;"",Units!$J110,Mkt!BN111),Inputs!$B$15*Mkt!BN111+(1-Inputs!$B$15)*MIN(Mkt!BN111,BM111*(1+Inputs!$B$18))),BM111)))</f>
        <v>1457.53390895</v>
      </c>
      <c r="BO111" s="11" t="n">
        <f aca="false">IF(BO$1&lt;Units!$P110,0,IF(AND(Units!$K110=0,BO$1=Units!$O110),Units!$R110,IF(AND(BO$1&gt;=Units!$Q110,MOD(BO$1-Units!$Q110,12)=0),IF(AND(Units!$L110=1,BO$1=Units!$Q110),IF(Units!$J110&lt;&gt;"",Units!$J110,Mkt!BO111),Inputs!$B$15*Mkt!BO111+(1-Inputs!$B$15)*MIN(Mkt!BO111,BN111*(1+Inputs!$B$18))),BN111)))</f>
        <v>1457.53390895</v>
      </c>
      <c r="BP111" s="11" t="n">
        <f aca="false">IF(BP$1&lt;Units!$P110,0,IF(AND(Units!$K110=0,BP$1=Units!$O110),Units!$R110,IF(AND(BP$1&gt;=Units!$Q110,MOD(BP$1-Units!$Q110,12)=0),IF(AND(Units!$L110=1,BP$1=Units!$Q110),IF(Units!$J110&lt;&gt;"",Units!$J110,Mkt!BP111),Inputs!$B$15*Mkt!BP111+(1-Inputs!$B$15)*MIN(Mkt!BP111,BO111*(1+Inputs!$B$18))),BO111)))</f>
        <v>1457.53390895</v>
      </c>
      <c r="BQ111" s="11" t="n">
        <f aca="false">IF(BQ$1&lt;Units!$P110,0,IF(AND(Units!$K110=0,BQ$1=Units!$O110),Units!$R110,IF(AND(BQ$1&gt;=Units!$Q110,MOD(BQ$1-Units!$Q110,12)=0),IF(AND(Units!$L110=1,BQ$1=Units!$Q110),IF(Units!$J110&lt;&gt;"",Units!$J110,Mkt!BQ111),Inputs!$B$15*Mkt!BQ111+(1-Inputs!$B$15)*MIN(Mkt!BQ111,BP111*(1+Inputs!$B$18))),BP111)))</f>
        <v>1457.53390895</v>
      </c>
      <c r="BR111" s="11" t="n">
        <f aca="false">IF(BR$1&lt;Units!$P110,0,IF(AND(Units!$K110=0,BR$1=Units!$O110),Units!$R110,IF(AND(BR$1&gt;=Units!$Q110,MOD(BR$1-Units!$Q110,12)=0),IF(AND(Units!$L110=1,BR$1=Units!$Q110),IF(Units!$J110&lt;&gt;"",Units!$J110,Mkt!BR111),Inputs!$B$15*Mkt!BR111+(1-Inputs!$B$15)*MIN(Mkt!BR111,BQ111*(1+Inputs!$B$18))),BQ111)))</f>
        <v>1457.53390895</v>
      </c>
      <c r="BS111" s="11" t="n">
        <f aca="false">IF(BS$1&lt;Units!$P110,0,IF(AND(Units!$K110=0,BS$1=Units!$O110),Units!$R110,IF(AND(BS$1&gt;=Units!$Q110,MOD(BS$1-Units!$Q110,12)=0),IF(AND(Units!$L110=1,BS$1=Units!$Q110),IF(Units!$J110&lt;&gt;"",Units!$J110,Mkt!BS111),Inputs!$B$15*Mkt!BS111+(1-Inputs!$B$15)*MIN(Mkt!BS111,BR111*(1+Inputs!$B$18))),BR111)))</f>
        <v>1501.2599262185</v>
      </c>
      <c r="BT111" s="11" t="n">
        <f aca="false">IF(BT$1&lt;Units!$P110,0,IF(AND(Units!$K110=0,BT$1=Units!$O110),Units!$R110,IF(AND(BT$1&gt;=Units!$Q110,MOD(BT$1-Units!$Q110,12)=0),IF(AND(Units!$L110=1,BT$1=Units!$Q110),IF(Units!$J110&lt;&gt;"",Units!$J110,Mkt!BT111),Inputs!$B$15*Mkt!BT111+(1-Inputs!$B$15)*MIN(Mkt!BT111,BS111*(1+Inputs!$B$18))),BS111)))</f>
        <v>1501.2599262185</v>
      </c>
      <c r="BU111" s="11" t="n">
        <f aca="false">IF(BU$1&lt;Units!$P110,0,IF(AND(Units!$K110=0,BU$1=Units!$O110),Units!$R110,IF(AND(BU$1&gt;=Units!$Q110,MOD(BU$1-Units!$Q110,12)=0),IF(AND(Units!$L110=1,BU$1=Units!$Q110),IF(Units!$J110&lt;&gt;"",Units!$J110,Mkt!BU111),Inputs!$B$15*Mkt!BU111+(1-Inputs!$B$15)*MIN(Mkt!BU111,BT111*(1+Inputs!$B$18))),BT111)))</f>
        <v>1501.2599262185</v>
      </c>
      <c r="BV111" s="11" t="n">
        <f aca="false">IF(BV$1&lt;Units!$P110,0,IF(AND(Units!$K110=0,BV$1=Units!$O110),Units!$R110,IF(AND(BV$1&gt;=Units!$Q110,MOD(BV$1-Units!$Q110,12)=0),IF(AND(Units!$L110=1,BV$1=Units!$Q110),IF(Units!$J110&lt;&gt;"",Units!$J110,Mkt!BV111),Inputs!$B$15*Mkt!BV111+(1-Inputs!$B$15)*MIN(Mkt!BV111,BU111*(1+Inputs!$B$18))),BU111)))</f>
        <v>1501.2599262185</v>
      </c>
      <c r="BW111" s="11" t="n">
        <f aca="false">IF(BW$1&lt;Units!$P110,0,IF(AND(Units!$K110=0,BW$1=Units!$O110),Units!$R110,IF(AND(BW$1&gt;=Units!$Q110,MOD(BW$1-Units!$Q110,12)=0),IF(AND(Units!$L110=1,BW$1=Units!$Q110),IF(Units!$J110&lt;&gt;"",Units!$J110,Mkt!BW111),Inputs!$B$15*Mkt!BW111+(1-Inputs!$B$15)*MIN(Mkt!BW111,BV111*(1+Inputs!$B$18))),BV111)))</f>
        <v>1501.2599262185</v>
      </c>
      <c r="BX111" s="11" t="n">
        <f aca="false">IF(BX$1&lt;Units!$P110,0,IF(AND(Units!$K110=0,BX$1=Units!$O110),Units!$R110,IF(AND(BX$1&gt;=Units!$Q110,MOD(BX$1-Units!$Q110,12)=0),IF(AND(Units!$L110=1,BX$1=Units!$Q110),IF(Units!$J110&lt;&gt;"",Units!$J110,Mkt!BX111),Inputs!$B$15*Mkt!BX111+(1-Inputs!$B$15)*MIN(Mkt!BX111,BW111*(1+Inputs!$B$18))),BW111)))</f>
        <v>1501.2599262185</v>
      </c>
      <c r="BY111" s="11" t="n">
        <f aca="false">IF(BY$1&lt;Units!$P110,0,IF(AND(Units!$K110=0,BY$1=Units!$O110),Units!$R110,IF(AND(BY$1&gt;=Units!$Q110,MOD(BY$1-Units!$Q110,12)=0),IF(AND(Units!$L110=1,BY$1=Units!$Q110),IF(Units!$J110&lt;&gt;"",Units!$J110,Mkt!BY111),Inputs!$B$15*Mkt!BY111+(1-Inputs!$B$15)*MIN(Mkt!BY111,BX111*(1+Inputs!$B$18))),BX111)))</f>
        <v>1501.2599262185</v>
      </c>
      <c r="BZ111" s="11" t="n">
        <f aca="false">IF(BZ$1&lt;Units!$P110,0,IF(AND(Units!$K110=0,BZ$1=Units!$O110),Units!$R110,IF(AND(BZ$1&gt;=Units!$Q110,MOD(BZ$1-Units!$Q110,12)=0),IF(AND(Units!$L110=1,BZ$1=Units!$Q110),IF(Units!$J110&lt;&gt;"",Units!$J110,Mkt!BZ111),Inputs!$B$15*Mkt!BZ111+(1-Inputs!$B$15)*MIN(Mkt!BZ111,BY111*(1+Inputs!$B$18))),BY111)))</f>
        <v>1501.2599262185</v>
      </c>
      <c r="CA111" s="11" t="n">
        <f aca="false">IF(CA$1&lt;Units!$P110,0,IF(AND(Units!$K110=0,CA$1=Units!$O110),Units!$R110,IF(AND(CA$1&gt;=Units!$Q110,MOD(CA$1-Units!$Q110,12)=0),IF(AND(Units!$L110=1,CA$1=Units!$Q110),IF(Units!$J110&lt;&gt;"",Units!$J110,Mkt!CA111),Inputs!$B$15*Mkt!CA111+(1-Inputs!$B$15)*MIN(Mkt!CA111,BZ111*(1+Inputs!$B$18))),BZ111)))</f>
        <v>1501.2599262185</v>
      </c>
      <c r="CB111" s="11" t="n">
        <f aca="false">IF(CB$1&lt;Units!$P110,0,IF(AND(Units!$K110=0,CB$1=Units!$O110),Units!$R110,IF(AND(CB$1&gt;=Units!$Q110,MOD(CB$1-Units!$Q110,12)=0),IF(AND(Units!$L110=1,CB$1=Units!$Q110),IF(Units!$J110&lt;&gt;"",Units!$J110,Mkt!CB111),Inputs!$B$15*Mkt!CB111+(1-Inputs!$B$15)*MIN(Mkt!CB111,CA111*(1+Inputs!$B$18))),CA111)))</f>
        <v>1501.2599262185</v>
      </c>
      <c r="CC111" s="11" t="n">
        <f aca="false">IF(CC$1&lt;Units!$P110,0,IF(AND(Units!$K110=0,CC$1=Units!$O110),Units!$R110,IF(AND(CC$1&gt;=Units!$Q110,MOD(CC$1-Units!$Q110,12)=0),IF(AND(Units!$L110=1,CC$1=Units!$Q110),IF(Units!$J110&lt;&gt;"",Units!$J110,Mkt!CC111),Inputs!$B$15*Mkt!CC111+(1-Inputs!$B$15)*MIN(Mkt!CC111,CB111*(1+Inputs!$B$18))),CB111)))</f>
        <v>1501.2599262185</v>
      </c>
      <c r="CD111" s="11" t="n">
        <f aca="false">IF(CD$1&lt;Units!$P110,0,IF(AND(Units!$K110=0,CD$1=Units!$O110),Units!$R110,IF(AND(CD$1&gt;=Units!$Q110,MOD(CD$1-Units!$Q110,12)=0),IF(AND(Units!$L110=1,CD$1=Units!$Q110),IF(Units!$J110&lt;&gt;"",Units!$J110,Mkt!CD111),Inputs!$B$15*Mkt!CD111+(1-Inputs!$B$15)*MIN(Mkt!CD111,CC111*(1+Inputs!$B$18))),CC111)))</f>
        <v>1501.2599262185</v>
      </c>
      <c r="CE111" s="11" t="n">
        <f aca="false">IF(CE$1&lt;Units!$P110,0,IF(AND(Units!$K110=0,CE$1=Units!$O110),Units!$R110,IF(AND(CE$1&gt;=Units!$Q110,MOD(CE$1-Units!$Q110,12)=0),IF(AND(Units!$L110=1,CE$1=Units!$Q110),IF(Units!$J110&lt;&gt;"",Units!$J110,Mkt!CE111),Inputs!$B$15*Mkt!CE111+(1-Inputs!$B$15)*MIN(Mkt!CE111,CD111*(1+Inputs!$B$18))),CD111)))</f>
        <v>1546.29772400506</v>
      </c>
      <c r="CF111" s="11" t="n">
        <f aca="false">IF(CF$1&lt;Units!$P110,0,IF(AND(Units!$K110=0,CF$1=Units!$O110),Units!$R110,IF(AND(CF$1&gt;=Units!$Q110,MOD(CF$1-Units!$Q110,12)=0),IF(AND(Units!$L110=1,CF$1=Units!$Q110),IF(Units!$J110&lt;&gt;"",Units!$J110,Mkt!CF111),Inputs!$B$15*Mkt!CF111+(1-Inputs!$B$15)*MIN(Mkt!CF111,CE111*(1+Inputs!$B$18))),CE111)))</f>
        <v>1546.29772400506</v>
      </c>
      <c r="CG111" s="11" t="n">
        <f aca="false">IF(CG$1&lt;Units!$P110,0,IF(AND(Units!$K110=0,CG$1=Units!$O110),Units!$R110,IF(AND(CG$1&gt;=Units!$Q110,MOD(CG$1-Units!$Q110,12)=0),IF(AND(Units!$L110=1,CG$1=Units!$Q110),IF(Units!$J110&lt;&gt;"",Units!$J110,Mkt!CG111),Inputs!$B$15*Mkt!CG111+(1-Inputs!$B$15)*MIN(Mkt!CG111,CF111*(1+Inputs!$B$18))),CF111)))</f>
        <v>1546.29772400506</v>
      </c>
      <c r="CH111" s="11" t="n">
        <f aca="false">IF(CH$1&lt;Units!$P110,0,IF(AND(Units!$K110=0,CH$1=Units!$O110),Units!$R110,IF(AND(CH$1&gt;=Units!$Q110,MOD(CH$1-Units!$Q110,12)=0),IF(AND(Units!$L110=1,CH$1=Units!$Q110),IF(Units!$J110&lt;&gt;"",Units!$J110,Mkt!CH111),Inputs!$B$15*Mkt!CH111+(1-Inputs!$B$15)*MIN(Mkt!CH111,CG111*(1+Inputs!$B$18))),CG111)))</f>
        <v>1546.29772400506</v>
      </c>
      <c r="CI111" s="11" t="n">
        <f aca="false">IF(CI$1&lt;Units!$P110,0,IF(AND(Units!$K110=0,CI$1=Units!$O110),Units!$R110,IF(AND(CI$1&gt;=Units!$Q110,MOD(CI$1-Units!$Q110,12)=0),IF(AND(Units!$L110=1,CI$1=Units!$Q110),IF(Units!$J110&lt;&gt;"",Units!$J110,Mkt!CI111),Inputs!$B$15*Mkt!CI111+(1-Inputs!$B$15)*MIN(Mkt!CI111,CH111*(1+Inputs!$B$18))),CH111)))</f>
        <v>1546.29772400506</v>
      </c>
      <c r="CJ111" s="11" t="n">
        <f aca="false">IF(CJ$1&lt;Units!$P110,0,IF(AND(Units!$K110=0,CJ$1=Units!$O110),Units!$R110,IF(AND(CJ$1&gt;=Units!$Q110,MOD(CJ$1-Units!$Q110,12)=0),IF(AND(Units!$L110=1,CJ$1=Units!$Q110),IF(Units!$J110&lt;&gt;"",Units!$J110,Mkt!CJ111),Inputs!$B$15*Mkt!CJ111+(1-Inputs!$B$15)*MIN(Mkt!CJ111,CI111*(1+Inputs!$B$18))),CI111)))</f>
        <v>1546.29772400506</v>
      </c>
      <c r="CK111" s="11" t="n">
        <f aca="false">IF(CK$1&lt;Units!$P110,0,IF(AND(Units!$K110=0,CK$1=Units!$O110),Units!$R110,IF(AND(CK$1&gt;=Units!$Q110,MOD(CK$1-Units!$Q110,12)=0),IF(AND(Units!$L110=1,CK$1=Units!$Q110),IF(Units!$J110&lt;&gt;"",Units!$J110,Mkt!CK111),Inputs!$B$15*Mkt!CK111+(1-Inputs!$B$15)*MIN(Mkt!CK111,CJ111*(1+Inputs!$B$18))),CJ111)))</f>
        <v>1546.29772400506</v>
      </c>
      <c r="CL111" s="11" t="n">
        <f aca="false">IF(CL$1&lt;Units!$P110,0,IF(AND(Units!$K110=0,CL$1=Units!$O110),Units!$R110,IF(AND(CL$1&gt;=Units!$Q110,MOD(CL$1-Units!$Q110,12)=0),IF(AND(Units!$L110=1,CL$1=Units!$Q110),IF(Units!$J110&lt;&gt;"",Units!$J110,Mkt!CL111),Inputs!$B$15*Mkt!CL111+(1-Inputs!$B$15)*MIN(Mkt!CL111,CK111*(1+Inputs!$B$18))),CK111)))</f>
        <v>1546.29772400506</v>
      </c>
      <c r="CM111" s="11" t="n">
        <f aca="false">IF(CM$1&lt;Units!$P110,0,IF(AND(Units!$K110=0,CM$1=Units!$O110),Units!$R110,IF(AND(CM$1&gt;=Units!$Q110,MOD(CM$1-Units!$Q110,12)=0),IF(AND(Units!$L110=1,CM$1=Units!$Q110),IF(Units!$J110&lt;&gt;"",Units!$J110,Mkt!CM111),Inputs!$B$15*Mkt!CM111+(1-Inputs!$B$15)*MIN(Mkt!CM111,CL111*(1+Inputs!$B$18))),CL111)))</f>
        <v>1546.29772400506</v>
      </c>
      <c r="CN111" s="11" t="n">
        <f aca="false">IF(CN$1&lt;Units!$P110,0,IF(AND(Units!$K110=0,CN$1=Units!$O110),Units!$R110,IF(AND(CN$1&gt;=Units!$Q110,MOD(CN$1-Units!$Q110,12)=0),IF(AND(Units!$L110=1,CN$1=Units!$Q110),IF(Units!$J110&lt;&gt;"",Units!$J110,Mkt!CN111),Inputs!$B$15*Mkt!CN111+(1-Inputs!$B$15)*MIN(Mkt!CN111,CM111*(1+Inputs!$B$18))),CM111)))</f>
        <v>1546.29772400506</v>
      </c>
      <c r="CO111" s="11" t="n">
        <f aca="false">IF(CO$1&lt;Units!$P110,0,IF(AND(Units!$K110=0,CO$1=Units!$O110),Units!$R110,IF(AND(CO$1&gt;=Units!$Q110,MOD(CO$1-Units!$Q110,12)=0),IF(AND(Units!$L110=1,CO$1=Units!$Q110),IF(Units!$J110&lt;&gt;"",Units!$J110,Mkt!CO111),Inputs!$B$15*Mkt!CO111+(1-Inputs!$B$15)*MIN(Mkt!CO111,CN111*(1+Inputs!$B$18))),CN111)))</f>
        <v>1546.29772400506</v>
      </c>
      <c r="CP111" s="11" t="n">
        <f aca="false">IF(CP$1&lt;Units!$P110,0,IF(AND(Units!$K110=0,CP$1=Units!$O110),Units!$R110,IF(AND(CP$1&gt;=Units!$Q110,MOD(CP$1-Units!$Q110,12)=0),IF(AND(Units!$L110=1,CP$1=Units!$Q110),IF(Units!$J110&lt;&gt;"",Units!$J110,Mkt!CP111),Inputs!$B$15*Mkt!CP111+(1-Inputs!$B$15)*MIN(Mkt!CP111,CO111*(1+Inputs!$B$18))),CO111)))</f>
        <v>1546.29772400506</v>
      </c>
      <c r="CQ111" s="11" t="n">
        <f aca="false">IF(CQ$1&lt;Units!$P110,0,IF(AND(Units!$K110=0,CQ$1=Units!$O110),Units!$R110,IF(AND(CQ$1&gt;=Units!$Q110,MOD(CQ$1-Units!$Q110,12)=0),IF(AND(Units!$L110=1,CQ$1=Units!$Q110),IF(Units!$J110&lt;&gt;"",Units!$J110,Mkt!CQ111),Inputs!$B$15*Mkt!CQ111+(1-Inputs!$B$15)*MIN(Mkt!CQ111,CP111*(1+Inputs!$B$18))),CP111)))</f>
        <v>1592.68665572521</v>
      </c>
      <c r="CR111" s="11" t="n">
        <f aca="false">IF(CR$1&lt;Units!$P110,0,IF(AND(Units!$K110=0,CR$1=Units!$O110),Units!$R110,IF(AND(CR$1&gt;=Units!$Q110,MOD(CR$1-Units!$Q110,12)=0),IF(AND(Units!$L110=1,CR$1=Units!$Q110),IF(Units!$J110&lt;&gt;"",Units!$J110,Mkt!CR111),Inputs!$B$15*Mkt!CR111+(1-Inputs!$B$15)*MIN(Mkt!CR111,CQ111*(1+Inputs!$B$18))),CQ111)))</f>
        <v>1592.68665572521</v>
      </c>
      <c r="CS111" s="11" t="n">
        <f aca="false">IF(CS$1&lt;Units!$P110,0,IF(AND(Units!$K110=0,CS$1=Units!$O110),Units!$R110,IF(AND(CS$1&gt;=Units!$Q110,MOD(CS$1-Units!$Q110,12)=0),IF(AND(Units!$L110=1,CS$1=Units!$Q110),IF(Units!$J110&lt;&gt;"",Units!$J110,Mkt!CS111),Inputs!$B$15*Mkt!CS111+(1-Inputs!$B$15)*MIN(Mkt!CS111,CR111*(1+Inputs!$B$18))),CR111)))</f>
        <v>1592.68665572521</v>
      </c>
      <c r="CT111" s="11" t="n">
        <f aca="false">IF(CT$1&lt;Units!$P110,0,IF(AND(Units!$K110=0,CT$1=Units!$O110),Units!$R110,IF(AND(CT$1&gt;=Units!$Q110,MOD(CT$1-Units!$Q110,12)=0),IF(AND(Units!$L110=1,CT$1=Units!$Q110),IF(Units!$J110&lt;&gt;"",Units!$J110,Mkt!CT111),Inputs!$B$15*Mkt!CT111+(1-Inputs!$B$15)*MIN(Mkt!CT111,CS111*(1+Inputs!$B$18))),CS111)))</f>
        <v>1592.68665572521</v>
      </c>
      <c r="CU111" s="11" t="n">
        <f aca="false">IF(CU$1&lt;Units!$P110,0,IF(AND(Units!$K110=0,CU$1=Units!$O110),Units!$R110,IF(AND(CU$1&gt;=Units!$Q110,MOD(CU$1-Units!$Q110,12)=0),IF(AND(Units!$L110=1,CU$1=Units!$Q110),IF(Units!$J110&lt;&gt;"",Units!$J110,Mkt!CU111),Inputs!$B$15*Mkt!CU111+(1-Inputs!$B$15)*MIN(Mkt!CU111,CT111*(1+Inputs!$B$18))),CT111)))</f>
        <v>1592.68665572521</v>
      </c>
      <c r="CV111" s="11" t="n">
        <f aca="false">IF(CV$1&lt;Units!$P110,0,IF(AND(Units!$K110=0,CV$1=Units!$O110),Units!$R110,IF(AND(CV$1&gt;=Units!$Q110,MOD(CV$1-Units!$Q110,12)=0),IF(AND(Units!$L110=1,CV$1=Units!$Q110),IF(Units!$J110&lt;&gt;"",Units!$J110,Mkt!CV111),Inputs!$B$15*Mkt!CV111+(1-Inputs!$B$15)*MIN(Mkt!CV111,CU111*(1+Inputs!$B$18))),CU111)))</f>
        <v>1592.68665572521</v>
      </c>
      <c r="CW111" s="11" t="n">
        <f aca="false">IF(CW$1&lt;Units!$P110,0,IF(AND(Units!$K110=0,CW$1=Units!$O110),Units!$R110,IF(AND(CW$1&gt;=Units!$Q110,MOD(CW$1-Units!$Q110,12)=0),IF(AND(Units!$L110=1,CW$1=Units!$Q110),IF(Units!$J110&lt;&gt;"",Units!$J110,Mkt!CW111),Inputs!$B$15*Mkt!CW111+(1-Inputs!$B$15)*MIN(Mkt!CW111,CV111*(1+Inputs!$B$18))),CV111)))</f>
        <v>1592.68665572521</v>
      </c>
      <c r="CX111" s="11" t="n">
        <f aca="false">IF(CX$1&lt;Units!$P110,0,IF(AND(Units!$K110=0,CX$1=Units!$O110),Units!$R110,IF(AND(CX$1&gt;=Units!$Q110,MOD(CX$1-Units!$Q110,12)=0),IF(AND(Units!$L110=1,CX$1=Units!$Q110),IF(Units!$J110&lt;&gt;"",Units!$J110,Mkt!CX111),Inputs!$B$15*Mkt!CX111+(1-Inputs!$B$15)*MIN(Mkt!CX111,CW111*(1+Inputs!$B$18))),CW111)))</f>
        <v>1592.68665572521</v>
      </c>
      <c r="CY111" s="11" t="n">
        <f aca="false">IF(CY$1&lt;Units!$P110,0,IF(AND(Units!$K110=0,CY$1=Units!$O110),Units!$R110,IF(AND(CY$1&gt;=Units!$Q110,MOD(CY$1-Units!$Q110,12)=0),IF(AND(Units!$L110=1,CY$1=Units!$Q110),IF(Units!$J110&lt;&gt;"",Units!$J110,Mkt!CY111),Inputs!$B$15*Mkt!CY111+(1-Inputs!$B$15)*MIN(Mkt!CY111,CX111*(1+Inputs!$B$18))),CX111)))</f>
        <v>1592.68665572521</v>
      </c>
      <c r="CZ111" s="11" t="n">
        <f aca="false">IF(CZ$1&lt;Units!$P110,0,IF(AND(Units!$K110=0,CZ$1=Units!$O110),Units!$R110,IF(AND(CZ$1&gt;=Units!$Q110,MOD(CZ$1-Units!$Q110,12)=0),IF(AND(Units!$L110=1,CZ$1=Units!$Q110),IF(Units!$J110&lt;&gt;"",Units!$J110,Mkt!CZ111),Inputs!$B$15*Mkt!CZ111+(1-Inputs!$B$15)*MIN(Mkt!CZ111,CY111*(1+Inputs!$B$18))),CY111)))</f>
        <v>1592.68665572521</v>
      </c>
      <c r="DA111" s="11" t="n">
        <f aca="false">IF(DA$1&lt;Units!$P110,0,IF(AND(Units!$K110=0,DA$1=Units!$O110),Units!$R110,IF(AND(DA$1&gt;=Units!$Q110,MOD(DA$1-Units!$Q110,12)=0),IF(AND(Units!$L110=1,DA$1=Units!$Q110),IF(Units!$J110&lt;&gt;"",Units!$J110,Mkt!DA111),Inputs!$B$15*Mkt!DA111+(1-Inputs!$B$15)*MIN(Mkt!DA111,CZ111*(1+Inputs!$B$18))),CZ111)))</f>
        <v>1592.68665572521</v>
      </c>
      <c r="DB111" s="11" t="n">
        <f aca="false">IF(DB$1&lt;Units!$P110,0,IF(AND(Units!$K110=0,DB$1=Units!$O110),Units!$R110,IF(AND(DB$1&gt;=Units!$Q110,MOD(DB$1-Units!$Q110,12)=0),IF(AND(Units!$L110=1,DB$1=Units!$Q110),IF(Units!$J110&lt;&gt;"",Units!$J110,Mkt!DB111),Inputs!$B$15*Mkt!DB111+(1-Inputs!$B$15)*MIN(Mkt!DB111,DA111*(1+Inputs!$B$18))),DA111)))</f>
        <v>1592.68665572521</v>
      </c>
      <c r="DC111" s="11" t="n">
        <f aca="false">IF(DC$1&lt;Units!$P110,0,IF(AND(Units!$K110=0,DC$1=Units!$O110),Units!$R110,IF(AND(DC$1&gt;=Units!$Q110,MOD(DC$1-Units!$Q110,12)=0),IF(AND(Units!$L110=1,DC$1=Units!$Q110),IF(Units!$J110&lt;&gt;"",Units!$J110,Mkt!DC111),Inputs!$B$15*Mkt!DC111+(1-Inputs!$B$15)*MIN(Mkt!DC111,DB111*(1+Inputs!$B$18))),DB111)))</f>
        <v>1640.46725539696</v>
      </c>
      <c r="DD111" s="11" t="n">
        <f aca="false">IF(DD$1&lt;Units!$P110,0,IF(AND(Units!$K110=0,DD$1=Units!$O110),Units!$R110,IF(AND(DD$1&gt;=Units!$Q110,MOD(DD$1-Units!$Q110,12)=0),IF(AND(Units!$L110=1,DD$1=Units!$Q110),IF(Units!$J110&lt;&gt;"",Units!$J110,Mkt!DD111),Inputs!$B$15*Mkt!DD111+(1-Inputs!$B$15)*MIN(Mkt!DD111,DC111*(1+Inputs!$B$18))),DC111)))</f>
        <v>1640.46725539696</v>
      </c>
      <c r="DE111" s="11" t="n">
        <f aca="false">IF(DE$1&lt;Units!$P110,0,IF(AND(Units!$K110=0,DE$1=Units!$O110),Units!$R110,IF(AND(DE$1&gt;=Units!$Q110,MOD(DE$1-Units!$Q110,12)=0),IF(AND(Units!$L110=1,DE$1=Units!$Q110),IF(Units!$J110&lt;&gt;"",Units!$J110,Mkt!DE111),Inputs!$B$15*Mkt!DE111+(1-Inputs!$B$15)*MIN(Mkt!DE111,DD111*(1+Inputs!$B$18))),DD111)))</f>
        <v>1640.46725539696</v>
      </c>
      <c r="DF111" s="11" t="n">
        <f aca="false">IF(DF$1&lt;Units!$P110,0,IF(AND(Units!$K110=0,DF$1=Units!$O110),Units!$R110,IF(AND(DF$1&gt;=Units!$Q110,MOD(DF$1-Units!$Q110,12)=0),IF(AND(Units!$L110=1,DF$1=Units!$Q110),IF(Units!$J110&lt;&gt;"",Units!$J110,Mkt!DF111),Inputs!$B$15*Mkt!DF111+(1-Inputs!$B$15)*MIN(Mkt!DF111,DE111*(1+Inputs!$B$18))),DE111)))</f>
        <v>1640.46725539696</v>
      </c>
      <c r="DG111" s="11" t="n">
        <f aca="false">IF(DG$1&lt;Units!$P110,0,IF(AND(Units!$K110=0,DG$1=Units!$O110),Units!$R110,IF(AND(DG$1&gt;=Units!$Q110,MOD(DG$1-Units!$Q110,12)=0),IF(AND(Units!$L110=1,DG$1=Units!$Q110),IF(Units!$J110&lt;&gt;"",Units!$J110,Mkt!DG111),Inputs!$B$15*Mkt!DG111+(1-Inputs!$B$15)*MIN(Mkt!DG111,DF111*(1+Inputs!$B$18))),DF111)))</f>
        <v>1640.46725539696</v>
      </c>
      <c r="DH111" s="11" t="n">
        <f aca="false">IF(DH$1&lt;Units!$P110,0,IF(AND(Units!$K110=0,DH$1=Units!$O110),Units!$R110,IF(AND(DH$1&gt;=Units!$Q110,MOD(DH$1-Units!$Q110,12)=0),IF(AND(Units!$L110=1,DH$1=Units!$Q110),IF(Units!$J110&lt;&gt;"",Units!$J110,Mkt!DH111),Inputs!$B$15*Mkt!DH111+(1-Inputs!$B$15)*MIN(Mkt!DH111,DG111*(1+Inputs!$B$18))),DG111)))</f>
        <v>1640.46725539696</v>
      </c>
      <c r="DI111" s="11" t="n">
        <f aca="false">IF(DI$1&lt;Units!$P110,0,IF(AND(Units!$K110=0,DI$1=Units!$O110),Units!$R110,IF(AND(DI$1&gt;=Units!$Q110,MOD(DI$1-Units!$Q110,12)=0),IF(AND(Units!$L110=1,DI$1=Units!$Q110),IF(Units!$J110&lt;&gt;"",Units!$J110,Mkt!DI111),Inputs!$B$15*Mkt!DI111+(1-Inputs!$B$15)*MIN(Mkt!DI111,DH111*(1+Inputs!$B$18))),DH111)))</f>
        <v>1640.46725539696</v>
      </c>
      <c r="DJ111" s="11" t="n">
        <f aca="false">IF(DJ$1&lt;Units!$P110,0,IF(AND(Units!$K110=0,DJ$1=Units!$O110),Units!$R110,IF(AND(DJ$1&gt;=Units!$Q110,MOD(DJ$1-Units!$Q110,12)=0),IF(AND(Units!$L110=1,DJ$1=Units!$Q110),IF(Units!$J110&lt;&gt;"",Units!$J110,Mkt!DJ111),Inputs!$B$15*Mkt!DJ111+(1-Inputs!$B$15)*MIN(Mkt!DJ111,DI111*(1+Inputs!$B$18))),DI111)))</f>
        <v>1640.46725539696</v>
      </c>
      <c r="DK111" s="11" t="n">
        <f aca="false">IF(DK$1&lt;Units!$P110,0,IF(AND(Units!$K110=0,DK$1=Units!$O110),Units!$R110,IF(AND(DK$1&gt;=Units!$Q110,MOD(DK$1-Units!$Q110,12)=0),IF(AND(Units!$L110=1,DK$1=Units!$Q110),IF(Units!$J110&lt;&gt;"",Units!$J110,Mkt!DK111),Inputs!$B$15*Mkt!DK111+(1-Inputs!$B$15)*MIN(Mkt!DK111,DJ111*(1+Inputs!$B$18))),DJ111)))</f>
        <v>1640.46725539696</v>
      </c>
      <c r="DL111" s="11" t="n">
        <f aca="false">IF(DL$1&lt;Units!$P110,0,IF(AND(Units!$K110=0,DL$1=Units!$O110),Units!$R110,IF(AND(DL$1&gt;=Units!$Q110,MOD(DL$1-Units!$Q110,12)=0),IF(AND(Units!$L110=1,DL$1=Units!$Q110),IF(Units!$J110&lt;&gt;"",Units!$J110,Mkt!DL111),Inputs!$B$15*Mkt!DL111+(1-Inputs!$B$15)*MIN(Mkt!DL111,DK111*(1+Inputs!$B$18))),DK111)))</f>
        <v>1640.46725539696</v>
      </c>
      <c r="DM111" s="11" t="n">
        <f aca="false">IF(DM$1&lt;Units!$P110,0,IF(AND(Units!$K110=0,DM$1=Units!$O110),Units!$R110,IF(AND(DM$1&gt;=Units!$Q110,MOD(DM$1-Units!$Q110,12)=0),IF(AND(Units!$L110=1,DM$1=Units!$Q110),IF(Units!$J110&lt;&gt;"",Units!$J110,Mkt!DM111),Inputs!$B$15*Mkt!DM111+(1-Inputs!$B$15)*MIN(Mkt!DM111,DL111*(1+Inputs!$B$18))),DL111)))</f>
        <v>1640.46725539696</v>
      </c>
      <c r="DN111" s="11" t="n">
        <f aca="false">IF(DN$1&lt;Units!$P110,0,IF(AND(Units!$K110=0,DN$1=Units!$O110),Units!$R110,IF(AND(DN$1&gt;=Units!$Q110,MOD(DN$1-Units!$Q110,12)=0),IF(AND(Units!$L110=1,DN$1=Units!$Q110),IF(Units!$J110&lt;&gt;"",Units!$J110,Mkt!DN111),Inputs!$B$15*Mkt!DN111+(1-Inputs!$B$15)*MIN(Mkt!DN111,DM111*(1+Inputs!$B$18))),DM111)))</f>
        <v>1640.46725539696</v>
      </c>
      <c r="DO111" s="11" t="n">
        <f aca="false">IF(DO$1&lt;Units!$P110,0,IF(AND(Units!$K110=0,DO$1=Units!$O110),Units!$R110,IF(AND(DO$1&gt;=Units!$Q110,MOD(DO$1-Units!$Q110,12)=0),IF(AND(Units!$L110=1,DO$1=Units!$Q110),IF(Units!$J110&lt;&gt;"",Units!$J110,Mkt!DO111),Inputs!$B$15*Mkt!DO111+(1-Inputs!$B$15)*MIN(Mkt!DO111,DN111*(1+Inputs!$B$18))),DN111)))</f>
        <v>1689.68127305887</v>
      </c>
      <c r="DP111" s="11" t="n">
        <f aca="false">IF(DP$1&lt;Units!$P110,0,IF(AND(Units!$K110=0,DP$1=Units!$O110),Units!$R110,IF(AND(DP$1&gt;=Units!$Q110,MOD(DP$1-Units!$Q110,12)=0),IF(AND(Units!$L110=1,DP$1=Units!$Q110),IF(Units!$J110&lt;&gt;"",Units!$J110,Mkt!DP111),Inputs!$B$15*Mkt!DP111+(1-Inputs!$B$15)*MIN(Mkt!DP111,DO111*(1+Inputs!$B$18))),DO111)))</f>
        <v>1689.68127305887</v>
      </c>
      <c r="DQ111" s="11" t="n">
        <f aca="false">IF(DQ$1&lt;Units!$P110,0,IF(AND(Units!$K110=0,DQ$1=Units!$O110),Units!$R110,IF(AND(DQ$1&gt;=Units!$Q110,MOD(DQ$1-Units!$Q110,12)=0),IF(AND(Units!$L110=1,DQ$1=Units!$Q110),IF(Units!$J110&lt;&gt;"",Units!$J110,Mkt!DQ111),Inputs!$B$15*Mkt!DQ111+(1-Inputs!$B$15)*MIN(Mkt!DQ111,DP111*(1+Inputs!$B$18))),DP111)))</f>
        <v>1689.68127305887</v>
      </c>
      <c r="DR111" s="11" t="n">
        <f aca="false">IF(DR$1&lt;Units!$P110,0,IF(AND(Units!$K110=0,DR$1=Units!$O110),Units!$R110,IF(AND(DR$1&gt;=Units!$Q110,MOD(DR$1-Units!$Q110,12)=0),IF(AND(Units!$L110=1,DR$1=Units!$Q110),IF(Units!$J110&lt;&gt;"",Units!$J110,Mkt!DR111),Inputs!$B$15*Mkt!DR111+(1-Inputs!$B$15)*MIN(Mkt!DR111,DQ111*(1+Inputs!$B$18))),DQ111)))</f>
        <v>1689.68127305887</v>
      </c>
      <c r="DS111" s="11" t="n">
        <f aca="false">IF(DS$1&lt;Units!$P110,0,IF(AND(Units!$K110=0,DS$1=Units!$O110),Units!$R110,IF(AND(DS$1&gt;=Units!$Q110,MOD(DS$1-Units!$Q110,12)=0),IF(AND(Units!$L110=1,DS$1=Units!$Q110),IF(Units!$J110&lt;&gt;"",Units!$J110,Mkt!DS111),Inputs!$B$15*Mkt!DS111+(1-Inputs!$B$15)*MIN(Mkt!DS111,DR111*(1+Inputs!$B$18))),DR111)))</f>
        <v>1689.68127305887</v>
      </c>
      <c r="DT111" s="11" t="n">
        <f aca="false">IF(DT$1&lt;Units!$P110,0,IF(AND(Units!$K110=0,DT$1=Units!$O110),Units!$R110,IF(AND(DT$1&gt;=Units!$Q110,MOD(DT$1-Units!$Q110,12)=0),IF(AND(Units!$L110=1,DT$1=Units!$Q110),IF(Units!$J110&lt;&gt;"",Units!$J110,Mkt!DT111),Inputs!$B$15*Mkt!DT111+(1-Inputs!$B$15)*MIN(Mkt!DT111,DS111*(1+Inputs!$B$18))),DS111)))</f>
        <v>1689.68127305887</v>
      </c>
      <c r="DU111" s="11" t="n">
        <f aca="false">IF(DU$1&lt;Units!$P110,0,IF(AND(Units!$K110=0,DU$1=Units!$O110),Units!$R110,IF(AND(DU$1&gt;=Units!$Q110,MOD(DU$1-Units!$Q110,12)=0),IF(AND(Units!$L110=1,DU$1=Units!$Q110),IF(Units!$J110&lt;&gt;"",Units!$J110,Mkt!DU111),Inputs!$B$15*Mkt!DU111+(1-Inputs!$B$15)*MIN(Mkt!DU111,DT111*(1+Inputs!$B$18))),DT111)))</f>
        <v>1689.68127305887</v>
      </c>
      <c r="DV111" s="11" t="n">
        <f aca="false">IF(DV$1&lt;Units!$P110,0,IF(AND(Units!$K110=0,DV$1=Units!$O110),Units!$R110,IF(AND(DV$1&gt;=Units!$Q110,MOD(DV$1-Units!$Q110,12)=0),IF(AND(Units!$L110=1,DV$1=Units!$Q110),IF(Units!$J110&lt;&gt;"",Units!$J110,Mkt!DV111),Inputs!$B$15*Mkt!DV111+(1-Inputs!$B$15)*MIN(Mkt!DV111,DU111*(1+Inputs!$B$18))),DU111)))</f>
        <v>1689.68127305887</v>
      </c>
      <c r="DW111" s="11" t="n">
        <f aca="false">IF(DW$1&lt;Units!$P110,0,IF(AND(Units!$K110=0,DW$1=Units!$O110),Units!$R110,IF(AND(DW$1&gt;=Units!$Q110,MOD(DW$1-Units!$Q110,12)=0),IF(AND(Units!$L110=1,DW$1=Units!$Q110),IF(Units!$J110&lt;&gt;"",Units!$J110,Mkt!DW111),Inputs!$B$15*Mkt!DW111+(1-Inputs!$B$15)*MIN(Mkt!DW111,DV111*(1+Inputs!$B$18))),DV111)))</f>
        <v>1689.68127305887</v>
      </c>
      <c r="DX111" s="11" t="n">
        <f aca="false">IF(DX$1&lt;Units!$P110,0,IF(AND(Units!$K110=0,DX$1=Units!$O110),Units!$R110,IF(AND(DX$1&gt;=Units!$Q110,MOD(DX$1-Units!$Q110,12)=0),IF(AND(Units!$L110=1,DX$1=Units!$Q110),IF(Units!$J110&lt;&gt;"",Units!$J110,Mkt!DX111),Inputs!$B$15*Mkt!DX111+(1-Inputs!$B$15)*MIN(Mkt!DX111,DW111*(1+Inputs!$B$18))),DW111)))</f>
        <v>1689.68127305887</v>
      </c>
      <c r="DY111" s="11" t="n">
        <f aca="false">IF(DY$1&lt;Units!$P110,0,IF(AND(Units!$K110=0,DY$1=Units!$O110),Units!$R110,IF(AND(DY$1&gt;=Units!$Q110,MOD(DY$1-Units!$Q110,12)=0),IF(AND(Units!$L110=1,DY$1=Units!$Q110),IF(Units!$J110&lt;&gt;"",Units!$J110,Mkt!DY111),Inputs!$B$15*Mkt!DY111+(1-Inputs!$B$15)*MIN(Mkt!DY111,DX111*(1+Inputs!$B$18))),DX111)))</f>
        <v>1689.68127305887</v>
      </c>
      <c r="DZ111" s="11" t="n">
        <f aca="false">IF(DZ$1&lt;Units!$P110,0,IF(AND(Units!$K110=0,DZ$1=Units!$O110),Units!$R110,IF(AND(DZ$1&gt;=Units!$Q110,MOD(DZ$1-Units!$Q110,12)=0),IF(AND(Units!$L110=1,DZ$1=Units!$Q110),IF(Units!$J110&lt;&gt;"",Units!$J110,Mkt!DZ111),Inputs!$B$15*Mkt!DZ111+(1-Inputs!$B$15)*MIN(Mkt!DZ111,DY111*(1+Inputs!$B$18))),DY111)))</f>
        <v>1689.68127305887</v>
      </c>
      <c r="EA111" s="11" t="n">
        <f aca="false">IF(EA$1&lt;Units!$P110,0,IF(AND(Units!$K110=0,EA$1=Units!$O110),Units!$R110,IF(AND(EA$1&gt;=Units!$Q110,MOD(EA$1-Units!$Q110,12)=0),IF(AND(Units!$L110=1,EA$1=Units!$Q110),IF(Units!$J110&lt;&gt;"",Units!$J110,Mkt!EA111),Inputs!$B$15*Mkt!EA111+(1-Inputs!$B$15)*MIN(Mkt!EA111,DZ111*(1+Inputs!$B$18))),DZ111)))</f>
        <v>1740.37171125064</v>
      </c>
      <c r="EB111" s="11" t="n">
        <f aca="false">IF(EB$1&lt;Units!$P110,0,IF(AND(Units!$K110=0,EB$1=Units!$O110),Units!$R110,IF(AND(EB$1&gt;=Units!$Q110,MOD(EB$1-Units!$Q110,12)=0),IF(AND(Units!$L110=1,EB$1=Units!$Q110),IF(Units!$J110&lt;&gt;"",Units!$J110,Mkt!EB111),Inputs!$B$15*Mkt!EB111+(1-Inputs!$B$15)*MIN(Mkt!EB111,EA111*(1+Inputs!$B$18))),EA111)))</f>
        <v>1740.37171125064</v>
      </c>
      <c r="EC111" s="11" t="n">
        <f aca="false">IF(EC$1&lt;Units!$P110,0,IF(AND(Units!$K110=0,EC$1=Units!$O110),Units!$R110,IF(AND(EC$1&gt;=Units!$Q110,MOD(EC$1-Units!$Q110,12)=0),IF(AND(Units!$L110=1,EC$1=Units!$Q110),IF(Units!$J110&lt;&gt;"",Units!$J110,Mkt!EC111),Inputs!$B$15*Mkt!EC111+(1-Inputs!$B$15)*MIN(Mkt!EC111,EB111*(1+Inputs!$B$18))),EB111)))</f>
        <v>1740.37171125064</v>
      </c>
      <c r="ED111" s="11" t="n">
        <f aca="false">IF(ED$1&lt;Units!$P110,0,IF(AND(Units!$K110=0,ED$1=Units!$O110),Units!$R110,IF(AND(ED$1&gt;=Units!$Q110,MOD(ED$1-Units!$Q110,12)=0),IF(AND(Units!$L110=1,ED$1=Units!$Q110),IF(Units!$J110&lt;&gt;"",Units!$J110,Mkt!ED111),Inputs!$B$15*Mkt!ED111+(1-Inputs!$B$15)*MIN(Mkt!ED111,EC111*(1+Inputs!$B$18))),EC111)))</f>
        <v>1740.37171125064</v>
      </c>
    </row>
    <row r="112" customFormat="false" ht="15" hidden="false" customHeight="false" outlineLevel="0" collapsed="false">
      <c r="A112" s="22" t="n">
        <f aca="false">Units!A111</f>
        <v>420</v>
      </c>
      <c r="B112" s="24" t="n">
        <f aca="false">IF(Units!K111=1,Units!F111,0)</f>
        <v>1850</v>
      </c>
      <c r="C112" s="11" t="n">
        <f aca="false">IF(C$1&lt;Units!$P111,0,IF(AND(Units!$K111=0,C$1=Units!$O111),Units!$R111,IF(AND(C$1&gt;=Units!$Q111,MOD(C$1-Units!$Q111,12)=0),IF(AND(Units!$L111=1,C$1=Units!$Q111),IF(Units!$J111&lt;&gt;"",Units!$J111,Mkt!C112),Inputs!$B$15*Mkt!C112+(1-Inputs!$B$15)*MIN(Mkt!C112,B112*(1+Inputs!$B$18))),B112)))</f>
        <v>1850</v>
      </c>
      <c r="D112" s="11" t="n">
        <f aca="false">IF(D$1&lt;Units!$P111,0,IF(AND(Units!$K111=0,D$1=Units!$O111),Units!$R111,IF(AND(D$1&gt;=Units!$Q111,MOD(D$1-Units!$Q111,12)=0),IF(AND(Units!$L111=1,D$1=Units!$Q111),IF(Units!$J111&lt;&gt;"",Units!$J111,Mkt!D112),Inputs!$B$15*Mkt!D112+(1-Inputs!$B$15)*MIN(Mkt!D112,C112*(1+Inputs!$B$18))),C112)))</f>
        <v>1850</v>
      </c>
      <c r="E112" s="11" t="n">
        <f aca="false">IF(E$1&lt;Units!$P111,0,IF(AND(Units!$K111=0,E$1=Units!$O111),Units!$R111,IF(AND(E$1&gt;=Units!$Q111,MOD(E$1-Units!$Q111,12)=0),IF(AND(Units!$L111=1,E$1=Units!$Q111),IF(Units!$J111&lt;&gt;"",Units!$J111,Mkt!E112),Inputs!$B$15*Mkt!E112+(1-Inputs!$B$15)*MIN(Mkt!E112,D112*(1+Inputs!$B$18))),D112)))</f>
        <v>1850</v>
      </c>
      <c r="F112" s="11" t="n">
        <f aca="false">IF(F$1&lt;Units!$P111,0,IF(AND(Units!$K111=0,F$1=Units!$O111),Units!$R111,IF(AND(F$1&gt;=Units!$Q111,MOD(F$1-Units!$Q111,12)=0),IF(AND(Units!$L111=1,F$1=Units!$Q111),IF(Units!$J111&lt;&gt;"",Units!$J111,Mkt!F112),Inputs!$B$15*Mkt!F112+(1-Inputs!$B$15)*MIN(Mkt!F112,E112*(1+Inputs!$B$18))),E112)))</f>
        <v>1850</v>
      </c>
      <c r="G112" s="11" t="n">
        <f aca="false">IF(G$1&lt;Units!$P111,0,IF(AND(Units!$K111=0,G$1=Units!$O111),Units!$R111,IF(AND(G$1&gt;=Units!$Q111,MOD(G$1-Units!$Q111,12)=0),IF(AND(Units!$L111=1,G$1=Units!$Q111),IF(Units!$J111&lt;&gt;"",Units!$J111,Mkt!G112),Inputs!$B$15*Mkt!G112+(1-Inputs!$B$15)*MIN(Mkt!G112,F112*(1+Inputs!$B$18))),F112)))</f>
        <v>1850</v>
      </c>
      <c r="H112" s="11" t="n">
        <f aca="false">IF(H$1&lt;Units!$P111,0,IF(AND(Units!$K111=0,H$1=Units!$O111),Units!$R111,IF(AND(H$1&gt;=Units!$Q111,MOD(H$1-Units!$Q111,12)=0),IF(AND(Units!$L111=1,H$1=Units!$Q111),IF(Units!$J111&lt;&gt;"",Units!$J111,Mkt!H112),Inputs!$B$15*Mkt!H112+(1-Inputs!$B$15)*MIN(Mkt!H112,G112*(1+Inputs!$B$18))),G112)))</f>
        <v>1850</v>
      </c>
      <c r="I112" s="11" t="n">
        <f aca="false">IF(I$1&lt;Units!$P111,0,IF(AND(Units!$K111=0,I$1=Units!$O111),Units!$R111,IF(AND(I$1&gt;=Units!$Q111,MOD(I$1-Units!$Q111,12)=0),IF(AND(Units!$L111=1,I$1=Units!$Q111),IF(Units!$J111&lt;&gt;"",Units!$J111,Mkt!I112),Inputs!$B$15*Mkt!I112+(1-Inputs!$B$15)*MIN(Mkt!I112,H112*(1+Inputs!$B$18))),H112)))</f>
        <v>1850</v>
      </c>
      <c r="J112" s="11" t="n">
        <f aca="false">IF(J$1&lt;Units!$P111,0,IF(AND(Units!$K111=0,J$1=Units!$O111),Units!$R111,IF(AND(J$1&gt;=Units!$Q111,MOD(J$1-Units!$Q111,12)=0),IF(AND(Units!$L111=1,J$1=Units!$Q111),IF(Units!$J111&lt;&gt;"",Units!$J111,Mkt!J112),Inputs!$B$15*Mkt!J112+(1-Inputs!$B$15)*MIN(Mkt!J112,I112*(1+Inputs!$B$18))),I112)))</f>
        <v>1850</v>
      </c>
      <c r="K112" s="11" t="n">
        <f aca="false">IF(K$1&lt;Units!$P111,0,IF(AND(Units!$K111=0,K$1=Units!$O111),Units!$R111,IF(AND(K$1&gt;=Units!$Q111,MOD(K$1-Units!$Q111,12)=0),IF(AND(Units!$L111=1,K$1=Units!$Q111),IF(Units!$J111&lt;&gt;"",Units!$J111,Mkt!K112),Inputs!$B$15*Mkt!K112+(1-Inputs!$B$15)*MIN(Mkt!K112,J112*(1+Inputs!$B$18))),J112)))</f>
        <v>1850</v>
      </c>
      <c r="L112" s="11" t="n">
        <f aca="false">IF(L$1&lt;Units!$P111,0,IF(AND(Units!$K111=0,L$1=Units!$O111),Units!$R111,IF(AND(L$1&gt;=Units!$Q111,MOD(L$1-Units!$Q111,12)=0),IF(AND(Units!$L111=1,L$1=Units!$Q111),IF(Units!$J111&lt;&gt;"",Units!$J111,Mkt!L112),Inputs!$B$15*Mkt!L112+(1-Inputs!$B$15)*MIN(Mkt!L112,K112*(1+Inputs!$B$18))),K112)))</f>
        <v>1850</v>
      </c>
      <c r="M112" s="11" t="n">
        <f aca="false">IF(M$1&lt;Units!$P111,0,IF(AND(Units!$K111=0,M$1=Units!$O111),Units!$R111,IF(AND(M$1&gt;=Units!$Q111,MOD(M$1-Units!$Q111,12)=0),IF(AND(Units!$L111=1,M$1=Units!$Q111),IF(Units!$J111&lt;&gt;"",Units!$J111,Mkt!M112),Inputs!$B$15*Mkt!M112+(1-Inputs!$B$15)*MIN(Mkt!M112,L112*(1+Inputs!$B$18))),L112)))</f>
        <v>1850</v>
      </c>
      <c r="N112" s="11" t="n">
        <f aca="false">IF(N$1&lt;Units!$P111,0,IF(AND(Units!$K111=0,N$1=Units!$O111),Units!$R111,IF(AND(N$1&gt;=Units!$Q111,MOD(N$1-Units!$Q111,12)=0),IF(AND(Units!$L111=1,N$1=Units!$Q111),IF(Units!$J111&lt;&gt;"",Units!$J111,Mkt!N112),Inputs!$B$15*Mkt!N112+(1-Inputs!$B$15)*MIN(Mkt!N112,M112*(1+Inputs!$B$18))),M112)))</f>
        <v>1850</v>
      </c>
      <c r="O112" s="11" t="n">
        <f aca="false">IF(O$1&lt;Units!$P111,0,IF(AND(Units!$K111=0,O$1=Units!$O111),Units!$R111,IF(AND(O$1&gt;=Units!$Q111,MOD(O$1-Units!$Q111,12)=0),IF(AND(Units!$L111=1,O$1=Units!$Q111),IF(Units!$J111&lt;&gt;"",Units!$J111,Mkt!O112),Inputs!$B$15*Mkt!O112+(1-Inputs!$B$15)*MIN(Mkt!O112,N112*(1+Inputs!$B$18))),N112)))</f>
        <v>1850</v>
      </c>
      <c r="P112" s="11" t="n">
        <f aca="false">IF(P$1&lt;Units!$P111,0,IF(AND(Units!$K111=0,P$1=Units!$O111),Units!$R111,IF(AND(P$1&gt;=Units!$Q111,MOD(P$1-Units!$Q111,12)=0),IF(AND(Units!$L111=1,P$1=Units!$Q111),IF(Units!$J111&lt;&gt;"",Units!$J111,Mkt!P112),Inputs!$B$15*Mkt!P112+(1-Inputs!$B$15)*MIN(Mkt!P112,O112*(1+Inputs!$B$18))),O112)))</f>
        <v>1850</v>
      </c>
      <c r="Q112" s="11" t="n">
        <f aca="false">IF(Q$1&lt;Units!$P111,0,IF(AND(Units!$K111=0,Q$1=Units!$O111),Units!$R111,IF(AND(Q$1&gt;=Units!$Q111,MOD(Q$1-Units!$Q111,12)=0),IF(AND(Units!$L111=1,Q$1=Units!$Q111),IF(Units!$J111&lt;&gt;"",Units!$J111,Mkt!Q112),Inputs!$B$15*Mkt!Q112+(1-Inputs!$B$15)*MIN(Mkt!Q112,P112*(1+Inputs!$B$18))),P112)))</f>
        <v>1850</v>
      </c>
      <c r="R112" s="11" t="n">
        <f aca="false">IF(R$1&lt;Units!$P111,0,IF(AND(Units!$K111=0,R$1=Units!$O111),Units!$R111,IF(AND(R$1&gt;=Units!$Q111,MOD(R$1-Units!$Q111,12)=0),IF(AND(Units!$L111=1,R$1=Units!$Q111),IF(Units!$J111&lt;&gt;"",Units!$J111,Mkt!R112),Inputs!$B$15*Mkt!R112+(1-Inputs!$B$15)*MIN(Mkt!R112,Q112*(1+Inputs!$B$18))),Q112)))</f>
        <v>1850</v>
      </c>
      <c r="S112" s="11" t="n">
        <f aca="false">IF(S$1&lt;Units!$P111,0,IF(AND(Units!$K111=0,S$1=Units!$O111),Units!$R111,IF(AND(S$1&gt;=Units!$Q111,MOD(S$1-Units!$Q111,12)=0),IF(AND(Units!$L111=1,S$1=Units!$Q111),IF(Units!$J111&lt;&gt;"",Units!$J111,Mkt!S112),Inputs!$B$15*Mkt!S112+(1-Inputs!$B$15)*MIN(Mkt!S112,R112*(1+Inputs!$B$18))),R112)))</f>
        <v>1850</v>
      </c>
      <c r="T112" s="11" t="n">
        <f aca="false">IF(T$1&lt;Units!$P111,0,IF(AND(Units!$K111=0,T$1=Units!$O111),Units!$R111,IF(AND(T$1&gt;=Units!$Q111,MOD(T$1-Units!$Q111,12)=0),IF(AND(Units!$L111=1,T$1=Units!$Q111),IF(Units!$J111&lt;&gt;"",Units!$J111,Mkt!T112),Inputs!$B$15*Mkt!T112+(1-Inputs!$B$15)*MIN(Mkt!T112,S112*(1+Inputs!$B$18))),S112)))</f>
        <v>1850</v>
      </c>
      <c r="U112" s="11" t="n">
        <f aca="false">IF(U$1&lt;Units!$P111,0,IF(AND(Units!$K111=0,U$1=Units!$O111),Units!$R111,IF(AND(U$1&gt;=Units!$Q111,MOD(U$1-Units!$Q111,12)=0),IF(AND(Units!$L111=1,U$1=Units!$Q111),IF(Units!$J111&lt;&gt;"",Units!$J111,Mkt!U112),Inputs!$B$15*Mkt!U112+(1-Inputs!$B$15)*MIN(Mkt!U112,T112*(1+Inputs!$B$18))),T112)))</f>
        <v>1850</v>
      </c>
      <c r="V112" s="11" t="n">
        <f aca="false">IF(V$1&lt;Units!$P111,0,IF(AND(Units!$K111=0,V$1=Units!$O111),Units!$R111,IF(AND(V$1&gt;=Units!$Q111,MOD(V$1-Units!$Q111,12)=0),IF(AND(Units!$L111=1,V$1=Units!$Q111),IF(Units!$J111&lt;&gt;"",Units!$J111,Mkt!V112),Inputs!$B$15*Mkt!V112+(1-Inputs!$B$15)*MIN(Mkt!V112,U112*(1+Inputs!$B$18))),U112)))</f>
        <v>1850</v>
      </c>
      <c r="W112" s="11" t="n">
        <f aca="false">IF(W$1&lt;Units!$P111,0,IF(AND(Units!$K111=0,W$1=Units!$O111),Units!$R111,IF(AND(W$1&gt;=Units!$Q111,MOD(W$1-Units!$Q111,12)=0),IF(AND(Units!$L111=1,W$1=Units!$Q111),IF(Units!$J111&lt;&gt;"",Units!$J111,Mkt!W112),Inputs!$B$15*Mkt!W112+(1-Inputs!$B$15)*MIN(Mkt!W112,V112*(1+Inputs!$B$18))),V112)))</f>
        <v>1850</v>
      </c>
      <c r="X112" s="11" t="n">
        <f aca="false">IF(X$1&lt;Units!$P111,0,IF(AND(Units!$K111=0,X$1=Units!$O111),Units!$R111,IF(AND(X$1&gt;=Units!$Q111,MOD(X$1-Units!$Q111,12)=0),IF(AND(Units!$L111=1,X$1=Units!$Q111),IF(Units!$J111&lt;&gt;"",Units!$J111,Mkt!X112),Inputs!$B$15*Mkt!X112+(1-Inputs!$B$15)*MIN(Mkt!X112,W112*(1+Inputs!$B$18))),W112)))</f>
        <v>1850</v>
      </c>
      <c r="Y112" s="11" t="n">
        <f aca="false">IF(Y$1&lt;Units!$P111,0,IF(AND(Units!$K111=0,Y$1=Units!$O111),Units!$R111,IF(AND(Y$1&gt;=Units!$Q111,MOD(Y$1-Units!$Q111,12)=0),IF(AND(Units!$L111=1,Y$1=Units!$Q111),IF(Units!$J111&lt;&gt;"",Units!$J111,Mkt!Y112),Inputs!$B$15*Mkt!Y112+(1-Inputs!$B$15)*MIN(Mkt!Y112,X112*(1+Inputs!$B$18))),X112)))</f>
        <v>1905.5</v>
      </c>
      <c r="Z112" s="11" t="n">
        <f aca="false">IF(Z$1&lt;Units!$P111,0,IF(AND(Units!$K111=0,Z$1=Units!$O111),Units!$R111,IF(AND(Z$1&gt;=Units!$Q111,MOD(Z$1-Units!$Q111,12)=0),IF(AND(Units!$L111=1,Z$1=Units!$Q111),IF(Units!$J111&lt;&gt;"",Units!$J111,Mkt!Z112),Inputs!$B$15*Mkt!Z112+(1-Inputs!$B$15)*MIN(Mkt!Z112,Y112*(1+Inputs!$B$18))),Y112)))</f>
        <v>1905.5</v>
      </c>
      <c r="AA112" s="11" t="n">
        <f aca="false">IF(AA$1&lt;Units!$P111,0,IF(AND(Units!$K111=0,AA$1=Units!$O111),Units!$R111,IF(AND(AA$1&gt;=Units!$Q111,MOD(AA$1-Units!$Q111,12)=0),IF(AND(Units!$L111=1,AA$1=Units!$Q111),IF(Units!$J111&lt;&gt;"",Units!$J111,Mkt!AA112),Inputs!$B$15*Mkt!AA112+(1-Inputs!$B$15)*MIN(Mkt!AA112,Z112*(1+Inputs!$B$18))),Z112)))</f>
        <v>1905.5</v>
      </c>
      <c r="AB112" s="11" t="n">
        <f aca="false">IF(AB$1&lt;Units!$P111,0,IF(AND(Units!$K111=0,AB$1=Units!$O111),Units!$R111,IF(AND(AB$1&gt;=Units!$Q111,MOD(AB$1-Units!$Q111,12)=0),IF(AND(Units!$L111=1,AB$1=Units!$Q111),IF(Units!$J111&lt;&gt;"",Units!$J111,Mkt!AB112),Inputs!$B$15*Mkt!AB112+(1-Inputs!$B$15)*MIN(Mkt!AB112,AA112*(1+Inputs!$B$18))),AA112)))</f>
        <v>1905.5</v>
      </c>
      <c r="AC112" s="11" t="n">
        <f aca="false">IF(AC$1&lt;Units!$P111,0,IF(AND(Units!$K111=0,AC$1=Units!$O111),Units!$R111,IF(AND(AC$1&gt;=Units!$Q111,MOD(AC$1-Units!$Q111,12)=0),IF(AND(Units!$L111=1,AC$1=Units!$Q111),IF(Units!$J111&lt;&gt;"",Units!$J111,Mkt!AC112),Inputs!$B$15*Mkt!AC112+(1-Inputs!$B$15)*MIN(Mkt!AC112,AB112*(1+Inputs!$B$18))),AB112)))</f>
        <v>1905.5</v>
      </c>
      <c r="AD112" s="11" t="n">
        <f aca="false">IF(AD$1&lt;Units!$P111,0,IF(AND(Units!$K111=0,AD$1=Units!$O111),Units!$R111,IF(AND(AD$1&gt;=Units!$Q111,MOD(AD$1-Units!$Q111,12)=0),IF(AND(Units!$L111=1,AD$1=Units!$Q111),IF(Units!$J111&lt;&gt;"",Units!$J111,Mkt!AD112),Inputs!$B$15*Mkt!AD112+(1-Inputs!$B$15)*MIN(Mkt!AD112,AC112*(1+Inputs!$B$18))),AC112)))</f>
        <v>1905.5</v>
      </c>
      <c r="AE112" s="11" t="n">
        <f aca="false">IF(AE$1&lt;Units!$P111,0,IF(AND(Units!$K111=0,AE$1=Units!$O111),Units!$R111,IF(AND(AE$1&gt;=Units!$Q111,MOD(AE$1-Units!$Q111,12)=0),IF(AND(Units!$L111=1,AE$1=Units!$Q111),IF(Units!$J111&lt;&gt;"",Units!$J111,Mkt!AE112),Inputs!$B$15*Mkt!AE112+(1-Inputs!$B$15)*MIN(Mkt!AE112,AD112*(1+Inputs!$B$18))),AD112)))</f>
        <v>1905.5</v>
      </c>
      <c r="AF112" s="11" t="n">
        <f aca="false">IF(AF$1&lt;Units!$P111,0,IF(AND(Units!$K111=0,AF$1=Units!$O111),Units!$R111,IF(AND(AF$1&gt;=Units!$Q111,MOD(AF$1-Units!$Q111,12)=0),IF(AND(Units!$L111=1,AF$1=Units!$Q111),IF(Units!$J111&lt;&gt;"",Units!$J111,Mkt!AF112),Inputs!$B$15*Mkt!AF112+(1-Inputs!$B$15)*MIN(Mkt!AF112,AE112*(1+Inputs!$B$18))),AE112)))</f>
        <v>1905.5</v>
      </c>
      <c r="AG112" s="11" t="n">
        <f aca="false">IF(AG$1&lt;Units!$P111,0,IF(AND(Units!$K111=0,AG$1=Units!$O111),Units!$R111,IF(AND(AG$1&gt;=Units!$Q111,MOD(AG$1-Units!$Q111,12)=0),IF(AND(Units!$L111=1,AG$1=Units!$Q111),IF(Units!$J111&lt;&gt;"",Units!$J111,Mkt!AG112),Inputs!$B$15*Mkt!AG112+(1-Inputs!$B$15)*MIN(Mkt!AG112,AF112*(1+Inputs!$B$18))),AF112)))</f>
        <v>1905.5</v>
      </c>
      <c r="AH112" s="11" t="n">
        <f aca="false">IF(AH$1&lt;Units!$P111,0,IF(AND(Units!$K111=0,AH$1=Units!$O111),Units!$R111,IF(AND(AH$1&gt;=Units!$Q111,MOD(AH$1-Units!$Q111,12)=0),IF(AND(Units!$L111=1,AH$1=Units!$Q111),IF(Units!$J111&lt;&gt;"",Units!$J111,Mkt!AH112),Inputs!$B$15*Mkt!AH112+(1-Inputs!$B$15)*MIN(Mkt!AH112,AG112*(1+Inputs!$B$18))),AG112)))</f>
        <v>1905.5</v>
      </c>
      <c r="AI112" s="11" t="n">
        <f aca="false">IF(AI$1&lt;Units!$P111,0,IF(AND(Units!$K111=0,AI$1=Units!$O111),Units!$R111,IF(AND(AI$1&gt;=Units!$Q111,MOD(AI$1-Units!$Q111,12)=0),IF(AND(Units!$L111=1,AI$1=Units!$Q111),IF(Units!$J111&lt;&gt;"",Units!$J111,Mkt!AI112),Inputs!$B$15*Mkt!AI112+(1-Inputs!$B$15)*MIN(Mkt!AI112,AH112*(1+Inputs!$B$18))),AH112)))</f>
        <v>1905.5</v>
      </c>
      <c r="AJ112" s="11" t="n">
        <f aca="false">IF(AJ$1&lt;Units!$P111,0,IF(AND(Units!$K111=0,AJ$1=Units!$O111),Units!$R111,IF(AND(AJ$1&gt;=Units!$Q111,MOD(AJ$1-Units!$Q111,12)=0),IF(AND(Units!$L111=1,AJ$1=Units!$Q111),IF(Units!$J111&lt;&gt;"",Units!$J111,Mkt!AJ112),Inputs!$B$15*Mkt!AJ112+(1-Inputs!$B$15)*MIN(Mkt!AJ112,AI112*(1+Inputs!$B$18))),AI112)))</f>
        <v>1905.5</v>
      </c>
      <c r="AK112" s="11" t="n">
        <f aca="false">IF(AK$1&lt;Units!$P111,0,IF(AND(Units!$K111=0,AK$1=Units!$O111),Units!$R111,IF(AND(AK$1&gt;=Units!$Q111,MOD(AK$1-Units!$Q111,12)=0),IF(AND(Units!$L111=1,AK$1=Units!$Q111),IF(Units!$J111&lt;&gt;"",Units!$J111,Mkt!AK112),Inputs!$B$15*Mkt!AK112+(1-Inputs!$B$15)*MIN(Mkt!AK112,AJ112*(1+Inputs!$B$18))),AJ112)))</f>
        <v>1962.665</v>
      </c>
      <c r="AL112" s="11" t="n">
        <f aca="false">IF(AL$1&lt;Units!$P111,0,IF(AND(Units!$K111=0,AL$1=Units!$O111),Units!$R111,IF(AND(AL$1&gt;=Units!$Q111,MOD(AL$1-Units!$Q111,12)=0),IF(AND(Units!$L111=1,AL$1=Units!$Q111),IF(Units!$J111&lt;&gt;"",Units!$J111,Mkt!AL112),Inputs!$B$15*Mkt!AL112+(1-Inputs!$B$15)*MIN(Mkt!AL112,AK112*(1+Inputs!$B$18))),AK112)))</f>
        <v>1962.665</v>
      </c>
      <c r="AM112" s="11" t="n">
        <f aca="false">IF(AM$1&lt;Units!$P111,0,IF(AND(Units!$K111=0,AM$1=Units!$O111),Units!$R111,IF(AND(AM$1&gt;=Units!$Q111,MOD(AM$1-Units!$Q111,12)=0),IF(AND(Units!$L111=1,AM$1=Units!$Q111),IF(Units!$J111&lt;&gt;"",Units!$J111,Mkt!AM112),Inputs!$B$15*Mkt!AM112+(1-Inputs!$B$15)*MIN(Mkt!AM112,AL112*(1+Inputs!$B$18))),AL112)))</f>
        <v>1962.665</v>
      </c>
      <c r="AN112" s="11" t="n">
        <f aca="false">IF(AN$1&lt;Units!$P111,0,IF(AND(Units!$K111=0,AN$1=Units!$O111),Units!$R111,IF(AND(AN$1&gt;=Units!$Q111,MOD(AN$1-Units!$Q111,12)=0),IF(AND(Units!$L111=1,AN$1=Units!$Q111),IF(Units!$J111&lt;&gt;"",Units!$J111,Mkt!AN112),Inputs!$B$15*Mkt!AN112+(1-Inputs!$B$15)*MIN(Mkt!AN112,AM112*(1+Inputs!$B$18))),AM112)))</f>
        <v>1962.665</v>
      </c>
      <c r="AO112" s="11" t="n">
        <f aca="false">IF(AO$1&lt;Units!$P111,0,IF(AND(Units!$K111=0,AO$1=Units!$O111),Units!$R111,IF(AND(AO$1&gt;=Units!$Q111,MOD(AO$1-Units!$Q111,12)=0),IF(AND(Units!$L111=1,AO$1=Units!$Q111),IF(Units!$J111&lt;&gt;"",Units!$J111,Mkt!AO112),Inputs!$B$15*Mkt!AO112+(1-Inputs!$B$15)*MIN(Mkt!AO112,AN112*(1+Inputs!$B$18))),AN112)))</f>
        <v>1962.665</v>
      </c>
      <c r="AP112" s="11" t="n">
        <f aca="false">IF(AP$1&lt;Units!$P111,0,IF(AND(Units!$K111=0,AP$1=Units!$O111),Units!$R111,IF(AND(AP$1&gt;=Units!$Q111,MOD(AP$1-Units!$Q111,12)=0),IF(AND(Units!$L111=1,AP$1=Units!$Q111),IF(Units!$J111&lt;&gt;"",Units!$J111,Mkt!AP112),Inputs!$B$15*Mkt!AP112+(1-Inputs!$B$15)*MIN(Mkt!AP112,AO112*(1+Inputs!$B$18))),AO112)))</f>
        <v>1962.665</v>
      </c>
      <c r="AQ112" s="11" t="n">
        <f aca="false">IF(AQ$1&lt;Units!$P111,0,IF(AND(Units!$K111=0,AQ$1=Units!$O111),Units!$R111,IF(AND(AQ$1&gt;=Units!$Q111,MOD(AQ$1-Units!$Q111,12)=0),IF(AND(Units!$L111=1,AQ$1=Units!$Q111),IF(Units!$J111&lt;&gt;"",Units!$J111,Mkt!AQ112),Inputs!$B$15*Mkt!AQ112+(1-Inputs!$B$15)*MIN(Mkt!AQ112,AP112*(1+Inputs!$B$18))),AP112)))</f>
        <v>1962.665</v>
      </c>
      <c r="AR112" s="11" t="n">
        <f aca="false">IF(AR$1&lt;Units!$P111,0,IF(AND(Units!$K111=0,AR$1=Units!$O111),Units!$R111,IF(AND(AR$1&gt;=Units!$Q111,MOD(AR$1-Units!$Q111,12)=0),IF(AND(Units!$L111=1,AR$1=Units!$Q111),IF(Units!$J111&lt;&gt;"",Units!$J111,Mkt!AR112),Inputs!$B$15*Mkt!AR112+(1-Inputs!$B$15)*MIN(Mkt!AR112,AQ112*(1+Inputs!$B$18))),AQ112)))</f>
        <v>1962.665</v>
      </c>
      <c r="AS112" s="11" t="n">
        <f aca="false">IF(AS$1&lt;Units!$P111,0,IF(AND(Units!$K111=0,AS$1=Units!$O111),Units!$R111,IF(AND(AS$1&gt;=Units!$Q111,MOD(AS$1-Units!$Q111,12)=0),IF(AND(Units!$L111=1,AS$1=Units!$Q111),IF(Units!$J111&lt;&gt;"",Units!$J111,Mkt!AS112),Inputs!$B$15*Mkt!AS112+(1-Inputs!$B$15)*MIN(Mkt!AS112,AR112*(1+Inputs!$B$18))),AR112)))</f>
        <v>1962.665</v>
      </c>
      <c r="AT112" s="11" t="n">
        <f aca="false">IF(AT$1&lt;Units!$P111,0,IF(AND(Units!$K111=0,AT$1=Units!$O111),Units!$R111,IF(AND(AT$1&gt;=Units!$Q111,MOD(AT$1-Units!$Q111,12)=0),IF(AND(Units!$L111=1,AT$1=Units!$Q111),IF(Units!$J111&lt;&gt;"",Units!$J111,Mkt!AT112),Inputs!$B$15*Mkt!AT112+(1-Inputs!$B$15)*MIN(Mkt!AT112,AS112*(1+Inputs!$B$18))),AS112)))</f>
        <v>1962.665</v>
      </c>
      <c r="AU112" s="11" t="n">
        <f aca="false">IF(AU$1&lt;Units!$P111,0,IF(AND(Units!$K111=0,AU$1=Units!$O111),Units!$R111,IF(AND(AU$1&gt;=Units!$Q111,MOD(AU$1-Units!$Q111,12)=0),IF(AND(Units!$L111=1,AU$1=Units!$Q111),IF(Units!$J111&lt;&gt;"",Units!$J111,Mkt!AU112),Inputs!$B$15*Mkt!AU112+(1-Inputs!$B$15)*MIN(Mkt!AU112,AT112*(1+Inputs!$B$18))),AT112)))</f>
        <v>1962.665</v>
      </c>
      <c r="AV112" s="11" t="n">
        <f aca="false">IF(AV$1&lt;Units!$P111,0,IF(AND(Units!$K111=0,AV$1=Units!$O111),Units!$R111,IF(AND(AV$1&gt;=Units!$Q111,MOD(AV$1-Units!$Q111,12)=0),IF(AND(Units!$L111=1,AV$1=Units!$Q111),IF(Units!$J111&lt;&gt;"",Units!$J111,Mkt!AV112),Inputs!$B$15*Mkt!AV112+(1-Inputs!$B$15)*MIN(Mkt!AV112,AU112*(1+Inputs!$B$18))),AU112)))</f>
        <v>1962.665</v>
      </c>
      <c r="AW112" s="11" t="n">
        <f aca="false">IF(AW$1&lt;Units!$P111,0,IF(AND(Units!$K111=0,AW$1=Units!$O111),Units!$R111,IF(AND(AW$1&gt;=Units!$Q111,MOD(AW$1-Units!$Q111,12)=0),IF(AND(Units!$L111=1,AW$1=Units!$Q111),IF(Units!$J111&lt;&gt;"",Units!$J111,Mkt!AW112),Inputs!$B$15*Mkt!AW112+(1-Inputs!$B$15)*MIN(Mkt!AW112,AV112*(1+Inputs!$B$18))),AV112)))</f>
        <v>2021.54495</v>
      </c>
      <c r="AX112" s="11" t="n">
        <f aca="false">IF(AX$1&lt;Units!$P111,0,IF(AND(Units!$K111=0,AX$1=Units!$O111),Units!$R111,IF(AND(AX$1&gt;=Units!$Q111,MOD(AX$1-Units!$Q111,12)=0),IF(AND(Units!$L111=1,AX$1=Units!$Q111),IF(Units!$J111&lt;&gt;"",Units!$J111,Mkt!AX112),Inputs!$B$15*Mkt!AX112+(1-Inputs!$B$15)*MIN(Mkt!AX112,AW112*(1+Inputs!$B$18))),AW112)))</f>
        <v>2021.54495</v>
      </c>
      <c r="AY112" s="11" t="n">
        <f aca="false">IF(AY$1&lt;Units!$P111,0,IF(AND(Units!$K111=0,AY$1=Units!$O111),Units!$R111,IF(AND(AY$1&gt;=Units!$Q111,MOD(AY$1-Units!$Q111,12)=0),IF(AND(Units!$L111=1,AY$1=Units!$Q111),IF(Units!$J111&lt;&gt;"",Units!$J111,Mkt!AY112),Inputs!$B$15*Mkt!AY112+(1-Inputs!$B$15)*MIN(Mkt!AY112,AX112*(1+Inputs!$B$18))),AX112)))</f>
        <v>2021.54495</v>
      </c>
      <c r="AZ112" s="11" t="n">
        <f aca="false">IF(AZ$1&lt;Units!$P111,0,IF(AND(Units!$K111=0,AZ$1=Units!$O111),Units!$R111,IF(AND(AZ$1&gt;=Units!$Q111,MOD(AZ$1-Units!$Q111,12)=0),IF(AND(Units!$L111=1,AZ$1=Units!$Q111),IF(Units!$J111&lt;&gt;"",Units!$J111,Mkt!AZ112),Inputs!$B$15*Mkt!AZ112+(1-Inputs!$B$15)*MIN(Mkt!AZ112,AY112*(1+Inputs!$B$18))),AY112)))</f>
        <v>2021.54495</v>
      </c>
      <c r="BA112" s="11" t="n">
        <f aca="false">IF(BA$1&lt;Units!$P111,0,IF(AND(Units!$K111=0,BA$1=Units!$O111),Units!$R111,IF(AND(BA$1&gt;=Units!$Q111,MOD(BA$1-Units!$Q111,12)=0),IF(AND(Units!$L111=1,BA$1=Units!$Q111),IF(Units!$J111&lt;&gt;"",Units!$J111,Mkt!BA112),Inputs!$B$15*Mkt!BA112+(1-Inputs!$B$15)*MIN(Mkt!BA112,AZ112*(1+Inputs!$B$18))),AZ112)))</f>
        <v>2021.54495</v>
      </c>
      <c r="BB112" s="11" t="n">
        <f aca="false">IF(BB$1&lt;Units!$P111,0,IF(AND(Units!$K111=0,BB$1=Units!$O111),Units!$R111,IF(AND(BB$1&gt;=Units!$Q111,MOD(BB$1-Units!$Q111,12)=0),IF(AND(Units!$L111=1,BB$1=Units!$Q111),IF(Units!$J111&lt;&gt;"",Units!$J111,Mkt!BB112),Inputs!$B$15*Mkt!BB112+(1-Inputs!$B$15)*MIN(Mkt!BB112,BA112*(1+Inputs!$B$18))),BA112)))</f>
        <v>2021.54495</v>
      </c>
      <c r="BC112" s="11" t="n">
        <f aca="false">IF(BC$1&lt;Units!$P111,0,IF(AND(Units!$K111=0,BC$1=Units!$O111),Units!$R111,IF(AND(BC$1&gt;=Units!$Q111,MOD(BC$1-Units!$Q111,12)=0),IF(AND(Units!$L111=1,BC$1=Units!$Q111),IF(Units!$J111&lt;&gt;"",Units!$J111,Mkt!BC112),Inputs!$B$15*Mkt!BC112+(1-Inputs!$B$15)*MIN(Mkt!BC112,BB112*(1+Inputs!$B$18))),BB112)))</f>
        <v>2021.54495</v>
      </c>
      <c r="BD112" s="11" t="n">
        <f aca="false">IF(BD$1&lt;Units!$P111,0,IF(AND(Units!$K111=0,BD$1=Units!$O111),Units!$R111,IF(AND(BD$1&gt;=Units!$Q111,MOD(BD$1-Units!$Q111,12)=0),IF(AND(Units!$L111=1,BD$1=Units!$Q111),IF(Units!$J111&lt;&gt;"",Units!$J111,Mkt!BD112),Inputs!$B$15*Mkt!BD112+(1-Inputs!$B$15)*MIN(Mkt!BD112,BC112*(1+Inputs!$B$18))),BC112)))</f>
        <v>2021.54495</v>
      </c>
      <c r="BE112" s="11" t="n">
        <f aca="false">IF(BE$1&lt;Units!$P111,0,IF(AND(Units!$K111=0,BE$1=Units!$O111),Units!$R111,IF(AND(BE$1&gt;=Units!$Q111,MOD(BE$1-Units!$Q111,12)=0),IF(AND(Units!$L111=1,BE$1=Units!$Q111),IF(Units!$J111&lt;&gt;"",Units!$J111,Mkt!BE112),Inputs!$B$15*Mkt!BE112+(1-Inputs!$B$15)*MIN(Mkt!BE112,BD112*(1+Inputs!$B$18))),BD112)))</f>
        <v>2021.54495</v>
      </c>
      <c r="BF112" s="11" t="n">
        <f aca="false">IF(BF$1&lt;Units!$P111,0,IF(AND(Units!$K111=0,BF$1=Units!$O111),Units!$R111,IF(AND(BF$1&gt;=Units!$Q111,MOD(BF$1-Units!$Q111,12)=0),IF(AND(Units!$L111=1,BF$1=Units!$Q111),IF(Units!$J111&lt;&gt;"",Units!$J111,Mkt!BF112),Inputs!$B$15*Mkt!BF112+(1-Inputs!$B$15)*MIN(Mkt!BF112,BE112*(1+Inputs!$B$18))),BE112)))</f>
        <v>2021.54495</v>
      </c>
      <c r="BG112" s="11" t="n">
        <f aca="false">IF(BG$1&lt;Units!$P111,0,IF(AND(Units!$K111=0,BG$1=Units!$O111),Units!$R111,IF(AND(BG$1&gt;=Units!$Q111,MOD(BG$1-Units!$Q111,12)=0),IF(AND(Units!$L111=1,BG$1=Units!$Q111),IF(Units!$J111&lt;&gt;"",Units!$J111,Mkt!BG112),Inputs!$B$15*Mkt!BG112+(1-Inputs!$B$15)*MIN(Mkt!BG112,BF112*(1+Inputs!$B$18))),BF112)))</f>
        <v>2021.54495</v>
      </c>
      <c r="BH112" s="11" t="n">
        <f aca="false">IF(BH$1&lt;Units!$P111,0,IF(AND(Units!$K111=0,BH$1=Units!$O111),Units!$R111,IF(AND(BH$1&gt;=Units!$Q111,MOD(BH$1-Units!$Q111,12)=0),IF(AND(Units!$L111=1,BH$1=Units!$Q111),IF(Units!$J111&lt;&gt;"",Units!$J111,Mkt!BH112),Inputs!$B$15*Mkt!BH112+(1-Inputs!$B$15)*MIN(Mkt!BH112,BG112*(1+Inputs!$B$18))),BG112)))</f>
        <v>2021.54495</v>
      </c>
      <c r="BI112" s="11" t="n">
        <f aca="false">IF(BI$1&lt;Units!$P111,0,IF(AND(Units!$K111=0,BI$1=Units!$O111),Units!$R111,IF(AND(BI$1&gt;=Units!$Q111,MOD(BI$1-Units!$Q111,12)=0),IF(AND(Units!$L111=1,BI$1=Units!$Q111),IF(Units!$J111&lt;&gt;"",Units!$J111,Mkt!BI112),Inputs!$B$15*Mkt!BI112+(1-Inputs!$B$15)*MIN(Mkt!BI112,BH112*(1+Inputs!$B$18))),BH112)))</f>
        <v>2082.1912985</v>
      </c>
      <c r="BJ112" s="11" t="n">
        <f aca="false">IF(BJ$1&lt;Units!$P111,0,IF(AND(Units!$K111=0,BJ$1=Units!$O111),Units!$R111,IF(AND(BJ$1&gt;=Units!$Q111,MOD(BJ$1-Units!$Q111,12)=0),IF(AND(Units!$L111=1,BJ$1=Units!$Q111),IF(Units!$J111&lt;&gt;"",Units!$J111,Mkt!BJ112),Inputs!$B$15*Mkt!BJ112+(1-Inputs!$B$15)*MIN(Mkt!BJ112,BI112*(1+Inputs!$B$18))),BI112)))</f>
        <v>2082.1912985</v>
      </c>
      <c r="BK112" s="11" t="n">
        <f aca="false">IF(BK$1&lt;Units!$P111,0,IF(AND(Units!$K111=0,BK$1=Units!$O111),Units!$R111,IF(AND(BK$1&gt;=Units!$Q111,MOD(BK$1-Units!$Q111,12)=0),IF(AND(Units!$L111=1,BK$1=Units!$Q111),IF(Units!$J111&lt;&gt;"",Units!$J111,Mkt!BK112),Inputs!$B$15*Mkt!BK112+(1-Inputs!$B$15)*MIN(Mkt!BK112,BJ112*(1+Inputs!$B$18))),BJ112)))</f>
        <v>2082.1912985</v>
      </c>
      <c r="BL112" s="11" t="n">
        <f aca="false">IF(BL$1&lt;Units!$P111,0,IF(AND(Units!$K111=0,BL$1=Units!$O111),Units!$R111,IF(AND(BL$1&gt;=Units!$Q111,MOD(BL$1-Units!$Q111,12)=0),IF(AND(Units!$L111=1,BL$1=Units!$Q111),IF(Units!$J111&lt;&gt;"",Units!$J111,Mkt!BL112),Inputs!$B$15*Mkt!BL112+(1-Inputs!$B$15)*MIN(Mkt!BL112,BK112*(1+Inputs!$B$18))),BK112)))</f>
        <v>2082.1912985</v>
      </c>
      <c r="BM112" s="11" t="n">
        <f aca="false">IF(BM$1&lt;Units!$P111,0,IF(AND(Units!$K111=0,BM$1=Units!$O111),Units!$R111,IF(AND(BM$1&gt;=Units!$Q111,MOD(BM$1-Units!$Q111,12)=0),IF(AND(Units!$L111=1,BM$1=Units!$Q111),IF(Units!$J111&lt;&gt;"",Units!$J111,Mkt!BM112),Inputs!$B$15*Mkt!BM112+(1-Inputs!$B$15)*MIN(Mkt!BM112,BL112*(1+Inputs!$B$18))),BL112)))</f>
        <v>2082.1912985</v>
      </c>
      <c r="BN112" s="11" t="n">
        <f aca="false">IF(BN$1&lt;Units!$P111,0,IF(AND(Units!$K111=0,BN$1=Units!$O111),Units!$R111,IF(AND(BN$1&gt;=Units!$Q111,MOD(BN$1-Units!$Q111,12)=0),IF(AND(Units!$L111=1,BN$1=Units!$Q111),IF(Units!$J111&lt;&gt;"",Units!$J111,Mkt!BN112),Inputs!$B$15*Mkt!BN112+(1-Inputs!$B$15)*MIN(Mkt!BN112,BM112*(1+Inputs!$B$18))),BM112)))</f>
        <v>2082.1912985</v>
      </c>
      <c r="BO112" s="11" t="n">
        <f aca="false">IF(BO$1&lt;Units!$P111,0,IF(AND(Units!$K111=0,BO$1=Units!$O111),Units!$R111,IF(AND(BO$1&gt;=Units!$Q111,MOD(BO$1-Units!$Q111,12)=0),IF(AND(Units!$L111=1,BO$1=Units!$Q111),IF(Units!$J111&lt;&gt;"",Units!$J111,Mkt!BO112),Inputs!$B$15*Mkt!BO112+(1-Inputs!$B$15)*MIN(Mkt!BO112,BN112*(1+Inputs!$B$18))),BN112)))</f>
        <v>2082.1912985</v>
      </c>
      <c r="BP112" s="11" t="n">
        <f aca="false">IF(BP$1&lt;Units!$P111,0,IF(AND(Units!$K111=0,BP$1=Units!$O111),Units!$R111,IF(AND(BP$1&gt;=Units!$Q111,MOD(BP$1-Units!$Q111,12)=0),IF(AND(Units!$L111=1,BP$1=Units!$Q111),IF(Units!$J111&lt;&gt;"",Units!$J111,Mkt!BP112),Inputs!$B$15*Mkt!BP112+(1-Inputs!$B$15)*MIN(Mkt!BP112,BO112*(1+Inputs!$B$18))),BO112)))</f>
        <v>2082.1912985</v>
      </c>
      <c r="BQ112" s="11" t="n">
        <f aca="false">IF(BQ$1&lt;Units!$P111,0,IF(AND(Units!$K111=0,BQ$1=Units!$O111),Units!$R111,IF(AND(BQ$1&gt;=Units!$Q111,MOD(BQ$1-Units!$Q111,12)=0),IF(AND(Units!$L111=1,BQ$1=Units!$Q111),IF(Units!$J111&lt;&gt;"",Units!$J111,Mkt!BQ112),Inputs!$B$15*Mkt!BQ112+(1-Inputs!$B$15)*MIN(Mkt!BQ112,BP112*(1+Inputs!$B$18))),BP112)))</f>
        <v>2082.1912985</v>
      </c>
      <c r="BR112" s="11" t="n">
        <f aca="false">IF(BR$1&lt;Units!$P111,0,IF(AND(Units!$K111=0,BR$1=Units!$O111),Units!$R111,IF(AND(BR$1&gt;=Units!$Q111,MOD(BR$1-Units!$Q111,12)=0),IF(AND(Units!$L111=1,BR$1=Units!$Q111),IF(Units!$J111&lt;&gt;"",Units!$J111,Mkt!BR112),Inputs!$B$15*Mkt!BR112+(1-Inputs!$B$15)*MIN(Mkt!BR112,BQ112*(1+Inputs!$B$18))),BQ112)))</f>
        <v>2082.1912985</v>
      </c>
      <c r="BS112" s="11" t="n">
        <f aca="false">IF(BS$1&lt;Units!$P111,0,IF(AND(Units!$K111=0,BS$1=Units!$O111),Units!$R111,IF(AND(BS$1&gt;=Units!$Q111,MOD(BS$1-Units!$Q111,12)=0),IF(AND(Units!$L111=1,BS$1=Units!$Q111),IF(Units!$J111&lt;&gt;"",Units!$J111,Mkt!BS112),Inputs!$B$15*Mkt!BS112+(1-Inputs!$B$15)*MIN(Mkt!BS112,BR112*(1+Inputs!$B$18))),BR112)))</f>
        <v>2082.1912985</v>
      </c>
      <c r="BT112" s="11" t="n">
        <f aca="false">IF(BT$1&lt;Units!$P111,0,IF(AND(Units!$K111=0,BT$1=Units!$O111),Units!$R111,IF(AND(BT$1&gt;=Units!$Q111,MOD(BT$1-Units!$Q111,12)=0),IF(AND(Units!$L111=1,BT$1=Units!$Q111),IF(Units!$J111&lt;&gt;"",Units!$J111,Mkt!BT112),Inputs!$B$15*Mkt!BT112+(1-Inputs!$B$15)*MIN(Mkt!BT112,BS112*(1+Inputs!$B$18))),BS112)))</f>
        <v>2082.1912985</v>
      </c>
      <c r="BU112" s="11" t="n">
        <f aca="false">IF(BU$1&lt;Units!$P111,0,IF(AND(Units!$K111=0,BU$1=Units!$O111),Units!$R111,IF(AND(BU$1&gt;=Units!$Q111,MOD(BU$1-Units!$Q111,12)=0),IF(AND(Units!$L111=1,BU$1=Units!$Q111),IF(Units!$J111&lt;&gt;"",Units!$J111,Mkt!BU112),Inputs!$B$15*Mkt!BU112+(1-Inputs!$B$15)*MIN(Mkt!BU112,BT112*(1+Inputs!$B$18))),BT112)))</f>
        <v>2144.657037455</v>
      </c>
      <c r="BV112" s="11" t="n">
        <f aca="false">IF(BV$1&lt;Units!$P111,0,IF(AND(Units!$K111=0,BV$1=Units!$O111),Units!$R111,IF(AND(BV$1&gt;=Units!$Q111,MOD(BV$1-Units!$Q111,12)=0),IF(AND(Units!$L111=1,BV$1=Units!$Q111),IF(Units!$J111&lt;&gt;"",Units!$J111,Mkt!BV112),Inputs!$B$15*Mkt!BV112+(1-Inputs!$B$15)*MIN(Mkt!BV112,BU112*(1+Inputs!$B$18))),BU112)))</f>
        <v>2144.657037455</v>
      </c>
      <c r="BW112" s="11" t="n">
        <f aca="false">IF(BW$1&lt;Units!$P111,0,IF(AND(Units!$K111=0,BW$1=Units!$O111),Units!$R111,IF(AND(BW$1&gt;=Units!$Q111,MOD(BW$1-Units!$Q111,12)=0),IF(AND(Units!$L111=1,BW$1=Units!$Q111),IF(Units!$J111&lt;&gt;"",Units!$J111,Mkt!BW112),Inputs!$B$15*Mkt!BW112+(1-Inputs!$B$15)*MIN(Mkt!BW112,BV112*(1+Inputs!$B$18))),BV112)))</f>
        <v>2144.657037455</v>
      </c>
      <c r="BX112" s="11" t="n">
        <f aca="false">IF(BX$1&lt;Units!$P111,0,IF(AND(Units!$K111=0,BX$1=Units!$O111),Units!$R111,IF(AND(BX$1&gt;=Units!$Q111,MOD(BX$1-Units!$Q111,12)=0),IF(AND(Units!$L111=1,BX$1=Units!$Q111),IF(Units!$J111&lt;&gt;"",Units!$J111,Mkt!BX112),Inputs!$B$15*Mkt!BX112+(1-Inputs!$B$15)*MIN(Mkt!BX112,BW112*(1+Inputs!$B$18))),BW112)))</f>
        <v>2144.657037455</v>
      </c>
      <c r="BY112" s="11" t="n">
        <f aca="false">IF(BY$1&lt;Units!$P111,0,IF(AND(Units!$K111=0,BY$1=Units!$O111),Units!$R111,IF(AND(BY$1&gt;=Units!$Q111,MOD(BY$1-Units!$Q111,12)=0),IF(AND(Units!$L111=1,BY$1=Units!$Q111),IF(Units!$J111&lt;&gt;"",Units!$J111,Mkt!BY112),Inputs!$B$15*Mkt!BY112+(1-Inputs!$B$15)*MIN(Mkt!BY112,BX112*(1+Inputs!$B$18))),BX112)))</f>
        <v>2144.657037455</v>
      </c>
      <c r="BZ112" s="11" t="n">
        <f aca="false">IF(BZ$1&lt;Units!$P111,0,IF(AND(Units!$K111=0,BZ$1=Units!$O111),Units!$R111,IF(AND(BZ$1&gt;=Units!$Q111,MOD(BZ$1-Units!$Q111,12)=0),IF(AND(Units!$L111=1,BZ$1=Units!$Q111),IF(Units!$J111&lt;&gt;"",Units!$J111,Mkt!BZ112),Inputs!$B$15*Mkt!BZ112+(1-Inputs!$B$15)*MIN(Mkt!BZ112,BY112*(1+Inputs!$B$18))),BY112)))</f>
        <v>2144.657037455</v>
      </c>
      <c r="CA112" s="11" t="n">
        <f aca="false">IF(CA$1&lt;Units!$P111,0,IF(AND(Units!$K111=0,CA$1=Units!$O111),Units!$R111,IF(AND(CA$1&gt;=Units!$Q111,MOD(CA$1-Units!$Q111,12)=0),IF(AND(Units!$L111=1,CA$1=Units!$Q111),IF(Units!$J111&lt;&gt;"",Units!$J111,Mkt!CA112),Inputs!$B$15*Mkt!CA112+(1-Inputs!$B$15)*MIN(Mkt!CA112,BZ112*(1+Inputs!$B$18))),BZ112)))</f>
        <v>2144.657037455</v>
      </c>
      <c r="CB112" s="11" t="n">
        <f aca="false">IF(CB$1&lt;Units!$P111,0,IF(AND(Units!$K111=0,CB$1=Units!$O111),Units!$R111,IF(AND(CB$1&gt;=Units!$Q111,MOD(CB$1-Units!$Q111,12)=0),IF(AND(Units!$L111=1,CB$1=Units!$Q111),IF(Units!$J111&lt;&gt;"",Units!$J111,Mkt!CB112),Inputs!$B$15*Mkt!CB112+(1-Inputs!$B$15)*MIN(Mkt!CB112,CA112*(1+Inputs!$B$18))),CA112)))</f>
        <v>2144.657037455</v>
      </c>
      <c r="CC112" s="11" t="n">
        <f aca="false">IF(CC$1&lt;Units!$P111,0,IF(AND(Units!$K111=0,CC$1=Units!$O111),Units!$R111,IF(AND(CC$1&gt;=Units!$Q111,MOD(CC$1-Units!$Q111,12)=0),IF(AND(Units!$L111=1,CC$1=Units!$Q111),IF(Units!$J111&lt;&gt;"",Units!$J111,Mkt!CC112),Inputs!$B$15*Mkt!CC112+(1-Inputs!$B$15)*MIN(Mkt!CC112,CB112*(1+Inputs!$B$18))),CB112)))</f>
        <v>2144.657037455</v>
      </c>
      <c r="CD112" s="11" t="n">
        <f aca="false">IF(CD$1&lt;Units!$P111,0,IF(AND(Units!$K111=0,CD$1=Units!$O111),Units!$R111,IF(AND(CD$1&gt;=Units!$Q111,MOD(CD$1-Units!$Q111,12)=0),IF(AND(Units!$L111=1,CD$1=Units!$Q111),IF(Units!$J111&lt;&gt;"",Units!$J111,Mkt!CD112),Inputs!$B$15*Mkt!CD112+(1-Inputs!$B$15)*MIN(Mkt!CD112,CC112*(1+Inputs!$B$18))),CC112)))</f>
        <v>2144.657037455</v>
      </c>
      <c r="CE112" s="11" t="n">
        <f aca="false">IF(CE$1&lt;Units!$P111,0,IF(AND(Units!$K111=0,CE$1=Units!$O111),Units!$R111,IF(AND(CE$1&gt;=Units!$Q111,MOD(CE$1-Units!$Q111,12)=0),IF(AND(Units!$L111=1,CE$1=Units!$Q111),IF(Units!$J111&lt;&gt;"",Units!$J111,Mkt!CE112),Inputs!$B$15*Mkt!CE112+(1-Inputs!$B$15)*MIN(Mkt!CE112,CD112*(1+Inputs!$B$18))),CD112)))</f>
        <v>2144.657037455</v>
      </c>
      <c r="CF112" s="11" t="n">
        <f aca="false">IF(CF$1&lt;Units!$P111,0,IF(AND(Units!$K111=0,CF$1=Units!$O111),Units!$R111,IF(AND(CF$1&gt;=Units!$Q111,MOD(CF$1-Units!$Q111,12)=0),IF(AND(Units!$L111=1,CF$1=Units!$Q111),IF(Units!$J111&lt;&gt;"",Units!$J111,Mkt!CF112),Inputs!$B$15*Mkt!CF112+(1-Inputs!$B$15)*MIN(Mkt!CF112,CE112*(1+Inputs!$B$18))),CE112)))</f>
        <v>2144.657037455</v>
      </c>
      <c r="CG112" s="11" t="n">
        <f aca="false">IF(CG$1&lt;Units!$P111,0,IF(AND(Units!$K111=0,CG$1=Units!$O111),Units!$R111,IF(AND(CG$1&gt;=Units!$Q111,MOD(CG$1-Units!$Q111,12)=0),IF(AND(Units!$L111=1,CG$1=Units!$Q111),IF(Units!$J111&lt;&gt;"",Units!$J111,Mkt!CG112),Inputs!$B$15*Mkt!CG112+(1-Inputs!$B$15)*MIN(Mkt!CG112,CF112*(1+Inputs!$B$18))),CF112)))</f>
        <v>2208.99674857865</v>
      </c>
      <c r="CH112" s="11" t="n">
        <f aca="false">IF(CH$1&lt;Units!$P111,0,IF(AND(Units!$K111=0,CH$1=Units!$O111),Units!$R111,IF(AND(CH$1&gt;=Units!$Q111,MOD(CH$1-Units!$Q111,12)=0),IF(AND(Units!$L111=1,CH$1=Units!$Q111),IF(Units!$J111&lt;&gt;"",Units!$J111,Mkt!CH112),Inputs!$B$15*Mkt!CH112+(1-Inputs!$B$15)*MIN(Mkt!CH112,CG112*(1+Inputs!$B$18))),CG112)))</f>
        <v>2208.99674857865</v>
      </c>
      <c r="CI112" s="11" t="n">
        <f aca="false">IF(CI$1&lt;Units!$P111,0,IF(AND(Units!$K111=0,CI$1=Units!$O111),Units!$R111,IF(AND(CI$1&gt;=Units!$Q111,MOD(CI$1-Units!$Q111,12)=0),IF(AND(Units!$L111=1,CI$1=Units!$Q111),IF(Units!$J111&lt;&gt;"",Units!$J111,Mkt!CI112),Inputs!$B$15*Mkt!CI112+(1-Inputs!$B$15)*MIN(Mkt!CI112,CH112*(1+Inputs!$B$18))),CH112)))</f>
        <v>2208.99674857865</v>
      </c>
      <c r="CJ112" s="11" t="n">
        <f aca="false">IF(CJ$1&lt;Units!$P111,0,IF(AND(Units!$K111=0,CJ$1=Units!$O111),Units!$R111,IF(AND(CJ$1&gt;=Units!$Q111,MOD(CJ$1-Units!$Q111,12)=0),IF(AND(Units!$L111=1,CJ$1=Units!$Q111),IF(Units!$J111&lt;&gt;"",Units!$J111,Mkt!CJ112),Inputs!$B$15*Mkt!CJ112+(1-Inputs!$B$15)*MIN(Mkt!CJ112,CI112*(1+Inputs!$B$18))),CI112)))</f>
        <v>2208.99674857865</v>
      </c>
      <c r="CK112" s="11" t="n">
        <f aca="false">IF(CK$1&lt;Units!$P111,0,IF(AND(Units!$K111=0,CK$1=Units!$O111),Units!$R111,IF(AND(CK$1&gt;=Units!$Q111,MOD(CK$1-Units!$Q111,12)=0),IF(AND(Units!$L111=1,CK$1=Units!$Q111),IF(Units!$J111&lt;&gt;"",Units!$J111,Mkt!CK112),Inputs!$B$15*Mkt!CK112+(1-Inputs!$B$15)*MIN(Mkt!CK112,CJ112*(1+Inputs!$B$18))),CJ112)))</f>
        <v>2208.99674857865</v>
      </c>
      <c r="CL112" s="11" t="n">
        <f aca="false">IF(CL$1&lt;Units!$P111,0,IF(AND(Units!$K111=0,CL$1=Units!$O111),Units!$R111,IF(AND(CL$1&gt;=Units!$Q111,MOD(CL$1-Units!$Q111,12)=0),IF(AND(Units!$L111=1,CL$1=Units!$Q111),IF(Units!$J111&lt;&gt;"",Units!$J111,Mkt!CL112),Inputs!$B$15*Mkt!CL112+(1-Inputs!$B$15)*MIN(Mkt!CL112,CK112*(1+Inputs!$B$18))),CK112)))</f>
        <v>2208.99674857865</v>
      </c>
      <c r="CM112" s="11" t="n">
        <f aca="false">IF(CM$1&lt;Units!$P111,0,IF(AND(Units!$K111=0,CM$1=Units!$O111),Units!$R111,IF(AND(CM$1&gt;=Units!$Q111,MOD(CM$1-Units!$Q111,12)=0),IF(AND(Units!$L111=1,CM$1=Units!$Q111),IF(Units!$J111&lt;&gt;"",Units!$J111,Mkt!CM112),Inputs!$B$15*Mkt!CM112+(1-Inputs!$B$15)*MIN(Mkt!CM112,CL112*(1+Inputs!$B$18))),CL112)))</f>
        <v>2208.99674857865</v>
      </c>
      <c r="CN112" s="11" t="n">
        <f aca="false">IF(CN$1&lt;Units!$P111,0,IF(AND(Units!$K111=0,CN$1=Units!$O111),Units!$R111,IF(AND(CN$1&gt;=Units!$Q111,MOD(CN$1-Units!$Q111,12)=0),IF(AND(Units!$L111=1,CN$1=Units!$Q111),IF(Units!$J111&lt;&gt;"",Units!$J111,Mkt!CN112),Inputs!$B$15*Mkt!CN112+(1-Inputs!$B$15)*MIN(Mkt!CN112,CM112*(1+Inputs!$B$18))),CM112)))</f>
        <v>2208.99674857865</v>
      </c>
      <c r="CO112" s="11" t="n">
        <f aca="false">IF(CO$1&lt;Units!$P111,0,IF(AND(Units!$K111=0,CO$1=Units!$O111),Units!$R111,IF(AND(CO$1&gt;=Units!$Q111,MOD(CO$1-Units!$Q111,12)=0),IF(AND(Units!$L111=1,CO$1=Units!$Q111),IF(Units!$J111&lt;&gt;"",Units!$J111,Mkt!CO112),Inputs!$B$15*Mkt!CO112+(1-Inputs!$B$15)*MIN(Mkt!CO112,CN112*(1+Inputs!$B$18))),CN112)))</f>
        <v>2208.99674857865</v>
      </c>
      <c r="CP112" s="11" t="n">
        <f aca="false">IF(CP$1&lt;Units!$P111,0,IF(AND(Units!$K111=0,CP$1=Units!$O111),Units!$R111,IF(AND(CP$1&gt;=Units!$Q111,MOD(CP$1-Units!$Q111,12)=0),IF(AND(Units!$L111=1,CP$1=Units!$Q111),IF(Units!$J111&lt;&gt;"",Units!$J111,Mkt!CP112),Inputs!$B$15*Mkt!CP112+(1-Inputs!$B$15)*MIN(Mkt!CP112,CO112*(1+Inputs!$B$18))),CO112)))</f>
        <v>2208.99674857865</v>
      </c>
      <c r="CQ112" s="11" t="n">
        <f aca="false">IF(CQ$1&lt;Units!$P111,0,IF(AND(Units!$K111=0,CQ$1=Units!$O111),Units!$R111,IF(AND(CQ$1&gt;=Units!$Q111,MOD(CQ$1-Units!$Q111,12)=0),IF(AND(Units!$L111=1,CQ$1=Units!$Q111),IF(Units!$J111&lt;&gt;"",Units!$J111,Mkt!CQ112),Inputs!$B$15*Mkt!CQ112+(1-Inputs!$B$15)*MIN(Mkt!CQ112,CP112*(1+Inputs!$B$18))),CP112)))</f>
        <v>2208.99674857865</v>
      </c>
      <c r="CR112" s="11" t="n">
        <f aca="false">IF(CR$1&lt;Units!$P111,0,IF(AND(Units!$K111=0,CR$1=Units!$O111),Units!$R111,IF(AND(CR$1&gt;=Units!$Q111,MOD(CR$1-Units!$Q111,12)=0),IF(AND(Units!$L111=1,CR$1=Units!$Q111),IF(Units!$J111&lt;&gt;"",Units!$J111,Mkt!CR112),Inputs!$B$15*Mkt!CR112+(1-Inputs!$B$15)*MIN(Mkt!CR112,CQ112*(1+Inputs!$B$18))),CQ112)))</f>
        <v>2208.99674857865</v>
      </c>
      <c r="CS112" s="11" t="n">
        <f aca="false">IF(CS$1&lt;Units!$P111,0,IF(AND(Units!$K111=0,CS$1=Units!$O111),Units!$R111,IF(AND(CS$1&gt;=Units!$Q111,MOD(CS$1-Units!$Q111,12)=0),IF(AND(Units!$L111=1,CS$1=Units!$Q111),IF(Units!$J111&lt;&gt;"",Units!$J111,Mkt!CS112),Inputs!$B$15*Mkt!CS112+(1-Inputs!$B$15)*MIN(Mkt!CS112,CR112*(1+Inputs!$B$18))),CR112)))</f>
        <v>2275.26665103601</v>
      </c>
      <c r="CT112" s="11" t="n">
        <f aca="false">IF(CT$1&lt;Units!$P111,0,IF(AND(Units!$K111=0,CT$1=Units!$O111),Units!$R111,IF(AND(CT$1&gt;=Units!$Q111,MOD(CT$1-Units!$Q111,12)=0),IF(AND(Units!$L111=1,CT$1=Units!$Q111),IF(Units!$J111&lt;&gt;"",Units!$J111,Mkt!CT112),Inputs!$B$15*Mkt!CT112+(1-Inputs!$B$15)*MIN(Mkt!CT112,CS112*(1+Inputs!$B$18))),CS112)))</f>
        <v>2275.26665103601</v>
      </c>
      <c r="CU112" s="11" t="n">
        <f aca="false">IF(CU$1&lt;Units!$P111,0,IF(AND(Units!$K111=0,CU$1=Units!$O111),Units!$R111,IF(AND(CU$1&gt;=Units!$Q111,MOD(CU$1-Units!$Q111,12)=0),IF(AND(Units!$L111=1,CU$1=Units!$Q111),IF(Units!$J111&lt;&gt;"",Units!$J111,Mkt!CU112),Inputs!$B$15*Mkt!CU112+(1-Inputs!$B$15)*MIN(Mkt!CU112,CT112*(1+Inputs!$B$18))),CT112)))</f>
        <v>2275.26665103601</v>
      </c>
      <c r="CV112" s="11" t="n">
        <f aca="false">IF(CV$1&lt;Units!$P111,0,IF(AND(Units!$K111=0,CV$1=Units!$O111),Units!$R111,IF(AND(CV$1&gt;=Units!$Q111,MOD(CV$1-Units!$Q111,12)=0),IF(AND(Units!$L111=1,CV$1=Units!$Q111),IF(Units!$J111&lt;&gt;"",Units!$J111,Mkt!CV112),Inputs!$B$15*Mkt!CV112+(1-Inputs!$B$15)*MIN(Mkt!CV112,CU112*(1+Inputs!$B$18))),CU112)))</f>
        <v>2275.26665103601</v>
      </c>
      <c r="CW112" s="11" t="n">
        <f aca="false">IF(CW$1&lt;Units!$P111,0,IF(AND(Units!$K111=0,CW$1=Units!$O111),Units!$R111,IF(AND(CW$1&gt;=Units!$Q111,MOD(CW$1-Units!$Q111,12)=0),IF(AND(Units!$L111=1,CW$1=Units!$Q111),IF(Units!$J111&lt;&gt;"",Units!$J111,Mkt!CW112),Inputs!$B$15*Mkt!CW112+(1-Inputs!$B$15)*MIN(Mkt!CW112,CV112*(1+Inputs!$B$18))),CV112)))</f>
        <v>2275.26665103601</v>
      </c>
      <c r="CX112" s="11" t="n">
        <f aca="false">IF(CX$1&lt;Units!$P111,0,IF(AND(Units!$K111=0,CX$1=Units!$O111),Units!$R111,IF(AND(CX$1&gt;=Units!$Q111,MOD(CX$1-Units!$Q111,12)=0),IF(AND(Units!$L111=1,CX$1=Units!$Q111),IF(Units!$J111&lt;&gt;"",Units!$J111,Mkt!CX112),Inputs!$B$15*Mkt!CX112+(1-Inputs!$B$15)*MIN(Mkt!CX112,CW112*(1+Inputs!$B$18))),CW112)))</f>
        <v>2275.26665103601</v>
      </c>
      <c r="CY112" s="11" t="n">
        <f aca="false">IF(CY$1&lt;Units!$P111,0,IF(AND(Units!$K111=0,CY$1=Units!$O111),Units!$R111,IF(AND(CY$1&gt;=Units!$Q111,MOD(CY$1-Units!$Q111,12)=0),IF(AND(Units!$L111=1,CY$1=Units!$Q111),IF(Units!$J111&lt;&gt;"",Units!$J111,Mkt!CY112),Inputs!$B$15*Mkt!CY112+(1-Inputs!$B$15)*MIN(Mkt!CY112,CX112*(1+Inputs!$B$18))),CX112)))</f>
        <v>2275.26665103601</v>
      </c>
      <c r="CZ112" s="11" t="n">
        <f aca="false">IF(CZ$1&lt;Units!$P111,0,IF(AND(Units!$K111=0,CZ$1=Units!$O111),Units!$R111,IF(AND(CZ$1&gt;=Units!$Q111,MOD(CZ$1-Units!$Q111,12)=0),IF(AND(Units!$L111=1,CZ$1=Units!$Q111),IF(Units!$J111&lt;&gt;"",Units!$J111,Mkt!CZ112),Inputs!$B$15*Mkt!CZ112+(1-Inputs!$B$15)*MIN(Mkt!CZ112,CY112*(1+Inputs!$B$18))),CY112)))</f>
        <v>2275.26665103601</v>
      </c>
      <c r="DA112" s="11" t="n">
        <f aca="false">IF(DA$1&lt;Units!$P111,0,IF(AND(Units!$K111=0,DA$1=Units!$O111),Units!$R111,IF(AND(DA$1&gt;=Units!$Q111,MOD(DA$1-Units!$Q111,12)=0),IF(AND(Units!$L111=1,DA$1=Units!$Q111),IF(Units!$J111&lt;&gt;"",Units!$J111,Mkt!DA112),Inputs!$B$15*Mkt!DA112+(1-Inputs!$B$15)*MIN(Mkt!DA112,CZ112*(1+Inputs!$B$18))),CZ112)))</f>
        <v>2275.26665103601</v>
      </c>
      <c r="DB112" s="11" t="n">
        <f aca="false">IF(DB$1&lt;Units!$P111,0,IF(AND(Units!$K111=0,DB$1=Units!$O111),Units!$R111,IF(AND(DB$1&gt;=Units!$Q111,MOD(DB$1-Units!$Q111,12)=0),IF(AND(Units!$L111=1,DB$1=Units!$Q111),IF(Units!$J111&lt;&gt;"",Units!$J111,Mkt!DB112),Inputs!$B$15*Mkt!DB112+(1-Inputs!$B$15)*MIN(Mkt!DB112,DA112*(1+Inputs!$B$18))),DA112)))</f>
        <v>2275.26665103601</v>
      </c>
      <c r="DC112" s="11" t="n">
        <f aca="false">IF(DC$1&lt;Units!$P111,0,IF(AND(Units!$K111=0,DC$1=Units!$O111),Units!$R111,IF(AND(DC$1&gt;=Units!$Q111,MOD(DC$1-Units!$Q111,12)=0),IF(AND(Units!$L111=1,DC$1=Units!$Q111),IF(Units!$J111&lt;&gt;"",Units!$J111,Mkt!DC112),Inputs!$B$15*Mkt!DC112+(1-Inputs!$B$15)*MIN(Mkt!DC112,DB112*(1+Inputs!$B$18))),DB112)))</f>
        <v>2275.26665103601</v>
      </c>
      <c r="DD112" s="11" t="n">
        <f aca="false">IF(DD$1&lt;Units!$P111,0,IF(AND(Units!$K111=0,DD$1=Units!$O111),Units!$R111,IF(AND(DD$1&gt;=Units!$Q111,MOD(DD$1-Units!$Q111,12)=0),IF(AND(Units!$L111=1,DD$1=Units!$Q111),IF(Units!$J111&lt;&gt;"",Units!$J111,Mkt!DD112),Inputs!$B$15*Mkt!DD112+(1-Inputs!$B$15)*MIN(Mkt!DD112,DC112*(1+Inputs!$B$18))),DC112)))</f>
        <v>2275.26665103601</v>
      </c>
      <c r="DE112" s="11" t="n">
        <f aca="false">IF(DE$1&lt;Units!$P111,0,IF(AND(Units!$K111=0,DE$1=Units!$O111),Units!$R111,IF(AND(DE$1&gt;=Units!$Q111,MOD(DE$1-Units!$Q111,12)=0),IF(AND(Units!$L111=1,DE$1=Units!$Q111),IF(Units!$J111&lt;&gt;"",Units!$J111,Mkt!DE112),Inputs!$B$15*Mkt!DE112+(1-Inputs!$B$15)*MIN(Mkt!DE112,DD112*(1+Inputs!$B$18))),DD112)))</f>
        <v>2343.52465056709</v>
      </c>
      <c r="DF112" s="11" t="n">
        <f aca="false">IF(DF$1&lt;Units!$P111,0,IF(AND(Units!$K111=0,DF$1=Units!$O111),Units!$R111,IF(AND(DF$1&gt;=Units!$Q111,MOD(DF$1-Units!$Q111,12)=0),IF(AND(Units!$L111=1,DF$1=Units!$Q111),IF(Units!$J111&lt;&gt;"",Units!$J111,Mkt!DF112),Inputs!$B$15*Mkt!DF112+(1-Inputs!$B$15)*MIN(Mkt!DF112,DE112*(1+Inputs!$B$18))),DE112)))</f>
        <v>2343.52465056709</v>
      </c>
      <c r="DG112" s="11" t="n">
        <f aca="false">IF(DG$1&lt;Units!$P111,0,IF(AND(Units!$K111=0,DG$1=Units!$O111),Units!$R111,IF(AND(DG$1&gt;=Units!$Q111,MOD(DG$1-Units!$Q111,12)=0),IF(AND(Units!$L111=1,DG$1=Units!$Q111),IF(Units!$J111&lt;&gt;"",Units!$J111,Mkt!DG112),Inputs!$B$15*Mkt!DG112+(1-Inputs!$B$15)*MIN(Mkt!DG112,DF112*(1+Inputs!$B$18))),DF112)))</f>
        <v>2343.52465056709</v>
      </c>
      <c r="DH112" s="11" t="n">
        <f aca="false">IF(DH$1&lt;Units!$P111,0,IF(AND(Units!$K111=0,DH$1=Units!$O111),Units!$R111,IF(AND(DH$1&gt;=Units!$Q111,MOD(DH$1-Units!$Q111,12)=0),IF(AND(Units!$L111=1,DH$1=Units!$Q111),IF(Units!$J111&lt;&gt;"",Units!$J111,Mkt!DH112),Inputs!$B$15*Mkt!DH112+(1-Inputs!$B$15)*MIN(Mkt!DH112,DG112*(1+Inputs!$B$18))),DG112)))</f>
        <v>2343.52465056709</v>
      </c>
      <c r="DI112" s="11" t="n">
        <f aca="false">IF(DI$1&lt;Units!$P111,0,IF(AND(Units!$K111=0,DI$1=Units!$O111),Units!$R111,IF(AND(DI$1&gt;=Units!$Q111,MOD(DI$1-Units!$Q111,12)=0),IF(AND(Units!$L111=1,DI$1=Units!$Q111),IF(Units!$J111&lt;&gt;"",Units!$J111,Mkt!DI112),Inputs!$B$15*Mkt!DI112+(1-Inputs!$B$15)*MIN(Mkt!DI112,DH112*(1+Inputs!$B$18))),DH112)))</f>
        <v>2343.52465056709</v>
      </c>
      <c r="DJ112" s="11" t="n">
        <f aca="false">IF(DJ$1&lt;Units!$P111,0,IF(AND(Units!$K111=0,DJ$1=Units!$O111),Units!$R111,IF(AND(DJ$1&gt;=Units!$Q111,MOD(DJ$1-Units!$Q111,12)=0),IF(AND(Units!$L111=1,DJ$1=Units!$Q111),IF(Units!$J111&lt;&gt;"",Units!$J111,Mkt!DJ112),Inputs!$B$15*Mkt!DJ112+(1-Inputs!$B$15)*MIN(Mkt!DJ112,DI112*(1+Inputs!$B$18))),DI112)))</f>
        <v>2343.52465056709</v>
      </c>
      <c r="DK112" s="11" t="n">
        <f aca="false">IF(DK$1&lt;Units!$P111,0,IF(AND(Units!$K111=0,DK$1=Units!$O111),Units!$R111,IF(AND(DK$1&gt;=Units!$Q111,MOD(DK$1-Units!$Q111,12)=0),IF(AND(Units!$L111=1,DK$1=Units!$Q111),IF(Units!$J111&lt;&gt;"",Units!$J111,Mkt!DK112),Inputs!$B$15*Mkt!DK112+(1-Inputs!$B$15)*MIN(Mkt!DK112,DJ112*(1+Inputs!$B$18))),DJ112)))</f>
        <v>2343.52465056709</v>
      </c>
      <c r="DL112" s="11" t="n">
        <f aca="false">IF(DL$1&lt;Units!$P111,0,IF(AND(Units!$K111=0,DL$1=Units!$O111),Units!$R111,IF(AND(DL$1&gt;=Units!$Q111,MOD(DL$1-Units!$Q111,12)=0),IF(AND(Units!$L111=1,DL$1=Units!$Q111),IF(Units!$J111&lt;&gt;"",Units!$J111,Mkt!DL112),Inputs!$B$15*Mkt!DL112+(1-Inputs!$B$15)*MIN(Mkt!DL112,DK112*(1+Inputs!$B$18))),DK112)))</f>
        <v>2343.52465056709</v>
      </c>
      <c r="DM112" s="11" t="n">
        <f aca="false">IF(DM$1&lt;Units!$P111,0,IF(AND(Units!$K111=0,DM$1=Units!$O111),Units!$R111,IF(AND(DM$1&gt;=Units!$Q111,MOD(DM$1-Units!$Q111,12)=0),IF(AND(Units!$L111=1,DM$1=Units!$Q111),IF(Units!$J111&lt;&gt;"",Units!$J111,Mkt!DM112),Inputs!$B$15*Mkt!DM112+(1-Inputs!$B$15)*MIN(Mkt!DM112,DL112*(1+Inputs!$B$18))),DL112)))</f>
        <v>2343.52465056709</v>
      </c>
      <c r="DN112" s="11" t="n">
        <f aca="false">IF(DN$1&lt;Units!$P111,0,IF(AND(Units!$K111=0,DN$1=Units!$O111),Units!$R111,IF(AND(DN$1&gt;=Units!$Q111,MOD(DN$1-Units!$Q111,12)=0),IF(AND(Units!$L111=1,DN$1=Units!$Q111),IF(Units!$J111&lt;&gt;"",Units!$J111,Mkt!DN112),Inputs!$B$15*Mkt!DN112+(1-Inputs!$B$15)*MIN(Mkt!DN112,DM112*(1+Inputs!$B$18))),DM112)))</f>
        <v>2343.52465056709</v>
      </c>
      <c r="DO112" s="11" t="n">
        <f aca="false">IF(DO$1&lt;Units!$P111,0,IF(AND(Units!$K111=0,DO$1=Units!$O111),Units!$R111,IF(AND(DO$1&gt;=Units!$Q111,MOD(DO$1-Units!$Q111,12)=0),IF(AND(Units!$L111=1,DO$1=Units!$Q111),IF(Units!$J111&lt;&gt;"",Units!$J111,Mkt!DO112),Inputs!$B$15*Mkt!DO112+(1-Inputs!$B$15)*MIN(Mkt!DO112,DN112*(1+Inputs!$B$18))),DN112)))</f>
        <v>2343.52465056709</v>
      </c>
      <c r="DP112" s="11" t="n">
        <f aca="false">IF(DP$1&lt;Units!$P111,0,IF(AND(Units!$K111=0,DP$1=Units!$O111),Units!$R111,IF(AND(DP$1&gt;=Units!$Q111,MOD(DP$1-Units!$Q111,12)=0),IF(AND(Units!$L111=1,DP$1=Units!$Q111),IF(Units!$J111&lt;&gt;"",Units!$J111,Mkt!DP112),Inputs!$B$15*Mkt!DP112+(1-Inputs!$B$15)*MIN(Mkt!DP112,DO112*(1+Inputs!$B$18))),DO112)))</f>
        <v>2343.52465056709</v>
      </c>
      <c r="DQ112" s="11" t="n">
        <f aca="false">IF(DQ$1&lt;Units!$P111,0,IF(AND(Units!$K111=0,DQ$1=Units!$O111),Units!$R111,IF(AND(DQ$1&gt;=Units!$Q111,MOD(DQ$1-Units!$Q111,12)=0),IF(AND(Units!$L111=1,DQ$1=Units!$Q111),IF(Units!$J111&lt;&gt;"",Units!$J111,Mkt!DQ112),Inputs!$B$15*Mkt!DQ112+(1-Inputs!$B$15)*MIN(Mkt!DQ112,DP112*(1+Inputs!$B$18))),DP112)))</f>
        <v>2413.8303900841</v>
      </c>
      <c r="DR112" s="11" t="n">
        <f aca="false">IF(DR$1&lt;Units!$P111,0,IF(AND(Units!$K111=0,DR$1=Units!$O111),Units!$R111,IF(AND(DR$1&gt;=Units!$Q111,MOD(DR$1-Units!$Q111,12)=0),IF(AND(Units!$L111=1,DR$1=Units!$Q111),IF(Units!$J111&lt;&gt;"",Units!$J111,Mkt!DR112),Inputs!$B$15*Mkt!DR112+(1-Inputs!$B$15)*MIN(Mkt!DR112,DQ112*(1+Inputs!$B$18))),DQ112)))</f>
        <v>2413.8303900841</v>
      </c>
      <c r="DS112" s="11" t="n">
        <f aca="false">IF(DS$1&lt;Units!$P111,0,IF(AND(Units!$K111=0,DS$1=Units!$O111),Units!$R111,IF(AND(DS$1&gt;=Units!$Q111,MOD(DS$1-Units!$Q111,12)=0),IF(AND(Units!$L111=1,DS$1=Units!$Q111),IF(Units!$J111&lt;&gt;"",Units!$J111,Mkt!DS112),Inputs!$B$15*Mkt!DS112+(1-Inputs!$B$15)*MIN(Mkt!DS112,DR112*(1+Inputs!$B$18))),DR112)))</f>
        <v>2413.8303900841</v>
      </c>
      <c r="DT112" s="11" t="n">
        <f aca="false">IF(DT$1&lt;Units!$P111,0,IF(AND(Units!$K111=0,DT$1=Units!$O111),Units!$R111,IF(AND(DT$1&gt;=Units!$Q111,MOD(DT$1-Units!$Q111,12)=0),IF(AND(Units!$L111=1,DT$1=Units!$Q111),IF(Units!$J111&lt;&gt;"",Units!$J111,Mkt!DT112),Inputs!$B$15*Mkt!DT112+(1-Inputs!$B$15)*MIN(Mkt!DT112,DS112*(1+Inputs!$B$18))),DS112)))</f>
        <v>2413.8303900841</v>
      </c>
      <c r="DU112" s="11" t="n">
        <f aca="false">IF(DU$1&lt;Units!$P111,0,IF(AND(Units!$K111=0,DU$1=Units!$O111),Units!$R111,IF(AND(DU$1&gt;=Units!$Q111,MOD(DU$1-Units!$Q111,12)=0),IF(AND(Units!$L111=1,DU$1=Units!$Q111),IF(Units!$J111&lt;&gt;"",Units!$J111,Mkt!DU112),Inputs!$B$15*Mkt!DU112+(1-Inputs!$B$15)*MIN(Mkt!DU112,DT112*(1+Inputs!$B$18))),DT112)))</f>
        <v>2413.8303900841</v>
      </c>
      <c r="DV112" s="11" t="n">
        <f aca="false">IF(DV$1&lt;Units!$P111,0,IF(AND(Units!$K111=0,DV$1=Units!$O111),Units!$R111,IF(AND(DV$1&gt;=Units!$Q111,MOD(DV$1-Units!$Q111,12)=0),IF(AND(Units!$L111=1,DV$1=Units!$Q111),IF(Units!$J111&lt;&gt;"",Units!$J111,Mkt!DV112),Inputs!$B$15*Mkt!DV112+(1-Inputs!$B$15)*MIN(Mkt!DV112,DU112*(1+Inputs!$B$18))),DU112)))</f>
        <v>2413.8303900841</v>
      </c>
      <c r="DW112" s="11" t="n">
        <f aca="false">IF(DW$1&lt;Units!$P111,0,IF(AND(Units!$K111=0,DW$1=Units!$O111),Units!$R111,IF(AND(DW$1&gt;=Units!$Q111,MOD(DW$1-Units!$Q111,12)=0),IF(AND(Units!$L111=1,DW$1=Units!$Q111),IF(Units!$J111&lt;&gt;"",Units!$J111,Mkt!DW112),Inputs!$B$15*Mkt!DW112+(1-Inputs!$B$15)*MIN(Mkt!DW112,DV112*(1+Inputs!$B$18))),DV112)))</f>
        <v>2413.8303900841</v>
      </c>
      <c r="DX112" s="11" t="n">
        <f aca="false">IF(DX$1&lt;Units!$P111,0,IF(AND(Units!$K111=0,DX$1=Units!$O111),Units!$R111,IF(AND(DX$1&gt;=Units!$Q111,MOD(DX$1-Units!$Q111,12)=0),IF(AND(Units!$L111=1,DX$1=Units!$Q111),IF(Units!$J111&lt;&gt;"",Units!$J111,Mkt!DX112),Inputs!$B$15*Mkt!DX112+(1-Inputs!$B$15)*MIN(Mkt!DX112,DW112*(1+Inputs!$B$18))),DW112)))</f>
        <v>2413.8303900841</v>
      </c>
      <c r="DY112" s="11" t="n">
        <f aca="false">IF(DY$1&lt;Units!$P111,0,IF(AND(Units!$K111=0,DY$1=Units!$O111),Units!$R111,IF(AND(DY$1&gt;=Units!$Q111,MOD(DY$1-Units!$Q111,12)=0),IF(AND(Units!$L111=1,DY$1=Units!$Q111),IF(Units!$J111&lt;&gt;"",Units!$J111,Mkt!DY112),Inputs!$B$15*Mkt!DY112+(1-Inputs!$B$15)*MIN(Mkt!DY112,DX112*(1+Inputs!$B$18))),DX112)))</f>
        <v>2413.8303900841</v>
      </c>
      <c r="DZ112" s="11" t="n">
        <f aca="false">IF(DZ$1&lt;Units!$P111,0,IF(AND(Units!$K111=0,DZ$1=Units!$O111),Units!$R111,IF(AND(DZ$1&gt;=Units!$Q111,MOD(DZ$1-Units!$Q111,12)=0),IF(AND(Units!$L111=1,DZ$1=Units!$Q111),IF(Units!$J111&lt;&gt;"",Units!$J111,Mkt!DZ112),Inputs!$B$15*Mkt!DZ112+(1-Inputs!$B$15)*MIN(Mkt!DZ112,DY112*(1+Inputs!$B$18))),DY112)))</f>
        <v>2413.8303900841</v>
      </c>
      <c r="EA112" s="11" t="n">
        <f aca="false">IF(EA$1&lt;Units!$P111,0,IF(AND(Units!$K111=0,EA$1=Units!$O111),Units!$R111,IF(AND(EA$1&gt;=Units!$Q111,MOD(EA$1-Units!$Q111,12)=0),IF(AND(Units!$L111=1,EA$1=Units!$Q111),IF(Units!$J111&lt;&gt;"",Units!$J111,Mkt!EA112),Inputs!$B$15*Mkt!EA112+(1-Inputs!$B$15)*MIN(Mkt!EA112,DZ112*(1+Inputs!$B$18))),DZ112)))</f>
        <v>2413.8303900841</v>
      </c>
      <c r="EB112" s="11" t="n">
        <f aca="false">IF(EB$1&lt;Units!$P111,0,IF(AND(Units!$K111=0,EB$1=Units!$O111),Units!$R111,IF(AND(EB$1&gt;=Units!$Q111,MOD(EB$1-Units!$Q111,12)=0),IF(AND(Units!$L111=1,EB$1=Units!$Q111),IF(Units!$J111&lt;&gt;"",Units!$J111,Mkt!EB112),Inputs!$B$15*Mkt!EB112+(1-Inputs!$B$15)*MIN(Mkt!EB112,EA112*(1+Inputs!$B$18))),EA112)))</f>
        <v>2413.8303900841</v>
      </c>
      <c r="EC112" s="11" t="n">
        <f aca="false">IF(EC$1&lt;Units!$P111,0,IF(AND(Units!$K111=0,EC$1=Units!$O111),Units!$R111,IF(AND(EC$1&gt;=Units!$Q111,MOD(EC$1-Units!$Q111,12)=0),IF(AND(Units!$L111=1,EC$1=Units!$Q111),IF(Units!$J111&lt;&gt;"",Units!$J111,Mkt!EC112),Inputs!$B$15*Mkt!EC112+(1-Inputs!$B$15)*MIN(Mkt!EC112,EB112*(1+Inputs!$B$18))),EB112)))</f>
        <v>2486.24530178663</v>
      </c>
      <c r="ED112" s="11" t="n">
        <f aca="false">IF(ED$1&lt;Units!$P111,0,IF(AND(Units!$K111=0,ED$1=Units!$O111),Units!$R111,IF(AND(ED$1&gt;=Units!$Q111,MOD(ED$1-Units!$Q111,12)=0),IF(AND(Units!$L111=1,ED$1=Units!$Q111),IF(Units!$J111&lt;&gt;"",Units!$J111,Mkt!ED112),Inputs!$B$15*Mkt!ED112+(1-Inputs!$B$15)*MIN(Mkt!ED112,EC112*(1+Inputs!$B$18))),EC112)))</f>
        <v>2486.24530178663</v>
      </c>
    </row>
    <row r="113" customFormat="false" ht="15" hidden="false" customHeight="false" outlineLevel="0" collapsed="false">
      <c r="A113" s="22" t="n">
        <f aca="false">Units!A112</f>
        <v>421</v>
      </c>
      <c r="B113" s="24" t="n">
        <f aca="false">IF(Units!K112=1,Units!F112,0)</f>
        <v>1800</v>
      </c>
      <c r="C113" s="11" t="n">
        <f aca="false">IF(C$1&lt;Units!$P112,0,IF(AND(Units!$K112=0,C$1=Units!$O112),Units!$R112,IF(AND(C$1&gt;=Units!$Q112,MOD(C$1-Units!$Q112,12)=0),IF(AND(Units!$L112=1,C$1=Units!$Q112),IF(Units!$J112&lt;&gt;"",Units!$J112,Mkt!C113),Inputs!$B$15*Mkt!C113+(1-Inputs!$B$15)*MIN(Mkt!C113,B113*(1+Inputs!$B$18))),B113)))</f>
        <v>1800</v>
      </c>
      <c r="D113" s="11" t="n">
        <f aca="false">IF(D$1&lt;Units!$P112,0,IF(AND(Units!$K112=0,D$1=Units!$O112),Units!$R112,IF(AND(D$1&gt;=Units!$Q112,MOD(D$1-Units!$Q112,12)=0),IF(AND(Units!$L112=1,D$1=Units!$Q112),IF(Units!$J112&lt;&gt;"",Units!$J112,Mkt!D113),Inputs!$B$15*Mkt!D113+(1-Inputs!$B$15)*MIN(Mkt!D113,C113*(1+Inputs!$B$18))),C113)))</f>
        <v>1850</v>
      </c>
      <c r="E113" s="11" t="n">
        <f aca="false">IF(E$1&lt;Units!$P112,0,IF(AND(Units!$K112=0,E$1=Units!$O112),Units!$R112,IF(AND(E$1&gt;=Units!$Q112,MOD(E$1-Units!$Q112,12)=0),IF(AND(Units!$L112=1,E$1=Units!$Q112),IF(Units!$J112&lt;&gt;"",Units!$J112,Mkt!E113),Inputs!$B$15*Mkt!E113+(1-Inputs!$B$15)*MIN(Mkt!E113,D113*(1+Inputs!$B$18))),D113)))</f>
        <v>1850</v>
      </c>
      <c r="F113" s="11" t="n">
        <f aca="false">IF(F$1&lt;Units!$P112,0,IF(AND(Units!$K112=0,F$1=Units!$O112),Units!$R112,IF(AND(F$1&gt;=Units!$Q112,MOD(F$1-Units!$Q112,12)=0),IF(AND(Units!$L112=1,F$1=Units!$Q112),IF(Units!$J112&lt;&gt;"",Units!$J112,Mkt!F113),Inputs!$B$15*Mkt!F113+(1-Inputs!$B$15)*MIN(Mkt!F113,E113*(1+Inputs!$B$18))),E113)))</f>
        <v>1850</v>
      </c>
      <c r="G113" s="11" t="n">
        <f aca="false">IF(G$1&lt;Units!$P112,0,IF(AND(Units!$K112=0,G$1=Units!$O112),Units!$R112,IF(AND(G$1&gt;=Units!$Q112,MOD(G$1-Units!$Q112,12)=0),IF(AND(Units!$L112=1,G$1=Units!$Q112),IF(Units!$J112&lt;&gt;"",Units!$J112,Mkt!G113),Inputs!$B$15*Mkt!G113+(1-Inputs!$B$15)*MIN(Mkt!G113,F113*(1+Inputs!$B$18))),F113)))</f>
        <v>1850</v>
      </c>
      <c r="H113" s="11" t="n">
        <f aca="false">IF(H$1&lt;Units!$P112,0,IF(AND(Units!$K112=0,H$1=Units!$O112),Units!$R112,IF(AND(H$1&gt;=Units!$Q112,MOD(H$1-Units!$Q112,12)=0),IF(AND(Units!$L112=1,H$1=Units!$Q112),IF(Units!$J112&lt;&gt;"",Units!$J112,Mkt!H113),Inputs!$B$15*Mkt!H113+(1-Inputs!$B$15)*MIN(Mkt!H113,G113*(1+Inputs!$B$18))),G113)))</f>
        <v>1850</v>
      </c>
      <c r="I113" s="11" t="n">
        <f aca="false">IF(I$1&lt;Units!$P112,0,IF(AND(Units!$K112=0,I$1=Units!$O112),Units!$R112,IF(AND(I$1&gt;=Units!$Q112,MOD(I$1-Units!$Q112,12)=0),IF(AND(Units!$L112=1,I$1=Units!$Q112),IF(Units!$J112&lt;&gt;"",Units!$J112,Mkt!I113),Inputs!$B$15*Mkt!I113+(1-Inputs!$B$15)*MIN(Mkt!I113,H113*(1+Inputs!$B$18))),H113)))</f>
        <v>1850</v>
      </c>
      <c r="J113" s="11" t="n">
        <f aca="false">IF(J$1&lt;Units!$P112,0,IF(AND(Units!$K112=0,J$1=Units!$O112),Units!$R112,IF(AND(J$1&gt;=Units!$Q112,MOD(J$1-Units!$Q112,12)=0),IF(AND(Units!$L112=1,J$1=Units!$Q112),IF(Units!$J112&lt;&gt;"",Units!$J112,Mkt!J113),Inputs!$B$15*Mkt!J113+(1-Inputs!$B$15)*MIN(Mkt!J113,I113*(1+Inputs!$B$18))),I113)))</f>
        <v>1850</v>
      </c>
      <c r="K113" s="11" t="n">
        <f aca="false">IF(K$1&lt;Units!$P112,0,IF(AND(Units!$K112=0,K$1=Units!$O112),Units!$R112,IF(AND(K$1&gt;=Units!$Q112,MOD(K$1-Units!$Q112,12)=0),IF(AND(Units!$L112=1,K$1=Units!$Q112),IF(Units!$J112&lt;&gt;"",Units!$J112,Mkt!K113),Inputs!$B$15*Mkt!K113+(1-Inputs!$B$15)*MIN(Mkt!K113,J113*(1+Inputs!$B$18))),J113)))</f>
        <v>1850</v>
      </c>
      <c r="L113" s="11" t="n">
        <f aca="false">IF(L$1&lt;Units!$P112,0,IF(AND(Units!$K112=0,L$1=Units!$O112),Units!$R112,IF(AND(L$1&gt;=Units!$Q112,MOD(L$1-Units!$Q112,12)=0),IF(AND(Units!$L112=1,L$1=Units!$Q112),IF(Units!$J112&lt;&gt;"",Units!$J112,Mkt!L113),Inputs!$B$15*Mkt!L113+(1-Inputs!$B$15)*MIN(Mkt!L113,K113*(1+Inputs!$B$18))),K113)))</f>
        <v>1850</v>
      </c>
      <c r="M113" s="11" t="n">
        <f aca="false">IF(M$1&lt;Units!$P112,0,IF(AND(Units!$K112=0,M$1=Units!$O112),Units!$R112,IF(AND(M$1&gt;=Units!$Q112,MOD(M$1-Units!$Q112,12)=0),IF(AND(Units!$L112=1,M$1=Units!$Q112),IF(Units!$J112&lt;&gt;"",Units!$J112,Mkt!M113),Inputs!$B$15*Mkt!M113+(1-Inputs!$B$15)*MIN(Mkt!M113,L113*(1+Inputs!$B$18))),L113)))</f>
        <v>1850</v>
      </c>
      <c r="N113" s="11" t="n">
        <f aca="false">IF(N$1&lt;Units!$P112,0,IF(AND(Units!$K112=0,N$1=Units!$O112),Units!$R112,IF(AND(N$1&gt;=Units!$Q112,MOD(N$1-Units!$Q112,12)=0),IF(AND(Units!$L112=1,N$1=Units!$Q112),IF(Units!$J112&lt;&gt;"",Units!$J112,Mkt!N113),Inputs!$B$15*Mkt!N113+(1-Inputs!$B$15)*MIN(Mkt!N113,M113*(1+Inputs!$B$18))),M113)))</f>
        <v>1850</v>
      </c>
      <c r="O113" s="11" t="n">
        <f aca="false">IF(O$1&lt;Units!$P112,0,IF(AND(Units!$K112=0,O$1=Units!$O112),Units!$R112,IF(AND(O$1&gt;=Units!$Q112,MOD(O$1-Units!$Q112,12)=0),IF(AND(Units!$L112=1,O$1=Units!$Q112),IF(Units!$J112&lt;&gt;"",Units!$J112,Mkt!O113),Inputs!$B$15*Mkt!O113+(1-Inputs!$B$15)*MIN(Mkt!O113,N113*(1+Inputs!$B$18))),N113)))</f>
        <v>1850</v>
      </c>
      <c r="P113" s="11" t="n">
        <f aca="false">IF(P$1&lt;Units!$P112,0,IF(AND(Units!$K112=0,P$1=Units!$O112),Units!$R112,IF(AND(P$1&gt;=Units!$Q112,MOD(P$1-Units!$Q112,12)=0),IF(AND(Units!$L112=1,P$1=Units!$Q112),IF(Units!$J112&lt;&gt;"",Units!$J112,Mkt!P113),Inputs!$B$15*Mkt!P113+(1-Inputs!$B$15)*MIN(Mkt!P113,O113*(1+Inputs!$B$18))),O113)))</f>
        <v>1905.5</v>
      </c>
      <c r="Q113" s="11" t="n">
        <f aca="false">IF(Q$1&lt;Units!$P112,0,IF(AND(Units!$K112=0,Q$1=Units!$O112),Units!$R112,IF(AND(Q$1&gt;=Units!$Q112,MOD(Q$1-Units!$Q112,12)=0),IF(AND(Units!$L112=1,Q$1=Units!$Q112),IF(Units!$J112&lt;&gt;"",Units!$J112,Mkt!Q113),Inputs!$B$15*Mkt!Q113+(1-Inputs!$B$15)*MIN(Mkt!Q113,P113*(1+Inputs!$B$18))),P113)))</f>
        <v>1905.5</v>
      </c>
      <c r="R113" s="11" t="n">
        <f aca="false">IF(R$1&lt;Units!$P112,0,IF(AND(Units!$K112=0,R$1=Units!$O112),Units!$R112,IF(AND(R$1&gt;=Units!$Q112,MOD(R$1-Units!$Q112,12)=0),IF(AND(Units!$L112=1,R$1=Units!$Q112),IF(Units!$J112&lt;&gt;"",Units!$J112,Mkt!R113),Inputs!$B$15*Mkt!R113+(1-Inputs!$B$15)*MIN(Mkt!R113,Q113*(1+Inputs!$B$18))),Q113)))</f>
        <v>1905.5</v>
      </c>
      <c r="S113" s="11" t="n">
        <f aca="false">IF(S$1&lt;Units!$P112,0,IF(AND(Units!$K112=0,S$1=Units!$O112),Units!$R112,IF(AND(S$1&gt;=Units!$Q112,MOD(S$1-Units!$Q112,12)=0),IF(AND(Units!$L112=1,S$1=Units!$Q112),IF(Units!$J112&lt;&gt;"",Units!$J112,Mkt!S113),Inputs!$B$15*Mkt!S113+(1-Inputs!$B$15)*MIN(Mkt!S113,R113*(1+Inputs!$B$18))),R113)))</f>
        <v>1905.5</v>
      </c>
      <c r="T113" s="11" t="n">
        <f aca="false">IF(T$1&lt;Units!$P112,0,IF(AND(Units!$K112=0,T$1=Units!$O112),Units!$R112,IF(AND(T$1&gt;=Units!$Q112,MOD(T$1-Units!$Q112,12)=0),IF(AND(Units!$L112=1,T$1=Units!$Q112),IF(Units!$J112&lt;&gt;"",Units!$J112,Mkt!T113),Inputs!$B$15*Mkt!T113+(1-Inputs!$B$15)*MIN(Mkt!T113,S113*(1+Inputs!$B$18))),S113)))</f>
        <v>1905.5</v>
      </c>
      <c r="U113" s="11" t="n">
        <f aca="false">IF(U$1&lt;Units!$P112,0,IF(AND(Units!$K112=0,U$1=Units!$O112),Units!$R112,IF(AND(U$1&gt;=Units!$Q112,MOD(U$1-Units!$Q112,12)=0),IF(AND(Units!$L112=1,U$1=Units!$Q112),IF(Units!$J112&lt;&gt;"",Units!$J112,Mkt!U113),Inputs!$B$15*Mkt!U113+(1-Inputs!$B$15)*MIN(Mkt!U113,T113*(1+Inputs!$B$18))),T113)))</f>
        <v>1905.5</v>
      </c>
      <c r="V113" s="11" t="n">
        <f aca="false">IF(V$1&lt;Units!$P112,0,IF(AND(Units!$K112=0,V$1=Units!$O112),Units!$R112,IF(AND(V$1&gt;=Units!$Q112,MOD(V$1-Units!$Q112,12)=0),IF(AND(Units!$L112=1,V$1=Units!$Q112),IF(Units!$J112&lt;&gt;"",Units!$J112,Mkt!V113),Inputs!$B$15*Mkt!V113+(1-Inputs!$B$15)*MIN(Mkt!V113,U113*(1+Inputs!$B$18))),U113)))</f>
        <v>1905.5</v>
      </c>
      <c r="W113" s="11" t="n">
        <f aca="false">IF(W$1&lt;Units!$P112,0,IF(AND(Units!$K112=0,W$1=Units!$O112),Units!$R112,IF(AND(W$1&gt;=Units!$Q112,MOD(W$1-Units!$Q112,12)=0),IF(AND(Units!$L112=1,W$1=Units!$Q112),IF(Units!$J112&lt;&gt;"",Units!$J112,Mkt!W113),Inputs!$B$15*Mkt!W113+(1-Inputs!$B$15)*MIN(Mkt!W113,V113*(1+Inputs!$B$18))),V113)))</f>
        <v>1905.5</v>
      </c>
      <c r="X113" s="11" t="n">
        <f aca="false">IF(X$1&lt;Units!$P112,0,IF(AND(Units!$K112=0,X$1=Units!$O112),Units!$R112,IF(AND(X$1&gt;=Units!$Q112,MOD(X$1-Units!$Q112,12)=0),IF(AND(Units!$L112=1,X$1=Units!$Q112),IF(Units!$J112&lt;&gt;"",Units!$J112,Mkt!X113),Inputs!$B$15*Mkt!X113+(1-Inputs!$B$15)*MIN(Mkt!X113,W113*(1+Inputs!$B$18))),W113)))</f>
        <v>1905.5</v>
      </c>
      <c r="Y113" s="11" t="n">
        <f aca="false">IF(Y$1&lt;Units!$P112,0,IF(AND(Units!$K112=0,Y$1=Units!$O112),Units!$R112,IF(AND(Y$1&gt;=Units!$Q112,MOD(Y$1-Units!$Q112,12)=0),IF(AND(Units!$L112=1,Y$1=Units!$Q112),IF(Units!$J112&lt;&gt;"",Units!$J112,Mkt!Y113),Inputs!$B$15*Mkt!Y113+(1-Inputs!$B$15)*MIN(Mkt!Y113,X113*(1+Inputs!$B$18))),X113)))</f>
        <v>1905.5</v>
      </c>
      <c r="Z113" s="11" t="n">
        <f aca="false">IF(Z$1&lt;Units!$P112,0,IF(AND(Units!$K112=0,Z$1=Units!$O112),Units!$R112,IF(AND(Z$1&gt;=Units!$Q112,MOD(Z$1-Units!$Q112,12)=0),IF(AND(Units!$L112=1,Z$1=Units!$Q112),IF(Units!$J112&lt;&gt;"",Units!$J112,Mkt!Z113),Inputs!$B$15*Mkt!Z113+(1-Inputs!$B$15)*MIN(Mkt!Z113,Y113*(1+Inputs!$B$18))),Y113)))</f>
        <v>1905.5</v>
      </c>
      <c r="AA113" s="11" t="n">
        <f aca="false">IF(AA$1&lt;Units!$P112,0,IF(AND(Units!$K112=0,AA$1=Units!$O112),Units!$R112,IF(AND(AA$1&gt;=Units!$Q112,MOD(AA$1-Units!$Q112,12)=0),IF(AND(Units!$L112=1,AA$1=Units!$Q112),IF(Units!$J112&lt;&gt;"",Units!$J112,Mkt!AA113),Inputs!$B$15*Mkt!AA113+(1-Inputs!$B$15)*MIN(Mkt!AA113,Z113*(1+Inputs!$B$18))),Z113)))</f>
        <v>1905.5</v>
      </c>
      <c r="AB113" s="11" t="n">
        <f aca="false">IF(AB$1&lt;Units!$P112,0,IF(AND(Units!$K112=0,AB$1=Units!$O112),Units!$R112,IF(AND(AB$1&gt;=Units!$Q112,MOD(AB$1-Units!$Q112,12)=0),IF(AND(Units!$L112=1,AB$1=Units!$Q112),IF(Units!$J112&lt;&gt;"",Units!$J112,Mkt!AB113),Inputs!$B$15*Mkt!AB113+(1-Inputs!$B$15)*MIN(Mkt!AB113,AA113*(1+Inputs!$B$18))),AA113)))</f>
        <v>1962.665</v>
      </c>
      <c r="AC113" s="11" t="n">
        <f aca="false">IF(AC$1&lt;Units!$P112,0,IF(AND(Units!$K112=0,AC$1=Units!$O112),Units!$R112,IF(AND(AC$1&gt;=Units!$Q112,MOD(AC$1-Units!$Q112,12)=0),IF(AND(Units!$L112=1,AC$1=Units!$Q112),IF(Units!$J112&lt;&gt;"",Units!$J112,Mkt!AC113),Inputs!$B$15*Mkt!AC113+(1-Inputs!$B$15)*MIN(Mkt!AC113,AB113*(1+Inputs!$B$18))),AB113)))</f>
        <v>1962.665</v>
      </c>
      <c r="AD113" s="11" t="n">
        <f aca="false">IF(AD$1&lt;Units!$P112,0,IF(AND(Units!$K112=0,AD$1=Units!$O112),Units!$R112,IF(AND(AD$1&gt;=Units!$Q112,MOD(AD$1-Units!$Q112,12)=0),IF(AND(Units!$L112=1,AD$1=Units!$Q112),IF(Units!$J112&lt;&gt;"",Units!$J112,Mkt!AD113),Inputs!$B$15*Mkt!AD113+(1-Inputs!$B$15)*MIN(Mkt!AD113,AC113*(1+Inputs!$B$18))),AC113)))</f>
        <v>1962.665</v>
      </c>
      <c r="AE113" s="11" t="n">
        <f aca="false">IF(AE$1&lt;Units!$P112,0,IF(AND(Units!$K112=0,AE$1=Units!$O112),Units!$R112,IF(AND(AE$1&gt;=Units!$Q112,MOD(AE$1-Units!$Q112,12)=0),IF(AND(Units!$L112=1,AE$1=Units!$Q112),IF(Units!$J112&lt;&gt;"",Units!$J112,Mkt!AE113),Inputs!$B$15*Mkt!AE113+(1-Inputs!$B$15)*MIN(Mkt!AE113,AD113*(1+Inputs!$B$18))),AD113)))</f>
        <v>1962.665</v>
      </c>
      <c r="AF113" s="11" t="n">
        <f aca="false">IF(AF$1&lt;Units!$P112,0,IF(AND(Units!$K112=0,AF$1=Units!$O112),Units!$R112,IF(AND(AF$1&gt;=Units!$Q112,MOD(AF$1-Units!$Q112,12)=0),IF(AND(Units!$L112=1,AF$1=Units!$Q112),IF(Units!$J112&lt;&gt;"",Units!$J112,Mkt!AF113),Inputs!$B$15*Mkt!AF113+(1-Inputs!$B$15)*MIN(Mkt!AF113,AE113*(1+Inputs!$B$18))),AE113)))</f>
        <v>1962.665</v>
      </c>
      <c r="AG113" s="11" t="n">
        <f aca="false">IF(AG$1&lt;Units!$P112,0,IF(AND(Units!$K112=0,AG$1=Units!$O112),Units!$R112,IF(AND(AG$1&gt;=Units!$Q112,MOD(AG$1-Units!$Q112,12)=0),IF(AND(Units!$L112=1,AG$1=Units!$Q112),IF(Units!$J112&lt;&gt;"",Units!$J112,Mkt!AG113),Inputs!$B$15*Mkt!AG113+(1-Inputs!$B$15)*MIN(Mkt!AG113,AF113*(1+Inputs!$B$18))),AF113)))</f>
        <v>1962.665</v>
      </c>
      <c r="AH113" s="11" t="n">
        <f aca="false">IF(AH$1&lt;Units!$P112,0,IF(AND(Units!$K112=0,AH$1=Units!$O112),Units!$R112,IF(AND(AH$1&gt;=Units!$Q112,MOD(AH$1-Units!$Q112,12)=0),IF(AND(Units!$L112=1,AH$1=Units!$Q112),IF(Units!$J112&lt;&gt;"",Units!$J112,Mkt!AH113),Inputs!$B$15*Mkt!AH113+(1-Inputs!$B$15)*MIN(Mkt!AH113,AG113*(1+Inputs!$B$18))),AG113)))</f>
        <v>1962.665</v>
      </c>
      <c r="AI113" s="11" t="n">
        <f aca="false">IF(AI$1&lt;Units!$P112,0,IF(AND(Units!$K112=0,AI$1=Units!$O112),Units!$R112,IF(AND(AI$1&gt;=Units!$Q112,MOD(AI$1-Units!$Q112,12)=0),IF(AND(Units!$L112=1,AI$1=Units!$Q112),IF(Units!$J112&lt;&gt;"",Units!$J112,Mkt!AI113),Inputs!$B$15*Mkt!AI113+(1-Inputs!$B$15)*MIN(Mkt!AI113,AH113*(1+Inputs!$B$18))),AH113)))</f>
        <v>1962.665</v>
      </c>
      <c r="AJ113" s="11" t="n">
        <f aca="false">IF(AJ$1&lt;Units!$P112,0,IF(AND(Units!$K112=0,AJ$1=Units!$O112),Units!$R112,IF(AND(AJ$1&gt;=Units!$Q112,MOD(AJ$1-Units!$Q112,12)=0),IF(AND(Units!$L112=1,AJ$1=Units!$Q112),IF(Units!$J112&lt;&gt;"",Units!$J112,Mkt!AJ113),Inputs!$B$15*Mkt!AJ113+(1-Inputs!$B$15)*MIN(Mkt!AJ113,AI113*(1+Inputs!$B$18))),AI113)))</f>
        <v>1962.665</v>
      </c>
      <c r="AK113" s="11" t="n">
        <f aca="false">IF(AK$1&lt;Units!$P112,0,IF(AND(Units!$K112=0,AK$1=Units!$O112),Units!$R112,IF(AND(AK$1&gt;=Units!$Q112,MOD(AK$1-Units!$Q112,12)=0),IF(AND(Units!$L112=1,AK$1=Units!$Q112),IF(Units!$J112&lt;&gt;"",Units!$J112,Mkt!AK113),Inputs!$B$15*Mkt!AK113+(1-Inputs!$B$15)*MIN(Mkt!AK113,AJ113*(1+Inputs!$B$18))),AJ113)))</f>
        <v>1962.665</v>
      </c>
      <c r="AL113" s="11" t="n">
        <f aca="false">IF(AL$1&lt;Units!$P112,0,IF(AND(Units!$K112=0,AL$1=Units!$O112),Units!$R112,IF(AND(AL$1&gt;=Units!$Q112,MOD(AL$1-Units!$Q112,12)=0),IF(AND(Units!$L112=1,AL$1=Units!$Q112),IF(Units!$J112&lt;&gt;"",Units!$J112,Mkt!AL113),Inputs!$B$15*Mkt!AL113+(1-Inputs!$B$15)*MIN(Mkt!AL113,AK113*(1+Inputs!$B$18))),AK113)))</f>
        <v>1962.665</v>
      </c>
      <c r="AM113" s="11" t="n">
        <f aca="false">IF(AM$1&lt;Units!$P112,0,IF(AND(Units!$K112=0,AM$1=Units!$O112),Units!$R112,IF(AND(AM$1&gt;=Units!$Q112,MOD(AM$1-Units!$Q112,12)=0),IF(AND(Units!$L112=1,AM$1=Units!$Q112),IF(Units!$J112&lt;&gt;"",Units!$J112,Mkt!AM113),Inputs!$B$15*Mkt!AM113+(1-Inputs!$B$15)*MIN(Mkt!AM113,AL113*(1+Inputs!$B$18))),AL113)))</f>
        <v>1962.665</v>
      </c>
      <c r="AN113" s="11" t="n">
        <f aca="false">IF(AN$1&lt;Units!$P112,0,IF(AND(Units!$K112=0,AN$1=Units!$O112),Units!$R112,IF(AND(AN$1&gt;=Units!$Q112,MOD(AN$1-Units!$Q112,12)=0),IF(AND(Units!$L112=1,AN$1=Units!$Q112),IF(Units!$J112&lt;&gt;"",Units!$J112,Mkt!AN113),Inputs!$B$15*Mkt!AN113+(1-Inputs!$B$15)*MIN(Mkt!AN113,AM113*(1+Inputs!$B$18))),AM113)))</f>
        <v>2021.54495</v>
      </c>
      <c r="AO113" s="11" t="n">
        <f aca="false">IF(AO$1&lt;Units!$P112,0,IF(AND(Units!$K112=0,AO$1=Units!$O112),Units!$R112,IF(AND(AO$1&gt;=Units!$Q112,MOD(AO$1-Units!$Q112,12)=0),IF(AND(Units!$L112=1,AO$1=Units!$Q112),IF(Units!$J112&lt;&gt;"",Units!$J112,Mkt!AO113),Inputs!$B$15*Mkt!AO113+(1-Inputs!$B$15)*MIN(Mkt!AO113,AN113*(1+Inputs!$B$18))),AN113)))</f>
        <v>2021.54495</v>
      </c>
      <c r="AP113" s="11" t="n">
        <f aca="false">IF(AP$1&lt;Units!$P112,0,IF(AND(Units!$K112=0,AP$1=Units!$O112),Units!$R112,IF(AND(AP$1&gt;=Units!$Q112,MOD(AP$1-Units!$Q112,12)=0),IF(AND(Units!$L112=1,AP$1=Units!$Q112),IF(Units!$J112&lt;&gt;"",Units!$J112,Mkt!AP113),Inputs!$B$15*Mkt!AP113+(1-Inputs!$B$15)*MIN(Mkt!AP113,AO113*(1+Inputs!$B$18))),AO113)))</f>
        <v>2021.54495</v>
      </c>
      <c r="AQ113" s="11" t="n">
        <f aca="false">IF(AQ$1&lt;Units!$P112,0,IF(AND(Units!$K112=0,AQ$1=Units!$O112),Units!$R112,IF(AND(AQ$1&gt;=Units!$Q112,MOD(AQ$1-Units!$Q112,12)=0),IF(AND(Units!$L112=1,AQ$1=Units!$Q112),IF(Units!$J112&lt;&gt;"",Units!$J112,Mkt!AQ113),Inputs!$B$15*Mkt!AQ113+(1-Inputs!$B$15)*MIN(Mkt!AQ113,AP113*(1+Inputs!$B$18))),AP113)))</f>
        <v>2021.54495</v>
      </c>
      <c r="AR113" s="11" t="n">
        <f aca="false">IF(AR$1&lt;Units!$P112,0,IF(AND(Units!$K112=0,AR$1=Units!$O112),Units!$R112,IF(AND(AR$1&gt;=Units!$Q112,MOD(AR$1-Units!$Q112,12)=0),IF(AND(Units!$L112=1,AR$1=Units!$Q112),IF(Units!$J112&lt;&gt;"",Units!$J112,Mkt!AR113),Inputs!$B$15*Mkt!AR113+(1-Inputs!$B$15)*MIN(Mkt!AR113,AQ113*(1+Inputs!$B$18))),AQ113)))</f>
        <v>2021.54495</v>
      </c>
      <c r="AS113" s="11" t="n">
        <f aca="false">IF(AS$1&lt;Units!$P112,0,IF(AND(Units!$K112=0,AS$1=Units!$O112),Units!$R112,IF(AND(AS$1&gt;=Units!$Q112,MOD(AS$1-Units!$Q112,12)=0),IF(AND(Units!$L112=1,AS$1=Units!$Q112),IF(Units!$J112&lt;&gt;"",Units!$J112,Mkt!AS113),Inputs!$B$15*Mkt!AS113+(1-Inputs!$B$15)*MIN(Mkt!AS113,AR113*(1+Inputs!$B$18))),AR113)))</f>
        <v>2021.54495</v>
      </c>
      <c r="AT113" s="11" t="n">
        <f aca="false">IF(AT$1&lt;Units!$P112,0,IF(AND(Units!$K112=0,AT$1=Units!$O112),Units!$R112,IF(AND(AT$1&gt;=Units!$Q112,MOD(AT$1-Units!$Q112,12)=0),IF(AND(Units!$L112=1,AT$1=Units!$Q112),IF(Units!$J112&lt;&gt;"",Units!$J112,Mkt!AT113),Inputs!$B$15*Mkt!AT113+(1-Inputs!$B$15)*MIN(Mkt!AT113,AS113*(1+Inputs!$B$18))),AS113)))</f>
        <v>2021.54495</v>
      </c>
      <c r="AU113" s="11" t="n">
        <f aca="false">IF(AU$1&lt;Units!$P112,0,IF(AND(Units!$K112=0,AU$1=Units!$O112),Units!$R112,IF(AND(AU$1&gt;=Units!$Q112,MOD(AU$1-Units!$Q112,12)=0),IF(AND(Units!$L112=1,AU$1=Units!$Q112),IF(Units!$J112&lt;&gt;"",Units!$J112,Mkt!AU113),Inputs!$B$15*Mkt!AU113+(1-Inputs!$B$15)*MIN(Mkt!AU113,AT113*(1+Inputs!$B$18))),AT113)))</f>
        <v>2021.54495</v>
      </c>
      <c r="AV113" s="11" t="n">
        <f aca="false">IF(AV$1&lt;Units!$P112,0,IF(AND(Units!$K112=0,AV$1=Units!$O112),Units!$R112,IF(AND(AV$1&gt;=Units!$Q112,MOD(AV$1-Units!$Q112,12)=0),IF(AND(Units!$L112=1,AV$1=Units!$Q112),IF(Units!$J112&lt;&gt;"",Units!$J112,Mkt!AV113),Inputs!$B$15*Mkt!AV113+(1-Inputs!$B$15)*MIN(Mkt!AV113,AU113*(1+Inputs!$B$18))),AU113)))</f>
        <v>2021.54495</v>
      </c>
      <c r="AW113" s="11" t="n">
        <f aca="false">IF(AW$1&lt;Units!$P112,0,IF(AND(Units!$K112=0,AW$1=Units!$O112),Units!$R112,IF(AND(AW$1&gt;=Units!$Q112,MOD(AW$1-Units!$Q112,12)=0),IF(AND(Units!$L112=1,AW$1=Units!$Q112),IF(Units!$J112&lt;&gt;"",Units!$J112,Mkt!AW113),Inputs!$B$15*Mkt!AW113+(1-Inputs!$B$15)*MIN(Mkt!AW113,AV113*(1+Inputs!$B$18))),AV113)))</f>
        <v>2021.54495</v>
      </c>
      <c r="AX113" s="11" t="n">
        <f aca="false">IF(AX$1&lt;Units!$P112,0,IF(AND(Units!$K112=0,AX$1=Units!$O112),Units!$R112,IF(AND(AX$1&gt;=Units!$Q112,MOD(AX$1-Units!$Q112,12)=0),IF(AND(Units!$L112=1,AX$1=Units!$Q112),IF(Units!$J112&lt;&gt;"",Units!$J112,Mkt!AX113),Inputs!$B$15*Mkt!AX113+(1-Inputs!$B$15)*MIN(Mkt!AX113,AW113*(1+Inputs!$B$18))),AW113)))</f>
        <v>2021.54495</v>
      </c>
      <c r="AY113" s="11" t="n">
        <f aca="false">IF(AY$1&lt;Units!$P112,0,IF(AND(Units!$K112=0,AY$1=Units!$O112),Units!$R112,IF(AND(AY$1&gt;=Units!$Q112,MOD(AY$1-Units!$Q112,12)=0),IF(AND(Units!$L112=1,AY$1=Units!$Q112),IF(Units!$J112&lt;&gt;"",Units!$J112,Mkt!AY113),Inputs!$B$15*Mkt!AY113+(1-Inputs!$B$15)*MIN(Mkt!AY113,AX113*(1+Inputs!$B$18))),AX113)))</f>
        <v>2021.54495</v>
      </c>
      <c r="AZ113" s="11" t="n">
        <f aca="false">IF(AZ$1&lt;Units!$P112,0,IF(AND(Units!$K112=0,AZ$1=Units!$O112),Units!$R112,IF(AND(AZ$1&gt;=Units!$Q112,MOD(AZ$1-Units!$Q112,12)=0),IF(AND(Units!$L112=1,AZ$1=Units!$Q112),IF(Units!$J112&lt;&gt;"",Units!$J112,Mkt!AZ113),Inputs!$B$15*Mkt!AZ113+(1-Inputs!$B$15)*MIN(Mkt!AZ113,AY113*(1+Inputs!$B$18))),AY113)))</f>
        <v>2082.1912985</v>
      </c>
      <c r="BA113" s="11" t="n">
        <f aca="false">IF(BA$1&lt;Units!$P112,0,IF(AND(Units!$K112=0,BA$1=Units!$O112),Units!$R112,IF(AND(BA$1&gt;=Units!$Q112,MOD(BA$1-Units!$Q112,12)=0),IF(AND(Units!$L112=1,BA$1=Units!$Q112),IF(Units!$J112&lt;&gt;"",Units!$J112,Mkt!BA113),Inputs!$B$15*Mkt!BA113+(1-Inputs!$B$15)*MIN(Mkt!BA113,AZ113*(1+Inputs!$B$18))),AZ113)))</f>
        <v>2082.1912985</v>
      </c>
      <c r="BB113" s="11" t="n">
        <f aca="false">IF(BB$1&lt;Units!$P112,0,IF(AND(Units!$K112=0,BB$1=Units!$O112),Units!$R112,IF(AND(BB$1&gt;=Units!$Q112,MOD(BB$1-Units!$Q112,12)=0),IF(AND(Units!$L112=1,BB$1=Units!$Q112),IF(Units!$J112&lt;&gt;"",Units!$J112,Mkt!BB113),Inputs!$B$15*Mkt!BB113+(1-Inputs!$B$15)*MIN(Mkt!BB113,BA113*(1+Inputs!$B$18))),BA113)))</f>
        <v>2082.1912985</v>
      </c>
      <c r="BC113" s="11" t="n">
        <f aca="false">IF(BC$1&lt;Units!$P112,0,IF(AND(Units!$K112=0,BC$1=Units!$O112),Units!$R112,IF(AND(BC$1&gt;=Units!$Q112,MOD(BC$1-Units!$Q112,12)=0),IF(AND(Units!$L112=1,BC$1=Units!$Q112),IF(Units!$J112&lt;&gt;"",Units!$J112,Mkt!BC113),Inputs!$B$15*Mkt!BC113+(1-Inputs!$B$15)*MIN(Mkt!BC113,BB113*(1+Inputs!$B$18))),BB113)))</f>
        <v>2082.1912985</v>
      </c>
      <c r="BD113" s="11" t="n">
        <f aca="false">IF(BD$1&lt;Units!$P112,0,IF(AND(Units!$K112=0,BD$1=Units!$O112),Units!$R112,IF(AND(BD$1&gt;=Units!$Q112,MOD(BD$1-Units!$Q112,12)=0),IF(AND(Units!$L112=1,BD$1=Units!$Q112),IF(Units!$J112&lt;&gt;"",Units!$J112,Mkt!BD113),Inputs!$B$15*Mkt!BD113+(1-Inputs!$B$15)*MIN(Mkt!BD113,BC113*(1+Inputs!$B$18))),BC113)))</f>
        <v>2082.1912985</v>
      </c>
      <c r="BE113" s="11" t="n">
        <f aca="false">IF(BE$1&lt;Units!$P112,0,IF(AND(Units!$K112=0,BE$1=Units!$O112),Units!$R112,IF(AND(BE$1&gt;=Units!$Q112,MOD(BE$1-Units!$Q112,12)=0),IF(AND(Units!$L112=1,BE$1=Units!$Q112),IF(Units!$J112&lt;&gt;"",Units!$J112,Mkt!BE113),Inputs!$B$15*Mkt!BE113+(1-Inputs!$B$15)*MIN(Mkt!BE113,BD113*(1+Inputs!$B$18))),BD113)))</f>
        <v>2082.1912985</v>
      </c>
      <c r="BF113" s="11" t="n">
        <f aca="false">IF(BF$1&lt;Units!$P112,0,IF(AND(Units!$K112=0,BF$1=Units!$O112),Units!$R112,IF(AND(BF$1&gt;=Units!$Q112,MOD(BF$1-Units!$Q112,12)=0),IF(AND(Units!$L112=1,BF$1=Units!$Q112),IF(Units!$J112&lt;&gt;"",Units!$J112,Mkt!BF113),Inputs!$B$15*Mkt!BF113+(1-Inputs!$B$15)*MIN(Mkt!BF113,BE113*(1+Inputs!$B$18))),BE113)))</f>
        <v>2082.1912985</v>
      </c>
      <c r="BG113" s="11" t="n">
        <f aca="false">IF(BG$1&lt;Units!$P112,0,IF(AND(Units!$K112=0,BG$1=Units!$O112),Units!$R112,IF(AND(BG$1&gt;=Units!$Q112,MOD(BG$1-Units!$Q112,12)=0),IF(AND(Units!$L112=1,BG$1=Units!$Q112),IF(Units!$J112&lt;&gt;"",Units!$J112,Mkt!BG113),Inputs!$B$15*Mkt!BG113+(1-Inputs!$B$15)*MIN(Mkt!BG113,BF113*(1+Inputs!$B$18))),BF113)))</f>
        <v>2082.1912985</v>
      </c>
      <c r="BH113" s="11" t="n">
        <f aca="false">IF(BH$1&lt;Units!$P112,0,IF(AND(Units!$K112=0,BH$1=Units!$O112),Units!$R112,IF(AND(BH$1&gt;=Units!$Q112,MOD(BH$1-Units!$Q112,12)=0),IF(AND(Units!$L112=1,BH$1=Units!$Q112),IF(Units!$J112&lt;&gt;"",Units!$J112,Mkt!BH113),Inputs!$B$15*Mkt!BH113+(1-Inputs!$B$15)*MIN(Mkt!BH113,BG113*(1+Inputs!$B$18))),BG113)))</f>
        <v>2082.1912985</v>
      </c>
      <c r="BI113" s="11" t="n">
        <f aca="false">IF(BI$1&lt;Units!$P112,0,IF(AND(Units!$K112=0,BI$1=Units!$O112),Units!$R112,IF(AND(BI$1&gt;=Units!$Q112,MOD(BI$1-Units!$Q112,12)=0),IF(AND(Units!$L112=1,BI$1=Units!$Q112),IF(Units!$J112&lt;&gt;"",Units!$J112,Mkt!BI113),Inputs!$B$15*Mkt!BI113+(1-Inputs!$B$15)*MIN(Mkt!BI113,BH113*(1+Inputs!$B$18))),BH113)))</f>
        <v>2082.1912985</v>
      </c>
      <c r="BJ113" s="11" t="n">
        <f aca="false">IF(BJ$1&lt;Units!$P112,0,IF(AND(Units!$K112=0,BJ$1=Units!$O112),Units!$R112,IF(AND(BJ$1&gt;=Units!$Q112,MOD(BJ$1-Units!$Q112,12)=0),IF(AND(Units!$L112=1,BJ$1=Units!$Q112),IF(Units!$J112&lt;&gt;"",Units!$J112,Mkt!BJ113),Inputs!$B$15*Mkt!BJ113+(1-Inputs!$B$15)*MIN(Mkt!BJ113,BI113*(1+Inputs!$B$18))),BI113)))</f>
        <v>2082.1912985</v>
      </c>
      <c r="BK113" s="11" t="n">
        <f aca="false">IF(BK$1&lt;Units!$P112,0,IF(AND(Units!$K112=0,BK$1=Units!$O112),Units!$R112,IF(AND(BK$1&gt;=Units!$Q112,MOD(BK$1-Units!$Q112,12)=0),IF(AND(Units!$L112=1,BK$1=Units!$Q112),IF(Units!$J112&lt;&gt;"",Units!$J112,Mkt!BK113),Inputs!$B$15*Mkt!BK113+(1-Inputs!$B$15)*MIN(Mkt!BK113,BJ113*(1+Inputs!$B$18))),BJ113)))</f>
        <v>2082.1912985</v>
      </c>
      <c r="BL113" s="11" t="n">
        <f aca="false">IF(BL$1&lt;Units!$P112,0,IF(AND(Units!$K112=0,BL$1=Units!$O112),Units!$R112,IF(AND(BL$1&gt;=Units!$Q112,MOD(BL$1-Units!$Q112,12)=0),IF(AND(Units!$L112=1,BL$1=Units!$Q112),IF(Units!$J112&lt;&gt;"",Units!$J112,Mkt!BL113),Inputs!$B$15*Mkt!BL113+(1-Inputs!$B$15)*MIN(Mkt!BL113,BK113*(1+Inputs!$B$18))),BK113)))</f>
        <v>2144.657037455</v>
      </c>
      <c r="BM113" s="11" t="n">
        <f aca="false">IF(BM$1&lt;Units!$P112,0,IF(AND(Units!$K112=0,BM$1=Units!$O112),Units!$R112,IF(AND(BM$1&gt;=Units!$Q112,MOD(BM$1-Units!$Q112,12)=0),IF(AND(Units!$L112=1,BM$1=Units!$Q112),IF(Units!$J112&lt;&gt;"",Units!$J112,Mkt!BM113),Inputs!$B$15*Mkt!BM113+(1-Inputs!$B$15)*MIN(Mkt!BM113,BL113*(1+Inputs!$B$18))),BL113)))</f>
        <v>2144.657037455</v>
      </c>
      <c r="BN113" s="11" t="n">
        <f aca="false">IF(BN$1&lt;Units!$P112,0,IF(AND(Units!$K112=0,BN$1=Units!$O112),Units!$R112,IF(AND(BN$1&gt;=Units!$Q112,MOD(BN$1-Units!$Q112,12)=0),IF(AND(Units!$L112=1,BN$1=Units!$Q112),IF(Units!$J112&lt;&gt;"",Units!$J112,Mkt!BN113),Inputs!$B$15*Mkt!BN113+(1-Inputs!$B$15)*MIN(Mkt!BN113,BM113*(1+Inputs!$B$18))),BM113)))</f>
        <v>2144.657037455</v>
      </c>
      <c r="BO113" s="11" t="n">
        <f aca="false">IF(BO$1&lt;Units!$P112,0,IF(AND(Units!$K112=0,BO$1=Units!$O112),Units!$R112,IF(AND(BO$1&gt;=Units!$Q112,MOD(BO$1-Units!$Q112,12)=0),IF(AND(Units!$L112=1,BO$1=Units!$Q112),IF(Units!$J112&lt;&gt;"",Units!$J112,Mkt!BO113),Inputs!$B$15*Mkt!BO113+(1-Inputs!$B$15)*MIN(Mkt!BO113,BN113*(1+Inputs!$B$18))),BN113)))</f>
        <v>2144.657037455</v>
      </c>
      <c r="BP113" s="11" t="n">
        <f aca="false">IF(BP$1&lt;Units!$P112,0,IF(AND(Units!$K112=0,BP$1=Units!$O112),Units!$R112,IF(AND(BP$1&gt;=Units!$Q112,MOD(BP$1-Units!$Q112,12)=0),IF(AND(Units!$L112=1,BP$1=Units!$Q112),IF(Units!$J112&lt;&gt;"",Units!$J112,Mkt!BP113),Inputs!$B$15*Mkt!BP113+(1-Inputs!$B$15)*MIN(Mkt!BP113,BO113*(1+Inputs!$B$18))),BO113)))</f>
        <v>2144.657037455</v>
      </c>
      <c r="BQ113" s="11" t="n">
        <f aca="false">IF(BQ$1&lt;Units!$P112,0,IF(AND(Units!$K112=0,BQ$1=Units!$O112),Units!$R112,IF(AND(BQ$1&gt;=Units!$Q112,MOD(BQ$1-Units!$Q112,12)=0),IF(AND(Units!$L112=1,BQ$1=Units!$Q112),IF(Units!$J112&lt;&gt;"",Units!$J112,Mkt!BQ113),Inputs!$B$15*Mkt!BQ113+(1-Inputs!$B$15)*MIN(Mkt!BQ113,BP113*(1+Inputs!$B$18))),BP113)))</f>
        <v>2144.657037455</v>
      </c>
      <c r="BR113" s="11" t="n">
        <f aca="false">IF(BR$1&lt;Units!$P112,0,IF(AND(Units!$K112=0,BR$1=Units!$O112),Units!$R112,IF(AND(BR$1&gt;=Units!$Q112,MOD(BR$1-Units!$Q112,12)=0),IF(AND(Units!$L112=1,BR$1=Units!$Q112),IF(Units!$J112&lt;&gt;"",Units!$J112,Mkt!BR113),Inputs!$B$15*Mkt!BR113+(1-Inputs!$B$15)*MIN(Mkt!BR113,BQ113*(1+Inputs!$B$18))),BQ113)))</f>
        <v>2144.657037455</v>
      </c>
      <c r="BS113" s="11" t="n">
        <f aca="false">IF(BS$1&lt;Units!$P112,0,IF(AND(Units!$K112=0,BS$1=Units!$O112),Units!$R112,IF(AND(BS$1&gt;=Units!$Q112,MOD(BS$1-Units!$Q112,12)=0),IF(AND(Units!$L112=1,BS$1=Units!$Q112),IF(Units!$J112&lt;&gt;"",Units!$J112,Mkt!BS113),Inputs!$B$15*Mkt!BS113+(1-Inputs!$B$15)*MIN(Mkt!BS113,BR113*(1+Inputs!$B$18))),BR113)))</f>
        <v>2144.657037455</v>
      </c>
      <c r="BT113" s="11" t="n">
        <f aca="false">IF(BT$1&lt;Units!$P112,0,IF(AND(Units!$K112=0,BT$1=Units!$O112),Units!$R112,IF(AND(BT$1&gt;=Units!$Q112,MOD(BT$1-Units!$Q112,12)=0),IF(AND(Units!$L112=1,BT$1=Units!$Q112),IF(Units!$J112&lt;&gt;"",Units!$J112,Mkt!BT113),Inputs!$B$15*Mkt!BT113+(1-Inputs!$B$15)*MIN(Mkt!BT113,BS113*(1+Inputs!$B$18))),BS113)))</f>
        <v>2144.657037455</v>
      </c>
      <c r="BU113" s="11" t="n">
        <f aca="false">IF(BU$1&lt;Units!$P112,0,IF(AND(Units!$K112=0,BU$1=Units!$O112),Units!$R112,IF(AND(BU$1&gt;=Units!$Q112,MOD(BU$1-Units!$Q112,12)=0),IF(AND(Units!$L112=1,BU$1=Units!$Q112),IF(Units!$J112&lt;&gt;"",Units!$J112,Mkt!BU113),Inputs!$B$15*Mkt!BU113+(1-Inputs!$B$15)*MIN(Mkt!BU113,BT113*(1+Inputs!$B$18))),BT113)))</f>
        <v>2144.657037455</v>
      </c>
      <c r="BV113" s="11" t="n">
        <f aca="false">IF(BV$1&lt;Units!$P112,0,IF(AND(Units!$K112=0,BV$1=Units!$O112),Units!$R112,IF(AND(BV$1&gt;=Units!$Q112,MOD(BV$1-Units!$Q112,12)=0),IF(AND(Units!$L112=1,BV$1=Units!$Q112),IF(Units!$J112&lt;&gt;"",Units!$J112,Mkt!BV113),Inputs!$B$15*Mkt!BV113+(1-Inputs!$B$15)*MIN(Mkt!BV113,BU113*(1+Inputs!$B$18))),BU113)))</f>
        <v>2144.657037455</v>
      </c>
      <c r="BW113" s="11" t="n">
        <f aca="false">IF(BW$1&lt;Units!$P112,0,IF(AND(Units!$K112=0,BW$1=Units!$O112),Units!$R112,IF(AND(BW$1&gt;=Units!$Q112,MOD(BW$1-Units!$Q112,12)=0),IF(AND(Units!$L112=1,BW$1=Units!$Q112),IF(Units!$J112&lt;&gt;"",Units!$J112,Mkt!BW113),Inputs!$B$15*Mkt!BW113+(1-Inputs!$B$15)*MIN(Mkt!BW113,BV113*(1+Inputs!$B$18))),BV113)))</f>
        <v>2144.657037455</v>
      </c>
      <c r="BX113" s="11" t="n">
        <f aca="false">IF(BX$1&lt;Units!$P112,0,IF(AND(Units!$K112=0,BX$1=Units!$O112),Units!$R112,IF(AND(BX$1&gt;=Units!$Q112,MOD(BX$1-Units!$Q112,12)=0),IF(AND(Units!$L112=1,BX$1=Units!$Q112),IF(Units!$J112&lt;&gt;"",Units!$J112,Mkt!BX113),Inputs!$B$15*Mkt!BX113+(1-Inputs!$B$15)*MIN(Mkt!BX113,BW113*(1+Inputs!$B$18))),BW113)))</f>
        <v>2208.99674857865</v>
      </c>
      <c r="BY113" s="11" t="n">
        <f aca="false">IF(BY$1&lt;Units!$P112,0,IF(AND(Units!$K112=0,BY$1=Units!$O112),Units!$R112,IF(AND(BY$1&gt;=Units!$Q112,MOD(BY$1-Units!$Q112,12)=0),IF(AND(Units!$L112=1,BY$1=Units!$Q112),IF(Units!$J112&lt;&gt;"",Units!$J112,Mkt!BY113),Inputs!$B$15*Mkt!BY113+(1-Inputs!$B$15)*MIN(Mkt!BY113,BX113*(1+Inputs!$B$18))),BX113)))</f>
        <v>2208.99674857865</v>
      </c>
      <c r="BZ113" s="11" t="n">
        <f aca="false">IF(BZ$1&lt;Units!$P112,0,IF(AND(Units!$K112=0,BZ$1=Units!$O112),Units!$R112,IF(AND(BZ$1&gt;=Units!$Q112,MOD(BZ$1-Units!$Q112,12)=0),IF(AND(Units!$L112=1,BZ$1=Units!$Q112),IF(Units!$J112&lt;&gt;"",Units!$J112,Mkt!BZ113),Inputs!$B$15*Mkt!BZ113+(1-Inputs!$B$15)*MIN(Mkt!BZ113,BY113*(1+Inputs!$B$18))),BY113)))</f>
        <v>2208.99674857865</v>
      </c>
      <c r="CA113" s="11" t="n">
        <f aca="false">IF(CA$1&lt;Units!$P112,0,IF(AND(Units!$K112=0,CA$1=Units!$O112),Units!$R112,IF(AND(CA$1&gt;=Units!$Q112,MOD(CA$1-Units!$Q112,12)=0),IF(AND(Units!$L112=1,CA$1=Units!$Q112),IF(Units!$J112&lt;&gt;"",Units!$J112,Mkt!CA113),Inputs!$B$15*Mkt!CA113+(1-Inputs!$B$15)*MIN(Mkt!CA113,BZ113*(1+Inputs!$B$18))),BZ113)))</f>
        <v>2208.99674857865</v>
      </c>
      <c r="CB113" s="11" t="n">
        <f aca="false">IF(CB$1&lt;Units!$P112,0,IF(AND(Units!$K112=0,CB$1=Units!$O112),Units!$R112,IF(AND(CB$1&gt;=Units!$Q112,MOD(CB$1-Units!$Q112,12)=0),IF(AND(Units!$L112=1,CB$1=Units!$Q112),IF(Units!$J112&lt;&gt;"",Units!$J112,Mkt!CB113),Inputs!$B$15*Mkt!CB113+(1-Inputs!$B$15)*MIN(Mkt!CB113,CA113*(1+Inputs!$B$18))),CA113)))</f>
        <v>2208.99674857865</v>
      </c>
      <c r="CC113" s="11" t="n">
        <f aca="false">IF(CC$1&lt;Units!$P112,0,IF(AND(Units!$K112=0,CC$1=Units!$O112),Units!$R112,IF(AND(CC$1&gt;=Units!$Q112,MOD(CC$1-Units!$Q112,12)=0),IF(AND(Units!$L112=1,CC$1=Units!$Q112),IF(Units!$J112&lt;&gt;"",Units!$J112,Mkt!CC113),Inputs!$B$15*Mkt!CC113+(1-Inputs!$B$15)*MIN(Mkt!CC113,CB113*(1+Inputs!$B$18))),CB113)))</f>
        <v>2208.99674857865</v>
      </c>
      <c r="CD113" s="11" t="n">
        <f aca="false">IF(CD$1&lt;Units!$P112,0,IF(AND(Units!$K112=0,CD$1=Units!$O112),Units!$R112,IF(AND(CD$1&gt;=Units!$Q112,MOD(CD$1-Units!$Q112,12)=0),IF(AND(Units!$L112=1,CD$1=Units!$Q112),IF(Units!$J112&lt;&gt;"",Units!$J112,Mkt!CD113),Inputs!$B$15*Mkt!CD113+(1-Inputs!$B$15)*MIN(Mkt!CD113,CC113*(1+Inputs!$B$18))),CC113)))</f>
        <v>2208.99674857865</v>
      </c>
      <c r="CE113" s="11" t="n">
        <f aca="false">IF(CE$1&lt;Units!$P112,0,IF(AND(Units!$K112=0,CE$1=Units!$O112),Units!$R112,IF(AND(CE$1&gt;=Units!$Q112,MOD(CE$1-Units!$Q112,12)=0),IF(AND(Units!$L112=1,CE$1=Units!$Q112),IF(Units!$J112&lt;&gt;"",Units!$J112,Mkt!CE113),Inputs!$B$15*Mkt!CE113+(1-Inputs!$B$15)*MIN(Mkt!CE113,CD113*(1+Inputs!$B$18))),CD113)))</f>
        <v>2208.99674857865</v>
      </c>
      <c r="CF113" s="11" t="n">
        <f aca="false">IF(CF$1&lt;Units!$P112,0,IF(AND(Units!$K112=0,CF$1=Units!$O112),Units!$R112,IF(AND(CF$1&gt;=Units!$Q112,MOD(CF$1-Units!$Q112,12)=0),IF(AND(Units!$L112=1,CF$1=Units!$Q112),IF(Units!$J112&lt;&gt;"",Units!$J112,Mkt!CF113),Inputs!$B$15*Mkt!CF113+(1-Inputs!$B$15)*MIN(Mkt!CF113,CE113*(1+Inputs!$B$18))),CE113)))</f>
        <v>2208.99674857865</v>
      </c>
      <c r="CG113" s="11" t="n">
        <f aca="false">IF(CG$1&lt;Units!$P112,0,IF(AND(Units!$K112=0,CG$1=Units!$O112),Units!$R112,IF(AND(CG$1&gt;=Units!$Q112,MOD(CG$1-Units!$Q112,12)=0),IF(AND(Units!$L112=1,CG$1=Units!$Q112),IF(Units!$J112&lt;&gt;"",Units!$J112,Mkt!CG113),Inputs!$B$15*Mkt!CG113+(1-Inputs!$B$15)*MIN(Mkt!CG113,CF113*(1+Inputs!$B$18))),CF113)))</f>
        <v>2208.99674857865</v>
      </c>
      <c r="CH113" s="11" t="n">
        <f aca="false">IF(CH$1&lt;Units!$P112,0,IF(AND(Units!$K112=0,CH$1=Units!$O112),Units!$R112,IF(AND(CH$1&gt;=Units!$Q112,MOD(CH$1-Units!$Q112,12)=0),IF(AND(Units!$L112=1,CH$1=Units!$Q112),IF(Units!$J112&lt;&gt;"",Units!$J112,Mkt!CH113),Inputs!$B$15*Mkt!CH113+(1-Inputs!$B$15)*MIN(Mkt!CH113,CG113*(1+Inputs!$B$18))),CG113)))</f>
        <v>2208.99674857865</v>
      </c>
      <c r="CI113" s="11" t="n">
        <f aca="false">IF(CI$1&lt;Units!$P112,0,IF(AND(Units!$K112=0,CI$1=Units!$O112),Units!$R112,IF(AND(CI$1&gt;=Units!$Q112,MOD(CI$1-Units!$Q112,12)=0),IF(AND(Units!$L112=1,CI$1=Units!$Q112),IF(Units!$J112&lt;&gt;"",Units!$J112,Mkt!CI113),Inputs!$B$15*Mkt!CI113+(1-Inputs!$B$15)*MIN(Mkt!CI113,CH113*(1+Inputs!$B$18))),CH113)))</f>
        <v>2208.99674857865</v>
      </c>
      <c r="CJ113" s="11" t="n">
        <f aca="false">IF(CJ$1&lt;Units!$P112,0,IF(AND(Units!$K112=0,CJ$1=Units!$O112),Units!$R112,IF(AND(CJ$1&gt;=Units!$Q112,MOD(CJ$1-Units!$Q112,12)=0),IF(AND(Units!$L112=1,CJ$1=Units!$Q112),IF(Units!$J112&lt;&gt;"",Units!$J112,Mkt!CJ113),Inputs!$B$15*Mkt!CJ113+(1-Inputs!$B$15)*MIN(Mkt!CJ113,CI113*(1+Inputs!$B$18))),CI113)))</f>
        <v>2275.26665103601</v>
      </c>
      <c r="CK113" s="11" t="n">
        <f aca="false">IF(CK$1&lt;Units!$P112,0,IF(AND(Units!$K112=0,CK$1=Units!$O112),Units!$R112,IF(AND(CK$1&gt;=Units!$Q112,MOD(CK$1-Units!$Q112,12)=0),IF(AND(Units!$L112=1,CK$1=Units!$Q112),IF(Units!$J112&lt;&gt;"",Units!$J112,Mkt!CK113),Inputs!$B$15*Mkt!CK113+(1-Inputs!$B$15)*MIN(Mkt!CK113,CJ113*(1+Inputs!$B$18))),CJ113)))</f>
        <v>2275.26665103601</v>
      </c>
      <c r="CL113" s="11" t="n">
        <f aca="false">IF(CL$1&lt;Units!$P112,0,IF(AND(Units!$K112=0,CL$1=Units!$O112),Units!$R112,IF(AND(CL$1&gt;=Units!$Q112,MOD(CL$1-Units!$Q112,12)=0),IF(AND(Units!$L112=1,CL$1=Units!$Q112),IF(Units!$J112&lt;&gt;"",Units!$J112,Mkt!CL113),Inputs!$B$15*Mkt!CL113+(1-Inputs!$B$15)*MIN(Mkt!CL113,CK113*(1+Inputs!$B$18))),CK113)))</f>
        <v>2275.26665103601</v>
      </c>
      <c r="CM113" s="11" t="n">
        <f aca="false">IF(CM$1&lt;Units!$P112,0,IF(AND(Units!$K112=0,CM$1=Units!$O112),Units!$R112,IF(AND(CM$1&gt;=Units!$Q112,MOD(CM$1-Units!$Q112,12)=0),IF(AND(Units!$L112=1,CM$1=Units!$Q112),IF(Units!$J112&lt;&gt;"",Units!$J112,Mkt!CM113),Inputs!$B$15*Mkt!CM113+(1-Inputs!$B$15)*MIN(Mkt!CM113,CL113*(1+Inputs!$B$18))),CL113)))</f>
        <v>2275.26665103601</v>
      </c>
      <c r="CN113" s="11" t="n">
        <f aca="false">IF(CN$1&lt;Units!$P112,0,IF(AND(Units!$K112=0,CN$1=Units!$O112),Units!$R112,IF(AND(CN$1&gt;=Units!$Q112,MOD(CN$1-Units!$Q112,12)=0),IF(AND(Units!$L112=1,CN$1=Units!$Q112),IF(Units!$J112&lt;&gt;"",Units!$J112,Mkt!CN113),Inputs!$B$15*Mkt!CN113+(1-Inputs!$B$15)*MIN(Mkt!CN113,CM113*(1+Inputs!$B$18))),CM113)))</f>
        <v>2275.26665103601</v>
      </c>
      <c r="CO113" s="11" t="n">
        <f aca="false">IF(CO$1&lt;Units!$P112,0,IF(AND(Units!$K112=0,CO$1=Units!$O112),Units!$R112,IF(AND(CO$1&gt;=Units!$Q112,MOD(CO$1-Units!$Q112,12)=0),IF(AND(Units!$L112=1,CO$1=Units!$Q112),IF(Units!$J112&lt;&gt;"",Units!$J112,Mkt!CO113),Inputs!$B$15*Mkt!CO113+(1-Inputs!$B$15)*MIN(Mkt!CO113,CN113*(1+Inputs!$B$18))),CN113)))</f>
        <v>2275.26665103601</v>
      </c>
      <c r="CP113" s="11" t="n">
        <f aca="false">IF(CP$1&lt;Units!$P112,0,IF(AND(Units!$K112=0,CP$1=Units!$O112),Units!$R112,IF(AND(CP$1&gt;=Units!$Q112,MOD(CP$1-Units!$Q112,12)=0),IF(AND(Units!$L112=1,CP$1=Units!$Q112),IF(Units!$J112&lt;&gt;"",Units!$J112,Mkt!CP113),Inputs!$B$15*Mkt!CP113+(1-Inputs!$B$15)*MIN(Mkt!CP113,CO113*(1+Inputs!$B$18))),CO113)))</f>
        <v>2275.26665103601</v>
      </c>
      <c r="CQ113" s="11" t="n">
        <f aca="false">IF(CQ$1&lt;Units!$P112,0,IF(AND(Units!$K112=0,CQ$1=Units!$O112),Units!$R112,IF(AND(CQ$1&gt;=Units!$Q112,MOD(CQ$1-Units!$Q112,12)=0),IF(AND(Units!$L112=1,CQ$1=Units!$Q112),IF(Units!$J112&lt;&gt;"",Units!$J112,Mkt!CQ113),Inputs!$B$15*Mkt!CQ113+(1-Inputs!$B$15)*MIN(Mkt!CQ113,CP113*(1+Inputs!$B$18))),CP113)))</f>
        <v>2275.26665103601</v>
      </c>
      <c r="CR113" s="11" t="n">
        <f aca="false">IF(CR$1&lt;Units!$P112,0,IF(AND(Units!$K112=0,CR$1=Units!$O112),Units!$R112,IF(AND(CR$1&gt;=Units!$Q112,MOD(CR$1-Units!$Q112,12)=0),IF(AND(Units!$L112=1,CR$1=Units!$Q112),IF(Units!$J112&lt;&gt;"",Units!$J112,Mkt!CR113),Inputs!$B$15*Mkt!CR113+(1-Inputs!$B$15)*MIN(Mkt!CR113,CQ113*(1+Inputs!$B$18))),CQ113)))</f>
        <v>2275.26665103601</v>
      </c>
      <c r="CS113" s="11" t="n">
        <f aca="false">IF(CS$1&lt;Units!$P112,0,IF(AND(Units!$K112=0,CS$1=Units!$O112),Units!$R112,IF(AND(CS$1&gt;=Units!$Q112,MOD(CS$1-Units!$Q112,12)=0),IF(AND(Units!$L112=1,CS$1=Units!$Q112),IF(Units!$J112&lt;&gt;"",Units!$J112,Mkt!CS113),Inputs!$B$15*Mkt!CS113+(1-Inputs!$B$15)*MIN(Mkt!CS113,CR113*(1+Inputs!$B$18))),CR113)))</f>
        <v>2275.26665103601</v>
      </c>
      <c r="CT113" s="11" t="n">
        <f aca="false">IF(CT$1&lt;Units!$P112,0,IF(AND(Units!$K112=0,CT$1=Units!$O112),Units!$R112,IF(AND(CT$1&gt;=Units!$Q112,MOD(CT$1-Units!$Q112,12)=0),IF(AND(Units!$L112=1,CT$1=Units!$Q112),IF(Units!$J112&lt;&gt;"",Units!$J112,Mkt!CT113),Inputs!$B$15*Mkt!CT113+(1-Inputs!$B$15)*MIN(Mkt!CT113,CS113*(1+Inputs!$B$18))),CS113)))</f>
        <v>2275.26665103601</v>
      </c>
      <c r="CU113" s="11" t="n">
        <f aca="false">IF(CU$1&lt;Units!$P112,0,IF(AND(Units!$K112=0,CU$1=Units!$O112),Units!$R112,IF(AND(CU$1&gt;=Units!$Q112,MOD(CU$1-Units!$Q112,12)=0),IF(AND(Units!$L112=1,CU$1=Units!$Q112),IF(Units!$J112&lt;&gt;"",Units!$J112,Mkt!CU113),Inputs!$B$15*Mkt!CU113+(1-Inputs!$B$15)*MIN(Mkt!CU113,CT113*(1+Inputs!$B$18))),CT113)))</f>
        <v>2275.26665103601</v>
      </c>
      <c r="CV113" s="11" t="n">
        <f aca="false">IF(CV$1&lt;Units!$P112,0,IF(AND(Units!$K112=0,CV$1=Units!$O112),Units!$R112,IF(AND(CV$1&gt;=Units!$Q112,MOD(CV$1-Units!$Q112,12)=0),IF(AND(Units!$L112=1,CV$1=Units!$Q112),IF(Units!$J112&lt;&gt;"",Units!$J112,Mkt!CV113),Inputs!$B$15*Mkt!CV113+(1-Inputs!$B$15)*MIN(Mkt!CV113,CU113*(1+Inputs!$B$18))),CU113)))</f>
        <v>2343.52465056709</v>
      </c>
      <c r="CW113" s="11" t="n">
        <f aca="false">IF(CW$1&lt;Units!$P112,0,IF(AND(Units!$K112=0,CW$1=Units!$O112),Units!$R112,IF(AND(CW$1&gt;=Units!$Q112,MOD(CW$1-Units!$Q112,12)=0),IF(AND(Units!$L112=1,CW$1=Units!$Q112),IF(Units!$J112&lt;&gt;"",Units!$J112,Mkt!CW113),Inputs!$B$15*Mkt!CW113+(1-Inputs!$B$15)*MIN(Mkt!CW113,CV113*(1+Inputs!$B$18))),CV113)))</f>
        <v>2343.52465056709</v>
      </c>
      <c r="CX113" s="11" t="n">
        <f aca="false">IF(CX$1&lt;Units!$P112,0,IF(AND(Units!$K112=0,CX$1=Units!$O112),Units!$R112,IF(AND(CX$1&gt;=Units!$Q112,MOD(CX$1-Units!$Q112,12)=0),IF(AND(Units!$L112=1,CX$1=Units!$Q112),IF(Units!$J112&lt;&gt;"",Units!$J112,Mkt!CX113),Inputs!$B$15*Mkt!CX113+(1-Inputs!$B$15)*MIN(Mkt!CX113,CW113*(1+Inputs!$B$18))),CW113)))</f>
        <v>2343.52465056709</v>
      </c>
      <c r="CY113" s="11" t="n">
        <f aca="false">IF(CY$1&lt;Units!$P112,0,IF(AND(Units!$K112=0,CY$1=Units!$O112),Units!$R112,IF(AND(CY$1&gt;=Units!$Q112,MOD(CY$1-Units!$Q112,12)=0),IF(AND(Units!$L112=1,CY$1=Units!$Q112),IF(Units!$J112&lt;&gt;"",Units!$J112,Mkt!CY113),Inputs!$B$15*Mkt!CY113+(1-Inputs!$B$15)*MIN(Mkt!CY113,CX113*(1+Inputs!$B$18))),CX113)))</f>
        <v>2343.52465056709</v>
      </c>
      <c r="CZ113" s="11" t="n">
        <f aca="false">IF(CZ$1&lt;Units!$P112,0,IF(AND(Units!$K112=0,CZ$1=Units!$O112),Units!$R112,IF(AND(CZ$1&gt;=Units!$Q112,MOD(CZ$1-Units!$Q112,12)=0),IF(AND(Units!$L112=1,CZ$1=Units!$Q112),IF(Units!$J112&lt;&gt;"",Units!$J112,Mkt!CZ113),Inputs!$B$15*Mkt!CZ113+(1-Inputs!$B$15)*MIN(Mkt!CZ113,CY113*(1+Inputs!$B$18))),CY113)))</f>
        <v>2343.52465056709</v>
      </c>
      <c r="DA113" s="11" t="n">
        <f aca="false">IF(DA$1&lt;Units!$P112,0,IF(AND(Units!$K112=0,DA$1=Units!$O112),Units!$R112,IF(AND(DA$1&gt;=Units!$Q112,MOD(DA$1-Units!$Q112,12)=0),IF(AND(Units!$L112=1,DA$1=Units!$Q112),IF(Units!$J112&lt;&gt;"",Units!$J112,Mkt!DA113),Inputs!$B$15*Mkt!DA113+(1-Inputs!$B$15)*MIN(Mkt!DA113,CZ113*(1+Inputs!$B$18))),CZ113)))</f>
        <v>2343.52465056709</v>
      </c>
      <c r="DB113" s="11" t="n">
        <f aca="false">IF(DB$1&lt;Units!$P112,0,IF(AND(Units!$K112=0,DB$1=Units!$O112),Units!$R112,IF(AND(DB$1&gt;=Units!$Q112,MOD(DB$1-Units!$Q112,12)=0),IF(AND(Units!$L112=1,DB$1=Units!$Q112),IF(Units!$J112&lt;&gt;"",Units!$J112,Mkt!DB113),Inputs!$B$15*Mkt!DB113+(1-Inputs!$B$15)*MIN(Mkt!DB113,DA113*(1+Inputs!$B$18))),DA113)))</f>
        <v>2343.52465056709</v>
      </c>
      <c r="DC113" s="11" t="n">
        <f aca="false">IF(DC$1&lt;Units!$P112,0,IF(AND(Units!$K112=0,DC$1=Units!$O112),Units!$R112,IF(AND(DC$1&gt;=Units!$Q112,MOD(DC$1-Units!$Q112,12)=0),IF(AND(Units!$L112=1,DC$1=Units!$Q112),IF(Units!$J112&lt;&gt;"",Units!$J112,Mkt!DC113),Inputs!$B$15*Mkt!DC113+(1-Inputs!$B$15)*MIN(Mkt!DC113,DB113*(1+Inputs!$B$18))),DB113)))</f>
        <v>2343.52465056709</v>
      </c>
      <c r="DD113" s="11" t="n">
        <f aca="false">IF(DD$1&lt;Units!$P112,0,IF(AND(Units!$K112=0,DD$1=Units!$O112),Units!$R112,IF(AND(DD$1&gt;=Units!$Q112,MOD(DD$1-Units!$Q112,12)=0),IF(AND(Units!$L112=1,DD$1=Units!$Q112),IF(Units!$J112&lt;&gt;"",Units!$J112,Mkt!DD113),Inputs!$B$15*Mkt!DD113+(1-Inputs!$B$15)*MIN(Mkt!DD113,DC113*(1+Inputs!$B$18))),DC113)))</f>
        <v>2343.52465056709</v>
      </c>
      <c r="DE113" s="11" t="n">
        <f aca="false">IF(DE$1&lt;Units!$P112,0,IF(AND(Units!$K112=0,DE$1=Units!$O112),Units!$R112,IF(AND(DE$1&gt;=Units!$Q112,MOD(DE$1-Units!$Q112,12)=0),IF(AND(Units!$L112=1,DE$1=Units!$Q112),IF(Units!$J112&lt;&gt;"",Units!$J112,Mkt!DE113),Inputs!$B$15*Mkt!DE113+(1-Inputs!$B$15)*MIN(Mkt!DE113,DD113*(1+Inputs!$B$18))),DD113)))</f>
        <v>2343.52465056709</v>
      </c>
      <c r="DF113" s="11" t="n">
        <f aca="false">IF(DF$1&lt;Units!$P112,0,IF(AND(Units!$K112=0,DF$1=Units!$O112),Units!$R112,IF(AND(DF$1&gt;=Units!$Q112,MOD(DF$1-Units!$Q112,12)=0),IF(AND(Units!$L112=1,DF$1=Units!$Q112),IF(Units!$J112&lt;&gt;"",Units!$J112,Mkt!DF113),Inputs!$B$15*Mkt!DF113+(1-Inputs!$B$15)*MIN(Mkt!DF113,DE113*(1+Inputs!$B$18))),DE113)))</f>
        <v>2343.52465056709</v>
      </c>
      <c r="DG113" s="11" t="n">
        <f aca="false">IF(DG$1&lt;Units!$P112,0,IF(AND(Units!$K112=0,DG$1=Units!$O112),Units!$R112,IF(AND(DG$1&gt;=Units!$Q112,MOD(DG$1-Units!$Q112,12)=0),IF(AND(Units!$L112=1,DG$1=Units!$Q112),IF(Units!$J112&lt;&gt;"",Units!$J112,Mkt!DG113),Inputs!$B$15*Mkt!DG113+(1-Inputs!$B$15)*MIN(Mkt!DG113,DF113*(1+Inputs!$B$18))),DF113)))</f>
        <v>2343.52465056709</v>
      </c>
      <c r="DH113" s="11" t="n">
        <f aca="false">IF(DH$1&lt;Units!$P112,0,IF(AND(Units!$K112=0,DH$1=Units!$O112),Units!$R112,IF(AND(DH$1&gt;=Units!$Q112,MOD(DH$1-Units!$Q112,12)=0),IF(AND(Units!$L112=1,DH$1=Units!$Q112),IF(Units!$J112&lt;&gt;"",Units!$J112,Mkt!DH113),Inputs!$B$15*Mkt!DH113+(1-Inputs!$B$15)*MIN(Mkt!DH113,DG113*(1+Inputs!$B$18))),DG113)))</f>
        <v>2413.8303900841</v>
      </c>
      <c r="DI113" s="11" t="n">
        <f aca="false">IF(DI$1&lt;Units!$P112,0,IF(AND(Units!$K112=0,DI$1=Units!$O112),Units!$R112,IF(AND(DI$1&gt;=Units!$Q112,MOD(DI$1-Units!$Q112,12)=0),IF(AND(Units!$L112=1,DI$1=Units!$Q112),IF(Units!$J112&lt;&gt;"",Units!$J112,Mkt!DI113),Inputs!$B$15*Mkt!DI113+(1-Inputs!$B$15)*MIN(Mkt!DI113,DH113*(1+Inputs!$B$18))),DH113)))</f>
        <v>2413.8303900841</v>
      </c>
      <c r="DJ113" s="11" t="n">
        <f aca="false">IF(DJ$1&lt;Units!$P112,0,IF(AND(Units!$K112=0,DJ$1=Units!$O112),Units!$R112,IF(AND(DJ$1&gt;=Units!$Q112,MOD(DJ$1-Units!$Q112,12)=0),IF(AND(Units!$L112=1,DJ$1=Units!$Q112),IF(Units!$J112&lt;&gt;"",Units!$J112,Mkt!DJ113),Inputs!$B$15*Mkt!DJ113+(1-Inputs!$B$15)*MIN(Mkt!DJ113,DI113*(1+Inputs!$B$18))),DI113)))</f>
        <v>2413.8303900841</v>
      </c>
      <c r="DK113" s="11" t="n">
        <f aca="false">IF(DK$1&lt;Units!$P112,0,IF(AND(Units!$K112=0,DK$1=Units!$O112),Units!$R112,IF(AND(DK$1&gt;=Units!$Q112,MOD(DK$1-Units!$Q112,12)=0),IF(AND(Units!$L112=1,DK$1=Units!$Q112),IF(Units!$J112&lt;&gt;"",Units!$J112,Mkt!DK113),Inputs!$B$15*Mkt!DK113+(1-Inputs!$B$15)*MIN(Mkt!DK113,DJ113*(1+Inputs!$B$18))),DJ113)))</f>
        <v>2413.8303900841</v>
      </c>
      <c r="DL113" s="11" t="n">
        <f aca="false">IF(DL$1&lt;Units!$P112,0,IF(AND(Units!$K112=0,DL$1=Units!$O112),Units!$R112,IF(AND(DL$1&gt;=Units!$Q112,MOD(DL$1-Units!$Q112,12)=0),IF(AND(Units!$L112=1,DL$1=Units!$Q112),IF(Units!$J112&lt;&gt;"",Units!$J112,Mkt!DL113),Inputs!$B$15*Mkt!DL113+(1-Inputs!$B$15)*MIN(Mkt!DL113,DK113*(1+Inputs!$B$18))),DK113)))</f>
        <v>2413.8303900841</v>
      </c>
      <c r="DM113" s="11" t="n">
        <f aca="false">IF(DM$1&lt;Units!$P112,0,IF(AND(Units!$K112=0,DM$1=Units!$O112),Units!$R112,IF(AND(DM$1&gt;=Units!$Q112,MOD(DM$1-Units!$Q112,12)=0),IF(AND(Units!$L112=1,DM$1=Units!$Q112),IF(Units!$J112&lt;&gt;"",Units!$J112,Mkt!DM113),Inputs!$B$15*Mkt!DM113+(1-Inputs!$B$15)*MIN(Mkt!DM113,DL113*(1+Inputs!$B$18))),DL113)))</f>
        <v>2413.8303900841</v>
      </c>
      <c r="DN113" s="11" t="n">
        <f aca="false">IF(DN$1&lt;Units!$P112,0,IF(AND(Units!$K112=0,DN$1=Units!$O112),Units!$R112,IF(AND(DN$1&gt;=Units!$Q112,MOD(DN$1-Units!$Q112,12)=0),IF(AND(Units!$L112=1,DN$1=Units!$Q112),IF(Units!$J112&lt;&gt;"",Units!$J112,Mkt!DN113),Inputs!$B$15*Mkt!DN113+(1-Inputs!$B$15)*MIN(Mkt!DN113,DM113*(1+Inputs!$B$18))),DM113)))</f>
        <v>2413.8303900841</v>
      </c>
      <c r="DO113" s="11" t="n">
        <f aca="false">IF(DO$1&lt;Units!$P112,0,IF(AND(Units!$K112=0,DO$1=Units!$O112),Units!$R112,IF(AND(DO$1&gt;=Units!$Q112,MOD(DO$1-Units!$Q112,12)=0),IF(AND(Units!$L112=1,DO$1=Units!$Q112),IF(Units!$J112&lt;&gt;"",Units!$J112,Mkt!DO113),Inputs!$B$15*Mkt!DO113+(1-Inputs!$B$15)*MIN(Mkt!DO113,DN113*(1+Inputs!$B$18))),DN113)))</f>
        <v>2413.8303900841</v>
      </c>
      <c r="DP113" s="11" t="n">
        <f aca="false">IF(DP$1&lt;Units!$P112,0,IF(AND(Units!$K112=0,DP$1=Units!$O112),Units!$R112,IF(AND(DP$1&gt;=Units!$Q112,MOD(DP$1-Units!$Q112,12)=0),IF(AND(Units!$L112=1,DP$1=Units!$Q112),IF(Units!$J112&lt;&gt;"",Units!$J112,Mkt!DP113),Inputs!$B$15*Mkt!DP113+(1-Inputs!$B$15)*MIN(Mkt!DP113,DO113*(1+Inputs!$B$18))),DO113)))</f>
        <v>2413.8303900841</v>
      </c>
      <c r="DQ113" s="11" t="n">
        <f aca="false">IF(DQ$1&lt;Units!$P112,0,IF(AND(Units!$K112=0,DQ$1=Units!$O112),Units!$R112,IF(AND(DQ$1&gt;=Units!$Q112,MOD(DQ$1-Units!$Q112,12)=0),IF(AND(Units!$L112=1,DQ$1=Units!$Q112),IF(Units!$J112&lt;&gt;"",Units!$J112,Mkt!DQ113),Inputs!$B$15*Mkt!DQ113+(1-Inputs!$B$15)*MIN(Mkt!DQ113,DP113*(1+Inputs!$B$18))),DP113)))</f>
        <v>2413.8303900841</v>
      </c>
      <c r="DR113" s="11" t="n">
        <f aca="false">IF(DR$1&lt;Units!$P112,0,IF(AND(Units!$K112=0,DR$1=Units!$O112),Units!$R112,IF(AND(DR$1&gt;=Units!$Q112,MOD(DR$1-Units!$Q112,12)=0),IF(AND(Units!$L112=1,DR$1=Units!$Q112),IF(Units!$J112&lt;&gt;"",Units!$J112,Mkt!DR113),Inputs!$B$15*Mkt!DR113+(1-Inputs!$B$15)*MIN(Mkt!DR113,DQ113*(1+Inputs!$B$18))),DQ113)))</f>
        <v>2413.8303900841</v>
      </c>
      <c r="DS113" s="11" t="n">
        <f aca="false">IF(DS$1&lt;Units!$P112,0,IF(AND(Units!$K112=0,DS$1=Units!$O112),Units!$R112,IF(AND(DS$1&gt;=Units!$Q112,MOD(DS$1-Units!$Q112,12)=0),IF(AND(Units!$L112=1,DS$1=Units!$Q112),IF(Units!$J112&lt;&gt;"",Units!$J112,Mkt!DS113),Inputs!$B$15*Mkt!DS113+(1-Inputs!$B$15)*MIN(Mkt!DS113,DR113*(1+Inputs!$B$18))),DR113)))</f>
        <v>2413.8303900841</v>
      </c>
      <c r="DT113" s="11" t="n">
        <f aca="false">IF(DT$1&lt;Units!$P112,0,IF(AND(Units!$K112=0,DT$1=Units!$O112),Units!$R112,IF(AND(DT$1&gt;=Units!$Q112,MOD(DT$1-Units!$Q112,12)=0),IF(AND(Units!$L112=1,DT$1=Units!$Q112),IF(Units!$J112&lt;&gt;"",Units!$J112,Mkt!DT113),Inputs!$B$15*Mkt!DT113+(1-Inputs!$B$15)*MIN(Mkt!DT113,DS113*(1+Inputs!$B$18))),DS113)))</f>
        <v>2486.24530178663</v>
      </c>
      <c r="DU113" s="11" t="n">
        <f aca="false">IF(DU$1&lt;Units!$P112,0,IF(AND(Units!$K112=0,DU$1=Units!$O112),Units!$R112,IF(AND(DU$1&gt;=Units!$Q112,MOD(DU$1-Units!$Q112,12)=0),IF(AND(Units!$L112=1,DU$1=Units!$Q112),IF(Units!$J112&lt;&gt;"",Units!$J112,Mkt!DU113),Inputs!$B$15*Mkt!DU113+(1-Inputs!$B$15)*MIN(Mkt!DU113,DT113*(1+Inputs!$B$18))),DT113)))</f>
        <v>2486.24530178663</v>
      </c>
      <c r="DV113" s="11" t="n">
        <f aca="false">IF(DV$1&lt;Units!$P112,0,IF(AND(Units!$K112=0,DV$1=Units!$O112),Units!$R112,IF(AND(DV$1&gt;=Units!$Q112,MOD(DV$1-Units!$Q112,12)=0),IF(AND(Units!$L112=1,DV$1=Units!$Q112),IF(Units!$J112&lt;&gt;"",Units!$J112,Mkt!DV113),Inputs!$B$15*Mkt!DV113+(1-Inputs!$B$15)*MIN(Mkt!DV113,DU113*(1+Inputs!$B$18))),DU113)))</f>
        <v>2486.24530178663</v>
      </c>
      <c r="DW113" s="11" t="n">
        <f aca="false">IF(DW$1&lt;Units!$P112,0,IF(AND(Units!$K112=0,DW$1=Units!$O112),Units!$R112,IF(AND(DW$1&gt;=Units!$Q112,MOD(DW$1-Units!$Q112,12)=0),IF(AND(Units!$L112=1,DW$1=Units!$Q112),IF(Units!$J112&lt;&gt;"",Units!$J112,Mkt!DW113),Inputs!$B$15*Mkt!DW113+(1-Inputs!$B$15)*MIN(Mkt!DW113,DV113*(1+Inputs!$B$18))),DV113)))</f>
        <v>2486.24530178663</v>
      </c>
      <c r="DX113" s="11" t="n">
        <f aca="false">IF(DX$1&lt;Units!$P112,0,IF(AND(Units!$K112=0,DX$1=Units!$O112),Units!$R112,IF(AND(DX$1&gt;=Units!$Q112,MOD(DX$1-Units!$Q112,12)=0),IF(AND(Units!$L112=1,DX$1=Units!$Q112),IF(Units!$J112&lt;&gt;"",Units!$J112,Mkt!DX113),Inputs!$B$15*Mkt!DX113+(1-Inputs!$B$15)*MIN(Mkt!DX113,DW113*(1+Inputs!$B$18))),DW113)))</f>
        <v>2486.24530178663</v>
      </c>
      <c r="DY113" s="11" t="n">
        <f aca="false">IF(DY$1&lt;Units!$P112,0,IF(AND(Units!$K112=0,DY$1=Units!$O112),Units!$R112,IF(AND(DY$1&gt;=Units!$Q112,MOD(DY$1-Units!$Q112,12)=0),IF(AND(Units!$L112=1,DY$1=Units!$Q112),IF(Units!$J112&lt;&gt;"",Units!$J112,Mkt!DY113),Inputs!$B$15*Mkt!DY113+(1-Inputs!$B$15)*MIN(Mkt!DY113,DX113*(1+Inputs!$B$18))),DX113)))</f>
        <v>2486.24530178663</v>
      </c>
      <c r="DZ113" s="11" t="n">
        <f aca="false">IF(DZ$1&lt;Units!$P112,0,IF(AND(Units!$K112=0,DZ$1=Units!$O112),Units!$R112,IF(AND(DZ$1&gt;=Units!$Q112,MOD(DZ$1-Units!$Q112,12)=0),IF(AND(Units!$L112=1,DZ$1=Units!$Q112),IF(Units!$J112&lt;&gt;"",Units!$J112,Mkt!DZ113),Inputs!$B$15*Mkt!DZ113+(1-Inputs!$B$15)*MIN(Mkt!DZ113,DY113*(1+Inputs!$B$18))),DY113)))</f>
        <v>2486.24530178663</v>
      </c>
      <c r="EA113" s="11" t="n">
        <f aca="false">IF(EA$1&lt;Units!$P112,0,IF(AND(Units!$K112=0,EA$1=Units!$O112),Units!$R112,IF(AND(EA$1&gt;=Units!$Q112,MOD(EA$1-Units!$Q112,12)=0),IF(AND(Units!$L112=1,EA$1=Units!$Q112),IF(Units!$J112&lt;&gt;"",Units!$J112,Mkt!EA113),Inputs!$B$15*Mkt!EA113+(1-Inputs!$B$15)*MIN(Mkt!EA113,DZ113*(1+Inputs!$B$18))),DZ113)))</f>
        <v>2486.24530178663</v>
      </c>
      <c r="EB113" s="11" t="n">
        <f aca="false">IF(EB$1&lt;Units!$P112,0,IF(AND(Units!$K112=0,EB$1=Units!$O112),Units!$R112,IF(AND(EB$1&gt;=Units!$Q112,MOD(EB$1-Units!$Q112,12)=0),IF(AND(Units!$L112=1,EB$1=Units!$Q112),IF(Units!$J112&lt;&gt;"",Units!$J112,Mkt!EB113),Inputs!$B$15*Mkt!EB113+(1-Inputs!$B$15)*MIN(Mkt!EB113,EA113*(1+Inputs!$B$18))),EA113)))</f>
        <v>2486.24530178663</v>
      </c>
      <c r="EC113" s="11" t="n">
        <f aca="false">IF(EC$1&lt;Units!$P112,0,IF(AND(Units!$K112=0,EC$1=Units!$O112),Units!$R112,IF(AND(EC$1&gt;=Units!$Q112,MOD(EC$1-Units!$Q112,12)=0),IF(AND(Units!$L112=1,EC$1=Units!$Q112),IF(Units!$J112&lt;&gt;"",Units!$J112,Mkt!EC113),Inputs!$B$15*Mkt!EC113+(1-Inputs!$B$15)*MIN(Mkt!EC113,EB113*(1+Inputs!$B$18))),EB113)))</f>
        <v>2486.24530178663</v>
      </c>
      <c r="ED113" s="11" t="n">
        <f aca="false">IF(ED$1&lt;Units!$P112,0,IF(AND(Units!$K112=0,ED$1=Units!$O112),Units!$R112,IF(AND(ED$1&gt;=Units!$Q112,MOD(ED$1-Units!$Q112,12)=0),IF(AND(Units!$L112=1,ED$1=Units!$Q112),IF(Units!$J112&lt;&gt;"",Units!$J112,Mkt!ED113),Inputs!$B$15*Mkt!ED113+(1-Inputs!$B$15)*MIN(Mkt!ED113,EC113*(1+Inputs!$B$18))),EC113)))</f>
        <v>2486.24530178663</v>
      </c>
    </row>
    <row r="114" customFormat="false" ht="15" hidden="false" customHeight="false" outlineLevel="0" collapsed="false">
      <c r="A114" s="22" t="n">
        <f aca="false">Units!A113</f>
        <v>422</v>
      </c>
      <c r="B114" s="24" t="n">
        <f aca="false">IF(Units!K113=1,Units!F113,0)</f>
        <v>1850</v>
      </c>
      <c r="C114" s="11" t="n">
        <f aca="false">IF(C$1&lt;Units!$P113,0,IF(AND(Units!$K113=0,C$1=Units!$O113),Units!$R113,IF(AND(C$1&gt;=Units!$Q113,MOD(C$1-Units!$Q113,12)=0),IF(AND(Units!$L113=1,C$1=Units!$Q113),IF(Units!$J113&lt;&gt;"",Units!$J113,Mkt!C114),Inputs!$B$15*Mkt!C114+(1-Inputs!$B$15)*MIN(Mkt!C114,B114*(1+Inputs!$B$18))),B114)))</f>
        <v>1850</v>
      </c>
      <c r="D114" s="11" t="n">
        <f aca="false">IF(D$1&lt;Units!$P113,0,IF(AND(Units!$K113=0,D$1=Units!$O113),Units!$R113,IF(AND(D$1&gt;=Units!$Q113,MOD(D$1-Units!$Q113,12)=0),IF(AND(Units!$L113=1,D$1=Units!$Q113),IF(Units!$J113&lt;&gt;"",Units!$J113,Mkt!D114),Inputs!$B$15*Mkt!D114+(1-Inputs!$B$15)*MIN(Mkt!D114,C114*(1+Inputs!$B$18))),C114)))</f>
        <v>1850</v>
      </c>
      <c r="E114" s="11" t="n">
        <f aca="false">IF(E$1&lt;Units!$P113,0,IF(AND(Units!$K113=0,E$1=Units!$O113),Units!$R113,IF(AND(E$1&gt;=Units!$Q113,MOD(E$1-Units!$Q113,12)=0),IF(AND(Units!$L113=1,E$1=Units!$Q113),IF(Units!$J113&lt;&gt;"",Units!$J113,Mkt!E114),Inputs!$B$15*Mkt!E114+(1-Inputs!$B$15)*MIN(Mkt!E114,D114*(1+Inputs!$B$18))),D114)))</f>
        <v>1850</v>
      </c>
      <c r="F114" s="11" t="n">
        <f aca="false">IF(F$1&lt;Units!$P113,0,IF(AND(Units!$K113=0,F$1=Units!$O113),Units!$R113,IF(AND(F$1&gt;=Units!$Q113,MOD(F$1-Units!$Q113,12)=0),IF(AND(Units!$L113=1,F$1=Units!$Q113),IF(Units!$J113&lt;&gt;"",Units!$J113,Mkt!F114),Inputs!$B$15*Mkt!F114+(1-Inputs!$B$15)*MIN(Mkt!F114,E114*(1+Inputs!$B$18))),E114)))</f>
        <v>1850</v>
      </c>
      <c r="G114" s="11" t="n">
        <f aca="false">IF(G$1&lt;Units!$P113,0,IF(AND(Units!$K113=0,G$1=Units!$O113),Units!$R113,IF(AND(G$1&gt;=Units!$Q113,MOD(G$1-Units!$Q113,12)=0),IF(AND(Units!$L113=1,G$1=Units!$Q113),IF(Units!$J113&lt;&gt;"",Units!$J113,Mkt!G114),Inputs!$B$15*Mkt!G114+(1-Inputs!$B$15)*MIN(Mkt!G114,F114*(1+Inputs!$B$18))),F114)))</f>
        <v>1850</v>
      </c>
      <c r="H114" s="11" t="n">
        <f aca="false">IF(H$1&lt;Units!$P113,0,IF(AND(Units!$K113=0,H$1=Units!$O113),Units!$R113,IF(AND(H$1&gt;=Units!$Q113,MOD(H$1-Units!$Q113,12)=0),IF(AND(Units!$L113=1,H$1=Units!$Q113),IF(Units!$J113&lt;&gt;"",Units!$J113,Mkt!H114),Inputs!$B$15*Mkt!H114+(1-Inputs!$B$15)*MIN(Mkt!H114,G114*(1+Inputs!$B$18))),G114)))</f>
        <v>1850</v>
      </c>
      <c r="I114" s="11" t="n">
        <f aca="false">IF(I$1&lt;Units!$P113,0,IF(AND(Units!$K113=0,I$1=Units!$O113),Units!$R113,IF(AND(I$1&gt;=Units!$Q113,MOD(I$1-Units!$Q113,12)=0),IF(AND(Units!$L113=1,I$1=Units!$Q113),IF(Units!$J113&lt;&gt;"",Units!$J113,Mkt!I114),Inputs!$B$15*Mkt!I114+(1-Inputs!$B$15)*MIN(Mkt!I114,H114*(1+Inputs!$B$18))),H114)))</f>
        <v>1850</v>
      </c>
      <c r="J114" s="11" t="n">
        <f aca="false">IF(J$1&lt;Units!$P113,0,IF(AND(Units!$K113=0,J$1=Units!$O113),Units!$R113,IF(AND(J$1&gt;=Units!$Q113,MOD(J$1-Units!$Q113,12)=0),IF(AND(Units!$L113=1,J$1=Units!$Q113),IF(Units!$J113&lt;&gt;"",Units!$J113,Mkt!J114),Inputs!$B$15*Mkt!J114+(1-Inputs!$B$15)*MIN(Mkt!J114,I114*(1+Inputs!$B$18))),I114)))</f>
        <v>1850</v>
      </c>
      <c r="K114" s="11" t="n">
        <f aca="false">IF(K$1&lt;Units!$P113,0,IF(AND(Units!$K113=0,K$1=Units!$O113),Units!$R113,IF(AND(K$1&gt;=Units!$Q113,MOD(K$1-Units!$Q113,12)=0),IF(AND(Units!$L113=1,K$1=Units!$Q113),IF(Units!$J113&lt;&gt;"",Units!$J113,Mkt!K114),Inputs!$B$15*Mkt!K114+(1-Inputs!$B$15)*MIN(Mkt!K114,J114*(1+Inputs!$B$18))),J114)))</f>
        <v>1850</v>
      </c>
      <c r="L114" s="11" t="n">
        <f aca="false">IF(L$1&lt;Units!$P113,0,IF(AND(Units!$K113=0,L$1=Units!$O113),Units!$R113,IF(AND(L$1&gt;=Units!$Q113,MOD(L$1-Units!$Q113,12)=0),IF(AND(Units!$L113=1,L$1=Units!$Q113),IF(Units!$J113&lt;&gt;"",Units!$J113,Mkt!L114),Inputs!$B$15*Mkt!L114+(1-Inputs!$B$15)*MIN(Mkt!L114,K114*(1+Inputs!$B$18))),K114)))</f>
        <v>1850</v>
      </c>
      <c r="M114" s="11" t="n">
        <f aca="false">IF(M$1&lt;Units!$P113,0,IF(AND(Units!$K113=0,M$1=Units!$O113),Units!$R113,IF(AND(M$1&gt;=Units!$Q113,MOD(M$1-Units!$Q113,12)=0),IF(AND(Units!$L113=1,M$1=Units!$Q113),IF(Units!$J113&lt;&gt;"",Units!$J113,Mkt!M114),Inputs!$B$15*Mkt!M114+(1-Inputs!$B$15)*MIN(Mkt!M114,L114*(1+Inputs!$B$18))),L114)))</f>
        <v>1850</v>
      </c>
      <c r="N114" s="11" t="n">
        <f aca="false">IF(N$1&lt;Units!$P113,0,IF(AND(Units!$K113=0,N$1=Units!$O113),Units!$R113,IF(AND(N$1&gt;=Units!$Q113,MOD(N$1-Units!$Q113,12)=0),IF(AND(Units!$L113=1,N$1=Units!$Q113),IF(Units!$J113&lt;&gt;"",Units!$J113,Mkt!N114),Inputs!$B$15*Mkt!N114+(1-Inputs!$B$15)*MIN(Mkt!N114,M114*(1+Inputs!$B$18))),M114)))</f>
        <v>1850</v>
      </c>
      <c r="O114" s="11" t="n">
        <f aca="false">IF(O$1&lt;Units!$P113,0,IF(AND(Units!$K113=0,O$1=Units!$O113),Units!$R113,IF(AND(O$1&gt;=Units!$Q113,MOD(O$1-Units!$Q113,12)=0),IF(AND(Units!$L113=1,O$1=Units!$Q113),IF(Units!$J113&lt;&gt;"",Units!$J113,Mkt!O114),Inputs!$B$15*Mkt!O114+(1-Inputs!$B$15)*MIN(Mkt!O114,N114*(1+Inputs!$B$18))),N114)))</f>
        <v>1850</v>
      </c>
      <c r="P114" s="11" t="n">
        <f aca="false">IF(P$1&lt;Units!$P113,0,IF(AND(Units!$K113=0,P$1=Units!$O113),Units!$R113,IF(AND(P$1&gt;=Units!$Q113,MOD(P$1-Units!$Q113,12)=0),IF(AND(Units!$L113=1,P$1=Units!$Q113),IF(Units!$J113&lt;&gt;"",Units!$J113,Mkt!P114),Inputs!$B$15*Mkt!P114+(1-Inputs!$B$15)*MIN(Mkt!P114,O114*(1+Inputs!$B$18))),O114)))</f>
        <v>1850</v>
      </c>
      <c r="Q114" s="11" t="n">
        <f aca="false">IF(Q$1&lt;Units!$P113,0,IF(AND(Units!$K113=0,Q$1=Units!$O113),Units!$R113,IF(AND(Q$1&gt;=Units!$Q113,MOD(Q$1-Units!$Q113,12)=0),IF(AND(Units!$L113=1,Q$1=Units!$Q113),IF(Units!$J113&lt;&gt;"",Units!$J113,Mkt!Q114),Inputs!$B$15*Mkt!Q114+(1-Inputs!$B$15)*MIN(Mkt!Q114,P114*(1+Inputs!$B$18))),P114)))</f>
        <v>1850</v>
      </c>
      <c r="R114" s="11" t="n">
        <f aca="false">IF(R$1&lt;Units!$P113,0,IF(AND(Units!$K113=0,R$1=Units!$O113),Units!$R113,IF(AND(R$1&gt;=Units!$Q113,MOD(R$1-Units!$Q113,12)=0),IF(AND(Units!$L113=1,R$1=Units!$Q113),IF(Units!$J113&lt;&gt;"",Units!$J113,Mkt!R114),Inputs!$B$15*Mkt!R114+(1-Inputs!$B$15)*MIN(Mkt!R114,Q114*(1+Inputs!$B$18))),Q114)))</f>
        <v>1850</v>
      </c>
      <c r="S114" s="11" t="n">
        <f aca="false">IF(S$1&lt;Units!$P113,0,IF(AND(Units!$K113=0,S$1=Units!$O113),Units!$R113,IF(AND(S$1&gt;=Units!$Q113,MOD(S$1-Units!$Q113,12)=0),IF(AND(Units!$L113=1,S$1=Units!$Q113),IF(Units!$J113&lt;&gt;"",Units!$J113,Mkt!S114),Inputs!$B$15*Mkt!S114+(1-Inputs!$B$15)*MIN(Mkt!S114,R114*(1+Inputs!$B$18))),R114)))</f>
        <v>1850</v>
      </c>
      <c r="T114" s="11" t="n">
        <f aca="false">IF(T$1&lt;Units!$P113,0,IF(AND(Units!$K113=0,T$1=Units!$O113),Units!$R113,IF(AND(T$1&gt;=Units!$Q113,MOD(T$1-Units!$Q113,12)=0),IF(AND(Units!$L113=1,T$1=Units!$Q113),IF(Units!$J113&lt;&gt;"",Units!$J113,Mkt!T114),Inputs!$B$15*Mkt!T114+(1-Inputs!$B$15)*MIN(Mkt!T114,S114*(1+Inputs!$B$18))),S114)))</f>
        <v>1850</v>
      </c>
      <c r="U114" s="11" t="n">
        <f aca="false">IF(U$1&lt;Units!$P113,0,IF(AND(Units!$K113=0,U$1=Units!$O113),Units!$R113,IF(AND(U$1&gt;=Units!$Q113,MOD(U$1-Units!$Q113,12)=0),IF(AND(Units!$L113=1,U$1=Units!$Q113),IF(Units!$J113&lt;&gt;"",Units!$J113,Mkt!U114),Inputs!$B$15*Mkt!U114+(1-Inputs!$B$15)*MIN(Mkt!U114,T114*(1+Inputs!$B$18))),T114)))</f>
        <v>1850</v>
      </c>
      <c r="V114" s="11" t="n">
        <f aca="false">IF(V$1&lt;Units!$P113,0,IF(AND(Units!$K113=0,V$1=Units!$O113),Units!$R113,IF(AND(V$1&gt;=Units!$Q113,MOD(V$1-Units!$Q113,12)=0),IF(AND(Units!$L113=1,V$1=Units!$Q113),IF(Units!$J113&lt;&gt;"",Units!$J113,Mkt!V114),Inputs!$B$15*Mkt!V114+(1-Inputs!$B$15)*MIN(Mkt!V114,U114*(1+Inputs!$B$18))),U114)))</f>
        <v>1850</v>
      </c>
      <c r="W114" s="11" t="n">
        <f aca="false">IF(W$1&lt;Units!$P113,0,IF(AND(Units!$K113=0,W$1=Units!$O113),Units!$R113,IF(AND(W$1&gt;=Units!$Q113,MOD(W$1-Units!$Q113,12)=0),IF(AND(Units!$L113=1,W$1=Units!$Q113),IF(Units!$J113&lt;&gt;"",Units!$J113,Mkt!W114),Inputs!$B$15*Mkt!W114+(1-Inputs!$B$15)*MIN(Mkt!W114,V114*(1+Inputs!$B$18))),V114)))</f>
        <v>1850</v>
      </c>
      <c r="X114" s="11" t="n">
        <f aca="false">IF(X$1&lt;Units!$P113,0,IF(AND(Units!$K113=0,X$1=Units!$O113),Units!$R113,IF(AND(X$1&gt;=Units!$Q113,MOD(X$1-Units!$Q113,12)=0),IF(AND(Units!$L113=1,X$1=Units!$Q113),IF(Units!$J113&lt;&gt;"",Units!$J113,Mkt!X114),Inputs!$B$15*Mkt!X114+(1-Inputs!$B$15)*MIN(Mkt!X114,W114*(1+Inputs!$B$18))),W114)))</f>
        <v>1850</v>
      </c>
      <c r="Y114" s="11" t="n">
        <f aca="false">IF(Y$1&lt;Units!$P113,0,IF(AND(Units!$K113=0,Y$1=Units!$O113),Units!$R113,IF(AND(Y$1&gt;=Units!$Q113,MOD(Y$1-Units!$Q113,12)=0),IF(AND(Units!$L113=1,Y$1=Units!$Q113),IF(Units!$J113&lt;&gt;"",Units!$J113,Mkt!Y114),Inputs!$B$15*Mkt!Y114+(1-Inputs!$B$15)*MIN(Mkt!Y114,X114*(1+Inputs!$B$18))),X114)))</f>
        <v>1850</v>
      </c>
      <c r="Z114" s="11" t="n">
        <f aca="false">IF(Z$1&lt;Units!$P113,0,IF(AND(Units!$K113=0,Z$1=Units!$O113),Units!$R113,IF(AND(Z$1&gt;=Units!$Q113,MOD(Z$1-Units!$Q113,12)=0),IF(AND(Units!$L113=1,Z$1=Units!$Q113),IF(Units!$J113&lt;&gt;"",Units!$J113,Mkt!Z114),Inputs!$B$15*Mkt!Z114+(1-Inputs!$B$15)*MIN(Mkt!Z114,Y114*(1+Inputs!$B$18))),Y114)))</f>
        <v>1905.5</v>
      </c>
      <c r="AA114" s="11" t="n">
        <f aca="false">IF(AA$1&lt;Units!$P113,0,IF(AND(Units!$K113=0,AA$1=Units!$O113),Units!$R113,IF(AND(AA$1&gt;=Units!$Q113,MOD(AA$1-Units!$Q113,12)=0),IF(AND(Units!$L113=1,AA$1=Units!$Q113),IF(Units!$J113&lt;&gt;"",Units!$J113,Mkt!AA114),Inputs!$B$15*Mkt!AA114+(1-Inputs!$B$15)*MIN(Mkt!AA114,Z114*(1+Inputs!$B$18))),Z114)))</f>
        <v>1905.5</v>
      </c>
      <c r="AB114" s="11" t="n">
        <f aca="false">IF(AB$1&lt;Units!$P113,0,IF(AND(Units!$K113=0,AB$1=Units!$O113),Units!$R113,IF(AND(AB$1&gt;=Units!$Q113,MOD(AB$1-Units!$Q113,12)=0),IF(AND(Units!$L113=1,AB$1=Units!$Q113),IF(Units!$J113&lt;&gt;"",Units!$J113,Mkt!AB114),Inputs!$B$15*Mkt!AB114+(1-Inputs!$B$15)*MIN(Mkt!AB114,AA114*(1+Inputs!$B$18))),AA114)))</f>
        <v>1905.5</v>
      </c>
      <c r="AC114" s="11" t="n">
        <f aca="false">IF(AC$1&lt;Units!$P113,0,IF(AND(Units!$K113=0,AC$1=Units!$O113),Units!$R113,IF(AND(AC$1&gt;=Units!$Q113,MOD(AC$1-Units!$Q113,12)=0),IF(AND(Units!$L113=1,AC$1=Units!$Q113),IF(Units!$J113&lt;&gt;"",Units!$J113,Mkt!AC114),Inputs!$B$15*Mkt!AC114+(1-Inputs!$B$15)*MIN(Mkt!AC114,AB114*(1+Inputs!$B$18))),AB114)))</f>
        <v>1905.5</v>
      </c>
      <c r="AD114" s="11" t="n">
        <f aca="false">IF(AD$1&lt;Units!$P113,0,IF(AND(Units!$K113=0,AD$1=Units!$O113),Units!$R113,IF(AND(AD$1&gt;=Units!$Q113,MOD(AD$1-Units!$Q113,12)=0),IF(AND(Units!$L113=1,AD$1=Units!$Q113),IF(Units!$J113&lt;&gt;"",Units!$J113,Mkt!AD114),Inputs!$B$15*Mkt!AD114+(1-Inputs!$B$15)*MIN(Mkt!AD114,AC114*(1+Inputs!$B$18))),AC114)))</f>
        <v>1905.5</v>
      </c>
      <c r="AE114" s="11" t="n">
        <f aca="false">IF(AE$1&lt;Units!$P113,0,IF(AND(Units!$K113=0,AE$1=Units!$O113),Units!$R113,IF(AND(AE$1&gt;=Units!$Q113,MOD(AE$1-Units!$Q113,12)=0),IF(AND(Units!$L113=1,AE$1=Units!$Q113),IF(Units!$J113&lt;&gt;"",Units!$J113,Mkt!AE114),Inputs!$B$15*Mkt!AE114+(1-Inputs!$B$15)*MIN(Mkt!AE114,AD114*(1+Inputs!$B$18))),AD114)))</f>
        <v>1905.5</v>
      </c>
      <c r="AF114" s="11" t="n">
        <f aca="false">IF(AF$1&lt;Units!$P113,0,IF(AND(Units!$K113=0,AF$1=Units!$O113),Units!$R113,IF(AND(AF$1&gt;=Units!$Q113,MOD(AF$1-Units!$Q113,12)=0),IF(AND(Units!$L113=1,AF$1=Units!$Q113),IF(Units!$J113&lt;&gt;"",Units!$J113,Mkt!AF114),Inputs!$B$15*Mkt!AF114+(1-Inputs!$B$15)*MIN(Mkt!AF114,AE114*(1+Inputs!$B$18))),AE114)))</f>
        <v>1905.5</v>
      </c>
      <c r="AG114" s="11" t="n">
        <f aca="false">IF(AG$1&lt;Units!$P113,0,IF(AND(Units!$K113=0,AG$1=Units!$O113),Units!$R113,IF(AND(AG$1&gt;=Units!$Q113,MOD(AG$1-Units!$Q113,12)=0),IF(AND(Units!$L113=1,AG$1=Units!$Q113),IF(Units!$J113&lt;&gt;"",Units!$J113,Mkt!AG114),Inputs!$B$15*Mkt!AG114+(1-Inputs!$B$15)*MIN(Mkt!AG114,AF114*(1+Inputs!$B$18))),AF114)))</f>
        <v>1905.5</v>
      </c>
      <c r="AH114" s="11" t="n">
        <f aca="false">IF(AH$1&lt;Units!$P113,0,IF(AND(Units!$K113=0,AH$1=Units!$O113),Units!$R113,IF(AND(AH$1&gt;=Units!$Q113,MOD(AH$1-Units!$Q113,12)=0),IF(AND(Units!$L113=1,AH$1=Units!$Q113),IF(Units!$J113&lt;&gt;"",Units!$J113,Mkt!AH114),Inputs!$B$15*Mkt!AH114+(1-Inputs!$B$15)*MIN(Mkt!AH114,AG114*(1+Inputs!$B$18))),AG114)))</f>
        <v>1905.5</v>
      </c>
      <c r="AI114" s="11" t="n">
        <f aca="false">IF(AI$1&lt;Units!$P113,0,IF(AND(Units!$K113=0,AI$1=Units!$O113),Units!$R113,IF(AND(AI$1&gt;=Units!$Q113,MOD(AI$1-Units!$Q113,12)=0),IF(AND(Units!$L113=1,AI$1=Units!$Q113),IF(Units!$J113&lt;&gt;"",Units!$J113,Mkt!AI114),Inputs!$B$15*Mkt!AI114+(1-Inputs!$B$15)*MIN(Mkt!AI114,AH114*(1+Inputs!$B$18))),AH114)))</f>
        <v>1905.5</v>
      </c>
      <c r="AJ114" s="11" t="n">
        <f aca="false">IF(AJ$1&lt;Units!$P113,0,IF(AND(Units!$K113=0,AJ$1=Units!$O113),Units!$R113,IF(AND(AJ$1&gt;=Units!$Q113,MOD(AJ$1-Units!$Q113,12)=0),IF(AND(Units!$L113=1,AJ$1=Units!$Q113),IF(Units!$J113&lt;&gt;"",Units!$J113,Mkt!AJ114),Inputs!$B$15*Mkt!AJ114+(1-Inputs!$B$15)*MIN(Mkt!AJ114,AI114*(1+Inputs!$B$18))),AI114)))</f>
        <v>1905.5</v>
      </c>
      <c r="AK114" s="11" t="n">
        <f aca="false">IF(AK$1&lt;Units!$P113,0,IF(AND(Units!$K113=0,AK$1=Units!$O113),Units!$R113,IF(AND(AK$1&gt;=Units!$Q113,MOD(AK$1-Units!$Q113,12)=0),IF(AND(Units!$L113=1,AK$1=Units!$Q113),IF(Units!$J113&lt;&gt;"",Units!$J113,Mkt!AK114),Inputs!$B$15*Mkt!AK114+(1-Inputs!$B$15)*MIN(Mkt!AK114,AJ114*(1+Inputs!$B$18))),AJ114)))</f>
        <v>1905.5</v>
      </c>
      <c r="AL114" s="11" t="n">
        <f aca="false">IF(AL$1&lt;Units!$P113,0,IF(AND(Units!$K113=0,AL$1=Units!$O113),Units!$R113,IF(AND(AL$1&gt;=Units!$Q113,MOD(AL$1-Units!$Q113,12)=0),IF(AND(Units!$L113=1,AL$1=Units!$Q113),IF(Units!$J113&lt;&gt;"",Units!$J113,Mkt!AL114),Inputs!$B$15*Mkt!AL114+(1-Inputs!$B$15)*MIN(Mkt!AL114,AK114*(1+Inputs!$B$18))),AK114)))</f>
        <v>1962.665</v>
      </c>
      <c r="AM114" s="11" t="n">
        <f aca="false">IF(AM$1&lt;Units!$P113,0,IF(AND(Units!$K113=0,AM$1=Units!$O113),Units!$R113,IF(AND(AM$1&gt;=Units!$Q113,MOD(AM$1-Units!$Q113,12)=0),IF(AND(Units!$L113=1,AM$1=Units!$Q113),IF(Units!$J113&lt;&gt;"",Units!$J113,Mkt!AM114),Inputs!$B$15*Mkt!AM114+(1-Inputs!$B$15)*MIN(Mkt!AM114,AL114*(1+Inputs!$B$18))),AL114)))</f>
        <v>1962.665</v>
      </c>
      <c r="AN114" s="11" t="n">
        <f aca="false">IF(AN$1&lt;Units!$P113,0,IF(AND(Units!$K113=0,AN$1=Units!$O113),Units!$R113,IF(AND(AN$1&gt;=Units!$Q113,MOD(AN$1-Units!$Q113,12)=0),IF(AND(Units!$L113=1,AN$1=Units!$Q113),IF(Units!$J113&lt;&gt;"",Units!$J113,Mkt!AN114),Inputs!$B$15*Mkt!AN114+(1-Inputs!$B$15)*MIN(Mkt!AN114,AM114*(1+Inputs!$B$18))),AM114)))</f>
        <v>1962.665</v>
      </c>
      <c r="AO114" s="11" t="n">
        <f aca="false">IF(AO$1&lt;Units!$P113,0,IF(AND(Units!$K113=0,AO$1=Units!$O113),Units!$R113,IF(AND(AO$1&gt;=Units!$Q113,MOD(AO$1-Units!$Q113,12)=0),IF(AND(Units!$L113=1,AO$1=Units!$Q113),IF(Units!$J113&lt;&gt;"",Units!$J113,Mkt!AO114),Inputs!$B$15*Mkt!AO114+(1-Inputs!$B$15)*MIN(Mkt!AO114,AN114*(1+Inputs!$B$18))),AN114)))</f>
        <v>1962.665</v>
      </c>
      <c r="AP114" s="11" t="n">
        <f aca="false">IF(AP$1&lt;Units!$P113,0,IF(AND(Units!$K113=0,AP$1=Units!$O113),Units!$R113,IF(AND(AP$1&gt;=Units!$Q113,MOD(AP$1-Units!$Q113,12)=0),IF(AND(Units!$L113=1,AP$1=Units!$Q113),IF(Units!$J113&lt;&gt;"",Units!$J113,Mkt!AP114),Inputs!$B$15*Mkt!AP114+(1-Inputs!$B$15)*MIN(Mkt!AP114,AO114*(1+Inputs!$B$18))),AO114)))</f>
        <v>1962.665</v>
      </c>
      <c r="AQ114" s="11" t="n">
        <f aca="false">IF(AQ$1&lt;Units!$P113,0,IF(AND(Units!$K113=0,AQ$1=Units!$O113),Units!$R113,IF(AND(AQ$1&gt;=Units!$Q113,MOD(AQ$1-Units!$Q113,12)=0),IF(AND(Units!$L113=1,AQ$1=Units!$Q113),IF(Units!$J113&lt;&gt;"",Units!$J113,Mkt!AQ114),Inputs!$B$15*Mkt!AQ114+(1-Inputs!$B$15)*MIN(Mkt!AQ114,AP114*(1+Inputs!$B$18))),AP114)))</f>
        <v>1962.665</v>
      </c>
      <c r="AR114" s="11" t="n">
        <f aca="false">IF(AR$1&lt;Units!$P113,0,IF(AND(Units!$K113=0,AR$1=Units!$O113),Units!$R113,IF(AND(AR$1&gt;=Units!$Q113,MOD(AR$1-Units!$Q113,12)=0),IF(AND(Units!$L113=1,AR$1=Units!$Q113),IF(Units!$J113&lt;&gt;"",Units!$J113,Mkt!AR114),Inputs!$B$15*Mkt!AR114+(1-Inputs!$B$15)*MIN(Mkt!AR114,AQ114*(1+Inputs!$B$18))),AQ114)))</f>
        <v>1962.665</v>
      </c>
      <c r="AS114" s="11" t="n">
        <f aca="false">IF(AS$1&lt;Units!$P113,0,IF(AND(Units!$K113=0,AS$1=Units!$O113),Units!$R113,IF(AND(AS$1&gt;=Units!$Q113,MOD(AS$1-Units!$Q113,12)=0),IF(AND(Units!$L113=1,AS$1=Units!$Q113),IF(Units!$J113&lt;&gt;"",Units!$J113,Mkt!AS114),Inputs!$B$15*Mkt!AS114+(1-Inputs!$B$15)*MIN(Mkt!AS114,AR114*(1+Inputs!$B$18))),AR114)))</f>
        <v>1962.665</v>
      </c>
      <c r="AT114" s="11" t="n">
        <f aca="false">IF(AT$1&lt;Units!$P113,0,IF(AND(Units!$K113=0,AT$1=Units!$O113),Units!$R113,IF(AND(AT$1&gt;=Units!$Q113,MOD(AT$1-Units!$Q113,12)=0),IF(AND(Units!$L113=1,AT$1=Units!$Q113),IF(Units!$J113&lt;&gt;"",Units!$J113,Mkt!AT114),Inputs!$B$15*Mkt!AT114+(1-Inputs!$B$15)*MIN(Mkt!AT114,AS114*(1+Inputs!$B$18))),AS114)))</f>
        <v>1962.665</v>
      </c>
      <c r="AU114" s="11" t="n">
        <f aca="false">IF(AU$1&lt;Units!$P113,0,IF(AND(Units!$K113=0,AU$1=Units!$O113),Units!$R113,IF(AND(AU$1&gt;=Units!$Q113,MOD(AU$1-Units!$Q113,12)=0),IF(AND(Units!$L113=1,AU$1=Units!$Q113),IF(Units!$J113&lt;&gt;"",Units!$J113,Mkt!AU114),Inputs!$B$15*Mkt!AU114+(1-Inputs!$B$15)*MIN(Mkt!AU114,AT114*(1+Inputs!$B$18))),AT114)))</f>
        <v>1962.665</v>
      </c>
      <c r="AV114" s="11" t="n">
        <f aca="false">IF(AV$1&lt;Units!$P113,0,IF(AND(Units!$K113=0,AV$1=Units!$O113),Units!$R113,IF(AND(AV$1&gt;=Units!$Q113,MOD(AV$1-Units!$Q113,12)=0),IF(AND(Units!$L113=1,AV$1=Units!$Q113),IF(Units!$J113&lt;&gt;"",Units!$J113,Mkt!AV114),Inputs!$B$15*Mkt!AV114+(1-Inputs!$B$15)*MIN(Mkt!AV114,AU114*(1+Inputs!$B$18))),AU114)))</f>
        <v>1962.665</v>
      </c>
      <c r="AW114" s="11" t="n">
        <f aca="false">IF(AW$1&lt;Units!$P113,0,IF(AND(Units!$K113=0,AW$1=Units!$O113),Units!$R113,IF(AND(AW$1&gt;=Units!$Q113,MOD(AW$1-Units!$Q113,12)=0),IF(AND(Units!$L113=1,AW$1=Units!$Q113),IF(Units!$J113&lt;&gt;"",Units!$J113,Mkt!AW114),Inputs!$B$15*Mkt!AW114+(1-Inputs!$B$15)*MIN(Mkt!AW114,AV114*(1+Inputs!$B$18))),AV114)))</f>
        <v>1962.665</v>
      </c>
      <c r="AX114" s="11" t="n">
        <f aca="false">IF(AX$1&lt;Units!$P113,0,IF(AND(Units!$K113=0,AX$1=Units!$O113),Units!$R113,IF(AND(AX$1&gt;=Units!$Q113,MOD(AX$1-Units!$Q113,12)=0),IF(AND(Units!$L113=1,AX$1=Units!$Q113),IF(Units!$J113&lt;&gt;"",Units!$J113,Mkt!AX114),Inputs!$B$15*Mkt!AX114+(1-Inputs!$B$15)*MIN(Mkt!AX114,AW114*(1+Inputs!$B$18))),AW114)))</f>
        <v>2021.54495</v>
      </c>
      <c r="AY114" s="11" t="n">
        <f aca="false">IF(AY$1&lt;Units!$P113,0,IF(AND(Units!$K113=0,AY$1=Units!$O113),Units!$R113,IF(AND(AY$1&gt;=Units!$Q113,MOD(AY$1-Units!$Q113,12)=0),IF(AND(Units!$L113=1,AY$1=Units!$Q113),IF(Units!$J113&lt;&gt;"",Units!$J113,Mkt!AY114),Inputs!$B$15*Mkt!AY114+(1-Inputs!$B$15)*MIN(Mkt!AY114,AX114*(1+Inputs!$B$18))),AX114)))</f>
        <v>2021.54495</v>
      </c>
      <c r="AZ114" s="11" t="n">
        <f aca="false">IF(AZ$1&lt;Units!$P113,0,IF(AND(Units!$K113=0,AZ$1=Units!$O113),Units!$R113,IF(AND(AZ$1&gt;=Units!$Q113,MOD(AZ$1-Units!$Q113,12)=0),IF(AND(Units!$L113=1,AZ$1=Units!$Q113),IF(Units!$J113&lt;&gt;"",Units!$J113,Mkt!AZ114),Inputs!$B$15*Mkt!AZ114+(1-Inputs!$B$15)*MIN(Mkt!AZ114,AY114*(1+Inputs!$B$18))),AY114)))</f>
        <v>2021.54495</v>
      </c>
      <c r="BA114" s="11" t="n">
        <f aca="false">IF(BA$1&lt;Units!$P113,0,IF(AND(Units!$K113=0,BA$1=Units!$O113),Units!$R113,IF(AND(BA$1&gt;=Units!$Q113,MOD(BA$1-Units!$Q113,12)=0),IF(AND(Units!$L113=1,BA$1=Units!$Q113),IF(Units!$J113&lt;&gt;"",Units!$J113,Mkt!BA114),Inputs!$B$15*Mkt!BA114+(1-Inputs!$B$15)*MIN(Mkt!BA114,AZ114*(1+Inputs!$B$18))),AZ114)))</f>
        <v>2021.54495</v>
      </c>
      <c r="BB114" s="11" t="n">
        <f aca="false">IF(BB$1&lt;Units!$P113,0,IF(AND(Units!$K113=0,BB$1=Units!$O113),Units!$R113,IF(AND(BB$1&gt;=Units!$Q113,MOD(BB$1-Units!$Q113,12)=0),IF(AND(Units!$L113=1,BB$1=Units!$Q113),IF(Units!$J113&lt;&gt;"",Units!$J113,Mkt!BB114),Inputs!$B$15*Mkt!BB114+(1-Inputs!$B$15)*MIN(Mkt!BB114,BA114*(1+Inputs!$B$18))),BA114)))</f>
        <v>2021.54495</v>
      </c>
      <c r="BC114" s="11" t="n">
        <f aca="false">IF(BC$1&lt;Units!$P113,0,IF(AND(Units!$K113=0,BC$1=Units!$O113),Units!$R113,IF(AND(BC$1&gt;=Units!$Q113,MOD(BC$1-Units!$Q113,12)=0),IF(AND(Units!$L113=1,BC$1=Units!$Q113),IF(Units!$J113&lt;&gt;"",Units!$J113,Mkt!BC114),Inputs!$B$15*Mkt!BC114+(1-Inputs!$B$15)*MIN(Mkt!BC114,BB114*(1+Inputs!$B$18))),BB114)))</f>
        <v>2021.54495</v>
      </c>
      <c r="BD114" s="11" t="n">
        <f aca="false">IF(BD$1&lt;Units!$P113,0,IF(AND(Units!$K113=0,BD$1=Units!$O113),Units!$R113,IF(AND(BD$1&gt;=Units!$Q113,MOD(BD$1-Units!$Q113,12)=0),IF(AND(Units!$L113=1,BD$1=Units!$Q113),IF(Units!$J113&lt;&gt;"",Units!$J113,Mkt!BD114),Inputs!$B$15*Mkt!BD114+(1-Inputs!$B$15)*MIN(Mkt!BD114,BC114*(1+Inputs!$B$18))),BC114)))</f>
        <v>2021.54495</v>
      </c>
      <c r="BE114" s="11" t="n">
        <f aca="false">IF(BE$1&lt;Units!$P113,0,IF(AND(Units!$K113=0,BE$1=Units!$O113),Units!$R113,IF(AND(BE$1&gt;=Units!$Q113,MOD(BE$1-Units!$Q113,12)=0),IF(AND(Units!$L113=1,BE$1=Units!$Q113),IF(Units!$J113&lt;&gt;"",Units!$J113,Mkt!BE114),Inputs!$B$15*Mkt!BE114+(1-Inputs!$B$15)*MIN(Mkt!BE114,BD114*(1+Inputs!$B$18))),BD114)))</f>
        <v>2021.54495</v>
      </c>
      <c r="BF114" s="11" t="n">
        <f aca="false">IF(BF$1&lt;Units!$P113,0,IF(AND(Units!$K113=0,BF$1=Units!$O113),Units!$R113,IF(AND(BF$1&gt;=Units!$Q113,MOD(BF$1-Units!$Q113,12)=0),IF(AND(Units!$L113=1,BF$1=Units!$Q113),IF(Units!$J113&lt;&gt;"",Units!$J113,Mkt!BF114),Inputs!$B$15*Mkt!BF114+(1-Inputs!$B$15)*MIN(Mkt!BF114,BE114*(1+Inputs!$B$18))),BE114)))</f>
        <v>2021.54495</v>
      </c>
      <c r="BG114" s="11" t="n">
        <f aca="false">IF(BG$1&lt;Units!$P113,0,IF(AND(Units!$K113=0,BG$1=Units!$O113),Units!$R113,IF(AND(BG$1&gt;=Units!$Q113,MOD(BG$1-Units!$Q113,12)=0),IF(AND(Units!$L113=1,BG$1=Units!$Q113),IF(Units!$J113&lt;&gt;"",Units!$J113,Mkt!BG114),Inputs!$B$15*Mkt!BG114+(1-Inputs!$B$15)*MIN(Mkt!BG114,BF114*(1+Inputs!$B$18))),BF114)))</f>
        <v>2021.54495</v>
      </c>
      <c r="BH114" s="11" t="n">
        <f aca="false">IF(BH$1&lt;Units!$P113,0,IF(AND(Units!$K113=0,BH$1=Units!$O113),Units!$R113,IF(AND(BH$1&gt;=Units!$Q113,MOD(BH$1-Units!$Q113,12)=0),IF(AND(Units!$L113=1,BH$1=Units!$Q113),IF(Units!$J113&lt;&gt;"",Units!$J113,Mkt!BH114),Inputs!$B$15*Mkt!BH114+(1-Inputs!$B$15)*MIN(Mkt!BH114,BG114*(1+Inputs!$B$18))),BG114)))</f>
        <v>2021.54495</v>
      </c>
      <c r="BI114" s="11" t="n">
        <f aca="false">IF(BI$1&lt;Units!$P113,0,IF(AND(Units!$K113=0,BI$1=Units!$O113),Units!$R113,IF(AND(BI$1&gt;=Units!$Q113,MOD(BI$1-Units!$Q113,12)=0),IF(AND(Units!$L113=1,BI$1=Units!$Q113),IF(Units!$J113&lt;&gt;"",Units!$J113,Mkt!BI114),Inputs!$B$15*Mkt!BI114+(1-Inputs!$B$15)*MIN(Mkt!BI114,BH114*(1+Inputs!$B$18))),BH114)))</f>
        <v>2021.54495</v>
      </c>
      <c r="BJ114" s="11" t="n">
        <f aca="false">IF(BJ$1&lt;Units!$P113,0,IF(AND(Units!$K113=0,BJ$1=Units!$O113),Units!$R113,IF(AND(BJ$1&gt;=Units!$Q113,MOD(BJ$1-Units!$Q113,12)=0),IF(AND(Units!$L113=1,BJ$1=Units!$Q113),IF(Units!$J113&lt;&gt;"",Units!$J113,Mkt!BJ114),Inputs!$B$15*Mkt!BJ114+(1-Inputs!$B$15)*MIN(Mkt!BJ114,BI114*(1+Inputs!$B$18))),BI114)))</f>
        <v>2082.1912985</v>
      </c>
      <c r="BK114" s="11" t="n">
        <f aca="false">IF(BK$1&lt;Units!$P113,0,IF(AND(Units!$K113=0,BK$1=Units!$O113),Units!$R113,IF(AND(BK$1&gt;=Units!$Q113,MOD(BK$1-Units!$Q113,12)=0),IF(AND(Units!$L113=1,BK$1=Units!$Q113),IF(Units!$J113&lt;&gt;"",Units!$J113,Mkt!BK114),Inputs!$B$15*Mkt!BK114+(1-Inputs!$B$15)*MIN(Mkt!BK114,BJ114*(1+Inputs!$B$18))),BJ114)))</f>
        <v>2082.1912985</v>
      </c>
      <c r="BL114" s="11" t="n">
        <f aca="false">IF(BL$1&lt;Units!$P113,0,IF(AND(Units!$K113=0,BL$1=Units!$O113),Units!$R113,IF(AND(BL$1&gt;=Units!$Q113,MOD(BL$1-Units!$Q113,12)=0),IF(AND(Units!$L113=1,BL$1=Units!$Q113),IF(Units!$J113&lt;&gt;"",Units!$J113,Mkt!BL114),Inputs!$B$15*Mkt!BL114+(1-Inputs!$B$15)*MIN(Mkt!BL114,BK114*(1+Inputs!$B$18))),BK114)))</f>
        <v>2082.1912985</v>
      </c>
      <c r="BM114" s="11" t="n">
        <f aca="false">IF(BM$1&lt;Units!$P113,0,IF(AND(Units!$K113=0,BM$1=Units!$O113),Units!$R113,IF(AND(BM$1&gt;=Units!$Q113,MOD(BM$1-Units!$Q113,12)=0),IF(AND(Units!$L113=1,BM$1=Units!$Q113),IF(Units!$J113&lt;&gt;"",Units!$J113,Mkt!BM114),Inputs!$B$15*Mkt!BM114+(1-Inputs!$B$15)*MIN(Mkt!BM114,BL114*(1+Inputs!$B$18))),BL114)))</f>
        <v>2082.1912985</v>
      </c>
      <c r="BN114" s="11" t="n">
        <f aca="false">IF(BN$1&lt;Units!$P113,0,IF(AND(Units!$K113=0,BN$1=Units!$O113),Units!$R113,IF(AND(BN$1&gt;=Units!$Q113,MOD(BN$1-Units!$Q113,12)=0),IF(AND(Units!$L113=1,BN$1=Units!$Q113),IF(Units!$J113&lt;&gt;"",Units!$J113,Mkt!BN114),Inputs!$B$15*Mkt!BN114+(1-Inputs!$B$15)*MIN(Mkt!BN114,BM114*(1+Inputs!$B$18))),BM114)))</f>
        <v>2082.1912985</v>
      </c>
      <c r="BO114" s="11" t="n">
        <f aca="false">IF(BO$1&lt;Units!$P113,0,IF(AND(Units!$K113=0,BO$1=Units!$O113),Units!$R113,IF(AND(BO$1&gt;=Units!$Q113,MOD(BO$1-Units!$Q113,12)=0),IF(AND(Units!$L113=1,BO$1=Units!$Q113),IF(Units!$J113&lt;&gt;"",Units!$J113,Mkt!BO114),Inputs!$B$15*Mkt!BO114+(1-Inputs!$B$15)*MIN(Mkt!BO114,BN114*(1+Inputs!$B$18))),BN114)))</f>
        <v>2082.1912985</v>
      </c>
      <c r="BP114" s="11" t="n">
        <f aca="false">IF(BP$1&lt;Units!$P113,0,IF(AND(Units!$K113=0,BP$1=Units!$O113),Units!$R113,IF(AND(BP$1&gt;=Units!$Q113,MOD(BP$1-Units!$Q113,12)=0),IF(AND(Units!$L113=1,BP$1=Units!$Q113),IF(Units!$J113&lt;&gt;"",Units!$J113,Mkt!BP114),Inputs!$B$15*Mkt!BP114+(1-Inputs!$B$15)*MIN(Mkt!BP114,BO114*(1+Inputs!$B$18))),BO114)))</f>
        <v>2082.1912985</v>
      </c>
      <c r="BQ114" s="11" t="n">
        <f aca="false">IF(BQ$1&lt;Units!$P113,0,IF(AND(Units!$K113=0,BQ$1=Units!$O113),Units!$R113,IF(AND(BQ$1&gt;=Units!$Q113,MOD(BQ$1-Units!$Q113,12)=0),IF(AND(Units!$L113=1,BQ$1=Units!$Q113),IF(Units!$J113&lt;&gt;"",Units!$J113,Mkt!BQ114),Inputs!$B$15*Mkt!BQ114+(1-Inputs!$B$15)*MIN(Mkt!BQ114,BP114*(1+Inputs!$B$18))),BP114)))</f>
        <v>2082.1912985</v>
      </c>
      <c r="BR114" s="11" t="n">
        <f aca="false">IF(BR$1&lt;Units!$P113,0,IF(AND(Units!$K113=0,BR$1=Units!$O113),Units!$R113,IF(AND(BR$1&gt;=Units!$Q113,MOD(BR$1-Units!$Q113,12)=0),IF(AND(Units!$L113=1,BR$1=Units!$Q113),IF(Units!$J113&lt;&gt;"",Units!$J113,Mkt!BR114),Inputs!$B$15*Mkt!BR114+(1-Inputs!$B$15)*MIN(Mkt!BR114,BQ114*(1+Inputs!$B$18))),BQ114)))</f>
        <v>2082.1912985</v>
      </c>
      <c r="BS114" s="11" t="n">
        <f aca="false">IF(BS$1&lt;Units!$P113,0,IF(AND(Units!$K113=0,BS$1=Units!$O113),Units!$R113,IF(AND(BS$1&gt;=Units!$Q113,MOD(BS$1-Units!$Q113,12)=0),IF(AND(Units!$L113=1,BS$1=Units!$Q113),IF(Units!$J113&lt;&gt;"",Units!$J113,Mkt!BS114),Inputs!$B$15*Mkt!BS114+(1-Inputs!$B$15)*MIN(Mkt!BS114,BR114*(1+Inputs!$B$18))),BR114)))</f>
        <v>2082.1912985</v>
      </c>
      <c r="BT114" s="11" t="n">
        <f aca="false">IF(BT$1&lt;Units!$P113,0,IF(AND(Units!$K113=0,BT$1=Units!$O113),Units!$R113,IF(AND(BT$1&gt;=Units!$Q113,MOD(BT$1-Units!$Q113,12)=0),IF(AND(Units!$L113=1,BT$1=Units!$Q113),IF(Units!$J113&lt;&gt;"",Units!$J113,Mkt!BT114),Inputs!$B$15*Mkt!BT114+(1-Inputs!$B$15)*MIN(Mkt!BT114,BS114*(1+Inputs!$B$18))),BS114)))</f>
        <v>2082.1912985</v>
      </c>
      <c r="BU114" s="11" t="n">
        <f aca="false">IF(BU$1&lt;Units!$P113,0,IF(AND(Units!$K113=0,BU$1=Units!$O113),Units!$R113,IF(AND(BU$1&gt;=Units!$Q113,MOD(BU$1-Units!$Q113,12)=0),IF(AND(Units!$L113=1,BU$1=Units!$Q113),IF(Units!$J113&lt;&gt;"",Units!$J113,Mkt!BU114),Inputs!$B$15*Mkt!BU114+(1-Inputs!$B$15)*MIN(Mkt!BU114,BT114*(1+Inputs!$B$18))),BT114)))</f>
        <v>2082.1912985</v>
      </c>
      <c r="BV114" s="11" t="n">
        <f aca="false">IF(BV$1&lt;Units!$P113,0,IF(AND(Units!$K113=0,BV$1=Units!$O113),Units!$R113,IF(AND(BV$1&gt;=Units!$Q113,MOD(BV$1-Units!$Q113,12)=0),IF(AND(Units!$L113=1,BV$1=Units!$Q113),IF(Units!$J113&lt;&gt;"",Units!$J113,Mkt!BV114),Inputs!$B$15*Mkt!BV114+(1-Inputs!$B$15)*MIN(Mkt!BV114,BU114*(1+Inputs!$B$18))),BU114)))</f>
        <v>2144.657037455</v>
      </c>
      <c r="BW114" s="11" t="n">
        <f aca="false">IF(BW$1&lt;Units!$P113,0,IF(AND(Units!$K113=0,BW$1=Units!$O113),Units!$R113,IF(AND(BW$1&gt;=Units!$Q113,MOD(BW$1-Units!$Q113,12)=0),IF(AND(Units!$L113=1,BW$1=Units!$Q113),IF(Units!$J113&lt;&gt;"",Units!$J113,Mkt!BW114),Inputs!$B$15*Mkt!BW114+(1-Inputs!$B$15)*MIN(Mkt!BW114,BV114*(1+Inputs!$B$18))),BV114)))</f>
        <v>2144.657037455</v>
      </c>
      <c r="BX114" s="11" t="n">
        <f aca="false">IF(BX$1&lt;Units!$P113,0,IF(AND(Units!$K113=0,BX$1=Units!$O113),Units!$R113,IF(AND(BX$1&gt;=Units!$Q113,MOD(BX$1-Units!$Q113,12)=0),IF(AND(Units!$L113=1,BX$1=Units!$Q113),IF(Units!$J113&lt;&gt;"",Units!$J113,Mkt!BX114),Inputs!$B$15*Mkt!BX114+(1-Inputs!$B$15)*MIN(Mkt!BX114,BW114*(1+Inputs!$B$18))),BW114)))</f>
        <v>2144.657037455</v>
      </c>
      <c r="BY114" s="11" t="n">
        <f aca="false">IF(BY$1&lt;Units!$P113,0,IF(AND(Units!$K113=0,BY$1=Units!$O113),Units!$R113,IF(AND(BY$1&gt;=Units!$Q113,MOD(BY$1-Units!$Q113,12)=0),IF(AND(Units!$L113=1,BY$1=Units!$Q113),IF(Units!$J113&lt;&gt;"",Units!$J113,Mkt!BY114),Inputs!$B$15*Mkt!BY114+(1-Inputs!$B$15)*MIN(Mkt!BY114,BX114*(1+Inputs!$B$18))),BX114)))</f>
        <v>2144.657037455</v>
      </c>
      <c r="BZ114" s="11" t="n">
        <f aca="false">IF(BZ$1&lt;Units!$P113,0,IF(AND(Units!$K113=0,BZ$1=Units!$O113),Units!$R113,IF(AND(BZ$1&gt;=Units!$Q113,MOD(BZ$1-Units!$Q113,12)=0),IF(AND(Units!$L113=1,BZ$1=Units!$Q113),IF(Units!$J113&lt;&gt;"",Units!$J113,Mkt!BZ114),Inputs!$B$15*Mkt!BZ114+(1-Inputs!$B$15)*MIN(Mkt!BZ114,BY114*(1+Inputs!$B$18))),BY114)))</f>
        <v>2144.657037455</v>
      </c>
      <c r="CA114" s="11" t="n">
        <f aca="false">IF(CA$1&lt;Units!$P113,0,IF(AND(Units!$K113=0,CA$1=Units!$O113),Units!$R113,IF(AND(CA$1&gt;=Units!$Q113,MOD(CA$1-Units!$Q113,12)=0),IF(AND(Units!$L113=1,CA$1=Units!$Q113),IF(Units!$J113&lt;&gt;"",Units!$J113,Mkt!CA114),Inputs!$B$15*Mkt!CA114+(1-Inputs!$B$15)*MIN(Mkt!CA114,BZ114*(1+Inputs!$B$18))),BZ114)))</f>
        <v>2144.657037455</v>
      </c>
      <c r="CB114" s="11" t="n">
        <f aca="false">IF(CB$1&lt;Units!$P113,0,IF(AND(Units!$K113=0,CB$1=Units!$O113),Units!$R113,IF(AND(CB$1&gt;=Units!$Q113,MOD(CB$1-Units!$Q113,12)=0),IF(AND(Units!$L113=1,CB$1=Units!$Q113),IF(Units!$J113&lt;&gt;"",Units!$J113,Mkt!CB114),Inputs!$B$15*Mkt!CB114+(1-Inputs!$B$15)*MIN(Mkt!CB114,CA114*(1+Inputs!$B$18))),CA114)))</f>
        <v>2144.657037455</v>
      </c>
      <c r="CC114" s="11" t="n">
        <f aca="false">IF(CC$1&lt;Units!$P113,0,IF(AND(Units!$K113=0,CC$1=Units!$O113),Units!$R113,IF(AND(CC$1&gt;=Units!$Q113,MOD(CC$1-Units!$Q113,12)=0),IF(AND(Units!$L113=1,CC$1=Units!$Q113),IF(Units!$J113&lt;&gt;"",Units!$J113,Mkt!CC114),Inputs!$B$15*Mkt!CC114+(1-Inputs!$B$15)*MIN(Mkt!CC114,CB114*(1+Inputs!$B$18))),CB114)))</f>
        <v>2144.657037455</v>
      </c>
      <c r="CD114" s="11" t="n">
        <f aca="false">IF(CD$1&lt;Units!$P113,0,IF(AND(Units!$K113=0,CD$1=Units!$O113),Units!$R113,IF(AND(CD$1&gt;=Units!$Q113,MOD(CD$1-Units!$Q113,12)=0),IF(AND(Units!$L113=1,CD$1=Units!$Q113),IF(Units!$J113&lt;&gt;"",Units!$J113,Mkt!CD114),Inputs!$B$15*Mkt!CD114+(1-Inputs!$B$15)*MIN(Mkt!CD114,CC114*(1+Inputs!$B$18))),CC114)))</f>
        <v>2144.657037455</v>
      </c>
      <c r="CE114" s="11" t="n">
        <f aca="false">IF(CE$1&lt;Units!$P113,0,IF(AND(Units!$K113=0,CE$1=Units!$O113),Units!$R113,IF(AND(CE$1&gt;=Units!$Q113,MOD(CE$1-Units!$Q113,12)=0),IF(AND(Units!$L113=1,CE$1=Units!$Q113),IF(Units!$J113&lt;&gt;"",Units!$J113,Mkt!CE114),Inputs!$B$15*Mkt!CE114+(1-Inputs!$B$15)*MIN(Mkt!CE114,CD114*(1+Inputs!$B$18))),CD114)))</f>
        <v>2144.657037455</v>
      </c>
      <c r="CF114" s="11" t="n">
        <f aca="false">IF(CF$1&lt;Units!$P113,0,IF(AND(Units!$K113=0,CF$1=Units!$O113),Units!$R113,IF(AND(CF$1&gt;=Units!$Q113,MOD(CF$1-Units!$Q113,12)=0),IF(AND(Units!$L113=1,CF$1=Units!$Q113),IF(Units!$J113&lt;&gt;"",Units!$J113,Mkt!CF114),Inputs!$B$15*Mkt!CF114+(1-Inputs!$B$15)*MIN(Mkt!CF114,CE114*(1+Inputs!$B$18))),CE114)))</f>
        <v>2144.657037455</v>
      </c>
      <c r="CG114" s="11" t="n">
        <f aca="false">IF(CG$1&lt;Units!$P113,0,IF(AND(Units!$K113=0,CG$1=Units!$O113),Units!$R113,IF(AND(CG$1&gt;=Units!$Q113,MOD(CG$1-Units!$Q113,12)=0),IF(AND(Units!$L113=1,CG$1=Units!$Q113),IF(Units!$J113&lt;&gt;"",Units!$J113,Mkt!CG114),Inputs!$B$15*Mkt!CG114+(1-Inputs!$B$15)*MIN(Mkt!CG114,CF114*(1+Inputs!$B$18))),CF114)))</f>
        <v>2144.657037455</v>
      </c>
      <c r="CH114" s="11" t="n">
        <f aca="false">IF(CH$1&lt;Units!$P113,0,IF(AND(Units!$K113=0,CH$1=Units!$O113),Units!$R113,IF(AND(CH$1&gt;=Units!$Q113,MOD(CH$1-Units!$Q113,12)=0),IF(AND(Units!$L113=1,CH$1=Units!$Q113),IF(Units!$J113&lt;&gt;"",Units!$J113,Mkt!CH114),Inputs!$B$15*Mkt!CH114+(1-Inputs!$B$15)*MIN(Mkt!CH114,CG114*(1+Inputs!$B$18))),CG114)))</f>
        <v>2208.99674857865</v>
      </c>
      <c r="CI114" s="11" t="n">
        <f aca="false">IF(CI$1&lt;Units!$P113,0,IF(AND(Units!$K113=0,CI$1=Units!$O113),Units!$R113,IF(AND(CI$1&gt;=Units!$Q113,MOD(CI$1-Units!$Q113,12)=0),IF(AND(Units!$L113=1,CI$1=Units!$Q113),IF(Units!$J113&lt;&gt;"",Units!$J113,Mkt!CI114),Inputs!$B$15*Mkt!CI114+(1-Inputs!$B$15)*MIN(Mkt!CI114,CH114*(1+Inputs!$B$18))),CH114)))</f>
        <v>2208.99674857865</v>
      </c>
      <c r="CJ114" s="11" t="n">
        <f aca="false">IF(CJ$1&lt;Units!$P113,0,IF(AND(Units!$K113=0,CJ$1=Units!$O113),Units!$R113,IF(AND(CJ$1&gt;=Units!$Q113,MOD(CJ$1-Units!$Q113,12)=0),IF(AND(Units!$L113=1,CJ$1=Units!$Q113),IF(Units!$J113&lt;&gt;"",Units!$J113,Mkt!CJ114),Inputs!$B$15*Mkt!CJ114+(1-Inputs!$B$15)*MIN(Mkt!CJ114,CI114*(1+Inputs!$B$18))),CI114)))</f>
        <v>2208.99674857865</v>
      </c>
      <c r="CK114" s="11" t="n">
        <f aca="false">IF(CK$1&lt;Units!$P113,0,IF(AND(Units!$K113=0,CK$1=Units!$O113),Units!$R113,IF(AND(CK$1&gt;=Units!$Q113,MOD(CK$1-Units!$Q113,12)=0),IF(AND(Units!$L113=1,CK$1=Units!$Q113),IF(Units!$J113&lt;&gt;"",Units!$J113,Mkt!CK114),Inputs!$B$15*Mkt!CK114+(1-Inputs!$B$15)*MIN(Mkt!CK114,CJ114*(1+Inputs!$B$18))),CJ114)))</f>
        <v>2208.99674857865</v>
      </c>
      <c r="CL114" s="11" t="n">
        <f aca="false">IF(CL$1&lt;Units!$P113,0,IF(AND(Units!$K113=0,CL$1=Units!$O113),Units!$R113,IF(AND(CL$1&gt;=Units!$Q113,MOD(CL$1-Units!$Q113,12)=0),IF(AND(Units!$L113=1,CL$1=Units!$Q113),IF(Units!$J113&lt;&gt;"",Units!$J113,Mkt!CL114),Inputs!$B$15*Mkt!CL114+(1-Inputs!$B$15)*MIN(Mkt!CL114,CK114*(1+Inputs!$B$18))),CK114)))</f>
        <v>2208.99674857865</v>
      </c>
      <c r="CM114" s="11" t="n">
        <f aca="false">IF(CM$1&lt;Units!$P113,0,IF(AND(Units!$K113=0,CM$1=Units!$O113),Units!$R113,IF(AND(CM$1&gt;=Units!$Q113,MOD(CM$1-Units!$Q113,12)=0),IF(AND(Units!$L113=1,CM$1=Units!$Q113),IF(Units!$J113&lt;&gt;"",Units!$J113,Mkt!CM114),Inputs!$B$15*Mkt!CM114+(1-Inputs!$B$15)*MIN(Mkt!CM114,CL114*(1+Inputs!$B$18))),CL114)))</f>
        <v>2208.99674857865</v>
      </c>
      <c r="CN114" s="11" t="n">
        <f aca="false">IF(CN$1&lt;Units!$P113,0,IF(AND(Units!$K113=0,CN$1=Units!$O113),Units!$R113,IF(AND(CN$1&gt;=Units!$Q113,MOD(CN$1-Units!$Q113,12)=0),IF(AND(Units!$L113=1,CN$1=Units!$Q113),IF(Units!$J113&lt;&gt;"",Units!$J113,Mkt!CN114),Inputs!$B$15*Mkt!CN114+(1-Inputs!$B$15)*MIN(Mkt!CN114,CM114*(1+Inputs!$B$18))),CM114)))</f>
        <v>2208.99674857865</v>
      </c>
      <c r="CO114" s="11" t="n">
        <f aca="false">IF(CO$1&lt;Units!$P113,0,IF(AND(Units!$K113=0,CO$1=Units!$O113),Units!$R113,IF(AND(CO$1&gt;=Units!$Q113,MOD(CO$1-Units!$Q113,12)=0),IF(AND(Units!$L113=1,CO$1=Units!$Q113),IF(Units!$J113&lt;&gt;"",Units!$J113,Mkt!CO114),Inputs!$B$15*Mkt!CO114+(1-Inputs!$B$15)*MIN(Mkt!CO114,CN114*(1+Inputs!$B$18))),CN114)))</f>
        <v>2208.99674857865</v>
      </c>
      <c r="CP114" s="11" t="n">
        <f aca="false">IF(CP$1&lt;Units!$P113,0,IF(AND(Units!$K113=0,CP$1=Units!$O113),Units!$R113,IF(AND(CP$1&gt;=Units!$Q113,MOD(CP$1-Units!$Q113,12)=0),IF(AND(Units!$L113=1,CP$1=Units!$Q113),IF(Units!$J113&lt;&gt;"",Units!$J113,Mkt!CP114),Inputs!$B$15*Mkt!CP114+(1-Inputs!$B$15)*MIN(Mkt!CP114,CO114*(1+Inputs!$B$18))),CO114)))</f>
        <v>2208.99674857865</v>
      </c>
      <c r="CQ114" s="11" t="n">
        <f aca="false">IF(CQ$1&lt;Units!$P113,0,IF(AND(Units!$K113=0,CQ$1=Units!$O113),Units!$R113,IF(AND(CQ$1&gt;=Units!$Q113,MOD(CQ$1-Units!$Q113,12)=0),IF(AND(Units!$L113=1,CQ$1=Units!$Q113),IF(Units!$J113&lt;&gt;"",Units!$J113,Mkt!CQ114),Inputs!$B$15*Mkt!CQ114+(1-Inputs!$B$15)*MIN(Mkt!CQ114,CP114*(1+Inputs!$B$18))),CP114)))</f>
        <v>2208.99674857865</v>
      </c>
      <c r="CR114" s="11" t="n">
        <f aca="false">IF(CR$1&lt;Units!$P113,0,IF(AND(Units!$K113=0,CR$1=Units!$O113),Units!$R113,IF(AND(CR$1&gt;=Units!$Q113,MOD(CR$1-Units!$Q113,12)=0),IF(AND(Units!$L113=1,CR$1=Units!$Q113),IF(Units!$J113&lt;&gt;"",Units!$J113,Mkt!CR114),Inputs!$B$15*Mkt!CR114+(1-Inputs!$B$15)*MIN(Mkt!CR114,CQ114*(1+Inputs!$B$18))),CQ114)))</f>
        <v>2208.99674857865</v>
      </c>
      <c r="CS114" s="11" t="n">
        <f aca="false">IF(CS$1&lt;Units!$P113,0,IF(AND(Units!$K113=0,CS$1=Units!$O113),Units!$R113,IF(AND(CS$1&gt;=Units!$Q113,MOD(CS$1-Units!$Q113,12)=0),IF(AND(Units!$L113=1,CS$1=Units!$Q113),IF(Units!$J113&lt;&gt;"",Units!$J113,Mkt!CS114),Inputs!$B$15*Mkt!CS114+(1-Inputs!$B$15)*MIN(Mkt!CS114,CR114*(1+Inputs!$B$18))),CR114)))</f>
        <v>2208.99674857865</v>
      </c>
      <c r="CT114" s="11" t="n">
        <f aca="false">IF(CT$1&lt;Units!$P113,0,IF(AND(Units!$K113=0,CT$1=Units!$O113),Units!$R113,IF(AND(CT$1&gt;=Units!$Q113,MOD(CT$1-Units!$Q113,12)=0),IF(AND(Units!$L113=1,CT$1=Units!$Q113),IF(Units!$J113&lt;&gt;"",Units!$J113,Mkt!CT114),Inputs!$B$15*Mkt!CT114+(1-Inputs!$B$15)*MIN(Mkt!CT114,CS114*(1+Inputs!$B$18))),CS114)))</f>
        <v>2275.26665103601</v>
      </c>
      <c r="CU114" s="11" t="n">
        <f aca="false">IF(CU$1&lt;Units!$P113,0,IF(AND(Units!$K113=0,CU$1=Units!$O113),Units!$R113,IF(AND(CU$1&gt;=Units!$Q113,MOD(CU$1-Units!$Q113,12)=0),IF(AND(Units!$L113=1,CU$1=Units!$Q113),IF(Units!$J113&lt;&gt;"",Units!$J113,Mkt!CU114),Inputs!$B$15*Mkt!CU114+(1-Inputs!$B$15)*MIN(Mkt!CU114,CT114*(1+Inputs!$B$18))),CT114)))</f>
        <v>2275.26665103601</v>
      </c>
      <c r="CV114" s="11" t="n">
        <f aca="false">IF(CV$1&lt;Units!$P113,0,IF(AND(Units!$K113=0,CV$1=Units!$O113),Units!$R113,IF(AND(CV$1&gt;=Units!$Q113,MOD(CV$1-Units!$Q113,12)=0),IF(AND(Units!$L113=1,CV$1=Units!$Q113),IF(Units!$J113&lt;&gt;"",Units!$J113,Mkt!CV114),Inputs!$B$15*Mkt!CV114+(1-Inputs!$B$15)*MIN(Mkt!CV114,CU114*(1+Inputs!$B$18))),CU114)))</f>
        <v>2275.26665103601</v>
      </c>
      <c r="CW114" s="11" t="n">
        <f aca="false">IF(CW$1&lt;Units!$P113,0,IF(AND(Units!$K113=0,CW$1=Units!$O113),Units!$R113,IF(AND(CW$1&gt;=Units!$Q113,MOD(CW$1-Units!$Q113,12)=0),IF(AND(Units!$L113=1,CW$1=Units!$Q113),IF(Units!$J113&lt;&gt;"",Units!$J113,Mkt!CW114),Inputs!$B$15*Mkt!CW114+(1-Inputs!$B$15)*MIN(Mkt!CW114,CV114*(1+Inputs!$B$18))),CV114)))</f>
        <v>2275.26665103601</v>
      </c>
      <c r="CX114" s="11" t="n">
        <f aca="false">IF(CX$1&lt;Units!$P113,0,IF(AND(Units!$K113=0,CX$1=Units!$O113),Units!$R113,IF(AND(CX$1&gt;=Units!$Q113,MOD(CX$1-Units!$Q113,12)=0),IF(AND(Units!$L113=1,CX$1=Units!$Q113),IF(Units!$J113&lt;&gt;"",Units!$J113,Mkt!CX114),Inputs!$B$15*Mkt!CX114+(1-Inputs!$B$15)*MIN(Mkt!CX114,CW114*(1+Inputs!$B$18))),CW114)))</f>
        <v>2275.26665103601</v>
      </c>
      <c r="CY114" s="11" t="n">
        <f aca="false">IF(CY$1&lt;Units!$P113,0,IF(AND(Units!$K113=0,CY$1=Units!$O113),Units!$R113,IF(AND(CY$1&gt;=Units!$Q113,MOD(CY$1-Units!$Q113,12)=0),IF(AND(Units!$L113=1,CY$1=Units!$Q113),IF(Units!$J113&lt;&gt;"",Units!$J113,Mkt!CY114),Inputs!$B$15*Mkt!CY114+(1-Inputs!$B$15)*MIN(Mkt!CY114,CX114*(1+Inputs!$B$18))),CX114)))</f>
        <v>2275.26665103601</v>
      </c>
      <c r="CZ114" s="11" t="n">
        <f aca="false">IF(CZ$1&lt;Units!$P113,0,IF(AND(Units!$K113=0,CZ$1=Units!$O113),Units!$R113,IF(AND(CZ$1&gt;=Units!$Q113,MOD(CZ$1-Units!$Q113,12)=0),IF(AND(Units!$L113=1,CZ$1=Units!$Q113),IF(Units!$J113&lt;&gt;"",Units!$J113,Mkt!CZ114),Inputs!$B$15*Mkt!CZ114+(1-Inputs!$B$15)*MIN(Mkt!CZ114,CY114*(1+Inputs!$B$18))),CY114)))</f>
        <v>2275.26665103601</v>
      </c>
      <c r="DA114" s="11" t="n">
        <f aca="false">IF(DA$1&lt;Units!$P113,0,IF(AND(Units!$K113=0,DA$1=Units!$O113),Units!$R113,IF(AND(DA$1&gt;=Units!$Q113,MOD(DA$1-Units!$Q113,12)=0),IF(AND(Units!$L113=1,DA$1=Units!$Q113),IF(Units!$J113&lt;&gt;"",Units!$J113,Mkt!DA114),Inputs!$B$15*Mkt!DA114+(1-Inputs!$B$15)*MIN(Mkt!DA114,CZ114*(1+Inputs!$B$18))),CZ114)))</f>
        <v>2275.26665103601</v>
      </c>
      <c r="DB114" s="11" t="n">
        <f aca="false">IF(DB$1&lt;Units!$P113,0,IF(AND(Units!$K113=0,DB$1=Units!$O113),Units!$R113,IF(AND(DB$1&gt;=Units!$Q113,MOD(DB$1-Units!$Q113,12)=0),IF(AND(Units!$L113=1,DB$1=Units!$Q113),IF(Units!$J113&lt;&gt;"",Units!$J113,Mkt!DB114),Inputs!$B$15*Mkt!DB114+(1-Inputs!$B$15)*MIN(Mkt!DB114,DA114*(1+Inputs!$B$18))),DA114)))</f>
        <v>2275.26665103601</v>
      </c>
      <c r="DC114" s="11" t="n">
        <f aca="false">IF(DC$1&lt;Units!$P113,0,IF(AND(Units!$K113=0,DC$1=Units!$O113),Units!$R113,IF(AND(DC$1&gt;=Units!$Q113,MOD(DC$1-Units!$Q113,12)=0),IF(AND(Units!$L113=1,DC$1=Units!$Q113),IF(Units!$J113&lt;&gt;"",Units!$J113,Mkt!DC114),Inputs!$B$15*Mkt!DC114+(1-Inputs!$B$15)*MIN(Mkt!DC114,DB114*(1+Inputs!$B$18))),DB114)))</f>
        <v>2275.26665103601</v>
      </c>
      <c r="DD114" s="11" t="n">
        <f aca="false">IF(DD$1&lt;Units!$P113,0,IF(AND(Units!$K113=0,DD$1=Units!$O113),Units!$R113,IF(AND(DD$1&gt;=Units!$Q113,MOD(DD$1-Units!$Q113,12)=0),IF(AND(Units!$L113=1,DD$1=Units!$Q113),IF(Units!$J113&lt;&gt;"",Units!$J113,Mkt!DD114),Inputs!$B$15*Mkt!DD114+(1-Inputs!$B$15)*MIN(Mkt!DD114,DC114*(1+Inputs!$B$18))),DC114)))</f>
        <v>2275.26665103601</v>
      </c>
      <c r="DE114" s="11" t="n">
        <f aca="false">IF(DE$1&lt;Units!$P113,0,IF(AND(Units!$K113=0,DE$1=Units!$O113),Units!$R113,IF(AND(DE$1&gt;=Units!$Q113,MOD(DE$1-Units!$Q113,12)=0),IF(AND(Units!$L113=1,DE$1=Units!$Q113),IF(Units!$J113&lt;&gt;"",Units!$J113,Mkt!DE114),Inputs!$B$15*Mkt!DE114+(1-Inputs!$B$15)*MIN(Mkt!DE114,DD114*(1+Inputs!$B$18))),DD114)))</f>
        <v>2275.26665103601</v>
      </c>
      <c r="DF114" s="11" t="n">
        <f aca="false">IF(DF$1&lt;Units!$P113,0,IF(AND(Units!$K113=0,DF$1=Units!$O113),Units!$R113,IF(AND(DF$1&gt;=Units!$Q113,MOD(DF$1-Units!$Q113,12)=0),IF(AND(Units!$L113=1,DF$1=Units!$Q113),IF(Units!$J113&lt;&gt;"",Units!$J113,Mkt!DF114),Inputs!$B$15*Mkt!DF114+(1-Inputs!$B$15)*MIN(Mkt!DF114,DE114*(1+Inputs!$B$18))),DE114)))</f>
        <v>2343.52465056709</v>
      </c>
      <c r="DG114" s="11" t="n">
        <f aca="false">IF(DG$1&lt;Units!$P113,0,IF(AND(Units!$K113=0,DG$1=Units!$O113),Units!$R113,IF(AND(DG$1&gt;=Units!$Q113,MOD(DG$1-Units!$Q113,12)=0),IF(AND(Units!$L113=1,DG$1=Units!$Q113),IF(Units!$J113&lt;&gt;"",Units!$J113,Mkt!DG114),Inputs!$B$15*Mkt!DG114+(1-Inputs!$B$15)*MIN(Mkt!DG114,DF114*(1+Inputs!$B$18))),DF114)))</f>
        <v>2343.52465056709</v>
      </c>
      <c r="DH114" s="11" t="n">
        <f aca="false">IF(DH$1&lt;Units!$P113,0,IF(AND(Units!$K113=0,DH$1=Units!$O113),Units!$R113,IF(AND(DH$1&gt;=Units!$Q113,MOD(DH$1-Units!$Q113,12)=0),IF(AND(Units!$L113=1,DH$1=Units!$Q113),IF(Units!$J113&lt;&gt;"",Units!$J113,Mkt!DH114),Inputs!$B$15*Mkt!DH114+(1-Inputs!$B$15)*MIN(Mkt!DH114,DG114*(1+Inputs!$B$18))),DG114)))</f>
        <v>2343.52465056709</v>
      </c>
      <c r="DI114" s="11" t="n">
        <f aca="false">IF(DI$1&lt;Units!$P113,0,IF(AND(Units!$K113=0,DI$1=Units!$O113),Units!$R113,IF(AND(DI$1&gt;=Units!$Q113,MOD(DI$1-Units!$Q113,12)=0),IF(AND(Units!$L113=1,DI$1=Units!$Q113),IF(Units!$J113&lt;&gt;"",Units!$J113,Mkt!DI114),Inputs!$B$15*Mkt!DI114+(1-Inputs!$B$15)*MIN(Mkt!DI114,DH114*(1+Inputs!$B$18))),DH114)))</f>
        <v>2343.52465056709</v>
      </c>
      <c r="DJ114" s="11" t="n">
        <f aca="false">IF(DJ$1&lt;Units!$P113,0,IF(AND(Units!$K113=0,DJ$1=Units!$O113),Units!$R113,IF(AND(DJ$1&gt;=Units!$Q113,MOD(DJ$1-Units!$Q113,12)=0),IF(AND(Units!$L113=1,DJ$1=Units!$Q113),IF(Units!$J113&lt;&gt;"",Units!$J113,Mkt!DJ114),Inputs!$B$15*Mkt!DJ114+(1-Inputs!$B$15)*MIN(Mkt!DJ114,DI114*(1+Inputs!$B$18))),DI114)))</f>
        <v>2343.52465056709</v>
      </c>
      <c r="DK114" s="11" t="n">
        <f aca="false">IF(DK$1&lt;Units!$P113,0,IF(AND(Units!$K113=0,DK$1=Units!$O113),Units!$R113,IF(AND(DK$1&gt;=Units!$Q113,MOD(DK$1-Units!$Q113,12)=0),IF(AND(Units!$L113=1,DK$1=Units!$Q113),IF(Units!$J113&lt;&gt;"",Units!$J113,Mkt!DK114),Inputs!$B$15*Mkt!DK114+(1-Inputs!$B$15)*MIN(Mkt!DK114,DJ114*(1+Inputs!$B$18))),DJ114)))</f>
        <v>2343.52465056709</v>
      </c>
      <c r="DL114" s="11" t="n">
        <f aca="false">IF(DL$1&lt;Units!$P113,0,IF(AND(Units!$K113=0,DL$1=Units!$O113),Units!$R113,IF(AND(DL$1&gt;=Units!$Q113,MOD(DL$1-Units!$Q113,12)=0),IF(AND(Units!$L113=1,DL$1=Units!$Q113),IF(Units!$J113&lt;&gt;"",Units!$J113,Mkt!DL114),Inputs!$B$15*Mkt!DL114+(1-Inputs!$B$15)*MIN(Mkt!DL114,DK114*(1+Inputs!$B$18))),DK114)))</f>
        <v>2343.52465056709</v>
      </c>
      <c r="DM114" s="11" t="n">
        <f aca="false">IF(DM$1&lt;Units!$P113,0,IF(AND(Units!$K113=0,DM$1=Units!$O113),Units!$R113,IF(AND(DM$1&gt;=Units!$Q113,MOD(DM$1-Units!$Q113,12)=0),IF(AND(Units!$L113=1,DM$1=Units!$Q113),IF(Units!$J113&lt;&gt;"",Units!$J113,Mkt!DM114),Inputs!$B$15*Mkt!DM114+(1-Inputs!$B$15)*MIN(Mkt!DM114,DL114*(1+Inputs!$B$18))),DL114)))</f>
        <v>2343.52465056709</v>
      </c>
      <c r="DN114" s="11" t="n">
        <f aca="false">IF(DN$1&lt;Units!$P113,0,IF(AND(Units!$K113=0,DN$1=Units!$O113),Units!$R113,IF(AND(DN$1&gt;=Units!$Q113,MOD(DN$1-Units!$Q113,12)=0),IF(AND(Units!$L113=1,DN$1=Units!$Q113),IF(Units!$J113&lt;&gt;"",Units!$J113,Mkt!DN114),Inputs!$B$15*Mkt!DN114+(1-Inputs!$B$15)*MIN(Mkt!DN114,DM114*(1+Inputs!$B$18))),DM114)))</f>
        <v>2343.52465056709</v>
      </c>
      <c r="DO114" s="11" t="n">
        <f aca="false">IF(DO$1&lt;Units!$P113,0,IF(AND(Units!$K113=0,DO$1=Units!$O113),Units!$R113,IF(AND(DO$1&gt;=Units!$Q113,MOD(DO$1-Units!$Q113,12)=0),IF(AND(Units!$L113=1,DO$1=Units!$Q113),IF(Units!$J113&lt;&gt;"",Units!$J113,Mkt!DO114),Inputs!$B$15*Mkt!DO114+(1-Inputs!$B$15)*MIN(Mkt!DO114,DN114*(1+Inputs!$B$18))),DN114)))</f>
        <v>2343.52465056709</v>
      </c>
      <c r="DP114" s="11" t="n">
        <f aca="false">IF(DP$1&lt;Units!$P113,0,IF(AND(Units!$K113=0,DP$1=Units!$O113),Units!$R113,IF(AND(DP$1&gt;=Units!$Q113,MOD(DP$1-Units!$Q113,12)=0),IF(AND(Units!$L113=1,DP$1=Units!$Q113),IF(Units!$J113&lt;&gt;"",Units!$J113,Mkt!DP114),Inputs!$B$15*Mkt!DP114+(1-Inputs!$B$15)*MIN(Mkt!DP114,DO114*(1+Inputs!$B$18))),DO114)))</f>
        <v>2343.52465056709</v>
      </c>
      <c r="DQ114" s="11" t="n">
        <f aca="false">IF(DQ$1&lt;Units!$P113,0,IF(AND(Units!$K113=0,DQ$1=Units!$O113),Units!$R113,IF(AND(DQ$1&gt;=Units!$Q113,MOD(DQ$1-Units!$Q113,12)=0),IF(AND(Units!$L113=1,DQ$1=Units!$Q113),IF(Units!$J113&lt;&gt;"",Units!$J113,Mkt!DQ114),Inputs!$B$15*Mkt!DQ114+(1-Inputs!$B$15)*MIN(Mkt!DQ114,DP114*(1+Inputs!$B$18))),DP114)))</f>
        <v>2343.52465056709</v>
      </c>
      <c r="DR114" s="11" t="n">
        <f aca="false">IF(DR$1&lt;Units!$P113,0,IF(AND(Units!$K113=0,DR$1=Units!$O113),Units!$R113,IF(AND(DR$1&gt;=Units!$Q113,MOD(DR$1-Units!$Q113,12)=0),IF(AND(Units!$L113=1,DR$1=Units!$Q113),IF(Units!$J113&lt;&gt;"",Units!$J113,Mkt!DR114),Inputs!$B$15*Mkt!DR114+(1-Inputs!$B$15)*MIN(Mkt!DR114,DQ114*(1+Inputs!$B$18))),DQ114)))</f>
        <v>2413.8303900841</v>
      </c>
      <c r="DS114" s="11" t="n">
        <f aca="false">IF(DS$1&lt;Units!$P113,0,IF(AND(Units!$K113=0,DS$1=Units!$O113),Units!$R113,IF(AND(DS$1&gt;=Units!$Q113,MOD(DS$1-Units!$Q113,12)=0),IF(AND(Units!$L113=1,DS$1=Units!$Q113),IF(Units!$J113&lt;&gt;"",Units!$J113,Mkt!DS114),Inputs!$B$15*Mkt!DS114+(1-Inputs!$B$15)*MIN(Mkt!DS114,DR114*(1+Inputs!$B$18))),DR114)))</f>
        <v>2413.8303900841</v>
      </c>
      <c r="DT114" s="11" t="n">
        <f aca="false">IF(DT$1&lt;Units!$P113,0,IF(AND(Units!$K113=0,DT$1=Units!$O113),Units!$R113,IF(AND(DT$1&gt;=Units!$Q113,MOD(DT$1-Units!$Q113,12)=0),IF(AND(Units!$L113=1,DT$1=Units!$Q113),IF(Units!$J113&lt;&gt;"",Units!$J113,Mkt!DT114),Inputs!$B$15*Mkt!DT114+(1-Inputs!$B$15)*MIN(Mkt!DT114,DS114*(1+Inputs!$B$18))),DS114)))</f>
        <v>2413.8303900841</v>
      </c>
      <c r="DU114" s="11" t="n">
        <f aca="false">IF(DU$1&lt;Units!$P113,0,IF(AND(Units!$K113=0,DU$1=Units!$O113),Units!$R113,IF(AND(DU$1&gt;=Units!$Q113,MOD(DU$1-Units!$Q113,12)=0),IF(AND(Units!$L113=1,DU$1=Units!$Q113),IF(Units!$J113&lt;&gt;"",Units!$J113,Mkt!DU114),Inputs!$B$15*Mkt!DU114+(1-Inputs!$B$15)*MIN(Mkt!DU114,DT114*(1+Inputs!$B$18))),DT114)))</f>
        <v>2413.8303900841</v>
      </c>
      <c r="DV114" s="11" t="n">
        <f aca="false">IF(DV$1&lt;Units!$P113,0,IF(AND(Units!$K113=0,DV$1=Units!$O113),Units!$R113,IF(AND(DV$1&gt;=Units!$Q113,MOD(DV$1-Units!$Q113,12)=0),IF(AND(Units!$L113=1,DV$1=Units!$Q113),IF(Units!$J113&lt;&gt;"",Units!$J113,Mkt!DV114),Inputs!$B$15*Mkt!DV114+(1-Inputs!$B$15)*MIN(Mkt!DV114,DU114*(1+Inputs!$B$18))),DU114)))</f>
        <v>2413.8303900841</v>
      </c>
      <c r="DW114" s="11" t="n">
        <f aca="false">IF(DW$1&lt;Units!$P113,0,IF(AND(Units!$K113=0,DW$1=Units!$O113),Units!$R113,IF(AND(DW$1&gt;=Units!$Q113,MOD(DW$1-Units!$Q113,12)=0),IF(AND(Units!$L113=1,DW$1=Units!$Q113),IF(Units!$J113&lt;&gt;"",Units!$J113,Mkt!DW114),Inputs!$B$15*Mkt!DW114+(1-Inputs!$B$15)*MIN(Mkt!DW114,DV114*(1+Inputs!$B$18))),DV114)))</f>
        <v>2413.8303900841</v>
      </c>
      <c r="DX114" s="11" t="n">
        <f aca="false">IF(DX$1&lt;Units!$P113,0,IF(AND(Units!$K113=0,DX$1=Units!$O113),Units!$R113,IF(AND(DX$1&gt;=Units!$Q113,MOD(DX$1-Units!$Q113,12)=0),IF(AND(Units!$L113=1,DX$1=Units!$Q113),IF(Units!$J113&lt;&gt;"",Units!$J113,Mkt!DX114),Inputs!$B$15*Mkt!DX114+(1-Inputs!$B$15)*MIN(Mkt!DX114,DW114*(1+Inputs!$B$18))),DW114)))</f>
        <v>2413.8303900841</v>
      </c>
      <c r="DY114" s="11" t="n">
        <f aca="false">IF(DY$1&lt;Units!$P113,0,IF(AND(Units!$K113=0,DY$1=Units!$O113),Units!$R113,IF(AND(DY$1&gt;=Units!$Q113,MOD(DY$1-Units!$Q113,12)=0),IF(AND(Units!$L113=1,DY$1=Units!$Q113),IF(Units!$J113&lt;&gt;"",Units!$J113,Mkt!DY114),Inputs!$B$15*Mkt!DY114+(1-Inputs!$B$15)*MIN(Mkt!DY114,DX114*(1+Inputs!$B$18))),DX114)))</f>
        <v>2413.8303900841</v>
      </c>
      <c r="DZ114" s="11" t="n">
        <f aca="false">IF(DZ$1&lt;Units!$P113,0,IF(AND(Units!$K113=0,DZ$1=Units!$O113),Units!$R113,IF(AND(DZ$1&gt;=Units!$Q113,MOD(DZ$1-Units!$Q113,12)=0),IF(AND(Units!$L113=1,DZ$1=Units!$Q113),IF(Units!$J113&lt;&gt;"",Units!$J113,Mkt!DZ114),Inputs!$B$15*Mkt!DZ114+(1-Inputs!$B$15)*MIN(Mkt!DZ114,DY114*(1+Inputs!$B$18))),DY114)))</f>
        <v>2413.8303900841</v>
      </c>
      <c r="EA114" s="11" t="n">
        <f aca="false">IF(EA$1&lt;Units!$P113,0,IF(AND(Units!$K113=0,EA$1=Units!$O113),Units!$R113,IF(AND(EA$1&gt;=Units!$Q113,MOD(EA$1-Units!$Q113,12)=0),IF(AND(Units!$L113=1,EA$1=Units!$Q113),IF(Units!$J113&lt;&gt;"",Units!$J113,Mkt!EA114),Inputs!$B$15*Mkt!EA114+(1-Inputs!$B$15)*MIN(Mkt!EA114,DZ114*(1+Inputs!$B$18))),DZ114)))</f>
        <v>2413.8303900841</v>
      </c>
      <c r="EB114" s="11" t="n">
        <f aca="false">IF(EB$1&lt;Units!$P113,0,IF(AND(Units!$K113=0,EB$1=Units!$O113),Units!$R113,IF(AND(EB$1&gt;=Units!$Q113,MOD(EB$1-Units!$Q113,12)=0),IF(AND(Units!$L113=1,EB$1=Units!$Q113),IF(Units!$J113&lt;&gt;"",Units!$J113,Mkt!EB114),Inputs!$B$15*Mkt!EB114+(1-Inputs!$B$15)*MIN(Mkt!EB114,EA114*(1+Inputs!$B$18))),EA114)))</f>
        <v>2413.8303900841</v>
      </c>
      <c r="EC114" s="11" t="n">
        <f aca="false">IF(EC$1&lt;Units!$P113,0,IF(AND(Units!$K113=0,EC$1=Units!$O113),Units!$R113,IF(AND(EC$1&gt;=Units!$Q113,MOD(EC$1-Units!$Q113,12)=0),IF(AND(Units!$L113=1,EC$1=Units!$Q113),IF(Units!$J113&lt;&gt;"",Units!$J113,Mkt!EC114),Inputs!$B$15*Mkt!EC114+(1-Inputs!$B$15)*MIN(Mkt!EC114,EB114*(1+Inputs!$B$18))),EB114)))</f>
        <v>2413.8303900841</v>
      </c>
      <c r="ED114" s="11" t="n">
        <f aca="false">IF(ED$1&lt;Units!$P113,0,IF(AND(Units!$K113=0,ED$1=Units!$O113),Units!$R113,IF(AND(ED$1&gt;=Units!$Q113,MOD(ED$1-Units!$Q113,12)=0),IF(AND(Units!$L113=1,ED$1=Units!$Q113),IF(Units!$J113&lt;&gt;"",Units!$J113,Mkt!ED114),Inputs!$B$15*Mkt!ED114+(1-Inputs!$B$15)*MIN(Mkt!ED114,EC114*(1+Inputs!$B$18))),EC114)))</f>
        <v>2486.24530178663</v>
      </c>
    </row>
    <row r="115" customFormat="false" ht="15" hidden="false" customHeight="false" outlineLevel="0" collapsed="false">
      <c r="A115" s="22" t="n">
        <f aca="false">Units!A114</f>
        <v>423</v>
      </c>
      <c r="B115" s="24" t="n">
        <f aca="false">IF(Units!K114=1,Units!F114,0)</f>
        <v>1925</v>
      </c>
      <c r="C115" s="11" t="n">
        <f aca="false">IF(C$1&lt;Units!$P114,0,IF(AND(Units!$K114=0,C$1=Units!$O114),Units!$R114,IF(AND(C$1&gt;=Units!$Q114,MOD(C$1-Units!$Q114,12)=0),IF(AND(Units!$L114=1,C$1=Units!$Q114),IF(Units!$J114&lt;&gt;"",Units!$J114,Mkt!C115),Inputs!$B$15*Mkt!C115+(1-Inputs!$B$15)*MIN(Mkt!C115,B115*(1+Inputs!$B$18))),B115)))</f>
        <v>1925</v>
      </c>
      <c r="D115" s="11" t="n">
        <f aca="false">IF(D$1&lt;Units!$P114,0,IF(AND(Units!$K114=0,D$1=Units!$O114),Units!$R114,IF(AND(D$1&gt;=Units!$Q114,MOD(D$1-Units!$Q114,12)=0),IF(AND(Units!$L114=1,D$1=Units!$Q114),IF(Units!$J114&lt;&gt;"",Units!$J114,Mkt!D115),Inputs!$B$15*Mkt!D115+(1-Inputs!$B$15)*MIN(Mkt!D115,C115*(1+Inputs!$B$18))),C115)))</f>
        <v>1850</v>
      </c>
      <c r="E115" s="11" t="n">
        <f aca="false">IF(E$1&lt;Units!$P114,0,IF(AND(Units!$K114=0,E$1=Units!$O114),Units!$R114,IF(AND(E$1&gt;=Units!$Q114,MOD(E$1-Units!$Q114,12)=0),IF(AND(Units!$L114=1,E$1=Units!$Q114),IF(Units!$J114&lt;&gt;"",Units!$J114,Mkt!E115),Inputs!$B$15*Mkt!E115+(1-Inputs!$B$15)*MIN(Mkt!E115,D115*(1+Inputs!$B$18))),D115)))</f>
        <v>1850</v>
      </c>
      <c r="F115" s="11" t="n">
        <f aca="false">IF(F$1&lt;Units!$P114,0,IF(AND(Units!$K114=0,F$1=Units!$O114),Units!$R114,IF(AND(F$1&gt;=Units!$Q114,MOD(F$1-Units!$Q114,12)=0),IF(AND(Units!$L114=1,F$1=Units!$Q114),IF(Units!$J114&lt;&gt;"",Units!$J114,Mkt!F115),Inputs!$B$15*Mkt!F115+(1-Inputs!$B$15)*MIN(Mkt!F115,E115*(1+Inputs!$B$18))),E115)))</f>
        <v>1850</v>
      </c>
      <c r="G115" s="11" t="n">
        <f aca="false">IF(G$1&lt;Units!$P114,0,IF(AND(Units!$K114=0,G$1=Units!$O114),Units!$R114,IF(AND(G$1&gt;=Units!$Q114,MOD(G$1-Units!$Q114,12)=0),IF(AND(Units!$L114=1,G$1=Units!$Q114),IF(Units!$J114&lt;&gt;"",Units!$J114,Mkt!G115),Inputs!$B$15*Mkt!G115+(1-Inputs!$B$15)*MIN(Mkt!G115,F115*(1+Inputs!$B$18))),F115)))</f>
        <v>1850</v>
      </c>
      <c r="H115" s="11" t="n">
        <f aca="false">IF(H$1&lt;Units!$P114,0,IF(AND(Units!$K114=0,H$1=Units!$O114),Units!$R114,IF(AND(H$1&gt;=Units!$Q114,MOD(H$1-Units!$Q114,12)=0),IF(AND(Units!$L114=1,H$1=Units!$Q114),IF(Units!$J114&lt;&gt;"",Units!$J114,Mkt!H115),Inputs!$B$15*Mkt!H115+(1-Inputs!$B$15)*MIN(Mkt!H115,G115*(1+Inputs!$B$18))),G115)))</f>
        <v>1850</v>
      </c>
      <c r="I115" s="11" t="n">
        <f aca="false">IF(I$1&lt;Units!$P114,0,IF(AND(Units!$K114=0,I$1=Units!$O114),Units!$R114,IF(AND(I$1&gt;=Units!$Q114,MOD(I$1-Units!$Q114,12)=0),IF(AND(Units!$L114=1,I$1=Units!$Q114),IF(Units!$J114&lt;&gt;"",Units!$J114,Mkt!I115),Inputs!$B$15*Mkt!I115+(1-Inputs!$B$15)*MIN(Mkt!I115,H115*(1+Inputs!$B$18))),H115)))</f>
        <v>1850</v>
      </c>
      <c r="J115" s="11" t="n">
        <f aca="false">IF(J$1&lt;Units!$P114,0,IF(AND(Units!$K114=0,J$1=Units!$O114),Units!$R114,IF(AND(J$1&gt;=Units!$Q114,MOD(J$1-Units!$Q114,12)=0),IF(AND(Units!$L114=1,J$1=Units!$Q114),IF(Units!$J114&lt;&gt;"",Units!$J114,Mkt!J115),Inputs!$B$15*Mkt!J115+(1-Inputs!$B$15)*MIN(Mkt!J115,I115*(1+Inputs!$B$18))),I115)))</f>
        <v>1850</v>
      </c>
      <c r="K115" s="11" t="n">
        <f aca="false">IF(K$1&lt;Units!$P114,0,IF(AND(Units!$K114=0,K$1=Units!$O114),Units!$R114,IF(AND(K$1&gt;=Units!$Q114,MOD(K$1-Units!$Q114,12)=0),IF(AND(Units!$L114=1,K$1=Units!$Q114),IF(Units!$J114&lt;&gt;"",Units!$J114,Mkt!K115),Inputs!$B$15*Mkt!K115+(1-Inputs!$B$15)*MIN(Mkt!K115,J115*(1+Inputs!$B$18))),J115)))</f>
        <v>1850</v>
      </c>
      <c r="L115" s="11" t="n">
        <f aca="false">IF(L$1&lt;Units!$P114,0,IF(AND(Units!$K114=0,L$1=Units!$O114),Units!$R114,IF(AND(L$1&gt;=Units!$Q114,MOD(L$1-Units!$Q114,12)=0),IF(AND(Units!$L114=1,L$1=Units!$Q114),IF(Units!$J114&lt;&gt;"",Units!$J114,Mkt!L115),Inputs!$B$15*Mkt!L115+(1-Inputs!$B$15)*MIN(Mkt!L115,K115*(1+Inputs!$B$18))),K115)))</f>
        <v>1850</v>
      </c>
      <c r="M115" s="11" t="n">
        <f aca="false">IF(M$1&lt;Units!$P114,0,IF(AND(Units!$K114=0,M$1=Units!$O114),Units!$R114,IF(AND(M$1&gt;=Units!$Q114,MOD(M$1-Units!$Q114,12)=0),IF(AND(Units!$L114=1,M$1=Units!$Q114),IF(Units!$J114&lt;&gt;"",Units!$J114,Mkt!M115),Inputs!$B$15*Mkt!M115+(1-Inputs!$B$15)*MIN(Mkt!M115,L115*(1+Inputs!$B$18))),L115)))</f>
        <v>1850</v>
      </c>
      <c r="N115" s="11" t="n">
        <f aca="false">IF(N$1&lt;Units!$P114,0,IF(AND(Units!$K114=0,N$1=Units!$O114),Units!$R114,IF(AND(N$1&gt;=Units!$Q114,MOD(N$1-Units!$Q114,12)=0),IF(AND(Units!$L114=1,N$1=Units!$Q114),IF(Units!$J114&lt;&gt;"",Units!$J114,Mkt!N115),Inputs!$B$15*Mkt!N115+(1-Inputs!$B$15)*MIN(Mkt!N115,M115*(1+Inputs!$B$18))),M115)))</f>
        <v>1850</v>
      </c>
      <c r="O115" s="11" t="n">
        <f aca="false">IF(O$1&lt;Units!$P114,0,IF(AND(Units!$K114=0,O$1=Units!$O114),Units!$R114,IF(AND(O$1&gt;=Units!$Q114,MOD(O$1-Units!$Q114,12)=0),IF(AND(Units!$L114=1,O$1=Units!$Q114),IF(Units!$J114&lt;&gt;"",Units!$J114,Mkt!O115),Inputs!$B$15*Mkt!O115+(1-Inputs!$B$15)*MIN(Mkt!O115,N115*(1+Inputs!$B$18))),N115)))</f>
        <v>1850</v>
      </c>
      <c r="P115" s="11" t="n">
        <f aca="false">IF(P$1&lt;Units!$P114,0,IF(AND(Units!$K114=0,P$1=Units!$O114),Units!$R114,IF(AND(P$1&gt;=Units!$Q114,MOD(P$1-Units!$Q114,12)=0),IF(AND(Units!$L114=1,P$1=Units!$Q114),IF(Units!$J114&lt;&gt;"",Units!$J114,Mkt!P115),Inputs!$B$15*Mkt!P115+(1-Inputs!$B$15)*MIN(Mkt!P115,O115*(1+Inputs!$B$18))),O115)))</f>
        <v>1905.5</v>
      </c>
      <c r="Q115" s="11" t="n">
        <f aca="false">IF(Q$1&lt;Units!$P114,0,IF(AND(Units!$K114=0,Q$1=Units!$O114),Units!$R114,IF(AND(Q$1&gt;=Units!$Q114,MOD(Q$1-Units!$Q114,12)=0),IF(AND(Units!$L114=1,Q$1=Units!$Q114),IF(Units!$J114&lt;&gt;"",Units!$J114,Mkt!Q115),Inputs!$B$15*Mkt!Q115+(1-Inputs!$B$15)*MIN(Mkt!Q115,P115*(1+Inputs!$B$18))),P115)))</f>
        <v>1905.5</v>
      </c>
      <c r="R115" s="11" t="n">
        <f aca="false">IF(R$1&lt;Units!$P114,0,IF(AND(Units!$K114=0,R$1=Units!$O114),Units!$R114,IF(AND(R$1&gt;=Units!$Q114,MOD(R$1-Units!$Q114,12)=0),IF(AND(Units!$L114=1,R$1=Units!$Q114),IF(Units!$J114&lt;&gt;"",Units!$J114,Mkt!R115),Inputs!$B$15*Mkt!R115+(1-Inputs!$B$15)*MIN(Mkt!R115,Q115*(1+Inputs!$B$18))),Q115)))</f>
        <v>1905.5</v>
      </c>
      <c r="S115" s="11" t="n">
        <f aca="false">IF(S$1&lt;Units!$P114,0,IF(AND(Units!$K114=0,S$1=Units!$O114),Units!$R114,IF(AND(S$1&gt;=Units!$Q114,MOD(S$1-Units!$Q114,12)=0),IF(AND(Units!$L114=1,S$1=Units!$Q114),IF(Units!$J114&lt;&gt;"",Units!$J114,Mkt!S115),Inputs!$B$15*Mkt!S115+(1-Inputs!$B$15)*MIN(Mkt!S115,R115*(1+Inputs!$B$18))),R115)))</f>
        <v>1905.5</v>
      </c>
      <c r="T115" s="11" t="n">
        <f aca="false">IF(T$1&lt;Units!$P114,0,IF(AND(Units!$K114=0,T$1=Units!$O114),Units!$R114,IF(AND(T$1&gt;=Units!$Q114,MOD(T$1-Units!$Q114,12)=0),IF(AND(Units!$L114=1,T$1=Units!$Q114),IF(Units!$J114&lt;&gt;"",Units!$J114,Mkt!T115),Inputs!$B$15*Mkt!T115+(1-Inputs!$B$15)*MIN(Mkt!T115,S115*(1+Inputs!$B$18))),S115)))</f>
        <v>1905.5</v>
      </c>
      <c r="U115" s="11" t="n">
        <f aca="false">IF(U$1&lt;Units!$P114,0,IF(AND(Units!$K114=0,U$1=Units!$O114),Units!$R114,IF(AND(U$1&gt;=Units!$Q114,MOD(U$1-Units!$Q114,12)=0),IF(AND(Units!$L114=1,U$1=Units!$Q114),IF(Units!$J114&lt;&gt;"",Units!$J114,Mkt!U115),Inputs!$B$15*Mkt!U115+(1-Inputs!$B$15)*MIN(Mkt!U115,T115*(1+Inputs!$B$18))),T115)))</f>
        <v>1905.5</v>
      </c>
      <c r="V115" s="11" t="n">
        <f aca="false">IF(V$1&lt;Units!$P114,0,IF(AND(Units!$K114=0,V$1=Units!$O114),Units!$R114,IF(AND(V$1&gt;=Units!$Q114,MOD(V$1-Units!$Q114,12)=0),IF(AND(Units!$L114=1,V$1=Units!$Q114),IF(Units!$J114&lt;&gt;"",Units!$J114,Mkt!V115),Inputs!$B$15*Mkt!V115+(1-Inputs!$B$15)*MIN(Mkt!V115,U115*(1+Inputs!$B$18))),U115)))</f>
        <v>1905.5</v>
      </c>
      <c r="W115" s="11" t="n">
        <f aca="false">IF(W$1&lt;Units!$P114,0,IF(AND(Units!$K114=0,W$1=Units!$O114),Units!$R114,IF(AND(W$1&gt;=Units!$Q114,MOD(W$1-Units!$Q114,12)=0),IF(AND(Units!$L114=1,W$1=Units!$Q114),IF(Units!$J114&lt;&gt;"",Units!$J114,Mkt!W115),Inputs!$B$15*Mkt!W115+(1-Inputs!$B$15)*MIN(Mkt!W115,V115*(1+Inputs!$B$18))),V115)))</f>
        <v>1905.5</v>
      </c>
      <c r="X115" s="11" t="n">
        <f aca="false">IF(X$1&lt;Units!$P114,0,IF(AND(Units!$K114=0,X$1=Units!$O114),Units!$R114,IF(AND(X$1&gt;=Units!$Q114,MOD(X$1-Units!$Q114,12)=0),IF(AND(Units!$L114=1,X$1=Units!$Q114),IF(Units!$J114&lt;&gt;"",Units!$J114,Mkt!X115),Inputs!$B$15*Mkt!X115+(1-Inputs!$B$15)*MIN(Mkt!X115,W115*(1+Inputs!$B$18))),W115)))</f>
        <v>1905.5</v>
      </c>
      <c r="Y115" s="11" t="n">
        <f aca="false">IF(Y$1&lt;Units!$P114,0,IF(AND(Units!$K114=0,Y$1=Units!$O114),Units!$R114,IF(AND(Y$1&gt;=Units!$Q114,MOD(Y$1-Units!$Q114,12)=0),IF(AND(Units!$L114=1,Y$1=Units!$Q114),IF(Units!$J114&lt;&gt;"",Units!$J114,Mkt!Y115),Inputs!$B$15*Mkt!Y115+(1-Inputs!$B$15)*MIN(Mkt!Y115,X115*(1+Inputs!$B$18))),X115)))</f>
        <v>1905.5</v>
      </c>
      <c r="Z115" s="11" t="n">
        <f aca="false">IF(Z$1&lt;Units!$P114,0,IF(AND(Units!$K114=0,Z$1=Units!$O114),Units!$R114,IF(AND(Z$1&gt;=Units!$Q114,MOD(Z$1-Units!$Q114,12)=0),IF(AND(Units!$L114=1,Z$1=Units!$Q114),IF(Units!$J114&lt;&gt;"",Units!$J114,Mkt!Z115),Inputs!$B$15*Mkt!Z115+(1-Inputs!$B$15)*MIN(Mkt!Z115,Y115*(1+Inputs!$B$18))),Y115)))</f>
        <v>1905.5</v>
      </c>
      <c r="AA115" s="11" t="n">
        <f aca="false">IF(AA$1&lt;Units!$P114,0,IF(AND(Units!$K114=0,AA$1=Units!$O114),Units!$R114,IF(AND(AA$1&gt;=Units!$Q114,MOD(AA$1-Units!$Q114,12)=0),IF(AND(Units!$L114=1,AA$1=Units!$Q114),IF(Units!$J114&lt;&gt;"",Units!$J114,Mkt!AA115),Inputs!$B$15*Mkt!AA115+(1-Inputs!$B$15)*MIN(Mkt!AA115,Z115*(1+Inputs!$B$18))),Z115)))</f>
        <v>1905.5</v>
      </c>
      <c r="AB115" s="11" t="n">
        <f aca="false">IF(AB$1&lt;Units!$P114,0,IF(AND(Units!$K114=0,AB$1=Units!$O114),Units!$R114,IF(AND(AB$1&gt;=Units!$Q114,MOD(AB$1-Units!$Q114,12)=0),IF(AND(Units!$L114=1,AB$1=Units!$Q114),IF(Units!$J114&lt;&gt;"",Units!$J114,Mkt!AB115),Inputs!$B$15*Mkt!AB115+(1-Inputs!$B$15)*MIN(Mkt!AB115,AA115*(1+Inputs!$B$18))),AA115)))</f>
        <v>1962.665</v>
      </c>
      <c r="AC115" s="11" t="n">
        <f aca="false">IF(AC$1&lt;Units!$P114,0,IF(AND(Units!$K114=0,AC$1=Units!$O114),Units!$R114,IF(AND(AC$1&gt;=Units!$Q114,MOD(AC$1-Units!$Q114,12)=0),IF(AND(Units!$L114=1,AC$1=Units!$Q114),IF(Units!$J114&lt;&gt;"",Units!$J114,Mkt!AC115),Inputs!$B$15*Mkt!AC115+(1-Inputs!$B$15)*MIN(Mkt!AC115,AB115*(1+Inputs!$B$18))),AB115)))</f>
        <v>1962.665</v>
      </c>
      <c r="AD115" s="11" t="n">
        <f aca="false">IF(AD$1&lt;Units!$P114,0,IF(AND(Units!$K114=0,AD$1=Units!$O114),Units!$R114,IF(AND(AD$1&gt;=Units!$Q114,MOD(AD$1-Units!$Q114,12)=0),IF(AND(Units!$L114=1,AD$1=Units!$Q114),IF(Units!$J114&lt;&gt;"",Units!$J114,Mkt!AD115),Inputs!$B$15*Mkt!AD115+(1-Inputs!$B$15)*MIN(Mkt!AD115,AC115*(1+Inputs!$B$18))),AC115)))</f>
        <v>1962.665</v>
      </c>
      <c r="AE115" s="11" t="n">
        <f aca="false">IF(AE$1&lt;Units!$P114,0,IF(AND(Units!$K114=0,AE$1=Units!$O114),Units!$R114,IF(AND(AE$1&gt;=Units!$Q114,MOD(AE$1-Units!$Q114,12)=0),IF(AND(Units!$L114=1,AE$1=Units!$Q114),IF(Units!$J114&lt;&gt;"",Units!$J114,Mkt!AE115),Inputs!$B$15*Mkt!AE115+(1-Inputs!$B$15)*MIN(Mkt!AE115,AD115*(1+Inputs!$B$18))),AD115)))</f>
        <v>1962.665</v>
      </c>
      <c r="AF115" s="11" t="n">
        <f aca="false">IF(AF$1&lt;Units!$P114,0,IF(AND(Units!$K114=0,AF$1=Units!$O114),Units!$R114,IF(AND(AF$1&gt;=Units!$Q114,MOD(AF$1-Units!$Q114,12)=0),IF(AND(Units!$L114=1,AF$1=Units!$Q114),IF(Units!$J114&lt;&gt;"",Units!$J114,Mkt!AF115),Inputs!$B$15*Mkt!AF115+(1-Inputs!$B$15)*MIN(Mkt!AF115,AE115*(1+Inputs!$B$18))),AE115)))</f>
        <v>1962.665</v>
      </c>
      <c r="AG115" s="11" t="n">
        <f aca="false">IF(AG$1&lt;Units!$P114,0,IF(AND(Units!$K114=0,AG$1=Units!$O114),Units!$R114,IF(AND(AG$1&gt;=Units!$Q114,MOD(AG$1-Units!$Q114,12)=0),IF(AND(Units!$L114=1,AG$1=Units!$Q114),IF(Units!$J114&lt;&gt;"",Units!$J114,Mkt!AG115),Inputs!$B$15*Mkt!AG115+(1-Inputs!$B$15)*MIN(Mkt!AG115,AF115*(1+Inputs!$B$18))),AF115)))</f>
        <v>1962.665</v>
      </c>
      <c r="AH115" s="11" t="n">
        <f aca="false">IF(AH$1&lt;Units!$P114,0,IF(AND(Units!$K114=0,AH$1=Units!$O114),Units!$R114,IF(AND(AH$1&gt;=Units!$Q114,MOD(AH$1-Units!$Q114,12)=0),IF(AND(Units!$L114=1,AH$1=Units!$Q114),IF(Units!$J114&lt;&gt;"",Units!$J114,Mkt!AH115),Inputs!$B$15*Mkt!AH115+(1-Inputs!$B$15)*MIN(Mkt!AH115,AG115*(1+Inputs!$B$18))),AG115)))</f>
        <v>1962.665</v>
      </c>
      <c r="AI115" s="11" t="n">
        <f aca="false">IF(AI$1&lt;Units!$P114,0,IF(AND(Units!$K114=0,AI$1=Units!$O114),Units!$R114,IF(AND(AI$1&gt;=Units!$Q114,MOD(AI$1-Units!$Q114,12)=0),IF(AND(Units!$L114=1,AI$1=Units!$Q114),IF(Units!$J114&lt;&gt;"",Units!$J114,Mkt!AI115),Inputs!$B$15*Mkt!AI115+(1-Inputs!$B$15)*MIN(Mkt!AI115,AH115*(1+Inputs!$B$18))),AH115)))</f>
        <v>1962.665</v>
      </c>
      <c r="AJ115" s="11" t="n">
        <f aca="false">IF(AJ$1&lt;Units!$P114,0,IF(AND(Units!$K114=0,AJ$1=Units!$O114),Units!$R114,IF(AND(AJ$1&gt;=Units!$Q114,MOD(AJ$1-Units!$Q114,12)=0),IF(AND(Units!$L114=1,AJ$1=Units!$Q114),IF(Units!$J114&lt;&gt;"",Units!$J114,Mkt!AJ115),Inputs!$B$15*Mkt!AJ115+(1-Inputs!$B$15)*MIN(Mkt!AJ115,AI115*(1+Inputs!$B$18))),AI115)))</f>
        <v>1962.665</v>
      </c>
      <c r="AK115" s="11" t="n">
        <f aca="false">IF(AK$1&lt;Units!$P114,0,IF(AND(Units!$K114=0,AK$1=Units!$O114),Units!$R114,IF(AND(AK$1&gt;=Units!$Q114,MOD(AK$1-Units!$Q114,12)=0),IF(AND(Units!$L114=1,AK$1=Units!$Q114),IF(Units!$J114&lt;&gt;"",Units!$J114,Mkt!AK115),Inputs!$B$15*Mkt!AK115+(1-Inputs!$B$15)*MIN(Mkt!AK115,AJ115*(1+Inputs!$B$18))),AJ115)))</f>
        <v>1962.665</v>
      </c>
      <c r="AL115" s="11" t="n">
        <f aca="false">IF(AL$1&lt;Units!$P114,0,IF(AND(Units!$K114=0,AL$1=Units!$O114),Units!$R114,IF(AND(AL$1&gt;=Units!$Q114,MOD(AL$1-Units!$Q114,12)=0),IF(AND(Units!$L114=1,AL$1=Units!$Q114),IF(Units!$J114&lt;&gt;"",Units!$J114,Mkt!AL115),Inputs!$B$15*Mkt!AL115+(1-Inputs!$B$15)*MIN(Mkt!AL115,AK115*(1+Inputs!$B$18))),AK115)))</f>
        <v>1962.665</v>
      </c>
      <c r="AM115" s="11" t="n">
        <f aca="false">IF(AM$1&lt;Units!$P114,0,IF(AND(Units!$K114=0,AM$1=Units!$O114),Units!$R114,IF(AND(AM$1&gt;=Units!$Q114,MOD(AM$1-Units!$Q114,12)=0),IF(AND(Units!$L114=1,AM$1=Units!$Q114),IF(Units!$J114&lt;&gt;"",Units!$J114,Mkt!AM115),Inputs!$B$15*Mkt!AM115+(1-Inputs!$B$15)*MIN(Mkt!AM115,AL115*(1+Inputs!$B$18))),AL115)))</f>
        <v>1962.665</v>
      </c>
      <c r="AN115" s="11" t="n">
        <f aca="false">IF(AN$1&lt;Units!$P114,0,IF(AND(Units!$K114=0,AN$1=Units!$O114),Units!$R114,IF(AND(AN$1&gt;=Units!$Q114,MOD(AN$1-Units!$Q114,12)=0),IF(AND(Units!$L114=1,AN$1=Units!$Q114),IF(Units!$J114&lt;&gt;"",Units!$J114,Mkt!AN115),Inputs!$B$15*Mkt!AN115+(1-Inputs!$B$15)*MIN(Mkt!AN115,AM115*(1+Inputs!$B$18))),AM115)))</f>
        <v>2021.54495</v>
      </c>
      <c r="AO115" s="11" t="n">
        <f aca="false">IF(AO$1&lt;Units!$P114,0,IF(AND(Units!$K114=0,AO$1=Units!$O114),Units!$R114,IF(AND(AO$1&gt;=Units!$Q114,MOD(AO$1-Units!$Q114,12)=0),IF(AND(Units!$L114=1,AO$1=Units!$Q114),IF(Units!$J114&lt;&gt;"",Units!$J114,Mkt!AO115),Inputs!$B$15*Mkt!AO115+(1-Inputs!$B$15)*MIN(Mkt!AO115,AN115*(1+Inputs!$B$18))),AN115)))</f>
        <v>2021.54495</v>
      </c>
      <c r="AP115" s="11" t="n">
        <f aca="false">IF(AP$1&lt;Units!$P114,0,IF(AND(Units!$K114=0,AP$1=Units!$O114),Units!$R114,IF(AND(AP$1&gt;=Units!$Q114,MOD(AP$1-Units!$Q114,12)=0),IF(AND(Units!$L114=1,AP$1=Units!$Q114),IF(Units!$J114&lt;&gt;"",Units!$J114,Mkt!AP115),Inputs!$B$15*Mkt!AP115+(1-Inputs!$B$15)*MIN(Mkt!AP115,AO115*(1+Inputs!$B$18))),AO115)))</f>
        <v>2021.54495</v>
      </c>
      <c r="AQ115" s="11" t="n">
        <f aca="false">IF(AQ$1&lt;Units!$P114,0,IF(AND(Units!$K114=0,AQ$1=Units!$O114),Units!$R114,IF(AND(AQ$1&gt;=Units!$Q114,MOD(AQ$1-Units!$Q114,12)=0),IF(AND(Units!$L114=1,AQ$1=Units!$Q114),IF(Units!$J114&lt;&gt;"",Units!$J114,Mkt!AQ115),Inputs!$B$15*Mkt!AQ115+(1-Inputs!$B$15)*MIN(Mkt!AQ115,AP115*(1+Inputs!$B$18))),AP115)))</f>
        <v>2021.54495</v>
      </c>
      <c r="AR115" s="11" t="n">
        <f aca="false">IF(AR$1&lt;Units!$P114,0,IF(AND(Units!$K114=0,AR$1=Units!$O114),Units!$R114,IF(AND(AR$1&gt;=Units!$Q114,MOD(AR$1-Units!$Q114,12)=0),IF(AND(Units!$L114=1,AR$1=Units!$Q114),IF(Units!$J114&lt;&gt;"",Units!$J114,Mkt!AR115),Inputs!$B$15*Mkt!AR115+(1-Inputs!$B$15)*MIN(Mkt!AR115,AQ115*(1+Inputs!$B$18))),AQ115)))</f>
        <v>2021.54495</v>
      </c>
      <c r="AS115" s="11" t="n">
        <f aca="false">IF(AS$1&lt;Units!$P114,0,IF(AND(Units!$K114=0,AS$1=Units!$O114),Units!$R114,IF(AND(AS$1&gt;=Units!$Q114,MOD(AS$1-Units!$Q114,12)=0),IF(AND(Units!$L114=1,AS$1=Units!$Q114),IF(Units!$J114&lt;&gt;"",Units!$J114,Mkt!AS115),Inputs!$B$15*Mkt!AS115+(1-Inputs!$B$15)*MIN(Mkt!AS115,AR115*(1+Inputs!$B$18))),AR115)))</f>
        <v>2021.54495</v>
      </c>
      <c r="AT115" s="11" t="n">
        <f aca="false">IF(AT$1&lt;Units!$P114,0,IF(AND(Units!$K114=0,AT$1=Units!$O114),Units!$R114,IF(AND(AT$1&gt;=Units!$Q114,MOD(AT$1-Units!$Q114,12)=0),IF(AND(Units!$L114=1,AT$1=Units!$Q114),IF(Units!$J114&lt;&gt;"",Units!$J114,Mkt!AT115),Inputs!$B$15*Mkt!AT115+(1-Inputs!$B$15)*MIN(Mkt!AT115,AS115*(1+Inputs!$B$18))),AS115)))</f>
        <v>2021.54495</v>
      </c>
      <c r="AU115" s="11" t="n">
        <f aca="false">IF(AU$1&lt;Units!$P114,0,IF(AND(Units!$K114=0,AU$1=Units!$O114),Units!$R114,IF(AND(AU$1&gt;=Units!$Q114,MOD(AU$1-Units!$Q114,12)=0),IF(AND(Units!$L114=1,AU$1=Units!$Q114),IF(Units!$J114&lt;&gt;"",Units!$J114,Mkt!AU115),Inputs!$B$15*Mkt!AU115+(1-Inputs!$B$15)*MIN(Mkt!AU115,AT115*(1+Inputs!$B$18))),AT115)))</f>
        <v>2021.54495</v>
      </c>
      <c r="AV115" s="11" t="n">
        <f aca="false">IF(AV$1&lt;Units!$P114,0,IF(AND(Units!$K114=0,AV$1=Units!$O114),Units!$R114,IF(AND(AV$1&gt;=Units!$Q114,MOD(AV$1-Units!$Q114,12)=0),IF(AND(Units!$L114=1,AV$1=Units!$Q114),IF(Units!$J114&lt;&gt;"",Units!$J114,Mkt!AV115),Inputs!$B$15*Mkt!AV115+(1-Inputs!$B$15)*MIN(Mkt!AV115,AU115*(1+Inputs!$B$18))),AU115)))</f>
        <v>2021.54495</v>
      </c>
      <c r="AW115" s="11" t="n">
        <f aca="false">IF(AW$1&lt;Units!$P114,0,IF(AND(Units!$K114=0,AW$1=Units!$O114),Units!$R114,IF(AND(AW$1&gt;=Units!$Q114,MOD(AW$1-Units!$Q114,12)=0),IF(AND(Units!$L114=1,AW$1=Units!$Q114),IF(Units!$J114&lt;&gt;"",Units!$J114,Mkt!AW115),Inputs!$B$15*Mkt!AW115+(1-Inputs!$B$15)*MIN(Mkt!AW115,AV115*(1+Inputs!$B$18))),AV115)))</f>
        <v>2021.54495</v>
      </c>
      <c r="AX115" s="11" t="n">
        <f aca="false">IF(AX$1&lt;Units!$P114,0,IF(AND(Units!$K114=0,AX$1=Units!$O114),Units!$R114,IF(AND(AX$1&gt;=Units!$Q114,MOD(AX$1-Units!$Q114,12)=0),IF(AND(Units!$L114=1,AX$1=Units!$Q114),IF(Units!$J114&lt;&gt;"",Units!$J114,Mkt!AX115),Inputs!$B$15*Mkt!AX115+(1-Inputs!$B$15)*MIN(Mkt!AX115,AW115*(1+Inputs!$B$18))),AW115)))</f>
        <v>2021.54495</v>
      </c>
      <c r="AY115" s="11" t="n">
        <f aca="false">IF(AY$1&lt;Units!$P114,0,IF(AND(Units!$K114=0,AY$1=Units!$O114),Units!$R114,IF(AND(AY$1&gt;=Units!$Q114,MOD(AY$1-Units!$Q114,12)=0),IF(AND(Units!$L114=1,AY$1=Units!$Q114),IF(Units!$J114&lt;&gt;"",Units!$J114,Mkt!AY115),Inputs!$B$15*Mkt!AY115+(1-Inputs!$B$15)*MIN(Mkt!AY115,AX115*(1+Inputs!$B$18))),AX115)))</f>
        <v>2021.54495</v>
      </c>
      <c r="AZ115" s="11" t="n">
        <f aca="false">IF(AZ$1&lt;Units!$P114,0,IF(AND(Units!$K114=0,AZ$1=Units!$O114),Units!$R114,IF(AND(AZ$1&gt;=Units!$Q114,MOD(AZ$1-Units!$Q114,12)=0),IF(AND(Units!$L114=1,AZ$1=Units!$Q114),IF(Units!$J114&lt;&gt;"",Units!$J114,Mkt!AZ115),Inputs!$B$15*Mkt!AZ115+(1-Inputs!$B$15)*MIN(Mkt!AZ115,AY115*(1+Inputs!$B$18))),AY115)))</f>
        <v>2082.1912985</v>
      </c>
      <c r="BA115" s="11" t="n">
        <f aca="false">IF(BA$1&lt;Units!$P114,0,IF(AND(Units!$K114=0,BA$1=Units!$O114),Units!$R114,IF(AND(BA$1&gt;=Units!$Q114,MOD(BA$1-Units!$Q114,12)=0),IF(AND(Units!$L114=1,BA$1=Units!$Q114),IF(Units!$J114&lt;&gt;"",Units!$J114,Mkt!BA115),Inputs!$B$15*Mkt!BA115+(1-Inputs!$B$15)*MIN(Mkt!BA115,AZ115*(1+Inputs!$B$18))),AZ115)))</f>
        <v>2082.1912985</v>
      </c>
      <c r="BB115" s="11" t="n">
        <f aca="false">IF(BB$1&lt;Units!$P114,0,IF(AND(Units!$K114=0,BB$1=Units!$O114),Units!$R114,IF(AND(BB$1&gt;=Units!$Q114,MOD(BB$1-Units!$Q114,12)=0),IF(AND(Units!$L114=1,BB$1=Units!$Q114),IF(Units!$J114&lt;&gt;"",Units!$J114,Mkt!BB115),Inputs!$B$15*Mkt!BB115+(1-Inputs!$B$15)*MIN(Mkt!BB115,BA115*(1+Inputs!$B$18))),BA115)))</f>
        <v>2082.1912985</v>
      </c>
      <c r="BC115" s="11" t="n">
        <f aca="false">IF(BC$1&lt;Units!$P114,0,IF(AND(Units!$K114=0,BC$1=Units!$O114),Units!$R114,IF(AND(BC$1&gt;=Units!$Q114,MOD(BC$1-Units!$Q114,12)=0),IF(AND(Units!$L114=1,BC$1=Units!$Q114),IF(Units!$J114&lt;&gt;"",Units!$J114,Mkt!BC115),Inputs!$B$15*Mkt!BC115+(1-Inputs!$B$15)*MIN(Mkt!BC115,BB115*(1+Inputs!$B$18))),BB115)))</f>
        <v>2082.1912985</v>
      </c>
      <c r="BD115" s="11" t="n">
        <f aca="false">IF(BD$1&lt;Units!$P114,0,IF(AND(Units!$K114=0,BD$1=Units!$O114),Units!$R114,IF(AND(BD$1&gt;=Units!$Q114,MOD(BD$1-Units!$Q114,12)=0),IF(AND(Units!$L114=1,BD$1=Units!$Q114),IF(Units!$J114&lt;&gt;"",Units!$J114,Mkt!BD115),Inputs!$B$15*Mkt!BD115+(1-Inputs!$B$15)*MIN(Mkt!BD115,BC115*(1+Inputs!$B$18))),BC115)))</f>
        <v>2082.1912985</v>
      </c>
      <c r="BE115" s="11" t="n">
        <f aca="false">IF(BE$1&lt;Units!$P114,0,IF(AND(Units!$K114=0,BE$1=Units!$O114),Units!$R114,IF(AND(BE$1&gt;=Units!$Q114,MOD(BE$1-Units!$Q114,12)=0),IF(AND(Units!$L114=1,BE$1=Units!$Q114),IF(Units!$J114&lt;&gt;"",Units!$J114,Mkt!BE115),Inputs!$B$15*Mkt!BE115+(1-Inputs!$B$15)*MIN(Mkt!BE115,BD115*(1+Inputs!$B$18))),BD115)))</f>
        <v>2082.1912985</v>
      </c>
      <c r="BF115" s="11" t="n">
        <f aca="false">IF(BF$1&lt;Units!$P114,0,IF(AND(Units!$K114=0,BF$1=Units!$O114),Units!$R114,IF(AND(BF$1&gt;=Units!$Q114,MOD(BF$1-Units!$Q114,12)=0),IF(AND(Units!$L114=1,BF$1=Units!$Q114),IF(Units!$J114&lt;&gt;"",Units!$J114,Mkt!BF115),Inputs!$B$15*Mkt!BF115+(1-Inputs!$B$15)*MIN(Mkt!BF115,BE115*(1+Inputs!$B$18))),BE115)))</f>
        <v>2082.1912985</v>
      </c>
      <c r="BG115" s="11" t="n">
        <f aca="false">IF(BG$1&lt;Units!$P114,0,IF(AND(Units!$K114=0,BG$1=Units!$O114),Units!$R114,IF(AND(BG$1&gt;=Units!$Q114,MOD(BG$1-Units!$Q114,12)=0),IF(AND(Units!$L114=1,BG$1=Units!$Q114),IF(Units!$J114&lt;&gt;"",Units!$J114,Mkt!BG115),Inputs!$B$15*Mkt!BG115+(1-Inputs!$B$15)*MIN(Mkt!BG115,BF115*(1+Inputs!$B$18))),BF115)))</f>
        <v>2082.1912985</v>
      </c>
      <c r="BH115" s="11" t="n">
        <f aca="false">IF(BH$1&lt;Units!$P114,0,IF(AND(Units!$K114=0,BH$1=Units!$O114),Units!$R114,IF(AND(BH$1&gt;=Units!$Q114,MOD(BH$1-Units!$Q114,12)=0),IF(AND(Units!$L114=1,BH$1=Units!$Q114),IF(Units!$J114&lt;&gt;"",Units!$J114,Mkt!BH115),Inputs!$B$15*Mkt!BH115+(1-Inputs!$B$15)*MIN(Mkt!BH115,BG115*(1+Inputs!$B$18))),BG115)))</f>
        <v>2082.1912985</v>
      </c>
      <c r="BI115" s="11" t="n">
        <f aca="false">IF(BI$1&lt;Units!$P114,0,IF(AND(Units!$K114=0,BI$1=Units!$O114),Units!$R114,IF(AND(BI$1&gt;=Units!$Q114,MOD(BI$1-Units!$Q114,12)=0),IF(AND(Units!$L114=1,BI$1=Units!$Q114),IF(Units!$J114&lt;&gt;"",Units!$J114,Mkt!BI115),Inputs!$B$15*Mkt!BI115+(1-Inputs!$B$15)*MIN(Mkt!BI115,BH115*(1+Inputs!$B$18))),BH115)))</f>
        <v>2082.1912985</v>
      </c>
      <c r="BJ115" s="11" t="n">
        <f aca="false">IF(BJ$1&lt;Units!$P114,0,IF(AND(Units!$K114=0,BJ$1=Units!$O114),Units!$R114,IF(AND(BJ$1&gt;=Units!$Q114,MOD(BJ$1-Units!$Q114,12)=0),IF(AND(Units!$L114=1,BJ$1=Units!$Q114),IF(Units!$J114&lt;&gt;"",Units!$J114,Mkt!BJ115),Inputs!$B$15*Mkt!BJ115+(1-Inputs!$B$15)*MIN(Mkt!BJ115,BI115*(1+Inputs!$B$18))),BI115)))</f>
        <v>2082.1912985</v>
      </c>
      <c r="BK115" s="11" t="n">
        <f aca="false">IF(BK$1&lt;Units!$P114,0,IF(AND(Units!$K114=0,BK$1=Units!$O114),Units!$R114,IF(AND(BK$1&gt;=Units!$Q114,MOD(BK$1-Units!$Q114,12)=0),IF(AND(Units!$L114=1,BK$1=Units!$Q114),IF(Units!$J114&lt;&gt;"",Units!$J114,Mkt!BK115),Inputs!$B$15*Mkt!BK115+(1-Inputs!$B$15)*MIN(Mkt!BK115,BJ115*(1+Inputs!$B$18))),BJ115)))</f>
        <v>2082.1912985</v>
      </c>
      <c r="BL115" s="11" t="n">
        <f aca="false">IF(BL$1&lt;Units!$P114,0,IF(AND(Units!$K114=0,BL$1=Units!$O114),Units!$R114,IF(AND(BL$1&gt;=Units!$Q114,MOD(BL$1-Units!$Q114,12)=0),IF(AND(Units!$L114=1,BL$1=Units!$Q114),IF(Units!$J114&lt;&gt;"",Units!$J114,Mkt!BL115),Inputs!$B$15*Mkt!BL115+(1-Inputs!$B$15)*MIN(Mkt!BL115,BK115*(1+Inputs!$B$18))),BK115)))</f>
        <v>2144.657037455</v>
      </c>
      <c r="BM115" s="11" t="n">
        <f aca="false">IF(BM$1&lt;Units!$P114,0,IF(AND(Units!$K114=0,BM$1=Units!$O114),Units!$R114,IF(AND(BM$1&gt;=Units!$Q114,MOD(BM$1-Units!$Q114,12)=0),IF(AND(Units!$L114=1,BM$1=Units!$Q114),IF(Units!$J114&lt;&gt;"",Units!$J114,Mkt!BM115),Inputs!$B$15*Mkt!BM115+(1-Inputs!$B$15)*MIN(Mkt!BM115,BL115*(1+Inputs!$B$18))),BL115)))</f>
        <v>2144.657037455</v>
      </c>
      <c r="BN115" s="11" t="n">
        <f aca="false">IF(BN$1&lt;Units!$P114,0,IF(AND(Units!$K114=0,BN$1=Units!$O114),Units!$R114,IF(AND(BN$1&gt;=Units!$Q114,MOD(BN$1-Units!$Q114,12)=0),IF(AND(Units!$L114=1,BN$1=Units!$Q114),IF(Units!$J114&lt;&gt;"",Units!$J114,Mkt!BN115),Inputs!$B$15*Mkt!BN115+(1-Inputs!$B$15)*MIN(Mkt!BN115,BM115*(1+Inputs!$B$18))),BM115)))</f>
        <v>2144.657037455</v>
      </c>
      <c r="BO115" s="11" t="n">
        <f aca="false">IF(BO$1&lt;Units!$P114,0,IF(AND(Units!$K114=0,BO$1=Units!$O114),Units!$R114,IF(AND(BO$1&gt;=Units!$Q114,MOD(BO$1-Units!$Q114,12)=0),IF(AND(Units!$L114=1,BO$1=Units!$Q114),IF(Units!$J114&lt;&gt;"",Units!$J114,Mkt!BO115),Inputs!$B$15*Mkt!BO115+(1-Inputs!$B$15)*MIN(Mkt!BO115,BN115*(1+Inputs!$B$18))),BN115)))</f>
        <v>2144.657037455</v>
      </c>
      <c r="BP115" s="11" t="n">
        <f aca="false">IF(BP$1&lt;Units!$P114,0,IF(AND(Units!$K114=0,BP$1=Units!$O114),Units!$R114,IF(AND(BP$1&gt;=Units!$Q114,MOD(BP$1-Units!$Q114,12)=0),IF(AND(Units!$L114=1,BP$1=Units!$Q114),IF(Units!$J114&lt;&gt;"",Units!$J114,Mkt!BP115),Inputs!$B$15*Mkt!BP115+(1-Inputs!$B$15)*MIN(Mkt!BP115,BO115*(1+Inputs!$B$18))),BO115)))</f>
        <v>2144.657037455</v>
      </c>
      <c r="BQ115" s="11" t="n">
        <f aca="false">IF(BQ$1&lt;Units!$P114,0,IF(AND(Units!$K114=0,BQ$1=Units!$O114),Units!$R114,IF(AND(BQ$1&gt;=Units!$Q114,MOD(BQ$1-Units!$Q114,12)=0),IF(AND(Units!$L114=1,BQ$1=Units!$Q114),IF(Units!$J114&lt;&gt;"",Units!$J114,Mkt!BQ115),Inputs!$B$15*Mkt!BQ115+(1-Inputs!$B$15)*MIN(Mkt!BQ115,BP115*(1+Inputs!$B$18))),BP115)))</f>
        <v>2144.657037455</v>
      </c>
      <c r="BR115" s="11" t="n">
        <f aca="false">IF(BR$1&lt;Units!$P114,0,IF(AND(Units!$K114=0,BR$1=Units!$O114),Units!$R114,IF(AND(BR$1&gt;=Units!$Q114,MOD(BR$1-Units!$Q114,12)=0),IF(AND(Units!$L114=1,BR$1=Units!$Q114),IF(Units!$J114&lt;&gt;"",Units!$J114,Mkt!BR115),Inputs!$B$15*Mkt!BR115+(1-Inputs!$B$15)*MIN(Mkt!BR115,BQ115*(1+Inputs!$B$18))),BQ115)))</f>
        <v>2144.657037455</v>
      </c>
      <c r="BS115" s="11" t="n">
        <f aca="false">IF(BS$1&lt;Units!$P114,0,IF(AND(Units!$K114=0,BS$1=Units!$O114),Units!$R114,IF(AND(BS$1&gt;=Units!$Q114,MOD(BS$1-Units!$Q114,12)=0),IF(AND(Units!$L114=1,BS$1=Units!$Q114),IF(Units!$J114&lt;&gt;"",Units!$J114,Mkt!BS115),Inputs!$B$15*Mkt!BS115+(1-Inputs!$B$15)*MIN(Mkt!BS115,BR115*(1+Inputs!$B$18))),BR115)))</f>
        <v>2144.657037455</v>
      </c>
      <c r="BT115" s="11" t="n">
        <f aca="false">IF(BT$1&lt;Units!$P114,0,IF(AND(Units!$K114=0,BT$1=Units!$O114),Units!$R114,IF(AND(BT$1&gt;=Units!$Q114,MOD(BT$1-Units!$Q114,12)=0),IF(AND(Units!$L114=1,BT$1=Units!$Q114),IF(Units!$J114&lt;&gt;"",Units!$J114,Mkt!BT115),Inputs!$B$15*Mkt!BT115+(1-Inputs!$B$15)*MIN(Mkt!BT115,BS115*(1+Inputs!$B$18))),BS115)))</f>
        <v>2144.657037455</v>
      </c>
      <c r="BU115" s="11" t="n">
        <f aca="false">IF(BU$1&lt;Units!$P114,0,IF(AND(Units!$K114=0,BU$1=Units!$O114),Units!$R114,IF(AND(BU$1&gt;=Units!$Q114,MOD(BU$1-Units!$Q114,12)=0),IF(AND(Units!$L114=1,BU$1=Units!$Q114),IF(Units!$J114&lt;&gt;"",Units!$J114,Mkt!BU115),Inputs!$B$15*Mkt!BU115+(1-Inputs!$B$15)*MIN(Mkt!BU115,BT115*(1+Inputs!$B$18))),BT115)))</f>
        <v>2144.657037455</v>
      </c>
      <c r="BV115" s="11" t="n">
        <f aca="false">IF(BV$1&lt;Units!$P114,0,IF(AND(Units!$K114=0,BV$1=Units!$O114),Units!$R114,IF(AND(BV$1&gt;=Units!$Q114,MOD(BV$1-Units!$Q114,12)=0),IF(AND(Units!$L114=1,BV$1=Units!$Q114),IF(Units!$J114&lt;&gt;"",Units!$J114,Mkt!BV115),Inputs!$B$15*Mkt!BV115+(1-Inputs!$B$15)*MIN(Mkt!BV115,BU115*(1+Inputs!$B$18))),BU115)))</f>
        <v>2144.657037455</v>
      </c>
      <c r="BW115" s="11" t="n">
        <f aca="false">IF(BW$1&lt;Units!$P114,0,IF(AND(Units!$K114=0,BW$1=Units!$O114),Units!$R114,IF(AND(BW$1&gt;=Units!$Q114,MOD(BW$1-Units!$Q114,12)=0),IF(AND(Units!$L114=1,BW$1=Units!$Q114),IF(Units!$J114&lt;&gt;"",Units!$J114,Mkt!BW115),Inputs!$B$15*Mkt!BW115+(1-Inputs!$B$15)*MIN(Mkt!BW115,BV115*(1+Inputs!$B$18))),BV115)))</f>
        <v>2144.657037455</v>
      </c>
      <c r="BX115" s="11" t="n">
        <f aca="false">IF(BX$1&lt;Units!$P114,0,IF(AND(Units!$K114=0,BX$1=Units!$O114),Units!$R114,IF(AND(BX$1&gt;=Units!$Q114,MOD(BX$1-Units!$Q114,12)=0),IF(AND(Units!$L114=1,BX$1=Units!$Q114),IF(Units!$J114&lt;&gt;"",Units!$J114,Mkt!BX115),Inputs!$B$15*Mkt!BX115+(1-Inputs!$B$15)*MIN(Mkt!BX115,BW115*(1+Inputs!$B$18))),BW115)))</f>
        <v>2208.99674857865</v>
      </c>
      <c r="BY115" s="11" t="n">
        <f aca="false">IF(BY$1&lt;Units!$P114,0,IF(AND(Units!$K114=0,BY$1=Units!$O114),Units!$R114,IF(AND(BY$1&gt;=Units!$Q114,MOD(BY$1-Units!$Q114,12)=0),IF(AND(Units!$L114=1,BY$1=Units!$Q114),IF(Units!$J114&lt;&gt;"",Units!$J114,Mkt!BY115),Inputs!$B$15*Mkt!BY115+(1-Inputs!$B$15)*MIN(Mkt!BY115,BX115*(1+Inputs!$B$18))),BX115)))</f>
        <v>2208.99674857865</v>
      </c>
      <c r="BZ115" s="11" t="n">
        <f aca="false">IF(BZ$1&lt;Units!$P114,0,IF(AND(Units!$K114=0,BZ$1=Units!$O114),Units!$R114,IF(AND(BZ$1&gt;=Units!$Q114,MOD(BZ$1-Units!$Q114,12)=0),IF(AND(Units!$L114=1,BZ$1=Units!$Q114),IF(Units!$J114&lt;&gt;"",Units!$J114,Mkt!BZ115),Inputs!$B$15*Mkt!BZ115+(1-Inputs!$B$15)*MIN(Mkt!BZ115,BY115*(1+Inputs!$B$18))),BY115)))</f>
        <v>2208.99674857865</v>
      </c>
      <c r="CA115" s="11" t="n">
        <f aca="false">IF(CA$1&lt;Units!$P114,0,IF(AND(Units!$K114=0,CA$1=Units!$O114),Units!$R114,IF(AND(CA$1&gt;=Units!$Q114,MOD(CA$1-Units!$Q114,12)=0),IF(AND(Units!$L114=1,CA$1=Units!$Q114),IF(Units!$J114&lt;&gt;"",Units!$J114,Mkt!CA115),Inputs!$B$15*Mkt!CA115+(1-Inputs!$B$15)*MIN(Mkt!CA115,BZ115*(1+Inputs!$B$18))),BZ115)))</f>
        <v>2208.99674857865</v>
      </c>
      <c r="CB115" s="11" t="n">
        <f aca="false">IF(CB$1&lt;Units!$P114,0,IF(AND(Units!$K114=0,CB$1=Units!$O114),Units!$R114,IF(AND(CB$1&gt;=Units!$Q114,MOD(CB$1-Units!$Q114,12)=0),IF(AND(Units!$L114=1,CB$1=Units!$Q114),IF(Units!$J114&lt;&gt;"",Units!$J114,Mkt!CB115),Inputs!$B$15*Mkt!CB115+(1-Inputs!$B$15)*MIN(Mkt!CB115,CA115*(1+Inputs!$B$18))),CA115)))</f>
        <v>2208.99674857865</v>
      </c>
      <c r="CC115" s="11" t="n">
        <f aca="false">IF(CC$1&lt;Units!$P114,0,IF(AND(Units!$K114=0,CC$1=Units!$O114),Units!$R114,IF(AND(CC$1&gt;=Units!$Q114,MOD(CC$1-Units!$Q114,12)=0),IF(AND(Units!$L114=1,CC$1=Units!$Q114),IF(Units!$J114&lt;&gt;"",Units!$J114,Mkt!CC115),Inputs!$B$15*Mkt!CC115+(1-Inputs!$B$15)*MIN(Mkt!CC115,CB115*(1+Inputs!$B$18))),CB115)))</f>
        <v>2208.99674857865</v>
      </c>
      <c r="CD115" s="11" t="n">
        <f aca="false">IF(CD$1&lt;Units!$P114,0,IF(AND(Units!$K114=0,CD$1=Units!$O114),Units!$R114,IF(AND(CD$1&gt;=Units!$Q114,MOD(CD$1-Units!$Q114,12)=0),IF(AND(Units!$L114=1,CD$1=Units!$Q114),IF(Units!$J114&lt;&gt;"",Units!$J114,Mkt!CD115),Inputs!$B$15*Mkt!CD115+(1-Inputs!$B$15)*MIN(Mkt!CD115,CC115*(1+Inputs!$B$18))),CC115)))</f>
        <v>2208.99674857865</v>
      </c>
      <c r="CE115" s="11" t="n">
        <f aca="false">IF(CE$1&lt;Units!$P114,0,IF(AND(Units!$K114=0,CE$1=Units!$O114),Units!$R114,IF(AND(CE$1&gt;=Units!$Q114,MOD(CE$1-Units!$Q114,12)=0),IF(AND(Units!$L114=1,CE$1=Units!$Q114),IF(Units!$J114&lt;&gt;"",Units!$J114,Mkt!CE115),Inputs!$B$15*Mkt!CE115+(1-Inputs!$B$15)*MIN(Mkt!CE115,CD115*(1+Inputs!$B$18))),CD115)))</f>
        <v>2208.99674857865</v>
      </c>
      <c r="CF115" s="11" t="n">
        <f aca="false">IF(CF$1&lt;Units!$P114,0,IF(AND(Units!$K114=0,CF$1=Units!$O114),Units!$R114,IF(AND(CF$1&gt;=Units!$Q114,MOD(CF$1-Units!$Q114,12)=0),IF(AND(Units!$L114=1,CF$1=Units!$Q114),IF(Units!$J114&lt;&gt;"",Units!$J114,Mkt!CF115),Inputs!$B$15*Mkt!CF115+(1-Inputs!$B$15)*MIN(Mkt!CF115,CE115*(1+Inputs!$B$18))),CE115)))</f>
        <v>2208.99674857865</v>
      </c>
      <c r="CG115" s="11" t="n">
        <f aca="false">IF(CG$1&lt;Units!$P114,0,IF(AND(Units!$K114=0,CG$1=Units!$O114),Units!$R114,IF(AND(CG$1&gt;=Units!$Q114,MOD(CG$1-Units!$Q114,12)=0),IF(AND(Units!$L114=1,CG$1=Units!$Q114),IF(Units!$J114&lt;&gt;"",Units!$J114,Mkt!CG115),Inputs!$B$15*Mkt!CG115+(1-Inputs!$B$15)*MIN(Mkt!CG115,CF115*(1+Inputs!$B$18))),CF115)))</f>
        <v>2208.99674857865</v>
      </c>
      <c r="CH115" s="11" t="n">
        <f aca="false">IF(CH$1&lt;Units!$P114,0,IF(AND(Units!$K114=0,CH$1=Units!$O114),Units!$R114,IF(AND(CH$1&gt;=Units!$Q114,MOD(CH$1-Units!$Q114,12)=0),IF(AND(Units!$L114=1,CH$1=Units!$Q114),IF(Units!$J114&lt;&gt;"",Units!$J114,Mkt!CH115),Inputs!$B$15*Mkt!CH115+(1-Inputs!$B$15)*MIN(Mkt!CH115,CG115*(1+Inputs!$B$18))),CG115)))</f>
        <v>2208.99674857865</v>
      </c>
      <c r="CI115" s="11" t="n">
        <f aca="false">IF(CI$1&lt;Units!$P114,0,IF(AND(Units!$K114=0,CI$1=Units!$O114),Units!$R114,IF(AND(CI$1&gt;=Units!$Q114,MOD(CI$1-Units!$Q114,12)=0),IF(AND(Units!$L114=1,CI$1=Units!$Q114),IF(Units!$J114&lt;&gt;"",Units!$J114,Mkt!CI115),Inputs!$B$15*Mkt!CI115+(1-Inputs!$B$15)*MIN(Mkt!CI115,CH115*(1+Inputs!$B$18))),CH115)))</f>
        <v>2208.99674857865</v>
      </c>
      <c r="CJ115" s="11" t="n">
        <f aca="false">IF(CJ$1&lt;Units!$P114,0,IF(AND(Units!$K114=0,CJ$1=Units!$O114),Units!$R114,IF(AND(CJ$1&gt;=Units!$Q114,MOD(CJ$1-Units!$Q114,12)=0),IF(AND(Units!$L114=1,CJ$1=Units!$Q114),IF(Units!$J114&lt;&gt;"",Units!$J114,Mkt!CJ115),Inputs!$B$15*Mkt!CJ115+(1-Inputs!$B$15)*MIN(Mkt!CJ115,CI115*(1+Inputs!$B$18))),CI115)))</f>
        <v>2275.26665103601</v>
      </c>
      <c r="CK115" s="11" t="n">
        <f aca="false">IF(CK$1&lt;Units!$P114,0,IF(AND(Units!$K114=0,CK$1=Units!$O114),Units!$R114,IF(AND(CK$1&gt;=Units!$Q114,MOD(CK$1-Units!$Q114,12)=0),IF(AND(Units!$L114=1,CK$1=Units!$Q114),IF(Units!$J114&lt;&gt;"",Units!$J114,Mkt!CK115),Inputs!$B$15*Mkt!CK115+(1-Inputs!$B$15)*MIN(Mkt!CK115,CJ115*(1+Inputs!$B$18))),CJ115)))</f>
        <v>2275.26665103601</v>
      </c>
      <c r="CL115" s="11" t="n">
        <f aca="false">IF(CL$1&lt;Units!$P114,0,IF(AND(Units!$K114=0,CL$1=Units!$O114),Units!$R114,IF(AND(CL$1&gt;=Units!$Q114,MOD(CL$1-Units!$Q114,12)=0),IF(AND(Units!$L114=1,CL$1=Units!$Q114),IF(Units!$J114&lt;&gt;"",Units!$J114,Mkt!CL115),Inputs!$B$15*Mkt!CL115+(1-Inputs!$B$15)*MIN(Mkt!CL115,CK115*(1+Inputs!$B$18))),CK115)))</f>
        <v>2275.26665103601</v>
      </c>
      <c r="CM115" s="11" t="n">
        <f aca="false">IF(CM$1&lt;Units!$P114,0,IF(AND(Units!$K114=0,CM$1=Units!$O114),Units!$R114,IF(AND(CM$1&gt;=Units!$Q114,MOD(CM$1-Units!$Q114,12)=0),IF(AND(Units!$L114=1,CM$1=Units!$Q114),IF(Units!$J114&lt;&gt;"",Units!$J114,Mkt!CM115),Inputs!$B$15*Mkt!CM115+(1-Inputs!$B$15)*MIN(Mkt!CM115,CL115*(1+Inputs!$B$18))),CL115)))</f>
        <v>2275.26665103601</v>
      </c>
      <c r="CN115" s="11" t="n">
        <f aca="false">IF(CN$1&lt;Units!$P114,0,IF(AND(Units!$K114=0,CN$1=Units!$O114),Units!$R114,IF(AND(CN$1&gt;=Units!$Q114,MOD(CN$1-Units!$Q114,12)=0),IF(AND(Units!$L114=1,CN$1=Units!$Q114),IF(Units!$J114&lt;&gt;"",Units!$J114,Mkt!CN115),Inputs!$B$15*Mkt!CN115+(1-Inputs!$B$15)*MIN(Mkt!CN115,CM115*(1+Inputs!$B$18))),CM115)))</f>
        <v>2275.26665103601</v>
      </c>
      <c r="CO115" s="11" t="n">
        <f aca="false">IF(CO$1&lt;Units!$P114,0,IF(AND(Units!$K114=0,CO$1=Units!$O114),Units!$R114,IF(AND(CO$1&gt;=Units!$Q114,MOD(CO$1-Units!$Q114,12)=0),IF(AND(Units!$L114=1,CO$1=Units!$Q114),IF(Units!$J114&lt;&gt;"",Units!$J114,Mkt!CO115),Inputs!$B$15*Mkt!CO115+(1-Inputs!$B$15)*MIN(Mkt!CO115,CN115*(1+Inputs!$B$18))),CN115)))</f>
        <v>2275.26665103601</v>
      </c>
      <c r="CP115" s="11" t="n">
        <f aca="false">IF(CP$1&lt;Units!$P114,0,IF(AND(Units!$K114=0,CP$1=Units!$O114),Units!$R114,IF(AND(CP$1&gt;=Units!$Q114,MOD(CP$1-Units!$Q114,12)=0),IF(AND(Units!$L114=1,CP$1=Units!$Q114),IF(Units!$J114&lt;&gt;"",Units!$J114,Mkt!CP115),Inputs!$B$15*Mkt!CP115+(1-Inputs!$B$15)*MIN(Mkt!CP115,CO115*(1+Inputs!$B$18))),CO115)))</f>
        <v>2275.26665103601</v>
      </c>
      <c r="CQ115" s="11" t="n">
        <f aca="false">IF(CQ$1&lt;Units!$P114,0,IF(AND(Units!$K114=0,CQ$1=Units!$O114),Units!$R114,IF(AND(CQ$1&gt;=Units!$Q114,MOD(CQ$1-Units!$Q114,12)=0),IF(AND(Units!$L114=1,CQ$1=Units!$Q114),IF(Units!$J114&lt;&gt;"",Units!$J114,Mkt!CQ115),Inputs!$B$15*Mkt!CQ115+(1-Inputs!$B$15)*MIN(Mkt!CQ115,CP115*(1+Inputs!$B$18))),CP115)))</f>
        <v>2275.26665103601</v>
      </c>
      <c r="CR115" s="11" t="n">
        <f aca="false">IF(CR$1&lt;Units!$P114,0,IF(AND(Units!$K114=0,CR$1=Units!$O114),Units!$R114,IF(AND(CR$1&gt;=Units!$Q114,MOD(CR$1-Units!$Q114,12)=0),IF(AND(Units!$L114=1,CR$1=Units!$Q114),IF(Units!$J114&lt;&gt;"",Units!$J114,Mkt!CR115),Inputs!$B$15*Mkt!CR115+(1-Inputs!$B$15)*MIN(Mkt!CR115,CQ115*(1+Inputs!$B$18))),CQ115)))</f>
        <v>2275.26665103601</v>
      </c>
      <c r="CS115" s="11" t="n">
        <f aca="false">IF(CS$1&lt;Units!$P114,0,IF(AND(Units!$K114=0,CS$1=Units!$O114),Units!$R114,IF(AND(CS$1&gt;=Units!$Q114,MOD(CS$1-Units!$Q114,12)=0),IF(AND(Units!$L114=1,CS$1=Units!$Q114),IF(Units!$J114&lt;&gt;"",Units!$J114,Mkt!CS115),Inputs!$B$15*Mkt!CS115+(1-Inputs!$B$15)*MIN(Mkt!CS115,CR115*(1+Inputs!$B$18))),CR115)))</f>
        <v>2275.26665103601</v>
      </c>
      <c r="CT115" s="11" t="n">
        <f aca="false">IF(CT$1&lt;Units!$P114,0,IF(AND(Units!$K114=0,CT$1=Units!$O114),Units!$R114,IF(AND(CT$1&gt;=Units!$Q114,MOD(CT$1-Units!$Q114,12)=0),IF(AND(Units!$L114=1,CT$1=Units!$Q114),IF(Units!$J114&lt;&gt;"",Units!$J114,Mkt!CT115),Inputs!$B$15*Mkt!CT115+(1-Inputs!$B$15)*MIN(Mkt!CT115,CS115*(1+Inputs!$B$18))),CS115)))</f>
        <v>2275.26665103601</v>
      </c>
      <c r="CU115" s="11" t="n">
        <f aca="false">IF(CU$1&lt;Units!$P114,0,IF(AND(Units!$K114=0,CU$1=Units!$O114),Units!$R114,IF(AND(CU$1&gt;=Units!$Q114,MOD(CU$1-Units!$Q114,12)=0),IF(AND(Units!$L114=1,CU$1=Units!$Q114),IF(Units!$J114&lt;&gt;"",Units!$J114,Mkt!CU115),Inputs!$B$15*Mkt!CU115+(1-Inputs!$B$15)*MIN(Mkt!CU115,CT115*(1+Inputs!$B$18))),CT115)))</f>
        <v>2275.26665103601</v>
      </c>
      <c r="CV115" s="11" t="n">
        <f aca="false">IF(CV$1&lt;Units!$P114,0,IF(AND(Units!$K114=0,CV$1=Units!$O114),Units!$R114,IF(AND(CV$1&gt;=Units!$Q114,MOD(CV$1-Units!$Q114,12)=0),IF(AND(Units!$L114=1,CV$1=Units!$Q114),IF(Units!$J114&lt;&gt;"",Units!$J114,Mkt!CV115),Inputs!$B$15*Mkt!CV115+(1-Inputs!$B$15)*MIN(Mkt!CV115,CU115*(1+Inputs!$B$18))),CU115)))</f>
        <v>2343.52465056709</v>
      </c>
      <c r="CW115" s="11" t="n">
        <f aca="false">IF(CW$1&lt;Units!$P114,0,IF(AND(Units!$K114=0,CW$1=Units!$O114),Units!$R114,IF(AND(CW$1&gt;=Units!$Q114,MOD(CW$1-Units!$Q114,12)=0),IF(AND(Units!$L114=1,CW$1=Units!$Q114),IF(Units!$J114&lt;&gt;"",Units!$J114,Mkt!CW115),Inputs!$B$15*Mkt!CW115+(1-Inputs!$B$15)*MIN(Mkt!CW115,CV115*(1+Inputs!$B$18))),CV115)))</f>
        <v>2343.52465056709</v>
      </c>
      <c r="CX115" s="11" t="n">
        <f aca="false">IF(CX$1&lt;Units!$P114,0,IF(AND(Units!$K114=0,CX$1=Units!$O114),Units!$R114,IF(AND(CX$1&gt;=Units!$Q114,MOD(CX$1-Units!$Q114,12)=0),IF(AND(Units!$L114=1,CX$1=Units!$Q114),IF(Units!$J114&lt;&gt;"",Units!$J114,Mkt!CX115),Inputs!$B$15*Mkt!CX115+(1-Inputs!$B$15)*MIN(Mkt!CX115,CW115*(1+Inputs!$B$18))),CW115)))</f>
        <v>2343.52465056709</v>
      </c>
      <c r="CY115" s="11" t="n">
        <f aca="false">IF(CY$1&lt;Units!$P114,0,IF(AND(Units!$K114=0,CY$1=Units!$O114),Units!$R114,IF(AND(CY$1&gt;=Units!$Q114,MOD(CY$1-Units!$Q114,12)=0),IF(AND(Units!$L114=1,CY$1=Units!$Q114),IF(Units!$J114&lt;&gt;"",Units!$J114,Mkt!CY115),Inputs!$B$15*Mkt!CY115+(1-Inputs!$B$15)*MIN(Mkt!CY115,CX115*(1+Inputs!$B$18))),CX115)))</f>
        <v>2343.52465056709</v>
      </c>
      <c r="CZ115" s="11" t="n">
        <f aca="false">IF(CZ$1&lt;Units!$P114,0,IF(AND(Units!$K114=0,CZ$1=Units!$O114),Units!$R114,IF(AND(CZ$1&gt;=Units!$Q114,MOD(CZ$1-Units!$Q114,12)=0),IF(AND(Units!$L114=1,CZ$1=Units!$Q114),IF(Units!$J114&lt;&gt;"",Units!$J114,Mkt!CZ115),Inputs!$B$15*Mkt!CZ115+(1-Inputs!$B$15)*MIN(Mkt!CZ115,CY115*(1+Inputs!$B$18))),CY115)))</f>
        <v>2343.52465056709</v>
      </c>
      <c r="DA115" s="11" t="n">
        <f aca="false">IF(DA$1&lt;Units!$P114,0,IF(AND(Units!$K114=0,DA$1=Units!$O114),Units!$R114,IF(AND(DA$1&gt;=Units!$Q114,MOD(DA$1-Units!$Q114,12)=0),IF(AND(Units!$L114=1,DA$1=Units!$Q114),IF(Units!$J114&lt;&gt;"",Units!$J114,Mkt!DA115),Inputs!$B$15*Mkt!DA115+(1-Inputs!$B$15)*MIN(Mkt!DA115,CZ115*(1+Inputs!$B$18))),CZ115)))</f>
        <v>2343.52465056709</v>
      </c>
      <c r="DB115" s="11" t="n">
        <f aca="false">IF(DB$1&lt;Units!$P114,0,IF(AND(Units!$K114=0,DB$1=Units!$O114),Units!$R114,IF(AND(DB$1&gt;=Units!$Q114,MOD(DB$1-Units!$Q114,12)=0),IF(AND(Units!$L114=1,DB$1=Units!$Q114),IF(Units!$J114&lt;&gt;"",Units!$J114,Mkt!DB115),Inputs!$B$15*Mkt!DB115+(1-Inputs!$B$15)*MIN(Mkt!DB115,DA115*(1+Inputs!$B$18))),DA115)))</f>
        <v>2343.52465056709</v>
      </c>
      <c r="DC115" s="11" t="n">
        <f aca="false">IF(DC$1&lt;Units!$P114,0,IF(AND(Units!$K114=0,DC$1=Units!$O114),Units!$R114,IF(AND(DC$1&gt;=Units!$Q114,MOD(DC$1-Units!$Q114,12)=0),IF(AND(Units!$L114=1,DC$1=Units!$Q114),IF(Units!$J114&lt;&gt;"",Units!$J114,Mkt!DC115),Inputs!$B$15*Mkt!DC115+(1-Inputs!$B$15)*MIN(Mkt!DC115,DB115*(1+Inputs!$B$18))),DB115)))</f>
        <v>2343.52465056709</v>
      </c>
      <c r="DD115" s="11" t="n">
        <f aca="false">IF(DD$1&lt;Units!$P114,0,IF(AND(Units!$K114=0,DD$1=Units!$O114),Units!$R114,IF(AND(DD$1&gt;=Units!$Q114,MOD(DD$1-Units!$Q114,12)=0),IF(AND(Units!$L114=1,DD$1=Units!$Q114),IF(Units!$J114&lt;&gt;"",Units!$J114,Mkt!DD115),Inputs!$B$15*Mkt!DD115+(1-Inputs!$B$15)*MIN(Mkt!DD115,DC115*(1+Inputs!$B$18))),DC115)))</f>
        <v>2343.52465056709</v>
      </c>
      <c r="DE115" s="11" t="n">
        <f aca="false">IF(DE$1&lt;Units!$P114,0,IF(AND(Units!$K114=0,DE$1=Units!$O114),Units!$R114,IF(AND(DE$1&gt;=Units!$Q114,MOD(DE$1-Units!$Q114,12)=0),IF(AND(Units!$L114=1,DE$1=Units!$Q114),IF(Units!$J114&lt;&gt;"",Units!$J114,Mkt!DE115),Inputs!$B$15*Mkt!DE115+(1-Inputs!$B$15)*MIN(Mkt!DE115,DD115*(1+Inputs!$B$18))),DD115)))</f>
        <v>2343.52465056709</v>
      </c>
      <c r="DF115" s="11" t="n">
        <f aca="false">IF(DF$1&lt;Units!$P114,0,IF(AND(Units!$K114=0,DF$1=Units!$O114),Units!$R114,IF(AND(DF$1&gt;=Units!$Q114,MOD(DF$1-Units!$Q114,12)=0),IF(AND(Units!$L114=1,DF$1=Units!$Q114),IF(Units!$J114&lt;&gt;"",Units!$J114,Mkt!DF115),Inputs!$B$15*Mkt!DF115+(1-Inputs!$B$15)*MIN(Mkt!DF115,DE115*(1+Inputs!$B$18))),DE115)))</f>
        <v>2343.52465056709</v>
      </c>
      <c r="DG115" s="11" t="n">
        <f aca="false">IF(DG$1&lt;Units!$P114,0,IF(AND(Units!$K114=0,DG$1=Units!$O114),Units!$R114,IF(AND(DG$1&gt;=Units!$Q114,MOD(DG$1-Units!$Q114,12)=0),IF(AND(Units!$L114=1,DG$1=Units!$Q114),IF(Units!$J114&lt;&gt;"",Units!$J114,Mkt!DG115),Inputs!$B$15*Mkt!DG115+(1-Inputs!$B$15)*MIN(Mkt!DG115,DF115*(1+Inputs!$B$18))),DF115)))</f>
        <v>2343.52465056709</v>
      </c>
      <c r="DH115" s="11" t="n">
        <f aca="false">IF(DH$1&lt;Units!$P114,0,IF(AND(Units!$K114=0,DH$1=Units!$O114),Units!$R114,IF(AND(DH$1&gt;=Units!$Q114,MOD(DH$1-Units!$Q114,12)=0),IF(AND(Units!$L114=1,DH$1=Units!$Q114),IF(Units!$J114&lt;&gt;"",Units!$J114,Mkt!DH115),Inputs!$B$15*Mkt!DH115+(1-Inputs!$B$15)*MIN(Mkt!DH115,DG115*(1+Inputs!$B$18))),DG115)))</f>
        <v>2413.8303900841</v>
      </c>
      <c r="DI115" s="11" t="n">
        <f aca="false">IF(DI$1&lt;Units!$P114,0,IF(AND(Units!$K114=0,DI$1=Units!$O114),Units!$R114,IF(AND(DI$1&gt;=Units!$Q114,MOD(DI$1-Units!$Q114,12)=0),IF(AND(Units!$L114=1,DI$1=Units!$Q114),IF(Units!$J114&lt;&gt;"",Units!$J114,Mkt!DI115),Inputs!$B$15*Mkt!DI115+(1-Inputs!$B$15)*MIN(Mkt!DI115,DH115*(1+Inputs!$B$18))),DH115)))</f>
        <v>2413.8303900841</v>
      </c>
      <c r="DJ115" s="11" t="n">
        <f aca="false">IF(DJ$1&lt;Units!$P114,0,IF(AND(Units!$K114=0,DJ$1=Units!$O114),Units!$R114,IF(AND(DJ$1&gt;=Units!$Q114,MOD(DJ$1-Units!$Q114,12)=0),IF(AND(Units!$L114=1,DJ$1=Units!$Q114),IF(Units!$J114&lt;&gt;"",Units!$J114,Mkt!DJ115),Inputs!$B$15*Mkt!DJ115+(1-Inputs!$B$15)*MIN(Mkt!DJ115,DI115*(1+Inputs!$B$18))),DI115)))</f>
        <v>2413.8303900841</v>
      </c>
      <c r="DK115" s="11" t="n">
        <f aca="false">IF(DK$1&lt;Units!$P114,0,IF(AND(Units!$K114=0,DK$1=Units!$O114),Units!$R114,IF(AND(DK$1&gt;=Units!$Q114,MOD(DK$1-Units!$Q114,12)=0),IF(AND(Units!$L114=1,DK$1=Units!$Q114),IF(Units!$J114&lt;&gt;"",Units!$J114,Mkt!DK115),Inputs!$B$15*Mkt!DK115+(1-Inputs!$B$15)*MIN(Mkt!DK115,DJ115*(1+Inputs!$B$18))),DJ115)))</f>
        <v>2413.8303900841</v>
      </c>
      <c r="DL115" s="11" t="n">
        <f aca="false">IF(DL$1&lt;Units!$P114,0,IF(AND(Units!$K114=0,DL$1=Units!$O114),Units!$R114,IF(AND(DL$1&gt;=Units!$Q114,MOD(DL$1-Units!$Q114,12)=0),IF(AND(Units!$L114=1,DL$1=Units!$Q114),IF(Units!$J114&lt;&gt;"",Units!$J114,Mkt!DL115),Inputs!$B$15*Mkt!DL115+(1-Inputs!$B$15)*MIN(Mkt!DL115,DK115*(1+Inputs!$B$18))),DK115)))</f>
        <v>2413.8303900841</v>
      </c>
      <c r="DM115" s="11" t="n">
        <f aca="false">IF(DM$1&lt;Units!$P114,0,IF(AND(Units!$K114=0,DM$1=Units!$O114),Units!$R114,IF(AND(DM$1&gt;=Units!$Q114,MOD(DM$1-Units!$Q114,12)=0),IF(AND(Units!$L114=1,DM$1=Units!$Q114),IF(Units!$J114&lt;&gt;"",Units!$J114,Mkt!DM115),Inputs!$B$15*Mkt!DM115+(1-Inputs!$B$15)*MIN(Mkt!DM115,DL115*(1+Inputs!$B$18))),DL115)))</f>
        <v>2413.8303900841</v>
      </c>
      <c r="DN115" s="11" t="n">
        <f aca="false">IF(DN$1&lt;Units!$P114,0,IF(AND(Units!$K114=0,DN$1=Units!$O114),Units!$R114,IF(AND(DN$1&gt;=Units!$Q114,MOD(DN$1-Units!$Q114,12)=0),IF(AND(Units!$L114=1,DN$1=Units!$Q114),IF(Units!$J114&lt;&gt;"",Units!$J114,Mkt!DN115),Inputs!$B$15*Mkt!DN115+(1-Inputs!$B$15)*MIN(Mkt!DN115,DM115*(1+Inputs!$B$18))),DM115)))</f>
        <v>2413.8303900841</v>
      </c>
      <c r="DO115" s="11" t="n">
        <f aca="false">IF(DO$1&lt;Units!$P114,0,IF(AND(Units!$K114=0,DO$1=Units!$O114),Units!$R114,IF(AND(DO$1&gt;=Units!$Q114,MOD(DO$1-Units!$Q114,12)=0),IF(AND(Units!$L114=1,DO$1=Units!$Q114),IF(Units!$J114&lt;&gt;"",Units!$J114,Mkt!DO115),Inputs!$B$15*Mkt!DO115+(1-Inputs!$B$15)*MIN(Mkt!DO115,DN115*(1+Inputs!$B$18))),DN115)))</f>
        <v>2413.8303900841</v>
      </c>
      <c r="DP115" s="11" t="n">
        <f aca="false">IF(DP$1&lt;Units!$P114,0,IF(AND(Units!$K114=0,DP$1=Units!$O114),Units!$R114,IF(AND(DP$1&gt;=Units!$Q114,MOD(DP$1-Units!$Q114,12)=0),IF(AND(Units!$L114=1,DP$1=Units!$Q114),IF(Units!$J114&lt;&gt;"",Units!$J114,Mkt!DP115),Inputs!$B$15*Mkt!DP115+(1-Inputs!$B$15)*MIN(Mkt!DP115,DO115*(1+Inputs!$B$18))),DO115)))</f>
        <v>2413.8303900841</v>
      </c>
      <c r="DQ115" s="11" t="n">
        <f aca="false">IF(DQ$1&lt;Units!$P114,0,IF(AND(Units!$K114=0,DQ$1=Units!$O114),Units!$R114,IF(AND(DQ$1&gt;=Units!$Q114,MOD(DQ$1-Units!$Q114,12)=0),IF(AND(Units!$L114=1,DQ$1=Units!$Q114),IF(Units!$J114&lt;&gt;"",Units!$J114,Mkt!DQ115),Inputs!$B$15*Mkt!DQ115+(1-Inputs!$B$15)*MIN(Mkt!DQ115,DP115*(1+Inputs!$B$18))),DP115)))</f>
        <v>2413.8303900841</v>
      </c>
      <c r="DR115" s="11" t="n">
        <f aca="false">IF(DR$1&lt;Units!$P114,0,IF(AND(Units!$K114=0,DR$1=Units!$O114),Units!$R114,IF(AND(DR$1&gt;=Units!$Q114,MOD(DR$1-Units!$Q114,12)=0),IF(AND(Units!$L114=1,DR$1=Units!$Q114),IF(Units!$J114&lt;&gt;"",Units!$J114,Mkt!DR115),Inputs!$B$15*Mkt!DR115+(1-Inputs!$B$15)*MIN(Mkt!DR115,DQ115*(1+Inputs!$B$18))),DQ115)))</f>
        <v>2413.8303900841</v>
      </c>
      <c r="DS115" s="11" t="n">
        <f aca="false">IF(DS$1&lt;Units!$P114,0,IF(AND(Units!$K114=0,DS$1=Units!$O114),Units!$R114,IF(AND(DS$1&gt;=Units!$Q114,MOD(DS$1-Units!$Q114,12)=0),IF(AND(Units!$L114=1,DS$1=Units!$Q114),IF(Units!$J114&lt;&gt;"",Units!$J114,Mkt!DS115),Inputs!$B$15*Mkt!DS115+(1-Inputs!$B$15)*MIN(Mkt!DS115,DR115*(1+Inputs!$B$18))),DR115)))</f>
        <v>2413.8303900841</v>
      </c>
      <c r="DT115" s="11" t="n">
        <f aca="false">IF(DT$1&lt;Units!$P114,0,IF(AND(Units!$K114=0,DT$1=Units!$O114),Units!$R114,IF(AND(DT$1&gt;=Units!$Q114,MOD(DT$1-Units!$Q114,12)=0),IF(AND(Units!$L114=1,DT$1=Units!$Q114),IF(Units!$J114&lt;&gt;"",Units!$J114,Mkt!DT115),Inputs!$B$15*Mkt!DT115+(1-Inputs!$B$15)*MIN(Mkt!DT115,DS115*(1+Inputs!$B$18))),DS115)))</f>
        <v>2486.24530178663</v>
      </c>
      <c r="DU115" s="11" t="n">
        <f aca="false">IF(DU$1&lt;Units!$P114,0,IF(AND(Units!$K114=0,DU$1=Units!$O114),Units!$R114,IF(AND(DU$1&gt;=Units!$Q114,MOD(DU$1-Units!$Q114,12)=0),IF(AND(Units!$L114=1,DU$1=Units!$Q114),IF(Units!$J114&lt;&gt;"",Units!$J114,Mkt!DU115),Inputs!$B$15*Mkt!DU115+(1-Inputs!$B$15)*MIN(Mkt!DU115,DT115*(1+Inputs!$B$18))),DT115)))</f>
        <v>2486.24530178663</v>
      </c>
      <c r="DV115" s="11" t="n">
        <f aca="false">IF(DV$1&lt;Units!$P114,0,IF(AND(Units!$K114=0,DV$1=Units!$O114),Units!$R114,IF(AND(DV$1&gt;=Units!$Q114,MOD(DV$1-Units!$Q114,12)=0),IF(AND(Units!$L114=1,DV$1=Units!$Q114),IF(Units!$J114&lt;&gt;"",Units!$J114,Mkt!DV115),Inputs!$B$15*Mkt!DV115+(1-Inputs!$B$15)*MIN(Mkt!DV115,DU115*(1+Inputs!$B$18))),DU115)))</f>
        <v>2486.24530178663</v>
      </c>
      <c r="DW115" s="11" t="n">
        <f aca="false">IF(DW$1&lt;Units!$P114,0,IF(AND(Units!$K114=0,DW$1=Units!$O114),Units!$R114,IF(AND(DW$1&gt;=Units!$Q114,MOD(DW$1-Units!$Q114,12)=0),IF(AND(Units!$L114=1,DW$1=Units!$Q114),IF(Units!$J114&lt;&gt;"",Units!$J114,Mkt!DW115),Inputs!$B$15*Mkt!DW115+(1-Inputs!$B$15)*MIN(Mkt!DW115,DV115*(1+Inputs!$B$18))),DV115)))</f>
        <v>2486.24530178663</v>
      </c>
      <c r="DX115" s="11" t="n">
        <f aca="false">IF(DX$1&lt;Units!$P114,0,IF(AND(Units!$K114=0,DX$1=Units!$O114),Units!$R114,IF(AND(DX$1&gt;=Units!$Q114,MOD(DX$1-Units!$Q114,12)=0),IF(AND(Units!$L114=1,DX$1=Units!$Q114),IF(Units!$J114&lt;&gt;"",Units!$J114,Mkt!DX115),Inputs!$B$15*Mkt!DX115+(1-Inputs!$B$15)*MIN(Mkt!DX115,DW115*(1+Inputs!$B$18))),DW115)))</f>
        <v>2486.24530178663</v>
      </c>
      <c r="DY115" s="11" t="n">
        <f aca="false">IF(DY$1&lt;Units!$P114,0,IF(AND(Units!$K114=0,DY$1=Units!$O114),Units!$R114,IF(AND(DY$1&gt;=Units!$Q114,MOD(DY$1-Units!$Q114,12)=0),IF(AND(Units!$L114=1,DY$1=Units!$Q114),IF(Units!$J114&lt;&gt;"",Units!$J114,Mkt!DY115),Inputs!$B$15*Mkt!DY115+(1-Inputs!$B$15)*MIN(Mkt!DY115,DX115*(1+Inputs!$B$18))),DX115)))</f>
        <v>2486.24530178663</v>
      </c>
      <c r="DZ115" s="11" t="n">
        <f aca="false">IF(DZ$1&lt;Units!$P114,0,IF(AND(Units!$K114=0,DZ$1=Units!$O114),Units!$R114,IF(AND(DZ$1&gt;=Units!$Q114,MOD(DZ$1-Units!$Q114,12)=0),IF(AND(Units!$L114=1,DZ$1=Units!$Q114),IF(Units!$J114&lt;&gt;"",Units!$J114,Mkt!DZ115),Inputs!$B$15*Mkt!DZ115+(1-Inputs!$B$15)*MIN(Mkt!DZ115,DY115*(1+Inputs!$B$18))),DY115)))</f>
        <v>2486.24530178663</v>
      </c>
      <c r="EA115" s="11" t="n">
        <f aca="false">IF(EA$1&lt;Units!$P114,0,IF(AND(Units!$K114=0,EA$1=Units!$O114),Units!$R114,IF(AND(EA$1&gt;=Units!$Q114,MOD(EA$1-Units!$Q114,12)=0),IF(AND(Units!$L114=1,EA$1=Units!$Q114),IF(Units!$J114&lt;&gt;"",Units!$J114,Mkt!EA115),Inputs!$B$15*Mkt!EA115+(1-Inputs!$B$15)*MIN(Mkt!EA115,DZ115*(1+Inputs!$B$18))),DZ115)))</f>
        <v>2486.24530178663</v>
      </c>
      <c r="EB115" s="11" t="n">
        <f aca="false">IF(EB$1&lt;Units!$P114,0,IF(AND(Units!$K114=0,EB$1=Units!$O114),Units!$R114,IF(AND(EB$1&gt;=Units!$Q114,MOD(EB$1-Units!$Q114,12)=0),IF(AND(Units!$L114=1,EB$1=Units!$Q114),IF(Units!$J114&lt;&gt;"",Units!$J114,Mkt!EB115),Inputs!$B$15*Mkt!EB115+(1-Inputs!$B$15)*MIN(Mkt!EB115,EA115*(1+Inputs!$B$18))),EA115)))</f>
        <v>2486.24530178663</v>
      </c>
      <c r="EC115" s="11" t="n">
        <f aca="false">IF(EC$1&lt;Units!$P114,0,IF(AND(Units!$K114=0,EC$1=Units!$O114),Units!$R114,IF(AND(EC$1&gt;=Units!$Q114,MOD(EC$1-Units!$Q114,12)=0),IF(AND(Units!$L114=1,EC$1=Units!$Q114),IF(Units!$J114&lt;&gt;"",Units!$J114,Mkt!EC115),Inputs!$B$15*Mkt!EC115+(1-Inputs!$B$15)*MIN(Mkt!EC115,EB115*(1+Inputs!$B$18))),EB115)))</f>
        <v>2486.24530178663</v>
      </c>
      <c r="ED115" s="11" t="n">
        <f aca="false">IF(ED$1&lt;Units!$P114,0,IF(AND(Units!$K114=0,ED$1=Units!$O114),Units!$R114,IF(AND(ED$1&gt;=Units!$Q114,MOD(ED$1-Units!$Q114,12)=0),IF(AND(Units!$L114=1,ED$1=Units!$Q114),IF(Units!$J114&lt;&gt;"",Units!$J114,Mkt!ED115),Inputs!$B$15*Mkt!ED115+(1-Inputs!$B$15)*MIN(Mkt!ED115,EC115*(1+Inputs!$B$18))),EC115)))</f>
        <v>2486.24530178663</v>
      </c>
    </row>
    <row r="116" customFormat="false" ht="15" hidden="false" customHeight="false" outlineLevel="0" collapsed="false">
      <c r="A116" s="22" t="n">
        <f aca="false">Units!A115</f>
        <v>424</v>
      </c>
      <c r="B116" s="24" t="n">
        <f aca="false">IF(Units!K115=1,Units!F115,0)</f>
        <v>1835</v>
      </c>
      <c r="C116" s="11" t="n">
        <f aca="false">IF(C$1&lt;Units!$P115,0,IF(AND(Units!$K115=0,C$1=Units!$O115),Units!$R115,IF(AND(C$1&gt;=Units!$Q115,MOD(C$1-Units!$Q115,12)=0),IF(AND(Units!$L115=1,C$1=Units!$Q115),IF(Units!$J115&lt;&gt;"",Units!$J115,Mkt!C116),Inputs!$B$15*Mkt!C116+(1-Inputs!$B$15)*MIN(Mkt!C116,B116*(1+Inputs!$B$18))),B116)))</f>
        <v>1835</v>
      </c>
      <c r="D116" s="11" t="n">
        <f aca="false">IF(D$1&lt;Units!$P115,0,IF(AND(Units!$K115=0,D$1=Units!$O115),Units!$R115,IF(AND(D$1&gt;=Units!$Q115,MOD(D$1-Units!$Q115,12)=0),IF(AND(Units!$L115=1,D$1=Units!$Q115),IF(Units!$J115&lt;&gt;"",Units!$J115,Mkt!D116),Inputs!$B$15*Mkt!D116+(1-Inputs!$B$15)*MIN(Mkt!D116,C116*(1+Inputs!$B$18))),C116)))</f>
        <v>1835</v>
      </c>
      <c r="E116" s="11" t="n">
        <f aca="false">IF(E$1&lt;Units!$P115,0,IF(AND(Units!$K115=0,E$1=Units!$O115),Units!$R115,IF(AND(E$1&gt;=Units!$Q115,MOD(E$1-Units!$Q115,12)=0),IF(AND(Units!$L115=1,E$1=Units!$Q115),IF(Units!$J115&lt;&gt;"",Units!$J115,Mkt!E116),Inputs!$B$15*Mkt!E116+(1-Inputs!$B$15)*MIN(Mkt!E116,D116*(1+Inputs!$B$18))),D116)))</f>
        <v>1835</v>
      </c>
      <c r="F116" s="11" t="n">
        <f aca="false">IF(F$1&lt;Units!$P115,0,IF(AND(Units!$K115=0,F$1=Units!$O115),Units!$R115,IF(AND(F$1&gt;=Units!$Q115,MOD(F$1-Units!$Q115,12)=0),IF(AND(Units!$L115=1,F$1=Units!$Q115),IF(Units!$J115&lt;&gt;"",Units!$J115,Mkt!F116),Inputs!$B$15*Mkt!F116+(1-Inputs!$B$15)*MIN(Mkt!F116,E116*(1+Inputs!$B$18))),E116)))</f>
        <v>1835</v>
      </c>
      <c r="G116" s="11" t="n">
        <f aca="false">IF(G$1&lt;Units!$P115,0,IF(AND(Units!$K115=0,G$1=Units!$O115),Units!$R115,IF(AND(G$1&gt;=Units!$Q115,MOD(G$1-Units!$Q115,12)=0),IF(AND(Units!$L115=1,G$1=Units!$Q115),IF(Units!$J115&lt;&gt;"",Units!$J115,Mkt!G116),Inputs!$B$15*Mkt!G116+(1-Inputs!$B$15)*MIN(Mkt!G116,F116*(1+Inputs!$B$18))),F116)))</f>
        <v>1835</v>
      </c>
      <c r="H116" s="11" t="n">
        <f aca="false">IF(H$1&lt;Units!$P115,0,IF(AND(Units!$K115=0,H$1=Units!$O115),Units!$R115,IF(AND(H$1&gt;=Units!$Q115,MOD(H$1-Units!$Q115,12)=0),IF(AND(Units!$L115=1,H$1=Units!$Q115),IF(Units!$J115&lt;&gt;"",Units!$J115,Mkt!H116),Inputs!$B$15*Mkt!H116+(1-Inputs!$B$15)*MIN(Mkt!H116,G116*(1+Inputs!$B$18))),G116)))</f>
        <v>1850</v>
      </c>
      <c r="I116" s="11" t="n">
        <f aca="false">IF(I$1&lt;Units!$P115,0,IF(AND(Units!$K115=0,I$1=Units!$O115),Units!$R115,IF(AND(I$1&gt;=Units!$Q115,MOD(I$1-Units!$Q115,12)=0),IF(AND(Units!$L115=1,I$1=Units!$Q115),IF(Units!$J115&lt;&gt;"",Units!$J115,Mkt!I116),Inputs!$B$15*Mkt!I116+(1-Inputs!$B$15)*MIN(Mkt!I116,H116*(1+Inputs!$B$18))),H116)))</f>
        <v>1850</v>
      </c>
      <c r="J116" s="11" t="n">
        <f aca="false">IF(J$1&lt;Units!$P115,0,IF(AND(Units!$K115=0,J$1=Units!$O115),Units!$R115,IF(AND(J$1&gt;=Units!$Q115,MOD(J$1-Units!$Q115,12)=0),IF(AND(Units!$L115=1,J$1=Units!$Q115),IF(Units!$J115&lt;&gt;"",Units!$J115,Mkt!J116),Inputs!$B$15*Mkt!J116+(1-Inputs!$B$15)*MIN(Mkt!J116,I116*(1+Inputs!$B$18))),I116)))</f>
        <v>1850</v>
      </c>
      <c r="K116" s="11" t="n">
        <f aca="false">IF(K$1&lt;Units!$P115,0,IF(AND(Units!$K115=0,K$1=Units!$O115),Units!$R115,IF(AND(K$1&gt;=Units!$Q115,MOD(K$1-Units!$Q115,12)=0),IF(AND(Units!$L115=1,K$1=Units!$Q115),IF(Units!$J115&lt;&gt;"",Units!$J115,Mkt!K116),Inputs!$B$15*Mkt!K116+(1-Inputs!$B$15)*MIN(Mkt!K116,J116*(1+Inputs!$B$18))),J116)))</f>
        <v>1850</v>
      </c>
      <c r="L116" s="11" t="n">
        <f aca="false">IF(L$1&lt;Units!$P115,0,IF(AND(Units!$K115=0,L$1=Units!$O115),Units!$R115,IF(AND(L$1&gt;=Units!$Q115,MOD(L$1-Units!$Q115,12)=0),IF(AND(Units!$L115=1,L$1=Units!$Q115),IF(Units!$J115&lt;&gt;"",Units!$J115,Mkt!L116),Inputs!$B$15*Mkt!L116+(1-Inputs!$B$15)*MIN(Mkt!L116,K116*(1+Inputs!$B$18))),K116)))</f>
        <v>1850</v>
      </c>
      <c r="M116" s="11" t="n">
        <f aca="false">IF(M$1&lt;Units!$P115,0,IF(AND(Units!$K115=0,M$1=Units!$O115),Units!$R115,IF(AND(M$1&gt;=Units!$Q115,MOD(M$1-Units!$Q115,12)=0),IF(AND(Units!$L115=1,M$1=Units!$Q115),IF(Units!$J115&lt;&gt;"",Units!$J115,Mkt!M116),Inputs!$B$15*Mkt!M116+(1-Inputs!$B$15)*MIN(Mkt!M116,L116*(1+Inputs!$B$18))),L116)))</f>
        <v>1850</v>
      </c>
      <c r="N116" s="11" t="n">
        <f aca="false">IF(N$1&lt;Units!$P115,0,IF(AND(Units!$K115=0,N$1=Units!$O115),Units!$R115,IF(AND(N$1&gt;=Units!$Q115,MOD(N$1-Units!$Q115,12)=0),IF(AND(Units!$L115=1,N$1=Units!$Q115),IF(Units!$J115&lt;&gt;"",Units!$J115,Mkt!N116),Inputs!$B$15*Mkt!N116+(1-Inputs!$B$15)*MIN(Mkt!N116,M116*(1+Inputs!$B$18))),M116)))</f>
        <v>1850</v>
      </c>
      <c r="O116" s="11" t="n">
        <f aca="false">IF(O$1&lt;Units!$P115,0,IF(AND(Units!$K115=0,O$1=Units!$O115),Units!$R115,IF(AND(O$1&gt;=Units!$Q115,MOD(O$1-Units!$Q115,12)=0),IF(AND(Units!$L115=1,O$1=Units!$Q115),IF(Units!$J115&lt;&gt;"",Units!$J115,Mkt!O116),Inputs!$B$15*Mkt!O116+(1-Inputs!$B$15)*MIN(Mkt!O116,N116*(1+Inputs!$B$18))),N116)))</f>
        <v>1850</v>
      </c>
      <c r="P116" s="11" t="n">
        <f aca="false">IF(P$1&lt;Units!$P115,0,IF(AND(Units!$K115=0,P$1=Units!$O115),Units!$R115,IF(AND(P$1&gt;=Units!$Q115,MOD(P$1-Units!$Q115,12)=0),IF(AND(Units!$L115=1,P$1=Units!$Q115),IF(Units!$J115&lt;&gt;"",Units!$J115,Mkt!P116),Inputs!$B$15*Mkt!P116+(1-Inputs!$B$15)*MIN(Mkt!P116,O116*(1+Inputs!$B$18))),O116)))</f>
        <v>1850</v>
      </c>
      <c r="Q116" s="11" t="n">
        <f aca="false">IF(Q$1&lt;Units!$P115,0,IF(AND(Units!$K115=0,Q$1=Units!$O115),Units!$R115,IF(AND(Q$1&gt;=Units!$Q115,MOD(Q$1-Units!$Q115,12)=0),IF(AND(Units!$L115=1,Q$1=Units!$Q115),IF(Units!$J115&lt;&gt;"",Units!$J115,Mkt!Q116),Inputs!$B$15*Mkt!Q116+(1-Inputs!$B$15)*MIN(Mkt!Q116,P116*(1+Inputs!$B$18))),P116)))</f>
        <v>1850</v>
      </c>
      <c r="R116" s="11" t="n">
        <f aca="false">IF(R$1&lt;Units!$P115,0,IF(AND(Units!$K115=0,R$1=Units!$O115),Units!$R115,IF(AND(R$1&gt;=Units!$Q115,MOD(R$1-Units!$Q115,12)=0),IF(AND(Units!$L115=1,R$1=Units!$Q115),IF(Units!$J115&lt;&gt;"",Units!$J115,Mkt!R116),Inputs!$B$15*Mkt!R116+(1-Inputs!$B$15)*MIN(Mkt!R116,Q116*(1+Inputs!$B$18))),Q116)))</f>
        <v>1850</v>
      </c>
      <c r="S116" s="11" t="n">
        <f aca="false">IF(S$1&lt;Units!$P115,0,IF(AND(Units!$K115=0,S$1=Units!$O115),Units!$R115,IF(AND(S$1&gt;=Units!$Q115,MOD(S$1-Units!$Q115,12)=0),IF(AND(Units!$L115=1,S$1=Units!$Q115),IF(Units!$J115&lt;&gt;"",Units!$J115,Mkt!S116),Inputs!$B$15*Mkt!S116+(1-Inputs!$B$15)*MIN(Mkt!S116,R116*(1+Inputs!$B$18))),R116)))</f>
        <v>1850</v>
      </c>
      <c r="T116" s="11" t="n">
        <f aca="false">IF(T$1&lt;Units!$P115,0,IF(AND(Units!$K115=0,T$1=Units!$O115),Units!$R115,IF(AND(T$1&gt;=Units!$Q115,MOD(T$1-Units!$Q115,12)=0),IF(AND(Units!$L115=1,T$1=Units!$Q115),IF(Units!$J115&lt;&gt;"",Units!$J115,Mkt!T116),Inputs!$B$15*Mkt!T116+(1-Inputs!$B$15)*MIN(Mkt!T116,S116*(1+Inputs!$B$18))),S116)))</f>
        <v>1905.5</v>
      </c>
      <c r="U116" s="11" t="n">
        <f aca="false">IF(U$1&lt;Units!$P115,0,IF(AND(Units!$K115=0,U$1=Units!$O115),Units!$R115,IF(AND(U$1&gt;=Units!$Q115,MOD(U$1-Units!$Q115,12)=0),IF(AND(Units!$L115=1,U$1=Units!$Q115),IF(Units!$J115&lt;&gt;"",Units!$J115,Mkt!U116),Inputs!$B$15*Mkt!U116+(1-Inputs!$B$15)*MIN(Mkt!U116,T116*(1+Inputs!$B$18))),T116)))</f>
        <v>1905.5</v>
      </c>
      <c r="V116" s="11" t="n">
        <f aca="false">IF(V$1&lt;Units!$P115,0,IF(AND(Units!$K115=0,V$1=Units!$O115),Units!$R115,IF(AND(V$1&gt;=Units!$Q115,MOD(V$1-Units!$Q115,12)=0),IF(AND(Units!$L115=1,V$1=Units!$Q115),IF(Units!$J115&lt;&gt;"",Units!$J115,Mkt!V116),Inputs!$B$15*Mkt!V116+(1-Inputs!$B$15)*MIN(Mkt!V116,U116*(1+Inputs!$B$18))),U116)))</f>
        <v>1905.5</v>
      </c>
      <c r="W116" s="11" t="n">
        <f aca="false">IF(W$1&lt;Units!$P115,0,IF(AND(Units!$K115=0,W$1=Units!$O115),Units!$R115,IF(AND(W$1&gt;=Units!$Q115,MOD(W$1-Units!$Q115,12)=0),IF(AND(Units!$L115=1,W$1=Units!$Q115),IF(Units!$J115&lt;&gt;"",Units!$J115,Mkt!W116),Inputs!$B$15*Mkt!W116+(1-Inputs!$B$15)*MIN(Mkt!W116,V116*(1+Inputs!$B$18))),V116)))</f>
        <v>1905.5</v>
      </c>
      <c r="X116" s="11" t="n">
        <f aca="false">IF(X$1&lt;Units!$P115,0,IF(AND(Units!$K115=0,X$1=Units!$O115),Units!$R115,IF(AND(X$1&gt;=Units!$Q115,MOD(X$1-Units!$Q115,12)=0),IF(AND(Units!$L115=1,X$1=Units!$Q115),IF(Units!$J115&lt;&gt;"",Units!$J115,Mkt!X116),Inputs!$B$15*Mkt!X116+(1-Inputs!$B$15)*MIN(Mkt!X116,W116*(1+Inputs!$B$18))),W116)))</f>
        <v>1905.5</v>
      </c>
      <c r="Y116" s="11" t="n">
        <f aca="false">IF(Y$1&lt;Units!$P115,0,IF(AND(Units!$K115=0,Y$1=Units!$O115),Units!$R115,IF(AND(Y$1&gt;=Units!$Q115,MOD(Y$1-Units!$Q115,12)=0),IF(AND(Units!$L115=1,Y$1=Units!$Q115),IF(Units!$J115&lt;&gt;"",Units!$J115,Mkt!Y116),Inputs!$B$15*Mkt!Y116+(1-Inputs!$B$15)*MIN(Mkt!Y116,X116*(1+Inputs!$B$18))),X116)))</f>
        <v>1905.5</v>
      </c>
      <c r="Z116" s="11" t="n">
        <f aca="false">IF(Z$1&lt;Units!$P115,0,IF(AND(Units!$K115=0,Z$1=Units!$O115),Units!$R115,IF(AND(Z$1&gt;=Units!$Q115,MOD(Z$1-Units!$Q115,12)=0),IF(AND(Units!$L115=1,Z$1=Units!$Q115),IF(Units!$J115&lt;&gt;"",Units!$J115,Mkt!Z116),Inputs!$B$15*Mkt!Z116+(1-Inputs!$B$15)*MIN(Mkt!Z116,Y116*(1+Inputs!$B$18))),Y116)))</f>
        <v>1905.5</v>
      </c>
      <c r="AA116" s="11" t="n">
        <f aca="false">IF(AA$1&lt;Units!$P115,0,IF(AND(Units!$K115=0,AA$1=Units!$O115),Units!$R115,IF(AND(AA$1&gt;=Units!$Q115,MOD(AA$1-Units!$Q115,12)=0),IF(AND(Units!$L115=1,AA$1=Units!$Q115),IF(Units!$J115&lt;&gt;"",Units!$J115,Mkt!AA116),Inputs!$B$15*Mkt!AA116+(1-Inputs!$B$15)*MIN(Mkt!AA116,Z116*(1+Inputs!$B$18))),Z116)))</f>
        <v>1905.5</v>
      </c>
      <c r="AB116" s="11" t="n">
        <f aca="false">IF(AB$1&lt;Units!$P115,0,IF(AND(Units!$K115=0,AB$1=Units!$O115),Units!$R115,IF(AND(AB$1&gt;=Units!$Q115,MOD(AB$1-Units!$Q115,12)=0),IF(AND(Units!$L115=1,AB$1=Units!$Q115),IF(Units!$J115&lt;&gt;"",Units!$J115,Mkt!AB116),Inputs!$B$15*Mkt!AB116+(1-Inputs!$B$15)*MIN(Mkt!AB116,AA116*(1+Inputs!$B$18))),AA116)))</f>
        <v>1905.5</v>
      </c>
      <c r="AC116" s="11" t="n">
        <f aca="false">IF(AC$1&lt;Units!$P115,0,IF(AND(Units!$K115=0,AC$1=Units!$O115),Units!$R115,IF(AND(AC$1&gt;=Units!$Q115,MOD(AC$1-Units!$Q115,12)=0),IF(AND(Units!$L115=1,AC$1=Units!$Q115),IF(Units!$J115&lt;&gt;"",Units!$J115,Mkt!AC116),Inputs!$B$15*Mkt!AC116+(1-Inputs!$B$15)*MIN(Mkt!AC116,AB116*(1+Inputs!$B$18))),AB116)))</f>
        <v>1905.5</v>
      </c>
      <c r="AD116" s="11" t="n">
        <f aca="false">IF(AD$1&lt;Units!$P115,0,IF(AND(Units!$K115=0,AD$1=Units!$O115),Units!$R115,IF(AND(AD$1&gt;=Units!$Q115,MOD(AD$1-Units!$Q115,12)=0),IF(AND(Units!$L115=1,AD$1=Units!$Q115),IF(Units!$J115&lt;&gt;"",Units!$J115,Mkt!AD116),Inputs!$B$15*Mkt!AD116+(1-Inputs!$B$15)*MIN(Mkt!AD116,AC116*(1+Inputs!$B$18))),AC116)))</f>
        <v>1905.5</v>
      </c>
      <c r="AE116" s="11" t="n">
        <f aca="false">IF(AE$1&lt;Units!$P115,0,IF(AND(Units!$K115=0,AE$1=Units!$O115),Units!$R115,IF(AND(AE$1&gt;=Units!$Q115,MOD(AE$1-Units!$Q115,12)=0),IF(AND(Units!$L115=1,AE$1=Units!$Q115),IF(Units!$J115&lt;&gt;"",Units!$J115,Mkt!AE116),Inputs!$B$15*Mkt!AE116+(1-Inputs!$B$15)*MIN(Mkt!AE116,AD116*(1+Inputs!$B$18))),AD116)))</f>
        <v>1905.5</v>
      </c>
      <c r="AF116" s="11" t="n">
        <f aca="false">IF(AF$1&lt;Units!$P115,0,IF(AND(Units!$K115=0,AF$1=Units!$O115),Units!$R115,IF(AND(AF$1&gt;=Units!$Q115,MOD(AF$1-Units!$Q115,12)=0),IF(AND(Units!$L115=1,AF$1=Units!$Q115),IF(Units!$J115&lt;&gt;"",Units!$J115,Mkt!AF116),Inputs!$B$15*Mkt!AF116+(1-Inputs!$B$15)*MIN(Mkt!AF116,AE116*(1+Inputs!$B$18))),AE116)))</f>
        <v>1962.665</v>
      </c>
      <c r="AG116" s="11" t="n">
        <f aca="false">IF(AG$1&lt;Units!$P115,0,IF(AND(Units!$K115=0,AG$1=Units!$O115),Units!$R115,IF(AND(AG$1&gt;=Units!$Q115,MOD(AG$1-Units!$Q115,12)=0),IF(AND(Units!$L115=1,AG$1=Units!$Q115),IF(Units!$J115&lt;&gt;"",Units!$J115,Mkt!AG116),Inputs!$B$15*Mkt!AG116+(1-Inputs!$B$15)*MIN(Mkt!AG116,AF116*(1+Inputs!$B$18))),AF116)))</f>
        <v>1962.665</v>
      </c>
      <c r="AH116" s="11" t="n">
        <f aca="false">IF(AH$1&lt;Units!$P115,0,IF(AND(Units!$K115=0,AH$1=Units!$O115),Units!$R115,IF(AND(AH$1&gt;=Units!$Q115,MOD(AH$1-Units!$Q115,12)=0),IF(AND(Units!$L115=1,AH$1=Units!$Q115),IF(Units!$J115&lt;&gt;"",Units!$J115,Mkt!AH116),Inputs!$B$15*Mkt!AH116+(1-Inputs!$B$15)*MIN(Mkt!AH116,AG116*(1+Inputs!$B$18))),AG116)))</f>
        <v>1962.665</v>
      </c>
      <c r="AI116" s="11" t="n">
        <f aca="false">IF(AI$1&lt;Units!$P115,0,IF(AND(Units!$K115=0,AI$1=Units!$O115),Units!$R115,IF(AND(AI$1&gt;=Units!$Q115,MOD(AI$1-Units!$Q115,12)=0),IF(AND(Units!$L115=1,AI$1=Units!$Q115),IF(Units!$J115&lt;&gt;"",Units!$J115,Mkt!AI116),Inputs!$B$15*Mkt!AI116+(1-Inputs!$B$15)*MIN(Mkt!AI116,AH116*(1+Inputs!$B$18))),AH116)))</f>
        <v>1962.665</v>
      </c>
      <c r="AJ116" s="11" t="n">
        <f aca="false">IF(AJ$1&lt;Units!$P115,0,IF(AND(Units!$K115=0,AJ$1=Units!$O115),Units!$R115,IF(AND(AJ$1&gt;=Units!$Q115,MOD(AJ$1-Units!$Q115,12)=0),IF(AND(Units!$L115=1,AJ$1=Units!$Q115),IF(Units!$J115&lt;&gt;"",Units!$J115,Mkt!AJ116),Inputs!$B$15*Mkt!AJ116+(1-Inputs!$B$15)*MIN(Mkt!AJ116,AI116*(1+Inputs!$B$18))),AI116)))</f>
        <v>1962.665</v>
      </c>
      <c r="AK116" s="11" t="n">
        <f aca="false">IF(AK$1&lt;Units!$P115,0,IF(AND(Units!$K115=0,AK$1=Units!$O115),Units!$R115,IF(AND(AK$1&gt;=Units!$Q115,MOD(AK$1-Units!$Q115,12)=0),IF(AND(Units!$L115=1,AK$1=Units!$Q115),IF(Units!$J115&lt;&gt;"",Units!$J115,Mkt!AK116),Inputs!$B$15*Mkt!AK116+(1-Inputs!$B$15)*MIN(Mkt!AK116,AJ116*(1+Inputs!$B$18))),AJ116)))</f>
        <v>1962.665</v>
      </c>
      <c r="AL116" s="11" t="n">
        <f aca="false">IF(AL$1&lt;Units!$P115,0,IF(AND(Units!$K115=0,AL$1=Units!$O115),Units!$R115,IF(AND(AL$1&gt;=Units!$Q115,MOD(AL$1-Units!$Q115,12)=0),IF(AND(Units!$L115=1,AL$1=Units!$Q115),IF(Units!$J115&lt;&gt;"",Units!$J115,Mkt!AL116),Inputs!$B$15*Mkt!AL116+(1-Inputs!$B$15)*MIN(Mkt!AL116,AK116*(1+Inputs!$B$18))),AK116)))</f>
        <v>1962.665</v>
      </c>
      <c r="AM116" s="11" t="n">
        <f aca="false">IF(AM$1&lt;Units!$P115,0,IF(AND(Units!$K115=0,AM$1=Units!$O115),Units!$R115,IF(AND(AM$1&gt;=Units!$Q115,MOD(AM$1-Units!$Q115,12)=0),IF(AND(Units!$L115=1,AM$1=Units!$Q115),IF(Units!$J115&lt;&gt;"",Units!$J115,Mkt!AM116),Inputs!$B$15*Mkt!AM116+(1-Inputs!$B$15)*MIN(Mkt!AM116,AL116*(1+Inputs!$B$18))),AL116)))</f>
        <v>1962.665</v>
      </c>
      <c r="AN116" s="11" t="n">
        <f aca="false">IF(AN$1&lt;Units!$P115,0,IF(AND(Units!$K115=0,AN$1=Units!$O115),Units!$R115,IF(AND(AN$1&gt;=Units!$Q115,MOD(AN$1-Units!$Q115,12)=0),IF(AND(Units!$L115=1,AN$1=Units!$Q115),IF(Units!$J115&lt;&gt;"",Units!$J115,Mkt!AN116),Inputs!$B$15*Mkt!AN116+(1-Inputs!$B$15)*MIN(Mkt!AN116,AM116*(1+Inputs!$B$18))),AM116)))</f>
        <v>1962.665</v>
      </c>
      <c r="AO116" s="11" t="n">
        <f aca="false">IF(AO$1&lt;Units!$P115,0,IF(AND(Units!$K115=0,AO$1=Units!$O115),Units!$R115,IF(AND(AO$1&gt;=Units!$Q115,MOD(AO$1-Units!$Q115,12)=0),IF(AND(Units!$L115=1,AO$1=Units!$Q115),IF(Units!$J115&lt;&gt;"",Units!$J115,Mkt!AO116),Inputs!$B$15*Mkt!AO116+(1-Inputs!$B$15)*MIN(Mkt!AO116,AN116*(1+Inputs!$B$18))),AN116)))</f>
        <v>1962.665</v>
      </c>
      <c r="AP116" s="11" t="n">
        <f aca="false">IF(AP$1&lt;Units!$P115,0,IF(AND(Units!$K115=0,AP$1=Units!$O115),Units!$R115,IF(AND(AP$1&gt;=Units!$Q115,MOD(AP$1-Units!$Q115,12)=0),IF(AND(Units!$L115=1,AP$1=Units!$Q115),IF(Units!$J115&lt;&gt;"",Units!$J115,Mkt!AP116),Inputs!$B$15*Mkt!AP116+(1-Inputs!$B$15)*MIN(Mkt!AP116,AO116*(1+Inputs!$B$18))),AO116)))</f>
        <v>1962.665</v>
      </c>
      <c r="AQ116" s="11" t="n">
        <f aca="false">IF(AQ$1&lt;Units!$P115,0,IF(AND(Units!$K115=0,AQ$1=Units!$O115),Units!$R115,IF(AND(AQ$1&gt;=Units!$Q115,MOD(AQ$1-Units!$Q115,12)=0),IF(AND(Units!$L115=1,AQ$1=Units!$Q115),IF(Units!$J115&lt;&gt;"",Units!$J115,Mkt!AQ116),Inputs!$B$15*Mkt!AQ116+(1-Inputs!$B$15)*MIN(Mkt!AQ116,AP116*(1+Inputs!$B$18))),AP116)))</f>
        <v>1962.665</v>
      </c>
      <c r="AR116" s="11" t="n">
        <f aca="false">IF(AR$1&lt;Units!$P115,0,IF(AND(Units!$K115=0,AR$1=Units!$O115),Units!$R115,IF(AND(AR$1&gt;=Units!$Q115,MOD(AR$1-Units!$Q115,12)=0),IF(AND(Units!$L115=1,AR$1=Units!$Q115),IF(Units!$J115&lt;&gt;"",Units!$J115,Mkt!AR116),Inputs!$B$15*Mkt!AR116+(1-Inputs!$B$15)*MIN(Mkt!AR116,AQ116*(1+Inputs!$B$18))),AQ116)))</f>
        <v>2021.54495</v>
      </c>
      <c r="AS116" s="11" t="n">
        <f aca="false">IF(AS$1&lt;Units!$P115,0,IF(AND(Units!$K115=0,AS$1=Units!$O115),Units!$R115,IF(AND(AS$1&gt;=Units!$Q115,MOD(AS$1-Units!$Q115,12)=0),IF(AND(Units!$L115=1,AS$1=Units!$Q115),IF(Units!$J115&lt;&gt;"",Units!$J115,Mkt!AS116),Inputs!$B$15*Mkt!AS116+(1-Inputs!$B$15)*MIN(Mkt!AS116,AR116*(1+Inputs!$B$18))),AR116)))</f>
        <v>2021.54495</v>
      </c>
      <c r="AT116" s="11" t="n">
        <f aca="false">IF(AT$1&lt;Units!$P115,0,IF(AND(Units!$K115=0,AT$1=Units!$O115),Units!$R115,IF(AND(AT$1&gt;=Units!$Q115,MOD(AT$1-Units!$Q115,12)=0),IF(AND(Units!$L115=1,AT$1=Units!$Q115),IF(Units!$J115&lt;&gt;"",Units!$J115,Mkt!AT116),Inputs!$B$15*Mkt!AT116+(1-Inputs!$B$15)*MIN(Mkt!AT116,AS116*(1+Inputs!$B$18))),AS116)))</f>
        <v>2021.54495</v>
      </c>
      <c r="AU116" s="11" t="n">
        <f aca="false">IF(AU$1&lt;Units!$P115,0,IF(AND(Units!$K115=0,AU$1=Units!$O115),Units!$R115,IF(AND(AU$1&gt;=Units!$Q115,MOD(AU$1-Units!$Q115,12)=0),IF(AND(Units!$L115=1,AU$1=Units!$Q115),IF(Units!$J115&lt;&gt;"",Units!$J115,Mkt!AU116),Inputs!$B$15*Mkt!AU116+(1-Inputs!$B$15)*MIN(Mkt!AU116,AT116*(1+Inputs!$B$18))),AT116)))</f>
        <v>2021.54495</v>
      </c>
      <c r="AV116" s="11" t="n">
        <f aca="false">IF(AV$1&lt;Units!$P115,0,IF(AND(Units!$K115=0,AV$1=Units!$O115),Units!$R115,IF(AND(AV$1&gt;=Units!$Q115,MOD(AV$1-Units!$Q115,12)=0),IF(AND(Units!$L115=1,AV$1=Units!$Q115),IF(Units!$J115&lt;&gt;"",Units!$J115,Mkt!AV116),Inputs!$B$15*Mkt!AV116+(1-Inputs!$B$15)*MIN(Mkt!AV116,AU116*(1+Inputs!$B$18))),AU116)))</f>
        <v>2021.54495</v>
      </c>
      <c r="AW116" s="11" t="n">
        <f aca="false">IF(AW$1&lt;Units!$P115,0,IF(AND(Units!$K115=0,AW$1=Units!$O115),Units!$R115,IF(AND(AW$1&gt;=Units!$Q115,MOD(AW$1-Units!$Q115,12)=0),IF(AND(Units!$L115=1,AW$1=Units!$Q115),IF(Units!$J115&lt;&gt;"",Units!$J115,Mkt!AW116),Inputs!$B$15*Mkt!AW116+(1-Inputs!$B$15)*MIN(Mkt!AW116,AV116*(1+Inputs!$B$18))),AV116)))</f>
        <v>2021.54495</v>
      </c>
      <c r="AX116" s="11" t="n">
        <f aca="false">IF(AX$1&lt;Units!$P115,0,IF(AND(Units!$K115=0,AX$1=Units!$O115),Units!$R115,IF(AND(AX$1&gt;=Units!$Q115,MOD(AX$1-Units!$Q115,12)=0),IF(AND(Units!$L115=1,AX$1=Units!$Q115),IF(Units!$J115&lt;&gt;"",Units!$J115,Mkt!AX116),Inputs!$B$15*Mkt!AX116+(1-Inputs!$B$15)*MIN(Mkt!AX116,AW116*(1+Inputs!$B$18))),AW116)))</f>
        <v>2021.54495</v>
      </c>
      <c r="AY116" s="11" t="n">
        <f aca="false">IF(AY$1&lt;Units!$P115,0,IF(AND(Units!$K115=0,AY$1=Units!$O115),Units!$R115,IF(AND(AY$1&gt;=Units!$Q115,MOD(AY$1-Units!$Q115,12)=0),IF(AND(Units!$L115=1,AY$1=Units!$Q115),IF(Units!$J115&lt;&gt;"",Units!$J115,Mkt!AY116),Inputs!$B$15*Mkt!AY116+(1-Inputs!$B$15)*MIN(Mkt!AY116,AX116*(1+Inputs!$B$18))),AX116)))</f>
        <v>2021.54495</v>
      </c>
      <c r="AZ116" s="11" t="n">
        <f aca="false">IF(AZ$1&lt;Units!$P115,0,IF(AND(Units!$K115=0,AZ$1=Units!$O115),Units!$R115,IF(AND(AZ$1&gt;=Units!$Q115,MOD(AZ$1-Units!$Q115,12)=0),IF(AND(Units!$L115=1,AZ$1=Units!$Q115),IF(Units!$J115&lt;&gt;"",Units!$J115,Mkt!AZ116),Inputs!$B$15*Mkt!AZ116+(1-Inputs!$B$15)*MIN(Mkt!AZ116,AY116*(1+Inputs!$B$18))),AY116)))</f>
        <v>2021.54495</v>
      </c>
      <c r="BA116" s="11" t="n">
        <f aca="false">IF(BA$1&lt;Units!$P115,0,IF(AND(Units!$K115=0,BA$1=Units!$O115),Units!$R115,IF(AND(BA$1&gt;=Units!$Q115,MOD(BA$1-Units!$Q115,12)=0),IF(AND(Units!$L115=1,BA$1=Units!$Q115),IF(Units!$J115&lt;&gt;"",Units!$J115,Mkt!BA116),Inputs!$B$15*Mkt!BA116+(1-Inputs!$B$15)*MIN(Mkt!BA116,AZ116*(1+Inputs!$B$18))),AZ116)))</f>
        <v>2021.54495</v>
      </c>
      <c r="BB116" s="11" t="n">
        <f aca="false">IF(BB$1&lt;Units!$P115,0,IF(AND(Units!$K115=0,BB$1=Units!$O115),Units!$R115,IF(AND(BB$1&gt;=Units!$Q115,MOD(BB$1-Units!$Q115,12)=0),IF(AND(Units!$L115=1,BB$1=Units!$Q115),IF(Units!$J115&lt;&gt;"",Units!$J115,Mkt!BB116),Inputs!$B$15*Mkt!BB116+(1-Inputs!$B$15)*MIN(Mkt!BB116,BA116*(1+Inputs!$B$18))),BA116)))</f>
        <v>2021.54495</v>
      </c>
      <c r="BC116" s="11" t="n">
        <f aca="false">IF(BC$1&lt;Units!$P115,0,IF(AND(Units!$K115=0,BC$1=Units!$O115),Units!$R115,IF(AND(BC$1&gt;=Units!$Q115,MOD(BC$1-Units!$Q115,12)=0),IF(AND(Units!$L115=1,BC$1=Units!$Q115),IF(Units!$J115&lt;&gt;"",Units!$J115,Mkt!BC116),Inputs!$B$15*Mkt!BC116+(1-Inputs!$B$15)*MIN(Mkt!BC116,BB116*(1+Inputs!$B$18))),BB116)))</f>
        <v>2021.54495</v>
      </c>
      <c r="BD116" s="11" t="n">
        <f aca="false">IF(BD$1&lt;Units!$P115,0,IF(AND(Units!$K115=0,BD$1=Units!$O115),Units!$R115,IF(AND(BD$1&gt;=Units!$Q115,MOD(BD$1-Units!$Q115,12)=0),IF(AND(Units!$L115=1,BD$1=Units!$Q115),IF(Units!$J115&lt;&gt;"",Units!$J115,Mkt!BD116),Inputs!$B$15*Mkt!BD116+(1-Inputs!$B$15)*MIN(Mkt!BD116,BC116*(1+Inputs!$B$18))),BC116)))</f>
        <v>2082.1912985</v>
      </c>
      <c r="BE116" s="11" t="n">
        <f aca="false">IF(BE$1&lt;Units!$P115,0,IF(AND(Units!$K115=0,BE$1=Units!$O115),Units!$R115,IF(AND(BE$1&gt;=Units!$Q115,MOD(BE$1-Units!$Q115,12)=0),IF(AND(Units!$L115=1,BE$1=Units!$Q115),IF(Units!$J115&lt;&gt;"",Units!$J115,Mkt!BE116),Inputs!$B$15*Mkt!BE116+(1-Inputs!$B$15)*MIN(Mkt!BE116,BD116*(1+Inputs!$B$18))),BD116)))</f>
        <v>2082.1912985</v>
      </c>
      <c r="BF116" s="11" t="n">
        <f aca="false">IF(BF$1&lt;Units!$P115,0,IF(AND(Units!$K115=0,BF$1=Units!$O115),Units!$R115,IF(AND(BF$1&gt;=Units!$Q115,MOD(BF$1-Units!$Q115,12)=0),IF(AND(Units!$L115=1,BF$1=Units!$Q115),IF(Units!$J115&lt;&gt;"",Units!$J115,Mkt!BF116),Inputs!$B$15*Mkt!BF116+(1-Inputs!$B$15)*MIN(Mkt!BF116,BE116*(1+Inputs!$B$18))),BE116)))</f>
        <v>2082.1912985</v>
      </c>
      <c r="BG116" s="11" t="n">
        <f aca="false">IF(BG$1&lt;Units!$P115,0,IF(AND(Units!$K115=0,BG$1=Units!$O115),Units!$R115,IF(AND(BG$1&gt;=Units!$Q115,MOD(BG$1-Units!$Q115,12)=0),IF(AND(Units!$L115=1,BG$1=Units!$Q115),IF(Units!$J115&lt;&gt;"",Units!$J115,Mkt!BG116),Inputs!$B$15*Mkt!BG116+(1-Inputs!$B$15)*MIN(Mkt!BG116,BF116*(1+Inputs!$B$18))),BF116)))</f>
        <v>2082.1912985</v>
      </c>
      <c r="BH116" s="11" t="n">
        <f aca="false">IF(BH$1&lt;Units!$P115,0,IF(AND(Units!$K115=0,BH$1=Units!$O115),Units!$R115,IF(AND(BH$1&gt;=Units!$Q115,MOD(BH$1-Units!$Q115,12)=0),IF(AND(Units!$L115=1,BH$1=Units!$Q115),IF(Units!$J115&lt;&gt;"",Units!$J115,Mkt!BH116),Inputs!$B$15*Mkt!BH116+(1-Inputs!$B$15)*MIN(Mkt!BH116,BG116*(1+Inputs!$B$18))),BG116)))</f>
        <v>2082.1912985</v>
      </c>
      <c r="BI116" s="11" t="n">
        <f aca="false">IF(BI$1&lt;Units!$P115,0,IF(AND(Units!$K115=0,BI$1=Units!$O115),Units!$R115,IF(AND(BI$1&gt;=Units!$Q115,MOD(BI$1-Units!$Q115,12)=0),IF(AND(Units!$L115=1,BI$1=Units!$Q115),IF(Units!$J115&lt;&gt;"",Units!$J115,Mkt!BI116),Inputs!$B$15*Mkt!BI116+(1-Inputs!$B$15)*MIN(Mkt!BI116,BH116*(1+Inputs!$B$18))),BH116)))</f>
        <v>2082.1912985</v>
      </c>
      <c r="BJ116" s="11" t="n">
        <f aca="false">IF(BJ$1&lt;Units!$P115,0,IF(AND(Units!$K115=0,BJ$1=Units!$O115),Units!$R115,IF(AND(BJ$1&gt;=Units!$Q115,MOD(BJ$1-Units!$Q115,12)=0),IF(AND(Units!$L115=1,BJ$1=Units!$Q115),IF(Units!$J115&lt;&gt;"",Units!$J115,Mkt!BJ116),Inputs!$B$15*Mkt!BJ116+(1-Inputs!$B$15)*MIN(Mkt!BJ116,BI116*(1+Inputs!$B$18))),BI116)))</f>
        <v>2082.1912985</v>
      </c>
      <c r="BK116" s="11" t="n">
        <f aca="false">IF(BK$1&lt;Units!$P115,0,IF(AND(Units!$K115=0,BK$1=Units!$O115),Units!$R115,IF(AND(BK$1&gt;=Units!$Q115,MOD(BK$1-Units!$Q115,12)=0),IF(AND(Units!$L115=1,BK$1=Units!$Q115),IF(Units!$J115&lt;&gt;"",Units!$J115,Mkt!BK116),Inputs!$B$15*Mkt!BK116+(1-Inputs!$B$15)*MIN(Mkt!BK116,BJ116*(1+Inputs!$B$18))),BJ116)))</f>
        <v>2082.1912985</v>
      </c>
      <c r="BL116" s="11" t="n">
        <f aca="false">IF(BL$1&lt;Units!$P115,0,IF(AND(Units!$K115=0,BL$1=Units!$O115),Units!$R115,IF(AND(BL$1&gt;=Units!$Q115,MOD(BL$1-Units!$Q115,12)=0),IF(AND(Units!$L115=1,BL$1=Units!$Q115),IF(Units!$J115&lt;&gt;"",Units!$J115,Mkt!BL116),Inputs!$B$15*Mkt!BL116+(1-Inputs!$B$15)*MIN(Mkt!BL116,BK116*(1+Inputs!$B$18))),BK116)))</f>
        <v>2082.1912985</v>
      </c>
      <c r="BM116" s="11" t="n">
        <f aca="false">IF(BM$1&lt;Units!$P115,0,IF(AND(Units!$K115=0,BM$1=Units!$O115),Units!$R115,IF(AND(BM$1&gt;=Units!$Q115,MOD(BM$1-Units!$Q115,12)=0),IF(AND(Units!$L115=1,BM$1=Units!$Q115),IF(Units!$J115&lt;&gt;"",Units!$J115,Mkt!BM116),Inputs!$B$15*Mkt!BM116+(1-Inputs!$B$15)*MIN(Mkt!BM116,BL116*(1+Inputs!$B$18))),BL116)))</f>
        <v>2082.1912985</v>
      </c>
      <c r="BN116" s="11" t="n">
        <f aca="false">IF(BN$1&lt;Units!$P115,0,IF(AND(Units!$K115=0,BN$1=Units!$O115),Units!$R115,IF(AND(BN$1&gt;=Units!$Q115,MOD(BN$1-Units!$Q115,12)=0),IF(AND(Units!$L115=1,BN$1=Units!$Q115),IF(Units!$J115&lt;&gt;"",Units!$J115,Mkt!BN116),Inputs!$B$15*Mkt!BN116+(1-Inputs!$B$15)*MIN(Mkt!BN116,BM116*(1+Inputs!$B$18))),BM116)))</f>
        <v>2082.1912985</v>
      </c>
      <c r="BO116" s="11" t="n">
        <f aca="false">IF(BO$1&lt;Units!$P115,0,IF(AND(Units!$K115=0,BO$1=Units!$O115),Units!$R115,IF(AND(BO$1&gt;=Units!$Q115,MOD(BO$1-Units!$Q115,12)=0),IF(AND(Units!$L115=1,BO$1=Units!$Q115),IF(Units!$J115&lt;&gt;"",Units!$J115,Mkt!BO116),Inputs!$B$15*Mkt!BO116+(1-Inputs!$B$15)*MIN(Mkt!BO116,BN116*(1+Inputs!$B$18))),BN116)))</f>
        <v>2082.1912985</v>
      </c>
      <c r="BP116" s="11" t="n">
        <f aca="false">IF(BP$1&lt;Units!$P115,0,IF(AND(Units!$K115=0,BP$1=Units!$O115),Units!$R115,IF(AND(BP$1&gt;=Units!$Q115,MOD(BP$1-Units!$Q115,12)=0),IF(AND(Units!$L115=1,BP$1=Units!$Q115),IF(Units!$J115&lt;&gt;"",Units!$J115,Mkt!BP116),Inputs!$B$15*Mkt!BP116+(1-Inputs!$B$15)*MIN(Mkt!BP116,BO116*(1+Inputs!$B$18))),BO116)))</f>
        <v>2144.657037455</v>
      </c>
      <c r="BQ116" s="11" t="n">
        <f aca="false">IF(BQ$1&lt;Units!$P115,0,IF(AND(Units!$K115=0,BQ$1=Units!$O115),Units!$R115,IF(AND(BQ$1&gt;=Units!$Q115,MOD(BQ$1-Units!$Q115,12)=0),IF(AND(Units!$L115=1,BQ$1=Units!$Q115),IF(Units!$J115&lt;&gt;"",Units!$J115,Mkt!BQ116),Inputs!$B$15*Mkt!BQ116+(1-Inputs!$B$15)*MIN(Mkt!BQ116,BP116*(1+Inputs!$B$18))),BP116)))</f>
        <v>2144.657037455</v>
      </c>
      <c r="BR116" s="11" t="n">
        <f aca="false">IF(BR$1&lt;Units!$P115,0,IF(AND(Units!$K115=0,BR$1=Units!$O115),Units!$R115,IF(AND(BR$1&gt;=Units!$Q115,MOD(BR$1-Units!$Q115,12)=0),IF(AND(Units!$L115=1,BR$1=Units!$Q115),IF(Units!$J115&lt;&gt;"",Units!$J115,Mkt!BR116),Inputs!$B$15*Mkt!BR116+(1-Inputs!$B$15)*MIN(Mkt!BR116,BQ116*(1+Inputs!$B$18))),BQ116)))</f>
        <v>2144.657037455</v>
      </c>
      <c r="BS116" s="11" t="n">
        <f aca="false">IF(BS$1&lt;Units!$P115,0,IF(AND(Units!$K115=0,BS$1=Units!$O115),Units!$R115,IF(AND(BS$1&gt;=Units!$Q115,MOD(BS$1-Units!$Q115,12)=0),IF(AND(Units!$L115=1,BS$1=Units!$Q115),IF(Units!$J115&lt;&gt;"",Units!$J115,Mkt!BS116),Inputs!$B$15*Mkt!BS116+(1-Inputs!$B$15)*MIN(Mkt!BS116,BR116*(1+Inputs!$B$18))),BR116)))</f>
        <v>2144.657037455</v>
      </c>
      <c r="BT116" s="11" t="n">
        <f aca="false">IF(BT$1&lt;Units!$P115,0,IF(AND(Units!$K115=0,BT$1=Units!$O115),Units!$R115,IF(AND(BT$1&gt;=Units!$Q115,MOD(BT$1-Units!$Q115,12)=0),IF(AND(Units!$L115=1,BT$1=Units!$Q115),IF(Units!$J115&lt;&gt;"",Units!$J115,Mkt!BT116),Inputs!$B$15*Mkt!BT116+(1-Inputs!$B$15)*MIN(Mkt!BT116,BS116*(1+Inputs!$B$18))),BS116)))</f>
        <v>2144.657037455</v>
      </c>
      <c r="BU116" s="11" t="n">
        <f aca="false">IF(BU$1&lt;Units!$P115,0,IF(AND(Units!$K115=0,BU$1=Units!$O115),Units!$R115,IF(AND(BU$1&gt;=Units!$Q115,MOD(BU$1-Units!$Q115,12)=0),IF(AND(Units!$L115=1,BU$1=Units!$Q115),IF(Units!$J115&lt;&gt;"",Units!$J115,Mkt!BU116),Inputs!$B$15*Mkt!BU116+(1-Inputs!$B$15)*MIN(Mkt!BU116,BT116*(1+Inputs!$B$18))),BT116)))</f>
        <v>2144.657037455</v>
      </c>
      <c r="BV116" s="11" t="n">
        <f aca="false">IF(BV$1&lt;Units!$P115,0,IF(AND(Units!$K115=0,BV$1=Units!$O115),Units!$R115,IF(AND(BV$1&gt;=Units!$Q115,MOD(BV$1-Units!$Q115,12)=0),IF(AND(Units!$L115=1,BV$1=Units!$Q115),IF(Units!$J115&lt;&gt;"",Units!$J115,Mkt!BV116),Inputs!$B$15*Mkt!BV116+(1-Inputs!$B$15)*MIN(Mkt!BV116,BU116*(1+Inputs!$B$18))),BU116)))</f>
        <v>2144.657037455</v>
      </c>
      <c r="BW116" s="11" t="n">
        <f aca="false">IF(BW$1&lt;Units!$P115,0,IF(AND(Units!$K115=0,BW$1=Units!$O115),Units!$R115,IF(AND(BW$1&gt;=Units!$Q115,MOD(BW$1-Units!$Q115,12)=0),IF(AND(Units!$L115=1,BW$1=Units!$Q115),IF(Units!$J115&lt;&gt;"",Units!$J115,Mkt!BW116),Inputs!$B$15*Mkt!BW116+(1-Inputs!$B$15)*MIN(Mkt!BW116,BV116*(1+Inputs!$B$18))),BV116)))</f>
        <v>2144.657037455</v>
      </c>
      <c r="BX116" s="11" t="n">
        <f aca="false">IF(BX$1&lt;Units!$P115,0,IF(AND(Units!$K115=0,BX$1=Units!$O115),Units!$R115,IF(AND(BX$1&gt;=Units!$Q115,MOD(BX$1-Units!$Q115,12)=0),IF(AND(Units!$L115=1,BX$1=Units!$Q115),IF(Units!$J115&lt;&gt;"",Units!$J115,Mkt!BX116),Inputs!$B$15*Mkt!BX116+(1-Inputs!$B$15)*MIN(Mkt!BX116,BW116*(1+Inputs!$B$18))),BW116)))</f>
        <v>2144.657037455</v>
      </c>
      <c r="BY116" s="11" t="n">
        <f aca="false">IF(BY$1&lt;Units!$P115,0,IF(AND(Units!$K115=0,BY$1=Units!$O115),Units!$R115,IF(AND(BY$1&gt;=Units!$Q115,MOD(BY$1-Units!$Q115,12)=0),IF(AND(Units!$L115=1,BY$1=Units!$Q115),IF(Units!$J115&lt;&gt;"",Units!$J115,Mkt!BY116),Inputs!$B$15*Mkt!BY116+(1-Inputs!$B$15)*MIN(Mkt!BY116,BX116*(1+Inputs!$B$18))),BX116)))</f>
        <v>2144.657037455</v>
      </c>
      <c r="BZ116" s="11" t="n">
        <f aca="false">IF(BZ$1&lt;Units!$P115,0,IF(AND(Units!$K115=0,BZ$1=Units!$O115),Units!$R115,IF(AND(BZ$1&gt;=Units!$Q115,MOD(BZ$1-Units!$Q115,12)=0),IF(AND(Units!$L115=1,BZ$1=Units!$Q115),IF(Units!$J115&lt;&gt;"",Units!$J115,Mkt!BZ116),Inputs!$B$15*Mkt!BZ116+(1-Inputs!$B$15)*MIN(Mkt!BZ116,BY116*(1+Inputs!$B$18))),BY116)))</f>
        <v>2144.657037455</v>
      </c>
      <c r="CA116" s="11" t="n">
        <f aca="false">IF(CA$1&lt;Units!$P115,0,IF(AND(Units!$K115=0,CA$1=Units!$O115),Units!$R115,IF(AND(CA$1&gt;=Units!$Q115,MOD(CA$1-Units!$Q115,12)=0),IF(AND(Units!$L115=1,CA$1=Units!$Q115),IF(Units!$J115&lt;&gt;"",Units!$J115,Mkt!CA116),Inputs!$B$15*Mkt!CA116+(1-Inputs!$B$15)*MIN(Mkt!CA116,BZ116*(1+Inputs!$B$18))),BZ116)))</f>
        <v>2144.657037455</v>
      </c>
      <c r="CB116" s="11" t="n">
        <f aca="false">IF(CB$1&lt;Units!$P115,0,IF(AND(Units!$K115=0,CB$1=Units!$O115),Units!$R115,IF(AND(CB$1&gt;=Units!$Q115,MOD(CB$1-Units!$Q115,12)=0),IF(AND(Units!$L115=1,CB$1=Units!$Q115),IF(Units!$J115&lt;&gt;"",Units!$J115,Mkt!CB116),Inputs!$B$15*Mkt!CB116+(1-Inputs!$B$15)*MIN(Mkt!CB116,CA116*(1+Inputs!$B$18))),CA116)))</f>
        <v>2208.99674857865</v>
      </c>
      <c r="CC116" s="11" t="n">
        <f aca="false">IF(CC$1&lt;Units!$P115,0,IF(AND(Units!$K115=0,CC$1=Units!$O115),Units!$R115,IF(AND(CC$1&gt;=Units!$Q115,MOD(CC$1-Units!$Q115,12)=0),IF(AND(Units!$L115=1,CC$1=Units!$Q115),IF(Units!$J115&lt;&gt;"",Units!$J115,Mkt!CC116),Inputs!$B$15*Mkt!CC116+(1-Inputs!$B$15)*MIN(Mkt!CC116,CB116*(1+Inputs!$B$18))),CB116)))</f>
        <v>2208.99674857865</v>
      </c>
      <c r="CD116" s="11" t="n">
        <f aca="false">IF(CD$1&lt;Units!$P115,0,IF(AND(Units!$K115=0,CD$1=Units!$O115),Units!$R115,IF(AND(CD$1&gt;=Units!$Q115,MOD(CD$1-Units!$Q115,12)=0),IF(AND(Units!$L115=1,CD$1=Units!$Q115),IF(Units!$J115&lt;&gt;"",Units!$J115,Mkt!CD116),Inputs!$B$15*Mkt!CD116+(1-Inputs!$B$15)*MIN(Mkt!CD116,CC116*(1+Inputs!$B$18))),CC116)))</f>
        <v>2208.99674857865</v>
      </c>
      <c r="CE116" s="11" t="n">
        <f aca="false">IF(CE$1&lt;Units!$P115,0,IF(AND(Units!$K115=0,CE$1=Units!$O115),Units!$R115,IF(AND(CE$1&gt;=Units!$Q115,MOD(CE$1-Units!$Q115,12)=0),IF(AND(Units!$L115=1,CE$1=Units!$Q115),IF(Units!$J115&lt;&gt;"",Units!$J115,Mkt!CE116),Inputs!$B$15*Mkt!CE116+(1-Inputs!$B$15)*MIN(Mkt!CE116,CD116*(1+Inputs!$B$18))),CD116)))</f>
        <v>2208.99674857865</v>
      </c>
      <c r="CF116" s="11" t="n">
        <f aca="false">IF(CF$1&lt;Units!$P115,0,IF(AND(Units!$K115=0,CF$1=Units!$O115),Units!$R115,IF(AND(CF$1&gt;=Units!$Q115,MOD(CF$1-Units!$Q115,12)=0),IF(AND(Units!$L115=1,CF$1=Units!$Q115),IF(Units!$J115&lt;&gt;"",Units!$J115,Mkt!CF116),Inputs!$B$15*Mkt!CF116+(1-Inputs!$B$15)*MIN(Mkt!CF116,CE116*(1+Inputs!$B$18))),CE116)))</f>
        <v>2208.99674857865</v>
      </c>
      <c r="CG116" s="11" t="n">
        <f aca="false">IF(CG$1&lt;Units!$P115,0,IF(AND(Units!$K115=0,CG$1=Units!$O115),Units!$R115,IF(AND(CG$1&gt;=Units!$Q115,MOD(CG$1-Units!$Q115,12)=0),IF(AND(Units!$L115=1,CG$1=Units!$Q115),IF(Units!$J115&lt;&gt;"",Units!$J115,Mkt!CG116),Inputs!$B$15*Mkt!CG116+(1-Inputs!$B$15)*MIN(Mkt!CG116,CF116*(1+Inputs!$B$18))),CF116)))</f>
        <v>2208.99674857865</v>
      </c>
      <c r="CH116" s="11" t="n">
        <f aca="false">IF(CH$1&lt;Units!$P115,0,IF(AND(Units!$K115=0,CH$1=Units!$O115),Units!$R115,IF(AND(CH$1&gt;=Units!$Q115,MOD(CH$1-Units!$Q115,12)=0),IF(AND(Units!$L115=1,CH$1=Units!$Q115),IF(Units!$J115&lt;&gt;"",Units!$J115,Mkt!CH116),Inputs!$B$15*Mkt!CH116+(1-Inputs!$B$15)*MIN(Mkt!CH116,CG116*(1+Inputs!$B$18))),CG116)))</f>
        <v>2208.99674857865</v>
      </c>
      <c r="CI116" s="11" t="n">
        <f aca="false">IF(CI$1&lt;Units!$P115,0,IF(AND(Units!$K115=0,CI$1=Units!$O115),Units!$R115,IF(AND(CI$1&gt;=Units!$Q115,MOD(CI$1-Units!$Q115,12)=0),IF(AND(Units!$L115=1,CI$1=Units!$Q115),IF(Units!$J115&lt;&gt;"",Units!$J115,Mkt!CI116),Inputs!$B$15*Mkt!CI116+(1-Inputs!$B$15)*MIN(Mkt!CI116,CH116*(1+Inputs!$B$18))),CH116)))</f>
        <v>2208.99674857865</v>
      </c>
      <c r="CJ116" s="11" t="n">
        <f aca="false">IF(CJ$1&lt;Units!$P115,0,IF(AND(Units!$K115=0,CJ$1=Units!$O115),Units!$R115,IF(AND(CJ$1&gt;=Units!$Q115,MOD(CJ$1-Units!$Q115,12)=0),IF(AND(Units!$L115=1,CJ$1=Units!$Q115),IF(Units!$J115&lt;&gt;"",Units!$J115,Mkt!CJ116),Inputs!$B$15*Mkt!CJ116+(1-Inputs!$B$15)*MIN(Mkt!CJ116,CI116*(1+Inputs!$B$18))),CI116)))</f>
        <v>2208.99674857865</v>
      </c>
      <c r="CK116" s="11" t="n">
        <f aca="false">IF(CK$1&lt;Units!$P115,0,IF(AND(Units!$K115=0,CK$1=Units!$O115),Units!$R115,IF(AND(CK$1&gt;=Units!$Q115,MOD(CK$1-Units!$Q115,12)=0),IF(AND(Units!$L115=1,CK$1=Units!$Q115),IF(Units!$J115&lt;&gt;"",Units!$J115,Mkt!CK116),Inputs!$B$15*Mkt!CK116+(1-Inputs!$B$15)*MIN(Mkt!CK116,CJ116*(1+Inputs!$B$18))),CJ116)))</f>
        <v>2208.99674857865</v>
      </c>
      <c r="CL116" s="11" t="n">
        <f aca="false">IF(CL$1&lt;Units!$P115,0,IF(AND(Units!$K115=0,CL$1=Units!$O115),Units!$R115,IF(AND(CL$1&gt;=Units!$Q115,MOD(CL$1-Units!$Q115,12)=0),IF(AND(Units!$L115=1,CL$1=Units!$Q115),IF(Units!$J115&lt;&gt;"",Units!$J115,Mkt!CL116),Inputs!$B$15*Mkt!CL116+(1-Inputs!$B$15)*MIN(Mkt!CL116,CK116*(1+Inputs!$B$18))),CK116)))</f>
        <v>2208.99674857865</v>
      </c>
      <c r="CM116" s="11" t="n">
        <f aca="false">IF(CM$1&lt;Units!$P115,0,IF(AND(Units!$K115=0,CM$1=Units!$O115),Units!$R115,IF(AND(CM$1&gt;=Units!$Q115,MOD(CM$1-Units!$Q115,12)=0),IF(AND(Units!$L115=1,CM$1=Units!$Q115),IF(Units!$J115&lt;&gt;"",Units!$J115,Mkt!CM116),Inputs!$B$15*Mkt!CM116+(1-Inputs!$B$15)*MIN(Mkt!CM116,CL116*(1+Inputs!$B$18))),CL116)))</f>
        <v>2208.99674857865</v>
      </c>
      <c r="CN116" s="11" t="n">
        <f aca="false">IF(CN$1&lt;Units!$P115,0,IF(AND(Units!$K115=0,CN$1=Units!$O115),Units!$R115,IF(AND(CN$1&gt;=Units!$Q115,MOD(CN$1-Units!$Q115,12)=0),IF(AND(Units!$L115=1,CN$1=Units!$Q115),IF(Units!$J115&lt;&gt;"",Units!$J115,Mkt!CN116),Inputs!$B$15*Mkt!CN116+(1-Inputs!$B$15)*MIN(Mkt!CN116,CM116*(1+Inputs!$B$18))),CM116)))</f>
        <v>2275.26665103601</v>
      </c>
      <c r="CO116" s="11" t="n">
        <f aca="false">IF(CO$1&lt;Units!$P115,0,IF(AND(Units!$K115=0,CO$1=Units!$O115),Units!$R115,IF(AND(CO$1&gt;=Units!$Q115,MOD(CO$1-Units!$Q115,12)=0),IF(AND(Units!$L115=1,CO$1=Units!$Q115),IF(Units!$J115&lt;&gt;"",Units!$J115,Mkt!CO116),Inputs!$B$15*Mkt!CO116+(1-Inputs!$B$15)*MIN(Mkt!CO116,CN116*(1+Inputs!$B$18))),CN116)))</f>
        <v>2275.26665103601</v>
      </c>
      <c r="CP116" s="11" t="n">
        <f aca="false">IF(CP$1&lt;Units!$P115,0,IF(AND(Units!$K115=0,CP$1=Units!$O115),Units!$R115,IF(AND(CP$1&gt;=Units!$Q115,MOD(CP$1-Units!$Q115,12)=0),IF(AND(Units!$L115=1,CP$1=Units!$Q115),IF(Units!$J115&lt;&gt;"",Units!$J115,Mkt!CP116),Inputs!$B$15*Mkt!CP116+(1-Inputs!$B$15)*MIN(Mkt!CP116,CO116*(1+Inputs!$B$18))),CO116)))</f>
        <v>2275.26665103601</v>
      </c>
      <c r="CQ116" s="11" t="n">
        <f aca="false">IF(CQ$1&lt;Units!$P115,0,IF(AND(Units!$K115=0,CQ$1=Units!$O115),Units!$R115,IF(AND(CQ$1&gt;=Units!$Q115,MOD(CQ$1-Units!$Q115,12)=0),IF(AND(Units!$L115=1,CQ$1=Units!$Q115),IF(Units!$J115&lt;&gt;"",Units!$J115,Mkt!CQ116),Inputs!$B$15*Mkt!CQ116+(1-Inputs!$B$15)*MIN(Mkt!CQ116,CP116*(1+Inputs!$B$18))),CP116)))</f>
        <v>2275.26665103601</v>
      </c>
      <c r="CR116" s="11" t="n">
        <f aca="false">IF(CR$1&lt;Units!$P115,0,IF(AND(Units!$K115=0,CR$1=Units!$O115),Units!$R115,IF(AND(CR$1&gt;=Units!$Q115,MOD(CR$1-Units!$Q115,12)=0),IF(AND(Units!$L115=1,CR$1=Units!$Q115),IF(Units!$J115&lt;&gt;"",Units!$J115,Mkt!CR116),Inputs!$B$15*Mkt!CR116+(1-Inputs!$B$15)*MIN(Mkt!CR116,CQ116*(1+Inputs!$B$18))),CQ116)))</f>
        <v>2275.26665103601</v>
      </c>
      <c r="CS116" s="11" t="n">
        <f aca="false">IF(CS$1&lt;Units!$P115,0,IF(AND(Units!$K115=0,CS$1=Units!$O115),Units!$R115,IF(AND(CS$1&gt;=Units!$Q115,MOD(CS$1-Units!$Q115,12)=0),IF(AND(Units!$L115=1,CS$1=Units!$Q115),IF(Units!$J115&lt;&gt;"",Units!$J115,Mkt!CS116),Inputs!$B$15*Mkt!CS116+(1-Inputs!$B$15)*MIN(Mkt!CS116,CR116*(1+Inputs!$B$18))),CR116)))</f>
        <v>2275.26665103601</v>
      </c>
      <c r="CT116" s="11" t="n">
        <f aca="false">IF(CT$1&lt;Units!$P115,0,IF(AND(Units!$K115=0,CT$1=Units!$O115),Units!$R115,IF(AND(CT$1&gt;=Units!$Q115,MOD(CT$1-Units!$Q115,12)=0),IF(AND(Units!$L115=1,CT$1=Units!$Q115),IF(Units!$J115&lt;&gt;"",Units!$J115,Mkt!CT116),Inputs!$B$15*Mkt!CT116+(1-Inputs!$B$15)*MIN(Mkt!CT116,CS116*(1+Inputs!$B$18))),CS116)))</f>
        <v>2275.26665103601</v>
      </c>
      <c r="CU116" s="11" t="n">
        <f aca="false">IF(CU$1&lt;Units!$P115,0,IF(AND(Units!$K115=0,CU$1=Units!$O115),Units!$R115,IF(AND(CU$1&gt;=Units!$Q115,MOD(CU$1-Units!$Q115,12)=0),IF(AND(Units!$L115=1,CU$1=Units!$Q115),IF(Units!$J115&lt;&gt;"",Units!$J115,Mkt!CU116),Inputs!$B$15*Mkt!CU116+(1-Inputs!$B$15)*MIN(Mkt!CU116,CT116*(1+Inputs!$B$18))),CT116)))</f>
        <v>2275.26665103601</v>
      </c>
      <c r="CV116" s="11" t="n">
        <f aca="false">IF(CV$1&lt;Units!$P115,0,IF(AND(Units!$K115=0,CV$1=Units!$O115),Units!$R115,IF(AND(CV$1&gt;=Units!$Q115,MOD(CV$1-Units!$Q115,12)=0),IF(AND(Units!$L115=1,CV$1=Units!$Q115),IF(Units!$J115&lt;&gt;"",Units!$J115,Mkt!CV116),Inputs!$B$15*Mkt!CV116+(1-Inputs!$B$15)*MIN(Mkt!CV116,CU116*(1+Inputs!$B$18))),CU116)))</f>
        <v>2275.26665103601</v>
      </c>
      <c r="CW116" s="11" t="n">
        <f aca="false">IF(CW$1&lt;Units!$P115,0,IF(AND(Units!$K115=0,CW$1=Units!$O115),Units!$R115,IF(AND(CW$1&gt;=Units!$Q115,MOD(CW$1-Units!$Q115,12)=0),IF(AND(Units!$L115=1,CW$1=Units!$Q115),IF(Units!$J115&lt;&gt;"",Units!$J115,Mkt!CW116),Inputs!$B$15*Mkt!CW116+(1-Inputs!$B$15)*MIN(Mkt!CW116,CV116*(1+Inputs!$B$18))),CV116)))</f>
        <v>2275.26665103601</v>
      </c>
      <c r="CX116" s="11" t="n">
        <f aca="false">IF(CX$1&lt;Units!$P115,0,IF(AND(Units!$K115=0,CX$1=Units!$O115),Units!$R115,IF(AND(CX$1&gt;=Units!$Q115,MOD(CX$1-Units!$Q115,12)=0),IF(AND(Units!$L115=1,CX$1=Units!$Q115),IF(Units!$J115&lt;&gt;"",Units!$J115,Mkt!CX116),Inputs!$B$15*Mkt!CX116+(1-Inputs!$B$15)*MIN(Mkt!CX116,CW116*(1+Inputs!$B$18))),CW116)))</f>
        <v>2275.26665103601</v>
      </c>
      <c r="CY116" s="11" t="n">
        <f aca="false">IF(CY$1&lt;Units!$P115,0,IF(AND(Units!$K115=0,CY$1=Units!$O115),Units!$R115,IF(AND(CY$1&gt;=Units!$Q115,MOD(CY$1-Units!$Q115,12)=0),IF(AND(Units!$L115=1,CY$1=Units!$Q115),IF(Units!$J115&lt;&gt;"",Units!$J115,Mkt!CY116),Inputs!$B$15*Mkt!CY116+(1-Inputs!$B$15)*MIN(Mkt!CY116,CX116*(1+Inputs!$B$18))),CX116)))</f>
        <v>2275.26665103601</v>
      </c>
      <c r="CZ116" s="11" t="n">
        <f aca="false">IF(CZ$1&lt;Units!$P115,0,IF(AND(Units!$K115=0,CZ$1=Units!$O115),Units!$R115,IF(AND(CZ$1&gt;=Units!$Q115,MOD(CZ$1-Units!$Q115,12)=0),IF(AND(Units!$L115=1,CZ$1=Units!$Q115),IF(Units!$J115&lt;&gt;"",Units!$J115,Mkt!CZ116),Inputs!$B$15*Mkt!CZ116+(1-Inputs!$B$15)*MIN(Mkt!CZ116,CY116*(1+Inputs!$B$18))),CY116)))</f>
        <v>2343.52465056709</v>
      </c>
      <c r="DA116" s="11" t="n">
        <f aca="false">IF(DA$1&lt;Units!$P115,0,IF(AND(Units!$K115=0,DA$1=Units!$O115),Units!$R115,IF(AND(DA$1&gt;=Units!$Q115,MOD(DA$1-Units!$Q115,12)=0),IF(AND(Units!$L115=1,DA$1=Units!$Q115),IF(Units!$J115&lt;&gt;"",Units!$J115,Mkt!DA116),Inputs!$B$15*Mkt!DA116+(1-Inputs!$B$15)*MIN(Mkt!DA116,CZ116*(1+Inputs!$B$18))),CZ116)))</f>
        <v>2343.52465056709</v>
      </c>
      <c r="DB116" s="11" t="n">
        <f aca="false">IF(DB$1&lt;Units!$P115,0,IF(AND(Units!$K115=0,DB$1=Units!$O115),Units!$R115,IF(AND(DB$1&gt;=Units!$Q115,MOD(DB$1-Units!$Q115,12)=0),IF(AND(Units!$L115=1,DB$1=Units!$Q115),IF(Units!$J115&lt;&gt;"",Units!$J115,Mkt!DB116),Inputs!$B$15*Mkt!DB116+(1-Inputs!$B$15)*MIN(Mkt!DB116,DA116*(1+Inputs!$B$18))),DA116)))</f>
        <v>2343.52465056709</v>
      </c>
      <c r="DC116" s="11" t="n">
        <f aca="false">IF(DC$1&lt;Units!$P115,0,IF(AND(Units!$K115=0,DC$1=Units!$O115),Units!$R115,IF(AND(DC$1&gt;=Units!$Q115,MOD(DC$1-Units!$Q115,12)=0),IF(AND(Units!$L115=1,DC$1=Units!$Q115),IF(Units!$J115&lt;&gt;"",Units!$J115,Mkt!DC116),Inputs!$B$15*Mkt!DC116+(1-Inputs!$B$15)*MIN(Mkt!DC116,DB116*(1+Inputs!$B$18))),DB116)))</f>
        <v>2343.52465056709</v>
      </c>
      <c r="DD116" s="11" t="n">
        <f aca="false">IF(DD$1&lt;Units!$P115,0,IF(AND(Units!$K115=0,DD$1=Units!$O115),Units!$R115,IF(AND(DD$1&gt;=Units!$Q115,MOD(DD$1-Units!$Q115,12)=0),IF(AND(Units!$L115=1,DD$1=Units!$Q115),IF(Units!$J115&lt;&gt;"",Units!$J115,Mkt!DD116),Inputs!$B$15*Mkt!DD116+(1-Inputs!$B$15)*MIN(Mkt!DD116,DC116*(1+Inputs!$B$18))),DC116)))</f>
        <v>2343.52465056709</v>
      </c>
      <c r="DE116" s="11" t="n">
        <f aca="false">IF(DE$1&lt;Units!$P115,0,IF(AND(Units!$K115=0,DE$1=Units!$O115),Units!$R115,IF(AND(DE$1&gt;=Units!$Q115,MOD(DE$1-Units!$Q115,12)=0),IF(AND(Units!$L115=1,DE$1=Units!$Q115),IF(Units!$J115&lt;&gt;"",Units!$J115,Mkt!DE116),Inputs!$B$15*Mkt!DE116+(1-Inputs!$B$15)*MIN(Mkt!DE116,DD116*(1+Inputs!$B$18))),DD116)))</f>
        <v>2343.52465056709</v>
      </c>
      <c r="DF116" s="11" t="n">
        <f aca="false">IF(DF$1&lt;Units!$P115,0,IF(AND(Units!$K115=0,DF$1=Units!$O115),Units!$R115,IF(AND(DF$1&gt;=Units!$Q115,MOD(DF$1-Units!$Q115,12)=0),IF(AND(Units!$L115=1,DF$1=Units!$Q115),IF(Units!$J115&lt;&gt;"",Units!$J115,Mkt!DF116),Inputs!$B$15*Mkt!DF116+(1-Inputs!$B$15)*MIN(Mkt!DF116,DE116*(1+Inputs!$B$18))),DE116)))</f>
        <v>2343.52465056709</v>
      </c>
      <c r="DG116" s="11" t="n">
        <f aca="false">IF(DG$1&lt;Units!$P115,0,IF(AND(Units!$K115=0,DG$1=Units!$O115),Units!$R115,IF(AND(DG$1&gt;=Units!$Q115,MOD(DG$1-Units!$Q115,12)=0),IF(AND(Units!$L115=1,DG$1=Units!$Q115),IF(Units!$J115&lt;&gt;"",Units!$J115,Mkt!DG116),Inputs!$B$15*Mkt!DG116+(1-Inputs!$B$15)*MIN(Mkt!DG116,DF116*(1+Inputs!$B$18))),DF116)))</f>
        <v>2343.52465056709</v>
      </c>
      <c r="DH116" s="11" t="n">
        <f aca="false">IF(DH$1&lt;Units!$P115,0,IF(AND(Units!$K115=0,DH$1=Units!$O115),Units!$R115,IF(AND(DH$1&gt;=Units!$Q115,MOD(DH$1-Units!$Q115,12)=0),IF(AND(Units!$L115=1,DH$1=Units!$Q115),IF(Units!$J115&lt;&gt;"",Units!$J115,Mkt!DH116),Inputs!$B$15*Mkt!DH116+(1-Inputs!$B$15)*MIN(Mkt!DH116,DG116*(1+Inputs!$B$18))),DG116)))</f>
        <v>2343.52465056709</v>
      </c>
      <c r="DI116" s="11" t="n">
        <f aca="false">IF(DI$1&lt;Units!$P115,0,IF(AND(Units!$K115=0,DI$1=Units!$O115),Units!$R115,IF(AND(DI$1&gt;=Units!$Q115,MOD(DI$1-Units!$Q115,12)=0),IF(AND(Units!$L115=1,DI$1=Units!$Q115),IF(Units!$J115&lt;&gt;"",Units!$J115,Mkt!DI116),Inputs!$B$15*Mkt!DI116+(1-Inputs!$B$15)*MIN(Mkt!DI116,DH116*(1+Inputs!$B$18))),DH116)))</f>
        <v>2343.52465056709</v>
      </c>
      <c r="DJ116" s="11" t="n">
        <f aca="false">IF(DJ$1&lt;Units!$P115,0,IF(AND(Units!$K115=0,DJ$1=Units!$O115),Units!$R115,IF(AND(DJ$1&gt;=Units!$Q115,MOD(DJ$1-Units!$Q115,12)=0),IF(AND(Units!$L115=1,DJ$1=Units!$Q115),IF(Units!$J115&lt;&gt;"",Units!$J115,Mkt!DJ116),Inputs!$B$15*Mkt!DJ116+(1-Inputs!$B$15)*MIN(Mkt!DJ116,DI116*(1+Inputs!$B$18))),DI116)))</f>
        <v>2343.52465056709</v>
      </c>
      <c r="DK116" s="11" t="n">
        <f aca="false">IF(DK$1&lt;Units!$P115,0,IF(AND(Units!$K115=0,DK$1=Units!$O115),Units!$R115,IF(AND(DK$1&gt;=Units!$Q115,MOD(DK$1-Units!$Q115,12)=0),IF(AND(Units!$L115=1,DK$1=Units!$Q115),IF(Units!$J115&lt;&gt;"",Units!$J115,Mkt!DK116),Inputs!$B$15*Mkt!DK116+(1-Inputs!$B$15)*MIN(Mkt!DK116,DJ116*(1+Inputs!$B$18))),DJ116)))</f>
        <v>2343.52465056709</v>
      </c>
      <c r="DL116" s="11" t="n">
        <f aca="false">IF(DL$1&lt;Units!$P115,0,IF(AND(Units!$K115=0,DL$1=Units!$O115),Units!$R115,IF(AND(DL$1&gt;=Units!$Q115,MOD(DL$1-Units!$Q115,12)=0),IF(AND(Units!$L115=1,DL$1=Units!$Q115),IF(Units!$J115&lt;&gt;"",Units!$J115,Mkt!DL116),Inputs!$B$15*Mkt!DL116+(1-Inputs!$B$15)*MIN(Mkt!DL116,DK116*(1+Inputs!$B$18))),DK116)))</f>
        <v>2413.8303900841</v>
      </c>
      <c r="DM116" s="11" t="n">
        <f aca="false">IF(DM$1&lt;Units!$P115,0,IF(AND(Units!$K115=0,DM$1=Units!$O115),Units!$R115,IF(AND(DM$1&gt;=Units!$Q115,MOD(DM$1-Units!$Q115,12)=0),IF(AND(Units!$L115=1,DM$1=Units!$Q115),IF(Units!$J115&lt;&gt;"",Units!$J115,Mkt!DM116),Inputs!$B$15*Mkt!DM116+(1-Inputs!$B$15)*MIN(Mkt!DM116,DL116*(1+Inputs!$B$18))),DL116)))</f>
        <v>2413.8303900841</v>
      </c>
      <c r="DN116" s="11" t="n">
        <f aca="false">IF(DN$1&lt;Units!$P115,0,IF(AND(Units!$K115=0,DN$1=Units!$O115),Units!$R115,IF(AND(DN$1&gt;=Units!$Q115,MOD(DN$1-Units!$Q115,12)=0),IF(AND(Units!$L115=1,DN$1=Units!$Q115),IF(Units!$J115&lt;&gt;"",Units!$J115,Mkt!DN116),Inputs!$B$15*Mkt!DN116+(1-Inputs!$B$15)*MIN(Mkt!DN116,DM116*(1+Inputs!$B$18))),DM116)))</f>
        <v>2413.8303900841</v>
      </c>
      <c r="DO116" s="11" t="n">
        <f aca="false">IF(DO$1&lt;Units!$P115,0,IF(AND(Units!$K115=0,DO$1=Units!$O115),Units!$R115,IF(AND(DO$1&gt;=Units!$Q115,MOD(DO$1-Units!$Q115,12)=0),IF(AND(Units!$L115=1,DO$1=Units!$Q115),IF(Units!$J115&lt;&gt;"",Units!$J115,Mkt!DO116),Inputs!$B$15*Mkt!DO116+(1-Inputs!$B$15)*MIN(Mkt!DO116,DN116*(1+Inputs!$B$18))),DN116)))</f>
        <v>2413.8303900841</v>
      </c>
      <c r="DP116" s="11" t="n">
        <f aca="false">IF(DP$1&lt;Units!$P115,0,IF(AND(Units!$K115=0,DP$1=Units!$O115),Units!$R115,IF(AND(DP$1&gt;=Units!$Q115,MOD(DP$1-Units!$Q115,12)=0),IF(AND(Units!$L115=1,DP$1=Units!$Q115),IF(Units!$J115&lt;&gt;"",Units!$J115,Mkt!DP116),Inputs!$B$15*Mkt!DP116+(1-Inputs!$B$15)*MIN(Mkt!DP116,DO116*(1+Inputs!$B$18))),DO116)))</f>
        <v>2413.8303900841</v>
      </c>
      <c r="DQ116" s="11" t="n">
        <f aca="false">IF(DQ$1&lt;Units!$P115,0,IF(AND(Units!$K115=0,DQ$1=Units!$O115),Units!$R115,IF(AND(DQ$1&gt;=Units!$Q115,MOD(DQ$1-Units!$Q115,12)=0),IF(AND(Units!$L115=1,DQ$1=Units!$Q115),IF(Units!$J115&lt;&gt;"",Units!$J115,Mkt!DQ116),Inputs!$B$15*Mkt!DQ116+(1-Inputs!$B$15)*MIN(Mkt!DQ116,DP116*(1+Inputs!$B$18))),DP116)))</f>
        <v>2413.8303900841</v>
      </c>
      <c r="DR116" s="11" t="n">
        <f aca="false">IF(DR$1&lt;Units!$P115,0,IF(AND(Units!$K115=0,DR$1=Units!$O115),Units!$R115,IF(AND(DR$1&gt;=Units!$Q115,MOD(DR$1-Units!$Q115,12)=0),IF(AND(Units!$L115=1,DR$1=Units!$Q115),IF(Units!$J115&lt;&gt;"",Units!$J115,Mkt!DR116),Inputs!$B$15*Mkt!DR116+(1-Inputs!$B$15)*MIN(Mkt!DR116,DQ116*(1+Inputs!$B$18))),DQ116)))</f>
        <v>2413.8303900841</v>
      </c>
      <c r="DS116" s="11" t="n">
        <f aca="false">IF(DS$1&lt;Units!$P115,0,IF(AND(Units!$K115=0,DS$1=Units!$O115),Units!$R115,IF(AND(DS$1&gt;=Units!$Q115,MOD(DS$1-Units!$Q115,12)=0),IF(AND(Units!$L115=1,DS$1=Units!$Q115),IF(Units!$J115&lt;&gt;"",Units!$J115,Mkt!DS116),Inputs!$B$15*Mkt!DS116+(1-Inputs!$B$15)*MIN(Mkt!DS116,DR116*(1+Inputs!$B$18))),DR116)))</f>
        <v>2413.8303900841</v>
      </c>
      <c r="DT116" s="11" t="n">
        <f aca="false">IF(DT$1&lt;Units!$P115,0,IF(AND(Units!$K115=0,DT$1=Units!$O115),Units!$R115,IF(AND(DT$1&gt;=Units!$Q115,MOD(DT$1-Units!$Q115,12)=0),IF(AND(Units!$L115=1,DT$1=Units!$Q115),IF(Units!$J115&lt;&gt;"",Units!$J115,Mkt!DT116),Inputs!$B$15*Mkt!DT116+(1-Inputs!$B$15)*MIN(Mkt!DT116,DS116*(1+Inputs!$B$18))),DS116)))</f>
        <v>2413.8303900841</v>
      </c>
      <c r="DU116" s="11" t="n">
        <f aca="false">IF(DU$1&lt;Units!$P115,0,IF(AND(Units!$K115=0,DU$1=Units!$O115),Units!$R115,IF(AND(DU$1&gt;=Units!$Q115,MOD(DU$1-Units!$Q115,12)=0),IF(AND(Units!$L115=1,DU$1=Units!$Q115),IF(Units!$J115&lt;&gt;"",Units!$J115,Mkt!DU116),Inputs!$B$15*Mkt!DU116+(1-Inputs!$B$15)*MIN(Mkt!DU116,DT116*(1+Inputs!$B$18))),DT116)))</f>
        <v>2413.8303900841</v>
      </c>
      <c r="DV116" s="11" t="n">
        <f aca="false">IF(DV$1&lt;Units!$P115,0,IF(AND(Units!$K115=0,DV$1=Units!$O115),Units!$R115,IF(AND(DV$1&gt;=Units!$Q115,MOD(DV$1-Units!$Q115,12)=0),IF(AND(Units!$L115=1,DV$1=Units!$Q115),IF(Units!$J115&lt;&gt;"",Units!$J115,Mkt!DV116),Inputs!$B$15*Mkt!DV116+(1-Inputs!$B$15)*MIN(Mkt!DV116,DU116*(1+Inputs!$B$18))),DU116)))</f>
        <v>2413.8303900841</v>
      </c>
      <c r="DW116" s="11" t="n">
        <f aca="false">IF(DW$1&lt;Units!$P115,0,IF(AND(Units!$K115=0,DW$1=Units!$O115),Units!$R115,IF(AND(DW$1&gt;=Units!$Q115,MOD(DW$1-Units!$Q115,12)=0),IF(AND(Units!$L115=1,DW$1=Units!$Q115),IF(Units!$J115&lt;&gt;"",Units!$J115,Mkt!DW116),Inputs!$B$15*Mkt!DW116+(1-Inputs!$B$15)*MIN(Mkt!DW116,DV116*(1+Inputs!$B$18))),DV116)))</f>
        <v>2413.8303900841</v>
      </c>
      <c r="DX116" s="11" t="n">
        <f aca="false">IF(DX$1&lt;Units!$P115,0,IF(AND(Units!$K115=0,DX$1=Units!$O115),Units!$R115,IF(AND(DX$1&gt;=Units!$Q115,MOD(DX$1-Units!$Q115,12)=0),IF(AND(Units!$L115=1,DX$1=Units!$Q115),IF(Units!$J115&lt;&gt;"",Units!$J115,Mkt!DX116),Inputs!$B$15*Mkt!DX116+(1-Inputs!$B$15)*MIN(Mkt!DX116,DW116*(1+Inputs!$B$18))),DW116)))</f>
        <v>2486.24530178663</v>
      </c>
      <c r="DY116" s="11" t="n">
        <f aca="false">IF(DY$1&lt;Units!$P115,0,IF(AND(Units!$K115=0,DY$1=Units!$O115),Units!$R115,IF(AND(DY$1&gt;=Units!$Q115,MOD(DY$1-Units!$Q115,12)=0),IF(AND(Units!$L115=1,DY$1=Units!$Q115),IF(Units!$J115&lt;&gt;"",Units!$J115,Mkt!DY116),Inputs!$B$15*Mkt!DY116+(1-Inputs!$B$15)*MIN(Mkt!DY116,DX116*(1+Inputs!$B$18))),DX116)))</f>
        <v>2486.24530178663</v>
      </c>
      <c r="DZ116" s="11" t="n">
        <f aca="false">IF(DZ$1&lt;Units!$P115,0,IF(AND(Units!$K115=0,DZ$1=Units!$O115),Units!$R115,IF(AND(DZ$1&gt;=Units!$Q115,MOD(DZ$1-Units!$Q115,12)=0),IF(AND(Units!$L115=1,DZ$1=Units!$Q115),IF(Units!$J115&lt;&gt;"",Units!$J115,Mkt!DZ116),Inputs!$B$15*Mkt!DZ116+(1-Inputs!$B$15)*MIN(Mkt!DZ116,DY116*(1+Inputs!$B$18))),DY116)))</f>
        <v>2486.24530178663</v>
      </c>
      <c r="EA116" s="11" t="n">
        <f aca="false">IF(EA$1&lt;Units!$P115,0,IF(AND(Units!$K115=0,EA$1=Units!$O115),Units!$R115,IF(AND(EA$1&gt;=Units!$Q115,MOD(EA$1-Units!$Q115,12)=0),IF(AND(Units!$L115=1,EA$1=Units!$Q115),IF(Units!$J115&lt;&gt;"",Units!$J115,Mkt!EA116),Inputs!$B$15*Mkt!EA116+(1-Inputs!$B$15)*MIN(Mkt!EA116,DZ116*(1+Inputs!$B$18))),DZ116)))</f>
        <v>2486.24530178663</v>
      </c>
      <c r="EB116" s="11" t="n">
        <f aca="false">IF(EB$1&lt;Units!$P115,0,IF(AND(Units!$K115=0,EB$1=Units!$O115),Units!$R115,IF(AND(EB$1&gt;=Units!$Q115,MOD(EB$1-Units!$Q115,12)=0),IF(AND(Units!$L115=1,EB$1=Units!$Q115),IF(Units!$J115&lt;&gt;"",Units!$J115,Mkt!EB116),Inputs!$B$15*Mkt!EB116+(1-Inputs!$B$15)*MIN(Mkt!EB116,EA116*(1+Inputs!$B$18))),EA116)))</f>
        <v>2486.24530178663</v>
      </c>
      <c r="EC116" s="11" t="n">
        <f aca="false">IF(EC$1&lt;Units!$P115,0,IF(AND(Units!$K115=0,EC$1=Units!$O115),Units!$R115,IF(AND(EC$1&gt;=Units!$Q115,MOD(EC$1-Units!$Q115,12)=0),IF(AND(Units!$L115=1,EC$1=Units!$Q115),IF(Units!$J115&lt;&gt;"",Units!$J115,Mkt!EC116),Inputs!$B$15*Mkt!EC116+(1-Inputs!$B$15)*MIN(Mkt!EC116,EB116*(1+Inputs!$B$18))),EB116)))</f>
        <v>2486.24530178663</v>
      </c>
      <c r="ED116" s="11" t="n">
        <f aca="false">IF(ED$1&lt;Units!$P115,0,IF(AND(Units!$K115=0,ED$1=Units!$O115),Units!$R115,IF(AND(ED$1&gt;=Units!$Q115,MOD(ED$1-Units!$Q115,12)=0),IF(AND(Units!$L115=1,ED$1=Units!$Q115),IF(Units!$J115&lt;&gt;"",Units!$J115,Mkt!ED116),Inputs!$B$15*Mkt!ED116+(1-Inputs!$B$15)*MIN(Mkt!ED116,EC116*(1+Inputs!$B$18))),EC116)))</f>
        <v>2486.24530178663</v>
      </c>
    </row>
    <row r="117" customFormat="false" ht="15" hidden="false" customHeight="false" outlineLevel="0" collapsed="false">
      <c r="A117" s="22" t="n">
        <f aca="false">Units!A116</f>
        <v>425</v>
      </c>
      <c r="B117" s="24" t="n">
        <f aca="false">IF(Units!K116=1,Units!F116,0)</f>
        <v>1720</v>
      </c>
      <c r="C117" s="11" t="n">
        <f aca="false">IF(C$1&lt;Units!$P116,0,IF(AND(Units!$K116=0,C$1=Units!$O116),Units!$R116,IF(AND(C$1&gt;=Units!$Q116,MOD(C$1-Units!$Q116,12)=0),IF(AND(Units!$L116=1,C$1=Units!$Q116),IF(Units!$J116&lt;&gt;"",Units!$J116,Mkt!C117),Inputs!$B$15*Mkt!C117+(1-Inputs!$B$15)*MIN(Mkt!C117,B117*(1+Inputs!$B$18))),B117)))</f>
        <v>1720</v>
      </c>
      <c r="D117" s="11" t="n">
        <f aca="false">IF(D$1&lt;Units!$P116,0,IF(AND(Units!$K116=0,D$1=Units!$O116),Units!$R116,IF(AND(D$1&gt;=Units!$Q116,MOD(D$1-Units!$Q116,12)=0),IF(AND(Units!$L116=1,D$1=Units!$Q116),IF(Units!$J116&lt;&gt;"",Units!$J116,Mkt!D117),Inputs!$B$15*Mkt!D117+(1-Inputs!$B$15)*MIN(Mkt!D117,C117*(1+Inputs!$B$18))),C117)))</f>
        <v>1720</v>
      </c>
      <c r="E117" s="11" t="n">
        <f aca="false">IF(E$1&lt;Units!$P116,0,IF(AND(Units!$K116=0,E$1=Units!$O116),Units!$R116,IF(AND(E$1&gt;=Units!$Q116,MOD(E$1-Units!$Q116,12)=0),IF(AND(Units!$L116=1,E$1=Units!$Q116),IF(Units!$J116&lt;&gt;"",Units!$J116,Mkt!E117),Inputs!$B$15*Mkt!E117+(1-Inputs!$B$15)*MIN(Mkt!E117,D117*(1+Inputs!$B$18))),D117)))</f>
        <v>1720</v>
      </c>
      <c r="F117" s="11" t="n">
        <f aca="false">IF(F$1&lt;Units!$P116,0,IF(AND(Units!$K116=0,F$1=Units!$O116),Units!$R116,IF(AND(F$1&gt;=Units!$Q116,MOD(F$1-Units!$Q116,12)=0),IF(AND(Units!$L116=1,F$1=Units!$Q116),IF(Units!$J116&lt;&gt;"",Units!$J116,Mkt!F117),Inputs!$B$15*Mkt!F117+(1-Inputs!$B$15)*MIN(Mkt!F117,E117*(1+Inputs!$B$18))),E117)))</f>
        <v>1720</v>
      </c>
      <c r="G117" s="11" t="n">
        <f aca="false">IF(G$1&lt;Units!$P116,0,IF(AND(Units!$K116=0,G$1=Units!$O116),Units!$R116,IF(AND(G$1&gt;=Units!$Q116,MOD(G$1-Units!$Q116,12)=0),IF(AND(Units!$L116=1,G$1=Units!$Q116),IF(Units!$J116&lt;&gt;"",Units!$J116,Mkt!G117),Inputs!$B$15*Mkt!G117+(1-Inputs!$B$15)*MIN(Mkt!G117,F117*(1+Inputs!$B$18))),F117)))</f>
        <v>1828</v>
      </c>
      <c r="H117" s="11" t="n">
        <f aca="false">IF(H$1&lt;Units!$P116,0,IF(AND(Units!$K116=0,H$1=Units!$O116),Units!$R116,IF(AND(H$1&gt;=Units!$Q116,MOD(H$1-Units!$Q116,12)=0),IF(AND(Units!$L116=1,H$1=Units!$Q116),IF(Units!$J116&lt;&gt;"",Units!$J116,Mkt!H117),Inputs!$B$15*Mkt!H117+(1-Inputs!$B$15)*MIN(Mkt!H117,G117*(1+Inputs!$B$18))),G117)))</f>
        <v>1828</v>
      </c>
      <c r="I117" s="11" t="n">
        <f aca="false">IF(I$1&lt;Units!$P116,0,IF(AND(Units!$K116=0,I$1=Units!$O116),Units!$R116,IF(AND(I$1&gt;=Units!$Q116,MOD(I$1-Units!$Q116,12)=0),IF(AND(Units!$L116=1,I$1=Units!$Q116),IF(Units!$J116&lt;&gt;"",Units!$J116,Mkt!I117),Inputs!$B$15*Mkt!I117+(1-Inputs!$B$15)*MIN(Mkt!I117,H117*(1+Inputs!$B$18))),H117)))</f>
        <v>1828</v>
      </c>
      <c r="J117" s="11" t="n">
        <f aca="false">IF(J$1&lt;Units!$P116,0,IF(AND(Units!$K116=0,J$1=Units!$O116),Units!$R116,IF(AND(J$1&gt;=Units!$Q116,MOD(J$1-Units!$Q116,12)=0),IF(AND(Units!$L116=1,J$1=Units!$Q116),IF(Units!$J116&lt;&gt;"",Units!$J116,Mkt!J117),Inputs!$B$15*Mkt!J117+(1-Inputs!$B$15)*MIN(Mkt!J117,I117*(1+Inputs!$B$18))),I117)))</f>
        <v>1828</v>
      </c>
      <c r="K117" s="11" t="n">
        <f aca="false">IF(K$1&lt;Units!$P116,0,IF(AND(Units!$K116=0,K$1=Units!$O116),Units!$R116,IF(AND(K$1&gt;=Units!$Q116,MOD(K$1-Units!$Q116,12)=0),IF(AND(Units!$L116=1,K$1=Units!$Q116),IF(Units!$J116&lt;&gt;"",Units!$J116,Mkt!K117),Inputs!$B$15*Mkt!K117+(1-Inputs!$B$15)*MIN(Mkt!K117,J117*(1+Inputs!$B$18))),J117)))</f>
        <v>1828</v>
      </c>
      <c r="L117" s="11" t="n">
        <f aca="false">IF(L$1&lt;Units!$P116,0,IF(AND(Units!$K116=0,L$1=Units!$O116),Units!$R116,IF(AND(L$1&gt;=Units!$Q116,MOD(L$1-Units!$Q116,12)=0),IF(AND(Units!$L116=1,L$1=Units!$Q116),IF(Units!$J116&lt;&gt;"",Units!$J116,Mkt!L117),Inputs!$B$15*Mkt!L117+(1-Inputs!$B$15)*MIN(Mkt!L117,K117*(1+Inputs!$B$18))),K117)))</f>
        <v>1828</v>
      </c>
      <c r="M117" s="11" t="n">
        <f aca="false">IF(M$1&lt;Units!$P116,0,IF(AND(Units!$K116=0,M$1=Units!$O116),Units!$R116,IF(AND(M$1&gt;=Units!$Q116,MOD(M$1-Units!$Q116,12)=0),IF(AND(Units!$L116=1,M$1=Units!$Q116),IF(Units!$J116&lt;&gt;"",Units!$J116,Mkt!M117),Inputs!$B$15*Mkt!M117+(1-Inputs!$B$15)*MIN(Mkt!M117,L117*(1+Inputs!$B$18))),L117)))</f>
        <v>1828</v>
      </c>
      <c r="N117" s="11" t="n">
        <f aca="false">IF(N$1&lt;Units!$P116,0,IF(AND(Units!$K116=0,N$1=Units!$O116),Units!$R116,IF(AND(N$1&gt;=Units!$Q116,MOD(N$1-Units!$Q116,12)=0),IF(AND(Units!$L116=1,N$1=Units!$Q116),IF(Units!$J116&lt;&gt;"",Units!$J116,Mkt!N117),Inputs!$B$15*Mkt!N117+(1-Inputs!$B$15)*MIN(Mkt!N117,M117*(1+Inputs!$B$18))),M117)))</f>
        <v>1828</v>
      </c>
      <c r="O117" s="11" t="n">
        <f aca="false">IF(O$1&lt;Units!$P116,0,IF(AND(Units!$K116=0,O$1=Units!$O116),Units!$R116,IF(AND(O$1&gt;=Units!$Q116,MOD(O$1-Units!$Q116,12)=0),IF(AND(Units!$L116=1,O$1=Units!$Q116),IF(Units!$J116&lt;&gt;"",Units!$J116,Mkt!O117),Inputs!$B$15*Mkt!O117+(1-Inputs!$B$15)*MIN(Mkt!O117,N117*(1+Inputs!$B$18))),N117)))</f>
        <v>1828</v>
      </c>
      <c r="P117" s="11" t="n">
        <f aca="false">IF(P$1&lt;Units!$P116,0,IF(AND(Units!$K116=0,P$1=Units!$O116),Units!$R116,IF(AND(P$1&gt;=Units!$Q116,MOD(P$1-Units!$Q116,12)=0),IF(AND(Units!$L116=1,P$1=Units!$Q116),IF(Units!$J116&lt;&gt;"",Units!$J116,Mkt!P117),Inputs!$B$15*Mkt!P117+(1-Inputs!$B$15)*MIN(Mkt!P117,O117*(1+Inputs!$B$18))),O117)))</f>
        <v>1828</v>
      </c>
      <c r="Q117" s="11" t="n">
        <f aca="false">IF(Q$1&lt;Units!$P116,0,IF(AND(Units!$K116=0,Q$1=Units!$O116),Units!$R116,IF(AND(Q$1&gt;=Units!$Q116,MOD(Q$1-Units!$Q116,12)=0),IF(AND(Units!$L116=1,Q$1=Units!$Q116),IF(Units!$J116&lt;&gt;"",Units!$J116,Mkt!Q117),Inputs!$B$15*Mkt!Q117+(1-Inputs!$B$15)*MIN(Mkt!Q117,P117*(1+Inputs!$B$18))),P117)))</f>
        <v>1828</v>
      </c>
      <c r="R117" s="11" t="n">
        <f aca="false">IF(R$1&lt;Units!$P116,0,IF(AND(Units!$K116=0,R$1=Units!$O116),Units!$R116,IF(AND(R$1&gt;=Units!$Q116,MOD(R$1-Units!$Q116,12)=0),IF(AND(Units!$L116=1,R$1=Units!$Q116),IF(Units!$J116&lt;&gt;"",Units!$J116,Mkt!R117),Inputs!$B$15*Mkt!R117+(1-Inputs!$B$15)*MIN(Mkt!R117,Q117*(1+Inputs!$B$18))),Q117)))</f>
        <v>1828</v>
      </c>
      <c r="S117" s="11" t="n">
        <f aca="false">IF(S$1&lt;Units!$P116,0,IF(AND(Units!$K116=0,S$1=Units!$O116),Units!$R116,IF(AND(S$1&gt;=Units!$Q116,MOD(S$1-Units!$Q116,12)=0),IF(AND(Units!$L116=1,S$1=Units!$Q116),IF(Units!$J116&lt;&gt;"",Units!$J116,Mkt!S117),Inputs!$B$15*Mkt!S117+(1-Inputs!$B$15)*MIN(Mkt!S117,R117*(1+Inputs!$B$18))),R117)))</f>
        <v>1905.5</v>
      </c>
      <c r="T117" s="11" t="n">
        <f aca="false">IF(T$1&lt;Units!$P116,0,IF(AND(Units!$K116=0,T$1=Units!$O116),Units!$R116,IF(AND(T$1&gt;=Units!$Q116,MOD(T$1-Units!$Q116,12)=0),IF(AND(Units!$L116=1,T$1=Units!$Q116),IF(Units!$J116&lt;&gt;"",Units!$J116,Mkt!T117),Inputs!$B$15*Mkt!T117+(1-Inputs!$B$15)*MIN(Mkt!T117,S117*(1+Inputs!$B$18))),S117)))</f>
        <v>1905.5</v>
      </c>
      <c r="U117" s="11" t="n">
        <f aca="false">IF(U$1&lt;Units!$P116,0,IF(AND(Units!$K116=0,U$1=Units!$O116),Units!$R116,IF(AND(U$1&gt;=Units!$Q116,MOD(U$1-Units!$Q116,12)=0),IF(AND(Units!$L116=1,U$1=Units!$Q116),IF(Units!$J116&lt;&gt;"",Units!$J116,Mkt!U117),Inputs!$B$15*Mkt!U117+(1-Inputs!$B$15)*MIN(Mkt!U117,T117*(1+Inputs!$B$18))),T117)))</f>
        <v>1905.5</v>
      </c>
      <c r="V117" s="11" t="n">
        <f aca="false">IF(V$1&lt;Units!$P116,0,IF(AND(Units!$K116=0,V$1=Units!$O116),Units!$R116,IF(AND(V$1&gt;=Units!$Q116,MOD(V$1-Units!$Q116,12)=0),IF(AND(Units!$L116=1,V$1=Units!$Q116),IF(Units!$J116&lt;&gt;"",Units!$J116,Mkt!V117),Inputs!$B$15*Mkt!V117+(1-Inputs!$B$15)*MIN(Mkt!V117,U117*(1+Inputs!$B$18))),U117)))</f>
        <v>1905.5</v>
      </c>
      <c r="W117" s="11" t="n">
        <f aca="false">IF(W$1&lt;Units!$P116,0,IF(AND(Units!$K116=0,W$1=Units!$O116),Units!$R116,IF(AND(W$1&gt;=Units!$Q116,MOD(W$1-Units!$Q116,12)=0),IF(AND(Units!$L116=1,W$1=Units!$Q116),IF(Units!$J116&lt;&gt;"",Units!$J116,Mkt!W117),Inputs!$B$15*Mkt!W117+(1-Inputs!$B$15)*MIN(Mkt!W117,V117*(1+Inputs!$B$18))),V117)))</f>
        <v>1905.5</v>
      </c>
      <c r="X117" s="11" t="n">
        <f aca="false">IF(X$1&lt;Units!$P116,0,IF(AND(Units!$K116=0,X$1=Units!$O116),Units!$R116,IF(AND(X$1&gt;=Units!$Q116,MOD(X$1-Units!$Q116,12)=0),IF(AND(Units!$L116=1,X$1=Units!$Q116),IF(Units!$J116&lt;&gt;"",Units!$J116,Mkt!X117),Inputs!$B$15*Mkt!X117+(1-Inputs!$B$15)*MIN(Mkt!X117,W117*(1+Inputs!$B$18))),W117)))</f>
        <v>1905.5</v>
      </c>
      <c r="Y117" s="11" t="n">
        <f aca="false">IF(Y$1&lt;Units!$P116,0,IF(AND(Units!$K116=0,Y$1=Units!$O116),Units!$R116,IF(AND(Y$1&gt;=Units!$Q116,MOD(Y$1-Units!$Q116,12)=0),IF(AND(Units!$L116=1,Y$1=Units!$Q116),IF(Units!$J116&lt;&gt;"",Units!$J116,Mkt!Y117),Inputs!$B$15*Mkt!Y117+(1-Inputs!$B$15)*MIN(Mkt!Y117,X117*(1+Inputs!$B$18))),X117)))</f>
        <v>1905.5</v>
      </c>
      <c r="Z117" s="11" t="n">
        <f aca="false">IF(Z$1&lt;Units!$P116,0,IF(AND(Units!$K116=0,Z$1=Units!$O116),Units!$R116,IF(AND(Z$1&gt;=Units!$Q116,MOD(Z$1-Units!$Q116,12)=0),IF(AND(Units!$L116=1,Z$1=Units!$Q116),IF(Units!$J116&lt;&gt;"",Units!$J116,Mkt!Z117),Inputs!$B$15*Mkt!Z117+(1-Inputs!$B$15)*MIN(Mkt!Z117,Y117*(1+Inputs!$B$18))),Y117)))</f>
        <v>1905.5</v>
      </c>
      <c r="AA117" s="11" t="n">
        <f aca="false">IF(AA$1&lt;Units!$P116,0,IF(AND(Units!$K116=0,AA$1=Units!$O116),Units!$R116,IF(AND(AA$1&gt;=Units!$Q116,MOD(AA$1-Units!$Q116,12)=0),IF(AND(Units!$L116=1,AA$1=Units!$Q116),IF(Units!$J116&lt;&gt;"",Units!$J116,Mkt!AA117),Inputs!$B$15*Mkt!AA117+(1-Inputs!$B$15)*MIN(Mkt!AA117,Z117*(1+Inputs!$B$18))),Z117)))</f>
        <v>1905.5</v>
      </c>
      <c r="AB117" s="11" t="n">
        <f aca="false">IF(AB$1&lt;Units!$P116,0,IF(AND(Units!$K116=0,AB$1=Units!$O116),Units!$R116,IF(AND(AB$1&gt;=Units!$Q116,MOD(AB$1-Units!$Q116,12)=0),IF(AND(Units!$L116=1,AB$1=Units!$Q116),IF(Units!$J116&lt;&gt;"",Units!$J116,Mkt!AB117),Inputs!$B$15*Mkt!AB117+(1-Inputs!$B$15)*MIN(Mkt!AB117,AA117*(1+Inputs!$B$18))),AA117)))</f>
        <v>1905.5</v>
      </c>
      <c r="AC117" s="11" t="n">
        <f aca="false">IF(AC$1&lt;Units!$P116,0,IF(AND(Units!$K116=0,AC$1=Units!$O116),Units!$R116,IF(AND(AC$1&gt;=Units!$Q116,MOD(AC$1-Units!$Q116,12)=0),IF(AND(Units!$L116=1,AC$1=Units!$Q116),IF(Units!$J116&lt;&gt;"",Units!$J116,Mkt!AC117),Inputs!$B$15*Mkt!AC117+(1-Inputs!$B$15)*MIN(Mkt!AC117,AB117*(1+Inputs!$B$18))),AB117)))</f>
        <v>1905.5</v>
      </c>
      <c r="AD117" s="11" t="n">
        <f aca="false">IF(AD$1&lt;Units!$P116,0,IF(AND(Units!$K116=0,AD$1=Units!$O116),Units!$R116,IF(AND(AD$1&gt;=Units!$Q116,MOD(AD$1-Units!$Q116,12)=0),IF(AND(Units!$L116=1,AD$1=Units!$Q116),IF(Units!$J116&lt;&gt;"",Units!$J116,Mkt!AD117),Inputs!$B$15*Mkt!AD117+(1-Inputs!$B$15)*MIN(Mkt!AD117,AC117*(1+Inputs!$B$18))),AC117)))</f>
        <v>1905.5</v>
      </c>
      <c r="AE117" s="11" t="n">
        <f aca="false">IF(AE$1&lt;Units!$P116,0,IF(AND(Units!$K116=0,AE$1=Units!$O116),Units!$R116,IF(AND(AE$1&gt;=Units!$Q116,MOD(AE$1-Units!$Q116,12)=0),IF(AND(Units!$L116=1,AE$1=Units!$Q116),IF(Units!$J116&lt;&gt;"",Units!$J116,Mkt!AE117),Inputs!$B$15*Mkt!AE117+(1-Inputs!$B$15)*MIN(Mkt!AE117,AD117*(1+Inputs!$B$18))),AD117)))</f>
        <v>1962.665</v>
      </c>
      <c r="AF117" s="11" t="n">
        <f aca="false">IF(AF$1&lt;Units!$P116,0,IF(AND(Units!$K116=0,AF$1=Units!$O116),Units!$R116,IF(AND(AF$1&gt;=Units!$Q116,MOD(AF$1-Units!$Q116,12)=0),IF(AND(Units!$L116=1,AF$1=Units!$Q116),IF(Units!$J116&lt;&gt;"",Units!$J116,Mkt!AF117),Inputs!$B$15*Mkt!AF117+(1-Inputs!$B$15)*MIN(Mkt!AF117,AE117*(1+Inputs!$B$18))),AE117)))</f>
        <v>1962.665</v>
      </c>
      <c r="AG117" s="11" t="n">
        <f aca="false">IF(AG$1&lt;Units!$P116,0,IF(AND(Units!$K116=0,AG$1=Units!$O116),Units!$R116,IF(AND(AG$1&gt;=Units!$Q116,MOD(AG$1-Units!$Q116,12)=0),IF(AND(Units!$L116=1,AG$1=Units!$Q116),IF(Units!$J116&lt;&gt;"",Units!$J116,Mkt!AG117),Inputs!$B$15*Mkt!AG117+(1-Inputs!$B$15)*MIN(Mkt!AG117,AF117*(1+Inputs!$B$18))),AF117)))</f>
        <v>1962.665</v>
      </c>
      <c r="AH117" s="11" t="n">
        <f aca="false">IF(AH$1&lt;Units!$P116,0,IF(AND(Units!$K116=0,AH$1=Units!$O116),Units!$R116,IF(AND(AH$1&gt;=Units!$Q116,MOD(AH$1-Units!$Q116,12)=0),IF(AND(Units!$L116=1,AH$1=Units!$Q116),IF(Units!$J116&lt;&gt;"",Units!$J116,Mkt!AH117),Inputs!$B$15*Mkt!AH117+(1-Inputs!$B$15)*MIN(Mkt!AH117,AG117*(1+Inputs!$B$18))),AG117)))</f>
        <v>1962.665</v>
      </c>
      <c r="AI117" s="11" t="n">
        <f aca="false">IF(AI$1&lt;Units!$P116,0,IF(AND(Units!$K116=0,AI$1=Units!$O116),Units!$R116,IF(AND(AI$1&gt;=Units!$Q116,MOD(AI$1-Units!$Q116,12)=0),IF(AND(Units!$L116=1,AI$1=Units!$Q116),IF(Units!$J116&lt;&gt;"",Units!$J116,Mkt!AI117),Inputs!$B$15*Mkt!AI117+(1-Inputs!$B$15)*MIN(Mkt!AI117,AH117*(1+Inputs!$B$18))),AH117)))</f>
        <v>1962.665</v>
      </c>
      <c r="AJ117" s="11" t="n">
        <f aca="false">IF(AJ$1&lt;Units!$P116,0,IF(AND(Units!$K116=0,AJ$1=Units!$O116),Units!$R116,IF(AND(AJ$1&gt;=Units!$Q116,MOD(AJ$1-Units!$Q116,12)=0),IF(AND(Units!$L116=1,AJ$1=Units!$Q116),IF(Units!$J116&lt;&gt;"",Units!$J116,Mkt!AJ117),Inputs!$B$15*Mkt!AJ117+(1-Inputs!$B$15)*MIN(Mkt!AJ117,AI117*(1+Inputs!$B$18))),AI117)))</f>
        <v>1962.665</v>
      </c>
      <c r="AK117" s="11" t="n">
        <f aca="false">IF(AK$1&lt;Units!$P116,0,IF(AND(Units!$K116=0,AK$1=Units!$O116),Units!$R116,IF(AND(AK$1&gt;=Units!$Q116,MOD(AK$1-Units!$Q116,12)=0),IF(AND(Units!$L116=1,AK$1=Units!$Q116),IF(Units!$J116&lt;&gt;"",Units!$J116,Mkt!AK117),Inputs!$B$15*Mkt!AK117+(1-Inputs!$B$15)*MIN(Mkt!AK117,AJ117*(1+Inputs!$B$18))),AJ117)))</f>
        <v>1962.665</v>
      </c>
      <c r="AL117" s="11" t="n">
        <f aca="false">IF(AL$1&lt;Units!$P116,0,IF(AND(Units!$K116=0,AL$1=Units!$O116),Units!$R116,IF(AND(AL$1&gt;=Units!$Q116,MOD(AL$1-Units!$Q116,12)=0),IF(AND(Units!$L116=1,AL$1=Units!$Q116),IF(Units!$J116&lt;&gt;"",Units!$J116,Mkt!AL117),Inputs!$B$15*Mkt!AL117+(1-Inputs!$B$15)*MIN(Mkt!AL117,AK117*(1+Inputs!$B$18))),AK117)))</f>
        <v>1962.665</v>
      </c>
      <c r="AM117" s="11" t="n">
        <f aca="false">IF(AM$1&lt;Units!$P116,0,IF(AND(Units!$K116=0,AM$1=Units!$O116),Units!$R116,IF(AND(AM$1&gt;=Units!$Q116,MOD(AM$1-Units!$Q116,12)=0),IF(AND(Units!$L116=1,AM$1=Units!$Q116),IF(Units!$J116&lt;&gt;"",Units!$J116,Mkt!AM117),Inputs!$B$15*Mkt!AM117+(1-Inputs!$B$15)*MIN(Mkt!AM117,AL117*(1+Inputs!$B$18))),AL117)))</f>
        <v>1962.665</v>
      </c>
      <c r="AN117" s="11" t="n">
        <f aca="false">IF(AN$1&lt;Units!$P116,0,IF(AND(Units!$K116=0,AN$1=Units!$O116),Units!$R116,IF(AND(AN$1&gt;=Units!$Q116,MOD(AN$1-Units!$Q116,12)=0),IF(AND(Units!$L116=1,AN$1=Units!$Q116),IF(Units!$J116&lt;&gt;"",Units!$J116,Mkt!AN117),Inputs!$B$15*Mkt!AN117+(1-Inputs!$B$15)*MIN(Mkt!AN117,AM117*(1+Inputs!$B$18))),AM117)))</f>
        <v>1962.665</v>
      </c>
      <c r="AO117" s="11" t="n">
        <f aca="false">IF(AO$1&lt;Units!$P116,0,IF(AND(Units!$K116=0,AO$1=Units!$O116),Units!$R116,IF(AND(AO$1&gt;=Units!$Q116,MOD(AO$1-Units!$Q116,12)=0),IF(AND(Units!$L116=1,AO$1=Units!$Q116),IF(Units!$J116&lt;&gt;"",Units!$J116,Mkt!AO117),Inputs!$B$15*Mkt!AO117+(1-Inputs!$B$15)*MIN(Mkt!AO117,AN117*(1+Inputs!$B$18))),AN117)))</f>
        <v>1962.665</v>
      </c>
      <c r="AP117" s="11" t="n">
        <f aca="false">IF(AP$1&lt;Units!$P116,0,IF(AND(Units!$K116=0,AP$1=Units!$O116),Units!$R116,IF(AND(AP$1&gt;=Units!$Q116,MOD(AP$1-Units!$Q116,12)=0),IF(AND(Units!$L116=1,AP$1=Units!$Q116),IF(Units!$J116&lt;&gt;"",Units!$J116,Mkt!AP117),Inputs!$B$15*Mkt!AP117+(1-Inputs!$B$15)*MIN(Mkt!AP117,AO117*(1+Inputs!$B$18))),AO117)))</f>
        <v>1962.665</v>
      </c>
      <c r="AQ117" s="11" t="n">
        <f aca="false">IF(AQ$1&lt;Units!$P116,0,IF(AND(Units!$K116=0,AQ$1=Units!$O116),Units!$R116,IF(AND(AQ$1&gt;=Units!$Q116,MOD(AQ$1-Units!$Q116,12)=0),IF(AND(Units!$L116=1,AQ$1=Units!$Q116),IF(Units!$J116&lt;&gt;"",Units!$J116,Mkt!AQ117),Inputs!$B$15*Mkt!AQ117+(1-Inputs!$B$15)*MIN(Mkt!AQ117,AP117*(1+Inputs!$B$18))),AP117)))</f>
        <v>2021.54495</v>
      </c>
      <c r="AR117" s="11" t="n">
        <f aca="false">IF(AR$1&lt;Units!$P116,0,IF(AND(Units!$K116=0,AR$1=Units!$O116),Units!$R116,IF(AND(AR$1&gt;=Units!$Q116,MOD(AR$1-Units!$Q116,12)=0),IF(AND(Units!$L116=1,AR$1=Units!$Q116),IF(Units!$J116&lt;&gt;"",Units!$J116,Mkt!AR117),Inputs!$B$15*Mkt!AR117+(1-Inputs!$B$15)*MIN(Mkt!AR117,AQ117*(1+Inputs!$B$18))),AQ117)))</f>
        <v>2021.54495</v>
      </c>
      <c r="AS117" s="11" t="n">
        <f aca="false">IF(AS$1&lt;Units!$P116,0,IF(AND(Units!$K116=0,AS$1=Units!$O116),Units!$R116,IF(AND(AS$1&gt;=Units!$Q116,MOD(AS$1-Units!$Q116,12)=0),IF(AND(Units!$L116=1,AS$1=Units!$Q116),IF(Units!$J116&lt;&gt;"",Units!$J116,Mkt!AS117),Inputs!$B$15*Mkt!AS117+(1-Inputs!$B$15)*MIN(Mkt!AS117,AR117*(1+Inputs!$B$18))),AR117)))</f>
        <v>2021.54495</v>
      </c>
      <c r="AT117" s="11" t="n">
        <f aca="false">IF(AT$1&lt;Units!$P116,0,IF(AND(Units!$K116=0,AT$1=Units!$O116),Units!$R116,IF(AND(AT$1&gt;=Units!$Q116,MOD(AT$1-Units!$Q116,12)=0),IF(AND(Units!$L116=1,AT$1=Units!$Q116),IF(Units!$J116&lt;&gt;"",Units!$J116,Mkt!AT117),Inputs!$B$15*Mkt!AT117+(1-Inputs!$B$15)*MIN(Mkt!AT117,AS117*(1+Inputs!$B$18))),AS117)))</f>
        <v>2021.54495</v>
      </c>
      <c r="AU117" s="11" t="n">
        <f aca="false">IF(AU$1&lt;Units!$P116,0,IF(AND(Units!$K116=0,AU$1=Units!$O116),Units!$R116,IF(AND(AU$1&gt;=Units!$Q116,MOD(AU$1-Units!$Q116,12)=0),IF(AND(Units!$L116=1,AU$1=Units!$Q116),IF(Units!$J116&lt;&gt;"",Units!$J116,Mkt!AU117),Inputs!$B$15*Mkt!AU117+(1-Inputs!$B$15)*MIN(Mkt!AU117,AT117*(1+Inputs!$B$18))),AT117)))</f>
        <v>2021.54495</v>
      </c>
      <c r="AV117" s="11" t="n">
        <f aca="false">IF(AV$1&lt;Units!$P116,0,IF(AND(Units!$K116=0,AV$1=Units!$O116),Units!$R116,IF(AND(AV$1&gt;=Units!$Q116,MOD(AV$1-Units!$Q116,12)=0),IF(AND(Units!$L116=1,AV$1=Units!$Q116),IF(Units!$J116&lt;&gt;"",Units!$J116,Mkt!AV117),Inputs!$B$15*Mkt!AV117+(1-Inputs!$B$15)*MIN(Mkt!AV117,AU117*(1+Inputs!$B$18))),AU117)))</f>
        <v>2021.54495</v>
      </c>
      <c r="AW117" s="11" t="n">
        <f aca="false">IF(AW$1&lt;Units!$P116,0,IF(AND(Units!$K116=0,AW$1=Units!$O116),Units!$R116,IF(AND(AW$1&gt;=Units!$Q116,MOD(AW$1-Units!$Q116,12)=0),IF(AND(Units!$L116=1,AW$1=Units!$Q116),IF(Units!$J116&lt;&gt;"",Units!$J116,Mkt!AW117),Inputs!$B$15*Mkt!AW117+(1-Inputs!$B$15)*MIN(Mkt!AW117,AV117*(1+Inputs!$B$18))),AV117)))</f>
        <v>2021.54495</v>
      </c>
      <c r="AX117" s="11" t="n">
        <f aca="false">IF(AX$1&lt;Units!$P116,0,IF(AND(Units!$K116=0,AX$1=Units!$O116),Units!$R116,IF(AND(AX$1&gt;=Units!$Q116,MOD(AX$1-Units!$Q116,12)=0),IF(AND(Units!$L116=1,AX$1=Units!$Q116),IF(Units!$J116&lt;&gt;"",Units!$J116,Mkt!AX117),Inputs!$B$15*Mkt!AX117+(1-Inputs!$B$15)*MIN(Mkt!AX117,AW117*(1+Inputs!$B$18))),AW117)))</f>
        <v>2021.54495</v>
      </c>
      <c r="AY117" s="11" t="n">
        <f aca="false">IF(AY$1&lt;Units!$P116,0,IF(AND(Units!$K116=0,AY$1=Units!$O116),Units!$R116,IF(AND(AY$1&gt;=Units!$Q116,MOD(AY$1-Units!$Q116,12)=0),IF(AND(Units!$L116=1,AY$1=Units!$Q116),IF(Units!$J116&lt;&gt;"",Units!$J116,Mkt!AY117),Inputs!$B$15*Mkt!AY117+(1-Inputs!$B$15)*MIN(Mkt!AY117,AX117*(1+Inputs!$B$18))),AX117)))</f>
        <v>2021.54495</v>
      </c>
      <c r="AZ117" s="11" t="n">
        <f aca="false">IF(AZ$1&lt;Units!$P116,0,IF(AND(Units!$K116=0,AZ$1=Units!$O116),Units!$R116,IF(AND(AZ$1&gt;=Units!$Q116,MOD(AZ$1-Units!$Q116,12)=0),IF(AND(Units!$L116=1,AZ$1=Units!$Q116),IF(Units!$J116&lt;&gt;"",Units!$J116,Mkt!AZ117),Inputs!$B$15*Mkt!AZ117+(1-Inputs!$B$15)*MIN(Mkt!AZ117,AY117*(1+Inputs!$B$18))),AY117)))</f>
        <v>2021.54495</v>
      </c>
      <c r="BA117" s="11" t="n">
        <f aca="false">IF(BA$1&lt;Units!$P116,0,IF(AND(Units!$K116=0,BA$1=Units!$O116),Units!$R116,IF(AND(BA$1&gt;=Units!$Q116,MOD(BA$1-Units!$Q116,12)=0),IF(AND(Units!$L116=1,BA$1=Units!$Q116),IF(Units!$J116&lt;&gt;"",Units!$J116,Mkt!BA117),Inputs!$B$15*Mkt!BA117+(1-Inputs!$B$15)*MIN(Mkt!BA117,AZ117*(1+Inputs!$B$18))),AZ117)))</f>
        <v>2021.54495</v>
      </c>
      <c r="BB117" s="11" t="n">
        <f aca="false">IF(BB$1&lt;Units!$P116,0,IF(AND(Units!$K116=0,BB$1=Units!$O116),Units!$R116,IF(AND(BB$1&gt;=Units!$Q116,MOD(BB$1-Units!$Q116,12)=0),IF(AND(Units!$L116=1,BB$1=Units!$Q116),IF(Units!$J116&lt;&gt;"",Units!$J116,Mkt!BB117),Inputs!$B$15*Mkt!BB117+(1-Inputs!$B$15)*MIN(Mkt!BB117,BA117*(1+Inputs!$B$18))),BA117)))</f>
        <v>2021.54495</v>
      </c>
      <c r="BC117" s="11" t="n">
        <f aca="false">IF(BC$1&lt;Units!$P116,0,IF(AND(Units!$K116=0,BC$1=Units!$O116),Units!$R116,IF(AND(BC$1&gt;=Units!$Q116,MOD(BC$1-Units!$Q116,12)=0),IF(AND(Units!$L116=1,BC$1=Units!$Q116),IF(Units!$J116&lt;&gt;"",Units!$J116,Mkt!BC117),Inputs!$B$15*Mkt!BC117+(1-Inputs!$B$15)*MIN(Mkt!BC117,BB117*(1+Inputs!$B$18))),BB117)))</f>
        <v>2082.1912985</v>
      </c>
      <c r="BD117" s="11" t="n">
        <f aca="false">IF(BD$1&lt;Units!$P116,0,IF(AND(Units!$K116=0,BD$1=Units!$O116),Units!$R116,IF(AND(BD$1&gt;=Units!$Q116,MOD(BD$1-Units!$Q116,12)=0),IF(AND(Units!$L116=1,BD$1=Units!$Q116),IF(Units!$J116&lt;&gt;"",Units!$J116,Mkt!BD117),Inputs!$B$15*Mkt!BD117+(1-Inputs!$B$15)*MIN(Mkt!BD117,BC117*(1+Inputs!$B$18))),BC117)))</f>
        <v>2082.1912985</v>
      </c>
      <c r="BE117" s="11" t="n">
        <f aca="false">IF(BE$1&lt;Units!$P116,0,IF(AND(Units!$K116=0,BE$1=Units!$O116),Units!$R116,IF(AND(BE$1&gt;=Units!$Q116,MOD(BE$1-Units!$Q116,12)=0),IF(AND(Units!$L116=1,BE$1=Units!$Q116),IF(Units!$J116&lt;&gt;"",Units!$J116,Mkt!BE117),Inputs!$B$15*Mkt!BE117+(1-Inputs!$B$15)*MIN(Mkt!BE117,BD117*(1+Inputs!$B$18))),BD117)))</f>
        <v>2082.1912985</v>
      </c>
      <c r="BF117" s="11" t="n">
        <f aca="false">IF(BF$1&lt;Units!$P116,0,IF(AND(Units!$K116=0,BF$1=Units!$O116),Units!$R116,IF(AND(BF$1&gt;=Units!$Q116,MOD(BF$1-Units!$Q116,12)=0),IF(AND(Units!$L116=1,BF$1=Units!$Q116),IF(Units!$J116&lt;&gt;"",Units!$J116,Mkt!BF117),Inputs!$B$15*Mkt!BF117+(1-Inputs!$B$15)*MIN(Mkt!BF117,BE117*(1+Inputs!$B$18))),BE117)))</f>
        <v>2082.1912985</v>
      </c>
      <c r="BG117" s="11" t="n">
        <f aca="false">IF(BG$1&lt;Units!$P116,0,IF(AND(Units!$K116=0,BG$1=Units!$O116),Units!$R116,IF(AND(BG$1&gt;=Units!$Q116,MOD(BG$1-Units!$Q116,12)=0),IF(AND(Units!$L116=1,BG$1=Units!$Q116),IF(Units!$J116&lt;&gt;"",Units!$J116,Mkt!BG117),Inputs!$B$15*Mkt!BG117+(1-Inputs!$B$15)*MIN(Mkt!BG117,BF117*(1+Inputs!$B$18))),BF117)))</f>
        <v>2082.1912985</v>
      </c>
      <c r="BH117" s="11" t="n">
        <f aca="false">IF(BH$1&lt;Units!$P116,0,IF(AND(Units!$K116=0,BH$1=Units!$O116),Units!$R116,IF(AND(BH$1&gt;=Units!$Q116,MOD(BH$1-Units!$Q116,12)=0),IF(AND(Units!$L116=1,BH$1=Units!$Q116),IF(Units!$J116&lt;&gt;"",Units!$J116,Mkt!BH117),Inputs!$B$15*Mkt!BH117+(1-Inputs!$B$15)*MIN(Mkt!BH117,BG117*(1+Inputs!$B$18))),BG117)))</f>
        <v>2082.1912985</v>
      </c>
      <c r="BI117" s="11" t="n">
        <f aca="false">IF(BI$1&lt;Units!$P116,0,IF(AND(Units!$K116=0,BI$1=Units!$O116),Units!$R116,IF(AND(BI$1&gt;=Units!$Q116,MOD(BI$1-Units!$Q116,12)=0),IF(AND(Units!$L116=1,BI$1=Units!$Q116),IF(Units!$J116&lt;&gt;"",Units!$J116,Mkt!BI117),Inputs!$B$15*Mkt!BI117+(1-Inputs!$B$15)*MIN(Mkt!BI117,BH117*(1+Inputs!$B$18))),BH117)))</f>
        <v>2082.1912985</v>
      </c>
      <c r="BJ117" s="11" t="n">
        <f aca="false">IF(BJ$1&lt;Units!$P116,0,IF(AND(Units!$K116=0,BJ$1=Units!$O116),Units!$R116,IF(AND(BJ$1&gt;=Units!$Q116,MOD(BJ$1-Units!$Q116,12)=0),IF(AND(Units!$L116=1,BJ$1=Units!$Q116),IF(Units!$J116&lt;&gt;"",Units!$J116,Mkt!BJ117),Inputs!$B$15*Mkt!BJ117+(1-Inputs!$B$15)*MIN(Mkt!BJ117,BI117*(1+Inputs!$B$18))),BI117)))</f>
        <v>2082.1912985</v>
      </c>
      <c r="BK117" s="11" t="n">
        <f aca="false">IF(BK$1&lt;Units!$P116,0,IF(AND(Units!$K116=0,BK$1=Units!$O116),Units!$R116,IF(AND(BK$1&gt;=Units!$Q116,MOD(BK$1-Units!$Q116,12)=0),IF(AND(Units!$L116=1,BK$1=Units!$Q116),IF(Units!$J116&lt;&gt;"",Units!$J116,Mkt!BK117),Inputs!$B$15*Mkt!BK117+(1-Inputs!$B$15)*MIN(Mkt!BK117,BJ117*(1+Inputs!$B$18))),BJ117)))</f>
        <v>2082.1912985</v>
      </c>
      <c r="BL117" s="11" t="n">
        <f aca="false">IF(BL$1&lt;Units!$P116,0,IF(AND(Units!$K116=0,BL$1=Units!$O116),Units!$R116,IF(AND(BL$1&gt;=Units!$Q116,MOD(BL$1-Units!$Q116,12)=0),IF(AND(Units!$L116=1,BL$1=Units!$Q116),IF(Units!$J116&lt;&gt;"",Units!$J116,Mkt!BL117),Inputs!$B$15*Mkt!BL117+(1-Inputs!$B$15)*MIN(Mkt!BL117,BK117*(1+Inputs!$B$18))),BK117)))</f>
        <v>2082.1912985</v>
      </c>
      <c r="BM117" s="11" t="n">
        <f aca="false">IF(BM$1&lt;Units!$P116,0,IF(AND(Units!$K116=0,BM$1=Units!$O116),Units!$R116,IF(AND(BM$1&gt;=Units!$Q116,MOD(BM$1-Units!$Q116,12)=0),IF(AND(Units!$L116=1,BM$1=Units!$Q116),IF(Units!$J116&lt;&gt;"",Units!$J116,Mkt!BM117),Inputs!$B$15*Mkt!BM117+(1-Inputs!$B$15)*MIN(Mkt!BM117,BL117*(1+Inputs!$B$18))),BL117)))</f>
        <v>2082.1912985</v>
      </c>
      <c r="BN117" s="11" t="n">
        <f aca="false">IF(BN$1&lt;Units!$P116,0,IF(AND(Units!$K116=0,BN$1=Units!$O116),Units!$R116,IF(AND(BN$1&gt;=Units!$Q116,MOD(BN$1-Units!$Q116,12)=0),IF(AND(Units!$L116=1,BN$1=Units!$Q116),IF(Units!$J116&lt;&gt;"",Units!$J116,Mkt!BN117),Inputs!$B$15*Mkt!BN117+(1-Inputs!$B$15)*MIN(Mkt!BN117,BM117*(1+Inputs!$B$18))),BM117)))</f>
        <v>2082.1912985</v>
      </c>
      <c r="BO117" s="11" t="n">
        <f aca="false">IF(BO$1&lt;Units!$P116,0,IF(AND(Units!$K116=0,BO$1=Units!$O116),Units!$R116,IF(AND(BO$1&gt;=Units!$Q116,MOD(BO$1-Units!$Q116,12)=0),IF(AND(Units!$L116=1,BO$1=Units!$Q116),IF(Units!$J116&lt;&gt;"",Units!$J116,Mkt!BO117),Inputs!$B$15*Mkt!BO117+(1-Inputs!$B$15)*MIN(Mkt!BO117,BN117*(1+Inputs!$B$18))),BN117)))</f>
        <v>2144.657037455</v>
      </c>
      <c r="BP117" s="11" t="n">
        <f aca="false">IF(BP$1&lt;Units!$P116,0,IF(AND(Units!$K116=0,BP$1=Units!$O116),Units!$R116,IF(AND(BP$1&gt;=Units!$Q116,MOD(BP$1-Units!$Q116,12)=0),IF(AND(Units!$L116=1,BP$1=Units!$Q116),IF(Units!$J116&lt;&gt;"",Units!$J116,Mkt!BP117),Inputs!$B$15*Mkt!BP117+(1-Inputs!$B$15)*MIN(Mkt!BP117,BO117*(1+Inputs!$B$18))),BO117)))</f>
        <v>2144.657037455</v>
      </c>
      <c r="BQ117" s="11" t="n">
        <f aca="false">IF(BQ$1&lt;Units!$P116,0,IF(AND(Units!$K116=0,BQ$1=Units!$O116),Units!$R116,IF(AND(BQ$1&gt;=Units!$Q116,MOD(BQ$1-Units!$Q116,12)=0),IF(AND(Units!$L116=1,BQ$1=Units!$Q116),IF(Units!$J116&lt;&gt;"",Units!$J116,Mkt!BQ117),Inputs!$B$15*Mkt!BQ117+(1-Inputs!$B$15)*MIN(Mkt!BQ117,BP117*(1+Inputs!$B$18))),BP117)))</f>
        <v>2144.657037455</v>
      </c>
      <c r="BR117" s="11" t="n">
        <f aca="false">IF(BR$1&lt;Units!$P116,0,IF(AND(Units!$K116=0,BR$1=Units!$O116),Units!$R116,IF(AND(BR$1&gt;=Units!$Q116,MOD(BR$1-Units!$Q116,12)=0),IF(AND(Units!$L116=1,BR$1=Units!$Q116),IF(Units!$J116&lt;&gt;"",Units!$J116,Mkt!BR117),Inputs!$B$15*Mkt!BR117+(1-Inputs!$B$15)*MIN(Mkt!BR117,BQ117*(1+Inputs!$B$18))),BQ117)))</f>
        <v>2144.657037455</v>
      </c>
      <c r="BS117" s="11" t="n">
        <f aca="false">IF(BS$1&lt;Units!$P116,0,IF(AND(Units!$K116=0,BS$1=Units!$O116),Units!$R116,IF(AND(BS$1&gt;=Units!$Q116,MOD(BS$1-Units!$Q116,12)=0),IF(AND(Units!$L116=1,BS$1=Units!$Q116),IF(Units!$J116&lt;&gt;"",Units!$J116,Mkt!BS117),Inputs!$B$15*Mkt!BS117+(1-Inputs!$B$15)*MIN(Mkt!BS117,BR117*(1+Inputs!$B$18))),BR117)))</f>
        <v>2144.657037455</v>
      </c>
      <c r="BT117" s="11" t="n">
        <f aca="false">IF(BT$1&lt;Units!$P116,0,IF(AND(Units!$K116=0,BT$1=Units!$O116),Units!$R116,IF(AND(BT$1&gt;=Units!$Q116,MOD(BT$1-Units!$Q116,12)=0),IF(AND(Units!$L116=1,BT$1=Units!$Q116),IF(Units!$J116&lt;&gt;"",Units!$J116,Mkt!BT117),Inputs!$B$15*Mkt!BT117+(1-Inputs!$B$15)*MIN(Mkt!BT117,BS117*(1+Inputs!$B$18))),BS117)))</f>
        <v>2144.657037455</v>
      </c>
      <c r="BU117" s="11" t="n">
        <f aca="false">IF(BU$1&lt;Units!$P116,0,IF(AND(Units!$K116=0,BU$1=Units!$O116),Units!$R116,IF(AND(BU$1&gt;=Units!$Q116,MOD(BU$1-Units!$Q116,12)=0),IF(AND(Units!$L116=1,BU$1=Units!$Q116),IF(Units!$J116&lt;&gt;"",Units!$J116,Mkt!BU117),Inputs!$B$15*Mkt!BU117+(1-Inputs!$B$15)*MIN(Mkt!BU117,BT117*(1+Inputs!$B$18))),BT117)))</f>
        <v>2144.657037455</v>
      </c>
      <c r="BV117" s="11" t="n">
        <f aca="false">IF(BV$1&lt;Units!$P116,0,IF(AND(Units!$K116=0,BV$1=Units!$O116),Units!$R116,IF(AND(BV$1&gt;=Units!$Q116,MOD(BV$1-Units!$Q116,12)=0),IF(AND(Units!$L116=1,BV$1=Units!$Q116),IF(Units!$J116&lt;&gt;"",Units!$J116,Mkt!BV117),Inputs!$B$15*Mkt!BV117+(1-Inputs!$B$15)*MIN(Mkt!BV117,BU117*(1+Inputs!$B$18))),BU117)))</f>
        <v>2144.657037455</v>
      </c>
      <c r="BW117" s="11" t="n">
        <f aca="false">IF(BW$1&lt;Units!$P116,0,IF(AND(Units!$K116=0,BW$1=Units!$O116),Units!$R116,IF(AND(BW$1&gt;=Units!$Q116,MOD(BW$1-Units!$Q116,12)=0),IF(AND(Units!$L116=1,BW$1=Units!$Q116),IF(Units!$J116&lt;&gt;"",Units!$J116,Mkt!BW117),Inputs!$B$15*Mkt!BW117+(1-Inputs!$B$15)*MIN(Mkt!BW117,BV117*(1+Inputs!$B$18))),BV117)))</f>
        <v>2144.657037455</v>
      </c>
      <c r="BX117" s="11" t="n">
        <f aca="false">IF(BX$1&lt;Units!$P116,0,IF(AND(Units!$K116=0,BX$1=Units!$O116),Units!$R116,IF(AND(BX$1&gt;=Units!$Q116,MOD(BX$1-Units!$Q116,12)=0),IF(AND(Units!$L116=1,BX$1=Units!$Q116),IF(Units!$J116&lt;&gt;"",Units!$J116,Mkt!BX117),Inputs!$B$15*Mkt!BX117+(1-Inputs!$B$15)*MIN(Mkt!BX117,BW117*(1+Inputs!$B$18))),BW117)))</f>
        <v>2144.657037455</v>
      </c>
      <c r="BY117" s="11" t="n">
        <f aca="false">IF(BY$1&lt;Units!$P116,0,IF(AND(Units!$K116=0,BY$1=Units!$O116),Units!$R116,IF(AND(BY$1&gt;=Units!$Q116,MOD(BY$1-Units!$Q116,12)=0),IF(AND(Units!$L116=1,BY$1=Units!$Q116),IF(Units!$J116&lt;&gt;"",Units!$J116,Mkt!BY117),Inputs!$B$15*Mkt!BY117+(1-Inputs!$B$15)*MIN(Mkt!BY117,BX117*(1+Inputs!$B$18))),BX117)))</f>
        <v>2144.657037455</v>
      </c>
      <c r="BZ117" s="11" t="n">
        <f aca="false">IF(BZ$1&lt;Units!$P116,0,IF(AND(Units!$K116=0,BZ$1=Units!$O116),Units!$R116,IF(AND(BZ$1&gt;=Units!$Q116,MOD(BZ$1-Units!$Q116,12)=0),IF(AND(Units!$L116=1,BZ$1=Units!$Q116),IF(Units!$J116&lt;&gt;"",Units!$J116,Mkt!BZ117),Inputs!$B$15*Mkt!BZ117+(1-Inputs!$B$15)*MIN(Mkt!BZ117,BY117*(1+Inputs!$B$18))),BY117)))</f>
        <v>2144.657037455</v>
      </c>
      <c r="CA117" s="11" t="n">
        <f aca="false">IF(CA$1&lt;Units!$P116,0,IF(AND(Units!$K116=0,CA$1=Units!$O116),Units!$R116,IF(AND(CA$1&gt;=Units!$Q116,MOD(CA$1-Units!$Q116,12)=0),IF(AND(Units!$L116=1,CA$1=Units!$Q116),IF(Units!$J116&lt;&gt;"",Units!$J116,Mkt!CA117),Inputs!$B$15*Mkt!CA117+(1-Inputs!$B$15)*MIN(Mkt!CA117,BZ117*(1+Inputs!$B$18))),BZ117)))</f>
        <v>2208.99674857865</v>
      </c>
      <c r="CB117" s="11" t="n">
        <f aca="false">IF(CB$1&lt;Units!$P116,0,IF(AND(Units!$K116=0,CB$1=Units!$O116),Units!$R116,IF(AND(CB$1&gt;=Units!$Q116,MOD(CB$1-Units!$Q116,12)=0),IF(AND(Units!$L116=1,CB$1=Units!$Q116),IF(Units!$J116&lt;&gt;"",Units!$J116,Mkt!CB117),Inputs!$B$15*Mkt!CB117+(1-Inputs!$B$15)*MIN(Mkt!CB117,CA117*(1+Inputs!$B$18))),CA117)))</f>
        <v>2208.99674857865</v>
      </c>
      <c r="CC117" s="11" t="n">
        <f aca="false">IF(CC$1&lt;Units!$P116,0,IF(AND(Units!$K116=0,CC$1=Units!$O116),Units!$R116,IF(AND(CC$1&gt;=Units!$Q116,MOD(CC$1-Units!$Q116,12)=0),IF(AND(Units!$L116=1,CC$1=Units!$Q116),IF(Units!$J116&lt;&gt;"",Units!$J116,Mkt!CC117),Inputs!$B$15*Mkt!CC117+(1-Inputs!$B$15)*MIN(Mkt!CC117,CB117*(1+Inputs!$B$18))),CB117)))</f>
        <v>2208.99674857865</v>
      </c>
      <c r="CD117" s="11" t="n">
        <f aca="false">IF(CD$1&lt;Units!$P116,0,IF(AND(Units!$K116=0,CD$1=Units!$O116),Units!$R116,IF(AND(CD$1&gt;=Units!$Q116,MOD(CD$1-Units!$Q116,12)=0),IF(AND(Units!$L116=1,CD$1=Units!$Q116),IF(Units!$J116&lt;&gt;"",Units!$J116,Mkt!CD117),Inputs!$B$15*Mkt!CD117+(1-Inputs!$B$15)*MIN(Mkt!CD117,CC117*(1+Inputs!$B$18))),CC117)))</f>
        <v>2208.99674857865</v>
      </c>
      <c r="CE117" s="11" t="n">
        <f aca="false">IF(CE$1&lt;Units!$P116,0,IF(AND(Units!$K116=0,CE$1=Units!$O116),Units!$R116,IF(AND(CE$1&gt;=Units!$Q116,MOD(CE$1-Units!$Q116,12)=0),IF(AND(Units!$L116=1,CE$1=Units!$Q116),IF(Units!$J116&lt;&gt;"",Units!$J116,Mkt!CE117),Inputs!$B$15*Mkt!CE117+(1-Inputs!$B$15)*MIN(Mkt!CE117,CD117*(1+Inputs!$B$18))),CD117)))</f>
        <v>2208.99674857865</v>
      </c>
      <c r="CF117" s="11" t="n">
        <f aca="false">IF(CF$1&lt;Units!$P116,0,IF(AND(Units!$K116=0,CF$1=Units!$O116),Units!$R116,IF(AND(CF$1&gt;=Units!$Q116,MOD(CF$1-Units!$Q116,12)=0),IF(AND(Units!$L116=1,CF$1=Units!$Q116),IF(Units!$J116&lt;&gt;"",Units!$J116,Mkt!CF117),Inputs!$B$15*Mkt!CF117+(1-Inputs!$B$15)*MIN(Mkt!CF117,CE117*(1+Inputs!$B$18))),CE117)))</f>
        <v>2208.99674857865</v>
      </c>
      <c r="CG117" s="11" t="n">
        <f aca="false">IF(CG$1&lt;Units!$P116,0,IF(AND(Units!$K116=0,CG$1=Units!$O116),Units!$R116,IF(AND(CG$1&gt;=Units!$Q116,MOD(CG$1-Units!$Q116,12)=0),IF(AND(Units!$L116=1,CG$1=Units!$Q116),IF(Units!$J116&lt;&gt;"",Units!$J116,Mkt!CG117),Inputs!$B$15*Mkt!CG117+(1-Inputs!$B$15)*MIN(Mkt!CG117,CF117*(1+Inputs!$B$18))),CF117)))</f>
        <v>2208.99674857865</v>
      </c>
      <c r="CH117" s="11" t="n">
        <f aca="false">IF(CH$1&lt;Units!$P116,0,IF(AND(Units!$K116=0,CH$1=Units!$O116),Units!$R116,IF(AND(CH$1&gt;=Units!$Q116,MOD(CH$1-Units!$Q116,12)=0),IF(AND(Units!$L116=1,CH$1=Units!$Q116),IF(Units!$J116&lt;&gt;"",Units!$J116,Mkt!CH117),Inputs!$B$15*Mkt!CH117+(1-Inputs!$B$15)*MIN(Mkt!CH117,CG117*(1+Inputs!$B$18))),CG117)))</f>
        <v>2208.99674857865</v>
      </c>
      <c r="CI117" s="11" t="n">
        <f aca="false">IF(CI$1&lt;Units!$P116,0,IF(AND(Units!$K116=0,CI$1=Units!$O116),Units!$R116,IF(AND(CI$1&gt;=Units!$Q116,MOD(CI$1-Units!$Q116,12)=0),IF(AND(Units!$L116=1,CI$1=Units!$Q116),IF(Units!$J116&lt;&gt;"",Units!$J116,Mkt!CI117),Inputs!$B$15*Mkt!CI117+(1-Inputs!$B$15)*MIN(Mkt!CI117,CH117*(1+Inputs!$B$18))),CH117)))</f>
        <v>2208.99674857865</v>
      </c>
      <c r="CJ117" s="11" t="n">
        <f aca="false">IF(CJ$1&lt;Units!$P116,0,IF(AND(Units!$K116=0,CJ$1=Units!$O116),Units!$R116,IF(AND(CJ$1&gt;=Units!$Q116,MOD(CJ$1-Units!$Q116,12)=0),IF(AND(Units!$L116=1,CJ$1=Units!$Q116),IF(Units!$J116&lt;&gt;"",Units!$J116,Mkt!CJ117),Inputs!$B$15*Mkt!CJ117+(1-Inputs!$B$15)*MIN(Mkt!CJ117,CI117*(1+Inputs!$B$18))),CI117)))</f>
        <v>2208.99674857865</v>
      </c>
      <c r="CK117" s="11" t="n">
        <f aca="false">IF(CK$1&lt;Units!$P116,0,IF(AND(Units!$K116=0,CK$1=Units!$O116),Units!$R116,IF(AND(CK$1&gt;=Units!$Q116,MOD(CK$1-Units!$Q116,12)=0),IF(AND(Units!$L116=1,CK$1=Units!$Q116),IF(Units!$J116&lt;&gt;"",Units!$J116,Mkt!CK117),Inputs!$B$15*Mkt!CK117+(1-Inputs!$B$15)*MIN(Mkt!CK117,CJ117*(1+Inputs!$B$18))),CJ117)))</f>
        <v>2208.99674857865</v>
      </c>
      <c r="CL117" s="11" t="n">
        <f aca="false">IF(CL$1&lt;Units!$P116,0,IF(AND(Units!$K116=0,CL$1=Units!$O116),Units!$R116,IF(AND(CL$1&gt;=Units!$Q116,MOD(CL$1-Units!$Q116,12)=0),IF(AND(Units!$L116=1,CL$1=Units!$Q116),IF(Units!$J116&lt;&gt;"",Units!$J116,Mkt!CL117),Inputs!$B$15*Mkt!CL117+(1-Inputs!$B$15)*MIN(Mkt!CL117,CK117*(1+Inputs!$B$18))),CK117)))</f>
        <v>2208.99674857865</v>
      </c>
      <c r="CM117" s="11" t="n">
        <f aca="false">IF(CM$1&lt;Units!$P116,0,IF(AND(Units!$K116=0,CM$1=Units!$O116),Units!$R116,IF(AND(CM$1&gt;=Units!$Q116,MOD(CM$1-Units!$Q116,12)=0),IF(AND(Units!$L116=1,CM$1=Units!$Q116),IF(Units!$J116&lt;&gt;"",Units!$J116,Mkt!CM117),Inputs!$B$15*Mkt!CM117+(1-Inputs!$B$15)*MIN(Mkt!CM117,CL117*(1+Inputs!$B$18))),CL117)))</f>
        <v>2275.26665103601</v>
      </c>
      <c r="CN117" s="11" t="n">
        <f aca="false">IF(CN$1&lt;Units!$P116,0,IF(AND(Units!$K116=0,CN$1=Units!$O116),Units!$R116,IF(AND(CN$1&gt;=Units!$Q116,MOD(CN$1-Units!$Q116,12)=0),IF(AND(Units!$L116=1,CN$1=Units!$Q116),IF(Units!$J116&lt;&gt;"",Units!$J116,Mkt!CN117),Inputs!$B$15*Mkt!CN117+(1-Inputs!$B$15)*MIN(Mkt!CN117,CM117*(1+Inputs!$B$18))),CM117)))</f>
        <v>2275.26665103601</v>
      </c>
      <c r="CO117" s="11" t="n">
        <f aca="false">IF(CO$1&lt;Units!$P116,0,IF(AND(Units!$K116=0,CO$1=Units!$O116),Units!$R116,IF(AND(CO$1&gt;=Units!$Q116,MOD(CO$1-Units!$Q116,12)=0),IF(AND(Units!$L116=1,CO$1=Units!$Q116),IF(Units!$J116&lt;&gt;"",Units!$J116,Mkt!CO117),Inputs!$B$15*Mkt!CO117+(1-Inputs!$B$15)*MIN(Mkt!CO117,CN117*(1+Inputs!$B$18))),CN117)))</f>
        <v>2275.26665103601</v>
      </c>
      <c r="CP117" s="11" t="n">
        <f aca="false">IF(CP$1&lt;Units!$P116,0,IF(AND(Units!$K116=0,CP$1=Units!$O116),Units!$R116,IF(AND(CP$1&gt;=Units!$Q116,MOD(CP$1-Units!$Q116,12)=0),IF(AND(Units!$L116=1,CP$1=Units!$Q116),IF(Units!$J116&lt;&gt;"",Units!$J116,Mkt!CP117),Inputs!$B$15*Mkt!CP117+(1-Inputs!$B$15)*MIN(Mkt!CP117,CO117*(1+Inputs!$B$18))),CO117)))</f>
        <v>2275.26665103601</v>
      </c>
      <c r="CQ117" s="11" t="n">
        <f aca="false">IF(CQ$1&lt;Units!$P116,0,IF(AND(Units!$K116=0,CQ$1=Units!$O116),Units!$R116,IF(AND(CQ$1&gt;=Units!$Q116,MOD(CQ$1-Units!$Q116,12)=0),IF(AND(Units!$L116=1,CQ$1=Units!$Q116),IF(Units!$J116&lt;&gt;"",Units!$J116,Mkt!CQ117),Inputs!$B$15*Mkt!CQ117+(1-Inputs!$B$15)*MIN(Mkt!CQ117,CP117*(1+Inputs!$B$18))),CP117)))</f>
        <v>2275.26665103601</v>
      </c>
      <c r="CR117" s="11" t="n">
        <f aca="false">IF(CR$1&lt;Units!$P116,0,IF(AND(Units!$K116=0,CR$1=Units!$O116),Units!$R116,IF(AND(CR$1&gt;=Units!$Q116,MOD(CR$1-Units!$Q116,12)=0),IF(AND(Units!$L116=1,CR$1=Units!$Q116),IF(Units!$J116&lt;&gt;"",Units!$J116,Mkt!CR117),Inputs!$B$15*Mkt!CR117+(1-Inputs!$B$15)*MIN(Mkt!CR117,CQ117*(1+Inputs!$B$18))),CQ117)))</f>
        <v>2275.26665103601</v>
      </c>
      <c r="CS117" s="11" t="n">
        <f aca="false">IF(CS$1&lt;Units!$P116,0,IF(AND(Units!$K116=0,CS$1=Units!$O116),Units!$R116,IF(AND(CS$1&gt;=Units!$Q116,MOD(CS$1-Units!$Q116,12)=0),IF(AND(Units!$L116=1,CS$1=Units!$Q116),IF(Units!$J116&lt;&gt;"",Units!$J116,Mkt!CS117),Inputs!$B$15*Mkt!CS117+(1-Inputs!$B$15)*MIN(Mkt!CS117,CR117*(1+Inputs!$B$18))),CR117)))</f>
        <v>2275.26665103601</v>
      </c>
      <c r="CT117" s="11" t="n">
        <f aca="false">IF(CT$1&lt;Units!$P116,0,IF(AND(Units!$K116=0,CT$1=Units!$O116),Units!$R116,IF(AND(CT$1&gt;=Units!$Q116,MOD(CT$1-Units!$Q116,12)=0),IF(AND(Units!$L116=1,CT$1=Units!$Q116),IF(Units!$J116&lt;&gt;"",Units!$J116,Mkt!CT117),Inputs!$B$15*Mkt!CT117+(1-Inputs!$B$15)*MIN(Mkt!CT117,CS117*(1+Inputs!$B$18))),CS117)))</f>
        <v>2275.26665103601</v>
      </c>
      <c r="CU117" s="11" t="n">
        <f aca="false">IF(CU$1&lt;Units!$P116,0,IF(AND(Units!$K116=0,CU$1=Units!$O116),Units!$R116,IF(AND(CU$1&gt;=Units!$Q116,MOD(CU$1-Units!$Q116,12)=0),IF(AND(Units!$L116=1,CU$1=Units!$Q116),IF(Units!$J116&lt;&gt;"",Units!$J116,Mkt!CU117),Inputs!$B$15*Mkt!CU117+(1-Inputs!$B$15)*MIN(Mkt!CU117,CT117*(1+Inputs!$B$18))),CT117)))</f>
        <v>2275.26665103601</v>
      </c>
      <c r="CV117" s="11" t="n">
        <f aca="false">IF(CV$1&lt;Units!$P116,0,IF(AND(Units!$K116=0,CV$1=Units!$O116),Units!$R116,IF(AND(CV$1&gt;=Units!$Q116,MOD(CV$1-Units!$Q116,12)=0),IF(AND(Units!$L116=1,CV$1=Units!$Q116),IF(Units!$J116&lt;&gt;"",Units!$J116,Mkt!CV117),Inputs!$B$15*Mkt!CV117+(1-Inputs!$B$15)*MIN(Mkt!CV117,CU117*(1+Inputs!$B$18))),CU117)))</f>
        <v>2275.26665103601</v>
      </c>
      <c r="CW117" s="11" t="n">
        <f aca="false">IF(CW$1&lt;Units!$P116,0,IF(AND(Units!$K116=0,CW$1=Units!$O116),Units!$R116,IF(AND(CW$1&gt;=Units!$Q116,MOD(CW$1-Units!$Q116,12)=0),IF(AND(Units!$L116=1,CW$1=Units!$Q116),IF(Units!$J116&lt;&gt;"",Units!$J116,Mkt!CW117),Inputs!$B$15*Mkt!CW117+(1-Inputs!$B$15)*MIN(Mkt!CW117,CV117*(1+Inputs!$B$18))),CV117)))</f>
        <v>2275.26665103601</v>
      </c>
      <c r="CX117" s="11" t="n">
        <f aca="false">IF(CX$1&lt;Units!$P116,0,IF(AND(Units!$K116=0,CX$1=Units!$O116),Units!$R116,IF(AND(CX$1&gt;=Units!$Q116,MOD(CX$1-Units!$Q116,12)=0),IF(AND(Units!$L116=1,CX$1=Units!$Q116),IF(Units!$J116&lt;&gt;"",Units!$J116,Mkt!CX117),Inputs!$B$15*Mkt!CX117+(1-Inputs!$B$15)*MIN(Mkt!CX117,CW117*(1+Inputs!$B$18))),CW117)))</f>
        <v>2275.26665103601</v>
      </c>
      <c r="CY117" s="11" t="n">
        <f aca="false">IF(CY$1&lt;Units!$P116,0,IF(AND(Units!$K116=0,CY$1=Units!$O116),Units!$R116,IF(AND(CY$1&gt;=Units!$Q116,MOD(CY$1-Units!$Q116,12)=0),IF(AND(Units!$L116=1,CY$1=Units!$Q116),IF(Units!$J116&lt;&gt;"",Units!$J116,Mkt!CY117),Inputs!$B$15*Mkt!CY117+(1-Inputs!$B$15)*MIN(Mkt!CY117,CX117*(1+Inputs!$B$18))),CX117)))</f>
        <v>2343.52465056709</v>
      </c>
      <c r="CZ117" s="11" t="n">
        <f aca="false">IF(CZ$1&lt;Units!$P116,0,IF(AND(Units!$K116=0,CZ$1=Units!$O116),Units!$R116,IF(AND(CZ$1&gt;=Units!$Q116,MOD(CZ$1-Units!$Q116,12)=0),IF(AND(Units!$L116=1,CZ$1=Units!$Q116),IF(Units!$J116&lt;&gt;"",Units!$J116,Mkt!CZ117),Inputs!$B$15*Mkt!CZ117+(1-Inputs!$B$15)*MIN(Mkt!CZ117,CY117*(1+Inputs!$B$18))),CY117)))</f>
        <v>2343.52465056709</v>
      </c>
      <c r="DA117" s="11" t="n">
        <f aca="false">IF(DA$1&lt;Units!$P116,0,IF(AND(Units!$K116=0,DA$1=Units!$O116),Units!$R116,IF(AND(DA$1&gt;=Units!$Q116,MOD(DA$1-Units!$Q116,12)=0),IF(AND(Units!$L116=1,DA$1=Units!$Q116),IF(Units!$J116&lt;&gt;"",Units!$J116,Mkt!DA117),Inputs!$B$15*Mkt!DA117+(1-Inputs!$B$15)*MIN(Mkt!DA117,CZ117*(1+Inputs!$B$18))),CZ117)))</f>
        <v>2343.52465056709</v>
      </c>
      <c r="DB117" s="11" t="n">
        <f aca="false">IF(DB$1&lt;Units!$P116,0,IF(AND(Units!$K116=0,DB$1=Units!$O116),Units!$R116,IF(AND(DB$1&gt;=Units!$Q116,MOD(DB$1-Units!$Q116,12)=0),IF(AND(Units!$L116=1,DB$1=Units!$Q116),IF(Units!$J116&lt;&gt;"",Units!$J116,Mkt!DB117),Inputs!$B$15*Mkt!DB117+(1-Inputs!$B$15)*MIN(Mkt!DB117,DA117*(1+Inputs!$B$18))),DA117)))</f>
        <v>2343.52465056709</v>
      </c>
      <c r="DC117" s="11" t="n">
        <f aca="false">IF(DC$1&lt;Units!$P116,0,IF(AND(Units!$K116=0,DC$1=Units!$O116),Units!$R116,IF(AND(DC$1&gt;=Units!$Q116,MOD(DC$1-Units!$Q116,12)=0),IF(AND(Units!$L116=1,DC$1=Units!$Q116),IF(Units!$J116&lt;&gt;"",Units!$J116,Mkt!DC117),Inputs!$B$15*Mkt!DC117+(1-Inputs!$B$15)*MIN(Mkt!DC117,DB117*(1+Inputs!$B$18))),DB117)))</f>
        <v>2343.52465056709</v>
      </c>
      <c r="DD117" s="11" t="n">
        <f aca="false">IF(DD$1&lt;Units!$P116,0,IF(AND(Units!$K116=0,DD$1=Units!$O116),Units!$R116,IF(AND(DD$1&gt;=Units!$Q116,MOD(DD$1-Units!$Q116,12)=0),IF(AND(Units!$L116=1,DD$1=Units!$Q116),IF(Units!$J116&lt;&gt;"",Units!$J116,Mkt!DD117),Inputs!$B$15*Mkt!DD117+(1-Inputs!$B$15)*MIN(Mkt!DD117,DC117*(1+Inputs!$B$18))),DC117)))</f>
        <v>2343.52465056709</v>
      </c>
      <c r="DE117" s="11" t="n">
        <f aca="false">IF(DE$1&lt;Units!$P116,0,IF(AND(Units!$K116=0,DE$1=Units!$O116),Units!$R116,IF(AND(DE$1&gt;=Units!$Q116,MOD(DE$1-Units!$Q116,12)=0),IF(AND(Units!$L116=1,DE$1=Units!$Q116),IF(Units!$J116&lt;&gt;"",Units!$J116,Mkt!DE117),Inputs!$B$15*Mkt!DE117+(1-Inputs!$B$15)*MIN(Mkt!DE117,DD117*(1+Inputs!$B$18))),DD117)))</f>
        <v>2343.52465056709</v>
      </c>
      <c r="DF117" s="11" t="n">
        <f aca="false">IF(DF$1&lt;Units!$P116,0,IF(AND(Units!$K116=0,DF$1=Units!$O116),Units!$R116,IF(AND(DF$1&gt;=Units!$Q116,MOD(DF$1-Units!$Q116,12)=0),IF(AND(Units!$L116=1,DF$1=Units!$Q116),IF(Units!$J116&lt;&gt;"",Units!$J116,Mkt!DF117),Inputs!$B$15*Mkt!DF117+(1-Inputs!$B$15)*MIN(Mkt!DF117,DE117*(1+Inputs!$B$18))),DE117)))</f>
        <v>2343.52465056709</v>
      </c>
      <c r="DG117" s="11" t="n">
        <f aca="false">IF(DG$1&lt;Units!$P116,0,IF(AND(Units!$K116=0,DG$1=Units!$O116),Units!$R116,IF(AND(DG$1&gt;=Units!$Q116,MOD(DG$1-Units!$Q116,12)=0),IF(AND(Units!$L116=1,DG$1=Units!$Q116),IF(Units!$J116&lt;&gt;"",Units!$J116,Mkt!DG117),Inputs!$B$15*Mkt!DG117+(1-Inputs!$B$15)*MIN(Mkt!DG117,DF117*(1+Inputs!$B$18))),DF117)))</f>
        <v>2343.52465056709</v>
      </c>
      <c r="DH117" s="11" t="n">
        <f aca="false">IF(DH$1&lt;Units!$P116,0,IF(AND(Units!$K116=0,DH$1=Units!$O116),Units!$R116,IF(AND(DH$1&gt;=Units!$Q116,MOD(DH$1-Units!$Q116,12)=0),IF(AND(Units!$L116=1,DH$1=Units!$Q116),IF(Units!$J116&lt;&gt;"",Units!$J116,Mkt!DH117),Inputs!$B$15*Mkt!DH117+(1-Inputs!$B$15)*MIN(Mkt!DH117,DG117*(1+Inputs!$B$18))),DG117)))</f>
        <v>2343.52465056709</v>
      </c>
      <c r="DI117" s="11" t="n">
        <f aca="false">IF(DI$1&lt;Units!$P116,0,IF(AND(Units!$K116=0,DI$1=Units!$O116),Units!$R116,IF(AND(DI$1&gt;=Units!$Q116,MOD(DI$1-Units!$Q116,12)=0),IF(AND(Units!$L116=1,DI$1=Units!$Q116),IF(Units!$J116&lt;&gt;"",Units!$J116,Mkt!DI117),Inputs!$B$15*Mkt!DI117+(1-Inputs!$B$15)*MIN(Mkt!DI117,DH117*(1+Inputs!$B$18))),DH117)))</f>
        <v>2343.52465056709</v>
      </c>
      <c r="DJ117" s="11" t="n">
        <f aca="false">IF(DJ$1&lt;Units!$P116,0,IF(AND(Units!$K116=0,DJ$1=Units!$O116),Units!$R116,IF(AND(DJ$1&gt;=Units!$Q116,MOD(DJ$1-Units!$Q116,12)=0),IF(AND(Units!$L116=1,DJ$1=Units!$Q116),IF(Units!$J116&lt;&gt;"",Units!$J116,Mkt!DJ117),Inputs!$B$15*Mkt!DJ117+(1-Inputs!$B$15)*MIN(Mkt!DJ117,DI117*(1+Inputs!$B$18))),DI117)))</f>
        <v>2343.52465056709</v>
      </c>
      <c r="DK117" s="11" t="n">
        <f aca="false">IF(DK$1&lt;Units!$P116,0,IF(AND(Units!$K116=0,DK$1=Units!$O116),Units!$R116,IF(AND(DK$1&gt;=Units!$Q116,MOD(DK$1-Units!$Q116,12)=0),IF(AND(Units!$L116=1,DK$1=Units!$Q116),IF(Units!$J116&lt;&gt;"",Units!$J116,Mkt!DK117),Inputs!$B$15*Mkt!DK117+(1-Inputs!$B$15)*MIN(Mkt!DK117,DJ117*(1+Inputs!$B$18))),DJ117)))</f>
        <v>2413.8303900841</v>
      </c>
      <c r="DL117" s="11" t="n">
        <f aca="false">IF(DL$1&lt;Units!$P116,0,IF(AND(Units!$K116=0,DL$1=Units!$O116),Units!$R116,IF(AND(DL$1&gt;=Units!$Q116,MOD(DL$1-Units!$Q116,12)=0),IF(AND(Units!$L116=1,DL$1=Units!$Q116),IF(Units!$J116&lt;&gt;"",Units!$J116,Mkt!DL117),Inputs!$B$15*Mkt!DL117+(1-Inputs!$B$15)*MIN(Mkt!DL117,DK117*(1+Inputs!$B$18))),DK117)))</f>
        <v>2413.8303900841</v>
      </c>
      <c r="DM117" s="11" t="n">
        <f aca="false">IF(DM$1&lt;Units!$P116,0,IF(AND(Units!$K116=0,DM$1=Units!$O116),Units!$R116,IF(AND(DM$1&gt;=Units!$Q116,MOD(DM$1-Units!$Q116,12)=0),IF(AND(Units!$L116=1,DM$1=Units!$Q116),IF(Units!$J116&lt;&gt;"",Units!$J116,Mkt!DM117),Inputs!$B$15*Mkt!DM117+(1-Inputs!$B$15)*MIN(Mkt!DM117,DL117*(1+Inputs!$B$18))),DL117)))</f>
        <v>2413.8303900841</v>
      </c>
      <c r="DN117" s="11" t="n">
        <f aca="false">IF(DN$1&lt;Units!$P116,0,IF(AND(Units!$K116=0,DN$1=Units!$O116),Units!$R116,IF(AND(DN$1&gt;=Units!$Q116,MOD(DN$1-Units!$Q116,12)=0),IF(AND(Units!$L116=1,DN$1=Units!$Q116),IF(Units!$J116&lt;&gt;"",Units!$J116,Mkt!DN117),Inputs!$B$15*Mkt!DN117+(1-Inputs!$B$15)*MIN(Mkt!DN117,DM117*(1+Inputs!$B$18))),DM117)))</f>
        <v>2413.8303900841</v>
      </c>
      <c r="DO117" s="11" t="n">
        <f aca="false">IF(DO$1&lt;Units!$P116,0,IF(AND(Units!$K116=0,DO$1=Units!$O116),Units!$R116,IF(AND(DO$1&gt;=Units!$Q116,MOD(DO$1-Units!$Q116,12)=0),IF(AND(Units!$L116=1,DO$1=Units!$Q116),IF(Units!$J116&lt;&gt;"",Units!$J116,Mkt!DO117),Inputs!$B$15*Mkt!DO117+(1-Inputs!$B$15)*MIN(Mkt!DO117,DN117*(1+Inputs!$B$18))),DN117)))</f>
        <v>2413.8303900841</v>
      </c>
      <c r="DP117" s="11" t="n">
        <f aca="false">IF(DP$1&lt;Units!$P116,0,IF(AND(Units!$K116=0,DP$1=Units!$O116),Units!$R116,IF(AND(DP$1&gt;=Units!$Q116,MOD(DP$1-Units!$Q116,12)=0),IF(AND(Units!$L116=1,DP$1=Units!$Q116),IF(Units!$J116&lt;&gt;"",Units!$J116,Mkt!DP117),Inputs!$B$15*Mkt!DP117+(1-Inputs!$B$15)*MIN(Mkt!DP117,DO117*(1+Inputs!$B$18))),DO117)))</f>
        <v>2413.8303900841</v>
      </c>
      <c r="DQ117" s="11" t="n">
        <f aca="false">IF(DQ$1&lt;Units!$P116,0,IF(AND(Units!$K116=0,DQ$1=Units!$O116),Units!$R116,IF(AND(DQ$1&gt;=Units!$Q116,MOD(DQ$1-Units!$Q116,12)=0),IF(AND(Units!$L116=1,DQ$1=Units!$Q116),IF(Units!$J116&lt;&gt;"",Units!$J116,Mkt!DQ117),Inputs!$B$15*Mkt!DQ117+(1-Inputs!$B$15)*MIN(Mkt!DQ117,DP117*(1+Inputs!$B$18))),DP117)))</f>
        <v>2413.8303900841</v>
      </c>
      <c r="DR117" s="11" t="n">
        <f aca="false">IF(DR$1&lt;Units!$P116,0,IF(AND(Units!$K116=0,DR$1=Units!$O116),Units!$R116,IF(AND(DR$1&gt;=Units!$Q116,MOD(DR$1-Units!$Q116,12)=0),IF(AND(Units!$L116=1,DR$1=Units!$Q116),IF(Units!$J116&lt;&gt;"",Units!$J116,Mkt!DR117),Inputs!$B$15*Mkt!DR117+(1-Inputs!$B$15)*MIN(Mkt!DR117,DQ117*(1+Inputs!$B$18))),DQ117)))</f>
        <v>2413.8303900841</v>
      </c>
      <c r="DS117" s="11" t="n">
        <f aca="false">IF(DS$1&lt;Units!$P116,0,IF(AND(Units!$K116=0,DS$1=Units!$O116),Units!$R116,IF(AND(DS$1&gt;=Units!$Q116,MOD(DS$1-Units!$Q116,12)=0),IF(AND(Units!$L116=1,DS$1=Units!$Q116),IF(Units!$J116&lt;&gt;"",Units!$J116,Mkt!DS117),Inputs!$B$15*Mkt!DS117+(1-Inputs!$B$15)*MIN(Mkt!DS117,DR117*(1+Inputs!$B$18))),DR117)))</f>
        <v>2413.8303900841</v>
      </c>
      <c r="DT117" s="11" t="n">
        <f aca="false">IF(DT$1&lt;Units!$P116,0,IF(AND(Units!$K116=0,DT$1=Units!$O116),Units!$R116,IF(AND(DT$1&gt;=Units!$Q116,MOD(DT$1-Units!$Q116,12)=0),IF(AND(Units!$L116=1,DT$1=Units!$Q116),IF(Units!$J116&lt;&gt;"",Units!$J116,Mkt!DT117),Inputs!$B$15*Mkt!DT117+(1-Inputs!$B$15)*MIN(Mkt!DT117,DS117*(1+Inputs!$B$18))),DS117)))</f>
        <v>2413.8303900841</v>
      </c>
      <c r="DU117" s="11" t="n">
        <f aca="false">IF(DU$1&lt;Units!$P116,0,IF(AND(Units!$K116=0,DU$1=Units!$O116),Units!$R116,IF(AND(DU$1&gt;=Units!$Q116,MOD(DU$1-Units!$Q116,12)=0),IF(AND(Units!$L116=1,DU$1=Units!$Q116),IF(Units!$J116&lt;&gt;"",Units!$J116,Mkt!DU117),Inputs!$B$15*Mkt!DU117+(1-Inputs!$B$15)*MIN(Mkt!DU117,DT117*(1+Inputs!$B$18))),DT117)))</f>
        <v>2413.8303900841</v>
      </c>
      <c r="DV117" s="11" t="n">
        <f aca="false">IF(DV$1&lt;Units!$P116,0,IF(AND(Units!$K116=0,DV$1=Units!$O116),Units!$R116,IF(AND(DV$1&gt;=Units!$Q116,MOD(DV$1-Units!$Q116,12)=0),IF(AND(Units!$L116=1,DV$1=Units!$Q116),IF(Units!$J116&lt;&gt;"",Units!$J116,Mkt!DV117),Inputs!$B$15*Mkt!DV117+(1-Inputs!$B$15)*MIN(Mkt!DV117,DU117*(1+Inputs!$B$18))),DU117)))</f>
        <v>2413.8303900841</v>
      </c>
      <c r="DW117" s="11" t="n">
        <f aca="false">IF(DW$1&lt;Units!$P116,0,IF(AND(Units!$K116=0,DW$1=Units!$O116),Units!$R116,IF(AND(DW$1&gt;=Units!$Q116,MOD(DW$1-Units!$Q116,12)=0),IF(AND(Units!$L116=1,DW$1=Units!$Q116),IF(Units!$J116&lt;&gt;"",Units!$J116,Mkt!DW117),Inputs!$B$15*Mkt!DW117+(1-Inputs!$B$15)*MIN(Mkt!DW117,DV117*(1+Inputs!$B$18))),DV117)))</f>
        <v>2486.24530178663</v>
      </c>
      <c r="DX117" s="11" t="n">
        <f aca="false">IF(DX$1&lt;Units!$P116,0,IF(AND(Units!$K116=0,DX$1=Units!$O116),Units!$R116,IF(AND(DX$1&gt;=Units!$Q116,MOD(DX$1-Units!$Q116,12)=0),IF(AND(Units!$L116=1,DX$1=Units!$Q116),IF(Units!$J116&lt;&gt;"",Units!$J116,Mkt!DX117),Inputs!$B$15*Mkt!DX117+(1-Inputs!$B$15)*MIN(Mkt!DX117,DW117*(1+Inputs!$B$18))),DW117)))</f>
        <v>2486.24530178663</v>
      </c>
      <c r="DY117" s="11" t="n">
        <f aca="false">IF(DY$1&lt;Units!$P116,0,IF(AND(Units!$K116=0,DY$1=Units!$O116),Units!$R116,IF(AND(DY$1&gt;=Units!$Q116,MOD(DY$1-Units!$Q116,12)=0),IF(AND(Units!$L116=1,DY$1=Units!$Q116),IF(Units!$J116&lt;&gt;"",Units!$J116,Mkt!DY117),Inputs!$B$15*Mkt!DY117+(1-Inputs!$B$15)*MIN(Mkt!DY117,DX117*(1+Inputs!$B$18))),DX117)))</f>
        <v>2486.24530178663</v>
      </c>
      <c r="DZ117" s="11" t="n">
        <f aca="false">IF(DZ$1&lt;Units!$P116,0,IF(AND(Units!$K116=0,DZ$1=Units!$O116),Units!$R116,IF(AND(DZ$1&gt;=Units!$Q116,MOD(DZ$1-Units!$Q116,12)=0),IF(AND(Units!$L116=1,DZ$1=Units!$Q116),IF(Units!$J116&lt;&gt;"",Units!$J116,Mkt!DZ117),Inputs!$B$15*Mkt!DZ117+(1-Inputs!$B$15)*MIN(Mkt!DZ117,DY117*(1+Inputs!$B$18))),DY117)))</f>
        <v>2486.24530178663</v>
      </c>
      <c r="EA117" s="11" t="n">
        <f aca="false">IF(EA$1&lt;Units!$P116,0,IF(AND(Units!$K116=0,EA$1=Units!$O116),Units!$R116,IF(AND(EA$1&gt;=Units!$Q116,MOD(EA$1-Units!$Q116,12)=0),IF(AND(Units!$L116=1,EA$1=Units!$Q116),IF(Units!$J116&lt;&gt;"",Units!$J116,Mkt!EA117),Inputs!$B$15*Mkt!EA117+(1-Inputs!$B$15)*MIN(Mkt!EA117,DZ117*(1+Inputs!$B$18))),DZ117)))</f>
        <v>2486.24530178663</v>
      </c>
      <c r="EB117" s="11" t="n">
        <f aca="false">IF(EB$1&lt;Units!$P116,0,IF(AND(Units!$K116=0,EB$1=Units!$O116),Units!$R116,IF(AND(EB$1&gt;=Units!$Q116,MOD(EB$1-Units!$Q116,12)=0),IF(AND(Units!$L116=1,EB$1=Units!$Q116),IF(Units!$J116&lt;&gt;"",Units!$J116,Mkt!EB117),Inputs!$B$15*Mkt!EB117+(1-Inputs!$B$15)*MIN(Mkt!EB117,EA117*(1+Inputs!$B$18))),EA117)))</f>
        <v>2486.24530178663</v>
      </c>
      <c r="EC117" s="11" t="n">
        <f aca="false">IF(EC$1&lt;Units!$P116,0,IF(AND(Units!$K116=0,EC$1=Units!$O116),Units!$R116,IF(AND(EC$1&gt;=Units!$Q116,MOD(EC$1-Units!$Q116,12)=0),IF(AND(Units!$L116=1,EC$1=Units!$Q116),IF(Units!$J116&lt;&gt;"",Units!$J116,Mkt!EC117),Inputs!$B$15*Mkt!EC117+(1-Inputs!$B$15)*MIN(Mkt!EC117,EB117*(1+Inputs!$B$18))),EB117)))</f>
        <v>2486.24530178663</v>
      </c>
      <c r="ED117" s="11" t="n">
        <f aca="false">IF(ED$1&lt;Units!$P116,0,IF(AND(Units!$K116=0,ED$1=Units!$O116),Units!$R116,IF(AND(ED$1&gt;=Units!$Q116,MOD(ED$1-Units!$Q116,12)=0),IF(AND(Units!$L116=1,ED$1=Units!$Q116),IF(Units!$J116&lt;&gt;"",Units!$J116,Mkt!ED117),Inputs!$B$15*Mkt!ED117+(1-Inputs!$B$15)*MIN(Mkt!ED117,EC117*(1+Inputs!$B$18))),EC117)))</f>
        <v>2486.24530178663</v>
      </c>
    </row>
    <row r="118" customFormat="false" ht="15" hidden="false" customHeight="false" outlineLevel="0" collapsed="false">
      <c r="A118" s="22" t="n">
        <f aca="false">Units!A117</f>
        <v>426</v>
      </c>
      <c r="B118" s="24" t="n">
        <f aca="false">IF(Units!K117=1,Units!F117,0)</f>
        <v>1870</v>
      </c>
      <c r="C118" s="11" t="n">
        <f aca="false">IF(C$1&lt;Units!$P117,0,IF(AND(Units!$K117=0,C$1=Units!$O117),Units!$R117,IF(AND(C$1&gt;=Units!$Q117,MOD(C$1-Units!$Q117,12)=0),IF(AND(Units!$L117=1,C$1=Units!$Q117),IF(Units!$J117&lt;&gt;"",Units!$J117,Mkt!C118),Inputs!$B$15*Mkt!C118+(1-Inputs!$B$15)*MIN(Mkt!C118,B118*(1+Inputs!$B$18))),B118)))</f>
        <v>1870</v>
      </c>
      <c r="D118" s="11" t="n">
        <f aca="false">IF(D$1&lt;Units!$P117,0,IF(AND(Units!$K117=0,D$1=Units!$O117),Units!$R117,IF(AND(D$1&gt;=Units!$Q117,MOD(D$1-Units!$Q117,12)=0),IF(AND(Units!$L117=1,D$1=Units!$Q117),IF(Units!$J117&lt;&gt;"",Units!$J117,Mkt!D118),Inputs!$B$15*Mkt!D118+(1-Inputs!$B$15)*MIN(Mkt!D118,C118*(1+Inputs!$B$18))),C118)))</f>
        <v>1870</v>
      </c>
      <c r="E118" s="11" t="n">
        <f aca="false">IF(E$1&lt;Units!$P117,0,IF(AND(Units!$K117=0,E$1=Units!$O117),Units!$R117,IF(AND(E$1&gt;=Units!$Q117,MOD(E$1-Units!$Q117,12)=0),IF(AND(Units!$L117=1,E$1=Units!$Q117),IF(Units!$J117&lt;&gt;"",Units!$J117,Mkt!E118),Inputs!$B$15*Mkt!E118+(1-Inputs!$B$15)*MIN(Mkt!E118,D118*(1+Inputs!$B$18))),D118)))</f>
        <v>1850</v>
      </c>
      <c r="F118" s="11" t="n">
        <f aca="false">IF(F$1&lt;Units!$P117,0,IF(AND(Units!$K117=0,F$1=Units!$O117),Units!$R117,IF(AND(F$1&gt;=Units!$Q117,MOD(F$1-Units!$Q117,12)=0),IF(AND(Units!$L117=1,F$1=Units!$Q117),IF(Units!$J117&lt;&gt;"",Units!$J117,Mkt!F118),Inputs!$B$15*Mkt!F118+(1-Inputs!$B$15)*MIN(Mkt!F118,E118*(1+Inputs!$B$18))),E118)))</f>
        <v>1850</v>
      </c>
      <c r="G118" s="11" t="n">
        <f aca="false">IF(G$1&lt;Units!$P117,0,IF(AND(Units!$K117=0,G$1=Units!$O117),Units!$R117,IF(AND(G$1&gt;=Units!$Q117,MOD(G$1-Units!$Q117,12)=0),IF(AND(Units!$L117=1,G$1=Units!$Q117),IF(Units!$J117&lt;&gt;"",Units!$J117,Mkt!G118),Inputs!$B$15*Mkt!G118+(1-Inputs!$B$15)*MIN(Mkt!G118,F118*(1+Inputs!$B$18))),F118)))</f>
        <v>1850</v>
      </c>
      <c r="H118" s="11" t="n">
        <f aca="false">IF(H$1&lt;Units!$P117,0,IF(AND(Units!$K117=0,H$1=Units!$O117),Units!$R117,IF(AND(H$1&gt;=Units!$Q117,MOD(H$1-Units!$Q117,12)=0),IF(AND(Units!$L117=1,H$1=Units!$Q117),IF(Units!$J117&lt;&gt;"",Units!$J117,Mkt!H118),Inputs!$B$15*Mkt!H118+(1-Inputs!$B$15)*MIN(Mkt!H118,G118*(1+Inputs!$B$18))),G118)))</f>
        <v>1850</v>
      </c>
      <c r="I118" s="11" t="n">
        <f aca="false">IF(I$1&lt;Units!$P117,0,IF(AND(Units!$K117=0,I$1=Units!$O117),Units!$R117,IF(AND(I$1&gt;=Units!$Q117,MOD(I$1-Units!$Q117,12)=0),IF(AND(Units!$L117=1,I$1=Units!$Q117),IF(Units!$J117&lt;&gt;"",Units!$J117,Mkt!I118),Inputs!$B$15*Mkt!I118+(1-Inputs!$B$15)*MIN(Mkt!I118,H118*(1+Inputs!$B$18))),H118)))</f>
        <v>1850</v>
      </c>
      <c r="J118" s="11" t="n">
        <f aca="false">IF(J$1&lt;Units!$P117,0,IF(AND(Units!$K117=0,J$1=Units!$O117),Units!$R117,IF(AND(J$1&gt;=Units!$Q117,MOD(J$1-Units!$Q117,12)=0),IF(AND(Units!$L117=1,J$1=Units!$Q117),IF(Units!$J117&lt;&gt;"",Units!$J117,Mkt!J118),Inputs!$B$15*Mkt!J118+(1-Inputs!$B$15)*MIN(Mkt!J118,I118*(1+Inputs!$B$18))),I118)))</f>
        <v>1850</v>
      </c>
      <c r="K118" s="11" t="n">
        <f aca="false">IF(K$1&lt;Units!$P117,0,IF(AND(Units!$K117=0,K$1=Units!$O117),Units!$R117,IF(AND(K$1&gt;=Units!$Q117,MOD(K$1-Units!$Q117,12)=0),IF(AND(Units!$L117=1,K$1=Units!$Q117),IF(Units!$J117&lt;&gt;"",Units!$J117,Mkt!K118),Inputs!$B$15*Mkt!K118+(1-Inputs!$B$15)*MIN(Mkt!K118,J118*(1+Inputs!$B$18))),J118)))</f>
        <v>1850</v>
      </c>
      <c r="L118" s="11" t="n">
        <f aca="false">IF(L$1&lt;Units!$P117,0,IF(AND(Units!$K117=0,L$1=Units!$O117),Units!$R117,IF(AND(L$1&gt;=Units!$Q117,MOD(L$1-Units!$Q117,12)=0),IF(AND(Units!$L117=1,L$1=Units!$Q117),IF(Units!$J117&lt;&gt;"",Units!$J117,Mkt!L118),Inputs!$B$15*Mkt!L118+(1-Inputs!$B$15)*MIN(Mkt!L118,K118*(1+Inputs!$B$18))),K118)))</f>
        <v>1850</v>
      </c>
      <c r="M118" s="11" t="n">
        <f aca="false">IF(M$1&lt;Units!$P117,0,IF(AND(Units!$K117=0,M$1=Units!$O117),Units!$R117,IF(AND(M$1&gt;=Units!$Q117,MOD(M$1-Units!$Q117,12)=0),IF(AND(Units!$L117=1,M$1=Units!$Q117),IF(Units!$J117&lt;&gt;"",Units!$J117,Mkt!M118),Inputs!$B$15*Mkt!M118+(1-Inputs!$B$15)*MIN(Mkt!M118,L118*(1+Inputs!$B$18))),L118)))</f>
        <v>1850</v>
      </c>
      <c r="N118" s="11" t="n">
        <f aca="false">IF(N$1&lt;Units!$P117,0,IF(AND(Units!$K117=0,N$1=Units!$O117),Units!$R117,IF(AND(N$1&gt;=Units!$Q117,MOD(N$1-Units!$Q117,12)=0),IF(AND(Units!$L117=1,N$1=Units!$Q117),IF(Units!$J117&lt;&gt;"",Units!$J117,Mkt!N118),Inputs!$B$15*Mkt!N118+(1-Inputs!$B$15)*MIN(Mkt!N118,M118*(1+Inputs!$B$18))),M118)))</f>
        <v>1850</v>
      </c>
      <c r="O118" s="11" t="n">
        <f aca="false">IF(O$1&lt;Units!$P117,0,IF(AND(Units!$K117=0,O$1=Units!$O117),Units!$R117,IF(AND(O$1&gt;=Units!$Q117,MOD(O$1-Units!$Q117,12)=0),IF(AND(Units!$L117=1,O$1=Units!$Q117),IF(Units!$J117&lt;&gt;"",Units!$J117,Mkt!O118),Inputs!$B$15*Mkt!O118+(1-Inputs!$B$15)*MIN(Mkt!O118,N118*(1+Inputs!$B$18))),N118)))</f>
        <v>1850</v>
      </c>
      <c r="P118" s="11" t="n">
        <f aca="false">IF(P$1&lt;Units!$P117,0,IF(AND(Units!$K117=0,P$1=Units!$O117),Units!$R117,IF(AND(P$1&gt;=Units!$Q117,MOD(P$1-Units!$Q117,12)=0),IF(AND(Units!$L117=1,P$1=Units!$Q117),IF(Units!$J117&lt;&gt;"",Units!$J117,Mkt!P118),Inputs!$B$15*Mkt!P118+(1-Inputs!$B$15)*MIN(Mkt!P118,O118*(1+Inputs!$B$18))),O118)))</f>
        <v>1850</v>
      </c>
      <c r="Q118" s="11" t="n">
        <f aca="false">IF(Q$1&lt;Units!$P117,0,IF(AND(Units!$K117=0,Q$1=Units!$O117),Units!$R117,IF(AND(Q$1&gt;=Units!$Q117,MOD(Q$1-Units!$Q117,12)=0),IF(AND(Units!$L117=1,Q$1=Units!$Q117),IF(Units!$J117&lt;&gt;"",Units!$J117,Mkt!Q118),Inputs!$B$15*Mkt!Q118+(1-Inputs!$B$15)*MIN(Mkt!Q118,P118*(1+Inputs!$B$18))),P118)))</f>
        <v>1905.5</v>
      </c>
      <c r="R118" s="11" t="n">
        <f aca="false">IF(R$1&lt;Units!$P117,0,IF(AND(Units!$K117=0,R$1=Units!$O117),Units!$R117,IF(AND(R$1&gt;=Units!$Q117,MOD(R$1-Units!$Q117,12)=0),IF(AND(Units!$L117=1,R$1=Units!$Q117),IF(Units!$J117&lt;&gt;"",Units!$J117,Mkt!R118),Inputs!$B$15*Mkt!R118+(1-Inputs!$B$15)*MIN(Mkt!R118,Q118*(1+Inputs!$B$18))),Q118)))</f>
        <v>1905.5</v>
      </c>
      <c r="S118" s="11" t="n">
        <f aca="false">IF(S$1&lt;Units!$P117,0,IF(AND(Units!$K117=0,S$1=Units!$O117),Units!$R117,IF(AND(S$1&gt;=Units!$Q117,MOD(S$1-Units!$Q117,12)=0),IF(AND(Units!$L117=1,S$1=Units!$Q117),IF(Units!$J117&lt;&gt;"",Units!$J117,Mkt!S118),Inputs!$B$15*Mkt!S118+(1-Inputs!$B$15)*MIN(Mkt!S118,R118*(1+Inputs!$B$18))),R118)))</f>
        <v>1905.5</v>
      </c>
      <c r="T118" s="11" t="n">
        <f aca="false">IF(T$1&lt;Units!$P117,0,IF(AND(Units!$K117=0,T$1=Units!$O117),Units!$R117,IF(AND(T$1&gt;=Units!$Q117,MOD(T$1-Units!$Q117,12)=0),IF(AND(Units!$L117=1,T$1=Units!$Q117),IF(Units!$J117&lt;&gt;"",Units!$J117,Mkt!T118),Inputs!$B$15*Mkt!T118+(1-Inputs!$B$15)*MIN(Mkt!T118,S118*(1+Inputs!$B$18))),S118)))</f>
        <v>1905.5</v>
      </c>
      <c r="U118" s="11" t="n">
        <f aca="false">IF(U$1&lt;Units!$P117,0,IF(AND(Units!$K117=0,U$1=Units!$O117),Units!$R117,IF(AND(U$1&gt;=Units!$Q117,MOD(U$1-Units!$Q117,12)=0),IF(AND(Units!$L117=1,U$1=Units!$Q117),IF(Units!$J117&lt;&gt;"",Units!$J117,Mkt!U118),Inputs!$B$15*Mkt!U118+(1-Inputs!$B$15)*MIN(Mkt!U118,T118*(1+Inputs!$B$18))),T118)))</f>
        <v>1905.5</v>
      </c>
      <c r="V118" s="11" t="n">
        <f aca="false">IF(V$1&lt;Units!$P117,0,IF(AND(Units!$K117=0,V$1=Units!$O117),Units!$R117,IF(AND(V$1&gt;=Units!$Q117,MOD(V$1-Units!$Q117,12)=0),IF(AND(Units!$L117=1,V$1=Units!$Q117),IF(Units!$J117&lt;&gt;"",Units!$J117,Mkt!V118),Inputs!$B$15*Mkt!V118+(1-Inputs!$B$15)*MIN(Mkt!V118,U118*(1+Inputs!$B$18))),U118)))</f>
        <v>1905.5</v>
      </c>
      <c r="W118" s="11" t="n">
        <f aca="false">IF(W$1&lt;Units!$P117,0,IF(AND(Units!$K117=0,W$1=Units!$O117),Units!$R117,IF(AND(W$1&gt;=Units!$Q117,MOD(W$1-Units!$Q117,12)=0),IF(AND(Units!$L117=1,W$1=Units!$Q117),IF(Units!$J117&lt;&gt;"",Units!$J117,Mkt!W118),Inputs!$B$15*Mkt!W118+(1-Inputs!$B$15)*MIN(Mkt!W118,V118*(1+Inputs!$B$18))),V118)))</f>
        <v>1905.5</v>
      </c>
      <c r="X118" s="11" t="n">
        <f aca="false">IF(X$1&lt;Units!$P117,0,IF(AND(Units!$K117=0,X$1=Units!$O117),Units!$R117,IF(AND(X$1&gt;=Units!$Q117,MOD(X$1-Units!$Q117,12)=0),IF(AND(Units!$L117=1,X$1=Units!$Q117),IF(Units!$J117&lt;&gt;"",Units!$J117,Mkt!X118),Inputs!$B$15*Mkt!X118+(1-Inputs!$B$15)*MIN(Mkt!X118,W118*(1+Inputs!$B$18))),W118)))</f>
        <v>1905.5</v>
      </c>
      <c r="Y118" s="11" t="n">
        <f aca="false">IF(Y$1&lt;Units!$P117,0,IF(AND(Units!$K117=0,Y$1=Units!$O117),Units!$R117,IF(AND(Y$1&gt;=Units!$Q117,MOD(Y$1-Units!$Q117,12)=0),IF(AND(Units!$L117=1,Y$1=Units!$Q117),IF(Units!$J117&lt;&gt;"",Units!$J117,Mkt!Y118),Inputs!$B$15*Mkt!Y118+(1-Inputs!$B$15)*MIN(Mkt!Y118,X118*(1+Inputs!$B$18))),X118)))</f>
        <v>1905.5</v>
      </c>
      <c r="Z118" s="11" t="n">
        <f aca="false">IF(Z$1&lt;Units!$P117,0,IF(AND(Units!$K117=0,Z$1=Units!$O117),Units!$R117,IF(AND(Z$1&gt;=Units!$Q117,MOD(Z$1-Units!$Q117,12)=0),IF(AND(Units!$L117=1,Z$1=Units!$Q117),IF(Units!$J117&lt;&gt;"",Units!$J117,Mkt!Z118),Inputs!$B$15*Mkt!Z118+(1-Inputs!$B$15)*MIN(Mkt!Z118,Y118*(1+Inputs!$B$18))),Y118)))</f>
        <v>1905.5</v>
      </c>
      <c r="AA118" s="11" t="n">
        <f aca="false">IF(AA$1&lt;Units!$P117,0,IF(AND(Units!$K117=0,AA$1=Units!$O117),Units!$R117,IF(AND(AA$1&gt;=Units!$Q117,MOD(AA$1-Units!$Q117,12)=0),IF(AND(Units!$L117=1,AA$1=Units!$Q117),IF(Units!$J117&lt;&gt;"",Units!$J117,Mkt!AA118),Inputs!$B$15*Mkt!AA118+(1-Inputs!$B$15)*MIN(Mkt!AA118,Z118*(1+Inputs!$B$18))),Z118)))</f>
        <v>1905.5</v>
      </c>
      <c r="AB118" s="11" t="n">
        <f aca="false">IF(AB$1&lt;Units!$P117,0,IF(AND(Units!$K117=0,AB$1=Units!$O117),Units!$R117,IF(AND(AB$1&gt;=Units!$Q117,MOD(AB$1-Units!$Q117,12)=0),IF(AND(Units!$L117=1,AB$1=Units!$Q117),IF(Units!$J117&lt;&gt;"",Units!$J117,Mkt!AB118),Inputs!$B$15*Mkt!AB118+(1-Inputs!$B$15)*MIN(Mkt!AB118,AA118*(1+Inputs!$B$18))),AA118)))</f>
        <v>1905.5</v>
      </c>
      <c r="AC118" s="11" t="n">
        <f aca="false">IF(AC$1&lt;Units!$P117,0,IF(AND(Units!$K117=0,AC$1=Units!$O117),Units!$R117,IF(AND(AC$1&gt;=Units!$Q117,MOD(AC$1-Units!$Q117,12)=0),IF(AND(Units!$L117=1,AC$1=Units!$Q117),IF(Units!$J117&lt;&gt;"",Units!$J117,Mkt!AC118),Inputs!$B$15*Mkt!AC118+(1-Inputs!$B$15)*MIN(Mkt!AC118,AB118*(1+Inputs!$B$18))),AB118)))</f>
        <v>1962.665</v>
      </c>
      <c r="AD118" s="11" t="n">
        <f aca="false">IF(AD$1&lt;Units!$P117,0,IF(AND(Units!$K117=0,AD$1=Units!$O117),Units!$R117,IF(AND(AD$1&gt;=Units!$Q117,MOD(AD$1-Units!$Q117,12)=0),IF(AND(Units!$L117=1,AD$1=Units!$Q117),IF(Units!$J117&lt;&gt;"",Units!$J117,Mkt!AD118),Inputs!$B$15*Mkt!AD118+(1-Inputs!$B$15)*MIN(Mkt!AD118,AC118*(1+Inputs!$B$18))),AC118)))</f>
        <v>1962.665</v>
      </c>
      <c r="AE118" s="11" t="n">
        <f aca="false">IF(AE$1&lt;Units!$P117,0,IF(AND(Units!$K117=0,AE$1=Units!$O117),Units!$R117,IF(AND(AE$1&gt;=Units!$Q117,MOD(AE$1-Units!$Q117,12)=0),IF(AND(Units!$L117=1,AE$1=Units!$Q117),IF(Units!$J117&lt;&gt;"",Units!$J117,Mkt!AE118),Inputs!$B$15*Mkt!AE118+(1-Inputs!$B$15)*MIN(Mkt!AE118,AD118*(1+Inputs!$B$18))),AD118)))</f>
        <v>1962.665</v>
      </c>
      <c r="AF118" s="11" t="n">
        <f aca="false">IF(AF$1&lt;Units!$P117,0,IF(AND(Units!$K117=0,AF$1=Units!$O117),Units!$R117,IF(AND(AF$1&gt;=Units!$Q117,MOD(AF$1-Units!$Q117,12)=0),IF(AND(Units!$L117=1,AF$1=Units!$Q117),IF(Units!$J117&lt;&gt;"",Units!$J117,Mkt!AF118),Inputs!$B$15*Mkt!AF118+(1-Inputs!$B$15)*MIN(Mkt!AF118,AE118*(1+Inputs!$B$18))),AE118)))</f>
        <v>1962.665</v>
      </c>
      <c r="AG118" s="11" t="n">
        <f aca="false">IF(AG$1&lt;Units!$P117,0,IF(AND(Units!$K117=0,AG$1=Units!$O117),Units!$R117,IF(AND(AG$1&gt;=Units!$Q117,MOD(AG$1-Units!$Q117,12)=0),IF(AND(Units!$L117=1,AG$1=Units!$Q117),IF(Units!$J117&lt;&gt;"",Units!$J117,Mkt!AG118),Inputs!$B$15*Mkt!AG118+(1-Inputs!$B$15)*MIN(Mkt!AG118,AF118*(1+Inputs!$B$18))),AF118)))</f>
        <v>1962.665</v>
      </c>
      <c r="AH118" s="11" t="n">
        <f aca="false">IF(AH$1&lt;Units!$P117,0,IF(AND(Units!$K117=0,AH$1=Units!$O117),Units!$R117,IF(AND(AH$1&gt;=Units!$Q117,MOD(AH$1-Units!$Q117,12)=0),IF(AND(Units!$L117=1,AH$1=Units!$Q117),IF(Units!$J117&lt;&gt;"",Units!$J117,Mkt!AH118),Inputs!$B$15*Mkt!AH118+(1-Inputs!$B$15)*MIN(Mkt!AH118,AG118*(1+Inputs!$B$18))),AG118)))</f>
        <v>1962.665</v>
      </c>
      <c r="AI118" s="11" t="n">
        <f aca="false">IF(AI$1&lt;Units!$P117,0,IF(AND(Units!$K117=0,AI$1=Units!$O117),Units!$R117,IF(AND(AI$1&gt;=Units!$Q117,MOD(AI$1-Units!$Q117,12)=0),IF(AND(Units!$L117=1,AI$1=Units!$Q117),IF(Units!$J117&lt;&gt;"",Units!$J117,Mkt!AI118),Inputs!$B$15*Mkt!AI118+(1-Inputs!$B$15)*MIN(Mkt!AI118,AH118*(1+Inputs!$B$18))),AH118)))</f>
        <v>1962.665</v>
      </c>
      <c r="AJ118" s="11" t="n">
        <f aca="false">IF(AJ$1&lt;Units!$P117,0,IF(AND(Units!$K117=0,AJ$1=Units!$O117),Units!$R117,IF(AND(AJ$1&gt;=Units!$Q117,MOD(AJ$1-Units!$Q117,12)=0),IF(AND(Units!$L117=1,AJ$1=Units!$Q117),IF(Units!$J117&lt;&gt;"",Units!$J117,Mkt!AJ118),Inputs!$B$15*Mkt!AJ118+(1-Inputs!$B$15)*MIN(Mkt!AJ118,AI118*(1+Inputs!$B$18))),AI118)))</f>
        <v>1962.665</v>
      </c>
      <c r="AK118" s="11" t="n">
        <f aca="false">IF(AK$1&lt;Units!$P117,0,IF(AND(Units!$K117=0,AK$1=Units!$O117),Units!$R117,IF(AND(AK$1&gt;=Units!$Q117,MOD(AK$1-Units!$Q117,12)=0),IF(AND(Units!$L117=1,AK$1=Units!$Q117),IF(Units!$J117&lt;&gt;"",Units!$J117,Mkt!AK118),Inputs!$B$15*Mkt!AK118+(1-Inputs!$B$15)*MIN(Mkt!AK118,AJ118*(1+Inputs!$B$18))),AJ118)))</f>
        <v>1962.665</v>
      </c>
      <c r="AL118" s="11" t="n">
        <f aca="false">IF(AL$1&lt;Units!$P117,0,IF(AND(Units!$K117=0,AL$1=Units!$O117),Units!$R117,IF(AND(AL$1&gt;=Units!$Q117,MOD(AL$1-Units!$Q117,12)=0),IF(AND(Units!$L117=1,AL$1=Units!$Q117),IF(Units!$J117&lt;&gt;"",Units!$J117,Mkt!AL118),Inputs!$B$15*Mkt!AL118+(1-Inputs!$B$15)*MIN(Mkt!AL118,AK118*(1+Inputs!$B$18))),AK118)))</f>
        <v>1962.665</v>
      </c>
      <c r="AM118" s="11" t="n">
        <f aca="false">IF(AM$1&lt;Units!$P117,0,IF(AND(Units!$K117=0,AM$1=Units!$O117),Units!$R117,IF(AND(AM$1&gt;=Units!$Q117,MOD(AM$1-Units!$Q117,12)=0),IF(AND(Units!$L117=1,AM$1=Units!$Q117),IF(Units!$J117&lt;&gt;"",Units!$J117,Mkt!AM118),Inputs!$B$15*Mkt!AM118+(1-Inputs!$B$15)*MIN(Mkt!AM118,AL118*(1+Inputs!$B$18))),AL118)))</f>
        <v>1962.665</v>
      </c>
      <c r="AN118" s="11" t="n">
        <f aca="false">IF(AN$1&lt;Units!$P117,0,IF(AND(Units!$K117=0,AN$1=Units!$O117),Units!$R117,IF(AND(AN$1&gt;=Units!$Q117,MOD(AN$1-Units!$Q117,12)=0),IF(AND(Units!$L117=1,AN$1=Units!$Q117),IF(Units!$J117&lt;&gt;"",Units!$J117,Mkt!AN118),Inputs!$B$15*Mkt!AN118+(1-Inputs!$B$15)*MIN(Mkt!AN118,AM118*(1+Inputs!$B$18))),AM118)))</f>
        <v>1962.665</v>
      </c>
      <c r="AO118" s="11" t="n">
        <f aca="false">IF(AO$1&lt;Units!$P117,0,IF(AND(Units!$K117=0,AO$1=Units!$O117),Units!$R117,IF(AND(AO$1&gt;=Units!$Q117,MOD(AO$1-Units!$Q117,12)=0),IF(AND(Units!$L117=1,AO$1=Units!$Q117),IF(Units!$J117&lt;&gt;"",Units!$J117,Mkt!AO118),Inputs!$B$15*Mkt!AO118+(1-Inputs!$B$15)*MIN(Mkt!AO118,AN118*(1+Inputs!$B$18))),AN118)))</f>
        <v>2021.54495</v>
      </c>
      <c r="AP118" s="11" t="n">
        <f aca="false">IF(AP$1&lt;Units!$P117,0,IF(AND(Units!$K117=0,AP$1=Units!$O117),Units!$R117,IF(AND(AP$1&gt;=Units!$Q117,MOD(AP$1-Units!$Q117,12)=0),IF(AND(Units!$L117=1,AP$1=Units!$Q117),IF(Units!$J117&lt;&gt;"",Units!$J117,Mkt!AP118),Inputs!$B$15*Mkt!AP118+(1-Inputs!$B$15)*MIN(Mkt!AP118,AO118*(1+Inputs!$B$18))),AO118)))</f>
        <v>2021.54495</v>
      </c>
      <c r="AQ118" s="11" t="n">
        <f aca="false">IF(AQ$1&lt;Units!$P117,0,IF(AND(Units!$K117=0,AQ$1=Units!$O117),Units!$R117,IF(AND(AQ$1&gt;=Units!$Q117,MOD(AQ$1-Units!$Q117,12)=0),IF(AND(Units!$L117=1,AQ$1=Units!$Q117),IF(Units!$J117&lt;&gt;"",Units!$J117,Mkt!AQ118),Inputs!$B$15*Mkt!AQ118+(1-Inputs!$B$15)*MIN(Mkt!AQ118,AP118*(1+Inputs!$B$18))),AP118)))</f>
        <v>2021.54495</v>
      </c>
      <c r="AR118" s="11" t="n">
        <f aca="false">IF(AR$1&lt;Units!$P117,0,IF(AND(Units!$K117=0,AR$1=Units!$O117),Units!$R117,IF(AND(AR$1&gt;=Units!$Q117,MOD(AR$1-Units!$Q117,12)=0),IF(AND(Units!$L117=1,AR$1=Units!$Q117),IF(Units!$J117&lt;&gt;"",Units!$J117,Mkt!AR118),Inputs!$B$15*Mkt!AR118+(1-Inputs!$B$15)*MIN(Mkt!AR118,AQ118*(1+Inputs!$B$18))),AQ118)))</f>
        <v>2021.54495</v>
      </c>
      <c r="AS118" s="11" t="n">
        <f aca="false">IF(AS$1&lt;Units!$P117,0,IF(AND(Units!$K117=0,AS$1=Units!$O117),Units!$R117,IF(AND(AS$1&gt;=Units!$Q117,MOD(AS$1-Units!$Q117,12)=0),IF(AND(Units!$L117=1,AS$1=Units!$Q117),IF(Units!$J117&lt;&gt;"",Units!$J117,Mkt!AS118),Inputs!$B$15*Mkt!AS118+(1-Inputs!$B$15)*MIN(Mkt!AS118,AR118*(1+Inputs!$B$18))),AR118)))</f>
        <v>2021.54495</v>
      </c>
      <c r="AT118" s="11" t="n">
        <f aca="false">IF(AT$1&lt;Units!$P117,0,IF(AND(Units!$K117=0,AT$1=Units!$O117),Units!$R117,IF(AND(AT$1&gt;=Units!$Q117,MOD(AT$1-Units!$Q117,12)=0),IF(AND(Units!$L117=1,AT$1=Units!$Q117),IF(Units!$J117&lt;&gt;"",Units!$J117,Mkt!AT118),Inputs!$B$15*Mkt!AT118+(1-Inputs!$B$15)*MIN(Mkt!AT118,AS118*(1+Inputs!$B$18))),AS118)))</f>
        <v>2021.54495</v>
      </c>
      <c r="AU118" s="11" t="n">
        <f aca="false">IF(AU$1&lt;Units!$P117,0,IF(AND(Units!$K117=0,AU$1=Units!$O117),Units!$R117,IF(AND(AU$1&gt;=Units!$Q117,MOD(AU$1-Units!$Q117,12)=0),IF(AND(Units!$L117=1,AU$1=Units!$Q117),IF(Units!$J117&lt;&gt;"",Units!$J117,Mkt!AU118),Inputs!$B$15*Mkt!AU118+(1-Inputs!$B$15)*MIN(Mkt!AU118,AT118*(1+Inputs!$B$18))),AT118)))</f>
        <v>2021.54495</v>
      </c>
      <c r="AV118" s="11" t="n">
        <f aca="false">IF(AV$1&lt;Units!$P117,0,IF(AND(Units!$K117=0,AV$1=Units!$O117),Units!$R117,IF(AND(AV$1&gt;=Units!$Q117,MOD(AV$1-Units!$Q117,12)=0),IF(AND(Units!$L117=1,AV$1=Units!$Q117),IF(Units!$J117&lt;&gt;"",Units!$J117,Mkt!AV118),Inputs!$B$15*Mkt!AV118+(1-Inputs!$B$15)*MIN(Mkt!AV118,AU118*(1+Inputs!$B$18))),AU118)))</f>
        <v>2021.54495</v>
      </c>
      <c r="AW118" s="11" t="n">
        <f aca="false">IF(AW$1&lt;Units!$P117,0,IF(AND(Units!$K117=0,AW$1=Units!$O117),Units!$R117,IF(AND(AW$1&gt;=Units!$Q117,MOD(AW$1-Units!$Q117,12)=0),IF(AND(Units!$L117=1,AW$1=Units!$Q117),IF(Units!$J117&lt;&gt;"",Units!$J117,Mkt!AW118),Inputs!$B$15*Mkt!AW118+(1-Inputs!$B$15)*MIN(Mkt!AW118,AV118*(1+Inputs!$B$18))),AV118)))</f>
        <v>2021.54495</v>
      </c>
      <c r="AX118" s="11" t="n">
        <f aca="false">IF(AX$1&lt;Units!$P117,0,IF(AND(Units!$K117=0,AX$1=Units!$O117),Units!$R117,IF(AND(AX$1&gt;=Units!$Q117,MOD(AX$1-Units!$Q117,12)=0),IF(AND(Units!$L117=1,AX$1=Units!$Q117),IF(Units!$J117&lt;&gt;"",Units!$J117,Mkt!AX118),Inputs!$B$15*Mkt!AX118+(1-Inputs!$B$15)*MIN(Mkt!AX118,AW118*(1+Inputs!$B$18))),AW118)))</f>
        <v>2021.54495</v>
      </c>
      <c r="AY118" s="11" t="n">
        <f aca="false">IF(AY$1&lt;Units!$P117,0,IF(AND(Units!$K117=0,AY$1=Units!$O117),Units!$R117,IF(AND(AY$1&gt;=Units!$Q117,MOD(AY$1-Units!$Q117,12)=0),IF(AND(Units!$L117=1,AY$1=Units!$Q117),IF(Units!$J117&lt;&gt;"",Units!$J117,Mkt!AY118),Inputs!$B$15*Mkt!AY118+(1-Inputs!$B$15)*MIN(Mkt!AY118,AX118*(1+Inputs!$B$18))),AX118)))</f>
        <v>2021.54495</v>
      </c>
      <c r="AZ118" s="11" t="n">
        <f aca="false">IF(AZ$1&lt;Units!$P117,0,IF(AND(Units!$K117=0,AZ$1=Units!$O117),Units!$R117,IF(AND(AZ$1&gt;=Units!$Q117,MOD(AZ$1-Units!$Q117,12)=0),IF(AND(Units!$L117=1,AZ$1=Units!$Q117),IF(Units!$J117&lt;&gt;"",Units!$J117,Mkt!AZ118),Inputs!$B$15*Mkt!AZ118+(1-Inputs!$B$15)*MIN(Mkt!AZ118,AY118*(1+Inputs!$B$18))),AY118)))</f>
        <v>2021.54495</v>
      </c>
      <c r="BA118" s="11" t="n">
        <f aca="false">IF(BA$1&lt;Units!$P117,0,IF(AND(Units!$K117=0,BA$1=Units!$O117),Units!$R117,IF(AND(BA$1&gt;=Units!$Q117,MOD(BA$1-Units!$Q117,12)=0),IF(AND(Units!$L117=1,BA$1=Units!$Q117),IF(Units!$J117&lt;&gt;"",Units!$J117,Mkt!BA118),Inputs!$B$15*Mkt!BA118+(1-Inputs!$B$15)*MIN(Mkt!BA118,AZ118*(1+Inputs!$B$18))),AZ118)))</f>
        <v>2082.1912985</v>
      </c>
      <c r="BB118" s="11" t="n">
        <f aca="false">IF(BB$1&lt;Units!$P117,0,IF(AND(Units!$K117=0,BB$1=Units!$O117),Units!$R117,IF(AND(BB$1&gt;=Units!$Q117,MOD(BB$1-Units!$Q117,12)=0),IF(AND(Units!$L117=1,BB$1=Units!$Q117),IF(Units!$J117&lt;&gt;"",Units!$J117,Mkt!BB118),Inputs!$B$15*Mkt!BB118+(1-Inputs!$B$15)*MIN(Mkt!BB118,BA118*(1+Inputs!$B$18))),BA118)))</f>
        <v>2082.1912985</v>
      </c>
      <c r="BC118" s="11" t="n">
        <f aca="false">IF(BC$1&lt;Units!$P117,0,IF(AND(Units!$K117=0,BC$1=Units!$O117),Units!$R117,IF(AND(BC$1&gt;=Units!$Q117,MOD(BC$1-Units!$Q117,12)=0),IF(AND(Units!$L117=1,BC$1=Units!$Q117),IF(Units!$J117&lt;&gt;"",Units!$J117,Mkt!BC118),Inputs!$B$15*Mkt!BC118+(1-Inputs!$B$15)*MIN(Mkt!BC118,BB118*(1+Inputs!$B$18))),BB118)))</f>
        <v>2082.1912985</v>
      </c>
      <c r="BD118" s="11" t="n">
        <f aca="false">IF(BD$1&lt;Units!$P117,0,IF(AND(Units!$K117=0,BD$1=Units!$O117),Units!$R117,IF(AND(BD$1&gt;=Units!$Q117,MOD(BD$1-Units!$Q117,12)=0),IF(AND(Units!$L117=1,BD$1=Units!$Q117),IF(Units!$J117&lt;&gt;"",Units!$J117,Mkt!BD118),Inputs!$B$15*Mkt!BD118+(1-Inputs!$B$15)*MIN(Mkt!BD118,BC118*(1+Inputs!$B$18))),BC118)))</f>
        <v>2082.1912985</v>
      </c>
      <c r="BE118" s="11" t="n">
        <f aca="false">IF(BE$1&lt;Units!$P117,0,IF(AND(Units!$K117=0,BE$1=Units!$O117),Units!$R117,IF(AND(BE$1&gt;=Units!$Q117,MOD(BE$1-Units!$Q117,12)=0),IF(AND(Units!$L117=1,BE$1=Units!$Q117),IF(Units!$J117&lt;&gt;"",Units!$J117,Mkt!BE118),Inputs!$B$15*Mkt!BE118+(1-Inputs!$B$15)*MIN(Mkt!BE118,BD118*(1+Inputs!$B$18))),BD118)))</f>
        <v>2082.1912985</v>
      </c>
      <c r="BF118" s="11" t="n">
        <f aca="false">IF(BF$1&lt;Units!$P117,0,IF(AND(Units!$K117=0,BF$1=Units!$O117),Units!$R117,IF(AND(BF$1&gt;=Units!$Q117,MOD(BF$1-Units!$Q117,12)=0),IF(AND(Units!$L117=1,BF$1=Units!$Q117),IF(Units!$J117&lt;&gt;"",Units!$J117,Mkt!BF118),Inputs!$B$15*Mkt!BF118+(1-Inputs!$B$15)*MIN(Mkt!BF118,BE118*(1+Inputs!$B$18))),BE118)))</f>
        <v>2082.1912985</v>
      </c>
      <c r="BG118" s="11" t="n">
        <f aca="false">IF(BG$1&lt;Units!$P117,0,IF(AND(Units!$K117=0,BG$1=Units!$O117),Units!$R117,IF(AND(BG$1&gt;=Units!$Q117,MOD(BG$1-Units!$Q117,12)=0),IF(AND(Units!$L117=1,BG$1=Units!$Q117),IF(Units!$J117&lt;&gt;"",Units!$J117,Mkt!BG118),Inputs!$B$15*Mkt!BG118+(1-Inputs!$B$15)*MIN(Mkt!BG118,BF118*(1+Inputs!$B$18))),BF118)))</f>
        <v>2082.1912985</v>
      </c>
      <c r="BH118" s="11" t="n">
        <f aca="false">IF(BH$1&lt;Units!$P117,0,IF(AND(Units!$K117=0,BH$1=Units!$O117),Units!$R117,IF(AND(BH$1&gt;=Units!$Q117,MOD(BH$1-Units!$Q117,12)=0),IF(AND(Units!$L117=1,BH$1=Units!$Q117),IF(Units!$J117&lt;&gt;"",Units!$J117,Mkt!BH118),Inputs!$B$15*Mkt!BH118+(1-Inputs!$B$15)*MIN(Mkt!BH118,BG118*(1+Inputs!$B$18))),BG118)))</f>
        <v>2082.1912985</v>
      </c>
      <c r="BI118" s="11" t="n">
        <f aca="false">IF(BI$1&lt;Units!$P117,0,IF(AND(Units!$K117=0,BI$1=Units!$O117),Units!$R117,IF(AND(BI$1&gt;=Units!$Q117,MOD(BI$1-Units!$Q117,12)=0),IF(AND(Units!$L117=1,BI$1=Units!$Q117),IF(Units!$J117&lt;&gt;"",Units!$J117,Mkt!BI118),Inputs!$B$15*Mkt!BI118+(1-Inputs!$B$15)*MIN(Mkt!BI118,BH118*(1+Inputs!$B$18))),BH118)))</f>
        <v>2082.1912985</v>
      </c>
      <c r="BJ118" s="11" t="n">
        <f aca="false">IF(BJ$1&lt;Units!$P117,0,IF(AND(Units!$K117=0,BJ$1=Units!$O117),Units!$R117,IF(AND(BJ$1&gt;=Units!$Q117,MOD(BJ$1-Units!$Q117,12)=0),IF(AND(Units!$L117=1,BJ$1=Units!$Q117),IF(Units!$J117&lt;&gt;"",Units!$J117,Mkt!BJ118),Inputs!$B$15*Mkt!BJ118+(1-Inputs!$B$15)*MIN(Mkt!BJ118,BI118*(1+Inputs!$B$18))),BI118)))</f>
        <v>2082.1912985</v>
      </c>
      <c r="BK118" s="11" t="n">
        <f aca="false">IF(BK$1&lt;Units!$P117,0,IF(AND(Units!$K117=0,BK$1=Units!$O117),Units!$R117,IF(AND(BK$1&gt;=Units!$Q117,MOD(BK$1-Units!$Q117,12)=0),IF(AND(Units!$L117=1,BK$1=Units!$Q117),IF(Units!$J117&lt;&gt;"",Units!$J117,Mkt!BK118),Inputs!$B$15*Mkt!BK118+(1-Inputs!$B$15)*MIN(Mkt!BK118,BJ118*(1+Inputs!$B$18))),BJ118)))</f>
        <v>2082.1912985</v>
      </c>
      <c r="BL118" s="11" t="n">
        <f aca="false">IF(BL$1&lt;Units!$P117,0,IF(AND(Units!$K117=0,BL$1=Units!$O117),Units!$R117,IF(AND(BL$1&gt;=Units!$Q117,MOD(BL$1-Units!$Q117,12)=0),IF(AND(Units!$L117=1,BL$1=Units!$Q117),IF(Units!$J117&lt;&gt;"",Units!$J117,Mkt!BL118),Inputs!$B$15*Mkt!BL118+(1-Inputs!$B$15)*MIN(Mkt!BL118,BK118*(1+Inputs!$B$18))),BK118)))</f>
        <v>2082.1912985</v>
      </c>
      <c r="BM118" s="11" t="n">
        <f aca="false">IF(BM$1&lt;Units!$P117,0,IF(AND(Units!$K117=0,BM$1=Units!$O117),Units!$R117,IF(AND(BM$1&gt;=Units!$Q117,MOD(BM$1-Units!$Q117,12)=0),IF(AND(Units!$L117=1,BM$1=Units!$Q117),IF(Units!$J117&lt;&gt;"",Units!$J117,Mkt!BM118),Inputs!$B$15*Mkt!BM118+(1-Inputs!$B$15)*MIN(Mkt!BM118,BL118*(1+Inputs!$B$18))),BL118)))</f>
        <v>2144.657037455</v>
      </c>
      <c r="BN118" s="11" t="n">
        <f aca="false">IF(BN$1&lt;Units!$P117,0,IF(AND(Units!$K117=0,BN$1=Units!$O117),Units!$R117,IF(AND(BN$1&gt;=Units!$Q117,MOD(BN$1-Units!$Q117,12)=0),IF(AND(Units!$L117=1,BN$1=Units!$Q117),IF(Units!$J117&lt;&gt;"",Units!$J117,Mkt!BN118),Inputs!$B$15*Mkt!BN118+(1-Inputs!$B$15)*MIN(Mkt!BN118,BM118*(1+Inputs!$B$18))),BM118)))</f>
        <v>2144.657037455</v>
      </c>
      <c r="BO118" s="11" t="n">
        <f aca="false">IF(BO$1&lt;Units!$P117,0,IF(AND(Units!$K117=0,BO$1=Units!$O117),Units!$R117,IF(AND(BO$1&gt;=Units!$Q117,MOD(BO$1-Units!$Q117,12)=0),IF(AND(Units!$L117=1,BO$1=Units!$Q117),IF(Units!$J117&lt;&gt;"",Units!$J117,Mkt!BO118),Inputs!$B$15*Mkt!BO118+(1-Inputs!$B$15)*MIN(Mkt!BO118,BN118*(1+Inputs!$B$18))),BN118)))</f>
        <v>2144.657037455</v>
      </c>
      <c r="BP118" s="11" t="n">
        <f aca="false">IF(BP$1&lt;Units!$P117,0,IF(AND(Units!$K117=0,BP$1=Units!$O117),Units!$R117,IF(AND(BP$1&gt;=Units!$Q117,MOD(BP$1-Units!$Q117,12)=0),IF(AND(Units!$L117=1,BP$1=Units!$Q117),IF(Units!$J117&lt;&gt;"",Units!$J117,Mkt!BP118),Inputs!$B$15*Mkt!BP118+(1-Inputs!$B$15)*MIN(Mkt!BP118,BO118*(1+Inputs!$B$18))),BO118)))</f>
        <v>2144.657037455</v>
      </c>
      <c r="BQ118" s="11" t="n">
        <f aca="false">IF(BQ$1&lt;Units!$P117,0,IF(AND(Units!$K117=0,BQ$1=Units!$O117),Units!$R117,IF(AND(BQ$1&gt;=Units!$Q117,MOD(BQ$1-Units!$Q117,12)=0),IF(AND(Units!$L117=1,BQ$1=Units!$Q117),IF(Units!$J117&lt;&gt;"",Units!$J117,Mkt!BQ118),Inputs!$B$15*Mkt!BQ118+(1-Inputs!$B$15)*MIN(Mkt!BQ118,BP118*(1+Inputs!$B$18))),BP118)))</f>
        <v>2144.657037455</v>
      </c>
      <c r="BR118" s="11" t="n">
        <f aca="false">IF(BR$1&lt;Units!$P117,0,IF(AND(Units!$K117=0,BR$1=Units!$O117),Units!$R117,IF(AND(BR$1&gt;=Units!$Q117,MOD(BR$1-Units!$Q117,12)=0),IF(AND(Units!$L117=1,BR$1=Units!$Q117),IF(Units!$J117&lt;&gt;"",Units!$J117,Mkt!BR118),Inputs!$B$15*Mkt!BR118+(1-Inputs!$B$15)*MIN(Mkt!BR118,BQ118*(1+Inputs!$B$18))),BQ118)))</f>
        <v>2144.657037455</v>
      </c>
      <c r="BS118" s="11" t="n">
        <f aca="false">IF(BS$1&lt;Units!$P117,0,IF(AND(Units!$K117=0,BS$1=Units!$O117),Units!$R117,IF(AND(BS$1&gt;=Units!$Q117,MOD(BS$1-Units!$Q117,12)=0),IF(AND(Units!$L117=1,BS$1=Units!$Q117),IF(Units!$J117&lt;&gt;"",Units!$J117,Mkt!BS118),Inputs!$B$15*Mkt!BS118+(1-Inputs!$B$15)*MIN(Mkt!BS118,BR118*(1+Inputs!$B$18))),BR118)))</f>
        <v>2144.657037455</v>
      </c>
      <c r="BT118" s="11" t="n">
        <f aca="false">IF(BT$1&lt;Units!$P117,0,IF(AND(Units!$K117=0,BT$1=Units!$O117),Units!$R117,IF(AND(BT$1&gt;=Units!$Q117,MOD(BT$1-Units!$Q117,12)=0),IF(AND(Units!$L117=1,BT$1=Units!$Q117),IF(Units!$J117&lt;&gt;"",Units!$J117,Mkt!BT118),Inputs!$B$15*Mkt!BT118+(1-Inputs!$B$15)*MIN(Mkt!BT118,BS118*(1+Inputs!$B$18))),BS118)))</f>
        <v>2144.657037455</v>
      </c>
      <c r="BU118" s="11" t="n">
        <f aca="false">IF(BU$1&lt;Units!$P117,0,IF(AND(Units!$K117=0,BU$1=Units!$O117),Units!$R117,IF(AND(BU$1&gt;=Units!$Q117,MOD(BU$1-Units!$Q117,12)=0),IF(AND(Units!$L117=1,BU$1=Units!$Q117),IF(Units!$J117&lt;&gt;"",Units!$J117,Mkt!BU118),Inputs!$B$15*Mkt!BU118+(1-Inputs!$B$15)*MIN(Mkt!BU118,BT118*(1+Inputs!$B$18))),BT118)))</f>
        <v>2144.657037455</v>
      </c>
      <c r="BV118" s="11" t="n">
        <f aca="false">IF(BV$1&lt;Units!$P117,0,IF(AND(Units!$K117=0,BV$1=Units!$O117),Units!$R117,IF(AND(BV$1&gt;=Units!$Q117,MOD(BV$1-Units!$Q117,12)=0),IF(AND(Units!$L117=1,BV$1=Units!$Q117),IF(Units!$J117&lt;&gt;"",Units!$J117,Mkt!BV118),Inputs!$B$15*Mkt!BV118+(1-Inputs!$B$15)*MIN(Mkt!BV118,BU118*(1+Inputs!$B$18))),BU118)))</f>
        <v>2144.657037455</v>
      </c>
      <c r="BW118" s="11" t="n">
        <f aca="false">IF(BW$1&lt;Units!$P117,0,IF(AND(Units!$K117=0,BW$1=Units!$O117),Units!$R117,IF(AND(BW$1&gt;=Units!$Q117,MOD(BW$1-Units!$Q117,12)=0),IF(AND(Units!$L117=1,BW$1=Units!$Q117),IF(Units!$J117&lt;&gt;"",Units!$J117,Mkt!BW118),Inputs!$B$15*Mkt!BW118+(1-Inputs!$B$15)*MIN(Mkt!BW118,BV118*(1+Inputs!$B$18))),BV118)))</f>
        <v>2144.657037455</v>
      </c>
      <c r="BX118" s="11" t="n">
        <f aca="false">IF(BX$1&lt;Units!$P117,0,IF(AND(Units!$K117=0,BX$1=Units!$O117),Units!$R117,IF(AND(BX$1&gt;=Units!$Q117,MOD(BX$1-Units!$Q117,12)=0),IF(AND(Units!$L117=1,BX$1=Units!$Q117),IF(Units!$J117&lt;&gt;"",Units!$J117,Mkt!BX118),Inputs!$B$15*Mkt!BX118+(1-Inputs!$B$15)*MIN(Mkt!BX118,BW118*(1+Inputs!$B$18))),BW118)))</f>
        <v>2144.657037455</v>
      </c>
      <c r="BY118" s="11" t="n">
        <f aca="false">IF(BY$1&lt;Units!$P117,0,IF(AND(Units!$K117=0,BY$1=Units!$O117),Units!$R117,IF(AND(BY$1&gt;=Units!$Q117,MOD(BY$1-Units!$Q117,12)=0),IF(AND(Units!$L117=1,BY$1=Units!$Q117),IF(Units!$J117&lt;&gt;"",Units!$J117,Mkt!BY118),Inputs!$B$15*Mkt!BY118+(1-Inputs!$B$15)*MIN(Mkt!BY118,BX118*(1+Inputs!$B$18))),BX118)))</f>
        <v>2208.99674857865</v>
      </c>
      <c r="BZ118" s="11" t="n">
        <f aca="false">IF(BZ$1&lt;Units!$P117,0,IF(AND(Units!$K117=0,BZ$1=Units!$O117),Units!$R117,IF(AND(BZ$1&gt;=Units!$Q117,MOD(BZ$1-Units!$Q117,12)=0),IF(AND(Units!$L117=1,BZ$1=Units!$Q117),IF(Units!$J117&lt;&gt;"",Units!$J117,Mkt!BZ118),Inputs!$B$15*Mkt!BZ118+(1-Inputs!$B$15)*MIN(Mkt!BZ118,BY118*(1+Inputs!$B$18))),BY118)))</f>
        <v>2208.99674857865</v>
      </c>
      <c r="CA118" s="11" t="n">
        <f aca="false">IF(CA$1&lt;Units!$P117,0,IF(AND(Units!$K117=0,CA$1=Units!$O117),Units!$R117,IF(AND(CA$1&gt;=Units!$Q117,MOD(CA$1-Units!$Q117,12)=0),IF(AND(Units!$L117=1,CA$1=Units!$Q117),IF(Units!$J117&lt;&gt;"",Units!$J117,Mkt!CA118),Inputs!$B$15*Mkt!CA118+(1-Inputs!$B$15)*MIN(Mkt!CA118,BZ118*(1+Inputs!$B$18))),BZ118)))</f>
        <v>2208.99674857865</v>
      </c>
      <c r="CB118" s="11" t="n">
        <f aca="false">IF(CB$1&lt;Units!$P117,0,IF(AND(Units!$K117=0,CB$1=Units!$O117),Units!$R117,IF(AND(CB$1&gt;=Units!$Q117,MOD(CB$1-Units!$Q117,12)=0),IF(AND(Units!$L117=1,CB$1=Units!$Q117),IF(Units!$J117&lt;&gt;"",Units!$J117,Mkt!CB118),Inputs!$B$15*Mkt!CB118+(1-Inputs!$B$15)*MIN(Mkt!CB118,CA118*(1+Inputs!$B$18))),CA118)))</f>
        <v>2208.99674857865</v>
      </c>
      <c r="CC118" s="11" t="n">
        <f aca="false">IF(CC$1&lt;Units!$P117,0,IF(AND(Units!$K117=0,CC$1=Units!$O117),Units!$R117,IF(AND(CC$1&gt;=Units!$Q117,MOD(CC$1-Units!$Q117,12)=0),IF(AND(Units!$L117=1,CC$1=Units!$Q117),IF(Units!$J117&lt;&gt;"",Units!$J117,Mkt!CC118),Inputs!$B$15*Mkt!CC118+(1-Inputs!$B$15)*MIN(Mkt!CC118,CB118*(1+Inputs!$B$18))),CB118)))</f>
        <v>2208.99674857865</v>
      </c>
      <c r="CD118" s="11" t="n">
        <f aca="false">IF(CD$1&lt;Units!$P117,0,IF(AND(Units!$K117=0,CD$1=Units!$O117),Units!$R117,IF(AND(CD$1&gt;=Units!$Q117,MOD(CD$1-Units!$Q117,12)=0),IF(AND(Units!$L117=1,CD$1=Units!$Q117),IF(Units!$J117&lt;&gt;"",Units!$J117,Mkt!CD118),Inputs!$B$15*Mkt!CD118+(1-Inputs!$B$15)*MIN(Mkt!CD118,CC118*(1+Inputs!$B$18))),CC118)))</f>
        <v>2208.99674857865</v>
      </c>
      <c r="CE118" s="11" t="n">
        <f aca="false">IF(CE$1&lt;Units!$P117,0,IF(AND(Units!$K117=0,CE$1=Units!$O117),Units!$R117,IF(AND(CE$1&gt;=Units!$Q117,MOD(CE$1-Units!$Q117,12)=0),IF(AND(Units!$L117=1,CE$1=Units!$Q117),IF(Units!$J117&lt;&gt;"",Units!$J117,Mkt!CE118),Inputs!$B$15*Mkt!CE118+(1-Inputs!$B$15)*MIN(Mkt!CE118,CD118*(1+Inputs!$B$18))),CD118)))</f>
        <v>2208.99674857865</v>
      </c>
      <c r="CF118" s="11" t="n">
        <f aca="false">IF(CF$1&lt;Units!$P117,0,IF(AND(Units!$K117=0,CF$1=Units!$O117),Units!$R117,IF(AND(CF$1&gt;=Units!$Q117,MOD(CF$1-Units!$Q117,12)=0),IF(AND(Units!$L117=1,CF$1=Units!$Q117),IF(Units!$J117&lt;&gt;"",Units!$J117,Mkt!CF118),Inputs!$B$15*Mkt!CF118+(1-Inputs!$B$15)*MIN(Mkt!CF118,CE118*(1+Inputs!$B$18))),CE118)))</f>
        <v>2208.99674857865</v>
      </c>
      <c r="CG118" s="11" t="n">
        <f aca="false">IF(CG$1&lt;Units!$P117,0,IF(AND(Units!$K117=0,CG$1=Units!$O117),Units!$R117,IF(AND(CG$1&gt;=Units!$Q117,MOD(CG$1-Units!$Q117,12)=0),IF(AND(Units!$L117=1,CG$1=Units!$Q117),IF(Units!$J117&lt;&gt;"",Units!$J117,Mkt!CG118),Inputs!$B$15*Mkt!CG118+(1-Inputs!$B$15)*MIN(Mkt!CG118,CF118*(1+Inputs!$B$18))),CF118)))</f>
        <v>2208.99674857865</v>
      </c>
      <c r="CH118" s="11" t="n">
        <f aca="false">IF(CH$1&lt;Units!$P117,0,IF(AND(Units!$K117=0,CH$1=Units!$O117),Units!$R117,IF(AND(CH$1&gt;=Units!$Q117,MOD(CH$1-Units!$Q117,12)=0),IF(AND(Units!$L117=1,CH$1=Units!$Q117),IF(Units!$J117&lt;&gt;"",Units!$J117,Mkt!CH118),Inputs!$B$15*Mkt!CH118+(1-Inputs!$B$15)*MIN(Mkt!CH118,CG118*(1+Inputs!$B$18))),CG118)))</f>
        <v>2208.99674857865</v>
      </c>
      <c r="CI118" s="11" t="n">
        <f aca="false">IF(CI$1&lt;Units!$P117,0,IF(AND(Units!$K117=0,CI$1=Units!$O117),Units!$R117,IF(AND(CI$1&gt;=Units!$Q117,MOD(CI$1-Units!$Q117,12)=0),IF(AND(Units!$L117=1,CI$1=Units!$Q117),IF(Units!$J117&lt;&gt;"",Units!$J117,Mkt!CI118),Inputs!$B$15*Mkt!CI118+(1-Inputs!$B$15)*MIN(Mkt!CI118,CH118*(1+Inputs!$B$18))),CH118)))</f>
        <v>2208.99674857865</v>
      </c>
      <c r="CJ118" s="11" t="n">
        <f aca="false">IF(CJ$1&lt;Units!$P117,0,IF(AND(Units!$K117=0,CJ$1=Units!$O117),Units!$R117,IF(AND(CJ$1&gt;=Units!$Q117,MOD(CJ$1-Units!$Q117,12)=0),IF(AND(Units!$L117=1,CJ$1=Units!$Q117),IF(Units!$J117&lt;&gt;"",Units!$J117,Mkt!CJ118),Inputs!$B$15*Mkt!CJ118+(1-Inputs!$B$15)*MIN(Mkt!CJ118,CI118*(1+Inputs!$B$18))),CI118)))</f>
        <v>2208.99674857865</v>
      </c>
      <c r="CK118" s="11" t="n">
        <f aca="false">IF(CK$1&lt;Units!$P117,0,IF(AND(Units!$K117=0,CK$1=Units!$O117),Units!$R117,IF(AND(CK$1&gt;=Units!$Q117,MOD(CK$1-Units!$Q117,12)=0),IF(AND(Units!$L117=1,CK$1=Units!$Q117),IF(Units!$J117&lt;&gt;"",Units!$J117,Mkt!CK118),Inputs!$B$15*Mkt!CK118+(1-Inputs!$B$15)*MIN(Mkt!CK118,CJ118*(1+Inputs!$B$18))),CJ118)))</f>
        <v>2275.26665103601</v>
      </c>
      <c r="CL118" s="11" t="n">
        <f aca="false">IF(CL$1&lt;Units!$P117,0,IF(AND(Units!$K117=0,CL$1=Units!$O117),Units!$R117,IF(AND(CL$1&gt;=Units!$Q117,MOD(CL$1-Units!$Q117,12)=0),IF(AND(Units!$L117=1,CL$1=Units!$Q117),IF(Units!$J117&lt;&gt;"",Units!$J117,Mkt!CL118),Inputs!$B$15*Mkt!CL118+(1-Inputs!$B$15)*MIN(Mkt!CL118,CK118*(1+Inputs!$B$18))),CK118)))</f>
        <v>2275.26665103601</v>
      </c>
      <c r="CM118" s="11" t="n">
        <f aca="false">IF(CM$1&lt;Units!$P117,0,IF(AND(Units!$K117=0,CM$1=Units!$O117),Units!$R117,IF(AND(CM$1&gt;=Units!$Q117,MOD(CM$1-Units!$Q117,12)=0),IF(AND(Units!$L117=1,CM$1=Units!$Q117),IF(Units!$J117&lt;&gt;"",Units!$J117,Mkt!CM118),Inputs!$B$15*Mkt!CM118+(1-Inputs!$B$15)*MIN(Mkt!CM118,CL118*(1+Inputs!$B$18))),CL118)))</f>
        <v>2275.26665103601</v>
      </c>
      <c r="CN118" s="11" t="n">
        <f aca="false">IF(CN$1&lt;Units!$P117,0,IF(AND(Units!$K117=0,CN$1=Units!$O117),Units!$R117,IF(AND(CN$1&gt;=Units!$Q117,MOD(CN$1-Units!$Q117,12)=0),IF(AND(Units!$L117=1,CN$1=Units!$Q117),IF(Units!$J117&lt;&gt;"",Units!$J117,Mkt!CN118),Inputs!$B$15*Mkt!CN118+(1-Inputs!$B$15)*MIN(Mkt!CN118,CM118*(1+Inputs!$B$18))),CM118)))</f>
        <v>2275.26665103601</v>
      </c>
      <c r="CO118" s="11" t="n">
        <f aca="false">IF(CO$1&lt;Units!$P117,0,IF(AND(Units!$K117=0,CO$1=Units!$O117),Units!$R117,IF(AND(CO$1&gt;=Units!$Q117,MOD(CO$1-Units!$Q117,12)=0),IF(AND(Units!$L117=1,CO$1=Units!$Q117),IF(Units!$J117&lt;&gt;"",Units!$J117,Mkt!CO118),Inputs!$B$15*Mkt!CO118+(1-Inputs!$B$15)*MIN(Mkt!CO118,CN118*(1+Inputs!$B$18))),CN118)))</f>
        <v>2275.26665103601</v>
      </c>
      <c r="CP118" s="11" t="n">
        <f aca="false">IF(CP$1&lt;Units!$P117,0,IF(AND(Units!$K117=0,CP$1=Units!$O117),Units!$R117,IF(AND(CP$1&gt;=Units!$Q117,MOD(CP$1-Units!$Q117,12)=0),IF(AND(Units!$L117=1,CP$1=Units!$Q117),IF(Units!$J117&lt;&gt;"",Units!$J117,Mkt!CP118),Inputs!$B$15*Mkt!CP118+(1-Inputs!$B$15)*MIN(Mkt!CP118,CO118*(1+Inputs!$B$18))),CO118)))</f>
        <v>2275.26665103601</v>
      </c>
      <c r="CQ118" s="11" t="n">
        <f aca="false">IF(CQ$1&lt;Units!$P117,0,IF(AND(Units!$K117=0,CQ$1=Units!$O117),Units!$R117,IF(AND(CQ$1&gt;=Units!$Q117,MOD(CQ$1-Units!$Q117,12)=0),IF(AND(Units!$L117=1,CQ$1=Units!$Q117),IF(Units!$J117&lt;&gt;"",Units!$J117,Mkt!CQ118),Inputs!$B$15*Mkt!CQ118+(1-Inputs!$B$15)*MIN(Mkt!CQ118,CP118*(1+Inputs!$B$18))),CP118)))</f>
        <v>2275.26665103601</v>
      </c>
      <c r="CR118" s="11" t="n">
        <f aca="false">IF(CR$1&lt;Units!$P117,0,IF(AND(Units!$K117=0,CR$1=Units!$O117),Units!$R117,IF(AND(CR$1&gt;=Units!$Q117,MOD(CR$1-Units!$Q117,12)=0),IF(AND(Units!$L117=1,CR$1=Units!$Q117),IF(Units!$J117&lt;&gt;"",Units!$J117,Mkt!CR118),Inputs!$B$15*Mkt!CR118+(1-Inputs!$B$15)*MIN(Mkt!CR118,CQ118*(1+Inputs!$B$18))),CQ118)))</f>
        <v>2275.26665103601</v>
      </c>
      <c r="CS118" s="11" t="n">
        <f aca="false">IF(CS$1&lt;Units!$P117,0,IF(AND(Units!$K117=0,CS$1=Units!$O117),Units!$R117,IF(AND(CS$1&gt;=Units!$Q117,MOD(CS$1-Units!$Q117,12)=0),IF(AND(Units!$L117=1,CS$1=Units!$Q117),IF(Units!$J117&lt;&gt;"",Units!$J117,Mkt!CS118),Inputs!$B$15*Mkt!CS118+(1-Inputs!$B$15)*MIN(Mkt!CS118,CR118*(1+Inputs!$B$18))),CR118)))</f>
        <v>2275.26665103601</v>
      </c>
      <c r="CT118" s="11" t="n">
        <f aca="false">IF(CT$1&lt;Units!$P117,0,IF(AND(Units!$K117=0,CT$1=Units!$O117),Units!$R117,IF(AND(CT$1&gt;=Units!$Q117,MOD(CT$1-Units!$Q117,12)=0),IF(AND(Units!$L117=1,CT$1=Units!$Q117),IF(Units!$J117&lt;&gt;"",Units!$J117,Mkt!CT118),Inputs!$B$15*Mkt!CT118+(1-Inputs!$B$15)*MIN(Mkt!CT118,CS118*(1+Inputs!$B$18))),CS118)))</f>
        <v>2275.26665103601</v>
      </c>
      <c r="CU118" s="11" t="n">
        <f aca="false">IF(CU$1&lt;Units!$P117,0,IF(AND(Units!$K117=0,CU$1=Units!$O117),Units!$R117,IF(AND(CU$1&gt;=Units!$Q117,MOD(CU$1-Units!$Q117,12)=0),IF(AND(Units!$L117=1,CU$1=Units!$Q117),IF(Units!$J117&lt;&gt;"",Units!$J117,Mkt!CU118),Inputs!$B$15*Mkt!CU118+(1-Inputs!$B$15)*MIN(Mkt!CU118,CT118*(1+Inputs!$B$18))),CT118)))</f>
        <v>2275.26665103601</v>
      </c>
      <c r="CV118" s="11" t="n">
        <f aca="false">IF(CV$1&lt;Units!$P117,0,IF(AND(Units!$K117=0,CV$1=Units!$O117),Units!$R117,IF(AND(CV$1&gt;=Units!$Q117,MOD(CV$1-Units!$Q117,12)=0),IF(AND(Units!$L117=1,CV$1=Units!$Q117),IF(Units!$J117&lt;&gt;"",Units!$J117,Mkt!CV118),Inputs!$B$15*Mkt!CV118+(1-Inputs!$B$15)*MIN(Mkt!CV118,CU118*(1+Inputs!$B$18))),CU118)))</f>
        <v>2275.26665103601</v>
      </c>
      <c r="CW118" s="11" t="n">
        <f aca="false">IF(CW$1&lt;Units!$P117,0,IF(AND(Units!$K117=0,CW$1=Units!$O117),Units!$R117,IF(AND(CW$1&gt;=Units!$Q117,MOD(CW$1-Units!$Q117,12)=0),IF(AND(Units!$L117=1,CW$1=Units!$Q117),IF(Units!$J117&lt;&gt;"",Units!$J117,Mkt!CW118),Inputs!$B$15*Mkt!CW118+(1-Inputs!$B$15)*MIN(Mkt!CW118,CV118*(1+Inputs!$B$18))),CV118)))</f>
        <v>2343.52465056709</v>
      </c>
      <c r="CX118" s="11" t="n">
        <f aca="false">IF(CX$1&lt;Units!$P117,0,IF(AND(Units!$K117=0,CX$1=Units!$O117),Units!$R117,IF(AND(CX$1&gt;=Units!$Q117,MOD(CX$1-Units!$Q117,12)=0),IF(AND(Units!$L117=1,CX$1=Units!$Q117),IF(Units!$J117&lt;&gt;"",Units!$J117,Mkt!CX118),Inputs!$B$15*Mkt!CX118+(1-Inputs!$B$15)*MIN(Mkt!CX118,CW118*(1+Inputs!$B$18))),CW118)))</f>
        <v>2343.52465056709</v>
      </c>
      <c r="CY118" s="11" t="n">
        <f aca="false">IF(CY$1&lt;Units!$P117,0,IF(AND(Units!$K117=0,CY$1=Units!$O117),Units!$R117,IF(AND(CY$1&gt;=Units!$Q117,MOD(CY$1-Units!$Q117,12)=0),IF(AND(Units!$L117=1,CY$1=Units!$Q117),IF(Units!$J117&lt;&gt;"",Units!$J117,Mkt!CY118),Inputs!$B$15*Mkt!CY118+(1-Inputs!$B$15)*MIN(Mkt!CY118,CX118*(1+Inputs!$B$18))),CX118)))</f>
        <v>2343.52465056709</v>
      </c>
      <c r="CZ118" s="11" t="n">
        <f aca="false">IF(CZ$1&lt;Units!$P117,0,IF(AND(Units!$K117=0,CZ$1=Units!$O117),Units!$R117,IF(AND(CZ$1&gt;=Units!$Q117,MOD(CZ$1-Units!$Q117,12)=0),IF(AND(Units!$L117=1,CZ$1=Units!$Q117),IF(Units!$J117&lt;&gt;"",Units!$J117,Mkt!CZ118),Inputs!$B$15*Mkt!CZ118+(1-Inputs!$B$15)*MIN(Mkt!CZ118,CY118*(1+Inputs!$B$18))),CY118)))</f>
        <v>2343.52465056709</v>
      </c>
      <c r="DA118" s="11" t="n">
        <f aca="false">IF(DA$1&lt;Units!$P117,0,IF(AND(Units!$K117=0,DA$1=Units!$O117),Units!$R117,IF(AND(DA$1&gt;=Units!$Q117,MOD(DA$1-Units!$Q117,12)=0),IF(AND(Units!$L117=1,DA$1=Units!$Q117),IF(Units!$J117&lt;&gt;"",Units!$J117,Mkt!DA118),Inputs!$B$15*Mkt!DA118+(1-Inputs!$B$15)*MIN(Mkt!DA118,CZ118*(1+Inputs!$B$18))),CZ118)))</f>
        <v>2343.52465056709</v>
      </c>
      <c r="DB118" s="11" t="n">
        <f aca="false">IF(DB$1&lt;Units!$P117,0,IF(AND(Units!$K117=0,DB$1=Units!$O117),Units!$R117,IF(AND(DB$1&gt;=Units!$Q117,MOD(DB$1-Units!$Q117,12)=0),IF(AND(Units!$L117=1,DB$1=Units!$Q117),IF(Units!$J117&lt;&gt;"",Units!$J117,Mkt!DB118),Inputs!$B$15*Mkt!DB118+(1-Inputs!$B$15)*MIN(Mkt!DB118,DA118*(1+Inputs!$B$18))),DA118)))</f>
        <v>2343.52465056709</v>
      </c>
      <c r="DC118" s="11" t="n">
        <f aca="false">IF(DC$1&lt;Units!$P117,0,IF(AND(Units!$K117=0,DC$1=Units!$O117),Units!$R117,IF(AND(DC$1&gt;=Units!$Q117,MOD(DC$1-Units!$Q117,12)=0),IF(AND(Units!$L117=1,DC$1=Units!$Q117),IF(Units!$J117&lt;&gt;"",Units!$J117,Mkt!DC118),Inputs!$B$15*Mkt!DC118+(1-Inputs!$B$15)*MIN(Mkt!DC118,DB118*(1+Inputs!$B$18))),DB118)))</f>
        <v>2343.52465056709</v>
      </c>
      <c r="DD118" s="11" t="n">
        <f aca="false">IF(DD$1&lt;Units!$P117,0,IF(AND(Units!$K117=0,DD$1=Units!$O117),Units!$R117,IF(AND(DD$1&gt;=Units!$Q117,MOD(DD$1-Units!$Q117,12)=0),IF(AND(Units!$L117=1,DD$1=Units!$Q117),IF(Units!$J117&lt;&gt;"",Units!$J117,Mkt!DD118),Inputs!$B$15*Mkt!DD118+(1-Inputs!$B$15)*MIN(Mkt!DD118,DC118*(1+Inputs!$B$18))),DC118)))</f>
        <v>2343.52465056709</v>
      </c>
      <c r="DE118" s="11" t="n">
        <f aca="false">IF(DE$1&lt;Units!$P117,0,IF(AND(Units!$K117=0,DE$1=Units!$O117),Units!$R117,IF(AND(DE$1&gt;=Units!$Q117,MOD(DE$1-Units!$Q117,12)=0),IF(AND(Units!$L117=1,DE$1=Units!$Q117),IF(Units!$J117&lt;&gt;"",Units!$J117,Mkt!DE118),Inputs!$B$15*Mkt!DE118+(1-Inputs!$B$15)*MIN(Mkt!DE118,DD118*(1+Inputs!$B$18))),DD118)))</f>
        <v>2343.52465056709</v>
      </c>
      <c r="DF118" s="11" t="n">
        <f aca="false">IF(DF$1&lt;Units!$P117,0,IF(AND(Units!$K117=0,DF$1=Units!$O117),Units!$R117,IF(AND(DF$1&gt;=Units!$Q117,MOD(DF$1-Units!$Q117,12)=0),IF(AND(Units!$L117=1,DF$1=Units!$Q117),IF(Units!$J117&lt;&gt;"",Units!$J117,Mkt!DF118),Inputs!$B$15*Mkt!DF118+(1-Inputs!$B$15)*MIN(Mkt!DF118,DE118*(1+Inputs!$B$18))),DE118)))</f>
        <v>2343.52465056709</v>
      </c>
      <c r="DG118" s="11" t="n">
        <f aca="false">IF(DG$1&lt;Units!$P117,0,IF(AND(Units!$K117=0,DG$1=Units!$O117),Units!$R117,IF(AND(DG$1&gt;=Units!$Q117,MOD(DG$1-Units!$Q117,12)=0),IF(AND(Units!$L117=1,DG$1=Units!$Q117),IF(Units!$J117&lt;&gt;"",Units!$J117,Mkt!DG118),Inputs!$B$15*Mkt!DG118+(1-Inputs!$B$15)*MIN(Mkt!DG118,DF118*(1+Inputs!$B$18))),DF118)))</f>
        <v>2343.52465056709</v>
      </c>
      <c r="DH118" s="11" t="n">
        <f aca="false">IF(DH$1&lt;Units!$P117,0,IF(AND(Units!$K117=0,DH$1=Units!$O117),Units!$R117,IF(AND(DH$1&gt;=Units!$Q117,MOD(DH$1-Units!$Q117,12)=0),IF(AND(Units!$L117=1,DH$1=Units!$Q117),IF(Units!$J117&lt;&gt;"",Units!$J117,Mkt!DH118),Inputs!$B$15*Mkt!DH118+(1-Inputs!$B$15)*MIN(Mkt!DH118,DG118*(1+Inputs!$B$18))),DG118)))</f>
        <v>2343.52465056709</v>
      </c>
      <c r="DI118" s="11" t="n">
        <f aca="false">IF(DI$1&lt;Units!$P117,0,IF(AND(Units!$K117=0,DI$1=Units!$O117),Units!$R117,IF(AND(DI$1&gt;=Units!$Q117,MOD(DI$1-Units!$Q117,12)=0),IF(AND(Units!$L117=1,DI$1=Units!$Q117),IF(Units!$J117&lt;&gt;"",Units!$J117,Mkt!DI118),Inputs!$B$15*Mkt!DI118+(1-Inputs!$B$15)*MIN(Mkt!DI118,DH118*(1+Inputs!$B$18))),DH118)))</f>
        <v>2413.8303900841</v>
      </c>
      <c r="DJ118" s="11" t="n">
        <f aca="false">IF(DJ$1&lt;Units!$P117,0,IF(AND(Units!$K117=0,DJ$1=Units!$O117),Units!$R117,IF(AND(DJ$1&gt;=Units!$Q117,MOD(DJ$1-Units!$Q117,12)=0),IF(AND(Units!$L117=1,DJ$1=Units!$Q117),IF(Units!$J117&lt;&gt;"",Units!$J117,Mkt!DJ118),Inputs!$B$15*Mkt!DJ118+(1-Inputs!$B$15)*MIN(Mkt!DJ118,DI118*(1+Inputs!$B$18))),DI118)))</f>
        <v>2413.8303900841</v>
      </c>
      <c r="DK118" s="11" t="n">
        <f aca="false">IF(DK$1&lt;Units!$P117,0,IF(AND(Units!$K117=0,DK$1=Units!$O117),Units!$R117,IF(AND(DK$1&gt;=Units!$Q117,MOD(DK$1-Units!$Q117,12)=0),IF(AND(Units!$L117=1,DK$1=Units!$Q117),IF(Units!$J117&lt;&gt;"",Units!$J117,Mkt!DK118),Inputs!$B$15*Mkt!DK118+(1-Inputs!$B$15)*MIN(Mkt!DK118,DJ118*(1+Inputs!$B$18))),DJ118)))</f>
        <v>2413.8303900841</v>
      </c>
      <c r="DL118" s="11" t="n">
        <f aca="false">IF(DL$1&lt;Units!$P117,0,IF(AND(Units!$K117=0,DL$1=Units!$O117),Units!$R117,IF(AND(DL$1&gt;=Units!$Q117,MOD(DL$1-Units!$Q117,12)=0),IF(AND(Units!$L117=1,DL$1=Units!$Q117),IF(Units!$J117&lt;&gt;"",Units!$J117,Mkt!DL118),Inputs!$B$15*Mkt!DL118+(1-Inputs!$B$15)*MIN(Mkt!DL118,DK118*(1+Inputs!$B$18))),DK118)))</f>
        <v>2413.8303900841</v>
      </c>
      <c r="DM118" s="11" t="n">
        <f aca="false">IF(DM$1&lt;Units!$P117,0,IF(AND(Units!$K117=0,DM$1=Units!$O117),Units!$R117,IF(AND(DM$1&gt;=Units!$Q117,MOD(DM$1-Units!$Q117,12)=0),IF(AND(Units!$L117=1,DM$1=Units!$Q117),IF(Units!$J117&lt;&gt;"",Units!$J117,Mkt!DM118),Inputs!$B$15*Mkt!DM118+(1-Inputs!$B$15)*MIN(Mkt!DM118,DL118*(1+Inputs!$B$18))),DL118)))</f>
        <v>2413.8303900841</v>
      </c>
      <c r="DN118" s="11" t="n">
        <f aca="false">IF(DN$1&lt;Units!$P117,0,IF(AND(Units!$K117=0,DN$1=Units!$O117),Units!$R117,IF(AND(DN$1&gt;=Units!$Q117,MOD(DN$1-Units!$Q117,12)=0),IF(AND(Units!$L117=1,DN$1=Units!$Q117),IF(Units!$J117&lt;&gt;"",Units!$J117,Mkt!DN118),Inputs!$B$15*Mkt!DN118+(1-Inputs!$B$15)*MIN(Mkt!DN118,DM118*(1+Inputs!$B$18))),DM118)))</f>
        <v>2413.8303900841</v>
      </c>
      <c r="DO118" s="11" t="n">
        <f aca="false">IF(DO$1&lt;Units!$P117,0,IF(AND(Units!$K117=0,DO$1=Units!$O117),Units!$R117,IF(AND(DO$1&gt;=Units!$Q117,MOD(DO$1-Units!$Q117,12)=0),IF(AND(Units!$L117=1,DO$1=Units!$Q117),IF(Units!$J117&lt;&gt;"",Units!$J117,Mkt!DO118),Inputs!$B$15*Mkt!DO118+(1-Inputs!$B$15)*MIN(Mkt!DO118,DN118*(1+Inputs!$B$18))),DN118)))</f>
        <v>2413.8303900841</v>
      </c>
      <c r="DP118" s="11" t="n">
        <f aca="false">IF(DP$1&lt;Units!$P117,0,IF(AND(Units!$K117=0,DP$1=Units!$O117),Units!$R117,IF(AND(DP$1&gt;=Units!$Q117,MOD(DP$1-Units!$Q117,12)=0),IF(AND(Units!$L117=1,DP$1=Units!$Q117),IF(Units!$J117&lt;&gt;"",Units!$J117,Mkt!DP118),Inputs!$B$15*Mkt!DP118+(1-Inputs!$B$15)*MIN(Mkt!DP118,DO118*(1+Inputs!$B$18))),DO118)))</f>
        <v>2413.8303900841</v>
      </c>
      <c r="DQ118" s="11" t="n">
        <f aca="false">IF(DQ$1&lt;Units!$P117,0,IF(AND(Units!$K117=0,DQ$1=Units!$O117),Units!$R117,IF(AND(DQ$1&gt;=Units!$Q117,MOD(DQ$1-Units!$Q117,12)=0),IF(AND(Units!$L117=1,DQ$1=Units!$Q117),IF(Units!$J117&lt;&gt;"",Units!$J117,Mkt!DQ118),Inputs!$B$15*Mkt!DQ118+(1-Inputs!$B$15)*MIN(Mkt!DQ118,DP118*(1+Inputs!$B$18))),DP118)))</f>
        <v>2413.8303900841</v>
      </c>
      <c r="DR118" s="11" t="n">
        <f aca="false">IF(DR$1&lt;Units!$P117,0,IF(AND(Units!$K117=0,DR$1=Units!$O117),Units!$R117,IF(AND(DR$1&gt;=Units!$Q117,MOD(DR$1-Units!$Q117,12)=0),IF(AND(Units!$L117=1,DR$1=Units!$Q117),IF(Units!$J117&lt;&gt;"",Units!$J117,Mkt!DR118),Inputs!$B$15*Mkt!DR118+(1-Inputs!$B$15)*MIN(Mkt!DR118,DQ118*(1+Inputs!$B$18))),DQ118)))</f>
        <v>2413.8303900841</v>
      </c>
      <c r="DS118" s="11" t="n">
        <f aca="false">IF(DS$1&lt;Units!$P117,0,IF(AND(Units!$K117=0,DS$1=Units!$O117),Units!$R117,IF(AND(DS$1&gt;=Units!$Q117,MOD(DS$1-Units!$Q117,12)=0),IF(AND(Units!$L117=1,DS$1=Units!$Q117),IF(Units!$J117&lt;&gt;"",Units!$J117,Mkt!DS118),Inputs!$B$15*Mkt!DS118+(1-Inputs!$B$15)*MIN(Mkt!DS118,DR118*(1+Inputs!$B$18))),DR118)))</f>
        <v>2413.8303900841</v>
      </c>
      <c r="DT118" s="11" t="n">
        <f aca="false">IF(DT$1&lt;Units!$P117,0,IF(AND(Units!$K117=0,DT$1=Units!$O117),Units!$R117,IF(AND(DT$1&gt;=Units!$Q117,MOD(DT$1-Units!$Q117,12)=0),IF(AND(Units!$L117=1,DT$1=Units!$Q117),IF(Units!$J117&lt;&gt;"",Units!$J117,Mkt!DT118),Inputs!$B$15*Mkt!DT118+(1-Inputs!$B$15)*MIN(Mkt!DT118,DS118*(1+Inputs!$B$18))),DS118)))</f>
        <v>2413.8303900841</v>
      </c>
      <c r="DU118" s="11" t="n">
        <f aca="false">IF(DU$1&lt;Units!$P117,0,IF(AND(Units!$K117=0,DU$1=Units!$O117),Units!$R117,IF(AND(DU$1&gt;=Units!$Q117,MOD(DU$1-Units!$Q117,12)=0),IF(AND(Units!$L117=1,DU$1=Units!$Q117),IF(Units!$J117&lt;&gt;"",Units!$J117,Mkt!DU118),Inputs!$B$15*Mkt!DU118+(1-Inputs!$B$15)*MIN(Mkt!DU118,DT118*(1+Inputs!$B$18))),DT118)))</f>
        <v>2486.24530178663</v>
      </c>
      <c r="DV118" s="11" t="n">
        <f aca="false">IF(DV$1&lt;Units!$P117,0,IF(AND(Units!$K117=0,DV$1=Units!$O117),Units!$R117,IF(AND(DV$1&gt;=Units!$Q117,MOD(DV$1-Units!$Q117,12)=0),IF(AND(Units!$L117=1,DV$1=Units!$Q117),IF(Units!$J117&lt;&gt;"",Units!$J117,Mkt!DV118),Inputs!$B$15*Mkt!DV118+(1-Inputs!$B$15)*MIN(Mkt!DV118,DU118*(1+Inputs!$B$18))),DU118)))</f>
        <v>2486.24530178663</v>
      </c>
      <c r="DW118" s="11" t="n">
        <f aca="false">IF(DW$1&lt;Units!$P117,0,IF(AND(Units!$K117=0,DW$1=Units!$O117),Units!$R117,IF(AND(DW$1&gt;=Units!$Q117,MOD(DW$1-Units!$Q117,12)=0),IF(AND(Units!$L117=1,DW$1=Units!$Q117),IF(Units!$J117&lt;&gt;"",Units!$J117,Mkt!DW118),Inputs!$B$15*Mkt!DW118+(1-Inputs!$B$15)*MIN(Mkt!DW118,DV118*(1+Inputs!$B$18))),DV118)))</f>
        <v>2486.24530178663</v>
      </c>
      <c r="DX118" s="11" t="n">
        <f aca="false">IF(DX$1&lt;Units!$P117,0,IF(AND(Units!$K117=0,DX$1=Units!$O117),Units!$R117,IF(AND(DX$1&gt;=Units!$Q117,MOD(DX$1-Units!$Q117,12)=0),IF(AND(Units!$L117=1,DX$1=Units!$Q117),IF(Units!$J117&lt;&gt;"",Units!$J117,Mkt!DX118),Inputs!$B$15*Mkt!DX118+(1-Inputs!$B$15)*MIN(Mkt!DX118,DW118*(1+Inputs!$B$18))),DW118)))</f>
        <v>2486.24530178663</v>
      </c>
      <c r="DY118" s="11" t="n">
        <f aca="false">IF(DY$1&lt;Units!$P117,0,IF(AND(Units!$K117=0,DY$1=Units!$O117),Units!$R117,IF(AND(DY$1&gt;=Units!$Q117,MOD(DY$1-Units!$Q117,12)=0),IF(AND(Units!$L117=1,DY$1=Units!$Q117),IF(Units!$J117&lt;&gt;"",Units!$J117,Mkt!DY118),Inputs!$B$15*Mkt!DY118+(1-Inputs!$B$15)*MIN(Mkt!DY118,DX118*(1+Inputs!$B$18))),DX118)))</f>
        <v>2486.24530178663</v>
      </c>
      <c r="DZ118" s="11" t="n">
        <f aca="false">IF(DZ$1&lt;Units!$P117,0,IF(AND(Units!$K117=0,DZ$1=Units!$O117),Units!$R117,IF(AND(DZ$1&gt;=Units!$Q117,MOD(DZ$1-Units!$Q117,12)=0),IF(AND(Units!$L117=1,DZ$1=Units!$Q117),IF(Units!$J117&lt;&gt;"",Units!$J117,Mkt!DZ118),Inputs!$B$15*Mkt!DZ118+(1-Inputs!$B$15)*MIN(Mkt!DZ118,DY118*(1+Inputs!$B$18))),DY118)))</f>
        <v>2486.24530178663</v>
      </c>
      <c r="EA118" s="11" t="n">
        <f aca="false">IF(EA$1&lt;Units!$P117,0,IF(AND(Units!$K117=0,EA$1=Units!$O117),Units!$R117,IF(AND(EA$1&gt;=Units!$Q117,MOD(EA$1-Units!$Q117,12)=0),IF(AND(Units!$L117=1,EA$1=Units!$Q117),IF(Units!$J117&lt;&gt;"",Units!$J117,Mkt!EA118),Inputs!$B$15*Mkt!EA118+(1-Inputs!$B$15)*MIN(Mkt!EA118,DZ118*(1+Inputs!$B$18))),DZ118)))</f>
        <v>2486.24530178663</v>
      </c>
      <c r="EB118" s="11" t="n">
        <f aca="false">IF(EB$1&lt;Units!$P117,0,IF(AND(Units!$K117=0,EB$1=Units!$O117),Units!$R117,IF(AND(EB$1&gt;=Units!$Q117,MOD(EB$1-Units!$Q117,12)=0),IF(AND(Units!$L117=1,EB$1=Units!$Q117),IF(Units!$J117&lt;&gt;"",Units!$J117,Mkt!EB118),Inputs!$B$15*Mkt!EB118+(1-Inputs!$B$15)*MIN(Mkt!EB118,EA118*(1+Inputs!$B$18))),EA118)))</f>
        <v>2486.24530178663</v>
      </c>
      <c r="EC118" s="11" t="n">
        <f aca="false">IF(EC$1&lt;Units!$P117,0,IF(AND(Units!$K117=0,EC$1=Units!$O117),Units!$R117,IF(AND(EC$1&gt;=Units!$Q117,MOD(EC$1-Units!$Q117,12)=0),IF(AND(Units!$L117=1,EC$1=Units!$Q117),IF(Units!$J117&lt;&gt;"",Units!$J117,Mkt!EC118),Inputs!$B$15*Mkt!EC118+(1-Inputs!$B$15)*MIN(Mkt!EC118,EB118*(1+Inputs!$B$18))),EB118)))</f>
        <v>2486.24530178663</v>
      </c>
      <c r="ED118" s="11" t="n">
        <f aca="false">IF(ED$1&lt;Units!$P117,0,IF(AND(Units!$K117=0,ED$1=Units!$O117),Units!$R117,IF(AND(ED$1&gt;=Units!$Q117,MOD(ED$1-Units!$Q117,12)=0),IF(AND(Units!$L117=1,ED$1=Units!$Q117),IF(Units!$J117&lt;&gt;"",Units!$J117,Mkt!ED118),Inputs!$B$15*Mkt!ED118+(1-Inputs!$B$15)*MIN(Mkt!ED118,EC118*(1+Inputs!$B$18))),EC118)))</f>
        <v>2486.24530178663</v>
      </c>
    </row>
    <row r="119" customFormat="false" ht="15" hidden="false" customHeight="false" outlineLevel="0" collapsed="false">
      <c r="A119" s="22" t="n">
        <f aca="false">Units!A118</f>
        <v>427</v>
      </c>
      <c r="B119" s="24" t="n">
        <f aca="false">IF(Units!K118=1,Units!F118,0)</f>
        <v>0</v>
      </c>
      <c r="C119" s="11" t="n">
        <f aca="false">IF(C$1&lt;Units!$P118,0,IF(AND(Units!$K118=0,C$1=Units!$O118),Units!$R118,IF(AND(C$1&gt;=Units!$Q118,MOD(C$1-Units!$Q118,12)=0),IF(AND(Units!$L118=1,C$1=Units!$Q118),IF(Units!$J118&lt;&gt;"",Units!$J118,Mkt!C119),Inputs!$B$15*Mkt!C119+(1-Inputs!$B$15)*MIN(Mkt!C119,B119*(1+Inputs!$B$18))),B119)))</f>
        <v>1850</v>
      </c>
      <c r="D119" s="11" t="n">
        <f aca="false">IF(D$1&lt;Units!$P118,0,IF(AND(Units!$K118=0,D$1=Units!$O118),Units!$R118,IF(AND(D$1&gt;=Units!$Q118,MOD(D$1-Units!$Q118,12)=0),IF(AND(Units!$L118=1,D$1=Units!$Q118),IF(Units!$J118&lt;&gt;"",Units!$J118,Mkt!D119),Inputs!$B$15*Mkt!D119+(1-Inputs!$B$15)*MIN(Mkt!D119,C119*(1+Inputs!$B$18))),C119)))</f>
        <v>1850</v>
      </c>
      <c r="E119" s="11" t="n">
        <f aca="false">IF(E$1&lt;Units!$P118,0,IF(AND(Units!$K118=0,E$1=Units!$O118),Units!$R118,IF(AND(E$1&gt;=Units!$Q118,MOD(E$1-Units!$Q118,12)=0),IF(AND(Units!$L118=1,E$1=Units!$Q118),IF(Units!$J118&lt;&gt;"",Units!$J118,Mkt!E119),Inputs!$B$15*Mkt!E119+(1-Inputs!$B$15)*MIN(Mkt!E119,D119*(1+Inputs!$B$18))),D119)))</f>
        <v>1850</v>
      </c>
      <c r="F119" s="11" t="n">
        <f aca="false">IF(F$1&lt;Units!$P118,0,IF(AND(Units!$K118=0,F$1=Units!$O118),Units!$R118,IF(AND(F$1&gt;=Units!$Q118,MOD(F$1-Units!$Q118,12)=0),IF(AND(Units!$L118=1,F$1=Units!$Q118),IF(Units!$J118&lt;&gt;"",Units!$J118,Mkt!F119),Inputs!$B$15*Mkt!F119+(1-Inputs!$B$15)*MIN(Mkt!F119,E119*(1+Inputs!$B$18))),E119)))</f>
        <v>1850</v>
      </c>
      <c r="G119" s="11" t="n">
        <f aca="false">IF(G$1&lt;Units!$P118,0,IF(AND(Units!$K118=0,G$1=Units!$O118),Units!$R118,IF(AND(G$1&gt;=Units!$Q118,MOD(G$1-Units!$Q118,12)=0),IF(AND(Units!$L118=1,G$1=Units!$Q118),IF(Units!$J118&lt;&gt;"",Units!$J118,Mkt!G119),Inputs!$B$15*Mkt!G119+(1-Inputs!$B$15)*MIN(Mkt!G119,F119*(1+Inputs!$B$18))),F119)))</f>
        <v>1850</v>
      </c>
      <c r="H119" s="11" t="n">
        <f aca="false">IF(H$1&lt;Units!$P118,0,IF(AND(Units!$K118=0,H$1=Units!$O118),Units!$R118,IF(AND(H$1&gt;=Units!$Q118,MOD(H$1-Units!$Q118,12)=0),IF(AND(Units!$L118=1,H$1=Units!$Q118),IF(Units!$J118&lt;&gt;"",Units!$J118,Mkt!H119),Inputs!$B$15*Mkt!H119+(1-Inputs!$B$15)*MIN(Mkt!H119,G119*(1+Inputs!$B$18))),G119)))</f>
        <v>1850</v>
      </c>
      <c r="I119" s="11" t="n">
        <f aca="false">IF(I$1&lt;Units!$P118,0,IF(AND(Units!$K118=0,I$1=Units!$O118),Units!$R118,IF(AND(I$1&gt;=Units!$Q118,MOD(I$1-Units!$Q118,12)=0),IF(AND(Units!$L118=1,I$1=Units!$Q118),IF(Units!$J118&lt;&gt;"",Units!$J118,Mkt!I119),Inputs!$B$15*Mkt!I119+(1-Inputs!$B$15)*MIN(Mkt!I119,H119*(1+Inputs!$B$18))),H119)))</f>
        <v>1850</v>
      </c>
      <c r="J119" s="11" t="n">
        <f aca="false">IF(J$1&lt;Units!$P118,0,IF(AND(Units!$K118=0,J$1=Units!$O118),Units!$R118,IF(AND(J$1&gt;=Units!$Q118,MOD(J$1-Units!$Q118,12)=0),IF(AND(Units!$L118=1,J$1=Units!$Q118),IF(Units!$J118&lt;&gt;"",Units!$J118,Mkt!J119),Inputs!$B$15*Mkt!J119+(1-Inputs!$B$15)*MIN(Mkt!J119,I119*(1+Inputs!$B$18))),I119)))</f>
        <v>1850</v>
      </c>
      <c r="K119" s="11" t="n">
        <f aca="false">IF(K$1&lt;Units!$P118,0,IF(AND(Units!$K118=0,K$1=Units!$O118),Units!$R118,IF(AND(K$1&gt;=Units!$Q118,MOD(K$1-Units!$Q118,12)=0),IF(AND(Units!$L118=1,K$1=Units!$Q118),IF(Units!$J118&lt;&gt;"",Units!$J118,Mkt!K119),Inputs!$B$15*Mkt!K119+(1-Inputs!$B$15)*MIN(Mkt!K119,J119*(1+Inputs!$B$18))),J119)))</f>
        <v>1850</v>
      </c>
      <c r="L119" s="11" t="n">
        <f aca="false">IF(L$1&lt;Units!$P118,0,IF(AND(Units!$K118=0,L$1=Units!$O118),Units!$R118,IF(AND(L$1&gt;=Units!$Q118,MOD(L$1-Units!$Q118,12)=0),IF(AND(Units!$L118=1,L$1=Units!$Q118),IF(Units!$J118&lt;&gt;"",Units!$J118,Mkt!L119),Inputs!$B$15*Mkt!L119+(1-Inputs!$B$15)*MIN(Mkt!L119,K119*(1+Inputs!$B$18))),K119)))</f>
        <v>1850</v>
      </c>
      <c r="M119" s="11" t="n">
        <f aca="false">IF(M$1&lt;Units!$P118,0,IF(AND(Units!$K118=0,M$1=Units!$O118),Units!$R118,IF(AND(M$1&gt;=Units!$Q118,MOD(M$1-Units!$Q118,12)=0),IF(AND(Units!$L118=1,M$1=Units!$Q118),IF(Units!$J118&lt;&gt;"",Units!$J118,Mkt!M119),Inputs!$B$15*Mkt!M119+(1-Inputs!$B$15)*MIN(Mkt!M119,L119*(1+Inputs!$B$18))),L119)))</f>
        <v>1850</v>
      </c>
      <c r="N119" s="11" t="n">
        <f aca="false">IF(N$1&lt;Units!$P118,0,IF(AND(Units!$K118=0,N$1=Units!$O118),Units!$R118,IF(AND(N$1&gt;=Units!$Q118,MOD(N$1-Units!$Q118,12)=0),IF(AND(Units!$L118=1,N$1=Units!$Q118),IF(Units!$J118&lt;&gt;"",Units!$J118,Mkt!N119),Inputs!$B$15*Mkt!N119+(1-Inputs!$B$15)*MIN(Mkt!N119,M119*(1+Inputs!$B$18))),M119)))</f>
        <v>1850</v>
      </c>
      <c r="O119" s="11" t="n">
        <f aca="false">IF(O$1&lt;Units!$P118,0,IF(AND(Units!$K118=0,O$1=Units!$O118),Units!$R118,IF(AND(O$1&gt;=Units!$Q118,MOD(O$1-Units!$Q118,12)=0),IF(AND(Units!$L118=1,O$1=Units!$Q118),IF(Units!$J118&lt;&gt;"",Units!$J118,Mkt!O119),Inputs!$B$15*Mkt!O119+(1-Inputs!$B$15)*MIN(Mkt!O119,N119*(1+Inputs!$B$18))),N119)))</f>
        <v>1905.5</v>
      </c>
      <c r="P119" s="11" t="n">
        <f aca="false">IF(P$1&lt;Units!$P118,0,IF(AND(Units!$K118=0,P$1=Units!$O118),Units!$R118,IF(AND(P$1&gt;=Units!$Q118,MOD(P$1-Units!$Q118,12)=0),IF(AND(Units!$L118=1,P$1=Units!$Q118),IF(Units!$J118&lt;&gt;"",Units!$J118,Mkt!P119),Inputs!$B$15*Mkt!P119+(1-Inputs!$B$15)*MIN(Mkt!P119,O119*(1+Inputs!$B$18))),O119)))</f>
        <v>1905.5</v>
      </c>
      <c r="Q119" s="11" t="n">
        <f aca="false">IF(Q$1&lt;Units!$P118,0,IF(AND(Units!$K118=0,Q$1=Units!$O118),Units!$R118,IF(AND(Q$1&gt;=Units!$Q118,MOD(Q$1-Units!$Q118,12)=0),IF(AND(Units!$L118=1,Q$1=Units!$Q118),IF(Units!$J118&lt;&gt;"",Units!$J118,Mkt!Q119),Inputs!$B$15*Mkt!Q119+(1-Inputs!$B$15)*MIN(Mkt!Q119,P119*(1+Inputs!$B$18))),P119)))</f>
        <v>1905.5</v>
      </c>
      <c r="R119" s="11" t="n">
        <f aca="false">IF(R$1&lt;Units!$P118,0,IF(AND(Units!$K118=0,R$1=Units!$O118),Units!$R118,IF(AND(R$1&gt;=Units!$Q118,MOD(R$1-Units!$Q118,12)=0),IF(AND(Units!$L118=1,R$1=Units!$Q118),IF(Units!$J118&lt;&gt;"",Units!$J118,Mkt!R119),Inputs!$B$15*Mkt!R119+(1-Inputs!$B$15)*MIN(Mkt!R119,Q119*(1+Inputs!$B$18))),Q119)))</f>
        <v>1905.5</v>
      </c>
      <c r="S119" s="11" t="n">
        <f aca="false">IF(S$1&lt;Units!$P118,0,IF(AND(Units!$K118=0,S$1=Units!$O118),Units!$R118,IF(AND(S$1&gt;=Units!$Q118,MOD(S$1-Units!$Q118,12)=0),IF(AND(Units!$L118=1,S$1=Units!$Q118),IF(Units!$J118&lt;&gt;"",Units!$J118,Mkt!S119),Inputs!$B$15*Mkt!S119+(1-Inputs!$B$15)*MIN(Mkt!S119,R119*(1+Inputs!$B$18))),R119)))</f>
        <v>1905.5</v>
      </c>
      <c r="T119" s="11" t="n">
        <f aca="false">IF(T$1&lt;Units!$P118,0,IF(AND(Units!$K118=0,T$1=Units!$O118),Units!$R118,IF(AND(T$1&gt;=Units!$Q118,MOD(T$1-Units!$Q118,12)=0),IF(AND(Units!$L118=1,T$1=Units!$Q118),IF(Units!$J118&lt;&gt;"",Units!$J118,Mkt!T119),Inputs!$B$15*Mkt!T119+(1-Inputs!$B$15)*MIN(Mkt!T119,S119*(1+Inputs!$B$18))),S119)))</f>
        <v>1905.5</v>
      </c>
      <c r="U119" s="11" t="n">
        <f aca="false">IF(U$1&lt;Units!$P118,0,IF(AND(Units!$K118=0,U$1=Units!$O118),Units!$R118,IF(AND(U$1&gt;=Units!$Q118,MOD(U$1-Units!$Q118,12)=0),IF(AND(Units!$L118=1,U$1=Units!$Q118),IF(Units!$J118&lt;&gt;"",Units!$J118,Mkt!U119),Inputs!$B$15*Mkt!U119+(1-Inputs!$B$15)*MIN(Mkt!U119,T119*(1+Inputs!$B$18))),T119)))</f>
        <v>1905.5</v>
      </c>
      <c r="V119" s="11" t="n">
        <f aca="false">IF(V$1&lt;Units!$P118,0,IF(AND(Units!$K118=0,V$1=Units!$O118),Units!$R118,IF(AND(V$1&gt;=Units!$Q118,MOD(V$1-Units!$Q118,12)=0),IF(AND(Units!$L118=1,V$1=Units!$Q118),IF(Units!$J118&lt;&gt;"",Units!$J118,Mkt!V119),Inputs!$B$15*Mkt!V119+(1-Inputs!$B$15)*MIN(Mkt!V119,U119*(1+Inputs!$B$18))),U119)))</f>
        <v>1905.5</v>
      </c>
      <c r="W119" s="11" t="n">
        <f aca="false">IF(W$1&lt;Units!$P118,0,IF(AND(Units!$K118=0,W$1=Units!$O118),Units!$R118,IF(AND(W$1&gt;=Units!$Q118,MOD(W$1-Units!$Q118,12)=0),IF(AND(Units!$L118=1,W$1=Units!$Q118),IF(Units!$J118&lt;&gt;"",Units!$J118,Mkt!W119),Inputs!$B$15*Mkt!W119+(1-Inputs!$B$15)*MIN(Mkt!W119,V119*(1+Inputs!$B$18))),V119)))</f>
        <v>1905.5</v>
      </c>
      <c r="X119" s="11" t="n">
        <f aca="false">IF(X$1&lt;Units!$P118,0,IF(AND(Units!$K118=0,X$1=Units!$O118),Units!$R118,IF(AND(X$1&gt;=Units!$Q118,MOD(X$1-Units!$Q118,12)=0),IF(AND(Units!$L118=1,X$1=Units!$Q118),IF(Units!$J118&lt;&gt;"",Units!$J118,Mkt!X119),Inputs!$B$15*Mkt!X119+(1-Inputs!$B$15)*MIN(Mkt!X119,W119*(1+Inputs!$B$18))),W119)))</f>
        <v>1905.5</v>
      </c>
      <c r="Y119" s="11" t="n">
        <f aca="false">IF(Y$1&lt;Units!$P118,0,IF(AND(Units!$K118=0,Y$1=Units!$O118),Units!$R118,IF(AND(Y$1&gt;=Units!$Q118,MOD(Y$1-Units!$Q118,12)=0),IF(AND(Units!$L118=1,Y$1=Units!$Q118),IF(Units!$J118&lt;&gt;"",Units!$J118,Mkt!Y119),Inputs!$B$15*Mkt!Y119+(1-Inputs!$B$15)*MIN(Mkt!Y119,X119*(1+Inputs!$B$18))),X119)))</f>
        <v>1905.5</v>
      </c>
      <c r="Z119" s="11" t="n">
        <f aca="false">IF(Z$1&lt;Units!$P118,0,IF(AND(Units!$K118=0,Z$1=Units!$O118),Units!$R118,IF(AND(Z$1&gt;=Units!$Q118,MOD(Z$1-Units!$Q118,12)=0),IF(AND(Units!$L118=1,Z$1=Units!$Q118),IF(Units!$J118&lt;&gt;"",Units!$J118,Mkt!Z119),Inputs!$B$15*Mkt!Z119+(1-Inputs!$B$15)*MIN(Mkt!Z119,Y119*(1+Inputs!$B$18))),Y119)))</f>
        <v>1905.5</v>
      </c>
      <c r="AA119" s="11" t="n">
        <f aca="false">IF(AA$1&lt;Units!$P118,0,IF(AND(Units!$K118=0,AA$1=Units!$O118),Units!$R118,IF(AND(AA$1&gt;=Units!$Q118,MOD(AA$1-Units!$Q118,12)=0),IF(AND(Units!$L118=1,AA$1=Units!$Q118),IF(Units!$J118&lt;&gt;"",Units!$J118,Mkt!AA119),Inputs!$B$15*Mkt!AA119+(1-Inputs!$B$15)*MIN(Mkt!AA119,Z119*(1+Inputs!$B$18))),Z119)))</f>
        <v>1962.665</v>
      </c>
      <c r="AB119" s="11" t="n">
        <f aca="false">IF(AB$1&lt;Units!$P118,0,IF(AND(Units!$K118=0,AB$1=Units!$O118),Units!$R118,IF(AND(AB$1&gt;=Units!$Q118,MOD(AB$1-Units!$Q118,12)=0),IF(AND(Units!$L118=1,AB$1=Units!$Q118),IF(Units!$J118&lt;&gt;"",Units!$J118,Mkt!AB119),Inputs!$B$15*Mkt!AB119+(1-Inputs!$B$15)*MIN(Mkt!AB119,AA119*(1+Inputs!$B$18))),AA119)))</f>
        <v>1962.665</v>
      </c>
      <c r="AC119" s="11" t="n">
        <f aca="false">IF(AC$1&lt;Units!$P118,0,IF(AND(Units!$K118=0,AC$1=Units!$O118),Units!$R118,IF(AND(AC$1&gt;=Units!$Q118,MOD(AC$1-Units!$Q118,12)=0),IF(AND(Units!$L118=1,AC$1=Units!$Q118),IF(Units!$J118&lt;&gt;"",Units!$J118,Mkt!AC119),Inputs!$B$15*Mkt!AC119+(1-Inputs!$B$15)*MIN(Mkt!AC119,AB119*(1+Inputs!$B$18))),AB119)))</f>
        <v>1962.665</v>
      </c>
      <c r="AD119" s="11" t="n">
        <f aca="false">IF(AD$1&lt;Units!$P118,0,IF(AND(Units!$K118=0,AD$1=Units!$O118),Units!$R118,IF(AND(AD$1&gt;=Units!$Q118,MOD(AD$1-Units!$Q118,12)=0),IF(AND(Units!$L118=1,AD$1=Units!$Q118),IF(Units!$J118&lt;&gt;"",Units!$J118,Mkt!AD119),Inputs!$B$15*Mkt!AD119+(1-Inputs!$B$15)*MIN(Mkt!AD119,AC119*(1+Inputs!$B$18))),AC119)))</f>
        <v>1962.665</v>
      </c>
      <c r="AE119" s="11" t="n">
        <f aca="false">IF(AE$1&lt;Units!$P118,0,IF(AND(Units!$K118=0,AE$1=Units!$O118),Units!$R118,IF(AND(AE$1&gt;=Units!$Q118,MOD(AE$1-Units!$Q118,12)=0),IF(AND(Units!$L118=1,AE$1=Units!$Q118),IF(Units!$J118&lt;&gt;"",Units!$J118,Mkt!AE119),Inputs!$B$15*Mkt!AE119+(1-Inputs!$B$15)*MIN(Mkt!AE119,AD119*(1+Inputs!$B$18))),AD119)))</f>
        <v>1962.665</v>
      </c>
      <c r="AF119" s="11" t="n">
        <f aca="false">IF(AF$1&lt;Units!$P118,0,IF(AND(Units!$K118=0,AF$1=Units!$O118),Units!$R118,IF(AND(AF$1&gt;=Units!$Q118,MOD(AF$1-Units!$Q118,12)=0),IF(AND(Units!$L118=1,AF$1=Units!$Q118),IF(Units!$J118&lt;&gt;"",Units!$J118,Mkt!AF119),Inputs!$B$15*Mkt!AF119+(1-Inputs!$B$15)*MIN(Mkt!AF119,AE119*(1+Inputs!$B$18))),AE119)))</f>
        <v>1962.665</v>
      </c>
      <c r="AG119" s="11" t="n">
        <f aca="false">IF(AG$1&lt;Units!$P118,0,IF(AND(Units!$K118=0,AG$1=Units!$O118),Units!$R118,IF(AND(AG$1&gt;=Units!$Q118,MOD(AG$1-Units!$Q118,12)=0),IF(AND(Units!$L118=1,AG$1=Units!$Q118),IF(Units!$J118&lt;&gt;"",Units!$J118,Mkt!AG119),Inputs!$B$15*Mkt!AG119+(1-Inputs!$B$15)*MIN(Mkt!AG119,AF119*(1+Inputs!$B$18))),AF119)))</f>
        <v>1962.665</v>
      </c>
      <c r="AH119" s="11" t="n">
        <f aca="false">IF(AH$1&lt;Units!$P118,0,IF(AND(Units!$K118=0,AH$1=Units!$O118),Units!$R118,IF(AND(AH$1&gt;=Units!$Q118,MOD(AH$1-Units!$Q118,12)=0),IF(AND(Units!$L118=1,AH$1=Units!$Q118),IF(Units!$J118&lt;&gt;"",Units!$J118,Mkt!AH119),Inputs!$B$15*Mkt!AH119+(1-Inputs!$B$15)*MIN(Mkt!AH119,AG119*(1+Inputs!$B$18))),AG119)))</f>
        <v>1962.665</v>
      </c>
      <c r="AI119" s="11" t="n">
        <f aca="false">IF(AI$1&lt;Units!$P118,0,IF(AND(Units!$K118=0,AI$1=Units!$O118),Units!$R118,IF(AND(AI$1&gt;=Units!$Q118,MOD(AI$1-Units!$Q118,12)=0),IF(AND(Units!$L118=1,AI$1=Units!$Q118),IF(Units!$J118&lt;&gt;"",Units!$J118,Mkt!AI119),Inputs!$B$15*Mkt!AI119+(1-Inputs!$B$15)*MIN(Mkt!AI119,AH119*(1+Inputs!$B$18))),AH119)))</f>
        <v>1962.665</v>
      </c>
      <c r="AJ119" s="11" t="n">
        <f aca="false">IF(AJ$1&lt;Units!$P118,0,IF(AND(Units!$K118=0,AJ$1=Units!$O118),Units!$R118,IF(AND(AJ$1&gt;=Units!$Q118,MOD(AJ$1-Units!$Q118,12)=0),IF(AND(Units!$L118=1,AJ$1=Units!$Q118),IF(Units!$J118&lt;&gt;"",Units!$J118,Mkt!AJ119),Inputs!$B$15*Mkt!AJ119+(1-Inputs!$B$15)*MIN(Mkt!AJ119,AI119*(1+Inputs!$B$18))),AI119)))</f>
        <v>1962.665</v>
      </c>
      <c r="AK119" s="11" t="n">
        <f aca="false">IF(AK$1&lt;Units!$P118,0,IF(AND(Units!$K118=0,AK$1=Units!$O118),Units!$R118,IF(AND(AK$1&gt;=Units!$Q118,MOD(AK$1-Units!$Q118,12)=0),IF(AND(Units!$L118=1,AK$1=Units!$Q118),IF(Units!$J118&lt;&gt;"",Units!$J118,Mkt!AK119),Inputs!$B$15*Mkt!AK119+(1-Inputs!$B$15)*MIN(Mkt!AK119,AJ119*(1+Inputs!$B$18))),AJ119)))</f>
        <v>1962.665</v>
      </c>
      <c r="AL119" s="11" t="n">
        <f aca="false">IF(AL$1&lt;Units!$P118,0,IF(AND(Units!$K118=0,AL$1=Units!$O118),Units!$R118,IF(AND(AL$1&gt;=Units!$Q118,MOD(AL$1-Units!$Q118,12)=0),IF(AND(Units!$L118=1,AL$1=Units!$Q118),IF(Units!$J118&lt;&gt;"",Units!$J118,Mkt!AL119),Inputs!$B$15*Mkt!AL119+(1-Inputs!$B$15)*MIN(Mkt!AL119,AK119*(1+Inputs!$B$18))),AK119)))</f>
        <v>1962.665</v>
      </c>
      <c r="AM119" s="11" t="n">
        <f aca="false">IF(AM$1&lt;Units!$P118,0,IF(AND(Units!$K118=0,AM$1=Units!$O118),Units!$R118,IF(AND(AM$1&gt;=Units!$Q118,MOD(AM$1-Units!$Q118,12)=0),IF(AND(Units!$L118=1,AM$1=Units!$Q118),IF(Units!$J118&lt;&gt;"",Units!$J118,Mkt!AM119),Inputs!$B$15*Mkt!AM119+(1-Inputs!$B$15)*MIN(Mkt!AM119,AL119*(1+Inputs!$B$18))),AL119)))</f>
        <v>2021.54495</v>
      </c>
      <c r="AN119" s="11" t="n">
        <f aca="false">IF(AN$1&lt;Units!$P118,0,IF(AND(Units!$K118=0,AN$1=Units!$O118),Units!$R118,IF(AND(AN$1&gt;=Units!$Q118,MOD(AN$1-Units!$Q118,12)=0),IF(AND(Units!$L118=1,AN$1=Units!$Q118),IF(Units!$J118&lt;&gt;"",Units!$J118,Mkt!AN119),Inputs!$B$15*Mkt!AN119+(1-Inputs!$B$15)*MIN(Mkt!AN119,AM119*(1+Inputs!$B$18))),AM119)))</f>
        <v>2021.54495</v>
      </c>
      <c r="AO119" s="11" t="n">
        <f aca="false">IF(AO$1&lt;Units!$P118,0,IF(AND(Units!$K118=0,AO$1=Units!$O118),Units!$R118,IF(AND(AO$1&gt;=Units!$Q118,MOD(AO$1-Units!$Q118,12)=0),IF(AND(Units!$L118=1,AO$1=Units!$Q118),IF(Units!$J118&lt;&gt;"",Units!$J118,Mkt!AO119),Inputs!$B$15*Mkt!AO119+(1-Inputs!$B$15)*MIN(Mkt!AO119,AN119*(1+Inputs!$B$18))),AN119)))</f>
        <v>2021.54495</v>
      </c>
      <c r="AP119" s="11" t="n">
        <f aca="false">IF(AP$1&lt;Units!$P118,0,IF(AND(Units!$K118=0,AP$1=Units!$O118),Units!$R118,IF(AND(AP$1&gt;=Units!$Q118,MOD(AP$1-Units!$Q118,12)=0),IF(AND(Units!$L118=1,AP$1=Units!$Q118),IF(Units!$J118&lt;&gt;"",Units!$J118,Mkt!AP119),Inputs!$B$15*Mkt!AP119+(1-Inputs!$B$15)*MIN(Mkt!AP119,AO119*(1+Inputs!$B$18))),AO119)))</f>
        <v>2021.54495</v>
      </c>
      <c r="AQ119" s="11" t="n">
        <f aca="false">IF(AQ$1&lt;Units!$P118,0,IF(AND(Units!$K118=0,AQ$1=Units!$O118),Units!$R118,IF(AND(AQ$1&gt;=Units!$Q118,MOD(AQ$1-Units!$Q118,12)=0),IF(AND(Units!$L118=1,AQ$1=Units!$Q118),IF(Units!$J118&lt;&gt;"",Units!$J118,Mkt!AQ119),Inputs!$B$15*Mkt!AQ119+(1-Inputs!$B$15)*MIN(Mkt!AQ119,AP119*(1+Inputs!$B$18))),AP119)))</f>
        <v>2021.54495</v>
      </c>
      <c r="AR119" s="11" t="n">
        <f aca="false">IF(AR$1&lt;Units!$P118,0,IF(AND(Units!$K118=0,AR$1=Units!$O118),Units!$R118,IF(AND(AR$1&gt;=Units!$Q118,MOD(AR$1-Units!$Q118,12)=0),IF(AND(Units!$L118=1,AR$1=Units!$Q118),IF(Units!$J118&lt;&gt;"",Units!$J118,Mkt!AR119),Inputs!$B$15*Mkt!AR119+(1-Inputs!$B$15)*MIN(Mkt!AR119,AQ119*(1+Inputs!$B$18))),AQ119)))</f>
        <v>2021.54495</v>
      </c>
      <c r="AS119" s="11" t="n">
        <f aca="false">IF(AS$1&lt;Units!$P118,0,IF(AND(Units!$K118=0,AS$1=Units!$O118),Units!$R118,IF(AND(AS$1&gt;=Units!$Q118,MOD(AS$1-Units!$Q118,12)=0),IF(AND(Units!$L118=1,AS$1=Units!$Q118),IF(Units!$J118&lt;&gt;"",Units!$J118,Mkt!AS119),Inputs!$B$15*Mkt!AS119+(1-Inputs!$B$15)*MIN(Mkt!AS119,AR119*(1+Inputs!$B$18))),AR119)))</f>
        <v>2021.54495</v>
      </c>
      <c r="AT119" s="11" t="n">
        <f aca="false">IF(AT$1&lt;Units!$P118,0,IF(AND(Units!$K118=0,AT$1=Units!$O118),Units!$R118,IF(AND(AT$1&gt;=Units!$Q118,MOD(AT$1-Units!$Q118,12)=0),IF(AND(Units!$L118=1,AT$1=Units!$Q118),IF(Units!$J118&lt;&gt;"",Units!$J118,Mkt!AT119),Inputs!$B$15*Mkt!AT119+(1-Inputs!$B$15)*MIN(Mkt!AT119,AS119*(1+Inputs!$B$18))),AS119)))</f>
        <v>2021.54495</v>
      </c>
      <c r="AU119" s="11" t="n">
        <f aca="false">IF(AU$1&lt;Units!$P118,0,IF(AND(Units!$K118=0,AU$1=Units!$O118),Units!$R118,IF(AND(AU$1&gt;=Units!$Q118,MOD(AU$1-Units!$Q118,12)=0),IF(AND(Units!$L118=1,AU$1=Units!$Q118),IF(Units!$J118&lt;&gt;"",Units!$J118,Mkt!AU119),Inputs!$B$15*Mkt!AU119+(1-Inputs!$B$15)*MIN(Mkt!AU119,AT119*(1+Inputs!$B$18))),AT119)))</f>
        <v>2021.54495</v>
      </c>
      <c r="AV119" s="11" t="n">
        <f aca="false">IF(AV$1&lt;Units!$P118,0,IF(AND(Units!$K118=0,AV$1=Units!$O118),Units!$R118,IF(AND(AV$1&gt;=Units!$Q118,MOD(AV$1-Units!$Q118,12)=0),IF(AND(Units!$L118=1,AV$1=Units!$Q118),IF(Units!$J118&lt;&gt;"",Units!$J118,Mkt!AV119),Inputs!$B$15*Mkt!AV119+(1-Inputs!$B$15)*MIN(Mkt!AV119,AU119*(1+Inputs!$B$18))),AU119)))</f>
        <v>2021.54495</v>
      </c>
      <c r="AW119" s="11" t="n">
        <f aca="false">IF(AW$1&lt;Units!$P118,0,IF(AND(Units!$K118=0,AW$1=Units!$O118),Units!$R118,IF(AND(AW$1&gt;=Units!$Q118,MOD(AW$1-Units!$Q118,12)=0),IF(AND(Units!$L118=1,AW$1=Units!$Q118),IF(Units!$J118&lt;&gt;"",Units!$J118,Mkt!AW119),Inputs!$B$15*Mkt!AW119+(1-Inputs!$B$15)*MIN(Mkt!AW119,AV119*(1+Inputs!$B$18))),AV119)))</f>
        <v>2021.54495</v>
      </c>
      <c r="AX119" s="11" t="n">
        <f aca="false">IF(AX$1&lt;Units!$P118,0,IF(AND(Units!$K118=0,AX$1=Units!$O118),Units!$R118,IF(AND(AX$1&gt;=Units!$Q118,MOD(AX$1-Units!$Q118,12)=0),IF(AND(Units!$L118=1,AX$1=Units!$Q118),IF(Units!$J118&lt;&gt;"",Units!$J118,Mkt!AX119),Inputs!$B$15*Mkt!AX119+(1-Inputs!$B$15)*MIN(Mkt!AX119,AW119*(1+Inputs!$B$18))),AW119)))</f>
        <v>2021.54495</v>
      </c>
      <c r="AY119" s="11" t="n">
        <f aca="false">IF(AY$1&lt;Units!$P118,0,IF(AND(Units!$K118=0,AY$1=Units!$O118),Units!$R118,IF(AND(AY$1&gt;=Units!$Q118,MOD(AY$1-Units!$Q118,12)=0),IF(AND(Units!$L118=1,AY$1=Units!$Q118),IF(Units!$J118&lt;&gt;"",Units!$J118,Mkt!AY119),Inputs!$B$15*Mkt!AY119+(1-Inputs!$B$15)*MIN(Mkt!AY119,AX119*(1+Inputs!$B$18))),AX119)))</f>
        <v>2082.1912985</v>
      </c>
      <c r="AZ119" s="11" t="n">
        <f aca="false">IF(AZ$1&lt;Units!$P118,0,IF(AND(Units!$K118=0,AZ$1=Units!$O118),Units!$R118,IF(AND(AZ$1&gt;=Units!$Q118,MOD(AZ$1-Units!$Q118,12)=0),IF(AND(Units!$L118=1,AZ$1=Units!$Q118),IF(Units!$J118&lt;&gt;"",Units!$J118,Mkt!AZ119),Inputs!$B$15*Mkt!AZ119+(1-Inputs!$B$15)*MIN(Mkt!AZ119,AY119*(1+Inputs!$B$18))),AY119)))</f>
        <v>2082.1912985</v>
      </c>
      <c r="BA119" s="11" t="n">
        <f aca="false">IF(BA$1&lt;Units!$P118,0,IF(AND(Units!$K118=0,BA$1=Units!$O118),Units!$R118,IF(AND(BA$1&gt;=Units!$Q118,MOD(BA$1-Units!$Q118,12)=0),IF(AND(Units!$L118=1,BA$1=Units!$Q118),IF(Units!$J118&lt;&gt;"",Units!$J118,Mkt!BA119),Inputs!$B$15*Mkt!BA119+(1-Inputs!$B$15)*MIN(Mkt!BA119,AZ119*(1+Inputs!$B$18))),AZ119)))</f>
        <v>2082.1912985</v>
      </c>
      <c r="BB119" s="11" t="n">
        <f aca="false">IF(BB$1&lt;Units!$P118,0,IF(AND(Units!$K118=0,BB$1=Units!$O118),Units!$R118,IF(AND(BB$1&gt;=Units!$Q118,MOD(BB$1-Units!$Q118,12)=0),IF(AND(Units!$L118=1,BB$1=Units!$Q118),IF(Units!$J118&lt;&gt;"",Units!$J118,Mkt!BB119),Inputs!$B$15*Mkt!BB119+(1-Inputs!$B$15)*MIN(Mkt!BB119,BA119*(1+Inputs!$B$18))),BA119)))</f>
        <v>2082.1912985</v>
      </c>
      <c r="BC119" s="11" t="n">
        <f aca="false">IF(BC$1&lt;Units!$P118,0,IF(AND(Units!$K118=0,BC$1=Units!$O118),Units!$R118,IF(AND(BC$1&gt;=Units!$Q118,MOD(BC$1-Units!$Q118,12)=0),IF(AND(Units!$L118=1,BC$1=Units!$Q118),IF(Units!$J118&lt;&gt;"",Units!$J118,Mkt!BC119),Inputs!$B$15*Mkt!BC119+(1-Inputs!$B$15)*MIN(Mkt!BC119,BB119*(1+Inputs!$B$18))),BB119)))</f>
        <v>2082.1912985</v>
      </c>
      <c r="BD119" s="11" t="n">
        <f aca="false">IF(BD$1&lt;Units!$P118,0,IF(AND(Units!$K118=0,BD$1=Units!$O118),Units!$R118,IF(AND(BD$1&gt;=Units!$Q118,MOD(BD$1-Units!$Q118,12)=0),IF(AND(Units!$L118=1,BD$1=Units!$Q118),IF(Units!$J118&lt;&gt;"",Units!$J118,Mkt!BD119),Inputs!$B$15*Mkt!BD119+(1-Inputs!$B$15)*MIN(Mkt!BD119,BC119*(1+Inputs!$B$18))),BC119)))</f>
        <v>2082.1912985</v>
      </c>
      <c r="BE119" s="11" t="n">
        <f aca="false">IF(BE$1&lt;Units!$P118,0,IF(AND(Units!$K118=0,BE$1=Units!$O118),Units!$R118,IF(AND(BE$1&gt;=Units!$Q118,MOD(BE$1-Units!$Q118,12)=0),IF(AND(Units!$L118=1,BE$1=Units!$Q118),IF(Units!$J118&lt;&gt;"",Units!$J118,Mkt!BE119),Inputs!$B$15*Mkt!BE119+(1-Inputs!$B$15)*MIN(Mkt!BE119,BD119*(1+Inputs!$B$18))),BD119)))</f>
        <v>2082.1912985</v>
      </c>
      <c r="BF119" s="11" t="n">
        <f aca="false">IF(BF$1&lt;Units!$P118,0,IF(AND(Units!$K118=0,BF$1=Units!$O118),Units!$R118,IF(AND(BF$1&gt;=Units!$Q118,MOD(BF$1-Units!$Q118,12)=0),IF(AND(Units!$L118=1,BF$1=Units!$Q118),IF(Units!$J118&lt;&gt;"",Units!$J118,Mkt!BF119),Inputs!$B$15*Mkt!BF119+(1-Inputs!$B$15)*MIN(Mkt!BF119,BE119*(1+Inputs!$B$18))),BE119)))</f>
        <v>2082.1912985</v>
      </c>
      <c r="BG119" s="11" t="n">
        <f aca="false">IF(BG$1&lt;Units!$P118,0,IF(AND(Units!$K118=0,BG$1=Units!$O118),Units!$R118,IF(AND(BG$1&gt;=Units!$Q118,MOD(BG$1-Units!$Q118,12)=0),IF(AND(Units!$L118=1,BG$1=Units!$Q118),IF(Units!$J118&lt;&gt;"",Units!$J118,Mkt!BG119),Inputs!$B$15*Mkt!BG119+(1-Inputs!$B$15)*MIN(Mkt!BG119,BF119*(1+Inputs!$B$18))),BF119)))</f>
        <v>2082.1912985</v>
      </c>
      <c r="BH119" s="11" t="n">
        <f aca="false">IF(BH$1&lt;Units!$P118,0,IF(AND(Units!$K118=0,BH$1=Units!$O118),Units!$R118,IF(AND(BH$1&gt;=Units!$Q118,MOD(BH$1-Units!$Q118,12)=0),IF(AND(Units!$L118=1,BH$1=Units!$Q118),IF(Units!$J118&lt;&gt;"",Units!$J118,Mkt!BH119),Inputs!$B$15*Mkt!BH119+(1-Inputs!$B$15)*MIN(Mkt!BH119,BG119*(1+Inputs!$B$18))),BG119)))</f>
        <v>2082.1912985</v>
      </c>
      <c r="BI119" s="11" t="n">
        <f aca="false">IF(BI$1&lt;Units!$P118,0,IF(AND(Units!$K118=0,BI$1=Units!$O118),Units!$R118,IF(AND(BI$1&gt;=Units!$Q118,MOD(BI$1-Units!$Q118,12)=0),IF(AND(Units!$L118=1,BI$1=Units!$Q118),IF(Units!$J118&lt;&gt;"",Units!$J118,Mkt!BI119),Inputs!$B$15*Mkt!BI119+(1-Inputs!$B$15)*MIN(Mkt!BI119,BH119*(1+Inputs!$B$18))),BH119)))</f>
        <v>2082.1912985</v>
      </c>
      <c r="BJ119" s="11" t="n">
        <f aca="false">IF(BJ$1&lt;Units!$P118,0,IF(AND(Units!$K118=0,BJ$1=Units!$O118),Units!$R118,IF(AND(BJ$1&gt;=Units!$Q118,MOD(BJ$1-Units!$Q118,12)=0),IF(AND(Units!$L118=1,BJ$1=Units!$Q118),IF(Units!$J118&lt;&gt;"",Units!$J118,Mkt!BJ119),Inputs!$B$15*Mkt!BJ119+(1-Inputs!$B$15)*MIN(Mkt!BJ119,BI119*(1+Inputs!$B$18))),BI119)))</f>
        <v>2082.1912985</v>
      </c>
      <c r="BK119" s="11" t="n">
        <f aca="false">IF(BK$1&lt;Units!$P118,0,IF(AND(Units!$K118=0,BK$1=Units!$O118),Units!$R118,IF(AND(BK$1&gt;=Units!$Q118,MOD(BK$1-Units!$Q118,12)=0),IF(AND(Units!$L118=1,BK$1=Units!$Q118),IF(Units!$J118&lt;&gt;"",Units!$J118,Mkt!BK119),Inputs!$B$15*Mkt!BK119+(1-Inputs!$B$15)*MIN(Mkt!BK119,BJ119*(1+Inputs!$B$18))),BJ119)))</f>
        <v>2144.657037455</v>
      </c>
      <c r="BL119" s="11" t="n">
        <f aca="false">IF(BL$1&lt;Units!$P118,0,IF(AND(Units!$K118=0,BL$1=Units!$O118),Units!$R118,IF(AND(BL$1&gt;=Units!$Q118,MOD(BL$1-Units!$Q118,12)=0),IF(AND(Units!$L118=1,BL$1=Units!$Q118),IF(Units!$J118&lt;&gt;"",Units!$J118,Mkt!BL119),Inputs!$B$15*Mkt!BL119+(1-Inputs!$B$15)*MIN(Mkt!BL119,BK119*(1+Inputs!$B$18))),BK119)))</f>
        <v>2144.657037455</v>
      </c>
      <c r="BM119" s="11" t="n">
        <f aca="false">IF(BM$1&lt;Units!$P118,0,IF(AND(Units!$K118=0,BM$1=Units!$O118),Units!$R118,IF(AND(BM$1&gt;=Units!$Q118,MOD(BM$1-Units!$Q118,12)=0),IF(AND(Units!$L118=1,BM$1=Units!$Q118),IF(Units!$J118&lt;&gt;"",Units!$J118,Mkt!BM119),Inputs!$B$15*Mkt!BM119+(1-Inputs!$B$15)*MIN(Mkt!BM119,BL119*(1+Inputs!$B$18))),BL119)))</f>
        <v>2144.657037455</v>
      </c>
      <c r="BN119" s="11" t="n">
        <f aca="false">IF(BN$1&lt;Units!$P118,0,IF(AND(Units!$K118=0,BN$1=Units!$O118),Units!$R118,IF(AND(BN$1&gt;=Units!$Q118,MOD(BN$1-Units!$Q118,12)=0),IF(AND(Units!$L118=1,BN$1=Units!$Q118),IF(Units!$J118&lt;&gt;"",Units!$J118,Mkt!BN119),Inputs!$B$15*Mkt!BN119+(1-Inputs!$B$15)*MIN(Mkt!BN119,BM119*(1+Inputs!$B$18))),BM119)))</f>
        <v>2144.657037455</v>
      </c>
      <c r="BO119" s="11" t="n">
        <f aca="false">IF(BO$1&lt;Units!$P118,0,IF(AND(Units!$K118=0,BO$1=Units!$O118),Units!$R118,IF(AND(BO$1&gt;=Units!$Q118,MOD(BO$1-Units!$Q118,12)=0),IF(AND(Units!$L118=1,BO$1=Units!$Q118),IF(Units!$J118&lt;&gt;"",Units!$J118,Mkt!BO119),Inputs!$B$15*Mkt!BO119+(1-Inputs!$B$15)*MIN(Mkt!BO119,BN119*(1+Inputs!$B$18))),BN119)))</f>
        <v>2144.657037455</v>
      </c>
      <c r="BP119" s="11" t="n">
        <f aca="false">IF(BP$1&lt;Units!$P118,0,IF(AND(Units!$K118=0,BP$1=Units!$O118),Units!$R118,IF(AND(BP$1&gt;=Units!$Q118,MOD(BP$1-Units!$Q118,12)=0),IF(AND(Units!$L118=1,BP$1=Units!$Q118),IF(Units!$J118&lt;&gt;"",Units!$J118,Mkt!BP119),Inputs!$B$15*Mkt!BP119+(1-Inputs!$B$15)*MIN(Mkt!BP119,BO119*(1+Inputs!$B$18))),BO119)))</f>
        <v>2144.657037455</v>
      </c>
      <c r="BQ119" s="11" t="n">
        <f aca="false">IF(BQ$1&lt;Units!$P118,0,IF(AND(Units!$K118=0,BQ$1=Units!$O118),Units!$R118,IF(AND(BQ$1&gt;=Units!$Q118,MOD(BQ$1-Units!$Q118,12)=0),IF(AND(Units!$L118=1,BQ$1=Units!$Q118),IF(Units!$J118&lt;&gt;"",Units!$J118,Mkt!BQ119),Inputs!$B$15*Mkt!BQ119+(1-Inputs!$B$15)*MIN(Mkt!BQ119,BP119*(1+Inputs!$B$18))),BP119)))</f>
        <v>2144.657037455</v>
      </c>
      <c r="BR119" s="11" t="n">
        <f aca="false">IF(BR$1&lt;Units!$P118,0,IF(AND(Units!$K118=0,BR$1=Units!$O118),Units!$R118,IF(AND(BR$1&gt;=Units!$Q118,MOD(BR$1-Units!$Q118,12)=0),IF(AND(Units!$L118=1,BR$1=Units!$Q118),IF(Units!$J118&lt;&gt;"",Units!$J118,Mkt!BR119),Inputs!$B$15*Mkt!BR119+(1-Inputs!$B$15)*MIN(Mkt!BR119,BQ119*(1+Inputs!$B$18))),BQ119)))</f>
        <v>2144.657037455</v>
      </c>
      <c r="BS119" s="11" t="n">
        <f aca="false">IF(BS$1&lt;Units!$P118,0,IF(AND(Units!$K118=0,BS$1=Units!$O118),Units!$R118,IF(AND(BS$1&gt;=Units!$Q118,MOD(BS$1-Units!$Q118,12)=0),IF(AND(Units!$L118=1,BS$1=Units!$Q118),IF(Units!$J118&lt;&gt;"",Units!$J118,Mkt!BS119),Inputs!$B$15*Mkt!BS119+(1-Inputs!$B$15)*MIN(Mkt!BS119,BR119*(1+Inputs!$B$18))),BR119)))</f>
        <v>2144.657037455</v>
      </c>
      <c r="BT119" s="11" t="n">
        <f aca="false">IF(BT$1&lt;Units!$P118,0,IF(AND(Units!$K118=0,BT$1=Units!$O118),Units!$R118,IF(AND(BT$1&gt;=Units!$Q118,MOD(BT$1-Units!$Q118,12)=0),IF(AND(Units!$L118=1,BT$1=Units!$Q118),IF(Units!$J118&lt;&gt;"",Units!$J118,Mkt!BT119),Inputs!$B$15*Mkt!BT119+(1-Inputs!$B$15)*MIN(Mkt!BT119,BS119*(1+Inputs!$B$18))),BS119)))</f>
        <v>2144.657037455</v>
      </c>
      <c r="BU119" s="11" t="n">
        <f aca="false">IF(BU$1&lt;Units!$P118,0,IF(AND(Units!$K118=0,BU$1=Units!$O118),Units!$R118,IF(AND(BU$1&gt;=Units!$Q118,MOD(BU$1-Units!$Q118,12)=0),IF(AND(Units!$L118=1,BU$1=Units!$Q118),IF(Units!$J118&lt;&gt;"",Units!$J118,Mkt!BU119),Inputs!$B$15*Mkt!BU119+(1-Inputs!$B$15)*MIN(Mkt!BU119,BT119*(1+Inputs!$B$18))),BT119)))</f>
        <v>2144.657037455</v>
      </c>
      <c r="BV119" s="11" t="n">
        <f aca="false">IF(BV$1&lt;Units!$P118,0,IF(AND(Units!$K118=0,BV$1=Units!$O118),Units!$R118,IF(AND(BV$1&gt;=Units!$Q118,MOD(BV$1-Units!$Q118,12)=0),IF(AND(Units!$L118=1,BV$1=Units!$Q118),IF(Units!$J118&lt;&gt;"",Units!$J118,Mkt!BV119),Inputs!$B$15*Mkt!BV119+(1-Inputs!$B$15)*MIN(Mkt!BV119,BU119*(1+Inputs!$B$18))),BU119)))</f>
        <v>2144.657037455</v>
      </c>
      <c r="BW119" s="11" t="n">
        <f aca="false">IF(BW$1&lt;Units!$P118,0,IF(AND(Units!$K118=0,BW$1=Units!$O118),Units!$R118,IF(AND(BW$1&gt;=Units!$Q118,MOD(BW$1-Units!$Q118,12)=0),IF(AND(Units!$L118=1,BW$1=Units!$Q118),IF(Units!$J118&lt;&gt;"",Units!$J118,Mkt!BW119),Inputs!$B$15*Mkt!BW119+(1-Inputs!$B$15)*MIN(Mkt!BW119,BV119*(1+Inputs!$B$18))),BV119)))</f>
        <v>2208.99674857865</v>
      </c>
      <c r="BX119" s="11" t="n">
        <f aca="false">IF(BX$1&lt;Units!$P118,0,IF(AND(Units!$K118=0,BX$1=Units!$O118),Units!$R118,IF(AND(BX$1&gt;=Units!$Q118,MOD(BX$1-Units!$Q118,12)=0),IF(AND(Units!$L118=1,BX$1=Units!$Q118),IF(Units!$J118&lt;&gt;"",Units!$J118,Mkt!BX119),Inputs!$B$15*Mkt!BX119+(1-Inputs!$B$15)*MIN(Mkt!BX119,BW119*(1+Inputs!$B$18))),BW119)))</f>
        <v>2208.99674857865</v>
      </c>
      <c r="BY119" s="11" t="n">
        <f aca="false">IF(BY$1&lt;Units!$P118,0,IF(AND(Units!$K118=0,BY$1=Units!$O118),Units!$R118,IF(AND(BY$1&gt;=Units!$Q118,MOD(BY$1-Units!$Q118,12)=0),IF(AND(Units!$L118=1,BY$1=Units!$Q118),IF(Units!$J118&lt;&gt;"",Units!$J118,Mkt!BY119),Inputs!$B$15*Mkt!BY119+(1-Inputs!$B$15)*MIN(Mkt!BY119,BX119*(1+Inputs!$B$18))),BX119)))</f>
        <v>2208.99674857865</v>
      </c>
      <c r="BZ119" s="11" t="n">
        <f aca="false">IF(BZ$1&lt;Units!$P118,0,IF(AND(Units!$K118=0,BZ$1=Units!$O118),Units!$R118,IF(AND(BZ$1&gt;=Units!$Q118,MOD(BZ$1-Units!$Q118,12)=0),IF(AND(Units!$L118=1,BZ$1=Units!$Q118),IF(Units!$J118&lt;&gt;"",Units!$J118,Mkt!BZ119),Inputs!$B$15*Mkt!BZ119+(1-Inputs!$B$15)*MIN(Mkt!BZ119,BY119*(1+Inputs!$B$18))),BY119)))</f>
        <v>2208.99674857865</v>
      </c>
      <c r="CA119" s="11" t="n">
        <f aca="false">IF(CA$1&lt;Units!$P118,0,IF(AND(Units!$K118=0,CA$1=Units!$O118),Units!$R118,IF(AND(CA$1&gt;=Units!$Q118,MOD(CA$1-Units!$Q118,12)=0),IF(AND(Units!$L118=1,CA$1=Units!$Q118),IF(Units!$J118&lt;&gt;"",Units!$J118,Mkt!CA119),Inputs!$B$15*Mkt!CA119+(1-Inputs!$B$15)*MIN(Mkt!CA119,BZ119*(1+Inputs!$B$18))),BZ119)))</f>
        <v>2208.99674857865</v>
      </c>
      <c r="CB119" s="11" t="n">
        <f aca="false">IF(CB$1&lt;Units!$P118,0,IF(AND(Units!$K118=0,CB$1=Units!$O118),Units!$R118,IF(AND(CB$1&gt;=Units!$Q118,MOD(CB$1-Units!$Q118,12)=0),IF(AND(Units!$L118=1,CB$1=Units!$Q118),IF(Units!$J118&lt;&gt;"",Units!$J118,Mkt!CB119),Inputs!$B$15*Mkt!CB119+(1-Inputs!$B$15)*MIN(Mkt!CB119,CA119*(1+Inputs!$B$18))),CA119)))</f>
        <v>2208.99674857865</v>
      </c>
      <c r="CC119" s="11" t="n">
        <f aca="false">IF(CC$1&lt;Units!$P118,0,IF(AND(Units!$K118=0,CC$1=Units!$O118),Units!$R118,IF(AND(CC$1&gt;=Units!$Q118,MOD(CC$1-Units!$Q118,12)=0),IF(AND(Units!$L118=1,CC$1=Units!$Q118),IF(Units!$J118&lt;&gt;"",Units!$J118,Mkt!CC119),Inputs!$B$15*Mkt!CC119+(1-Inputs!$B$15)*MIN(Mkt!CC119,CB119*(1+Inputs!$B$18))),CB119)))</f>
        <v>2208.99674857865</v>
      </c>
      <c r="CD119" s="11" t="n">
        <f aca="false">IF(CD$1&lt;Units!$P118,0,IF(AND(Units!$K118=0,CD$1=Units!$O118),Units!$R118,IF(AND(CD$1&gt;=Units!$Q118,MOD(CD$1-Units!$Q118,12)=0),IF(AND(Units!$L118=1,CD$1=Units!$Q118),IF(Units!$J118&lt;&gt;"",Units!$J118,Mkt!CD119),Inputs!$B$15*Mkt!CD119+(1-Inputs!$B$15)*MIN(Mkt!CD119,CC119*(1+Inputs!$B$18))),CC119)))</f>
        <v>2208.99674857865</v>
      </c>
      <c r="CE119" s="11" t="n">
        <f aca="false">IF(CE$1&lt;Units!$P118,0,IF(AND(Units!$K118=0,CE$1=Units!$O118),Units!$R118,IF(AND(CE$1&gt;=Units!$Q118,MOD(CE$1-Units!$Q118,12)=0),IF(AND(Units!$L118=1,CE$1=Units!$Q118),IF(Units!$J118&lt;&gt;"",Units!$J118,Mkt!CE119),Inputs!$B$15*Mkt!CE119+(1-Inputs!$B$15)*MIN(Mkt!CE119,CD119*(1+Inputs!$B$18))),CD119)))</f>
        <v>2208.99674857865</v>
      </c>
      <c r="CF119" s="11" t="n">
        <f aca="false">IF(CF$1&lt;Units!$P118,0,IF(AND(Units!$K118=0,CF$1=Units!$O118),Units!$R118,IF(AND(CF$1&gt;=Units!$Q118,MOD(CF$1-Units!$Q118,12)=0),IF(AND(Units!$L118=1,CF$1=Units!$Q118),IF(Units!$J118&lt;&gt;"",Units!$J118,Mkt!CF119),Inputs!$B$15*Mkt!CF119+(1-Inputs!$B$15)*MIN(Mkt!CF119,CE119*(1+Inputs!$B$18))),CE119)))</f>
        <v>2208.99674857865</v>
      </c>
      <c r="CG119" s="11" t="n">
        <f aca="false">IF(CG$1&lt;Units!$P118,0,IF(AND(Units!$K118=0,CG$1=Units!$O118),Units!$R118,IF(AND(CG$1&gt;=Units!$Q118,MOD(CG$1-Units!$Q118,12)=0),IF(AND(Units!$L118=1,CG$1=Units!$Q118),IF(Units!$J118&lt;&gt;"",Units!$J118,Mkt!CG119),Inputs!$B$15*Mkt!CG119+(1-Inputs!$B$15)*MIN(Mkt!CG119,CF119*(1+Inputs!$B$18))),CF119)))</f>
        <v>2208.99674857865</v>
      </c>
      <c r="CH119" s="11" t="n">
        <f aca="false">IF(CH$1&lt;Units!$P118,0,IF(AND(Units!$K118=0,CH$1=Units!$O118),Units!$R118,IF(AND(CH$1&gt;=Units!$Q118,MOD(CH$1-Units!$Q118,12)=0),IF(AND(Units!$L118=1,CH$1=Units!$Q118),IF(Units!$J118&lt;&gt;"",Units!$J118,Mkt!CH119),Inputs!$B$15*Mkt!CH119+(1-Inputs!$B$15)*MIN(Mkt!CH119,CG119*(1+Inputs!$B$18))),CG119)))</f>
        <v>2208.99674857865</v>
      </c>
      <c r="CI119" s="11" t="n">
        <f aca="false">IF(CI$1&lt;Units!$P118,0,IF(AND(Units!$K118=0,CI$1=Units!$O118),Units!$R118,IF(AND(CI$1&gt;=Units!$Q118,MOD(CI$1-Units!$Q118,12)=0),IF(AND(Units!$L118=1,CI$1=Units!$Q118),IF(Units!$J118&lt;&gt;"",Units!$J118,Mkt!CI119),Inputs!$B$15*Mkt!CI119+(1-Inputs!$B$15)*MIN(Mkt!CI119,CH119*(1+Inputs!$B$18))),CH119)))</f>
        <v>2275.26665103601</v>
      </c>
      <c r="CJ119" s="11" t="n">
        <f aca="false">IF(CJ$1&lt;Units!$P118,0,IF(AND(Units!$K118=0,CJ$1=Units!$O118),Units!$R118,IF(AND(CJ$1&gt;=Units!$Q118,MOD(CJ$1-Units!$Q118,12)=0),IF(AND(Units!$L118=1,CJ$1=Units!$Q118),IF(Units!$J118&lt;&gt;"",Units!$J118,Mkt!CJ119),Inputs!$B$15*Mkt!CJ119+(1-Inputs!$B$15)*MIN(Mkt!CJ119,CI119*(1+Inputs!$B$18))),CI119)))</f>
        <v>2275.26665103601</v>
      </c>
      <c r="CK119" s="11" t="n">
        <f aca="false">IF(CK$1&lt;Units!$P118,0,IF(AND(Units!$K118=0,CK$1=Units!$O118),Units!$R118,IF(AND(CK$1&gt;=Units!$Q118,MOD(CK$1-Units!$Q118,12)=0),IF(AND(Units!$L118=1,CK$1=Units!$Q118),IF(Units!$J118&lt;&gt;"",Units!$J118,Mkt!CK119),Inputs!$B$15*Mkt!CK119+(1-Inputs!$B$15)*MIN(Mkt!CK119,CJ119*(1+Inputs!$B$18))),CJ119)))</f>
        <v>2275.26665103601</v>
      </c>
      <c r="CL119" s="11" t="n">
        <f aca="false">IF(CL$1&lt;Units!$P118,0,IF(AND(Units!$K118=0,CL$1=Units!$O118),Units!$R118,IF(AND(CL$1&gt;=Units!$Q118,MOD(CL$1-Units!$Q118,12)=0),IF(AND(Units!$L118=1,CL$1=Units!$Q118),IF(Units!$J118&lt;&gt;"",Units!$J118,Mkt!CL119),Inputs!$B$15*Mkt!CL119+(1-Inputs!$B$15)*MIN(Mkt!CL119,CK119*(1+Inputs!$B$18))),CK119)))</f>
        <v>2275.26665103601</v>
      </c>
      <c r="CM119" s="11" t="n">
        <f aca="false">IF(CM$1&lt;Units!$P118,0,IF(AND(Units!$K118=0,CM$1=Units!$O118),Units!$R118,IF(AND(CM$1&gt;=Units!$Q118,MOD(CM$1-Units!$Q118,12)=0),IF(AND(Units!$L118=1,CM$1=Units!$Q118),IF(Units!$J118&lt;&gt;"",Units!$J118,Mkt!CM119),Inputs!$B$15*Mkt!CM119+(1-Inputs!$B$15)*MIN(Mkt!CM119,CL119*(1+Inputs!$B$18))),CL119)))</f>
        <v>2275.26665103601</v>
      </c>
      <c r="CN119" s="11" t="n">
        <f aca="false">IF(CN$1&lt;Units!$P118,0,IF(AND(Units!$K118=0,CN$1=Units!$O118),Units!$R118,IF(AND(CN$1&gt;=Units!$Q118,MOD(CN$1-Units!$Q118,12)=0),IF(AND(Units!$L118=1,CN$1=Units!$Q118),IF(Units!$J118&lt;&gt;"",Units!$J118,Mkt!CN119),Inputs!$B$15*Mkt!CN119+(1-Inputs!$B$15)*MIN(Mkt!CN119,CM119*(1+Inputs!$B$18))),CM119)))</f>
        <v>2275.26665103601</v>
      </c>
      <c r="CO119" s="11" t="n">
        <f aca="false">IF(CO$1&lt;Units!$P118,0,IF(AND(Units!$K118=0,CO$1=Units!$O118),Units!$R118,IF(AND(CO$1&gt;=Units!$Q118,MOD(CO$1-Units!$Q118,12)=0),IF(AND(Units!$L118=1,CO$1=Units!$Q118),IF(Units!$J118&lt;&gt;"",Units!$J118,Mkt!CO119),Inputs!$B$15*Mkt!CO119+(1-Inputs!$B$15)*MIN(Mkt!CO119,CN119*(1+Inputs!$B$18))),CN119)))</f>
        <v>2275.26665103601</v>
      </c>
      <c r="CP119" s="11" t="n">
        <f aca="false">IF(CP$1&lt;Units!$P118,0,IF(AND(Units!$K118=0,CP$1=Units!$O118),Units!$R118,IF(AND(CP$1&gt;=Units!$Q118,MOD(CP$1-Units!$Q118,12)=0),IF(AND(Units!$L118=1,CP$1=Units!$Q118),IF(Units!$J118&lt;&gt;"",Units!$J118,Mkt!CP119),Inputs!$B$15*Mkt!CP119+(1-Inputs!$B$15)*MIN(Mkt!CP119,CO119*(1+Inputs!$B$18))),CO119)))</f>
        <v>2275.26665103601</v>
      </c>
      <c r="CQ119" s="11" t="n">
        <f aca="false">IF(CQ$1&lt;Units!$P118,0,IF(AND(Units!$K118=0,CQ$1=Units!$O118),Units!$R118,IF(AND(CQ$1&gt;=Units!$Q118,MOD(CQ$1-Units!$Q118,12)=0),IF(AND(Units!$L118=1,CQ$1=Units!$Q118),IF(Units!$J118&lt;&gt;"",Units!$J118,Mkt!CQ119),Inputs!$B$15*Mkt!CQ119+(1-Inputs!$B$15)*MIN(Mkt!CQ119,CP119*(1+Inputs!$B$18))),CP119)))</f>
        <v>2275.26665103601</v>
      </c>
      <c r="CR119" s="11" t="n">
        <f aca="false">IF(CR$1&lt;Units!$P118,0,IF(AND(Units!$K118=0,CR$1=Units!$O118),Units!$R118,IF(AND(CR$1&gt;=Units!$Q118,MOD(CR$1-Units!$Q118,12)=0),IF(AND(Units!$L118=1,CR$1=Units!$Q118),IF(Units!$J118&lt;&gt;"",Units!$J118,Mkt!CR119),Inputs!$B$15*Mkt!CR119+(1-Inputs!$B$15)*MIN(Mkt!CR119,CQ119*(1+Inputs!$B$18))),CQ119)))</f>
        <v>2275.26665103601</v>
      </c>
      <c r="CS119" s="11" t="n">
        <f aca="false">IF(CS$1&lt;Units!$P118,0,IF(AND(Units!$K118=0,CS$1=Units!$O118),Units!$R118,IF(AND(CS$1&gt;=Units!$Q118,MOD(CS$1-Units!$Q118,12)=0),IF(AND(Units!$L118=1,CS$1=Units!$Q118),IF(Units!$J118&lt;&gt;"",Units!$J118,Mkt!CS119),Inputs!$B$15*Mkt!CS119+(1-Inputs!$B$15)*MIN(Mkt!CS119,CR119*(1+Inputs!$B$18))),CR119)))</f>
        <v>2275.26665103601</v>
      </c>
      <c r="CT119" s="11" t="n">
        <f aca="false">IF(CT$1&lt;Units!$P118,0,IF(AND(Units!$K118=0,CT$1=Units!$O118),Units!$R118,IF(AND(CT$1&gt;=Units!$Q118,MOD(CT$1-Units!$Q118,12)=0),IF(AND(Units!$L118=1,CT$1=Units!$Q118),IF(Units!$J118&lt;&gt;"",Units!$J118,Mkt!CT119),Inputs!$B$15*Mkt!CT119+(1-Inputs!$B$15)*MIN(Mkt!CT119,CS119*(1+Inputs!$B$18))),CS119)))</f>
        <v>2275.26665103601</v>
      </c>
      <c r="CU119" s="11" t="n">
        <f aca="false">IF(CU$1&lt;Units!$P118,0,IF(AND(Units!$K118=0,CU$1=Units!$O118),Units!$R118,IF(AND(CU$1&gt;=Units!$Q118,MOD(CU$1-Units!$Q118,12)=0),IF(AND(Units!$L118=1,CU$1=Units!$Q118),IF(Units!$J118&lt;&gt;"",Units!$J118,Mkt!CU119),Inputs!$B$15*Mkt!CU119+(1-Inputs!$B$15)*MIN(Mkt!CU119,CT119*(1+Inputs!$B$18))),CT119)))</f>
        <v>2343.52465056709</v>
      </c>
      <c r="CV119" s="11" t="n">
        <f aca="false">IF(CV$1&lt;Units!$P118,0,IF(AND(Units!$K118=0,CV$1=Units!$O118),Units!$R118,IF(AND(CV$1&gt;=Units!$Q118,MOD(CV$1-Units!$Q118,12)=0),IF(AND(Units!$L118=1,CV$1=Units!$Q118),IF(Units!$J118&lt;&gt;"",Units!$J118,Mkt!CV119),Inputs!$B$15*Mkt!CV119+(1-Inputs!$B$15)*MIN(Mkt!CV119,CU119*(1+Inputs!$B$18))),CU119)))</f>
        <v>2343.52465056709</v>
      </c>
      <c r="CW119" s="11" t="n">
        <f aca="false">IF(CW$1&lt;Units!$P118,0,IF(AND(Units!$K118=0,CW$1=Units!$O118),Units!$R118,IF(AND(CW$1&gt;=Units!$Q118,MOD(CW$1-Units!$Q118,12)=0),IF(AND(Units!$L118=1,CW$1=Units!$Q118),IF(Units!$J118&lt;&gt;"",Units!$J118,Mkt!CW119),Inputs!$B$15*Mkt!CW119+(1-Inputs!$B$15)*MIN(Mkt!CW119,CV119*(1+Inputs!$B$18))),CV119)))</f>
        <v>2343.52465056709</v>
      </c>
      <c r="CX119" s="11" t="n">
        <f aca="false">IF(CX$1&lt;Units!$P118,0,IF(AND(Units!$K118=0,CX$1=Units!$O118),Units!$R118,IF(AND(CX$1&gt;=Units!$Q118,MOD(CX$1-Units!$Q118,12)=0),IF(AND(Units!$L118=1,CX$1=Units!$Q118),IF(Units!$J118&lt;&gt;"",Units!$J118,Mkt!CX119),Inputs!$B$15*Mkt!CX119+(1-Inputs!$B$15)*MIN(Mkt!CX119,CW119*(1+Inputs!$B$18))),CW119)))</f>
        <v>2343.52465056709</v>
      </c>
      <c r="CY119" s="11" t="n">
        <f aca="false">IF(CY$1&lt;Units!$P118,0,IF(AND(Units!$K118=0,CY$1=Units!$O118),Units!$R118,IF(AND(CY$1&gt;=Units!$Q118,MOD(CY$1-Units!$Q118,12)=0),IF(AND(Units!$L118=1,CY$1=Units!$Q118),IF(Units!$J118&lt;&gt;"",Units!$J118,Mkt!CY119),Inputs!$B$15*Mkt!CY119+(1-Inputs!$B$15)*MIN(Mkt!CY119,CX119*(1+Inputs!$B$18))),CX119)))</f>
        <v>2343.52465056709</v>
      </c>
      <c r="CZ119" s="11" t="n">
        <f aca="false">IF(CZ$1&lt;Units!$P118,0,IF(AND(Units!$K118=0,CZ$1=Units!$O118),Units!$R118,IF(AND(CZ$1&gt;=Units!$Q118,MOD(CZ$1-Units!$Q118,12)=0),IF(AND(Units!$L118=1,CZ$1=Units!$Q118),IF(Units!$J118&lt;&gt;"",Units!$J118,Mkt!CZ119),Inputs!$B$15*Mkt!CZ119+(1-Inputs!$B$15)*MIN(Mkt!CZ119,CY119*(1+Inputs!$B$18))),CY119)))</f>
        <v>2343.52465056709</v>
      </c>
      <c r="DA119" s="11" t="n">
        <f aca="false">IF(DA$1&lt;Units!$P118,0,IF(AND(Units!$K118=0,DA$1=Units!$O118),Units!$R118,IF(AND(DA$1&gt;=Units!$Q118,MOD(DA$1-Units!$Q118,12)=0),IF(AND(Units!$L118=1,DA$1=Units!$Q118),IF(Units!$J118&lt;&gt;"",Units!$J118,Mkt!DA119),Inputs!$B$15*Mkt!DA119+(1-Inputs!$B$15)*MIN(Mkt!DA119,CZ119*(1+Inputs!$B$18))),CZ119)))</f>
        <v>2343.52465056709</v>
      </c>
      <c r="DB119" s="11" t="n">
        <f aca="false">IF(DB$1&lt;Units!$P118,0,IF(AND(Units!$K118=0,DB$1=Units!$O118),Units!$R118,IF(AND(DB$1&gt;=Units!$Q118,MOD(DB$1-Units!$Q118,12)=0),IF(AND(Units!$L118=1,DB$1=Units!$Q118),IF(Units!$J118&lt;&gt;"",Units!$J118,Mkt!DB119),Inputs!$B$15*Mkt!DB119+(1-Inputs!$B$15)*MIN(Mkt!DB119,DA119*(1+Inputs!$B$18))),DA119)))</f>
        <v>2343.52465056709</v>
      </c>
      <c r="DC119" s="11" t="n">
        <f aca="false">IF(DC$1&lt;Units!$P118,0,IF(AND(Units!$K118=0,DC$1=Units!$O118),Units!$R118,IF(AND(DC$1&gt;=Units!$Q118,MOD(DC$1-Units!$Q118,12)=0),IF(AND(Units!$L118=1,DC$1=Units!$Q118),IF(Units!$J118&lt;&gt;"",Units!$J118,Mkt!DC119),Inputs!$B$15*Mkt!DC119+(1-Inputs!$B$15)*MIN(Mkt!DC119,DB119*(1+Inputs!$B$18))),DB119)))</f>
        <v>2343.52465056709</v>
      </c>
      <c r="DD119" s="11" t="n">
        <f aca="false">IF(DD$1&lt;Units!$P118,0,IF(AND(Units!$K118=0,DD$1=Units!$O118),Units!$R118,IF(AND(DD$1&gt;=Units!$Q118,MOD(DD$1-Units!$Q118,12)=0),IF(AND(Units!$L118=1,DD$1=Units!$Q118),IF(Units!$J118&lt;&gt;"",Units!$J118,Mkt!DD119),Inputs!$B$15*Mkt!DD119+(1-Inputs!$B$15)*MIN(Mkt!DD119,DC119*(1+Inputs!$B$18))),DC119)))</f>
        <v>2343.52465056709</v>
      </c>
      <c r="DE119" s="11" t="n">
        <f aca="false">IF(DE$1&lt;Units!$P118,0,IF(AND(Units!$K118=0,DE$1=Units!$O118),Units!$R118,IF(AND(DE$1&gt;=Units!$Q118,MOD(DE$1-Units!$Q118,12)=0),IF(AND(Units!$L118=1,DE$1=Units!$Q118),IF(Units!$J118&lt;&gt;"",Units!$J118,Mkt!DE119),Inputs!$B$15*Mkt!DE119+(1-Inputs!$B$15)*MIN(Mkt!DE119,DD119*(1+Inputs!$B$18))),DD119)))</f>
        <v>2343.52465056709</v>
      </c>
      <c r="DF119" s="11" t="n">
        <f aca="false">IF(DF$1&lt;Units!$P118,0,IF(AND(Units!$K118=0,DF$1=Units!$O118),Units!$R118,IF(AND(DF$1&gt;=Units!$Q118,MOD(DF$1-Units!$Q118,12)=0),IF(AND(Units!$L118=1,DF$1=Units!$Q118),IF(Units!$J118&lt;&gt;"",Units!$J118,Mkt!DF119),Inputs!$B$15*Mkt!DF119+(1-Inputs!$B$15)*MIN(Mkt!DF119,DE119*(1+Inputs!$B$18))),DE119)))</f>
        <v>2343.52465056709</v>
      </c>
      <c r="DG119" s="11" t="n">
        <f aca="false">IF(DG$1&lt;Units!$P118,0,IF(AND(Units!$K118=0,DG$1=Units!$O118),Units!$R118,IF(AND(DG$1&gt;=Units!$Q118,MOD(DG$1-Units!$Q118,12)=0),IF(AND(Units!$L118=1,DG$1=Units!$Q118),IF(Units!$J118&lt;&gt;"",Units!$J118,Mkt!DG119),Inputs!$B$15*Mkt!DG119+(1-Inputs!$B$15)*MIN(Mkt!DG119,DF119*(1+Inputs!$B$18))),DF119)))</f>
        <v>2413.8303900841</v>
      </c>
      <c r="DH119" s="11" t="n">
        <f aca="false">IF(DH$1&lt;Units!$P118,0,IF(AND(Units!$K118=0,DH$1=Units!$O118),Units!$R118,IF(AND(DH$1&gt;=Units!$Q118,MOD(DH$1-Units!$Q118,12)=0),IF(AND(Units!$L118=1,DH$1=Units!$Q118),IF(Units!$J118&lt;&gt;"",Units!$J118,Mkt!DH119),Inputs!$B$15*Mkt!DH119+(1-Inputs!$B$15)*MIN(Mkt!DH119,DG119*(1+Inputs!$B$18))),DG119)))</f>
        <v>2413.8303900841</v>
      </c>
      <c r="DI119" s="11" t="n">
        <f aca="false">IF(DI$1&lt;Units!$P118,0,IF(AND(Units!$K118=0,DI$1=Units!$O118),Units!$R118,IF(AND(DI$1&gt;=Units!$Q118,MOD(DI$1-Units!$Q118,12)=0),IF(AND(Units!$L118=1,DI$1=Units!$Q118),IF(Units!$J118&lt;&gt;"",Units!$J118,Mkt!DI119),Inputs!$B$15*Mkt!DI119+(1-Inputs!$B$15)*MIN(Mkt!DI119,DH119*(1+Inputs!$B$18))),DH119)))</f>
        <v>2413.8303900841</v>
      </c>
      <c r="DJ119" s="11" t="n">
        <f aca="false">IF(DJ$1&lt;Units!$P118,0,IF(AND(Units!$K118=0,DJ$1=Units!$O118),Units!$R118,IF(AND(DJ$1&gt;=Units!$Q118,MOD(DJ$1-Units!$Q118,12)=0),IF(AND(Units!$L118=1,DJ$1=Units!$Q118),IF(Units!$J118&lt;&gt;"",Units!$J118,Mkt!DJ119),Inputs!$B$15*Mkt!DJ119+(1-Inputs!$B$15)*MIN(Mkt!DJ119,DI119*(1+Inputs!$B$18))),DI119)))</f>
        <v>2413.8303900841</v>
      </c>
      <c r="DK119" s="11" t="n">
        <f aca="false">IF(DK$1&lt;Units!$P118,0,IF(AND(Units!$K118=0,DK$1=Units!$O118),Units!$R118,IF(AND(DK$1&gt;=Units!$Q118,MOD(DK$1-Units!$Q118,12)=0),IF(AND(Units!$L118=1,DK$1=Units!$Q118),IF(Units!$J118&lt;&gt;"",Units!$J118,Mkt!DK119),Inputs!$B$15*Mkt!DK119+(1-Inputs!$B$15)*MIN(Mkt!DK119,DJ119*(1+Inputs!$B$18))),DJ119)))</f>
        <v>2413.8303900841</v>
      </c>
      <c r="DL119" s="11" t="n">
        <f aca="false">IF(DL$1&lt;Units!$P118,0,IF(AND(Units!$K118=0,DL$1=Units!$O118),Units!$R118,IF(AND(DL$1&gt;=Units!$Q118,MOD(DL$1-Units!$Q118,12)=0),IF(AND(Units!$L118=1,DL$1=Units!$Q118),IF(Units!$J118&lt;&gt;"",Units!$J118,Mkt!DL119),Inputs!$B$15*Mkt!DL119+(1-Inputs!$B$15)*MIN(Mkt!DL119,DK119*(1+Inputs!$B$18))),DK119)))</f>
        <v>2413.8303900841</v>
      </c>
      <c r="DM119" s="11" t="n">
        <f aca="false">IF(DM$1&lt;Units!$P118,0,IF(AND(Units!$K118=0,DM$1=Units!$O118),Units!$R118,IF(AND(DM$1&gt;=Units!$Q118,MOD(DM$1-Units!$Q118,12)=0),IF(AND(Units!$L118=1,DM$1=Units!$Q118),IF(Units!$J118&lt;&gt;"",Units!$J118,Mkt!DM119),Inputs!$B$15*Mkt!DM119+(1-Inputs!$B$15)*MIN(Mkt!DM119,DL119*(1+Inputs!$B$18))),DL119)))</f>
        <v>2413.8303900841</v>
      </c>
      <c r="DN119" s="11" t="n">
        <f aca="false">IF(DN$1&lt;Units!$P118,0,IF(AND(Units!$K118=0,DN$1=Units!$O118),Units!$R118,IF(AND(DN$1&gt;=Units!$Q118,MOD(DN$1-Units!$Q118,12)=0),IF(AND(Units!$L118=1,DN$1=Units!$Q118),IF(Units!$J118&lt;&gt;"",Units!$J118,Mkt!DN119),Inputs!$B$15*Mkt!DN119+(1-Inputs!$B$15)*MIN(Mkt!DN119,DM119*(1+Inputs!$B$18))),DM119)))</f>
        <v>2413.8303900841</v>
      </c>
      <c r="DO119" s="11" t="n">
        <f aca="false">IF(DO$1&lt;Units!$P118,0,IF(AND(Units!$K118=0,DO$1=Units!$O118),Units!$R118,IF(AND(DO$1&gt;=Units!$Q118,MOD(DO$1-Units!$Q118,12)=0),IF(AND(Units!$L118=1,DO$1=Units!$Q118),IF(Units!$J118&lt;&gt;"",Units!$J118,Mkt!DO119),Inputs!$B$15*Mkt!DO119+(1-Inputs!$B$15)*MIN(Mkt!DO119,DN119*(1+Inputs!$B$18))),DN119)))</f>
        <v>2413.8303900841</v>
      </c>
      <c r="DP119" s="11" t="n">
        <f aca="false">IF(DP$1&lt;Units!$P118,0,IF(AND(Units!$K118=0,DP$1=Units!$O118),Units!$R118,IF(AND(DP$1&gt;=Units!$Q118,MOD(DP$1-Units!$Q118,12)=0),IF(AND(Units!$L118=1,DP$1=Units!$Q118),IF(Units!$J118&lt;&gt;"",Units!$J118,Mkt!DP119),Inputs!$B$15*Mkt!DP119+(1-Inputs!$B$15)*MIN(Mkt!DP119,DO119*(1+Inputs!$B$18))),DO119)))</f>
        <v>2413.8303900841</v>
      </c>
      <c r="DQ119" s="11" t="n">
        <f aca="false">IF(DQ$1&lt;Units!$P118,0,IF(AND(Units!$K118=0,DQ$1=Units!$O118),Units!$R118,IF(AND(DQ$1&gt;=Units!$Q118,MOD(DQ$1-Units!$Q118,12)=0),IF(AND(Units!$L118=1,DQ$1=Units!$Q118),IF(Units!$J118&lt;&gt;"",Units!$J118,Mkt!DQ119),Inputs!$B$15*Mkt!DQ119+(1-Inputs!$B$15)*MIN(Mkt!DQ119,DP119*(1+Inputs!$B$18))),DP119)))</f>
        <v>2413.8303900841</v>
      </c>
      <c r="DR119" s="11" t="n">
        <f aca="false">IF(DR$1&lt;Units!$P118,0,IF(AND(Units!$K118=0,DR$1=Units!$O118),Units!$R118,IF(AND(DR$1&gt;=Units!$Q118,MOD(DR$1-Units!$Q118,12)=0),IF(AND(Units!$L118=1,DR$1=Units!$Q118),IF(Units!$J118&lt;&gt;"",Units!$J118,Mkt!DR119),Inputs!$B$15*Mkt!DR119+(1-Inputs!$B$15)*MIN(Mkt!DR119,DQ119*(1+Inputs!$B$18))),DQ119)))</f>
        <v>2413.8303900841</v>
      </c>
      <c r="DS119" s="11" t="n">
        <f aca="false">IF(DS$1&lt;Units!$P118,0,IF(AND(Units!$K118=0,DS$1=Units!$O118),Units!$R118,IF(AND(DS$1&gt;=Units!$Q118,MOD(DS$1-Units!$Q118,12)=0),IF(AND(Units!$L118=1,DS$1=Units!$Q118),IF(Units!$J118&lt;&gt;"",Units!$J118,Mkt!DS119),Inputs!$B$15*Mkt!DS119+(1-Inputs!$B$15)*MIN(Mkt!DS119,DR119*(1+Inputs!$B$18))),DR119)))</f>
        <v>2486.24530178663</v>
      </c>
      <c r="DT119" s="11" t="n">
        <f aca="false">IF(DT$1&lt;Units!$P118,0,IF(AND(Units!$K118=0,DT$1=Units!$O118),Units!$R118,IF(AND(DT$1&gt;=Units!$Q118,MOD(DT$1-Units!$Q118,12)=0),IF(AND(Units!$L118=1,DT$1=Units!$Q118),IF(Units!$J118&lt;&gt;"",Units!$J118,Mkt!DT119),Inputs!$B$15*Mkt!DT119+(1-Inputs!$B$15)*MIN(Mkt!DT119,DS119*(1+Inputs!$B$18))),DS119)))</f>
        <v>2486.24530178663</v>
      </c>
      <c r="DU119" s="11" t="n">
        <f aca="false">IF(DU$1&lt;Units!$P118,0,IF(AND(Units!$K118=0,DU$1=Units!$O118),Units!$R118,IF(AND(DU$1&gt;=Units!$Q118,MOD(DU$1-Units!$Q118,12)=0),IF(AND(Units!$L118=1,DU$1=Units!$Q118),IF(Units!$J118&lt;&gt;"",Units!$J118,Mkt!DU119),Inputs!$B$15*Mkt!DU119+(1-Inputs!$B$15)*MIN(Mkt!DU119,DT119*(1+Inputs!$B$18))),DT119)))</f>
        <v>2486.24530178663</v>
      </c>
      <c r="DV119" s="11" t="n">
        <f aca="false">IF(DV$1&lt;Units!$P118,0,IF(AND(Units!$K118=0,DV$1=Units!$O118),Units!$R118,IF(AND(DV$1&gt;=Units!$Q118,MOD(DV$1-Units!$Q118,12)=0),IF(AND(Units!$L118=1,DV$1=Units!$Q118),IF(Units!$J118&lt;&gt;"",Units!$J118,Mkt!DV119),Inputs!$B$15*Mkt!DV119+(1-Inputs!$B$15)*MIN(Mkt!DV119,DU119*(1+Inputs!$B$18))),DU119)))</f>
        <v>2486.24530178663</v>
      </c>
      <c r="DW119" s="11" t="n">
        <f aca="false">IF(DW$1&lt;Units!$P118,0,IF(AND(Units!$K118=0,DW$1=Units!$O118),Units!$R118,IF(AND(DW$1&gt;=Units!$Q118,MOD(DW$1-Units!$Q118,12)=0),IF(AND(Units!$L118=1,DW$1=Units!$Q118),IF(Units!$J118&lt;&gt;"",Units!$J118,Mkt!DW119),Inputs!$B$15*Mkt!DW119+(1-Inputs!$B$15)*MIN(Mkt!DW119,DV119*(1+Inputs!$B$18))),DV119)))</f>
        <v>2486.24530178663</v>
      </c>
      <c r="DX119" s="11" t="n">
        <f aca="false">IF(DX$1&lt;Units!$P118,0,IF(AND(Units!$K118=0,DX$1=Units!$O118),Units!$R118,IF(AND(DX$1&gt;=Units!$Q118,MOD(DX$1-Units!$Q118,12)=0),IF(AND(Units!$L118=1,DX$1=Units!$Q118),IF(Units!$J118&lt;&gt;"",Units!$J118,Mkt!DX119),Inputs!$B$15*Mkt!DX119+(1-Inputs!$B$15)*MIN(Mkt!DX119,DW119*(1+Inputs!$B$18))),DW119)))</f>
        <v>2486.24530178663</v>
      </c>
      <c r="DY119" s="11" t="n">
        <f aca="false">IF(DY$1&lt;Units!$P118,0,IF(AND(Units!$K118=0,DY$1=Units!$O118),Units!$R118,IF(AND(DY$1&gt;=Units!$Q118,MOD(DY$1-Units!$Q118,12)=0),IF(AND(Units!$L118=1,DY$1=Units!$Q118),IF(Units!$J118&lt;&gt;"",Units!$J118,Mkt!DY119),Inputs!$B$15*Mkt!DY119+(1-Inputs!$B$15)*MIN(Mkt!DY119,DX119*(1+Inputs!$B$18))),DX119)))</f>
        <v>2486.24530178663</v>
      </c>
      <c r="DZ119" s="11" t="n">
        <f aca="false">IF(DZ$1&lt;Units!$P118,0,IF(AND(Units!$K118=0,DZ$1=Units!$O118),Units!$R118,IF(AND(DZ$1&gt;=Units!$Q118,MOD(DZ$1-Units!$Q118,12)=0),IF(AND(Units!$L118=1,DZ$1=Units!$Q118),IF(Units!$J118&lt;&gt;"",Units!$J118,Mkt!DZ119),Inputs!$B$15*Mkt!DZ119+(1-Inputs!$B$15)*MIN(Mkt!DZ119,DY119*(1+Inputs!$B$18))),DY119)))</f>
        <v>2486.24530178663</v>
      </c>
      <c r="EA119" s="11" t="n">
        <f aca="false">IF(EA$1&lt;Units!$P118,0,IF(AND(Units!$K118=0,EA$1=Units!$O118),Units!$R118,IF(AND(EA$1&gt;=Units!$Q118,MOD(EA$1-Units!$Q118,12)=0),IF(AND(Units!$L118=1,EA$1=Units!$Q118),IF(Units!$J118&lt;&gt;"",Units!$J118,Mkt!EA119),Inputs!$B$15*Mkt!EA119+(1-Inputs!$B$15)*MIN(Mkt!EA119,DZ119*(1+Inputs!$B$18))),DZ119)))</f>
        <v>2486.24530178663</v>
      </c>
      <c r="EB119" s="11" t="n">
        <f aca="false">IF(EB$1&lt;Units!$P118,0,IF(AND(Units!$K118=0,EB$1=Units!$O118),Units!$R118,IF(AND(EB$1&gt;=Units!$Q118,MOD(EB$1-Units!$Q118,12)=0),IF(AND(Units!$L118=1,EB$1=Units!$Q118),IF(Units!$J118&lt;&gt;"",Units!$J118,Mkt!EB119),Inputs!$B$15*Mkt!EB119+(1-Inputs!$B$15)*MIN(Mkt!EB119,EA119*(1+Inputs!$B$18))),EA119)))</f>
        <v>2486.24530178663</v>
      </c>
      <c r="EC119" s="11" t="n">
        <f aca="false">IF(EC$1&lt;Units!$P118,0,IF(AND(Units!$K118=0,EC$1=Units!$O118),Units!$R118,IF(AND(EC$1&gt;=Units!$Q118,MOD(EC$1-Units!$Q118,12)=0),IF(AND(Units!$L118=1,EC$1=Units!$Q118),IF(Units!$J118&lt;&gt;"",Units!$J118,Mkt!EC119),Inputs!$B$15*Mkt!EC119+(1-Inputs!$B$15)*MIN(Mkt!EC119,EB119*(1+Inputs!$B$18))),EB119)))</f>
        <v>2486.24530178663</v>
      </c>
      <c r="ED119" s="11" t="n">
        <f aca="false">IF(ED$1&lt;Units!$P118,0,IF(AND(Units!$K118=0,ED$1=Units!$O118),Units!$R118,IF(AND(ED$1&gt;=Units!$Q118,MOD(ED$1-Units!$Q118,12)=0),IF(AND(Units!$L118=1,ED$1=Units!$Q118),IF(Units!$J118&lt;&gt;"",Units!$J118,Mkt!ED119),Inputs!$B$15*Mkt!ED119+(1-Inputs!$B$15)*MIN(Mkt!ED119,EC119*(1+Inputs!$B$18))),EC119)))</f>
        <v>2486.24530178663</v>
      </c>
    </row>
    <row r="120" customFormat="false" ht="15" hidden="false" customHeight="false" outlineLevel="0" collapsed="false">
      <c r="A120" s="22" t="n">
        <f aca="false">Units!A119</f>
        <v>428</v>
      </c>
      <c r="B120" s="24" t="n">
        <f aca="false">IF(Units!K119=1,Units!F119,0)</f>
        <v>2230</v>
      </c>
      <c r="C120" s="11" t="n">
        <f aca="false">IF(C$1&lt;Units!$P119,0,IF(AND(Units!$K119=0,C$1=Units!$O119),Units!$R119,IF(AND(C$1&gt;=Units!$Q119,MOD(C$1-Units!$Q119,12)=0),IF(AND(Units!$L119=1,C$1=Units!$Q119),IF(Units!$J119&lt;&gt;"",Units!$J119,Mkt!C120),Inputs!$B$15*Mkt!C120+(1-Inputs!$B$15)*MIN(Mkt!C120,B120*(1+Inputs!$B$18))),B120)))</f>
        <v>2230</v>
      </c>
      <c r="D120" s="11" t="n">
        <f aca="false">IF(D$1&lt;Units!$P119,0,IF(AND(Units!$K119=0,D$1=Units!$O119),Units!$R119,IF(AND(D$1&gt;=Units!$Q119,MOD(D$1-Units!$Q119,12)=0),IF(AND(Units!$L119=1,D$1=Units!$Q119),IF(Units!$J119&lt;&gt;"",Units!$J119,Mkt!D120),Inputs!$B$15*Mkt!D120+(1-Inputs!$B$15)*MIN(Mkt!D120,C120*(1+Inputs!$B$18))),C120)))</f>
        <v>2230</v>
      </c>
      <c r="E120" s="11" t="n">
        <f aca="false">IF(E$1&lt;Units!$P119,0,IF(AND(Units!$K119=0,E$1=Units!$O119),Units!$R119,IF(AND(E$1&gt;=Units!$Q119,MOD(E$1-Units!$Q119,12)=0),IF(AND(Units!$L119=1,E$1=Units!$Q119),IF(Units!$J119&lt;&gt;"",Units!$J119,Mkt!E120),Inputs!$B$15*Mkt!E120+(1-Inputs!$B$15)*MIN(Mkt!E120,D120*(1+Inputs!$B$18))),D120)))</f>
        <v>2230</v>
      </c>
      <c r="F120" s="11" t="n">
        <f aca="false">IF(F$1&lt;Units!$P119,0,IF(AND(Units!$K119=0,F$1=Units!$O119),Units!$R119,IF(AND(F$1&gt;=Units!$Q119,MOD(F$1-Units!$Q119,12)=0),IF(AND(Units!$L119=1,F$1=Units!$Q119),IF(Units!$J119&lt;&gt;"",Units!$J119,Mkt!F120),Inputs!$B$15*Mkt!F120+(1-Inputs!$B$15)*MIN(Mkt!F120,E120*(1+Inputs!$B$18))),E120)))</f>
        <v>2230</v>
      </c>
      <c r="G120" s="11" t="n">
        <f aca="false">IF(G$1&lt;Units!$P119,0,IF(AND(Units!$K119=0,G$1=Units!$O119),Units!$R119,IF(AND(G$1&gt;=Units!$Q119,MOD(G$1-Units!$Q119,12)=0),IF(AND(Units!$L119=1,G$1=Units!$Q119),IF(Units!$J119&lt;&gt;"",Units!$J119,Mkt!G120),Inputs!$B$15*Mkt!G120+(1-Inputs!$B$15)*MIN(Mkt!G120,F120*(1+Inputs!$B$18))),F120)))</f>
        <v>2230</v>
      </c>
      <c r="H120" s="11" t="n">
        <f aca="false">IF(H$1&lt;Units!$P119,0,IF(AND(Units!$K119=0,H$1=Units!$O119),Units!$R119,IF(AND(H$1&gt;=Units!$Q119,MOD(H$1-Units!$Q119,12)=0),IF(AND(Units!$L119=1,H$1=Units!$Q119),IF(Units!$J119&lt;&gt;"",Units!$J119,Mkt!H120),Inputs!$B$15*Mkt!H120+(1-Inputs!$B$15)*MIN(Mkt!H120,G120*(1+Inputs!$B$18))),G120)))</f>
        <v>2230</v>
      </c>
      <c r="I120" s="11" t="n">
        <f aca="false">IF(I$1&lt;Units!$P119,0,IF(AND(Units!$K119=0,I$1=Units!$O119),Units!$R119,IF(AND(I$1&gt;=Units!$Q119,MOD(I$1-Units!$Q119,12)=0),IF(AND(Units!$L119=1,I$1=Units!$Q119),IF(Units!$J119&lt;&gt;"",Units!$J119,Mkt!I120),Inputs!$B$15*Mkt!I120+(1-Inputs!$B$15)*MIN(Mkt!I120,H120*(1+Inputs!$B$18))),H120)))</f>
        <v>2240</v>
      </c>
      <c r="J120" s="11" t="n">
        <f aca="false">IF(J$1&lt;Units!$P119,0,IF(AND(Units!$K119=0,J$1=Units!$O119),Units!$R119,IF(AND(J$1&gt;=Units!$Q119,MOD(J$1-Units!$Q119,12)=0),IF(AND(Units!$L119=1,J$1=Units!$Q119),IF(Units!$J119&lt;&gt;"",Units!$J119,Mkt!J120),Inputs!$B$15*Mkt!J120+(1-Inputs!$B$15)*MIN(Mkt!J120,I120*(1+Inputs!$B$18))),I120)))</f>
        <v>2240</v>
      </c>
      <c r="K120" s="11" t="n">
        <f aca="false">IF(K$1&lt;Units!$P119,0,IF(AND(Units!$K119=0,K$1=Units!$O119),Units!$R119,IF(AND(K$1&gt;=Units!$Q119,MOD(K$1-Units!$Q119,12)=0),IF(AND(Units!$L119=1,K$1=Units!$Q119),IF(Units!$J119&lt;&gt;"",Units!$J119,Mkt!K120),Inputs!$B$15*Mkt!K120+(1-Inputs!$B$15)*MIN(Mkt!K120,J120*(1+Inputs!$B$18))),J120)))</f>
        <v>2240</v>
      </c>
      <c r="L120" s="11" t="n">
        <f aca="false">IF(L$1&lt;Units!$P119,0,IF(AND(Units!$K119=0,L$1=Units!$O119),Units!$R119,IF(AND(L$1&gt;=Units!$Q119,MOD(L$1-Units!$Q119,12)=0),IF(AND(Units!$L119=1,L$1=Units!$Q119),IF(Units!$J119&lt;&gt;"",Units!$J119,Mkt!L120),Inputs!$B$15*Mkt!L120+(1-Inputs!$B$15)*MIN(Mkt!L120,K120*(1+Inputs!$B$18))),K120)))</f>
        <v>2240</v>
      </c>
      <c r="M120" s="11" t="n">
        <f aca="false">IF(M$1&lt;Units!$P119,0,IF(AND(Units!$K119=0,M$1=Units!$O119),Units!$R119,IF(AND(M$1&gt;=Units!$Q119,MOD(M$1-Units!$Q119,12)=0),IF(AND(Units!$L119=1,M$1=Units!$Q119),IF(Units!$J119&lt;&gt;"",Units!$J119,Mkt!M120),Inputs!$B$15*Mkt!M120+(1-Inputs!$B$15)*MIN(Mkt!M120,L120*(1+Inputs!$B$18))),L120)))</f>
        <v>2240</v>
      </c>
      <c r="N120" s="11" t="n">
        <f aca="false">IF(N$1&lt;Units!$P119,0,IF(AND(Units!$K119=0,N$1=Units!$O119),Units!$R119,IF(AND(N$1&gt;=Units!$Q119,MOD(N$1-Units!$Q119,12)=0),IF(AND(Units!$L119=1,N$1=Units!$Q119),IF(Units!$J119&lt;&gt;"",Units!$J119,Mkt!N120),Inputs!$B$15*Mkt!N120+(1-Inputs!$B$15)*MIN(Mkt!N120,M120*(1+Inputs!$B$18))),M120)))</f>
        <v>2240</v>
      </c>
      <c r="O120" s="11" t="n">
        <f aca="false">IF(O$1&lt;Units!$P119,0,IF(AND(Units!$K119=0,O$1=Units!$O119),Units!$R119,IF(AND(O$1&gt;=Units!$Q119,MOD(O$1-Units!$Q119,12)=0),IF(AND(Units!$L119=1,O$1=Units!$Q119),IF(Units!$J119&lt;&gt;"",Units!$J119,Mkt!O120),Inputs!$B$15*Mkt!O120+(1-Inputs!$B$15)*MIN(Mkt!O120,N120*(1+Inputs!$B$18))),N120)))</f>
        <v>2240</v>
      </c>
      <c r="P120" s="11" t="n">
        <f aca="false">IF(P$1&lt;Units!$P119,0,IF(AND(Units!$K119=0,P$1=Units!$O119),Units!$R119,IF(AND(P$1&gt;=Units!$Q119,MOD(P$1-Units!$Q119,12)=0),IF(AND(Units!$L119=1,P$1=Units!$Q119),IF(Units!$J119&lt;&gt;"",Units!$J119,Mkt!P120),Inputs!$B$15*Mkt!P120+(1-Inputs!$B$15)*MIN(Mkt!P120,O120*(1+Inputs!$B$18))),O120)))</f>
        <v>2240</v>
      </c>
      <c r="Q120" s="11" t="n">
        <f aca="false">IF(Q$1&lt;Units!$P119,0,IF(AND(Units!$K119=0,Q$1=Units!$O119),Units!$R119,IF(AND(Q$1&gt;=Units!$Q119,MOD(Q$1-Units!$Q119,12)=0),IF(AND(Units!$L119=1,Q$1=Units!$Q119),IF(Units!$J119&lt;&gt;"",Units!$J119,Mkt!Q120),Inputs!$B$15*Mkt!Q120+(1-Inputs!$B$15)*MIN(Mkt!Q120,P120*(1+Inputs!$B$18))),P120)))</f>
        <v>2240</v>
      </c>
      <c r="R120" s="11" t="n">
        <f aca="false">IF(R$1&lt;Units!$P119,0,IF(AND(Units!$K119=0,R$1=Units!$O119),Units!$R119,IF(AND(R$1&gt;=Units!$Q119,MOD(R$1-Units!$Q119,12)=0),IF(AND(Units!$L119=1,R$1=Units!$Q119),IF(Units!$J119&lt;&gt;"",Units!$J119,Mkt!R120),Inputs!$B$15*Mkt!R120+(1-Inputs!$B$15)*MIN(Mkt!R120,Q120*(1+Inputs!$B$18))),Q120)))</f>
        <v>2240</v>
      </c>
      <c r="S120" s="11" t="n">
        <f aca="false">IF(S$1&lt;Units!$P119,0,IF(AND(Units!$K119=0,S$1=Units!$O119),Units!$R119,IF(AND(S$1&gt;=Units!$Q119,MOD(S$1-Units!$Q119,12)=0),IF(AND(Units!$L119=1,S$1=Units!$Q119),IF(Units!$J119&lt;&gt;"",Units!$J119,Mkt!S120),Inputs!$B$15*Mkt!S120+(1-Inputs!$B$15)*MIN(Mkt!S120,R120*(1+Inputs!$B$18))),R120)))</f>
        <v>2240</v>
      </c>
      <c r="T120" s="11" t="n">
        <f aca="false">IF(T$1&lt;Units!$P119,0,IF(AND(Units!$K119=0,T$1=Units!$O119),Units!$R119,IF(AND(T$1&gt;=Units!$Q119,MOD(T$1-Units!$Q119,12)=0),IF(AND(Units!$L119=1,T$1=Units!$Q119),IF(Units!$J119&lt;&gt;"",Units!$J119,Mkt!T120),Inputs!$B$15*Mkt!T120+(1-Inputs!$B$15)*MIN(Mkt!T120,S120*(1+Inputs!$B$18))),S120)))</f>
        <v>2240</v>
      </c>
      <c r="U120" s="11" t="n">
        <f aca="false">IF(U$1&lt;Units!$P119,0,IF(AND(Units!$K119=0,U$1=Units!$O119),Units!$R119,IF(AND(U$1&gt;=Units!$Q119,MOD(U$1-Units!$Q119,12)=0),IF(AND(Units!$L119=1,U$1=Units!$Q119),IF(Units!$J119&lt;&gt;"",Units!$J119,Mkt!U120),Inputs!$B$15*Mkt!U120+(1-Inputs!$B$15)*MIN(Mkt!U120,T120*(1+Inputs!$B$18))),T120)))</f>
        <v>2307.2</v>
      </c>
      <c r="V120" s="11" t="n">
        <f aca="false">IF(V$1&lt;Units!$P119,0,IF(AND(Units!$K119=0,V$1=Units!$O119),Units!$R119,IF(AND(V$1&gt;=Units!$Q119,MOD(V$1-Units!$Q119,12)=0),IF(AND(Units!$L119=1,V$1=Units!$Q119),IF(Units!$J119&lt;&gt;"",Units!$J119,Mkt!V120),Inputs!$B$15*Mkt!V120+(1-Inputs!$B$15)*MIN(Mkt!V120,U120*(1+Inputs!$B$18))),U120)))</f>
        <v>2307.2</v>
      </c>
      <c r="W120" s="11" t="n">
        <f aca="false">IF(W$1&lt;Units!$P119,0,IF(AND(Units!$K119=0,W$1=Units!$O119),Units!$R119,IF(AND(W$1&gt;=Units!$Q119,MOD(W$1-Units!$Q119,12)=0),IF(AND(Units!$L119=1,W$1=Units!$Q119),IF(Units!$J119&lt;&gt;"",Units!$J119,Mkt!W120),Inputs!$B$15*Mkt!W120+(1-Inputs!$B$15)*MIN(Mkt!W120,V120*(1+Inputs!$B$18))),V120)))</f>
        <v>2307.2</v>
      </c>
      <c r="X120" s="11" t="n">
        <f aca="false">IF(X$1&lt;Units!$P119,0,IF(AND(Units!$K119=0,X$1=Units!$O119),Units!$R119,IF(AND(X$1&gt;=Units!$Q119,MOD(X$1-Units!$Q119,12)=0),IF(AND(Units!$L119=1,X$1=Units!$Q119),IF(Units!$J119&lt;&gt;"",Units!$J119,Mkt!X120),Inputs!$B$15*Mkt!X120+(1-Inputs!$B$15)*MIN(Mkt!X120,W120*(1+Inputs!$B$18))),W120)))</f>
        <v>2307.2</v>
      </c>
      <c r="Y120" s="11" t="n">
        <f aca="false">IF(Y$1&lt;Units!$P119,0,IF(AND(Units!$K119=0,Y$1=Units!$O119),Units!$R119,IF(AND(Y$1&gt;=Units!$Q119,MOD(Y$1-Units!$Q119,12)=0),IF(AND(Units!$L119=1,Y$1=Units!$Q119),IF(Units!$J119&lt;&gt;"",Units!$J119,Mkt!Y120),Inputs!$B$15*Mkt!Y120+(1-Inputs!$B$15)*MIN(Mkt!Y120,X120*(1+Inputs!$B$18))),X120)))</f>
        <v>2307.2</v>
      </c>
      <c r="Z120" s="11" t="n">
        <f aca="false">IF(Z$1&lt;Units!$P119,0,IF(AND(Units!$K119=0,Z$1=Units!$O119),Units!$R119,IF(AND(Z$1&gt;=Units!$Q119,MOD(Z$1-Units!$Q119,12)=0),IF(AND(Units!$L119=1,Z$1=Units!$Q119),IF(Units!$J119&lt;&gt;"",Units!$J119,Mkt!Z120),Inputs!$B$15*Mkt!Z120+(1-Inputs!$B$15)*MIN(Mkt!Z120,Y120*(1+Inputs!$B$18))),Y120)))</f>
        <v>2307.2</v>
      </c>
      <c r="AA120" s="11" t="n">
        <f aca="false">IF(AA$1&lt;Units!$P119,0,IF(AND(Units!$K119=0,AA$1=Units!$O119),Units!$R119,IF(AND(AA$1&gt;=Units!$Q119,MOD(AA$1-Units!$Q119,12)=0),IF(AND(Units!$L119=1,AA$1=Units!$Q119),IF(Units!$J119&lt;&gt;"",Units!$J119,Mkt!AA120),Inputs!$B$15*Mkt!AA120+(1-Inputs!$B$15)*MIN(Mkt!AA120,Z120*(1+Inputs!$B$18))),Z120)))</f>
        <v>2307.2</v>
      </c>
      <c r="AB120" s="11" t="n">
        <f aca="false">IF(AB$1&lt;Units!$P119,0,IF(AND(Units!$K119=0,AB$1=Units!$O119),Units!$R119,IF(AND(AB$1&gt;=Units!$Q119,MOD(AB$1-Units!$Q119,12)=0),IF(AND(Units!$L119=1,AB$1=Units!$Q119),IF(Units!$J119&lt;&gt;"",Units!$J119,Mkt!AB120),Inputs!$B$15*Mkt!AB120+(1-Inputs!$B$15)*MIN(Mkt!AB120,AA120*(1+Inputs!$B$18))),AA120)))</f>
        <v>2307.2</v>
      </c>
      <c r="AC120" s="11" t="n">
        <f aca="false">IF(AC$1&lt;Units!$P119,0,IF(AND(Units!$K119=0,AC$1=Units!$O119),Units!$R119,IF(AND(AC$1&gt;=Units!$Q119,MOD(AC$1-Units!$Q119,12)=0),IF(AND(Units!$L119=1,AC$1=Units!$Q119),IF(Units!$J119&lt;&gt;"",Units!$J119,Mkt!AC120),Inputs!$B$15*Mkt!AC120+(1-Inputs!$B$15)*MIN(Mkt!AC120,AB120*(1+Inputs!$B$18))),AB120)))</f>
        <v>2307.2</v>
      </c>
      <c r="AD120" s="11" t="n">
        <f aca="false">IF(AD$1&lt;Units!$P119,0,IF(AND(Units!$K119=0,AD$1=Units!$O119),Units!$R119,IF(AND(AD$1&gt;=Units!$Q119,MOD(AD$1-Units!$Q119,12)=0),IF(AND(Units!$L119=1,AD$1=Units!$Q119),IF(Units!$J119&lt;&gt;"",Units!$J119,Mkt!AD120),Inputs!$B$15*Mkt!AD120+(1-Inputs!$B$15)*MIN(Mkt!AD120,AC120*(1+Inputs!$B$18))),AC120)))</f>
        <v>2307.2</v>
      </c>
      <c r="AE120" s="11" t="n">
        <f aca="false">IF(AE$1&lt;Units!$P119,0,IF(AND(Units!$K119=0,AE$1=Units!$O119),Units!$R119,IF(AND(AE$1&gt;=Units!$Q119,MOD(AE$1-Units!$Q119,12)=0),IF(AND(Units!$L119=1,AE$1=Units!$Q119),IF(Units!$J119&lt;&gt;"",Units!$J119,Mkt!AE120),Inputs!$B$15*Mkt!AE120+(1-Inputs!$B$15)*MIN(Mkt!AE120,AD120*(1+Inputs!$B$18))),AD120)))</f>
        <v>2307.2</v>
      </c>
      <c r="AF120" s="11" t="n">
        <f aca="false">IF(AF$1&lt;Units!$P119,0,IF(AND(Units!$K119=0,AF$1=Units!$O119),Units!$R119,IF(AND(AF$1&gt;=Units!$Q119,MOD(AF$1-Units!$Q119,12)=0),IF(AND(Units!$L119=1,AF$1=Units!$Q119),IF(Units!$J119&lt;&gt;"",Units!$J119,Mkt!AF120),Inputs!$B$15*Mkt!AF120+(1-Inputs!$B$15)*MIN(Mkt!AF120,AE120*(1+Inputs!$B$18))),AE120)))</f>
        <v>2307.2</v>
      </c>
      <c r="AG120" s="11" t="n">
        <f aca="false">IF(AG$1&lt;Units!$P119,0,IF(AND(Units!$K119=0,AG$1=Units!$O119),Units!$R119,IF(AND(AG$1&gt;=Units!$Q119,MOD(AG$1-Units!$Q119,12)=0),IF(AND(Units!$L119=1,AG$1=Units!$Q119),IF(Units!$J119&lt;&gt;"",Units!$J119,Mkt!AG120),Inputs!$B$15*Mkt!AG120+(1-Inputs!$B$15)*MIN(Mkt!AG120,AF120*(1+Inputs!$B$18))),AF120)))</f>
        <v>2376.416</v>
      </c>
      <c r="AH120" s="11" t="n">
        <f aca="false">IF(AH$1&lt;Units!$P119,0,IF(AND(Units!$K119=0,AH$1=Units!$O119),Units!$R119,IF(AND(AH$1&gt;=Units!$Q119,MOD(AH$1-Units!$Q119,12)=0),IF(AND(Units!$L119=1,AH$1=Units!$Q119),IF(Units!$J119&lt;&gt;"",Units!$J119,Mkt!AH120),Inputs!$B$15*Mkt!AH120+(1-Inputs!$B$15)*MIN(Mkt!AH120,AG120*(1+Inputs!$B$18))),AG120)))</f>
        <v>2376.416</v>
      </c>
      <c r="AI120" s="11" t="n">
        <f aca="false">IF(AI$1&lt;Units!$P119,0,IF(AND(Units!$K119=0,AI$1=Units!$O119),Units!$R119,IF(AND(AI$1&gt;=Units!$Q119,MOD(AI$1-Units!$Q119,12)=0),IF(AND(Units!$L119=1,AI$1=Units!$Q119),IF(Units!$J119&lt;&gt;"",Units!$J119,Mkt!AI120),Inputs!$B$15*Mkt!AI120+(1-Inputs!$B$15)*MIN(Mkt!AI120,AH120*(1+Inputs!$B$18))),AH120)))</f>
        <v>2376.416</v>
      </c>
      <c r="AJ120" s="11" t="n">
        <f aca="false">IF(AJ$1&lt;Units!$P119,0,IF(AND(Units!$K119=0,AJ$1=Units!$O119),Units!$R119,IF(AND(AJ$1&gt;=Units!$Q119,MOD(AJ$1-Units!$Q119,12)=0),IF(AND(Units!$L119=1,AJ$1=Units!$Q119),IF(Units!$J119&lt;&gt;"",Units!$J119,Mkt!AJ120),Inputs!$B$15*Mkt!AJ120+(1-Inputs!$B$15)*MIN(Mkt!AJ120,AI120*(1+Inputs!$B$18))),AI120)))</f>
        <v>2376.416</v>
      </c>
      <c r="AK120" s="11" t="n">
        <f aca="false">IF(AK$1&lt;Units!$P119,0,IF(AND(Units!$K119=0,AK$1=Units!$O119),Units!$R119,IF(AND(AK$1&gt;=Units!$Q119,MOD(AK$1-Units!$Q119,12)=0),IF(AND(Units!$L119=1,AK$1=Units!$Q119),IF(Units!$J119&lt;&gt;"",Units!$J119,Mkt!AK120),Inputs!$B$15*Mkt!AK120+(1-Inputs!$B$15)*MIN(Mkt!AK120,AJ120*(1+Inputs!$B$18))),AJ120)))</f>
        <v>2376.416</v>
      </c>
      <c r="AL120" s="11" t="n">
        <f aca="false">IF(AL$1&lt;Units!$P119,0,IF(AND(Units!$K119=0,AL$1=Units!$O119),Units!$R119,IF(AND(AL$1&gt;=Units!$Q119,MOD(AL$1-Units!$Q119,12)=0),IF(AND(Units!$L119=1,AL$1=Units!$Q119),IF(Units!$J119&lt;&gt;"",Units!$J119,Mkt!AL120),Inputs!$B$15*Mkt!AL120+(1-Inputs!$B$15)*MIN(Mkt!AL120,AK120*(1+Inputs!$B$18))),AK120)))</f>
        <v>2376.416</v>
      </c>
      <c r="AM120" s="11" t="n">
        <f aca="false">IF(AM$1&lt;Units!$P119,0,IF(AND(Units!$K119=0,AM$1=Units!$O119),Units!$R119,IF(AND(AM$1&gt;=Units!$Q119,MOD(AM$1-Units!$Q119,12)=0),IF(AND(Units!$L119=1,AM$1=Units!$Q119),IF(Units!$J119&lt;&gt;"",Units!$J119,Mkt!AM120),Inputs!$B$15*Mkt!AM120+(1-Inputs!$B$15)*MIN(Mkt!AM120,AL120*(1+Inputs!$B$18))),AL120)))</f>
        <v>2376.416</v>
      </c>
      <c r="AN120" s="11" t="n">
        <f aca="false">IF(AN$1&lt;Units!$P119,0,IF(AND(Units!$K119=0,AN$1=Units!$O119),Units!$R119,IF(AND(AN$1&gt;=Units!$Q119,MOD(AN$1-Units!$Q119,12)=0),IF(AND(Units!$L119=1,AN$1=Units!$Q119),IF(Units!$J119&lt;&gt;"",Units!$J119,Mkt!AN120),Inputs!$B$15*Mkt!AN120+(1-Inputs!$B$15)*MIN(Mkt!AN120,AM120*(1+Inputs!$B$18))),AM120)))</f>
        <v>2376.416</v>
      </c>
      <c r="AO120" s="11" t="n">
        <f aca="false">IF(AO$1&lt;Units!$P119,0,IF(AND(Units!$K119=0,AO$1=Units!$O119),Units!$R119,IF(AND(AO$1&gt;=Units!$Q119,MOD(AO$1-Units!$Q119,12)=0),IF(AND(Units!$L119=1,AO$1=Units!$Q119),IF(Units!$J119&lt;&gt;"",Units!$J119,Mkt!AO120),Inputs!$B$15*Mkt!AO120+(1-Inputs!$B$15)*MIN(Mkt!AO120,AN120*(1+Inputs!$B$18))),AN120)))</f>
        <v>2376.416</v>
      </c>
      <c r="AP120" s="11" t="n">
        <f aca="false">IF(AP$1&lt;Units!$P119,0,IF(AND(Units!$K119=0,AP$1=Units!$O119),Units!$R119,IF(AND(AP$1&gt;=Units!$Q119,MOD(AP$1-Units!$Q119,12)=0),IF(AND(Units!$L119=1,AP$1=Units!$Q119),IF(Units!$J119&lt;&gt;"",Units!$J119,Mkt!AP120),Inputs!$B$15*Mkt!AP120+(1-Inputs!$B$15)*MIN(Mkt!AP120,AO120*(1+Inputs!$B$18))),AO120)))</f>
        <v>2376.416</v>
      </c>
      <c r="AQ120" s="11" t="n">
        <f aca="false">IF(AQ$1&lt;Units!$P119,0,IF(AND(Units!$K119=0,AQ$1=Units!$O119),Units!$R119,IF(AND(AQ$1&gt;=Units!$Q119,MOD(AQ$1-Units!$Q119,12)=0),IF(AND(Units!$L119=1,AQ$1=Units!$Q119),IF(Units!$J119&lt;&gt;"",Units!$J119,Mkt!AQ120),Inputs!$B$15*Mkt!AQ120+(1-Inputs!$B$15)*MIN(Mkt!AQ120,AP120*(1+Inputs!$B$18))),AP120)))</f>
        <v>2376.416</v>
      </c>
      <c r="AR120" s="11" t="n">
        <f aca="false">IF(AR$1&lt;Units!$P119,0,IF(AND(Units!$K119=0,AR$1=Units!$O119),Units!$R119,IF(AND(AR$1&gt;=Units!$Q119,MOD(AR$1-Units!$Q119,12)=0),IF(AND(Units!$L119=1,AR$1=Units!$Q119),IF(Units!$J119&lt;&gt;"",Units!$J119,Mkt!AR120),Inputs!$B$15*Mkt!AR120+(1-Inputs!$B$15)*MIN(Mkt!AR120,AQ120*(1+Inputs!$B$18))),AQ120)))</f>
        <v>2376.416</v>
      </c>
      <c r="AS120" s="11" t="n">
        <f aca="false">IF(AS$1&lt;Units!$P119,0,IF(AND(Units!$K119=0,AS$1=Units!$O119),Units!$R119,IF(AND(AS$1&gt;=Units!$Q119,MOD(AS$1-Units!$Q119,12)=0),IF(AND(Units!$L119=1,AS$1=Units!$Q119),IF(Units!$J119&lt;&gt;"",Units!$J119,Mkt!AS120),Inputs!$B$15*Mkt!AS120+(1-Inputs!$B$15)*MIN(Mkt!AS120,AR120*(1+Inputs!$B$18))),AR120)))</f>
        <v>2447.70848</v>
      </c>
      <c r="AT120" s="11" t="n">
        <f aca="false">IF(AT$1&lt;Units!$P119,0,IF(AND(Units!$K119=0,AT$1=Units!$O119),Units!$R119,IF(AND(AT$1&gt;=Units!$Q119,MOD(AT$1-Units!$Q119,12)=0),IF(AND(Units!$L119=1,AT$1=Units!$Q119),IF(Units!$J119&lt;&gt;"",Units!$J119,Mkt!AT120),Inputs!$B$15*Mkt!AT120+(1-Inputs!$B$15)*MIN(Mkt!AT120,AS120*(1+Inputs!$B$18))),AS120)))</f>
        <v>2447.70848</v>
      </c>
      <c r="AU120" s="11" t="n">
        <f aca="false">IF(AU$1&lt;Units!$P119,0,IF(AND(Units!$K119=0,AU$1=Units!$O119),Units!$R119,IF(AND(AU$1&gt;=Units!$Q119,MOD(AU$1-Units!$Q119,12)=0),IF(AND(Units!$L119=1,AU$1=Units!$Q119),IF(Units!$J119&lt;&gt;"",Units!$J119,Mkt!AU120),Inputs!$B$15*Mkt!AU120+(1-Inputs!$B$15)*MIN(Mkt!AU120,AT120*(1+Inputs!$B$18))),AT120)))</f>
        <v>2447.70848</v>
      </c>
      <c r="AV120" s="11" t="n">
        <f aca="false">IF(AV$1&lt;Units!$P119,0,IF(AND(Units!$K119=0,AV$1=Units!$O119),Units!$R119,IF(AND(AV$1&gt;=Units!$Q119,MOD(AV$1-Units!$Q119,12)=0),IF(AND(Units!$L119=1,AV$1=Units!$Q119),IF(Units!$J119&lt;&gt;"",Units!$J119,Mkt!AV120),Inputs!$B$15*Mkt!AV120+(1-Inputs!$B$15)*MIN(Mkt!AV120,AU120*(1+Inputs!$B$18))),AU120)))</f>
        <v>2447.70848</v>
      </c>
      <c r="AW120" s="11" t="n">
        <f aca="false">IF(AW$1&lt;Units!$P119,0,IF(AND(Units!$K119=0,AW$1=Units!$O119),Units!$R119,IF(AND(AW$1&gt;=Units!$Q119,MOD(AW$1-Units!$Q119,12)=0),IF(AND(Units!$L119=1,AW$1=Units!$Q119),IF(Units!$J119&lt;&gt;"",Units!$J119,Mkt!AW120),Inputs!$B$15*Mkt!AW120+(1-Inputs!$B$15)*MIN(Mkt!AW120,AV120*(1+Inputs!$B$18))),AV120)))</f>
        <v>2447.70848</v>
      </c>
      <c r="AX120" s="11" t="n">
        <f aca="false">IF(AX$1&lt;Units!$P119,0,IF(AND(Units!$K119=0,AX$1=Units!$O119),Units!$R119,IF(AND(AX$1&gt;=Units!$Q119,MOD(AX$1-Units!$Q119,12)=0),IF(AND(Units!$L119=1,AX$1=Units!$Q119),IF(Units!$J119&lt;&gt;"",Units!$J119,Mkt!AX120),Inputs!$B$15*Mkt!AX120+(1-Inputs!$B$15)*MIN(Mkt!AX120,AW120*(1+Inputs!$B$18))),AW120)))</f>
        <v>2447.70848</v>
      </c>
      <c r="AY120" s="11" t="n">
        <f aca="false">IF(AY$1&lt;Units!$P119,0,IF(AND(Units!$K119=0,AY$1=Units!$O119),Units!$R119,IF(AND(AY$1&gt;=Units!$Q119,MOD(AY$1-Units!$Q119,12)=0),IF(AND(Units!$L119=1,AY$1=Units!$Q119),IF(Units!$J119&lt;&gt;"",Units!$J119,Mkt!AY120),Inputs!$B$15*Mkt!AY120+(1-Inputs!$B$15)*MIN(Mkt!AY120,AX120*(1+Inputs!$B$18))),AX120)))</f>
        <v>2447.70848</v>
      </c>
      <c r="AZ120" s="11" t="n">
        <f aca="false">IF(AZ$1&lt;Units!$P119,0,IF(AND(Units!$K119=0,AZ$1=Units!$O119),Units!$R119,IF(AND(AZ$1&gt;=Units!$Q119,MOD(AZ$1-Units!$Q119,12)=0),IF(AND(Units!$L119=1,AZ$1=Units!$Q119),IF(Units!$J119&lt;&gt;"",Units!$J119,Mkt!AZ120),Inputs!$B$15*Mkt!AZ120+(1-Inputs!$B$15)*MIN(Mkt!AZ120,AY120*(1+Inputs!$B$18))),AY120)))</f>
        <v>2447.70848</v>
      </c>
      <c r="BA120" s="11" t="n">
        <f aca="false">IF(BA$1&lt;Units!$P119,0,IF(AND(Units!$K119=0,BA$1=Units!$O119),Units!$R119,IF(AND(BA$1&gt;=Units!$Q119,MOD(BA$1-Units!$Q119,12)=0),IF(AND(Units!$L119=1,BA$1=Units!$Q119),IF(Units!$J119&lt;&gt;"",Units!$J119,Mkt!BA120),Inputs!$B$15*Mkt!BA120+(1-Inputs!$B$15)*MIN(Mkt!BA120,AZ120*(1+Inputs!$B$18))),AZ120)))</f>
        <v>2447.70848</v>
      </c>
      <c r="BB120" s="11" t="n">
        <f aca="false">IF(BB$1&lt;Units!$P119,0,IF(AND(Units!$K119=0,BB$1=Units!$O119),Units!$R119,IF(AND(BB$1&gt;=Units!$Q119,MOD(BB$1-Units!$Q119,12)=0),IF(AND(Units!$L119=1,BB$1=Units!$Q119),IF(Units!$J119&lt;&gt;"",Units!$J119,Mkt!BB120),Inputs!$B$15*Mkt!BB120+(1-Inputs!$B$15)*MIN(Mkt!BB120,BA120*(1+Inputs!$B$18))),BA120)))</f>
        <v>2447.70848</v>
      </c>
      <c r="BC120" s="11" t="n">
        <f aca="false">IF(BC$1&lt;Units!$P119,0,IF(AND(Units!$K119=0,BC$1=Units!$O119),Units!$R119,IF(AND(BC$1&gt;=Units!$Q119,MOD(BC$1-Units!$Q119,12)=0),IF(AND(Units!$L119=1,BC$1=Units!$Q119),IF(Units!$J119&lt;&gt;"",Units!$J119,Mkt!BC120),Inputs!$B$15*Mkt!BC120+(1-Inputs!$B$15)*MIN(Mkt!BC120,BB120*(1+Inputs!$B$18))),BB120)))</f>
        <v>2447.70848</v>
      </c>
      <c r="BD120" s="11" t="n">
        <f aca="false">IF(BD$1&lt;Units!$P119,0,IF(AND(Units!$K119=0,BD$1=Units!$O119),Units!$R119,IF(AND(BD$1&gt;=Units!$Q119,MOD(BD$1-Units!$Q119,12)=0),IF(AND(Units!$L119=1,BD$1=Units!$Q119),IF(Units!$J119&lt;&gt;"",Units!$J119,Mkt!BD120),Inputs!$B$15*Mkt!BD120+(1-Inputs!$B$15)*MIN(Mkt!BD120,BC120*(1+Inputs!$B$18))),BC120)))</f>
        <v>2447.70848</v>
      </c>
      <c r="BE120" s="11" t="n">
        <f aca="false">IF(BE$1&lt;Units!$P119,0,IF(AND(Units!$K119=0,BE$1=Units!$O119),Units!$R119,IF(AND(BE$1&gt;=Units!$Q119,MOD(BE$1-Units!$Q119,12)=0),IF(AND(Units!$L119=1,BE$1=Units!$Q119),IF(Units!$J119&lt;&gt;"",Units!$J119,Mkt!BE120),Inputs!$B$15*Mkt!BE120+(1-Inputs!$B$15)*MIN(Mkt!BE120,BD120*(1+Inputs!$B$18))),BD120)))</f>
        <v>2521.1397344</v>
      </c>
      <c r="BF120" s="11" t="n">
        <f aca="false">IF(BF$1&lt;Units!$P119,0,IF(AND(Units!$K119=0,BF$1=Units!$O119),Units!$R119,IF(AND(BF$1&gt;=Units!$Q119,MOD(BF$1-Units!$Q119,12)=0),IF(AND(Units!$L119=1,BF$1=Units!$Q119),IF(Units!$J119&lt;&gt;"",Units!$J119,Mkt!BF120),Inputs!$B$15*Mkt!BF120+(1-Inputs!$B$15)*MIN(Mkt!BF120,BE120*(1+Inputs!$B$18))),BE120)))</f>
        <v>2521.1397344</v>
      </c>
      <c r="BG120" s="11" t="n">
        <f aca="false">IF(BG$1&lt;Units!$P119,0,IF(AND(Units!$K119=0,BG$1=Units!$O119),Units!$R119,IF(AND(BG$1&gt;=Units!$Q119,MOD(BG$1-Units!$Q119,12)=0),IF(AND(Units!$L119=1,BG$1=Units!$Q119),IF(Units!$J119&lt;&gt;"",Units!$J119,Mkt!BG120),Inputs!$B$15*Mkt!BG120+(1-Inputs!$B$15)*MIN(Mkt!BG120,BF120*(1+Inputs!$B$18))),BF120)))</f>
        <v>2521.1397344</v>
      </c>
      <c r="BH120" s="11" t="n">
        <f aca="false">IF(BH$1&lt;Units!$P119,0,IF(AND(Units!$K119=0,BH$1=Units!$O119),Units!$R119,IF(AND(BH$1&gt;=Units!$Q119,MOD(BH$1-Units!$Q119,12)=0),IF(AND(Units!$L119=1,BH$1=Units!$Q119),IF(Units!$J119&lt;&gt;"",Units!$J119,Mkt!BH120),Inputs!$B$15*Mkt!BH120+(1-Inputs!$B$15)*MIN(Mkt!BH120,BG120*(1+Inputs!$B$18))),BG120)))</f>
        <v>2521.1397344</v>
      </c>
      <c r="BI120" s="11" t="n">
        <f aca="false">IF(BI$1&lt;Units!$P119,0,IF(AND(Units!$K119=0,BI$1=Units!$O119),Units!$R119,IF(AND(BI$1&gt;=Units!$Q119,MOD(BI$1-Units!$Q119,12)=0),IF(AND(Units!$L119=1,BI$1=Units!$Q119),IF(Units!$J119&lt;&gt;"",Units!$J119,Mkt!BI120),Inputs!$B$15*Mkt!BI120+(1-Inputs!$B$15)*MIN(Mkt!BI120,BH120*(1+Inputs!$B$18))),BH120)))</f>
        <v>2521.1397344</v>
      </c>
      <c r="BJ120" s="11" t="n">
        <f aca="false">IF(BJ$1&lt;Units!$P119,0,IF(AND(Units!$K119=0,BJ$1=Units!$O119),Units!$R119,IF(AND(BJ$1&gt;=Units!$Q119,MOD(BJ$1-Units!$Q119,12)=0),IF(AND(Units!$L119=1,BJ$1=Units!$Q119),IF(Units!$J119&lt;&gt;"",Units!$J119,Mkt!BJ120),Inputs!$B$15*Mkt!BJ120+(1-Inputs!$B$15)*MIN(Mkt!BJ120,BI120*(1+Inputs!$B$18))),BI120)))</f>
        <v>2521.1397344</v>
      </c>
      <c r="BK120" s="11" t="n">
        <f aca="false">IF(BK$1&lt;Units!$P119,0,IF(AND(Units!$K119=0,BK$1=Units!$O119),Units!$R119,IF(AND(BK$1&gt;=Units!$Q119,MOD(BK$1-Units!$Q119,12)=0),IF(AND(Units!$L119=1,BK$1=Units!$Q119),IF(Units!$J119&lt;&gt;"",Units!$J119,Mkt!BK120),Inputs!$B$15*Mkt!BK120+(1-Inputs!$B$15)*MIN(Mkt!BK120,BJ120*(1+Inputs!$B$18))),BJ120)))</f>
        <v>2521.1397344</v>
      </c>
      <c r="BL120" s="11" t="n">
        <f aca="false">IF(BL$1&lt;Units!$P119,0,IF(AND(Units!$K119=0,BL$1=Units!$O119),Units!$R119,IF(AND(BL$1&gt;=Units!$Q119,MOD(BL$1-Units!$Q119,12)=0),IF(AND(Units!$L119=1,BL$1=Units!$Q119),IF(Units!$J119&lt;&gt;"",Units!$J119,Mkt!BL120),Inputs!$B$15*Mkt!BL120+(1-Inputs!$B$15)*MIN(Mkt!BL120,BK120*(1+Inputs!$B$18))),BK120)))</f>
        <v>2521.1397344</v>
      </c>
      <c r="BM120" s="11" t="n">
        <f aca="false">IF(BM$1&lt;Units!$P119,0,IF(AND(Units!$K119=0,BM$1=Units!$O119),Units!$R119,IF(AND(BM$1&gt;=Units!$Q119,MOD(BM$1-Units!$Q119,12)=0),IF(AND(Units!$L119=1,BM$1=Units!$Q119),IF(Units!$J119&lt;&gt;"",Units!$J119,Mkt!BM120),Inputs!$B$15*Mkt!BM120+(1-Inputs!$B$15)*MIN(Mkt!BM120,BL120*(1+Inputs!$B$18))),BL120)))</f>
        <v>2521.1397344</v>
      </c>
      <c r="BN120" s="11" t="n">
        <f aca="false">IF(BN$1&lt;Units!$P119,0,IF(AND(Units!$K119=0,BN$1=Units!$O119),Units!$R119,IF(AND(BN$1&gt;=Units!$Q119,MOD(BN$1-Units!$Q119,12)=0),IF(AND(Units!$L119=1,BN$1=Units!$Q119),IF(Units!$J119&lt;&gt;"",Units!$J119,Mkt!BN120),Inputs!$B$15*Mkt!BN120+(1-Inputs!$B$15)*MIN(Mkt!BN120,BM120*(1+Inputs!$B$18))),BM120)))</f>
        <v>2521.1397344</v>
      </c>
      <c r="BO120" s="11" t="n">
        <f aca="false">IF(BO$1&lt;Units!$P119,0,IF(AND(Units!$K119=0,BO$1=Units!$O119),Units!$R119,IF(AND(BO$1&gt;=Units!$Q119,MOD(BO$1-Units!$Q119,12)=0),IF(AND(Units!$L119=1,BO$1=Units!$Q119),IF(Units!$J119&lt;&gt;"",Units!$J119,Mkt!BO120),Inputs!$B$15*Mkt!BO120+(1-Inputs!$B$15)*MIN(Mkt!BO120,BN120*(1+Inputs!$B$18))),BN120)))</f>
        <v>2521.1397344</v>
      </c>
      <c r="BP120" s="11" t="n">
        <f aca="false">IF(BP$1&lt;Units!$P119,0,IF(AND(Units!$K119=0,BP$1=Units!$O119),Units!$R119,IF(AND(BP$1&gt;=Units!$Q119,MOD(BP$1-Units!$Q119,12)=0),IF(AND(Units!$L119=1,BP$1=Units!$Q119),IF(Units!$J119&lt;&gt;"",Units!$J119,Mkt!BP120),Inputs!$B$15*Mkt!BP120+(1-Inputs!$B$15)*MIN(Mkt!BP120,BO120*(1+Inputs!$B$18))),BO120)))</f>
        <v>2521.1397344</v>
      </c>
      <c r="BQ120" s="11" t="n">
        <f aca="false">IF(BQ$1&lt;Units!$P119,0,IF(AND(Units!$K119=0,BQ$1=Units!$O119),Units!$R119,IF(AND(BQ$1&gt;=Units!$Q119,MOD(BQ$1-Units!$Q119,12)=0),IF(AND(Units!$L119=1,BQ$1=Units!$Q119),IF(Units!$J119&lt;&gt;"",Units!$J119,Mkt!BQ120),Inputs!$B$15*Mkt!BQ120+(1-Inputs!$B$15)*MIN(Mkt!BQ120,BP120*(1+Inputs!$B$18))),BP120)))</f>
        <v>2596.773926432</v>
      </c>
      <c r="BR120" s="11" t="n">
        <f aca="false">IF(BR$1&lt;Units!$P119,0,IF(AND(Units!$K119=0,BR$1=Units!$O119),Units!$R119,IF(AND(BR$1&gt;=Units!$Q119,MOD(BR$1-Units!$Q119,12)=0),IF(AND(Units!$L119=1,BR$1=Units!$Q119),IF(Units!$J119&lt;&gt;"",Units!$J119,Mkt!BR120),Inputs!$B$15*Mkt!BR120+(1-Inputs!$B$15)*MIN(Mkt!BR120,BQ120*(1+Inputs!$B$18))),BQ120)))</f>
        <v>2596.773926432</v>
      </c>
      <c r="BS120" s="11" t="n">
        <f aca="false">IF(BS$1&lt;Units!$P119,0,IF(AND(Units!$K119=0,BS$1=Units!$O119),Units!$R119,IF(AND(BS$1&gt;=Units!$Q119,MOD(BS$1-Units!$Q119,12)=0),IF(AND(Units!$L119=1,BS$1=Units!$Q119),IF(Units!$J119&lt;&gt;"",Units!$J119,Mkt!BS120),Inputs!$B$15*Mkt!BS120+(1-Inputs!$B$15)*MIN(Mkt!BS120,BR120*(1+Inputs!$B$18))),BR120)))</f>
        <v>2596.773926432</v>
      </c>
      <c r="BT120" s="11" t="n">
        <f aca="false">IF(BT$1&lt;Units!$P119,0,IF(AND(Units!$K119=0,BT$1=Units!$O119),Units!$R119,IF(AND(BT$1&gt;=Units!$Q119,MOD(BT$1-Units!$Q119,12)=0),IF(AND(Units!$L119=1,BT$1=Units!$Q119),IF(Units!$J119&lt;&gt;"",Units!$J119,Mkt!BT120),Inputs!$B$15*Mkt!BT120+(1-Inputs!$B$15)*MIN(Mkt!BT120,BS120*(1+Inputs!$B$18))),BS120)))</f>
        <v>2596.773926432</v>
      </c>
      <c r="BU120" s="11" t="n">
        <f aca="false">IF(BU$1&lt;Units!$P119,0,IF(AND(Units!$K119=0,BU$1=Units!$O119),Units!$R119,IF(AND(BU$1&gt;=Units!$Q119,MOD(BU$1-Units!$Q119,12)=0),IF(AND(Units!$L119=1,BU$1=Units!$Q119),IF(Units!$J119&lt;&gt;"",Units!$J119,Mkt!BU120),Inputs!$B$15*Mkt!BU120+(1-Inputs!$B$15)*MIN(Mkt!BU120,BT120*(1+Inputs!$B$18))),BT120)))</f>
        <v>2596.773926432</v>
      </c>
      <c r="BV120" s="11" t="n">
        <f aca="false">IF(BV$1&lt;Units!$P119,0,IF(AND(Units!$K119=0,BV$1=Units!$O119),Units!$R119,IF(AND(BV$1&gt;=Units!$Q119,MOD(BV$1-Units!$Q119,12)=0),IF(AND(Units!$L119=1,BV$1=Units!$Q119),IF(Units!$J119&lt;&gt;"",Units!$J119,Mkt!BV120),Inputs!$B$15*Mkt!BV120+(1-Inputs!$B$15)*MIN(Mkt!BV120,BU120*(1+Inputs!$B$18))),BU120)))</f>
        <v>2596.773926432</v>
      </c>
      <c r="BW120" s="11" t="n">
        <f aca="false">IF(BW$1&lt;Units!$P119,0,IF(AND(Units!$K119=0,BW$1=Units!$O119),Units!$R119,IF(AND(BW$1&gt;=Units!$Q119,MOD(BW$1-Units!$Q119,12)=0),IF(AND(Units!$L119=1,BW$1=Units!$Q119),IF(Units!$J119&lt;&gt;"",Units!$J119,Mkt!BW120),Inputs!$B$15*Mkt!BW120+(1-Inputs!$B$15)*MIN(Mkt!BW120,BV120*(1+Inputs!$B$18))),BV120)))</f>
        <v>2596.773926432</v>
      </c>
      <c r="BX120" s="11" t="n">
        <f aca="false">IF(BX$1&lt;Units!$P119,0,IF(AND(Units!$K119=0,BX$1=Units!$O119),Units!$R119,IF(AND(BX$1&gt;=Units!$Q119,MOD(BX$1-Units!$Q119,12)=0),IF(AND(Units!$L119=1,BX$1=Units!$Q119),IF(Units!$J119&lt;&gt;"",Units!$J119,Mkt!BX120),Inputs!$B$15*Mkt!BX120+(1-Inputs!$B$15)*MIN(Mkt!BX120,BW120*(1+Inputs!$B$18))),BW120)))</f>
        <v>2596.773926432</v>
      </c>
      <c r="BY120" s="11" t="n">
        <f aca="false">IF(BY$1&lt;Units!$P119,0,IF(AND(Units!$K119=0,BY$1=Units!$O119),Units!$R119,IF(AND(BY$1&gt;=Units!$Q119,MOD(BY$1-Units!$Q119,12)=0),IF(AND(Units!$L119=1,BY$1=Units!$Q119),IF(Units!$J119&lt;&gt;"",Units!$J119,Mkt!BY120),Inputs!$B$15*Mkt!BY120+(1-Inputs!$B$15)*MIN(Mkt!BY120,BX120*(1+Inputs!$B$18))),BX120)))</f>
        <v>2596.773926432</v>
      </c>
      <c r="BZ120" s="11" t="n">
        <f aca="false">IF(BZ$1&lt;Units!$P119,0,IF(AND(Units!$K119=0,BZ$1=Units!$O119),Units!$R119,IF(AND(BZ$1&gt;=Units!$Q119,MOD(BZ$1-Units!$Q119,12)=0),IF(AND(Units!$L119=1,BZ$1=Units!$Q119),IF(Units!$J119&lt;&gt;"",Units!$J119,Mkt!BZ120),Inputs!$B$15*Mkt!BZ120+(1-Inputs!$B$15)*MIN(Mkt!BZ120,BY120*(1+Inputs!$B$18))),BY120)))</f>
        <v>2596.773926432</v>
      </c>
      <c r="CA120" s="11" t="n">
        <f aca="false">IF(CA$1&lt;Units!$P119,0,IF(AND(Units!$K119=0,CA$1=Units!$O119),Units!$R119,IF(AND(CA$1&gt;=Units!$Q119,MOD(CA$1-Units!$Q119,12)=0),IF(AND(Units!$L119=1,CA$1=Units!$Q119),IF(Units!$J119&lt;&gt;"",Units!$J119,Mkt!CA120),Inputs!$B$15*Mkt!CA120+(1-Inputs!$B$15)*MIN(Mkt!CA120,BZ120*(1+Inputs!$B$18))),BZ120)))</f>
        <v>2596.773926432</v>
      </c>
      <c r="CB120" s="11" t="n">
        <f aca="false">IF(CB$1&lt;Units!$P119,0,IF(AND(Units!$K119=0,CB$1=Units!$O119),Units!$R119,IF(AND(CB$1&gt;=Units!$Q119,MOD(CB$1-Units!$Q119,12)=0),IF(AND(Units!$L119=1,CB$1=Units!$Q119),IF(Units!$J119&lt;&gt;"",Units!$J119,Mkt!CB120),Inputs!$B$15*Mkt!CB120+(1-Inputs!$B$15)*MIN(Mkt!CB120,CA120*(1+Inputs!$B$18))),CA120)))</f>
        <v>2596.773926432</v>
      </c>
      <c r="CC120" s="11" t="n">
        <f aca="false">IF(CC$1&lt;Units!$P119,0,IF(AND(Units!$K119=0,CC$1=Units!$O119),Units!$R119,IF(AND(CC$1&gt;=Units!$Q119,MOD(CC$1-Units!$Q119,12)=0),IF(AND(Units!$L119=1,CC$1=Units!$Q119),IF(Units!$J119&lt;&gt;"",Units!$J119,Mkt!CC120),Inputs!$B$15*Mkt!CC120+(1-Inputs!$B$15)*MIN(Mkt!CC120,CB120*(1+Inputs!$B$18))),CB120)))</f>
        <v>2674.67714422496</v>
      </c>
      <c r="CD120" s="11" t="n">
        <f aca="false">IF(CD$1&lt;Units!$P119,0,IF(AND(Units!$K119=0,CD$1=Units!$O119),Units!$R119,IF(AND(CD$1&gt;=Units!$Q119,MOD(CD$1-Units!$Q119,12)=0),IF(AND(Units!$L119=1,CD$1=Units!$Q119),IF(Units!$J119&lt;&gt;"",Units!$J119,Mkt!CD120),Inputs!$B$15*Mkt!CD120+(1-Inputs!$B$15)*MIN(Mkt!CD120,CC120*(1+Inputs!$B$18))),CC120)))</f>
        <v>2674.67714422496</v>
      </c>
      <c r="CE120" s="11" t="n">
        <f aca="false">IF(CE$1&lt;Units!$P119,0,IF(AND(Units!$K119=0,CE$1=Units!$O119),Units!$R119,IF(AND(CE$1&gt;=Units!$Q119,MOD(CE$1-Units!$Q119,12)=0),IF(AND(Units!$L119=1,CE$1=Units!$Q119),IF(Units!$J119&lt;&gt;"",Units!$J119,Mkt!CE120),Inputs!$B$15*Mkt!CE120+(1-Inputs!$B$15)*MIN(Mkt!CE120,CD120*(1+Inputs!$B$18))),CD120)))</f>
        <v>2674.67714422496</v>
      </c>
      <c r="CF120" s="11" t="n">
        <f aca="false">IF(CF$1&lt;Units!$P119,0,IF(AND(Units!$K119=0,CF$1=Units!$O119),Units!$R119,IF(AND(CF$1&gt;=Units!$Q119,MOD(CF$1-Units!$Q119,12)=0),IF(AND(Units!$L119=1,CF$1=Units!$Q119),IF(Units!$J119&lt;&gt;"",Units!$J119,Mkt!CF120),Inputs!$B$15*Mkt!CF120+(1-Inputs!$B$15)*MIN(Mkt!CF120,CE120*(1+Inputs!$B$18))),CE120)))</f>
        <v>2674.67714422496</v>
      </c>
      <c r="CG120" s="11" t="n">
        <f aca="false">IF(CG$1&lt;Units!$P119,0,IF(AND(Units!$K119=0,CG$1=Units!$O119),Units!$R119,IF(AND(CG$1&gt;=Units!$Q119,MOD(CG$1-Units!$Q119,12)=0),IF(AND(Units!$L119=1,CG$1=Units!$Q119),IF(Units!$J119&lt;&gt;"",Units!$J119,Mkt!CG120),Inputs!$B$15*Mkt!CG120+(1-Inputs!$B$15)*MIN(Mkt!CG120,CF120*(1+Inputs!$B$18))),CF120)))</f>
        <v>2674.67714422496</v>
      </c>
      <c r="CH120" s="11" t="n">
        <f aca="false">IF(CH$1&lt;Units!$P119,0,IF(AND(Units!$K119=0,CH$1=Units!$O119),Units!$R119,IF(AND(CH$1&gt;=Units!$Q119,MOD(CH$1-Units!$Q119,12)=0),IF(AND(Units!$L119=1,CH$1=Units!$Q119),IF(Units!$J119&lt;&gt;"",Units!$J119,Mkt!CH120),Inputs!$B$15*Mkt!CH120+(1-Inputs!$B$15)*MIN(Mkt!CH120,CG120*(1+Inputs!$B$18))),CG120)))</f>
        <v>2674.67714422496</v>
      </c>
      <c r="CI120" s="11" t="n">
        <f aca="false">IF(CI$1&lt;Units!$P119,0,IF(AND(Units!$K119=0,CI$1=Units!$O119),Units!$R119,IF(AND(CI$1&gt;=Units!$Q119,MOD(CI$1-Units!$Q119,12)=0),IF(AND(Units!$L119=1,CI$1=Units!$Q119),IF(Units!$J119&lt;&gt;"",Units!$J119,Mkt!CI120),Inputs!$B$15*Mkt!CI120+(1-Inputs!$B$15)*MIN(Mkt!CI120,CH120*(1+Inputs!$B$18))),CH120)))</f>
        <v>2674.67714422496</v>
      </c>
      <c r="CJ120" s="11" t="n">
        <f aca="false">IF(CJ$1&lt;Units!$P119,0,IF(AND(Units!$K119=0,CJ$1=Units!$O119),Units!$R119,IF(AND(CJ$1&gt;=Units!$Q119,MOD(CJ$1-Units!$Q119,12)=0),IF(AND(Units!$L119=1,CJ$1=Units!$Q119),IF(Units!$J119&lt;&gt;"",Units!$J119,Mkt!CJ120),Inputs!$B$15*Mkt!CJ120+(1-Inputs!$B$15)*MIN(Mkt!CJ120,CI120*(1+Inputs!$B$18))),CI120)))</f>
        <v>2674.67714422496</v>
      </c>
      <c r="CK120" s="11" t="n">
        <f aca="false">IF(CK$1&lt;Units!$P119,0,IF(AND(Units!$K119=0,CK$1=Units!$O119),Units!$R119,IF(AND(CK$1&gt;=Units!$Q119,MOD(CK$1-Units!$Q119,12)=0),IF(AND(Units!$L119=1,CK$1=Units!$Q119),IF(Units!$J119&lt;&gt;"",Units!$J119,Mkt!CK120),Inputs!$B$15*Mkt!CK120+(1-Inputs!$B$15)*MIN(Mkt!CK120,CJ120*(1+Inputs!$B$18))),CJ120)))</f>
        <v>2674.67714422496</v>
      </c>
      <c r="CL120" s="11" t="n">
        <f aca="false">IF(CL$1&lt;Units!$P119,0,IF(AND(Units!$K119=0,CL$1=Units!$O119),Units!$R119,IF(AND(CL$1&gt;=Units!$Q119,MOD(CL$1-Units!$Q119,12)=0),IF(AND(Units!$L119=1,CL$1=Units!$Q119),IF(Units!$J119&lt;&gt;"",Units!$J119,Mkt!CL120),Inputs!$B$15*Mkt!CL120+(1-Inputs!$B$15)*MIN(Mkt!CL120,CK120*(1+Inputs!$B$18))),CK120)))</f>
        <v>2674.67714422496</v>
      </c>
      <c r="CM120" s="11" t="n">
        <f aca="false">IF(CM$1&lt;Units!$P119,0,IF(AND(Units!$K119=0,CM$1=Units!$O119),Units!$R119,IF(AND(CM$1&gt;=Units!$Q119,MOD(CM$1-Units!$Q119,12)=0),IF(AND(Units!$L119=1,CM$1=Units!$Q119),IF(Units!$J119&lt;&gt;"",Units!$J119,Mkt!CM120),Inputs!$B$15*Mkt!CM120+(1-Inputs!$B$15)*MIN(Mkt!CM120,CL120*(1+Inputs!$B$18))),CL120)))</f>
        <v>2674.67714422496</v>
      </c>
      <c r="CN120" s="11" t="n">
        <f aca="false">IF(CN$1&lt;Units!$P119,0,IF(AND(Units!$K119=0,CN$1=Units!$O119),Units!$R119,IF(AND(CN$1&gt;=Units!$Q119,MOD(CN$1-Units!$Q119,12)=0),IF(AND(Units!$L119=1,CN$1=Units!$Q119),IF(Units!$J119&lt;&gt;"",Units!$J119,Mkt!CN120),Inputs!$B$15*Mkt!CN120+(1-Inputs!$B$15)*MIN(Mkt!CN120,CM120*(1+Inputs!$B$18))),CM120)))</f>
        <v>2674.67714422496</v>
      </c>
      <c r="CO120" s="11" t="n">
        <f aca="false">IF(CO$1&lt;Units!$P119,0,IF(AND(Units!$K119=0,CO$1=Units!$O119),Units!$R119,IF(AND(CO$1&gt;=Units!$Q119,MOD(CO$1-Units!$Q119,12)=0),IF(AND(Units!$L119=1,CO$1=Units!$Q119),IF(Units!$J119&lt;&gt;"",Units!$J119,Mkt!CO120),Inputs!$B$15*Mkt!CO120+(1-Inputs!$B$15)*MIN(Mkt!CO120,CN120*(1+Inputs!$B$18))),CN120)))</f>
        <v>2754.91745855171</v>
      </c>
      <c r="CP120" s="11" t="n">
        <f aca="false">IF(CP$1&lt;Units!$P119,0,IF(AND(Units!$K119=0,CP$1=Units!$O119),Units!$R119,IF(AND(CP$1&gt;=Units!$Q119,MOD(CP$1-Units!$Q119,12)=0),IF(AND(Units!$L119=1,CP$1=Units!$Q119),IF(Units!$J119&lt;&gt;"",Units!$J119,Mkt!CP120),Inputs!$B$15*Mkt!CP120+(1-Inputs!$B$15)*MIN(Mkt!CP120,CO120*(1+Inputs!$B$18))),CO120)))</f>
        <v>2754.91745855171</v>
      </c>
      <c r="CQ120" s="11" t="n">
        <f aca="false">IF(CQ$1&lt;Units!$P119,0,IF(AND(Units!$K119=0,CQ$1=Units!$O119),Units!$R119,IF(AND(CQ$1&gt;=Units!$Q119,MOD(CQ$1-Units!$Q119,12)=0),IF(AND(Units!$L119=1,CQ$1=Units!$Q119),IF(Units!$J119&lt;&gt;"",Units!$J119,Mkt!CQ120),Inputs!$B$15*Mkt!CQ120+(1-Inputs!$B$15)*MIN(Mkt!CQ120,CP120*(1+Inputs!$B$18))),CP120)))</f>
        <v>2754.91745855171</v>
      </c>
      <c r="CR120" s="11" t="n">
        <f aca="false">IF(CR$1&lt;Units!$P119,0,IF(AND(Units!$K119=0,CR$1=Units!$O119),Units!$R119,IF(AND(CR$1&gt;=Units!$Q119,MOD(CR$1-Units!$Q119,12)=0),IF(AND(Units!$L119=1,CR$1=Units!$Q119),IF(Units!$J119&lt;&gt;"",Units!$J119,Mkt!CR120),Inputs!$B$15*Mkt!CR120+(1-Inputs!$B$15)*MIN(Mkt!CR120,CQ120*(1+Inputs!$B$18))),CQ120)))</f>
        <v>2754.91745855171</v>
      </c>
      <c r="CS120" s="11" t="n">
        <f aca="false">IF(CS$1&lt;Units!$P119,0,IF(AND(Units!$K119=0,CS$1=Units!$O119),Units!$R119,IF(AND(CS$1&gt;=Units!$Q119,MOD(CS$1-Units!$Q119,12)=0),IF(AND(Units!$L119=1,CS$1=Units!$Q119),IF(Units!$J119&lt;&gt;"",Units!$J119,Mkt!CS120),Inputs!$B$15*Mkt!CS120+(1-Inputs!$B$15)*MIN(Mkt!CS120,CR120*(1+Inputs!$B$18))),CR120)))</f>
        <v>2754.91745855171</v>
      </c>
      <c r="CT120" s="11" t="n">
        <f aca="false">IF(CT$1&lt;Units!$P119,0,IF(AND(Units!$K119=0,CT$1=Units!$O119),Units!$R119,IF(AND(CT$1&gt;=Units!$Q119,MOD(CT$1-Units!$Q119,12)=0),IF(AND(Units!$L119=1,CT$1=Units!$Q119),IF(Units!$J119&lt;&gt;"",Units!$J119,Mkt!CT120),Inputs!$B$15*Mkt!CT120+(1-Inputs!$B$15)*MIN(Mkt!CT120,CS120*(1+Inputs!$B$18))),CS120)))</f>
        <v>2754.91745855171</v>
      </c>
      <c r="CU120" s="11" t="n">
        <f aca="false">IF(CU$1&lt;Units!$P119,0,IF(AND(Units!$K119=0,CU$1=Units!$O119),Units!$R119,IF(AND(CU$1&gt;=Units!$Q119,MOD(CU$1-Units!$Q119,12)=0),IF(AND(Units!$L119=1,CU$1=Units!$Q119),IF(Units!$J119&lt;&gt;"",Units!$J119,Mkt!CU120),Inputs!$B$15*Mkt!CU120+(1-Inputs!$B$15)*MIN(Mkt!CU120,CT120*(1+Inputs!$B$18))),CT120)))</f>
        <v>2754.91745855171</v>
      </c>
      <c r="CV120" s="11" t="n">
        <f aca="false">IF(CV$1&lt;Units!$P119,0,IF(AND(Units!$K119=0,CV$1=Units!$O119),Units!$R119,IF(AND(CV$1&gt;=Units!$Q119,MOD(CV$1-Units!$Q119,12)=0),IF(AND(Units!$L119=1,CV$1=Units!$Q119),IF(Units!$J119&lt;&gt;"",Units!$J119,Mkt!CV120),Inputs!$B$15*Mkt!CV120+(1-Inputs!$B$15)*MIN(Mkt!CV120,CU120*(1+Inputs!$B$18))),CU120)))</f>
        <v>2754.91745855171</v>
      </c>
      <c r="CW120" s="11" t="n">
        <f aca="false">IF(CW$1&lt;Units!$P119,0,IF(AND(Units!$K119=0,CW$1=Units!$O119),Units!$R119,IF(AND(CW$1&gt;=Units!$Q119,MOD(CW$1-Units!$Q119,12)=0),IF(AND(Units!$L119=1,CW$1=Units!$Q119),IF(Units!$J119&lt;&gt;"",Units!$J119,Mkt!CW120),Inputs!$B$15*Mkt!CW120+(1-Inputs!$B$15)*MIN(Mkt!CW120,CV120*(1+Inputs!$B$18))),CV120)))</f>
        <v>2754.91745855171</v>
      </c>
      <c r="CX120" s="11" t="n">
        <f aca="false">IF(CX$1&lt;Units!$P119,0,IF(AND(Units!$K119=0,CX$1=Units!$O119),Units!$R119,IF(AND(CX$1&gt;=Units!$Q119,MOD(CX$1-Units!$Q119,12)=0),IF(AND(Units!$L119=1,CX$1=Units!$Q119),IF(Units!$J119&lt;&gt;"",Units!$J119,Mkt!CX120),Inputs!$B$15*Mkt!CX120+(1-Inputs!$B$15)*MIN(Mkt!CX120,CW120*(1+Inputs!$B$18))),CW120)))</f>
        <v>2754.91745855171</v>
      </c>
      <c r="CY120" s="11" t="n">
        <f aca="false">IF(CY$1&lt;Units!$P119,0,IF(AND(Units!$K119=0,CY$1=Units!$O119),Units!$R119,IF(AND(CY$1&gt;=Units!$Q119,MOD(CY$1-Units!$Q119,12)=0),IF(AND(Units!$L119=1,CY$1=Units!$Q119),IF(Units!$J119&lt;&gt;"",Units!$J119,Mkt!CY120),Inputs!$B$15*Mkt!CY120+(1-Inputs!$B$15)*MIN(Mkt!CY120,CX120*(1+Inputs!$B$18))),CX120)))</f>
        <v>2754.91745855171</v>
      </c>
      <c r="CZ120" s="11" t="n">
        <f aca="false">IF(CZ$1&lt;Units!$P119,0,IF(AND(Units!$K119=0,CZ$1=Units!$O119),Units!$R119,IF(AND(CZ$1&gt;=Units!$Q119,MOD(CZ$1-Units!$Q119,12)=0),IF(AND(Units!$L119=1,CZ$1=Units!$Q119),IF(Units!$J119&lt;&gt;"",Units!$J119,Mkt!CZ120),Inputs!$B$15*Mkt!CZ120+(1-Inputs!$B$15)*MIN(Mkt!CZ120,CY120*(1+Inputs!$B$18))),CY120)))</f>
        <v>2754.91745855171</v>
      </c>
      <c r="DA120" s="11" t="n">
        <f aca="false">IF(DA$1&lt;Units!$P119,0,IF(AND(Units!$K119=0,DA$1=Units!$O119),Units!$R119,IF(AND(DA$1&gt;=Units!$Q119,MOD(DA$1-Units!$Q119,12)=0),IF(AND(Units!$L119=1,DA$1=Units!$Q119),IF(Units!$J119&lt;&gt;"",Units!$J119,Mkt!DA120),Inputs!$B$15*Mkt!DA120+(1-Inputs!$B$15)*MIN(Mkt!DA120,CZ120*(1+Inputs!$B$18))),CZ120)))</f>
        <v>2837.56498230826</v>
      </c>
      <c r="DB120" s="11" t="n">
        <f aca="false">IF(DB$1&lt;Units!$P119,0,IF(AND(Units!$K119=0,DB$1=Units!$O119),Units!$R119,IF(AND(DB$1&gt;=Units!$Q119,MOD(DB$1-Units!$Q119,12)=0),IF(AND(Units!$L119=1,DB$1=Units!$Q119),IF(Units!$J119&lt;&gt;"",Units!$J119,Mkt!DB120),Inputs!$B$15*Mkt!DB120+(1-Inputs!$B$15)*MIN(Mkt!DB120,DA120*(1+Inputs!$B$18))),DA120)))</f>
        <v>2837.56498230826</v>
      </c>
      <c r="DC120" s="11" t="n">
        <f aca="false">IF(DC$1&lt;Units!$P119,0,IF(AND(Units!$K119=0,DC$1=Units!$O119),Units!$R119,IF(AND(DC$1&gt;=Units!$Q119,MOD(DC$1-Units!$Q119,12)=0),IF(AND(Units!$L119=1,DC$1=Units!$Q119),IF(Units!$J119&lt;&gt;"",Units!$J119,Mkt!DC120),Inputs!$B$15*Mkt!DC120+(1-Inputs!$B$15)*MIN(Mkt!DC120,DB120*(1+Inputs!$B$18))),DB120)))</f>
        <v>2837.56498230826</v>
      </c>
      <c r="DD120" s="11" t="n">
        <f aca="false">IF(DD$1&lt;Units!$P119,0,IF(AND(Units!$K119=0,DD$1=Units!$O119),Units!$R119,IF(AND(DD$1&gt;=Units!$Q119,MOD(DD$1-Units!$Q119,12)=0),IF(AND(Units!$L119=1,DD$1=Units!$Q119),IF(Units!$J119&lt;&gt;"",Units!$J119,Mkt!DD120),Inputs!$B$15*Mkt!DD120+(1-Inputs!$B$15)*MIN(Mkt!DD120,DC120*(1+Inputs!$B$18))),DC120)))</f>
        <v>2837.56498230826</v>
      </c>
      <c r="DE120" s="11" t="n">
        <f aca="false">IF(DE$1&lt;Units!$P119,0,IF(AND(Units!$K119=0,DE$1=Units!$O119),Units!$R119,IF(AND(DE$1&gt;=Units!$Q119,MOD(DE$1-Units!$Q119,12)=0),IF(AND(Units!$L119=1,DE$1=Units!$Q119),IF(Units!$J119&lt;&gt;"",Units!$J119,Mkt!DE120),Inputs!$B$15*Mkt!DE120+(1-Inputs!$B$15)*MIN(Mkt!DE120,DD120*(1+Inputs!$B$18))),DD120)))</f>
        <v>2837.56498230826</v>
      </c>
      <c r="DF120" s="11" t="n">
        <f aca="false">IF(DF$1&lt;Units!$P119,0,IF(AND(Units!$K119=0,DF$1=Units!$O119),Units!$R119,IF(AND(DF$1&gt;=Units!$Q119,MOD(DF$1-Units!$Q119,12)=0),IF(AND(Units!$L119=1,DF$1=Units!$Q119),IF(Units!$J119&lt;&gt;"",Units!$J119,Mkt!DF120),Inputs!$B$15*Mkt!DF120+(1-Inputs!$B$15)*MIN(Mkt!DF120,DE120*(1+Inputs!$B$18))),DE120)))</f>
        <v>2837.56498230826</v>
      </c>
      <c r="DG120" s="11" t="n">
        <f aca="false">IF(DG$1&lt;Units!$P119,0,IF(AND(Units!$K119=0,DG$1=Units!$O119),Units!$R119,IF(AND(DG$1&gt;=Units!$Q119,MOD(DG$1-Units!$Q119,12)=0),IF(AND(Units!$L119=1,DG$1=Units!$Q119),IF(Units!$J119&lt;&gt;"",Units!$J119,Mkt!DG120),Inputs!$B$15*Mkt!DG120+(1-Inputs!$B$15)*MIN(Mkt!DG120,DF120*(1+Inputs!$B$18))),DF120)))</f>
        <v>2837.56498230826</v>
      </c>
      <c r="DH120" s="11" t="n">
        <f aca="false">IF(DH$1&lt;Units!$P119,0,IF(AND(Units!$K119=0,DH$1=Units!$O119),Units!$R119,IF(AND(DH$1&gt;=Units!$Q119,MOD(DH$1-Units!$Q119,12)=0),IF(AND(Units!$L119=1,DH$1=Units!$Q119),IF(Units!$J119&lt;&gt;"",Units!$J119,Mkt!DH120),Inputs!$B$15*Mkt!DH120+(1-Inputs!$B$15)*MIN(Mkt!DH120,DG120*(1+Inputs!$B$18))),DG120)))</f>
        <v>2837.56498230826</v>
      </c>
      <c r="DI120" s="11" t="n">
        <f aca="false">IF(DI$1&lt;Units!$P119,0,IF(AND(Units!$K119=0,DI$1=Units!$O119),Units!$R119,IF(AND(DI$1&gt;=Units!$Q119,MOD(DI$1-Units!$Q119,12)=0),IF(AND(Units!$L119=1,DI$1=Units!$Q119),IF(Units!$J119&lt;&gt;"",Units!$J119,Mkt!DI120),Inputs!$B$15*Mkt!DI120+(1-Inputs!$B$15)*MIN(Mkt!DI120,DH120*(1+Inputs!$B$18))),DH120)))</f>
        <v>2837.56498230826</v>
      </c>
      <c r="DJ120" s="11" t="n">
        <f aca="false">IF(DJ$1&lt;Units!$P119,0,IF(AND(Units!$K119=0,DJ$1=Units!$O119),Units!$R119,IF(AND(DJ$1&gt;=Units!$Q119,MOD(DJ$1-Units!$Q119,12)=0),IF(AND(Units!$L119=1,DJ$1=Units!$Q119),IF(Units!$J119&lt;&gt;"",Units!$J119,Mkt!DJ120),Inputs!$B$15*Mkt!DJ120+(1-Inputs!$B$15)*MIN(Mkt!DJ120,DI120*(1+Inputs!$B$18))),DI120)))</f>
        <v>2837.56498230826</v>
      </c>
      <c r="DK120" s="11" t="n">
        <f aca="false">IF(DK$1&lt;Units!$P119,0,IF(AND(Units!$K119=0,DK$1=Units!$O119),Units!$R119,IF(AND(DK$1&gt;=Units!$Q119,MOD(DK$1-Units!$Q119,12)=0),IF(AND(Units!$L119=1,DK$1=Units!$Q119),IF(Units!$J119&lt;&gt;"",Units!$J119,Mkt!DK120),Inputs!$B$15*Mkt!DK120+(1-Inputs!$B$15)*MIN(Mkt!DK120,DJ120*(1+Inputs!$B$18))),DJ120)))</f>
        <v>2837.56498230826</v>
      </c>
      <c r="DL120" s="11" t="n">
        <f aca="false">IF(DL$1&lt;Units!$P119,0,IF(AND(Units!$K119=0,DL$1=Units!$O119),Units!$R119,IF(AND(DL$1&gt;=Units!$Q119,MOD(DL$1-Units!$Q119,12)=0),IF(AND(Units!$L119=1,DL$1=Units!$Q119),IF(Units!$J119&lt;&gt;"",Units!$J119,Mkt!DL120),Inputs!$B$15*Mkt!DL120+(1-Inputs!$B$15)*MIN(Mkt!DL120,DK120*(1+Inputs!$B$18))),DK120)))</f>
        <v>2837.56498230826</v>
      </c>
      <c r="DM120" s="11" t="n">
        <f aca="false">IF(DM$1&lt;Units!$P119,0,IF(AND(Units!$K119=0,DM$1=Units!$O119),Units!$R119,IF(AND(DM$1&gt;=Units!$Q119,MOD(DM$1-Units!$Q119,12)=0),IF(AND(Units!$L119=1,DM$1=Units!$Q119),IF(Units!$J119&lt;&gt;"",Units!$J119,Mkt!DM120),Inputs!$B$15*Mkt!DM120+(1-Inputs!$B$15)*MIN(Mkt!DM120,DL120*(1+Inputs!$B$18))),DL120)))</f>
        <v>2922.69193177751</v>
      </c>
      <c r="DN120" s="11" t="n">
        <f aca="false">IF(DN$1&lt;Units!$P119,0,IF(AND(Units!$K119=0,DN$1=Units!$O119),Units!$R119,IF(AND(DN$1&gt;=Units!$Q119,MOD(DN$1-Units!$Q119,12)=0),IF(AND(Units!$L119=1,DN$1=Units!$Q119),IF(Units!$J119&lt;&gt;"",Units!$J119,Mkt!DN120),Inputs!$B$15*Mkt!DN120+(1-Inputs!$B$15)*MIN(Mkt!DN120,DM120*(1+Inputs!$B$18))),DM120)))</f>
        <v>2922.69193177751</v>
      </c>
      <c r="DO120" s="11" t="n">
        <f aca="false">IF(DO$1&lt;Units!$P119,0,IF(AND(Units!$K119=0,DO$1=Units!$O119),Units!$R119,IF(AND(DO$1&gt;=Units!$Q119,MOD(DO$1-Units!$Q119,12)=0),IF(AND(Units!$L119=1,DO$1=Units!$Q119),IF(Units!$J119&lt;&gt;"",Units!$J119,Mkt!DO120),Inputs!$B$15*Mkt!DO120+(1-Inputs!$B$15)*MIN(Mkt!DO120,DN120*(1+Inputs!$B$18))),DN120)))</f>
        <v>2922.69193177751</v>
      </c>
      <c r="DP120" s="11" t="n">
        <f aca="false">IF(DP$1&lt;Units!$P119,0,IF(AND(Units!$K119=0,DP$1=Units!$O119),Units!$R119,IF(AND(DP$1&gt;=Units!$Q119,MOD(DP$1-Units!$Q119,12)=0),IF(AND(Units!$L119=1,DP$1=Units!$Q119),IF(Units!$J119&lt;&gt;"",Units!$J119,Mkt!DP120),Inputs!$B$15*Mkt!DP120+(1-Inputs!$B$15)*MIN(Mkt!DP120,DO120*(1+Inputs!$B$18))),DO120)))</f>
        <v>2922.69193177751</v>
      </c>
      <c r="DQ120" s="11" t="n">
        <f aca="false">IF(DQ$1&lt;Units!$P119,0,IF(AND(Units!$K119=0,DQ$1=Units!$O119),Units!$R119,IF(AND(DQ$1&gt;=Units!$Q119,MOD(DQ$1-Units!$Q119,12)=0),IF(AND(Units!$L119=1,DQ$1=Units!$Q119),IF(Units!$J119&lt;&gt;"",Units!$J119,Mkt!DQ120),Inputs!$B$15*Mkt!DQ120+(1-Inputs!$B$15)*MIN(Mkt!DQ120,DP120*(1+Inputs!$B$18))),DP120)))</f>
        <v>2922.69193177751</v>
      </c>
      <c r="DR120" s="11" t="n">
        <f aca="false">IF(DR$1&lt;Units!$P119,0,IF(AND(Units!$K119=0,DR$1=Units!$O119),Units!$R119,IF(AND(DR$1&gt;=Units!$Q119,MOD(DR$1-Units!$Q119,12)=0),IF(AND(Units!$L119=1,DR$1=Units!$Q119),IF(Units!$J119&lt;&gt;"",Units!$J119,Mkt!DR120),Inputs!$B$15*Mkt!DR120+(1-Inputs!$B$15)*MIN(Mkt!DR120,DQ120*(1+Inputs!$B$18))),DQ120)))</f>
        <v>2922.69193177751</v>
      </c>
      <c r="DS120" s="11" t="n">
        <f aca="false">IF(DS$1&lt;Units!$P119,0,IF(AND(Units!$K119=0,DS$1=Units!$O119),Units!$R119,IF(AND(DS$1&gt;=Units!$Q119,MOD(DS$1-Units!$Q119,12)=0),IF(AND(Units!$L119=1,DS$1=Units!$Q119),IF(Units!$J119&lt;&gt;"",Units!$J119,Mkt!DS120),Inputs!$B$15*Mkt!DS120+(1-Inputs!$B$15)*MIN(Mkt!DS120,DR120*(1+Inputs!$B$18))),DR120)))</f>
        <v>2922.69193177751</v>
      </c>
      <c r="DT120" s="11" t="n">
        <f aca="false">IF(DT$1&lt;Units!$P119,0,IF(AND(Units!$K119=0,DT$1=Units!$O119),Units!$R119,IF(AND(DT$1&gt;=Units!$Q119,MOD(DT$1-Units!$Q119,12)=0),IF(AND(Units!$L119=1,DT$1=Units!$Q119),IF(Units!$J119&lt;&gt;"",Units!$J119,Mkt!DT120),Inputs!$B$15*Mkt!DT120+(1-Inputs!$B$15)*MIN(Mkt!DT120,DS120*(1+Inputs!$B$18))),DS120)))</f>
        <v>2922.69193177751</v>
      </c>
      <c r="DU120" s="11" t="n">
        <f aca="false">IF(DU$1&lt;Units!$P119,0,IF(AND(Units!$K119=0,DU$1=Units!$O119),Units!$R119,IF(AND(DU$1&gt;=Units!$Q119,MOD(DU$1-Units!$Q119,12)=0),IF(AND(Units!$L119=1,DU$1=Units!$Q119),IF(Units!$J119&lt;&gt;"",Units!$J119,Mkt!DU120),Inputs!$B$15*Mkt!DU120+(1-Inputs!$B$15)*MIN(Mkt!DU120,DT120*(1+Inputs!$B$18))),DT120)))</f>
        <v>2922.69193177751</v>
      </c>
      <c r="DV120" s="11" t="n">
        <f aca="false">IF(DV$1&lt;Units!$P119,0,IF(AND(Units!$K119=0,DV$1=Units!$O119),Units!$R119,IF(AND(DV$1&gt;=Units!$Q119,MOD(DV$1-Units!$Q119,12)=0),IF(AND(Units!$L119=1,DV$1=Units!$Q119),IF(Units!$J119&lt;&gt;"",Units!$J119,Mkt!DV120),Inputs!$B$15*Mkt!DV120+(1-Inputs!$B$15)*MIN(Mkt!DV120,DU120*(1+Inputs!$B$18))),DU120)))</f>
        <v>2922.69193177751</v>
      </c>
      <c r="DW120" s="11" t="n">
        <f aca="false">IF(DW$1&lt;Units!$P119,0,IF(AND(Units!$K119=0,DW$1=Units!$O119),Units!$R119,IF(AND(DW$1&gt;=Units!$Q119,MOD(DW$1-Units!$Q119,12)=0),IF(AND(Units!$L119=1,DW$1=Units!$Q119),IF(Units!$J119&lt;&gt;"",Units!$J119,Mkt!DW120),Inputs!$B$15*Mkt!DW120+(1-Inputs!$B$15)*MIN(Mkt!DW120,DV120*(1+Inputs!$B$18))),DV120)))</f>
        <v>2922.69193177751</v>
      </c>
      <c r="DX120" s="11" t="n">
        <f aca="false">IF(DX$1&lt;Units!$P119,0,IF(AND(Units!$K119=0,DX$1=Units!$O119),Units!$R119,IF(AND(DX$1&gt;=Units!$Q119,MOD(DX$1-Units!$Q119,12)=0),IF(AND(Units!$L119=1,DX$1=Units!$Q119),IF(Units!$J119&lt;&gt;"",Units!$J119,Mkt!DX120),Inputs!$B$15*Mkt!DX120+(1-Inputs!$B$15)*MIN(Mkt!DX120,DW120*(1+Inputs!$B$18))),DW120)))</f>
        <v>2922.69193177751</v>
      </c>
      <c r="DY120" s="11" t="n">
        <f aca="false">IF(DY$1&lt;Units!$P119,0,IF(AND(Units!$K119=0,DY$1=Units!$O119),Units!$R119,IF(AND(DY$1&gt;=Units!$Q119,MOD(DY$1-Units!$Q119,12)=0),IF(AND(Units!$L119=1,DY$1=Units!$Q119),IF(Units!$J119&lt;&gt;"",Units!$J119,Mkt!DY120),Inputs!$B$15*Mkt!DY120+(1-Inputs!$B$15)*MIN(Mkt!DY120,DX120*(1+Inputs!$B$18))),DX120)))</f>
        <v>3010.37268973083</v>
      </c>
      <c r="DZ120" s="11" t="n">
        <f aca="false">IF(DZ$1&lt;Units!$P119,0,IF(AND(Units!$K119=0,DZ$1=Units!$O119),Units!$R119,IF(AND(DZ$1&gt;=Units!$Q119,MOD(DZ$1-Units!$Q119,12)=0),IF(AND(Units!$L119=1,DZ$1=Units!$Q119),IF(Units!$J119&lt;&gt;"",Units!$J119,Mkt!DZ120),Inputs!$B$15*Mkt!DZ120+(1-Inputs!$B$15)*MIN(Mkt!DZ120,DY120*(1+Inputs!$B$18))),DY120)))</f>
        <v>3010.37268973083</v>
      </c>
      <c r="EA120" s="11" t="n">
        <f aca="false">IF(EA$1&lt;Units!$P119,0,IF(AND(Units!$K119=0,EA$1=Units!$O119),Units!$R119,IF(AND(EA$1&gt;=Units!$Q119,MOD(EA$1-Units!$Q119,12)=0),IF(AND(Units!$L119=1,EA$1=Units!$Q119),IF(Units!$J119&lt;&gt;"",Units!$J119,Mkt!EA120),Inputs!$B$15*Mkt!EA120+(1-Inputs!$B$15)*MIN(Mkt!EA120,DZ120*(1+Inputs!$B$18))),DZ120)))</f>
        <v>3010.37268973083</v>
      </c>
      <c r="EB120" s="11" t="n">
        <f aca="false">IF(EB$1&lt;Units!$P119,0,IF(AND(Units!$K119=0,EB$1=Units!$O119),Units!$R119,IF(AND(EB$1&gt;=Units!$Q119,MOD(EB$1-Units!$Q119,12)=0),IF(AND(Units!$L119=1,EB$1=Units!$Q119),IF(Units!$J119&lt;&gt;"",Units!$J119,Mkt!EB120),Inputs!$B$15*Mkt!EB120+(1-Inputs!$B$15)*MIN(Mkt!EB120,EA120*(1+Inputs!$B$18))),EA120)))</f>
        <v>3010.37268973083</v>
      </c>
      <c r="EC120" s="11" t="n">
        <f aca="false">IF(EC$1&lt;Units!$P119,0,IF(AND(Units!$K119=0,EC$1=Units!$O119),Units!$R119,IF(AND(EC$1&gt;=Units!$Q119,MOD(EC$1-Units!$Q119,12)=0),IF(AND(Units!$L119=1,EC$1=Units!$Q119),IF(Units!$J119&lt;&gt;"",Units!$J119,Mkt!EC120),Inputs!$B$15*Mkt!EC120+(1-Inputs!$B$15)*MIN(Mkt!EC120,EB120*(1+Inputs!$B$18))),EB120)))</f>
        <v>3010.37268973083</v>
      </c>
      <c r="ED120" s="11" t="n">
        <f aca="false">IF(ED$1&lt;Units!$P119,0,IF(AND(Units!$K119=0,ED$1=Units!$O119),Units!$R119,IF(AND(ED$1&gt;=Units!$Q119,MOD(ED$1-Units!$Q119,12)=0),IF(AND(Units!$L119=1,ED$1=Units!$Q119),IF(Units!$J119&lt;&gt;"",Units!$J119,Mkt!ED120),Inputs!$B$15*Mkt!ED120+(1-Inputs!$B$15)*MIN(Mkt!ED120,EC120*(1+Inputs!$B$18))),EC120)))</f>
        <v>3010.37268973083</v>
      </c>
    </row>
    <row r="121" customFormat="false" ht="15" hidden="false" customHeight="false" outlineLevel="0" collapsed="false">
      <c r="A121" s="22" t="n">
        <f aca="false">Units!A120</f>
        <v>429</v>
      </c>
      <c r="B121" s="24" t="n">
        <f aca="false">IF(Units!K120=1,Units!F120,0)</f>
        <v>2190</v>
      </c>
      <c r="C121" s="11" t="n">
        <f aca="false">IF(C$1&lt;Units!$P120,0,IF(AND(Units!$K120=0,C$1=Units!$O120),Units!$R120,IF(AND(C$1&gt;=Units!$Q120,MOD(C$1-Units!$Q120,12)=0),IF(AND(Units!$L120=1,C$1=Units!$Q120),IF(Units!$J120&lt;&gt;"",Units!$J120,Mkt!C121),Inputs!$B$15*Mkt!C121+(1-Inputs!$B$15)*MIN(Mkt!C121,B121*(1+Inputs!$B$18))),B121)))</f>
        <v>2240</v>
      </c>
      <c r="D121" s="11" t="n">
        <f aca="false">IF(D$1&lt;Units!$P120,0,IF(AND(Units!$K120=0,D$1=Units!$O120),Units!$R120,IF(AND(D$1&gt;=Units!$Q120,MOD(D$1-Units!$Q120,12)=0),IF(AND(Units!$L120=1,D$1=Units!$Q120),IF(Units!$J120&lt;&gt;"",Units!$J120,Mkt!D121),Inputs!$B$15*Mkt!D121+(1-Inputs!$B$15)*MIN(Mkt!D121,C121*(1+Inputs!$B$18))),C121)))</f>
        <v>2240</v>
      </c>
      <c r="E121" s="11" t="n">
        <f aca="false">IF(E$1&lt;Units!$P120,0,IF(AND(Units!$K120=0,E$1=Units!$O120),Units!$R120,IF(AND(E$1&gt;=Units!$Q120,MOD(E$1-Units!$Q120,12)=0),IF(AND(Units!$L120=1,E$1=Units!$Q120),IF(Units!$J120&lt;&gt;"",Units!$J120,Mkt!E121),Inputs!$B$15*Mkt!E121+(1-Inputs!$B$15)*MIN(Mkt!E121,D121*(1+Inputs!$B$18))),D121)))</f>
        <v>2240</v>
      </c>
      <c r="F121" s="11" t="n">
        <f aca="false">IF(F$1&lt;Units!$P120,0,IF(AND(Units!$K120=0,F$1=Units!$O120),Units!$R120,IF(AND(F$1&gt;=Units!$Q120,MOD(F$1-Units!$Q120,12)=0),IF(AND(Units!$L120=1,F$1=Units!$Q120),IF(Units!$J120&lt;&gt;"",Units!$J120,Mkt!F121),Inputs!$B$15*Mkt!F121+(1-Inputs!$B$15)*MIN(Mkt!F121,E121*(1+Inputs!$B$18))),E121)))</f>
        <v>2240</v>
      </c>
      <c r="G121" s="11" t="n">
        <f aca="false">IF(G$1&lt;Units!$P120,0,IF(AND(Units!$K120=0,G$1=Units!$O120),Units!$R120,IF(AND(G$1&gt;=Units!$Q120,MOD(G$1-Units!$Q120,12)=0),IF(AND(Units!$L120=1,G$1=Units!$Q120),IF(Units!$J120&lt;&gt;"",Units!$J120,Mkt!G121),Inputs!$B$15*Mkt!G121+(1-Inputs!$B$15)*MIN(Mkt!G121,F121*(1+Inputs!$B$18))),F121)))</f>
        <v>2240</v>
      </c>
      <c r="H121" s="11" t="n">
        <f aca="false">IF(H$1&lt;Units!$P120,0,IF(AND(Units!$K120=0,H$1=Units!$O120),Units!$R120,IF(AND(H$1&gt;=Units!$Q120,MOD(H$1-Units!$Q120,12)=0),IF(AND(Units!$L120=1,H$1=Units!$Q120),IF(Units!$J120&lt;&gt;"",Units!$J120,Mkt!H121),Inputs!$B$15*Mkt!H121+(1-Inputs!$B$15)*MIN(Mkt!H121,G121*(1+Inputs!$B$18))),G121)))</f>
        <v>2240</v>
      </c>
      <c r="I121" s="11" t="n">
        <f aca="false">IF(I$1&lt;Units!$P120,0,IF(AND(Units!$K120=0,I$1=Units!$O120),Units!$R120,IF(AND(I$1&gt;=Units!$Q120,MOD(I$1-Units!$Q120,12)=0),IF(AND(Units!$L120=1,I$1=Units!$Q120),IF(Units!$J120&lt;&gt;"",Units!$J120,Mkt!I121),Inputs!$B$15*Mkt!I121+(1-Inputs!$B$15)*MIN(Mkt!I121,H121*(1+Inputs!$B$18))),H121)))</f>
        <v>2240</v>
      </c>
      <c r="J121" s="11" t="n">
        <f aca="false">IF(J$1&lt;Units!$P120,0,IF(AND(Units!$K120=0,J$1=Units!$O120),Units!$R120,IF(AND(J$1&gt;=Units!$Q120,MOD(J$1-Units!$Q120,12)=0),IF(AND(Units!$L120=1,J$1=Units!$Q120),IF(Units!$J120&lt;&gt;"",Units!$J120,Mkt!J121),Inputs!$B$15*Mkt!J121+(1-Inputs!$B$15)*MIN(Mkt!J121,I121*(1+Inputs!$B$18))),I121)))</f>
        <v>2240</v>
      </c>
      <c r="K121" s="11" t="n">
        <f aca="false">IF(K$1&lt;Units!$P120,0,IF(AND(Units!$K120=0,K$1=Units!$O120),Units!$R120,IF(AND(K$1&gt;=Units!$Q120,MOD(K$1-Units!$Q120,12)=0),IF(AND(Units!$L120=1,K$1=Units!$Q120),IF(Units!$J120&lt;&gt;"",Units!$J120,Mkt!K121),Inputs!$B$15*Mkt!K121+(1-Inputs!$B$15)*MIN(Mkt!K121,J121*(1+Inputs!$B$18))),J121)))</f>
        <v>2240</v>
      </c>
      <c r="L121" s="11" t="n">
        <f aca="false">IF(L$1&lt;Units!$P120,0,IF(AND(Units!$K120=0,L$1=Units!$O120),Units!$R120,IF(AND(L$1&gt;=Units!$Q120,MOD(L$1-Units!$Q120,12)=0),IF(AND(Units!$L120=1,L$1=Units!$Q120),IF(Units!$J120&lt;&gt;"",Units!$J120,Mkt!L121),Inputs!$B$15*Mkt!L121+(1-Inputs!$B$15)*MIN(Mkt!L121,K121*(1+Inputs!$B$18))),K121)))</f>
        <v>2240</v>
      </c>
      <c r="M121" s="11" t="n">
        <f aca="false">IF(M$1&lt;Units!$P120,0,IF(AND(Units!$K120=0,M$1=Units!$O120),Units!$R120,IF(AND(M$1&gt;=Units!$Q120,MOD(M$1-Units!$Q120,12)=0),IF(AND(Units!$L120=1,M$1=Units!$Q120),IF(Units!$J120&lt;&gt;"",Units!$J120,Mkt!M121),Inputs!$B$15*Mkt!M121+(1-Inputs!$B$15)*MIN(Mkt!M121,L121*(1+Inputs!$B$18))),L121)))</f>
        <v>2240</v>
      </c>
      <c r="N121" s="11" t="n">
        <f aca="false">IF(N$1&lt;Units!$P120,0,IF(AND(Units!$K120=0,N$1=Units!$O120),Units!$R120,IF(AND(N$1&gt;=Units!$Q120,MOD(N$1-Units!$Q120,12)=0),IF(AND(Units!$L120=1,N$1=Units!$Q120),IF(Units!$J120&lt;&gt;"",Units!$J120,Mkt!N121),Inputs!$B$15*Mkt!N121+(1-Inputs!$B$15)*MIN(Mkt!N121,M121*(1+Inputs!$B$18))),M121)))</f>
        <v>2240</v>
      </c>
      <c r="O121" s="11" t="n">
        <f aca="false">IF(O$1&lt;Units!$P120,0,IF(AND(Units!$K120=0,O$1=Units!$O120),Units!$R120,IF(AND(O$1&gt;=Units!$Q120,MOD(O$1-Units!$Q120,12)=0),IF(AND(Units!$L120=1,O$1=Units!$Q120),IF(Units!$J120&lt;&gt;"",Units!$J120,Mkt!O121),Inputs!$B$15*Mkt!O121+(1-Inputs!$B$15)*MIN(Mkt!O121,N121*(1+Inputs!$B$18))),N121)))</f>
        <v>2307.2</v>
      </c>
      <c r="P121" s="11" t="n">
        <f aca="false">IF(P$1&lt;Units!$P120,0,IF(AND(Units!$K120=0,P$1=Units!$O120),Units!$R120,IF(AND(P$1&gt;=Units!$Q120,MOD(P$1-Units!$Q120,12)=0),IF(AND(Units!$L120=1,P$1=Units!$Q120),IF(Units!$J120&lt;&gt;"",Units!$J120,Mkt!P121),Inputs!$B$15*Mkt!P121+(1-Inputs!$B$15)*MIN(Mkt!P121,O121*(1+Inputs!$B$18))),O121)))</f>
        <v>2307.2</v>
      </c>
      <c r="Q121" s="11" t="n">
        <f aca="false">IF(Q$1&lt;Units!$P120,0,IF(AND(Units!$K120=0,Q$1=Units!$O120),Units!$R120,IF(AND(Q$1&gt;=Units!$Q120,MOD(Q$1-Units!$Q120,12)=0),IF(AND(Units!$L120=1,Q$1=Units!$Q120),IF(Units!$J120&lt;&gt;"",Units!$J120,Mkt!Q121),Inputs!$B$15*Mkt!Q121+(1-Inputs!$B$15)*MIN(Mkt!Q121,P121*(1+Inputs!$B$18))),P121)))</f>
        <v>2307.2</v>
      </c>
      <c r="R121" s="11" t="n">
        <f aca="false">IF(R$1&lt;Units!$P120,0,IF(AND(Units!$K120=0,R$1=Units!$O120),Units!$R120,IF(AND(R$1&gt;=Units!$Q120,MOD(R$1-Units!$Q120,12)=0),IF(AND(Units!$L120=1,R$1=Units!$Q120),IF(Units!$J120&lt;&gt;"",Units!$J120,Mkt!R121),Inputs!$B$15*Mkt!R121+(1-Inputs!$B$15)*MIN(Mkt!R121,Q121*(1+Inputs!$B$18))),Q121)))</f>
        <v>2307.2</v>
      </c>
      <c r="S121" s="11" t="n">
        <f aca="false">IF(S$1&lt;Units!$P120,0,IF(AND(Units!$K120=0,S$1=Units!$O120),Units!$R120,IF(AND(S$1&gt;=Units!$Q120,MOD(S$1-Units!$Q120,12)=0),IF(AND(Units!$L120=1,S$1=Units!$Q120),IF(Units!$J120&lt;&gt;"",Units!$J120,Mkt!S121),Inputs!$B$15*Mkt!S121+(1-Inputs!$B$15)*MIN(Mkt!S121,R121*(1+Inputs!$B$18))),R121)))</f>
        <v>2307.2</v>
      </c>
      <c r="T121" s="11" t="n">
        <f aca="false">IF(T$1&lt;Units!$P120,0,IF(AND(Units!$K120=0,T$1=Units!$O120),Units!$R120,IF(AND(T$1&gt;=Units!$Q120,MOD(T$1-Units!$Q120,12)=0),IF(AND(Units!$L120=1,T$1=Units!$Q120),IF(Units!$J120&lt;&gt;"",Units!$J120,Mkt!T121),Inputs!$B$15*Mkt!T121+(1-Inputs!$B$15)*MIN(Mkt!T121,S121*(1+Inputs!$B$18))),S121)))</f>
        <v>2307.2</v>
      </c>
      <c r="U121" s="11" t="n">
        <f aca="false">IF(U$1&lt;Units!$P120,0,IF(AND(Units!$K120=0,U$1=Units!$O120),Units!$R120,IF(AND(U$1&gt;=Units!$Q120,MOD(U$1-Units!$Q120,12)=0),IF(AND(Units!$L120=1,U$1=Units!$Q120),IF(Units!$J120&lt;&gt;"",Units!$J120,Mkt!U121),Inputs!$B$15*Mkt!U121+(1-Inputs!$B$15)*MIN(Mkt!U121,T121*(1+Inputs!$B$18))),T121)))</f>
        <v>2307.2</v>
      </c>
      <c r="V121" s="11" t="n">
        <f aca="false">IF(V$1&lt;Units!$P120,0,IF(AND(Units!$K120=0,V$1=Units!$O120),Units!$R120,IF(AND(V$1&gt;=Units!$Q120,MOD(V$1-Units!$Q120,12)=0),IF(AND(Units!$L120=1,V$1=Units!$Q120),IF(Units!$J120&lt;&gt;"",Units!$J120,Mkt!V121),Inputs!$B$15*Mkt!V121+(1-Inputs!$B$15)*MIN(Mkt!V121,U121*(1+Inputs!$B$18))),U121)))</f>
        <v>2307.2</v>
      </c>
      <c r="W121" s="11" t="n">
        <f aca="false">IF(W$1&lt;Units!$P120,0,IF(AND(Units!$K120=0,W$1=Units!$O120),Units!$R120,IF(AND(W$1&gt;=Units!$Q120,MOD(W$1-Units!$Q120,12)=0),IF(AND(Units!$L120=1,W$1=Units!$Q120),IF(Units!$J120&lt;&gt;"",Units!$J120,Mkt!W121),Inputs!$B$15*Mkt!W121+(1-Inputs!$B$15)*MIN(Mkt!W121,V121*(1+Inputs!$B$18))),V121)))</f>
        <v>2307.2</v>
      </c>
      <c r="X121" s="11" t="n">
        <f aca="false">IF(X$1&lt;Units!$P120,0,IF(AND(Units!$K120=0,X$1=Units!$O120),Units!$R120,IF(AND(X$1&gt;=Units!$Q120,MOD(X$1-Units!$Q120,12)=0),IF(AND(Units!$L120=1,X$1=Units!$Q120),IF(Units!$J120&lt;&gt;"",Units!$J120,Mkt!X121),Inputs!$B$15*Mkt!X121+(1-Inputs!$B$15)*MIN(Mkt!X121,W121*(1+Inputs!$B$18))),W121)))</f>
        <v>2307.2</v>
      </c>
      <c r="Y121" s="11" t="n">
        <f aca="false">IF(Y$1&lt;Units!$P120,0,IF(AND(Units!$K120=0,Y$1=Units!$O120),Units!$R120,IF(AND(Y$1&gt;=Units!$Q120,MOD(Y$1-Units!$Q120,12)=0),IF(AND(Units!$L120=1,Y$1=Units!$Q120),IF(Units!$J120&lt;&gt;"",Units!$J120,Mkt!Y121),Inputs!$B$15*Mkt!Y121+(1-Inputs!$B$15)*MIN(Mkt!Y121,X121*(1+Inputs!$B$18))),X121)))</f>
        <v>2307.2</v>
      </c>
      <c r="Z121" s="11" t="n">
        <f aca="false">IF(Z$1&lt;Units!$P120,0,IF(AND(Units!$K120=0,Z$1=Units!$O120),Units!$R120,IF(AND(Z$1&gt;=Units!$Q120,MOD(Z$1-Units!$Q120,12)=0),IF(AND(Units!$L120=1,Z$1=Units!$Q120),IF(Units!$J120&lt;&gt;"",Units!$J120,Mkt!Z121),Inputs!$B$15*Mkt!Z121+(1-Inputs!$B$15)*MIN(Mkt!Z121,Y121*(1+Inputs!$B$18))),Y121)))</f>
        <v>2307.2</v>
      </c>
      <c r="AA121" s="11" t="n">
        <f aca="false">IF(AA$1&lt;Units!$P120,0,IF(AND(Units!$K120=0,AA$1=Units!$O120),Units!$R120,IF(AND(AA$1&gt;=Units!$Q120,MOD(AA$1-Units!$Q120,12)=0),IF(AND(Units!$L120=1,AA$1=Units!$Q120),IF(Units!$J120&lt;&gt;"",Units!$J120,Mkt!AA121),Inputs!$B$15*Mkt!AA121+(1-Inputs!$B$15)*MIN(Mkt!AA121,Z121*(1+Inputs!$B$18))),Z121)))</f>
        <v>2376.416</v>
      </c>
      <c r="AB121" s="11" t="n">
        <f aca="false">IF(AB$1&lt;Units!$P120,0,IF(AND(Units!$K120=0,AB$1=Units!$O120),Units!$R120,IF(AND(AB$1&gt;=Units!$Q120,MOD(AB$1-Units!$Q120,12)=0),IF(AND(Units!$L120=1,AB$1=Units!$Q120),IF(Units!$J120&lt;&gt;"",Units!$J120,Mkt!AB121),Inputs!$B$15*Mkt!AB121+(1-Inputs!$B$15)*MIN(Mkt!AB121,AA121*(1+Inputs!$B$18))),AA121)))</f>
        <v>2376.416</v>
      </c>
      <c r="AC121" s="11" t="n">
        <f aca="false">IF(AC$1&lt;Units!$P120,0,IF(AND(Units!$K120=0,AC$1=Units!$O120),Units!$R120,IF(AND(AC$1&gt;=Units!$Q120,MOD(AC$1-Units!$Q120,12)=0),IF(AND(Units!$L120=1,AC$1=Units!$Q120),IF(Units!$J120&lt;&gt;"",Units!$J120,Mkt!AC121),Inputs!$B$15*Mkt!AC121+(1-Inputs!$B$15)*MIN(Mkt!AC121,AB121*(1+Inputs!$B$18))),AB121)))</f>
        <v>2376.416</v>
      </c>
      <c r="AD121" s="11" t="n">
        <f aca="false">IF(AD$1&lt;Units!$P120,0,IF(AND(Units!$K120=0,AD$1=Units!$O120),Units!$R120,IF(AND(AD$1&gt;=Units!$Q120,MOD(AD$1-Units!$Q120,12)=0),IF(AND(Units!$L120=1,AD$1=Units!$Q120),IF(Units!$J120&lt;&gt;"",Units!$J120,Mkt!AD121),Inputs!$B$15*Mkt!AD121+(1-Inputs!$B$15)*MIN(Mkt!AD121,AC121*(1+Inputs!$B$18))),AC121)))</f>
        <v>2376.416</v>
      </c>
      <c r="AE121" s="11" t="n">
        <f aca="false">IF(AE$1&lt;Units!$P120,0,IF(AND(Units!$K120=0,AE$1=Units!$O120),Units!$R120,IF(AND(AE$1&gt;=Units!$Q120,MOD(AE$1-Units!$Q120,12)=0),IF(AND(Units!$L120=1,AE$1=Units!$Q120),IF(Units!$J120&lt;&gt;"",Units!$J120,Mkt!AE121),Inputs!$B$15*Mkt!AE121+(1-Inputs!$B$15)*MIN(Mkt!AE121,AD121*(1+Inputs!$B$18))),AD121)))</f>
        <v>2376.416</v>
      </c>
      <c r="AF121" s="11" t="n">
        <f aca="false">IF(AF$1&lt;Units!$P120,0,IF(AND(Units!$K120=0,AF$1=Units!$O120),Units!$R120,IF(AND(AF$1&gt;=Units!$Q120,MOD(AF$1-Units!$Q120,12)=0),IF(AND(Units!$L120=1,AF$1=Units!$Q120),IF(Units!$J120&lt;&gt;"",Units!$J120,Mkt!AF121),Inputs!$B$15*Mkt!AF121+(1-Inputs!$B$15)*MIN(Mkt!AF121,AE121*(1+Inputs!$B$18))),AE121)))</f>
        <v>2376.416</v>
      </c>
      <c r="AG121" s="11" t="n">
        <f aca="false">IF(AG$1&lt;Units!$P120,0,IF(AND(Units!$K120=0,AG$1=Units!$O120),Units!$R120,IF(AND(AG$1&gt;=Units!$Q120,MOD(AG$1-Units!$Q120,12)=0),IF(AND(Units!$L120=1,AG$1=Units!$Q120),IF(Units!$J120&lt;&gt;"",Units!$J120,Mkt!AG121),Inputs!$B$15*Mkt!AG121+(1-Inputs!$B$15)*MIN(Mkt!AG121,AF121*(1+Inputs!$B$18))),AF121)))</f>
        <v>2376.416</v>
      </c>
      <c r="AH121" s="11" t="n">
        <f aca="false">IF(AH$1&lt;Units!$P120,0,IF(AND(Units!$K120=0,AH$1=Units!$O120),Units!$R120,IF(AND(AH$1&gt;=Units!$Q120,MOD(AH$1-Units!$Q120,12)=0),IF(AND(Units!$L120=1,AH$1=Units!$Q120),IF(Units!$J120&lt;&gt;"",Units!$J120,Mkt!AH121),Inputs!$B$15*Mkt!AH121+(1-Inputs!$B$15)*MIN(Mkt!AH121,AG121*(1+Inputs!$B$18))),AG121)))</f>
        <v>2376.416</v>
      </c>
      <c r="AI121" s="11" t="n">
        <f aca="false">IF(AI$1&lt;Units!$P120,0,IF(AND(Units!$K120=0,AI$1=Units!$O120),Units!$R120,IF(AND(AI$1&gt;=Units!$Q120,MOD(AI$1-Units!$Q120,12)=0),IF(AND(Units!$L120=1,AI$1=Units!$Q120),IF(Units!$J120&lt;&gt;"",Units!$J120,Mkt!AI121),Inputs!$B$15*Mkt!AI121+(1-Inputs!$B$15)*MIN(Mkt!AI121,AH121*(1+Inputs!$B$18))),AH121)))</f>
        <v>2376.416</v>
      </c>
      <c r="AJ121" s="11" t="n">
        <f aca="false">IF(AJ$1&lt;Units!$P120,0,IF(AND(Units!$K120=0,AJ$1=Units!$O120),Units!$R120,IF(AND(AJ$1&gt;=Units!$Q120,MOD(AJ$1-Units!$Q120,12)=0),IF(AND(Units!$L120=1,AJ$1=Units!$Q120),IF(Units!$J120&lt;&gt;"",Units!$J120,Mkt!AJ121),Inputs!$B$15*Mkt!AJ121+(1-Inputs!$B$15)*MIN(Mkt!AJ121,AI121*(1+Inputs!$B$18))),AI121)))</f>
        <v>2376.416</v>
      </c>
      <c r="AK121" s="11" t="n">
        <f aca="false">IF(AK$1&lt;Units!$P120,0,IF(AND(Units!$K120=0,AK$1=Units!$O120),Units!$R120,IF(AND(AK$1&gt;=Units!$Q120,MOD(AK$1-Units!$Q120,12)=0),IF(AND(Units!$L120=1,AK$1=Units!$Q120),IF(Units!$J120&lt;&gt;"",Units!$J120,Mkt!AK121),Inputs!$B$15*Mkt!AK121+(1-Inputs!$B$15)*MIN(Mkt!AK121,AJ121*(1+Inputs!$B$18))),AJ121)))</f>
        <v>2376.416</v>
      </c>
      <c r="AL121" s="11" t="n">
        <f aca="false">IF(AL$1&lt;Units!$P120,0,IF(AND(Units!$K120=0,AL$1=Units!$O120),Units!$R120,IF(AND(AL$1&gt;=Units!$Q120,MOD(AL$1-Units!$Q120,12)=0),IF(AND(Units!$L120=1,AL$1=Units!$Q120),IF(Units!$J120&lt;&gt;"",Units!$J120,Mkt!AL121),Inputs!$B$15*Mkt!AL121+(1-Inputs!$B$15)*MIN(Mkt!AL121,AK121*(1+Inputs!$B$18))),AK121)))</f>
        <v>2376.416</v>
      </c>
      <c r="AM121" s="11" t="n">
        <f aca="false">IF(AM$1&lt;Units!$P120,0,IF(AND(Units!$K120=0,AM$1=Units!$O120),Units!$R120,IF(AND(AM$1&gt;=Units!$Q120,MOD(AM$1-Units!$Q120,12)=0),IF(AND(Units!$L120=1,AM$1=Units!$Q120),IF(Units!$J120&lt;&gt;"",Units!$J120,Mkt!AM121),Inputs!$B$15*Mkt!AM121+(1-Inputs!$B$15)*MIN(Mkt!AM121,AL121*(1+Inputs!$B$18))),AL121)))</f>
        <v>2447.70848</v>
      </c>
      <c r="AN121" s="11" t="n">
        <f aca="false">IF(AN$1&lt;Units!$P120,0,IF(AND(Units!$K120=0,AN$1=Units!$O120),Units!$R120,IF(AND(AN$1&gt;=Units!$Q120,MOD(AN$1-Units!$Q120,12)=0),IF(AND(Units!$L120=1,AN$1=Units!$Q120),IF(Units!$J120&lt;&gt;"",Units!$J120,Mkt!AN121),Inputs!$B$15*Mkt!AN121+(1-Inputs!$B$15)*MIN(Mkt!AN121,AM121*(1+Inputs!$B$18))),AM121)))</f>
        <v>2447.70848</v>
      </c>
      <c r="AO121" s="11" t="n">
        <f aca="false">IF(AO$1&lt;Units!$P120,0,IF(AND(Units!$K120=0,AO$1=Units!$O120),Units!$R120,IF(AND(AO$1&gt;=Units!$Q120,MOD(AO$1-Units!$Q120,12)=0),IF(AND(Units!$L120=1,AO$1=Units!$Q120),IF(Units!$J120&lt;&gt;"",Units!$J120,Mkt!AO121),Inputs!$B$15*Mkt!AO121+(1-Inputs!$B$15)*MIN(Mkt!AO121,AN121*(1+Inputs!$B$18))),AN121)))</f>
        <v>2447.70848</v>
      </c>
      <c r="AP121" s="11" t="n">
        <f aca="false">IF(AP$1&lt;Units!$P120,0,IF(AND(Units!$K120=0,AP$1=Units!$O120),Units!$R120,IF(AND(AP$1&gt;=Units!$Q120,MOD(AP$1-Units!$Q120,12)=0),IF(AND(Units!$L120=1,AP$1=Units!$Q120),IF(Units!$J120&lt;&gt;"",Units!$J120,Mkt!AP121),Inputs!$B$15*Mkt!AP121+(1-Inputs!$B$15)*MIN(Mkt!AP121,AO121*(1+Inputs!$B$18))),AO121)))</f>
        <v>2447.70848</v>
      </c>
      <c r="AQ121" s="11" t="n">
        <f aca="false">IF(AQ$1&lt;Units!$P120,0,IF(AND(Units!$K120=0,AQ$1=Units!$O120),Units!$R120,IF(AND(AQ$1&gt;=Units!$Q120,MOD(AQ$1-Units!$Q120,12)=0),IF(AND(Units!$L120=1,AQ$1=Units!$Q120),IF(Units!$J120&lt;&gt;"",Units!$J120,Mkt!AQ121),Inputs!$B$15*Mkt!AQ121+(1-Inputs!$B$15)*MIN(Mkt!AQ121,AP121*(1+Inputs!$B$18))),AP121)))</f>
        <v>2447.70848</v>
      </c>
      <c r="AR121" s="11" t="n">
        <f aca="false">IF(AR$1&lt;Units!$P120,0,IF(AND(Units!$K120=0,AR$1=Units!$O120),Units!$R120,IF(AND(AR$1&gt;=Units!$Q120,MOD(AR$1-Units!$Q120,12)=0),IF(AND(Units!$L120=1,AR$1=Units!$Q120),IF(Units!$J120&lt;&gt;"",Units!$J120,Mkt!AR121),Inputs!$B$15*Mkt!AR121+(1-Inputs!$B$15)*MIN(Mkt!AR121,AQ121*(1+Inputs!$B$18))),AQ121)))</f>
        <v>2447.70848</v>
      </c>
      <c r="AS121" s="11" t="n">
        <f aca="false">IF(AS$1&lt;Units!$P120,0,IF(AND(Units!$K120=0,AS$1=Units!$O120),Units!$R120,IF(AND(AS$1&gt;=Units!$Q120,MOD(AS$1-Units!$Q120,12)=0),IF(AND(Units!$L120=1,AS$1=Units!$Q120),IF(Units!$J120&lt;&gt;"",Units!$J120,Mkt!AS121),Inputs!$B$15*Mkt!AS121+(1-Inputs!$B$15)*MIN(Mkt!AS121,AR121*(1+Inputs!$B$18))),AR121)))</f>
        <v>2447.70848</v>
      </c>
      <c r="AT121" s="11" t="n">
        <f aca="false">IF(AT$1&lt;Units!$P120,0,IF(AND(Units!$K120=0,AT$1=Units!$O120),Units!$R120,IF(AND(AT$1&gt;=Units!$Q120,MOD(AT$1-Units!$Q120,12)=0),IF(AND(Units!$L120=1,AT$1=Units!$Q120),IF(Units!$J120&lt;&gt;"",Units!$J120,Mkt!AT121),Inputs!$B$15*Mkt!AT121+(1-Inputs!$B$15)*MIN(Mkt!AT121,AS121*(1+Inputs!$B$18))),AS121)))</f>
        <v>2447.70848</v>
      </c>
      <c r="AU121" s="11" t="n">
        <f aca="false">IF(AU$1&lt;Units!$P120,0,IF(AND(Units!$K120=0,AU$1=Units!$O120),Units!$R120,IF(AND(AU$1&gt;=Units!$Q120,MOD(AU$1-Units!$Q120,12)=0),IF(AND(Units!$L120=1,AU$1=Units!$Q120),IF(Units!$J120&lt;&gt;"",Units!$J120,Mkt!AU121),Inputs!$B$15*Mkt!AU121+(1-Inputs!$B$15)*MIN(Mkt!AU121,AT121*(1+Inputs!$B$18))),AT121)))</f>
        <v>2447.70848</v>
      </c>
      <c r="AV121" s="11" t="n">
        <f aca="false">IF(AV$1&lt;Units!$P120,0,IF(AND(Units!$K120=0,AV$1=Units!$O120),Units!$R120,IF(AND(AV$1&gt;=Units!$Q120,MOD(AV$1-Units!$Q120,12)=0),IF(AND(Units!$L120=1,AV$1=Units!$Q120),IF(Units!$J120&lt;&gt;"",Units!$J120,Mkt!AV121),Inputs!$B$15*Mkt!AV121+(1-Inputs!$B$15)*MIN(Mkt!AV121,AU121*(1+Inputs!$B$18))),AU121)))</f>
        <v>2447.70848</v>
      </c>
      <c r="AW121" s="11" t="n">
        <f aca="false">IF(AW$1&lt;Units!$P120,0,IF(AND(Units!$K120=0,AW$1=Units!$O120),Units!$R120,IF(AND(AW$1&gt;=Units!$Q120,MOD(AW$1-Units!$Q120,12)=0),IF(AND(Units!$L120=1,AW$1=Units!$Q120),IF(Units!$J120&lt;&gt;"",Units!$J120,Mkt!AW121),Inputs!$B$15*Mkt!AW121+(1-Inputs!$B$15)*MIN(Mkt!AW121,AV121*(1+Inputs!$B$18))),AV121)))</f>
        <v>2447.70848</v>
      </c>
      <c r="AX121" s="11" t="n">
        <f aca="false">IF(AX$1&lt;Units!$P120,0,IF(AND(Units!$K120=0,AX$1=Units!$O120),Units!$R120,IF(AND(AX$1&gt;=Units!$Q120,MOD(AX$1-Units!$Q120,12)=0),IF(AND(Units!$L120=1,AX$1=Units!$Q120),IF(Units!$J120&lt;&gt;"",Units!$J120,Mkt!AX121),Inputs!$B$15*Mkt!AX121+(1-Inputs!$B$15)*MIN(Mkt!AX121,AW121*(1+Inputs!$B$18))),AW121)))</f>
        <v>2447.70848</v>
      </c>
      <c r="AY121" s="11" t="n">
        <f aca="false">IF(AY$1&lt;Units!$P120,0,IF(AND(Units!$K120=0,AY$1=Units!$O120),Units!$R120,IF(AND(AY$1&gt;=Units!$Q120,MOD(AY$1-Units!$Q120,12)=0),IF(AND(Units!$L120=1,AY$1=Units!$Q120),IF(Units!$J120&lt;&gt;"",Units!$J120,Mkt!AY121),Inputs!$B$15*Mkt!AY121+(1-Inputs!$B$15)*MIN(Mkt!AY121,AX121*(1+Inputs!$B$18))),AX121)))</f>
        <v>2521.1397344</v>
      </c>
      <c r="AZ121" s="11" t="n">
        <f aca="false">IF(AZ$1&lt;Units!$P120,0,IF(AND(Units!$K120=0,AZ$1=Units!$O120),Units!$R120,IF(AND(AZ$1&gt;=Units!$Q120,MOD(AZ$1-Units!$Q120,12)=0),IF(AND(Units!$L120=1,AZ$1=Units!$Q120),IF(Units!$J120&lt;&gt;"",Units!$J120,Mkt!AZ121),Inputs!$B$15*Mkt!AZ121+(1-Inputs!$B$15)*MIN(Mkt!AZ121,AY121*(1+Inputs!$B$18))),AY121)))</f>
        <v>2521.1397344</v>
      </c>
      <c r="BA121" s="11" t="n">
        <f aca="false">IF(BA$1&lt;Units!$P120,0,IF(AND(Units!$K120=0,BA$1=Units!$O120),Units!$R120,IF(AND(BA$1&gt;=Units!$Q120,MOD(BA$1-Units!$Q120,12)=0),IF(AND(Units!$L120=1,BA$1=Units!$Q120),IF(Units!$J120&lt;&gt;"",Units!$J120,Mkt!BA121),Inputs!$B$15*Mkt!BA121+(1-Inputs!$B$15)*MIN(Mkt!BA121,AZ121*(1+Inputs!$B$18))),AZ121)))</f>
        <v>2521.1397344</v>
      </c>
      <c r="BB121" s="11" t="n">
        <f aca="false">IF(BB$1&lt;Units!$P120,0,IF(AND(Units!$K120=0,BB$1=Units!$O120),Units!$R120,IF(AND(BB$1&gt;=Units!$Q120,MOD(BB$1-Units!$Q120,12)=0),IF(AND(Units!$L120=1,BB$1=Units!$Q120),IF(Units!$J120&lt;&gt;"",Units!$J120,Mkt!BB121),Inputs!$B$15*Mkt!BB121+(1-Inputs!$B$15)*MIN(Mkt!BB121,BA121*(1+Inputs!$B$18))),BA121)))</f>
        <v>2521.1397344</v>
      </c>
      <c r="BC121" s="11" t="n">
        <f aca="false">IF(BC$1&lt;Units!$P120,0,IF(AND(Units!$K120=0,BC$1=Units!$O120),Units!$R120,IF(AND(BC$1&gt;=Units!$Q120,MOD(BC$1-Units!$Q120,12)=0),IF(AND(Units!$L120=1,BC$1=Units!$Q120),IF(Units!$J120&lt;&gt;"",Units!$J120,Mkt!BC121),Inputs!$B$15*Mkt!BC121+(1-Inputs!$B$15)*MIN(Mkt!BC121,BB121*(1+Inputs!$B$18))),BB121)))</f>
        <v>2521.1397344</v>
      </c>
      <c r="BD121" s="11" t="n">
        <f aca="false">IF(BD$1&lt;Units!$P120,0,IF(AND(Units!$K120=0,BD$1=Units!$O120),Units!$R120,IF(AND(BD$1&gt;=Units!$Q120,MOD(BD$1-Units!$Q120,12)=0),IF(AND(Units!$L120=1,BD$1=Units!$Q120),IF(Units!$J120&lt;&gt;"",Units!$J120,Mkt!BD121),Inputs!$B$15*Mkt!BD121+(1-Inputs!$B$15)*MIN(Mkt!BD121,BC121*(1+Inputs!$B$18))),BC121)))</f>
        <v>2521.1397344</v>
      </c>
      <c r="BE121" s="11" t="n">
        <f aca="false">IF(BE$1&lt;Units!$P120,0,IF(AND(Units!$K120=0,BE$1=Units!$O120),Units!$R120,IF(AND(BE$1&gt;=Units!$Q120,MOD(BE$1-Units!$Q120,12)=0),IF(AND(Units!$L120=1,BE$1=Units!$Q120),IF(Units!$J120&lt;&gt;"",Units!$J120,Mkt!BE121),Inputs!$B$15*Mkt!BE121+(1-Inputs!$B$15)*MIN(Mkt!BE121,BD121*(1+Inputs!$B$18))),BD121)))</f>
        <v>2521.1397344</v>
      </c>
      <c r="BF121" s="11" t="n">
        <f aca="false">IF(BF$1&lt;Units!$P120,0,IF(AND(Units!$K120=0,BF$1=Units!$O120),Units!$R120,IF(AND(BF$1&gt;=Units!$Q120,MOD(BF$1-Units!$Q120,12)=0),IF(AND(Units!$L120=1,BF$1=Units!$Q120),IF(Units!$J120&lt;&gt;"",Units!$J120,Mkt!BF121),Inputs!$B$15*Mkt!BF121+(1-Inputs!$B$15)*MIN(Mkt!BF121,BE121*(1+Inputs!$B$18))),BE121)))</f>
        <v>2521.1397344</v>
      </c>
      <c r="BG121" s="11" t="n">
        <f aca="false">IF(BG$1&lt;Units!$P120,0,IF(AND(Units!$K120=0,BG$1=Units!$O120),Units!$R120,IF(AND(BG$1&gt;=Units!$Q120,MOD(BG$1-Units!$Q120,12)=0),IF(AND(Units!$L120=1,BG$1=Units!$Q120),IF(Units!$J120&lt;&gt;"",Units!$J120,Mkt!BG121),Inputs!$B$15*Mkt!BG121+(1-Inputs!$B$15)*MIN(Mkt!BG121,BF121*(1+Inputs!$B$18))),BF121)))</f>
        <v>2521.1397344</v>
      </c>
      <c r="BH121" s="11" t="n">
        <f aca="false">IF(BH$1&lt;Units!$P120,0,IF(AND(Units!$K120=0,BH$1=Units!$O120),Units!$R120,IF(AND(BH$1&gt;=Units!$Q120,MOD(BH$1-Units!$Q120,12)=0),IF(AND(Units!$L120=1,BH$1=Units!$Q120),IF(Units!$J120&lt;&gt;"",Units!$J120,Mkt!BH121),Inputs!$B$15*Mkt!BH121+(1-Inputs!$B$15)*MIN(Mkt!BH121,BG121*(1+Inputs!$B$18))),BG121)))</f>
        <v>2521.1397344</v>
      </c>
      <c r="BI121" s="11" t="n">
        <f aca="false">IF(BI$1&lt;Units!$P120,0,IF(AND(Units!$K120=0,BI$1=Units!$O120),Units!$R120,IF(AND(BI$1&gt;=Units!$Q120,MOD(BI$1-Units!$Q120,12)=0),IF(AND(Units!$L120=1,BI$1=Units!$Q120),IF(Units!$J120&lt;&gt;"",Units!$J120,Mkt!BI121),Inputs!$B$15*Mkt!BI121+(1-Inputs!$B$15)*MIN(Mkt!BI121,BH121*(1+Inputs!$B$18))),BH121)))</f>
        <v>2521.1397344</v>
      </c>
      <c r="BJ121" s="11" t="n">
        <f aca="false">IF(BJ$1&lt;Units!$P120,0,IF(AND(Units!$K120=0,BJ$1=Units!$O120),Units!$R120,IF(AND(BJ$1&gt;=Units!$Q120,MOD(BJ$1-Units!$Q120,12)=0),IF(AND(Units!$L120=1,BJ$1=Units!$Q120),IF(Units!$J120&lt;&gt;"",Units!$J120,Mkt!BJ121),Inputs!$B$15*Mkt!BJ121+(1-Inputs!$B$15)*MIN(Mkt!BJ121,BI121*(1+Inputs!$B$18))),BI121)))</f>
        <v>2521.1397344</v>
      </c>
      <c r="BK121" s="11" t="n">
        <f aca="false">IF(BK$1&lt;Units!$P120,0,IF(AND(Units!$K120=0,BK$1=Units!$O120),Units!$R120,IF(AND(BK$1&gt;=Units!$Q120,MOD(BK$1-Units!$Q120,12)=0),IF(AND(Units!$L120=1,BK$1=Units!$Q120),IF(Units!$J120&lt;&gt;"",Units!$J120,Mkt!BK121),Inputs!$B$15*Mkt!BK121+(1-Inputs!$B$15)*MIN(Mkt!BK121,BJ121*(1+Inputs!$B$18))),BJ121)))</f>
        <v>2596.773926432</v>
      </c>
      <c r="BL121" s="11" t="n">
        <f aca="false">IF(BL$1&lt;Units!$P120,0,IF(AND(Units!$K120=0,BL$1=Units!$O120),Units!$R120,IF(AND(BL$1&gt;=Units!$Q120,MOD(BL$1-Units!$Q120,12)=0),IF(AND(Units!$L120=1,BL$1=Units!$Q120),IF(Units!$J120&lt;&gt;"",Units!$J120,Mkt!BL121),Inputs!$B$15*Mkt!BL121+(1-Inputs!$B$15)*MIN(Mkt!BL121,BK121*(1+Inputs!$B$18))),BK121)))</f>
        <v>2596.773926432</v>
      </c>
      <c r="BM121" s="11" t="n">
        <f aca="false">IF(BM$1&lt;Units!$P120,0,IF(AND(Units!$K120=0,BM$1=Units!$O120),Units!$R120,IF(AND(BM$1&gt;=Units!$Q120,MOD(BM$1-Units!$Q120,12)=0),IF(AND(Units!$L120=1,BM$1=Units!$Q120),IF(Units!$J120&lt;&gt;"",Units!$J120,Mkt!BM121),Inputs!$B$15*Mkt!BM121+(1-Inputs!$B$15)*MIN(Mkt!BM121,BL121*(1+Inputs!$B$18))),BL121)))</f>
        <v>2596.773926432</v>
      </c>
      <c r="BN121" s="11" t="n">
        <f aca="false">IF(BN$1&lt;Units!$P120,0,IF(AND(Units!$K120=0,BN$1=Units!$O120),Units!$R120,IF(AND(BN$1&gt;=Units!$Q120,MOD(BN$1-Units!$Q120,12)=0),IF(AND(Units!$L120=1,BN$1=Units!$Q120),IF(Units!$J120&lt;&gt;"",Units!$J120,Mkt!BN121),Inputs!$B$15*Mkt!BN121+(1-Inputs!$B$15)*MIN(Mkt!BN121,BM121*(1+Inputs!$B$18))),BM121)))</f>
        <v>2596.773926432</v>
      </c>
      <c r="BO121" s="11" t="n">
        <f aca="false">IF(BO$1&lt;Units!$P120,0,IF(AND(Units!$K120=0,BO$1=Units!$O120),Units!$R120,IF(AND(BO$1&gt;=Units!$Q120,MOD(BO$1-Units!$Q120,12)=0),IF(AND(Units!$L120=1,BO$1=Units!$Q120),IF(Units!$J120&lt;&gt;"",Units!$J120,Mkt!BO121),Inputs!$B$15*Mkt!BO121+(1-Inputs!$B$15)*MIN(Mkt!BO121,BN121*(1+Inputs!$B$18))),BN121)))</f>
        <v>2596.773926432</v>
      </c>
      <c r="BP121" s="11" t="n">
        <f aca="false">IF(BP$1&lt;Units!$P120,0,IF(AND(Units!$K120=0,BP$1=Units!$O120),Units!$R120,IF(AND(BP$1&gt;=Units!$Q120,MOD(BP$1-Units!$Q120,12)=0),IF(AND(Units!$L120=1,BP$1=Units!$Q120),IF(Units!$J120&lt;&gt;"",Units!$J120,Mkt!BP121),Inputs!$B$15*Mkt!BP121+(1-Inputs!$B$15)*MIN(Mkt!BP121,BO121*(1+Inputs!$B$18))),BO121)))</f>
        <v>2596.773926432</v>
      </c>
      <c r="BQ121" s="11" t="n">
        <f aca="false">IF(BQ$1&lt;Units!$P120,0,IF(AND(Units!$K120=0,BQ$1=Units!$O120),Units!$R120,IF(AND(BQ$1&gt;=Units!$Q120,MOD(BQ$1-Units!$Q120,12)=0),IF(AND(Units!$L120=1,BQ$1=Units!$Q120),IF(Units!$J120&lt;&gt;"",Units!$J120,Mkt!BQ121),Inputs!$B$15*Mkt!BQ121+(1-Inputs!$B$15)*MIN(Mkt!BQ121,BP121*(1+Inputs!$B$18))),BP121)))</f>
        <v>2596.773926432</v>
      </c>
      <c r="BR121" s="11" t="n">
        <f aca="false">IF(BR$1&lt;Units!$P120,0,IF(AND(Units!$K120=0,BR$1=Units!$O120),Units!$R120,IF(AND(BR$1&gt;=Units!$Q120,MOD(BR$1-Units!$Q120,12)=0),IF(AND(Units!$L120=1,BR$1=Units!$Q120),IF(Units!$J120&lt;&gt;"",Units!$J120,Mkt!BR121),Inputs!$B$15*Mkt!BR121+(1-Inputs!$B$15)*MIN(Mkt!BR121,BQ121*(1+Inputs!$B$18))),BQ121)))</f>
        <v>2596.773926432</v>
      </c>
      <c r="BS121" s="11" t="n">
        <f aca="false">IF(BS$1&lt;Units!$P120,0,IF(AND(Units!$K120=0,BS$1=Units!$O120),Units!$R120,IF(AND(BS$1&gt;=Units!$Q120,MOD(BS$1-Units!$Q120,12)=0),IF(AND(Units!$L120=1,BS$1=Units!$Q120),IF(Units!$J120&lt;&gt;"",Units!$J120,Mkt!BS121),Inputs!$B$15*Mkt!BS121+(1-Inputs!$B$15)*MIN(Mkt!BS121,BR121*(1+Inputs!$B$18))),BR121)))</f>
        <v>2596.773926432</v>
      </c>
      <c r="BT121" s="11" t="n">
        <f aca="false">IF(BT$1&lt;Units!$P120,0,IF(AND(Units!$K120=0,BT$1=Units!$O120),Units!$R120,IF(AND(BT$1&gt;=Units!$Q120,MOD(BT$1-Units!$Q120,12)=0),IF(AND(Units!$L120=1,BT$1=Units!$Q120),IF(Units!$J120&lt;&gt;"",Units!$J120,Mkt!BT121),Inputs!$B$15*Mkt!BT121+(1-Inputs!$B$15)*MIN(Mkt!BT121,BS121*(1+Inputs!$B$18))),BS121)))</f>
        <v>2596.773926432</v>
      </c>
      <c r="BU121" s="11" t="n">
        <f aca="false">IF(BU$1&lt;Units!$P120,0,IF(AND(Units!$K120=0,BU$1=Units!$O120),Units!$R120,IF(AND(BU$1&gt;=Units!$Q120,MOD(BU$1-Units!$Q120,12)=0),IF(AND(Units!$L120=1,BU$1=Units!$Q120),IF(Units!$J120&lt;&gt;"",Units!$J120,Mkt!BU121),Inputs!$B$15*Mkt!BU121+(1-Inputs!$B$15)*MIN(Mkt!BU121,BT121*(1+Inputs!$B$18))),BT121)))</f>
        <v>2596.773926432</v>
      </c>
      <c r="BV121" s="11" t="n">
        <f aca="false">IF(BV$1&lt;Units!$P120,0,IF(AND(Units!$K120=0,BV$1=Units!$O120),Units!$R120,IF(AND(BV$1&gt;=Units!$Q120,MOD(BV$1-Units!$Q120,12)=0),IF(AND(Units!$L120=1,BV$1=Units!$Q120),IF(Units!$J120&lt;&gt;"",Units!$J120,Mkt!BV121),Inputs!$B$15*Mkt!BV121+(1-Inputs!$B$15)*MIN(Mkt!BV121,BU121*(1+Inputs!$B$18))),BU121)))</f>
        <v>2596.773926432</v>
      </c>
      <c r="BW121" s="11" t="n">
        <f aca="false">IF(BW$1&lt;Units!$P120,0,IF(AND(Units!$K120=0,BW$1=Units!$O120),Units!$R120,IF(AND(BW$1&gt;=Units!$Q120,MOD(BW$1-Units!$Q120,12)=0),IF(AND(Units!$L120=1,BW$1=Units!$Q120),IF(Units!$J120&lt;&gt;"",Units!$J120,Mkt!BW121),Inputs!$B$15*Mkt!BW121+(1-Inputs!$B$15)*MIN(Mkt!BW121,BV121*(1+Inputs!$B$18))),BV121)))</f>
        <v>2674.67714422496</v>
      </c>
      <c r="BX121" s="11" t="n">
        <f aca="false">IF(BX$1&lt;Units!$P120,0,IF(AND(Units!$K120=0,BX$1=Units!$O120),Units!$R120,IF(AND(BX$1&gt;=Units!$Q120,MOD(BX$1-Units!$Q120,12)=0),IF(AND(Units!$L120=1,BX$1=Units!$Q120),IF(Units!$J120&lt;&gt;"",Units!$J120,Mkt!BX121),Inputs!$B$15*Mkt!BX121+(1-Inputs!$B$15)*MIN(Mkt!BX121,BW121*(1+Inputs!$B$18))),BW121)))</f>
        <v>2674.67714422496</v>
      </c>
      <c r="BY121" s="11" t="n">
        <f aca="false">IF(BY$1&lt;Units!$P120,0,IF(AND(Units!$K120=0,BY$1=Units!$O120),Units!$R120,IF(AND(BY$1&gt;=Units!$Q120,MOD(BY$1-Units!$Q120,12)=0),IF(AND(Units!$L120=1,BY$1=Units!$Q120),IF(Units!$J120&lt;&gt;"",Units!$J120,Mkt!BY121),Inputs!$B$15*Mkt!BY121+(1-Inputs!$B$15)*MIN(Mkt!BY121,BX121*(1+Inputs!$B$18))),BX121)))</f>
        <v>2674.67714422496</v>
      </c>
      <c r="BZ121" s="11" t="n">
        <f aca="false">IF(BZ$1&lt;Units!$P120,0,IF(AND(Units!$K120=0,BZ$1=Units!$O120),Units!$R120,IF(AND(BZ$1&gt;=Units!$Q120,MOD(BZ$1-Units!$Q120,12)=0),IF(AND(Units!$L120=1,BZ$1=Units!$Q120),IF(Units!$J120&lt;&gt;"",Units!$J120,Mkt!BZ121),Inputs!$B$15*Mkt!BZ121+(1-Inputs!$B$15)*MIN(Mkt!BZ121,BY121*(1+Inputs!$B$18))),BY121)))</f>
        <v>2674.67714422496</v>
      </c>
      <c r="CA121" s="11" t="n">
        <f aca="false">IF(CA$1&lt;Units!$P120,0,IF(AND(Units!$K120=0,CA$1=Units!$O120),Units!$R120,IF(AND(CA$1&gt;=Units!$Q120,MOD(CA$1-Units!$Q120,12)=0),IF(AND(Units!$L120=1,CA$1=Units!$Q120),IF(Units!$J120&lt;&gt;"",Units!$J120,Mkt!CA121),Inputs!$B$15*Mkt!CA121+(1-Inputs!$B$15)*MIN(Mkt!CA121,BZ121*(1+Inputs!$B$18))),BZ121)))</f>
        <v>2674.67714422496</v>
      </c>
      <c r="CB121" s="11" t="n">
        <f aca="false">IF(CB$1&lt;Units!$P120,0,IF(AND(Units!$K120=0,CB$1=Units!$O120),Units!$R120,IF(AND(CB$1&gt;=Units!$Q120,MOD(CB$1-Units!$Q120,12)=0),IF(AND(Units!$L120=1,CB$1=Units!$Q120),IF(Units!$J120&lt;&gt;"",Units!$J120,Mkt!CB121),Inputs!$B$15*Mkt!CB121+(1-Inputs!$B$15)*MIN(Mkt!CB121,CA121*(1+Inputs!$B$18))),CA121)))</f>
        <v>2674.67714422496</v>
      </c>
      <c r="CC121" s="11" t="n">
        <f aca="false">IF(CC$1&lt;Units!$P120,0,IF(AND(Units!$K120=0,CC$1=Units!$O120),Units!$R120,IF(AND(CC$1&gt;=Units!$Q120,MOD(CC$1-Units!$Q120,12)=0),IF(AND(Units!$L120=1,CC$1=Units!$Q120),IF(Units!$J120&lt;&gt;"",Units!$J120,Mkt!CC121),Inputs!$B$15*Mkt!CC121+(1-Inputs!$B$15)*MIN(Mkt!CC121,CB121*(1+Inputs!$B$18))),CB121)))</f>
        <v>2674.67714422496</v>
      </c>
      <c r="CD121" s="11" t="n">
        <f aca="false">IF(CD$1&lt;Units!$P120,0,IF(AND(Units!$K120=0,CD$1=Units!$O120),Units!$R120,IF(AND(CD$1&gt;=Units!$Q120,MOD(CD$1-Units!$Q120,12)=0),IF(AND(Units!$L120=1,CD$1=Units!$Q120),IF(Units!$J120&lt;&gt;"",Units!$J120,Mkt!CD121),Inputs!$B$15*Mkt!CD121+(1-Inputs!$B$15)*MIN(Mkt!CD121,CC121*(1+Inputs!$B$18))),CC121)))</f>
        <v>2674.67714422496</v>
      </c>
      <c r="CE121" s="11" t="n">
        <f aca="false">IF(CE$1&lt;Units!$P120,0,IF(AND(Units!$K120=0,CE$1=Units!$O120),Units!$R120,IF(AND(CE$1&gt;=Units!$Q120,MOD(CE$1-Units!$Q120,12)=0),IF(AND(Units!$L120=1,CE$1=Units!$Q120),IF(Units!$J120&lt;&gt;"",Units!$J120,Mkt!CE121),Inputs!$B$15*Mkt!CE121+(1-Inputs!$B$15)*MIN(Mkt!CE121,CD121*(1+Inputs!$B$18))),CD121)))</f>
        <v>2674.67714422496</v>
      </c>
      <c r="CF121" s="11" t="n">
        <f aca="false">IF(CF$1&lt;Units!$P120,0,IF(AND(Units!$K120=0,CF$1=Units!$O120),Units!$R120,IF(AND(CF$1&gt;=Units!$Q120,MOD(CF$1-Units!$Q120,12)=0),IF(AND(Units!$L120=1,CF$1=Units!$Q120),IF(Units!$J120&lt;&gt;"",Units!$J120,Mkt!CF121),Inputs!$B$15*Mkt!CF121+(1-Inputs!$B$15)*MIN(Mkt!CF121,CE121*(1+Inputs!$B$18))),CE121)))</f>
        <v>2674.67714422496</v>
      </c>
      <c r="CG121" s="11" t="n">
        <f aca="false">IF(CG$1&lt;Units!$P120,0,IF(AND(Units!$K120=0,CG$1=Units!$O120),Units!$R120,IF(AND(CG$1&gt;=Units!$Q120,MOD(CG$1-Units!$Q120,12)=0),IF(AND(Units!$L120=1,CG$1=Units!$Q120),IF(Units!$J120&lt;&gt;"",Units!$J120,Mkt!CG121),Inputs!$B$15*Mkt!CG121+(1-Inputs!$B$15)*MIN(Mkt!CG121,CF121*(1+Inputs!$B$18))),CF121)))</f>
        <v>2674.67714422496</v>
      </c>
      <c r="CH121" s="11" t="n">
        <f aca="false">IF(CH$1&lt;Units!$P120,0,IF(AND(Units!$K120=0,CH$1=Units!$O120),Units!$R120,IF(AND(CH$1&gt;=Units!$Q120,MOD(CH$1-Units!$Q120,12)=0),IF(AND(Units!$L120=1,CH$1=Units!$Q120),IF(Units!$J120&lt;&gt;"",Units!$J120,Mkt!CH121),Inputs!$B$15*Mkt!CH121+(1-Inputs!$B$15)*MIN(Mkt!CH121,CG121*(1+Inputs!$B$18))),CG121)))</f>
        <v>2674.67714422496</v>
      </c>
      <c r="CI121" s="11" t="n">
        <f aca="false">IF(CI$1&lt;Units!$P120,0,IF(AND(Units!$K120=0,CI$1=Units!$O120),Units!$R120,IF(AND(CI$1&gt;=Units!$Q120,MOD(CI$1-Units!$Q120,12)=0),IF(AND(Units!$L120=1,CI$1=Units!$Q120),IF(Units!$J120&lt;&gt;"",Units!$J120,Mkt!CI121),Inputs!$B$15*Mkt!CI121+(1-Inputs!$B$15)*MIN(Mkt!CI121,CH121*(1+Inputs!$B$18))),CH121)))</f>
        <v>2754.91745855171</v>
      </c>
      <c r="CJ121" s="11" t="n">
        <f aca="false">IF(CJ$1&lt;Units!$P120,0,IF(AND(Units!$K120=0,CJ$1=Units!$O120),Units!$R120,IF(AND(CJ$1&gt;=Units!$Q120,MOD(CJ$1-Units!$Q120,12)=0),IF(AND(Units!$L120=1,CJ$1=Units!$Q120),IF(Units!$J120&lt;&gt;"",Units!$J120,Mkt!CJ121),Inputs!$B$15*Mkt!CJ121+(1-Inputs!$B$15)*MIN(Mkt!CJ121,CI121*(1+Inputs!$B$18))),CI121)))</f>
        <v>2754.91745855171</v>
      </c>
      <c r="CK121" s="11" t="n">
        <f aca="false">IF(CK$1&lt;Units!$P120,0,IF(AND(Units!$K120=0,CK$1=Units!$O120),Units!$R120,IF(AND(CK$1&gt;=Units!$Q120,MOD(CK$1-Units!$Q120,12)=0),IF(AND(Units!$L120=1,CK$1=Units!$Q120),IF(Units!$J120&lt;&gt;"",Units!$J120,Mkt!CK121),Inputs!$B$15*Mkt!CK121+(1-Inputs!$B$15)*MIN(Mkt!CK121,CJ121*(1+Inputs!$B$18))),CJ121)))</f>
        <v>2754.91745855171</v>
      </c>
      <c r="CL121" s="11" t="n">
        <f aca="false">IF(CL$1&lt;Units!$P120,0,IF(AND(Units!$K120=0,CL$1=Units!$O120),Units!$R120,IF(AND(CL$1&gt;=Units!$Q120,MOD(CL$1-Units!$Q120,12)=0),IF(AND(Units!$L120=1,CL$1=Units!$Q120),IF(Units!$J120&lt;&gt;"",Units!$J120,Mkt!CL121),Inputs!$B$15*Mkt!CL121+(1-Inputs!$B$15)*MIN(Mkt!CL121,CK121*(1+Inputs!$B$18))),CK121)))</f>
        <v>2754.91745855171</v>
      </c>
      <c r="CM121" s="11" t="n">
        <f aca="false">IF(CM$1&lt;Units!$P120,0,IF(AND(Units!$K120=0,CM$1=Units!$O120),Units!$R120,IF(AND(CM$1&gt;=Units!$Q120,MOD(CM$1-Units!$Q120,12)=0),IF(AND(Units!$L120=1,CM$1=Units!$Q120),IF(Units!$J120&lt;&gt;"",Units!$J120,Mkt!CM121),Inputs!$B$15*Mkt!CM121+(1-Inputs!$B$15)*MIN(Mkt!CM121,CL121*(1+Inputs!$B$18))),CL121)))</f>
        <v>2754.91745855171</v>
      </c>
      <c r="CN121" s="11" t="n">
        <f aca="false">IF(CN$1&lt;Units!$P120,0,IF(AND(Units!$K120=0,CN$1=Units!$O120),Units!$R120,IF(AND(CN$1&gt;=Units!$Q120,MOD(CN$1-Units!$Q120,12)=0),IF(AND(Units!$L120=1,CN$1=Units!$Q120),IF(Units!$J120&lt;&gt;"",Units!$J120,Mkt!CN121),Inputs!$B$15*Mkt!CN121+(1-Inputs!$B$15)*MIN(Mkt!CN121,CM121*(1+Inputs!$B$18))),CM121)))</f>
        <v>2754.91745855171</v>
      </c>
      <c r="CO121" s="11" t="n">
        <f aca="false">IF(CO$1&lt;Units!$P120,0,IF(AND(Units!$K120=0,CO$1=Units!$O120),Units!$R120,IF(AND(CO$1&gt;=Units!$Q120,MOD(CO$1-Units!$Q120,12)=0),IF(AND(Units!$L120=1,CO$1=Units!$Q120),IF(Units!$J120&lt;&gt;"",Units!$J120,Mkt!CO121),Inputs!$B$15*Mkt!CO121+(1-Inputs!$B$15)*MIN(Mkt!CO121,CN121*(1+Inputs!$B$18))),CN121)))</f>
        <v>2754.91745855171</v>
      </c>
      <c r="CP121" s="11" t="n">
        <f aca="false">IF(CP$1&lt;Units!$P120,0,IF(AND(Units!$K120=0,CP$1=Units!$O120),Units!$R120,IF(AND(CP$1&gt;=Units!$Q120,MOD(CP$1-Units!$Q120,12)=0),IF(AND(Units!$L120=1,CP$1=Units!$Q120),IF(Units!$J120&lt;&gt;"",Units!$J120,Mkt!CP121),Inputs!$B$15*Mkt!CP121+(1-Inputs!$B$15)*MIN(Mkt!CP121,CO121*(1+Inputs!$B$18))),CO121)))</f>
        <v>2754.91745855171</v>
      </c>
      <c r="CQ121" s="11" t="n">
        <f aca="false">IF(CQ$1&lt;Units!$P120,0,IF(AND(Units!$K120=0,CQ$1=Units!$O120),Units!$R120,IF(AND(CQ$1&gt;=Units!$Q120,MOD(CQ$1-Units!$Q120,12)=0),IF(AND(Units!$L120=1,CQ$1=Units!$Q120),IF(Units!$J120&lt;&gt;"",Units!$J120,Mkt!CQ121),Inputs!$B$15*Mkt!CQ121+(1-Inputs!$B$15)*MIN(Mkt!CQ121,CP121*(1+Inputs!$B$18))),CP121)))</f>
        <v>2754.91745855171</v>
      </c>
      <c r="CR121" s="11" t="n">
        <f aca="false">IF(CR$1&lt;Units!$P120,0,IF(AND(Units!$K120=0,CR$1=Units!$O120),Units!$R120,IF(AND(CR$1&gt;=Units!$Q120,MOD(CR$1-Units!$Q120,12)=0),IF(AND(Units!$L120=1,CR$1=Units!$Q120),IF(Units!$J120&lt;&gt;"",Units!$J120,Mkt!CR121),Inputs!$B$15*Mkt!CR121+(1-Inputs!$B$15)*MIN(Mkt!CR121,CQ121*(1+Inputs!$B$18))),CQ121)))</f>
        <v>2754.91745855171</v>
      </c>
      <c r="CS121" s="11" t="n">
        <f aca="false">IF(CS$1&lt;Units!$P120,0,IF(AND(Units!$K120=0,CS$1=Units!$O120),Units!$R120,IF(AND(CS$1&gt;=Units!$Q120,MOD(CS$1-Units!$Q120,12)=0),IF(AND(Units!$L120=1,CS$1=Units!$Q120),IF(Units!$J120&lt;&gt;"",Units!$J120,Mkt!CS121),Inputs!$B$15*Mkt!CS121+(1-Inputs!$B$15)*MIN(Mkt!CS121,CR121*(1+Inputs!$B$18))),CR121)))</f>
        <v>2754.91745855171</v>
      </c>
      <c r="CT121" s="11" t="n">
        <f aca="false">IF(CT$1&lt;Units!$P120,0,IF(AND(Units!$K120=0,CT$1=Units!$O120),Units!$R120,IF(AND(CT$1&gt;=Units!$Q120,MOD(CT$1-Units!$Q120,12)=0),IF(AND(Units!$L120=1,CT$1=Units!$Q120),IF(Units!$J120&lt;&gt;"",Units!$J120,Mkt!CT121),Inputs!$B$15*Mkt!CT121+(1-Inputs!$B$15)*MIN(Mkt!CT121,CS121*(1+Inputs!$B$18))),CS121)))</f>
        <v>2754.91745855171</v>
      </c>
      <c r="CU121" s="11" t="n">
        <f aca="false">IF(CU$1&lt;Units!$P120,0,IF(AND(Units!$K120=0,CU$1=Units!$O120),Units!$R120,IF(AND(CU$1&gt;=Units!$Q120,MOD(CU$1-Units!$Q120,12)=0),IF(AND(Units!$L120=1,CU$1=Units!$Q120),IF(Units!$J120&lt;&gt;"",Units!$J120,Mkt!CU121),Inputs!$B$15*Mkt!CU121+(1-Inputs!$B$15)*MIN(Mkt!CU121,CT121*(1+Inputs!$B$18))),CT121)))</f>
        <v>2837.56498230826</v>
      </c>
      <c r="CV121" s="11" t="n">
        <f aca="false">IF(CV$1&lt;Units!$P120,0,IF(AND(Units!$K120=0,CV$1=Units!$O120),Units!$R120,IF(AND(CV$1&gt;=Units!$Q120,MOD(CV$1-Units!$Q120,12)=0),IF(AND(Units!$L120=1,CV$1=Units!$Q120),IF(Units!$J120&lt;&gt;"",Units!$J120,Mkt!CV121),Inputs!$B$15*Mkt!CV121+(1-Inputs!$B$15)*MIN(Mkt!CV121,CU121*(1+Inputs!$B$18))),CU121)))</f>
        <v>2837.56498230826</v>
      </c>
      <c r="CW121" s="11" t="n">
        <f aca="false">IF(CW$1&lt;Units!$P120,0,IF(AND(Units!$K120=0,CW$1=Units!$O120),Units!$R120,IF(AND(CW$1&gt;=Units!$Q120,MOD(CW$1-Units!$Q120,12)=0),IF(AND(Units!$L120=1,CW$1=Units!$Q120),IF(Units!$J120&lt;&gt;"",Units!$J120,Mkt!CW121),Inputs!$B$15*Mkt!CW121+(1-Inputs!$B$15)*MIN(Mkt!CW121,CV121*(1+Inputs!$B$18))),CV121)))</f>
        <v>2837.56498230826</v>
      </c>
      <c r="CX121" s="11" t="n">
        <f aca="false">IF(CX$1&lt;Units!$P120,0,IF(AND(Units!$K120=0,CX$1=Units!$O120),Units!$R120,IF(AND(CX$1&gt;=Units!$Q120,MOD(CX$1-Units!$Q120,12)=0),IF(AND(Units!$L120=1,CX$1=Units!$Q120),IF(Units!$J120&lt;&gt;"",Units!$J120,Mkt!CX121),Inputs!$B$15*Mkt!CX121+(1-Inputs!$B$15)*MIN(Mkt!CX121,CW121*(1+Inputs!$B$18))),CW121)))</f>
        <v>2837.56498230826</v>
      </c>
      <c r="CY121" s="11" t="n">
        <f aca="false">IF(CY$1&lt;Units!$P120,0,IF(AND(Units!$K120=0,CY$1=Units!$O120),Units!$R120,IF(AND(CY$1&gt;=Units!$Q120,MOD(CY$1-Units!$Q120,12)=0),IF(AND(Units!$L120=1,CY$1=Units!$Q120),IF(Units!$J120&lt;&gt;"",Units!$J120,Mkt!CY121),Inputs!$B$15*Mkt!CY121+(1-Inputs!$B$15)*MIN(Mkt!CY121,CX121*(1+Inputs!$B$18))),CX121)))</f>
        <v>2837.56498230826</v>
      </c>
      <c r="CZ121" s="11" t="n">
        <f aca="false">IF(CZ$1&lt;Units!$P120,0,IF(AND(Units!$K120=0,CZ$1=Units!$O120),Units!$R120,IF(AND(CZ$1&gt;=Units!$Q120,MOD(CZ$1-Units!$Q120,12)=0),IF(AND(Units!$L120=1,CZ$1=Units!$Q120),IF(Units!$J120&lt;&gt;"",Units!$J120,Mkt!CZ121),Inputs!$B$15*Mkt!CZ121+(1-Inputs!$B$15)*MIN(Mkt!CZ121,CY121*(1+Inputs!$B$18))),CY121)))</f>
        <v>2837.56498230826</v>
      </c>
      <c r="DA121" s="11" t="n">
        <f aca="false">IF(DA$1&lt;Units!$P120,0,IF(AND(Units!$K120=0,DA$1=Units!$O120),Units!$R120,IF(AND(DA$1&gt;=Units!$Q120,MOD(DA$1-Units!$Q120,12)=0),IF(AND(Units!$L120=1,DA$1=Units!$Q120),IF(Units!$J120&lt;&gt;"",Units!$J120,Mkt!DA121),Inputs!$B$15*Mkt!DA121+(1-Inputs!$B$15)*MIN(Mkt!DA121,CZ121*(1+Inputs!$B$18))),CZ121)))</f>
        <v>2837.56498230826</v>
      </c>
      <c r="DB121" s="11" t="n">
        <f aca="false">IF(DB$1&lt;Units!$P120,0,IF(AND(Units!$K120=0,DB$1=Units!$O120),Units!$R120,IF(AND(DB$1&gt;=Units!$Q120,MOD(DB$1-Units!$Q120,12)=0),IF(AND(Units!$L120=1,DB$1=Units!$Q120),IF(Units!$J120&lt;&gt;"",Units!$J120,Mkt!DB121),Inputs!$B$15*Mkt!DB121+(1-Inputs!$B$15)*MIN(Mkt!DB121,DA121*(1+Inputs!$B$18))),DA121)))</f>
        <v>2837.56498230826</v>
      </c>
      <c r="DC121" s="11" t="n">
        <f aca="false">IF(DC$1&lt;Units!$P120,0,IF(AND(Units!$K120=0,DC$1=Units!$O120),Units!$R120,IF(AND(DC$1&gt;=Units!$Q120,MOD(DC$1-Units!$Q120,12)=0),IF(AND(Units!$L120=1,DC$1=Units!$Q120),IF(Units!$J120&lt;&gt;"",Units!$J120,Mkt!DC121),Inputs!$B$15*Mkt!DC121+(1-Inputs!$B$15)*MIN(Mkt!DC121,DB121*(1+Inputs!$B$18))),DB121)))</f>
        <v>2837.56498230826</v>
      </c>
      <c r="DD121" s="11" t="n">
        <f aca="false">IF(DD$1&lt;Units!$P120,0,IF(AND(Units!$K120=0,DD$1=Units!$O120),Units!$R120,IF(AND(DD$1&gt;=Units!$Q120,MOD(DD$1-Units!$Q120,12)=0),IF(AND(Units!$L120=1,DD$1=Units!$Q120),IF(Units!$J120&lt;&gt;"",Units!$J120,Mkt!DD121),Inputs!$B$15*Mkt!DD121+(1-Inputs!$B$15)*MIN(Mkt!DD121,DC121*(1+Inputs!$B$18))),DC121)))</f>
        <v>2837.56498230826</v>
      </c>
      <c r="DE121" s="11" t="n">
        <f aca="false">IF(DE$1&lt;Units!$P120,0,IF(AND(Units!$K120=0,DE$1=Units!$O120),Units!$R120,IF(AND(DE$1&gt;=Units!$Q120,MOD(DE$1-Units!$Q120,12)=0),IF(AND(Units!$L120=1,DE$1=Units!$Q120),IF(Units!$J120&lt;&gt;"",Units!$J120,Mkt!DE121),Inputs!$B$15*Mkt!DE121+(1-Inputs!$B$15)*MIN(Mkt!DE121,DD121*(1+Inputs!$B$18))),DD121)))</f>
        <v>2837.56498230826</v>
      </c>
      <c r="DF121" s="11" t="n">
        <f aca="false">IF(DF$1&lt;Units!$P120,0,IF(AND(Units!$K120=0,DF$1=Units!$O120),Units!$R120,IF(AND(DF$1&gt;=Units!$Q120,MOD(DF$1-Units!$Q120,12)=0),IF(AND(Units!$L120=1,DF$1=Units!$Q120),IF(Units!$J120&lt;&gt;"",Units!$J120,Mkt!DF121),Inputs!$B$15*Mkt!DF121+(1-Inputs!$B$15)*MIN(Mkt!DF121,DE121*(1+Inputs!$B$18))),DE121)))</f>
        <v>2837.56498230826</v>
      </c>
      <c r="DG121" s="11" t="n">
        <f aca="false">IF(DG$1&lt;Units!$P120,0,IF(AND(Units!$K120=0,DG$1=Units!$O120),Units!$R120,IF(AND(DG$1&gt;=Units!$Q120,MOD(DG$1-Units!$Q120,12)=0),IF(AND(Units!$L120=1,DG$1=Units!$Q120),IF(Units!$J120&lt;&gt;"",Units!$J120,Mkt!DG121),Inputs!$B$15*Mkt!DG121+(1-Inputs!$B$15)*MIN(Mkt!DG121,DF121*(1+Inputs!$B$18))),DF121)))</f>
        <v>2922.69193177751</v>
      </c>
      <c r="DH121" s="11" t="n">
        <f aca="false">IF(DH$1&lt;Units!$P120,0,IF(AND(Units!$K120=0,DH$1=Units!$O120),Units!$R120,IF(AND(DH$1&gt;=Units!$Q120,MOD(DH$1-Units!$Q120,12)=0),IF(AND(Units!$L120=1,DH$1=Units!$Q120),IF(Units!$J120&lt;&gt;"",Units!$J120,Mkt!DH121),Inputs!$B$15*Mkt!DH121+(1-Inputs!$B$15)*MIN(Mkt!DH121,DG121*(1+Inputs!$B$18))),DG121)))</f>
        <v>2922.69193177751</v>
      </c>
      <c r="DI121" s="11" t="n">
        <f aca="false">IF(DI$1&lt;Units!$P120,0,IF(AND(Units!$K120=0,DI$1=Units!$O120),Units!$R120,IF(AND(DI$1&gt;=Units!$Q120,MOD(DI$1-Units!$Q120,12)=0),IF(AND(Units!$L120=1,DI$1=Units!$Q120),IF(Units!$J120&lt;&gt;"",Units!$J120,Mkt!DI121),Inputs!$B$15*Mkt!DI121+(1-Inputs!$B$15)*MIN(Mkt!DI121,DH121*(1+Inputs!$B$18))),DH121)))</f>
        <v>2922.69193177751</v>
      </c>
      <c r="DJ121" s="11" t="n">
        <f aca="false">IF(DJ$1&lt;Units!$P120,0,IF(AND(Units!$K120=0,DJ$1=Units!$O120),Units!$R120,IF(AND(DJ$1&gt;=Units!$Q120,MOD(DJ$1-Units!$Q120,12)=0),IF(AND(Units!$L120=1,DJ$1=Units!$Q120),IF(Units!$J120&lt;&gt;"",Units!$J120,Mkt!DJ121),Inputs!$B$15*Mkt!DJ121+(1-Inputs!$B$15)*MIN(Mkt!DJ121,DI121*(1+Inputs!$B$18))),DI121)))</f>
        <v>2922.69193177751</v>
      </c>
      <c r="DK121" s="11" t="n">
        <f aca="false">IF(DK$1&lt;Units!$P120,0,IF(AND(Units!$K120=0,DK$1=Units!$O120),Units!$R120,IF(AND(DK$1&gt;=Units!$Q120,MOD(DK$1-Units!$Q120,12)=0),IF(AND(Units!$L120=1,DK$1=Units!$Q120),IF(Units!$J120&lt;&gt;"",Units!$J120,Mkt!DK121),Inputs!$B$15*Mkt!DK121+(1-Inputs!$B$15)*MIN(Mkt!DK121,DJ121*(1+Inputs!$B$18))),DJ121)))</f>
        <v>2922.69193177751</v>
      </c>
      <c r="DL121" s="11" t="n">
        <f aca="false">IF(DL$1&lt;Units!$P120,0,IF(AND(Units!$K120=0,DL$1=Units!$O120),Units!$R120,IF(AND(DL$1&gt;=Units!$Q120,MOD(DL$1-Units!$Q120,12)=0),IF(AND(Units!$L120=1,DL$1=Units!$Q120),IF(Units!$J120&lt;&gt;"",Units!$J120,Mkt!DL121),Inputs!$B$15*Mkt!DL121+(1-Inputs!$B$15)*MIN(Mkt!DL121,DK121*(1+Inputs!$B$18))),DK121)))</f>
        <v>2922.69193177751</v>
      </c>
      <c r="DM121" s="11" t="n">
        <f aca="false">IF(DM$1&lt;Units!$P120,0,IF(AND(Units!$K120=0,DM$1=Units!$O120),Units!$R120,IF(AND(DM$1&gt;=Units!$Q120,MOD(DM$1-Units!$Q120,12)=0),IF(AND(Units!$L120=1,DM$1=Units!$Q120),IF(Units!$J120&lt;&gt;"",Units!$J120,Mkt!DM121),Inputs!$B$15*Mkt!DM121+(1-Inputs!$B$15)*MIN(Mkt!DM121,DL121*(1+Inputs!$B$18))),DL121)))</f>
        <v>2922.69193177751</v>
      </c>
      <c r="DN121" s="11" t="n">
        <f aca="false">IF(DN$1&lt;Units!$P120,0,IF(AND(Units!$K120=0,DN$1=Units!$O120),Units!$R120,IF(AND(DN$1&gt;=Units!$Q120,MOD(DN$1-Units!$Q120,12)=0),IF(AND(Units!$L120=1,DN$1=Units!$Q120),IF(Units!$J120&lt;&gt;"",Units!$J120,Mkt!DN121),Inputs!$B$15*Mkt!DN121+(1-Inputs!$B$15)*MIN(Mkt!DN121,DM121*(1+Inputs!$B$18))),DM121)))</f>
        <v>2922.69193177751</v>
      </c>
      <c r="DO121" s="11" t="n">
        <f aca="false">IF(DO$1&lt;Units!$P120,0,IF(AND(Units!$K120=0,DO$1=Units!$O120),Units!$R120,IF(AND(DO$1&gt;=Units!$Q120,MOD(DO$1-Units!$Q120,12)=0),IF(AND(Units!$L120=1,DO$1=Units!$Q120),IF(Units!$J120&lt;&gt;"",Units!$J120,Mkt!DO121),Inputs!$B$15*Mkt!DO121+(1-Inputs!$B$15)*MIN(Mkt!DO121,DN121*(1+Inputs!$B$18))),DN121)))</f>
        <v>2922.69193177751</v>
      </c>
      <c r="DP121" s="11" t="n">
        <f aca="false">IF(DP$1&lt;Units!$P120,0,IF(AND(Units!$K120=0,DP$1=Units!$O120),Units!$R120,IF(AND(DP$1&gt;=Units!$Q120,MOD(DP$1-Units!$Q120,12)=0),IF(AND(Units!$L120=1,DP$1=Units!$Q120),IF(Units!$J120&lt;&gt;"",Units!$J120,Mkt!DP121),Inputs!$B$15*Mkt!DP121+(1-Inputs!$B$15)*MIN(Mkt!DP121,DO121*(1+Inputs!$B$18))),DO121)))</f>
        <v>2922.69193177751</v>
      </c>
      <c r="DQ121" s="11" t="n">
        <f aca="false">IF(DQ$1&lt;Units!$P120,0,IF(AND(Units!$K120=0,DQ$1=Units!$O120),Units!$R120,IF(AND(DQ$1&gt;=Units!$Q120,MOD(DQ$1-Units!$Q120,12)=0),IF(AND(Units!$L120=1,DQ$1=Units!$Q120),IF(Units!$J120&lt;&gt;"",Units!$J120,Mkt!DQ121),Inputs!$B$15*Mkt!DQ121+(1-Inputs!$B$15)*MIN(Mkt!DQ121,DP121*(1+Inputs!$B$18))),DP121)))</f>
        <v>2922.69193177751</v>
      </c>
      <c r="DR121" s="11" t="n">
        <f aca="false">IF(DR$1&lt;Units!$P120,0,IF(AND(Units!$K120=0,DR$1=Units!$O120),Units!$R120,IF(AND(DR$1&gt;=Units!$Q120,MOD(DR$1-Units!$Q120,12)=0),IF(AND(Units!$L120=1,DR$1=Units!$Q120),IF(Units!$J120&lt;&gt;"",Units!$J120,Mkt!DR121),Inputs!$B$15*Mkt!DR121+(1-Inputs!$B$15)*MIN(Mkt!DR121,DQ121*(1+Inputs!$B$18))),DQ121)))</f>
        <v>2922.69193177751</v>
      </c>
      <c r="DS121" s="11" t="n">
        <f aca="false">IF(DS$1&lt;Units!$P120,0,IF(AND(Units!$K120=0,DS$1=Units!$O120),Units!$R120,IF(AND(DS$1&gt;=Units!$Q120,MOD(DS$1-Units!$Q120,12)=0),IF(AND(Units!$L120=1,DS$1=Units!$Q120),IF(Units!$J120&lt;&gt;"",Units!$J120,Mkt!DS121),Inputs!$B$15*Mkt!DS121+(1-Inputs!$B$15)*MIN(Mkt!DS121,DR121*(1+Inputs!$B$18))),DR121)))</f>
        <v>3010.37268973083</v>
      </c>
      <c r="DT121" s="11" t="n">
        <f aca="false">IF(DT$1&lt;Units!$P120,0,IF(AND(Units!$K120=0,DT$1=Units!$O120),Units!$R120,IF(AND(DT$1&gt;=Units!$Q120,MOD(DT$1-Units!$Q120,12)=0),IF(AND(Units!$L120=1,DT$1=Units!$Q120),IF(Units!$J120&lt;&gt;"",Units!$J120,Mkt!DT121),Inputs!$B$15*Mkt!DT121+(1-Inputs!$B$15)*MIN(Mkt!DT121,DS121*(1+Inputs!$B$18))),DS121)))</f>
        <v>3010.37268973083</v>
      </c>
      <c r="DU121" s="11" t="n">
        <f aca="false">IF(DU$1&lt;Units!$P120,0,IF(AND(Units!$K120=0,DU$1=Units!$O120),Units!$R120,IF(AND(DU$1&gt;=Units!$Q120,MOD(DU$1-Units!$Q120,12)=0),IF(AND(Units!$L120=1,DU$1=Units!$Q120),IF(Units!$J120&lt;&gt;"",Units!$J120,Mkt!DU121),Inputs!$B$15*Mkt!DU121+(1-Inputs!$B$15)*MIN(Mkt!DU121,DT121*(1+Inputs!$B$18))),DT121)))</f>
        <v>3010.37268973083</v>
      </c>
      <c r="DV121" s="11" t="n">
        <f aca="false">IF(DV$1&lt;Units!$P120,0,IF(AND(Units!$K120=0,DV$1=Units!$O120),Units!$R120,IF(AND(DV$1&gt;=Units!$Q120,MOD(DV$1-Units!$Q120,12)=0),IF(AND(Units!$L120=1,DV$1=Units!$Q120),IF(Units!$J120&lt;&gt;"",Units!$J120,Mkt!DV121),Inputs!$B$15*Mkt!DV121+(1-Inputs!$B$15)*MIN(Mkt!DV121,DU121*(1+Inputs!$B$18))),DU121)))</f>
        <v>3010.37268973083</v>
      </c>
      <c r="DW121" s="11" t="n">
        <f aca="false">IF(DW$1&lt;Units!$P120,0,IF(AND(Units!$K120=0,DW$1=Units!$O120),Units!$R120,IF(AND(DW$1&gt;=Units!$Q120,MOD(DW$1-Units!$Q120,12)=0),IF(AND(Units!$L120=1,DW$1=Units!$Q120),IF(Units!$J120&lt;&gt;"",Units!$J120,Mkt!DW121),Inputs!$B$15*Mkt!DW121+(1-Inputs!$B$15)*MIN(Mkt!DW121,DV121*(1+Inputs!$B$18))),DV121)))</f>
        <v>3010.37268973083</v>
      </c>
      <c r="DX121" s="11" t="n">
        <f aca="false">IF(DX$1&lt;Units!$P120,0,IF(AND(Units!$K120=0,DX$1=Units!$O120),Units!$R120,IF(AND(DX$1&gt;=Units!$Q120,MOD(DX$1-Units!$Q120,12)=0),IF(AND(Units!$L120=1,DX$1=Units!$Q120),IF(Units!$J120&lt;&gt;"",Units!$J120,Mkt!DX121),Inputs!$B$15*Mkt!DX121+(1-Inputs!$B$15)*MIN(Mkt!DX121,DW121*(1+Inputs!$B$18))),DW121)))</f>
        <v>3010.37268973083</v>
      </c>
      <c r="DY121" s="11" t="n">
        <f aca="false">IF(DY$1&lt;Units!$P120,0,IF(AND(Units!$K120=0,DY$1=Units!$O120),Units!$R120,IF(AND(DY$1&gt;=Units!$Q120,MOD(DY$1-Units!$Q120,12)=0),IF(AND(Units!$L120=1,DY$1=Units!$Q120),IF(Units!$J120&lt;&gt;"",Units!$J120,Mkt!DY121),Inputs!$B$15*Mkt!DY121+(1-Inputs!$B$15)*MIN(Mkt!DY121,DX121*(1+Inputs!$B$18))),DX121)))</f>
        <v>3010.37268973083</v>
      </c>
      <c r="DZ121" s="11" t="n">
        <f aca="false">IF(DZ$1&lt;Units!$P120,0,IF(AND(Units!$K120=0,DZ$1=Units!$O120),Units!$R120,IF(AND(DZ$1&gt;=Units!$Q120,MOD(DZ$1-Units!$Q120,12)=0),IF(AND(Units!$L120=1,DZ$1=Units!$Q120),IF(Units!$J120&lt;&gt;"",Units!$J120,Mkt!DZ121),Inputs!$B$15*Mkt!DZ121+(1-Inputs!$B$15)*MIN(Mkt!DZ121,DY121*(1+Inputs!$B$18))),DY121)))</f>
        <v>3010.37268973083</v>
      </c>
      <c r="EA121" s="11" t="n">
        <f aca="false">IF(EA$1&lt;Units!$P120,0,IF(AND(Units!$K120=0,EA$1=Units!$O120),Units!$R120,IF(AND(EA$1&gt;=Units!$Q120,MOD(EA$1-Units!$Q120,12)=0),IF(AND(Units!$L120=1,EA$1=Units!$Q120),IF(Units!$J120&lt;&gt;"",Units!$J120,Mkt!EA121),Inputs!$B$15*Mkt!EA121+(1-Inputs!$B$15)*MIN(Mkt!EA121,DZ121*(1+Inputs!$B$18))),DZ121)))</f>
        <v>3010.37268973083</v>
      </c>
      <c r="EB121" s="11" t="n">
        <f aca="false">IF(EB$1&lt;Units!$P120,0,IF(AND(Units!$K120=0,EB$1=Units!$O120),Units!$R120,IF(AND(EB$1&gt;=Units!$Q120,MOD(EB$1-Units!$Q120,12)=0),IF(AND(Units!$L120=1,EB$1=Units!$Q120),IF(Units!$J120&lt;&gt;"",Units!$J120,Mkt!EB121),Inputs!$B$15*Mkt!EB121+(1-Inputs!$B$15)*MIN(Mkt!EB121,EA121*(1+Inputs!$B$18))),EA121)))</f>
        <v>3010.37268973083</v>
      </c>
      <c r="EC121" s="11" t="n">
        <f aca="false">IF(EC$1&lt;Units!$P120,0,IF(AND(Units!$K120=0,EC$1=Units!$O120),Units!$R120,IF(AND(EC$1&gt;=Units!$Q120,MOD(EC$1-Units!$Q120,12)=0),IF(AND(Units!$L120=1,EC$1=Units!$Q120),IF(Units!$J120&lt;&gt;"",Units!$J120,Mkt!EC121),Inputs!$B$15*Mkt!EC121+(1-Inputs!$B$15)*MIN(Mkt!EC121,EB121*(1+Inputs!$B$18))),EB121)))</f>
        <v>3010.37268973083</v>
      </c>
      <c r="ED121" s="11" t="n">
        <f aca="false">IF(ED$1&lt;Units!$P120,0,IF(AND(Units!$K120=0,ED$1=Units!$O120),Units!$R120,IF(AND(ED$1&gt;=Units!$Q120,MOD(ED$1-Units!$Q120,12)=0),IF(AND(Units!$L120=1,ED$1=Units!$Q120),IF(Units!$J120&lt;&gt;"",Units!$J120,Mkt!ED121),Inputs!$B$15*Mkt!ED121+(1-Inputs!$B$15)*MIN(Mkt!ED121,EC121*(1+Inputs!$B$18))),EC121)))</f>
        <v>3010.37268973083</v>
      </c>
    </row>
    <row r="122" customFormat="false" ht="15" hidden="false" customHeight="false" outlineLevel="0" collapsed="false">
      <c r="A122" s="22" t="n">
        <f aca="false">Units!A121</f>
        <v>430</v>
      </c>
      <c r="B122" s="24" t="n">
        <f aca="false">IF(Units!K121=1,Units!F121,0)</f>
        <v>2325</v>
      </c>
      <c r="C122" s="11" t="n">
        <f aca="false">IF(C$1&lt;Units!$P121,0,IF(AND(Units!$K121=0,C$1=Units!$O121),Units!$R121,IF(AND(C$1&gt;=Units!$Q121,MOD(C$1-Units!$Q121,12)=0),IF(AND(Units!$L121=1,C$1=Units!$Q121),IF(Units!$J121&lt;&gt;"",Units!$J121,Mkt!C122),Inputs!$B$15*Mkt!C122+(1-Inputs!$B$15)*MIN(Mkt!C122,B122*(1+Inputs!$B$18))),B122)))</f>
        <v>2325</v>
      </c>
      <c r="D122" s="11" t="n">
        <f aca="false">IF(D$1&lt;Units!$P121,0,IF(AND(Units!$K121=0,D$1=Units!$O121),Units!$R121,IF(AND(D$1&gt;=Units!$Q121,MOD(D$1-Units!$Q121,12)=0),IF(AND(Units!$L121=1,D$1=Units!$Q121),IF(Units!$J121&lt;&gt;"",Units!$J121,Mkt!D122),Inputs!$B$15*Mkt!D122+(1-Inputs!$B$15)*MIN(Mkt!D122,C122*(1+Inputs!$B$18))),C122)))</f>
        <v>2325</v>
      </c>
      <c r="E122" s="11" t="n">
        <f aca="false">IF(E$1&lt;Units!$P121,0,IF(AND(Units!$K121=0,E$1=Units!$O121),Units!$R121,IF(AND(E$1&gt;=Units!$Q121,MOD(E$1-Units!$Q121,12)=0),IF(AND(Units!$L121=1,E$1=Units!$Q121),IF(Units!$J121&lt;&gt;"",Units!$J121,Mkt!E122),Inputs!$B$15*Mkt!E122+(1-Inputs!$B$15)*MIN(Mkt!E122,D122*(1+Inputs!$B$18))),D122)))</f>
        <v>2325</v>
      </c>
      <c r="F122" s="11" t="n">
        <f aca="false">IF(F$1&lt;Units!$P121,0,IF(AND(Units!$K121=0,F$1=Units!$O121),Units!$R121,IF(AND(F$1&gt;=Units!$Q121,MOD(F$1-Units!$Q121,12)=0),IF(AND(Units!$L121=1,F$1=Units!$Q121),IF(Units!$J121&lt;&gt;"",Units!$J121,Mkt!F122),Inputs!$B$15*Mkt!F122+(1-Inputs!$B$15)*MIN(Mkt!F122,E122*(1+Inputs!$B$18))),E122)))</f>
        <v>2325</v>
      </c>
      <c r="G122" s="11" t="n">
        <f aca="false">IF(G$1&lt;Units!$P121,0,IF(AND(Units!$K121=0,G$1=Units!$O121),Units!$R121,IF(AND(G$1&gt;=Units!$Q121,MOD(G$1-Units!$Q121,12)=0),IF(AND(Units!$L121=1,G$1=Units!$Q121),IF(Units!$J121&lt;&gt;"",Units!$J121,Mkt!G122),Inputs!$B$15*Mkt!G122+(1-Inputs!$B$15)*MIN(Mkt!G122,F122*(1+Inputs!$B$18))),F122)))</f>
        <v>2325</v>
      </c>
      <c r="H122" s="11" t="n">
        <f aca="false">IF(H$1&lt;Units!$P121,0,IF(AND(Units!$K121=0,H$1=Units!$O121),Units!$R121,IF(AND(H$1&gt;=Units!$Q121,MOD(H$1-Units!$Q121,12)=0),IF(AND(Units!$L121=1,H$1=Units!$Q121),IF(Units!$J121&lt;&gt;"",Units!$J121,Mkt!H122),Inputs!$B$15*Mkt!H122+(1-Inputs!$B$15)*MIN(Mkt!H122,G122*(1+Inputs!$B$18))),G122)))</f>
        <v>2325</v>
      </c>
      <c r="I122" s="11" t="n">
        <f aca="false">IF(I$1&lt;Units!$P121,0,IF(AND(Units!$K121=0,I$1=Units!$O121),Units!$R121,IF(AND(I$1&gt;=Units!$Q121,MOD(I$1-Units!$Q121,12)=0),IF(AND(Units!$L121=1,I$1=Units!$Q121),IF(Units!$J121&lt;&gt;"",Units!$J121,Mkt!I122),Inputs!$B$15*Mkt!I122+(1-Inputs!$B$15)*MIN(Mkt!I122,H122*(1+Inputs!$B$18))),H122)))</f>
        <v>2325</v>
      </c>
      <c r="J122" s="11" t="n">
        <f aca="false">IF(J$1&lt;Units!$P121,0,IF(AND(Units!$K121=0,J$1=Units!$O121),Units!$R121,IF(AND(J$1&gt;=Units!$Q121,MOD(J$1-Units!$Q121,12)=0),IF(AND(Units!$L121=1,J$1=Units!$Q121),IF(Units!$J121&lt;&gt;"",Units!$J121,Mkt!J122),Inputs!$B$15*Mkt!J122+(1-Inputs!$B$15)*MIN(Mkt!J122,I122*(1+Inputs!$B$18))),I122)))</f>
        <v>2325</v>
      </c>
      <c r="K122" s="11" t="n">
        <f aca="false">IF(K$1&lt;Units!$P121,0,IF(AND(Units!$K121=0,K$1=Units!$O121),Units!$R121,IF(AND(K$1&gt;=Units!$Q121,MOD(K$1-Units!$Q121,12)=0),IF(AND(Units!$L121=1,K$1=Units!$Q121),IF(Units!$J121&lt;&gt;"",Units!$J121,Mkt!K122),Inputs!$B$15*Mkt!K122+(1-Inputs!$B$15)*MIN(Mkt!K122,J122*(1+Inputs!$B$18))),J122)))</f>
        <v>2325</v>
      </c>
      <c r="L122" s="11" t="n">
        <f aca="false">IF(L$1&lt;Units!$P121,0,IF(AND(Units!$K121=0,L$1=Units!$O121),Units!$R121,IF(AND(L$1&gt;=Units!$Q121,MOD(L$1-Units!$Q121,12)=0),IF(AND(Units!$L121=1,L$1=Units!$Q121),IF(Units!$J121&lt;&gt;"",Units!$J121,Mkt!L122),Inputs!$B$15*Mkt!L122+(1-Inputs!$B$15)*MIN(Mkt!L122,K122*(1+Inputs!$B$18))),K122)))</f>
        <v>2240</v>
      </c>
      <c r="M122" s="11" t="n">
        <f aca="false">IF(M$1&lt;Units!$P121,0,IF(AND(Units!$K121=0,M$1=Units!$O121),Units!$R121,IF(AND(M$1&gt;=Units!$Q121,MOD(M$1-Units!$Q121,12)=0),IF(AND(Units!$L121=1,M$1=Units!$Q121),IF(Units!$J121&lt;&gt;"",Units!$J121,Mkt!M122),Inputs!$B$15*Mkt!M122+(1-Inputs!$B$15)*MIN(Mkt!M122,L122*(1+Inputs!$B$18))),L122)))</f>
        <v>2240</v>
      </c>
      <c r="N122" s="11" t="n">
        <f aca="false">IF(N$1&lt;Units!$P121,0,IF(AND(Units!$K121=0,N$1=Units!$O121),Units!$R121,IF(AND(N$1&gt;=Units!$Q121,MOD(N$1-Units!$Q121,12)=0),IF(AND(Units!$L121=1,N$1=Units!$Q121),IF(Units!$J121&lt;&gt;"",Units!$J121,Mkt!N122),Inputs!$B$15*Mkt!N122+(1-Inputs!$B$15)*MIN(Mkt!N122,M122*(1+Inputs!$B$18))),M122)))</f>
        <v>2240</v>
      </c>
      <c r="O122" s="11" t="n">
        <f aca="false">IF(O$1&lt;Units!$P121,0,IF(AND(Units!$K121=0,O$1=Units!$O121),Units!$R121,IF(AND(O$1&gt;=Units!$Q121,MOD(O$1-Units!$Q121,12)=0),IF(AND(Units!$L121=1,O$1=Units!$Q121),IF(Units!$J121&lt;&gt;"",Units!$J121,Mkt!O122),Inputs!$B$15*Mkt!O122+(1-Inputs!$B$15)*MIN(Mkt!O122,N122*(1+Inputs!$B$18))),N122)))</f>
        <v>2240</v>
      </c>
      <c r="P122" s="11" t="n">
        <f aca="false">IF(P$1&lt;Units!$P121,0,IF(AND(Units!$K121=0,P$1=Units!$O121),Units!$R121,IF(AND(P$1&gt;=Units!$Q121,MOD(P$1-Units!$Q121,12)=0),IF(AND(Units!$L121=1,P$1=Units!$Q121),IF(Units!$J121&lt;&gt;"",Units!$J121,Mkt!P122),Inputs!$B$15*Mkt!P122+(1-Inputs!$B$15)*MIN(Mkt!P122,O122*(1+Inputs!$B$18))),O122)))</f>
        <v>2240</v>
      </c>
      <c r="Q122" s="11" t="n">
        <f aca="false">IF(Q$1&lt;Units!$P121,0,IF(AND(Units!$K121=0,Q$1=Units!$O121),Units!$R121,IF(AND(Q$1&gt;=Units!$Q121,MOD(Q$1-Units!$Q121,12)=0),IF(AND(Units!$L121=1,Q$1=Units!$Q121),IF(Units!$J121&lt;&gt;"",Units!$J121,Mkt!Q122),Inputs!$B$15*Mkt!Q122+(1-Inputs!$B$15)*MIN(Mkt!Q122,P122*(1+Inputs!$B$18))),P122)))</f>
        <v>2240</v>
      </c>
      <c r="R122" s="11" t="n">
        <f aca="false">IF(R$1&lt;Units!$P121,0,IF(AND(Units!$K121=0,R$1=Units!$O121),Units!$R121,IF(AND(R$1&gt;=Units!$Q121,MOD(R$1-Units!$Q121,12)=0),IF(AND(Units!$L121=1,R$1=Units!$Q121),IF(Units!$J121&lt;&gt;"",Units!$J121,Mkt!R122),Inputs!$B$15*Mkt!R122+(1-Inputs!$B$15)*MIN(Mkt!R122,Q122*(1+Inputs!$B$18))),Q122)))</f>
        <v>2240</v>
      </c>
      <c r="S122" s="11" t="n">
        <f aca="false">IF(S$1&lt;Units!$P121,0,IF(AND(Units!$K121=0,S$1=Units!$O121),Units!$R121,IF(AND(S$1&gt;=Units!$Q121,MOD(S$1-Units!$Q121,12)=0),IF(AND(Units!$L121=1,S$1=Units!$Q121),IF(Units!$J121&lt;&gt;"",Units!$J121,Mkt!S122),Inputs!$B$15*Mkt!S122+(1-Inputs!$B$15)*MIN(Mkt!S122,R122*(1+Inputs!$B$18))),R122)))</f>
        <v>2240</v>
      </c>
      <c r="T122" s="11" t="n">
        <f aca="false">IF(T$1&lt;Units!$P121,0,IF(AND(Units!$K121=0,T$1=Units!$O121),Units!$R121,IF(AND(T$1&gt;=Units!$Q121,MOD(T$1-Units!$Q121,12)=0),IF(AND(Units!$L121=1,T$1=Units!$Q121),IF(Units!$J121&lt;&gt;"",Units!$J121,Mkt!T122),Inputs!$B$15*Mkt!T122+(1-Inputs!$B$15)*MIN(Mkt!T122,S122*(1+Inputs!$B$18))),S122)))</f>
        <v>2240</v>
      </c>
      <c r="U122" s="11" t="n">
        <f aca="false">IF(U$1&lt;Units!$P121,0,IF(AND(Units!$K121=0,U$1=Units!$O121),Units!$R121,IF(AND(U$1&gt;=Units!$Q121,MOD(U$1-Units!$Q121,12)=0),IF(AND(Units!$L121=1,U$1=Units!$Q121),IF(Units!$J121&lt;&gt;"",Units!$J121,Mkt!U122),Inputs!$B$15*Mkt!U122+(1-Inputs!$B$15)*MIN(Mkt!U122,T122*(1+Inputs!$B$18))),T122)))</f>
        <v>2240</v>
      </c>
      <c r="V122" s="11" t="n">
        <f aca="false">IF(V$1&lt;Units!$P121,0,IF(AND(Units!$K121=0,V$1=Units!$O121),Units!$R121,IF(AND(V$1&gt;=Units!$Q121,MOD(V$1-Units!$Q121,12)=0),IF(AND(Units!$L121=1,V$1=Units!$Q121),IF(Units!$J121&lt;&gt;"",Units!$J121,Mkt!V122),Inputs!$B$15*Mkt!V122+(1-Inputs!$B$15)*MIN(Mkt!V122,U122*(1+Inputs!$B$18))),U122)))</f>
        <v>2240</v>
      </c>
      <c r="W122" s="11" t="n">
        <f aca="false">IF(W$1&lt;Units!$P121,0,IF(AND(Units!$K121=0,W$1=Units!$O121),Units!$R121,IF(AND(W$1&gt;=Units!$Q121,MOD(W$1-Units!$Q121,12)=0),IF(AND(Units!$L121=1,W$1=Units!$Q121),IF(Units!$J121&lt;&gt;"",Units!$J121,Mkt!W122),Inputs!$B$15*Mkt!W122+(1-Inputs!$B$15)*MIN(Mkt!W122,V122*(1+Inputs!$B$18))),V122)))</f>
        <v>2240</v>
      </c>
      <c r="X122" s="11" t="n">
        <f aca="false">IF(X$1&lt;Units!$P121,0,IF(AND(Units!$K121=0,X$1=Units!$O121),Units!$R121,IF(AND(X$1&gt;=Units!$Q121,MOD(X$1-Units!$Q121,12)=0),IF(AND(Units!$L121=1,X$1=Units!$Q121),IF(Units!$J121&lt;&gt;"",Units!$J121,Mkt!X122),Inputs!$B$15*Mkt!X122+(1-Inputs!$B$15)*MIN(Mkt!X122,W122*(1+Inputs!$B$18))),W122)))</f>
        <v>2307.2</v>
      </c>
      <c r="Y122" s="11" t="n">
        <f aca="false">IF(Y$1&lt;Units!$P121,0,IF(AND(Units!$K121=0,Y$1=Units!$O121),Units!$R121,IF(AND(Y$1&gt;=Units!$Q121,MOD(Y$1-Units!$Q121,12)=0),IF(AND(Units!$L121=1,Y$1=Units!$Q121),IF(Units!$J121&lt;&gt;"",Units!$J121,Mkt!Y122),Inputs!$B$15*Mkt!Y122+(1-Inputs!$B$15)*MIN(Mkt!Y122,X122*(1+Inputs!$B$18))),X122)))</f>
        <v>2307.2</v>
      </c>
      <c r="Z122" s="11" t="n">
        <f aca="false">IF(Z$1&lt;Units!$P121,0,IF(AND(Units!$K121=0,Z$1=Units!$O121),Units!$R121,IF(AND(Z$1&gt;=Units!$Q121,MOD(Z$1-Units!$Q121,12)=0),IF(AND(Units!$L121=1,Z$1=Units!$Q121),IF(Units!$J121&lt;&gt;"",Units!$J121,Mkt!Z122),Inputs!$B$15*Mkt!Z122+(1-Inputs!$B$15)*MIN(Mkt!Z122,Y122*(1+Inputs!$B$18))),Y122)))</f>
        <v>2307.2</v>
      </c>
      <c r="AA122" s="11" t="n">
        <f aca="false">IF(AA$1&lt;Units!$P121,0,IF(AND(Units!$K121=0,AA$1=Units!$O121),Units!$R121,IF(AND(AA$1&gt;=Units!$Q121,MOD(AA$1-Units!$Q121,12)=0),IF(AND(Units!$L121=1,AA$1=Units!$Q121),IF(Units!$J121&lt;&gt;"",Units!$J121,Mkt!AA122),Inputs!$B$15*Mkt!AA122+(1-Inputs!$B$15)*MIN(Mkt!AA122,Z122*(1+Inputs!$B$18))),Z122)))</f>
        <v>2307.2</v>
      </c>
      <c r="AB122" s="11" t="n">
        <f aca="false">IF(AB$1&lt;Units!$P121,0,IF(AND(Units!$K121=0,AB$1=Units!$O121),Units!$R121,IF(AND(AB$1&gt;=Units!$Q121,MOD(AB$1-Units!$Q121,12)=0),IF(AND(Units!$L121=1,AB$1=Units!$Q121),IF(Units!$J121&lt;&gt;"",Units!$J121,Mkt!AB122),Inputs!$B$15*Mkt!AB122+(1-Inputs!$B$15)*MIN(Mkt!AB122,AA122*(1+Inputs!$B$18))),AA122)))</f>
        <v>2307.2</v>
      </c>
      <c r="AC122" s="11" t="n">
        <f aca="false">IF(AC$1&lt;Units!$P121,0,IF(AND(Units!$K121=0,AC$1=Units!$O121),Units!$R121,IF(AND(AC$1&gt;=Units!$Q121,MOD(AC$1-Units!$Q121,12)=0),IF(AND(Units!$L121=1,AC$1=Units!$Q121),IF(Units!$J121&lt;&gt;"",Units!$J121,Mkt!AC122),Inputs!$B$15*Mkt!AC122+(1-Inputs!$B$15)*MIN(Mkt!AC122,AB122*(1+Inputs!$B$18))),AB122)))</f>
        <v>2307.2</v>
      </c>
      <c r="AD122" s="11" t="n">
        <f aca="false">IF(AD$1&lt;Units!$P121,0,IF(AND(Units!$K121=0,AD$1=Units!$O121),Units!$R121,IF(AND(AD$1&gt;=Units!$Q121,MOD(AD$1-Units!$Q121,12)=0),IF(AND(Units!$L121=1,AD$1=Units!$Q121),IF(Units!$J121&lt;&gt;"",Units!$J121,Mkt!AD122),Inputs!$B$15*Mkt!AD122+(1-Inputs!$B$15)*MIN(Mkt!AD122,AC122*(1+Inputs!$B$18))),AC122)))</f>
        <v>2307.2</v>
      </c>
      <c r="AE122" s="11" t="n">
        <f aca="false">IF(AE$1&lt;Units!$P121,0,IF(AND(Units!$K121=0,AE$1=Units!$O121),Units!$R121,IF(AND(AE$1&gt;=Units!$Q121,MOD(AE$1-Units!$Q121,12)=0),IF(AND(Units!$L121=1,AE$1=Units!$Q121),IF(Units!$J121&lt;&gt;"",Units!$J121,Mkt!AE122),Inputs!$B$15*Mkt!AE122+(1-Inputs!$B$15)*MIN(Mkt!AE122,AD122*(1+Inputs!$B$18))),AD122)))</f>
        <v>2307.2</v>
      </c>
      <c r="AF122" s="11" t="n">
        <f aca="false">IF(AF$1&lt;Units!$P121,0,IF(AND(Units!$K121=0,AF$1=Units!$O121),Units!$R121,IF(AND(AF$1&gt;=Units!$Q121,MOD(AF$1-Units!$Q121,12)=0),IF(AND(Units!$L121=1,AF$1=Units!$Q121),IF(Units!$J121&lt;&gt;"",Units!$J121,Mkt!AF122),Inputs!$B$15*Mkt!AF122+(1-Inputs!$B$15)*MIN(Mkt!AF122,AE122*(1+Inputs!$B$18))),AE122)))</f>
        <v>2307.2</v>
      </c>
      <c r="AG122" s="11" t="n">
        <f aca="false">IF(AG$1&lt;Units!$P121,0,IF(AND(Units!$K121=0,AG$1=Units!$O121),Units!$R121,IF(AND(AG$1&gt;=Units!$Q121,MOD(AG$1-Units!$Q121,12)=0),IF(AND(Units!$L121=1,AG$1=Units!$Q121),IF(Units!$J121&lt;&gt;"",Units!$J121,Mkt!AG122),Inputs!$B$15*Mkt!AG122+(1-Inputs!$B$15)*MIN(Mkt!AG122,AF122*(1+Inputs!$B$18))),AF122)))</f>
        <v>2307.2</v>
      </c>
      <c r="AH122" s="11" t="n">
        <f aca="false">IF(AH$1&lt;Units!$P121,0,IF(AND(Units!$K121=0,AH$1=Units!$O121),Units!$R121,IF(AND(AH$1&gt;=Units!$Q121,MOD(AH$1-Units!$Q121,12)=0),IF(AND(Units!$L121=1,AH$1=Units!$Q121),IF(Units!$J121&lt;&gt;"",Units!$J121,Mkt!AH122),Inputs!$B$15*Mkt!AH122+(1-Inputs!$B$15)*MIN(Mkt!AH122,AG122*(1+Inputs!$B$18))),AG122)))</f>
        <v>2307.2</v>
      </c>
      <c r="AI122" s="11" t="n">
        <f aca="false">IF(AI$1&lt;Units!$P121,0,IF(AND(Units!$K121=0,AI$1=Units!$O121),Units!$R121,IF(AND(AI$1&gt;=Units!$Q121,MOD(AI$1-Units!$Q121,12)=0),IF(AND(Units!$L121=1,AI$1=Units!$Q121),IF(Units!$J121&lt;&gt;"",Units!$J121,Mkt!AI122),Inputs!$B$15*Mkt!AI122+(1-Inputs!$B$15)*MIN(Mkt!AI122,AH122*(1+Inputs!$B$18))),AH122)))</f>
        <v>2307.2</v>
      </c>
      <c r="AJ122" s="11" t="n">
        <f aca="false">IF(AJ$1&lt;Units!$P121,0,IF(AND(Units!$K121=0,AJ$1=Units!$O121),Units!$R121,IF(AND(AJ$1&gt;=Units!$Q121,MOD(AJ$1-Units!$Q121,12)=0),IF(AND(Units!$L121=1,AJ$1=Units!$Q121),IF(Units!$J121&lt;&gt;"",Units!$J121,Mkt!AJ122),Inputs!$B$15*Mkt!AJ122+(1-Inputs!$B$15)*MIN(Mkt!AJ122,AI122*(1+Inputs!$B$18))),AI122)))</f>
        <v>2376.416</v>
      </c>
      <c r="AK122" s="11" t="n">
        <f aca="false">IF(AK$1&lt;Units!$P121,0,IF(AND(Units!$K121=0,AK$1=Units!$O121),Units!$R121,IF(AND(AK$1&gt;=Units!$Q121,MOD(AK$1-Units!$Q121,12)=0),IF(AND(Units!$L121=1,AK$1=Units!$Q121),IF(Units!$J121&lt;&gt;"",Units!$J121,Mkt!AK122),Inputs!$B$15*Mkt!AK122+(1-Inputs!$B$15)*MIN(Mkt!AK122,AJ122*(1+Inputs!$B$18))),AJ122)))</f>
        <v>2376.416</v>
      </c>
      <c r="AL122" s="11" t="n">
        <f aca="false">IF(AL$1&lt;Units!$P121,0,IF(AND(Units!$K121=0,AL$1=Units!$O121),Units!$R121,IF(AND(AL$1&gt;=Units!$Q121,MOD(AL$1-Units!$Q121,12)=0),IF(AND(Units!$L121=1,AL$1=Units!$Q121),IF(Units!$J121&lt;&gt;"",Units!$J121,Mkt!AL122),Inputs!$B$15*Mkt!AL122+(1-Inputs!$B$15)*MIN(Mkt!AL122,AK122*(1+Inputs!$B$18))),AK122)))</f>
        <v>2376.416</v>
      </c>
      <c r="AM122" s="11" t="n">
        <f aca="false">IF(AM$1&lt;Units!$P121,0,IF(AND(Units!$K121=0,AM$1=Units!$O121),Units!$R121,IF(AND(AM$1&gt;=Units!$Q121,MOD(AM$1-Units!$Q121,12)=0),IF(AND(Units!$L121=1,AM$1=Units!$Q121),IF(Units!$J121&lt;&gt;"",Units!$J121,Mkt!AM122),Inputs!$B$15*Mkt!AM122+(1-Inputs!$B$15)*MIN(Mkt!AM122,AL122*(1+Inputs!$B$18))),AL122)))</f>
        <v>2376.416</v>
      </c>
      <c r="AN122" s="11" t="n">
        <f aca="false">IF(AN$1&lt;Units!$P121,0,IF(AND(Units!$K121=0,AN$1=Units!$O121),Units!$R121,IF(AND(AN$1&gt;=Units!$Q121,MOD(AN$1-Units!$Q121,12)=0),IF(AND(Units!$L121=1,AN$1=Units!$Q121),IF(Units!$J121&lt;&gt;"",Units!$J121,Mkt!AN122),Inputs!$B$15*Mkt!AN122+(1-Inputs!$B$15)*MIN(Mkt!AN122,AM122*(1+Inputs!$B$18))),AM122)))</f>
        <v>2376.416</v>
      </c>
      <c r="AO122" s="11" t="n">
        <f aca="false">IF(AO$1&lt;Units!$P121,0,IF(AND(Units!$K121=0,AO$1=Units!$O121),Units!$R121,IF(AND(AO$1&gt;=Units!$Q121,MOD(AO$1-Units!$Q121,12)=0),IF(AND(Units!$L121=1,AO$1=Units!$Q121),IF(Units!$J121&lt;&gt;"",Units!$J121,Mkt!AO122),Inputs!$B$15*Mkt!AO122+(1-Inputs!$B$15)*MIN(Mkt!AO122,AN122*(1+Inputs!$B$18))),AN122)))</f>
        <v>2376.416</v>
      </c>
      <c r="AP122" s="11" t="n">
        <f aca="false">IF(AP$1&lt;Units!$P121,0,IF(AND(Units!$K121=0,AP$1=Units!$O121),Units!$R121,IF(AND(AP$1&gt;=Units!$Q121,MOD(AP$1-Units!$Q121,12)=0),IF(AND(Units!$L121=1,AP$1=Units!$Q121),IF(Units!$J121&lt;&gt;"",Units!$J121,Mkt!AP122),Inputs!$B$15*Mkt!AP122+(1-Inputs!$B$15)*MIN(Mkt!AP122,AO122*(1+Inputs!$B$18))),AO122)))</f>
        <v>2376.416</v>
      </c>
      <c r="AQ122" s="11" t="n">
        <f aca="false">IF(AQ$1&lt;Units!$P121,0,IF(AND(Units!$K121=0,AQ$1=Units!$O121),Units!$R121,IF(AND(AQ$1&gt;=Units!$Q121,MOD(AQ$1-Units!$Q121,12)=0),IF(AND(Units!$L121=1,AQ$1=Units!$Q121),IF(Units!$J121&lt;&gt;"",Units!$J121,Mkt!AQ122),Inputs!$B$15*Mkt!AQ122+(1-Inputs!$B$15)*MIN(Mkt!AQ122,AP122*(1+Inputs!$B$18))),AP122)))</f>
        <v>2376.416</v>
      </c>
      <c r="AR122" s="11" t="n">
        <f aca="false">IF(AR$1&lt;Units!$P121,0,IF(AND(Units!$K121=0,AR$1=Units!$O121),Units!$R121,IF(AND(AR$1&gt;=Units!$Q121,MOD(AR$1-Units!$Q121,12)=0),IF(AND(Units!$L121=1,AR$1=Units!$Q121),IF(Units!$J121&lt;&gt;"",Units!$J121,Mkt!AR122),Inputs!$B$15*Mkt!AR122+(1-Inputs!$B$15)*MIN(Mkt!AR122,AQ122*(1+Inputs!$B$18))),AQ122)))</f>
        <v>2376.416</v>
      </c>
      <c r="AS122" s="11" t="n">
        <f aca="false">IF(AS$1&lt;Units!$P121,0,IF(AND(Units!$K121=0,AS$1=Units!$O121),Units!$R121,IF(AND(AS$1&gt;=Units!$Q121,MOD(AS$1-Units!$Q121,12)=0),IF(AND(Units!$L121=1,AS$1=Units!$Q121),IF(Units!$J121&lt;&gt;"",Units!$J121,Mkt!AS122),Inputs!$B$15*Mkt!AS122+(1-Inputs!$B$15)*MIN(Mkt!AS122,AR122*(1+Inputs!$B$18))),AR122)))</f>
        <v>2376.416</v>
      </c>
      <c r="AT122" s="11" t="n">
        <f aca="false">IF(AT$1&lt;Units!$P121,0,IF(AND(Units!$K121=0,AT$1=Units!$O121),Units!$R121,IF(AND(AT$1&gt;=Units!$Q121,MOD(AT$1-Units!$Q121,12)=0),IF(AND(Units!$L121=1,AT$1=Units!$Q121),IF(Units!$J121&lt;&gt;"",Units!$J121,Mkt!AT122),Inputs!$B$15*Mkt!AT122+(1-Inputs!$B$15)*MIN(Mkt!AT122,AS122*(1+Inputs!$B$18))),AS122)))</f>
        <v>2376.416</v>
      </c>
      <c r="AU122" s="11" t="n">
        <f aca="false">IF(AU$1&lt;Units!$P121,0,IF(AND(Units!$K121=0,AU$1=Units!$O121),Units!$R121,IF(AND(AU$1&gt;=Units!$Q121,MOD(AU$1-Units!$Q121,12)=0),IF(AND(Units!$L121=1,AU$1=Units!$Q121),IF(Units!$J121&lt;&gt;"",Units!$J121,Mkt!AU122),Inputs!$B$15*Mkt!AU122+(1-Inputs!$B$15)*MIN(Mkt!AU122,AT122*(1+Inputs!$B$18))),AT122)))</f>
        <v>2376.416</v>
      </c>
      <c r="AV122" s="11" t="n">
        <f aca="false">IF(AV$1&lt;Units!$P121,0,IF(AND(Units!$K121=0,AV$1=Units!$O121),Units!$R121,IF(AND(AV$1&gt;=Units!$Q121,MOD(AV$1-Units!$Q121,12)=0),IF(AND(Units!$L121=1,AV$1=Units!$Q121),IF(Units!$J121&lt;&gt;"",Units!$J121,Mkt!AV122),Inputs!$B$15*Mkt!AV122+(1-Inputs!$B$15)*MIN(Mkt!AV122,AU122*(1+Inputs!$B$18))),AU122)))</f>
        <v>2447.70848</v>
      </c>
      <c r="AW122" s="11" t="n">
        <f aca="false">IF(AW$1&lt;Units!$P121,0,IF(AND(Units!$K121=0,AW$1=Units!$O121),Units!$R121,IF(AND(AW$1&gt;=Units!$Q121,MOD(AW$1-Units!$Q121,12)=0),IF(AND(Units!$L121=1,AW$1=Units!$Q121),IF(Units!$J121&lt;&gt;"",Units!$J121,Mkt!AW122),Inputs!$B$15*Mkt!AW122+(1-Inputs!$B$15)*MIN(Mkt!AW122,AV122*(1+Inputs!$B$18))),AV122)))</f>
        <v>2447.70848</v>
      </c>
      <c r="AX122" s="11" t="n">
        <f aca="false">IF(AX$1&lt;Units!$P121,0,IF(AND(Units!$K121=0,AX$1=Units!$O121),Units!$R121,IF(AND(AX$1&gt;=Units!$Q121,MOD(AX$1-Units!$Q121,12)=0),IF(AND(Units!$L121=1,AX$1=Units!$Q121),IF(Units!$J121&lt;&gt;"",Units!$J121,Mkt!AX122),Inputs!$B$15*Mkt!AX122+(1-Inputs!$B$15)*MIN(Mkt!AX122,AW122*(1+Inputs!$B$18))),AW122)))</f>
        <v>2447.70848</v>
      </c>
      <c r="AY122" s="11" t="n">
        <f aca="false">IF(AY$1&lt;Units!$P121,0,IF(AND(Units!$K121=0,AY$1=Units!$O121),Units!$R121,IF(AND(AY$1&gt;=Units!$Q121,MOD(AY$1-Units!$Q121,12)=0),IF(AND(Units!$L121=1,AY$1=Units!$Q121),IF(Units!$J121&lt;&gt;"",Units!$J121,Mkt!AY122),Inputs!$B$15*Mkt!AY122+(1-Inputs!$B$15)*MIN(Mkt!AY122,AX122*(1+Inputs!$B$18))),AX122)))</f>
        <v>2447.70848</v>
      </c>
      <c r="AZ122" s="11" t="n">
        <f aca="false">IF(AZ$1&lt;Units!$P121,0,IF(AND(Units!$K121=0,AZ$1=Units!$O121),Units!$R121,IF(AND(AZ$1&gt;=Units!$Q121,MOD(AZ$1-Units!$Q121,12)=0),IF(AND(Units!$L121=1,AZ$1=Units!$Q121),IF(Units!$J121&lt;&gt;"",Units!$J121,Mkt!AZ122),Inputs!$B$15*Mkt!AZ122+(1-Inputs!$B$15)*MIN(Mkt!AZ122,AY122*(1+Inputs!$B$18))),AY122)))</f>
        <v>2447.70848</v>
      </c>
      <c r="BA122" s="11" t="n">
        <f aca="false">IF(BA$1&lt;Units!$P121,0,IF(AND(Units!$K121=0,BA$1=Units!$O121),Units!$R121,IF(AND(BA$1&gt;=Units!$Q121,MOD(BA$1-Units!$Q121,12)=0),IF(AND(Units!$L121=1,BA$1=Units!$Q121),IF(Units!$J121&lt;&gt;"",Units!$J121,Mkt!BA122),Inputs!$B$15*Mkt!BA122+(1-Inputs!$B$15)*MIN(Mkt!BA122,AZ122*(1+Inputs!$B$18))),AZ122)))</f>
        <v>2447.70848</v>
      </c>
      <c r="BB122" s="11" t="n">
        <f aca="false">IF(BB$1&lt;Units!$P121,0,IF(AND(Units!$K121=0,BB$1=Units!$O121),Units!$R121,IF(AND(BB$1&gt;=Units!$Q121,MOD(BB$1-Units!$Q121,12)=0),IF(AND(Units!$L121=1,BB$1=Units!$Q121),IF(Units!$J121&lt;&gt;"",Units!$J121,Mkt!BB122),Inputs!$B$15*Mkt!BB122+(1-Inputs!$B$15)*MIN(Mkt!BB122,BA122*(1+Inputs!$B$18))),BA122)))</f>
        <v>2447.70848</v>
      </c>
      <c r="BC122" s="11" t="n">
        <f aca="false">IF(BC$1&lt;Units!$P121,0,IF(AND(Units!$K121=0,BC$1=Units!$O121),Units!$R121,IF(AND(BC$1&gt;=Units!$Q121,MOD(BC$1-Units!$Q121,12)=0),IF(AND(Units!$L121=1,BC$1=Units!$Q121),IF(Units!$J121&lt;&gt;"",Units!$J121,Mkt!BC122),Inputs!$B$15*Mkt!BC122+(1-Inputs!$B$15)*MIN(Mkt!BC122,BB122*(1+Inputs!$B$18))),BB122)))</f>
        <v>2447.70848</v>
      </c>
      <c r="BD122" s="11" t="n">
        <f aca="false">IF(BD$1&lt;Units!$P121,0,IF(AND(Units!$K121=0,BD$1=Units!$O121),Units!$R121,IF(AND(BD$1&gt;=Units!$Q121,MOD(BD$1-Units!$Q121,12)=0),IF(AND(Units!$L121=1,BD$1=Units!$Q121),IF(Units!$J121&lt;&gt;"",Units!$J121,Mkt!BD122),Inputs!$B$15*Mkt!BD122+(1-Inputs!$B$15)*MIN(Mkt!BD122,BC122*(1+Inputs!$B$18))),BC122)))</f>
        <v>2447.70848</v>
      </c>
      <c r="BE122" s="11" t="n">
        <f aca="false">IF(BE$1&lt;Units!$P121,0,IF(AND(Units!$K121=0,BE$1=Units!$O121),Units!$R121,IF(AND(BE$1&gt;=Units!$Q121,MOD(BE$1-Units!$Q121,12)=0),IF(AND(Units!$L121=1,BE$1=Units!$Q121),IF(Units!$J121&lt;&gt;"",Units!$J121,Mkt!BE122),Inputs!$B$15*Mkt!BE122+(1-Inputs!$B$15)*MIN(Mkt!BE122,BD122*(1+Inputs!$B$18))),BD122)))</f>
        <v>2447.70848</v>
      </c>
      <c r="BF122" s="11" t="n">
        <f aca="false">IF(BF$1&lt;Units!$P121,0,IF(AND(Units!$K121=0,BF$1=Units!$O121),Units!$R121,IF(AND(BF$1&gt;=Units!$Q121,MOD(BF$1-Units!$Q121,12)=0),IF(AND(Units!$L121=1,BF$1=Units!$Q121),IF(Units!$J121&lt;&gt;"",Units!$J121,Mkt!BF122),Inputs!$B$15*Mkt!BF122+(1-Inputs!$B$15)*MIN(Mkt!BF122,BE122*(1+Inputs!$B$18))),BE122)))</f>
        <v>2447.70848</v>
      </c>
      <c r="BG122" s="11" t="n">
        <f aca="false">IF(BG$1&lt;Units!$P121,0,IF(AND(Units!$K121=0,BG$1=Units!$O121),Units!$R121,IF(AND(BG$1&gt;=Units!$Q121,MOD(BG$1-Units!$Q121,12)=0),IF(AND(Units!$L121=1,BG$1=Units!$Q121),IF(Units!$J121&lt;&gt;"",Units!$J121,Mkt!BG122),Inputs!$B$15*Mkt!BG122+(1-Inputs!$B$15)*MIN(Mkt!BG122,BF122*(1+Inputs!$B$18))),BF122)))</f>
        <v>2447.70848</v>
      </c>
      <c r="BH122" s="11" t="n">
        <f aca="false">IF(BH$1&lt;Units!$P121,0,IF(AND(Units!$K121=0,BH$1=Units!$O121),Units!$R121,IF(AND(BH$1&gt;=Units!$Q121,MOD(BH$1-Units!$Q121,12)=0),IF(AND(Units!$L121=1,BH$1=Units!$Q121),IF(Units!$J121&lt;&gt;"",Units!$J121,Mkt!BH122),Inputs!$B$15*Mkt!BH122+(1-Inputs!$B$15)*MIN(Mkt!BH122,BG122*(1+Inputs!$B$18))),BG122)))</f>
        <v>2521.1397344</v>
      </c>
      <c r="BI122" s="11" t="n">
        <f aca="false">IF(BI$1&lt;Units!$P121,0,IF(AND(Units!$K121=0,BI$1=Units!$O121),Units!$R121,IF(AND(BI$1&gt;=Units!$Q121,MOD(BI$1-Units!$Q121,12)=0),IF(AND(Units!$L121=1,BI$1=Units!$Q121),IF(Units!$J121&lt;&gt;"",Units!$J121,Mkt!BI122),Inputs!$B$15*Mkt!BI122+(1-Inputs!$B$15)*MIN(Mkt!BI122,BH122*(1+Inputs!$B$18))),BH122)))</f>
        <v>2521.1397344</v>
      </c>
      <c r="BJ122" s="11" t="n">
        <f aca="false">IF(BJ$1&lt;Units!$P121,0,IF(AND(Units!$K121=0,BJ$1=Units!$O121),Units!$R121,IF(AND(BJ$1&gt;=Units!$Q121,MOD(BJ$1-Units!$Q121,12)=0),IF(AND(Units!$L121=1,BJ$1=Units!$Q121),IF(Units!$J121&lt;&gt;"",Units!$J121,Mkt!BJ122),Inputs!$B$15*Mkt!BJ122+(1-Inputs!$B$15)*MIN(Mkt!BJ122,BI122*(1+Inputs!$B$18))),BI122)))</f>
        <v>2521.1397344</v>
      </c>
      <c r="BK122" s="11" t="n">
        <f aca="false">IF(BK$1&lt;Units!$P121,0,IF(AND(Units!$K121=0,BK$1=Units!$O121),Units!$R121,IF(AND(BK$1&gt;=Units!$Q121,MOD(BK$1-Units!$Q121,12)=0),IF(AND(Units!$L121=1,BK$1=Units!$Q121),IF(Units!$J121&lt;&gt;"",Units!$J121,Mkt!BK122),Inputs!$B$15*Mkt!BK122+(1-Inputs!$B$15)*MIN(Mkt!BK122,BJ122*(1+Inputs!$B$18))),BJ122)))</f>
        <v>2521.1397344</v>
      </c>
      <c r="BL122" s="11" t="n">
        <f aca="false">IF(BL$1&lt;Units!$P121,0,IF(AND(Units!$K121=0,BL$1=Units!$O121),Units!$R121,IF(AND(BL$1&gt;=Units!$Q121,MOD(BL$1-Units!$Q121,12)=0),IF(AND(Units!$L121=1,BL$1=Units!$Q121),IF(Units!$J121&lt;&gt;"",Units!$J121,Mkt!BL122),Inputs!$B$15*Mkt!BL122+(1-Inputs!$B$15)*MIN(Mkt!BL122,BK122*(1+Inputs!$B$18))),BK122)))</f>
        <v>2521.1397344</v>
      </c>
      <c r="BM122" s="11" t="n">
        <f aca="false">IF(BM$1&lt;Units!$P121,0,IF(AND(Units!$K121=0,BM$1=Units!$O121),Units!$R121,IF(AND(BM$1&gt;=Units!$Q121,MOD(BM$1-Units!$Q121,12)=0),IF(AND(Units!$L121=1,BM$1=Units!$Q121),IF(Units!$J121&lt;&gt;"",Units!$J121,Mkt!BM122),Inputs!$B$15*Mkt!BM122+(1-Inputs!$B$15)*MIN(Mkt!BM122,BL122*(1+Inputs!$B$18))),BL122)))</f>
        <v>2521.1397344</v>
      </c>
      <c r="BN122" s="11" t="n">
        <f aca="false">IF(BN$1&lt;Units!$P121,0,IF(AND(Units!$K121=0,BN$1=Units!$O121),Units!$R121,IF(AND(BN$1&gt;=Units!$Q121,MOD(BN$1-Units!$Q121,12)=0),IF(AND(Units!$L121=1,BN$1=Units!$Q121),IF(Units!$J121&lt;&gt;"",Units!$J121,Mkt!BN122),Inputs!$B$15*Mkt!BN122+(1-Inputs!$B$15)*MIN(Mkt!BN122,BM122*(1+Inputs!$B$18))),BM122)))</f>
        <v>2521.1397344</v>
      </c>
      <c r="BO122" s="11" t="n">
        <f aca="false">IF(BO$1&lt;Units!$P121,0,IF(AND(Units!$K121=0,BO$1=Units!$O121),Units!$R121,IF(AND(BO$1&gt;=Units!$Q121,MOD(BO$1-Units!$Q121,12)=0),IF(AND(Units!$L121=1,BO$1=Units!$Q121),IF(Units!$J121&lt;&gt;"",Units!$J121,Mkt!BO122),Inputs!$B$15*Mkt!BO122+(1-Inputs!$B$15)*MIN(Mkt!BO122,BN122*(1+Inputs!$B$18))),BN122)))</f>
        <v>2521.1397344</v>
      </c>
      <c r="BP122" s="11" t="n">
        <f aca="false">IF(BP$1&lt;Units!$P121,0,IF(AND(Units!$K121=0,BP$1=Units!$O121),Units!$R121,IF(AND(BP$1&gt;=Units!$Q121,MOD(BP$1-Units!$Q121,12)=0),IF(AND(Units!$L121=1,BP$1=Units!$Q121),IF(Units!$J121&lt;&gt;"",Units!$J121,Mkt!BP122),Inputs!$B$15*Mkt!BP122+(1-Inputs!$B$15)*MIN(Mkt!BP122,BO122*(1+Inputs!$B$18))),BO122)))</f>
        <v>2521.1397344</v>
      </c>
      <c r="BQ122" s="11" t="n">
        <f aca="false">IF(BQ$1&lt;Units!$P121,0,IF(AND(Units!$K121=0,BQ$1=Units!$O121),Units!$R121,IF(AND(BQ$1&gt;=Units!$Q121,MOD(BQ$1-Units!$Q121,12)=0),IF(AND(Units!$L121=1,BQ$1=Units!$Q121),IF(Units!$J121&lt;&gt;"",Units!$J121,Mkt!BQ122),Inputs!$B$15*Mkt!BQ122+(1-Inputs!$B$15)*MIN(Mkt!BQ122,BP122*(1+Inputs!$B$18))),BP122)))</f>
        <v>2521.1397344</v>
      </c>
      <c r="BR122" s="11" t="n">
        <f aca="false">IF(BR$1&lt;Units!$P121,0,IF(AND(Units!$K121=0,BR$1=Units!$O121),Units!$R121,IF(AND(BR$1&gt;=Units!$Q121,MOD(BR$1-Units!$Q121,12)=0),IF(AND(Units!$L121=1,BR$1=Units!$Q121),IF(Units!$J121&lt;&gt;"",Units!$J121,Mkt!BR122),Inputs!$B$15*Mkt!BR122+(1-Inputs!$B$15)*MIN(Mkt!BR122,BQ122*(1+Inputs!$B$18))),BQ122)))</f>
        <v>2521.1397344</v>
      </c>
      <c r="BS122" s="11" t="n">
        <f aca="false">IF(BS$1&lt;Units!$P121,0,IF(AND(Units!$K121=0,BS$1=Units!$O121),Units!$R121,IF(AND(BS$1&gt;=Units!$Q121,MOD(BS$1-Units!$Q121,12)=0),IF(AND(Units!$L121=1,BS$1=Units!$Q121),IF(Units!$J121&lt;&gt;"",Units!$J121,Mkt!BS122),Inputs!$B$15*Mkt!BS122+(1-Inputs!$B$15)*MIN(Mkt!BS122,BR122*(1+Inputs!$B$18))),BR122)))</f>
        <v>2521.1397344</v>
      </c>
      <c r="BT122" s="11" t="n">
        <f aca="false">IF(BT$1&lt;Units!$P121,0,IF(AND(Units!$K121=0,BT$1=Units!$O121),Units!$R121,IF(AND(BT$1&gt;=Units!$Q121,MOD(BT$1-Units!$Q121,12)=0),IF(AND(Units!$L121=1,BT$1=Units!$Q121),IF(Units!$J121&lt;&gt;"",Units!$J121,Mkt!BT122),Inputs!$B$15*Mkt!BT122+(1-Inputs!$B$15)*MIN(Mkt!BT122,BS122*(1+Inputs!$B$18))),BS122)))</f>
        <v>2596.773926432</v>
      </c>
      <c r="BU122" s="11" t="n">
        <f aca="false">IF(BU$1&lt;Units!$P121,0,IF(AND(Units!$K121=0,BU$1=Units!$O121),Units!$R121,IF(AND(BU$1&gt;=Units!$Q121,MOD(BU$1-Units!$Q121,12)=0),IF(AND(Units!$L121=1,BU$1=Units!$Q121),IF(Units!$J121&lt;&gt;"",Units!$J121,Mkt!BU122),Inputs!$B$15*Mkt!BU122+(1-Inputs!$B$15)*MIN(Mkt!BU122,BT122*(1+Inputs!$B$18))),BT122)))</f>
        <v>2596.773926432</v>
      </c>
      <c r="BV122" s="11" t="n">
        <f aca="false">IF(BV$1&lt;Units!$P121,0,IF(AND(Units!$K121=0,BV$1=Units!$O121),Units!$R121,IF(AND(BV$1&gt;=Units!$Q121,MOD(BV$1-Units!$Q121,12)=0),IF(AND(Units!$L121=1,BV$1=Units!$Q121),IF(Units!$J121&lt;&gt;"",Units!$J121,Mkt!BV122),Inputs!$B$15*Mkt!BV122+(1-Inputs!$B$15)*MIN(Mkt!BV122,BU122*(1+Inputs!$B$18))),BU122)))</f>
        <v>2596.773926432</v>
      </c>
      <c r="BW122" s="11" t="n">
        <f aca="false">IF(BW$1&lt;Units!$P121,0,IF(AND(Units!$K121=0,BW$1=Units!$O121),Units!$R121,IF(AND(BW$1&gt;=Units!$Q121,MOD(BW$1-Units!$Q121,12)=0),IF(AND(Units!$L121=1,BW$1=Units!$Q121),IF(Units!$J121&lt;&gt;"",Units!$J121,Mkt!BW122),Inputs!$B$15*Mkt!BW122+(1-Inputs!$B$15)*MIN(Mkt!BW122,BV122*(1+Inputs!$B$18))),BV122)))</f>
        <v>2596.773926432</v>
      </c>
      <c r="BX122" s="11" t="n">
        <f aca="false">IF(BX$1&lt;Units!$P121,0,IF(AND(Units!$K121=0,BX$1=Units!$O121),Units!$R121,IF(AND(BX$1&gt;=Units!$Q121,MOD(BX$1-Units!$Q121,12)=0),IF(AND(Units!$L121=1,BX$1=Units!$Q121),IF(Units!$J121&lt;&gt;"",Units!$J121,Mkt!BX122),Inputs!$B$15*Mkt!BX122+(1-Inputs!$B$15)*MIN(Mkt!BX122,BW122*(1+Inputs!$B$18))),BW122)))</f>
        <v>2596.773926432</v>
      </c>
      <c r="BY122" s="11" t="n">
        <f aca="false">IF(BY$1&lt;Units!$P121,0,IF(AND(Units!$K121=0,BY$1=Units!$O121),Units!$R121,IF(AND(BY$1&gt;=Units!$Q121,MOD(BY$1-Units!$Q121,12)=0),IF(AND(Units!$L121=1,BY$1=Units!$Q121),IF(Units!$J121&lt;&gt;"",Units!$J121,Mkt!BY122),Inputs!$B$15*Mkt!BY122+(1-Inputs!$B$15)*MIN(Mkt!BY122,BX122*(1+Inputs!$B$18))),BX122)))</f>
        <v>2596.773926432</v>
      </c>
      <c r="BZ122" s="11" t="n">
        <f aca="false">IF(BZ$1&lt;Units!$P121,0,IF(AND(Units!$K121=0,BZ$1=Units!$O121),Units!$R121,IF(AND(BZ$1&gt;=Units!$Q121,MOD(BZ$1-Units!$Q121,12)=0),IF(AND(Units!$L121=1,BZ$1=Units!$Q121),IF(Units!$J121&lt;&gt;"",Units!$J121,Mkt!BZ122),Inputs!$B$15*Mkt!BZ122+(1-Inputs!$B$15)*MIN(Mkt!BZ122,BY122*(1+Inputs!$B$18))),BY122)))</f>
        <v>2596.773926432</v>
      </c>
      <c r="CA122" s="11" t="n">
        <f aca="false">IF(CA$1&lt;Units!$P121,0,IF(AND(Units!$K121=0,CA$1=Units!$O121),Units!$R121,IF(AND(CA$1&gt;=Units!$Q121,MOD(CA$1-Units!$Q121,12)=0),IF(AND(Units!$L121=1,CA$1=Units!$Q121),IF(Units!$J121&lt;&gt;"",Units!$J121,Mkt!CA122),Inputs!$B$15*Mkt!CA122+(1-Inputs!$B$15)*MIN(Mkt!CA122,BZ122*(1+Inputs!$B$18))),BZ122)))</f>
        <v>2596.773926432</v>
      </c>
      <c r="CB122" s="11" t="n">
        <f aca="false">IF(CB$1&lt;Units!$P121,0,IF(AND(Units!$K121=0,CB$1=Units!$O121),Units!$R121,IF(AND(CB$1&gt;=Units!$Q121,MOD(CB$1-Units!$Q121,12)=0),IF(AND(Units!$L121=1,CB$1=Units!$Q121),IF(Units!$J121&lt;&gt;"",Units!$J121,Mkt!CB122),Inputs!$B$15*Mkt!CB122+(1-Inputs!$B$15)*MIN(Mkt!CB122,CA122*(1+Inputs!$B$18))),CA122)))</f>
        <v>2596.773926432</v>
      </c>
      <c r="CC122" s="11" t="n">
        <f aca="false">IF(CC$1&lt;Units!$P121,0,IF(AND(Units!$K121=0,CC$1=Units!$O121),Units!$R121,IF(AND(CC$1&gt;=Units!$Q121,MOD(CC$1-Units!$Q121,12)=0),IF(AND(Units!$L121=1,CC$1=Units!$Q121),IF(Units!$J121&lt;&gt;"",Units!$J121,Mkt!CC122),Inputs!$B$15*Mkt!CC122+(1-Inputs!$B$15)*MIN(Mkt!CC122,CB122*(1+Inputs!$B$18))),CB122)))</f>
        <v>2596.773926432</v>
      </c>
      <c r="CD122" s="11" t="n">
        <f aca="false">IF(CD$1&lt;Units!$P121,0,IF(AND(Units!$K121=0,CD$1=Units!$O121),Units!$R121,IF(AND(CD$1&gt;=Units!$Q121,MOD(CD$1-Units!$Q121,12)=0),IF(AND(Units!$L121=1,CD$1=Units!$Q121),IF(Units!$J121&lt;&gt;"",Units!$J121,Mkt!CD122),Inputs!$B$15*Mkt!CD122+(1-Inputs!$B$15)*MIN(Mkt!CD122,CC122*(1+Inputs!$B$18))),CC122)))</f>
        <v>2596.773926432</v>
      </c>
      <c r="CE122" s="11" t="n">
        <f aca="false">IF(CE$1&lt;Units!$P121,0,IF(AND(Units!$K121=0,CE$1=Units!$O121),Units!$R121,IF(AND(CE$1&gt;=Units!$Q121,MOD(CE$1-Units!$Q121,12)=0),IF(AND(Units!$L121=1,CE$1=Units!$Q121),IF(Units!$J121&lt;&gt;"",Units!$J121,Mkt!CE122),Inputs!$B$15*Mkt!CE122+(1-Inputs!$B$15)*MIN(Mkt!CE122,CD122*(1+Inputs!$B$18))),CD122)))</f>
        <v>2596.773926432</v>
      </c>
      <c r="CF122" s="11" t="n">
        <f aca="false">IF(CF$1&lt;Units!$P121,0,IF(AND(Units!$K121=0,CF$1=Units!$O121),Units!$R121,IF(AND(CF$1&gt;=Units!$Q121,MOD(CF$1-Units!$Q121,12)=0),IF(AND(Units!$L121=1,CF$1=Units!$Q121),IF(Units!$J121&lt;&gt;"",Units!$J121,Mkt!CF122),Inputs!$B$15*Mkt!CF122+(1-Inputs!$B$15)*MIN(Mkt!CF122,CE122*(1+Inputs!$B$18))),CE122)))</f>
        <v>2674.67714422496</v>
      </c>
      <c r="CG122" s="11" t="n">
        <f aca="false">IF(CG$1&lt;Units!$P121,0,IF(AND(Units!$K121=0,CG$1=Units!$O121),Units!$R121,IF(AND(CG$1&gt;=Units!$Q121,MOD(CG$1-Units!$Q121,12)=0),IF(AND(Units!$L121=1,CG$1=Units!$Q121),IF(Units!$J121&lt;&gt;"",Units!$J121,Mkt!CG122),Inputs!$B$15*Mkt!CG122+(1-Inputs!$B$15)*MIN(Mkt!CG122,CF122*(1+Inputs!$B$18))),CF122)))</f>
        <v>2674.67714422496</v>
      </c>
      <c r="CH122" s="11" t="n">
        <f aca="false">IF(CH$1&lt;Units!$P121,0,IF(AND(Units!$K121=0,CH$1=Units!$O121),Units!$R121,IF(AND(CH$1&gt;=Units!$Q121,MOD(CH$1-Units!$Q121,12)=0),IF(AND(Units!$L121=1,CH$1=Units!$Q121),IF(Units!$J121&lt;&gt;"",Units!$J121,Mkt!CH122),Inputs!$B$15*Mkt!CH122+(1-Inputs!$B$15)*MIN(Mkt!CH122,CG122*(1+Inputs!$B$18))),CG122)))</f>
        <v>2674.67714422496</v>
      </c>
      <c r="CI122" s="11" t="n">
        <f aca="false">IF(CI$1&lt;Units!$P121,0,IF(AND(Units!$K121=0,CI$1=Units!$O121),Units!$R121,IF(AND(CI$1&gt;=Units!$Q121,MOD(CI$1-Units!$Q121,12)=0),IF(AND(Units!$L121=1,CI$1=Units!$Q121),IF(Units!$J121&lt;&gt;"",Units!$J121,Mkt!CI122),Inputs!$B$15*Mkt!CI122+(1-Inputs!$B$15)*MIN(Mkt!CI122,CH122*(1+Inputs!$B$18))),CH122)))</f>
        <v>2674.67714422496</v>
      </c>
      <c r="CJ122" s="11" t="n">
        <f aca="false">IF(CJ$1&lt;Units!$P121,0,IF(AND(Units!$K121=0,CJ$1=Units!$O121),Units!$R121,IF(AND(CJ$1&gt;=Units!$Q121,MOD(CJ$1-Units!$Q121,12)=0),IF(AND(Units!$L121=1,CJ$1=Units!$Q121),IF(Units!$J121&lt;&gt;"",Units!$J121,Mkt!CJ122),Inputs!$B$15*Mkt!CJ122+(1-Inputs!$B$15)*MIN(Mkt!CJ122,CI122*(1+Inputs!$B$18))),CI122)))</f>
        <v>2674.67714422496</v>
      </c>
      <c r="CK122" s="11" t="n">
        <f aca="false">IF(CK$1&lt;Units!$P121,0,IF(AND(Units!$K121=0,CK$1=Units!$O121),Units!$R121,IF(AND(CK$1&gt;=Units!$Q121,MOD(CK$1-Units!$Q121,12)=0),IF(AND(Units!$L121=1,CK$1=Units!$Q121),IF(Units!$J121&lt;&gt;"",Units!$J121,Mkt!CK122),Inputs!$B$15*Mkt!CK122+(1-Inputs!$B$15)*MIN(Mkt!CK122,CJ122*(1+Inputs!$B$18))),CJ122)))</f>
        <v>2674.67714422496</v>
      </c>
      <c r="CL122" s="11" t="n">
        <f aca="false">IF(CL$1&lt;Units!$P121,0,IF(AND(Units!$K121=0,CL$1=Units!$O121),Units!$R121,IF(AND(CL$1&gt;=Units!$Q121,MOD(CL$1-Units!$Q121,12)=0),IF(AND(Units!$L121=1,CL$1=Units!$Q121),IF(Units!$J121&lt;&gt;"",Units!$J121,Mkt!CL122),Inputs!$B$15*Mkt!CL122+(1-Inputs!$B$15)*MIN(Mkt!CL122,CK122*(1+Inputs!$B$18))),CK122)))</f>
        <v>2674.67714422496</v>
      </c>
      <c r="CM122" s="11" t="n">
        <f aca="false">IF(CM$1&lt;Units!$P121,0,IF(AND(Units!$K121=0,CM$1=Units!$O121),Units!$R121,IF(AND(CM$1&gt;=Units!$Q121,MOD(CM$1-Units!$Q121,12)=0),IF(AND(Units!$L121=1,CM$1=Units!$Q121),IF(Units!$J121&lt;&gt;"",Units!$J121,Mkt!CM122),Inputs!$B$15*Mkt!CM122+(1-Inputs!$B$15)*MIN(Mkt!CM122,CL122*(1+Inputs!$B$18))),CL122)))</f>
        <v>2674.67714422496</v>
      </c>
      <c r="CN122" s="11" t="n">
        <f aca="false">IF(CN$1&lt;Units!$P121,0,IF(AND(Units!$K121=0,CN$1=Units!$O121),Units!$R121,IF(AND(CN$1&gt;=Units!$Q121,MOD(CN$1-Units!$Q121,12)=0),IF(AND(Units!$L121=1,CN$1=Units!$Q121),IF(Units!$J121&lt;&gt;"",Units!$J121,Mkt!CN122),Inputs!$B$15*Mkt!CN122+(1-Inputs!$B$15)*MIN(Mkt!CN122,CM122*(1+Inputs!$B$18))),CM122)))</f>
        <v>2674.67714422496</v>
      </c>
      <c r="CO122" s="11" t="n">
        <f aca="false">IF(CO$1&lt;Units!$P121,0,IF(AND(Units!$K121=0,CO$1=Units!$O121),Units!$R121,IF(AND(CO$1&gt;=Units!$Q121,MOD(CO$1-Units!$Q121,12)=0),IF(AND(Units!$L121=1,CO$1=Units!$Q121),IF(Units!$J121&lt;&gt;"",Units!$J121,Mkt!CO122),Inputs!$B$15*Mkt!CO122+(1-Inputs!$B$15)*MIN(Mkt!CO122,CN122*(1+Inputs!$B$18))),CN122)))</f>
        <v>2674.67714422496</v>
      </c>
      <c r="CP122" s="11" t="n">
        <f aca="false">IF(CP$1&lt;Units!$P121,0,IF(AND(Units!$K121=0,CP$1=Units!$O121),Units!$R121,IF(AND(CP$1&gt;=Units!$Q121,MOD(CP$1-Units!$Q121,12)=0),IF(AND(Units!$L121=1,CP$1=Units!$Q121),IF(Units!$J121&lt;&gt;"",Units!$J121,Mkt!CP122),Inputs!$B$15*Mkt!CP122+(1-Inputs!$B$15)*MIN(Mkt!CP122,CO122*(1+Inputs!$B$18))),CO122)))</f>
        <v>2674.67714422496</v>
      </c>
      <c r="CQ122" s="11" t="n">
        <f aca="false">IF(CQ$1&lt;Units!$P121,0,IF(AND(Units!$K121=0,CQ$1=Units!$O121),Units!$R121,IF(AND(CQ$1&gt;=Units!$Q121,MOD(CQ$1-Units!$Q121,12)=0),IF(AND(Units!$L121=1,CQ$1=Units!$Q121),IF(Units!$J121&lt;&gt;"",Units!$J121,Mkt!CQ122),Inputs!$B$15*Mkt!CQ122+(1-Inputs!$B$15)*MIN(Mkt!CQ122,CP122*(1+Inputs!$B$18))),CP122)))</f>
        <v>2674.67714422496</v>
      </c>
      <c r="CR122" s="11" t="n">
        <f aca="false">IF(CR$1&lt;Units!$P121,0,IF(AND(Units!$K121=0,CR$1=Units!$O121),Units!$R121,IF(AND(CR$1&gt;=Units!$Q121,MOD(CR$1-Units!$Q121,12)=0),IF(AND(Units!$L121=1,CR$1=Units!$Q121),IF(Units!$J121&lt;&gt;"",Units!$J121,Mkt!CR122),Inputs!$B$15*Mkt!CR122+(1-Inputs!$B$15)*MIN(Mkt!CR122,CQ122*(1+Inputs!$B$18))),CQ122)))</f>
        <v>2754.91745855171</v>
      </c>
      <c r="CS122" s="11" t="n">
        <f aca="false">IF(CS$1&lt;Units!$P121,0,IF(AND(Units!$K121=0,CS$1=Units!$O121),Units!$R121,IF(AND(CS$1&gt;=Units!$Q121,MOD(CS$1-Units!$Q121,12)=0),IF(AND(Units!$L121=1,CS$1=Units!$Q121),IF(Units!$J121&lt;&gt;"",Units!$J121,Mkt!CS122),Inputs!$B$15*Mkt!CS122+(1-Inputs!$B$15)*MIN(Mkt!CS122,CR122*(1+Inputs!$B$18))),CR122)))</f>
        <v>2754.91745855171</v>
      </c>
      <c r="CT122" s="11" t="n">
        <f aca="false">IF(CT$1&lt;Units!$P121,0,IF(AND(Units!$K121=0,CT$1=Units!$O121),Units!$R121,IF(AND(CT$1&gt;=Units!$Q121,MOD(CT$1-Units!$Q121,12)=0),IF(AND(Units!$L121=1,CT$1=Units!$Q121),IF(Units!$J121&lt;&gt;"",Units!$J121,Mkt!CT122),Inputs!$B$15*Mkt!CT122+(1-Inputs!$B$15)*MIN(Mkt!CT122,CS122*(1+Inputs!$B$18))),CS122)))</f>
        <v>2754.91745855171</v>
      </c>
      <c r="CU122" s="11" t="n">
        <f aca="false">IF(CU$1&lt;Units!$P121,0,IF(AND(Units!$K121=0,CU$1=Units!$O121),Units!$R121,IF(AND(CU$1&gt;=Units!$Q121,MOD(CU$1-Units!$Q121,12)=0),IF(AND(Units!$L121=1,CU$1=Units!$Q121),IF(Units!$J121&lt;&gt;"",Units!$J121,Mkt!CU122),Inputs!$B$15*Mkt!CU122+(1-Inputs!$B$15)*MIN(Mkt!CU122,CT122*(1+Inputs!$B$18))),CT122)))</f>
        <v>2754.91745855171</v>
      </c>
      <c r="CV122" s="11" t="n">
        <f aca="false">IF(CV$1&lt;Units!$P121,0,IF(AND(Units!$K121=0,CV$1=Units!$O121),Units!$R121,IF(AND(CV$1&gt;=Units!$Q121,MOD(CV$1-Units!$Q121,12)=0),IF(AND(Units!$L121=1,CV$1=Units!$Q121),IF(Units!$J121&lt;&gt;"",Units!$J121,Mkt!CV122),Inputs!$B$15*Mkt!CV122+(1-Inputs!$B$15)*MIN(Mkt!CV122,CU122*(1+Inputs!$B$18))),CU122)))</f>
        <v>2754.91745855171</v>
      </c>
      <c r="CW122" s="11" t="n">
        <f aca="false">IF(CW$1&lt;Units!$P121,0,IF(AND(Units!$K121=0,CW$1=Units!$O121),Units!$R121,IF(AND(CW$1&gt;=Units!$Q121,MOD(CW$1-Units!$Q121,12)=0),IF(AND(Units!$L121=1,CW$1=Units!$Q121),IF(Units!$J121&lt;&gt;"",Units!$J121,Mkt!CW122),Inputs!$B$15*Mkt!CW122+(1-Inputs!$B$15)*MIN(Mkt!CW122,CV122*(1+Inputs!$B$18))),CV122)))</f>
        <v>2754.91745855171</v>
      </c>
      <c r="CX122" s="11" t="n">
        <f aca="false">IF(CX$1&lt;Units!$P121,0,IF(AND(Units!$K121=0,CX$1=Units!$O121),Units!$R121,IF(AND(CX$1&gt;=Units!$Q121,MOD(CX$1-Units!$Q121,12)=0),IF(AND(Units!$L121=1,CX$1=Units!$Q121),IF(Units!$J121&lt;&gt;"",Units!$J121,Mkt!CX122),Inputs!$B$15*Mkt!CX122+(1-Inputs!$B$15)*MIN(Mkt!CX122,CW122*(1+Inputs!$B$18))),CW122)))</f>
        <v>2754.91745855171</v>
      </c>
      <c r="CY122" s="11" t="n">
        <f aca="false">IF(CY$1&lt;Units!$P121,0,IF(AND(Units!$K121=0,CY$1=Units!$O121),Units!$R121,IF(AND(CY$1&gt;=Units!$Q121,MOD(CY$1-Units!$Q121,12)=0),IF(AND(Units!$L121=1,CY$1=Units!$Q121),IF(Units!$J121&lt;&gt;"",Units!$J121,Mkt!CY122),Inputs!$B$15*Mkt!CY122+(1-Inputs!$B$15)*MIN(Mkt!CY122,CX122*(1+Inputs!$B$18))),CX122)))</f>
        <v>2754.91745855171</v>
      </c>
      <c r="CZ122" s="11" t="n">
        <f aca="false">IF(CZ$1&lt;Units!$P121,0,IF(AND(Units!$K121=0,CZ$1=Units!$O121),Units!$R121,IF(AND(CZ$1&gt;=Units!$Q121,MOD(CZ$1-Units!$Q121,12)=0),IF(AND(Units!$L121=1,CZ$1=Units!$Q121),IF(Units!$J121&lt;&gt;"",Units!$J121,Mkt!CZ122),Inputs!$B$15*Mkt!CZ122+(1-Inputs!$B$15)*MIN(Mkt!CZ122,CY122*(1+Inputs!$B$18))),CY122)))</f>
        <v>2754.91745855171</v>
      </c>
      <c r="DA122" s="11" t="n">
        <f aca="false">IF(DA$1&lt;Units!$P121,0,IF(AND(Units!$K121=0,DA$1=Units!$O121),Units!$R121,IF(AND(DA$1&gt;=Units!$Q121,MOD(DA$1-Units!$Q121,12)=0),IF(AND(Units!$L121=1,DA$1=Units!$Q121),IF(Units!$J121&lt;&gt;"",Units!$J121,Mkt!DA122),Inputs!$B$15*Mkt!DA122+(1-Inputs!$B$15)*MIN(Mkt!DA122,CZ122*(1+Inputs!$B$18))),CZ122)))</f>
        <v>2754.91745855171</v>
      </c>
      <c r="DB122" s="11" t="n">
        <f aca="false">IF(DB$1&lt;Units!$P121,0,IF(AND(Units!$K121=0,DB$1=Units!$O121),Units!$R121,IF(AND(DB$1&gt;=Units!$Q121,MOD(DB$1-Units!$Q121,12)=0),IF(AND(Units!$L121=1,DB$1=Units!$Q121),IF(Units!$J121&lt;&gt;"",Units!$J121,Mkt!DB122),Inputs!$B$15*Mkt!DB122+(1-Inputs!$B$15)*MIN(Mkt!DB122,DA122*(1+Inputs!$B$18))),DA122)))</f>
        <v>2754.91745855171</v>
      </c>
      <c r="DC122" s="11" t="n">
        <f aca="false">IF(DC$1&lt;Units!$P121,0,IF(AND(Units!$K121=0,DC$1=Units!$O121),Units!$R121,IF(AND(DC$1&gt;=Units!$Q121,MOD(DC$1-Units!$Q121,12)=0),IF(AND(Units!$L121=1,DC$1=Units!$Q121),IF(Units!$J121&lt;&gt;"",Units!$J121,Mkt!DC122),Inputs!$B$15*Mkt!DC122+(1-Inputs!$B$15)*MIN(Mkt!DC122,DB122*(1+Inputs!$B$18))),DB122)))</f>
        <v>2754.91745855171</v>
      </c>
      <c r="DD122" s="11" t="n">
        <f aca="false">IF(DD$1&lt;Units!$P121,0,IF(AND(Units!$K121=0,DD$1=Units!$O121),Units!$R121,IF(AND(DD$1&gt;=Units!$Q121,MOD(DD$1-Units!$Q121,12)=0),IF(AND(Units!$L121=1,DD$1=Units!$Q121),IF(Units!$J121&lt;&gt;"",Units!$J121,Mkt!DD122),Inputs!$B$15*Mkt!DD122+(1-Inputs!$B$15)*MIN(Mkt!DD122,DC122*(1+Inputs!$B$18))),DC122)))</f>
        <v>2837.56498230826</v>
      </c>
      <c r="DE122" s="11" t="n">
        <f aca="false">IF(DE$1&lt;Units!$P121,0,IF(AND(Units!$K121=0,DE$1=Units!$O121),Units!$R121,IF(AND(DE$1&gt;=Units!$Q121,MOD(DE$1-Units!$Q121,12)=0),IF(AND(Units!$L121=1,DE$1=Units!$Q121),IF(Units!$J121&lt;&gt;"",Units!$J121,Mkt!DE122),Inputs!$B$15*Mkt!DE122+(1-Inputs!$B$15)*MIN(Mkt!DE122,DD122*(1+Inputs!$B$18))),DD122)))</f>
        <v>2837.56498230826</v>
      </c>
      <c r="DF122" s="11" t="n">
        <f aca="false">IF(DF$1&lt;Units!$P121,0,IF(AND(Units!$K121=0,DF$1=Units!$O121),Units!$R121,IF(AND(DF$1&gt;=Units!$Q121,MOD(DF$1-Units!$Q121,12)=0),IF(AND(Units!$L121=1,DF$1=Units!$Q121),IF(Units!$J121&lt;&gt;"",Units!$J121,Mkt!DF122),Inputs!$B$15*Mkt!DF122+(1-Inputs!$B$15)*MIN(Mkt!DF122,DE122*(1+Inputs!$B$18))),DE122)))</f>
        <v>2837.56498230826</v>
      </c>
      <c r="DG122" s="11" t="n">
        <f aca="false">IF(DG$1&lt;Units!$P121,0,IF(AND(Units!$K121=0,DG$1=Units!$O121),Units!$R121,IF(AND(DG$1&gt;=Units!$Q121,MOD(DG$1-Units!$Q121,12)=0),IF(AND(Units!$L121=1,DG$1=Units!$Q121),IF(Units!$J121&lt;&gt;"",Units!$J121,Mkt!DG122),Inputs!$B$15*Mkt!DG122+(1-Inputs!$B$15)*MIN(Mkt!DG122,DF122*(1+Inputs!$B$18))),DF122)))</f>
        <v>2837.56498230826</v>
      </c>
      <c r="DH122" s="11" t="n">
        <f aca="false">IF(DH$1&lt;Units!$P121,0,IF(AND(Units!$K121=0,DH$1=Units!$O121),Units!$R121,IF(AND(DH$1&gt;=Units!$Q121,MOD(DH$1-Units!$Q121,12)=0),IF(AND(Units!$L121=1,DH$1=Units!$Q121),IF(Units!$J121&lt;&gt;"",Units!$J121,Mkt!DH122),Inputs!$B$15*Mkt!DH122+(1-Inputs!$B$15)*MIN(Mkt!DH122,DG122*(1+Inputs!$B$18))),DG122)))</f>
        <v>2837.56498230826</v>
      </c>
      <c r="DI122" s="11" t="n">
        <f aca="false">IF(DI$1&lt;Units!$P121,0,IF(AND(Units!$K121=0,DI$1=Units!$O121),Units!$R121,IF(AND(DI$1&gt;=Units!$Q121,MOD(DI$1-Units!$Q121,12)=0),IF(AND(Units!$L121=1,DI$1=Units!$Q121),IF(Units!$J121&lt;&gt;"",Units!$J121,Mkt!DI122),Inputs!$B$15*Mkt!DI122+(1-Inputs!$B$15)*MIN(Mkt!DI122,DH122*(1+Inputs!$B$18))),DH122)))</f>
        <v>2837.56498230826</v>
      </c>
      <c r="DJ122" s="11" t="n">
        <f aca="false">IF(DJ$1&lt;Units!$P121,0,IF(AND(Units!$K121=0,DJ$1=Units!$O121),Units!$R121,IF(AND(DJ$1&gt;=Units!$Q121,MOD(DJ$1-Units!$Q121,12)=0),IF(AND(Units!$L121=1,DJ$1=Units!$Q121),IF(Units!$J121&lt;&gt;"",Units!$J121,Mkt!DJ122),Inputs!$B$15*Mkt!DJ122+(1-Inputs!$B$15)*MIN(Mkt!DJ122,DI122*(1+Inputs!$B$18))),DI122)))</f>
        <v>2837.56498230826</v>
      </c>
      <c r="DK122" s="11" t="n">
        <f aca="false">IF(DK$1&lt;Units!$P121,0,IF(AND(Units!$K121=0,DK$1=Units!$O121),Units!$R121,IF(AND(DK$1&gt;=Units!$Q121,MOD(DK$1-Units!$Q121,12)=0),IF(AND(Units!$L121=1,DK$1=Units!$Q121),IF(Units!$J121&lt;&gt;"",Units!$J121,Mkt!DK122),Inputs!$B$15*Mkt!DK122+(1-Inputs!$B$15)*MIN(Mkt!DK122,DJ122*(1+Inputs!$B$18))),DJ122)))</f>
        <v>2837.56498230826</v>
      </c>
      <c r="DL122" s="11" t="n">
        <f aca="false">IF(DL$1&lt;Units!$P121,0,IF(AND(Units!$K121=0,DL$1=Units!$O121),Units!$R121,IF(AND(DL$1&gt;=Units!$Q121,MOD(DL$1-Units!$Q121,12)=0),IF(AND(Units!$L121=1,DL$1=Units!$Q121),IF(Units!$J121&lt;&gt;"",Units!$J121,Mkt!DL122),Inputs!$B$15*Mkt!DL122+(1-Inputs!$B$15)*MIN(Mkt!DL122,DK122*(1+Inputs!$B$18))),DK122)))</f>
        <v>2837.56498230826</v>
      </c>
      <c r="DM122" s="11" t="n">
        <f aca="false">IF(DM$1&lt;Units!$P121,0,IF(AND(Units!$K121=0,DM$1=Units!$O121),Units!$R121,IF(AND(DM$1&gt;=Units!$Q121,MOD(DM$1-Units!$Q121,12)=0),IF(AND(Units!$L121=1,DM$1=Units!$Q121),IF(Units!$J121&lt;&gt;"",Units!$J121,Mkt!DM122),Inputs!$B$15*Mkt!DM122+(1-Inputs!$B$15)*MIN(Mkt!DM122,DL122*(1+Inputs!$B$18))),DL122)))</f>
        <v>2837.56498230826</v>
      </c>
      <c r="DN122" s="11" t="n">
        <f aca="false">IF(DN$1&lt;Units!$P121,0,IF(AND(Units!$K121=0,DN$1=Units!$O121),Units!$R121,IF(AND(DN$1&gt;=Units!$Q121,MOD(DN$1-Units!$Q121,12)=0),IF(AND(Units!$L121=1,DN$1=Units!$Q121),IF(Units!$J121&lt;&gt;"",Units!$J121,Mkt!DN122),Inputs!$B$15*Mkt!DN122+(1-Inputs!$B$15)*MIN(Mkt!DN122,DM122*(1+Inputs!$B$18))),DM122)))</f>
        <v>2837.56498230826</v>
      </c>
      <c r="DO122" s="11" t="n">
        <f aca="false">IF(DO$1&lt;Units!$P121,0,IF(AND(Units!$K121=0,DO$1=Units!$O121),Units!$R121,IF(AND(DO$1&gt;=Units!$Q121,MOD(DO$1-Units!$Q121,12)=0),IF(AND(Units!$L121=1,DO$1=Units!$Q121),IF(Units!$J121&lt;&gt;"",Units!$J121,Mkt!DO122),Inputs!$B$15*Mkt!DO122+(1-Inputs!$B$15)*MIN(Mkt!DO122,DN122*(1+Inputs!$B$18))),DN122)))</f>
        <v>2837.56498230826</v>
      </c>
      <c r="DP122" s="11" t="n">
        <f aca="false">IF(DP$1&lt;Units!$P121,0,IF(AND(Units!$K121=0,DP$1=Units!$O121),Units!$R121,IF(AND(DP$1&gt;=Units!$Q121,MOD(DP$1-Units!$Q121,12)=0),IF(AND(Units!$L121=1,DP$1=Units!$Q121),IF(Units!$J121&lt;&gt;"",Units!$J121,Mkt!DP122),Inputs!$B$15*Mkt!DP122+(1-Inputs!$B$15)*MIN(Mkt!DP122,DO122*(1+Inputs!$B$18))),DO122)))</f>
        <v>2922.69193177751</v>
      </c>
      <c r="DQ122" s="11" t="n">
        <f aca="false">IF(DQ$1&lt;Units!$P121,0,IF(AND(Units!$K121=0,DQ$1=Units!$O121),Units!$R121,IF(AND(DQ$1&gt;=Units!$Q121,MOD(DQ$1-Units!$Q121,12)=0),IF(AND(Units!$L121=1,DQ$1=Units!$Q121),IF(Units!$J121&lt;&gt;"",Units!$J121,Mkt!DQ122),Inputs!$B$15*Mkt!DQ122+(1-Inputs!$B$15)*MIN(Mkt!DQ122,DP122*(1+Inputs!$B$18))),DP122)))</f>
        <v>2922.69193177751</v>
      </c>
      <c r="DR122" s="11" t="n">
        <f aca="false">IF(DR$1&lt;Units!$P121,0,IF(AND(Units!$K121=0,DR$1=Units!$O121),Units!$R121,IF(AND(DR$1&gt;=Units!$Q121,MOD(DR$1-Units!$Q121,12)=0),IF(AND(Units!$L121=1,DR$1=Units!$Q121),IF(Units!$J121&lt;&gt;"",Units!$J121,Mkt!DR122),Inputs!$B$15*Mkt!DR122+(1-Inputs!$B$15)*MIN(Mkt!DR122,DQ122*(1+Inputs!$B$18))),DQ122)))</f>
        <v>2922.69193177751</v>
      </c>
      <c r="DS122" s="11" t="n">
        <f aca="false">IF(DS$1&lt;Units!$P121,0,IF(AND(Units!$K121=0,DS$1=Units!$O121),Units!$R121,IF(AND(DS$1&gt;=Units!$Q121,MOD(DS$1-Units!$Q121,12)=0),IF(AND(Units!$L121=1,DS$1=Units!$Q121),IF(Units!$J121&lt;&gt;"",Units!$J121,Mkt!DS122),Inputs!$B$15*Mkt!DS122+(1-Inputs!$B$15)*MIN(Mkt!DS122,DR122*(1+Inputs!$B$18))),DR122)))</f>
        <v>2922.69193177751</v>
      </c>
      <c r="DT122" s="11" t="n">
        <f aca="false">IF(DT$1&lt;Units!$P121,0,IF(AND(Units!$K121=0,DT$1=Units!$O121),Units!$R121,IF(AND(DT$1&gt;=Units!$Q121,MOD(DT$1-Units!$Q121,12)=0),IF(AND(Units!$L121=1,DT$1=Units!$Q121),IF(Units!$J121&lt;&gt;"",Units!$J121,Mkt!DT122),Inputs!$B$15*Mkt!DT122+(1-Inputs!$B$15)*MIN(Mkt!DT122,DS122*(1+Inputs!$B$18))),DS122)))</f>
        <v>2922.69193177751</v>
      </c>
      <c r="DU122" s="11" t="n">
        <f aca="false">IF(DU$1&lt;Units!$P121,0,IF(AND(Units!$K121=0,DU$1=Units!$O121),Units!$R121,IF(AND(DU$1&gt;=Units!$Q121,MOD(DU$1-Units!$Q121,12)=0),IF(AND(Units!$L121=1,DU$1=Units!$Q121),IF(Units!$J121&lt;&gt;"",Units!$J121,Mkt!DU122),Inputs!$B$15*Mkt!DU122+(1-Inputs!$B$15)*MIN(Mkt!DU122,DT122*(1+Inputs!$B$18))),DT122)))</f>
        <v>2922.69193177751</v>
      </c>
      <c r="DV122" s="11" t="n">
        <f aca="false">IF(DV$1&lt;Units!$P121,0,IF(AND(Units!$K121=0,DV$1=Units!$O121),Units!$R121,IF(AND(DV$1&gt;=Units!$Q121,MOD(DV$1-Units!$Q121,12)=0),IF(AND(Units!$L121=1,DV$1=Units!$Q121),IF(Units!$J121&lt;&gt;"",Units!$J121,Mkt!DV122),Inputs!$B$15*Mkt!DV122+(1-Inputs!$B$15)*MIN(Mkt!DV122,DU122*(1+Inputs!$B$18))),DU122)))</f>
        <v>2922.69193177751</v>
      </c>
      <c r="DW122" s="11" t="n">
        <f aca="false">IF(DW$1&lt;Units!$P121,0,IF(AND(Units!$K121=0,DW$1=Units!$O121),Units!$R121,IF(AND(DW$1&gt;=Units!$Q121,MOD(DW$1-Units!$Q121,12)=0),IF(AND(Units!$L121=1,DW$1=Units!$Q121),IF(Units!$J121&lt;&gt;"",Units!$J121,Mkt!DW122),Inputs!$B$15*Mkt!DW122+(1-Inputs!$B$15)*MIN(Mkt!DW122,DV122*(1+Inputs!$B$18))),DV122)))</f>
        <v>2922.69193177751</v>
      </c>
      <c r="DX122" s="11" t="n">
        <f aca="false">IF(DX$1&lt;Units!$P121,0,IF(AND(Units!$K121=0,DX$1=Units!$O121),Units!$R121,IF(AND(DX$1&gt;=Units!$Q121,MOD(DX$1-Units!$Q121,12)=0),IF(AND(Units!$L121=1,DX$1=Units!$Q121),IF(Units!$J121&lt;&gt;"",Units!$J121,Mkt!DX122),Inputs!$B$15*Mkt!DX122+(1-Inputs!$B$15)*MIN(Mkt!DX122,DW122*(1+Inputs!$B$18))),DW122)))</f>
        <v>2922.69193177751</v>
      </c>
      <c r="DY122" s="11" t="n">
        <f aca="false">IF(DY$1&lt;Units!$P121,0,IF(AND(Units!$K121=0,DY$1=Units!$O121),Units!$R121,IF(AND(DY$1&gt;=Units!$Q121,MOD(DY$1-Units!$Q121,12)=0),IF(AND(Units!$L121=1,DY$1=Units!$Q121),IF(Units!$J121&lt;&gt;"",Units!$J121,Mkt!DY122),Inputs!$B$15*Mkt!DY122+(1-Inputs!$B$15)*MIN(Mkt!DY122,DX122*(1+Inputs!$B$18))),DX122)))</f>
        <v>2922.69193177751</v>
      </c>
      <c r="DZ122" s="11" t="n">
        <f aca="false">IF(DZ$1&lt;Units!$P121,0,IF(AND(Units!$K121=0,DZ$1=Units!$O121),Units!$R121,IF(AND(DZ$1&gt;=Units!$Q121,MOD(DZ$1-Units!$Q121,12)=0),IF(AND(Units!$L121=1,DZ$1=Units!$Q121),IF(Units!$J121&lt;&gt;"",Units!$J121,Mkt!DZ122),Inputs!$B$15*Mkt!DZ122+(1-Inputs!$B$15)*MIN(Mkt!DZ122,DY122*(1+Inputs!$B$18))),DY122)))</f>
        <v>2922.69193177751</v>
      </c>
      <c r="EA122" s="11" t="n">
        <f aca="false">IF(EA$1&lt;Units!$P121,0,IF(AND(Units!$K121=0,EA$1=Units!$O121),Units!$R121,IF(AND(EA$1&gt;=Units!$Q121,MOD(EA$1-Units!$Q121,12)=0),IF(AND(Units!$L121=1,EA$1=Units!$Q121),IF(Units!$J121&lt;&gt;"",Units!$J121,Mkt!EA122),Inputs!$B$15*Mkt!EA122+(1-Inputs!$B$15)*MIN(Mkt!EA122,DZ122*(1+Inputs!$B$18))),DZ122)))</f>
        <v>2922.69193177751</v>
      </c>
      <c r="EB122" s="11" t="n">
        <f aca="false">IF(EB$1&lt;Units!$P121,0,IF(AND(Units!$K121=0,EB$1=Units!$O121),Units!$R121,IF(AND(EB$1&gt;=Units!$Q121,MOD(EB$1-Units!$Q121,12)=0),IF(AND(Units!$L121=1,EB$1=Units!$Q121),IF(Units!$J121&lt;&gt;"",Units!$J121,Mkt!EB122),Inputs!$B$15*Mkt!EB122+(1-Inputs!$B$15)*MIN(Mkt!EB122,EA122*(1+Inputs!$B$18))),EA122)))</f>
        <v>3010.37268973083</v>
      </c>
      <c r="EC122" s="11" t="n">
        <f aca="false">IF(EC$1&lt;Units!$P121,0,IF(AND(Units!$K121=0,EC$1=Units!$O121),Units!$R121,IF(AND(EC$1&gt;=Units!$Q121,MOD(EC$1-Units!$Q121,12)=0),IF(AND(Units!$L121=1,EC$1=Units!$Q121),IF(Units!$J121&lt;&gt;"",Units!$J121,Mkt!EC122),Inputs!$B$15*Mkt!EC122+(1-Inputs!$B$15)*MIN(Mkt!EC122,EB122*(1+Inputs!$B$18))),EB122)))</f>
        <v>3010.37268973083</v>
      </c>
      <c r="ED122" s="11" t="n">
        <f aca="false">IF(ED$1&lt;Units!$P121,0,IF(AND(Units!$K121=0,ED$1=Units!$O121),Units!$R121,IF(AND(ED$1&gt;=Units!$Q121,MOD(ED$1-Units!$Q121,12)=0),IF(AND(Units!$L121=1,ED$1=Units!$Q121),IF(Units!$J121&lt;&gt;"",Units!$J121,Mkt!ED122),Inputs!$B$15*Mkt!ED122+(1-Inputs!$B$15)*MIN(Mkt!ED122,EC122*(1+Inputs!$B$18))),EC122)))</f>
        <v>3010.37268973083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D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</cols>
  <sheetData>
    <row r="1" customFormat="false" ht="15" hidden="false" customHeight="false" outlineLevel="0" collapsed="false">
      <c r="A1" s="14" t="s">
        <v>130</v>
      </c>
      <c r="B1" s="14" t="s">
        <v>132</v>
      </c>
      <c r="C1" s="14" t="n">
        <v>1</v>
      </c>
      <c r="D1" s="14" t="n">
        <v>2</v>
      </c>
      <c r="E1" s="14" t="n">
        <v>3</v>
      </c>
      <c r="F1" s="14" t="n">
        <v>4</v>
      </c>
      <c r="G1" s="14" t="n">
        <v>5</v>
      </c>
      <c r="H1" s="14" t="n">
        <v>6</v>
      </c>
      <c r="I1" s="14" t="n">
        <v>7</v>
      </c>
      <c r="J1" s="14" t="n">
        <v>8</v>
      </c>
      <c r="K1" s="14" t="n">
        <v>9</v>
      </c>
      <c r="L1" s="14" t="n">
        <v>10</v>
      </c>
      <c r="M1" s="14" t="n">
        <v>11</v>
      </c>
      <c r="N1" s="14" t="n">
        <v>12</v>
      </c>
      <c r="O1" s="14" t="n">
        <v>13</v>
      </c>
      <c r="P1" s="14" t="n">
        <v>14</v>
      </c>
      <c r="Q1" s="14" t="n">
        <v>15</v>
      </c>
      <c r="R1" s="14" t="n">
        <v>16</v>
      </c>
      <c r="S1" s="14" t="n">
        <v>17</v>
      </c>
      <c r="T1" s="14" t="n">
        <v>18</v>
      </c>
      <c r="U1" s="14" t="n">
        <v>19</v>
      </c>
      <c r="V1" s="14" t="n">
        <v>20</v>
      </c>
      <c r="W1" s="14" t="n">
        <v>21</v>
      </c>
      <c r="X1" s="14" t="n">
        <v>22</v>
      </c>
      <c r="Y1" s="14" t="n">
        <v>23</v>
      </c>
      <c r="Z1" s="14" t="n">
        <v>24</v>
      </c>
      <c r="AA1" s="14" t="n">
        <v>25</v>
      </c>
      <c r="AB1" s="14" t="n">
        <v>26</v>
      </c>
      <c r="AC1" s="14" t="n">
        <v>27</v>
      </c>
      <c r="AD1" s="14" t="n">
        <v>28</v>
      </c>
      <c r="AE1" s="14" t="n">
        <v>29</v>
      </c>
      <c r="AF1" s="14" t="n">
        <v>30</v>
      </c>
      <c r="AG1" s="14" t="n">
        <v>31</v>
      </c>
      <c r="AH1" s="14" t="n">
        <v>32</v>
      </c>
      <c r="AI1" s="14" t="n">
        <v>33</v>
      </c>
      <c r="AJ1" s="14" t="n">
        <v>34</v>
      </c>
      <c r="AK1" s="14" t="n">
        <v>35</v>
      </c>
      <c r="AL1" s="14" t="n">
        <v>36</v>
      </c>
      <c r="AM1" s="14" t="n">
        <v>37</v>
      </c>
      <c r="AN1" s="14" t="n">
        <v>38</v>
      </c>
      <c r="AO1" s="14" t="n">
        <v>39</v>
      </c>
      <c r="AP1" s="14" t="n">
        <v>40</v>
      </c>
      <c r="AQ1" s="14" t="n">
        <v>41</v>
      </c>
      <c r="AR1" s="14" t="n">
        <v>42</v>
      </c>
      <c r="AS1" s="14" t="n">
        <v>43</v>
      </c>
      <c r="AT1" s="14" t="n">
        <v>44</v>
      </c>
      <c r="AU1" s="14" t="n">
        <v>45</v>
      </c>
      <c r="AV1" s="14" t="n">
        <v>46</v>
      </c>
      <c r="AW1" s="14" t="n">
        <v>47</v>
      </c>
      <c r="AX1" s="14" t="n">
        <v>48</v>
      </c>
      <c r="AY1" s="14" t="n">
        <v>49</v>
      </c>
      <c r="AZ1" s="14" t="n">
        <v>50</v>
      </c>
      <c r="BA1" s="14" t="n">
        <v>51</v>
      </c>
      <c r="BB1" s="14" t="n">
        <v>52</v>
      </c>
      <c r="BC1" s="14" t="n">
        <v>53</v>
      </c>
      <c r="BD1" s="14" t="n">
        <v>54</v>
      </c>
      <c r="BE1" s="14" t="n">
        <v>55</v>
      </c>
      <c r="BF1" s="14" t="n">
        <v>56</v>
      </c>
      <c r="BG1" s="14" t="n">
        <v>57</v>
      </c>
      <c r="BH1" s="14" t="n">
        <v>58</v>
      </c>
      <c r="BI1" s="14" t="n">
        <v>59</v>
      </c>
      <c r="BJ1" s="14" t="n">
        <v>60</v>
      </c>
      <c r="BK1" s="14" t="n">
        <v>61</v>
      </c>
      <c r="BL1" s="14" t="n">
        <v>62</v>
      </c>
      <c r="BM1" s="14" t="n">
        <v>63</v>
      </c>
      <c r="BN1" s="14" t="n">
        <v>64</v>
      </c>
      <c r="BO1" s="14" t="n">
        <v>65</v>
      </c>
      <c r="BP1" s="14" t="n">
        <v>66</v>
      </c>
      <c r="BQ1" s="14" t="n">
        <v>67</v>
      </c>
      <c r="BR1" s="14" t="n">
        <v>68</v>
      </c>
      <c r="BS1" s="14" t="n">
        <v>69</v>
      </c>
      <c r="BT1" s="14" t="n">
        <v>70</v>
      </c>
      <c r="BU1" s="14" t="n">
        <v>71</v>
      </c>
      <c r="BV1" s="14" t="n">
        <v>72</v>
      </c>
      <c r="BW1" s="14" t="n">
        <v>73</v>
      </c>
      <c r="BX1" s="14" t="n">
        <v>74</v>
      </c>
      <c r="BY1" s="14" t="n">
        <v>75</v>
      </c>
      <c r="BZ1" s="14" t="n">
        <v>76</v>
      </c>
      <c r="CA1" s="14" t="n">
        <v>77</v>
      </c>
      <c r="CB1" s="14" t="n">
        <v>78</v>
      </c>
      <c r="CC1" s="14" t="n">
        <v>79</v>
      </c>
      <c r="CD1" s="14" t="n">
        <v>80</v>
      </c>
      <c r="CE1" s="14" t="n">
        <v>81</v>
      </c>
      <c r="CF1" s="14" t="n">
        <v>82</v>
      </c>
      <c r="CG1" s="14" t="n">
        <v>83</v>
      </c>
      <c r="CH1" s="14" t="n">
        <v>84</v>
      </c>
      <c r="CI1" s="14" t="n">
        <v>85</v>
      </c>
      <c r="CJ1" s="14" t="n">
        <v>86</v>
      </c>
      <c r="CK1" s="14" t="n">
        <v>87</v>
      </c>
      <c r="CL1" s="14" t="n">
        <v>88</v>
      </c>
      <c r="CM1" s="14" t="n">
        <v>89</v>
      </c>
      <c r="CN1" s="14" t="n">
        <v>90</v>
      </c>
      <c r="CO1" s="14" t="n">
        <v>91</v>
      </c>
      <c r="CP1" s="14" t="n">
        <v>92</v>
      </c>
      <c r="CQ1" s="14" t="n">
        <v>93</v>
      </c>
      <c r="CR1" s="14" t="n">
        <v>94</v>
      </c>
      <c r="CS1" s="14" t="n">
        <v>95</v>
      </c>
      <c r="CT1" s="14" t="n">
        <v>96</v>
      </c>
      <c r="CU1" s="14" t="n">
        <v>97</v>
      </c>
      <c r="CV1" s="14" t="n">
        <v>98</v>
      </c>
      <c r="CW1" s="14" t="n">
        <v>99</v>
      </c>
      <c r="CX1" s="14" t="n">
        <v>100</v>
      </c>
      <c r="CY1" s="14" t="n">
        <v>101</v>
      </c>
      <c r="CZ1" s="14" t="n">
        <v>102</v>
      </c>
      <c r="DA1" s="14" t="n">
        <v>103</v>
      </c>
      <c r="DB1" s="14" t="n">
        <v>104</v>
      </c>
      <c r="DC1" s="14" t="n">
        <v>105</v>
      </c>
      <c r="DD1" s="14" t="n">
        <v>106</v>
      </c>
      <c r="DE1" s="14" t="n">
        <v>107</v>
      </c>
      <c r="DF1" s="14" t="n">
        <v>108</v>
      </c>
      <c r="DG1" s="14" t="n">
        <v>109</v>
      </c>
      <c r="DH1" s="14" t="n">
        <v>110</v>
      </c>
      <c r="DI1" s="14" t="n">
        <v>111</v>
      </c>
      <c r="DJ1" s="14" t="n">
        <v>112</v>
      </c>
      <c r="DK1" s="14" t="n">
        <v>113</v>
      </c>
      <c r="DL1" s="14" t="n">
        <v>114</v>
      </c>
      <c r="DM1" s="14" t="n">
        <v>115</v>
      </c>
      <c r="DN1" s="14" t="n">
        <v>116</v>
      </c>
      <c r="DO1" s="14" t="n">
        <v>117</v>
      </c>
      <c r="DP1" s="14" t="n">
        <v>118</v>
      </c>
      <c r="DQ1" s="14" t="n">
        <v>119</v>
      </c>
      <c r="DR1" s="14" t="n">
        <v>120</v>
      </c>
      <c r="DS1" s="14" t="n">
        <v>121</v>
      </c>
      <c r="DT1" s="14" t="n">
        <v>122</v>
      </c>
      <c r="DU1" s="14" t="n">
        <v>123</v>
      </c>
      <c r="DV1" s="14" t="n">
        <v>124</v>
      </c>
      <c r="DW1" s="14" t="n">
        <v>125</v>
      </c>
      <c r="DX1" s="14" t="n">
        <v>126</v>
      </c>
      <c r="DY1" s="14" t="n">
        <v>127</v>
      </c>
      <c r="DZ1" s="14" t="n">
        <v>128</v>
      </c>
      <c r="EA1" s="14" t="n">
        <v>129</v>
      </c>
      <c r="EB1" s="14" t="n">
        <v>130</v>
      </c>
      <c r="EC1" s="14" t="n">
        <v>131</v>
      </c>
      <c r="ED1" s="14" t="n">
        <v>132</v>
      </c>
    </row>
    <row r="2" customFormat="false" ht="15" hidden="false" customHeight="false" outlineLevel="0" collapsed="false">
      <c r="A2" s="14" t="s">
        <v>54</v>
      </c>
      <c r="C2" s="2" t="n">
        <f aca="false">ROUNDUP(C1/12,0)</f>
        <v>1</v>
      </c>
      <c r="D2" s="2" t="n">
        <f aca="false">ROUNDUP(D1/12,0)</f>
        <v>1</v>
      </c>
      <c r="E2" s="2" t="n">
        <f aca="false">ROUNDUP(E1/12,0)</f>
        <v>1</v>
      </c>
      <c r="F2" s="2" t="n">
        <f aca="false">ROUNDUP(F1/12,0)</f>
        <v>1</v>
      </c>
      <c r="G2" s="2" t="n">
        <f aca="false">ROUNDUP(G1/12,0)</f>
        <v>1</v>
      </c>
      <c r="H2" s="2" t="n">
        <f aca="false">ROUNDUP(H1/12,0)</f>
        <v>1</v>
      </c>
      <c r="I2" s="2" t="n">
        <f aca="false">ROUNDUP(I1/12,0)</f>
        <v>1</v>
      </c>
      <c r="J2" s="2" t="n">
        <f aca="false">ROUNDUP(J1/12,0)</f>
        <v>1</v>
      </c>
      <c r="K2" s="2" t="n">
        <f aca="false">ROUNDUP(K1/12,0)</f>
        <v>1</v>
      </c>
      <c r="L2" s="2" t="n">
        <f aca="false">ROUNDUP(L1/12,0)</f>
        <v>1</v>
      </c>
      <c r="M2" s="2" t="n">
        <f aca="false">ROUNDUP(M1/12,0)</f>
        <v>1</v>
      </c>
      <c r="N2" s="2" t="n">
        <f aca="false">ROUNDUP(N1/12,0)</f>
        <v>1</v>
      </c>
      <c r="O2" s="2" t="n">
        <f aca="false">ROUNDUP(O1/12,0)</f>
        <v>2</v>
      </c>
      <c r="P2" s="2" t="n">
        <f aca="false">ROUNDUP(P1/12,0)</f>
        <v>2</v>
      </c>
      <c r="Q2" s="2" t="n">
        <f aca="false">ROUNDUP(Q1/12,0)</f>
        <v>2</v>
      </c>
      <c r="R2" s="2" t="n">
        <f aca="false">ROUNDUP(R1/12,0)</f>
        <v>2</v>
      </c>
      <c r="S2" s="2" t="n">
        <f aca="false">ROUNDUP(S1/12,0)</f>
        <v>2</v>
      </c>
      <c r="T2" s="2" t="n">
        <f aca="false">ROUNDUP(T1/12,0)</f>
        <v>2</v>
      </c>
      <c r="U2" s="2" t="n">
        <f aca="false">ROUNDUP(U1/12,0)</f>
        <v>2</v>
      </c>
      <c r="V2" s="2" t="n">
        <f aca="false">ROUNDUP(V1/12,0)</f>
        <v>2</v>
      </c>
      <c r="W2" s="2" t="n">
        <f aca="false">ROUNDUP(W1/12,0)</f>
        <v>2</v>
      </c>
      <c r="X2" s="2" t="n">
        <f aca="false">ROUNDUP(X1/12,0)</f>
        <v>2</v>
      </c>
      <c r="Y2" s="2" t="n">
        <f aca="false">ROUNDUP(Y1/12,0)</f>
        <v>2</v>
      </c>
      <c r="Z2" s="2" t="n">
        <f aca="false">ROUNDUP(Z1/12,0)</f>
        <v>2</v>
      </c>
      <c r="AA2" s="2" t="n">
        <f aca="false">ROUNDUP(AA1/12,0)</f>
        <v>3</v>
      </c>
      <c r="AB2" s="2" t="n">
        <f aca="false">ROUNDUP(AB1/12,0)</f>
        <v>3</v>
      </c>
      <c r="AC2" s="2" t="n">
        <f aca="false">ROUNDUP(AC1/12,0)</f>
        <v>3</v>
      </c>
      <c r="AD2" s="2" t="n">
        <f aca="false">ROUNDUP(AD1/12,0)</f>
        <v>3</v>
      </c>
      <c r="AE2" s="2" t="n">
        <f aca="false">ROUNDUP(AE1/12,0)</f>
        <v>3</v>
      </c>
      <c r="AF2" s="2" t="n">
        <f aca="false">ROUNDUP(AF1/12,0)</f>
        <v>3</v>
      </c>
      <c r="AG2" s="2" t="n">
        <f aca="false">ROUNDUP(AG1/12,0)</f>
        <v>3</v>
      </c>
      <c r="AH2" s="2" t="n">
        <f aca="false">ROUNDUP(AH1/12,0)</f>
        <v>3</v>
      </c>
      <c r="AI2" s="2" t="n">
        <f aca="false">ROUNDUP(AI1/12,0)</f>
        <v>3</v>
      </c>
      <c r="AJ2" s="2" t="n">
        <f aca="false">ROUNDUP(AJ1/12,0)</f>
        <v>3</v>
      </c>
      <c r="AK2" s="2" t="n">
        <f aca="false">ROUNDUP(AK1/12,0)</f>
        <v>3</v>
      </c>
      <c r="AL2" s="2" t="n">
        <f aca="false">ROUNDUP(AL1/12,0)</f>
        <v>3</v>
      </c>
      <c r="AM2" s="2" t="n">
        <f aca="false">ROUNDUP(AM1/12,0)</f>
        <v>4</v>
      </c>
      <c r="AN2" s="2" t="n">
        <f aca="false">ROUNDUP(AN1/12,0)</f>
        <v>4</v>
      </c>
      <c r="AO2" s="2" t="n">
        <f aca="false">ROUNDUP(AO1/12,0)</f>
        <v>4</v>
      </c>
      <c r="AP2" s="2" t="n">
        <f aca="false">ROUNDUP(AP1/12,0)</f>
        <v>4</v>
      </c>
      <c r="AQ2" s="2" t="n">
        <f aca="false">ROUNDUP(AQ1/12,0)</f>
        <v>4</v>
      </c>
      <c r="AR2" s="2" t="n">
        <f aca="false">ROUNDUP(AR1/12,0)</f>
        <v>4</v>
      </c>
      <c r="AS2" s="2" t="n">
        <f aca="false">ROUNDUP(AS1/12,0)</f>
        <v>4</v>
      </c>
      <c r="AT2" s="2" t="n">
        <f aca="false">ROUNDUP(AT1/12,0)</f>
        <v>4</v>
      </c>
      <c r="AU2" s="2" t="n">
        <f aca="false">ROUNDUP(AU1/12,0)</f>
        <v>4</v>
      </c>
      <c r="AV2" s="2" t="n">
        <f aca="false">ROUNDUP(AV1/12,0)</f>
        <v>4</v>
      </c>
      <c r="AW2" s="2" t="n">
        <f aca="false">ROUNDUP(AW1/12,0)</f>
        <v>4</v>
      </c>
      <c r="AX2" s="2" t="n">
        <f aca="false">ROUNDUP(AX1/12,0)</f>
        <v>4</v>
      </c>
      <c r="AY2" s="2" t="n">
        <f aca="false">ROUNDUP(AY1/12,0)</f>
        <v>5</v>
      </c>
      <c r="AZ2" s="2" t="n">
        <f aca="false">ROUNDUP(AZ1/12,0)</f>
        <v>5</v>
      </c>
      <c r="BA2" s="2" t="n">
        <f aca="false">ROUNDUP(BA1/12,0)</f>
        <v>5</v>
      </c>
      <c r="BB2" s="2" t="n">
        <f aca="false">ROUNDUP(BB1/12,0)</f>
        <v>5</v>
      </c>
      <c r="BC2" s="2" t="n">
        <f aca="false">ROUNDUP(BC1/12,0)</f>
        <v>5</v>
      </c>
      <c r="BD2" s="2" t="n">
        <f aca="false">ROUNDUP(BD1/12,0)</f>
        <v>5</v>
      </c>
      <c r="BE2" s="2" t="n">
        <f aca="false">ROUNDUP(BE1/12,0)</f>
        <v>5</v>
      </c>
      <c r="BF2" s="2" t="n">
        <f aca="false">ROUNDUP(BF1/12,0)</f>
        <v>5</v>
      </c>
      <c r="BG2" s="2" t="n">
        <f aca="false">ROUNDUP(BG1/12,0)</f>
        <v>5</v>
      </c>
      <c r="BH2" s="2" t="n">
        <f aca="false">ROUNDUP(BH1/12,0)</f>
        <v>5</v>
      </c>
      <c r="BI2" s="2" t="n">
        <f aca="false">ROUNDUP(BI1/12,0)</f>
        <v>5</v>
      </c>
      <c r="BJ2" s="2" t="n">
        <f aca="false">ROUNDUP(BJ1/12,0)</f>
        <v>5</v>
      </c>
      <c r="BK2" s="2" t="n">
        <f aca="false">ROUNDUP(BK1/12,0)</f>
        <v>6</v>
      </c>
      <c r="BL2" s="2" t="n">
        <f aca="false">ROUNDUP(BL1/12,0)</f>
        <v>6</v>
      </c>
      <c r="BM2" s="2" t="n">
        <f aca="false">ROUNDUP(BM1/12,0)</f>
        <v>6</v>
      </c>
      <c r="BN2" s="2" t="n">
        <f aca="false">ROUNDUP(BN1/12,0)</f>
        <v>6</v>
      </c>
      <c r="BO2" s="2" t="n">
        <f aca="false">ROUNDUP(BO1/12,0)</f>
        <v>6</v>
      </c>
      <c r="BP2" s="2" t="n">
        <f aca="false">ROUNDUP(BP1/12,0)</f>
        <v>6</v>
      </c>
      <c r="BQ2" s="2" t="n">
        <f aca="false">ROUNDUP(BQ1/12,0)</f>
        <v>6</v>
      </c>
      <c r="BR2" s="2" t="n">
        <f aca="false">ROUNDUP(BR1/12,0)</f>
        <v>6</v>
      </c>
      <c r="BS2" s="2" t="n">
        <f aca="false">ROUNDUP(BS1/12,0)</f>
        <v>6</v>
      </c>
      <c r="BT2" s="2" t="n">
        <f aca="false">ROUNDUP(BT1/12,0)</f>
        <v>6</v>
      </c>
      <c r="BU2" s="2" t="n">
        <f aca="false">ROUNDUP(BU1/12,0)</f>
        <v>6</v>
      </c>
      <c r="BV2" s="2" t="n">
        <f aca="false">ROUNDUP(BV1/12,0)</f>
        <v>6</v>
      </c>
      <c r="BW2" s="2" t="n">
        <f aca="false">ROUNDUP(BW1/12,0)</f>
        <v>7</v>
      </c>
      <c r="BX2" s="2" t="n">
        <f aca="false">ROUNDUP(BX1/12,0)</f>
        <v>7</v>
      </c>
      <c r="BY2" s="2" t="n">
        <f aca="false">ROUNDUP(BY1/12,0)</f>
        <v>7</v>
      </c>
      <c r="BZ2" s="2" t="n">
        <f aca="false">ROUNDUP(BZ1/12,0)</f>
        <v>7</v>
      </c>
      <c r="CA2" s="2" t="n">
        <f aca="false">ROUNDUP(CA1/12,0)</f>
        <v>7</v>
      </c>
      <c r="CB2" s="2" t="n">
        <f aca="false">ROUNDUP(CB1/12,0)</f>
        <v>7</v>
      </c>
      <c r="CC2" s="2" t="n">
        <f aca="false">ROUNDUP(CC1/12,0)</f>
        <v>7</v>
      </c>
      <c r="CD2" s="2" t="n">
        <f aca="false">ROUNDUP(CD1/12,0)</f>
        <v>7</v>
      </c>
      <c r="CE2" s="2" t="n">
        <f aca="false">ROUNDUP(CE1/12,0)</f>
        <v>7</v>
      </c>
      <c r="CF2" s="2" t="n">
        <f aca="false">ROUNDUP(CF1/12,0)</f>
        <v>7</v>
      </c>
      <c r="CG2" s="2" t="n">
        <f aca="false">ROUNDUP(CG1/12,0)</f>
        <v>7</v>
      </c>
      <c r="CH2" s="2" t="n">
        <f aca="false">ROUNDUP(CH1/12,0)</f>
        <v>7</v>
      </c>
      <c r="CI2" s="2" t="n">
        <f aca="false">ROUNDUP(CI1/12,0)</f>
        <v>8</v>
      </c>
      <c r="CJ2" s="2" t="n">
        <f aca="false">ROUNDUP(CJ1/12,0)</f>
        <v>8</v>
      </c>
      <c r="CK2" s="2" t="n">
        <f aca="false">ROUNDUP(CK1/12,0)</f>
        <v>8</v>
      </c>
      <c r="CL2" s="2" t="n">
        <f aca="false">ROUNDUP(CL1/12,0)</f>
        <v>8</v>
      </c>
      <c r="CM2" s="2" t="n">
        <f aca="false">ROUNDUP(CM1/12,0)</f>
        <v>8</v>
      </c>
      <c r="CN2" s="2" t="n">
        <f aca="false">ROUNDUP(CN1/12,0)</f>
        <v>8</v>
      </c>
      <c r="CO2" s="2" t="n">
        <f aca="false">ROUNDUP(CO1/12,0)</f>
        <v>8</v>
      </c>
      <c r="CP2" s="2" t="n">
        <f aca="false">ROUNDUP(CP1/12,0)</f>
        <v>8</v>
      </c>
      <c r="CQ2" s="2" t="n">
        <f aca="false">ROUNDUP(CQ1/12,0)</f>
        <v>8</v>
      </c>
      <c r="CR2" s="2" t="n">
        <f aca="false">ROUNDUP(CR1/12,0)</f>
        <v>8</v>
      </c>
      <c r="CS2" s="2" t="n">
        <f aca="false">ROUNDUP(CS1/12,0)</f>
        <v>8</v>
      </c>
      <c r="CT2" s="2" t="n">
        <f aca="false">ROUNDUP(CT1/12,0)</f>
        <v>8</v>
      </c>
      <c r="CU2" s="2" t="n">
        <f aca="false">ROUNDUP(CU1/12,0)</f>
        <v>9</v>
      </c>
      <c r="CV2" s="2" t="n">
        <f aca="false">ROUNDUP(CV1/12,0)</f>
        <v>9</v>
      </c>
      <c r="CW2" s="2" t="n">
        <f aca="false">ROUNDUP(CW1/12,0)</f>
        <v>9</v>
      </c>
      <c r="CX2" s="2" t="n">
        <f aca="false">ROUNDUP(CX1/12,0)</f>
        <v>9</v>
      </c>
      <c r="CY2" s="2" t="n">
        <f aca="false">ROUNDUP(CY1/12,0)</f>
        <v>9</v>
      </c>
      <c r="CZ2" s="2" t="n">
        <f aca="false">ROUNDUP(CZ1/12,0)</f>
        <v>9</v>
      </c>
      <c r="DA2" s="2" t="n">
        <f aca="false">ROUNDUP(DA1/12,0)</f>
        <v>9</v>
      </c>
      <c r="DB2" s="2" t="n">
        <f aca="false">ROUNDUP(DB1/12,0)</f>
        <v>9</v>
      </c>
      <c r="DC2" s="2" t="n">
        <f aca="false">ROUNDUP(DC1/12,0)</f>
        <v>9</v>
      </c>
      <c r="DD2" s="2" t="n">
        <f aca="false">ROUNDUP(DD1/12,0)</f>
        <v>9</v>
      </c>
      <c r="DE2" s="2" t="n">
        <f aca="false">ROUNDUP(DE1/12,0)</f>
        <v>9</v>
      </c>
      <c r="DF2" s="2" t="n">
        <f aca="false">ROUNDUP(DF1/12,0)</f>
        <v>9</v>
      </c>
      <c r="DG2" s="2" t="n">
        <f aca="false">ROUNDUP(DG1/12,0)</f>
        <v>10</v>
      </c>
      <c r="DH2" s="2" t="n">
        <f aca="false">ROUNDUP(DH1/12,0)</f>
        <v>10</v>
      </c>
      <c r="DI2" s="2" t="n">
        <f aca="false">ROUNDUP(DI1/12,0)</f>
        <v>10</v>
      </c>
      <c r="DJ2" s="2" t="n">
        <f aca="false">ROUNDUP(DJ1/12,0)</f>
        <v>10</v>
      </c>
      <c r="DK2" s="2" t="n">
        <f aca="false">ROUNDUP(DK1/12,0)</f>
        <v>10</v>
      </c>
      <c r="DL2" s="2" t="n">
        <f aca="false">ROUNDUP(DL1/12,0)</f>
        <v>10</v>
      </c>
      <c r="DM2" s="2" t="n">
        <f aca="false">ROUNDUP(DM1/12,0)</f>
        <v>10</v>
      </c>
      <c r="DN2" s="2" t="n">
        <f aca="false">ROUNDUP(DN1/12,0)</f>
        <v>10</v>
      </c>
      <c r="DO2" s="2" t="n">
        <f aca="false">ROUNDUP(DO1/12,0)</f>
        <v>10</v>
      </c>
      <c r="DP2" s="2" t="n">
        <f aca="false">ROUNDUP(DP1/12,0)</f>
        <v>10</v>
      </c>
      <c r="DQ2" s="2" t="n">
        <f aca="false">ROUNDUP(DQ1/12,0)</f>
        <v>10</v>
      </c>
      <c r="DR2" s="2" t="n">
        <f aca="false">ROUNDUP(DR1/12,0)</f>
        <v>10</v>
      </c>
      <c r="DS2" s="2" t="n">
        <f aca="false">ROUNDUP(DS1/12,0)</f>
        <v>11</v>
      </c>
      <c r="DT2" s="2" t="n">
        <f aca="false">ROUNDUP(DT1/12,0)</f>
        <v>11</v>
      </c>
      <c r="DU2" s="2" t="n">
        <f aca="false">ROUNDUP(DU1/12,0)</f>
        <v>11</v>
      </c>
      <c r="DV2" s="2" t="n">
        <f aca="false">ROUNDUP(DV1/12,0)</f>
        <v>11</v>
      </c>
      <c r="DW2" s="2" t="n">
        <f aca="false">ROUNDUP(DW1/12,0)</f>
        <v>11</v>
      </c>
      <c r="DX2" s="2" t="n">
        <f aca="false">ROUNDUP(DX1/12,0)</f>
        <v>11</v>
      </c>
      <c r="DY2" s="2" t="n">
        <f aca="false">ROUNDUP(DY1/12,0)</f>
        <v>11</v>
      </c>
      <c r="DZ2" s="2" t="n">
        <f aca="false">ROUNDUP(DZ1/12,0)</f>
        <v>11</v>
      </c>
      <c r="EA2" s="2" t="n">
        <f aca="false">ROUNDUP(EA1/12,0)</f>
        <v>11</v>
      </c>
      <c r="EB2" s="2" t="n">
        <f aca="false">ROUNDUP(EB1/12,0)</f>
        <v>11</v>
      </c>
      <c r="EC2" s="2" t="n">
        <f aca="false">ROUNDUP(EC1/12,0)</f>
        <v>11</v>
      </c>
      <c r="ED2" s="2" t="n">
        <f aca="false">ROUNDUP(ED1/12,0)</f>
        <v>11</v>
      </c>
    </row>
    <row r="3" customFormat="false" ht="15" hidden="false" customHeight="false" outlineLevel="0" collapsed="false">
      <c r="A3" s="22" t="n">
        <f aca="false">Units!A2</f>
        <v>101</v>
      </c>
      <c r="B3" s="23"/>
      <c r="C3" s="11" t="n">
        <f aca="false">IF(AND(C$1&gt;=Units!$Q2,MOD(C$1-Units!$Q2,12)=0),IF(AND(Units!$L2=1,C$1=Units!$Q2),1,Inputs!$B$15)*Inputs!$B$16*(1+Inputs!$B$11)^(C$2-1),0)</f>
        <v>0</v>
      </c>
      <c r="D3" s="11" t="n">
        <f aca="false">IF(AND(D$1&gt;=Units!$Q2,MOD(D$1-Units!$Q2,12)=0),IF(AND(Units!$L2=1,D$1=Units!$Q2),1,Inputs!$B$15)*Inputs!$B$16*(1+Inputs!$B$11)^(D$2-1),0)</f>
        <v>500</v>
      </c>
      <c r="E3" s="11" t="n">
        <f aca="false">IF(AND(E$1&gt;=Units!$Q2,MOD(E$1-Units!$Q2,12)=0),IF(AND(Units!$L2=1,E$1=Units!$Q2),1,Inputs!$B$15)*Inputs!$B$16*(1+Inputs!$B$11)^(E$2-1),0)</f>
        <v>0</v>
      </c>
      <c r="F3" s="11" t="n">
        <f aca="false">IF(AND(F$1&gt;=Units!$Q2,MOD(F$1-Units!$Q2,12)=0),IF(AND(Units!$L2=1,F$1=Units!$Q2),1,Inputs!$B$15)*Inputs!$B$16*(1+Inputs!$B$11)^(F$2-1),0)</f>
        <v>0</v>
      </c>
      <c r="G3" s="11" t="n">
        <f aca="false">IF(AND(G$1&gt;=Units!$Q2,MOD(G$1-Units!$Q2,12)=0),IF(AND(Units!$L2=1,G$1=Units!$Q2),1,Inputs!$B$15)*Inputs!$B$16*(1+Inputs!$B$11)^(G$2-1),0)</f>
        <v>0</v>
      </c>
      <c r="H3" s="11" t="n">
        <f aca="false">IF(AND(H$1&gt;=Units!$Q2,MOD(H$1-Units!$Q2,12)=0),IF(AND(Units!$L2=1,H$1=Units!$Q2),1,Inputs!$B$15)*Inputs!$B$16*(1+Inputs!$B$11)^(H$2-1),0)</f>
        <v>0</v>
      </c>
      <c r="I3" s="11" t="n">
        <f aca="false">IF(AND(I$1&gt;=Units!$Q2,MOD(I$1-Units!$Q2,12)=0),IF(AND(Units!$L2=1,I$1=Units!$Q2),1,Inputs!$B$15)*Inputs!$B$16*(1+Inputs!$B$11)^(I$2-1),0)</f>
        <v>0</v>
      </c>
      <c r="J3" s="11" t="n">
        <f aca="false">IF(AND(J$1&gt;=Units!$Q2,MOD(J$1-Units!$Q2,12)=0),IF(AND(Units!$L2=1,J$1=Units!$Q2),1,Inputs!$B$15)*Inputs!$B$16*(1+Inputs!$B$11)^(J$2-1),0)</f>
        <v>0</v>
      </c>
      <c r="K3" s="11" t="n">
        <f aca="false">IF(AND(K$1&gt;=Units!$Q2,MOD(K$1-Units!$Q2,12)=0),IF(AND(Units!$L2=1,K$1=Units!$Q2),1,Inputs!$B$15)*Inputs!$B$16*(1+Inputs!$B$11)^(K$2-1),0)</f>
        <v>0</v>
      </c>
      <c r="L3" s="11" t="n">
        <f aca="false">IF(AND(L$1&gt;=Units!$Q2,MOD(L$1-Units!$Q2,12)=0),IF(AND(Units!$L2=1,L$1=Units!$Q2),1,Inputs!$B$15)*Inputs!$B$16*(1+Inputs!$B$11)^(L$2-1),0)</f>
        <v>0</v>
      </c>
      <c r="M3" s="11" t="n">
        <f aca="false">IF(AND(M$1&gt;=Units!$Q2,MOD(M$1-Units!$Q2,12)=0),IF(AND(Units!$L2=1,M$1=Units!$Q2),1,Inputs!$B$15)*Inputs!$B$16*(1+Inputs!$B$11)^(M$2-1),0)</f>
        <v>0</v>
      </c>
      <c r="N3" s="11" t="n">
        <f aca="false">IF(AND(N$1&gt;=Units!$Q2,MOD(N$1-Units!$Q2,12)=0),IF(AND(Units!$L2=1,N$1=Units!$Q2),1,Inputs!$B$15)*Inputs!$B$16*(1+Inputs!$B$11)^(N$2-1),0)</f>
        <v>0</v>
      </c>
      <c r="O3" s="11" t="n">
        <f aca="false">IF(AND(O$1&gt;=Units!$Q2,MOD(O$1-Units!$Q2,12)=0),IF(AND(Units!$L2=1,O$1=Units!$Q2),1,Inputs!$B$15)*Inputs!$B$16*(1+Inputs!$B$11)^(O$2-1),0)</f>
        <v>0</v>
      </c>
      <c r="P3" s="11" t="n">
        <f aca="false">IF(AND(P$1&gt;=Units!$Q2,MOD(P$1-Units!$Q2,12)=0),IF(AND(Units!$L2=1,P$1=Units!$Q2),1,Inputs!$B$15)*Inputs!$B$16*(1+Inputs!$B$11)^(P$2-1),0)</f>
        <v>515</v>
      </c>
      <c r="Q3" s="11" t="n">
        <f aca="false">IF(AND(Q$1&gt;=Units!$Q2,MOD(Q$1-Units!$Q2,12)=0),IF(AND(Units!$L2=1,Q$1=Units!$Q2),1,Inputs!$B$15)*Inputs!$B$16*(1+Inputs!$B$11)^(Q$2-1),0)</f>
        <v>0</v>
      </c>
      <c r="R3" s="11" t="n">
        <f aca="false">IF(AND(R$1&gt;=Units!$Q2,MOD(R$1-Units!$Q2,12)=0),IF(AND(Units!$L2=1,R$1=Units!$Q2),1,Inputs!$B$15)*Inputs!$B$16*(1+Inputs!$B$11)^(R$2-1),0)</f>
        <v>0</v>
      </c>
      <c r="S3" s="11" t="n">
        <f aca="false">IF(AND(S$1&gt;=Units!$Q2,MOD(S$1-Units!$Q2,12)=0),IF(AND(Units!$L2=1,S$1=Units!$Q2),1,Inputs!$B$15)*Inputs!$B$16*(1+Inputs!$B$11)^(S$2-1),0)</f>
        <v>0</v>
      </c>
      <c r="T3" s="11" t="n">
        <f aca="false">IF(AND(T$1&gt;=Units!$Q2,MOD(T$1-Units!$Q2,12)=0),IF(AND(Units!$L2=1,T$1=Units!$Q2),1,Inputs!$B$15)*Inputs!$B$16*(1+Inputs!$B$11)^(T$2-1),0)</f>
        <v>0</v>
      </c>
      <c r="U3" s="11" t="n">
        <f aca="false">IF(AND(U$1&gt;=Units!$Q2,MOD(U$1-Units!$Q2,12)=0),IF(AND(Units!$L2=1,U$1=Units!$Q2),1,Inputs!$B$15)*Inputs!$B$16*(1+Inputs!$B$11)^(U$2-1),0)</f>
        <v>0</v>
      </c>
      <c r="V3" s="11" t="n">
        <f aca="false">IF(AND(V$1&gt;=Units!$Q2,MOD(V$1-Units!$Q2,12)=0),IF(AND(Units!$L2=1,V$1=Units!$Q2),1,Inputs!$B$15)*Inputs!$B$16*(1+Inputs!$B$11)^(V$2-1),0)</f>
        <v>0</v>
      </c>
      <c r="W3" s="11" t="n">
        <f aca="false">IF(AND(W$1&gt;=Units!$Q2,MOD(W$1-Units!$Q2,12)=0),IF(AND(Units!$L2=1,W$1=Units!$Q2),1,Inputs!$B$15)*Inputs!$B$16*(1+Inputs!$B$11)^(W$2-1),0)</f>
        <v>0</v>
      </c>
      <c r="X3" s="11" t="n">
        <f aca="false">IF(AND(X$1&gt;=Units!$Q2,MOD(X$1-Units!$Q2,12)=0),IF(AND(Units!$L2=1,X$1=Units!$Q2),1,Inputs!$B$15)*Inputs!$B$16*(1+Inputs!$B$11)^(X$2-1),0)</f>
        <v>0</v>
      </c>
      <c r="Y3" s="11" t="n">
        <f aca="false">IF(AND(Y$1&gt;=Units!$Q2,MOD(Y$1-Units!$Q2,12)=0),IF(AND(Units!$L2=1,Y$1=Units!$Q2),1,Inputs!$B$15)*Inputs!$B$16*(1+Inputs!$B$11)^(Y$2-1),0)</f>
        <v>0</v>
      </c>
      <c r="Z3" s="11" t="n">
        <f aca="false">IF(AND(Z$1&gt;=Units!$Q2,MOD(Z$1-Units!$Q2,12)=0),IF(AND(Units!$L2=1,Z$1=Units!$Q2),1,Inputs!$B$15)*Inputs!$B$16*(1+Inputs!$B$11)^(Z$2-1),0)</f>
        <v>0</v>
      </c>
      <c r="AA3" s="11" t="n">
        <f aca="false">IF(AND(AA$1&gt;=Units!$Q2,MOD(AA$1-Units!$Q2,12)=0),IF(AND(Units!$L2=1,AA$1=Units!$Q2),1,Inputs!$B$15)*Inputs!$B$16*(1+Inputs!$B$11)^(AA$2-1),0)</f>
        <v>0</v>
      </c>
      <c r="AB3" s="11" t="n">
        <f aca="false">IF(AND(AB$1&gt;=Units!$Q2,MOD(AB$1-Units!$Q2,12)=0),IF(AND(Units!$L2=1,AB$1=Units!$Q2),1,Inputs!$B$15)*Inputs!$B$16*(1+Inputs!$B$11)^(AB$2-1),0)</f>
        <v>530.45</v>
      </c>
      <c r="AC3" s="11" t="n">
        <f aca="false">IF(AND(AC$1&gt;=Units!$Q2,MOD(AC$1-Units!$Q2,12)=0),IF(AND(Units!$L2=1,AC$1=Units!$Q2),1,Inputs!$B$15)*Inputs!$B$16*(1+Inputs!$B$11)^(AC$2-1),0)</f>
        <v>0</v>
      </c>
      <c r="AD3" s="11" t="n">
        <f aca="false">IF(AND(AD$1&gt;=Units!$Q2,MOD(AD$1-Units!$Q2,12)=0),IF(AND(Units!$L2=1,AD$1=Units!$Q2),1,Inputs!$B$15)*Inputs!$B$16*(1+Inputs!$B$11)^(AD$2-1),0)</f>
        <v>0</v>
      </c>
      <c r="AE3" s="11" t="n">
        <f aca="false">IF(AND(AE$1&gt;=Units!$Q2,MOD(AE$1-Units!$Q2,12)=0),IF(AND(Units!$L2=1,AE$1=Units!$Q2),1,Inputs!$B$15)*Inputs!$B$16*(1+Inputs!$B$11)^(AE$2-1),0)</f>
        <v>0</v>
      </c>
      <c r="AF3" s="11" t="n">
        <f aca="false">IF(AND(AF$1&gt;=Units!$Q2,MOD(AF$1-Units!$Q2,12)=0),IF(AND(Units!$L2=1,AF$1=Units!$Q2),1,Inputs!$B$15)*Inputs!$B$16*(1+Inputs!$B$11)^(AF$2-1),0)</f>
        <v>0</v>
      </c>
      <c r="AG3" s="11" t="n">
        <f aca="false">IF(AND(AG$1&gt;=Units!$Q2,MOD(AG$1-Units!$Q2,12)=0),IF(AND(Units!$L2=1,AG$1=Units!$Q2),1,Inputs!$B$15)*Inputs!$B$16*(1+Inputs!$B$11)^(AG$2-1),0)</f>
        <v>0</v>
      </c>
      <c r="AH3" s="11" t="n">
        <f aca="false">IF(AND(AH$1&gt;=Units!$Q2,MOD(AH$1-Units!$Q2,12)=0),IF(AND(Units!$L2=1,AH$1=Units!$Q2),1,Inputs!$B$15)*Inputs!$B$16*(1+Inputs!$B$11)^(AH$2-1),0)</f>
        <v>0</v>
      </c>
      <c r="AI3" s="11" t="n">
        <f aca="false">IF(AND(AI$1&gt;=Units!$Q2,MOD(AI$1-Units!$Q2,12)=0),IF(AND(Units!$L2=1,AI$1=Units!$Q2),1,Inputs!$B$15)*Inputs!$B$16*(1+Inputs!$B$11)^(AI$2-1),0)</f>
        <v>0</v>
      </c>
      <c r="AJ3" s="11" t="n">
        <f aca="false">IF(AND(AJ$1&gt;=Units!$Q2,MOD(AJ$1-Units!$Q2,12)=0),IF(AND(Units!$L2=1,AJ$1=Units!$Q2),1,Inputs!$B$15)*Inputs!$B$16*(1+Inputs!$B$11)^(AJ$2-1),0)</f>
        <v>0</v>
      </c>
      <c r="AK3" s="11" t="n">
        <f aca="false">IF(AND(AK$1&gt;=Units!$Q2,MOD(AK$1-Units!$Q2,12)=0),IF(AND(Units!$L2=1,AK$1=Units!$Q2),1,Inputs!$B$15)*Inputs!$B$16*(1+Inputs!$B$11)^(AK$2-1),0)</f>
        <v>0</v>
      </c>
      <c r="AL3" s="11" t="n">
        <f aca="false">IF(AND(AL$1&gt;=Units!$Q2,MOD(AL$1-Units!$Q2,12)=0),IF(AND(Units!$L2=1,AL$1=Units!$Q2),1,Inputs!$B$15)*Inputs!$B$16*(1+Inputs!$B$11)^(AL$2-1),0)</f>
        <v>0</v>
      </c>
      <c r="AM3" s="11" t="n">
        <f aca="false">IF(AND(AM$1&gt;=Units!$Q2,MOD(AM$1-Units!$Q2,12)=0),IF(AND(Units!$L2=1,AM$1=Units!$Q2),1,Inputs!$B$15)*Inputs!$B$16*(1+Inputs!$B$11)^(AM$2-1),0)</f>
        <v>0</v>
      </c>
      <c r="AN3" s="11" t="n">
        <f aca="false">IF(AND(AN$1&gt;=Units!$Q2,MOD(AN$1-Units!$Q2,12)=0),IF(AND(Units!$L2=1,AN$1=Units!$Q2),1,Inputs!$B$15)*Inputs!$B$16*(1+Inputs!$B$11)^(AN$2-1),0)</f>
        <v>546.3635</v>
      </c>
      <c r="AO3" s="11" t="n">
        <f aca="false">IF(AND(AO$1&gt;=Units!$Q2,MOD(AO$1-Units!$Q2,12)=0),IF(AND(Units!$L2=1,AO$1=Units!$Q2),1,Inputs!$B$15)*Inputs!$B$16*(1+Inputs!$B$11)^(AO$2-1),0)</f>
        <v>0</v>
      </c>
      <c r="AP3" s="11" t="n">
        <f aca="false">IF(AND(AP$1&gt;=Units!$Q2,MOD(AP$1-Units!$Q2,12)=0),IF(AND(Units!$L2=1,AP$1=Units!$Q2),1,Inputs!$B$15)*Inputs!$B$16*(1+Inputs!$B$11)^(AP$2-1),0)</f>
        <v>0</v>
      </c>
      <c r="AQ3" s="11" t="n">
        <f aca="false">IF(AND(AQ$1&gt;=Units!$Q2,MOD(AQ$1-Units!$Q2,12)=0),IF(AND(Units!$L2=1,AQ$1=Units!$Q2),1,Inputs!$B$15)*Inputs!$B$16*(1+Inputs!$B$11)^(AQ$2-1),0)</f>
        <v>0</v>
      </c>
      <c r="AR3" s="11" t="n">
        <f aca="false">IF(AND(AR$1&gt;=Units!$Q2,MOD(AR$1-Units!$Q2,12)=0),IF(AND(Units!$L2=1,AR$1=Units!$Q2),1,Inputs!$B$15)*Inputs!$B$16*(1+Inputs!$B$11)^(AR$2-1),0)</f>
        <v>0</v>
      </c>
      <c r="AS3" s="11" t="n">
        <f aca="false">IF(AND(AS$1&gt;=Units!$Q2,MOD(AS$1-Units!$Q2,12)=0),IF(AND(Units!$L2=1,AS$1=Units!$Q2),1,Inputs!$B$15)*Inputs!$B$16*(1+Inputs!$B$11)^(AS$2-1),0)</f>
        <v>0</v>
      </c>
      <c r="AT3" s="11" t="n">
        <f aca="false">IF(AND(AT$1&gt;=Units!$Q2,MOD(AT$1-Units!$Q2,12)=0),IF(AND(Units!$L2=1,AT$1=Units!$Q2),1,Inputs!$B$15)*Inputs!$B$16*(1+Inputs!$B$11)^(AT$2-1),0)</f>
        <v>0</v>
      </c>
      <c r="AU3" s="11" t="n">
        <f aca="false">IF(AND(AU$1&gt;=Units!$Q2,MOD(AU$1-Units!$Q2,12)=0),IF(AND(Units!$L2=1,AU$1=Units!$Q2),1,Inputs!$B$15)*Inputs!$B$16*(1+Inputs!$B$11)^(AU$2-1),0)</f>
        <v>0</v>
      </c>
      <c r="AV3" s="11" t="n">
        <f aca="false">IF(AND(AV$1&gt;=Units!$Q2,MOD(AV$1-Units!$Q2,12)=0),IF(AND(Units!$L2=1,AV$1=Units!$Q2),1,Inputs!$B$15)*Inputs!$B$16*(1+Inputs!$B$11)^(AV$2-1),0)</f>
        <v>0</v>
      </c>
      <c r="AW3" s="11" t="n">
        <f aca="false">IF(AND(AW$1&gt;=Units!$Q2,MOD(AW$1-Units!$Q2,12)=0),IF(AND(Units!$L2=1,AW$1=Units!$Q2),1,Inputs!$B$15)*Inputs!$B$16*(1+Inputs!$B$11)^(AW$2-1),0)</f>
        <v>0</v>
      </c>
      <c r="AX3" s="11" t="n">
        <f aca="false">IF(AND(AX$1&gt;=Units!$Q2,MOD(AX$1-Units!$Q2,12)=0),IF(AND(Units!$L2=1,AX$1=Units!$Q2),1,Inputs!$B$15)*Inputs!$B$16*(1+Inputs!$B$11)^(AX$2-1),0)</f>
        <v>0</v>
      </c>
      <c r="AY3" s="11" t="n">
        <f aca="false">IF(AND(AY$1&gt;=Units!$Q2,MOD(AY$1-Units!$Q2,12)=0),IF(AND(Units!$L2=1,AY$1=Units!$Q2),1,Inputs!$B$15)*Inputs!$B$16*(1+Inputs!$B$11)^(AY$2-1),0)</f>
        <v>0</v>
      </c>
      <c r="AZ3" s="11" t="n">
        <f aca="false">IF(AND(AZ$1&gt;=Units!$Q2,MOD(AZ$1-Units!$Q2,12)=0),IF(AND(Units!$L2=1,AZ$1=Units!$Q2),1,Inputs!$B$15)*Inputs!$B$16*(1+Inputs!$B$11)^(AZ$2-1),0)</f>
        <v>562.754405</v>
      </c>
      <c r="BA3" s="11" t="n">
        <f aca="false">IF(AND(BA$1&gt;=Units!$Q2,MOD(BA$1-Units!$Q2,12)=0),IF(AND(Units!$L2=1,BA$1=Units!$Q2),1,Inputs!$B$15)*Inputs!$B$16*(1+Inputs!$B$11)^(BA$2-1),0)</f>
        <v>0</v>
      </c>
      <c r="BB3" s="11" t="n">
        <f aca="false">IF(AND(BB$1&gt;=Units!$Q2,MOD(BB$1-Units!$Q2,12)=0),IF(AND(Units!$L2=1,BB$1=Units!$Q2),1,Inputs!$B$15)*Inputs!$B$16*(1+Inputs!$B$11)^(BB$2-1),0)</f>
        <v>0</v>
      </c>
      <c r="BC3" s="11" t="n">
        <f aca="false">IF(AND(BC$1&gt;=Units!$Q2,MOD(BC$1-Units!$Q2,12)=0),IF(AND(Units!$L2=1,BC$1=Units!$Q2),1,Inputs!$B$15)*Inputs!$B$16*(1+Inputs!$B$11)^(BC$2-1),0)</f>
        <v>0</v>
      </c>
      <c r="BD3" s="11" t="n">
        <f aca="false">IF(AND(BD$1&gt;=Units!$Q2,MOD(BD$1-Units!$Q2,12)=0),IF(AND(Units!$L2=1,BD$1=Units!$Q2),1,Inputs!$B$15)*Inputs!$B$16*(1+Inputs!$B$11)^(BD$2-1),0)</f>
        <v>0</v>
      </c>
      <c r="BE3" s="11" t="n">
        <f aca="false">IF(AND(BE$1&gt;=Units!$Q2,MOD(BE$1-Units!$Q2,12)=0),IF(AND(Units!$L2=1,BE$1=Units!$Q2),1,Inputs!$B$15)*Inputs!$B$16*(1+Inputs!$B$11)^(BE$2-1),0)</f>
        <v>0</v>
      </c>
      <c r="BF3" s="11" t="n">
        <f aca="false">IF(AND(BF$1&gt;=Units!$Q2,MOD(BF$1-Units!$Q2,12)=0),IF(AND(Units!$L2=1,BF$1=Units!$Q2),1,Inputs!$B$15)*Inputs!$B$16*(1+Inputs!$B$11)^(BF$2-1),0)</f>
        <v>0</v>
      </c>
      <c r="BG3" s="11" t="n">
        <f aca="false">IF(AND(BG$1&gt;=Units!$Q2,MOD(BG$1-Units!$Q2,12)=0),IF(AND(Units!$L2=1,BG$1=Units!$Q2),1,Inputs!$B$15)*Inputs!$B$16*(1+Inputs!$B$11)^(BG$2-1),0)</f>
        <v>0</v>
      </c>
      <c r="BH3" s="11" t="n">
        <f aca="false">IF(AND(BH$1&gt;=Units!$Q2,MOD(BH$1-Units!$Q2,12)=0),IF(AND(Units!$L2=1,BH$1=Units!$Q2),1,Inputs!$B$15)*Inputs!$B$16*(1+Inputs!$B$11)^(BH$2-1),0)</f>
        <v>0</v>
      </c>
      <c r="BI3" s="11" t="n">
        <f aca="false">IF(AND(BI$1&gt;=Units!$Q2,MOD(BI$1-Units!$Q2,12)=0),IF(AND(Units!$L2=1,BI$1=Units!$Q2),1,Inputs!$B$15)*Inputs!$B$16*(1+Inputs!$B$11)^(BI$2-1),0)</f>
        <v>0</v>
      </c>
      <c r="BJ3" s="11" t="n">
        <f aca="false">IF(AND(BJ$1&gt;=Units!$Q2,MOD(BJ$1-Units!$Q2,12)=0),IF(AND(Units!$L2=1,BJ$1=Units!$Q2),1,Inputs!$B$15)*Inputs!$B$16*(1+Inputs!$B$11)^(BJ$2-1),0)</f>
        <v>0</v>
      </c>
      <c r="BK3" s="11" t="n">
        <f aca="false">IF(AND(BK$1&gt;=Units!$Q2,MOD(BK$1-Units!$Q2,12)=0),IF(AND(Units!$L2=1,BK$1=Units!$Q2),1,Inputs!$B$15)*Inputs!$B$16*(1+Inputs!$B$11)^(BK$2-1),0)</f>
        <v>0</v>
      </c>
      <c r="BL3" s="11" t="n">
        <f aca="false">IF(AND(BL$1&gt;=Units!$Q2,MOD(BL$1-Units!$Q2,12)=0),IF(AND(Units!$L2=1,BL$1=Units!$Q2),1,Inputs!$B$15)*Inputs!$B$16*(1+Inputs!$B$11)^(BL$2-1),0)</f>
        <v>579.63703715</v>
      </c>
      <c r="BM3" s="11" t="n">
        <f aca="false">IF(AND(BM$1&gt;=Units!$Q2,MOD(BM$1-Units!$Q2,12)=0),IF(AND(Units!$L2=1,BM$1=Units!$Q2),1,Inputs!$B$15)*Inputs!$B$16*(1+Inputs!$B$11)^(BM$2-1),0)</f>
        <v>0</v>
      </c>
      <c r="BN3" s="11" t="n">
        <f aca="false">IF(AND(BN$1&gt;=Units!$Q2,MOD(BN$1-Units!$Q2,12)=0),IF(AND(Units!$L2=1,BN$1=Units!$Q2),1,Inputs!$B$15)*Inputs!$B$16*(1+Inputs!$B$11)^(BN$2-1),0)</f>
        <v>0</v>
      </c>
      <c r="BO3" s="11" t="n">
        <f aca="false">IF(AND(BO$1&gt;=Units!$Q2,MOD(BO$1-Units!$Q2,12)=0),IF(AND(Units!$L2=1,BO$1=Units!$Q2),1,Inputs!$B$15)*Inputs!$B$16*(1+Inputs!$B$11)^(BO$2-1),0)</f>
        <v>0</v>
      </c>
      <c r="BP3" s="11" t="n">
        <f aca="false">IF(AND(BP$1&gt;=Units!$Q2,MOD(BP$1-Units!$Q2,12)=0),IF(AND(Units!$L2=1,BP$1=Units!$Q2),1,Inputs!$B$15)*Inputs!$B$16*(1+Inputs!$B$11)^(BP$2-1),0)</f>
        <v>0</v>
      </c>
      <c r="BQ3" s="11" t="n">
        <f aca="false">IF(AND(BQ$1&gt;=Units!$Q2,MOD(BQ$1-Units!$Q2,12)=0),IF(AND(Units!$L2=1,BQ$1=Units!$Q2),1,Inputs!$B$15)*Inputs!$B$16*(1+Inputs!$B$11)^(BQ$2-1),0)</f>
        <v>0</v>
      </c>
      <c r="BR3" s="11" t="n">
        <f aca="false">IF(AND(BR$1&gt;=Units!$Q2,MOD(BR$1-Units!$Q2,12)=0),IF(AND(Units!$L2=1,BR$1=Units!$Q2),1,Inputs!$B$15)*Inputs!$B$16*(1+Inputs!$B$11)^(BR$2-1),0)</f>
        <v>0</v>
      </c>
      <c r="BS3" s="11" t="n">
        <f aca="false">IF(AND(BS$1&gt;=Units!$Q2,MOD(BS$1-Units!$Q2,12)=0),IF(AND(Units!$L2=1,BS$1=Units!$Q2),1,Inputs!$B$15)*Inputs!$B$16*(1+Inputs!$B$11)^(BS$2-1),0)</f>
        <v>0</v>
      </c>
      <c r="BT3" s="11" t="n">
        <f aca="false">IF(AND(BT$1&gt;=Units!$Q2,MOD(BT$1-Units!$Q2,12)=0),IF(AND(Units!$L2=1,BT$1=Units!$Q2),1,Inputs!$B$15)*Inputs!$B$16*(1+Inputs!$B$11)^(BT$2-1),0)</f>
        <v>0</v>
      </c>
      <c r="BU3" s="11" t="n">
        <f aca="false">IF(AND(BU$1&gt;=Units!$Q2,MOD(BU$1-Units!$Q2,12)=0),IF(AND(Units!$L2=1,BU$1=Units!$Q2),1,Inputs!$B$15)*Inputs!$B$16*(1+Inputs!$B$11)^(BU$2-1),0)</f>
        <v>0</v>
      </c>
      <c r="BV3" s="11" t="n">
        <f aca="false">IF(AND(BV$1&gt;=Units!$Q2,MOD(BV$1-Units!$Q2,12)=0),IF(AND(Units!$L2=1,BV$1=Units!$Q2),1,Inputs!$B$15)*Inputs!$B$16*(1+Inputs!$B$11)^(BV$2-1),0)</f>
        <v>0</v>
      </c>
      <c r="BW3" s="11" t="n">
        <f aca="false">IF(AND(BW$1&gt;=Units!$Q2,MOD(BW$1-Units!$Q2,12)=0),IF(AND(Units!$L2=1,BW$1=Units!$Q2),1,Inputs!$B$15)*Inputs!$B$16*(1+Inputs!$B$11)^(BW$2-1),0)</f>
        <v>0</v>
      </c>
      <c r="BX3" s="11" t="n">
        <f aca="false">IF(AND(BX$1&gt;=Units!$Q2,MOD(BX$1-Units!$Q2,12)=0),IF(AND(Units!$L2=1,BX$1=Units!$Q2),1,Inputs!$B$15)*Inputs!$B$16*(1+Inputs!$B$11)^(BX$2-1),0)</f>
        <v>597.0261482645</v>
      </c>
      <c r="BY3" s="11" t="n">
        <f aca="false">IF(AND(BY$1&gt;=Units!$Q2,MOD(BY$1-Units!$Q2,12)=0),IF(AND(Units!$L2=1,BY$1=Units!$Q2),1,Inputs!$B$15)*Inputs!$B$16*(1+Inputs!$B$11)^(BY$2-1),0)</f>
        <v>0</v>
      </c>
      <c r="BZ3" s="11" t="n">
        <f aca="false">IF(AND(BZ$1&gt;=Units!$Q2,MOD(BZ$1-Units!$Q2,12)=0),IF(AND(Units!$L2=1,BZ$1=Units!$Q2),1,Inputs!$B$15)*Inputs!$B$16*(1+Inputs!$B$11)^(BZ$2-1),0)</f>
        <v>0</v>
      </c>
      <c r="CA3" s="11" t="n">
        <f aca="false">IF(AND(CA$1&gt;=Units!$Q2,MOD(CA$1-Units!$Q2,12)=0),IF(AND(Units!$L2=1,CA$1=Units!$Q2),1,Inputs!$B$15)*Inputs!$B$16*(1+Inputs!$B$11)^(CA$2-1),0)</f>
        <v>0</v>
      </c>
      <c r="CB3" s="11" t="n">
        <f aca="false">IF(AND(CB$1&gt;=Units!$Q2,MOD(CB$1-Units!$Q2,12)=0),IF(AND(Units!$L2=1,CB$1=Units!$Q2),1,Inputs!$B$15)*Inputs!$B$16*(1+Inputs!$B$11)^(CB$2-1),0)</f>
        <v>0</v>
      </c>
      <c r="CC3" s="11" t="n">
        <f aca="false">IF(AND(CC$1&gt;=Units!$Q2,MOD(CC$1-Units!$Q2,12)=0),IF(AND(Units!$L2=1,CC$1=Units!$Q2),1,Inputs!$B$15)*Inputs!$B$16*(1+Inputs!$B$11)^(CC$2-1),0)</f>
        <v>0</v>
      </c>
      <c r="CD3" s="11" t="n">
        <f aca="false">IF(AND(CD$1&gt;=Units!$Q2,MOD(CD$1-Units!$Q2,12)=0),IF(AND(Units!$L2=1,CD$1=Units!$Q2),1,Inputs!$B$15)*Inputs!$B$16*(1+Inputs!$B$11)^(CD$2-1),0)</f>
        <v>0</v>
      </c>
      <c r="CE3" s="11" t="n">
        <f aca="false">IF(AND(CE$1&gt;=Units!$Q2,MOD(CE$1-Units!$Q2,12)=0),IF(AND(Units!$L2=1,CE$1=Units!$Q2),1,Inputs!$B$15)*Inputs!$B$16*(1+Inputs!$B$11)^(CE$2-1),0)</f>
        <v>0</v>
      </c>
      <c r="CF3" s="11" t="n">
        <f aca="false">IF(AND(CF$1&gt;=Units!$Q2,MOD(CF$1-Units!$Q2,12)=0),IF(AND(Units!$L2=1,CF$1=Units!$Q2),1,Inputs!$B$15)*Inputs!$B$16*(1+Inputs!$B$11)^(CF$2-1),0)</f>
        <v>0</v>
      </c>
      <c r="CG3" s="11" t="n">
        <f aca="false">IF(AND(CG$1&gt;=Units!$Q2,MOD(CG$1-Units!$Q2,12)=0),IF(AND(Units!$L2=1,CG$1=Units!$Q2),1,Inputs!$B$15)*Inputs!$B$16*(1+Inputs!$B$11)^(CG$2-1),0)</f>
        <v>0</v>
      </c>
      <c r="CH3" s="11" t="n">
        <f aca="false">IF(AND(CH$1&gt;=Units!$Q2,MOD(CH$1-Units!$Q2,12)=0),IF(AND(Units!$L2=1,CH$1=Units!$Q2),1,Inputs!$B$15)*Inputs!$B$16*(1+Inputs!$B$11)^(CH$2-1),0)</f>
        <v>0</v>
      </c>
      <c r="CI3" s="11" t="n">
        <f aca="false">IF(AND(CI$1&gt;=Units!$Q2,MOD(CI$1-Units!$Q2,12)=0),IF(AND(Units!$L2=1,CI$1=Units!$Q2),1,Inputs!$B$15)*Inputs!$B$16*(1+Inputs!$B$11)^(CI$2-1),0)</f>
        <v>0</v>
      </c>
      <c r="CJ3" s="11" t="n">
        <f aca="false">IF(AND(CJ$1&gt;=Units!$Q2,MOD(CJ$1-Units!$Q2,12)=0),IF(AND(Units!$L2=1,CJ$1=Units!$Q2),1,Inputs!$B$15)*Inputs!$B$16*(1+Inputs!$B$11)^(CJ$2-1),0)</f>
        <v>614.936932712435</v>
      </c>
      <c r="CK3" s="11" t="n">
        <f aca="false">IF(AND(CK$1&gt;=Units!$Q2,MOD(CK$1-Units!$Q2,12)=0),IF(AND(Units!$L2=1,CK$1=Units!$Q2),1,Inputs!$B$15)*Inputs!$B$16*(1+Inputs!$B$11)^(CK$2-1),0)</f>
        <v>0</v>
      </c>
      <c r="CL3" s="11" t="n">
        <f aca="false">IF(AND(CL$1&gt;=Units!$Q2,MOD(CL$1-Units!$Q2,12)=0),IF(AND(Units!$L2=1,CL$1=Units!$Q2),1,Inputs!$B$15)*Inputs!$B$16*(1+Inputs!$B$11)^(CL$2-1),0)</f>
        <v>0</v>
      </c>
      <c r="CM3" s="11" t="n">
        <f aca="false">IF(AND(CM$1&gt;=Units!$Q2,MOD(CM$1-Units!$Q2,12)=0),IF(AND(Units!$L2=1,CM$1=Units!$Q2),1,Inputs!$B$15)*Inputs!$B$16*(1+Inputs!$B$11)^(CM$2-1),0)</f>
        <v>0</v>
      </c>
      <c r="CN3" s="11" t="n">
        <f aca="false">IF(AND(CN$1&gt;=Units!$Q2,MOD(CN$1-Units!$Q2,12)=0),IF(AND(Units!$L2=1,CN$1=Units!$Q2),1,Inputs!$B$15)*Inputs!$B$16*(1+Inputs!$B$11)^(CN$2-1),0)</f>
        <v>0</v>
      </c>
      <c r="CO3" s="11" t="n">
        <f aca="false">IF(AND(CO$1&gt;=Units!$Q2,MOD(CO$1-Units!$Q2,12)=0),IF(AND(Units!$L2=1,CO$1=Units!$Q2),1,Inputs!$B$15)*Inputs!$B$16*(1+Inputs!$B$11)^(CO$2-1),0)</f>
        <v>0</v>
      </c>
      <c r="CP3" s="11" t="n">
        <f aca="false">IF(AND(CP$1&gt;=Units!$Q2,MOD(CP$1-Units!$Q2,12)=0),IF(AND(Units!$L2=1,CP$1=Units!$Q2),1,Inputs!$B$15)*Inputs!$B$16*(1+Inputs!$B$11)^(CP$2-1),0)</f>
        <v>0</v>
      </c>
      <c r="CQ3" s="11" t="n">
        <f aca="false">IF(AND(CQ$1&gt;=Units!$Q2,MOD(CQ$1-Units!$Q2,12)=0),IF(AND(Units!$L2=1,CQ$1=Units!$Q2),1,Inputs!$B$15)*Inputs!$B$16*(1+Inputs!$B$11)^(CQ$2-1),0)</f>
        <v>0</v>
      </c>
      <c r="CR3" s="11" t="n">
        <f aca="false">IF(AND(CR$1&gt;=Units!$Q2,MOD(CR$1-Units!$Q2,12)=0),IF(AND(Units!$L2=1,CR$1=Units!$Q2),1,Inputs!$B$15)*Inputs!$B$16*(1+Inputs!$B$11)^(CR$2-1),0)</f>
        <v>0</v>
      </c>
      <c r="CS3" s="11" t="n">
        <f aca="false">IF(AND(CS$1&gt;=Units!$Q2,MOD(CS$1-Units!$Q2,12)=0),IF(AND(Units!$L2=1,CS$1=Units!$Q2),1,Inputs!$B$15)*Inputs!$B$16*(1+Inputs!$B$11)^(CS$2-1),0)</f>
        <v>0</v>
      </c>
      <c r="CT3" s="11" t="n">
        <f aca="false">IF(AND(CT$1&gt;=Units!$Q2,MOD(CT$1-Units!$Q2,12)=0),IF(AND(Units!$L2=1,CT$1=Units!$Q2),1,Inputs!$B$15)*Inputs!$B$16*(1+Inputs!$B$11)^(CT$2-1),0)</f>
        <v>0</v>
      </c>
      <c r="CU3" s="11" t="n">
        <f aca="false">IF(AND(CU$1&gt;=Units!$Q2,MOD(CU$1-Units!$Q2,12)=0),IF(AND(Units!$L2=1,CU$1=Units!$Q2),1,Inputs!$B$15)*Inputs!$B$16*(1+Inputs!$B$11)^(CU$2-1),0)</f>
        <v>0</v>
      </c>
      <c r="CV3" s="11" t="n">
        <f aca="false">IF(AND(CV$1&gt;=Units!$Q2,MOD(CV$1-Units!$Q2,12)=0),IF(AND(Units!$L2=1,CV$1=Units!$Q2),1,Inputs!$B$15)*Inputs!$B$16*(1+Inputs!$B$11)^(CV$2-1),0)</f>
        <v>633.385040693808</v>
      </c>
      <c r="CW3" s="11" t="n">
        <f aca="false">IF(AND(CW$1&gt;=Units!$Q2,MOD(CW$1-Units!$Q2,12)=0),IF(AND(Units!$L2=1,CW$1=Units!$Q2),1,Inputs!$B$15)*Inputs!$B$16*(1+Inputs!$B$11)^(CW$2-1),0)</f>
        <v>0</v>
      </c>
      <c r="CX3" s="11" t="n">
        <f aca="false">IF(AND(CX$1&gt;=Units!$Q2,MOD(CX$1-Units!$Q2,12)=0),IF(AND(Units!$L2=1,CX$1=Units!$Q2),1,Inputs!$B$15)*Inputs!$B$16*(1+Inputs!$B$11)^(CX$2-1),0)</f>
        <v>0</v>
      </c>
      <c r="CY3" s="11" t="n">
        <f aca="false">IF(AND(CY$1&gt;=Units!$Q2,MOD(CY$1-Units!$Q2,12)=0),IF(AND(Units!$L2=1,CY$1=Units!$Q2),1,Inputs!$B$15)*Inputs!$B$16*(1+Inputs!$B$11)^(CY$2-1),0)</f>
        <v>0</v>
      </c>
      <c r="CZ3" s="11" t="n">
        <f aca="false">IF(AND(CZ$1&gt;=Units!$Q2,MOD(CZ$1-Units!$Q2,12)=0),IF(AND(Units!$L2=1,CZ$1=Units!$Q2),1,Inputs!$B$15)*Inputs!$B$16*(1+Inputs!$B$11)^(CZ$2-1),0)</f>
        <v>0</v>
      </c>
      <c r="DA3" s="11" t="n">
        <f aca="false">IF(AND(DA$1&gt;=Units!$Q2,MOD(DA$1-Units!$Q2,12)=0),IF(AND(Units!$L2=1,DA$1=Units!$Q2),1,Inputs!$B$15)*Inputs!$B$16*(1+Inputs!$B$11)^(DA$2-1),0)</f>
        <v>0</v>
      </c>
      <c r="DB3" s="11" t="n">
        <f aca="false">IF(AND(DB$1&gt;=Units!$Q2,MOD(DB$1-Units!$Q2,12)=0),IF(AND(Units!$L2=1,DB$1=Units!$Q2),1,Inputs!$B$15)*Inputs!$B$16*(1+Inputs!$B$11)^(DB$2-1),0)</f>
        <v>0</v>
      </c>
      <c r="DC3" s="11" t="n">
        <f aca="false">IF(AND(DC$1&gt;=Units!$Q2,MOD(DC$1-Units!$Q2,12)=0),IF(AND(Units!$L2=1,DC$1=Units!$Q2),1,Inputs!$B$15)*Inputs!$B$16*(1+Inputs!$B$11)^(DC$2-1),0)</f>
        <v>0</v>
      </c>
      <c r="DD3" s="11" t="n">
        <f aca="false">IF(AND(DD$1&gt;=Units!$Q2,MOD(DD$1-Units!$Q2,12)=0),IF(AND(Units!$L2=1,DD$1=Units!$Q2),1,Inputs!$B$15)*Inputs!$B$16*(1+Inputs!$B$11)^(DD$2-1),0)</f>
        <v>0</v>
      </c>
      <c r="DE3" s="11" t="n">
        <f aca="false">IF(AND(DE$1&gt;=Units!$Q2,MOD(DE$1-Units!$Q2,12)=0),IF(AND(Units!$L2=1,DE$1=Units!$Q2),1,Inputs!$B$15)*Inputs!$B$16*(1+Inputs!$B$11)^(DE$2-1),0)</f>
        <v>0</v>
      </c>
      <c r="DF3" s="11" t="n">
        <f aca="false">IF(AND(DF$1&gt;=Units!$Q2,MOD(DF$1-Units!$Q2,12)=0),IF(AND(Units!$L2=1,DF$1=Units!$Q2),1,Inputs!$B$15)*Inputs!$B$16*(1+Inputs!$B$11)^(DF$2-1),0)</f>
        <v>0</v>
      </c>
      <c r="DG3" s="11" t="n">
        <f aca="false">IF(AND(DG$1&gt;=Units!$Q2,MOD(DG$1-Units!$Q2,12)=0),IF(AND(Units!$L2=1,DG$1=Units!$Q2),1,Inputs!$B$15)*Inputs!$B$16*(1+Inputs!$B$11)^(DG$2-1),0)</f>
        <v>0</v>
      </c>
      <c r="DH3" s="11" t="n">
        <f aca="false">IF(AND(DH$1&gt;=Units!$Q2,MOD(DH$1-Units!$Q2,12)=0),IF(AND(Units!$L2=1,DH$1=Units!$Q2),1,Inputs!$B$15)*Inputs!$B$16*(1+Inputs!$B$11)^(DH$2-1),0)</f>
        <v>652.386591914623</v>
      </c>
      <c r="DI3" s="11" t="n">
        <f aca="false">IF(AND(DI$1&gt;=Units!$Q2,MOD(DI$1-Units!$Q2,12)=0),IF(AND(Units!$L2=1,DI$1=Units!$Q2),1,Inputs!$B$15)*Inputs!$B$16*(1+Inputs!$B$11)^(DI$2-1),0)</f>
        <v>0</v>
      </c>
      <c r="DJ3" s="11" t="n">
        <f aca="false">IF(AND(DJ$1&gt;=Units!$Q2,MOD(DJ$1-Units!$Q2,12)=0),IF(AND(Units!$L2=1,DJ$1=Units!$Q2),1,Inputs!$B$15)*Inputs!$B$16*(1+Inputs!$B$11)^(DJ$2-1),0)</f>
        <v>0</v>
      </c>
      <c r="DK3" s="11" t="n">
        <f aca="false">IF(AND(DK$1&gt;=Units!$Q2,MOD(DK$1-Units!$Q2,12)=0),IF(AND(Units!$L2=1,DK$1=Units!$Q2),1,Inputs!$B$15)*Inputs!$B$16*(1+Inputs!$B$11)^(DK$2-1),0)</f>
        <v>0</v>
      </c>
      <c r="DL3" s="11" t="n">
        <f aca="false">IF(AND(DL$1&gt;=Units!$Q2,MOD(DL$1-Units!$Q2,12)=0),IF(AND(Units!$L2=1,DL$1=Units!$Q2),1,Inputs!$B$15)*Inputs!$B$16*(1+Inputs!$B$11)^(DL$2-1),0)</f>
        <v>0</v>
      </c>
      <c r="DM3" s="11" t="n">
        <f aca="false">IF(AND(DM$1&gt;=Units!$Q2,MOD(DM$1-Units!$Q2,12)=0),IF(AND(Units!$L2=1,DM$1=Units!$Q2),1,Inputs!$B$15)*Inputs!$B$16*(1+Inputs!$B$11)^(DM$2-1),0)</f>
        <v>0</v>
      </c>
      <c r="DN3" s="11" t="n">
        <f aca="false">IF(AND(DN$1&gt;=Units!$Q2,MOD(DN$1-Units!$Q2,12)=0),IF(AND(Units!$L2=1,DN$1=Units!$Q2),1,Inputs!$B$15)*Inputs!$B$16*(1+Inputs!$B$11)^(DN$2-1),0)</f>
        <v>0</v>
      </c>
      <c r="DO3" s="11" t="n">
        <f aca="false">IF(AND(DO$1&gt;=Units!$Q2,MOD(DO$1-Units!$Q2,12)=0),IF(AND(Units!$L2=1,DO$1=Units!$Q2),1,Inputs!$B$15)*Inputs!$B$16*(1+Inputs!$B$11)^(DO$2-1),0)</f>
        <v>0</v>
      </c>
      <c r="DP3" s="11" t="n">
        <f aca="false">IF(AND(DP$1&gt;=Units!$Q2,MOD(DP$1-Units!$Q2,12)=0),IF(AND(Units!$L2=1,DP$1=Units!$Q2),1,Inputs!$B$15)*Inputs!$B$16*(1+Inputs!$B$11)^(DP$2-1),0)</f>
        <v>0</v>
      </c>
      <c r="DQ3" s="11" t="n">
        <f aca="false">IF(AND(DQ$1&gt;=Units!$Q2,MOD(DQ$1-Units!$Q2,12)=0),IF(AND(Units!$L2=1,DQ$1=Units!$Q2),1,Inputs!$B$15)*Inputs!$B$16*(1+Inputs!$B$11)^(DQ$2-1),0)</f>
        <v>0</v>
      </c>
      <c r="DR3" s="11" t="n">
        <f aca="false">IF(AND(DR$1&gt;=Units!$Q2,MOD(DR$1-Units!$Q2,12)=0),IF(AND(Units!$L2=1,DR$1=Units!$Q2),1,Inputs!$B$15)*Inputs!$B$16*(1+Inputs!$B$11)^(DR$2-1),0)</f>
        <v>0</v>
      </c>
      <c r="DS3" s="11" t="n">
        <f aca="false">IF(AND(DS$1&gt;=Units!$Q2,MOD(DS$1-Units!$Q2,12)=0),IF(AND(Units!$L2=1,DS$1=Units!$Q2),1,Inputs!$B$15)*Inputs!$B$16*(1+Inputs!$B$11)^(DS$2-1),0)</f>
        <v>0</v>
      </c>
      <c r="DT3" s="11" t="n">
        <f aca="false">IF(AND(DT$1&gt;=Units!$Q2,MOD(DT$1-Units!$Q2,12)=0),IF(AND(Units!$L2=1,DT$1=Units!$Q2),1,Inputs!$B$15)*Inputs!$B$16*(1+Inputs!$B$11)^(DT$2-1),0)</f>
        <v>671.958189672061</v>
      </c>
      <c r="DU3" s="11" t="n">
        <f aca="false">IF(AND(DU$1&gt;=Units!$Q2,MOD(DU$1-Units!$Q2,12)=0),IF(AND(Units!$L2=1,DU$1=Units!$Q2),1,Inputs!$B$15)*Inputs!$B$16*(1+Inputs!$B$11)^(DU$2-1),0)</f>
        <v>0</v>
      </c>
      <c r="DV3" s="11" t="n">
        <f aca="false">IF(AND(DV$1&gt;=Units!$Q2,MOD(DV$1-Units!$Q2,12)=0),IF(AND(Units!$L2=1,DV$1=Units!$Q2),1,Inputs!$B$15)*Inputs!$B$16*(1+Inputs!$B$11)^(DV$2-1),0)</f>
        <v>0</v>
      </c>
      <c r="DW3" s="11" t="n">
        <f aca="false">IF(AND(DW$1&gt;=Units!$Q2,MOD(DW$1-Units!$Q2,12)=0),IF(AND(Units!$L2=1,DW$1=Units!$Q2),1,Inputs!$B$15)*Inputs!$B$16*(1+Inputs!$B$11)^(DW$2-1),0)</f>
        <v>0</v>
      </c>
      <c r="DX3" s="11" t="n">
        <f aca="false">IF(AND(DX$1&gt;=Units!$Q2,MOD(DX$1-Units!$Q2,12)=0),IF(AND(Units!$L2=1,DX$1=Units!$Q2),1,Inputs!$B$15)*Inputs!$B$16*(1+Inputs!$B$11)^(DX$2-1),0)</f>
        <v>0</v>
      </c>
      <c r="DY3" s="11" t="n">
        <f aca="false">IF(AND(DY$1&gt;=Units!$Q2,MOD(DY$1-Units!$Q2,12)=0),IF(AND(Units!$L2=1,DY$1=Units!$Q2),1,Inputs!$B$15)*Inputs!$B$16*(1+Inputs!$B$11)^(DY$2-1),0)</f>
        <v>0</v>
      </c>
      <c r="DZ3" s="11" t="n">
        <f aca="false">IF(AND(DZ$1&gt;=Units!$Q2,MOD(DZ$1-Units!$Q2,12)=0),IF(AND(Units!$L2=1,DZ$1=Units!$Q2),1,Inputs!$B$15)*Inputs!$B$16*(1+Inputs!$B$11)^(DZ$2-1),0)</f>
        <v>0</v>
      </c>
      <c r="EA3" s="11" t="n">
        <f aca="false">IF(AND(EA$1&gt;=Units!$Q2,MOD(EA$1-Units!$Q2,12)=0),IF(AND(Units!$L2=1,EA$1=Units!$Q2),1,Inputs!$B$15)*Inputs!$B$16*(1+Inputs!$B$11)^(EA$2-1),0)</f>
        <v>0</v>
      </c>
      <c r="EB3" s="11" t="n">
        <f aca="false">IF(AND(EB$1&gt;=Units!$Q2,MOD(EB$1-Units!$Q2,12)=0),IF(AND(Units!$L2=1,EB$1=Units!$Q2),1,Inputs!$B$15)*Inputs!$B$16*(1+Inputs!$B$11)^(EB$2-1),0)</f>
        <v>0</v>
      </c>
      <c r="EC3" s="11" t="n">
        <f aca="false">IF(AND(EC$1&gt;=Units!$Q2,MOD(EC$1-Units!$Q2,12)=0),IF(AND(Units!$L2=1,EC$1=Units!$Q2),1,Inputs!$B$15)*Inputs!$B$16*(1+Inputs!$B$11)^(EC$2-1),0)</f>
        <v>0</v>
      </c>
      <c r="ED3" s="11" t="n">
        <f aca="false">IF(AND(ED$1&gt;=Units!$Q2,MOD(ED$1-Units!$Q2,12)=0),IF(AND(Units!$L2=1,ED$1=Units!$Q2),1,Inputs!$B$15)*Inputs!$B$16*(1+Inputs!$B$11)^(ED$2-1),0)</f>
        <v>0</v>
      </c>
    </row>
    <row r="4" customFormat="false" ht="15" hidden="false" customHeight="false" outlineLevel="0" collapsed="false">
      <c r="A4" s="22" t="n">
        <f aca="false">Units!A3</f>
        <v>102</v>
      </c>
      <c r="B4" s="23"/>
      <c r="C4" s="11" t="n">
        <f aca="false">IF(AND(C$1&gt;=Units!$Q3,MOD(C$1-Units!$Q3,12)=0),IF(AND(Units!$L3=1,C$1=Units!$Q3),1,Inputs!$B$15)*Inputs!$B$16*(1+Inputs!$B$11)^(C$2-1),0)</f>
        <v>0</v>
      </c>
      <c r="D4" s="11" t="n">
        <f aca="false">IF(AND(D$1&gt;=Units!$Q3,MOD(D$1-Units!$Q3,12)=0),IF(AND(Units!$L3=1,D$1=Units!$Q3),1,Inputs!$B$15)*Inputs!$B$16*(1+Inputs!$B$11)^(D$2-1),0)</f>
        <v>0</v>
      </c>
      <c r="E4" s="11" t="n">
        <f aca="false">IF(AND(E$1&gt;=Units!$Q3,MOD(E$1-Units!$Q3,12)=0),IF(AND(Units!$L3=1,E$1=Units!$Q3),1,Inputs!$B$15)*Inputs!$B$16*(1+Inputs!$B$11)^(E$2-1),0)</f>
        <v>0</v>
      </c>
      <c r="F4" s="11" t="n">
        <f aca="false">IF(AND(F$1&gt;=Units!$Q3,MOD(F$1-Units!$Q3,12)=0),IF(AND(Units!$L3=1,F$1=Units!$Q3),1,Inputs!$B$15)*Inputs!$B$16*(1+Inputs!$B$11)^(F$2-1),0)</f>
        <v>0</v>
      </c>
      <c r="G4" s="11" t="n">
        <f aca="false">IF(AND(G$1&gt;=Units!$Q3,MOD(G$1-Units!$Q3,12)=0),IF(AND(Units!$L3=1,G$1=Units!$Q3),1,Inputs!$B$15)*Inputs!$B$16*(1+Inputs!$B$11)^(G$2-1),0)</f>
        <v>0</v>
      </c>
      <c r="H4" s="11" t="n">
        <f aca="false">IF(AND(H$1&gt;=Units!$Q3,MOD(H$1-Units!$Q3,12)=0),IF(AND(Units!$L3=1,H$1=Units!$Q3),1,Inputs!$B$15)*Inputs!$B$16*(1+Inputs!$B$11)^(H$2-1),0)</f>
        <v>500</v>
      </c>
      <c r="I4" s="11" t="n">
        <f aca="false">IF(AND(I$1&gt;=Units!$Q3,MOD(I$1-Units!$Q3,12)=0),IF(AND(Units!$L3=1,I$1=Units!$Q3),1,Inputs!$B$15)*Inputs!$B$16*(1+Inputs!$B$11)^(I$2-1),0)</f>
        <v>0</v>
      </c>
      <c r="J4" s="11" t="n">
        <f aca="false">IF(AND(J$1&gt;=Units!$Q3,MOD(J$1-Units!$Q3,12)=0),IF(AND(Units!$L3=1,J$1=Units!$Q3),1,Inputs!$B$15)*Inputs!$B$16*(1+Inputs!$B$11)^(J$2-1),0)</f>
        <v>0</v>
      </c>
      <c r="K4" s="11" t="n">
        <f aca="false">IF(AND(K$1&gt;=Units!$Q3,MOD(K$1-Units!$Q3,12)=0),IF(AND(Units!$L3=1,K$1=Units!$Q3),1,Inputs!$B$15)*Inputs!$B$16*(1+Inputs!$B$11)^(K$2-1),0)</f>
        <v>0</v>
      </c>
      <c r="L4" s="11" t="n">
        <f aca="false">IF(AND(L$1&gt;=Units!$Q3,MOD(L$1-Units!$Q3,12)=0),IF(AND(Units!$L3=1,L$1=Units!$Q3),1,Inputs!$B$15)*Inputs!$B$16*(1+Inputs!$B$11)^(L$2-1),0)</f>
        <v>0</v>
      </c>
      <c r="M4" s="11" t="n">
        <f aca="false">IF(AND(M$1&gt;=Units!$Q3,MOD(M$1-Units!$Q3,12)=0),IF(AND(Units!$L3=1,M$1=Units!$Q3),1,Inputs!$B$15)*Inputs!$B$16*(1+Inputs!$B$11)^(M$2-1),0)</f>
        <v>0</v>
      </c>
      <c r="N4" s="11" t="n">
        <f aca="false">IF(AND(N$1&gt;=Units!$Q3,MOD(N$1-Units!$Q3,12)=0),IF(AND(Units!$L3=1,N$1=Units!$Q3),1,Inputs!$B$15)*Inputs!$B$16*(1+Inputs!$B$11)^(N$2-1),0)</f>
        <v>0</v>
      </c>
      <c r="O4" s="11" t="n">
        <f aca="false">IF(AND(O$1&gt;=Units!$Q3,MOD(O$1-Units!$Q3,12)=0),IF(AND(Units!$L3=1,O$1=Units!$Q3),1,Inputs!$B$15)*Inputs!$B$16*(1+Inputs!$B$11)^(O$2-1),0)</f>
        <v>0</v>
      </c>
      <c r="P4" s="11" t="n">
        <f aca="false">IF(AND(P$1&gt;=Units!$Q3,MOD(P$1-Units!$Q3,12)=0),IF(AND(Units!$L3=1,P$1=Units!$Q3),1,Inputs!$B$15)*Inputs!$B$16*(1+Inputs!$B$11)^(P$2-1),0)</f>
        <v>0</v>
      </c>
      <c r="Q4" s="11" t="n">
        <f aca="false">IF(AND(Q$1&gt;=Units!$Q3,MOD(Q$1-Units!$Q3,12)=0),IF(AND(Units!$L3=1,Q$1=Units!$Q3),1,Inputs!$B$15)*Inputs!$B$16*(1+Inputs!$B$11)^(Q$2-1),0)</f>
        <v>0</v>
      </c>
      <c r="R4" s="11" t="n">
        <f aca="false">IF(AND(R$1&gt;=Units!$Q3,MOD(R$1-Units!$Q3,12)=0),IF(AND(Units!$L3=1,R$1=Units!$Q3),1,Inputs!$B$15)*Inputs!$B$16*(1+Inputs!$B$11)^(R$2-1),0)</f>
        <v>0</v>
      </c>
      <c r="S4" s="11" t="n">
        <f aca="false">IF(AND(S$1&gt;=Units!$Q3,MOD(S$1-Units!$Q3,12)=0),IF(AND(Units!$L3=1,S$1=Units!$Q3),1,Inputs!$B$15)*Inputs!$B$16*(1+Inputs!$B$11)^(S$2-1),0)</f>
        <v>0</v>
      </c>
      <c r="T4" s="11" t="n">
        <f aca="false">IF(AND(T$1&gt;=Units!$Q3,MOD(T$1-Units!$Q3,12)=0),IF(AND(Units!$L3=1,T$1=Units!$Q3),1,Inputs!$B$15)*Inputs!$B$16*(1+Inputs!$B$11)^(T$2-1),0)</f>
        <v>515</v>
      </c>
      <c r="U4" s="11" t="n">
        <f aca="false">IF(AND(U$1&gt;=Units!$Q3,MOD(U$1-Units!$Q3,12)=0),IF(AND(Units!$L3=1,U$1=Units!$Q3),1,Inputs!$B$15)*Inputs!$B$16*(1+Inputs!$B$11)^(U$2-1),0)</f>
        <v>0</v>
      </c>
      <c r="V4" s="11" t="n">
        <f aca="false">IF(AND(V$1&gt;=Units!$Q3,MOD(V$1-Units!$Q3,12)=0),IF(AND(Units!$L3=1,V$1=Units!$Q3),1,Inputs!$B$15)*Inputs!$B$16*(1+Inputs!$B$11)^(V$2-1),0)</f>
        <v>0</v>
      </c>
      <c r="W4" s="11" t="n">
        <f aca="false">IF(AND(W$1&gt;=Units!$Q3,MOD(W$1-Units!$Q3,12)=0),IF(AND(Units!$L3=1,W$1=Units!$Q3),1,Inputs!$B$15)*Inputs!$B$16*(1+Inputs!$B$11)^(W$2-1),0)</f>
        <v>0</v>
      </c>
      <c r="X4" s="11" t="n">
        <f aca="false">IF(AND(X$1&gt;=Units!$Q3,MOD(X$1-Units!$Q3,12)=0),IF(AND(Units!$L3=1,X$1=Units!$Q3),1,Inputs!$B$15)*Inputs!$B$16*(1+Inputs!$B$11)^(X$2-1),0)</f>
        <v>0</v>
      </c>
      <c r="Y4" s="11" t="n">
        <f aca="false">IF(AND(Y$1&gt;=Units!$Q3,MOD(Y$1-Units!$Q3,12)=0),IF(AND(Units!$L3=1,Y$1=Units!$Q3),1,Inputs!$B$15)*Inputs!$B$16*(1+Inputs!$B$11)^(Y$2-1),0)</f>
        <v>0</v>
      </c>
      <c r="Z4" s="11" t="n">
        <f aca="false">IF(AND(Z$1&gt;=Units!$Q3,MOD(Z$1-Units!$Q3,12)=0),IF(AND(Units!$L3=1,Z$1=Units!$Q3),1,Inputs!$B$15)*Inputs!$B$16*(1+Inputs!$B$11)^(Z$2-1),0)</f>
        <v>0</v>
      </c>
      <c r="AA4" s="11" t="n">
        <f aca="false">IF(AND(AA$1&gt;=Units!$Q3,MOD(AA$1-Units!$Q3,12)=0),IF(AND(Units!$L3=1,AA$1=Units!$Q3),1,Inputs!$B$15)*Inputs!$B$16*(1+Inputs!$B$11)^(AA$2-1),0)</f>
        <v>0</v>
      </c>
      <c r="AB4" s="11" t="n">
        <f aca="false">IF(AND(AB$1&gt;=Units!$Q3,MOD(AB$1-Units!$Q3,12)=0),IF(AND(Units!$L3=1,AB$1=Units!$Q3),1,Inputs!$B$15)*Inputs!$B$16*(1+Inputs!$B$11)^(AB$2-1),0)</f>
        <v>0</v>
      </c>
      <c r="AC4" s="11" t="n">
        <f aca="false">IF(AND(AC$1&gt;=Units!$Q3,MOD(AC$1-Units!$Q3,12)=0),IF(AND(Units!$L3=1,AC$1=Units!$Q3),1,Inputs!$B$15)*Inputs!$B$16*(1+Inputs!$B$11)^(AC$2-1),0)</f>
        <v>0</v>
      </c>
      <c r="AD4" s="11" t="n">
        <f aca="false">IF(AND(AD$1&gt;=Units!$Q3,MOD(AD$1-Units!$Q3,12)=0),IF(AND(Units!$L3=1,AD$1=Units!$Q3),1,Inputs!$B$15)*Inputs!$B$16*(1+Inputs!$B$11)^(AD$2-1),0)</f>
        <v>0</v>
      </c>
      <c r="AE4" s="11" t="n">
        <f aca="false">IF(AND(AE$1&gt;=Units!$Q3,MOD(AE$1-Units!$Q3,12)=0),IF(AND(Units!$L3=1,AE$1=Units!$Q3),1,Inputs!$B$15)*Inputs!$B$16*(1+Inputs!$B$11)^(AE$2-1),0)</f>
        <v>0</v>
      </c>
      <c r="AF4" s="11" t="n">
        <f aca="false">IF(AND(AF$1&gt;=Units!$Q3,MOD(AF$1-Units!$Q3,12)=0),IF(AND(Units!$L3=1,AF$1=Units!$Q3),1,Inputs!$B$15)*Inputs!$B$16*(1+Inputs!$B$11)^(AF$2-1),0)</f>
        <v>530.45</v>
      </c>
      <c r="AG4" s="11" t="n">
        <f aca="false">IF(AND(AG$1&gt;=Units!$Q3,MOD(AG$1-Units!$Q3,12)=0),IF(AND(Units!$L3=1,AG$1=Units!$Q3),1,Inputs!$B$15)*Inputs!$B$16*(1+Inputs!$B$11)^(AG$2-1),0)</f>
        <v>0</v>
      </c>
      <c r="AH4" s="11" t="n">
        <f aca="false">IF(AND(AH$1&gt;=Units!$Q3,MOD(AH$1-Units!$Q3,12)=0),IF(AND(Units!$L3=1,AH$1=Units!$Q3),1,Inputs!$B$15)*Inputs!$B$16*(1+Inputs!$B$11)^(AH$2-1),0)</f>
        <v>0</v>
      </c>
      <c r="AI4" s="11" t="n">
        <f aca="false">IF(AND(AI$1&gt;=Units!$Q3,MOD(AI$1-Units!$Q3,12)=0),IF(AND(Units!$L3=1,AI$1=Units!$Q3),1,Inputs!$B$15)*Inputs!$B$16*(1+Inputs!$B$11)^(AI$2-1),0)</f>
        <v>0</v>
      </c>
      <c r="AJ4" s="11" t="n">
        <f aca="false">IF(AND(AJ$1&gt;=Units!$Q3,MOD(AJ$1-Units!$Q3,12)=0),IF(AND(Units!$L3=1,AJ$1=Units!$Q3),1,Inputs!$B$15)*Inputs!$B$16*(1+Inputs!$B$11)^(AJ$2-1),0)</f>
        <v>0</v>
      </c>
      <c r="AK4" s="11" t="n">
        <f aca="false">IF(AND(AK$1&gt;=Units!$Q3,MOD(AK$1-Units!$Q3,12)=0),IF(AND(Units!$L3=1,AK$1=Units!$Q3),1,Inputs!$B$15)*Inputs!$B$16*(1+Inputs!$B$11)^(AK$2-1),0)</f>
        <v>0</v>
      </c>
      <c r="AL4" s="11" t="n">
        <f aca="false">IF(AND(AL$1&gt;=Units!$Q3,MOD(AL$1-Units!$Q3,12)=0),IF(AND(Units!$L3=1,AL$1=Units!$Q3),1,Inputs!$B$15)*Inputs!$B$16*(1+Inputs!$B$11)^(AL$2-1),0)</f>
        <v>0</v>
      </c>
      <c r="AM4" s="11" t="n">
        <f aca="false">IF(AND(AM$1&gt;=Units!$Q3,MOD(AM$1-Units!$Q3,12)=0),IF(AND(Units!$L3=1,AM$1=Units!$Q3),1,Inputs!$B$15)*Inputs!$B$16*(1+Inputs!$B$11)^(AM$2-1),0)</f>
        <v>0</v>
      </c>
      <c r="AN4" s="11" t="n">
        <f aca="false">IF(AND(AN$1&gt;=Units!$Q3,MOD(AN$1-Units!$Q3,12)=0),IF(AND(Units!$L3=1,AN$1=Units!$Q3),1,Inputs!$B$15)*Inputs!$B$16*(1+Inputs!$B$11)^(AN$2-1),0)</f>
        <v>0</v>
      </c>
      <c r="AO4" s="11" t="n">
        <f aca="false">IF(AND(AO$1&gt;=Units!$Q3,MOD(AO$1-Units!$Q3,12)=0),IF(AND(Units!$L3=1,AO$1=Units!$Q3),1,Inputs!$B$15)*Inputs!$B$16*(1+Inputs!$B$11)^(AO$2-1),0)</f>
        <v>0</v>
      </c>
      <c r="AP4" s="11" t="n">
        <f aca="false">IF(AND(AP$1&gt;=Units!$Q3,MOD(AP$1-Units!$Q3,12)=0),IF(AND(Units!$L3=1,AP$1=Units!$Q3),1,Inputs!$B$15)*Inputs!$B$16*(1+Inputs!$B$11)^(AP$2-1),0)</f>
        <v>0</v>
      </c>
      <c r="AQ4" s="11" t="n">
        <f aca="false">IF(AND(AQ$1&gt;=Units!$Q3,MOD(AQ$1-Units!$Q3,12)=0),IF(AND(Units!$L3=1,AQ$1=Units!$Q3),1,Inputs!$B$15)*Inputs!$B$16*(1+Inputs!$B$11)^(AQ$2-1),0)</f>
        <v>0</v>
      </c>
      <c r="AR4" s="11" t="n">
        <f aca="false">IF(AND(AR$1&gt;=Units!$Q3,MOD(AR$1-Units!$Q3,12)=0),IF(AND(Units!$L3=1,AR$1=Units!$Q3),1,Inputs!$B$15)*Inputs!$B$16*(1+Inputs!$B$11)^(AR$2-1),0)</f>
        <v>546.3635</v>
      </c>
      <c r="AS4" s="11" t="n">
        <f aca="false">IF(AND(AS$1&gt;=Units!$Q3,MOD(AS$1-Units!$Q3,12)=0),IF(AND(Units!$L3=1,AS$1=Units!$Q3),1,Inputs!$B$15)*Inputs!$B$16*(1+Inputs!$B$11)^(AS$2-1),0)</f>
        <v>0</v>
      </c>
      <c r="AT4" s="11" t="n">
        <f aca="false">IF(AND(AT$1&gt;=Units!$Q3,MOD(AT$1-Units!$Q3,12)=0),IF(AND(Units!$L3=1,AT$1=Units!$Q3),1,Inputs!$B$15)*Inputs!$B$16*(1+Inputs!$B$11)^(AT$2-1),0)</f>
        <v>0</v>
      </c>
      <c r="AU4" s="11" t="n">
        <f aca="false">IF(AND(AU$1&gt;=Units!$Q3,MOD(AU$1-Units!$Q3,12)=0),IF(AND(Units!$L3=1,AU$1=Units!$Q3),1,Inputs!$B$15)*Inputs!$B$16*(1+Inputs!$B$11)^(AU$2-1),0)</f>
        <v>0</v>
      </c>
      <c r="AV4" s="11" t="n">
        <f aca="false">IF(AND(AV$1&gt;=Units!$Q3,MOD(AV$1-Units!$Q3,12)=0),IF(AND(Units!$L3=1,AV$1=Units!$Q3),1,Inputs!$B$15)*Inputs!$B$16*(1+Inputs!$B$11)^(AV$2-1),0)</f>
        <v>0</v>
      </c>
      <c r="AW4" s="11" t="n">
        <f aca="false">IF(AND(AW$1&gt;=Units!$Q3,MOD(AW$1-Units!$Q3,12)=0),IF(AND(Units!$L3=1,AW$1=Units!$Q3),1,Inputs!$B$15)*Inputs!$B$16*(1+Inputs!$B$11)^(AW$2-1),0)</f>
        <v>0</v>
      </c>
      <c r="AX4" s="11" t="n">
        <f aca="false">IF(AND(AX$1&gt;=Units!$Q3,MOD(AX$1-Units!$Q3,12)=0),IF(AND(Units!$L3=1,AX$1=Units!$Q3),1,Inputs!$B$15)*Inputs!$B$16*(1+Inputs!$B$11)^(AX$2-1),0)</f>
        <v>0</v>
      </c>
      <c r="AY4" s="11" t="n">
        <f aca="false">IF(AND(AY$1&gt;=Units!$Q3,MOD(AY$1-Units!$Q3,12)=0),IF(AND(Units!$L3=1,AY$1=Units!$Q3),1,Inputs!$B$15)*Inputs!$B$16*(1+Inputs!$B$11)^(AY$2-1),0)</f>
        <v>0</v>
      </c>
      <c r="AZ4" s="11" t="n">
        <f aca="false">IF(AND(AZ$1&gt;=Units!$Q3,MOD(AZ$1-Units!$Q3,12)=0),IF(AND(Units!$L3=1,AZ$1=Units!$Q3),1,Inputs!$B$15)*Inputs!$B$16*(1+Inputs!$B$11)^(AZ$2-1),0)</f>
        <v>0</v>
      </c>
      <c r="BA4" s="11" t="n">
        <f aca="false">IF(AND(BA$1&gt;=Units!$Q3,MOD(BA$1-Units!$Q3,12)=0),IF(AND(Units!$L3=1,BA$1=Units!$Q3),1,Inputs!$B$15)*Inputs!$B$16*(1+Inputs!$B$11)^(BA$2-1),0)</f>
        <v>0</v>
      </c>
      <c r="BB4" s="11" t="n">
        <f aca="false">IF(AND(BB$1&gt;=Units!$Q3,MOD(BB$1-Units!$Q3,12)=0),IF(AND(Units!$L3=1,BB$1=Units!$Q3),1,Inputs!$B$15)*Inputs!$B$16*(1+Inputs!$B$11)^(BB$2-1),0)</f>
        <v>0</v>
      </c>
      <c r="BC4" s="11" t="n">
        <f aca="false">IF(AND(BC$1&gt;=Units!$Q3,MOD(BC$1-Units!$Q3,12)=0),IF(AND(Units!$L3=1,BC$1=Units!$Q3),1,Inputs!$B$15)*Inputs!$B$16*(1+Inputs!$B$11)^(BC$2-1),0)</f>
        <v>0</v>
      </c>
      <c r="BD4" s="11" t="n">
        <f aca="false">IF(AND(BD$1&gt;=Units!$Q3,MOD(BD$1-Units!$Q3,12)=0),IF(AND(Units!$L3=1,BD$1=Units!$Q3),1,Inputs!$B$15)*Inputs!$B$16*(1+Inputs!$B$11)^(BD$2-1),0)</f>
        <v>562.754405</v>
      </c>
      <c r="BE4" s="11" t="n">
        <f aca="false">IF(AND(BE$1&gt;=Units!$Q3,MOD(BE$1-Units!$Q3,12)=0),IF(AND(Units!$L3=1,BE$1=Units!$Q3),1,Inputs!$B$15)*Inputs!$B$16*(1+Inputs!$B$11)^(BE$2-1),0)</f>
        <v>0</v>
      </c>
      <c r="BF4" s="11" t="n">
        <f aca="false">IF(AND(BF$1&gt;=Units!$Q3,MOD(BF$1-Units!$Q3,12)=0),IF(AND(Units!$L3=1,BF$1=Units!$Q3),1,Inputs!$B$15)*Inputs!$B$16*(1+Inputs!$B$11)^(BF$2-1),0)</f>
        <v>0</v>
      </c>
      <c r="BG4" s="11" t="n">
        <f aca="false">IF(AND(BG$1&gt;=Units!$Q3,MOD(BG$1-Units!$Q3,12)=0),IF(AND(Units!$L3=1,BG$1=Units!$Q3),1,Inputs!$B$15)*Inputs!$B$16*(1+Inputs!$B$11)^(BG$2-1),0)</f>
        <v>0</v>
      </c>
      <c r="BH4" s="11" t="n">
        <f aca="false">IF(AND(BH$1&gt;=Units!$Q3,MOD(BH$1-Units!$Q3,12)=0),IF(AND(Units!$L3=1,BH$1=Units!$Q3),1,Inputs!$B$15)*Inputs!$B$16*(1+Inputs!$B$11)^(BH$2-1),0)</f>
        <v>0</v>
      </c>
      <c r="BI4" s="11" t="n">
        <f aca="false">IF(AND(BI$1&gt;=Units!$Q3,MOD(BI$1-Units!$Q3,12)=0),IF(AND(Units!$L3=1,BI$1=Units!$Q3),1,Inputs!$B$15)*Inputs!$B$16*(1+Inputs!$B$11)^(BI$2-1),0)</f>
        <v>0</v>
      </c>
      <c r="BJ4" s="11" t="n">
        <f aca="false">IF(AND(BJ$1&gt;=Units!$Q3,MOD(BJ$1-Units!$Q3,12)=0),IF(AND(Units!$L3=1,BJ$1=Units!$Q3),1,Inputs!$B$15)*Inputs!$B$16*(1+Inputs!$B$11)^(BJ$2-1),0)</f>
        <v>0</v>
      </c>
      <c r="BK4" s="11" t="n">
        <f aca="false">IF(AND(BK$1&gt;=Units!$Q3,MOD(BK$1-Units!$Q3,12)=0),IF(AND(Units!$L3=1,BK$1=Units!$Q3),1,Inputs!$B$15)*Inputs!$B$16*(1+Inputs!$B$11)^(BK$2-1),0)</f>
        <v>0</v>
      </c>
      <c r="BL4" s="11" t="n">
        <f aca="false">IF(AND(BL$1&gt;=Units!$Q3,MOD(BL$1-Units!$Q3,12)=0),IF(AND(Units!$L3=1,BL$1=Units!$Q3),1,Inputs!$B$15)*Inputs!$B$16*(1+Inputs!$B$11)^(BL$2-1),0)</f>
        <v>0</v>
      </c>
      <c r="BM4" s="11" t="n">
        <f aca="false">IF(AND(BM$1&gt;=Units!$Q3,MOD(BM$1-Units!$Q3,12)=0),IF(AND(Units!$L3=1,BM$1=Units!$Q3),1,Inputs!$B$15)*Inputs!$B$16*(1+Inputs!$B$11)^(BM$2-1),0)</f>
        <v>0</v>
      </c>
      <c r="BN4" s="11" t="n">
        <f aca="false">IF(AND(BN$1&gt;=Units!$Q3,MOD(BN$1-Units!$Q3,12)=0),IF(AND(Units!$L3=1,BN$1=Units!$Q3),1,Inputs!$B$15)*Inputs!$B$16*(1+Inputs!$B$11)^(BN$2-1),0)</f>
        <v>0</v>
      </c>
      <c r="BO4" s="11" t="n">
        <f aca="false">IF(AND(BO$1&gt;=Units!$Q3,MOD(BO$1-Units!$Q3,12)=0),IF(AND(Units!$L3=1,BO$1=Units!$Q3),1,Inputs!$B$15)*Inputs!$B$16*(1+Inputs!$B$11)^(BO$2-1),0)</f>
        <v>0</v>
      </c>
      <c r="BP4" s="11" t="n">
        <f aca="false">IF(AND(BP$1&gt;=Units!$Q3,MOD(BP$1-Units!$Q3,12)=0),IF(AND(Units!$L3=1,BP$1=Units!$Q3),1,Inputs!$B$15)*Inputs!$B$16*(1+Inputs!$B$11)^(BP$2-1),0)</f>
        <v>579.63703715</v>
      </c>
      <c r="BQ4" s="11" t="n">
        <f aca="false">IF(AND(BQ$1&gt;=Units!$Q3,MOD(BQ$1-Units!$Q3,12)=0),IF(AND(Units!$L3=1,BQ$1=Units!$Q3),1,Inputs!$B$15)*Inputs!$B$16*(1+Inputs!$B$11)^(BQ$2-1),0)</f>
        <v>0</v>
      </c>
      <c r="BR4" s="11" t="n">
        <f aca="false">IF(AND(BR$1&gt;=Units!$Q3,MOD(BR$1-Units!$Q3,12)=0),IF(AND(Units!$L3=1,BR$1=Units!$Q3),1,Inputs!$B$15)*Inputs!$B$16*(1+Inputs!$B$11)^(BR$2-1),0)</f>
        <v>0</v>
      </c>
      <c r="BS4" s="11" t="n">
        <f aca="false">IF(AND(BS$1&gt;=Units!$Q3,MOD(BS$1-Units!$Q3,12)=0),IF(AND(Units!$L3=1,BS$1=Units!$Q3),1,Inputs!$B$15)*Inputs!$B$16*(1+Inputs!$B$11)^(BS$2-1),0)</f>
        <v>0</v>
      </c>
      <c r="BT4" s="11" t="n">
        <f aca="false">IF(AND(BT$1&gt;=Units!$Q3,MOD(BT$1-Units!$Q3,12)=0),IF(AND(Units!$L3=1,BT$1=Units!$Q3),1,Inputs!$B$15)*Inputs!$B$16*(1+Inputs!$B$11)^(BT$2-1),0)</f>
        <v>0</v>
      </c>
      <c r="BU4" s="11" t="n">
        <f aca="false">IF(AND(BU$1&gt;=Units!$Q3,MOD(BU$1-Units!$Q3,12)=0),IF(AND(Units!$L3=1,BU$1=Units!$Q3),1,Inputs!$B$15)*Inputs!$B$16*(1+Inputs!$B$11)^(BU$2-1),0)</f>
        <v>0</v>
      </c>
      <c r="BV4" s="11" t="n">
        <f aca="false">IF(AND(BV$1&gt;=Units!$Q3,MOD(BV$1-Units!$Q3,12)=0),IF(AND(Units!$L3=1,BV$1=Units!$Q3),1,Inputs!$B$15)*Inputs!$B$16*(1+Inputs!$B$11)^(BV$2-1),0)</f>
        <v>0</v>
      </c>
      <c r="BW4" s="11" t="n">
        <f aca="false">IF(AND(BW$1&gt;=Units!$Q3,MOD(BW$1-Units!$Q3,12)=0),IF(AND(Units!$L3=1,BW$1=Units!$Q3),1,Inputs!$B$15)*Inputs!$B$16*(1+Inputs!$B$11)^(BW$2-1),0)</f>
        <v>0</v>
      </c>
      <c r="BX4" s="11" t="n">
        <f aca="false">IF(AND(BX$1&gt;=Units!$Q3,MOD(BX$1-Units!$Q3,12)=0),IF(AND(Units!$L3=1,BX$1=Units!$Q3),1,Inputs!$B$15)*Inputs!$B$16*(1+Inputs!$B$11)^(BX$2-1),0)</f>
        <v>0</v>
      </c>
      <c r="BY4" s="11" t="n">
        <f aca="false">IF(AND(BY$1&gt;=Units!$Q3,MOD(BY$1-Units!$Q3,12)=0),IF(AND(Units!$L3=1,BY$1=Units!$Q3),1,Inputs!$B$15)*Inputs!$B$16*(1+Inputs!$B$11)^(BY$2-1),0)</f>
        <v>0</v>
      </c>
      <c r="BZ4" s="11" t="n">
        <f aca="false">IF(AND(BZ$1&gt;=Units!$Q3,MOD(BZ$1-Units!$Q3,12)=0),IF(AND(Units!$L3=1,BZ$1=Units!$Q3),1,Inputs!$B$15)*Inputs!$B$16*(1+Inputs!$B$11)^(BZ$2-1),0)</f>
        <v>0</v>
      </c>
      <c r="CA4" s="11" t="n">
        <f aca="false">IF(AND(CA$1&gt;=Units!$Q3,MOD(CA$1-Units!$Q3,12)=0),IF(AND(Units!$L3=1,CA$1=Units!$Q3),1,Inputs!$B$15)*Inputs!$B$16*(1+Inputs!$B$11)^(CA$2-1),0)</f>
        <v>0</v>
      </c>
      <c r="CB4" s="11" t="n">
        <f aca="false">IF(AND(CB$1&gt;=Units!$Q3,MOD(CB$1-Units!$Q3,12)=0),IF(AND(Units!$L3=1,CB$1=Units!$Q3),1,Inputs!$B$15)*Inputs!$B$16*(1+Inputs!$B$11)^(CB$2-1),0)</f>
        <v>597.0261482645</v>
      </c>
      <c r="CC4" s="11" t="n">
        <f aca="false">IF(AND(CC$1&gt;=Units!$Q3,MOD(CC$1-Units!$Q3,12)=0),IF(AND(Units!$L3=1,CC$1=Units!$Q3),1,Inputs!$B$15)*Inputs!$B$16*(1+Inputs!$B$11)^(CC$2-1),0)</f>
        <v>0</v>
      </c>
      <c r="CD4" s="11" t="n">
        <f aca="false">IF(AND(CD$1&gt;=Units!$Q3,MOD(CD$1-Units!$Q3,12)=0),IF(AND(Units!$L3=1,CD$1=Units!$Q3),1,Inputs!$B$15)*Inputs!$B$16*(1+Inputs!$B$11)^(CD$2-1),0)</f>
        <v>0</v>
      </c>
      <c r="CE4" s="11" t="n">
        <f aca="false">IF(AND(CE$1&gt;=Units!$Q3,MOD(CE$1-Units!$Q3,12)=0),IF(AND(Units!$L3=1,CE$1=Units!$Q3),1,Inputs!$B$15)*Inputs!$B$16*(1+Inputs!$B$11)^(CE$2-1),0)</f>
        <v>0</v>
      </c>
      <c r="CF4" s="11" t="n">
        <f aca="false">IF(AND(CF$1&gt;=Units!$Q3,MOD(CF$1-Units!$Q3,12)=0),IF(AND(Units!$L3=1,CF$1=Units!$Q3),1,Inputs!$B$15)*Inputs!$B$16*(1+Inputs!$B$11)^(CF$2-1),0)</f>
        <v>0</v>
      </c>
      <c r="CG4" s="11" t="n">
        <f aca="false">IF(AND(CG$1&gt;=Units!$Q3,MOD(CG$1-Units!$Q3,12)=0),IF(AND(Units!$L3=1,CG$1=Units!$Q3),1,Inputs!$B$15)*Inputs!$B$16*(1+Inputs!$B$11)^(CG$2-1),0)</f>
        <v>0</v>
      </c>
      <c r="CH4" s="11" t="n">
        <f aca="false">IF(AND(CH$1&gt;=Units!$Q3,MOD(CH$1-Units!$Q3,12)=0),IF(AND(Units!$L3=1,CH$1=Units!$Q3),1,Inputs!$B$15)*Inputs!$B$16*(1+Inputs!$B$11)^(CH$2-1),0)</f>
        <v>0</v>
      </c>
      <c r="CI4" s="11" t="n">
        <f aca="false">IF(AND(CI$1&gt;=Units!$Q3,MOD(CI$1-Units!$Q3,12)=0),IF(AND(Units!$L3=1,CI$1=Units!$Q3),1,Inputs!$B$15)*Inputs!$B$16*(1+Inputs!$B$11)^(CI$2-1),0)</f>
        <v>0</v>
      </c>
      <c r="CJ4" s="11" t="n">
        <f aca="false">IF(AND(CJ$1&gt;=Units!$Q3,MOD(CJ$1-Units!$Q3,12)=0),IF(AND(Units!$L3=1,CJ$1=Units!$Q3),1,Inputs!$B$15)*Inputs!$B$16*(1+Inputs!$B$11)^(CJ$2-1),0)</f>
        <v>0</v>
      </c>
      <c r="CK4" s="11" t="n">
        <f aca="false">IF(AND(CK$1&gt;=Units!$Q3,MOD(CK$1-Units!$Q3,12)=0),IF(AND(Units!$L3=1,CK$1=Units!$Q3),1,Inputs!$B$15)*Inputs!$B$16*(1+Inputs!$B$11)^(CK$2-1),0)</f>
        <v>0</v>
      </c>
      <c r="CL4" s="11" t="n">
        <f aca="false">IF(AND(CL$1&gt;=Units!$Q3,MOD(CL$1-Units!$Q3,12)=0),IF(AND(Units!$L3=1,CL$1=Units!$Q3),1,Inputs!$B$15)*Inputs!$B$16*(1+Inputs!$B$11)^(CL$2-1),0)</f>
        <v>0</v>
      </c>
      <c r="CM4" s="11" t="n">
        <f aca="false">IF(AND(CM$1&gt;=Units!$Q3,MOD(CM$1-Units!$Q3,12)=0),IF(AND(Units!$L3=1,CM$1=Units!$Q3),1,Inputs!$B$15)*Inputs!$B$16*(1+Inputs!$B$11)^(CM$2-1),0)</f>
        <v>0</v>
      </c>
      <c r="CN4" s="11" t="n">
        <f aca="false">IF(AND(CN$1&gt;=Units!$Q3,MOD(CN$1-Units!$Q3,12)=0),IF(AND(Units!$L3=1,CN$1=Units!$Q3),1,Inputs!$B$15)*Inputs!$B$16*(1+Inputs!$B$11)^(CN$2-1),0)</f>
        <v>614.936932712435</v>
      </c>
      <c r="CO4" s="11" t="n">
        <f aca="false">IF(AND(CO$1&gt;=Units!$Q3,MOD(CO$1-Units!$Q3,12)=0),IF(AND(Units!$L3=1,CO$1=Units!$Q3),1,Inputs!$B$15)*Inputs!$B$16*(1+Inputs!$B$11)^(CO$2-1),0)</f>
        <v>0</v>
      </c>
      <c r="CP4" s="11" t="n">
        <f aca="false">IF(AND(CP$1&gt;=Units!$Q3,MOD(CP$1-Units!$Q3,12)=0),IF(AND(Units!$L3=1,CP$1=Units!$Q3),1,Inputs!$B$15)*Inputs!$B$16*(1+Inputs!$B$11)^(CP$2-1),0)</f>
        <v>0</v>
      </c>
      <c r="CQ4" s="11" t="n">
        <f aca="false">IF(AND(CQ$1&gt;=Units!$Q3,MOD(CQ$1-Units!$Q3,12)=0),IF(AND(Units!$L3=1,CQ$1=Units!$Q3),1,Inputs!$B$15)*Inputs!$B$16*(1+Inputs!$B$11)^(CQ$2-1),0)</f>
        <v>0</v>
      </c>
      <c r="CR4" s="11" t="n">
        <f aca="false">IF(AND(CR$1&gt;=Units!$Q3,MOD(CR$1-Units!$Q3,12)=0),IF(AND(Units!$L3=1,CR$1=Units!$Q3),1,Inputs!$B$15)*Inputs!$B$16*(1+Inputs!$B$11)^(CR$2-1),0)</f>
        <v>0</v>
      </c>
      <c r="CS4" s="11" t="n">
        <f aca="false">IF(AND(CS$1&gt;=Units!$Q3,MOD(CS$1-Units!$Q3,12)=0),IF(AND(Units!$L3=1,CS$1=Units!$Q3),1,Inputs!$B$15)*Inputs!$B$16*(1+Inputs!$B$11)^(CS$2-1),0)</f>
        <v>0</v>
      </c>
      <c r="CT4" s="11" t="n">
        <f aca="false">IF(AND(CT$1&gt;=Units!$Q3,MOD(CT$1-Units!$Q3,12)=0),IF(AND(Units!$L3=1,CT$1=Units!$Q3),1,Inputs!$B$15)*Inputs!$B$16*(1+Inputs!$B$11)^(CT$2-1),0)</f>
        <v>0</v>
      </c>
      <c r="CU4" s="11" t="n">
        <f aca="false">IF(AND(CU$1&gt;=Units!$Q3,MOD(CU$1-Units!$Q3,12)=0),IF(AND(Units!$L3=1,CU$1=Units!$Q3),1,Inputs!$B$15)*Inputs!$B$16*(1+Inputs!$B$11)^(CU$2-1),0)</f>
        <v>0</v>
      </c>
      <c r="CV4" s="11" t="n">
        <f aca="false">IF(AND(CV$1&gt;=Units!$Q3,MOD(CV$1-Units!$Q3,12)=0),IF(AND(Units!$L3=1,CV$1=Units!$Q3),1,Inputs!$B$15)*Inputs!$B$16*(1+Inputs!$B$11)^(CV$2-1),0)</f>
        <v>0</v>
      </c>
      <c r="CW4" s="11" t="n">
        <f aca="false">IF(AND(CW$1&gt;=Units!$Q3,MOD(CW$1-Units!$Q3,12)=0),IF(AND(Units!$L3=1,CW$1=Units!$Q3),1,Inputs!$B$15)*Inputs!$B$16*(1+Inputs!$B$11)^(CW$2-1),0)</f>
        <v>0</v>
      </c>
      <c r="CX4" s="11" t="n">
        <f aca="false">IF(AND(CX$1&gt;=Units!$Q3,MOD(CX$1-Units!$Q3,12)=0),IF(AND(Units!$L3=1,CX$1=Units!$Q3),1,Inputs!$B$15)*Inputs!$B$16*(1+Inputs!$B$11)^(CX$2-1),0)</f>
        <v>0</v>
      </c>
      <c r="CY4" s="11" t="n">
        <f aca="false">IF(AND(CY$1&gt;=Units!$Q3,MOD(CY$1-Units!$Q3,12)=0),IF(AND(Units!$L3=1,CY$1=Units!$Q3),1,Inputs!$B$15)*Inputs!$B$16*(1+Inputs!$B$11)^(CY$2-1),0)</f>
        <v>0</v>
      </c>
      <c r="CZ4" s="11" t="n">
        <f aca="false">IF(AND(CZ$1&gt;=Units!$Q3,MOD(CZ$1-Units!$Q3,12)=0),IF(AND(Units!$L3=1,CZ$1=Units!$Q3),1,Inputs!$B$15)*Inputs!$B$16*(1+Inputs!$B$11)^(CZ$2-1),0)</f>
        <v>633.385040693808</v>
      </c>
      <c r="DA4" s="11" t="n">
        <f aca="false">IF(AND(DA$1&gt;=Units!$Q3,MOD(DA$1-Units!$Q3,12)=0),IF(AND(Units!$L3=1,DA$1=Units!$Q3),1,Inputs!$B$15)*Inputs!$B$16*(1+Inputs!$B$11)^(DA$2-1),0)</f>
        <v>0</v>
      </c>
      <c r="DB4" s="11" t="n">
        <f aca="false">IF(AND(DB$1&gt;=Units!$Q3,MOD(DB$1-Units!$Q3,12)=0),IF(AND(Units!$L3=1,DB$1=Units!$Q3),1,Inputs!$B$15)*Inputs!$B$16*(1+Inputs!$B$11)^(DB$2-1),0)</f>
        <v>0</v>
      </c>
      <c r="DC4" s="11" t="n">
        <f aca="false">IF(AND(DC$1&gt;=Units!$Q3,MOD(DC$1-Units!$Q3,12)=0),IF(AND(Units!$L3=1,DC$1=Units!$Q3),1,Inputs!$B$15)*Inputs!$B$16*(1+Inputs!$B$11)^(DC$2-1),0)</f>
        <v>0</v>
      </c>
      <c r="DD4" s="11" t="n">
        <f aca="false">IF(AND(DD$1&gt;=Units!$Q3,MOD(DD$1-Units!$Q3,12)=0),IF(AND(Units!$L3=1,DD$1=Units!$Q3),1,Inputs!$B$15)*Inputs!$B$16*(1+Inputs!$B$11)^(DD$2-1),0)</f>
        <v>0</v>
      </c>
      <c r="DE4" s="11" t="n">
        <f aca="false">IF(AND(DE$1&gt;=Units!$Q3,MOD(DE$1-Units!$Q3,12)=0),IF(AND(Units!$L3=1,DE$1=Units!$Q3),1,Inputs!$B$15)*Inputs!$B$16*(1+Inputs!$B$11)^(DE$2-1),0)</f>
        <v>0</v>
      </c>
      <c r="DF4" s="11" t="n">
        <f aca="false">IF(AND(DF$1&gt;=Units!$Q3,MOD(DF$1-Units!$Q3,12)=0),IF(AND(Units!$L3=1,DF$1=Units!$Q3),1,Inputs!$B$15)*Inputs!$B$16*(1+Inputs!$B$11)^(DF$2-1),0)</f>
        <v>0</v>
      </c>
      <c r="DG4" s="11" t="n">
        <f aca="false">IF(AND(DG$1&gt;=Units!$Q3,MOD(DG$1-Units!$Q3,12)=0),IF(AND(Units!$L3=1,DG$1=Units!$Q3),1,Inputs!$B$15)*Inputs!$B$16*(1+Inputs!$B$11)^(DG$2-1),0)</f>
        <v>0</v>
      </c>
      <c r="DH4" s="11" t="n">
        <f aca="false">IF(AND(DH$1&gt;=Units!$Q3,MOD(DH$1-Units!$Q3,12)=0),IF(AND(Units!$L3=1,DH$1=Units!$Q3),1,Inputs!$B$15)*Inputs!$B$16*(1+Inputs!$B$11)^(DH$2-1),0)</f>
        <v>0</v>
      </c>
      <c r="DI4" s="11" t="n">
        <f aca="false">IF(AND(DI$1&gt;=Units!$Q3,MOD(DI$1-Units!$Q3,12)=0),IF(AND(Units!$L3=1,DI$1=Units!$Q3),1,Inputs!$B$15)*Inputs!$B$16*(1+Inputs!$B$11)^(DI$2-1),0)</f>
        <v>0</v>
      </c>
      <c r="DJ4" s="11" t="n">
        <f aca="false">IF(AND(DJ$1&gt;=Units!$Q3,MOD(DJ$1-Units!$Q3,12)=0),IF(AND(Units!$L3=1,DJ$1=Units!$Q3),1,Inputs!$B$15)*Inputs!$B$16*(1+Inputs!$B$11)^(DJ$2-1),0)</f>
        <v>0</v>
      </c>
      <c r="DK4" s="11" t="n">
        <f aca="false">IF(AND(DK$1&gt;=Units!$Q3,MOD(DK$1-Units!$Q3,12)=0),IF(AND(Units!$L3=1,DK$1=Units!$Q3),1,Inputs!$B$15)*Inputs!$B$16*(1+Inputs!$B$11)^(DK$2-1),0)</f>
        <v>0</v>
      </c>
      <c r="DL4" s="11" t="n">
        <f aca="false">IF(AND(DL$1&gt;=Units!$Q3,MOD(DL$1-Units!$Q3,12)=0),IF(AND(Units!$L3=1,DL$1=Units!$Q3),1,Inputs!$B$15)*Inputs!$B$16*(1+Inputs!$B$11)^(DL$2-1),0)</f>
        <v>652.386591914623</v>
      </c>
      <c r="DM4" s="11" t="n">
        <f aca="false">IF(AND(DM$1&gt;=Units!$Q3,MOD(DM$1-Units!$Q3,12)=0),IF(AND(Units!$L3=1,DM$1=Units!$Q3),1,Inputs!$B$15)*Inputs!$B$16*(1+Inputs!$B$11)^(DM$2-1),0)</f>
        <v>0</v>
      </c>
      <c r="DN4" s="11" t="n">
        <f aca="false">IF(AND(DN$1&gt;=Units!$Q3,MOD(DN$1-Units!$Q3,12)=0),IF(AND(Units!$L3=1,DN$1=Units!$Q3),1,Inputs!$B$15)*Inputs!$B$16*(1+Inputs!$B$11)^(DN$2-1),0)</f>
        <v>0</v>
      </c>
      <c r="DO4" s="11" t="n">
        <f aca="false">IF(AND(DO$1&gt;=Units!$Q3,MOD(DO$1-Units!$Q3,12)=0),IF(AND(Units!$L3=1,DO$1=Units!$Q3),1,Inputs!$B$15)*Inputs!$B$16*(1+Inputs!$B$11)^(DO$2-1),0)</f>
        <v>0</v>
      </c>
      <c r="DP4" s="11" t="n">
        <f aca="false">IF(AND(DP$1&gt;=Units!$Q3,MOD(DP$1-Units!$Q3,12)=0),IF(AND(Units!$L3=1,DP$1=Units!$Q3),1,Inputs!$B$15)*Inputs!$B$16*(1+Inputs!$B$11)^(DP$2-1),0)</f>
        <v>0</v>
      </c>
      <c r="DQ4" s="11" t="n">
        <f aca="false">IF(AND(DQ$1&gt;=Units!$Q3,MOD(DQ$1-Units!$Q3,12)=0),IF(AND(Units!$L3=1,DQ$1=Units!$Q3),1,Inputs!$B$15)*Inputs!$B$16*(1+Inputs!$B$11)^(DQ$2-1),0)</f>
        <v>0</v>
      </c>
      <c r="DR4" s="11" t="n">
        <f aca="false">IF(AND(DR$1&gt;=Units!$Q3,MOD(DR$1-Units!$Q3,12)=0),IF(AND(Units!$L3=1,DR$1=Units!$Q3),1,Inputs!$B$15)*Inputs!$B$16*(1+Inputs!$B$11)^(DR$2-1),0)</f>
        <v>0</v>
      </c>
      <c r="DS4" s="11" t="n">
        <f aca="false">IF(AND(DS$1&gt;=Units!$Q3,MOD(DS$1-Units!$Q3,12)=0),IF(AND(Units!$L3=1,DS$1=Units!$Q3),1,Inputs!$B$15)*Inputs!$B$16*(1+Inputs!$B$11)^(DS$2-1),0)</f>
        <v>0</v>
      </c>
      <c r="DT4" s="11" t="n">
        <f aca="false">IF(AND(DT$1&gt;=Units!$Q3,MOD(DT$1-Units!$Q3,12)=0),IF(AND(Units!$L3=1,DT$1=Units!$Q3),1,Inputs!$B$15)*Inputs!$B$16*(1+Inputs!$B$11)^(DT$2-1),0)</f>
        <v>0</v>
      </c>
      <c r="DU4" s="11" t="n">
        <f aca="false">IF(AND(DU$1&gt;=Units!$Q3,MOD(DU$1-Units!$Q3,12)=0),IF(AND(Units!$L3=1,DU$1=Units!$Q3),1,Inputs!$B$15)*Inputs!$B$16*(1+Inputs!$B$11)^(DU$2-1),0)</f>
        <v>0</v>
      </c>
      <c r="DV4" s="11" t="n">
        <f aca="false">IF(AND(DV$1&gt;=Units!$Q3,MOD(DV$1-Units!$Q3,12)=0),IF(AND(Units!$L3=1,DV$1=Units!$Q3),1,Inputs!$B$15)*Inputs!$B$16*(1+Inputs!$B$11)^(DV$2-1),0)</f>
        <v>0</v>
      </c>
      <c r="DW4" s="11" t="n">
        <f aca="false">IF(AND(DW$1&gt;=Units!$Q3,MOD(DW$1-Units!$Q3,12)=0),IF(AND(Units!$L3=1,DW$1=Units!$Q3),1,Inputs!$B$15)*Inputs!$B$16*(1+Inputs!$B$11)^(DW$2-1),0)</f>
        <v>0</v>
      </c>
      <c r="DX4" s="11" t="n">
        <f aca="false">IF(AND(DX$1&gt;=Units!$Q3,MOD(DX$1-Units!$Q3,12)=0),IF(AND(Units!$L3=1,DX$1=Units!$Q3),1,Inputs!$B$15)*Inputs!$B$16*(1+Inputs!$B$11)^(DX$2-1),0)</f>
        <v>671.958189672061</v>
      </c>
      <c r="DY4" s="11" t="n">
        <f aca="false">IF(AND(DY$1&gt;=Units!$Q3,MOD(DY$1-Units!$Q3,12)=0),IF(AND(Units!$L3=1,DY$1=Units!$Q3),1,Inputs!$B$15)*Inputs!$B$16*(1+Inputs!$B$11)^(DY$2-1),0)</f>
        <v>0</v>
      </c>
      <c r="DZ4" s="11" t="n">
        <f aca="false">IF(AND(DZ$1&gt;=Units!$Q3,MOD(DZ$1-Units!$Q3,12)=0),IF(AND(Units!$L3=1,DZ$1=Units!$Q3),1,Inputs!$B$15)*Inputs!$B$16*(1+Inputs!$B$11)^(DZ$2-1),0)</f>
        <v>0</v>
      </c>
      <c r="EA4" s="11" t="n">
        <f aca="false">IF(AND(EA$1&gt;=Units!$Q3,MOD(EA$1-Units!$Q3,12)=0),IF(AND(Units!$L3=1,EA$1=Units!$Q3),1,Inputs!$B$15)*Inputs!$B$16*(1+Inputs!$B$11)^(EA$2-1),0)</f>
        <v>0</v>
      </c>
      <c r="EB4" s="11" t="n">
        <f aca="false">IF(AND(EB$1&gt;=Units!$Q3,MOD(EB$1-Units!$Q3,12)=0),IF(AND(Units!$L3=1,EB$1=Units!$Q3),1,Inputs!$B$15)*Inputs!$B$16*(1+Inputs!$B$11)^(EB$2-1),0)</f>
        <v>0</v>
      </c>
      <c r="EC4" s="11" t="n">
        <f aca="false">IF(AND(EC$1&gt;=Units!$Q3,MOD(EC$1-Units!$Q3,12)=0),IF(AND(Units!$L3=1,EC$1=Units!$Q3),1,Inputs!$B$15)*Inputs!$B$16*(1+Inputs!$B$11)^(EC$2-1),0)</f>
        <v>0</v>
      </c>
      <c r="ED4" s="11" t="n">
        <f aca="false">IF(AND(ED$1&gt;=Units!$Q3,MOD(ED$1-Units!$Q3,12)=0),IF(AND(Units!$L3=1,ED$1=Units!$Q3),1,Inputs!$B$15)*Inputs!$B$16*(1+Inputs!$B$11)^(ED$2-1),0)</f>
        <v>0</v>
      </c>
    </row>
    <row r="5" customFormat="false" ht="15" hidden="false" customHeight="false" outlineLevel="0" collapsed="false">
      <c r="A5" s="22" t="n">
        <f aca="false">Units!A4</f>
        <v>103</v>
      </c>
      <c r="B5" s="23"/>
      <c r="C5" s="11" t="n">
        <f aca="false">IF(AND(C$1&gt;=Units!$Q4,MOD(C$1-Units!$Q4,12)=0),IF(AND(Units!$L4=1,C$1=Units!$Q4),1,Inputs!$B$15)*Inputs!$B$16*(1+Inputs!$B$11)^(C$2-1),0)</f>
        <v>0</v>
      </c>
      <c r="D5" s="11" t="n">
        <f aca="false">IF(AND(D$1&gt;=Units!$Q4,MOD(D$1-Units!$Q4,12)=0),IF(AND(Units!$L4=1,D$1=Units!$Q4),1,Inputs!$B$15)*Inputs!$B$16*(1+Inputs!$B$11)^(D$2-1),0)</f>
        <v>0</v>
      </c>
      <c r="E5" s="11" t="n">
        <f aca="false">IF(AND(E$1&gt;=Units!$Q4,MOD(E$1-Units!$Q4,12)=0),IF(AND(Units!$L4=1,E$1=Units!$Q4),1,Inputs!$B$15)*Inputs!$B$16*(1+Inputs!$B$11)^(E$2-1),0)</f>
        <v>0</v>
      </c>
      <c r="F5" s="11" t="n">
        <f aca="false">IF(AND(F$1&gt;=Units!$Q4,MOD(F$1-Units!$Q4,12)=0),IF(AND(Units!$L4=1,F$1=Units!$Q4),1,Inputs!$B$15)*Inputs!$B$16*(1+Inputs!$B$11)^(F$2-1),0)</f>
        <v>0</v>
      </c>
      <c r="G5" s="11" t="n">
        <f aca="false">IF(AND(G$1&gt;=Units!$Q4,MOD(G$1-Units!$Q4,12)=0),IF(AND(Units!$L4=1,G$1=Units!$Q4),1,Inputs!$B$15)*Inputs!$B$16*(1+Inputs!$B$11)^(G$2-1),0)</f>
        <v>0</v>
      </c>
      <c r="H5" s="11" t="n">
        <f aca="false">IF(AND(H$1&gt;=Units!$Q4,MOD(H$1-Units!$Q4,12)=0),IF(AND(Units!$L4=1,H$1=Units!$Q4),1,Inputs!$B$15)*Inputs!$B$16*(1+Inputs!$B$11)^(H$2-1),0)</f>
        <v>0</v>
      </c>
      <c r="I5" s="11" t="n">
        <f aca="false">IF(AND(I$1&gt;=Units!$Q4,MOD(I$1-Units!$Q4,12)=0),IF(AND(Units!$L4=1,I$1=Units!$Q4),1,Inputs!$B$15)*Inputs!$B$16*(1+Inputs!$B$11)^(I$2-1),0)</f>
        <v>0</v>
      </c>
      <c r="J5" s="11" t="n">
        <f aca="false">IF(AND(J$1&gt;=Units!$Q4,MOD(J$1-Units!$Q4,12)=0),IF(AND(Units!$L4=1,J$1=Units!$Q4),1,Inputs!$B$15)*Inputs!$B$16*(1+Inputs!$B$11)^(J$2-1),0)</f>
        <v>0</v>
      </c>
      <c r="K5" s="11" t="n">
        <f aca="false">IF(AND(K$1&gt;=Units!$Q4,MOD(K$1-Units!$Q4,12)=0),IF(AND(Units!$L4=1,K$1=Units!$Q4),1,Inputs!$B$15)*Inputs!$B$16*(1+Inputs!$B$11)^(K$2-1),0)</f>
        <v>0</v>
      </c>
      <c r="L5" s="11" t="n">
        <f aca="false">IF(AND(L$1&gt;=Units!$Q4,MOD(L$1-Units!$Q4,12)=0),IF(AND(Units!$L4=1,L$1=Units!$Q4),1,Inputs!$B$15)*Inputs!$B$16*(1+Inputs!$B$11)^(L$2-1),0)</f>
        <v>0</v>
      </c>
      <c r="M5" s="11" t="n">
        <f aca="false">IF(AND(M$1&gt;=Units!$Q4,MOD(M$1-Units!$Q4,12)=0),IF(AND(Units!$L4=1,M$1=Units!$Q4),1,Inputs!$B$15)*Inputs!$B$16*(1+Inputs!$B$11)^(M$2-1),0)</f>
        <v>500</v>
      </c>
      <c r="N5" s="11" t="n">
        <f aca="false">IF(AND(N$1&gt;=Units!$Q4,MOD(N$1-Units!$Q4,12)=0),IF(AND(Units!$L4=1,N$1=Units!$Q4),1,Inputs!$B$15)*Inputs!$B$16*(1+Inputs!$B$11)^(N$2-1),0)</f>
        <v>0</v>
      </c>
      <c r="O5" s="11" t="n">
        <f aca="false">IF(AND(O$1&gt;=Units!$Q4,MOD(O$1-Units!$Q4,12)=0),IF(AND(Units!$L4=1,O$1=Units!$Q4),1,Inputs!$B$15)*Inputs!$B$16*(1+Inputs!$B$11)^(O$2-1),0)</f>
        <v>0</v>
      </c>
      <c r="P5" s="11" t="n">
        <f aca="false">IF(AND(P$1&gt;=Units!$Q4,MOD(P$1-Units!$Q4,12)=0),IF(AND(Units!$L4=1,P$1=Units!$Q4),1,Inputs!$B$15)*Inputs!$B$16*(1+Inputs!$B$11)^(P$2-1),0)</f>
        <v>0</v>
      </c>
      <c r="Q5" s="11" t="n">
        <f aca="false">IF(AND(Q$1&gt;=Units!$Q4,MOD(Q$1-Units!$Q4,12)=0),IF(AND(Units!$L4=1,Q$1=Units!$Q4),1,Inputs!$B$15)*Inputs!$B$16*(1+Inputs!$B$11)^(Q$2-1),0)</f>
        <v>0</v>
      </c>
      <c r="R5" s="11" t="n">
        <f aca="false">IF(AND(R$1&gt;=Units!$Q4,MOD(R$1-Units!$Q4,12)=0),IF(AND(Units!$L4=1,R$1=Units!$Q4),1,Inputs!$B$15)*Inputs!$B$16*(1+Inputs!$B$11)^(R$2-1),0)</f>
        <v>0</v>
      </c>
      <c r="S5" s="11" t="n">
        <f aca="false">IF(AND(S$1&gt;=Units!$Q4,MOD(S$1-Units!$Q4,12)=0),IF(AND(Units!$L4=1,S$1=Units!$Q4),1,Inputs!$B$15)*Inputs!$B$16*(1+Inputs!$B$11)^(S$2-1),0)</f>
        <v>0</v>
      </c>
      <c r="T5" s="11" t="n">
        <f aca="false">IF(AND(T$1&gt;=Units!$Q4,MOD(T$1-Units!$Q4,12)=0),IF(AND(Units!$L4=1,T$1=Units!$Q4),1,Inputs!$B$15)*Inputs!$B$16*(1+Inputs!$B$11)^(T$2-1),0)</f>
        <v>0</v>
      </c>
      <c r="U5" s="11" t="n">
        <f aca="false">IF(AND(U$1&gt;=Units!$Q4,MOD(U$1-Units!$Q4,12)=0),IF(AND(Units!$L4=1,U$1=Units!$Q4),1,Inputs!$B$15)*Inputs!$B$16*(1+Inputs!$B$11)^(U$2-1),0)</f>
        <v>0</v>
      </c>
      <c r="V5" s="11" t="n">
        <f aca="false">IF(AND(V$1&gt;=Units!$Q4,MOD(V$1-Units!$Q4,12)=0),IF(AND(Units!$L4=1,V$1=Units!$Q4),1,Inputs!$B$15)*Inputs!$B$16*(1+Inputs!$B$11)^(V$2-1),0)</f>
        <v>0</v>
      </c>
      <c r="W5" s="11" t="n">
        <f aca="false">IF(AND(W$1&gt;=Units!$Q4,MOD(W$1-Units!$Q4,12)=0),IF(AND(Units!$L4=1,W$1=Units!$Q4),1,Inputs!$B$15)*Inputs!$B$16*(1+Inputs!$B$11)^(W$2-1),0)</f>
        <v>0</v>
      </c>
      <c r="X5" s="11" t="n">
        <f aca="false">IF(AND(X$1&gt;=Units!$Q4,MOD(X$1-Units!$Q4,12)=0),IF(AND(Units!$L4=1,X$1=Units!$Q4),1,Inputs!$B$15)*Inputs!$B$16*(1+Inputs!$B$11)^(X$2-1),0)</f>
        <v>0</v>
      </c>
      <c r="Y5" s="11" t="n">
        <f aca="false">IF(AND(Y$1&gt;=Units!$Q4,MOD(Y$1-Units!$Q4,12)=0),IF(AND(Units!$L4=1,Y$1=Units!$Q4),1,Inputs!$B$15)*Inputs!$B$16*(1+Inputs!$B$11)^(Y$2-1),0)</f>
        <v>515</v>
      </c>
      <c r="Z5" s="11" t="n">
        <f aca="false">IF(AND(Z$1&gt;=Units!$Q4,MOD(Z$1-Units!$Q4,12)=0),IF(AND(Units!$L4=1,Z$1=Units!$Q4),1,Inputs!$B$15)*Inputs!$B$16*(1+Inputs!$B$11)^(Z$2-1),0)</f>
        <v>0</v>
      </c>
      <c r="AA5" s="11" t="n">
        <f aca="false">IF(AND(AA$1&gt;=Units!$Q4,MOD(AA$1-Units!$Q4,12)=0),IF(AND(Units!$L4=1,AA$1=Units!$Q4),1,Inputs!$B$15)*Inputs!$B$16*(1+Inputs!$B$11)^(AA$2-1),0)</f>
        <v>0</v>
      </c>
      <c r="AB5" s="11" t="n">
        <f aca="false">IF(AND(AB$1&gt;=Units!$Q4,MOD(AB$1-Units!$Q4,12)=0),IF(AND(Units!$L4=1,AB$1=Units!$Q4),1,Inputs!$B$15)*Inputs!$B$16*(1+Inputs!$B$11)^(AB$2-1),0)</f>
        <v>0</v>
      </c>
      <c r="AC5" s="11" t="n">
        <f aca="false">IF(AND(AC$1&gt;=Units!$Q4,MOD(AC$1-Units!$Q4,12)=0),IF(AND(Units!$L4=1,AC$1=Units!$Q4),1,Inputs!$B$15)*Inputs!$B$16*(1+Inputs!$B$11)^(AC$2-1),0)</f>
        <v>0</v>
      </c>
      <c r="AD5" s="11" t="n">
        <f aca="false">IF(AND(AD$1&gt;=Units!$Q4,MOD(AD$1-Units!$Q4,12)=0),IF(AND(Units!$L4=1,AD$1=Units!$Q4),1,Inputs!$B$15)*Inputs!$B$16*(1+Inputs!$B$11)^(AD$2-1),0)</f>
        <v>0</v>
      </c>
      <c r="AE5" s="11" t="n">
        <f aca="false">IF(AND(AE$1&gt;=Units!$Q4,MOD(AE$1-Units!$Q4,12)=0),IF(AND(Units!$L4=1,AE$1=Units!$Q4),1,Inputs!$B$15)*Inputs!$B$16*(1+Inputs!$B$11)^(AE$2-1),0)</f>
        <v>0</v>
      </c>
      <c r="AF5" s="11" t="n">
        <f aca="false">IF(AND(AF$1&gt;=Units!$Q4,MOD(AF$1-Units!$Q4,12)=0),IF(AND(Units!$L4=1,AF$1=Units!$Q4),1,Inputs!$B$15)*Inputs!$B$16*(1+Inputs!$B$11)^(AF$2-1),0)</f>
        <v>0</v>
      </c>
      <c r="AG5" s="11" t="n">
        <f aca="false">IF(AND(AG$1&gt;=Units!$Q4,MOD(AG$1-Units!$Q4,12)=0),IF(AND(Units!$L4=1,AG$1=Units!$Q4),1,Inputs!$B$15)*Inputs!$B$16*(1+Inputs!$B$11)^(AG$2-1),0)</f>
        <v>0</v>
      </c>
      <c r="AH5" s="11" t="n">
        <f aca="false">IF(AND(AH$1&gt;=Units!$Q4,MOD(AH$1-Units!$Q4,12)=0),IF(AND(Units!$L4=1,AH$1=Units!$Q4),1,Inputs!$B$15)*Inputs!$B$16*(1+Inputs!$B$11)^(AH$2-1),0)</f>
        <v>0</v>
      </c>
      <c r="AI5" s="11" t="n">
        <f aca="false">IF(AND(AI$1&gt;=Units!$Q4,MOD(AI$1-Units!$Q4,12)=0),IF(AND(Units!$L4=1,AI$1=Units!$Q4),1,Inputs!$B$15)*Inputs!$B$16*(1+Inputs!$B$11)^(AI$2-1),0)</f>
        <v>0</v>
      </c>
      <c r="AJ5" s="11" t="n">
        <f aca="false">IF(AND(AJ$1&gt;=Units!$Q4,MOD(AJ$1-Units!$Q4,12)=0),IF(AND(Units!$L4=1,AJ$1=Units!$Q4),1,Inputs!$B$15)*Inputs!$B$16*(1+Inputs!$B$11)^(AJ$2-1),0)</f>
        <v>0</v>
      </c>
      <c r="AK5" s="11" t="n">
        <f aca="false">IF(AND(AK$1&gt;=Units!$Q4,MOD(AK$1-Units!$Q4,12)=0),IF(AND(Units!$L4=1,AK$1=Units!$Q4),1,Inputs!$B$15)*Inputs!$B$16*(1+Inputs!$B$11)^(AK$2-1),0)</f>
        <v>530.45</v>
      </c>
      <c r="AL5" s="11" t="n">
        <f aca="false">IF(AND(AL$1&gt;=Units!$Q4,MOD(AL$1-Units!$Q4,12)=0),IF(AND(Units!$L4=1,AL$1=Units!$Q4),1,Inputs!$B$15)*Inputs!$B$16*(1+Inputs!$B$11)^(AL$2-1),0)</f>
        <v>0</v>
      </c>
      <c r="AM5" s="11" t="n">
        <f aca="false">IF(AND(AM$1&gt;=Units!$Q4,MOD(AM$1-Units!$Q4,12)=0),IF(AND(Units!$L4=1,AM$1=Units!$Q4),1,Inputs!$B$15)*Inputs!$B$16*(1+Inputs!$B$11)^(AM$2-1),0)</f>
        <v>0</v>
      </c>
      <c r="AN5" s="11" t="n">
        <f aca="false">IF(AND(AN$1&gt;=Units!$Q4,MOD(AN$1-Units!$Q4,12)=0),IF(AND(Units!$L4=1,AN$1=Units!$Q4),1,Inputs!$B$15)*Inputs!$B$16*(1+Inputs!$B$11)^(AN$2-1),0)</f>
        <v>0</v>
      </c>
      <c r="AO5" s="11" t="n">
        <f aca="false">IF(AND(AO$1&gt;=Units!$Q4,MOD(AO$1-Units!$Q4,12)=0),IF(AND(Units!$L4=1,AO$1=Units!$Q4),1,Inputs!$B$15)*Inputs!$B$16*(1+Inputs!$B$11)^(AO$2-1),0)</f>
        <v>0</v>
      </c>
      <c r="AP5" s="11" t="n">
        <f aca="false">IF(AND(AP$1&gt;=Units!$Q4,MOD(AP$1-Units!$Q4,12)=0),IF(AND(Units!$L4=1,AP$1=Units!$Q4),1,Inputs!$B$15)*Inputs!$B$16*(1+Inputs!$B$11)^(AP$2-1),0)</f>
        <v>0</v>
      </c>
      <c r="AQ5" s="11" t="n">
        <f aca="false">IF(AND(AQ$1&gt;=Units!$Q4,MOD(AQ$1-Units!$Q4,12)=0),IF(AND(Units!$L4=1,AQ$1=Units!$Q4),1,Inputs!$B$15)*Inputs!$B$16*(1+Inputs!$B$11)^(AQ$2-1),0)</f>
        <v>0</v>
      </c>
      <c r="AR5" s="11" t="n">
        <f aca="false">IF(AND(AR$1&gt;=Units!$Q4,MOD(AR$1-Units!$Q4,12)=0),IF(AND(Units!$L4=1,AR$1=Units!$Q4),1,Inputs!$B$15)*Inputs!$B$16*(1+Inputs!$B$11)^(AR$2-1),0)</f>
        <v>0</v>
      </c>
      <c r="AS5" s="11" t="n">
        <f aca="false">IF(AND(AS$1&gt;=Units!$Q4,MOD(AS$1-Units!$Q4,12)=0),IF(AND(Units!$L4=1,AS$1=Units!$Q4),1,Inputs!$B$15)*Inputs!$B$16*(1+Inputs!$B$11)^(AS$2-1),0)</f>
        <v>0</v>
      </c>
      <c r="AT5" s="11" t="n">
        <f aca="false">IF(AND(AT$1&gt;=Units!$Q4,MOD(AT$1-Units!$Q4,12)=0),IF(AND(Units!$L4=1,AT$1=Units!$Q4),1,Inputs!$B$15)*Inputs!$B$16*(1+Inputs!$B$11)^(AT$2-1),0)</f>
        <v>0</v>
      </c>
      <c r="AU5" s="11" t="n">
        <f aca="false">IF(AND(AU$1&gt;=Units!$Q4,MOD(AU$1-Units!$Q4,12)=0),IF(AND(Units!$L4=1,AU$1=Units!$Q4),1,Inputs!$B$15)*Inputs!$B$16*(1+Inputs!$B$11)^(AU$2-1),0)</f>
        <v>0</v>
      </c>
      <c r="AV5" s="11" t="n">
        <f aca="false">IF(AND(AV$1&gt;=Units!$Q4,MOD(AV$1-Units!$Q4,12)=0),IF(AND(Units!$L4=1,AV$1=Units!$Q4),1,Inputs!$B$15)*Inputs!$B$16*(1+Inputs!$B$11)^(AV$2-1),0)</f>
        <v>0</v>
      </c>
      <c r="AW5" s="11" t="n">
        <f aca="false">IF(AND(AW$1&gt;=Units!$Q4,MOD(AW$1-Units!$Q4,12)=0),IF(AND(Units!$L4=1,AW$1=Units!$Q4),1,Inputs!$B$15)*Inputs!$B$16*(1+Inputs!$B$11)^(AW$2-1),0)</f>
        <v>546.3635</v>
      </c>
      <c r="AX5" s="11" t="n">
        <f aca="false">IF(AND(AX$1&gt;=Units!$Q4,MOD(AX$1-Units!$Q4,12)=0),IF(AND(Units!$L4=1,AX$1=Units!$Q4),1,Inputs!$B$15)*Inputs!$B$16*(1+Inputs!$B$11)^(AX$2-1),0)</f>
        <v>0</v>
      </c>
      <c r="AY5" s="11" t="n">
        <f aca="false">IF(AND(AY$1&gt;=Units!$Q4,MOD(AY$1-Units!$Q4,12)=0),IF(AND(Units!$L4=1,AY$1=Units!$Q4),1,Inputs!$B$15)*Inputs!$B$16*(1+Inputs!$B$11)^(AY$2-1),0)</f>
        <v>0</v>
      </c>
      <c r="AZ5" s="11" t="n">
        <f aca="false">IF(AND(AZ$1&gt;=Units!$Q4,MOD(AZ$1-Units!$Q4,12)=0),IF(AND(Units!$L4=1,AZ$1=Units!$Q4),1,Inputs!$B$15)*Inputs!$B$16*(1+Inputs!$B$11)^(AZ$2-1),0)</f>
        <v>0</v>
      </c>
      <c r="BA5" s="11" t="n">
        <f aca="false">IF(AND(BA$1&gt;=Units!$Q4,MOD(BA$1-Units!$Q4,12)=0),IF(AND(Units!$L4=1,BA$1=Units!$Q4),1,Inputs!$B$15)*Inputs!$B$16*(1+Inputs!$B$11)^(BA$2-1),0)</f>
        <v>0</v>
      </c>
      <c r="BB5" s="11" t="n">
        <f aca="false">IF(AND(BB$1&gt;=Units!$Q4,MOD(BB$1-Units!$Q4,12)=0),IF(AND(Units!$L4=1,BB$1=Units!$Q4),1,Inputs!$B$15)*Inputs!$B$16*(1+Inputs!$B$11)^(BB$2-1),0)</f>
        <v>0</v>
      </c>
      <c r="BC5" s="11" t="n">
        <f aca="false">IF(AND(BC$1&gt;=Units!$Q4,MOD(BC$1-Units!$Q4,12)=0),IF(AND(Units!$L4=1,BC$1=Units!$Q4),1,Inputs!$B$15)*Inputs!$B$16*(1+Inputs!$B$11)^(BC$2-1),0)</f>
        <v>0</v>
      </c>
      <c r="BD5" s="11" t="n">
        <f aca="false">IF(AND(BD$1&gt;=Units!$Q4,MOD(BD$1-Units!$Q4,12)=0),IF(AND(Units!$L4=1,BD$1=Units!$Q4),1,Inputs!$B$15)*Inputs!$B$16*(1+Inputs!$B$11)^(BD$2-1),0)</f>
        <v>0</v>
      </c>
      <c r="BE5" s="11" t="n">
        <f aca="false">IF(AND(BE$1&gt;=Units!$Q4,MOD(BE$1-Units!$Q4,12)=0),IF(AND(Units!$L4=1,BE$1=Units!$Q4),1,Inputs!$B$15)*Inputs!$B$16*(1+Inputs!$B$11)^(BE$2-1),0)</f>
        <v>0</v>
      </c>
      <c r="BF5" s="11" t="n">
        <f aca="false">IF(AND(BF$1&gt;=Units!$Q4,MOD(BF$1-Units!$Q4,12)=0),IF(AND(Units!$L4=1,BF$1=Units!$Q4),1,Inputs!$B$15)*Inputs!$B$16*(1+Inputs!$B$11)^(BF$2-1),0)</f>
        <v>0</v>
      </c>
      <c r="BG5" s="11" t="n">
        <f aca="false">IF(AND(BG$1&gt;=Units!$Q4,MOD(BG$1-Units!$Q4,12)=0),IF(AND(Units!$L4=1,BG$1=Units!$Q4),1,Inputs!$B$15)*Inputs!$B$16*(1+Inputs!$B$11)^(BG$2-1),0)</f>
        <v>0</v>
      </c>
      <c r="BH5" s="11" t="n">
        <f aca="false">IF(AND(BH$1&gt;=Units!$Q4,MOD(BH$1-Units!$Q4,12)=0),IF(AND(Units!$L4=1,BH$1=Units!$Q4),1,Inputs!$B$15)*Inputs!$B$16*(1+Inputs!$B$11)^(BH$2-1),0)</f>
        <v>0</v>
      </c>
      <c r="BI5" s="11" t="n">
        <f aca="false">IF(AND(BI$1&gt;=Units!$Q4,MOD(BI$1-Units!$Q4,12)=0),IF(AND(Units!$L4=1,BI$1=Units!$Q4),1,Inputs!$B$15)*Inputs!$B$16*(1+Inputs!$B$11)^(BI$2-1),0)</f>
        <v>562.754405</v>
      </c>
      <c r="BJ5" s="11" t="n">
        <f aca="false">IF(AND(BJ$1&gt;=Units!$Q4,MOD(BJ$1-Units!$Q4,12)=0),IF(AND(Units!$L4=1,BJ$1=Units!$Q4),1,Inputs!$B$15)*Inputs!$B$16*(1+Inputs!$B$11)^(BJ$2-1),0)</f>
        <v>0</v>
      </c>
      <c r="BK5" s="11" t="n">
        <f aca="false">IF(AND(BK$1&gt;=Units!$Q4,MOD(BK$1-Units!$Q4,12)=0),IF(AND(Units!$L4=1,BK$1=Units!$Q4),1,Inputs!$B$15)*Inputs!$B$16*(1+Inputs!$B$11)^(BK$2-1),0)</f>
        <v>0</v>
      </c>
      <c r="BL5" s="11" t="n">
        <f aca="false">IF(AND(BL$1&gt;=Units!$Q4,MOD(BL$1-Units!$Q4,12)=0),IF(AND(Units!$L4=1,BL$1=Units!$Q4),1,Inputs!$B$15)*Inputs!$B$16*(1+Inputs!$B$11)^(BL$2-1),0)</f>
        <v>0</v>
      </c>
      <c r="BM5" s="11" t="n">
        <f aca="false">IF(AND(BM$1&gt;=Units!$Q4,MOD(BM$1-Units!$Q4,12)=0),IF(AND(Units!$L4=1,BM$1=Units!$Q4),1,Inputs!$B$15)*Inputs!$B$16*(1+Inputs!$B$11)^(BM$2-1),0)</f>
        <v>0</v>
      </c>
      <c r="BN5" s="11" t="n">
        <f aca="false">IF(AND(BN$1&gt;=Units!$Q4,MOD(BN$1-Units!$Q4,12)=0),IF(AND(Units!$L4=1,BN$1=Units!$Q4),1,Inputs!$B$15)*Inputs!$B$16*(1+Inputs!$B$11)^(BN$2-1),0)</f>
        <v>0</v>
      </c>
      <c r="BO5" s="11" t="n">
        <f aca="false">IF(AND(BO$1&gt;=Units!$Q4,MOD(BO$1-Units!$Q4,12)=0),IF(AND(Units!$L4=1,BO$1=Units!$Q4),1,Inputs!$B$15)*Inputs!$B$16*(1+Inputs!$B$11)^(BO$2-1),0)</f>
        <v>0</v>
      </c>
      <c r="BP5" s="11" t="n">
        <f aca="false">IF(AND(BP$1&gt;=Units!$Q4,MOD(BP$1-Units!$Q4,12)=0),IF(AND(Units!$L4=1,BP$1=Units!$Q4),1,Inputs!$B$15)*Inputs!$B$16*(1+Inputs!$B$11)^(BP$2-1),0)</f>
        <v>0</v>
      </c>
      <c r="BQ5" s="11" t="n">
        <f aca="false">IF(AND(BQ$1&gt;=Units!$Q4,MOD(BQ$1-Units!$Q4,12)=0),IF(AND(Units!$L4=1,BQ$1=Units!$Q4),1,Inputs!$B$15)*Inputs!$B$16*(1+Inputs!$B$11)^(BQ$2-1),0)</f>
        <v>0</v>
      </c>
      <c r="BR5" s="11" t="n">
        <f aca="false">IF(AND(BR$1&gt;=Units!$Q4,MOD(BR$1-Units!$Q4,12)=0),IF(AND(Units!$L4=1,BR$1=Units!$Q4),1,Inputs!$B$15)*Inputs!$B$16*(1+Inputs!$B$11)^(BR$2-1),0)</f>
        <v>0</v>
      </c>
      <c r="BS5" s="11" t="n">
        <f aca="false">IF(AND(BS$1&gt;=Units!$Q4,MOD(BS$1-Units!$Q4,12)=0),IF(AND(Units!$L4=1,BS$1=Units!$Q4),1,Inputs!$B$15)*Inputs!$B$16*(1+Inputs!$B$11)^(BS$2-1),0)</f>
        <v>0</v>
      </c>
      <c r="BT5" s="11" t="n">
        <f aca="false">IF(AND(BT$1&gt;=Units!$Q4,MOD(BT$1-Units!$Q4,12)=0),IF(AND(Units!$L4=1,BT$1=Units!$Q4),1,Inputs!$B$15)*Inputs!$B$16*(1+Inputs!$B$11)^(BT$2-1),0)</f>
        <v>0</v>
      </c>
      <c r="BU5" s="11" t="n">
        <f aca="false">IF(AND(BU$1&gt;=Units!$Q4,MOD(BU$1-Units!$Q4,12)=0),IF(AND(Units!$L4=1,BU$1=Units!$Q4),1,Inputs!$B$15)*Inputs!$B$16*(1+Inputs!$B$11)^(BU$2-1),0)</f>
        <v>579.63703715</v>
      </c>
      <c r="BV5" s="11" t="n">
        <f aca="false">IF(AND(BV$1&gt;=Units!$Q4,MOD(BV$1-Units!$Q4,12)=0),IF(AND(Units!$L4=1,BV$1=Units!$Q4),1,Inputs!$B$15)*Inputs!$B$16*(1+Inputs!$B$11)^(BV$2-1),0)</f>
        <v>0</v>
      </c>
      <c r="BW5" s="11" t="n">
        <f aca="false">IF(AND(BW$1&gt;=Units!$Q4,MOD(BW$1-Units!$Q4,12)=0),IF(AND(Units!$L4=1,BW$1=Units!$Q4),1,Inputs!$B$15)*Inputs!$B$16*(1+Inputs!$B$11)^(BW$2-1),0)</f>
        <v>0</v>
      </c>
      <c r="BX5" s="11" t="n">
        <f aca="false">IF(AND(BX$1&gt;=Units!$Q4,MOD(BX$1-Units!$Q4,12)=0),IF(AND(Units!$L4=1,BX$1=Units!$Q4),1,Inputs!$B$15)*Inputs!$B$16*(1+Inputs!$B$11)^(BX$2-1),0)</f>
        <v>0</v>
      </c>
      <c r="BY5" s="11" t="n">
        <f aca="false">IF(AND(BY$1&gt;=Units!$Q4,MOD(BY$1-Units!$Q4,12)=0),IF(AND(Units!$L4=1,BY$1=Units!$Q4),1,Inputs!$B$15)*Inputs!$B$16*(1+Inputs!$B$11)^(BY$2-1),0)</f>
        <v>0</v>
      </c>
      <c r="BZ5" s="11" t="n">
        <f aca="false">IF(AND(BZ$1&gt;=Units!$Q4,MOD(BZ$1-Units!$Q4,12)=0),IF(AND(Units!$L4=1,BZ$1=Units!$Q4),1,Inputs!$B$15)*Inputs!$B$16*(1+Inputs!$B$11)^(BZ$2-1),0)</f>
        <v>0</v>
      </c>
      <c r="CA5" s="11" t="n">
        <f aca="false">IF(AND(CA$1&gt;=Units!$Q4,MOD(CA$1-Units!$Q4,12)=0),IF(AND(Units!$L4=1,CA$1=Units!$Q4),1,Inputs!$B$15)*Inputs!$B$16*(1+Inputs!$B$11)^(CA$2-1),0)</f>
        <v>0</v>
      </c>
      <c r="CB5" s="11" t="n">
        <f aca="false">IF(AND(CB$1&gt;=Units!$Q4,MOD(CB$1-Units!$Q4,12)=0),IF(AND(Units!$L4=1,CB$1=Units!$Q4),1,Inputs!$B$15)*Inputs!$B$16*(1+Inputs!$B$11)^(CB$2-1),0)</f>
        <v>0</v>
      </c>
      <c r="CC5" s="11" t="n">
        <f aca="false">IF(AND(CC$1&gt;=Units!$Q4,MOD(CC$1-Units!$Q4,12)=0),IF(AND(Units!$L4=1,CC$1=Units!$Q4),1,Inputs!$B$15)*Inputs!$B$16*(1+Inputs!$B$11)^(CC$2-1),0)</f>
        <v>0</v>
      </c>
      <c r="CD5" s="11" t="n">
        <f aca="false">IF(AND(CD$1&gt;=Units!$Q4,MOD(CD$1-Units!$Q4,12)=0),IF(AND(Units!$L4=1,CD$1=Units!$Q4),1,Inputs!$B$15)*Inputs!$B$16*(1+Inputs!$B$11)^(CD$2-1),0)</f>
        <v>0</v>
      </c>
      <c r="CE5" s="11" t="n">
        <f aca="false">IF(AND(CE$1&gt;=Units!$Q4,MOD(CE$1-Units!$Q4,12)=0),IF(AND(Units!$L4=1,CE$1=Units!$Q4),1,Inputs!$B$15)*Inputs!$B$16*(1+Inputs!$B$11)^(CE$2-1),0)</f>
        <v>0</v>
      </c>
      <c r="CF5" s="11" t="n">
        <f aca="false">IF(AND(CF$1&gt;=Units!$Q4,MOD(CF$1-Units!$Q4,12)=0),IF(AND(Units!$L4=1,CF$1=Units!$Q4),1,Inputs!$B$15)*Inputs!$B$16*(1+Inputs!$B$11)^(CF$2-1),0)</f>
        <v>0</v>
      </c>
      <c r="CG5" s="11" t="n">
        <f aca="false">IF(AND(CG$1&gt;=Units!$Q4,MOD(CG$1-Units!$Q4,12)=0),IF(AND(Units!$L4=1,CG$1=Units!$Q4),1,Inputs!$B$15)*Inputs!$B$16*(1+Inputs!$B$11)^(CG$2-1),0)</f>
        <v>597.0261482645</v>
      </c>
      <c r="CH5" s="11" t="n">
        <f aca="false">IF(AND(CH$1&gt;=Units!$Q4,MOD(CH$1-Units!$Q4,12)=0),IF(AND(Units!$L4=1,CH$1=Units!$Q4),1,Inputs!$B$15)*Inputs!$B$16*(1+Inputs!$B$11)^(CH$2-1),0)</f>
        <v>0</v>
      </c>
      <c r="CI5" s="11" t="n">
        <f aca="false">IF(AND(CI$1&gt;=Units!$Q4,MOD(CI$1-Units!$Q4,12)=0),IF(AND(Units!$L4=1,CI$1=Units!$Q4),1,Inputs!$B$15)*Inputs!$B$16*(1+Inputs!$B$11)^(CI$2-1),0)</f>
        <v>0</v>
      </c>
      <c r="CJ5" s="11" t="n">
        <f aca="false">IF(AND(CJ$1&gt;=Units!$Q4,MOD(CJ$1-Units!$Q4,12)=0),IF(AND(Units!$L4=1,CJ$1=Units!$Q4),1,Inputs!$B$15)*Inputs!$B$16*(1+Inputs!$B$11)^(CJ$2-1),0)</f>
        <v>0</v>
      </c>
      <c r="CK5" s="11" t="n">
        <f aca="false">IF(AND(CK$1&gt;=Units!$Q4,MOD(CK$1-Units!$Q4,12)=0),IF(AND(Units!$L4=1,CK$1=Units!$Q4),1,Inputs!$B$15)*Inputs!$B$16*(1+Inputs!$B$11)^(CK$2-1),0)</f>
        <v>0</v>
      </c>
      <c r="CL5" s="11" t="n">
        <f aca="false">IF(AND(CL$1&gt;=Units!$Q4,MOD(CL$1-Units!$Q4,12)=0),IF(AND(Units!$L4=1,CL$1=Units!$Q4),1,Inputs!$B$15)*Inputs!$B$16*(1+Inputs!$B$11)^(CL$2-1),0)</f>
        <v>0</v>
      </c>
      <c r="CM5" s="11" t="n">
        <f aca="false">IF(AND(CM$1&gt;=Units!$Q4,MOD(CM$1-Units!$Q4,12)=0),IF(AND(Units!$L4=1,CM$1=Units!$Q4),1,Inputs!$B$15)*Inputs!$B$16*(1+Inputs!$B$11)^(CM$2-1),0)</f>
        <v>0</v>
      </c>
      <c r="CN5" s="11" t="n">
        <f aca="false">IF(AND(CN$1&gt;=Units!$Q4,MOD(CN$1-Units!$Q4,12)=0),IF(AND(Units!$L4=1,CN$1=Units!$Q4),1,Inputs!$B$15)*Inputs!$B$16*(1+Inputs!$B$11)^(CN$2-1),0)</f>
        <v>0</v>
      </c>
      <c r="CO5" s="11" t="n">
        <f aca="false">IF(AND(CO$1&gt;=Units!$Q4,MOD(CO$1-Units!$Q4,12)=0),IF(AND(Units!$L4=1,CO$1=Units!$Q4),1,Inputs!$B$15)*Inputs!$B$16*(1+Inputs!$B$11)^(CO$2-1),0)</f>
        <v>0</v>
      </c>
      <c r="CP5" s="11" t="n">
        <f aca="false">IF(AND(CP$1&gt;=Units!$Q4,MOD(CP$1-Units!$Q4,12)=0),IF(AND(Units!$L4=1,CP$1=Units!$Q4),1,Inputs!$B$15)*Inputs!$B$16*(1+Inputs!$B$11)^(CP$2-1),0)</f>
        <v>0</v>
      </c>
      <c r="CQ5" s="11" t="n">
        <f aca="false">IF(AND(CQ$1&gt;=Units!$Q4,MOD(CQ$1-Units!$Q4,12)=0),IF(AND(Units!$L4=1,CQ$1=Units!$Q4),1,Inputs!$B$15)*Inputs!$B$16*(1+Inputs!$B$11)^(CQ$2-1),0)</f>
        <v>0</v>
      </c>
      <c r="CR5" s="11" t="n">
        <f aca="false">IF(AND(CR$1&gt;=Units!$Q4,MOD(CR$1-Units!$Q4,12)=0),IF(AND(Units!$L4=1,CR$1=Units!$Q4),1,Inputs!$B$15)*Inputs!$B$16*(1+Inputs!$B$11)^(CR$2-1),0)</f>
        <v>0</v>
      </c>
      <c r="CS5" s="11" t="n">
        <f aca="false">IF(AND(CS$1&gt;=Units!$Q4,MOD(CS$1-Units!$Q4,12)=0),IF(AND(Units!$L4=1,CS$1=Units!$Q4),1,Inputs!$B$15)*Inputs!$B$16*(1+Inputs!$B$11)^(CS$2-1),0)</f>
        <v>614.936932712435</v>
      </c>
      <c r="CT5" s="11" t="n">
        <f aca="false">IF(AND(CT$1&gt;=Units!$Q4,MOD(CT$1-Units!$Q4,12)=0),IF(AND(Units!$L4=1,CT$1=Units!$Q4),1,Inputs!$B$15)*Inputs!$B$16*(1+Inputs!$B$11)^(CT$2-1),0)</f>
        <v>0</v>
      </c>
      <c r="CU5" s="11" t="n">
        <f aca="false">IF(AND(CU$1&gt;=Units!$Q4,MOD(CU$1-Units!$Q4,12)=0),IF(AND(Units!$L4=1,CU$1=Units!$Q4),1,Inputs!$B$15)*Inputs!$B$16*(1+Inputs!$B$11)^(CU$2-1),0)</f>
        <v>0</v>
      </c>
      <c r="CV5" s="11" t="n">
        <f aca="false">IF(AND(CV$1&gt;=Units!$Q4,MOD(CV$1-Units!$Q4,12)=0),IF(AND(Units!$L4=1,CV$1=Units!$Q4),1,Inputs!$B$15)*Inputs!$B$16*(1+Inputs!$B$11)^(CV$2-1),0)</f>
        <v>0</v>
      </c>
      <c r="CW5" s="11" t="n">
        <f aca="false">IF(AND(CW$1&gt;=Units!$Q4,MOD(CW$1-Units!$Q4,12)=0),IF(AND(Units!$L4=1,CW$1=Units!$Q4),1,Inputs!$B$15)*Inputs!$B$16*(1+Inputs!$B$11)^(CW$2-1),0)</f>
        <v>0</v>
      </c>
      <c r="CX5" s="11" t="n">
        <f aca="false">IF(AND(CX$1&gt;=Units!$Q4,MOD(CX$1-Units!$Q4,12)=0),IF(AND(Units!$L4=1,CX$1=Units!$Q4),1,Inputs!$B$15)*Inputs!$B$16*(1+Inputs!$B$11)^(CX$2-1),0)</f>
        <v>0</v>
      </c>
      <c r="CY5" s="11" t="n">
        <f aca="false">IF(AND(CY$1&gt;=Units!$Q4,MOD(CY$1-Units!$Q4,12)=0),IF(AND(Units!$L4=1,CY$1=Units!$Q4),1,Inputs!$B$15)*Inputs!$B$16*(1+Inputs!$B$11)^(CY$2-1),0)</f>
        <v>0</v>
      </c>
      <c r="CZ5" s="11" t="n">
        <f aca="false">IF(AND(CZ$1&gt;=Units!$Q4,MOD(CZ$1-Units!$Q4,12)=0),IF(AND(Units!$L4=1,CZ$1=Units!$Q4),1,Inputs!$B$15)*Inputs!$B$16*(1+Inputs!$B$11)^(CZ$2-1),0)</f>
        <v>0</v>
      </c>
      <c r="DA5" s="11" t="n">
        <f aca="false">IF(AND(DA$1&gt;=Units!$Q4,MOD(DA$1-Units!$Q4,12)=0),IF(AND(Units!$L4=1,DA$1=Units!$Q4),1,Inputs!$B$15)*Inputs!$B$16*(1+Inputs!$B$11)^(DA$2-1),0)</f>
        <v>0</v>
      </c>
      <c r="DB5" s="11" t="n">
        <f aca="false">IF(AND(DB$1&gt;=Units!$Q4,MOD(DB$1-Units!$Q4,12)=0),IF(AND(Units!$L4=1,DB$1=Units!$Q4),1,Inputs!$B$15)*Inputs!$B$16*(1+Inputs!$B$11)^(DB$2-1),0)</f>
        <v>0</v>
      </c>
      <c r="DC5" s="11" t="n">
        <f aca="false">IF(AND(DC$1&gt;=Units!$Q4,MOD(DC$1-Units!$Q4,12)=0),IF(AND(Units!$L4=1,DC$1=Units!$Q4),1,Inputs!$B$15)*Inputs!$B$16*(1+Inputs!$B$11)^(DC$2-1),0)</f>
        <v>0</v>
      </c>
      <c r="DD5" s="11" t="n">
        <f aca="false">IF(AND(DD$1&gt;=Units!$Q4,MOD(DD$1-Units!$Q4,12)=0),IF(AND(Units!$L4=1,DD$1=Units!$Q4),1,Inputs!$B$15)*Inputs!$B$16*(1+Inputs!$B$11)^(DD$2-1),0)</f>
        <v>0</v>
      </c>
      <c r="DE5" s="11" t="n">
        <f aca="false">IF(AND(DE$1&gt;=Units!$Q4,MOD(DE$1-Units!$Q4,12)=0),IF(AND(Units!$L4=1,DE$1=Units!$Q4),1,Inputs!$B$15)*Inputs!$B$16*(1+Inputs!$B$11)^(DE$2-1),0)</f>
        <v>633.385040693808</v>
      </c>
      <c r="DF5" s="11" t="n">
        <f aca="false">IF(AND(DF$1&gt;=Units!$Q4,MOD(DF$1-Units!$Q4,12)=0),IF(AND(Units!$L4=1,DF$1=Units!$Q4),1,Inputs!$B$15)*Inputs!$B$16*(1+Inputs!$B$11)^(DF$2-1),0)</f>
        <v>0</v>
      </c>
      <c r="DG5" s="11" t="n">
        <f aca="false">IF(AND(DG$1&gt;=Units!$Q4,MOD(DG$1-Units!$Q4,12)=0),IF(AND(Units!$L4=1,DG$1=Units!$Q4),1,Inputs!$B$15)*Inputs!$B$16*(1+Inputs!$B$11)^(DG$2-1),0)</f>
        <v>0</v>
      </c>
      <c r="DH5" s="11" t="n">
        <f aca="false">IF(AND(DH$1&gt;=Units!$Q4,MOD(DH$1-Units!$Q4,12)=0),IF(AND(Units!$L4=1,DH$1=Units!$Q4),1,Inputs!$B$15)*Inputs!$B$16*(1+Inputs!$B$11)^(DH$2-1),0)</f>
        <v>0</v>
      </c>
      <c r="DI5" s="11" t="n">
        <f aca="false">IF(AND(DI$1&gt;=Units!$Q4,MOD(DI$1-Units!$Q4,12)=0),IF(AND(Units!$L4=1,DI$1=Units!$Q4),1,Inputs!$B$15)*Inputs!$B$16*(1+Inputs!$B$11)^(DI$2-1),0)</f>
        <v>0</v>
      </c>
      <c r="DJ5" s="11" t="n">
        <f aca="false">IF(AND(DJ$1&gt;=Units!$Q4,MOD(DJ$1-Units!$Q4,12)=0),IF(AND(Units!$L4=1,DJ$1=Units!$Q4),1,Inputs!$B$15)*Inputs!$B$16*(1+Inputs!$B$11)^(DJ$2-1),0)</f>
        <v>0</v>
      </c>
      <c r="DK5" s="11" t="n">
        <f aca="false">IF(AND(DK$1&gt;=Units!$Q4,MOD(DK$1-Units!$Q4,12)=0),IF(AND(Units!$L4=1,DK$1=Units!$Q4),1,Inputs!$B$15)*Inputs!$B$16*(1+Inputs!$B$11)^(DK$2-1),0)</f>
        <v>0</v>
      </c>
      <c r="DL5" s="11" t="n">
        <f aca="false">IF(AND(DL$1&gt;=Units!$Q4,MOD(DL$1-Units!$Q4,12)=0),IF(AND(Units!$L4=1,DL$1=Units!$Q4),1,Inputs!$B$15)*Inputs!$B$16*(1+Inputs!$B$11)^(DL$2-1),0)</f>
        <v>0</v>
      </c>
      <c r="DM5" s="11" t="n">
        <f aca="false">IF(AND(DM$1&gt;=Units!$Q4,MOD(DM$1-Units!$Q4,12)=0),IF(AND(Units!$L4=1,DM$1=Units!$Q4),1,Inputs!$B$15)*Inputs!$B$16*(1+Inputs!$B$11)^(DM$2-1),0)</f>
        <v>0</v>
      </c>
      <c r="DN5" s="11" t="n">
        <f aca="false">IF(AND(DN$1&gt;=Units!$Q4,MOD(DN$1-Units!$Q4,12)=0),IF(AND(Units!$L4=1,DN$1=Units!$Q4),1,Inputs!$B$15)*Inputs!$B$16*(1+Inputs!$B$11)^(DN$2-1),0)</f>
        <v>0</v>
      </c>
      <c r="DO5" s="11" t="n">
        <f aca="false">IF(AND(DO$1&gt;=Units!$Q4,MOD(DO$1-Units!$Q4,12)=0),IF(AND(Units!$L4=1,DO$1=Units!$Q4),1,Inputs!$B$15)*Inputs!$B$16*(1+Inputs!$B$11)^(DO$2-1),0)</f>
        <v>0</v>
      </c>
      <c r="DP5" s="11" t="n">
        <f aca="false">IF(AND(DP$1&gt;=Units!$Q4,MOD(DP$1-Units!$Q4,12)=0),IF(AND(Units!$L4=1,DP$1=Units!$Q4),1,Inputs!$B$15)*Inputs!$B$16*(1+Inputs!$B$11)^(DP$2-1),0)</f>
        <v>0</v>
      </c>
      <c r="DQ5" s="11" t="n">
        <f aca="false">IF(AND(DQ$1&gt;=Units!$Q4,MOD(DQ$1-Units!$Q4,12)=0),IF(AND(Units!$L4=1,DQ$1=Units!$Q4),1,Inputs!$B$15)*Inputs!$B$16*(1+Inputs!$B$11)^(DQ$2-1),0)</f>
        <v>652.386591914623</v>
      </c>
      <c r="DR5" s="11" t="n">
        <f aca="false">IF(AND(DR$1&gt;=Units!$Q4,MOD(DR$1-Units!$Q4,12)=0),IF(AND(Units!$L4=1,DR$1=Units!$Q4),1,Inputs!$B$15)*Inputs!$B$16*(1+Inputs!$B$11)^(DR$2-1),0)</f>
        <v>0</v>
      </c>
      <c r="DS5" s="11" t="n">
        <f aca="false">IF(AND(DS$1&gt;=Units!$Q4,MOD(DS$1-Units!$Q4,12)=0),IF(AND(Units!$L4=1,DS$1=Units!$Q4),1,Inputs!$B$15)*Inputs!$B$16*(1+Inputs!$B$11)^(DS$2-1),0)</f>
        <v>0</v>
      </c>
      <c r="DT5" s="11" t="n">
        <f aca="false">IF(AND(DT$1&gt;=Units!$Q4,MOD(DT$1-Units!$Q4,12)=0),IF(AND(Units!$L4=1,DT$1=Units!$Q4),1,Inputs!$B$15)*Inputs!$B$16*(1+Inputs!$B$11)^(DT$2-1),0)</f>
        <v>0</v>
      </c>
      <c r="DU5" s="11" t="n">
        <f aca="false">IF(AND(DU$1&gt;=Units!$Q4,MOD(DU$1-Units!$Q4,12)=0),IF(AND(Units!$L4=1,DU$1=Units!$Q4),1,Inputs!$B$15)*Inputs!$B$16*(1+Inputs!$B$11)^(DU$2-1),0)</f>
        <v>0</v>
      </c>
      <c r="DV5" s="11" t="n">
        <f aca="false">IF(AND(DV$1&gt;=Units!$Q4,MOD(DV$1-Units!$Q4,12)=0),IF(AND(Units!$L4=1,DV$1=Units!$Q4),1,Inputs!$B$15)*Inputs!$B$16*(1+Inputs!$B$11)^(DV$2-1),0)</f>
        <v>0</v>
      </c>
      <c r="DW5" s="11" t="n">
        <f aca="false">IF(AND(DW$1&gt;=Units!$Q4,MOD(DW$1-Units!$Q4,12)=0),IF(AND(Units!$L4=1,DW$1=Units!$Q4),1,Inputs!$B$15)*Inputs!$B$16*(1+Inputs!$B$11)^(DW$2-1),0)</f>
        <v>0</v>
      </c>
      <c r="DX5" s="11" t="n">
        <f aca="false">IF(AND(DX$1&gt;=Units!$Q4,MOD(DX$1-Units!$Q4,12)=0),IF(AND(Units!$L4=1,DX$1=Units!$Q4),1,Inputs!$B$15)*Inputs!$B$16*(1+Inputs!$B$11)^(DX$2-1),0)</f>
        <v>0</v>
      </c>
      <c r="DY5" s="11" t="n">
        <f aca="false">IF(AND(DY$1&gt;=Units!$Q4,MOD(DY$1-Units!$Q4,12)=0),IF(AND(Units!$L4=1,DY$1=Units!$Q4),1,Inputs!$B$15)*Inputs!$B$16*(1+Inputs!$B$11)^(DY$2-1),0)</f>
        <v>0</v>
      </c>
      <c r="DZ5" s="11" t="n">
        <f aca="false">IF(AND(DZ$1&gt;=Units!$Q4,MOD(DZ$1-Units!$Q4,12)=0),IF(AND(Units!$L4=1,DZ$1=Units!$Q4),1,Inputs!$B$15)*Inputs!$B$16*(1+Inputs!$B$11)^(DZ$2-1),0)</f>
        <v>0</v>
      </c>
      <c r="EA5" s="11" t="n">
        <f aca="false">IF(AND(EA$1&gt;=Units!$Q4,MOD(EA$1-Units!$Q4,12)=0),IF(AND(Units!$L4=1,EA$1=Units!$Q4),1,Inputs!$B$15)*Inputs!$B$16*(1+Inputs!$B$11)^(EA$2-1),0)</f>
        <v>0</v>
      </c>
      <c r="EB5" s="11" t="n">
        <f aca="false">IF(AND(EB$1&gt;=Units!$Q4,MOD(EB$1-Units!$Q4,12)=0),IF(AND(Units!$L4=1,EB$1=Units!$Q4),1,Inputs!$B$15)*Inputs!$B$16*(1+Inputs!$B$11)^(EB$2-1),0)</f>
        <v>0</v>
      </c>
      <c r="EC5" s="11" t="n">
        <f aca="false">IF(AND(EC$1&gt;=Units!$Q4,MOD(EC$1-Units!$Q4,12)=0),IF(AND(Units!$L4=1,EC$1=Units!$Q4),1,Inputs!$B$15)*Inputs!$B$16*(1+Inputs!$B$11)^(EC$2-1),0)</f>
        <v>671.958189672061</v>
      </c>
      <c r="ED5" s="11" t="n">
        <f aca="false">IF(AND(ED$1&gt;=Units!$Q4,MOD(ED$1-Units!$Q4,12)=0),IF(AND(Units!$L4=1,ED$1=Units!$Q4),1,Inputs!$B$15)*Inputs!$B$16*(1+Inputs!$B$11)^(ED$2-1),0)</f>
        <v>0</v>
      </c>
    </row>
    <row r="6" customFormat="false" ht="15" hidden="false" customHeight="false" outlineLevel="0" collapsed="false">
      <c r="A6" s="22" t="n">
        <f aca="false">Units!A5</f>
        <v>104</v>
      </c>
      <c r="B6" s="23"/>
      <c r="C6" s="11" t="n">
        <f aca="false">IF(AND(C$1&gt;=Units!$Q5,MOD(C$1-Units!$Q5,12)=0),IF(AND(Units!$L5=1,C$1=Units!$Q5),1,Inputs!$B$15)*Inputs!$B$16*(1+Inputs!$B$11)^(C$2-1),0)</f>
        <v>0</v>
      </c>
      <c r="D6" s="11" t="n">
        <f aca="false">IF(AND(D$1&gt;=Units!$Q5,MOD(D$1-Units!$Q5,12)=0),IF(AND(Units!$L5=1,D$1=Units!$Q5),1,Inputs!$B$15)*Inputs!$B$16*(1+Inputs!$B$11)^(D$2-1),0)</f>
        <v>0</v>
      </c>
      <c r="E6" s="11" t="n">
        <f aca="false">IF(AND(E$1&gt;=Units!$Q5,MOD(E$1-Units!$Q5,12)=0),IF(AND(Units!$L5=1,E$1=Units!$Q5),1,Inputs!$B$15)*Inputs!$B$16*(1+Inputs!$B$11)^(E$2-1),0)</f>
        <v>0</v>
      </c>
      <c r="F6" s="11" t="n">
        <f aca="false">IF(AND(F$1&gt;=Units!$Q5,MOD(F$1-Units!$Q5,12)=0),IF(AND(Units!$L5=1,F$1=Units!$Q5),1,Inputs!$B$15)*Inputs!$B$16*(1+Inputs!$B$11)^(F$2-1),0)</f>
        <v>0</v>
      </c>
      <c r="G6" s="11" t="n">
        <f aca="false">IF(AND(G$1&gt;=Units!$Q5,MOD(G$1-Units!$Q5,12)=0),IF(AND(Units!$L5=1,G$1=Units!$Q5),1,Inputs!$B$15)*Inputs!$B$16*(1+Inputs!$B$11)^(G$2-1),0)</f>
        <v>0</v>
      </c>
      <c r="H6" s="11" t="n">
        <f aca="false">IF(AND(H$1&gt;=Units!$Q5,MOD(H$1-Units!$Q5,12)=0),IF(AND(Units!$L5=1,H$1=Units!$Q5),1,Inputs!$B$15)*Inputs!$B$16*(1+Inputs!$B$11)^(H$2-1),0)</f>
        <v>0</v>
      </c>
      <c r="I6" s="11" t="n">
        <f aca="false">IF(AND(I$1&gt;=Units!$Q5,MOD(I$1-Units!$Q5,12)=0),IF(AND(Units!$L5=1,I$1=Units!$Q5),1,Inputs!$B$15)*Inputs!$B$16*(1+Inputs!$B$11)^(I$2-1),0)</f>
        <v>0</v>
      </c>
      <c r="J6" s="11" t="n">
        <f aca="false">IF(AND(J$1&gt;=Units!$Q5,MOD(J$1-Units!$Q5,12)=0),IF(AND(Units!$L5=1,J$1=Units!$Q5),1,Inputs!$B$15)*Inputs!$B$16*(1+Inputs!$B$11)^(J$2-1),0)</f>
        <v>0</v>
      </c>
      <c r="K6" s="11" t="n">
        <f aca="false">IF(AND(K$1&gt;=Units!$Q5,MOD(K$1-Units!$Q5,12)=0),IF(AND(Units!$L5=1,K$1=Units!$Q5),1,Inputs!$B$15)*Inputs!$B$16*(1+Inputs!$B$11)^(K$2-1),0)</f>
        <v>0</v>
      </c>
      <c r="L6" s="11" t="n">
        <f aca="false">IF(AND(L$1&gt;=Units!$Q5,MOD(L$1-Units!$Q5,12)=0),IF(AND(Units!$L5=1,L$1=Units!$Q5),1,Inputs!$B$15)*Inputs!$B$16*(1+Inputs!$B$11)^(L$2-1),0)</f>
        <v>0</v>
      </c>
      <c r="M6" s="11" t="n">
        <f aca="false">IF(AND(M$1&gt;=Units!$Q5,MOD(M$1-Units!$Q5,12)=0),IF(AND(Units!$L5=1,M$1=Units!$Q5),1,Inputs!$B$15)*Inputs!$B$16*(1+Inputs!$B$11)^(M$2-1),0)</f>
        <v>0</v>
      </c>
      <c r="N6" s="11" t="n">
        <f aca="false">IF(AND(N$1&gt;=Units!$Q5,MOD(N$1-Units!$Q5,12)=0),IF(AND(Units!$L5=1,N$1=Units!$Q5),1,Inputs!$B$15)*Inputs!$B$16*(1+Inputs!$B$11)^(N$2-1),0)</f>
        <v>0</v>
      </c>
      <c r="O6" s="11" t="n">
        <f aca="false">IF(AND(O$1&gt;=Units!$Q5,MOD(O$1-Units!$Q5,12)=0),IF(AND(Units!$L5=1,O$1=Units!$Q5),1,Inputs!$B$15)*Inputs!$B$16*(1+Inputs!$B$11)^(O$2-1),0)</f>
        <v>515</v>
      </c>
      <c r="P6" s="11" t="n">
        <f aca="false">IF(AND(P$1&gt;=Units!$Q5,MOD(P$1-Units!$Q5,12)=0),IF(AND(Units!$L5=1,P$1=Units!$Q5),1,Inputs!$B$15)*Inputs!$B$16*(1+Inputs!$B$11)^(P$2-1),0)</f>
        <v>0</v>
      </c>
      <c r="Q6" s="11" t="n">
        <f aca="false">IF(AND(Q$1&gt;=Units!$Q5,MOD(Q$1-Units!$Q5,12)=0),IF(AND(Units!$L5=1,Q$1=Units!$Q5),1,Inputs!$B$15)*Inputs!$B$16*(1+Inputs!$B$11)^(Q$2-1),0)</f>
        <v>0</v>
      </c>
      <c r="R6" s="11" t="n">
        <f aca="false">IF(AND(R$1&gt;=Units!$Q5,MOD(R$1-Units!$Q5,12)=0),IF(AND(Units!$L5=1,R$1=Units!$Q5),1,Inputs!$B$15)*Inputs!$B$16*(1+Inputs!$B$11)^(R$2-1),0)</f>
        <v>0</v>
      </c>
      <c r="S6" s="11" t="n">
        <f aca="false">IF(AND(S$1&gt;=Units!$Q5,MOD(S$1-Units!$Q5,12)=0),IF(AND(Units!$L5=1,S$1=Units!$Q5),1,Inputs!$B$15)*Inputs!$B$16*(1+Inputs!$B$11)^(S$2-1),0)</f>
        <v>0</v>
      </c>
      <c r="T6" s="11" t="n">
        <f aca="false">IF(AND(T$1&gt;=Units!$Q5,MOD(T$1-Units!$Q5,12)=0),IF(AND(Units!$L5=1,T$1=Units!$Q5),1,Inputs!$B$15)*Inputs!$B$16*(1+Inputs!$B$11)^(T$2-1),0)</f>
        <v>0</v>
      </c>
      <c r="U6" s="11" t="n">
        <f aca="false">IF(AND(U$1&gt;=Units!$Q5,MOD(U$1-Units!$Q5,12)=0),IF(AND(Units!$L5=1,U$1=Units!$Q5),1,Inputs!$B$15)*Inputs!$B$16*(1+Inputs!$B$11)^(U$2-1),0)</f>
        <v>0</v>
      </c>
      <c r="V6" s="11" t="n">
        <f aca="false">IF(AND(V$1&gt;=Units!$Q5,MOD(V$1-Units!$Q5,12)=0),IF(AND(Units!$L5=1,V$1=Units!$Q5),1,Inputs!$B$15)*Inputs!$B$16*(1+Inputs!$B$11)^(V$2-1),0)</f>
        <v>0</v>
      </c>
      <c r="W6" s="11" t="n">
        <f aca="false">IF(AND(W$1&gt;=Units!$Q5,MOD(W$1-Units!$Q5,12)=0),IF(AND(Units!$L5=1,W$1=Units!$Q5),1,Inputs!$B$15)*Inputs!$B$16*(1+Inputs!$B$11)^(W$2-1),0)</f>
        <v>0</v>
      </c>
      <c r="X6" s="11" t="n">
        <f aca="false">IF(AND(X$1&gt;=Units!$Q5,MOD(X$1-Units!$Q5,12)=0),IF(AND(Units!$L5=1,X$1=Units!$Q5),1,Inputs!$B$15)*Inputs!$B$16*(1+Inputs!$B$11)^(X$2-1),0)</f>
        <v>0</v>
      </c>
      <c r="Y6" s="11" t="n">
        <f aca="false">IF(AND(Y$1&gt;=Units!$Q5,MOD(Y$1-Units!$Q5,12)=0),IF(AND(Units!$L5=1,Y$1=Units!$Q5),1,Inputs!$B$15)*Inputs!$B$16*(1+Inputs!$B$11)^(Y$2-1),0)</f>
        <v>0</v>
      </c>
      <c r="Z6" s="11" t="n">
        <f aca="false">IF(AND(Z$1&gt;=Units!$Q5,MOD(Z$1-Units!$Q5,12)=0),IF(AND(Units!$L5=1,Z$1=Units!$Q5),1,Inputs!$B$15)*Inputs!$B$16*(1+Inputs!$B$11)^(Z$2-1),0)</f>
        <v>0</v>
      </c>
      <c r="AA6" s="11" t="n">
        <f aca="false">IF(AND(AA$1&gt;=Units!$Q5,MOD(AA$1-Units!$Q5,12)=0),IF(AND(Units!$L5=1,AA$1=Units!$Q5),1,Inputs!$B$15)*Inputs!$B$16*(1+Inputs!$B$11)^(AA$2-1),0)</f>
        <v>530.45</v>
      </c>
      <c r="AB6" s="11" t="n">
        <f aca="false">IF(AND(AB$1&gt;=Units!$Q5,MOD(AB$1-Units!$Q5,12)=0),IF(AND(Units!$L5=1,AB$1=Units!$Q5),1,Inputs!$B$15)*Inputs!$B$16*(1+Inputs!$B$11)^(AB$2-1),0)</f>
        <v>0</v>
      </c>
      <c r="AC6" s="11" t="n">
        <f aca="false">IF(AND(AC$1&gt;=Units!$Q5,MOD(AC$1-Units!$Q5,12)=0),IF(AND(Units!$L5=1,AC$1=Units!$Q5),1,Inputs!$B$15)*Inputs!$B$16*(1+Inputs!$B$11)^(AC$2-1),0)</f>
        <v>0</v>
      </c>
      <c r="AD6" s="11" t="n">
        <f aca="false">IF(AND(AD$1&gt;=Units!$Q5,MOD(AD$1-Units!$Q5,12)=0),IF(AND(Units!$L5=1,AD$1=Units!$Q5),1,Inputs!$B$15)*Inputs!$B$16*(1+Inputs!$B$11)^(AD$2-1),0)</f>
        <v>0</v>
      </c>
      <c r="AE6" s="11" t="n">
        <f aca="false">IF(AND(AE$1&gt;=Units!$Q5,MOD(AE$1-Units!$Q5,12)=0),IF(AND(Units!$L5=1,AE$1=Units!$Q5),1,Inputs!$B$15)*Inputs!$B$16*(1+Inputs!$B$11)^(AE$2-1),0)</f>
        <v>0</v>
      </c>
      <c r="AF6" s="11" t="n">
        <f aca="false">IF(AND(AF$1&gt;=Units!$Q5,MOD(AF$1-Units!$Q5,12)=0),IF(AND(Units!$L5=1,AF$1=Units!$Q5),1,Inputs!$B$15)*Inputs!$B$16*(1+Inputs!$B$11)^(AF$2-1),0)</f>
        <v>0</v>
      </c>
      <c r="AG6" s="11" t="n">
        <f aca="false">IF(AND(AG$1&gt;=Units!$Q5,MOD(AG$1-Units!$Q5,12)=0),IF(AND(Units!$L5=1,AG$1=Units!$Q5),1,Inputs!$B$15)*Inputs!$B$16*(1+Inputs!$B$11)^(AG$2-1),0)</f>
        <v>0</v>
      </c>
      <c r="AH6" s="11" t="n">
        <f aca="false">IF(AND(AH$1&gt;=Units!$Q5,MOD(AH$1-Units!$Q5,12)=0),IF(AND(Units!$L5=1,AH$1=Units!$Q5),1,Inputs!$B$15)*Inputs!$B$16*(1+Inputs!$B$11)^(AH$2-1),0)</f>
        <v>0</v>
      </c>
      <c r="AI6" s="11" t="n">
        <f aca="false">IF(AND(AI$1&gt;=Units!$Q5,MOD(AI$1-Units!$Q5,12)=0),IF(AND(Units!$L5=1,AI$1=Units!$Q5),1,Inputs!$B$15)*Inputs!$B$16*(1+Inputs!$B$11)^(AI$2-1),0)</f>
        <v>0</v>
      </c>
      <c r="AJ6" s="11" t="n">
        <f aca="false">IF(AND(AJ$1&gt;=Units!$Q5,MOD(AJ$1-Units!$Q5,12)=0),IF(AND(Units!$L5=1,AJ$1=Units!$Q5),1,Inputs!$B$15)*Inputs!$B$16*(1+Inputs!$B$11)^(AJ$2-1),0)</f>
        <v>0</v>
      </c>
      <c r="AK6" s="11" t="n">
        <f aca="false">IF(AND(AK$1&gt;=Units!$Q5,MOD(AK$1-Units!$Q5,12)=0),IF(AND(Units!$L5=1,AK$1=Units!$Q5),1,Inputs!$B$15)*Inputs!$B$16*(1+Inputs!$B$11)^(AK$2-1),0)</f>
        <v>0</v>
      </c>
      <c r="AL6" s="11" t="n">
        <f aca="false">IF(AND(AL$1&gt;=Units!$Q5,MOD(AL$1-Units!$Q5,12)=0),IF(AND(Units!$L5=1,AL$1=Units!$Q5),1,Inputs!$B$15)*Inputs!$B$16*(1+Inputs!$B$11)^(AL$2-1),0)</f>
        <v>0</v>
      </c>
      <c r="AM6" s="11" t="n">
        <f aca="false">IF(AND(AM$1&gt;=Units!$Q5,MOD(AM$1-Units!$Q5,12)=0),IF(AND(Units!$L5=1,AM$1=Units!$Q5),1,Inputs!$B$15)*Inputs!$B$16*(1+Inputs!$B$11)^(AM$2-1),0)</f>
        <v>546.3635</v>
      </c>
      <c r="AN6" s="11" t="n">
        <f aca="false">IF(AND(AN$1&gt;=Units!$Q5,MOD(AN$1-Units!$Q5,12)=0),IF(AND(Units!$L5=1,AN$1=Units!$Q5),1,Inputs!$B$15)*Inputs!$B$16*(1+Inputs!$B$11)^(AN$2-1),0)</f>
        <v>0</v>
      </c>
      <c r="AO6" s="11" t="n">
        <f aca="false">IF(AND(AO$1&gt;=Units!$Q5,MOD(AO$1-Units!$Q5,12)=0),IF(AND(Units!$L5=1,AO$1=Units!$Q5),1,Inputs!$B$15)*Inputs!$B$16*(1+Inputs!$B$11)^(AO$2-1),0)</f>
        <v>0</v>
      </c>
      <c r="AP6" s="11" t="n">
        <f aca="false">IF(AND(AP$1&gt;=Units!$Q5,MOD(AP$1-Units!$Q5,12)=0),IF(AND(Units!$L5=1,AP$1=Units!$Q5),1,Inputs!$B$15)*Inputs!$B$16*(1+Inputs!$B$11)^(AP$2-1),0)</f>
        <v>0</v>
      </c>
      <c r="AQ6" s="11" t="n">
        <f aca="false">IF(AND(AQ$1&gt;=Units!$Q5,MOD(AQ$1-Units!$Q5,12)=0),IF(AND(Units!$L5=1,AQ$1=Units!$Q5),1,Inputs!$B$15)*Inputs!$B$16*(1+Inputs!$B$11)^(AQ$2-1),0)</f>
        <v>0</v>
      </c>
      <c r="AR6" s="11" t="n">
        <f aca="false">IF(AND(AR$1&gt;=Units!$Q5,MOD(AR$1-Units!$Q5,12)=0),IF(AND(Units!$L5=1,AR$1=Units!$Q5),1,Inputs!$B$15)*Inputs!$B$16*(1+Inputs!$B$11)^(AR$2-1),0)</f>
        <v>0</v>
      </c>
      <c r="AS6" s="11" t="n">
        <f aca="false">IF(AND(AS$1&gt;=Units!$Q5,MOD(AS$1-Units!$Q5,12)=0),IF(AND(Units!$L5=1,AS$1=Units!$Q5),1,Inputs!$B$15)*Inputs!$B$16*(1+Inputs!$B$11)^(AS$2-1),0)</f>
        <v>0</v>
      </c>
      <c r="AT6" s="11" t="n">
        <f aca="false">IF(AND(AT$1&gt;=Units!$Q5,MOD(AT$1-Units!$Q5,12)=0),IF(AND(Units!$L5=1,AT$1=Units!$Q5),1,Inputs!$B$15)*Inputs!$B$16*(1+Inputs!$B$11)^(AT$2-1),0)</f>
        <v>0</v>
      </c>
      <c r="AU6" s="11" t="n">
        <f aca="false">IF(AND(AU$1&gt;=Units!$Q5,MOD(AU$1-Units!$Q5,12)=0),IF(AND(Units!$L5=1,AU$1=Units!$Q5),1,Inputs!$B$15)*Inputs!$B$16*(1+Inputs!$B$11)^(AU$2-1),0)</f>
        <v>0</v>
      </c>
      <c r="AV6" s="11" t="n">
        <f aca="false">IF(AND(AV$1&gt;=Units!$Q5,MOD(AV$1-Units!$Q5,12)=0),IF(AND(Units!$L5=1,AV$1=Units!$Q5),1,Inputs!$B$15)*Inputs!$B$16*(1+Inputs!$B$11)^(AV$2-1),0)</f>
        <v>0</v>
      </c>
      <c r="AW6" s="11" t="n">
        <f aca="false">IF(AND(AW$1&gt;=Units!$Q5,MOD(AW$1-Units!$Q5,12)=0),IF(AND(Units!$L5=1,AW$1=Units!$Q5),1,Inputs!$B$15)*Inputs!$B$16*(1+Inputs!$B$11)^(AW$2-1),0)</f>
        <v>0</v>
      </c>
      <c r="AX6" s="11" t="n">
        <f aca="false">IF(AND(AX$1&gt;=Units!$Q5,MOD(AX$1-Units!$Q5,12)=0),IF(AND(Units!$L5=1,AX$1=Units!$Q5),1,Inputs!$B$15)*Inputs!$B$16*(1+Inputs!$B$11)^(AX$2-1),0)</f>
        <v>0</v>
      </c>
      <c r="AY6" s="11" t="n">
        <f aca="false">IF(AND(AY$1&gt;=Units!$Q5,MOD(AY$1-Units!$Q5,12)=0),IF(AND(Units!$L5=1,AY$1=Units!$Q5),1,Inputs!$B$15)*Inputs!$B$16*(1+Inputs!$B$11)^(AY$2-1),0)</f>
        <v>562.754405</v>
      </c>
      <c r="AZ6" s="11" t="n">
        <f aca="false">IF(AND(AZ$1&gt;=Units!$Q5,MOD(AZ$1-Units!$Q5,12)=0),IF(AND(Units!$L5=1,AZ$1=Units!$Q5),1,Inputs!$B$15)*Inputs!$B$16*(1+Inputs!$B$11)^(AZ$2-1),0)</f>
        <v>0</v>
      </c>
      <c r="BA6" s="11" t="n">
        <f aca="false">IF(AND(BA$1&gt;=Units!$Q5,MOD(BA$1-Units!$Q5,12)=0),IF(AND(Units!$L5=1,BA$1=Units!$Q5),1,Inputs!$B$15)*Inputs!$B$16*(1+Inputs!$B$11)^(BA$2-1),0)</f>
        <v>0</v>
      </c>
      <c r="BB6" s="11" t="n">
        <f aca="false">IF(AND(BB$1&gt;=Units!$Q5,MOD(BB$1-Units!$Q5,12)=0),IF(AND(Units!$L5=1,BB$1=Units!$Q5),1,Inputs!$B$15)*Inputs!$B$16*(1+Inputs!$B$11)^(BB$2-1),0)</f>
        <v>0</v>
      </c>
      <c r="BC6" s="11" t="n">
        <f aca="false">IF(AND(BC$1&gt;=Units!$Q5,MOD(BC$1-Units!$Q5,12)=0),IF(AND(Units!$L5=1,BC$1=Units!$Q5),1,Inputs!$B$15)*Inputs!$B$16*(1+Inputs!$B$11)^(BC$2-1),0)</f>
        <v>0</v>
      </c>
      <c r="BD6" s="11" t="n">
        <f aca="false">IF(AND(BD$1&gt;=Units!$Q5,MOD(BD$1-Units!$Q5,12)=0),IF(AND(Units!$L5=1,BD$1=Units!$Q5),1,Inputs!$B$15)*Inputs!$B$16*(1+Inputs!$B$11)^(BD$2-1),0)</f>
        <v>0</v>
      </c>
      <c r="BE6" s="11" t="n">
        <f aca="false">IF(AND(BE$1&gt;=Units!$Q5,MOD(BE$1-Units!$Q5,12)=0),IF(AND(Units!$L5=1,BE$1=Units!$Q5),1,Inputs!$B$15)*Inputs!$B$16*(1+Inputs!$B$11)^(BE$2-1),0)</f>
        <v>0</v>
      </c>
      <c r="BF6" s="11" t="n">
        <f aca="false">IF(AND(BF$1&gt;=Units!$Q5,MOD(BF$1-Units!$Q5,12)=0),IF(AND(Units!$L5=1,BF$1=Units!$Q5),1,Inputs!$B$15)*Inputs!$B$16*(1+Inputs!$B$11)^(BF$2-1),0)</f>
        <v>0</v>
      </c>
      <c r="BG6" s="11" t="n">
        <f aca="false">IF(AND(BG$1&gt;=Units!$Q5,MOD(BG$1-Units!$Q5,12)=0),IF(AND(Units!$L5=1,BG$1=Units!$Q5),1,Inputs!$B$15)*Inputs!$B$16*(1+Inputs!$B$11)^(BG$2-1),0)</f>
        <v>0</v>
      </c>
      <c r="BH6" s="11" t="n">
        <f aca="false">IF(AND(BH$1&gt;=Units!$Q5,MOD(BH$1-Units!$Q5,12)=0),IF(AND(Units!$L5=1,BH$1=Units!$Q5),1,Inputs!$B$15)*Inputs!$B$16*(1+Inputs!$B$11)^(BH$2-1),0)</f>
        <v>0</v>
      </c>
      <c r="BI6" s="11" t="n">
        <f aca="false">IF(AND(BI$1&gt;=Units!$Q5,MOD(BI$1-Units!$Q5,12)=0),IF(AND(Units!$L5=1,BI$1=Units!$Q5),1,Inputs!$B$15)*Inputs!$B$16*(1+Inputs!$B$11)^(BI$2-1),0)</f>
        <v>0</v>
      </c>
      <c r="BJ6" s="11" t="n">
        <f aca="false">IF(AND(BJ$1&gt;=Units!$Q5,MOD(BJ$1-Units!$Q5,12)=0),IF(AND(Units!$L5=1,BJ$1=Units!$Q5),1,Inputs!$B$15)*Inputs!$B$16*(1+Inputs!$B$11)^(BJ$2-1),0)</f>
        <v>0</v>
      </c>
      <c r="BK6" s="11" t="n">
        <f aca="false">IF(AND(BK$1&gt;=Units!$Q5,MOD(BK$1-Units!$Q5,12)=0),IF(AND(Units!$L5=1,BK$1=Units!$Q5),1,Inputs!$B$15)*Inputs!$B$16*(1+Inputs!$B$11)^(BK$2-1),0)</f>
        <v>579.63703715</v>
      </c>
      <c r="BL6" s="11" t="n">
        <f aca="false">IF(AND(BL$1&gt;=Units!$Q5,MOD(BL$1-Units!$Q5,12)=0),IF(AND(Units!$L5=1,BL$1=Units!$Q5),1,Inputs!$B$15)*Inputs!$B$16*(1+Inputs!$B$11)^(BL$2-1),0)</f>
        <v>0</v>
      </c>
      <c r="BM6" s="11" t="n">
        <f aca="false">IF(AND(BM$1&gt;=Units!$Q5,MOD(BM$1-Units!$Q5,12)=0),IF(AND(Units!$L5=1,BM$1=Units!$Q5),1,Inputs!$B$15)*Inputs!$B$16*(1+Inputs!$B$11)^(BM$2-1),0)</f>
        <v>0</v>
      </c>
      <c r="BN6" s="11" t="n">
        <f aca="false">IF(AND(BN$1&gt;=Units!$Q5,MOD(BN$1-Units!$Q5,12)=0),IF(AND(Units!$L5=1,BN$1=Units!$Q5),1,Inputs!$B$15)*Inputs!$B$16*(1+Inputs!$B$11)^(BN$2-1),0)</f>
        <v>0</v>
      </c>
      <c r="BO6" s="11" t="n">
        <f aca="false">IF(AND(BO$1&gt;=Units!$Q5,MOD(BO$1-Units!$Q5,12)=0),IF(AND(Units!$L5=1,BO$1=Units!$Q5),1,Inputs!$B$15)*Inputs!$B$16*(1+Inputs!$B$11)^(BO$2-1),0)</f>
        <v>0</v>
      </c>
      <c r="BP6" s="11" t="n">
        <f aca="false">IF(AND(BP$1&gt;=Units!$Q5,MOD(BP$1-Units!$Q5,12)=0),IF(AND(Units!$L5=1,BP$1=Units!$Q5),1,Inputs!$B$15)*Inputs!$B$16*(1+Inputs!$B$11)^(BP$2-1),0)</f>
        <v>0</v>
      </c>
      <c r="BQ6" s="11" t="n">
        <f aca="false">IF(AND(BQ$1&gt;=Units!$Q5,MOD(BQ$1-Units!$Q5,12)=0),IF(AND(Units!$L5=1,BQ$1=Units!$Q5),1,Inputs!$B$15)*Inputs!$B$16*(1+Inputs!$B$11)^(BQ$2-1),0)</f>
        <v>0</v>
      </c>
      <c r="BR6" s="11" t="n">
        <f aca="false">IF(AND(BR$1&gt;=Units!$Q5,MOD(BR$1-Units!$Q5,12)=0),IF(AND(Units!$L5=1,BR$1=Units!$Q5),1,Inputs!$B$15)*Inputs!$B$16*(1+Inputs!$B$11)^(BR$2-1),0)</f>
        <v>0</v>
      </c>
      <c r="BS6" s="11" t="n">
        <f aca="false">IF(AND(BS$1&gt;=Units!$Q5,MOD(BS$1-Units!$Q5,12)=0),IF(AND(Units!$L5=1,BS$1=Units!$Q5),1,Inputs!$B$15)*Inputs!$B$16*(1+Inputs!$B$11)^(BS$2-1),0)</f>
        <v>0</v>
      </c>
      <c r="BT6" s="11" t="n">
        <f aca="false">IF(AND(BT$1&gt;=Units!$Q5,MOD(BT$1-Units!$Q5,12)=0),IF(AND(Units!$L5=1,BT$1=Units!$Q5),1,Inputs!$B$15)*Inputs!$B$16*(1+Inputs!$B$11)^(BT$2-1),0)</f>
        <v>0</v>
      </c>
      <c r="BU6" s="11" t="n">
        <f aca="false">IF(AND(BU$1&gt;=Units!$Q5,MOD(BU$1-Units!$Q5,12)=0),IF(AND(Units!$L5=1,BU$1=Units!$Q5),1,Inputs!$B$15)*Inputs!$B$16*(1+Inputs!$B$11)^(BU$2-1),0)</f>
        <v>0</v>
      </c>
      <c r="BV6" s="11" t="n">
        <f aca="false">IF(AND(BV$1&gt;=Units!$Q5,MOD(BV$1-Units!$Q5,12)=0),IF(AND(Units!$L5=1,BV$1=Units!$Q5),1,Inputs!$B$15)*Inputs!$B$16*(1+Inputs!$B$11)^(BV$2-1),0)</f>
        <v>0</v>
      </c>
      <c r="BW6" s="11" t="n">
        <f aca="false">IF(AND(BW$1&gt;=Units!$Q5,MOD(BW$1-Units!$Q5,12)=0),IF(AND(Units!$L5=1,BW$1=Units!$Q5),1,Inputs!$B$15)*Inputs!$B$16*(1+Inputs!$B$11)^(BW$2-1),0)</f>
        <v>597.0261482645</v>
      </c>
      <c r="BX6" s="11" t="n">
        <f aca="false">IF(AND(BX$1&gt;=Units!$Q5,MOD(BX$1-Units!$Q5,12)=0),IF(AND(Units!$L5=1,BX$1=Units!$Q5),1,Inputs!$B$15)*Inputs!$B$16*(1+Inputs!$B$11)^(BX$2-1),0)</f>
        <v>0</v>
      </c>
      <c r="BY6" s="11" t="n">
        <f aca="false">IF(AND(BY$1&gt;=Units!$Q5,MOD(BY$1-Units!$Q5,12)=0),IF(AND(Units!$L5=1,BY$1=Units!$Q5),1,Inputs!$B$15)*Inputs!$B$16*(1+Inputs!$B$11)^(BY$2-1),0)</f>
        <v>0</v>
      </c>
      <c r="BZ6" s="11" t="n">
        <f aca="false">IF(AND(BZ$1&gt;=Units!$Q5,MOD(BZ$1-Units!$Q5,12)=0),IF(AND(Units!$L5=1,BZ$1=Units!$Q5),1,Inputs!$B$15)*Inputs!$B$16*(1+Inputs!$B$11)^(BZ$2-1),0)</f>
        <v>0</v>
      </c>
      <c r="CA6" s="11" t="n">
        <f aca="false">IF(AND(CA$1&gt;=Units!$Q5,MOD(CA$1-Units!$Q5,12)=0),IF(AND(Units!$L5=1,CA$1=Units!$Q5),1,Inputs!$B$15)*Inputs!$B$16*(1+Inputs!$B$11)^(CA$2-1),0)</f>
        <v>0</v>
      </c>
      <c r="CB6" s="11" t="n">
        <f aca="false">IF(AND(CB$1&gt;=Units!$Q5,MOD(CB$1-Units!$Q5,12)=0),IF(AND(Units!$L5=1,CB$1=Units!$Q5),1,Inputs!$B$15)*Inputs!$B$16*(1+Inputs!$B$11)^(CB$2-1),0)</f>
        <v>0</v>
      </c>
      <c r="CC6" s="11" t="n">
        <f aca="false">IF(AND(CC$1&gt;=Units!$Q5,MOD(CC$1-Units!$Q5,12)=0),IF(AND(Units!$L5=1,CC$1=Units!$Q5),1,Inputs!$B$15)*Inputs!$B$16*(1+Inputs!$B$11)^(CC$2-1),0)</f>
        <v>0</v>
      </c>
      <c r="CD6" s="11" t="n">
        <f aca="false">IF(AND(CD$1&gt;=Units!$Q5,MOD(CD$1-Units!$Q5,12)=0),IF(AND(Units!$L5=1,CD$1=Units!$Q5),1,Inputs!$B$15)*Inputs!$B$16*(1+Inputs!$B$11)^(CD$2-1),0)</f>
        <v>0</v>
      </c>
      <c r="CE6" s="11" t="n">
        <f aca="false">IF(AND(CE$1&gt;=Units!$Q5,MOD(CE$1-Units!$Q5,12)=0),IF(AND(Units!$L5=1,CE$1=Units!$Q5),1,Inputs!$B$15)*Inputs!$B$16*(1+Inputs!$B$11)^(CE$2-1),0)</f>
        <v>0</v>
      </c>
      <c r="CF6" s="11" t="n">
        <f aca="false">IF(AND(CF$1&gt;=Units!$Q5,MOD(CF$1-Units!$Q5,12)=0),IF(AND(Units!$L5=1,CF$1=Units!$Q5),1,Inputs!$B$15)*Inputs!$B$16*(1+Inputs!$B$11)^(CF$2-1),0)</f>
        <v>0</v>
      </c>
      <c r="CG6" s="11" t="n">
        <f aca="false">IF(AND(CG$1&gt;=Units!$Q5,MOD(CG$1-Units!$Q5,12)=0),IF(AND(Units!$L5=1,CG$1=Units!$Q5),1,Inputs!$B$15)*Inputs!$B$16*(1+Inputs!$B$11)^(CG$2-1),0)</f>
        <v>0</v>
      </c>
      <c r="CH6" s="11" t="n">
        <f aca="false">IF(AND(CH$1&gt;=Units!$Q5,MOD(CH$1-Units!$Q5,12)=0),IF(AND(Units!$L5=1,CH$1=Units!$Q5),1,Inputs!$B$15)*Inputs!$B$16*(1+Inputs!$B$11)^(CH$2-1),0)</f>
        <v>0</v>
      </c>
      <c r="CI6" s="11" t="n">
        <f aca="false">IF(AND(CI$1&gt;=Units!$Q5,MOD(CI$1-Units!$Q5,12)=0),IF(AND(Units!$L5=1,CI$1=Units!$Q5),1,Inputs!$B$15)*Inputs!$B$16*(1+Inputs!$B$11)^(CI$2-1),0)</f>
        <v>614.936932712435</v>
      </c>
      <c r="CJ6" s="11" t="n">
        <f aca="false">IF(AND(CJ$1&gt;=Units!$Q5,MOD(CJ$1-Units!$Q5,12)=0),IF(AND(Units!$L5=1,CJ$1=Units!$Q5),1,Inputs!$B$15)*Inputs!$B$16*(1+Inputs!$B$11)^(CJ$2-1),0)</f>
        <v>0</v>
      </c>
      <c r="CK6" s="11" t="n">
        <f aca="false">IF(AND(CK$1&gt;=Units!$Q5,MOD(CK$1-Units!$Q5,12)=0),IF(AND(Units!$L5=1,CK$1=Units!$Q5),1,Inputs!$B$15)*Inputs!$B$16*(1+Inputs!$B$11)^(CK$2-1),0)</f>
        <v>0</v>
      </c>
      <c r="CL6" s="11" t="n">
        <f aca="false">IF(AND(CL$1&gt;=Units!$Q5,MOD(CL$1-Units!$Q5,12)=0),IF(AND(Units!$L5=1,CL$1=Units!$Q5),1,Inputs!$B$15)*Inputs!$B$16*(1+Inputs!$B$11)^(CL$2-1),0)</f>
        <v>0</v>
      </c>
      <c r="CM6" s="11" t="n">
        <f aca="false">IF(AND(CM$1&gt;=Units!$Q5,MOD(CM$1-Units!$Q5,12)=0),IF(AND(Units!$L5=1,CM$1=Units!$Q5),1,Inputs!$B$15)*Inputs!$B$16*(1+Inputs!$B$11)^(CM$2-1),0)</f>
        <v>0</v>
      </c>
      <c r="CN6" s="11" t="n">
        <f aca="false">IF(AND(CN$1&gt;=Units!$Q5,MOD(CN$1-Units!$Q5,12)=0),IF(AND(Units!$L5=1,CN$1=Units!$Q5),1,Inputs!$B$15)*Inputs!$B$16*(1+Inputs!$B$11)^(CN$2-1),0)</f>
        <v>0</v>
      </c>
      <c r="CO6" s="11" t="n">
        <f aca="false">IF(AND(CO$1&gt;=Units!$Q5,MOD(CO$1-Units!$Q5,12)=0),IF(AND(Units!$L5=1,CO$1=Units!$Q5),1,Inputs!$B$15)*Inputs!$B$16*(1+Inputs!$B$11)^(CO$2-1),0)</f>
        <v>0</v>
      </c>
      <c r="CP6" s="11" t="n">
        <f aca="false">IF(AND(CP$1&gt;=Units!$Q5,MOD(CP$1-Units!$Q5,12)=0),IF(AND(Units!$L5=1,CP$1=Units!$Q5),1,Inputs!$B$15)*Inputs!$B$16*(1+Inputs!$B$11)^(CP$2-1),0)</f>
        <v>0</v>
      </c>
      <c r="CQ6" s="11" t="n">
        <f aca="false">IF(AND(CQ$1&gt;=Units!$Q5,MOD(CQ$1-Units!$Q5,12)=0),IF(AND(Units!$L5=1,CQ$1=Units!$Q5),1,Inputs!$B$15)*Inputs!$B$16*(1+Inputs!$B$11)^(CQ$2-1),0)</f>
        <v>0</v>
      </c>
      <c r="CR6" s="11" t="n">
        <f aca="false">IF(AND(CR$1&gt;=Units!$Q5,MOD(CR$1-Units!$Q5,12)=0),IF(AND(Units!$L5=1,CR$1=Units!$Q5),1,Inputs!$B$15)*Inputs!$B$16*(1+Inputs!$B$11)^(CR$2-1),0)</f>
        <v>0</v>
      </c>
      <c r="CS6" s="11" t="n">
        <f aca="false">IF(AND(CS$1&gt;=Units!$Q5,MOD(CS$1-Units!$Q5,12)=0),IF(AND(Units!$L5=1,CS$1=Units!$Q5),1,Inputs!$B$15)*Inputs!$B$16*(1+Inputs!$B$11)^(CS$2-1),0)</f>
        <v>0</v>
      </c>
      <c r="CT6" s="11" t="n">
        <f aca="false">IF(AND(CT$1&gt;=Units!$Q5,MOD(CT$1-Units!$Q5,12)=0),IF(AND(Units!$L5=1,CT$1=Units!$Q5),1,Inputs!$B$15)*Inputs!$B$16*(1+Inputs!$B$11)^(CT$2-1),0)</f>
        <v>0</v>
      </c>
      <c r="CU6" s="11" t="n">
        <f aca="false">IF(AND(CU$1&gt;=Units!$Q5,MOD(CU$1-Units!$Q5,12)=0),IF(AND(Units!$L5=1,CU$1=Units!$Q5),1,Inputs!$B$15)*Inputs!$B$16*(1+Inputs!$B$11)^(CU$2-1),0)</f>
        <v>633.385040693808</v>
      </c>
      <c r="CV6" s="11" t="n">
        <f aca="false">IF(AND(CV$1&gt;=Units!$Q5,MOD(CV$1-Units!$Q5,12)=0),IF(AND(Units!$L5=1,CV$1=Units!$Q5),1,Inputs!$B$15)*Inputs!$B$16*(1+Inputs!$B$11)^(CV$2-1),0)</f>
        <v>0</v>
      </c>
      <c r="CW6" s="11" t="n">
        <f aca="false">IF(AND(CW$1&gt;=Units!$Q5,MOD(CW$1-Units!$Q5,12)=0),IF(AND(Units!$L5=1,CW$1=Units!$Q5),1,Inputs!$B$15)*Inputs!$B$16*(1+Inputs!$B$11)^(CW$2-1),0)</f>
        <v>0</v>
      </c>
      <c r="CX6" s="11" t="n">
        <f aca="false">IF(AND(CX$1&gt;=Units!$Q5,MOD(CX$1-Units!$Q5,12)=0),IF(AND(Units!$L5=1,CX$1=Units!$Q5),1,Inputs!$B$15)*Inputs!$B$16*(1+Inputs!$B$11)^(CX$2-1),0)</f>
        <v>0</v>
      </c>
      <c r="CY6" s="11" t="n">
        <f aca="false">IF(AND(CY$1&gt;=Units!$Q5,MOD(CY$1-Units!$Q5,12)=0),IF(AND(Units!$L5=1,CY$1=Units!$Q5),1,Inputs!$B$15)*Inputs!$B$16*(1+Inputs!$B$11)^(CY$2-1),0)</f>
        <v>0</v>
      </c>
      <c r="CZ6" s="11" t="n">
        <f aca="false">IF(AND(CZ$1&gt;=Units!$Q5,MOD(CZ$1-Units!$Q5,12)=0),IF(AND(Units!$L5=1,CZ$1=Units!$Q5),1,Inputs!$B$15)*Inputs!$B$16*(1+Inputs!$B$11)^(CZ$2-1),0)</f>
        <v>0</v>
      </c>
      <c r="DA6" s="11" t="n">
        <f aca="false">IF(AND(DA$1&gt;=Units!$Q5,MOD(DA$1-Units!$Q5,12)=0),IF(AND(Units!$L5=1,DA$1=Units!$Q5),1,Inputs!$B$15)*Inputs!$B$16*(1+Inputs!$B$11)^(DA$2-1),0)</f>
        <v>0</v>
      </c>
      <c r="DB6" s="11" t="n">
        <f aca="false">IF(AND(DB$1&gt;=Units!$Q5,MOD(DB$1-Units!$Q5,12)=0),IF(AND(Units!$L5=1,DB$1=Units!$Q5),1,Inputs!$B$15)*Inputs!$B$16*(1+Inputs!$B$11)^(DB$2-1),0)</f>
        <v>0</v>
      </c>
      <c r="DC6" s="11" t="n">
        <f aca="false">IF(AND(DC$1&gt;=Units!$Q5,MOD(DC$1-Units!$Q5,12)=0),IF(AND(Units!$L5=1,DC$1=Units!$Q5),1,Inputs!$B$15)*Inputs!$B$16*(1+Inputs!$B$11)^(DC$2-1),0)</f>
        <v>0</v>
      </c>
      <c r="DD6" s="11" t="n">
        <f aca="false">IF(AND(DD$1&gt;=Units!$Q5,MOD(DD$1-Units!$Q5,12)=0),IF(AND(Units!$L5=1,DD$1=Units!$Q5),1,Inputs!$B$15)*Inputs!$B$16*(1+Inputs!$B$11)^(DD$2-1),0)</f>
        <v>0</v>
      </c>
      <c r="DE6" s="11" t="n">
        <f aca="false">IF(AND(DE$1&gt;=Units!$Q5,MOD(DE$1-Units!$Q5,12)=0),IF(AND(Units!$L5=1,DE$1=Units!$Q5),1,Inputs!$B$15)*Inputs!$B$16*(1+Inputs!$B$11)^(DE$2-1),0)</f>
        <v>0</v>
      </c>
      <c r="DF6" s="11" t="n">
        <f aca="false">IF(AND(DF$1&gt;=Units!$Q5,MOD(DF$1-Units!$Q5,12)=0),IF(AND(Units!$L5=1,DF$1=Units!$Q5),1,Inputs!$B$15)*Inputs!$B$16*(1+Inputs!$B$11)^(DF$2-1),0)</f>
        <v>0</v>
      </c>
      <c r="DG6" s="11" t="n">
        <f aca="false">IF(AND(DG$1&gt;=Units!$Q5,MOD(DG$1-Units!$Q5,12)=0),IF(AND(Units!$L5=1,DG$1=Units!$Q5),1,Inputs!$B$15)*Inputs!$B$16*(1+Inputs!$B$11)^(DG$2-1),0)</f>
        <v>652.386591914623</v>
      </c>
      <c r="DH6" s="11" t="n">
        <f aca="false">IF(AND(DH$1&gt;=Units!$Q5,MOD(DH$1-Units!$Q5,12)=0),IF(AND(Units!$L5=1,DH$1=Units!$Q5),1,Inputs!$B$15)*Inputs!$B$16*(1+Inputs!$B$11)^(DH$2-1),0)</f>
        <v>0</v>
      </c>
      <c r="DI6" s="11" t="n">
        <f aca="false">IF(AND(DI$1&gt;=Units!$Q5,MOD(DI$1-Units!$Q5,12)=0),IF(AND(Units!$L5=1,DI$1=Units!$Q5),1,Inputs!$B$15)*Inputs!$B$16*(1+Inputs!$B$11)^(DI$2-1),0)</f>
        <v>0</v>
      </c>
      <c r="DJ6" s="11" t="n">
        <f aca="false">IF(AND(DJ$1&gt;=Units!$Q5,MOD(DJ$1-Units!$Q5,12)=0),IF(AND(Units!$L5=1,DJ$1=Units!$Q5),1,Inputs!$B$15)*Inputs!$B$16*(1+Inputs!$B$11)^(DJ$2-1),0)</f>
        <v>0</v>
      </c>
      <c r="DK6" s="11" t="n">
        <f aca="false">IF(AND(DK$1&gt;=Units!$Q5,MOD(DK$1-Units!$Q5,12)=0),IF(AND(Units!$L5=1,DK$1=Units!$Q5),1,Inputs!$B$15)*Inputs!$B$16*(1+Inputs!$B$11)^(DK$2-1),0)</f>
        <v>0</v>
      </c>
      <c r="DL6" s="11" t="n">
        <f aca="false">IF(AND(DL$1&gt;=Units!$Q5,MOD(DL$1-Units!$Q5,12)=0),IF(AND(Units!$L5=1,DL$1=Units!$Q5),1,Inputs!$B$15)*Inputs!$B$16*(1+Inputs!$B$11)^(DL$2-1),0)</f>
        <v>0</v>
      </c>
      <c r="DM6" s="11" t="n">
        <f aca="false">IF(AND(DM$1&gt;=Units!$Q5,MOD(DM$1-Units!$Q5,12)=0),IF(AND(Units!$L5=1,DM$1=Units!$Q5),1,Inputs!$B$15)*Inputs!$B$16*(1+Inputs!$B$11)^(DM$2-1),0)</f>
        <v>0</v>
      </c>
      <c r="DN6" s="11" t="n">
        <f aca="false">IF(AND(DN$1&gt;=Units!$Q5,MOD(DN$1-Units!$Q5,12)=0),IF(AND(Units!$L5=1,DN$1=Units!$Q5),1,Inputs!$B$15)*Inputs!$B$16*(1+Inputs!$B$11)^(DN$2-1),0)</f>
        <v>0</v>
      </c>
      <c r="DO6" s="11" t="n">
        <f aca="false">IF(AND(DO$1&gt;=Units!$Q5,MOD(DO$1-Units!$Q5,12)=0),IF(AND(Units!$L5=1,DO$1=Units!$Q5),1,Inputs!$B$15)*Inputs!$B$16*(1+Inputs!$B$11)^(DO$2-1),0)</f>
        <v>0</v>
      </c>
      <c r="DP6" s="11" t="n">
        <f aca="false">IF(AND(DP$1&gt;=Units!$Q5,MOD(DP$1-Units!$Q5,12)=0),IF(AND(Units!$L5=1,DP$1=Units!$Q5),1,Inputs!$B$15)*Inputs!$B$16*(1+Inputs!$B$11)^(DP$2-1),0)</f>
        <v>0</v>
      </c>
      <c r="DQ6" s="11" t="n">
        <f aca="false">IF(AND(DQ$1&gt;=Units!$Q5,MOD(DQ$1-Units!$Q5,12)=0),IF(AND(Units!$L5=1,DQ$1=Units!$Q5),1,Inputs!$B$15)*Inputs!$B$16*(1+Inputs!$B$11)^(DQ$2-1),0)</f>
        <v>0</v>
      </c>
      <c r="DR6" s="11" t="n">
        <f aca="false">IF(AND(DR$1&gt;=Units!$Q5,MOD(DR$1-Units!$Q5,12)=0),IF(AND(Units!$L5=1,DR$1=Units!$Q5),1,Inputs!$B$15)*Inputs!$B$16*(1+Inputs!$B$11)^(DR$2-1),0)</f>
        <v>0</v>
      </c>
      <c r="DS6" s="11" t="n">
        <f aca="false">IF(AND(DS$1&gt;=Units!$Q5,MOD(DS$1-Units!$Q5,12)=0),IF(AND(Units!$L5=1,DS$1=Units!$Q5),1,Inputs!$B$15)*Inputs!$B$16*(1+Inputs!$B$11)^(DS$2-1),0)</f>
        <v>671.958189672061</v>
      </c>
      <c r="DT6" s="11" t="n">
        <f aca="false">IF(AND(DT$1&gt;=Units!$Q5,MOD(DT$1-Units!$Q5,12)=0),IF(AND(Units!$L5=1,DT$1=Units!$Q5),1,Inputs!$B$15)*Inputs!$B$16*(1+Inputs!$B$11)^(DT$2-1),0)</f>
        <v>0</v>
      </c>
      <c r="DU6" s="11" t="n">
        <f aca="false">IF(AND(DU$1&gt;=Units!$Q5,MOD(DU$1-Units!$Q5,12)=0),IF(AND(Units!$L5=1,DU$1=Units!$Q5),1,Inputs!$B$15)*Inputs!$B$16*(1+Inputs!$B$11)^(DU$2-1),0)</f>
        <v>0</v>
      </c>
      <c r="DV6" s="11" t="n">
        <f aca="false">IF(AND(DV$1&gt;=Units!$Q5,MOD(DV$1-Units!$Q5,12)=0),IF(AND(Units!$L5=1,DV$1=Units!$Q5),1,Inputs!$B$15)*Inputs!$B$16*(1+Inputs!$B$11)^(DV$2-1),0)</f>
        <v>0</v>
      </c>
      <c r="DW6" s="11" t="n">
        <f aca="false">IF(AND(DW$1&gt;=Units!$Q5,MOD(DW$1-Units!$Q5,12)=0),IF(AND(Units!$L5=1,DW$1=Units!$Q5),1,Inputs!$B$15)*Inputs!$B$16*(1+Inputs!$B$11)^(DW$2-1),0)</f>
        <v>0</v>
      </c>
      <c r="DX6" s="11" t="n">
        <f aca="false">IF(AND(DX$1&gt;=Units!$Q5,MOD(DX$1-Units!$Q5,12)=0),IF(AND(Units!$L5=1,DX$1=Units!$Q5),1,Inputs!$B$15)*Inputs!$B$16*(1+Inputs!$B$11)^(DX$2-1),0)</f>
        <v>0</v>
      </c>
      <c r="DY6" s="11" t="n">
        <f aca="false">IF(AND(DY$1&gt;=Units!$Q5,MOD(DY$1-Units!$Q5,12)=0),IF(AND(Units!$L5=1,DY$1=Units!$Q5),1,Inputs!$B$15)*Inputs!$B$16*(1+Inputs!$B$11)^(DY$2-1),0)</f>
        <v>0</v>
      </c>
      <c r="DZ6" s="11" t="n">
        <f aca="false">IF(AND(DZ$1&gt;=Units!$Q5,MOD(DZ$1-Units!$Q5,12)=0),IF(AND(Units!$L5=1,DZ$1=Units!$Q5),1,Inputs!$B$15)*Inputs!$B$16*(1+Inputs!$B$11)^(DZ$2-1),0)</f>
        <v>0</v>
      </c>
      <c r="EA6" s="11" t="n">
        <f aca="false">IF(AND(EA$1&gt;=Units!$Q5,MOD(EA$1-Units!$Q5,12)=0),IF(AND(Units!$L5=1,EA$1=Units!$Q5),1,Inputs!$B$15)*Inputs!$B$16*(1+Inputs!$B$11)^(EA$2-1),0)</f>
        <v>0</v>
      </c>
      <c r="EB6" s="11" t="n">
        <f aca="false">IF(AND(EB$1&gt;=Units!$Q5,MOD(EB$1-Units!$Q5,12)=0),IF(AND(Units!$L5=1,EB$1=Units!$Q5),1,Inputs!$B$15)*Inputs!$B$16*(1+Inputs!$B$11)^(EB$2-1),0)</f>
        <v>0</v>
      </c>
      <c r="EC6" s="11" t="n">
        <f aca="false">IF(AND(EC$1&gt;=Units!$Q5,MOD(EC$1-Units!$Q5,12)=0),IF(AND(Units!$L5=1,EC$1=Units!$Q5),1,Inputs!$B$15)*Inputs!$B$16*(1+Inputs!$B$11)^(EC$2-1),0)</f>
        <v>0</v>
      </c>
      <c r="ED6" s="11" t="n">
        <f aca="false">IF(AND(ED$1&gt;=Units!$Q5,MOD(ED$1-Units!$Q5,12)=0),IF(AND(Units!$L5=1,ED$1=Units!$Q5),1,Inputs!$B$15)*Inputs!$B$16*(1+Inputs!$B$11)^(ED$2-1),0)</f>
        <v>0</v>
      </c>
    </row>
    <row r="7" customFormat="false" ht="15" hidden="false" customHeight="false" outlineLevel="0" collapsed="false">
      <c r="A7" s="22" t="n">
        <f aca="false">Units!A6</f>
        <v>105</v>
      </c>
      <c r="B7" s="23"/>
      <c r="C7" s="11" t="n">
        <f aca="false">IF(AND(C$1&gt;=Units!$Q6,MOD(C$1-Units!$Q6,12)=0),IF(AND(Units!$L6=1,C$1=Units!$Q6),1,Inputs!$B$15)*Inputs!$B$16*(1+Inputs!$B$11)^(C$2-1),0)</f>
        <v>0</v>
      </c>
      <c r="D7" s="11" t="n">
        <f aca="false">IF(AND(D$1&gt;=Units!$Q6,MOD(D$1-Units!$Q6,12)=0),IF(AND(Units!$L6=1,D$1=Units!$Q6),1,Inputs!$B$15)*Inputs!$B$16*(1+Inputs!$B$11)^(D$2-1),0)</f>
        <v>0</v>
      </c>
      <c r="E7" s="11" t="n">
        <f aca="false">IF(AND(E$1&gt;=Units!$Q6,MOD(E$1-Units!$Q6,12)=0),IF(AND(Units!$L6=1,E$1=Units!$Q6),1,Inputs!$B$15)*Inputs!$B$16*(1+Inputs!$B$11)^(E$2-1),0)</f>
        <v>500</v>
      </c>
      <c r="F7" s="11" t="n">
        <f aca="false">IF(AND(F$1&gt;=Units!$Q6,MOD(F$1-Units!$Q6,12)=0),IF(AND(Units!$L6=1,F$1=Units!$Q6),1,Inputs!$B$15)*Inputs!$B$16*(1+Inputs!$B$11)^(F$2-1),0)</f>
        <v>0</v>
      </c>
      <c r="G7" s="11" t="n">
        <f aca="false">IF(AND(G$1&gt;=Units!$Q6,MOD(G$1-Units!$Q6,12)=0),IF(AND(Units!$L6=1,G$1=Units!$Q6),1,Inputs!$B$15)*Inputs!$B$16*(1+Inputs!$B$11)^(G$2-1),0)</f>
        <v>0</v>
      </c>
      <c r="H7" s="11" t="n">
        <f aca="false">IF(AND(H$1&gt;=Units!$Q6,MOD(H$1-Units!$Q6,12)=0),IF(AND(Units!$L6=1,H$1=Units!$Q6),1,Inputs!$B$15)*Inputs!$B$16*(1+Inputs!$B$11)^(H$2-1),0)</f>
        <v>0</v>
      </c>
      <c r="I7" s="11" t="n">
        <f aca="false">IF(AND(I$1&gt;=Units!$Q6,MOD(I$1-Units!$Q6,12)=0),IF(AND(Units!$L6=1,I$1=Units!$Q6),1,Inputs!$B$15)*Inputs!$B$16*(1+Inputs!$B$11)^(I$2-1),0)</f>
        <v>0</v>
      </c>
      <c r="J7" s="11" t="n">
        <f aca="false">IF(AND(J$1&gt;=Units!$Q6,MOD(J$1-Units!$Q6,12)=0),IF(AND(Units!$L6=1,J$1=Units!$Q6),1,Inputs!$B$15)*Inputs!$B$16*(1+Inputs!$B$11)^(J$2-1),0)</f>
        <v>0</v>
      </c>
      <c r="K7" s="11" t="n">
        <f aca="false">IF(AND(K$1&gt;=Units!$Q6,MOD(K$1-Units!$Q6,12)=0),IF(AND(Units!$L6=1,K$1=Units!$Q6),1,Inputs!$B$15)*Inputs!$B$16*(1+Inputs!$B$11)^(K$2-1),0)</f>
        <v>0</v>
      </c>
      <c r="L7" s="11" t="n">
        <f aca="false">IF(AND(L$1&gt;=Units!$Q6,MOD(L$1-Units!$Q6,12)=0),IF(AND(Units!$L6=1,L$1=Units!$Q6),1,Inputs!$B$15)*Inputs!$B$16*(1+Inputs!$B$11)^(L$2-1),0)</f>
        <v>0</v>
      </c>
      <c r="M7" s="11" t="n">
        <f aca="false">IF(AND(M$1&gt;=Units!$Q6,MOD(M$1-Units!$Q6,12)=0),IF(AND(Units!$L6=1,M$1=Units!$Q6),1,Inputs!$B$15)*Inputs!$B$16*(1+Inputs!$B$11)^(M$2-1),0)</f>
        <v>0</v>
      </c>
      <c r="N7" s="11" t="n">
        <f aca="false">IF(AND(N$1&gt;=Units!$Q6,MOD(N$1-Units!$Q6,12)=0),IF(AND(Units!$L6=1,N$1=Units!$Q6),1,Inputs!$B$15)*Inputs!$B$16*(1+Inputs!$B$11)^(N$2-1),0)</f>
        <v>0</v>
      </c>
      <c r="O7" s="11" t="n">
        <f aca="false">IF(AND(O$1&gt;=Units!$Q6,MOD(O$1-Units!$Q6,12)=0),IF(AND(Units!$L6=1,O$1=Units!$Q6),1,Inputs!$B$15)*Inputs!$B$16*(1+Inputs!$B$11)^(O$2-1),0)</f>
        <v>0</v>
      </c>
      <c r="P7" s="11" t="n">
        <f aca="false">IF(AND(P$1&gt;=Units!$Q6,MOD(P$1-Units!$Q6,12)=0),IF(AND(Units!$L6=1,P$1=Units!$Q6),1,Inputs!$B$15)*Inputs!$B$16*(1+Inputs!$B$11)^(P$2-1),0)</f>
        <v>0</v>
      </c>
      <c r="Q7" s="11" t="n">
        <f aca="false">IF(AND(Q$1&gt;=Units!$Q6,MOD(Q$1-Units!$Q6,12)=0),IF(AND(Units!$L6=1,Q$1=Units!$Q6),1,Inputs!$B$15)*Inputs!$B$16*(1+Inputs!$B$11)^(Q$2-1),0)</f>
        <v>515</v>
      </c>
      <c r="R7" s="11" t="n">
        <f aca="false">IF(AND(R$1&gt;=Units!$Q6,MOD(R$1-Units!$Q6,12)=0),IF(AND(Units!$L6=1,R$1=Units!$Q6),1,Inputs!$B$15)*Inputs!$B$16*(1+Inputs!$B$11)^(R$2-1),0)</f>
        <v>0</v>
      </c>
      <c r="S7" s="11" t="n">
        <f aca="false">IF(AND(S$1&gt;=Units!$Q6,MOD(S$1-Units!$Q6,12)=0),IF(AND(Units!$L6=1,S$1=Units!$Q6),1,Inputs!$B$15)*Inputs!$B$16*(1+Inputs!$B$11)^(S$2-1),0)</f>
        <v>0</v>
      </c>
      <c r="T7" s="11" t="n">
        <f aca="false">IF(AND(T$1&gt;=Units!$Q6,MOD(T$1-Units!$Q6,12)=0),IF(AND(Units!$L6=1,T$1=Units!$Q6),1,Inputs!$B$15)*Inputs!$B$16*(1+Inputs!$B$11)^(T$2-1),0)</f>
        <v>0</v>
      </c>
      <c r="U7" s="11" t="n">
        <f aca="false">IF(AND(U$1&gt;=Units!$Q6,MOD(U$1-Units!$Q6,12)=0),IF(AND(Units!$L6=1,U$1=Units!$Q6),1,Inputs!$B$15)*Inputs!$B$16*(1+Inputs!$B$11)^(U$2-1),0)</f>
        <v>0</v>
      </c>
      <c r="V7" s="11" t="n">
        <f aca="false">IF(AND(V$1&gt;=Units!$Q6,MOD(V$1-Units!$Q6,12)=0),IF(AND(Units!$L6=1,V$1=Units!$Q6),1,Inputs!$B$15)*Inputs!$B$16*(1+Inputs!$B$11)^(V$2-1),0)</f>
        <v>0</v>
      </c>
      <c r="W7" s="11" t="n">
        <f aca="false">IF(AND(W$1&gt;=Units!$Q6,MOD(W$1-Units!$Q6,12)=0),IF(AND(Units!$L6=1,W$1=Units!$Q6),1,Inputs!$B$15)*Inputs!$B$16*(1+Inputs!$B$11)^(W$2-1),0)</f>
        <v>0</v>
      </c>
      <c r="X7" s="11" t="n">
        <f aca="false">IF(AND(X$1&gt;=Units!$Q6,MOD(X$1-Units!$Q6,12)=0),IF(AND(Units!$L6=1,X$1=Units!$Q6),1,Inputs!$B$15)*Inputs!$B$16*(1+Inputs!$B$11)^(X$2-1),0)</f>
        <v>0</v>
      </c>
      <c r="Y7" s="11" t="n">
        <f aca="false">IF(AND(Y$1&gt;=Units!$Q6,MOD(Y$1-Units!$Q6,12)=0),IF(AND(Units!$L6=1,Y$1=Units!$Q6),1,Inputs!$B$15)*Inputs!$B$16*(1+Inputs!$B$11)^(Y$2-1),0)</f>
        <v>0</v>
      </c>
      <c r="Z7" s="11" t="n">
        <f aca="false">IF(AND(Z$1&gt;=Units!$Q6,MOD(Z$1-Units!$Q6,12)=0),IF(AND(Units!$L6=1,Z$1=Units!$Q6),1,Inputs!$B$15)*Inputs!$B$16*(1+Inputs!$B$11)^(Z$2-1),0)</f>
        <v>0</v>
      </c>
      <c r="AA7" s="11" t="n">
        <f aca="false">IF(AND(AA$1&gt;=Units!$Q6,MOD(AA$1-Units!$Q6,12)=0),IF(AND(Units!$L6=1,AA$1=Units!$Q6),1,Inputs!$B$15)*Inputs!$B$16*(1+Inputs!$B$11)^(AA$2-1),0)</f>
        <v>0</v>
      </c>
      <c r="AB7" s="11" t="n">
        <f aca="false">IF(AND(AB$1&gt;=Units!$Q6,MOD(AB$1-Units!$Q6,12)=0),IF(AND(Units!$L6=1,AB$1=Units!$Q6),1,Inputs!$B$15)*Inputs!$B$16*(1+Inputs!$B$11)^(AB$2-1),0)</f>
        <v>0</v>
      </c>
      <c r="AC7" s="11" t="n">
        <f aca="false">IF(AND(AC$1&gt;=Units!$Q6,MOD(AC$1-Units!$Q6,12)=0),IF(AND(Units!$L6=1,AC$1=Units!$Q6),1,Inputs!$B$15)*Inputs!$B$16*(1+Inputs!$B$11)^(AC$2-1),0)</f>
        <v>530.45</v>
      </c>
      <c r="AD7" s="11" t="n">
        <f aca="false">IF(AND(AD$1&gt;=Units!$Q6,MOD(AD$1-Units!$Q6,12)=0),IF(AND(Units!$L6=1,AD$1=Units!$Q6),1,Inputs!$B$15)*Inputs!$B$16*(1+Inputs!$B$11)^(AD$2-1),0)</f>
        <v>0</v>
      </c>
      <c r="AE7" s="11" t="n">
        <f aca="false">IF(AND(AE$1&gt;=Units!$Q6,MOD(AE$1-Units!$Q6,12)=0),IF(AND(Units!$L6=1,AE$1=Units!$Q6),1,Inputs!$B$15)*Inputs!$B$16*(1+Inputs!$B$11)^(AE$2-1),0)</f>
        <v>0</v>
      </c>
      <c r="AF7" s="11" t="n">
        <f aca="false">IF(AND(AF$1&gt;=Units!$Q6,MOD(AF$1-Units!$Q6,12)=0),IF(AND(Units!$L6=1,AF$1=Units!$Q6),1,Inputs!$B$15)*Inputs!$B$16*(1+Inputs!$B$11)^(AF$2-1),0)</f>
        <v>0</v>
      </c>
      <c r="AG7" s="11" t="n">
        <f aca="false">IF(AND(AG$1&gt;=Units!$Q6,MOD(AG$1-Units!$Q6,12)=0),IF(AND(Units!$L6=1,AG$1=Units!$Q6),1,Inputs!$B$15)*Inputs!$B$16*(1+Inputs!$B$11)^(AG$2-1),0)</f>
        <v>0</v>
      </c>
      <c r="AH7" s="11" t="n">
        <f aca="false">IF(AND(AH$1&gt;=Units!$Q6,MOD(AH$1-Units!$Q6,12)=0),IF(AND(Units!$L6=1,AH$1=Units!$Q6),1,Inputs!$B$15)*Inputs!$B$16*(1+Inputs!$B$11)^(AH$2-1),0)</f>
        <v>0</v>
      </c>
      <c r="AI7" s="11" t="n">
        <f aca="false">IF(AND(AI$1&gt;=Units!$Q6,MOD(AI$1-Units!$Q6,12)=0),IF(AND(Units!$L6=1,AI$1=Units!$Q6),1,Inputs!$B$15)*Inputs!$B$16*(1+Inputs!$B$11)^(AI$2-1),0)</f>
        <v>0</v>
      </c>
      <c r="AJ7" s="11" t="n">
        <f aca="false">IF(AND(AJ$1&gt;=Units!$Q6,MOD(AJ$1-Units!$Q6,12)=0),IF(AND(Units!$L6=1,AJ$1=Units!$Q6),1,Inputs!$B$15)*Inputs!$B$16*(1+Inputs!$B$11)^(AJ$2-1),0)</f>
        <v>0</v>
      </c>
      <c r="AK7" s="11" t="n">
        <f aca="false">IF(AND(AK$1&gt;=Units!$Q6,MOD(AK$1-Units!$Q6,12)=0),IF(AND(Units!$L6=1,AK$1=Units!$Q6),1,Inputs!$B$15)*Inputs!$B$16*(1+Inputs!$B$11)^(AK$2-1),0)</f>
        <v>0</v>
      </c>
      <c r="AL7" s="11" t="n">
        <f aca="false">IF(AND(AL$1&gt;=Units!$Q6,MOD(AL$1-Units!$Q6,12)=0),IF(AND(Units!$L6=1,AL$1=Units!$Q6),1,Inputs!$B$15)*Inputs!$B$16*(1+Inputs!$B$11)^(AL$2-1),0)</f>
        <v>0</v>
      </c>
      <c r="AM7" s="11" t="n">
        <f aca="false">IF(AND(AM$1&gt;=Units!$Q6,MOD(AM$1-Units!$Q6,12)=0),IF(AND(Units!$L6=1,AM$1=Units!$Q6),1,Inputs!$B$15)*Inputs!$B$16*(1+Inputs!$B$11)^(AM$2-1),0)</f>
        <v>0</v>
      </c>
      <c r="AN7" s="11" t="n">
        <f aca="false">IF(AND(AN$1&gt;=Units!$Q6,MOD(AN$1-Units!$Q6,12)=0),IF(AND(Units!$L6=1,AN$1=Units!$Q6),1,Inputs!$B$15)*Inputs!$B$16*(1+Inputs!$B$11)^(AN$2-1),0)</f>
        <v>0</v>
      </c>
      <c r="AO7" s="11" t="n">
        <f aca="false">IF(AND(AO$1&gt;=Units!$Q6,MOD(AO$1-Units!$Q6,12)=0),IF(AND(Units!$L6=1,AO$1=Units!$Q6),1,Inputs!$B$15)*Inputs!$B$16*(1+Inputs!$B$11)^(AO$2-1),0)</f>
        <v>546.3635</v>
      </c>
      <c r="AP7" s="11" t="n">
        <f aca="false">IF(AND(AP$1&gt;=Units!$Q6,MOD(AP$1-Units!$Q6,12)=0),IF(AND(Units!$L6=1,AP$1=Units!$Q6),1,Inputs!$B$15)*Inputs!$B$16*(1+Inputs!$B$11)^(AP$2-1),0)</f>
        <v>0</v>
      </c>
      <c r="AQ7" s="11" t="n">
        <f aca="false">IF(AND(AQ$1&gt;=Units!$Q6,MOD(AQ$1-Units!$Q6,12)=0),IF(AND(Units!$L6=1,AQ$1=Units!$Q6),1,Inputs!$B$15)*Inputs!$B$16*(1+Inputs!$B$11)^(AQ$2-1),0)</f>
        <v>0</v>
      </c>
      <c r="AR7" s="11" t="n">
        <f aca="false">IF(AND(AR$1&gt;=Units!$Q6,MOD(AR$1-Units!$Q6,12)=0),IF(AND(Units!$L6=1,AR$1=Units!$Q6),1,Inputs!$B$15)*Inputs!$B$16*(1+Inputs!$B$11)^(AR$2-1),0)</f>
        <v>0</v>
      </c>
      <c r="AS7" s="11" t="n">
        <f aca="false">IF(AND(AS$1&gt;=Units!$Q6,MOD(AS$1-Units!$Q6,12)=0),IF(AND(Units!$L6=1,AS$1=Units!$Q6),1,Inputs!$B$15)*Inputs!$B$16*(1+Inputs!$B$11)^(AS$2-1),0)</f>
        <v>0</v>
      </c>
      <c r="AT7" s="11" t="n">
        <f aca="false">IF(AND(AT$1&gt;=Units!$Q6,MOD(AT$1-Units!$Q6,12)=0),IF(AND(Units!$L6=1,AT$1=Units!$Q6),1,Inputs!$B$15)*Inputs!$B$16*(1+Inputs!$B$11)^(AT$2-1),0)</f>
        <v>0</v>
      </c>
      <c r="AU7" s="11" t="n">
        <f aca="false">IF(AND(AU$1&gt;=Units!$Q6,MOD(AU$1-Units!$Q6,12)=0),IF(AND(Units!$L6=1,AU$1=Units!$Q6),1,Inputs!$B$15)*Inputs!$B$16*(1+Inputs!$B$11)^(AU$2-1),0)</f>
        <v>0</v>
      </c>
      <c r="AV7" s="11" t="n">
        <f aca="false">IF(AND(AV$1&gt;=Units!$Q6,MOD(AV$1-Units!$Q6,12)=0),IF(AND(Units!$L6=1,AV$1=Units!$Q6),1,Inputs!$B$15)*Inputs!$B$16*(1+Inputs!$B$11)^(AV$2-1),0)</f>
        <v>0</v>
      </c>
      <c r="AW7" s="11" t="n">
        <f aca="false">IF(AND(AW$1&gt;=Units!$Q6,MOD(AW$1-Units!$Q6,12)=0),IF(AND(Units!$L6=1,AW$1=Units!$Q6),1,Inputs!$B$15)*Inputs!$B$16*(1+Inputs!$B$11)^(AW$2-1),0)</f>
        <v>0</v>
      </c>
      <c r="AX7" s="11" t="n">
        <f aca="false">IF(AND(AX$1&gt;=Units!$Q6,MOD(AX$1-Units!$Q6,12)=0),IF(AND(Units!$L6=1,AX$1=Units!$Q6),1,Inputs!$B$15)*Inputs!$B$16*(1+Inputs!$B$11)^(AX$2-1),0)</f>
        <v>0</v>
      </c>
      <c r="AY7" s="11" t="n">
        <f aca="false">IF(AND(AY$1&gt;=Units!$Q6,MOD(AY$1-Units!$Q6,12)=0),IF(AND(Units!$L6=1,AY$1=Units!$Q6),1,Inputs!$B$15)*Inputs!$B$16*(1+Inputs!$B$11)^(AY$2-1),0)</f>
        <v>0</v>
      </c>
      <c r="AZ7" s="11" t="n">
        <f aca="false">IF(AND(AZ$1&gt;=Units!$Q6,MOD(AZ$1-Units!$Q6,12)=0),IF(AND(Units!$L6=1,AZ$1=Units!$Q6),1,Inputs!$B$15)*Inputs!$B$16*(1+Inputs!$B$11)^(AZ$2-1),0)</f>
        <v>0</v>
      </c>
      <c r="BA7" s="11" t="n">
        <f aca="false">IF(AND(BA$1&gt;=Units!$Q6,MOD(BA$1-Units!$Q6,12)=0),IF(AND(Units!$L6=1,BA$1=Units!$Q6),1,Inputs!$B$15)*Inputs!$B$16*(1+Inputs!$B$11)^(BA$2-1),0)</f>
        <v>562.754405</v>
      </c>
      <c r="BB7" s="11" t="n">
        <f aca="false">IF(AND(BB$1&gt;=Units!$Q6,MOD(BB$1-Units!$Q6,12)=0),IF(AND(Units!$L6=1,BB$1=Units!$Q6),1,Inputs!$B$15)*Inputs!$B$16*(1+Inputs!$B$11)^(BB$2-1),0)</f>
        <v>0</v>
      </c>
      <c r="BC7" s="11" t="n">
        <f aca="false">IF(AND(BC$1&gt;=Units!$Q6,MOD(BC$1-Units!$Q6,12)=0),IF(AND(Units!$L6=1,BC$1=Units!$Q6),1,Inputs!$B$15)*Inputs!$B$16*(1+Inputs!$B$11)^(BC$2-1),0)</f>
        <v>0</v>
      </c>
      <c r="BD7" s="11" t="n">
        <f aca="false">IF(AND(BD$1&gt;=Units!$Q6,MOD(BD$1-Units!$Q6,12)=0),IF(AND(Units!$L6=1,BD$1=Units!$Q6),1,Inputs!$B$15)*Inputs!$B$16*(1+Inputs!$B$11)^(BD$2-1),0)</f>
        <v>0</v>
      </c>
      <c r="BE7" s="11" t="n">
        <f aca="false">IF(AND(BE$1&gt;=Units!$Q6,MOD(BE$1-Units!$Q6,12)=0),IF(AND(Units!$L6=1,BE$1=Units!$Q6),1,Inputs!$B$15)*Inputs!$B$16*(1+Inputs!$B$11)^(BE$2-1),0)</f>
        <v>0</v>
      </c>
      <c r="BF7" s="11" t="n">
        <f aca="false">IF(AND(BF$1&gt;=Units!$Q6,MOD(BF$1-Units!$Q6,12)=0),IF(AND(Units!$L6=1,BF$1=Units!$Q6),1,Inputs!$B$15)*Inputs!$B$16*(1+Inputs!$B$11)^(BF$2-1),0)</f>
        <v>0</v>
      </c>
      <c r="BG7" s="11" t="n">
        <f aca="false">IF(AND(BG$1&gt;=Units!$Q6,MOD(BG$1-Units!$Q6,12)=0),IF(AND(Units!$L6=1,BG$1=Units!$Q6),1,Inputs!$B$15)*Inputs!$B$16*(1+Inputs!$B$11)^(BG$2-1),0)</f>
        <v>0</v>
      </c>
      <c r="BH7" s="11" t="n">
        <f aca="false">IF(AND(BH$1&gt;=Units!$Q6,MOD(BH$1-Units!$Q6,12)=0),IF(AND(Units!$L6=1,BH$1=Units!$Q6),1,Inputs!$B$15)*Inputs!$B$16*(1+Inputs!$B$11)^(BH$2-1),0)</f>
        <v>0</v>
      </c>
      <c r="BI7" s="11" t="n">
        <f aca="false">IF(AND(BI$1&gt;=Units!$Q6,MOD(BI$1-Units!$Q6,12)=0),IF(AND(Units!$L6=1,BI$1=Units!$Q6),1,Inputs!$B$15)*Inputs!$B$16*(1+Inputs!$B$11)^(BI$2-1),0)</f>
        <v>0</v>
      </c>
      <c r="BJ7" s="11" t="n">
        <f aca="false">IF(AND(BJ$1&gt;=Units!$Q6,MOD(BJ$1-Units!$Q6,12)=0),IF(AND(Units!$L6=1,BJ$1=Units!$Q6),1,Inputs!$B$15)*Inputs!$B$16*(1+Inputs!$B$11)^(BJ$2-1),0)</f>
        <v>0</v>
      </c>
      <c r="BK7" s="11" t="n">
        <f aca="false">IF(AND(BK$1&gt;=Units!$Q6,MOD(BK$1-Units!$Q6,12)=0),IF(AND(Units!$L6=1,BK$1=Units!$Q6),1,Inputs!$B$15)*Inputs!$B$16*(1+Inputs!$B$11)^(BK$2-1),0)</f>
        <v>0</v>
      </c>
      <c r="BL7" s="11" t="n">
        <f aca="false">IF(AND(BL$1&gt;=Units!$Q6,MOD(BL$1-Units!$Q6,12)=0),IF(AND(Units!$L6=1,BL$1=Units!$Q6),1,Inputs!$B$15)*Inputs!$B$16*(1+Inputs!$B$11)^(BL$2-1),0)</f>
        <v>0</v>
      </c>
      <c r="BM7" s="11" t="n">
        <f aca="false">IF(AND(BM$1&gt;=Units!$Q6,MOD(BM$1-Units!$Q6,12)=0),IF(AND(Units!$L6=1,BM$1=Units!$Q6),1,Inputs!$B$15)*Inputs!$B$16*(1+Inputs!$B$11)^(BM$2-1),0)</f>
        <v>579.63703715</v>
      </c>
      <c r="BN7" s="11" t="n">
        <f aca="false">IF(AND(BN$1&gt;=Units!$Q6,MOD(BN$1-Units!$Q6,12)=0),IF(AND(Units!$L6=1,BN$1=Units!$Q6),1,Inputs!$B$15)*Inputs!$B$16*(1+Inputs!$B$11)^(BN$2-1),0)</f>
        <v>0</v>
      </c>
      <c r="BO7" s="11" t="n">
        <f aca="false">IF(AND(BO$1&gt;=Units!$Q6,MOD(BO$1-Units!$Q6,12)=0),IF(AND(Units!$L6=1,BO$1=Units!$Q6),1,Inputs!$B$15)*Inputs!$B$16*(1+Inputs!$B$11)^(BO$2-1),0)</f>
        <v>0</v>
      </c>
      <c r="BP7" s="11" t="n">
        <f aca="false">IF(AND(BP$1&gt;=Units!$Q6,MOD(BP$1-Units!$Q6,12)=0),IF(AND(Units!$L6=1,BP$1=Units!$Q6),1,Inputs!$B$15)*Inputs!$B$16*(1+Inputs!$B$11)^(BP$2-1),0)</f>
        <v>0</v>
      </c>
      <c r="BQ7" s="11" t="n">
        <f aca="false">IF(AND(BQ$1&gt;=Units!$Q6,MOD(BQ$1-Units!$Q6,12)=0),IF(AND(Units!$L6=1,BQ$1=Units!$Q6),1,Inputs!$B$15)*Inputs!$B$16*(1+Inputs!$B$11)^(BQ$2-1),0)</f>
        <v>0</v>
      </c>
      <c r="BR7" s="11" t="n">
        <f aca="false">IF(AND(BR$1&gt;=Units!$Q6,MOD(BR$1-Units!$Q6,12)=0),IF(AND(Units!$L6=1,BR$1=Units!$Q6),1,Inputs!$B$15)*Inputs!$B$16*(1+Inputs!$B$11)^(BR$2-1),0)</f>
        <v>0</v>
      </c>
      <c r="BS7" s="11" t="n">
        <f aca="false">IF(AND(BS$1&gt;=Units!$Q6,MOD(BS$1-Units!$Q6,12)=0),IF(AND(Units!$L6=1,BS$1=Units!$Q6),1,Inputs!$B$15)*Inputs!$B$16*(1+Inputs!$B$11)^(BS$2-1),0)</f>
        <v>0</v>
      </c>
      <c r="BT7" s="11" t="n">
        <f aca="false">IF(AND(BT$1&gt;=Units!$Q6,MOD(BT$1-Units!$Q6,12)=0),IF(AND(Units!$L6=1,BT$1=Units!$Q6),1,Inputs!$B$15)*Inputs!$B$16*(1+Inputs!$B$11)^(BT$2-1),0)</f>
        <v>0</v>
      </c>
      <c r="BU7" s="11" t="n">
        <f aca="false">IF(AND(BU$1&gt;=Units!$Q6,MOD(BU$1-Units!$Q6,12)=0),IF(AND(Units!$L6=1,BU$1=Units!$Q6),1,Inputs!$B$15)*Inputs!$B$16*(1+Inputs!$B$11)^(BU$2-1),0)</f>
        <v>0</v>
      </c>
      <c r="BV7" s="11" t="n">
        <f aca="false">IF(AND(BV$1&gt;=Units!$Q6,MOD(BV$1-Units!$Q6,12)=0),IF(AND(Units!$L6=1,BV$1=Units!$Q6),1,Inputs!$B$15)*Inputs!$B$16*(1+Inputs!$B$11)^(BV$2-1),0)</f>
        <v>0</v>
      </c>
      <c r="BW7" s="11" t="n">
        <f aca="false">IF(AND(BW$1&gt;=Units!$Q6,MOD(BW$1-Units!$Q6,12)=0),IF(AND(Units!$L6=1,BW$1=Units!$Q6),1,Inputs!$B$15)*Inputs!$B$16*(1+Inputs!$B$11)^(BW$2-1),0)</f>
        <v>0</v>
      </c>
      <c r="BX7" s="11" t="n">
        <f aca="false">IF(AND(BX$1&gt;=Units!$Q6,MOD(BX$1-Units!$Q6,12)=0),IF(AND(Units!$L6=1,BX$1=Units!$Q6),1,Inputs!$B$15)*Inputs!$B$16*(1+Inputs!$B$11)^(BX$2-1),0)</f>
        <v>0</v>
      </c>
      <c r="BY7" s="11" t="n">
        <f aca="false">IF(AND(BY$1&gt;=Units!$Q6,MOD(BY$1-Units!$Q6,12)=0),IF(AND(Units!$L6=1,BY$1=Units!$Q6),1,Inputs!$B$15)*Inputs!$B$16*(1+Inputs!$B$11)^(BY$2-1),0)</f>
        <v>597.0261482645</v>
      </c>
      <c r="BZ7" s="11" t="n">
        <f aca="false">IF(AND(BZ$1&gt;=Units!$Q6,MOD(BZ$1-Units!$Q6,12)=0),IF(AND(Units!$L6=1,BZ$1=Units!$Q6),1,Inputs!$B$15)*Inputs!$B$16*(1+Inputs!$B$11)^(BZ$2-1),0)</f>
        <v>0</v>
      </c>
      <c r="CA7" s="11" t="n">
        <f aca="false">IF(AND(CA$1&gt;=Units!$Q6,MOD(CA$1-Units!$Q6,12)=0),IF(AND(Units!$L6=1,CA$1=Units!$Q6),1,Inputs!$B$15)*Inputs!$B$16*(1+Inputs!$B$11)^(CA$2-1),0)</f>
        <v>0</v>
      </c>
      <c r="CB7" s="11" t="n">
        <f aca="false">IF(AND(CB$1&gt;=Units!$Q6,MOD(CB$1-Units!$Q6,12)=0),IF(AND(Units!$L6=1,CB$1=Units!$Q6),1,Inputs!$B$15)*Inputs!$B$16*(1+Inputs!$B$11)^(CB$2-1),0)</f>
        <v>0</v>
      </c>
      <c r="CC7" s="11" t="n">
        <f aca="false">IF(AND(CC$1&gt;=Units!$Q6,MOD(CC$1-Units!$Q6,12)=0),IF(AND(Units!$L6=1,CC$1=Units!$Q6),1,Inputs!$B$15)*Inputs!$B$16*(1+Inputs!$B$11)^(CC$2-1),0)</f>
        <v>0</v>
      </c>
      <c r="CD7" s="11" t="n">
        <f aca="false">IF(AND(CD$1&gt;=Units!$Q6,MOD(CD$1-Units!$Q6,12)=0),IF(AND(Units!$L6=1,CD$1=Units!$Q6),1,Inputs!$B$15)*Inputs!$B$16*(1+Inputs!$B$11)^(CD$2-1),0)</f>
        <v>0</v>
      </c>
      <c r="CE7" s="11" t="n">
        <f aca="false">IF(AND(CE$1&gt;=Units!$Q6,MOD(CE$1-Units!$Q6,12)=0),IF(AND(Units!$L6=1,CE$1=Units!$Q6),1,Inputs!$B$15)*Inputs!$B$16*(1+Inputs!$B$11)^(CE$2-1),0)</f>
        <v>0</v>
      </c>
      <c r="CF7" s="11" t="n">
        <f aca="false">IF(AND(CF$1&gt;=Units!$Q6,MOD(CF$1-Units!$Q6,12)=0),IF(AND(Units!$L6=1,CF$1=Units!$Q6),1,Inputs!$B$15)*Inputs!$B$16*(1+Inputs!$B$11)^(CF$2-1),0)</f>
        <v>0</v>
      </c>
      <c r="CG7" s="11" t="n">
        <f aca="false">IF(AND(CG$1&gt;=Units!$Q6,MOD(CG$1-Units!$Q6,12)=0),IF(AND(Units!$L6=1,CG$1=Units!$Q6),1,Inputs!$B$15)*Inputs!$B$16*(1+Inputs!$B$11)^(CG$2-1),0)</f>
        <v>0</v>
      </c>
      <c r="CH7" s="11" t="n">
        <f aca="false">IF(AND(CH$1&gt;=Units!$Q6,MOD(CH$1-Units!$Q6,12)=0),IF(AND(Units!$L6=1,CH$1=Units!$Q6),1,Inputs!$B$15)*Inputs!$B$16*(1+Inputs!$B$11)^(CH$2-1),0)</f>
        <v>0</v>
      </c>
      <c r="CI7" s="11" t="n">
        <f aca="false">IF(AND(CI$1&gt;=Units!$Q6,MOD(CI$1-Units!$Q6,12)=0),IF(AND(Units!$L6=1,CI$1=Units!$Q6),1,Inputs!$B$15)*Inputs!$B$16*(1+Inputs!$B$11)^(CI$2-1),0)</f>
        <v>0</v>
      </c>
      <c r="CJ7" s="11" t="n">
        <f aca="false">IF(AND(CJ$1&gt;=Units!$Q6,MOD(CJ$1-Units!$Q6,12)=0),IF(AND(Units!$L6=1,CJ$1=Units!$Q6),1,Inputs!$B$15)*Inputs!$B$16*(1+Inputs!$B$11)^(CJ$2-1),0)</f>
        <v>0</v>
      </c>
      <c r="CK7" s="11" t="n">
        <f aca="false">IF(AND(CK$1&gt;=Units!$Q6,MOD(CK$1-Units!$Q6,12)=0),IF(AND(Units!$L6=1,CK$1=Units!$Q6),1,Inputs!$B$15)*Inputs!$B$16*(1+Inputs!$B$11)^(CK$2-1),0)</f>
        <v>614.936932712435</v>
      </c>
      <c r="CL7" s="11" t="n">
        <f aca="false">IF(AND(CL$1&gt;=Units!$Q6,MOD(CL$1-Units!$Q6,12)=0),IF(AND(Units!$L6=1,CL$1=Units!$Q6),1,Inputs!$B$15)*Inputs!$B$16*(1+Inputs!$B$11)^(CL$2-1),0)</f>
        <v>0</v>
      </c>
      <c r="CM7" s="11" t="n">
        <f aca="false">IF(AND(CM$1&gt;=Units!$Q6,MOD(CM$1-Units!$Q6,12)=0),IF(AND(Units!$L6=1,CM$1=Units!$Q6),1,Inputs!$B$15)*Inputs!$B$16*(1+Inputs!$B$11)^(CM$2-1),0)</f>
        <v>0</v>
      </c>
      <c r="CN7" s="11" t="n">
        <f aca="false">IF(AND(CN$1&gt;=Units!$Q6,MOD(CN$1-Units!$Q6,12)=0),IF(AND(Units!$L6=1,CN$1=Units!$Q6),1,Inputs!$B$15)*Inputs!$B$16*(1+Inputs!$B$11)^(CN$2-1),0)</f>
        <v>0</v>
      </c>
      <c r="CO7" s="11" t="n">
        <f aca="false">IF(AND(CO$1&gt;=Units!$Q6,MOD(CO$1-Units!$Q6,12)=0),IF(AND(Units!$L6=1,CO$1=Units!$Q6),1,Inputs!$B$15)*Inputs!$B$16*(1+Inputs!$B$11)^(CO$2-1),0)</f>
        <v>0</v>
      </c>
      <c r="CP7" s="11" t="n">
        <f aca="false">IF(AND(CP$1&gt;=Units!$Q6,MOD(CP$1-Units!$Q6,12)=0),IF(AND(Units!$L6=1,CP$1=Units!$Q6),1,Inputs!$B$15)*Inputs!$B$16*(1+Inputs!$B$11)^(CP$2-1),0)</f>
        <v>0</v>
      </c>
      <c r="CQ7" s="11" t="n">
        <f aca="false">IF(AND(CQ$1&gt;=Units!$Q6,MOD(CQ$1-Units!$Q6,12)=0),IF(AND(Units!$L6=1,CQ$1=Units!$Q6),1,Inputs!$B$15)*Inputs!$B$16*(1+Inputs!$B$11)^(CQ$2-1),0)</f>
        <v>0</v>
      </c>
      <c r="CR7" s="11" t="n">
        <f aca="false">IF(AND(CR$1&gt;=Units!$Q6,MOD(CR$1-Units!$Q6,12)=0),IF(AND(Units!$L6=1,CR$1=Units!$Q6),1,Inputs!$B$15)*Inputs!$B$16*(1+Inputs!$B$11)^(CR$2-1),0)</f>
        <v>0</v>
      </c>
      <c r="CS7" s="11" t="n">
        <f aca="false">IF(AND(CS$1&gt;=Units!$Q6,MOD(CS$1-Units!$Q6,12)=0),IF(AND(Units!$L6=1,CS$1=Units!$Q6),1,Inputs!$B$15)*Inputs!$B$16*(1+Inputs!$B$11)^(CS$2-1),0)</f>
        <v>0</v>
      </c>
      <c r="CT7" s="11" t="n">
        <f aca="false">IF(AND(CT$1&gt;=Units!$Q6,MOD(CT$1-Units!$Q6,12)=0),IF(AND(Units!$L6=1,CT$1=Units!$Q6),1,Inputs!$B$15)*Inputs!$B$16*(1+Inputs!$B$11)^(CT$2-1),0)</f>
        <v>0</v>
      </c>
      <c r="CU7" s="11" t="n">
        <f aca="false">IF(AND(CU$1&gt;=Units!$Q6,MOD(CU$1-Units!$Q6,12)=0),IF(AND(Units!$L6=1,CU$1=Units!$Q6),1,Inputs!$B$15)*Inputs!$B$16*(1+Inputs!$B$11)^(CU$2-1),0)</f>
        <v>0</v>
      </c>
      <c r="CV7" s="11" t="n">
        <f aca="false">IF(AND(CV$1&gt;=Units!$Q6,MOD(CV$1-Units!$Q6,12)=0),IF(AND(Units!$L6=1,CV$1=Units!$Q6),1,Inputs!$B$15)*Inputs!$B$16*(1+Inputs!$B$11)^(CV$2-1),0)</f>
        <v>0</v>
      </c>
      <c r="CW7" s="11" t="n">
        <f aca="false">IF(AND(CW$1&gt;=Units!$Q6,MOD(CW$1-Units!$Q6,12)=0),IF(AND(Units!$L6=1,CW$1=Units!$Q6),1,Inputs!$B$15)*Inputs!$B$16*(1+Inputs!$B$11)^(CW$2-1),0)</f>
        <v>633.385040693808</v>
      </c>
      <c r="CX7" s="11" t="n">
        <f aca="false">IF(AND(CX$1&gt;=Units!$Q6,MOD(CX$1-Units!$Q6,12)=0),IF(AND(Units!$L6=1,CX$1=Units!$Q6),1,Inputs!$B$15)*Inputs!$B$16*(1+Inputs!$B$11)^(CX$2-1),0)</f>
        <v>0</v>
      </c>
      <c r="CY7" s="11" t="n">
        <f aca="false">IF(AND(CY$1&gt;=Units!$Q6,MOD(CY$1-Units!$Q6,12)=0),IF(AND(Units!$L6=1,CY$1=Units!$Q6),1,Inputs!$B$15)*Inputs!$B$16*(1+Inputs!$B$11)^(CY$2-1),0)</f>
        <v>0</v>
      </c>
      <c r="CZ7" s="11" t="n">
        <f aca="false">IF(AND(CZ$1&gt;=Units!$Q6,MOD(CZ$1-Units!$Q6,12)=0),IF(AND(Units!$L6=1,CZ$1=Units!$Q6),1,Inputs!$B$15)*Inputs!$B$16*(1+Inputs!$B$11)^(CZ$2-1),0)</f>
        <v>0</v>
      </c>
      <c r="DA7" s="11" t="n">
        <f aca="false">IF(AND(DA$1&gt;=Units!$Q6,MOD(DA$1-Units!$Q6,12)=0),IF(AND(Units!$L6=1,DA$1=Units!$Q6),1,Inputs!$B$15)*Inputs!$B$16*(1+Inputs!$B$11)^(DA$2-1),0)</f>
        <v>0</v>
      </c>
      <c r="DB7" s="11" t="n">
        <f aca="false">IF(AND(DB$1&gt;=Units!$Q6,MOD(DB$1-Units!$Q6,12)=0),IF(AND(Units!$L6=1,DB$1=Units!$Q6),1,Inputs!$B$15)*Inputs!$B$16*(1+Inputs!$B$11)^(DB$2-1),0)</f>
        <v>0</v>
      </c>
      <c r="DC7" s="11" t="n">
        <f aca="false">IF(AND(DC$1&gt;=Units!$Q6,MOD(DC$1-Units!$Q6,12)=0),IF(AND(Units!$L6=1,DC$1=Units!$Q6),1,Inputs!$B$15)*Inputs!$B$16*(1+Inputs!$B$11)^(DC$2-1),0)</f>
        <v>0</v>
      </c>
      <c r="DD7" s="11" t="n">
        <f aca="false">IF(AND(DD$1&gt;=Units!$Q6,MOD(DD$1-Units!$Q6,12)=0),IF(AND(Units!$L6=1,DD$1=Units!$Q6),1,Inputs!$B$15)*Inputs!$B$16*(1+Inputs!$B$11)^(DD$2-1),0)</f>
        <v>0</v>
      </c>
      <c r="DE7" s="11" t="n">
        <f aca="false">IF(AND(DE$1&gt;=Units!$Q6,MOD(DE$1-Units!$Q6,12)=0),IF(AND(Units!$L6=1,DE$1=Units!$Q6),1,Inputs!$B$15)*Inputs!$B$16*(1+Inputs!$B$11)^(DE$2-1),0)</f>
        <v>0</v>
      </c>
      <c r="DF7" s="11" t="n">
        <f aca="false">IF(AND(DF$1&gt;=Units!$Q6,MOD(DF$1-Units!$Q6,12)=0),IF(AND(Units!$L6=1,DF$1=Units!$Q6),1,Inputs!$B$15)*Inputs!$B$16*(1+Inputs!$B$11)^(DF$2-1),0)</f>
        <v>0</v>
      </c>
      <c r="DG7" s="11" t="n">
        <f aca="false">IF(AND(DG$1&gt;=Units!$Q6,MOD(DG$1-Units!$Q6,12)=0),IF(AND(Units!$L6=1,DG$1=Units!$Q6),1,Inputs!$B$15)*Inputs!$B$16*(1+Inputs!$B$11)^(DG$2-1),0)</f>
        <v>0</v>
      </c>
      <c r="DH7" s="11" t="n">
        <f aca="false">IF(AND(DH$1&gt;=Units!$Q6,MOD(DH$1-Units!$Q6,12)=0),IF(AND(Units!$L6=1,DH$1=Units!$Q6),1,Inputs!$B$15)*Inputs!$B$16*(1+Inputs!$B$11)^(DH$2-1),0)</f>
        <v>0</v>
      </c>
      <c r="DI7" s="11" t="n">
        <f aca="false">IF(AND(DI$1&gt;=Units!$Q6,MOD(DI$1-Units!$Q6,12)=0),IF(AND(Units!$L6=1,DI$1=Units!$Q6),1,Inputs!$B$15)*Inputs!$B$16*(1+Inputs!$B$11)^(DI$2-1),0)</f>
        <v>652.386591914623</v>
      </c>
      <c r="DJ7" s="11" t="n">
        <f aca="false">IF(AND(DJ$1&gt;=Units!$Q6,MOD(DJ$1-Units!$Q6,12)=0),IF(AND(Units!$L6=1,DJ$1=Units!$Q6),1,Inputs!$B$15)*Inputs!$B$16*(1+Inputs!$B$11)^(DJ$2-1),0)</f>
        <v>0</v>
      </c>
      <c r="DK7" s="11" t="n">
        <f aca="false">IF(AND(DK$1&gt;=Units!$Q6,MOD(DK$1-Units!$Q6,12)=0),IF(AND(Units!$L6=1,DK$1=Units!$Q6),1,Inputs!$B$15)*Inputs!$B$16*(1+Inputs!$B$11)^(DK$2-1),0)</f>
        <v>0</v>
      </c>
      <c r="DL7" s="11" t="n">
        <f aca="false">IF(AND(DL$1&gt;=Units!$Q6,MOD(DL$1-Units!$Q6,12)=0),IF(AND(Units!$L6=1,DL$1=Units!$Q6),1,Inputs!$B$15)*Inputs!$B$16*(1+Inputs!$B$11)^(DL$2-1),0)</f>
        <v>0</v>
      </c>
      <c r="DM7" s="11" t="n">
        <f aca="false">IF(AND(DM$1&gt;=Units!$Q6,MOD(DM$1-Units!$Q6,12)=0),IF(AND(Units!$L6=1,DM$1=Units!$Q6),1,Inputs!$B$15)*Inputs!$B$16*(1+Inputs!$B$11)^(DM$2-1),0)</f>
        <v>0</v>
      </c>
      <c r="DN7" s="11" t="n">
        <f aca="false">IF(AND(DN$1&gt;=Units!$Q6,MOD(DN$1-Units!$Q6,12)=0),IF(AND(Units!$L6=1,DN$1=Units!$Q6),1,Inputs!$B$15)*Inputs!$B$16*(1+Inputs!$B$11)^(DN$2-1),0)</f>
        <v>0</v>
      </c>
      <c r="DO7" s="11" t="n">
        <f aca="false">IF(AND(DO$1&gt;=Units!$Q6,MOD(DO$1-Units!$Q6,12)=0),IF(AND(Units!$L6=1,DO$1=Units!$Q6),1,Inputs!$B$15)*Inputs!$B$16*(1+Inputs!$B$11)^(DO$2-1),0)</f>
        <v>0</v>
      </c>
      <c r="DP7" s="11" t="n">
        <f aca="false">IF(AND(DP$1&gt;=Units!$Q6,MOD(DP$1-Units!$Q6,12)=0),IF(AND(Units!$L6=1,DP$1=Units!$Q6),1,Inputs!$B$15)*Inputs!$B$16*(1+Inputs!$B$11)^(DP$2-1),0)</f>
        <v>0</v>
      </c>
      <c r="DQ7" s="11" t="n">
        <f aca="false">IF(AND(DQ$1&gt;=Units!$Q6,MOD(DQ$1-Units!$Q6,12)=0),IF(AND(Units!$L6=1,DQ$1=Units!$Q6),1,Inputs!$B$15)*Inputs!$B$16*(1+Inputs!$B$11)^(DQ$2-1),0)</f>
        <v>0</v>
      </c>
      <c r="DR7" s="11" t="n">
        <f aca="false">IF(AND(DR$1&gt;=Units!$Q6,MOD(DR$1-Units!$Q6,12)=0),IF(AND(Units!$L6=1,DR$1=Units!$Q6),1,Inputs!$B$15)*Inputs!$B$16*(1+Inputs!$B$11)^(DR$2-1),0)</f>
        <v>0</v>
      </c>
      <c r="DS7" s="11" t="n">
        <f aca="false">IF(AND(DS$1&gt;=Units!$Q6,MOD(DS$1-Units!$Q6,12)=0),IF(AND(Units!$L6=1,DS$1=Units!$Q6),1,Inputs!$B$15)*Inputs!$B$16*(1+Inputs!$B$11)^(DS$2-1),0)</f>
        <v>0</v>
      </c>
      <c r="DT7" s="11" t="n">
        <f aca="false">IF(AND(DT$1&gt;=Units!$Q6,MOD(DT$1-Units!$Q6,12)=0),IF(AND(Units!$L6=1,DT$1=Units!$Q6),1,Inputs!$B$15)*Inputs!$B$16*(1+Inputs!$B$11)^(DT$2-1),0)</f>
        <v>0</v>
      </c>
      <c r="DU7" s="11" t="n">
        <f aca="false">IF(AND(DU$1&gt;=Units!$Q6,MOD(DU$1-Units!$Q6,12)=0),IF(AND(Units!$L6=1,DU$1=Units!$Q6),1,Inputs!$B$15)*Inputs!$B$16*(1+Inputs!$B$11)^(DU$2-1),0)</f>
        <v>671.958189672061</v>
      </c>
      <c r="DV7" s="11" t="n">
        <f aca="false">IF(AND(DV$1&gt;=Units!$Q6,MOD(DV$1-Units!$Q6,12)=0),IF(AND(Units!$L6=1,DV$1=Units!$Q6),1,Inputs!$B$15)*Inputs!$B$16*(1+Inputs!$B$11)^(DV$2-1),0)</f>
        <v>0</v>
      </c>
      <c r="DW7" s="11" t="n">
        <f aca="false">IF(AND(DW$1&gt;=Units!$Q6,MOD(DW$1-Units!$Q6,12)=0),IF(AND(Units!$L6=1,DW$1=Units!$Q6),1,Inputs!$B$15)*Inputs!$B$16*(1+Inputs!$B$11)^(DW$2-1),0)</f>
        <v>0</v>
      </c>
      <c r="DX7" s="11" t="n">
        <f aca="false">IF(AND(DX$1&gt;=Units!$Q6,MOD(DX$1-Units!$Q6,12)=0),IF(AND(Units!$L6=1,DX$1=Units!$Q6),1,Inputs!$B$15)*Inputs!$B$16*(1+Inputs!$B$11)^(DX$2-1),0)</f>
        <v>0</v>
      </c>
      <c r="DY7" s="11" t="n">
        <f aca="false">IF(AND(DY$1&gt;=Units!$Q6,MOD(DY$1-Units!$Q6,12)=0),IF(AND(Units!$L6=1,DY$1=Units!$Q6),1,Inputs!$B$15)*Inputs!$B$16*(1+Inputs!$B$11)^(DY$2-1),0)</f>
        <v>0</v>
      </c>
      <c r="DZ7" s="11" t="n">
        <f aca="false">IF(AND(DZ$1&gt;=Units!$Q6,MOD(DZ$1-Units!$Q6,12)=0),IF(AND(Units!$L6=1,DZ$1=Units!$Q6),1,Inputs!$B$15)*Inputs!$B$16*(1+Inputs!$B$11)^(DZ$2-1),0)</f>
        <v>0</v>
      </c>
      <c r="EA7" s="11" t="n">
        <f aca="false">IF(AND(EA$1&gt;=Units!$Q6,MOD(EA$1-Units!$Q6,12)=0),IF(AND(Units!$L6=1,EA$1=Units!$Q6),1,Inputs!$B$15)*Inputs!$B$16*(1+Inputs!$B$11)^(EA$2-1),0)</f>
        <v>0</v>
      </c>
      <c r="EB7" s="11" t="n">
        <f aca="false">IF(AND(EB$1&gt;=Units!$Q6,MOD(EB$1-Units!$Q6,12)=0),IF(AND(Units!$L6=1,EB$1=Units!$Q6),1,Inputs!$B$15)*Inputs!$B$16*(1+Inputs!$B$11)^(EB$2-1),0)</f>
        <v>0</v>
      </c>
      <c r="EC7" s="11" t="n">
        <f aca="false">IF(AND(EC$1&gt;=Units!$Q6,MOD(EC$1-Units!$Q6,12)=0),IF(AND(Units!$L6=1,EC$1=Units!$Q6),1,Inputs!$B$15)*Inputs!$B$16*(1+Inputs!$B$11)^(EC$2-1),0)</f>
        <v>0</v>
      </c>
      <c r="ED7" s="11" t="n">
        <f aca="false">IF(AND(ED$1&gt;=Units!$Q6,MOD(ED$1-Units!$Q6,12)=0),IF(AND(Units!$L6=1,ED$1=Units!$Q6),1,Inputs!$B$15)*Inputs!$B$16*(1+Inputs!$B$11)^(ED$2-1),0)</f>
        <v>0</v>
      </c>
    </row>
    <row r="8" customFormat="false" ht="15" hidden="false" customHeight="false" outlineLevel="0" collapsed="false">
      <c r="A8" s="22" t="n">
        <f aca="false">Units!A7</f>
        <v>106</v>
      </c>
      <c r="B8" s="23"/>
      <c r="C8" s="11" t="n">
        <f aca="false">IF(AND(C$1&gt;=Units!$Q7,MOD(C$1-Units!$Q7,12)=0),IF(AND(Units!$L7=1,C$1=Units!$Q7),1,Inputs!$B$15)*Inputs!$B$16*(1+Inputs!$B$11)^(C$2-1),0)</f>
        <v>0</v>
      </c>
      <c r="D8" s="11" t="n">
        <f aca="false">IF(AND(D$1&gt;=Units!$Q7,MOD(D$1-Units!$Q7,12)=0),IF(AND(Units!$L7=1,D$1=Units!$Q7),1,Inputs!$B$15)*Inputs!$B$16*(1+Inputs!$B$11)^(D$2-1),0)</f>
        <v>0</v>
      </c>
      <c r="E8" s="11" t="n">
        <f aca="false">IF(AND(E$1&gt;=Units!$Q7,MOD(E$1-Units!$Q7,12)=0),IF(AND(Units!$L7=1,E$1=Units!$Q7),1,Inputs!$B$15)*Inputs!$B$16*(1+Inputs!$B$11)^(E$2-1),0)</f>
        <v>0</v>
      </c>
      <c r="F8" s="11" t="n">
        <f aca="false">IF(AND(F$1&gt;=Units!$Q7,MOD(F$1-Units!$Q7,12)=0),IF(AND(Units!$L7=1,F$1=Units!$Q7),1,Inputs!$B$15)*Inputs!$B$16*(1+Inputs!$B$11)^(F$2-1),0)</f>
        <v>500</v>
      </c>
      <c r="G8" s="11" t="n">
        <f aca="false">IF(AND(G$1&gt;=Units!$Q7,MOD(G$1-Units!$Q7,12)=0),IF(AND(Units!$L7=1,G$1=Units!$Q7),1,Inputs!$B$15)*Inputs!$B$16*(1+Inputs!$B$11)^(G$2-1),0)</f>
        <v>0</v>
      </c>
      <c r="H8" s="11" t="n">
        <f aca="false">IF(AND(H$1&gt;=Units!$Q7,MOD(H$1-Units!$Q7,12)=0),IF(AND(Units!$L7=1,H$1=Units!$Q7),1,Inputs!$B$15)*Inputs!$B$16*(1+Inputs!$B$11)^(H$2-1),0)</f>
        <v>0</v>
      </c>
      <c r="I8" s="11" t="n">
        <f aca="false">IF(AND(I$1&gt;=Units!$Q7,MOD(I$1-Units!$Q7,12)=0),IF(AND(Units!$L7=1,I$1=Units!$Q7),1,Inputs!$B$15)*Inputs!$B$16*(1+Inputs!$B$11)^(I$2-1),0)</f>
        <v>0</v>
      </c>
      <c r="J8" s="11" t="n">
        <f aca="false">IF(AND(J$1&gt;=Units!$Q7,MOD(J$1-Units!$Q7,12)=0),IF(AND(Units!$L7=1,J$1=Units!$Q7),1,Inputs!$B$15)*Inputs!$B$16*(1+Inputs!$B$11)^(J$2-1),0)</f>
        <v>0</v>
      </c>
      <c r="K8" s="11" t="n">
        <f aca="false">IF(AND(K$1&gt;=Units!$Q7,MOD(K$1-Units!$Q7,12)=0),IF(AND(Units!$L7=1,K$1=Units!$Q7),1,Inputs!$B$15)*Inputs!$B$16*(1+Inputs!$B$11)^(K$2-1),0)</f>
        <v>0</v>
      </c>
      <c r="L8" s="11" t="n">
        <f aca="false">IF(AND(L$1&gt;=Units!$Q7,MOD(L$1-Units!$Q7,12)=0),IF(AND(Units!$L7=1,L$1=Units!$Q7),1,Inputs!$B$15)*Inputs!$B$16*(1+Inputs!$B$11)^(L$2-1),0)</f>
        <v>0</v>
      </c>
      <c r="M8" s="11" t="n">
        <f aca="false">IF(AND(M$1&gt;=Units!$Q7,MOD(M$1-Units!$Q7,12)=0),IF(AND(Units!$L7=1,M$1=Units!$Q7),1,Inputs!$B$15)*Inputs!$B$16*(1+Inputs!$B$11)^(M$2-1),0)</f>
        <v>0</v>
      </c>
      <c r="N8" s="11" t="n">
        <f aca="false">IF(AND(N$1&gt;=Units!$Q7,MOD(N$1-Units!$Q7,12)=0),IF(AND(Units!$L7=1,N$1=Units!$Q7),1,Inputs!$B$15)*Inputs!$B$16*(1+Inputs!$B$11)^(N$2-1),0)</f>
        <v>0</v>
      </c>
      <c r="O8" s="11" t="n">
        <f aca="false">IF(AND(O$1&gt;=Units!$Q7,MOD(O$1-Units!$Q7,12)=0),IF(AND(Units!$L7=1,O$1=Units!$Q7),1,Inputs!$B$15)*Inputs!$B$16*(1+Inputs!$B$11)^(O$2-1),0)</f>
        <v>0</v>
      </c>
      <c r="P8" s="11" t="n">
        <f aca="false">IF(AND(P$1&gt;=Units!$Q7,MOD(P$1-Units!$Q7,12)=0),IF(AND(Units!$L7=1,P$1=Units!$Q7),1,Inputs!$B$15)*Inputs!$B$16*(1+Inputs!$B$11)^(P$2-1),0)</f>
        <v>0</v>
      </c>
      <c r="Q8" s="11" t="n">
        <f aca="false">IF(AND(Q$1&gt;=Units!$Q7,MOD(Q$1-Units!$Q7,12)=0),IF(AND(Units!$L7=1,Q$1=Units!$Q7),1,Inputs!$B$15)*Inputs!$B$16*(1+Inputs!$B$11)^(Q$2-1),0)</f>
        <v>0</v>
      </c>
      <c r="R8" s="11" t="n">
        <f aca="false">IF(AND(R$1&gt;=Units!$Q7,MOD(R$1-Units!$Q7,12)=0),IF(AND(Units!$L7=1,R$1=Units!$Q7),1,Inputs!$B$15)*Inputs!$B$16*(1+Inputs!$B$11)^(R$2-1),0)</f>
        <v>515</v>
      </c>
      <c r="S8" s="11" t="n">
        <f aca="false">IF(AND(S$1&gt;=Units!$Q7,MOD(S$1-Units!$Q7,12)=0),IF(AND(Units!$L7=1,S$1=Units!$Q7),1,Inputs!$B$15)*Inputs!$B$16*(1+Inputs!$B$11)^(S$2-1),0)</f>
        <v>0</v>
      </c>
      <c r="T8" s="11" t="n">
        <f aca="false">IF(AND(T$1&gt;=Units!$Q7,MOD(T$1-Units!$Q7,12)=0),IF(AND(Units!$L7=1,T$1=Units!$Q7),1,Inputs!$B$15)*Inputs!$B$16*(1+Inputs!$B$11)^(T$2-1),0)</f>
        <v>0</v>
      </c>
      <c r="U8" s="11" t="n">
        <f aca="false">IF(AND(U$1&gt;=Units!$Q7,MOD(U$1-Units!$Q7,12)=0),IF(AND(Units!$L7=1,U$1=Units!$Q7),1,Inputs!$B$15)*Inputs!$B$16*(1+Inputs!$B$11)^(U$2-1),0)</f>
        <v>0</v>
      </c>
      <c r="V8" s="11" t="n">
        <f aca="false">IF(AND(V$1&gt;=Units!$Q7,MOD(V$1-Units!$Q7,12)=0),IF(AND(Units!$L7=1,V$1=Units!$Q7),1,Inputs!$B$15)*Inputs!$B$16*(1+Inputs!$B$11)^(V$2-1),0)</f>
        <v>0</v>
      </c>
      <c r="W8" s="11" t="n">
        <f aca="false">IF(AND(W$1&gt;=Units!$Q7,MOD(W$1-Units!$Q7,12)=0),IF(AND(Units!$L7=1,W$1=Units!$Q7),1,Inputs!$B$15)*Inputs!$B$16*(1+Inputs!$B$11)^(W$2-1),0)</f>
        <v>0</v>
      </c>
      <c r="X8" s="11" t="n">
        <f aca="false">IF(AND(X$1&gt;=Units!$Q7,MOD(X$1-Units!$Q7,12)=0),IF(AND(Units!$L7=1,X$1=Units!$Q7),1,Inputs!$B$15)*Inputs!$B$16*(1+Inputs!$B$11)^(X$2-1),0)</f>
        <v>0</v>
      </c>
      <c r="Y8" s="11" t="n">
        <f aca="false">IF(AND(Y$1&gt;=Units!$Q7,MOD(Y$1-Units!$Q7,12)=0),IF(AND(Units!$L7=1,Y$1=Units!$Q7),1,Inputs!$B$15)*Inputs!$B$16*(1+Inputs!$B$11)^(Y$2-1),0)</f>
        <v>0</v>
      </c>
      <c r="Z8" s="11" t="n">
        <f aca="false">IF(AND(Z$1&gt;=Units!$Q7,MOD(Z$1-Units!$Q7,12)=0),IF(AND(Units!$L7=1,Z$1=Units!$Q7),1,Inputs!$B$15)*Inputs!$B$16*(1+Inputs!$B$11)^(Z$2-1),0)</f>
        <v>0</v>
      </c>
      <c r="AA8" s="11" t="n">
        <f aca="false">IF(AND(AA$1&gt;=Units!$Q7,MOD(AA$1-Units!$Q7,12)=0),IF(AND(Units!$L7=1,AA$1=Units!$Q7),1,Inputs!$B$15)*Inputs!$B$16*(1+Inputs!$B$11)^(AA$2-1),0)</f>
        <v>0</v>
      </c>
      <c r="AB8" s="11" t="n">
        <f aca="false">IF(AND(AB$1&gt;=Units!$Q7,MOD(AB$1-Units!$Q7,12)=0),IF(AND(Units!$L7=1,AB$1=Units!$Q7),1,Inputs!$B$15)*Inputs!$B$16*(1+Inputs!$B$11)^(AB$2-1),0)</f>
        <v>0</v>
      </c>
      <c r="AC8" s="11" t="n">
        <f aca="false">IF(AND(AC$1&gt;=Units!$Q7,MOD(AC$1-Units!$Q7,12)=0),IF(AND(Units!$L7=1,AC$1=Units!$Q7),1,Inputs!$B$15)*Inputs!$B$16*(1+Inputs!$B$11)^(AC$2-1),0)</f>
        <v>0</v>
      </c>
      <c r="AD8" s="11" t="n">
        <f aca="false">IF(AND(AD$1&gt;=Units!$Q7,MOD(AD$1-Units!$Q7,12)=0),IF(AND(Units!$L7=1,AD$1=Units!$Q7),1,Inputs!$B$15)*Inputs!$B$16*(1+Inputs!$B$11)^(AD$2-1),0)</f>
        <v>530.45</v>
      </c>
      <c r="AE8" s="11" t="n">
        <f aca="false">IF(AND(AE$1&gt;=Units!$Q7,MOD(AE$1-Units!$Q7,12)=0),IF(AND(Units!$L7=1,AE$1=Units!$Q7),1,Inputs!$B$15)*Inputs!$B$16*(1+Inputs!$B$11)^(AE$2-1),0)</f>
        <v>0</v>
      </c>
      <c r="AF8" s="11" t="n">
        <f aca="false">IF(AND(AF$1&gt;=Units!$Q7,MOD(AF$1-Units!$Q7,12)=0),IF(AND(Units!$L7=1,AF$1=Units!$Q7),1,Inputs!$B$15)*Inputs!$B$16*(1+Inputs!$B$11)^(AF$2-1),0)</f>
        <v>0</v>
      </c>
      <c r="AG8" s="11" t="n">
        <f aca="false">IF(AND(AG$1&gt;=Units!$Q7,MOD(AG$1-Units!$Q7,12)=0),IF(AND(Units!$L7=1,AG$1=Units!$Q7),1,Inputs!$B$15)*Inputs!$B$16*(1+Inputs!$B$11)^(AG$2-1),0)</f>
        <v>0</v>
      </c>
      <c r="AH8" s="11" t="n">
        <f aca="false">IF(AND(AH$1&gt;=Units!$Q7,MOD(AH$1-Units!$Q7,12)=0),IF(AND(Units!$L7=1,AH$1=Units!$Q7),1,Inputs!$B$15)*Inputs!$B$16*(1+Inputs!$B$11)^(AH$2-1),0)</f>
        <v>0</v>
      </c>
      <c r="AI8" s="11" t="n">
        <f aca="false">IF(AND(AI$1&gt;=Units!$Q7,MOD(AI$1-Units!$Q7,12)=0),IF(AND(Units!$L7=1,AI$1=Units!$Q7),1,Inputs!$B$15)*Inputs!$B$16*(1+Inputs!$B$11)^(AI$2-1),0)</f>
        <v>0</v>
      </c>
      <c r="AJ8" s="11" t="n">
        <f aca="false">IF(AND(AJ$1&gt;=Units!$Q7,MOD(AJ$1-Units!$Q7,12)=0),IF(AND(Units!$L7=1,AJ$1=Units!$Q7),1,Inputs!$B$15)*Inputs!$B$16*(1+Inputs!$B$11)^(AJ$2-1),0)</f>
        <v>0</v>
      </c>
      <c r="AK8" s="11" t="n">
        <f aca="false">IF(AND(AK$1&gt;=Units!$Q7,MOD(AK$1-Units!$Q7,12)=0),IF(AND(Units!$L7=1,AK$1=Units!$Q7),1,Inputs!$B$15)*Inputs!$B$16*(1+Inputs!$B$11)^(AK$2-1),0)</f>
        <v>0</v>
      </c>
      <c r="AL8" s="11" t="n">
        <f aca="false">IF(AND(AL$1&gt;=Units!$Q7,MOD(AL$1-Units!$Q7,12)=0),IF(AND(Units!$L7=1,AL$1=Units!$Q7),1,Inputs!$B$15)*Inputs!$B$16*(1+Inputs!$B$11)^(AL$2-1),0)</f>
        <v>0</v>
      </c>
      <c r="AM8" s="11" t="n">
        <f aca="false">IF(AND(AM$1&gt;=Units!$Q7,MOD(AM$1-Units!$Q7,12)=0),IF(AND(Units!$L7=1,AM$1=Units!$Q7),1,Inputs!$B$15)*Inputs!$B$16*(1+Inputs!$B$11)^(AM$2-1),0)</f>
        <v>0</v>
      </c>
      <c r="AN8" s="11" t="n">
        <f aca="false">IF(AND(AN$1&gt;=Units!$Q7,MOD(AN$1-Units!$Q7,12)=0),IF(AND(Units!$L7=1,AN$1=Units!$Q7),1,Inputs!$B$15)*Inputs!$B$16*(1+Inputs!$B$11)^(AN$2-1),0)</f>
        <v>0</v>
      </c>
      <c r="AO8" s="11" t="n">
        <f aca="false">IF(AND(AO$1&gt;=Units!$Q7,MOD(AO$1-Units!$Q7,12)=0),IF(AND(Units!$L7=1,AO$1=Units!$Q7),1,Inputs!$B$15)*Inputs!$B$16*(1+Inputs!$B$11)^(AO$2-1),0)</f>
        <v>0</v>
      </c>
      <c r="AP8" s="11" t="n">
        <f aca="false">IF(AND(AP$1&gt;=Units!$Q7,MOD(AP$1-Units!$Q7,12)=0),IF(AND(Units!$L7=1,AP$1=Units!$Q7),1,Inputs!$B$15)*Inputs!$B$16*(1+Inputs!$B$11)^(AP$2-1),0)</f>
        <v>546.3635</v>
      </c>
      <c r="AQ8" s="11" t="n">
        <f aca="false">IF(AND(AQ$1&gt;=Units!$Q7,MOD(AQ$1-Units!$Q7,12)=0),IF(AND(Units!$L7=1,AQ$1=Units!$Q7),1,Inputs!$B$15)*Inputs!$B$16*(1+Inputs!$B$11)^(AQ$2-1),0)</f>
        <v>0</v>
      </c>
      <c r="AR8" s="11" t="n">
        <f aca="false">IF(AND(AR$1&gt;=Units!$Q7,MOD(AR$1-Units!$Q7,12)=0),IF(AND(Units!$L7=1,AR$1=Units!$Q7),1,Inputs!$B$15)*Inputs!$B$16*(1+Inputs!$B$11)^(AR$2-1),0)</f>
        <v>0</v>
      </c>
      <c r="AS8" s="11" t="n">
        <f aca="false">IF(AND(AS$1&gt;=Units!$Q7,MOD(AS$1-Units!$Q7,12)=0),IF(AND(Units!$L7=1,AS$1=Units!$Q7),1,Inputs!$B$15)*Inputs!$B$16*(1+Inputs!$B$11)^(AS$2-1),0)</f>
        <v>0</v>
      </c>
      <c r="AT8" s="11" t="n">
        <f aca="false">IF(AND(AT$1&gt;=Units!$Q7,MOD(AT$1-Units!$Q7,12)=0),IF(AND(Units!$L7=1,AT$1=Units!$Q7),1,Inputs!$B$15)*Inputs!$B$16*(1+Inputs!$B$11)^(AT$2-1),0)</f>
        <v>0</v>
      </c>
      <c r="AU8" s="11" t="n">
        <f aca="false">IF(AND(AU$1&gt;=Units!$Q7,MOD(AU$1-Units!$Q7,12)=0),IF(AND(Units!$L7=1,AU$1=Units!$Q7),1,Inputs!$B$15)*Inputs!$B$16*(1+Inputs!$B$11)^(AU$2-1),0)</f>
        <v>0</v>
      </c>
      <c r="AV8" s="11" t="n">
        <f aca="false">IF(AND(AV$1&gt;=Units!$Q7,MOD(AV$1-Units!$Q7,12)=0),IF(AND(Units!$L7=1,AV$1=Units!$Q7),1,Inputs!$B$15)*Inputs!$B$16*(1+Inputs!$B$11)^(AV$2-1),0)</f>
        <v>0</v>
      </c>
      <c r="AW8" s="11" t="n">
        <f aca="false">IF(AND(AW$1&gt;=Units!$Q7,MOD(AW$1-Units!$Q7,12)=0),IF(AND(Units!$L7=1,AW$1=Units!$Q7),1,Inputs!$B$15)*Inputs!$B$16*(1+Inputs!$B$11)^(AW$2-1),0)</f>
        <v>0</v>
      </c>
      <c r="AX8" s="11" t="n">
        <f aca="false">IF(AND(AX$1&gt;=Units!$Q7,MOD(AX$1-Units!$Q7,12)=0),IF(AND(Units!$L7=1,AX$1=Units!$Q7),1,Inputs!$B$15)*Inputs!$B$16*(1+Inputs!$B$11)^(AX$2-1),0)</f>
        <v>0</v>
      </c>
      <c r="AY8" s="11" t="n">
        <f aca="false">IF(AND(AY$1&gt;=Units!$Q7,MOD(AY$1-Units!$Q7,12)=0),IF(AND(Units!$L7=1,AY$1=Units!$Q7),1,Inputs!$B$15)*Inputs!$B$16*(1+Inputs!$B$11)^(AY$2-1),0)</f>
        <v>0</v>
      </c>
      <c r="AZ8" s="11" t="n">
        <f aca="false">IF(AND(AZ$1&gt;=Units!$Q7,MOD(AZ$1-Units!$Q7,12)=0),IF(AND(Units!$L7=1,AZ$1=Units!$Q7),1,Inputs!$B$15)*Inputs!$B$16*(1+Inputs!$B$11)^(AZ$2-1),0)</f>
        <v>0</v>
      </c>
      <c r="BA8" s="11" t="n">
        <f aca="false">IF(AND(BA$1&gt;=Units!$Q7,MOD(BA$1-Units!$Q7,12)=0),IF(AND(Units!$L7=1,BA$1=Units!$Q7),1,Inputs!$B$15)*Inputs!$B$16*(1+Inputs!$B$11)^(BA$2-1),0)</f>
        <v>0</v>
      </c>
      <c r="BB8" s="11" t="n">
        <f aca="false">IF(AND(BB$1&gt;=Units!$Q7,MOD(BB$1-Units!$Q7,12)=0),IF(AND(Units!$L7=1,BB$1=Units!$Q7),1,Inputs!$B$15)*Inputs!$B$16*(1+Inputs!$B$11)^(BB$2-1),0)</f>
        <v>562.754405</v>
      </c>
      <c r="BC8" s="11" t="n">
        <f aca="false">IF(AND(BC$1&gt;=Units!$Q7,MOD(BC$1-Units!$Q7,12)=0),IF(AND(Units!$L7=1,BC$1=Units!$Q7),1,Inputs!$B$15)*Inputs!$B$16*(1+Inputs!$B$11)^(BC$2-1),0)</f>
        <v>0</v>
      </c>
      <c r="BD8" s="11" t="n">
        <f aca="false">IF(AND(BD$1&gt;=Units!$Q7,MOD(BD$1-Units!$Q7,12)=0),IF(AND(Units!$L7=1,BD$1=Units!$Q7),1,Inputs!$B$15)*Inputs!$B$16*(1+Inputs!$B$11)^(BD$2-1),0)</f>
        <v>0</v>
      </c>
      <c r="BE8" s="11" t="n">
        <f aca="false">IF(AND(BE$1&gt;=Units!$Q7,MOD(BE$1-Units!$Q7,12)=0),IF(AND(Units!$L7=1,BE$1=Units!$Q7),1,Inputs!$B$15)*Inputs!$B$16*(1+Inputs!$B$11)^(BE$2-1),0)</f>
        <v>0</v>
      </c>
      <c r="BF8" s="11" t="n">
        <f aca="false">IF(AND(BF$1&gt;=Units!$Q7,MOD(BF$1-Units!$Q7,12)=0),IF(AND(Units!$L7=1,BF$1=Units!$Q7),1,Inputs!$B$15)*Inputs!$B$16*(1+Inputs!$B$11)^(BF$2-1),0)</f>
        <v>0</v>
      </c>
      <c r="BG8" s="11" t="n">
        <f aca="false">IF(AND(BG$1&gt;=Units!$Q7,MOD(BG$1-Units!$Q7,12)=0),IF(AND(Units!$L7=1,BG$1=Units!$Q7),1,Inputs!$B$15)*Inputs!$B$16*(1+Inputs!$B$11)^(BG$2-1),0)</f>
        <v>0</v>
      </c>
      <c r="BH8" s="11" t="n">
        <f aca="false">IF(AND(BH$1&gt;=Units!$Q7,MOD(BH$1-Units!$Q7,12)=0),IF(AND(Units!$L7=1,BH$1=Units!$Q7),1,Inputs!$B$15)*Inputs!$B$16*(1+Inputs!$B$11)^(BH$2-1),0)</f>
        <v>0</v>
      </c>
      <c r="BI8" s="11" t="n">
        <f aca="false">IF(AND(BI$1&gt;=Units!$Q7,MOD(BI$1-Units!$Q7,12)=0),IF(AND(Units!$L7=1,BI$1=Units!$Q7),1,Inputs!$B$15)*Inputs!$B$16*(1+Inputs!$B$11)^(BI$2-1),0)</f>
        <v>0</v>
      </c>
      <c r="BJ8" s="11" t="n">
        <f aca="false">IF(AND(BJ$1&gt;=Units!$Q7,MOD(BJ$1-Units!$Q7,12)=0),IF(AND(Units!$L7=1,BJ$1=Units!$Q7),1,Inputs!$B$15)*Inputs!$B$16*(1+Inputs!$B$11)^(BJ$2-1),0)</f>
        <v>0</v>
      </c>
      <c r="BK8" s="11" t="n">
        <f aca="false">IF(AND(BK$1&gt;=Units!$Q7,MOD(BK$1-Units!$Q7,12)=0),IF(AND(Units!$L7=1,BK$1=Units!$Q7),1,Inputs!$B$15)*Inputs!$B$16*(1+Inputs!$B$11)^(BK$2-1),0)</f>
        <v>0</v>
      </c>
      <c r="BL8" s="11" t="n">
        <f aca="false">IF(AND(BL$1&gt;=Units!$Q7,MOD(BL$1-Units!$Q7,12)=0),IF(AND(Units!$L7=1,BL$1=Units!$Q7),1,Inputs!$B$15)*Inputs!$B$16*(1+Inputs!$B$11)^(BL$2-1),0)</f>
        <v>0</v>
      </c>
      <c r="BM8" s="11" t="n">
        <f aca="false">IF(AND(BM$1&gt;=Units!$Q7,MOD(BM$1-Units!$Q7,12)=0),IF(AND(Units!$L7=1,BM$1=Units!$Q7),1,Inputs!$B$15)*Inputs!$B$16*(1+Inputs!$B$11)^(BM$2-1),0)</f>
        <v>0</v>
      </c>
      <c r="BN8" s="11" t="n">
        <f aca="false">IF(AND(BN$1&gt;=Units!$Q7,MOD(BN$1-Units!$Q7,12)=0),IF(AND(Units!$L7=1,BN$1=Units!$Q7),1,Inputs!$B$15)*Inputs!$B$16*(1+Inputs!$B$11)^(BN$2-1),0)</f>
        <v>579.63703715</v>
      </c>
      <c r="BO8" s="11" t="n">
        <f aca="false">IF(AND(BO$1&gt;=Units!$Q7,MOD(BO$1-Units!$Q7,12)=0),IF(AND(Units!$L7=1,BO$1=Units!$Q7),1,Inputs!$B$15)*Inputs!$B$16*(1+Inputs!$B$11)^(BO$2-1),0)</f>
        <v>0</v>
      </c>
      <c r="BP8" s="11" t="n">
        <f aca="false">IF(AND(BP$1&gt;=Units!$Q7,MOD(BP$1-Units!$Q7,12)=0),IF(AND(Units!$L7=1,BP$1=Units!$Q7),1,Inputs!$B$15)*Inputs!$B$16*(1+Inputs!$B$11)^(BP$2-1),0)</f>
        <v>0</v>
      </c>
      <c r="BQ8" s="11" t="n">
        <f aca="false">IF(AND(BQ$1&gt;=Units!$Q7,MOD(BQ$1-Units!$Q7,12)=0),IF(AND(Units!$L7=1,BQ$1=Units!$Q7),1,Inputs!$B$15)*Inputs!$B$16*(1+Inputs!$B$11)^(BQ$2-1),0)</f>
        <v>0</v>
      </c>
      <c r="BR8" s="11" t="n">
        <f aca="false">IF(AND(BR$1&gt;=Units!$Q7,MOD(BR$1-Units!$Q7,12)=0),IF(AND(Units!$L7=1,BR$1=Units!$Q7),1,Inputs!$B$15)*Inputs!$B$16*(1+Inputs!$B$11)^(BR$2-1),0)</f>
        <v>0</v>
      </c>
      <c r="BS8" s="11" t="n">
        <f aca="false">IF(AND(BS$1&gt;=Units!$Q7,MOD(BS$1-Units!$Q7,12)=0),IF(AND(Units!$L7=1,BS$1=Units!$Q7),1,Inputs!$B$15)*Inputs!$B$16*(1+Inputs!$B$11)^(BS$2-1),0)</f>
        <v>0</v>
      </c>
      <c r="BT8" s="11" t="n">
        <f aca="false">IF(AND(BT$1&gt;=Units!$Q7,MOD(BT$1-Units!$Q7,12)=0),IF(AND(Units!$L7=1,BT$1=Units!$Q7),1,Inputs!$B$15)*Inputs!$B$16*(1+Inputs!$B$11)^(BT$2-1),0)</f>
        <v>0</v>
      </c>
      <c r="BU8" s="11" t="n">
        <f aca="false">IF(AND(BU$1&gt;=Units!$Q7,MOD(BU$1-Units!$Q7,12)=0),IF(AND(Units!$L7=1,BU$1=Units!$Q7),1,Inputs!$B$15)*Inputs!$B$16*(1+Inputs!$B$11)^(BU$2-1),0)</f>
        <v>0</v>
      </c>
      <c r="BV8" s="11" t="n">
        <f aca="false">IF(AND(BV$1&gt;=Units!$Q7,MOD(BV$1-Units!$Q7,12)=0),IF(AND(Units!$L7=1,BV$1=Units!$Q7),1,Inputs!$B$15)*Inputs!$B$16*(1+Inputs!$B$11)^(BV$2-1),0)</f>
        <v>0</v>
      </c>
      <c r="BW8" s="11" t="n">
        <f aca="false">IF(AND(BW$1&gt;=Units!$Q7,MOD(BW$1-Units!$Q7,12)=0),IF(AND(Units!$L7=1,BW$1=Units!$Q7),1,Inputs!$B$15)*Inputs!$B$16*(1+Inputs!$B$11)^(BW$2-1),0)</f>
        <v>0</v>
      </c>
      <c r="BX8" s="11" t="n">
        <f aca="false">IF(AND(BX$1&gt;=Units!$Q7,MOD(BX$1-Units!$Q7,12)=0),IF(AND(Units!$L7=1,BX$1=Units!$Q7),1,Inputs!$B$15)*Inputs!$B$16*(1+Inputs!$B$11)^(BX$2-1),0)</f>
        <v>0</v>
      </c>
      <c r="BY8" s="11" t="n">
        <f aca="false">IF(AND(BY$1&gt;=Units!$Q7,MOD(BY$1-Units!$Q7,12)=0),IF(AND(Units!$L7=1,BY$1=Units!$Q7),1,Inputs!$B$15)*Inputs!$B$16*(1+Inputs!$B$11)^(BY$2-1),0)</f>
        <v>0</v>
      </c>
      <c r="BZ8" s="11" t="n">
        <f aca="false">IF(AND(BZ$1&gt;=Units!$Q7,MOD(BZ$1-Units!$Q7,12)=0),IF(AND(Units!$L7=1,BZ$1=Units!$Q7),1,Inputs!$B$15)*Inputs!$B$16*(1+Inputs!$B$11)^(BZ$2-1),0)</f>
        <v>597.0261482645</v>
      </c>
      <c r="CA8" s="11" t="n">
        <f aca="false">IF(AND(CA$1&gt;=Units!$Q7,MOD(CA$1-Units!$Q7,12)=0),IF(AND(Units!$L7=1,CA$1=Units!$Q7),1,Inputs!$B$15)*Inputs!$B$16*(1+Inputs!$B$11)^(CA$2-1),0)</f>
        <v>0</v>
      </c>
      <c r="CB8" s="11" t="n">
        <f aca="false">IF(AND(CB$1&gt;=Units!$Q7,MOD(CB$1-Units!$Q7,12)=0),IF(AND(Units!$L7=1,CB$1=Units!$Q7),1,Inputs!$B$15)*Inputs!$B$16*(1+Inputs!$B$11)^(CB$2-1),0)</f>
        <v>0</v>
      </c>
      <c r="CC8" s="11" t="n">
        <f aca="false">IF(AND(CC$1&gt;=Units!$Q7,MOD(CC$1-Units!$Q7,12)=0),IF(AND(Units!$L7=1,CC$1=Units!$Q7),1,Inputs!$B$15)*Inputs!$B$16*(1+Inputs!$B$11)^(CC$2-1),0)</f>
        <v>0</v>
      </c>
      <c r="CD8" s="11" t="n">
        <f aca="false">IF(AND(CD$1&gt;=Units!$Q7,MOD(CD$1-Units!$Q7,12)=0),IF(AND(Units!$L7=1,CD$1=Units!$Q7),1,Inputs!$B$15)*Inputs!$B$16*(1+Inputs!$B$11)^(CD$2-1),0)</f>
        <v>0</v>
      </c>
      <c r="CE8" s="11" t="n">
        <f aca="false">IF(AND(CE$1&gt;=Units!$Q7,MOD(CE$1-Units!$Q7,12)=0),IF(AND(Units!$L7=1,CE$1=Units!$Q7),1,Inputs!$B$15)*Inputs!$B$16*(1+Inputs!$B$11)^(CE$2-1),0)</f>
        <v>0</v>
      </c>
      <c r="CF8" s="11" t="n">
        <f aca="false">IF(AND(CF$1&gt;=Units!$Q7,MOD(CF$1-Units!$Q7,12)=0),IF(AND(Units!$L7=1,CF$1=Units!$Q7),1,Inputs!$B$15)*Inputs!$B$16*(1+Inputs!$B$11)^(CF$2-1),0)</f>
        <v>0</v>
      </c>
      <c r="CG8" s="11" t="n">
        <f aca="false">IF(AND(CG$1&gt;=Units!$Q7,MOD(CG$1-Units!$Q7,12)=0),IF(AND(Units!$L7=1,CG$1=Units!$Q7),1,Inputs!$B$15)*Inputs!$B$16*(1+Inputs!$B$11)^(CG$2-1),0)</f>
        <v>0</v>
      </c>
      <c r="CH8" s="11" t="n">
        <f aca="false">IF(AND(CH$1&gt;=Units!$Q7,MOD(CH$1-Units!$Q7,12)=0),IF(AND(Units!$L7=1,CH$1=Units!$Q7),1,Inputs!$B$15)*Inputs!$B$16*(1+Inputs!$B$11)^(CH$2-1),0)</f>
        <v>0</v>
      </c>
      <c r="CI8" s="11" t="n">
        <f aca="false">IF(AND(CI$1&gt;=Units!$Q7,MOD(CI$1-Units!$Q7,12)=0),IF(AND(Units!$L7=1,CI$1=Units!$Q7),1,Inputs!$B$15)*Inputs!$B$16*(1+Inputs!$B$11)^(CI$2-1),0)</f>
        <v>0</v>
      </c>
      <c r="CJ8" s="11" t="n">
        <f aca="false">IF(AND(CJ$1&gt;=Units!$Q7,MOD(CJ$1-Units!$Q7,12)=0),IF(AND(Units!$L7=1,CJ$1=Units!$Q7),1,Inputs!$B$15)*Inputs!$B$16*(1+Inputs!$B$11)^(CJ$2-1),0)</f>
        <v>0</v>
      </c>
      <c r="CK8" s="11" t="n">
        <f aca="false">IF(AND(CK$1&gt;=Units!$Q7,MOD(CK$1-Units!$Q7,12)=0),IF(AND(Units!$L7=1,CK$1=Units!$Q7),1,Inputs!$B$15)*Inputs!$B$16*(1+Inputs!$B$11)^(CK$2-1),0)</f>
        <v>0</v>
      </c>
      <c r="CL8" s="11" t="n">
        <f aca="false">IF(AND(CL$1&gt;=Units!$Q7,MOD(CL$1-Units!$Q7,12)=0),IF(AND(Units!$L7=1,CL$1=Units!$Q7),1,Inputs!$B$15)*Inputs!$B$16*(1+Inputs!$B$11)^(CL$2-1),0)</f>
        <v>614.936932712435</v>
      </c>
      <c r="CM8" s="11" t="n">
        <f aca="false">IF(AND(CM$1&gt;=Units!$Q7,MOD(CM$1-Units!$Q7,12)=0),IF(AND(Units!$L7=1,CM$1=Units!$Q7),1,Inputs!$B$15)*Inputs!$B$16*(1+Inputs!$B$11)^(CM$2-1),0)</f>
        <v>0</v>
      </c>
      <c r="CN8" s="11" t="n">
        <f aca="false">IF(AND(CN$1&gt;=Units!$Q7,MOD(CN$1-Units!$Q7,12)=0),IF(AND(Units!$L7=1,CN$1=Units!$Q7),1,Inputs!$B$15)*Inputs!$B$16*(1+Inputs!$B$11)^(CN$2-1),0)</f>
        <v>0</v>
      </c>
      <c r="CO8" s="11" t="n">
        <f aca="false">IF(AND(CO$1&gt;=Units!$Q7,MOD(CO$1-Units!$Q7,12)=0),IF(AND(Units!$L7=1,CO$1=Units!$Q7),1,Inputs!$B$15)*Inputs!$B$16*(1+Inputs!$B$11)^(CO$2-1),0)</f>
        <v>0</v>
      </c>
      <c r="CP8" s="11" t="n">
        <f aca="false">IF(AND(CP$1&gt;=Units!$Q7,MOD(CP$1-Units!$Q7,12)=0),IF(AND(Units!$L7=1,CP$1=Units!$Q7),1,Inputs!$B$15)*Inputs!$B$16*(1+Inputs!$B$11)^(CP$2-1),0)</f>
        <v>0</v>
      </c>
      <c r="CQ8" s="11" t="n">
        <f aca="false">IF(AND(CQ$1&gt;=Units!$Q7,MOD(CQ$1-Units!$Q7,12)=0),IF(AND(Units!$L7=1,CQ$1=Units!$Q7),1,Inputs!$B$15)*Inputs!$B$16*(1+Inputs!$B$11)^(CQ$2-1),0)</f>
        <v>0</v>
      </c>
      <c r="CR8" s="11" t="n">
        <f aca="false">IF(AND(CR$1&gt;=Units!$Q7,MOD(CR$1-Units!$Q7,12)=0),IF(AND(Units!$L7=1,CR$1=Units!$Q7),1,Inputs!$B$15)*Inputs!$B$16*(1+Inputs!$B$11)^(CR$2-1),0)</f>
        <v>0</v>
      </c>
      <c r="CS8" s="11" t="n">
        <f aca="false">IF(AND(CS$1&gt;=Units!$Q7,MOD(CS$1-Units!$Q7,12)=0),IF(AND(Units!$L7=1,CS$1=Units!$Q7),1,Inputs!$B$15)*Inputs!$B$16*(1+Inputs!$B$11)^(CS$2-1),0)</f>
        <v>0</v>
      </c>
      <c r="CT8" s="11" t="n">
        <f aca="false">IF(AND(CT$1&gt;=Units!$Q7,MOD(CT$1-Units!$Q7,12)=0),IF(AND(Units!$L7=1,CT$1=Units!$Q7),1,Inputs!$B$15)*Inputs!$B$16*(1+Inputs!$B$11)^(CT$2-1),0)</f>
        <v>0</v>
      </c>
      <c r="CU8" s="11" t="n">
        <f aca="false">IF(AND(CU$1&gt;=Units!$Q7,MOD(CU$1-Units!$Q7,12)=0),IF(AND(Units!$L7=1,CU$1=Units!$Q7),1,Inputs!$B$15)*Inputs!$B$16*(1+Inputs!$B$11)^(CU$2-1),0)</f>
        <v>0</v>
      </c>
      <c r="CV8" s="11" t="n">
        <f aca="false">IF(AND(CV$1&gt;=Units!$Q7,MOD(CV$1-Units!$Q7,12)=0),IF(AND(Units!$L7=1,CV$1=Units!$Q7),1,Inputs!$B$15)*Inputs!$B$16*(1+Inputs!$B$11)^(CV$2-1),0)</f>
        <v>0</v>
      </c>
      <c r="CW8" s="11" t="n">
        <f aca="false">IF(AND(CW$1&gt;=Units!$Q7,MOD(CW$1-Units!$Q7,12)=0),IF(AND(Units!$L7=1,CW$1=Units!$Q7),1,Inputs!$B$15)*Inputs!$B$16*(1+Inputs!$B$11)^(CW$2-1),0)</f>
        <v>0</v>
      </c>
      <c r="CX8" s="11" t="n">
        <f aca="false">IF(AND(CX$1&gt;=Units!$Q7,MOD(CX$1-Units!$Q7,12)=0),IF(AND(Units!$L7=1,CX$1=Units!$Q7),1,Inputs!$B$15)*Inputs!$B$16*(1+Inputs!$B$11)^(CX$2-1),0)</f>
        <v>633.385040693808</v>
      </c>
      <c r="CY8" s="11" t="n">
        <f aca="false">IF(AND(CY$1&gt;=Units!$Q7,MOD(CY$1-Units!$Q7,12)=0),IF(AND(Units!$L7=1,CY$1=Units!$Q7),1,Inputs!$B$15)*Inputs!$B$16*(1+Inputs!$B$11)^(CY$2-1),0)</f>
        <v>0</v>
      </c>
      <c r="CZ8" s="11" t="n">
        <f aca="false">IF(AND(CZ$1&gt;=Units!$Q7,MOD(CZ$1-Units!$Q7,12)=0),IF(AND(Units!$L7=1,CZ$1=Units!$Q7),1,Inputs!$B$15)*Inputs!$B$16*(1+Inputs!$B$11)^(CZ$2-1),0)</f>
        <v>0</v>
      </c>
      <c r="DA8" s="11" t="n">
        <f aca="false">IF(AND(DA$1&gt;=Units!$Q7,MOD(DA$1-Units!$Q7,12)=0),IF(AND(Units!$L7=1,DA$1=Units!$Q7),1,Inputs!$B$15)*Inputs!$B$16*(1+Inputs!$B$11)^(DA$2-1),0)</f>
        <v>0</v>
      </c>
      <c r="DB8" s="11" t="n">
        <f aca="false">IF(AND(DB$1&gt;=Units!$Q7,MOD(DB$1-Units!$Q7,12)=0),IF(AND(Units!$L7=1,DB$1=Units!$Q7),1,Inputs!$B$15)*Inputs!$B$16*(1+Inputs!$B$11)^(DB$2-1),0)</f>
        <v>0</v>
      </c>
      <c r="DC8" s="11" t="n">
        <f aca="false">IF(AND(DC$1&gt;=Units!$Q7,MOD(DC$1-Units!$Q7,12)=0),IF(AND(Units!$L7=1,DC$1=Units!$Q7),1,Inputs!$B$15)*Inputs!$B$16*(1+Inputs!$B$11)^(DC$2-1),0)</f>
        <v>0</v>
      </c>
      <c r="DD8" s="11" t="n">
        <f aca="false">IF(AND(DD$1&gt;=Units!$Q7,MOD(DD$1-Units!$Q7,12)=0),IF(AND(Units!$L7=1,DD$1=Units!$Q7),1,Inputs!$B$15)*Inputs!$B$16*(1+Inputs!$B$11)^(DD$2-1),0)</f>
        <v>0</v>
      </c>
      <c r="DE8" s="11" t="n">
        <f aca="false">IF(AND(DE$1&gt;=Units!$Q7,MOD(DE$1-Units!$Q7,12)=0),IF(AND(Units!$L7=1,DE$1=Units!$Q7),1,Inputs!$B$15)*Inputs!$B$16*(1+Inputs!$B$11)^(DE$2-1),0)</f>
        <v>0</v>
      </c>
      <c r="DF8" s="11" t="n">
        <f aca="false">IF(AND(DF$1&gt;=Units!$Q7,MOD(DF$1-Units!$Q7,12)=0),IF(AND(Units!$L7=1,DF$1=Units!$Q7),1,Inputs!$B$15)*Inputs!$B$16*(1+Inputs!$B$11)^(DF$2-1),0)</f>
        <v>0</v>
      </c>
      <c r="DG8" s="11" t="n">
        <f aca="false">IF(AND(DG$1&gt;=Units!$Q7,MOD(DG$1-Units!$Q7,12)=0),IF(AND(Units!$L7=1,DG$1=Units!$Q7),1,Inputs!$B$15)*Inputs!$B$16*(1+Inputs!$B$11)^(DG$2-1),0)</f>
        <v>0</v>
      </c>
      <c r="DH8" s="11" t="n">
        <f aca="false">IF(AND(DH$1&gt;=Units!$Q7,MOD(DH$1-Units!$Q7,12)=0),IF(AND(Units!$L7=1,DH$1=Units!$Q7),1,Inputs!$B$15)*Inputs!$B$16*(1+Inputs!$B$11)^(DH$2-1),0)</f>
        <v>0</v>
      </c>
      <c r="DI8" s="11" t="n">
        <f aca="false">IF(AND(DI$1&gt;=Units!$Q7,MOD(DI$1-Units!$Q7,12)=0),IF(AND(Units!$L7=1,DI$1=Units!$Q7),1,Inputs!$B$15)*Inputs!$B$16*(1+Inputs!$B$11)^(DI$2-1),0)</f>
        <v>0</v>
      </c>
      <c r="DJ8" s="11" t="n">
        <f aca="false">IF(AND(DJ$1&gt;=Units!$Q7,MOD(DJ$1-Units!$Q7,12)=0),IF(AND(Units!$L7=1,DJ$1=Units!$Q7),1,Inputs!$B$15)*Inputs!$B$16*(1+Inputs!$B$11)^(DJ$2-1),0)</f>
        <v>652.386591914623</v>
      </c>
      <c r="DK8" s="11" t="n">
        <f aca="false">IF(AND(DK$1&gt;=Units!$Q7,MOD(DK$1-Units!$Q7,12)=0),IF(AND(Units!$L7=1,DK$1=Units!$Q7),1,Inputs!$B$15)*Inputs!$B$16*(1+Inputs!$B$11)^(DK$2-1),0)</f>
        <v>0</v>
      </c>
      <c r="DL8" s="11" t="n">
        <f aca="false">IF(AND(DL$1&gt;=Units!$Q7,MOD(DL$1-Units!$Q7,12)=0),IF(AND(Units!$L7=1,DL$1=Units!$Q7),1,Inputs!$B$15)*Inputs!$B$16*(1+Inputs!$B$11)^(DL$2-1),0)</f>
        <v>0</v>
      </c>
      <c r="DM8" s="11" t="n">
        <f aca="false">IF(AND(DM$1&gt;=Units!$Q7,MOD(DM$1-Units!$Q7,12)=0),IF(AND(Units!$L7=1,DM$1=Units!$Q7),1,Inputs!$B$15)*Inputs!$B$16*(1+Inputs!$B$11)^(DM$2-1),0)</f>
        <v>0</v>
      </c>
      <c r="DN8" s="11" t="n">
        <f aca="false">IF(AND(DN$1&gt;=Units!$Q7,MOD(DN$1-Units!$Q7,12)=0),IF(AND(Units!$L7=1,DN$1=Units!$Q7),1,Inputs!$B$15)*Inputs!$B$16*(1+Inputs!$B$11)^(DN$2-1),0)</f>
        <v>0</v>
      </c>
      <c r="DO8" s="11" t="n">
        <f aca="false">IF(AND(DO$1&gt;=Units!$Q7,MOD(DO$1-Units!$Q7,12)=0),IF(AND(Units!$L7=1,DO$1=Units!$Q7),1,Inputs!$B$15)*Inputs!$B$16*(1+Inputs!$B$11)^(DO$2-1),0)</f>
        <v>0</v>
      </c>
      <c r="DP8" s="11" t="n">
        <f aca="false">IF(AND(DP$1&gt;=Units!$Q7,MOD(DP$1-Units!$Q7,12)=0),IF(AND(Units!$L7=1,DP$1=Units!$Q7),1,Inputs!$B$15)*Inputs!$B$16*(1+Inputs!$B$11)^(DP$2-1),0)</f>
        <v>0</v>
      </c>
      <c r="DQ8" s="11" t="n">
        <f aca="false">IF(AND(DQ$1&gt;=Units!$Q7,MOD(DQ$1-Units!$Q7,12)=0),IF(AND(Units!$L7=1,DQ$1=Units!$Q7),1,Inputs!$B$15)*Inputs!$B$16*(1+Inputs!$B$11)^(DQ$2-1),0)</f>
        <v>0</v>
      </c>
      <c r="DR8" s="11" t="n">
        <f aca="false">IF(AND(DR$1&gt;=Units!$Q7,MOD(DR$1-Units!$Q7,12)=0),IF(AND(Units!$L7=1,DR$1=Units!$Q7),1,Inputs!$B$15)*Inputs!$B$16*(1+Inputs!$B$11)^(DR$2-1),0)</f>
        <v>0</v>
      </c>
      <c r="DS8" s="11" t="n">
        <f aca="false">IF(AND(DS$1&gt;=Units!$Q7,MOD(DS$1-Units!$Q7,12)=0),IF(AND(Units!$L7=1,DS$1=Units!$Q7),1,Inputs!$B$15)*Inputs!$B$16*(1+Inputs!$B$11)^(DS$2-1),0)</f>
        <v>0</v>
      </c>
      <c r="DT8" s="11" t="n">
        <f aca="false">IF(AND(DT$1&gt;=Units!$Q7,MOD(DT$1-Units!$Q7,12)=0),IF(AND(Units!$L7=1,DT$1=Units!$Q7),1,Inputs!$B$15)*Inputs!$B$16*(1+Inputs!$B$11)^(DT$2-1),0)</f>
        <v>0</v>
      </c>
      <c r="DU8" s="11" t="n">
        <f aca="false">IF(AND(DU$1&gt;=Units!$Q7,MOD(DU$1-Units!$Q7,12)=0),IF(AND(Units!$L7=1,DU$1=Units!$Q7),1,Inputs!$B$15)*Inputs!$B$16*(1+Inputs!$B$11)^(DU$2-1),0)</f>
        <v>0</v>
      </c>
      <c r="DV8" s="11" t="n">
        <f aca="false">IF(AND(DV$1&gt;=Units!$Q7,MOD(DV$1-Units!$Q7,12)=0),IF(AND(Units!$L7=1,DV$1=Units!$Q7),1,Inputs!$B$15)*Inputs!$B$16*(1+Inputs!$B$11)^(DV$2-1),0)</f>
        <v>671.958189672061</v>
      </c>
      <c r="DW8" s="11" t="n">
        <f aca="false">IF(AND(DW$1&gt;=Units!$Q7,MOD(DW$1-Units!$Q7,12)=0),IF(AND(Units!$L7=1,DW$1=Units!$Q7),1,Inputs!$B$15)*Inputs!$B$16*(1+Inputs!$B$11)^(DW$2-1),0)</f>
        <v>0</v>
      </c>
      <c r="DX8" s="11" t="n">
        <f aca="false">IF(AND(DX$1&gt;=Units!$Q7,MOD(DX$1-Units!$Q7,12)=0),IF(AND(Units!$L7=1,DX$1=Units!$Q7),1,Inputs!$B$15)*Inputs!$B$16*(1+Inputs!$B$11)^(DX$2-1),0)</f>
        <v>0</v>
      </c>
      <c r="DY8" s="11" t="n">
        <f aca="false">IF(AND(DY$1&gt;=Units!$Q7,MOD(DY$1-Units!$Q7,12)=0),IF(AND(Units!$L7=1,DY$1=Units!$Q7),1,Inputs!$B$15)*Inputs!$B$16*(1+Inputs!$B$11)^(DY$2-1),0)</f>
        <v>0</v>
      </c>
      <c r="DZ8" s="11" t="n">
        <f aca="false">IF(AND(DZ$1&gt;=Units!$Q7,MOD(DZ$1-Units!$Q7,12)=0),IF(AND(Units!$L7=1,DZ$1=Units!$Q7),1,Inputs!$B$15)*Inputs!$B$16*(1+Inputs!$B$11)^(DZ$2-1),0)</f>
        <v>0</v>
      </c>
      <c r="EA8" s="11" t="n">
        <f aca="false">IF(AND(EA$1&gt;=Units!$Q7,MOD(EA$1-Units!$Q7,12)=0),IF(AND(Units!$L7=1,EA$1=Units!$Q7),1,Inputs!$B$15)*Inputs!$B$16*(1+Inputs!$B$11)^(EA$2-1),0)</f>
        <v>0</v>
      </c>
      <c r="EB8" s="11" t="n">
        <f aca="false">IF(AND(EB$1&gt;=Units!$Q7,MOD(EB$1-Units!$Q7,12)=0),IF(AND(Units!$L7=1,EB$1=Units!$Q7),1,Inputs!$B$15)*Inputs!$B$16*(1+Inputs!$B$11)^(EB$2-1),0)</f>
        <v>0</v>
      </c>
      <c r="EC8" s="11" t="n">
        <f aca="false">IF(AND(EC$1&gt;=Units!$Q7,MOD(EC$1-Units!$Q7,12)=0),IF(AND(Units!$L7=1,EC$1=Units!$Q7),1,Inputs!$B$15)*Inputs!$B$16*(1+Inputs!$B$11)^(EC$2-1),0)</f>
        <v>0</v>
      </c>
      <c r="ED8" s="11" t="n">
        <f aca="false">IF(AND(ED$1&gt;=Units!$Q7,MOD(ED$1-Units!$Q7,12)=0),IF(AND(Units!$L7=1,ED$1=Units!$Q7),1,Inputs!$B$15)*Inputs!$B$16*(1+Inputs!$B$11)^(ED$2-1),0)</f>
        <v>0</v>
      </c>
    </row>
    <row r="9" customFormat="false" ht="15" hidden="false" customHeight="false" outlineLevel="0" collapsed="false">
      <c r="A9" s="22" t="n">
        <f aca="false">Units!A8</f>
        <v>107</v>
      </c>
      <c r="B9" s="23"/>
      <c r="C9" s="11" t="n">
        <f aca="false">IF(AND(C$1&gt;=Units!$Q8,MOD(C$1-Units!$Q8,12)=0),IF(AND(Units!$L8=1,C$1=Units!$Q8),1,Inputs!$B$15)*Inputs!$B$16*(1+Inputs!$B$11)^(C$2-1),0)</f>
        <v>0</v>
      </c>
      <c r="D9" s="11" t="n">
        <f aca="false">IF(AND(D$1&gt;=Units!$Q8,MOD(D$1-Units!$Q8,12)=0),IF(AND(Units!$L8=1,D$1=Units!$Q8),1,Inputs!$B$15)*Inputs!$B$16*(1+Inputs!$B$11)^(D$2-1),0)</f>
        <v>0</v>
      </c>
      <c r="E9" s="11" t="n">
        <f aca="false">IF(AND(E$1&gt;=Units!$Q8,MOD(E$1-Units!$Q8,12)=0),IF(AND(Units!$L8=1,E$1=Units!$Q8),1,Inputs!$B$15)*Inputs!$B$16*(1+Inputs!$B$11)^(E$2-1),0)</f>
        <v>500</v>
      </c>
      <c r="F9" s="11" t="n">
        <f aca="false">IF(AND(F$1&gt;=Units!$Q8,MOD(F$1-Units!$Q8,12)=0),IF(AND(Units!$L8=1,F$1=Units!$Q8),1,Inputs!$B$15)*Inputs!$B$16*(1+Inputs!$B$11)^(F$2-1),0)</f>
        <v>0</v>
      </c>
      <c r="G9" s="11" t="n">
        <f aca="false">IF(AND(G$1&gt;=Units!$Q8,MOD(G$1-Units!$Q8,12)=0),IF(AND(Units!$L8=1,G$1=Units!$Q8),1,Inputs!$B$15)*Inputs!$B$16*(1+Inputs!$B$11)^(G$2-1),0)</f>
        <v>0</v>
      </c>
      <c r="H9" s="11" t="n">
        <f aca="false">IF(AND(H$1&gt;=Units!$Q8,MOD(H$1-Units!$Q8,12)=0),IF(AND(Units!$L8=1,H$1=Units!$Q8),1,Inputs!$B$15)*Inputs!$B$16*(1+Inputs!$B$11)^(H$2-1),0)</f>
        <v>0</v>
      </c>
      <c r="I9" s="11" t="n">
        <f aca="false">IF(AND(I$1&gt;=Units!$Q8,MOD(I$1-Units!$Q8,12)=0),IF(AND(Units!$L8=1,I$1=Units!$Q8),1,Inputs!$B$15)*Inputs!$B$16*(1+Inputs!$B$11)^(I$2-1),0)</f>
        <v>0</v>
      </c>
      <c r="J9" s="11" t="n">
        <f aca="false">IF(AND(J$1&gt;=Units!$Q8,MOD(J$1-Units!$Q8,12)=0),IF(AND(Units!$L8=1,J$1=Units!$Q8),1,Inputs!$B$15)*Inputs!$B$16*(1+Inputs!$B$11)^(J$2-1),0)</f>
        <v>0</v>
      </c>
      <c r="K9" s="11" t="n">
        <f aca="false">IF(AND(K$1&gt;=Units!$Q8,MOD(K$1-Units!$Q8,12)=0),IF(AND(Units!$L8=1,K$1=Units!$Q8),1,Inputs!$B$15)*Inputs!$B$16*(1+Inputs!$B$11)^(K$2-1),0)</f>
        <v>0</v>
      </c>
      <c r="L9" s="11" t="n">
        <f aca="false">IF(AND(L$1&gt;=Units!$Q8,MOD(L$1-Units!$Q8,12)=0),IF(AND(Units!$L8=1,L$1=Units!$Q8),1,Inputs!$B$15)*Inputs!$B$16*(1+Inputs!$B$11)^(L$2-1),0)</f>
        <v>0</v>
      </c>
      <c r="M9" s="11" t="n">
        <f aca="false">IF(AND(M$1&gt;=Units!$Q8,MOD(M$1-Units!$Q8,12)=0),IF(AND(Units!$L8=1,M$1=Units!$Q8),1,Inputs!$B$15)*Inputs!$B$16*(1+Inputs!$B$11)^(M$2-1),0)</f>
        <v>0</v>
      </c>
      <c r="N9" s="11" t="n">
        <f aca="false">IF(AND(N$1&gt;=Units!$Q8,MOD(N$1-Units!$Q8,12)=0),IF(AND(Units!$L8=1,N$1=Units!$Q8),1,Inputs!$B$15)*Inputs!$B$16*(1+Inputs!$B$11)^(N$2-1),0)</f>
        <v>0</v>
      </c>
      <c r="O9" s="11" t="n">
        <f aca="false">IF(AND(O$1&gt;=Units!$Q8,MOD(O$1-Units!$Q8,12)=0),IF(AND(Units!$L8=1,O$1=Units!$Q8),1,Inputs!$B$15)*Inputs!$B$16*(1+Inputs!$B$11)^(O$2-1),0)</f>
        <v>0</v>
      </c>
      <c r="P9" s="11" t="n">
        <f aca="false">IF(AND(P$1&gt;=Units!$Q8,MOD(P$1-Units!$Q8,12)=0),IF(AND(Units!$L8=1,P$1=Units!$Q8),1,Inputs!$B$15)*Inputs!$B$16*(1+Inputs!$B$11)^(P$2-1),0)</f>
        <v>0</v>
      </c>
      <c r="Q9" s="11" t="n">
        <f aca="false">IF(AND(Q$1&gt;=Units!$Q8,MOD(Q$1-Units!$Q8,12)=0),IF(AND(Units!$L8=1,Q$1=Units!$Q8),1,Inputs!$B$15)*Inputs!$B$16*(1+Inputs!$B$11)^(Q$2-1),0)</f>
        <v>515</v>
      </c>
      <c r="R9" s="11" t="n">
        <f aca="false">IF(AND(R$1&gt;=Units!$Q8,MOD(R$1-Units!$Q8,12)=0),IF(AND(Units!$L8=1,R$1=Units!$Q8),1,Inputs!$B$15)*Inputs!$B$16*(1+Inputs!$B$11)^(R$2-1),0)</f>
        <v>0</v>
      </c>
      <c r="S9" s="11" t="n">
        <f aca="false">IF(AND(S$1&gt;=Units!$Q8,MOD(S$1-Units!$Q8,12)=0),IF(AND(Units!$L8=1,S$1=Units!$Q8),1,Inputs!$B$15)*Inputs!$B$16*(1+Inputs!$B$11)^(S$2-1),0)</f>
        <v>0</v>
      </c>
      <c r="T9" s="11" t="n">
        <f aca="false">IF(AND(T$1&gt;=Units!$Q8,MOD(T$1-Units!$Q8,12)=0),IF(AND(Units!$L8=1,T$1=Units!$Q8),1,Inputs!$B$15)*Inputs!$B$16*(1+Inputs!$B$11)^(T$2-1),0)</f>
        <v>0</v>
      </c>
      <c r="U9" s="11" t="n">
        <f aca="false">IF(AND(U$1&gt;=Units!$Q8,MOD(U$1-Units!$Q8,12)=0),IF(AND(Units!$L8=1,U$1=Units!$Q8),1,Inputs!$B$15)*Inputs!$B$16*(1+Inputs!$B$11)^(U$2-1),0)</f>
        <v>0</v>
      </c>
      <c r="V9" s="11" t="n">
        <f aca="false">IF(AND(V$1&gt;=Units!$Q8,MOD(V$1-Units!$Q8,12)=0),IF(AND(Units!$L8=1,V$1=Units!$Q8),1,Inputs!$B$15)*Inputs!$B$16*(1+Inputs!$B$11)^(V$2-1),0)</f>
        <v>0</v>
      </c>
      <c r="W9" s="11" t="n">
        <f aca="false">IF(AND(W$1&gt;=Units!$Q8,MOD(W$1-Units!$Q8,12)=0),IF(AND(Units!$L8=1,W$1=Units!$Q8),1,Inputs!$B$15)*Inputs!$B$16*(1+Inputs!$B$11)^(W$2-1),0)</f>
        <v>0</v>
      </c>
      <c r="X9" s="11" t="n">
        <f aca="false">IF(AND(X$1&gt;=Units!$Q8,MOD(X$1-Units!$Q8,12)=0),IF(AND(Units!$L8=1,X$1=Units!$Q8),1,Inputs!$B$15)*Inputs!$B$16*(1+Inputs!$B$11)^(X$2-1),0)</f>
        <v>0</v>
      </c>
      <c r="Y9" s="11" t="n">
        <f aca="false">IF(AND(Y$1&gt;=Units!$Q8,MOD(Y$1-Units!$Q8,12)=0),IF(AND(Units!$L8=1,Y$1=Units!$Q8),1,Inputs!$B$15)*Inputs!$B$16*(1+Inputs!$B$11)^(Y$2-1),0)</f>
        <v>0</v>
      </c>
      <c r="Z9" s="11" t="n">
        <f aca="false">IF(AND(Z$1&gt;=Units!$Q8,MOD(Z$1-Units!$Q8,12)=0),IF(AND(Units!$L8=1,Z$1=Units!$Q8),1,Inputs!$B$15)*Inputs!$B$16*(1+Inputs!$B$11)^(Z$2-1),0)</f>
        <v>0</v>
      </c>
      <c r="AA9" s="11" t="n">
        <f aca="false">IF(AND(AA$1&gt;=Units!$Q8,MOD(AA$1-Units!$Q8,12)=0),IF(AND(Units!$L8=1,AA$1=Units!$Q8),1,Inputs!$B$15)*Inputs!$B$16*(1+Inputs!$B$11)^(AA$2-1),0)</f>
        <v>0</v>
      </c>
      <c r="AB9" s="11" t="n">
        <f aca="false">IF(AND(AB$1&gt;=Units!$Q8,MOD(AB$1-Units!$Q8,12)=0),IF(AND(Units!$L8=1,AB$1=Units!$Q8),1,Inputs!$B$15)*Inputs!$B$16*(1+Inputs!$B$11)^(AB$2-1),0)</f>
        <v>0</v>
      </c>
      <c r="AC9" s="11" t="n">
        <f aca="false">IF(AND(AC$1&gt;=Units!$Q8,MOD(AC$1-Units!$Q8,12)=0),IF(AND(Units!$L8=1,AC$1=Units!$Q8),1,Inputs!$B$15)*Inputs!$B$16*(1+Inputs!$B$11)^(AC$2-1),0)</f>
        <v>530.45</v>
      </c>
      <c r="AD9" s="11" t="n">
        <f aca="false">IF(AND(AD$1&gt;=Units!$Q8,MOD(AD$1-Units!$Q8,12)=0),IF(AND(Units!$L8=1,AD$1=Units!$Q8),1,Inputs!$B$15)*Inputs!$B$16*(1+Inputs!$B$11)^(AD$2-1),0)</f>
        <v>0</v>
      </c>
      <c r="AE9" s="11" t="n">
        <f aca="false">IF(AND(AE$1&gt;=Units!$Q8,MOD(AE$1-Units!$Q8,12)=0),IF(AND(Units!$L8=1,AE$1=Units!$Q8),1,Inputs!$B$15)*Inputs!$B$16*(1+Inputs!$B$11)^(AE$2-1),0)</f>
        <v>0</v>
      </c>
      <c r="AF9" s="11" t="n">
        <f aca="false">IF(AND(AF$1&gt;=Units!$Q8,MOD(AF$1-Units!$Q8,12)=0),IF(AND(Units!$L8=1,AF$1=Units!$Q8),1,Inputs!$B$15)*Inputs!$B$16*(1+Inputs!$B$11)^(AF$2-1),0)</f>
        <v>0</v>
      </c>
      <c r="AG9" s="11" t="n">
        <f aca="false">IF(AND(AG$1&gt;=Units!$Q8,MOD(AG$1-Units!$Q8,12)=0),IF(AND(Units!$L8=1,AG$1=Units!$Q8),1,Inputs!$B$15)*Inputs!$B$16*(1+Inputs!$B$11)^(AG$2-1),0)</f>
        <v>0</v>
      </c>
      <c r="AH9" s="11" t="n">
        <f aca="false">IF(AND(AH$1&gt;=Units!$Q8,MOD(AH$1-Units!$Q8,12)=0),IF(AND(Units!$L8=1,AH$1=Units!$Q8),1,Inputs!$B$15)*Inputs!$B$16*(1+Inputs!$B$11)^(AH$2-1),0)</f>
        <v>0</v>
      </c>
      <c r="AI9" s="11" t="n">
        <f aca="false">IF(AND(AI$1&gt;=Units!$Q8,MOD(AI$1-Units!$Q8,12)=0),IF(AND(Units!$L8=1,AI$1=Units!$Q8),1,Inputs!$B$15)*Inputs!$B$16*(1+Inputs!$B$11)^(AI$2-1),0)</f>
        <v>0</v>
      </c>
      <c r="AJ9" s="11" t="n">
        <f aca="false">IF(AND(AJ$1&gt;=Units!$Q8,MOD(AJ$1-Units!$Q8,12)=0),IF(AND(Units!$L8=1,AJ$1=Units!$Q8),1,Inputs!$B$15)*Inputs!$B$16*(1+Inputs!$B$11)^(AJ$2-1),0)</f>
        <v>0</v>
      </c>
      <c r="AK9" s="11" t="n">
        <f aca="false">IF(AND(AK$1&gt;=Units!$Q8,MOD(AK$1-Units!$Q8,12)=0),IF(AND(Units!$L8=1,AK$1=Units!$Q8),1,Inputs!$B$15)*Inputs!$B$16*(1+Inputs!$B$11)^(AK$2-1),0)</f>
        <v>0</v>
      </c>
      <c r="AL9" s="11" t="n">
        <f aca="false">IF(AND(AL$1&gt;=Units!$Q8,MOD(AL$1-Units!$Q8,12)=0),IF(AND(Units!$L8=1,AL$1=Units!$Q8),1,Inputs!$B$15)*Inputs!$B$16*(1+Inputs!$B$11)^(AL$2-1),0)</f>
        <v>0</v>
      </c>
      <c r="AM9" s="11" t="n">
        <f aca="false">IF(AND(AM$1&gt;=Units!$Q8,MOD(AM$1-Units!$Q8,12)=0),IF(AND(Units!$L8=1,AM$1=Units!$Q8),1,Inputs!$B$15)*Inputs!$B$16*(1+Inputs!$B$11)^(AM$2-1),0)</f>
        <v>0</v>
      </c>
      <c r="AN9" s="11" t="n">
        <f aca="false">IF(AND(AN$1&gt;=Units!$Q8,MOD(AN$1-Units!$Q8,12)=0),IF(AND(Units!$L8=1,AN$1=Units!$Q8),1,Inputs!$B$15)*Inputs!$B$16*(1+Inputs!$B$11)^(AN$2-1),0)</f>
        <v>0</v>
      </c>
      <c r="AO9" s="11" t="n">
        <f aca="false">IF(AND(AO$1&gt;=Units!$Q8,MOD(AO$1-Units!$Q8,12)=0),IF(AND(Units!$L8=1,AO$1=Units!$Q8),1,Inputs!$B$15)*Inputs!$B$16*(1+Inputs!$B$11)^(AO$2-1),0)</f>
        <v>546.3635</v>
      </c>
      <c r="AP9" s="11" t="n">
        <f aca="false">IF(AND(AP$1&gt;=Units!$Q8,MOD(AP$1-Units!$Q8,12)=0),IF(AND(Units!$L8=1,AP$1=Units!$Q8),1,Inputs!$B$15)*Inputs!$B$16*(1+Inputs!$B$11)^(AP$2-1),0)</f>
        <v>0</v>
      </c>
      <c r="AQ9" s="11" t="n">
        <f aca="false">IF(AND(AQ$1&gt;=Units!$Q8,MOD(AQ$1-Units!$Q8,12)=0),IF(AND(Units!$L8=1,AQ$1=Units!$Q8),1,Inputs!$B$15)*Inputs!$B$16*(1+Inputs!$B$11)^(AQ$2-1),0)</f>
        <v>0</v>
      </c>
      <c r="AR9" s="11" t="n">
        <f aca="false">IF(AND(AR$1&gt;=Units!$Q8,MOD(AR$1-Units!$Q8,12)=0),IF(AND(Units!$L8=1,AR$1=Units!$Q8),1,Inputs!$B$15)*Inputs!$B$16*(1+Inputs!$B$11)^(AR$2-1),0)</f>
        <v>0</v>
      </c>
      <c r="AS9" s="11" t="n">
        <f aca="false">IF(AND(AS$1&gt;=Units!$Q8,MOD(AS$1-Units!$Q8,12)=0),IF(AND(Units!$L8=1,AS$1=Units!$Q8),1,Inputs!$B$15)*Inputs!$B$16*(1+Inputs!$B$11)^(AS$2-1),0)</f>
        <v>0</v>
      </c>
      <c r="AT9" s="11" t="n">
        <f aca="false">IF(AND(AT$1&gt;=Units!$Q8,MOD(AT$1-Units!$Q8,12)=0),IF(AND(Units!$L8=1,AT$1=Units!$Q8),1,Inputs!$B$15)*Inputs!$B$16*(1+Inputs!$B$11)^(AT$2-1),0)</f>
        <v>0</v>
      </c>
      <c r="AU9" s="11" t="n">
        <f aca="false">IF(AND(AU$1&gt;=Units!$Q8,MOD(AU$1-Units!$Q8,12)=0),IF(AND(Units!$L8=1,AU$1=Units!$Q8),1,Inputs!$B$15)*Inputs!$B$16*(1+Inputs!$B$11)^(AU$2-1),0)</f>
        <v>0</v>
      </c>
      <c r="AV9" s="11" t="n">
        <f aca="false">IF(AND(AV$1&gt;=Units!$Q8,MOD(AV$1-Units!$Q8,12)=0),IF(AND(Units!$L8=1,AV$1=Units!$Q8),1,Inputs!$B$15)*Inputs!$B$16*(1+Inputs!$B$11)^(AV$2-1),0)</f>
        <v>0</v>
      </c>
      <c r="AW9" s="11" t="n">
        <f aca="false">IF(AND(AW$1&gt;=Units!$Q8,MOD(AW$1-Units!$Q8,12)=0),IF(AND(Units!$L8=1,AW$1=Units!$Q8),1,Inputs!$B$15)*Inputs!$B$16*(1+Inputs!$B$11)^(AW$2-1),0)</f>
        <v>0</v>
      </c>
      <c r="AX9" s="11" t="n">
        <f aca="false">IF(AND(AX$1&gt;=Units!$Q8,MOD(AX$1-Units!$Q8,12)=0),IF(AND(Units!$L8=1,AX$1=Units!$Q8),1,Inputs!$B$15)*Inputs!$B$16*(1+Inputs!$B$11)^(AX$2-1),0)</f>
        <v>0</v>
      </c>
      <c r="AY9" s="11" t="n">
        <f aca="false">IF(AND(AY$1&gt;=Units!$Q8,MOD(AY$1-Units!$Q8,12)=0),IF(AND(Units!$L8=1,AY$1=Units!$Q8),1,Inputs!$B$15)*Inputs!$B$16*(1+Inputs!$B$11)^(AY$2-1),0)</f>
        <v>0</v>
      </c>
      <c r="AZ9" s="11" t="n">
        <f aca="false">IF(AND(AZ$1&gt;=Units!$Q8,MOD(AZ$1-Units!$Q8,12)=0),IF(AND(Units!$L8=1,AZ$1=Units!$Q8),1,Inputs!$B$15)*Inputs!$B$16*(1+Inputs!$B$11)^(AZ$2-1),0)</f>
        <v>0</v>
      </c>
      <c r="BA9" s="11" t="n">
        <f aca="false">IF(AND(BA$1&gt;=Units!$Q8,MOD(BA$1-Units!$Q8,12)=0),IF(AND(Units!$L8=1,BA$1=Units!$Q8),1,Inputs!$B$15)*Inputs!$B$16*(1+Inputs!$B$11)^(BA$2-1),0)</f>
        <v>562.754405</v>
      </c>
      <c r="BB9" s="11" t="n">
        <f aca="false">IF(AND(BB$1&gt;=Units!$Q8,MOD(BB$1-Units!$Q8,12)=0),IF(AND(Units!$L8=1,BB$1=Units!$Q8),1,Inputs!$B$15)*Inputs!$B$16*(1+Inputs!$B$11)^(BB$2-1),0)</f>
        <v>0</v>
      </c>
      <c r="BC9" s="11" t="n">
        <f aca="false">IF(AND(BC$1&gt;=Units!$Q8,MOD(BC$1-Units!$Q8,12)=0),IF(AND(Units!$L8=1,BC$1=Units!$Q8),1,Inputs!$B$15)*Inputs!$B$16*(1+Inputs!$B$11)^(BC$2-1),0)</f>
        <v>0</v>
      </c>
      <c r="BD9" s="11" t="n">
        <f aca="false">IF(AND(BD$1&gt;=Units!$Q8,MOD(BD$1-Units!$Q8,12)=0),IF(AND(Units!$L8=1,BD$1=Units!$Q8),1,Inputs!$B$15)*Inputs!$B$16*(1+Inputs!$B$11)^(BD$2-1),0)</f>
        <v>0</v>
      </c>
      <c r="BE9" s="11" t="n">
        <f aca="false">IF(AND(BE$1&gt;=Units!$Q8,MOD(BE$1-Units!$Q8,12)=0),IF(AND(Units!$L8=1,BE$1=Units!$Q8),1,Inputs!$B$15)*Inputs!$B$16*(1+Inputs!$B$11)^(BE$2-1),0)</f>
        <v>0</v>
      </c>
      <c r="BF9" s="11" t="n">
        <f aca="false">IF(AND(BF$1&gt;=Units!$Q8,MOD(BF$1-Units!$Q8,12)=0),IF(AND(Units!$L8=1,BF$1=Units!$Q8),1,Inputs!$B$15)*Inputs!$B$16*(1+Inputs!$B$11)^(BF$2-1),0)</f>
        <v>0</v>
      </c>
      <c r="BG9" s="11" t="n">
        <f aca="false">IF(AND(BG$1&gt;=Units!$Q8,MOD(BG$1-Units!$Q8,12)=0),IF(AND(Units!$L8=1,BG$1=Units!$Q8),1,Inputs!$B$15)*Inputs!$B$16*(1+Inputs!$B$11)^(BG$2-1),0)</f>
        <v>0</v>
      </c>
      <c r="BH9" s="11" t="n">
        <f aca="false">IF(AND(BH$1&gt;=Units!$Q8,MOD(BH$1-Units!$Q8,12)=0),IF(AND(Units!$L8=1,BH$1=Units!$Q8),1,Inputs!$B$15)*Inputs!$B$16*(1+Inputs!$B$11)^(BH$2-1),0)</f>
        <v>0</v>
      </c>
      <c r="BI9" s="11" t="n">
        <f aca="false">IF(AND(BI$1&gt;=Units!$Q8,MOD(BI$1-Units!$Q8,12)=0),IF(AND(Units!$L8=1,BI$1=Units!$Q8),1,Inputs!$B$15)*Inputs!$B$16*(1+Inputs!$B$11)^(BI$2-1),0)</f>
        <v>0</v>
      </c>
      <c r="BJ9" s="11" t="n">
        <f aca="false">IF(AND(BJ$1&gt;=Units!$Q8,MOD(BJ$1-Units!$Q8,12)=0),IF(AND(Units!$L8=1,BJ$1=Units!$Q8),1,Inputs!$B$15)*Inputs!$B$16*(1+Inputs!$B$11)^(BJ$2-1),0)</f>
        <v>0</v>
      </c>
      <c r="BK9" s="11" t="n">
        <f aca="false">IF(AND(BK$1&gt;=Units!$Q8,MOD(BK$1-Units!$Q8,12)=0),IF(AND(Units!$L8=1,BK$1=Units!$Q8),1,Inputs!$B$15)*Inputs!$B$16*(1+Inputs!$B$11)^(BK$2-1),0)</f>
        <v>0</v>
      </c>
      <c r="BL9" s="11" t="n">
        <f aca="false">IF(AND(BL$1&gt;=Units!$Q8,MOD(BL$1-Units!$Q8,12)=0),IF(AND(Units!$L8=1,BL$1=Units!$Q8),1,Inputs!$B$15)*Inputs!$B$16*(1+Inputs!$B$11)^(BL$2-1),0)</f>
        <v>0</v>
      </c>
      <c r="BM9" s="11" t="n">
        <f aca="false">IF(AND(BM$1&gt;=Units!$Q8,MOD(BM$1-Units!$Q8,12)=0),IF(AND(Units!$L8=1,BM$1=Units!$Q8),1,Inputs!$B$15)*Inputs!$B$16*(1+Inputs!$B$11)^(BM$2-1),0)</f>
        <v>579.63703715</v>
      </c>
      <c r="BN9" s="11" t="n">
        <f aca="false">IF(AND(BN$1&gt;=Units!$Q8,MOD(BN$1-Units!$Q8,12)=0),IF(AND(Units!$L8=1,BN$1=Units!$Q8),1,Inputs!$B$15)*Inputs!$B$16*(1+Inputs!$B$11)^(BN$2-1),0)</f>
        <v>0</v>
      </c>
      <c r="BO9" s="11" t="n">
        <f aca="false">IF(AND(BO$1&gt;=Units!$Q8,MOD(BO$1-Units!$Q8,12)=0),IF(AND(Units!$L8=1,BO$1=Units!$Q8),1,Inputs!$B$15)*Inputs!$B$16*(1+Inputs!$B$11)^(BO$2-1),0)</f>
        <v>0</v>
      </c>
      <c r="BP9" s="11" t="n">
        <f aca="false">IF(AND(BP$1&gt;=Units!$Q8,MOD(BP$1-Units!$Q8,12)=0),IF(AND(Units!$L8=1,BP$1=Units!$Q8),1,Inputs!$B$15)*Inputs!$B$16*(1+Inputs!$B$11)^(BP$2-1),0)</f>
        <v>0</v>
      </c>
      <c r="BQ9" s="11" t="n">
        <f aca="false">IF(AND(BQ$1&gt;=Units!$Q8,MOD(BQ$1-Units!$Q8,12)=0),IF(AND(Units!$L8=1,BQ$1=Units!$Q8),1,Inputs!$B$15)*Inputs!$B$16*(1+Inputs!$B$11)^(BQ$2-1),0)</f>
        <v>0</v>
      </c>
      <c r="BR9" s="11" t="n">
        <f aca="false">IF(AND(BR$1&gt;=Units!$Q8,MOD(BR$1-Units!$Q8,12)=0),IF(AND(Units!$L8=1,BR$1=Units!$Q8),1,Inputs!$B$15)*Inputs!$B$16*(1+Inputs!$B$11)^(BR$2-1),0)</f>
        <v>0</v>
      </c>
      <c r="BS9" s="11" t="n">
        <f aca="false">IF(AND(BS$1&gt;=Units!$Q8,MOD(BS$1-Units!$Q8,12)=0),IF(AND(Units!$L8=1,BS$1=Units!$Q8),1,Inputs!$B$15)*Inputs!$B$16*(1+Inputs!$B$11)^(BS$2-1),0)</f>
        <v>0</v>
      </c>
      <c r="BT9" s="11" t="n">
        <f aca="false">IF(AND(BT$1&gt;=Units!$Q8,MOD(BT$1-Units!$Q8,12)=0),IF(AND(Units!$L8=1,BT$1=Units!$Q8),1,Inputs!$B$15)*Inputs!$B$16*(1+Inputs!$B$11)^(BT$2-1),0)</f>
        <v>0</v>
      </c>
      <c r="BU9" s="11" t="n">
        <f aca="false">IF(AND(BU$1&gt;=Units!$Q8,MOD(BU$1-Units!$Q8,12)=0),IF(AND(Units!$L8=1,BU$1=Units!$Q8),1,Inputs!$B$15)*Inputs!$B$16*(1+Inputs!$B$11)^(BU$2-1),0)</f>
        <v>0</v>
      </c>
      <c r="BV9" s="11" t="n">
        <f aca="false">IF(AND(BV$1&gt;=Units!$Q8,MOD(BV$1-Units!$Q8,12)=0),IF(AND(Units!$L8=1,BV$1=Units!$Q8),1,Inputs!$B$15)*Inputs!$B$16*(1+Inputs!$B$11)^(BV$2-1),0)</f>
        <v>0</v>
      </c>
      <c r="BW9" s="11" t="n">
        <f aca="false">IF(AND(BW$1&gt;=Units!$Q8,MOD(BW$1-Units!$Q8,12)=0),IF(AND(Units!$L8=1,BW$1=Units!$Q8),1,Inputs!$B$15)*Inputs!$B$16*(1+Inputs!$B$11)^(BW$2-1),0)</f>
        <v>0</v>
      </c>
      <c r="BX9" s="11" t="n">
        <f aca="false">IF(AND(BX$1&gt;=Units!$Q8,MOD(BX$1-Units!$Q8,12)=0),IF(AND(Units!$L8=1,BX$1=Units!$Q8),1,Inputs!$B$15)*Inputs!$B$16*(1+Inputs!$B$11)^(BX$2-1),0)</f>
        <v>0</v>
      </c>
      <c r="BY9" s="11" t="n">
        <f aca="false">IF(AND(BY$1&gt;=Units!$Q8,MOD(BY$1-Units!$Q8,12)=0),IF(AND(Units!$L8=1,BY$1=Units!$Q8),1,Inputs!$B$15)*Inputs!$B$16*(1+Inputs!$B$11)^(BY$2-1),0)</f>
        <v>597.0261482645</v>
      </c>
      <c r="BZ9" s="11" t="n">
        <f aca="false">IF(AND(BZ$1&gt;=Units!$Q8,MOD(BZ$1-Units!$Q8,12)=0),IF(AND(Units!$L8=1,BZ$1=Units!$Q8),1,Inputs!$B$15)*Inputs!$B$16*(1+Inputs!$B$11)^(BZ$2-1),0)</f>
        <v>0</v>
      </c>
      <c r="CA9" s="11" t="n">
        <f aca="false">IF(AND(CA$1&gt;=Units!$Q8,MOD(CA$1-Units!$Q8,12)=0),IF(AND(Units!$L8=1,CA$1=Units!$Q8),1,Inputs!$B$15)*Inputs!$B$16*(1+Inputs!$B$11)^(CA$2-1),0)</f>
        <v>0</v>
      </c>
      <c r="CB9" s="11" t="n">
        <f aca="false">IF(AND(CB$1&gt;=Units!$Q8,MOD(CB$1-Units!$Q8,12)=0),IF(AND(Units!$L8=1,CB$1=Units!$Q8),1,Inputs!$B$15)*Inputs!$B$16*(1+Inputs!$B$11)^(CB$2-1),0)</f>
        <v>0</v>
      </c>
      <c r="CC9" s="11" t="n">
        <f aca="false">IF(AND(CC$1&gt;=Units!$Q8,MOD(CC$1-Units!$Q8,12)=0),IF(AND(Units!$L8=1,CC$1=Units!$Q8),1,Inputs!$B$15)*Inputs!$B$16*(1+Inputs!$B$11)^(CC$2-1),0)</f>
        <v>0</v>
      </c>
      <c r="CD9" s="11" t="n">
        <f aca="false">IF(AND(CD$1&gt;=Units!$Q8,MOD(CD$1-Units!$Q8,12)=0),IF(AND(Units!$L8=1,CD$1=Units!$Q8),1,Inputs!$B$15)*Inputs!$B$16*(1+Inputs!$B$11)^(CD$2-1),0)</f>
        <v>0</v>
      </c>
      <c r="CE9" s="11" t="n">
        <f aca="false">IF(AND(CE$1&gt;=Units!$Q8,MOD(CE$1-Units!$Q8,12)=0),IF(AND(Units!$L8=1,CE$1=Units!$Q8),1,Inputs!$B$15)*Inputs!$B$16*(1+Inputs!$B$11)^(CE$2-1),0)</f>
        <v>0</v>
      </c>
      <c r="CF9" s="11" t="n">
        <f aca="false">IF(AND(CF$1&gt;=Units!$Q8,MOD(CF$1-Units!$Q8,12)=0),IF(AND(Units!$L8=1,CF$1=Units!$Q8),1,Inputs!$B$15)*Inputs!$B$16*(1+Inputs!$B$11)^(CF$2-1),0)</f>
        <v>0</v>
      </c>
      <c r="CG9" s="11" t="n">
        <f aca="false">IF(AND(CG$1&gt;=Units!$Q8,MOD(CG$1-Units!$Q8,12)=0),IF(AND(Units!$L8=1,CG$1=Units!$Q8),1,Inputs!$B$15)*Inputs!$B$16*(1+Inputs!$B$11)^(CG$2-1),0)</f>
        <v>0</v>
      </c>
      <c r="CH9" s="11" t="n">
        <f aca="false">IF(AND(CH$1&gt;=Units!$Q8,MOD(CH$1-Units!$Q8,12)=0),IF(AND(Units!$L8=1,CH$1=Units!$Q8),1,Inputs!$B$15)*Inputs!$B$16*(1+Inputs!$B$11)^(CH$2-1),0)</f>
        <v>0</v>
      </c>
      <c r="CI9" s="11" t="n">
        <f aca="false">IF(AND(CI$1&gt;=Units!$Q8,MOD(CI$1-Units!$Q8,12)=0),IF(AND(Units!$L8=1,CI$1=Units!$Q8),1,Inputs!$B$15)*Inputs!$B$16*(1+Inputs!$B$11)^(CI$2-1),0)</f>
        <v>0</v>
      </c>
      <c r="CJ9" s="11" t="n">
        <f aca="false">IF(AND(CJ$1&gt;=Units!$Q8,MOD(CJ$1-Units!$Q8,12)=0),IF(AND(Units!$L8=1,CJ$1=Units!$Q8),1,Inputs!$B$15)*Inputs!$B$16*(1+Inputs!$B$11)^(CJ$2-1),0)</f>
        <v>0</v>
      </c>
      <c r="CK9" s="11" t="n">
        <f aca="false">IF(AND(CK$1&gt;=Units!$Q8,MOD(CK$1-Units!$Q8,12)=0),IF(AND(Units!$L8=1,CK$1=Units!$Q8),1,Inputs!$B$15)*Inputs!$B$16*(1+Inputs!$B$11)^(CK$2-1),0)</f>
        <v>614.936932712435</v>
      </c>
      <c r="CL9" s="11" t="n">
        <f aca="false">IF(AND(CL$1&gt;=Units!$Q8,MOD(CL$1-Units!$Q8,12)=0),IF(AND(Units!$L8=1,CL$1=Units!$Q8),1,Inputs!$B$15)*Inputs!$B$16*(1+Inputs!$B$11)^(CL$2-1),0)</f>
        <v>0</v>
      </c>
      <c r="CM9" s="11" t="n">
        <f aca="false">IF(AND(CM$1&gt;=Units!$Q8,MOD(CM$1-Units!$Q8,12)=0),IF(AND(Units!$L8=1,CM$1=Units!$Q8),1,Inputs!$B$15)*Inputs!$B$16*(1+Inputs!$B$11)^(CM$2-1),0)</f>
        <v>0</v>
      </c>
      <c r="CN9" s="11" t="n">
        <f aca="false">IF(AND(CN$1&gt;=Units!$Q8,MOD(CN$1-Units!$Q8,12)=0),IF(AND(Units!$L8=1,CN$1=Units!$Q8),1,Inputs!$B$15)*Inputs!$B$16*(1+Inputs!$B$11)^(CN$2-1),0)</f>
        <v>0</v>
      </c>
      <c r="CO9" s="11" t="n">
        <f aca="false">IF(AND(CO$1&gt;=Units!$Q8,MOD(CO$1-Units!$Q8,12)=0),IF(AND(Units!$L8=1,CO$1=Units!$Q8),1,Inputs!$B$15)*Inputs!$B$16*(1+Inputs!$B$11)^(CO$2-1),0)</f>
        <v>0</v>
      </c>
      <c r="CP9" s="11" t="n">
        <f aca="false">IF(AND(CP$1&gt;=Units!$Q8,MOD(CP$1-Units!$Q8,12)=0),IF(AND(Units!$L8=1,CP$1=Units!$Q8),1,Inputs!$B$15)*Inputs!$B$16*(1+Inputs!$B$11)^(CP$2-1),0)</f>
        <v>0</v>
      </c>
      <c r="CQ9" s="11" t="n">
        <f aca="false">IF(AND(CQ$1&gt;=Units!$Q8,MOD(CQ$1-Units!$Q8,12)=0),IF(AND(Units!$L8=1,CQ$1=Units!$Q8),1,Inputs!$B$15)*Inputs!$B$16*(1+Inputs!$B$11)^(CQ$2-1),0)</f>
        <v>0</v>
      </c>
      <c r="CR9" s="11" t="n">
        <f aca="false">IF(AND(CR$1&gt;=Units!$Q8,MOD(CR$1-Units!$Q8,12)=0),IF(AND(Units!$L8=1,CR$1=Units!$Q8),1,Inputs!$B$15)*Inputs!$B$16*(1+Inputs!$B$11)^(CR$2-1),0)</f>
        <v>0</v>
      </c>
      <c r="CS9" s="11" t="n">
        <f aca="false">IF(AND(CS$1&gt;=Units!$Q8,MOD(CS$1-Units!$Q8,12)=0),IF(AND(Units!$L8=1,CS$1=Units!$Q8),1,Inputs!$B$15)*Inputs!$B$16*(1+Inputs!$B$11)^(CS$2-1),0)</f>
        <v>0</v>
      </c>
      <c r="CT9" s="11" t="n">
        <f aca="false">IF(AND(CT$1&gt;=Units!$Q8,MOD(CT$1-Units!$Q8,12)=0),IF(AND(Units!$L8=1,CT$1=Units!$Q8),1,Inputs!$B$15)*Inputs!$B$16*(1+Inputs!$B$11)^(CT$2-1),0)</f>
        <v>0</v>
      </c>
      <c r="CU9" s="11" t="n">
        <f aca="false">IF(AND(CU$1&gt;=Units!$Q8,MOD(CU$1-Units!$Q8,12)=0),IF(AND(Units!$L8=1,CU$1=Units!$Q8),1,Inputs!$B$15)*Inputs!$B$16*(1+Inputs!$B$11)^(CU$2-1),0)</f>
        <v>0</v>
      </c>
      <c r="CV9" s="11" t="n">
        <f aca="false">IF(AND(CV$1&gt;=Units!$Q8,MOD(CV$1-Units!$Q8,12)=0),IF(AND(Units!$L8=1,CV$1=Units!$Q8),1,Inputs!$B$15)*Inputs!$B$16*(1+Inputs!$B$11)^(CV$2-1),0)</f>
        <v>0</v>
      </c>
      <c r="CW9" s="11" t="n">
        <f aca="false">IF(AND(CW$1&gt;=Units!$Q8,MOD(CW$1-Units!$Q8,12)=0),IF(AND(Units!$L8=1,CW$1=Units!$Q8),1,Inputs!$B$15)*Inputs!$B$16*(1+Inputs!$B$11)^(CW$2-1),0)</f>
        <v>633.385040693808</v>
      </c>
      <c r="CX9" s="11" t="n">
        <f aca="false">IF(AND(CX$1&gt;=Units!$Q8,MOD(CX$1-Units!$Q8,12)=0),IF(AND(Units!$L8=1,CX$1=Units!$Q8),1,Inputs!$B$15)*Inputs!$B$16*(1+Inputs!$B$11)^(CX$2-1),0)</f>
        <v>0</v>
      </c>
      <c r="CY9" s="11" t="n">
        <f aca="false">IF(AND(CY$1&gt;=Units!$Q8,MOD(CY$1-Units!$Q8,12)=0),IF(AND(Units!$L8=1,CY$1=Units!$Q8),1,Inputs!$B$15)*Inputs!$B$16*(1+Inputs!$B$11)^(CY$2-1),0)</f>
        <v>0</v>
      </c>
      <c r="CZ9" s="11" t="n">
        <f aca="false">IF(AND(CZ$1&gt;=Units!$Q8,MOD(CZ$1-Units!$Q8,12)=0),IF(AND(Units!$L8=1,CZ$1=Units!$Q8),1,Inputs!$B$15)*Inputs!$B$16*(1+Inputs!$B$11)^(CZ$2-1),0)</f>
        <v>0</v>
      </c>
      <c r="DA9" s="11" t="n">
        <f aca="false">IF(AND(DA$1&gt;=Units!$Q8,MOD(DA$1-Units!$Q8,12)=0),IF(AND(Units!$L8=1,DA$1=Units!$Q8),1,Inputs!$B$15)*Inputs!$B$16*(1+Inputs!$B$11)^(DA$2-1),0)</f>
        <v>0</v>
      </c>
      <c r="DB9" s="11" t="n">
        <f aca="false">IF(AND(DB$1&gt;=Units!$Q8,MOD(DB$1-Units!$Q8,12)=0),IF(AND(Units!$L8=1,DB$1=Units!$Q8),1,Inputs!$B$15)*Inputs!$B$16*(1+Inputs!$B$11)^(DB$2-1),0)</f>
        <v>0</v>
      </c>
      <c r="DC9" s="11" t="n">
        <f aca="false">IF(AND(DC$1&gt;=Units!$Q8,MOD(DC$1-Units!$Q8,12)=0),IF(AND(Units!$L8=1,DC$1=Units!$Q8),1,Inputs!$B$15)*Inputs!$B$16*(1+Inputs!$B$11)^(DC$2-1),0)</f>
        <v>0</v>
      </c>
      <c r="DD9" s="11" t="n">
        <f aca="false">IF(AND(DD$1&gt;=Units!$Q8,MOD(DD$1-Units!$Q8,12)=0),IF(AND(Units!$L8=1,DD$1=Units!$Q8),1,Inputs!$B$15)*Inputs!$B$16*(1+Inputs!$B$11)^(DD$2-1),0)</f>
        <v>0</v>
      </c>
      <c r="DE9" s="11" t="n">
        <f aca="false">IF(AND(DE$1&gt;=Units!$Q8,MOD(DE$1-Units!$Q8,12)=0),IF(AND(Units!$L8=1,DE$1=Units!$Q8),1,Inputs!$B$15)*Inputs!$B$16*(1+Inputs!$B$11)^(DE$2-1),0)</f>
        <v>0</v>
      </c>
      <c r="DF9" s="11" t="n">
        <f aca="false">IF(AND(DF$1&gt;=Units!$Q8,MOD(DF$1-Units!$Q8,12)=0),IF(AND(Units!$L8=1,DF$1=Units!$Q8),1,Inputs!$B$15)*Inputs!$B$16*(1+Inputs!$B$11)^(DF$2-1),0)</f>
        <v>0</v>
      </c>
      <c r="DG9" s="11" t="n">
        <f aca="false">IF(AND(DG$1&gt;=Units!$Q8,MOD(DG$1-Units!$Q8,12)=0),IF(AND(Units!$L8=1,DG$1=Units!$Q8),1,Inputs!$B$15)*Inputs!$B$16*(1+Inputs!$B$11)^(DG$2-1),0)</f>
        <v>0</v>
      </c>
      <c r="DH9" s="11" t="n">
        <f aca="false">IF(AND(DH$1&gt;=Units!$Q8,MOD(DH$1-Units!$Q8,12)=0),IF(AND(Units!$L8=1,DH$1=Units!$Q8),1,Inputs!$B$15)*Inputs!$B$16*(1+Inputs!$B$11)^(DH$2-1),0)</f>
        <v>0</v>
      </c>
      <c r="DI9" s="11" t="n">
        <f aca="false">IF(AND(DI$1&gt;=Units!$Q8,MOD(DI$1-Units!$Q8,12)=0),IF(AND(Units!$L8=1,DI$1=Units!$Q8),1,Inputs!$B$15)*Inputs!$B$16*(1+Inputs!$B$11)^(DI$2-1),0)</f>
        <v>652.386591914623</v>
      </c>
      <c r="DJ9" s="11" t="n">
        <f aca="false">IF(AND(DJ$1&gt;=Units!$Q8,MOD(DJ$1-Units!$Q8,12)=0),IF(AND(Units!$L8=1,DJ$1=Units!$Q8),1,Inputs!$B$15)*Inputs!$B$16*(1+Inputs!$B$11)^(DJ$2-1),0)</f>
        <v>0</v>
      </c>
      <c r="DK9" s="11" t="n">
        <f aca="false">IF(AND(DK$1&gt;=Units!$Q8,MOD(DK$1-Units!$Q8,12)=0),IF(AND(Units!$L8=1,DK$1=Units!$Q8),1,Inputs!$B$15)*Inputs!$B$16*(1+Inputs!$B$11)^(DK$2-1),0)</f>
        <v>0</v>
      </c>
      <c r="DL9" s="11" t="n">
        <f aca="false">IF(AND(DL$1&gt;=Units!$Q8,MOD(DL$1-Units!$Q8,12)=0),IF(AND(Units!$L8=1,DL$1=Units!$Q8),1,Inputs!$B$15)*Inputs!$B$16*(1+Inputs!$B$11)^(DL$2-1),0)</f>
        <v>0</v>
      </c>
      <c r="DM9" s="11" t="n">
        <f aca="false">IF(AND(DM$1&gt;=Units!$Q8,MOD(DM$1-Units!$Q8,12)=0),IF(AND(Units!$L8=1,DM$1=Units!$Q8),1,Inputs!$B$15)*Inputs!$B$16*(1+Inputs!$B$11)^(DM$2-1),0)</f>
        <v>0</v>
      </c>
      <c r="DN9" s="11" t="n">
        <f aca="false">IF(AND(DN$1&gt;=Units!$Q8,MOD(DN$1-Units!$Q8,12)=0),IF(AND(Units!$L8=1,DN$1=Units!$Q8),1,Inputs!$B$15)*Inputs!$B$16*(1+Inputs!$B$11)^(DN$2-1),0)</f>
        <v>0</v>
      </c>
      <c r="DO9" s="11" t="n">
        <f aca="false">IF(AND(DO$1&gt;=Units!$Q8,MOD(DO$1-Units!$Q8,12)=0),IF(AND(Units!$L8=1,DO$1=Units!$Q8),1,Inputs!$B$15)*Inputs!$B$16*(1+Inputs!$B$11)^(DO$2-1),0)</f>
        <v>0</v>
      </c>
      <c r="DP9" s="11" t="n">
        <f aca="false">IF(AND(DP$1&gt;=Units!$Q8,MOD(DP$1-Units!$Q8,12)=0),IF(AND(Units!$L8=1,DP$1=Units!$Q8),1,Inputs!$B$15)*Inputs!$B$16*(1+Inputs!$B$11)^(DP$2-1),0)</f>
        <v>0</v>
      </c>
      <c r="DQ9" s="11" t="n">
        <f aca="false">IF(AND(DQ$1&gt;=Units!$Q8,MOD(DQ$1-Units!$Q8,12)=0),IF(AND(Units!$L8=1,DQ$1=Units!$Q8),1,Inputs!$B$15)*Inputs!$B$16*(1+Inputs!$B$11)^(DQ$2-1),0)</f>
        <v>0</v>
      </c>
      <c r="DR9" s="11" t="n">
        <f aca="false">IF(AND(DR$1&gt;=Units!$Q8,MOD(DR$1-Units!$Q8,12)=0),IF(AND(Units!$L8=1,DR$1=Units!$Q8),1,Inputs!$B$15)*Inputs!$B$16*(1+Inputs!$B$11)^(DR$2-1),0)</f>
        <v>0</v>
      </c>
      <c r="DS9" s="11" t="n">
        <f aca="false">IF(AND(DS$1&gt;=Units!$Q8,MOD(DS$1-Units!$Q8,12)=0),IF(AND(Units!$L8=1,DS$1=Units!$Q8),1,Inputs!$B$15)*Inputs!$B$16*(1+Inputs!$B$11)^(DS$2-1),0)</f>
        <v>0</v>
      </c>
      <c r="DT9" s="11" t="n">
        <f aca="false">IF(AND(DT$1&gt;=Units!$Q8,MOD(DT$1-Units!$Q8,12)=0),IF(AND(Units!$L8=1,DT$1=Units!$Q8),1,Inputs!$B$15)*Inputs!$B$16*(1+Inputs!$B$11)^(DT$2-1),0)</f>
        <v>0</v>
      </c>
      <c r="DU9" s="11" t="n">
        <f aca="false">IF(AND(DU$1&gt;=Units!$Q8,MOD(DU$1-Units!$Q8,12)=0),IF(AND(Units!$L8=1,DU$1=Units!$Q8),1,Inputs!$B$15)*Inputs!$B$16*(1+Inputs!$B$11)^(DU$2-1),0)</f>
        <v>671.958189672061</v>
      </c>
      <c r="DV9" s="11" t="n">
        <f aca="false">IF(AND(DV$1&gt;=Units!$Q8,MOD(DV$1-Units!$Q8,12)=0),IF(AND(Units!$L8=1,DV$1=Units!$Q8),1,Inputs!$B$15)*Inputs!$B$16*(1+Inputs!$B$11)^(DV$2-1),0)</f>
        <v>0</v>
      </c>
      <c r="DW9" s="11" t="n">
        <f aca="false">IF(AND(DW$1&gt;=Units!$Q8,MOD(DW$1-Units!$Q8,12)=0),IF(AND(Units!$L8=1,DW$1=Units!$Q8),1,Inputs!$B$15)*Inputs!$B$16*(1+Inputs!$B$11)^(DW$2-1),0)</f>
        <v>0</v>
      </c>
      <c r="DX9" s="11" t="n">
        <f aca="false">IF(AND(DX$1&gt;=Units!$Q8,MOD(DX$1-Units!$Q8,12)=0),IF(AND(Units!$L8=1,DX$1=Units!$Q8),1,Inputs!$B$15)*Inputs!$B$16*(1+Inputs!$B$11)^(DX$2-1),0)</f>
        <v>0</v>
      </c>
      <c r="DY9" s="11" t="n">
        <f aca="false">IF(AND(DY$1&gt;=Units!$Q8,MOD(DY$1-Units!$Q8,12)=0),IF(AND(Units!$L8=1,DY$1=Units!$Q8),1,Inputs!$B$15)*Inputs!$B$16*(1+Inputs!$B$11)^(DY$2-1),0)</f>
        <v>0</v>
      </c>
      <c r="DZ9" s="11" t="n">
        <f aca="false">IF(AND(DZ$1&gt;=Units!$Q8,MOD(DZ$1-Units!$Q8,12)=0),IF(AND(Units!$L8=1,DZ$1=Units!$Q8),1,Inputs!$B$15)*Inputs!$B$16*(1+Inputs!$B$11)^(DZ$2-1),0)</f>
        <v>0</v>
      </c>
      <c r="EA9" s="11" t="n">
        <f aca="false">IF(AND(EA$1&gt;=Units!$Q8,MOD(EA$1-Units!$Q8,12)=0),IF(AND(Units!$L8=1,EA$1=Units!$Q8),1,Inputs!$B$15)*Inputs!$B$16*(1+Inputs!$B$11)^(EA$2-1),0)</f>
        <v>0</v>
      </c>
      <c r="EB9" s="11" t="n">
        <f aca="false">IF(AND(EB$1&gt;=Units!$Q8,MOD(EB$1-Units!$Q8,12)=0),IF(AND(Units!$L8=1,EB$1=Units!$Q8),1,Inputs!$B$15)*Inputs!$B$16*(1+Inputs!$B$11)^(EB$2-1),0)</f>
        <v>0</v>
      </c>
      <c r="EC9" s="11" t="n">
        <f aca="false">IF(AND(EC$1&gt;=Units!$Q8,MOD(EC$1-Units!$Q8,12)=0),IF(AND(Units!$L8=1,EC$1=Units!$Q8),1,Inputs!$B$15)*Inputs!$B$16*(1+Inputs!$B$11)^(EC$2-1),0)</f>
        <v>0</v>
      </c>
      <c r="ED9" s="11" t="n">
        <f aca="false">IF(AND(ED$1&gt;=Units!$Q8,MOD(ED$1-Units!$Q8,12)=0),IF(AND(Units!$L8=1,ED$1=Units!$Q8),1,Inputs!$B$15)*Inputs!$B$16*(1+Inputs!$B$11)^(ED$2-1),0)</f>
        <v>0</v>
      </c>
    </row>
    <row r="10" customFormat="false" ht="15" hidden="false" customHeight="false" outlineLevel="0" collapsed="false">
      <c r="A10" s="22" t="n">
        <f aca="false">Units!A9</f>
        <v>108</v>
      </c>
      <c r="B10" s="23"/>
      <c r="C10" s="11" t="n">
        <f aca="false">IF(AND(C$1&gt;=Units!$Q9,MOD(C$1-Units!$Q9,12)=0),IF(AND(Units!$L9=1,C$1=Units!$Q9),1,Inputs!$B$15)*Inputs!$B$16*(1+Inputs!$B$11)^(C$2-1),0)</f>
        <v>0</v>
      </c>
      <c r="D10" s="11" t="n">
        <f aca="false">IF(AND(D$1&gt;=Units!$Q9,MOD(D$1-Units!$Q9,12)=0),IF(AND(Units!$L9=1,D$1=Units!$Q9),1,Inputs!$B$15)*Inputs!$B$16*(1+Inputs!$B$11)^(D$2-1),0)</f>
        <v>0</v>
      </c>
      <c r="E10" s="11" t="n">
        <f aca="false">IF(AND(E$1&gt;=Units!$Q9,MOD(E$1-Units!$Q9,12)=0),IF(AND(Units!$L9=1,E$1=Units!$Q9),1,Inputs!$B$15)*Inputs!$B$16*(1+Inputs!$B$11)^(E$2-1),0)</f>
        <v>0</v>
      </c>
      <c r="F10" s="11" t="n">
        <f aca="false">IF(AND(F$1&gt;=Units!$Q9,MOD(F$1-Units!$Q9,12)=0),IF(AND(Units!$L9=1,F$1=Units!$Q9),1,Inputs!$B$15)*Inputs!$B$16*(1+Inputs!$B$11)^(F$2-1),0)</f>
        <v>0</v>
      </c>
      <c r="G10" s="11" t="n">
        <f aca="false">IF(AND(G$1&gt;=Units!$Q9,MOD(G$1-Units!$Q9,12)=0),IF(AND(Units!$L9=1,G$1=Units!$Q9),1,Inputs!$B$15)*Inputs!$B$16*(1+Inputs!$B$11)^(G$2-1),0)</f>
        <v>0</v>
      </c>
      <c r="H10" s="11" t="n">
        <f aca="false">IF(AND(H$1&gt;=Units!$Q9,MOD(H$1-Units!$Q9,12)=0),IF(AND(Units!$L9=1,H$1=Units!$Q9),1,Inputs!$B$15)*Inputs!$B$16*(1+Inputs!$B$11)^(H$2-1),0)</f>
        <v>0</v>
      </c>
      <c r="I10" s="11" t="n">
        <f aca="false">IF(AND(I$1&gt;=Units!$Q9,MOD(I$1-Units!$Q9,12)=0),IF(AND(Units!$L9=1,I$1=Units!$Q9),1,Inputs!$B$15)*Inputs!$B$16*(1+Inputs!$B$11)^(I$2-1),0)</f>
        <v>0</v>
      </c>
      <c r="J10" s="11" t="n">
        <f aca="false">IF(AND(J$1&gt;=Units!$Q9,MOD(J$1-Units!$Q9,12)=0),IF(AND(Units!$L9=1,J$1=Units!$Q9),1,Inputs!$B$15)*Inputs!$B$16*(1+Inputs!$B$11)^(J$2-1),0)</f>
        <v>500</v>
      </c>
      <c r="K10" s="11" t="n">
        <f aca="false">IF(AND(K$1&gt;=Units!$Q9,MOD(K$1-Units!$Q9,12)=0),IF(AND(Units!$L9=1,K$1=Units!$Q9),1,Inputs!$B$15)*Inputs!$B$16*(1+Inputs!$B$11)^(K$2-1),0)</f>
        <v>0</v>
      </c>
      <c r="L10" s="11" t="n">
        <f aca="false">IF(AND(L$1&gt;=Units!$Q9,MOD(L$1-Units!$Q9,12)=0),IF(AND(Units!$L9=1,L$1=Units!$Q9),1,Inputs!$B$15)*Inputs!$B$16*(1+Inputs!$B$11)^(L$2-1),0)</f>
        <v>0</v>
      </c>
      <c r="M10" s="11" t="n">
        <f aca="false">IF(AND(M$1&gt;=Units!$Q9,MOD(M$1-Units!$Q9,12)=0),IF(AND(Units!$L9=1,M$1=Units!$Q9),1,Inputs!$B$15)*Inputs!$B$16*(1+Inputs!$B$11)^(M$2-1),0)</f>
        <v>0</v>
      </c>
      <c r="N10" s="11" t="n">
        <f aca="false">IF(AND(N$1&gt;=Units!$Q9,MOD(N$1-Units!$Q9,12)=0),IF(AND(Units!$L9=1,N$1=Units!$Q9),1,Inputs!$B$15)*Inputs!$B$16*(1+Inputs!$B$11)^(N$2-1),0)</f>
        <v>0</v>
      </c>
      <c r="O10" s="11" t="n">
        <f aca="false">IF(AND(O$1&gt;=Units!$Q9,MOD(O$1-Units!$Q9,12)=0),IF(AND(Units!$L9=1,O$1=Units!$Q9),1,Inputs!$B$15)*Inputs!$B$16*(1+Inputs!$B$11)^(O$2-1),0)</f>
        <v>0</v>
      </c>
      <c r="P10" s="11" t="n">
        <f aca="false">IF(AND(P$1&gt;=Units!$Q9,MOD(P$1-Units!$Q9,12)=0),IF(AND(Units!$L9=1,P$1=Units!$Q9),1,Inputs!$B$15)*Inputs!$B$16*(1+Inputs!$B$11)^(P$2-1),0)</f>
        <v>0</v>
      </c>
      <c r="Q10" s="11" t="n">
        <f aca="false">IF(AND(Q$1&gt;=Units!$Q9,MOD(Q$1-Units!$Q9,12)=0),IF(AND(Units!$L9=1,Q$1=Units!$Q9),1,Inputs!$B$15)*Inputs!$B$16*(1+Inputs!$B$11)^(Q$2-1),0)</f>
        <v>0</v>
      </c>
      <c r="R10" s="11" t="n">
        <f aca="false">IF(AND(R$1&gt;=Units!$Q9,MOD(R$1-Units!$Q9,12)=0),IF(AND(Units!$L9=1,R$1=Units!$Q9),1,Inputs!$B$15)*Inputs!$B$16*(1+Inputs!$B$11)^(R$2-1),0)</f>
        <v>0</v>
      </c>
      <c r="S10" s="11" t="n">
        <f aca="false">IF(AND(S$1&gt;=Units!$Q9,MOD(S$1-Units!$Q9,12)=0),IF(AND(Units!$L9=1,S$1=Units!$Q9),1,Inputs!$B$15)*Inputs!$B$16*(1+Inputs!$B$11)^(S$2-1),0)</f>
        <v>0</v>
      </c>
      <c r="T10" s="11" t="n">
        <f aca="false">IF(AND(T$1&gt;=Units!$Q9,MOD(T$1-Units!$Q9,12)=0),IF(AND(Units!$L9=1,T$1=Units!$Q9),1,Inputs!$B$15)*Inputs!$B$16*(1+Inputs!$B$11)^(T$2-1),0)</f>
        <v>0</v>
      </c>
      <c r="U10" s="11" t="n">
        <f aca="false">IF(AND(U$1&gt;=Units!$Q9,MOD(U$1-Units!$Q9,12)=0),IF(AND(Units!$L9=1,U$1=Units!$Q9),1,Inputs!$B$15)*Inputs!$B$16*(1+Inputs!$B$11)^(U$2-1),0)</f>
        <v>0</v>
      </c>
      <c r="V10" s="11" t="n">
        <f aca="false">IF(AND(V$1&gt;=Units!$Q9,MOD(V$1-Units!$Q9,12)=0),IF(AND(Units!$L9=1,V$1=Units!$Q9),1,Inputs!$B$15)*Inputs!$B$16*(1+Inputs!$B$11)^(V$2-1),0)</f>
        <v>515</v>
      </c>
      <c r="W10" s="11" t="n">
        <f aca="false">IF(AND(W$1&gt;=Units!$Q9,MOD(W$1-Units!$Q9,12)=0),IF(AND(Units!$L9=1,W$1=Units!$Q9),1,Inputs!$B$15)*Inputs!$B$16*(1+Inputs!$B$11)^(W$2-1),0)</f>
        <v>0</v>
      </c>
      <c r="X10" s="11" t="n">
        <f aca="false">IF(AND(X$1&gt;=Units!$Q9,MOD(X$1-Units!$Q9,12)=0),IF(AND(Units!$L9=1,X$1=Units!$Q9),1,Inputs!$B$15)*Inputs!$B$16*(1+Inputs!$B$11)^(X$2-1),0)</f>
        <v>0</v>
      </c>
      <c r="Y10" s="11" t="n">
        <f aca="false">IF(AND(Y$1&gt;=Units!$Q9,MOD(Y$1-Units!$Q9,12)=0),IF(AND(Units!$L9=1,Y$1=Units!$Q9),1,Inputs!$B$15)*Inputs!$B$16*(1+Inputs!$B$11)^(Y$2-1),0)</f>
        <v>0</v>
      </c>
      <c r="Z10" s="11" t="n">
        <f aca="false">IF(AND(Z$1&gt;=Units!$Q9,MOD(Z$1-Units!$Q9,12)=0),IF(AND(Units!$L9=1,Z$1=Units!$Q9),1,Inputs!$B$15)*Inputs!$B$16*(1+Inputs!$B$11)^(Z$2-1),0)</f>
        <v>0</v>
      </c>
      <c r="AA10" s="11" t="n">
        <f aca="false">IF(AND(AA$1&gt;=Units!$Q9,MOD(AA$1-Units!$Q9,12)=0),IF(AND(Units!$L9=1,AA$1=Units!$Q9),1,Inputs!$B$15)*Inputs!$B$16*(1+Inputs!$B$11)^(AA$2-1),0)</f>
        <v>0</v>
      </c>
      <c r="AB10" s="11" t="n">
        <f aca="false">IF(AND(AB$1&gt;=Units!$Q9,MOD(AB$1-Units!$Q9,12)=0),IF(AND(Units!$L9=1,AB$1=Units!$Q9),1,Inputs!$B$15)*Inputs!$B$16*(1+Inputs!$B$11)^(AB$2-1),0)</f>
        <v>0</v>
      </c>
      <c r="AC10" s="11" t="n">
        <f aca="false">IF(AND(AC$1&gt;=Units!$Q9,MOD(AC$1-Units!$Q9,12)=0),IF(AND(Units!$L9=1,AC$1=Units!$Q9),1,Inputs!$B$15)*Inputs!$B$16*(1+Inputs!$B$11)^(AC$2-1),0)</f>
        <v>0</v>
      </c>
      <c r="AD10" s="11" t="n">
        <f aca="false">IF(AND(AD$1&gt;=Units!$Q9,MOD(AD$1-Units!$Q9,12)=0),IF(AND(Units!$L9=1,AD$1=Units!$Q9),1,Inputs!$B$15)*Inputs!$B$16*(1+Inputs!$B$11)^(AD$2-1),0)</f>
        <v>0</v>
      </c>
      <c r="AE10" s="11" t="n">
        <f aca="false">IF(AND(AE$1&gt;=Units!$Q9,MOD(AE$1-Units!$Q9,12)=0),IF(AND(Units!$L9=1,AE$1=Units!$Q9),1,Inputs!$B$15)*Inputs!$B$16*(1+Inputs!$B$11)^(AE$2-1),0)</f>
        <v>0</v>
      </c>
      <c r="AF10" s="11" t="n">
        <f aca="false">IF(AND(AF$1&gt;=Units!$Q9,MOD(AF$1-Units!$Q9,12)=0),IF(AND(Units!$L9=1,AF$1=Units!$Q9),1,Inputs!$B$15)*Inputs!$B$16*(1+Inputs!$B$11)^(AF$2-1),0)</f>
        <v>0</v>
      </c>
      <c r="AG10" s="11" t="n">
        <f aca="false">IF(AND(AG$1&gt;=Units!$Q9,MOD(AG$1-Units!$Q9,12)=0),IF(AND(Units!$L9=1,AG$1=Units!$Q9),1,Inputs!$B$15)*Inputs!$B$16*(1+Inputs!$B$11)^(AG$2-1),0)</f>
        <v>0</v>
      </c>
      <c r="AH10" s="11" t="n">
        <f aca="false">IF(AND(AH$1&gt;=Units!$Q9,MOD(AH$1-Units!$Q9,12)=0),IF(AND(Units!$L9=1,AH$1=Units!$Q9),1,Inputs!$B$15)*Inputs!$B$16*(1+Inputs!$B$11)^(AH$2-1),0)</f>
        <v>530.45</v>
      </c>
      <c r="AI10" s="11" t="n">
        <f aca="false">IF(AND(AI$1&gt;=Units!$Q9,MOD(AI$1-Units!$Q9,12)=0),IF(AND(Units!$L9=1,AI$1=Units!$Q9),1,Inputs!$B$15)*Inputs!$B$16*(1+Inputs!$B$11)^(AI$2-1),0)</f>
        <v>0</v>
      </c>
      <c r="AJ10" s="11" t="n">
        <f aca="false">IF(AND(AJ$1&gt;=Units!$Q9,MOD(AJ$1-Units!$Q9,12)=0),IF(AND(Units!$L9=1,AJ$1=Units!$Q9),1,Inputs!$B$15)*Inputs!$B$16*(1+Inputs!$B$11)^(AJ$2-1),0)</f>
        <v>0</v>
      </c>
      <c r="AK10" s="11" t="n">
        <f aca="false">IF(AND(AK$1&gt;=Units!$Q9,MOD(AK$1-Units!$Q9,12)=0),IF(AND(Units!$L9=1,AK$1=Units!$Q9),1,Inputs!$B$15)*Inputs!$B$16*(1+Inputs!$B$11)^(AK$2-1),0)</f>
        <v>0</v>
      </c>
      <c r="AL10" s="11" t="n">
        <f aca="false">IF(AND(AL$1&gt;=Units!$Q9,MOD(AL$1-Units!$Q9,12)=0),IF(AND(Units!$L9=1,AL$1=Units!$Q9),1,Inputs!$B$15)*Inputs!$B$16*(1+Inputs!$B$11)^(AL$2-1),0)</f>
        <v>0</v>
      </c>
      <c r="AM10" s="11" t="n">
        <f aca="false">IF(AND(AM$1&gt;=Units!$Q9,MOD(AM$1-Units!$Q9,12)=0),IF(AND(Units!$L9=1,AM$1=Units!$Q9),1,Inputs!$B$15)*Inputs!$B$16*(1+Inputs!$B$11)^(AM$2-1),0)</f>
        <v>0</v>
      </c>
      <c r="AN10" s="11" t="n">
        <f aca="false">IF(AND(AN$1&gt;=Units!$Q9,MOD(AN$1-Units!$Q9,12)=0),IF(AND(Units!$L9=1,AN$1=Units!$Q9),1,Inputs!$B$15)*Inputs!$B$16*(1+Inputs!$B$11)^(AN$2-1),0)</f>
        <v>0</v>
      </c>
      <c r="AO10" s="11" t="n">
        <f aca="false">IF(AND(AO$1&gt;=Units!$Q9,MOD(AO$1-Units!$Q9,12)=0),IF(AND(Units!$L9=1,AO$1=Units!$Q9),1,Inputs!$B$15)*Inputs!$B$16*(1+Inputs!$B$11)^(AO$2-1),0)</f>
        <v>0</v>
      </c>
      <c r="AP10" s="11" t="n">
        <f aca="false">IF(AND(AP$1&gt;=Units!$Q9,MOD(AP$1-Units!$Q9,12)=0),IF(AND(Units!$L9=1,AP$1=Units!$Q9),1,Inputs!$B$15)*Inputs!$B$16*(1+Inputs!$B$11)^(AP$2-1),0)</f>
        <v>0</v>
      </c>
      <c r="AQ10" s="11" t="n">
        <f aca="false">IF(AND(AQ$1&gt;=Units!$Q9,MOD(AQ$1-Units!$Q9,12)=0),IF(AND(Units!$L9=1,AQ$1=Units!$Q9),1,Inputs!$B$15)*Inputs!$B$16*(1+Inputs!$B$11)^(AQ$2-1),0)</f>
        <v>0</v>
      </c>
      <c r="AR10" s="11" t="n">
        <f aca="false">IF(AND(AR$1&gt;=Units!$Q9,MOD(AR$1-Units!$Q9,12)=0),IF(AND(Units!$L9=1,AR$1=Units!$Q9),1,Inputs!$B$15)*Inputs!$B$16*(1+Inputs!$B$11)^(AR$2-1),0)</f>
        <v>0</v>
      </c>
      <c r="AS10" s="11" t="n">
        <f aca="false">IF(AND(AS$1&gt;=Units!$Q9,MOD(AS$1-Units!$Q9,12)=0),IF(AND(Units!$L9=1,AS$1=Units!$Q9),1,Inputs!$B$15)*Inputs!$B$16*(1+Inputs!$B$11)^(AS$2-1),0)</f>
        <v>0</v>
      </c>
      <c r="AT10" s="11" t="n">
        <f aca="false">IF(AND(AT$1&gt;=Units!$Q9,MOD(AT$1-Units!$Q9,12)=0),IF(AND(Units!$L9=1,AT$1=Units!$Q9),1,Inputs!$B$15)*Inputs!$B$16*(1+Inputs!$B$11)^(AT$2-1),0)</f>
        <v>546.3635</v>
      </c>
      <c r="AU10" s="11" t="n">
        <f aca="false">IF(AND(AU$1&gt;=Units!$Q9,MOD(AU$1-Units!$Q9,12)=0),IF(AND(Units!$L9=1,AU$1=Units!$Q9),1,Inputs!$B$15)*Inputs!$B$16*(1+Inputs!$B$11)^(AU$2-1),0)</f>
        <v>0</v>
      </c>
      <c r="AV10" s="11" t="n">
        <f aca="false">IF(AND(AV$1&gt;=Units!$Q9,MOD(AV$1-Units!$Q9,12)=0),IF(AND(Units!$L9=1,AV$1=Units!$Q9),1,Inputs!$B$15)*Inputs!$B$16*(1+Inputs!$B$11)^(AV$2-1),0)</f>
        <v>0</v>
      </c>
      <c r="AW10" s="11" t="n">
        <f aca="false">IF(AND(AW$1&gt;=Units!$Q9,MOD(AW$1-Units!$Q9,12)=0),IF(AND(Units!$L9=1,AW$1=Units!$Q9),1,Inputs!$B$15)*Inputs!$B$16*(1+Inputs!$B$11)^(AW$2-1),0)</f>
        <v>0</v>
      </c>
      <c r="AX10" s="11" t="n">
        <f aca="false">IF(AND(AX$1&gt;=Units!$Q9,MOD(AX$1-Units!$Q9,12)=0),IF(AND(Units!$L9=1,AX$1=Units!$Q9),1,Inputs!$B$15)*Inputs!$B$16*(1+Inputs!$B$11)^(AX$2-1),0)</f>
        <v>0</v>
      </c>
      <c r="AY10" s="11" t="n">
        <f aca="false">IF(AND(AY$1&gt;=Units!$Q9,MOD(AY$1-Units!$Q9,12)=0),IF(AND(Units!$L9=1,AY$1=Units!$Q9),1,Inputs!$B$15)*Inputs!$B$16*(1+Inputs!$B$11)^(AY$2-1),0)</f>
        <v>0</v>
      </c>
      <c r="AZ10" s="11" t="n">
        <f aca="false">IF(AND(AZ$1&gt;=Units!$Q9,MOD(AZ$1-Units!$Q9,12)=0),IF(AND(Units!$L9=1,AZ$1=Units!$Q9),1,Inputs!$B$15)*Inputs!$B$16*(1+Inputs!$B$11)^(AZ$2-1),0)</f>
        <v>0</v>
      </c>
      <c r="BA10" s="11" t="n">
        <f aca="false">IF(AND(BA$1&gt;=Units!$Q9,MOD(BA$1-Units!$Q9,12)=0),IF(AND(Units!$L9=1,BA$1=Units!$Q9),1,Inputs!$B$15)*Inputs!$B$16*(1+Inputs!$B$11)^(BA$2-1),0)</f>
        <v>0</v>
      </c>
      <c r="BB10" s="11" t="n">
        <f aca="false">IF(AND(BB$1&gt;=Units!$Q9,MOD(BB$1-Units!$Q9,12)=0),IF(AND(Units!$L9=1,BB$1=Units!$Q9),1,Inputs!$B$15)*Inputs!$B$16*(1+Inputs!$B$11)^(BB$2-1),0)</f>
        <v>0</v>
      </c>
      <c r="BC10" s="11" t="n">
        <f aca="false">IF(AND(BC$1&gt;=Units!$Q9,MOD(BC$1-Units!$Q9,12)=0),IF(AND(Units!$L9=1,BC$1=Units!$Q9),1,Inputs!$B$15)*Inputs!$B$16*(1+Inputs!$B$11)^(BC$2-1),0)</f>
        <v>0</v>
      </c>
      <c r="BD10" s="11" t="n">
        <f aca="false">IF(AND(BD$1&gt;=Units!$Q9,MOD(BD$1-Units!$Q9,12)=0),IF(AND(Units!$L9=1,BD$1=Units!$Q9),1,Inputs!$B$15)*Inputs!$B$16*(1+Inputs!$B$11)^(BD$2-1),0)</f>
        <v>0</v>
      </c>
      <c r="BE10" s="11" t="n">
        <f aca="false">IF(AND(BE$1&gt;=Units!$Q9,MOD(BE$1-Units!$Q9,12)=0),IF(AND(Units!$L9=1,BE$1=Units!$Q9),1,Inputs!$B$15)*Inputs!$B$16*(1+Inputs!$B$11)^(BE$2-1),0)</f>
        <v>0</v>
      </c>
      <c r="BF10" s="11" t="n">
        <f aca="false">IF(AND(BF$1&gt;=Units!$Q9,MOD(BF$1-Units!$Q9,12)=0),IF(AND(Units!$L9=1,BF$1=Units!$Q9),1,Inputs!$B$15)*Inputs!$B$16*(1+Inputs!$B$11)^(BF$2-1),0)</f>
        <v>562.754405</v>
      </c>
      <c r="BG10" s="11" t="n">
        <f aca="false">IF(AND(BG$1&gt;=Units!$Q9,MOD(BG$1-Units!$Q9,12)=0),IF(AND(Units!$L9=1,BG$1=Units!$Q9),1,Inputs!$B$15)*Inputs!$B$16*(1+Inputs!$B$11)^(BG$2-1),0)</f>
        <v>0</v>
      </c>
      <c r="BH10" s="11" t="n">
        <f aca="false">IF(AND(BH$1&gt;=Units!$Q9,MOD(BH$1-Units!$Q9,12)=0),IF(AND(Units!$L9=1,BH$1=Units!$Q9),1,Inputs!$B$15)*Inputs!$B$16*(1+Inputs!$B$11)^(BH$2-1),0)</f>
        <v>0</v>
      </c>
      <c r="BI10" s="11" t="n">
        <f aca="false">IF(AND(BI$1&gt;=Units!$Q9,MOD(BI$1-Units!$Q9,12)=0),IF(AND(Units!$L9=1,BI$1=Units!$Q9),1,Inputs!$B$15)*Inputs!$B$16*(1+Inputs!$B$11)^(BI$2-1),0)</f>
        <v>0</v>
      </c>
      <c r="BJ10" s="11" t="n">
        <f aca="false">IF(AND(BJ$1&gt;=Units!$Q9,MOD(BJ$1-Units!$Q9,12)=0),IF(AND(Units!$L9=1,BJ$1=Units!$Q9),1,Inputs!$B$15)*Inputs!$B$16*(1+Inputs!$B$11)^(BJ$2-1),0)</f>
        <v>0</v>
      </c>
      <c r="BK10" s="11" t="n">
        <f aca="false">IF(AND(BK$1&gt;=Units!$Q9,MOD(BK$1-Units!$Q9,12)=0),IF(AND(Units!$L9=1,BK$1=Units!$Q9),1,Inputs!$B$15)*Inputs!$B$16*(1+Inputs!$B$11)^(BK$2-1),0)</f>
        <v>0</v>
      </c>
      <c r="BL10" s="11" t="n">
        <f aca="false">IF(AND(BL$1&gt;=Units!$Q9,MOD(BL$1-Units!$Q9,12)=0),IF(AND(Units!$L9=1,BL$1=Units!$Q9),1,Inputs!$B$15)*Inputs!$B$16*(1+Inputs!$B$11)^(BL$2-1),0)</f>
        <v>0</v>
      </c>
      <c r="BM10" s="11" t="n">
        <f aca="false">IF(AND(BM$1&gt;=Units!$Q9,MOD(BM$1-Units!$Q9,12)=0),IF(AND(Units!$L9=1,BM$1=Units!$Q9),1,Inputs!$B$15)*Inputs!$B$16*(1+Inputs!$B$11)^(BM$2-1),0)</f>
        <v>0</v>
      </c>
      <c r="BN10" s="11" t="n">
        <f aca="false">IF(AND(BN$1&gt;=Units!$Q9,MOD(BN$1-Units!$Q9,12)=0),IF(AND(Units!$L9=1,BN$1=Units!$Q9),1,Inputs!$B$15)*Inputs!$B$16*(1+Inputs!$B$11)^(BN$2-1),0)</f>
        <v>0</v>
      </c>
      <c r="BO10" s="11" t="n">
        <f aca="false">IF(AND(BO$1&gt;=Units!$Q9,MOD(BO$1-Units!$Q9,12)=0),IF(AND(Units!$L9=1,BO$1=Units!$Q9),1,Inputs!$B$15)*Inputs!$B$16*(1+Inputs!$B$11)^(BO$2-1),0)</f>
        <v>0</v>
      </c>
      <c r="BP10" s="11" t="n">
        <f aca="false">IF(AND(BP$1&gt;=Units!$Q9,MOD(BP$1-Units!$Q9,12)=0),IF(AND(Units!$L9=1,BP$1=Units!$Q9),1,Inputs!$B$15)*Inputs!$B$16*(1+Inputs!$B$11)^(BP$2-1),0)</f>
        <v>0</v>
      </c>
      <c r="BQ10" s="11" t="n">
        <f aca="false">IF(AND(BQ$1&gt;=Units!$Q9,MOD(BQ$1-Units!$Q9,12)=0),IF(AND(Units!$L9=1,BQ$1=Units!$Q9),1,Inputs!$B$15)*Inputs!$B$16*(1+Inputs!$B$11)^(BQ$2-1),0)</f>
        <v>0</v>
      </c>
      <c r="BR10" s="11" t="n">
        <f aca="false">IF(AND(BR$1&gt;=Units!$Q9,MOD(BR$1-Units!$Q9,12)=0),IF(AND(Units!$L9=1,BR$1=Units!$Q9),1,Inputs!$B$15)*Inputs!$B$16*(1+Inputs!$B$11)^(BR$2-1),0)</f>
        <v>579.63703715</v>
      </c>
      <c r="BS10" s="11" t="n">
        <f aca="false">IF(AND(BS$1&gt;=Units!$Q9,MOD(BS$1-Units!$Q9,12)=0),IF(AND(Units!$L9=1,BS$1=Units!$Q9),1,Inputs!$B$15)*Inputs!$B$16*(1+Inputs!$B$11)^(BS$2-1),0)</f>
        <v>0</v>
      </c>
      <c r="BT10" s="11" t="n">
        <f aca="false">IF(AND(BT$1&gt;=Units!$Q9,MOD(BT$1-Units!$Q9,12)=0),IF(AND(Units!$L9=1,BT$1=Units!$Q9),1,Inputs!$B$15)*Inputs!$B$16*(1+Inputs!$B$11)^(BT$2-1),0)</f>
        <v>0</v>
      </c>
      <c r="BU10" s="11" t="n">
        <f aca="false">IF(AND(BU$1&gt;=Units!$Q9,MOD(BU$1-Units!$Q9,12)=0),IF(AND(Units!$L9=1,BU$1=Units!$Q9),1,Inputs!$B$15)*Inputs!$B$16*(1+Inputs!$B$11)^(BU$2-1),0)</f>
        <v>0</v>
      </c>
      <c r="BV10" s="11" t="n">
        <f aca="false">IF(AND(BV$1&gt;=Units!$Q9,MOD(BV$1-Units!$Q9,12)=0),IF(AND(Units!$L9=1,BV$1=Units!$Q9),1,Inputs!$B$15)*Inputs!$B$16*(1+Inputs!$B$11)^(BV$2-1),0)</f>
        <v>0</v>
      </c>
      <c r="BW10" s="11" t="n">
        <f aca="false">IF(AND(BW$1&gt;=Units!$Q9,MOD(BW$1-Units!$Q9,12)=0),IF(AND(Units!$L9=1,BW$1=Units!$Q9),1,Inputs!$B$15)*Inputs!$B$16*(1+Inputs!$B$11)^(BW$2-1),0)</f>
        <v>0</v>
      </c>
      <c r="BX10" s="11" t="n">
        <f aca="false">IF(AND(BX$1&gt;=Units!$Q9,MOD(BX$1-Units!$Q9,12)=0),IF(AND(Units!$L9=1,BX$1=Units!$Q9),1,Inputs!$B$15)*Inputs!$B$16*(1+Inputs!$B$11)^(BX$2-1),0)</f>
        <v>0</v>
      </c>
      <c r="BY10" s="11" t="n">
        <f aca="false">IF(AND(BY$1&gt;=Units!$Q9,MOD(BY$1-Units!$Q9,12)=0),IF(AND(Units!$L9=1,BY$1=Units!$Q9),1,Inputs!$B$15)*Inputs!$B$16*(1+Inputs!$B$11)^(BY$2-1),0)</f>
        <v>0</v>
      </c>
      <c r="BZ10" s="11" t="n">
        <f aca="false">IF(AND(BZ$1&gt;=Units!$Q9,MOD(BZ$1-Units!$Q9,12)=0),IF(AND(Units!$L9=1,BZ$1=Units!$Q9),1,Inputs!$B$15)*Inputs!$B$16*(1+Inputs!$B$11)^(BZ$2-1),0)</f>
        <v>0</v>
      </c>
      <c r="CA10" s="11" t="n">
        <f aca="false">IF(AND(CA$1&gt;=Units!$Q9,MOD(CA$1-Units!$Q9,12)=0),IF(AND(Units!$L9=1,CA$1=Units!$Q9),1,Inputs!$B$15)*Inputs!$B$16*(1+Inputs!$B$11)^(CA$2-1),0)</f>
        <v>0</v>
      </c>
      <c r="CB10" s="11" t="n">
        <f aca="false">IF(AND(CB$1&gt;=Units!$Q9,MOD(CB$1-Units!$Q9,12)=0),IF(AND(Units!$L9=1,CB$1=Units!$Q9),1,Inputs!$B$15)*Inputs!$B$16*(1+Inputs!$B$11)^(CB$2-1),0)</f>
        <v>0</v>
      </c>
      <c r="CC10" s="11" t="n">
        <f aca="false">IF(AND(CC$1&gt;=Units!$Q9,MOD(CC$1-Units!$Q9,12)=0),IF(AND(Units!$L9=1,CC$1=Units!$Q9),1,Inputs!$B$15)*Inputs!$B$16*(1+Inputs!$B$11)^(CC$2-1),0)</f>
        <v>0</v>
      </c>
      <c r="CD10" s="11" t="n">
        <f aca="false">IF(AND(CD$1&gt;=Units!$Q9,MOD(CD$1-Units!$Q9,12)=0),IF(AND(Units!$L9=1,CD$1=Units!$Q9),1,Inputs!$B$15)*Inputs!$B$16*(1+Inputs!$B$11)^(CD$2-1),0)</f>
        <v>597.0261482645</v>
      </c>
      <c r="CE10" s="11" t="n">
        <f aca="false">IF(AND(CE$1&gt;=Units!$Q9,MOD(CE$1-Units!$Q9,12)=0),IF(AND(Units!$L9=1,CE$1=Units!$Q9),1,Inputs!$B$15)*Inputs!$B$16*(1+Inputs!$B$11)^(CE$2-1),0)</f>
        <v>0</v>
      </c>
      <c r="CF10" s="11" t="n">
        <f aca="false">IF(AND(CF$1&gt;=Units!$Q9,MOD(CF$1-Units!$Q9,12)=0),IF(AND(Units!$L9=1,CF$1=Units!$Q9),1,Inputs!$B$15)*Inputs!$B$16*(1+Inputs!$B$11)^(CF$2-1),0)</f>
        <v>0</v>
      </c>
      <c r="CG10" s="11" t="n">
        <f aca="false">IF(AND(CG$1&gt;=Units!$Q9,MOD(CG$1-Units!$Q9,12)=0),IF(AND(Units!$L9=1,CG$1=Units!$Q9),1,Inputs!$B$15)*Inputs!$B$16*(1+Inputs!$B$11)^(CG$2-1),0)</f>
        <v>0</v>
      </c>
      <c r="CH10" s="11" t="n">
        <f aca="false">IF(AND(CH$1&gt;=Units!$Q9,MOD(CH$1-Units!$Q9,12)=0),IF(AND(Units!$L9=1,CH$1=Units!$Q9),1,Inputs!$B$15)*Inputs!$B$16*(1+Inputs!$B$11)^(CH$2-1),0)</f>
        <v>0</v>
      </c>
      <c r="CI10" s="11" t="n">
        <f aca="false">IF(AND(CI$1&gt;=Units!$Q9,MOD(CI$1-Units!$Q9,12)=0),IF(AND(Units!$L9=1,CI$1=Units!$Q9),1,Inputs!$B$15)*Inputs!$B$16*(1+Inputs!$B$11)^(CI$2-1),0)</f>
        <v>0</v>
      </c>
      <c r="CJ10" s="11" t="n">
        <f aca="false">IF(AND(CJ$1&gt;=Units!$Q9,MOD(CJ$1-Units!$Q9,12)=0),IF(AND(Units!$L9=1,CJ$1=Units!$Q9),1,Inputs!$B$15)*Inputs!$B$16*(1+Inputs!$B$11)^(CJ$2-1),0)</f>
        <v>0</v>
      </c>
      <c r="CK10" s="11" t="n">
        <f aca="false">IF(AND(CK$1&gt;=Units!$Q9,MOD(CK$1-Units!$Q9,12)=0),IF(AND(Units!$L9=1,CK$1=Units!$Q9),1,Inputs!$B$15)*Inputs!$B$16*(1+Inputs!$B$11)^(CK$2-1),0)</f>
        <v>0</v>
      </c>
      <c r="CL10" s="11" t="n">
        <f aca="false">IF(AND(CL$1&gt;=Units!$Q9,MOD(CL$1-Units!$Q9,12)=0),IF(AND(Units!$L9=1,CL$1=Units!$Q9),1,Inputs!$B$15)*Inputs!$B$16*(1+Inputs!$B$11)^(CL$2-1),0)</f>
        <v>0</v>
      </c>
      <c r="CM10" s="11" t="n">
        <f aca="false">IF(AND(CM$1&gt;=Units!$Q9,MOD(CM$1-Units!$Q9,12)=0),IF(AND(Units!$L9=1,CM$1=Units!$Q9),1,Inputs!$B$15)*Inputs!$B$16*(1+Inputs!$B$11)^(CM$2-1),0)</f>
        <v>0</v>
      </c>
      <c r="CN10" s="11" t="n">
        <f aca="false">IF(AND(CN$1&gt;=Units!$Q9,MOD(CN$1-Units!$Q9,12)=0),IF(AND(Units!$L9=1,CN$1=Units!$Q9),1,Inputs!$B$15)*Inputs!$B$16*(1+Inputs!$B$11)^(CN$2-1),0)</f>
        <v>0</v>
      </c>
      <c r="CO10" s="11" t="n">
        <f aca="false">IF(AND(CO$1&gt;=Units!$Q9,MOD(CO$1-Units!$Q9,12)=0),IF(AND(Units!$L9=1,CO$1=Units!$Q9),1,Inputs!$B$15)*Inputs!$B$16*(1+Inputs!$B$11)^(CO$2-1),0)</f>
        <v>0</v>
      </c>
      <c r="CP10" s="11" t="n">
        <f aca="false">IF(AND(CP$1&gt;=Units!$Q9,MOD(CP$1-Units!$Q9,12)=0),IF(AND(Units!$L9=1,CP$1=Units!$Q9),1,Inputs!$B$15)*Inputs!$B$16*(1+Inputs!$B$11)^(CP$2-1),0)</f>
        <v>614.936932712435</v>
      </c>
      <c r="CQ10" s="11" t="n">
        <f aca="false">IF(AND(CQ$1&gt;=Units!$Q9,MOD(CQ$1-Units!$Q9,12)=0),IF(AND(Units!$L9=1,CQ$1=Units!$Q9),1,Inputs!$B$15)*Inputs!$B$16*(1+Inputs!$B$11)^(CQ$2-1),0)</f>
        <v>0</v>
      </c>
      <c r="CR10" s="11" t="n">
        <f aca="false">IF(AND(CR$1&gt;=Units!$Q9,MOD(CR$1-Units!$Q9,12)=0),IF(AND(Units!$L9=1,CR$1=Units!$Q9),1,Inputs!$B$15)*Inputs!$B$16*(1+Inputs!$B$11)^(CR$2-1),0)</f>
        <v>0</v>
      </c>
      <c r="CS10" s="11" t="n">
        <f aca="false">IF(AND(CS$1&gt;=Units!$Q9,MOD(CS$1-Units!$Q9,12)=0),IF(AND(Units!$L9=1,CS$1=Units!$Q9),1,Inputs!$B$15)*Inputs!$B$16*(1+Inputs!$B$11)^(CS$2-1),0)</f>
        <v>0</v>
      </c>
      <c r="CT10" s="11" t="n">
        <f aca="false">IF(AND(CT$1&gt;=Units!$Q9,MOD(CT$1-Units!$Q9,12)=0),IF(AND(Units!$L9=1,CT$1=Units!$Q9),1,Inputs!$B$15)*Inputs!$B$16*(1+Inputs!$B$11)^(CT$2-1),0)</f>
        <v>0</v>
      </c>
      <c r="CU10" s="11" t="n">
        <f aca="false">IF(AND(CU$1&gt;=Units!$Q9,MOD(CU$1-Units!$Q9,12)=0),IF(AND(Units!$L9=1,CU$1=Units!$Q9),1,Inputs!$B$15)*Inputs!$B$16*(1+Inputs!$B$11)^(CU$2-1),0)</f>
        <v>0</v>
      </c>
      <c r="CV10" s="11" t="n">
        <f aca="false">IF(AND(CV$1&gt;=Units!$Q9,MOD(CV$1-Units!$Q9,12)=0),IF(AND(Units!$L9=1,CV$1=Units!$Q9),1,Inputs!$B$15)*Inputs!$B$16*(1+Inputs!$B$11)^(CV$2-1),0)</f>
        <v>0</v>
      </c>
      <c r="CW10" s="11" t="n">
        <f aca="false">IF(AND(CW$1&gt;=Units!$Q9,MOD(CW$1-Units!$Q9,12)=0),IF(AND(Units!$L9=1,CW$1=Units!$Q9),1,Inputs!$B$15)*Inputs!$B$16*(1+Inputs!$B$11)^(CW$2-1),0)</f>
        <v>0</v>
      </c>
      <c r="CX10" s="11" t="n">
        <f aca="false">IF(AND(CX$1&gt;=Units!$Q9,MOD(CX$1-Units!$Q9,12)=0),IF(AND(Units!$L9=1,CX$1=Units!$Q9),1,Inputs!$B$15)*Inputs!$B$16*(1+Inputs!$B$11)^(CX$2-1),0)</f>
        <v>0</v>
      </c>
      <c r="CY10" s="11" t="n">
        <f aca="false">IF(AND(CY$1&gt;=Units!$Q9,MOD(CY$1-Units!$Q9,12)=0),IF(AND(Units!$L9=1,CY$1=Units!$Q9),1,Inputs!$B$15)*Inputs!$B$16*(1+Inputs!$B$11)^(CY$2-1),0)</f>
        <v>0</v>
      </c>
      <c r="CZ10" s="11" t="n">
        <f aca="false">IF(AND(CZ$1&gt;=Units!$Q9,MOD(CZ$1-Units!$Q9,12)=0),IF(AND(Units!$L9=1,CZ$1=Units!$Q9),1,Inputs!$B$15)*Inputs!$B$16*(1+Inputs!$B$11)^(CZ$2-1),0)</f>
        <v>0</v>
      </c>
      <c r="DA10" s="11" t="n">
        <f aca="false">IF(AND(DA$1&gt;=Units!$Q9,MOD(DA$1-Units!$Q9,12)=0),IF(AND(Units!$L9=1,DA$1=Units!$Q9),1,Inputs!$B$15)*Inputs!$B$16*(1+Inputs!$B$11)^(DA$2-1),0)</f>
        <v>0</v>
      </c>
      <c r="DB10" s="11" t="n">
        <f aca="false">IF(AND(DB$1&gt;=Units!$Q9,MOD(DB$1-Units!$Q9,12)=0),IF(AND(Units!$L9=1,DB$1=Units!$Q9),1,Inputs!$B$15)*Inputs!$B$16*(1+Inputs!$B$11)^(DB$2-1),0)</f>
        <v>633.385040693808</v>
      </c>
      <c r="DC10" s="11" t="n">
        <f aca="false">IF(AND(DC$1&gt;=Units!$Q9,MOD(DC$1-Units!$Q9,12)=0),IF(AND(Units!$L9=1,DC$1=Units!$Q9),1,Inputs!$B$15)*Inputs!$B$16*(1+Inputs!$B$11)^(DC$2-1),0)</f>
        <v>0</v>
      </c>
      <c r="DD10" s="11" t="n">
        <f aca="false">IF(AND(DD$1&gt;=Units!$Q9,MOD(DD$1-Units!$Q9,12)=0),IF(AND(Units!$L9=1,DD$1=Units!$Q9),1,Inputs!$B$15)*Inputs!$B$16*(1+Inputs!$B$11)^(DD$2-1),0)</f>
        <v>0</v>
      </c>
      <c r="DE10" s="11" t="n">
        <f aca="false">IF(AND(DE$1&gt;=Units!$Q9,MOD(DE$1-Units!$Q9,12)=0),IF(AND(Units!$L9=1,DE$1=Units!$Q9),1,Inputs!$B$15)*Inputs!$B$16*(1+Inputs!$B$11)^(DE$2-1),0)</f>
        <v>0</v>
      </c>
      <c r="DF10" s="11" t="n">
        <f aca="false">IF(AND(DF$1&gt;=Units!$Q9,MOD(DF$1-Units!$Q9,12)=0),IF(AND(Units!$L9=1,DF$1=Units!$Q9),1,Inputs!$B$15)*Inputs!$B$16*(1+Inputs!$B$11)^(DF$2-1),0)</f>
        <v>0</v>
      </c>
      <c r="DG10" s="11" t="n">
        <f aca="false">IF(AND(DG$1&gt;=Units!$Q9,MOD(DG$1-Units!$Q9,12)=0),IF(AND(Units!$L9=1,DG$1=Units!$Q9),1,Inputs!$B$15)*Inputs!$B$16*(1+Inputs!$B$11)^(DG$2-1),0)</f>
        <v>0</v>
      </c>
      <c r="DH10" s="11" t="n">
        <f aca="false">IF(AND(DH$1&gt;=Units!$Q9,MOD(DH$1-Units!$Q9,12)=0),IF(AND(Units!$L9=1,DH$1=Units!$Q9),1,Inputs!$B$15)*Inputs!$B$16*(1+Inputs!$B$11)^(DH$2-1),0)</f>
        <v>0</v>
      </c>
      <c r="DI10" s="11" t="n">
        <f aca="false">IF(AND(DI$1&gt;=Units!$Q9,MOD(DI$1-Units!$Q9,12)=0),IF(AND(Units!$L9=1,DI$1=Units!$Q9),1,Inputs!$B$15)*Inputs!$B$16*(1+Inputs!$B$11)^(DI$2-1),0)</f>
        <v>0</v>
      </c>
      <c r="DJ10" s="11" t="n">
        <f aca="false">IF(AND(DJ$1&gt;=Units!$Q9,MOD(DJ$1-Units!$Q9,12)=0),IF(AND(Units!$L9=1,DJ$1=Units!$Q9),1,Inputs!$B$15)*Inputs!$B$16*(1+Inputs!$B$11)^(DJ$2-1),0)</f>
        <v>0</v>
      </c>
      <c r="DK10" s="11" t="n">
        <f aca="false">IF(AND(DK$1&gt;=Units!$Q9,MOD(DK$1-Units!$Q9,12)=0),IF(AND(Units!$L9=1,DK$1=Units!$Q9),1,Inputs!$B$15)*Inputs!$B$16*(1+Inputs!$B$11)^(DK$2-1),0)</f>
        <v>0</v>
      </c>
      <c r="DL10" s="11" t="n">
        <f aca="false">IF(AND(DL$1&gt;=Units!$Q9,MOD(DL$1-Units!$Q9,12)=0),IF(AND(Units!$L9=1,DL$1=Units!$Q9),1,Inputs!$B$15)*Inputs!$B$16*(1+Inputs!$B$11)^(DL$2-1),0)</f>
        <v>0</v>
      </c>
      <c r="DM10" s="11" t="n">
        <f aca="false">IF(AND(DM$1&gt;=Units!$Q9,MOD(DM$1-Units!$Q9,12)=0),IF(AND(Units!$L9=1,DM$1=Units!$Q9),1,Inputs!$B$15)*Inputs!$B$16*(1+Inputs!$B$11)^(DM$2-1),0)</f>
        <v>0</v>
      </c>
      <c r="DN10" s="11" t="n">
        <f aca="false">IF(AND(DN$1&gt;=Units!$Q9,MOD(DN$1-Units!$Q9,12)=0),IF(AND(Units!$L9=1,DN$1=Units!$Q9),1,Inputs!$B$15)*Inputs!$B$16*(1+Inputs!$B$11)^(DN$2-1),0)</f>
        <v>652.386591914623</v>
      </c>
      <c r="DO10" s="11" t="n">
        <f aca="false">IF(AND(DO$1&gt;=Units!$Q9,MOD(DO$1-Units!$Q9,12)=0),IF(AND(Units!$L9=1,DO$1=Units!$Q9),1,Inputs!$B$15)*Inputs!$B$16*(1+Inputs!$B$11)^(DO$2-1),0)</f>
        <v>0</v>
      </c>
      <c r="DP10" s="11" t="n">
        <f aca="false">IF(AND(DP$1&gt;=Units!$Q9,MOD(DP$1-Units!$Q9,12)=0),IF(AND(Units!$L9=1,DP$1=Units!$Q9),1,Inputs!$B$15)*Inputs!$B$16*(1+Inputs!$B$11)^(DP$2-1),0)</f>
        <v>0</v>
      </c>
      <c r="DQ10" s="11" t="n">
        <f aca="false">IF(AND(DQ$1&gt;=Units!$Q9,MOD(DQ$1-Units!$Q9,12)=0),IF(AND(Units!$L9=1,DQ$1=Units!$Q9),1,Inputs!$B$15)*Inputs!$B$16*(1+Inputs!$B$11)^(DQ$2-1),0)</f>
        <v>0</v>
      </c>
      <c r="DR10" s="11" t="n">
        <f aca="false">IF(AND(DR$1&gt;=Units!$Q9,MOD(DR$1-Units!$Q9,12)=0),IF(AND(Units!$L9=1,DR$1=Units!$Q9),1,Inputs!$B$15)*Inputs!$B$16*(1+Inputs!$B$11)^(DR$2-1),0)</f>
        <v>0</v>
      </c>
      <c r="DS10" s="11" t="n">
        <f aca="false">IF(AND(DS$1&gt;=Units!$Q9,MOD(DS$1-Units!$Q9,12)=0),IF(AND(Units!$L9=1,DS$1=Units!$Q9),1,Inputs!$B$15)*Inputs!$B$16*(1+Inputs!$B$11)^(DS$2-1),0)</f>
        <v>0</v>
      </c>
      <c r="DT10" s="11" t="n">
        <f aca="false">IF(AND(DT$1&gt;=Units!$Q9,MOD(DT$1-Units!$Q9,12)=0),IF(AND(Units!$L9=1,DT$1=Units!$Q9),1,Inputs!$B$15)*Inputs!$B$16*(1+Inputs!$B$11)^(DT$2-1),0)</f>
        <v>0</v>
      </c>
      <c r="DU10" s="11" t="n">
        <f aca="false">IF(AND(DU$1&gt;=Units!$Q9,MOD(DU$1-Units!$Q9,12)=0),IF(AND(Units!$L9=1,DU$1=Units!$Q9),1,Inputs!$B$15)*Inputs!$B$16*(1+Inputs!$B$11)^(DU$2-1),0)</f>
        <v>0</v>
      </c>
      <c r="DV10" s="11" t="n">
        <f aca="false">IF(AND(DV$1&gt;=Units!$Q9,MOD(DV$1-Units!$Q9,12)=0),IF(AND(Units!$L9=1,DV$1=Units!$Q9),1,Inputs!$B$15)*Inputs!$B$16*(1+Inputs!$B$11)^(DV$2-1),0)</f>
        <v>0</v>
      </c>
      <c r="DW10" s="11" t="n">
        <f aca="false">IF(AND(DW$1&gt;=Units!$Q9,MOD(DW$1-Units!$Q9,12)=0),IF(AND(Units!$L9=1,DW$1=Units!$Q9),1,Inputs!$B$15)*Inputs!$B$16*(1+Inputs!$B$11)^(DW$2-1),0)</f>
        <v>0</v>
      </c>
      <c r="DX10" s="11" t="n">
        <f aca="false">IF(AND(DX$1&gt;=Units!$Q9,MOD(DX$1-Units!$Q9,12)=0),IF(AND(Units!$L9=1,DX$1=Units!$Q9),1,Inputs!$B$15)*Inputs!$B$16*(1+Inputs!$B$11)^(DX$2-1),0)</f>
        <v>0</v>
      </c>
      <c r="DY10" s="11" t="n">
        <f aca="false">IF(AND(DY$1&gt;=Units!$Q9,MOD(DY$1-Units!$Q9,12)=0),IF(AND(Units!$L9=1,DY$1=Units!$Q9),1,Inputs!$B$15)*Inputs!$B$16*(1+Inputs!$B$11)^(DY$2-1),0)</f>
        <v>0</v>
      </c>
      <c r="DZ10" s="11" t="n">
        <f aca="false">IF(AND(DZ$1&gt;=Units!$Q9,MOD(DZ$1-Units!$Q9,12)=0),IF(AND(Units!$L9=1,DZ$1=Units!$Q9),1,Inputs!$B$15)*Inputs!$B$16*(1+Inputs!$B$11)^(DZ$2-1),0)</f>
        <v>671.958189672061</v>
      </c>
      <c r="EA10" s="11" t="n">
        <f aca="false">IF(AND(EA$1&gt;=Units!$Q9,MOD(EA$1-Units!$Q9,12)=0),IF(AND(Units!$L9=1,EA$1=Units!$Q9),1,Inputs!$B$15)*Inputs!$B$16*(1+Inputs!$B$11)^(EA$2-1),0)</f>
        <v>0</v>
      </c>
      <c r="EB10" s="11" t="n">
        <f aca="false">IF(AND(EB$1&gt;=Units!$Q9,MOD(EB$1-Units!$Q9,12)=0),IF(AND(Units!$L9=1,EB$1=Units!$Q9),1,Inputs!$B$15)*Inputs!$B$16*(1+Inputs!$B$11)^(EB$2-1),0)</f>
        <v>0</v>
      </c>
      <c r="EC10" s="11" t="n">
        <f aca="false">IF(AND(EC$1&gt;=Units!$Q9,MOD(EC$1-Units!$Q9,12)=0),IF(AND(Units!$L9=1,EC$1=Units!$Q9),1,Inputs!$B$15)*Inputs!$B$16*(1+Inputs!$B$11)^(EC$2-1),0)</f>
        <v>0</v>
      </c>
      <c r="ED10" s="11" t="n">
        <f aca="false">IF(AND(ED$1&gt;=Units!$Q9,MOD(ED$1-Units!$Q9,12)=0),IF(AND(Units!$L9=1,ED$1=Units!$Q9),1,Inputs!$B$15)*Inputs!$B$16*(1+Inputs!$B$11)^(ED$2-1),0)</f>
        <v>0</v>
      </c>
    </row>
    <row r="11" customFormat="false" ht="15" hidden="false" customHeight="false" outlineLevel="0" collapsed="false">
      <c r="A11" s="22" t="n">
        <f aca="false">Units!A10</f>
        <v>109</v>
      </c>
      <c r="B11" s="23"/>
      <c r="C11" s="11" t="n">
        <f aca="false">IF(AND(C$1&gt;=Units!$Q10,MOD(C$1-Units!$Q10,12)=0),IF(AND(Units!$L10=1,C$1=Units!$Q10),1,Inputs!$B$15)*Inputs!$B$16*(1+Inputs!$B$11)^(C$2-1),0)</f>
        <v>0</v>
      </c>
      <c r="D11" s="11" t="n">
        <f aca="false">IF(AND(D$1&gt;=Units!$Q10,MOD(D$1-Units!$Q10,12)=0),IF(AND(Units!$L10=1,D$1=Units!$Q10),1,Inputs!$B$15)*Inputs!$B$16*(1+Inputs!$B$11)^(D$2-1),0)</f>
        <v>0</v>
      </c>
      <c r="E11" s="11" t="n">
        <f aca="false">IF(AND(E$1&gt;=Units!$Q10,MOD(E$1-Units!$Q10,12)=0),IF(AND(Units!$L10=1,E$1=Units!$Q10),1,Inputs!$B$15)*Inputs!$B$16*(1+Inputs!$B$11)^(E$2-1),0)</f>
        <v>0</v>
      </c>
      <c r="F11" s="11" t="n">
        <f aca="false">IF(AND(F$1&gt;=Units!$Q10,MOD(F$1-Units!$Q10,12)=0),IF(AND(Units!$L10=1,F$1=Units!$Q10),1,Inputs!$B$15)*Inputs!$B$16*(1+Inputs!$B$11)^(F$2-1),0)</f>
        <v>0</v>
      </c>
      <c r="G11" s="11" t="n">
        <f aca="false">IF(AND(G$1&gt;=Units!$Q10,MOD(G$1-Units!$Q10,12)=0),IF(AND(Units!$L10=1,G$1=Units!$Q10),1,Inputs!$B$15)*Inputs!$B$16*(1+Inputs!$B$11)^(G$2-1),0)</f>
        <v>0</v>
      </c>
      <c r="H11" s="11" t="n">
        <f aca="false">IF(AND(H$1&gt;=Units!$Q10,MOD(H$1-Units!$Q10,12)=0),IF(AND(Units!$L10=1,H$1=Units!$Q10),1,Inputs!$B$15)*Inputs!$B$16*(1+Inputs!$B$11)^(H$2-1),0)</f>
        <v>0</v>
      </c>
      <c r="I11" s="11" t="n">
        <f aca="false">IF(AND(I$1&gt;=Units!$Q10,MOD(I$1-Units!$Q10,12)=0),IF(AND(Units!$L10=1,I$1=Units!$Q10),1,Inputs!$B$15)*Inputs!$B$16*(1+Inputs!$B$11)^(I$2-1),0)</f>
        <v>0</v>
      </c>
      <c r="J11" s="11" t="n">
        <f aca="false">IF(AND(J$1&gt;=Units!$Q10,MOD(J$1-Units!$Q10,12)=0),IF(AND(Units!$L10=1,J$1=Units!$Q10),1,Inputs!$B$15)*Inputs!$B$16*(1+Inputs!$B$11)^(J$2-1),0)</f>
        <v>0</v>
      </c>
      <c r="K11" s="11" t="n">
        <f aca="false">IF(AND(K$1&gt;=Units!$Q10,MOD(K$1-Units!$Q10,12)=0),IF(AND(Units!$L10=1,K$1=Units!$Q10),1,Inputs!$B$15)*Inputs!$B$16*(1+Inputs!$B$11)^(K$2-1),0)</f>
        <v>500</v>
      </c>
      <c r="L11" s="11" t="n">
        <f aca="false">IF(AND(L$1&gt;=Units!$Q10,MOD(L$1-Units!$Q10,12)=0),IF(AND(Units!$L10=1,L$1=Units!$Q10),1,Inputs!$B$15)*Inputs!$B$16*(1+Inputs!$B$11)^(L$2-1),0)</f>
        <v>0</v>
      </c>
      <c r="M11" s="11" t="n">
        <f aca="false">IF(AND(M$1&gt;=Units!$Q10,MOD(M$1-Units!$Q10,12)=0),IF(AND(Units!$L10=1,M$1=Units!$Q10),1,Inputs!$B$15)*Inputs!$B$16*(1+Inputs!$B$11)^(M$2-1),0)</f>
        <v>0</v>
      </c>
      <c r="N11" s="11" t="n">
        <f aca="false">IF(AND(N$1&gt;=Units!$Q10,MOD(N$1-Units!$Q10,12)=0),IF(AND(Units!$L10=1,N$1=Units!$Q10),1,Inputs!$B$15)*Inputs!$B$16*(1+Inputs!$B$11)^(N$2-1),0)</f>
        <v>0</v>
      </c>
      <c r="O11" s="11" t="n">
        <f aca="false">IF(AND(O$1&gt;=Units!$Q10,MOD(O$1-Units!$Q10,12)=0),IF(AND(Units!$L10=1,O$1=Units!$Q10),1,Inputs!$B$15)*Inputs!$B$16*(1+Inputs!$B$11)^(O$2-1),0)</f>
        <v>0</v>
      </c>
      <c r="P11" s="11" t="n">
        <f aca="false">IF(AND(P$1&gt;=Units!$Q10,MOD(P$1-Units!$Q10,12)=0),IF(AND(Units!$L10=1,P$1=Units!$Q10),1,Inputs!$B$15)*Inputs!$B$16*(1+Inputs!$B$11)^(P$2-1),0)</f>
        <v>0</v>
      </c>
      <c r="Q11" s="11" t="n">
        <f aca="false">IF(AND(Q$1&gt;=Units!$Q10,MOD(Q$1-Units!$Q10,12)=0),IF(AND(Units!$L10=1,Q$1=Units!$Q10),1,Inputs!$B$15)*Inputs!$B$16*(1+Inputs!$B$11)^(Q$2-1),0)</f>
        <v>0</v>
      </c>
      <c r="R11" s="11" t="n">
        <f aca="false">IF(AND(R$1&gt;=Units!$Q10,MOD(R$1-Units!$Q10,12)=0),IF(AND(Units!$L10=1,R$1=Units!$Q10),1,Inputs!$B$15)*Inputs!$B$16*(1+Inputs!$B$11)^(R$2-1),0)</f>
        <v>0</v>
      </c>
      <c r="S11" s="11" t="n">
        <f aca="false">IF(AND(S$1&gt;=Units!$Q10,MOD(S$1-Units!$Q10,12)=0),IF(AND(Units!$L10=1,S$1=Units!$Q10),1,Inputs!$B$15)*Inputs!$B$16*(1+Inputs!$B$11)^(S$2-1),0)</f>
        <v>0</v>
      </c>
      <c r="T11" s="11" t="n">
        <f aca="false">IF(AND(T$1&gt;=Units!$Q10,MOD(T$1-Units!$Q10,12)=0),IF(AND(Units!$L10=1,T$1=Units!$Q10),1,Inputs!$B$15)*Inputs!$B$16*(1+Inputs!$B$11)^(T$2-1),0)</f>
        <v>0</v>
      </c>
      <c r="U11" s="11" t="n">
        <f aca="false">IF(AND(U$1&gt;=Units!$Q10,MOD(U$1-Units!$Q10,12)=0),IF(AND(Units!$L10=1,U$1=Units!$Q10),1,Inputs!$B$15)*Inputs!$B$16*(1+Inputs!$B$11)^(U$2-1),0)</f>
        <v>0</v>
      </c>
      <c r="V11" s="11" t="n">
        <f aca="false">IF(AND(V$1&gt;=Units!$Q10,MOD(V$1-Units!$Q10,12)=0),IF(AND(Units!$L10=1,V$1=Units!$Q10),1,Inputs!$B$15)*Inputs!$B$16*(1+Inputs!$B$11)^(V$2-1),0)</f>
        <v>0</v>
      </c>
      <c r="W11" s="11" t="n">
        <f aca="false">IF(AND(W$1&gt;=Units!$Q10,MOD(W$1-Units!$Q10,12)=0),IF(AND(Units!$L10=1,W$1=Units!$Q10),1,Inputs!$B$15)*Inputs!$B$16*(1+Inputs!$B$11)^(W$2-1),0)</f>
        <v>515</v>
      </c>
      <c r="X11" s="11" t="n">
        <f aca="false">IF(AND(X$1&gt;=Units!$Q10,MOD(X$1-Units!$Q10,12)=0),IF(AND(Units!$L10=1,X$1=Units!$Q10),1,Inputs!$B$15)*Inputs!$B$16*(1+Inputs!$B$11)^(X$2-1),0)</f>
        <v>0</v>
      </c>
      <c r="Y11" s="11" t="n">
        <f aca="false">IF(AND(Y$1&gt;=Units!$Q10,MOD(Y$1-Units!$Q10,12)=0),IF(AND(Units!$L10=1,Y$1=Units!$Q10),1,Inputs!$B$15)*Inputs!$B$16*(1+Inputs!$B$11)^(Y$2-1),0)</f>
        <v>0</v>
      </c>
      <c r="Z11" s="11" t="n">
        <f aca="false">IF(AND(Z$1&gt;=Units!$Q10,MOD(Z$1-Units!$Q10,12)=0),IF(AND(Units!$L10=1,Z$1=Units!$Q10),1,Inputs!$B$15)*Inputs!$B$16*(1+Inputs!$B$11)^(Z$2-1),0)</f>
        <v>0</v>
      </c>
      <c r="AA11" s="11" t="n">
        <f aca="false">IF(AND(AA$1&gt;=Units!$Q10,MOD(AA$1-Units!$Q10,12)=0),IF(AND(Units!$L10=1,AA$1=Units!$Q10),1,Inputs!$B$15)*Inputs!$B$16*(1+Inputs!$B$11)^(AA$2-1),0)</f>
        <v>0</v>
      </c>
      <c r="AB11" s="11" t="n">
        <f aca="false">IF(AND(AB$1&gt;=Units!$Q10,MOD(AB$1-Units!$Q10,12)=0),IF(AND(Units!$L10=1,AB$1=Units!$Q10),1,Inputs!$B$15)*Inputs!$B$16*(1+Inputs!$B$11)^(AB$2-1),0)</f>
        <v>0</v>
      </c>
      <c r="AC11" s="11" t="n">
        <f aca="false">IF(AND(AC$1&gt;=Units!$Q10,MOD(AC$1-Units!$Q10,12)=0),IF(AND(Units!$L10=1,AC$1=Units!$Q10),1,Inputs!$B$15)*Inputs!$B$16*(1+Inputs!$B$11)^(AC$2-1),0)</f>
        <v>0</v>
      </c>
      <c r="AD11" s="11" t="n">
        <f aca="false">IF(AND(AD$1&gt;=Units!$Q10,MOD(AD$1-Units!$Q10,12)=0),IF(AND(Units!$L10=1,AD$1=Units!$Q10),1,Inputs!$B$15)*Inputs!$B$16*(1+Inputs!$B$11)^(AD$2-1),0)</f>
        <v>0</v>
      </c>
      <c r="AE11" s="11" t="n">
        <f aca="false">IF(AND(AE$1&gt;=Units!$Q10,MOD(AE$1-Units!$Q10,12)=0),IF(AND(Units!$L10=1,AE$1=Units!$Q10),1,Inputs!$B$15)*Inputs!$B$16*(1+Inputs!$B$11)^(AE$2-1),0)</f>
        <v>0</v>
      </c>
      <c r="AF11" s="11" t="n">
        <f aca="false">IF(AND(AF$1&gt;=Units!$Q10,MOD(AF$1-Units!$Q10,12)=0),IF(AND(Units!$L10=1,AF$1=Units!$Q10),1,Inputs!$B$15)*Inputs!$B$16*(1+Inputs!$B$11)^(AF$2-1),0)</f>
        <v>0</v>
      </c>
      <c r="AG11" s="11" t="n">
        <f aca="false">IF(AND(AG$1&gt;=Units!$Q10,MOD(AG$1-Units!$Q10,12)=0),IF(AND(Units!$L10=1,AG$1=Units!$Q10),1,Inputs!$B$15)*Inputs!$B$16*(1+Inputs!$B$11)^(AG$2-1),0)</f>
        <v>0</v>
      </c>
      <c r="AH11" s="11" t="n">
        <f aca="false">IF(AND(AH$1&gt;=Units!$Q10,MOD(AH$1-Units!$Q10,12)=0),IF(AND(Units!$L10=1,AH$1=Units!$Q10),1,Inputs!$B$15)*Inputs!$B$16*(1+Inputs!$B$11)^(AH$2-1),0)</f>
        <v>0</v>
      </c>
      <c r="AI11" s="11" t="n">
        <f aca="false">IF(AND(AI$1&gt;=Units!$Q10,MOD(AI$1-Units!$Q10,12)=0),IF(AND(Units!$L10=1,AI$1=Units!$Q10),1,Inputs!$B$15)*Inputs!$B$16*(1+Inputs!$B$11)^(AI$2-1),0)</f>
        <v>530.45</v>
      </c>
      <c r="AJ11" s="11" t="n">
        <f aca="false">IF(AND(AJ$1&gt;=Units!$Q10,MOD(AJ$1-Units!$Q10,12)=0),IF(AND(Units!$L10=1,AJ$1=Units!$Q10),1,Inputs!$B$15)*Inputs!$B$16*(1+Inputs!$B$11)^(AJ$2-1),0)</f>
        <v>0</v>
      </c>
      <c r="AK11" s="11" t="n">
        <f aca="false">IF(AND(AK$1&gt;=Units!$Q10,MOD(AK$1-Units!$Q10,12)=0),IF(AND(Units!$L10=1,AK$1=Units!$Q10),1,Inputs!$B$15)*Inputs!$B$16*(1+Inputs!$B$11)^(AK$2-1),0)</f>
        <v>0</v>
      </c>
      <c r="AL11" s="11" t="n">
        <f aca="false">IF(AND(AL$1&gt;=Units!$Q10,MOD(AL$1-Units!$Q10,12)=0),IF(AND(Units!$L10=1,AL$1=Units!$Q10),1,Inputs!$B$15)*Inputs!$B$16*(1+Inputs!$B$11)^(AL$2-1),0)</f>
        <v>0</v>
      </c>
      <c r="AM11" s="11" t="n">
        <f aca="false">IF(AND(AM$1&gt;=Units!$Q10,MOD(AM$1-Units!$Q10,12)=0),IF(AND(Units!$L10=1,AM$1=Units!$Q10),1,Inputs!$B$15)*Inputs!$B$16*(1+Inputs!$B$11)^(AM$2-1),0)</f>
        <v>0</v>
      </c>
      <c r="AN11" s="11" t="n">
        <f aca="false">IF(AND(AN$1&gt;=Units!$Q10,MOD(AN$1-Units!$Q10,12)=0),IF(AND(Units!$L10=1,AN$1=Units!$Q10),1,Inputs!$B$15)*Inputs!$B$16*(1+Inputs!$B$11)^(AN$2-1),0)</f>
        <v>0</v>
      </c>
      <c r="AO11" s="11" t="n">
        <f aca="false">IF(AND(AO$1&gt;=Units!$Q10,MOD(AO$1-Units!$Q10,12)=0),IF(AND(Units!$L10=1,AO$1=Units!$Q10),1,Inputs!$B$15)*Inputs!$B$16*(1+Inputs!$B$11)^(AO$2-1),0)</f>
        <v>0</v>
      </c>
      <c r="AP11" s="11" t="n">
        <f aca="false">IF(AND(AP$1&gt;=Units!$Q10,MOD(AP$1-Units!$Q10,12)=0),IF(AND(Units!$L10=1,AP$1=Units!$Q10),1,Inputs!$B$15)*Inputs!$B$16*(1+Inputs!$B$11)^(AP$2-1),0)</f>
        <v>0</v>
      </c>
      <c r="AQ11" s="11" t="n">
        <f aca="false">IF(AND(AQ$1&gt;=Units!$Q10,MOD(AQ$1-Units!$Q10,12)=0),IF(AND(Units!$L10=1,AQ$1=Units!$Q10),1,Inputs!$B$15)*Inputs!$B$16*(1+Inputs!$B$11)^(AQ$2-1),0)</f>
        <v>0</v>
      </c>
      <c r="AR11" s="11" t="n">
        <f aca="false">IF(AND(AR$1&gt;=Units!$Q10,MOD(AR$1-Units!$Q10,12)=0),IF(AND(Units!$L10=1,AR$1=Units!$Q10),1,Inputs!$B$15)*Inputs!$B$16*(1+Inputs!$B$11)^(AR$2-1),0)</f>
        <v>0</v>
      </c>
      <c r="AS11" s="11" t="n">
        <f aca="false">IF(AND(AS$1&gt;=Units!$Q10,MOD(AS$1-Units!$Q10,12)=0),IF(AND(Units!$L10=1,AS$1=Units!$Q10),1,Inputs!$B$15)*Inputs!$B$16*(1+Inputs!$B$11)^(AS$2-1),0)</f>
        <v>0</v>
      </c>
      <c r="AT11" s="11" t="n">
        <f aca="false">IF(AND(AT$1&gt;=Units!$Q10,MOD(AT$1-Units!$Q10,12)=0),IF(AND(Units!$L10=1,AT$1=Units!$Q10),1,Inputs!$B$15)*Inputs!$B$16*(1+Inputs!$B$11)^(AT$2-1),0)</f>
        <v>0</v>
      </c>
      <c r="AU11" s="11" t="n">
        <f aca="false">IF(AND(AU$1&gt;=Units!$Q10,MOD(AU$1-Units!$Q10,12)=0),IF(AND(Units!$L10=1,AU$1=Units!$Q10),1,Inputs!$B$15)*Inputs!$B$16*(1+Inputs!$B$11)^(AU$2-1),0)</f>
        <v>546.3635</v>
      </c>
      <c r="AV11" s="11" t="n">
        <f aca="false">IF(AND(AV$1&gt;=Units!$Q10,MOD(AV$1-Units!$Q10,12)=0),IF(AND(Units!$L10=1,AV$1=Units!$Q10),1,Inputs!$B$15)*Inputs!$B$16*(1+Inputs!$B$11)^(AV$2-1),0)</f>
        <v>0</v>
      </c>
      <c r="AW11" s="11" t="n">
        <f aca="false">IF(AND(AW$1&gt;=Units!$Q10,MOD(AW$1-Units!$Q10,12)=0),IF(AND(Units!$L10=1,AW$1=Units!$Q10),1,Inputs!$B$15)*Inputs!$B$16*(1+Inputs!$B$11)^(AW$2-1),0)</f>
        <v>0</v>
      </c>
      <c r="AX11" s="11" t="n">
        <f aca="false">IF(AND(AX$1&gt;=Units!$Q10,MOD(AX$1-Units!$Q10,12)=0),IF(AND(Units!$L10=1,AX$1=Units!$Q10),1,Inputs!$B$15)*Inputs!$B$16*(1+Inputs!$B$11)^(AX$2-1),0)</f>
        <v>0</v>
      </c>
      <c r="AY11" s="11" t="n">
        <f aca="false">IF(AND(AY$1&gt;=Units!$Q10,MOD(AY$1-Units!$Q10,12)=0),IF(AND(Units!$L10=1,AY$1=Units!$Q10),1,Inputs!$B$15)*Inputs!$B$16*(1+Inputs!$B$11)^(AY$2-1),0)</f>
        <v>0</v>
      </c>
      <c r="AZ11" s="11" t="n">
        <f aca="false">IF(AND(AZ$1&gt;=Units!$Q10,MOD(AZ$1-Units!$Q10,12)=0),IF(AND(Units!$L10=1,AZ$1=Units!$Q10),1,Inputs!$B$15)*Inputs!$B$16*(1+Inputs!$B$11)^(AZ$2-1),0)</f>
        <v>0</v>
      </c>
      <c r="BA11" s="11" t="n">
        <f aca="false">IF(AND(BA$1&gt;=Units!$Q10,MOD(BA$1-Units!$Q10,12)=0),IF(AND(Units!$L10=1,BA$1=Units!$Q10),1,Inputs!$B$15)*Inputs!$B$16*(1+Inputs!$B$11)^(BA$2-1),0)</f>
        <v>0</v>
      </c>
      <c r="BB11" s="11" t="n">
        <f aca="false">IF(AND(BB$1&gt;=Units!$Q10,MOD(BB$1-Units!$Q10,12)=0),IF(AND(Units!$L10=1,BB$1=Units!$Q10),1,Inputs!$B$15)*Inputs!$B$16*(1+Inputs!$B$11)^(BB$2-1),0)</f>
        <v>0</v>
      </c>
      <c r="BC11" s="11" t="n">
        <f aca="false">IF(AND(BC$1&gt;=Units!$Q10,MOD(BC$1-Units!$Q10,12)=0),IF(AND(Units!$L10=1,BC$1=Units!$Q10),1,Inputs!$B$15)*Inputs!$B$16*(1+Inputs!$B$11)^(BC$2-1),0)</f>
        <v>0</v>
      </c>
      <c r="BD11" s="11" t="n">
        <f aca="false">IF(AND(BD$1&gt;=Units!$Q10,MOD(BD$1-Units!$Q10,12)=0),IF(AND(Units!$L10=1,BD$1=Units!$Q10),1,Inputs!$B$15)*Inputs!$B$16*(1+Inputs!$B$11)^(BD$2-1),0)</f>
        <v>0</v>
      </c>
      <c r="BE11" s="11" t="n">
        <f aca="false">IF(AND(BE$1&gt;=Units!$Q10,MOD(BE$1-Units!$Q10,12)=0),IF(AND(Units!$L10=1,BE$1=Units!$Q10),1,Inputs!$B$15)*Inputs!$B$16*(1+Inputs!$B$11)^(BE$2-1),0)</f>
        <v>0</v>
      </c>
      <c r="BF11" s="11" t="n">
        <f aca="false">IF(AND(BF$1&gt;=Units!$Q10,MOD(BF$1-Units!$Q10,12)=0),IF(AND(Units!$L10=1,BF$1=Units!$Q10),1,Inputs!$B$15)*Inputs!$B$16*(1+Inputs!$B$11)^(BF$2-1),0)</f>
        <v>0</v>
      </c>
      <c r="BG11" s="11" t="n">
        <f aca="false">IF(AND(BG$1&gt;=Units!$Q10,MOD(BG$1-Units!$Q10,12)=0),IF(AND(Units!$L10=1,BG$1=Units!$Q10),1,Inputs!$B$15)*Inputs!$B$16*(1+Inputs!$B$11)^(BG$2-1),0)</f>
        <v>562.754405</v>
      </c>
      <c r="BH11" s="11" t="n">
        <f aca="false">IF(AND(BH$1&gt;=Units!$Q10,MOD(BH$1-Units!$Q10,12)=0),IF(AND(Units!$L10=1,BH$1=Units!$Q10),1,Inputs!$B$15)*Inputs!$B$16*(1+Inputs!$B$11)^(BH$2-1),0)</f>
        <v>0</v>
      </c>
      <c r="BI11" s="11" t="n">
        <f aca="false">IF(AND(BI$1&gt;=Units!$Q10,MOD(BI$1-Units!$Q10,12)=0),IF(AND(Units!$L10=1,BI$1=Units!$Q10),1,Inputs!$B$15)*Inputs!$B$16*(1+Inputs!$B$11)^(BI$2-1),0)</f>
        <v>0</v>
      </c>
      <c r="BJ11" s="11" t="n">
        <f aca="false">IF(AND(BJ$1&gt;=Units!$Q10,MOD(BJ$1-Units!$Q10,12)=0),IF(AND(Units!$L10=1,BJ$1=Units!$Q10),1,Inputs!$B$15)*Inputs!$B$16*(1+Inputs!$B$11)^(BJ$2-1),0)</f>
        <v>0</v>
      </c>
      <c r="BK11" s="11" t="n">
        <f aca="false">IF(AND(BK$1&gt;=Units!$Q10,MOD(BK$1-Units!$Q10,12)=0),IF(AND(Units!$L10=1,BK$1=Units!$Q10),1,Inputs!$B$15)*Inputs!$B$16*(1+Inputs!$B$11)^(BK$2-1),0)</f>
        <v>0</v>
      </c>
      <c r="BL11" s="11" t="n">
        <f aca="false">IF(AND(BL$1&gt;=Units!$Q10,MOD(BL$1-Units!$Q10,12)=0),IF(AND(Units!$L10=1,BL$1=Units!$Q10),1,Inputs!$B$15)*Inputs!$B$16*(1+Inputs!$B$11)^(BL$2-1),0)</f>
        <v>0</v>
      </c>
      <c r="BM11" s="11" t="n">
        <f aca="false">IF(AND(BM$1&gt;=Units!$Q10,MOD(BM$1-Units!$Q10,12)=0),IF(AND(Units!$L10=1,BM$1=Units!$Q10),1,Inputs!$B$15)*Inputs!$B$16*(1+Inputs!$B$11)^(BM$2-1),0)</f>
        <v>0</v>
      </c>
      <c r="BN11" s="11" t="n">
        <f aca="false">IF(AND(BN$1&gt;=Units!$Q10,MOD(BN$1-Units!$Q10,12)=0),IF(AND(Units!$L10=1,BN$1=Units!$Q10),1,Inputs!$B$15)*Inputs!$B$16*(1+Inputs!$B$11)^(BN$2-1),0)</f>
        <v>0</v>
      </c>
      <c r="BO11" s="11" t="n">
        <f aca="false">IF(AND(BO$1&gt;=Units!$Q10,MOD(BO$1-Units!$Q10,12)=0),IF(AND(Units!$L10=1,BO$1=Units!$Q10),1,Inputs!$B$15)*Inputs!$B$16*(1+Inputs!$B$11)^(BO$2-1),0)</f>
        <v>0</v>
      </c>
      <c r="BP11" s="11" t="n">
        <f aca="false">IF(AND(BP$1&gt;=Units!$Q10,MOD(BP$1-Units!$Q10,12)=0),IF(AND(Units!$L10=1,BP$1=Units!$Q10),1,Inputs!$B$15)*Inputs!$B$16*(1+Inputs!$B$11)^(BP$2-1),0)</f>
        <v>0</v>
      </c>
      <c r="BQ11" s="11" t="n">
        <f aca="false">IF(AND(BQ$1&gt;=Units!$Q10,MOD(BQ$1-Units!$Q10,12)=0),IF(AND(Units!$L10=1,BQ$1=Units!$Q10),1,Inputs!$B$15)*Inputs!$B$16*(1+Inputs!$B$11)^(BQ$2-1),0)</f>
        <v>0</v>
      </c>
      <c r="BR11" s="11" t="n">
        <f aca="false">IF(AND(BR$1&gt;=Units!$Q10,MOD(BR$1-Units!$Q10,12)=0),IF(AND(Units!$L10=1,BR$1=Units!$Q10),1,Inputs!$B$15)*Inputs!$B$16*(1+Inputs!$B$11)^(BR$2-1),0)</f>
        <v>0</v>
      </c>
      <c r="BS11" s="11" t="n">
        <f aca="false">IF(AND(BS$1&gt;=Units!$Q10,MOD(BS$1-Units!$Q10,12)=0),IF(AND(Units!$L10=1,BS$1=Units!$Q10),1,Inputs!$B$15)*Inputs!$B$16*(1+Inputs!$B$11)^(BS$2-1),0)</f>
        <v>579.63703715</v>
      </c>
      <c r="BT11" s="11" t="n">
        <f aca="false">IF(AND(BT$1&gt;=Units!$Q10,MOD(BT$1-Units!$Q10,12)=0),IF(AND(Units!$L10=1,BT$1=Units!$Q10),1,Inputs!$B$15)*Inputs!$B$16*(1+Inputs!$B$11)^(BT$2-1),0)</f>
        <v>0</v>
      </c>
      <c r="BU11" s="11" t="n">
        <f aca="false">IF(AND(BU$1&gt;=Units!$Q10,MOD(BU$1-Units!$Q10,12)=0),IF(AND(Units!$L10=1,BU$1=Units!$Q10),1,Inputs!$B$15)*Inputs!$B$16*(1+Inputs!$B$11)^(BU$2-1),0)</f>
        <v>0</v>
      </c>
      <c r="BV11" s="11" t="n">
        <f aca="false">IF(AND(BV$1&gt;=Units!$Q10,MOD(BV$1-Units!$Q10,12)=0),IF(AND(Units!$L10=1,BV$1=Units!$Q10),1,Inputs!$B$15)*Inputs!$B$16*(1+Inputs!$B$11)^(BV$2-1),0)</f>
        <v>0</v>
      </c>
      <c r="BW11" s="11" t="n">
        <f aca="false">IF(AND(BW$1&gt;=Units!$Q10,MOD(BW$1-Units!$Q10,12)=0),IF(AND(Units!$L10=1,BW$1=Units!$Q10),1,Inputs!$B$15)*Inputs!$B$16*(1+Inputs!$B$11)^(BW$2-1),0)</f>
        <v>0</v>
      </c>
      <c r="BX11" s="11" t="n">
        <f aca="false">IF(AND(BX$1&gt;=Units!$Q10,MOD(BX$1-Units!$Q10,12)=0),IF(AND(Units!$L10=1,BX$1=Units!$Q10),1,Inputs!$B$15)*Inputs!$B$16*(1+Inputs!$B$11)^(BX$2-1),0)</f>
        <v>0</v>
      </c>
      <c r="BY11" s="11" t="n">
        <f aca="false">IF(AND(BY$1&gt;=Units!$Q10,MOD(BY$1-Units!$Q10,12)=0),IF(AND(Units!$L10=1,BY$1=Units!$Q10),1,Inputs!$B$15)*Inputs!$B$16*(1+Inputs!$B$11)^(BY$2-1),0)</f>
        <v>0</v>
      </c>
      <c r="BZ11" s="11" t="n">
        <f aca="false">IF(AND(BZ$1&gt;=Units!$Q10,MOD(BZ$1-Units!$Q10,12)=0),IF(AND(Units!$L10=1,BZ$1=Units!$Q10),1,Inputs!$B$15)*Inputs!$B$16*(1+Inputs!$B$11)^(BZ$2-1),0)</f>
        <v>0</v>
      </c>
      <c r="CA11" s="11" t="n">
        <f aca="false">IF(AND(CA$1&gt;=Units!$Q10,MOD(CA$1-Units!$Q10,12)=0),IF(AND(Units!$L10=1,CA$1=Units!$Q10),1,Inputs!$B$15)*Inputs!$B$16*(1+Inputs!$B$11)^(CA$2-1),0)</f>
        <v>0</v>
      </c>
      <c r="CB11" s="11" t="n">
        <f aca="false">IF(AND(CB$1&gt;=Units!$Q10,MOD(CB$1-Units!$Q10,12)=0),IF(AND(Units!$L10=1,CB$1=Units!$Q10),1,Inputs!$B$15)*Inputs!$B$16*(1+Inputs!$B$11)^(CB$2-1),0)</f>
        <v>0</v>
      </c>
      <c r="CC11" s="11" t="n">
        <f aca="false">IF(AND(CC$1&gt;=Units!$Q10,MOD(CC$1-Units!$Q10,12)=0),IF(AND(Units!$L10=1,CC$1=Units!$Q10),1,Inputs!$B$15)*Inputs!$B$16*(1+Inputs!$B$11)^(CC$2-1),0)</f>
        <v>0</v>
      </c>
      <c r="CD11" s="11" t="n">
        <f aca="false">IF(AND(CD$1&gt;=Units!$Q10,MOD(CD$1-Units!$Q10,12)=0),IF(AND(Units!$L10=1,CD$1=Units!$Q10),1,Inputs!$B$15)*Inputs!$B$16*(1+Inputs!$B$11)^(CD$2-1),0)</f>
        <v>0</v>
      </c>
      <c r="CE11" s="11" t="n">
        <f aca="false">IF(AND(CE$1&gt;=Units!$Q10,MOD(CE$1-Units!$Q10,12)=0),IF(AND(Units!$L10=1,CE$1=Units!$Q10),1,Inputs!$B$15)*Inputs!$B$16*(1+Inputs!$B$11)^(CE$2-1),0)</f>
        <v>597.0261482645</v>
      </c>
      <c r="CF11" s="11" t="n">
        <f aca="false">IF(AND(CF$1&gt;=Units!$Q10,MOD(CF$1-Units!$Q10,12)=0),IF(AND(Units!$L10=1,CF$1=Units!$Q10),1,Inputs!$B$15)*Inputs!$B$16*(1+Inputs!$B$11)^(CF$2-1),0)</f>
        <v>0</v>
      </c>
      <c r="CG11" s="11" t="n">
        <f aca="false">IF(AND(CG$1&gt;=Units!$Q10,MOD(CG$1-Units!$Q10,12)=0),IF(AND(Units!$L10=1,CG$1=Units!$Q10),1,Inputs!$B$15)*Inputs!$B$16*(1+Inputs!$B$11)^(CG$2-1),0)</f>
        <v>0</v>
      </c>
      <c r="CH11" s="11" t="n">
        <f aca="false">IF(AND(CH$1&gt;=Units!$Q10,MOD(CH$1-Units!$Q10,12)=0),IF(AND(Units!$L10=1,CH$1=Units!$Q10),1,Inputs!$B$15)*Inputs!$B$16*(1+Inputs!$B$11)^(CH$2-1),0)</f>
        <v>0</v>
      </c>
      <c r="CI11" s="11" t="n">
        <f aca="false">IF(AND(CI$1&gt;=Units!$Q10,MOD(CI$1-Units!$Q10,12)=0),IF(AND(Units!$L10=1,CI$1=Units!$Q10),1,Inputs!$B$15)*Inputs!$B$16*(1+Inputs!$B$11)^(CI$2-1),0)</f>
        <v>0</v>
      </c>
      <c r="CJ11" s="11" t="n">
        <f aca="false">IF(AND(CJ$1&gt;=Units!$Q10,MOD(CJ$1-Units!$Q10,12)=0),IF(AND(Units!$L10=1,CJ$1=Units!$Q10),1,Inputs!$B$15)*Inputs!$B$16*(1+Inputs!$B$11)^(CJ$2-1),0)</f>
        <v>0</v>
      </c>
      <c r="CK11" s="11" t="n">
        <f aca="false">IF(AND(CK$1&gt;=Units!$Q10,MOD(CK$1-Units!$Q10,12)=0),IF(AND(Units!$L10=1,CK$1=Units!$Q10),1,Inputs!$B$15)*Inputs!$B$16*(1+Inputs!$B$11)^(CK$2-1),0)</f>
        <v>0</v>
      </c>
      <c r="CL11" s="11" t="n">
        <f aca="false">IF(AND(CL$1&gt;=Units!$Q10,MOD(CL$1-Units!$Q10,12)=0),IF(AND(Units!$L10=1,CL$1=Units!$Q10),1,Inputs!$B$15)*Inputs!$B$16*(1+Inputs!$B$11)^(CL$2-1),0)</f>
        <v>0</v>
      </c>
      <c r="CM11" s="11" t="n">
        <f aca="false">IF(AND(CM$1&gt;=Units!$Q10,MOD(CM$1-Units!$Q10,12)=0),IF(AND(Units!$L10=1,CM$1=Units!$Q10),1,Inputs!$B$15)*Inputs!$B$16*(1+Inputs!$B$11)^(CM$2-1),0)</f>
        <v>0</v>
      </c>
      <c r="CN11" s="11" t="n">
        <f aca="false">IF(AND(CN$1&gt;=Units!$Q10,MOD(CN$1-Units!$Q10,12)=0),IF(AND(Units!$L10=1,CN$1=Units!$Q10),1,Inputs!$B$15)*Inputs!$B$16*(1+Inputs!$B$11)^(CN$2-1),0)</f>
        <v>0</v>
      </c>
      <c r="CO11" s="11" t="n">
        <f aca="false">IF(AND(CO$1&gt;=Units!$Q10,MOD(CO$1-Units!$Q10,12)=0),IF(AND(Units!$L10=1,CO$1=Units!$Q10),1,Inputs!$B$15)*Inputs!$B$16*(1+Inputs!$B$11)^(CO$2-1),0)</f>
        <v>0</v>
      </c>
      <c r="CP11" s="11" t="n">
        <f aca="false">IF(AND(CP$1&gt;=Units!$Q10,MOD(CP$1-Units!$Q10,12)=0),IF(AND(Units!$L10=1,CP$1=Units!$Q10),1,Inputs!$B$15)*Inputs!$B$16*(1+Inputs!$B$11)^(CP$2-1),0)</f>
        <v>0</v>
      </c>
      <c r="CQ11" s="11" t="n">
        <f aca="false">IF(AND(CQ$1&gt;=Units!$Q10,MOD(CQ$1-Units!$Q10,12)=0),IF(AND(Units!$L10=1,CQ$1=Units!$Q10),1,Inputs!$B$15)*Inputs!$B$16*(1+Inputs!$B$11)^(CQ$2-1),0)</f>
        <v>614.936932712435</v>
      </c>
      <c r="CR11" s="11" t="n">
        <f aca="false">IF(AND(CR$1&gt;=Units!$Q10,MOD(CR$1-Units!$Q10,12)=0),IF(AND(Units!$L10=1,CR$1=Units!$Q10),1,Inputs!$B$15)*Inputs!$B$16*(1+Inputs!$B$11)^(CR$2-1),0)</f>
        <v>0</v>
      </c>
      <c r="CS11" s="11" t="n">
        <f aca="false">IF(AND(CS$1&gt;=Units!$Q10,MOD(CS$1-Units!$Q10,12)=0),IF(AND(Units!$L10=1,CS$1=Units!$Q10),1,Inputs!$B$15)*Inputs!$B$16*(1+Inputs!$B$11)^(CS$2-1),0)</f>
        <v>0</v>
      </c>
      <c r="CT11" s="11" t="n">
        <f aca="false">IF(AND(CT$1&gt;=Units!$Q10,MOD(CT$1-Units!$Q10,12)=0),IF(AND(Units!$L10=1,CT$1=Units!$Q10),1,Inputs!$B$15)*Inputs!$B$16*(1+Inputs!$B$11)^(CT$2-1),0)</f>
        <v>0</v>
      </c>
      <c r="CU11" s="11" t="n">
        <f aca="false">IF(AND(CU$1&gt;=Units!$Q10,MOD(CU$1-Units!$Q10,12)=0),IF(AND(Units!$L10=1,CU$1=Units!$Q10),1,Inputs!$B$15)*Inputs!$B$16*(1+Inputs!$B$11)^(CU$2-1),0)</f>
        <v>0</v>
      </c>
      <c r="CV11" s="11" t="n">
        <f aca="false">IF(AND(CV$1&gt;=Units!$Q10,MOD(CV$1-Units!$Q10,12)=0),IF(AND(Units!$L10=1,CV$1=Units!$Q10),1,Inputs!$B$15)*Inputs!$B$16*(1+Inputs!$B$11)^(CV$2-1),0)</f>
        <v>0</v>
      </c>
      <c r="CW11" s="11" t="n">
        <f aca="false">IF(AND(CW$1&gt;=Units!$Q10,MOD(CW$1-Units!$Q10,12)=0),IF(AND(Units!$L10=1,CW$1=Units!$Q10),1,Inputs!$B$15)*Inputs!$B$16*(1+Inputs!$B$11)^(CW$2-1),0)</f>
        <v>0</v>
      </c>
      <c r="CX11" s="11" t="n">
        <f aca="false">IF(AND(CX$1&gt;=Units!$Q10,MOD(CX$1-Units!$Q10,12)=0),IF(AND(Units!$L10=1,CX$1=Units!$Q10),1,Inputs!$B$15)*Inputs!$B$16*(1+Inputs!$B$11)^(CX$2-1),0)</f>
        <v>0</v>
      </c>
      <c r="CY11" s="11" t="n">
        <f aca="false">IF(AND(CY$1&gt;=Units!$Q10,MOD(CY$1-Units!$Q10,12)=0),IF(AND(Units!$L10=1,CY$1=Units!$Q10),1,Inputs!$B$15)*Inputs!$B$16*(1+Inputs!$B$11)^(CY$2-1),0)</f>
        <v>0</v>
      </c>
      <c r="CZ11" s="11" t="n">
        <f aca="false">IF(AND(CZ$1&gt;=Units!$Q10,MOD(CZ$1-Units!$Q10,12)=0),IF(AND(Units!$L10=1,CZ$1=Units!$Q10),1,Inputs!$B$15)*Inputs!$B$16*(1+Inputs!$B$11)^(CZ$2-1),0)</f>
        <v>0</v>
      </c>
      <c r="DA11" s="11" t="n">
        <f aca="false">IF(AND(DA$1&gt;=Units!$Q10,MOD(DA$1-Units!$Q10,12)=0),IF(AND(Units!$L10=1,DA$1=Units!$Q10),1,Inputs!$B$15)*Inputs!$B$16*(1+Inputs!$B$11)^(DA$2-1),0)</f>
        <v>0</v>
      </c>
      <c r="DB11" s="11" t="n">
        <f aca="false">IF(AND(DB$1&gt;=Units!$Q10,MOD(DB$1-Units!$Q10,12)=0),IF(AND(Units!$L10=1,DB$1=Units!$Q10),1,Inputs!$B$15)*Inputs!$B$16*(1+Inputs!$B$11)^(DB$2-1),0)</f>
        <v>0</v>
      </c>
      <c r="DC11" s="11" t="n">
        <f aca="false">IF(AND(DC$1&gt;=Units!$Q10,MOD(DC$1-Units!$Q10,12)=0),IF(AND(Units!$L10=1,DC$1=Units!$Q10),1,Inputs!$B$15)*Inputs!$B$16*(1+Inputs!$B$11)^(DC$2-1),0)</f>
        <v>633.385040693808</v>
      </c>
      <c r="DD11" s="11" t="n">
        <f aca="false">IF(AND(DD$1&gt;=Units!$Q10,MOD(DD$1-Units!$Q10,12)=0),IF(AND(Units!$L10=1,DD$1=Units!$Q10),1,Inputs!$B$15)*Inputs!$B$16*(1+Inputs!$B$11)^(DD$2-1),0)</f>
        <v>0</v>
      </c>
      <c r="DE11" s="11" t="n">
        <f aca="false">IF(AND(DE$1&gt;=Units!$Q10,MOD(DE$1-Units!$Q10,12)=0),IF(AND(Units!$L10=1,DE$1=Units!$Q10),1,Inputs!$B$15)*Inputs!$B$16*(1+Inputs!$B$11)^(DE$2-1),0)</f>
        <v>0</v>
      </c>
      <c r="DF11" s="11" t="n">
        <f aca="false">IF(AND(DF$1&gt;=Units!$Q10,MOD(DF$1-Units!$Q10,12)=0),IF(AND(Units!$L10=1,DF$1=Units!$Q10),1,Inputs!$B$15)*Inputs!$B$16*(1+Inputs!$B$11)^(DF$2-1),0)</f>
        <v>0</v>
      </c>
      <c r="DG11" s="11" t="n">
        <f aca="false">IF(AND(DG$1&gt;=Units!$Q10,MOD(DG$1-Units!$Q10,12)=0),IF(AND(Units!$L10=1,DG$1=Units!$Q10),1,Inputs!$B$15)*Inputs!$B$16*(1+Inputs!$B$11)^(DG$2-1),0)</f>
        <v>0</v>
      </c>
      <c r="DH11" s="11" t="n">
        <f aca="false">IF(AND(DH$1&gt;=Units!$Q10,MOD(DH$1-Units!$Q10,12)=0),IF(AND(Units!$L10=1,DH$1=Units!$Q10),1,Inputs!$B$15)*Inputs!$B$16*(1+Inputs!$B$11)^(DH$2-1),0)</f>
        <v>0</v>
      </c>
      <c r="DI11" s="11" t="n">
        <f aca="false">IF(AND(DI$1&gt;=Units!$Q10,MOD(DI$1-Units!$Q10,12)=0),IF(AND(Units!$L10=1,DI$1=Units!$Q10),1,Inputs!$B$15)*Inputs!$B$16*(1+Inputs!$B$11)^(DI$2-1),0)</f>
        <v>0</v>
      </c>
      <c r="DJ11" s="11" t="n">
        <f aca="false">IF(AND(DJ$1&gt;=Units!$Q10,MOD(DJ$1-Units!$Q10,12)=0),IF(AND(Units!$L10=1,DJ$1=Units!$Q10),1,Inputs!$B$15)*Inputs!$B$16*(1+Inputs!$B$11)^(DJ$2-1),0)</f>
        <v>0</v>
      </c>
      <c r="DK11" s="11" t="n">
        <f aca="false">IF(AND(DK$1&gt;=Units!$Q10,MOD(DK$1-Units!$Q10,12)=0),IF(AND(Units!$L10=1,DK$1=Units!$Q10),1,Inputs!$B$15)*Inputs!$B$16*(1+Inputs!$B$11)^(DK$2-1),0)</f>
        <v>0</v>
      </c>
      <c r="DL11" s="11" t="n">
        <f aca="false">IF(AND(DL$1&gt;=Units!$Q10,MOD(DL$1-Units!$Q10,12)=0),IF(AND(Units!$L10=1,DL$1=Units!$Q10),1,Inputs!$B$15)*Inputs!$B$16*(1+Inputs!$B$11)^(DL$2-1),0)</f>
        <v>0</v>
      </c>
      <c r="DM11" s="11" t="n">
        <f aca="false">IF(AND(DM$1&gt;=Units!$Q10,MOD(DM$1-Units!$Q10,12)=0),IF(AND(Units!$L10=1,DM$1=Units!$Q10),1,Inputs!$B$15)*Inputs!$B$16*(1+Inputs!$B$11)^(DM$2-1),0)</f>
        <v>0</v>
      </c>
      <c r="DN11" s="11" t="n">
        <f aca="false">IF(AND(DN$1&gt;=Units!$Q10,MOD(DN$1-Units!$Q10,12)=0),IF(AND(Units!$L10=1,DN$1=Units!$Q10),1,Inputs!$B$15)*Inputs!$B$16*(1+Inputs!$B$11)^(DN$2-1),0)</f>
        <v>0</v>
      </c>
      <c r="DO11" s="11" t="n">
        <f aca="false">IF(AND(DO$1&gt;=Units!$Q10,MOD(DO$1-Units!$Q10,12)=0),IF(AND(Units!$L10=1,DO$1=Units!$Q10),1,Inputs!$B$15)*Inputs!$B$16*(1+Inputs!$B$11)^(DO$2-1),0)</f>
        <v>652.386591914623</v>
      </c>
      <c r="DP11" s="11" t="n">
        <f aca="false">IF(AND(DP$1&gt;=Units!$Q10,MOD(DP$1-Units!$Q10,12)=0),IF(AND(Units!$L10=1,DP$1=Units!$Q10),1,Inputs!$B$15)*Inputs!$B$16*(1+Inputs!$B$11)^(DP$2-1),0)</f>
        <v>0</v>
      </c>
      <c r="DQ11" s="11" t="n">
        <f aca="false">IF(AND(DQ$1&gt;=Units!$Q10,MOD(DQ$1-Units!$Q10,12)=0),IF(AND(Units!$L10=1,DQ$1=Units!$Q10),1,Inputs!$B$15)*Inputs!$B$16*(1+Inputs!$B$11)^(DQ$2-1),0)</f>
        <v>0</v>
      </c>
      <c r="DR11" s="11" t="n">
        <f aca="false">IF(AND(DR$1&gt;=Units!$Q10,MOD(DR$1-Units!$Q10,12)=0),IF(AND(Units!$L10=1,DR$1=Units!$Q10),1,Inputs!$B$15)*Inputs!$B$16*(1+Inputs!$B$11)^(DR$2-1),0)</f>
        <v>0</v>
      </c>
      <c r="DS11" s="11" t="n">
        <f aca="false">IF(AND(DS$1&gt;=Units!$Q10,MOD(DS$1-Units!$Q10,12)=0),IF(AND(Units!$L10=1,DS$1=Units!$Q10),1,Inputs!$B$15)*Inputs!$B$16*(1+Inputs!$B$11)^(DS$2-1),0)</f>
        <v>0</v>
      </c>
      <c r="DT11" s="11" t="n">
        <f aca="false">IF(AND(DT$1&gt;=Units!$Q10,MOD(DT$1-Units!$Q10,12)=0),IF(AND(Units!$L10=1,DT$1=Units!$Q10),1,Inputs!$B$15)*Inputs!$B$16*(1+Inputs!$B$11)^(DT$2-1),0)</f>
        <v>0</v>
      </c>
      <c r="DU11" s="11" t="n">
        <f aca="false">IF(AND(DU$1&gt;=Units!$Q10,MOD(DU$1-Units!$Q10,12)=0),IF(AND(Units!$L10=1,DU$1=Units!$Q10),1,Inputs!$B$15)*Inputs!$B$16*(1+Inputs!$B$11)^(DU$2-1),0)</f>
        <v>0</v>
      </c>
      <c r="DV11" s="11" t="n">
        <f aca="false">IF(AND(DV$1&gt;=Units!$Q10,MOD(DV$1-Units!$Q10,12)=0),IF(AND(Units!$L10=1,DV$1=Units!$Q10),1,Inputs!$B$15)*Inputs!$B$16*(1+Inputs!$B$11)^(DV$2-1),0)</f>
        <v>0</v>
      </c>
      <c r="DW11" s="11" t="n">
        <f aca="false">IF(AND(DW$1&gt;=Units!$Q10,MOD(DW$1-Units!$Q10,12)=0),IF(AND(Units!$L10=1,DW$1=Units!$Q10),1,Inputs!$B$15)*Inputs!$B$16*(1+Inputs!$B$11)^(DW$2-1),0)</f>
        <v>0</v>
      </c>
      <c r="DX11" s="11" t="n">
        <f aca="false">IF(AND(DX$1&gt;=Units!$Q10,MOD(DX$1-Units!$Q10,12)=0),IF(AND(Units!$L10=1,DX$1=Units!$Q10),1,Inputs!$B$15)*Inputs!$B$16*(1+Inputs!$B$11)^(DX$2-1),0)</f>
        <v>0</v>
      </c>
      <c r="DY11" s="11" t="n">
        <f aca="false">IF(AND(DY$1&gt;=Units!$Q10,MOD(DY$1-Units!$Q10,12)=0),IF(AND(Units!$L10=1,DY$1=Units!$Q10),1,Inputs!$B$15)*Inputs!$B$16*(1+Inputs!$B$11)^(DY$2-1),0)</f>
        <v>0</v>
      </c>
      <c r="DZ11" s="11" t="n">
        <f aca="false">IF(AND(DZ$1&gt;=Units!$Q10,MOD(DZ$1-Units!$Q10,12)=0),IF(AND(Units!$L10=1,DZ$1=Units!$Q10),1,Inputs!$B$15)*Inputs!$B$16*(1+Inputs!$B$11)^(DZ$2-1),0)</f>
        <v>0</v>
      </c>
      <c r="EA11" s="11" t="n">
        <f aca="false">IF(AND(EA$1&gt;=Units!$Q10,MOD(EA$1-Units!$Q10,12)=0),IF(AND(Units!$L10=1,EA$1=Units!$Q10),1,Inputs!$B$15)*Inputs!$B$16*(1+Inputs!$B$11)^(EA$2-1),0)</f>
        <v>671.958189672061</v>
      </c>
      <c r="EB11" s="11" t="n">
        <f aca="false">IF(AND(EB$1&gt;=Units!$Q10,MOD(EB$1-Units!$Q10,12)=0),IF(AND(Units!$L10=1,EB$1=Units!$Q10),1,Inputs!$B$15)*Inputs!$B$16*(1+Inputs!$B$11)^(EB$2-1),0)</f>
        <v>0</v>
      </c>
      <c r="EC11" s="11" t="n">
        <f aca="false">IF(AND(EC$1&gt;=Units!$Q10,MOD(EC$1-Units!$Q10,12)=0),IF(AND(Units!$L10=1,EC$1=Units!$Q10),1,Inputs!$B$15)*Inputs!$B$16*(1+Inputs!$B$11)^(EC$2-1),0)</f>
        <v>0</v>
      </c>
      <c r="ED11" s="11" t="n">
        <f aca="false">IF(AND(ED$1&gt;=Units!$Q10,MOD(ED$1-Units!$Q10,12)=0),IF(AND(Units!$L10=1,ED$1=Units!$Q10),1,Inputs!$B$15)*Inputs!$B$16*(1+Inputs!$B$11)^(ED$2-1),0)</f>
        <v>0</v>
      </c>
    </row>
    <row r="12" customFormat="false" ht="15" hidden="false" customHeight="false" outlineLevel="0" collapsed="false">
      <c r="A12" s="22" t="n">
        <f aca="false">Units!A11</f>
        <v>110</v>
      </c>
      <c r="B12" s="23"/>
      <c r="C12" s="11" t="n">
        <f aca="false">IF(AND(C$1&gt;=Units!$Q11,MOD(C$1-Units!$Q11,12)=0),IF(AND(Units!$L11=1,C$1=Units!$Q11),1,Inputs!$B$15)*Inputs!$B$16*(1+Inputs!$B$11)^(C$2-1),0)</f>
        <v>0</v>
      </c>
      <c r="D12" s="11" t="n">
        <f aca="false">IF(AND(D$1&gt;=Units!$Q11,MOD(D$1-Units!$Q11,12)=0),IF(AND(Units!$L11=1,D$1=Units!$Q11),1,Inputs!$B$15)*Inputs!$B$16*(1+Inputs!$B$11)^(D$2-1),0)</f>
        <v>0</v>
      </c>
      <c r="E12" s="11" t="n">
        <f aca="false">IF(AND(E$1&gt;=Units!$Q11,MOD(E$1-Units!$Q11,12)=0),IF(AND(Units!$L11=1,E$1=Units!$Q11),1,Inputs!$B$15)*Inputs!$B$16*(1+Inputs!$B$11)^(E$2-1),0)</f>
        <v>0</v>
      </c>
      <c r="F12" s="11" t="n">
        <f aca="false">IF(AND(F$1&gt;=Units!$Q11,MOD(F$1-Units!$Q11,12)=0),IF(AND(Units!$L11=1,F$1=Units!$Q11),1,Inputs!$B$15)*Inputs!$B$16*(1+Inputs!$B$11)^(F$2-1),0)</f>
        <v>0</v>
      </c>
      <c r="G12" s="11" t="n">
        <f aca="false">IF(AND(G$1&gt;=Units!$Q11,MOD(G$1-Units!$Q11,12)=0),IF(AND(Units!$L11=1,G$1=Units!$Q11),1,Inputs!$B$15)*Inputs!$B$16*(1+Inputs!$B$11)^(G$2-1),0)</f>
        <v>0</v>
      </c>
      <c r="H12" s="11" t="n">
        <f aca="false">IF(AND(H$1&gt;=Units!$Q11,MOD(H$1-Units!$Q11,12)=0),IF(AND(Units!$L11=1,H$1=Units!$Q11),1,Inputs!$B$15)*Inputs!$B$16*(1+Inputs!$B$11)^(H$2-1),0)</f>
        <v>0</v>
      </c>
      <c r="I12" s="11" t="n">
        <f aca="false">IF(AND(I$1&gt;=Units!$Q11,MOD(I$1-Units!$Q11,12)=0),IF(AND(Units!$L11=1,I$1=Units!$Q11),1,Inputs!$B$15)*Inputs!$B$16*(1+Inputs!$B$11)^(I$2-1),0)</f>
        <v>0</v>
      </c>
      <c r="J12" s="11" t="n">
        <f aca="false">IF(AND(J$1&gt;=Units!$Q11,MOD(J$1-Units!$Q11,12)=0),IF(AND(Units!$L11=1,J$1=Units!$Q11),1,Inputs!$B$15)*Inputs!$B$16*(1+Inputs!$B$11)^(J$2-1),0)</f>
        <v>0</v>
      </c>
      <c r="K12" s="11" t="n">
        <f aca="false">IF(AND(K$1&gt;=Units!$Q11,MOD(K$1-Units!$Q11,12)=0),IF(AND(Units!$L11=1,K$1=Units!$Q11),1,Inputs!$B$15)*Inputs!$B$16*(1+Inputs!$B$11)^(K$2-1),0)</f>
        <v>0</v>
      </c>
      <c r="L12" s="11" t="n">
        <f aca="false">IF(AND(L$1&gt;=Units!$Q11,MOD(L$1-Units!$Q11,12)=0),IF(AND(Units!$L11=1,L$1=Units!$Q11),1,Inputs!$B$15)*Inputs!$B$16*(1+Inputs!$B$11)^(L$2-1),0)</f>
        <v>0</v>
      </c>
      <c r="M12" s="11" t="n">
        <f aca="false">IF(AND(M$1&gt;=Units!$Q11,MOD(M$1-Units!$Q11,12)=0),IF(AND(Units!$L11=1,M$1=Units!$Q11),1,Inputs!$B$15)*Inputs!$B$16*(1+Inputs!$B$11)^(M$2-1),0)</f>
        <v>0</v>
      </c>
      <c r="N12" s="11" t="n">
        <f aca="false">IF(AND(N$1&gt;=Units!$Q11,MOD(N$1-Units!$Q11,12)=0),IF(AND(Units!$L11=1,N$1=Units!$Q11),1,Inputs!$B$15)*Inputs!$B$16*(1+Inputs!$B$11)^(N$2-1),0)</f>
        <v>500</v>
      </c>
      <c r="O12" s="11" t="n">
        <f aca="false">IF(AND(O$1&gt;=Units!$Q11,MOD(O$1-Units!$Q11,12)=0),IF(AND(Units!$L11=1,O$1=Units!$Q11),1,Inputs!$B$15)*Inputs!$B$16*(1+Inputs!$B$11)^(O$2-1),0)</f>
        <v>0</v>
      </c>
      <c r="P12" s="11" t="n">
        <f aca="false">IF(AND(P$1&gt;=Units!$Q11,MOD(P$1-Units!$Q11,12)=0),IF(AND(Units!$L11=1,P$1=Units!$Q11),1,Inputs!$B$15)*Inputs!$B$16*(1+Inputs!$B$11)^(P$2-1),0)</f>
        <v>0</v>
      </c>
      <c r="Q12" s="11" t="n">
        <f aca="false">IF(AND(Q$1&gt;=Units!$Q11,MOD(Q$1-Units!$Q11,12)=0),IF(AND(Units!$L11=1,Q$1=Units!$Q11),1,Inputs!$B$15)*Inputs!$B$16*(1+Inputs!$B$11)^(Q$2-1),0)</f>
        <v>0</v>
      </c>
      <c r="R12" s="11" t="n">
        <f aca="false">IF(AND(R$1&gt;=Units!$Q11,MOD(R$1-Units!$Q11,12)=0),IF(AND(Units!$L11=1,R$1=Units!$Q11),1,Inputs!$B$15)*Inputs!$B$16*(1+Inputs!$B$11)^(R$2-1),0)</f>
        <v>0</v>
      </c>
      <c r="S12" s="11" t="n">
        <f aca="false">IF(AND(S$1&gt;=Units!$Q11,MOD(S$1-Units!$Q11,12)=0),IF(AND(Units!$L11=1,S$1=Units!$Q11),1,Inputs!$B$15)*Inputs!$B$16*(1+Inputs!$B$11)^(S$2-1),0)</f>
        <v>0</v>
      </c>
      <c r="T12" s="11" t="n">
        <f aca="false">IF(AND(T$1&gt;=Units!$Q11,MOD(T$1-Units!$Q11,12)=0),IF(AND(Units!$L11=1,T$1=Units!$Q11),1,Inputs!$B$15)*Inputs!$B$16*(1+Inputs!$B$11)^(T$2-1),0)</f>
        <v>0</v>
      </c>
      <c r="U12" s="11" t="n">
        <f aca="false">IF(AND(U$1&gt;=Units!$Q11,MOD(U$1-Units!$Q11,12)=0),IF(AND(Units!$L11=1,U$1=Units!$Q11),1,Inputs!$B$15)*Inputs!$B$16*(1+Inputs!$B$11)^(U$2-1),0)</f>
        <v>0</v>
      </c>
      <c r="V12" s="11" t="n">
        <f aca="false">IF(AND(V$1&gt;=Units!$Q11,MOD(V$1-Units!$Q11,12)=0),IF(AND(Units!$L11=1,V$1=Units!$Q11),1,Inputs!$B$15)*Inputs!$B$16*(1+Inputs!$B$11)^(V$2-1),0)</f>
        <v>0</v>
      </c>
      <c r="W12" s="11" t="n">
        <f aca="false">IF(AND(W$1&gt;=Units!$Q11,MOD(W$1-Units!$Q11,12)=0),IF(AND(Units!$L11=1,W$1=Units!$Q11),1,Inputs!$B$15)*Inputs!$B$16*(1+Inputs!$B$11)^(W$2-1),0)</f>
        <v>0</v>
      </c>
      <c r="X12" s="11" t="n">
        <f aca="false">IF(AND(X$1&gt;=Units!$Q11,MOD(X$1-Units!$Q11,12)=0),IF(AND(Units!$L11=1,X$1=Units!$Q11),1,Inputs!$B$15)*Inputs!$B$16*(1+Inputs!$B$11)^(X$2-1),0)</f>
        <v>0</v>
      </c>
      <c r="Y12" s="11" t="n">
        <f aca="false">IF(AND(Y$1&gt;=Units!$Q11,MOD(Y$1-Units!$Q11,12)=0),IF(AND(Units!$L11=1,Y$1=Units!$Q11),1,Inputs!$B$15)*Inputs!$B$16*(1+Inputs!$B$11)^(Y$2-1),0)</f>
        <v>0</v>
      </c>
      <c r="Z12" s="11" t="n">
        <f aca="false">IF(AND(Z$1&gt;=Units!$Q11,MOD(Z$1-Units!$Q11,12)=0),IF(AND(Units!$L11=1,Z$1=Units!$Q11),1,Inputs!$B$15)*Inputs!$B$16*(1+Inputs!$B$11)^(Z$2-1),0)</f>
        <v>515</v>
      </c>
      <c r="AA12" s="11" t="n">
        <f aca="false">IF(AND(AA$1&gt;=Units!$Q11,MOD(AA$1-Units!$Q11,12)=0),IF(AND(Units!$L11=1,AA$1=Units!$Q11),1,Inputs!$B$15)*Inputs!$B$16*(1+Inputs!$B$11)^(AA$2-1),0)</f>
        <v>0</v>
      </c>
      <c r="AB12" s="11" t="n">
        <f aca="false">IF(AND(AB$1&gt;=Units!$Q11,MOD(AB$1-Units!$Q11,12)=0),IF(AND(Units!$L11=1,AB$1=Units!$Q11),1,Inputs!$B$15)*Inputs!$B$16*(1+Inputs!$B$11)^(AB$2-1),0)</f>
        <v>0</v>
      </c>
      <c r="AC12" s="11" t="n">
        <f aca="false">IF(AND(AC$1&gt;=Units!$Q11,MOD(AC$1-Units!$Q11,12)=0),IF(AND(Units!$L11=1,AC$1=Units!$Q11),1,Inputs!$B$15)*Inputs!$B$16*(1+Inputs!$B$11)^(AC$2-1),0)</f>
        <v>0</v>
      </c>
      <c r="AD12" s="11" t="n">
        <f aca="false">IF(AND(AD$1&gt;=Units!$Q11,MOD(AD$1-Units!$Q11,12)=0),IF(AND(Units!$L11=1,AD$1=Units!$Q11),1,Inputs!$B$15)*Inputs!$B$16*(1+Inputs!$B$11)^(AD$2-1),0)</f>
        <v>0</v>
      </c>
      <c r="AE12" s="11" t="n">
        <f aca="false">IF(AND(AE$1&gt;=Units!$Q11,MOD(AE$1-Units!$Q11,12)=0),IF(AND(Units!$L11=1,AE$1=Units!$Q11),1,Inputs!$B$15)*Inputs!$B$16*(1+Inputs!$B$11)^(AE$2-1),0)</f>
        <v>0</v>
      </c>
      <c r="AF12" s="11" t="n">
        <f aca="false">IF(AND(AF$1&gt;=Units!$Q11,MOD(AF$1-Units!$Q11,12)=0),IF(AND(Units!$L11=1,AF$1=Units!$Q11),1,Inputs!$B$15)*Inputs!$B$16*(1+Inputs!$B$11)^(AF$2-1),0)</f>
        <v>0</v>
      </c>
      <c r="AG12" s="11" t="n">
        <f aca="false">IF(AND(AG$1&gt;=Units!$Q11,MOD(AG$1-Units!$Q11,12)=0),IF(AND(Units!$L11=1,AG$1=Units!$Q11),1,Inputs!$B$15)*Inputs!$B$16*(1+Inputs!$B$11)^(AG$2-1),0)</f>
        <v>0</v>
      </c>
      <c r="AH12" s="11" t="n">
        <f aca="false">IF(AND(AH$1&gt;=Units!$Q11,MOD(AH$1-Units!$Q11,12)=0),IF(AND(Units!$L11=1,AH$1=Units!$Q11),1,Inputs!$B$15)*Inputs!$B$16*(1+Inputs!$B$11)^(AH$2-1),0)</f>
        <v>0</v>
      </c>
      <c r="AI12" s="11" t="n">
        <f aca="false">IF(AND(AI$1&gt;=Units!$Q11,MOD(AI$1-Units!$Q11,12)=0),IF(AND(Units!$L11=1,AI$1=Units!$Q11),1,Inputs!$B$15)*Inputs!$B$16*(1+Inputs!$B$11)^(AI$2-1),0)</f>
        <v>0</v>
      </c>
      <c r="AJ12" s="11" t="n">
        <f aca="false">IF(AND(AJ$1&gt;=Units!$Q11,MOD(AJ$1-Units!$Q11,12)=0),IF(AND(Units!$L11=1,AJ$1=Units!$Q11),1,Inputs!$B$15)*Inputs!$B$16*(1+Inputs!$B$11)^(AJ$2-1),0)</f>
        <v>0</v>
      </c>
      <c r="AK12" s="11" t="n">
        <f aca="false">IF(AND(AK$1&gt;=Units!$Q11,MOD(AK$1-Units!$Q11,12)=0),IF(AND(Units!$L11=1,AK$1=Units!$Q11),1,Inputs!$B$15)*Inputs!$B$16*(1+Inputs!$B$11)^(AK$2-1),0)</f>
        <v>0</v>
      </c>
      <c r="AL12" s="11" t="n">
        <f aca="false">IF(AND(AL$1&gt;=Units!$Q11,MOD(AL$1-Units!$Q11,12)=0),IF(AND(Units!$L11=1,AL$1=Units!$Q11),1,Inputs!$B$15)*Inputs!$B$16*(1+Inputs!$B$11)^(AL$2-1),0)</f>
        <v>530.45</v>
      </c>
      <c r="AM12" s="11" t="n">
        <f aca="false">IF(AND(AM$1&gt;=Units!$Q11,MOD(AM$1-Units!$Q11,12)=0),IF(AND(Units!$L11=1,AM$1=Units!$Q11),1,Inputs!$B$15)*Inputs!$B$16*(1+Inputs!$B$11)^(AM$2-1),0)</f>
        <v>0</v>
      </c>
      <c r="AN12" s="11" t="n">
        <f aca="false">IF(AND(AN$1&gt;=Units!$Q11,MOD(AN$1-Units!$Q11,12)=0),IF(AND(Units!$L11=1,AN$1=Units!$Q11),1,Inputs!$B$15)*Inputs!$B$16*(1+Inputs!$B$11)^(AN$2-1),0)</f>
        <v>0</v>
      </c>
      <c r="AO12" s="11" t="n">
        <f aca="false">IF(AND(AO$1&gt;=Units!$Q11,MOD(AO$1-Units!$Q11,12)=0),IF(AND(Units!$L11=1,AO$1=Units!$Q11),1,Inputs!$B$15)*Inputs!$B$16*(1+Inputs!$B$11)^(AO$2-1),0)</f>
        <v>0</v>
      </c>
      <c r="AP12" s="11" t="n">
        <f aca="false">IF(AND(AP$1&gt;=Units!$Q11,MOD(AP$1-Units!$Q11,12)=0),IF(AND(Units!$L11=1,AP$1=Units!$Q11),1,Inputs!$B$15)*Inputs!$B$16*(1+Inputs!$B$11)^(AP$2-1),0)</f>
        <v>0</v>
      </c>
      <c r="AQ12" s="11" t="n">
        <f aca="false">IF(AND(AQ$1&gt;=Units!$Q11,MOD(AQ$1-Units!$Q11,12)=0),IF(AND(Units!$L11=1,AQ$1=Units!$Q11),1,Inputs!$B$15)*Inputs!$B$16*(1+Inputs!$B$11)^(AQ$2-1),0)</f>
        <v>0</v>
      </c>
      <c r="AR12" s="11" t="n">
        <f aca="false">IF(AND(AR$1&gt;=Units!$Q11,MOD(AR$1-Units!$Q11,12)=0),IF(AND(Units!$L11=1,AR$1=Units!$Q11),1,Inputs!$B$15)*Inputs!$B$16*(1+Inputs!$B$11)^(AR$2-1),0)</f>
        <v>0</v>
      </c>
      <c r="AS12" s="11" t="n">
        <f aca="false">IF(AND(AS$1&gt;=Units!$Q11,MOD(AS$1-Units!$Q11,12)=0),IF(AND(Units!$L11=1,AS$1=Units!$Q11),1,Inputs!$B$15)*Inputs!$B$16*(1+Inputs!$B$11)^(AS$2-1),0)</f>
        <v>0</v>
      </c>
      <c r="AT12" s="11" t="n">
        <f aca="false">IF(AND(AT$1&gt;=Units!$Q11,MOD(AT$1-Units!$Q11,12)=0),IF(AND(Units!$L11=1,AT$1=Units!$Q11),1,Inputs!$B$15)*Inputs!$B$16*(1+Inputs!$B$11)^(AT$2-1),0)</f>
        <v>0</v>
      </c>
      <c r="AU12" s="11" t="n">
        <f aca="false">IF(AND(AU$1&gt;=Units!$Q11,MOD(AU$1-Units!$Q11,12)=0),IF(AND(Units!$L11=1,AU$1=Units!$Q11),1,Inputs!$B$15)*Inputs!$B$16*(1+Inputs!$B$11)^(AU$2-1),0)</f>
        <v>0</v>
      </c>
      <c r="AV12" s="11" t="n">
        <f aca="false">IF(AND(AV$1&gt;=Units!$Q11,MOD(AV$1-Units!$Q11,12)=0),IF(AND(Units!$L11=1,AV$1=Units!$Q11),1,Inputs!$B$15)*Inputs!$B$16*(1+Inputs!$B$11)^(AV$2-1),0)</f>
        <v>0</v>
      </c>
      <c r="AW12" s="11" t="n">
        <f aca="false">IF(AND(AW$1&gt;=Units!$Q11,MOD(AW$1-Units!$Q11,12)=0),IF(AND(Units!$L11=1,AW$1=Units!$Q11),1,Inputs!$B$15)*Inputs!$B$16*(1+Inputs!$B$11)^(AW$2-1),0)</f>
        <v>0</v>
      </c>
      <c r="AX12" s="11" t="n">
        <f aca="false">IF(AND(AX$1&gt;=Units!$Q11,MOD(AX$1-Units!$Q11,12)=0),IF(AND(Units!$L11=1,AX$1=Units!$Q11),1,Inputs!$B$15)*Inputs!$B$16*(1+Inputs!$B$11)^(AX$2-1),0)</f>
        <v>546.3635</v>
      </c>
      <c r="AY12" s="11" t="n">
        <f aca="false">IF(AND(AY$1&gt;=Units!$Q11,MOD(AY$1-Units!$Q11,12)=0),IF(AND(Units!$L11=1,AY$1=Units!$Q11),1,Inputs!$B$15)*Inputs!$B$16*(1+Inputs!$B$11)^(AY$2-1),0)</f>
        <v>0</v>
      </c>
      <c r="AZ12" s="11" t="n">
        <f aca="false">IF(AND(AZ$1&gt;=Units!$Q11,MOD(AZ$1-Units!$Q11,12)=0),IF(AND(Units!$L11=1,AZ$1=Units!$Q11),1,Inputs!$B$15)*Inputs!$B$16*(1+Inputs!$B$11)^(AZ$2-1),0)</f>
        <v>0</v>
      </c>
      <c r="BA12" s="11" t="n">
        <f aca="false">IF(AND(BA$1&gt;=Units!$Q11,MOD(BA$1-Units!$Q11,12)=0),IF(AND(Units!$L11=1,BA$1=Units!$Q11),1,Inputs!$B$15)*Inputs!$B$16*(1+Inputs!$B$11)^(BA$2-1),0)</f>
        <v>0</v>
      </c>
      <c r="BB12" s="11" t="n">
        <f aca="false">IF(AND(BB$1&gt;=Units!$Q11,MOD(BB$1-Units!$Q11,12)=0),IF(AND(Units!$L11=1,BB$1=Units!$Q11),1,Inputs!$B$15)*Inputs!$B$16*(1+Inputs!$B$11)^(BB$2-1),0)</f>
        <v>0</v>
      </c>
      <c r="BC12" s="11" t="n">
        <f aca="false">IF(AND(BC$1&gt;=Units!$Q11,MOD(BC$1-Units!$Q11,12)=0),IF(AND(Units!$L11=1,BC$1=Units!$Q11),1,Inputs!$B$15)*Inputs!$B$16*(1+Inputs!$B$11)^(BC$2-1),0)</f>
        <v>0</v>
      </c>
      <c r="BD12" s="11" t="n">
        <f aca="false">IF(AND(BD$1&gt;=Units!$Q11,MOD(BD$1-Units!$Q11,12)=0),IF(AND(Units!$L11=1,BD$1=Units!$Q11),1,Inputs!$B$15)*Inputs!$B$16*(1+Inputs!$B$11)^(BD$2-1),0)</f>
        <v>0</v>
      </c>
      <c r="BE12" s="11" t="n">
        <f aca="false">IF(AND(BE$1&gt;=Units!$Q11,MOD(BE$1-Units!$Q11,12)=0),IF(AND(Units!$L11=1,BE$1=Units!$Q11),1,Inputs!$B$15)*Inputs!$B$16*(1+Inputs!$B$11)^(BE$2-1),0)</f>
        <v>0</v>
      </c>
      <c r="BF12" s="11" t="n">
        <f aca="false">IF(AND(BF$1&gt;=Units!$Q11,MOD(BF$1-Units!$Q11,12)=0),IF(AND(Units!$L11=1,BF$1=Units!$Q11),1,Inputs!$B$15)*Inputs!$B$16*(1+Inputs!$B$11)^(BF$2-1),0)</f>
        <v>0</v>
      </c>
      <c r="BG12" s="11" t="n">
        <f aca="false">IF(AND(BG$1&gt;=Units!$Q11,MOD(BG$1-Units!$Q11,12)=0),IF(AND(Units!$L11=1,BG$1=Units!$Q11),1,Inputs!$B$15)*Inputs!$B$16*(1+Inputs!$B$11)^(BG$2-1),0)</f>
        <v>0</v>
      </c>
      <c r="BH12" s="11" t="n">
        <f aca="false">IF(AND(BH$1&gt;=Units!$Q11,MOD(BH$1-Units!$Q11,12)=0),IF(AND(Units!$L11=1,BH$1=Units!$Q11),1,Inputs!$B$15)*Inputs!$B$16*(1+Inputs!$B$11)^(BH$2-1),0)</f>
        <v>0</v>
      </c>
      <c r="BI12" s="11" t="n">
        <f aca="false">IF(AND(BI$1&gt;=Units!$Q11,MOD(BI$1-Units!$Q11,12)=0),IF(AND(Units!$L11=1,BI$1=Units!$Q11),1,Inputs!$B$15)*Inputs!$B$16*(1+Inputs!$B$11)^(BI$2-1),0)</f>
        <v>0</v>
      </c>
      <c r="BJ12" s="11" t="n">
        <f aca="false">IF(AND(BJ$1&gt;=Units!$Q11,MOD(BJ$1-Units!$Q11,12)=0),IF(AND(Units!$L11=1,BJ$1=Units!$Q11),1,Inputs!$B$15)*Inputs!$B$16*(1+Inputs!$B$11)^(BJ$2-1),0)</f>
        <v>562.754405</v>
      </c>
      <c r="BK12" s="11" t="n">
        <f aca="false">IF(AND(BK$1&gt;=Units!$Q11,MOD(BK$1-Units!$Q11,12)=0),IF(AND(Units!$L11=1,BK$1=Units!$Q11),1,Inputs!$B$15)*Inputs!$B$16*(1+Inputs!$B$11)^(BK$2-1),0)</f>
        <v>0</v>
      </c>
      <c r="BL12" s="11" t="n">
        <f aca="false">IF(AND(BL$1&gt;=Units!$Q11,MOD(BL$1-Units!$Q11,12)=0),IF(AND(Units!$L11=1,BL$1=Units!$Q11),1,Inputs!$B$15)*Inputs!$B$16*(1+Inputs!$B$11)^(BL$2-1),0)</f>
        <v>0</v>
      </c>
      <c r="BM12" s="11" t="n">
        <f aca="false">IF(AND(BM$1&gt;=Units!$Q11,MOD(BM$1-Units!$Q11,12)=0),IF(AND(Units!$L11=1,BM$1=Units!$Q11),1,Inputs!$B$15)*Inputs!$B$16*(1+Inputs!$B$11)^(BM$2-1),0)</f>
        <v>0</v>
      </c>
      <c r="BN12" s="11" t="n">
        <f aca="false">IF(AND(BN$1&gt;=Units!$Q11,MOD(BN$1-Units!$Q11,12)=0),IF(AND(Units!$L11=1,BN$1=Units!$Q11),1,Inputs!$B$15)*Inputs!$B$16*(1+Inputs!$B$11)^(BN$2-1),0)</f>
        <v>0</v>
      </c>
      <c r="BO12" s="11" t="n">
        <f aca="false">IF(AND(BO$1&gt;=Units!$Q11,MOD(BO$1-Units!$Q11,12)=0),IF(AND(Units!$L11=1,BO$1=Units!$Q11),1,Inputs!$B$15)*Inputs!$B$16*(1+Inputs!$B$11)^(BO$2-1),0)</f>
        <v>0</v>
      </c>
      <c r="BP12" s="11" t="n">
        <f aca="false">IF(AND(BP$1&gt;=Units!$Q11,MOD(BP$1-Units!$Q11,12)=0),IF(AND(Units!$L11=1,BP$1=Units!$Q11),1,Inputs!$B$15)*Inputs!$B$16*(1+Inputs!$B$11)^(BP$2-1),0)</f>
        <v>0</v>
      </c>
      <c r="BQ12" s="11" t="n">
        <f aca="false">IF(AND(BQ$1&gt;=Units!$Q11,MOD(BQ$1-Units!$Q11,12)=0),IF(AND(Units!$L11=1,BQ$1=Units!$Q11),1,Inputs!$B$15)*Inputs!$B$16*(1+Inputs!$B$11)^(BQ$2-1),0)</f>
        <v>0</v>
      </c>
      <c r="BR12" s="11" t="n">
        <f aca="false">IF(AND(BR$1&gt;=Units!$Q11,MOD(BR$1-Units!$Q11,12)=0),IF(AND(Units!$L11=1,BR$1=Units!$Q11),1,Inputs!$B$15)*Inputs!$B$16*(1+Inputs!$B$11)^(BR$2-1),0)</f>
        <v>0</v>
      </c>
      <c r="BS12" s="11" t="n">
        <f aca="false">IF(AND(BS$1&gt;=Units!$Q11,MOD(BS$1-Units!$Q11,12)=0),IF(AND(Units!$L11=1,BS$1=Units!$Q11),1,Inputs!$B$15)*Inputs!$B$16*(1+Inputs!$B$11)^(BS$2-1),0)</f>
        <v>0</v>
      </c>
      <c r="BT12" s="11" t="n">
        <f aca="false">IF(AND(BT$1&gt;=Units!$Q11,MOD(BT$1-Units!$Q11,12)=0),IF(AND(Units!$L11=1,BT$1=Units!$Q11),1,Inputs!$B$15)*Inputs!$B$16*(1+Inputs!$B$11)^(BT$2-1),0)</f>
        <v>0</v>
      </c>
      <c r="BU12" s="11" t="n">
        <f aca="false">IF(AND(BU$1&gt;=Units!$Q11,MOD(BU$1-Units!$Q11,12)=0),IF(AND(Units!$L11=1,BU$1=Units!$Q11),1,Inputs!$B$15)*Inputs!$B$16*(1+Inputs!$B$11)^(BU$2-1),0)</f>
        <v>0</v>
      </c>
      <c r="BV12" s="11" t="n">
        <f aca="false">IF(AND(BV$1&gt;=Units!$Q11,MOD(BV$1-Units!$Q11,12)=0),IF(AND(Units!$L11=1,BV$1=Units!$Q11),1,Inputs!$B$15)*Inputs!$B$16*(1+Inputs!$B$11)^(BV$2-1),0)</f>
        <v>579.63703715</v>
      </c>
      <c r="BW12" s="11" t="n">
        <f aca="false">IF(AND(BW$1&gt;=Units!$Q11,MOD(BW$1-Units!$Q11,12)=0),IF(AND(Units!$L11=1,BW$1=Units!$Q11),1,Inputs!$B$15)*Inputs!$B$16*(1+Inputs!$B$11)^(BW$2-1),0)</f>
        <v>0</v>
      </c>
      <c r="BX12" s="11" t="n">
        <f aca="false">IF(AND(BX$1&gt;=Units!$Q11,MOD(BX$1-Units!$Q11,12)=0),IF(AND(Units!$L11=1,BX$1=Units!$Q11),1,Inputs!$B$15)*Inputs!$B$16*(1+Inputs!$B$11)^(BX$2-1),0)</f>
        <v>0</v>
      </c>
      <c r="BY12" s="11" t="n">
        <f aca="false">IF(AND(BY$1&gt;=Units!$Q11,MOD(BY$1-Units!$Q11,12)=0),IF(AND(Units!$L11=1,BY$1=Units!$Q11),1,Inputs!$B$15)*Inputs!$B$16*(1+Inputs!$B$11)^(BY$2-1),0)</f>
        <v>0</v>
      </c>
      <c r="BZ12" s="11" t="n">
        <f aca="false">IF(AND(BZ$1&gt;=Units!$Q11,MOD(BZ$1-Units!$Q11,12)=0),IF(AND(Units!$L11=1,BZ$1=Units!$Q11),1,Inputs!$B$15)*Inputs!$B$16*(1+Inputs!$B$11)^(BZ$2-1),0)</f>
        <v>0</v>
      </c>
      <c r="CA12" s="11" t="n">
        <f aca="false">IF(AND(CA$1&gt;=Units!$Q11,MOD(CA$1-Units!$Q11,12)=0),IF(AND(Units!$L11=1,CA$1=Units!$Q11),1,Inputs!$B$15)*Inputs!$B$16*(1+Inputs!$B$11)^(CA$2-1),0)</f>
        <v>0</v>
      </c>
      <c r="CB12" s="11" t="n">
        <f aca="false">IF(AND(CB$1&gt;=Units!$Q11,MOD(CB$1-Units!$Q11,12)=0),IF(AND(Units!$L11=1,CB$1=Units!$Q11),1,Inputs!$B$15)*Inputs!$B$16*(1+Inputs!$B$11)^(CB$2-1),0)</f>
        <v>0</v>
      </c>
      <c r="CC12" s="11" t="n">
        <f aca="false">IF(AND(CC$1&gt;=Units!$Q11,MOD(CC$1-Units!$Q11,12)=0),IF(AND(Units!$L11=1,CC$1=Units!$Q11),1,Inputs!$B$15)*Inputs!$B$16*(1+Inputs!$B$11)^(CC$2-1),0)</f>
        <v>0</v>
      </c>
      <c r="CD12" s="11" t="n">
        <f aca="false">IF(AND(CD$1&gt;=Units!$Q11,MOD(CD$1-Units!$Q11,12)=0),IF(AND(Units!$L11=1,CD$1=Units!$Q11),1,Inputs!$B$15)*Inputs!$B$16*(1+Inputs!$B$11)^(CD$2-1),0)</f>
        <v>0</v>
      </c>
      <c r="CE12" s="11" t="n">
        <f aca="false">IF(AND(CE$1&gt;=Units!$Q11,MOD(CE$1-Units!$Q11,12)=0),IF(AND(Units!$L11=1,CE$1=Units!$Q11),1,Inputs!$B$15)*Inputs!$B$16*(1+Inputs!$B$11)^(CE$2-1),0)</f>
        <v>0</v>
      </c>
      <c r="CF12" s="11" t="n">
        <f aca="false">IF(AND(CF$1&gt;=Units!$Q11,MOD(CF$1-Units!$Q11,12)=0),IF(AND(Units!$L11=1,CF$1=Units!$Q11),1,Inputs!$B$15)*Inputs!$B$16*(1+Inputs!$B$11)^(CF$2-1),0)</f>
        <v>0</v>
      </c>
      <c r="CG12" s="11" t="n">
        <f aca="false">IF(AND(CG$1&gt;=Units!$Q11,MOD(CG$1-Units!$Q11,12)=0),IF(AND(Units!$L11=1,CG$1=Units!$Q11),1,Inputs!$B$15)*Inputs!$B$16*(1+Inputs!$B$11)^(CG$2-1),0)</f>
        <v>0</v>
      </c>
      <c r="CH12" s="11" t="n">
        <f aca="false">IF(AND(CH$1&gt;=Units!$Q11,MOD(CH$1-Units!$Q11,12)=0),IF(AND(Units!$L11=1,CH$1=Units!$Q11),1,Inputs!$B$15)*Inputs!$B$16*(1+Inputs!$B$11)^(CH$2-1),0)</f>
        <v>597.0261482645</v>
      </c>
      <c r="CI12" s="11" t="n">
        <f aca="false">IF(AND(CI$1&gt;=Units!$Q11,MOD(CI$1-Units!$Q11,12)=0),IF(AND(Units!$L11=1,CI$1=Units!$Q11),1,Inputs!$B$15)*Inputs!$B$16*(1+Inputs!$B$11)^(CI$2-1),0)</f>
        <v>0</v>
      </c>
      <c r="CJ12" s="11" t="n">
        <f aca="false">IF(AND(CJ$1&gt;=Units!$Q11,MOD(CJ$1-Units!$Q11,12)=0),IF(AND(Units!$L11=1,CJ$1=Units!$Q11),1,Inputs!$B$15)*Inputs!$B$16*(1+Inputs!$B$11)^(CJ$2-1),0)</f>
        <v>0</v>
      </c>
      <c r="CK12" s="11" t="n">
        <f aca="false">IF(AND(CK$1&gt;=Units!$Q11,MOD(CK$1-Units!$Q11,12)=0),IF(AND(Units!$L11=1,CK$1=Units!$Q11),1,Inputs!$B$15)*Inputs!$B$16*(1+Inputs!$B$11)^(CK$2-1),0)</f>
        <v>0</v>
      </c>
      <c r="CL12" s="11" t="n">
        <f aca="false">IF(AND(CL$1&gt;=Units!$Q11,MOD(CL$1-Units!$Q11,12)=0),IF(AND(Units!$L11=1,CL$1=Units!$Q11),1,Inputs!$B$15)*Inputs!$B$16*(1+Inputs!$B$11)^(CL$2-1),0)</f>
        <v>0</v>
      </c>
      <c r="CM12" s="11" t="n">
        <f aca="false">IF(AND(CM$1&gt;=Units!$Q11,MOD(CM$1-Units!$Q11,12)=0),IF(AND(Units!$L11=1,CM$1=Units!$Q11),1,Inputs!$B$15)*Inputs!$B$16*(1+Inputs!$B$11)^(CM$2-1),0)</f>
        <v>0</v>
      </c>
      <c r="CN12" s="11" t="n">
        <f aca="false">IF(AND(CN$1&gt;=Units!$Q11,MOD(CN$1-Units!$Q11,12)=0),IF(AND(Units!$L11=1,CN$1=Units!$Q11),1,Inputs!$B$15)*Inputs!$B$16*(1+Inputs!$B$11)^(CN$2-1),0)</f>
        <v>0</v>
      </c>
      <c r="CO12" s="11" t="n">
        <f aca="false">IF(AND(CO$1&gt;=Units!$Q11,MOD(CO$1-Units!$Q11,12)=0),IF(AND(Units!$L11=1,CO$1=Units!$Q11),1,Inputs!$B$15)*Inputs!$B$16*(1+Inputs!$B$11)^(CO$2-1),0)</f>
        <v>0</v>
      </c>
      <c r="CP12" s="11" t="n">
        <f aca="false">IF(AND(CP$1&gt;=Units!$Q11,MOD(CP$1-Units!$Q11,12)=0),IF(AND(Units!$L11=1,CP$1=Units!$Q11),1,Inputs!$B$15)*Inputs!$B$16*(1+Inputs!$B$11)^(CP$2-1),0)</f>
        <v>0</v>
      </c>
      <c r="CQ12" s="11" t="n">
        <f aca="false">IF(AND(CQ$1&gt;=Units!$Q11,MOD(CQ$1-Units!$Q11,12)=0),IF(AND(Units!$L11=1,CQ$1=Units!$Q11),1,Inputs!$B$15)*Inputs!$B$16*(1+Inputs!$B$11)^(CQ$2-1),0)</f>
        <v>0</v>
      </c>
      <c r="CR12" s="11" t="n">
        <f aca="false">IF(AND(CR$1&gt;=Units!$Q11,MOD(CR$1-Units!$Q11,12)=0),IF(AND(Units!$L11=1,CR$1=Units!$Q11),1,Inputs!$B$15)*Inputs!$B$16*(1+Inputs!$B$11)^(CR$2-1),0)</f>
        <v>0</v>
      </c>
      <c r="CS12" s="11" t="n">
        <f aca="false">IF(AND(CS$1&gt;=Units!$Q11,MOD(CS$1-Units!$Q11,12)=0),IF(AND(Units!$L11=1,CS$1=Units!$Q11),1,Inputs!$B$15)*Inputs!$B$16*(1+Inputs!$B$11)^(CS$2-1),0)</f>
        <v>0</v>
      </c>
      <c r="CT12" s="11" t="n">
        <f aca="false">IF(AND(CT$1&gt;=Units!$Q11,MOD(CT$1-Units!$Q11,12)=0),IF(AND(Units!$L11=1,CT$1=Units!$Q11),1,Inputs!$B$15)*Inputs!$B$16*(1+Inputs!$B$11)^(CT$2-1),0)</f>
        <v>614.936932712435</v>
      </c>
      <c r="CU12" s="11" t="n">
        <f aca="false">IF(AND(CU$1&gt;=Units!$Q11,MOD(CU$1-Units!$Q11,12)=0),IF(AND(Units!$L11=1,CU$1=Units!$Q11),1,Inputs!$B$15)*Inputs!$B$16*(1+Inputs!$B$11)^(CU$2-1),0)</f>
        <v>0</v>
      </c>
      <c r="CV12" s="11" t="n">
        <f aca="false">IF(AND(CV$1&gt;=Units!$Q11,MOD(CV$1-Units!$Q11,12)=0),IF(AND(Units!$L11=1,CV$1=Units!$Q11),1,Inputs!$B$15)*Inputs!$B$16*(1+Inputs!$B$11)^(CV$2-1),0)</f>
        <v>0</v>
      </c>
      <c r="CW12" s="11" t="n">
        <f aca="false">IF(AND(CW$1&gt;=Units!$Q11,MOD(CW$1-Units!$Q11,12)=0),IF(AND(Units!$L11=1,CW$1=Units!$Q11),1,Inputs!$B$15)*Inputs!$B$16*(1+Inputs!$B$11)^(CW$2-1),0)</f>
        <v>0</v>
      </c>
      <c r="CX12" s="11" t="n">
        <f aca="false">IF(AND(CX$1&gt;=Units!$Q11,MOD(CX$1-Units!$Q11,12)=0),IF(AND(Units!$L11=1,CX$1=Units!$Q11),1,Inputs!$B$15)*Inputs!$B$16*(1+Inputs!$B$11)^(CX$2-1),0)</f>
        <v>0</v>
      </c>
      <c r="CY12" s="11" t="n">
        <f aca="false">IF(AND(CY$1&gt;=Units!$Q11,MOD(CY$1-Units!$Q11,12)=0),IF(AND(Units!$L11=1,CY$1=Units!$Q11),1,Inputs!$B$15)*Inputs!$B$16*(1+Inputs!$B$11)^(CY$2-1),0)</f>
        <v>0</v>
      </c>
      <c r="CZ12" s="11" t="n">
        <f aca="false">IF(AND(CZ$1&gt;=Units!$Q11,MOD(CZ$1-Units!$Q11,12)=0),IF(AND(Units!$L11=1,CZ$1=Units!$Q11),1,Inputs!$B$15)*Inputs!$B$16*(1+Inputs!$B$11)^(CZ$2-1),0)</f>
        <v>0</v>
      </c>
      <c r="DA12" s="11" t="n">
        <f aca="false">IF(AND(DA$1&gt;=Units!$Q11,MOD(DA$1-Units!$Q11,12)=0),IF(AND(Units!$L11=1,DA$1=Units!$Q11),1,Inputs!$B$15)*Inputs!$B$16*(1+Inputs!$B$11)^(DA$2-1),0)</f>
        <v>0</v>
      </c>
      <c r="DB12" s="11" t="n">
        <f aca="false">IF(AND(DB$1&gt;=Units!$Q11,MOD(DB$1-Units!$Q11,12)=0),IF(AND(Units!$L11=1,DB$1=Units!$Q11),1,Inputs!$B$15)*Inputs!$B$16*(1+Inputs!$B$11)^(DB$2-1),0)</f>
        <v>0</v>
      </c>
      <c r="DC12" s="11" t="n">
        <f aca="false">IF(AND(DC$1&gt;=Units!$Q11,MOD(DC$1-Units!$Q11,12)=0),IF(AND(Units!$L11=1,DC$1=Units!$Q11),1,Inputs!$B$15)*Inputs!$B$16*(1+Inputs!$B$11)^(DC$2-1),0)</f>
        <v>0</v>
      </c>
      <c r="DD12" s="11" t="n">
        <f aca="false">IF(AND(DD$1&gt;=Units!$Q11,MOD(DD$1-Units!$Q11,12)=0),IF(AND(Units!$L11=1,DD$1=Units!$Q11),1,Inputs!$B$15)*Inputs!$B$16*(1+Inputs!$B$11)^(DD$2-1),0)</f>
        <v>0</v>
      </c>
      <c r="DE12" s="11" t="n">
        <f aca="false">IF(AND(DE$1&gt;=Units!$Q11,MOD(DE$1-Units!$Q11,12)=0),IF(AND(Units!$L11=1,DE$1=Units!$Q11),1,Inputs!$B$15)*Inputs!$B$16*(1+Inputs!$B$11)^(DE$2-1),0)</f>
        <v>0</v>
      </c>
      <c r="DF12" s="11" t="n">
        <f aca="false">IF(AND(DF$1&gt;=Units!$Q11,MOD(DF$1-Units!$Q11,12)=0),IF(AND(Units!$L11=1,DF$1=Units!$Q11),1,Inputs!$B$15)*Inputs!$B$16*(1+Inputs!$B$11)^(DF$2-1),0)</f>
        <v>633.385040693808</v>
      </c>
      <c r="DG12" s="11" t="n">
        <f aca="false">IF(AND(DG$1&gt;=Units!$Q11,MOD(DG$1-Units!$Q11,12)=0),IF(AND(Units!$L11=1,DG$1=Units!$Q11),1,Inputs!$B$15)*Inputs!$B$16*(1+Inputs!$B$11)^(DG$2-1),0)</f>
        <v>0</v>
      </c>
      <c r="DH12" s="11" t="n">
        <f aca="false">IF(AND(DH$1&gt;=Units!$Q11,MOD(DH$1-Units!$Q11,12)=0),IF(AND(Units!$L11=1,DH$1=Units!$Q11),1,Inputs!$B$15)*Inputs!$B$16*(1+Inputs!$B$11)^(DH$2-1),0)</f>
        <v>0</v>
      </c>
      <c r="DI12" s="11" t="n">
        <f aca="false">IF(AND(DI$1&gt;=Units!$Q11,MOD(DI$1-Units!$Q11,12)=0),IF(AND(Units!$L11=1,DI$1=Units!$Q11),1,Inputs!$B$15)*Inputs!$B$16*(1+Inputs!$B$11)^(DI$2-1),0)</f>
        <v>0</v>
      </c>
      <c r="DJ12" s="11" t="n">
        <f aca="false">IF(AND(DJ$1&gt;=Units!$Q11,MOD(DJ$1-Units!$Q11,12)=0),IF(AND(Units!$L11=1,DJ$1=Units!$Q11),1,Inputs!$B$15)*Inputs!$B$16*(1+Inputs!$B$11)^(DJ$2-1),0)</f>
        <v>0</v>
      </c>
      <c r="DK12" s="11" t="n">
        <f aca="false">IF(AND(DK$1&gt;=Units!$Q11,MOD(DK$1-Units!$Q11,12)=0),IF(AND(Units!$L11=1,DK$1=Units!$Q11),1,Inputs!$B$15)*Inputs!$B$16*(1+Inputs!$B$11)^(DK$2-1),0)</f>
        <v>0</v>
      </c>
      <c r="DL12" s="11" t="n">
        <f aca="false">IF(AND(DL$1&gt;=Units!$Q11,MOD(DL$1-Units!$Q11,12)=0),IF(AND(Units!$L11=1,DL$1=Units!$Q11),1,Inputs!$B$15)*Inputs!$B$16*(1+Inputs!$B$11)^(DL$2-1),0)</f>
        <v>0</v>
      </c>
      <c r="DM12" s="11" t="n">
        <f aca="false">IF(AND(DM$1&gt;=Units!$Q11,MOD(DM$1-Units!$Q11,12)=0),IF(AND(Units!$L11=1,DM$1=Units!$Q11),1,Inputs!$B$15)*Inputs!$B$16*(1+Inputs!$B$11)^(DM$2-1),0)</f>
        <v>0</v>
      </c>
      <c r="DN12" s="11" t="n">
        <f aca="false">IF(AND(DN$1&gt;=Units!$Q11,MOD(DN$1-Units!$Q11,12)=0),IF(AND(Units!$L11=1,DN$1=Units!$Q11),1,Inputs!$B$15)*Inputs!$B$16*(1+Inputs!$B$11)^(DN$2-1),0)</f>
        <v>0</v>
      </c>
      <c r="DO12" s="11" t="n">
        <f aca="false">IF(AND(DO$1&gt;=Units!$Q11,MOD(DO$1-Units!$Q11,12)=0),IF(AND(Units!$L11=1,DO$1=Units!$Q11),1,Inputs!$B$15)*Inputs!$B$16*(1+Inputs!$B$11)^(DO$2-1),0)</f>
        <v>0</v>
      </c>
      <c r="DP12" s="11" t="n">
        <f aca="false">IF(AND(DP$1&gt;=Units!$Q11,MOD(DP$1-Units!$Q11,12)=0),IF(AND(Units!$L11=1,DP$1=Units!$Q11),1,Inputs!$B$15)*Inputs!$B$16*(1+Inputs!$B$11)^(DP$2-1),0)</f>
        <v>0</v>
      </c>
      <c r="DQ12" s="11" t="n">
        <f aca="false">IF(AND(DQ$1&gt;=Units!$Q11,MOD(DQ$1-Units!$Q11,12)=0),IF(AND(Units!$L11=1,DQ$1=Units!$Q11),1,Inputs!$B$15)*Inputs!$B$16*(1+Inputs!$B$11)^(DQ$2-1),0)</f>
        <v>0</v>
      </c>
      <c r="DR12" s="11" t="n">
        <f aca="false">IF(AND(DR$1&gt;=Units!$Q11,MOD(DR$1-Units!$Q11,12)=0),IF(AND(Units!$L11=1,DR$1=Units!$Q11),1,Inputs!$B$15)*Inputs!$B$16*(1+Inputs!$B$11)^(DR$2-1),0)</f>
        <v>652.386591914623</v>
      </c>
      <c r="DS12" s="11" t="n">
        <f aca="false">IF(AND(DS$1&gt;=Units!$Q11,MOD(DS$1-Units!$Q11,12)=0),IF(AND(Units!$L11=1,DS$1=Units!$Q11),1,Inputs!$B$15)*Inputs!$B$16*(1+Inputs!$B$11)^(DS$2-1),0)</f>
        <v>0</v>
      </c>
      <c r="DT12" s="11" t="n">
        <f aca="false">IF(AND(DT$1&gt;=Units!$Q11,MOD(DT$1-Units!$Q11,12)=0),IF(AND(Units!$L11=1,DT$1=Units!$Q11),1,Inputs!$B$15)*Inputs!$B$16*(1+Inputs!$B$11)^(DT$2-1),0)</f>
        <v>0</v>
      </c>
      <c r="DU12" s="11" t="n">
        <f aca="false">IF(AND(DU$1&gt;=Units!$Q11,MOD(DU$1-Units!$Q11,12)=0),IF(AND(Units!$L11=1,DU$1=Units!$Q11),1,Inputs!$B$15)*Inputs!$B$16*(1+Inputs!$B$11)^(DU$2-1),0)</f>
        <v>0</v>
      </c>
      <c r="DV12" s="11" t="n">
        <f aca="false">IF(AND(DV$1&gt;=Units!$Q11,MOD(DV$1-Units!$Q11,12)=0),IF(AND(Units!$L11=1,DV$1=Units!$Q11),1,Inputs!$B$15)*Inputs!$B$16*(1+Inputs!$B$11)^(DV$2-1),0)</f>
        <v>0</v>
      </c>
      <c r="DW12" s="11" t="n">
        <f aca="false">IF(AND(DW$1&gt;=Units!$Q11,MOD(DW$1-Units!$Q11,12)=0),IF(AND(Units!$L11=1,DW$1=Units!$Q11),1,Inputs!$B$15)*Inputs!$B$16*(1+Inputs!$B$11)^(DW$2-1),0)</f>
        <v>0</v>
      </c>
      <c r="DX12" s="11" t="n">
        <f aca="false">IF(AND(DX$1&gt;=Units!$Q11,MOD(DX$1-Units!$Q11,12)=0),IF(AND(Units!$L11=1,DX$1=Units!$Q11),1,Inputs!$B$15)*Inputs!$B$16*(1+Inputs!$B$11)^(DX$2-1),0)</f>
        <v>0</v>
      </c>
      <c r="DY12" s="11" t="n">
        <f aca="false">IF(AND(DY$1&gt;=Units!$Q11,MOD(DY$1-Units!$Q11,12)=0),IF(AND(Units!$L11=1,DY$1=Units!$Q11),1,Inputs!$B$15)*Inputs!$B$16*(1+Inputs!$B$11)^(DY$2-1),0)</f>
        <v>0</v>
      </c>
      <c r="DZ12" s="11" t="n">
        <f aca="false">IF(AND(DZ$1&gt;=Units!$Q11,MOD(DZ$1-Units!$Q11,12)=0),IF(AND(Units!$L11=1,DZ$1=Units!$Q11),1,Inputs!$B$15)*Inputs!$B$16*(1+Inputs!$B$11)^(DZ$2-1),0)</f>
        <v>0</v>
      </c>
      <c r="EA12" s="11" t="n">
        <f aca="false">IF(AND(EA$1&gt;=Units!$Q11,MOD(EA$1-Units!$Q11,12)=0),IF(AND(Units!$L11=1,EA$1=Units!$Q11),1,Inputs!$B$15)*Inputs!$B$16*(1+Inputs!$B$11)^(EA$2-1),0)</f>
        <v>0</v>
      </c>
      <c r="EB12" s="11" t="n">
        <f aca="false">IF(AND(EB$1&gt;=Units!$Q11,MOD(EB$1-Units!$Q11,12)=0),IF(AND(Units!$L11=1,EB$1=Units!$Q11),1,Inputs!$B$15)*Inputs!$B$16*(1+Inputs!$B$11)^(EB$2-1),0)</f>
        <v>0</v>
      </c>
      <c r="EC12" s="11" t="n">
        <f aca="false">IF(AND(EC$1&gt;=Units!$Q11,MOD(EC$1-Units!$Q11,12)=0),IF(AND(Units!$L11=1,EC$1=Units!$Q11),1,Inputs!$B$15)*Inputs!$B$16*(1+Inputs!$B$11)^(EC$2-1),0)</f>
        <v>0</v>
      </c>
      <c r="ED12" s="11" t="n">
        <f aca="false">IF(AND(ED$1&gt;=Units!$Q11,MOD(ED$1-Units!$Q11,12)=0),IF(AND(Units!$L11=1,ED$1=Units!$Q11),1,Inputs!$B$15)*Inputs!$B$16*(1+Inputs!$B$11)^(ED$2-1),0)</f>
        <v>671.958189672061</v>
      </c>
    </row>
    <row r="13" customFormat="false" ht="15" hidden="false" customHeight="false" outlineLevel="0" collapsed="false">
      <c r="A13" s="22" t="n">
        <f aca="false">Units!A12</f>
        <v>111</v>
      </c>
      <c r="B13" s="23"/>
      <c r="C13" s="11" t="n">
        <f aca="false">IF(AND(C$1&gt;=Units!$Q12,MOD(C$1-Units!$Q12,12)=0),IF(AND(Units!$L12=1,C$1=Units!$Q12),1,Inputs!$B$15)*Inputs!$B$16*(1+Inputs!$B$11)^(C$2-1),0)</f>
        <v>0</v>
      </c>
      <c r="D13" s="11" t="n">
        <f aca="false">IF(AND(D$1&gt;=Units!$Q12,MOD(D$1-Units!$Q12,12)=0),IF(AND(Units!$L12=1,D$1=Units!$Q12),1,Inputs!$B$15)*Inputs!$B$16*(1+Inputs!$B$11)^(D$2-1),0)</f>
        <v>0</v>
      </c>
      <c r="E13" s="11" t="n">
        <f aca="false">IF(AND(E$1&gt;=Units!$Q12,MOD(E$1-Units!$Q12,12)=0),IF(AND(Units!$L12=1,E$1=Units!$Q12),1,Inputs!$B$15)*Inputs!$B$16*(1+Inputs!$B$11)^(E$2-1),0)</f>
        <v>0</v>
      </c>
      <c r="F13" s="11" t="n">
        <f aca="false">IF(AND(F$1&gt;=Units!$Q12,MOD(F$1-Units!$Q12,12)=0),IF(AND(Units!$L12=1,F$1=Units!$Q12),1,Inputs!$B$15)*Inputs!$B$16*(1+Inputs!$B$11)^(F$2-1),0)</f>
        <v>0</v>
      </c>
      <c r="G13" s="11" t="n">
        <f aca="false">IF(AND(G$1&gt;=Units!$Q12,MOD(G$1-Units!$Q12,12)=0),IF(AND(Units!$L12=1,G$1=Units!$Q12),1,Inputs!$B$15)*Inputs!$B$16*(1+Inputs!$B$11)^(G$2-1),0)</f>
        <v>0</v>
      </c>
      <c r="H13" s="11" t="n">
        <f aca="false">IF(AND(H$1&gt;=Units!$Q12,MOD(H$1-Units!$Q12,12)=0),IF(AND(Units!$L12=1,H$1=Units!$Q12),1,Inputs!$B$15)*Inputs!$B$16*(1+Inputs!$B$11)^(H$2-1),0)</f>
        <v>0</v>
      </c>
      <c r="I13" s="11" t="n">
        <f aca="false">IF(AND(I$1&gt;=Units!$Q12,MOD(I$1-Units!$Q12,12)=0),IF(AND(Units!$L12=1,I$1=Units!$Q12),1,Inputs!$B$15)*Inputs!$B$16*(1+Inputs!$B$11)^(I$2-1),0)</f>
        <v>0</v>
      </c>
      <c r="J13" s="11" t="n">
        <f aca="false">IF(AND(J$1&gt;=Units!$Q12,MOD(J$1-Units!$Q12,12)=0),IF(AND(Units!$L12=1,J$1=Units!$Q12),1,Inputs!$B$15)*Inputs!$B$16*(1+Inputs!$B$11)^(J$2-1),0)</f>
        <v>500</v>
      </c>
      <c r="K13" s="11" t="n">
        <f aca="false">IF(AND(K$1&gt;=Units!$Q12,MOD(K$1-Units!$Q12,12)=0),IF(AND(Units!$L12=1,K$1=Units!$Q12),1,Inputs!$B$15)*Inputs!$B$16*(1+Inputs!$B$11)^(K$2-1),0)</f>
        <v>0</v>
      </c>
      <c r="L13" s="11" t="n">
        <f aca="false">IF(AND(L$1&gt;=Units!$Q12,MOD(L$1-Units!$Q12,12)=0),IF(AND(Units!$L12=1,L$1=Units!$Q12),1,Inputs!$B$15)*Inputs!$B$16*(1+Inputs!$B$11)^(L$2-1),0)</f>
        <v>0</v>
      </c>
      <c r="M13" s="11" t="n">
        <f aca="false">IF(AND(M$1&gt;=Units!$Q12,MOD(M$1-Units!$Q12,12)=0),IF(AND(Units!$L12=1,M$1=Units!$Q12),1,Inputs!$B$15)*Inputs!$B$16*(1+Inputs!$B$11)^(M$2-1),0)</f>
        <v>0</v>
      </c>
      <c r="N13" s="11" t="n">
        <f aca="false">IF(AND(N$1&gt;=Units!$Q12,MOD(N$1-Units!$Q12,12)=0),IF(AND(Units!$L12=1,N$1=Units!$Q12),1,Inputs!$B$15)*Inputs!$B$16*(1+Inputs!$B$11)^(N$2-1),0)</f>
        <v>0</v>
      </c>
      <c r="O13" s="11" t="n">
        <f aca="false">IF(AND(O$1&gt;=Units!$Q12,MOD(O$1-Units!$Q12,12)=0),IF(AND(Units!$L12=1,O$1=Units!$Q12),1,Inputs!$B$15)*Inputs!$B$16*(1+Inputs!$B$11)^(O$2-1),0)</f>
        <v>0</v>
      </c>
      <c r="P13" s="11" t="n">
        <f aca="false">IF(AND(P$1&gt;=Units!$Q12,MOD(P$1-Units!$Q12,12)=0),IF(AND(Units!$L12=1,P$1=Units!$Q12),1,Inputs!$B$15)*Inputs!$B$16*(1+Inputs!$B$11)^(P$2-1),0)</f>
        <v>0</v>
      </c>
      <c r="Q13" s="11" t="n">
        <f aca="false">IF(AND(Q$1&gt;=Units!$Q12,MOD(Q$1-Units!$Q12,12)=0),IF(AND(Units!$L12=1,Q$1=Units!$Q12),1,Inputs!$B$15)*Inputs!$B$16*(1+Inputs!$B$11)^(Q$2-1),0)</f>
        <v>0</v>
      </c>
      <c r="R13" s="11" t="n">
        <f aca="false">IF(AND(R$1&gt;=Units!$Q12,MOD(R$1-Units!$Q12,12)=0),IF(AND(Units!$L12=1,R$1=Units!$Q12),1,Inputs!$B$15)*Inputs!$B$16*(1+Inputs!$B$11)^(R$2-1),0)</f>
        <v>0</v>
      </c>
      <c r="S13" s="11" t="n">
        <f aca="false">IF(AND(S$1&gt;=Units!$Q12,MOD(S$1-Units!$Q12,12)=0),IF(AND(Units!$L12=1,S$1=Units!$Q12),1,Inputs!$B$15)*Inputs!$B$16*(1+Inputs!$B$11)^(S$2-1),0)</f>
        <v>0</v>
      </c>
      <c r="T13" s="11" t="n">
        <f aca="false">IF(AND(T$1&gt;=Units!$Q12,MOD(T$1-Units!$Q12,12)=0),IF(AND(Units!$L12=1,T$1=Units!$Q12),1,Inputs!$B$15)*Inputs!$B$16*(1+Inputs!$B$11)^(T$2-1),0)</f>
        <v>0</v>
      </c>
      <c r="U13" s="11" t="n">
        <f aca="false">IF(AND(U$1&gt;=Units!$Q12,MOD(U$1-Units!$Q12,12)=0),IF(AND(Units!$L12=1,U$1=Units!$Q12),1,Inputs!$B$15)*Inputs!$B$16*(1+Inputs!$B$11)^(U$2-1),0)</f>
        <v>0</v>
      </c>
      <c r="V13" s="11" t="n">
        <f aca="false">IF(AND(V$1&gt;=Units!$Q12,MOD(V$1-Units!$Q12,12)=0),IF(AND(Units!$L12=1,V$1=Units!$Q12),1,Inputs!$B$15)*Inputs!$B$16*(1+Inputs!$B$11)^(V$2-1),0)</f>
        <v>515</v>
      </c>
      <c r="W13" s="11" t="n">
        <f aca="false">IF(AND(W$1&gt;=Units!$Q12,MOD(W$1-Units!$Q12,12)=0),IF(AND(Units!$L12=1,W$1=Units!$Q12),1,Inputs!$B$15)*Inputs!$B$16*(1+Inputs!$B$11)^(W$2-1),0)</f>
        <v>0</v>
      </c>
      <c r="X13" s="11" t="n">
        <f aca="false">IF(AND(X$1&gt;=Units!$Q12,MOD(X$1-Units!$Q12,12)=0),IF(AND(Units!$L12=1,X$1=Units!$Q12),1,Inputs!$B$15)*Inputs!$B$16*(1+Inputs!$B$11)^(X$2-1),0)</f>
        <v>0</v>
      </c>
      <c r="Y13" s="11" t="n">
        <f aca="false">IF(AND(Y$1&gt;=Units!$Q12,MOD(Y$1-Units!$Q12,12)=0),IF(AND(Units!$L12=1,Y$1=Units!$Q12),1,Inputs!$B$15)*Inputs!$B$16*(1+Inputs!$B$11)^(Y$2-1),0)</f>
        <v>0</v>
      </c>
      <c r="Z13" s="11" t="n">
        <f aca="false">IF(AND(Z$1&gt;=Units!$Q12,MOD(Z$1-Units!$Q12,12)=0),IF(AND(Units!$L12=1,Z$1=Units!$Q12),1,Inputs!$B$15)*Inputs!$B$16*(1+Inputs!$B$11)^(Z$2-1),0)</f>
        <v>0</v>
      </c>
      <c r="AA13" s="11" t="n">
        <f aca="false">IF(AND(AA$1&gt;=Units!$Q12,MOD(AA$1-Units!$Q12,12)=0),IF(AND(Units!$L12=1,AA$1=Units!$Q12),1,Inputs!$B$15)*Inputs!$B$16*(1+Inputs!$B$11)^(AA$2-1),0)</f>
        <v>0</v>
      </c>
      <c r="AB13" s="11" t="n">
        <f aca="false">IF(AND(AB$1&gt;=Units!$Q12,MOD(AB$1-Units!$Q12,12)=0),IF(AND(Units!$L12=1,AB$1=Units!$Q12),1,Inputs!$B$15)*Inputs!$B$16*(1+Inputs!$B$11)^(AB$2-1),0)</f>
        <v>0</v>
      </c>
      <c r="AC13" s="11" t="n">
        <f aca="false">IF(AND(AC$1&gt;=Units!$Q12,MOD(AC$1-Units!$Q12,12)=0),IF(AND(Units!$L12=1,AC$1=Units!$Q12),1,Inputs!$B$15)*Inputs!$B$16*(1+Inputs!$B$11)^(AC$2-1),0)</f>
        <v>0</v>
      </c>
      <c r="AD13" s="11" t="n">
        <f aca="false">IF(AND(AD$1&gt;=Units!$Q12,MOD(AD$1-Units!$Q12,12)=0),IF(AND(Units!$L12=1,AD$1=Units!$Q12),1,Inputs!$B$15)*Inputs!$B$16*(1+Inputs!$B$11)^(AD$2-1),0)</f>
        <v>0</v>
      </c>
      <c r="AE13" s="11" t="n">
        <f aca="false">IF(AND(AE$1&gt;=Units!$Q12,MOD(AE$1-Units!$Q12,12)=0),IF(AND(Units!$L12=1,AE$1=Units!$Q12),1,Inputs!$B$15)*Inputs!$B$16*(1+Inputs!$B$11)^(AE$2-1),0)</f>
        <v>0</v>
      </c>
      <c r="AF13" s="11" t="n">
        <f aca="false">IF(AND(AF$1&gt;=Units!$Q12,MOD(AF$1-Units!$Q12,12)=0),IF(AND(Units!$L12=1,AF$1=Units!$Q12),1,Inputs!$B$15)*Inputs!$B$16*(1+Inputs!$B$11)^(AF$2-1),0)</f>
        <v>0</v>
      </c>
      <c r="AG13" s="11" t="n">
        <f aca="false">IF(AND(AG$1&gt;=Units!$Q12,MOD(AG$1-Units!$Q12,12)=0),IF(AND(Units!$L12=1,AG$1=Units!$Q12),1,Inputs!$B$15)*Inputs!$B$16*(1+Inputs!$B$11)^(AG$2-1),0)</f>
        <v>0</v>
      </c>
      <c r="AH13" s="11" t="n">
        <f aca="false">IF(AND(AH$1&gt;=Units!$Q12,MOD(AH$1-Units!$Q12,12)=0),IF(AND(Units!$L12=1,AH$1=Units!$Q12),1,Inputs!$B$15)*Inputs!$B$16*(1+Inputs!$B$11)^(AH$2-1),0)</f>
        <v>530.45</v>
      </c>
      <c r="AI13" s="11" t="n">
        <f aca="false">IF(AND(AI$1&gt;=Units!$Q12,MOD(AI$1-Units!$Q12,12)=0),IF(AND(Units!$L12=1,AI$1=Units!$Q12),1,Inputs!$B$15)*Inputs!$B$16*(1+Inputs!$B$11)^(AI$2-1),0)</f>
        <v>0</v>
      </c>
      <c r="AJ13" s="11" t="n">
        <f aca="false">IF(AND(AJ$1&gt;=Units!$Q12,MOD(AJ$1-Units!$Q12,12)=0),IF(AND(Units!$L12=1,AJ$1=Units!$Q12),1,Inputs!$B$15)*Inputs!$B$16*(1+Inputs!$B$11)^(AJ$2-1),0)</f>
        <v>0</v>
      </c>
      <c r="AK13" s="11" t="n">
        <f aca="false">IF(AND(AK$1&gt;=Units!$Q12,MOD(AK$1-Units!$Q12,12)=0),IF(AND(Units!$L12=1,AK$1=Units!$Q12),1,Inputs!$B$15)*Inputs!$B$16*(1+Inputs!$B$11)^(AK$2-1),0)</f>
        <v>0</v>
      </c>
      <c r="AL13" s="11" t="n">
        <f aca="false">IF(AND(AL$1&gt;=Units!$Q12,MOD(AL$1-Units!$Q12,12)=0),IF(AND(Units!$L12=1,AL$1=Units!$Q12),1,Inputs!$B$15)*Inputs!$B$16*(1+Inputs!$B$11)^(AL$2-1),0)</f>
        <v>0</v>
      </c>
      <c r="AM13" s="11" t="n">
        <f aca="false">IF(AND(AM$1&gt;=Units!$Q12,MOD(AM$1-Units!$Q12,12)=0),IF(AND(Units!$L12=1,AM$1=Units!$Q12),1,Inputs!$B$15)*Inputs!$B$16*(1+Inputs!$B$11)^(AM$2-1),0)</f>
        <v>0</v>
      </c>
      <c r="AN13" s="11" t="n">
        <f aca="false">IF(AND(AN$1&gt;=Units!$Q12,MOD(AN$1-Units!$Q12,12)=0),IF(AND(Units!$L12=1,AN$1=Units!$Q12),1,Inputs!$B$15)*Inputs!$B$16*(1+Inputs!$B$11)^(AN$2-1),0)</f>
        <v>0</v>
      </c>
      <c r="AO13" s="11" t="n">
        <f aca="false">IF(AND(AO$1&gt;=Units!$Q12,MOD(AO$1-Units!$Q12,12)=0),IF(AND(Units!$L12=1,AO$1=Units!$Q12),1,Inputs!$B$15)*Inputs!$B$16*(1+Inputs!$B$11)^(AO$2-1),0)</f>
        <v>0</v>
      </c>
      <c r="AP13" s="11" t="n">
        <f aca="false">IF(AND(AP$1&gt;=Units!$Q12,MOD(AP$1-Units!$Q12,12)=0),IF(AND(Units!$L12=1,AP$1=Units!$Q12),1,Inputs!$B$15)*Inputs!$B$16*(1+Inputs!$B$11)^(AP$2-1),0)</f>
        <v>0</v>
      </c>
      <c r="AQ13" s="11" t="n">
        <f aca="false">IF(AND(AQ$1&gt;=Units!$Q12,MOD(AQ$1-Units!$Q12,12)=0),IF(AND(Units!$L12=1,AQ$1=Units!$Q12),1,Inputs!$B$15)*Inputs!$B$16*(1+Inputs!$B$11)^(AQ$2-1),0)</f>
        <v>0</v>
      </c>
      <c r="AR13" s="11" t="n">
        <f aca="false">IF(AND(AR$1&gt;=Units!$Q12,MOD(AR$1-Units!$Q12,12)=0),IF(AND(Units!$L12=1,AR$1=Units!$Q12),1,Inputs!$B$15)*Inputs!$B$16*(1+Inputs!$B$11)^(AR$2-1),0)</f>
        <v>0</v>
      </c>
      <c r="AS13" s="11" t="n">
        <f aca="false">IF(AND(AS$1&gt;=Units!$Q12,MOD(AS$1-Units!$Q12,12)=0),IF(AND(Units!$L12=1,AS$1=Units!$Q12),1,Inputs!$B$15)*Inputs!$B$16*(1+Inputs!$B$11)^(AS$2-1),0)</f>
        <v>0</v>
      </c>
      <c r="AT13" s="11" t="n">
        <f aca="false">IF(AND(AT$1&gt;=Units!$Q12,MOD(AT$1-Units!$Q12,12)=0),IF(AND(Units!$L12=1,AT$1=Units!$Q12),1,Inputs!$B$15)*Inputs!$B$16*(1+Inputs!$B$11)^(AT$2-1),0)</f>
        <v>546.3635</v>
      </c>
      <c r="AU13" s="11" t="n">
        <f aca="false">IF(AND(AU$1&gt;=Units!$Q12,MOD(AU$1-Units!$Q12,12)=0),IF(AND(Units!$L12=1,AU$1=Units!$Q12),1,Inputs!$B$15)*Inputs!$B$16*(1+Inputs!$B$11)^(AU$2-1),0)</f>
        <v>0</v>
      </c>
      <c r="AV13" s="11" t="n">
        <f aca="false">IF(AND(AV$1&gt;=Units!$Q12,MOD(AV$1-Units!$Q12,12)=0),IF(AND(Units!$L12=1,AV$1=Units!$Q12),1,Inputs!$B$15)*Inputs!$B$16*(1+Inputs!$B$11)^(AV$2-1),0)</f>
        <v>0</v>
      </c>
      <c r="AW13" s="11" t="n">
        <f aca="false">IF(AND(AW$1&gt;=Units!$Q12,MOD(AW$1-Units!$Q12,12)=0),IF(AND(Units!$L12=1,AW$1=Units!$Q12),1,Inputs!$B$15)*Inputs!$B$16*(1+Inputs!$B$11)^(AW$2-1),0)</f>
        <v>0</v>
      </c>
      <c r="AX13" s="11" t="n">
        <f aca="false">IF(AND(AX$1&gt;=Units!$Q12,MOD(AX$1-Units!$Q12,12)=0),IF(AND(Units!$L12=1,AX$1=Units!$Q12),1,Inputs!$B$15)*Inputs!$B$16*(1+Inputs!$B$11)^(AX$2-1),0)</f>
        <v>0</v>
      </c>
      <c r="AY13" s="11" t="n">
        <f aca="false">IF(AND(AY$1&gt;=Units!$Q12,MOD(AY$1-Units!$Q12,12)=0),IF(AND(Units!$L12=1,AY$1=Units!$Q12),1,Inputs!$B$15)*Inputs!$B$16*(1+Inputs!$B$11)^(AY$2-1),0)</f>
        <v>0</v>
      </c>
      <c r="AZ13" s="11" t="n">
        <f aca="false">IF(AND(AZ$1&gt;=Units!$Q12,MOD(AZ$1-Units!$Q12,12)=0),IF(AND(Units!$L12=1,AZ$1=Units!$Q12),1,Inputs!$B$15)*Inputs!$B$16*(1+Inputs!$B$11)^(AZ$2-1),0)</f>
        <v>0</v>
      </c>
      <c r="BA13" s="11" t="n">
        <f aca="false">IF(AND(BA$1&gt;=Units!$Q12,MOD(BA$1-Units!$Q12,12)=0),IF(AND(Units!$L12=1,BA$1=Units!$Q12),1,Inputs!$B$15)*Inputs!$B$16*(1+Inputs!$B$11)^(BA$2-1),0)</f>
        <v>0</v>
      </c>
      <c r="BB13" s="11" t="n">
        <f aca="false">IF(AND(BB$1&gt;=Units!$Q12,MOD(BB$1-Units!$Q12,12)=0),IF(AND(Units!$L12=1,BB$1=Units!$Q12),1,Inputs!$B$15)*Inputs!$B$16*(1+Inputs!$B$11)^(BB$2-1),0)</f>
        <v>0</v>
      </c>
      <c r="BC13" s="11" t="n">
        <f aca="false">IF(AND(BC$1&gt;=Units!$Q12,MOD(BC$1-Units!$Q12,12)=0),IF(AND(Units!$L12=1,BC$1=Units!$Q12),1,Inputs!$B$15)*Inputs!$B$16*(1+Inputs!$B$11)^(BC$2-1),0)</f>
        <v>0</v>
      </c>
      <c r="BD13" s="11" t="n">
        <f aca="false">IF(AND(BD$1&gt;=Units!$Q12,MOD(BD$1-Units!$Q12,12)=0),IF(AND(Units!$L12=1,BD$1=Units!$Q12),1,Inputs!$B$15)*Inputs!$B$16*(1+Inputs!$B$11)^(BD$2-1),0)</f>
        <v>0</v>
      </c>
      <c r="BE13" s="11" t="n">
        <f aca="false">IF(AND(BE$1&gt;=Units!$Q12,MOD(BE$1-Units!$Q12,12)=0),IF(AND(Units!$L12=1,BE$1=Units!$Q12),1,Inputs!$B$15)*Inputs!$B$16*(1+Inputs!$B$11)^(BE$2-1),0)</f>
        <v>0</v>
      </c>
      <c r="BF13" s="11" t="n">
        <f aca="false">IF(AND(BF$1&gt;=Units!$Q12,MOD(BF$1-Units!$Q12,12)=0),IF(AND(Units!$L12=1,BF$1=Units!$Q12),1,Inputs!$B$15)*Inputs!$B$16*(1+Inputs!$B$11)^(BF$2-1),0)</f>
        <v>562.754405</v>
      </c>
      <c r="BG13" s="11" t="n">
        <f aca="false">IF(AND(BG$1&gt;=Units!$Q12,MOD(BG$1-Units!$Q12,12)=0),IF(AND(Units!$L12=1,BG$1=Units!$Q12),1,Inputs!$B$15)*Inputs!$B$16*(1+Inputs!$B$11)^(BG$2-1),0)</f>
        <v>0</v>
      </c>
      <c r="BH13" s="11" t="n">
        <f aca="false">IF(AND(BH$1&gt;=Units!$Q12,MOD(BH$1-Units!$Q12,12)=0),IF(AND(Units!$L12=1,BH$1=Units!$Q12),1,Inputs!$B$15)*Inputs!$B$16*(1+Inputs!$B$11)^(BH$2-1),0)</f>
        <v>0</v>
      </c>
      <c r="BI13" s="11" t="n">
        <f aca="false">IF(AND(BI$1&gt;=Units!$Q12,MOD(BI$1-Units!$Q12,12)=0),IF(AND(Units!$L12=1,BI$1=Units!$Q12),1,Inputs!$B$15)*Inputs!$B$16*(1+Inputs!$B$11)^(BI$2-1),0)</f>
        <v>0</v>
      </c>
      <c r="BJ13" s="11" t="n">
        <f aca="false">IF(AND(BJ$1&gt;=Units!$Q12,MOD(BJ$1-Units!$Q12,12)=0),IF(AND(Units!$L12=1,BJ$1=Units!$Q12),1,Inputs!$B$15)*Inputs!$B$16*(1+Inputs!$B$11)^(BJ$2-1),0)</f>
        <v>0</v>
      </c>
      <c r="BK13" s="11" t="n">
        <f aca="false">IF(AND(BK$1&gt;=Units!$Q12,MOD(BK$1-Units!$Q12,12)=0),IF(AND(Units!$L12=1,BK$1=Units!$Q12),1,Inputs!$B$15)*Inputs!$B$16*(1+Inputs!$B$11)^(BK$2-1),0)</f>
        <v>0</v>
      </c>
      <c r="BL13" s="11" t="n">
        <f aca="false">IF(AND(BL$1&gt;=Units!$Q12,MOD(BL$1-Units!$Q12,12)=0),IF(AND(Units!$L12=1,BL$1=Units!$Q12),1,Inputs!$B$15)*Inputs!$B$16*(1+Inputs!$B$11)^(BL$2-1),0)</f>
        <v>0</v>
      </c>
      <c r="BM13" s="11" t="n">
        <f aca="false">IF(AND(BM$1&gt;=Units!$Q12,MOD(BM$1-Units!$Q12,12)=0),IF(AND(Units!$L12=1,BM$1=Units!$Q12),1,Inputs!$B$15)*Inputs!$B$16*(1+Inputs!$B$11)^(BM$2-1),0)</f>
        <v>0</v>
      </c>
      <c r="BN13" s="11" t="n">
        <f aca="false">IF(AND(BN$1&gt;=Units!$Q12,MOD(BN$1-Units!$Q12,12)=0),IF(AND(Units!$L12=1,BN$1=Units!$Q12),1,Inputs!$B$15)*Inputs!$B$16*(1+Inputs!$B$11)^(BN$2-1),0)</f>
        <v>0</v>
      </c>
      <c r="BO13" s="11" t="n">
        <f aca="false">IF(AND(BO$1&gt;=Units!$Q12,MOD(BO$1-Units!$Q12,12)=0),IF(AND(Units!$L12=1,BO$1=Units!$Q12),1,Inputs!$B$15)*Inputs!$B$16*(1+Inputs!$B$11)^(BO$2-1),0)</f>
        <v>0</v>
      </c>
      <c r="BP13" s="11" t="n">
        <f aca="false">IF(AND(BP$1&gt;=Units!$Q12,MOD(BP$1-Units!$Q12,12)=0),IF(AND(Units!$L12=1,BP$1=Units!$Q12),1,Inputs!$B$15)*Inputs!$B$16*(1+Inputs!$B$11)^(BP$2-1),0)</f>
        <v>0</v>
      </c>
      <c r="BQ13" s="11" t="n">
        <f aca="false">IF(AND(BQ$1&gt;=Units!$Q12,MOD(BQ$1-Units!$Q12,12)=0),IF(AND(Units!$L12=1,BQ$1=Units!$Q12),1,Inputs!$B$15)*Inputs!$B$16*(1+Inputs!$B$11)^(BQ$2-1),0)</f>
        <v>0</v>
      </c>
      <c r="BR13" s="11" t="n">
        <f aca="false">IF(AND(BR$1&gt;=Units!$Q12,MOD(BR$1-Units!$Q12,12)=0),IF(AND(Units!$L12=1,BR$1=Units!$Q12),1,Inputs!$B$15)*Inputs!$B$16*(1+Inputs!$B$11)^(BR$2-1),0)</f>
        <v>579.63703715</v>
      </c>
      <c r="BS13" s="11" t="n">
        <f aca="false">IF(AND(BS$1&gt;=Units!$Q12,MOD(BS$1-Units!$Q12,12)=0),IF(AND(Units!$L12=1,BS$1=Units!$Q12),1,Inputs!$B$15)*Inputs!$B$16*(1+Inputs!$B$11)^(BS$2-1),0)</f>
        <v>0</v>
      </c>
      <c r="BT13" s="11" t="n">
        <f aca="false">IF(AND(BT$1&gt;=Units!$Q12,MOD(BT$1-Units!$Q12,12)=0),IF(AND(Units!$L12=1,BT$1=Units!$Q12),1,Inputs!$B$15)*Inputs!$B$16*(1+Inputs!$B$11)^(BT$2-1),0)</f>
        <v>0</v>
      </c>
      <c r="BU13" s="11" t="n">
        <f aca="false">IF(AND(BU$1&gt;=Units!$Q12,MOD(BU$1-Units!$Q12,12)=0),IF(AND(Units!$L12=1,BU$1=Units!$Q12),1,Inputs!$B$15)*Inputs!$B$16*(1+Inputs!$B$11)^(BU$2-1),0)</f>
        <v>0</v>
      </c>
      <c r="BV13" s="11" t="n">
        <f aca="false">IF(AND(BV$1&gt;=Units!$Q12,MOD(BV$1-Units!$Q12,12)=0),IF(AND(Units!$L12=1,BV$1=Units!$Q12),1,Inputs!$B$15)*Inputs!$B$16*(1+Inputs!$B$11)^(BV$2-1),0)</f>
        <v>0</v>
      </c>
      <c r="BW13" s="11" t="n">
        <f aca="false">IF(AND(BW$1&gt;=Units!$Q12,MOD(BW$1-Units!$Q12,12)=0),IF(AND(Units!$L12=1,BW$1=Units!$Q12),1,Inputs!$B$15)*Inputs!$B$16*(1+Inputs!$B$11)^(BW$2-1),0)</f>
        <v>0</v>
      </c>
      <c r="BX13" s="11" t="n">
        <f aca="false">IF(AND(BX$1&gt;=Units!$Q12,MOD(BX$1-Units!$Q12,12)=0),IF(AND(Units!$L12=1,BX$1=Units!$Q12),1,Inputs!$B$15)*Inputs!$B$16*(1+Inputs!$B$11)^(BX$2-1),0)</f>
        <v>0</v>
      </c>
      <c r="BY13" s="11" t="n">
        <f aca="false">IF(AND(BY$1&gt;=Units!$Q12,MOD(BY$1-Units!$Q12,12)=0),IF(AND(Units!$L12=1,BY$1=Units!$Q12),1,Inputs!$B$15)*Inputs!$B$16*(1+Inputs!$B$11)^(BY$2-1),0)</f>
        <v>0</v>
      </c>
      <c r="BZ13" s="11" t="n">
        <f aca="false">IF(AND(BZ$1&gt;=Units!$Q12,MOD(BZ$1-Units!$Q12,12)=0),IF(AND(Units!$L12=1,BZ$1=Units!$Q12),1,Inputs!$B$15)*Inputs!$B$16*(1+Inputs!$B$11)^(BZ$2-1),0)</f>
        <v>0</v>
      </c>
      <c r="CA13" s="11" t="n">
        <f aca="false">IF(AND(CA$1&gt;=Units!$Q12,MOD(CA$1-Units!$Q12,12)=0),IF(AND(Units!$L12=1,CA$1=Units!$Q12),1,Inputs!$B$15)*Inputs!$B$16*(1+Inputs!$B$11)^(CA$2-1),0)</f>
        <v>0</v>
      </c>
      <c r="CB13" s="11" t="n">
        <f aca="false">IF(AND(CB$1&gt;=Units!$Q12,MOD(CB$1-Units!$Q12,12)=0),IF(AND(Units!$L12=1,CB$1=Units!$Q12),1,Inputs!$B$15)*Inputs!$B$16*(1+Inputs!$B$11)^(CB$2-1),0)</f>
        <v>0</v>
      </c>
      <c r="CC13" s="11" t="n">
        <f aca="false">IF(AND(CC$1&gt;=Units!$Q12,MOD(CC$1-Units!$Q12,12)=0),IF(AND(Units!$L12=1,CC$1=Units!$Q12),1,Inputs!$B$15)*Inputs!$B$16*(1+Inputs!$B$11)^(CC$2-1),0)</f>
        <v>0</v>
      </c>
      <c r="CD13" s="11" t="n">
        <f aca="false">IF(AND(CD$1&gt;=Units!$Q12,MOD(CD$1-Units!$Q12,12)=0),IF(AND(Units!$L12=1,CD$1=Units!$Q12),1,Inputs!$B$15)*Inputs!$B$16*(1+Inputs!$B$11)^(CD$2-1),0)</f>
        <v>597.0261482645</v>
      </c>
      <c r="CE13" s="11" t="n">
        <f aca="false">IF(AND(CE$1&gt;=Units!$Q12,MOD(CE$1-Units!$Q12,12)=0),IF(AND(Units!$L12=1,CE$1=Units!$Q12),1,Inputs!$B$15)*Inputs!$B$16*(1+Inputs!$B$11)^(CE$2-1),0)</f>
        <v>0</v>
      </c>
      <c r="CF13" s="11" t="n">
        <f aca="false">IF(AND(CF$1&gt;=Units!$Q12,MOD(CF$1-Units!$Q12,12)=0),IF(AND(Units!$L12=1,CF$1=Units!$Q12),1,Inputs!$B$15)*Inputs!$B$16*(1+Inputs!$B$11)^(CF$2-1),0)</f>
        <v>0</v>
      </c>
      <c r="CG13" s="11" t="n">
        <f aca="false">IF(AND(CG$1&gt;=Units!$Q12,MOD(CG$1-Units!$Q12,12)=0),IF(AND(Units!$L12=1,CG$1=Units!$Q12),1,Inputs!$B$15)*Inputs!$B$16*(1+Inputs!$B$11)^(CG$2-1),0)</f>
        <v>0</v>
      </c>
      <c r="CH13" s="11" t="n">
        <f aca="false">IF(AND(CH$1&gt;=Units!$Q12,MOD(CH$1-Units!$Q12,12)=0),IF(AND(Units!$L12=1,CH$1=Units!$Q12),1,Inputs!$B$15)*Inputs!$B$16*(1+Inputs!$B$11)^(CH$2-1),0)</f>
        <v>0</v>
      </c>
      <c r="CI13" s="11" t="n">
        <f aca="false">IF(AND(CI$1&gt;=Units!$Q12,MOD(CI$1-Units!$Q12,12)=0),IF(AND(Units!$L12=1,CI$1=Units!$Q12),1,Inputs!$B$15)*Inputs!$B$16*(1+Inputs!$B$11)^(CI$2-1),0)</f>
        <v>0</v>
      </c>
      <c r="CJ13" s="11" t="n">
        <f aca="false">IF(AND(CJ$1&gt;=Units!$Q12,MOD(CJ$1-Units!$Q12,12)=0),IF(AND(Units!$L12=1,CJ$1=Units!$Q12),1,Inputs!$B$15)*Inputs!$B$16*(1+Inputs!$B$11)^(CJ$2-1),0)</f>
        <v>0</v>
      </c>
      <c r="CK13" s="11" t="n">
        <f aca="false">IF(AND(CK$1&gt;=Units!$Q12,MOD(CK$1-Units!$Q12,12)=0),IF(AND(Units!$L12=1,CK$1=Units!$Q12),1,Inputs!$B$15)*Inputs!$B$16*(1+Inputs!$B$11)^(CK$2-1),0)</f>
        <v>0</v>
      </c>
      <c r="CL13" s="11" t="n">
        <f aca="false">IF(AND(CL$1&gt;=Units!$Q12,MOD(CL$1-Units!$Q12,12)=0),IF(AND(Units!$L12=1,CL$1=Units!$Q12),1,Inputs!$B$15)*Inputs!$B$16*(1+Inputs!$B$11)^(CL$2-1),0)</f>
        <v>0</v>
      </c>
      <c r="CM13" s="11" t="n">
        <f aca="false">IF(AND(CM$1&gt;=Units!$Q12,MOD(CM$1-Units!$Q12,12)=0),IF(AND(Units!$L12=1,CM$1=Units!$Q12),1,Inputs!$B$15)*Inputs!$B$16*(1+Inputs!$B$11)^(CM$2-1),0)</f>
        <v>0</v>
      </c>
      <c r="CN13" s="11" t="n">
        <f aca="false">IF(AND(CN$1&gt;=Units!$Q12,MOD(CN$1-Units!$Q12,12)=0),IF(AND(Units!$L12=1,CN$1=Units!$Q12),1,Inputs!$B$15)*Inputs!$B$16*(1+Inputs!$B$11)^(CN$2-1),0)</f>
        <v>0</v>
      </c>
      <c r="CO13" s="11" t="n">
        <f aca="false">IF(AND(CO$1&gt;=Units!$Q12,MOD(CO$1-Units!$Q12,12)=0),IF(AND(Units!$L12=1,CO$1=Units!$Q12),1,Inputs!$B$15)*Inputs!$B$16*(1+Inputs!$B$11)^(CO$2-1),0)</f>
        <v>0</v>
      </c>
      <c r="CP13" s="11" t="n">
        <f aca="false">IF(AND(CP$1&gt;=Units!$Q12,MOD(CP$1-Units!$Q12,12)=0),IF(AND(Units!$L12=1,CP$1=Units!$Q12),1,Inputs!$B$15)*Inputs!$B$16*(1+Inputs!$B$11)^(CP$2-1),0)</f>
        <v>614.936932712435</v>
      </c>
      <c r="CQ13" s="11" t="n">
        <f aca="false">IF(AND(CQ$1&gt;=Units!$Q12,MOD(CQ$1-Units!$Q12,12)=0),IF(AND(Units!$L12=1,CQ$1=Units!$Q12),1,Inputs!$B$15)*Inputs!$B$16*(1+Inputs!$B$11)^(CQ$2-1),0)</f>
        <v>0</v>
      </c>
      <c r="CR13" s="11" t="n">
        <f aca="false">IF(AND(CR$1&gt;=Units!$Q12,MOD(CR$1-Units!$Q12,12)=0),IF(AND(Units!$L12=1,CR$1=Units!$Q12),1,Inputs!$B$15)*Inputs!$B$16*(1+Inputs!$B$11)^(CR$2-1),0)</f>
        <v>0</v>
      </c>
      <c r="CS13" s="11" t="n">
        <f aca="false">IF(AND(CS$1&gt;=Units!$Q12,MOD(CS$1-Units!$Q12,12)=0),IF(AND(Units!$L12=1,CS$1=Units!$Q12),1,Inputs!$B$15)*Inputs!$B$16*(1+Inputs!$B$11)^(CS$2-1),0)</f>
        <v>0</v>
      </c>
      <c r="CT13" s="11" t="n">
        <f aca="false">IF(AND(CT$1&gt;=Units!$Q12,MOD(CT$1-Units!$Q12,12)=0),IF(AND(Units!$L12=1,CT$1=Units!$Q12),1,Inputs!$B$15)*Inputs!$B$16*(1+Inputs!$B$11)^(CT$2-1),0)</f>
        <v>0</v>
      </c>
      <c r="CU13" s="11" t="n">
        <f aca="false">IF(AND(CU$1&gt;=Units!$Q12,MOD(CU$1-Units!$Q12,12)=0),IF(AND(Units!$L12=1,CU$1=Units!$Q12),1,Inputs!$B$15)*Inputs!$B$16*(1+Inputs!$B$11)^(CU$2-1),0)</f>
        <v>0</v>
      </c>
      <c r="CV13" s="11" t="n">
        <f aca="false">IF(AND(CV$1&gt;=Units!$Q12,MOD(CV$1-Units!$Q12,12)=0),IF(AND(Units!$L12=1,CV$1=Units!$Q12),1,Inputs!$B$15)*Inputs!$B$16*(1+Inputs!$B$11)^(CV$2-1),0)</f>
        <v>0</v>
      </c>
      <c r="CW13" s="11" t="n">
        <f aca="false">IF(AND(CW$1&gt;=Units!$Q12,MOD(CW$1-Units!$Q12,12)=0),IF(AND(Units!$L12=1,CW$1=Units!$Q12),1,Inputs!$B$15)*Inputs!$B$16*(1+Inputs!$B$11)^(CW$2-1),0)</f>
        <v>0</v>
      </c>
      <c r="CX13" s="11" t="n">
        <f aca="false">IF(AND(CX$1&gt;=Units!$Q12,MOD(CX$1-Units!$Q12,12)=0),IF(AND(Units!$L12=1,CX$1=Units!$Q12),1,Inputs!$B$15)*Inputs!$B$16*(1+Inputs!$B$11)^(CX$2-1),0)</f>
        <v>0</v>
      </c>
      <c r="CY13" s="11" t="n">
        <f aca="false">IF(AND(CY$1&gt;=Units!$Q12,MOD(CY$1-Units!$Q12,12)=0),IF(AND(Units!$L12=1,CY$1=Units!$Q12),1,Inputs!$B$15)*Inputs!$B$16*(1+Inputs!$B$11)^(CY$2-1),0)</f>
        <v>0</v>
      </c>
      <c r="CZ13" s="11" t="n">
        <f aca="false">IF(AND(CZ$1&gt;=Units!$Q12,MOD(CZ$1-Units!$Q12,12)=0),IF(AND(Units!$L12=1,CZ$1=Units!$Q12),1,Inputs!$B$15)*Inputs!$B$16*(1+Inputs!$B$11)^(CZ$2-1),0)</f>
        <v>0</v>
      </c>
      <c r="DA13" s="11" t="n">
        <f aca="false">IF(AND(DA$1&gt;=Units!$Q12,MOD(DA$1-Units!$Q12,12)=0),IF(AND(Units!$L12=1,DA$1=Units!$Q12),1,Inputs!$B$15)*Inputs!$B$16*(1+Inputs!$B$11)^(DA$2-1),0)</f>
        <v>0</v>
      </c>
      <c r="DB13" s="11" t="n">
        <f aca="false">IF(AND(DB$1&gt;=Units!$Q12,MOD(DB$1-Units!$Q12,12)=0),IF(AND(Units!$L12=1,DB$1=Units!$Q12),1,Inputs!$B$15)*Inputs!$B$16*(1+Inputs!$B$11)^(DB$2-1),0)</f>
        <v>633.385040693808</v>
      </c>
      <c r="DC13" s="11" t="n">
        <f aca="false">IF(AND(DC$1&gt;=Units!$Q12,MOD(DC$1-Units!$Q12,12)=0),IF(AND(Units!$L12=1,DC$1=Units!$Q12),1,Inputs!$B$15)*Inputs!$B$16*(1+Inputs!$B$11)^(DC$2-1),0)</f>
        <v>0</v>
      </c>
      <c r="DD13" s="11" t="n">
        <f aca="false">IF(AND(DD$1&gt;=Units!$Q12,MOD(DD$1-Units!$Q12,12)=0),IF(AND(Units!$L12=1,DD$1=Units!$Q12),1,Inputs!$B$15)*Inputs!$B$16*(1+Inputs!$B$11)^(DD$2-1),0)</f>
        <v>0</v>
      </c>
      <c r="DE13" s="11" t="n">
        <f aca="false">IF(AND(DE$1&gt;=Units!$Q12,MOD(DE$1-Units!$Q12,12)=0),IF(AND(Units!$L12=1,DE$1=Units!$Q12),1,Inputs!$B$15)*Inputs!$B$16*(1+Inputs!$B$11)^(DE$2-1),0)</f>
        <v>0</v>
      </c>
      <c r="DF13" s="11" t="n">
        <f aca="false">IF(AND(DF$1&gt;=Units!$Q12,MOD(DF$1-Units!$Q12,12)=0),IF(AND(Units!$L12=1,DF$1=Units!$Q12),1,Inputs!$B$15)*Inputs!$B$16*(1+Inputs!$B$11)^(DF$2-1),0)</f>
        <v>0</v>
      </c>
      <c r="DG13" s="11" t="n">
        <f aca="false">IF(AND(DG$1&gt;=Units!$Q12,MOD(DG$1-Units!$Q12,12)=0),IF(AND(Units!$L12=1,DG$1=Units!$Q12),1,Inputs!$B$15)*Inputs!$B$16*(1+Inputs!$B$11)^(DG$2-1),0)</f>
        <v>0</v>
      </c>
      <c r="DH13" s="11" t="n">
        <f aca="false">IF(AND(DH$1&gt;=Units!$Q12,MOD(DH$1-Units!$Q12,12)=0),IF(AND(Units!$L12=1,DH$1=Units!$Q12),1,Inputs!$B$15)*Inputs!$B$16*(1+Inputs!$B$11)^(DH$2-1),0)</f>
        <v>0</v>
      </c>
      <c r="DI13" s="11" t="n">
        <f aca="false">IF(AND(DI$1&gt;=Units!$Q12,MOD(DI$1-Units!$Q12,12)=0),IF(AND(Units!$L12=1,DI$1=Units!$Q12),1,Inputs!$B$15)*Inputs!$B$16*(1+Inputs!$B$11)^(DI$2-1),0)</f>
        <v>0</v>
      </c>
      <c r="DJ13" s="11" t="n">
        <f aca="false">IF(AND(DJ$1&gt;=Units!$Q12,MOD(DJ$1-Units!$Q12,12)=0),IF(AND(Units!$L12=1,DJ$1=Units!$Q12),1,Inputs!$B$15)*Inputs!$B$16*(1+Inputs!$B$11)^(DJ$2-1),0)</f>
        <v>0</v>
      </c>
      <c r="DK13" s="11" t="n">
        <f aca="false">IF(AND(DK$1&gt;=Units!$Q12,MOD(DK$1-Units!$Q12,12)=0),IF(AND(Units!$L12=1,DK$1=Units!$Q12),1,Inputs!$B$15)*Inputs!$B$16*(1+Inputs!$B$11)^(DK$2-1),0)</f>
        <v>0</v>
      </c>
      <c r="DL13" s="11" t="n">
        <f aca="false">IF(AND(DL$1&gt;=Units!$Q12,MOD(DL$1-Units!$Q12,12)=0),IF(AND(Units!$L12=1,DL$1=Units!$Q12),1,Inputs!$B$15)*Inputs!$B$16*(1+Inputs!$B$11)^(DL$2-1),0)</f>
        <v>0</v>
      </c>
      <c r="DM13" s="11" t="n">
        <f aca="false">IF(AND(DM$1&gt;=Units!$Q12,MOD(DM$1-Units!$Q12,12)=0),IF(AND(Units!$L12=1,DM$1=Units!$Q12),1,Inputs!$B$15)*Inputs!$B$16*(1+Inputs!$B$11)^(DM$2-1),0)</f>
        <v>0</v>
      </c>
      <c r="DN13" s="11" t="n">
        <f aca="false">IF(AND(DN$1&gt;=Units!$Q12,MOD(DN$1-Units!$Q12,12)=0),IF(AND(Units!$L12=1,DN$1=Units!$Q12),1,Inputs!$B$15)*Inputs!$B$16*(1+Inputs!$B$11)^(DN$2-1),0)</f>
        <v>652.386591914623</v>
      </c>
      <c r="DO13" s="11" t="n">
        <f aca="false">IF(AND(DO$1&gt;=Units!$Q12,MOD(DO$1-Units!$Q12,12)=0),IF(AND(Units!$L12=1,DO$1=Units!$Q12),1,Inputs!$B$15)*Inputs!$B$16*(1+Inputs!$B$11)^(DO$2-1),0)</f>
        <v>0</v>
      </c>
      <c r="DP13" s="11" t="n">
        <f aca="false">IF(AND(DP$1&gt;=Units!$Q12,MOD(DP$1-Units!$Q12,12)=0),IF(AND(Units!$L12=1,DP$1=Units!$Q12),1,Inputs!$B$15)*Inputs!$B$16*(1+Inputs!$B$11)^(DP$2-1),0)</f>
        <v>0</v>
      </c>
      <c r="DQ13" s="11" t="n">
        <f aca="false">IF(AND(DQ$1&gt;=Units!$Q12,MOD(DQ$1-Units!$Q12,12)=0),IF(AND(Units!$L12=1,DQ$1=Units!$Q12),1,Inputs!$B$15)*Inputs!$B$16*(1+Inputs!$B$11)^(DQ$2-1),0)</f>
        <v>0</v>
      </c>
      <c r="DR13" s="11" t="n">
        <f aca="false">IF(AND(DR$1&gt;=Units!$Q12,MOD(DR$1-Units!$Q12,12)=0),IF(AND(Units!$L12=1,DR$1=Units!$Q12),1,Inputs!$B$15)*Inputs!$B$16*(1+Inputs!$B$11)^(DR$2-1),0)</f>
        <v>0</v>
      </c>
      <c r="DS13" s="11" t="n">
        <f aca="false">IF(AND(DS$1&gt;=Units!$Q12,MOD(DS$1-Units!$Q12,12)=0),IF(AND(Units!$L12=1,DS$1=Units!$Q12),1,Inputs!$B$15)*Inputs!$B$16*(1+Inputs!$B$11)^(DS$2-1),0)</f>
        <v>0</v>
      </c>
      <c r="DT13" s="11" t="n">
        <f aca="false">IF(AND(DT$1&gt;=Units!$Q12,MOD(DT$1-Units!$Q12,12)=0),IF(AND(Units!$L12=1,DT$1=Units!$Q12),1,Inputs!$B$15)*Inputs!$B$16*(1+Inputs!$B$11)^(DT$2-1),0)</f>
        <v>0</v>
      </c>
      <c r="DU13" s="11" t="n">
        <f aca="false">IF(AND(DU$1&gt;=Units!$Q12,MOD(DU$1-Units!$Q12,12)=0),IF(AND(Units!$L12=1,DU$1=Units!$Q12),1,Inputs!$B$15)*Inputs!$B$16*(1+Inputs!$B$11)^(DU$2-1),0)</f>
        <v>0</v>
      </c>
      <c r="DV13" s="11" t="n">
        <f aca="false">IF(AND(DV$1&gt;=Units!$Q12,MOD(DV$1-Units!$Q12,12)=0),IF(AND(Units!$L12=1,DV$1=Units!$Q12),1,Inputs!$B$15)*Inputs!$B$16*(1+Inputs!$B$11)^(DV$2-1),0)</f>
        <v>0</v>
      </c>
      <c r="DW13" s="11" t="n">
        <f aca="false">IF(AND(DW$1&gt;=Units!$Q12,MOD(DW$1-Units!$Q12,12)=0),IF(AND(Units!$L12=1,DW$1=Units!$Q12),1,Inputs!$B$15)*Inputs!$B$16*(1+Inputs!$B$11)^(DW$2-1),0)</f>
        <v>0</v>
      </c>
      <c r="DX13" s="11" t="n">
        <f aca="false">IF(AND(DX$1&gt;=Units!$Q12,MOD(DX$1-Units!$Q12,12)=0),IF(AND(Units!$L12=1,DX$1=Units!$Q12),1,Inputs!$B$15)*Inputs!$B$16*(1+Inputs!$B$11)^(DX$2-1),0)</f>
        <v>0</v>
      </c>
      <c r="DY13" s="11" t="n">
        <f aca="false">IF(AND(DY$1&gt;=Units!$Q12,MOD(DY$1-Units!$Q12,12)=0),IF(AND(Units!$L12=1,DY$1=Units!$Q12),1,Inputs!$B$15)*Inputs!$B$16*(1+Inputs!$B$11)^(DY$2-1),0)</f>
        <v>0</v>
      </c>
      <c r="DZ13" s="11" t="n">
        <f aca="false">IF(AND(DZ$1&gt;=Units!$Q12,MOD(DZ$1-Units!$Q12,12)=0),IF(AND(Units!$L12=1,DZ$1=Units!$Q12),1,Inputs!$B$15)*Inputs!$B$16*(1+Inputs!$B$11)^(DZ$2-1),0)</f>
        <v>671.958189672061</v>
      </c>
      <c r="EA13" s="11" t="n">
        <f aca="false">IF(AND(EA$1&gt;=Units!$Q12,MOD(EA$1-Units!$Q12,12)=0),IF(AND(Units!$L12=1,EA$1=Units!$Q12),1,Inputs!$B$15)*Inputs!$B$16*(1+Inputs!$B$11)^(EA$2-1),0)</f>
        <v>0</v>
      </c>
      <c r="EB13" s="11" t="n">
        <f aca="false">IF(AND(EB$1&gt;=Units!$Q12,MOD(EB$1-Units!$Q12,12)=0),IF(AND(Units!$L12=1,EB$1=Units!$Q12),1,Inputs!$B$15)*Inputs!$B$16*(1+Inputs!$B$11)^(EB$2-1),0)</f>
        <v>0</v>
      </c>
      <c r="EC13" s="11" t="n">
        <f aca="false">IF(AND(EC$1&gt;=Units!$Q12,MOD(EC$1-Units!$Q12,12)=0),IF(AND(Units!$L12=1,EC$1=Units!$Q12),1,Inputs!$B$15)*Inputs!$B$16*(1+Inputs!$B$11)^(EC$2-1),0)</f>
        <v>0</v>
      </c>
      <c r="ED13" s="11" t="n">
        <f aca="false">IF(AND(ED$1&gt;=Units!$Q12,MOD(ED$1-Units!$Q12,12)=0),IF(AND(Units!$L12=1,ED$1=Units!$Q12),1,Inputs!$B$15)*Inputs!$B$16*(1+Inputs!$B$11)^(ED$2-1),0)</f>
        <v>0</v>
      </c>
    </row>
    <row r="14" customFormat="false" ht="15" hidden="false" customHeight="false" outlineLevel="0" collapsed="false">
      <c r="A14" s="22" t="n">
        <f aca="false">Units!A13</f>
        <v>112</v>
      </c>
      <c r="B14" s="23"/>
      <c r="C14" s="11" t="n">
        <f aca="false">IF(AND(C$1&gt;=Units!$Q13,MOD(C$1-Units!$Q13,12)=0),IF(AND(Units!$L13=1,C$1=Units!$Q13),1,Inputs!$B$15)*Inputs!$B$16*(1+Inputs!$B$11)^(C$2-1),0)</f>
        <v>0</v>
      </c>
      <c r="D14" s="11" t="n">
        <f aca="false">IF(AND(D$1&gt;=Units!$Q13,MOD(D$1-Units!$Q13,12)=0),IF(AND(Units!$L13=1,D$1=Units!$Q13),1,Inputs!$B$15)*Inputs!$B$16*(1+Inputs!$B$11)^(D$2-1),0)</f>
        <v>0</v>
      </c>
      <c r="E14" s="11" t="n">
        <f aca="false">IF(AND(E$1&gt;=Units!$Q13,MOD(E$1-Units!$Q13,12)=0),IF(AND(Units!$L13=1,E$1=Units!$Q13),1,Inputs!$B$15)*Inputs!$B$16*(1+Inputs!$B$11)^(E$2-1),0)</f>
        <v>0</v>
      </c>
      <c r="F14" s="11" t="n">
        <f aca="false">IF(AND(F$1&gt;=Units!$Q13,MOD(F$1-Units!$Q13,12)=0),IF(AND(Units!$L13=1,F$1=Units!$Q13),1,Inputs!$B$15)*Inputs!$B$16*(1+Inputs!$B$11)^(F$2-1),0)</f>
        <v>500</v>
      </c>
      <c r="G14" s="11" t="n">
        <f aca="false">IF(AND(G$1&gt;=Units!$Q13,MOD(G$1-Units!$Q13,12)=0),IF(AND(Units!$L13=1,G$1=Units!$Q13),1,Inputs!$B$15)*Inputs!$B$16*(1+Inputs!$B$11)^(G$2-1),0)</f>
        <v>0</v>
      </c>
      <c r="H14" s="11" t="n">
        <f aca="false">IF(AND(H$1&gt;=Units!$Q13,MOD(H$1-Units!$Q13,12)=0),IF(AND(Units!$L13=1,H$1=Units!$Q13),1,Inputs!$B$15)*Inputs!$B$16*(1+Inputs!$B$11)^(H$2-1),0)</f>
        <v>0</v>
      </c>
      <c r="I14" s="11" t="n">
        <f aca="false">IF(AND(I$1&gt;=Units!$Q13,MOD(I$1-Units!$Q13,12)=0),IF(AND(Units!$L13=1,I$1=Units!$Q13),1,Inputs!$B$15)*Inputs!$B$16*(1+Inputs!$B$11)^(I$2-1),0)</f>
        <v>0</v>
      </c>
      <c r="J14" s="11" t="n">
        <f aca="false">IF(AND(J$1&gt;=Units!$Q13,MOD(J$1-Units!$Q13,12)=0),IF(AND(Units!$L13=1,J$1=Units!$Q13),1,Inputs!$B$15)*Inputs!$B$16*(1+Inputs!$B$11)^(J$2-1),0)</f>
        <v>0</v>
      </c>
      <c r="K14" s="11" t="n">
        <f aca="false">IF(AND(K$1&gt;=Units!$Q13,MOD(K$1-Units!$Q13,12)=0),IF(AND(Units!$L13=1,K$1=Units!$Q13),1,Inputs!$B$15)*Inputs!$B$16*(1+Inputs!$B$11)^(K$2-1),0)</f>
        <v>0</v>
      </c>
      <c r="L14" s="11" t="n">
        <f aca="false">IF(AND(L$1&gt;=Units!$Q13,MOD(L$1-Units!$Q13,12)=0),IF(AND(Units!$L13=1,L$1=Units!$Q13),1,Inputs!$B$15)*Inputs!$B$16*(1+Inputs!$B$11)^(L$2-1),0)</f>
        <v>0</v>
      </c>
      <c r="M14" s="11" t="n">
        <f aca="false">IF(AND(M$1&gt;=Units!$Q13,MOD(M$1-Units!$Q13,12)=0),IF(AND(Units!$L13=1,M$1=Units!$Q13),1,Inputs!$B$15)*Inputs!$B$16*(1+Inputs!$B$11)^(M$2-1),0)</f>
        <v>0</v>
      </c>
      <c r="N14" s="11" t="n">
        <f aca="false">IF(AND(N$1&gt;=Units!$Q13,MOD(N$1-Units!$Q13,12)=0),IF(AND(Units!$L13=1,N$1=Units!$Q13),1,Inputs!$B$15)*Inputs!$B$16*(1+Inputs!$B$11)^(N$2-1),0)</f>
        <v>0</v>
      </c>
      <c r="O14" s="11" t="n">
        <f aca="false">IF(AND(O$1&gt;=Units!$Q13,MOD(O$1-Units!$Q13,12)=0),IF(AND(Units!$L13=1,O$1=Units!$Q13),1,Inputs!$B$15)*Inputs!$B$16*(1+Inputs!$B$11)^(O$2-1),0)</f>
        <v>0</v>
      </c>
      <c r="P14" s="11" t="n">
        <f aca="false">IF(AND(P$1&gt;=Units!$Q13,MOD(P$1-Units!$Q13,12)=0),IF(AND(Units!$L13=1,P$1=Units!$Q13),1,Inputs!$B$15)*Inputs!$B$16*(1+Inputs!$B$11)^(P$2-1),0)</f>
        <v>0</v>
      </c>
      <c r="Q14" s="11" t="n">
        <f aca="false">IF(AND(Q$1&gt;=Units!$Q13,MOD(Q$1-Units!$Q13,12)=0),IF(AND(Units!$L13=1,Q$1=Units!$Q13),1,Inputs!$B$15)*Inputs!$B$16*(1+Inputs!$B$11)^(Q$2-1),0)</f>
        <v>0</v>
      </c>
      <c r="R14" s="11" t="n">
        <f aca="false">IF(AND(R$1&gt;=Units!$Q13,MOD(R$1-Units!$Q13,12)=0),IF(AND(Units!$L13=1,R$1=Units!$Q13),1,Inputs!$B$15)*Inputs!$B$16*(1+Inputs!$B$11)^(R$2-1),0)</f>
        <v>515</v>
      </c>
      <c r="S14" s="11" t="n">
        <f aca="false">IF(AND(S$1&gt;=Units!$Q13,MOD(S$1-Units!$Q13,12)=0),IF(AND(Units!$L13=1,S$1=Units!$Q13),1,Inputs!$B$15)*Inputs!$B$16*(1+Inputs!$B$11)^(S$2-1),0)</f>
        <v>0</v>
      </c>
      <c r="T14" s="11" t="n">
        <f aca="false">IF(AND(T$1&gt;=Units!$Q13,MOD(T$1-Units!$Q13,12)=0),IF(AND(Units!$L13=1,T$1=Units!$Q13),1,Inputs!$B$15)*Inputs!$B$16*(1+Inputs!$B$11)^(T$2-1),0)</f>
        <v>0</v>
      </c>
      <c r="U14" s="11" t="n">
        <f aca="false">IF(AND(U$1&gt;=Units!$Q13,MOD(U$1-Units!$Q13,12)=0),IF(AND(Units!$L13=1,U$1=Units!$Q13),1,Inputs!$B$15)*Inputs!$B$16*(1+Inputs!$B$11)^(U$2-1),0)</f>
        <v>0</v>
      </c>
      <c r="V14" s="11" t="n">
        <f aca="false">IF(AND(V$1&gt;=Units!$Q13,MOD(V$1-Units!$Q13,12)=0),IF(AND(Units!$L13=1,V$1=Units!$Q13),1,Inputs!$B$15)*Inputs!$B$16*(1+Inputs!$B$11)^(V$2-1),0)</f>
        <v>0</v>
      </c>
      <c r="W14" s="11" t="n">
        <f aca="false">IF(AND(W$1&gt;=Units!$Q13,MOD(W$1-Units!$Q13,12)=0),IF(AND(Units!$L13=1,W$1=Units!$Q13),1,Inputs!$B$15)*Inputs!$B$16*(1+Inputs!$B$11)^(W$2-1),0)</f>
        <v>0</v>
      </c>
      <c r="X14" s="11" t="n">
        <f aca="false">IF(AND(X$1&gt;=Units!$Q13,MOD(X$1-Units!$Q13,12)=0),IF(AND(Units!$L13=1,X$1=Units!$Q13),1,Inputs!$B$15)*Inputs!$B$16*(1+Inputs!$B$11)^(X$2-1),0)</f>
        <v>0</v>
      </c>
      <c r="Y14" s="11" t="n">
        <f aca="false">IF(AND(Y$1&gt;=Units!$Q13,MOD(Y$1-Units!$Q13,12)=0),IF(AND(Units!$L13=1,Y$1=Units!$Q13),1,Inputs!$B$15)*Inputs!$B$16*(1+Inputs!$B$11)^(Y$2-1),0)</f>
        <v>0</v>
      </c>
      <c r="Z14" s="11" t="n">
        <f aca="false">IF(AND(Z$1&gt;=Units!$Q13,MOD(Z$1-Units!$Q13,12)=0),IF(AND(Units!$L13=1,Z$1=Units!$Q13),1,Inputs!$B$15)*Inputs!$B$16*(1+Inputs!$B$11)^(Z$2-1),0)</f>
        <v>0</v>
      </c>
      <c r="AA14" s="11" t="n">
        <f aca="false">IF(AND(AA$1&gt;=Units!$Q13,MOD(AA$1-Units!$Q13,12)=0),IF(AND(Units!$L13=1,AA$1=Units!$Q13),1,Inputs!$B$15)*Inputs!$B$16*(1+Inputs!$B$11)^(AA$2-1),0)</f>
        <v>0</v>
      </c>
      <c r="AB14" s="11" t="n">
        <f aca="false">IF(AND(AB$1&gt;=Units!$Q13,MOD(AB$1-Units!$Q13,12)=0),IF(AND(Units!$L13=1,AB$1=Units!$Q13),1,Inputs!$B$15)*Inputs!$B$16*(1+Inputs!$B$11)^(AB$2-1),0)</f>
        <v>0</v>
      </c>
      <c r="AC14" s="11" t="n">
        <f aca="false">IF(AND(AC$1&gt;=Units!$Q13,MOD(AC$1-Units!$Q13,12)=0),IF(AND(Units!$L13=1,AC$1=Units!$Q13),1,Inputs!$B$15)*Inputs!$B$16*(1+Inputs!$B$11)^(AC$2-1),0)</f>
        <v>0</v>
      </c>
      <c r="AD14" s="11" t="n">
        <f aca="false">IF(AND(AD$1&gt;=Units!$Q13,MOD(AD$1-Units!$Q13,12)=0),IF(AND(Units!$L13=1,AD$1=Units!$Q13),1,Inputs!$B$15)*Inputs!$B$16*(1+Inputs!$B$11)^(AD$2-1),0)</f>
        <v>530.45</v>
      </c>
      <c r="AE14" s="11" t="n">
        <f aca="false">IF(AND(AE$1&gt;=Units!$Q13,MOD(AE$1-Units!$Q13,12)=0),IF(AND(Units!$L13=1,AE$1=Units!$Q13),1,Inputs!$B$15)*Inputs!$B$16*(1+Inputs!$B$11)^(AE$2-1),0)</f>
        <v>0</v>
      </c>
      <c r="AF14" s="11" t="n">
        <f aca="false">IF(AND(AF$1&gt;=Units!$Q13,MOD(AF$1-Units!$Q13,12)=0),IF(AND(Units!$L13=1,AF$1=Units!$Q13),1,Inputs!$B$15)*Inputs!$B$16*(1+Inputs!$B$11)^(AF$2-1),0)</f>
        <v>0</v>
      </c>
      <c r="AG14" s="11" t="n">
        <f aca="false">IF(AND(AG$1&gt;=Units!$Q13,MOD(AG$1-Units!$Q13,12)=0),IF(AND(Units!$L13=1,AG$1=Units!$Q13),1,Inputs!$B$15)*Inputs!$B$16*(1+Inputs!$B$11)^(AG$2-1),0)</f>
        <v>0</v>
      </c>
      <c r="AH14" s="11" t="n">
        <f aca="false">IF(AND(AH$1&gt;=Units!$Q13,MOD(AH$1-Units!$Q13,12)=0),IF(AND(Units!$L13=1,AH$1=Units!$Q13),1,Inputs!$B$15)*Inputs!$B$16*(1+Inputs!$B$11)^(AH$2-1),0)</f>
        <v>0</v>
      </c>
      <c r="AI14" s="11" t="n">
        <f aca="false">IF(AND(AI$1&gt;=Units!$Q13,MOD(AI$1-Units!$Q13,12)=0),IF(AND(Units!$L13=1,AI$1=Units!$Q13),1,Inputs!$B$15)*Inputs!$B$16*(1+Inputs!$B$11)^(AI$2-1),0)</f>
        <v>0</v>
      </c>
      <c r="AJ14" s="11" t="n">
        <f aca="false">IF(AND(AJ$1&gt;=Units!$Q13,MOD(AJ$1-Units!$Q13,12)=0),IF(AND(Units!$L13=1,AJ$1=Units!$Q13),1,Inputs!$B$15)*Inputs!$B$16*(1+Inputs!$B$11)^(AJ$2-1),0)</f>
        <v>0</v>
      </c>
      <c r="AK14" s="11" t="n">
        <f aca="false">IF(AND(AK$1&gt;=Units!$Q13,MOD(AK$1-Units!$Q13,12)=0),IF(AND(Units!$L13=1,AK$1=Units!$Q13),1,Inputs!$B$15)*Inputs!$B$16*(1+Inputs!$B$11)^(AK$2-1),0)</f>
        <v>0</v>
      </c>
      <c r="AL14" s="11" t="n">
        <f aca="false">IF(AND(AL$1&gt;=Units!$Q13,MOD(AL$1-Units!$Q13,12)=0),IF(AND(Units!$L13=1,AL$1=Units!$Q13),1,Inputs!$B$15)*Inputs!$B$16*(1+Inputs!$B$11)^(AL$2-1),0)</f>
        <v>0</v>
      </c>
      <c r="AM14" s="11" t="n">
        <f aca="false">IF(AND(AM$1&gt;=Units!$Q13,MOD(AM$1-Units!$Q13,12)=0),IF(AND(Units!$L13=1,AM$1=Units!$Q13),1,Inputs!$B$15)*Inputs!$B$16*(1+Inputs!$B$11)^(AM$2-1),0)</f>
        <v>0</v>
      </c>
      <c r="AN14" s="11" t="n">
        <f aca="false">IF(AND(AN$1&gt;=Units!$Q13,MOD(AN$1-Units!$Q13,12)=0),IF(AND(Units!$L13=1,AN$1=Units!$Q13),1,Inputs!$B$15)*Inputs!$B$16*(1+Inputs!$B$11)^(AN$2-1),0)</f>
        <v>0</v>
      </c>
      <c r="AO14" s="11" t="n">
        <f aca="false">IF(AND(AO$1&gt;=Units!$Q13,MOD(AO$1-Units!$Q13,12)=0),IF(AND(Units!$L13=1,AO$1=Units!$Q13),1,Inputs!$B$15)*Inputs!$B$16*(1+Inputs!$B$11)^(AO$2-1),0)</f>
        <v>0</v>
      </c>
      <c r="AP14" s="11" t="n">
        <f aca="false">IF(AND(AP$1&gt;=Units!$Q13,MOD(AP$1-Units!$Q13,12)=0),IF(AND(Units!$L13=1,AP$1=Units!$Q13),1,Inputs!$B$15)*Inputs!$B$16*(1+Inputs!$B$11)^(AP$2-1),0)</f>
        <v>546.3635</v>
      </c>
      <c r="AQ14" s="11" t="n">
        <f aca="false">IF(AND(AQ$1&gt;=Units!$Q13,MOD(AQ$1-Units!$Q13,12)=0),IF(AND(Units!$L13=1,AQ$1=Units!$Q13),1,Inputs!$B$15)*Inputs!$B$16*(1+Inputs!$B$11)^(AQ$2-1),0)</f>
        <v>0</v>
      </c>
      <c r="AR14" s="11" t="n">
        <f aca="false">IF(AND(AR$1&gt;=Units!$Q13,MOD(AR$1-Units!$Q13,12)=0),IF(AND(Units!$L13=1,AR$1=Units!$Q13),1,Inputs!$B$15)*Inputs!$B$16*(1+Inputs!$B$11)^(AR$2-1),0)</f>
        <v>0</v>
      </c>
      <c r="AS14" s="11" t="n">
        <f aca="false">IF(AND(AS$1&gt;=Units!$Q13,MOD(AS$1-Units!$Q13,12)=0),IF(AND(Units!$L13=1,AS$1=Units!$Q13),1,Inputs!$B$15)*Inputs!$B$16*(1+Inputs!$B$11)^(AS$2-1),0)</f>
        <v>0</v>
      </c>
      <c r="AT14" s="11" t="n">
        <f aca="false">IF(AND(AT$1&gt;=Units!$Q13,MOD(AT$1-Units!$Q13,12)=0),IF(AND(Units!$L13=1,AT$1=Units!$Q13),1,Inputs!$B$15)*Inputs!$B$16*(1+Inputs!$B$11)^(AT$2-1),0)</f>
        <v>0</v>
      </c>
      <c r="AU14" s="11" t="n">
        <f aca="false">IF(AND(AU$1&gt;=Units!$Q13,MOD(AU$1-Units!$Q13,12)=0),IF(AND(Units!$L13=1,AU$1=Units!$Q13),1,Inputs!$B$15)*Inputs!$B$16*(1+Inputs!$B$11)^(AU$2-1),0)</f>
        <v>0</v>
      </c>
      <c r="AV14" s="11" t="n">
        <f aca="false">IF(AND(AV$1&gt;=Units!$Q13,MOD(AV$1-Units!$Q13,12)=0),IF(AND(Units!$L13=1,AV$1=Units!$Q13),1,Inputs!$B$15)*Inputs!$B$16*(1+Inputs!$B$11)^(AV$2-1),0)</f>
        <v>0</v>
      </c>
      <c r="AW14" s="11" t="n">
        <f aca="false">IF(AND(AW$1&gt;=Units!$Q13,MOD(AW$1-Units!$Q13,12)=0),IF(AND(Units!$L13=1,AW$1=Units!$Q13),1,Inputs!$B$15)*Inputs!$B$16*(1+Inputs!$B$11)^(AW$2-1),0)</f>
        <v>0</v>
      </c>
      <c r="AX14" s="11" t="n">
        <f aca="false">IF(AND(AX$1&gt;=Units!$Q13,MOD(AX$1-Units!$Q13,12)=0),IF(AND(Units!$L13=1,AX$1=Units!$Q13),1,Inputs!$B$15)*Inputs!$B$16*(1+Inputs!$B$11)^(AX$2-1),0)</f>
        <v>0</v>
      </c>
      <c r="AY14" s="11" t="n">
        <f aca="false">IF(AND(AY$1&gt;=Units!$Q13,MOD(AY$1-Units!$Q13,12)=0),IF(AND(Units!$L13=1,AY$1=Units!$Q13),1,Inputs!$B$15)*Inputs!$B$16*(1+Inputs!$B$11)^(AY$2-1),0)</f>
        <v>0</v>
      </c>
      <c r="AZ14" s="11" t="n">
        <f aca="false">IF(AND(AZ$1&gt;=Units!$Q13,MOD(AZ$1-Units!$Q13,12)=0),IF(AND(Units!$L13=1,AZ$1=Units!$Q13),1,Inputs!$B$15)*Inputs!$B$16*(1+Inputs!$B$11)^(AZ$2-1),0)</f>
        <v>0</v>
      </c>
      <c r="BA14" s="11" t="n">
        <f aca="false">IF(AND(BA$1&gt;=Units!$Q13,MOD(BA$1-Units!$Q13,12)=0),IF(AND(Units!$L13=1,BA$1=Units!$Q13),1,Inputs!$B$15)*Inputs!$B$16*(1+Inputs!$B$11)^(BA$2-1),0)</f>
        <v>0</v>
      </c>
      <c r="BB14" s="11" t="n">
        <f aca="false">IF(AND(BB$1&gt;=Units!$Q13,MOD(BB$1-Units!$Q13,12)=0),IF(AND(Units!$L13=1,BB$1=Units!$Q13),1,Inputs!$B$15)*Inputs!$B$16*(1+Inputs!$B$11)^(BB$2-1),0)</f>
        <v>562.754405</v>
      </c>
      <c r="BC14" s="11" t="n">
        <f aca="false">IF(AND(BC$1&gt;=Units!$Q13,MOD(BC$1-Units!$Q13,12)=0),IF(AND(Units!$L13=1,BC$1=Units!$Q13),1,Inputs!$B$15)*Inputs!$B$16*(1+Inputs!$B$11)^(BC$2-1),0)</f>
        <v>0</v>
      </c>
      <c r="BD14" s="11" t="n">
        <f aca="false">IF(AND(BD$1&gt;=Units!$Q13,MOD(BD$1-Units!$Q13,12)=0),IF(AND(Units!$L13=1,BD$1=Units!$Q13),1,Inputs!$B$15)*Inputs!$B$16*(1+Inputs!$B$11)^(BD$2-1),0)</f>
        <v>0</v>
      </c>
      <c r="BE14" s="11" t="n">
        <f aca="false">IF(AND(BE$1&gt;=Units!$Q13,MOD(BE$1-Units!$Q13,12)=0),IF(AND(Units!$L13=1,BE$1=Units!$Q13),1,Inputs!$B$15)*Inputs!$B$16*(1+Inputs!$B$11)^(BE$2-1),0)</f>
        <v>0</v>
      </c>
      <c r="BF14" s="11" t="n">
        <f aca="false">IF(AND(BF$1&gt;=Units!$Q13,MOD(BF$1-Units!$Q13,12)=0),IF(AND(Units!$L13=1,BF$1=Units!$Q13),1,Inputs!$B$15)*Inputs!$B$16*(1+Inputs!$B$11)^(BF$2-1),0)</f>
        <v>0</v>
      </c>
      <c r="BG14" s="11" t="n">
        <f aca="false">IF(AND(BG$1&gt;=Units!$Q13,MOD(BG$1-Units!$Q13,12)=0),IF(AND(Units!$L13=1,BG$1=Units!$Q13),1,Inputs!$B$15)*Inputs!$B$16*(1+Inputs!$B$11)^(BG$2-1),0)</f>
        <v>0</v>
      </c>
      <c r="BH14" s="11" t="n">
        <f aca="false">IF(AND(BH$1&gt;=Units!$Q13,MOD(BH$1-Units!$Q13,12)=0),IF(AND(Units!$L13=1,BH$1=Units!$Q13),1,Inputs!$B$15)*Inputs!$B$16*(1+Inputs!$B$11)^(BH$2-1),0)</f>
        <v>0</v>
      </c>
      <c r="BI14" s="11" t="n">
        <f aca="false">IF(AND(BI$1&gt;=Units!$Q13,MOD(BI$1-Units!$Q13,12)=0),IF(AND(Units!$L13=1,BI$1=Units!$Q13),1,Inputs!$B$15)*Inputs!$B$16*(1+Inputs!$B$11)^(BI$2-1),0)</f>
        <v>0</v>
      </c>
      <c r="BJ14" s="11" t="n">
        <f aca="false">IF(AND(BJ$1&gt;=Units!$Q13,MOD(BJ$1-Units!$Q13,12)=0),IF(AND(Units!$L13=1,BJ$1=Units!$Q13),1,Inputs!$B$15)*Inputs!$B$16*(1+Inputs!$B$11)^(BJ$2-1),0)</f>
        <v>0</v>
      </c>
      <c r="BK14" s="11" t="n">
        <f aca="false">IF(AND(BK$1&gt;=Units!$Q13,MOD(BK$1-Units!$Q13,12)=0),IF(AND(Units!$L13=1,BK$1=Units!$Q13),1,Inputs!$B$15)*Inputs!$B$16*(1+Inputs!$B$11)^(BK$2-1),0)</f>
        <v>0</v>
      </c>
      <c r="BL14" s="11" t="n">
        <f aca="false">IF(AND(BL$1&gt;=Units!$Q13,MOD(BL$1-Units!$Q13,12)=0),IF(AND(Units!$L13=1,BL$1=Units!$Q13),1,Inputs!$B$15)*Inputs!$B$16*(1+Inputs!$B$11)^(BL$2-1),0)</f>
        <v>0</v>
      </c>
      <c r="BM14" s="11" t="n">
        <f aca="false">IF(AND(BM$1&gt;=Units!$Q13,MOD(BM$1-Units!$Q13,12)=0),IF(AND(Units!$L13=1,BM$1=Units!$Q13),1,Inputs!$B$15)*Inputs!$B$16*(1+Inputs!$B$11)^(BM$2-1),0)</f>
        <v>0</v>
      </c>
      <c r="BN14" s="11" t="n">
        <f aca="false">IF(AND(BN$1&gt;=Units!$Q13,MOD(BN$1-Units!$Q13,12)=0),IF(AND(Units!$L13=1,BN$1=Units!$Q13),1,Inputs!$B$15)*Inputs!$B$16*(1+Inputs!$B$11)^(BN$2-1),0)</f>
        <v>579.63703715</v>
      </c>
      <c r="BO14" s="11" t="n">
        <f aca="false">IF(AND(BO$1&gt;=Units!$Q13,MOD(BO$1-Units!$Q13,12)=0),IF(AND(Units!$L13=1,BO$1=Units!$Q13),1,Inputs!$B$15)*Inputs!$B$16*(1+Inputs!$B$11)^(BO$2-1),0)</f>
        <v>0</v>
      </c>
      <c r="BP14" s="11" t="n">
        <f aca="false">IF(AND(BP$1&gt;=Units!$Q13,MOD(BP$1-Units!$Q13,12)=0),IF(AND(Units!$L13=1,BP$1=Units!$Q13),1,Inputs!$B$15)*Inputs!$B$16*(1+Inputs!$B$11)^(BP$2-1),0)</f>
        <v>0</v>
      </c>
      <c r="BQ14" s="11" t="n">
        <f aca="false">IF(AND(BQ$1&gt;=Units!$Q13,MOD(BQ$1-Units!$Q13,12)=0),IF(AND(Units!$L13=1,BQ$1=Units!$Q13),1,Inputs!$B$15)*Inputs!$B$16*(1+Inputs!$B$11)^(BQ$2-1),0)</f>
        <v>0</v>
      </c>
      <c r="BR14" s="11" t="n">
        <f aca="false">IF(AND(BR$1&gt;=Units!$Q13,MOD(BR$1-Units!$Q13,12)=0),IF(AND(Units!$L13=1,BR$1=Units!$Q13),1,Inputs!$B$15)*Inputs!$B$16*(1+Inputs!$B$11)^(BR$2-1),0)</f>
        <v>0</v>
      </c>
      <c r="BS14" s="11" t="n">
        <f aca="false">IF(AND(BS$1&gt;=Units!$Q13,MOD(BS$1-Units!$Q13,12)=0),IF(AND(Units!$L13=1,BS$1=Units!$Q13),1,Inputs!$B$15)*Inputs!$B$16*(1+Inputs!$B$11)^(BS$2-1),0)</f>
        <v>0</v>
      </c>
      <c r="BT14" s="11" t="n">
        <f aca="false">IF(AND(BT$1&gt;=Units!$Q13,MOD(BT$1-Units!$Q13,12)=0),IF(AND(Units!$L13=1,BT$1=Units!$Q13),1,Inputs!$B$15)*Inputs!$B$16*(1+Inputs!$B$11)^(BT$2-1),0)</f>
        <v>0</v>
      </c>
      <c r="BU14" s="11" t="n">
        <f aca="false">IF(AND(BU$1&gt;=Units!$Q13,MOD(BU$1-Units!$Q13,12)=0),IF(AND(Units!$L13=1,BU$1=Units!$Q13),1,Inputs!$B$15)*Inputs!$B$16*(1+Inputs!$B$11)^(BU$2-1),0)</f>
        <v>0</v>
      </c>
      <c r="BV14" s="11" t="n">
        <f aca="false">IF(AND(BV$1&gt;=Units!$Q13,MOD(BV$1-Units!$Q13,12)=0),IF(AND(Units!$L13=1,BV$1=Units!$Q13),1,Inputs!$B$15)*Inputs!$B$16*(1+Inputs!$B$11)^(BV$2-1),0)</f>
        <v>0</v>
      </c>
      <c r="BW14" s="11" t="n">
        <f aca="false">IF(AND(BW$1&gt;=Units!$Q13,MOD(BW$1-Units!$Q13,12)=0),IF(AND(Units!$L13=1,BW$1=Units!$Q13),1,Inputs!$B$15)*Inputs!$B$16*(1+Inputs!$B$11)^(BW$2-1),0)</f>
        <v>0</v>
      </c>
      <c r="BX14" s="11" t="n">
        <f aca="false">IF(AND(BX$1&gt;=Units!$Q13,MOD(BX$1-Units!$Q13,12)=0),IF(AND(Units!$L13=1,BX$1=Units!$Q13),1,Inputs!$B$15)*Inputs!$B$16*(1+Inputs!$B$11)^(BX$2-1),0)</f>
        <v>0</v>
      </c>
      <c r="BY14" s="11" t="n">
        <f aca="false">IF(AND(BY$1&gt;=Units!$Q13,MOD(BY$1-Units!$Q13,12)=0),IF(AND(Units!$L13=1,BY$1=Units!$Q13),1,Inputs!$B$15)*Inputs!$B$16*(1+Inputs!$B$11)^(BY$2-1),0)</f>
        <v>0</v>
      </c>
      <c r="BZ14" s="11" t="n">
        <f aca="false">IF(AND(BZ$1&gt;=Units!$Q13,MOD(BZ$1-Units!$Q13,12)=0),IF(AND(Units!$L13=1,BZ$1=Units!$Q13),1,Inputs!$B$15)*Inputs!$B$16*(1+Inputs!$B$11)^(BZ$2-1),0)</f>
        <v>597.0261482645</v>
      </c>
      <c r="CA14" s="11" t="n">
        <f aca="false">IF(AND(CA$1&gt;=Units!$Q13,MOD(CA$1-Units!$Q13,12)=0),IF(AND(Units!$L13=1,CA$1=Units!$Q13),1,Inputs!$B$15)*Inputs!$B$16*(1+Inputs!$B$11)^(CA$2-1),0)</f>
        <v>0</v>
      </c>
      <c r="CB14" s="11" t="n">
        <f aca="false">IF(AND(CB$1&gt;=Units!$Q13,MOD(CB$1-Units!$Q13,12)=0),IF(AND(Units!$L13=1,CB$1=Units!$Q13),1,Inputs!$B$15)*Inputs!$B$16*(1+Inputs!$B$11)^(CB$2-1),0)</f>
        <v>0</v>
      </c>
      <c r="CC14" s="11" t="n">
        <f aca="false">IF(AND(CC$1&gt;=Units!$Q13,MOD(CC$1-Units!$Q13,12)=0),IF(AND(Units!$L13=1,CC$1=Units!$Q13),1,Inputs!$B$15)*Inputs!$B$16*(1+Inputs!$B$11)^(CC$2-1),0)</f>
        <v>0</v>
      </c>
      <c r="CD14" s="11" t="n">
        <f aca="false">IF(AND(CD$1&gt;=Units!$Q13,MOD(CD$1-Units!$Q13,12)=0),IF(AND(Units!$L13=1,CD$1=Units!$Q13),1,Inputs!$B$15)*Inputs!$B$16*(1+Inputs!$B$11)^(CD$2-1),0)</f>
        <v>0</v>
      </c>
      <c r="CE14" s="11" t="n">
        <f aca="false">IF(AND(CE$1&gt;=Units!$Q13,MOD(CE$1-Units!$Q13,12)=0),IF(AND(Units!$L13=1,CE$1=Units!$Q13),1,Inputs!$B$15)*Inputs!$B$16*(1+Inputs!$B$11)^(CE$2-1),0)</f>
        <v>0</v>
      </c>
      <c r="CF14" s="11" t="n">
        <f aca="false">IF(AND(CF$1&gt;=Units!$Q13,MOD(CF$1-Units!$Q13,12)=0),IF(AND(Units!$L13=1,CF$1=Units!$Q13),1,Inputs!$B$15)*Inputs!$B$16*(1+Inputs!$B$11)^(CF$2-1),0)</f>
        <v>0</v>
      </c>
      <c r="CG14" s="11" t="n">
        <f aca="false">IF(AND(CG$1&gt;=Units!$Q13,MOD(CG$1-Units!$Q13,12)=0),IF(AND(Units!$L13=1,CG$1=Units!$Q13),1,Inputs!$B$15)*Inputs!$B$16*(1+Inputs!$B$11)^(CG$2-1),0)</f>
        <v>0</v>
      </c>
      <c r="CH14" s="11" t="n">
        <f aca="false">IF(AND(CH$1&gt;=Units!$Q13,MOD(CH$1-Units!$Q13,12)=0),IF(AND(Units!$L13=1,CH$1=Units!$Q13),1,Inputs!$B$15)*Inputs!$B$16*(1+Inputs!$B$11)^(CH$2-1),0)</f>
        <v>0</v>
      </c>
      <c r="CI14" s="11" t="n">
        <f aca="false">IF(AND(CI$1&gt;=Units!$Q13,MOD(CI$1-Units!$Q13,12)=0),IF(AND(Units!$L13=1,CI$1=Units!$Q13),1,Inputs!$B$15)*Inputs!$B$16*(1+Inputs!$B$11)^(CI$2-1),0)</f>
        <v>0</v>
      </c>
      <c r="CJ14" s="11" t="n">
        <f aca="false">IF(AND(CJ$1&gt;=Units!$Q13,MOD(CJ$1-Units!$Q13,12)=0),IF(AND(Units!$L13=1,CJ$1=Units!$Q13),1,Inputs!$B$15)*Inputs!$B$16*(1+Inputs!$B$11)^(CJ$2-1),0)</f>
        <v>0</v>
      </c>
      <c r="CK14" s="11" t="n">
        <f aca="false">IF(AND(CK$1&gt;=Units!$Q13,MOD(CK$1-Units!$Q13,12)=0),IF(AND(Units!$L13=1,CK$1=Units!$Q13),1,Inputs!$B$15)*Inputs!$B$16*(1+Inputs!$B$11)^(CK$2-1),0)</f>
        <v>0</v>
      </c>
      <c r="CL14" s="11" t="n">
        <f aca="false">IF(AND(CL$1&gt;=Units!$Q13,MOD(CL$1-Units!$Q13,12)=0),IF(AND(Units!$L13=1,CL$1=Units!$Q13),1,Inputs!$B$15)*Inputs!$B$16*(1+Inputs!$B$11)^(CL$2-1),0)</f>
        <v>614.936932712435</v>
      </c>
      <c r="CM14" s="11" t="n">
        <f aca="false">IF(AND(CM$1&gt;=Units!$Q13,MOD(CM$1-Units!$Q13,12)=0),IF(AND(Units!$L13=1,CM$1=Units!$Q13),1,Inputs!$B$15)*Inputs!$B$16*(1+Inputs!$B$11)^(CM$2-1),0)</f>
        <v>0</v>
      </c>
      <c r="CN14" s="11" t="n">
        <f aca="false">IF(AND(CN$1&gt;=Units!$Q13,MOD(CN$1-Units!$Q13,12)=0),IF(AND(Units!$L13=1,CN$1=Units!$Q13),1,Inputs!$B$15)*Inputs!$B$16*(1+Inputs!$B$11)^(CN$2-1),0)</f>
        <v>0</v>
      </c>
      <c r="CO14" s="11" t="n">
        <f aca="false">IF(AND(CO$1&gt;=Units!$Q13,MOD(CO$1-Units!$Q13,12)=0),IF(AND(Units!$L13=1,CO$1=Units!$Q13),1,Inputs!$B$15)*Inputs!$B$16*(1+Inputs!$B$11)^(CO$2-1),0)</f>
        <v>0</v>
      </c>
      <c r="CP14" s="11" t="n">
        <f aca="false">IF(AND(CP$1&gt;=Units!$Q13,MOD(CP$1-Units!$Q13,12)=0),IF(AND(Units!$L13=1,CP$1=Units!$Q13),1,Inputs!$B$15)*Inputs!$B$16*(1+Inputs!$B$11)^(CP$2-1),0)</f>
        <v>0</v>
      </c>
      <c r="CQ14" s="11" t="n">
        <f aca="false">IF(AND(CQ$1&gt;=Units!$Q13,MOD(CQ$1-Units!$Q13,12)=0),IF(AND(Units!$L13=1,CQ$1=Units!$Q13),1,Inputs!$B$15)*Inputs!$B$16*(1+Inputs!$B$11)^(CQ$2-1),0)</f>
        <v>0</v>
      </c>
      <c r="CR14" s="11" t="n">
        <f aca="false">IF(AND(CR$1&gt;=Units!$Q13,MOD(CR$1-Units!$Q13,12)=0),IF(AND(Units!$L13=1,CR$1=Units!$Q13),1,Inputs!$B$15)*Inputs!$B$16*(1+Inputs!$B$11)^(CR$2-1),0)</f>
        <v>0</v>
      </c>
      <c r="CS14" s="11" t="n">
        <f aca="false">IF(AND(CS$1&gt;=Units!$Q13,MOD(CS$1-Units!$Q13,12)=0),IF(AND(Units!$L13=1,CS$1=Units!$Q13),1,Inputs!$B$15)*Inputs!$B$16*(1+Inputs!$B$11)^(CS$2-1),0)</f>
        <v>0</v>
      </c>
      <c r="CT14" s="11" t="n">
        <f aca="false">IF(AND(CT$1&gt;=Units!$Q13,MOD(CT$1-Units!$Q13,12)=0),IF(AND(Units!$L13=1,CT$1=Units!$Q13),1,Inputs!$B$15)*Inputs!$B$16*(1+Inputs!$B$11)^(CT$2-1),0)</f>
        <v>0</v>
      </c>
      <c r="CU14" s="11" t="n">
        <f aca="false">IF(AND(CU$1&gt;=Units!$Q13,MOD(CU$1-Units!$Q13,12)=0),IF(AND(Units!$L13=1,CU$1=Units!$Q13),1,Inputs!$B$15)*Inputs!$B$16*(1+Inputs!$B$11)^(CU$2-1),0)</f>
        <v>0</v>
      </c>
      <c r="CV14" s="11" t="n">
        <f aca="false">IF(AND(CV$1&gt;=Units!$Q13,MOD(CV$1-Units!$Q13,12)=0),IF(AND(Units!$L13=1,CV$1=Units!$Q13),1,Inputs!$B$15)*Inputs!$B$16*(1+Inputs!$B$11)^(CV$2-1),0)</f>
        <v>0</v>
      </c>
      <c r="CW14" s="11" t="n">
        <f aca="false">IF(AND(CW$1&gt;=Units!$Q13,MOD(CW$1-Units!$Q13,12)=0),IF(AND(Units!$L13=1,CW$1=Units!$Q13),1,Inputs!$B$15)*Inputs!$B$16*(1+Inputs!$B$11)^(CW$2-1),0)</f>
        <v>0</v>
      </c>
      <c r="CX14" s="11" t="n">
        <f aca="false">IF(AND(CX$1&gt;=Units!$Q13,MOD(CX$1-Units!$Q13,12)=0),IF(AND(Units!$L13=1,CX$1=Units!$Q13),1,Inputs!$B$15)*Inputs!$B$16*(1+Inputs!$B$11)^(CX$2-1),0)</f>
        <v>633.385040693808</v>
      </c>
      <c r="CY14" s="11" t="n">
        <f aca="false">IF(AND(CY$1&gt;=Units!$Q13,MOD(CY$1-Units!$Q13,12)=0),IF(AND(Units!$L13=1,CY$1=Units!$Q13),1,Inputs!$B$15)*Inputs!$B$16*(1+Inputs!$B$11)^(CY$2-1),0)</f>
        <v>0</v>
      </c>
      <c r="CZ14" s="11" t="n">
        <f aca="false">IF(AND(CZ$1&gt;=Units!$Q13,MOD(CZ$1-Units!$Q13,12)=0),IF(AND(Units!$L13=1,CZ$1=Units!$Q13),1,Inputs!$B$15)*Inputs!$B$16*(1+Inputs!$B$11)^(CZ$2-1),0)</f>
        <v>0</v>
      </c>
      <c r="DA14" s="11" t="n">
        <f aca="false">IF(AND(DA$1&gt;=Units!$Q13,MOD(DA$1-Units!$Q13,12)=0),IF(AND(Units!$L13=1,DA$1=Units!$Q13),1,Inputs!$B$15)*Inputs!$B$16*(1+Inputs!$B$11)^(DA$2-1),0)</f>
        <v>0</v>
      </c>
      <c r="DB14" s="11" t="n">
        <f aca="false">IF(AND(DB$1&gt;=Units!$Q13,MOD(DB$1-Units!$Q13,12)=0),IF(AND(Units!$L13=1,DB$1=Units!$Q13),1,Inputs!$B$15)*Inputs!$B$16*(1+Inputs!$B$11)^(DB$2-1),0)</f>
        <v>0</v>
      </c>
      <c r="DC14" s="11" t="n">
        <f aca="false">IF(AND(DC$1&gt;=Units!$Q13,MOD(DC$1-Units!$Q13,12)=0),IF(AND(Units!$L13=1,DC$1=Units!$Q13),1,Inputs!$B$15)*Inputs!$B$16*(1+Inputs!$B$11)^(DC$2-1),0)</f>
        <v>0</v>
      </c>
      <c r="DD14" s="11" t="n">
        <f aca="false">IF(AND(DD$1&gt;=Units!$Q13,MOD(DD$1-Units!$Q13,12)=0),IF(AND(Units!$L13=1,DD$1=Units!$Q13),1,Inputs!$B$15)*Inputs!$B$16*(1+Inputs!$B$11)^(DD$2-1),0)</f>
        <v>0</v>
      </c>
      <c r="DE14" s="11" t="n">
        <f aca="false">IF(AND(DE$1&gt;=Units!$Q13,MOD(DE$1-Units!$Q13,12)=0),IF(AND(Units!$L13=1,DE$1=Units!$Q13),1,Inputs!$B$15)*Inputs!$B$16*(1+Inputs!$B$11)^(DE$2-1),0)</f>
        <v>0</v>
      </c>
      <c r="DF14" s="11" t="n">
        <f aca="false">IF(AND(DF$1&gt;=Units!$Q13,MOD(DF$1-Units!$Q13,12)=0),IF(AND(Units!$L13=1,DF$1=Units!$Q13),1,Inputs!$B$15)*Inputs!$B$16*(1+Inputs!$B$11)^(DF$2-1),0)</f>
        <v>0</v>
      </c>
      <c r="DG14" s="11" t="n">
        <f aca="false">IF(AND(DG$1&gt;=Units!$Q13,MOD(DG$1-Units!$Q13,12)=0),IF(AND(Units!$L13=1,DG$1=Units!$Q13),1,Inputs!$B$15)*Inputs!$B$16*(1+Inputs!$B$11)^(DG$2-1),0)</f>
        <v>0</v>
      </c>
      <c r="DH14" s="11" t="n">
        <f aca="false">IF(AND(DH$1&gt;=Units!$Q13,MOD(DH$1-Units!$Q13,12)=0),IF(AND(Units!$L13=1,DH$1=Units!$Q13),1,Inputs!$B$15)*Inputs!$B$16*(1+Inputs!$B$11)^(DH$2-1),0)</f>
        <v>0</v>
      </c>
      <c r="DI14" s="11" t="n">
        <f aca="false">IF(AND(DI$1&gt;=Units!$Q13,MOD(DI$1-Units!$Q13,12)=0),IF(AND(Units!$L13=1,DI$1=Units!$Q13),1,Inputs!$B$15)*Inputs!$B$16*(1+Inputs!$B$11)^(DI$2-1),0)</f>
        <v>0</v>
      </c>
      <c r="DJ14" s="11" t="n">
        <f aca="false">IF(AND(DJ$1&gt;=Units!$Q13,MOD(DJ$1-Units!$Q13,12)=0),IF(AND(Units!$L13=1,DJ$1=Units!$Q13),1,Inputs!$B$15)*Inputs!$B$16*(1+Inputs!$B$11)^(DJ$2-1),0)</f>
        <v>652.386591914623</v>
      </c>
      <c r="DK14" s="11" t="n">
        <f aca="false">IF(AND(DK$1&gt;=Units!$Q13,MOD(DK$1-Units!$Q13,12)=0),IF(AND(Units!$L13=1,DK$1=Units!$Q13),1,Inputs!$B$15)*Inputs!$B$16*(1+Inputs!$B$11)^(DK$2-1),0)</f>
        <v>0</v>
      </c>
      <c r="DL14" s="11" t="n">
        <f aca="false">IF(AND(DL$1&gt;=Units!$Q13,MOD(DL$1-Units!$Q13,12)=0),IF(AND(Units!$L13=1,DL$1=Units!$Q13),1,Inputs!$B$15)*Inputs!$B$16*(1+Inputs!$B$11)^(DL$2-1),0)</f>
        <v>0</v>
      </c>
      <c r="DM14" s="11" t="n">
        <f aca="false">IF(AND(DM$1&gt;=Units!$Q13,MOD(DM$1-Units!$Q13,12)=0),IF(AND(Units!$L13=1,DM$1=Units!$Q13),1,Inputs!$B$15)*Inputs!$B$16*(1+Inputs!$B$11)^(DM$2-1),0)</f>
        <v>0</v>
      </c>
      <c r="DN14" s="11" t="n">
        <f aca="false">IF(AND(DN$1&gt;=Units!$Q13,MOD(DN$1-Units!$Q13,12)=0),IF(AND(Units!$L13=1,DN$1=Units!$Q13),1,Inputs!$B$15)*Inputs!$B$16*(1+Inputs!$B$11)^(DN$2-1),0)</f>
        <v>0</v>
      </c>
      <c r="DO14" s="11" t="n">
        <f aca="false">IF(AND(DO$1&gt;=Units!$Q13,MOD(DO$1-Units!$Q13,12)=0),IF(AND(Units!$L13=1,DO$1=Units!$Q13),1,Inputs!$B$15)*Inputs!$B$16*(1+Inputs!$B$11)^(DO$2-1),0)</f>
        <v>0</v>
      </c>
      <c r="DP14" s="11" t="n">
        <f aca="false">IF(AND(DP$1&gt;=Units!$Q13,MOD(DP$1-Units!$Q13,12)=0),IF(AND(Units!$L13=1,DP$1=Units!$Q13),1,Inputs!$B$15)*Inputs!$B$16*(1+Inputs!$B$11)^(DP$2-1),0)</f>
        <v>0</v>
      </c>
      <c r="DQ14" s="11" t="n">
        <f aca="false">IF(AND(DQ$1&gt;=Units!$Q13,MOD(DQ$1-Units!$Q13,12)=0),IF(AND(Units!$L13=1,DQ$1=Units!$Q13),1,Inputs!$B$15)*Inputs!$B$16*(1+Inputs!$B$11)^(DQ$2-1),0)</f>
        <v>0</v>
      </c>
      <c r="DR14" s="11" t="n">
        <f aca="false">IF(AND(DR$1&gt;=Units!$Q13,MOD(DR$1-Units!$Q13,12)=0),IF(AND(Units!$L13=1,DR$1=Units!$Q13),1,Inputs!$B$15)*Inputs!$B$16*(1+Inputs!$B$11)^(DR$2-1),0)</f>
        <v>0</v>
      </c>
      <c r="DS14" s="11" t="n">
        <f aca="false">IF(AND(DS$1&gt;=Units!$Q13,MOD(DS$1-Units!$Q13,12)=0),IF(AND(Units!$L13=1,DS$1=Units!$Q13),1,Inputs!$B$15)*Inputs!$B$16*(1+Inputs!$B$11)^(DS$2-1),0)</f>
        <v>0</v>
      </c>
      <c r="DT14" s="11" t="n">
        <f aca="false">IF(AND(DT$1&gt;=Units!$Q13,MOD(DT$1-Units!$Q13,12)=0),IF(AND(Units!$L13=1,DT$1=Units!$Q13),1,Inputs!$B$15)*Inputs!$B$16*(1+Inputs!$B$11)^(DT$2-1),0)</f>
        <v>0</v>
      </c>
      <c r="DU14" s="11" t="n">
        <f aca="false">IF(AND(DU$1&gt;=Units!$Q13,MOD(DU$1-Units!$Q13,12)=0),IF(AND(Units!$L13=1,DU$1=Units!$Q13),1,Inputs!$B$15)*Inputs!$B$16*(1+Inputs!$B$11)^(DU$2-1),0)</f>
        <v>0</v>
      </c>
      <c r="DV14" s="11" t="n">
        <f aca="false">IF(AND(DV$1&gt;=Units!$Q13,MOD(DV$1-Units!$Q13,12)=0),IF(AND(Units!$L13=1,DV$1=Units!$Q13),1,Inputs!$B$15)*Inputs!$B$16*(1+Inputs!$B$11)^(DV$2-1),0)</f>
        <v>671.958189672061</v>
      </c>
      <c r="DW14" s="11" t="n">
        <f aca="false">IF(AND(DW$1&gt;=Units!$Q13,MOD(DW$1-Units!$Q13,12)=0),IF(AND(Units!$L13=1,DW$1=Units!$Q13),1,Inputs!$B$15)*Inputs!$B$16*(1+Inputs!$B$11)^(DW$2-1),0)</f>
        <v>0</v>
      </c>
      <c r="DX14" s="11" t="n">
        <f aca="false">IF(AND(DX$1&gt;=Units!$Q13,MOD(DX$1-Units!$Q13,12)=0),IF(AND(Units!$L13=1,DX$1=Units!$Q13),1,Inputs!$B$15)*Inputs!$B$16*(1+Inputs!$B$11)^(DX$2-1),0)</f>
        <v>0</v>
      </c>
      <c r="DY14" s="11" t="n">
        <f aca="false">IF(AND(DY$1&gt;=Units!$Q13,MOD(DY$1-Units!$Q13,12)=0),IF(AND(Units!$L13=1,DY$1=Units!$Q13),1,Inputs!$B$15)*Inputs!$B$16*(1+Inputs!$B$11)^(DY$2-1),0)</f>
        <v>0</v>
      </c>
      <c r="DZ14" s="11" t="n">
        <f aca="false">IF(AND(DZ$1&gt;=Units!$Q13,MOD(DZ$1-Units!$Q13,12)=0),IF(AND(Units!$L13=1,DZ$1=Units!$Q13),1,Inputs!$B$15)*Inputs!$B$16*(1+Inputs!$B$11)^(DZ$2-1),0)</f>
        <v>0</v>
      </c>
      <c r="EA14" s="11" t="n">
        <f aca="false">IF(AND(EA$1&gt;=Units!$Q13,MOD(EA$1-Units!$Q13,12)=0),IF(AND(Units!$L13=1,EA$1=Units!$Q13),1,Inputs!$B$15)*Inputs!$B$16*(1+Inputs!$B$11)^(EA$2-1),0)</f>
        <v>0</v>
      </c>
      <c r="EB14" s="11" t="n">
        <f aca="false">IF(AND(EB$1&gt;=Units!$Q13,MOD(EB$1-Units!$Q13,12)=0),IF(AND(Units!$L13=1,EB$1=Units!$Q13),1,Inputs!$B$15)*Inputs!$B$16*(1+Inputs!$B$11)^(EB$2-1),0)</f>
        <v>0</v>
      </c>
      <c r="EC14" s="11" t="n">
        <f aca="false">IF(AND(EC$1&gt;=Units!$Q13,MOD(EC$1-Units!$Q13,12)=0),IF(AND(Units!$L13=1,EC$1=Units!$Q13),1,Inputs!$B$15)*Inputs!$B$16*(1+Inputs!$B$11)^(EC$2-1),0)</f>
        <v>0</v>
      </c>
      <c r="ED14" s="11" t="n">
        <f aca="false">IF(AND(ED$1&gt;=Units!$Q13,MOD(ED$1-Units!$Q13,12)=0),IF(AND(Units!$L13=1,ED$1=Units!$Q13),1,Inputs!$B$15)*Inputs!$B$16*(1+Inputs!$B$11)^(ED$2-1),0)</f>
        <v>0</v>
      </c>
    </row>
    <row r="15" customFormat="false" ht="15" hidden="false" customHeight="false" outlineLevel="0" collapsed="false">
      <c r="A15" s="22" t="n">
        <f aca="false">Units!A14</f>
        <v>113</v>
      </c>
      <c r="B15" s="23"/>
      <c r="C15" s="11" t="n">
        <f aca="false">IF(AND(C$1&gt;=Units!$Q14,MOD(C$1-Units!$Q14,12)=0),IF(AND(Units!$L14=1,C$1=Units!$Q14),1,Inputs!$B$15)*Inputs!$B$16*(1+Inputs!$B$11)^(C$2-1),0)</f>
        <v>0</v>
      </c>
      <c r="D15" s="11" t="n">
        <f aca="false">IF(AND(D$1&gt;=Units!$Q14,MOD(D$1-Units!$Q14,12)=0),IF(AND(Units!$L14=1,D$1=Units!$Q14),1,Inputs!$B$15)*Inputs!$B$16*(1+Inputs!$B$11)^(D$2-1),0)</f>
        <v>0</v>
      </c>
      <c r="E15" s="11" t="n">
        <f aca="false">IF(AND(E$1&gt;=Units!$Q14,MOD(E$1-Units!$Q14,12)=0),IF(AND(Units!$L14=1,E$1=Units!$Q14),1,Inputs!$B$15)*Inputs!$B$16*(1+Inputs!$B$11)^(E$2-1),0)</f>
        <v>0</v>
      </c>
      <c r="F15" s="11" t="n">
        <f aca="false">IF(AND(F$1&gt;=Units!$Q14,MOD(F$1-Units!$Q14,12)=0),IF(AND(Units!$L14=1,F$1=Units!$Q14),1,Inputs!$B$15)*Inputs!$B$16*(1+Inputs!$B$11)^(F$2-1),0)</f>
        <v>0</v>
      </c>
      <c r="G15" s="11" t="n">
        <f aca="false">IF(AND(G$1&gt;=Units!$Q14,MOD(G$1-Units!$Q14,12)=0),IF(AND(Units!$L14=1,G$1=Units!$Q14),1,Inputs!$B$15)*Inputs!$B$16*(1+Inputs!$B$11)^(G$2-1),0)</f>
        <v>0</v>
      </c>
      <c r="H15" s="11" t="n">
        <f aca="false">IF(AND(H$1&gt;=Units!$Q14,MOD(H$1-Units!$Q14,12)=0),IF(AND(Units!$L14=1,H$1=Units!$Q14),1,Inputs!$B$15)*Inputs!$B$16*(1+Inputs!$B$11)^(H$2-1),0)</f>
        <v>0</v>
      </c>
      <c r="I15" s="11" t="n">
        <f aca="false">IF(AND(I$1&gt;=Units!$Q14,MOD(I$1-Units!$Q14,12)=0),IF(AND(Units!$L14=1,I$1=Units!$Q14),1,Inputs!$B$15)*Inputs!$B$16*(1+Inputs!$B$11)^(I$2-1),0)</f>
        <v>0</v>
      </c>
      <c r="J15" s="11" t="n">
        <f aca="false">IF(AND(J$1&gt;=Units!$Q14,MOD(J$1-Units!$Q14,12)=0),IF(AND(Units!$L14=1,J$1=Units!$Q14),1,Inputs!$B$15)*Inputs!$B$16*(1+Inputs!$B$11)^(J$2-1),0)</f>
        <v>0</v>
      </c>
      <c r="K15" s="11" t="n">
        <f aca="false">IF(AND(K$1&gt;=Units!$Q14,MOD(K$1-Units!$Q14,12)=0),IF(AND(Units!$L14=1,K$1=Units!$Q14),1,Inputs!$B$15)*Inputs!$B$16*(1+Inputs!$B$11)^(K$2-1),0)</f>
        <v>500</v>
      </c>
      <c r="L15" s="11" t="n">
        <f aca="false">IF(AND(L$1&gt;=Units!$Q14,MOD(L$1-Units!$Q14,12)=0),IF(AND(Units!$L14=1,L$1=Units!$Q14),1,Inputs!$B$15)*Inputs!$B$16*(1+Inputs!$B$11)^(L$2-1),0)</f>
        <v>0</v>
      </c>
      <c r="M15" s="11" t="n">
        <f aca="false">IF(AND(M$1&gt;=Units!$Q14,MOD(M$1-Units!$Q14,12)=0),IF(AND(Units!$L14=1,M$1=Units!$Q14),1,Inputs!$B$15)*Inputs!$B$16*(1+Inputs!$B$11)^(M$2-1),0)</f>
        <v>0</v>
      </c>
      <c r="N15" s="11" t="n">
        <f aca="false">IF(AND(N$1&gt;=Units!$Q14,MOD(N$1-Units!$Q14,12)=0),IF(AND(Units!$L14=1,N$1=Units!$Q14),1,Inputs!$B$15)*Inputs!$B$16*(1+Inputs!$B$11)^(N$2-1),0)</f>
        <v>0</v>
      </c>
      <c r="O15" s="11" t="n">
        <f aca="false">IF(AND(O$1&gt;=Units!$Q14,MOD(O$1-Units!$Q14,12)=0),IF(AND(Units!$L14=1,O$1=Units!$Q14),1,Inputs!$B$15)*Inputs!$B$16*(1+Inputs!$B$11)^(O$2-1),0)</f>
        <v>0</v>
      </c>
      <c r="P15" s="11" t="n">
        <f aca="false">IF(AND(P$1&gt;=Units!$Q14,MOD(P$1-Units!$Q14,12)=0),IF(AND(Units!$L14=1,P$1=Units!$Q14),1,Inputs!$B$15)*Inputs!$B$16*(1+Inputs!$B$11)^(P$2-1),0)</f>
        <v>0</v>
      </c>
      <c r="Q15" s="11" t="n">
        <f aca="false">IF(AND(Q$1&gt;=Units!$Q14,MOD(Q$1-Units!$Q14,12)=0),IF(AND(Units!$L14=1,Q$1=Units!$Q14),1,Inputs!$B$15)*Inputs!$B$16*(1+Inputs!$B$11)^(Q$2-1),0)</f>
        <v>0</v>
      </c>
      <c r="R15" s="11" t="n">
        <f aca="false">IF(AND(R$1&gt;=Units!$Q14,MOD(R$1-Units!$Q14,12)=0),IF(AND(Units!$L14=1,R$1=Units!$Q14),1,Inputs!$B$15)*Inputs!$B$16*(1+Inputs!$B$11)^(R$2-1),0)</f>
        <v>0</v>
      </c>
      <c r="S15" s="11" t="n">
        <f aca="false">IF(AND(S$1&gt;=Units!$Q14,MOD(S$1-Units!$Q14,12)=0),IF(AND(Units!$L14=1,S$1=Units!$Q14),1,Inputs!$B$15)*Inputs!$B$16*(1+Inputs!$B$11)^(S$2-1),0)</f>
        <v>0</v>
      </c>
      <c r="T15" s="11" t="n">
        <f aca="false">IF(AND(T$1&gt;=Units!$Q14,MOD(T$1-Units!$Q14,12)=0),IF(AND(Units!$L14=1,T$1=Units!$Q14),1,Inputs!$B$15)*Inputs!$B$16*(1+Inputs!$B$11)^(T$2-1),0)</f>
        <v>0</v>
      </c>
      <c r="U15" s="11" t="n">
        <f aca="false">IF(AND(U$1&gt;=Units!$Q14,MOD(U$1-Units!$Q14,12)=0),IF(AND(Units!$L14=1,U$1=Units!$Q14),1,Inputs!$B$15)*Inputs!$B$16*(1+Inputs!$B$11)^(U$2-1),0)</f>
        <v>0</v>
      </c>
      <c r="V15" s="11" t="n">
        <f aca="false">IF(AND(V$1&gt;=Units!$Q14,MOD(V$1-Units!$Q14,12)=0),IF(AND(Units!$L14=1,V$1=Units!$Q14),1,Inputs!$B$15)*Inputs!$B$16*(1+Inputs!$B$11)^(V$2-1),0)</f>
        <v>0</v>
      </c>
      <c r="W15" s="11" t="n">
        <f aca="false">IF(AND(W$1&gt;=Units!$Q14,MOD(W$1-Units!$Q14,12)=0),IF(AND(Units!$L14=1,W$1=Units!$Q14),1,Inputs!$B$15)*Inputs!$B$16*(1+Inputs!$B$11)^(W$2-1),0)</f>
        <v>515</v>
      </c>
      <c r="X15" s="11" t="n">
        <f aca="false">IF(AND(X$1&gt;=Units!$Q14,MOD(X$1-Units!$Q14,12)=0),IF(AND(Units!$L14=1,X$1=Units!$Q14),1,Inputs!$B$15)*Inputs!$B$16*(1+Inputs!$B$11)^(X$2-1),0)</f>
        <v>0</v>
      </c>
      <c r="Y15" s="11" t="n">
        <f aca="false">IF(AND(Y$1&gt;=Units!$Q14,MOD(Y$1-Units!$Q14,12)=0),IF(AND(Units!$L14=1,Y$1=Units!$Q14),1,Inputs!$B$15)*Inputs!$B$16*(1+Inputs!$B$11)^(Y$2-1),0)</f>
        <v>0</v>
      </c>
      <c r="Z15" s="11" t="n">
        <f aca="false">IF(AND(Z$1&gt;=Units!$Q14,MOD(Z$1-Units!$Q14,12)=0),IF(AND(Units!$L14=1,Z$1=Units!$Q14),1,Inputs!$B$15)*Inputs!$B$16*(1+Inputs!$B$11)^(Z$2-1),0)</f>
        <v>0</v>
      </c>
      <c r="AA15" s="11" t="n">
        <f aca="false">IF(AND(AA$1&gt;=Units!$Q14,MOD(AA$1-Units!$Q14,12)=0),IF(AND(Units!$L14=1,AA$1=Units!$Q14),1,Inputs!$B$15)*Inputs!$B$16*(1+Inputs!$B$11)^(AA$2-1),0)</f>
        <v>0</v>
      </c>
      <c r="AB15" s="11" t="n">
        <f aca="false">IF(AND(AB$1&gt;=Units!$Q14,MOD(AB$1-Units!$Q14,12)=0),IF(AND(Units!$L14=1,AB$1=Units!$Q14),1,Inputs!$B$15)*Inputs!$B$16*(1+Inputs!$B$11)^(AB$2-1),0)</f>
        <v>0</v>
      </c>
      <c r="AC15" s="11" t="n">
        <f aca="false">IF(AND(AC$1&gt;=Units!$Q14,MOD(AC$1-Units!$Q14,12)=0),IF(AND(Units!$L14=1,AC$1=Units!$Q14),1,Inputs!$B$15)*Inputs!$B$16*(1+Inputs!$B$11)^(AC$2-1),0)</f>
        <v>0</v>
      </c>
      <c r="AD15" s="11" t="n">
        <f aca="false">IF(AND(AD$1&gt;=Units!$Q14,MOD(AD$1-Units!$Q14,12)=0),IF(AND(Units!$L14=1,AD$1=Units!$Q14),1,Inputs!$B$15)*Inputs!$B$16*(1+Inputs!$B$11)^(AD$2-1),0)</f>
        <v>0</v>
      </c>
      <c r="AE15" s="11" t="n">
        <f aca="false">IF(AND(AE$1&gt;=Units!$Q14,MOD(AE$1-Units!$Q14,12)=0),IF(AND(Units!$L14=1,AE$1=Units!$Q14),1,Inputs!$B$15)*Inputs!$B$16*(1+Inputs!$B$11)^(AE$2-1),0)</f>
        <v>0</v>
      </c>
      <c r="AF15" s="11" t="n">
        <f aca="false">IF(AND(AF$1&gt;=Units!$Q14,MOD(AF$1-Units!$Q14,12)=0),IF(AND(Units!$L14=1,AF$1=Units!$Q14),1,Inputs!$B$15)*Inputs!$B$16*(1+Inputs!$B$11)^(AF$2-1),0)</f>
        <v>0</v>
      </c>
      <c r="AG15" s="11" t="n">
        <f aca="false">IF(AND(AG$1&gt;=Units!$Q14,MOD(AG$1-Units!$Q14,12)=0),IF(AND(Units!$L14=1,AG$1=Units!$Q14),1,Inputs!$B$15)*Inputs!$B$16*(1+Inputs!$B$11)^(AG$2-1),0)</f>
        <v>0</v>
      </c>
      <c r="AH15" s="11" t="n">
        <f aca="false">IF(AND(AH$1&gt;=Units!$Q14,MOD(AH$1-Units!$Q14,12)=0),IF(AND(Units!$L14=1,AH$1=Units!$Q14),1,Inputs!$B$15)*Inputs!$B$16*(1+Inputs!$B$11)^(AH$2-1),0)</f>
        <v>0</v>
      </c>
      <c r="AI15" s="11" t="n">
        <f aca="false">IF(AND(AI$1&gt;=Units!$Q14,MOD(AI$1-Units!$Q14,12)=0),IF(AND(Units!$L14=1,AI$1=Units!$Q14),1,Inputs!$B$15)*Inputs!$B$16*(1+Inputs!$B$11)^(AI$2-1),0)</f>
        <v>530.45</v>
      </c>
      <c r="AJ15" s="11" t="n">
        <f aca="false">IF(AND(AJ$1&gt;=Units!$Q14,MOD(AJ$1-Units!$Q14,12)=0),IF(AND(Units!$L14=1,AJ$1=Units!$Q14),1,Inputs!$B$15)*Inputs!$B$16*(1+Inputs!$B$11)^(AJ$2-1),0)</f>
        <v>0</v>
      </c>
      <c r="AK15" s="11" t="n">
        <f aca="false">IF(AND(AK$1&gt;=Units!$Q14,MOD(AK$1-Units!$Q14,12)=0),IF(AND(Units!$L14=1,AK$1=Units!$Q14),1,Inputs!$B$15)*Inputs!$B$16*(1+Inputs!$B$11)^(AK$2-1),0)</f>
        <v>0</v>
      </c>
      <c r="AL15" s="11" t="n">
        <f aca="false">IF(AND(AL$1&gt;=Units!$Q14,MOD(AL$1-Units!$Q14,12)=0),IF(AND(Units!$L14=1,AL$1=Units!$Q14),1,Inputs!$B$15)*Inputs!$B$16*(1+Inputs!$B$11)^(AL$2-1),0)</f>
        <v>0</v>
      </c>
      <c r="AM15" s="11" t="n">
        <f aca="false">IF(AND(AM$1&gt;=Units!$Q14,MOD(AM$1-Units!$Q14,12)=0),IF(AND(Units!$L14=1,AM$1=Units!$Q14),1,Inputs!$B$15)*Inputs!$B$16*(1+Inputs!$B$11)^(AM$2-1),0)</f>
        <v>0</v>
      </c>
      <c r="AN15" s="11" t="n">
        <f aca="false">IF(AND(AN$1&gt;=Units!$Q14,MOD(AN$1-Units!$Q14,12)=0),IF(AND(Units!$L14=1,AN$1=Units!$Q14),1,Inputs!$B$15)*Inputs!$B$16*(1+Inputs!$B$11)^(AN$2-1),0)</f>
        <v>0</v>
      </c>
      <c r="AO15" s="11" t="n">
        <f aca="false">IF(AND(AO$1&gt;=Units!$Q14,MOD(AO$1-Units!$Q14,12)=0),IF(AND(Units!$L14=1,AO$1=Units!$Q14),1,Inputs!$B$15)*Inputs!$B$16*(1+Inputs!$B$11)^(AO$2-1),0)</f>
        <v>0</v>
      </c>
      <c r="AP15" s="11" t="n">
        <f aca="false">IF(AND(AP$1&gt;=Units!$Q14,MOD(AP$1-Units!$Q14,12)=0),IF(AND(Units!$L14=1,AP$1=Units!$Q14),1,Inputs!$B$15)*Inputs!$B$16*(1+Inputs!$B$11)^(AP$2-1),0)</f>
        <v>0</v>
      </c>
      <c r="AQ15" s="11" t="n">
        <f aca="false">IF(AND(AQ$1&gt;=Units!$Q14,MOD(AQ$1-Units!$Q14,12)=0),IF(AND(Units!$L14=1,AQ$1=Units!$Q14),1,Inputs!$B$15)*Inputs!$B$16*(1+Inputs!$B$11)^(AQ$2-1),0)</f>
        <v>0</v>
      </c>
      <c r="AR15" s="11" t="n">
        <f aca="false">IF(AND(AR$1&gt;=Units!$Q14,MOD(AR$1-Units!$Q14,12)=0),IF(AND(Units!$L14=1,AR$1=Units!$Q14),1,Inputs!$B$15)*Inputs!$B$16*(1+Inputs!$B$11)^(AR$2-1),0)</f>
        <v>0</v>
      </c>
      <c r="AS15" s="11" t="n">
        <f aca="false">IF(AND(AS$1&gt;=Units!$Q14,MOD(AS$1-Units!$Q14,12)=0),IF(AND(Units!$L14=1,AS$1=Units!$Q14),1,Inputs!$B$15)*Inputs!$B$16*(1+Inputs!$B$11)^(AS$2-1),0)</f>
        <v>0</v>
      </c>
      <c r="AT15" s="11" t="n">
        <f aca="false">IF(AND(AT$1&gt;=Units!$Q14,MOD(AT$1-Units!$Q14,12)=0),IF(AND(Units!$L14=1,AT$1=Units!$Q14),1,Inputs!$B$15)*Inputs!$B$16*(1+Inputs!$B$11)^(AT$2-1),0)</f>
        <v>0</v>
      </c>
      <c r="AU15" s="11" t="n">
        <f aca="false">IF(AND(AU$1&gt;=Units!$Q14,MOD(AU$1-Units!$Q14,12)=0),IF(AND(Units!$L14=1,AU$1=Units!$Q14),1,Inputs!$B$15)*Inputs!$B$16*(1+Inputs!$B$11)^(AU$2-1),0)</f>
        <v>546.3635</v>
      </c>
      <c r="AV15" s="11" t="n">
        <f aca="false">IF(AND(AV$1&gt;=Units!$Q14,MOD(AV$1-Units!$Q14,12)=0),IF(AND(Units!$L14=1,AV$1=Units!$Q14),1,Inputs!$B$15)*Inputs!$B$16*(1+Inputs!$B$11)^(AV$2-1),0)</f>
        <v>0</v>
      </c>
      <c r="AW15" s="11" t="n">
        <f aca="false">IF(AND(AW$1&gt;=Units!$Q14,MOD(AW$1-Units!$Q14,12)=0),IF(AND(Units!$L14=1,AW$1=Units!$Q14),1,Inputs!$B$15)*Inputs!$B$16*(1+Inputs!$B$11)^(AW$2-1),0)</f>
        <v>0</v>
      </c>
      <c r="AX15" s="11" t="n">
        <f aca="false">IF(AND(AX$1&gt;=Units!$Q14,MOD(AX$1-Units!$Q14,12)=0),IF(AND(Units!$L14=1,AX$1=Units!$Q14),1,Inputs!$B$15)*Inputs!$B$16*(1+Inputs!$B$11)^(AX$2-1),0)</f>
        <v>0</v>
      </c>
      <c r="AY15" s="11" t="n">
        <f aca="false">IF(AND(AY$1&gt;=Units!$Q14,MOD(AY$1-Units!$Q14,12)=0),IF(AND(Units!$L14=1,AY$1=Units!$Q14),1,Inputs!$B$15)*Inputs!$B$16*(1+Inputs!$B$11)^(AY$2-1),0)</f>
        <v>0</v>
      </c>
      <c r="AZ15" s="11" t="n">
        <f aca="false">IF(AND(AZ$1&gt;=Units!$Q14,MOD(AZ$1-Units!$Q14,12)=0),IF(AND(Units!$L14=1,AZ$1=Units!$Q14),1,Inputs!$B$15)*Inputs!$B$16*(1+Inputs!$B$11)^(AZ$2-1),0)</f>
        <v>0</v>
      </c>
      <c r="BA15" s="11" t="n">
        <f aca="false">IF(AND(BA$1&gt;=Units!$Q14,MOD(BA$1-Units!$Q14,12)=0),IF(AND(Units!$L14=1,BA$1=Units!$Q14),1,Inputs!$B$15)*Inputs!$B$16*(1+Inputs!$B$11)^(BA$2-1),0)</f>
        <v>0</v>
      </c>
      <c r="BB15" s="11" t="n">
        <f aca="false">IF(AND(BB$1&gt;=Units!$Q14,MOD(BB$1-Units!$Q14,12)=0),IF(AND(Units!$L14=1,BB$1=Units!$Q14),1,Inputs!$B$15)*Inputs!$B$16*(1+Inputs!$B$11)^(BB$2-1),0)</f>
        <v>0</v>
      </c>
      <c r="BC15" s="11" t="n">
        <f aca="false">IF(AND(BC$1&gt;=Units!$Q14,MOD(BC$1-Units!$Q14,12)=0),IF(AND(Units!$L14=1,BC$1=Units!$Q14),1,Inputs!$B$15)*Inputs!$B$16*(1+Inputs!$B$11)^(BC$2-1),0)</f>
        <v>0</v>
      </c>
      <c r="BD15" s="11" t="n">
        <f aca="false">IF(AND(BD$1&gt;=Units!$Q14,MOD(BD$1-Units!$Q14,12)=0),IF(AND(Units!$L14=1,BD$1=Units!$Q14),1,Inputs!$B$15)*Inputs!$B$16*(1+Inputs!$B$11)^(BD$2-1),0)</f>
        <v>0</v>
      </c>
      <c r="BE15" s="11" t="n">
        <f aca="false">IF(AND(BE$1&gt;=Units!$Q14,MOD(BE$1-Units!$Q14,12)=0),IF(AND(Units!$L14=1,BE$1=Units!$Q14),1,Inputs!$B$15)*Inputs!$B$16*(1+Inputs!$B$11)^(BE$2-1),0)</f>
        <v>0</v>
      </c>
      <c r="BF15" s="11" t="n">
        <f aca="false">IF(AND(BF$1&gt;=Units!$Q14,MOD(BF$1-Units!$Q14,12)=0),IF(AND(Units!$L14=1,BF$1=Units!$Q14),1,Inputs!$B$15)*Inputs!$B$16*(1+Inputs!$B$11)^(BF$2-1),0)</f>
        <v>0</v>
      </c>
      <c r="BG15" s="11" t="n">
        <f aca="false">IF(AND(BG$1&gt;=Units!$Q14,MOD(BG$1-Units!$Q14,12)=0),IF(AND(Units!$L14=1,BG$1=Units!$Q14),1,Inputs!$B$15)*Inputs!$B$16*(1+Inputs!$B$11)^(BG$2-1),0)</f>
        <v>562.754405</v>
      </c>
      <c r="BH15" s="11" t="n">
        <f aca="false">IF(AND(BH$1&gt;=Units!$Q14,MOD(BH$1-Units!$Q14,12)=0),IF(AND(Units!$L14=1,BH$1=Units!$Q14),1,Inputs!$B$15)*Inputs!$B$16*(1+Inputs!$B$11)^(BH$2-1),0)</f>
        <v>0</v>
      </c>
      <c r="BI15" s="11" t="n">
        <f aca="false">IF(AND(BI$1&gt;=Units!$Q14,MOD(BI$1-Units!$Q14,12)=0),IF(AND(Units!$L14=1,BI$1=Units!$Q14),1,Inputs!$B$15)*Inputs!$B$16*(1+Inputs!$B$11)^(BI$2-1),0)</f>
        <v>0</v>
      </c>
      <c r="BJ15" s="11" t="n">
        <f aca="false">IF(AND(BJ$1&gt;=Units!$Q14,MOD(BJ$1-Units!$Q14,12)=0),IF(AND(Units!$L14=1,BJ$1=Units!$Q14),1,Inputs!$B$15)*Inputs!$B$16*(1+Inputs!$B$11)^(BJ$2-1),0)</f>
        <v>0</v>
      </c>
      <c r="BK15" s="11" t="n">
        <f aca="false">IF(AND(BK$1&gt;=Units!$Q14,MOD(BK$1-Units!$Q14,12)=0),IF(AND(Units!$L14=1,BK$1=Units!$Q14),1,Inputs!$B$15)*Inputs!$B$16*(1+Inputs!$B$11)^(BK$2-1),0)</f>
        <v>0</v>
      </c>
      <c r="BL15" s="11" t="n">
        <f aca="false">IF(AND(BL$1&gt;=Units!$Q14,MOD(BL$1-Units!$Q14,12)=0),IF(AND(Units!$L14=1,BL$1=Units!$Q14),1,Inputs!$B$15)*Inputs!$B$16*(1+Inputs!$B$11)^(BL$2-1),0)</f>
        <v>0</v>
      </c>
      <c r="BM15" s="11" t="n">
        <f aca="false">IF(AND(BM$1&gt;=Units!$Q14,MOD(BM$1-Units!$Q14,12)=0),IF(AND(Units!$L14=1,BM$1=Units!$Q14),1,Inputs!$B$15)*Inputs!$B$16*(1+Inputs!$B$11)^(BM$2-1),0)</f>
        <v>0</v>
      </c>
      <c r="BN15" s="11" t="n">
        <f aca="false">IF(AND(BN$1&gt;=Units!$Q14,MOD(BN$1-Units!$Q14,12)=0),IF(AND(Units!$L14=1,BN$1=Units!$Q14),1,Inputs!$B$15)*Inputs!$B$16*(1+Inputs!$B$11)^(BN$2-1),0)</f>
        <v>0</v>
      </c>
      <c r="BO15" s="11" t="n">
        <f aca="false">IF(AND(BO$1&gt;=Units!$Q14,MOD(BO$1-Units!$Q14,12)=0),IF(AND(Units!$L14=1,BO$1=Units!$Q14),1,Inputs!$B$15)*Inputs!$B$16*(1+Inputs!$B$11)^(BO$2-1),0)</f>
        <v>0</v>
      </c>
      <c r="BP15" s="11" t="n">
        <f aca="false">IF(AND(BP$1&gt;=Units!$Q14,MOD(BP$1-Units!$Q14,12)=0),IF(AND(Units!$L14=1,BP$1=Units!$Q14),1,Inputs!$B$15)*Inputs!$B$16*(1+Inputs!$B$11)^(BP$2-1),0)</f>
        <v>0</v>
      </c>
      <c r="BQ15" s="11" t="n">
        <f aca="false">IF(AND(BQ$1&gt;=Units!$Q14,MOD(BQ$1-Units!$Q14,12)=0),IF(AND(Units!$L14=1,BQ$1=Units!$Q14),1,Inputs!$B$15)*Inputs!$B$16*(1+Inputs!$B$11)^(BQ$2-1),0)</f>
        <v>0</v>
      </c>
      <c r="BR15" s="11" t="n">
        <f aca="false">IF(AND(BR$1&gt;=Units!$Q14,MOD(BR$1-Units!$Q14,12)=0),IF(AND(Units!$L14=1,BR$1=Units!$Q14),1,Inputs!$B$15)*Inputs!$B$16*(1+Inputs!$B$11)^(BR$2-1),0)</f>
        <v>0</v>
      </c>
      <c r="BS15" s="11" t="n">
        <f aca="false">IF(AND(BS$1&gt;=Units!$Q14,MOD(BS$1-Units!$Q14,12)=0),IF(AND(Units!$L14=1,BS$1=Units!$Q14),1,Inputs!$B$15)*Inputs!$B$16*(1+Inputs!$B$11)^(BS$2-1),0)</f>
        <v>579.63703715</v>
      </c>
      <c r="BT15" s="11" t="n">
        <f aca="false">IF(AND(BT$1&gt;=Units!$Q14,MOD(BT$1-Units!$Q14,12)=0),IF(AND(Units!$L14=1,BT$1=Units!$Q14),1,Inputs!$B$15)*Inputs!$B$16*(1+Inputs!$B$11)^(BT$2-1),0)</f>
        <v>0</v>
      </c>
      <c r="BU15" s="11" t="n">
        <f aca="false">IF(AND(BU$1&gt;=Units!$Q14,MOD(BU$1-Units!$Q14,12)=0),IF(AND(Units!$L14=1,BU$1=Units!$Q14),1,Inputs!$B$15)*Inputs!$B$16*(1+Inputs!$B$11)^(BU$2-1),0)</f>
        <v>0</v>
      </c>
      <c r="BV15" s="11" t="n">
        <f aca="false">IF(AND(BV$1&gt;=Units!$Q14,MOD(BV$1-Units!$Q14,12)=0),IF(AND(Units!$L14=1,BV$1=Units!$Q14),1,Inputs!$B$15)*Inputs!$B$16*(1+Inputs!$B$11)^(BV$2-1),0)</f>
        <v>0</v>
      </c>
      <c r="BW15" s="11" t="n">
        <f aca="false">IF(AND(BW$1&gt;=Units!$Q14,MOD(BW$1-Units!$Q14,12)=0),IF(AND(Units!$L14=1,BW$1=Units!$Q14),1,Inputs!$B$15)*Inputs!$B$16*(1+Inputs!$B$11)^(BW$2-1),0)</f>
        <v>0</v>
      </c>
      <c r="BX15" s="11" t="n">
        <f aca="false">IF(AND(BX$1&gt;=Units!$Q14,MOD(BX$1-Units!$Q14,12)=0),IF(AND(Units!$L14=1,BX$1=Units!$Q14),1,Inputs!$B$15)*Inputs!$B$16*(1+Inputs!$B$11)^(BX$2-1),0)</f>
        <v>0</v>
      </c>
      <c r="BY15" s="11" t="n">
        <f aca="false">IF(AND(BY$1&gt;=Units!$Q14,MOD(BY$1-Units!$Q14,12)=0),IF(AND(Units!$L14=1,BY$1=Units!$Q14),1,Inputs!$B$15)*Inputs!$B$16*(1+Inputs!$B$11)^(BY$2-1),0)</f>
        <v>0</v>
      </c>
      <c r="BZ15" s="11" t="n">
        <f aca="false">IF(AND(BZ$1&gt;=Units!$Q14,MOD(BZ$1-Units!$Q14,12)=0),IF(AND(Units!$L14=1,BZ$1=Units!$Q14),1,Inputs!$B$15)*Inputs!$B$16*(1+Inputs!$B$11)^(BZ$2-1),0)</f>
        <v>0</v>
      </c>
      <c r="CA15" s="11" t="n">
        <f aca="false">IF(AND(CA$1&gt;=Units!$Q14,MOD(CA$1-Units!$Q14,12)=0),IF(AND(Units!$L14=1,CA$1=Units!$Q14),1,Inputs!$B$15)*Inputs!$B$16*(1+Inputs!$B$11)^(CA$2-1),0)</f>
        <v>0</v>
      </c>
      <c r="CB15" s="11" t="n">
        <f aca="false">IF(AND(CB$1&gt;=Units!$Q14,MOD(CB$1-Units!$Q14,12)=0),IF(AND(Units!$L14=1,CB$1=Units!$Q14),1,Inputs!$B$15)*Inputs!$B$16*(1+Inputs!$B$11)^(CB$2-1),0)</f>
        <v>0</v>
      </c>
      <c r="CC15" s="11" t="n">
        <f aca="false">IF(AND(CC$1&gt;=Units!$Q14,MOD(CC$1-Units!$Q14,12)=0),IF(AND(Units!$L14=1,CC$1=Units!$Q14),1,Inputs!$B$15)*Inputs!$B$16*(1+Inputs!$B$11)^(CC$2-1),0)</f>
        <v>0</v>
      </c>
      <c r="CD15" s="11" t="n">
        <f aca="false">IF(AND(CD$1&gt;=Units!$Q14,MOD(CD$1-Units!$Q14,12)=0),IF(AND(Units!$L14=1,CD$1=Units!$Q14),1,Inputs!$B$15)*Inputs!$B$16*(1+Inputs!$B$11)^(CD$2-1),0)</f>
        <v>0</v>
      </c>
      <c r="CE15" s="11" t="n">
        <f aca="false">IF(AND(CE$1&gt;=Units!$Q14,MOD(CE$1-Units!$Q14,12)=0),IF(AND(Units!$L14=1,CE$1=Units!$Q14),1,Inputs!$B$15)*Inputs!$B$16*(1+Inputs!$B$11)^(CE$2-1),0)</f>
        <v>597.0261482645</v>
      </c>
      <c r="CF15" s="11" t="n">
        <f aca="false">IF(AND(CF$1&gt;=Units!$Q14,MOD(CF$1-Units!$Q14,12)=0),IF(AND(Units!$L14=1,CF$1=Units!$Q14),1,Inputs!$B$15)*Inputs!$B$16*(1+Inputs!$B$11)^(CF$2-1),0)</f>
        <v>0</v>
      </c>
      <c r="CG15" s="11" t="n">
        <f aca="false">IF(AND(CG$1&gt;=Units!$Q14,MOD(CG$1-Units!$Q14,12)=0),IF(AND(Units!$L14=1,CG$1=Units!$Q14),1,Inputs!$B$15)*Inputs!$B$16*(1+Inputs!$B$11)^(CG$2-1),0)</f>
        <v>0</v>
      </c>
      <c r="CH15" s="11" t="n">
        <f aca="false">IF(AND(CH$1&gt;=Units!$Q14,MOD(CH$1-Units!$Q14,12)=0),IF(AND(Units!$L14=1,CH$1=Units!$Q14),1,Inputs!$B$15)*Inputs!$B$16*(1+Inputs!$B$11)^(CH$2-1),0)</f>
        <v>0</v>
      </c>
      <c r="CI15" s="11" t="n">
        <f aca="false">IF(AND(CI$1&gt;=Units!$Q14,MOD(CI$1-Units!$Q14,12)=0),IF(AND(Units!$L14=1,CI$1=Units!$Q14),1,Inputs!$B$15)*Inputs!$B$16*(1+Inputs!$B$11)^(CI$2-1),0)</f>
        <v>0</v>
      </c>
      <c r="CJ15" s="11" t="n">
        <f aca="false">IF(AND(CJ$1&gt;=Units!$Q14,MOD(CJ$1-Units!$Q14,12)=0),IF(AND(Units!$L14=1,CJ$1=Units!$Q14),1,Inputs!$B$15)*Inputs!$B$16*(1+Inputs!$B$11)^(CJ$2-1),0)</f>
        <v>0</v>
      </c>
      <c r="CK15" s="11" t="n">
        <f aca="false">IF(AND(CK$1&gt;=Units!$Q14,MOD(CK$1-Units!$Q14,12)=0),IF(AND(Units!$L14=1,CK$1=Units!$Q14),1,Inputs!$B$15)*Inputs!$B$16*(1+Inputs!$B$11)^(CK$2-1),0)</f>
        <v>0</v>
      </c>
      <c r="CL15" s="11" t="n">
        <f aca="false">IF(AND(CL$1&gt;=Units!$Q14,MOD(CL$1-Units!$Q14,12)=0),IF(AND(Units!$L14=1,CL$1=Units!$Q14),1,Inputs!$B$15)*Inputs!$B$16*(1+Inputs!$B$11)^(CL$2-1),0)</f>
        <v>0</v>
      </c>
      <c r="CM15" s="11" t="n">
        <f aca="false">IF(AND(CM$1&gt;=Units!$Q14,MOD(CM$1-Units!$Q14,12)=0),IF(AND(Units!$L14=1,CM$1=Units!$Q14),1,Inputs!$B$15)*Inputs!$B$16*(1+Inputs!$B$11)^(CM$2-1),0)</f>
        <v>0</v>
      </c>
      <c r="CN15" s="11" t="n">
        <f aca="false">IF(AND(CN$1&gt;=Units!$Q14,MOD(CN$1-Units!$Q14,12)=0),IF(AND(Units!$L14=1,CN$1=Units!$Q14),1,Inputs!$B$15)*Inputs!$B$16*(1+Inputs!$B$11)^(CN$2-1),0)</f>
        <v>0</v>
      </c>
      <c r="CO15" s="11" t="n">
        <f aca="false">IF(AND(CO$1&gt;=Units!$Q14,MOD(CO$1-Units!$Q14,12)=0),IF(AND(Units!$L14=1,CO$1=Units!$Q14),1,Inputs!$B$15)*Inputs!$B$16*(1+Inputs!$B$11)^(CO$2-1),0)</f>
        <v>0</v>
      </c>
      <c r="CP15" s="11" t="n">
        <f aca="false">IF(AND(CP$1&gt;=Units!$Q14,MOD(CP$1-Units!$Q14,12)=0),IF(AND(Units!$L14=1,CP$1=Units!$Q14),1,Inputs!$B$15)*Inputs!$B$16*(1+Inputs!$B$11)^(CP$2-1),0)</f>
        <v>0</v>
      </c>
      <c r="CQ15" s="11" t="n">
        <f aca="false">IF(AND(CQ$1&gt;=Units!$Q14,MOD(CQ$1-Units!$Q14,12)=0),IF(AND(Units!$L14=1,CQ$1=Units!$Q14),1,Inputs!$B$15)*Inputs!$B$16*(1+Inputs!$B$11)^(CQ$2-1),0)</f>
        <v>614.936932712435</v>
      </c>
      <c r="CR15" s="11" t="n">
        <f aca="false">IF(AND(CR$1&gt;=Units!$Q14,MOD(CR$1-Units!$Q14,12)=0),IF(AND(Units!$L14=1,CR$1=Units!$Q14),1,Inputs!$B$15)*Inputs!$B$16*(1+Inputs!$B$11)^(CR$2-1),0)</f>
        <v>0</v>
      </c>
      <c r="CS15" s="11" t="n">
        <f aca="false">IF(AND(CS$1&gt;=Units!$Q14,MOD(CS$1-Units!$Q14,12)=0),IF(AND(Units!$L14=1,CS$1=Units!$Q14),1,Inputs!$B$15)*Inputs!$B$16*(1+Inputs!$B$11)^(CS$2-1),0)</f>
        <v>0</v>
      </c>
      <c r="CT15" s="11" t="n">
        <f aca="false">IF(AND(CT$1&gt;=Units!$Q14,MOD(CT$1-Units!$Q14,12)=0),IF(AND(Units!$L14=1,CT$1=Units!$Q14),1,Inputs!$B$15)*Inputs!$B$16*(1+Inputs!$B$11)^(CT$2-1),0)</f>
        <v>0</v>
      </c>
      <c r="CU15" s="11" t="n">
        <f aca="false">IF(AND(CU$1&gt;=Units!$Q14,MOD(CU$1-Units!$Q14,12)=0),IF(AND(Units!$L14=1,CU$1=Units!$Q14),1,Inputs!$B$15)*Inputs!$B$16*(1+Inputs!$B$11)^(CU$2-1),0)</f>
        <v>0</v>
      </c>
      <c r="CV15" s="11" t="n">
        <f aca="false">IF(AND(CV$1&gt;=Units!$Q14,MOD(CV$1-Units!$Q14,12)=0),IF(AND(Units!$L14=1,CV$1=Units!$Q14),1,Inputs!$B$15)*Inputs!$B$16*(1+Inputs!$B$11)^(CV$2-1),0)</f>
        <v>0</v>
      </c>
      <c r="CW15" s="11" t="n">
        <f aca="false">IF(AND(CW$1&gt;=Units!$Q14,MOD(CW$1-Units!$Q14,12)=0),IF(AND(Units!$L14=1,CW$1=Units!$Q14),1,Inputs!$B$15)*Inputs!$B$16*(1+Inputs!$B$11)^(CW$2-1),0)</f>
        <v>0</v>
      </c>
      <c r="CX15" s="11" t="n">
        <f aca="false">IF(AND(CX$1&gt;=Units!$Q14,MOD(CX$1-Units!$Q14,12)=0),IF(AND(Units!$L14=1,CX$1=Units!$Q14),1,Inputs!$B$15)*Inputs!$B$16*(1+Inputs!$B$11)^(CX$2-1),0)</f>
        <v>0</v>
      </c>
      <c r="CY15" s="11" t="n">
        <f aca="false">IF(AND(CY$1&gt;=Units!$Q14,MOD(CY$1-Units!$Q14,12)=0),IF(AND(Units!$L14=1,CY$1=Units!$Q14),1,Inputs!$B$15)*Inputs!$B$16*(1+Inputs!$B$11)^(CY$2-1),0)</f>
        <v>0</v>
      </c>
      <c r="CZ15" s="11" t="n">
        <f aca="false">IF(AND(CZ$1&gt;=Units!$Q14,MOD(CZ$1-Units!$Q14,12)=0),IF(AND(Units!$L14=1,CZ$1=Units!$Q14),1,Inputs!$B$15)*Inputs!$B$16*(1+Inputs!$B$11)^(CZ$2-1),0)</f>
        <v>0</v>
      </c>
      <c r="DA15" s="11" t="n">
        <f aca="false">IF(AND(DA$1&gt;=Units!$Q14,MOD(DA$1-Units!$Q14,12)=0),IF(AND(Units!$L14=1,DA$1=Units!$Q14),1,Inputs!$B$15)*Inputs!$B$16*(1+Inputs!$B$11)^(DA$2-1),0)</f>
        <v>0</v>
      </c>
      <c r="DB15" s="11" t="n">
        <f aca="false">IF(AND(DB$1&gt;=Units!$Q14,MOD(DB$1-Units!$Q14,12)=0),IF(AND(Units!$L14=1,DB$1=Units!$Q14),1,Inputs!$B$15)*Inputs!$B$16*(1+Inputs!$B$11)^(DB$2-1),0)</f>
        <v>0</v>
      </c>
      <c r="DC15" s="11" t="n">
        <f aca="false">IF(AND(DC$1&gt;=Units!$Q14,MOD(DC$1-Units!$Q14,12)=0),IF(AND(Units!$L14=1,DC$1=Units!$Q14),1,Inputs!$B$15)*Inputs!$B$16*(1+Inputs!$B$11)^(DC$2-1),0)</f>
        <v>633.385040693808</v>
      </c>
      <c r="DD15" s="11" t="n">
        <f aca="false">IF(AND(DD$1&gt;=Units!$Q14,MOD(DD$1-Units!$Q14,12)=0),IF(AND(Units!$L14=1,DD$1=Units!$Q14),1,Inputs!$B$15)*Inputs!$B$16*(1+Inputs!$B$11)^(DD$2-1),0)</f>
        <v>0</v>
      </c>
      <c r="DE15" s="11" t="n">
        <f aca="false">IF(AND(DE$1&gt;=Units!$Q14,MOD(DE$1-Units!$Q14,12)=0),IF(AND(Units!$L14=1,DE$1=Units!$Q14),1,Inputs!$B$15)*Inputs!$B$16*(1+Inputs!$B$11)^(DE$2-1),0)</f>
        <v>0</v>
      </c>
      <c r="DF15" s="11" t="n">
        <f aca="false">IF(AND(DF$1&gt;=Units!$Q14,MOD(DF$1-Units!$Q14,12)=0),IF(AND(Units!$L14=1,DF$1=Units!$Q14),1,Inputs!$B$15)*Inputs!$B$16*(1+Inputs!$B$11)^(DF$2-1),0)</f>
        <v>0</v>
      </c>
      <c r="DG15" s="11" t="n">
        <f aca="false">IF(AND(DG$1&gt;=Units!$Q14,MOD(DG$1-Units!$Q14,12)=0),IF(AND(Units!$L14=1,DG$1=Units!$Q14),1,Inputs!$B$15)*Inputs!$B$16*(1+Inputs!$B$11)^(DG$2-1),0)</f>
        <v>0</v>
      </c>
      <c r="DH15" s="11" t="n">
        <f aca="false">IF(AND(DH$1&gt;=Units!$Q14,MOD(DH$1-Units!$Q14,12)=0),IF(AND(Units!$L14=1,DH$1=Units!$Q14),1,Inputs!$B$15)*Inputs!$B$16*(1+Inputs!$B$11)^(DH$2-1),0)</f>
        <v>0</v>
      </c>
      <c r="DI15" s="11" t="n">
        <f aca="false">IF(AND(DI$1&gt;=Units!$Q14,MOD(DI$1-Units!$Q14,12)=0),IF(AND(Units!$L14=1,DI$1=Units!$Q14),1,Inputs!$B$15)*Inputs!$B$16*(1+Inputs!$B$11)^(DI$2-1),0)</f>
        <v>0</v>
      </c>
      <c r="DJ15" s="11" t="n">
        <f aca="false">IF(AND(DJ$1&gt;=Units!$Q14,MOD(DJ$1-Units!$Q14,12)=0),IF(AND(Units!$L14=1,DJ$1=Units!$Q14),1,Inputs!$B$15)*Inputs!$B$16*(1+Inputs!$B$11)^(DJ$2-1),0)</f>
        <v>0</v>
      </c>
      <c r="DK15" s="11" t="n">
        <f aca="false">IF(AND(DK$1&gt;=Units!$Q14,MOD(DK$1-Units!$Q14,12)=0),IF(AND(Units!$L14=1,DK$1=Units!$Q14),1,Inputs!$B$15)*Inputs!$B$16*(1+Inputs!$B$11)^(DK$2-1),0)</f>
        <v>0</v>
      </c>
      <c r="DL15" s="11" t="n">
        <f aca="false">IF(AND(DL$1&gt;=Units!$Q14,MOD(DL$1-Units!$Q14,12)=0),IF(AND(Units!$L14=1,DL$1=Units!$Q14),1,Inputs!$B$15)*Inputs!$B$16*(1+Inputs!$B$11)^(DL$2-1),0)</f>
        <v>0</v>
      </c>
      <c r="DM15" s="11" t="n">
        <f aca="false">IF(AND(DM$1&gt;=Units!$Q14,MOD(DM$1-Units!$Q14,12)=0),IF(AND(Units!$L14=1,DM$1=Units!$Q14),1,Inputs!$B$15)*Inputs!$B$16*(1+Inputs!$B$11)^(DM$2-1),0)</f>
        <v>0</v>
      </c>
      <c r="DN15" s="11" t="n">
        <f aca="false">IF(AND(DN$1&gt;=Units!$Q14,MOD(DN$1-Units!$Q14,12)=0),IF(AND(Units!$L14=1,DN$1=Units!$Q14),1,Inputs!$B$15)*Inputs!$B$16*(1+Inputs!$B$11)^(DN$2-1),0)</f>
        <v>0</v>
      </c>
      <c r="DO15" s="11" t="n">
        <f aca="false">IF(AND(DO$1&gt;=Units!$Q14,MOD(DO$1-Units!$Q14,12)=0),IF(AND(Units!$L14=1,DO$1=Units!$Q14),1,Inputs!$B$15)*Inputs!$B$16*(1+Inputs!$B$11)^(DO$2-1),0)</f>
        <v>652.386591914623</v>
      </c>
      <c r="DP15" s="11" t="n">
        <f aca="false">IF(AND(DP$1&gt;=Units!$Q14,MOD(DP$1-Units!$Q14,12)=0),IF(AND(Units!$L14=1,DP$1=Units!$Q14),1,Inputs!$B$15)*Inputs!$B$16*(1+Inputs!$B$11)^(DP$2-1),0)</f>
        <v>0</v>
      </c>
      <c r="DQ15" s="11" t="n">
        <f aca="false">IF(AND(DQ$1&gt;=Units!$Q14,MOD(DQ$1-Units!$Q14,12)=0),IF(AND(Units!$L14=1,DQ$1=Units!$Q14),1,Inputs!$B$15)*Inputs!$B$16*(1+Inputs!$B$11)^(DQ$2-1),0)</f>
        <v>0</v>
      </c>
      <c r="DR15" s="11" t="n">
        <f aca="false">IF(AND(DR$1&gt;=Units!$Q14,MOD(DR$1-Units!$Q14,12)=0),IF(AND(Units!$L14=1,DR$1=Units!$Q14),1,Inputs!$B$15)*Inputs!$B$16*(1+Inputs!$B$11)^(DR$2-1),0)</f>
        <v>0</v>
      </c>
      <c r="DS15" s="11" t="n">
        <f aca="false">IF(AND(DS$1&gt;=Units!$Q14,MOD(DS$1-Units!$Q14,12)=0),IF(AND(Units!$L14=1,DS$1=Units!$Q14),1,Inputs!$B$15)*Inputs!$B$16*(1+Inputs!$B$11)^(DS$2-1),0)</f>
        <v>0</v>
      </c>
      <c r="DT15" s="11" t="n">
        <f aca="false">IF(AND(DT$1&gt;=Units!$Q14,MOD(DT$1-Units!$Q14,12)=0),IF(AND(Units!$L14=1,DT$1=Units!$Q14),1,Inputs!$B$15)*Inputs!$B$16*(1+Inputs!$B$11)^(DT$2-1),0)</f>
        <v>0</v>
      </c>
      <c r="DU15" s="11" t="n">
        <f aca="false">IF(AND(DU$1&gt;=Units!$Q14,MOD(DU$1-Units!$Q14,12)=0),IF(AND(Units!$L14=1,DU$1=Units!$Q14),1,Inputs!$B$15)*Inputs!$B$16*(1+Inputs!$B$11)^(DU$2-1),0)</f>
        <v>0</v>
      </c>
      <c r="DV15" s="11" t="n">
        <f aca="false">IF(AND(DV$1&gt;=Units!$Q14,MOD(DV$1-Units!$Q14,12)=0),IF(AND(Units!$L14=1,DV$1=Units!$Q14),1,Inputs!$B$15)*Inputs!$B$16*(1+Inputs!$B$11)^(DV$2-1),0)</f>
        <v>0</v>
      </c>
      <c r="DW15" s="11" t="n">
        <f aca="false">IF(AND(DW$1&gt;=Units!$Q14,MOD(DW$1-Units!$Q14,12)=0),IF(AND(Units!$L14=1,DW$1=Units!$Q14),1,Inputs!$B$15)*Inputs!$B$16*(1+Inputs!$B$11)^(DW$2-1),0)</f>
        <v>0</v>
      </c>
      <c r="DX15" s="11" t="n">
        <f aca="false">IF(AND(DX$1&gt;=Units!$Q14,MOD(DX$1-Units!$Q14,12)=0),IF(AND(Units!$L14=1,DX$1=Units!$Q14),1,Inputs!$B$15)*Inputs!$B$16*(1+Inputs!$B$11)^(DX$2-1),0)</f>
        <v>0</v>
      </c>
      <c r="DY15" s="11" t="n">
        <f aca="false">IF(AND(DY$1&gt;=Units!$Q14,MOD(DY$1-Units!$Q14,12)=0),IF(AND(Units!$L14=1,DY$1=Units!$Q14),1,Inputs!$B$15)*Inputs!$B$16*(1+Inputs!$B$11)^(DY$2-1),0)</f>
        <v>0</v>
      </c>
      <c r="DZ15" s="11" t="n">
        <f aca="false">IF(AND(DZ$1&gt;=Units!$Q14,MOD(DZ$1-Units!$Q14,12)=0),IF(AND(Units!$L14=1,DZ$1=Units!$Q14),1,Inputs!$B$15)*Inputs!$B$16*(1+Inputs!$B$11)^(DZ$2-1),0)</f>
        <v>0</v>
      </c>
      <c r="EA15" s="11" t="n">
        <f aca="false">IF(AND(EA$1&gt;=Units!$Q14,MOD(EA$1-Units!$Q14,12)=0),IF(AND(Units!$L14=1,EA$1=Units!$Q14),1,Inputs!$B$15)*Inputs!$B$16*(1+Inputs!$B$11)^(EA$2-1),0)</f>
        <v>671.958189672061</v>
      </c>
      <c r="EB15" s="11" t="n">
        <f aca="false">IF(AND(EB$1&gt;=Units!$Q14,MOD(EB$1-Units!$Q14,12)=0),IF(AND(Units!$L14=1,EB$1=Units!$Q14),1,Inputs!$B$15)*Inputs!$B$16*(1+Inputs!$B$11)^(EB$2-1),0)</f>
        <v>0</v>
      </c>
      <c r="EC15" s="11" t="n">
        <f aca="false">IF(AND(EC$1&gt;=Units!$Q14,MOD(EC$1-Units!$Q14,12)=0),IF(AND(Units!$L14=1,EC$1=Units!$Q14),1,Inputs!$B$15)*Inputs!$B$16*(1+Inputs!$B$11)^(EC$2-1),0)</f>
        <v>0</v>
      </c>
      <c r="ED15" s="11" t="n">
        <f aca="false">IF(AND(ED$1&gt;=Units!$Q14,MOD(ED$1-Units!$Q14,12)=0),IF(AND(Units!$L14=1,ED$1=Units!$Q14),1,Inputs!$B$15)*Inputs!$B$16*(1+Inputs!$B$11)^(ED$2-1),0)</f>
        <v>0</v>
      </c>
    </row>
    <row r="16" customFormat="false" ht="15" hidden="false" customHeight="false" outlineLevel="0" collapsed="false">
      <c r="A16" s="22" t="n">
        <f aca="false">Units!A15</f>
        <v>114</v>
      </c>
      <c r="B16" s="23"/>
      <c r="C16" s="11" t="n">
        <f aca="false">IF(AND(C$1&gt;=Units!$Q15,MOD(C$1-Units!$Q15,12)=0),IF(AND(Units!$L15=1,C$1=Units!$Q15),1,Inputs!$B$15)*Inputs!$B$16*(1+Inputs!$B$11)^(C$2-1),0)</f>
        <v>0</v>
      </c>
      <c r="D16" s="11" t="n">
        <f aca="false">IF(AND(D$1&gt;=Units!$Q15,MOD(D$1-Units!$Q15,12)=0),IF(AND(Units!$L15=1,D$1=Units!$Q15),1,Inputs!$B$15)*Inputs!$B$16*(1+Inputs!$B$11)^(D$2-1),0)</f>
        <v>0</v>
      </c>
      <c r="E16" s="11" t="n">
        <f aca="false">IF(AND(E$1&gt;=Units!$Q15,MOD(E$1-Units!$Q15,12)=0),IF(AND(Units!$L15=1,E$1=Units!$Q15),1,Inputs!$B$15)*Inputs!$B$16*(1+Inputs!$B$11)^(E$2-1),0)</f>
        <v>0</v>
      </c>
      <c r="F16" s="11" t="n">
        <f aca="false">IF(AND(F$1&gt;=Units!$Q15,MOD(F$1-Units!$Q15,12)=0),IF(AND(Units!$L15=1,F$1=Units!$Q15),1,Inputs!$B$15)*Inputs!$B$16*(1+Inputs!$B$11)^(F$2-1),0)</f>
        <v>0</v>
      </c>
      <c r="G16" s="11" t="n">
        <f aca="false">IF(AND(G$1&gt;=Units!$Q15,MOD(G$1-Units!$Q15,12)=0),IF(AND(Units!$L15=1,G$1=Units!$Q15),1,Inputs!$B$15)*Inputs!$B$16*(1+Inputs!$B$11)^(G$2-1),0)</f>
        <v>0</v>
      </c>
      <c r="H16" s="11" t="n">
        <f aca="false">IF(AND(H$1&gt;=Units!$Q15,MOD(H$1-Units!$Q15,12)=0),IF(AND(Units!$L15=1,H$1=Units!$Q15),1,Inputs!$B$15)*Inputs!$B$16*(1+Inputs!$B$11)^(H$2-1),0)</f>
        <v>0</v>
      </c>
      <c r="I16" s="11" t="n">
        <f aca="false">IF(AND(I$1&gt;=Units!$Q15,MOD(I$1-Units!$Q15,12)=0),IF(AND(Units!$L15=1,I$1=Units!$Q15),1,Inputs!$B$15)*Inputs!$B$16*(1+Inputs!$B$11)^(I$2-1),0)</f>
        <v>0</v>
      </c>
      <c r="J16" s="11" t="n">
        <f aca="false">IF(AND(J$1&gt;=Units!$Q15,MOD(J$1-Units!$Q15,12)=0),IF(AND(Units!$L15=1,J$1=Units!$Q15),1,Inputs!$B$15)*Inputs!$B$16*(1+Inputs!$B$11)^(J$2-1),0)</f>
        <v>0</v>
      </c>
      <c r="K16" s="11" t="n">
        <f aca="false">IF(AND(K$1&gt;=Units!$Q15,MOD(K$1-Units!$Q15,12)=0),IF(AND(Units!$L15=1,K$1=Units!$Q15),1,Inputs!$B$15)*Inputs!$B$16*(1+Inputs!$B$11)^(K$2-1),0)</f>
        <v>0</v>
      </c>
      <c r="L16" s="11" t="n">
        <f aca="false">IF(AND(L$1&gt;=Units!$Q15,MOD(L$1-Units!$Q15,12)=0),IF(AND(Units!$L15=1,L$1=Units!$Q15),1,Inputs!$B$15)*Inputs!$B$16*(1+Inputs!$B$11)^(L$2-1),0)</f>
        <v>500</v>
      </c>
      <c r="M16" s="11" t="n">
        <f aca="false">IF(AND(M$1&gt;=Units!$Q15,MOD(M$1-Units!$Q15,12)=0),IF(AND(Units!$L15=1,M$1=Units!$Q15),1,Inputs!$B$15)*Inputs!$B$16*(1+Inputs!$B$11)^(M$2-1),0)</f>
        <v>0</v>
      </c>
      <c r="N16" s="11" t="n">
        <f aca="false">IF(AND(N$1&gt;=Units!$Q15,MOD(N$1-Units!$Q15,12)=0),IF(AND(Units!$L15=1,N$1=Units!$Q15),1,Inputs!$B$15)*Inputs!$B$16*(1+Inputs!$B$11)^(N$2-1),0)</f>
        <v>0</v>
      </c>
      <c r="O16" s="11" t="n">
        <f aca="false">IF(AND(O$1&gt;=Units!$Q15,MOD(O$1-Units!$Q15,12)=0),IF(AND(Units!$L15=1,O$1=Units!$Q15),1,Inputs!$B$15)*Inputs!$B$16*(1+Inputs!$B$11)^(O$2-1),0)</f>
        <v>0</v>
      </c>
      <c r="P16" s="11" t="n">
        <f aca="false">IF(AND(P$1&gt;=Units!$Q15,MOD(P$1-Units!$Q15,12)=0),IF(AND(Units!$L15=1,P$1=Units!$Q15),1,Inputs!$B$15)*Inputs!$B$16*(1+Inputs!$B$11)^(P$2-1),0)</f>
        <v>0</v>
      </c>
      <c r="Q16" s="11" t="n">
        <f aca="false">IF(AND(Q$1&gt;=Units!$Q15,MOD(Q$1-Units!$Q15,12)=0),IF(AND(Units!$L15=1,Q$1=Units!$Q15),1,Inputs!$B$15)*Inputs!$B$16*(1+Inputs!$B$11)^(Q$2-1),0)</f>
        <v>0</v>
      </c>
      <c r="R16" s="11" t="n">
        <f aca="false">IF(AND(R$1&gt;=Units!$Q15,MOD(R$1-Units!$Q15,12)=0),IF(AND(Units!$L15=1,R$1=Units!$Q15),1,Inputs!$B$15)*Inputs!$B$16*(1+Inputs!$B$11)^(R$2-1),0)</f>
        <v>0</v>
      </c>
      <c r="S16" s="11" t="n">
        <f aca="false">IF(AND(S$1&gt;=Units!$Q15,MOD(S$1-Units!$Q15,12)=0),IF(AND(Units!$L15=1,S$1=Units!$Q15),1,Inputs!$B$15)*Inputs!$B$16*(1+Inputs!$B$11)^(S$2-1),0)</f>
        <v>0</v>
      </c>
      <c r="T16" s="11" t="n">
        <f aca="false">IF(AND(T$1&gt;=Units!$Q15,MOD(T$1-Units!$Q15,12)=0),IF(AND(Units!$L15=1,T$1=Units!$Q15),1,Inputs!$B$15)*Inputs!$B$16*(1+Inputs!$B$11)^(T$2-1),0)</f>
        <v>0</v>
      </c>
      <c r="U16" s="11" t="n">
        <f aca="false">IF(AND(U$1&gt;=Units!$Q15,MOD(U$1-Units!$Q15,12)=0),IF(AND(Units!$L15=1,U$1=Units!$Q15),1,Inputs!$B$15)*Inputs!$B$16*(1+Inputs!$B$11)^(U$2-1),0)</f>
        <v>0</v>
      </c>
      <c r="V16" s="11" t="n">
        <f aca="false">IF(AND(V$1&gt;=Units!$Q15,MOD(V$1-Units!$Q15,12)=0),IF(AND(Units!$L15=1,V$1=Units!$Q15),1,Inputs!$B$15)*Inputs!$B$16*(1+Inputs!$B$11)^(V$2-1),0)</f>
        <v>0</v>
      </c>
      <c r="W16" s="11" t="n">
        <f aca="false">IF(AND(W$1&gt;=Units!$Q15,MOD(W$1-Units!$Q15,12)=0),IF(AND(Units!$L15=1,W$1=Units!$Q15),1,Inputs!$B$15)*Inputs!$B$16*(1+Inputs!$B$11)^(W$2-1),0)</f>
        <v>0</v>
      </c>
      <c r="X16" s="11" t="n">
        <f aca="false">IF(AND(X$1&gt;=Units!$Q15,MOD(X$1-Units!$Q15,12)=0),IF(AND(Units!$L15=1,X$1=Units!$Q15),1,Inputs!$B$15)*Inputs!$B$16*(1+Inputs!$B$11)^(X$2-1),0)</f>
        <v>515</v>
      </c>
      <c r="Y16" s="11" t="n">
        <f aca="false">IF(AND(Y$1&gt;=Units!$Q15,MOD(Y$1-Units!$Q15,12)=0),IF(AND(Units!$L15=1,Y$1=Units!$Q15),1,Inputs!$B$15)*Inputs!$B$16*(1+Inputs!$B$11)^(Y$2-1),0)</f>
        <v>0</v>
      </c>
      <c r="Z16" s="11" t="n">
        <f aca="false">IF(AND(Z$1&gt;=Units!$Q15,MOD(Z$1-Units!$Q15,12)=0),IF(AND(Units!$L15=1,Z$1=Units!$Q15),1,Inputs!$B$15)*Inputs!$B$16*(1+Inputs!$B$11)^(Z$2-1),0)</f>
        <v>0</v>
      </c>
      <c r="AA16" s="11" t="n">
        <f aca="false">IF(AND(AA$1&gt;=Units!$Q15,MOD(AA$1-Units!$Q15,12)=0),IF(AND(Units!$L15=1,AA$1=Units!$Q15),1,Inputs!$B$15)*Inputs!$B$16*(1+Inputs!$B$11)^(AA$2-1),0)</f>
        <v>0</v>
      </c>
      <c r="AB16" s="11" t="n">
        <f aca="false">IF(AND(AB$1&gt;=Units!$Q15,MOD(AB$1-Units!$Q15,12)=0),IF(AND(Units!$L15=1,AB$1=Units!$Q15),1,Inputs!$B$15)*Inputs!$B$16*(1+Inputs!$B$11)^(AB$2-1),0)</f>
        <v>0</v>
      </c>
      <c r="AC16" s="11" t="n">
        <f aca="false">IF(AND(AC$1&gt;=Units!$Q15,MOD(AC$1-Units!$Q15,12)=0),IF(AND(Units!$L15=1,AC$1=Units!$Q15),1,Inputs!$B$15)*Inputs!$B$16*(1+Inputs!$B$11)^(AC$2-1),0)</f>
        <v>0</v>
      </c>
      <c r="AD16" s="11" t="n">
        <f aca="false">IF(AND(AD$1&gt;=Units!$Q15,MOD(AD$1-Units!$Q15,12)=0),IF(AND(Units!$L15=1,AD$1=Units!$Q15),1,Inputs!$B$15)*Inputs!$B$16*(1+Inputs!$B$11)^(AD$2-1),0)</f>
        <v>0</v>
      </c>
      <c r="AE16" s="11" t="n">
        <f aca="false">IF(AND(AE$1&gt;=Units!$Q15,MOD(AE$1-Units!$Q15,12)=0),IF(AND(Units!$L15=1,AE$1=Units!$Q15),1,Inputs!$B$15)*Inputs!$B$16*(1+Inputs!$B$11)^(AE$2-1),0)</f>
        <v>0</v>
      </c>
      <c r="AF16" s="11" t="n">
        <f aca="false">IF(AND(AF$1&gt;=Units!$Q15,MOD(AF$1-Units!$Q15,12)=0),IF(AND(Units!$L15=1,AF$1=Units!$Q15),1,Inputs!$B$15)*Inputs!$B$16*(1+Inputs!$B$11)^(AF$2-1),0)</f>
        <v>0</v>
      </c>
      <c r="AG16" s="11" t="n">
        <f aca="false">IF(AND(AG$1&gt;=Units!$Q15,MOD(AG$1-Units!$Q15,12)=0),IF(AND(Units!$L15=1,AG$1=Units!$Q15),1,Inputs!$B$15)*Inputs!$B$16*(1+Inputs!$B$11)^(AG$2-1),0)</f>
        <v>0</v>
      </c>
      <c r="AH16" s="11" t="n">
        <f aca="false">IF(AND(AH$1&gt;=Units!$Q15,MOD(AH$1-Units!$Q15,12)=0),IF(AND(Units!$L15=1,AH$1=Units!$Q15),1,Inputs!$B$15)*Inputs!$B$16*(1+Inputs!$B$11)^(AH$2-1),0)</f>
        <v>0</v>
      </c>
      <c r="AI16" s="11" t="n">
        <f aca="false">IF(AND(AI$1&gt;=Units!$Q15,MOD(AI$1-Units!$Q15,12)=0),IF(AND(Units!$L15=1,AI$1=Units!$Q15),1,Inputs!$B$15)*Inputs!$B$16*(1+Inputs!$B$11)^(AI$2-1),0)</f>
        <v>0</v>
      </c>
      <c r="AJ16" s="11" t="n">
        <f aca="false">IF(AND(AJ$1&gt;=Units!$Q15,MOD(AJ$1-Units!$Q15,12)=0),IF(AND(Units!$L15=1,AJ$1=Units!$Q15),1,Inputs!$B$15)*Inputs!$B$16*(1+Inputs!$B$11)^(AJ$2-1),0)</f>
        <v>530.45</v>
      </c>
      <c r="AK16" s="11" t="n">
        <f aca="false">IF(AND(AK$1&gt;=Units!$Q15,MOD(AK$1-Units!$Q15,12)=0),IF(AND(Units!$L15=1,AK$1=Units!$Q15),1,Inputs!$B$15)*Inputs!$B$16*(1+Inputs!$B$11)^(AK$2-1),0)</f>
        <v>0</v>
      </c>
      <c r="AL16" s="11" t="n">
        <f aca="false">IF(AND(AL$1&gt;=Units!$Q15,MOD(AL$1-Units!$Q15,12)=0),IF(AND(Units!$L15=1,AL$1=Units!$Q15),1,Inputs!$B$15)*Inputs!$B$16*(1+Inputs!$B$11)^(AL$2-1),0)</f>
        <v>0</v>
      </c>
      <c r="AM16" s="11" t="n">
        <f aca="false">IF(AND(AM$1&gt;=Units!$Q15,MOD(AM$1-Units!$Q15,12)=0),IF(AND(Units!$L15=1,AM$1=Units!$Q15),1,Inputs!$B$15)*Inputs!$B$16*(1+Inputs!$B$11)^(AM$2-1),0)</f>
        <v>0</v>
      </c>
      <c r="AN16" s="11" t="n">
        <f aca="false">IF(AND(AN$1&gt;=Units!$Q15,MOD(AN$1-Units!$Q15,12)=0),IF(AND(Units!$L15=1,AN$1=Units!$Q15),1,Inputs!$B$15)*Inputs!$B$16*(1+Inputs!$B$11)^(AN$2-1),0)</f>
        <v>0</v>
      </c>
      <c r="AO16" s="11" t="n">
        <f aca="false">IF(AND(AO$1&gt;=Units!$Q15,MOD(AO$1-Units!$Q15,12)=0),IF(AND(Units!$L15=1,AO$1=Units!$Q15),1,Inputs!$B$15)*Inputs!$B$16*(1+Inputs!$B$11)^(AO$2-1),0)</f>
        <v>0</v>
      </c>
      <c r="AP16" s="11" t="n">
        <f aca="false">IF(AND(AP$1&gt;=Units!$Q15,MOD(AP$1-Units!$Q15,12)=0),IF(AND(Units!$L15=1,AP$1=Units!$Q15),1,Inputs!$B$15)*Inputs!$B$16*(1+Inputs!$B$11)^(AP$2-1),0)</f>
        <v>0</v>
      </c>
      <c r="AQ16" s="11" t="n">
        <f aca="false">IF(AND(AQ$1&gt;=Units!$Q15,MOD(AQ$1-Units!$Q15,12)=0),IF(AND(Units!$L15=1,AQ$1=Units!$Q15),1,Inputs!$B$15)*Inputs!$B$16*(1+Inputs!$B$11)^(AQ$2-1),0)</f>
        <v>0</v>
      </c>
      <c r="AR16" s="11" t="n">
        <f aca="false">IF(AND(AR$1&gt;=Units!$Q15,MOD(AR$1-Units!$Q15,12)=0),IF(AND(Units!$L15=1,AR$1=Units!$Q15),1,Inputs!$B$15)*Inputs!$B$16*(1+Inputs!$B$11)^(AR$2-1),0)</f>
        <v>0</v>
      </c>
      <c r="AS16" s="11" t="n">
        <f aca="false">IF(AND(AS$1&gt;=Units!$Q15,MOD(AS$1-Units!$Q15,12)=0),IF(AND(Units!$L15=1,AS$1=Units!$Q15),1,Inputs!$B$15)*Inputs!$B$16*(1+Inputs!$B$11)^(AS$2-1),0)</f>
        <v>0</v>
      </c>
      <c r="AT16" s="11" t="n">
        <f aca="false">IF(AND(AT$1&gt;=Units!$Q15,MOD(AT$1-Units!$Q15,12)=0),IF(AND(Units!$L15=1,AT$1=Units!$Q15),1,Inputs!$B$15)*Inputs!$B$16*(1+Inputs!$B$11)^(AT$2-1),0)</f>
        <v>0</v>
      </c>
      <c r="AU16" s="11" t="n">
        <f aca="false">IF(AND(AU$1&gt;=Units!$Q15,MOD(AU$1-Units!$Q15,12)=0),IF(AND(Units!$L15=1,AU$1=Units!$Q15),1,Inputs!$B$15)*Inputs!$B$16*(1+Inputs!$B$11)^(AU$2-1),0)</f>
        <v>0</v>
      </c>
      <c r="AV16" s="11" t="n">
        <f aca="false">IF(AND(AV$1&gt;=Units!$Q15,MOD(AV$1-Units!$Q15,12)=0),IF(AND(Units!$L15=1,AV$1=Units!$Q15),1,Inputs!$B$15)*Inputs!$B$16*(1+Inputs!$B$11)^(AV$2-1),0)</f>
        <v>546.3635</v>
      </c>
      <c r="AW16" s="11" t="n">
        <f aca="false">IF(AND(AW$1&gt;=Units!$Q15,MOD(AW$1-Units!$Q15,12)=0),IF(AND(Units!$L15=1,AW$1=Units!$Q15),1,Inputs!$B$15)*Inputs!$B$16*(1+Inputs!$B$11)^(AW$2-1),0)</f>
        <v>0</v>
      </c>
      <c r="AX16" s="11" t="n">
        <f aca="false">IF(AND(AX$1&gt;=Units!$Q15,MOD(AX$1-Units!$Q15,12)=0),IF(AND(Units!$L15=1,AX$1=Units!$Q15),1,Inputs!$B$15)*Inputs!$B$16*(1+Inputs!$B$11)^(AX$2-1),0)</f>
        <v>0</v>
      </c>
      <c r="AY16" s="11" t="n">
        <f aca="false">IF(AND(AY$1&gt;=Units!$Q15,MOD(AY$1-Units!$Q15,12)=0),IF(AND(Units!$L15=1,AY$1=Units!$Q15),1,Inputs!$B$15)*Inputs!$B$16*(1+Inputs!$B$11)^(AY$2-1),0)</f>
        <v>0</v>
      </c>
      <c r="AZ16" s="11" t="n">
        <f aca="false">IF(AND(AZ$1&gt;=Units!$Q15,MOD(AZ$1-Units!$Q15,12)=0),IF(AND(Units!$L15=1,AZ$1=Units!$Q15),1,Inputs!$B$15)*Inputs!$B$16*(1+Inputs!$B$11)^(AZ$2-1),0)</f>
        <v>0</v>
      </c>
      <c r="BA16" s="11" t="n">
        <f aca="false">IF(AND(BA$1&gt;=Units!$Q15,MOD(BA$1-Units!$Q15,12)=0),IF(AND(Units!$L15=1,BA$1=Units!$Q15),1,Inputs!$B$15)*Inputs!$B$16*(1+Inputs!$B$11)^(BA$2-1),0)</f>
        <v>0</v>
      </c>
      <c r="BB16" s="11" t="n">
        <f aca="false">IF(AND(BB$1&gt;=Units!$Q15,MOD(BB$1-Units!$Q15,12)=0),IF(AND(Units!$L15=1,BB$1=Units!$Q15),1,Inputs!$B$15)*Inputs!$B$16*(1+Inputs!$B$11)^(BB$2-1),0)</f>
        <v>0</v>
      </c>
      <c r="BC16" s="11" t="n">
        <f aca="false">IF(AND(BC$1&gt;=Units!$Q15,MOD(BC$1-Units!$Q15,12)=0),IF(AND(Units!$L15=1,BC$1=Units!$Q15),1,Inputs!$B$15)*Inputs!$B$16*(1+Inputs!$B$11)^(BC$2-1),0)</f>
        <v>0</v>
      </c>
      <c r="BD16" s="11" t="n">
        <f aca="false">IF(AND(BD$1&gt;=Units!$Q15,MOD(BD$1-Units!$Q15,12)=0),IF(AND(Units!$L15=1,BD$1=Units!$Q15),1,Inputs!$B$15)*Inputs!$B$16*(1+Inputs!$B$11)^(BD$2-1),0)</f>
        <v>0</v>
      </c>
      <c r="BE16" s="11" t="n">
        <f aca="false">IF(AND(BE$1&gt;=Units!$Q15,MOD(BE$1-Units!$Q15,12)=0),IF(AND(Units!$L15=1,BE$1=Units!$Q15),1,Inputs!$B$15)*Inputs!$B$16*(1+Inputs!$B$11)^(BE$2-1),0)</f>
        <v>0</v>
      </c>
      <c r="BF16" s="11" t="n">
        <f aca="false">IF(AND(BF$1&gt;=Units!$Q15,MOD(BF$1-Units!$Q15,12)=0),IF(AND(Units!$L15=1,BF$1=Units!$Q15),1,Inputs!$B$15)*Inputs!$B$16*(1+Inputs!$B$11)^(BF$2-1),0)</f>
        <v>0</v>
      </c>
      <c r="BG16" s="11" t="n">
        <f aca="false">IF(AND(BG$1&gt;=Units!$Q15,MOD(BG$1-Units!$Q15,12)=0),IF(AND(Units!$L15=1,BG$1=Units!$Q15),1,Inputs!$B$15)*Inputs!$B$16*(1+Inputs!$B$11)^(BG$2-1),0)</f>
        <v>0</v>
      </c>
      <c r="BH16" s="11" t="n">
        <f aca="false">IF(AND(BH$1&gt;=Units!$Q15,MOD(BH$1-Units!$Q15,12)=0),IF(AND(Units!$L15=1,BH$1=Units!$Q15),1,Inputs!$B$15)*Inputs!$B$16*(1+Inputs!$B$11)^(BH$2-1),0)</f>
        <v>562.754405</v>
      </c>
      <c r="BI16" s="11" t="n">
        <f aca="false">IF(AND(BI$1&gt;=Units!$Q15,MOD(BI$1-Units!$Q15,12)=0),IF(AND(Units!$L15=1,BI$1=Units!$Q15),1,Inputs!$B$15)*Inputs!$B$16*(1+Inputs!$B$11)^(BI$2-1),0)</f>
        <v>0</v>
      </c>
      <c r="BJ16" s="11" t="n">
        <f aca="false">IF(AND(BJ$1&gt;=Units!$Q15,MOD(BJ$1-Units!$Q15,12)=0),IF(AND(Units!$L15=1,BJ$1=Units!$Q15),1,Inputs!$B$15)*Inputs!$B$16*(1+Inputs!$B$11)^(BJ$2-1),0)</f>
        <v>0</v>
      </c>
      <c r="BK16" s="11" t="n">
        <f aca="false">IF(AND(BK$1&gt;=Units!$Q15,MOD(BK$1-Units!$Q15,12)=0),IF(AND(Units!$L15=1,BK$1=Units!$Q15),1,Inputs!$B$15)*Inputs!$B$16*(1+Inputs!$B$11)^(BK$2-1),0)</f>
        <v>0</v>
      </c>
      <c r="BL16" s="11" t="n">
        <f aca="false">IF(AND(BL$1&gt;=Units!$Q15,MOD(BL$1-Units!$Q15,12)=0),IF(AND(Units!$L15=1,BL$1=Units!$Q15),1,Inputs!$B$15)*Inputs!$B$16*(1+Inputs!$B$11)^(BL$2-1),0)</f>
        <v>0</v>
      </c>
      <c r="BM16" s="11" t="n">
        <f aca="false">IF(AND(BM$1&gt;=Units!$Q15,MOD(BM$1-Units!$Q15,12)=0),IF(AND(Units!$L15=1,BM$1=Units!$Q15),1,Inputs!$B$15)*Inputs!$B$16*(1+Inputs!$B$11)^(BM$2-1),0)</f>
        <v>0</v>
      </c>
      <c r="BN16" s="11" t="n">
        <f aca="false">IF(AND(BN$1&gt;=Units!$Q15,MOD(BN$1-Units!$Q15,12)=0),IF(AND(Units!$L15=1,BN$1=Units!$Q15),1,Inputs!$B$15)*Inputs!$B$16*(1+Inputs!$B$11)^(BN$2-1),0)</f>
        <v>0</v>
      </c>
      <c r="BO16" s="11" t="n">
        <f aca="false">IF(AND(BO$1&gt;=Units!$Q15,MOD(BO$1-Units!$Q15,12)=0),IF(AND(Units!$L15=1,BO$1=Units!$Q15),1,Inputs!$B$15)*Inputs!$B$16*(1+Inputs!$B$11)^(BO$2-1),0)</f>
        <v>0</v>
      </c>
      <c r="BP16" s="11" t="n">
        <f aca="false">IF(AND(BP$1&gt;=Units!$Q15,MOD(BP$1-Units!$Q15,12)=0),IF(AND(Units!$L15=1,BP$1=Units!$Q15),1,Inputs!$B$15)*Inputs!$B$16*(1+Inputs!$B$11)^(BP$2-1),0)</f>
        <v>0</v>
      </c>
      <c r="BQ16" s="11" t="n">
        <f aca="false">IF(AND(BQ$1&gt;=Units!$Q15,MOD(BQ$1-Units!$Q15,12)=0),IF(AND(Units!$L15=1,BQ$1=Units!$Q15),1,Inputs!$B$15)*Inputs!$B$16*(1+Inputs!$B$11)^(BQ$2-1),0)</f>
        <v>0</v>
      </c>
      <c r="BR16" s="11" t="n">
        <f aca="false">IF(AND(BR$1&gt;=Units!$Q15,MOD(BR$1-Units!$Q15,12)=0),IF(AND(Units!$L15=1,BR$1=Units!$Q15),1,Inputs!$B$15)*Inputs!$B$16*(1+Inputs!$B$11)^(BR$2-1),0)</f>
        <v>0</v>
      </c>
      <c r="BS16" s="11" t="n">
        <f aca="false">IF(AND(BS$1&gt;=Units!$Q15,MOD(BS$1-Units!$Q15,12)=0),IF(AND(Units!$L15=1,BS$1=Units!$Q15),1,Inputs!$B$15)*Inputs!$B$16*(1+Inputs!$B$11)^(BS$2-1),0)</f>
        <v>0</v>
      </c>
      <c r="BT16" s="11" t="n">
        <f aca="false">IF(AND(BT$1&gt;=Units!$Q15,MOD(BT$1-Units!$Q15,12)=0),IF(AND(Units!$L15=1,BT$1=Units!$Q15),1,Inputs!$B$15)*Inputs!$B$16*(1+Inputs!$B$11)^(BT$2-1),0)</f>
        <v>579.63703715</v>
      </c>
      <c r="BU16" s="11" t="n">
        <f aca="false">IF(AND(BU$1&gt;=Units!$Q15,MOD(BU$1-Units!$Q15,12)=0),IF(AND(Units!$L15=1,BU$1=Units!$Q15),1,Inputs!$B$15)*Inputs!$B$16*(1+Inputs!$B$11)^(BU$2-1),0)</f>
        <v>0</v>
      </c>
      <c r="BV16" s="11" t="n">
        <f aca="false">IF(AND(BV$1&gt;=Units!$Q15,MOD(BV$1-Units!$Q15,12)=0),IF(AND(Units!$L15=1,BV$1=Units!$Q15),1,Inputs!$B$15)*Inputs!$B$16*(1+Inputs!$B$11)^(BV$2-1),0)</f>
        <v>0</v>
      </c>
      <c r="BW16" s="11" t="n">
        <f aca="false">IF(AND(BW$1&gt;=Units!$Q15,MOD(BW$1-Units!$Q15,12)=0),IF(AND(Units!$L15=1,BW$1=Units!$Q15),1,Inputs!$B$15)*Inputs!$B$16*(1+Inputs!$B$11)^(BW$2-1),0)</f>
        <v>0</v>
      </c>
      <c r="BX16" s="11" t="n">
        <f aca="false">IF(AND(BX$1&gt;=Units!$Q15,MOD(BX$1-Units!$Q15,12)=0),IF(AND(Units!$L15=1,BX$1=Units!$Q15),1,Inputs!$B$15)*Inputs!$B$16*(1+Inputs!$B$11)^(BX$2-1),0)</f>
        <v>0</v>
      </c>
      <c r="BY16" s="11" t="n">
        <f aca="false">IF(AND(BY$1&gt;=Units!$Q15,MOD(BY$1-Units!$Q15,12)=0),IF(AND(Units!$L15=1,BY$1=Units!$Q15),1,Inputs!$B$15)*Inputs!$B$16*(1+Inputs!$B$11)^(BY$2-1),0)</f>
        <v>0</v>
      </c>
      <c r="BZ16" s="11" t="n">
        <f aca="false">IF(AND(BZ$1&gt;=Units!$Q15,MOD(BZ$1-Units!$Q15,12)=0),IF(AND(Units!$L15=1,BZ$1=Units!$Q15),1,Inputs!$B$15)*Inputs!$B$16*(1+Inputs!$B$11)^(BZ$2-1),0)</f>
        <v>0</v>
      </c>
      <c r="CA16" s="11" t="n">
        <f aca="false">IF(AND(CA$1&gt;=Units!$Q15,MOD(CA$1-Units!$Q15,12)=0),IF(AND(Units!$L15=1,CA$1=Units!$Q15),1,Inputs!$B$15)*Inputs!$B$16*(1+Inputs!$B$11)^(CA$2-1),0)</f>
        <v>0</v>
      </c>
      <c r="CB16" s="11" t="n">
        <f aca="false">IF(AND(CB$1&gt;=Units!$Q15,MOD(CB$1-Units!$Q15,12)=0),IF(AND(Units!$L15=1,CB$1=Units!$Q15),1,Inputs!$B$15)*Inputs!$B$16*(1+Inputs!$B$11)^(CB$2-1),0)</f>
        <v>0</v>
      </c>
      <c r="CC16" s="11" t="n">
        <f aca="false">IF(AND(CC$1&gt;=Units!$Q15,MOD(CC$1-Units!$Q15,12)=0),IF(AND(Units!$L15=1,CC$1=Units!$Q15),1,Inputs!$B$15)*Inputs!$B$16*(1+Inputs!$B$11)^(CC$2-1),0)</f>
        <v>0</v>
      </c>
      <c r="CD16" s="11" t="n">
        <f aca="false">IF(AND(CD$1&gt;=Units!$Q15,MOD(CD$1-Units!$Q15,12)=0),IF(AND(Units!$L15=1,CD$1=Units!$Q15),1,Inputs!$B$15)*Inputs!$B$16*(1+Inputs!$B$11)^(CD$2-1),0)</f>
        <v>0</v>
      </c>
      <c r="CE16" s="11" t="n">
        <f aca="false">IF(AND(CE$1&gt;=Units!$Q15,MOD(CE$1-Units!$Q15,12)=0),IF(AND(Units!$L15=1,CE$1=Units!$Q15),1,Inputs!$B$15)*Inputs!$B$16*(1+Inputs!$B$11)^(CE$2-1),0)</f>
        <v>0</v>
      </c>
      <c r="CF16" s="11" t="n">
        <f aca="false">IF(AND(CF$1&gt;=Units!$Q15,MOD(CF$1-Units!$Q15,12)=0),IF(AND(Units!$L15=1,CF$1=Units!$Q15),1,Inputs!$B$15)*Inputs!$B$16*(1+Inputs!$B$11)^(CF$2-1),0)</f>
        <v>597.0261482645</v>
      </c>
      <c r="CG16" s="11" t="n">
        <f aca="false">IF(AND(CG$1&gt;=Units!$Q15,MOD(CG$1-Units!$Q15,12)=0),IF(AND(Units!$L15=1,CG$1=Units!$Q15),1,Inputs!$B$15)*Inputs!$B$16*(1+Inputs!$B$11)^(CG$2-1),0)</f>
        <v>0</v>
      </c>
      <c r="CH16" s="11" t="n">
        <f aca="false">IF(AND(CH$1&gt;=Units!$Q15,MOD(CH$1-Units!$Q15,12)=0),IF(AND(Units!$L15=1,CH$1=Units!$Q15),1,Inputs!$B$15)*Inputs!$B$16*(1+Inputs!$B$11)^(CH$2-1),0)</f>
        <v>0</v>
      </c>
      <c r="CI16" s="11" t="n">
        <f aca="false">IF(AND(CI$1&gt;=Units!$Q15,MOD(CI$1-Units!$Q15,12)=0),IF(AND(Units!$L15=1,CI$1=Units!$Q15),1,Inputs!$B$15)*Inputs!$B$16*(1+Inputs!$B$11)^(CI$2-1),0)</f>
        <v>0</v>
      </c>
      <c r="CJ16" s="11" t="n">
        <f aca="false">IF(AND(CJ$1&gt;=Units!$Q15,MOD(CJ$1-Units!$Q15,12)=0),IF(AND(Units!$L15=1,CJ$1=Units!$Q15),1,Inputs!$B$15)*Inputs!$B$16*(1+Inputs!$B$11)^(CJ$2-1),0)</f>
        <v>0</v>
      </c>
      <c r="CK16" s="11" t="n">
        <f aca="false">IF(AND(CK$1&gt;=Units!$Q15,MOD(CK$1-Units!$Q15,12)=0),IF(AND(Units!$L15=1,CK$1=Units!$Q15),1,Inputs!$B$15)*Inputs!$B$16*(1+Inputs!$B$11)^(CK$2-1),0)</f>
        <v>0</v>
      </c>
      <c r="CL16" s="11" t="n">
        <f aca="false">IF(AND(CL$1&gt;=Units!$Q15,MOD(CL$1-Units!$Q15,12)=0),IF(AND(Units!$L15=1,CL$1=Units!$Q15),1,Inputs!$B$15)*Inputs!$B$16*(1+Inputs!$B$11)^(CL$2-1),0)</f>
        <v>0</v>
      </c>
      <c r="CM16" s="11" t="n">
        <f aca="false">IF(AND(CM$1&gt;=Units!$Q15,MOD(CM$1-Units!$Q15,12)=0),IF(AND(Units!$L15=1,CM$1=Units!$Q15),1,Inputs!$B$15)*Inputs!$B$16*(1+Inputs!$B$11)^(CM$2-1),0)</f>
        <v>0</v>
      </c>
      <c r="CN16" s="11" t="n">
        <f aca="false">IF(AND(CN$1&gt;=Units!$Q15,MOD(CN$1-Units!$Q15,12)=0),IF(AND(Units!$L15=1,CN$1=Units!$Q15),1,Inputs!$B$15)*Inputs!$B$16*(1+Inputs!$B$11)^(CN$2-1),0)</f>
        <v>0</v>
      </c>
      <c r="CO16" s="11" t="n">
        <f aca="false">IF(AND(CO$1&gt;=Units!$Q15,MOD(CO$1-Units!$Q15,12)=0),IF(AND(Units!$L15=1,CO$1=Units!$Q15),1,Inputs!$B$15)*Inputs!$B$16*(1+Inputs!$B$11)^(CO$2-1),0)</f>
        <v>0</v>
      </c>
      <c r="CP16" s="11" t="n">
        <f aca="false">IF(AND(CP$1&gt;=Units!$Q15,MOD(CP$1-Units!$Q15,12)=0),IF(AND(Units!$L15=1,CP$1=Units!$Q15),1,Inputs!$B$15)*Inputs!$B$16*(1+Inputs!$B$11)^(CP$2-1),0)</f>
        <v>0</v>
      </c>
      <c r="CQ16" s="11" t="n">
        <f aca="false">IF(AND(CQ$1&gt;=Units!$Q15,MOD(CQ$1-Units!$Q15,12)=0),IF(AND(Units!$L15=1,CQ$1=Units!$Q15),1,Inputs!$B$15)*Inputs!$B$16*(1+Inputs!$B$11)^(CQ$2-1),0)</f>
        <v>0</v>
      </c>
      <c r="CR16" s="11" t="n">
        <f aca="false">IF(AND(CR$1&gt;=Units!$Q15,MOD(CR$1-Units!$Q15,12)=0),IF(AND(Units!$L15=1,CR$1=Units!$Q15),1,Inputs!$B$15)*Inputs!$B$16*(1+Inputs!$B$11)^(CR$2-1),0)</f>
        <v>614.936932712435</v>
      </c>
      <c r="CS16" s="11" t="n">
        <f aca="false">IF(AND(CS$1&gt;=Units!$Q15,MOD(CS$1-Units!$Q15,12)=0),IF(AND(Units!$L15=1,CS$1=Units!$Q15),1,Inputs!$B$15)*Inputs!$B$16*(1+Inputs!$B$11)^(CS$2-1),0)</f>
        <v>0</v>
      </c>
      <c r="CT16" s="11" t="n">
        <f aca="false">IF(AND(CT$1&gt;=Units!$Q15,MOD(CT$1-Units!$Q15,12)=0),IF(AND(Units!$L15=1,CT$1=Units!$Q15),1,Inputs!$B$15)*Inputs!$B$16*(1+Inputs!$B$11)^(CT$2-1),0)</f>
        <v>0</v>
      </c>
      <c r="CU16" s="11" t="n">
        <f aca="false">IF(AND(CU$1&gt;=Units!$Q15,MOD(CU$1-Units!$Q15,12)=0),IF(AND(Units!$L15=1,CU$1=Units!$Q15),1,Inputs!$B$15)*Inputs!$B$16*(1+Inputs!$B$11)^(CU$2-1),0)</f>
        <v>0</v>
      </c>
      <c r="CV16" s="11" t="n">
        <f aca="false">IF(AND(CV$1&gt;=Units!$Q15,MOD(CV$1-Units!$Q15,12)=0),IF(AND(Units!$L15=1,CV$1=Units!$Q15),1,Inputs!$B$15)*Inputs!$B$16*(1+Inputs!$B$11)^(CV$2-1),0)</f>
        <v>0</v>
      </c>
      <c r="CW16" s="11" t="n">
        <f aca="false">IF(AND(CW$1&gt;=Units!$Q15,MOD(CW$1-Units!$Q15,12)=0),IF(AND(Units!$L15=1,CW$1=Units!$Q15),1,Inputs!$B$15)*Inputs!$B$16*(1+Inputs!$B$11)^(CW$2-1),0)</f>
        <v>0</v>
      </c>
      <c r="CX16" s="11" t="n">
        <f aca="false">IF(AND(CX$1&gt;=Units!$Q15,MOD(CX$1-Units!$Q15,12)=0),IF(AND(Units!$L15=1,CX$1=Units!$Q15),1,Inputs!$B$15)*Inputs!$B$16*(1+Inputs!$B$11)^(CX$2-1),0)</f>
        <v>0</v>
      </c>
      <c r="CY16" s="11" t="n">
        <f aca="false">IF(AND(CY$1&gt;=Units!$Q15,MOD(CY$1-Units!$Q15,12)=0),IF(AND(Units!$L15=1,CY$1=Units!$Q15),1,Inputs!$B$15)*Inputs!$B$16*(1+Inputs!$B$11)^(CY$2-1),0)</f>
        <v>0</v>
      </c>
      <c r="CZ16" s="11" t="n">
        <f aca="false">IF(AND(CZ$1&gt;=Units!$Q15,MOD(CZ$1-Units!$Q15,12)=0),IF(AND(Units!$L15=1,CZ$1=Units!$Q15),1,Inputs!$B$15)*Inputs!$B$16*(1+Inputs!$B$11)^(CZ$2-1),0)</f>
        <v>0</v>
      </c>
      <c r="DA16" s="11" t="n">
        <f aca="false">IF(AND(DA$1&gt;=Units!$Q15,MOD(DA$1-Units!$Q15,12)=0),IF(AND(Units!$L15=1,DA$1=Units!$Q15),1,Inputs!$B$15)*Inputs!$B$16*(1+Inputs!$B$11)^(DA$2-1),0)</f>
        <v>0</v>
      </c>
      <c r="DB16" s="11" t="n">
        <f aca="false">IF(AND(DB$1&gt;=Units!$Q15,MOD(DB$1-Units!$Q15,12)=0),IF(AND(Units!$L15=1,DB$1=Units!$Q15),1,Inputs!$B$15)*Inputs!$B$16*(1+Inputs!$B$11)^(DB$2-1),0)</f>
        <v>0</v>
      </c>
      <c r="DC16" s="11" t="n">
        <f aca="false">IF(AND(DC$1&gt;=Units!$Q15,MOD(DC$1-Units!$Q15,12)=0),IF(AND(Units!$L15=1,DC$1=Units!$Q15),1,Inputs!$B$15)*Inputs!$B$16*(1+Inputs!$B$11)^(DC$2-1),0)</f>
        <v>0</v>
      </c>
      <c r="DD16" s="11" t="n">
        <f aca="false">IF(AND(DD$1&gt;=Units!$Q15,MOD(DD$1-Units!$Q15,12)=0),IF(AND(Units!$L15=1,DD$1=Units!$Q15),1,Inputs!$B$15)*Inputs!$B$16*(1+Inputs!$B$11)^(DD$2-1),0)</f>
        <v>633.385040693808</v>
      </c>
      <c r="DE16" s="11" t="n">
        <f aca="false">IF(AND(DE$1&gt;=Units!$Q15,MOD(DE$1-Units!$Q15,12)=0),IF(AND(Units!$L15=1,DE$1=Units!$Q15),1,Inputs!$B$15)*Inputs!$B$16*(1+Inputs!$B$11)^(DE$2-1),0)</f>
        <v>0</v>
      </c>
      <c r="DF16" s="11" t="n">
        <f aca="false">IF(AND(DF$1&gt;=Units!$Q15,MOD(DF$1-Units!$Q15,12)=0),IF(AND(Units!$L15=1,DF$1=Units!$Q15),1,Inputs!$B$15)*Inputs!$B$16*(1+Inputs!$B$11)^(DF$2-1),0)</f>
        <v>0</v>
      </c>
      <c r="DG16" s="11" t="n">
        <f aca="false">IF(AND(DG$1&gt;=Units!$Q15,MOD(DG$1-Units!$Q15,12)=0),IF(AND(Units!$L15=1,DG$1=Units!$Q15),1,Inputs!$B$15)*Inputs!$B$16*(1+Inputs!$B$11)^(DG$2-1),0)</f>
        <v>0</v>
      </c>
      <c r="DH16" s="11" t="n">
        <f aca="false">IF(AND(DH$1&gt;=Units!$Q15,MOD(DH$1-Units!$Q15,12)=0),IF(AND(Units!$L15=1,DH$1=Units!$Q15),1,Inputs!$B$15)*Inputs!$B$16*(1+Inputs!$B$11)^(DH$2-1),0)</f>
        <v>0</v>
      </c>
      <c r="DI16" s="11" t="n">
        <f aca="false">IF(AND(DI$1&gt;=Units!$Q15,MOD(DI$1-Units!$Q15,12)=0),IF(AND(Units!$L15=1,DI$1=Units!$Q15),1,Inputs!$B$15)*Inputs!$B$16*(1+Inputs!$B$11)^(DI$2-1),0)</f>
        <v>0</v>
      </c>
      <c r="DJ16" s="11" t="n">
        <f aca="false">IF(AND(DJ$1&gt;=Units!$Q15,MOD(DJ$1-Units!$Q15,12)=0),IF(AND(Units!$L15=1,DJ$1=Units!$Q15),1,Inputs!$B$15)*Inputs!$B$16*(1+Inputs!$B$11)^(DJ$2-1),0)</f>
        <v>0</v>
      </c>
      <c r="DK16" s="11" t="n">
        <f aca="false">IF(AND(DK$1&gt;=Units!$Q15,MOD(DK$1-Units!$Q15,12)=0),IF(AND(Units!$L15=1,DK$1=Units!$Q15),1,Inputs!$B$15)*Inputs!$B$16*(1+Inputs!$B$11)^(DK$2-1),0)</f>
        <v>0</v>
      </c>
      <c r="DL16" s="11" t="n">
        <f aca="false">IF(AND(DL$1&gt;=Units!$Q15,MOD(DL$1-Units!$Q15,12)=0),IF(AND(Units!$L15=1,DL$1=Units!$Q15),1,Inputs!$B$15)*Inputs!$B$16*(1+Inputs!$B$11)^(DL$2-1),0)</f>
        <v>0</v>
      </c>
      <c r="DM16" s="11" t="n">
        <f aca="false">IF(AND(DM$1&gt;=Units!$Q15,MOD(DM$1-Units!$Q15,12)=0),IF(AND(Units!$L15=1,DM$1=Units!$Q15),1,Inputs!$B$15)*Inputs!$B$16*(1+Inputs!$B$11)^(DM$2-1),0)</f>
        <v>0</v>
      </c>
      <c r="DN16" s="11" t="n">
        <f aca="false">IF(AND(DN$1&gt;=Units!$Q15,MOD(DN$1-Units!$Q15,12)=0),IF(AND(Units!$L15=1,DN$1=Units!$Q15),1,Inputs!$B$15)*Inputs!$B$16*(1+Inputs!$B$11)^(DN$2-1),0)</f>
        <v>0</v>
      </c>
      <c r="DO16" s="11" t="n">
        <f aca="false">IF(AND(DO$1&gt;=Units!$Q15,MOD(DO$1-Units!$Q15,12)=0),IF(AND(Units!$L15=1,DO$1=Units!$Q15),1,Inputs!$B$15)*Inputs!$B$16*(1+Inputs!$B$11)^(DO$2-1),0)</f>
        <v>0</v>
      </c>
      <c r="DP16" s="11" t="n">
        <f aca="false">IF(AND(DP$1&gt;=Units!$Q15,MOD(DP$1-Units!$Q15,12)=0),IF(AND(Units!$L15=1,DP$1=Units!$Q15),1,Inputs!$B$15)*Inputs!$B$16*(1+Inputs!$B$11)^(DP$2-1),0)</f>
        <v>652.386591914623</v>
      </c>
      <c r="DQ16" s="11" t="n">
        <f aca="false">IF(AND(DQ$1&gt;=Units!$Q15,MOD(DQ$1-Units!$Q15,12)=0),IF(AND(Units!$L15=1,DQ$1=Units!$Q15),1,Inputs!$B$15)*Inputs!$B$16*(1+Inputs!$B$11)^(DQ$2-1),0)</f>
        <v>0</v>
      </c>
      <c r="DR16" s="11" t="n">
        <f aca="false">IF(AND(DR$1&gt;=Units!$Q15,MOD(DR$1-Units!$Q15,12)=0),IF(AND(Units!$L15=1,DR$1=Units!$Q15),1,Inputs!$B$15)*Inputs!$B$16*(1+Inputs!$B$11)^(DR$2-1),0)</f>
        <v>0</v>
      </c>
      <c r="DS16" s="11" t="n">
        <f aca="false">IF(AND(DS$1&gt;=Units!$Q15,MOD(DS$1-Units!$Q15,12)=0),IF(AND(Units!$L15=1,DS$1=Units!$Q15),1,Inputs!$B$15)*Inputs!$B$16*(1+Inputs!$B$11)^(DS$2-1),0)</f>
        <v>0</v>
      </c>
      <c r="DT16" s="11" t="n">
        <f aca="false">IF(AND(DT$1&gt;=Units!$Q15,MOD(DT$1-Units!$Q15,12)=0),IF(AND(Units!$L15=1,DT$1=Units!$Q15),1,Inputs!$B$15)*Inputs!$B$16*(1+Inputs!$B$11)^(DT$2-1),0)</f>
        <v>0</v>
      </c>
      <c r="DU16" s="11" t="n">
        <f aca="false">IF(AND(DU$1&gt;=Units!$Q15,MOD(DU$1-Units!$Q15,12)=0),IF(AND(Units!$L15=1,DU$1=Units!$Q15),1,Inputs!$B$15)*Inputs!$B$16*(1+Inputs!$B$11)^(DU$2-1),0)</f>
        <v>0</v>
      </c>
      <c r="DV16" s="11" t="n">
        <f aca="false">IF(AND(DV$1&gt;=Units!$Q15,MOD(DV$1-Units!$Q15,12)=0),IF(AND(Units!$L15=1,DV$1=Units!$Q15),1,Inputs!$B$15)*Inputs!$B$16*(1+Inputs!$B$11)^(DV$2-1),0)</f>
        <v>0</v>
      </c>
      <c r="DW16" s="11" t="n">
        <f aca="false">IF(AND(DW$1&gt;=Units!$Q15,MOD(DW$1-Units!$Q15,12)=0),IF(AND(Units!$L15=1,DW$1=Units!$Q15),1,Inputs!$B$15)*Inputs!$B$16*(1+Inputs!$B$11)^(DW$2-1),0)</f>
        <v>0</v>
      </c>
      <c r="DX16" s="11" t="n">
        <f aca="false">IF(AND(DX$1&gt;=Units!$Q15,MOD(DX$1-Units!$Q15,12)=0),IF(AND(Units!$L15=1,DX$1=Units!$Q15),1,Inputs!$B$15)*Inputs!$B$16*(1+Inputs!$B$11)^(DX$2-1),0)</f>
        <v>0</v>
      </c>
      <c r="DY16" s="11" t="n">
        <f aca="false">IF(AND(DY$1&gt;=Units!$Q15,MOD(DY$1-Units!$Q15,12)=0),IF(AND(Units!$L15=1,DY$1=Units!$Q15),1,Inputs!$B$15)*Inputs!$B$16*(1+Inputs!$B$11)^(DY$2-1),0)</f>
        <v>0</v>
      </c>
      <c r="DZ16" s="11" t="n">
        <f aca="false">IF(AND(DZ$1&gt;=Units!$Q15,MOD(DZ$1-Units!$Q15,12)=0),IF(AND(Units!$L15=1,DZ$1=Units!$Q15),1,Inputs!$B$15)*Inputs!$B$16*(1+Inputs!$B$11)^(DZ$2-1),0)</f>
        <v>0</v>
      </c>
      <c r="EA16" s="11" t="n">
        <f aca="false">IF(AND(EA$1&gt;=Units!$Q15,MOD(EA$1-Units!$Q15,12)=0),IF(AND(Units!$L15=1,EA$1=Units!$Q15),1,Inputs!$B$15)*Inputs!$B$16*(1+Inputs!$B$11)^(EA$2-1),0)</f>
        <v>0</v>
      </c>
      <c r="EB16" s="11" t="n">
        <f aca="false">IF(AND(EB$1&gt;=Units!$Q15,MOD(EB$1-Units!$Q15,12)=0),IF(AND(Units!$L15=1,EB$1=Units!$Q15),1,Inputs!$B$15)*Inputs!$B$16*(1+Inputs!$B$11)^(EB$2-1),0)</f>
        <v>671.958189672061</v>
      </c>
      <c r="EC16" s="11" t="n">
        <f aca="false">IF(AND(EC$1&gt;=Units!$Q15,MOD(EC$1-Units!$Q15,12)=0),IF(AND(Units!$L15=1,EC$1=Units!$Q15),1,Inputs!$B$15)*Inputs!$B$16*(1+Inputs!$B$11)^(EC$2-1),0)</f>
        <v>0</v>
      </c>
      <c r="ED16" s="11" t="n">
        <f aca="false">IF(AND(ED$1&gt;=Units!$Q15,MOD(ED$1-Units!$Q15,12)=0),IF(AND(Units!$L15=1,ED$1=Units!$Q15),1,Inputs!$B$15)*Inputs!$B$16*(1+Inputs!$B$11)^(ED$2-1),0)</f>
        <v>0</v>
      </c>
    </row>
    <row r="17" customFormat="false" ht="15" hidden="false" customHeight="false" outlineLevel="0" collapsed="false">
      <c r="A17" s="22" t="n">
        <f aca="false">Units!A16</f>
        <v>115</v>
      </c>
      <c r="B17" s="23"/>
      <c r="C17" s="11" t="n">
        <f aca="false">IF(AND(C$1&gt;=Units!$Q16,MOD(C$1-Units!$Q16,12)=0),IF(AND(Units!$L16=1,C$1=Units!$Q16),1,Inputs!$B$15)*Inputs!$B$16*(1+Inputs!$B$11)^(C$2-1),0)</f>
        <v>0</v>
      </c>
      <c r="D17" s="11" t="n">
        <f aca="false">IF(AND(D$1&gt;=Units!$Q16,MOD(D$1-Units!$Q16,12)=0),IF(AND(Units!$L16=1,D$1=Units!$Q16),1,Inputs!$B$15)*Inputs!$B$16*(1+Inputs!$B$11)^(D$2-1),0)</f>
        <v>0</v>
      </c>
      <c r="E17" s="11" t="n">
        <f aca="false">IF(AND(E$1&gt;=Units!$Q16,MOD(E$1-Units!$Q16,12)=0),IF(AND(Units!$L16=1,E$1=Units!$Q16),1,Inputs!$B$15)*Inputs!$B$16*(1+Inputs!$B$11)^(E$2-1),0)</f>
        <v>0</v>
      </c>
      <c r="F17" s="11" t="n">
        <f aca="false">IF(AND(F$1&gt;=Units!$Q16,MOD(F$1-Units!$Q16,12)=0),IF(AND(Units!$L16=1,F$1=Units!$Q16),1,Inputs!$B$15)*Inputs!$B$16*(1+Inputs!$B$11)^(F$2-1),0)</f>
        <v>0</v>
      </c>
      <c r="G17" s="11" t="n">
        <f aca="false">IF(AND(G$1&gt;=Units!$Q16,MOD(G$1-Units!$Q16,12)=0),IF(AND(Units!$L16=1,G$1=Units!$Q16),1,Inputs!$B$15)*Inputs!$B$16*(1+Inputs!$B$11)^(G$2-1),0)</f>
        <v>0</v>
      </c>
      <c r="H17" s="11" t="n">
        <f aca="false">IF(AND(H$1&gt;=Units!$Q16,MOD(H$1-Units!$Q16,12)=0),IF(AND(Units!$L16=1,H$1=Units!$Q16),1,Inputs!$B$15)*Inputs!$B$16*(1+Inputs!$B$11)^(H$2-1),0)</f>
        <v>0</v>
      </c>
      <c r="I17" s="11" t="n">
        <f aca="false">IF(AND(I$1&gt;=Units!$Q16,MOD(I$1-Units!$Q16,12)=0),IF(AND(Units!$L16=1,I$1=Units!$Q16),1,Inputs!$B$15)*Inputs!$B$16*(1+Inputs!$B$11)^(I$2-1),0)</f>
        <v>0</v>
      </c>
      <c r="J17" s="11" t="n">
        <f aca="false">IF(AND(J$1&gt;=Units!$Q16,MOD(J$1-Units!$Q16,12)=0),IF(AND(Units!$L16=1,J$1=Units!$Q16),1,Inputs!$B$15)*Inputs!$B$16*(1+Inputs!$B$11)^(J$2-1),0)</f>
        <v>0</v>
      </c>
      <c r="K17" s="11" t="n">
        <f aca="false">IF(AND(K$1&gt;=Units!$Q16,MOD(K$1-Units!$Q16,12)=0),IF(AND(Units!$L16=1,K$1=Units!$Q16),1,Inputs!$B$15)*Inputs!$B$16*(1+Inputs!$B$11)^(K$2-1),0)</f>
        <v>0</v>
      </c>
      <c r="L17" s="11" t="n">
        <f aca="false">IF(AND(L$1&gt;=Units!$Q16,MOD(L$1-Units!$Q16,12)=0),IF(AND(Units!$L16=1,L$1=Units!$Q16),1,Inputs!$B$15)*Inputs!$B$16*(1+Inputs!$B$11)^(L$2-1),0)</f>
        <v>500</v>
      </c>
      <c r="M17" s="11" t="n">
        <f aca="false">IF(AND(M$1&gt;=Units!$Q16,MOD(M$1-Units!$Q16,12)=0),IF(AND(Units!$L16=1,M$1=Units!$Q16),1,Inputs!$B$15)*Inputs!$B$16*(1+Inputs!$B$11)^(M$2-1),0)</f>
        <v>0</v>
      </c>
      <c r="N17" s="11" t="n">
        <f aca="false">IF(AND(N$1&gt;=Units!$Q16,MOD(N$1-Units!$Q16,12)=0),IF(AND(Units!$L16=1,N$1=Units!$Q16),1,Inputs!$B$15)*Inputs!$B$16*(1+Inputs!$B$11)^(N$2-1),0)</f>
        <v>0</v>
      </c>
      <c r="O17" s="11" t="n">
        <f aca="false">IF(AND(O$1&gt;=Units!$Q16,MOD(O$1-Units!$Q16,12)=0),IF(AND(Units!$L16=1,O$1=Units!$Q16),1,Inputs!$B$15)*Inputs!$B$16*(1+Inputs!$B$11)^(O$2-1),0)</f>
        <v>0</v>
      </c>
      <c r="P17" s="11" t="n">
        <f aca="false">IF(AND(P$1&gt;=Units!$Q16,MOD(P$1-Units!$Q16,12)=0),IF(AND(Units!$L16=1,P$1=Units!$Q16),1,Inputs!$B$15)*Inputs!$B$16*(1+Inputs!$B$11)^(P$2-1),0)</f>
        <v>0</v>
      </c>
      <c r="Q17" s="11" t="n">
        <f aca="false">IF(AND(Q$1&gt;=Units!$Q16,MOD(Q$1-Units!$Q16,12)=0),IF(AND(Units!$L16=1,Q$1=Units!$Q16),1,Inputs!$B$15)*Inputs!$B$16*(1+Inputs!$B$11)^(Q$2-1),0)</f>
        <v>0</v>
      </c>
      <c r="R17" s="11" t="n">
        <f aca="false">IF(AND(R$1&gt;=Units!$Q16,MOD(R$1-Units!$Q16,12)=0),IF(AND(Units!$L16=1,R$1=Units!$Q16),1,Inputs!$B$15)*Inputs!$B$16*(1+Inputs!$B$11)^(R$2-1),0)</f>
        <v>0</v>
      </c>
      <c r="S17" s="11" t="n">
        <f aca="false">IF(AND(S$1&gt;=Units!$Q16,MOD(S$1-Units!$Q16,12)=0),IF(AND(Units!$L16=1,S$1=Units!$Q16),1,Inputs!$B$15)*Inputs!$B$16*(1+Inputs!$B$11)^(S$2-1),0)</f>
        <v>0</v>
      </c>
      <c r="T17" s="11" t="n">
        <f aca="false">IF(AND(T$1&gt;=Units!$Q16,MOD(T$1-Units!$Q16,12)=0),IF(AND(Units!$L16=1,T$1=Units!$Q16),1,Inputs!$B$15)*Inputs!$B$16*(1+Inputs!$B$11)^(T$2-1),0)</f>
        <v>0</v>
      </c>
      <c r="U17" s="11" t="n">
        <f aca="false">IF(AND(U$1&gt;=Units!$Q16,MOD(U$1-Units!$Q16,12)=0),IF(AND(Units!$L16=1,U$1=Units!$Q16),1,Inputs!$B$15)*Inputs!$B$16*(1+Inputs!$B$11)^(U$2-1),0)</f>
        <v>0</v>
      </c>
      <c r="V17" s="11" t="n">
        <f aca="false">IF(AND(V$1&gt;=Units!$Q16,MOD(V$1-Units!$Q16,12)=0),IF(AND(Units!$L16=1,V$1=Units!$Q16),1,Inputs!$B$15)*Inputs!$B$16*(1+Inputs!$B$11)^(V$2-1),0)</f>
        <v>0</v>
      </c>
      <c r="W17" s="11" t="n">
        <f aca="false">IF(AND(W$1&gt;=Units!$Q16,MOD(W$1-Units!$Q16,12)=0),IF(AND(Units!$L16=1,W$1=Units!$Q16),1,Inputs!$B$15)*Inputs!$B$16*(1+Inputs!$B$11)^(W$2-1),0)</f>
        <v>0</v>
      </c>
      <c r="X17" s="11" t="n">
        <f aca="false">IF(AND(X$1&gt;=Units!$Q16,MOD(X$1-Units!$Q16,12)=0),IF(AND(Units!$L16=1,X$1=Units!$Q16),1,Inputs!$B$15)*Inputs!$B$16*(1+Inputs!$B$11)^(X$2-1),0)</f>
        <v>515</v>
      </c>
      <c r="Y17" s="11" t="n">
        <f aca="false">IF(AND(Y$1&gt;=Units!$Q16,MOD(Y$1-Units!$Q16,12)=0),IF(AND(Units!$L16=1,Y$1=Units!$Q16),1,Inputs!$B$15)*Inputs!$B$16*(1+Inputs!$B$11)^(Y$2-1),0)</f>
        <v>0</v>
      </c>
      <c r="Z17" s="11" t="n">
        <f aca="false">IF(AND(Z$1&gt;=Units!$Q16,MOD(Z$1-Units!$Q16,12)=0),IF(AND(Units!$L16=1,Z$1=Units!$Q16),1,Inputs!$B$15)*Inputs!$B$16*(1+Inputs!$B$11)^(Z$2-1),0)</f>
        <v>0</v>
      </c>
      <c r="AA17" s="11" t="n">
        <f aca="false">IF(AND(AA$1&gt;=Units!$Q16,MOD(AA$1-Units!$Q16,12)=0),IF(AND(Units!$L16=1,AA$1=Units!$Q16),1,Inputs!$B$15)*Inputs!$B$16*(1+Inputs!$B$11)^(AA$2-1),0)</f>
        <v>0</v>
      </c>
      <c r="AB17" s="11" t="n">
        <f aca="false">IF(AND(AB$1&gt;=Units!$Q16,MOD(AB$1-Units!$Q16,12)=0),IF(AND(Units!$L16=1,AB$1=Units!$Q16),1,Inputs!$B$15)*Inputs!$B$16*(1+Inputs!$B$11)^(AB$2-1),0)</f>
        <v>0</v>
      </c>
      <c r="AC17" s="11" t="n">
        <f aca="false">IF(AND(AC$1&gt;=Units!$Q16,MOD(AC$1-Units!$Q16,12)=0),IF(AND(Units!$L16=1,AC$1=Units!$Q16),1,Inputs!$B$15)*Inputs!$B$16*(1+Inputs!$B$11)^(AC$2-1),0)</f>
        <v>0</v>
      </c>
      <c r="AD17" s="11" t="n">
        <f aca="false">IF(AND(AD$1&gt;=Units!$Q16,MOD(AD$1-Units!$Q16,12)=0),IF(AND(Units!$L16=1,AD$1=Units!$Q16),1,Inputs!$B$15)*Inputs!$B$16*(1+Inputs!$B$11)^(AD$2-1),0)</f>
        <v>0</v>
      </c>
      <c r="AE17" s="11" t="n">
        <f aca="false">IF(AND(AE$1&gt;=Units!$Q16,MOD(AE$1-Units!$Q16,12)=0),IF(AND(Units!$L16=1,AE$1=Units!$Q16),1,Inputs!$B$15)*Inputs!$B$16*(1+Inputs!$B$11)^(AE$2-1),0)</f>
        <v>0</v>
      </c>
      <c r="AF17" s="11" t="n">
        <f aca="false">IF(AND(AF$1&gt;=Units!$Q16,MOD(AF$1-Units!$Q16,12)=0),IF(AND(Units!$L16=1,AF$1=Units!$Q16),1,Inputs!$B$15)*Inputs!$B$16*(1+Inputs!$B$11)^(AF$2-1),0)</f>
        <v>0</v>
      </c>
      <c r="AG17" s="11" t="n">
        <f aca="false">IF(AND(AG$1&gt;=Units!$Q16,MOD(AG$1-Units!$Q16,12)=0),IF(AND(Units!$L16=1,AG$1=Units!$Q16),1,Inputs!$B$15)*Inputs!$B$16*(1+Inputs!$B$11)^(AG$2-1),0)</f>
        <v>0</v>
      </c>
      <c r="AH17" s="11" t="n">
        <f aca="false">IF(AND(AH$1&gt;=Units!$Q16,MOD(AH$1-Units!$Q16,12)=0),IF(AND(Units!$L16=1,AH$1=Units!$Q16),1,Inputs!$B$15)*Inputs!$B$16*(1+Inputs!$B$11)^(AH$2-1),0)</f>
        <v>0</v>
      </c>
      <c r="AI17" s="11" t="n">
        <f aca="false">IF(AND(AI$1&gt;=Units!$Q16,MOD(AI$1-Units!$Q16,12)=0),IF(AND(Units!$L16=1,AI$1=Units!$Q16),1,Inputs!$B$15)*Inputs!$B$16*(1+Inputs!$B$11)^(AI$2-1),0)</f>
        <v>0</v>
      </c>
      <c r="AJ17" s="11" t="n">
        <f aca="false">IF(AND(AJ$1&gt;=Units!$Q16,MOD(AJ$1-Units!$Q16,12)=0),IF(AND(Units!$L16=1,AJ$1=Units!$Q16),1,Inputs!$B$15)*Inputs!$B$16*(1+Inputs!$B$11)^(AJ$2-1),0)</f>
        <v>530.45</v>
      </c>
      <c r="AK17" s="11" t="n">
        <f aca="false">IF(AND(AK$1&gt;=Units!$Q16,MOD(AK$1-Units!$Q16,12)=0),IF(AND(Units!$L16=1,AK$1=Units!$Q16),1,Inputs!$B$15)*Inputs!$B$16*(1+Inputs!$B$11)^(AK$2-1),0)</f>
        <v>0</v>
      </c>
      <c r="AL17" s="11" t="n">
        <f aca="false">IF(AND(AL$1&gt;=Units!$Q16,MOD(AL$1-Units!$Q16,12)=0),IF(AND(Units!$L16=1,AL$1=Units!$Q16),1,Inputs!$B$15)*Inputs!$B$16*(1+Inputs!$B$11)^(AL$2-1),0)</f>
        <v>0</v>
      </c>
      <c r="AM17" s="11" t="n">
        <f aca="false">IF(AND(AM$1&gt;=Units!$Q16,MOD(AM$1-Units!$Q16,12)=0),IF(AND(Units!$L16=1,AM$1=Units!$Q16),1,Inputs!$B$15)*Inputs!$B$16*(1+Inputs!$B$11)^(AM$2-1),0)</f>
        <v>0</v>
      </c>
      <c r="AN17" s="11" t="n">
        <f aca="false">IF(AND(AN$1&gt;=Units!$Q16,MOD(AN$1-Units!$Q16,12)=0),IF(AND(Units!$L16=1,AN$1=Units!$Q16),1,Inputs!$B$15)*Inputs!$B$16*(1+Inputs!$B$11)^(AN$2-1),0)</f>
        <v>0</v>
      </c>
      <c r="AO17" s="11" t="n">
        <f aca="false">IF(AND(AO$1&gt;=Units!$Q16,MOD(AO$1-Units!$Q16,12)=0),IF(AND(Units!$L16=1,AO$1=Units!$Q16),1,Inputs!$B$15)*Inputs!$B$16*(1+Inputs!$B$11)^(AO$2-1),0)</f>
        <v>0</v>
      </c>
      <c r="AP17" s="11" t="n">
        <f aca="false">IF(AND(AP$1&gt;=Units!$Q16,MOD(AP$1-Units!$Q16,12)=0),IF(AND(Units!$L16=1,AP$1=Units!$Q16),1,Inputs!$B$15)*Inputs!$B$16*(1+Inputs!$B$11)^(AP$2-1),0)</f>
        <v>0</v>
      </c>
      <c r="AQ17" s="11" t="n">
        <f aca="false">IF(AND(AQ$1&gt;=Units!$Q16,MOD(AQ$1-Units!$Q16,12)=0),IF(AND(Units!$L16=1,AQ$1=Units!$Q16),1,Inputs!$B$15)*Inputs!$B$16*(1+Inputs!$B$11)^(AQ$2-1),0)</f>
        <v>0</v>
      </c>
      <c r="AR17" s="11" t="n">
        <f aca="false">IF(AND(AR$1&gt;=Units!$Q16,MOD(AR$1-Units!$Q16,12)=0),IF(AND(Units!$L16=1,AR$1=Units!$Q16),1,Inputs!$B$15)*Inputs!$B$16*(1+Inputs!$B$11)^(AR$2-1),0)</f>
        <v>0</v>
      </c>
      <c r="AS17" s="11" t="n">
        <f aca="false">IF(AND(AS$1&gt;=Units!$Q16,MOD(AS$1-Units!$Q16,12)=0),IF(AND(Units!$L16=1,AS$1=Units!$Q16),1,Inputs!$B$15)*Inputs!$B$16*(1+Inputs!$B$11)^(AS$2-1),0)</f>
        <v>0</v>
      </c>
      <c r="AT17" s="11" t="n">
        <f aca="false">IF(AND(AT$1&gt;=Units!$Q16,MOD(AT$1-Units!$Q16,12)=0),IF(AND(Units!$L16=1,AT$1=Units!$Q16),1,Inputs!$B$15)*Inputs!$B$16*(1+Inputs!$B$11)^(AT$2-1),0)</f>
        <v>0</v>
      </c>
      <c r="AU17" s="11" t="n">
        <f aca="false">IF(AND(AU$1&gt;=Units!$Q16,MOD(AU$1-Units!$Q16,12)=0),IF(AND(Units!$L16=1,AU$1=Units!$Q16),1,Inputs!$B$15)*Inputs!$B$16*(1+Inputs!$B$11)^(AU$2-1),0)</f>
        <v>0</v>
      </c>
      <c r="AV17" s="11" t="n">
        <f aca="false">IF(AND(AV$1&gt;=Units!$Q16,MOD(AV$1-Units!$Q16,12)=0),IF(AND(Units!$L16=1,AV$1=Units!$Q16),1,Inputs!$B$15)*Inputs!$B$16*(1+Inputs!$B$11)^(AV$2-1),0)</f>
        <v>546.3635</v>
      </c>
      <c r="AW17" s="11" t="n">
        <f aca="false">IF(AND(AW$1&gt;=Units!$Q16,MOD(AW$1-Units!$Q16,12)=0),IF(AND(Units!$L16=1,AW$1=Units!$Q16),1,Inputs!$B$15)*Inputs!$B$16*(1+Inputs!$B$11)^(AW$2-1),0)</f>
        <v>0</v>
      </c>
      <c r="AX17" s="11" t="n">
        <f aca="false">IF(AND(AX$1&gt;=Units!$Q16,MOD(AX$1-Units!$Q16,12)=0),IF(AND(Units!$L16=1,AX$1=Units!$Q16),1,Inputs!$B$15)*Inputs!$B$16*(1+Inputs!$B$11)^(AX$2-1),0)</f>
        <v>0</v>
      </c>
      <c r="AY17" s="11" t="n">
        <f aca="false">IF(AND(AY$1&gt;=Units!$Q16,MOD(AY$1-Units!$Q16,12)=0),IF(AND(Units!$L16=1,AY$1=Units!$Q16),1,Inputs!$B$15)*Inputs!$B$16*(1+Inputs!$B$11)^(AY$2-1),0)</f>
        <v>0</v>
      </c>
      <c r="AZ17" s="11" t="n">
        <f aca="false">IF(AND(AZ$1&gt;=Units!$Q16,MOD(AZ$1-Units!$Q16,12)=0),IF(AND(Units!$L16=1,AZ$1=Units!$Q16),1,Inputs!$B$15)*Inputs!$B$16*(1+Inputs!$B$11)^(AZ$2-1),0)</f>
        <v>0</v>
      </c>
      <c r="BA17" s="11" t="n">
        <f aca="false">IF(AND(BA$1&gt;=Units!$Q16,MOD(BA$1-Units!$Q16,12)=0),IF(AND(Units!$L16=1,BA$1=Units!$Q16),1,Inputs!$B$15)*Inputs!$B$16*(1+Inputs!$B$11)^(BA$2-1),0)</f>
        <v>0</v>
      </c>
      <c r="BB17" s="11" t="n">
        <f aca="false">IF(AND(BB$1&gt;=Units!$Q16,MOD(BB$1-Units!$Q16,12)=0),IF(AND(Units!$L16=1,BB$1=Units!$Q16),1,Inputs!$B$15)*Inputs!$B$16*(1+Inputs!$B$11)^(BB$2-1),0)</f>
        <v>0</v>
      </c>
      <c r="BC17" s="11" t="n">
        <f aca="false">IF(AND(BC$1&gt;=Units!$Q16,MOD(BC$1-Units!$Q16,12)=0),IF(AND(Units!$L16=1,BC$1=Units!$Q16),1,Inputs!$B$15)*Inputs!$B$16*(1+Inputs!$B$11)^(BC$2-1),0)</f>
        <v>0</v>
      </c>
      <c r="BD17" s="11" t="n">
        <f aca="false">IF(AND(BD$1&gt;=Units!$Q16,MOD(BD$1-Units!$Q16,12)=0),IF(AND(Units!$L16=1,BD$1=Units!$Q16),1,Inputs!$B$15)*Inputs!$B$16*(1+Inputs!$B$11)^(BD$2-1),0)</f>
        <v>0</v>
      </c>
      <c r="BE17" s="11" t="n">
        <f aca="false">IF(AND(BE$1&gt;=Units!$Q16,MOD(BE$1-Units!$Q16,12)=0),IF(AND(Units!$L16=1,BE$1=Units!$Q16),1,Inputs!$B$15)*Inputs!$B$16*(1+Inputs!$B$11)^(BE$2-1),0)</f>
        <v>0</v>
      </c>
      <c r="BF17" s="11" t="n">
        <f aca="false">IF(AND(BF$1&gt;=Units!$Q16,MOD(BF$1-Units!$Q16,12)=0),IF(AND(Units!$L16=1,BF$1=Units!$Q16),1,Inputs!$B$15)*Inputs!$B$16*(1+Inputs!$B$11)^(BF$2-1),0)</f>
        <v>0</v>
      </c>
      <c r="BG17" s="11" t="n">
        <f aca="false">IF(AND(BG$1&gt;=Units!$Q16,MOD(BG$1-Units!$Q16,12)=0),IF(AND(Units!$L16=1,BG$1=Units!$Q16),1,Inputs!$B$15)*Inputs!$B$16*(1+Inputs!$B$11)^(BG$2-1),0)</f>
        <v>0</v>
      </c>
      <c r="BH17" s="11" t="n">
        <f aca="false">IF(AND(BH$1&gt;=Units!$Q16,MOD(BH$1-Units!$Q16,12)=0),IF(AND(Units!$L16=1,BH$1=Units!$Q16),1,Inputs!$B$15)*Inputs!$B$16*(1+Inputs!$B$11)^(BH$2-1),0)</f>
        <v>562.754405</v>
      </c>
      <c r="BI17" s="11" t="n">
        <f aca="false">IF(AND(BI$1&gt;=Units!$Q16,MOD(BI$1-Units!$Q16,12)=0),IF(AND(Units!$L16=1,BI$1=Units!$Q16),1,Inputs!$B$15)*Inputs!$B$16*(1+Inputs!$B$11)^(BI$2-1),0)</f>
        <v>0</v>
      </c>
      <c r="BJ17" s="11" t="n">
        <f aca="false">IF(AND(BJ$1&gt;=Units!$Q16,MOD(BJ$1-Units!$Q16,12)=0),IF(AND(Units!$L16=1,BJ$1=Units!$Q16),1,Inputs!$B$15)*Inputs!$B$16*(1+Inputs!$B$11)^(BJ$2-1),0)</f>
        <v>0</v>
      </c>
      <c r="BK17" s="11" t="n">
        <f aca="false">IF(AND(BK$1&gt;=Units!$Q16,MOD(BK$1-Units!$Q16,12)=0),IF(AND(Units!$L16=1,BK$1=Units!$Q16),1,Inputs!$B$15)*Inputs!$B$16*(1+Inputs!$B$11)^(BK$2-1),0)</f>
        <v>0</v>
      </c>
      <c r="BL17" s="11" t="n">
        <f aca="false">IF(AND(BL$1&gt;=Units!$Q16,MOD(BL$1-Units!$Q16,12)=0),IF(AND(Units!$L16=1,BL$1=Units!$Q16),1,Inputs!$B$15)*Inputs!$B$16*(1+Inputs!$B$11)^(BL$2-1),0)</f>
        <v>0</v>
      </c>
      <c r="BM17" s="11" t="n">
        <f aca="false">IF(AND(BM$1&gt;=Units!$Q16,MOD(BM$1-Units!$Q16,12)=0),IF(AND(Units!$L16=1,BM$1=Units!$Q16),1,Inputs!$B$15)*Inputs!$B$16*(1+Inputs!$B$11)^(BM$2-1),0)</f>
        <v>0</v>
      </c>
      <c r="BN17" s="11" t="n">
        <f aca="false">IF(AND(BN$1&gt;=Units!$Q16,MOD(BN$1-Units!$Q16,12)=0),IF(AND(Units!$L16=1,BN$1=Units!$Q16),1,Inputs!$B$15)*Inputs!$B$16*(1+Inputs!$B$11)^(BN$2-1),0)</f>
        <v>0</v>
      </c>
      <c r="BO17" s="11" t="n">
        <f aca="false">IF(AND(BO$1&gt;=Units!$Q16,MOD(BO$1-Units!$Q16,12)=0),IF(AND(Units!$L16=1,BO$1=Units!$Q16),1,Inputs!$B$15)*Inputs!$B$16*(1+Inputs!$B$11)^(BO$2-1),0)</f>
        <v>0</v>
      </c>
      <c r="BP17" s="11" t="n">
        <f aca="false">IF(AND(BP$1&gt;=Units!$Q16,MOD(BP$1-Units!$Q16,12)=0),IF(AND(Units!$L16=1,BP$1=Units!$Q16),1,Inputs!$B$15)*Inputs!$B$16*(1+Inputs!$B$11)^(BP$2-1),0)</f>
        <v>0</v>
      </c>
      <c r="BQ17" s="11" t="n">
        <f aca="false">IF(AND(BQ$1&gt;=Units!$Q16,MOD(BQ$1-Units!$Q16,12)=0),IF(AND(Units!$L16=1,BQ$1=Units!$Q16),1,Inputs!$B$15)*Inputs!$B$16*(1+Inputs!$B$11)^(BQ$2-1),0)</f>
        <v>0</v>
      </c>
      <c r="BR17" s="11" t="n">
        <f aca="false">IF(AND(BR$1&gt;=Units!$Q16,MOD(BR$1-Units!$Q16,12)=0),IF(AND(Units!$L16=1,BR$1=Units!$Q16),1,Inputs!$B$15)*Inputs!$B$16*(1+Inputs!$B$11)^(BR$2-1),0)</f>
        <v>0</v>
      </c>
      <c r="BS17" s="11" t="n">
        <f aca="false">IF(AND(BS$1&gt;=Units!$Q16,MOD(BS$1-Units!$Q16,12)=0),IF(AND(Units!$L16=1,BS$1=Units!$Q16),1,Inputs!$B$15)*Inputs!$B$16*(1+Inputs!$B$11)^(BS$2-1),0)</f>
        <v>0</v>
      </c>
      <c r="BT17" s="11" t="n">
        <f aca="false">IF(AND(BT$1&gt;=Units!$Q16,MOD(BT$1-Units!$Q16,12)=0),IF(AND(Units!$L16=1,BT$1=Units!$Q16),1,Inputs!$B$15)*Inputs!$B$16*(1+Inputs!$B$11)^(BT$2-1),0)</f>
        <v>579.63703715</v>
      </c>
      <c r="BU17" s="11" t="n">
        <f aca="false">IF(AND(BU$1&gt;=Units!$Q16,MOD(BU$1-Units!$Q16,12)=0),IF(AND(Units!$L16=1,BU$1=Units!$Q16),1,Inputs!$B$15)*Inputs!$B$16*(1+Inputs!$B$11)^(BU$2-1),0)</f>
        <v>0</v>
      </c>
      <c r="BV17" s="11" t="n">
        <f aca="false">IF(AND(BV$1&gt;=Units!$Q16,MOD(BV$1-Units!$Q16,12)=0),IF(AND(Units!$L16=1,BV$1=Units!$Q16),1,Inputs!$B$15)*Inputs!$B$16*(1+Inputs!$B$11)^(BV$2-1),0)</f>
        <v>0</v>
      </c>
      <c r="BW17" s="11" t="n">
        <f aca="false">IF(AND(BW$1&gt;=Units!$Q16,MOD(BW$1-Units!$Q16,12)=0),IF(AND(Units!$L16=1,BW$1=Units!$Q16),1,Inputs!$B$15)*Inputs!$B$16*(1+Inputs!$B$11)^(BW$2-1),0)</f>
        <v>0</v>
      </c>
      <c r="BX17" s="11" t="n">
        <f aca="false">IF(AND(BX$1&gt;=Units!$Q16,MOD(BX$1-Units!$Q16,12)=0),IF(AND(Units!$L16=1,BX$1=Units!$Q16),1,Inputs!$B$15)*Inputs!$B$16*(1+Inputs!$B$11)^(BX$2-1),0)</f>
        <v>0</v>
      </c>
      <c r="BY17" s="11" t="n">
        <f aca="false">IF(AND(BY$1&gt;=Units!$Q16,MOD(BY$1-Units!$Q16,12)=0),IF(AND(Units!$L16=1,BY$1=Units!$Q16),1,Inputs!$B$15)*Inputs!$B$16*(1+Inputs!$B$11)^(BY$2-1),0)</f>
        <v>0</v>
      </c>
      <c r="BZ17" s="11" t="n">
        <f aca="false">IF(AND(BZ$1&gt;=Units!$Q16,MOD(BZ$1-Units!$Q16,12)=0),IF(AND(Units!$L16=1,BZ$1=Units!$Q16),1,Inputs!$B$15)*Inputs!$B$16*(1+Inputs!$B$11)^(BZ$2-1),0)</f>
        <v>0</v>
      </c>
      <c r="CA17" s="11" t="n">
        <f aca="false">IF(AND(CA$1&gt;=Units!$Q16,MOD(CA$1-Units!$Q16,12)=0),IF(AND(Units!$L16=1,CA$1=Units!$Q16),1,Inputs!$B$15)*Inputs!$B$16*(1+Inputs!$B$11)^(CA$2-1),0)</f>
        <v>0</v>
      </c>
      <c r="CB17" s="11" t="n">
        <f aca="false">IF(AND(CB$1&gt;=Units!$Q16,MOD(CB$1-Units!$Q16,12)=0),IF(AND(Units!$L16=1,CB$1=Units!$Q16),1,Inputs!$B$15)*Inputs!$B$16*(1+Inputs!$B$11)^(CB$2-1),0)</f>
        <v>0</v>
      </c>
      <c r="CC17" s="11" t="n">
        <f aca="false">IF(AND(CC$1&gt;=Units!$Q16,MOD(CC$1-Units!$Q16,12)=0),IF(AND(Units!$L16=1,CC$1=Units!$Q16),1,Inputs!$B$15)*Inputs!$B$16*(1+Inputs!$B$11)^(CC$2-1),0)</f>
        <v>0</v>
      </c>
      <c r="CD17" s="11" t="n">
        <f aca="false">IF(AND(CD$1&gt;=Units!$Q16,MOD(CD$1-Units!$Q16,12)=0),IF(AND(Units!$L16=1,CD$1=Units!$Q16),1,Inputs!$B$15)*Inputs!$B$16*(1+Inputs!$B$11)^(CD$2-1),0)</f>
        <v>0</v>
      </c>
      <c r="CE17" s="11" t="n">
        <f aca="false">IF(AND(CE$1&gt;=Units!$Q16,MOD(CE$1-Units!$Q16,12)=0),IF(AND(Units!$L16=1,CE$1=Units!$Q16),1,Inputs!$B$15)*Inputs!$B$16*(1+Inputs!$B$11)^(CE$2-1),0)</f>
        <v>0</v>
      </c>
      <c r="CF17" s="11" t="n">
        <f aca="false">IF(AND(CF$1&gt;=Units!$Q16,MOD(CF$1-Units!$Q16,12)=0),IF(AND(Units!$L16=1,CF$1=Units!$Q16),1,Inputs!$B$15)*Inputs!$B$16*(1+Inputs!$B$11)^(CF$2-1),0)</f>
        <v>597.0261482645</v>
      </c>
      <c r="CG17" s="11" t="n">
        <f aca="false">IF(AND(CG$1&gt;=Units!$Q16,MOD(CG$1-Units!$Q16,12)=0),IF(AND(Units!$L16=1,CG$1=Units!$Q16),1,Inputs!$B$15)*Inputs!$B$16*(1+Inputs!$B$11)^(CG$2-1),0)</f>
        <v>0</v>
      </c>
      <c r="CH17" s="11" t="n">
        <f aca="false">IF(AND(CH$1&gt;=Units!$Q16,MOD(CH$1-Units!$Q16,12)=0),IF(AND(Units!$L16=1,CH$1=Units!$Q16),1,Inputs!$B$15)*Inputs!$B$16*(1+Inputs!$B$11)^(CH$2-1),0)</f>
        <v>0</v>
      </c>
      <c r="CI17" s="11" t="n">
        <f aca="false">IF(AND(CI$1&gt;=Units!$Q16,MOD(CI$1-Units!$Q16,12)=0),IF(AND(Units!$L16=1,CI$1=Units!$Q16),1,Inputs!$B$15)*Inputs!$B$16*(1+Inputs!$B$11)^(CI$2-1),0)</f>
        <v>0</v>
      </c>
      <c r="CJ17" s="11" t="n">
        <f aca="false">IF(AND(CJ$1&gt;=Units!$Q16,MOD(CJ$1-Units!$Q16,12)=0),IF(AND(Units!$L16=1,CJ$1=Units!$Q16),1,Inputs!$B$15)*Inputs!$B$16*(1+Inputs!$B$11)^(CJ$2-1),0)</f>
        <v>0</v>
      </c>
      <c r="CK17" s="11" t="n">
        <f aca="false">IF(AND(CK$1&gt;=Units!$Q16,MOD(CK$1-Units!$Q16,12)=0),IF(AND(Units!$L16=1,CK$1=Units!$Q16),1,Inputs!$B$15)*Inputs!$B$16*(1+Inputs!$B$11)^(CK$2-1),0)</f>
        <v>0</v>
      </c>
      <c r="CL17" s="11" t="n">
        <f aca="false">IF(AND(CL$1&gt;=Units!$Q16,MOD(CL$1-Units!$Q16,12)=0),IF(AND(Units!$L16=1,CL$1=Units!$Q16),1,Inputs!$B$15)*Inputs!$B$16*(1+Inputs!$B$11)^(CL$2-1),0)</f>
        <v>0</v>
      </c>
      <c r="CM17" s="11" t="n">
        <f aca="false">IF(AND(CM$1&gt;=Units!$Q16,MOD(CM$1-Units!$Q16,12)=0),IF(AND(Units!$L16=1,CM$1=Units!$Q16),1,Inputs!$B$15)*Inputs!$B$16*(1+Inputs!$B$11)^(CM$2-1),0)</f>
        <v>0</v>
      </c>
      <c r="CN17" s="11" t="n">
        <f aca="false">IF(AND(CN$1&gt;=Units!$Q16,MOD(CN$1-Units!$Q16,12)=0),IF(AND(Units!$L16=1,CN$1=Units!$Q16),1,Inputs!$B$15)*Inputs!$B$16*(1+Inputs!$B$11)^(CN$2-1),0)</f>
        <v>0</v>
      </c>
      <c r="CO17" s="11" t="n">
        <f aca="false">IF(AND(CO$1&gt;=Units!$Q16,MOD(CO$1-Units!$Q16,12)=0),IF(AND(Units!$L16=1,CO$1=Units!$Q16),1,Inputs!$B$15)*Inputs!$B$16*(1+Inputs!$B$11)^(CO$2-1),0)</f>
        <v>0</v>
      </c>
      <c r="CP17" s="11" t="n">
        <f aca="false">IF(AND(CP$1&gt;=Units!$Q16,MOD(CP$1-Units!$Q16,12)=0),IF(AND(Units!$L16=1,CP$1=Units!$Q16),1,Inputs!$B$15)*Inputs!$B$16*(1+Inputs!$B$11)^(CP$2-1),0)</f>
        <v>0</v>
      </c>
      <c r="CQ17" s="11" t="n">
        <f aca="false">IF(AND(CQ$1&gt;=Units!$Q16,MOD(CQ$1-Units!$Q16,12)=0),IF(AND(Units!$L16=1,CQ$1=Units!$Q16),1,Inputs!$B$15)*Inputs!$B$16*(1+Inputs!$B$11)^(CQ$2-1),0)</f>
        <v>0</v>
      </c>
      <c r="CR17" s="11" t="n">
        <f aca="false">IF(AND(CR$1&gt;=Units!$Q16,MOD(CR$1-Units!$Q16,12)=0),IF(AND(Units!$L16=1,CR$1=Units!$Q16),1,Inputs!$B$15)*Inputs!$B$16*(1+Inputs!$B$11)^(CR$2-1),0)</f>
        <v>614.936932712435</v>
      </c>
      <c r="CS17" s="11" t="n">
        <f aca="false">IF(AND(CS$1&gt;=Units!$Q16,MOD(CS$1-Units!$Q16,12)=0),IF(AND(Units!$L16=1,CS$1=Units!$Q16),1,Inputs!$B$15)*Inputs!$B$16*(1+Inputs!$B$11)^(CS$2-1),0)</f>
        <v>0</v>
      </c>
      <c r="CT17" s="11" t="n">
        <f aca="false">IF(AND(CT$1&gt;=Units!$Q16,MOD(CT$1-Units!$Q16,12)=0),IF(AND(Units!$L16=1,CT$1=Units!$Q16),1,Inputs!$B$15)*Inputs!$B$16*(1+Inputs!$B$11)^(CT$2-1),0)</f>
        <v>0</v>
      </c>
      <c r="CU17" s="11" t="n">
        <f aca="false">IF(AND(CU$1&gt;=Units!$Q16,MOD(CU$1-Units!$Q16,12)=0),IF(AND(Units!$L16=1,CU$1=Units!$Q16),1,Inputs!$B$15)*Inputs!$B$16*(1+Inputs!$B$11)^(CU$2-1),0)</f>
        <v>0</v>
      </c>
      <c r="CV17" s="11" t="n">
        <f aca="false">IF(AND(CV$1&gt;=Units!$Q16,MOD(CV$1-Units!$Q16,12)=0),IF(AND(Units!$L16=1,CV$1=Units!$Q16),1,Inputs!$B$15)*Inputs!$B$16*(1+Inputs!$B$11)^(CV$2-1),0)</f>
        <v>0</v>
      </c>
      <c r="CW17" s="11" t="n">
        <f aca="false">IF(AND(CW$1&gt;=Units!$Q16,MOD(CW$1-Units!$Q16,12)=0),IF(AND(Units!$L16=1,CW$1=Units!$Q16),1,Inputs!$B$15)*Inputs!$B$16*(1+Inputs!$B$11)^(CW$2-1),0)</f>
        <v>0</v>
      </c>
      <c r="CX17" s="11" t="n">
        <f aca="false">IF(AND(CX$1&gt;=Units!$Q16,MOD(CX$1-Units!$Q16,12)=0),IF(AND(Units!$L16=1,CX$1=Units!$Q16),1,Inputs!$B$15)*Inputs!$B$16*(1+Inputs!$B$11)^(CX$2-1),0)</f>
        <v>0</v>
      </c>
      <c r="CY17" s="11" t="n">
        <f aca="false">IF(AND(CY$1&gt;=Units!$Q16,MOD(CY$1-Units!$Q16,12)=0),IF(AND(Units!$L16=1,CY$1=Units!$Q16),1,Inputs!$B$15)*Inputs!$B$16*(1+Inputs!$B$11)^(CY$2-1),0)</f>
        <v>0</v>
      </c>
      <c r="CZ17" s="11" t="n">
        <f aca="false">IF(AND(CZ$1&gt;=Units!$Q16,MOD(CZ$1-Units!$Q16,12)=0),IF(AND(Units!$L16=1,CZ$1=Units!$Q16),1,Inputs!$B$15)*Inputs!$B$16*(1+Inputs!$B$11)^(CZ$2-1),0)</f>
        <v>0</v>
      </c>
      <c r="DA17" s="11" t="n">
        <f aca="false">IF(AND(DA$1&gt;=Units!$Q16,MOD(DA$1-Units!$Q16,12)=0),IF(AND(Units!$L16=1,DA$1=Units!$Q16),1,Inputs!$B$15)*Inputs!$B$16*(1+Inputs!$B$11)^(DA$2-1),0)</f>
        <v>0</v>
      </c>
      <c r="DB17" s="11" t="n">
        <f aca="false">IF(AND(DB$1&gt;=Units!$Q16,MOD(DB$1-Units!$Q16,12)=0),IF(AND(Units!$L16=1,DB$1=Units!$Q16),1,Inputs!$B$15)*Inputs!$B$16*(1+Inputs!$B$11)^(DB$2-1),0)</f>
        <v>0</v>
      </c>
      <c r="DC17" s="11" t="n">
        <f aca="false">IF(AND(DC$1&gt;=Units!$Q16,MOD(DC$1-Units!$Q16,12)=0),IF(AND(Units!$L16=1,DC$1=Units!$Q16),1,Inputs!$B$15)*Inputs!$B$16*(1+Inputs!$B$11)^(DC$2-1),0)</f>
        <v>0</v>
      </c>
      <c r="DD17" s="11" t="n">
        <f aca="false">IF(AND(DD$1&gt;=Units!$Q16,MOD(DD$1-Units!$Q16,12)=0),IF(AND(Units!$L16=1,DD$1=Units!$Q16),1,Inputs!$B$15)*Inputs!$B$16*(1+Inputs!$B$11)^(DD$2-1),0)</f>
        <v>633.385040693808</v>
      </c>
      <c r="DE17" s="11" t="n">
        <f aca="false">IF(AND(DE$1&gt;=Units!$Q16,MOD(DE$1-Units!$Q16,12)=0),IF(AND(Units!$L16=1,DE$1=Units!$Q16),1,Inputs!$B$15)*Inputs!$B$16*(1+Inputs!$B$11)^(DE$2-1),0)</f>
        <v>0</v>
      </c>
      <c r="DF17" s="11" t="n">
        <f aca="false">IF(AND(DF$1&gt;=Units!$Q16,MOD(DF$1-Units!$Q16,12)=0),IF(AND(Units!$L16=1,DF$1=Units!$Q16),1,Inputs!$B$15)*Inputs!$B$16*(1+Inputs!$B$11)^(DF$2-1),0)</f>
        <v>0</v>
      </c>
      <c r="DG17" s="11" t="n">
        <f aca="false">IF(AND(DG$1&gt;=Units!$Q16,MOD(DG$1-Units!$Q16,12)=0),IF(AND(Units!$L16=1,DG$1=Units!$Q16),1,Inputs!$B$15)*Inputs!$B$16*(1+Inputs!$B$11)^(DG$2-1),0)</f>
        <v>0</v>
      </c>
      <c r="DH17" s="11" t="n">
        <f aca="false">IF(AND(DH$1&gt;=Units!$Q16,MOD(DH$1-Units!$Q16,12)=0),IF(AND(Units!$L16=1,DH$1=Units!$Q16),1,Inputs!$B$15)*Inputs!$B$16*(1+Inputs!$B$11)^(DH$2-1),0)</f>
        <v>0</v>
      </c>
      <c r="DI17" s="11" t="n">
        <f aca="false">IF(AND(DI$1&gt;=Units!$Q16,MOD(DI$1-Units!$Q16,12)=0),IF(AND(Units!$L16=1,DI$1=Units!$Q16),1,Inputs!$B$15)*Inputs!$B$16*(1+Inputs!$B$11)^(DI$2-1),0)</f>
        <v>0</v>
      </c>
      <c r="DJ17" s="11" t="n">
        <f aca="false">IF(AND(DJ$1&gt;=Units!$Q16,MOD(DJ$1-Units!$Q16,12)=0),IF(AND(Units!$L16=1,DJ$1=Units!$Q16),1,Inputs!$B$15)*Inputs!$B$16*(1+Inputs!$B$11)^(DJ$2-1),0)</f>
        <v>0</v>
      </c>
      <c r="DK17" s="11" t="n">
        <f aca="false">IF(AND(DK$1&gt;=Units!$Q16,MOD(DK$1-Units!$Q16,12)=0),IF(AND(Units!$L16=1,DK$1=Units!$Q16),1,Inputs!$B$15)*Inputs!$B$16*(1+Inputs!$B$11)^(DK$2-1),0)</f>
        <v>0</v>
      </c>
      <c r="DL17" s="11" t="n">
        <f aca="false">IF(AND(DL$1&gt;=Units!$Q16,MOD(DL$1-Units!$Q16,12)=0),IF(AND(Units!$L16=1,DL$1=Units!$Q16),1,Inputs!$B$15)*Inputs!$B$16*(1+Inputs!$B$11)^(DL$2-1),0)</f>
        <v>0</v>
      </c>
      <c r="DM17" s="11" t="n">
        <f aca="false">IF(AND(DM$1&gt;=Units!$Q16,MOD(DM$1-Units!$Q16,12)=0),IF(AND(Units!$L16=1,DM$1=Units!$Q16),1,Inputs!$B$15)*Inputs!$B$16*(1+Inputs!$B$11)^(DM$2-1),0)</f>
        <v>0</v>
      </c>
      <c r="DN17" s="11" t="n">
        <f aca="false">IF(AND(DN$1&gt;=Units!$Q16,MOD(DN$1-Units!$Q16,12)=0),IF(AND(Units!$L16=1,DN$1=Units!$Q16),1,Inputs!$B$15)*Inputs!$B$16*(1+Inputs!$B$11)^(DN$2-1),0)</f>
        <v>0</v>
      </c>
      <c r="DO17" s="11" t="n">
        <f aca="false">IF(AND(DO$1&gt;=Units!$Q16,MOD(DO$1-Units!$Q16,12)=0),IF(AND(Units!$L16=1,DO$1=Units!$Q16),1,Inputs!$B$15)*Inputs!$B$16*(1+Inputs!$B$11)^(DO$2-1),0)</f>
        <v>0</v>
      </c>
      <c r="DP17" s="11" t="n">
        <f aca="false">IF(AND(DP$1&gt;=Units!$Q16,MOD(DP$1-Units!$Q16,12)=0),IF(AND(Units!$L16=1,DP$1=Units!$Q16),1,Inputs!$B$15)*Inputs!$B$16*(1+Inputs!$B$11)^(DP$2-1),0)</f>
        <v>652.386591914623</v>
      </c>
      <c r="DQ17" s="11" t="n">
        <f aca="false">IF(AND(DQ$1&gt;=Units!$Q16,MOD(DQ$1-Units!$Q16,12)=0),IF(AND(Units!$L16=1,DQ$1=Units!$Q16),1,Inputs!$B$15)*Inputs!$B$16*(1+Inputs!$B$11)^(DQ$2-1),0)</f>
        <v>0</v>
      </c>
      <c r="DR17" s="11" t="n">
        <f aca="false">IF(AND(DR$1&gt;=Units!$Q16,MOD(DR$1-Units!$Q16,12)=0),IF(AND(Units!$L16=1,DR$1=Units!$Q16),1,Inputs!$B$15)*Inputs!$B$16*(1+Inputs!$B$11)^(DR$2-1),0)</f>
        <v>0</v>
      </c>
      <c r="DS17" s="11" t="n">
        <f aca="false">IF(AND(DS$1&gt;=Units!$Q16,MOD(DS$1-Units!$Q16,12)=0),IF(AND(Units!$L16=1,DS$1=Units!$Q16),1,Inputs!$B$15)*Inputs!$B$16*(1+Inputs!$B$11)^(DS$2-1),0)</f>
        <v>0</v>
      </c>
      <c r="DT17" s="11" t="n">
        <f aca="false">IF(AND(DT$1&gt;=Units!$Q16,MOD(DT$1-Units!$Q16,12)=0),IF(AND(Units!$L16=1,DT$1=Units!$Q16),1,Inputs!$B$15)*Inputs!$B$16*(1+Inputs!$B$11)^(DT$2-1),0)</f>
        <v>0</v>
      </c>
      <c r="DU17" s="11" t="n">
        <f aca="false">IF(AND(DU$1&gt;=Units!$Q16,MOD(DU$1-Units!$Q16,12)=0),IF(AND(Units!$L16=1,DU$1=Units!$Q16),1,Inputs!$B$15)*Inputs!$B$16*(1+Inputs!$B$11)^(DU$2-1),0)</f>
        <v>0</v>
      </c>
      <c r="DV17" s="11" t="n">
        <f aca="false">IF(AND(DV$1&gt;=Units!$Q16,MOD(DV$1-Units!$Q16,12)=0),IF(AND(Units!$L16=1,DV$1=Units!$Q16),1,Inputs!$B$15)*Inputs!$B$16*(1+Inputs!$B$11)^(DV$2-1),0)</f>
        <v>0</v>
      </c>
      <c r="DW17" s="11" t="n">
        <f aca="false">IF(AND(DW$1&gt;=Units!$Q16,MOD(DW$1-Units!$Q16,12)=0),IF(AND(Units!$L16=1,DW$1=Units!$Q16),1,Inputs!$B$15)*Inputs!$B$16*(1+Inputs!$B$11)^(DW$2-1),0)</f>
        <v>0</v>
      </c>
      <c r="DX17" s="11" t="n">
        <f aca="false">IF(AND(DX$1&gt;=Units!$Q16,MOD(DX$1-Units!$Q16,12)=0),IF(AND(Units!$L16=1,DX$1=Units!$Q16),1,Inputs!$B$15)*Inputs!$B$16*(1+Inputs!$B$11)^(DX$2-1),0)</f>
        <v>0</v>
      </c>
      <c r="DY17" s="11" t="n">
        <f aca="false">IF(AND(DY$1&gt;=Units!$Q16,MOD(DY$1-Units!$Q16,12)=0),IF(AND(Units!$L16=1,DY$1=Units!$Q16),1,Inputs!$B$15)*Inputs!$B$16*(1+Inputs!$B$11)^(DY$2-1),0)</f>
        <v>0</v>
      </c>
      <c r="DZ17" s="11" t="n">
        <f aca="false">IF(AND(DZ$1&gt;=Units!$Q16,MOD(DZ$1-Units!$Q16,12)=0),IF(AND(Units!$L16=1,DZ$1=Units!$Q16),1,Inputs!$B$15)*Inputs!$B$16*(1+Inputs!$B$11)^(DZ$2-1),0)</f>
        <v>0</v>
      </c>
      <c r="EA17" s="11" t="n">
        <f aca="false">IF(AND(EA$1&gt;=Units!$Q16,MOD(EA$1-Units!$Q16,12)=0),IF(AND(Units!$L16=1,EA$1=Units!$Q16),1,Inputs!$B$15)*Inputs!$B$16*(1+Inputs!$B$11)^(EA$2-1),0)</f>
        <v>0</v>
      </c>
      <c r="EB17" s="11" t="n">
        <f aca="false">IF(AND(EB$1&gt;=Units!$Q16,MOD(EB$1-Units!$Q16,12)=0),IF(AND(Units!$L16=1,EB$1=Units!$Q16),1,Inputs!$B$15)*Inputs!$B$16*(1+Inputs!$B$11)^(EB$2-1),0)</f>
        <v>671.958189672061</v>
      </c>
      <c r="EC17" s="11" t="n">
        <f aca="false">IF(AND(EC$1&gt;=Units!$Q16,MOD(EC$1-Units!$Q16,12)=0),IF(AND(Units!$L16=1,EC$1=Units!$Q16),1,Inputs!$B$15)*Inputs!$B$16*(1+Inputs!$B$11)^(EC$2-1),0)</f>
        <v>0</v>
      </c>
      <c r="ED17" s="11" t="n">
        <f aca="false">IF(AND(ED$1&gt;=Units!$Q16,MOD(ED$1-Units!$Q16,12)=0),IF(AND(Units!$L16=1,ED$1=Units!$Q16),1,Inputs!$B$15)*Inputs!$B$16*(1+Inputs!$B$11)^(ED$2-1),0)</f>
        <v>0</v>
      </c>
    </row>
    <row r="18" customFormat="false" ht="15" hidden="false" customHeight="false" outlineLevel="0" collapsed="false">
      <c r="A18" s="22" t="n">
        <f aca="false">Units!A17</f>
        <v>116</v>
      </c>
      <c r="B18" s="23"/>
      <c r="C18" s="11" t="n">
        <f aca="false">IF(AND(C$1&gt;=Units!$Q17,MOD(C$1-Units!$Q17,12)=0),IF(AND(Units!$L17=1,C$1=Units!$Q17),1,Inputs!$B$15)*Inputs!$B$16*(1+Inputs!$B$11)^(C$2-1),0)</f>
        <v>0</v>
      </c>
      <c r="D18" s="11" t="n">
        <f aca="false">IF(AND(D$1&gt;=Units!$Q17,MOD(D$1-Units!$Q17,12)=0),IF(AND(Units!$L17=1,D$1=Units!$Q17),1,Inputs!$B$15)*Inputs!$B$16*(1+Inputs!$B$11)^(D$2-1),0)</f>
        <v>500</v>
      </c>
      <c r="E18" s="11" t="n">
        <f aca="false">IF(AND(E$1&gt;=Units!$Q17,MOD(E$1-Units!$Q17,12)=0),IF(AND(Units!$L17=1,E$1=Units!$Q17),1,Inputs!$B$15)*Inputs!$B$16*(1+Inputs!$B$11)^(E$2-1),0)</f>
        <v>0</v>
      </c>
      <c r="F18" s="11" t="n">
        <f aca="false">IF(AND(F$1&gt;=Units!$Q17,MOD(F$1-Units!$Q17,12)=0),IF(AND(Units!$L17=1,F$1=Units!$Q17),1,Inputs!$B$15)*Inputs!$B$16*(1+Inputs!$B$11)^(F$2-1),0)</f>
        <v>0</v>
      </c>
      <c r="G18" s="11" t="n">
        <f aca="false">IF(AND(G$1&gt;=Units!$Q17,MOD(G$1-Units!$Q17,12)=0),IF(AND(Units!$L17=1,G$1=Units!$Q17),1,Inputs!$B$15)*Inputs!$B$16*(1+Inputs!$B$11)^(G$2-1),0)</f>
        <v>0</v>
      </c>
      <c r="H18" s="11" t="n">
        <f aca="false">IF(AND(H$1&gt;=Units!$Q17,MOD(H$1-Units!$Q17,12)=0),IF(AND(Units!$L17=1,H$1=Units!$Q17),1,Inputs!$B$15)*Inputs!$B$16*(1+Inputs!$B$11)^(H$2-1),0)</f>
        <v>0</v>
      </c>
      <c r="I18" s="11" t="n">
        <f aca="false">IF(AND(I$1&gt;=Units!$Q17,MOD(I$1-Units!$Q17,12)=0),IF(AND(Units!$L17=1,I$1=Units!$Q17),1,Inputs!$B$15)*Inputs!$B$16*(1+Inputs!$B$11)^(I$2-1),0)</f>
        <v>0</v>
      </c>
      <c r="J18" s="11" t="n">
        <f aca="false">IF(AND(J$1&gt;=Units!$Q17,MOD(J$1-Units!$Q17,12)=0),IF(AND(Units!$L17=1,J$1=Units!$Q17),1,Inputs!$B$15)*Inputs!$B$16*(1+Inputs!$B$11)^(J$2-1),0)</f>
        <v>0</v>
      </c>
      <c r="K18" s="11" t="n">
        <f aca="false">IF(AND(K$1&gt;=Units!$Q17,MOD(K$1-Units!$Q17,12)=0),IF(AND(Units!$L17=1,K$1=Units!$Q17),1,Inputs!$B$15)*Inputs!$B$16*(1+Inputs!$B$11)^(K$2-1),0)</f>
        <v>0</v>
      </c>
      <c r="L18" s="11" t="n">
        <f aca="false">IF(AND(L$1&gt;=Units!$Q17,MOD(L$1-Units!$Q17,12)=0),IF(AND(Units!$L17=1,L$1=Units!$Q17),1,Inputs!$B$15)*Inputs!$B$16*(1+Inputs!$B$11)^(L$2-1),0)</f>
        <v>0</v>
      </c>
      <c r="M18" s="11" t="n">
        <f aca="false">IF(AND(M$1&gt;=Units!$Q17,MOD(M$1-Units!$Q17,12)=0),IF(AND(Units!$L17=1,M$1=Units!$Q17),1,Inputs!$B$15)*Inputs!$B$16*(1+Inputs!$B$11)^(M$2-1),0)</f>
        <v>0</v>
      </c>
      <c r="N18" s="11" t="n">
        <f aca="false">IF(AND(N$1&gt;=Units!$Q17,MOD(N$1-Units!$Q17,12)=0),IF(AND(Units!$L17=1,N$1=Units!$Q17),1,Inputs!$B$15)*Inputs!$B$16*(1+Inputs!$B$11)^(N$2-1),0)</f>
        <v>0</v>
      </c>
      <c r="O18" s="11" t="n">
        <f aca="false">IF(AND(O$1&gt;=Units!$Q17,MOD(O$1-Units!$Q17,12)=0),IF(AND(Units!$L17=1,O$1=Units!$Q17),1,Inputs!$B$15)*Inputs!$B$16*(1+Inputs!$B$11)^(O$2-1),0)</f>
        <v>0</v>
      </c>
      <c r="P18" s="11" t="n">
        <f aca="false">IF(AND(P$1&gt;=Units!$Q17,MOD(P$1-Units!$Q17,12)=0),IF(AND(Units!$L17=1,P$1=Units!$Q17),1,Inputs!$B$15)*Inputs!$B$16*(1+Inputs!$B$11)^(P$2-1),0)</f>
        <v>515</v>
      </c>
      <c r="Q18" s="11" t="n">
        <f aca="false">IF(AND(Q$1&gt;=Units!$Q17,MOD(Q$1-Units!$Q17,12)=0),IF(AND(Units!$L17=1,Q$1=Units!$Q17),1,Inputs!$B$15)*Inputs!$B$16*(1+Inputs!$B$11)^(Q$2-1),0)</f>
        <v>0</v>
      </c>
      <c r="R18" s="11" t="n">
        <f aca="false">IF(AND(R$1&gt;=Units!$Q17,MOD(R$1-Units!$Q17,12)=0),IF(AND(Units!$L17=1,R$1=Units!$Q17),1,Inputs!$B$15)*Inputs!$B$16*(1+Inputs!$B$11)^(R$2-1),0)</f>
        <v>0</v>
      </c>
      <c r="S18" s="11" t="n">
        <f aca="false">IF(AND(S$1&gt;=Units!$Q17,MOD(S$1-Units!$Q17,12)=0),IF(AND(Units!$L17=1,S$1=Units!$Q17),1,Inputs!$B$15)*Inputs!$B$16*(1+Inputs!$B$11)^(S$2-1),0)</f>
        <v>0</v>
      </c>
      <c r="T18" s="11" t="n">
        <f aca="false">IF(AND(T$1&gt;=Units!$Q17,MOD(T$1-Units!$Q17,12)=0),IF(AND(Units!$L17=1,T$1=Units!$Q17),1,Inputs!$B$15)*Inputs!$B$16*(1+Inputs!$B$11)^(T$2-1),0)</f>
        <v>0</v>
      </c>
      <c r="U18" s="11" t="n">
        <f aca="false">IF(AND(U$1&gt;=Units!$Q17,MOD(U$1-Units!$Q17,12)=0),IF(AND(Units!$L17=1,U$1=Units!$Q17),1,Inputs!$B$15)*Inputs!$B$16*(1+Inputs!$B$11)^(U$2-1),0)</f>
        <v>0</v>
      </c>
      <c r="V18" s="11" t="n">
        <f aca="false">IF(AND(V$1&gt;=Units!$Q17,MOD(V$1-Units!$Q17,12)=0),IF(AND(Units!$L17=1,V$1=Units!$Q17),1,Inputs!$B$15)*Inputs!$B$16*(1+Inputs!$B$11)^(V$2-1),0)</f>
        <v>0</v>
      </c>
      <c r="W18" s="11" t="n">
        <f aca="false">IF(AND(W$1&gt;=Units!$Q17,MOD(W$1-Units!$Q17,12)=0),IF(AND(Units!$L17=1,W$1=Units!$Q17),1,Inputs!$B$15)*Inputs!$B$16*(1+Inputs!$B$11)^(W$2-1),0)</f>
        <v>0</v>
      </c>
      <c r="X18" s="11" t="n">
        <f aca="false">IF(AND(X$1&gt;=Units!$Q17,MOD(X$1-Units!$Q17,12)=0),IF(AND(Units!$L17=1,X$1=Units!$Q17),1,Inputs!$B$15)*Inputs!$B$16*(1+Inputs!$B$11)^(X$2-1),0)</f>
        <v>0</v>
      </c>
      <c r="Y18" s="11" t="n">
        <f aca="false">IF(AND(Y$1&gt;=Units!$Q17,MOD(Y$1-Units!$Q17,12)=0),IF(AND(Units!$L17=1,Y$1=Units!$Q17),1,Inputs!$B$15)*Inputs!$B$16*(1+Inputs!$B$11)^(Y$2-1),0)</f>
        <v>0</v>
      </c>
      <c r="Z18" s="11" t="n">
        <f aca="false">IF(AND(Z$1&gt;=Units!$Q17,MOD(Z$1-Units!$Q17,12)=0),IF(AND(Units!$L17=1,Z$1=Units!$Q17),1,Inputs!$B$15)*Inputs!$B$16*(1+Inputs!$B$11)^(Z$2-1),0)</f>
        <v>0</v>
      </c>
      <c r="AA18" s="11" t="n">
        <f aca="false">IF(AND(AA$1&gt;=Units!$Q17,MOD(AA$1-Units!$Q17,12)=0),IF(AND(Units!$L17=1,AA$1=Units!$Q17),1,Inputs!$B$15)*Inputs!$B$16*(1+Inputs!$B$11)^(AA$2-1),0)</f>
        <v>0</v>
      </c>
      <c r="AB18" s="11" t="n">
        <f aca="false">IF(AND(AB$1&gt;=Units!$Q17,MOD(AB$1-Units!$Q17,12)=0),IF(AND(Units!$L17=1,AB$1=Units!$Q17),1,Inputs!$B$15)*Inputs!$B$16*(1+Inputs!$B$11)^(AB$2-1),0)</f>
        <v>530.45</v>
      </c>
      <c r="AC18" s="11" t="n">
        <f aca="false">IF(AND(AC$1&gt;=Units!$Q17,MOD(AC$1-Units!$Q17,12)=0),IF(AND(Units!$L17=1,AC$1=Units!$Q17),1,Inputs!$B$15)*Inputs!$B$16*(1+Inputs!$B$11)^(AC$2-1),0)</f>
        <v>0</v>
      </c>
      <c r="AD18" s="11" t="n">
        <f aca="false">IF(AND(AD$1&gt;=Units!$Q17,MOD(AD$1-Units!$Q17,12)=0),IF(AND(Units!$L17=1,AD$1=Units!$Q17),1,Inputs!$B$15)*Inputs!$B$16*(1+Inputs!$B$11)^(AD$2-1),0)</f>
        <v>0</v>
      </c>
      <c r="AE18" s="11" t="n">
        <f aca="false">IF(AND(AE$1&gt;=Units!$Q17,MOD(AE$1-Units!$Q17,12)=0),IF(AND(Units!$L17=1,AE$1=Units!$Q17),1,Inputs!$B$15)*Inputs!$B$16*(1+Inputs!$B$11)^(AE$2-1),0)</f>
        <v>0</v>
      </c>
      <c r="AF18" s="11" t="n">
        <f aca="false">IF(AND(AF$1&gt;=Units!$Q17,MOD(AF$1-Units!$Q17,12)=0),IF(AND(Units!$L17=1,AF$1=Units!$Q17),1,Inputs!$B$15)*Inputs!$B$16*(1+Inputs!$B$11)^(AF$2-1),0)</f>
        <v>0</v>
      </c>
      <c r="AG18" s="11" t="n">
        <f aca="false">IF(AND(AG$1&gt;=Units!$Q17,MOD(AG$1-Units!$Q17,12)=0),IF(AND(Units!$L17=1,AG$1=Units!$Q17),1,Inputs!$B$15)*Inputs!$B$16*(1+Inputs!$B$11)^(AG$2-1),0)</f>
        <v>0</v>
      </c>
      <c r="AH18" s="11" t="n">
        <f aca="false">IF(AND(AH$1&gt;=Units!$Q17,MOD(AH$1-Units!$Q17,12)=0),IF(AND(Units!$L17=1,AH$1=Units!$Q17),1,Inputs!$B$15)*Inputs!$B$16*(1+Inputs!$B$11)^(AH$2-1),0)</f>
        <v>0</v>
      </c>
      <c r="AI18" s="11" t="n">
        <f aca="false">IF(AND(AI$1&gt;=Units!$Q17,MOD(AI$1-Units!$Q17,12)=0),IF(AND(Units!$L17=1,AI$1=Units!$Q17),1,Inputs!$B$15)*Inputs!$B$16*(1+Inputs!$B$11)^(AI$2-1),0)</f>
        <v>0</v>
      </c>
      <c r="AJ18" s="11" t="n">
        <f aca="false">IF(AND(AJ$1&gt;=Units!$Q17,MOD(AJ$1-Units!$Q17,12)=0),IF(AND(Units!$L17=1,AJ$1=Units!$Q17),1,Inputs!$B$15)*Inputs!$B$16*(1+Inputs!$B$11)^(AJ$2-1),0)</f>
        <v>0</v>
      </c>
      <c r="AK18" s="11" t="n">
        <f aca="false">IF(AND(AK$1&gt;=Units!$Q17,MOD(AK$1-Units!$Q17,12)=0),IF(AND(Units!$L17=1,AK$1=Units!$Q17),1,Inputs!$B$15)*Inputs!$B$16*(1+Inputs!$B$11)^(AK$2-1),0)</f>
        <v>0</v>
      </c>
      <c r="AL18" s="11" t="n">
        <f aca="false">IF(AND(AL$1&gt;=Units!$Q17,MOD(AL$1-Units!$Q17,12)=0),IF(AND(Units!$L17=1,AL$1=Units!$Q17),1,Inputs!$B$15)*Inputs!$B$16*(1+Inputs!$B$11)^(AL$2-1),0)</f>
        <v>0</v>
      </c>
      <c r="AM18" s="11" t="n">
        <f aca="false">IF(AND(AM$1&gt;=Units!$Q17,MOD(AM$1-Units!$Q17,12)=0),IF(AND(Units!$L17=1,AM$1=Units!$Q17),1,Inputs!$B$15)*Inputs!$B$16*(1+Inputs!$B$11)^(AM$2-1),0)</f>
        <v>0</v>
      </c>
      <c r="AN18" s="11" t="n">
        <f aca="false">IF(AND(AN$1&gt;=Units!$Q17,MOD(AN$1-Units!$Q17,12)=0),IF(AND(Units!$L17=1,AN$1=Units!$Q17),1,Inputs!$B$15)*Inputs!$B$16*(1+Inputs!$B$11)^(AN$2-1),0)</f>
        <v>546.3635</v>
      </c>
      <c r="AO18" s="11" t="n">
        <f aca="false">IF(AND(AO$1&gt;=Units!$Q17,MOD(AO$1-Units!$Q17,12)=0),IF(AND(Units!$L17=1,AO$1=Units!$Q17),1,Inputs!$B$15)*Inputs!$B$16*(1+Inputs!$B$11)^(AO$2-1),0)</f>
        <v>0</v>
      </c>
      <c r="AP18" s="11" t="n">
        <f aca="false">IF(AND(AP$1&gt;=Units!$Q17,MOD(AP$1-Units!$Q17,12)=0),IF(AND(Units!$L17=1,AP$1=Units!$Q17),1,Inputs!$B$15)*Inputs!$B$16*(1+Inputs!$B$11)^(AP$2-1),0)</f>
        <v>0</v>
      </c>
      <c r="AQ18" s="11" t="n">
        <f aca="false">IF(AND(AQ$1&gt;=Units!$Q17,MOD(AQ$1-Units!$Q17,12)=0),IF(AND(Units!$L17=1,AQ$1=Units!$Q17),1,Inputs!$B$15)*Inputs!$B$16*(1+Inputs!$B$11)^(AQ$2-1),0)</f>
        <v>0</v>
      </c>
      <c r="AR18" s="11" t="n">
        <f aca="false">IF(AND(AR$1&gt;=Units!$Q17,MOD(AR$1-Units!$Q17,12)=0),IF(AND(Units!$L17=1,AR$1=Units!$Q17),1,Inputs!$B$15)*Inputs!$B$16*(1+Inputs!$B$11)^(AR$2-1),0)</f>
        <v>0</v>
      </c>
      <c r="AS18" s="11" t="n">
        <f aca="false">IF(AND(AS$1&gt;=Units!$Q17,MOD(AS$1-Units!$Q17,12)=0),IF(AND(Units!$L17=1,AS$1=Units!$Q17),1,Inputs!$B$15)*Inputs!$B$16*(1+Inputs!$B$11)^(AS$2-1),0)</f>
        <v>0</v>
      </c>
      <c r="AT18" s="11" t="n">
        <f aca="false">IF(AND(AT$1&gt;=Units!$Q17,MOD(AT$1-Units!$Q17,12)=0),IF(AND(Units!$L17=1,AT$1=Units!$Q17),1,Inputs!$B$15)*Inputs!$B$16*(1+Inputs!$B$11)^(AT$2-1),0)</f>
        <v>0</v>
      </c>
      <c r="AU18" s="11" t="n">
        <f aca="false">IF(AND(AU$1&gt;=Units!$Q17,MOD(AU$1-Units!$Q17,12)=0),IF(AND(Units!$L17=1,AU$1=Units!$Q17),1,Inputs!$B$15)*Inputs!$B$16*(1+Inputs!$B$11)^(AU$2-1),0)</f>
        <v>0</v>
      </c>
      <c r="AV18" s="11" t="n">
        <f aca="false">IF(AND(AV$1&gt;=Units!$Q17,MOD(AV$1-Units!$Q17,12)=0),IF(AND(Units!$L17=1,AV$1=Units!$Q17),1,Inputs!$B$15)*Inputs!$B$16*(1+Inputs!$B$11)^(AV$2-1),0)</f>
        <v>0</v>
      </c>
      <c r="AW18" s="11" t="n">
        <f aca="false">IF(AND(AW$1&gt;=Units!$Q17,MOD(AW$1-Units!$Q17,12)=0),IF(AND(Units!$L17=1,AW$1=Units!$Q17),1,Inputs!$B$15)*Inputs!$B$16*(1+Inputs!$B$11)^(AW$2-1),0)</f>
        <v>0</v>
      </c>
      <c r="AX18" s="11" t="n">
        <f aca="false">IF(AND(AX$1&gt;=Units!$Q17,MOD(AX$1-Units!$Q17,12)=0),IF(AND(Units!$L17=1,AX$1=Units!$Q17),1,Inputs!$B$15)*Inputs!$B$16*(1+Inputs!$B$11)^(AX$2-1),0)</f>
        <v>0</v>
      </c>
      <c r="AY18" s="11" t="n">
        <f aca="false">IF(AND(AY$1&gt;=Units!$Q17,MOD(AY$1-Units!$Q17,12)=0),IF(AND(Units!$L17=1,AY$1=Units!$Q17),1,Inputs!$B$15)*Inputs!$B$16*(1+Inputs!$B$11)^(AY$2-1),0)</f>
        <v>0</v>
      </c>
      <c r="AZ18" s="11" t="n">
        <f aca="false">IF(AND(AZ$1&gt;=Units!$Q17,MOD(AZ$1-Units!$Q17,12)=0),IF(AND(Units!$L17=1,AZ$1=Units!$Q17),1,Inputs!$B$15)*Inputs!$B$16*(1+Inputs!$B$11)^(AZ$2-1),0)</f>
        <v>562.754405</v>
      </c>
      <c r="BA18" s="11" t="n">
        <f aca="false">IF(AND(BA$1&gt;=Units!$Q17,MOD(BA$1-Units!$Q17,12)=0),IF(AND(Units!$L17=1,BA$1=Units!$Q17),1,Inputs!$B$15)*Inputs!$B$16*(1+Inputs!$B$11)^(BA$2-1),0)</f>
        <v>0</v>
      </c>
      <c r="BB18" s="11" t="n">
        <f aca="false">IF(AND(BB$1&gt;=Units!$Q17,MOD(BB$1-Units!$Q17,12)=0),IF(AND(Units!$L17=1,BB$1=Units!$Q17),1,Inputs!$B$15)*Inputs!$B$16*(1+Inputs!$B$11)^(BB$2-1),0)</f>
        <v>0</v>
      </c>
      <c r="BC18" s="11" t="n">
        <f aca="false">IF(AND(BC$1&gt;=Units!$Q17,MOD(BC$1-Units!$Q17,12)=0),IF(AND(Units!$L17=1,BC$1=Units!$Q17),1,Inputs!$B$15)*Inputs!$B$16*(1+Inputs!$B$11)^(BC$2-1),0)</f>
        <v>0</v>
      </c>
      <c r="BD18" s="11" t="n">
        <f aca="false">IF(AND(BD$1&gt;=Units!$Q17,MOD(BD$1-Units!$Q17,12)=0),IF(AND(Units!$L17=1,BD$1=Units!$Q17),1,Inputs!$B$15)*Inputs!$B$16*(1+Inputs!$B$11)^(BD$2-1),0)</f>
        <v>0</v>
      </c>
      <c r="BE18" s="11" t="n">
        <f aca="false">IF(AND(BE$1&gt;=Units!$Q17,MOD(BE$1-Units!$Q17,12)=0),IF(AND(Units!$L17=1,BE$1=Units!$Q17),1,Inputs!$B$15)*Inputs!$B$16*(1+Inputs!$B$11)^(BE$2-1),0)</f>
        <v>0</v>
      </c>
      <c r="BF18" s="11" t="n">
        <f aca="false">IF(AND(BF$1&gt;=Units!$Q17,MOD(BF$1-Units!$Q17,12)=0),IF(AND(Units!$L17=1,BF$1=Units!$Q17),1,Inputs!$B$15)*Inputs!$B$16*(1+Inputs!$B$11)^(BF$2-1),0)</f>
        <v>0</v>
      </c>
      <c r="BG18" s="11" t="n">
        <f aca="false">IF(AND(BG$1&gt;=Units!$Q17,MOD(BG$1-Units!$Q17,12)=0),IF(AND(Units!$L17=1,BG$1=Units!$Q17),1,Inputs!$B$15)*Inputs!$B$16*(1+Inputs!$B$11)^(BG$2-1),0)</f>
        <v>0</v>
      </c>
      <c r="BH18" s="11" t="n">
        <f aca="false">IF(AND(BH$1&gt;=Units!$Q17,MOD(BH$1-Units!$Q17,12)=0),IF(AND(Units!$L17=1,BH$1=Units!$Q17),1,Inputs!$B$15)*Inputs!$B$16*(1+Inputs!$B$11)^(BH$2-1),0)</f>
        <v>0</v>
      </c>
      <c r="BI18" s="11" t="n">
        <f aca="false">IF(AND(BI$1&gt;=Units!$Q17,MOD(BI$1-Units!$Q17,12)=0),IF(AND(Units!$L17=1,BI$1=Units!$Q17),1,Inputs!$B$15)*Inputs!$B$16*(1+Inputs!$B$11)^(BI$2-1),0)</f>
        <v>0</v>
      </c>
      <c r="BJ18" s="11" t="n">
        <f aca="false">IF(AND(BJ$1&gt;=Units!$Q17,MOD(BJ$1-Units!$Q17,12)=0),IF(AND(Units!$L17=1,BJ$1=Units!$Q17),1,Inputs!$B$15)*Inputs!$B$16*(1+Inputs!$B$11)^(BJ$2-1),0)</f>
        <v>0</v>
      </c>
      <c r="BK18" s="11" t="n">
        <f aca="false">IF(AND(BK$1&gt;=Units!$Q17,MOD(BK$1-Units!$Q17,12)=0),IF(AND(Units!$L17=1,BK$1=Units!$Q17),1,Inputs!$B$15)*Inputs!$B$16*(1+Inputs!$B$11)^(BK$2-1),0)</f>
        <v>0</v>
      </c>
      <c r="BL18" s="11" t="n">
        <f aca="false">IF(AND(BL$1&gt;=Units!$Q17,MOD(BL$1-Units!$Q17,12)=0),IF(AND(Units!$L17=1,BL$1=Units!$Q17),1,Inputs!$B$15)*Inputs!$B$16*(1+Inputs!$B$11)^(BL$2-1),0)</f>
        <v>579.63703715</v>
      </c>
      <c r="BM18" s="11" t="n">
        <f aca="false">IF(AND(BM$1&gt;=Units!$Q17,MOD(BM$1-Units!$Q17,12)=0),IF(AND(Units!$L17=1,BM$1=Units!$Q17),1,Inputs!$B$15)*Inputs!$B$16*(1+Inputs!$B$11)^(BM$2-1),0)</f>
        <v>0</v>
      </c>
      <c r="BN18" s="11" t="n">
        <f aca="false">IF(AND(BN$1&gt;=Units!$Q17,MOD(BN$1-Units!$Q17,12)=0),IF(AND(Units!$L17=1,BN$1=Units!$Q17),1,Inputs!$B$15)*Inputs!$B$16*(1+Inputs!$B$11)^(BN$2-1),0)</f>
        <v>0</v>
      </c>
      <c r="BO18" s="11" t="n">
        <f aca="false">IF(AND(BO$1&gt;=Units!$Q17,MOD(BO$1-Units!$Q17,12)=0),IF(AND(Units!$L17=1,BO$1=Units!$Q17),1,Inputs!$B$15)*Inputs!$B$16*(1+Inputs!$B$11)^(BO$2-1),0)</f>
        <v>0</v>
      </c>
      <c r="BP18" s="11" t="n">
        <f aca="false">IF(AND(BP$1&gt;=Units!$Q17,MOD(BP$1-Units!$Q17,12)=0),IF(AND(Units!$L17=1,BP$1=Units!$Q17),1,Inputs!$B$15)*Inputs!$B$16*(1+Inputs!$B$11)^(BP$2-1),0)</f>
        <v>0</v>
      </c>
      <c r="BQ18" s="11" t="n">
        <f aca="false">IF(AND(BQ$1&gt;=Units!$Q17,MOD(BQ$1-Units!$Q17,12)=0),IF(AND(Units!$L17=1,BQ$1=Units!$Q17),1,Inputs!$B$15)*Inputs!$B$16*(1+Inputs!$B$11)^(BQ$2-1),0)</f>
        <v>0</v>
      </c>
      <c r="BR18" s="11" t="n">
        <f aca="false">IF(AND(BR$1&gt;=Units!$Q17,MOD(BR$1-Units!$Q17,12)=0),IF(AND(Units!$L17=1,BR$1=Units!$Q17),1,Inputs!$B$15)*Inputs!$B$16*(1+Inputs!$B$11)^(BR$2-1),0)</f>
        <v>0</v>
      </c>
      <c r="BS18" s="11" t="n">
        <f aca="false">IF(AND(BS$1&gt;=Units!$Q17,MOD(BS$1-Units!$Q17,12)=0),IF(AND(Units!$L17=1,BS$1=Units!$Q17),1,Inputs!$B$15)*Inputs!$B$16*(1+Inputs!$B$11)^(BS$2-1),0)</f>
        <v>0</v>
      </c>
      <c r="BT18" s="11" t="n">
        <f aca="false">IF(AND(BT$1&gt;=Units!$Q17,MOD(BT$1-Units!$Q17,12)=0),IF(AND(Units!$L17=1,BT$1=Units!$Q17),1,Inputs!$B$15)*Inputs!$B$16*(1+Inputs!$B$11)^(BT$2-1),0)</f>
        <v>0</v>
      </c>
      <c r="BU18" s="11" t="n">
        <f aca="false">IF(AND(BU$1&gt;=Units!$Q17,MOD(BU$1-Units!$Q17,12)=0),IF(AND(Units!$L17=1,BU$1=Units!$Q17),1,Inputs!$B$15)*Inputs!$B$16*(1+Inputs!$B$11)^(BU$2-1),0)</f>
        <v>0</v>
      </c>
      <c r="BV18" s="11" t="n">
        <f aca="false">IF(AND(BV$1&gt;=Units!$Q17,MOD(BV$1-Units!$Q17,12)=0),IF(AND(Units!$L17=1,BV$1=Units!$Q17),1,Inputs!$B$15)*Inputs!$B$16*(1+Inputs!$B$11)^(BV$2-1),0)</f>
        <v>0</v>
      </c>
      <c r="BW18" s="11" t="n">
        <f aca="false">IF(AND(BW$1&gt;=Units!$Q17,MOD(BW$1-Units!$Q17,12)=0),IF(AND(Units!$L17=1,BW$1=Units!$Q17),1,Inputs!$B$15)*Inputs!$B$16*(1+Inputs!$B$11)^(BW$2-1),0)</f>
        <v>0</v>
      </c>
      <c r="BX18" s="11" t="n">
        <f aca="false">IF(AND(BX$1&gt;=Units!$Q17,MOD(BX$1-Units!$Q17,12)=0),IF(AND(Units!$L17=1,BX$1=Units!$Q17),1,Inputs!$B$15)*Inputs!$B$16*(1+Inputs!$B$11)^(BX$2-1),0)</f>
        <v>597.0261482645</v>
      </c>
      <c r="BY18" s="11" t="n">
        <f aca="false">IF(AND(BY$1&gt;=Units!$Q17,MOD(BY$1-Units!$Q17,12)=0),IF(AND(Units!$L17=1,BY$1=Units!$Q17),1,Inputs!$B$15)*Inputs!$B$16*(1+Inputs!$B$11)^(BY$2-1),0)</f>
        <v>0</v>
      </c>
      <c r="BZ18" s="11" t="n">
        <f aca="false">IF(AND(BZ$1&gt;=Units!$Q17,MOD(BZ$1-Units!$Q17,12)=0),IF(AND(Units!$L17=1,BZ$1=Units!$Q17),1,Inputs!$B$15)*Inputs!$B$16*(1+Inputs!$B$11)^(BZ$2-1),0)</f>
        <v>0</v>
      </c>
      <c r="CA18" s="11" t="n">
        <f aca="false">IF(AND(CA$1&gt;=Units!$Q17,MOD(CA$1-Units!$Q17,12)=0),IF(AND(Units!$L17=1,CA$1=Units!$Q17),1,Inputs!$B$15)*Inputs!$B$16*(1+Inputs!$B$11)^(CA$2-1),0)</f>
        <v>0</v>
      </c>
      <c r="CB18" s="11" t="n">
        <f aca="false">IF(AND(CB$1&gt;=Units!$Q17,MOD(CB$1-Units!$Q17,12)=0),IF(AND(Units!$L17=1,CB$1=Units!$Q17),1,Inputs!$B$15)*Inputs!$B$16*(1+Inputs!$B$11)^(CB$2-1),0)</f>
        <v>0</v>
      </c>
      <c r="CC18" s="11" t="n">
        <f aca="false">IF(AND(CC$1&gt;=Units!$Q17,MOD(CC$1-Units!$Q17,12)=0),IF(AND(Units!$L17=1,CC$1=Units!$Q17),1,Inputs!$B$15)*Inputs!$B$16*(1+Inputs!$B$11)^(CC$2-1),0)</f>
        <v>0</v>
      </c>
      <c r="CD18" s="11" t="n">
        <f aca="false">IF(AND(CD$1&gt;=Units!$Q17,MOD(CD$1-Units!$Q17,12)=0),IF(AND(Units!$L17=1,CD$1=Units!$Q17),1,Inputs!$B$15)*Inputs!$B$16*(1+Inputs!$B$11)^(CD$2-1),0)</f>
        <v>0</v>
      </c>
      <c r="CE18" s="11" t="n">
        <f aca="false">IF(AND(CE$1&gt;=Units!$Q17,MOD(CE$1-Units!$Q17,12)=0),IF(AND(Units!$L17=1,CE$1=Units!$Q17),1,Inputs!$B$15)*Inputs!$B$16*(1+Inputs!$B$11)^(CE$2-1),0)</f>
        <v>0</v>
      </c>
      <c r="CF18" s="11" t="n">
        <f aca="false">IF(AND(CF$1&gt;=Units!$Q17,MOD(CF$1-Units!$Q17,12)=0),IF(AND(Units!$L17=1,CF$1=Units!$Q17),1,Inputs!$B$15)*Inputs!$B$16*(1+Inputs!$B$11)^(CF$2-1),0)</f>
        <v>0</v>
      </c>
      <c r="CG18" s="11" t="n">
        <f aca="false">IF(AND(CG$1&gt;=Units!$Q17,MOD(CG$1-Units!$Q17,12)=0),IF(AND(Units!$L17=1,CG$1=Units!$Q17),1,Inputs!$B$15)*Inputs!$B$16*(1+Inputs!$B$11)^(CG$2-1),0)</f>
        <v>0</v>
      </c>
      <c r="CH18" s="11" t="n">
        <f aca="false">IF(AND(CH$1&gt;=Units!$Q17,MOD(CH$1-Units!$Q17,12)=0),IF(AND(Units!$L17=1,CH$1=Units!$Q17),1,Inputs!$B$15)*Inputs!$B$16*(1+Inputs!$B$11)^(CH$2-1),0)</f>
        <v>0</v>
      </c>
      <c r="CI18" s="11" t="n">
        <f aca="false">IF(AND(CI$1&gt;=Units!$Q17,MOD(CI$1-Units!$Q17,12)=0),IF(AND(Units!$L17=1,CI$1=Units!$Q17),1,Inputs!$B$15)*Inputs!$B$16*(1+Inputs!$B$11)^(CI$2-1),0)</f>
        <v>0</v>
      </c>
      <c r="CJ18" s="11" t="n">
        <f aca="false">IF(AND(CJ$1&gt;=Units!$Q17,MOD(CJ$1-Units!$Q17,12)=0),IF(AND(Units!$L17=1,CJ$1=Units!$Q17),1,Inputs!$B$15)*Inputs!$B$16*(1+Inputs!$B$11)^(CJ$2-1),0)</f>
        <v>614.936932712435</v>
      </c>
      <c r="CK18" s="11" t="n">
        <f aca="false">IF(AND(CK$1&gt;=Units!$Q17,MOD(CK$1-Units!$Q17,12)=0),IF(AND(Units!$L17=1,CK$1=Units!$Q17),1,Inputs!$B$15)*Inputs!$B$16*(1+Inputs!$B$11)^(CK$2-1),0)</f>
        <v>0</v>
      </c>
      <c r="CL18" s="11" t="n">
        <f aca="false">IF(AND(CL$1&gt;=Units!$Q17,MOD(CL$1-Units!$Q17,12)=0),IF(AND(Units!$L17=1,CL$1=Units!$Q17),1,Inputs!$B$15)*Inputs!$B$16*(1+Inputs!$B$11)^(CL$2-1),0)</f>
        <v>0</v>
      </c>
      <c r="CM18" s="11" t="n">
        <f aca="false">IF(AND(CM$1&gt;=Units!$Q17,MOD(CM$1-Units!$Q17,12)=0),IF(AND(Units!$L17=1,CM$1=Units!$Q17),1,Inputs!$B$15)*Inputs!$B$16*(1+Inputs!$B$11)^(CM$2-1),0)</f>
        <v>0</v>
      </c>
      <c r="CN18" s="11" t="n">
        <f aca="false">IF(AND(CN$1&gt;=Units!$Q17,MOD(CN$1-Units!$Q17,12)=0),IF(AND(Units!$L17=1,CN$1=Units!$Q17),1,Inputs!$B$15)*Inputs!$B$16*(1+Inputs!$B$11)^(CN$2-1),0)</f>
        <v>0</v>
      </c>
      <c r="CO18" s="11" t="n">
        <f aca="false">IF(AND(CO$1&gt;=Units!$Q17,MOD(CO$1-Units!$Q17,12)=0),IF(AND(Units!$L17=1,CO$1=Units!$Q17),1,Inputs!$B$15)*Inputs!$B$16*(1+Inputs!$B$11)^(CO$2-1),0)</f>
        <v>0</v>
      </c>
      <c r="CP18" s="11" t="n">
        <f aca="false">IF(AND(CP$1&gt;=Units!$Q17,MOD(CP$1-Units!$Q17,12)=0),IF(AND(Units!$L17=1,CP$1=Units!$Q17),1,Inputs!$B$15)*Inputs!$B$16*(1+Inputs!$B$11)^(CP$2-1),0)</f>
        <v>0</v>
      </c>
      <c r="CQ18" s="11" t="n">
        <f aca="false">IF(AND(CQ$1&gt;=Units!$Q17,MOD(CQ$1-Units!$Q17,12)=0),IF(AND(Units!$L17=1,CQ$1=Units!$Q17),1,Inputs!$B$15)*Inputs!$B$16*(1+Inputs!$B$11)^(CQ$2-1),0)</f>
        <v>0</v>
      </c>
      <c r="CR18" s="11" t="n">
        <f aca="false">IF(AND(CR$1&gt;=Units!$Q17,MOD(CR$1-Units!$Q17,12)=0),IF(AND(Units!$L17=1,CR$1=Units!$Q17),1,Inputs!$B$15)*Inputs!$B$16*(1+Inputs!$B$11)^(CR$2-1),0)</f>
        <v>0</v>
      </c>
      <c r="CS18" s="11" t="n">
        <f aca="false">IF(AND(CS$1&gt;=Units!$Q17,MOD(CS$1-Units!$Q17,12)=0),IF(AND(Units!$L17=1,CS$1=Units!$Q17),1,Inputs!$B$15)*Inputs!$B$16*(1+Inputs!$B$11)^(CS$2-1),0)</f>
        <v>0</v>
      </c>
      <c r="CT18" s="11" t="n">
        <f aca="false">IF(AND(CT$1&gt;=Units!$Q17,MOD(CT$1-Units!$Q17,12)=0),IF(AND(Units!$L17=1,CT$1=Units!$Q17),1,Inputs!$B$15)*Inputs!$B$16*(1+Inputs!$B$11)^(CT$2-1),0)</f>
        <v>0</v>
      </c>
      <c r="CU18" s="11" t="n">
        <f aca="false">IF(AND(CU$1&gt;=Units!$Q17,MOD(CU$1-Units!$Q17,12)=0),IF(AND(Units!$L17=1,CU$1=Units!$Q17),1,Inputs!$B$15)*Inputs!$B$16*(1+Inputs!$B$11)^(CU$2-1),0)</f>
        <v>0</v>
      </c>
      <c r="CV18" s="11" t="n">
        <f aca="false">IF(AND(CV$1&gt;=Units!$Q17,MOD(CV$1-Units!$Q17,12)=0),IF(AND(Units!$L17=1,CV$1=Units!$Q17),1,Inputs!$B$15)*Inputs!$B$16*(1+Inputs!$B$11)^(CV$2-1),0)</f>
        <v>633.385040693808</v>
      </c>
      <c r="CW18" s="11" t="n">
        <f aca="false">IF(AND(CW$1&gt;=Units!$Q17,MOD(CW$1-Units!$Q17,12)=0),IF(AND(Units!$L17=1,CW$1=Units!$Q17),1,Inputs!$B$15)*Inputs!$B$16*(1+Inputs!$B$11)^(CW$2-1),0)</f>
        <v>0</v>
      </c>
      <c r="CX18" s="11" t="n">
        <f aca="false">IF(AND(CX$1&gt;=Units!$Q17,MOD(CX$1-Units!$Q17,12)=0),IF(AND(Units!$L17=1,CX$1=Units!$Q17),1,Inputs!$B$15)*Inputs!$B$16*(1+Inputs!$B$11)^(CX$2-1),0)</f>
        <v>0</v>
      </c>
      <c r="CY18" s="11" t="n">
        <f aca="false">IF(AND(CY$1&gt;=Units!$Q17,MOD(CY$1-Units!$Q17,12)=0),IF(AND(Units!$L17=1,CY$1=Units!$Q17),1,Inputs!$B$15)*Inputs!$B$16*(1+Inputs!$B$11)^(CY$2-1),0)</f>
        <v>0</v>
      </c>
      <c r="CZ18" s="11" t="n">
        <f aca="false">IF(AND(CZ$1&gt;=Units!$Q17,MOD(CZ$1-Units!$Q17,12)=0),IF(AND(Units!$L17=1,CZ$1=Units!$Q17),1,Inputs!$B$15)*Inputs!$B$16*(1+Inputs!$B$11)^(CZ$2-1),0)</f>
        <v>0</v>
      </c>
      <c r="DA18" s="11" t="n">
        <f aca="false">IF(AND(DA$1&gt;=Units!$Q17,MOD(DA$1-Units!$Q17,12)=0),IF(AND(Units!$L17=1,DA$1=Units!$Q17),1,Inputs!$B$15)*Inputs!$B$16*(1+Inputs!$B$11)^(DA$2-1),0)</f>
        <v>0</v>
      </c>
      <c r="DB18" s="11" t="n">
        <f aca="false">IF(AND(DB$1&gt;=Units!$Q17,MOD(DB$1-Units!$Q17,12)=0),IF(AND(Units!$L17=1,DB$1=Units!$Q17),1,Inputs!$B$15)*Inputs!$B$16*(1+Inputs!$B$11)^(DB$2-1),0)</f>
        <v>0</v>
      </c>
      <c r="DC18" s="11" t="n">
        <f aca="false">IF(AND(DC$1&gt;=Units!$Q17,MOD(DC$1-Units!$Q17,12)=0),IF(AND(Units!$L17=1,DC$1=Units!$Q17),1,Inputs!$B$15)*Inputs!$B$16*(1+Inputs!$B$11)^(DC$2-1),0)</f>
        <v>0</v>
      </c>
      <c r="DD18" s="11" t="n">
        <f aca="false">IF(AND(DD$1&gt;=Units!$Q17,MOD(DD$1-Units!$Q17,12)=0),IF(AND(Units!$L17=1,DD$1=Units!$Q17),1,Inputs!$B$15)*Inputs!$B$16*(1+Inputs!$B$11)^(DD$2-1),0)</f>
        <v>0</v>
      </c>
      <c r="DE18" s="11" t="n">
        <f aca="false">IF(AND(DE$1&gt;=Units!$Q17,MOD(DE$1-Units!$Q17,12)=0),IF(AND(Units!$L17=1,DE$1=Units!$Q17),1,Inputs!$B$15)*Inputs!$B$16*(1+Inputs!$B$11)^(DE$2-1),0)</f>
        <v>0</v>
      </c>
      <c r="DF18" s="11" t="n">
        <f aca="false">IF(AND(DF$1&gt;=Units!$Q17,MOD(DF$1-Units!$Q17,12)=0),IF(AND(Units!$L17=1,DF$1=Units!$Q17),1,Inputs!$B$15)*Inputs!$B$16*(1+Inputs!$B$11)^(DF$2-1),0)</f>
        <v>0</v>
      </c>
      <c r="DG18" s="11" t="n">
        <f aca="false">IF(AND(DG$1&gt;=Units!$Q17,MOD(DG$1-Units!$Q17,12)=0),IF(AND(Units!$L17=1,DG$1=Units!$Q17),1,Inputs!$B$15)*Inputs!$B$16*(1+Inputs!$B$11)^(DG$2-1),0)</f>
        <v>0</v>
      </c>
      <c r="DH18" s="11" t="n">
        <f aca="false">IF(AND(DH$1&gt;=Units!$Q17,MOD(DH$1-Units!$Q17,12)=0),IF(AND(Units!$L17=1,DH$1=Units!$Q17),1,Inputs!$B$15)*Inputs!$B$16*(1+Inputs!$B$11)^(DH$2-1),0)</f>
        <v>652.386591914623</v>
      </c>
      <c r="DI18" s="11" t="n">
        <f aca="false">IF(AND(DI$1&gt;=Units!$Q17,MOD(DI$1-Units!$Q17,12)=0),IF(AND(Units!$L17=1,DI$1=Units!$Q17),1,Inputs!$B$15)*Inputs!$B$16*(1+Inputs!$B$11)^(DI$2-1),0)</f>
        <v>0</v>
      </c>
      <c r="DJ18" s="11" t="n">
        <f aca="false">IF(AND(DJ$1&gt;=Units!$Q17,MOD(DJ$1-Units!$Q17,12)=0),IF(AND(Units!$L17=1,DJ$1=Units!$Q17),1,Inputs!$B$15)*Inputs!$B$16*(1+Inputs!$B$11)^(DJ$2-1),0)</f>
        <v>0</v>
      </c>
      <c r="DK18" s="11" t="n">
        <f aca="false">IF(AND(DK$1&gt;=Units!$Q17,MOD(DK$1-Units!$Q17,12)=0),IF(AND(Units!$L17=1,DK$1=Units!$Q17),1,Inputs!$B$15)*Inputs!$B$16*(1+Inputs!$B$11)^(DK$2-1),0)</f>
        <v>0</v>
      </c>
      <c r="DL18" s="11" t="n">
        <f aca="false">IF(AND(DL$1&gt;=Units!$Q17,MOD(DL$1-Units!$Q17,12)=0),IF(AND(Units!$L17=1,DL$1=Units!$Q17),1,Inputs!$B$15)*Inputs!$B$16*(1+Inputs!$B$11)^(DL$2-1),0)</f>
        <v>0</v>
      </c>
      <c r="DM18" s="11" t="n">
        <f aca="false">IF(AND(DM$1&gt;=Units!$Q17,MOD(DM$1-Units!$Q17,12)=0),IF(AND(Units!$L17=1,DM$1=Units!$Q17),1,Inputs!$B$15)*Inputs!$B$16*(1+Inputs!$B$11)^(DM$2-1),0)</f>
        <v>0</v>
      </c>
      <c r="DN18" s="11" t="n">
        <f aca="false">IF(AND(DN$1&gt;=Units!$Q17,MOD(DN$1-Units!$Q17,12)=0),IF(AND(Units!$L17=1,DN$1=Units!$Q17),1,Inputs!$B$15)*Inputs!$B$16*(1+Inputs!$B$11)^(DN$2-1),0)</f>
        <v>0</v>
      </c>
      <c r="DO18" s="11" t="n">
        <f aca="false">IF(AND(DO$1&gt;=Units!$Q17,MOD(DO$1-Units!$Q17,12)=0),IF(AND(Units!$L17=1,DO$1=Units!$Q17),1,Inputs!$B$15)*Inputs!$B$16*(1+Inputs!$B$11)^(DO$2-1),0)</f>
        <v>0</v>
      </c>
      <c r="DP18" s="11" t="n">
        <f aca="false">IF(AND(DP$1&gt;=Units!$Q17,MOD(DP$1-Units!$Q17,12)=0),IF(AND(Units!$L17=1,DP$1=Units!$Q17),1,Inputs!$B$15)*Inputs!$B$16*(1+Inputs!$B$11)^(DP$2-1),0)</f>
        <v>0</v>
      </c>
      <c r="DQ18" s="11" t="n">
        <f aca="false">IF(AND(DQ$1&gt;=Units!$Q17,MOD(DQ$1-Units!$Q17,12)=0),IF(AND(Units!$L17=1,DQ$1=Units!$Q17),1,Inputs!$B$15)*Inputs!$B$16*(1+Inputs!$B$11)^(DQ$2-1),0)</f>
        <v>0</v>
      </c>
      <c r="DR18" s="11" t="n">
        <f aca="false">IF(AND(DR$1&gt;=Units!$Q17,MOD(DR$1-Units!$Q17,12)=0),IF(AND(Units!$L17=1,DR$1=Units!$Q17),1,Inputs!$B$15)*Inputs!$B$16*(1+Inputs!$B$11)^(DR$2-1),0)</f>
        <v>0</v>
      </c>
      <c r="DS18" s="11" t="n">
        <f aca="false">IF(AND(DS$1&gt;=Units!$Q17,MOD(DS$1-Units!$Q17,12)=0),IF(AND(Units!$L17=1,DS$1=Units!$Q17),1,Inputs!$B$15)*Inputs!$B$16*(1+Inputs!$B$11)^(DS$2-1),0)</f>
        <v>0</v>
      </c>
      <c r="DT18" s="11" t="n">
        <f aca="false">IF(AND(DT$1&gt;=Units!$Q17,MOD(DT$1-Units!$Q17,12)=0),IF(AND(Units!$L17=1,DT$1=Units!$Q17),1,Inputs!$B$15)*Inputs!$B$16*(1+Inputs!$B$11)^(DT$2-1),0)</f>
        <v>671.958189672061</v>
      </c>
      <c r="DU18" s="11" t="n">
        <f aca="false">IF(AND(DU$1&gt;=Units!$Q17,MOD(DU$1-Units!$Q17,12)=0),IF(AND(Units!$L17=1,DU$1=Units!$Q17),1,Inputs!$B$15)*Inputs!$B$16*(1+Inputs!$B$11)^(DU$2-1),0)</f>
        <v>0</v>
      </c>
      <c r="DV18" s="11" t="n">
        <f aca="false">IF(AND(DV$1&gt;=Units!$Q17,MOD(DV$1-Units!$Q17,12)=0),IF(AND(Units!$L17=1,DV$1=Units!$Q17),1,Inputs!$B$15)*Inputs!$B$16*(1+Inputs!$B$11)^(DV$2-1),0)</f>
        <v>0</v>
      </c>
      <c r="DW18" s="11" t="n">
        <f aca="false">IF(AND(DW$1&gt;=Units!$Q17,MOD(DW$1-Units!$Q17,12)=0),IF(AND(Units!$L17=1,DW$1=Units!$Q17),1,Inputs!$B$15)*Inputs!$B$16*(1+Inputs!$B$11)^(DW$2-1),0)</f>
        <v>0</v>
      </c>
      <c r="DX18" s="11" t="n">
        <f aca="false">IF(AND(DX$1&gt;=Units!$Q17,MOD(DX$1-Units!$Q17,12)=0),IF(AND(Units!$L17=1,DX$1=Units!$Q17),1,Inputs!$B$15)*Inputs!$B$16*(1+Inputs!$B$11)^(DX$2-1),0)</f>
        <v>0</v>
      </c>
      <c r="DY18" s="11" t="n">
        <f aca="false">IF(AND(DY$1&gt;=Units!$Q17,MOD(DY$1-Units!$Q17,12)=0),IF(AND(Units!$L17=1,DY$1=Units!$Q17),1,Inputs!$B$15)*Inputs!$B$16*(1+Inputs!$B$11)^(DY$2-1),0)</f>
        <v>0</v>
      </c>
      <c r="DZ18" s="11" t="n">
        <f aca="false">IF(AND(DZ$1&gt;=Units!$Q17,MOD(DZ$1-Units!$Q17,12)=0),IF(AND(Units!$L17=1,DZ$1=Units!$Q17),1,Inputs!$B$15)*Inputs!$B$16*(1+Inputs!$B$11)^(DZ$2-1),0)</f>
        <v>0</v>
      </c>
      <c r="EA18" s="11" t="n">
        <f aca="false">IF(AND(EA$1&gt;=Units!$Q17,MOD(EA$1-Units!$Q17,12)=0),IF(AND(Units!$L17=1,EA$1=Units!$Q17),1,Inputs!$B$15)*Inputs!$B$16*(1+Inputs!$B$11)^(EA$2-1),0)</f>
        <v>0</v>
      </c>
      <c r="EB18" s="11" t="n">
        <f aca="false">IF(AND(EB$1&gt;=Units!$Q17,MOD(EB$1-Units!$Q17,12)=0),IF(AND(Units!$L17=1,EB$1=Units!$Q17),1,Inputs!$B$15)*Inputs!$B$16*(1+Inputs!$B$11)^(EB$2-1),0)</f>
        <v>0</v>
      </c>
      <c r="EC18" s="11" t="n">
        <f aca="false">IF(AND(EC$1&gt;=Units!$Q17,MOD(EC$1-Units!$Q17,12)=0),IF(AND(Units!$L17=1,EC$1=Units!$Q17),1,Inputs!$B$15)*Inputs!$B$16*(1+Inputs!$B$11)^(EC$2-1),0)</f>
        <v>0</v>
      </c>
      <c r="ED18" s="11" t="n">
        <f aca="false">IF(AND(ED$1&gt;=Units!$Q17,MOD(ED$1-Units!$Q17,12)=0),IF(AND(Units!$L17=1,ED$1=Units!$Q17),1,Inputs!$B$15)*Inputs!$B$16*(1+Inputs!$B$11)^(ED$2-1),0)</f>
        <v>0</v>
      </c>
    </row>
    <row r="19" customFormat="false" ht="15" hidden="false" customHeight="false" outlineLevel="0" collapsed="false">
      <c r="A19" s="22" t="n">
        <f aca="false">Units!A18</f>
        <v>117</v>
      </c>
      <c r="B19" s="23"/>
      <c r="C19" s="11" t="n">
        <f aca="false">IF(AND(C$1&gt;=Units!$Q18,MOD(C$1-Units!$Q18,12)=0),IF(AND(Units!$L18=1,C$1=Units!$Q18),1,Inputs!$B$15)*Inputs!$B$16*(1+Inputs!$B$11)^(C$2-1),0)</f>
        <v>0</v>
      </c>
      <c r="D19" s="11" t="n">
        <f aca="false">IF(AND(D$1&gt;=Units!$Q18,MOD(D$1-Units!$Q18,12)=0),IF(AND(Units!$L18=1,D$1=Units!$Q18),1,Inputs!$B$15)*Inputs!$B$16*(1+Inputs!$B$11)^(D$2-1),0)</f>
        <v>0</v>
      </c>
      <c r="E19" s="11" t="n">
        <f aca="false">IF(AND(E$1&gt;=Units!$Q18,MOD(E$1-Units!$Q18,12)=0),IF(AND(Units!$L18=1,E$1=Units!$Q18),1,Inputs!$B$15)*Inputs!$B$16*(1+Inputs!$B$11)^(E$2-1),0)</f>
        <v>0</v>
      </c>
      <c r="F19" s="11" t="n">
        <f aca="false">IF(AND(F$1&gt;=Units!$Q18,MOD(F$1-Units!$Q18,12)=0),IF(AND(Units!$L18=1,F$1=Units!$Q18),1,Inputs!$B$15)*Inputs!$B$16*(1+Inputs!$B$11)^(F$2-1),0)</f>
        <v>0</v>
      </c>
      <c r="G19" s="11" t="n">
        <f aca="false">IF(AND(G$1&gt;=Units!$Q18,MOD(G$1-Units!$Q18,12)=0),IF(AND(Units!$L18=1,G$1=Units!$Q18),1,Inputs!$B$15)*Inputs!$B$16*(1+Inputs!$B$11)^(G$2-1),0)</f>
        <v>0</v>
      </c>
      <c r="H19" s="11" t="n">
        <f aca="false">IF(AND(H$1&gt;=Units!$Q18,MOD(H$1-Units!$Q18,12)=0),IF(AND(Units!$L18=1,H$1=Units!$Q18),1,Inputs!$B$15)*Inputs!$B$16*(1+Inputs!$B$11)^(H$2-1),0)</f>
        <v>0</v>
      </c>
      <c r="I19" s="11" t="n">
        <f aca="false">IF(AND(I$1&gt;=Units!$Q18,MOD(I$1-Units!$Q18,12)=0),IF(AND(Units!$L18=1,I$1=Units!$Q18),1,Inputs!$B$15)*Inputs!$B$16*(1+Inputs!$B$11)^(I$2-1),0)</f>
        <v>0</v>
      </c>
      <c r="J19" s="11" t="n">
        <f aca="false">IF(AND(J$1&gt;=Units!$Q18,MOD(J$1-Units!$Q18,12)=0),IF(AND(Units!$L18=1,J$1=Units!$Q18),1,Inputs!$B$15)*Inputs!$B$16*(1+Inputs!$B$11)^(J$2-1),0)</f>
        <v>0</v>
      </c>
      <c r="K19" s="11" t="n">
        <f aca="false">IF(AND(K$1&gt;=Units!$Q18,MOD(K$1-Units!$Q18,12)=0),IF(AND(Units!$L18=1,K$1=Units!$Q18),1,Inputs!$B$15)*Inputs!$B$16*(1+Inputs!$B$11)^(K$2-1),0)</f>
        <v>0</v>
      </c>
      <c r="L19" s="11" t="n">
        <f aca="false">IF(AND(L$1&gt;=Units!$Q18,MOD(L$1-Units!$Q18,12)=0),IF(AND(Units!$L18=1,L$1=Units!$Q18),1,Inputs!$B$15)*Inputs!$B$16*(1+Inputs!$B$11)^(L$2-1),0)</f>
        <v>0</v>
      </c>
      <c r="M19" s="11" t="n">
        <f aca="false">IF(AND(M$1&gt;=Units!$Q18,MOD(M$1-Units!$Q18,12)=0),IF(AND(Units!$L18=1,M$1=Units!$Q18),1,Inputs!$B$15)*Inputs!$B$16*(1+Inputs!$B$11)^(M$2-1),0)</f>
        <v>0</v>
      </c>
      <c r="N19" s="11" t="n">
        <f aca="false">IF(AND(N$1&gt;=Units!$Q18,MOD(N$1-Units!$Q18,12)=0),IF(AND(Units!$L18=1,N$1=Units!$Q18),1,Inputs!$B$15)*Inputs!$B$16*(1+Inputs!$B$11)^(N$2-1),0)</f>
        <v>0</v>
      </c>
      <c r="O19" s="11" t="n">
        <f aca="false">IF(AND(O$1&gt;=Units!$Q18,MOD(O$1-Units!$Q18,12)=0),IF(AND(Units!$L18=1,O$1=Units!$Q18),1,Inputs!$B$15)*Inputs!$B$16*(1+Inputs!$B$11)^(O$2-1),0)</f>
        <v>515</v>
      </c>
      <c r="P19" s="11" t="n">
        <f aca="false">IF(AND(P$1&gt;=Units!$Q18,MOD(P$1-Units!$Q18,12)=0),IF(AND(Units!$L18=1,P$1=Units!$Q18),1,Inputs!$B$15)*Inputs!$B$16*(1+Inputs!$B$11)^(P$2-1),0)</f>
        <v>0</v>
      </c>
      <c r="Q19" s="11" t="n">
        <f aca="false">IF(AND(Q$1&gt;=Units!$Q18,MOD(Q$1-Units!$Q18,12)=0),IF(AND(Units!$L18=1,Q$1=Units!$Q18),1,Inputs!$B$15)*Inputs!$B$16*(1+Inputs!$B$11)^(Q$2-1),0)</f>
        <v>0</v>
      </c>
      <c r="R19" s="11" t="n">
        <f aca="false">IF(AND(R$1&gt;=Units!$Q18,MOD(R$1-Units!$Q18,12)=0),IF(AND(Units!$L18=1,R$1=Units!$Q18),1,Inputs!$B$15)*Inputs!$B$16*(1+Inputs!$B$11)^(R$2-1),0)</f>
        <v>0</v>
      </c>
      <c r="S19" s="11" t="n">
        <f aca="false">IF(AND(S$1&gt;=Units!$Q18,MOD(S$1-Units!$Q18,12)=0),IF(AND(Units!$L18=1,S$1=Units!$Q18),1,Inputs!$B$15)*Inputs!$B$16*(1+Inputs!$B$11)^(S$2-1),0)</f>
        <v>0</v>
      </c>
      <c r="T19" s="11" t="n">
        <f aca="false">IF(AND(T$1&gt;=Units!$Q18,MOD(T$1-Units!$Q18,12)=0),IF(AND(Units!$L18=1,T$1=Units!$Q18),1,Inputs!$B$15)*Inputs!$B$16*(1+Inputs!$B$11)^(T$2-1),0)</f>
        <v>0</v>
      </c>
      <c r="U19" s="11" t="n">
        <f aca="false">IF(AND(U$1&gt;=Units!$Q18,MOD(U$1-Units!$Q18,12)=0),IF(AND(Units!$L18=1,U$1=Units!$Q18),1,Inputs!$B$15)*Inputs!$B$16*(1+Inputs!$B$11)^(U$2-1),0)</f>
        <v>0</v>
      </c>
      <c r="V19" s="11" t="n">
        <f aca="false">IF(AND(V$1&gt;=Units!$Q18,MOD(V$1-Units!$Q18,12)=0),IF(AND(Units!$L18=1,V$1=Units!$Q18),1,Inputs!$B$15)*Inputs!$B$16*(1+Inputs!$B$11)^(V$2-1),0)</f>
        <v>0</v>
      </c>
      <c r="W19" s="11" t="n">
        <f aca="false">IF(AND(W$1&gt;=Units!$Q18,MOD(W$1-Units!$Q18,12)=0),IF(AND(Units!$L18=1,W$1=Units!$Q18),1,Inputs!$B$15)*Inputs!$B$16*(1+Inputs!$B$11)^(W$2-1),0)</f>
        <v>0</v>
      </c>
      <c r="X19" s="11" t="n">
        <f aca="false">IF(AND(X$1&gt;=Units!$Q18,MOD(X$1-Units!$Q18,12)=0),IF(AND(Units!$L18=1,X$1=Units!$Q18),1,Inputs!$B$15)*Inputs!$B$16*(1+Inputs!$B$11)^(X$2-1),0)</f>
        <v>0</v>
      </c>
      <c r="Y19" s="11" t="n">
        <f aca="false">IF(AND(Y$1&gt;=Units!$Q18,MOD(Y$1-Units!$Q18,12)=0),IF(AND(Units!$L18=1,Y$1=Units!$Q18),1,Inputs!$B$15)*Inputs!$B$16*(1+Inputs!$B$11)^(Y$2-1),0)</f>
        <v>0</v>
      </c>
      <c r="Z19" s="11" t="n">
        <f aca="false">IF(AND(Z$1&gt;=Units!$Q18,MOD(Z$1-Units!$Q18,12)=0),IF(AND(Units!$L18=1,Z$1=Units!$Q18),1,Inputs!$B$15)*Inputs!$B$16*(1+Inputs!$B$11)^(Z$2-1),0)</f>
        <v>0</v>
      </c>
      <c r="AA19" s="11" t="n">
        <f aca="false">IF(AND(AA$1&gt;=Units!$Q18,MOD(AA$1-Units!$Q18,12)=0),IF(AND(Units!$L18=1,AA$1=Units!$Q18),1,Inputs!$B$15)*Inputs!$B$16*(1+Inputs!$B$11)^(AA$2-1),0)</f>
        <v>530.45</v>
      </c>
      <c r="AB19" s="11" t="n">
        <f aca="false">IF(AND(AB$1&gt;=Units!$Q18,MOD(AB$1-Units!$Q18,12)=0),IF(AND(Units!$L18=1,AB$1=Units!$Q18),1,Inputs!$B$15)*Inputs!$B$16*(1+Inputs!$B$11)^(AB$2-1),0)</f>
        <v>0</v>
      </c>
      <c r="AC19" s="11" t="n">
        <f aca="false">IF(AND(AC$1&gt;=Units!$Q18,MOD(AC$1-Units!$Q18,12)=0),IF(AND(Units!$L18=1,AC$1=Units!$Q18),1,Inputs!$B$15)*Inputs!$B$16*(1+Inputs!$B$11)^(AC$2-1),0)</f>
        <v>0</v>
      </c>
      <c r="AD19" s="11" t="n">
        <f aca="false">IF(AND(AD$1&gt;=Units!$Q18,MOD(AD$1-Units!$Q18,12)=0),IF(AND(Units!$L18=1,AD$1=Units!$Q18),1,Inputs!$B$15)*Inputs!$B$16*(1+Inputs!$B$11)^(AD$2-1),0)</f>
        <v>0</v>
      </c>
      <c r="AE19" s="11" t="n">
        <f aca="false">IF(AND(AE$1&gt;=Units!$Q18,MOD(AE$1-Units!$Q18,12)=0),IF(AND(Units!$L18=1,AE$1=Units!$Q18),1,Inputs!$B$15)*Inputs!$B$16*(1+Inputs!$B$11)^(AE$2-1),0)</f>
        <v>0</v>
      </c>
      <c r="AF19" s="11" t="n">
        <f aca="false">IF(AND(AF$1&gt;=Units!$Q18,MOD(AF$1-Units!$Q18,12)=0),IF(AND(Units!$L18=1,AF$1=Units!$Q18),1,Inputs!$B$15)*Inputs!$B$16*(1+Inputs!$B$11)^(AF$2-1),0)</f>
        <v>0</v>
      </c>
      <c r="AG19" s="11" t="n">
        <f aca="false">IF(AND(AG$1&gt;=Units!$Q18,MOD(AG$1-Units!$Q18,12)=0),IF(AND(Units!$L18=1,AG$1=Units!$Q18),1,Inputs!$B$15)*Inputs!$B$16*(1+Inputs!$B$11)^(AG$2-1),0)</f>
        <v>0</v>
      </c>
      <c r="AH19" s="11" t="n">
        <f aca="false">IF(AND(AH$1&gt;=Units!$Q18,MOD(AH$1-Units!$Q18,12)=0),IF(AND(Units!$L18=1,AH$1=Units!$Q18),1,Inputs!$B$15)*Inputs!$B$16*(1+Inputs!$B$11)^(AH$2-1),0)</f>
        <v>0</v>
      </c>
      <c r="AI19" s="11" t="n">
        <f aca="false">IF(AND(AI$1&gt;=Units!$Q18,MOD(AI$1-Units!$Q18,12)=0),IF(AND(Units!$L18=1,AI$1=Units!$Q18),1,Inputs!$B$15)*Inputs!$B$16*(1+Inputs!$B$11)^(AI$2-1),0)</f>
        <v>0</v>
      </c>
      <c r="AJ19" s="11" t="n">
        <f aca="false">IF(AND(AJ$1&gt;=Units!$Q18,MOD(AJ$1-Units!$Q18,12)=0),IF(AND(Units!$L18=1,AJ$1=Units!$Q18),1,Inputs!$B$15)*Inputs!$B$16*(1+Inputs!$B$11)^(AJ$2-1),0)</f>
        <v>0</v>
      </c>
      <c r="AK19" s="11" t="n">
        <f aca="false">IF(AND(AK$1&gt;=Units!$Q18,MOD(AK$1-Units!$Q18,12)=0),IF(AND(Units!$L18=1,AK$1=Units!$Q18),1,Inputs!$B$15)*Inputs!$B$16*(1+Inputs!$B$11)^(AK$2-1),0)</f>
        <v>0</v>
      </c>
      <c r="AL19" s="11" t="n">
        <f aca="false">IF(AND(AL$1&gt;=Units!$Q18,MOD(AL$1-Units!$Q18,12)=0),IF(AND(Units!$L18=1,AL$1=Units!$Q18),1,Inputs!$B$15)*Inputs!$B$16*(1+Inputs!$B$11)^(AL$2-1),0)</f>
        <v>0</v>
      </c>
      <c r="AM19" s="11" t="n">
        <f aca="false">IF(AND(AM$1&gt;=Units!$Q18,MOD(AM$1-Units!$Q18,12)=0),IF(AND(Units!$L18=1,AM$1=Units!$Q18),1,Inputs!$B$15)*Inputs!$B$16*(1+Inputs!$B$11)^(AM$2-1),0)</f>
        <v>546.3635</v>
      </c>
      <c r="AN19" s="11" t="n">
        <f aca="false">IF(AND(AN$1&gt;=Units!$Q18,MOD(AN$1-Units!$Q18,12)=0),IF(AND(Units!$L18=1,AN$1=Units!$Q18),1,Inputs!$B$15)*Inputs!$B$16*(1+Inputs!$B$11)^(AN$2-1),0)</f>
        <v>0</v>
      </c>
      <c r="AO19" s="11" t="n">
        <f aca="false">IF(AND(AO$1&gt;=Units!$Q18,MOD(AO$1-Units!$Q18,12)=0),IF(AND(Units!$L18=1,AO$1=Units!$Q18),1,Inputs!$B$15)*Inputs!$B$16*(1+Inputs!$B$11)^(AO$2-1),0)</f>
        <v>0</v>
      </c>
      <c r="AP19" s="11" t="n">
        <f aca="false">IF(AND(AP$1&gt;=Units!$Q18,MOD(AP$1-Units!$Q18,12)=0),IF(AND(Units!$L18=1,AP$1=Units!$Q18),1,Inputs!$B$15)*Inputs!$B$16*(1+Inputs!$B$11)^(AP$2-1),0)</f>
        <v>0</v>
      </c>
      <c r="AQ19" s="11" t="n">
        <f aca="false">IF(AND(AQ$1&gt;=Units!$Q18,MOD(AQ$1-Units!$Q18,12)=0),IF(AND(Units!$L18=1,AQ$1=Units!$Q18),1,Inputs!$B$15)*Inputs!$B$16*(1+Inputs!$B$11)^(AQ$2-1),0)</f>
        <v>0</v>
      </c>
      <c r="AR19" s="11" t="n">
        <f aca="false">IF(AND(AR$1&gt;=Units!$Q18,MOD(AR$1-Units!$Q18,12)=0),IF(AND(Units!$L18=1,AR$1=Units!$Q18),1,Inputs!$B$15)*Inputs!$B$16*(1+Inputs!$B$11)^(AR$2-1),0)</f>
        <v>0</v>
      </c>
      <c r="AS19" s="11" t="n">
        <f aca="false">IF(AND(AS$1&gt;=Units!$Q18,MOD(AS$1-Units!$Q18,12)=0),IF(AND(Units!$L18=1,AS$1=Units!$Q18),1,Inputs!$B$15)*Inputs!$B$16*(1+Inputs!$B$11)^(AS$2-1),0)</f>
        <v>0</v>
      </c>
      <c r="AT19" s="11" t="n">
        <f aca="false">IF(AND(AT$1&gt;=Units!$Q18,MOD(AT$1-Units!$Q18,12)=0),IF(AND(Units!$L18=1,AT$1=Units!$Q18),1,Inputs!$B$15)*Inputs!$B$16*(1+Inputs!$B$11)^(AT$2-1),0)</f>
        <v>0</v>
      </c>
      <c r="AU19" s="11" t="n">
        <f aca="false">IF(AND(AU$1&gt;=Units!$Q18,MOD(AU$1-Units!$Q18,12)=0),IF(AND(Units!$L18=1,AU$1=Units!$Q18),1,Inputs!$B$15)*Inputs!$B$16*(1+Inputs!$B$11)^(AU$2-1),0)</f>
        <v>0</v>
      </c>
      <c r="AV19" s="11" t="n">
        <f aca="false">IF(AND(AV$1&gt;=Units!$Q18,MOD(AV$1-Units!$Q18,12)=0),IF(AND(Units!$L18=1,AV$1=Units!$Q18),1,Inputs!$B$15)*Inputs!$B$16*(1+Inputs!$B$11)^(AV$2-1),0)</f>
        <v>0</v>
      </c>
      <c r="AW19" s="11" t="n">
        <f aca="false">IF(AND(AW$1&gt;=Units!$Q18,MOD(AW$1-Units!$Q18,12)=0),IF(AND(Units!$L18=1,AW$1=Units!$Q18),1,Inputs!$B$15)*Inputs!$B$16*(1+Inputs!$B$11)^(AW$2-1),0)</f>
        <v>0</v>
      </c>
      <c r="AX19" s="11" t="n">
        <f aca="false">IF(AND(AX$1&gt;=Units!$Q18,MOD(AX$1-Units!$Q18,12)=0),IF(AND(Units!$L18=1,AX$1=Units!$Q18),1,Inputs!$B$15)*Inputs!$B$16*(1+Inputs!$B$11)^(AX$2-1),0)</f>
        <v>0</v>
      </c>
      <c r="AY19" s="11" t="n">
        <f aca="false">IF(AND(AY$1&gt;=Units!$Q18,MOD(AY$1-Units!$Q18,12)=0),IF(AND(Units!$L18=1,AY$1=Units!$Q18),1,Inputs!$B$15)*Inputs!$B$16*(1+Inputs!$B$11)^(AY$2-1),0)</f>
        <v>562.754405</v>
      </c>
      <c r="AZ19" s="11" t="n">
        <f aca="false">IF(AND(AZ$1&gt;=Units!$Q18,MOD(AZ$1-Units!$Q18,12)=0),IF(AND(Units!$L18=1,AZ$1=Units!$Q18),1,Inputs!$B$15)*Inputs!$B$16*(1+Inputs!$B$11)^(AZ$2-1),0)</f>
        <v>0</v>
      </c>
      <c r="BA19" s="11" t="n">
        <f aca="false">IF(AND(BA$1&gt;=Units!$Q18,MOD(BA$1-Units!$Q18,12)=0),IF(AND(Units!$L18=1,BA$1=Units!$Q18),1,Inputs!$B$15)*Inputs!$B$16*(1+Inputs!$B$11)^(BA$2-1),0)</f>
        <v>0</v>
      </c>
      <c r="BB19" s="11" t="n">
        <f aca="false">IF(AND(BB$1&gt;=Units!$Q18,MOD(BB$1-Units!$Q18,12)=0),IF(AND(Units!$L18=1,BB$1=Units!$Q18),1,Inputs!$B$15)*Inputs!$B$16*(1+Inputs!$B$11)^(BB$2-1),0)</f>
        <v>0</v>
      </c>
      <c r="BC19" s="11" t="n">
        <f aca="false">IF(AND(BC$1&gt;=Units!$Q18,MOD(BC$1-Units!$Q18,12)=0),IF(AND(Units!$L18=1,BC$1=Units!$Q18),1,Inputs!$B$15)*Inputs!$B$16*(1+Inputs!$B$11)^(BC$2-1),0)</f>
        <v>0</v>
      </c>
      <c r="BD19" s="11" t="n">
        <f aca="false">IF(AND(BD$1&gt;=Units!$Q18,MOD(BD$1-Units!$Q18,12)=0),IF(AND(Units!$L18=1,BD$1=Units!$Q18),1,Inputs!$B$15)*Inputs!$B$16*(1+Inputs!$B$11)^(BD$2-1),0)</f>
        <v>0</v>
      </c>
      <c r="BE19" s="11" t="n">
        <f aca="false">IF(AND(BE$1&gt;=Units!$Q18,MOD(BE$1-Units!$Q18,12)=0),IF(AND(Units!$L18=1,BE$1=Units!$Q18),1,Inputs!$B$15)*Inputs!$B$16*(1+Inputs!$B$11)^(BE$2-1),0)</f>
        <v>0</v>
      </c>
      <c r="BF19" s="11" t="n">
        <f aca="false">IF(AND(BF$1&gt;=Units!$Q18,MOD(BF$1-Units!$Q18,12)=0),IF(AND(Units!$L18=1,BF$1=Units!$Q18),1,Inputs!$B$15)*Inputs!$B$16*(1+Inputs!$B$11)^(BF$2-1),0)</f>
        <v>0</v>
      </c>
      <c r="BG19" s="11" t="n">
        <f aca="false">IF(AND(BG$1&gt;=Units!$Q18,MOD(BG$1-Units!$Q18,12)=0),IF(AND(Units!$L18=1,BG$1=Units!$Q18),1,Inputs!$B$15)*Inputs!$B$16*(1+Inputs!$B$11)^(BG$2-1),0)</f>
        <v>0</v>
      </c>
      <c r="BH19" s="11" t="n">
        <f aca="false">IF(AND(BH$1&gt;=Units!$Q18,MOD(BH$1-Units!$Q18,12)=0),IF(AND(Units!$L18=1,BH$1=Units!$Q18),1,Inputs!$B$15)*Inputs!$B$16*(1+Inputs!$B$11)^(BH$2-1),0)</f>
        <v>0</v>
      </c>
      <c r="BI19" s="11" t="n">
        <f aca="false">IF(AND(BI$1&gt;=Units!$Q18,MOD(BI$1-Units!$Q18,12)=0),IF(AND(Units!$L18=1,BI$1=Units!$Q18),1,Inputs!$B$15)*Inputs!$B$16*(1+Inputs!$B$11)^(BI$2-1),0)</f>
        <v>0</v>
      </c>
      <c r="BJ19" s="11" t="n">
        <f aca="false">IF(AND(BJ$1&gt;=Units!$Q18,MOD(BJ$1-Units!$Q18,12)=0),IF(AND(Units!$L18=1,BJ$1=Units!$Q18),1,Inputs!$B$15)*Inputs!$B$16*(1+Inputs!$B$11)^(BJ$2-1),0)</f>
        <v>0</v>
      </c>
      <c r="BK19" s="11" t="n">
        <f aca="false">IF(AND(BK$1&gt;=Units!$Q18,MOD(BK$1-Units!$Q18,12)=0),IF(AND(Units!$L18=1,BK$1=Units!$Q18),1,Inputs!$B$15)*Inputs!$B$16*(1+Inputs!$B$11)^(BK$2-1),0)</f>
        <v>579.63703715</v>
      </c>
      <c r="BL19" s="11" t="n">
        <f aca="false">IF(AND(BL$1&gt;=Units!$Q18,MOD(BL$1-Units!$Q18,12)=0),IF(AND(Units!$L18=1,BL$1=Units!$Q18),1,Inputs!$B$15)*Inputs!$B$16*(1+Inputs!$B$11)^(BL$2-1),0)</f>
        <v>0</v>
      </c>
      <c r="BM19" s="11" t="n">
        <f aca="false">IF(AND(BM$1&gt;=Units!$Q18,MOD(BM$1-Units!$Q18,12)=0),IF(AND(Units!$L18=1,BM$1=Units!$Q18),1,Inputs!$B$15)*Inputs!$B$16*(1+Inputs!$B$11)^(BM$2-1),0)</f>
        <v>0</v>
      </c>
      <c r="BN19" s="11" t="n">
        <f aca="false">IF(AND(BN$1&gt;=Units!$Q18,MOD(BN$1-Units!$Q18,12)=0),IF(AND(Units!$L18=1,BN$1=Units!$Q18),1,Inputs!$B$15)*Inputs!$B$16*(1+Inputs!$B$11)^(BN$2-1),0)</f>
        <v>0</v>
      </c>
      <c r="BO19" s="11" t="n">
        <f aca="false">IF(AND(BO$1&gt;=Units!$Q18,MOD(BO$1-Units!$Q18,12)=0),IF(AND(Units!$L18=1,BO$1=Units!$Q18),1,Inputs!$B$15)*Inputs!$B$16*(1+Inputs!$B$11)^(BO$2-1),0)</f>
        <v>0</v>
      </c>
      <c r="BP19" s="11" t="n">
        <f aca="false">IF(AND(BP$1&gt;=Units!$Q18,MOD(BP$1-Units!$Q18,12)=0),IF(AND(Units!$L18=1,BP$1=Units!$Q18),1,Inputs!$B$15)*Inputs!$B$16*(1+Inputs!$B$11)^(BP$2-1),0)</f>
        <v>0</v>
      </c>
      <c r="BQ19" s="11" t="n">
        <f aca="false">IF(AND(BQ$1&gt;=Units!$Q18,MOD(BQ$1-Units!$Q18,12)=0),IF(AND(Units!$L18=1,BQ$1=Units!$Q18),1,Inputs!$B$15)*Inputs!$B$16*(1+Inputs!$B$11)^(BQ$2-1),0)</f>
        <v>0</v>
      </c>
      <c r="BR19" s="11" t="n">
        <f aca="false">IF(AND(BR$1&gt;=Units!$Q18,MOD(BR$1-Units!$Q18,12)=0),IF(AND(Units!$L18=1,BR$1=Units!$Q18),1,Inputs!$B$15)*Inputs!$B$16*(1+Inputs!$B$11)^(BR$2-1),0)</f>
        <v>0</v>
      </c>
      <c r="BS19" s="11" t="n">
        <f aca="false">IF(AND(BS$1&gt;=Units!$Q18,MOD(BS$1-Units!$Q18,12)=0),IF(AND(Units!$L18=1,BS$1=Units!$Q18),1,Inputs!$B$15)*Inputs!$B$16*(1+Inputs!$B$11)^(BS$2-1),0)</f>
        <v>0</v>
      </c>
      <c r="BT19" s="11" t="n">
        <f aca="false">IF(AND(BT$1&gt;=Units!$Q18,MOD(BT$1-Units!$Q18,12)=0),IF(AND(Units!$L18=1,BT$1=Units!$Q18),1,Inputs!$B$15)*Inputs!$B$16*(1+Inputs!$B$11)^(BT$2-1),0)</f>
        <v>0</v>
      </c>
      <c r="BU19" s="11" t="n">
        <f aca="false">IF(AND(BU$1&gt;=Units!$Q18,MOD(BU$1-Units!$Q18,12)=0),IF(AND(Units!$L18=1,BU$1=Units!$Q18),1,Inputs!$B$15)*Inputs!$B$16*(1+Inputs!$B$11)^(BU$2-1),0)</f>
        <v>0</v>
      </c>
      <c r="BV19" s="11" t="n">
        <f aca="false">IF(AND(BV$1&gt;=Units!$Q18,MOD(BV$1-Units!$Q18,12)=0),IF(AND(Units!$L18=1,BV$1=Units!$Q18),1,Inputs!$B$15)*Inputs!$B$16*(1+Inputs!$B$11)^(BV$2-1),0)</f>
        <v>0</v>
      </c>
      <c r="BW19" s="11" t="n">
        <f aca="false">IF(AND(BW$1&gt;=Units!$Q18,MOD(BW$1-Units!$Q18,12)=0),IF(AND(Units!$L18=1,BW$1=Units!$Q18),1,Inputs!$B$15)*Inputs!$B$16*(1+Inputs!$B$11)^(BW$2-1),0)</f>
        <v>597.0261482645</v>
      </c>
      <c r="BX19" s="11" t="n">
        <f aca="false">IF(AND(BX$1&gt;=Units!$Q18,MOD(BX$1-Units!$Q18,12)=0),IF(AND(Units!$L18=1,BX$1=Units!$Q18),1,Inputs!$B$15)*Inputs!$B$16*(1+Inputs!$B$11)^(BX$2-1),0)</f>
        <v>0</v>
      </c>
      <c r="BY19" s="11" t="n">
        <f aca="false">IF(AND(BY$1&gt;=Units!$Q18,MOD(BY$1-Units!$Q18,12)=0),IF(AND(Units!$L18=1,BY$1=Units!$Q18),1,Inputs!$B$15)*Inputs!$B$16*(1+Inputs!$B$11)^(BY$2-1),0)</f>
        <v>0</v>
      </c>
      <c r="BZ19" s="11" t="n">
        <f aca="false">IF(AND(BZ$1&gt;=Units!$Q18,MOD(BZ$1-Units!$Q18,12)=0),IF(AND(Units!$L18=1,BZ$1=Units!$Q18),1,Inputs!$B$15)*Inputs!$B$16*(1+Inputs!$B$11)^(BZ$2-1),0)</f>
        <v>0</v>
      </c>
      <c r="CA19" s="11" t="n">
        <f aca="false">IF(AND(CA$1&gt;=Units!$Q18,MOD(CA$1-Units!$Q18,12)=0),IF(AND(Units!$L18=1,CA$1=Units!$Q18),1,Inputs!$B$15)*Inputs!$B$16*(1+Inputs!$B$11)^(CA$2-1),0)</f>
        <v>0</v>
      </c>
      <c r="CB19" s="11" t="n">
        <f aca="false">IF(AND(CB$1&gt;=Units!$Q18,MOD(CB$1-Units!$Q18,12)=0),IF(AND(Units!$L18=1,CB$1=Units!$Q18),1,Inputs!$B$15)*Inputs!$B$16*(1+Inputs!$B$11)^(CB$2-1),0)</f>
        <v>0</v>
      </c>
      <c r="CC19" s="11" t="n">
        <f aca="false">IF(AND(CC$1&gt;=Units!$Q18,MOD(CC$1-Units!$Q18,12)=0),IF(AND(Units!$L18=1,CC$1=Units!$Q18),1,Inputs!$B$15)*Inputs!$B$16*(1+Inputs!$B$11)^(CC$2-1),0)</f>
        <v>0</v>
      </c>
      <c r="CD19" s="11" t="n">
        <f aca="false">IF(AND(CD$1&gt;=Units!$Q18,MOD(CD$1-Units!$Q18,12)=0),IF(AND(Units!$L18=1,CD$1=Units!$Q18),1,Inputs!$B$15)*Inputs!$B$16*(1+Inputs!$B$11)^(CD$2-1),0)</f>
        <v>0</v>
      </c>
      <c r="CE19" s="11" t="n">
        <f aca="false">IF(AND(CE$1&gt;=Units!$Q18,MOD(CE$1-Units!$Q18,12)=0),IF(AND(Units!$L18=1,CE$1=Units!$Q18),1,Inputs!$B$15)*Inputs!$B$16*(1+Inputs!$B$11)^(CE$2-1),0)</f>
        <v>0</v>
      </c>
      <c r="CF19" s="11" t="n">
        <f aca="false">IF(AND(CF$1&gt;=Units!$Q18,MOD(CF$1-Units!$Q18,12)=0),IF(AND(Units!$L18=1,CF$1=Units!$Q18),1,Inputs!$B$15)*Inputs!$B$16*(1+Inputs!$B$11)^(CF$2-1),0)</f>
        <v>0</v>
      </c>
      <c r="CG19" s="11" t="n">
        <f aca="false">IF(AND(CG$1&gt;=Units!$Q18,MOD(CG$1-Units!$Q18,12)=0),IF(AND(Units!$L18=1,CG$1=Units!$Q18),1,Inputs!$B$15)*Inputs!$B$16*(1+Inputs!$B$11)^(CG$2-1),0)</f>
        <v>0</v>
      </c>
      <c r="CH19" s="11" t="n">
        <f aca="false">IF(AND(CH$1&gt;=Units!$Q18,MOD(CH$1-Units!$Q18,12)=0),IF(AND(Units!$L18=1,CH$1=Units!$Q18),1,Inputs!$B$15)*Inputs!$B$16*(1+Inputs!$B$11)^(CH$2-1),0)</f>
        <v>0</v>
      </c>
      <c r="CI19" s="11" t="n">
        <f aca="false">IF(AND(CI$1&gt;=Units!$Q18,MOD(CI$1-Units!$Q18,12)=0),IF(AND(Units!$L18=1,CI$1=Units!$Q18),1,Inputs!$B$15)*Inputs!$B$16*(1+Inputs!$B$11)^(CI$2-1),0)</f>
        <v>614.936932712435</v>
      </c>
      <c r="CJ19" s="11" t="n">
        <f aca="false">IF(AND(CJ$1&gt;=Units!$Q18,MOD(CJ$1-Units!$Q18,12)=0),IF(AND(Units!$L18=1,CJ$1=Units!$Q18),1,Inputs!$B$15)*Inputs!$B$16*(1+Inputs!$B$11)^(CJ$2-1),0)</f>
        <v>0</v>
      </c>
      <c r="CK19" s="11" t="n">
        <f aca="false">IF(AND(CK$1&gt;=Units!$Q18,MOD(CK$1-Units!$Q18,12)=0),IF(AND(Units!$L18=1,CK$1=Units!$Q18),1,Inputs!$B$15)*Inputs!$B$16*(1+Inputs!$B$11)^(CK$2-1),0)</f>
        <v>0</v>
      </c>
      <c r="CL19" s="11" t="n">
        <f aca="false">IF(AND(CL$1&gt;=Units!$Q18,MOD(CL$1-Units!$Q18,12)=0),IF(AND(Units!$L18=1,CL$1=Units!$Q18),1,Inputs!$B$15)*Inputs!$B$16*(1+Inputs!$B$11)^(CL$2-1),0)</f>
        <v>0</v>
      </c>
      <c r="CM19" s="11" t="n">
        <f aca="false">IF(AND(CM$1&gt;=Units!$Q18,MOD(CM$1-Units!$Q18,12)=0),IF(AND(Units!$L18=1,CM$1=Units!$Q18),1,Inputs!$B$15)*Inputs!$B$16*(1+Inputs!$B$11)^(CM$2-1),0)</f>
        <v>0</v>
      </c>
      <c r="CN19" s="11" t="n">
        <f aca="false">IF(AND(CN$1&gt;=Units!$Q18,MOD(CN$1-Units!$Q18,12)=0),IF(AND(Units!$L18=1,CN$1=Units!$Q18),1,Inputs!$B$15)*Inputs!$B$16*(1+Inputs!$B$11)^(CN$2-1),0)</f>
        <v>0</v>
      </c>
      <c r="CO19" s="11" t="n">
        <f aca="false">IF(AND(CO$1&gt;=Units!$Q18,MOD(CO$1-Units!$Q18,12)=0),IF(AND(Units!$L18=1,CO$1=Units!$Q18),1,Inputs!$B$15)*Inputs!$B$16*(1+Inputs!$B$11)^(CO$2-1),0)</f>
        <v>0</v>
      </c>
      <c r="CP19" s="11" t="n">
        <f aca="false">IF(AND(CP$1&gt;=Units!$Q18,MOD(CP$1-Units!$Q18,12)=0),IF(AND(Units!$L18=1,CP$1=Units!$Q18),1,Inputs!$B$15)*Inputs!$B$16*(1+Inputs!$B$11)^(CP$2-1),0)</f>
        <v>0</v>
      </c>
      <c r="CQ19" s="11" t="n">
        <f aca="false">IF(AND(CQ$1&gt;=Units!$Q18,MOD(CQ$1-Units!$Q18,12)=0),IF(AND(Units!$L18=1,CQ$1=Units!$Q18),1,Inputs!$B$15)*Inputs!$B$16*(1+Inputs!$B$11)^(CQ$2-1),0)</f>
        <v>0</v>
      </c>
      <c r="CR19" s="11" t="n">
        <f aca="false">IF(AND(CR$1&gt;=Units!$Q18,MOD(CR$1-Units!$Q18,12)=0),IF(AND(Units!$L18=1,CR$1=Units!$Q18),1,Inputs!$B$15)*Inputs!$B$16*(1+Inputs!$B$11)^(CR$2-1),0)</f>
        <v>0</v>
      </c>
      <c r="CS19" s="11" t="n">
        <f aca="false">IF(AND(CS$1&gt;=Units!$Q18,MOD(CS$1-Units!$Q18,12)=0),IF(AND(Units!$L18=1,CS$1=Units!$Q18),1,Inputs!$B$15)*Inputs!$B$16*(1+Inputs!$B$11)^(CS$2-1),0)</f>
        <v>0</v>
      </c>
      <c r="CT19" s="11" t="n">
        <f aca="false">IF(AND(CT$1&gt;=Units!$Q18,MOD(CT$1-Units!$Q18,12)=0),IF(AND(Units!$L18=1,CT$1=Units!$Q18),1,Inputs!$B$15)*Inputs!$B$16*(1+Inputs!$B$11)^(CT$2-1),0)</f>
        <v>0</v>
      </c>
      <c r="CU19" s="11" t="n">
        <f aca="false">IF(AND(CU$1&gt;=Units!$Q18,MOD(CU$1-Units!$Q18,12)=0),IF(AND(Units!$L18=1,CU$1=Units!$Q18),1,Inputs!$B$15)*Inputs!$B$16*(1+Inputs!$B$11)^(CU$2-1),0)</f>
        <v>633.385040693808</v>
      </c>
      <c r="CV19" s="11" t="n">
        <f aca="false">IF(AND(CV$1&gt;=Units!$Q18,MOD(CV$1-Units!$Q18,12)=0),IF(AND(Units!$L18=1,CV$1=Units!$Q18),1,Inputs!$B$15)*Inputs!$B$16*(1+Inputs!$B$11)^(CV$2-1),0)</f>
        <v>0</v>
      </c>
      <c r="CW19" s="11" t="n">
        <f aca="false">IF(AND(CW$1&gt;=Units!$Q18,MOD(CW$1-Units!$Q18,12)=0),IF(AND(Units!$L18=1,CW$1=Units!$Q18),1,Inputs!$B$15)*Inputs!$B$16*(1+Inputs!$B$11)^(CW$2-1),0)</f>
        <v>0</v>
      </c>
      <c r="CX19" s="11" t="n">
        <f aca="false">IF(AND(CX$1&gt;=Units!$Q18,MOD(CX$1-Units!$Q18,12)=0),IF(AND(Units!$L18=1,CX$1=Units!$Q18),1,Inputs!$B$15)*Inputs!$B$16*(1+Inputs!$B$11)^(CX$2-1),0)</f>
        <v>0</v>
      </c>
      <c r="CY19" s="11" t="n">
        <f aca="false">IF(AND(CY$1&gt;=Units!$Q18,MOD(CY$1-Units!$Q18,12)=0),IF(AND(Units!$L18=1,CY$1=Units!$Q18),1,Inputs!$B$15)*Inputs!$B$16*(1+Inputs!$B$11)^(CY$2-1),0)</f>
        <v>0</v>
      </c>
      <c r="CZ19" s="11" t="n">
        <f aca="false">IF(AND(CZ$1&gt;=Units!$Q18,MOD(CZ$1-Units!$Q18,12)=0),IF(AND(Units!$L18=1,CZ$1=Units!$Q18),1,Inputs!$B$15)*Inputs!$B$16*(1+Inputs!$B$11)^(CZ$2-1),0)</f>
        <v>0</v>
      </c>
      <c r="DA19" s="11" t="n">
        <f aca="false">IF(AND(DA$1&gt;=Units!$Q18,MOD(DA$1-Units!$Q18,12)=0),IF(AND(Units!$L18=1,DA$1=Units!$Q18),1,Inputs!$B$15)*Inputs!$B$16*(1+Inputs!$B$11)^(DA$2-1),0)</f>
        <v>0</v>
      </c>
      <c r="DB19" s="11" t="n">
        <f aca="false">IF(AND(DB$1&gt;=Units!$Q18,MOD(DB$1-Units!$Q18,12)=0),IF(AND(Units!$L18=1,DB$1=Units!$Q18),1,Inputs!$B$15)*Inputs!$B$16*(1+Inputs!$B$11)^(DB$2-1),0)</f>
        <v>0</v>
      </c>
      <c r="DC19" s="11" t="n">
        <f aca="false">IF(AND(DC$1&gt;=Units!$Q18,MOD(DC$1-Units!$Q18,12)=0),IF(AND(Units!$L18=1,DC$1=Units!$Q18),1,Inputs!$B$15)*Inputs!$B$16*(1+Inputs!$B$11)^(DC$2-1),0)</f>
        <v>0</v>
      </c>
      <c r="DD19" s="11" t="n">
        <f aca="false">IF(AND(DD$1&gt;=Units!$Q18,MOD(DD$1-Units!$Q18,12)=0),IF(AND(Units!$L18=1,DD$1=Units!$Q18),1,Inputs!$B$15)*Inputs!$B$16*(1+Inputs!$B$11)^(DD$2-1),0)</f>
        <v>0</v>
      </c>
      <c r="DE19" s="11" t="n">
        <f aca="false">IF(AND(DE$1&gt;=Units!$Q18,MOD(DE$1-Units!$Q18,12)=0),IF(AND(Units!$L18=1,DE$1=Units!$Q18),1,Inputs!$B$15)*Inputs!$B$16*(1+Inputs!$B$11)^(DE$2-1),0)</f>
        <v>0</v>
      </c>
      <c r="DF19" s="11" t="n">
        <f aca="false">IF(AND(DF$1&gt;=Units!$Q18,MOD(DF$1-Units!$Q18,12)=0),IF(AND(Units!$L18=1,DF$1=Units!$Q18),1,Inputs!$B$15)*Inputs!$B$16*(1+Inputs!$B$11)^(DF$2-1),0)</f>
        <v>0</v>
      </c>
      <c r="DG19" s="11" t="n">
        <f aca="false">IF(AND(DG$1&gt;=Units!$Q18,MOD(DG$1-Units!$Q18,12)=0),IF(AND(Units!$L18=1,DG$1=Units!$Q18),1,Inputs!$B$15)*Inputs!$B$16*(1+Inputs!$B$11)^(DG$2-1),0)</f>
        <v>652.386591914623</v>
      </c>
      <c r="DH19" s="11" t="n">
        <f aca="false">IF(AND(DH$1&gt;=Units!$Q18,MOD(DH$1-Units!$Q18,12)=0),IF(AND(Units!$L18=1,DH$1=Units!$Q18),1,Inputs!$B$15)*Inputs!$B$16*(1+Inputs!$B$11)^(DH$2-1),0)</f>
        <v>0</v>
      </c>
      <c r="DI19" s="11" t="n">
        <f aca="false">IF(AND(DI$1&gt;=Units!$Q18,MOD(DI$1-Units!$Q18,12)=0),IF(AND(Units!$L18=1,DI$1=Units!$Q18),1,Inputs!$B$15)*Inputs!$B$16*(1+Inputs!$B$11)^(DI$2-1),0)</f>
        <v>0</v>
      </c>
      <c r="DJ19" s="11" t="n">
        <f aca="false">IF(AND(DJ$1&gt;=Units!$Q18,MOD(DJ$1-Units!$Q18,12)=0),IF(AND(Units!$L18=1,DJ$1=Units!$Q18),1,Inputs!$B$15)*Inputs!$B$16*(1+Inputs!$B$11)^(DJ$2-1),0)</f>
        <v>0</v>
      </c>
      <c r="DK19" s="11" t="n">
        <f aca="false">IF(AND(DK$1&gt;=Units!$Q18,MOD(DK$1-Units!$Q18,12)=0),IF(AND(Units!$L18=1,DK$1=Units!$Q18),1,Inputs!$B$15)*Inputs!$B$16*(1+Inputs!$B$11)^(DK$2-1),0)</f>
        <v>0</v>
      </c>
      <c r="DL19" s="11" t="n">
        <f aca="false">IF(AND(DL$1&gt;=Units!$Q18,MOD(DL$1-Units!$Q18,12)=0),IF(AND(Units!$L18=1,DL$1=Units!$Q18),1,Inputs!$B$15)*Inputs!$B$16*(1+Inputs!$B$11)^(DL$2-1),0)</f>
        <v>0</v>
      </c>
      <c r="DM19" s="11" t="n">
        <f aca="false">IF(AND(DM$1&gt;=Units!$Q18,MOD(DM$1-Units!$Q18,12)=0),IF(AND(Units!$L18=1,DM$1=Units!$Q18),1,Inputs!$B$15)*Inputs!$B$16*(1+Inputs!$B$11)^(DM$2-1),0)</f>
        <v>0</v>
      </c>
      <c r="DN19" s="11" t="n">
        <f aca="false">IF(AND(DN$1&gt;=Units!$Q18,MOD(DN$1-Units!$Q18,12)=0),IF(AND(Units!$L18=1,DN$1=Units!$Q18),1,Inputs!$B$15)*Inputs!$B$16*(1+Inputs!$B$11)^(DN$2-1),0)</f>
        <v>0</v>
      </c>
      <c r="DO19" s="11" t="n">
        <f aca="false">IF(AND(DO$1&gt;=Units!$Q18,MOD(DO$1-Units!$Q18,12)=0),IF(AND(Units!$L18=1,DO$1=Units!$Q18),1,Inputs!$B$15)*Inputs!$B$16*(1+Inputs!$B$11)^(DO$2-1),0)</f>
        <v>0</v>
      </c>
      <c r="DP19" s="11" t="n">
        <f aca="false">IF(AND(DP$1&gt;=Units!$Q18,MOD(DP$1-Units!$Q18,12)=0),IF(AND(Units!$L18=1,DP$1=Units!$Q18),1,Inputs!$B$15)*Inputs!$B$16*(1+Inputs!$B$11)^(DP$2-1),0)</f>
        <v>0</v>
      </c>
      <c r="DQ19" s="11" t="n">
        <f aca="false">IF(AND(DQ$1&gt;=Units!$Q18,MOD(DQ$1-Units!$Q18,12)=0),IF(AND(Units!$L18=1,DQ$1=Units!$Q18),1,Inputs!$B$15)*Inputs!$B$16*(1+Inputs!$B$11)^(DQ$2-1),0)</f>
        <v>0</v>
      </c>
      <c r="DR19" s="11" t="n">
        <f aca="false">IF(AND(DR$1&gt;=Units!$Q18,MOD(DR$1-Units!$Q18,12)=0),IF(AND(Units!$L18=1,DR$1=Units!$Q18),1,Inputs!$B$15)*Inputs!$B$16*(1+Inputs!$B$11)^(DR$2-1),0)</f>
        <v>0</v>
      </c>
      <c r="DS19" s="11" t="n">
        <f aca="false">IF(AND(DS$1&gt;=Units!$Q18,MOD(DS$1-Units!$Q18,12)=0),IF(AND(Units!$L18=1,DS$1=Units!$Q18),1,Inputs!$B$15)*Inputs!$B$16*(1+Inputs!$B$11)^(DS$2-1),0)</f>
        <v>671.958189672061</v>
      </c>
      <c r="DT19" s="11" t="n">
        <f aca="false">IF(AND(DT$1&gt;=Units!$Q18,MOD(DT$1-Units!$Q18,12)=0),IF(AND(Units!$L18=1,DT$1=Units!$Q18),1,Inputs!$B$15)*Inputs!$B$16*(1+Inputs!$B$11)^(DT$2-1),0)</f>
        <v>0</v>
      </c>
      <c r="DU19" s="11" t="n">
        <f aca="false">IF(AND(DU$1&gt;=Units!$Q18,MOD(DU$1-Units!$Q18,12)=0),IF(AND(Units!$L18=1,DU$1=Units!$Q18),1,Inputs!$B$15)*Inputs!$B$16*(1+Inputs!$B$11)^(DU$2-1),0)</f>
        <v>0</v>
      </c>
      <c r="DV19" s="11" t="n">
        <f aca="false">IF(AND(DV$1&gt;=Units!$Q18,MOD(DV$1-Units!$Q18,12)=0),IF(AND(Units!$L18=1,DV$1=Units!$Q18),1,Inputs!$B$15)*Inputs!$B$16*(1+Inputs!$B$11)^(DV$2-1),0)</f>
        <v>0</v>
      </c>
      <c r="DW19" s="11" t="n">
        <f aca="false">IF(AND(DW$1&gt;=Units!$Q18,MOD(DW$1-Units!$Q18,12)=0),IF(AND(Units!$L18=1,DW$1=Units!$Q18),1,Inputs!$B$15)*Inputs!$B$16*(1+Inputs!$B$11)^(DW$2-1),0)</f>
        <v>0</v>
      </c>
      <c r="DX19" s="11" t="n">
        <f aca="false">IF(AND(DX$1&gt;=Units!$Q18,MOD(DX$1-Units!$Q18,12)=0),IF(AND(Units!$L18=1,DX$1=Units!$Q18),1,Inputs!$B$15)*Inputs!$B$16*(1+Inputs!$B$11)^(DX$2-1),0)</f>
        <v>0</v>
      </c>
      <c r="DY19" s="11" t="n">
        <f aca="false">IF(AND(DY$1&gt;=Units!$Q18,MOD(DY$1-Units!$Q18,12)=0),IF(AND(Units!$L18=1,DY$1=Units!$Q18),1,Inputs!$B$15)*Inputs!$B$16*(1+Inputs!$B$11)^(DY$2-1),0)</f>
        <v>0</v>
      </c>
      <c r="DZ19" s="11" t="n">
        <f aca="false">IF(AND(DZ$1&gt;=Units!$Q18,MOD(DZ$1-Units!$Q18,12)=0),IF(AND(Units!$L18=1,DZ$1=Units!$Q18),1,Inputs!$B$15)*Inputs!$B$16*(1+Inputs!$B$11)^(DZ$2-1),0)</f>
        <v>0</v>
      </c>
      <c r="EA19" s="11" t="n">
        <f aca="false">IF(AND(EA$1&gt;=Units!$Q18,MOD(EA$1-Units!$Q18,12)=0),IF(AND(Units!$L18=1,EA$1=Units!$Q18),1,Inputs!$B$15)*Inputs!$B$16*(1+Inputs!$B$11)^(EA$2-1),0)</f>
        <v>0</v>
      </c>
      <c r="EB19" s="11" t="n">
        <f aca="false">IF(AND(EB$1&gt;=Units!$Q18,MOD(EB$1-Units!$Q18,12)=0),IF(AND(Units!$L18=1,EB$1=Units!$Q18),1,Inputs!$B$15)*Inputs!$B$16*(1+Inputs!$B$11)^(EB$2-1),0)</f>
        <v>0</v>
      </c>
      <c r="EC19" s="11" t="n">
        <f aca="false">IF(AND(EC$1&gt;=Units!$Q18,MOD(EC$1-Units!$Q18,12)=0),IF(AND(Units!$L18=1,EC$1=Units!$Q18),1,Inputs!$B$15)*Inputs!$B$16*(1+Inputs!$B$11)^(EC$2-1),0)</f>
        <v>0</v>
      </c>
      <c r="ED19" s="11" t="n">
        <f aca="false">IF(AND(ED$1&gt;=Units!$Q18,MOD(ED$1-Units!$Q18,12)=0),IF(AND(Units!$L18=1,ED$1=Units!$Q18),1,Inputs!$B$15)*Inputs!$B$16*(1+Inputs!$B$11)^(ED$2-1),0)</f>
        <v>0</v>
      </c>
    </row>
    <row r="20" customFormat="false" ht="15" hidden="false" customHeight="false" outlineLevel="0" collapsed="false">
      <c r="A20" s="22" t="n">
        <f aca="false">Units!A19</f>
        <v>118</v>
      </c>
      <c r="B20" s="23"/>
      <c r="C20" s="11" t="n">
        <f aca="false">IF(AND(C$1&gt;=Units!$Q19,MOD(C$1-Units!$Q19,12)=0),IF(AND(Units!$L19=1,C$1=Units!$Q19),1,Inputs!$B$15)*Inputs!$B$16*(1+Inputs!$B$11)^(C$2-1),0)</f>
        <v>0</v>
      </c>
      <c r="D20" s="11" t="n">
        <f aca="false">IF(AND(D$1&gt;=Units!$Q19,MOD(D$1-Units!$Q19,12)=0),IF(AND(Units!$L19=1,D$1=Units!$Q19),1,Inputs!$B$15)*Inputs!$B$16*(1+Inputs!$B$11)^(D$2-1),0)</f>
        <v>0</v>
      </c>
      <c r="E20" s="11" t="n">
        <f aca="false">IF(AND(E$1&gt;=Units!$Q19,MOD(E$1-Units!$Q19,12)=0),IF(AND(Units!$L19=1,E$1=Units!$Q19),1,Inputs!$B$15)*Inputs!$B$16*(1+Inputs!$B$11)^(E$2-1),0)</f>
        <v>0</v>
      </c>
      <c r="F20" s="11" t="n">
        <f aca="false">IF(AND(F$1&gt;=Units!$Q19,MOD(F$1-Units!$Q19,12)=0),IF(AND(Units!$L19=1,F$1=Units!$Q19),1,Inputs!$B$15)*Inputs!$B$16*(1+Inputs!$B$11)^(F$2-1),0)</f>
        <v>0</v>
      </c>
      <c r="G20" s="11" t="n">
        <f aca="false">IF(AND(G$1&gt;=Units!$Q19,MOD(G$1-Units!$Q19,12)=0),IF(AND(Units!$L19=1,G$1=Units!$Q19),1,Inputs!$B$15)*Inputs!$B$16*(1+Inputs!$B$11)^(G$2-1),0)</f>
        <v>0</v>
      </c>
      <c r="H20" s="11" t="n">
        <f aca="false">IF(AND(H$1&gt;=Units!$Q19,MOD(H$1-Units!$Q19,12)=0),IF(AND(Units!$L19=1,H$1=Units!$Q19),1,Inputs!$B$15)*Inputs!$B$16*(1+Inputs!$B$11)^(H$2-1),0)</f>
        <v>0</v>
      </c>
      <c r="I20" s="11" t="n">
        <f aca="false">IF(AND(I$1&gt;=Units!$Q19,MOD(I$1-Units!$Q19,12)=0),IF(AND(Units!$L19=1,I$1=Units!$Q19),1,Inputs!$B$15)*Inputs!$B$16*(1+Inputs!$B$11)^(I$2-1),0)</f>
        <v>0</v>
      </c>
      <c r="J20" s="11" t="n">
        <f aca="false">IF(AND(J$1&gt;=Units!$Q19,MOD(J$1-Units!$Q19,12)=0),IF(AND(Units!$L19=1,J$1=Units!$Q19),1,Inputs!$B$15)*Inputs!$B$16*(1+Inputs!$B$11)^(J$2-1),0)</f>
        <v>0</v>
      </c>
      <c r="K20" s="11" t="n">
        <f aca="false">IF(AND(K$1&gt;=Units!$Q19,MOD(K$1-Units!$Q19,12)=0),IF(AND(Units!$L19=1,K$1=Units!$Q19),1,Inputs!$B$15)*Inputs!$B$16*(1+Inputs!$B$11)^(K$2-1),0)</f>
        <v>500</v>
      </c>
      <c r="L20" s="11" t="n">
        <f aca="false">IF(AND(L$1&gt;=Units!$Q19,MOD(L$1-Units!$Q19,12)=0),IF(AND(Units!$L19=1,L$1=Units!$Q19),1,Inputs!$B$15)*Inputs!$B$16*(1+Inputs!$B$11)^(L$2-1),0)</f>
        <v>0</v>
      </c>
      <c r="M20" s="11" t="n">
        <f aca="false">IF(AND(M$1&gt;=Units!$Q19,MOD(M$1-Units!$Q19,12)=0),IF(AND(Units!$L19=1,M$1=Units!$Q19),1,Inputs!$B$15)*Inputs!$B$16*(1+Inputs!$B$11)^(M$2-1),0)</f>
        <v>0</v>
      </c>
      <c r="N20" s="11" t="n">
        <f aca="false">IF(AND(N$1&gt;=Units!$Q19,MOD(N$1-Units!$Q19,12)=0),IF(AND(Units!$L19=1,N$1=Units!$Q19),1,Inputs!$B$15)*Inputs!$B$16*(1+Inputs!$B$11)^(N$2-1),0)</f>
        <v>0</v>
      </c>
      <c r="O20" s="11" t="n">
        <f aca="false">IF(AND(O$1&gt;=Units!$Q19,MOD(O$1-Units!$Q19,12)=0),IF(AND(Units!$L19=1,O$1=Units!$Q19),1,Inputs!$B$15)*Inputs!$B$16*(1+Inputs!$B$11)^(O$2-1),0)</f>
        <v>0</v>
      </c>
      <c r="P20" s="11" t="n">
        <f aca="false">IF(AND(P$1&gt;=Units!$Q19,MOD(P$1-Units!$Q19,12)=0),IF(AND(Units!$L19=1,P$1=Units!$Q19),1,Inputs!$B$15)*Inputs!$B$16*(1+Inputs!$B$11)^(P$2-1),0)</f>
        <v>0</v>
      </c>
      <c r="Q20" s="11" t="n">
        <f aca="false">IF(AND(Q$1&gt;=Units!$Q19,MOD(Q$1-Units!$Q19,12)=0),IF(AND(Units!$L19=1,Q$1=Units!$Q19),1,Inputs!$B$15)*Inputs!$B$16*(1+Inputs!$B$11)^(Q$2-1),0)</f>
        <v>0</v>
      </c>
      <c r="R20" s="11" t="n">
        <f aca="false">IF(AND(R$1&gt;=Units!$Q19,MOD(R$1-Units!$Q19,12)=0),IF(AND(Units!$L19=1,R$1=Units!$Q19),1,Inputs!$B$15)*Inputs!$B$16*(1+Inputs!$B$11)^(R$2-1),0)</f>
        <v>0</v>
      </c>
      <c r="S20" s="11" t="n">
        <f aca="false">IF(AND(S$1&gt;=Units!$Q19,MOD(S$1-Units!$Q19,12)=0),IF(AND(Units!$L19=1,S$1=Units!$Q19),1,Inputs!$B$15)*Inputs!$B$16*(1+Inputs!$B$11)^(S$2-1),0)</f>
        <v>0</v>
      </c>
      <c r="T20" s="11" t="n">
        <f aca="false">IF(AND(T$1&gt;=Units!$Q19,MOD(T$1-Units!$Q19,12)=0),IF(AND(Units!$L19=1,T$1=Units!$Q19),1,Inputs!$B$15)*Inputs!$B$16*(1+Inputs!$B$11)^(T$2-1),0)</f>
        <v>0</v>
      </c>
      <c r="U20" s="11" t="n">
        <f aca="false">IF(AND(U$1&gt;=Units!$Q19,MOD(U$1-Units!$Q19,12)=0),IF(AND(Units!$L19=1,U$1=Units!$Q19),1,Inputs!$B$15)*Inputs!$B$16*(1+Inputs!$B$11)^(U$2-1),0)</f>
        <v>0</v>
      </c>
      <c r="V20" s="11" t="n">
        <f aca="false">IF(AND(V$1&gt;=Units!$Q19,MOD(V$1-Units!$Q19,12)=0),IF(AND(Units!$L19=1,V$1=Units!$Q19),1,Inputs!$B$15)*Inputs!$B$16*(1+Inputs!$B$11)^(V$2-1),0)</f>
        <v>0</v>
      </c>
      <c r="W20" s="11" t="n">
        <f aca="false">IF(AND(W$1&gt;=Units!$Q19,MOD(W$1-Units!$Q19,12)=0),IF(AND(Units!$L19=1,W$1=Units!$Q19),1,Inputs!$B$15)*Inputs!$B$16*(1+Inputs!$B$11)^(W$2-1),0)</f>
        <v>515</v>
      </c>
      <c r="X20" s="11" t="n">
        <f aca="false">IF(AND(X$1&gt;=Units!$Q19,MOD(X$1-Units!$Q19,12)=0),IF(AND(Units!$L19=1,X$1=Units!$Q19),1,Inputs!$B$15)*Inputs!$B$16*(1+Inputs!$B$11)^(X$2-1),0)</f>
        <v>0</v>
      </c>
      <c r="Y20" s="11" t="n">
        <f aca="false">IF(AND(Y$1&gt;=Units!$Q19,MOD(Y$1-Units!$Q19,12)=0),IF(AND(Units!$L19=1,Y$1=Units!$Q19),1,Inputs!$B$15)*Inputs!$B$16*(1+Inputs!$B$11)^(Y$2-1),0)</f>
        <v>0</v>
      </c>
      <c r="Z20" s="11" t="n">
        <f aca="false">IF(AND(Z$1&gt;=Units!$Q19,MOD(Z$1-Units!$Q19,12)=0),IF(AND(Units!$L19=1,Z$1=Units!$Q19),1,Inputs!$B$15)*Inputs!$B$16*(1+Inputs!$B$11)^(Z$2-1),0)</f>
        <v>0</v>
      </c>
      <c r="AA20" s="11" t="n">
        <f aca="false">IF(AND(AA$1&gt;=Units!$Q19,MOD(AA$1-Units!$Q19,12)=0),IF(AND(Units!$L19=1,AA$1=Units!$Q19),1,Inputs!$B$15)*Inputs!$B$16*(1+Inputs!$B$11)^(AA$2-1),0)</f>
        <v>0</v>
      </c>
      <c r="AB20" s="11" t="n">
        <f aca="false">IF(AND(AB$1&gt;=Units!$Q19,MOD(AB$1-Units!$Q19,12)=0),IF(AND(Units!$L19=1,AB$1=Units!$Q19),1,Inputs!$B$15)*Inputs!$B$16*(1+Inputs!$B$11)^(AB$2-1),0)</f>
        <v>0</v>
      </c>
      <c r="AC20" s="11" t="n">
        <f aca="false">IF(AND(AC$1&gt;=Units!$Q19,MOD(AC$1-Units!$Q19,12)=0),IF(AND(Units!$L19=1,AC$1=Units!$Q19),1,Inputs!$B$15)*Inputs!$B$16*(1+Inputs!$B$11)^(AC$2-1),0)</f>
        <v>0</v>
      </c>
      <c r="AD20" s="11" t="n">
        <f aca="false">IF(AND(AD$1&gt;=Units!$Q19,MOD(AD$1-Units!$Q19,12)=0),IF(AND(Units!$L19=1,AD$1=Units!$Q19),1,Inputs!$B$15)*Inputs!$B$16*(1+Inputs!$B$11)^(AD$2-1),0)</f>
        <v>0</v>
      </c>
      <c r="AE20" s="11" t="n">
        <f aca="false">IF(AND(AE$1&gt;=Units!$Q19,MOD(AE$1-Units!$Q19,12)=0),IF(AND(Units!$L19=1,AE$1=Units!$Q19),1,Inputs!$B$15)*Inputs!$B$16*(1+Inputs!$B$11)^(AE$2-1),0)</f>
        <v>0</v>
      </c>
      <c r="AF20" s="11" t="n">
        <f aca="false">IF(AND(AF$1&gt;=Units!$Q19,MOD(AF$1-Units!$Q19,12)=0),IF(AND(Units!$L19=1,AF$1=Units!$Q19),1,Inputs!$B$15)*Inputs!$B$16*(1+Inputs!$B$11)^(AF$2-1),0)</f>
        <v>0</v>
      </c>
      <c r="AG20" s="11" t="n">
        <f aca="false">IF(AND(AG$1&gt;=Units!$Q19,MOD(AG$1-Units!$Q19,12)=0),IF(AND(Units!$L19=1,AG$1=Units!$Q19),1,Inputs!$B$15)*Inputs!$B$16*(1+Inputs!$B$11)^(AG$2-1),0)</f>
        <v>0</v>
      </c>
      <c r="AH20" s="11" t="n">
        <f aca="false">IF(AND(AH$1&gt;=Units!$Q19,MOD(AH$1-Units!$Q19,12)=0),IF(AND(Units!$L19=1,AH$1=Units!$Q19),1,Inputs!$B$15)*Inputs!$B$16*(1+Inputs!$B$11)^(AH$2-1),0)</f>
        <v>0</v>
      </c>
      <c r="AI20" s="11" t="n">
        <f aca="false">IF(AND(AI$1&gt;=Units!$Q19,MOD(AI$1-Units!$Q19,12)=0),IF(AND(Units!$L19=1,AI$1=Units!$Q19),1,Inputs!$B$15)*Inputs!$B$16*(1+Inputs!$B$11)^(AI$2-1),0)</f>
        <v>530.45</v>
      </c>
      <c r="AJ20" s="11" t="n">
        <f aca="false">IF(AND(AJ$1&gt;=Units!$Q19,MOD(AJ$1-Units!$Q19,12)=0),IF(AND(Units!$L19=1,AJ$1=Units!$Q19),1,Inputs!$B$15)*Inputs!$B$16*(1+Inputs!$B$11)^(AJ$2-1),0)</f>
        <v>0</v>
      </c>
      <c r="AK20" s="11" t="n">
        <f aca="false">IF(AND(AK$1&gt;=Units!$Q19,MOD(AK$1-Units!$Q19,12)=0),IF(AND(Units!$L19=1,AK$1=Units!$Q19),1,Inputs!$B$15)*Inputs!$B$16*(1+Inputs!$B$11)^(AK$2-1),0)</f>
        <v>0</v>
      </c>
      <c r="AL20" s="11" t="n">
        <f aca="false">IF(AND(AL$1&gt;=Units!$Q19,MOD(AL$1-Units!$Q19,12)=0),IF(AND(Units!$L19=1,AL$1=Units!$Q19),1,Inputs!$B$15)*Inputs!$B$16*(1+Inputs!$B$11)^(AL$2-1),0)</f>
        <v>0</v>
      </c>
      <c r="AM20" s="11" t="n">
        <f aca="false">IF(AND(AM$1&gt;=Units!$Q19,MOD(AM$1-Units!$Q19,12)=0),IF(AND(Units!$L19=1,AM$1=Units!$Q19),1,Inputs!$B$15)*Inputs!$B$16*(1+Inputs!$B$11)^(AM$2-1),0)</f>
        <v>0</v>
      </c>
      <c r="AN20" s="11" t="n">
        <f aca="false">IF(AND(AN$1&gt;=Units!$Q19,MOD(AN$1-Units!$Q19,12)=0),IF(AND(Units!$L19=1,AN$1=Units!$Q19),1,Inputs!$B$15)*Inputs!$B$16*(1+Inputs!$B$11)^(AN$2-1),0)</f>
        <v>0</v>
      </c>
      <c r="AO20" s="11" t="n">
        <f aca="false">IF(AND(AO$1&gt;=Units!$Q19,MOD(AO$1-Units!$Q19,12)=0),IF(AND(Units!$L19=1,AO$1=Units!$Q19),1,Inputs!$B$15)*Inputs!$B$16*(1+Inputs!$B$11)^(AO$2-1),0)</f>
        <v>0</v>
      </c>
      <c r="AP20" s="11" t="n">
        <f aca="false">IF(AND(AP$1&gt;=Units!$Q19,MOD(AP$1-Units!$Q19,12)=0),IF(AND(Units!$L19=1,AP$1=Units!$Q19),1,Inputs!$B$15)*Inputs!$B$16*(1+Inputs!$B$11)^(AP$2-1),0)</f>
        <v>0</v>
      </c>
      <c r="AQ20" s="11" t="n">
        <f aca="false">IF(AND(AQ$1&gt;=Units!$Q19,MOD(AQ$1-Units!$Q19,12)=0),IF(AND(Units!$L19=1,AQ$1=Units!$Q19),1,Inputs!$B$15)*Inputs!$B$16*(1+Inputs!$B$11)^(AQ$2-1),0)</f>
        <v>0</v>
      </c>
      <c r="AR20" s="11" t="n">
        <f aca="false">IF(AND(AR$1&gt;=Units!$Q19,MOD(AR$1-Units!$Q19,12)=0),IF(AND(Units!$L19=1,AR$1=Units!$Q19),1,Inputs!$B$15)*Inputs!$B$16*(1+Inputs!$B$11)^(AR$2-1),0)</f>
        <v>0</v>
      </c>
      <c r="AS20" s="11" t="n">
        <f aca="false">IF(AND(AS$1&gt;=Units!$Q19,MOD(AS$1-Units!$Q19,12)=0),IF(AND(Units!$L19=1,AS$1=Units!$Q19),1,Inputs!$B$15)*Inputs!$B$16*(1+Inputs!$B$11)^(AS$2-1),0)</f>
        <v>0</v>
      </c>
      <c r="AT20" s="11" t="n">
        <f aca="false">IF(AND(AT$1&gt;=Units!$Q19,MOD(AT$1-Units!$Q19,12)=0),IF(AND(Units!$L19=1,AT$1=Units!$Q19),1,Inputs!$B$15)*Inputs!$B$16*(1+Inputs!$B$11)^(AT$2-1),0)</f>
        <v>0</v>
      </c>
      <c r="AU20" s="11" t="n">
        <f aca="false">IF(AND(AU$1&gt;=Units!$Q19,MOD(AU$1-Units!$Q19,12)=0),IF(AND(Units!$L19=1,AU$1=Units!$Q19),1,Inputs!$B$15)*Inputs!$B$16*(1+Inputs!$B$11)^(AU$2-1),0)</f>
        <v>546.3635</v>
      </c>
      <c r="AV20" s="11" t="n">
        <f aca="false">IF(AND(AV$1&gt;=Units!$Q19,MOD(AV$1-Units!$Q19,12)=0),IF(AND(Units!$L19=1,AV$1=Units!$Q19),1,Inputs!$B$15)*Inputs!$B$16*(1+Inputs!$B$11)^(AV$2-1),0)</f>
        <v>0</v>
      </c>
      <c r="AW20" s="11" t="n">
        <f aca="false">IF(AND(AW$1&gt;=Units!$Q19,MOD(AW$1-Units!$Q19,12)=0),IF(AND(Units!$L19=1,AW$1=Units!$Q19),1,Inputs!$B$15)*Inputs!$B$16*(1+Inputs!$B$11)^(AW$2-1),0)</f>
        <v>0</v>
      </c>
      <c r="AX20" s="11" t="n">
        <f aca="false">IF(AND(AX$1&gt;=Units!$Q19,MOD(AX$1-Units!$Q19,12)=0),IF(AND(Units!$L19=1,AX$1=Units!$Q19),1,Inputs!$B$15)*Inputs!$B$16*(1+Inputs!$B$11)^(AX$2-1),0)</f>
        <v>0</v>
      </c>
      <c r="AY20" s="11" t="n">
        <f aca="false">IF(AND(AY$1&gt;=Units!$Q19,MOD(AY$1-Units!$Q19,12)=0),IF(AND(Units!$L19=1,AY$1=Units!$Q19),1,Inputs!$B$15)*Inputs!$B$16*(1+Inputs!$B$11)^(AY$2-1),0)</f>
        <v>0</v>
      </c>
      <c r="AZ20" s="11" t="n">
        <f aca="false">IF(AND(AZ$1&gt;=Units!$Q19,MOD(AZ$1-Units!$Q19,12)=0),IF(AND(Units!$L19=1,AZ$1=Units!$Q19),1,Inputs!$B$15)*Inputs!$B$16*(1+Inputs!$B$11)^(AZ$2-1),0)</f>
        <v>0</v>
      </c>
      <c r="BA20" s="11" t="n">
        <f aca="false">IF(AND(BA$1&gt;=Units!$Q19,MOD(BA$1-Units!$Q19,12)=0),IF(AND(Units!$L19=1,BA$1=Units!$Q19),1,Inputs!$B$15)*Inputs!$B$16*(1+Inputs!$B$11)^(BA$2-1),0)</f>
        <v>0</v>
      </c>
      <c r="BB20" s="11" t="n">
        <f aca="false">IF(AND(BB$1&gt;=Units!$Q19,MOD(BB$1-Units!$Q19,12)=0),IF(AND(Units!$L19=1,BB$1=Units!$Q19),1,Inputs!$B$15)*Inputs!$B$16*(1+Inputs!$B$11)^(BB$2-1),0)</f>
        <v>0</v>
      </c>
      <c r="BC20" s="11" t="n">
        <f aca="false">IF(AND(BC$1&gt;=Units!$Q19,MOD(BC$1-Units!$Q19,12)=0),IF(AND(Units!$L19=1,BC$1=Units!$Q19),1,Inputs!$B$15)*Inputs!$B$16*(1+Inputs!$B$11)^(BC$2-1),0)</f>
        <v>0</v>
      </c>
      <c r="BD20" s="11" t="n">
        <f aca="false">IF(AND(BD$1&gt;=Units!$Q19,MOD(BD$1-Units!$Q19,12)=0),IF(AND(Units!$L19=1,BD$1=Units!$Q19),1,Inputs!$B$15)*Inputs!$B$16*(1+Inputs!$B$11)^(BD$2-1),0)</f>
        <v>0</v>
      </c>
      <c r="BE20" s="11" t="n">
        <f aca="false">IF(AND(BE$1&gt;=Units!$Q19,MOD(BE$1-Units!$Q19,12)=0),IF(AND(Units!$L19=1,BE$1=Units!$Q19),1,Inputs!$B$15)*Inputs!$B$16*(1+Inputs!$B$11)^(BE$2-1),0)</f>
        <v>0</v>
      </c>
      <c r="BF20" s="11" t="n">
        <f aca="false">IF(AND(BF$1&gt;=Units!$Q19,MOD(BF$1-Units!$Q19,12)=0),IF(AND(Units!$L19=1,BF$1=Units!$Q19),1,Inputs!$B$15)*Inputs!$B$16*(1+Inputs!$B$11)^(BF$2-1),0)</f>
        <v>0</v>
      </c>
      <c r="BG20" s="11" t="n">
        <f aca="false">IF(AND(BG$1&gt;=Units!$Q19,MOD(BG$1-Units!$Q19,12)=0),IF(AND(Units!$L19=1,BG$1=Units!$Q19),1,Inputs!$B$15)*Inputs!$B$16*(1+Inputs!$B$11)^(BG$2-1),0)</f>
        <v>562.754405</v>
      </c>
      <c r="BH20" s="11" t="n">
        <f aca="false">IF(AND(BH$1&gt;=Units!$Q19,MOD(BH$1-Units!$Q19,12)=0),IF(AND(Units!$L19=1,BH$1=Units!$Q19),1,Inputs!$B$15)*Inputs!$B$16*(1+Inputs!$B$11)^(BH$2-1),0)</f>
        <v>0</v>
      </c>
      <c r="BI20" s="11" t="n">
        <f aca="false">IF(AND(BI$1&gt;=Units!$Q19,MOD(BI$1-Units!$Q19,12)=0),IF(AND(Units!$L19=1,BI$1=Units!$Q19),1,Inputs!$B$15)*Inputs!$B$16*(1+Inputs!$B$11)^(BI$2-1),0)</f>
        <v>0</v>
      </c>
      <c r="BJ20" s="11" t="n">
        <f aca="false">IF(AND(BJ$1&gt;=Units!$Q19,MOD(BJ$1-Units!$Q19,12)=0),IF(AND(Units!$L19=1,BJ$1=Units!$Q19),1,Inputs!$B$15)*Inputs!$B$16*(1+Inputs!$B$11)^(BJ$2-1),0)</f>
        <v>0</v>
      </c>
      <c r="BK20" s="11" t="n">
        <f aca="false">IF(AND(BK$1&gt;=Units!$Q19,MOD(BK$1-Units!$Q19,12)=0),IF(AND(Units!$L19=1,BK$1=Units!$Q19),1,Inputs!$B$15)*Inputs!$B$16*(1+Inputs!$B$11)^(BK$2-1),0)</f>
        <v>0</v>
      </c>
      <c r="BL20" s="11" t="n">
        <f aca="false">IF(AND(BL$1&gt;=Units!$Q19,MOD(BL$1-Units!$Q19,12)=0),IF(AND(Units!$L19=1,BL$1=Units!$Q19),1,Inputs!$B$15)*Inputs!$B$16*(1+Inputs!$B$11)^(BL$2-1),0)</f>
        <v>0</v>
      </c>
      <c r="BM20" s="11" t="n">
        <f aca="false">IF(AND(BM$1&gt;=Units!$Q19,MOD(BM$1-Units!$Q19,12)=0),IF(AND(Units!$L19=1,BM$1=Units!$Q19),1,Inputs!$B$15)*Inputs!$B$16*(1+Inputs!$B$11)^(BM$2-1),0)</f>
        <v>0</v>
      </c>
      <c r="BN20" s="11" t="n">
        <f aca="false">IF(AND(BN$1&gt;=Units!$Q19,MOD(BN$1-Units!$Q19,12)=0),IF(AND(Units!$L19=1,BN$1=Units!$Q19),1,Inputs!$B$15)*Inputs!$B$16*(1+Inputs!$B$11)^(BN$2-1),0)</f>
        <v>0</v>
      </c>
      <c r="BO20" s="11" t="n">
        <f aca="false">IF(AND(BO$1&gt;=Units!$Q19,MOD(BO$1-Units!$Q19,12)=0),IF(AND(Units!$L19=1,BO$1=Units!$Q19),1,Inputs!$B$15)*Inputs!$B$16*(1+Inputs!$B$11)^(BO$2-1),0)</f>
        <v>0</v>
      </c>
      <c r="BP20" s="11" t="n">
        <f aca="false">IF(AND(BP$1&gt;=Units!$Q19,MOD(BP$1-Units!$Q19,12)=0),IF(AND(Units!$L19=1,BP$1=Units!$Q19),1,Inputs!$B$15)*Inputs!$B$16*(1+Inputs!$B$11)^(BP$2-1),0)</f>
        <v>0</v>
      </c>
      <c r="BQ20" s="11" t="n">
        <f aca="false">IF(AND(BQ$1&gt;=Units!$Q19,MOD(BQ$1-Units!$Q19,12)=0),IF(AND(Units!$L19=1,BQ$1=Units!$Q19),1,Inputs!$B$15)*Inputs!$B$16*(1+Inputs!$B$11)^(BQ$2-1),0)</f>
        <v>0</v>
      </c>
      <c r="BR20" s="11" t="n">
        <f aca="false">IF(AND(BR$1&gt;=Units!$Q19,MOD(BR$1-Units!$Q19,12)=0),IF(AND(Units!$L19=1,BR$1=Units!$Q19),1,Inputs!$B$15)*Inputs!$B$16*(1+Inputs!$B$11)^(BR$2-1),0)</f>
        <v>0</v>
      </c>
      <c r="BS20" s="11" t="n">
        <f aca="false">IF(AND(BS$1&gt;=Units!$Q19,MOD(BS$1-Units!$Q19,12)=0),IF(AND(Units!$L19=1,BS$1=Units!$Q19),1,Inputs!$B$15)*Inputs!$B$16*(1+Inputs!$B$11)^(BS$2-1),0)</f>
        <v>579.63703715</v>
      </c>
      <c r="BT20" s="11" t="n">
        <f aca="false">IF(AND(BT$1&gt;=Units!$Q19,MOD(BT$1-Units!$Q19,12)=0),IF(AND(Units!$L19=1,BT$1=Units!$Q19),1,Inputs!$B$15)*Inputs!$B$16*(1+Inputs!$B$11)^(BT$2-1),0)</f>
        <v>0</v>
      </c>
      <c r="BU20" s="11" t="n">
        <f aca="false">IF(AND(BU$1&gt;=Units!$Q19,MOD(BU$1-Units!$Q19,12)=0),IF(AND(Units!$L19=1,BU$1=Units!$Q19),1,Inputs!$B$15)*Inputs!$B$16*(1+Inputs!$B$11)^(BU$2-1),0)</f>
        <v>0</v>
      </c>
      <c r="BV20" s="11" t="n">
        <f aca="false">IF(AND(BV$1&gt;=Units!$Q19,MOD(BV$1-Units!$Q19,12)=0),IF(AND(Units!$L19=1,BV$1=Units!$Q19),1,Inputs!$B$15)*Inputs!$B$16*(1+Inputs!$B$11)^(BV$2-1),0)</f>
        <v>0</v>
      </c>
      <c r="BW20" s="11" t="n">
        <f aca="false">IF(AND(BW$1&gt;=Units!$Q19,MOD(BW$1-Units!$Q19,12)=0),IF(AND(Units!$L19=1,BW$1=Units!$Q19),1,Inputs!$B$15)*Inputs!$B$16*(1+Inputs!$B$11)^(BW$2-1),0)</f>
        <v>0</v>
      </c>
      <c r="BX20" s="11" t="n">
        <f aca="false">IF(AND(BX$1&gt;=Units!$Q19,MOD(BX$1-Units!$Q19,12)=0),IF(AND(Units!$L19=1,BX$1=Units!$Q19),1,Inputs!$B$15)*Inputs!$B$16*(1+Inputs!$B$11)^(BX$2-1),0)</f>
        <v>0</v>
      </c>
      <c r="BY20" s="11" t="n">
        <f aca="false">IF(AND(BY$1&gt;=Units!$Q19,MOD(BY$1-Units!$Q19,12)=0),IF(AND(Units!$L19=1,BY$1=Units!$Q19),1,Inputs!$B$15)*Inputs!$B$16*(1+Inputs!$B$11)^(BY$2-1),0)</f>
        <v>0</v>
      </c>
      <c r="BZ20" s="11" t="n">
        <f aca="false">IF(AND(BZ$1&gt;=Units!$Q19,MOD(BZ$1-Units!$Q19,12)=0),IF(AND(Units!$L19=1,BZ$1=Units!$Q19),1,Inputs!$B$15)*Inputs!$B$16*(1+Inputs!$B$11)^(BZ$2-1),0)</f>
        <v>0</v>
      </c>
      <c r="CA20" s="11" t="n">
        <f aca="false">IF(AND(CA$1&gt;=Units!$Q19,MOD(CA$1-Units!$Q19,12)=0),IF(AND(Units!$L19=1,CA$1=Units!$Q19),1,Inputs!$B$15)*Inputs!$B$16*(1+Inputs!$B$11)^(CA$2-1),0)</f>
        <v>0</v>
      </c>
      <c r="CB20" s="11" t="n">
        <f aca="false">IF(AND(CB$1&gt;=Units!$Q19,MOD(CB$1-Units!$Q19,12)=0),IF(AND(Units!$L19=1,CB$1=Units!$Q19),1,Inputs!$B$15)*Inputs!$B$16*(1+Inputs!$B$11)^(CB$2-1),0)</f>
        <v>0</v>
      </c>
      <c r="CC20" s="11" t="n">
        <f aca="false">IF(AND(CC$1&gt;=Units!$Q19,MOD(CC$1-Units!$Q19,12)=0),IF(AND(Units!$L19=1,CC$1=Units!$Q19),1,Inputs!$B$15)*Inputs!$B$16*(1+Inputs!$B$11)^(CC$2-1),0)</f>
        <v>0</v>
      </c>
      <c r="CD20" s="11" t="n">
        <f aca="false">IF(AND(CD$1&gt;=Units!$Q19,MOD(CD$1-Units!$Q19,12)=0),IF(AND(Units!$L19=1,CD$1=Units!$Q19),1,Inputs!$B$15)*Inputs!$B$16*(1+Inputs!$B$11)^(CD$2-1),0)</f>
        <v>0</v>
      </c>
      <c r="CE20" s="11" t="n">
        <f aca="false">IF(AND(CE$1&gt;=Units!$Q19,MOD(CE$1-Units!$Q19,12)=0),IF(AND(Units!$L19=1,CE$1=Units!$Q19),1,Inputs!$B$15)*Inputs!$B$16*(1+Inputs!$B$11)^(CE$2-1),0)</f>
        <v>597.0261482645</v>
      </c>
      <c r="CF20" s="11" t="n">
        <f aca="false">IF(AND(CF$1&gt;=Units!$Q19,MOD(CF$1-Units!$Q19,12)=0),IF(AND(Units!$L19=1,CF$1=Units!$Q19),1,Inputs!$B$15)*Inputs!$B$16*(1+Inputs!$B$11)^(CF$2-1),0)</f>
        <v>0</v>
      </c>
      <c r="CG20" s="11" t="n">
        <f aca="false">IF(AND(CG$1&gt;=Units!$Q19,MOD(CG$1-Units!$Q19,12)=0),IF(AND(Units!$L19=1,CG$1=Units!$Q19),1,Inputs!$B$15)*Inputs!$B$16*(1+Inputs!$B$11)^(CG$2-1),0)</f>
        <v>0</v>
      </c>
      <c r="CH20" s="11" t="n">
        <f aca="false">IF(AND(CH$1&gt;=Units!$Q19,MOD(CH$1-Units!$Q19,12)=0),IF(AND(Units!$L19=1,CH$1=Units!$Q19),1,Inputs!$B$15)*Inputs!$B$16*(1+Inputs!$B$11)^(CH$2-1),0)</f>
        <v>0</v>
      </c>
      <c r="CI20" s="11" t="n">
        <f aca="false">IF(AND(CI$1&gt;=Units!$Q19,MOD(CI$1-Units!$Q19,12)=0),IF(AND(Units!$L19=1,CI$1=Units!$Q19),1,Inputs!$B$15)*Inputs!$B$16*(1+Inputs!$B$11)^(CI$2-1),0)</f>
        <v>0</v>
      </c>
      <c r="CJ20" s="11" t="n">
        <f aca="false">IF(AND(CJ$1&gt;=Units!$Q19,MOD(CJ$1-Units!$Q19,12)=0),IF(AND(Units!$L19=1,CJ$1=Units!$Q19),1,Inputs!$B$15)*Inputs!$B$16*(1+Inputs!$B$11)^(CJ$2-1),0)</f>
        <v>0</v>
      </c>
      <c r="CK20" s="11" t="n">
        <f aca="false">IF(AND(CK$1&gt;=Units!$Q19,MOD(CK$1-Units!$Q19,12)=0),IF(AND(Units!$L19=1,CK$1=Units!$Q19),1,Inputs!$B$15)*Inputs!$B$16*(1+Inputs!$B$11)^(CK$2-1),0)</f>
        <v>0</v>
      </c>
      <c r="CL20" s="11" t="n">
        <f aca="false">IF(AND(CL$1&gt;=Units!$Q19,MOD(CL$1-Units!$Q19,12)=0),IF(AND(Units!$L19=1,CL$1=Units!$Q19),1,Inputs!$B$15)*Inputs!$B$16*(1+Inputs!$B$11)^(CL$2-1),0)</f>
        <v>0</v>
      </c>
      <c r="CM20" s="11" t="n">
        <f aca="false">IF(AND(CM$1&gt;=Units!$Q19,MOD(CM$1-Units!$Q19,12)=0),IF(AND(Units!$L19=1,CM$1=Units!$Q19),1,Inputs!$B$15)*Inputs!$B$16*(1+Inputs!$B$11)^(CM$2-1),0)</f>
        <v>0</v>
      </c>
      <c r="CN20" s="11" t="n">
        <f aca="false">IF(AND(CN$1&gt;=Units!$Q19,MOD(CN$1-Units!$Q19,12)=0),IF(AND(Units!$L19=1,CN$1=Units!$Q19),1,Inputs!$B$15)*Inputs!$B$16*(1+Inputs!$B$11)^(CN$2-1),0)</f>
        <v>0</v>
      </c>
      <c r="CO20" s="11" t="n">
        <f aca="false">IF(AND(CO$1&gt;=Units!$Q19,MOD(CO$1-Units!$Q19,12)=0),IF(AND(Units!$L19=1,CO$1=Units!$Q19),1,Inputs!$B$15)*Inputs!$B$16*(1+Inputs!$B$11)^(CO$2-1),0)</f>
        <v>0</v>
      </c>
      <c r="CP20" s="11" t="n">
        <f aca="false">IF(AND(CP$1&gt;=Units!$Q19,MOD(CP$1-Units!$Q19,12)=0),IF(AND(Units!$L19=1,CP$1=Units!$Q19),1,Inputs!$B$15)*Inputs!$B$16*(1+Inputs!$B$11)^(CP$2-1),0)</f>
        <v>0</v>
      </c>
      <c r="CQ20" s="11" t="n">
        <f aca="false">IF(AND(CQ$1&gt;=Units!$Q19,MOD(CQ$1-Units!$Q19,12)=0),IF(AND(Units!$L19=1,CQ$1=Units!$Q19),1,Inputs!$B$15)*Inputs!$B$16*(1+Inputs!$B$11)^(CQ$2-1),0)</f>
        <v>614.936932712435</v>
      </c>
      <c r="CR20" s="11" t="n">
        <f aca="false">IF(AND(CR$1&gt;=Units!$Q19,MOD(CR$1-Units!$Q19,12)=0),IF(AND(Units!$L19=1,CR$1=Units!$Q19),1,Inputs!$B$15)*Inputs!$B$16*(1+Inputs!$B$11)^(CR$2-1),0)</f>
        <v>0</v>
      </c>
      <c r="CS20" s="11" t="n">
        <f aca="false">IF(AND(CS$1&gt;=Units!$Q19,MOD(CS$1-Units!$Q19,12)=0),IF(AND(Units!$L19=1,CS$1=Units!$Q19),1,Inputs!$B$15)*Inputs!$B$16*(1+Inputs!$B$11)^(CS$2-1),0)</f>
        <v>0</v>
      </c>
      <c r="CT20" s="11" t="n">
        <f aca="false">IF(AND(CT$1&gt;=Units!$Q19,MOD(CT$1-Units!$Q19,12)=0),IF(AND(Units!$L19=1,CT$1=Units!$Q19),1,Inputs!$B$15)*Inputs!$B$16*(1+Inputs!$B$11)^(CT$2-1),0)</f>
        <v>0</v>
      </c>
      <c r="CU20" s="11" t="n">
        <f aca="false">IF(AND(CU$1&gt;=Units!$Q19,MOD(CU$1-Units!$Q19,12)=0),IF(AND(Units!$L19=1,CU$1=Units!$Q19),1,Inputs!$B$15)*Inputs!$B$16*(1+Inputs!$B$11)^(CU$2-1),0)</f>
        <v>0</v>
      </c>
      <c r="CV20" s="11" t="n">
        <f aca="false">IF(AND(CV$1&gt;=Units!$Q19,MOD(CV$1-Units!$Q19,12)=0),IF(AND(Units!$L19=1,CV$1=Units!$Q19),1,Inputs!$B$15)*Inputs!$B$16*(1+Inputs!$B$11)^(CV$2-1),0)</f>
        <v>0</v>
      </c>
      <c r="CW20" s="11" t="n">
        <f aca="false">IF(AND(CW$1&gt;=Units!$Q19,MOD(CW$1-Units!$Q19,12)=0),IF(AND(Units!$L19=1,CW$1=Units!$Q19),1,Inputs!$B$15)*Inputs!$B$16*(1+Inputs!$B$11)^(CW$2-1),0)</f>
        <v>0</v>
      </c>
      <c r="CX20" s="11" t="n">
        <f aca="false">IF(AND(CX$1&gt;=Units!$Q19,MOD(CX$1-Units!$Q19,12)=0),IF(AND(Units!$L19=1,CX$1=Units!$Q19),1,Inputs!$B$15)*Inputs!$B$16*(1+Inputs!$B$11)^(CX$2-1),0)</f>
        <v>0</v>
      </c>
      <c r="CY20" s="11" t="n">
        <f aca="false">IF(AND(CY$1&gt;=Units!$Q19,MOD(CY$1-Units!$Q19,12)=0),IF(AND(Units!$L19=1,CY$1=Units!$Q19),1,Inputs!$B$15)*Inputs!$B$16*(1+Inputs!$B$11)^(CY$2-1),0)</f>
        <v>0</v>
      </c>
      <c r="CZ20" s="11" t="n">
        <f aca="false">IF(AND(CZ$1&gt;=Units!$Q19,MOD(CZ$1-Units!$Q19,12)=0),IF(AND(Units!$L19=1,CZ$1=Units!$Q19),1,Inputs!$B$15)*Inputs!$B$16*(1+Inputs!$B$11)^(CZ$2-1),0)</f>
        <v>0</v>
      </c>
      <c r="DA20" s="11" t="n">
        <f aca="false">IF(AND(DA$1&gt;=Units!$Q19,MOD(DA$1-Units!$Q19,12)=0),IF(AND(Units!$L19=1,DA$1=Units!$Q19),1,Inputs!$B$15)*Inputs!$B$16*(1+Inputs!$B$11)^(DA$2-1),0)</f>
        <v>0</v>
      </c>
      <c r="DB20" s="11" t="n">
        <f aca="false">IF(AND(DB$1&gt;=Units!$Q19,MOD(DB$1-Units!$Q19,12)=0),IF(AND(Units!$L19=1,DB$1=Units!$Q19),1,Inputs!$B$15)*Inputs!$B$16*(1+Inputs!$B$11)^(DB$2-1),0)</f>
        <v>0</v>
      </c>
      <c r="DC20" s="11" t="n">
        <f aca="false">IF(AND(DC$1&gt;=Units!$Q19,MOD(DC$1-Units!$Q19,12)=0),IF(AND(Units!$L19=1,DC$1=Units!$Q19),1,Inputs!$B$15)*Inputs!$B$16*(1+Inputs!$B$11)^(DC$2-1),0)</f>
        <v>633.385040693808</v>
      </c>
      <c r="DD20" s="11" t="n">
        <f aca="false">IF(AND(DD$1&gt;=Units!$Q19,MOD(DD$1-Units!$Q19,12)=0),IF(AND(Units!$L19=1,DD$1=Units!$Q19),1,Inputs!$B$15)*Inputs!$B$16*(1+Inputs!$B$11)^(DD$2-1),0)</f>
        <v>0</v>
      </c>
      <c r="DE20" s="11" t="n">
        <f aca="false">IF(AND(DE$1&gt;=Units!$Q19,MOD(DE$1-Units!$Q19,12)=0),IF(AND(Units!$L19=1,DE$1=Units!$Q19),1,Inputs!$B$15)*Inputs!$B$16*(1+Inputs!$B$11)^(DE$2-1),0)</f>
        <v>0</v>
      </c>
      <c r="DF20" s="11" t="n">
        <f aca="false">IF(AND(DF$1&gt;=Units!$Q19,MOD(DF$1-Units!$Q19,12)=0),IF(AND(Units!$L19=1,DF$1=Units!$Q19),1,Inputs!$B$15)*Inputs!$B$16*(1+Inputs!$B$11)^(DF$2-1),0)</f>
        <v>0</v>
      </c>
      <c r="DG20" s="11" t="n">
        <f aca="false">IF(AND(DG$1&gt;=Units!$Q19,MOD(DG$1-Units!$Q19,12)=0),IF(AND(Units!$L19=1,DG$1=Units!$Q19),1,Inputs!$B$15)*Inputs!$B$16*(1+Inputs!$B$11)^(DG$2-1),0)</f>
        <v>0</v>
      </c>
      <c r="DH20" s="11" t="n">
        <f aca="false">IF(AND(DH$1&gt;=Units!$Q19,MOD(DH$1-Units!$Q19,12)=0),IF(AND(Units!$L19=1,DH$1=Units!$Q19),1,Inputs!$B$15)*Inputs!$B$16*(1+Inputs!$B$11)^(DH$2-1),0)</f>
        <v>0</v>
      </c>
      <c r="DI20" s="11" t="n">
        <f aca="false">IF(AND(DI$1&gt;=Units!$Q19,MOD(DI$1-Units!$Q19,12)=0),IF(AND(Units!$L19=1,DI$1=Units!$Q19),1,Inputs!$B$15)*Inputs!$B$16*(1+Inputs!$B$11)^(DI$2-1),0)</f>
        <v>0</v>
      </c>
      <c r="DJ20" s="11" t="n">
        <f aca="false">IF(AND(DJ$1&gt;=Units!$Q19,MOD(DJ$1-Units!$Q19,12)=0),IF(AND(Units!$L19=1,DJ$1=Units!$Q19),1,Inputs!$B$15)*Inputs!$B$16*(1+Inputs!$B$11)^(DJ$2-1),0)</f>
        <v>0</v>
      </c>
      <c r="DK20" s="11" t="n">
        <f aca="false">IF(AND(DK$1&gt;=Units!$Q19,MOD(DK$1-Units!$Q19,12)=0),IF(AND(Units!$L19=1,DK$1=Units!$Q19),1,Inputs!$B$15)*Inputs!$B$16*(1+Inputs!$B$11)^(DK$2-1),0)</f>
        <v>0</v>
      </c>
      <c r="DL20" s="11" t="n">
        <f aca="false">IF(AND(DL$1&gt;=Units!$Q19,MOD(DL$1-Units!$Q19,12)=0),IF(AND(Units!$L19=1,DL$1=Units!$Q19),1,Inputs!$B$15)*Inputs!$B$16*(1+Inputs!$B$11)^(DL$2-1),0)</f>
        <v>0</v>
      </c>
      <c r="DM20" s="11" t="n">
        <f aca="false">IF(AND(DM$1&gt;=Units!$Q19,MOD(DM$1-Units!$Q19,12)=0),IF(AND(Units!$L19=1,DM$1=Units!$Q19),1,Inputs!$B$15)*Inputs!$B$16*(1+Inputs!$B$11)^(DM$2-1),0)</f>
        <v>0</v>
      </c>
      <c r="DN20" s="11" t="n">
        <f aca="false">IF(AND(DN$1&gt;=Units!$Q19,MOD(DN$1-Units!$Q19,12)=0),IF(AND(Units!$L19=1,DN$1=Units!$Q19),1,Inputs!$B$15)*Inputs!$B$16*(1+Inputs!$B$11)^(DN$2-1),0)</f>
        <v>0</v>
      </c>
      <c r="DO20" s="11" t="n">
        <f aca="false">IF(AND(DO$1&gt;=Units!$Q19,MOD(DO$1-Units!$Q19,12)=0),IF(AND(Units!$L19=1,DO$1=Units!$Q19),1,Inputs!$B$15)*Inputs!$B$16*(1+Inputs!$B$11)^(DO$2-1),0)</f>
        <v>652.386591914623</v>
      </c>
      <c r="DP20" s="11" t="n">
        <f aca="false">IF(AND(DP$1&gt;=Units!$Q19,MOD(DP$1-Units!$Q19,12)=0),IF(AND(Units!$L19=1,DP$1=Units!$Q19),1,Inputs!$B$15)*Inputs!$B$16*(1+Inputs!$B$11)^(DP$2-1),0)</f>
        <v>0</v>
      </c>
      <c r="DQ20" s="11" t="n">
        <f aca="false">IF(AND(DQ$1&gt;=Units!$Q19,MOD(DQ$1-Units!$Q19,12)=0),IF(AND(Units!$L19=1,DQ$1=Units!$Q19),1,Inputs!$B$15)*Inputs!$B$16*(1+Inputs!$B$11)^(DQ$2-1),0)</f>
        <v>0</v>
      </c>
      <c r="DR20" s="11" t="n">
        <f aca="false">IF(AND(DR$1&gt;=Units!$Q19,MOD(DR$1-Units!$Q19,12)=0),IF(AND(Units!$L19=1,DR$1=Units!$Q19),1,Inputs!$B$15)*Inputs!$B$16*(1+Inputs!$B$11)^(DR$2-1),0)</f>
        <v>0</v>
      </c>
      <c r="DS20" s="11" t="n">
        <f aca="false">IF(AND(DS$1&gt;=Units!$Q19,MOD(DS$1-Units!$Q19,12)=0),IF(AND(Units!$L19=1,DS$1=Units!$Q19),1,Inputs!$B$15)*Inputs!$B$16*(1+Inputs!$B$11)^(DS$2-1),0)</f>
        <v>0</v>
      </c>
      <c r="DT20" s="11" t="n">
        <f aca="false">IF(AND(DT$1&gt;=Units!$Q19,MOD(DT$1-Units!$Q19,12)=0),IF(AND(Units!$L19=1,DT$1=Units!$Q19),1,Inputs!$B$15)*Inputs!$B$16*(1+Inputs!$B$11)^(DT$2-1),0)</f>
        <v>0</v>
      </c>
      <c r="DU20" s="11" t="n">
        <f aca="false">IF(AND(DU$1&gt;=Units!$Q19,MOD(DU$1-Units!$Q19,12)=0),IF(AND(Units!$L19=1,DU$1=Units!$Q19),1,Inputs!$B$15)*Inputs!$B$16*(1+Inputs!$B$11)^(DU$2-1),0)</f>
        <v>0</v>
      </c>
      <c r="DV20" s="11" t="n">
        <f aca="false">IF(AND(DV$1&gt;=Units!$Q19,MOD(DV$1-Units!$Q19,12)=0),IF(AND(Units!$L19=1,DV$1=Units!$Q19),1,Inputs!$B$15)*Inputs!$B$16*(1+Inputs!$B$11)^(DV$2-1),0)</f>
        <v>0</v>
      </c>
      <c r="DW20" s="11" t="n">
        <f aca="false">IF(AND(DW$1&gt;=Units!$Q19,MOD(DW$1-Units!$Q19,12)=0),IF(AND(Units!$L19=1,DW$1=Units!$Q19),1,Inputs!$B$15)*Inputs!$B$16*(1+Inputs!$B$11)^(DW$2-1),0)</f>
        <v>0</v>
      </c>
      <c r="DX20" s="11" t="n">
        <f aca="false">IF(AND(DX$1&gt;=Units!$Q19,MOD(DX$1-Units!$Q19,12)=0),IF(AND(Units!$L19=1,DX$1=Units!$Q19),1,Inputs!$B$15)*Inputs!$B$16*(1+Inputs!$B$11)^(DX$2-1),0)</f>
        <v>0</v>
      </c>
      <c r="DY20" s="11" t="n">
        <f aca="false">IF(AND(DY$1&gt;=Units!$Q19,MOD(DY$1-Units!$Q19,12)=0),IF(AND(Units!$L19=1,DY$1=Units!$Q19),1,Inputs!$B$15)*Inputs!$B$16*(1+Inputs!$B$11)^(DY$2-1),0)</f>
        <v>0</v>
      </c>
      <c r="DZ20" s="11" t="n">
        <f aca="false">IF(AND(DZ$1&gt;=Units!$Q19,MOD(DZ$1-Units!$Q19,12)=0),IF(AND(Units!$L19=1,DZ$1=Units!$Q19),1,Inputs!$B$15)*Inputs!$B$16*(1+Inputs!$B$11)^(DZ$2-1),0)</f>
        <v>0</v>
      </c>
      <c r="EA20" s="11" t="n">
        <f aca="false">IF(AND(EA$1&gt;=Units!$Q19,MOD(EA$1-Units!$Q19,12)=0),IF(AND(Units!$L19=1,EA$1=Units!$Q19),1,Inputs!$B$15)*Inputs!$B$16*(1+Inputs!$B$11)^(EA$2-1),0)</f>
        <v>671.958189672061</v>
      </c>
      <c r="EB20" s="11" t="n">
        <f aca="false">IF(AND(EB$1&gt;=Units!$Q19,MOD(EB$1-Units!$Q19,12)=0),IF(AND(Units!$L19=1,EB$1=Units!$Q19),1,Inputs!$B$15)*Inputs!$B$16*(1+Inputs!$B$11)^(EB$2-1),0)</f>
        <v>0</v>
      </c>
      <c r="EC20" s="11" t="n">
        <f aca="false">IF(AND(EC$1&gt;=Units!$Q19,MOD(EC$1-Units!$Q19,12)=0),IF(AND(Units!$L19=1,EC$1=Units!$Q19),1,Inputs!$B$15)*Inputs!$B$16*(1+Inputs!$B$11)^(EC$2-1),0)</f>
        <v>0</v>
      </c>
      <c r="ED20" s="11" t="n">
        <f aca="false">IF(AND(ED$1&gt;=Units!$Q19,MOD(ED$1-Units!$Q19,12)=0),IF(AND(Units!$L19=1,ED$1=Units!$Q19),1,Inputs!$B$15)*Inputs!$B$16*(1+Inputs!$B$11)^(ED$2-1),0)</f>
        <v>0</v>
      </c>
    </row>
    <row r="21" customFormat="false" ht="15" hidden="false" customHeight="false" outlineLevel="0" collapsed="false">
      <c r="A21" s="22" t="n">
        <f aca="false">Units!A20</f>
        <v>119</v>
      </c>
      <c r="B21" s="23"/>
      <c r="C21" s="11" t="n">
        <f aca="false">IF(AND(C$1&gt;=Units!$Q20,MOD(C$1-Units!$Q20,12)=0),IF(AND(Units!$L20=1,C$1=Units!$Q20),1,Inputs!$B$15)*Inputs!$B$16*(1+Inputs!$B$11)^(C$2-1),0)</f>
        <v>0</v>
      </c>
      <c r="D21" s="11" t="n">
        <f aca="false">IF(AND(D$1&gt;=Units!$Q20,MOD(D$1-Units!$Q20,12)=0),IF(AND(Units!$L20=1,D$1=Units!$Q20),1,Inputs!$B$15)*Inputs!$B$16*(1+Inputs!$B$11)^(D$2-1),0)</f>
        <v>0</v>
      </c>
      <c r="E21" s="11" t="n">
        <f aca="false">IF(AND(E$1&gt;=Units!$Q20,MOD(E$1-Units!$Q20,12)=0),IF(AND(Units!$L20=1,E$1=Units!$Q20),1,Inputs!$B$15)*Inputs!$B$16*(1+Inputs!$B$11)^(E$2-1),0)</f>
        <v>0</v>
      </c>
      <c r="F21" s="11" t="n">
        <f aca="false">IF(AND(F$1&gt;=Units!$Q20,MOD(F$1-Units!$Q20,12)=0),IF(AND(Units!$L20=1,F$1=Units!$Q20),1,Inputs!$B$15)*Inputs!$B$16*(1+Inputs!$B$11)^(F$2-1),0)</f>
        <v>0</v>
      </c>
      <c r="G21" s="11" t="n">
        <f aca="false">IF(AND(G$1&gt;=Units!$Q20,MOD(G$1-Units!$Q20,12)=0),IF(AND(Units!$L20=1,G$1=Units!$Q20),1,Inputs!$B$15)*Inputs!$B$16*(1+Inputs!$B$11)^(G$2-1),0)</f>
        <v>0</v>
      </c>
      <c r="H21" s="11" t="n">
        <f aca="false">IF(AND(H$1&gt;=Units!$Q20,MOD(H$1-Units!$Q20,12)=0),IF(AND(Units!$L20=1,H$1=Units!$Q20),1,Inputs!$B$15)*Inputs!$B$16*(1+Inputs!$B$11)^(H$2-1),0)</f>
        <v>0</v>
      </c>
      <c r="I21" s="11" t="n">
        <f aca="false">IF(AND(I$1&gt;=Units!$Q20,MOD(I$1-Units!$Q20,12)=0),IF(AND(Units!$L20=1,I$1=Units!$Q20),1,Inputs!$B$15)*Inputs!$B$16*(1+Inputs!$B$11)^(I$2-1),0)</f>
        <v>0</v>
      </c>
      <c r="J21" s="11" t="n">
        <f aca="false">IF(AND(J$1&gt;=Units!$Q20,MOD(J$1-Units!$Q20,12)=0),IF(AND(Units!$L20=1,J$1=Units!$Q20),1,Inputs!$B$15)*Inputs!$B$16*(1+Inputs!$B$11)^(J$2-1),0)</f>
        <v>0</v>
      </c>
      <c r="K21" s="11" t="n">
        <f aca="false">IF(AND(K$1&gt;=Units!$Q20,MOD(K$1-Units!$Q20,12)=0),IF(AND(Units!$L20=1,K$1=Units!$Q20),1,Inputs!$B$15)*Inputs!$B$16*(1+Inputs!$B$11)^(K$2-1),0)</f>
        <v>500</v>
      </c>
      <c r="L21" s="11" t="n">
        <f aca="false">IF(AND(L$1&gt;=Units!$Q20,MOD(L$1-Units!$Q20,12)=0),IF(AND(Units!$L20=1,L$1=Units!$Q20),1,Inputs!$B$15)*Inputs!$B$16*(1+Inputs!$B$11)^(L$2-1),0)</f>
        <v>0</v>
      </c>
      <c r="M21" s="11" t="n">
        <f aca="false">IF(AND(M$1&gt;=Units!$Q20,MOD(M$1-Units!$Q20,12)=0),IF(AND(Units!$L20=1,M$1=Units!$Q20),1,Inputs!$B$15)*Inputs!$B$16*(1+Inputs!$B$11)^(M$2-1),0)</f>
        <v>0</v>
      </c>
      <c r="N21" s="11" t="n">
        <f aca="false">IF(AND(N$1&gt;=Units!$Q20,MOD(N$1-Units!$Q20,12)=0),IF(AND(Units!$L20=1,N$1=Units!$Q20),1,Inputs!$B$15)*Inputs!$B$16*(1+Inputs!$B$11)^(N$2-1),0)</f>
        <v>0</v>
      </c>
      <c r="O21" s="11" t="n">
        <f aca="false">IF(AND(O$1&gt;=Units!$Q20,MOD(O$1-Units!$Q20,12)=0),IF(AND(Units!$L20=1,O$1=Units!$Q20),1,Inputs!$B$15)*Inputs!$B$16*(1+Inputs!$B$11)^(O$2-1),0)</f>
        <v>0</v>
      </c>
      <c r="P21" s="11" t="n">
        <f aca="false">IF(AND(P$1&gt;=Units!$Q20,MOD(P$1-Units!$Q20,12)=0),IF(AND(Units!$L20=1,P$1=Units!$Q20),1,Inputs!$B$15)*Inputs!$B$16*(1+Inputs!$B$11)^(P$2-1),0)</f>
        <v>0</v>
      </c>
      <c r="Q21" s="11" t="n">
        <f aca="false">IF(AND(Q$1&gt;=Units!$Q20,MOD(Q$1-Units!$Q20,12)=0),IF(AND(Units!$L20=1,Q$1=Units!$Q20),1,Inputs!$B$15)*Inputs!$B$16*(1+Inputs!$B$11)^(Q$2-1),0)</f>
        <v>0</v>
      </c>
      <c r="R21" s="11" t="n">
        <f aca="false">IF(AND(R$1&gt;=Units!$Q20,MOD(R$1-Units!$Q20,12)=0),IF(AND(Units!$L20=1,R$1=Units!$Q20),1,Inputs!$B$15)*Inputs!$B$16*(1+Inputs!$B$11)^(R$2-1),0)</f>
        <v>0</v>
      </c>
      <c r="S21" s="11" t="n">
        <f aca="false">IF(AND(S$1&gt;=Units!$Q20,MOD(S$1-Units!$Q20,12)=0),IF(AND(Units!$L20=1,S$1=Units!$Q20),1,Inputs!$B$15)*Inputs!$B$16*(1+Inputs!$B$11)^(S$2-1),0)</f>
        <v>0</v>
      </c>
      <c r="T21" s="11" t="n">
        <f aca="false">IF(AND(T$1&gt;=Units!$Q20,MOD(T$1-Units!$Q20,12)=0),IF(AND(Units!$L20=1,T$1=Units!$Q20),1,Inputs!$B$15)*Inputs!$B$16*(1+Inputs!$B$11)^(T$2-1),0)</f>
        <v>0</v>
      </c>
      <c r="U21" s="11" t="n">
        <f aca="false">IF(AND(U$1&gt;=Units!$Q20,MOD(U$1-Units!$Q20,12)=0),IF(AND(Units!$L20=1,U$1=Units!$Q20),1,Inputs!$B$15)*Inputs!$B$16*(1+Inputs!$B$11)^(U$2-1),0)</f>
        <v>0</v>
      </c>
      <c r="V21" s="11" t="n">
        <f aca="false">IF(AND(V$1&gt;=Units!$Q20,MOD(V$1-Units!$Q20,12)=0),IF(AND(Units!$L20=1,V$1=Units!$Q20),1,Inputs!$B$15)*Inputs!$B$16*(1+Inputs!$B$11)^(V$2-1),0)</f>
        <v>0</v>
      </c>
      <c r="W21" s="11" t="n">
        <f aca="false">IF(AND(W$1&gt;=Units!$Q20,MOD(W$1-Units!$Q20,12)=0),IF(AND(Units!$L20=1,W$1=Units!$Q20),1,Inputs!$B$15)*Inputs!$B$16*(1+Inputs!$B$11)^(W$2-1),0)</f>
        <v>515</v>
      </c>
      <c r="X21" s="11" t="n">
        <f aca="false">IF(AND(X$1&gt;=Units!$Q20,MOD(X$1-Units!$Q20,12)=0),IF(AND(Units!$L20=1,X$1=Units!$Q20),1,Inputs!$B$15)*Inputs!$B$16*(1+Inputs!$B$11)^(X$2-1),0)</f>
        <v>0</v>
      </c>
      <c r="Y21" s="11" t="n">
        <f aca="false">IF(AND(Y$1&gt;=Units!$Q20,MOD(Y$1-Units!$Q20,12)=0),IF(AND(Units!$L20=1,Y$1=Units!$Q20),1,Inputs!$B$15)*Inputs!$B$16*(1+Inputs!$B$11)^(Y$2-1),0)</f>
        <v>0</v>
      </c>
      <c r="Z21" s="11" t="n">
        <f aca="false">IF(AND(Z$1&gt;=Units!$Q20,MOD(Z$1-Units!$Q20,12)=0),IF(AND(Units!$L20=1,Z$1=Units!$Q20),1,Inputs!$B$15)*Inputs!$B$16*(1+Inputs!$B$11)^(Z$2-1),0)</f>
        <v>0</v>
      </c>
      <c r="AA21" s="11" t="n">
        <f aca="false">IF(AND(AA$1&gt;=Units!$Q20,MOD(AA$1-Units!$Q20,12)=0),IF(AND(Units!$L20=1,AA$1=Units!$Q20),1,Inputs!$B$15)*Inputs!$B$16*(1+Inputs!$B$11)^(AA$2-1),0)</f>
        <v>0</v>
      </c>
      <c r="AB21" s="11" t="n">
        <f aca="false">IF(AND(AB$1&gt;=Units!$Q20,MOD(AB$1-Units!$Q20,12)=0),IF(AND(Units!$L20=1,AB$1=Units!$Q20),1,Inputs!$B$15)*Inputs!$B$16*(1+Inputs!$B$11)^(AB$2-1),0)</f>
        <v>0</v>
      </c>
      <c r="AC21" s="11" t="n">
        <f aca="false">IF(AND(AC$1&gt;=Units!$Q20,MOD(AC$1-Units!$Q20,12)=0),IF(AND(Units!$L20=1,AC$1=Units!$Q20),1,Inputs!$B$15)*Inputs!$B$16*(1+Inputs!$B$11)^(AC$2-1),0)</f>
        <v>0</v>
      </c>
      <c r="AD21" s="11" t="n">
        <f aca="false">IF(AND(AD$1&gt;=Units!$Q20,MOD(AD$1-Units!$Q20,12)=0),IF(AND(Units!$L20=1,AD$1=Units!$Q20),1,Inputs!$B$15)*Inputs!$B$16*(1+Inputs!$B$11)^(AD$2-1),0)</f>
        <v>0</v>
      </c>
      <c r="AE21" s="11" t="n">
        <f aca="false">IF(AND(AE$1&gt;=Units!$Q20,MOD(AE$1-Units!$Q20,12)=0),IF(AND(Units!$L20=1,AE$1=Units!$Q20),1,Inputs!$B$15)*Inputs!$B$16*(1+Inputs!$B$11)^(AE$2-1),0)</f>
        <v>0</v>
      </c>
      <c r="AF21" s="11" t="n">
        <f aca="false">IF(AND(AF$1&gt;=Units!$Q20,MOD(AF$1-Units!$Q20,12)=0),IF(AND(Units!$L20=1,AF$1=Units!$Q20),1,Inputs!$B$15)*Inputs!$B$16*(1+Inputs!$B$11)^(AF$2-1),0)</f>
        <v>0</v>
      </c>
      <c r="AG21" s="11" t="n">
        <f aca="false">IF(AND(AG$1&gt;=Units!$Q20,MOD(AG$1-Units!$Q20,12)=0),IF(AND(Units!$L20=1,AG$1=Units!$Q20),1,Inputs!$B$15)*Inputs!$B$16*(1+Inputs!$B$11)^(AG$2-1),0)</f>
        <v>0</v>
      </c>
      <c r="AH21" s="11" t="n">
        <f aca="false">IF(AND(AH$1&gt;=Units!$Q20,MOD(AH$1-Units!$Q20,12)=0),IF(AND(Units!$L20=1,AH$1=Units!$Q20),1,Inputs!$B$15)*Inputs!$B$16*(1+Inputs!$B$11)^(AH$2-1),0)</f>
        <v>0</v>
      </c>
      <c r="AI21" s="11" t="n">
        <f aca="false">IF(AND(AI$1&gt;=Units!$Q20,MOD(AI$1-Units!$Q20,12)=0),IF(AND(Units!$L20=1,AI$1=Units!$Q20),1,Inputs!$B$15)*Inputs!$B$16*(1+Inputs!$B$11)^(AI$2-1),0)</f>
        <v>530.45</v>
      </c>
      <c r="AJ21" s="11" t="n">
        <f aca="false">IF(AND(AJ$1&gt;=Units!$Q20,MOD(AJ$1-Units!$Q20,12)=0),IF(AND(Units!$L20=1,AJ$1=Units!$Q20),1,Inputs!$B$15)*Inputs!$B$16*(1+Inputs!$B$11)^(AJ$2-1),0)</f>
        <v>0</v>
      </c>
      <c r="AK21" s="11" t="n">
        <f aca="false">IF(AND(AK$1&gt;=Units!$Q20,MOD(AK$1-Units!$Q20,12)=0),IF(AND(Units!$L20=1,AK$1=Units!$Q20),1,Inputs!$B$15)*Inputs!$B$16*(1+Inputs!$B$11)^(AK$2-1),0)</f>
        <v>0</v>
      </c>
      <c r="AL21" s="11" t="n">
        <f aca="false">IF(AND(AL$1&gt;=Units!$Q20,MOD(AL$1-Units!$Q20,12)=0),IF(AND(Units!$L20=1,AL$1=Units!$Q20),1,Inputs!$B$15)*Inputs!$B$16*(1+Inputs!$B$11)^(AL$2-1),0)</f>
        <v>0</v>
      </c>
      <c r="AM21" s="11" t="n">
        <f aca="false">IF(AND(AM$1&gt;=Units!$Q20,MOD(AM$1-Units!$Q20,12)=0),IF(AND(Units!$L20=1,AM$1=Units!$Q20),1,Inputs!$B$15)*Inputs!$B$16*(1+Inputs!$B$11)^(AM$2-1),0)</f>
        <v>0</v>
      </c>
      <c r="AN21" s="11" t="n">
        <f aca="false">IF(AND(AN$1&gt;=Units!$Q20,MOD(AN$1-Units!$Q20,12)=0),IF(AND(Units!$L20=1,AN$1=Units!$Q20),1,Inputs!$B$15)*Inputs!$B$16*(1+Inputs!$B$11)^(AN$2-1),0)</f>
        <v>0</v>
      </c>
      <c r="AO21" s="11" t="n">
        <f aca="false">IF(AND(AO$1&gt;=Units!$Q20,MOD(AO$1-Units!$Q20,12)=0),IF(AND(Units!$L20=1,AO$1=Units!$Q20),1,Inputs!$B$15)*Inputs!$B$16*(1+Inputs!$B$11)^(AO$2-1),0)</f>
        <v>0</v>
      </c>
      <c r="AP21" s="11" t="n">
        <f aca="false">IF(AND(AP$1&gt;=Units!$Q20,MOD(AP$1-Units!$Q20,12)=0),IF(AND(Units!$L20=1,AP$1=Units!$Q20),1,Inputs!$B$15)*Inputs!$B$16*(1+Inputs!$B$11)^(AP$2-1),0)</f>
        <v>0</v>
      </c>
      <c r="AQ21" s="11" t="n">
        <f aca="false">IF(AND(AQ$1&gt;=Units!$Q20,MOD(AQ$1-Units!$Q20,12)=0),IF(AND(Units!$L20=1,AQ$1=Units!$Q20),1,Inputs!$B$15)*Inputs!$B$16*(1+Inputs!$B$11)^(AQ$2-1),0)</f>
        <v>0</v>
      </c>
      <c r="AR21" s="11" t="n">
        <f aca="false">IF(AND(AR$1&gt;=Units!$Q20,MOD(AR$1-Units!$Q20,12)=0),IF(AND(Units!$L20=1,AR$1=Units!$Q20),1,Inputs!$B$15)*Inputs!$B$16*(1+Inputs!$B$11)^(AR$2-1),0)</f>
        <v>0</v>
      </c>
      <c r="AS21" s="11" t="n">
        <f aca="false">IF(AND(AS$1&gt;=Units!$Q20,MOD(AS$1-Units!$Q20,12)=0),IF(AND(Units!$L20=1,AS$1=Units!$Q20),1,Inputs!$B$15)*Inputs!$B$16*(1+Inputs!$B$11)^(AS$2-1),0)</f>
        <v>0</v>
      </c>
      <c r="AT21" s="11" t="n">
        <f aca="false">IF(AND(AT$1&gt;=Units!$Q20,MOD(AT$1-Units!$Q20,12)=0),IF(AND(Units!$L20=1,AT$1=Units!$Q20),1,Inputs!$B$15)*Inputs!$B$16*(1+Inputs!$B$11)^(AT$2-1),0)</f>
        <v>0</v>
      </c>
      <c r="AU21" s="11" t="n">
        <f aca="false">IF(AND(AU$1&gt;=Units!$Q20,MOD(AU$1-Units!$Q20,12)=0),IF(AND(Units!$L20=1,AU$1=Units!$Q20),1,Inputs!$B$15)*Inputs!$B$16*(1+Inputs!$B$11)^(AU$2-1),0)</f>
        <v>546.3635</v>
      </c>
      <c r="AV21" s="11" t="n">
        <f aca="false">IF(AND(AV$1&gt;=Units!$Q20,MOD(AV$1-Units!$Q20,12)=0),IF(AND(Units!$L20=1,AV$1=Units!$Q20),1,Inputs!$B$15)*Inputs!$B$16*(1+Inputs!$B$11)^(AV$2-1),0)</f>
        <v>0</v>
      </c>
      <c r="AW21" s="11" t="n">
        <f aca="false">IF(AND(AW$1&gt;=Units!$Q20,MOD(AW$1-Units!$Q20,12)=0),IF(AND(Units!$L20=1,AW$1=Units!$Q20),1,Inputs!$B$15)*Inputs!$B$16*(1+Inputs!$B$11)^(AW$2-1),0)</f>
        <v>0</v>
      </c>
      <c r="AX21" s="11" t="n">
        <f aca="false">IF(AND(AX$1&gt;=Units!$Q20,MOD(AX$1-Units!$Q20,12)=0),IF(AND(Units!$L20=1,AX$1=Units!$Q20),1,Inputs!$B$15)*Inputs!$B$16*(1+Inputs!$B$11)^(AX$2-1),0)</f>
        <v>0</v>
      </c>
      <c r="AY21" s="11" t="n">
        <f aca="false">IF(AND(AY$1&gt;=Units!$Q20,MOD(AY$1-Units!$Q20,12)=0),IF(AND(Units!$L20=1,AY$1=Units!$Q20),1,Inputs!$B$15)*Inputs!$B$16*(1+Inputs!$B$11)^(AY$2-1),0)</f>
        <v>0</v>
      </c>
      <c r="AZ21" s="11" t="n">
        <f aca="false">IF(AND(AZ$1&gt;=Units!$Q20,MOD(AZ$1-Units!$Q20,12)=0),IF(AND(Units!$L20=1,AZ$1=Units!$Q20),1,Inputs!$B$15)*Inputs!$B$16*(1+Inputs!$B$11)^(AZ$2-1),0)</f>
        <v>0</v>
      </c>
      <c r="BA21" s="11" t="n">
        <f aca="false">IF(AND(BA$1&gt;=Units!$Q20,MOD(BA$1-Units!$Q20,12)=0),IF(AND(Units!$L20=1,BA$1=Units!$Q20),1,Inputs!$B$15)*Inputs!$B$16*(1+Inputs!$B$11)^(BA$2-1),0)</f>
        <v>0</v>
      </c>
      <c r="BB21" s="11" t="n">
        <f aca="false">IF(AND(BB$1&gt;=Units!$Q20,MOD(BB$1-Units!$Q20,12)=0),IF(AND(Units!$L20=1,BB$1=Units!$Q20),1,Inputs!$B$15)*Inputs!$B$16*(1+Inputs!$B$11)^(BB$2-1),0)</f>
        <v>0</v>
      </c>
      <c r="BC21" s="11" t="n">
        <f aca="false">IF(AND(BC$1&gt;=Units!$Q20,MOD(BC$1-Units!$Q20,12)=0),IF(AND(Units!$L20=1,BC$1=Units!$Q20),1,Inputs!$B$15)*Inputs!$B$16*(1+Inputs!$B$11)^(BC$2-1),0)</f>
        <v>0</v>
      </c>
      <c r="BD21" s="11" t="n">
        <f aca="false">IF(AND(BD$1&gt;=Units!$Q20,MOD(BD$1-Units!$Q20,12)=0),IF(AND(Units!$L20=1,BD$1=Units!$Q20),1,Inputs!$B$15)*Inputs!$B$16*(1+Inputs!$B$11)^(BD$2-1),0)</f>
        <v>0</v>
      </c>
      <c r="BE21" s="11" t="n">
        <f aca="false">IF(AND(BE$1&gt;=Units!$Q20,MOD(BE$1-Units!$Q20,12)=0),IF(AND(Units!$L20=1,BE$1=Units!$Q20),1,Inputs!$B$15)*Inputs!$B$16*(1+Inputs!$B$11)^(BE$2-1),0)</f>
        <v>0</v>
      </c>
      <c r="BF21" s="11" t="n">
        <f aca="false">IF(AND(BF$1&gt;=Units!$Q20,MOD(BF$1-Units!$Q20,12)=0),IF(AND(Units!$L20=1,BF$1=Units!$Q20),1,Inputs!$B$15)*Inputs!$B$16*(1+Inputs!$B$11)^(BF$2-1),0)</f>
        <v>0</v>
      </c>
      <c r="BG21" s="11" t="n">
        <f aca="false">IF(AND(BG$1&gt;=Units!$Q20,MOD(BG$1-Units!$Q20,12)=0),IF(AND(Units!$L20=1,BG$1=Units!$Q20),1,Inputs!$B$15)*Inputs!$B$16*(1+Inputs!$B$11)^(BG$2-1),0)</f>
        <v>562.754405</v>
      </c>
      <c r="BH21" s="11" t="n">
        <f aca="false">IF(AND(BH$1&gt;=Units!$Q20,MOD(BH$1-Units!$Q20,12)=0),IF(AND(Units!$L20=1,BH$1=Units!$Q20),1,Inputs!$B$15)*Inputs!$B$16*(1+Inputs!$B$11)^(BH$2-1),0)</f>
        <v>0</v>
      </c>
      <c r="BI21" s="11" t="n">
        <f aca="false">IF(AND(BI$1&gt;=Units!$Q20,MOD(BI$1-Units!$Q20,12)=0),IF(AND(Units!$L20=1,BI$1=Units!$Q20),1,Inputs!$B$15)*Inputs!$B$16*(1+Inputs!$B$11)^(BI$2-1),0)</f>
        <v>0</v>
      </c>
      <c r="BJ21" s="11" t="n">
        <f aca="false">IF(AND(BJ$1&gt;=Units!$Q20,MOD(BJ$1-Units!$Q20,12)=0),IF(AND(Units!$L20=1,BJ$1=Units!$Q20),1,Inputs!$B$15)*Inputs!$B$16*(1+Inputs!$B$11)^(BJ$2-1),0)</f>
        <v>0</v>
      </c>
      <c r="BK21" s="11" t="n">
        <f aca="false">IF(AND(BK$1&gt;=Units!$Q20,MOD(BK$1-Units!$Q20,12)=0),IF(AND(Units!$L20=1,BK$1=Units!$Q20),1,Inputs!$B$15)*Inputs!$B$16*(1+Inputs!$B$11)^(BK$2-1),0)</f>
        <v>0</v>
      </c>
      <c r="BL21" s="11" t="n">
        <f aca="false">IF(AND(BL$1&gt;=Units!$Q20,MOD(BL$1-Units!$Q20,12)=0),IF(AND(Units!$L20=1,BL$1=Units!$Q20),1,Inputs!$B$15)*Inputs!$B$16*(1+Inputs!$B$11)^(BL$2-1),0)</f>
        <v>0</v>
      </c>
      <c r="BM21" s="11" t="n">
        <f aca="false">IF(AND(BM$1&gt;=Units!$Q20,MOD(BM$1-Units!$Q20,12)=0),IF(AND(Units!$L20=1,BM$1=Units!$Q20),1,Inputs!$B$15)*Inputs!$B$16*(1+Inputs!$B$11)^(BM$2-1),0)</f>
        <v>0</v>
      </c>
      <c r="BN21" s="11" t="n">
        <f aca="false">IF(AND(BN$1&gt;=Units!$Q20,MOD(BN$1-Units!$Q20,12)=0),IF(AND(Units!$L20=1,BN$1=Units!$Q20),1,Inputs!$B$15)*Inputs!$B$16*(1+Inputs!$B$11)^(BN$2-1),0)</f>
        <v>0</v>
      </c>
      <c r="BO21" s="11" t="n">
        <f aca="false">IF(AND(BO$1&gt;=Units!$Q20,MOD(BO$1-Units!$Q20,12)=0),IF(AND(Units!$L20=1,BO$1=Units!$Q20),1,Inputs!$B$15)*Inputs!$B$16*(1+Inputs!$B$11)^(BO$2-1),0)</f>
        <v>0</v>
      </c>
      <c r="BP21" s="11" t="n">
        <f aca="false">IF(AND(BP$1&gt;=Units!$Q20,MOD(BP$1-Units!$Q20,12)=0),IF(AND(Units!$L20=1,BP$1=Units!$Q20),1,Inputs!$B$15)*Inputs!$B$16*(1+Inputs!$B$11)^(BP$2-1),0)</f>
        <v>0</v>
      </c>
      <c r="BQ21" s="11" t="n">
        <f aca="false">IF(AND(BQ$1&gt;=Units!$Q20,MOD(BQ$1-Units!$Q20,12)=0),IF(AND(Units!$L20=1,BQ$1=Units!$Q20),1,Inputs!$B$15)*Inputs!$B$16*(1+Inputs!$B$11)^(BQ$2-1),0)</f>
        <v>0</v>
      </c>
      <c r="BR21" s="11" t="n">
        <f aca="false">IF(AND(BR$1&gt;=Units!$Q20,MOD(BR$1-Units!$Q20,12)=0),IF(AND(Units!$L20=1,BR$1=Units!$Q20),1,Inputs!$B$15)*Inputs!$B$16*(1+Inputs!$B$11)^(BR$2-1),0)</f>
        <v>0</v>
      </c>
      <c r="BS21" s="11" t="n">
        <f aca="false">IF(AND(BS$1&gt;=Units!$Q20,MOD(BS$1-Units!$Q20,12)=0),IF(AND(Units!$L20=1,BS$1=Units!$Q20),1,Inputs!$B$15)*Inputs!$B$16*(1+Inputs!$B$11)^(BS$2-1),0)</f>
        <v>579.63703715</v>
      </c>
      <c r="BT21" s="11" t="n">
        <f aca="false">IF(AND(BT$1&gt;=Units!$Q20,MOD(BT$1-Units!$Q20,12)=0),IF(AND(Units!$L20=1,BT$1=Units!$Q20),1,Inputs!$B$15)*Inputs!$B$16*(1+Inputs!$B$11)^(BT$2-1),0)</f>
        <v>0</v>
      </c>
      <c r="BU21" s="11" t="n">
        <f aca="false">IF(AND(BU$1&gt;=Units!$Q20,MOD(BU$1-Units!$Q20,12)=0),IF(AND(Units!$L20=1,BU$1=Units!$Q20),1,Inputs!$B$15)*Inputs!$B$16*(1+Inputs!$B$11)^(BU$2-1),0)</f>
        <v>0</v>
      </c>
      <c r="BV21" s="11" t="n">
        <f aca="false">IF(AND(BV$1&gt;=Units!$Q20,MOD(BV$1-Units!$Q20,12)=0),IF(AND(Units!$L20=1,BV$1=Units!$Q20),1,Inputs!$B$15)*Inputs!$B$16*(1+Inputs!$B$11)^(BV$2-1),0)</f>
        <v>0</v>
      </c>
      <c r="BW21" s="11" t="n">
        <f aca="false">IF(AND(BW$1&gt;=Units!$Q20,MOD(BW$1-Units!$Q20,12)=0),IF(AND(Units!$L20=1,BW$1=Units!$Q20),1,Inputs!$B$15)*Inputs!$B$16*(1+Inputs!$B$11)^(BW$2-1),0)</f>
        <v>0</v>
      </c>
      <c r="BX21" s="11" t="n">
        <f aca="false">IF(AND(BX$1&gt;=Units!$Q20,MOD(BX$1-Units!$Q20,12)=0),IF(AND(Units!$L20=1,BX$1=Units!$Q20),1,Inputs!$B$15)*Inputs!$B$16*(1+Inputs!$B$11)^(BX$2-1),0)</f>
        <v>0</v>
      </c>
      <c r="BY21" s="11" t="n">
        <f aca="false">IF(AND(BY$1&gt;=Units!$Q20,MOD(BY$1-Units!$Q20,12)=0),IF(AND(Units!$L20=1,BY$1=Units!$Q20),1,Inputs!$B$15)*Inputs!$B$16*(1+Inputs!$B$11)^(BY$2-1),0)</f>
        <v>0</v>
      </c>
      <c r="BZ21" s="11" t="n">
        <f aca="false">IF(AND(BZ$1&gt;=Units!$Q20,MOD(BZ$1-Units!$Q20,12)=0),IF(AND(Units!$L20=1,BZ$1=Units!$Q20),1,Inputs!$B$15)*Inputs!$B$16*(1+Inputs!$B$11)^(BZ$2-1),0)</f>
        <v>0</v>
      </c>
      <c r="CA21" s="11" t="n">
        <f aca="false">IF(AND(CA$1&gt;=Units!$Q20,MOD(CA$1-Units!$Q20,12)=0),IF(AND(Units!$L20=1,CA$1=Units!$Q20),1,Inputs!$B$15)*Inputs!$B$16*(1+Inputs!$B$11)^(CA$2-1),0)</f>
        <v>0</v>
      </c>
      <c r="CB21" s="11" t="n">
        <f aca="false">IF(AND(CB$1&gt;=Units!$Q20,MOD(CB$1-Units!$Q20,12)=0),IF(AND(Units!$L20=1,CB$1=Units!$Q20),1,Inputs!$B$15)*Inputs!$B$16*(1+Inputs!$B$11)^(CB$2-1),0)</f>
        <v>0</v>
      </c>
      <c r="CC21" s="11" t="n">
        <f aca="false">IF(AND(CC$1&gt;=Units!$Q20,MOD(CC$1-Units!$Q20,12)=0),IF(AND(Units!$L20=1,CC$1=Units!$Q20),1,Inputs!$B$15)*Inputs!$B$16*(1+Inputs!$B$11)^(CC$2-1),0)</f>
        <v>0</v>
      </c>
      <c r="CD21" s="11" t="n">
        <f aca="false">IF(AND(CD$1&gt;=Units!$Q20,MOD(CD$1-Units!$Q20,12)=0),IF(AND(Units!$L20=1,CD$1=Units!$Q20),1,Inputs!$B$15)*Inputs!$B$16*(1+Inputs!$B$11)^(CD$2-1),0)</f>
        <v>0</v>
      </c>
      <c r="CE21" s="11" t="n">
        <f aca="false">IF(AND(CE$1&gt;=Units!$Q20,MOD(CE$1-Units!$Q20,12)=0),IF(AND(Units!$L20=1,CE$1=Units!$Q20),1,Inputs!$B$15)*Inputs!$B$16*(1+Inputs!$B$11)^(CE$2-1),0)</f>
        <v>597.0261482645</v>
      </c>
      <c r="CF21" s="11" t="n">
        <f aca="false">IF(AND(CF$1&gt;=Units!$Q20,MOD(CF$1-Units!$Q20,12)=0),IF(AND(Units!$L20=1,CF$1=Units!$Q20),1,Inputs!$B$15)*Inputs!$B$16*(1+Inputs!$B$11)^(CF$2-1),0)</f>
        <v>0</v>
      </c>
      <c r="CG21" s="11" t="n">
        <f aca="false">IF(AND(CG$1&gt;=Units!$Q20,MOD(CG$1-Units!$Q20,12)=0),IF(AND(Units!$L20=1,CG$1=Units!$Q20),1,Inputs!$B$15)*Inputs!$B$16*(1+Inputs!$B$11)^(CG$2-1),0)</f>
        <v>0</v>
      </c>
      <c r="CH21" s="11" t="n">
        <f aca="false">IF(AND(CH$1&gt;=Units!$Q20,MOD(CH$1-Units!$Q20,12)=0),IF(AND(Units!$L20=1,CH$1=Units!$Q20),1,Inputs!$B$15)*Inputs!$B$16*(1+Inputs!$B$11)^(CH$2-1),0)</f>
        <v>0</v>
      </c>
      <c r="CI21" s="11" t="n">
        <f aca="false">IF(AND(CI$1&gt;=Units!$Q20,MOD(CI$1-Units!$Q20,12)=0),IF(AND(Units!$L20=1,CI$1=Units!$Q20),1,Inputs!$B$15)*Inputs!$B$16*(1+Inputs!$B$11)^(CI$2-1),0)</f>
        <v>0</v>
      </c>
      <c r="CJ21" s="11" t="n">
        <f aca="false">IF(AND(CJ$1&gt;=Units!$Q20,MOD(CJ$1-Units!$Q20,12)=0),IF(AND(Units!$L20=1,CJ$1=Units!$Q20),1,Inputs!$B$15)*Inputs!$B$16*(1+Inputs!$B$11)^(CJ$2-1),0)</f>
        <v>0</v>
      </c>
      <c r="CK21" s="11" t="n">
        <f aca="false">IF(AND(CK$1&gt;=Units!$Q20,MOD(CK$1-Units!$Q20,12)=0),IF(AND(Units!$L20=1,CK$1=Units!$Q20),1,Inputs!$B$15)*Inputs!$B$16*(1+Inputs!$B$11)^(CK$2-1),0)</f>
        <v>0</v>
      </c>
      <c r="CL21" s="11" t="n">
        <f aca="false">IF(AND(CL$1&gt;=Units!$Q20,MOD(CL$1-Units!$Q20,12)=0),IF(AND(Units!$L20=1,CL$1=Units!$Q20),1,Inputs!$B$15)*Inputs!$B$16*(1+Inputs!$B$11)^(CL$2-1),0)</f>
        <v>0</v>
      </c>
      <c r="CM21" s="11" t="n">
        <f aca="false">IF(AND(CM$1&gt;=Units!$Q20,MOD(CM$1-Units!$Q20,12)=0),IF(AND(Units!$L20=1,CM$1=Units!$Q20),1,Inputs!$B$15)*Inputs!$B$16*(1+Inputs!$B$11)^(CM$2-1),0)</f>
        <v>0</v>
      </c>
      <c r="CN21" s="11" t="n">
        <f aca="false">IF(AND(CN$1&gt;=Units!$Q20,MOD(CN$1-Units!$Q20,12)=0),IF(AND(Units!$L20=1,CN$1=Units!$Q20),1,Inputs!$B$15)*Inputs!$B$16*(1+Inputs!$B$11)^(CN$2-1),0)</f>
        <v>0</v>
      </c>
      <c r="CO21" s="11" t="n">
        <f aca="false">IF(AND(CO$1&gt;=Units!$Q20,MOD(CO$1-Units!$Q20,12)=0),IF(AND(Units!$L20=1,CO$1=Units!$Q20),1,Inputs!$B$15)*Inputs!$B$16*(1+Inputs!$B$11)^(CO$2-1),0)</f>
        <v>0</v>
      </c>
      <c r="CP21" s="11" t="n">
        <f aca="false">IF(AND(CP$1&gt;=Units!$Q20,MOD(CP$1-Units!$Q20,12)=0),IF(AND(Units!$L20=1,CP$1=Units!$Q20),1,Inputs!$B$15)*Inputs!$B$16*(1+Inputs!$B$11)^(CP$2-1),0)</f>
        <v>0</v>
      </c>
      <c r="CQ21" s="11" t="n">
        <f aca="false">IF(AND(CQ$1&gt;=Units!$Q20,MOD(CQ$1-Units!$Q20,12)=0),IF(AND(Units!$L20=1,CQ$1=Units!$Q20),1,Inputs!$B$15)*Inputs!$B$16*(1+Inputs!$B$11)^(CQ$2-1),0)</f>
        <v>614.936932712435</v>
      </c>
      <c r="CR21" s="11" t="n">
        <f aca="false">IF(AND(CR$1&gt;=Units!$Q20,MOD(CR$1-Units!$Q20,12)=0),IF(AND(Units!$L20=1,CR$1=Units!$Q20),1,Inputs!$B$15)*Inputs!$B$16*(1+Inputs!$B$11)^(CR$2-1),0)</f>
        <v>0</v>
      </c>
      <c r="CS21" s="11" t="n">
        <f aca="false">IF(AND(CS$1&gt;=Units!$Q20,MOD(CS$1-Units!$Q20,12)=0),IF(AND(Units!$L20=1,CS$1=Units!$Q20),1,Inputs!$B$15)*Inputs!$B$16*(1+Inputs!$B$11)^(CS$2-1),0)</f>
        <v>0</v>
      </c>
      <c r="CT21" s="11" t="n">
        <f aca="false">IF(AND(CT$1&gt;=Units!$Q20,MOD(CT$1-Units!$Q20,12)=0),IF(AND(Units!$L20=1,CT$1=Units!$Q20),1,Inputs!$B$15)*Inputs!$B$16*(1+Inputs!$B$11)^(CT$2-1),0)</f>
        <v>0</v>
      </c>
      <c r="CU21" s="11" t="n">
        <f aca="false">IF(AND(CU$1&gt;=Units!$Q20,MOD(CU$1-Units!$Q20,12)=0),IF(AND(Units!$L20=1,CU$1=Units!$Q20),1,Inputs!$B$15)*Inputs!$B$16*(1+Inputs!$B$11)^(CU$2-1),0)</f>
        <v>0</v>
      </c>
      <c r="CV21" s="11" t="n">
        <f aca="false">IF(AND(CV$1&gt;=Units!$Q20,MOD(CV$1-Units!$Q20,12)=0),IF(AND(Units!$L20=1,CV$1=Units!$Q20),1,Inputs!$B$15)*Inputs!$B$16*(1+Inputs!$B$11)^(CV$2-1),0)</f>
        <v>0</v>
      </c>
      <c r="CW21" s="11" t="n">
        <f aca="false">IF(AND(CW$1&gt;=Units!$Q20,MOD(CW$1-Units!$Q20,12)=0),IF(AND(Units!$L20=1,CW$1=Units!$Q20),1,Inputs!$B$15)*Inputs!$B$16*(1+Inputs!$B$11)^(CW$2-1),0)</f>
        <v>0</v>
      </c>
      <c r="CX21" s="11" t="n">
        <f aca="false">IF(AND(CX$1&gt;=Units!$Q20,MOD(CX$1-Units!$Q20,12)=0),IF(AND(Units!$L20=1,CX$1=Units!$Q20),1,Inputs!$B$15)*Inputs!$B$16*(1+Inputs!$B$11)^(CX$2-1),0)</f>
        <v>0</v>
      </c>
      <c r="CY21" s="11" t="n">
        <f aca="false">IF(AND(CY$1&gt;=Units!$Q20,MOD(CY$1-Units!$Q20,12)=0),IF(AND(Units!$L20=1,CY$1=Units!$Q20),1,Inputs!$B$15)*Inputs!$B$16*(1+Inputs!$B$11)^(CY$2-1),0)</f>
        <v>0</v>
      </c>
      <c r="CZ21" s="11" t="n">
        <f aca="false">IF(AND(CZ$1&gt;=Units!$Q20,MOD(CZ$1-Units!$Q20,12)=0),IF(AND(Units!$L20=1,CZ$1=Units!$Q20),1,Inputs!$B$15)*Inputs!$B$16*(1+Inputs!$B$11)^(CZ$2-1),0)</f>
        <v>0</v>
      </c>
      <c r="DA21" s="11" t="n">
        <f aca="false">IF(AND(DA$1&gt;=Units!$Q20,MOD(DA$1-Units!$Q20,12)=0),IF(AND(Units!$L20=1,DA$1=Units!$Q20),1,Inputs!$B$15)*Inputs!$B$16*(1+Inputs!$B$11)^(DA$2-1),0)</f>
        <v>0</v>
      </c>
      <c r="DB21" s="11" t="n">
        <f aca="false">IF(AND(DB$1&gt;=Units!$Q20,MOD(DB$1-Units!$Q20,12)=0),IF(AND(Units!$L20=1,DB$1=Units!$Q20),1,Inputs!$B$15)*Inputs!$B$16*(1+Inputs!$B$11)^(DB$2-1),0)</f>
        <v>0</v>
      </c>
      <c r="DC21" s="11" t="n">
        <f aca="false">IF(AND(DC$1&gt;=Units!$Q20,MOD(DC$1-Units!$Q20,12)=0),IF(AND(Units!$L20=1,DC$1=Units!$Q20),1,Inputs!$B$15)*Inputs!$B$16*(1+Inputs!$B$11)^(DC$2-1),0)</f>
        <v>633.385040693808</v>
      </c>
      <c r="DD21" s="11" t="n">
        <f aca="false">IF(AND(DD$1&gt;=Units!$Q20,MOD(DD$1-Units!$Q20,12)=0),IF(AND(Units!$L20=1,DD$1=Units!$Q20),1,Inputs!$B$15)*Inputs!$B$16*(1+Inputs!$B$11)^(DD$2-1),0)</f>
        <v>0</v>
      </c>
      <c r="DE21" s="11" t="n">
        <f aca="false">IF(AND(DE$1&gt;=Units!$Q20,MOD(DE$1-Units!$Q20,12)=0),IF(AND(Units!$L20=1,DE$1=Units!$Q20),1,Inputs!$B$15)*Inputs!$B$16*(1+Inputs!$B$11)^(DE$2-1),0)</f>
        <v>0</v>
      </c>
      <c r="DF21" s="11" t="n">
        <f aca="false">IF(AND(DF$1&gt;=Units!$Q20,MOD(DF$1-Units!$Q20,12)=0),IF(AND(Units!$L20=1,DF$1=Units!$Q20),1,Inputs!$B$15)*Inputs!$B$16*(1+Inputs!$B$11)^(DF$2-1),0)</f>
        <v>0</v>
      </c>
      <c r="DG21" s="11" t="n">
        <f aca="false">IF(AND(DG$1&gt;=Units!$Q20,MOD(DG$1-Units!$Q20,12)=0),IF(AND(Units!$L20=1,DG$1=Units!$Q20),1,Inputs!$B$15)*Inputs!$B$16*(1+Inputs!$B$11)^(DG$2-1),0)</f>
        <v>0</v>
      </c>
      <c r="DH21" s="11" t="n">
        <f aca="false">IF(AND(DH$1&gt;=Units!$Q20,MOD(DH$1-Units!$Q20,12)=0),IF(AND(Units!$L20=1,DH$1=Units!$Q20),1,Inputs!$B$15)*Inputs!$B$16*(1+Inputs!$B$11)^(DH$2-1),0)</f>
        <v>0</v>
      </c>
      <c r="DI21" s="11" t="n">
        <f aca="false">IF(AND(DI$1&gt;=Units!$Q20,MOD(DI$1-Units!$Q20,12)=0),IF(AND(Units!$L20=1,DI$1=Units!$Q20),1,Inputs!$B$15)*Inputs!$B$16*(1+Inputs!$B$11)^(DI$2-1),0)</f>
        <v>0</v>
      </c>
      <c r="DJ21" s="11" t="n">
        <f aca="false">IF(AND(DJ$1&gt;=Units!$Q20,MOD(DJ$1-Units!$Q20,12)=0),IF(AND(Units!$L20=1,DJ$1=Units!$Q20),1,Inputs!$B$15)*Inputs!$B$16*(1+Inputs!$B$11)^(DJ$2-1),0)</f>
        <v>0</v>
      </c>
      <c r="DK21" s="11" t="n">
        <f aca="false">IF(AND(DK$1&gt;=Units!$Q20,MOD(DK$1-Units!$Q20,12)=0),IF(AND(Units!$L20=1,DK$1=Units!$Q20),1,Inputs!$B$15)*Inputs!$B$16*(1+Inputs!$B$11)^(DK$2-1),0)</f>
        <v>0</v>
      </c>
      <c r="DL21" s="11" t="n">
        <f aca="false">IF(AND(DL$1&gt;=Units!$Q20,MOD(DL$1-Units!$Q20,12)=0),IF(AND(Units!$L20=1,DL$1=Units!$Q20),1,Inputs!$B$15)*Inputs!$B$16*(1+Inputs!$B$11)^(DL$2-1),0)</f>
        <v>0</v>
      </c>
      <c r="DM21" s="11" t="n">
        <f aca="false">IF(AND(DM$1&gt;=Units!$Q20,MOD(DM$1-Units!$Q20,12)=0),IF(AND(Units!$L20=1,DM$1=Units!$Q20),1,Inputs!$B$15)*Inputs!$B$16*(1+Inputs!$B$11)^(DM$2-1),0)</f>
        <v>0</v>
      </c>
      <c r="DN21" s="11" t="n">
        <f aca="false">IF(AND(DN$1&gt;=Units!$Q20,MOD(DN$1-Units!$Q20,12)=0),IF(AND(Units!$L20=1,DN$1=Units!$Q20),1,Inputs!$B$15)*Inputs!$B$16*(1+Inputs!$B$11)^(DN$2-1),0)</f>
        <v>0</v>
      </c>
      <c r="DO21" s="11" t="n">
        <f aca="false">IF(AND(DO$1&gt;=Units!$Q20,MOD(DO$1-Units!$Q20,12)=0),IF(AND(Units!$L20=1,DO$1=Units!$Q20),1,Inputs!$B$15)*Inputs!$B$16*(1+Inputs!$B$11)^(DO$2-1),0)</f>
        <v>652.386591914623</v>
      </c>
      <c r="DP21" s="11" t="n">
        <f aca="false">IF(AND(DP$1&gt;=Units!$Q20,MOD(DP$1-Units!$Q20,12)=0),IF(AND(Units!$L20=1,DP$1=Units!$Q20),1,Inputs!$B$15)*Inputs!$B$16*(1+Inputs!$B$11)^(DP$2-1),0)</f>
        <v>0</v>
      </c>
      <c r="DQ21" s="11" t="n">
        <f aca="false">IF(AND(DQ$1&gt;=Units!$Q20,MOD(DQ$1-Units!$Q20,12)=0),IF(AND(Units!$L20=1,DQ$1=Units!$Q20),1,Inputs!$B$15)*Inputs!$B$16*(1+Inputs!$B$11)^(DQ$2-1),0)</f>
        <v>0</v>
      </c>
      <c r="DR21" s="11" t="n">
        <f aca="false">IF(AND(DR$1&gt;=Units!$Q20,MOD(DR$1-Units!$Q20,12)=0),IF(AND(Units!$L20=1,DR$1=Units!$Q20),1,Inputs!$B$15)*Inputs!$B$16*(1+Inputs!$B$11)^(DR$2-1),0)</f>
        <v>0</v>
      </c>
      <c r="DS21" s="11" t="n">
        <f aca="false">IF(AND(DS$1&gt;=Units!$Q20,MOD(DS$1-Units!$Q20,12)=0),IF(AND(Units!$L20=1,DS$1=Units!$Q20),1,Inputs!$B$15)*Inputs!$B$16*(1+Inputs!$B$11)^(DS$2-1),0)</f>
        <v>0</v>
      </c>
      <c r="DT21" s="11" t="n">
        <f aca="false">IF(AND(DT$1&gt;=Units!$Q20,MOD(DT$1-Units!$Q20,12)=0),IF(AND(Units!$L20=1,DT$1=Units!$Q20),1,Inputs!$B$15)*Inputs!$B$16*(1+Inputs!$B$11)^(DT$2-1),0)</f>
        <v>0</v>
      </c>
      <c r="DU21" s="11" t="n">
        <f aca="false">IF(AND(DU$1&gt;=Units!$Q20,MOD(DU$1-Units!$Q20,12)=0),IF(AND(Units!$L20=1,DU$1=Units!$Q20),1,Inputs!$B$15)*Inputs!$B$16*(1+Inputs!$B$11)^(DU$2-1),0)</f>
        <v>0</v>
      </c>
      <c r="DV21" s="11" t="n">
        <f aca="false">IF(AND(DV$1&gt;=Units!$Q20,MOD(DV$1-Units!$Q20,12)=0),IF(AND(Units!$L20=1,DV$1=Units!$Q20),1,Inputs!$B$15)*Inputs!$B$16*(1+Inputs!$B$11)^(DV$2-1),0)</f>
        <v>0</v>
      </c>
      <c r="DW21" s="11" t="n">
        <f aca="false">IF(AND(DW$1&gt;=Units!$Q20,MOD(DW$1-Units!$Q20,12)=0),IF(AND(Units!$L20=1,DW$1=Units!$Q20),1,Inputs!$B$15)*Inputs!$B$16*(1+Inputs!$B$11)^(DW$2-1),0)</f>
        <v>0</v>
      </c>
      <c r="DX21" s="11" t="n">
        <f aca="false">IF(AND(DX$1&gt;=Units!$Q20,MOD(DX$1-Units!$Q20,12)=0),IF(AND(Units!$L20=1,DX$1=Units!$Q20),1,Inputs!$B$15)*Inputs!$B$16*(1+Inputs!$B$11)^(DX$2-1),0)</f>
        <v>0</v>
      </c>
      <c r="DY21" s="11" t="n">
        <f aca="false">IF(AND(DY$1&gt;=Units!$Q20,MOD(DY$1-Units!$Q20,12)=0),IF(AND(Units!$L20=1,DY$1=Units!$Q20),1,Inputs!$B$15)*Inputs!$B$16*(1+Inputs!$B$11)^(DY$2-1),0)</f>
        <v>0</v>
      </c>
      <c r="DZ21" s="11" t="n">
        <f aca="false">IF(AND(DZ$1&gt;=Units!$Q20,MOD(DZ$1-Units!$Q20,12)=0),IF(AND(Units!$L20=1,DZ$1=Units!$Q20),1,Inputs!$B$15)*Inputs!$B$16*(1+Inputs!$B$11)^(DZ$2-1),0)</f>
        <v>0</v>
      </c>
      <c r="EA21" s="11" t="n">
        <f aca="false">IF(AND(EA$1&gt;=Units!$Q20,MOD(EA$1-Units!$Q20,12)=0),IF(AND(Units!$L20=1,EA$1=Units!$Q20),1,Inputs!$B$15)*Inputs!$B$16*(1+Inputs!$B$11)^(EA$2-1),0)</f>
        <v>671.958189672061</v>
      </c>
      <c r="EB21" s="11" t="n">
        <f aca="false">IF(AND(EB$1&gt;=Units!$Q20,MOD(EB$1-Units!$Q20,12)=0),IF(AND(Units!$L20=1,EB$1=Units!$Q20),1,Inputs!$B$15)*Inputs!$B$16*(1+Inputs!$B$11)^(EB$2-1),0)</f>
        <v>0</v>
      </c>
      <c r="EC21" s="11" t="n">
        <f aca="false">IF(AND(EC$1&gt;=Units!$Q20,MOD(EC$1-Units!$Q20,12)=0),IF(AND(Units!$L20=1,EC$1=Units!$Q20),1,Inputs!$B$15)*Inputs!$B$16*(1+Inputs!$B$11)^(EC$2-1),0)</f>
        <v>0</v>
      </c>
      <c r="ED21" s="11" t="n">
        <f aca="false">IF(AND(ED$1&gt;=Units!$Q20,MOD(ED$1-Units!$Q20,12)=0),IF(AND(Units!$L20=1,ED$1=Units!$Q20),1,Inputs!$B$15)*Inputs!$B$16*(1+Inputs!$B$11)^(ED$2-1),0)</f>
        <v>0</v>
      </c>
    </row>
    <row r="22" customFormat="false" ht="15" hidden="false" customHeight="false" outlineLevel="0" collapsed="false">
      <c r="A22" s="22" t="n">
        <f aca="false">Units!A21</f>
        <v>120</v>
      </c>
      <c r="B22" s="23"/>
      <c r="C22" s="11" t="n">
        <f aca="false">IF(AND(C$1&gt;=Units!$Q21,MOD(C$1-Units!$Q21,12)=0),IF(AND(Units!$L21=1,C$1=Units!$Q21),1,Inputs!$B$15)*Inputs!$B$16*(1+Inputs!$B$11)^(C$2-1),0)</f>
        <v>0</v>
      </c>
      <c r="D22" s="11" t="n">
        <f aca="false">IF(AND(D$1&gt;=Units!$Q21,MOD(D$1-Units!$Q21,12)=0),IF(AND(Units!$L21=1,D$1=Units!$Q21),1,Inputs!$B$15)*Inputs!$B$16*(1+Inputs!$B$11)^(D$2-1),0)</f>
        <v>0</v>
      </c>
      <c r="E22" s="11" t="n">
        <f aca="false">IF(AND(E$1&gt;=Units!$Q21,MOD(E$1-Units!$Q21,12)=0),IF(AND(Units!$L21=1,E$1=Units!$Q21),1,Inputs!$B$15)*Inputs!$B$16*(1+Inputs!$B$11)^(E$2-1),0)</f>
        <v>0</v>
      </c>
      <c r="F22" s="11" t="n">
        <f aca="false">IF(AND(F$1&gt;=Units!$Q21,MOD(F$1-Units!$Q21,12)=0),IF(AND(Units!$L21=1,F$1=Units!$Q21),1,Inputs!$B$15)*Inputs!$B$16*(1+Inputs!$B$11)^(F$2-1),0)</f>
        <v>0</v>
      </c>
      <c r="G22" s="11" t="n">
        <f aca="false">IF(AND(G$1&gt;=Units!$Q21,MOD(G$1-Units!$Q21,12)=0),IF(AND(Units!$L21=1,G$1=Units!$Q21),1,Inputs!$B$15)*Inputs!$B$16*(1+Inputs!$B$11)^(G$2-1),0)</f>
        <v>0</v>
      </c>
      <c r="H22" s="11" t="n">
        <f aca="false">IF(AND(H$1&gt;=Units!$Q21,MOD(H$1-Units!$Q21,12)=0),IF(AND(Units!$L21=1,H$1=Units!$Q21),1,Inputs!$B$15)*Inputs!$B$16*(1+Inputs!$B$11)^(H$2-1),0)</f>
        <v>0</v>
      </c>
      <c r="I22" s="11" t="n">
        <f aca="false">IF(AND(I$1&gt;=Units!$Q21,MOD(I$1-Units!$Q21,12)=0),IF(AND(Units!$L21=1,I$1=Units!$Q21),1,Inputs!$B$15)*Inputs!$B$16*(1+Inputs!$B$11)^(I$2-1),0)</f>
        <v>0</v>
      </c>
      <c r="J22" s="11" t="n">
        <f aca="false">IF(AND(J$1&gt;=Units!$Q21,MOD(J$1-Units!$Q21,12)=0),IF(AND(Units!$L21=1,J$1=Units!$Q21),1,Inputs!$B$15)*Inputs!$B$16*(1+Inputs!$B$11)^(J$2-1),0)</f>
        <v>0</v>
      </c>
      <c r="K22" s="11" t="n">
        <f aca="false">IF(AND(K$1&gt;=Units!$Q21,MOD(K$1-Units!$Q21,12)=0),IF(AND(Units!$L21=1,K$1=Units!$Q21),1,Inputs!$B$15)*Inputs!$B$16*(1+Inputs!$B$11)^(K$2-1),0)</f>
        <v>500</v>
      </c>
      <c r="L22" s="11" t="n">
        <f aca="false">IF(AND(L$1&gt;=Units!$Q21,MOD(L$1-Units!$Q21,12)=0),IF(AND(Units!$L21=1,L$1=Units!$Q21),1,Inputs!$B$15)*Inputs!$B$16*(1+Inputs!$B$11)^(L$2-1),0)</f>
        <v>0</v>
      </c>
      <c r="M22" s="11" t="n">
        <f aca="false">IF(AND(M$1&gt;=Units!$Q21,MOD(M$1-Units!$Q21,12)=0),IF(AND(Units!$L21=1,M$1=Units!$Q21),1,Inputs!$B$15)*Inputs!$B$16*(1+Inputs!$B$11)^(M$2-1),0)</f>
        <v>0</v>
      </c>
      <c r="N22" s="11" t="n">
        <f aca="false">IF(AND(N$1&gt;=Units!$Q21,MOD(N$1-Units!$Q21,12)=0),IF(AND(Units!$L21=1,N$1=Units!$Q21),1,Inputs!$B$15)*Inputs!$B$16*(1+Inputs!$B$11)^(N$2-1),0)</f>
        <v>0</v>
      </c>
      <c r="O22" s="11" t="n">
        <f aca="false">IF(AND(O$1&gt;=Units!$Q21,MOD(O$1-Units!$Q21,12)=0),IF(AND(Units!$L21=1,O$1=Units!$Q21),1,Inputs!$B$15)*Inputs!$B$16*(1+Inputs!$B$11)^(O$2-1),0)</f>
        <v>0</v>
      </c>
      <c r="P22" s="11" t="n">
        <f aca="false">IF(AND(P$1&gt;=Units!$Q21,MOD(P$1-Units!$Q21,12)=0),IF(AND(Units!$L21=1,P$1=Units!$Q21),1,Inputs!$B$15)*Inputs!$B$16*(1+Inputs!$B$11)^(P$2-1),0)</f>
        <v>0</v>
      </c>
      <c r="Q22" s="11" t="n">
        <f aca="false">IF(AND(Q$1&gt;=Units!$Q21,MOD(Q$1-Units!$Q21,12)=0),IF(AND(Units!$L21=1,Q$1=Units!$Q21),1,Inputs!$B$15)*Inputs!$B$16*(1+Inputs!$B$11)^(Q$2-1),0)</f>
        <v>0</v>
      </c>
      <c r="R22" s="11" t="n">
        <f aca="false">IF(AND(R$1&gt;=Units!$Q21,MOD(R$1-Units!$Q21,12)=0),IF(AND(Units!$L21=1,R$1=Units!$Q21),1,Inputs!$B$15)*Inputs!$B$16*(1+Inputs!$B$11)^(R$2-1),0)</f>
        <v>0</v>
      </c>
      <c r="S22" s="11" t="n">
        <f aca="false">IF(AND(S$1&gt;=Units!$Q21,MOD(S$1-Units!$Q21,12)=0),IF(AND(Units!$L21=1,S$1=Units!$Q21),1,Inputs!$B$15)*Inputs!$B$16*(1+Inputs!$B$11)^(S$2-1),0)</f>
        <v>0</v>
      </c>
      <c r="T22" s="11" t="n">
        <f aca="false">IF(AND(T$1&gt;=Units!$Q21,MOD(T$1-Units!$Q21,12)=0),IF(AND(Units!$L21=1,T$1=Units!$Q21),1,Inputs!$B$15)*Inputs!$B$16*(1+Inputs!$B$11)^(T$2-1),0)</f>
        <v>0</v>
      </c>
      <c r="U22" s="11" t="n">
        <f aca="false">IF(AND(U$1&gt;=Units!$Q21,MOD(U$1-Units!$Q21,12)=0),IF(AND(Units!$L21=1,U$1=Units!$Q21),1,Inputs!$B$15)*Inputs!$B$16*(1+Inputs!$B$11)^(U$2-1),0)</f>
        <v>0</v>
      </c>
      <c r="V22" s="11" t="n">
        <f aca="false">IF(AND(V$1&gt;=Units!$Q21,MOD(V$1-Units!$Q21,12)=0),IF(AND(Units!$L21=1,V$1=Units!$Q21),1,Inputs!$B$15)*Inputs!$B$16*(1+Inputs!$B$11)^(V$2-1),0)</f>
        <v>0</v>
      </c>
      <c r="W22" s="11" t="n">
        <f aca="false">IF(AND(W$1&gt;=Units!$Q21,MOD(W$1-Units!$Q21,12)=0),IF(AND(Units!$L21=1,W$1=Units!$Q21),1,Inputs!$B$15)*Inputs!$B$16*(1+Inputs!$B$11)^(W$2-1),0)</f>
        <v>515</v>
      </c>
      <c r="X22" s="11" t="n">
        <f aca="false">IF(AND(X$1&gt;=Units!$Q21,MOD(X$1-Units!$Q21,12)=0),IF(AND(Units!$L21=1,X$1=Units!$Q21),1,Inputs!$B$15)*Inputs!$B$16*(1+Inputs!$B$11)^(X$2-1),0)</f>
        <v>0</v>
      </c>
      <c r="Y22" s="11" t="n">
        <f aca="false">IF(AND(Y$1&gt;=Units!$Q21,MOD(Y$1-Units!$Q21,12)=0),IF(AND(Units!$L21=1,Y$1=Units!$Q21),1,Inputs!$B$15)*Inputs!$B$16*(1+Inputs!$B$11)^(Y$2-1),0)</f>
        <v>0</v>
      </c>
      <c r="Z22" s="11" t="n">
        <f aca="false">IF(AND(Z$1&gt;=Units!$Q21,MOD(Z$1-Units!$Q21,12)=0),IF(AND(Units!$L21=1,Z$1=Units!$Q21),1,Inputs!$B$15)*Inputs!$B$16*(1+Inputs!$B$11)^(Z$2-1),0)</f>
        <v>0</v>
      </c>
      <c r="AA22" s="11" t="n">
        <f aca="false">IF(AND(AA$1&gt;=Units!$Q21,MOD(AA$1-Units!$Q21,12)=0),IF(AND(Units!$L21=1,AA$1=Units!$Q21),1,Inputs!$B$15)*Inputs!$B$16*(1+Inputs!$B$11)^(AA$2-1),0)</f>
        <v>0</v>
      </c>
      <c r="AB22" s="11" t="n">
        <f aca="false">IF(AND(AB$1&gt;=Units!$Q21,MOD(AB$1-Units!$Q21,12)=0),IF(AND(Units!$L21=1,AB$1=Units!$Q21),1,Inputs!$B$15)*Inputs!$B$16*(1+Inputs!$B$11)^(AB$2-1),0)</f>
        <v>0</v>
      </c>
      <c r="AC22" s="11" t="n">
        <f aca="false">IF(AND(AC$1&gt;=Units!$Q21,MOD(AC$1-Units!$Q21,12)=0),IF(AND(Units!$L21=1,AC$1=Units!$Q21),1,Inputs!$B$15)*Inputs!$B$16*(1+Inputs!$B$11)^(AC$2-1),0)</f>
        <v>0</v>
      </c>
      <c r="AD22" s="11" t="n">
        <f aca="false">IF(AND(AD$1&gt;=Units!$Q21,MOD(AD$1-Units!$Q21,12)=0),IF(AND(Units!$L21=1,AD$1=Units!$Q21),1,Inputs!$B$15)*Inputs!$B$16*(1+Inputs!$B$11)^(AD$2-1),0)</f>
        <v>0</v>
      </c>
      <c r="AE22" s="11" t="n">
        <f aca="false">IF(AND(AE$1&gt;=Units!$Q21,MOD(AE$1-Units!$Q21,12)=0),IF(AND(Units!$L21=1,AE$1=Units!$Q21),1,Inputs!$B$15)*Inputs!$B$16*(1+Inputs!$B$11)^(AE$2-1),0)</f>
        <v>0</v>
      </c>
      <c r="AF22" s="11" t="n">
        <f aca="false">IF(AND(AF$1&gt;=Units!$Q21,MOD(AF$1-Units!$Q21,12)=0),IF(AND(Units!$L21=1,AF$1=Units!$Q21),1,Inputs!$B$15)*Inputs!$B$16*(1+Inputs!$B$11)^(AF$2-1),0)</f>
        <v>0</v>
      </c>
      <c r="AG22" s="11" t="n">
        <f aca="false">IF(AND(AG$1&gt;=Units!$Q21,MOD(AG$1-Units!$Q21,12)=0),IF(AND(Units!$L21=1,AG$1=Units!$Q21),1,Inputs!$B$15)*Inputs!$B$16*(1+Inputs!$B$11)^(AG$2-1),0)</f>
        <v>0</v>
      </c>
      <c r="AH22" s="11" t="n">
        <f aca="false">IF(AND(AH$1&gt;=Units!$Q21,MOD(AH$1-Units!$Q21,12)=0),IF(AND(Units!$L21=1,AH$1=Units!$Q21),1,Inputs!$B$15)*Inputs!$B$16*(1+Inputs!$B$11)^(AH$2-1),0)</f>
        <v>0</v>
      </c>
      <c r="AI22" s="11" t="n">
        <f aca="false">IF(AND(AI$1&gt;=Units!$Q21,MOD(AI$1-Units!$Q21,12)=0),IF(AND(Units!$L21=1,AI$1=Units!$Q21),1,Inputs!$B$15)*Inputs!$B$16*(1+Inputs!$B$11)^(AI$2-1),0)</f>
        <v>530.45</v>
      </c>
      <c r="AJ22" s="11" t="n">
        <f aca="false">IF(AND(AJ$1&gt;=Units!$Q21,MOD(AJ$1-Units!$Q21,12)=0),IF(AND(Units!$L21=1,AJ$1=Units!$Q21),1,Inputs!$B$15)*Inputs!$B$16*(1+Inputs!$B$11)^(AJ$2-1),0)</f>
        <v>0</v>
      </c>
      <c r="AK22" s="11" t="n">
        <f aca="false">IF(AND(AK$1&gt;=Units!$Q21,MOD(AK$1-Units!$Q21,12)=0),IF(AND(Units!$L21=1,AK$1=Units!$Q21),1,Inputs!$B$15)*Inputs!$B$16*(1+Inputs!$B$11)^(AK$2-1),0)</f>
        <v>0</v>
      </c>
      <c r="AL22" s="11" t="n">
        <f aca="false">IF(AND(AL$1&gt;=Units!$Q21,MOD(AL$1-Units!$Q21,12)=0),IF(AND(Units!$L21=1,AL$1=Units!$Q21),1,Inputs!$B$15)*Inputs!$B$16*(1+Inputs!$B$11)^(AL$2-1),0)</f>
        <v>0</v>
      </c>
      <c r="AM22" s="11" t="n">
        <f aca="false">IF(AND(AM$1&gt;=Units!$Q21,MOD(AM$1-Units!$Q21,12)=0),IF(AND(Units!$L21=1,AM$1=Units!$Q21),1,Inputs!$B$15)*Inputs!$B$16*(1+Inputs!$B$11)^(AM$2-1),0)</f>
        <v>0</v>
      </c>
      <c r="AN22" s="11" t="n">
        <f aca="false">IF(AND(AN$1&gt;=Units!$Q21,MOD(AN$1-Units!$Q21,12)=0),IF(AND(Units!$L21=1,AN$1=Units!$Q21),1,Inputs!$B$15)*Inputs!$B$16*(1+Inputs!$B$11)^(AN$2-1),0)</f>
        <v>0</v>
      </c>
      <c r="AO22" s="11" t="n">
        <f aca="false">IF(AND(AO$1&gt;=Units!$Q21,MOD(AO$1-Units!$Q21,12)=0),IF(AND(Units!$L21=1,AO$1=Units!$Q21),1,Inputs!$B$15)*Inputs!$B$16*(1+Inputs!$B$11)^(AO$2-1),0)</f>
        <v>0</v>
      </c>
      <c r="AP22" s="11" t="n">
        <f aca="false">IF(AND(AP$1&gt;=Units!$Q21,MOD(AP$1-Units!$Q21,12)=0),IF(AND(Units!$L21=1,AP$1=Units!$Q21),1,Inputs!$B$15)*Inputs!$B$16*(1+Inputs!$B$11)^(AP$2-1),0)</f>
        <v>0</v>
      </c>
      <c r="AQ22" s="11" t="n">
        <f aca="false">IF(AND(AQ$1&gt;=Units!$Q21,MOD(AQ$1-Units!$Q21,12)=0),IF(AND(Units!$L21=1,AQ$1=Units!$Q21),1,Inputs!$B$15)*Inputs!$B$16*(1+Inputs!$B$11)^(AQ$2-1),0)</f>
        <v>0</v>
      </c>
      <c r="AR22" s="11" t="n">
        <f aca="false">IF(AND(AR$1&gt;=Units!$Q21,MOD(AR$1-Units!$Q21,12)=0),IF(AND(Units!$L21=1,AR$1=Units!$Q21),1,Inputs!$B$15)*Inputs!$B$16*(1+Inputs!$B$11)^(AR$2-1),0)</f>
        <v>0</v>
      </c>
      <c r="AS22" s="11" t="n">
        <f aca="false">IF(AND(AS$1&gt;=Units!$Q21,MOD(AS$1-Units!$Q21,12)=0),IF(AND(Units!$L21=1,AS$1=Units!$Q21),1,Inputs!$B$15)*Inputs!$B$16*(1+Inputs!$B$11)^(AS$2-1),0)</f>
        <v>0</v>
      </c>
      <c r="AT22" s="11" t="n">
        <f aca="false">IF(AND(AT$1&gt;=Units!$Q21,MOD(AT$1-Units!$Q21,12)=0),IF(AND(Units!$L21=1,AT$1=Units!$Q21),1,Inputs!$B$15)*Inputs!$B$16*(1+Inputs!$B$11)^(AT$2-1),0)</f>
        <v>0</v>
      </c>
      <c r="AU22" s="11" t="n">
        <f aca="false">IF(AND(AU$1&gt;=Units!$Q21,MOD(AU$1-Units!$Q21,12)=0),IF(AND(Units!$L21=1,AU$1=Units!$Q21),1,Inputs!$B$15)*Inputs!$B$16*(1+Inputs!$B$11)^(AU$2-1),0)</f>
        <v>546.3635</v>
      </c>
      <c r="AV22" s="11" t="n">
        <f aca="false">IF(AND(AV$1&gt;=Units!$Q21,MOD(AV$1-Units!$Q21,12)=0),IF(AND(Units!$L21=1,AV$1=Units!$Q21),1,Inputs!$B$15)*Inputs!$B$16*(1+Inputs!$B$11)^(AV$2-1),0)</f>
        <v>0</v>
      </c>
      <c r="AW22" s="11" t="n">
        <f aca="false">IF(AND(AW$1&gt;=Units!$Q21,MOD(AW$1-Units!$Q21,12)=0),IF(AND(Units!$L21=1,AW$1=Units!$Q21),1,Inputs!$B$15)*Inputs!$B$16*(1+Inputs!$B$11)^(AW$2-1),0)</f>
        <v>0</v>
      </c>
      <c r="AX22" s="11" t="n">
        <f aca="false">IF(AND(AX$1&gt;=Units!$Q21,MOD(AX$1-Units!$Q21,12)=0),IF(AND(Units!$L21=1,AX$1=Units!$Q21),1,Inputs!$B$15)*Inputs!$B$16*(1+Inputs!$B$11)^(AX$2-1),0)</f>
        <v>0</v>
      </c>
      <c r="AY22" s="11" t="n">
        <f aca="false">IF(AND(AY$1&gt;=Units!$Q21,MOD(AY$1-Units!$Q21,12)=0),IF(AND(Units!$L21=1,AY$1=Units!$Q21),1,Inputs!$B$15)*Inputs!$B$16*(1+Inputs!$B$11)^(AY$2-1),0)</f>
        <v>0</v>
      </c>
      <c r="AZ22" s="11" t="n">
        <f aca="false">IF(AND(AZ$1&gt;=Units!$Q21,MOD(AZ$1-Units!$Q21,12)=0),IF(AND(Units!$L21=1,AZ$1=Units!$Q21),1,Inputs!$B$15)*Inputs!$B$16*(1+Inputs!$B$11)^(AZ$2-1),0)</f>
        <v>0</v>
      </c>
      <c r="BA22" s="11" t="n">
        <f aca="false">IF(AND(BA$1&gt;=Units!$Q21,MOD(BA$1-Units!$Q21,12)=0),IF(AND(Units!$L21=1,BA$1=Units!$Q21),1,Inputs!$B$15)*Inputs!$B$16*(1+Inputs!$B$11)^(BA$2-1),0)</f>
        <v>0</v>
      </c>
      <c r="BB22" s="11" t="n">
        <f aca="false">IF(AND(BB$1&gt;=Units!$Q21,MOD(BB$1-Units!$Q21,12)=0),IF(AND(Units!$L21=1,BB$1=Units!$Q21),1,Inputs!$B$15)*Inputs!$B$16*(1+Inputs!$B$11)^(BB$2-1),0)</f>
        <v>0</v>
      </c>
      <c r="BC22" s="11" t="n">
        <f aca="false">IF(AND(BC$1&gt;=Units!$Q21,MOD(BC$1-Units!$Q21,12)=0),IF(AND(Units!$L21=1,BC$1=Units!$Q21),1,Inputs!$B$15)*Inputs!$B$16*(1+Inputs!$B$11)^(BC$2-1),0)</f>
        <v>0</v>
      </c>
      <c r="BD22" s="11" t="n">
        <f aca="false">IF(AND(BD$1&gt;=Units!$Q21,MOD(BD$1-Units!$Q21,12)=0),IF(AND(Units!$L21=1,BD$1=Units!$Q21),1,Inputs!$B$15)*Inputs!$B$16*(1+Inputs!$B$11)^(BD$2-1),0)</f>
        <v>0</v>
      </c>
      <c r="BE22" s="11" t="n">
        <f aca="false">IF(AND(BE$1&gt;=Units!$Q21,MOD(BE$1-Units!$Q21,12)=0),IF(AND(Units!$L21=1,BE$1=Units!$Q21),1,Inputs!$B$15)*Inputs!$B$16*(1+Inputs!$B$11)^(BE$2-1),0)</f>
        <v>0</v>
      </c>
      <c r="BF22" s="11" t="n">
        <f aca="false">IF(AND(BF$1&gt;=Units!$Q21,MOD(BF$1-Units!$Q21,12)=0),IF(AND(Units!$L21=1,BF$1=Units!$Q21),1,Inputs!$B$15)*Inputs!$B$16*(1+Inputs!$B$11)^(BF$2-1),0)</f>
        <v>0</v>
      </c>
      <c r="BG22" s="11" t="n">
        <f aca="false">IF(AND(BG$1&gt;=Units!$Q21,MOD(BG$1-Units!$Q21,12)=0),IF(AND(Units!$L21=1,BG$1=Units!$Q21),1,Inputs!$B$15)*Inputs!$B$16*(1+Inputs!$B$11)^(BG$2-1),0)</f>
        <v>562.754405</v>
      </c>
      <c r="BH22" s="11" t="n">
        <f aca="false">IF(AND(BH$1&gt;=Units!$Q21,MOD(BH$1-Units!$Q21,12)=0),IF(AND(Units!$L21=1,BH$1=Units!$Q21),1,Inputs!$B$15)*Inputs!$B$16*(1+Inputs!$B$11)^(BH$2-1),0)</f>
        <v>0</v>
      </c>
      <c r="BI22" s="11" t="n">
        <f aca="false">IF(AND(BI$1&gt;=Units!$Q21,MOD(BI$1-Units!$Q21,12)=0),IF(AND(Units!$L21=1,BI$1=Units!$Q21),1,Inputs!$B$15)*Inputs!$B$16*(1+Inputs!$B$11)^(BI$2-1),0)</f>
        <v>0</v>
      </c>
      <c r="BJ22" s="11" t="n">
        <f aca="false">IF(AND(BJ$1&gt;=Units!$Q21,MOD(BJ$1-Units!$Q21,12)=0),IF(AND(Units!$L21=1,BJ$1=Units!$Q21),1,Inputs!$B$15)*Inputs!$B$16*(1+Inputs!$B$11)^(BJ$2-1),0)</f>
        <v>0</v>
      </c>
      <c r="BK22" s="11" t="n">
        <f aca="false">IF(AND(BK$1&gt;=Units!$Q21,MOD(BK$1-Units!$Q21,12)=0),IF(AND(Units!$L21=1,BK$1=Units!$Q21),1,Inputs!$B$15)*Inputs!$B$16*(1+Inputs!$B$11)^(BK$2-1),0)</f>
        <v>0</v>
      </c>
      <c r="BL22" s="11" t="n">
        <f aca="false">IF(AND(BL$1&gt;=Units!$Q21,MOD(BL$1-Units!$Q21,12)=0),IF(AND(Units!$L21=1,BL$1=Units!$Q21),1,Inputs!$B$15)*Inputs!$B$16*(1+Inputs!$B$11)^(BL$2-1),0)</f>
        <v>0</v>
      </c>
      <c r="BM22" s="11" t="n">
        <f aca="false">IF(AND(BM$1&gt;=Units!$Q21,MOD(BM$1-Units!$Q21,12)=0),IF(AND(Units!$L21=1,BM$1=Units!$Q21),1,Inputs!$B$15)*Inputs!$B$16*(1+Inputs!$B$11)^(BM$2-1),0)</f>
        <v>0</v>
      </c>
      <c r="BN22" s="11" t="n">
        <f aca="false">IF(AND(BN$1&gt;=Units!$Q21,MOD(BN$1-Units!$Q21,12)=0),IF(AND(Units!$L21=1,BN$1=Units!$Q21),1,Inputs!$B$15)*Inputs!$B$16*(1+Inputs!$B$11)^(BN$2-1),0)</f>
        <v>0</v>
      </c>
      <c r="BO22" s="11" t="n">
        <f aca="false">IF(AND(BO$1&gt;=Units!$Q21,MOD(BO$1-Units!$Q21,12)=0),IF(AND(Units!$L21=1,BO$1=Units!$Q21),1,Inputs!$B$15)*Inputs!$B$16*(1+Inputs!$B$11)^(BO$2-1),0)</f>
        <v>0</v>
      </c>
      <c r="BP22" s="11" t="n">
        <f aca="false">IF(AND(BP$1&gt;=Units!$Q21,MOD(BP$1-Units!$Q21,12)=0),IF(AND(Units!$L21=1,BP$1=Units!$Q21),1,Inputs!$B$15)*Inputs!$B$16*(1+Inputs!$B$11)^(BP$2-1),0)</f>
        <v>0</v>
      </c>
      <c r="BQ22" s="11" t="n">
        <f aca="false">IF(AND(BQ$1&gt;=Units!$Q21,MOD(BQ$1-Units!$Q21,12)=0),IF(AND(Units!$L21=1,BQ$1=Units!$Q21),1,Inputs!$B$15)*Inputs!$B$16*(1+Inputs!$B$11)^(BQ$2-1),0)</f>
        <v>0</v>
      </c>
      <c r="BR22" s="11" t="n">
        <f aca="false">IF(AND(BR$1&gt;=Units!$Q21,MOD(BR$1-Units!$Q21,12)=0),IF(AND(Units!$L21=1,BR$1=Units!$Q21),1,Inputs!$B$15)*Inputs!$B$16*(1+Inputs!$B$11)^(BR$2-1),0)</f>
        <v>0</v>
      </c>
      <c r="BS22" s="11" t="n">
        <f aca="false">IF(AND(BS$1&gt;=Units!$Q21,MOD(BS$1-Units!$Q21,12)=0),IF(AND(Units!$L21=1,BS$1=Units!$Q21),1,Inputs!$B$15)*Inputs!$B$16*(1+Inputs!$B$11)^(BS$2-1),0)</f>
        <v>579.63703715</v>
      </c>
      <c r="BT22" s="11" t="n">
        <f aca="false">IF(AND(BT$1&gt;=Units!$Q21,MOD(BT$1-Units!$Q21,12)=0),IF(AND(Units!$L21=1,BT$1=Units!$Q21),1,Inputs!$B$15)*Inputs!$B$16*(1+Inputs!$B$11)^(BT$2-1),0)</f>
        <v>0</v>
      </c>
      <c r="BU22" s="11" t="n">
        <f aca="false">IF(AND(BU$1&gt;=Units!$Q21,MOD(BU$1-Units!$Q21,12)=0),IF(AND(Units!$L21=1,BU$1=Units!$Q21),1,Inputs!$B$15)*Inputs!$B$16*(1+Inputs!$B$11)^(BU$2-1),0)</f>
        <v>0</v>
      </c>
      <c r="BV22" s="11" t="n">
        <f aca="false">IF(AND(BV$1&gt;=Units!$Q21,MOD(BV$1-Units!$Q21,12)=0),IF(AND(Units!$L21=1,BV$1=Units!$Q21),1,Inputs!$B$15)*Inputs!$B$16*(1+Inputs!$B$11)^(BV$2-1),0)</f>
        <v>0</v>
      </c>
      <c r="BW22" s="11" t="n">
        <f aca="false">IF(AND(BW$1&gt;=Units!$Q21,MOD(BW$1-Units!$Q21,12)=0),IF(AND(Units!$L21=1,BW$1=Units!$Q21),1,Inputs!$B$15)*Inputs!$B$16*(1+Inputs!$B$11)^(BW$2-1),0)</f>
        <v>0</v>
      </c>
      <c r="BX22" s="11" t="n">
        <f aca="false">IF(AND(BX$1&gt;=Units!$Q21,MOD(BX$1-Units!$Q21,12)=0),IF(AND(Units!$L21=1,BX$1=Units!$Q21),1,Inputs!$B$15)*Inputs!$B$16*(1+Inputs!$B$11)^(BX$2-1),0)</f>
        <v>0</v>
      </c>
      <c r="BY22" s="11" t="n">
        <f aca="false">IF(AND(BY$1&gt;=Units!$Q21,MOD(BY$1-Units!$Q21,12)=0),IF(AND(Units!$L21=1,BY$1=Units!$Q21),1,Inputs!$B$15)*Inputs!$B$16*(1+Inputs!$B$11)^(BY$2-1),0)</f>
        <v>0</v>
      </c>
      <c r="BZ22" s="11" t="n">
        <f aca="false">IF(AND(BZ$1&gt;=Units!$Q21,MOD(BZ$1-Units!$Q21,12)=0),IF(AND(Units!$L21=1,BZ$1=Units!$Q21),1,Inputs!$B$15)*Inputs!$B$16*(1+Inputs!$B$11)^(BZ$2-1),0)</f>
        <v>0</v>
      </c>
      <c r="CA22" s="11" t="n">
        <f aca="false">IF(AND(CA$1&gt;=Units!$Q21,MOD(CA$1-Units!$Q21,12)=0),IF(AND(Units!$L21=1,CA$1=Units!$Q21),1,Inputs!$B$15)*Inputs!$B$16*(1+Inputs!$B$11)^(CA$2-1),0)</f>
        <v>0</v>
      </c>
      <c r="CB22" s="11" t="n">
        <f aca="false">IF(AND(CB$1&gt;=Units!$Q21,MOD(CB$1-Units!$Q21,12)=0),IF(AND(Units!$L21=1,CB$1=Units!$Q21),1,Inputs!$B$15)*Inputs!$B$16*(1+Inputs!$B$11)^(CB$2-1),0)</f>
        <v>0</v>
      </c>
      <c r="CC22" s="11" t="n">
        <f aca="false">IF(AND(CC$1&gt;=Units!$Q21,MOD(CC$1-Units!$Q21,12)=0),IF(AND(Units!$L21=1,CC$1=Units!$Q21),1,Inputs!$B$15)*Inputs!$B$16*(1+Inputs!$B$11)^(CC$2-1),0)</f>
        <v>0</v>
      </c>
      <c r="CD22" s="11" t="n">
        <f aca="false">IF(AND(CD$1&gt;=Units!$Q21,MOD(CD$1-Units!$Q21,12)=0),IF(AND(Units!$L21=1,CD$1=Units!$Q21),1,Inputs!$B$15)*Inputs!$B$16*(1+Inputs!$B$11)^(CD$2-1),0)</f>
        <v>0</v>
      </c>
      <c r="CE22" s="11" t="n">
        <f aca="false">IF(AND(CE$1&gt;=Units!$Q21,MOD(CE$1-Units!$Q21,12)=0),IF(AND(Units!$L21=1,CE$1=Units!$Q21),1,Inputs!$B$15)*Inputs!$B$16*(1+Inputs!$B$11)^(CE$2-1),0)</f>
        <v>597.0261482645</v>
      </c>
      <c r="CF22" s="11" t="n">
        <f aca="false">IF(AND(CF$1&gt;=Units!$Q21,MOD(CF$1-Units!$Q21,12)=0),IF(AND(Units!$L21=1,CF$1=Units!$Q21),1,Inputs!$B$15)*Inputs!$B$16*(1+Inputs!$B$11)^(CF$2-1),0)</f>
        <v>0</v>
      </c>
      <c r="CG22" s="11" t="n">
        <f aca="false">IF(AND(CG$1&gt;=Units!$Q21,MOD(CG$1-Units!$Q21,12)=0),IF(AND(Units!$L21=1,CG$1=Units!$Q21),1,Inputs!$B$15)*Inputs!$B$16*(1+Inputs!$B$11)^(CG$2-1),0)</f>
        <v>0</v>
      </c>
      <c r="CH22" s="11" t="n">
        <f aca="false">IF(AND(CH$1&gt;=Units!$Q21,MOD(CH$1-Units!$Q21,12)=0),IF(AND(Units!$L21=1,CH$1=Units!$Q21),1,Inputs!$B$15)*Inputs!$B$16*(1+Inputs!$B$11)^(CH$2-1),0)</f>
        <v>0</v>
      </c>
      <c r="CI22" s="11" t="n">
        <f aca="false">IF(AND(CI$1&gt;=Units!$Q21,MOD(CI$1-Units!$Q21,12)=0),IF(AND(Units!$L21=1,CI$1=Units!$Q21),1,Inputs!$B$15)*Inputs!$B$16*(1+Inputs!$B$11)^(CI$2-1),0)</f>
        <v>0</v>
      </c>
      <c r="CJ22" s="11" t="n">
        <f aca="false">IF(AND(CJ$1&gt;=Units!$Q21,MOD(CJ$1-Units!$Q21,12)=0),IF(AND(Units!$L21=1,CJ$1=Units!$Q21),1,Inputs!$B$15)*Inputs!$B$16*(1+Inputs!$B$11)^(CJ$2-1),0)</f>
        <v>0</v>
      </c>
      <c r="CK22" s="11" t="n">
        <f aca="false">IF(AND(CK$1&gt;=Units!$Q21,MOD(CK$1-Units!$Q21,12)=0),IF(AND(Units!$L21=1,CK$1=Units!$Q21),1,Inputs!$B$15)*Inputs!$B$16*(1+Inputs!$B$11)^(CK$2-1),0)</f>
        <v>0</v>
      </c>
      <c r="CL22" s="11" t="n">
        <f aca="false">IF(AND(CL$1&gt;=Units!$Q21,MOD(CL$1-Units!$Q21,12)=0),IF(AND(Units!$L21=1,CL$1=Units!$Q21),1,Inputs!$B$15)*Inputs!$B$16*(1+Inputs!$B$11)^(CL$2-1),0)</f>
        <v>0</v>
      </c>
      <c r="CM22" s="11" t="n">
        <f aca="false">IF(AND(CM$1&gt;=Units!$Q21,MOD(CM$1-Units!$Q21,12)=0),IF(AND(Units!$L21=1,CM$1=Units!$Q21),1,Inputs!$B$15)*Inputs!$B$16*(1+Inputs!$B$11)^(CM$2-1),0)</f>
        <v>0</v>
      </c>
      <c r="CN22" s="11" t="n">
        <f aca="false">IF(AND(CN$1&gt;=Units!$Q21,MOD(CN$1-Units!$Q21,12)=0),IF(AND(Units!$L21=1,CN$1=Units!$Q21),1,Inputs!$B$15)*Inputs!$B$16*(1+Inputs!$B$11)^(CN$2-1),0)</f>
        <v>0</v>
      </c>
      <c r="CO22" s="11" t="n">
        <f aca="false">IF(AND(CO$1&gt;=Units!$Q21,MOD(CO$1-Units!$Q21,12)=0),IF(AND(Units!$L21=1,CO$1=Units!$Q21),1,Inputs!$B$15)*Inputs!$B$16*(1+Inputs!$B$11)^(CO$2-1),0)</f>
        <v>0</v>
      </c>
      <c r="CP22" s="11" t="n">
        <f aca="false">IF(AND(CP$1&gt;=Units!$Q21,MOD(CP$1-Units!$Q21,12)=0),IF(AND(Units!$L21=1,CP$1=Units!$Q21),1,Inputs!$B$15)*Inputs!$B$16*(1+Inputs!$B$11)^(CP$2-1),0)</f>
        <v>0</v>
      </c>
      <c r="CQ22" s="11" t="n">
        <f aca="false">IF(AND(CQ$1&gt;=Units!$Q21,MOD(CQ$1-Units!$Q21,12)=0),IF(AND(Units!$L21=1,CQ$1=Units!$Q21),1,Inputs!$B$15)*Inputs!$B$16*(1+Inputs!$B$11)^(CQ$2-1),0)</f>
        <v>614.936932712435</v>
      </c>
      <c r="CR22" s="11" t="n">
        <f aca="false">IF(AND(CR$1&gt;=Units!$Q21,MOD(CR$1-Units!$Q21,12)=0),IF(AND(Units!$L21=1,CR$1=Units!$Q21),1,Inputs!$B$15)*Inputs!$B$16*(1+Inputs!$B$11)^(CR$2-1),0)</f>
        <v>0</v>
      </c>
      <c r="CS22" s="11" t="n">
        <f aca="false">IF(AND(CS$1&gt;=Units!$Q21,MOD(CS$1-Units!$Q21,12)=0),IF(AND(Units!$L21=1,CS$1=Units!$Q21),1,Inputs!$B$15)*Inputs!$B$16*(1+Inputs!$B$11)^(CS$2-1),0)</f>
        <v>0</v>
      </c>
      <c r="CT22" s="11" t="n">
        <f aca="false">IF(AND(CT$1&gt;=Units!$Q21,MOD(CT$1-Units!$Q21,12)=0),IF(AND(Units!$L21=1,CT$1=Units!$Q21),1,Inputs!$B$15)*Inputs!$B$16*(1+Inputs!$B$11)^(CT$2-1),0)</f>
        <v>0</v>
      </c>
      <c r="CU22" s="11" t="n">
        <f aca="false">IF(AND(CU$1&gt;=Units!$Q21,MOD(CU$1-Units!$Q21,12)=0),IF(AND(Units!$L21=1,CU$1=Units!$Q21),1,Inputs!$B$15)*Inputs!$B$16*(1+Inputs!$B$11)^(CU$2-1),0)</f>
        <v>0</v>
      </c>
      <c r="CV22" s="11" t="n">
        <f aca="false">IF(AND(CV$1&gt;=Units!$Q21,MOD(CV$1-Units!$Q21,12)=0),IF(AND(Units!$L21=1,CV$1=Units!$Q21),1,Inputs!$B$15)*Inputs!$B$16*(1+Inputs!$B$11)^(CV$2-1),0)</f>
        <v>0</v>
      </c>
      <c r="CW22" s="11" t="n">
        <f aca="false">IF(AND(CW$1&gt;=Units!$Q21,MOD(CW$1-Units!$Q21,12)=0),IF(AND(Units!$L21=1,CW$1=Units!$Q21),1,Inputs!$B$15)*Inputs!$B$16*(1+Inputs!$B$11)^(CW$2-1),0)</f>
        <v>0</v>
      </c>
      <c r="CX22" s="11" t="n">
        <f aca="false">IF(AND(CX$1&gt;=Units!$Q21,MOD(CX$1-Units!$Q21,12)=0),IF(AND(Units!$L21=1,CX$1=Units!$Q21),1,Inputs!$B$15)*Inputs!$B$16*(1+Inputs!$B$11)^(CX$2-1),0)</f>
        <v>0</v>
      </c>
      <c r="CY22" s="11" t="n">
        <f aca="false">IF(AND(CY$1&gt;=Units!$Q21,MOD(CY$1-Units!$Q21,12)=0),IF(AND(Units!$L21=1,CY$1=Units!$Q21),1,Inputs!$B$15)*Inputs!$B$16*(1+Inputs!$B$11)^(CY$2-1),0)</f>
        <v>0</v>
      </c>
      <c r="CZ22" s="11" t="n">
        <f aca="false">IF(AND(CZ$1&gt;=Units!$Q21,MOD(CZ$1-Units!$Q21,12)=0),IF(AND(Units!$L21=1,CZ$1=Units!$Q21),1,Inputs!$B$15)*Inputs!$B$16*(1+Inputs!$B$11)^(CZ$2-1),0)</f>
        <v>0</v>
      </c>
      <c r="DA22" s="11" t="n">
        <f aca="false">IF(AND(DA$1&gt;=Units!$Q21,MOD(DA$1-Units!$Q21,12)=0),IF(AND(Units!$L21=1,DA$1=Units!$Q21),1,Inputs!$B$15)*Inputs!$B$16*(1+Inputs!$B$11)^(DA$2-1),0)</f>
        <v>0</v>
      </c>
      <c r="DB22" s="11" t="n">
        <f aca="false">IF(AND(DB$1&gt;=Units!$Q21,MOD(DB$1-Units!$Q21,12)=0),IF(AND(Units!$L21=1,DB$1=Units!$Q21),1,Inputs!$B$15)*Inputs!$B$16*(1+Inputs!$B$11)^(DB$2-1),0)</f>
        <v>0</v>
      </c>
      <c r="DC22" s="11" t="n">
        <f aca="false">IF(AND(DC$1&gt;=Units!$Q21,MOD(DC$1-Units!$Q21,12)=0),IF(AND(Units!$L21=1,DC$1=Units!$Q21),1,Inputs!$B$15)*Inputs!$B$16*(1+Inputs!$B$11)^(DC$2-1),0)</f>
        <v>633.385040693808</v>
      </c>
      <c r="DD22" s="11" t="n">
        <f aca="false">IF(AND(DD$1&gt;=Units!$Q21,MOD(DD$1-Units!$Q21,12)=0),IF(AND(Units!$L21=1,DD$1=Units!$Q21),1,Inputs!$B$15)*Inputs!$B$16*(1+Inputs!$B$11)^(DD$2-1),0)</f>
        <v>0</v>
      </c>
      <c r="DE22" s="11" t="n">
        <f aca="false">IF(AND(DE$1&gt;=Units!$Q21,MOD(DE$1-Units!$Q21,12)=0),IF(AND(Units!$L21=1,DE$1=Units!$Q21),1,Inputs!$B$15)*Inputs!$B$16*(1+Inputs!$B$11)^(DE$2-1),0)</f>
        <v>0</v>
      </c>
      <c r="DF22" s="11" t="n">
        <f aca="false">IF(AND(DF$1&gt;=Units!$Q21,MOD(DF$1-Units!$Q21,12)=0),IF(AND(Units!$L21=1,DF$1=Units!$Q21),1,Inputs!$B$15)*Inputs!$B$16*(1+Inputs!$B$11)^(DF$2-1),0)</f>
        <v>0</v>
      </c>
      <c r="DG22" s="11" t="n">
        <f aca="false">IF(AND(DG$1&gt;=Units!$Q21,MOD(DG$1-Units!$Q21,12)=0),IF(AND(Units!$L21=1,DG$1=Units!$Q21),1,Inputs!$B$15)*Inputs!$B$16*(1+Inputs!$B$11)^(DG$2-1),0)</f>
        <v>0</v>
      </c>
      <c r="DH22" s="11" t="n">
        <f aca="false">IF(AND(DH$1&gt;=Units!$Q21,MOD(DH$1-Units!$Q21,12)=0),IF(AND(Units!$L21=1,DH$1=Units!$Q21),1,Inputs!$B$15)*Inputs!$B$16*(1+Inputs!$B$11)^(DH$2-1),0)</f>
        <v>0</v>
      </c>
      <c r="DI22" s="11" t="n">
        <f aca="false">IF(AND(DI$1&gt;=Units!$Q21,MOD(DI$1-Units!$Q21,12)=0),IF(AND(Units!$L21=1,DI$1=Units!$Q21),1,Inputs!$B$15)*Inputs!$B$16*(1+Inputs!$B$11)^(DI$2-1),0)</f>
        <v>0</v>
      </c>
      <c r="DJ22" s="11" t="n">
        <f aca="false">IF(AND(DJ$1&gt;=Units!$Q21,MOD(DJ$1-Units!$Q21,12)=0),IF(AND(Units!$L21=1,DJ$1=Units!$Q21),1,Inputs!$B$15)*Inputs!$B$16*(1+Inputs!$B$11)^(DJ$2-1),0)</f>
        <v>0</v>
      </c>
      <c r="DK22" s="11" t="n">
        <f aca="false">IF(AND(DK$1&gt;=Units!$Q21,MOD(DK$1-Units!$Q21,12)=0),IF(AND(Units!$L21=1,DK$1=Units!$Q21),1,Inputs!$B$15)*Inputs!$B$16*(1+Inputs!$B$11)^(DK$2-1),0)</f>
        <v>0</v>
      </c>
      <c r="DL22" s="11" t="n">
        <f aca="false">IF(AND(DL$1&gt;=Units!$Q21,MOD(DL$1-Units!$Q21,12)=0),IF(AND(Units!$L21=1,DL$1=Units!$Q21),1,Inputs!$B$15)*Inputs!$B$16*(1+Inputs!$B$11)^(DL$2-1),0)</f>
        <v>0</v>
      </c>
      <c r="DM22" s="11" t="n">
        <f aca="false">IF(AND(DM$1&gt;=Units!$Q21,MOD(DM$1-Units!$Q21,12)=0),IF(AND(Units!$L21=1,DM$1=Units!$Q21),1,Inputs!$B$15)*Inputs!$B$16*(1+Inputs!$B$11)^(DM$2-1),0)</f>
        <v>0</v>
      </c>
      <c r="DN22" s="11" t="n">
        <f aca="false">IF(AND(DN$1&gt;=Units!$Q21,MOD(DN$1-Units!$Q21,12)=0),IF(AND(Units!$L21=1,DN$1=Units!$Q21),1,Inputs!$B$15)*Inputs!$B$16*(1+Inputs!$B$11)^(DN$2-1),0)</f>
        <v>0</v>
      </c>
      <c r="DO22" s="11" t="n">
        <f aca="false">IF(AND(DO$1&gt;=Units!$Q21,MOD(DO$1-Units!$Q21,12)=0),IF(AND(Units!$L21=1,DO$1=Units!$Q21),1,Inputs!$B$15)*Inputs!$B$16*(1+Inputs!$B$11)^(DO$2-1),0)</f>
        <v>652.386591914623</v>
      </c>
      <c r="DP22" s="11" t="n">
        <f aca="false">IF(AND(DP$1&gt;=Units!$Q21,MOD(DP$1-Units!$Q21,12)=0),IF(AND(Units!$L21=1,DP$1=Units!$Q21),1,Inputs!$B$15)*Inputs!$B$16*(1+Inputs!$B$11)^(DP$2-1),0)</f>
        <v>0</v>
      </c>
      <c r="DQ22" s="11" t="n">
        <f aca="false">IF(AND(DQ$1&gt;=Units!$Q21,MOD(DQ$1-Units!$Q21,12)=0),IF(AND(Units!$L21=1,DQ$1=Units!$Q21),1,Inputs!$B$15)*Inputs!$B$16*(1+Inputs!$B$11)^(DQ$2-1),0)</f>
        <v>0</v>
      </c>
      <c r="DR22" s="11" t="n">
        <f aca="false">IF(AND(DR$1&gt;=Units!$Q21,MOD(DR$1-Units!$Q21,12)=0),IF(AND(Units!$L21=1,DR$1=Units!$Q21),1,Inputs!$B$15)*Inputs!$B$16*(1+Inputs!$B$11)^(DR$2-1),0)</f>
        <v>0</v>
      </c>
      <c r="DS22" s="11" t="n">
        <f aca="false">IF(AND(DS$1&gt;=Units!$Q21,MOD(DS$1-Units!$Q21,12)=0),IF(AND(Units!$L21=1,DS$1=Units!$Q21),1,Inputs!$B$15)*Inputs!$B$16*(1+Inputs!$B$11)^(DS$2-1),0)</f>
        <v>0</v>
      </c>
      <c r="DT22" s="11" t="n">
        <f aca="false">IF(AND(DT$1&gt;=Units!$Q21,MOD(DT$1-Units!$Q21,12)=0),IF(AND(Units!$L21=1,DT$1=Units!$Q21),1,Inputs!$B$15)*Inputs!$B$16*(1+Inputs!$B$11)^(DT$2-1),0)</f>
        <v>0</v>
      </c>
      <c r="DU22" s="11" t="n">
        <f aca="false">IF(AND(DU$1&gt;=Units!$Q21,MOD(DU$1-Units!$Q21,12)=0),IF(AND(Units!$L21=1,DU$1=Units!$Q21),1,Inputs!$B$15)*Inputs!$B$16*(1+Inputs!$B$11)^(DU$2-1),0)</f>
        <v>0</v>
      </c>
      <c r="DV22" s="11" t="n">
        <f aca="false">IF(AND(DV$1&gt;=Units!$Q21,MOD(DV$1-Units!$Q21,12)=0),IF(AND(Units!$L21=1,DV$1=Units!$Q21),1,Inputs!$B$15)*Inputs!$B$16*(1+Inputs!$B$11)^(DV$2-1),0)</f>
        <v>0</v>
      </c>
      <c r="DW22" s="11" t="n">
        <f aca="false">IF(AND(DW$1&gt;=Units!$Q21,MOD(DW$1-Units!$Q21,12)=0),IF(AND(Units!$L21=1,DW$1=Units!$Q21),1,Inputs!$B$15)*Inputs!$B$16*(1+Inputs!$B$11)^(DW$2-1),0)</f>
        <v>0</v>
      </c>
      <c r="DX22" s="11" t="n">
        <f aca="false">IF(AND(DX$1&gt;=Units!$Q21,MOD(DX$1-Units!$Q21,12)=0),IF(AND(Units!$L21=1,DX$1=Units!$Q21),1,Inputs!$B$15)*Inputs!$B$16*(1+Inputs!$B$11)^(DX$2-1),0)</f>
        <v>0</v>
      </c>
      <c r="DY22" s="11" t="n">
        <f aca="false">IF(AND(DY$1&gt;=Units!$Q21,MOD(DY$1-Units!$Q21,12)=0),IF(AND(Units!$L21=1,DY$1=Units!$Q21),1,Inputs!$B$15)*Inputs!$B$16*(1+Inputs!$B$11)^(DY$2-1),0)</f>
        <v>0</v>
      </c>
      <c r="DZ22" s="11" t="n">
        <f aca="false">IF(AND(DZ$1&gt;=Units!$Q21,MOD(DZ$1-Units!$Q21,12)=0),IF(AND(Units!$L21=1,DZ$1=Units!$Q21),1,Inputs!$B$15)*Inputs!$B$16*(1+Inputs!$B$11)^(DZ$2-1),0)</f>
        <v>0</v>
      </c>
      <c r="EA22" s="11" t="n">
        <f aca="false">IF(AND(EA$1&gt;=Units!$Q21,MOD(EA$1-Units!$Q21,12)=0),IF(AND(Units!$L21=1,EA$1=Units!$Q21),1,Inputs!$B$15)*Inputs!$B$16*(1+Inputs!$B$11)^(EA$2-1),0)</f>
        <v>671.958189672061</v>
      </c>
      <c r="EB22" s="11" t="n">
        <f aca="false">IF(AND(EB$1&gt;=Units!$Q21,MOD(EB$1-Units!$Q21,12)=0),IF(AND(Units!$L21=1,EB$1=Units!$Q21),1,Inputs!$B$15)*Inputs!$B$16*(1+Inputs!$B$11)^(EB$2-1),0)</f>
        <v>0</v>
      </c>
      <c r="EC22" s="11" t="n">
        <f aca="false">IF(AND(EC$1&gt;=Units!$Q21,MOD(EC$1-Units!$Q21,12)=0),IF(AND(Units!$L21=1,EC$1=Units!$Q21),1,Inputs!$B$15)*Inputs!$B$16*(1+Inputs!$B$11)^(EC$2-1),0)</f>
        <v>0</v>
      </c>
      <c r="ED22" s="11" t="n">
        <f aca="false">IF(AND(ED$1&gt;=Units!$Q21,MOD(ED$1-Units!$Q21,12)=0),IF(AND(Units!$L21=1,ED$1=Units!$Q21),1,Inputs!$B$15)*Inputs!$B$16*(1+Inputs!$B$11)^(ED$2-1),0)</f>
        <v>0</v>
      </c>
    </row>
    <row r="23" customFormat="false" ht="15" hidden="false" customHeight="false" outlineLevel="0" collapsed="false">
      <c r="A23" s="22" t="n">
        <f aca="false">Units!A22</f>
        <v>121</v>
      </c>
      <c r="B23" s="23"/>
      <c r="C23" s="11" t="n">
        <f aca="false">IF(AND(C$1&gt;=Units!$Q22,MOD(C$1-Units!$Q22,12)=0),IF(AND(Units!$L22=1,C$1=Units!$Q22),1,Inputs!$B$15)*Inputs!$B$16*(1+Inputs!$B$11)^(C$2-1),0)</f>
        <v>0</v>
      </c>
      <c r="D23" s="11" t="n">
        <f aca="false">IF(AND(D$1&gt;=Units!$Q22,MOD(D$1-Units!$Q22,12)=0),IF(AND(Units!$L22=1,D$1=Units!$Q22),1,Inputs!$B$15)*Inputs!$B$16*(1+Inputs!$B$11)^(D$2-1),0)</f>
        <v>0</v>
      </c>
      <c r="E23" s="11" t="n">
        <f aca="false">IF(AND(E$1&gt;=Units!$Q22,MOD(E$1-Units!$Q22,12)=0),IF(AND(Units!$L22=1,E$1=Units!$Q22),1,Inputs!$B$15)*Inputs!$B$16*(1+Inputs!$B$11)^(E$2-1),0)</f>
        <v>500</v>
      </c>
      <c r="F23" s="11" t="n">
        <f aca="false">IF(AND(F$1&gt;=Units!$Q22,MOD(F$1-Units!$Q22,12)=0),IF(AND(Units!$L22=1,F$1=Units!$Q22),1,Inputs!$B$15)*Inputs!$B$16*(1+Inputs!$B$11)^(F$2-1),0)</f>
        <v>0</v>
      </c>
      <c r="G23" s="11" t="n">
        <f aca="false">IF(AND(G$1&gt;=Units!$Q22,MOD(G$1-Units!$Q22,12)=0),IF(AND(Units!$L22=1,G$1=Units!$Q22),1,Inputs!$B$15)*Inputs!$B$16*(1+Inputs!$B$11)^(G$2-1),0)</f>
        <v>0</v>
      </c>
      <c r="H23" s="11" t="n">
        <f aca="false">IF(AND(H$1&gt;=Units!$Q22,MOD(H$1-Units!$Q22,12)=0),IF(AND(Units!$L22=1,H$1=Units!$Q22),1,Inputs!$B$15)*Inputs!$B$16*(1+Inputs!$B$11)^(H$2-1),0)</f>
        <v>0</v>
      </c>
      <c r="I23" s="11" t="n">
        <f aca="false">IF(AND(I$1&gt;=Units!$Q22,MOD(I$1-Units!$Q22,12)=0),IF(AND(Units!$L22=1,I$1=Units!$Q22),1,Inputs!$B$15)*Inputs!$B$16*(1+Inputs!$B$11)^(I$2-1),0)</f>
        <v>0</v>
      </c>
      <c r="J23" s="11" t="n">
        <f aca="false">IF(AND(J$1&gt;=Units!$Q22,MOD(J$1-Units!$Q22,12)=0),IF(AND(Units!$L22=1,J$1=Units!$Q22),1,Inputs!$B$15)*Inputs!$B$16*(1+Inputs!$B$11)^(J$2-1),0)</f>
        <v>0</v>
      </c>
      <c r="K23" s="11" t="n">
        <f aca="false">IF(AND(K$1&gt;=Units!$Q22,MOD(K$1-Units!$Q22,12)=0),IF(AND(Units!$L22=1,K$1=Units!$Q22),1,Inputs!$B$15)*Inputs!$B$16*(1+Inputs!$B$11)^(K$2-1),0)</f>
        <v>0</v>
      </c>
      <c r="L23" s="11" t="n">
        <f aca="false">IF(AND(L$1&gt;=Units!$Q22,MOD(L$1-Units!$Q22,12)=0),IF(AND(Units!$L22=1,L$1=Units!$Q22),1,Inputs!$B$15)*Inputs!$B$16*(1+Inputs!$B$11)^(L$2-1),0)</f>
        <v>0</v>
      </c>
      <c r="M23" s="11" t="n">
        <f aca="false">IF(AND(M$1&gt;=Units!$Q22,MOD(M$1-Units!$Q22,12)=0),IF(AND(Units!$L22=1,M$1=Units!$Q22),1,Inputs!$B$15)*Inputs!$B$16*(1+Inputs!$B$11)^(M$2-1),0)</f>
        <v>0</v>
      </c>
      <c r="N23" s="11" t="n">
        <f aca="false">IF(AND(N$1&gt;=Units!$Q22,MOD(N$1-Units!$Q22,12)=0),IF(AND(Units!$L22=1,N$1=Units!$Q22),1,Inputs!$B$15)*Inputs!$B$16*(1+Inputs!$B$11)^(N$2-1),0)</f>
        <v>0</v>
      </c>
      <c r="O23" s="11" t="n">
        <f aca="false">IF(AND(O$1&gt;=Units!$Q22,MOD(O$1-Units!$Q22,12)=0),IF(AND(Units!$L22=1,O$1=Units!$Q22),1,Inputs!$B$15)*Inputs!$B$16*(1+Inputs!$B$11)^(O$2-1),0)</f>
        <v>0</v>
      </c>
      <c r="P23" s="11" t="n">
        <f aca="false">IF(AND(P$1&gt;=Units!$Q22,MOD(P$1-Units!$Q22,12)=0),IF(AND(Units!$L22=1,P$1=Units!$Q22),1,Inputs!$B$15)*Inputs!$B$16*(1+Inputs!$B$11)^(P$2-1),0)</f>
        <v>0</v>
      </c>
      <c r="Q23" s="11" t="n">
        <f aca="false">IF(AND(Q$1&gt;=Units!$Q22,MOD(Q$1-Units!$Q22,12)=0),IF(AND(Units!$L22=1,Q$1=Units!$Q22),1,Inputs!$B$15)*Inputs!$B$16*(1+Inputs!$B$11)^(Q$2-1),0)</f>
        <v>515</v>
      </c>
      <c r="R23" s="11" t="n">
        <f aca="false">IF(AND(R$1&gt;=Units!$Q22,MOD(R$1-Units!$Q22,12)=0),IF(AND(Units!$L22=1,R$1=Units!$Q22),1,Inputs!$B$15)*Inputs!$B$16*(1+Inputs!$B$11)^(R$2-1),0)</f>
        <v>0</v>
      </c>
      <c r="S23" s="11" t="n">
        <f aca="false">IF(AND(S$1&gt;=Units!$Q22,MOD(S$1-Units!$Q22,12)=0),IF(AND(Units!$L22=1,S$1=Units!$Q22),1,Inputs!$B$15)*Inputs!$B$16*(1+Inputs!$B$11)^(S$2-1),0)</f>
        <v>0</v>
      </c>
      <c r="T23" s="11" t="n">
        <f aca="false">IF(AND(T$1&gt;=Units!$Q22,MOD(T$1-Units!$Q22,12)=0),IF(AND(Units!$L22=1,T$1=Units!$Q22),1,Inputs!$B$15)*Inputs!$B$16*(1+Inputs!$B$11)^(T$2-1),0)</f>
        <v>0</v>
      </c>
      <c r="U23" s="11" t="n">
        <f aca="false">IF(AND(U$1&gt;=Units!$Q22,MOD(U$1-Units!$Q22,12)=0),IF(AND(Units!$L22=1,U$1=Units!$Q22),1,Inputs!$B$15)*Inputs!$B$16*(1+Inputs!$B$11)^(U$2-1),0)</f>
        <v>0</v>
      </c>
      <c r="V23" s="11" t="n">
        <f aca="false">IF(AND(V$1&gt;=Units!$Q22,MOD(V$1-Units!$Q22,12)=0),IF(AND(Units!$L22=1,V$1=Units!$Q22),1,Inputs!$B$15)*Inputs!$B$16*(1+Inputs!$B$11)^(V$2-1),0)</f>
        <v>0</v>
      </c>
      <c r="W23" s="11" t="n">
        <f aca="false">IF(AND(W$1&gt;=Units!$Q22,MOD(W$1-Units!$Q22,12)=0),IF(AND(Units!$L22=1,W$1=Units!$Q22),1,Inputs!$B$15)*Inputs!$B$16*(1+Inputs!$B$11)^(W$2-1),0)</f>
        <v>0</v>
      </c>
      <c r="X23" s="11" t="n">
        <f aca="false">IF(AND(X$1&gt;=Units!$Q22,MOD(X$1-Units!$Q22,12)=0),IF(AND(Units!$L22=1,X$1=Units!$Q22),1,Inputs!$B$15)*Inputs!$B$16*(1+Inputs!$B$11)^(X$2-1),0)</f>
        <v>0</v>
      </c>
      <c r="Y23" s="11" t="n">
        <f aca="false">IF(AND(Y$1&gt;=Units!$Q22,MOD(Y$1-Units!$Q22,12)=0),IF(AND(Units!$L22=1,Y$1=Units!$Q22),1,Inputs!$B$15)*Inputs!$B$16*(1+Inputs!$B$11)^(Y$2-1),0)</f>
        <v>0</v>
      </c>
      <c r="Z23" s="11" t="n">
        <f aca="false">IF(AND(Z$1&gt;=Units!$Q22,MOD(Z$1-Units!$Q22,12)=0),IF(AND(Units!$L22=1,Z$1=Units!$Q22),1,Inputs!$B$15)*Inputs!$B$16*(1+Inputs!$B$11)^(Z$2-1),0)</f>
        <v>0</v>
      </c>
      <c r="AA23" s="11" t="n">
        <f aca="false">IF(AND(AA$1&gt;=Units!$Q22,MOD(AA$1-Units!$Q22,12)=0),IF(AND(Units!$L22=1,AA$1=Units!$Q22),1,Inputs!$B$15)*Inputs!$B$16*(1+Inputs!$B$11)^(AA$2-1),0)</f>
        <v>0</v>
      </c>
      <c r="AB23" s="11" t="n">
        <f aca="false">IF(AND(AB$1&gt;=Units!$Q22,MOD(AB$1-Units!$Q22,12)=0),IF(AND(Units!$L22=1,AB$1=Units!$Q22),1,Inputs!$B$15)*Inputs!$B$16*(1+Inputs!$B$11)^(AB$2-1),0)</f>
        <v>0</v>
      </c>
      <c r="AC23" s="11" t="n">
        <f aca="false">IF(AND(AC$1&gt;=Units!$Q22,MOD(AC$1-Units!$Q22,12)=0),IF(AND(Units!$L22=1,AC$1=Units!$Q22),1,Inputs!$B$15)*Inputs!$B$16*(1+Inputs!$B$11)^(AC$2-1),0)</f>
        <v>530.45</v>
      </c>
      <c r="AD23" s="11" t="n">
        <f aca="false">IF(AND(AD$1&gt;=Units!$Q22,MOD(AD$1-Units!$Q22,12)=0),IF(AND(Units!$L22=1,AD$1=Units!$Q22),1,Inputs!$B$15)*Inputs!$B$16*(1+Inputs!$B$11)^(AD$2-1),0)</f>
        <v>0</v>
      </c>
      <c r="AE23" s="11" t="n">
        <f aca="false">IF(AND(AE$1&gt;=Units!$Q22,MOD(AE$1-Units!$Q22,12)=0),IF(AND(Units!$L22=1,AE$1=Units!$Q22),1,Inputs!$B$15)*Inputs!$B$16*(1+Inputs!$B$11)^(AE$2-1),0)</f>
        <v>0</v>
      </c>
      <c r="AF23" s="11" t="n">
        <f aca="false">IF(AND(AF$1&gt;=Units!$Q22,MOD(AF$1-Units!$Q22,12)=0),IF(AND(Units!$L22=1,AF$1=Units!$Q22),1,Inputs!$B$15)*Inputs!$B$16*(1+Inputs!$B$11)^(AF$2-1),0)</f>
        <v>0</v>
      </c>
      <c r="AG23" s="11" t="n">
        <f aca="false">IF(AND(AG$1&gt;=Units!$Q22,MOD(AG$1-Units!$Q22,12)=0),IF(AND(Units!$L22=1,AG$1=Units!$Q22),1,Inputs!$B$15)*Inputs!$B$16*(1+Inputs!$B$11)^(AG$2-1),0)</f>
        <v>0</v>
      </c>
      <c r="AH23" s="11" t="n">
        <f aca="false">IF(AND(AH$1&gt;=Units!$Q22,MOD(AH$1-Units!$Q22,12)=0),IF(AND(Units!$L22=1,AH$1=Units!$Q22),1,Inputs!$B$15)*Inputs!$B$16*(1+Inputs!$B$11)^(AH$2-1),0)</f>
        <v>0</v>
      </c>
      <c r="AI23" s="11" t="n">
        <f aca="false">IF(AND(AI$1&gt;=Units!$Q22,MOD(AI$1-Units!$Q22,12)=0),IF(AND(Units!$L22=1,AI$1=Units!$Q22),1,Inputs!$B$15)*Inputs!$B$16*(1+Inputs!$B$11)^(AI$2-1),0)</f>
        <v>0</v>
      </c>
      <c r="AJ23" s="11" t="n">
        <f aca="false">IF(AND(AJ$1&gt;=Units!$Q22,MOD(AJ$1-Units!$Q22,12)=0),IF(AND(Units!$L22=1,AJ$1=Units!$Q22),1,Inputs!$B$15)*Inputs!$B$16*(1+Inputs!$B$11)^(AJ$2-1),0)</f>
        <v>0</v>
      </c>
      <c r="AK23" s="11" t="n">
        <f aca="false">IF(AND(AK$1&gt;=Units!$Q22,MOD(AK$1-Units!$Q22,12)=0),IF(AND(Units!$L22=1,AK$1=Units!$Q22),1,Inputs!$B$15)*Inputs!$B$16*(1+Inputs!$B$11)^(AK$2-1),0)</f>
        <v>0</v>
      </c>
      <c r="AL23" s="11" t="n">
        <f aca="false">IF(AND(AL$1&gt;=Units!$Q22,MOD(AL$1-Units!$Q22,12)=0),IF(AND(Units!$L22=1,AL$1=Units!$Q22),1,Inputs!$B$15)*Inputs!$B$16*(1+Inputs!$B$11)^(AL$2-1),0)</f>
        <v>0</v>
      </c>
      <c r="AM23" s="11" t="n">
        <f aca="false">IF(AND(AM$1&gt;=Units!$Q22,MOD(AM$1-Units!$Q22,12)=0),IF(AND(Units!$L22=1,AM$1=Units!$Q22),1,Inputs!$B$15)*Inputs!$B$16*(1+Inputs!$B$11)^(AM$2-1),0)</f>
        <v>0</v>
      </c>
      <c r="AN23" s="11" t="n">
        <f aca="false">IF(AND(AN$1&gt;=Units!$Q22,MOD(AN$1-Units!$Q22,12)=0),IF(AND(Units!$L22=1,AN$1=Units!$Q22),1,Inputs!$B$15)*Inputs!$B$16*(1+Inputs!$B$11)^(AN$2-1),0)</f>
        <v>0</v>
      </c>
      <c r="AO23" s="11" t="n">
        <f aca="false">IF(AND(AO$1&gt;=Units!$Q22,MOD(AO$1-Units!$Q22,12)=0),IF(AND(Units!$L22=1,AO$1=Units!$Q22),1,Inputs!$B$15)*Inputs!$B$16*(1+Inputs!$B$11)^(AO$2-1),0)</f>
        <v>546.3635</v>
      </c>
      <c r="AP23" s="11" t="n">
        <f aca="false">IF(AND(AP$1&gt;=Units!$Q22,MOD(AP$1-Units!$Q22,12)=0),IF(AND(Units!$L22=1,AP$1=Units!$Q22),1,Inputs!$B$15)*Inputs!$B$16*(1+Inputs!$B$11)^(AP$2-1),0)</f>
        <v>0</v>
      </c>
      <c r="AQ23" s="11" t="n">
        <f aca="false">IF(AND(AQ$1&gt;=Units!$Q22,MOD(AQ$1-Units!$Q22,12)=0),IF(AND(Units!$L22=1,AQ$1=Units!$Q22),1,Inputs!$B$15)*Inputs!$B$16*(1+Inputs!$B$11)^(AQ$2-1),0)</f>
        <v>0</v>
      </c>
      <c r="AR23" s="11" t="n">
        <f aca="false">IF(AND(AR$1&gt;=Units!$Q22,MOD(AR$1-Units!$Q22,12)=0),IF(AND(Units!$L22=1,AR$1=Units!$Q22),1,Inputs!$B$15)*Inputs!$B$16*(1+Inputs!$B$11)^(AR$2-1),0)</f>
        <v>0</v>
      </c>
      <c r="AS23" s="11" t="n">
        <f aca="false">IF(AND(AS$1&gt;=Units!$Q22,MOD(AS$1-Units!$Q22,12)=0),IF(AND(Units!$L22=1,AS$1=Units!$Q22),1,Inputs!$B$15)*Inputs!$B$16*(1+Inputs!$B$11)^(AS$2-1),0)</f>
        <v>0</v>
      </c>
      <c r="AT23" s="11" t="n">
        <f aca="false">IF(AND(AT$1&gt;=Units!$Q22,MOD(AT$1-Units!$Q22,12)=0),IF(AND(Units!$L22=1,AT$1=Units!$Q22),1,Inputs!$B$15)*Inputs!$B$16*(1+Inputs!$B$11)^(AT$2-1),0)</f>
        <v>0</v>
      </c>
      <c r="AU23" s="11" t="n">
        <f aca="false">IF(AND(AU$1&gt;=Units!$Q22,MOD(AU$1-Units!$Q22,12)=0),IF(AND(Units!$L22=1,AU$1=Units!$Q22),1,Inputs!$B$15)*Inputs!$B$16*(1+Inputs!$B$11)^(AU$2-1),0)</f>
        <v>0</v>
      </c>
      <c r="AV23" s="11" t="n">
        <f aca="false">IF(AND(AV$1&gt;=Units!$Q22,MOD(AV$1-Units!$Q22,12)=0),IF(AND(Units!$L22=1,AV$1=Units!$Q22),1,Inputs!$B$15)*Inputs!$B$16*(1+Inputs!$B$11)^(AV$2-1),0)</f>
        <v>0</v>
      </c>
      <c r="AW23" s="11" t="n">
        <f aca="false">IF(AND(AW$1&gt;=Units!$Q22,MOD(AW$1-Units!$Q22,12)=0),IF(AND(Units!$L22=1,AW$1=Units!$Q22),1,Inputs!$B$15)*Inputs!$B$16*(1+Inputs!$B$11)^(AW$2-1),0)</f>
        <v>0</v>
      </c>
      <c r="AX23" s="11" t="n">
        <f aca="false">IF(AND(AX$1&gt;=Units!$Q22,MOD(AX$1-Units!$Q22,12)=0),IF(AND(Units!$L22=1,AX$1=Units!$Q22),1,Inputs!$B$15)*Inputs!$B$16*(1+Inputs!$B$11)^(AX$2-1),0)</f>
        <v>0</v>
      </c>
      <c r="AY23" s="11" t="n">
        <f aca="false">IF(AND(AY$1&gt;=Units!$Q22,MOD(AY$1-Units!$Q22,12)=0),IF(AND(Units!$L22=1,AY$1=Units!$Q22),1,Inputs!$B$15)*Inputs!$B$16*(1+Inputs!$B$11)^(AY$2-1),0)</f>
        <v>0</v>
      </c>
      <c r="AZ23" s="11" t="n">
        <f aca="false">IF(AND(AZ$1&gt;=Units!$Q22,MOD(AZ$1-Units!$Q22,12)=0),IF(AND(Units!$L22=1,AZ$1=Units!$Q22),1,Inputs!$B$15)*Inputs!$B$16*(1+Inputs!$B$11)^(AZ$2-1),0)</f>
        <v>0</v>
      </c>
      <c r="BA23" s="11" t="n">
        <f aca="false">IF(AND(BA$1&gt;=Units!$Q22,MOD(BA$1-Units!$Q22,12)=0),IF(AND(Units!$L22=1,BA$1=Units!$Q22),1,Inputs!$B$15)*Inputs!$B$16*(1+Inputs!$B$11)^(BA$2-1),0)</f>
        <v>562.754405</v>
      </c>
      <c r="BB23" s="11" t="n">
        <f aca="false">IF(AND(BB$1&gt;=Units!$Q22,MOD(BB$1-Units!$Q22,12)=0),IF(AND(Units!$L22=1,BB$1=Units!$Q22),1,Inputs!$B$15)*Inputs!$B$16*(1+Inputs!$B$11)^(BB$2-1),0)</f>
        <v>0</v>
      </c>
      <c r="BC23" s="11" t="n">
        <f aca="false">IF(AND(BC$1&gt;=Units!$Q22,MOD(BC$1-Units!$Q22,12)=0),IF(AND(Units!$L22=1,BC$1=Units!$Q22),1,Inputs!$B$15)*Inputs!$B$16*(1+Inputs!$B$11)^(BC$2-1),0)</f>
        <v>0</v>
      </c>
      <c r="BD23" s="11" t="n">
        <f aca="false">IF(AND(BD$1&gt;=Units!$Q22,MOD(BD$1-Units!$Q22,12)=0),IF(AND(Units!$L22=1,BD$1=Units!$Q22),1,Inputs!$B$15)*Inputs!$B$16*(1+Inputs!$B$11)^(BD$2-1),0)</f>
        <v>0</v>
      </c>
      <c r="BE23" s="11" t="n">
        <f aca="false">IF(AND(BE$1&gt;=Units!$Q22,MOD(BE$1-Units!$Q22,12)=0),IF(AND(Units!$L22=1,BE$1=Units!$Q22),1,Inputs!$B$15)*Inputs!$B$16*(1+Inputs!$B$11)^(BE$2-1),0)</f>
        <v>0</v>
      </c>
      <c r="BF23" s="11" t="n">
        <f aca="false">IF(AND(BF$1&gt;=Units!$Q22,MOD(BF$1-Units!$Q22,12)=0),IF(AND(Units!$L22=1,BF$1=Units!$Q22),1,Inputs!$B$15)*Inputs!$B$16*(1+Inputs!$B$11)^(BF$2-1),0)</f>
        <v>0</v>
      </c>
      <c r="BG23" s="11" t="n">
        <f aca="false">IF(AND(BG$1&gt;=Units!$Q22,MOD(BG$1-Units!$Q22,12)=0),IF(AND(Units!$L22=1,BG$1=Units!$Q22),1,Inputs!$B$15)*Inputs!$B$16*(1+Inputs!$B$11)^(BG$2-1),0)</f>
        <v>0</v>
      </c>
      <c r="BH23" s="11" t="n">
        <f aca="false">IF(AND(BH$1&gt;=Units!$Q22,MOD(BH$1-Units!$Q22,12)=0),IF(AND(Units!$L22=1,BH$1=Units!$Q22),1,Inputs!$B$15)*Inputs!$B$16*(1+Inputs!$B$11)^(BH$2-1),0)</f>
        <v>0</v>
      </c>
      <c r="BI23" s="11" t="n">
        <f aca="false">IF(AND(BI$1&gt;=Units!$Q22,MOD(BI$1-Units!$Q22,12)=0),IF(AND(Units!$L22=1,BI$1=Units!$Q22),1,Inputs!$B$15)*Inputs!$B$16*(1+Inputs!$B$11)^(BI$2-1),0)</f>
        <v>0</v>
      </c>
      <c r="BJ23" s="11" t="n">
        <f aca="false">IF(AND(BJ$1&gt;=Units!$Q22,MOD(BJ$1-Units!$Q22,12)=0),IF(AND(Units!$L22=1,BJ$1=Units!$Q22),1,Inputs!$B$15)*Inputs!$B$16*(1+Inputs!$B$11)^(BJ$2-1),0)</f>
        <v>0</v>
      </c>
      <c r="BK23" s="11" t="n">
        <f aca="false">IF(AND(BK$1&gt;=Units!$Q22,MOD(BK$1-Units!$Q22,12)=0),IF(AND(Units!$L22=1,BK$1=Units!$Q22),1,Inputs!$B$15)*Inputs!$B$16*(1+Inputs!$B$11)^(BK$2-1),0)</f>
        <v>0</v>
      </c>
      <c r="BL23" s="11" t="n">
        <f aca="false">IF(AND(BL$1&gt;=Units!$Q22,MOD(BL$1-Units!$Q22,12)=0),IF(AND(Units!$L22=1,BL$1=Units!$Q22),1,Inputs!$B$15)*Inputs!$B$16*(1+Inputs!$B$11)^(BL$2-1),0)</f>
        <v>0</v>
      </c>
      <c r="BM23" s="11" t="n">
        <f aca="false">IF(AND(BM$1&gt;=Units!$Q22,MOD(BM$1-Units!$Q22,12)=0),IF(AND(Units!$L22=1,BM$1=Units!$Q22),1,Inputs!$B$15)*Inputs!$B$16*(1+Inputs!$B$11)^(BM$2-1),0)</f>
        <v>579.63703715</v>
      </c>
      <c r="BN23" s="11" t="n">
        <f aca="false">IF(AND(BN$1&gt;=Units!$Q22,MOD(BN$1-Units!$Q22,12)=0),IF(AND(Units!$L22=1,BN$1=Units!$Q22),1,Inputs!$B$15)*Inputs!$B$16*(1+Inputs!$B$11)^(BN$2-1),0)</f>
        <v>0</v>
      </c>
      <c r="BO23" s="11" t="n">
        <f aca="false">IF(AND(BO$1&gt;=Units!$Q22,MOD(BO$1-Units!$Q22,12)=0),IF(AND(Units!$L22=1,BO$1=Units!$Q22),1,Inputs!$B$15)*Inputs!$B$16*(1+Inputs!$B$11)^(BO$2-1),0)</f>
        <v>0</v>
      </c>
      <c r="BP23" s="11" t="n">
        <f aca="false">IF(AND(BP$1&gt;=Units!$Q22,MOD(BP$1-Units!$Q22,12)=0),IF(AND(Units!$L22=1,BP$1=Units!$Q22),1,Inputs!$B$15)*Inputs!$B$16*(1+Inputs!$B$11)^(BP$2-1),0)</f>
        <v>0</v>
      </c>
      <c r="BQ23" s="11" t="n">
        <f aca="false">IF(AND(BQ$1&gt;=Units!$Q22,MOD(BQ$1-Units!$Q22,12)=0),IF(AND(Units!$L22=1,BQ$1=Units!$Q22),1,Inputs!$B$15)*Inputs!$B$16*(1+Inputs!$B$11)^(BQ$2-1),0)</f>
        <v>0</v>
      </c>
      <c r="BR23" s="11" t="n">
        <f aca="false">IF(AND(BR$1&gt;=Units!$Q22,MOD(BR$1-Units!$Q22,12)=0),IF(AND(Units!$L22=1,BR$1=Units!$Q22),1,Inputs!$B$15)*Inputs!$B$16*(1+Inputs!$B$11)^(BR$2-1),0)</f>
        <v>0</v>
      </c>
      <c r="BS23" s="11" t="n">
        <f aca="false">IF(AND(BS$1&gt;=Units!$Q22,MOD(BS$1-Units!$Q22,12)=0),IF(AND(Units!$L22=1,BS$1=Units!$Q22),1,Inputs!$B$15)*Inputs!$B$16*(1+Inputs!$B$11)^(BS$2-1),0)</f>
        <v>0</v>
      </c>
      <c r="BT23" s="11" t="n">
        <f aca="false">IF(AND(BT$1&gt;=Units!$Q22,MOD(BT$1-Units!$Q22,12)=0),IF(AND(Units!$L22=1,BT$1=Units!$Q22),1,Inputs!$B$15)*Inputs!$B$16*(1+Inputs!$B$11)^(BT$2-1),0)</f>
        <v>0</v>
      </c>
      <c r="BU23" s="11" t="n">
        <f aca="false">IF(AND(BU$1&gt;=Units!$Q22,MOD(BU$1-Units!$Q22,12)=0),IF(AND(Units!$L22=1,BU$1=Units!$Q22),1,Inputs!$B$15)*Inputs!$B$16*(1+Inputs!$B$11)^(BU$2-1),0)</f>
        <v>0</v>
      </c>
      <c r="BV23" s="11" t="n">
        <f aca="false">IF(AND(BV$1&gt;=Units!$Q22,MOD(BV$1-Units!$Q22,12)=0),IF(AND(Units!$L22=1,BV$1=Units!$Q22),1,Inputs!$B$15)*Inputs!$B$16*(1+Inputs!$B$11)^(BV$2-1),0)</f>
        <v>0</v>
      </c>
      <c r="BW23" s="11" t="n">
        <f aca="false">IF(AND(BW$1&gt;=Units!$Q22,MOD(BW$1-Units!$Q22,12)=0),IF(AND(Units!$L22=1,BW$1=Units!$Q22),1,Inputs!$B$15)*Inputs!$B$16*(1+Inputs!$B$11)^(BW$2-1),0)</f>
        <v>0</v>
      </c>
      <c r="BX23" s="11" t="n">
        <f aca="false">IF(AND(BX$1&gt;=Units!$Q22,MOD(BX$1-Units!$Q22,12)=0),IF(AND(Units!$L22=1,BX$1=Units!$Q22),1,Inputs!$B$15)*Inputs!$B$16*(1+Inputs!$B$11)^(BX$2-1),0)</f>
        <v>0</v>
      </c>
      <c r="BY23" s="11" t="n">
        <f aca="false">IF(AND(BY$1&gt;=Units!$Q22,MOD(BY$1-Units!$Q22,12)=0),IF(AND(Units!$L22=1,BY$1=Units!$Q22),1,Inputs!$B$15)*Inputs!$B$16*(1+Inputs!$B$11)^(BY$2-1),0)</f>
        <v>597.0261482645</v>
      </c>
      <c r="BZ23" s="11" t="n">
        <f aca="false">IF(AND(BZ$1&gt;=Units!$Q22,MOD(BZ$1-Units!$Q22,12)=0),IF(AND(Units!$L22=1,BZ$1=Units!$Q22),1,Inputs!$B$15)*Inputs!$B$16*(1+Inputs!$B$11)^(BZ$2-1),0)</f>
        <v>0</v>
      </c>
      <c r="CA23" s="11" t="n">
        <f aca="false">IF(AND(CA$1&gt;=Units!$Q22,MOD(CA$1-Units!$Q22,12)=0),IF(AND(Units!$L22=1,CA$1=Units!$Q22),1,Inputs!$B$15)*Inputs!$B$16*(1+Inputs!$B$11)^(CA$2-1),0)</f>
        <v>0</v>
      </c>
      <c r="CB23" s="11" t="n">
        <f aca="false">IF(AND(CB$1&gt;=Units!$Q22,MOD(CB$1-Units!$Q22,12)=0),IF(AND(Units!$L22=1,CB$1=Units!$Q22),1,Inputs!$B$15)*Inputs!$B$16*(1+Inputs!$B$11)^(CB$2-1),0)</f>
        <v>0</v>
      </c>
      <c r="CC23" s="11" t="n">
        <f aca="false">IF(AND(CC$1&gt;=Units!$Q22,MOD(CC$1-Units!$Q22,12)=0),IF(AND(Units!$L22=1,CC$1=Units!$Q22),1,Inputs!$B$15)*Inputs!$B$16*(1+Inputs!$B$11)^(CC$2-1),0)</f>
        <v>0</v>
      </c>
      <c r="CD23" s="11" t="n">
        <f aca="false">IF(AND(CD$1&gt;=Units!$Q22,MOD(CD$1-Units!$Q22,12)=0),IF(AND(Units!$L22=1,CD$1=Units!$Q22),1,Inputs!$B$15)*Inputs!$B$16*(1+Inputs!$B$11)^(CD$2-1),0)</f>
        <v>0</v>
      </c>
      <c r="CE23" s="11" t="n">
        <f aca="false">IF(AND(CE$1&gt;=Units!$Q22,MOD(CE$1-Units!$Q22,12)=0),IF(AND(Units!$L22=1,CE$1=Units!$Q22),1,Inputs!$B$15)*Inputs!$B$16*(1+Inputs!$B$11)^(CE$2-1),0)</f>
        <v>0</v>
      </c>
      <c r="CF23" s="11" t="n">
        <f aca="false">IF(AND(CF$1&gt;=Units!$Q22,MOD(CF$1-Units!$Q22,12)=0),IF(AND(Units!$L22=1,CF$1=Units!$Q22),1,Inputs!$B$15)*Inputs!$B$16*(1+Inputs!$B$11)^(CF$2-1),0)</f>
        <v>0</v>
      </c>
      <c r="CG23" s="11" t="n">
        <f aca="false">IF(AND(CG$1&gt;=Units!$Q22,MOD(CG$1-Units!$Q22,12)=0),IF(AND(Units!$L22=1,CG$1=Units!$Q22),1,Inputs!$B$15)*Inputs!$B$16*(1+Inputs!$B$11)^(CG$2-1),0)</f>
        <v>0</v>
      </c>
      <c r="CH23" s="11" t="n">
        <f aca="false">IF(AND(CH$1&gt;=Units!$Q22,MOD(CH$1-Units!$Q22,12)=0),IF(AND(Units!$L22=1,CH$1=Units!$Q22),1,Inputs!$B$15)*Inputs!$B$16*(1+Inputs!$B$11)^(CH$2-1),0)</f>
        <v>0</v>
      </c>
      <c r="CI23" s="11" t="n">
        <f aca="false">IF(AND(CI$1&gt;=Units!$Q22,MOD(CI$1-Units!$Q22,12)=0),IF(AND(Units!$L22=1,CI$1=Units!$Q22),1,Inputs!$B$15)*Inputs!$B$16*(1+Inputs!$B$11)^(CI$2-1),0)</f>
        <v>0</v>
      </c>
      <c r="CJ23" s="11" t="n">
        <f aca="false">IF(AND(CJ$1&gt;=Units!$Q22,MOD(CJ$1-Units!$Q22,12)=0),IF(AND(Units!$L22=1,CJ$1=Units!$Q22),1,Inputs!$B$15)*Inputs!$B$16*(1+Inputs!$B$11)^(CJ$2-1),0)</f>
        <v>0</v>
      </c>
      <c r="CK23" s="11" t="n">
        <f aca="false">IF(AND(CK$1&gt;=Units!$Q22,MOD(CK$1-Units!$Q22,12)=0),IF(AND(Units!$L22=1,CK$1=Units!$Q22),1,Inputs!$B$15)*Inputs!$B$16*(1+Inputs!$B$11)^(CK$2-1),0)</f>
        <v>614.936932712435</v>
      </c>
      <c r="CL23" s="11" t="n">
        <f aca="false">IF(AND(CL$1&gt;=Units!$Q22,MOD(CL$1-Units!$Q22,12)=0),IF(AND(Units!$L22=1,CL$1=Units!$Q22),1,Inputs!$B$15)*Inputs!$B$16*(1+Inputs!$B$11)^(CL$2-1),0)</f>
        <v>0</v>
      </c>
      <c r="CM23" s="11" t="n">
        <f aca="false">IF(AND(CM$1&gt;=Units!$Q22,MOD(CM$1-Units!$Q22,12)=0),IF(AND(Units!$L22=1,CM$1=Units!$Q22),1,Inputs!$B$15)*Inputs!$B$16*(1+Inputs!$B$11)^(CM$2-1),0)</f>
        <v>0</v>
      </c>
      <c r="CN23" s="11" t="n">
        <f aca="false">IF(AND(CN$1&gt;=Units!$Q22,MOD(CN$1-Units!$Q22,12)=0),IF(AND(Units!$L22=1,CN$1=Units!$Q22),1,Inputs!$B$15)*Inputs!$B$16*(1+Inputs!$B$11)^(CN$2-1),0)</f>
        <v>0</v>
      </c>
      <c r="CO23" s="11" t="n">
        <f aca="false">IF(AND(CO$1&gt;=Units!$Q22,MOD(CO$1-Units!$Q22,12)=0),IF(AND(Units!$L22=1,CO$1=Units!$Q22),1,Inputs!$B$15)*Inputs!$B$16*(1+Inputs!$B$11)^(CO$2-1),0)</f>
        <v>0</v>
      </c>
      <c r="CP23" s="11" t="n">
        <f aca="false">IF(AND(CP$1&gt;=Units!$Q22,MOD(CP$1-Units!$Q22,12)=0),IF(AND(Units!$L22=1,CP$1=Units!$Q22),1,Inputs!$B$15)*Inputs!$B$16*(1+Inputs!$B$11)^(CP$2-1),0)</f>
        <v>0</v>
      </c>
      <c r="CQ23" s="11" t="n">
        <f aca="false">IF(AND(CQ$1&gt;=Units!$Q22,MOD(CQ$1-Units!$Q22,12)=0),IF(AND(Units!$L22=1,CQ$1=Units!$Q22),1,Inputs!$B$15)*Inputs!$B$16*(1+Inputs!$B$11)^(CQ$2-1),0)</f>
        <v>0</v>
      </c>
      <c r="CR23" s="11" t="n">
        <f aca="false">IF(AND(CR$1&gt;=Units!$Q22,MOD(CR$1-Units!$Q22,12)=0),IF(AND(Units!$L22=1,CR$1=Units!$Q22),1,Inputs!$B$15)*Inputs!$B$16*(1+Inputs!$B$11)^(CR$2-1),0)</f>
        <v>0</v>
      </c>
      <c r="CS23" s="11" t="n">
        <f aca="false">IF(AND(CS$1&gt;=Units!$Q22,MOD(CS$1-Units!$Q22,12)=0),IF(AND(Units!$L22=1,CS$1=Units!$Q22),1,Inputs!$B$15)*Inputs!$B$16*(1+Inputs!$B$11)^(CS$2-1),0)</f>
        <v>0</v>
      </c>
      <c r="CT23" s="11" t="n">
        <f aca="false">IF(AND(CT$1&gt;=Units!$Q22,MOD(CT$1-Units!$Q22,12)=0),IF(AND(Units!$L22=1,CT$1=Units!$Q22),1,Inputs!$B$15)*Inputs!$B$16*(1+Inputs!$B$11)^(CT$2-1),0)</f>
        <v>0</v>
      </c>
      <c r="CU23" s="11" t="n">
        <f aca="false">IF(AND(CU$1&gt;=Units!$Q22,MOD(CU$1-Units!$Q22,12)=0),IF(AND(Units!$L22=1,CU$1=Units!$Q22),1,Inputs!$B$15)*Inputs!$B$16*(1+Inputs!$B$11)^(CU$2-1),0)</f>
        <v>0</v>
      </c>
      <c r="CV23" s="11" t="n">
        <f aca="false">IF(AND(CV$1&gt;=Units!$Q22,MOD(CV$1-Units!$Q22,12)=0),IF(AND(Units!$L22=1,CV$1=Units!$Q22),1,Inputs!$B$15)*Inputs!$B$16*(1+Inputs!$B$11)^(CV$2-1),0)</f>
        <v>0</v>
      </c>
      <c r="CW23" s="11" t="n">
        <f aca="false">IF(AND(CW$1&gt;=Units!$Q22,MOD(CW$1-Units!$Q22,12)=0),IF(AND(Units!$L22=1,CW$1=Units!$Q22),1,Inputs!$B$15)*Inputs!$B$16*(1+Inputs!$B$11)^(CW$2-1),0)</f>
        <v>633.385040693808</v>
      </c>
      <c r="CX23" s="11" t="n">
        <f aca="false">IF(AND(CX$1&gt;=Units!$Q22,MOD(CX$1-Units!$Q22,12)=0),IF(AND(Units!$L22=1,CX$1=Units!$Q22),1,Inputs!$B$15)*Inputs!$B$16*(1+Inputs!$B$11)^(CX$2-1),0)</f>
        <v>0</v>
      </c>
      <c r="CY23" s="11" t="n">
        <f aca="false">IF(AND(CY$1&gt;=Units!$Q22,MOD(CY$1-Units!$Q22,12)=0),IF(AND(Units!$L22=1,CY$1=Units!$Q22),1,Inputs!$B$15)*Inputs!$B$16*(1+Inputs!$B$11)^(CY$2-1),0)</f>
        <v>0</v>
      </c>
      <c r="CZ23" s="11" t="n">
        <f aca="false">IF(AND(CZ$1&gt;=Units!$Q22,MOD(CZ$1-Units!$Q22,12)=0),IF(AND(Units!$L22=1,CZ$1=Units!$Q22),1,Inputs!$B$15)*Inputs!$B$16*(1+Inputs!$B$11)^(CZ$2-1),0)</f>
        <v>0</v>
      </c>
      <c r="DA23" s="11" t="n">
        <f aca="false">IF(AND(DA$1&gt;=Units!$Q22,MOD(DA$1-Units!$Q22,12)=0),IF(AND(Units!$L22=1,DA$1=Units!$Q22),1,Inputs!$B$15)*Inputs!$B$16*(1+Inputs!$B$11)^(DA$2-1),0)</f>
        <v>0</v>
      </c>
      <c r="DB23" s="11" t="n">
        <f aca="false">IF(AND(DB$1&gt;=Units!$Q22,MOD(DB$1-Units!$Q22,12)=0),IF(AND(Units!$L22=1,DB$1=Units!$Q22),1,Inputs!$B$15)*Inputs!$B$16*(1+Inputs!$B$11)^(DB$2-1),0)</f>
        <v>0</v>
      </c>
      <c r="DC23" s="11" t="n">
        <f aca="false">IF(AND(DC$1&gt;=Units!$Q22,MOD(DC$1-Units!$Q22,12)=0),IF(AND(Units!$L22=1,DC$1=Units!$Q22),1,Inputs!$B$15)*Inputs!$B$16*(1+Inputs!$B$11)^(DC$2-1),0)</f>
        <v>0</v>
      </c>
      <c r="DD23" s="11" t="n">
        <f aca="false">IF(AND(DD$1&gt;=Units!$Q22,MOD(DD$1-Units!$Q22,12)=0),IF(AND(Units!$L22=1,DD$1=Units!$Q22),1,Inputs!$B$15)*Inputs!$B$16*(1+Inputs!$B$11)^(DD$2-1),0)</f>
        <v>0</v>
      </c>
      <c r="DE23" s="11" t="n">
        <f aca="false">IF(AND(DE$1&gt;=Units!$Q22,MOD(DE$1-Units!$Q22,12)=0),IF(AND(Units!$L22=1,DE$1=Units!$Q22),1,Inputs!$B$15)*Inputs!$B$16*(1+Inputs!$B$11)^(DE$2-1),0)</f>
        <v>0</v>
      </c>
      <c r="DF23" s="11" t="n">
        <f aca="false">IF(AND(DF$1&gt;=Units!$Q22,MOD(DF$1-Units!$Q22,12)=0),IF(AND(Units!$L22=1,DF$1=Units!$Q22),1,Inputs!$B$15)*Inputs!$B$16*(1+Inputs!$B$11)^(DF$2-1),0)</f>
        <v>0</v>
      </c>
      <c r="DG23" s="11" t="n">
        <f aca="false">IF(AND(DG$1&gt;=Units!$Q22,MOD(DG$1-Units!$Q22,12)=0),IF(AND(Units!$L22=1,DG$1=Units!$Q22),1,Inputs!$B$15)*Inputs!$B$16*(1+Inputs!$B$11)^(DG$2-1),0)</f>
        <v>0</v>
      </c>
      <c r="DH23" s="11" t="n">
        <f aca="false">IF(AND(DH$1&gt;=Units!$Q22,MOD(DH$1-Units!$Q22,12)=0),IF(AND(Units!$L22=1,DH$1=Units!$Q22),1,Inputs!$B$15)*Inputs!$B$16*(1+Inputs!$B$11)^(DH$2-1),0)</f>
        <v>0</v>
      </c>
      <c r="DI23" s="11" t="n">
        <f aca="false">IF(AND(DI$1&gt;=Units!$Q22,MOD(DI$1-Units!$Q22,12)=0),IF(AND(Units!$L22=1,DI$1=Units!$Q22),1,Inputs!$B$15)*Inputs!$B$16*(1+Inputs!$B$11)^(DI$2-1),0)</f>
        <v>652.386591914623</v>
      </c>
      <c r="DJ23" s="11" t="n">
        <f aca="false">IF(AND(DJ$1&gt;=Units!$Q22,MOD(DJ$1-Units!$Q22,12)=0),IF(AND(Units!$L22=1,DJ$1=Units!$Q22),1,Inputs!$B$15)*Inputs!$B$16*(1+Inputs!$B$11)^(DJ$2-1),0)</f>
        <v>0</v>
      </c>
      <c r="DK23" s="11" t="n">
        <f aca="false">IF(AND(DK$1&gt;=Units!$Q22,MOD(DK$1-Units!$Q22,12)=0),IF(AND(Units!$L22=1,DK$1=Units!$Q22),1,Inputs!$B$15)*Inputs!$B$16*(1+Inputs!$B$11)^(DK$2-1),0)</f>
        <v>0</v>
      </c>
      <c r="DL23" s="11" t="n">
        <f aca="false">IF(AND(DL$1&gt;=Units!$Q22,MOD(DL$1-Units!$Q22,12)=0),IF(AND(Units!$L22=1,DL$1=Units!$Q22),1,Inputs!$B$15)*Inputs!$B$16*(1+Inputs!$B$11)^(DL$2-1),0)</f>
        <v>0</v>
      </c>
      <c r="DM23" s="11" t="n">
        <f aca="false">IF(AND(DM$1&gt;=Units!$Q22,MOD(DM$1-Units!$Q22,12)=0),IF(AND(Units!$L22=1,DM$1=Units!$Q22),1,Inputs!$B$15)*Inputs!$B$16*(1+Inputs!$B$11)^(DM$2-1),0)</f>
        <v>0</v>
      </c>
      <c r="DN23" s="11" t="n">
        <f aca="false">IF(AND(DN$1&gt;=Units!$Q22,MOD(DN$1-Units!$Q22,12)=0),IF(AND(Units!$L22=1,DN$1=Units!$Q22),1,Inputs!$B$15)*Inputs!$B$16*(1+Inputs!$B$11)^(DN$2-1),0)</f>
        <v>0</v>
      </c>
      <c r="DO23" s="11" t="n">
        <f aca="false">IF(AND(DO$1&gt;=Units!$Q22,MOD(DO$1-Units!$Q22,12)=0),IF(AND(Units!$L22=1,DO$1=Units!$Q22),1,Inputs!$B$15)*Inputs!$B$16*(1+Inputs!$B$11)^(DO$2-1),0)</f>
        <v>0</v>
      </c>
      <c r="DP23" s="11" t="n">
        <f aca="false">IF(AND(DP$1&gt;=Units!$Q22,MOD(DP$1-Units!$Q22,12)=0),IF(AND(Units!$L22=1,DP$1=Units!$Q22),1,Inputs!$B$15)*Inputs!$B$16*(1+Inputs!$B$11)^(DP$2-1),0)</f>
        <v>0</v>
      </c>
      <c r="DQ23" s="11" t="n">
        <f aca="false">IF(AND(DQ$1&gt;=Units!$Q22,MOD(DQ$1-Units!$Q22,12)=0),IF(AND(Units!$L22=1,DQ$1=Units!$Q22),1,Inputs!$B$15)*Inputs!$B$16*(1+Inputs!$B$11)^(DQ$2-1),0)</f>
        <v>0</v>
      </c>
      <c r="DR23" s="11" t="n">
        <f aca="false">IF(AND(DR$1&gt;=Units!$Q22,MOD(DR$1-Units!$Q22,12)=0),IF(AND(Units!$L22=1,DR$1=Units!$Q22),1,Inputs!$B$15)*Inputs!$B$16*(1+Inputs!$B$11)^(DR$2-1),0)</f>
        <v>0</v>
      </c>
      <c r="DS23" s="11" t="n">
        <f aca="false">IF(AND(DS$1&gt;=Units!$Q22,MOD(DS$1-Units!$Q22,12)=0),IF(AND(Units!$L22=1,DS$1=Units!$Q22),1,Inputs!$B$15)*Inputs!$B$16*(1+Inputs!$B$11)^(DS$2-1),0)</f>
        <v>0</v>
      </c>
      <c r="DT23" s="11" t="n">
        <f aca="false">IF(AND(DT$1&gt;=Units!$Q22,MOD(DT$1-Units!$Q22,12)=0),IF(AND(Units!$L22=1,DT$1=Units!$Q22),1,Inputs!$B$15)*Inputs!$B$16*(1+Inputs!$B$11)^(DT$2-1),0)</f>
        <v>0</v>
      </c>
      <c r="DU23" s="11" t="n">
        <f aca="false">IF(AND(DU$1&gt;=Units!$Q22,MOD(DU$1-Units!$Q22,12)=0),IF(AND(Units!$L22=1,DU$1=Units!$Q22),1,Inputs!$B$15)*Inputs!$B$16*(1+Inputs!$B$11)^(DU$2-1),0)</f>
        <v>671.958189672061</v>
      </c>
      <c r="DV23" s="11" t="n">
        <f aca="false">IF(AND(DV$1&gt;=Units!$Q22,MOD(DV$1-Units!$Q22,12)=0),IF(AND(Units!$L22=1,DV$1=Units!$Q22),1,Inputs!$B$15)*Inputs!$B$16*(1+Inputs!$B$11)^(DV$2-1),0)</f>
        <v>0</v>
      </c>
      <c r="DW23" s="11" t="n">
        <f aca="false">IF(AND(DW$1&gt;=Units!$Q22,MOD(DW$1-Units!$Q22,12)=0),IF(AND(Units!$L22=1,DW$1=Units!$Q22),1,Inputs!$B$15)*Inputs!$B$16*(1+Inputs!$B$11)^(DW$2-1),0)</f>
        <v>0</v>
      </c>
      <c r="DX23" s="11" t="n">
        <f aca="false">IF(AND(DX$1&gt;=Units!$Q22,MOD(DX$1-Units!$Q22,12)=0),IF(AND(Units!$L22=1,DX$1=Units!$Q22),1,Inputs!$B$15)*Inputs!$B$16*(1+Inputs!$B$11)^(DX$2-1),0)</f>
        <v>0</v>
      </c>
      <c r="DY23" s="11" t="n">
        <f aca="false">IF(AND(DY$1&gt;=Units!$Q22,MOD(DY$1-Units!$Q22,12)=0),IF(AND(Units!$L22=1,DY$1=Units!$Q22),1,Inputs!$B$15)*Inputs!$B$16*(1+Inputs!$B$11)^(DY$2-1),0)</f>
        <v>0</v>
      </c>
      <c r="DZ23" s="11" t="n">
        <f aca="false">IF(AND(DZ$1&gt;=Units!$Q22,MOD(DZ$1-Units!$Q22,12)=0),IF(AND(Units!$L22=1,DZ$1=Units!$Q22),1,Inputs!$B$15)*Inputs!$B$16*(1+Inputs!$B$11)^(DZ$2-1),0)</f>
        <v>0</v>
      </c>
      <c r="EA23" s="11" t="n">
        <f aca="false">IF(AND(EA$1&gt;=Units!$Q22,MOD(EA$1-Units!$Q22,12)=0),IF(AND(Units!$L22=1,EA$1=Units!$Q22),1,Inputs!$B$15)*Inputs!$B$16*(1+Inputs!$B$11)^(EA$2-1),0)</f>
        <v>0</v>
      </c>
      <c r="EB23" s="11" t="n">
        <f aca="false">IF(AND(EB$1&gt;=Units!$Q22,MOD(EB$1-Units!$Q22,12)=0),IF(AND(Units!$L22=1,EB$1=Units!$Q22),1,Inputs!$B$15)*Inputs!$B$16*(1+Inputs!$B$11)^(EB$2-1),0)</f>
        <v>0</v>
      </c>
      <c r="EC23" s="11" t="n">
        <f aca="false">IF(AND(EC$1&gt;=Units!$Q22,MOD(EC$1-Units!$Q22,12)=0),IF(AND(Units!$L22=1,EC$1=Units!$Q22),1,Inputs!$B$15)*Inputs!$B$16*(1+Inputs!$B$11)^(EC$2-1),0)</f>
        <v>0</v>
      </c>
      <c r="ED23" s="11" t="n">
        <f aca="false">IF(AND(ED$1&gt;=Units!$Q22,MOD(ED$1-Units!$Q22,12)=0),IF(AND(Units!$L22=1,ED$1=Units!$Q22),1,Inputs!$B$15)*Inputs!$B$16*(1+Inputs!$B$11)^(ED$2-1),0)</f>
        <v>0</v>
      </c>
    </row>
    <row r="24" customFormat="false" ht="15" hidden="false" customHeight="false" outlineLevel="0" collapsed="false">
      <c r="A24" s="22" t="n">
        <f aca="false">Units!A23</f>
        <v>122</v>
      </c>
      <c r="B24" s="23"/>
      <c r="C24" s="11" t="n">
        <f aca="false">IF(AND(C$1&gt;=Units!$Q23,MOD(C$1-Units!$Q23,12)=0),IF(AND(Units!$L23=1,C$1=Units!$Q23),1,Inputs!$B$15)*Inputs!$B$16*(1+Inputs!$B$11)^(C$2-1),0)</f>
        <v>0</v>
      </c>
      <c r="D24" s="11" t="n">
        <f aca="false">IF(AND(D$1&gt;=Units!$Q23,MOD(D$1-Units!$Q23,12)=0),IF(AND(Units!$L23=1,D$1=Units!$Q23),1,Inputs!$B$15)*Inputs!$B$16*(1+Inputs!$B$11)^(D$2-1),0)</f>
        <v>0</v>
      </c>
      <c r="E24" s="11" t="n">
        <f aca="false">IF(AND(E$1&gt;=Units!$Q23,MOD(E$1-Units!$Q23,12)=0),IF(AND(Units!$L23=1,E$1=Units!$Q23),1,Inputs!$B$15)*Inputs!$B$16*(1+Inputs!$B$11)^(E$2-1),0)</f>
        <v>0</v>
      </c>
      <c r="F24" s="11" t="n">
        <f aca="false">IF(AND(F$1&gt;=Units!$Q23,MOD(F$1-Units!$Q23,12)=0),IF(AND(Units!$L23=1,F$1=Units!$Q23),1,Inputs!$B$15)*Inputs!$B$16*(1+Inputs!$B$11)^(F$2-1),0)</f>
        <v>0</v>
      </c>
      <c r="G24" s="11" t="n">
        <f aca="false">IF(AND(G$1&gt;=Units!$Q23,MOD(G$1-Units!$Q23,12)=0),IF(AND(Units!$L23=1,G$1=Units!$Q23),1,Inputs!$B$15)*Inputs!$B$16*(1+Inputs!$B$11)^(G$2-1),0)</f>
        <v>0</v>
      </c>
      <c r="H24" s="11" t="n">
        <f aca="false">IF(AND(H$1&gt;=Units!$Q23,MOD(H$1-Units!$Q23,12)=0),IF(AND(Units!$L23=1,H$1=Units!$Q23),1,Inputs!$B$15)*Inputs!$B$16*(1+Inputs!$B$11)^(H$2-1),0)</f>
        <v>0</v>
      </c>
      <c r="I24" s="11" t="n">
        <f aca="false">IF(AND(I$1&gt;=Units!$Q23,MOD(I$1-Units!$Q23,12)=0),IF(AND(Units!$L23=1,I$1=Units!$Q23),1,Inputs!$B$15)*Inputs!$B$16*(1+Inputs!$B$11)^(I$2-1),0)</f>
        <v>0</v>
      </c>
      <c r="J24" s="11" t="n">
        <f aca="false">IF(AND(J$1&gt;=Units!$Q23,MOD(J$1-Units!$Q23,12)=0),IF(AND(Units!$L23=1,J$1=Units!$Q23),1,Inputs!$B$15)*Inputs!$B$16*(1+Inputs!$B$11)^(J$2-1),0)</f>
        <v>0</v>
      </c>
      <c r="K24" s="11" t="n">
        <f aca="false">IF(AND(K$1&gt;=Units!$Q23,MOD(K$1-Units!$Q23,12)=0),IF(AND(Units!$L23=1,K$1=Units!$Q23),1,Inputs!$B$15)*Inputs!$B$16*(1+Inputs!$B$11)^(K$2-1),0)</f>
        <v>0</v>
      </c>
      <c r="L24" s="11" t="n">
        <f aca="false">IF(AND(L$1&gt;=Units!$Q23,MOD(L$1-Units!$Q23,12)=0),IF(AND(Units!$L23=1,L$1=Units!$Q23),1,Inputs!$B$15)*Inputs!$B$16*(1+Inputs!$B$11)^(L$2-1),0)</f>
        <v>500</v>
      </c>
      <c r="M24" s="11" t="n">
        <f aca="false">IF(AND(M$1&gt;=Units!$Q23,MOD(M$1-Units!$Q23,12)=0),IF(AND(Units!$L23=1,M$1=Units!$Q23),1,Inputs!$B$15)*Inputs!$B$16*(1+Inputs!$B$11)^(M$2-1),0)</f>
        <v>0</v>
      </c>
      <c r="N24" s="11" t="n">
        <f aca="false">IF(AND(N$1&gt;=Units!$Q23,MOD(N$1-Units!$Q23,12)=0),IF(AND(Units!$L23=1,N$1=Units!$Q23),1,Inputs!$B$15)*Inputs!$B$16*(1+Inputs!$B$11)^(N$2-1),0)</f>
        <v>0</v>
      </c>
      <c r="O24" s="11" t="n">
        <f aca="false">IF(AND(O$1&gt;=Units!$Q23,MOD(O$1-Units!$Q23,12)=0),IF(AND(Units!$L23=1,O$1=Units!$Q23),1,Inputs!$B$15)*Inputs!$B$16*(1+Inputs!$B$11)^(O$2-1),0)</f>
        <v>0</v>
      </c>
      <c r="P24" s="11" t="n">
        <f aca="false">IF(AND(P$1&gt;=Units!$Q23,MOD(P$1-Units!$Q23,12)=0),IF(AND(Units!$L23=1,P$1=Units!$Q23),1,Inputs!$B$15)*Inputs!$B$16*(1+Inputs!$B$11)^(P$2-1),0)</f>
        <v>0</v>
      </c>
      <c r="Q24" s="11" t="n">
        <f aca="false">IF(AND(Q$1&gt;=Units!$Q23,MOD(Q$1-Units!$Q23,12)=0),IF(AND(Units!$L23=1,Q$1=Units!$Q23),1,Inputs!$B$15)*Inputs!$B$16*(1+Inputs!$B$11)^(Q$2-1),0)</f>
        <v>0</v>
      </c>
      <c r="R24" s="11" t="n">
        <f aca="false">IF(AND(R$1&gt;=Units!$Q23,MOD(R$1-Units!$Q23,12)=0),IF(AND(Units!$L23=1,R$1=Units!$Q23),1,Inputs!$B$15)*Inputs!$B$16*(1+Inputs!$B$11)^(R$2-1),0)</f>
        <v>0</v>
      </c>
      <c r="S24" s="11" t="n">
        <f aca="false">IF(AND(S$1&gt;=Units!$Q23,MOD(S$1-Units!$Q23,12)=0),IF(AND(Units!$L23=1,S$1=Units!$Q23),1,Inputs!$B$15)*Inputs!$B$16*(1+Inputs!$B$11)^(S$2-1),0)</f>
        <v>0</v>
      </c>
      <c r="T24" s="11" t="n">
        <f aca="false">IF(AND(T$1&gt;=Units!$Q23,MOD(T$1-Units!$Q23,12)=0),IF(AND(Units!$L23=1,T$1=Units!$Q23),1,Inputs!$B$15)*Inputs!$B$16*(1+Inputs!$B$11)^(T$2-1),0)</f>
        <v>0</v>
      </c>
      <c r="U24" s="11" t="n">
        <f aca="false">IF(AND(U$1&gt;=Units!$Q23,MOD(U$1-Units!$Q23,12)=0),IF(AND(Units!$L23=1,U$1=Units!$Q23),1,Inputs!$B$15)*Inputs!$B$16*(1+Inputs!$B$11)^(U$2-1),0)</f>
        <v>0</v>
      </c>
      <c r="V24" s="11" t="n">
        <f aca="false">IF(AND(V$1&gt;=Units!$Q23,MOD(V$1-Units!$Q23,12)=0),IF(AND(Units!$L23=1,V$1=Units!$Q23),1,Inputs!$B$15)*Inputs!$B$16*(1+Inputs!$B$11)^(V$2-1),0)</f>
        <v>0</v>
      </c>
      <c r="W24" s="11" t="n">
        <f aca="false">IF(AND(W$1&gt;=Units!$Q23,MOD(W$1-Units!$Q23,12)=0),IF(AND(Units!$L23=1,W$1=Units!$Q23),1,Inputs!$B$15)*Inputs!$B$16*(1+Inputs!$B$11)^(W$2-1),0)</f>
        <v>0</v>
      </c>
      <c r="X24" s="11" t="n">
        <f aca="false">IF(AND(X$1&gt;=Units!$Q23,MOD(X$1-Units!$Q23,12)=0),IF(AND(Units!$L23=1,X$1=Units!$Q23),1,Inputs!$B$15)*Inputs!$B$16*(1+Inputs!$B$11)^(X$2-1),0)</f>
        <v>515</v>
      </c>
      <c r="Y24" s="11" t="n">
        <f aca="false">IF(AND(Y$1&gt;=Units!$Q23,MOD(Y$1-Units!$Q23,12)=0),IF(AND(Units!$L23=1,Y$1=Units!$Q23),1,Inputs!$B$15)*Inputs!$B$16*(1+Inputs!$B$11)^(Y$2-1),0)</f>
        <v>0</v>
      </c>
      <c r="Z24" s="11" t="n">
        <f aca="false">IF(AND(Z$1&gt;=Units!$Q23,MOD(Z$1-Units!$Q23,12)=0),IF(AND(Units!$L23=1,Z$1=Units!$Q23),1,Inputs!$B$15)*Inputs!$B$16*(1+Inputs!$B$11)^(Z$2-1),0)</f>
        <v>0</v>
      </c>
      <c r="AA24" s="11" t="n">
        <f aca="false">IF(AND(AA$1&gt;=Units!$Q23,MOD(AA$1-Units!$Q23,12)=0),IF(AND(Units!$L23=1,AA$1=Units!$Q23),1,Inputs!$B$15)*Inputs!$B$16*(1+Inputs!$B$11)^(AA$2-1),0)</f>
        <v>0</v>
      </c>
      <c r="AB24" s="11" t="n">
        <f aca="false">IF(AND(AB$1&gt;=Units!$Q23,MOD(AB$1-Units!$Q23,12)=0),IF(AND(Units!$L23=1,AB$1=Units!$Q23),1,Inputs!$B$15)*Inputs!$B$16*(1+Inputs!$B$11)^(AB$2-1),0)</f>
        <v>0</v>
      </c>
      <c r="AC24" s="11" t="n">
        <f aca="false">IF(AND(AC$1&gt;=Units!$Q23,MOD(AC$1-Units!$Q23,12)=0),IF(AND(Units!$L23=1,AC$1=Units!$Q23),1,Inputs!$B$15)*Inputs!$B$16*(1+Inputs!$B$11)^(AC$2-1),0)</f>
        <v>0</v>
      </c>
      <c r="AD24" s="11" t="n">
        <f aca="false">IF(AND(AD$1&gt;=Units!$Q23,MOD(AD$1-Units!$Q23,12)=0),IF(AND(Units!$L23=1,AD$1=Units!$Q23),1,Inputs!$B$15)*Inputs!$B$16*(1+Inputs!$B$11)^(AD$2-1),0)</f>
        <v>0</v>
      </c>
      <c r="AE24" s="11" t="n">
        <f aca="false">IF(AND(AE$1&gt;=Units!$Q23,MOD(AE$1-Units!$Q23,12)=0),IF(AND(Units!$L23=1,AE$1=Units!$Q23),1,Inputs!$B$15)*Inputs!$B$16*(1+Inputs!$B$11)^(AE$2-1),0)</f>
        <v>0</v>
      </c>
      <c r="AF24" s="11" t="n">
        <f aca="false">IF(AND(AF$1&gt;=Units!$Q23,MOD(AF$1-Units!$Q23,12)=0),IF(AND(Units!$L23=1,AF$1=Units!$Q23),1,Inputs!$B$15)*Inputs!$B$16*(1+Inputs!$B$11)^(AF$2-1),0)</f>
        <v>0</v>
      </c>
      <c r="AG24" s="11" t="n">
        <f aca="false">IF(AND(AG$1&gt;=Units!$Q23,MOD(AG$1-Units!$Q23,12)=0),IF(AND(Units!$L23=1,AG$1=Units!$Q23),1,Inputs!$B$15)*Inputs!$B$16*(1+Inputs!$B$11)^(AG$2-1),0)</f>
        <v>0</v>
      </c>
      <c r="AH24" s="11" t="n">
        <f aca="false">IF(AND(AH$1&gt;=Units!$Q23,MOD(AH$1-Units!$Q23,12)=0),IF(AND(Units!$L23=1,AH$1=Units!$Q23),1,Inputs!$B$15)*Inputs!$B$16*(1+Inputs!$B$11)^(AH$2-1),0)</f>
        <v>0</v>
      </c>
      <c r="AI24" s="11" t="n">
        <f aca="false">IF(AND(AI$1&gt;=Units!$Q23,MOD(AI$1-Units!$Q23,12)=0),IF(AND(Units!$L23=1,AI$1=Units!$Q23),1,Inputs!$B$15)*Inputs!$B$16*(1+Inputs!$B$11)^(AI$2-1),0)</f>
        <v>0</v>
      </c>
      <c r="AJ24" s="11" t="n">
        <f aca="false">IF(AND(AJ$1&gt;=Units!$Q23,MOD(AJ$1-Units!$Q23,12)=0),IF(AND(Units!$L23=1,AJ$1=Units!$Q23),1,Inputs!$B$15)*Inputs!$B$16*(1+Inputs!$B$11)^(AJ$2-1),0)</f>
        <v>530.45</v>
      </c>
      <c r="AK24" s="11" t="n">
        <f aca="false">IF(AND(AK$1&gt;=Units!$Q23,MOD(AK$1-Units!$Q23,12)=0),IF(AND(Units!$L23=1,AK$1=Units!$Q23),1,Inputs!$B$15)*Inputs!$B$16*(1+Inputs!$B$11)^(AK$2-1),0)</f>
        <v>0</v>
      </c>
      <c r="AL24" s="11" t="n">
        <f aca="false">IF(AND(AL$1&gt;=Units!$Q23,MOD(AL$1-Units!$Q23,12)=0),IF(AND(Units!$L23=1,AL$1=Units!$Q23),1,Inputs!$B$15)*Inputs!$B$16*(1+Inputs!$B$11)^(AL$2-1),0)</f>
        <v>0</v>
      </c>
      <c r="AM24" s="11" t="n">
        <f aca="false">IF(AND(AM$1&gt;=Units!$Q23,MOD(AM$1-Units!$Q23,12)=0),IF(AND(Units!$L23=1,AM$1=Units!$Q23),1,Inputs!$B$15)*Inputs!$B$16*(1+Inputs!$B$11)^(AM$2-1),0)</f>
        <v>0</v>
      </c>
      <c r="AN24" s="11" t="n">
        <f aca="false">IF(AND(AN$1&gt;=Units!$Q23,MOD(AN$1-Units!$Q23,12)=0),IF(AND(Units!$L23=1,AN$1=Units!$Q23),1,Inputs!$B$15)*Inputs!$B$16*(1+Inputs!$B$11)^(AN$2-1),0)</f>
        <v>0</v>
      </c>
      <c r="AO24" s="11" t="n">
        <f aca="false">IF(AND(AO$1&gt;=Units!$Q23,MOD(AO$1-Units!$Q23,12)=0),IF(AND(Units!$L23=1,AO$1=Units!$Q23),1,Inputs!$B$15)*Inputs!$B$16*(1+Inputs!$B$11)^(AO$2-1),0)</f>
        <v>0</v>
      </c>
      <c r="AP24" s="11" t="n">
        <f aca="false">IF(AND(AP$1&gt;=Units!$Q23,MOD(AP$1-Units!$Q23,12)=0),IF(AND(Units!$L23=1,AP$1=Units!$Q23),1,Inputs!$B$15)*Inputs!$B$16*(1+Inputs!$B$11)^(AP$2-1),0)</f>
        <v>0</v>
      </c>
      <c r="AQ24" s="11" t="n">
        <f aca="false">IF(AND(AQ$1&gt;=Units!$Q23,MOD(AQ$1-Units!$Q23,12)=0),IF(AND(Units!$L23=1,AQ$1=Units!$Q23),1,Inputs!$B$15)*Inputs!$B$16*(1+Inputs!$B$11)^(AQ$2-1),0)</f>
        <v>0</v>
      </c>
      <c r="AR24" s="11" t="n">
        <f aca="false">IF(AND(AR$1&gt;=Units!$Q23,MOD(AR$1-Units!$Q23,12)=0),IF(AND(Units!$L23=1,AR$1=Units!$Q23),1,Inputs!$B$15)*Inputs!$B$16*(1+Inputs!$B$11)^(AR$2-1),0)</f>
        <v>0</v>
      </c>
      <c r="AS24" s="11" t="n">
        <f aca="false">IF(AND(AS$1&gt;=Units!$Q23,MOD(AS$1-Units!$Q23,12)=0),IF(AND(Units!$L23=1,AS$1=Units!$Q23),1,Inputs!$B$15)*Inputs!$B$16*(1+Inputs!$B$11)^(AS$2-1),0)</f>
        <v>0</v>
      </c>
      <c r="AT24" s="11" t="n">
        <f aca="false">IF(AND(AT$1&gt;=Units!$Q23,MOD(AT$1-Units!$Q23,12)=0),IF(AND(Units!$L23=1,AT$1=Units!$Q23),1,Inputs!$B$15)*Inputs!$B$16*(1+Inputs!$B$11)^(AT$2-1),0)</f>
        <v>0</v>
      </c>
      <c r="AU24" s="11" t="n">
        <f aca="false">IF(AND(AU$1&gt;=Units!$Q23,MOD(AU$1-Units!$Q23,12)=0),IF(AND(Units!$L23=1,AU$1=Units!$Q23),1,Inputs!$B$15)*Inputs!$B$16*(1+Inputs!$B$11)^(AU$2-1),0)</f>
        <v>0</v>
      </c>
      <c r="AV24" s="11" t="n">
        <f aca="false">IF(AND(AV$1&gt;=Units!$Q23,MOD(AV$1-Units!$Q23,12)=0),IF(AND(Units!$L23=1,AV$1=Units!$Q23),1,Inputs!$B$15)*Inputs!$B$16*(1+Inputs!$B$11)^(AV$2-1),0)</f>
        <v>546.3635</v>
      </c>
      <c r="AW24" s="11" t="n">
        <f aca="false">IF(AND(AW$1&gt;=Units!$Q23,MOD(AW$1-Units!$Q23,12)=0),IF(AND(Units!$L23=1,AW$1=Units!$Q23),1,Inputs!$B$15)*Inputs!$B$16*(1+Inputs!$B$11)^(AW$2-1),0)</f>
        <v>0</v>
      </c>
      <c r="AX24" s="11" t="n">
        <f aca="false">IF(AND(AX$1&gt;=Units!$Q23,MOD(AX$1-Units!$Q23,12)=0),IF(AND(Units!$L23=1,AX$1=Units!$Q23),1,Inputs!$B$15)*Inputs!$B$16*(1+Inputs!$B$11)^(AX$2-1),0)</f>
        <v>0</v>
      </c>
      <c r="AY24" s="11" t="n">
        <f aca="false">IF(AND(AY$1&gt;=Units!$Q23,MOD(AY$1-Units!$Q23,12)=0),IF(AND(Units!$L23=1,AY$1=Units!$Q23),1,Inputs!$B$15)*Inputs!$B$16*(1+Inputs!$B$11)^(AY$2-1),0)</f>
        <v>0</v>
      </c>
      <c r="AZ24" s="11" t="n">
        <f aca="false">IF(AND(AZ$1&gt;=Units!$Q23,MOD(AZ$1-Units!$Q23,12)=0),IF(AND(Units!$L23=1,AZ$1=Units!$Q23),1,Inputs!$B$15)*Inputs!$B$16*(1+Inputs!$B$11)^(AZ$2-1),0)</f>
        <v>0</v>
      </c>
      <c r="BA24" s="11" t="n">
        <f aca="false">IF(AND(BA$1&gt;=Units!$Q23,MOD(BA$1-Units!$Q23,12)=0),IF(AND(Units!$L23=1,BA$1=Units!$Q23),1,Inputs!$B$15)*Inputs!$B$16*(1+Inputs!$B$11)^(BA$2-1),0)</f>
        <v>0</v>
      </c>
      <c r="BB24" s="11" t="n">
        <f aca="false">IF(AND(BB$1&gt;=Units!$Q23,MOD(BB$1-Units!$Q23,12)=0),IF(AND(Units!$L23=1,BB$1=Units!$Q23),1,Inputs!$B$15)*Inputs!$B$16*(1+Inputs!$B$11)^(BB$2-1),0)</f>
        <v>0</v>
      </c>
      <c r="BC24" s="11" t="n">
        <f aca="false">IF(AND(BC$1&gt;=Units!$Q23,MOD(BC$1-Units!$Q23,12)=0),IF(AND(Units!$L23=1,BC$1=Units!$Q23),1,Inputs!$B$15)*Inputs!$B$16*(1+Inputs!$B$11)^(BC$2-1),0)</f>
        <v>0</v>
      </c>
      <c r="BD24" s="11" t="n">
        <f aca="false">IF(AND(BD$1&gt;=Units!$Q23,MOD(BD$1-Units!$Q23,12)=0),IF(AND(Units!$L23=1,BD$1=Units!$Q23),1,Inputs!$B$15)*Inputs!$B$16*(1+Inputs!$B$11)^(BD$2-1),0)</f>
        <v>0</v>
      </c>
      <c r="BE24" s="11" t="n">
        <f aca="false">IF(AND(BE$1&gt;=Units!$Q23,MOD(BE$1-Units!$Q23,12)=0),IF(AND(Units!$L23=1,BE$1=Units!$Q23),1,Inputs!$B$15)*Inputs!$B$16*(1+Inputs!$B$11)^(BE$2-1),0)</f>
        <v>0</v>
      </c>
      <c r="BF24" s="11" t="n">
        <f aca="false">IF(AND(BF$1&gt;=Units!$Q23,MOD(BF$1-Units!$Q23,12)=0),IF(AND(Units!$L23=1,BF$1=Units!$Q23),1,Inputs!$B$15)*Inputs!$B$16*(1+Inputs!$B$11)^(BF$2-1),0)</f>
        <v>0</v>
      </c>
      <c r="BG24" s="11" t="n">
        <f aca="false">IF(AND(BG$1&gt;=Units!$Q23,MOD(BG$1-Units!$Q23,12)=0),IF(AND(Units!$L23=1,BG$1=Units!$Q23),1,Inputs!$B$15)*Inputs!$B$16*(1+Inputs!$B$11)^(BG$2-1),0)</f>
        <v>0</v>
      </c>
      <c r="BH24" s="11" t="n">
        <f aca="false">IF(AND(BH$1&gt;=Units!$Q23,MOD(BH$1-Units!$Q23,12)=0),IF(AND(Units!$L23=1,BH$1=Units!$Q23),1,Inputs!$B$15)*Inputs!$B$16*(1+Inputs!$B$11)^(BH$2-1),0)</f>
        <v>562.754405</v>
      </c>
      <c r="BI24" s="11" t="n">
        <f aca="false">IF(AND(BI$1&gt;=Units!$Q23,MOD(BI$1-Units!$Q23,12)=0),IF(AND(Units!$L23=1,BI$1=Units!$Q23),1,Inputs!$B$15)*Inputs!$B$16*(1+Inputs!$B$11)^(BI$2-1),0)</f>
        <v>0</v>
      </c>
      <c r="BJ24" s="11" t="n">
        <f aca="false">IF(AND(BJ$1&gt;=Units!$Q23,MOD(BJ$1-Units!$Q23,12)=0),IF(AND(Units!$L23=1,BJ$1=Units!$Q23),1,Inputs!$B$15)*Inputs!$B$16*(1+Inputs!$B$11)^(BJ$2-1),0)</f>
        <v>0</v>
      </c>
      <c r="BK24" s="11" t="n">
        <f aca="false">IF(AND(BK$1&gt;=Units!$Q23,MOD(BK$1-Units!$Q23,12)=0),IF(AND(Units!$L23=1,BK$1=Units!$Q23),1,Inputs!$B$15)*Inputs!$B$16*(1+Inputs!$B$11)^(BK$2-1),0)</f>
        <v>0</v>
      </c>
      <c r="BL24" s="11" t="n">
        <f aca="false">IF(AND(BL$1&gt;=Units!$Q23,MOD(BL$1-Units!$Q23,12)=0),IF(AND(Units!$L23=1,BL$1=Units!$Q23),1,Inputs!$B$15)*Inputs!$B$16*(1+Inputs!$B$11)^(BL$2-1),0)</f>
        <v>0</v>
      </c>
      <c r="BM24" s="11" t="n">
        <f aca="false">IF(AND(BM$1&gt;=Units!$Q23,MOD(BM$1-Units!$Q23,12)=0),IF(AND(Units!$L23=1,BM$1=Units!$Q23),1,Inputs!$B$15)*Inputs!$B$16*(1+Inputs!$B$11)^(BM$2-1),0)</f>
        <v>0</v>
      </c>
      <c r="BN24" s="11" t="n">
        <f aca="false">IF(AND(BN$1&gt;=Units!$Q23,MOD(BN$1-Units!$Q23,12)=0),IF(AND(Units!$L23=1,BN$1=Units!$Q23),1,Inputs!$B$15)*Inputs!$B$16*(1+Inputs!$B$11)^(BN$2-1),0)</f>
        <v>0</v>
      </c>
      <c r="BO24" s="11" t="n">
        <f aca="false">IF(AND(BO$1&gt;=Units!$Q23,MOD(BO$1-Units!$Q23,12)=0),IF(AND(Units!$L23=1,BO$1=Units!$Q23),1,Inputs!$B$15)*Inputs!$B$16*(1+Inputs!$B$11)^(BO$2-1),0)</f>
        <v>0</v>
      </c>
      <c r="BP24" s="11" t="n">
        <f aca="false">IF(AND(BP$1&gt;=Units!$Q23,MOD(BP$1-Units!$Q23,12)=0),IF(AND(Units!$L23=1,BP$1=Units!$Q23),1,Inputs!$B$15)*Inputs!$B$16*(1+Inputs!$B$11)^(BP$2-1),0)</f>
        <v>0</v>
      </c>
      <c r="BQ24" s="11" t="n">
        <f aca="false">IF(AND(BQ$1&gt;=Units!$Q23,MOD(BQ$1-Units!$Q23,12)=0),IF(AND(Units!$L23=1,BQ$1=Units!$Q23),1,Inputs!$B$15)*Inputs!$B$16*(1+Inputs!$B$11)^(BQ$2-1),0)</f>
        <v>0</v>
      </c>
      <c r="BR24" s="11" t="n">
        <f aca="false">IF(AND(BR$1&gt;=Units!$Q23,MOD(BR$1-Units!$Q23,12)=0),IF(AND(Units!$L23=1,BR$1=Units!$Q23),1,Inputs!$B$15)*Inputs!$B$16*(1+Inputs!$B$11)^(BR$2-1),0)</f>
        <v>0</v>
      </c>
      <c r="BS24" s="11" t="n">
        <f aca="false">IF(AND(BS$1&gt;=Units!$Q23,MOD(BS$1-Units!$Q23,12)=0),IF(AND(Units!$L23=1,BS$1=Units!$Q23),1,Inputs!$B$15)*Inputs!$B$16*(1+Inputs!$B$11)^(BS$2-1),0)</f>
        <v>0</v>
      </c>
      <c r="BT24" s="11" t="n">
        <f aca="false">IF(AND(BT$1&gt;=Units!$Q23,MOD(BT$1-Units!$Q23,12)=0),IF(AND(Units!$L23=1,BT$1=Units!$Q23),1,Inputs!$B$15)*Inputs!$B$16*(1+Inputs!$B$11)^(BT$2-1),0)</f>
        <v>579.63703715</v>
      </c>
      <c r="BU24" s="11" t="n">
        <f aca="false">IF(AND(BU$1&gt;=Units!$Q23,MOD(BU$1-Units!$Q23,12)=0),IF(AND(Units!$L23=1,BU$1=Units!$Q23),1,Inputs!$B$15)*Inputs!$B$16*(1+Inputs!$B$11)^(BU$2-1),0)</f>
        <v>0</v>
      </c>
      <c r="BV24" s="11" t="n">
        <f aca="false">IF(AND(BV$1&gt;=Units!$Q23,MOD(BV$1-Units!$Q23,12)=0),IF(AND(Units!$L23=1,BV$1=Units!$Q23),1,Inputs!$B$15)*Inputs!$B$16*(1+Inputs!$B$11)^(BV$2-1),0)</f>
        <v>0</v>
      </c>
      <c r="BW24" s="11" t="n">
        <f aca="false">IF(AND(BW$1&gt;=Units!$Q23,MOD(BW$1-Units!$Q23,12)=0),IF(AND(Units!$L23=1,BW$1=Units!$Q23),1,Inputs!$B$15)*Inputs!$B$16*(1+Inputs!$B$11)^(BW$2-1),0)</f>
        <v>0</v>
      </c>
      <c r="BX24" s="11" t="n">
        <f aca="false">IF(AND(BX$1&gt;=Units!$Q23,MOD(BX$1-Units!$Q23,12)=0),IF(AND(Units!$L23=1,BX$1=Units!$Q23),1,Inputs!$B$15)*Inputs!$B$16*(1+Inputs!$B$11)^(BX$2-1),0)</f>
        <v>0</v>
      </c>
      <c r="BY24" s="11" t="n">
        <f aca="false">IF(AND(BY$1&gt;=Units!$Q23,MOD(BY$1-Units!$Q23,12)=0),IF(AND(Units!$L23=1,BY$1=Units!$Q23),1,Inputs!$B$15)*Inputs!$B$16*(1+Inputs!$B$11)^(BY$2-1),0)</f>
        <v>0</v>
      </c>
      <c r="BZ24" s="11" t="n">
        <f aca="false">IF(AND(BZ$1&gt;=Units!$Q23,MOD(BZ$1-Units!$Q23,12)=0),IF(AND(Units!$L23=1,BZ$1=Units!$Q23),1,Inputs!$B$15)*Inputs!$B$16*(1+Inputs!$B$11)^(BZ$2-1),0)</f>
        <v>0</v>
      </c>
      <c r="CA24" s="11" t="n">
        <f aca="false">IF(AND(CA$1&gt;=Units!$Q23,MOD(CA$1-Units!$Q23,12)=0),IF(AND(Units!$L23=1,CA$1=Units!$Q23),1,Inputs!$B$15)*Inputs!$B$16*(1+Inputs!$B$11)^(CA$2-1),0)</f>
        <v>0</v>
      </c>
      <c r="CB24" s="11" t="n">
        <f aca="false">IF(AND(CB$1&gt;=Units!$Q23,MOD(CB$1-Units!$Q23,12)=0),IF(AND(Units!$L23=1,CB$1=Units!$Q23),1,Inputs!$B$15)*Inputs!$B$16*(1+Inputs!$B$11)^(CB$2-1),0)</f>
        <v>0</v>
      </c>
      <c r="CC24" s="11" t="n">
        <f aca="false">IF(AND(CC$1&gt;=Units!$Q23,MOD(CC$1-Units!$Q23,12)=0),IF(AND(Units!$L23=1,CC$1=Units!$Q23),1,Inputs!$B$15)*Inputs!$B$16*(1+Inputs!$B$11)^(CC$2-1),0)</f>
        <v>0</v>
      </c>
      <c r="CD24" s="11" t="n">
        <f aca="false">IF(AND(CD$1&gt;=Units!$Q23,MOD(CD$1-Units!$Q23,12)=0),IF(AND(Units!$L23=1,CD$1=Units!$Q23),1,Inputs!$B$15)*Inputs!$B$16*(1+Inputs!$B$11)^(CD$2-1),0)</f>
        <v>0</v>
      </c>
      <c r="CE24" s="11" t="n">
        <f aca="false">IF(AND(CE$1&gt;=Units!$Q23,MOD(CE$1-Units!$Q23,12)=0),IF(AND(Units!$L23=1,CE$1=Units!$Q23),1,Inputs!$B$15)*Inputs!$B$16*(1+Inputs!$B$11)^(CE$2-1),0)</f>
        <v>0</v>
      </c>
      <c r="CF24" s="11" t="n">
        <f aca="false">IF(AND(CF$1&gt;=Units!$Q23,MOD(CF$1-Units!$Q23,12)=0),IF(AND(Units!$L23=1,CF$1=Units!$Q23),1,Inputs!$B$15)*Inputs!$B$16*(1+Inputs!$B$11)^(CF$2-1),0)</f>
        <v>597.0261482645</v>
      </c>
      <c r="CG24" s="11" t="n">
        <f aca="false">IF(AND(CG$1&gt;=Units!$Q23,MOD(CG$1-Units!$Q23,12)=0),IF(AND(Units!$L23=1,CG$1=Units!$Q23),1,Inputs!$B$15)*Inputs!$B$16*(1+Inputs!$B$11)^(CG$2-1),0)</f>
        <v>0</v>
      </c>
      <c r="CH24" s="11" t="n">
        <f aca="false">IF(AND(CH$1&gt;=Units!$Q23,MOD(CH$1-Units!$Q23,12)=0),IF(AND(Units!$L23=1,CH$1=Units!$Q23),1,Inputs!$B$15)*Inputs!$B$16*(1+Inputs!$B$11)^(CH$2-1),0)</f>
        <v>0</v>
      </c>
      <c r="CI24" s="11" t="n">
        <f aca="false">IF(AND(CI$1&gt;=Units!$Q23,MOD(CI$1-Units!$Q23,12)=0),IF(AND(Units!$L23=1,CI$1=Units!$Q23),1,Inputs!$B$15)*Inputs!$B$16*(1+Inputs!$B$11)^(CI$2-1),0)</f>
        <v>0</v>
      </c>
      <c r="CJ24" s="11" t="n">
        <f aca="false">IF(AND(CJ$1&gt;=Units!$Q23,MOD(CJ$1-Units!$Q23,12)=0),IF(AND(Units!$L23=1,CJ$1=Units!$Q23),1,Inputs!$B$15)*Inputs!$B$16*(1+Inputs!$B$11)^(CJ$2-1),0)</f>
        <v>0</v>
      </c>
      <c r="CK24" s="11" t="n">
        <f aca="false">IF(AND(CK$1&gt;=Units!$Q23,MOD(CK$1-Units!$Q23,12)=0),IF(AND(Units!$L23=1,CK$1=Units!$Q23),1,Inputs!$B$15)*Inputs!$B$16*(1+Inputs!$B$11)^(CK$2-1),0)</f>
        <v>0</v>
      </c>
      <c r="CL24" s="11" t="n">
        <f aca="false">IF(AND(CL$1&gt;=Units!$Q23,MOD(CL$1-Units!$Q23,12)=0),IF(AND(Units!$L23=1,CL$1=Units!$Q23),1,Inputs!$B$15)*Inputs!$B$16*(1+Inputs!$B$11)^(CL$2-1),0)</f>
        <v>0</v>
      </c>
      <c r="CM24" s="11" t="n">
        <f aca="false">IF(AND(CM$1&gt;=Units!$Q23,MOD(CM$1-Units!$Q23,12)=0),IF(AND(Units!$L23=1,CM$1=Units!$Q23),1,Inputs!$B$15)*Inputs!$B$16*(1+Inputs!$B$11)^(CM$2-1),0)</f>
        <v>0</v>
      </c>
      <c r="CN24" s="11" t="n">
        <f aca="false">IF(AND(CN$1&gt;=Units!$Q23,MOD(CN$1-Units!$Q23,12)=0),IF(AND(Units!$L23=1,CN$1=Units!$Q23),1,Inputs!$B$15)*Inputs!$B$16*(1+Inputs!$B$11)^(CN$2-1),0)</f>
        <v>0</v>
      </c>
      <c r="CO24" s="11" t="n">
        <f aca="false">IF(AND(CO$1&gt;=Units!$Q23,MOD(CO$1-Units!$Q23,12)=0),IF(AND(Units!$L23=1,CO$1=Units!$Q23),1,Inputs!$B$15)*Inputs!$B$16*(1+Inputs!$B$11)^(CO$2-1),0)</f>
        <v>0</v>
      </c>
      <c r="CP24" s="11" t="n">
        <f aca="false">IF(AND(CP$1&gt;=Units!$Q23,MOD(CP$1-Units!$Q23,12)=0),IF(AND(Units!$L23=1,CP$1=Units!$Q23),1,Inputs!$B$15)*Inputs!$B$16*(1+Inputs!$B$11)^(CP$2-1),0)</f>
        <v>0</v>
      </c>
      <c r="CQ24" s="11" t="n">
        <f aca="false">IF(AND(CQ$1&gt;=Units!$Q23,MOD(CQ$1-Units!$Q23,12)=0),IF(AND(Units!$L23=1,CQ$1=Units!$Q23),1,Inputs!$B$15)*Inputs!$B$16*(1+Inputs!$B$11)^(CQ$2-1),0)</f>
        <v>0</v>
      </c>
      <c r="CR24" s="11" t="n">
        <f aca="false">IF(AND(CR$1&gt;=Units!$Q23,MOD(CR$1-Units!$Q23,12)=0),IF(AND(Units!$L23=1,CR$1=Units!$Q23),1,Inputs!$B$15)*Inputs!$B$16*(1+Inputs!$B$11)^(CR$2-1),0)</f>
        <v>614.936932712435</v>
      </c>
      <c r="CS24" s="11" t="n">
        <f aca="false">IF(AND(CS$1&gt;=Units!$Q23,MOD(CS$1-Units!$Q23,12)=0),IF(AND(Units!$L23=1,CS$1=Units!$Q23),1,Inputs!$B$15)*Inputs!$B$16*(1+Inputs!$B$11)^(CS$2-1),0)</f>
        <v>0</v>
      </c>
      <c r="CT24" s="11" t="n">
        <f aca="false">IF(AND(CT$1&gt;=Units!$Q23,MOD(CT$1-Units!$Q23,12)=0),IF(AND(Units!$L23=1,CT$1=Units!$Q23),1,Inputs!$B$15)*Inputs!$B$16*(1+Inputs!$B$11)^(CT$2-1),0)</f>
        <v>0</v>
      </c>
      <c r="CU24" s="11" t="n">
        <f aca="false">IF(AND(CU$1&gt;=Units!$Q23,MOD(CU$1-Units!$Q23,12)=0),IF(AND(Units!$L23=1,CU$1=Units!$Q23),1,Inputs!$B$15)*Inputs!$B$16*(1+Inputs!$B$11)^(CU$2-1),0)</f>
        <v>0</v>
      </c>
      <c r="CV24" s="11" t="n">
        <f aca="false">IF(AND(CV$1&gt;=Units!$Q23,MOD(CV$1-Units!$Q23,12)=0),IF(AND(Units!$L23=1,CV$1=Units!$Q23),1,Inputs!$B$15)*Inputs!$B$16*(1+Inputs!$B$11)^(CV$2-1),0)</f>
        <v>0</v>
      </c>
      <c r="CW24" s="11" t="n">
        <f aca="false">IF(AND(CW$1&gt;=Units!$Q23,MOD(CW$1-Units!$Q23,12)=0),IF(AND(Units!$L23=1,CW$1=Units!$Q23),1,Inputs!$B$15)*Inputs!$B$16*(1+Inputs!$B$11)^(CW$2-1),0)</f>
        <v>0</v>
      </c>
      <c r="CX24" s="11" t="n">
        <f aca="false">IF(AND(CX$1&gt;=Units!$Q23,MOD(CX$1-Units!$Q23,12)=0),IF(AND(Units!$L23=1,CX$1=Units!$Q23),1,Inputs!$B$15)*Inputs!$B$16*(1+Inputs!$B$11)^(CX$2-1),0)</f>
        <v>0</v>
      </c>
      <c r="CY24" s="11" t="n">
        <f aca="false">IF(AND(CY$1&gt;=Units!$Q23,MOD(CY$1-Units!$Q23,12)=0),IF(AND(Units!$L23=1,CY$1=Units!$Q23),1,Inputs!$B$15)*Inputs!$B$16*(1+Inputs!$B$11)^(CY$2-1),0)</f>
        <v>0</v>
      </c>
      <c r="CZ24" s="11" t="n">
        <f aca="false">IF(AND(CZ$1&gt;=Units!$Q23,MOD(CZ$1-Units!$Q23,12)=0),IF(AND(Units!$L23=1,CZ$1=Units!$Q23),1,Inputs!$B$15)*Inputs!$B$16*(1+Inputs!$B$11)^(CZ$2-1),0)</f>
        <v>0</v>
      </c>
      <c r="DA24" s="11" t="n">
        <f aca="false">IF(AND(DA$1&gt;=Units!$Q23,MOD(DA$1-Units!$Q23,12)=0),IF(AND(Units!$L23=1,DA$1=Units!$Q23),1,Inputs!$B$15)*Inputs!$B$16*(1+Inputs!$B$11)^(DA$2-1),0)</f>
        <v>0</v>
      </c>
      <c r="DB24" s="11" t="n">
        <f aca="false">IF(AND(DB$1&gt;=Units!$Q23,MOD(DB$1-Units!$Q23,12)=0),IF(AND(Units!$L23=1,DB$1=Units!$Q23),1,Inputs!$B$15)*Inputs!$B$16*(1+Inputs!$B$11)^(DB$2-1),0)</f>
        <v>0</v>
      </c>
      <c r="DC24" s="11" t="n">
        <f aca="false">IF(AND(DC$1&gt;=Units!$Q23,MOD(DC$1-Units!$Q23,12)=0),IF(AND(Units!$L23=1,DC$1=Units!$Q23),1,Inputs!$B$15)*Inputs!$B$16*(1+Inputs!$B$11)^(DC$2-1),0)</f>
        <v>0</v>
      </c>
      <c r="DD24" s="11" t="n">
        <f aca="false">IF(AND(DD$1&gt;=Units!$Q23,MOD(DD$1-Units!$Q23,12)=0),IF(AND(Units!$L23=1,DD$1=Units!$Q23),1,Inputs!$B$15)*Inputs!$B$16*(1+Inputs!$B$11)^(DD$2-1),0)</f>
        <v>633.385040693808</v>
      </c>
      <c r="DE24" s="11" t="n">
        <f aca="false">IF(AND(DE$1&gt;=Units!$Q23,MOD(DE$1-Units!$Q23,12)=0),IF(AND(Units!$L23=1,DE$1=Units!$Q23),1,Inputs!$B$15)*Inputs!$B$16*(1+Inputs!$B$11)^(DE$2-1),0)</f>
        <v>0</v>
      </c>
      <c r="DF24" s="11" t="n">
        <f aca="false">IF(AND(DF$1&gt;=Units!$Q23,MOD(DF$1-Units!$Q23,12)=0),IF(AND(Units!$L23=1,DF$1=Units!$Q23),1,Inputs!$B$15)*Inputs!$B$16*(1+Inputs!$B$11)^(DF$2-1),0)</f>
        <v>0</v>
      </c>
      <c r="DG24" s="11" t="n">
        <f aca="false">IF(AND(DG$1&gt;=Units!$Q23,MOD(DG$1-Units!$Q23,12)=0),IF(AND(Units!$L23=1,DG$1=Units!$Q23),1,Inputs!$B$15)*Inputs!$B$16*(1+Inputs!$B$11)^(DG$2-1),0)</f>
        <v>0</v>
      </c>
      <c r="DH24" s="11" t="n">
        <f aca="false">IF(AND(DH$1&gt;=Units!$Q23,MOD(DH$1-Units!$Q23,12)=0),IF(AND(Units!$L23=1,DH$1=Units!$Q23),1,Inputs!$B$15)*Inputs!$B$16*(1+Inputs!$B$11)^(DH$2-1),0)</f>
        <v>0</v>
      </c>
      <c r="DI24" s="11" t="n">
        <f aca="false">IF(AND(DI$1&gt;=Units!$Q23,MOD(DI$1-Units!$Q23,12)=0),IF(AND(Units!$L23=1,DI$1=Units!$Q23),1,Inputs!$B$15)*Inputs!$B$16*(1+Inputs!$B$11)^(DI$2-1),0)</f>
        <v>0</v>
      </c>
      <c r="DJ24" s="11" t="n">
        <f aca="false">IF(AND(DJ$1&gt;=Units!$Q23,MOD(DJ$1-Units!$Q23,12)=0),IF(AND(Units!$L23=1,DJ$1=Units!$Q23),1,Inputs!$B$15)*Inputs!$B$16*(1+Inputs!$B$11)^(DJ$2-1),0)</f>
        <v>0</v>
      </c>
      <c r="DK24" s="11" t="n">
        <f aca="false">IF(AND(DK$1&gt;=Units!$Q23,MOD(DK$1-Units!$Q23,12)=0),IF(AND(Units!$L23=1,DK$1=Units!$Q23),1,Inputs!$B$15)*Inputs!$B$16*(1+Inputs!$B$11)^(DK$2-1),0)</f>
        <v>0</v>
      </c>
      <c r="DL24" s="11" t="n">
        <f aca="false">IF(AND(DL$1&gt;=Units!$Q23,MOD(DL$1-Units!$Q23,12)=0),IF(AND(Units!$L23=1,DL$1=Units!$Q23),1,Inputs!$B$15)*Inputs!$B$16*(1+Inputs!$B$11)^(DL$2-1),0)</f>
        <v>0</v>
      </c>
      <c r="DM24" s="11" t="n">
        <f aca="false">IF(AND(DM$1&gt;=Units!$Q23,MOD(DM$1-Units!$Q23,12)=0),IF(AND(Units!$L23=1,DM$1=Units!$Q23),1,Inputs!$B$15)*Inputs!$B$16*(1+Inputs!$B$11)^(DM$2-1),0)</f>
        <v>0</v>
      </c>
      <c r="DN24" s="11" t="n">
        <f aca="false">IF(AND(DN$1&gt;=Units!$Q23,MOD(DN$1-Units!$Q23,12)=0),IF(AND(Units!$L23=1,DN$1=Units!$Q23),1,Inputs!$B$15)*Inputs!$B$16*(1+Inputs!$B$11)^(DN$2-1),0)</f>
        <v>0</v>
      </c>
      <c r="DO24" s="11" t="n">
        <f aca="false">IF(AND(DO$1&gt;=Units!$Q23,MOD(DO$1-Units!$Q23,12)=0),IF(AND(Units!$L23=1,DO$1=Units!$Q23),1,Inputs!$B$15)*Inputs!$B$16*(1+Inputs!$B$11)^(DO$2-1),0)</f>
        <v>0</v>
      </c>
      <c r="DP24" s="11" t="n">
        <f aca="false">IF(AND(DP$1&gt;=Units!$Q23,MOD(DP$1-Units!$Q23,12)=0),IF(AND(Units!$L23=1,DP$1=Units!$Q23),1,Inputs!$B$15)*Inputs!$B$16*(1+Inputs!$B$11)^(DP$2-1),0)</f>
        <v>652.386591914623</v>
      </c>
      <c r="DQ24" s="11" t="n">
        <f aca="false">IF(AND(DQ$1&gt;=Units!$Q23,MOD(DQ$1-Units!$Q23,12)=0),IF(AND(Units!$L23=1,DQ$1=Units!$Q23),1,Inputs!$B$15)*Inputs!$B$16*(1+Inputs!$B$11)^(DQ$2-1),0)</f>
        <v>0</v>
      </c>
      <c r="DR24" s="11" t="n">
        <f aca="false">IF(AND(DR$1&gt;=Units!$Q23,MOD(DR$1-Units!$Q23,12)=0),IF(AND(Units!$L23=1,DR$1=Units!$Q23),1,Inputs!$B$15)*Inputs!$B$16*(1+Inputs!$B$11)^(DR$2-1),0)</f>
        <v>0</v>
      </c>
      <c r="DS24" s="11" t="n">
        <f aca="false">IF(AND(DS$1&gt;=Units!$Q23,MOD(DS$1-Units!$Q23,12)=0),IF(AND(Units!$L23=1,DS$1=Units!$Q23),1,Inputs!$B$15)*Inputs!$B$16*(1+Inputs!$B$11)^(DS$2-1),0)</f>
        <v>0</v>
      </c>
      <c r="DT24" s="11" t="n">
        <f aca="false">IF(AND(DT$1&gt;=Units!$Q23,MOD(DT$1-Units!$Q23,12)=0),IF(AND(Units!$L23=1,DT$1=Units!$Q23),1,Inputs!$B$15)*Inputs!$B$16*(1+Inputs!$B$11)^(DT$2-1),0)</f>
        <v>0</v>
      </c>
      <c r="DU24" s="11" t="n">
        <f aca="false">IF(AND(DU$1&gt;=Units!$Q23,MOD(DU$1-Units!$Q23,12)=0),IF(AND(Units!$L23=1,DU$1=Units!$Q23),1,Inputs!$B$15)*Inputs!$B$16*(1+Inputs!$B$11)^(DU$2-1),0)</f>
        <v>0</v>
      </c>
      <c r="DV24" s="11" t="n">
        <f aca="false">IF(AND(DV$1&gt;=Units!$Q23,MOD(DV$1-Units!$Q23,12)=0),IF(AND(Units!$L23=1,DV$1=Units!$Q23),1,Inputs!$B$15)*Inputs!$B$16*(1+Inputs!$B$11)^(DV$2-1),0)</f>
        <v>0</v>
      </c>
      <c r="DW24" s="11" t="n">
        <f aca="false">IF(AND(DW$1&gt;=Units!$Q23,MOD(DW$1-Units!$Q23,12)=0),IF(AND(Units!$L23=1,DW$1=Units!$Q23),1,Inputs!$B$15)*Inputs!$B$16*(1+Inputs!$B$11)^(DW$2-1),0)</f>
        <v>0</v>
      </c>
      <c r="DX24" s="11" t="n">
        <f aca="false">IF(AND(DX$1&gt;=Units!$Q23,MOD(DX$1-Units!$Q23,12)=0),IF(AND(Units!$L23=1,DX$1=Units!$Q23),1,Inputs!$B$15)*Inputs!$B$16*(1+Inputs!$B$11)^(DX$2-1),0)</f>
        <v>0</v>
      </c>
      <c r="DY24" s="11" t="n">
        <f aca="false">IF(AND(DY$1&gt;=Units!$Q23,MOD(DY$1-Units!$Q23,12)=0),IF(AND(Units!$L23=1,DY$1=Units!$Q23),1,Inputs!$B$15)*Inputs!$B$16*(1+Inputs!$B$11)^(DY$2-1),0)</f>
        <v>0</v>
      </c>
      <c r="DZ24" s="11" t="n">
        <f aca="false">IF(AND(DZ$1&gt;=Units!$Q23,MOD(DZ$1-Units!$Q23,12)=0),IF(AND(Units!$L23=1,DZ$1=Units!$Q23),1,Inputs!$B$15)*Inputs!$B$16*(1+Inputs!$B$11)^(DZ$2-1),0)</f>
        <v>0</v>
      </c>
      <c r="EA24" s="11" t="n">
        <f aca="false">IF(AND(EA$1&gt;=Units!$Q23,MOD(EA$1-Units!$Q23,12)=0),IF(AND(Units!$L23=1,EA$1=Units!$Q23),1,Inputs!$B$15)*Inputs!$B$16*(1+Inputs!$B$11)^(EA$2-1),0)</f>
        <v>0</v>
      </c>
      <c r="EB24" s="11" t="n">
        <f aca="false">IF(AND(EB$1&gt;=Units!$Q23,MOD(EB$1-Units!$Q23,12)=0),IF(AND(Units!$L23=1,EB$1=Units!$Q23),1,Inputs!$B$15)*Inputs!$B$16*(1+Inputs!$B$11)^(EB$2-1),0)</f>
        <v>671.958189672061</v>
      </c>
      <c r="EC24" s="11" t="n">
        <f aca="false">IF(AND(EC$1&gt;=Units!$Q23,MOD(EC$1-Units!$Q23,12)=0),IF(AND(Units!$L23=1,EC$1=Units!$Q23),1,Inputs!$B$15)*Inputs!$B$16*(1+Inputs!$B$11)^(EC$2-1),0)</f>
        <v>0</v>
      </c>
      <c r="ED24" s="11" t="n">
        <f aca="false">IF(AND(ED$1&gt;=Units!$Q23,MOD(ED$1-Units!$Q23,12)=0),IF(AND(Units!$L23=1,ED$1=Units!$Q23),1,Inputs!$B$15)*Inputs!$B$16*(1+Inputs!$B$11)^(ED$2-1),0)</f>
        <v>0</v>
      </c>
    </row>
    <row r="25" customFormat="false" ht="15" hidden="false" customHeight="false" outlineLevel="0" collapsed="false">
      <c r="A25" s="22" t="n">
        <f aca="false">Units!A24</f>
        <v>123</v>
      </c>
      <c r="B25" s="23"/>
      <c r="C25" s="11" t="n">
        <f aca="false">IF(AND(C$1&gt;=Units!$Q24,MOD(C$1-Units!$Q24,12)=0),IF(AND(Units!$L24=1,C$1=Units!$Q24),1,Inputs!$B$15)*Inputs!$B$16*(1+Inputs!$B$11)^(C$2-1),0)</f>
        <v>0</v>
      </c>
      <c r="D25" s="11" t="n">
        <f aca="false">IF(AND(D$1&gt;=Units!$Q24,MOD(D$1-Units!$Q24,12)=0),IF(AND(Units!$L24=1,D$1=Units!$Q24),1,Inputs!$B$15)*Inputs!$B$16*(1+Inputs!$B$11)^(D$2-1),0)</f>
        <v>0</v>
      </c>
      <c r="E25" s="11" t="n">
        <f aca="false">IF(AND(E$1&gt;=Units!$Q24,MOD(E$1-Units!$Q24,12)=0),IF(AND(Units!$L24=1,E$1=Units!$Q24),1,Inputs!$B$15)*Inputs!$B$16*(1+Inputs!$B$11)^(E$2-1),0)</f>
        <v>0</v>
      </c>
      <c r="F25" s="11" t="n">
        <f aca="false">IF(AND(F$1&gt;=Units!$Q24,MOD(F$1-Units!$Q24,12)=0),IF(AND(Units!$L24=1,F$1=Units!$Q24),1,Inputs!$B$15)*Inputs!$B$16*(1+Inputs!$B$11)^(F$2-1),0)</f>
        <v>0</v>
      </c>
      <c r="G25" s="11" t="n">
        <f aca="false">IF(AND(G$1&gt;=Units!$Q24,MOD(G$1-Units!$Q24,12)=0),IF(AND(Units!$L24=1,G$1=Units!$Q24),1,Inputs!$B$15)*Inputs!$B$16*(1+Inputs!$B$11)^(G$2-1),0)</f>
        <v>0</v>
      </c>
      <c r="H25" s="11" t="n">
        <f aca="false">IF(AND(H$1&gt;=Units!$Q24,MOD(H$1-Units!$Q24,12)=0),IF(AND(Units!$L24=1,H$1=Units!$Q24),1,Inputs!$B$15)*Inputs!$B$16*(1+Inputs!$B$11)^(H$2-1),0)</f>
        <v>0</v>
      </c>
      <c r="I25" s="11" t="n">
        <f aca="false">IF(AND(I$1&gt;=Units!$Q24,MOD(I$1-Units!$Q24,12)=0),IF(AND(Units!$L24=1,I$1=Units!$Q24),1,Inputs!$B$15)*Inputs!$B$16*(1+Inputs!$B$11)^(I$2-1),0)</f>
        <v>500</v>
      </c>
      <c r="J25" s="11" t="n">
        <f aca="false">IF(AND(J$1&gt;=Units!$Q24,MOD(J$1-Units!$Q24,12)=0),IF(AND(Units!$L24=1,J$1=Units!$Q24),1,Inputs!$B$15)*Inputs!$B$16*(1+Inputs!$B$11)^(J$2-1),0)</f>
        <v>0</v>
      </c>
      <c r="K25" s="11" t="n">
        <f aca="false">IF(AND(K$1&gt;=Units!$Q24,MOD(K$1-Units!$Q24,12)=0),IF(AND(Units!$L24=1,K$1=Units!$Q24),1,Inputs!$B$15)*Inputs!$B$16*(1+Inputs!$B$11)^(K$2-1),0)</f>
        <v>0</v>
      </c>
      <c r="L25" s="11" t="n">
        <f aca="false">IF(AND(L$1&gt;=Units!$Q24,MOD(L$1-Units!$Q24,12)=0),IF(AND(Units!$L24=1,L$1=Units!$Q24),1,Inputs!$B$15)*Inputs!$B$16*(1+Inputs!$B$11)^(L$2-1),0)</f>
        <v>0</v>
      </c>
      <c r="M25" s="11" t="n">
        <f aca="false">IF(AND(M$1&gt;=Units!$Q24,MOD(M$1-Units!$Q24,12)=0),IF(AND(Units!$L24=1,M$1=Units!$Q24),1,Inputs!$B$15)*Inputs!$B$16*(1+Inputs!$B$11)^(M$2-1),0)</f>
        <v>0</v>
      </c>
      <c r="N25" s="11" t="n">
        <f aca="false">IF(AND(N$1&gt;=Units!$Q24,MOD(N$1-Units!$Q24,12)=0),IF(AND(Units!$L24=1,N$1=Units!$Q24),1,Inputs!$B$15)*Inputs!$B$16*(1+Inputs!$B$11)^(N$2-1),0)</f>
        <v>0</v>
      </c>
      <c r="O25" s="11" t="n">
        <f aca="false">IF(AND(O$1&gt;=Units!$Q24,MOD(O$1-Units!$Q24,12)=0),IF(AND(Units!$L24=1,O$1=Units!$Q24),1,Inputs!$B$15)*Inputs!$B$16*(1+Inputs!$B$11)^(O$2-1),0)</f>
        <v>0</v>
      </c>
      <c r="P25" s="11" t="n">
        <f aca="false">IF(AND(P$1&gt;=Units!$Q24,MOD(P$1-Units!$Q24,12)=0),IF(AND(Units!$L24=1,P$1=Units!$Q24),1,Inputs!$B$15)*Inputs!$B$16*(1+Inputs!$B$11)^(P$2-1),0)</f>
        <v>0</v>
      </c>
      <c r="Q25" s="11" t="n">
        <f aca="false">IF(AND(Q$1&gt;=Units!$Q24,MOD(Q$1-Units!$Q24,12)=0),IF(AND(Units!$L24=1,Q$1=Units!$Q24),1,Inputs!$B$15)*Inputs!$B$16*(1+Inputs!$B$11)^(Q$2-1),0)</f>
        <v>0</v>
      </c>
      <c r="R25" s="11" t="n">
        <f aca="false">IF(AND(R$1&gt;=Units!$Q24,MOD(R$1-Units!$Q24,12)=0),IF(AND(Units!$L24=1,R$1=Units!$Q24),1,Inputs!$B$15)*Inputs!$B$16*(1+Inputs!$B$11)^(R$2-1),0)</f>
        <v>0</v>
      </c>
      <c r="S25" s="11" t="n">
        <f aca="false">IF(AND(S$1&gt;=Units!$Q24,MOD(S$1-Units!$Q24,12)=0),IF(AND(Units!$L24=1,S$1=Units!$Q24),1,Inputs!$B$15)*Inputs!$B$16*(1+Inputs!$B$11)^(S$2-1),0)</f>
        <v>0</v>
      </c>
      <c r="T25" s="11" t="n">
        <f aca="false">IF(AND(T$1&gt;=Units!$Q24,MOD(T$1-Units!$Q24,12)=0),IF(AND(Units!$L24=1,T$1=Units!$Q24),1,Inputs!$B$15)*Inputs!$B$16*(1+Inputs!$B$11)^(T$2-1),0)</f>
        <v>0</v>
      </c>
      <c r="U25" s="11" t="n">
        <f aca="false">IF(AND(U$1&gt;=Units!$Q24,MOD(U$1-Units!$Q24,12)=0),IF(AND(Units!$L24=1,U$1=Units!$Q24),1,Inputs!$B$15)*Inputs!$B$16*(1+Inputs!$B$11)^(U$2-1),0)</f>
        <v>515</v>
      </c>
      <c r="V25" s="11" t="n">
        <f aca="false">IF(AND(V$1&gt;=Units!$Q24,MOD(V$1-Units!$Q24,12)=0),IF(AND(Units!$L24=1,V$1=Units!$Q24),1,Inputs!$B$15)*Inputs!$B$16*(1+Inputs!$B$11)^(V$2-1),0)</f>
        <v>0</v>
      </c>
      <c r="W25" s="11" t="n">
        <f aca="false">IF(AND(W$1&gt;=Units!$Q24,MOD(W$1-Units!$Q24,12)=0),IF(AND(Units!$L24=1,W$1=Units!$Q24),1,Inputs!$B$15)*Inputs!$B$16*(1+Inputs!$B$11)^(W$2-1),0)</f>
        <v>0</v>
      </c>
      <c r="X25" s="11" t="n">
        <f aca="false">IF(AND(X$1&gt;=Units!$Q24,MOD(X$1-Units!$Q24,12)=0),IF(AND(Units!$L24=1,X$1=Units!$Q24),1,Inputs!$B$15)*Inputs!$B$16*(1+Inputs!$B$11)^(X$2-1),0)</f>
        <v>0</v>
      </c>
      <c r="Y25" s="11" t="n">
        <f aca="false">IF(AND(Y$1&gt;=Units!$Q24,MOD(Y$1-Units!$Q24,12)=0),IF(AND(Units!$L24=1,Y$1=Units!$Q24),1,Inputs!$B$15)*Inputs!$B$16*(1+Inputs!$B$11)^(Y$2-1),0)</f>
        <v>0</v>
      </c>
      <c r="Z25" s="11" t="n">
        <f aca="false">IF(AND(Z$1&gt;=Units!$Q24,MOD(Z$1-Units!$Q24,12)=0),IF(AND(Units!$L24=1,Z$1=Units!$Q24),1,Inputs!$B$15)*Inputs!$B$16*(1+Inputs!$B$11)^(Z$2-1),0)</f>
        <v>0</v>
      </c>
      <c r="AA25" s="11" t="n">
        <f aca="false">IF(AND(AA$1&gt;=Units!$Q24,MOD(AA$1-Units!$Q24,12)=0),IF(AND(Units!$L24=1,AA$1=Units!$Q24),1,Inputs!$B$15)*Inputs!$B$16*(1+Inputs!$B$11)^(AA$2-1),0)</f>
        <v>0</v>
      </c>
      <c r="AB25" s="11" t="n">
        <f aca="false">IF(AND(AB$1&gt;=Units!$Q24,MOD(AB$1-Units!$Q24,12)=0),IF(AND(Units!$L24=1,AB$1=Units!$Q24),1,Inputs!$B$15)*Inputs!$B$16*(1+Inputs!$B$11)^(AB$2-1),0)</f>
        <v>0</v>
      </c>
      <c r="AC25" s="11" t="n">
        <f aca="false">IF(AND(AC$1&gt;=Units!$Q24,MOD(AC$1-Units!$Q24,12)=0),IF(AND(Units!$L24=1,AC$1=Units!$Q24),1,Inputs!$B$15)*Inputs!$B$16*(1+Inputs!$B$11)^(AC$2-1),0)</f>
        <v>0</v>
      </c>
      <c r="AD25" s="11" t="n">
        <f aca="false">IF(AND(AD$1&gt;=Units!$Q24,MOD(AD$1-Units!$Q24,12)=0),IF(AND(Units!$L24=1,AD$1=Units!$Q24),1,Inputs!$B$15)*Inputs!$B$16*(1+Inputs!$B$11)^(AD$2-1),0)</f>
        <v>0</v>
      </c>
      <c r="AE25" s="11" t="n">
        <f aca="false">IF(AND(AE$1&gt;=Units!$Q24,MOD(AE$1-Units!$Q24,12)=0),IF(AND(Units!$L24=1,AE$1=Units!$Q24),1,Inputs!$B$15)*Inputs!$B$16*(1+Inputs!$B$11)^(AE$2-1),0)</f>
        <v>0</v>
      </c>
      <c r="AF25" s="11" t="n">
        <f aca="false">IF(AND(AF$1&gt;=Units!$Q24,MOD(AF$1-Units!$Q24,12)=0),IF(AND(Units!$L24=1,AF$1=Units!$Q24),1,Inputs!$B$15)*Inputs!$B$16*(1+Inputs!$B$11)^(AF$2-1),0)</f>
        <v>0</v>
      </c>
      <c r="AG25" s="11" t="n">
        <f aca="false">IF(AND(AG$1&gt;=Units!$Q24,MOD(AG$1-Units!$Q24,12)=0),IF(AND(Units!$L24=1,AG$1=Units!$Q24),1,Inputs!$B$15)*Inputs!$B$16*(1+Inputs!$B$11)^(AG$2-1),0)</f>
        <v>530.45</v>
      </c>
      <c r="AH25" s="11" t="n">
        <f aca="false">IF(AND(AH$1&gt;=Units!$Q24,MOD(AH$1-Units!$Q24,12)=0),IF(AND(Units!$L24=1,AH$1=Units!$Q24),1,Inputs!$B$15)*Inputs!$B$16*(1+Inputs!$B$11)^(AH$2-1),0)</f>
        <v>0</v>
      </c>
      <c r="AI25" s="11" t="n">
        <f aca="false">IF(AND(AI$1&gt;=Units!$Q24,MOD(AI$1-Units!$Q24,12)=0),IF(AND(Units!$L24=1,AI$1=Units!$Q24),1,Inputs!$B$15)*Inputs!$B$16*(1+Inputs!$B$11)^(AI$2-1),0)</f>
        <v>0</v>
      </c>
      <c r="AJ25" s="11" t="n">
        <f aca="false">IF(AND(AJ$1&gt;=Units!$Q24,MOD(AJ$1-Units!$Q24,12)=0),IF(AND(Units!$L24=1,AJ$1=Units!$Q24),1,Inputs!$B$15)*Inputs!$B$16*(1+Inputs!$B$11)^(AJ$2-1),0)</f>
        <v>0</v>
      </c>
      <c r="AK25" s="11" t="n">
        <f aca="false">IF(AND(AK$1&gt;=Units!$Q24,MOD(AK$1-Units!$Q24,12)=0),IF(AND(Units!$L24=1,AK$1=Units!$Q24),1,Inputs!$B$15)*Inputs!$B$16*(1+Inputs!$B$11)^(AK$2-1),0)</f>
        <v>0</v>
      </c>
      <c r="AL25" s="11" t="n">
        <f aca="false">IF(AND(AL$1&gt;=Units!$Q24,MOD(AL$1-Units!$Q24,12)=0),IF(AND(Units!$L24=1,AL$1=Units!$Q24),1,Inputs!$B$15)*Inputs!$B$16*(1+Inputs!$B$11)^(AL$2-1),0)</f>
        <v>0</v>
      </c>
      <c r="AM25" s="11" t="n">
        <f aca="false">IF(AND(AM$1&gt;=Units!$Q24,MOD(AM$1-Units!$Q24,12)=0),IF(AND(Units!$L24=1,AM$1=Units!$Q24),1,Inputs!$B$15)*Inputs!$B$16*(1+Inputs!$B$11)^(AM$2-1),0)</f>
        <v>0</v>
      </c>
      <c r="AN25" s="11" t="n">
        <f aca="false">IF(AND(AN$1&gt;=Units!$Q24,MOD(AN$1-Units!$Q24,12)=0),IF(AND(Units!$L24=1,AN$1=Units!$Q24),1,Inputs!$B$15)*Inputs!$B$16*(1+Inputs!$B$11)^(AN$2-1),0)</f>
        <v>0</v>
      </c>
      <c r="AO25" s="11" t="n">
        <f aca="false">IF(AND(AO$1&gt;=Units!$Q24,MOD(AO$1-Units!$Q24,12)=0),IF(AND(Units!$L24=1,AO$1=Units!$Q24),1,Inputs!$B$15)*Inputs!$B$16*(1+Inputs!$B$11)^(AO$2-1),0)</f>
        <v>0</v>
      </c>
      <c r="AP25" s="11" t="n">
        <f aca="false">IF(AND(AP$1&gt;=Units!$Q24,MOD(AP$1-Units!$Q24,12)=0),IF(AND(Units!$L24=1,AP$1=Units!$Q24),1,Inputs!$B$15)*Inputs!$B$16*(1+Inputs!$B$11)^(AP$2-1),0)</f>
        <v>0</v>
      </c>
      <c r="AQ25" s="11" t="n">
        <f aca="false">IF(AND(AQ$1&gt;=Units!$Q24,MOD(AQ$1-Units!$Q24,12)=0),IF(AND(Units!$L24=1,AQ$1=Units!$Q24),1,Inputs!$B$15)*Inputs!$B$16*(1+Inputs!$B$11)^(AQ$2-1),0)</f>
        <v>0</v>
      </c>
      <c r="AR25" s="11" t="n">
        <f aca="false">IF(AND(AR$1&gt;=Units!$Q24,MOD(AR$1-Units!$Q24,12)=0),IF(AND(Units!$L24=1,AR$1=Units!$Q24),1,Inputs!$B$15)*Inputs!$B$16*(1+Inputs!$B$11)^(AR$2-1),0)</f>
        <v>0</v>
      </c>
      <c r="AS25" s="11" t="n">
        <f aca="false">IF(AND(AS$1&gt;=Units!$Q24,MOD(AS$1-Units!$Q24,12)=0),IF(AND(Units!$L24=1,AS$1=Units!$Q24),1,Inputs!$B$15)*Inputs!$B$16*(1+Inputs!$B$11)^(AS$2-1),0)</f>
        <v>546.3635</v>
      </c>
      <c r="AT25" s="11" t="n">
        <f aca="false">IF(AND(AT$1&gt;=Units!$Q24,MOD(AT$1-Units!$Q24,12)=0),IF(AND(Units!$L24=1,AT$1=Units!$Q24),1,Inputs!$B$15)*Inputs!$B$16*(1+Inputs!$B$11)^(AT$2-1),0)</f>
        <v>0</v>
      </c>
      <c r="AU25" s="11" t="n">
        <f aca="false">IF(AND(AU$1&gt;=Units!$Q24,MOD(AU$1-Units!$Q24,12)=0),IF(AND(Units!$L24=1,AU$1=Units!$Q24),1,Inputs!$B$15)*Inputs!$B$16*(1+Inputs!$B$11)^(AU$2-1),0)</f>
        <v>0</v>
      </c>
      <c r="AV25" s="11" t="n">
        <f aca="false">IF(AND(AV$1&gt;=Units!$Q24,MOD(AV$1-Units!$Q24,12)=0),IF(AND(Units!$L24=1,AV$1=Units!$Q24),1,Inputs!$B$15)*Inputs!$B$16*(1+Inputs!$B$11)^(AV$2-1),0)</f>
        <v>0</v>
      </c>
      <c r="AW25" s="11" t="n">
        <f aca="false">IF(AND(AW$1&gt;=Units!$Q24,MOD(AW$1-Units!$Q24,12)=0),IF(AND(Units!$L24=1,AW$1=Units!$Q24),1,Inputs!$B$15)*Inputs!$B$16*(1+Inputs!$B$11)^(AW$2-1),0)</f>
        <v>0</v>
      </c>
      <c r="AX25" s="11" t="n">
        <f aca="false">IF(AND(AX$1&gt;=Units!$Q24,MOD(AX$1-Units!$Q24,12)=0),IF(AND(Units!$L24=1,AX$1=Units!$Q24),1,Inputs!$B$15)*Inputs!$B$16*(1+Inputs!$B$11)^(AX$2-1),0)</f>
        <v>0</v>
      </c>
      <c r="AY25" s="11" t="n">
        <f aca="false">IF(AND(AY$1&gt;=Units!$Q24,MOD(AY$1-Units!$Q24,12)=0),IF(AND(Units!$L24=1,AY$1=Units!$Q24),1,Inputs!$B$15)*Inputs!$B$16*(1+Inputs!$B$11)^(AY$2-1),0)</f>
        <v>0</v>
      </c>
      <c r="AZ25" s="11" t="n">
        <f aca="false">IF(AND(AZ$1&gt;=Units!$Q24,MOD(AZ$1-Units!$Q24,12)=0),IF(AND(Units!$L24=1,AZ$1=Units!$Q24),1,Inputs!$B$15)*Inputs!$B$16*(1+Inputs!$B$11)^(AZ$2-1),0)</f>
        <v>0</v>
      </c>
      <c r="BA25" s="11" t="n">
        <f aca="false">IF(AND(BA$1&gt;=Units!$Q24,MOD(BA$1-Units!$Q24,12)=0),IF(AND(Units!$L24=1,BA$1=Units!$Q24),1,Inputs!$B$15)*Inputs!$B$16*(1+Inputs!$B$11)^(BA$2-1),0)</f>
        <v>0</v>
      </c>
      <c r="BB25" s="11" t="n">
        <f aca="false">IF(AND(BB$1&gt;=Units!$Q24,MOD(BB$1-Units!$Q24,12)=0),IF(AND(Units!$L24=1,BB$1=Units!$Q24),1,Inputs!$B$15)*Inputs!$B$16*(1+Inputs!$B$11)^(BB$2-1),0)</f>
        <v>0</v>
      </c>
      <c r="BC25" s="11" t="n">
        <f aca="false">IF(AND(BC$1&gt;=Units!$Q24,MOD(BC$1-Units!$Q24,12)=0),IF(AND(Units!$L24=1,BC$1=Units!$Q24),1,Inputs!$B$15)*Inputs!$B$16*(1+Inputs!$B$11)^(BC$2-1),0)</f>
        <v>0</v>
      </c>
      <c r="BD25" s="11" t="n">
        <f aca="false">IF(AND(BD$1&gt;=Units!$Q24,MOD(BD$1-Units!$Q24,12)=0),IF(AND(Units!$L24=1,BD$1=Units!$Q24),1,Inputs!$B$15)*Inputs!$B$16*(1+Inputs!$B$11)^(BD$2-1),0)</f>
        <v>0</v>
      </c>
      <c r="BE25" s="11" t="n">
        <f aca="false">IF(AND(BE$1&gt;=Units!$Q24,MOD(BE$1-Units!$Q24,12)=0),IF(AND(Units!$L24=1,BE$1=Units!$Q24),1,Inputs!$B$15)*Inputs!$B$16*(1+Inputs!$B$11)^(BE$2-1),0)</f>
        <v>562.754405</v>
      </c>
      <c r="BF25" s="11" t="n">
        <f aca="false">IF(AND(BF$1&gt;=Units!$Q24,MOD(BF$1-Units!$Q24,12)=0),IF(AND(Units!$L24=1,BF$1=Units!$Q24),1,Inputs!$B$15)*Inputs!$B$16*(1+Inputs!$B$11)^(BF$2-1),0)</f>
        <v>0</v>
      </c>
      <c r="BG25" s="11" t="n">
        <f aca="false">IF(AND(BG$1&gt;=Units!$Q24,MOD(BG$1-Units!$Q24,12)=0),IF(AND(Units!$L24=1,BG$1=Units!$Q24),1,Inputs!$B$15)*Inputs!$B$16*(1+Inputs!$B$11)^(BG$2-1),0)</f>
        <v>0</v>
      </c>
      <c r="BH25" s="11" t="n">
        <f aca="false">IF(AND(BH$1&gt;=Units!$Q24,MOD(BH$1-Units!$Q24,12)=0),IF(AND(Units!$L24=1,BH$1=Units!$Q24),1,Inputs!$B$15)*Inputs!$B$16*(1+Inputs!$B$11)^(BH$2-1),0)</f>
        <v>0</v>
      </c>
      <c r="BI25" s="11" t="n">
        <f aca="false">IF(AND(BI$1&gt;=Units!$Q24,MOD(BI$1-Units!$Q24,12)=0),IF(AND(Units!$L24=1,BI$1=Units!$Q24),1,Inputs!$B$15)*Inputs!$B$16*(1+Inputs!$B$11)^(BI$2-1),0)</f>
        <v>0</v>
      </c>
      <c r="BJ25" s="11" t="n">
        <f aca="false">IF(AND(BJ$1&gt;=Units!$Q24,MOD(BJ$1-Units!$Q24,12)=0),IF(AND(Units!$L24=1,BJ$1=Units!$Q24),1,Inputs!$B$15)*Inputs!$B$16*(1+Inputs!$B$11)^(BJ$2-1),0)</f>
        <v>0</v>
      </c>
      <c r="BK25" s="11" t="n">
        <f aca="false">IF(AND(BK$1&gt;=Units!$Q24,MOD(BK$1-Units!$Q24,12)=0),IF(AND(Units!$L24=1,BK$1=Units!$Q24),1,Inputs!$B$15)*Inputs!$B$16*(1+Inputs!$B$11)^(BK$2-1),0)</f>
        <v>0</v>
      </c>
      <c r="BL25" s="11" t="n">
        <f aca="false">IF(AND(BL$1&gt;=Units!$Q24,MOD(BL$1-Units!$Q24,12)=0),IF(AND(Units!$L24=1,BL$1=Units!$Q24),1,Inputs!$B$15)*Inputs!$B$16*(1+Inputs!$B$11)^(BL$2-1),0)</f>
        <v>0</v>
      </c>
      <c r="BM25" s="11" t="n">
        <f aca="false">IF(AND(BM$1&gt;=Units!$Q24,MOD(BM$1-Units!$Q24,12)=0),IF(AND(Units!$L24=1,BM$1=Units!$Q24),1,Inputs!$B$15)*Inputs!$B$16*(1+Inputs!$B$11)^(BM$2-1),0)</f>
        <v>0</v>
      </c>
      <c r="BN25" s="11" t="n">
        <f aca="false">IF(AND(BN$1&gt;=Units!$Q24,MOD(BN$1-Units!$Q24,12)=0),IF(AND(Units!$L24=1,BN$1=Units!$Q24),1,Inputs!$B$15)*Inputs!$B$16*(1+Inputs!$B$11)^(BN$2-1),0)</f>
        <v>0</v>
      </c>
      <c r="BO25" s="11" t="n">
        <f aca="false">IF(AND(BO$1&gt;=Units!$Q24,MOD(BO$1-Units!$Q24,12)=0),IF(AND(Units!$L24=1,BO$1=Units!$Q24),1,Inputs!$B$15)*Inputs!$B$16*(1+Inputs!$B$11)^(BO$2-1),0)</f>
        <v>0</v>
      </c>
      <c r="BP25" s="11" t="n">
        <f aca="false">IF(AND(BP$1&gt;=Units!$Q24,MOD(BP$1-Units!$Q24,12)=0),IF(AND(Units!$L24=1,BP$1=Units!$Q24),1,Inputs!$B$15)*Inputs!$B$16*(1+Inputs!$B$11)^(BP$2-1),0)</f>
        <v>0</v>
      </c>
      <c r="BQ25" s="11" t="n">
        <f aca="false">IF(AND(BQ$1&gt;=Units!$Q24,MOD(BQ$1-Units!$Q24,12)=0),IF(AND(Units!$L24=1,BQ$1=Units!$Q24),1,Inputs!$B$15)*Inputs!$B$16*(1+Inputs!$B$11)^(BQ$2-1),0)</f>
        <v>579.63703715</v>
      </c>
      <c r="BR25" s="11" t="n">
        <f aca="false">IF(AND(BR$1&gt;=Units!$Q24,MOD(BR$1-Units!$Q24,12)=0),IF(AND(Units!$L24=1,BR$1=Units!$Q24),1,Inputs!$B$15)*Inputs!$B$16*(1+Inputs!$B$11)^(BR$2-1),0)</f>
        <v>0</v>
      </c>
      <c r="BS25" s="11" t="n">
        <f aca="false">IF(AND(BS$1&gt;=Units!$Q24,MOD(BS$1-Units!$Q24,12)=0),IF(AND(Units!$L24=1,BS$1=Units!$Q24),1,Inputs!$B$15)*Inputs!$B$16*(1+Inputs!$B$11)^(BS$2-1),0)</f>
        <v>0</v>
      </c>
      <c r="BT25" s="11" t="n">
        <f aca="false">IF(AND(BT$1&gt;=Units!$Q24,MOD(BT$1-Units!$Q24,12)=0),IF(AND(Units!$L24=1,BT$1=Units!$Q24),1,Inputs!$B$15)*Inputs!$B$16*(1+Inputs!$B$11)^(BT$2-1),0)</f>
        <v>0</v>
      </c>
      <c r="BU25" s="11" t="n">
        <f aca="false">IF(AND(BU$1&gt;=Units!$Q24,MOD(BU$1-Units!$Q24,12)=0),IF(AND(Units!$L24=1,BU$1=Units!$Q24),1,Inputs!$B$15)*Inputs!$B$16*(1+Inputs!$B$11)^(BU$2-1),0)</f>
        <v>0</v>
      </c>
      <c r="BV25" s="11" t="n">
        <f aca="false">IF(AND(BV$1&gt;=Units!$Q24,MOD(BV$1-Units!$Q24,12)=0),IF(AND(Units!$L24=1,BV$1=Units!$Q24),1,Inputs!$B$15)*Inputs!$B$16*(1+Inputs!$B$11)^(BV$2-1),0)</f>
        <v>0</v>
      </c>
      <c r="BW25" s="11" t="n">
        <f aca="false">IF(AND(BW$1&gt;=Units!$Q24,MOD(BW$1-Units!$Q24,12)=0),IF(AND(Units!$L24=1,BW$1=Units!$Q24),1,Inputs!$B$15)*Inputs!$B$16*(1+Inputs!$B$11)^(BW$2-1),0)</f>
        <v>0</v>
      </c>
      <c r="BX25" s="11" t="n">
        <f aca="false">IF(AND(BX$1&gt;=Units!$Q24,MOD(BX$1-Units!$Q24,12)=0),IF(AND(Units!$L24=1,BX$1=Units!$Q24),1,Inputs!$B$15)*Inputs!$B$16*(1+Inputs!$B$11)^(BX$2-1),0)</f>
        <v>0</v>
      </c>
      <c r="BY25" s="11" t="n">
        <f aca="false">IF(AND(BY$1&gt;=Units!$Q24,MOD(BY$1-Units!$Q24,12)=0),IF(AND(Units!$L24=1,BY$1=Units!$Q24),1,Inputs!$B$15)*Inputs!$B$16*(1+Inputs!$B$11)^(BY$2-1),0)</f>
        <v>0</v>
      </c>
      <c r="BZ25" s="11" t="n">
        <f aca="false">IF(AND(BZ$1&gt;=Units!$Q24,MOD(BZ$1-Units!$Q24,12)=0),IF(AND(Units!$L24=1,BZ$1=Units!$Q24),1,Inputs!$B$15)*Inputs!$B$16*(1+Inputs!$B$11)^(BZ$2-1),0)</f>
        <v>0</v>
      </c>
      <c r="CA25" s="11" t="n">
        <f aca="false">IF(AND(CA$1&gt;=Units!$Q24,MOD(CA$1-Units!$Q24,12)=0),IF(AND(Units!$L24=1,CA$1=Units!$Q24),1,Inputs!$B$15)*Inputs!$B$16*(1+Inputs!$B$11)^(CA$2-1),0)</f>
        <v>0</v>
      </c>
      <c r="CB25" s="11" t="n">
        <f aca="false">IF(AND(CB$1&gt;=Units!$Q24,MOD(CB$1-Units!$Q24,12)=0),IF(AND(Units!$L24=1,CB$1=Units!$Q24),1,Inputs!$B$15)*Inputs!$B$16*(1+Inputs!$B$11)^(CB$2-1),0)</f>
        <v>0</v>
      </c>
      <c r="CC25" s="11" t="n">
        <f aca="false">IF(AND(CC$1&gt;=Units!$Q24,MOD(CC$1-Units!$Q24,12)=0),IF(AND(Units!$L24=1,CC$1=Units!$Q24),1,Inputs!$B$15)*Inputs!$B$16*(1+Inputs!$B$11)^(CC$2-1),0)</f>
        <v>597.0261482645</v>
      </c>
      <c r="CD25" s="11" t="n">
        <f aca="false">IF(AND(CD$1&gt;=Units!$Q24,MOD(CD$1-Units!$Q24,12)=0),IF(AND(Units!$L24=1,CD$1=Units!$Q24),1,Inputs!$B$15)*Inputs!$B$16*(1+Inputs!$B$11)^(CD$2-1),0)</f>
        <v>0</v>
      </c>
      <c r="CE25" s="11" t="n">
        <f aca="false">IF(AND(CE$1&gt;=Units!$Q24,MOD(CE$1-Units!$Q24,12)=0),IF(AND(Units!$L24=1,CE$1=Units!$Q24),1,Inputs!$B$15)*Inputs!$B$16*(1+Inputs!$B$11)^(CE$2-1),0)</f>
        <v>0</v>
      </c>
      <c r="CF25" s="11" t="n">
        <f aca="false">IF(AND(CF$1&gt;=Units!$Q24,MOD(CF$1-Units!$Q24,12)=0),IF(AND(Units!$L24=1,CF$1=Units!$Q24),1,Inputs!$B$15)*Inputs!$B$16*(1+Inputs!$B$11)^(CF$2-1),0)</f>
        <v>0</v>
      </c>
      <c r="CG25" s="11" t="n">
        <f aca="false">IF(AND(CG$1&gt;=Units!$Q24,MOD(CG$1-Units!$Q24,12)=0),IF(AND(Units!$L24=1,CG$1=Units!$Q24),1,Inputs!$B$15)*Inputs!$B$16*(1+Inputs!$B$11)^(CG$2-1),0)</f>
        <v>0</v>
      </c>
      <c r="CH25" s="11" t="n">
        <f aca="false">IF(AND(CH$1&gt;=Units!$Q24,MOD(CH$1-Units!$Q24,12)=0),IF(AND(Units!$L24=1,CH$1=Units!$Q24),1,Inputs!$B$15)*Inputs!$B$16*(1+Inputs!$B$11)^(CH$2-1),0)</f>
        <v>0</v>
      </c>
      <c r="CI25" s="11" t="n">
        <f aca="false">IF(AND(CI$1&gt;=Units!$Q24,MOD(CI$1-Units!$Q24,12)=0),IF(AND(Units!$L24=1,CI$1=Units!$Q24),1,Inputs!$B$15)*Inputs!$B$16*(1+Inputs!$B$11)^(CI$2-1),0)</f>
        <v>0</v>
      </c>
      <c r="CJ25" s="11" t="n">
        <f aca="false">IF(AND(CJ$1&gt;=Units!$Q24,MOD(CJ$1-Units!$Q24,12)=0),IF(AND(Units!$L24=1,CJ$1=Units!$Q24),1,Inputs!$B$15)*Inputs!$B$16*(1+Inputs!$B$11)^(CJ$2-1),0)</f>
        <v>0</v>
      </c>
      <c r="CK25" s="11" t="n">
        <f aca="false">IF(AND(CK$1&gt;=Units!$Q24,MOD(CK$1-Units!$Q24,12)=0),IF(AND(Units!$L24=1,CK$1=Units!$Q24),1,Inputs!$B$15)*Inputs!$B$16*(1+Inputs!$B$11)^(CK$2-1),0)</f>
        <v>0</v>
      </c>
      <c r="CL25" s="11" t="n">
        <f aca="false">IF(AND(CL$1&gt;=Units!$Q24,MOD(CL$1-Units!$Q24,12)=0),IF(AND(Units!$L24=1,CL$1=Units!$Q24),1,Inputs!$B$15)*Inputs!$B$16*(1+Inputs!$B$11)^(CL$2-1),0)</f>
        <v>0</v>
      </c>
      <c r="CM25" s="11" t="n">
        <f aca="false">IF(AND(CM$1&gt;=Units!$Q24,MOD(CM$1-Units!$Q24,12)=0),IF(AND(Units!$L24=1,CM$1=Units!$Q24),1,Inputs!$B$15)*Inputs!$B$16*(1+Inputs!$B$11)^(CM$2-1),0)</f>
        <v>0</v>
      </c>
      <c r="CN25" s="11" t="n">
        <f aca="false">IF(AND(CN$1&gt;=Units!$Q24,MOD(CN$1-Units!$Q24,12)=0),IF(AND(Units!$L24=1,CN$1=Units!$Q24),1,Inputs!$B$15)*Inputs!$B$16*(1+Inputs!$B$11)^(CN$2-1),0)</f>
        <v>0</v>
      </c>
      <c r="CO25" s="11" t="n">
        <f aca="false">IF(AND(CO$1&gt;=Units!$Q24,MOD(CO$1-Units!$Q24,12)=0),IF(AND(Units!$L24=1,CO$1=Units!$Q24),1,Inputs!$B$15)*Inputs!$B$16*(1+Inputs!$B$11)^(CO$2-1),0)</f>
        <v>614.936932712435</v>
      </c>
      <c r="CP25" s="11" t="n">
        <f aca="false">IF(AND(CP$1&gt;=Units!$Q24,MOD(CP$1-Units!$Q24,12)=0),IF(AND(Units!$L24=1,CP$1=Units!$Q24),1,Inputs!$B$15)*Inputs!$B$16*(1+Inputs!$B$11)^(CP$2-1),0)</f>
        <v>0</v>
      </c>
      <c r="CQ25" s="11" t="n">
        <f aca="false">IF(AND(CQ$1&gt;=Units!$Q24,MOD(CQ$1-Units!$Q24,12)=0),IF(AND(Units!$L24=1,CQ$1=Units!$Q24),1,Inputs!$B$15)*Inputs!$B$16*(1+Inputs!$B$11)^(CQ$2-1),0)</f>
        <v>0</v>
      </c>
      <c r="CR25" s="11" t="n">
        <f aca="false">IF(AND(CR$1&gt;=Units!$Q24,MOD(CR$1-Units!$Q24,12)=0),IF(AND(Units!$L24=1,CR$1=Units!$Q24),1,Inputs!$B$15)*Inputs!$B$16*(1+Inputs!$B$11)^(CR$2-1),0)</f>
        <v>0</v>
      </c>
      <c r="CS25" s="11" t="n">
        <f aca="false">IF(AND(CS$1&gt;=Units!$Q24,MOD(CS$1-Units!$Q24,12)=0),IF(AND(Units!$L24=1,CS$1=Units!$Q24),1,Inputs!$B$15)*Inputs!$B$16*(1+Inputs!$B$11)^(CS$2-1),0)</f>
        <v>0</v>
      </c>
      <c r="CT25" s="11" t="n">
        <f aca="false">IF(AND(CT$1&gt;=Units!$Q24,MOD(CT$1-Units!$Q24,12)=0),IF(AND(Units!$L24=1,CT$1=Units!$Q24),1,Inputs!$B$15)*Inputs!$B$16*(1+Inputs!$B$11)^(CT$2-1),0)</f>
        <v>0</v>
      </c>
      <c r="CU25" s="11" t="n">
        <f aca="false">IF(AND(CU$1&gt;=Units!$Q24,MOD(CU$1-Units!$Q24,12)=0),IF(AND(Units!$L24=1,CU$1=Units!$Q24),1,Inputs!$B$15)*Inputs!$B$16*(1+Inputs!$B$11)^(CU$2-1),0)</f>
        <v>0</v>
      </c>
      <c r="CV25" s="11" t="n">
        <f aca="false">IF(AND(CV$1&gt;=Units!$Q24,MOD(CV$1-Units!$Q24,12)=0),IF(AND(Units!$L24=1,CV$1=Units!$Q24),1,Inputs!$B$15)*Inputs!$B$16*(1+Inputs!$B$11)^(CV$2-1),0)</f>
        <v>0</v>
      </c>
      <c r="CW25" s="11" t="n">
        <f aca="false">IF(AND(CW$1&gt;=Units!$Q24,MOD(CW$1-Units!$Q24,12)=0),IF(AND(Units!$L24=1,CW$1=Units!$Q24),1,Inputs!$B$15)*Inputs!$B$16*(1+Inputs!$B$11)^(CW$2-1),0)</f>
        <v>0</v>
      </c>
      <c r="CX25" s="11" t="n">
        <f aca="false">IF(AND(CX$1&gt;=Units!$Q24,MOD(CX$1-Units!$Q24,12)=0),IF(AND(Units!$L24=1,CX$1=Units!$Q24),1,Inputs!$B$15)*Inputs!$B$16*(1+Inputs!$B$11)^(CX$2-1),0)</f>
        <v>0</v>
      </c>
      <c r="CY25" s="11" t="n">
        <f aca="false">IF(AND(CY$1&gt;=Units!$Q24,MOD(CY$1-Units!$Q24,12)=0),IF(AND(Units!$L24=1,CY$1=Units!$Q24),1,Inputs!$B$15)*Inputs!$B$16*(1+Inputs!$B$11)^(CY$2-1),0)</f>
        <v>0</v>
      </c>
      <c r="CZ25" s="11" t="n">
        <f aca="false">IF(AND(CZ$1&gt;=Units!$Q24,MOD(CZ$1-Units!$Q24,12)=0),IF(AND(Units!$L24=1,CZ$1=Units!$Q24),1,Inputs!$B$15)*Inputs!$B$16*(1+Inputs!$B$11)^(CZ$2-1),0)</f>
        <v>0</v>
      </c>
      <c r="DA25" s="11" t="n">
        <f aca="false">IF(AND(DA$1&gt;=Units!$Q24,MOD(DA$1-Units!$Q24,12)=0),IF(AND(Units!$L24=1,DA$1=Units!$Q24),1,Inputs!$B$15)*Inputs!$B$16*(1+Inputs!$B$11)^(DA$2-1),0)</f>
        <v>633.385040693808</v>
      </c>
      <c r="DB25" s="11" t="n">
        <f aca="false">IF(AND(DB$1&gt;=Units!$Q24,MOD(DB$1-Units!$Q24,12)=0),IF(AND(Units!$L24=1,DB$1=Units!$Q24),1,Inputs!$B$15)*Inputs!$B$16*(1+Inputs!$B$11)^(DB$2-1),0)</f>
        <v>0</v>
      </c>
      <c r="DC25" s="11" t="n">
        <f aca="false">IF(AND(DC$1&gt;=Units!$Q24,MOD(DC$1-Units!$Q24,12)=0),IF(AND(Units!$L24=1,DC$1=Units!$Q24),1,Inputs!$B$15)*Inputs!$B$16*(1+Inputs!$B$11)^(DC$2-1),0)</f>
        <v>0</v>
      </c>
      <c r="DD25" s="11" t="n">
        <f aca="false">IF(AND(DD$1&gt;=Units!$Q24,MOD(DD$1-Units!$Q24,12)=0),IF(AND(Units!$L24=1,DD$1=Units!$Q24),1,Inputs!$B$15)*Inputs!$B$16*(1+Inputs!$B$11)^(DD$2-1),0)</f>
        <v>0</v>
      </c>
      <c r="DE25" s="11" t="n">
        <f aca="false">IF(AND(DE$1&gt;=Units!$Q24,MOD(DE$1-Units!$Q24,12)=0),IF(AND(Units!$L24=1,DE$1=Units!$Q24),1,Inputs!$B$15)*Inputs!$B$16*(1+Inputs!$B$11)^(DE$2-1),0)</f>
        <v>0</v>
      </c>
      <c r="DF25" s="11" t="n">
        <f aca="false">IF(AND(DF$1&gt;=Units!$Q24,MOD(DF$1-Units!$Q24,12)=0),IF(AND(Units!$L24=1,DF$1=Units!$Q24),1,Inputs!$B$15)*Inputs!$B$16*(1+Inputs!$B$11)^(DF$2-1),0)</f>
        <v>0</v>
      </c>
      <c r="DG25" s="11" t="n">
        <f aca="false">IF(AND(DG$1&gt;=Units!$Q24,MOD(DG$1-Units!$Q24,12)=0),IF(AND(Units!$L24=1,DG$1=Units!$Q24),1,Inputs!$B$15)*Inputs!$B$16*(1+Inputs!$B$11)^(DG$2-1),0)</f>
        <v>0</v>
      </c>
      <c r="DH25" s="11" t="n">
        <f aca="false">IF(AND(DH$1&gt;=Units!$Q24,MOD(DH$1-Units!$Q24,12)=0),IF(AND(Units!$L24=1,DH$1=Units!$Q24),1,Inputs!$B$15)*Inputs!$B$16*(1+Inputs!$B$11)^(DH$2-1),0)</f>
        <v>0</v>
      </c>
      <c r="DI25" s="11" t="n">
        <f aca="false">IF(AND(DI$1&gt;=Units!$Q24,MOD(DI$1-Units!$Q24,12)=0),IF(AND(Units!$L24=1,DI$1=Units!$Q24),1,Inputs!$B$15)*Inputs!$B$16*(1+Inputs!$B$11)^(DI$2-1),0)</f>
        <v>0</v>
      </c>
      <c r="DJ25" s="11" t="n">
        <f aca="false">IF(AND(DJ$1&gt;=Units!$Q24,MOD(DJ$1-Units!$Q24,12)=0),IF(AND(Units!$L24=1,DJ$1=Units!$Q24),1,Inputs!$B$15)*Inputs!$B$16*(1+Inputs!$B$11)^(DJ$2-1),0)</f>
        <v>0</v>
      </c>
      <c r="DK25" s="11" t="n">
        <f aca="false">IF(AND(DK$1&gt;=Units!$Q24,MOD(DK$1-Units!$Q24,12)=0),IF(AND(Units!$L24=1,DK$1=Units!$Q24),1,Inputs!$B$15)*Inputs!$B$16*(1+Inputs!$B$11)^(DK$2-1),0)</f>
        <v>0</v>
      </c>
      <c r="DL25" s="11" t="n">
        <f aca="false">IF(AND(DL$1&gt;=Units!$Q24,MOD(DL$1-Units!$Q24,12)=0),IF(AND(Units!$L24=1,DL$1=Units!$Q24),1,Inputs!$B$15)*Inputs!$B$16*(1+Inputs!$B$11)^(DL$2-1),0)</f>
        <v>0</v>
      </c>
      <c r="DM25" s="11" t="n">
        <f aca="false">IF(AND(DM$1&gt;=Units!$Q24,MOD(DM$1-Units!$Q24,12)=0),IF(AND(Units!$L24=1,DM$1=Units!$Q24),1,Inputs!$B$15)*Inputs!$B$16*(1+Inputs!$B$11)^(DM$2-1),0)</f>
        <v>652.386591914623</v>
      </c>
      <c r="DN25" s="11" t="n">
        <f aca="false">IF(AND(DN$1&gt;=Units!$Q24,MOD(DN$1-Units!$Q24,12)=0),IF(AND(Units!$L24=1,DN$1=Units!$Q24),1,Inputs!$B$15)*Inputs!$B$16*(1+Inputs!$B$11)^(DN$2-1),0)</f>
        <v>0</v>
      </c>
      <c r="DO25" s="11" t="n">
        <f aca="false">IF(AND(DO$1&gt;=Units!$Q24,MOD(DO$1-Units!$Q24,12)=0),IF(AND(Units!$L24=1,DO$1=Units!$Q24),1,Inputs!$B$15)*Inputs!$B$16*(1+Inputs!$B$11)^(DO$2-1),0)</f>
        <v>0</v>
      </c>
      <c r="DP25" s="11" t="n">
        <f aca="false">IF(AND(DP$1&gt;=Units!$Q24,MOD(DP$1-Units!$Q24,12)=0),IF(AND(Units!$L24=1,DP$1=Units!$Q24),1,Inputs!$B$15)*Inputs!$B$16*(1+Inputs!$B$11)^(DP$2-1),0)</f>
        <v>0</v>
      </c>
      <c r="DQ25" s="11" t="n">
        <f aca="false">IF(AND(DQ$1&gt;=Units!$Q24,MOD(DQ$1-Units!$Q24,12)=0),IF(AND(Units!$L24=1,DQ$1=Units!$Q24),1,Inputs!$B$15)*Inputs!$B$16*(1+Inputs!$B$11)^(DQ$2-1),0)</f>
        <v>0</v>
      </c>
      <c r="DR25" s="11" t="n">
        <f aca="false">IF(AND(DR$1&gt;=Units!$Q24,MOD(DR$1-Units!$Q24,12)=0),IF(AND(Units!$L24=1,DR$1=Units!$Q24),1,Inputs!$B$15)*Inputs!$B$16*(1+Inputs!$B$11)^(DR$2-1),0)</f>
        <v>0</v>
      </c>
      <c r="DS25" s="11" t="n">
        <f aca="false">IF(AND(DS$1&gt;=Units!$Q24,MOD(DS$1-Units!$Q24,12)=0),IF(AND(Units!$L24=1,DS$1=Units!$Q24),1,Inputs!$B$15)*Inputs!$B$16*(1+Inputs!$B$11)^(DS$2-1),0)</f>
        <v>0</v>
      </c>
      <c r="DT25" s="11" t="n">
        <f aca="false">IF(AND(DT$1&gt;=Units!$Q24,MOD(DT$1-Units!$Q24,12)=0),IF(AND(Units!$L24=1,DT$1=Units!$Q24),1,Inputs!$B$15)*Inputs!$B$16*(1+Inputs!$B$11)^(DT$2-1),0)</f>
        <v>0</v>
      </c>
      <c r="DU25" s="11" t="n">
        <f aca="false">IF(AND(DU$1&gt;=Units!$Q24,MOD(DU$1-Units!$Q24,12)=0),IF(AND(Units!$L24=1,DU$1=Units!$Q24),1,Inputs!$B$15)*Inputs!$B$16*(1+Inputs!$B$11)^(DU$2-1),0)</f>
        <v>0</v>
      </c>
      <c r="DV25" s="11" t="n">
        <f aca="false">IF(AND(DV$1&gt;=Units!$Q24,MOD(DV$1-Units!$Q24,12)=0),IF(AND(Units!$L24=1,DV$1=Units!$Q24),1,Inputs!$B$15)*Inputs!$B$16*(1+Inputs!$B$11)^(DV$2-1),0)</f>
        <v>0</v>
      </c>
      <c r="DW25" s="11" t="n">
        <f aca="false">IF(AND(DW$1&gt;=Units!$Q24,MOD(DW$1-Units!$Q24,12)=0),IF(AND(Units!$L24=1,DW$1=Units!$Q24),1,Inputs!$B$15)*Inputs!$B$16*(1+Inputs!$B$11)^(DW$2-1),0)</f>
        <v>0</v>
      </c>
      <c r="DX25" s="11" t="n">
        <f aca="false">IF(AND(DX$1&gt;=Units!$Q24,MOD(DX$1-Units!$Q24,12)=0),IF(AND(Units!$L24=1,DX$1=Units!$Q24),1,Inputs!$B$15)*Inputs!$B$16*(1+Inputs!$B$11)^(DX$2-1),0)</f>
        <v>0</v>
      </c>
      <c r="DY25" s="11" t="n">
        <f aca="false">IF(AND(DY$1&gt;=Units!$Q24,MOD(DY$1-Units!$Q24,12)=0),IF(AND(Units!$L24=1,DY$1=Units!$Q24),1,Inputs!$B$15)*Inputs!$B$16*(1+Inputs!$B$11)^(DY$2-1),0)</f>
        <v>671.958189672061</v>
      </c>
      <c r="DZ25" s="11" t="n">
        <f aca="false">IF(AND(DZ$1&gt;=Units!$Q24,MOD(DZ$1-Units!$Q24,12)=0),IF(AND(Units!$L24=1,DZ$1=Units!$Q24),1,Inputs!$B$15)*Inputs!$B$16*(1+Inputs!$B$11)^(DZ$2-1),0)</f>
        <v>0</v>
      </c>
      <c r="EA25" s="11" t="n">
        <f aca="false">IF(AND(EA$1&gt;=Units!$Q24,MOD(EA$1-Units!$Q24,12)=0),IF(AND(Units!$L24=1,EA$1=Units!$Q24),1,Inputs!$B$15)*Inputs!$B$16*(1+Inputs!$B$11)^(EA$2-1),0)</f>
        <v>0</v>
      </c>
      <c r="EB25" s="11" t="n">
        <f aca="false">IF(AND(EB$1&gt;=Units!$Q24,MOD(EB$1-Units!$Q24,12)=0),IF(AND(Units!$L24=1,EB$1=Units!$Q24),1,Inputs!$B$15)*Inputs!$B$16*(1+Inputs!$B$11)^(EB$2-1),0)</f>
        <v>0</v>
      </c>
      <c r="EC25" s="11" t="n">
        <f aca="false">IF(AND(EC$1&gt;=Units!$Q24,MOD(EC$1-Units!$Q24,12)=0),IF(AND(Units!$L24=1,EC$1=Units!$Q24),1,Inputs!$B$15)*Inputs!$B$16*(1+Inputs!$B$11)^(EC$2-1),0)</f>
        <v>0</v>
      </c>
      <c r="ED25" s="11" t="n">
        <f aca="false">IF(AND(ED$1&gt;=Units!$Q24,MOD(ED$1-Units!$Q24,12)=0),IF(AND(Units!$L24=1,ED$1=Units!$Q24),1,Inputs!$B$15)*Inputs!$B$16*(1+Inputs!$B$11)^(ED$2-1),0)</f>
        <v>0</v>
      </c>
    </row>
    <row r="26" customFormat="false" ht="15" hidden="false" customHeight="false" outlineLevel="0" collapsed="false">
      <c r="A26" s="22" t="n">
        <f aca="false">Units!A25</f>
        <v>124</v>
      </c>
      <c r="B26" s="23"/>
      <c r="C26" s="11" t="n">
        <f aca="false">IF(AND(C$1&gt;=Units!$Q25,MOD(C$1-Units!$Q25,12)=0),IF(AND(Units!$L25=1,C$1=Units!$Q25),1,Inputs!$B$15)*Inputs!$B$16*(1+Inputs!$B$11)^(C$2-1),0)</f>
        <v>0</v>
      </c>
      <c r="D26" s="11" t="n">
        <f aca="false">IF(AND(D$1&gt;=Units!$Q25,MOD(D$1-Units!$Q25,12)=0),IF(AND(Units!$L25=1,D$1=Units!$Q25),1,Inputs!$B$15)*Inputs!$B$16*(1+Inputs!$B$11)^(D$2-1),0)</f>
        <v>0</v>
      </c>
      <c r="E26" s="11" t="n">
        <f aca="false">IF(AND(E$1&gt;=Units!$Q25,MOD(E$1-Units!$Q25,12)=0),IF(AND(Units!$L25=1,E$1=Units!$Q25),1,Inputs!$B$15)*Inputs!$B$16*(1+Inputs!$B$11)^(E$2-1),0)</f>
        <v>0</v>
      </c>
      <c r="F26" s="11" t="n">
        <f aca="false">IF(AND(F$1&gt;=Units!$Q25,MOD(F$1-Units!$Q25,12)=0),IF(AND(Units!$L25=1,F$1=Units!$Q25),1,Inputs!$B$15)*Inputs!$B$16*(1+Inputs!$B$11)^(F$2-1),0)</f>
        <v>0</v>
      </c>
      <c r="G26" s="11" t="n">
        <f aca="false">IF(AND(G$1&gt;=Units!$Q25,MOD(G$1-Units!$Q25,12)=0),IF(AND(Units!$L25=1,G$1=Units!$Q25),1,Inputs!$B$15)*Inputs!$B$16*(1+Inputs!$B$11)^(G$2-1),0)</f>
        <v>0</v>
      </c>
      <c r="H26" s="11" t="n">
        <f aca="false">IF(AND(H$1&gt;=Units!$Q25,MOD(H$1-Units!$Q25,12)=0),IF(AND(Units!$L25=1,H$1=Units!$Q25),1,Inputs!$B$15)*Inputs!$B$16*(1+Inputs!$B$11)^(H$2-1),0)</f>
        <v>0</v>
      </c>
      <c r="I26" s="11" t="n">
        <f aca="false">IF(AND(I$1&gt;=Units!$Q25,MOD(I$1-Units!$Q25,12)=0),IF(AND(Units!$L25=1,I$1=Units!$Q25),1,Inputs!$B$15)*Inputs!$B$16*(1+Inputs!$B$11)^(I$2-1),0)</f>
        <v>0</v>
      </c>
      <c r="J26" s="11" t="n">
        <f aca="false">IF(AND(J$1&gt;=Units!$Q25,MOD(J$1-Units!$Q25,12)=0),IF(AND(Units!$L25=1,J$1=Units!$Q25),1,Inputs!$B$15)*Inputs!$B$16*(1+Inputs!$B$11)^(J$2-1),0)</f>
        <v>0</v>
      </c>
      <c r="K26" s="11" t="n">
        <f aca="false">IF(AND(K$1&gt;=Units!$Q25,MOD(K$1-Units!$Q25,12)=0),IF(AND(Units!$L25=1,K$1=Units!$Q25),1,Inputs!$B$15)*Inputs!$B$16*(1+Inputs!$B$11)^(K$2-1),0)</f>
        <v>0</v>
      </c>
      <c r="L26" s="11" t="n">
        <f aca="false">IF(AND(L$1&gt;=Units!$Q25,MOD(L$1-Units!$Q25,12)=0),IF(AND(Units!$L25=1,L$1=Units!$Q25),1,Inputs!$B$15)*Inputs!$B$16*(1+Inputs!$B$11)^(L$2-1),0)</f>
        <v>0</v>
      </c>
      <c r="M26" s="11" t="n">
        <f aca="false">IF(AND(M$1&gt;=Units!$Q25,MOD(M$1-Units!$Q25,12)=0),IF(AND(Units!$L25=1,M$1=Units!$Q25),1,Inputs!$B$15)*Inputs!$B$16*(1+Inputs!$B$11)^(M$2-1),0)</f>
        <v>500</v>
      </c>
      <c r="N26" s="11" t="n">
        <f aca="false">IF(AND(N$1&gt;=Units!$Q25,MOD(N$1-Units!$Q25,12)=0),IF(AND(Units!$L25=1,N$1=Units!$Q25),1,Inputs!$B$15)*Inputs!$B$16*(1+Inputs!$B$11)^(N$2-1),0)</f>
        <v>0</v>
      </c>
      <c r="O26" s="11" t="n">
        <f aca="false">IF(AND(O$1&gt;=Units!$Q25,MOD(O$1-Units!$Q25,12)=0),IF(AND(Units!$L25=1,O$1=Units!$Q25),1,Inputs!$B$15)*Inputs!$B$16*(1+Inputs!$B$11)^(O$2-1),0)</f>
        <v>0</v>
      </c>
      <c r="P26" s="11" t="n">
        <f aca="false">IF(AND(P$1&gt;=Units!$Q25,MOD(P$1-Units!$Q25,12)=0),IF(AND(Units!$L25=1,P$1=Units!$Q25),1,Inputs!$B$15)*Inputs!$B$16*(1+Inputs!$B$11)^(P$2-1),0)</f>
        <v>0</v>
      </c>
      <c r="Q26" s="11" t="n">
        <f aca="false">IF(AND(Q$1&gt;=Units!$Q25,MOD(Q$1-Units!$Q25,12)=0),IF(AND(Units!$L25=1,Q$1=Units!$Q25),1,Inputs!$B$15)*Inputs!$B$16*(1+Inputs!$B$11)^(Q$2-1),0)</f>
        <v>0</v>
      </c>
      <c r="R26" s="11" t="n">
        <f aca="false">IF(AND(R$1&gt;=Units!$Q25,MOD(R$1-Units!$Q25,12)=0),IF(AND(Units!$L25=1,R$1=Units!$Q25),1,Inputs!$B$15)*Inputs!$B$16*(1+Inputs!$B$11)^(R$2-1),0)</f>
        <v>0</v>
      </c>
      <c r="S26" s="11" t="n">
        <f aca="false">IF(AND(S$1&gt;=Units!$Q25,MOD(S$1-Units!$Q25,12)=0),IF(AND(Units!$L25=1,S$1=Units!$Q25),1,Inputs!$B$15)*Inputs!$B$16*(1+Inputs!$B$11)^(S$2-1),0)</f>
        <v>0</v>
      </c>
      <c r="T26" s="11" t="n">
        <f aca="false">IF(AND(T$1&gt;=Units!$Q25,MOD(T$1-Units!$Q25,12)=0),IF(AND(Units!$L25=1,T$1=Units!$Q25),1,Inputs!$B$15)*Inputs!$B$16*(1+Inputs!$B$11)^(T$2-1),0)</f>
        <v>0</v>
      </c>
      <c r="U26" s="11" t="n">
        <f aca="false">IF(AND(U$1&gt;=Units!$Q25,MOD(U$1-Units!$Q25,12)=0),IF(AND(Units!$L25=1,U$1=Units!$Q25),1,Inputs!$B$15)*Inputs!$B$16*(1+Inputs!$B$11)^(U$2-1),0)</f>
        <v>0</v>
      </c>
      <c r="V26" s="11" t="n">
        <f aca="false">IF(AND(V$1&gt;=Units!$Q25,MOD(V$1-Units!$Q25,12)=0),IF(AND(Units!$L25=1,V$1=Units!$Q25),1,Inputs!$B$15)*Inputs!$B$16*(1+Inputs!$B$11)^(V$2-1),0)</f>
        <v>0</v>
      </c>
      <c r="W26" s="11" t="n">
        <f aca="false">IF(AND(W$1&gt;=Units!$Q25,MOD(W$1-Units!$Q25,12)=0),IF(AND(Units!$L25=1,W$1=Units!$Q25),1,Inputs!$B$15)*Inputs!$B$16*(1+Inputs!$B$11)^(W$2-1),0)</f>
        <v>0</v>
      </c>
      <c r="X26" s="11" t="n">
        <f aca="false">IF(AND(X$1&gt;=Units!$Q25,MOD(X$1-Units!$Q25,12)=0),IF(AND(Units!$L25=1,X$1=Units!$Q25),1,Inputs!$B$15)*Inputs!$B$16*(1+Inputs!$B$11)^(X$2-1),0)</f>
        <v>0</v>
      </c>
      <c r="Y26" s="11" t="n">
        <f aca="false">IF(AND(Y$1&gt;=Units!$Q25,MOD(Y$1-Units!$Q25,12)=0),IF(AND(Units!$L25=1,Y$1=Units!$Q25),1,Inputs!$B$15)*Inputs!$B$16*(1+Inputs!$B$11)^(Y$2-1),0)</f>
        <v>515</v>
      </c>
      <c r="Z26" s="11" t="n">
        <f aca="false">IF(AND(Z$1&gt;=Units!$Q25,MOD(Z$1-Units!$Q25,12)=0),IF(AND(Units!$L25=1,Z$1=Units!$Q25),1,Inputs!$B$15)*Inputs!$B$16*(1+Inputs!$B$11)^(Z$2-1),0)</f>
        <v>0</v>
      </c>
      <c r="AA26" s="11" t="n">
        <f aca="false">IF(AND(AA$1&gt;=Units!$Q25,MOD(AA$1-Units!$Q25,12)=0),IF(AND(Units!$L25=1,AA$1=Units!$Q25),1,Inputs!$B$15)*Inputs!$B$16*(1+Inputs!$B$11)^(AA$2-1),0)</f>
        <v>0</v>
      </c>
      <c r="AB26" s="11" t="n">
        <f aca="false">IF(AND(AB$1&gt;=Units!$Q25,MOD(AB$1-Units!$Q25,12)=0),IF(AND(Units!$L25=1,AB$1=Units!$Q25),1,Inputs!$B$15)*Inputs!$B$16*(1+Inputs!$B$11)^(AB$2-1),0)</f>
        <v>0</v>
      </c>
      <c r="AC26" s="11" t="n">
        <f aca="false">IF(AND(AC$1&gt;=Units!$Q25,MOD(AC$1-Units!$Q25,12)=0),IF(AND(Units!$L25=1,AC$1=Units!$Q25),1,Inputs!$B$15)*Inputs!$B$16*(1+Inputs!$B$11)^(AC$2-1),0)</f>
        <v>0</v>
      </c>
      <c r="AD26" s="11" t="n">
        <f aca="false">IF(AND(AD$1&gt;=Units!$Q25,MOD(AD$1-Units!$Q25,12)=0),IF(AND(Units!$L25=1,AD$1=Units!$Q25),1,Inputs!$B$15)*Inputs!$B$16*(1+Inputs!$B$11)^(AD$2-1),0)</f>
        <v>0</v>
      </c>
      <c r="AE26" s="11" t="n">
        <f aca="false">IF(AND(AE$1&gt;=Units!$Q25,MOD(AE$1-Units!$Q25,12)=0),IF(AND(Units!$L25=1,AE$1=Units!$Q25),1,Inputs!$B$15)*Inputs!$B$16*(1+Inputs!$B$11)^(AE$2-1),0)</f>
        <v>0</v>
      </c>
      <c r="AF26" s="11" t="n">
        <f aca="false">IF(AND(AF$1&gt;=Units!$Q25,MOD(AF$1-Units!$Q25,12)=0),IF(AND(Units!$L25=1,AF$1=Units!$Q25),1,Inputs!$B$15)*Inputs!$B$16*(1+Inputs!$B$11)^(AF$2-1),0)</f>
        <v>0</v>
      </c>
      <c r="AG26" s="11" t="n">
        <f aca="false">IF(AND(AG$1&gt;=Units!$Q25,MOD(AG$1-Units!$Q25,12)=0),IF(AND(Units!$L25=1,AG$1=Units!$Q25),1,Inputs!$B$15)*Inputs!$B$16*(1+Inputs!$B$11)^(AG$2-1),0)</f>
        <v>0</v>
      </c>
      <c r="AH26" s="11" t="n">
        <f aca="false">IF(AND(AH$1&gt;=Units!$Q25,MOD(AH$1-Units!$Q25,12)=0),IF(AND(Units!$L25=1,AH$1=Units!$Q25),1,Inputs!$B$15)*Inputs!$B$16*(1+Inputs!$B$11)^(AH$2-1),0)</f>
        <v>0</v>
      </c>
      <c r="AI26" s="11" t="n">
        <f aca="false">IF(AND(AI$1&gt;=Units!$Q25,MOD(AI$1-Units!$Q25,12)=0),IF(AND(Units!$L25=1,AI$1=Units!$Q25),1,Inputs!$B$15)*Inputs!$B$16*(1+Inputs!$B$11)^(AI$2-1),0)</f>
        <v>0</v>
      </c>
      <c r="AJ26" s="11" t="n">
        <f aca="false">IF(AND(AJ$1&gt;=Units!$Q25,MOD(AJ$1-Units!$Q25,12)=0),IF(AND(Units!$L25=1,AJ$1=Units!$Q25),1,Inputs!$B$15)*Inputs!$B$16*(1+Inputs!$B$11)^(AJ$2-1),0)</f>
        <v>0</v>
      </c>
      <c r="AK26" s="11" t="n">
        <f aca="false">IF(AND(AK$1&gt;=Units!$Q25,MOD(AK$1-Units!$Q25,12)=0),IF(AND(Units!$L25=1,AK$1=Units!$Q25),1,Inputs!$B$15)*Inputs!$B$16*(1+Inputs!$B$11)^(AK$2-1),0)</f>
        <v>530.45</v>
      </c>
      <c r="AL26" s="11" t="n">
        <f aca="false">IF(AND(AL$1&gt;=Units!$Q25,MOD(AL$1-Units!$Q25,12)=0),IF(AND(Units!$L25=1,AL$1=Units!$Q25),1,Inputs!$B$15)*Inputs!$B$16*(1+Inputs!$B$11)^(AL$2-1),0)</f>
        <v>0</v>
      </c>
      <c r="AM26" s="11" t="n">
        <f aca="false">IF(AND(AM$1&gt;=Units!$Q25,MOD(AM$1-Units!$Q25,12)=0),IF(AND(Units!$L25=1,AM$1=Units!$Q25),1,Inputs!$B$15)*Inputs!$B$16*(1+Inputs!$B$11)^(AM$2-1),0)</f>
        <v>0</v>
      </c>
      <c r="AN26" s="11" t="n">
        <f aca="false">IF(AND(AN$1&gt;=Units!$Q25,MOD(AN$1-Units!$Q25,12)=0),IF(AND(Units!$L25=1,AN$1=Units!$Q25),1,Inputs!$B$15)*Inputs!$B$16*(1+Inputs!$B$11)^(AN$2-1),0)</f>
        <v>0</v>
      </c>
      <c r="AO26" s="11" t="n">
        <f aca="false">IF(AND(AO$1&gt;=Units!$Q25,MOD(AO$1-Units!$Q25,12)=0),IF(AND(Units!$L25=1,AO$1=Units!$Q25),1,Inputs!$B$15)*Inputs!$B$16*(1+Inputs!$B$11)^(AO$2-1),0)</f>
        <v>0</v>
      </c>
      <c r="AP26" s="11" t="n">
        <f aca="false">IF(AND(AP$1&gt;=Units!$Q25,MOD(AP$1-Units!$Q25,12)=0),IF(AND(Units!$L25=1,AP$1=Units!$Q25),1,Inputs!$B$15)*Inputs!$B$16*(1+Inputs!$B$11)^(AP$2-1),0)</f>
        <v>0</v>
      </c>
      <c r="AQ26" s="11" t="n">
        <f aca="false">IF(AND(AQ$1&gt;=Units!$Q25,MOD(AQ$1-Units!$Q25,12)=0),IF(AND(Units!$L25=1,AQ$1=Units!$Q25),1,Inputs!$B$15)*Inputs!$B$16*(1+Inputs!$B$11)^(AQ$2-1),0)</f>
        <v>0</v>
      </c>
      <c r="AR26" s="11" t="n">
        <f aca="false">IF(AND(AR$1&gt;=Units!$Q25,MOD(AR$1-Units!$Q25,12)=0),IF(AND(Units!$L25=1,AR$1=Units!$Q25),1,Inputs!$B$15)*Inputs!$B$16*(1+Inputs!$B$11)^(AR$2-1),0)</f>
        <v>0</v>
      </c>
      <c r="AS26" s="11" t="n">
        <f aca="false">IF(AND(AS$1&gt;=Units!$Q25,MOD(AS$1-Units!$Q25,12)=0),IF(AND(Units!$L25=1,AS$1=Units!$Q25),1,Inputs!$B$15)*Inputs!$B$16*(1+Inputs!$B$11)^(AS$2-1),0)</f>
        <v>0</v>
      </c>
      <c r="AT26" s="11" t="n">
        <f aca="false">IF(AND(AT$1&gt;=Units!$Q25,MOD(AT$1-Units!$Q25,12)=0),IF(AND(Units!$L25=1,AT$1=Units!$Q25),1,Inputs!$B$15)*Inputs!$B$16*(1+Inputs!$B$11)^(AT$2-1),0)</f>
        <v>0</v>
      </c>
      <c r="AU26" s="11" t="n">
        <f aca="false">IF(AND(AU$1&gt;=Units!$Q25,MOD(AU$1-Units!$Q25,12)=0),IF(AND(Units!$L25=1,AU$1=Units!$Q25),1,Inputs!$B$15)*Inputs!$B$16*(1+Inputs!$B$11)^(AU$2-1),0)</f>
        <v>0</v>
      </c>
      <c r="AV26" s="11" t="n">
        <f aca="false">IF(AND(AV$1&gt;=Units!$Q25,MOD(AV$1-Units!$Q25,12)=0),IF(AND(Units!$L25=1,AV$1=Units!$Q25),1,Inputs!$B$15)*Inputs!$B$16*(1+Inputs!$B$11)^(AV$2-1),0)</f>
        <v>0</v>
      </c>
      <c r="AW26" s="11" t="n">
        <f aca="false">IF(AND(AW$1&gt;=Units!$Q25,MOD(AW$1-Units!$Q25,12)=0),IF(AND(Units!$L25=1,AW$1=Units!$Q25),1,Inputs!$B$15)*Inputs!$B$16*(1+Inputs!$B$11)^(AW$2-1),0)</f>
        <v>546.3635</v>
      </c>
      <c r="AX26" s="11" t="n">
        <f aca="false">IF(AND(AX$1&gt;=Units!$Q25,MOD(AX$1-Units!$Q25,12)=0),IF(AND(Units!$L25=1,AX$1=Units!$Q25),1,Inputs!$B$15)*Inputs!$B$16*(1+Inputs!$B$11)^(AX$2-1),0)</f>
        <v>0</v>
      </c>
      <c r="AY26" s="11" t="n">
        <f aca="false">IF(AND(AY$1&gt;=Units!$Q25,MOD(AY$1-Units!$Q25,12)=0),IF(AND(Units!$L25=1,AY$1=Units!$Q25),1,Inputs!$B$15)*Inputs!$B$16*(1+Inputs!$B$11)^(AY$2-1),0)</f>
        <v>0</v>
      </c>
      <c r="AZ26" s="11" t="n">
        <f aca="false">IF(AND(AZ$1&gt;=Units!$Q25,MOD(AZ$1-Units!$Q25,12)=0),IF(AND(Units!$L25=1,AZ$1=Units!$Q25),1,Inputs!$B$15)*Inputs!$B$16*(1+Inputs!$B$11)^(AZ$2-1),0)</f>
        <v>0</v>
      </c>
      <c r="BA26" s="11" t="n">
        <f aca="false">IF(AND(BA$1&gt;=Units!$Q25,MOD(BA$1-Units!$Q25,12)=0),IF(AND(Units!$L25=1,BA$1=Units!$Q25),1,Inputs!$B$15)*Inputs!$B$16*(1+Inputs!$B$11)^(BA$2-1),0)</f>
        <v>0</v>
      </c>
      <c r="BB26" s="11" t="n">
        <f aca="false">IF(AND(BB$1&gt;=Units!$Q25,MOD(BB$1-Units!$Q25,12)=0),IF(AND(Units!$L25=1,BB$1=Units!$Q25),1,Inputs!$B$15)*Inputs!$B$16*(1+Inputs!$B$11)^(BB$2-1),0)</f>
        <v>0</v>
      </c>
      <c r="BC26" s="11" t="n">
        <f aca="false">IF(AND(BC$1&gt;=Units!$Q25,MOD(BC$1-Units!$Q25,12)=0),IF(AND(Units!$L25=1,BC$1=Units!$Q25),1,Inputs!$B$15)*Inputs!$B$16*(1+Inputs!$B$11)^(BC$2-1),0)</f>
        <v>0</v>
      </c>
      <c r="BD26" s="11" t="n">
        <f aca="false">IF(AND(BD$1&gt;=Units!$Q25,MOD(BD$1-Units!$Q25,12)=0),IF(AND(Units!$L25=1,BD$1=Units!$Q25),1,Inputs!$B$15)*Inputs!$B$16*(1+Inputs!$B$11)^(BD$2-1),0)</f>
        <v>0</v>
      </c>
      <c r="BE26" s="11" t="n">
        <f aca="false">IF(AND(BE$1&gt;=Units!$Q25,MOD(BE$1-Units!$Q25,12)=0),IF(AND(Units!$L25=1,BE$1=Units!$Q25),1,Inputs!$B$15)*Inputs!$B$16*(1+Inputs!$B$11)^(BE$2-1),0)</f>
        <v>0</v>
      </c>
      <c r="BF26" s="11" t="n">
        <f aca="false">IF(AND(BF$1&gt;=Units!$Q25,MOD(BF$1-Units!$Q25,12)=0),IF(AND(Units!$L25=1,BF$1=Units!$Q25),1,Inputs!$B$15)*Inputs!$B$16*(1+Inputs!$B$11)^(BF$2-1),0)</f>
        <v>0</v>
      </c>
      <c r="BG26" s="11" t="n">
        <f aca="false">IF(AND(BG$1&gt;=Units!$Q25,MOD(BG$1-Units!$Q25,12)=0),IF(AND(Units!$L25=1,BG$1=Units!$Q25),1,Inputs!$B$15)*Inputs!$B$16*(1+Inputs!$B$11)^(BG$2-1),0)</f>
        <v>0</v>
      </c>
      <c r="BH26" s="11" t="n">
        <f aca="false">IF(AND(BH$1&gt;=Units!$Q25,MOD(BH$1-Units!$Q25,12)=0),IF(AND(Units!$L25=1,BH$1=Units!$Q25),1,Inputs!$B$15)*Inputs!$B$16*(1+Inputs!$B$11)^(BH$2-1),0)</f>
        <v>0</v>
      </c>
      <c r="BI26" s="11" t="n">
        <f aca="false">IF(AND(BI$1&gt;=Units!$Q25,MOD(BI$1-Units!$Q25,12)=0),IF(AND(Units!$L25=1,BI$1=Units!$Q25),1,Inputs!$B$15)*Inputs!$B$16*(1+Inputs!$B$11)^(BI$2-1),0)</f>
        <v>562.754405</v>
      </c>
      <c r="BJ26" s="11" t="n">
        <f aca="false">IF(AND(BJ$1&gt;=Units!$Q25,MOD(BJ$1-Units!$Q25,12)=0),IF(AND(Units!$L25=1,BJ$1=Units!$Q25),1,Inputs!$B$15)*Inputs!$B$16*(1+Inputs!$B$11)^(BJ$2-1),0)</f>
        <v>0</v>
      </c>
      <c r="BK26" s="11" t="n">
        <f aca="false">IF(AND(BK$1&gt;=Units!$Q25,MOD(BK$1-Units!$Q25,12)=0),IF(AND(Units!$L25=1,BK$1=Units!$Q25),1,Inputs!$B$15)*Inputs!$B$16*(1+Inputs!$B$11)^(BK$2-1),0)</f>
        <v>0</v>
      </c>
      <c r="BL26" s="11" t="n">
        <f aca="false">IF(AND(BL$1&gt;=Units!$Q25,MOD(BL$1-Units!$Q25,12)=0),IF(AND(Units!$L25=1,BL$1=Units!$Q25),1,Inputs!$B$15)*Inputs!$B$16*(1+Inputs!$B$11)^(BL$2-1),0)</f>
        <v>0</v>
      </c>
      <c r="BM26" s="11" t="n">
        <f aca="false">IF(AND(BM$1&gt;=Units!$Q25,MOD(BM$1-Units!$Q25,12)=0),IF(AND(Units!$L25=1,BM$1=Units!$Q25),1,Inputs!$B$15)*Inputs!$B$16*(1+Inputs!$B$11)^(BM$2-1),0)</f>
        <v>0</v>
      </c>
      <c r="BN26" s="11" t="n">
        <f aca="false">IF(AND(BN$1&gt;=Units!$Q25,MOD(BN$1-Units!$Q25,12)=0),IF(AND(Units!$L25=1,BN$1=Units!$Q25),1,Inputs!$B$15)*Inputs!$B$16*(1+Inputs!$B$11)^(BN$2-1),0)</f>
        <v>0</v>
      </c>
      <c r="BO26" s="11" t="n">
        <f aca="false">IF(AND(BO$1&gt;=Units!$Q25,MOD(BO$1-Units!$Q25,12)=0),IF(AND(Units!$L25=1,BO$1=Units!$Q25),1,Inputs!$B$15)*Inputs!$B$16*(1+Inputs!$B$11)^(BO$2-1),0)</f>
        <v>0</v>
      </c>
      <c r="BP26" s="11" t="n">
        <f aca="false">IF(AND(BP$1&gt;=Units!$Q25,MOD(BP$1-Units!$Q25,12)=0),IF(AND(Units!$L25=1,BP$1=Units!$Q25),1,Inputs!$B$15)*Inputs!$B$16*(1+Inputs!$B$11)^(BP$2-1),0)</f>
        <v>0</v>
      </c>
      <c r="BQ26" s="11" t="n">
        <f aca="false">IF(AND(BQ$1&gt;=Units!$Q25,MOD(BQ$1-Units!$Q25,12)=0),IF(AND(Units!$L25=1,BQ$1=Units!$Q25),1,Inputs!$B$15)*Inputs!$B$16*(1+Inputs!$B$11)^(BQ$2-1),0)</f>
        <v>0</v>
      </c>
      <c r="BR26" s="11" t="n">
        <f aca="false">IF(AND(BR$1&gt;=Units!$Q25,MOD(BR$1-Units!$Q25,12)=0),IF(AND(Units!$L25=1,BR$1=Units!$Q25),1,Inputs!$B$15)*Inputs!$B$16*(1+Inputs!$B$11)^(BR$2-1),0)</f>
        <v>0</v>
      </c>
      <c r="BS26" s="11" t="n">
        <f aca="false">IF(AND(BS$1&gt;=Units!$Q25,MOD(BS$1-Units!$Q25,12)=0),IF(AND(Units!$L25=1,BS$1=Units!$Q25),1,Inputs!$B$15)*Inputs!$B$16*(1+Inputs!$B$11)^(BS$2-1),0)</f>
        <v>0</v>
      </c>
      <c r="BT26" s="11" t="n">
        <f aca="false">IF(AND(BT$1&gt;=Units!$Q25,MOD(BT$1-Units!$Q25,12)=0),IF(AND(Units!$L25=1,BT$1=Units!$Q25),1,Inputs!$B$15)*Inputs!$B$16*(1+Inputs!$B$11)^(BT$2-1),0)</f>
        <v>0</v>
      </c>
      <c r="BU26" s="11" t="n">
        <f aca="false">IF(AND(BU$1&gt;=Units!$Q25,MOD(BU$1-Units!$Q25,12)=0),IF(AND(Units!$L25=1,BU$1=Units!$Q25),1,Inputs!$B$15)*Inputs!$B$16*(1+Inputs!$B$11)^(BU$2-1),0)</f>
        <v>579.63703715</v>
      </c>
      <c r="BV26" s="11" t="n">
        <f aca="false">IF(AND(BV$1&gt;=Units!$Q25,MOD(BV$1-Units!$Q25,12)=0),IF(AND(Units!$L25=1,BV$1=Units!$Q25),1,Inputs!$B$15)*Inputs!$B$16*(1+Inputs!$B$11)^(BV$2-1),0)</f>
        <v>0</v>
      </c>
      <c r="BW26" s="11" t="n">
        <f aca="false">IF(AND(BW$1&gt;=Units!$Q25,MOD(BW$1-Units!$Q25,12)=0),IF(AND(Units!$L25=1,BW$1=Units!$Q25),1,Inputs!$B$15)*Inputs!$B$16*(1+Inputs!$B$11)^(BW$2-1),0)</f>
        <v>0</v>
      </c>
      <c r="BX26" s="11" t="n">
        <f aca="false">IF(AND(BX$1&gt;=Units!$Q25,MOD(BX$1-Units!$Q25,12)=0),IF(AND(Units!$L25=1,BX$1=Units!$Q25),1,Inputs!$B$15)*Inputs!$B$16*(1+Inputs!$B$11)^(BX$2-1),0)</f>
        <v>0</v>
      </c>
      <c r="BY26" s="11" t="n">
        <f aca="false">IF(AND(BY$1&gt;=Units!$Q25,MOD(BY$1-Units!$Q25,12)=0),IF(AND(Units!$L25=1,BY$1=Units!$Q25),1,Inputs!$B$15)*Inputs!$B$16*(1+Inputs!$B$11)^(BY$2-1),0)</f>
        <v>0</v>
      </c>
      <c r="BZ26" s="11" t="n">
        <f aca="false">IF(AND(BZ$1&gt;=Units!$Q25,MOD(BZ$1-Units!$Q25,12)=0),IF(AND(Units!$L25=1,BZ$1=Units!$Q25),1,Inputs!$B$15)*Inputs!$B$16*(1+Inputs!$B$11)^(BZ$2-1),0)</f>
        <v>0</v>
      </c>
      <c r="CA26" s="11" t="n">
        <f aca="false">IF(AND(CA$1&gt;=Units!$Q25,MOD(CA$1-Units!$Q25,12)=0),IF(AND(Units!$L25=1,CA$1=Units!$Q25),1,Inputs!$B$15)*Inputs!$B$16*(1+Inputs!$B$11)^(CA$2-1),0)</f>
        <v>0</v>
      </c>
      <c r="CB26" s="11" t="n">
        <f aca="false">IF(AND(CB$1&gt;=Units!$Q25,MOD(CB$1-Units!$Q25,12)=0),IF(AND(Units!$L25=1,CB$1=Units!$Q25),1,Inputs!$B$15)*Inputs!$B$16*(1+Inputs!$B$11)^(CB$2-1),0)</f>
        <v>0</v>
      </c>
      <c r="CC26" s="11" t="n">
        <f aca="false">IF(AND(CC$1&gt;=Units!$Q25,MOD(CC$1-Units!$Q25,12)=0),IF(AND(Units!$L25=1,CC$1=Units!$Q25),1,Inputs!$B$15)*Inputs!$B$16*(1+Inputs!$B$11)^(CC$2-1),0)</f>
        <v>0</v>
      </c>
      <c r="CD26" s="11" t="n">
        <f aca="false">IF(AND(CD$1&gt;=Units!$Q25,MOD(CD$1-Units!$Q25,12)=0),IF(AND(Units!$L25=1,CD$1=Units!$Q25),1,Inputs!$B$15)*Inputs!$B$16*(1+Inputs!$B$11)^(CD$2-1),0)</f>
        <v>0</v>
      </c>
      <c r="CE26" s="11" t="n">
        <f aca="false">IF(AND(CE$1&gt;=Units!$Q25,MOD(CE$1-Units!$Q25,12)=0),IF(AND(Units!$L25=1,CE$1=Units!$Q25),1,Inputs!$B$15)*Inputs!$B$16*(1+Inputs!$B$11)^(CE$2-1),0)</f>
        <v>0</v>
      </c>
      <c r="CF26" s="11" t="n">
        <f aca="false">IF(AND(CF$1&gt;=Units!$Q25,MOD(CF$1-Units!$Q25,12)=0),IF(AND(Units!$L25=1,CF$1=Units!$Q25),1,Inputs!$B$15)*Inputs!$B$16*(1+Inputs!$B$11)^(CF$2-1),0)</f>
        <v>0</v>
      </c>
      <c r="CG26" s="11" t="n">
        <f aca="false">IF(AND(CG$1&gt;=Units!$Q25,MOD(CG$1-Units!$Q25,12)=0),IF(AND(Units!$L25=1,CG$1=Units!$Q25),1,Inputs!$B$15)*Inputs!$B$16*(1+Inputs!$B$11)^(CG$2-1),0)</f>
        <v>597.0261482645</v>
      </c>
      <c r="CH26" s="11" t="n">
        <f aca="false">IF(AND(CH$1&gt;=Units!$Q25,MOD(CH$1-Units!$Q25,12)=0),IF(AND(Units!$L25=1,CH$1=Units!$Q25),1,Inputs!$B$15)*Inputs!$B$16*(1+Inputs!$B$11)^(CH$2-1),0)</f>
        <v>0</v>
      </c>
      <c r="CI26" s="11" t="n">
        <f aca="false">IF(AND(CI$1&gt;=Units!$Q25,MOD(CI$1-Units!$Q25,12)=0),IF(AND(Units!$L25=1,CI$1=Units!$Q25),1,Inputs!$B$15)*Inputs!$B$16*(1+Inputs!$B$11)^(CI$2-1),0)</f>
        <v>0</v>
      </c>
      <c r="CJ26" s="11" t="n">
        <f aca="false">IF(AND(CJ$1&gt;=Units!$Q25,MOD(CJ$1-Units!$Q25,12)=0),IF(AND(Units!$L25=1,CJ$1=Units!$Q25),1,Inputs!$B$15)*Inputs!$B$16*(1+Inputs!$B$11)^(CJ$2-1),0)</f>
        <v>0</v>
      </c>
      <c r="CK26" s="11" t="n">
        <f aca="false">IF(AND(CK$1&gt;=Units!$Q25,MOD(CK$1-Units!$Q25,12)=0),IF(AND(Units!$L25=1,CK$1=Units!$Q25),1,Inputs!$B$15)*Inputs!$B$16*(1+Inputs!$B$11)^(CK$2-1),0)</f>
        <v>0</v>
      </c>
      <c r="CL26" s="11" t="n">
        <f aca="false">IF(AND(CL$1&gt;=Units!$Q25,MOD(CL$1-Units!$Q25,12)=0),IF(AND(Units!$L25=1,CL$1=Units!$Q25),1,Inputs!$B$15)*Inputs!$B$16*(1+Inputs!$B$11)^(CL$2-1),0)</f>
        <v>0</v>
      </c>
      <c r="CM26" s="11" t="n">
        <f aca="false">IF(AND(CM$1&gt;=Units!$Q25,MOD(CM$1-Units!$Q25,12)=0),IF(AND(Units!$L25=1,CM$1=Units!$Q25),1,Inputs!$B$15)*Inputs!$B$16*(1+Inputs!$B$11)^(CM$2-1),0)</f>
        <v>0</v>
      </c>
      <c r="CN26" s="11" t="n">
        <f aca="false">IF(AND(CN$1&gt;=Units!$Q25,MOD(CN$1-Units!$Q25,12)=0),IF(AND(Units!$L25=1,CN$1=Units!$Q25),1,Inputs!$B$15)*Inputs!$B$16*(1+Inputs!$B$11)^(CN$2-1),0)</f>
        <v>0</v>
      </c>
      <c r="CO26" s="11" t="n">
        <f aca="false">IF(AND(CO$1&gt;=Units!$Q25,MOD(CO$1-Units!$Q25,12)=0),IF(AND(Units!$L25=1,CO$1=Units!$Q25),1,Inputs!$B$15)*Inputs!$B$16*(1+Inputs!$B$11)^(CO$2-1),0)</f>
        <v>0</v>
      </c>
      <c r="CP26" s="11" t="n">
        <f aca="false">IF(AND(CP$1&gt;=Units!$Q25,MOD(CP$1-Units!$Q25,12)=0),IF(AND(Units!$L25=1,CP$1=Units!$Q25),1,Inputs!$B$15)*Inputs!$B$16*(1+Inputs!$B$11)^(CP$2-1),0)</f>
        <v>0</v>
      </c>
      <c r="CQ26" s="11" t="n">
        <f aca="false">IF(AND(CQ$1&gt;=Units!$Q25,MOD(CQ$1-Units!$Q25,12)=0),IF(AND(Units!$L25=1,CQ$1=Units!$Q25),1,Inputs!$B$15)*Inputs!$B$16*(1+Inputs!$B$11)^(CQ$2-1),0)</f>
        <v>0</v>
      </c>
      <c r="CR26" s="11" t="n">
        <f aca="false">IF(AND(CR$1&gt;=Units!$Q25,MOD(CR$1-Units!$Q25,12)=0),IF(AND(Units!$L25=1,CR$1=Units!$Q25),1,Inputs!$B$15)*Inputs!$B$16*(1+Inputs!$B$11)^(CR$2-1),0)</f>
        <v>0</v>
      </c>
      <c r="CS26" s="11" t="n">
        <f aca="false">IF(AND(CS$1&gt;=Units!$Q25,MOD(CS$1-Units!$Q25,12)=0),IF(AND(Units!$L25=1,CS$1=Units!$Q25),1,Inputs!$B$15)*Inputs!$B$16*(1+Inputs!$B$11)^(CS$2-1),0)</f>
        <v>614.936932712435</v>
      </c>
      <c r="CT26" s="11" t="n">
        <f aca="false">IF(AND(CT$1&gt;=Units!$Q25,MOD(CT$1-Units!$Q25,12)=0),IF(AND(Units!$L25=1,CT$1=Units!$Q25),1,Inputs!$B$15)*Inputs!$B$16*(1+Inputs!$B$11)^(CT$2-1),0)</f>
        <v>0</v>
      </c>
      <c r="CU26" s="11" t="n">
        <f aca="false">IF(AND(CU$1&gt;=Units!$Q25,MOD(CU$1-Units!$Q25,12)=0),IF(AND(Units!$L25=1,CU$1=Units!$Q25),1,Inputs!$B$15)*Inputs!$B$16*(1+Inputs!$B$11)^(CU$2-1),0)</f>
        <v>0</v>
      </c>
      <c r="CV26" s="11" t="n">
        <f aca="false">IF(AND(CV$1&gt;=Units!$Q25,MOD(CV$1-Units!$Q25,12)=0),IF(AND(Units!$L25=1,CV$1=Units!$Q25),1,Inputs!$B$15)*Inputs!$B$16*(1+Inputs!$B$11)^(CV$2-1),0)</f>
        <v>0</v>
      </c>
      <c r="CW26" s="11" t="n">
        <f aca="false">IF(AND(CW$1&gt;=Units!$Q25,MOD(CW$1-Units!$Q25,12)=0),IF(AND(Units!$L25=1,CW$1=Units!$Q25),1,Inputs!$B$15)*Inputs!$B$16*(1+Inputs!$B$11)^(CW$2-1),0)</f>
        <v>0</v>
      </c>
      <c r="CX26" s="11" t="n">
        <f aca="false">IF(AND(CX$1&gt;=Units!$Q25,MOD(CX$1-Units!$Q25,12)=0),IF(AND(Units!$L25=1,CX$1=Units!$Q25),1,Inputs!$B$15)*Inputs!$B$16*(1+Inputs!$B$11)^(CX$2-1),0)</f>
        <v>0</v>
      </c>
      <c r="CY26" s="11" t="n">
        <f aca="false">IF(AND(CY$1&gt;=Units!$Q25,MOD(CY$1-Units!$Q25,12)=0),IF(AND(Units!$L25=1,CY$1=Units!$Q25),1,Inputs!$B$15)*Inputs!$B$16*(1+Inputs!$B$11)^(CY$2-1),0)</f>
        <v>0</v>
      </c>
      <c r="CZ26" s="11" t="n">
        <f aca="false">IF(AND(CZ$1&gt;=Units!$Q25,MOD(CZ$1-Units!$Q25,12)=0),IF(AND(Units!$L25=1,CZ$1=Units!$Q25),1,Inputs!$B$15)*Inputs!$B$16*(1+Inputs!$B$11)^(CZ$2-1),0)</f>
        <v>0</v>
      </c>
      <c r="DA26" s="11" t="n">
        <f aca="false">IF(AND(DA$1&gt;=Units!$Q25,MOD(DA$1-Units!$Q25,12)=0),IF(AND(Units!$L25=1,DA$1=Units!$Q25),1,Inputs!$B$15)*Inputs!$B$16*(1+Inputs!$B$11)^(DA$2-1),0)</f>
        <v>0</v>
      </c>
      <c r="DB26" s="11" t="n">
        <f aca="false">IF(AND(DB$1&gt;=Units!$Q25,MOD(DB$1-Units!$Q25,12)=0),IF(AND(Units!$L25=1,DB$1=Units!$Q25),1,Inputs!$B$15)*Inputs!$B$16*(1+Inputs!$B$11)^(DB$2-1),0)</f>
        <v>0</v>
      </c>
      <c r="DC26" s="11" t="n">
        <f aca="false">IF(AND(DC$1&gt;=Units!$Q25,MOD(DC$1-Units!$Q25,12)=0),IF(AND(Units!$L25=1,DC$1=Units!$Q25),1,Inputs!$B$15)*Inputs!$B$16*(1+Inputs!$B$11)^(DC$2-1),0)</f>
        <v>0</v>
      </c>
      <c r="DD26" s="11" t="n">
        <f aca="false">IF(AND(DD$1&gt;=Units!$Q25,MOD(DD$1-Units!$Q25,12)=0),IF(AND(Units!$L25=1,DD$1=Units!$Q25),1,Inputs!$B$15)*Inputs!$B$16*(1+Inputs!$B$11)^(DD$2-1),0)</f>
        <v>0</v>
      </c>
      <c r="DE26" s="11" t="n">
        <f aca="false">IF(AND(DE$1&gt;=Units!$Q25,MOD(DE$1-Units!$Q25,12)=0),IF(AND(Units!$L25=1,DE$1=Units!$Q25),1,Inputs!$B$15)*Inputs!$B$16*(1+Inputs!$B$11)^(DE$2-1),0)</f>
        <v>633.385040693808</v>
      </c>
      <c r="DF26" s="11" t="n">
        <f aca="false">IF(AND(DF$1&gt;=Units!$Q25,MOD(DF$1-Units!$Q25,12)=0),IF(AND(Units!$L25=1,DF$1=Units!$Q25),1,Inputs!$B$15)*Inputs!$B$16*(1+Inputs!$B$11)^(DF$2-1),0)</f>
        <v>0</v>
      </c>
      <c r="DG26" s="11" t="n">
        <f aca="false">IF(AND(DG$1&gt;=Units!$Q25,MOD(DG$1-Units!$Q25,12)=0),IF(AND(Units!$L25=1,DG$1=Units!$Q25),1,Inputs!$B$15)*Inputs!$B$16*(1+Inputs!$B$11)^(DG$2-1),0)</f>
        <v>0</v>
      </c>
      <c r="DH26" s="11" t="n">
        <f aca="false">IF(AND(DH$1&gt;=Units!$Q25,MOD(DH$1-Units!$Q25,12)=0),IF(AND(Units!$L25=1,DH$1=Units!$Q25),1,Inputs!$B$15)*Inputs!$B$16*(1+Inputs!$B$11)^(DH$2-1),0)</f>
        <v>0</v>
      </c>
      <c r="DI26" s="11" t="n">
        <f aca="false">IF(AND(DI$1&gt;=Units!$Q25,MOD(DI$1-Units!$Q25,12)=0),IF(AND(Units!$L25=1,DI$1=Units!$Q25),1,Inputs!$B$15)*Inputs!$B$16*(1+Inputs!$B$11)^(DI$2-1),0)</f>
        <v>0</v>
      </c>
      <c r="DJ26" s="11" t="n">
        <f aca="false">IF(AND(DJ$1&gt;=Units!$Q25,MOD(DJ$1-Units!$Q25,12)=0),IF(AND(Units!$L25=1,DJ$1=Units!$Q25),1,Inputs!$B$15)*Inputs!$B$16*(1+Inputs!$B$11)^(DJ$2-1),0)</f>
        <v>0</v>
      </c>
      <c r="DK26" s="11" t="n">
        <f aca="false">IF(AND(DK$1&gt;=Units!$Q25,MOD(DK$1-Units!$Q25,12)=0),IF(AND(Units!$L25=1,DK$1=Units!$Q25),1,Inputs!$B$15)*Inputs!$B$16*(1+Inputs!$B$11)^(DK$2-1),0)</f>
        <v>0</v>
      </c>
      <c r="DL26" s="11" t="n">
        <f aca="false">IF(AND(DL$1&gt;=Units!$Q25,MOD(DL$1-Units!$Q25,12)=0),IF(AND(Units!$L25=1,DL$1=Units!$Q25),1,Inputs!$B$15)*Inputs!$B$16*(1+Inputs!$B$11)^(DL$2-1),0)</f>
        <v>0</v>
      </c>
      <c r="DM26" s="11" t="n">
        <f aca="false">IF(AND(DM$1&gt;=Units!$Q25,MOD(DM$1-Units!$Q25,12)=0),IF(AND(Units!$L25=1,DM$1=Units!$Q25),1,Inputs!$B$15)*Inputs!$B$16*(1+Inputs!$B$11)^(DM$2-1),0)</f>
        <v>0</v>
      </c>
      <c r="DN26" s="11" t="n">
        <f aca="false">IF(AND(DN$1&gt;=Units!$Q25,MOD(DN$1-Units!$Q25,12)=0),IF(AND(Units!$L25=1,DN$1=Units!$Q25),1,Inputs!$B$15)*Inputs!$B$16*(1+Inputs!$B$11)^(DN$2-1),0)</f>
        <v>0</v>
      </c>
      <c r="DO26" s="11" t="n">
        <f aca="false">IF(AND(DO$1&gt;=Units!$Q25,MOD(DO$1-Units!$Q25,12)=0),IF(AND(Units!$L25=1,DO$1=Units!$Q25),1,Inputs!$B$15)*Inputs!$B$16*(1+Inputs!$B$11)^(DO$2-1),0)</f>
        <v>0</v>
      </c>
      <c r="DP26" s="11" t="n">
        <f aca="false">IF(AND(DP$1&gt;=Units!$Q25,MOD(DP$1-Units!$Q25,12)=0),IF(AND(Units!$L25=1,DP$1=Units!$Q25),1,Inputs!$B$15)*Inputs!$B$16*(1+Inputs!$B$11)^(DP$2-1),0)</f>
        <v>0</v>
      </c>
      <c r="DQ26" s="11" t="n">
        <f aca="false">IF(AND(DQ$1&gt;=Units!$Q25,MOD(DQ$1-Units!$Q25,12)=0),IF(AND(Units!$L25=1,DQ$1=Units!$Q25),1,Inputs!$B$15)*Inputs!$B$16*(1+Inputs!$B$11)^(DQ$2-1),0)</f>
        <v>652.386591914623</v>
      </c>
      <c r="DR26" s="11" t="n">
        <f aca="false">IF(AND(DR$1&gt;=Units!$Q25,MOD(DR$1-Units!$Q25,12)=0),IF(AND(Units!$L25=1,DR$1=Units!$Q25),1,Inputs!$B$15)*Inputs!$B$16*(1+Inputs!$B$11)^(DR$2-1),0)</f>
        <v>0</v>
      </c>
      <c r="DS26" s="11" t="n">
        <f aca="false">IF(AND(DS$1&gt;=Units!$Q25,MOD(DS$1-Units!$Q25,12)=0),IF(AND(Units!$L25=1,DS$1=Units!$Q25),1,Inputs!$B$15)*Inputs!$B$16*(1+Inputs!$B$11)^(DS$2-1),0)</f>
        <v>0</v>
      </c>
      <c r="DT26" s="11" t="n">
        <f aca="false">IF(AND(DT$1&gt;=Units!$Q25,MOD(DT$1-Units!$Q25,12)=0),IF(AND(Units!$L25=1,DT$1=Units!$Q25),1,Inputs!$B$15)*Inputs!$B$16*(1+Inputs!$B$11)^(DT$2-1),0)</f>
        <v>0</v>
      </c>
      <c r="DU26" s="11" t="n">
        <f aca="false">IF(AND(DU$1&gt;=Units!$Q25,MOD(DU$1-Units!$Q25,12)=0),IF(AND(Units!$L25=1,DU$1=Units!$Q25),1,Inputs!$B$15)*Inputs!$B$16*(1+Inputs!$B$11)^(DU$2-1),0)</f>
        <v>0</v>
      </c>
      <c r="DV26" s="11" t="n">
        <f aca="false">IF(AND(DV$1&gt;=Units!$Q25,MOD(DV$1-Units!$Q25,12)=0),IF(AND(Units!$L25=1,DV$1=Units!$Q25),1,Inputs!$B$15)*Inputs!$B$16*(1+Inputs!$B$11)^(DV$2-1),0)</f>
        <v>0</v>
      </c>
      <c r="DW26" s="11" t="n">
        <f aca="false">IF(AND(DW$1&gt;=Units!$Q25,MOD(DW$1-Units!$Q25,12)=0),IF(AND(Units!$L25=1,DW$1=Units!$Q25),1,Inputs!$B$15)*Inputs!$B$16*(1+Inputs!$B$11)^(DW$2-1),0)</f>
        <v>0</v>
      </c>
      <c r="DX26" s="11" t="n">
        <f aca="false">IF(AND(DX$1&gt;=Units!$Q25,MOD(DX$1-Units!$Q25,12)=0),IF(AND(Units!$L25=1,DX$1=Units!$Q25),1,Inputs!$B$15)*Inputs!$B$16*(1+Inputs!$B$11)^(DX$2-1),0)</f>
        <v>0</v>
      </c>
      <c r="DY26" s="11" t="n">
        <f aca="false">IF(AND(DY$1&gt;=Units!$Q25,MOD(DY$1-Units!$Q25,12)=0),IF(AND(Units!$L25=1,DY$1=Units!$Q25),1,Inputs!$B$15)*Inputs!$B$16*(1+Inputs!$B$11)^(DY$2-1),0)</f>
        <v>0</v>
      </c>
      <c r="DZ26" s="11" t="n">
        <f aca="false">IF(AND(DZ$1&gt;=Units!$Q25,MOD(DZ$1-Units!$Q25,12)=0),IF(AND(Units!$L25=1,DZ$1=Units!$Q25),1,Inputs!$B$15)*Inputs!$B$16*(1+Inputs!$B$11)^(DZ$2-1),0)</f>
        <v>0</v>
      </c>
      <c r="EA26" s="11" t="n">
        <f aca="false">IF(AND(EA$1&gt;=Units!$Q25,MOD(EA$1-Units!$Q25,12)=0),IF(AND(Units!$L25=1,EA$1=Units!$Q25),1,Inputs!$B$15)*Inputs!$B$16*(1+Inputs!$B$11)^(EA$2-1),0)</f>
        <v>0</v>
      </c>
      <c r="EB26" s="11" t="n">
        <f aca="false">IF(AND(EB$1&gt;=Units!$Q25,MOD(EB$1-Units!$Q25,12)=0),IF(AND(Units!$L25=1,EB$1=Units!$Q25),1,Inputs!$B$15)*Inputs!$B$16*(1+Inputs!$B$11)^(EB$2-1),0)</f>
        <v>0</v>
      </c>
      <c r="EC26" s="11" t="n">
        <f aca="false">IF(AND(EC$1&gt;=Units!$Q25,MOD(EC$1-Units!$Q25,12)=0),IF(AND(Units!$L25=1,EC$1=Units!$Q25),1,Inputs!$B$15)*Inputs!$B$16*(1+Inputs!$B$11)^(EC$2-1),0)</f>
        <v>671.958189672061</v>
      </c>
      <c r="ED26" s="11" t="n">
        <f aca="false">IF(AND(ED$1&gt;=Units!$Q25,MOD(ED$1-Units!$Q25,12)=0),IF(AND(Units!$L25=1,ED$1=Units!$Q25),1,Inputs!$B$15)*Inputs!$B$16*(1+Inputs!$B$11)^(ED$2-1),0)</f>
        <v>0</v>
      </c>
    </row>
    <row r="27" customFormat="false" ht="15" hidden="false" customHeight="false" outlineLevel="0" collapsed="false">
      <c r="A27" s="22" t="n">
        <f aca="false">Units!A26</f>
        <v>125</v>
      </c>
      <c r="B27" s="23"/>
      <c r="C27" s="11" t="n">
        <f aca="false">IF(AND(C$1&gt;=Units!$Q26,MOD(C$1-Units!$Q26,12)=0),IF(AND(Units!$L26=1,C$1=Units!$Q26),1,Inputs!$B$15)*Inputs!$B$16*(1+Inputs!$B$11)^(C$2-1),0)</f>
        <v>0</v>
      </c>
      <c r="D27" s="11" t="n">
        <f aca="false">IF(AND(D$1&gt;=Units!$Q26,MOD(D$1-Units!$Q26,12)=0),IF(AND(Units!$L26=1,D$1=Units!$Q26),1,Inputs!$B$15)*Inputs!$B$16*(1+Inputs!$B$11)^(D$2-1),0)</f>
        <v>0</v>
      </c>
      <c r="E27" s="11" t="n">
        <f aca="false">IF(AND(E$1&gt;=Units!$Q26,MOD(E$1-Units!$Q26,12)=0),IF(AND(Units!$L26=1,E$1=Units!$Q26),1,Inputs!$B$15)*Inputs!$B$16*(1+Inputs!$B$11)^(E$2-1),0)</f>
        <v>0</v>
      </c>
      <c r="F27" s="11" t="n">
        <f aca="false">IF(AND(F$1&gt;=Units!$Q26,MOD(F$1-Units!$Q26,12)=0),IF(AND(Units!$L26=1,F$1=Units!$Q26),1,Inputs!$B$15)*Inputs!$B$16*(1+Inputs!$B$11)^(F$2-1),0)</f>
        <v>0</v>
      </c>
      <c r="G27" s="11" t="n">
        <f aca="false">IF(AND(G$1&gt;=Units!$Q26,MOD(G$1-Units!$Q26,12)=0),IF(AND(Units!$L26=1,G$1=Units!$Q26),1,Inputs!$B$15)*Inputs!$B$16*(1+Inputs!$B$11)^(G$2-1),0)</f>
        <v>0</v>
      </c>
      <c r="H27" s="11" t="n">
        <f aca="false">IF(AND(H$1&gt;=Units!$Q26,MOD(H$1-Units!$Q26,12)=0),IF(AND(Units!$L26=1,H$1=Units!$Q26),1,Inputs!$B$15)*Inputs!$B$16*(1+Inputs!$B$11)^(H$2-1),0)</f>
        <v>0</v>
      </c>
      <c r="I27" s="11" t="n">
        <f aca="false">IF(AND(I$1&gt;=Units!$Q26,MOD(I$1-Units!$Q26,12)=0),IF(AND(Units!$L26=1,I$1=Units!$Q26),1,Inputs!$B$15)*Inputs!$B$16*(1+Inputs!$B$11)^(I$2-1),0)</f>
        <v>0</v>
      </c>
      <c r="J27" s="11" t="n">
        <f aca="false">IF(AND(J$1&gt;=Units!$Q26,MOD(J$1-Units!$Q26,12)=0),IF(AND(Units!$L26=1,J$1=Units!$Q26),1,Inputs!$B$15)*Inputs!$B$16*(1+Inputs!$B$11)^(J$2-1),0)</f>
        <v>0</v>
      </c>
      <c r="K27" s="11" t="n">
        <f aca="false">IF(AND(K$1&gt;=Units!$Q26,MOD(K$1-Units!$Q26,12)=0),IF(AND(Units!$L26=1,K$1=Units!$Q26),1,Inputs!$B$15)*Inputs!$B$16*(1+Inputs!$B$11)^(K$2-1),0)</f>
        <v>0</v>
      </c>
      <c r="L27" s="11" t="n">
        <f aca="false">IF(AND(L$1&gt;=Units!$Q26,MOD(L$1-Units!$Q26,12)=0),IF(AND(Units!$L26=1,L$1=Units!$Q26),1,Inputs!$B$15)*Inputs!$B$16*(1+Inputs!$B$11)^(L$2-1),0)</f>
        <v>0</v>
      </c>
      <c r="M27" s="11" t="n">
        <f aca="false">IF(AND(M$1&gt;=Units!$Q26,MOD(M$1-Units!$Q26,12)=0),IF(AND(Units!$L26=1,M$1=Units!$Q26),1,Inputs!$B$15)*Inputs!$B$16*(1+Inputs!$B$11)^(M$2-1),0)</f>
        <v>0</v>
      </c>
      <c r="N27" s="11" t="n">
        <f aca="false">IF(AND(N$1&gt;=Units!$Q26,MOD(N$1-Units!$Q26,12)=0),IF(AND(Units!$L26=1,N$1=Units!$Q26),1,Inputs!$B$15)*Inputs!$B$16*(1+Inputs!$B$11)^(N$2-1),0)</f>
        <v>500</v>
      </c>
      <c r="O27" s="11" t="n">
        <f aca="false">IF(AND(O$1&gt;=Units!$Q26,MOD(O$1-Units!$Q26,12)=0),IF(AND(Units!$L26=1,O$1=Units!$Q26),1,Inputs!$B$15)*Inputs!$B$16*(1+Inputs!$B$11)^(O$2-1),0)</f>
        <v>0</v>
      </c>
      <c r="P27" s="11" t="n">
        <f aca="false">IF(AND(P$1&gt;=Units!$Q26,MOD(P$1-Units!$Q26,12)=0),IF(AND(Units!$L26=1,P$1=Units!$Q26),1,Inputs!$B$15)*Inputs!$B$16*(1+Inputs!$B$11)^(P$2-1),0)</f>
        <v>0</v>
      </c>
      <c r="Q27" s="11" t="n">
        <f aca="false">IF(AND(Q$1&gt;=Units!$Q26,MOD(Q$1-Units!$Q26,12)=0),IF(AND(Units!$L26=1,Q$1=Units!$Q26),1,Inputs!$B$15)*Inputs!$B$16*(1+Inputs!$B$11)^(Q$2-1),0)</f>
        <v>0</v>
      </c>
      <c r="R27" s="11" t="n">
        <f aca="false">IF(AND(R$1&gt;=Units!$Q26,MOD(R$1-Units!$Q26,12)=0),IF(AND(Units!$L26=1,R$1=Units!$Q26),1,Inputs!$B$15)*Inputs!$B$16*(1+Inputs!$B$11)^(R$2-1),0)</f>
        <v>0</v>
      </c>
      <c r="S27" s="11" t="n">
        <f aca="false">IF(AND(S$1&gt;=Units!$Q26,MOD(S$1-Units!$Q26,12)=0),IF(AND(Units!$L26=1,S$1=Units!$Q26),1,Inputs!$B$15)*Inputs!$B$16*(1+Inputs!$B$11)^(S$2-1),0)</f>
        <v>0</v>
      </c>
      <c r="T27" s="11" t="n">
        <f aca="false">IF(AND(T$1&gt;=Units!$Q26,MOD(T$1-Units!$Q26,12)=0),IF(AND(Units!$L26=1,T$1=Units!$Q26),1,Inputs!$B$15)*Inputs!$B$16*(1+Inputs!$B$11)^(T$2-1),0)</f>
        <v>0</v>
      </c>
      <c r="U27" s="11" t="n">
        <f aca="false">IF(AND(U$1&gt;=Units!$Q26,MOD(U$1-Units!$Q26,12)=0),IF(AND(Units!$L26=1,U$1=Units!$Q26),1,Inputs!$B$15)*Inputs!$B$16*(1+Inputs!$B$11)^(U$2-1),0)</f>
        <v>0</v>
      </c>
      <c r="V27" s="11" t="n">
        <f aca="false">IF(AND(V$1&gt;=Units!$Q26,MOD(V$1-Units!$Q26,12)=0),IF(AND(Units!$L26=1,V$1=Units!$Q26),1,Inputs!$B$15)*Inputs!$B$16*(1+Inputs!$B$11)^(V$2-1),0)</f>
        <v>0</v>
      </c>
      <c r="W27" s="11" t="n">
        <f aca="false">IF(AND(W$1&gt;=Units!$Q26,MOD(W$1-Units!$Q26,12)=0),IF(AND(Units!$L26=1,W$1=Units!$Q26),1,Inputs!$B$15)*Inputs!$B$16*(1+Inputs!$B$11)^(W$2-1),0)</f>
        <v>0</v>
      </c>
      <c r="X27" s="11" t="n">
        <f aca="false">IF(AND(X$1&gt;=Units!$Q26,MOD(X$1-Units!$Q26,12)=0),IF(AND(Units!$L26=1,X$1=Units!$Q26),1,Inputs!$B$15)*Inputs!$B$16*(1+Inputs!$B$11)^(X$2-1),0)</f>
        <v>0</v>
      </c>
      <c r="Y27" s="11" t="n">
        <f aca="false">IF(AND(Y$1&gt;=Units!$Q26,MOD(Y$1-Units!$Q26,12)=0),IF(AND(Units!$L26=1,Y$1=Units!$Q26),1,Inputs!$B$15)*Inputs!$B$16*(1+Inputs!$B$11)^(Y$2-1),0)</f>
        <v>0</v>
      </c>
      <c r="Z27" s="11" t="n">
        <f aca="false">IF(AND(Z$1&gt;=Units!$Q26,MOD(Z$1-Units!$Q26,12)=0),IF(AND(Units!$L26=1,Z$1=Units!$Q26),1,Inputs!$B$15)*Inputs!$B$16*(1+Inputs!$B$11)^(Z$2-1),0)</f>
        <v>515</v>
      </c>
      <c r="AA27" s="11" t="n">
        <f aca="false">IF(AND(AA$1&gt;=Units!$Q26,MOD(AA$1-Units!$Q26,12)=0),IF(AND(Units!$L26=1,AA$1=Units!$Q26),1,Inputs!$B$15)*Inputs!$B$16*(1+Inputs!$B$11)^(AA$2-1),0)</f>
        <v>0</v>
      </c>
      <c r="AB27" s="11" t="n">
        <f aca="false">IF(AND(AB$1&gt;=Units!$Q26,MOD(AB$1-Units!$Q26,12)=0),IF(AND(Units!$L26=1,AB$1=Units!$Q26),1,Inputs!$B$15)*Inputs!$B$16*(1+Inputs!$B$11)^(AB$2-1),0)</f>
        <v>0</v>
      </c>
      <c r="AC27" s="11" t="n">
        <f aca="false">IF(AND(AC$1&gt;=Units!$Q26,MOD(AC$1-Units!$Q26,12)=0),IF(AND(Units!$L26=1,AC$1=Units!$Q26),1,Inputs!$B$15)*Inputs!$B$16*(1+Inputs!$B$11)^(AC$2-1),0)</f>
        <v>0</v>
      </c>
      <c r="AD27" s="11" t="n">
        <f aca="false">IF(AND(AD$1&gt;=Units!$Q26,MOD(AD$1-Units!$Q26,12)=0),IF(AND(Units!$L26=1,AD$1=Units!$Q26),1,Inputs!$B$15)*Inputs!$B$16*(1+Inputs!$B$11)^(AD$2-1),0)</f>
        <v>0</v>
      </c>
      <c r="AE27" s="11" t="n">
        <f aca="false">IF(AND(AE$1&gt;=Units!$Q26,MOD(AE$1-Units!$Q26,12)=0),IF(AND(Units!$L26=1,AE$1=Units!$Q26),1,Inputs!$B$15)*Inputs!$B$16*(1+Inputs!$B$11)^(AE$2-1),0)</f>
        <v>0</v>
      </c>
      <c r="AF27" s="11" t="n">
        <f aca="false">IF(AND(AF$1&gt;=Units!$Q26,MOD(AF$1-Units!$Q26,12)=0),IF(AND(Units!$L26=1,AF$1=Units!$Q26),1,Inputs!$B$15)*Inputs!$B$16*(1+Inputs!$B$11)^(AF$2-1),0)</f>
        <v>0</v>
      </c>
      <c r="AG27" s="11" t="n">
        <f aca="false">IF(AND(AG$1&gt;=Units!$Q26,MOD(AG$1-Units!$Q26,12)=0),IF(AND(Units!$L26=1,AG$1=Units!$Q26),1,Inputs!$B$15)*Inputs!$B$16*(1+Inputs!$B$11)^(AG$2-1),0)</f>
        <v>0</v>
      </c>
      <c r="AH27" s="11" t="n">
        <f aca="false">IF(AND(AH$1&gt;=Units!$Q26,MOD(AH$1-Units!$Q26,12)=0),IF(AND(Units!$L26=1,AH$1=Units!$Q26),1,Inputs!$B$15)*Inputs!$B$16*(1+Inputs!$B$11)^(AH$2-1),0)</f>
        <v>0</v>
      </c>
      <c r="AI27" s="11" t="n">
        <f aca="false">IF(AND(AI$1&gt;=Units!$Q26,MOD(AI$1-Units!$Q26,12)=0),IF(AND(Units!$L26=1,AI$1=Units!$Q26),1,Inputs!$B$15)*Inputs!$B$16*(1+Inputs!$B$11)^(AI$2-1),0)</f>
        <v>0</v>
      </c>
      <c r="AJ27" s="11" t="n">
        <f aca="false">IF(AND(AJ$1&gt;=Units!$Q26,MOD(AJ$1-Units!$Q26,12)=0),IF(AND(Units!$L26=1,AJ$1=Units!$Q26),1,Inputs!$B$15)*Inputs!$B$16*(1+Inputs!$B$11)^(AJ$2-1),0)</f>
        <v>0</v>
      </c>
      <c r="AK27" s="11" t="n">
        <f aca="false">IF(AND(AK$1&gt;=Units!$Q26,MOD(AK$1-Units!$Q26,12)=0),IF(AND(Units!$L26=1,AK$1=Units!$Q26),1,Inputs!$B$15)*Inputs!$B$16*(1+Inputs!$B$11)^(AK$2-1),0)</f>
        <v>0</v>
      </c>
      <c r="AL27" s="11" t="n">
        <f aca="false">IF(AND(AL$1&gt;=Units!$Q26,MOD(AL$1-Units!$Q26,12)=0),IF(AND(Units!$L26=1,AL$1=Units!$Q26),1,Inputs!$B$15)*Inputs!$B$16*(1+Inputs!$B$11)^(AL$2-1),0)</f>
        <v>530.45</v>
      </c>
      <c r="AM27" s="11" t="n">
        <f aca="false">IF(AND(AM$1&gt;=Units!$Q26,MOD(AM$1-Units!$Q26,12)=0),IF(AND(Units!$L26=1,AM$1=Units!$Q26),1,Inputs!$B$15)*Inputs!$B$16*(1+Inputs!$B$11)^(AM$2-1),0)</f>
        <v>0</v>
      </c>
      <c r="AN27" s="11" t="n">
        <f aca="false">IF(AND(AN$1&gt;=Units!$Q26,MOD(AN$1-Units!$Q26,12)=0),IF(AND(Units!$L26=1,AN$1=Units!$Q26),1,Inputs!$B$15)*Inputs!$B$16*(1+Inputs!$B$11)^(AN$2-1),0)</f>
        <v>0</v>
      </c>
      <c r="AO27" s="11" t="n">
        <f aca="false">IF(AND(AO$1&gt;=Units!$Q26,MOD(AO$1-Units!$Q26,12)=0),IF(AND(Units!$L26=1,AO$1=Units!$Q26),1,Inputs!$B$15)*Inputs!$B$16*(1+Inputs!$B$11)^(AO$2-1),0)</f>
        <v>0</v>
      </c>
      <c r="AP27" s="11" t="n">
        <f aca="false">IF(AND(AP$1&gt;=Units!$Q26,MOD(AP$1-Units!$Q26,12)=0),IF(AND(Units!$L26=1,AP$1=Units!$Q26),1,Inputs!$B$15)*Inputs!$B$16*(1+Inputs!$B$11)^(AP$2-1),0)</f>
        <v>0</v>
      </c>
      <c r="AQ27" s="11" t="n">
        <f aca="false">IF(AND(AQ$1&gt;=Units!$Q26,MOD(AQ$1-Units!$Q26,12)=0),IF(AND(Units!$L26=1,AQ$1=Units!$Q26),1,Inputs!$B$15)*Inputs!$B$16*(1+Inputs!$B$11)^(AQ$2-1),0)</f>
        <v>0</v>
      </c>
      <c r="AR27" s="11" t="n">
        <f aca="false">IF(AND(AR$1&gt;=Units!$Q26,MOD(AR$1-Units!$Q26,12)=0),IF(AND(Units!$L26=1,AR$1=Units!$Q26),1,Inputs!$B$15)*Inputs!$B$16*(1+Inputs!$B$11)^(AR$2-1),0)</f>
        <v>0</v>
      </c>
      <c r="AS27" s="11" t="n">
        <f aca="false">IF(AND(AS$1&gt;=Units!$Q26,MOD(AS$1-Units!$Q26,12)=0),IF(AND(Units!$L26=1,AS$1=Units!$Q26),1,Inputs!$B$15)*Inputs!$B$16*(1+Inputs!$B$11)^(AS$2-1),0)</f>
        <v>0</v>
      </c>
      <c r="AT27" s="11" t="n">
        <f aca="false">IF(AND(AT$1&gt;=Units!$Q26,MOD(AT$1-Units!$Q26,12)=0),IF(AND(Units!$L26=1,AT$1=Units!$Q26),1,Inputs!$B$15)*Inputs!$B$16*(1+Inputs!$B$11)^(AT$2-1),0)</f>
        <v>0</v>
      </c>
      <c r="AU27" s="11" t="n">
        <f aca="false">IF(AND(AU$1&gt;=Units!$Q26,MOD(AU$1-Units!$Q26,12)=0),IF(AND(Units!$L26=1,AU$1=Units!$Q26),1,Inputs!$B$15)*Inputs!$B$16*(1+Inputs!$B$11)^(AU$2-1),0)</f>
        <v>0</v>
      </c>
      <c r="AV27" s="11" t="n">
        <f aca="false">IF(AND(AV$1&gt;=Units!$Q26,MOD(AV$1-Units!$Q26,12)=0),IF(AND(Units!$L26=1,AV$1=Units!$Q26),1,Inputs!$B$15)*Inputs!$B$16*(1+Inputs!$B$11)^(AV$2-1),0)</f>
        <v>0</v>
      </c>
      <c r="AW27" s="11" t="n">
        <f aca="false">IF(AND(AW$1&gt;=Units!$Q26,MOD(AW$1-Units!$Q26,12)=0),IF(AND(Units!$L26=1,AW$1=Units!$Q26),1,Inputs!$B$15)*Inputs!$B$16*(1+Inputs!$B$11)^(AW$2-1),0)</f>
        <v>0</v>
      </c>
      <c r="AX27" s="11" t="n">
        <f aca="false">IF(AND(AX$1&gt;=Units!$Q26,MOD(AX$1-Units!$Q26,12)=0),IF(AND(Units!$L26=1,AX$1=Units!$Q26),1,Inputs!$B$15)*Inputs!$B$16*(1+Inputs!$B$11)^(AX$2-1),0)</f>
        <v>546.3635</v>
      </c>
      <c r="AY27" s="11" t="n">
        <f aca="false">IF(AND(AY$1&gt;=Units!$Q26,MOD(AY$1-Units!$Q26,12)=0),IF(AND(Units!$L26=1,AY$1=Units!$Q26),1,Inputs!$B$15)*Inputs!$B$16*(1+Inputs!$B$11)^(AY$2-1),0)</f>
        <v>0</v>
      </c>
      <c r="AZ27" s="11" t="n">
        <f aca="false">IF(AND(AZ$1&gt;=Units!$Q26,MOD(AZ$1-Units!$Q26,12)=0),IF(AND(Units!$L26=1,AZ$1=Units!$Q26),1,Inputs!$B$15)*Inputs!$B$16*(1+Inputs!$B$11)^(AZ$2-1),0)</f>
        <v>0</v>
      </c>
      <c r="BA27" s="11" t="n">
        <f aca="false">IF(AND(BA$1&gt;=Units!$Q26,MOD(BA$1-Units!$Q26,12)=0),IF(AND(Units!$L26=1,BA$1=Units!$Q26),1,Inputs!$B$15)*Inputs!$B$16*(1+Inputs!$B$11)^(BA$2-1),0)</f>
        <v>0</v>
      </c>
      <c r="BB27" s="11" t="n">
        <f aca="false">IF(AND(BB$1&gt;=Units!$Q26,MOD(BB$1-Units!$Q26,12)=0),IF(AND(Units!$L26=1,BB$1=Units!$Q26),1,Inputs!$B$15)*Inputs!$B$16*(1+Inputs!$B$11)^(BB$2-1),0)</f>
        <v>0</v>
      </c>
      <c r="BC27" s="11" t="n">
        <f aca="false">IF(AND(BC$1&gt;=Units!$Q26,MOD(BC$1-Units!$Q26,12)=0),IF(AND(Units!$L26=1,BC$1=Units!$Q26),1,Inputs!$B$15)*Inputs!$B$16*(1+Inputs!$B$11)^(BC$2-1),0)</f>
        <v>0</v>
      </c>
      <c r="BD27" s="11" t="n">
        <f aca="false">IF(AND(BD$1&gt;=Units!$Q26,MOD(BD$1-Units!$Q26,12)=0),IF(AND(Units!$L26=1,BD$1=Units!$Q26),1,Inputs!$B$15)*Inputs!$B$16*(1+Inputs!$B$11)^(BD$2-1),0)</f>
        <v>0</v>
      </c>
      <c r="BE27" s="11" t="n">
        <f aca="false">IF(AND(BE$1&gt;=Units!$Q26,MOD(BE$1-Units!$Q26,12)=0),IF(AND(Units!$L26=1,BE$1=Units!$Q26),1,Inputs!$B$15)*Inputs!$B$16*(1+Inputs!$B$11)^(BE$2-1),0)</f>
        <v>0</v>
      </c>
      <c r="BF27" s="11" t="n">
        <f aca="false">IF(AND(BF$1&gt;=Units!$Q26,MOD(BF$1-Units!$Q26,12)=0),IF(AND(Units!$L26=1,BF$1=Units!$Q26),1,Inputs!$B$15)*Inputs!$B$16*(1+Inputs!$B$11)^(BF$2-1),0)</f>
        <v>0</v>
      </c>
      <c r="BG27" s="11" t="n">
        <f aca="false">IF(AND(BG$1&gt;=Units!$Q26,MOD(BG$1-Units!$Q26,12)=0),IF(AND(Units!$L26=1,BG$1=Units!$Q26),1,Inputs!$B$15)*Inputs!$B$16*(1+Inputs!$B$11)^(BG$2-1),0)</f>
        <v>0</v>
      </c>
      <c r="BH27" s="11" t="n">
        <f aca="false">IF(AND(BH$1&gt;=Units!$Q26,MOD(BH$1-Units!$Q26,12)=0),IF(AND(Units!$L26=1,BH$1=Units!$Q26),1,Inputs!$B$15)*Inputs!$B$16*(1+Inputs!$B$11)^(BH$2-1),0)</f>
        <v>0</v>
      </c>
      <c r="BI27" s="11" t="n">
        <f aca="false">IF(AND(BI$1&gt;=Units!$Q26,MOD(BI$1-Units!$Q26,12)=0),IF(AND(Units!$L26=1,BI$1=Units!$Q26),1,Inputs!$B$15)*Inputs!$B$16*(1+Inputs!$B$11)^(BI$2-1),0)</f>
        <v>0</v>
      </c>
      <c r="BJ27" s="11" t="n">
        <f aca="false">IF(AND(BJ$1&gt;=Units!$Q26,MOD(BJ$1-Units!$Q26,12)=0),IF(AND(Units!$L26=1,BJ$1=Units!$Q26),1,Inputs!$B$15)*Inputs!$B$16*(1+Inputs!$B$11)^(BJ$2-1),0)</f>
        <v>562.754405</v>
      </c>
      <c r="BK27" s="11" t="n">
        <f aca="false">IF(AND(BK$1&gt;=Units!$Q26,MOD(BK$1-Units!$Q26,12)=0),IF(AND(Units!$L26=1,BK$1=Units!$Q26),1,Inputs!$B$15)*Inputs!$B$16*(1+Inputs!$B$11)^(BK$2-1),0)</f>
        <v>0</v>
      </c>
      <c r="BL27" s="11" t="n">
        <f aca="false">IF(AND(BL$1&gt;=Units!$Q26,MOD(BL$1-Units!$Q26,12)=0),IF(AND(Units!$L26=1,BL$1=Units!$Q26),1,Inputs!$B$15)*Inputs!$B$16*(1+Inputs!$B$11)^(BL$2-1),0)</f>
        <v>0</v>
      </c>
      <c r="BM27" s="11" t="n">
        <f aca="false">IF(AND(BM$1&gt;=Units!$Q26,MOD(BM$1-Units!$Q26,12)=0),IF(AND(Units!$L26=1,BM$1=Units!$Q26),1,Inputs!$B$15)*Inputs!$B$16*(1+Inputs!$B$11)^(BM$2-1),0)</f>
        <v>0</v>
      </c>
      <c r="BN27" s="11" t="n">
        <f aca="false">IF(AND(BN$1&gt;=Units!$Q26,MOD(BN$1-Units!$Q26,12)=0),IF(AND(Units!$L26=1,BN$1=Units!$Q26),1,Inputs!$B$15)*Inputs!$B$16*(1+Inputs!$B$11)^(BN$2-1),0)</f>
        <v>0</v>
      </c>
      <c r="BO27" s="11" t="n">
        <f aca="false">IF(AND(BO$1&gt;=Units!$Q26,MOD(BO$1-Units!$Q26,12)=0),IF(AND(Units!$L26=1,BO$1=Units!$Q26),1,Inputs!$B$15)*Inputs!$B$16*(1+Inputs!$B$11)^(BO$2-1),0)</f>
        <v>0</v>
      </c>
      <c r="BP27" s="11" t="n">
        <f aca="false">IF(AND(BP$1&gt;=Units!$Q26,MOD(BP$1-Units!$Q26,12)=0),IF(AND(Units!$L26=1,BP$1=Units!$Q26),1,Inputs!$B$15)*Inputs!$B$16*(1+Inputs!$B$11)^(BP$2-1),0)</f>
        <v>0</v>
      </c>
      <c r="BQ27" s="11" t="n">
        <f aca="false">IF(AND(BQ$1&gt;=Units!$Q26,MOD(BQ$1-Units!$Q26,12)=0),IF(AND(Units!$L26=1,BQ$1=Units!$Q26),1,Inputs!$B$15)*Inputs!$B$16*(1+Inputs!$B$11)^(BQ$2-1),0)</f>
        <v>0</v>
      </c>
      <c r="BR27" s="11" t="n">
        <f aca="false">IF(AND(BR$1&gt;=Units!$Q26,MOD(BR$1-Units!$Q26,12)=0),IF(AND(Units!$L26=1,BR$1=Units!$Q26),1,Inputs!$B$15)*Inputs!$B$16*(1+Inputs!$B$11)^(BR$2-1),0)</f>
        <v>0</v>
      </c>
      <c r="BS27" s="11" t="n">
        <f aca="false">IF(AND(BS$1&gt;=Units!$Q26,MOD(BS$1-Units!$Q26,12)=0),IF(AND(Units!$L26=1,BS$1=Units!$Q26),1,Inputs!$B$15)*Inputs!$B$16*(1+Inputs!$B$11)^(BS$2-1),0)</f>
        <v>0</v>
      </c>
      <c r="BT27" s="11" t="n">
        <f aca="false">IF(AND(BT$1&gt;=Units!$Q26,MOD(BT$1-Units!$Q26,12)=0),IF(AND(Units!$L26=1,BT$1=Units!$Q26),1,Inputs!$B$15)*Inputs!$B$16*(1+Inputs!$B$11)^(BT$2-1),0)</f>
        <v>0</v>
      </c>
      <c r="BU27" s="11" t="n">
        <f aca="false">IF(AND(BU$1&gt;=Units!$Q26,MOD(BU$1-Units!$Q26,12)=0),IF(AND(Units!$L26=1,BU$1=Units!$Q26),1,Inputs!$B$15)*Inputs!$B$16*(1+Inputs!$B$11)^(BU$2-1),0)</f>
        <v>0</v>
      </c>
      <c r="BV27" s="11" t="n">
        <f aca="false">IF(AND(BV$1&gt;=Units!$Q26,MOD(BV$1-Units!$Q26,12)=0),IF(AND(Units!$L26=1,BV$1=Units!$Q26),1,Inputs!$B$15)*Inputs!$B$16*(1+Inputs!$B$11)^(BV$2-1),0)</f>
        <v>579.63703715</v>
      </c>
      <c r="BW27" s="11" t="n">
        <f aca="false">IF(AND(BW$1&gt;=Units!$Q26,MOD(BW$1-Units!$Q26,12)=0),IF(AND(Units!$L26=1,BW$1=Units!$Q26),1,Inputs!$B$15)*Inputs!$B$16*(1+Inputs!$B$11)^(BW$2-1),0)</f>
        <v>0</v>
      </c>
      <c r="BX27" s="11" t="n">
        <f aca="false">IF(AND(BX$1&gt;=Units!$Q26,MOD(BX$1-Units!$Q26,12)=0),IF(AND(Units!$L26=1,BX$1=Units!$Q26),1,Inputs!$B$15)*Inputs!$B$16*(1+Inputs!$B$11)^(BX$2-1),0)</f>
        <v>0</v>
      </c>
      <c r="BY27" s="11" t="n">
        <f aca="false">IF(AND(BY$1&gt;=Units!$Q26,MOD(BY$1-Units!$Q26,12)=0),IF(AND(Units!$L26=1,BY$1=Units!$Q26),1,Inputs!$B$15)*Inputs!$B$16*(1+Inputs!$B$11)^(BY$2-1),0)</f>
        <v>0</v>
      </c>
      <c r="BZ27" s="11" t="n">
        <f aca="false">IF(AND(BZ$1&gt;=Units!$Q26,MOD(BZ$1-Units!$Q26,12)=0),IF(AND(Units!$L26=1,BZ$1=Units!$Q26),1,Inputs!$B$15)*Inputs!$B$16*(1+Inputs!$B$11)^(BZ$2-1),0)</f>
        <v>0</v>
      </c>
      <c r="CA27" s="11" t="n">
        <f aca="false">IF(AND(CA$1&gt;=Units!$Q26,MOD(CA$1-Units!$Q26,12)=0),IF(AND(Units!$L26=1,CA$1=Units!$Q26),1,Inputs!$B$15)*Inputs!$B$16*(1+Inputs!$B$11)^(CA$2-1),0)</f>
        <v>0</v>
      </c>
      <c r="CB27" s="11" t="n">
        <f aca="false">IF(AND(CB$1&gt;=Units!$Q26,MOD(CB$1-Units!$Q26,12)=0),IF(AND(Units!$L26=1,CB$1=Units!$Q26),1,Inputs!$B$15)*Inputs!$B$16*(1+Inputs!$B$11)^(CB$2-1),0)</f>
        <v>0</v>
      </c>
      <c r="CC27" s="11" t="n">
        <f aca="false">IF(AND(CC$1&gt;=Units!$Q26,MOD(CC$1-Units!$Q26,12)=0),IF(AND(Units!$L26=1,CC$1=Units!$Q26),1,Inputs!$B$15)*Inputs!$B$16*(1+Inputs!$B$11)^(CC$2-1),0)</f>
        <v>0</v>
      </c>
      <c r="CD27" s="11" t="n">
        <f aca="false">IF(AND(CD$1&gt;=Units!$Q26,MOD(CD$1-Units!$Q26,12)=0),IF(AND(Units!$L26=1,CD$1=Units!$Q26),1,Inputs!$B$15)*Inputs!$B$16*(1+Inputs!$B$11)^(CD$2-1),0)</f>
        <v>0</v>
      </c>
      <c r="CE27" s="11" t="n">
        <f aca="false">IF(AND(CE$1&gt;=Units!$Q26,MOD(CE$1-Units!$Q26,12)=0),IF(AND(Units!$L26=1,CE$1=Units!$Q26),1,Inputs!$B$15)*Inputs!$B$16*(1+Inputs!$B$11)^(CE$2-1),0)</f>
        <v>0</v>
      </c>
      <c r="CF27" s="11" t="n">
        <f aca="false">IF(AND(CF$1&gt;=Units!$Q26,MOD(CF$1-Units!$Q26,12)=0),IF(AND(Units!$L26=1,CF$1=Units!$Q26),1,Inputs!$B$15)*Inputs!$B$16*(1+Inputs!$B$11)^(CF$2-1),0)</f>
        <v>0</v>
      </c>
      <c r="CG27" s="11" t="n">
        <f aca="false">IF(AND(CG$1&gt;=Units!$Q26,MOD(CG$1-Units!$Q26,12)=0),IF(AND(Units!$L26=1,CG$1=Units!$Q26),1,Inputs!$B$15)*Inputs!$B$16*(1+Inputs!$B$11)^(CG$2-1),0)</f>
        <v>0</v>
      </c>
      <c r="CH27" s="11" t="n">
        <f aca="false">IF(AND(CH$1&gt;=Units!$Q26,MOD(CH$1-Units!$Q26,12)=0),IF(AND(Units!$L26=1,CH$1=Units!$Q26),1,Inputs!$B$15)*Inputs!$B$16*(1+Inputs!$B$11)^(CH$2-1),0)</f>
        <v>597.0261482645</v>
      </c>
      <c r="CI27" s="11" t="n">
        <f aca="false">IF(AND(CI$1&gt;=Units!$Q26,MOD(CI$1-Units!$Q26,12)=0),IF(AND(Units!$L26=1,CI$1=Units!$Q26),1,Inputs!$B$15)*Inputs!$B$16*(1+Inputs!$B$11)^(CI$2-1),0)</f>
        <v>0</v>
      </c>
      <c r="CJ27" s="11" t="n">
        <f aca="false">IF(AND(CJ$1&gt;=Units!$Q26,MOD(CJ$1-Units!$Q26,12)=0),IF(AND(Units!$L26=1,CJ$1=Units!$Q26),1,Inputs!$B$15)*Inputs!$B$16*(1+Inputs!$B$11)^(CJ$2-1),0)</f>
        <v>0</v>
      </c>
      <c r="CK27" s="11" t="n">
        <f aca="false">IF(AND(CK$1&gt;=Units!$Q26,MOD(CK$1-Units!$Q26,12)=0),IF(AND(Units!$L26=1,CK$1=Units!$Q26),1,Inputs!$B$15)*Inputs!$B$16*(1+Inputs!$B$11)^(CK$2-1),0)</f>
        <v>0</v>
      </c>
      <c r="CL27" s="11" t="n">
        <f aca="false">IF(AND(CL$1&gt;=Units!$Q26,MOD(CL$1-Units!$Q26,12)=0),IF(AND(Units!$L26=1,CL$1=Units!$Q26),1,Inputs!$B$15)*Inputs!$B$16*(1+Inputs!$B$11)^(CL$2-1),0)</f>
        <v>0</v>
      </c>
      <c r="CM27" s="11" t="n">
        <f aca="false">IF(AND(CM$1&gt;=Units!$Q26,MOD(CM$1-Units!$Q26,12)=0),IF(AND(Units!$L26=1,CM$1=Units!$Q26),1,Inputs!$B$15)*Inputs!$B$16*(1+Inputs!$B$11)^(CM$2-1),0)</f>
        <v>0</v>
      </c>
      <c r="CN27" s="11" t="n">
        <f aca="false">IF(AND(CN$1&gt;=Units!$Q26,MOD(CN$1-Units!$Q26,12)=0),IF(AND(Units!$L26=1,CN$1=Units!$Q26),1,Inputs!$B$15)*Inputs!$B$16*(1+Inputs!$B$11)^(CN$2-1),0)</f>
        <v>0</v>
      </c>
      <c r="CO27" s="11" t="n">
        <f aca="false">IF(AND(CO$1&gt;=Units!$Q26,MOD(CO$1-Units!$Q26,12)=0),IF(AND(Units!$L26=1,CO$1=Units!$Q26),1,Inputs!$B$15)*Inputs!$B$16*(1+Inputs!$B$11)^(CO$2-1),0)</f>
        <v>0</v>
      </c>
      <c r="CP27" s="11" t="n">
        <f aca="false">IF(AND(CP$1&gt;=Units!$Q26,MOD(CP$1-Units!$Q26,12)=0),IF(AND(Units!$L26=1,CP$1=Units!$Q26),1,Inputs!$B$15)*Inputs!$B$16*(1+Inputs!$B$11)^(CP$2-1),0)</f>
        <v>0</v>
      </c>
      <c r="CQ27" s="11" t="n">
        <f aca="false">IF(AND(CQ$1&gt;=Units!$Q26,MOD(CQ$1-Units!$Q26,12)=0),IF(AND(Units!$L26=1,CQ$1=Units!$Q26),1,Inputs!$B$15)*Inputs!$B$16*(1+Inputs!$B$11)^(CQ$2-1),0)</f>
        <v>0</v>
      </c>
      <c r="CR27" s="11" t="n">
        <f aca="false">IF(AND(CR$1&gt;=Units!$Q26,MOD(CR$1-Units!$Q26,12)=0),IF(AND(Units!$L26=1,CR$1=Units!$Q26),1,Inputs!$B$15)*Inputs!$B$16*(1+Inputs!$B$11)^(CR$2-1),0)</f>
        <v>0</v>
      </c>
      <c r="CS27" s="11" t="n">
        <f aca="false">IF(AND(CS$1&gt;=Units!$Q26,MOD(CS$1-Units!$Q26,12)=0),IF(AND(Units!$L26=1,CS$1=Units!$Q26),1,Inputs!$B$15)*Inputs!$B$16*(1+Inputs!$B$11)^(CS$2-1),0)</f>
        <v>0</v>
      </c>
      <c r="CT27" s="11" t="n">
        <f aca="false">IF(AND(CT$1&gt;=Units!$Q26,MOD(CT$1-Units!$Q26,12)=0),IF(AND(Units!$L26=1,CT$1=Units!$Q26),1,Inputs!$B$15)*Inputs!$B$16*(1+Inputs!$B$11)^(CT$2-1),0)</f>
        <v>614.936932712435</v>
      </c>
      <c r="CU27" s="11" t="n">
        <f aca="false">IF(AND(CU$1&gt;=Units!$Q26,MOD(CU$1-Units!$Q26,12)=0),IF(AND(Units!$L26=1,CU$1=Units!$Q26),1,Inputs!$B$15)*Inputs!$B$16*(1+Inputs!$B$11)^(CU$2-1),0)</f>
        <v>0</v>
      </c>
      <c r="CV27" s="11" t="n">
        <f aca="false">IF(AND(CV$1&gt;=Units!$Q26,MOD(CV$1-Units!$Q26,12)=0),IF(AND(Units!$L26=1,CV$1=Units!$Q26),1,Inputs!$B$15)*Inputs!$B$16*(1+Inputs!$B$11)^(CV$2-1),0)</f>
        <v>0</v>
      </c>
      <c r="CW27" s="11" t="n">
        <f aca="false">IF(AND(CW$1&gt;=Units!$Q26,MOD(CW$1-Units!$Q26,12)=0),IF(AND(Units!$L26=1,CW$1=Units!$Q26),1,Inputs!$B$15)*Inputs!$B$16*(1+Inputs!$B$11)^(CW$2-1),0)</f>
        <v>0</v>
      </c>
      <c r="CX27" s="11" t="n">
        <f aca="false">IF(AND(CX$1&gt;=Units!$Q26,MOD(CX$1-Units!$Q26,12)=0),IF(AND(Units!$L26=1,CX$1=Units!$Q26),1,Inputs!$B$15)*Inputs!$B$16*(1+Inputs!$B$11)^(CX$2-1),0)</f>
        <v>0</v>
      </c>
      <c r="CY27" s="11" t="n">
        <f aca="false">IF(AND(CY$1&gt;=Units!$Q26,MOD(CY$1-Units!$Q26,12)=0),IF(AND(Units!$L26=1,CY$1=Units!$Q26),1,Inputs!$B$15)*Inputs!$B$16*(1+Inputs!$B$11)^(CY$2-1),0)</f>
        <v>0</v>
      </c>
      <c r="CZ27" s="11" t="n">
        <f aca="false">IF(AND(CZ$1&gt;=Units!$Q26,MOD(CZ$1-Units!$Q26,12)=0),IF(AND(Units!$L26=1,CZ$1=Units!$Q26),1,Inputs!$B$15)*Inputs!$B$16*(1+Inputs!$B$11)^(CZ$2-1),0)</f>
        <v>0</v>
      </c>
      <c r="DA27" s="11" t="n">
        <f aca="false">IF(AND(DA$1&gt;=Units!$Q26,MOD(DA$1-Units!$Q26,12)=0),IF(AND(Units!$L26=1,DA$1=Units!$Q26),1,Inputs!$B$15)*Inputs!$B$16*(1+Inputs!$B$11)^(DA$2-1),0)</f>
        <v>0</v>
      </c>
      <c r="DB27" s="11" t="n">
        <f aca="false">IF(AND(DB$1&gt;=Units!$Q26,MOD(DB$1-Units!$Q26,12)=0),IF(AND(Units!$L26=1,DB$1=Units!$Q26),1,Inputs!$B$15)*Inputs!$B$16*(1+Inputs!$B$11)^(DB$2-1),0)</f>
        <v>0</v>
      </c>
      <c r="DC27" s="11" t="n">
        <f aca="false">IF(AND(DC$1&gt;=Units!$Q26,MOD(DC$1-Units!$Q26,12)=0),IF(AND(Units!$L26=1,DC$1=Units!$Q26),1,Inputs!$B$15)*Inputs!$B$16*(1+Inputs!$B$11)^(DC$2-1),0)</f>
        <v>0</v>
      </c>
      <c r="DD27" s="11" t="n">
        <f aca="false">IF(AND(DD$1&gt;=Units!$Q26,MOD(DD$1-Units!$Q26,12)=0),IF(AND(Units!$L26=1,DD$1=Units!$Q26),1,Inputs!$B$15)*Inputs!$B$16*(1+Inputs!$B$11)^(DD$2-1),0)</f>
        <v>0</v>
      </c>
      <c r="DE27" s="11" t="n">
        <f aca="false">IF(AND(DE$1&gt;=Units!$Q26,MOD(DE$1-Units!$Q26,12)=0),IF(AND(Units!$L26=1,DE$1=Units!$Q26),1,Inputs!$B$15)*Inputs!$B$16*(1+Inputs!$B$11)^(DE$2-1),0)</f>
        <v>0</v>
      </c>
      <c r="DF27" s="11" t="n">
        <f aca="false">IF(AND(DF$1&gt;=Units!$Q26,MOD(DF$1-Units!$Q26,12)=0),IF(AND(Units!$L26=1,DF$1=Units!$Q26),1,Inputs!$B$15)*Inputs!$B$16*(1+Inputs!$B$11)^(DF$2-1),0)</f>
        <v>633.385040693808</v>
      </c>
      <c r="DG27" s="11" t="n">
        <f aca="false">IF(AND(DG$1&gt;=Units!$Q26,MOD(DG$1-Units!$Q26,12)=0),IF(AND(Units!$L26=1,DG$1=Units!$Q26),1,Inputs!$B$15)*Inputs!$B$16*(1+Inputs!$B$11)^(DG$2-1),0)</f>
        <v>0</v>
      </c>
      <c r="DH27" s="11" t="n">
        <f aca="false">IF(AND(DH$1&gt;=Units!$Q26,MOD(DH$1-Units!$Q26,12)=0),IF(AND(Units!$L26=1,DH$1=Units!$Q26),1,Inputs!$B$15)*Inputs!$B$16*(1+Inputs!$B$11)^(DH$2-1),0)</f>
        <v>0</v>
      </c>
      <c r="DI27" s="11" t="n">
        <f aca="false">IF(AND(DI$1&gt;=Units!$Q26,MOD(DI$1-Units!$Q26,12)=0),IF(AND(Units!$L26=1,DI$1=Units!$Q26),1,Inputs!$B$15)*Inputs!$B$16*(1+Inputs!$B$11)^(DI$2-1),0)</f>
        <v>0</v>
      </c>
      <c r="DJ27" s="11" t="n">
        <f aca="false">IF(AND(DJ$1&gt;=Units!$Q26,MOD(DJ$1-Units!$Q26,12)=0),IF(AND(Units!$L26=1,DJ$1=Units!$Q26),1,Inputs!$B$15)*Inputs!$B$16*(1+Inputs!$B$11)^(DJ$2-1),0)</f>
        <v>0</v>
      </c>
      <c r="DK27" s="11" t="n">
        <f aca="false">IF(AND(DK$1&gt;=Units!$Q26,MOD(DK$1-Units!$Q26,12)=0),IF(AND(Units!$L26=1,DK$1=Units!$Q26),1,Inputs!$B$15)*Inputs!$B$16*(1+Inputs!$B$11)^(DK$2-1),0)</f>
        <v>0</v>
      </c>
      <c r="DL27" s="11" t="n">
        <f aca="false">IF(AND(DL$1&gt;=Units!$Q26,MOD(DL$1-Units!$Q26,12)=0),IF(AND(Units!$L26=1,DL$1=Units!$Q26),1,Inputs!$B$15)*Inputs!$B$16*(1+Inputs!$B$11)^(DL$2-1),0)</f>
        <v>0</v>
      </c>
      <c r="DM27" s="11" t="n">
        <f aca="false">IF(AND(DM$1&gt;=Units!$Q26,MOD(DM$1-Units!$Q26,12)=0),IF(AND(Units!$L26=1,DM$1=Units!$Q26),1,Inputs!$B$15)*Inputs!$B$16*(1+Inputs!$B$11)^(DM$2-1),0)</f>
        <v>0</v>
      </c>
      <c r="DN27" s="11" t="n">
        <f aca="false">IF(AND(DN$1&gt;=Units!$Q26,MOD(DN$1-Units!$Q26,12)=0),IF(AND(Units!$L26=1,DN$1=Units!$Q26),1,Inputs!$B$15)*Inputs!$B$16*(1+Inputs!$B$11)^(DN$2-1),0)</f>
        <v>0</v>
      </c>
      <c r="DO27" s="11" t="n">
        <f aca="false">IF(AND(DO$1&gt;=Units!$Q26,MOD(DO$1-Units!$Q26,12)=0),IF(AND(Units!$L26=1,DO$1=Units!$Q26),1,Inputs!$B$15)*Inputs!$B$16*(1+Inputs!$B$11)^(DO$2-1),0)</f>
        <v>0</v>
      </c>
      <c r="DP27" s="11" t="n">
        <f aca="false">IF(AND(DP$1&gt;=Units!$Q26,MOD(DP$1-Units!$Q26,12)=0),IF(AND(Units!$L26=1,DP$1=Units!$Q26),1,Inputs!$B$15)*Inputs!$B$16*(1+Inputs!$B$11)^(DP$2-1),0)</f>
        <v>0</v>
      </c>
      <c r="DQ27" s="11" t="n">
        <f aca="false">IF(AND(DQ$1&gt;=Units!$Q26,MOD(DQ$1-Units!$Q26,12)=0),IF(AND(Units!$L26=1,DQ$1=Units!$Q26),1,Inputs!$B$15)*Inputs!$B$16*(1+Inputs!$B$11)^(DQ$2-1),0)</f>
        <v>0</v>
      </c>
      <c r="DR27" s="11" t="n">
        <f aca="false">IF(AND(DR$1&gt;=Units!$Q26,MOD(DR$1-Units!$Q26,12)=0),IF(AND(Units!$L26=1,DR$1=Units!$Q26),1,Inputs!$B$15)*Inputs!$B$16*(1+Inputs!$B$11)^(DR$2-1),0)</f>
        <v>652.386591914623</v>
      </c>
      <c r="DS27" s="11" t="n">
        <f aca="false">IF(AND(DS$1&gt;=Units!$Q26,MOD(DS$1-Units!$Q26,12)=0),IF(AND(Units!$L26=1,DS$1=Units!$Q26),1,Inputs!$B$15)*Inputs!$B$16*(1+Inputs!$B$11)^(DS$2-1),0)</f>
        <v>0</v>
      </c>
      <c r="DT27" s="11" t="n">
        <f aca="false">IF(AND(DT$1&gt;=Units!$Q26,MOD(DT$1-Units!$Q26,12)=0),IF(AND(Units!$L26=1,DT$1=Units!$Q26),1,Inputs!$B$15)*Inputs!$B$16*(1+Inputs!$B$11)^(DT$2-1),0)</f>
        <v>0</v>
      </c>
      <c r="DU27" s="11" t="n">
        <f aca="false">IF(AND(DU$1&gt;=Units!$Q26,MOD(DU$1-Units!$Q26,12)=0),IF(AND(Units!$L26=1,DU$1=Units!$Q26),1,Inputs!$B$15)*Inputs!$B$16*(1+Inputs!$B$11)^(DU$2-1),0)</f>
        <v>0</v>
      </c>
      <c r="DV27" s="11" t="n">
        <f aca="false">IF(AND(DV$1&gt;=Units!$Q26,MOD(DV$1-Units!$Q26,12)=0),IF(AND(Units!$L26=1,DV$1=Units!$Q26),1,Inputs!$B$15)*Inputs!$B$16*(1+Inputs!$B$11)^(DV$2-1),0)</f>
        <v>0</v>
      </c>
      <c r="DW27" s="11" t="n">
        <f aca="false">IF(AND(DW$1&gt;=Units!$Q26,MOD(DW$1-Units!$Q26,12)=0),IF(AND(Units!$L26=1,DW$1=Units!$Q26),1,Inputs!$B$15)*Inputs!$B$16*(1+Inputs!$B$11)^(DW$2-1),0)</f>
        <v>0</v>
      </c>
      <c r="DX27" s="11" t="n">
        <f aca="false">IF(AND(DX$1&gt;=Units!$Q26,MOD(DX$1-Units!$Q26,12)=0),IF(AND(Units!$L26=1,DX$1=Units!$Q26),1,Inputs!$B$15)*Inputs!$B$16*(1+Inputs!$B$11)^(DX$2-1),0)</f>
        <v>0</v>
      </c>
      <c r="DY27" s="11" t="n">
        <f aca="false">IF(AND(DY$1&gt;=Units!$Q26,MOD(DY$1-Units!$Q26,12)=0),IF(AND(Units!$L26=1,DY$1=Units!$Q26),1,Inputs!$B$15)*Inputs!$B$16*(1+Inputs!$B$11)^(DY$2-1),0)</f>
        <v>0</v>
      </c>
      <c r="DZ27" s="11" t="n">
        <f aca="false">IF(AND(DZ$1&gt;=Units!$Q26,MOD(DZ$1-Units!$Q26,12)=0),IF(AND(Units!$L26=1,DZ$1=Units!$Q26),1,Inputs!$B$15)*Inputs!$B$16*(1+Inputs!$B$11)^(DZ$2-1),0)</f>
        <v>0</v>
      </c>
      <c r="EA27" s="11" t="n">
        <f aca="false">IF(AND(EA$1&gt;=Units!$Q26,MOD(EA$1-Units!$Q26,12)=0),IF(AND(Units!$L26=1,EA$1=Units!$Q26),1,Inputs!$B$15)*Inputs!$B$16*(1+Inputs!$B$11)^(EA$2-1),0)</f>
        <v>0</v>
      </c>
      <c r="EB27" s="11" t="n">
        <f aca="false">IF(AND(EB$1&gt;=Units!$Q26,MOD(EB$1-Units!$Q26,12)=0),IF(AND(Units!$L26=1,EB$1=Units!$Q26),1,Inputs!$B$15)*Inputs!$B$16*(1+Inputs!$B$11)^(EB$2-1),0)</f>
        <v>0</v>
      </c>
      <c r="EC27" s="11" t="n">
        <f aca="false">IF(AND(EC$1&gt;=Units!$Q26,MOD(EC$1-Units!$Q26,12)=0),IF(AND(Units!$L26=1,EC$1=Units!$Q26),1,Inputs!$B$15)*Inputs!$B$16*(1+Inputs!$B$11)^(EC$2-1),0)</f>
        <v>0</v>
      </c>
      <c r="ED27" s="11" t="n">
        <f aca="false">IF(AND(ED$1&gt;=Units!$Q26,MOD(ED$1-Units!$Q26,12)=0),IF(AND(Units!$L26=1,ED$1=Units!$Q26),1,Inputs!$B$15)*Inputs!$B$16*(1+Inputs!$B$11)^(ED$2-1),0)</f>
        <v>671.958189672061</v>
      </c>
    </row>
    <row r="28" customFormat="false" ht="15" hidden="false" customHeight="false" outlineLevel="0" collapsed="false">
      <c r="A28" s="22" t="n">
        <f aca="false">Units!A27</f>
        <v>126</v>
      </c>
      <c r="B28" s="23"/>
      <c r="C28" s="11" t="n">
        <f aca="false">IF(AND(C$1&gt;=Units!$Q27,MOD(C$1-Units!$Q27,12)=0),IF(AND(Units!$L27=1,C$1=Units!$Q27),1,Inputs!$B$15)*Inputs!$B$16*(1+Inputs!$B$11)^(C$2-1),0)</f>
        <v>500</v>
      </c>
      <c r="D28" s="11" t="n">
        <f aca="false">IF(AND(D$1&gt;=Units!$Q27,MOD(D$1-Units!$Q27,12)=0),IF(AND(Units!$L27=1,D$1=Units!$Q27),1,Inputs!$B$15)*Inputs!$B$16*(1+Inputs!$B$11)^(D$2-1),0)</f>
        <v>0</v>
      </c>
      <c r="E28" s="11" t="n">
        <f aca="false">IF(AND(E$1&gt;=Units!$Q27,MOD(E$1-Units!$Q27,12)=0),IF(AND(Units!$L27=1,E$1=Units!$Q27),1,Inputs!$B$15)*Inputs!$B$16*(1+Inputs!$B$11)^(E$2-1),0)</f>
        <v>0</v>
      </c>
      <c r="F28" s="11" t="n">
        <f aca="false">IF(AND(F$1&gt;=Units!$Q27,MOD(F$1-Units!$Q27,12)=0),IF(AND(Units!$L27=1,F$1=Units!$Q27),1,Inputs!$B$15)*Inputs!$B$16*(1+Inputs!$B$11)^(F$2-1),0)</f>
        <v>0</v>
      </c>
      <c r="G28" s="11" t="n">
        <f aca="false">IF(AND(G$1&gt;=Units!$Q27,MOD(G$1-Units!$Q27,12)=0),IF(AND(Units!$L27=1,G$1=Units!$Q27),1,Inputs!$B$15)*Inputs!$B$16*(1+Inputs!$B$11)^(G$2-1),0)</f>
        <v>0</v>
      </c>
      <c r="H28" s="11" t="n">
        <f aca="false">IF(AND(H$1&gt;=Units!$Q27,MOD(H$1-Units!$Q27,12)=0),IF(AND(Units!$L27=1,H$1=Units!$Q27),1,Inputs!$B$15)*Inputs!$B$16*(1+Inputs!$B$11)^(H$2-1),0)</f>
        <v>0</v>
      </c>
      <c r="I28" s="11" t="n">
        <f aca="false">IF(AND(I$1&gt;=Units!$Q27,MOD(I$1-Units!$Q27,12)=0),IF(AND(Units!$L27=1,I$1=Units!$Q27),1,Inputs!$B$15)*Inputs!$B$16*(1+Inputs!$B$11)^(I$2-1),0)</f>
        <v>0</v>
      </c>
      <c r="J28" s="11" t="n">
        <f aca="false">IF(AND(J$1&gt;=Units!$Q27,MOD(J$1-Units!$Q27,12)=0),IF(AND(Units!$L27=1,J$1=Units!$Q27),1,Inputs!$B$15)*Inputs!$B$16*(1+Inputs!$B$11)^(J$2-1),0)</f>
        <v>0</v>
      </c>
      <c r="K28" s="11" t="n">
        <f aca="false">IF(AND(K$1&gt;=Units!$Q27,MOD(K$1-Units!$Q27,12)=0),IF(AND(Units!$L27=1,K$1=Units!$Q27),1,Inputs!$B$15)*Inputs!$B$16*(1+Inputs!$B$11)^(K$2-1),0)</f>
        <v>0</v>
      </c>
      <c r="L28" s="11" t="n">
        <f aca="false">IF(AND(L$1&gt;=Units!$Q27,MOD(L$1-Units!$Q27,12)=0),IF(AND(Units!$L27=1,L$1=Units!$Q27),1,Inputs!$B$15)*Inputs!$B$16*(1+Inputs!$B$11)^(L$2-1),0)</f>
        <v>0</v>
      </c>
      <c r="M28" s="11" t="n">
        <f aca="false">IF(AND(M$1&gt;=Units!$Q27,MOD(M$1-Units!$Q27,12)=0),IF(AND(Units!$L27=1,M$1=Units!$Q27),1,Inputs!$B$15)*Inputs!$B$16*(1+Inputs!$B$11)^(M$2-1),0)</f>
        <v>0</v>
      </c>
      <c r="N28" s="11" t="n">
        <f aca="false">IF(AND(N$1&gt;=Units!$Q27,MOD(N$1-Units!$Q27,12)=0),IF(AND(Units!$L27=1,N$1=Units!$Q27),1,Inputs!$B$15)*Inputs!$B$16*(1+Inputs!$B$11)^(N$2-1),0)</f>
        <v>0</v>
      </c>
      <c r="O28" s="11" t="n">
        <f aca="false">IF(AND(O$1&gt;=Units!$Q27,MOD(O$1-Units!$Q27,12)=0),IF(AND(Units!$L27=1,O$1=Units!$Q27),1,Inputs!$B$15)*Inputs!$B$16*(1+Inputs!$B$11)^(O$2-1),0)</f>
        <v>515</v>
      </c>
      <c r="P28" s="11" t="n">
        <f aca="false">IF(AND(P$1&gt;=Units!$Q27,MOD(P$1-Units!$Q27,12)=0),IF(AND(Units!$L27=1,P$1=Units!$Q27),1,Inputs!$B$15)*Inputs!$B$16*(1+Inputs!$B$11)^(P$2-1),0)</f>
        <v>0</v>
      </c>
      <c r="Q28" s="11" t="n">
        <f aca="false">IF(AND(Q$1&gt;=Units!$Q27,MOD(Q$1-Units!$Q27,12)=0),IF(AND(Units!$L27=1,Q$1=Units!$Q27),1,Inputs!$B$15)*Inputs!$B$16*(1+Inputs!$B$11)^(Q$2-1),0)</f>
        <v>0</v>
      </c>
      <c r="R28" s="11" t="n">
        <f aca="false">IF(AND(R$1&gt;=Units!$Q27,MOD(R$1-Units!$Q27,12)=0),IF(AND(Units!$L27=1,R$1=Units!$Q27),1,Inputs!$B$15)*Inputs!$B$16*(1+Inputs!$B$11)^(R$2-1),0)</f>
        <v>0</v>
      </c>
      <c r="S28" s="11" t="n">
        <f aca="false">IF(AND(S$1&gt;=Units!$Q27,MOD(S$1-Units!$Q27,12)=0),IF(AND(Units!$L27=1,S$1=Units!$Q27),1,Inputs!$B$15)*Inputs!$B$16*(1+Inputs!$B$11)^(S$2-1),0)</f>
        <v>0</v>
      </c>
      <c r="T28" s="11" t="n">
        <f aca="false">IF(AND(T$1&gt;=Units!$Q27,MOD(T$1-Units!$Q27,12)=0),IF(AND(Units!$L27=1,T$1=Units!$Q27),1,Inputs!$B$15)*Inputs!$B$16*(1+Inputs!$B$11)^(T$2-1),0)</f>
        <v>0</v>
      </c>
      <c r="U28" s="11" t="n">
        <f aca="false">IF(AND(U$1&gt;=Units!$Q27,MOD(U$1-Units!$Q27,12)=0),IF(AND(Units!$L27=1,U$1=Units!$Q27),1,Inputs!$B$15)*Inputs!$B$16*(1+Inputs!$B$11)^(U$2-1),0)</f>
        <v>0</v>
      </c>
      <c r="V28" s="11" t="n">
        <f aca="false">IF(AND(V$1&gt;=Units!$Q27,MOD(V$1-Units!$Q27,12)=0),IF(AND(Units!$L27=1,V$1=Units!$Q27),1,Inputs!$B$15)*Inputs!$B$16*(1+Inputs!$B$11)^(V$2-1),0)</f>
        <v>0</v>
      </c>
      <c r="W28" s="11" t="n">
        <f aca="false">IF(AND(W$1&gt;=Units!$Q27,MOD(W$1-Units!$Q27,12)=0),IF(AND(Units!$L27=1,W$1=Units!$Q27),1,Inputs!$B$15)*Inputs!$B$16*(1+Inputs!$B$11)^(W$2-1),0)</f>
        <v>0</v>
      </c>
      <c r="X28" s="11" t="n">
        <f aca="false">IF(AND(X$1&gt;=Units!$Q27,MOD(X$1-Units!$Q27,12)=0),IF(AND(Units!$L27=1,X$1=Units!$Q27),1,Inputs!$B$15)*Inputs!$B$16*(1+Inputs!$B$11)^(X$2-1),0)</f>
        <v>0</v>
      </c>
      <c r="Y28" s="11" t="n">
        <f aca="false">IF(AND(Y$1&gt;=Units!$Q27,MOD(Y$1-Units!$Q27,12)=0),IF(AND(Units!$L27=1,Y$1=Units!$Q27),1,Inputs!$B$15)*Inputs!$B$16*(1+Inputs!$B$11)^(Y$2-1),0)</f>
        <v>0</v>
      </c>
      <c r="Z28" s="11" t="n">
        <f aca="false">IF(AND(Z$1&gt;=Units!$Q27,MOD(Z$1-Units!$Q27,12)=0),IF(AND(Units!$L27=1,Z$1=Units!$Q27),1,Inputs!$B$15)*Inputs!$B$16*(1+Inputs!$B$11)^(Z$2-1),0)</f>
        <v>0</v>
      </c>
      <c r="AA28" s="11" t="n">
        <f aca="false">IF(AND(AA$1&gt;=Units!$Q27,MOD(AA$1-Units!$Q27,12)=0),IF(AND(Units!$L27=1,AA$1=Units!$Q27),1,Inputs!$B$15)*Inputs!$B$16*(1+Inputs!$B$11)^(AA$2-1),0)</f>
        <v>530.45</v>
      </c>
      <c r="AB28" s="11" t="n">
        <f aca="false">IF(AND(AB$1&gt;=Units!$Q27,MOD(AB$1-Units!$Q27,12)=0),IF(AND(Units!$L27=1,AB$1=Units!$Q27),1,Inputs!$B$15)*Inputs!$B$16*(1+Inputs!$B$11)^(AB$2-1),0)</f>
        <v>0</v>
      </c>
      <c r="AC28" s="11" t="n">
        <f aca="false">IF(AND(AC$1&gt;=Units!$Q27,MOD(AC$1-Units!$Q27,12)=0),IF(AND(Units!$L27=1,AC$1=Units!$Q27),1,Inputs!$B$15)*Inputs!$B$16*(1+Inputs!$B$11)^(AC$2-1),0)</f>
        <v>0</v>
      </c>
      <c r="AD28" s="11" t="n">
        <f aca="false">IF(AND(AD$1&gt;=Units!$Q27,MOD(AD$1-Units!$Q27,12)=0),IF(AND(Units!$L27=1,AD$1=Units!$Q27),1,Inputs!$B$15)*Inputs!$B$16*(1+Inputs!$B$11)^(AD$2-1),0)</f>
        <v>0</v>
      </c>
      <c r="AE28" s="11" t="n">
        <f aca="false">IF(AND(AE$1&gt;=Units!$Q27,MOD(AE$1-Units!$Q27,12)=0),IF(AND(Units!$L27=1,AE$1=Units!$Q27),1,Inputs!$B$15)*Inputs!$B$16*(1+Inputs!$B$11)^(AE$2-1),0)</f>
        <v>0</v>
      </c>
      <c r="AF28" s="11" t="n">
        <f aca="false">IF(AND(AF$1&gt;=Units!$Q27,MOD(AF$1-Units!$Q27,12)=0),IF(AND(Units!$L27=1,AF$1=Units!$Q27),1,Inputs!$B$15)*Inputs!$B$16*(1+Inputs!$B$11)^(AF$2-1),0)</f>
        <v>0</v>
      </c>
      <c r="AG28" s="11" t="n">
        <f aca="false">IF(AND(AG$1&gt;=Units!$Q27,MOD(AG$1-Units!$Q27,12)=0),IF(AND(Units!$L27=1,AG$1=Units!$Q27),1,Inputs!$B$15)*Inputs!$B$16*(1+Inputs!$B$11)^(AG$2-1),0)</f>
        <v>0</v>
      </c>
      <c r="AH28" s="11" t="n">
        <f aca="false">IF(AND(AH$1&gt;=Units!$Q27,MOD(AH$1-Units!$Q27,12)=0),IF(AND(Units!$L27=1,AH$1=Units!$Q27),1,Inputs!$B$15)*Inputs!$B$16*(1+Inputs!$B$11)^(AH$2-1),0)</f>
        <v>0</v>
      </c>
      <c r="AI28" s="11" t="n">
        <f aca="false">IF(AND(AI$1&gt;=Units!$Q27,MOD(AI$1-Units!$Q27,12)=0),IF(AND(Units!$L27=1,AI$1=Units!$Q27),1,Inputs!$B$15)*Inputs!$B$16*(1+Inputs!$B$11)^(AI$2-1),0)</f>
        <v>0</v>
      </c>
      <c r="AJ28" s="11" t="n">
        <f aca="false">IF(AND(AJ$1&gt;=Units!$Q27,MOD(AJ$1-Units!$Q27,12)=0),IF(AND(Units!$L27=1,AJ$1=Units!$Q27),1,Inputs!$B$15)*Inputs!$B$16*(1+Inputs!$B$11)^(AJ$2-1),0)</f>
        <v>0</v>
      </c>
      <c r="AK28" s="11" t="n">
        <f aca="false">IF(AND(AK$1&gt;=Units!$Q27,MOD(AK$1-Units!$Q27,12)=0),IF(AND(Units!$L27=1,AK$1=Units!$Q27),1,Inputs!$B$15)*Inputs!$B$16*(1+Inputs!$B$11)^(AK$2-1),0)</f>
        <v>0</v>
      </c>
      <c r="AL28" s="11" t="n">
        <f aca="false">IF(AND(AL$1&gt;=Units!$Q27,MOD(AL$1-Units!$Q27,12)=0),IF(AND(Units!$L27=1,AL$1=Units!$Q27),1,Inputs!$B$15)*Inputs!$B$16*(1+Inputs!$B$11)^(AL$2-1),0)</f>
        <v>0</v>
      </c>
      <c r="AM28" s="11" t="n">
        <f aca="false">IF(AND(AM$1&gt;=Units!$Q27,MOD(AM$1-Units!$Q27,12)=0),IF(AND(Units!$L27=1,AM$1=Units!$Q27),1,Inputs!$B$15)*Inputs!$B$16*(1+Inputs!$B$11)^(AM$2-1),0)</f>
        <v>546.3635</v>
      </c>
      <c r="AN28" s="11" t="n">
        <f aca="false">IF(AND(AN$1&gt;=Units!$Q27,MOD(AN$1-Units!$Q27,12)=0),IF(AND(Units!$L27=1,AN$1=Units!$Q27),1,Inputs!$B$15)*Inputs!$B$16*(1+Inputs!$B$11)^(AN$2-1),0)</f>
        <v>0</v>
      </c>
      <c r="AO28" s="11" t="n">
        <f aca="false">IF(AND(AO$1&gt;=Units!$Q27,MOD(AO$1-Units!$Q27,12)=0),IF(AND(Units!$L27=1,AO$1=Units!$Q27),1,Inputs!$B$15)*Inputs!$B$16*(1+Inputs!$B$11)^(AO$2-1),0)</f>
        <v>0</v>
      </c>
      <c r="AP28" s="11" t="n">
        <f aca="false">IF(AND(AP$1&gt;=Units!$Q27,MOD(AP$1-Units!$Q27,12)=0),IF(AND(Units!$L27=1,AP$1=Units!$Q27),1,Inputs!$B$15)*Inputs!$B$16*(1+Inputs!$B$11)^(AP$2-1),0)</f>
        <v>0</v>
      </c>
      <c r="AQ28" s="11" t="n">
        <f aca="false">IF(AND(AQ$1&gt;=Units!$Q27,MOD(AQ$1-Units!$Q27,12)=0),IF(AND(Units!$L27=1,AQ$1=Units!$Q27),1,Inputs!$B$15)*Inputs!$B$16*(1+Inputs!$B$11)^(AQ$2-1),0)</f>
        <v>0</v>
      </c>
      <c r="AR28" s="11" t="n">
        <f aca="false">IF(AND(AR$1&gt;=Units!$Q27,MOD(AR$1-Units!$Q27,12)=0),IF(AND(Units!$L27=1,AR$1=Units!$Q27),1,Inputs!$B$15)*Inputs!$B$16*(1+Inputs!$B$11)^(AR$2-1),0)</f>
        <v>0</v>
      </c>
      <c r="AS28" s="11" t="n">
        <f aca="false">IF(AND(AS$1&gt;=Units!$Q27,MOD(AS$1-Units!$Q27,12)=0),IF(AND(Units!$L27=1,AS$1=Units!$Q27),1,Inputs!$B$15)*Inputs!$B$16*(1+Inputs!$B$11)^(AS$2-1),0)</f>
        <v>0</v>
      </c>
      <c r="AT28" s="11" t="n">
        <f aca="false">IF(AND(AT$1&gt;=Units!$Q27,MOD(AT$1-Units!$Q27,12)=0),IF(AND(Units!$L27=1,AT$1=Units!$Q27),1,Inputs!$B$15)*Inputs!$B$16*(1+Inputs!$B$11)^(AT$2-1),0)</f>
        <v>0</v>
      </c>
      <c r="AU28" s="11" t="n">
        <f aca="false">IF(AND(AU$1&gt;=Units!$Q27,MOD(AU$1-Units!$Q27,12)=0),IF(AND(Units!$L27=1,AU$1=Units!$Q27),1,Inputs!$B$15)*Inputs!$B$16*(1+Inputs!$B$11)^(AU$2-1),0)</f>
        <v>0</v>
      </c>
      <c r="AV28" s="11" t="n">
        <f aca="false">IF(AND(AV$1&gt;=Units!$Q27,MOD(AV$1-Units!$Q27,12)=0),IF(AND(Units!$L27=1,AV$1=Units!$Q27),1,Inputs!$B$15)*Inputs!$B$16*(1+Inputs!$B$11)^(AV$2-1),0)</f>
        <v>0</v>
      </c>
      <c r="AW28" s="11" t="n">
        <f aca="false">IF(AND(AW$1&gt;=Units!$Q27,MOD(AW$1-Units!$Q27,12)=0),IF(AND(Units!$L27=1,AW$1=Units!$Q27),1,Inputs!$B$15)*Inputs!$B$16*(1+Inputs!$B$11)^(AW$2-1),0)</f>
        <v>0</v>
      </c>
      <c r="AX28" s="11" t="n">
        <f aca="false">IF(AND(AX$1&gt;=Units!$Q27,MOD(AX$1-Units!$Q27,12)=0),IF(AND(Units!$L27=1,AX$1=Units!$Q27),1,Inputs!$B$15)*Inputs!$B$16*(1+Inputs!$B$11)^(AX$2-1),0)</f>
        <v>0</v>
      </c>
      <c r="AY28" s="11" t="n">
        <f aca="false">IF(AND(AY$1&gt;=Units!$Q27,MOD(AY$1-Units!$Q27,12)=0),IF(AND(Units!$L27=1,AY$1=Units!$Q27),1,Inputs!$B$15)*Inputs!$B$16*(1+Inputs!$B$11)^(AY$2-1),0)</f>
        <v>562.754405</v>
      </c>
      <c r="AZ28" s="11" t="n">
        <f aca="false">IF(AND(AZ$1&gt;=Units!$Q27,MOD(AZ$1-Units!$Q27,12)=0),IF(AND(Units!$L27=1,AZ$1=Units!$Q27),1,Inputs!$B$15)*Inputs!$B$16*(1+Inputs!$B$11)^(AZ$2-1),0)</f>
        <v>0</v>
      </c>
      <c r="BA28" s="11" t="n">
        <f aca="false">IF(AND(BA$1&gt;=Units!$Q27,MOD(BA$1-Units!$Q27,12)=0),IF(AND(Units!$L27=1,BA$1=Units!$Q27),1,Inputs!$B$15)*Inputs!$B$16*(1+Inputs!$B$11)^(BA$2-1),0)</f>
        <v>0</v>
      </c>
      <c r="BB28" s="11" t="n">
        <f aca="false">IF(AND(BB$1&gt;=Units!$Q27,MOD(BB$1-Units!$Q27,12)=0),IF(AND(Units!$L27=1,BB$1=Units!$Q27),1,Inputs!$B$15)*Inputs!$B$16*(1+Inputs!$B$11)^(BB$2-1),0)</f>
        <v>0</v>
      </c>
      <c r="BC28" s="11" t="n">
        <f aca="false">IF(AND(BC$1&gt;=Units!$Q27,MOD(BC$1-Units!$Q27,12)=0),IF(AND(Units!$L27=1,BC$1=Units!$Q27),1,Inputs!$B$15)*Inputs!$B$16*(1+Inputs!$B$11)^(BC$2-1),0)</f>
        <v>0</v>
      </c>
      <c r="BD28" s="11" t="n">
        <f aca="false">IF(AND(BD$1&gt;=Units!$Q27,MOD(BD$1-Units!$Q27,12)=0),IF(AND(Units!$L27=1,BD$1=Units!$Q27),1,Inputs!$B$15)*Inputs!$B$16*(1+Inputs!$B$11)^(BD$2-1),0)</f>
        <v>0</v>
      </c>
      <c r="BE28" s="11" t="n">
        <f aca="false">IF(AND(BE$1&gt;=Units!$Q27,MOD(BE$1-Units!$Q27,12)=0),IF(AND(Units!$L27=1,BE$1=Units!$Q27),1,Inputs!$B$15)*Inputs!$B$16*(1+Inputs!$B$11)^(BE$2-1),0)</f>
        <v>0</v>
      </c>
      <c r="BF28" s="11" t="n">
        <f aca="false">IF(AND(BF$1&gt;=Units!$Q27,MOD(BF$1-Units!$Q27,12)=0),IF(AND(Units!$L27=1,BF$1=Units!$Q27),1,Inputs!$B$15)*Inputs!$B$16*(1+Inputs!$B$11)^(BF$2-1),0)</f>
        <v>0</v>
      </c>
      <c r="BG28" s="11" t="n">
        <f aca="false">IF(AND(BG$1&gt;=Units!$Q27,MOD(BG$1-Units!$Q27,12)=0),IF(AND(Units!$L27=1,BG$1=Units!$Q27),1,Inputs!$B$15)*Inputs!$B$16*(1+Inputs!$B$11)^(BG$2-1),0)</f>
        <v>0</v>
      </c>
      <c r="BH28" s="11" t="n">
        <f aca="false">IF(AND(BH$1&gt;=Units!$Q27,MOD(BH$1-Units!$Q27,12)=0),IF(AND(Units!$L27=1,BH$1=Units!$Q27),1,Inputs!$B$15)*Inputs!$B$16*(1+Inputs!$B$11)^(BH$2-1),0)</f>
        <v>0</v>
      </c>
      <c r="BI28" s="11" t="n">
        <f aca="false">IF(AND(BI$1&gt;=Units!$Q27,MOD(BI$1-Units!$Q27,12)=0),IF(AND(Units!$L27=1,BI$1=Units!$Q27),1,Inputs!$B$15)*Inputs!$B$16*(1+Inputs!$B$11)^(BI$2-1),0)</f>
        <v>0</v>
      </c>
      <c r="BJ28" s="11" t="n">
        <f aca="false">IF(AND(BJ$1&gt;=Units!$Q27,MOD(BJ$1-Units!$Q27,12)=0),IF(AND(Units!$L27=1,BJ$1=Units!$Q27),1,Inputs!$B$15)*Inputs!$B$16*(1+Inputs!$B$11)^(BJ$2-1),0)</f>
        <v>0</v>
      </c>
      <c r="BK28" s="11" t="n">
        <f aca="false">IF(AND(BK$1&gt;=Units!$Q27,MOD(BK$1-Units!$Q27,12)=0),IF(AND(Units!$L27=1,BK$1=Units!$Q27),1,Inputs!$B$15)*Inputs!$B$16*(1+Inputs!$B$11)^(BK$2-1),0)</f>
        <v>579.63703715</v>
      </c>
      <c r="BL28" s="11" t="n">
        <f aca="false">IF(AND(BL$1&gt;=Units!$Q27,MOD(BL$1-Units!$Q27,12)=0),IF(AND(Units!$L27=1,BL$1=Units!$Q27),1,Inputs!$B$15)*Inputs!$B$16*(1+Inputs!$B$11)^(BL$2-1),0)</f>
        <v>0</v>
      </c>
      <c r="BM28" s="11" t="n">
        <f aca="false">IF(AND(BM$1&gt;=Units!$Q27,MOD(BM$1-Units!$Q27,12)=0),IF(AND(Units!$L27=1,BM$1=Units!$Q27),1,Inputs!$B$15)*Inputs!$B$16*(1+Inputs!$B$11)^(BM$2-1),0)</f>
        <v>0</v>
      </c>
      <c r="BN28" s="11" t="n">
        <f aca="false">IF(AND(BN$1&gt;=Units!$Q27,MOD(BN$1-Units!$Q27,12)=0),IF(AND(Units!$L27=1,BN$1=Units!$Q27),1,Inputs!$B$15)*Inputs!$B$16*(1+Inputs!$B$11)^(BN$2-1),0)</f>
        <v>0</v>
      </c>
      <c r="BO28" s="11" t="n">
        <f aca="false">IF(AND(BO$1&gt;=Units!$Q27,MOD(BO$1-Units!$Q27,12)=0),IF(AND(Units!$L27=1,BO$1=Units!$Q27),1,Inputs!$B$15)*Inputs!$B$16*(1+Inputs!$B$11)^(BO$2-1),0)</f>
        <v>0</v>
      </c>
      <c r="BP28" s="11" t="n">
        <f aca="false">IF(AND(BP$1&gt;=Units!$Q27,MOD(BP$1-Units!$Q27,12)=0),IF(AND(Units!$L27=1,BP$1=Units!$Q27),1,Inputs!$B$15)*Inputs!$B$16*(1+Inputs!$B$11)^(BP$2-1),0)</f>
        <v>0</v>
      </c>
      <c r="BQ28" s="11" t="n">
        <f aca="false">IF(AND(BQ$1&gt;=Units!$Q27,MOD(BQ$1-Units!$Q27,12)=0),IF(AND(Units!$L27=1,BQ$1=Units!$Q27),1,Inputs!$B$15)*Inputs!$B$16*(1+Inputs!$B$11)^(BQ$2-1),0)</f>
        <v>0</v>
      </c>
      <c r="BR28" s="11" t="n">
        <f aca="false">IF(AND(BR$1&gt;=Units!$Q27,MOD(BR$1-Units!$Q27,12)=0),IF(AND(Units!$L27=1,BR$1=Units!$Q27),1,Inputs!$B$15)*Inputs!$B$16*(1+Inputs!$B$11)^(BR$2-1),0)</f>
        <v>0</v>
      </c>
      <c r="BS28" s="11" t="n">
        <f aca="false">IF(AND(BS$1&gt;=Units!$Q27,MOD(BS$1-Units!$Q27,12)=0),IF(AND(Units!$L27=1,BS$1=Units!$Q27),1,Inputs!$B$15)*Inputs!$B$16*(1+Inputs!$B$11)^(BS$2-1),0)</f>
        <v>0</v>
      </c>
      <c r="BT28" s="11" t="n">
        <f aca="false">IF(AND(BT$1&gt;=Units!$Q27,MOD(BT$1-Units!$Q27,12)=0),IF(AND(Units!$L27=1,BT$1=Units!$Q27),1,Inputs!$B$15)*Inputs!$B$16*(1+Inputs!$B$11)^(BT$2-1),0)</f>
        <v>0</v>
      </c>
      <c r="BU28" s="11" t="n">
        <f aca="false">IF(AND(BU$1&gt;=Units!$Q27,MOD(BU$1-Units!$Q27,12)=0),IF(AND(Units!$L27=1,BU$1=Units!$Q27),1,Inputs!$B$15)*Inputs!$B$16*(1+Inputs!$B$11)^(BU$2-1),0)</f>
        <v>0</v>
      </c>
      <c r="BV28" s="11" t="n">
        <f aca="false">IF(AND(BV$1&gt;=Units!$Q27,MOD(BV$1-Units!$Q27,12)=0),IF(AND(Units!$L27=1,BV$1=Units!$Q27),1,Inputs!$B$15)*Inputs!$B$16*(1+Inputs!$B$11)^(BV$2-1),0)</f>
        <v>0</v>
      </c>
      <c r="BW28" s="11" t="n">
        <f aca="false">IF(AND(BW$1&gt;=Units!$Q27,MOD(BW$1-Units!$Q27,12)=0),IF(AND(Units!$L27=1,BW$1=Units!$Q27),1,Inputs!$B$15)*Inputs!$B$16*(1+Inputs!$B$11)^(BW$2-1),0)</f>
        <v>597.0261482645</v>
      </c>
      <c r="BX28" s="11" t="n">
        <f aca="false">IF(AND(BX$1&gt;=Units!$Q27,MOD(BX$1-Units!$Q27,12)=0),IF(AND(Units!$L27=1,BX$1=Units!$Q27),1,Inputs!$B$15)*Inputs!$B$16*(1+Inputs!$B$11)^(BX$2-1),0)</f>
        <v>0</v>
      </c>
      <c r="BY28" s="11" t="n">
        <f aca="false">IF(AND(BY$1&gt;=Units!$Q27,MOD(BY$1-Units!$Q27,12)=0),IF(AND(Units!$L27=1,BY$1=Units!$Q27),1,Inputs!$B$15)*Inputs!$B$16*(1+Inputs!$B$11)^(BY$2-1),0)</f>
        <v>0</v>
      </c>
      <c r="BZ28" s="11" t="n">
        <f aca="false">IF(AND(BZ$1&gt;=Units!$Q27,MOD(BZ$1-Units!$Q27,12)=0),IF(AND(Units!$L27=1,BZ$1=Units!$Q27),1,Inputs!$B$15)*Inputs!$B$16*(1+Inputs!$B$11)^(BZ$2-1),0)</f>
        <v>0</v>
      </c>
      <c r="CA28" s="11" t="n">
        <f aca="false">IF(AND(CA$1&gt;=Units!$Q27,MOD(CA$1-Units!$Q27,12)=0),IF(AND(Units!$L27=1,CA$1=Units!$Q27),1,Inputs!$B$15)*Inputs!$B$16*(1+Inputs!$B$11)^(CA$2-1),0)</f>
        <v>0</v>
      </c>
      <c r="CB28" s="11" t="n">
        <f aca="false">IF(AND(CB$1&gt;=Units!$Q27,MOD(CB$1-Units!$Q27,12)=0),IF(AND(Units!$L27=1,CB$1=Units!$Q27),1,Inputs!$B$15)*Inputs!$B$16*(1+Inputs!$B$11)^(CB$2-1),0)</f>
        <v>0</v>
      </c>
      <c r="CC28" s="11" t="n">
        <f aca="false">IF(AND(CC$1&gt;=Units!$Q27,MOD(CC$1-Units!$Q27,12)=0),IF(AND(Units!$L27=1,CC$1=Units!$Q27),1,Inputs!$B$15)*Inputs!$B$16*(1+Inputs!$B$11)^(CC$2-1),0)</f>
        <v>0</v>
      </c>
      <c r="CD28" s="11" t="n">
        <f aca="false">IF(AND(CD$1&gt;=Units!$Q27,MOD(CD$1-Units!$Q27,12)=0),IF(AND(Units!$L27=1,CD$1=Units!$Q27),1,Inputs!$B$15)*Inputs!$B$16*(1+Inputs!$B$11)^(CD$2-1),0)</f>
        <v>0</v>
      </c>
      <c r="CE28" s="11" t="n">
        <f aca="false">IF(AND(CE$1&gt;=Units!$Q27,MOD(CE$1-Units!$Q27,12)=0),IF(AND(Units!$L27=1,CE$1=Units!$Q27),1,Inputs!$B$15)*Inputs!$B$16*(1+Inputs!$B$11)^(CE$2-1),0)</f>
        <v>0</v>
      </c>
      <c r="CF28" s="11" t="n">
        <f aca="false">IF(AND(CF$1&gt;=Units!$Q27,MOD(CF$1-Units!$Q27,12)=0),IF(AND(Units!$L27=1,CF$1=Units!$Q27),1,Inputs!$B$15)*Inputs!$B$16*(1+Inputs!$B$11)^(CF$2-1),0)</f>
        <v>0</v>
      </c>
      <c r="CG28" s="11" t="n">
        <f aca="false">IF(AND(CG$1&gt;=Units!$Q27,MOD(CG$1-Units!$Q27,12)=0),IF(AND(Units!$L27=1,CG$1=Units!$Q27),1,Inputs!$B$15)*Inputs!$B$16*(1+Inputs!$B$11)^(CG$2-1),0)</f>
        <v>0</v>
      </c>
      <c r="CH28" s="11" t="n">
        <f aca="false">IF(AND(CH$1&gt;=Units!$Q27,MOD(CH$1-Units!$Q27,12)=0),IF(AND(Units!$L27=1,CH$1=Units!$Q27),1,Inputs!$B$15)*Inputs!$B$16*(1+Inputs!$B$11)^(CH$2-1),0)</f>
        <v>0</v>
      </c>
      <c r="CI28" s="11" t="n">
        <f aca="false">IF(AND(CI$1&gt;=Units!$Q27,MOD(CI$1-Units!$Q27,12)=0),IF(AND(Units!$L27=1,CI$1=Units!$Q27),1,Inputs!$B$15)*Inputs!$B$16*(1+Inputs!$B$11)^(CI$2-1),0)</f>
        <v>614.936932712435</v>
      </c>
      <c r="CJ28" s="11" t="n">
        <f aca="false">IF(AND(CJ$1&gt;=Units!$Q27,MOD(CJ$1-Units!$Q27,12)=0),IF(AND(Units!$L27=1,CJ$1=Units!$Q27),1,Inputs!$B$15)*Inputs!$B$16*(1+Inputs!$B$11)^(CJ$2-1),0)</f>
        <v>0</v>
      </c>
      <c r="CK28" s="11" t="n">
        <f aca="false">IF(AND(CK$1&gt;=Units!$Q27,MOD(CK$1-Units!$Q27,12)=0),IF(AND(Units!$L27=1,CK$1=Units!$Q27),1,Inputs!$B$15)*Inputs!$B$16*(1+Inputs!$B$11)^(CK$2-1),0)</f>
        <v>0</v>
      </c>
      <c r="CL28" s="11" t="n">
        <f aca="false">IF(AND(CL$1&gt;=Units!$Q27,MOD(CL$1-Units!$Q27,12)=0),IF(AND(Units!$L27=1,CL$1=Units!$Q27),1,Inputs!$B$15)*Inputs!$B$16*(1+Inputs!$B$11)^(CL$2-1),0)</f>
        <v>0</v>
      </c>
      <c r="CM28" s="11" t="n">
        <f aca="false">IF(AND(CM$1&gt;=Units!$Q27,MOD(CM$1-Units!$Q27,12)=0),IF(AND(Units!$L27=1,CM$1=Units!$Q27),1,Inputs!$B$15)*Inputs!$B$16*(1+Inputs!$B$11)^(CM$2-1),0)</f>
        <v>0</v>
      </c>
      <c r="CN28" s="11" t="n">
        <f aca="false">IF(AND(CN$1&gt;=Units!$Q27,MOD(CN$1-Units!$Q27,12)=0),IF(AND(Units!$L27=1,CN$1=Units!$Q27),1,Inputs!$B$15)*Inputs!$B$16*(1+Inputs!$B$11)^(CN$2-1),0)</f>
        <v>0</v>
      </c>
      <c r="CO28" s="11" t="n">
        <f aca="false">IF(AND(CO$1&gt;=Units!$Q27,MOD(CO$1-Units!$Q27,12)=0),IF(AND(Units!$L27=1,CO$1=Units!$Q27),1,Inputs!$B$15)*Inputs!$B$16*(1+Inputs!$B$11)^(CO$2-1),0)</f>
        <v>0</v>
      </c>
      <c r="CP28" s="11" t="n">
        <f aca="false">IF(AND(CP$1&gt;=Units!$Q27,MOD(CP$1-Units!$Q27,12)=0),IF(AND(Units!$L27=1,CP$1=Units!$Q27),1,Inputs!$B$15)*Inputs!$B$16*(1+Inputs!$B$11)^(CP$2-1),0)</f>
        <v>0</v>
      </c>
      <c r="CQ28" s="11" t="n">
        <f aca="false">IF(AND(CQ$1&gt;=Units!$Q27,MOD(CQ$1-Units!$Q27,12)=0),IF(AND(Units!$L27=1,CQ$1=Units!$Q27),1,Inputs!$B$15)*Inputs!$B$16*(1+Inputs!$B$11)^(CQ$2-1),0)</f>
        <v>0</v>
      </c>
      <c r="CR28" s="11" t="n">
        <f aca="false">IF(AND(CR$1&gt;=Units!$Q27,MOD(CR$1-Units!$Q27,12)=0),IF(AND(Units!$L27=1,CR$1=Units!$Q27),1,Inputs!$B$15)*Inputs!$B$16*(1+Inputs!$B$11)^(CR$2-1),0)</f>
        <v>0</v>
      </c>
      <c r="CS28" s="11" t="n">
        <f aca="false">IF(AND(CS$1&gt;=Units!$Q27,MOD(CS$1-Units!$Q27,12)=0),IF(AND(Units!$L27=1,CS$1=Units!$Q27),1,Inputs!$B$15)*Inputs!$B$16*(1+Inputs!$B$11)^(CS$2-1),0)</f>
        <v>0</v>
      </c>
      <c r="CT28" s="11" t="n">
        <f aca="false">IF(AND(CT$1&gt;=Units!$Q27,MOD(CT$1-Units!$Q27,12)=0),IF(AND(Units!$L27=1,CT$1=Units!$Q27),1,Inputs!$B$15)*Inputs!$B$16*(1+Inputs!$B$11)^(CT$2-1),0)</f>
        <v>0</v>
      </c>
      <c r="CU28" s="11" t="n">
        <f aca="false">IF(AND(CU$1&gt;=Units!$Q27,MOD(CU$1-Units!$Q27,12)=0),IF(AND(Units!$L27=1,CU$1=Units!$Q27),1,Inputs!$B$15)*Inputs!$B$16*(1+Inputs!$B$11)^(CU$2-1),0)</f>
        <v>633.385040693808</v>
      </c>
      <c r="CV28" s="11" t="n">
        <f aca="false">IF(AND(CV$1&gt;=Units!$Q27,MOD(CV$1-Units!$Q27,12)=0),IF(AND(Units!$L27=1,CV$1=Units!$Q27),1,Inputs!$B$15)*Inputs!$B$16*(1+Inputs!$B$11)^(CV$2-1),0)</f>
        <v>0</v>
      </c>
      <c r="CW28" s="11" t="n">
        <f aca="false">IF(AND(CW$1&gt;=Units!$Q27,MOD(CW$1-Units!$Q27,12)=0),IF(AND(Units!$L27=1,CW$1=Units!$Q27),1,Inputs!$B$15)*Inputs!$B$16*(1+Inputs!$B$11)^(CW$2-1),0)</f>
        <v>0</v>
      </c>
      <c r="CX28" s="11" t="n">
        <f aca="false">IF(AND(CX$1&gt;=Units!$Q27,MOD(CX$1-Units!$Q27,12)=0),IF(AND(Units!$L27=1,CX$1=Units!$Q27),1,Inputs!$B$15)*Inputs!$B$16*(1+Inputs!$B$11)^(CX$2-1),0)</f>
        <v>0</v>
      </c>
      <c r="CY28" s="11" t="n">
        <f aca="false">IF(AND(CY$1&gt;=Units!$Q27,MOD(CY$1-Units!$Q27,12)=0),IF(AND(Units!$L27=1,CY$1=Units!$Q27),1,Inputs!$B$15)*Inputs!$B$16*(1+Inputs!$B$11)^(CY$2-1),0)</f>
        <v>0</v>
      </c>
      <c r="CZ28" s="11" t="n">
        <f aca="false">IF(AND(CZ$1&gt;=Units!$Q27,MOD(CZ$1-Units!$Q27,12)=0),IF(AND(Units!$L27=1,CZ$1=Units!$Q27),1,Inputs!$B$15)*Inputs!$B$16*(1+Inputs!$B$11)^(CZ$2-1),0)</f>
        <v>0</v>
      </c>
      <c r="DA28" s="11" t="n">
        <f aca="false">IF(AND(DA$1&gt;=Units!$Q27,MOD(DA$1-Units!$Q27,12)=0),IF(AND(Units!$L27=1,DA$1=Units!$Q27),1,Inputs!$B$15)*Inputs!$B$16*(1+Inputs!$B$11)^(DA$2-1),0)</f>
        <v>0</v>
      </c>
      <c r="DB28" s="11" t="n">
        <f aca="false">IF(AND(DB$1&gt;=Units!$Q27,MOD(DB$1-Units!$Q27,12)=0),IF(AND(Units!$L27=1,DB$1=Units!$Q27),1,Inputs!$B$15)*Inputs!$B$16*(1+Inputs!$B$11)^(DB$2-1),0)</f>
        <v>0</v>
      </c>
      <c r="DC28" s="11" t="n">
        <f aca="false">IF(AND(DC$1&gt;=Units!$Q27,MOD(DC$1-Units!$Q27,12)=0),IF(AND(Units!$L27=1,DC$1=Units!$Q27),1,Inputs!$B$15)*Inputs!$B$16*(1+Inputs!$B$11)^(DC$2-1),0)</f>
        <v>0</v>
      </c>
      <c r="DD28" s="11" t="n">
        <f aca="false">IF(AND(DD$1&gt;=Units!$Q27,MOD(DD$1-Units!$Q27,12)=0),IF(AND(Units!$L27=1,DD$1=Units!$Q27),1,Inputs!$B$15)*Inputs!$B$16*(1+Inputs!$B$11)^(DD$2-1),0)</f>
        <v>0</v>
      </c>
      <c r="DE28" s="11" t="n">
        <f aca="false">IF(AND(DE$1&gt;=Units!$Q27,MOD(DE$1-Units!$Q27,12)=0),IF(AND(Units!$L27=1,DE$1=Units!$Q27),1,Inputs!$B$15)*Inputs!$B$16*(1+Inputs!$B$11)^(DE$2-1),0)</f>
        <v>0</v>
      </c>
      <c r="DF28" s="11" t="n">
        <f aca="false">IF(AND(DF$1&gt;=Units!$Q27,MOD(DF$1-Units!$Q27,12)=0),IF(AND(Units!$L27=1,DF$1=Units!$Q27),1,Inputs!$B$15)*Inputs!$B$16*(1+Inputs!$B$11)^(DF$2-1),0)</f>
        <v>0</v>
      </c>
      <c r="DG28" s="11" t="n">
        <f aca="false">IF(AND(DG$1&gt;=Units!$Q27,MOD(DG$1-Units!$Q27,12)=0),IF(AND(Units!$L27=1,DG$1=Units!$Q27),1,Inputs!$B$15)*Inputs!$B$16*(1+Inputs!$B$11)^(DG$2-1),0)</f>
        <v>652.386591914623</v>
      </c>
      <c r="DH28" s="11" t="n">
        <f aca="false">IF(AND(DH$1&gt;=Units!$Q27,MOD(DH$1-Units!$Q27,12)=0),IF(AND(Units!$L27=1,DH$1=Units!$Q27),1,Inputs!$B$15)*Inputs!$B$16*(1+Inputs!$B$11)^(DH$2-1),0)</f>
        <v>0</v>
      </c>
      <c r="DI28" s="11" t="n">
        <f aca="false">IF(AND(DI$1&gt;=Units!$Q27,MOD(DI$1-Units!$Q27,12)=0),IF(AND(Units!$L27=1,DI$1=Units!$Q27),1,Inputs!$B$15)*Inputs!$B$16*(1+Inputs!$B$11)^(DI$2-1),0)</f>
        <v>0</v>
      </c>
      <c r="DJ28" s="11" t="n">
        <f aca="false">IF(AND(DJ$1&gt;=Units!$Q27,MOD(DJ$1-Units!$Q27,12)=0),IF(AND(Units!$L27=1,DJ$1=Units!$Q27),1,Inputs!$B$15)*Inputs!$B$16*(1+Inputs!$B$11)^(DJ$2-1),0)</f>
        <v>0</v>
      </c>
      <c r="DK28" s="11" t="n">
        <f aca="false">IF(AND(DK$1&gt;=Units!$Q27,MOD(DK$1-Units!$Q27,12)=0),IF(AND(Units!$L27=1,DK$1=Units!$Q27),1,Inputs!$B$15)*Inputs!$B$16*(1+Inputs!$B$11)^(DK$2-1),0)</f>
        <v>0</v>
      </c>
      <c r="DL28" s="11" t="n">
        <f aca="false">IF(AND(DL$1&gt;=Units!$Q27,MOD(DL$1-Units!$Q27,12)=0),IF(AND(Units!$L27=1,DL$1=Units!$Q27),1,Inputs!$B$15)*Inputs!$B$16*(1+Inputs!$B$11)^(DL$2-1),0)</f>
        <v>0</v>
      </c>
      <c r="DM28" s="11" t="n">
        <f aca="false">IF(AND(DM$1&gt;=Units!$Q27,MOD(DM$1-Units!$Q27,12)=0),IF(AND(Units!$L27=1,DM$1=Units!$Q27),1,Inputs!$B$15)*Inputs!$B$16*(1+Inputs!$B$11)^(DM$2-1),0)</f>
        <v>0</v>
      </c>
      <c r="DN28" s="11" t="n">
        <f aca="false">IF(AND(DN$1&gt;=Units!$Q27,MOD(DN$1-Units!$Q27,12)=0),IF(AND(Units!$L27=1,DN$1=Units!$Q27),1,Inputs!$B$15)*Inputs!$B$16*(1+Inputs!$B$11)^(DN$2-1),0)</f>
        <v>0</v>
      </c>
      <c r="DO28" s="11" t="n">
        <f aca="false">IF(AND(DO$1&gt;=Units!$Q27,MOD(DO$1-Units!$Q27,12)=0),IF(AND(Units!$L27=1,DO$1=Units!$Q27),1,Inputs!$B$15)*Inputs!$B$16*(1+Inputs!$B$11)^(DO$2-1),0)</f>
        <v>0</v>
      </c>
      <c r="DP28" s="11" t="n">
        <f aca="false">IF(AND(DP$1&gt;=Units!$Q27,MOD(DP$1-Units!$Q27,12)=0),IF(AND(Units!$L27=1,DP$1=Units!$Q27),1,Inputs!$B$15)*Inputs!$B$16*(1+Inputs!$B$11)^(DP$2-1),0)</f>
        <v>0</v>
      </c>
      <c r="DQ28" s="11" t="n">
        <f aca="false">IF(AND(DQ$1&gt;=Units!$Q27,MOD(DQ$1-Units!$Q27,12)=0),IF(AND(Units!$L27=1,DQ$1=Units!$Q27),1,Inputs!$B$15)*Inputs!$B$16*(1+Inputs!$B$11)^(DQ$2-1),0)</f>
        <v>0</v>
      </c>
      <c r="DR28" s="11" t="n">
        <f aca="false">IF(AND(DR$1&gt;=Units!$Q27,MOD(DR$1-Units!$Q27,12)=0),IF(AND(Units!$L27=1,DR$1=Units!$Q27),1,Inputs!$B$15)*Inputs!$B$16*(1+Inputs!$B$11)^(DR$2-1),0)</f>
        <v>0</v>
      </c>
      <c r="DS28" s="11" t="n">
        <f aca="false">IF(AND(DS$1&gt;=Units!$Q27,MOD(DS$1-Units!$Q27,12)=0),IF(AND(Units!$L27=1,DS$1=Units!$Q27),1,Inputs!$B$15)*Inputs!$B$16*(1+Inputs!$B$11)^(DS$2-1),0)</f>
        <v>671.958189672061</v>
      </c>
      <c r="DT28" s="11" t="n">
        <f aca="false">IF(AND(DT$1&gt;=Units!$Q27,MOD(DT$1-Units!$Q27,12)=0),IF(AND(Units!$L27=1,DT$1=Units!$Q27),1,Inputs!$B$15)*Inputs!$B$16*(1+Inputs!$B$11)^(DT$2-1),0)</f>
        <v>0</v>
      </c>
      <c r="DU28" s="11" t="n">
        <f aca="false">IF(AND(DU$1&gt;=Units!$Q27,MOD(DU$1-Units!$Q27,12)=0),IF(AND(Units!$L27=1,DU$1=Units!$Q27),1,Inputs!$B$15)*Inputs!$B$16*(1+Inputs!$B$11)^(DU$2-1),0)</f>
        <v>0</v>
      </c>
      <c r="DV28" s="11" t="n">
        <f aca="false">IF(AND(DV$1&gt;=Units!$Q27,MOD(DV$1-Units!$Q27,12)=0),IF(AND(Units!$L27=1,DV$1=Units!$Q27),1,Inputs!$B$15)*Inputs!$B$16*(1+Inputs!$B$11)^(DV$2-1),0)</f>
        <v>0</v>
      </c>
      <c r="DW28" s="11" t="n">
        <f aca="false">IF(AND(DW$1&gt;=Units!$Q27,MOD(DW$1-Units!$Q27,12)=0),IF(AND(Units!$L27=1,DW$1=Units!$Q27),1,Inputs!$B$15)*Inputs!$B$16*(1+Inputs!$B$11)^(DW$2-1),0)</f>
        <v>0</v>
      </c>
      <c r="DX28" s="11" t="n">
        <f aca="false">IF(AND(DX$1&gt;=Units!$Q27,MOD(DX$1-Units!$Q27,12)=0),IF(AND(Units!$L27=1,DX$1=Units!$Q27),1,Inputs!$B$15)*Inputs!$B$16*(1+Inputs!$B$11)^(DX$2-1),0)</f>
        <v>0</v>
      </c>
      <c r="DY28" s="11" t="n">
        <f aca="false">IF(AND(DY$1&gt;=Units!$Q27,MOD(DY$1-Units!$Q27,12)=0),IF(AND(Units!$L27=1,DY$1=Units!$Q27),1,Inputs!$B$15)*Inputs!$B$16*(1+Inputs!$B$11)^(DY$2-1),0)</f>
        <v>0</v>
      </c>
      <c r="DZ28" s="11" t="n">
        <f aca="false">IF(AND(DZ$1&gt;=Units!$Q27,MOD(DZ$1-Units!$Q27,12)=0),IF(AND(Units!$L27=1,DZ$1=Units!$Q27),1,Inputs!$B$15)*Inputs!$B$16*(1+Inputs!$B$11)^(DZ$2-1),0)</f>
        <v>0</v>
      </c>
      <c r="EA28" s="11" t="n">
        <f aca="false">IF(AND(EA$1&gt;=Units!$Q27,MOD(EA$1-Units!$Q27,12)=0),IF(AND(Units!$L27=1,EA$1=Units!$Q27),1,Inputs!$B$15)*Inputs!$B$16*(1+Inputs!$B$11)^(EA$2-1),0)</f>
        <v>0</v>
      </c>
      <c r="EB28" s="11" t="n">
        <f aca="false">IF(AND(EB$1&gt;=Units!$Q27,MOD(EB$1-Units!$Q27,12)=0),IF(AND(Units!$L27=1,EB$1=Units!$Q27),1,Inputs!$B$15)*Inputs!$B$16*(1+Inputs!$B$11)^(EB$2-1),0)</f>
        <v>0</v>
      </c>
      <c r="EC28" s="11" t="n">
        <f aca="false">IF(AND(EC$1&gt;=Units!$Q27,MOD(EC$1-Units!$Q27,12)=0),IF(AND(Units!$L27=1,EC$1=Units!$Q27),1,Inputs!$B$15)*Inputs!$B$16*(1+Inputs!$B$11)^(EC$2-1),0)</f>
        <v>0</v>
      </c>
      <c r="ED28" s="11" t="n">
        <f aca="false">IF(AND(ED$1&gt;=Units!$Q27,MOD(ED$1-Units!$Q27,12)=0),IF(AND(Units!$L27=1,ED$1=Units!$Q27),1,Inputs!$B$15)*Inputs!$B$16*(1+Inputs!$B$11)^(ED$2-1),0)</f>
        <v>0</v>
      </c>
    </row>
    <row r="29" customFormat="false" ht="15" hidden="false" customHeight="false" outlineLevel="0" collapsed="false">
      <c r="A29" s="22" t="n">
        <f aca="false">Units!A28</f>
        <v>127</v>
      </c>
      <c r="B29" s="23"/>
      <c r="C29" s="11" t="n">
        <f aca="false">IF(AND(C$1&gt;=Units!$Q28,MOD(C$1-Units!$Q28,12)=0),IF(AND(Units!$L28=1,C$1=Units!$Q28),1,Inputs!$B$15)*Inputs!$B$16*(1+Inputs!$B$11)^(C$2-1),0)</f>
        <v>0</v>
      </c>
      <c r="D29" s="11" t="n">
        <f aca="false">IF(AND(D$1&gt;=Units!$Q28,MOD(D$1-Units!$Q28,12)=0),IF(AND(Units!$L28=1,D$1=Units!$Q28),1,Inputs!$B$15)*Inputs!$B$16*(1+Inputs!$B$11)^(D$2-1),0)</f>
        <v>0</v>
      </c>
      <c r="E29" s="11" t="n">
        <f aca="false">IF(AND(E$1&gt;=Units!$Q28,MOD(E$1-Units!$Q28,12)=0),IF(AND(Units!$L28=1,E$1=Units!$Q28),1,Inputs!$B$15)*Inputs!$B$16*(1+Inputs!$B$11)^(E$2-1),0)</f>
        <v>0</v>
      </c>
      <c r="F29" s="11" t="n">
        <f aca="false">IF(AND(F$1&gt;=Units!$Q28,MOD(F$1-Units!$Q28,12)=0),IF(AND(Units!$L28=1,F$1=Units!$Q28),1,Inputs!$B$15)*Inputs!$B$16*(1+Inputs!$B$11)^(F$2-1),0)</f>
        <v>500</v>
      </c>
      <c r="G29" s="11" t="n">
        <f aca="false">IF(AND(G$1&gt;=Units!$Q28,MOD(G$1-Units!$Q28,12)=0),IF(AND(Units!$L28=1,G$1=Units!$Q28),1,Inputs!$B$15)*Inputs!$B$16*(1+Inputs!$B$11)^(G$2-1),0)</f>
        <v>0</v>
      </c>
      <c r="H29" s="11" t="n">
        <f aca="false">IF(AND(H$1&gt;=Units!$Q28,MOD(H$1-Units!$Q28,12)=0),IF(AND(Units!$L28=1,H$1=Units!$Q28),1,Inputs!$B$15)*Inputs!$B$16*(1+Inputs!$B$11)^(H$2-1),0)</f>
        <v>0</v>
      </c>
      <c r="I29" s="11" t="n">
        <f aca="false">IF(AND(I$1&gt;=Units!$Q28,MOD(I$1-Units!$Q28,12)=0),IF(AND(Units!$L28=1,I$1=Units!$Q28),1,Inputs!$B$15)*Inputs!$B$16*(1+Inputs!$B$11)^(I$2-1),0)</f>
        <v>0</v>
      </c>
      <c r="J29" s="11" t="n">
        <f aca="false">IF(AND(J$1&gt;=Units!$Q28,MOD(J$1-Units!$Q28,12)=0),IF(AND(Units!$L28=1,J$1=Units!$Q28),1,Inputs!$B$15)*Inputs!$B$16*(1+Inputs!$B$11)^(J$2-1),0)</f>
        <v>0</v>
      </c>
      <c r="K29" s="11" t="n">
        <f aca="false">IF(AND(K$1&gt;=Units!$Q28,MOD(K$1-Units!$Q28,12)=0),IF(AND(Units!$L28=1,K$1=Units!$Q28),1,Inputs!$B$15)*Inputs!$B$16*(1+Inputs!$B$11)^(K$2-1),0)</f>
        <v>0</v>
      </c>
      <c r="L29" s="11" t="n">
        <f aca="false">IF(AND(L$1&gt;=Units!$Q28,MOD(L$1-Units!$Q28,12)=0),IF(AND(Units!$L28=1,L$1=Units!$Q28),1,Inputs!$B$15)*Inputs!$B$16*(1+Inputs!$B$11)^(L$2-1),0)</f>
        <v>0</v>
      </c>
      <c r="M29" s="11" t="n">
        <f aca="false">IF(AND(M$1&gt;=Units!$Q28,MOD(M$1-Units!$Q28,12)=0),IF(AND(Units!$L28=1,M$1=Units!$Q28),1,Inputs!$B$15)*Inputs!$B$16*(1+Inputs!$B$11)^(M$2-1),0)</f>
        <v>0</v>
      </c>
      <c r="N29" s="11" t="n">
        <f aca="false">IF(AND(N$1&gt;=Units!$Q28,MOD(N$1-Units!$Q28,12)=0),IF(AND(Units!$L28=1,N$1=Units!$Q28),1,Inputs!$B$15)*Inputs!$B$16*(1+Inputs!$B$11)^(N$2-1),0)</f>
        <v>0</v>
      </c>
      <c r="O29" s="11" t="n">
        <f aca="false">IF(AND(O$1&gt;=Units!$Q28,MOD(O$1-Units!$Q28,12)=0),IF(AND(Units!$L28=1,O$1=Units!$Q28),1,Inputs!$B$15)*Inputs!$B$16*(1+Inputs!$B$11)^(O$2-1),0)</f>
        <v>0</v>
      </c>
      <c r="P29" s="11" t="n">
        <f aca="false">IF(AND(P$1&gt;=Units!$Q28,MOD(P$1-Units!$Q28,12)=0),IF(AND(Units!$L28=1,P$1=Units!$Q28),1,Inputs!$B$15)*Inputs!$B$16*(1+Inputs!$B$11)^(P$2-1),0)</f>
        <v>0</v>
      </c>
      <c r="Q29" s="11" t="n">
        <f aca="false">IF(AND(Q$1&gt;=Units!$Q28,MOD(Q$1-Units!$Q28,12)=0),IF(AND(Units!$L28=1,Q$1=Units!$Q28),1,Inputs!$B$15)*Inputs!$B$16*(1+Inputs!$B$11)^(Q$2-1),0)</f>
        <v>0</v>
      </c>
      <c r="R29" s="11" t="n">
        <f aca="false">IF(AND(R$1&gt;=Units!$Q28,MOD(R$1-Units!$Q28,12)=0),IF(AND(Units!$L28=1,R$1=Units!$Q28),1,Inputs!$B$15)*Inputs!$B$16*(1+Inputs!$B$11)^(R$2-1),0)</f>
        <v>515</v>
      </c>
      <c r="S29" s="11" t="n">
        <f aca="false">IF(AND(S$1&gt;=Units!$Q28,MOD(S$1-Units!$Q28,12)=0),IF(AND(Units!$L28=1,S$1=Units!$Q28),1,Inputs!$B$15)*Inputs!$B$16*(1+Inputs!$B$11)^(S$2-1),0)</f>
        <v>0</v>
      </c>
      <c r="T29" s="11" t="n">
        <f aca="false">IF(AND(T$1&gt;=Units!$Q28,MOD(T$1-Units!$Q28,12)=0),IF(AND(Units!$L28=1,T$1=Units!$Q28),1,Inputs!$B$15)*Inputs!$B$16*(1+Inputs!$B$11)^(T$2-1),0)</f>
        <v>0</v>
      </c>
      <c r="U29" s="11" t="n">
        <f aca="false">IF(AND(U$1&gt;=Units!$Q28,MOD(U$1-Units!$Q28,12)=0),IF(AND(Units!$L28=1,U$1=Units!$Q28),1,Inputs!$B$15)*Inputs!$B$16*(1+Inputs!$B$11)^(U$2-1),0)</f>
        <v>0</v>
      </c>
      <c r="V29" s="11" t="n">
        <f aca="false">IF(AND(V$1&gt;=Units!$Q28,MOD(V$1-Units!$Q28,12)=0),IF(AND(Units!$L28=1,V$1=Units!$Q28),1,Inputs!$B$15)*Inputs!$B$16*(1+Inputs!$B$11)^(V$2-1),0)</f>
        <v>0</v>
      </c>
      <c r="W29" s="11" t="n">
        <f aca="false">IF(AND(W$1&gt;=Units!$Q28,MOD(W$1-Units!$Q28,12)=0),IF(AND(Units!$L28=1,W$1=Units!$Q28),1,Inputs!$B$15)*Inputs!$B$16*(1+Inputs!$B$11)^(W$2-1),0)</f>
        <v>0</v>
      </c>
      <c r="X29" s="11" t="n">
        <f aca="false">IF(AND(X$1&gt;=Units!$Q28,MOD(X$1-Units!$Q28,12)=0),IF(AND(Units!$L28=1,X$1=Units!$Q28),1,Inputs!$B$15)*Inputs!$B$16*(1+Inputs!$B$11)^(X$2-1),0)</f>
        <v>0</v>
      </c>
      <c r="Y29" s="11" t="n">
        <f aca="false">IF(AND(Y$1&gt;=Units!$Q28,MOD(Y$1-Units!$Q28,12)=0),IF(AND(Units!$L28=1,Y$1=Units!$Q28),1,Inputs!$B$15)*Inputs!$B$16*(1+Inputs!$B$11)^(Y$2-1),0)</f>
        <v>0</v>
      </c>
      <c r="Z29" s="11" t="n">
        <f aca="false">IF(AND(Z$1&gt;=Units!$Q28,MOD(Z$1-Units!$Q28,12)=0),IF(AND(Units!$L28=1,Z$1=Units!$Q28),1,Inputs!$B$15)*Inputs!$B$16*(1+Inputs!$B$11)^(Z$2-1),0)</f>
        <v>0</v>
      </c>
      <c r="AA29" s="11" t="n">
        <f aca="false">IF(AND(AA$1&gt;=Units!$Q28,MOD(AA$1-Units!$Q28,12)=0),IF(AND(Units!$L28=1,AA$1=Units!$Q28),1,Inputs!$B$15)*Inputs!$B$16*(1+Inputs!$B$11)^(AA$2-1),0)</f>
        <v>0</v>
      </c>
      <c r="AB29" s="11" t="n">
        <f aca="false">IF(AND(AB$1&gt;=Units!$Q28,MOD(AB$1-Units!$Q28,12)=0),IF(AND(Units!$L28=1,AB$1=Units!$Q28),1,Inputs!$B$15)*Inputs!$B$16*(1+Inputs!$B$11)^(AB$2-1),0)</f>
        <v>0</v>
      </c>
      <c r="AC29" s="11" t="n">
        <f aca="false">IF(AND(AC$1&gt;=Units!$Q28,MOD(AC$1-Units!$Q28,12)=0),IF(AND(Units!$L28=1,AC$1=Units!$Q28),1,Inputs!$B$15)*Inputs!$B$16*(1+Inputs!$B$11)^(AC$2-1),0)</f>
        <v>0</v>
      </c>
      <c r="AD29" s="11" t="n">
        <f aca="false">IF(AND(AD$1&gt;=Units!$Q28,MOD(AD$1-Units!$Q28,12)=0),IF(AND(Units!$L28=1,AD$1=Units!$Q28),1,Inputs!$B$15)*Inputs!$B$16*(1+Inputs!$B$11)^(AD$2-1),0)</f>
        <v>530.45</v>
      </c>
      <c r="AE29" s="11" t="n">
        <f aca="false">IF(AND(AE$1&gt;=Units!$Q28,MOD(AE$1-Units!$Q28,12)=0),IF(AND(Units!$L28=1,AE$1=Units!$Q28),1,Inputs!$B$15)*Inputs!$B$16*(1+Inputs!$B$11)^(AE$2-1),0)</f>
        <v>0</v>
      </c>
      <c r="AF29" s="11" t="n">
        <f aca="false">IF(AND(AF$1&gt;=Units!$Q28,MOD(AF$1-Units!$Q28,12)=0),IF(AND(Units!$L28=1,AF$1=Units!$Q28),1,Inputs!$B$15)*Inputs!$B$16*(1+Inputs!$B$11)^(AF$2-1),0)</f>
        <v>0</v>
      </c>
      <c r="AG29" s="11" t="n">
        <f aca="false">IF(AND(AG$1&gt;=Units!$Q28,MOD(AG$1-Units!$Q28,12)=0),IF(AND(Units!$L28=1,AG$1=Units!$Q28),1,Inputs!$B$15)*Inputs!$B$16*(1+Inputs!$B$11)^(AG$2-1),0)</f>
        <v>0</v>
      </c>
      <c r="AH29" s="11" t="n">
        <f aca="false">IF(AND(AH$1&gt;=Units!$Q28,MOD(AH$1-Units!$Q28,12)=0),IF(AND(Units!$L28=1,AH$1=Units!$Q28),1,Inputs!$B$15)*Inputs!$B$16*(1+Inputs!$B$11)^(AH$2-1),0)</f>
        <v>0</v>
      </c>
      <c r="AI29" s="11" t="n">
        <f aca="false">IF(AND(AI$1&gt;=Units!$Q28,MOD(AI$1-Units!$Q28,12)=0),IF(AND(Units!$L28=1,AI$1=Units!$Q28),1,Inputs!$B$15)*Inputs!$B$16*(1+Inputs!$B$11)^(AI$2-1),0)</f>
        <v>0</v>
      </c>
      <c r="AJ29" s="11" t="n">
        <f aca="false">IF(AND(AJ$1&gt;=Units!$Q28,MOD(AJ$1-Units!$Q28,12)=0),IF(AND(Units!$L28=1,AJ$1=Units!$Q28),1,Inputs!$B$15)*Inputs!$B$16*(1+Inputs!$B$11)^(AJ$2-1),0)</f>
        <v>0</v>
      </c>
      <c r="AK29" s="11" t="n">
        <f aca="false">IF(AND(AK$1&gt;=Units!$Q28,MOD(AK$1-Units!$Q28,12)=0),IF(AND(Units!$L28=1,AK$1=Units!$Q28),1,Inputs!$B$15)*Inputs!$B$16*(1+Inputs!$B$11)^(AK$2-1),0)</f>
        <v>0</v>
      </c>
      <c r="AL29" s="11" t="n">
        <f aca="false">IF(AND(AL$1&gt;=Units!$Q28,MOD(AL$1-Units!$Q28,12)=0),IF(AND(Units!$L28=1,AL$1=Units!$Q28),1,Inputs!$B$15)*Inputs!$B$16*(1+Inputs!$B$11)^(AL$2-1),0)</f>
        <v>0</v>
      </c>
      <c r="AM29" s="11" t="n">
        <f aca="false">IF(AND(AM$1&gt;=Units!$Q28,MOD(AM$1-Units!$Q28,12)=0),IF(AND(Units!$L28=1,AM$1=Units!$Q28),1,Inputs!$B$15)*Inputs!$B$16*(1+Inputs!$B$11)^(AM$2-1),0)</f>
        <v>0</v>
      </c>
      <c r="AN29" s="11" t="n">
        <f aca="false">IF(AND(AN$1&gt;=Units!$Q28,MOD(AN$1-Units!$Q28,12)=0),IF(AND(Units!$L28=1,AN$1=Units!$Q28),1,Inputs!$B$15)*Inputs!$B$16*(1+Inputs!$B$11)^(AN$2-1),0)</f>
        <v>0</v>
      </c>
      <c r="AO29" s="11" t="n">
        <f aca="false">IF(AND(AO$1&gt;=Units!$Q28,MOD(AO$1-Units!$Q28,12)=0),IF(AND(Units!$L28=1,AO$1=Units!$Q28),1,Inputs!$B$15)*Inputs!$B$16*(1+Inputs!$B$11)^(AO$2-1),0)</f>
        <v>0</v>
      </c>
      <c r="AP29" s="11" t="n">
        <f aca="false">IF(AND(AP$1&gt;=Units!$Q28,MOD(AP$1-Units!$Q28,12)=0),IF(AND(Units!$L28=1,AP$1=Units!$Q28),1,Inputs!$B$15)*Inputs!$B$16*(1+Inputs!$B$11)^(AP$2-1),0)</f>
        <v>546.3635</v>
      </c>
      <c r="AQ29" s="11" t="n">
        <f aca="false">IF(AND(AQ$1&gt;=Units!$Q28,MOD(AQ$1-Units!$Q28,12)=0),IF(AND(Units!$L28=1,AQ$1=Units!$Q28),1,Inputs!$B$15)*Inputs!$B$16*(1+Inputs!$B$11)^(AQ$2-1),0)</f>
        <v>0</v>
      </c>
      <c r="AR29" s="11" t="n">
        <f aca="false">IF(AND(AR$1&gt;=Units!$Q28,MOD(AR$1-Units!$Q28,12)=0),IF(AND(Units!$L28=1,AR$1=Units!$Q28),1,Inputs!$B$15)*Inputs!$B$16*(1+Inputs!$B$11)^(AR$2-1),0)</f>
        <v>0</v>
      </c>
      <c r="AS29" s="11" t="n">
        <f aca="false">IF(AND(AS$1&gt;=Units!$Q28,MOD(AS$1-Units!$Q28,12)=0),IF(AND(Units!$L28=1,AS$1=Units!$Q28),1,Inputs!$B$15)*Inputs!$B$16*(1+Inputs!$B$11)^(AS$2-1),0)</f>
        <v>0</v>
      </c>
      <c r="AT29" s="11" t="n">
        <f aca="false">IF(AND(AT$1&gt;=Units!$Q28,MOD(AT$1-Units!$Q28,12)=0),IF(AND(Units!$L28=1,AT$1=Units!$Q28),1,Inputs!$B$15)*Inputs!$B$16*(1+Inputs!$B$11)^(AT$2-1),0)</f>
        <v>0</v>
      </c>
      <c r="AU29" s="11" t="n">
        <f aca="false">IF(AND(AU$1&gt;=Units!$Q28,MOD(AU$1-Units!$Q28,12)=0),IF(AND(Units!$L28=1,AU$1=Units!$Q28),1,Inputs!$B$15)*Inputs!$B$16*(1+Inputs!$B$11)^(AU$2-1),0)</f>
        <v>0</v>
      </c>
      <c r="AV29" s="11" t="n">
        <f aca="false">IF(AND(AV$1&gt;=Units!$Q28,MOD(AV$1-Units!$Q28,12)=0),IF(AND(Units!$L28=1,AV$1=Units!$Q28),1,Inputs!$B$15)*Inputs!$B$16*(1+Inputs!$B$11)^(AV$2-1),0)</f>
        <v>0</v>
      </c>
      <c r="AW29" s="11" t="n">
        <f aca="false">IF(AND(AW$1&gt;=Units!$Q28,MOD(AW$1-Units!$Q28,12)=0),IF(AND(Units!$L28=1,AW$1=Units!$Q28),1,Inputs!$B$15)*Inputs!$B$16*(1+Inputs!$B$11)^(AW$2-1),0)</f>
        <v>0</v>
      </c>
      <c r="AX29" s="11" t="n">
        <f aca="false">IF(AND(AX$1&gt;=Units!$Q28,MOD(AX$1-Units!$Q28,12)=0),IF(AND(Units!$L28=1,AX$1=Units!$Q28),1,Inputs!$B$15)*Inputs!$B$16*(1+Inputs!$B$11)^(AX$2-1),0)</f>
        <v>0</v>
      </c>
      <c r="AY29" s="11" t="n">
        <f aca="false">IF(AND(AY$1&gt;=Units!$Q28,MOD(AY$1-Units!$Q28,12)=0),IF(AND(Units!$L28=1,AY$1=Units!$Q28),1,Inputs!$B$15)*Inputs!$B$16*(1+Inputs!$B$11)^(AY$2-1),0)</f>
        <v>0</v>
      </c>
      <c r="AZ29" s="11" t="n">
        <f aca="false">IF(AND(AZ$1&gt;=Units!$Q28,MOD(AZ$1-Units!$Q28,12)=0),IF(AND(Units!$L28=1,AZ$1=Units!$Q28),1,Inputs!$B$15)*Inputs!$B$16*(1+Inputs!$B$11)^(AZ$2-1),0)</f>
        <v>0</v>
      </c>
      <c r="BA29" s="11" t="n">
        <f aca="false">IF(AND(BA$1&gt;=Units!$Q28,MOD(BA$1-Units!$Q28,12)=0),IF(AND(Units!$L28=1,BA$1=Units!$Q28),1,Inputs!$B$15)*Inputs!$B$16*(1+Inputs!$B$11)^(BA$2-1),0)</f>
        <v>0</v>
      </c>
      <c r="BB29" s="11" t="n">
        <f aca="false">IF(AND(BB$1&gt;=Units!$Q28,MOD(BB$1-Units!$Q28,12)=0),IF(AND(Units!$L28=1,BB$1=Units!$Q28),1,Inputs!$B$15)*Inputs!$B$16*(1+Inputs!$B$11)^(BB$2-1),0)</f>
        <v>562.754405</v>
      </c>
      <c r="BC29" s="11" t="n">
        <f aca="false">IF(AND(BC$1&gt;=Units!$Q28,MOD(BC$1-Units!$Q28,12)=0),IF(AND(Units!$L28=1,BC$1=Units!$Q28),1,Inputs!$B$15)*Inputs!$B$16*(1+Inputs!$B$11)^(BC$2-1),0)</f>
        <v>0</v>
      </c>
      <c r="BD29" s="11" t="n">
        <f aca="false">IF(AND(BD$1&gt;=Units!$Q28,MOD(BD$1-Units!$Q28,12)=0),IF(AND(Units!$L28=1,BD$1=Units!$Q28),1,Inputs!$B$15)*Inputs!$B$16*(1+Inputs!$B$11)^(BD$2-1),0)</f>
        <v>0</v>
      </c>
      <c r="BE29" s="11" t="n">
        <f aca="false">IF(AND(BE$1&gt;=Units!$Q28,MOD(BE$1-Units!$Q28,12)=0),IF(AND(Units!$L28=1,BE$1=Units!$Q28),1,Inputs!$B$15)*Inputs!$B$16*(1+Inputs!$B$11)^(BE$2-1),0)</f>
        <v>0</v>
      </c>
      <c r="BF29" s="11" t="n">
        <f aca="false">IF(AND(BF$1&gt;=Units!$Q28,MOD(BF$1-Units!$Q28,12)=0),IF(AND(Units!$L28=1,BF$1=Units!$Q28),1,Inputs!$B$15)*Inputs!$B$16*(1+Inputs!$B$11)^(BF$2-1),0)</f>
        <v>0</v>
      </c>
      <c r="BG29" s="11" t="n">
        <f aca="false">IF(AND(BG$1&gt;=Units!$Q28,MOD(BG$1-Units!$Q28,12)=0),IF(AND(Units!$L28=1,BG$1=Units!$Q28),1,Inputs!$B$15)*Inputs!$B$16*(1+Inputs!$B$11)^(BG$2-1),0)</f>
        <v>0</v>
      </c>
      <c r="BH29" s="11" t="n">
        <f aca="false">IF(AND(BH$1&gt;=Units!$Q28,MOD(BH$1-Units!$Q28,12)=0),IF(AND(Units!$L28=1,BH$1=Units!$Q28),1,Inputs!$B$15)*Inputs!$B$16*(1+Inputs!$B$11)^(BH$2-1),0)</f>
        <v>0</v>
      </c>
      <c r="BI29" s="11" t="n">
        <f aca="false">IF(AND(BI$1&gt;=Units!$Q28,MOD(BI$1-Units!$Q28,12)=0),IF(AND(Units!$L28=1,BI$1=Units!$Q28),1,Inputs!$B$15)*Inputs!$B$16*(1+Inputs!$B$11)^(BI$2-1),0)</f>
        <v>0</v>
      </c>
      <c r="BJ29" s="11" t="n">
        <f aca="false">IF(AND(BJ$1&gt;=Units!$Q28,MOD(BJ$1-Units!$Q28,12)=0),IF(AND(Units!$L28=1,BJ$1=Units!$Q28),1,Inputs!$B$15)*Inputs!$B$16*(1+Inputs!$B$11)^(BJ$2-1),0)</f>
        <v>0</v>
      </c>
      <c r="BK29" s="11" t="n">
        <f aca="false">IF(AND(BK$1&gt;=Units!$Q28,MOD(BK$1-Units!$Q28,12)=0),IF(AND(Units!$L28=1,BK$1=Units!$Q28),1,Inputs!$B$15)*Inputs!$B$16*(1+Inputs!$B$11)^(BK$2-1),0)</f>
        <v>0</v>
      </c>
      <c r="BL29" s="11" t="n">
        <f aca="false">IF(AND(BL$1&gt;=Units!$Q28,MOD(BL$1-Units!$Q28,12)=0),IF(AND(Units!$L28=1,BL$1=Units!$Q28),1,Inputs!$B$15)*Inputs!$B$16*(1+Inputs!$B$11)^(BL$2-1),0)</f>
        <v>0</v>
      </c>
      <c r="BM29" s="11" t="n">
        <f aca="false">IF(AND(BM$1&gt;=Units!$Q28,MOD(BM$1-Units!$Q28,12)=0),IF(AND(Units!$L28=1,BM$1=Units!$Q28),1,Inputs!$B$15)*Inputs!$B$16*(1+Inputs!$B$11)^(BM$2-1),0)</f>
        <v>0</v>
      </c>
      <c r="BN29" s="11" t="n">
        <f aca="false">IF(AND(BN$1&gt;=Units!$Q28,MOD(BN$1-Units!$Q28,12)=0),IF(AND(Units!$L28=1,BN$1=Units!$Q28),1,Inputs!$B$15)*Inputs!$B$16*(1+Inputs!$B$11)^(BN$2-1),0)</f>
        <v>579.63703715</v>
      </c>
      <c r="BO29" s="11" t="n">
        <f aca="false">IF(AND(BO$1&gt;=Units!$Q28,MOD(BO$1-Units!$Q28,12)=0),IF(AND(Units!$L28=1,BO$1=Units!$Q28),1,Inputs!$B$15)*Inputs!$B$16*(1+Inputs!$B$11)^(BO$2-1),0)</f>
        <v>0</v>
      </c>
      <c r="BP29" s="11" t="n">
        <f aca="false">IF(AND(BP$1&gt;=Units!$Q28,MOD(BP$1-Units!$Q28,12)=0),IF(AND(Units!$L28=1,BP$1=Units!$Q28),1,Inputs!$B$15)*Inputs!$B$16*(1+Inputs!$B$11)^(BP$2-1),0)</f>
        <v>0</v>
      </c>
      <c r="BQ29" s="11" t="n">
        <f aca="false">IF(AND(BQ$1&gt;=Units!$Q28,MOD(BQ$1-Units!$Q28,12)=0),IF(AND(Units!$L28=1,BQ$1=Units!$Q28),1,Inputs!$B$15)*Inputs!$B$16*(1+Inputs!$B$11)^(BQ$2-1),0)</f>
        <v>0</v>
      </c>
      <c r="BR29" s="11" t="n">
        <f aca="false">IF(AND(BR$1&gt;=Units!$Q28,MOD(BR$1-Units!$Q28,12)=0),IF(AND(Units!$L28=1,BR$1=Units!$Q28),1,Inputs!$B$15)*Inputs!$B$16*(1+Inputs!$B$11)^(BR$2-1),0)</f>
        <v>0</v>
      </c>
      <c r="BS29" s="11" t="n">
        <f aca="false">IF(AND(BS$1&gt;=Units!$Q28,MOD(BS$1-Units!$Q28,12)=0),IF(AND(Units!$L28=1,BS$1=Units!$Q28),1,Inputs!$B$15)*Inputs!$B$16*(1+Inputs!$B$11)^(BS$2-1),0)</f>
        <v>0</v>
      </c>
      <c r="BT29" s="11" t="n">
        <f aca="false">IF(AND(BT$1&gt;=Units!$Q28,MOD(BT$1-Units!$Q28,12)=0),IF(AND(Units!$L28=1,BT$1=Units!$Q28),1,Inputs!$B$15)*Inputs!$B$16*(1+Inputs!$B$11)^(BT$2-1),0)</f>
        <v>0</v>
      </c>
      <c r="BU29" s="11" t="n">
        <f aca="false">IF(AND(BU$1&gt;=Units!$Q28,MOD(BU$1-Units!$Q28,12)=0),IF(AND(Units!$L28=1,BU$1=Units!$Q28),1,Inputs!$B$15)*Inputs!$B$16*(1+Inputs!$B$11)^(BU$2-1),0)</f>
        <v>0</v>
      </c>
      <c r="BV29" s="11" t="n">
        <f aca="false">IF(AND(BV$1&gt;=Units!$Q28,MOD(BV$1-Units!$Q28,12)=0),IF(AND(Units!$L28=1,BV$1=Units!$Q28),1,Inputs!$B$15)*Inputs!$B$16*(1+Inputs!$B$11)^(BV$2-1),0)</f>
        <v>0</v>
      </c>
      <c r="BW29" s="11" t="n">
        <f aca="false">IF(AND(BW$1&gt;=Units!$Q28,MOD(BW$1-Units!$Q28,12)=0),IF(AND(Units!$L28=1,BW$1=Units!$Q28),1,Inputs!$B$15)*Inputs!$B$16*(1+Inputs!$B$11)^(BW$2-1),0)</f>
        <v>0</v>
      </c>
      <c r="BX29" s="11" t="n">
        <f aca="false">IF(AND(BX$1&gt;=Units!$Q28,MOD(BX$1-Units!$Q28,12)=0),IF(AND(Units!$L28=1,BX$1=Units!$Q28),1,Inputs!$B$15)*Inputs!$B$16*(1+Inputs!$B$11)^(BX$2-1),0)</f>
        <v>0</v>
      </c>
      <c r="BY29" s="11" t="n">
        <f aca="false">IF(AND(BY$1&gt;=Units!$Q28,MOD(BY$1-Units!$Q28,12)=0),IF(AND(Units!$L28=1,BY$1=Units!$Q28),1,Inputs!$B$15)*Inputs!$B$16*(1+Inputs!$B$11)^(BY$2-1),0)</f>
        <v>0</v>
      </c>
      <c r="BZ29" s="11" t="n">
        <f aca="false">IF(AND(BZ$1&gt;=Units!$Q28,MOD(BZ$1-Units!$Q28,12)=0),IF(AND(Units!$L28=1,BZ$1=Units!$Q28),1,Inputs!$B$15)*Inputs!$B$16*(1+Inputs!$B$11)^(BZ$2-1),0)</f>
        <v>597.0261482645</v>
      </c>
      <c r="CA29" s="11" t="n">
        <f aca="false">IF(AND(CA$1&gt;=Units!$Q28,MOD(CA$1-Units!$Q28,12)=0),IF(AND(Units!$L28=1,CA$1=Units!$Q28),1,Inputs!$B$15)*Inputs!$B$16*(1+Inputs!$B$11)^(CA$2-1),0)</f>
        <v>0</v>
      </c>
      <c r="CB29" s="11" t="n">
        <f aca="false">IF(AND(CB$1&gt;=Units!$Q28,MOD(CB$1-Units!$Q28,12)=0),IF(AND(Units!$L28=1,CB$1=Units!$Q28),1,Inputs!$B$15)*Inputs!$B$16*(1+Inputs!$B$11)^(CB$2-1),0)</f>
        <v>0</v>
      </c>
      <c r="CC29" s="11" t="n">
        <f aca="false">IF(AND(CC$1&gt;=Units!$Q28,MOD(CC$1-Units!$Q28,12)=0),IF(AND(Units!$L28=1,CC$1=Units!$Q28),1,Inputs!$B$15)*Inputs!$B$16*(1+Inputs!$B$11)^(CC$2-1),0)</f>
        <v>0</v>
      </c>
      <c r="CD29" s="11" t="n">
        <f aca="false">IF(AND(CD$1&gt;=Units!$Q28,MOD(CD$1-Units!$Q28,12)=0),IF(AND(Units!$L28=1,CD$1=Units!$Q28),1,Inputs!$B$15)*Inputs!$B$16*(1+Inputs!$B$11)^(CD$2-1),0)</f>
        <v>0</v>
      </c>
      <c r="CE29" s="11" t="n">
        <f aca="false">IF(AND(CE$1&gt;=Units!$Q28,MOD(CE$1-Units!$Q28,12)=0),IF(AND(Units!$L28=1,CE$1=Units!$Q28),1,Inputs!$B$15)*Inputs!$B$16*(1+Inputs!$B$11)^(CE$2-1),0)</f>
        <v>0</v>
      </c>
      <c r="CF29" s="11" t="n">
        <f aca="false">IF(AND(CF$1&gt;=Units!$Q28,MOD(CF$1-Units!$Q28,12)=0),IF(AND(Units!$L28=1,CF$1=Units!$Q28),1,Inputs!$B$15)*Inputs!$B$16*(1+Inputs!$B$11)^(CF$2-1),0)</f>
        <v>0</v>
      </c>
      <c r="CG29" s="11" t="n">
        <f aca="false">IF(AND(CG$1&gt;=Units!$Q28,MOD(CG$1-Units!$Q28,12)=0),IF(AND(Units!$L28=1,CG$1=Units!$Q28),1,Inputs!$B$15)*Inputs!$B$16*(1+Inputs!$B$11)^(CG$2-1),0)</f>
        <v>0</v>
      </c>
      <c r="CH29" s="11" t="n">
        <f aca="false">IF(AND(CH$1&gt;=Units!$Q28,MOD(CH$1-Units!$Q28,12)=0),IF(AND(Units!$L28=1,CH$1=Units!$Q28),1,Inputs!$B$15)*Inputs!$B$16*(1+Inputs!$B$11)^(CH$2-1),0)</f>
        <v>0</v>
      </c>
      <c r="CI29" s="11" t="n">
        <f aca="false">IF(AND(CI$1&gt;=Units!$Q28,MOD(CI$1-Units!$Q28,12)=0),IF(AND(Units!$L28=1,CI$1=Units!$Q28),1,Inputs!$B$15)*Inputs!$B$16*(1+Inputs!$B$11)^(CI$2-1),0)</f>
        <v>0</v>
      </c>
      <c r="CJ29" s="11" t="n">
        <f aca="false">IF(AND(CJ$1&gt;=Units!$Q28,MOD(CJ$1-Units!$Q28,12)=0),IF(AND(Units!$L28=1,CJ$1=Units!$Q28),1,Inputs!$B$15)*Inputs!$B$16*(1+Inputs!$B$11)^(CJ$2-1),0)</f>
        <v>0</v>
      </c>
      <c r="CK29" s="11" t="n">
        <f aca="false">IF(AND(CK$1&gt;=Units!$Q28,MOD(CK$1-Units!$Q28,12)=0),IF(AND(Units!$L28=1,CK$1=Units!$Q28),1,Inputs!$B$15)*Inputs!$B$16*(1+Inputs!$B$11)^(CK$2-1),0)</f>
        <v>0</v>
      </c>
      <c r="CL29" s="11" t="n">
        <f aca="false">IF(AND(CL$1&gt;=Units!$Q28,MOD(CL$1-Units!$Q28,12)=0),IF(AND(Units!$L28=1,CL$1=Units!$Q28),1,Inputs!$B$15)*Inputs!$B$16*(1+Inputs!$B$11)^(CL$2-1),0)</f>
        <v>614.936932712435</v>
      </c>
      <c r="CM29" s="11" t="n">
        <f aca="false">IF(AND(CM$1&gt;=Units!$Q28,MOD(CM$1-Units!$Q28,12)=0),IF(AND(Units!$L28=1,CM$1=Units!$Q28),1,Inputs!$B$15)*Inputs!$B$16*(1+Inputs!$B$11)^(CM$2-1),0)</f>
        <v>0</v>
      </c>
      <c r="CN29" s="11" t="n">
        <f aca="false">IF(AND(CN$1&gt;=Units!$Q28,MOD(CN$1-Units!$Q28,12)=0),IF(AND(Units!$L28=1,CN$1=Units!$Q28),1,Inputs!$B$15)*Inputs!$B$16*(1+Inputs!$B$11)^(CN$2-1),0)</f>
        <v>0</v>
      </c>
      <c r="CO29" s="11" t="n">
        <f aca="false">IF(AND(CO$1&gt;=Units!$Q28,MOD(CO$1-Units!$Q28,12)=0),IF(AND(Units!$L28=1,CO$1=Units!$Q28),1,Inputs!$B$15)*Inputs!$B$16*(1+Inputs!$B$11)^(CO$2-1),0)</f>
        <v>0</v>
      </c>
      <c r="CP29" s="11" t="n">
        <f aca="false">IF(AND(CP$1&gt;=Units!$Q28,MOD(CP$1-Units!$Q28,12)=0),IF(AND(Units!$L28=1,CP$1=Units!$Q28),1,Inputs!$B$15)*Inputs!$B$16*(1+Inputs!$B$11)^(CP$2-1),0)</f>
        <v>0</v>
      </c>
      <c r="CQ29" s="11" t="n">
        <f aca="false">IF(AND(CQ$1&gt;=Units!$Q28,MOD(CQ$1-Units!$Q28,12)=0),IF(AND(Units!$L28=1,CQ$1=Units!$Q28),1,Inputs!$B$15)*Inputs!$B$16*(1+Inputs!$B$11)^(CQ$2-1),0)</f>
        <v>0</v>
      </c>
      <c r="CR29" s="11" t="n">
        <f aca="false">IF(AND(CR$1&gt;=Units!$Q28,MOD(CR$1-Units!$Q28,12)=0),IF(AND(Units!$L28=1,CR$1=Units!$Q28),1,Inputs!$B$15)*Inputs!$B$16*(1+Inputs!$B$11)^(CR$2-1),0)</f>
        <v>0</v>
      </c>
      <c r="CS29" s="11" t="n">
        <f aca="false">IF(AND(CS$1&gt;=Units!$Q28,MOD(CS$1-Units!$Q28,12)=0),IF(AND(Units!$L28=1,CS$1=Units!$Q28),1,Inputs!$B$15)*Inputs!$B$16*(1+Inputs!$B$11)^(CS$2-1),0)</f>
        <v>0</v>
      </c>
      <c r="CT29" s="11" t="n">
        <f aca="false">IF(AND(CT$1&gt;=Units!$Q28,MOD(CT$1-Units!$Q28,12)=0),IF(AND(Units!$L28=1,CT$1=Units!$Q28),1,Inputs!$B$15)*Inputs!$B$16*(1+Inputs!$B$11)^(CT$2-1),0)</f>
        <v>0</v>
      </c>
      <c r="CU29" s="11" t="n">
        <f aca="false">IF(AND(CU$1&gt;=Units!$Q28,MOD(CU$1-Units!$Q28,12)=0),IF(AND(Units!$L28=1,CU$1=Units!$Q28),1,Inputs!$B$15)*Inputs!$B$16*(1+Inputs!$B$11)^(CU$2-1),0)</f>
        <v>0</v>
      </c>
      <c r="CV29" s="11" t="n">
        <f aca="false">IF(AND(CV$1&gt;=Units!$Q28,MOD(CV$1-Units!$Q28,12)=0),IF(AND(Units!$L28=1,CV$1=Units!$Q28),1,Inputs!$B$15)*Inputs!$B$16*(1+Inputs!$B$11)^(CV$2-1),0)</f>
        <v>0</v>
      </c>
      <c r="CW29" s="11" t="n">
        <f aca="false">IF(AND(CW$1&gt;=Units!$Q28,MOD(CW$1-Units!$Q28,12)=0),IF(AND(Units!$L28=1,CW$1=Units!$Q28),1,Inputs!$B$15)*Inputs!$B$16*(1+Inputs!$B$11)^(CW$2-1),0)</f>
        <v>0</v>
      </c>
      <c r="CX29" s="11" t="n">
        <f aca="false">IF(AND(CX$1&gt;=Units!$Q28,MOD(CX$1-Units!$Q28,12)=0),IF(AND(Units!$L28=1,CX$1=Units!$Q28),1,Inputs!$B$15)*Inputs!$B$16*(1+Inputs!$B$11)^(CX$2-1),0)</f>
        <v>633.385040693808</v>
      </c>
      <c r="CY29" s="11" t="n">
        <f aca="false">IF(AND(CY$1&gt;=Units!$Q28,MOD(CY$1-Units!$Q28,12)=0),IF(AND(Units!$L28=1,CY$1=Units!$Q28),1,Inputs!$B$15)*Inputs!$B$16*(1+Inputs!$B$11)^(CY$2-1),0)</f>
        <v>0</v>
      </c>
      <c r="CZ29" s="11" t="n">
        <f aca="false">IF(AND(CZ$1&gt;=Units!$Q28,MOD(CZ$1-Units!$Q28,12)=0),IF(AND(Units!$L28=1,CZ$1=Units!$Q28),1,Inputs!$B$15)*Inputs!$B$16*(1+Inputs!$B$11)^(CZ$2-1),0)</f>
        <v>0</v>
      </c>
      <c r="DA29" s="11" t="n">
        <f aca="false">IF(AND(DA$1&gt;=Units!$Q28,MOD(DA$1-Units!$Q28,12)=0),IF(AND(Units!$L28=1,DA$1=Units!$Q28),1,Inputs!$B$15)*Inputs!$B$16*(1+Inputs!$B$11)^(DA$2-1),0)</f>
        <v>0</v>
      </c>
      <c r="DB29" s="11" t="n">
        <f aca="false">IF(AND(DB$1&gt;=Units!$Q28,MOD(DB$1-Units!$Q28,12)=0),IF(AND(Units!$L28=1,DB$1=Units!$Q28),1,Inputs!$B$15)*Inputs!$B$16*(1+Inputs!$B$11)^(DB$2-1),0)</f>
        <v>0</v>
      </c>
      <c r="DC29" s="11" t="n">
        <f aca="false">IF(AND(DC$1&gt;=Units!$Q28,MOD(DC$1-Units!$Q28,12)=0),IF(AND(Units!$L28=1,DC$1=Units!$Q28),1,Inputs!$B$15)*Inputs!$B$16*(1+Inputs!$B$11)^(DC$2-1),0)</f>
        <v>0</v>
      </c>
      <c r="DD29" s="11" t="n">
        <f aca="false">IF(AND(DD$1&gt;=Units!$Q28,MOD(DD$1-Units!$Q28,12)=0),IF(AND(Units!$L28=1,DD$1=Units!$Q28),1,Inputs!$B$15)*Inputs!$B$16*(1+Inputs!$B$11)^(DD$2-1),0)</f>
        <v>0</v>
      </c>
      <c r="DE29" s="11" t="n">
        <f aca="false">IF(AND(DE$1&gt;=Units!$Q28,MOD(DE$1-Units!$Q28,12)=0),IF(AND(Units!$L28=1,DE$1=Units!$Q28),1,Inputs!$B$15)*Inputs!$B$16*(1+Inputs!$B$11)^(DE$2-1),0)</f>
        <v>0</v>
      </c>
      <c r="DF29" s="11" t="n">
        <f aca="false">IF(AND(DF$1&gt;=Units!$Q28,MOD(DF$1-Units!$Q28,12)=0),IF(AND(Units!$L28=1,DF$1=Units!$Q28),1,Inputs!$B$15)*Inputs!$B$16*(1+Inputs!$B$11)^(DF$2-1),0)</f>
        <v>0</v>
      </c>
      <c r="DG29" s="11" t="n">
        <f aca="false">IF(AND(DG$1&gt;=Units!$Q28,MOD(DG$1-Units!$Q28,12)=0),IF(AND(Units!$L28=1,DG$1=Units!$Q28),1,Inputs!$B$15)*Inputs!$B$16*(1+Inputs!$B$11)^(DG$2-1),0)</f>
        <v>0</v>
      </c>
      <c r="DH29" s="11" t="n">
        <f aca="false">IF(AND(DH$1&gt;=Units!$Q28,MOD(DH$1-Units!$Q28,12)=0),IF(AND(Units!$L28=1,DH$1=Units!$Q28),1,Inputs!$B$15)*Inputs!$B$16*(1+Inputs!$B$11)^(DH$2-1),0)</f>
        <v>0</v>
      </c>
      <c r="DI29" s="11" t="n">
        <f aca="false">IF(AND(DI$1&gt;=Units!$Q28,MOD(DI$1-Units!$Q28,12)=0),IF(AND(Units!$L28=1,DI$1=Units!$Q28),1,Inputs!$B$15)*Inputs!$B$16*(1+Inputs!$B$11)^(DI$2-1),0)</f>
        <v>0</v>
      </c>
      <c r="DJ29" s="11" t="n">
        <f aca="false">IF(AND(DJ$1&gt;=Units!$Q28,MOD(DJ$1-Units!$Q28,12)=0),IF(AND(Units!$L28=1,DJ$1=Units!$Q28),1,Inputs!$B$15)*Inputs!$B$16*(1+Inputs!$B$11)^(DJ$2-1),0)</f>
        <v>652.386591914623</v>
      </c>
      <c r="DK29" s="11" t="n">
        <f aca="false">IF(AND(DK$1&gt;=Units!$Q28,MOD(DK$1-Units!$Q28,12)=0),IF(AND(Units!$L28=1,DK$1=Units!$Q28),1,Inputs!$B$15)*Inputs!$B$16*(1+Inputs!$B$11)^(DK$2-1),0)</f>
        <v>0</v>
      </c>
      <c r="DL29" s="11" t="n">
        <f aca="false">IF(AND(DL$1&gt;=Units!$Q28,MOD(DL$1-Units!$Q28,12)=0),IF(AND(Units!$L28=1,DL$1=Units!$Q28),1,Inputs!$B$15)*Inputs!$B$16*(1+Inputs!$B$11)^(DL$2-1),0)</f>
        <v>0</v>
      </c>
      <c r="DM29" s="11" t="n">
        <f aca="false">IF(AND(DM$1&gt;=Units!$Q28,MOD(DM$1-Units!$Q28,12)=0),IF(AND(Units!$L28=1,DM$1=Units!$Q28),1,Inputs!$B$15)*Inputs!$B$16*(1+Inputs!$B$11)^(DM$2-1),0)</f>
        <v>0</v>
      </c>
      <c r="DN29" s="11" t="n">
        <f aca="false">IF(AND(DN$1&gt;=Units!$Q28,MOD(DN$1-Units!$Q28,12)=0),IF(AND(Units!$L28=1,DN$1=Units!$Q28),1,Inputs!$B$15)*Inputs!$B$16*(1+Inputs!$B$11)^(DN$2-1),0)</f>
        <v>0</v>
      </c>
      <c r="DO29" s="11" t="n">
        <f aca="false">IF(AND(DO$1&gt;=Units!$Q28,MOD(DO$1-Units!$Q28,12)=0),IF(AND(Units!$L28=1,DO$1=Units!$Q28),1,Inputs!$B$15)*Inputs!$B$16*(1+Inputs!$B$11)^(DO$2-1),0)</f>
        <v>0</v>
      </c>
      <c r="DP29" s="11" t="n">
        <f aca="false">IF(AND(DP$1&gt;=Units!$Q28,MOD(DP$1-Units!$Q28,12)=0),IF(AND(Units!$L28=1,DP$1=Units!$Q28),1,Inputs!$B$15)*Inputs!$B$16*(1+Inputs!$B$11)^(DP$2-1),0)</f>
        <v>0</v>
      </c>
      <c r="DQ29" s="11" t="n">
        <f aca="false">IF(AND(DQ$1&gt;=Units!$Q28,MOD(DQ$1-Units!$Q28,12)=0),IF(AND(Units!$L28=1,DQ$1=Units!$Q28),1,Inputs!$B$15)*Inputs!$B$16*(1+Inputs!$B$11)^(DQ$2-1),0)</f>
        <v>0</v>
      </c>
      <c r="DR29" s="11" t="n">
        <f aca="false">IF(AND(DR$1&gt;=Units!$Q28,MOD(DR$1-Units!$Q28,12)=0),IF(AND(Units!$L28=1,DR$1=Units!$Q28),1,Inputs!$B$15)*Inputs!$B$16*(1+Inputs!$B$11)^(DR$2-1),0)</f>
        <v>0</v>
      </c>
      <c r="DS29" s="11" t="n">
        <f aca="false">IF(AND(DS$1&gt;=Units!$Q28,MOD(DS$1-Units!$Q28,12)=0),IF(AND(Units!$L28=1,DS$1=Units!$Q28),1,Inputs!$B$15)*Inputs!$B$16*(1+Inputs!$B$11)^(DS$2-1),0)</f>
        <v>0</v>
      </c>
      <c r="DT29" s="11" t="n">
        <f aca="false">IF(AND(DT$1&gt;=Units!$Q28,MOD(DT$1-Units!$Q28,12)=0),IF(AND(Units!$L28=1,DT$1=Units!$Q28),1,Inputs!$B$15)*Inputs!$B$16*(1+Inputs!$B$11)^(DT$2-1),0)</f>
        <v>0</v>
      </c>
      <c r="DU29" s="11" t="n">
        <f aca="false">IF(AND(DU$1&gt;=Units!$Q28,MOD(DU$1-Units!$Q28,12)=0),IF(AND(Units!$L28=1,DU$1=Units!$Q28),1,Inputs!$B$15)*Inputs!$B$16*(1+Inputs!$B$11)^(DU$2-1),0)</f>
        <v>0</v>
      </c>
      <c r="DV29" s="11" t="n">
        <f aca="false">IF(AND(DV$1&gt;=Units!$Q28,MOD(DV$1-Units!$Q28,12)=0),IF(AND(Units!$L28=1,DV$1=Units!$Q28),1,Inputs!$B$15)*Inputs!$B$16*(1+Inputs!$B$11)^(DV$2-1),0)</f>
        <v>671.958189672061</v>
      </c>
      <c r="DW29" s="11" t="n">
        <f aca="false">IF(AND(DW$1&gt;=Units!$Q28,MOD(DW$1-Units!$Q28,12)=0),IF(AND(Units!$L28=1,DW$1=Units!$Q28),1,Inputs!$B$15)*Inputs!$B$16*(1+Inputs!$B$11)^(DW$2-1),0)</f>
        <v>0</v>
      </c>
      <c r="DX29" s="11" t="n">
        <f aca="false">IF(AND(DX$1&gt;=Units!$Q28,MOD(DX$1-Units!$Q28,12)=0),IF(AND(Units!$L28=1,DX$1=Units!$Q28),1,Inputs!$B$15)*Inputs!$B$16*(1+Inputs!$B$11)^(DX$2-1),0)</f>
        <v>0</v>
      </c>
      <c r="DY29" s="11" t="n">
        <f aca="false">IF(AND(DY$1&gt;=Units!$Q28,MOD(DY$1-Units!$Q28,12)=0),IF(AND(Units!$L28=1,DY$1=Units!$Q28),1,Inputs!$B$15)*Inputs!$B$16*(1+Inputs!$B$11)^(DY$2-1),0)</f>
        <v>0</v>
      </c>
      <c r="DZ29" s="11" t="n">
        <f aca="false">IF(AND(DZ$1&gt;=Units!$Q28,MOD(DZ$1-Units!$Q28,12)=0),IF(AND(Units!$L28=1,DZ$1=Units!$Q28),1,Inputs!$B$15)*Inputs!$B$16*(1+Inputs!$B$11)^(DZ$2-1),0)</f>
        <v>0</v>
      </c>
      <c r="EA29" s="11" t="n">
        <f aca="false">IF(AND(EA$1&gt;=Units!$Q28,MOD(EA$1-Units!$Q28,12)=0),IF(AND(Units!$L28=1,EA$1=Units!$Q28),1,Inputs!$B$15)*Inputs!$B$16*(1+Inputs!$B$11)^(EA$2-1),0)</f>
        <v>0</v>
      </c>
      <c r="EB29" s="11" t="n">
        <f aca="false">IF(AND(EB$1&gt;=Units!$Q28,MOD(EB$1-Units!$Q28,12)=0),IF(AND(Units!$L28=1,EB$1=Units!$Q28),1,Inputs!$B$15)*Inputs!$B$16*(1+Inputs!$B$11)^(EB$2-1),0)</f>
        <v>0</v>
      </c>
      <c r="EC29" s="11" t="n">
        <f aca="false">IF(AND(EC$1&gt;=Units!$Q28,MOD(EC$1-Units!$Q28,12)=0),IF(AND(Units!$L28=1,EC$1=Units!$Q28),1,Inputs!$B$15)*Inputs!$B$16*(1+Inputs!$B$11)^(EC$2-1),0)</f>
        <v>0</v>
      </c>
      <c r="ED29" s="11" t="n">
        <f aca="false">IF(AND(ED$1&gt;=Units!$Q28,MOD(ED$1-Units!$Q28,12)=0),IF(AND(Units!$L28=1,ED$1=Units!$Q28),1,Inputs!$B$15)*Inputs!$B$16*(1+Inputs!$B$11)^(ED$2-1),0)</f>
        <v>0</v>
      </c>
    </row>
    <row r="30" customFormat="false" ht="15" hidden="false" customHeight="false" outlineLevel="0" collapsed="false">
      <c r="A30" s="22" t="n">
        <f aca="false">Units!A29</f>
        <v>128</v>
      </c>
      <c r="B30" s="23"/>
      <c r="C30" s="11" t="n">
        <f aca="false">IF(AND(C$1&gt;=Units!$Q29,MOD(C$1-Units!$Q29,12)=0),IF(AND(Units!$L29=1,C$1=Units!$Q29),1,Inputs!$B$15)*Inputs!$B$16*(1+Inputs!$B$11)^(C$2-1),0)</f>
        <v>0</v>
      </c>
      <c r="D30" s="11" t="n">
        <f aca="false">IF(AND(D$1&gt;=Units!$Q29,MOD(D$1-Units!$Q29,12)=0),IF(AND(Units!$L29=1,D$1=Units!$Q29),1,Inputs!$B$15)*Inputs!$B$16*(1+Inputs!$B$11)^(D$2-1),0)</f>
        <v>0</v>
      </c>
      <c r="E30" s="11" t="n">
        <f aca="false">IF(AND(E$1&gt;=Units!$Q29,MOD(E$1-Units!$Q29,12)=0),IF(AND(Units!$L29=1,E$1=Units!$Q29),1,Inputs!$B$15)*Inputs!$B$16*(1+Inputs!$B$11)^(E$2-1),0)</f>
        <v>0</v>
      </c>
      <c r="F30" s="11" t="n">
        <f aca="false">IF(AND(F$1&gt;=Units!$Q29,MOD(F$1-Units!$Q29,12)=0),IF(AND(Units!$L29=1,F$1=Units!$Q29),1,Inputs!$B$15)*Inputs!$B$16*(1+Inputs!$B$11)^(F$2-1),0)</f>
        <v>0</v>
      </c>
      <c r="G30" s="11" t="n">
        <f aca="false">IF(AND(G$1&gt;=Units!$Q29,MOD(G$1-Units!$Q29,12)=0),IF(AND(Units!$L29=1,G$1=Units!$Q29),1,Inputs!$B$15)*Inputs!$B$16*(1+Inputs!$B$11)^(G$2-1),0)</f>
        <v>0</v>
      </c>
      <c r="H30" s="11" t="n">
        <f aca="false">IF(AND(H$1&gt;=Units!$Q29,MOD(H$1-Units!$Q29,12)=0),IF(AND(Units!$L29=1,H$1=Units!$Q29),1,Inputs!$B$15)*Inputs!$B$16*(1+Inputs!$B$11)^(H$2-1),0)</f>
        <v>0</v>
      </c>
      <c r="I30" s="11" t="n">
        <f aca="false">IF(AND(I$1&gt;=Units!$Q29,MOD(I$1-Units!$Q29,12)=0),IF(AND(Units!$L29=1,I$1=Units!$Q29),1,Inputs!$B$15)*Inputs!$B$16*(1+Inputs!$B$11)^(I$2-1),0)</f>
        <v>0</v>
      </c>
      <c r="J30" s="11" t="n">
        <f aca="false">IF(AND(J$1&gt;=Units!$Q29,MOD(J$1-Units!$Q29,12)=0),IF(AND(Units!$L29=1,J$1=Units!$Q29),1,Inputs!$B$15)*Inputs!$B$16*(1+Inputs!$B$11)^(J$2-1),0)</f>
        <v>0</v>
      </c>
      <c r="K30" s="11" t="n">
        <f aca="false">IF(AND(K$1&gt;=Units!$Q29,MOD(K$1-Units!$Q29,12)=0),IF(AND(Units!$L29=1,K$1=Units!$Q29),1,Inputs!$B$15)*Inputs!$B$16*(1+Inputs!$B$11)^(K$2-1),0)</f>
        <v>0</v>
      </c>
      <c r="L30" s="11" t="n">
        <f aca="false">IF(AND(L$1&gt;=Units!$Q29,MOD(L$1-Units!$Q29,12)=0),IF(AND(Units!$L29=1,L$1=Units!$Q29),1,Inputs!$B$15)*Inputs!$B$16*(1+Inputs!$B$11)^(L$2-1),0)</f>
        <v>0</v>
      </c>
      <c r="M30" s="11" t="n">
        <f aca="false">IF(AND(M$1&gt;=Units!$Q29,MOD(M$1-Units!$Q29,12)=0),IF(AND(Units!$L29=1,M$1=Units!$Q29),1,Inputs!$B$15)*Inputs!$B$16*(1+Inputs!$B$11)^(M$2-1),0)</f>
        <v>500</v>
      </c>
      <c r="N30" s="11" t="n">
        <f aca="false">IF(AND(N$1&gt;=Units!$Q29,MOD(N$1-Units!$Q29,12)=0),IF(AND(Units!$L29=1,N$1=Units!$Q29),1,Inputs!$B$15)*Inputs!$B$16*(1+Inputs!$B$11)^(N$2-1),0)</f>
        <v>0</v>
      </c>
      <c r="O30" s="11" t="n">
        <f aca="false">IF(AND(O$1&gt;=Units!$Q29,MOD(O$1-Units!$Q29,12)=0),IF(AND(Units!$L29=1,O$1=Units!$Q29),1,Inputs!$B$15)*Inputs!$B$16*(1+Inputs!$B$11)^(O$2-1),0)</f>
        <v>0</v>
      </c>
      <c r="P30" s="11" t="n">
        <f aca="false">IF(AND(P$1&gt;=Units!$Q29,MOD(P$1-Units!$Q29,12)=0),IF(AND(Units!$L29=1,P$1=Units!$Q29),1,Inputs!$B$15)*Inputs!$B$16*(1+Inputs!$B$11)^(P$2-1),0)</f>
        <v>0</v>
      </c>
      <c r="Q30" s="11" t="n">
        <f aca="false">IF(AND(Q$1&gt;=Units!$Q29,MOD(Q$1-Units!$Q29,12)=0),IF(AND(Units!$L29=1,Q$1=Units!$Q29),1,Inputs!$B$15)*Inputs!$B$16*(1+Inputs!$B$11)^(Q$2-1),0)</f>
        <v>0</v>
      </c>
      <c r="R30" s="11" t="n">
        <f aca="false">IF(AND(R$1&gt;=Units!$Q29,MOD(R$1-Units!$Q29,12)=0),IF(AND(Units!$L29=1,R$1=Units!$Q29),1,Inputs!$B$15)*Inputs!$B$16*(1+Inputs!$B$11)^(R$2-1),0)</f>
        <v>0</v>
      </c>
      <c r="S30" s="11" t="n">
        <f aca="false">IF(AND(S$1&gt;=Units!$Q29,MOD(S$1-Units!$Q29,12)=0),IF(AND(Units!$L29=1,S$1=Units!$Q29),1,Inputs!$B$15)*Inputs!$B$16*(1+Inputs!$B$11)^(S$2-1),0)</f>
        <v>0</v>
      </c>
      <c r="T30" s="11" t="n">
        <f aca="false">IF(AND(T$1&gt;=Units!$Q29,MOD(T$1-Units!$Q29,12)=0),IF(AND(Units!$L29=1,T$1=Units!$Q29),1,Inputs!$B$15)*Inputs!$B$16*(1+Inputs!$B$11)^(T$2-1),0)</f>
        <v>0</v>
      </c>
      <c r="U30" s="11" t="n">
        <f aca="false">IF(AND(U$1&gt;=Units!$Q29,MOD(U$1-Units!$Q29,12)=0),IF(AND(Units!$L29=1,U$1=Units!$Q29),1,Inputs!$B$15)*Inputs!$B$16*(1+Inputs!$B$11)^(U$2-1),0)</f>
        <v>0</v>
      </c>
      <c r="V30" s="11" t="n">
        <f aca="false">IF(AND(V$1&gt;=Units!$Q29,MOD(V$1-Units!$Q29,12)=0),IF(AND(Units!$L29=1,V$1=Units!$Q29),1,Inputs!$B$15)*Inputs!$B$16*(1+Inputs!$B$11)^(V$2-1),0)</f>
        <v>0</v>
      </c>
      <c r="W30" s="11" t="n">
        <f aca="false">IF(AND(W$1&gt;=Units!$Q29,MOD(W$1-Units!$Q29,12)=0),IF(AND(Units!$L29=1,W$1=Units!$Q29),1,Inputs!$B$15)*Inputs!$B$16*(1+Inputs!$B$11)^(W$2-1),0)</f>
        <v>0</v>
      </c>
      <c r="X30" s="11" t="n">
        <f aca="false">IF(AND(X$1&gt;=Units!$Q29,MOD(X$1-Units!$Q29,12)=0),IF(AND(Units!$L29=1,X$1=Units!$Q29),1,Inputs!$B$15)*Inputs!$B$16*(1+Inputs!$B$11)^(X$2-1),0)</f>
        <v>0</v>
      </c>
      <c r="Y30" s="11" t="n">
        <f aca="false">IF(AND(Y$1&gt;=Units!$Q29,MOD(Y$1-Units!$Q29,12)=0),IF(AND(Units!$L29=1,Y$1=Units!$Q29),1,Inputs!$B$15)*Inputs!$B$16*(1+Inputs!$B$11)^(Y$2-1),0)</f>
        <v>515</v>
      </c>
      <c r="Z30" s="11" t="n">
        <f aca="false">IF(AND(Z$1&gt;=Units!$Q29,MOD(Z$1-Units!$Q29,12)=0),IF(AND(Units!$L29=1,Z$1=Units!$Q29),1,Inputs!$B$15)*Inputs!$B$16*(1+Inputs!$B$11)^(Z$2-1),0)</f>
        <v>0</v>
      </c>
      <c r="AA30" s="11" t="n">
        <f aca="false">IF(AND(AA$1&gt;=Units!$Q29,MOD(AA$1-Units!$Q29,12)=0),IF(AND(Units!$L29=1,AA$1=Units!$Q29),1,Inputs!$B$15)*Inputs!$B$16*(1+Inputs!$B$11)^(AA$2-1),0)</f>
        <v>0</v>
      </c>
      <c r="AB30" s="11" t="n">
        <f aca="false">IF(AND(AB$1&gt;=Units!$Q29,MOD(AB$1-Units!$Q29,12)=0),IF(AND(Units!$L29=1,AB$1=Units!$Q29),1,Inputs!$B$15)*Inputs!$B$16*(1+Inputs!$B$11)^(AB$2-1),0)</f>
        <v>0</v>
      </c>
      <c r="AC30" s="11" t="n">
        <f aca="false">IF(AND(AC$1&gt;=Units!$Q29,MOD(AC$1-Units!$Q29,12)=0),IF(AND(Units!$L29=1,AC$1=Units!$Q29),1,Inputs!$B$15)*Inputs!$B$16*(1+Inputs!$B$11)^(AC$2-1),0)</f>
        <v>0</v>
      </c>
      <c r="AD30" s="11" t="n">
        <f aca="false">IF(AND(AD$1&gt;=Units!$Q29,MOD(AD$1-Units!$Q29,12)=0),IF(AND(Units!$L29=1,AD$1=Units!$Q29),1,Inputs!$B$15)*Inputs!$B$16*(1+Inputs!$B$11)^(AD$2-1),0)</f>
        <v>0</v>
      </c>
      <c r="AE30" s="11" t="n">
        <f aca="false">IF(AND(AE$1&gt;=Units!$Q29,MOD(AE$1-Units!$Q29,12)=0),IF(AND(Units!$L29=1,AE$1=Units!$Q29),1,Inputs!$B$15)*Inputs!$B$16*(1+Inputs!$B$11)^(AE$2-1),0)</f>
        <v>0</v>
      </c>
      <c r="AF30" s="11" t="n">
        <f aca="false">IF(AND(AF$1&gt;=Units!$Q29,MOD(AF$1-Units!$Q29,12)=0),IF(AND(Units!$L29=1,AF$1=Units!$Q29),1,Inputs!$B$15)*Inputs!$B$16*(1+Inputs!$B$11)^(AF$2-1),0)</f>
        <v>0</v>
      </c>
      <c r="AG30" s="11" t="n">
        <f aca="false">IF(AND(AG$1&gt;=Units!$Q29,MOD(AG$1-Units!$Q29,12)=0),IF(AND(Units!$L29=1,AG$1=Units!$Q29),1,Inputs!$B$15)*Inputs!$B$16*(1+Inputs!$B$11)^(AG$2-1),0)</f>
        <v>0</v>
      </c>
      <c r="AH30" s="11" t="n">
        <f aca="false">IF(AND(AH$1&gt;=Units!$Q29,MOD(AH$1-Units!$Q29,12)=0),IF(AND(Units!$L29=1,AH$1=Units!$Q29),1,Inputs!$B$15)*Inputs!$B$16*(1+Inputs!$B$11)^(AH$2-1),0)</f>
        <v>0</v>
      </c>
      <c r="AI30" s="11" t="n">
        <f aca="false">IF(AND(AI$1&gt;=Units!$Q29,MOD(AI$1-Units!$Q29,12)=0),IF(AND(Units!$L29=1,AI$1=Units!$Q29),1,Inputs!$B$15)*Inputs!$B$16*(1+Inputs!$B$11)^(AI$2-1),0)</f>
        <v>0</v>
      </c>
      <c r="AJ30" s="11" t="n">
        <f aca="false">IF(AND(AJ$1&gt;=Units!$Q29,MOD(AJ$1-Units!$Q29,12)=0),IF(AND(Units!$L29=1,AJ$1=Units!$Q29),1,Inputs!$B$15)*Inputs!$B$16*(1+Inputs!$B$11)^(AJ$2-1),0)</f>
        <v>0</v>
      </c>
      <c r="AK30" s="11" t="n">
        <f aca="false">IF(AND(AK$1&gt;=Units!$Q29,MOD(AK$1-Units!$Q29,12)=0),IF(AND(Units!$L29=1,AK$1=Units!$Q29),1,Inputs!$B$15)*Inputs!$B$16*(1+Inputs!$B$11)^(AK$2-1),0)</f>
        <v>530.45</v>
      </c>
      <c r="AL30" s="11" t="n">
        <f aca="false">IF(AND(AL$1&gt;=Units!$Q29,MOD(AL$1-Units!$Q29,12)=0),IF(AND(Units!$L29=1,AL$1=Units!$Q29),1,Inputs!$B$15)*Inputs!$B$16*(1+Inputs!$B$11)^(AL$2-1),0)</f>
        <v>0</v>
      </c>
      <c r="AM30" s="11" t="n">
        <f aca="false">IF(AND(AM$1&gt;=Units!$Q29,MOD(AM$1-Units!$Q29,12)=0),IF(AND(Units!$L29=1,AM$1=Units!$Q29),1,Inputs!$B$15)*Inputs!$B$16*(1+Inputs!$B$11)^(AM$2-1),0)</f>
        <v>0</v>
      </c>
      <c r="AN30" s="11" t="n">
        <f aca="false">IF(AND(AN$1&gt;=Units!$Q29,MOD(AN$1-Units!$Q29,12)=0),IF(AND(Units!$L29=1,AN$1=Units!$Q29),1,Inputs!$B$15)*Inputs!$B$16*(1+Inputs!$B$11)^(AN$2-1),0)</f>
        <v>0</v>
      </c>
      <c r="AO30" s="11" t="n">
        <f aca="false">IF(AND(AO$1&gt;=Units!$Q29,MOD(AO$1-Units!$Q29,12)=0),IF(AND(Units!$L29=1,AO$1=Units!$Q29),1,Inputs!$B$15)*Inputs!$B$16*(1+Inputs!$B$11)^(AO$2-1),0)</f>
        <v>0</v>
      </c>
      <c r="AP30" s="11" t="n">
        <f aca="false">IF(AND(AP$1&gt;=Units!$Q29,MOD(AP$1-Units!$Q29,12)=0),IF(AND(Units!$L29=1,AP$1=Units!$Q29),1,Inputs!$B$15)*Inputs!$B$16*(1+Inputs!$B$11)^(AP$2-1),0)</f>
        <v>0</v>
      </c>
      <c r="AQ30" s="11" t="n">
        <f aca="false">IF(AND(AQ$1&gt;=Units!$Q29,MOD(AQ$1-Units!$Q29,12)=0),IF(AND(Units!$L29=1,AQ$1=Units!$Q29),1,Inputs!$B$15)*Inputs!$B$16*(1+Inputs!$B$11)^(AQ$2-1),0)</f>
        <v>0</v>
      </c>
      <c r="AR30" s="11" t="n">
        <f aca="false">IF(AND(AR$1&gt;=Units!$Q29,MOD(AR$1-Units!$Q29,12)=0),IF(AND(Units!$L29=1,AR$1=Units!$Q29),1,Inputs!$B$15)*Inputs!$B$16*(1+Inputs!$B$11)^(AR$2-1),0)</f>
        <v>0</v>
      </c>
      <c r="AS30" s="11" t="n">
        <f aca="false">IF(AND(AS$1&gt;=Units!$Q29,MOD(AS$1-Units!$Q29,12)=0),IF(AND(Units!$L29=1,AS$1=Units!$Q29),1,Inputs!$B$15)*Inputs!$B$16*(1+Inputs!$B$11)^(AS$2-1),0)</f>
        <v>0</v>
      </c>
      <c r="AT30" s="11" t="n">
        <f aca="false">IF(AND(AT$1&gt;=Units!$Q29,MOD(AT$1-Units!$Q29,12)=0),IF(AND(Units!$L29=1,AT$1=Units!$Q29),1,Inputs!$B$15)*Inputs!$B$16*(1+Inputs!$B$11)^(AT$2-1),0)</f>
        <v>0</v>
      </c>
      <c r="AU30" s="11" t="n">
        <f aca="false">IF(AND(AU$1&gt;=Units!$Q29,MOD(AU$1-Units!$Q29,12)=0),IF(AND(Units!$L29=1,AU$1=Units!$Q29),1,Inputs!$B$15)*Inputs!$B$16*(1+Inputs!$B$11)^(AU$2-1),0)</f>
        <v>0</v>
      </c>
      <c r="AV30" s="11" t="n">
        <f aca="false">IF(AND(AV$1&gt;=Units!$Q29,MOD(AV$1-Units!$Q29,12)=0),IF(AND(Units!$L29=1,AV$1=Units!$Q29),1,Inputs!$B$15)*Inputs!$B$16*(1+Inputs!$B$11)^(AV$2-1),0)</f>
        <v>0</v>
      </c>
      <c r="AW30" s="11" t="n">
        <f aca="false">IF(AND(AW$1&gt;=Units!$Q29,MOD(AW$1-Units!$Q29,12)=0),IF(AND(Units!$L29=1,AW$1=Units!$Q29),1,Inputs!$B$15)*Inputs!$B$16*(1+Inputs!$B$11)^(AW$2-1),0)</f>
        <v>546.3635</v>
      </c>
      <c r="AX30" s="11" t="n">
        <f aca="false">IF(AND(AX$1&gt;=Units!$Q29,MOD(AX$1-Units!$Q29,12)=0),IF(AND(Units!$L29=1,AX$1=Units!$Q29),1,Inputs!$B$15)*Inputs!$B$16*(1+Inputs!$B$11)^(AX$2-1),0)</f>
        <v>0</v>
      </c>
      <c r="AY30" s="11" t="n">
        <f aca="false">IF(AND(AY$1&gt;=Units!$Q29,MOD(AY$1-Units!$Q29,12)=0),IF(AND(Units!$L29=1,AY$1=Units!$Q29),1,Inputs!$B$15)*Inputs!$B$16*(1+Inputs!$B$11)^(AY$2-1),0)</f>
        <v>0</v>
      </c>
      <c r="AZ30" s="11" t="n">
        <f aca="false">IF(AND(AZ$1&gt;=Units!$Q29,MOD(AZ$1-Units!$Q29,12)=0),IF(AND(Units!$L29=1,AZ$1=Units!$Q29),1,Inputs!$B$15)*Inputs!$B$16*(1+Inputs!$B$11)^(AZ$2-1),0)</f>
        <v>0</v>
      </c>
      <c r="BA30" s="11" t="n">
        <f aca="false">IF(AND(BA$1&gt;=Units!$Q29,MOD(BA$1-Units!$Q29,12)=0),IF(AND(Units!$L29=1,BA$1=Units!$Q29),1,Inputs!$B$15)*Inputs!$B$16*(1+Inputs!$B$11)^(BA$2-1),0)</f>
        <v>0</v>
      </c>
      <c r="BB30" s="11" t="n">
        <f aca="false">IF(AND(BB$1&gt;=Units!$Q29,MOD(BB$1-Units!$Q29,12)=0),IF(AND(Units!$L29=1,BB$1=Units!$Q29),1,Inputs!$B$15)*Inputs!$B$16*(1+Inputs!$B$11)^(BB$2-1),0)</f>
        <v>0</v>
      </c>
      <c r="BC30" s="11" t="n">
        <f aca="false">IF(AND(BC$1&gt;=Units!$Q29,MOD(BC$1-Units!$Q29,12)=0),IF(AND(Units!$L29=1,BC$1=Units!$Q29),1,Inputs!$B$15)*Inputs!$B$16*(1+Inputs!$B$11)^(BC$2-1),0)</f>
        <v>0</v>
      </c>
      <c r="BD30" s="11" t="n">
        <f aca="false">IF(AND(BD$1&gt;=Units!$Q29,MOD(BD$1-Units!$Q29,12)=0),IF(AND(Units!$L29=1,BD$1=Units!$Q29),1,Inputs!$B$15)*Inputs!$B$16*(1+Inputs!$B$11)^(BD$2-1),0)</f>
        <v>0</v>
      </c>
      <c r="BE30" s="11" t="n">
        <f aca="false">IF(AND(BE$1&gt;=Units!$Q29,MOD(BE$1-Units!$Q29,12)=0),IF(AND(Units!$L29=1,BE$1=Units!$Q29),1,Inputs!$B$15)*Inputs!$B$16*(1+Inputs!$B$11)^(BE$2-1),0)</f>
        <v>0</v>
      </c>
      <c r="BF30" s="11" t="n">
        <f aca="false">IF(AND(BF$1&gt;=Units!$Q29,MOD(BF$1-Units!$Q29,12)=0),IF(AND(Units!$L29=1,BF$1=Units!$Q29),1,Inputs!$B$15)*Inputs!$B$16*(1+Inputs!$B$11)^(BF$2-1),0)</f>
        <v>0</v>
      </c>
      <c r="BG30" s="11" t="n">
        <f aca="false">IF(AND(BG$1&gt;=Units!$Q29,MOD(BG$1-Units!$Q29,12)=0),IF(AND(Units!$L29=1,BG$1=Units!$Q29),1,Inputs!$B$15)*Inputs!$B$16*(1+Inputs!$B$11)^(BG$2-1),0)</f>
        <v>0</v>
      </c>
      <c r="BH30" s="11" t="n">
        <f aca="false">IF(AND(BH$1&gt;=Units!$Q29,MOD(BH$1-Units!$Q29,12)=0),IF(AND(Units!$L29=1,BH$1=Units!$Q29),1,Inputs!$B$15)*Inputs!$B$16*(1+Inputs!$B$11)^(BH$2-1),0)</f>
        <v>0</v>
      </c>
      <c r="BI30" s="11" t="n">
        <f aca="false">IF(AND(BI$1&gt;=Units!$Q29,MOD(BI$1-Units!$Q29,12)=0),IF(AND(Units!$L29=1,BI$1=Units!$Q29),1,Inputs!$B$15)*Inputs!$B$16*(1+Inputs!$B$11)^(BI$2-1),0)</f>
        <v>562.754405</v>
      </c>
      <c r="BJ30" s="11" t="n">
        <f aca="false">IF(AND(BJ$1&gt;=Units!$Q29,MOD(BJ$1-Units!$Q29,12)=0),IF(AND(Units!$L29=1,BJ$1=Units!$Q29),1,Inputs!$B$15)*Inputs!$B$16*(1+Inputs!$B$11)^(BJ$2-1),0)</f>
        <v>0</v>
      </c>
      <c r="BK30" s="11" t="n">
        <f aca="false">IF(AND(BK$1&gt;=Units!$Q29,MOD(BK$1-Units!$Q29,12)=0),IF(AND(Units!$L29=1,BK$1=Units!$Q29),1,Inputs!$B$15)*Inputs!$B$16*(1+Inputs!$B$11)^(BK$2-1),0)</f>
        <v>0</v>
      </c>
      <c r="BL30" s="11" t="n">
        <f aca="false">IF(AND(BL$1&gt;=Units!$Q29,MOD(BL$1-Units!$Q29,12)=0),IF(AND(Units!$L29=1,BL$1=Units!$Q29),1,Inputs!$B$15)*Inputs!$B$16*(1+Inputs!$B$11)^(BL$2-1),0)</f>
        <v>0</v>
      </c>
      <c r="BM30" s="11" t="n">
        <f aca="false">IF(AND(BM$1&gt;=Units!$Q29,MOD(BM$1-Units!$Q29,12)=0),IF(AND(Units!$L29=1,BM$1=Units!$Q29),1,Inputs!$B$15)*Inputs!$B$16*(1+Inputs!$B$11)^(BM$2-1),0)</f>
        <v>0</v>
      </c>
      <c r="BN30" s="11" t="n">
        <f aca="false">IF(AND(BN$1&gt;=Units!$Q29,MOD(BN$1-Units!$Q29,12)=0),IF(AND(Units!$L29=1,BN$1=Units!$Q29),1,Inputs!$B$15)*Inputs!$B$16*(1+Inputs!$B$11)^(BN$2-1),0)</f>
        <v>0</v>
      </c>
      <c r="BO30" s="11" t="n">
        <f aca="false">IF(AND(BO$1&gt;=Units!$Q29,MOD(BO$1-Units!$Q29,12)=0),IF(AND(Units!$L29=1,BO$1=Units!$Q29),1,Inputs!$B$15)*Inputs!$B$16*(1+Inputs!$B$11)^(BO$2-1),0)</f>
        <v>0</v>
      </c>
      <c r="BP30" s="11" t="n">
        <f aca="false">IF(AND(BP$1&gt;=Units!$Q29,MOD(BP$1-Units!$Q29,12)=0),IF(AND(Units!$L29=1,BP$1=Units!$Q29),1,Inputs!$B$15)*Inputs!$B$16*(1+Inputs!$B$11)^(BP$2-1),0)</f>
        <v>0</v>
      </c>
      <c r="BQ30" s="11" t="n">
        <f aca="false">IF(AND(BQ$1&gt;=Units!$Q29,MOD(BQ$1-Units!$Q29,12)=0),IF(AND(Units!$L29=1,BQ$1=Units!$Q29),1,Inputs!$B$15)*Inputs!$B$16*(1+Inputs!$B$11)^(BQ$2-1),0)</f>
        <v>0</v>
      </c>
      <c r="BR30" s="11" t="n">
        <f aca="false">IF(AND(BR$1&gt;=Units!$Q29,MOD(BR$1-Units!$Q29,12)=0),IF(AND(Units!$L29=1,BR$1=Units!$Q29),1,Inputs!$B$15)*Inputs!$B$16*(1+Inputs!$B$11)^(BR$2-1),0)</f>
        <v>0</v>
      </c>
      <c r="BS30" s="11" t="n">
        <f aca="false">IF(AND(BS$1&gt;=Units!$Q29,MOD(BS$1-Units!$Q29,12)=0),IF(AND(Units!$L29=1,BS$1=Units!$Q29),1,Inputs!$B$15)*Inputs!$B$16*(1+Inputs!$B$11)^(BS$2-1),0)</f>
        <v>0</v>
      </c>
      <c r="BT30" s="11" t="n">
        <f aca="false">IF(AND(BT$1&gt;=Units!$Q29,MOD(BT$1-Units!$Q29,12)=0),IF(AND(Units!$L29=1,BT$1=Units!$Q29),1,Inputs!$B$15)*Inputs!$B$16*(1+Inputs!$B$11)^(BT$2-1),0)</f>
        <v>0</v>
      </c>
      <c r="BU30" s="11" t="n">
        <f aca="false">IF(AND(BU$1&gt;=Units!$Q29,MOD(BU$1-Units!$Q29,12)=0),IF(AND(Units!$L29=1,BU$1=Units!$Q29),1,Inputs!$B$15)*Inputs!$B$16*(1+Inputs!$B$11)^(BU$2-1),0)</f>
        <v>579.63703715</v>
      </c>
      <c r="BV30" s="11" t="n">
        <f aca="false">IF(AND(BV$1&gt;=Units!$Q29,MOD(BV$1-Units!$Q29,12)=0),IF(AND(Units!$L29=1,BV$1=Units!$Q29),1,Inputs!$B$15)*Inputs!$B$16*(1+Inputs!$B$11)^(BV$2-1),0)</f>
        <v>0</v>
      </c>
      <c r="BW30" s="11" t="n">
        <f aca="false">IF(AND(BW$1&gt;=Units!$Q29,MOD(BW$1-Units!$Q29,12)=0),IF(AND(Units!$L29=1,BW$1=Units!$Q29),1,Inputs!$B$15)*Inputs!$B$16*(1+Inputs!$B$11)^(BW$2-1),0)</f>
        <v>0</v>
      </c>
      <c r="BX30" s="11" t="n">
        <f aca="false">IF(AND(BX$1&gt;=Units!$Q29,MOD(BX$1-Units!$Q29,12)=0),IF(AND(Units!$L29=1,BX$1=Units!$Q29),1,Inputs!$B$15)*Inputs!$B$16*(1+Inputs!$B$11)^(BX$2-1),0)</f>
        <v>0</v>
      </c>
      <c r="BY30" s="11" t="n">
        <f aca="false">IF(AND(BY$1&gt;=Units!$Q29,MOD(BY$1-Units!$Q29,12)=0),IF(AND(Units!$L29=1,BY$1=Units!$Q29),1,Inputs!$B$15)*Inputs!$B$16*(1+Inputs!$B$11)^(BY$2-1),0)</f>
        <v>0</v>
      </c>
      <c r="BZ30" s="11" t="n">
        <f aca="false">IF(AND(BZ$1&gt;=Units!$Q29,MOD(BZ$1-Units!$Q29,12)=0),IF(AND(Units!$L29=1,BZ$1=Units!$Q29),1,Inputs!$B$15)*Inputs!$B$16*(1+Inputs!$B$11)^(BZ$2-1),0)</f>
        <v>0</v>
      </c>
      <c r="CA30" s="11" t="n">
        <f aca="false">IF(AND(CA$1&gt;=Units!$Q29,MOD(CA$1-Units!$Q29,12)=0),IF(AND(Units!$L29=1,CA$1=Units!$Q29),1,Inputs!$B$15)*Inputs!$B$16*(1+Inputs!$B$11)^(CA$2-1),0)</f>
        <v>0</v>
      </c>
      <c r="CB30" s="11" t="n">
        <f aca="false">IF(AND(CB$1&gt;=Units!$Q29,MOD(CB$1-Units!$Q29,12)=0),IF(AND(Units!$L29=1,CB$1=Units!$Q29),1,Inputs!$B$15)*Inputs!$B$16*(1+Inputs!$B$11)^(CB$2-1),0)</f>
        <v>0</v>
      </c>
      <c r="CC30" s="11" t="n">
        <f aca="false">IF(AND(CC$1&gt;=Units!$Q29,MOD(CC$1-Units!$Q29,12)=0),IF(AND(Units!$L29=1,CC$1=Units!$Q29),1,Inputs!$B$15)*Inputs!$B$16*(1+Inputs!$B$11)^(CC$2-1),0)</f>
        <v>0</v>
      </c>
      <c r="CD30" s="11" t="n">
        <f aca="false">IF(AND(CD$1&gt;=Units!$Q29,MOD(CD$1-Units!$Q29,12)=0),IF(AND(Units!$L29=1,CD$1=Units!$Q29),1,Inputs!$B$15)*Inputs!$B$16*(1+Inputs!$B$11)^(CD$2-1),0)</f>
        <v>0</v>
      </c>
      <c r="CE30" s="11" t="n">
        <f aca="false">IF(AND(CE$1&gt;=Units!$Q29,MOD(CE$1-Units!$Q29,12)=0),IF(AND(Units!$L29=1,CE$1=Units!$Q29),1,Inputs!$B$15)*Inputs!$B$16*(1+Inputs!$B$11)^(CE$2-1),0)</f>
        <v>0</v>
      </c>
      <c r="CF30" s="11" t="n">
        <f aca="false">IF(AND(CF$1&gt;=Units!$Q29,MOD(CF$1-Units!$Q29,12)=0),IF(AND(Units!$L29=1,CF$1=Units!$Q29),1,Inputs!$B$15)*Inputs!$B$16*(1+Inputs!$B$11)^(CF$2-1),0)</f>
        <v>0</v>
      </c>
      <c r="CG30" s="11" t="n">
        <f aca="false">IF(AND(CG$1&gt;=Units!$Q29,MOD(CG$1-Units!$Q29,12)=0),IF(AND(Units!$L29=1,CG$1=Units!$Q29),1,Inputs!$B$15)*Inputs!$B$16*(1+Inputs!$B$11)^(CG$2-1),0)</f>
        <v>597.0261482645</v>
      </c>
      <c r="CH30" s="11" t="n">
        <f aca="false">IF(AND(CH$1&gt;=Units!$Q29,MOD(CH$1-Units!$Q29,12)=0),IF(AND(Units!$L29=1,CH$1=Units!$Q29),1,Inputs!$B$15)*Inputs!$B$16*(1+Inputs!$B$11)^(CH$2-1),0)</f>
        <v>0</v>
      </c>
      <c r="CI30" s="11" t="n">
        <f aca="false">IF(AND(CI$1&gt;=Units!$Q29,MOD(CI$1-Units!$Q29,12)=0),IF(AND(Units!$L29=1,CI$1=Units!$Q29),1,Inputs!$B$15)*Inputs!$B$16*(1+Inputs!$B$11)^(CI$2-1),0)</f>
        <v>0</v>
      </c>
      <c r="CJ30" s="11" t="n">
        <f aca="false">IF(AND(CJ$1&gt;=Units!$Q29,MOD(CJ$1-Units!$Q29,12)=0),IF(AND(Units!$L29=1,CJ$1=Units!$Q29),1,Inputs!$B$15)*Inputs!$B$16*(1+Inputs!$B$11)^(CJ$2-1),0)</f>
        <v>0</v>
      </c>
      <c r="CK30" s="11" t="n">
        <f aca="false">IF(AND(CK$1&gt;=Units!$Q29,MOD(CK$1-Units!$Q29,12)=0),IF(AND(Units!$L29=1,CK$1=Units!$Q29),1,Inputs!$B$15)*Inputs!$B$16*(1+Inputs!$B$11)^(CK$2-1),0)</f>
        <v>0</v>
      </c>
      <c r="CL30" s="11" t="n">
        <f aca="false">IF(AND(CL$1&gt;=Units!$Q29,MOD(CL$1-Units!$Q29,12)=0),IF(AND(Units!$L29=1,CL$1=Units!$Q29),1,Inputs!$B$15)*Inputs!$B$16*(1+Inputs!$B$11)^(CL$2-1),0)</f>
        <v>0</v>
      </c>
      <c r="CM30" s="11" t="n">
        <f aca="false">IF(AND(CM$1&gt;=Units!$Q29,MOD(CM$1-Units!$Q29,12)=0),IF(AND(Units!$L29=1,CM$1=Units!$Q29),1,Inputs!$B$15)*Inputs!$B$16*(1+Inputs!$B$11)^(CM$2-1),0)</f>
        <v>0</v>
      </c>
      <c r="CN30" s="11" t="n">
        <f aca="false">IF(AND(CN$1&gt;=Units!$Q29,MOD(CN$1-Units!$Q29,12)=0),IF(AND(Units!$L29=1,CN$1=Units!$Q29),1,Inputs!$B$15)*Inputs!$B$16*(1+Inputs!$B$11)^(CN$2-1),0)</f>
        <v>0</v>
      </c>
      <c r="CO30" s="11" t="n">
        <f aca="false">IF(AND(CO$1&gt;=Units!$Q29,MOD(CO$1-Units!$Q29,12)=0),IF(AND(Units!$L29=1,CO$1=Units!$Q29),1,Inputs!$B$15)*Inputs!$B$16*(1+Inputs!$B$11)^(CO$2-1),0)</f>
        <v>0</v>
      </c>
      <c r="CP30" s="11" t="n">
        <f aca="false">IF(AND(CP$1&gt;=Units!$Q29,MOD(CP$1-Units!$Q29,12)=0),IF(AND(Units!$L29=1,CP$1=Units!$Q29),1,Inputs!$B$15)*Inputs!$B$16*(1+Inputs!$B$11)^(CP$2-1),0)</f>
        <v>0</v>
      </c>
      <c r="CQ30" s="11" t="n">
        <f aca="false">IF(AND(CQ$1&gt;=Units!$Q29,MOD(CQ$1-Units!$Q29,12)=0),IF(AND(Units!$L29=1,CQ$1=Units!$Q29),1,Inputs!$B$15)*Inputs!$B$16*(1+Inputs!$B$11)^(CQ$2-1),0)</f>
        <v>0</v>
      </c>
      <c r="CR30" s="11" t="n">
        <f aca="false">IF(AND(CR$1&gt;=Units!$Q29,MOD(CR$1-Units!$Q29,12)=0),IF(AND(Units!$L29=1,CR$1=Units!$Q29),1,Inputs!$B$15)*Inputs!$B$16*(1+Inputs!$B$11)^(CR$2-1),0)</f>
        <v>0</v>
      </c>
      <c r="CS30" s="11" t="n">
        <f aca="false">IF(AND(CS$1&gt;=Units!$Q29,MOD(CS$1-Units!$Q29,12)=0),IF(AND(Units!$L29=1,CS$1=Units!$Q29),1,Inputs!$B$15)*Inputs!$B$16*(1+Inputs!$B$11)^(CS$2-1),0)</f>
        <v>614.936932712435</v>
      </c>
      <c r="CT30" s="11" t="n">
        <f aca="false">IF(AND(CT$1&gt;=Units!$Q29,MOD(CT$1-Units!$Q29,12)=0),IF(AND(Units!$L29=1,CT$1=Units!$Q29),1,Inputs!$B$15)*Inputs!$B$16*(1+Inputs!$B$11)^(CT$2-1),0)</f>
        <v>0</v>
      </c>
      <c r="CU30" s="11" t="n">
        <f aca="false">IF(AND(CU$1&gt;=Units!$Q29,MOD(CU$1-Units!$Q29,12)=0),IF(AND(Units!$L29=1,CU$1=Units!$Q29),1,Inputs!$B$15)*Inputs!$B$16*(1+Inputs!$B$11)^(CU$2-1),0)</f>
        <v>0</v>
      </c>
      <c r="CV30" s="11" t="n">
        <f aca="false">IF(AND(CV$1&gt;=Units!$Q29,MOD(CV$1-Units!$Q29,12)=0),IF(AND(Units!$L29=1,CV$1=Units!$Q29),1,Inputs!$B$15)*Inputs!$B$16*(1+Inputs!$B$11)^(CV$2-1),0)</f>
        <v>0</v>
      </c>
      <c r="CW30" s="11" t="n">
        <f aca="false">IF(AND(CW$1&gt;=Units!$Q29,MOD(CW$1-Units!$Q29,12)=0),IF(AND(Units!$L29=1,CW$1=Units!$Q29),1,Inputs!$B$15)*Inputs!$B$16*(1+Inputs!$B$11)^(CW$2-1),0)</f>
        <v>0</v>
      </c>
      <c r="CX30" s="11" t="n">
        <f aca="false">IF(AND(CX$1&gt;=Units!$Q29,MOD(CX$1-Units!$Q29,12)=0),IF(AND(Units!$L29=1,CX$1=Units!$Q29),1,Inputs!$B$15)*Inputs!$B$16*(1+Inputs!$B$11)^(CX$2-1),0)</f>
        <v>0</v>
      </c>
      <c r="CY30" s="11" t="n">
        <f aca="false">IF(AND(CY$1&gt;=Units!$Q29,MOD(CY$1-Units!$Q29,12)=0),IF(AND(Units!$L29=1,CY$1=Units!$Q29),1,Inputs!$B$15)*Inputs!$B$16*(1+Inputs!$B$11)^(CY$2-1),0)</f>
        <v>0</v>
      </c>
      <c r="CZ30" s="11" t="n">
        <f aca="false">IF(AND(CZ$1&gt;=Units!$Q29,MOD(CZ$1-Units!$Q29,12)=0),IF(AND(Units!$L29=1,CZ$1=Units!$Q29),1,Inputs!$B$15)*Inputs!$B$16*(1+Inputs!$B$11)^(CZ$2-1),0)</f>
        <v>0</v>
      </c>
      <c r="DA30" s="11" t="n">
        <f aca="false">IF(AND(DA$1&gt;=Units!$Q29,MOD(DA$1-Units!$Q29,12)=0),IF(AND(Units!$L29=1,DA$1=Units!$Q29),1,Inputs!$B$15)*Inputs!$B$16*(1+Inputs!$B$11)^(DA$2-1),0)</f>
        <v>0</v>
      </c>
      <c r="DB30" s="11" t="n">
        <f aca="false">IF(AND(DB$1&gt;=Units!$Q29,MOD(DB$1-Units!$Q29,12)=0),IF(AND(Units!$L29=1,DB$1=Units!$Q29),1,Inputs!$B$15)*Inputs!$B$16*(1+Inputs!$B$11)^(DB$2-1),0)</f>
        <v>0</v>
      </c>
      <c r="DC30" s="11" t="n">
        <f aca="false">IF(AND(DC$1&gt;=Units!$Q29,MOD(DC$1-Units!$Q29,12)=0),IF(AND(Units!$L29=1,DC$1=Units!$Q29),1,Inputs!$B$15)*Inputs!$B$16*(1+Inputs!$B$11)^(DC$2-1),0)</f>
        <v>0</v>
      </c>
      <c r="DD30" s="11" t="n">
        <f aca="false">IF(AND(DD$1&gt;=Units!$Q29,MOD(DD$1-Units!$Q29,12)=0),IF(AND(Units!$L29=1,DD$1=Units!$Q29),1,Inputs!$B$15)*Inputs!$B$16*(1+Inputs!$B$11)^(DD$2-1),0)</f>
        <v>0</v>
      </c>
      <c r="DE30" s="11" t="n">
        <f aca="false">IF(AND(DE$1&gt;=Units!$Q29,MOD(DE$1-Units!$Q29,12)=0),IF(AND(Units!$L29=1,DE$1=Units!$Q29),1,Inputs!$B$15)*Inputs!$B$16*(1+Inputs!$B$11)^(DE$2-1),0)</f>
        <v>633.385040693808</v>
      </c>
      <c r="DF30" s="11" t="n">
        <f aca="false">IF(AND(DF$1&gt;=Units!$Q29,MOD(DF$1-Units!$Q29,12)=0),IF(AND(Units!$L29=1,DF$1=Units!$Q29),1,Inputs!$B$15)*Inputs!$B$16*(1+Inputs!$B$11)^(DF$2-1),0)</f>
        <v>0</v>
      </c>
      <c r="DG30" s="11" t="n">
        <f aca="false">IF(AND(DG$1&gt;=Units!$Q29,MOD(DG$1-Units!$Q29,12)=0),IF(AND(Units!$L29=1,DG$1=Units!$Q29),1,Inputs!$B$15)*Inputs!$B$16*(1+Inputs!$B$11)^(DG$2-1),0)</f>
        <v>0</v>
      </c>
      <c r="DH30" s="11" t="n">
        <f aca="false">IF(AND(DH$1&gt;=Units!$Q29,MOD(DH$1-Units!$Q29,12)=0),IF(AND(Units!$L29=1,DH$1=Units!$Q29),1,Inputs!$B$15)*Inputs!$B$16*(1+Inputs!$B$11)^(DH$2-1),0)</f>
        <v>0</v>
      </c>
      <c r="DI30" s="11" t="n">
        <f aca="false">IF(AND(DI$1&gt;=Units!$Q29,MOD(DI$1-Units!$Q29,12)=0),IF(AND(Units!$L29=1,DI$1=Units!$Q29),1,Inputs!$B$15)*Inputs!$B$16*(1+Inputs!$B$11)^(DI$2-1),0)</f>
        <v>0</v>
      </c>
      <c r="DJ30" s="11" t="n">
        <f aca="false">IF(AND(DJ$1&gt;=Units!$Q29,MOD(DJ$1-Units!$Q29,12)=0),IF(AND(Units!$L29=1,DJ$1=Units!$Q29),1,Inputs!$B$15)*Inputs!$B$16*(1+Inputs!$B$11)^(DJ$2-1),0)</f>
        <v>0</v>
      </c>
      <c r="DK30" s="11" t="n">
        <f aca="false">IF(AND(DK$1&gt;=Units!$Q29,MOD(DK$1-Units!$Q29,12)=0),IF(AND(Units!$L29=1,DK$1=Units!$Q29),1,Inputs!$B$15)*Inputs!$B$16*(1+Inputs!$B$11)^(DK$2-1),0)</f>
        <v>0</v>
      </c>
      <c r="DL30" s="11" t="n">
        <f aca="false">IF(AND(DL$1&gt;=Units!$Q29,MOD(DL$1-Units!$Q29,12)=0),IF(AND(Units!$L29=1,DL$1=Units!$Q29),1,Inputs!$B$15)*Inputs!$B$16*(1+Inputs!$B$11)^(DL$2-1),0)</f>
        <v>0</v>
      </c>
      <c r="DM30" s="11" t="n">
        <f aca="false">IF(AND(DM$1&gt;=Units!$Q29,MOD(DM$1-Units!$Q29,12)=0),IF(AND(Units!$L29=1,DM$1=Units!$Q29),1,Inputs!$B$15)*Inputs!$B$16*(1+Inputs!$B$11)^(DM$2-1),0)</f>
        <v>0</v>
      </c>
      <c r="DN30" s="11" t="n">
        <f aca="false">IF(AND(DN$1&gt;=Units!$Q29,MOD(DN$1-Units!$Q29,12)=0),IF(AND(Units!$L29=1,DN$1=Units!$Q29),1,Inputs!$B$15)*Inputs!$B$16*(1+Inputs!$B$11)^(DN$2-1),0)</f>
        <v>0</v>
      </c>
      <c r="DO30" s="11" t="n">
        <f aca="false">IF(AND(DO$1&gt;=Units!$Q29,MOD(DO$1-Units!$Q29,12)=0),IF(AND(Units!$L29=1,DO$1=Units!$Q29),1,Inputs!$B$15)*Inputs!$B$16*(1+Inputs!$B$11)^(DO$2-1),0)</f>
        <v>0</v>
      </c>
      <c r="DP30" s="11" t="n">
        <f aca="false">IF(AND(DP$1&gt;=Units!$Q29,MOD(DP$1-Units!$Q29,12)=0),IF(AND(Units!$L29=1,DP$1=Units!$Q29),1,Inputs!$B$15)*Inputs!$B$16*(1+Inputs!$B$11)^(DP$2-1),0)</f>
        <v>0</v>
      </c>
      <c r="DQ30" s="11" t="n">
        <f aca="false">IF(AND(DQ$1&gt;=Units!$Q29,MOD(DQ$1-Units!$Q29,12)=0),IF(AND(Units!$L29=1,DQ$1=Units!$Q29),1,Inputs!$B$15)*Inputs!$B$16*(1+Inputs!$B$11)^(DQ$2-1),0)</f>
        <v>652.386591914623</v>
      </c>
      <c r="DR30" s="11" t="n">
        <f aca="false">IF(AND(DR$1&gt;=Units!$Q29,MOD(DR$1-Units!$Q29,12)=0),IF(AND(Units!$L29=1,DR$1=Units!$Q29),1,Inputs!$B$15)*Inputs!$B$16*(1+Inputs!$B$11)^(DR$2-1),0)</f>
        <v>0</v>
      </c>
      <c r="DS30" s="11" t="n">
        <f aca="false">IF(AND(DS$1&gt;=Units!$Q29,MOD(DS$1-Units!$Q29,12)=0),IF(AND(Units!$L29=1,DS$1=Units!$Q29),1,Inputs!$B$15)*Inputs!$B$16*(1+Inputs!$B$11)^(DS$2-1),0)</f>
        <v>0</v>
      </c>
      <c r="DT30" s="11" t="n">
        <f aca="false">IF(AND(DT$1&gt;=Units!$Q29,MOD(DT$1-Units!$Q29,12)=0),IF(AND(Units!$L29=1,DT$1=Units!$Q29),1,Inputs!$B$15)*Inputs!$B$16*(1+Inputs!$B$11)^(DT$2-1),0)</f>
        <v>0</v>
      </c>
      <c r="DU30" s="11" t="n">
        <f aca="false">IF(AND(DU$1&gt;=Units!$Q29,MOD(DU$1-Units!$Q29,12)=0),IF(AND(Units!$L29=1,DU$1=Units!$Q29),1,Inputs!$B$15)*Inputs!$B$16*(1+Inputs!$B$11)^(DU$2-1),0)</f>
        <v>0</v>
      </c>
      <c r="DV30" s="11" t="n">
        <f aca="false">IF(AND(DV$1&gt;=Units!$Q29,MOD(DV$1-Units!$Q29,12)=0),IF(AND(Units!$L29=1,DV$1=Units!$Q29),1,Inputs!$B$15)*Inputs!$B$16*(1+Inputs!$B$11)^(DV$2-1),0)</f>
        <v>0</v>
      </c>
      <c r="DW30" s="11" t="n">
        <f aca="false">IF(AND(DW$1&gt;=Units!$Q29,MOD(DW$1-Units!$Q29,12)=0),IF(AND(Units!$L29=1,DW$1=Units!$Q29),1,Inputs!$B$15)*Inputs!$B$16*(1+Inputs!$B$11)^(DW$2-1),0)</f>
        <v>0</v>
      </c>
      <c r="DX30" s="11" t="n">
        <f aca="false">IF(AND(DX$1&gt;=Units!$Q29,MOD(DX$1-Units!$Q29,12)=0),IF(AND(Units!$L29=1,DX$1=Units!$Q29),1,Inputs!$B$15)*Inputs!$B$16*(1+Inputs!$B$11)^(DX$2-1),0)</f>
        <v>0</v>
      </c>
      <c r="DY30" s="11" t="n">
        <f aca="false">IF(AND(DY$1&gt;=Units!$Q29,MOD(DY$1-Units!$Q29,12)=0),IF(AND(Units!$L29=1,DY$1=Units!$Q29),1,Inputs!$B$15)*Inputs!$B$16*(1+Inputs!$B$11)^(DY$2-1),0)</f>
        <v>0</v>
      </c>
      <c r="DZ30" s="11" t="n">
        <f aca="false">IF(AND(DZ$1&gt;=Units!$Q29,MOD(DZ$1-Units!$Q29,12)=0),IF(AND(Units!$L29=1,DZ$1=Units!$Q29),1,Inputs!$B$15)*Inputs!$B$16*(1+Inputs!$B$11)^(DZ$2-1),0)</f>
        <v>0</v>
      </c>
      <c r="EA30" s="11" t="n">
        <f aca="false">IF(AND(EA$1&gt;=Units!$Q29,MOD(EA$1-Units!$Q29,12)=0),IF(AND(Units!$L29=1,EA$1=Units!$Q29),1,Inputs!$B$15)*Inputs!$B$16*(1+Inputs!$B$11)^(EA$2-1),0)</f>
        <v>0</v>
      </c>
      <c r="EB30" s="11" t="n">
        <f aca="false">IF(AND(EB$1&gt;=Units!$Q29,MOD(EB$1-Units!$Q29,12)=0),IF(AND(Units!$L29=1,EB$1=Units!$Q29),1,Inputs!$B$15)*Inputs!$B$16*(1+Inputs!$B$11)^(EB$2-1),0)</f>
        <v>0</v>
      </c>
      <c r="EC30" s="11" t="n">
        <f aca="false">IF(AND(EC$1&gt;=Units!$Q29,MOD(EC$1-Units!$Q29,12)=0),IF(AND(Units!$L29=1,EC$1=Units!$Q29),1,Inputs!$B$15)*Inputs!$B$16*(1+Inputs!$B$11)^(EC$2-1),0)</f>
        <v>671.958189672061</v>
      </c>
      <c r="ED30" s="11" t="n">
        <f aca="false">IF(AND(ED$1&gt;=Units!$Q29,MOD(ED$1-Units!$Q29,12)=0),IF(AND(Units!$L29=1,ED$1=Units!$Q29),1,Inputs!$B$15)*Inputs!$B$16*(1+Inputs!$B$11)^(ED$2-1),0)</f>
        <v>0</v>
      </c>
    </row>
    <row r="31" customFormat="false" ht="15" hidden="false" customHeight="false" outlineLevel="0" collapsed="false">
      <c r="A31" s="22" t="n">
        <f aca="false">Units!A30</f>
        <v>129</v>
      </c>
      <c r="B31" s="23"/>
      <c r="C31" s="11" t="n">
        <f aca="false">IF(AND(C$1&gt;=Units!$Q30,MOD(C$1-Units!$Q30,12)=0),IF(AND(Units!$L30=1,C$1=Units!$Q30),1,Inputs!$B$15)*Inputs!$B$16*(1+Inputs!$B$11)^(C$2-1),0)</f>
        <v>0</v>
      </c>
      <c r="D31" s="11" t="n">
        <f aca="false">IF(AND(D$1&gt;=Units!$Q30,MOD(D$1-Units!$Q30,12)=0),IF(AND(Units!$L30=1,D$1=Units!$Q30),1,Inputs!$B$15)*Inputs!$B$16*(1+Inputs!$B$11)^(D$2-1),0)</f>
        <v>0</v>
      </c>
      <c r="E31" s="11" t="n">
        <f aca="false">IF(AND(E$1&gt;=Units!$Q30,MOD(E$1-Units!$Q30,12)=0),IF(AND(Units!$L30=1,E$1=Units!$Q30),1,Inputs!$B$15)*Inputs!$B$16*(1+Inputs!$B$11)^(E$2-1),0)</f>
        <v>0</v>
      </c>
      <c r="F31" s="11" t="n">
        <f aca="false">IF(AND(F$1&gt;=Units!$Q30,MOD(F$1-Units!$Q30,12)=0),IF(AND(Units!$L30=1,F$1=Units!$Q30),1,Inputs!$B$15)*Inputs!$B$16*(1+Inputs!$B$11)^(F$2-1),0)</f>
        <v>0</v>
      </c>
      <c r="G31" s="11" t="n">
        <f aca="false">IF(AND(G$1&gt;=Units!$Q30,MOD(G$1-Units!$Q30,12)=0),IF(AND(Units!$L30=1,G$1=Units!$Q30),1,Inputs!$B$15)*Inputs!$B$16*(1+Inputs!$B$11)^(G$2-1),0)</f>
        <v>0</v>
      </c>
      <c r="H31" s="11" t="n">
        <f aca="false">IF(AND(H$1&gt;=Units!$Q30,MOD(H$1-Units!$Q30,12)=0),IF(AND(Units!$L30=1,H$1=Units!$Q30),1,Inputs!$B$15)*Inputs!$B$16*(1+Inputs!$B$11)^(H$2-1),0)</f>
        <v>0</v>
      </c>
      <c r="I31" s="11" t="n">
        <f aca="false">IF(AND(I$1&gt;=Units!$Q30,MOD(I$1-Units!$Q30,12)=0),IF(AND(Units!$L30=1,I$1=Units!$Q30),1,Inputs!$B$15)*Inputs!$B$16*(1+Inputs!$B$11)^(I$2-1),0)</f>
        <v>0</v>
      </c>
      <c r="J31" s="11" t="n">
        <f aca="false">IF(AND(J$1&gt;=Units!$Q30,MOD(J$1-Units!$Q30,12)=0),IF(AND(Units!$L30=1,J$1=Units!$Q30),1,Inputs!$B$15)*Inputs!$B$16*(1+Inputs!$B$11)^(J$2-1),0)</f>
        <v>500</v>
      </c>
      <c r="K31" s="11" t="n">
        <f aca="false">IF(AND(K$1&gt;=Units!$Q30,MOD(K$1-Units!$Q30,12)=0),IF(AND(Units!$L30=1,K$1=Units!$Q30),1,Inputs!$B$15)*Inputs!$B$16*(1+Inputs!$B$11)^(K$2-1),0)</f>
        <v>0</v>
      </c>
      <c r="L31" s="11" t="n">
        <f aca="false">IF(AND(L$1&gt;=Units!$Q30,MOD(L$1-Units!$Q30,12)=0),IF(AND(Units!$L30=1,L$1=Units!$Q30),1,Inputs!$B$15)*Inputs!$B$16*(1+Inputs!$B$11)^(L$2-1),0)</f>
        <v>0</v>
      </c>
      <c r="M31" s="11" t="n">
        <f aca="false">IF(AND(M$1&gt;=Units!$Q30,MOD(M$1-Units!$Q30,12)=0),IF(AND(Units!$L30=1,M$1=Units!$Q30),1,Inputs!$B$15)*Inputs!$B$16*(1+Inputs!$B$11)^(M$2-1),0)</f>
        <v>0</v>
      </c>
      <c r="N31" s="11" t="n">
        <f aca="false">IF(AND(N$1&gt;=Units!$Q30,MOD(N$1-Units!$Q30,12)=0),IF(AND(Units!$L30=1,N$1=Units!$Q30),1,Inputs!$B$15)*Inputs!$B$16*(1+Inputs!$B$11)^(N$2-1),0)</f>
        <v>0</v>
      </c>
      <c r="O31" s="11" t="n">
        <f aca="false">IF(AND(O$1&gt;=Units!$Q30,MOD(O$1-Units!$Q30,12)=0),IF(AND(Units!$L30=1,O$1=Units!$Q30),1,Inputs!$B$15)*Inputs!$B$16*(1+Inputs!$B$11)^(O$2-1),0)</f>
        <v>0</v>
      </c>
      <c r="P31" s="11" t="n">
        <f aca="false">IF(AND(P$1&gt;=Units!$Q30,MOD(P$1-Units!$Q30,12)=0),IF(AND(Units!$L30=1,P$1=Units!$Q30),1,Inputs!$B$15)*Inputs!$B$16*(1+Inputs!$B$11)^(P$2-1),0)</f>
        <v>0</v>
      </c>
      <c r="Q31" s="11" t="n">
        <f aca="false">IF(AND(Q$1&gt;=Units!$Q30,MOD(Q$1-Units!$Q30,12)=0),IF(AND(Units!$L30=1,Q$1=Units!$Q30),1,Inputs!$B$15)*Inputs!$B$16*(1+Inputs!$B$11)^(Q$2-1),0)</f>
        <v>0</v>
      </c>
      <c r="R31" s="11" t="n">
        <f aca="false">IF(AND(R$1&gt;=Units!$Q30,MOD(R$1-Units!$Q30,12)=0),IF(AND(Units!$L30=1,R$1=Units!$Q30),1,Inputs!$B$15)*Inputs!$B$16*(1+Inputs!$B$11)^(R$2-1),0)</f>
        <v>0</v>
      </c>
      <c r="S31" s="11" t="n">
        <f aca="false">IF(AND(S$1&gt;=Units!$Q30,MOD(S$1-Units!$Q30,12)=0),IF(AND(Units!$L30=1,S$1=Units!$Q30),1,Inputs!$B$15)*Inputs!$B$16*(1+Inputs!$B$11)^(S$2-1),0)</f>
        <v>0</v>
      </c>
      <c r="T31" s="11" t="n">
        <f aca="false">IF(AND(T$1&gt;=Units!$Q30,MOD(T$1-Units!$Q30,12)=0),IF(AND(Units!$L30=1,T$1=Units!$Q30),1,Inputs!$B$15)*Inputs!$B$16*(1+Inputs!$B$11)^(T$2-1),0)</f>
        <v>0</v>
      </c>
      <c r="U31" s="11" t="n">
        <f aca="false">IF(AND(U$1&gt;=Units!$Q30,MOD(U$1-Units!$Q30,12)=0),IF(AND(Units!$L30=1,U$1=Units!$Q30),1,Inputs!$B$15)*Inputs!$B$16*(1+Inputs!$B$11)^(U$2-1),0)</f>
        <v>0</v>
      </c>
      <c r="V31" s="11" t="n">
        <f aca="false">IF(AND(V$1&gt;=Units!$Q30,MOD(V$1-Units!$Q30,12)=0),IF(AND(Units!$L30=1,V$1=Units!$Q30),1,Inputs!$B$15)*Inputs!$B$16*(1+Inputs!$B$11)^(V$2-1),0)</f>
        <v>515</v>
      </c>
      <c r="W31" s="11" t="n">
        <f aca="false">IF(AND(W$1&gt;=Units!$Q30,MOD(W$1-Units!$Q30,12)=0),IF(AND(Units!$L30=1,W$1=Units!$Q30),1,Inputs!$B$15)*Inputs!$B$16*(1+Inputs!$B$11)^(W$2-1),0)</f>
        <v>0</v>
      </c>
      <c r="X31" s="11" t="n">
        <f aca="false">IF(AND(X$1&gt;=Units!$Q30,MOD(X$1-Units!$Q30,12)=0),IF(AND(Units!$L30=1,X$1=Units!$Q30),1,Inputs!$B$15)*Inputs!$B$16*(1+Inputs!$B$11)^(X$2-1),0)</f>
        <v>0</v>
      </c>
      <c r="Y31" s="11" t="n">
        <f aca="false">IF(AND(Y$1&gt;=Units!$Q30,MOD(Y$1-Units!$Q30,12)=0),IF(AND(Units!$L30=1,Y$1=Units!$Q30),1,Inputs!$B$15)*Inputs!$B$16*(1+Inputs!$B$11)^(Y$2-1),0)</f>
        <v>0</v>
      </c>
      <c r="Z31" s="11" t="n">
        <f aca="false">IF(AND(Z$1&gt;=Units!$Q30,MOD(Z$1-Units!$Q30,12)=0),IF(AND(Units!$L30=1,Z$1=Units!$Q30),1,Inputs!$B$15)*Inputs!$B$16*(1+Inputs!$B$11)^(Z$2-1),0)</f>
        <v>0</v>
      </c>
      <c r="AA31" s="11" t="n">
        <f aca="false">IF(AND(AA$1&gt;=Units!$Q30,MOD(AA$1-Units!$Q30,12)=0),IF(AND(Units!$L30=1,AA$1=Units!$Q30),1,Inputs!$B$15)*Inputs!$B$16*(1+Inputs!$B$11)^(AA$2-1),0)</f>
        <v>0</v>
      </c>
      <c r="AB31" s="11" t="n">
        <f aca="false">IF(AND(AB$1&gt;=Units!$Q30,MOD(AB$1-Units!$Q30,12)=0),IF(AND(Units!$L30=1,AB$1=Units!$Q30),1,Inputs!$B$15)*Inputs!$B$16*(1+Inputs!$B$11)^(AB$2-1),0)</f>
        <v>0</v>
      </c>
      <c r="AC31" s="11" t="n">
        <f aca="false">IF(AND(AC$1&gt;=Units!$Q30,MOD(AC$1-Units!$Q30,12)=0),IF(AND(Units!$L30=1,AC$1=Units!$Q30),1,Inputs!$B$15)*Inputs!$B$16*(1+Inputs!$B$11)^(AC$2-1),0)</f>
        <v>0</v>
      </c>
      <c r="AD31" s="11" t="n">
        <f aca="false">IF(AND(AD$1&gt;=Units!$Q30,MOD(AD$1-Units!$Q30,12)=0),IF(AND(Units!$L30=1,AD$1=Units!$Q30),1,Inputs!$B$15)*Inputs!$B$16*(1+Inputs!$B$11)^(AD$2-1),0)</f>
        <v>0</v>
      </c>
      <c r="AE31" s="11" t="n">
        <f aca="false">IF(AND(AE$1&gt;=Units!$Q30,MOD(AE$1-Units!$Q30,12)=0),IF(AND(Units!$L30=1,AE$1=Units!$Q30),1,Inputs!$B$15)*Inputs!$B$16*(1+Inputs!$B$11)^(AE$2-1),0)</f>
        <v>0</v>
      </c>
      <c r="AF31" s="11" t="n">
        <f aca="false">IF(AND(AF$1&gt;=Units!$Q30,MOD(AF$1-Units!$Q30,12)=0),IF(AND(Units!$L30=1,AF$1=Units!$Q30),1,Inputs!$B$15)*Inputs!$B$16*(1+Inputs!$B$11)^(AF$2-1),0)</f>
        <v>0</v>
      </c>
      <c r="AG31" s="11" t="n">
        <f aca="false">IF(AND(AG$1&gt;=Units!$Q30,MOD(AG$1-Units!$Q30,12)=0),IF(AND(Units!$L30=1,AG$1=Units!$Q30),1,Inputs!$B$15)*Inputs!$B$16*(1+Inputs!$B$11)^(AG$2-1),0)</f>
        <v>0</v>
      </c>
      <c r="AH31" s="11" t="n">
        <f aca="false">IF(AND(AH$1&gt;=Units!$Q30,MOD(AH$1-Units!$Q30,12)=0),IF(AND(Units!$L30=1,AH$1=Units!$Q30),1,Inputs!$B$15)*Inputs!$B$16*(1+Inputs!$B$11)^(AH$2-1),0)</f>
        <v>530.45</v>
      </c>
      <c r="AI31" s="11" t="n">
        <f aca="false">IF(AND(AI$1&gt;=Units!$Q30,MOD(AI$1-Units!$Q30,12)=0),IF(AND(Units!$L30=1,AI$1=Units!$Q30),1,Inputs!$B$15)*Inputs!$B$16*(1+Inputs!$B$11)^(AI$2-1),0)</f>
        <v>0</v>
      </c>
      <c r="AJ31" s="11" t="n">
        <f aca="false">IF(AND(AJ$1&gt;=Units!$Q30,MOD(AJ$1-Units!$Q30,12)=0),IF(AND(Units!$L30=1,AJ$1=Units!$Q30),1,Inputs!$B$15)*Inputs!$B$16*(1+Inputs!$B$11)^(AJ$2-1),0)</f>
        <v>0</v>
      </c>
      <c r="AK31" s="11" t="n">
        <f aca="false">IF(AND(AK$1&gt;=Units!$Q30,MOD(AK$1-Units!$Q30,12)=0),IF(AND(Units!$L30=1,AK$1=Units!$Q30),1,Inputs!$B$15)*Inputs!$B$16*(1+Inputs!$B$11)^(AK$2-1),0)</f>
        <v>0</v>
      </c>
      <c r="AL31" s="11" t="n">
        <f aca="false">IF(AND(AL$1&gt;=Units!$Q30,MOD(AL$1-Units!$Q30,12)=0),IF(AND(Units!$L30=1,AL$1=Units!$Q30),1,Inputs!$B$15)*Inputs!$B$16*(1+Inputs!$B$11)^(AL$2-1),0)</f>
        <v>0</v>
      </c>
      <c r="AM31" s="11" t="n">
        <f aca="false">IF(AND(AM$1&gt;=Units!$Q30,MOD(AM$1-Units!$Q30,12)=0),IF(AND(Units!$L30=1,AM$1=Units!$Q30),1,Inputs!$B$15)*Inputs!$B$16*(1+Inputs!$B$11)^(AM$2-1),0)</f>
        <v>0</v>
      </c>
      <c r="AN31" s="11" t="n">
        <f aca="false">IF(AND(AN$1&gt;=Units!$Q30,MOD(AN$1-Units!$Q30,12)=0),IF(AND(Units!$L30=1,AN$1=Units!$Q30),1,Inputs!$B$15)*Inputs!$B$16*(1+Inputs!$B$11)^(AN$2-1),0)</f>
        <v>0</v>
      </c>
      <c r="AO31" s="11" t="n">
        <f aca="false">IF(AND(AO$1&gt;=Units!$Q30,MOD(AO$1-Units!$Q30,12)=0),IF(AND(Units!$L30=1,AO$1=Units!$Q30),1,Inputs!$B$15)*Inputs!$B$16*(1+Inputs!$B$11)^(AO$2-1),0)</f>
        <v>0</v>
      </c>
      <c r="AP31" s="11" t="n">
        <f aca="false">IF(AND(AP$1&gt;=Units!$Q30,MOD(AP$1-Units!$Q30,12)=0),IF(AND(Units!$L30=1,AP$1=Units!$Q30),1,Inputs!$B$15)*Inputs!$B$16*(1+Inputs!$B$11)^(AP$2-1),0)</f>
        <v>0</v>
      </c>
      <c r="AQ31" s="11" t="n">
        <f aca="false">IF(AND(AQ$1&gt;=Units!$Q30,MOD(AQ$1-Units!$Q30,12)=0),IF(AND(Units!$L30=1,AQ$1=Units!$Q30),1,Inputs!$B$15)*Inputs!$B$16*(1+Inputs!$B$11)^(AQ$2-1),0)</f>
        <v>0</v>
      </c>
      <c r="AR31" s="11" t="n">
        <f aca="false">IF(AND(AR$1&gt;=Units!$Q30,MOD(AR$1-Units!$Q30,12)=0),IF(AND(Units!$L30=1,AR$1=Units!$Q30),1,Inputs!$B$15)*Inputs!$B$16*(1+Inputs!$B$11)^(AR$2-1),0)</f>
        <v>0</v>
      </c>
      <c r="AS31" s="11" t="n">
        <f aca="false">IF(AND(AS$1&gt;=Units!$Q30,MOD(AS$1-Units!$Q30,12)=0),IF(AND(Units!$L30=1,AS$1=Units!$Q30),1,Inputs!$B$15)*Inputs!$B$16*(1+Inputs!$B$11)^(AS$2-1),0)</f>
        <v>0</v>
      </c>
      <c r="AT31" s="11" t="n">
        <f aca="false">IF(AND(AT$1&gt;=Units!$Q30,MOD(AT$1-Units!$Q30,12)=0),IF(AND(Units!$L30=1,AT$1=Units!$Q30),1,Inputs!$B$15)*Inputs!$B$16*(1+Inputs!$B$11)^(AT$2-1),0)</f>
        <v>546.3635</v>
      </c>
      <c r="AU31" s="11" t="n">
        <f aca="false">IF(AND(AU$1&gt;=Units!$Q30,MOD(AU$1-Units!$Q30,12)=0),IF(AND(Units!$L30=1,AU$1=Units!$Q30),1,Inputs!$B$15)*Inputs!$B$16*(1+Inputs!$B$11)^(AU$2-1),0)</f>
        <v>0</v>
      </c>
      <c r="AV31" s="11" t="n">
        <f aca="false">IF(AND(AV$1&gt;=Units!$Q30,MOD(AV$1-Units!$Q30,12)=0),IF(AND(Units!$L30=1,AV$1=Units!$Q30),1,Inputs!$B$15)*Inputs!$B$16*(1+Inputs!$B$11)^(AV$2-1),0)</f>
        <v>0</v>
      </c>
      <c r="AW31" s="11" t="n">
        <f aca="false">IF(AND(AW$1&gt;=Units!$Q30,MOD(AW$1-Units!$Q30,12)=0),IF(AND(Units!$L30=1,AW$1=Units!$Q30),1,Inputs!$B$15)*Inputs!$B$16*(1+Inputs!$B$11)^(AW$2-1),0)</f>
        <v>0</v>
      </c>
      <c r="AX31" s="11" t="n">
        <f aca="false">IF(AND(AX$1&gt;=Units!$Q30,MOD(AX$1-Units!$Q30,12)=0),IF(AND(Units!$L30=1,AX$1=Units!$Q30),1,Inputs!$B$15)*Inputs!$B$16*(1+Inputs!$B$11)^(AX$2-1),0)</f>
        <v>0</v>
      </c>
      <c r="AY31" s="11" t="n">
        <f aca="false">IF(AND(AY$1&gt;=Units!$Q30,MOD(AY$1-Units!$Q30,12)=0),IF(AND(Units!$L30=1,AY$1=Units!$Q30),1,Inputs!$B$15)*Inputs!$B$16*(1+Inputs!$B$11)^(AY$2-1),0)</f>
        <v>0</v>
      </c>
      <c r="AZ31" s="11" t="n">
        <f aca="false">IF(AND(AZ$1&gt;=Units!$Q30,MOD(AZ$1-Units!$Q30,12)=0),IF(AND(Units!$L30=1,AZ$1=Units!$Q30),1,Inputs!$B$15)*Inputs!$B$16*(1+Inputs!$B$11)^(AZ$2-1),0)</f>
        <v>0</v>
      </c>
      <c r="BA31" s="11" t="n">
        <f aca="false">IF(AND(BA$1&gt;=Units!$Q30,MOD(BA$1-Units!$Q30,12)=0),IF(AND(Units!$L30=1,BA$1=Units!$Q30),1,Inputs!$B$15)*Inputs!$B$16*(1+Inputs!$B$11)^(BA$2-1),0)</f>
        <v>0</v>
      </c>
      <c r="BB31" s="11" t="n">
        <f aca="false">IF(AND(BB$1&gt;=Units!$Q30,MOD(BB$1-Units!$Q30,12)=0),IF(AND(Units!$L30=1,BB$1=Units!$Q30),1,Inputs!$B$15)*Inputs!$B$16*(1+Inputs!$B$11)^(BB$2-1),0)</f>
        <v>0</v>
      </c>
      <c r="BC31" s="11" t="n">
        <f aca="false">IF(AND(BC$1&gt;=Units!$Q30,MOD(BC$1-Units!$Q30,12)=0),IF(AND(Units!$L30=1,BC$1=Units!$Q30),1,Inputs!$B$15)*Inputs!$B$16*(1+Inputs!$B$11)^(BC$2-1),0)</f>
        <v>0</v>
      </c>
      <c r="BD31" s="11" t="n">
        <f aca="false">IF(AND(BD$1&gt;=Units!$Q30,MOD(BD$1-Units!$Q30,12)=0),IF(AND(Units!$L30=1,BD$1=Units!$Q30),1,Inputs!$B$15)*Inputs!$B$16*(1+Inputs!$B$11)^(BD$2-1),0)</f>
        <v>0</v>
      </c>
      <c r="BE31" s="11" t="n">
        <f aca="false">IF(AND(BE$1&gt;=Units!$Q30,MOD(BE$1-Units!$Q30,12)=0),IF(AND(Units!$L30=1,BE$1=Units!$Q30),1,Inputs!$B$15)*Inputs!$B$16*(1+Inputs!$B$11)^(BE$2-1),0)</f>
        <v>0</v>
      </c>
      <c r="BF31" s="11" t="n">
        <f aca="false">IF(AND(BF$1&gt;=Units!$Q30,MOD(BF$1-Units!$Q30,12)=0),IF(AND(Units!$L30=1,BF$1=Units!$Q30),1,Inputs!$B$15)*Inputs!$B$16*(1+Inputs!$B$11)^(BF$2-1),0)</f>
        <v>562.754405</v>
      </c>
      <c r="BG31" s="11" t="n">
        <f aca="false">IF(AND(BG$1&gt;=Units!$Q30,MOD(BG$1-Units!$Q30,12)=0),IF(AND(Units!$L30=1,BG$1=Units!$Q30),1,Inputs!$B$15)*Inputs!$B$16*(1+Inputs!$B$11)^(BG$2-1),0)</f>
        <v>0</v>
      </c>
      <c r="BH31" s="11" t="n">
        <f aca="false">IF(AND(BH$1&gt;=Units!$Q30,MOD(BH$1-Units!$Q30,12)=0),IF(AND(Units!$L30=1,BH$1=Units!$Q30),1,Inputs!$B$15)*Inputs!$B$16*(1+Inputs!$B$11)^(BH$2-1),0)</f>
        <v>0</v>
      </c>
      <c r="BI31" s="11" t="n">
        <f aca="false">IF(AND(BI$1&gt;=Units!$Q30,MOD(BI$1-Units!$Q30,12)=0),IF(AND(Units!$L30=1,BI$1=Units!$Q30),1,Inputs!$B$15)*Inputs!$B$16*(1+Inputs!$B$11)^(BI$2-1),0)</f>
        <v>0</v>
      </c>
      <c r="BJ31" s="11" t="n">
        <f aca="false">IF(AND(BJ$1&gt;=Units!$Q30,MOD(BJ$1-Units!$Q30,12)=0),IF(AND(Units!$L30=1,BJ$1=Units!$Q30),1,Inputs!$B$15)*Inputs!$B$16*(1+Inputs!$B$11)^(BJ$2-1),0)</f>
        <v>0</v>
      </c>
      <c r="BK31" s="11" t="n">
        <f aca="false">IF(AND(BK$1&gt;=Units!$Q30,MOD(BK$1-Units!$Q30,12)=0),IF(AND(Units!$L30=1,BK$1=Units!$Q30),1,Inputs!$B$15)*Inputs!$B$16*(1+Inputs!$B$11)^(BK$2-1),0)</f>
        <v>0</v>
      </c>
      <c r="BL31" s="11" t="n">
        <f aca="false">IF(AND(BL$1&gt;=Units!$Q30,MOD(BL$1-Units!$Q30,12)=0),IF(AND(Units!$L30=1,BL$1=Units!$Q30),1,Inputs!$B$15)*Inputs!$B$16*(1+Inputs!$B$11)^(BL$2-1),0)</f>
        <v>0</v>
      </c>
      <c r="BM31" s="11" t="n">
        <f aca="false">IF(AND(BM$1&gt;=Units!$Q30,MOD(BM$1-Units!$Q30,12)=0),IF(AND(Units!$L30=1,BM$1=Units!$Q30),1,Inputs!$B$15)*Inputs!$B$16*(1+Inputs!$B$11)^(BM$2-1),0)</f>
        <v>0</v>
      </c>
      <c r="BN31" s="11" t="n">
        <f aca="false">IF(AND(BN$1&gt;=Units!$Q30,MOD(BN$1-Units!$Q30,12)=0),IF(AND(Units!$L30=1,BN$1=Units!$Q30),1,Inputs!$B$15)*Inputs!$B$16*(1+Inputs!$B$11)^(BN$2-1),0)</f>
        <v>0</v>
      </c>
      <c r="BO31" s="11" t="n">
        <f aca="false">IF(AND(BO$1&gt;=Units!$Q30,MOD(BO$1-Units!$Q30,12)=0),IF(AND(Units!$L30=1,BO$1=Units!$Q30),1,Inputs!$B$15)*Inputs!$B$16*(1+Inputs!$B$11)^(BO$2-1),0)</f>
        <v>0</v>
      </c>
      <c r="BP31" s="11" t="n">
        <f aca="false">IF(AND(BP$1&gt;=Units!$Q30,MOD(BP$1-Units!$Q30,12)=0),IF(AND(Units!$L30=1,BP$1=Units!$Q30),1,Inputs!$B$15)*Inputs!$B$16*(1+Inputs!$B$11)^(BP$2-1),0)</f>
        <v>0</v>
      </c>
      <c r="BQ31" s="11" t="n">
        <f aca="false">IF(AND(BQ$1&gt;=Units!$Q30,MOD(BQ$1-Units!$Q30,12)=0),IF(AND(Units!$L30=1,BQ$1=Units!$Q30),1,Inputs!$B$15)*Inputs!$B$16*(1+Inputs!$B$11)^(BQ$2-1),0)</f>
        <v>0</v>
      </c>
      <c r="BR31" s="11" t="n">
        <f aca="false">IF(AND(BR$1&gt;=Units!$Q30,MOD(BR$1-Units!$Q30,12)=0),IF(AND(Units!$L30=1,BR$1=Units!$Q30),1,Inputs!$B$15)*Inputs!$B$16*(1+Inputs!$B$11)^(BR$2-1),0)</f>
        <v>579.63703715</v>
      </c>
      <c r="BS31" s="11" t="n">
        <f aca="false">IF(AND(BS$1&gt;=Units!$Q30,MOD(BS$1-Units!$Q30,12)=0),IF(AND(Units!$L30=1,BS$1=Units!$Q30),1,Inputs!$B$15)*Inputs!$B$16*(1+Inputs!$B$11)^(BS$2-1),0)</f>
        <v>0</v>
      </c>
      <c r="BT31" s="11" t="n">
        <f aca="false">IF(AND(BT$1&gt;=Units!$Q30,MOD(BT$1-Units!$Q30,12)=0),IF(AND(Units!$L30=1,BT$1=Units!$Q30),1,Inputs!$B$15)*Inputs!$B$16*(1+Inputs!$B$11)^(BT$2-1),0)</f>
        <v>0</v>
      </c>
      <c r="BU31" s="11" t="n">
        <f aca="false">IF(AND(BU$1&gt;=Units!$Q30,MOD(BU$1-Units!$Q30,12)=0),IF(AND(Units!$L30=1,BU$1=Units!$Q30),1,Inputs!$B$15)*Inputs!$B$16*(1+Inputs!$B$11)^(BU$2-1),0)</f>
        <v>0</v>
      </c>
      <c r="BV31" s="11" t="n">
        <f aca="false">IF(AND(BV$1&gt;=Units!$Q30,MOD(BV$1-Units!$Q30,12)=0),IF(AND(Units!$L30=1,BV$1=Units!$Q30),1,Inputs!$B$15)*Inputs!$B$16*(1+Inputs!$B$11)^(BV$2-1),0)</f>
        <v>0</v>
      </c>
      <c r="BW31" s="11" t="n">
        <f aca="false">IF(AND(BW$1&gt;=Units!$Q30,MOD(BW$1-Units!$Q30,12)=0),IF(AND(Units!$L30=1,BW$1=Units!$Q30),1,Inputs!$B$15)*Inputs!$B$16*(1+Inputs!$B$11)^(BW$2-1),0)</f>
        <v>0</v>
      </c>
      <c r="BX31" s="11" t="n">
        <f aca="false">IF(AND(BX$1&gt;=Units!$Q30,MOD(BX$1-Units!$Q30,12)=0),IF(AND(Units!$L30=1,BX$1=Units!$Q30),1,Inputs!$B$15)*Inputs!$B$16*(1+Inputs!$B$11)^(BX$2-1),0)</f>
        <v>0</v>
      </c>
      <c r="BY31" s="11" t="n">
        <f aca="false">IF(AND(BY$1&gt;=Units!$Q30,MOD(BY$1-Units!$Q30,12)=0),IF(AND(Units!$L30=1,BY$1=Units!$Q30),1,Inputs!$B$15)*Inputs!$B$16*(1+Inputs!$B$11)^(BY$2-1),0)</f>
        <v>0</v>
      </c>
      <c r="BZ31" s="11" t="n">
        <f aca="false">IF(AND(BZ$1&gt;=Units!$Q30,MOD(BZ$1-Units!$Q30,12)=0),IF(AND(Units!$L30=1,BZ$1=Units!$Q30),1,Inputs!$B$15)*Inputs!$B$16*(1+Inputs!$B$11)^(BZ$2-1),0)</f>
        <v>0</v>
      </c>
      <c r="CA31" s="11" t="n">
        <f aca="false">IF(AND(CA$1&gt;=Units!$Q30,MOD(CA$1-Units!$Q30,12)=0),IF(AND(Units!$L30=1,CA$1=Units!$Q30),1,Inputs!$B$15)*Inputs!$B$16*(1+Inputs!$B$11)^(CA$2-1),0)</f>
        <v>0</v>
      </c>
      <c r="CB31" s="11" t="n">
        <f aca="false">IF(AND(CB$1&gt;=Units!$Q30,MOD(CB$1-Units!$Q30,12)=0),IF(AND(Units!$L30=1,CB$1=Units!$Q30),1,Inputs!$B$15)*Inputs!$B$16*(1+Inputs!$B$11)^(CB$2-1),0)</f>
        <v>0</v>
      </c>
      <c r="CC31" s="11" t="n">
        <f aca="false">IF(AND(CC$1&gt;=Units!$Q30,MOD(CC$1-Units!$Q30,12)=0),IF(AND(Units!$L30=1,CC$1=Units!$Q30),1,Inputs!$B$15)*Inputs!$B$16*(1+Inputs!$B$11)^(CC$2-1),0)</f>
        <v>0</v>
      </c>
      <c r="CD31" s="11" t="n">
        <f aca="false">IF(AND(CD$1&gt;=Units!$Q30,MOD(CD$1-Units!$Q30,12)=0),IF(AND(Units!$L30=1,CD$1=Units!$Q30),1,Inputs!$B$15)*Inputs!$B$16*(1+Inputs!$B$11)^(CD$2-1),0)</f>
        <v>597.0261482645</v>
      </c>
      <c r="CE31" s="11" t="n">
        <f aca="false">IF(AND(CE$1&gt;=Units!$Q30,MOD(CE$1-Units!$Q30,12)=0),IF(AND(Units!$L30=1,CE$1=Units!$Q30),1,Inputs!$B$15)*Inputs!$B$16*(1+Inputs!$B$11)^(CE$2-1),0)</f>
        <v>0</v>
      </c>
      <c r="CF31" s="11" t="n">
        <f aca="false">IF(AND(CF$1&gt;=Units!$Q30,MOD(CF$1-Units!$Q30,12)=0),IF(AND(Units!$L30=1,CF$1=Units!$Q30),1,Inputs!$B$15)*Inputs!$B$16*(1+Inputs!$B$11)^(CF$2-1),0)</f>
        <v>0</v>
      </c>
      <c r="CG31" s="11" t="n">
        <f aca="false">IF(AND(CG$1&gt;=Units!$Q30,MOD(CG$1-Units!$Q30,12)=0),IF(AND(Units!$L30=1,CG$1=Units!$Q30),1,Inputs!$B$15)*Inputs!$B$16*(1+Inputs!$B$11)^(CG$2-1),0)</f>
        <v>0</v>
      </c>
      <c r="CH31" s="11" t="n">
        <f aca="false">IF(AND(CH$1&gt;=Units!$Q30,MOD(CH$1-Units!$Q30,12)=0),IF(AND(Units!$L30=1,CH$1=Units!$Q30),1,Inputs!$B$15)*Inputs!$B$16*(1+Inputs!$B$11)^(CH$2-1),0)</f>
        <v>0</v>
      </c>
      <c r="CI31" s="11" t="n">
        <f aca="false">IF(AND(CI$1&gt;=Units!$Q30,MOD(CI$1-Units!$Q30,12)=0),IF(AND(Units!$L30=1,CI$1=Units!$Q30),1,Inputs!$B$15)*Inputs!$B$16*(1+Inputs!$B$11)^(CI$2-1),0)</f>
        <v>0</v>
      </c>
      <c r="CJ31" s="11" t="n">
        <f aca="false">IF(AND(CJ$1&gt;=Units!$Q30,MOD(CJ$1-Units!$Q30,12)=0),IF(AND(Units!$L30=1,CJ$1=Units!$Q30),1,Inputs!$B$15)*Inputs!$B$16*(1+Inputs!$B$11)^(CJ$2-1),0)</f>
        <v>0</v>
      </c>
      <c r="CK31" s="11" t="n">
        <f aca="false">IF(AND(CK$1&gt;=Units!$Q30,MOD(CK$1-Units!$Q30,12)=0),IF(AND(Units!$L30=1,CK$1=Units!$Q30),1,Inputs!$B$15)*Inputs!$B$16*(1+Inputs!$B$11)^(CK$2-1),0)</f>
        <v>0</v>
      </c>
      <c r="CL31" s="11" t="n">
        <f aca="false">IF(AND(CL$1&gt;=Units!$Q30,MOD(CL$1-Units!$Q30,12)=0),IF(AND(Units!$L30=1,CL$1=Units!$Q30),1,Inputs!$B$15)*Inputs!$B$16*(1+Inputs!$B$11)^(CL$2-1),0)</f>
        <v>0</v>
      </c>
      <c r="CM31" s="11" t="n">
        <f aca="false">IF(AND(CM$1&gt;=Units!$Q30,MOD(CM$1-Units!$Q30,12)=0),IF(AND(Units!$L30=1,CM$1=Units!$Q30),1,Inputs!$B$15)*Inputs!$B$16*(1+Inputs!$B$11)^(CM$2-1),0)</f>
        <v>0</v>
      </c>
      <c r="CN31" s="11" t="n">
        <f aca="false">IF(AND(CN$1&gt;=Units!$Q30,MOD(CN$1-Units!$Q30,12)=0),IF(AND(Units!$L30=1,CN$1=Units!$Q30),1,Inputs!$B$15)*Inputs!$B$16*(1+Inputs!$B$11)^(CN$2-1),0)</f>
        <v>0</v>
      </c>
      <c r="CO31" s="11" t="n">
        <f aca="false">IF(AND(CO$1&gt;=Units!$Q30,MOD(CO$1-Units!$Q30,12)=0),IF(AND(Units!$L30=1,CO$1=Units!$Q30),1,Inputs!$B$15)*Inputs!$B$16*(1+Inputs!$B$11)^(CO$2-1),0)</f>
        <v>0</v>
      </c>
      <c r="CP31" s="11" t="n">
        <f aca="false">IF(AND(CP$1&gt;=Units!$Q30,MOD(CP$1-Units!$Q30,12)=0),IF(AND(Units!$L30=1,CP$1=Units!$Q30),1,Inputs!$B$15)*Inputs!$B$16*(1+Inputs!$B$11)^(CP$2-1),0)</f>
        <v>614.936932712435</v>
      </c>
      <c r="CQ31" s="11" t="n">
        <f aca="false">IF(AND(CQ$1&gt;=Units!$Q30,MOD(CQ$1-Units!$Q30,12)=0),IF(AND(Units!$L30=1,CQ$1=Units!$Q30),1,Inputs!$B$15)*Inputs!$B$16*(1+Inputs!$B$11)^(CQ$2-1),0)</f>
        <v>0</v>
      </c>
      <c r="CR31" s="11" t="n">
        <f aca="false">IF(AND(CR$1&gt;=Units!$Q30,MOD(CR$1-Units!$Q30,12)=0),IF(AND(Units!$L30=1,CR$1=Units!$Q30),1,Inputs!$B$15)*Inputs!$B$16*(1+Inputs!$B$11)^(CR$2-1),0)</f>
        <v>0</v>
      </c>
      <c r="CS31" s="11" t="n">
        <f aca="false">IF(AND(CS$1&gt;=Units!$Q30,MOD(CS$1-Units!$Q30,12)=0),IF(AND(Units!$L30=1,CS$1=Units!$Q30),1,Inputs!$B$15)*Inputs!$B$16*(1+Inputs!$B$11)^(CS$2-1),0)</f>
        <v>0</v>
      </c>
      <c r="CT31" s="11" t="n">
        <f aca="false">IF(AND(CT$1&gt;=Units!$Q30,MOD(CT$1-Units!$Q30,12)=0),IF(AND(Units!$L30=1,CT$1=Units!$Q30),1,Inputs!$B$15)*Inputs!$B$16*(1+Inputs!$B$11)^(CT$2-1),0)</f>
        <v>0</v>
      </c>
      <c r="CU31" s="11" t="n">
        <f aca="false">IF(AND(CU$1&gt;=Units!$Q30,MOD(CU$1-Units!$Q30,12)=0),IF(AND(Units!$L30=1,CU$1=Units!$Q30),1,Inputs!$B$15)*Inputs!$B$16*(1+Inputs!$B$11)^(CU$2-1),0)</f>
        <v>0</v>
      </c>
      <c r="CV31" s="11" t="n">
        <f aca="false">IF(AND(CV$1&gt;=Units!$Q30,MOD(CV$1-Units!$Q30,12)=0),IF(AND(Units!$L30=1,CV$1=Units!$Q30),1,Inputs!$B$15)*Inputs!$B$16*(1+Inputs!$B$11)^(CV$2-1),0)</f>
        <v>0</v>
      </c>
      <c r="CW31" s="11" t="n">
        <f aca="false">IF(AND(CW$1&gt;=Units!$Q30,MOD(CW$1-Units!$Q30,12)=0),IF(AND(Units!$L30=1,CW$1=Units!$Q30),1,Inputs!$B$15)*Inputs!$B$16*(1+Inputs!$B$11)^(CW$2-1),0)</f>
        <v>0</v>
      </c>
      <c r="CX31" s="11" t="n">
        <f aca="false">IF(AND(CX$1&gt;=Units!$Q30,MOD(CX$1-Units!$Q30,12)=0),IF(AND(Units!$L30=1,CX$1=Units!$Q30),1,Inputs!$B$15)*Inputs!$B$16*(1+Inputs!$B$11)^(CX$2-1),0)</f>
        <v>0</v>
      </c>
      <c r="CY31" s="11" t="n">
        <f aca="false">IF(AND(CY$1&gt;=Units!$Q30,MOD(CY$1-Units!$Q30,12)=0),IF(AND(Units!$L30=1,CY$1=Units!$Q30),1,Inputs!$B$15)*Inputs!$B$16*(1+Inputs!$B$11)^(CY$2-1),0)</f>
        <v>0</v>
      </c>
      <c r="CZ31" s="11" t="n">
        <f aca="false">IF(AND(CZ$1&gt;=Units!$Q30,MOD(CZ$1-Units!$Q30,12)=0),IF(AND(Units!$L30=1,CZ$1=Units!$Q30),1,Inputs!$B$15)*Inputs!$B$16*(1+Inputs!$B$11)^(CZ$2-1),0)</f>
        <v>0</v>
      </c>
      <c r="DA31" s="11" t="n">
        <f aca="false">IF(AND(DA$1&gt;=Units!$Q30,MOD(DA$1-Units!$Q30,12)=0),IF(AND(Units!$L30=1,DA$1=Units!$Q30),1,Inputs!$B$15)*Inputs!$B$16*(1+Inputs!$B$11)^(DA$2-1),0)</f>
        <v>0</v>
      </c>
      <c r="DB31" s="11" t="n">
        <f aca="false">IF(AND(DB$1&gt;=Units!$Q30,MOD(DB$1-Units!$Q30,12)=0),IF(AND(Units!$L30=1,DB$1=Units!$Q30),1,Inputs!$B$15)*Inputs!$B$16*(1+Inputs!$B$11)^(DB$2-1),0)</f>
        <v>633.385040693808</v>
      </c>
      <c r="DC31" s="11" t="n">
        <f aca="false">IF(AND(DC$1&gt;=Units!$Q30,MOD(DC$1-Units!$Q30,12)=0),IF(AND(Units!$L30=1,DC$1=Units!$Q30),1,Inputs!$B$15)*Inputs!$B$16*(1+Inputs!$B$11)^(DC$2-1),0)</f>
        <v>0</v>
      </c>
      <c r="DD31" s="11" t="n">
        <f aca="false">IF(AND(DD$1&gt;=Units!$Q30,MOD(DD$1-Units!$Q30,12)=0),IF(AND(Units!$L30=1,DD$1=Units!$Q30),1,Inputs!$B$15)*Inputs!$B$16*(1+Inputs!$B$11)^(DD$2-1),0)</f>
        <v>0</v>
      </c>
      <c r="DE31" s="11" t="n">
        <f aca="false">IF(AND(DE$1&gt;=Units!$Q30,MOD(DE$1-Units!$Q30,12)=0),IF(AND(Units!$L30=1,DE$1=Units!$Q30),1,Inputs!$B$15)*Inputs!$B$16*(1+Inputs!$B$11)^(DE$2-1),0)</f>
        <v>0</v>
      </c>
      <c r="DF31" s="11" t="n">
        <f aca="false">IF(AND(DF$1&gt;=Units!$Q30,MOD(DF$1-Units!$Q30,12)=0),IF(AND(Units!$L30=1,DF$1=Units!$Q30),1,Inputs!$B$15)*Inputs!$B$16*(1+Inputs!$B$11)^(DF$2-1),0)</f>
        <v>0</v>
      </c>
      <c r="DG31" s="11" t="n">
        <f aca="false">IF(AND(DG$1&gt;=Units!$Q30,MOD(DG$1-Units!$Q30,12)=0),IF(AND(Units!$L30=1,DG$1=Units!$Q30),1,Inputs!$B$15)*Inputs!$B$16*(1+Inputs!$B$11)^(DG$2-1),0)</f>
        <v>0</v>
      </c>
      <c r="DH31" s="11" t="n">
        <f aca="false">IF(AND(DH$1&gt;=Units!$Q30,MOD(DH$1-Units!$Q30,12)=0),IF(AND(Units!$L30=1,DH$1=Units!$Q30),1,Inputs!$B$15)*Inputs!$B$16*(1+Inputs!$B$11)^(DH$2-1),0)</f>
        <v>0</v>
      </c>
      <c r="DI31" s="11" t="n">
        <f aca="false">IF(AND(DI$1&gt;=Units!$Q30,MOD(DI$1-Units!$Q30,12)=0),IF(AND(Units!$L30=1,DI$1=Units!$Q30),1,Inputs!$B$15)*Inputs!$B$16*(1+Inputs!$B$11)^(DI$2-1),0)</f>
        <v>0</v>
      </c>
      <c r="DJ31" s="11" t="n">
        <f aca="false">IF(AND(DJ$1&gt;=Units!$Q30,MOD(DJ$1-Units!$Q30,12)=0),IF(AND(Units!$L30=1,DJ$1=Units!$Q30),1,Inputs!$B$15)*Inputs!$B$16*(1+Inputs!$B$11)^(DJ$2-1),0)</f>
        <v>0</v>
      </c>
      <c r="DK31" s="11" t="n">
        <f aca="false">IF(AND(DK$1&gt;=Units!$Q30,MOD(DK$1-Units!$Q30,12)=0),IF(AND(Units!$L30=1,DK$1=Units!$Q30),1,Inputs!$B$15)*Inputs!$B$16*(1+Inputs!$B$11)^(DK$2-1),0)</f>
        <v>0</v>
      </c>
      <c r="DL31" s="11" t="n">
        <f aca="false">IF(AND(DL$1&gt;=Units!$Q30,MOD(DL$1-Units!$Q30,12)=0),IF(AND(Units!$L30=1,DL$1=Units!$Q30),1,Inputs!$B$15)*Inputs!$B$16*(1+Inputs!$B$11)^(DL$2-1),0)</f>
        <v>0</v>
      </c>
      <c r="DM31" s="11" t="n">
        <f aca="false">IF(AND(DM$1&gt;=Units!$Q30,MOD(DM$1-Units!$Q30,12)=0),IF(AND(Units!$L30=1,DM$1=Units!$Q30),1,Inputs!$B$15)*Inputs!$B$16*(1+Inputs!$B$11)^(DM$2-1),0)</f>
        <v>0</v>
      </c>
      <c r="DN31" s="11" t="n">
        <f aca="false">IF(AND(DN$1&gt;=Units!$Q30,MOD(DN$1-Units!$Q30,12)=0),IF(AND(Units!$L30=1,DN$1=Units!$Q30),1,Inputs!$B$15)*Inputs!$B$16*(1+Inputs!$B$11)^(DN$2-1),0)</f>
        <v>652.386591914623</v>
      </c>
      <c r="DO31" s="11" t="n">
        <f aca="false">IF(AND(DO$1&gt;=Units!$Q30,MOD(DO$1-Units!$Q30,12)=0),IF(AND(Units!$L30=1,DO$1=Units!$Q30),1,Inputs!$B$15)*Inputs!$B$16*(1+Inputs!$B$11)^(DO$2-1),0)</f>
        <v>0</v>
      </c>
      <c r="DP31" s="11" t="n">
        <f aca="false">IF(AND(DP$1&gt;=Units!$Q30,MOD(DP$1-Units!$Q30,12)=0),IF(AND(Units!$L30=1,DP$1=Units!$Q30),1,Inputs!$B$15)*Inputs!$B$16*(1+Inputs!$B$11)^(DP$2-1),0)</f>
        <v>0</v>
      </c>
      <c r="DQ31" s="11" t="n">
        <f aca="false">IF(AND(DQ$1&gt;=Units!$Q30,MOD(DQ$1-Units!$Q30,12)=0),IF(AND(Units!$L30=1,DQ$1=Units!$Q30),1,Inputs!$B$15)*Inputs!$B$16*(1+Inputs!$B$11)^(DQ$2-1),0)</f>
        <v>0</v>
      </c>
      <c r="DR31" s="11" t="n">
        <f aca="false">IF(AND(DR$1&gt;=Units!$Q30,MOD(DR$1-Units!$Q30,12)=0),IF(AND(Units!$L30=1,DR$1=Units!$Q30),1,Inputs!$B$15)*Inputs!$B$16*(1+Inputs!$B$11)^(DR$2-1),0)</f>
        <v>0</v>
      </c>
      <c r="DS31" s="11" t="n">
        <f aca="false">IF(AND(DS$1&gt;=Units!$Q30,MOD(DS$1-Units!$Q30,12)=0),IF(AND(Units!$L30=1,DS$1=Units!$Q30),1,Inputs!$B$15)*Inputs!$B$16*(1+Inputs!$B$11)^(DS$2-1),0)</f>
        <v>0</v>
      </c>
      <c r="DT31" s="11" t="n">
        <f aca="false">IF(AND(DT$1&gt;=Units!$Q30,MOD(DT$1-Units!$Q30,12)=0),IF(AND(Units!$L30=1,DT$1=Units!$Q30),1,Inputs!$B$15)*Inputs!$B$16*(1+Inputs!$B$11)^(DT$2-1),0)</f>
        <v>0</v>
      </c>
      <c r="DU31" s="11" t="n">
        <f aca="false">IF(AND(DU$1&gt;=Units!$Q30,MOD(DU$1-Units!$Q30,12)=0),IF(AND(Units!$L30=1,DU$1=Units!$Q30),1,Inputs!$B$15)*Inputs!$B$16*(1+Inputs!$B$11)^(DU$2-1),0)</f>
        <v>0</v>
      </c>
      <c r="DV31" s="11" t="n">
        <f aca="false">IF(AND(DV$1&gt;=Units!$Q30,MOD(DV$1-Units!$Q30,12)=0),IF(AND(Units!$L30=1,DV$1=Units!$Q30),1,Inputs!$B$15)*Inputs!$B$16*(1+Inputs!$B$11)^(DV$2-1),0)</f>
        <v>0</v>
      </c>
      <c r="DW31" s="11" t="n">
        <f aca="false">IF(AND(DW$1&gt;=Units!$Q30,MOD(DW$1-Units!$Q30,12)=0),IF(AND(Units!$L30=1,DW$1=Units!$Q30),1,Inputs!$B$15)*Inputs!$B$16*(1+Inputs!$B$11)^(DW$2-1),0)</f>
        <v>0</v>
      </c>
      <c r="DX31" s="11" t="n">
        <f aca="false">IF(AND(DX$1&gt;=Units!$Q30,MOD(DX$1-Units!$Q30,12)=0),IF(AND(Units!$L30=1,DX$1=Units!$Q30),1,Inputs!$B$15)*Inputs!$B$16*(1+Inputs!$B$11)^(DX$2-1),0)</f>
        <v>0</v>
      </c>
      <c r="DY31" s="11" t="n">
        <f aca="false">IF(AND(DY$1&gt;=Units!$Q30,MOD(DY$1-Units!$Q30,12)=0),IF(AND(Units!$L30=1,DY$1=Units!$Q30),1,Inputs!$B$15)*Inputs!$B$16*(1+Inputs!$B$11)^(DY$2-1),0)</f>
        <v>0</v>
      </c>
      <c r="DZ31" s="11" t="n">
        <f aca="false">IF(AND(DZ$1&gt;=Units!$Q30,MOD(DZ$1-Units!$Q30,12)=0),IF(AND(Units!$L30=1,DZ$1=Units!$Q30),1,Inputs!$B$15)*Inputs!$B$16*(1+Inputs!$B$11)^(DZ$2-1),0)</f>
        <v>671.958189672061</v>
      </c>
      <c r="EA31" s="11" t="n">
        <f aca="false">IF(AND(EA$1&gt;=Units!$Q30,MOD(EA$1-Units!$Q30,12)=0),IF(AND(Units!$L30=1,EA$1=Units!$Q30),1,Inputs!$B$15)*Inputs!$B$16*(1+Inputs!$B$11)^(EA$2-1),0)</f>
        <v>0</v>
      </c>
      <c r="EB31" s="11" t="n">
        <f aca="false">IF(AND(EB$1&gt;=Units!$Q30,MOD(EB$1-Units!$Q30,12)=0),IF(AND(Units!$L30=1,EB$1=Units!$Q30),1,Inputs!$B$15)*Inputs!$B$16*(1+Inputs!$B$11)^(EB$2-1),0)</f>
        <v>0</v>
      </c>
      <c r="EC31" s="11" t="n">
        <f aca="false">IF(AND(EC$1&gt;=Units!$Q30,MOD(EC$1-Units!$Q30,12)=0),IF(AND(Units!$L30=1,EC$1=Units!$Q30),1,Inputs!$B$15)*Inputs!$B$16*(1+Inputs!$B$11)^(EC$2-1),0)</f>
        <v>0</v>
      </c>
      <c r="ED31" s="11" t="n">
        <f aca="false">IF(AND(ED$1&gt;=Units!$Q30,MOD(ED$1-Units!$Q30,12)=0),IF(AND(Units!$L30=1,ED$1=Units!$Q30),1,Inputs!$B$15)*Inputs!$B$16*(1+Inputs!$B$11)^(ED$2-1),0)</f>
        <v>0</v>
      </c>
    </row>
    <row r="32" customFormat="false" ht="15" hidden="false" customHeight="false" outlineLevel="0" collapsed="false">
      <c r="A32" s="22" t="n">
        <f aca="false">Units!A31</f>
        <v>130</v>
      </c>
      <c r="B32" s="23"/>
      <c r="C32" s="11" t="n">
        <f aca="false">IF(AND(C$1&gt;=Units!$Q31,MOD(C$1-Units!$Q31,12)=0),IF(AND(Units!$L31=1,C$1=Units!$Q31),1,Inputs!$B$15)*Inputs!$B$16*(1+Inputs!$B$11)^(C$2-1),0)</f>
        <v>0</v>
      </c>
      <c r="D32" s="11" t="n">
        <f aca="false">IF(AND(D$1&gt;=Units!$Q31,MOD(D$1-Units!$Q31,12)=0),IF(AND(Units!$L31=1,D$1=Units!$Q31),1,Inputs!$B$15)*Inputs!$B$16*(1+Inputs!$B$11)^(D$2-1),0)</f>
        <v>0</v>
      </c>
      <c r="E32" s="11" t="n">
        <f aca="false">IF(AND(E$1&gt;=Units!$Q31,MOD(E$1-Units!$Q31,12)=0),IF(AND(Units!$L31=1,E$1=Units!$Q31),1,Inputs!$B$15)*Inputs!$B$16*(1+Inputs!$B$11)^(E$2-1),0)</f>
        <v>0</v>
      </c>
      <c r="F32" s="11" t="n">
        <f aca="false">IF(AND(F$1&gt;=Units!$Q31,MOD(F$1-Units!$Q31,12)=0),IF(AND(Units!$L31=1,F$1=Units!$Q31),1,Inputs!$B$15)*Inputs!$B$16*(1+Inputs!$B$11)^(F$2-1),0)</f>
        <v>0</v>
      </c>
      <c r="G32" s="11" t="n">
        <f aca="false">IF(AND(G$1&gt;=Units!$Q31,MOD(G$1-Units!$Q31,12)=0),IF(AND(Units!$L31=1,G$1=Units!$Q31),1,Inputs!$B$15)*Inputs!$B$16*(1+Inputs!$B$11)^(G$2-1),0)</f>
        <v>0</v>
      </c>
      <c r="H32" s="11" t="n">
        <f aca="false">IF(AND(H$1&gt;=Units!$Q31,MOD(H$1-Units!$Q31,12)=0),IF(AND(Units!$L31=1,H$1=Units!$Q31),1,Inputs!$B$15)*Inputs!$B$16*(1+Inputs!$B$11)^(H$2-1),0)</f>
        <v>0</v>
      </c>
      <c r="I32" s="11" t="n">
        <f aca="false">IF(AND(I$1&gt;=Units!$Q31,MOD(I$1-Units!$Q31,12)=0),IF(AND(Units!$L31=1,I$1=Units!$Q31),1,Inputs!$B$15)*Inputs!$B$16*(1+Inputs!$B$11)^(I$2-1),0)</f>
        <v>0</v>
      </c>
      <c r="J32" s="11" t="n">
        <f aca="false">IF(AND(J$1&gt;=Units!$Q31,MOD(J$1-Units!$Q31,12)=0),IF(AND(Units!$L31=1,J$1=Units!$Q31),1,Inputs!$B$15)*Inputs!$B$16*(1+Inputs!$B$11)^(J$2-1),0)</f>
        <v>0</v>
      </c>
      <c r="K32" s="11" t="n">
        <f aca="false">IF(AND(K$1&gt;=Units!$Q31,MOD(K$1-Units!$Q31,12)=0),IF(AND(Units!$L31=1,K$1=Units!$Q31),1,Inputs!$B$15)*Inputs!$B$16*(1+Inputs!$B$11)^(K$2-1),0)</f>
        <v>500</v>
      </c>
      <c r="L32" s="11" t="n">
        <f aca="false">IF(AND(L$1&gt;=Units!$Q31,MOD(L$1-Units!$Q31,12)=0),IF(AND(Units!$L31=1,L$1=Units!$Q31),1,Inputs!$B$15)*Inputs!$B$16*(1+Inputs!$B$11)^(L$2-1),0)</f>
        <v>0</v>
      </c>
      <c r="M32" s="11" t="n">
        <f aca="false">IF(AND(M$1&gt;=Units!$Q31,MOD(M$1-Units!$Q31,12)=0),IF(AND(Units!$L31=1,M$1=Units!$Q31),1,Inputs!$B$15)*Inputs!$B$16*(1+Inputs!$B$11)^(M$2-1),0)</f>
        <v>0</v>
      </c>
      <c r="N32" s="11" t="n">
        <f aca="false">IF(AND(N$1&gt;=Units!$Q31,MOD(N$1-Units!$Q31,12)=0),IF(AND(Units!$L31=1,N$1=Units!$Q31),1,Inputs!$B$15)*Inputs!$B$16*(1+Inputs!$B$11)^(N$2-1),0)</f>
        <v>0</v>
      </c>
      <c r="O32" s="11" t="n">
        <f aca="false">IF(AND(O$1&gt;=Units!$Q31,MOD(O$1-Units!$Q31,12)=0),IF(AND(Units!$L31=1,O$1=Units!$Q31),1,Inputs!$B$15)*Inputs!$B$16*(1+Inputs!$B$11)^(O$2-1),0)</f>
        <v>0</v>
      </c>
      <c r="P32" s="11" t="n">
        <f aca="false">IF(AND(P$1&gt;=Units!$Q31,MOD(P$1-Units!$Q31,12)=0),IF(AND(Units!$L31=1,P$1=Units!$Q31),1,Inputs!$B$15)*Inputs!$B$16*(1+Inputs!$B$11)^(P$2-1),0)</f>
        <v>0</v>
      </c>
      <c r="Q32" s="11" t="n">
        <f aca="false">IF(AND(Q$1&gt;=Units!$Q31,MOD(Q$1-Units!$Q31,12)=0),IF(AND(Units!$L31=1,Q$1=Units!$Q31),1,Inputs!$B$15)*Inputs!$B$16*(1+Inputs!$B$11)^(Q$2-1),0)</f>
        <v>0</v>
      </c>
      <c r="R32" s="11" t="n">
        <f aca="false">IF(AND(R$1&gt;=Units!$Q31,MOD(R$1-Units!$Q31,12)=0),IF(AND(Units!$L31=1,R$1=Units!$Q31),1,Inputs!$B$15)*Inputs!$B$16*(1+Inputs!$B$11)^(R$2-1),0)</f>
        <v>0</v>
      </c>
      <c r="S32" s="11" t="n">
        <f aca="false">IF(AND(S$1&gt;=Units!$Q31,MOD(S$1-Units!$Q31,12)=0),IF(AND(Units!$L31=1,S$1=Units!$Q31),1,Inputs!$B$15)*Inputs!$B$16*(1+Inputs!$B$11)^(S$2-1),0)</f>
        <v>0</v>
      </c>
      <c r="T32" s="11" t="n">
        <f aca="false">IF(AND(T$1&gt;=Units!$Q31,MOD(T$1-Units!$Q31,12)=0),IF(AND(Units!$L31=1,T$1=Units!$Q31),1,Inputs!$B$15)*Inputs!$B$16*(1+Inputs!$B$11)^(T$2-1),0)</f>
        <v>0</v>
      </c>
      <c r="U32" s="11" t="n">
        <f aca="false">IF(AND(U$1&gt;=Units!$Q31,MOD(U$1-Units!$Q31,12)=0),IF(AND(Units!$L31=1,U$1=Units!$Q31),1,Inputs!$B$15)*Inputs!$B$16*(1+Inputs!$B$11)^(U$2-1),0)</f>
        <v>0</v>
      </c>
      <c r="V32" s="11" t="n">
        <f aca="false">IF(AND(V$1&gt;=Units!$Q31,MOD(V$1-Units!$Q31,12)=0),IF(AND(Units!$L31=1,V$1=Units!$Q31),1,Inputs!$B$15)*Inputs!$B$16*(1+Inputs!$B$11)^(V$2-1),0)</f>
        <v>0</v>
      </c>
      <c r="W32" s="11" t="n">
        <f aca="false">IF(AND(W$1&gt;=Units!$Q31,MOD(W$1-Units!$Q31,12)=0),IF(AND(Units!$L31=1,W$1=Units!$Q31),1,Inputs!$B$15)*Inputs!$B$16*(1+Inputs!$B$11)^(W$2-1),0)</f>
        <v>515</v>
      </c>
      <c r="X32" s="11" t="n">
        <f aca="false">IF(AND(X$1&gt;=Units!$Q31,MOD(X$1-Units!$Q31,12)=0),IF(AND(Units!$L31=1,X$1=Units!$Q31),1,Inputs!$B$15)*Inputs!$B$16*(1+Inputs!$B$11)^(X$2-1),0)</f>
        <v>0</v>
      </c>
      <c r="Y32" s="11" t="n">
        <f aca="false">IF(AND(Y$1&gt;=Units!$Q31,MOD(Y$1-Units!$Q31,12)=0),IF(AND(Units!$L31=1,Y$1=Units!$Q31),1,Inputs!$B$15)*Inputs!$B$16*(1+Inputs!$B$11)^(Y$2-1),0)</f>
        <v>0</v>
      </c>
      <c r="Z32" s="11" t="n">
        <f aca="false">IF(AND(Z$1&gt;=Units!$Q31,MOD(Z$1-Units!$Q31,12)=0),IF(AND(Units!$L31=1,Z$1=Units!$Q31),1,Inputs!$B$15)*Inputs!$B$16*(1+Inputs!$B$11)^(Z$2-1),0)</f>
        <v>0</v>
      </c>
      <c r="AA32" s="11" t="n">
        <f aca="false">IF(AND(AA$1&gt;=Units!$Q31,MOD(AA$1-Units!$Q31,12)=0),IF(AND(Units!$L31=1,AA$1=Units!$Q31),1,Inputs!$B$15)*Inputs!$B$16*(1+Inputs!$B$11)^(AA$2-1),0)</f>
        <v>0</v>
      </c>
      <c r="AB32" s="11" t="n">
        <f aca="false">IF(AND(AB$1&gt;=Units!$Q31,MOD(AB$1-Units!$Q31,12)=0),IF(AND(Units!$L31=1,AB$1=Units!$Q31),1,Inputs!$B$15)*Inputs!$B$16*(1+Inputs!$B$11)^(AB$2-1),0)</f>
        <v>0</v>
      </c>
      <c r="AC32" s="11" t="n">
        <f aca="false">IF(AND(AC$1&gt;=Units!$Q31,MOD(AC$1-Units!$Q31,12)=0),IF(AND(Units!$L31=1,AC$1=Units!$Q31),1,Inputs!$B$15)*Inputs!$B$16*(1+Inputs!$B$11)^(AC$2-1),0)</f>
        <v>0</v>
      </c>
      <c r="AD32" s="11" t="n">
        <f aca="false">IF(AND(AD$1&gt;=Units!$Q31,MOD(AD$1-Units!$Q31,12)=0),IF(AND(Units!$L31=1,AD$1=Units!$Q31),1,Inputs!$B$15)*Inputs!$B$16*(1+Inputs!$B$11)^(AD$2-1),0)</f>
        <v>0</v>
      </c>
      <c r="AE32" s="11" t="n">
        <f aca="false">IF(AND(AE$1&gt;=Units!$Q31,MOD(AE$1-Units!$Q31,12)=0),IF(AND(Units!$L31=1,AE$1=Units!$Q31),1,Inputs!$B$15)*Inputs!$B$16*(1+Inputs!$B$11)^(AE$2-1),0)</f>
        <v>0</v>
      </c>
      <c r="AF32" s="11" t="n">
        <f aca="false">IF(AND(AF$1&gt;=Units!$Q31,MOD(AF$1-Units!$Q31,12)=0),IF(AND(Units!$L31=1,AF$1=Units!$Q31),1,Inputs!$B$15)*Inputs!$B$16*(1+Inputs!$B$11)^(AF$2-1),0)</f>
        <v>0</v>
      </c>
      <c r="AG32" s="11" t="n">
        <f aca="false">IF(AND(AG$1&gt;=Units!$Q31,MOD(AG$1-Units!$Q31,12)=0),IF(AND(Units!$L31=1,AG$1=Units!$Q31),1,Inputs!$B$15)*Inputs!$B$16*(1+Inputs!$B$11)^(AG$2-1),0)</f>
        <v>0</v>
      </c>
      <c r="AH32" s="11" t="n">
        <f aca="false">IF(AND(AH$1&gt;=Units!$Q31,MOD(AH$1-Units!$Q31,12)=0),IF(AND(Units!$L31=1,AH$1=Units!$Q31),1,Inputs!$B$15)*Inputs!$B$16*(1+Inputs!$B$11)^(AH$2-1),0)</f>
        <v>0</v>
      </c>
      <c r="AI32" s="11" t="n">
        <f aca="false">IF(AND(AI$1&gt;=Units!$Q31,MOD(AI$1-Units!$Q31,12)=0),IF(AND(Units!$L31=1,AI$1=Units!$Q31),1,Inputs!$B$15)*Inputs!$B$16*(1+Inputs!$B$11)^(AI$2-1),0)</f>
        <v>530.45</v>
      </c>
      <c r="AJ32" s="11" t="n">
        <f aca="false">IF(AND(AJ$1&gt;=Units!$Q31,MOD(AJ$1-Units!$Q31,12)=0),IF(AND(Units!$L31=1,AJ$1=Units!$Q31),1,Inputs!$B$15)*Inputs!$B$16*(1+Inputs!$B$11)^(AJ$2-1),0)</f>
        <v>0</v>
      </c>
      <c r="AK32" s="11" t="n">
        <f aca="false">IF(AND(AK$1&gt;=Units!$Q31,MOD(AK$1-Units!$Q31,12)=0),IF(AND(Units!$L31=1,AK$1=Units!$Q31),1,Inputs!$B$15)*Inputs!$B$16*(1+Inputs!$B$11)^(AK$2-1),0)</f>
        <v>0</v>
      </c>
      <c r="AL32" s="11" t="n">
        <f aca="false">IF(AND(AL$1&gt;=Units!$Q31,MOD(AL$1-Units!$Q31,12)=0),IF(AND(Units!$L31=1,AL$1=Units!$Q31),1,Inputs!$B$15)*Inputs!$B$16*(1+Inputs!$B$11)^(AL$2-1),0)</f>
        <v>0</v>
      </c>
      <c r="AM32" s="11" t="n">
        <f aca="false">IF(AND(AM$1&gt;=Units!$Q31,MOD(AM$1-Units!$Q31,12)=0),IF(AND(Units!$L31=1,AM$1=Units!$Q31),1,Inputs!$B$15)*Inputs!$B$16*(1+Inputs!$B$11)^(AM$2-1),0)</f>
        <v>0</v>
      </c>
      <c r="AN32" s="11" t="n">
        <f aca="false">IF(AND(AN$1&gt;=Units!$Q31,MOD(AN$1-Units!$Q31,12)=0),IF(AND(Units!$L31=1,AN$1=Units!$Q31),1,Inputs!$B$15)*Inputs!$B$16*(1+Inputs!$B$11)^(AN$2-1),0)</f>
        <v>0</v>
      </c>
      <c r="AO32" s="11" t="n">
        <f aca="false">IF(AND(AO$1&gt;=Units!$Q31,MOD(AO$1-Units!$Q31,12)=0),IF(AND(Units!$L31=1,AO$1=Units!$Q31),1,Inputs!$B$15)*Inputs!$B$16*(1+Inputs!$B$11)^(AO$2-1),0)</f>
        <v>0</v>
      </c>
      <c r="AP32" s="11" t="n">
        <f aca="false">IF(AND(AP$1&gt;=Units!$Q31,MOD(AP$1-Units!$Q31,12)=0),IF(AND(Units!$L31=1,AP$1=Units!$Q31),1,Inputs!$B$15)*Inputs!$B$16*(1+Inputs!$B$11)^(AP$2-1),0)</f>
        <v>0</v>
      </c>
      <c r="AQ32" s="11" t="n">
        <f aca="false">IF(AND(AQ$1&gt;=Units!$Q31,MOD(AQ$1-Units!$Q31,12)=0),IF(AND(Units!$L31=1,AQ$1=Units!$Q31),1,Inputs!$B$15)*Inputs!$B$16*(1+Inputs!$B$11)^(AQ$2-1),0)</f>
        <v>0</v>
      </c>
      <c r="AR32" s="11" t="n">
        <f aca="false">IF(AND(AR$1&gt;=Units!$Q31,MOD(AR$1-Units!$Q31,12)=0),IF(AND(Units!$L31=1,AR$1=Units!$Q31),1,Inputs!$B$15)*Inputs!$B$16*(1+Inputs!$B$11)^(AR$2-1),0)</f>
        <v>0</v>
      </c>
      <c r="AS32" s="11" t="n">
        <f aca="false">IF(AND(AS$1&gt;=Units!$Q31,MOD(AS$1-Units!$Q31,12)=0),IF(AND(Units!$L31=1,AS$1=Units!$Q31),1,Inputs!$B$15)*Inputs!$B$16*(1+Inputs!$B$11)^(AS$2-1),0)</f>
        <v>0</v>
      </c>
      <c r="AT32" s="11" t="n">
        <f aca="false">IF(AND(AT$1&gt;=Units!$Q31,MOD(AT$1-Units!$Q31,12)=0),IF(AND(Units!$L31=1,AT$1=Units!$Q31),1,Inputs!$B$15)*Inputs!$B$16*(1+Inputs!$B$11)^(AT$2-1),0)</f>
        <v>0</v>
      </c>
      <c r="AU32" s="11" t="n">
        <f aca="false">IF(AND(AU$1&gt;=Units!$Q31,MOD(AU$1-Units!$Q31,12)=0),IF(AND(Units!$L31=1,AU$1=Units!$Q31),1,Inputs!$B$15)*Inputs!$B$16*(1+Inputs!$B$11)^(AU$2-1),0)</f>
        <v>546.3635</v>
      </c>
      <c r="AV32" s="11" t="n">
        <f aca="false">IF(AND(AV$1&gt;=Units!$Q31,MOD(AV$1-Units!$Q31,12)=0),IF(AND(Units!$L31=1,AV$1=Units!$Q31),1,Inputs!$B$15)*Inputs!$B$16*(1+Inputs!$B$11)^(AV$2-1),0)</f>
        <v>0</v>
      </c>
      <c r="AW32" s="11" t="n">
        <f aca="false">IF(AND(AW$1&gt;=Units!$Q31,MOD(AW$1-Units!$Q31,12)=0),IF(AND(Units!$L31=1,AW$1=Units!$Q31),1,Inputs!$B$15)*Inputs!$B$16*(1+Inputs!$B$11)^(AW$2-1),0)</f>
        <v>0</v>
      </c>
      <c r="AX32" s="11" t="n">
        <f aca="false">IF(AND(AX$1&gt;=Units!$Q31,MOD(AX$1-Units!$Q31,12)=0),IF(AND(Units!$L31=1,AX$1=Units!$Q31),1,Inputs!$B$15)*Inputs!$B$16*(1+Inputs!$B$11)^(AX$2-1),0)</f>
        <v>0</v>
      </c>
      <c r="AY32" s="11" t="n">
        <f aca="false">IF(AND(AY$1&gt;=Units!$Q31,MOD(AY$1-Units!$Q31,12)=0),IF(AND(Units!$L31=1,AY$1=Units!$Q31),1,Inputs!$B$15)*Inputs!$B$16*(1+Inputs!$B$11)^(AY$2-1),0)</f>
        <v>0</v>
      </c>
      <c r="AZ32" s="11" t="n">
        <f aca="false">IF(AND(AZ$1&gt;=Units!$Q31,MOD(AZ$1-Units!$Q31,12)=0),IF(AND(Units!$L31=1,AZ$1=Units!$Q31),1,Inputs!$B$15)*Inputs!$B$16*(1+Inputs!$B$11)^(AZ$2-1),0)</f>
        <v>0</v>
      </c>
      <c r="BA32" s="11" t="n">
        <f aca="false">IF(AND(BA$1&gt;=Units!$Q31,MOD(BA$1-Units!$Q31,12)=0),IF(AND(Units!$L31=1,BA$1=Units!$Q31),1,Inputs!$B$15)*Inputs!$B$16*(1+Inputs!$B$11)^(BA$2-1),0)</f>
        <v>0</v>
      </c>
      <c r="BB32" s="11" t="n">
        <f aca="false">IF(AND(BB$1&gt;=Units!$Q31,MOD(BB$1-Units!$Q31,12)=0),IF(AND(Units!$L31=1,BB$1=Units!$Q31),1,Inputs!$B$15)*Inputs!$B$16*(1+Inputs!$B$11)^(BB$2-1),0)</f>
        <v>0</v>
      </c>
      <c r="BC32" s="11" t="n">
        <f aca="false">IF(AND(BC$1&gt;=Units!$Q31,MOD(BC$1-Units!$Q31,12)=0),IF(AND(Units!$L31=1,BC$1=Units!$Q31),1,Inputs!$B$15)*Inputs!$B$16*(1+Inputs!$B$11)^(BC$2-1),0)</f>
        <v>0</v>
      </c>
      <c r="BD32" s="11" t="n">
        <f aca="false">IF(AND(BD$1&gt;=Units!$Q31,MOD(BD$1-Units!$Q31,12)=0),IF(AND(Units!$L31=1,BD$1=Units!$Q31),1,Inputs!$B$15)*Inputs!$B$16*(1+Inputs!$B$11)^(BD$2-1),0)</f>
        <v>0</v>
      </c>
      <c r="BE32" s="11" t="n">
        <f aca="false">IF(AND(BE$1&gt;=Units!$Q31,MOD(BE$1-Units!$Q31,12)=0),IF(AND(Units!$L31=1,BE$1=Units!$Q31),1,Inputs!$B$15)*Inputs!$B$16*(1+Inputs!$B$11)^(BE$2-1),0)</f>
        <v>0</v>
      </c>
      <c r="BF32" s="11" t="n">
        <f aca="false">IF(AND(BF$1&gt;=Units!$Q31,MOD(BF$1-Units!$Q31,12)=0),IF(AND(Units!$L31=1,BF$1=Units!$Q31),1,Inputs!$B$15)*Inputs!$B$16*(1+Inputs!$B$11)^(BF$2-1),0)</f>
        <v>0</v>
      </c>
      <c r="BG32" s="11" t="n">
        <f aca="false">IF(AND(BG$1&gt;=Units!$Q31,MOD(BG$1-Units!$Q31,12)=0),IF(AND(Units!$L31=1,BG$1=Units!$Q31),1,Inputs!$B$15)*Inputs!$B$16*(1+Inputs!$B$11)^(BG$2-1),0)</f>
        <v>562.754405</v>
      </c>
      <c r="BH32" s="11" t="n">
        <f aca="false">IF(AND(BH$1&gt;=Units!$Q31,MOD(BH$1-Units!$Q31,12)=0),IF(AND(Units!$L31=1,BH$1=Units!$Q31),1,Inputs!$B$15)*Inputs!$B$16*(1+Inputs!$B$11)^(BH$2-1),0)</f>
        <v>0</v>
      </c>
      <c r="BI32" s="11" t="n">
        <f aca="false">IF(AND(BI$1&gt;=Units!$Q31,MOD(BI$1-Units!$Q31,12)=0),IF(AND(Units!$L31=1,BI$1=Units!$Q31),1,Inputs!$B$15)*Inputs!$B$16*(1+Inputs!$B$11)^(BI$2-1),0)</f>
        <v>0</v>
      </c>
      <c r="BJ32" s="11" t="n">
        <f aca="false">IF(AND(BJ$1&gt;=Units!$Q31,MOD(BJ$1-Units!$Q31,12)=0),IF(AND(Units!$L31=1,BJ$1=Units!$Q31),1,Inputs!$B$15)*Inputs!$B$16*(1+Inputs!$B$11)^(BJ$2-1),0)</f>
        <v>0</v>
      </c>
      <c r="BK32" s="11" t="n">
        <f aca="false">IF(AND(BK$1&gt;=Units!$Q31,MOD(BK$1-Units!$Q31,12)=0),IF(AND(Units!$L31=1,BK$1=Units!$Q31),1,Inputs!$B$15)*Inputs!$B$16*(1+Inputs!$B$11)^(BK$2-1),0)</f>
        <v>0</v>
      </c>
      <c r="BL32" s="11" t="n">
        <f aca="false">IF(AND(BL$1&gt;=Units!$Q31,MOD(BL$1-Units!$Q31,12)=0),IF(AND(Units!$L31=1,BL$1=Units!$Q31),1,Inputs!$B$15)*Inputs!$B$16*(1+Inputs!$B$11)^(BL$2-1),0)</f>
        <v>0</v>
      </c>
      <c r="BM32" s="11" t="n">
        <f aca="false">IF(AND(BM$1&gt;=Units!$Q31,MOD(BM$1-Units!$Q31,12)=0),IF(AND(Units!$L31=1,BM$1=Units!$Q31),1,Inputs!$B$15)*Inputs!$B$16*(1+Inputs!$B$11)^(BM$2-1),0)</f>
        <v>0</v>
      </c>
      <c r="BN32" s="11" t="n">
        <f aca="false">IF(AND(BN$1&gt;=Units!$Q31,MOD(BN$1-Units!$Q31,12)=0),IF(AND(Units!$L31=1,BN$1=Units!$Q31),1,Inputs!$B$15)*Inputs!$B$16*(1+Inputs!$B$11)^(BN$2-1),0)</f>
        <v>0</v>
      </c>
      <c r="BO32" s="11" t="n">
        <f aca="false">IF(AND(BO$1&gt;=Units!$Q31,MOD(BO$1-Units!$Q31,12)=0),IF(AND(Units!$L31=1,BO$1=Units!$Q31),1,Inputs!$B$15)*Inputs!$B$16*(1+Inputs!$B$11)^(BO$2-1),0)</f>
        <v>0</v>
      </c>
      <c r="BP32" s="11" t="n">
        <f aca="false">IF(AND(BP$1&gt;=Units!$Q31,MOD(BP$1-Units!$Q31,12)=0),IF(AND(Units!$L31=1,BP$1=Units!$Q31),1,Inputs!$B$15)*Inputs!$B$16*(1+Inputs!$B$11)^(BP$2-1),0)</f>
        <v>0</v>
      </c>
      <c r="BQ32" s="11" t="n">
        <f aca="false">IF(AND(BQ$1&gt;=Units!$Q31,MOD(BQ$1-Units!$Q31,12)=0),IF(AND(Units!$L31=1,BQ$1=Units!$Q31),1,Inputs!$B$15)*Inputs!$B$16*(1+Inputs!$B$11)^(BQ$2-1),0)</f>
        <v>0</v>
      </c>
      <c r="BR32" s="11" t="n">
        <f aca="false">IF(AND(BR$1&gt;=Units!$Q31,MOD(BR$1-Units!$Q31,12)=0),IF(AND(Units!$L31=1,BR$1=Units!$Q31),1,Inputs!$B$15)*Inputs!$B$16*(1+Inputs!$B$11)^(BR$2-1),0)</f>
        <v>0</v>
      </c>
      <c r="BS32" s="11" t="n">
        <f aca="false">IF(AND(BS$1&gt;=Units!$Q31,MOD(BS$1-Units!$Q31,12)=0),IF(AND(Units!$L31=1,BS$1=Units!$Q31),1,Inputs!$B$15)*Inputs!$B$16*(1+Inputs!$B$11)^(BS$2-1),0)</f>
        <v>579.63703715</v>
      </c>
      <c r="BT32" s="11" t="n">
        <f aca="false">IF(AND(BT$1&gt;=Units!$Q31,MOD(BT$1-Units!$Q31,12)=0),IF(AND(Units!$L31=1,BT$1=Units!$Q31),1,Inputs!$B$15)*Inputs!$B$16*(1+Inputs!$B$11)^(BT$2-1),0)</f>
        <v>0</v>
      </c>
      <c r="BU32" s="11" t="n">
        <f aca="false">IF(AND(BU$1&gt;=Units!$Q31,MOD(BU$1-Units!$Q31,12)=0),IF(AND(Units!$L31=1,BU$1=Units!$Q31),1,Inputs!$B$15)*Inputs!$B$16*(1+Inputs!$B$11)^(BU$2-1),0)</f>
        <v>0</v>
      </c>
      <c r="BV32" s="11" t="n">
        <f aca="false">IF(AND(BV$1&gt;=Units!$Q31,MOD(BV$1-Units!$Q31,12)=0),IF(AND(Units!$L31=1,BV$1=Units!$Q31),1,Inputs!$B$15)*Inputs!$B$16*(1+Inputs!$B$11)^(BV$2-1),0)</f>
        <v>0</v>
      </c>
      <c r="BW32" s="11" t="n">
        <f aca="false">IF(AND(BW$1&gt;=Units!$Q31,MOD(BW$1-Units!$Q31,12)=0),IF(AND(Units!$L31=1,BW$1=Units!$Q31),1,Inputs!$B$15)*Inputs!$B$16*(1+Inputs!$B$11)^(BW$2-1),0)</f>
        <v>0</v>
      </c>
      <c r="BX32" s="11" t="n">
        <f aca="false">IF(AND(BX$1&gt;=Units!$Q31,MOD(BX$1-Units!$Q31,12)=0),IF(AND(Units!$L31=1,BX$1=Units!$Q31),1,Inputs!$B$15)*Inputs!$B$16*(1+Inputs!$B$11)^(BX$2-1),0)</f>
        <v>0</v>
      </c>
      <c r="BY32" s="11" t="n">
        <f aca="false">IF(AND(BY$1&gt;=Units!$Q31,MOD(BY$1-Units!$Q31,12)=0),IF(AND(Units!$L31=1,BY$1=Units!$Q31),1,Inputs!$B$15)*Inputs!$B$16*(1+Inputs!$B$11)^(BY$2-1),0)</f>
        <v>0</v>
      </c>
      <c r="BZ32" s="11" t="n">
        <f aca="false">IF(AND(BZ$1&gt;=Units!$Q31,MOD(BZ$1-Units!$Q31,12)=0),IF(AND(Units!$L31=1,BZ$1=Units!$Q31),1,Inputs!$B$15)*Inputs!$B$16*(1+Inputs!$B$11)^(BZ$2-1),0)</f>
        <v>0</v>
      </c>
      <c r="CA32" s="11" t="n">
        <f aca="false">IF(AND(CA$1&gt;=Units!$Q31,MOD(CA$1-Units!$Q31,12)=0),IF(AND(Units!$L31=1,CA$1=Units!$Q31),1,Inputs!$B$15)*Inputs!$B$16*(1+Inputs!$B$11)^(CA$2-1),0)</f>
        <v>0</v>
      </c>
      <c r="CB32" s="11" t="n">
        <f aca="false">IF(AND(CB$1&gt;=Units!$Q31,MOD(CB$1-Units!$Q31,12)=0),IF(AND(Units!$L31=1,CB$1=Units!$Q31),1,Inputs!$B$15)*Inputs!$B$16*(1+Inputs!$B$11)^(CB$2-1),0)</f>
        <v>0</v>
      </c>
      <c r="CC32" s="11" t="n">
        <f aca="false">IF(AND(CC$1&gt;=Units!$Q31,MOD(CC$1-Units!$Q31,12)=0),IF(AND(Units!$L31=1,CC$1=Units!$Q31),1,Inputs!$B$15)*Inputs!$B$16*(1+Inputs!$B$11)^(CC$2-1),0)</f>
        <v>0</v>
      </c>
      <c r="CD32" s="11" t="n">
        <f aca="false">IF(AND(CD$1&gt;=Units!$Q31,MOD(CD$1-Units!$Q31,12)=0),IF(AND(Units!$L31=1,CD$1=Units!$Q31),1,Inputs!$B$15)*Inputs!$B$16*(1+Inputs!$B$11)^(CD$2-1),0)</f>
        <v>0</v>
      </c>
      <c r="CE32" s="11" t="n">
        <f aca="false">IF(AND(CE$1&gt;=Units!$Q31,MOD(CE$1-Units!$Q31,12)=0),IF(AND(Units!$L31=1,CE$1=Units!$Q31),1,Inputs!$B$15)*Inputs!$B$16*(1+Inputs!$B$11)^(CE$2-1),0)</f>
        <v>597.0261482645</v>
      </c>
      <c r="CF32" s="11" t="n">
        <f aca="false">IF(AND(CF$1&gt;=Units!$Q31,MOD(CF$1-Units!$Q31,12)=0),IF(AND(Units!$L31=1,CF$1=Units!$Q31),1,Inputs!$B$15)*Inputs!$B$16*(1+Inputs!$B$11)^(CF$2-1),0)</f>
        <v>0</v>
      </c>
      <c r="CG32" s="11" t="n">
        <f aca="false">IF(AND(CG$1&gt;=Units!$Q31,MOD(CG$1-Units!$Q31,12)=0),IF(AND(Units!$L31=1,CG$1=Units!$Q31),1,Inputs!$B$15)*Inputs!$B$16*(1+Inputs!$B$11)^(CG$2-1),0)</f>
        <v>0</v>
      </c>
      <c r="CH32" s="11" t="n">
        <f aca="false">IF(AND(CH$1&gt;=Units!$Q31,MOD(CH$1-Units!$Q31,12)=0),IF(AND(Units!$L31=1,CH$1=Units!$Q31),1,Inputs!$B$15)*Inputs!$B$16*(1+Inputs!$B$11)^(CH$2-1),0)</f>
        <v>0</v>
      </c>
      <c r="CI32" s="11" t="n">
        <f aca="false">IF(AND(CI$1&gt;=Units!$Q31,MOD(CI$1-Units!$Q31,12)=0),IF(AND(Units!$L31=1,CI$1=Units!$Q31),1,Inputs!$B$15)*Inputs!$B$16*(1+Inputs!$B$11)^(CI$2-1),0)</f>
        <v>0</v>
      </c>
      <c r="CJ32" s="11" t="n">
        <f aca="false">IF(AND(CJ$1&gt;=Units!$Q31,MOD(CJ$1-Units!$Q31,12)=0),IF(AND(Units!$L31=1,CJ$1=Units!$Q31),1,Inputs!$B$15)*Inputs!$B$16*(1+Inputs!$B$11)^(CJ$2-1),0)</f>
        <v>0</v>
      </c>
      <c r="CK32" s="11" t="n">
        <f aca="false">IF(AND(CK$1&gt;=Units!$Q31,MOD(CK$1-Units!$Q31,12)=0),IF(AND(Units!$L31=1,CK$1=Units!$Q31),1,Inputs!$B$15)*Inputs!$B$16*(1+Inputs!$B$11)^(CK$2-1),0)</f>
        <v>0</v>
      </c>
      <c r="CL32" s="11" t="n">
        <f aca="false">IF(AND(CL$1&gt;=Units!$Q31,MOD(CL$1-Units!$Q31,12)=0),IF(AND(Units!$L31=1,CL$1=Units!$Q31),1,Inputs!$B$15)*Inputs!$B$16*(1+Inputs!$B$11)^(CL$2-1),0)</f>
        <v>0</v>
      </c>
      <c r="CM32" s="11" t="n">
        <f aca="false">IF(AND(CM$1&gt;=Units!$Q31,MOD(CM$1-Units!$Q31,12)=0),IF(AND(Units!$L31=1,CM$1=Units!$Q31),1,Inputs!$B$15)*Inputs!$B$16*(1+Inputs!$B$11)^(CM$2-1),0)</f>
        <v>0</v>
      </c>
      <c r="CN32" s="11" t="n">
        <f aca="false">IF(AND(CN$1&gt;=Units!$Q31,MOD(CN$1-Units!$Q31,12)=0),IF(AND(Units!$L31=1,CN$1=Units!$Q31),1,Inputs!$B$15)*Inputs!$B$16*(1+Inputs!$B$11)^(CN$2-1),0)</f>
        <v>0</v>
      </c>
      <c r="CO32" s="11" t="n">
        <f aca="false">IF(AND(CO$1&gt;=Units!$Q31,MOD(CO$1-Units!$Q31,12)=0),IF(AND(Units!$L31=1,CO$1=Units!$Q31),1,Inputs!$B$15)*Inputs!$B$16*(1+Inputs!$B$11)^(CO$2-1),0)</f>
        <v>0</v>
      </c>
      <c r="CP32" s="11" t="n">
        <f aca="false">IF(AND(CP$1&gt;=Units!$Q31,MOD(CP$1-Units!$Q31,12)=0),IF(AND(Units!$L31=1,CP$1=Units!$Q31),1,Inputs!$B$15)*Inputs!$B$16*(1+Inputs!$B$11)^(CP$2-1),0)</f>
        <v>0</v>
      </c>
      <c r="CQ32" s="11" t="n">
        <f aca="false">IF(AND(CQ$1&gt;=Units!$Q31,MOD(CQ$1-Units!$Q31,12)=0),IF(AND(Units!$L31=1,CQ$1=Units!$Q31),1,Inputs!$B$15)*Inputs!$B$16*(1+Inputs!$B$11)^(CQ$2-1),0)</f>
        <v>614.936932712435</v>
      </c>
      <c r="CR32" s="11" t="n">
        <f aca="false">IF(AND(CR$1&gt;=Units!$Q31,MOD(CR$1-Units!$Q31,12)=0),IF(AND(Units!$L31=1,CR$1=Units!$Q31),1,Inputs!$B$15)*Inputs!$B$16*(1+Inputs!$B$11)^(CR$2-1),0)</f>
        <v>0</v>
      </c>
      <c r="CS32" s="11" t="n">
        <f aca="false">IF(AND(CS$1&gt;=Units!$Q31,MOD(CS$1-Units!$Q31,12)=0),IF(AND(Units!$L31=1,CS$1=Units!$Q31),1,Inputs!$B$15)*Inputs!$B$16*(1+Inputs!$B$11)^(CS$2-1),0)</f>
        <v>0</v>
      </c>
      <c r="CT32" s="11" t="n">
        <f aca="false">IF(AND(CT$1&gt;=Units!$Q31,MOD(CT$1-Units!$Q31,12)=0),IF(AND(Units!$L31=1,CT$1=Units!$Q31),1,Inputs!$B$15)*Inputs!$B$16*(1+Inputs!$B$11)^(CT$2-1),0)</f>
        <v>0</v>
      </c>
      <c r="CU32" s="11" t="n">
        <f aca="false">IF(AND(CU$1&gt;=Units!$Q31,MOD(CU$1-Units!$Q31,12)=0),IF(AND(Units!$L31=1,CU$1=Units!$Q31),1,Inputs!$B$15)*Inputs!$B$16*(1+Inputs!$B$11)^(CU$2-1),0)</f>
        <v>0</v>
      </c>
      <c r="CV32" s="11" t="n">
        <f aca="false">IF(AND(CV$1&gt;=Units!$Q31,MOD(CV$1-Units!$Q31,12)=0),IF(AND(Units!$L31=1,CV$1=Units!$Q31),1,Inputs!$B$15)*Inputs!$B$16*(1+Inputs!$B$11)^(CV$2-1),0)</f>
        <v>0</v>
      </c>
      <c r="CW32" s="11" t="n">
        <f aca="false">IF(AND(CW$1&gt;=Units!$Q31,MOD(CW$1-Units!$Q31,12)=0),IF(AND(Units!$L31=1,CW$1=Units!$Q31),1,Inputs!$B$15)*Inputs!$B$16*(1+Inputs!$B$11)^(CW$2-1),0)</f>
        <v>0</v>
      </c>
      <c r="CX32" s="11" t="n">
        <f aca="false">IF(AND(CX$1&gt;=Units!$Q31,MOD(CX$1-Units!$Q31,12)=0),IF(AND(Units!$L31=1,CX$1=Units!$Q31),1,Inputs!$B$15)*Inputs!$B$16*(1+Inputs!$B$11)^(CX$2-1),0)</f>
        <v>0</v>
      </c>
      <c r="CY32" s="11" t="n">
        <f aca="false">IF(AND(CY$1&gt;=Units!$Q31,MOD(CY$1-Units!$Q31,12)=0),IF(AND(Units!$L31=1,CY$1=Units!$Q31),1,Inputs!$B$15)*Inputs!$B$16*(1+Inputs!$B$11)^(CY$2-1),0)</f>
        <v>0</v>
      </c>
      <c r="CZ32" s="11" t="n">
        <f aca="false">IF(AND(CZ$1&gt;=Units!$Q31,MOD(CZ$1-Units!$Q31,12)=0),IF(AND(Units!$L31=1,CZ$1=Units!$Q31),1,Inputs!$B$15)*Inputs!$B$16*(1+Inputs!$B$11)^(CZ$2-1),0)</f>
        <v>0</v>
      </c>
      <c r="DA32" s="11" t="n">
        <f aca="false">IF(AND(DA$1&gt;=Units!$Q31,MOD(DA$1-Units!$Q31,12)=0),IF(AND(Units!$L31=1,DA$1=Units!$Q31),1,Inputs!$B$15)*Inputs!$B$16*(1+Inputs!$B$11)^(DA$2-1),0)</f>
        <v>0</v>
      </c>
      <c r="DB32" s="11" t="n">
        <f aca="false">IF(AND(DB$1&gt;=Units!$Q31,MOD(DB$1-Units!$Q31,12)=0),IF(AND(Units!$L31=1,DB$1=Units!$Q31),1,Inputs!$B$15)*Inputs!$B$16*(1+Inputs!$B$11)^(DB$2-1),0)</f>
        <v>0</v>
      </c>
      <c r="DC32" s="11" t="n">
        <f aca="false">IF(AND(DC$1&gt;=Units!$Q31,MOD(DC$1-Units!$Q31,12)=0),IF(AND(Units!$L31=1,DC$1=Units!$Q31),1,Inputs!$B$15)*Inputs!$B$16*(1+Inputs!$B$11)^(DC$2-1),0)</f>
        <v>633.385040693808</v>
      </c>
      <c r="DD32" s="11" t="n">
        <f aca="false">IF(AND(DD$1&gt;=Units!$Q31,MOD(DD$1-Units!$Q31,12)=0),IF(AND(Units!$L31=1,DD$1=Units!$Q31),1,Inputs!$B$15)*Inputs!$B$16*(1+Inputs!$B$11)^(DD$2-1),0)</f>
        <v>0</v>
      </c>
      <c r="DE32" s="11" t="n">
        <f aca="false">IF(AND(DE$1&gt;=Units!$Q31,MOD(DE$1-Units!$Q31,12)=0),IF(AND(Units!$L31=1,DE$1=Units!$Q31),1,Inputs!$B$15)*Inputs!$B$16*(1+Inputs!$B$11)^(DE$2-1),0)</f>
        <v>0</v>
      </c>
      <c r="DF32" s="11" t="n">
        <f aca="false">IF(AND(DF$1&gt;=Units!$Q31,MOD(DF$1-Units!$Q31,12)=0),IF(AND(Units!$L31=1,DF$1=Units!$Q31),1,Inputs!$B$15)*Inputs!$B$16*(1+Inputs!$B$11)^(DF$2-1),0)</f>
        <v>0</v>
      </c>
      <c r="DG32" s="11" t="n">
        <f aca="false">IF(AND(DG$1&gt;=Units!$Q31,MOD(DG$1-Units!$Q31,12)=0),IF(AND(Units!$L31=1,DG$1=Units!$Q31),1,Inputs!$B$15)*Inputs!$B$16*(1+Inputs!$B$11)^(DG$2-1),0)</f>
        <v>0</v>
      </c>
      <c r="DH32" s="11" t="n">
        <f aca="false">IF(AND(DH$1&gt;=Units!$Q31,MOD(DH$1-Units!$Q31,12)=0),IF(AND(Units!$L31=1,DH$1=Units!$Q31),1,Inputs!$B$15)*Inputs!$B$16*(1+Inputs!$B$11)^(DH$2-1),0)</f>
        <v>0</v>
      </c>
      <c r="DI32" s="11" t="n">
        <f aca="false">IF(AND(DI$1&gt;=Units!$Q31,MOD(DI$1-Units!$Q31,12)=0),IF(AND(Units!$L31=1,DI$1=Units!$Q31),1,Inputs!$B$15)*Inputs!$B$16*(1+Inputs!$B$11)^(DI$2-1),0)</f>
        <v>0</v>
      </c>
      <c r="DJ32" s="11" t="n">
        <f aca="false">IF(AND(DJ$1&gt;=Units!$Q31,MOD(DJ$1-Units!$Q31,12)=0),IF(AND(Units!$L31=1,DJ$1=Units!$Q31),1,Inputs!$B$15)*Inputs!$B$16*(1+Inputs!$B$11)^(DJ$2-1),0)</f>
        <v>0</v>
      </c>
      <c r="DK32" s="11" t="n">
        <f aca="false">IF(AND(DK$1&gt;=Units!$Q31,MOD(DK$1-Units!$Q31,12)=0),IF(AND(Units!$L31=1,DK$1=Units!$Q31),1,Inputs!$B$15)*Inputs!$B$16*(1+Inputs!$B$11)^(DK$2-1),0)</f>
        <v>0</v>
      </c>
      <c r="DL32" s="11" t="n">
        <f aca="false">IF(AND(DL$1&gt;=Units!$Q31,MOD(DL$1-Units!$Q31,12)=0),IF(AND(Units!$L31=1,DL$1=Units!$Q31),1,Inputs!$B$15)*Inputs!$B$16*(1+Inputs!$B$11)^(DL$2-1),0)</f>
        <v>0</v>
      </c>
      <c r="DM32" s="11" t="n">
        <f aca="false">IF(AND(DM$1&gt;=Units!$Q31,MOD(DM$1-Units!$Q31,12)=0),IF(AND(Units!$L31=1,DM$1=Units!$Q31),1,Inputs!$B$15)*Inputs!$B$16*(1+Inputs!$B$11)^(DM$2-1),0)</f>
        <v>0</v>
      </c>
      <c r="DN32" s="11" t="n">
        <f aca="false">IF(AND(DN$1&gt;=Units!$Q31,MOD(DN$1-Units!$Q31,12)=0),IF(AND(Units!$L31=1,DN$1=Units!$Q31),1,Inputs!$B$15)*Inputs!$B$16*(1+Inputs!$B$11)^(DN$2-1),0)</f>
        <v>0</v>
      </c>
      <c r="DO32" s="11" t="n">
        <f aca="false">IF(AND(DO$1&gt;=Units!$Q31,MOD(DO$1-Units!$Q31,12)=0),IF(AND(Units!$L31=1,DO$1=Units!$Q31),1,Inputs!$B$15)*Inputs!$B$16*(1+Inputs!$B$11)^(DO$2-1),0)</f>
        <v>652.386591914623</v>
      </c>
      <c r="DP32" s="11" t="n">
        <f aca="false">IF(AND(DP$1&gt;=Units!$Q31,MOD(DP$1-Units!$Q31,12)=0),IF(AND(Units!$L31=1,DP$1=Units!$Q31),1,Inputs!$B$15)*Inputs!$B$16*(1+Inputs!$B$11)^(DP$2-1),0)</f>
        <v>0</v>
      </c>
      <c r="DQ32" s="11" t="n">
        <f aca="false">IF(AND(DQ$1&gt;=Units!$Q31,MOD(DQ$1-Units!$Q31,12)=0),IF(AND(Units!$L31=1,DQ$1=Units!$Q31),1,Inputs!$B$15)*Inputs!$B$16*(1+Inputs!$B$11)^(DQ$2-1),0)</f>
        <v>0</v>
      </c>
      <c r="DR32" s="11" t="n">
        <f aca="false">IF(AND(DR$1&gt;=Units!$Q31,MOD(DR$1-Units!$Q31,12)=0),IF(AND(Units!$L31=1,DR$1=Units!$Q31),1,Inputs!$B$15)*Inputs!$B$16*(1+Inputs!$B$11)^(DR$2-1),0)</f>
        <v>0</v>
      </c>
      <c r="DS32" s="11" t="n">
        <f aca="false">IF(AND(DS$1&gt;=Units!$Q31,MOD(DS$1-Units!$Q31,12)=0),IF(AND(Units!$L31=1,DS$1=Units!$Q31),1,Inputs!$B$15)*Inputs!$B$16*(1+Inputs!$B$11)^(DS$2-1),0)</f>
        <v>0</v>
      </c>
      <c r="DT32" s="11" t="n">
        <f aca="false">IF(AND(DT$1&gt;=Units!$Q31,MOD(DT$1-Units!$Q31,12)=0),IF(AND(Units!$L31=1,DT$1=Units!$Q31),1,Inputs!$B$15)*Inputs!$B$16*(1+Inputs!$B$11)^(DT$2-1),0)</f>
        <v>0</v>
      </c>
      <c r="DU32" s="11" t="n">
        <f aca="false">IF(AND(DU$1&gt;=Units!$Q31,MOD(DU$1-Units!$Q31,12)=0),IF(AND(Units!$L31=1,DU$1=Units!$Q31),1,Inputs!$B$15)*Inputs!$B$16*(1+Inputs!$B$11)^(DU$2-1),0)</f>
        <v>0</v>
      </c>
      <c r="DV32" s="11" t="n">
        <f aca="false">IF(AND(DV$1&gt;=Units!$Q31,MOD(DV$1-Units!$Q31,12)=0),IF(AND(Units!$L31=1,DV$1=Units!$Q31),1,Inputs!$B$15)*Inputs!$B$16*(1+Inputs!$B$11)^(DV$2-1),0)</f>
        <v>0</v>
      </c>
      <c r="DW32" s="11" t="n">
        <f aca="false">IF(AND(DW$1&gt;=Units!$Q31,MOD(DW$1-Units!$Q31,12)=0),IF(AND(Units!$L31=1,DW$1=Units!$Q31),1,Inputs!$B$15)*Inputs!$B$16*(1+Inputs!$B$11)^(DW$2-1),0)</f>
        <v>0</v>
      </c>
      <c r="DX32" s="11" t="n">
        <f aca="false">IF(AND(DX$1&gt;=Units!$Q31,MOD(DX$1-Units!$Q31,12)=0),IF(AND(Units!$L31=1,DX$1=Units!$Q31),1,Inputs!$B$15)*Inputs!$B$16*(1+Inputs!$B$11)^(DX$2-1),0)</f>
        <v>0</v>
      </c>
      <c r="DY32" s="11" t="n">
        <f aca="false">IF(AND(DY$1&gt;=Units!$Q31,MOD(DY$1-Units!$Q31,12)=0),IF(AND(Units!$L31=1,DY$1=Units!$Q31),1,Inputs!$B$15)*Inputs!$B$16*(1+Inputs!$B$11)^(DY$2-1),0)</f>
        <v>0</v>
      </c>
      <c r="DZ32" s="11" t="n">
        <f aca="false">IF(AND(DZ$1&gt;=Units!$Q31,MOD(DZ$1-Units!$Q31,12)=0),IF(AND(Units!$L31=1,DZ$1=Units!$Q31),1,Inputs!$B$15)*Inputs!$B$16*(1+Inputs!$B$11)^(DZ$2-1),0)</f>
        <v>0</v>
      </c>
      <c r="EA32" s="11" t="n">
        <f aca="false">IF(AND(EA$1&gt;=Units!$Q31,MOD(EA$1-Units!$Q31,12)=0),IF(AND(Units!$L31=1,EA$1=Units!$Q31),1,Inputs!$B$15)*Inputs!$B$16*(1+Inputs!$B$11)^(EA$2-1),0)</f>
        <v>671.958189672061</v>
      </c>
      <c r="EB32" s="11" t="n">
        <f aca="false">IF(AND(EB$1&gt;=Units!$Q31,MOD(EB$1-Units!$Q31,12)=0),IF(AND(Units!$L31=1,EB$1=Units!$Q31),1,Inputs!$B$15)*Inputs!$B$16*(1+Inputs!$B$11)^(EB$2-1),0)</f>
        <v>0</v>
      </c>
      <c r="EC32" s="11" t="n">
        <f aca="false">IF(AND(EC$1&gt;=Units!$Q31,MOD(EC$1-Units!$Q31,12)=0),IF(AND(Units!$L31=1,EC$1=Units!$Q31),1,Inputs!$B$15)*Inputs!$B$16*(1+Inputs!$B$11)^(EC$2-1),0)</f>
        <v>0</v>
      </c>
      <c r="ED32" s="11" t="n">
        <f aca="false">IF(AND(ED$1&gt;=Units!$Q31,MOD(ED$1-Units!$Q31,12)=0),IF(AND(Units!$L31=1,ED$1=Units!$Q31),1,Inputs!$B$15)*Inputs!$B$16*(1+Inputs!$B$11)^(ED$2-1),0)</f>
        <v>0</v>
      </c>
    </row>
    <row r="33" customFormat="false" ht="15" hidden="false" customHeight="false" outlineLevel="0" collapsed="false">
      <c r="A33" s="22" t="n">
        <f aca="false">Units!A32</f>
        <v>201</v>
      </c>
      <c r="B33" s="23"/>
      <c r="C33" s="11" t="n">
        <f aca="false">IF(AND(C$1&gt;=Units!$Q32,MOD(C$1-Units!$Q32,12)=0),IF(AND(Units!$L32=1,C$1=Units!$Q32),1,Inputs!$B$15)*Inputs!$B$16*(1+Inputs!$B$11)^(C$2-1),0)</f>
        <v>500</v>
      </c>
      <c r="D33" s="11" t="n">
        <f aca="false">IF(AND(D$1&gt;=Units!$Q32,MOD(D$1-Units!$Q32,12)=0),IF(AND(Units!$L32=1,D$1=Units!$Q32),1,Inputs!$B$15)*Inputs!$B$16*(1+Inputs!$B$11)^(D$2-1),0)</f>
        <v>0</v>
      </c>
      <c r="E33" s="11" t="n">
        <f aca="false">IF(AND(E$1&gt;=Units!$Q32,MOD(E$1-Units!$Q32,12)=0),IF(AND(Units!$L32=1,E$1=Units!$Q32),1,Inputs!$B$15)*Inputs!$B$16*(1+Inputs!$B$11)^(E$2-1),0)</f>
        <v>0</v>
      </c>
      <c r="F33" s="11" t="n">
        <f aca="false">IF(AND(F$1&gt;=Units!$Q32,MOD(F$1-Units!$Q32,12)=0),IF(AND(Units!$L32=1,F$1=Units!$Q32),1,Inputs!$B$15)*Inputs!$B$16*(1+Inputs!$B$11)^(F$2-1),0)</f>
        <v>0</v>
      </c>
      <c r="G33" s="11" t="n">
        <f aca="false">IF(AND(G$1&gt;=Units!$Q32,MOD(G$1-Units!$Q32,12)=0),IF(AND(Units!$L32=1,G$1=Units!$Q32),1,Inputs!$B$15)*Inputs!$B$16*(1+Inputs!$B$11)^(G$2-1),0)</f>
        <v>0</v>
      </c>
      <c r="H33" s="11" t="n">
        <f aca="false">IF(AND(H$1&gt;=Units!$Q32,MOD(H$1-Units!$Q32,12)=0),IF(AND(Units!$L32=1,H$1=Units!$Q32),1,Inputs!$B$15)*Inputs!$B$16*(1+Inputs!$B$11)^(H$2-1),0)</f>
        <v>0</v>
      </c>
      <c r="I33" s="11" t="n">
        <f aca="false">IF(AND(I$1&gt;=Units!$Q32,MOD(I$1-Units!$Q32,12)=0),IF(AND(Units!$L32=1,I$1=Units!$Q32),1,Inputs!$B$15)*Inputs!$B$16*(1+Inputs!$B$11)^(I$2-1),0)</f>
        <v>0</v>
      </c>
      <c r="J33" s="11" t="n">
        <f aca="false">IF(AND(J$1&gt;=Units!$Q32,MOD(J$1-Units!$Q32,12)=0),IF(AND(Units!$L32=1,J$1=Units!$Q32),1,Inputs!$B$15)*Inputs!$B$16*(1+Inputs!$B$11)^(J$2-1),0)</f>
        <v>0</v>
      </c>
      <c r="K33" s="11" t="n">
        <f aca="false">IF(AND(K$1&gt;=Units!$Q32,MOD(K$1-Units!$Q32,12)=0),IF(AND(Units!$L32=1,K$1=Units!$Q32),1,Inputs!$B$15)*Inputs!$B$16*(1+Inputs!$B$11)^(K$2-1),0)</f>
        <v>0</v>
      </c>
      <c r="L33" s="11" t="n">
        <f aca="false">IF(AND(L$1&gt;=Units!$Q32,MOD(L$1-Units!$Q32,12)=0),IF(AND(Units!$L32=1,L$1=Units!$Q32),1,Inputs!$B$15)*Inputs!$B$16*(1+Inputs!$B$11)^(L$2-1),0)</f>
        <v>0</v>
      </c>
      <c r="M33" s="11" t="n">
        <f aca="false">IF(AND(M$1&gt;=Units!$Q32,MOD(M$1-Units!$Q32,12)=0),IF(AND(Units!$L32=1,M$1=Units!$Q32),1,Inputs!$B$15)*Inputs!$B$16*(1+Inputs!$B$11)^(M$2-1),0)</f>
        <v>0</v>
      </c>
      <c r="N33" s="11" t="n">
        <f aca="false">IF(AND(N$1&gt;=Units!$Q32,MOD(N$1-Units!$Q32,12)=0),IF(AND(Units!$L32=1,N$1=Units!$Q32),1,Inputs!$B$15)*Inputs!$B$16*(1+Inputs!$B$11)^(N$2-1),0)</f>
        <v>0</v>
      </c>
      <c r="O33" s="11" t="n">
        <f aca="false">IF(AND(O$1&gt;=Units!$Q32,MOD(O$1-Units!$Q32,12)=0),IF(AND(Units!$L32=1,O$1=Units!$Q32),1,Inputs!$B$15)*Inputs!$B$16*(1+Inputs!$B$11)^(O$2-1),0)</f>
        <v>515</v>
      </c>
      <c r="P33" s="11" t="n">
        <f aca="false">IF(AND(P$1&gt;=Units!$Q32,MOD(P$1-Units!$Q32,12)=0),IF(AND(Units!$L32=1,P$1=Units!$Q32),1,Inputs!$B$15)*Inputs!$B$16*(1+Inputs!$B$11)^(P$2-1),0)</f>
        <v>0</v>
      </c>
      <c r="Q33" s="11" t="n">
        <f aca="false">IF(AND(Q$1&gt;=Units!$Q32,MOD(Q$1-Units!$Q32,12)=0),IF(AND(Units!$L32=1,Q$1=Units!$Q32),1,Inputs!$B$15)*Inputs!$B$16*(1+Inputs!$B$11)^(Q$2-1),0)</f>
        <v>0</v>
      </c>
      <c r="R33" s="11" t="n">
        <f aca="false">IF(AND(R$1&gt;=Units!$Q32,MOD(R$1-Units!$Q32,12)=0),IF(AND(Units!$L32=1,R$1=Units!$Q32),1,Inputs!$B$15)*Inputs!$B$16*(1+Inputs!$B$11)^(R$2-1),0)</f>
        <v>0</v>
      </c>
      <c r="S33" s="11" t="n">
        <f aca="false">IF(AND(S$1&gt;=Units!$Q32,MOD(S$1-Units!$Q32,12)=0),IF(AND(Units!$L32=1,S$1=Units!$Q32),1,Inputs!$B$15)*Inputs!$B$16*(1+Inputs!$B$11)^(S$2-1),0)</f>
        <v>0</v>
      </c>
      <c r="T33" s="11" t="n">
        <f aca="false">IF(AND(T$1&gt;=Units!$Q32,MOD(T$1-Units!$Q32,12)=0),IF(AND(Units!$L32=1,T$1=Units!$Q32),1,Inputs!$B$15)*Inputs!$B$16*(1+Inputs!$B$11)^(T$2-1),0)</f>
        <v>0</v>
      </c>
      <c r="U33" s="11" t="n">
        <f aca="false">IF(AND(U$1&gt;=Units!$Q32,MOD(U$1-Units!$Q32,12)=0),IF(AND(Units!$L32=1,U$1=Units!$Q32),1,Inputs!$B$15)*Inputs!$B$16*(1+Inputs!$B$11)^(U$2-1),0)</f>
        <v>0</v>
      </c>
      <c r="V33" s="11" t="n">
        <f aca="false">IF(AND(V$1&gt;=Units!$Q32,MOD(V$1-Units!$Q32,12)=0),IF(AND(Units!$L32=1,V$1=Units!$Q32),1,Inputs!$B$15)*Inputs!$B$16*(1+Inputs!$B$11)^(V$2-1),0)</f>
        <v>0</v>
      </c>
      <c r="W33" s="11" t="n">
        <f aca="false">IF(AND(W$1&gt;=Units!$Q32,MOD(W$1-Units!$Q32,12)=0),IF(AND(Units!$L32=1,W$1=Units!$Q32),1,Inputs!$B$15)*Inputs!$B$16*(1+Inputs!$B$11)^(W$2-1),0)</f>
        <v>0</v>
      </c>
      <c r="X33" s="11" t="n">
        <f aca="false">IF(AND(X$1&gt;=Units!$Q32,MOD(X$1-Units!$Q32,12)=0),IF(AND(Units!$L32=1,X$1=Units!$Q32),1,Inputs!$B$15)*Inputs!$B$16*(1+Inputs!$B$11)^(X$2-1),0)</f>
        <v>0</v>
      </c>
      <c r="Y33" s="11" t="n">
        <f aca="false">IF(AND(Y$1&gt;=Units!$Q32,MOD(Y$1-Units!$Q32,12)=0),IF(AND(Units!$L32=1,Y$1=Units!$Q32),1,Inputs!$B$15)*Inputs!$B$16*(1+Inputs!$B$11)^(Y$2-1),0)</f>
        <v>0</v>
      </c>
      <c r="Z33" s="11" t="n">
        <f aca="false">IF(AND(Z$1&gt;=Units!$Q32,MOD(Z$1-Units!$Q32,12)=0),IF(AND(Units!$L32=1,Z$1=Units!$Q32),1,Inputs!$B$15)*Inputs!$B$16*(1+Inputs!$B$11)^(Z$2-1),0)</f>
        <v>0</v>
      </c>
      <c r="AA33" s="11" t="n">
        <f aca="false">IF(AND(AA$1&gt;=Units!$Q32,MOD(AA$1-Units!$Q32,12)=0),IF(AND(Units!$L32=1,AA$1=Units!$Q32),1,Inputs!$B$15)*Inputs!$B$16*(1+Inputs!$B$11)^(AA$2-1),0)</f>
        <v>530.45</v>
      </c>
      <c r="AB33" s="11" t="n">
        <f aca="false">IF(AND(AB$1&gt;=Units!$Q32,MOD(AB$1-Units!$Q32,12)=0),IF(AND(Units!$L32=1,AB$1=Units!$Q32),1,Inputs!$B$15)*Inputs!$B$16*(1+Inputs!$B$11)^(AB$2-1),0)</f>
        <v>0</v>
      </c>
      <c r="AC33" s="11" t="n">
        <f aca="false">IF(AND(AC$1&gt;=Units!$Q32,MOD(AC$1-Units!$Q32,12)=0),IF(AND(Units!$L32=1,AC$1=Units!$Q32),1,Inputs!$B$15)*Inputs!$B$16*(1+Inputs!$B$11)^(AC$2-1),0)</f>
        <v>0</v>
      </c>
      <c r="AD33" s="11" t="n">
        <f aca="false">IF(AND(AD$1&gt;=Units!$Q32,MOD(AD$1-Units!$Q32,12)=0),IF(AND(Units!$L32=1,AD$1=Units!$Q32),1,Inputs!$B$15)*Inputs!$B$16*(1+Inputs!$B$11)^(AD$2-1),0)</f>
        <v>0</v>
      </c>
      <c r="AE33" s="11" t="n">
        <f aca="false">IF(AND(AE$1&gt;=Units!$Q32,MOD(AE$1-Units!$Q32,12)=0),IF(AND(Units!$L32=1,AE$1=Units!$Q32),1,Inputs!$B$15)*Inputs!$B$16*(1+Inputs!$B$11)^(AE$2-1),0)</f>
        <v>0</v>
      </c>
      <c r="AF33" s="11" t="n">
        <f aca="false">IF(AND(AF$1&gt;=Units!$Q32,MOD(AF$1-Units!$Q32,12)=0),IF(AND(Units!$L32=1,AF$1=Units!$Q32),1,Inputs!$B$15)*Inputs!$B$16*(1+Inputs!$B$11)^(AF$2-1),0)</f>
        <v>0</v>
      </c>
      <c r="AG33" s="11" t="n">
        <f aca="false">IF(AND(AG$1&gt;=Units!$Q32,MOD(AG$1-Units!$Q32,12)=0),IF(AND(Units!$L32=1,AG$1=Units!$Q32),1,Inputs!$B$15)*Inputs!$B$16*(1+Inputs!$B$11)^(AG$2-1),0)</f>
        <v>0</v>
      </c>
      <c r="AH33" s="11" t="n">
        <f aca="false">IF(AND(AH$1&gt;=Units!$Q32,MOD(AH$1-Units!$Q32,12)=0),IF(AND(Units!$L32=1,AH$1=Units!$Q32),1,Inputs!$B$15)*Inputs!$B$16*(1+Inputs!$B$11)^(AH$2-1),0)</f>
        <v>0</v>
      </c>
      <c r="AI33" s="11" t="n">
        <f aca="false">IF(AND(AI$1&gt;=Units!$Q32,MOD(AI$1-Units!$Q32,12)=0),IF(AND(Units!$L32=1,AI$1=Units!$Q32),1,Inputs!$B$15)*Inputs!$B$16*(1+Inputs!$B$11)^(AI$2-1),0)</f>
        <v>0</v>
      </c>
      <c r="AJ33" s="11" t="n">
        <f aca="false">IF(AND(AJ$1&gt;=Units!$Q32,MOD(AJ$1-Units!$Q32,12)=0),IF(AND(Units!$L32=1,AJ$1=Units!$Q32),1,Inputs!$B$15)*Inputs!$B$16*(1+Inputs!$B$11)^(AJ$2-1),0)</f>
        <v>0</v>
      </c>
      <c r="AK33" s="11" t="n">
        <f aca="false">IF(AND(AK$1&gt;=Units!$Q32,MOD(AK$1-Units!$Q32,12)=0),IF(AND(Units!$L32=1,AK$1=Units!$Q32),1,Inputs!$B$15)*Inputs!$B$16*(1+Inputs!$B$11)^(AK$2-1),0)</f>
        <v>0</v>
      </c>
      <c r="AL33" s="11" t="n">
        <f aca="false">IF(AND(AL$1&gt;=Units!$Q32,MOD(AL$1-Units!$Q32,12)=0),IF(AND(Units!$L32=1,AL$1=Units!$Q32),1,Inputs!$B$15)*Inputs!$B$16*(1+Inputs!$B$11)^(AL$2-1),0)</f>
        <v>0</v>
      </c>
      <c r="AM33" s="11" t="n">
        <f aca="false">IF(AND(AM$1&gt;=Units!$Q32,MOD(AM$1-Units!$Q32,12)=0),IF(AND(Units!$L32=1,AM$1=Units!$Q32),1,Inputs!$B$15)*Inputs!$B$16*(1+Inputs!$B$11)^(AM$2-1),0)</f>
        <v>546.3635</v>
      </c>
      <c r="AN33" s="11" t="n">
        <f aca="false">IF(AND(AN$1&gt;=Units!$Q32,MOD(AN$1-Units!$Q32,12)=0),IF(AND(Units!$L32=1,AN$1=Units!$Q32),1,Inputs!$B$15)*Inputs!$B$16*(1+Inputs!$B$11)^(AN$2-1),0)</f>
        <v>0</v>
      </c>
      <c r="AO33" s="11" t="n">
        <f aca="false">IF(AND(AO$1&gt;=Units!$Q32,MOD(AO$1-Units!$Q32,12)=0),IF(AND(Units!$L32=1,AO$1=Units!$Q32),1,Inputs!$B$15)*Inputs!$B$16*(1+Inputs!$B$11)^(AO$2-1),0)</f>
        <v>0</v>
      </c>
      <c r="AP33" s="11" t="n">
        <f aca="false">IF(AND(AP$1&gt;=Units!$Q32,MOD(AP$1-Units!$Q32,12)=0),IF(AND(Units!$L32=1,AP$1=Units!$Q32),1,Inputs!$B$15)*Inputs!$B$16*(1+Inputs!$B$11)^(AP$2-1),0)</f>
        <v>0</v>
      </c>
      <c r="AQ33" s="11" t="n">
        <f aca="false">IF(AND(AQ$1&gt;=Units!$Q32,MOD(AQ$1-Units!$Q32,12)=0),IF(AND(Units!$L32=1,AQ$1=Units!$Q32),1,Inputs!$B$15)*Inputs!$B$16*(1+Inputs!$B$11)^(AQ$2-1),0)</f>
        <v>0</v>
      </c>
      <c r="AR33" s="11" t="n">
        <f aca="false">IF(AND(AR$1&gt;=Units!$Q32,MOD(AR$1-Units!$Q32,12)=0),IF(AND(Units!$L32=1,AR$1=Units!$Q32),1,Inputs!$B$15)*Inputs!$B$16*(1+Inputs!$B$11)^(AR$2-1),0)</f>
        <v>0</v>
      </c>
      <c r="AS33" s="11" t="n">
        <f aca="false">IF(AND(AS$1&gt;=Units!$Q32,MOD(AS$1-Units!$Q32,12)=0),IF(AND(Units!$L32=1,AS$1=Units!$Q32),1,Inputs!$B$15)*Inputs!$B$16*(1+Inputs!$B$11)^(AS$2-1),0)</f>
        <v>0</v>
      </c>
      <c r="AT33" s="11" t="n">
        <f aca="false">IF(AND(AT$1&gt;=Units!$Q32,MOD(AT$1-Units!$Q32,12)=0),IF(AND(Units!$L32=1,AT$1=Units!$Q32),1,Inputs!$B$15)*Inputs!$B$16*(1+Inputs!$B$11)^(AT$2-1),0)</f>
        <v>0</v>
      </c>
      <c r="AU33" s="11" t="n">
        <f aca="false">IF(AND(AU$1&gt;=Units!$Q32,MOD(AU$1-Units!$Q32,12)=0),IF(AND(Units!$L32=1,AU$1=Units!$Q32),1,Inputs!$B$15)*Inputs!$B$16*(1+Inputs!$B$11)^(AU$2-1),0)</f>
        <v>0</v>
      </c>
      <c r="AV33" s="11" t="n">
        <f aca="false">IF(AND(AV$1&gt;=Units!$Q32,MOD(AV$1-Units!$Q32,12)=0),IF(AND(Units!$L32=1,AV$1=Units!$Q32),1,Inputs!$B$15)*Inputs!$B$16*(1+Inputs!$B$11)^(AV$2-1),0)</f>
        <v>0</v>
      </c>
      <c r="AW33" s="11" t="n">
        <f aca="false">IF(AND(AW$1&gt;=Units!$Q32,MOD(AW$1-Units!$Q32,12)=0),IF(AND(Units!$L32=1,AW$1=Units!$Q32),1,Inputs!$B$15)*Inputs!$B$16*(1+Inputs!$B$11)^(AW$2-1),0)</f>
        <v>0</v>
      </c>
      <c r="AX33" s="11" t="n">
        <f aca="false">IF(AND(AX$1&gt;=Units!$Q32,MOD(AX$1-Units!$Q32,12)=0),IF(AND(Units!$L32=1,AX$1=Units!$Q32),1,Inputs!$B$15)*Inputs!$B$16*(1+Inputs!$B$11)^(AX$2-1),0)</f>
        <v>0</v>
      </c>
      <c r="AY33" s="11" t="n">
        <f aca="false">IF(AND(AY$1&gt;=Units!$Q32,MOD(AY$1-Units!$Q32,12)=0),IF(AND(Units!$L32=1,AY$1=Units!$Q32),1,Inputs!$B$15)*Inputs!$B$16*(1+Inputs!$B$11)^(AY$2-1),0)</f>
        <v>562.754405</v>
      </c>
      <c r="AZ33" s="11" t="n">
        <f aca="false">IF(AND(AZ$1&gt;=Units!$Q32,MOD(AZ$1-Units!$Q32,12)=0),IF(AND(Units!$L32=1,AZ$1=Units!$Q32),1,Inputs!$B$15)*Inputs!$B$16*(1+Inputs!$B$11)^(AZ$2-1),0)</f>
        <v>0</v>
      </c>
      <c r="BA33" s="11" t="n">
        <f aca="false">IF(AND(BA$1&gt;=Units!$Q32,MOD(BA$1-Units!$Q32,12)=0),IF(AND(Units!$L32=1,BA$1=Units!$Q32),1,Inputs!$B$15)*Inputs!$B$16*(1+Inputs!$B$11)^(BA$2-1),0)</f>
        <v>0</v>
      </c>
      <c r="BB33" s="11" t="n">
        <f aca="false">IF(AND(BB$1&gt;=Units!$Q32,MOD(BB$1-Units!$Q32,12)=0),IF(AND(Units!$L32=1,BB$1=Units!$Q32),1,Inputs!$B$15)*Inputs!$B$16*(1+Inputs!$B$11)^(BB$2-1),0)</f>
        <v>0</v>
      </c>
      <c r="BC33" s="11" t="n">
        <f aca="false">IF(AND(BC$1&gt;=Units!$Q32,MOD(BC$1-Units!$Q32,12)=0),IF(AND(Units!$L32=1,BC$1=Units!$Q32),1,Inputs!$B$15)*Inputs!$B$16*(1+Inputs!$B$11)^(BC$2-1),0)</f>
        <v>0</v>
      </c>
      <c r="BD33" s="11" t="n">
        <f aca="false">IF(AND(BD$1&gt;=Units!$Q32,MOD(BD$1-Units!$Q32,12)=0),IF(AND(Units!$L32=1,BD$1=Units!$Q32),1,Inputs!$B$15)*Inputs!$B$16*(1+Inputs!$B$11)^(BD$2-1),0)</f>
        <v>0</v>
      </c>
      <c r="BE33" s="11" t="n">
        <f aca="false">IF(AND(BE$1&gt;=Units!$Q32,MOD(BE$1-Units!$Q32,12)=0),IF(AND(Units!$L32=1,BE$1=Units!$Q32),1,Inputs!$B$15)*Inputs!$B$16*(1+Inputs!$B$11)^(BE$2-1),0)</f>
        <v>0</v>
      </c>
      <c r="BF33" s="11" t="n">
        <f aca="false">IF(AND(BF$1&gt;=Units!$Q32,MOD(BF$1-Units!$Q32,12)=0),IF(AND(Units!$L32=1,BF$1=Units!$Q32),1,Inputs!$B$15)*Inputs!$B$16*(1+Inputs!$B$11)^(BF$2-1),0)</f>
        <v>0</v>
      </c>
      <c r="BG33" s="11" t="n">
        <f aca="false">IF(AND(BG$1&gt;=Units!$Q32,MOD(BG$1-Units!$Q32,12)=0),IF(AND(Units!$L32=1,BG$1=Units!$Q32),1,Inputs!$B$15)*Inputs!$B$16*(1+Inputs!$B$11)^(BG$2-1),0)</f>
        <v>0</v>
      </c>
      <c r="BH33" s="11" t="n">
        <f aca="false">IF(AND(BH$1&gt;=Units!$Q32,MOD(BH$1-Units!$Q32,12)=0),IF(AND(Units!$L32=1,BH$1=Units!$Q32),1,Inputs!$B$15)*Inputs!$B$16*(1+Inputs!$B$11)^(BH$2-1),0)</f>
        <v>0</v>
      </c>
      <c r="BI33" s="11" t="n">
        <f aca="false">IF(AND(BI$1&gt;=Units!$Q32,MOD(BI$1-Units!$Q32,12)=0),IF(AND(Units!$L32=1,BI$1=Units!$Q32),1,Inputs!$B$15)*Inputs!$B$16*(1+Inputs!$B$11)^(BI$2-1),0)</f>
        <v>0</v>
      </c>
      <c r="BJ33" s="11" t="n">
        <f aca="false">IF(AND(BJ$1&gt;=Units!$Q32,MOD(BJ$1-Units!$Q32,12)=0),IF(AND(Units!$L32=1,BJ$1=Units!$Q32),1,Inputs!$B$15)*Inputs!$B$16*(1+Inputs!$B$11)^(BJ$2-1),0)</f>
        <v>0</v>
      </c>
      <c r="BK33" s="11" t="n">
        <f aca="false">IF(AND(BK$1&gt;=Units!$Q32,MOD(BK$1-Units!$Q32,12)=0),IF(AND(Units!$L32=1,BK$1=Units!$Q32),1,Inputs!$B$15)*Inputs!$B$16*(1+Inputs!$B$11)^(BK$2-1),0)</f>
        <v>579.63703715</v>
      </c>
      <c r="BL33" s="11" t="n">
        <f aca="false">IF(AND(BL$1&gt;=Units!$Q32,MOD(BL$1-Units!$Q32,12)=0),IF(AND(Units!$L32=1,BL$1=Units!$Q32),1,Inputs!$B$15)*Inputs!$B$16*(1+Inputs!$B$11)^(BL$2-1),0)</f>
        <v>0</v>
      </c>
      <c r="BM33" s="11" t="n">
        <f aca="false">IF(AND(BM$1&gt;=Units!$Q32,MOD(BM$1-Units!$Q32,12)=0),IF(AND(Units!$L32=1,BM$1=Units!$Q32),1,Inputs!$B$15)*Inputs!$B$16*(1+Inputs!$B$11)^(BM$2-1),0)</f>
        <v>0</v>
      </c>
      <c r="BN33" s="11" t="n">
        <f aca="false">IF(AND(BN$1&gt;=Units!$Q32,MOD(BN$1-Units!$Q32,12)=0),IF(AND(Units!$L32=1,BN$1=Units!$Q32),1,Inputs!$B$15)*Inputs!$B$16*(1+Inputs!$B$11)^(BN$2-1),0)</f>
        <v>0</v>
      </c>
      <c r="BO33" s="11" t="n">
        <f aca="false">IF(AND(BO$1&gt;=Units!$Q32,MOD(BO$1-Units!$Q32,12)=0),IF(AND(Units!$L32=1,BO$1=Units!$Q32),1,Inputs!$B$15)*Inputs!$B$16*(1+Inputs!$B$11)^(BO$2-1),0)</f>
        <v>0</v>
      </c>
      <c r="BP33" s="11" t="n">
        <f aca="false">IF(AND(BP$1&gt;=Units!$Q32,MOD(BP$1-Units!$Q32,12)=0),IF(AND(Units!$L32=1,BP$1=Units!$Q32),1,Inputs!$B$15)*Inputs!$B$16*(1+Inputs!$B$11)^(BP$2-1),0)</f>
        <v>0</v>
      </c>
      <c r="BQ33" s="11" t="n">
        <f aca="false">IF(AND(BQ$1&gt;=Units!$Q32,MOD(BQ$1-Units!$Q32,12)=0),IF(AND(Units!$L32=1,BQ$1=Units!$Q32),1,Inputs!$B$15)*Inputs!$B$16*(1+Inputs!$B$11)^(BQ$2-1),0)</f>
        <v>0</v>
      </c>
      <c r="BR33" s="11" t="n">
        <f aca="false">IF(AND(BR$1&gt;=Units!$Q32,MOD(BR$1-Units!$Q32,12)=0),IF(AND(Units!$L32=1,BR$1=Units!$Q32),1,Inputs!$B$15)*Inputs!$B$16*(1+Inputs!$B$11)^(BR$2-1),0)</f>
        <v>0</v>
      </c>
      <c r="BS33" s="11" t="n">
        <f aca="false">IF(AND(BS$1&gt;=Units!$Q32,MOD(BS$1-Units!$Q32,12)=0),IF(AND(Units!$L32=1,BS$1=Units!$Q32),1,Inputs!$B$15)*Inputs!$B$16*(1+Inputs!$B$11)^(BS$2-1),0)</f>
        <v>0</v>
      </c>
      <c r="BT33" s="11" t="n">
        <f aca="false">IF(AND(BT$1&gt;=Units!$Q32,MOD(BT$1-Units!$Q32,12)=0),IF(AND(Units!$L32=1,BT$1=Units!$Q32),1,Inputs!$B$15)*Inputs!$B$16*(1+Inputs!$B$11)^(BT$2-1),0)</f>
        <v>0</v>
      </c>
      <c r="BU33" s="11" t="n">
        <f aca="false">IF(AND(BU$1&gt;=Units!$Q32,MOD(BU$1-Units!$Q32,12)=0),IF(AND(Units!$L32=1,BU$1=Units!$Q32),1,Inputs!$B$15)*Inputs!$B$16*(1+Inputs!$B$11)^(BU$2-1),0)</f>
        <v>0</v>
      </c>
      <c r="BV33" s="11" t="n">
        <f aca="false">IF(AND(BV$1&gt;=Units!$Q32,MOD(BV$1-Units!$Q32,12)=0),IF(AND(Units!$L32=1,BV$1=Units!$Q32),1,Inputs!$B$15)*Inputs!$B$16*(1+Inputs!$B$11)^(BV$2-1),0)</f>
        <v>0</v>
      </c>
      <c r="BW33" s="11" t="n">
        <f aca="false">IF(AND(BW$1&gt;=Units!$Q32,MOD(BW$1-Units!$Q32,12)=0),IF(AND(Units!$L32=1,BW$1=Units!$Q32),1,Inputs!$B$15)*Inputs!$B$16*(1+Inputs!$B$11)^(BW$2-1),0)</f>
        <v>597.0261482645</v>
      </c>
      <c r="BX33" s="11" t="n">
        <f aca="false">IF(AND(BX$1&gt;=Units!$Q32,MOD(BX$1-Units!$Q32,12)=0),IF(AND(Units!$L32=1,BX$1=Units!$Q32),1,Inputs!$B$15)*Inputs!$B$16*(1+Inputs!$B$11)^(BX$2-1),0)</f>
        <v>0</v>
      </c>
      <c r="BY33" s="11" t="n">
        <f aca="false">IF(AND(BY$1&gt;=Units!$Q32,MOD(BY$1-Units!$Q32,12)=0),IF(AND(Units!$L32=1,BY$1=Units!$Q32),1,Inputs!$B$15)*Inputs!$B$16*(1+Inputs!$B$11)^(BY$2-1),0)</f>
        <v>0</v>
      </c>
      <c r="BZ33" s="11" t="n">
        <f aca="false">IF(AND(BZ$1&gt;=Units!$Q32,MOD(BZ$1-Units!$Q32,12)=0),IF(AND(Units!$L32=1,BZ$1=Units!$Q32),1,Inputs!$B$15)*Inputs!$B$16*(1+Inputs!$B$11)^(BZ$2-1),0)</f>
        <v>0</v>
      </c>
      <c r="CA33" s="11" t="n">
        <f aca="false">IF(AND(CA$1&gt;=Units!$Q32,MOD(CA$1-Units!$Q32,12)=0),IF(AND(Units!$L32=1,CA$1=Units!$Q32),1,Inputs!$B$15)*Inputs!$B$16*(1+Inputs!$B$11)^(CA$2-1),0)</f>
        <v>0</v>
      </c>
      <c r="CB33" s="11" t="n">
        <f aca="false">IF(AND(CB$1&gt;=Units!$Q32,MOD(CB$1-Units!$Q32,12)=0),IF(AND(Units!$L32=1,CB$1=Units!$Q32),1,Inputs!$B$15)*Inputs!$B$16*(1+Inputs!$B$11)^(CB$2-1),0)</f>
        <v>0</v>
      </c>
      <c r="CC33" s="11" t="n">
        <f aca="false">IF(AND(CC$1&gt;=Units!$Q32,MOD(CC$1-Units!$Q32,12)=0),IF(AND(Units!$L32=1,CC$1=Units!$Q32),1,Inputs!$B$15)*Inputs!$B$16*(1+Inputs!$B$11)^(CC$2-1),0)</f>
        <v>0</v>
      </c>
      <c r="CD33" s="11" t="n">
        <f aca="false">IF(AND(CD$1&gt;=Units!$Q32,MOD(CD$1-Units!$Q32,12)=0),IF(AND(Units!$L32=1,CD$1=Units!$Q32),1,Inputs!$B$15)*Inputs!$B$16*(1+Inputs!$B$11)^(CD$2-1),0)</f>
        <v>0</v>
      </c>
      <c r="CE33" s="11" t="n">
        <f aca="false">IF(AND(CE$1&gt;=Units!$Q32,MOD(CE$1-Units!$Q32,12)=0),IF(AND(Units!$L32=1,CE$1=Units!$Q32),1,Inputs!$B$15)*Inputs!$B$16*(1+Inputs!$B$11)^(CE$2-1),0)</f>
        <v>0</v>
      </c>
      <c r="CF33" s="11" t="n">
        <f aca="false">IF(AND(CF$1&gt;=Units!$Q32,MOD(CF$1-Units!$Q32,12)=0),IF(AND(Units!$L32=1,CF$1=Units!$Q32),1,Inputs!$B$15)*Inputs!$B$16*(1+Inputs!$B$11)^(CF$2-1),0)</f>
        <v>0</v>
      </c>
      <c r="CG33" s="11" t="n">
        <f aca="false">IF(AND(CG$1&gt;=Units!$Q32,MOD(CG$1-Units!$Q32,12)=0),IF(AND(Units!$L32=1,CG$1=Units!$Q32),1,Inputs!$B$15)*Inputs!$B$16*(1+Inputs!$B$11)^(CG$2-1),0)</f>
        <v>0</v>
      </c>
      <c r="CH33" s="11" t="n">
        <f aca="false">IF(AND(CH$1&gt;=Units!$Q32,MOD(CH$1-Units!$Q32,12)=0),IF(AND(Units!$L32=1,CH$1=Units!$Q32),1,Inputs!$B$15)*Inputs!$B$16*(1+Inputs!$B$11)^(CH$2-1),0)</f>
        <v>0</v>
      </c>
      <c r="CI33" s="11" t="n">
        <f aca="false">IF(AND(CI$1&gt;=Units!$Q32,MOD(CI$1-Units!$Q32,12)=0),IF(AND(Units!$L32=1,CI$1=Units!$Q32),1,Inputs!$B$15)*Inputs!$B$16*(1+Inputs!$B$11)^(CI$2-1),0)</f>
        <v>614.936932712435</v>
      </c>
      <c r="CJ33" s="11" t="n">
        <f aca="false">IF(AND(CJ$1&gt;=Units!$Q32,MOD(CJ$1-Units!$Q32,12)=0),IF(AND(Units!$L32=1,CJ$1=Units!$Q32),1,Inputs!$B$15)*Inputs!$B$16*(1+Inputs!$B$11)^(CJ$2-1),0)</f>
        <v>0</v>
      </c>
      <c r="CK33" s="11" t="n">
        <f aca="false">IF(AND(CK$1&gt;=Units!$Q32,MOD(CK$1-Units!$Q32,12)=0),IF(AND(Units!$L32=1,CK$1=Units!$Q32),1,Inputs!$B$15)*Inputs!$B$16*(1+Inputs!$B$11)^(CK$2-1),0)</f>
        <v>0</v>
      </c>
      <c r="CL33" s="11" t="n">
        <f aca="false">IF(AND(CL$1&gt;=Units!$Q32,MOD(CL$1-Units!$Q32,12)=0),IF(AND(Units!$L32=1,CL$1=Units!$Q32),1,Inputs!$B$15)*Inputs!$B$16*(1+Inputs!$B$11)^(CL$2-1),0)</f>
        <v>0</v>
      </c>
      <c r="CM33" s="11" t="n">
        <f aca="false">IF(AND(CM$1&gt;=Units!$Q32,MOD(CM$1-Units!$Q32,12)=0),IF(AND(Units!$L32=1,CM$1=Units!$Q32),1,Inputs!$B$15)*Inputs!$B$16*(1+Inputs!$B$11)^(CM$2-1),0)</f>
        <v>0</v>
      </c>
      <c r="CN33" s="11" t="n">
        <f aca="false">IF(AND(CN$1&gt;=Units!$Q32,MOD(CN$1-Units!$Q32,12)=0),IF(AND(Units!$L32=1,CN$1=Units!$Q32),1,Inputs!$B$15)*Inputs!$B$16*(1+Inputs!$B$11)^(CN$2-1),0)</f>
        <v>0</v>
      </c>
      <c r="CO33" s="11" t="n">
        <f aca="false">IF(AND(CO$1&gt;=Units!$Q32,MOD(CO$1-Units!$Q32,12)=0),IF(AND(Units!$L32=1,CO$1=Units!$Q32),1,Inputs!$B$15)*Inputs!$B$16*(1+Inputs!$B$11)^(CO$2-1),0)</f>
        <v>0</v>
      </c>
      <c r="CP33" s="11" t="n">
        <f aca="false">IF(AND(CP$1&gt;=Units!$Q32,MOD(CP$1-Units!$Q32,12)=0),IF(AND(Units!$L32=1,CP$1=Units!$Q32),1,Inputs!$B$15)*Inputs!$B$16*(1+Inputs!$B$11)^(CP$2-1),0)</f>
        <v>0</v>
      </c>
      <c r="CQ33" s="11" t="n">
        <f aca="false">IF(AND(CQ$1&gt;=Units!$Q32,MOD(CQ$1-Units!$Q32,12)=0),IF(AND(Units!$L32=1,CQ$1=Units!$Q32),1,Inputs!$B$15)*Inputs!$B$16*(1+Inputs!$B$11)^(CQ$2-1),0)</f>
        <v>0</v>
      </c>
      <c r="CR33" s="11" t="n">
        <f aca="false">IF(AND(CR$1&gt;=Units!$Q32,MOD(CR$1-Units!$Q32,12)=0),IF(AND(Units!$L32=1,CR$1=Units!$Q32),1,Inputs!$B$15)*Inputs!$B$16*(1+Inputs!$B$11)^(CR$2-1),0)</f>
        <v>0</v>
      </c>
      <c r="CS33" s="11" t="n">
        <f aca="false">IF(AND(CS$1&gt;=Units!$Q32,MOD(CS$1-Units!$Q32,12)=0),IF(AND(Units!$L32=1,CS$1=Units!$Q32),1,Inputs!$B$15)*Inputs!$B$16*(1+Inputs!$B$11)^(CS$2-1),0)</f>
        <v>0</v>
      </c>
      <c r="CT33" s="11" t="n">
        <f aca="false">IF(AND(CT$1&gt;=Units!$Q32,MOD(CT$1-Units!$Q32,12)=0),IF(AND(Units!$L32=1,CT$1=Units!$Q32),1,Inputs!$B$15)*Inputs!$B$16*(1+Inputs!$B$11)^(CT$2-1),0)</f>
        <v>0</v>
      </c>
      <c r="CU33" s="11" t="n">
        <f aca="false">IF(AND(CU$1&gt;=Units!$Q32,MOD(CU$1-Units!$Q32,12)=0),IF(AND(Units!$L32=1,CU$1=Units!$Q32),1,Inputs!$B$15)*Inputs!$B$16*(1+Inputs!$B$11)^(CU$2-1),0)</f>
        <v>633.385040693808</v>
      </c>
      <c r="CV33" s="11" t="n">
        <f aca="false">IF(AND(CV$1&gt;=Units!$Q32,MOD(CV$1-Units!$Q32,12)=0),IF(AND(Units!$L32=1,CV$1=Units!$Q32),1,Inputs!$B$15)*Inputs!$B$16*(1+Inputs!$B$11)^(CV$2-1),0)</f>
        <v>0</v>
      </c>
      <c r="CW33" s="11" t="n">
        <f aca="false">IF(AND(CW$1&gt;=Units!$Q32,MOD(CW$1-Units!$Q32,12)=0),IF(AND(Units!$L32=1,CW$1=Units!$Q32),1,Inputs!$B$15)*Inputs!$B$16*(1+Inputs!$B$11)^(CW$2-1),0)</f>
        <v>0</v>
      </c>
      <c r="CX33" s="11" t="n">
        <f aca="false">IF(AND(CX$1&gt;=Units!$Q32,MOD(CX$1-Units!$Q32,12)=0),IF(AND(Units!$L32=1,CX$1=Units!$Q32),1,Inputs!$B$15)*Inputs!$B$16*(1+Inputs!$B$11)^(CX$2-1),0)</f>
        <v>0</v>
      </c>
      <c r="CY33" s="11" t="n">
        <f aca="false">IF(AND(CY$1&gt;=Units!$Q32,MOD(CY$1-Units!$Q32,12)=0),IF(AND(Units!$L32=1,CY$1=Units!$Q32),1,Inputs!$B$15)*Inputs!$B$16*(1+Inputs!$B$11)^(CY$2-1),0)</f>
        <v>0</v>
      </c>
      <c r="CZ33" s="11" t="n">
        <f aca="false">IF(AND(CZ$1&gt;=Units!$Q32,MOD(CZ$1-Units!$Q32,12)=0),IF(AND(Units!$L32=1,CZ$1=Units!$Q32),1,Inputs!$B$15)*Inputs!$B$16*(1+Inputs!$B$11)^(CZ$2-1),0)</f>
        <v>0</v>
      </c>
      <c r="DA33" s="11" t="n">
        <f aca="false">IF(AND(DA$1&gt;=Units!$Q32,MOD(DA$1-Units!$Q32,12)=0),IF(AND(Units!$L32=1,DA$1=Units!$Q32),1,Inputs!$B$15)*Inputs!$B$16*(1+Inputs!$B$11)^(DA$2-1),0)</f>
        <v>0</v>
      </c>
      <c r="DB33" s="11" t="n">
        <f aca="false">IF(AND(DB$1&gt;=Units!$Q32,MOD(DB$1-Units!$Q32,12)=0),IF(AND(Units!$L32=1,DB$1=Units!$Q32),1,Inputs!$B$15)*Inputs!$B$16*(1+Inputs!$B$11)^(DB$2-1),0)</f>
        <v>0</v>
      </c>
      <c r="DC33" s="11" t="n">
        <f aca="false">IF(AND(DC$1&gt;=Units!$Q32,MOD(DC$1-Units!$Q32,12)=0),IF(AND(Units!$L32=1,DC$1=Units!$Q32),1,Inputs!$B$15)*Inputs!$B$16*(1+Inputs!$B$11)^(DC$2-1),0)</f>
        <v>0</v>
      </c>
      <c r="DD33" s="11" t="n">
        <f aca="false">IF(AND(DD$1&gt;=Units!$Q32,MOD(DD$1-Units!$Q32,12)=0),IF(AND(Units!$L32=1,DD$1=Units!$Q32),1,Inputs!$B$15)*Inputs!$B$16*(1+Inputs!$B$11)^(DD$2-1),0)</f>
        <v>0</v>
      </c>
      <c r="DE33" s="11" t="n">
        <f aca="false">IF(AND(DE$1&gt;=Units!$Q32,MOD(DE$1-Units!$Q32,12)=0),IF(AND(Units!$L32=1,DE$1=Units!$Q32),1,Inputs!$B$15)*Inputs!$B$16*(1+Inputs!$B$11)^(DE$2-1),0)</f>
        <v>0</v>
      </c>
      <c r="DF33" s="11" t="n">
        <f aca="false">IF(AND(DF$1&gt;=Units!$Q32,MOD(DF$1-Units!$Q32,12)=0),IF(AND(Units!$L32=1,DF$1=Units!$Q32),1,Inputs!$B$15)*Inputs!$B$16*(1+Inputs!$B$11)^(DF$2-1),0)</f>
        <v>0</v>
      </c>
      <c r="DG33" s="11" t="n">
        <f aca="false">IF(AND(DG$1&gt;=Units!$Q32,MOD(DG$1-Units!$Q32,12)=0),IF(AND(Units!$L32=1,DG$1=Units!$Q32),1,Inputs!$B$15)*Inputs!$B$16*(1+Inputs!$B$11)^(DG$2-1),0)</f>
        <v>652.386591914623</v>
      </c>
      <c r="DH33" s="11" t="n">
        <f aca="false">IF(AND(DH$1&gt;=Units!$Q32,MOD(DH$1-Units!$Q32,12)=0),IF(AND(Units!$L32=1,DH$1=Units!$Q32),1,Inputs!$B$15)*Inputs!$B$16*(1+Inputs!$B$11)^(DH$2-1),0)</f>
        <v>0</v>
      </c>
      <c r="DI33" s="11" t="n">
        <f aca="false">IF(AND(DI$1&gt;=Units!$Q32,MOD(DI$1-Units!$Q32,12)=0),IF(AND(Units!$L32=1,DI$1=Units!$Q32),1,Inputs!$B$15)*Inputs!$B$16*(1+Inputs!$B$11)^(DI$2-1),0)</f>
        <v>0</v>
      </c>
      <c r="DJ33" s="11" t="n">
        <f aca="false">IF(AND(DJ$1&gt;=Units!$Q32,MOD(DJ$1-Units!$Q32,12)=0),IF(AND(Units!$L32=1,DJ$1=Units!$Q32),1,Inputs!$B$15)*Inputs!$B$16*(1+Inputs!$B$11)^(DJ$2-1),0)</f>
        <v>0</v>
      </c>
      <c r="DK33" s="11" t="n">
        <f aca="false">IF(AND(DK$1&gt;=Units!$Q32,MOD(DK$1-Units!$Q32,12)=0),IF(AND(Units!$L32=1,DK$1=Units!$Q32),1,Inputs!$B$15)*Inputs!$B$16*(1+Inputs!$B$11)^(DK$2-1),0)</f>
        <v>0</v>
      </c>
      <c r="DL33" s="11" t="n">
        <f aca="false">IF(AND(DL$1&gt;=Units!$Q32,MOD(DL$1-Units!$Q32,12)=0),IF(AND(Units!$L32=1,DL$1=Units!$Q32),1,Inputs!$B$15)*Inputs!$B$16*(1+Inputs!$B$11)^(DL$2-1),0)</f>
        <v>0</v>
      </c>
      <c r="DM33" s="11" t="n">
        <f aca="false">IF(AND(DM$1&gt;=Units!$Q32,MOD(DM$1-Units!$Q32,12)=0),IF(AND(Units!$L32=1,DM$1=Units!$Q32),1,Inputs!$B$15)*Inputs!$B$16*(1+Inputs!$B$11)^(DM$2-1),0)</f>
        <v>0</v>
      </c>
      <c r="DN33" s="11" t="n">
        <f aca="false">IF(AND(DN$1&gt;=Units!$Q32,MOD(DN$1-Units!$Q32,12)=0),IF(AND(Units!$L32=1,DN$1=Units!$Q32),1,Inputs!$B$15)*Inputs!$B$16*(1+Inputs!$B$11)^(DN$2-1),0)</f>
        <v>0</v>
      </c>
      <c r="DO33" s="11" t="n">
        <f aca="false">IF(AND(DO$1&gt;=Units!$Q32,MOD(DO$1-Units!$Q32,12)=0),IF(AND(Units!$L32=1,DO$1=Units!$Q32),1,Inputs!$B$15)*Inputs!$B$16*(1+Inputs!$B$11)^(DO$2-1),0)</f>
        <v>0</v>
      </c>
      <c r="DP33" s="11" t="n">
        <f aca="false">IF(AND(DP$1&gt;=Units!$Q32,MOD(DP$1-Units!$Q32,12)=0),IF(AND(Units!$L32=1,DP$1=Units!$Q32),1,Inputs!$B$15)*Inputs!$B$16*(1+Inputs!$B$11)^(DP$2-1),0)</f>
        <v>0</v>
      </c>
      <c r="DQ33" s="11" t="n">
        <f aca="false">IF(AND(DQ$1&gt;=Units!$Q32,MOD(DQ$1-Units!$Q32,12)=0),IF(AND(Units!$L32=1,DQ$1=Units!$Q32),1,Inputs!$B$15)*Inputs!$B$16*(1+Inputs!$B$11)^(DQ$2-1),0)</f>
        <v>0</v>
      </c>
      <c r="DR33" s="11" t="n">
        <f aca="false">IF(AND(DR$1&gt;=Units!$Q32,MOD(DR$1-Units!$Q32,12)=0),IF(AND(Units!$L32=1,DR$1=Units!$Q32),1,Inputs!$B$15)*Inputs!$B$16*(1+Inputs!$B$11)^(DR$2-1),0)</f>
        <v>0</v>
      </c>
      <c r="DS33" s="11" t="n">
        <f aca="false">IF(AND(DS$1&gt;=Units!$Q32,MOD(DS$1-Units!$Q32,12)=0),IF(AND(Units!$L32=1,DS$1=Units!$Q32),1,Inputs!$B$15)*Inputs!$B$16*(1+Inputs!$B$11)^(DS$2-1),0)</f>
        <v>671.958189672061</v>
      </c>
      <c r="DT33" s="11" t="n">
        <f aca="false">IF(AND(DT$1&gt;=Units!$Q32,MOD(DT$1-Units!$Q32,12)=0),IF(AND(Units!$L32=1,DT$1=Units!$Q32),1,Inputs!$B$15)*Inputs!$B$16*(1+Inputs!$B$11)^(DT$2-1),0)</f>
        <v>0</v>
      </c>
      <c r="DU33" s="11" t="n">
        <f aca="false">IF(AND(DU$1&gt;=Units!$Q32,MOD(DU$1-Units!$Q32,12)=0),IF(AND(Units!$L32=1,DU$1=Units!$Q32),1,Inputs!$B$15)*Inputs!$B$16*(1+Inputs!$B$11)^(DU$2-1),0)</f>
        <v>0</v>
      </c>
      <c r="DV33" s="11" t="n">
        <f aca="false">IF(AND(DV$1&gt;=Units!$Q32,MOD(DV$1-Units!$Q32,12)=0),IF(AND(Units!$L32=1,DV$1=Units!$Q32),1,Inputs!$B$15)*Inputs!$B$16*(1+Inputs!$B$11)^(DV$2-1),0)</f>
        <v>0</v>
      </c>
      <c r="DW33" s="11" t="n">
        <f aca="false">IF(AND(DW$1&gt;=Units!$Q32,MOD(DW$1-Units!$Q32,12)=0),IF(AND(Units!$L32=1,DW$1=Units!$Q32),1,Inputs!$B$15)*Inputs!$B$16*(1+Inputs!$B$11)^(DW$2-1),0)</f>
        <v>0</v>
      </c>
      <c r="DX33" s="11" t="n">
        <f aca="false">IF(AND(DX$1&gt;=Units!$Q32,MOD(DX$1-Units!$Q32,12)=0),IF(AND(Units!$L32=1,DX$1=Units!$Q32),1,Inputs!$B$15)*Inputs!$B$16*(1+Inputs!$B$11)^(DX$2-1),0)</f>
        <v>0</v>
      </c>
      <c r="DY33" s="11" t="n">
        <f aca="false">IF(AND(DY$1&gt;=Units!$Q32,MOD(DY$1-Units!$Q32,12)=0),IF(AND(Units!$L32=1,DY$1=Units!$Q32),1,Inputs!$B$15)*Inputs!$B$16*(1+Inputs!$B$11)^(DY$2-1),0)</f>
        <v>0</v>
      </c>
      <c r="DZ33" s="11" t="n">
        <f aca="false">IF(AND(DZ$1&gt;=Units!$Q32,MOD(DZ$1-Units!$Q32,12)=0),IF(AND(Units!$L32=1,DZ$1=Units!$Q32),1,Inputs!$B$15)*Inputs!$B$16*(1+Inputs!$B$11)^(DZ$2-1),0)</f>
        <v>0</v>
      </c>
      <c r="EA33" s="11" t="n">
        <f aca="false">IF(AND(EA$1&gt;=Units!$Q32,MOD(EA$1-Units!$Q32,12)=0),IF(AND(Units!$L32=1,EA$1=Units!$Q32),1,Inputs!$B$15)*Inputs!$B$16*(1+Inputs!$B$11)^(EA$2-1),0)</f>
        <v>0</v>
      </c>
      <c r="EB33" s="11" t="n">
        <f aca="false">IF(AND(EB$1&gt;=Units!$Q32,MOD(EB$1-Units!$Q32,12)=0),IF(AND(Units!$L32=1,EB$1=Units!$Q32),1,Inputs!$B$15)*Inputs!$B$16*(1+Inputs!$B$11)^(EB$2-1),0)</f>
        <v>0</v>
      </c>
      <c r="EC33" s="11" t="n">
        <f aca="false">IF(AND(EC$1&gt;=Units!$Q32,MOD(EC$1-Units!$Q32,12)=0),IF(AND(Units!$L32=1,EC$1=Units!$Q32),1,Inputs!$B$15)*Inputs!$B$16*(1+Inputs!$B$11)^(EC$2-1),0)</f>
        <v>0</v>
      </c>
      <c r="ED33" s="11" t="n">
        <f aca="false">IF(AND(ED$1&gt;=Units!$Q32,MOD(ED$1-Units!$Q32,12)=0),IF(AND(Units!$L32=1,ED$1=Units!$Q32),1,Inputs!$B$15)*Inputs!$B$16*(1+Inputs!$B$11)^(ED$2-1),0)</f>
        <v>0</v>
      </c>
    </row>
    <row r="34" customFormat="false" ht="15" hidden="false" customHeight="false" outlineLevel="0" collapsed="false">
      <c r="A34" s="22" t="n">
        <f aca="false">Units!A33</f>
        <v>202</v>
      </c>
      <c r="B34" s="23"/>
      <c r="C34" s="11" t="n">
        <f aca="false">IF(AND(C$1&gt;=Units!$Q33,MOD(C$1-Units!$Q33,12)=0),IF(AND(Units!$L33=1,C$1=Units!$Q33),1,Inputs!$B$15)*Inputs!$B$16*(1+Inputs!$B$11)^(C$2-1),0)</f>
        <v>0</v>
      </c>
      <c r="D34" s="11" t="n">
        <f aca="false">IF(AND(D$1&gt;=Units!$Q33,MOD(D$1-Units!$Q33,12)=0),IF(AND(Units!$L33=1,D$1=Units!$Q33),1,Inputs!$B$15)*Inputs!$B$16*(1+Inputs!$B$11)^(D$2-1),0)</f>
        <v>0</v>
      </c>
      <c r="E34" s="11" t="n">
        <f aca="false">IF(AND(E$1&gt;=Units!$Q33,MOD(E$1-Units!$Q33,12)=0),IF(AND(Units!$L33=1,E$1=Units!$Q33),1,Inputs!$B$15)*Inputs!$B$16*(1+Inputs!$B$11)^(E$2-1),0)</f>
        <v>0</v>
      </c>
      <c r="F34" s="11" t="n">
        <f aca="false">IF(AND(F$1&gt;=Units!$Q33,MOD(F$1-Units!$Q33,12)=0),IF(AND(Units!$L33=1,F$1=Units!$Q33),1,Inputs!$B$15)*Inputs!$B$16*(1+Inputs!$B$11)^(F$2-1),0)</f>
        <v>0</v>
      </c>
      <c r="G34" s="11" t="n">
        <f aca="false">IF(AND(G$1&gt;=Units!$Q33,MOD(G$1-Units!$Q33,12)=0),IF(AND(Units!$L33=1,G$1=Units!$Q33),1,Inputs!$B$15)*Inputs!$B$16*(1+Inputs!$B$11)^(G$2-1),0)</f>
        <v>0</v>
      </c>
      <c r="H34" s="11" t="n">
        <f aca="false">IF(AND(H$1&gt;=Units!$Q33,MOD(H$1-Units!$Q33,12)=0),IF(AND(Units!$L33=1,H$1=Units!$Q33),1,Inputs!$B$15)*Inputs!$B$16*(1+Inputs!$B$11)^(H$2-1),0)</f>
        <v>0</v>
      </c>
      <c r="I34" s="11" t="n">
        <f aca="false">IF(AND(I$1&gt;=Units!$Q33,MOD(I$1-Units!$Q33,12)=0),IF(AND(Units!$L33=1,I$1=Units!$Q33),1,Inputs!$B$15)*Inputs!$B$16*(1+Inputs!$B$11)^(I$2-1),0)</f>
        <v>0</v>
      </c>
      <c r="J34" s="11" t="n">
        <f aca="false">IF(AND(J$1&gt;=Units!$Q33,MOD(J$1-Units!$Q33,12)=0),IF(AND(Units!$L33=1,J$1=Units!$Q33),1,Inputs!$B$15)*Inputs!$B$16*(1+Inputs!$B$11)^(J$2-1),0)</f>
        <v>0</v>
      </c>
      <c r="K34" s="11" t="n">
        <f aca="false">IF(AND(K$1&gt;=Units!$Q33,MOD(K$1-Units!$Q33,12)=0),IF(AND(Units!$L33=1,K$1=Units!$Q33),1,Inputs!$B$15)*Inputs!$B$16*(1+Inputs!$B$11)^(K$2-1),0)</f>
        <v>0</v>
      </c>
      <c r="L34" s="11" t="n">
        <f aca="false">IF(AND(L$1&gt;=Units!$Q33,MOD(L$1-Units!$Q33,12)=0),IF(AND(Units!$L33=1,L$1=Units!$Q33),1,Inputs!$B$15)*Inputs!$B$16*(1+Inputs!$B$11)^(L$2-1),0)</f>
        <v>500</v>
      </c>
      <c r="M34" s="11" t="n">
        <f aca="false">IF(AND(M$1&gt;=Units!$Q33,MOD(M$1-Units!$Q33,12)=0),IF(AND(Units!$L33=1,M$1=Units!$Q33),1,Inputs!$B$15)*Inputs!$B$16*(1+Inputs!$B$11)^(M$2-1),0)</f>
        <v>0</v>
      </c>
      <c r="N34" s="11" t="n">
        <f aca="false">IF(AND(N$1&gt;=Units!$Q33,MOD(N$1-Units!$Q33,12)=0),IF(AND(Units!$L33=1,N$1=Units!$Q33),1,Inputs!$B$15)*Inputs!$B$16*(1+Inputs!$B$11)^(N$2-1),0)</f>
        <v>0</v>
      </c>
      <c r="O34" s="11" t="n">
        <f aca="false">IF(AND(O$1&gt;=Units!$Q33,MOD(O$1-Units!$Q33,12)=0),IF(AND(Units!$L33=1,O$1=Units!$Q33),1,Inputs!$B$15)*Inputs!$B$16*(1+Inputs!$B$11)^(O$2-1),0)</f>
        <v>0</v>
      </c>
      <c r="P34" s="11" t="n">
        <f aca="false">IF(AND(P$1&gt;=Units!$Q33,MOD(P$1-Units!$Q33,12)=0),IF(AND(Units!$L33=1,P$1=Units!$Q33),1,Inputs!$B$15)*Inputs!$B$16*(1+Inputs!$B$11)^(P$2-1),0)</f>
        <v>0</v>
      </c>
      <c r="Q34" s="11" t="n">
        <f aca="false">IF(AND(Q$1&gt;=Units!$Q33,MOD(Q$1-Units!$Q33,12)=0),IF(AND(Units!$L33=1,Q$1=Units!$Q33),1,Inputs!$B$15)*Inputs!$B$16*(1+Inputs!$B$11)^(Q$2-1),0)</f>
        <v>0</v>
      </c>
      <c r="R34" s="11" t="n">
        <f aca="false">IF(AND(R$1&gt;=Units!$Q33,MOD(R$1-Units!$Q33,12)=0),IF(AND(Units!$L33=1,R$1=Units!$Q33),1,Inputs!$B$15)*Inputs!$B$16*(1+Inputs!$B$11)^(R$2-1),0)</f>
        <v>0</v>
      </c>
      <c r="S34" s="11" t="n">
        <f aca="false">IF(AND(S$1&gt;=Units!$Q33,MOD(S$1-Units!$Q33,12)=0),IF(AND(Units!$L33=1,S$1=Units!$Q33),1,Inputs!$B$15)*Inputs!$B$16*(1+Inputs!$B$11)^(S$2-1),0)</f>
        <v>0</v>
      </c>
      <c r="T34" s="11" t="n">
        <f aca="false">IF(AND(T$1&gt;=Units!$Q33,MOD(T$1-Units!$Q33,12)=0),IF(AND(Units!$L33=1,T$1=Units!$Q33),1,Inputs!$B$15)*Inputs!$B$16*(1+Inputs!$B$11)^(T$2-1),0)</f>
        <v>0</v>
      </c>
      <c r="U34" s="11" t="n">
        <f aca="false">IF(AND(U$1&gt;=Units!$Q33,MOD(U$1-Units!$Q33,12)=0),IF(AND(Units!$L33=1,U$1=Units!$Q33),1,Inputs!$B$15)*Inputs!$B$16*(1+Inputs!$B$11)^(U$2-1),0)</f>
        <v>0</v>
      </c>
      <c r="V34" s="11" t="n">
        <f aca="false">IF(AND(V$1&gt;=Units!$Q33,MOD(V$1-Units!$Q33,12)=0),IF(AND(Units!$L33=1,V$1=Units!$Q33),1,Inputs!$B$15)*Inputs!$B$16*(1+Inputs!$B$11)^(V$2-1),0)</f>
        <v>0</v>
      </c>
      <c r="W34" s="11" t="n">
        <f aca="false">IF(AND(W$1&gt;=Units!$Q33,MOD(W$1-Units!$Q33,12)=0),IF(AND(Units!$L33=1,W$1=Units!$Q33),1,Inputs!$B$15)*Inputs!$B$16*(1+Inputs!$B$11)^(W$2-1),0)</f>
        <v>0</v>
      </c>
      <c r="X34" s="11" t="n">
        <f aca="false">IF(AND(X$1&gt;=Units!$Q33,MOD(X$1-Units!$Q33,12)=0),IF(AND(Units!$L33=1,X$1=Units!$Q33),1,Inputs!$B$15)*Inputs!$B$16*(1+Inputs!$B$11)^(X$2-1),0)</f>
        <v>515</v>
      </c>
      <c r="Y34" s="11" t="n">
        <f aca="false">IF(AND(Y$1&gt;=Units!$Q33,MOD(Y$1-Units!$Q33,12)=0),IF(AND(Units!$L33=1,Y$1=Units!$Q33),1,Inputs!$B$15)*Inputs!$B$16*(1+Inputs!$B$11)^(Y$2-1),0)</f>
        <v>0</v>
      </c>
      <c r="Z34" s="11" t="n">
        <f aca="false">IF(AND(Z$1&gt;=Units!$Q33,MOD(Z$1-Units!$Q33,12)=0),IF(AND(Units!$L33=1,Z$1=Units!$Q33),1,Inputs!$B$15)*Inputs!$B$16*(1+Inputs!$B$11)^(Z$2-1),0)</f>
        <v>0</v>
      </c>
      <c r="AA34" s="11" t="n">
        <f aca="false">IF(AND(AA$1&gt;=Units!$Q33,MOD(AA$1-Units!$Q33,12)=0),IF(AND(Units!$L33=1,AA$1=Units!$Q33),1,Inputs!$B$15)*Inputs!$B$16*(1+Inputs!$B$11)^(AA$2-1),0)</f>
        <v>0</v>
      </c>
      <c r="AB34" s="11" t="n">
        <f aca="false">IF(AND(AB$1&gt;=Units!$Q33,MOD(AB$1-Units!$Q33,12)=0),IF(AND(Units!$L33=1,AB$1=Units!$Q33),1,Inputs!$B$15)*Inputs!$B$16*(1+Inputs!$B$11)^(AB$2-1),0)</f>
        <v>0</v>
      </c>
      <c r="AC34" s="11" t="n">
        <f aca="false">IF(AND(AC$1&gt;=Units!$Q33,MOD(AC$1-Units!$Q33,12)=0),IF(AND(Units!$L33=1,AC$1=Units!$Q33),1,Inputs!$B$15)*Inputs!$B$16*(1+Inputs!$B$11)^(AC$2-1),0)</f>
        <v>0</v>
      </c>
      <c r="AD34" s="11" t="n">
        <f aca="false">IF(AND(AD$1&gt;=Units!$Q33,MOD(AD$1-Units!$Q33,12)=0),IF(AND(Units!$L33=1,AD$1=Units!$Q33),1,Inputs!$B$15)*Inputs!$B$16*(1+Inputs!$B$11)^(AD$2-1),0)</f>
        <v>0</v>
      </c>
      <c r="AE34" s="11" t="n">
        <f aca="false">IF(AND(AE$1&gt;=Units!$Q33,MOD(AE$1-Units!$Q33,12)=0),IF(AND(Units!$L33=1,AE$1=Units!$Q33),1,Inputs!$B$15)*Inputs!$B$16*(1+Inputs!$B$11)^(AE$2-1),0)</f>
        <v>0</v>
      </c>
      <c r="AF34" s="11" t="n">
        <f aca="false">IF(AND(AF$1&gt;=Units!$Q33,MOD(AF$1-Units!$Q33,12)=0),IF(AND(Units!$L33=1,AF$1=Units!$Q33),1,Inputs!$B$15)*Inputs!$B$16*(1+Inputs!$B$11)^(AF$2-1),0)</f>
        <v>0</v>
      </c>
      <c r="AG34" s="11" t="n">
        <f aca="false">IF(AND(AG$1&gt;=Units!$Q33,MOD(AG$1-Units!$Q33,12)=0),IF(AND(Units!$L33=1,AG$1=Units!$Q33),1,Inputs!$B$15)*Inputs!$B$16*(1+Inputs!$B$11)^(AG$2-1),0)</f>
        <v>0</v>
      </c>
      <c r="AH34" s="11" t="n">
        <f aca="false">IF(AND(AH$1&gt;=Units!$Q33,MOD(AH$1-Units!$Q33,12)=0),IF(AND(Units!$L33=1,AH$1=Units!$Q33),1,Inputs!$B$15)*Inputs!$B$16*(1+Inputs!$B$11)^(AH$2-1),0)</f>
        <v>0</v>
      </c>
      <c r="AI34" s="11" t="n">
        <f aca="false">IF(AND(AI$1&gt;=Units!$Q33,MOD(AI$1-Units!$Q33,12)=0),IF(AND(Units!$L33=1,AI$1=Units!$Q33),1,Inputs!$B$15)*Inputs!$B$16*(1+Inputs!$B$11)^(AI$2-1),0)</f>
        <v>0</v>
      </c>
      <c r="AJ34" s="11" t="n">
        <f aca="false">IF(AND(AJ$1&gt;=Units!$Q33,MOD(AJ$1-Units!$Q33,12)=0),IF(AND(Units!$L33=1,AJ$1=Units!$Q33),1,Inputs!$B$15)*Inputs!$B$16*(1+Inputs!$B$11)^(AJ$2-1),0)</f>
        <v>530.45</v>
      </c>
      <c r="AK34" s="11" t="n">
        <f aca="false">IF(AND(AK$1&gt;=Units!$Q33,MOD(AK$1-Units!$Q33,12)=0),IF(AND(Units!$L33=1,AK$1=Units!$Q33),1,Inputs!$B$15)*Inputs!$B$16*(1+Inputs!$B$11)^(AK$2-1),0)</f>
        <v>0</v>
      </c>
      <c r="AL34" s="11" t="n">
        <f aca="false">IF(AND(AL$1&gt;=Units!$Q33,MOD(AL$1-Units!$Q33,12)=0),IF(AND(Units!$L33=1,AL$1=Units!$Q33),1,Inputs!$B$15)*Inputs!$B$16*(1+Inputs!$B$11)^(AL$2-1),0)</f>
        <v>0</v>
      </c>
      <c r="AM34" s="11" t="n">
        <f aca="false">IF(AND(AM$1&gt;=Units!$Q33,MOD(AM$1-Units!$Q33,12)=0),IF(AND(Units!$L33=1,AM$1=Units!$Q33),1,Inputs!$B$15)*Inputs!$B$16*(1+Inputs!$B$11)^(AM$2-1),0)</f>
        <v>0</v>
      </c>
      <c r="AN34" s="11" t="n">
        <f aca="false">IF(AND(AN$1&gt;=Units!$Q33,MOD(AN$1-Units!$Q33,12)=0),IF(AND(Units!$L33=1,AN$1=Units!$Q33),1,Inputs!$B$15)*Inputs!$B$16*(1+Inputs!$B$11)^(AN$2-1),0)</f>
        <v>0</v>
      </c>
      <c r="AO34" s="11" t="n">
        <f aca="false">IF(AND(AO$1&gt;=Units!$Q33,MOD(AO$1-Units!$Q33,12)=0),IF(AND(Units!$L33=1,AO$1=Units!$Q33),1,Inputs!$B$15)*Inputs!$B$16*(1+Inputs!$B$11)^(AO$2-1),0)</f>
        <v>0</v>
      </c>
      <c r="AP34" s="11" t="n">
        <f aca="false">IF(AND(AP$1&gt;=Units!$Q33,MOD(AP$1-Units!$Q33,12)=0),IF(AND(Units!$L33=1,AP$1=Units!$Q33),1,Inputs!$B$15)*Inputs!$B$16*(1+Inputs!$B$11)^(AP$2-1),0)</f>
        <v>0</v>
      </c>
      <c r="AQ34" s="11" t="n">
        <f aca="false">IF(AND(AQ$1&gt;=Units!$Q33,MOD(AQ$1-Units!$Q33,12)=0),IF(AND(Units!$L33=1,AQ$1=Units!$Q33),1,Inputs!$B$15)*Inputs!$B$16*(1+Inputs!$B$11)^(AQ$2-1),0)</f>
        <v>0</v>
      </c>
      <c r="AR34" s="11" t="n">
        <f aca="false">IF(AND(AR$1&gt;=Units!$Q33,MOD(AR$1-Units!$Q33,12)=0),IF(AND(Units!$L33=1,AR$1=Units!$Q33),1,Inputs!$B$15)*Inputs!$B$16*(1+Inputs!$B$11)^(AR$2-1),0)</f>
        <v>0</v>
      </c>
      <c r="AS34" s="11" t="n">
        <f aca="false">IF(AND(AS$1&gt;=Units!$Q33,MOD(AS$1-Units!$Q33,12)=0),IF(AND(Units!$L33=1,AS$1=Units!$Q33),1,Inputs!$B$15)*Inputs!$B$16*(1+Inputs!$B$11)^(AS$2-1),0)</f>
        <v>0</v>
      </c>
      <c r="AT34" s="11" t="n">
        <f aca="false">IF(AND(AT$1&gt;=Units!$Q33,MOD(AT$1-Units!$Q33,12)=0),IF(AND(Units!$L33=1,AT$1=Units!$Q33),1,Inputs!$B$15)*Inputs!$B$16*(1+Inputs!$B$11)^(AT$2-1),0)</f>
        <v>0</v>
      </c>
      <c r="AU34" s="11" t="n">
        <f aca="false">IF(AND(AU$1&gt;=Units!$Q33,MOD(AU$1-Units!$Q33,12)=0),IF(AND(Units!$L33=1,AU$1=Units!$Q33),1,Inputs!$B$15)*Inputs!$B$16*(1+Inputs!$B$11)^(AU$2-1),0)</f>
        <v>0</v>
      </c>
      <c r="AV34" s="11" t="n">
        <f aca="false">IF(AND(AV$1&gt;=Units!$Q33,MOD(AV$1-Units!$Q33,12)=0),IF(AND(Units!$L33=1,AV$1=Units!$Q33),1,Inputs!$B$15)*Inputs!$B$16*(1+Inputs!$B$11)^(AV$2-1),0)</f>
        <v>546.3635</v>
      </c>
      <c r="AW34" s="11" t="n">
        <f aca="false">IF(AND(AW$1&gt;=Units!$Q33,MOD(AW$1-Units!$Q33,12)=0),IF(AND(Units!$L33=1,AW$1=Units!$Q33),1,Inputs!$B$15)*Inputs!$B$16*(1+Inputs!$B$11)^(AW$2-1),0)</f>
        <v>0</v>
      </c>
      <c r="AX34" s="11" t="n">
        <f aca="false">IF(AND(AX$1&gt;=Units!$Q33,MOD(AX$1-Units!$Q33,12)=0),IF(AND(Units!$L33=1,AX$1=Units!$Q33),1,Inputs!$B$15)*Inputs!$B$16*(1+Inputs!$B$11)^(AX$2-1),0)</f>
        <v>0</v>
      </c>
      <c r="AY34" s="11" t="n">
        <f aca="false">IF(AND(AY$1&gt;=Units!$Q33,MOD(AY$1-Units!$Q33,12)=0),IF(AND(Units!$L33=1,AY$1=Units!$Q33),1,Inputs!$B$15)*Inputs!$B$16*(1+Inputs!$B$11)^(AY$2-1),0)</f>
        <v>0</v>
      </c>
      <c r="AZ34" s="11" t="n">
        <f aca="false">IF(AND(AZ$1&gt;=Units!$Q33,MOD(AZ$1-Units!$Q33,12)=0),IF(AND(Units!$L33=1,AZ$1=Units!$Q33),1,Inputs!$B$15)*Inputs!$B$16*(1+Inputs!$B$11)^(AZ$2-1),0)</f>
        <v>0</v>
      </c>
      <c r="BA34" s="11" t="n">
        <f aca="false">IF(AND(BA$1&gt;=Units!$Q33,MOD(BA$1-Units!$Q33,12)=0),IF(AND(Units!$L33=1,BA$1=Units!$Q33),1,Inputs!$B$15)*Inputs!$B$16*(1+Inputs!$B$11)^(BA$2-1),0)</f>
        <v>0</v>
      </c>
      <c r="BB34" s="11" t="n">
        <f aca="false">IF(AND(BB$1&gt;=Units!$Q33,MOD(BB$1-Units!$Q33,12)=0),IF(AND(Units!$L33=1,BB$1=Units!$Q33),1,Inputs!$B$15)*Inputs!$B$16*(1+Inputs!$B$11)^(BB$2-1),0)</f>
        <v>0</v>
      </c>
      <c r="BC34" s="11" t="n">
        <f aca="false">IF(AND(BC$1&gt;=Units!$Q33,MOD(BC$1-Units!$Q33,12)=0),IF(AND(Units!$L33=1,BC$1=Units!$Q33),1,Inputs!$B$15)*Inputs!$B$16*(1+Inputs!$B$11)^(BC$2-1),0)</f>
        <v>0</v>
      </c>
      <c r="BD34" s="11" t="n">
        <f aca="false">IF(AND(BD$1&gt;=Units!$Q33,MOD(BD$1-Units!$Q33,12)=0),IF(AND(Units!$L33=1,BD$1=Units!$Q33),1,Inputs!$B$15)*Inputs!$B$16*(1+Inputs!$B$11)^(BD$2-1),0)</f>
        <v>0</v>
      </c>
      <c r="BE34" s="11" t="n">
        <f aca="false">IF(AND(BE$1&gt;=Units!$Q33,MOD(BE$1-Units!$Q33,12)=0),IF(AND(Units!$L33=1,BE$1=Units!$Q33),1,Inputs!$B$15)*Inputs!$B$16*(1+Inputs!$B$11)^(BE$2-1),0)</f>
        <v>0</v>
      </c>
      <c r="BF34" s="11" t="n">
        <f aca="false">IF(AND(BF$1&gt;=Units!$Q33,MOD(BF$1-Units!$Q33,12)=0),IF(AND(Units!$L33=1,BF$1=Units!$Q33),1,Inputs!$B$15)*Inputs!$B$16*(1+Inputs!$B$11)^(BF$2-1),0)</f>
        <v>0</v>
      </c>
      <c r="BG34" s="11" t="n">
        <f aca="false">IF(AND(BG$1&gt;=Units!$Q33,MOD(BG$1-Units!$Q33,12)=0),IF(AND(Units!$L33=1,BG$1=Units!$Q33),1,Inputs!$B$15)*Inputs!$B$16*(1+Inputs!$B$11)^(BG$2-1),0)</f>
        <v>0</v>
      </c>
      <c r="BH34" s="11" t="n">
        <f aca="false">IF(AND(BH$1&gt;=Units!$Q33,MOD(BH$1-Units!$Q33,12)=0),IF(AND(Units!$L33=1,BH$1=Units!$Q33),1,Inputs!$B$15)*Inputs!$B$16*(1+Inputs!$B$11)^(BH$2-1),0)</f>
        <v>562.754405</v>
      </c>
      <c r="BI34" s="11" t="n">
        <f aca="false">IF(AND(BI$1&gt;=Units!$Q33,MOD(BI$1-Units!$Q33,12)=0),IF(AND(Units!$L33=1,BI$1=Units!$Q33),1,Inputs!$B$15)*Inputs!$B$16*(1+Inputs!$B$11)^(BI$2-1),0)</f>
        <v>0</v>
      </c>
      <c r="BJ34" s="11" t="n">
        <f aca="false">IF(AND(BJ$1&gt;=Units!$Q33,MOD(BJ$1-Units!$Q33,12)=0),IF(AND(Units!$L33=1,BJ$1=Units!$Q33),1,Inputs!$B$15)*Inputs!$B$16*(1+Inputs!$B$11)^(BJ$2-1),0)</f>
        <v>0</v>
      </c>
      <c r="BK34" s="11" t="n">
        <f aca="false">IF(AND(BK$1&gt;=Units!$Q33,MOD(BK$1-Units!$Q33,12)=0),IF(AND(Units!$L33=1,BK$1=Units!$Q33),1,Inputs!$B$15)*Inputs!$B$16*(1+Inputs!$B$11)^(BK$2-1),0)</f>
        <v>0</v>
      </c>
      <c r="BL34" s="11" t="n">
        <f aca="false">IF(AND(BL$1&gt;=Units!$Q33,MOD(BL$1-Units!$Q33,12)=0),IF(AND(Units!$L33=1,BL$1=Units!$Q33),1,Inputs!$B$15)*Inputs!$B$16*(1+Inputs!$B$11)^(BL$2-1),0)</f>
        <v>0</v>
      </c>
      <c r="BM34" s="11" t="n">
        <f aca="false">IF(AND(BM$1&gt;=Units!$Q33,MOD(BM$1-Units!$Q33,12)=0),IF(AND(Units!$L33=1,BM$1=Units!$Q33),1,Inputs!$B$15)*Inputs!$B$16*(1+Inputs!$B$11)^(BM$2-1),0)</f>
        <v>0</v>
      </c>
      <c r="BN34" s="11" t="n">
        <f aca="false">IF(AND(BN$1&gt;=Units!$Q33,MOD(BN$1-Units!$Q33,12)=0),IF(AND(Units!$L33=1,BN$1=Units!$Q33),1,Inputs!$B$15)*Inputs!$B$16*(1+Inputs!$B$11)^(BN$2-1),0)</f>
        <v>0</v>
      </c>
      <c r="BO34" s="11" t="n">
        <f aca="false">IF(AND(BO$1&gt;=Units!$Q33,MOD(BO$1-Units!$Q33,12)=0),IF(AND(Units!$L33=1,BO$1=Units!$Q33),1,Inputs!$B$15)*Inputs!$B$16*(1+Inputs!$B$11)^(BO$2-1),0)</f>
        <v>0</v>
      </c>
      <c r="BP34" s="11" t="n">
        <f aca="false">IF(AND(BP$1&gt;=Units!$Q33,MOD(BP$1-Units!$Q33,12)=0),IF(AND(Units!$L33=1,BP$1=Units!$Q33),1,Inputs!$B$15)*Inputs!$B$16*(1+Inputs!$B$11)^(BP$2-1),0)</f>
        <v>0</v>
      </c>
      <c r="BQ34" s="11" t="n">
        <f aca="false">IF(AND(BQ$1&gt;=Units!$Q33,MOD(BQ$1-Units!$Q33,12)=0),IF(AND(Units!$L33=1,BQ$1=Units!$Q33),1,Inputs!$B$15)*Inputs!$B$16*(1+Inputs!$B$11)^(BQ$2-1),0)</f>
        <v>0</v>
      </c>
      <c r="BR34" s="11" t="n">
        <f aca="false">IF(AND(BR$1&gt;=Units!$Q33,MOD(BR$1-Units!$Q33,12)=0),IF(AND(Units!$L33=1,BR$1=Units!$Q33),1,Inputs!$B$15)*Inputs!$B$16*(1+Inputs!$B$11)^(BR$2-1),0)</f>
        <v>0</v>
      </c>
      <c r="BS34" s="11" t="n">
        <f aca="false">IF(AND(BS$1&gt;=Units!$Q33,MOD(BS$1-Units!$Q33,12)=0),IF(AND(Units!$L33=1,BS$1=Units!$Q33),1,Inputs!$B$15)*Inputs!$B$16*(1+Inputs!$B$11)^(BS$2-1),0)</f>
        <v>0</v>
      </c>
      <c r="BT34" s="11" t="n">
        <f aca="false">IF(AND(BT$1&gt;=Units!$Q33,MOD(BT$1-Units!$Q33,12)=0),IF(AND(Units!$L33=1,BT$1=Units!$Q33),1,Inputs!$B$15)*Inputs!$B$16*(1+Inputs!$B$11)^(BT$2-1),0)</f>
        <v>579.63703715</v>
      </c>
      <c r="BU34" s="11" t="n">
        <f aca="false">IF(AND(BU$1&gt;=Units!$Q33,MOD(BU$1-Units!$Q33,12)=0),IF(AND(Units!$L33=1,BU$1=Units!$Q33),1,Inputs!$B$15)*Inputs!$B$16*(1+Inputs!$B$11)^(BU$2-1),0)</f>
        <v>0</v>
      </c>
      <c r="BV34" s="11" t="n">
        <f aca="false">IF(AND(BV$1&gt;=Units!$Q33,MOD(BV$1-Units!$Q33,12)=0),IF(AND(Units!$L33=1,BV$1=Units!$Q33),1,Inputs!$B$15)*Inputs!$B$16*(1+Inputs!$B$11)^(BV$2-1),0)</f>
        <v>0</v>
      </c>
      <c r="BW34" s="11" t="n">
        <f aca="false">IF(AND(BW$1&gt;=Units!$Q33,MOD(BW$1-Units!$Q33,12)=0),IF(AND(Units!$L33=1,BW$1=Units!$Q33),1,Inputs!$B$15)*Inputs!$B$16*(1+Inputs!$B$11)^(BW$2-1),0)</f>
        <v>0</v>
      </c>
      <c r="BX34" s="11" t="n">
        <f aca="false">IF(AND(BX$1&gt;=Units!$Q33,MOD(BX$1-Units!$Q33,12)=0),IF(AND(Units!$L33=1,BX$1=Units!$Q33),1,Inputs!$B$15)*Inputs!$B$16*(1+Inputs!$B$11)^(BX$2-1),0)</f>
        <v>0</v>
      </c>
      <c r="BY34" s="11" t="n">
        <f aca="false">IF(AND(BY$1&gt;=Units!$Q33,MOD(BY$1-Units!$Q33,12)=0),IF(AND(Units!$L33=1,BY$1=Units!$Q33),1,Inputs!$B$15)*Inputs!$B$16*(1+Inputs!$B$11)^(BY$2-1),0)</f>
        <v>0</v>
      </c>
      <c r="BZ34" s="11" t="n">
        <f aca="false">IF(AND(BZ$1&gt;=Units!$Q33,MOD(BZ$1-Units!$Q33,12)=0),IF(AND(Units!$L33=1,BZ$1=Units!$Q33),1,Inputs!$B$15)*Inputs!$B$16*(1+Inputs!$B$11)^(BZ$2-1),0)</f>
        <v>0</v>
      </c>
      <c r="CA34" s="11" t="n">
        <f aca="false">IF(AND(CA$1&gt;=Units!$Q33,MOD(CA$1-Units!$Q33,12)=0),IF(AND(Units!$L33=1,CA$1=Units!$Q33),1,Inputs!$B$15)*Inputs!$B$16*(1+Inputs!$B$11)^(CA$2-1),0)</f>
        <v>0</v>
      </c>
      <c r="CB34" s="11" t="n">
        <f aca="false">IF(AND(CB$1&gt;=Units!$Q33,MOD(CB$1-Units!$Q33,12)=0),IF(AND(Units!$L33=1,CB$1=Units!$Q33),1,Inputs!$B$15)*Inputs!$B$16*(1+Inputs!$B$11)^(CB$2-1),0)</f>
        <v>0</v>
      </c>
      <c r="CC34" s="11" t="n">
        <f aca="false">IF(AND(CC$1&gt;=Units!$Q33,MOD(CC$1-Units!$Q33,12)=0),IF(AND(Units!$L33=1,CC$1=Units!$Q33),1,Inputs!$B$15)*Inputs!$B$16*(1+Inputs!$B$11)^(CC$2-1),0)</f>
        <v>0</v>
      </c>
      <c r="CD34" s="11" t="n">
        <f aca="false">IF(AND(CD$1&gt;=Units!$Q33,MOD(CD$1-Units!$Q33,12)=0),IF(AND(Units!$L33=1,CD$1=Units!$Q33),1,Inputs!$B$15)*Inputs!$B$16*(1+Inputs!$B$11)^(CD$2-1),0)</f>
        <v>0</v>
      </c>
      <c r="CE34" s="11" t="n">
        <f aca="false">IF(AND(CE$1&gt;=Units!$Q33,MOD(CE$1-Units!$Q33,12)=0),IF(AND(Units!$L33=1,CE$1=Units!$Q33),1,Inputs!$B$15)*Inputs!$B$16*(1+Inputs!$B$11)^(CE$2-1),0)</f>
        <v>0</v>
      </c>
      <c r="CF34" s="11" t="n">
        <f aca="false">IF(AND(CF$1&gt;=Units!$Q33,MOD(CF$1-Units!$Q33,12)=0),IF(AND(Units!$L33=1,CF$1=Units!$Q33),1,Inputs!$B$15)*Inputs!$B$16*(1+Inputs!$B$11)^(CF$2-1),0)</f>
        <v>597.0261482645</v>
      </c>
      <c r="CG34" s="11" t="n">
        <f aca="false">IF(AND(CG$1&gt;=Units!$Q33,MOD(CG$1-Units!$Q33,12)=0),IF(AND(Units!$L33=1,CG$1=Units!$Q33),1,Inputs!$B$15)*Inputs!$B$16*(1+Inputs!$B$11)^(CG$2-1),0)</f>
        <v>0</v>
      </c>
      <c r="CH34" s="11" t="n">
        <f aca="false">IF(AND(CH$1&gt;=Units!$Q33,MOD(CH$1-Units!$Q33,12)=0),IF(AND(Units!$L33=1,CH$1=Units!$Q33),1,Inputs!$B$15)*Inputs!$B$16*(1+Inputs!$B$11)^(CH$2-1),0)</f>
        <v>0</v>
      </c>
      <c r="CI34" s="11" t="n">
        <f aca="false">IF(AND(CI$1&gt;=Units!$Q33,MOD(CI$1-Units!$Q33,12)=0),IF(AND(Units!$L33=1,CI$1=Units!$Q33),1,Inputs!$B$15)*Inputs!$B$16*(1+Inputs!$B$11)^(CI$2-1),0)</f>
        <v>0</v>
      </c>
      <c r="CJ34" s="11" t="n">
        <f aca="false">IF(AND(CJ$1&gt;=Units!$Q33,MOD(CJ$1-Units!$Q33,12)=0),IF(AND(Units!$L33=1,CJ$1=Units!$Q33),1,Inputs!$B$15)*Inputs!$B$16*(1+Inputs!$B$11)^(CJ$2-1),0)</f>
        <v>0</v>
      </c>
      <c r="CK34" s="11" t="n">
        <f aca="false">IF(AND(CK$1&gt;=Units!$Q33,MOD(CK$1-Units!$Q33,12)=0),IF(AND(Units!$L33=1,CK$1=Units!$Q33),1,Inputs!$B$15)*Inputs!$B$16*(1+Inputs!$B$11)^(CK$2-1),0)</f>
        <v>0</v>
      </c>
      <c r="CL34" s="11" t="n">
        <f aca="false">IF(AND(CL$1&gt;=Units!$Q33,MOD(CL$1-Units!$Q33,12)=0),IF(AND(Units!$L33=1,CL$1=Units!$Q33),1,Inputs!$B$15)*Inputs!$B$16*(1+Inputs!$B$11)^(CL$2-1),0)</f>
        <v>0</v>
      </c>
      <c r="CM34" s="11" t="n">
        <f aca="false">IF(AND(CM$1&gt;=Units!$Q33,MOD(CM$1-Units!$Q33,12)=0),IF(AND(Units!$L33=1,CM$1=Units!$Q33),1,Inputs!$B$15)*Inputs!$B$16*(1+Inputs!$B$11)^(CM$2-1),0)</f>
        <v>0</v>
      </c>
      <c r="CN34" s="11" t="n">
        <f aca="false">IF(AND(CN$1&gt;=Units!$Q33,MOD(CN$1-Units!$Q33,12)=0),IF(AND(Units!$L33=1,CN$1=Units!$Q33),1,Inputs!$B$15)*Inputs!$B$16*(1+Inputs!$B$11)^(CN$2-1),0)</f>
        <v>0</v>
      </c>
      <c r="CO34" s="11" t="n">
        <f aca="false">IF(AND(CO$1&gt;=Units!$Q33,MOD(CO$1-Units!$Q33,12)=0),IF(AND(Units!$L33=1,CO$1=Units!$Q33),1,Inputs!$B$15)*Inputs!$B$16*(1+Inputs!$B$11)^(CO$2-1),0)</f>
        <v>0</v>
      </c>
      <c r="CP34" s="11" t="n">
        <f aca="false">IF(AND(CP$1&gt;=Units!$Q33,MOD(CP$1-Units!$Q33,12)=0),IF(AND(Units!$L33=1,CP$1=Units!$Q33),1,Inputs!$B$15)*Inputs!$B$16*(1+Inputs!$B$11)^(CP$2-1),0)</f>
        <v>0</v>
      </c>
      <c r="CQ34" s="11" t="n">
        <f aca="false">IF(AND(CQ$1&gt;=Units!$Q33,MOD(CQ$1-Units!$Q33,12)=0),IF(AND(Units!$L33=1,CQ$1=Units!$Q33),1,Inputs!$B$15)*Inputs!$B$16*(1+Inputs!$B$11)^(CQ$2-1),0)</f>
        <v>0</v>
      </c>
      <c r="CR34" s="11" t="n">
        <f aca="false">IF(AND(CR$1&gt;=Units!$Q33,MOD(CR$1-Units!$Q33,12)=0),IF(AND(Units!$L33=1,CR$1=Units!$Q33),1,Inputs!$B$15)*Inputs!$B$16*(1+Inputs!$B$11)^(CR$2-1),0)</f>
        <v>614.936932712435</v>
      </c>
      <c r="CS34" s="11" t="n">
        <f aca="false">IF(AND(CS$1&gt;=Units!$Q33,MOD(CS$1-Units!$Q33,12)=0),IF(AND(Units!$L33=1,CS$1=Units!$Q33),1,Inputs!$B$15)*Inputs!$B$16*(1+Inputs!$B$11)^(CS$2-1),0)</f>
        <v>0</v>
      </c>
      <c r="CT34" s="11" t="n">
        <f aca="false">IF(AND(CT$1&gt;=Units!$Q33,MOD(CT$1-Units!$Q33,12)=0),IF(AND(Units!$L33=1,CT$1=Units!$Q33),1,Inputs!$B$15)*Inputs!$B$16*(1+Inputs!$B$11)^(CT$2-1),0)</f>
        <v>0</v>
      </c>
      <c r="CU34" s="11" t="n">
        <f aca="false">IF(AND(CU$1&gt;=Units!$Q33,MOD(CU$1-Units!$Q33,12)=0),IF(AND(Units!$L33=1,CU$1=Units!$Q33),1,Inputs!$B$15)*Inputs!$B$16*(1+Inputs!$B$11)^(CU$2-1),0)</f>
        <v>0</v>
      </c>
      <c r="CV34" s="11" t="n">
        <f aca="false">IF(AND(CV$1&gt;=Units!$Q33,MOD(CV$1-Units!$Q33,12)=0),IF(AND(Units!$L33=1,CV$1=Units!$Q33),1,Inputs!$B$15)*Inputs!$B$16*(1+Inputs!$B$11)^(CV$2-1),0)</f>
        <v>0</v>
      </c>
      <c r="CW34" s="11" t="n">
        <f aca="false">IF(AND(CW$1&gt;=Units!$Q33,MOD(CW$1-Units!$Q33,12)=0),IF(AND(Units!$L33=1,CW$1=Units!$Q33),1,Inputs!$B$15)*Inputs!$B$16*(1+Inputs!$B$11)^(CW$2-1),0)</f>
        <v>0</v>
      </c>
      <c r="CX34" s="11" t="n">
        <f aca="false">IF(AND(CX$1&gt;=Units!$Q33,MOD(CX$1-Units!$Q33,12)=0),IF(AND(Units!$L33=1,CX$1=Units!$Q33),1,Inputs!$B$15)*Inputs!$B$16*(1+Inputs!$B$11)^(CX$2-1),0)</f>
        <v>0</v>
      </c>
      <c r="CY34" s="11" t="n">
        <f aca="false">IF(AND(CY$1&gt;=Units!$Q33,MOD(CY$1-Units!$Q33,12)=0),IF(AND(Units!$L33=1,CY$1=Units!$Q33),1,Inputs!$B$15)*Inputs!$B$16*(1+Inputs!$B$11)^(CY$2-1),0)</f>
        <v>0</v>
      </c>
      <c r="CZ34" s="11" t="n">
        <f aca="false">IF(AND(CZ$1&gt;=Units!$Q33,MOD(CZ$1-Units!$Q33,12)=0),IF(AND(Units!$L33=1,CZ$1=Units!$Q33),1,Inputs!$B$15)*Inputs!$B$16*(1+Inputs!$B$11)^(CZ$2-1),0)</f>
        <v>0</v>
      </c>
      <c r="DA34" s="11" t="n">
        <f aca="false">IF(AND(DA$1&gt;=Units!$Q33,MOD(DA$1-Units!$Q33,12)=0),IF(AND(Units!$L33=1,DA$1=Units!$Q33),1,Inputs!$B$15)*Inputs!$B$16*(1+Inputs!$B$11)^(DA$2-1),0)</f>
        <v>0</v>
      </c>
      <c r="DB34" s="11" t="n">
        <f aca="false">IF(AND(DB$1&gt;=Units!$Q33,MOD(DB$1-Units!$Q33,12)=0),IF(AND(Units!$L33=1,DB$1=Units!$Q33),1,Inputs!$B$15)*Inputs!$B$16*(1+Inputs!$B$11)^(DB$2-1),0)</f>
        <v>0</v>
      </c>
      <c r="DC34" s="11" t="n">
        <f aca="false">IF(AND(DC$1&gt;=Units!$Q33,MOD(DC$1-Units!$Q33,12)=0),IF(AND(Units!$L33=1,DC$1=Units!$Q33),1,Inputs!$B$15)*Inputs!$B$16*(1+Inputs!$B$11)^(DC$2-1),0)</f>
        <v>0</v>
      </c>
      <c r="DD34" s="11" t="n">
        <f aca="false">IF(AND(DD$1&gt;=Units!$Q33,MOD(DD$1-Units!$Q33,12)=0),IF(AND(Units!$L33=1,DD$1=Units!$Q33),1,Inputs!$B$15)*Inputs!$B$16*(1+Inputs!$B$11)^(DD$2-1),0)</f>
        <v>633.385040693808</v>
      </c>
      <c r="DE34" s="11" t="n">
        <f aca="false">IF(AND(DE$1&gt;=Units!$Q33,MOD(DE$1-Units!$Q33,12)=0),IF(AND(Units!$L33=1,DE$1=Units!$Q33),1,Inputs!$B$15)*Inputs!$B$16*(1+Inputs!$B$11)^(DE$2-1),0)</f>
        <v>0</v>
      </c>
      <c r="DF34" s="11" t="n">
        <f aca="false">IF(AND(DF$1&gt;=Units!$Q33,MOD(DF$1-Units!$Q33,12)=0),IF(AND(Units!$L33=1,DF$1=Units!$Q33),1,Inputs!$B$15)*Inputs!$B$16*(1+Inputs!$B$11)^(DF$2-1),0)</f>
        <v>0</v>
      </c>
      <c r="DG34" s="11" t="n">
        <f aca="false">IF(AND(DG$1&gt;=Units!$Q33,MOD(DG$1-Units!$Q33,12)=0),IF(AND(Units!$L33=1,DG$1=Units!$Q33),1,Inputs!$B$15)*Inputs!$B$16*(1+Inputs!$B$11)^(DG$2-1),0)</f>
        <v>0</v>
      </c>
      <c r="DH34" s="11" t="n">
        <f aca="false">IF(AND(DH$1&gt;=Units!$Q33,MOD(DH$1-Units!$Q33,12)=0),IF(AND(Units!$L33=1,DH$1=Units!$Q33),1,Inputs!$B$15)*Inputs!$B$16*(1+Inputs!$B$11)^(DH$2-1),0)</f>
        <v>0</v>
      </c>
      <c r="DI34" s="11" t="n">
        <f aca="false">IF(AND(DI$1&gt;=Units!$Q33,MOD(DI$1-Units!$Q33,12)=0),IF(AND(Units!$L33=1,DI$1=Units!$Q33),1,Inputs!$B$15)*Inputs!$B$16*(1+Inputs!$B$11)^(DI$2-1),0)</f>
        <v>0</v>
      </c>
      <c r="DJ34" s="11" t="n">
        <f aca="false">IF(AND(DJ$1&gt;=Units!$Q33,MOD(DJ$1-Units!$Q33,12)=0),IF(AND(Units!$L33=1,DJ$1=Units!$Q33),1,Inputs!$B$15)*Inputs!$B$16*(1+Inputs!$B$11)^(DJ$2-1),0)</f>
        <v>0</v>
      </c>
      <c r="DK34" s="11" t="n">
        <f aca="false">IF(AND(DK$1&gt;=Units!$Q33,MOD(DK$1-Units!$Q33,12)=0),IF(AND(Units!$L33=1,DK$1=Units!$Q33),1,Inputs!$B$15)*Inputs!$B$16*(1+Inputs!$B$11)^(DK$2-1),0)</f>
        <v>0</v>
      </c>
      <c r="DL34" s="11" t="n">
        <f aca="false">IF(AND(DL$1&gt;=Units!$Q33,MOD(DL$1-Units!$Q33,12)=0),IF(AND(Units!$L33=1,DL$1=Units!$Q33),1,Inputs!$B$15)*Inputs!$B$16*(1+Inputs!$B$11)^(DL$2-1),0)</f>
        <v>0</v>
      </c>
      <c r="DM34" s="11" t="n">
        <f aca="false">IF(AND(DM$1&gt;=Units!$Q33,MOD(DM$1-Units!$Q33,12)=0),IF(AND(Units!$L33=1,DM$1=Units!$Q33),1,Inputs!$B$15)*Inputs!$B$16*(1+Inputs!$B$11)^(DM$2-1),0)</f>
        <v>0</v>
      </c>
      <c r="DN34" s="11" t="n">
        <f aca="false">IF(AND(DN$1&gt;=Units!$Q33,MOD(DN$1-Units!$Q33,12)=0),IF(AND(Units!$L33=1,DN$1=Units!$Q33),1,Inputs!$B$15)*Inputs!$B$16*(1+Inputs!$B$11)^(DN$2-1),0)</f>
        <v>0</v>
      </c>
      <c r="DO34" s="11" t="n">
        <f aca="false">IF(AND(DO$1&gt;=Units!$Q33,MOD(DO$1-Units!$Q33,12)=0),IF(AND(Units!$L33=1,DO$1=Units!$Q33),1,Inputs!$B$15)*Inputs!$B$16*(1+Inputs!$B$11)^(DO$2-1),0)</f>
        <v>0</v>
      </c>
      <c r="DP34" s="11" t="n">
        <f aca="false">IF(AND(DP$1&gt;=Units!$Q33,MOD(DP$1-Units!$Q33,12)=0),IF(AND(Units!$L33=1,DP$1=Units!$Q33),1,Inputs!$B$15)*Inputs!$B$16*(1+Inputs!$B$11)^(DP$2-1),0)</f>
        <v>652.386591914623</v>
      </c>
      <c r="DQ34" s="11" t="n">
        <f aca="false">IF(AND(DQ$1&gt;=Units!$Q33,MOD(DQ$1-Units!$Q33,12)=0),IF(AND(Units!$L33=1,DQ$1=Units!$Q33),1,Inputs!$B$15)*Inputs!$B$16*(1+Inputs!$B$11)^(DQ$2-1),0)</f>
        <v>0</v>
      </c>
      <c r="DR34" s="11" t="n">
        <f aca="false">IF(AND(DR$1&gt;=Units!$Q33,MOD(DR$1-Units!$Q33,12)=0),IF(AND(Units!$L33=1,DR$1=Units!$Q33),1,Inputs!$B$15)*Inputs!$B$16*(1+Inputs!$B$11)^(DR$2-1),0)</f>
        <v>0</v>
      </c>
      <c r="DS34" s="11" t="n">
        <f aca="false">IF(AND(DS$1&gt;=Units!$Q33,MOD(DS$1-Units!$Q33,12)=0),IF(AND(Units!$L33=1,DS$1=Units!$Q33),1,Inputs!$B$15)*Inputs!$B$16*(1+Inputs!$B$11)^(DS$2-1),0)</f>
        <v>0</v>
      </c>
      <c r="DT34" s="11" t="n">
        <f aca="false">IF(AND(DT$1&gt;=Units!$Q33,MOD(DT$1-Units!$Q33,12)=0),IF(AND(Units!$L33=1,DT$1=Units!$Q33),1,Inputs!$B$15)*Inputs!$B$16*(1+Inputs!$B$11)^(DT$2-1),0)</f>
        <v>0</v>
      </c>
      <c r="DU34" s="11" t="n">
        <f aca="false">IF(AND(DU$1&gt;=Units!$Q33,MOD(DU$1-Units!$Q33,12)=0),IF(AND(Units!$L33=1,DU$1=Units!$Q33),1,Inputs!$B$15)*Inputs!$B$16*(1+Inputs!$B$11)^(DU$2-1),0)</f>
        <v>0</v>
      </c>
      <c r="DV34" s="11" t="n">
        <f aca="false">IF(AND(DV$1&gt;=Units!$Q33,MOD(DV$1-Units!$Q33,12)=0),IF(AND(Units!$L33=1,DV$1=Units!$Q33),1,Inputs!$B$15)*Inputs!$B$16*(1+Inputs!$B$11)^(DV$2-1),0)</f>
        <v>0</v>
      </c>
      <c r="DW34" s="11" t="n">
        <f aca="false">IF(AND(DW$1&gt;=Units!$Q33,MOD(DW$1-Units!$Q33,12)=0),IF(AND(Units!$L33=1,DW$1=Units!$Q33),1,Inputs!$B$15)*Inputs!$B$16*(1+Inputs!$B$11)^(DW$2-1),0)</f>
        <v>0</v>
      </c>
      <c r="DX34" s="11" t="n">
        <f aca="false">IF(AND(DX$1&gt;=Units!$Q33,MOD(DX$1-Units!$Q33,12)=0),IF(AND(Units!$L33=1,DX$1=Units!$Q33),1,Inputs!$B$15)*Inputs!$B$16*(1+Inputs!$B$11)^(DX$2-1),0)</f>
        <v>0</v>
      </c>
      <c r="DY34" s="11" t="n">
        <f aca="false">IF(AND(DY$1&gt;=Units!$Q33,MOD(DY$1-Units!$Q33,12)=0),IF(AND(Units!$L33=1,DY$1=Units!$Q33),1,Inputs!$B$15)*Inputs!$B$16*(1+Inputs!$B$11)^(DY$2-1),0)</f>
        <v>0</v>
      </c>
      <c r="DZ34" s="11" t="n">
        <f aca="false">IF(AND(DZ$1&gt;=Units!$Q33,MOD(DZ$1-Units!$Q33,12)=0),IF(AND(Units!$L33=1,DZ$1=Units!$Q33),1,Inputs!$B$15)*Inputs!$B$16*(1+Inputs!$B$11)^(DZ$2-1),0)</f>
        <v>0</v>
      </c>
      <c r="EA34" s="11" t="n">
        <f aca="false">IF(AND(EA$1&gt;=Units!$Q33,MOD(EA$1-Units!$Q33,12)=0),IF(AND(Units!$L33=1,EA$1=Units!$Q33),1,Inputs!$B$15)*Inputs!$B$16*(1+Inputs!$B$11)^(EA$2-1),0)</f>
        <v>0</v>
      </c>
      <c r="EB34" s="11" t="n">
        <f aca="false">IF(AND(EB$1&gt;=Units!$Q33,MOD(EB$1-Units!$Q33,12)=0),IF(AND(Units!$L33=1,EB$1=Units!$Q33),1,Inputs!$B$15)*Inputs!$B$16*(1+Inputs!$B$11)^(EB$2-1),0)</f>
        <v>671.958189672061</v>
      </c>
      <c r="EC34" s="11" t="n">
        <f aca="false">IF(AND(EC$1&gt;=Units!$Q33,MOD(EC$1-Units!$Q33,12)=0),IF(AND(Units!$L33=1,EC$1=Units!$Q33),1,Inputs!$B$15)*Inputs!$B$16*(1+Inputs!$B$11)^(EC$2-1),0)</f>
        <v>0</v>
      </c>
      <c r="ED34" s="11" t="n">
        <f aca="false">IF(AND(ED$1&gt;=Units!$Q33,MOD(ED$1-Units!$Q33,12)=0),IF(AND(Units!$L33=1,ED$1=Units!$Q33),1,Inputs!$B$15)*Inputs!$B$16*(1+Inputs!$B$11)^(ED$2-1),0)</f>
        <v>0</v>
      </c>
    </row>
    <row r="35" customFormat="false" ht="15" hidden="false" customHeight="false" outlineLevel="0" collapsed="false">
      <c r="A35" s="22" t="n">
        <f aca="false">Units!A34</f>
        <v>203</v>
      </c>
      <c r="B35" s="23"/>
      <c r="C35" s="11" t="n">
        <f aca="false">IF(AND(C$1&gt;=Units!$Q34,MOD(C$1-Units!$Q34,12)=0),IF(AND(Units!$L34=1,C$1=Units!$Q34),1,Inputs!$B$15)*Inputs!$B$16*(1+Inputs!$B$11)^(C$2-1),0)</f>
        <v>0</v>
      </c>
      <c r="D35" s="11" t="n">
        <f aca="false">IF(AND(D$1&gt;=Units!$Q34,MOD(D$1-Units!$Q34,12)=0),IF(AND(Units!$L34=1,D$1=Units!$Q34),1,Inputs!$B$15)*Inputs!$B$16*(1+Inputs!$B$11)^(D$2-1),0)</f>
        <v>0</v>
      </c>
      <c r="E35" s="11" t="n">
        <f aca="false">IF(AND(E$1&gt;=Units!$Q34,MOD(E$1-Units!$Q34,12)=0),IF(AND(Units!$L34=1,E$1=Units!$Q34),1,Inputs!$B$15)*Inputs!$B$16*(1+Inputs!$B$11)^(E$2-1),0)</f>
        <v>0</v>
      </c>
      <c r="F35" s="11" t="n">
        <f aca="false">IF(AND(F$1&gt;=Units!$Q34,MOD(F$1-Units!$Q34,12)=0),IF(AND(Units!$L34=1,F$1=Units!$Q34),1,Inputs!$B$15)*Inputs!$B$16*(1+Inputs!$B$11)^(F$2-1),0)</f>
        <v>0</v>
      </c>
      <c r="G35" s="11" t="n">
        <f aca="false">IF(AND(G$1&gt;=Units!$Q34,MOD(G$1-Units!$Q34,12)=0),IF(AND(Units!$L34=1,G$1=Units!$Q34),1,Inputs!$B$15)*Inputs!$B$16*(1+Inputs!$B$11)^(G$2-1),0)</f>
        <v>0</v>
      </c>
      <c r="H35" s="11" t="n">
        <f aca="false">IF(AND(H$1&gt;=Units!$Q34,MOD(H$1-Units!$Q34,12)=0),IF(AND(Units!$L34=1,H$1=Units!$Q34),1,Inputs!$B$15)*Inputs!$B$16*(1+Inputs!$B$11)^(H$2-1),0)</f>
        <v>0</v>
      </c>
      <c r="I35" s="11" t="n">
        <f aca="false">IF(AND(I$1&gt;=Units!$Q34,MOD(I$1-Units!$Q34,12)=0),IF(AND(Units!$L34=1,I$1=Units!$Q34),1,Inputs!$B$15)*Inputs!$B$16*(1+Inputs!$B$11)^(I$2-1),0)</f>
        <v>0</v>
      </c>
      <c r="J35" s="11" t="n">
        <f aca="false">IF(AND(J$1&gt;=Units!$Q34,MOD(J$1-Units!$Q34,12)=0),IF(AND(Units!$L34=1,J$1=Units!$Q34),1,Inputs!$B$15)*Inputs!$B$16*(1+Inputs!$B$11)^(J$2-1),0)</f>
        <v>500</v>
      </c>
      <c r="K35" s="11" t="n">
        <f aca="false">IF(AND(K$1&gt;=Units!$Q34,MOD(K$1-Units!$Q34,12)=0),IF(AND(Units!$L34=1,K$1=Units!$Q34),1,Inputs!$B$15)*Inputs!$B$16*(1+Inputs!$B$11)^(K$2-1),0)</f>
        <v>0</v>
      </c>
      <c r="L35" s="11" t="n">
        <f aca="false">IF(AND(L$1&gt;=Units!$Q34,MOD(L$1-Units!$Q34,12)=0),IF(AND(Units!$L34=1,L$1=Units!$Q34),1,Inputs!$B$15)*Inputs!$B$16*(1+Inputs!$B$11)^(L$2-1),0)</f>
        <v>0</v>
      </c>
      <c r="M35" s="11" t="n">
        <f aca="false">IF(AND(M$1&gt;=Units!$Q34,MOD(M$1-Units!$Q34,12)=0),IF(AND(Units!$L34=1,M$1=Units!$Q34),1,Inputs!$B$15)*Inputs!$B$16*(1+Inputs!$B$11)^(M$2-1),0)</f>
        <v>0</v>
      </c>
      <c r="N35" s="11" t="n">
        <f aca="false">IF(AND(N$1&gt;=Units!$Q34,MOD(N$1-Units!$Q34,12)=0),IF(AND(Units!$L34=1,N$1=Units!$Q34),1,Inputs!$B$15)*Inputs!$B$16*(1+Inputs!$B$11)^(N$2-1),0)</f>
        <v>0</v>
      </c>
      <c r="O35" s="11" t="n">
        <f aca="false">IF(AND(O$1&gt;=Units!$Q34,MOD(O$1-Units!$Q34,12)=0),IF(AND(Units!$L34=1,O$1=Units!$Q34),1,Inputs!$B$15)*Inputs!$B$16*(1+Inputs!$B$11)^(O$2-1),0)</f>
        <v>0</v>
      </c>
      <c r="P35" s="11" t="n">
        <f aca="false">IF(AND(P$1&gt;=Units!$Q34,MOD(P$1-Units!$Q34,12)=0),IF(AND(Units!$L34=1,P$1=Units!$Q34),1,Inputs!$B$15)*Inputs!$B$16*(1+Inputs!$B$11)^(P$2-1),0)</f>
        <v>0</v>
      </c>
      <c r="Q35" s="11" t="n">
        <f aca="false">IF(AND(Q$1&gt;=Units!$Q34,MOD(Q$1-Units!$Q34,12)=0),IF(AND(Units!$L34=1,Q$1=Units!$Q34),1,Inputs!$B$15)*Inputs!$B$16*(1+Inputs!$B$11)^(Q$2-1),0)</f>
        <v>0</v>
      </c>
      <c r="R35" s="11" t="n">
        <f aca="false">IF(AND(R$1&gt;=Units!$Q34,MOD(R$1-Units!$Q34,12)=0),IF(AND(Units!$L34=1,R$1=Units!$Q34),1,Inputs!$B$15)*Inputs!$B$16*(1+Inputs!$B$11)^(R$2-1),0)</f>
        <v>0</v>
      </c>
      <c r="S35" s="11" t="n">
        <f aca="false">IF(AND(S$1&gt;=Units!$Q34,MOD(S$1-Units!$Q34,12)=0),IF(AND(Units!$L34=1,S$1=Units!$Q34),1,Inputs!$B$15)*Inputs!$B$16*(1+Inputs!$B$11)^(S$2-1),0)</f>
        <v>0</v>
      </c>
      <c r="T35" s="11" t="n">
        <f aca="false">IF(AND(T$1&gt;=Units!$Q34,MOD(T$1-Units!$Q34,12)=0),IF(AND(Units!$L34=1,T$1=Units!$Q34),1,Inputs!$B$15)*Inputs!$B$16*(1+Inputs!$B$11)^(T$2-1),0)</f>
        <v>0</v>
      </c>
      <c r="U35" s="11" t="n">
        <f aca="false">IF(AND(U$1&gt;=Units!$Q34,MOD(U$1-Units!$Q34,12)=0),IF(AND(Units!$L34=1,U$1=Units!$Q34),1,Inputs!$B$15)*Inputs!$B$16*(1+Inputs!$B$11)^(U$2-1),0)</f>
        <v>0</v>
      </c>
      <c r="V35" s="11" t="n">
        <f aca="false">IF(AND(V$1&gt;=Units!$Q34,MOD(V$1-Units!$Q34,12)=0),IF(AND(Units!$L34=1,V$1=Units!$Q34),1,Inputs!$B$15)*Inputs!$B$16*(1+Inputs!$B$11)^(V$2-1),0)</f>
        <v>515</v>
      </c>
      <c r="W35" s="11" t="n">
        <f aca="false">IF(AND(W$1&gt;=Units!$Q34,MOD(W$1-Units!$Q34,12)=0),IF(AND(Units!$L34=1,W$1=Units!$Q34),1,Inputs!$B$15)*Inputs!$B$16*(1+Inputs!$B$11)^(W$2-1),0)</f>
        <v>0</v>
      </c>
      <c r="X35" s="11" t="n">
        <f aca="false">IF(AND(X$1&gt;=Units!$Q34,MOD(X$1-Units!$Q34,12)=0),IF(AND(Units!$L34=1,X$1=Units!$Q34),1,Inputs!$B$15)*Inputs!$B$16*(1+Inputs!$B$11)^(X$2-1),0)</f>
        <v>0</v>
      </c>
      <c r="Y35" s="11" t="n">
        <f aca="false">IF(AND(Y$1&gt;=Units!$Q34,MOD(Y$1-Units!$Q34,12)=0),IF(AND(Units!$L34=1,Y$1=Units!$Q34),1,Inputs!$B$15)*Inputs!$B$16*(1+Inputs!$B$11)^(Y$2-1),0)</f>
        <v>0</v>
      </c>
      <c r="Z35" s="11" t="n">
        <f aca="false">IF(AND(Z$1&gt;=Units!$Q34,MOD(Z$1-Units!$Q34,12)=0),IF(AND(Units!$L34=1,Z$1=Units!$Q34),1,Inputs!$B$15)*Inputs!$B$16*(1+Inputs!$B$11)^(Z$2-1),0)</f>
        <v>0</v>
      </c>
      <c r="AA35" s="11" t="n">
        <f aca="false">IF(AND(AA$1&gt;=Units!$Q34,MOD(AA$1-Units!$Q34,12)=0),IF(AND(Units!$L34=1,AA$1=Units!$Q34),1,Inputs!$B$15)*Inputs!$B$16*(1+Inputs!$B$11)^(AA$2-1),0)</f>
        <v>0</v>
      </c>
      <c r="AB35" s="11" t="n">
        <f aca="false">IF(AND(AB$1&gt;=Units!$Q34,MOD(AB$1-Units!$Q34,12)=0),IF(AND(Units!$L34=1,AB$1=Units!$Q34),1,Inputs!$B$15)*Inputs!$B$16*(1+Inputs!$B$11)^(AB$2-1),0)</f>
        <v>0</v>
      </c>
      <c r="AC35" s="11" t="n">
        <f aca="false">IF(AND(AC$1&gt;=Units!$Q34,MOD(AC$1-Units!$Q34,12)=0),IF(AND(Units!$L34=1,AC$1=Units!$Q34),1,Inputs!$B$15)*Inputs!$B$16*(1+Inputs!$B$11)^(AC$2-1),0)</f>
        <v>0</v>
      </c>
      <c r="AD35" s="11" t="n">
        <f aca="false">IF(AND(AD$1&gt;=Units!$Q34,MOD(AD$1-Units!$Q34,12)=0),IF(AND(Units!$L34=1,AD$1=Units!$Q34),1,Inputs!$B$15)*Inputs!$B$16*(1+Inputs!$B$11)^(AD$2-1),0)</f>
        <v>0</v>
      </c>
      <c r="AE35" s="11" t="n">
        <f aca="false">IF(AND(AE$1&gt;=Units!$Q34,MOD(AE$1-Units!$Q34,12)=0),IF(AND(Units!$L34=1,AE$1=Units!$Q34),1,Inputs!$B$15)*Inputs!$B$16*(1+Inputs!$B$11)^(AE$2-1),0)</f>
        <v>0</v>
      </c>
      <c r="AF35" s="11" t="n">
        <f aca="false">IF(AND(AF$1&gt;=Units!$Q34,MOD(AF$1-Units!$Q34,12)=0),IF(AND(Units!$L34=1,AF$1=Units!$Q34),1,Inputs!$B$15)*Inputs!$B$16*(1+Inputs!$B$11)^(AF$2-1),0)</f>
        <v>0</v>
      </c>
      <c r="AG35" s="11" t="n">
        <f aca="false">IF(AND(AG$1&gt;=Units!$Q34,MOD(AG$1-Units!$Q34,12)=0),IF(AND(Units!$L34=1,AG$1=Units!$Q34),1,Inputs!$B$15)*Inputs!$B$16*(1+Inputs!$B$11)^(AG$2-1),0)</f>
        <v>0</v>
      </c>
      <c r="AH35" s="11" t="n">
        <f aca="false">IF(AND(AH$1&gt;=Units!$Q34,MOD(AH$1-Units!$Q34,12)=0),IF(AND(Units!$L34=1,AH$1=Units!$Q34),1,Inputs!$B$15)*Inputs!$B$16*(1+Inputs!$B$11)^(AH$2-1),0)</f>
        <v>530.45</v>
      </c>
      <c r="AI35" s="11" t="n">
        <f aca="false">IF(AND(AI$1&gt;=Units!$Q34,MOD(AI$1-Units!$Q34,12)=0),IF(AND(Units!$L34=1,AI$1=Units!$Q34),1,Inputs!$B$15)*Inputs!$B$16*(1+Inputs!$B$11)^(AI$2-1),0)</f>
        <v>0</v>
      </c>
      <c r="AJ35" s="11" t="n">
        <f aca="false">IF(AND(AJ$1&gt;=Units!$Q34,MOD(AJ$1-Units!$Q34,12)=0),IF(AND(Units!$L34=1,AJ$1=Units!$Q34),1,Inputs!$B$15)*Inputs!$B$16*(1+Inputs!$B$11)^(AJ$2-1),0)</f>
        <v>0</v>
      </c>
      <c r="AK35" s="11" t="n">
        <f aca="false">IF(AND(AK$1&gt;=Units!$Q34,MOD(AK$1-Units!$Q34,12)=0),IF(AND(Units!$L34=1,AK$1=Units!$Q34),1,Inputs!$B$15)*Inputs!$B$16*(1+Inputs!$B$11)^(AK$2-1),0)</f>
        <v>0</v>
      </c>
      <c r="AL35" s="11" t="n">
        <f aca="false">IF(AND(AL$1&gt;=Units!$Q34,MOD(AL$1-Units!$Q34,12)=0),IF(AND(Units!$L34=1,AL$1=Units!$Q34),1,Inputs!$B$15)*Inputs!$B$16*(1+Inputs!$B$11)^(AL$2-1),0)</f>
        <v>0</v>
      </c>
      <c r="AM35" s="11" t="n">
        <f aca="false">IF(AND(AM$1&gt;=Units!$Q34,MOD(AM$1-Units!$Q34,12)=0),IF(AND(Units!$L34=1,AM$1=Units!$Q34),1,Inputs!$B$15)*Inputs!$B$16*(1+Inputs!$B$11)^(AM$2-1),0)</f>
        <v>0</v>
      </c>
      <c r="AN35" s="11" t="n">
        <f aca="false">IF(AND(AN$1&gt;=Units!$Q34,MOD(AN$1-Units!$Q34,12)=0),IF(AND(Units!$L34=1,AN$1=Units!$Q34),1,Inputs!$B$15)*Inputs!$B$16*(1+Inputs!$B$11)^(AN$2-1),0)</f>
        <v>0</v>
      </c>
      <c r="AO35" s="11" t="n">
        <f aca="false">IF(AND(AO$1&gt;=Units!$Q34,MOD(AO$1-Units!$Q34,12)=0),IF(AND(Units!$L34=1,AO$1=Units!$Q34),1,Inputs!$B$15)*Inputs!$B$16*(1+Inputs!$B$11)^(AO$2-1),0)</f>
        <v>0</v>
      </c>
      <c r="AP35" s="11" t="n">
        <f aca="false">IF(AND(AP$1&gt;=Units!$Q34,MOD(AP$1-Units!$Q34,12)=0),IF(AND(Units!$L34=1,AP$1=Units!$Q34),1,Inputs!$B$15)*Inputs!$B$16*(1+Inputs!$B$11)^(AP$2-1),0)</f>
        <v>0</v>
      </c>
      <c r="AQ35" s="11" t="n">
        <f aca="false">IF(AND(AQ$1&gt;=Units!$Q34,MOD(AQ$1-Units!$Q34,12)=0),IF(AND(Units!$L34=1,AQ$1=Units!$Q34),1,Inputs!$B$15)*Inputs!$B$16*(1+Inputs!$B$11)^(AQ$2-1),0)</f>
        <v>0</v>
      </c>
      <c r="AR35" s="11" t="n">
        <f aca="false">IF(AND(AR$1&gt;=Units!$Q34,MOD(AR$1-Units!$Q34,12)=0),IF(AND(Units!$L34=1,AR$1=Units!$Q34),1,Inputs!$B$15)*Inputs!$B$16*(1+Inputs!$B$11)^(AR$2-1),0)</f>
        <v>0</v>
      </c>
      <c r="AS35" s="11" t="n">
        <f aca="false">IF(AND(AS$1&gt;=Units!$Q34,MOD(AS$1-Units!$Q34,12)=0),IF(AND(Units!$L34=1,AS$1=Units!$Q34),1,Inputs!$B$15)*Inputs!$B$16*(1+Inputs!$B$11)^(AS$2-1),0)</f>
        <v>0</v>
      </c>
      <c r="AT35" s="11" t="n">
        <f aca="false">IF(AND(AT$1&gt;=Units!$Q34,MOD(AT$1-Units!$Q34,12)=0),IF(AND(Units!$L34=1,AT$1=Units!$Q34),1,Inputs!$B$15)*Inputs!$B$16*(1+Inputs!$B$11)^(AT$2-1),0)</f>
        <v>546.3635</v>
      </c>
      <c r="AU35" s="11" t="n">
        <f aca="false">IF(AND(AU$1&gt;=Units!$Q34,MOD(AU$1-Units!$Q34,12)=0),IF(AND(Units!$L34=1,AU$1=Units!$Q34),1,Inputs!$B$15)*Inputs!$B$16*(1+Inputs!$B$11)^(AU$2-1),0)</f>
        <v>0</v>
      </c>
      <c r="AV35" s="11" t="n">
        <f aca="false">IF(AND(AV$1&gt;=Units!$Q34,MOD(AV$1-Units!$Q34,12)=0),IF(AND(Units!$L34=1,AV$1=Units!$Q34),1,Inputs!$B$15)*Inputs!$B$16*(1+Inputs!$B$11)^(AV$2-1),0)</f>
        <v>0</v>
      </c>
      <c r="AW35" s="11" t="n">
        <f aca="false">IF(AND(AW$1&gt;=Units!$Q34,MOD(AW$1-Units!$Q34,12)=0),IF(AND(Units!$L34=1,AW$1=Units!$Q34),1,Inputs!$B$15)*Inputs!$B$16*(1+Inputs!$B$11)^(AW$2-1),0)</f>
        <v>0</v>
      </c>
      <c r="AX35" s="11" t="n">
        <f aca="false">IF(AND(AX$1&gt;=Units!$Q34,MOD(AX$1-Units!$Q34,12)=0),IF(AND(Units!$L34=1,AX$1=Units!$Q34),1,Inputs!$B$15)*Inputs!$B$16*(1+Inputs!$B$11)^(AX$2-1),0)</f>
        <v>0</v>
      </c>
      <c r="AY35" s="11" t="n">
        <f aca="false">IF(AND(AY$1&gt;=Units!$Q34,MOD(AY$1-Units!$Q34,12)=0),IF(AND(Units!$L34=1,AY$1=Units!$Q34),1,Inputs!$B$15)*Inputs!$B$16*(1+Inputs!$B$11)^(AY$2-1),0)</f>
        <v>0</v>
      </c>
      <c r="AZ35" s="11" t="n">
        <f aca="false">IF(AND(AZ$1&gt;=Units!$Q34,MOD(AZ$1-Units!$Q34,12)=0),IF(AND(Units!$L34=1,AZ$1=Units!$Q34),1,Inputs!$B$15)*Inputs!$B$16*(1+Inputs!$B$11)^(AZ$2-1),0)</f>
        <v>0</v>
      </c>
      <c r="BA35" s="11" t="n">
        <f aca="false">IF(AND(BA$1&gt;=Units!$Q34,MOD(BA$1-Units!$Q34,12)=0),IF(AND(Units!$L34=1,BA$1=Units!$Q34),1,Inputs!$B$15)*Inputs!$B$16*(1+Inputs!$B$11)^(BA$2-1),0)</f>
        <v>0</v>
      </c>
      <c r="BB35" s="11" t="n">
        <f aca="false">IF(AND(BB$1&gt;=Units!$Q34,MOD(BB$1-Units!$Q34,12)=0),IF(AND(Units!$L34=1,BB$1=Units!$Q34),1,Inputs!$B$15)*Inputs!$B$16*(1+Inputs!$B$11)^(BB$2-1),0)</f>
        <v>0</v>
      </c>
      <c r="BC35" s="11" t="n">
        <f aca="false">IF(AND(BC$1&gt;=Units!$Q34,MOD(BC$1-Units!$Q34,12)=0),IF(AND(Units!$L34=1,BC$1=Units!$Q34),1,Inputs!$B$15)*Inputs!$B$16*(1+Inputs!$B$11)^(BC$2-1),0)</f>
        <v>0</v>
      </c>
      <c r="BD35" s="11" t="n">
        <f aca="false">IF(AND(BD$1&gt;=Units!$Q34,MOD(BD$1-Units!$Q34,12)=0),IF(AND(Units!$L34=1,BD$1=Units!$Q34),1,Inputs!$B$15)*Inputs!$B$16*(1+Inputs!$B$11)^(BD$2-1),0)</f>
        <v>0</v>
      </c>
      <c r="BE35" s="11" t="n">
        <f aca="false">IF(AND(BE$1&gt;=Units!$Q34,MOD(BE$1-Units!$Q34,12)=0),IF(AND(Units!$L34=1,BE$1=Units!$Q34),1,Inputs!$B$15)*Inputs!$B$16*(1+Inputs!$B$11)^(BE$2-1),0)</f>
        <v>0</v>
      </c>
      <c r="BF35" s="11" t="n">
        <f aca="false">IF(AND(BF$1&gt;=Units!$Q34,MOD(BF$1-Units!$Q34,12)=0),IF(AND(Units!$L34=1,BF$1=Units!$Q34),1,Inputs!$B$15)*Inputs!$B$16*(1+Inputs!$B$11)^(BF$2-1),0)</f>
        <v>562.754405</v>
      </c>
      <c r="BG35" s="11" t="n">
        <f aca="false">IF(AND(BG$1&gt;=Units!$Q34,MOD(BG$1-Units!$Q34,12)=0),IF(AND(Units!$L34=1,BG$1=Units!$Q34),1,Inputs!$B$15)*Inputs!$B$16*(1+Inputs!$B$11)^(BG$2-1),0)</f>
        <v>0</v>
      </c>
      <c r="BH35" s="11" t="n">
        <f aca="false">IF(AND(BH$1&gt;=Units!$Q34,MOD(BH$1-Units!$Q34,12)=0),IF(AND(Units!$L34=1,BH$1=Units!$Q34),1,Inputs!$B$15)*Inputs!$B$16*(1+Inputs!$B$11)^(BH$2-1),0)</f>
        <v>0</v>
      </c>
      <c r="BI35" s="11" t="n">
        <f aca="false">IF(AND(BI$1&gt;=Units!$Q34,MOD(BI$1-Units!$Q34,12)=0),IF(AND(Units!$L34=1,BI$1=Units!$Q34),1,Inputs!$B$15)*Inputs!$B$16*(1+Inputs!$B$11)^(BI$2-1),0)</f>
        <v>0</v>
      </c>
      <c r="BJ35" s="11" t="n">
        <f aca="false">IF(AND(BJ$1&gt;=Units!$Q34,MOD(BJ$1-Units!$Q34,12)=0),IF(AND(Units!$L34=1,BJ$1=Units!$Q34),1,Inputs!$B$15)*Inputs!$B$16*(1+Inputs!$B$11)^(BJ$2-1),0)</f>
        <v>0</v>
      </c>
      <c r="BK35" s="11" t="n">
        <f aca="false">IF(AND(BK$1&gt;=Units!$Q34,MOD(BK$1-Units!$Q34,12)=0),IF(AND(Units!$L34=1,BK$1=Units!$Q34),1,Inputs!$B$15)*Inputs!$B$16*(1+Inputs!$B$11)^(BK$2-1),0)</f>
        <v>0</v>
      </c>
      <c r="BL35" s="11" t="n">
        <f aca="false">IF(AND(BL$1&gt;=Units!$Q34,MOD(BL$1-Units!$Q34,12)=0),IF(AND(Units!$L34=1,BL$1=Units!$Q34),1,Inputs!$B$15)*Inputs!$B$16*(1+Inputs!$B$11)^(BL$2-1),0)</f>
        <v>0</v>
      </c>
      <c r="BM35" s="11" t="n">
        <f aca="false">IF(AND(BM$1&gt;=Units!$Q34,MOD(BM$1-Units!$Q34,12)=0),IF(AND(Units!$L34=1,BM$1=Units!$Q34),1,Inputs!$B$15)*Inputs!$B$16*(1+Inputs!$B$11)^(BM$2-1),0)</f>
        <v>0</v>
      </c>
      <c r="BN35" s="11" t="n">
        <f aca="false">IF(AND(BN$1&gt;=Units!$Q34,MOD(BN$1-Units!$Q34,12)=0),IF(AND(Units!$L34=1,BN$1=Units!$Q34),1,Inputs!$B$15)*Inputs!$B$16*(1+Inputs!$B$11)^(BN$2-1),0)</f>
        <v>0</v>
      </c>
      <c r="BO35" s="11" t="n">
        <f aca="false">IF(AND(BO$1&gt;=Units!$Q34,MOD(BO$1-Units!$Q34,12)=0),IF(AND(Units!$L34=1,BO$1=Units!$Q34),1,Inputs!$B$15)*Inputs!$B$16*(1+Inputs!$B$11)^(BO$2-1),0)</f>
        <v>0</v>
      </c>
      <c r="BP35" s="11" t="n">
        <f aca="false">IF(AND(BP$1&gt;=Units!$Q34,MOD(BP$1-Units!$Q34,12)=0),IF(AND(Units!$L34=1,BP$1=Units!$Q34),1,Inputs!$B$15)*Inputs!$B$16*(1+Inputs!$B$11)^(BP$2-1),0)</f>
        <v>0</v>
      </c>
      <c r="BQ35" s="11" t="n">
        <f aca="false">IF(AND(BQ$1&gt;=Units!$Q34,MOD(BQ$1-Units!$Q34,12)=0),IF(AND(Units!$L34=1,BQ$1=Units!$Q34),1,Inputs!$B$15)*Inputs!$B$16*(1+Inputs!$B$11)^(BQ$2-1),0)</f>
        <v>0</v>
      </c>
      <c r="BR35" s="11" t="n">
        <f aca="false">IF(AND(BR$1&gt;=Units!$Q34,MOD(BR$1-Units!$Q34,12)=0),IF(AND(Units!$L34=1,BR$1=Units!$Q34),1,Inputs!$B$15)*Inputs!$B$16*(1+Inputs!$B$11)^(BR$2-1),0)</f>
        <v>579.63703715</v>
      </c>
      <c r="BS35" s="11" t="n">
        <f aca="false">IF(AND(BS$1&gt;=Units!$Q34,MOD(BS$1-Units!$Q34,12)=0),IF(AND(Units!$L34=1,BS$1=Units!$Q34),1,Inputs!$B$15)*Inputs!$B$16*(1+Inputs!$B$11)^(BS$2-1),0)</f>
        <v>0</v>
      </c>
      <c r="BT35" s="11" t="n">
        <f aca="false">IF(AND(BT$1&gt;=Units!$Q34,MOD(BT$1-Units!$Q34,12)=0),IF(AND(Units!$L34=1,BT$1=Units!$Q34),1,Inputs!$B$15)*Inputs!$B$16*(1+Inputs!$B$11)^(BT$2-1),0)</f>
        <v>0</v>
      </c>
      <c r="BU35" s="11" t="n">
        <f aca="false">IF(AND(BU$1&gt;=Units!$Q34,MOD(BU$1-Units!$Q34,12)=0),IF(AND(Units!$L34=1,BU$1=Units!$Q34),1,Inputs!$B$15)*Inputs!$B$16*(1+Inputs!$B$11)^(BU$2-1),0)</f>
        <v>0</v>
      </c>
      <c r="BV35" s="11" t="n">
        <f aca="false">IF(AND(BV$1&gt;=Units!$Q34,MOD(BV$1-Units!$Q34,12)=0),IF(AND(Units!$L34=1,BV$1=Units!$Q34),1,Inputs!$B$15)*Inputs!$B$16*(1+Inputs!$B$11)^(BV$2-1),0)</f>
        <v>0</v>
      </c>
      <c r="BW35" s="11" t="n">
        <f aca="false">IF(AND(BW$1&gt;=Units!$Q34,MOD(BW$1-Units!$Q34,12)=0),IF(AND(Units!$L34=1,BW$1=Units!$Q34),1,Inputs!$B$15)*Inputs!$B$16*(1+Inputs!$B$11)^(BW$2-1),0)</f>
        <v>0</v>
      </c>
      <c r="BX35" s="11" t="n">
        <f aca="false">IF(AND(BX$1&gt;=Units!$Q34,MOD(BX$1-Units!$Q34,12)=0),IF(AND(Units!$L34=1,BX$1=Units!$Q34),1,Inputs!$B$15)*Inputs!$B$16*(1+Inputs!$B$11)^(BX$2-1),0)</f>
        <v>0</v>
      </c>
      <c r="BY35" s="11" t="n">
        <f aca="false">IF(AND(BY$1&gt;=Units!$Q34,MOD(BY$1-Units!$Q34,12)=0),IF(AND(Units!$L34=1,BY$1=Units!$Q34),1,Inputs!$B$15)*Inputs!$B$16*(1+Inputs!$B$11)^(BY$2-1),0)</f>
        <v>0</v>
      </c>
      <c r="BZ35" s="11" t="n">
        <f aca="false">IF(AND(BZ$1&gt;=Units!$Q34,MOD(BZ$1-Units!$Q34,12)=0),IF(AND(Units!$L34=1,BZ$1=Units!$Q34),1,Inputs!$B$15)*Inputs!$B$16*(1+Inputs!$B$11)^(BZ$2-1),0)</f>
        <v>0</v>
      </c>
      <c r="CA35" s="11" t="n">
        <f aca="false">IF(AND(CA$1&gt;=Units!$Q34,MOD(CA$1-Units!$Q34,12)=0),IF(AND(Units!$L34=1,CA$1=Units!$Q34),1,Inputs!$B$15)*Inputs!$B$16*(1+Inputs!$B$11)^(CA$2-1),0)</f>
        <v>0</v>
      </c>
      <c r="CB35" s="11" t="n">
        <f aca="false">IF(AND(CB$1&gt;=Units!$Q34,MOD(CB$1-Units!$Q34,12)=0),IF(AND(Units!$L34=1,CB$1=Units!$Q34),1,Inputs!$B$15)*Inputs!$B$16*(1+Inputs!$B$11)^(CB$2-1),0)</f>
        <v>0</v>
      </c>
      <c r="CC35" s="11" t="n">
        <f aca="false">IF(AND(CC$1&gt;=Units!$Q34,MOD(CC$1-Units!$Q34,12)=0),IF(AND(Units!$L34=1,CC$1=Units!$Q34),1,Inputs!$B$15)*Inputs!$B$16*(1+Inputs!$B$11)^(CC$2-1),0)</f>
        <v>0</v>
      </c>
      <c r="CD35" s="11" t="n">
        <f aca="false">IF(AND(CD$1&gt;=Units!$Q34,MOD(CD$1-Units!$Q34,12)=0),IF(AND(Units!$L34=1,CD$1=Units!$Q34),1,Inputs!$B$15)*Inputs!$B$16*(1+Inputs!$B$11)^(CD$2-1),0)</f>
        <v>597.0261482645</v>
      </c>
      <c r="CE35" s="11" t="n">
        <f aca="false">IF(AND(CE$1&gt;=Units!$Q34,MOD(CE$1-Units!$Q34,12)=0),IF(AND(Units!$L34=1,CE$1=Units!$Q34),1,Inputs!$B$15)*Inputs!$B$16*(1+Inputs!$B$11)^(CE$2-1),0)</f>
        <v>0</v>
      </c>
      <c r="CF35" s="11" t="n">
        <f aca="false">IF(AND(CF$1&gt;=Units!$Q34,MOD(CF$1-Units!$Q34,12)=0),IF(AND(Units!$L34=1,CF$1=Units!$Q34),1,Inputs!$B$15)*Inputs!$B$16*(1+Inputs!$B$11)^(CF$2-1),0)</f>
        <v>0</v>
      </c>
      <c r="CG35" s="11" t="n">
        <f aca="false">IF(AND(CG$1&gt;=Units!$Q34,MOD(CG$1-Units!$Q34,12)=0),IF(AND(Units!$L34=1,CG$1=Units!$Q34),1,Inputs!$B$15)*Inputs!$B$16*(1+Inputs!$B$11)^(CG$2-1),0)</f>
        <v>0</v>
      </c>
      <c r="CH35" s="11" t="n">
        <f aca="false">IF(AND(CH$1&gt;=Units!$Q34,MOD(CH$1-Units!$Q34,12)=0),IF(AND(Units!$L34=1,CH$1=Units!$Q34),1,Inputs!$B$15)*Inputs!$B$16*(1+Inputs!$B$11)^(CH$2-1),0)</f>
        <v>0</v>
      </c>
      <c r="CI35" s="11" t="n">
        <f aca="false">IF(AND(CI$1&gt;=Units!$Q34,MOD(CI$1-Units!$Q34,12)=0),IF(AND(Units!$L34=1,CI$1=Units!$Q34),1,Inputs!$B$15)*Inputs!$B$16*(1+Inputs!$B$11)^(CI$2-1),0)</f>
        <v>0</v>
      </c>
      <c r="CJ35" s="11" t="n">
        <f aca="false">IF(AND(CJ$1&gt;=Units!$Q34,MOD(CJ$1-Units!$Q34,12)=0),IF(AND(Units!$L34=1,CJ$1=Units!$Q34),1,Inputs!$B$15)*Inputs!$B$16*(1+Inputs!$B$11)^(CJ$2-1),0)</f>
        <v>0</v>
      </c>
      <c r="CK35" s="11" t="n">
        <f aca="false">IF(AND(CK$1&gt;=Units!$Q34,MOD(CK$1-Units!$Q34,12)=0),IF(AND(Units!$L34=1,CK$1=Units!$Q34),1,Inputs!$B$15)*Inputs!$B$16*(1+Inputs!$B$11)^(CK$2-1),0)</f>
        <v>0</v>
      </c>
      <c r="CL35" s="11" t="n">
        <f aca="false">IF(AND(CL$1&gt;=Units!$Q34,MOD(CL$1-Units!$Q34,12)=0),IF(AND(Units!$L34=1,CL$1=Units!$Q34),1,Inputs!$B$15)*Inputs!$B$16*(1+Inputs!$B$11)^(CL$2-1),0)</f>
        <v>0</v>
      </c>
      <c r="CM35" s="11" t="n">
        <f aca="false">IF(AND(CM$1&gt;=Units!$Q34,MOD(CM$1-Units!$Q34,12)=0),IF(AND(Units!$L34=1,CM$1=Units!$Q34),1,Inputs!$B$15)*Inputs!$B$16*(1+Inputs!$B$11)^(CM$2-1),0)</f>
        <v>0</v>
      </c>
      <c r="CN35" s="11" t="n">
        <f aca="false">IF(AND(CN$1&gt;=Units!$Q34,MOD(CN$1-Units!$Q34,12)=0),IF(AND(Units!$L34=1,CN$1=Units!$Q34),1,Inputs!$B$15)*Inputs!$B$16*(1+Inputs!$B$11)^(CN$2-1),0)</f>
        <v>0</v>
      </c>
      <c r="CO35" s="11" t="n">
        <f aca="false">IF(AND(CO$1&gt;=Units!$Q34,MOD(CO$1-Units!$Q34,12)=0),IF(AND(Units!$L34=1,CO$1=Units!$Q34),1,Inputs!$B$15)*Inputs!$B$16*(1+Inputs!$B$11)^(CO$2-1),0)</f>
        <v>0</v>
      </c>
      <c r="CP35" s="11" t="n">
        <f aca="false">IF(AND(CP$1&gt;=Units!$Q34,MOD(CP$1-Units!$Q34,12)=0),IF(AND(Units!$L34=1,CP$1=Units!$Q34),1,Inputs!$B$15)*Inputs!$B$16*(1+Inputs!$B$11)^(CP$2-1),0)</f>
        <v>614.936932712435</v>
      </c>
      <c r="CQ35" s="11" t="n">
        <f aca="false">IF(AND(CQ$1&gt;=Units!$Q34,MOD(CQ$1-Units!$Q34,12)=0),IF(AND(Units!$L34=1,CQ$1=Units!$Q34),1,Inputs!$B$15)*Inputs!$B$16*(1+Inputs!$B$11)^(CQ$2-1),0)</f>
        <v>0</v>
      </c>
      <c r="CR35" s="11" t="n">
        <f aca="false">IF(AND(CR$1&gt;=Units!$Q34,MOD(CR$1-Units!$Q34,12)=0),IF(AND(Units!$L34=1,CR$1=Units!$Q34),1,Inputs!$B$15)*Inputs!$B$16*(1+Inputs!$B$11)^(CR$2-1),0)</f>
        <v>0</v>
      </c>
      <c r="CS35" s="11" t="n">
        <f aca="false">IF(AND(CS$1&gt;=Units!$Q34,MOD(CS$1-Units!$Q34,12)=0),IF(AND(Units!$L34=1,CS$1=Units!$Q34),1,Inputs!$B$15)*Inputs!$B$16*(1+Inputs!$B$11)^(CS$2-1),0)</f>
        <v>0</v>
      </c>
      <c r="CT35" s="11" t="n">
        <f aca="false">IF(AND(CT$1&gt;=Units!$Q34,MOD(CT$1-Units!$Q34,12)=0),IF(AND(Units!$L34=1,CT$1=Units!$Q34),1,Inputs!$B$15)*Inputs!$B$16*(1+Inputs!$B$11)^(CT$2-1),0)</f>
        <v>0</v>
      </c>
      <c r="CU35" s="11" t="n">
        <f aca="false">IF(AND(CU$1&gt;=Units!$Q34,MOD(CU$1-Units!$Q34,12)=0),IF(AND(Units!$L34=1,CU$1=Units!$Q34),1,Inputs!$B$15)*Inputs!$B$16*(1+Inputs!$B$11)^(CU$2-1),0)</f>
        <v>0</v>
      </c>
      <c r="CV35" s="11" t="n">
        <f aca="false">IF(AND(CV$1&gt;=Units!$Q34,MOD(CV$1-Units!$Q34,12)=0),IF(AND(Units!$L34=1,CV$1=Units!$Q34),1,Inputs!$B$15)*Inputs!$B$16*(1+Inputs!$B$11)^(CV$2-1),0)</f>
        <v>0</v>
      </c>
      <c r="CW35" s="11" t="n">
        <f aca="false">IF(AND(CW$1&gt;=Units!$Q34,MOD(CW$1-Units!$Q34,12)=0),IF(AND(Units!$L34=1,CW$1=Units!$Q34),1,Inputs!$B$15)*Inputs!$B$16*(1+Inputs!$B$11)^(CW$2-1),0)</f>
        <v>0</v>
      </c>
      <c r="CX35" s="11" t="n">
        <f aca="false">IF(AND(CX$1&gt;=Units!$Q34,MOD(CX$1-Units!$Q34,12)=0),IF(AND(Units!$L34=1,CX$1=Units!$Q34),1,Inputs!$B$15)*Inputs!$B$16*(1+Inputs!$B$11)^(CX$2-1),0)</f>
        <v>0</v>
      </c>
      <c r="CY35" s="11" t="n">
        <f aca="false">IF(AND(CY$1&gt;=Units!$Q34,MOD(CY$1-Units!$Q34,12)=0),IF(AND(Units!$L34=1,CY$1=Units!$Q34),1,Inputs!$B$15)*Inputs!$B$16*(1+Inputs!$B$11)^(CY$2-1),0)</f>
        <v>0</v>
      </c>
      <c r="CZ35" s="11" t="n">
        <f aca="false">IF(AND(CZ$1&gt;=Units!$Q34,MOD(CZ$1-Units!$Q34,12)=0),IF(AND(Units!$L34=1,CZ$1=Units!$Q34),1,Inputs!$B$15)*Inputs!$B$16*(1+Inputs!$B$11)^(CZ$2-1),0)</f>
        <v>0</v>
      </c>
      <c r="DA35" s="11" t="n">
        <f aca="false">IF(AND(DA$1&gt;=Units!$Q34,MOD(DA$1-Units!$Q34,12)=0),IF(AND(Units!$L34=1,DA$1=Units!$Q34),1,Inputs!$B$15)*Inputs!$B$16*(1+Inputs!$B$11)^(DA$2-1),0)</f>
        <v>0</v>
      </c>
      <c r="DB35" s="11" t="n">
        <f aca="false">IF(AND(DB$1&gt;=Units!$Q34,MOD(DB$1-Units!$Q34,12)=0),IF(AND(Units!$L34=1,DB$1=Units!$Q34),1,Inputs!$B$15)*Inputs!$B$16*(1+Inputs!$B$11)^(DB$2-1),0)</f>
        <v>633.385040693808</v>
      </c>
      <c r="DC35" s="11" t="n">
        <f aca="false">IF(AND(DC$1&gt;=Units!$Q34,MOD(DC$1-Units!$Q34,12)=0),IF(AND(Units!$L34=1,DC$1=Units!$Q34),1,Inputs!$B$15)*Inputs!$B$16*(1+Inputs!$B$11)^(DC$2-1),0)</f>
        <v>0</v>
      </c>
      <c r="DD35" s="11" t="n">
        <f aca="false">IF(AND(DD$1&gt;=Units!$Q34,MOD(DD$1-Units!$Q34,12)=0),IF(AND(Units!$L34=1,DD$1=Units!$Q34),1,Inputs!$B$15)*Inputs!$B$16*(1+Inputs!$B$11)^(DD$2-1),0)</f>
        <v>0</v>
      </c>
      <c r="DE35" s="11" t="n">
        <f aca="false">IF(AND(DE$1&gt;=Units!$Q34,MOD(DE$1-Units!$Q34,12)=0),IF(AND(Units!$L34=1,DE$1=Units!$Q34),1,Inputs!$B$15)*Inputs!$B$16*(1+Inputs!$B$11)^(DE$2-1),0)</f>
        <v>0</v>
      </c>
      <c r="DF35" s="11" t="n">
        <f aca="false">IF(AND(DF$1&gt;=Units!$Q34,MOD(DF$1-Units!$Q34,12)=0),IF(AND(Units!$L34=1,DF$1=Units!$Q34),1,Inputs!$B$15)*Inputs!$B$16*(1+Inputs!$B$11)^(DF$2-1),0)</f>
        <v>0</v>
      </c>
      <c r="DG35" s="11" t="n">
        <f aca="false">IF(AND(DG$1&gt;=Units!$Q34,MOD(DG$1-Units!$Q34,12)=0),IF(AND(Units!$L34=1,DG$1=Units!$Q34),1,Inputs!$B$15)*Inputs!$B$16*(1+Inputs!$B$11)^(DG$2-1),0)</f>
        <v>0</v>
      </c>
      <c r="DH35" s="11" t="n">
        <f aca="false">IF(AND(DH$1&gt;=Units!$Q34,MOD(DH$1-Units!$Q34,12)=0),IF(AND(Units!$L34=1,DH$1=Units!$Q34),1,Inputs!$B$15)*Inputs!$B$16*(1+Inputs!$B$11)^(DH$2-1),0)</f>
        <v>0</v>
      </c>
      <c r="DI35" s="11" t="n">
        <f aca="false">IF(AND(DI$1&gt;=Units!$Q34,MOD(DI$1-Units!$Q34,12)=0),IF(AND(Units!$L34=1,DI$1=Units!$Q34),1,Inputs!$B$15)*Inputs!$B$16*(1+Inputs!$B$11)^(DI$2-1),0)</f>
        <v>0</v>
      </c>
      <c r="DJ35" s="11" t="n">
        <f aca="false">IF(AND(DJ$1&gt;=Units!$Q34,MOD(DJ$1-Units!$Q34,12)=0),IF(AND(Units!$L34=1,DJ$1=Units!$Q34),1,Inputs!$B$15)*Inputs!$B$16*(1+Inputs!$B$11)^(DJ$2-1),0)</f>
        <v>0</v>
      </c>
      <c r="DK35" s="11" t="n">
        <f aca="false">IF(AND(DK$1&gt;=Units!$Q34,MOD(DK$1-Units!$Q34,12)=0),IF(AND(Units!$L34=1,DK$1=Units!$Q34),1,Inputs!$B$15)*Inputs!$B$16*(1+Inputs!$B$11)^(DK$2-1),0)</f>
        <v>0</v>
      </c>
      <c r="DL35" s="11" t="n">
        <f aca="false">IF(AND(DL$1&gt;=Units!$Q34,MOD(DL$1-Units!$Q34,12)=0),IF(AND(Units!$L34=1,DL$1=Units!$Q34),1,Inputs!$B$15)*Inputs!$B$16*(1+Inputs!$B$11)^(DL$2-1),0)</f>
        <v>0</v>
      </c>
      <c r="DM35" s="11" t="n">
        <f aca="false">IF(AND(DM$1&gt;=Units!$Q34,MOD(DM$1-Units!$Q34,12)=0),IF(AND(Units!$L34=1,DM$1=Units!$Q34),1,Inputs!$B$15)*Inputs!$B$16*(1+Inputs!$B$11)^(DM$2-1),0)</f>
        <v>0</v>
      </c>
      <c r="DN35" s="11" t="n">
        <f aca="false">IF(AND(DN$1&gt;=Units!$Q34,MOD(DN$1-Units!$Q34,12)=0),IF(AND(Units!$L34=1,DN$1=Units!$Q34),1,Inputs!$B$15)*Inputs!$B$16*(1+Inputs!$B$11)^(DN$2-1),0)</f>
        <v>652.386591914623</v>
      </c>
      <c r="DO35" s="11" t="n">
        <f aca="false">IF(AND(DO$1&gt;=Units!$Q34,MOD(DO$1-Units!$Q34,12)=0),IF(AND(Units!$L34=1,DO$1=Units!$Q34),1,Inputs!$B$15)*Inputs!$B$16*(1+Inputs!$B$11)^(DO$2-1),0)</f>
        <v>0</v>
      </c>
      <c r="DP35" s="11" t="n">
        <f aca="false">IF(AND(DP$1&gt;=Units!$Q34,MOD(DP$1-Units!$Q34,12)=0),IF(AND(Units!$L34=1,DP$1=Units!$Q34),1,Inputs!$B$15)*Inputs!$B$16*(1+Inputs!$B$11)^(DP$2-1),0)</f>
        <v>0</v>
      </c>
      <c r="DQ35" s="11" t="n">
        <f aca="false">IF(AND(DQ$1&gt;=Units!$Q34,MOD(DQ$1-Units!$Q34,12)=0),IF(AND(Units!$L34=1,DQ$1=Units!$Q34),1,Inputs!$B$15)*Inputs!$B$16*(1+Inputs!$B$11)^(DQ$2-1),0)</f>
        <v>0</v>
      </c>
      <c r="DR35" s="11" t="n">
        <f aca="false">IF(AND(DR$1&gt;=Units!$Q34,MOD(DR$1-Units!$Q34,12)=0),IF(AND(Units!$L34=1,DR$1=Units!$Q34),1,Inputs!$B$15)*Inputs!$B$16*(1+Inputs!$B$11)^(DR$2-1),0)</f>
        <v>0</v>
      </c>
      <c r="DS35" s="11" t="n">
        <f aca="false">IF(AND(DS$1&gt;=Units!$Q34,MOD(DS$1-Units!$Q34,12)=0),IF(AND(Units!$L34=1,DS$1=Units!$Q34),1,Inputs!$B$15)*Inputs!$B$16*(1+Inputs!$B$11)^(DS$2-1),0)</f>
        <v>0</v>
      </c>
      <c r="DT35" s="11" t="n">
        <f aca="false">IF(AND(DT$1&gt;=Units!$Q34,MOD(DT$1-Units!$Q34,12)=0),IF(AND(Units!$L34=1,DT$1=Units!$Q34),1,Inputs!$B$15)*Inputs!$B$16*(1+Inputs!$B$11)^(DT$2-1),0)</f>
        <v>0</v>
      </c>
      <c r="DU35" s="11" t="n">
        <f aca="false">IF(AND(DU$1&gt;=Units!$Q34,MOD(DU$1-Units!$Q34,12)=0),IF(AND(Units!$L34=1,DU$1=Units!$Q34),1,Inputs!$B$15)*Inputs!$B$16*(1+Inputs!$B$11)^(DU$2-1),0)</f>
        <v>0</v>
      </c>
      <c r="DV35" s="11" t="n">
        <f aca="false">IF(AND(DV$1&gt;=Units!$Q34,MOD(DV$1-Units!$Q34,12)=0),IF(AND(Units!$L34=1,DV$1=Units!$Q34),1,Inputs!$B$15)*Inputs!$B$16*(1+Inputs!$B$11)^(DV$2-1),0)</f>
        <v>0</v>
      </c>
      <c r="DW35" s="11" t="n">
        <f aca="false">IF(AND(DW$1&gt;=Units!$Q34,MOD(DW$1-Units!$Q34,12)=0),IF(AND(Units!$L34=1,DW$1=Units!$Q34),1,Inputs!$B$15)*Inputs!$B$16*(1+Inputs!$B$11)^(DW$2-1),0)</f>
        <v>0</v>
      </c>
      <c r="DX35" s="11" t="n">
        <f aca="false">IF(AND(DX$1&gt;=Units!$Q34,MOD(DX$1-Units!$Q34,12)=0),IF(AND(Units!$L34=1,DX$1=Units!$Q34),1,Inputs!$B$15)*Inputs!$B$16*(1+Inputs!$B$11)^(DX$2-1),0)</f>
        <v>0</v>
      </c>
      <c r="DY35" s="11" t="n">
        <f aca="false">IF(AND(DY$1&gt;=Units!$Q34,MOD(DY$1-Units!$Q34,12)=0),IF(AND(Units!$L34=1,DY$1=Units!$Q34),1,Inputs!$B$15)*Inputs!$B$16*(1+Inputs!$B$11)^(DY$2-1),0)</f>
        <v>0</v>
      </c>
      <c r="DZ35" s="11" t="n">
        <f aca="false">IF(AND(DZ$1&gt;=Units!$Q34,MOD(DZ$1-Units!$Q34,12)=0),IF(AND(Units!$L34=1,DZ$1=Units!$Q34),1,Inputs!$B$15)*Inputs!$B$16*(1+Inputs!$B$11)^(DZ$2-1),0)</f>
        <v>671.958189672061</v>
      </c>
      <c r="EA35" s="11" t="n">
        <f aca="false">IF(AND(EA$1&gt;=Units!$Q34,MOD(EA$1-Units!$Q34,12)=0),IF(AND(Units!$L34=1,EA$1=Units!$Q34),1,Inputs!$B$15)*Inputs!$B$16*(1+Inputs!$B$11)^(EA$2-1),0)</f>
        <v>0</v>
      </c>
      <c r="EB35" s="11" t="n">
        <f aca="false">IF(AND(EB$1&gt;=Units!$Q34,MOD(EB$1-Units!$Q34,12)=0),IF(AND(Units!$L34=1,EB$1=Units!$Q34),1,Inputs!$B$15)*Inputs!$B$16*(1+Inputs!$B$11)^(EB$2-1),0)</f>
        <v>0</v>
      </c>
      <c r="EC35" s="11" t="n">
        <f aca="false">IF(AND(EC$1&gt;=Units!$Q34,MOD(EC$1-Units!$Q34,12)=0),IF(AND(Units!$L34=1,EC$1=Units!$Q34),1,Inputs!$B$15)*Inputs!$B$16*(1+Inputs!$B$11)^(EC$2-1),0)</f>
        <v>0</v>
      </c>
      <c r="ED35" s="11" t="n">
        <f aca="false">IF(AND(ED$1&gt;=Units!$Q34,MOD(ED$1-Units!$Q34,12)=0),IF(AND(Units!$L34=1,ED$1=Units!$Q34),1,Inputs!$B$15)*Inputs!$B$16*(1+Inputs!$B$11)^(ED$2-1),0)</f>
        <v>0</v>
      </c>
    </row>
    <row r="36" customFormat="false" ht="15" hidden="false" customHeight="false" outlineLevel="0" collapsed="false">
      <c r="A36" s="22" t="n">
        <f aca="false">Units!A35</f>
        <v>204</v>
      </c>
      <c r="B36" s="23"/>
      <c r="C36" s="11" t="n">
        <f aca="false">IF(AND(C$1&gt;=Units!$Q35,MOD(C$1-Units!$Q35,12)=0),IF(AND(Units!$L35=1,C$1=Units!$Q35),1,Inputs!$B$15)*Inputs!$B$16*(1+Inputs!$B$11)^(C$2-1),0)</f>
        <v>0</v>
      </c>
      <c r="D36" s="11" t="n">
        <f aca="false">IF(AND(D$1&gt;=Units!$Q35,MOD(D$1-Units!$Q35,12)=0),IF(AND(Units!$L35=1,D$1=Units!$Q35),1,Inputs!$B$15)*Inputs!$B$16*(1+Inputs!$B$11)^(D$2-1),0)</f>
        <v>0</v>
      </c>
      <c r="E36" s="11" t="n">
        <f aca="false">IF(AND(E$1&gt;=Units!$Q35,MOD(E$1-Units!$Q35,12)=0),IF(AND(Units!$L35=1,E$1=Units!$Q35),1,Inputs!$B$15)*Inputs!$B$16*(1+Inputs!$B$11)^(E$2-1),0)</f>
        <v>0</v>
      </c>
      <c r="F36" s="11" t="n">
        <f aca="false">IF(AND(F$1&gt;=Units!$Q35,MOD(F$1-Units!$Q35,12)=0),IF(AND(Units!$L35=1,F$1=Units!$Q35),1,Inputs!$B$15)*Inputs!$B$16*(1+Inputs!$B$11)^(F$2-1),0)</f>
        <v>0</v>
      </c>
      <c r="G36" s="11" t="n">
        <f aca="false">IF(AND(G$1&gt;=Units!$Q35,MOD(G$1-Units!$Q35,12)=0),IF(AND(Units!$L35=1,G$1=Units!$Q35),1,Inputs!$B$15)*Inputs!$B$16*(1+Inputs!$B$11)^(G$2-1),0)</f>
        <v>0</v>
      </c>
      <c r="H36" s="11" t="n">
        <f aca="false">IF(AND(H$1&gt;=Units!$Q35,MOD(H$1-Units!$Q35,12)=0),IF(AND(Units!$L35=1,H$1=Units!$Q35),1,Inputs!$B$15)*Inputs!$B$16*(1+Inputs!$B$11)^(H$2-1),0)</f>
        <v>0</v>
      </c>
      <c r="I36" s="11" t="n">
        <f aca="false">IF(AND(I$1&gt;=Units!$Q35,MOD(I$1-Units!$Q35,12)=0),IF(AND(Units!$L35=1,I$1=Units!$Q35),1,Inputs!$B$15)*Inputs!$B$16*(1+Inputs!$B$11)^(I$2-1),0)</f>
        <v>0</v>
      </c>
      <c r="J36" s="11" t="n">
        <f aca="false">IF(AND(J$1&gt;=Units!$Q35,MOD(J$1-Units!$Q35,12)=0),IF(AND(Units!$L35=1,J$1=Units!$Q35),1,Inputs!$B$15)*Inputs!$B$16*(1+Inputs!$B$11)^(J$2-1),0)</f>
        <v>500</v>
      </c>
      <c r="K36" s="11" t="n">
        <f aca="false">IF(AND(K$1&gt;=Units!$Q35,MOD(K$1-Units!$Q35,12)=0),IF(AND(Units!$L35=1,K$1=Units!$Q35),1,Inputs!$B$15)*Inputs!$B$16*(1+Inputs!$B$11)^(K$2-1),0)</f>
        <v>0</v>
      </c>
      <c r="L36" s="11" t="n">
        <f aca="false">IF(AND(L$1&gt;=Units!$Q35,MOD(L$1-Units!$Q35,12)=0),IF(AND(Units!$L35=1,L$1=Units!$Q35),1,Inputs!$B$15)*Inputs!$B$16*(1+Inputs!$B$11)^(L$2-1),0)</f>
        <v>0</v>
      </c>
      <c r="M36" s="11" t="n">
        <f aca="false">IF(AND(M$1&gt;=Units!$Q35,MOD(M$1-Units!$Q35,12)=0),IF(AND(Units!$L35=1,M$1=Units!$Q35),1,Inputs!$B$15)*Inputs!$B$16*(1+Inputs!$B$11)^(M$2-1),0)</f>
        <v>0</v>
      </c>
      <c r="N36" s="11" t="n">
        <f aca="false">IF(AND(N$1&gt;=Units!$Q35,MOD(N$1-Units!$Q35,12)=0),IF(AND(Units!$L35=1,N$1=Units!$Q35),1,Inputs!$B$15)*Inputs!$B$16*(1+Inputs!$B$11)^(N$2-1),0)</f>
        <v>0</v>
      </c>
      <c r="O36" s="11" t="n">
        <f aca="false">IF(AND(O$1&gt;=Units!$Q35,MOD(O$1-Units!$Q35,12)=0),IF(AND(Units!$L35=1,O$1=Units!$Q35),1,Inputs!$B$15)*Inputs!$B$16*(1+Inputs!$B$11)^(O$2-1),0)</f>
        <v>0</v>
      </c>
      <c r="P36" s="11" t="n">
        <f aca="false">IF(AND(P$1&gt;=Units!$Q35,MOD(P$1-Units!$Q35,12)=0),IF(AND(Units!$L35=1,P$1=Units!$Q35),1,Inputs!$B$15)*Inputs!$B$16*(1+Inputs!$B$11)^(P$2-1),0)</f>
        <v>0</v>
      </c>
      <c r="Q36" s="11" t="n">
        <f aca="false">IF(AND(Q$1&gt;=Units!$Q35,MOD(Q$1-Units!$Q35,12)=0),IF(AND(Units!$L35=1,Q$1=Units!$Q35),1,Inputs!$B$15)*Inputs!$B$16*(1+Inputs!$B$11)^(Q$2-1),0)</f>
        <v>0</v>
      </c>
      <c r="R36" s="11" t="n">
        <f aca="false">IF(AND(R$1&gt;=Units!$Q35,MOD(R$1-Units!$Q35,12)=0),IF(AND(Units!$L35=1,R$1=Units!$Q35),1,Inputs!$B$15)*Inputs!$B$16*(1+Inputs!$B$11)^(R$2-1),0)</f>
        <v>0</v>
      </c>
      <c r="S36" s="11" t="n">
        <f aca="false">IF(AND(S$1&gt;=Units!$Q35,MOD(S$1-Units!$Q35,12)=0),IF(AND(Units!$L35=1,S$1=Units!$Q35),1,Inputs!$B$15)*Inputs!$B$16*(1+Inputs!$B$11)^(S$2-1),0)</f>
        <v>0</v>
      </c>
      <c r="T36" s="11" t="n">
        <f aca="false">IF(AND(T$1&gt;=Units!$Q35,MOD(T$1-Units!$Q35,12)=0),IF(AND(Units!$L35=1,T$1=Units!$Q35),1,Inputs!$B$15)*Inputs!$B$16*(1+Inputs!$B$11)^(T$2-1),0)</f>
        <v>0</v>
      </c>
      <c r="U36" s="11" t="n">
        <f aca="false">IF(AND(U$1&gt;=Units!$Q35,MOD(U$1-Units!$Q35,12)=0),IF(AND(Units!$L35=1,U$1=Units!$Q35),1,Inputs!$B$15)*Inputs!$B$16*(1+Inputs!$B$11)^(U$2-1),0)</f>
        <v>0</v>
      </c>
      <c r="V36" s="11" t="n">
        <f aca="false">IF(AND(V$1&gt;=Units!$Q35,MOD(V$1-Units!$Q35,12)=0),IF(AND(Units!$L35=1,V$1=Units!$Q35),1,Inputs!$B$15)*Inputs!$B$16*(1+Inputs!$B$11)^(V$2-1),0)</f>
        <v>515</v>
      </c>
      <c r="W36" s="11" t="n">
        <f aca="false">IF(AND(W$1&gt;=Units!$Q35,MOD(W$1-Units!$Q35,12)=0),IF(AND(Units!$L35=1,W$1=Units!$Q35),1,Inputs!$B$15)*Inputs!$B$16*(1+Inputs!$B$11)^(W$2-1),0)</f>
        <v>0</v>
      </c>
      <c r="X36" s="11" t="n">
        <f aca="false">IF(AND(X$1&gt;=Units!$Q35,MOD(X$1-Units!$Q35,12)=0),IF(AND(Units!$L35=1,X$1=Units!$Q35),1,Inputs!$B$15)*Inputs!$B$16*(1+Inputs!$B$11)^(X$2-1),0)</f>
        <v>0</v>
      </c>
      <c r="Y36" s="11" t="n">
        <f aca="false">IF(AND(Y$1&gt;=Units!$Q35,MOD(Y$1-Units!$Q35,12)=0),IF(AND(Units!$L35=1,Y$1=Units!$Q35),1,Inputs!$B$15)*Inputs!$B$16*(1+Inputs!$B$11)^(Y$2-1),0)</f>
        <v>0</v>
      </c>
      <c r="Z36" s="11" t="n">
        <f aca="false">IF(AND(Z$1&gt;=Units!$Q35,MOD(Z$1-Units!$Q35,12)=0),IF(AND(Units!$L35=1,Z$1=Units!$Q35),1,Inputs!$B$15)*Inputs!$B$16*(1+Inputs!$B$11)^(Z$2-1),0)</f>
        <v>0</v>
      </c>
      <c r="AA36" s="11" t="n">
        <f aca="false">IF(AND(AA$1&gt;=Units!$Q35,MOD(AA$1-Units!$Q35,12)=0),IF(AND(Units!$L35=1,AA$1=Units!$Q35),1,Inputs!$B$15)*Inputs!$B$16*(1+Inputs!$B$11)^(AA$2-1),0)</f>
        <v>0</v>
      </c>
      <c r="AB36" s="11" t="n">
        <f aca="false">IF(AND(AB$1&gt;=Units!$Q35,MOD(AB$1-Units!$Q35,12)=0),IF(AND(Units!$L35=1,AB$1=Units!$Q35),1,Inputs!$B$15)*Inputs!$B$16*(1+Inputs!$B$11)^(AB$2-1),0)</f>
        <v>0</v>
      </c>
      <c r="AC36" s="11" t="n">
        <f aca="false">IF(AND(AC$1&gt;=Units!$Q35,MOD(AC$1-Units!$Q35,12)=0),IF(AND(Units!$L35=1,AC$1=Units!$Q35),1,Inputs!$B$15)*Inputs!$B$16*(1+Inputs!$B$11)^(AC$2-1),0)</f>
        <v>0</v>
      </c>
      <c r="AD36" s="11" t="n">
        <f aca="false">IF(AND(AD$1&gt;=Units!$Q35,MOD(AD$1-Units!$Q35,12)=0),IF(AND(Units!$L35=1,AD$1=Units!$Q35),1,Inputs!$B$15)*Inputs!$B$16*(1+Inputs!$B$11)^(AD$2-1),0)</f>
        <v>0</v>
      </c>
      <c r="AE36" s="11" t="n">
        <f aca="false">IF(AND(AE$1&gt;=Units!$Q35,MOD(AE$1-Units!$Q35,12)=0),IF(AND(Units!$L35=1,AE$1=Units!$Q35),1,Inputs!$B$15)*Inputs!$B$16*(1+Inputs!$B$11)^(AE$2-1),0)</f>
        <v>0</v>
      </c>
      <c r="AF36" s="11" t="n">
        <f aca="false">IF(AND(AF$1&gt;=Units!$Q35,MOD(AF$1-Units!$Q35,12)=0),IF(AND(Units!$L35=1,AF$1=Units!$Q35),1,Inputs!$B$15)*Inputs!$B$16*(1+Inputs!$B$11)^(AF$2-1),0)</f>
        <v>0</v>
      </c>
      <c r="AG36" s="11" t="n">
        <f aca="false">IF(AND(AG$1&gt;=Units!$Q35,MOD(AG$1-Units!$Q35,12)=0),IF(AND(Units!$L35=1,AG$1=Units!$Q35),1,Inputs!$B$15)*Inputs!$B$16*(1+Inputs!$B$11)^(AG$2-1),0)</f>
        <v>0</v>
      </c>
      <c r="AH36" s="11" t="n">
        <f aca="false">IF(AND(AH$1&gt;=Units!$Q35,MOD(AH$1-Units!$Q35,12)=0),IF(AND(Units!$L35=1,AH$1=Units!$Q35),1,Inputs!$B$15)*Inputs!$B$16*(1+Inputs!$B$11)^(AH$2-1),0)</f>
        <v>530.45</v>
      </c>
      <c r="AI36" s="11" t="n">
        <f aca="false">IF(AND(AI$1&gt;=Units!$Q35,MOD(AI$1-Units!$Q35,12)=0),IF(AND(Units!$L35=1,AI$1=Units!$Q35),1,Inputs!$B$15)*Inputs!$B$16*(1+Inputs!$B$11)^(AI$2-1),0)</f>
        <v>0</v>
      </c>
      <c r="AJ36" s="11" t="n">
        <f aca="false">IF(AND(AJ$1&gt;=Units!$Q35,MOD(AJ$1-Units!$Q35,12)=0),IF(AND(Units!$L35=1,AJ$1=Units!$Q35),1,Inputs!$B$15)*Inputs!$B$16*(1+Inputs!$B$11)^(AJ$2-1),0)</f>
        <v>0</v>
      </c>
      <c r="AK36" s="11" t="n">
        <f aca="false">IF(AND(AK$1&gt;=Units!$Q35,MOD(AK$1-Units!$Q35,12)=0),IF(AND(Units!$L35=1,AK$1=Units!$Q35),1,Inputs!$B$15)*Inputs!$B$16*(1+Inputs!$B$11)^(AK$2-1),0)</f>
        <v>0</v>
      </c>
      <c r="AL36" s="11" t="n">
        <f aca="false">IF(AND(AL$1&gt;=Units!$Q35,MOD(AL$1-Units!$Q35,12)=0),IF(AND(Units!$L35=1,AL$1=Units!$Q35),1,Inputs!$B$15)*Inputs!$B$16*(1+Inputs!$B$11)^(AL$2-1),0)</f>
        <v>0</v>
      </c>
      <c r="AM36" s="11" t="n">
        <f aca="false">IF(AND(AM$1&gt;=Units!$Q35,MOD(AM$1-Units!$Q35,12)=0),IF(AND(Units!$L35=1,AM$1=Units!$Q35),1,Inputs!$B$15)*Inputs!$B$16*(1+Inputs!$B$11)^(AM$2-1),0)</f>
        <v>0</v>
      </c>
      <c r="AN36" s="11" t="n">
        <f aca="false">IF(AND(AN$1&gt;=Units!$Q35,MOD(AN$1-Units!$Q35,12)=0),IF(AND(Units!$L35=1,AN$1=Units!$Q35),1,Inputs!$B$15)*Inputs!$B$16*(1+Inputs!$B$11)^(AN$2-1),0)</f>
        <v>0</v>
      </c>
      <c r="AO36" s="11" t="n">
        <f aca="false">IF(AND(AO$1&gt;=Units!$Q35,MOD(AO$1-Units!$Q35,12)=0),IF(AND(Units!$L35=1,AO$1=Units!$Q35),1,Inputs!$B$15)*Inputs!$B$16*(1+Inputs!$B$11)^(AO$2-1),0)</f>
        <v>0</v>
      </c>
      <c r="AP36" s="11" t="n">
        <f aca="false">IF(AND(AP$1&gt;=Units!$Q35,MOD(AP$1-Units!$Q35,12)=0),IF(AND(Units!$L35=1,AP$1=Units!$Q35),1,Inputs!$B$15)*Inputs!$B$16*(1+Inputs!$B$11)^(AP$2-1),0)</f>
        <v>0</v>
      </c>
      <c r="AQ36" s="11" t="n">
        <f aca="false">IF(AND(AQ$1&gt;=Units!$Q35,MOD(AQ$1-Units!$Q35,12)=0),IF(AND(Units!$L35=1,AQ$1=Units!$Q35),1,Inputs!$B$15)*Inputs!$B$16*(1+Inputs!$B$11)^(AQ$2-1),0)</f>
        <v>0</v>
      </c>
      <c r="AR36" s="11" t="n">
        <f aca="false">IF(AND(AR$1&gt;=Units!$Q35,MOD(AR$1-Units!$Q35,12)=0),IF(AND(Units!$L35=1,AR$1=Units!$Q35),1,Inputs!$B$15)*Inputs!$B$16*(1+Inputs!$B$11)^(AR$2-1),0)</f>
        <v>0</v>
      </c>
      <c r="AS36" s="11" t="n">
        <f aca="false">IF(AND(AS$1&gt;=Units!$Q35,MOD(AS$1-Units!$Q35,12)=0),IF(AND(Units!$L35=1,AS$1=Units!$Q35),1,Inputs!$B$15)*Inputs!$B$16*(1+Inputs!$B$11)^(AS$2-1),0)</f>
        <v>0</v>
      </c>
      <c r="AT36" s="11" t="n">
        <f aca="false">IF(AND(AT$1&gt;=Units!$Q35,MOD(AT$1-Units!$Q35,12)=0),IF(AND(Units!$L35=1,AT$1=Units!$Q35),1,Inputs!$B$15)*Inputs!$B$16*(1+Inputs!$B$11)^(AT$2-1),0)</f>
        <v>546.3635</v>
      </c>
      <c r="AU36" s="11" t="n">
        <f aca="false">IF(AND(AU$1&gt;=Units!$Q35,MOD(AU$1-Units!$Q35,12)=0),IF(AND(Units!$L35=1,AU$1=Units!$Q35),1,Inputs!$B$15)*Inputs!$B$16*(1+Inputs!$B$11)^(AU$2-1),0)</f>
        <v>0</v>
      </c>
      <c r="AV36" s="11" t="n">
        <f aca="false">IF(AND(AV$1&gt;=Units!$Q35,MOD(AV$1-Units!$Q35,12)=0),IF(AND(Units!$L35=1,AV$1=Units!$Q35),1,Inputs!$B$15)*Inputs!$B$16*(1+Inputs!$B$11)^(AV$2-1),0)</f>
        <v>0</v>
      </c>
      <c r="AW36" s="11" t="n">
        <f aca="false">IF(AND(AW$1&gt;=Units!$Q35,MOD(AW$1-Units!$Q35,12)=0),IF(AND(Units!$L35=1,AW$1=Units!$Q35),1,Inputs!$B$15)*Inputs!$B$16*(1+Inputs!$B$11)^(AW$2-1),0)</f>
        <v>0</v>
      </c>
      <c r="AX36" s="11" t="n">
        <f aca="false">IF(AND(AX$1&gt;=Units!$Q35,MOD(AX$1-Units!$Q35,12)=0),IF(AND(Units!$L35=1,AX$1=Units!$Q35),1,Inputs!$B$15)*Inputs!$B$16*(1+Inputs!$B$11)^(AX$2-1),0)</f>
        <v>0</v>
      </c>
      <c r="AY36" s="11" t="n">
        <f aca="false">IF(AND(AY$1&gt;=Units!$Q35,MOD(AY$1-Units!$Q35,12)=0),IF(AND(Units!$L35=1,AY$1=Units!$Q35),1,Inputs!$B$15)*Inputs!$B$16*(1+Inputs!$B$11)^(AY$2-1),0)</f>
        <v>0</v>
      </c>
      <c r="AZ36" s="11" t="n">
        <f aca="false">IF(AND(AZ$1&gt;=Units!$Q35,MOD(AZ$1-Units!$Q35,12)=0),IF(AND(Units!$L35=1,AZ$1=Units!$Q35),1,Inputs!$B$15)*Inputs!$B$16*(1+Inputs!$B$11)^(AZ$2-1),0)</f>
        <v>0</v>
      </c>
      <c r="BA36" s="11" t="n">
        <f aca="false">IF(AND(BA$1&gt;=Units!$Q35,MOD(BA$1-Units!$Q35,12)=0),IF(AND(Units!$L35=1,BA$1=Units!$Q35),1,Inputs!$B$15)*Inputs!$B$16*(1+Inputs!$B$11)^(BA$2-1),0)</f>
        <v>0</v>
      </c>
      <c r="BB36" s="11" t="n">
        <f aca="false">IF(AND(BB$1&gt;=Units!$Q35,MOD(BB$1-Units!$Q35,12)=0),IF(AND(Units!$L35=1,BB$1=Units!$Q35),1,Inputs!$B$15)*Inputs!$B$16*(1+Inputs!$B$11)^(BB$2-1),0)</f>
        <v>0</v>
      </c>
      <c r="BC36" s="11" t="n">
        <f aca="false">IF(AND(BC$1&gt;=Units!$Q35,MOD(BC$1-Units!$Q35,12)=0),IF(AND(Units!$L35=1,BC$1=Units!$Q35),1,Inputs!$B$15)*Inputs!$B$16*(1+Inputs!$B$11)^(BC$2-1),0)</f>
        <v>0</v>
      </c>
      <c r="BD36" s="11" t="n">
        <f aca="false">IF(AND(BD$1&gt;=Units!$Q35,MOD(BD$1-Units!$Q35,12)=0),IF(AND(Units!$L35=1,BD$1=Units!$Q35),1,Inputs!$B$15)*Inputs!$B$16*(1+Inputs!$B$11)^(BD$2-1),0)</f>
        <v>0</v>
      </c>
      <c r="BE36" s="11" t="n">
        <f aca="false">IF(AND(BE$1&gt;=Units!$Q35,MOD(BE$1-Units!$Q35,12)=0),IF(AND(Units!$L35=1,BE$1=Units!$Q35),1,Inputs!$B$15)*Inputs!$B$16*(1+Inputs!$B$11)^(BE$2-1),0)</f>
        <v>0</v>
      </c>
      <c r="BF36" s="11" t="n">
        <f aca="false">IF(AND(BF$1&gt;=Units!$Q35,MOD(BF$1-Units!$Q35,12)=0),IF(AND(Units!$L35=1,BF$1=Units!$Q35),1,Inputs!$B$15)*Inputs!$B$16*(1+Inputs!$B$11)^(BF$2-1),0)</f>
        <v>562.754405</v>
      </c>
      <c r="BG36" s="11" t="n">
        <f aca="false">IF(AND(BG$1&gt;=Units!$Q35,MOD(BG$1-Units!$Q35,12)=0),IF(AND(Units!$L35=1,BG$1=Units!$Q35),1,Inputs!$B$15)*Inputs!$B$16*(1+Inputs!$B$11)^(BG$2-1),0)</f>
        <v>0</v>
      </c>
      <c r="BH36" s="11" t="n">
        <f aca="false">IF(AND(BH$1&gt;=Units!$Q35,MOD(BH$1-Units!$Q35,12)=0),IF(AND(Units!$L35=1,BH$1=Units!$Q35),1,Inputs!$B$15)*Inputs!$B$16*(1+Inputs!$B$11)^(BH$2-1),0)</f>
        <v>0</v>
      </c>
      <c r="BI36" s="11" t="n">
        <f aca="false">IF(AND(BI$1&gt;=Units!$Q35,MOD(BI$1-Units!$Q35,12)=0),IF(AND(Units!$L35=1,BI$1=Units!$Q35),1,Inputs!$B$15)*Inputs!$B$16*(1+Inputs!$B$11)^(BI$2-1),0)</f>
        <v>0</v>
      </c>
      <c r="BJ36" s="11" t="n">
        <f aca="false">IF(AND(BJ$1&gt;=Units!$Q35,MOD(BJ$1-Units!$Q35,12)=0),IF(AND(Units!$L35=1,BJ$1=Units!$Q35),1,Inputs!$B$15)*Inputs!$B$16*(1+Inputs!$B$11)^(BJ$2-1),0)</f>
        <v>0</v>
      </c>
      <c r="BK36" s="11" t="n">
        <f aca="false">IF(AND(BK$1&gt;=Units!$Q35,MOD(BK$1-Units!$Q35,12)=0),IF(AND(Units!$L35=1,BK$1=Units!$Q35),1,Inputs!$B$15)*Inputs!$B$16*(1+Inputs!$B$11)^(BK$2-1),0)</f>
        <v>0</v>
      </c>
      <c r="BL36" s="11" t="n">
        <f aca="false">IF(AND(BL$1&gt;=Units!$Q35,MOD(BL$1-Units!$Q35,12)=0),IF(AND(Units!$L35=1,BL$1=Units!$Q35),1,Inputs!$B$15)*Inputs!$B$16*(1+Inputs!$B$11)^(BL$2-1),0)</f>
        <v>0</v>
      </c>
      <c r="BM36" s="11" t="n">
        <f aca="false">IF(AND(BM$1&gt;=Units!$Q35,MOD(BM$1-Units!$Q35,12)=0),IF(AND(Units!$L35=1,BM$1=Units!$Q35),1,Inputs!$B$15)*Inputs!$B$16*(1+Inputs!$B$11)^(BM$2-1),0)</f>
        <v>0</v>
      </c>
      <c r="BN36" s="11" t="n">
        <f aca="false">IF(AND(BN$1&gt;=Units!$Q35,MOD(BN$1-Units!$Q35,12)=0),IF(AND(Units!$L35=1,BN$1=Units!$Q35),1,Inputs!$B$15)*Inputs!$B$16*(1+Inputs!$B$11)^(BN$2-1),0)</f>
        <v>0</v>
      </c>
      <c r="BO36" s="11" t="n">
        <f aca="false">IF(AND(BO$1&gt;=Units!$Q35,MOD(BO$1-Units!$Q35,12)=0),IF(AND(Units!$L35=1,BO$1=Units!$Q35),1,Inputs!$B$15)*Inputs!$B$16*(1+Inputs!$B$11)^(BO$2-1),0)</f>
        <v>0</v>
      </c>
      <c r="BP36" s="11" t="n">
        <f aca="false">IF(AND(BP$1&gt;=Units!$Q35,MOD(BP$1-Units!$Q35,12)=0),IF(AND(Units!$L35=1,BP$1=Units!$Q35),1,Inputs!$B$15)*Inputs!$B$16*(1+Inputs!$B$11)^(BP$2-1),0)</f>
        <v>0</v>
      </c>
      <c r="BQ36" s="11" t="n">
        <f aca="false">IF(AND(BQ$1&gt;=Units!$Q35,MOD(BQ$1-Units!$Q35,12)=0),IF(AND(Units!$L35=1,BQ$1=Units!$Q35),1,Inputs!$B$15)*Inputs!$B$16*(1+Inputs!$B$11)^(BQ$2-1),0)</f>
        <v>0</v>
      </c>
      <c r="BR36" s="11" t="n">
        <f aca="false">IF(AND(BR$1&gt;=Units!$Q35,MOD(BR$1-Units!$Q35,12)=0),IF(AND(Units!$L35=1,BR$1=Units!$Q35),1,Inputs!$B$15)*Inputs!$B$16*(1+Inputs!$B$11)^(BR$2-1),0)</f>
        <v>579.63703715</v>
      </c>
      <c r="BS36" s="11" t="n">
        <f aca="false">IF(AND(BS$1&gt;=Units!$Q35,MOD(BS$1-Units!$Q35,12)=0),IF(AND(Units!$L35=1,BS$1=Units!$Q35),1,Inputs!$B$15)*Inputs!$B$16*(1+Inputs!$B$11)^(BS$2-1),0)</f>
        <v>0</v>
      </c>
      <c r="BT36" s="11" t="n">
        <f aca="false">IF(AND(BT$1&gt;=Units!$Q35,MOD(BT$1-Units!$Q35,12)=0),IF(AND(Units!$L35=1,BT$1=Units!$Q35),1,Inputs!$B$15)*Inputs!$B$16*(1+Inputs!$B$11)^(BT$2-1),0)</f>
        <v>0</v>
      </c>
      <c r="BU36" s="11" t="n">
        <f aca="false">IF(AND(BU$1&gt;=Units!$Q35,MOD(BU$1-Units!$Q35,12)=0),IF(AND(Units!$L35=1,BU$1=Units!$Q35),1,Inputs!$B$15)*Inputs!$B$16*(1+Inputs!$B$11)^(BU$2-1),0)</f>
        <v>0</v>
      </c>
      <c r="BV36" s="11" t="n">
        <f aca="false">IF(AND(BV$1&gt;=Units!$Q35,MOD(BV$1-Units!$Q35,12)=0),IF(AND(Units!$L35=1,BV$1=Units!$Q35),1,Inputs!$B$15)*Inputs!$B$16*(1+Inputs!$B$11)^(BV$2-1),0)</f>
        <v>0</v>
      </c>
      <c r="BW36" s="11" t="n">
        <f aca="false">IF(AND(BW$1&gt;=Units!$Q35,MOD(BW$1-Units!$Q35,12)=0),IF(AND(Units!$L35=1,BW$1=Units!$Q35),1,Inputs!$B$15)*Inputs!$B$16*(1+Inputs!$B$11)^(BW$2-1),0)</f>
        <v>0</v>
      </c>
      <c r="BX36" s="11" t="n">
        <f aca="false">IF(AND(BX$1&gt;=Units!$Q35,MOD(BX$1-Units!$Q35,12)=0),IF(AND(Units!$L35=1,BX$1=Units!$Q35),1,Inputs!$B$15)*Inputs!$B$16*(1+Inputs!$B$11)^(BX$2-1),0)</f>
        <v>0</v>
      </c>
      <c r="BY36" s="11" t="n">
        <f aca="false">IF(AND(BY$1&gt;=Units!$Q35,MOD(BY$1-Units!$Q35,12)=0),IF(AND(Units!$L35=1,BY$1=Units!$Q35),1,Inputs!$B$15)*Inputs!$B$16*(1+Inputs!$B$11)^(BY$2-1),0)</f>
        <v>0</v>
      </c>
      <c r="BZ36" s="11" t="n">
        <f aca="false">IF(AND(BZ$1&gt;=Units!$Q35,MOD(BZ$1-Units!$Q35,12)=0),IF(AND(Units!$L35=1,BZ$1=Units!$Q35),1,Inputs!$B$15)*Inputs!$B$16*(1+Inputs!$B$11)^(BZ$2-1),0)</f>
        <v>0</v>
      </c>
      <c r="CA36" s="11" t="n">
        <f aca="false">IF(AND(CA$1&gt;=Units!$Q35,MOD(CA$1-Units!$Q35,12)=0),IF(AND(Units!$L35=1,CA$1=Units!$Q35),1,Inputs!$B$15)*Inputs!$B$16*(1+Inputs!$B$11)^(CA$2-1),0)</f>
        <v>0</v>
      </c>
      <c r="CB36" s="11" t="n">
        <f aca="false">IF(AND(CB$1&gt;=Units!$Q35,MOD(CB$1-Units!$Q35,12)=0),IF(AND(Units!$L35=1,CB$1=Units!$Q35),1,Inputs!$B$15)*Inputs!$B$16*(1+Inputs!$B$11)^(CB$2-1),0)</f>
        <v>0</v>
      </c>
      <c r="CC36" s="11" t="n">
        <f aca="false">IF(AND(CC$1&gt;=Units!$Q35,MOD(CC$1-Units!$Q35,12)=0),IF(AND(Units!$L35=1,CC$1=Units!$Q35),1,Inputs!$B$15)*Inputs!$B$16*(1+Inputs!$B$11)^(CC$2-1),0)</f>
        <v>0</v>
      </c>
      <c r="CD36" s="11" t="n">
        <f aca="false">IF(AND(CD$1&gt;=Units!$Q35,MOD(CD$1-Units!$Q35,12)=0),IF(AND(Units!$L35=1,CD$1=Units!$Q35),1,Inputs!$B$15)*Inputs!$B$16*(1+Inputs!$B$11)^(CD$2-1),0)</f>
        <v>597.0261482645</v>
      </c>
      <c r="CE36" s="11" t="n">
        <f aca="false">IF(AND(CE$1&gt;=Units!$Q35,MOD(CE$1-Units!$Q35,12)=0),IF(AND(Units!$L35=1,CE$1=Units!$Q35),1,Inputs!$B$15)*Inputs!$B$16*(1+Inputs!$B$11)^(CE$2-1),0)</f>
        <v>0</v>
      </c>
      <c r="CF36" s="11" t="n">
        <f aca="false">IF(AND(CF$1&gt;=Units!$Q35,MOD(CF$1-Units!$Q35,12)=0),IF(AND(Units!$L35=1,CF$1=Units!$Q35),1,Inputs!$B$15)*Inputs!$B$16*(1+Inputs!$B$11)^(CF$2-1),0)</f>
        <v>0</v>
      </c>
      <c r="CG36" s="11" t="n">
        <f aca="false">IF(AND(CG$1&gt;=Units!$Q35,MOD(CG$1-Units!$Q35,12)=0),IF(AND(Units!$L35=1,CG$1=Units!$Q35),1,Inputs!$B$15)*Inputs!$B$16*(1+Inputs!$B$11)^(CG$2-1),0)</f>
        <v>0</v>
      </c>
      <c r="CH36" s="11" t="n">
        <f aca="false">IF(AND(CH$1&gt;=Units!$Q35,MOD(CH$1-Units!$Q35,12)=0),IF(AND(Units!$L35=1,CH$1=Units!$Q35),1,Inputs!$B$15)*Inputs!$B$16*(1+Inputs!$B$11)^(CH$2-1),0)</f>
        <v>0</v>
      </c>
      <c r="CI36" s="11" t="n">
        <f aca="false">IF(AND(CI$1&gt;=Units!$Q35,MOD(CI$1-Units!$Q35,12)=0),IF(AND(Units!$L35=1,CI$1=Units!$Q35),1,Inputs!$B$15)*Inputs!$B$16*(1+Inputs!$B$11)^(CI$2-1),0)</f>
        <v>0</v>
      </c>
      <c r="CJ36" s="11" t="n">
        <f aca="false">IF(AND(CJ$1&gt;=Units!$Q35,MOD(CJ$1-Units!$Q35,12)=0),IF(AND(Units!$L35=1,CJ$1=Units!$Q35),1,Inputs!$B$15)*Inputs!$B$16*(1+Inputs!$B$11)^(CJ$2-1),0)</f>
        <v>0</v>
      </c>
      <c r="CK36" s="11" t="n">
        <f aca="false">IF(AND(CK$1&gt;=Units!$Q35,MOD(CK$1-Units!$Q35,12)=0),IF(AND(Units!$L35=1,CK$1=Units!$Q35),1,Inputs!$B$15)*Inputs!$B$16*(1+Inputs!$B$11)^(CK$2-1),0)</f>
        <v>0</v>
      </c>
      <c r="CL36" s="11" t="n">
        <f aca="false">IF(AND(CL$1&gt;=Units!$Q35,MOD(CL$1-Units!$Q35,12)=0),IF(AND(Units!$L35=1,CL$1=Units!$Q35),1,Inputs!$B$15)*Inputs!$B$16*(1+Inputs!$B$11)^(CL$2-1),0)</f>
        <v>0</v>
      </c>
      <c r="CM36" s="11" t="n">
        <f aca="false">IF(AND(CM$1&gt;=Units!$Q35,MOD(CM$1-Units!$Q35,12)=0),IF(AND(Units!$L35=1,CM$1=Units!$Q35),1,Inputs!$B$15)*Inputs!$B$16*(1+Inputs!$B$11)^(CM$2-1),0)</f>
        <v>0</v>
      </c>
      <c r="CN36" s="11" t="n">
        <f aca="false">IF(AND(CN$1&gt;=Units!$Q35,MOD(CN$1-Units!$Q35,12)=0),IF(AND(Units!$L35=1,CN$1=Units!$Q35),1,Inputs!$B$15)*Inputs!$B$16*(1+Inputs!$B$11)^(CN$2-1),0)</f>
        <v>0</v>
      </c>
      <c r="CO36" s="11" t="n">
        <f aca="false">IF(AND(CO$1&gt;=Units!$Q35,MOD(CO$1-Units!$Q35,12)=0),IF(AND(Units!$L35=1,CO$1=Units!$Q35),1,Inputs!$B$15)*Inputs!$B$16*(1+Inputs!$B$11)^(CO$2-1),0)</f>
        <v>0</v>
      </c>
      <c r="CP36" s="11" t="n">
        <f aca="false">IF(AND(CP$1&gt;=Units!$Q35,MOD(CP$1-Units!$Q35,12)=0),IF(AND(Units!$L35=1,CP$1=Units!$Q35),1,Inputs!$B$15)*Inputs!$B$16*(1+Inputs!$B$11)^(CP$2-1),0)</f>
        <v>614.936932712435</v>
      </c>
      <c r="CQ36" s="11" t="n">
        <f aca="false">IF(AND(CQ$1&gt;=Units!$Q35,MOD(CQ$1-Units!$Q35,12)=0),IF(AND(Units!$L35=1,CQ$1=Units!$Q35),1,Inputs!$B$15)*Inputs!$B$16*(1+Inputs!$B$11)^(CQ$2-1),0)</f>
        <v>0</v>
      </c>
      <c r="CR36" s="11" t="n">
        <f aca="false">IF(AND(CR$1&gt;=Units!$Q35,MOD(CR$1-Units!$Q35,12)=0),IF(AND(Units!$L35=1,CR$1=Units!$Q35),1,Inputs!$B$15)*Inputs!$B$16*(1+Inputs!$B$11)^(CR$2-1),0)</f>
        <v>0</v>
      </c>
      <c r="CS36" s="11" t="n">
        <f aca="false">IF(AND(CS$1&gt;=Units!$Q35,MOD(CS$1-Units!$Q35,12)=0),IF(AND(Units!$L35=1,CS$1=Units!$Q35),1,Inputs!$B$15)*Inputs!$B$16*(1+Inputs!$B$11)^(CS$2-1),0)</f>
        <v>0</v>
      </c>
      <c r="CT36" s="11" t="n">
        <f aca="false">IF(AND(CT$1&gt;=Units!$Q35,MOD(CT$1-Units!$Q35,12)=0),IF(AND(Units!$L35=1,CT$1=Units!$Q35),1,Inputs!$B$15)*Inputs!$B$16*(1+Inputs!$B$11)^(CT$2-1),0)</f>
        <v>0</v>
      </c>
      <c r="CU36" s="11" t="n">
        <f aca="false">IF(AND(CU$1&gt;=Units!$Q35,MOD(CU$1-Units!$Q35,12)=0),IF(AND(Units!$L35=1,CU$1=Units!$Q35),1,Inputs!$B$15)*Inputs!$B$16*(1+Inputs!$B$11)^(CU$2-1),0)</f>
        <v>0</v>
      </c>
      <c r="CV36" s="11" t="n">
        <f aca="false">IF(AND(CV$1&gt;=Units!$Q35,MOD(CV$1-Units!$Q35,12)=0),IF(AND(Units!$L35=1,CV$1=Units!$Q35),1,Inputs!$B$15)*Inputs!$B$16*(1+Inputs!$B$11)^(CV$2-1),0)</f>
        <v>0</v>
      </c>
      <c r="CW36" s="11" t="n">
        <f aca="false">IF(AND(CW$1&gt;=Units!$Q35,MOD(CW$1-Units!$Q35,12)=0),IF(AND(Units!$L35=1,CW$1=Units!$Q35),1,Inputs!$B$15)*Inputs!$B$16*(1+Inputs!$B$11)^(CW$2-1),0)</f>
        <v>0</v>
      </c>
      <c r="CX36" s="11" t="n">
        <f aca="false">IF(AND(CX$1&gt;=Units!$Q35,MOD(CX$1-Units!$Q35,12)=0),IF(AND(Units!$L35=1,CX$1=Units!$Q35),1,Inputs!$B$15)*Inputs!$B$16*(1+Inputs!$B$11)^(CX$2-1),0)</f>
        <v>0</v>
      </c>
      <c r="CY36" s="11" t="n">
        <f aca="false">IF(AND(CY$1&gt;=Units!$Q35,MOD(CY$1-Units!$Q35,12)=0),IF(AND(Units!$L35=1,CY$1=Units!$Q35),1,Inputs!$B$15)*Inputs!$B$16*(1+Inputs!$B$11)^(CY$2-1),0)</f>
        <v>0</v>
      </c>
      <c r="CZ36" s="11" t="n">
        <f aca="false">IF(AND(CZ$1&gt;=Units!$Q35,MOD(CZ$1-Units!$Q35,12)=0),IF(AND(Units!$L35=1,CZ$1=Units!$Q35),1,Inputs!$B$15)*Inputs!$B$16*(1+Inputs!$B$11)^(CZ$2-1),0)</f>
        <v>0</v>
      </c>
      <c r="DA36" s="11" t="n">
        <f aca="false">IF(AND(DA$1&gt;=Units!$Q35,MOD(DA$1-Units!$Q35,12)=0),IF(AND(Units!$L35=1,DA$1=Units!$Q35),1,Inputs!$B$15)*Inputs!$B$16*(1+Inputs!$B$11)^(DA$2-1),0)</f>
        <v>0</v>
      </c>
      <c r="DB36" s="11" t="n">
        <f aca="false">IF(AND(DB$1&gt;=Units!$Q35,MOD(DB$1-Units!$Q35,12)=0),IF(AND(Units!$L35=1,DB$1=Units!$Q35),1,Inputs!$B$15)*Inputs!$B$16*(1+Inputs!$B$11)^(DB$2-1),0)</f>
        <v>633.385040693808</v>
      </c>
      <c r="DC36" s="11" t="n">
        <f aca="false">IF(AND(DC$1&gt;=Units!$Q35,MOD(DC$1-Units!$Q35,12)=0),IF(AND(Units!$L35=1,DC$1=Units!$Q35),1,Inputs!$B$15)*Inputs!$B$16*(1+Inputs!$B$11)^(DC$2-1),0)</f>
        <v>0</v>
      </c>
      <c r="DD36" s="11" t="n">
        <f aca="false">IF(AND(DD$1&gt;=Units!$Q35,MOD(DD$1-Units!$Q35,12)=0),IF(AND(Units!$L35=1,DD$1=Units!$Q35),1,Inputs!$B$15)*Inputs!$B$16*(1+Inputs!$B$11)^(DD$2-1),0)</f>
        <v>0</v>
      </c>
      <c r="DE36" s="11" t="n">
        <f aca="false">IF(AND(DE$1&gt;=Units!$Q35,MOD(DE$1-Units!$Q35,12)=0),IF(AND(Units!$L35=1,DE$1=Units!$Q35),1,Inputs!$B$15)*Inputs!$B$16*(1+Inputs!$B$11)^(DE$2-1),0)</f>
        <v>0</v>
      </c>
      <c r="DF36" s="11" t="n">
        <f aca="false">IF(AND(DF$1&gt;=Units!$Q35,MOD(DF$1-Units!$Q35,12)=0),IF(AND(Units!$L35=1,DF$1=Units!$Q35),1,Inputs!$B$15)*Inputs!$B$16*(1+Inputs!$B$11)^(DF$2-1),0)</f>
        <v>0</v>
      </c>
      <c r="DG36" s="11" t="n">
        <f aca="false">IF(AND(DG$1&gt;=Units!$Q35,MOD(DG$1-Units!$Q35,12)=0),IF(AND(Units!$L35=1,DG$1=Units!$Q35),1,Inputs!$B$15)*Inputs!$B$16*(1+Inputs!$B$11)^(DG$2-1),0)</f>
        <v>0</v>
      </c>
      <c r="DH36" s="11" t="n">
        <f aca="false">IF(AND(DH$1&gt;=Units!$Q35,MOD(DH$1-Units!$Q35,12)=0),IF(AND(Units!$L35=1,DH$1=Units!$Q35),1,Inputs!$B$15)*Inputs!$B$16*(1+Inputs!$B$11)^(DH$2-1),0)</f>
        <v>0</v>
      </c>
      <c r="DI36" s="11" t="n">
        <f aca="false">IF(AND(DI$1&gt;=Units!$Q35,MOD(DI$1-Units!$Q35,12)=0),IF(AND(Units!$L35=1,DI$1=Units!$Q35),1,Inputs!$B$15)*Inputs!$B$16*(1+Inputs!$B$11)^(DI$2-1),0)</f>
        <v>0</v>
      </c>
      <c r="DJ36" s="11" t="n">
        <f aca="false">IF(AND(DJ$1&gt;=Units!$Q35,MOD(DJ$1-Units!$Q35,12)=0),IF(AND(Units!$L35=1,DJ$1=Units!$Q35),1,Inputs!$B$15)*Inputs!$B$16*(1+Inputs!$B$11)^(DJ$2-1),0)</f>
        <v>0</v>
      </c>
      <c r="DK36" s="11" t="n">
        <f aca="false">IF(AND(DK$1&gt;=Units!$Q35,MOD(DK$1-Units!$Q35,12)=0),IF(AND(Units!$L35=1,DK$1=Units!$Q35),1,Inputs!$B$15)*Inputs!$B$16*(1+Inputs!$B$11)^(DK$2-1),0)</f>
        <v>0</v>
      </c>
      <c r="DL36" s="11" t="n">
        <f aca="false">IF(AND(DL$1&gt;=Units!$Q35,MOD(DL$1-Units!$Q35,12)=0),IF(AND(Units!$L35=1,DL$1=Units!$Q35),1,Inputs!$B$15)*Inputs!$B$16*(1+Inputs!$B$11)^(DL$2-1),0)</f>
        <v>0</v>
      </c>
      <c r="DM36" s="11" t="n">
        <f aca="false">IF(AND(DM$1&gt;=Units!$Q35,MOD(DM$1-Units!$Q35,12)=0),IF(AND(Units!$L35=1,DM$1=Units!$Q35),1,Inputs!$B$15)*Inputs!$B$16*(1+Inputs!$B$11)^(DM$2-1),0)</f>
        <v>0</v>
      </c>
      <c r="DN36" s="11" t="n">
        <f aca="false">IF(AND(DN$1&gt;=Units!$Q35,MOD(DN$1-Units!$Q35,12)=0),IF(AND(Units!$L35=1,DN$1=Units!$Q35),1,Inputs!$B$15)*Inputs!$B$16*(1+Inputs!$B$11)^(DN$2-1),0)</f>
        <v>652.386591914623</v>
      </c>
      <c r="DO36" s="11" t="n">
        <f aca="false">IF(AND(DO$1&gt;=Units!$Q35,MOD(DO$1-Units!$Q35,12)=0),IF(AND(Units!$L35=1,DO$1=Units!$Q35),1,Inputs!$B$15)*Inputs!$B$16*(1+Inputs!$B$11)^(DO$2-1),0)</f>
        <v>0</v>
      </c>
      <c r="DP36" s="11" t="n">
        <f aca="false">IF(AND(DP$1&gt;=Units!$Q35,MOD(DP$1-Units!$Q35,12)=0),IF(AND(Units!$L35=1,DP$1=Units!$Q35),1,Inputs!$B$15)*Inputs!$B$16*(1+Inputs!$B$11)^(DP$2-1),0)</f>
        <v>0</v>
      </c>
      <c r="DQ36" s="11" t="n">
        <f aca="false">IF(AND(DQ$1&gt;=Units!$Q35,MOD(DQ$1-Units!$Q35,12)=0),IF(AND(Units!$L35=1,DQ$1=Units!$Q35),1,Inputs!$B$15)*Inputs!$B$16*(1+Inputs!$B$11)^(DQ$2-1),0)</f>
        <v>0</v>
      </c>
      <c r="DR36" s="11" t="n">
        <f aca="false">IF(AND(DR$1&gt;=Units!$Q35,MOD(DR$1-Units!$Q35,12)=0),IF(AND(Units!$L35=1,DR$1=Units!$Q35),1,Inputs!$B$15)*Inputs!$B$16*(1+Inputs!$B$11)^(DR$2-1),0)</f>
        <v>0</v>
      </c>
      <c r="DS36" s="11" t="n">
        <f aca="false">IF(AND(DS$1&gt;=Units!$Q35,MOD(DS$1-Units!$Q35,12)=0),IF(AND(Units!$L35=1,DS$1=Units!$Q35),1,Inputs!$B$15)*Inputs!$B$16*(1+Inputs!$B$11)^(DS$2-1),0)</f>
        <v>0</v>
      </c>
      <c r="DT36" s="11" t="n">
        <f aca="false">IF(AND(DT$1&gt;=Units!$Q35,MOD(DT$1-Units!$Q35,12)=0),IF(AND(Units!$L35=1,DT$1=Units!$Q35),1,Inputs!$B$15)*Inputs!$B$16*(1+Inputs!$B$11)^(DT$2-1),0)</f>
        <v>0</v>
      </c>
      <c r="DU36" s="11" t="n">
        <f aca="false">IF(AND(DU$1&gt;=Units!$Q35,MOD(DU$1-Units!$Q35,12)=0),IF(AND(Units!$L35=1,DU$1=Units!$Q35),1,Inputs!$B$15)*Inputs!$B$16*(1+Inputs!$B$11)^(DU$2-1),0)</f>
        <v>0</v>
      </c>
      <c r="DV36" s="11" t="n">
        <f aca="false">IF(AND(DV$1&gt;=Units!$Q35,MOD(DV$1-Units!$Q35,12)=0),IF(AND(Units!$L35=1,DV$1=Units!$Q35),1,Inputs!$B$15)*Inputs!$B$16*(1+Inputs!$B$11)^(DV$2-1),0)</f>
        <v>0</v>
      </c>
      <c r="DW36" s="11" t="n">
        <f aca="false">IF(AND(DW$1&gt;=Units!$Q35,MOD(DW$1-Units!$Q35,12)=0),IF(AND(Units!$L35=1,DW$1=Units!$Q35),1,Inputs!$B$15)*Inputs!$B$16*(1+Inputs!$B$11)^(DW$2-1),0)</f>
        <v>0</v>
      </c>
      <c r="DX36" s="11" t="n">
        <f aca="false">IF(AND(DX$1&gt;=Units!$Q35,MOD(DX$1-Units!$Q35,12)=0),IF(AND(Units!$L35=1,DX$1=Units!$Q35),1,Inputs!$B$15)*Inputs!$B$16*(1+Inputs!$B$11)^(DX$2-1),0)</f>
        <v>0</v>
      </c>
      <c r="DY36" s="11" t="n">
        <f aca="false">IF(AND(DY$1&gt;=Units!$Q35,MOD(DY$1-Units!$Q35,12)=0),IF(AND(Units!$L35=1,DY$1=Units!$Q35),1,Inputs!$B$15)*Inputs!$B$16*(1+Inputs!$B$11)^(DY$2-1),0)</f>
        <v>0</v>
      </c>
      <c r="DZ36" s="11" t="n">
        <f aca="false">IF(AND(DZ$1&gt;=Units!$Q35,MOD(DZ$1-Units!$Q35,12)=0),IF(AND(Units!$L35=1,DZ$1=Units!$Q35),1,Inputs!$B$15)*Inputs!$B$16*(1+Inputs!$B$11)^(DZ$2-1),0)</f>
        <v>671.958189672061</v>
      </c>
      <c r="EA36" s="11" t="n">
        <f aca="false">IF(AND(EA$1&gt;=Units!$Q35,MOD(EA$1-Units!$Q35,12)=0),IF(AND(Units!$L35=1,EA$1=Units!$Q35),1,Inputs!$B$15)*Inputs!$B$16*(1+Inputs!$B$11)^(EA$2-1),0)</f>
        <v>0</v>
      </c>
      <c r="EB36" s="11" t="n">
        <f aca="false">IF(AND(EB$1&gt;=Units!$Q35,MOD(EB$1-Units!$Q35,12)=0),IF(AND(Units!$L35=1,EB$1=Units!$Q35),1,Inputs!$B$15)*Inputs!$B$16*(1+Inputs!$B$11)^(EB$2-1),0)</f>
        <v>0</v>
      </c>
      <c r="EC36" s="11" t="n">
        <f aca="false">IF(AND(EC$1&gt;=Units!$Q35,MOD(EC$1-Units!$Q35,12)=0),IF(AND(Units!$L35=1,EC$1=Units!$Q35),1,Inputs!$B$15)*Inputs!$B$16*(1+Inputs!$B$11)^(EC$2-1),0)</f>
        <v>0</v>
      </c>
      <c r="ED36" s="11" t="n">
        <f aca="false">IF(AND(ED$1&gt;=Units!$Q35,MOD(ED$1-Units!$Q35,12)=0),IF(AND(Units!$L35=1,ED$1=Units!$Q35),1,Inputs!$B$15)*Inputs!$B$16*(1+Inputs!$B$11)^(ED$2-1),0)</f>
        <v>0</v>
      </c>
    </row>
    <row r="37" customFormat="false" ht="15" hidden="false" customHeight="false" outlineLevel="0" collapsed="false">
      <c r="A37" s="22" t="n">
        <f aca="false">Units!A36</f>
        <v>205</v>
      </c>
      <c r="B37" s="23"/>
      <c r="C37" s="11" t="n">
        <f aca="false">IF(AND(C$1&gt;=Units!$Q36,MOD(C$1-Units!$Q36,12)=0),IF(AND(Units!$L36=1,C$1=Units!$Q36),1,Inputs!$B$15)*Inputs!$B$16*(1+Inputs!$B$11)^(C$2-1),0)</f>
        <v>500</v>
      </c>
      <c r="D37" s="11" t="n">
        <f aca="false">IF(AND(D$1&gt;=Units!$Q36,MOD(D$1-Units!$Q36,12)=0),IF(AND(Units!$L36=1,D$1=Units!$Q36),1,Inputs!$B$15)*Inputs!$B$16*(1+Inputs!$B$11)^(D$2-1),0)</f>
        <v>0</v>
      </c>
      <c r="E37" s="11" t="n">
        <f aca="false">IF(AND(E$1&gt;=Units!$Q36,MOD(E$1-Units!$Q36,12)=0),IF(AND(Units!$L36=1,E$1=Units!$Q36),1,Inputs!$B$15)*Inputs!$B$16*(1+Inputs!$B$11)^(E$2-1),0)</f>
        <v>0</v>
      </c>
      <c r="F37" s="11" t="n">
        <f aca="false">IF(AND(F$1&gt;=Units!$Q36,MOD(F$1-Units!$Q36,12)=0),IF(AND(Units!$L36=1,F$1=Units!$Q36),1,Inputs!$B$15)*Inputs!$B$16*(1+Inputs!$B$11)^(F$2-1),0)</f>
        <v>0</v>
      </c>
      <c r="G37" s="11" t="n">
        <f aca="false">IF(AND(G$1&gt;=Units!$Q36,MOD(G$1-Units!$Q36,12)=0),IF(AND(Units!$L36=1,G$1=Units!$Q36),1,Inputs!$B$15)*Inputs!$B$16*(1+Inputs!$B$11)^(G$2-1),0)</f>
        <v>0</v>
      </c>
      <c r="H37" s="11" t="n">
        <f aca="false">IF(AND(H$1&gt;=Units!$Q36,MOD(H$1-Units!$Q36,12)=0),IF(AND(Units!$L36=1,H$1=Units!$Q36),1,Inputs!$B$15)*Inputs!$B$16*(1+Inputs!$B$11)^(H$2-1),0)</f>
        <v>0</v>
      </c>
      <c r="I37" s="11" t="n">
        <f aca="false">IF(AND(I$1&gt;=Units!$Q36,MOD(I$1-Units!$Q36,12)=0),IF(AND(Units!$L36=1,I$1=Units!$Q36),1,Inputs!$B$15)*Inputs!$B$16*(1+Inputs!$B$11)^(I$2-1),0)</f>
        <v>0</v>
      </c>
      <c r="J37" s="11" t="n">
        <f aca="false">IF(AND(J$1&gt;=Units!$Q36,MOD(J$1-Units!$Q36,12)=0),IF(AND(Units!$L36=1,J$1=Units!$Q36),1,Inputs!$B$15)*Inputs!$B$16*(1+Inputs!$B$11)^(J$2-1),0)</f>
        <v>0</v>
      </c>
      <c r="K37" s="11" t="n">
        <f aca="false">IF(AND(K$1&gt;=Units!$Q36,MOD(K$1-Units!$Q36,12)=0),IF(AND(Units!$L36=1,K$1=Units!$Q36),1,Inputs!$B$15)*Inputs!$B$16*(1+Inputs!$B$11)^(K$2-1),0)</f>
        <v>0</v>
      </c>
      <c r="L37" s="11" t="n">
        <f aca="false">IF(AND(L$1&gt;=Units!$Q36,MOD(L$1-Units!$Q36,12)=0),IF(AND(Units!$L36=1,L$1=Units!$Q36),1,Inputs!$B$15)*Inputs!$B$16*(1+Inputs!$B$11)^(L$2-1),0)</f>
        <v>0</v>
      </c>
      <c r="M37" s="11" t="n">
        <f aca="false">IF(AND(M$1&gt;=Units!$Q36,MOD(M$1-Units!$Q36,12)=0),IF(AND(Units!$L36=1,M$1=Units!$Q36),1,Inputs!$B$15)*Inputs!$B$16*(1+Inputs!$B$11)^(M$2-1),0)</f>
        <v>0</v>
      </c>
      <c r="N37" s="11" t="n">
        <f aca="false">IF(AND(N$1&gt;=Units!$Q36,MOD(N$1-Units!$Q36,12)=0),IF(AND(Units!$L36=1,N$1=Units!$Q36),1,Inputs!$B$15)*Inputs!$B$16*(1+Inputs!$B$11)^(N$2-1),0)</f>
        <v>0</v>
      </c>
      <c r="O37" s="11" t="n">
        <f aca="false">IF(AND(O$1&gt;=Units!$Q36,MOD(O$1-Units!$Q36,12)=0),IF(AND(Units!$L36=1,O$1=Units!$Q36),1,Inputs!$B$15)*Inputs!$B$16*(1+Inputs!$B$11)^(O$2-1),0)</f>
        <v>515</v>
      </c>
      <c r="P37" s="11" t="n">
        <f aca="false">IF(AND(P$1&gt;=Units!$Q36,MOD(P$1-Units!$Q36,12)=0),IF(AND(Units!$L36=1,P$1=Units!$Q36),1,Inputs!$B$15)*Inputs!$B$16*(1+Inputs!$B$11)^(P$2-1),0)</f>
        <v>0</v>
      </c>
      <c r="Q37" s="11" t="n">
        <f aca="false">IF(AND(Q$1&gt;=Units!$Q36,MOD(Q$1-Units!$Q36,12)=0),IF(AND(Units!$L36=1,Q$1=Units!$Q36),1,Inputs!$B$15)*Inputs!$B$16*(1+Inputs!$B$11)^(Q$2-1),0)</f>
        <v>0</v>
      </c>
      <c r="R37" s="11" t="n">
        <f aca="false">IF(AND(R$1&gt;=Units!$Q36,MOD(R$1-Units!$Q36,12)=0),IF(AND(Units!$L36=1,R$1=Units!$Q36),1,Inputs!$B$15)*Inputs!$B$16*(1+Inputs!$B$11)^(R$2-1),0)</f>
        <v>0</v>
      </c>
      <c r="S37" s="11" t="n">
        <f aca="false">IF(AND(S$1&gt;=Units!$Q36,MOD(S$1-Units!$Q36,12)=0),IF(AND(Units!$L36=1,S$1=Units!$Q36),1,Inputs!$B$15)*Inputs!$B$16*(1+Inputs!$B$11)^(S$2-1),0)</f>
        <v>0</v>
      </c>
      <c r="T37" s="11" t="n">
        <f aca="false">IF(AND(T$1&gt;=Units!$Q36,MOD(T$1-Units!$Q36,12)=0),IF(AND(Units!$L36=1,T$1=Units!$Q36),1,Inputs!$B$15)*Inputs!$B$16*(1+Inputs!$B$11)^(T$2-1),0)</f>
        <v>0</v>
      </c>
      <c r="U37" s="11" t="n">
        <f aca="false">IF(AND(U$1&gt;=Units!$Q36,MOD(U$1-Units!$Q36,12)=0),IF(AND(Units!$L36=1,U$1=Units!$Q36),1,Inputs!$B$15)*Inputs!$B$16*(1+Inputs!$B$11)^(U$2-1),0)</f>
        <v>0</v>
      </c>
      <c r="V37" s="11" t="n">
        <f aca="false">IF(AND(V$1&gt;=Units!$Q36,MOD(V$1-Units!$Q36,12)=0),IF(AND(Units!$L36=1,V$1=Units!$Q36),1,Inputs!$B$15)*Inputs!$B$16*(1+Inputs!$B$11)^(V$2-1),0)</f>
        <v>0</v>
      </c>
      <c r="W37" s="11" t="n">
        <f aca="false">IF(AND(W$1&gt;=Units!$Q36,MOD(W$1-Units!$Q36,12)=0),IF(AND(Units!$L36=1,W$1=Units!$Q36),1,Inputs!$B$15)*Inputs!$B$16*(1+Inputs!$B$11)^(W$2-1),0)</f>
        <v>0</v>
      </c>
      <c r="X37" s="11" t="n">
        <f aca="false">IF(AND(X$1&gt;=Units!$Q36,MOD(X$1-Units!$Q36,12)=0),IF(AND(Units!$L36=1,X$1=Units!$Q36),1,Inputs!$B$15)*Inputs!$B$16*(1+Inputs!$B$11)^(X$2-1),0)</f>
        <v>0</v>
      </c>
      <c r="Y37" s="11" t="n">
        <f aca="false">IF(AND(Y$1&gt;=Units!$Q36,MOD(Y$1-Units!$Q36,12)=0),IF(AND(Units!$L36=1,Y$1=Units!$Q36),1,Inputs!$B$15)*Inputs!$B$16*(1+Inputs!$B$11)^(Y$2-1),0)</f>
        <v>0</v>
      </c>
      <c r="Z37" s="11" t="n">
        <f aca="false">IF(AND(Z$1&gt;=Units!$Q36,MOD(Z$1-Units!$Q36,12)=0),IF(AND(Units!$L36=1,Z$1=Units!$Q36),1,Inputs!$B$15)*Inputs!$B$16*(1+Inputs!$B$11)^(Z$2-1),0)</f>
        <v>0</v>
      </c>
      <c r="AA37" s="11" t="n">
        <f aca="false">IF(AND(AA$1&gt;=Units!$Q36,MOD(AA$1-Units!$Q36,12)=0),IF(AND(Units!$L36=1,AA$1=Units!$Q36),1,Inputs!$B$15)*Inputs!$B$16*(1+Inputs!$B$11)^(AA$2-1),0)</f>
        <v>530.45</v>
      </c>
      <c r="AB37" s="11" t="n">
        <f aca="false">IF(AND(AB$1&gt;=Units!$Q36,MOD(AB$1-Units!$Q36,12)=0),IF(AND(Units!$L36=1,AB$1=Units!$Q36),1,Inputs!$B$15)*Inputs!$B$16*(1+Inputs!$B$11)^(AB$2-1),0)</f>
        <v>0</v>
      </c>
      <c r="AC37" s="11" t="n">
        <f aca="false">IF(AND(AC$1&gt;=Units!$Q36,MOD(AC$1-Units!$Q36,12)=0),IF(AND(Units!$L36=1,AC$1=Units!$Q36),1,Inputs!$B$15)*Inputs!$B$16*(1+Inputs!$B$11)^(AC$2-1),0)</f>
        <v>0</v>
      </c>
      <c r="AD37" s="11" t="n">
        <f aca="false">IF(AND(AD$1&gt;=Units!$Q36,MOD(AD$1-Units!$Q36,12)=0),IF(AND(Units!$L36=1,AD$1=Units!$Q36),1,Inputs!$B$15)*Inputs!$B$16*(1+Inputs!$B$11)^(AD$2-1),0)</f>
        <v>0</v>
      </c>
      <c r="AE37" s="11" t="n">
        <f aca="false">IF(AND(AE$1&gt;=Units!$Q36,MOD(AE$1-Units!$Q36,12)=0),IF(AND(Units!$L36=1,AE$1=Units!$Q36),1,Inputs!$B$15)*Inputs!$B$16*(1+Inputs!$B$11)^(AE$2-1),0)</f>
        <v>0</v>
      </c>
      <c r="AF37" s="11" t="n">
        <f aca="false">IF(AND(AF$1&gt;=Units!$Q36,MOD(AF$1-Units!$Q36,12)=0),IF(AND(Units!$L36=1,AF$1=Units!$Q36),1,Inputs!$B$15)*Inputs!$B$16*(1+Inputs!$B$11)^(AF$2-1),0)</f>
        <v>0</v>
      </c>
      <c r="AG37" s="11" t="n">
        <f aca="false">IF(AND(AG$1&gt;=Units!$Q36,MOD(AG$1-Units!$Q36,12)=0),IF(AND(Units!$L36=1,AG$1=Units!$Q36),1,Inputs!$B$15)*Inputs!$B$16*(1+Inputs!$B$11)^(AG$2-1),0)</f>
        <v>0</v>
      </c>
      <c r="AH37" s="11" t="n">
        <f aca="false">IF(AND(AH$1&gt;=Units!$Q36,MOD(AH$1-Units!$Q36,12)=0),IF(AND(Units!$L36=1,AH$1=Units!$Q36),1,Inputs!$B$15)*Inputs!$B$16*(1+Inputs!$B$11)^(AH$2-1),0)</f>
        <v>0</v>
      </c>
      <c r="AI37" s="11" t="n">
        <f aca="false">IF(AND(AI$1&gt;=Units!$Q36,MOD(AI$1-Units!$Q36,12)=0),IF(AND(Units!$L36=1,AI$1=Units!$Q36),1,Inputs!$B$15)*Inputs!$B$16*(1+Inputs!$B$11)^(AI$2-1),0)</f>
        <v>0</v>
      </c>
      <c r="AJ37" s="11" t="n">
        <f aca="false">IF(AND(AJ$1&gt;=Units!$Q36,MOD(AJ$1-Units!$Q36,12)=0),IF(AND(Units!$L36=1,AJ$1=Units!$Q36),1,Inputs!$B$15)*Inputs!$B$16*(1+Inputs!$B$11)^(AJ$2-1),0)</f>
        <v>0</v>
      </c>
      <c r="AK37" s="11" t="n">
        <f aca="false">IF(AND(AK$1&gt;=Units!$Q36,MOD(AK$1-Units!$Q36,12)=0),IF(AND(Units!$L36=1,AK$1=Units!$Q36),1,Inputs!$B$15)*Inputs!$B$16*(1+Inputs!$B$11)^(AK$2-1),0)</f>
        <v>0</v>
      </c>
      <c r="AL37" s="11" t="n">
        <f aca="false">IF(AND(AL$1&gt;=Units!$Q36,MOD(AL$1-Units!$Q36,12)=0),IF(AND(Units!$L36=1,AL$1=Units!$Q36),1,Inputs!$B$15)*Inputs!$B$16*(1+Inputs!$B$11)^(AL$2-1),0)</f>
        <v>0</v>
      </c>
      <c r="AM37" s="11" t="n">
        <f aca="false">IF(AND(AM$1&gt;=Units!$Q36,MOD(AM$1-Units!$Q36,12)=0),IF(AND(Units!$L36=1,AM$1=Units!$Q36),1,Inputs!$B$15)*Inputs!$B$16*(1+Inputs!$B$11)^(AM$2-1),0)</f>
        <v>546.3635</v>
      </c>
      <c r="AN37" s="11" t="n">
        <f aca="false">IF(AND(AN$1&gt;=Units!$Q36,MOD(AN$1-Units!$Q36,12)=0),IF(AND(Units!$L36=1,AN$1=Units!$Q36),1,Inputs!$B$15)*Inputs!$B$16*(1+Inputs!$B$11)^(AN$2-1),0)</f>
        <v>0</v>
      </c>
      <c r="AO37" s="11" t="n">
        <f aca="false">IF(AND(AO$1&gt;=Units!$Q36,MOD(AO$1-Units!$Q36,12)=0),IF(AND(Units!$L36=1,AO$1=Units!$Q36),1,Inputs!$B$15)*Inputs!$B$16*(1+Inputs!$B$11)^(AO$2-1),0)</f>
        <v>0</v>
      </c>
      <c r="AP37" s="11" t="n">
        <f aca="false">IF(AND(AP$1&gt;=Units!$Q36,MOD(AP$1-Units!$Q36,12)=0),IF(AND(Units!$L36=1,AP$1=Units!$Q36),1,Inputs!$B$15)*Inputs!$B$16*(1+Inputs!$B$11)^(AP$2-1),0)</f>
        <v>0</v>
      </c>
      <c r="AQ37" s="11" t="n">
        <f aca="false">IF(AND(AQ$1&gt;=Units!$Q36,MOD(AQ$1-Units!$Q36,12)=0),IF(AND(Units!$L36=1,AQ$1=Units!$Q36),1,Inputs!$B$15)*Inputs!$B$16*(1+Inputs!$B$11)^(AQ$2-1),0)</f>
        <v>0</v>
      </c>
      <c r="AR37" s="11" t="n">
        <f aca="false">IF(AND(AR$1&gt;=Units!$Q36,MOD(AR$1-Units!$Q36,12)=0),IF(AND(Units!$L36=1,AR$1=Units!$Q36),1,Inputs!$B$15)*Inputs!$B$16*(1+Inputs!$B$11)^(AR$2-1),0)</f>
        <v>0</v>
      </c>
      <c r="AS37" s="11" t="n">
        <f aca="false">IF(AND(AS$1&gt;=Units!$Q36,MOD(AS$1-Units!$Q36,12)=0),IF(AND(Units!$L36=1,AS$1=Units!$Q36),1,Inputs!$B$15)*Inputs!$B$16*(1+Inputs!$B$11)^(AS$2-1),0)</f>
        <v>0</v>
      </c>
      <c r="AT37" s="11" t="n">
        <f aca="false">IF(AND(AT$1&gt;=Units!$Q36,MOD(AT$1-Units!$Q36,12)=0),IF(AND(Units!$L36=1,AT$1=Units!$Q36),1,Inputs!$B$15)*Inputs!$B$16*(1+Inputs!$B$11)^(AT$2-1),0)</f>
        <v>0</v>
      </c>
      <c r="AU37" s="11" t="n">
        <f aca="false">IF(AND(AU$1&gt;=Units!$Q36,MOD(AU$1-Units!$Q36,12)=0),IF(AND(Units!$L36=1,AU$1=Units!$Q36),1,Inputs!$B$15)*Inputs!$B$16*(1+Inputs!$B$11)^(AU$2-1),0)</f>
        <v>0</v>
      </c>
      <c r="AV37" s="11" t="n">
        <f aca="false">IF(AND(AV$1&gt;=Units!$Q36,MOD(AV$1-Units!$Q36,12)=0),IF(AND(Units!$L36=1,AV$1=Units!$Q36),1,Inputs!$B$15)*Inputs!$B$16*(1+Inputs!$B$11)^(AV$2-1),0)</f>
        <v>0</v>
      </c>
      <c r="AW37" s="11" t="n">
        <f aca="false">IF(AND(AW$1&gt;=Units!$Q36,MOD(AW$1-Units!$Q36,12)=0),IF(AND(Units!$L36=1,AW$1=Units!$Q36),1,Inputs!$B$15)*Inputs!$B$16*(1+Inputs!$B$11)^(AW$2-1),0)</f>
        <v>0</v>
      </c>
      <c r="AX37" s="11" t="n">
        <f aca="false">IF(AND(AX$1&gt;=Units!$Q36,MOD(AX$1-Units!$Q36,12)=0),IF(AND(Units!$L36=1,AX$1=Units!$Q36),1,Inputs!$B$15)*Inputs!$B$16*(1+Inputs!$B$11)^(AX$2-1),0)</f>
        <v>0</v>
      </c>
      <c r="AY37" s="11" t="n">
        <f aca="false">IF(AND(AY$1&gt;=Units!$Q36,MOD(AY$1-Units!$Q36,12)=0),IF(AND(Units!$L36=1,AY$1=Units!$Q36),1,Inputs!$B$15)*Inputs!$B$16*(1+Inputs!$B$11)^(AY$2-1),0)</f>
        <v>562.754405</v>
      </c>
      <c r="AZ37" s="11" t="n">
        <f aca="false">IF(AND(AZ$1&gt;=Units!$Q36,MOD(AZ$1-Units!$Q36,12)=0),IF(AND(Units!$L36=1,AZ$1=Units!$Q36),1,Inputs!$B$15)*Inputs!$B$16*(1+Inputs!$B$11)^(AZ$2-1),0)</f>
        <v>0</v>
      </c>
      <c r="BA37" s="11" t="n">
        <f aca="false">IF(AND(BA$1&gt;=Units!$Q36,MOD(BA$1-Units!$Q36,12)=0),IF(AND(Units!$L36=1,BA$1=Units!$Q36),1,Inputs!$B$15)*Inputs!$B$16*(1+Inputs!$B$11)^(BA$2-1),0)</f>
        <v>0</v>
      </c>
      <c r="BB37" s="11" t="n">
        <f aca="false">IF(AND(BB$1&gt;=Units!$Q36,MOD(BB$1-Units!$Q36,12)=0),IF(AND(Units!$L36=1,BB$1=Units!$Q36),1,Inputs!$B$15)*Inputs!$B$16*(1+Inputs!$B$11)^(BB$2-1),0)</f>
        <v>0</v>
      </c>
      <c r="BC37" s="11" t="n">
        <f aca="false">IF(AND(BC$1&gt;=Units!$Q36,MOD(BC$1-Units!$Q36,12)=0),IF(AND(Units!$L36=1,BC$1=Units!$Q36),1,Inputs!$B$15)*Inputs!$B$16*(1+Inputs!$B$11)^(BC$2-1),0)</f>
        <v>0</v>
      </c>
      <c r="BD37" s="11" t="n">
        <f aca="false">IF(AND(BD$1&gt;=Units!$Q36,MOD(BD$1-Units!$Q36,12)=0),IF(AND(Units!$L36=1,BD$1=Units!$Q36),1,Inputs!$B$15)*Inputs!$B$16*(1+Inputs!$B$11)^(BD$2-1),0)</f>
        <v>0</v>
      </c>
      <c r="BE37" s="11" t="n">
        <f aca="false">IF(AND(BE$1&gt;=Units!$Q36,MOD(BE$1-Units!$Q36,12)=0),IF(AND(Units!$L36=1,BE$1=Units!$Q36),1,Inputs!$B$15)*Inputs!$B$16*(1+Inputs!$B$11)^(BE$2-1),0)</f>
        <v>0</v>
      </c>
      <c r="BF37" s="11" t="n">
        <f aca="false">IF(AND(BF$1&gt;=Units!$Q36,MOD(BF$1-Units!$Q36,12)=0),IF(AND(Units!$L36=1,BF$1=Units!$Q36),1,Inputs!$B$15)*Inputs!$B$16*(1+Inputs!$B$11)^(BF$2-1),0)</f>
        <v>0</v>
      </c>
      <c r="BG37" s="11" t="n">
        <f aca="false">IF(AND(BG$1&gt;=Units!$Q36,MOD(BG$1-Units!$Q36,12)=0),IF(AND(Units!$L36=1,BG$1=Units!$Q36),1,Inputs!$B$15)*Inputs!$B$16*(1+Inputs!$B$11)^(BG$2-1),0)</f>
        <v>0</v>
      </c>
      <c r="BH37" s="11" t="n">
        <f aca="false">IF(AND(BH$1&gt;=Units!$Q36,MOD(BH$1-Units!$Q36,12)=0),IF(AND(Units!$L36=1,BH$1=Units!$Q36),1,Inputs!$B$15)*Inputs!$B$16*(1+Inputs!$B$11)^(BH$2-1),0)</f>
        <v>0</v>
      </c>
      <c r="BI37" s="11" t="n">
        <f aca="false">IF(AND(BI$1&gt;=Units!$Q36,MOD(BI$1-Units!$Q36,12)=0),IF(AND(Units!$L36=1,BI$1=Units!$Q36),1,Inputs!$B$15)*Inputs!$B$16*(1+Inputs!$B$11)^(BI$2-1),0)</f>
        <v>0</v>
      </c>
      <c r="BJ37" s="11" t="n">
        <f aca="false">IF(AND(BJ$1&gt;=Units!$Q36,MOD(BJ$1-Units!$Q36,12)=0),IF(AND(Units!$L36=1,BJ$1=Units!$Q36),1,Inputs!$B$15)*Inputs!$B$16*(1+Inputs!$B$11)^(BJ$2-1),0)</f>
        <v>0</v>
      </c>
      <c r="BK37" s="11" t="n">
        <f aca="false">IF(AND(BK$1&gt;=Units!$Q36,MOD(BK$1-Units!$Q36,12)=0),IF(AND(Units!$L36=1,BK$1=Units!$Q36),1,Inputs!$B$15)*Inputs!$B$16*(1+Inputs!$B$11)^(BK$2-1),0)</f>
        <v>579.63703715</v>
      </c>
      <c r="BL37" s="11" t="n">
        <f aca="false">IF(AND(BL$1&gt;=Units!$Q36,MOD(BL$1-Units!$Q36,12)=0),IF(AND(Units!$L36=1,BL$1=Units!$Q36),1,Inputs!$B$15)*Inputs!$B$16*(1+Inputs!$B$11)^(BL$2-1),0)</f>
        <v>0</v>
      </c>
      <c r="BM37" s="11" t="n">
        <f aca="false">IF(AND(BM$1&gt;=Units!$Q36,MOD(BM$1-Units!$Q36,12)=0),IF(AND(Units!$L36=1,BM$1=Units!$Q36),1,Inputs!$B$15)*Inputs!$B$16*(1+Inputs!$B$11)^(BM$2-1),0)</f>
        <v>0</v>
      </c>
      <c r="BN37" s="11" t="n">
        <f aca="false">IF(AND(BN$1&gt;=Units!$Q36,MOD(BN$1-Units!$Q36,12)=0),IF(AND(Units!$L36=1,BN$1=Units!$Q36),1,Inputs!$B$15)*Inputs!$B$16*(1+Inputs!$B$11)^(BN$2-1),0)</f>
        <v>0</v>
      </c>
      <c r="BO37" s="11" t="n">
        <f aca="false">IF(AND(BO$1&gt;=Units!$Q36,MOD(BO$1-Units!$Q36,12)=0),IF(AND(Units!$L36=1,BO$1=Units!$Q36),1,Inputs!$B$15)*Inputs!$B$16*(1+Inputs!$B$11)^(BO$2-1),0)</f>
        <v>0</v>
      </c>
      <c r="BP37" s="11" t="n">
        <f aca="false">IF(AND(BP$1&gt;=Units!$Q36,MOD(BP$1-Units!$Q36,12)=0),IF(AND(Units!$L36=1,BP$1=Units!$Q36),1,Inputs!$B$15)*Inputs!$B$16*(1+Inputs!$B$11)^(BP$2-1),0)</f>
        <v>0</v>
      </c>
      <c r="BQ37" s="11" t="n">
        <f aca="false">IF(AND(BQ$1&gt;=Units!$Q36,MOD(BQ$1-Units!$Q36,12)=0),IF(AND(Units!$L36=1,BQ$1=Units!$Q36),1,Inputs!$B$15)*Inputs!$B$16*(1+Inputs!$B$11)^(BQ$2-1),0)</f>
        <v>0</v>
      </c>
      <c r="BR37" s="11" t="n">
        <f aca="false">IF(AND(BR$1&gt;=Units!$Q36,MOD(BR$1-Units!$Q36,12)=0),IF(AND(Units!$L36=1,BR$1=Units!$Q36),1,Inputs!$B$15)*Inputs!$B$16*(1+Inputs!$B$11)^(BR$2-1),0)</f>
        <v>0</v>
      </c>
      <c r="BS37" s="11" t="n">
        <f aca="false">IF(AND(BS$1&gt;=Units!$Q36,MOD(BS$1-Units!$Q36,12)=0),IF(AND(Units!$L36=1,BS$1=Units!$Q36),1,Inputs!$B$15)*Inputs!$B$16*(1+Inputs!$B$11)^(BS$2-1),0)</f>
        <v>0</v>
      </c>
      <c r="BT37" s="11" t="n">
        <f aca="false">IF(AND(BT$1&gt;=Units!$Q36,MOD(BT$1-Units!$Q36,12)=0),IF(AND(Units!$L36=1,BT$1=Units!$Q36),1,Inputs!$B$15)*Inputs!$B$16*(1+Inputs!$B$11)^(BT$2-1),0)</f>
        <v>0</v>
      </c>
      <c r="BU37" s="11" t="n">
        <f aca="false">IF(AND(BU$1&gt;=Units!$Q36,MOD(BU$1-Units!$Q36,12)=0),IF(AND(Units!$L36=1,BU$1=Units!$Q36),1,Inputs!$B$15)*Inputs!$B$16*(1+Inputs!$B$11)^(BU$2-1),0)</f>
        <v>0</v>
      </c>
      <c r="BV37" s="11" t="n">
        <f aca="false">IF(AND(BV$1&gt;=Units!$Q36,MOD(BV$1-Units!$Q36,12)=0),IF(AND(Units!$L36=1,BV$1=Units!$Q36),1,Inputs!$B$15)*Inputs!$B$16*(1+Inputs!$B$11)^(BV$2-1),0)</f>
        <v>0</v>
      </c>
      <c r="BW37" s="11" t="n">
        <f aca="false">IF(AND(BW$1&gt;=Units!$Q36,MOD(BW$1-Units!$Q36,12)=0),IF(AND(Units!$L36=1,BW$1=Units!$Q36),1,Inputs!$B$15)*Inputs!$B$16*(1+Inputs!$B$11)^(BW$2-1),0)</f>
        <v>597.0261482645</v>
      </c>
      <c r="BX37" s="11" t="n">
        <f aca="false">IF(AND(BX$1&gt;=Units!$Q36,MOD(BX$1-Units!$Q36,12)=0),IF(AND(Units!$L36=1,BX$1=Units!$Q36),1,Inputs!$B$15)*Inputs!$B$16*(1+Inputs!$B$11)^(BX$2-1),0)</f>
        <v>0</v>
      </c>
      <c r="BY37" s="11" t="n">
        <f aca="false">IF(AND(BY$1&gt;=Units!$Q36,MOD(BY$1-Units!$Q36,12)=0),IF(AND(Units!$L36=1,BY$1=Units!$Q36),1,Inputs!$B$15)*Inputs!$B$16*(1+Inputs!$B$11)^(BY$2-1),0)</f>
        <v>0</v>
      </c>
      <c r="BZ37" s="11" t="n">
        <f aca="false">IF(AND(BZ$1&gt;=Units!$Q36,MOD(BZ$1-Units!$Q36,12)=0),IF(AND(Units!$L36=1,BZ$1=Units!$Q36),1,Inputs!$B$15)*Inputs!$B$16*(1+Inputs!$B$11)^(BZ$2-1),0)</f>
        <v>0</v>
      </c>
      <c r="CA37" s="11" t="n">
        <f aca="false">IF(AND(CA$1&gt;=Units!$Q36,MOD(CA$1-Units!$Q36,12)=0),IF(AND(Units!$L36=1,CA$1=Units!$Q36),1,Inputs!$B$15)*Inputs!$B$16*(1+Inputs!$B$11)^(CA$2-1),0)</f>
        <v>0</v>
      </c>
      <c r="CB37" s="11" t="n">
        <f aca="false">IF(AND(CB$1&gt;=Units!$Q36,MOD(CB$1-Units!$Q36,12)=0),IF(AND(Units!$L36=1,CB$1=Units!$Q36),1,Inputs!$B$15)*Inputs!$B$16*(1+Inputs!$B$11)^(CB$2-1),0)</f>
        <v>0</v>
      </c>
      <c r="CC37" s="11" t="n">
        <f aca="false">IF(AND(CC$1&gt;=Units!$Q36,MOD(CC$1-Units!$Q36,12)=0),IF(AND(Units!$L36=1,CC$1=Units!$Q36),1,Inputs!$B$15)*Inputs!$B$16*(1+Inputs!$B$11)^(CC$2-1),0)</f>
        <v>0</v>
      </c>
      <c r="CD37" s="11" t="n">
        <f aca="false">IF(AND(CD$1&gt;=Units!$Q36,MOD(CD$1-Units!$Q36,12)=0),IF(AND(Units!$L36=1,CD$1=Units!$Q36),1,Inputs!$B$15)*Inputs!$B$16*(1+Inputs!$B$11)^(CD$2-1),0)</f>
        <v>0</v>
      </c>
      <c r="CE37" s="11" t="n">
        <f aca="false">IF(AND(CE$1&gt;=Units!$Q36,MOD(CE$1-Units!$Q36,12)=0),IF(AND(Units!$L36=1,CE$1=Units!$Q36),1,Inputs!$B$15)*Inputs!$B$16*(1+Inputs!$B$11)^(CE$2-1),0)</f>
        <v>0</v>
      </c>
      <c r="CF37" s="11" t="n">
        <f aca="false">IF(AND(CF$1&gt;=Units!$Q36,MOD(CF$1-Units!$Q36,12)=0),IF(AND(Units!$L36=1,CF$1=Units!$Q36),1,Inputs!$B$15)*Inputs!$B$16*(1+Inputs!$B$11)^(CF$2-1),0)</f>
        <v>0</v>
      </c>
      <c r="CG37" s="11" t="n">
        <f aca="false">IF(AND(CG$1&gt;=Units!$Q36,MOD(CG$1-Units!$Q36,12)=0),IF(AND(Units!$L36=1,CG$1=Units!$Q36),1,Inputs!$B$15)*Inputs!$B$16*(1+Inputs!$B$11)^(CG$2-1),0)</f>
        <v>0</v>
      </c>
      <c r="CH37" s="11" t="n">
        <f aca="false">IF(AND(CH$1&gt;=Units!$Q36,MOD(CH$1-Units!$Q36,12)=0),IF(AND(Units!$L36=1,CH$1=Units!$Q36),1,Inputs!$B$15)*Inputs!$B$16*(1+Inputs!$B$11)^(CH$2-1),0)</f>
        <v>0</v>
      </c>
      <c r="CI37" s="11" t="n">
        <f aca="false">IF(AND(CI$1&gt;=Units!$Q36,MOD(CI$1-Units!$Q36,12)=0),IF(AND(Units!$L36=1,CI$1=Units!$Q36),1,Inputs!$B$15)*Inputs!$B$16*(1+Inputs!$B$11)^(CI$2-1),0)</f>
        <v>614.936932712435</v>
      </c>
      <c r="CJ37" s="11" t="n">
        <f aca="false">IF(AND(CJ$1&gt;=Units!$Q36,MOD(CJ$1-Units!$Q36,12)=0),IF(AND(Units!$L36=1,CJ$1=Units!$Q36),1,Inputs!$B$15)*Inputs!$B$16*(1+Inputs!$B$11)^(CJ$2-1),0)</f>
        <v>0</v>
      </c>
      <c r="CK37" s="11" t="n">
        <f aca="false">IF(AND(CK$1&gt;=Units!$Q36,MOD(CK$1-Units!$Q36,12)=0),IF(AND(Units!$L36=1,CK$1=Units!$Q36),1,Inputs!$B$15)*Inputs!$B$16*(1+Inputs!$B$11)^(CK$2-1),0)</f>
        <v>0</v>
      </c>
      <c r="CL37" s="11" t="n">
        <f aca="false">IF(AND(CL$1&gt;=Units!$Q36,MOD(CL$1-Units!$Q36,12)=0),IF(AND(Units!$L36=1,CL$1=Units!$Q36),1,Inputs!$B$15)*Inputs!$B$16*(1+Inputs!$B$11)^(CL$2-1),0)</f>
        <v>0</v>
      </c>
      <c r="CM37" s="11" t="n">
        <f aca="false">IF(AND(CM$1&gt;=Units!$Q36,MOD(CM$1-Units!$Q36,12)=0),IF(AND(Units!$L36=1,CM$1=Units!$Q36),1,Inputs!$B$15)*Inputs!$B$16*(1+Inputs!$B$11)^(CM$2-1),0)</f>
        <v>0</v>
      </c>
      <c r="CN37" s="11" t="n">
        <f aca="false">IF(AND(CN$1&gt;=Units!$Q36,MOD(CN$1-Units!$Q36,12)=0),IF(AND(Units!$L36=1,CN$1=Units!$Q36),1,Inputs!$B$15)*Inputs!$B$16*(1+Inputs!$B$11)^(CN$2-1),0)</f>
        <v>0</v>
      </c>
      <c r="CO37" s="11" t="n">
        <f aca="false">IF(AND(CO$1&gt;=Units!$Q36,MOD(CO$1-Units!$Q36,12)=0),IF(AND(Units!$L36=1,CO$1=Units!$Q36),1,Inputs!$B$15)*Inputs!$B$16*(1+Inputs!$B$11)^(CO$2-1),0)</f>
        <v>0</v>
      </c>
      <c r="CP37" s="11" t="n">
        <f aca="false">IF(AND(CP$1&gt;=Units!$Q36,MOD(CP$1-Units!$Q36,12)=0),IF(AND(Units!$L36=1,CP$1=Units!$Q36),1,Inputs!$B$15)*Inputs!$B$16*(1+Inputs!$B$11)^(CP$2-1),0)</f>
        <v>0</v>
      </c>
      <c r="CQ37" s="11" t="n">
        <f aca="false">IF(AND(CQ$1&gt;=Units!$Q36,MOD(CQ$1-Units!$Q36,12)=0),IF(AND(Units!$L36=1,CQ$1=Units!$Q36),1,Inputs!$B$15)*Inputs!$B$16*(1+Inputs!$B$11)^(CQ$2-1),0)</f>
        <v>0</v>
      </c>
      <c r="CR37" s="11" t="n">
        <f aca="false">IF(AND(CR$1&gt;=Units!$Q36,MOD(CR$1-Units!$Q36,12)=0),IF(AND(Units!$L36=1,CR$1=Units!$Q36),1,Inputs!$B$15)*Inputs!$B$16*(1+Inputs!$B$11)^(CR$2-1),0)</f>
        <v>0</v>
      </c>
      <c r="CS37" s="11" t="n">
        <f aca="false">IF(AND(CS$1&gt;=Units!$Q36,MOD(CS$1-Units!$Q36,12)=0),IF(AND(Units!$L36=1,CS$1=Units!$Q36),1,Inputs!$B$15)*Inputs!$B$16*(1+Inputs!$B$11)^(CS$2-1),0)</f>
        <v>0</v>
      </c>
      <c r="CT37" s="11" t="n">
        <f aca="false">IF(AND(CT$1&gt;=Units!$Q36,MOD(CT$1-Units!$Q36,12)=0),IF(AND(Units!$L36=1,CT$1=Units!$Q36),1,Inputs!$B$15)*Inputs!$B$16*(1+Inputs!$B$11)^(CT$2-1),0)</f>
        <v>0</v>
      </c>
      <c r="CU37" s="11" t="n">
        <f aca="false">IF(AND(CU$1&gt;=Units!$Q36,MOD(CU$1-Units!$Q36,12)=0),IF(AND(Units!$L36=1,CU$1=Units!$Q36),1,Inputs!$B$15)*Inputs!$B$16*(1+Inputs!$B$11)^(CU$2-1),0)</f>
        <v>633.385040693808</v>
      </c>
      <c r="CV37" s="11" t="n">
        <f aca="false">IF(AND(CV$1&gt;=Units!$Q36,MOD(CV$1-Units!$Q36,12)=0),IF(AND(Units!$L36=1,CV$1=Units!$Q36),1,Inputs!$B$15)*Inputs!$B$16*(1+Inputs!$B$11)^(CV$2-1),0)</f>
        <v>0</v>
      </c>
      <c r="CW37" s="11" t="n">
        <f aca="false">IF(AND(CW$1&gt;=Units!$Q36,MOD(CW$1-Units!$Q36,12)=0),IF(AND(Units!$L36=1,CW$1=Units!$Q36),1,Inputs!$B$15)*Inputs!$B$16*(1+Inputs!$B$11)^(CW$2-1),0)</f>
        <v>0</v>
      </c>
      <c r="CX37" s="11" t="n">
        <f aca="false">IF(AND(CX$1&gt;=Units!$Q36,MOD(CX$1-Units!$Q36,12)=0),IF(AND(Units!$L36=1,CX$1=Units!$Q36),1,Inputs!$B$15)*Inputs!$B$16*(1+Inputs!$B$11)^(CX$2-1),0)</f>
        <v>0</v>
      </c>
      <c r="CY37" s="11" t="n">
        <f aca="false">IF(AND(CY$1&gt;=Units!$Q36,MOD(CY$1-Units!$Q36,12)=0),IF(AND(Units!$L36=1,CY$1=Units!$Q36),1,Inputs!$B$15)*Inputs!$B$16*(1+Inputs!$B$11)^(CY$2-1),0)</f>
        <v>0</v>
      </c>
      <c r="CZ37" s="11" t="n">
        <f aca="false">IF(AND(CZ$1&gt;=Units!$Q36,MOD(CZ$1-Units!$Q36,12)=0),IF(AND(Units!$L36=1,CZ$1=Units!$Q36),1,Inputs!$B$15)*Inputs!$B$16*(1+Inputs!$B$11)^(CZ$2-1),0)</f>
        <v>0</v>
      </c>
      <c r="DA37" s="11" t="n">
        <f aca="false">IF(AND(DA$1&gt;=Units!$Q36,MOD(DA$1-Units!$Q36,12)=0),IF(AND(Units!$L36=1,DA$1=Units!$Q36),1,Inputs!$B$15)*Inputs!$B$16*(1+Inputs!$B$11)^(DA$2-1),0)</f>
        <v>0</v>
      </c>
      <c r="DB37" s="11" t="n">
        <f aca="false">IF(AND(DB$1&gt;=Units!$Q36,MOD(DB$1-Units!$Q36,12)=0),IF(AND(Units!$L36=1,DB$1=Units!$Q36),1,Inputs!$B$15)*Inputs!$B$16*(1+Inputs!$B$11)^(DB$2-1),0)</f>
        <v>0</v>
      </c>
      <c r="DC37" s="11" t="n">
        <f aca="false">IF(AND(DC$1&gt;=Units!$Q36,MOD(DC$1-Units!$Q36,12)=0),IF(AND(Units!$L36=1,DC$1=Units!$Q36),1,Inputs!$B$15)*Inputs!$B$16*(1+Inputs!$B$11)^(DC$2-1),0)</f>
        <v>0</v>
      </c>
      <c r="DD37" s="11" t="n">
        <f aca="false">IF(AND(DD$1&gt;=Units!$Q36,MOD(DD$1-Units!$Q36,12)=0),IF(AND(Units!$L36=1,DD$1=Units!$Q36),1,Inputs!$B$15)*Inputs!$B$16*(1+Inputs!$B$11)^(DD$2-1),0)</f>
        <v>0</v>
      </c>
      <c r="DE37" s="11" t="n">
        <f aca="false">IF(AND(DE$1&gt;=Units!$Q36,MOD(DE$1-Units!$Q36,12)=0),IF(AND(Units!$L36=1,DE$1=Units!$Q36),1,Inputs!$B$15)*Inputs!$B$16*(1+Inputs!$B$11)^(DE$2-1),0)</f>
        <v>0</v>
      </c>
      <c r="DF37" s="11" t="n">
        <f aca="false">IF(AND(DF$1&gt;=Units!$Q36,MOD(DF$1-Units!$Q36,12)=0),IF(AND(Units!$L36=1,DF$1=Units!$Q36),1,Inputs!$B$15)*Inputs!$B$16*(1+Inputs!$B$11)^(DF$2-1),0)</f>
        <v>0</v>
      </c>
      <c r="DG37" s="11" t="n">
        <f aca="false">IF(AND(DG$1&gt;=Units!$Q36,MOD(DG$1-Units!$Q36,12)=0),IF(AND(Units!$L36=1,DG$1=Units!$Q36),1,Inputs!$B$15)*Inputs!$B$16*(1+Inputs!$B$11)^(DG$2-1),0)</f>
        <v>652.386591914623</v>
      </c>
      <c r="DH37" s="11" t="n">
        <f aca="false">IF(AND(DH$1&gt;=Units!$Q36,MOD(DH$1-Units!$Q36,12)=0),IF(AND(Units!$L36=1,DH$1=Units!$Q36),1,Inputs!$B$15)*Inputs!$B$16*(1+Inputs!$B$11)^(DH$2-1),0)</f>
        <v>0</v>
      </c>
      <c r="DI37" s="11" t="n">
        <f aca="false">IF(AND(DI$1&gt;=Units!$Q36,MOD(DI$1-Units!$Q36,12)=0),IF(AND(Units!$L36=1,DI$1=Units!$Q36),1,Inputs!$B$15)*Inputs!$B$16*(1+Inputs!$B$11)^(DI$2-1),0)</f>
        <v>0</v>
      </c>
      <c r="DJ37" s="11" t="n">
        <f aca="false">IF(AND(DJ$1&gt;=Units!$Q36,MOD(DJ$1-Units!$Q36,12)=0),IF(AND(Units!$L36=1,DJ$1=Units!$Q36),1,Inputs!$B$15)*Inputs!$B$16*(1+Inputs!$B$11)^(DJ$2-1),0)</f>
        <v>0</v>
      </c>
      <c r="DK37" s="11" t="n">
        <f aca="false">IF(AND(DK$1&gt;=Units!$Q36,MOD(DK$1-Units!$Q36,12)=0),IF(AND(Units!$L36=1,DK$1=Units!$Q36),1,Inputs!$B$15)*Inputs!$B$16*(1+Inputs!$B$11)^(DK$2-1),0)</f>
        <v>0</v>
      </c>
      <c r="DL37" s="11" t="n">
        <f aca="false">IF(AND(DL$1&gt;=Units!$Q36,MOD(DL$1-Units!$Q36,12)=0),IF(AND(Units!$L36=1,DL$1=Units!$Q36),1,Inputs!$B$15)*Inputs!$B$16*(1+Inputs!$B$11)^(DL$2-1),0)</f>
        <v>0</v>
      </c>
      <c r="DM37" s="11" t="n">
        <f aca="false">IF(AND(DM$1&gt;=Units!$Q36,MOD(DM$1-Units!$Q36,12)=0),IF(AND(Units!$L36=1,DM$1=Units!$Q36),1,Inputs!$B$15)*Inputs!$B$16*(1+Inputs!$B$11)^(DM$2-1),0)</f>
        <v>0</v>
      </c>
      <c r="DN37" s="11" t="n">
        <f aca="false">IF(AND(DN$1&gt;=Units!$Q36,MOD(DN$1-Units!$Q36,12)=0),IF(AND(Units!$L36=1,DN$1=Units!$Q36),1,Inputs!$B$15)*Inputs!$B$16*(1+Inputs!$B$11)^(DN$2-1),0)</f>
        <v>0</v>
      </c>
      <c r="DO37" s="11" t="n">
        <f aca="false">IF(AND(DO$1&gt;=Units!$Q36,MOD(DO$1-Units!$Q36,12)=0),IF(AND(Units!$L36=1,DO$1=Units!$Q36),1,Inputs!$B$15)*Inputs!$B$16*(1+Inputs!$B$11)^(DO$2-1),0)</f>
        <v>0</v>
      </c>
      <c r="DP37" s="11" t="n">
        <f aca="false">IF(AND(DP$1&gt;=Units!$Q36,MOD(DP$1-Units!$Q36,12)=0),IF(AND(Units!$L36=1,DP$1=Units!$Q36),1,Inputs!$B$15)*Inputs!$B$16*(1+Inputs!$B$11)^(DP$2-1),0)</f>
        <v>0</v>
      </c>
      <c r="DQ37" s="11" t="n">
        <f aca="false">IF(AND(DQ$1&gt;=Units!$Q36,MOD(DQ$1-Units!$Q36,12)=0),IF(AND(Units!$L36=1,DQ$1=Units!$Q36),1,Inputs!$B$15)*Inputs!$B$16*(1+Inputs!$B$11)^(DQ$2-1),0)</f>
        <v>0</v>
      </c>
      <c r="DR37" s="11" t="n">
        <f aca="false">IF(AND(DR$1&gt;=Units!$Q36,MOD(DR$1-Units!$Q36,12)=0),IF(AND(Units!$L36=1,DR$1=Units!$Q36),1,Inputs!$B$15)*Inputs!$B$16*(1+Inputs!$B$11)^(DR$2-1),0)</f>
        <v>0</v>
      </c>
      <c r="DS37" s="11" t="n">
        <f aca="false">IF(AND(DS$1&gt;=Units!$Q36,MOD(DS$1-Units!$Q36,12)=0),IF(AND(Units!$L36=1,DS$1=Units!$Q36),1,Inputs!$B$15)*Inputs!$B$16*(1+Inputs!$B$11)^(DS$2-1),0)</f>
        <v>671.958189672061</v>
      </c>
      <c r="DT37" s="11" t="n">
        <f aca="false">IF(AND(DT$1&gt;=Units!$Q36,MOD(DT$1-Units!$Q36,12)=0),IF(AND(Units!$L36=1,DT$1=Units!$Q36),1,Inputs!$B$15)*Inputs!$B$16*(1+Inputs!$B$11)^(DT$2-1),0)</f>
        <v>0</v>
      </c>
      <c r="DU37" s="11" t="n">
        <f aca="false">IF(AND(DU$1&gt;=Units!$Q36,MOD(DU$1-Units!$Q36,12)=0),IF(AND(Units!$L36=1,DU$1=Units!$Q36),1,Inputs!$B$15)*Inputs!$B$16*(1+Inputs!$B$11)^(DU$2-1),0)</f>
        <v>0</v>
      </c>
      <c r="DV37" s="11" t="n">
        <f aca="false">IF(AND(DV$1&gt;=Units!$Q36,MOD(DV$1-Units!$Q36,12)=0),IF(AND(Units!$L36=1,DV$1=Units!$Q36),1,Inputs!$B$15)*Inputs!$B$16*(1+Inputs!$B$11)^(DV$2-1),0)</f>
        <v>0</v>
      </c>
      <c r="DW37" s="11" t="n">
        <f aca="false">IF(AND(DW$1&gt;=Units!$Q36,MOD(DW$1-Units!$Q36,12)=0),IF(AND(Units!$L36=1,DW$1=Units!$Q36),1,Inputs!$B$15)*Inputs!$B$16*(1+Inputs!$B$11)^(DW$2-1),0)</f>
        <v>0</v>
      </c>
      <c r="DX37" s="11" t="n">
        <f aca="false">IF(AND(DX$1&gt;=Units!$Q36,MOD(DX$1-Units!$Q36,12)=0),IF(AND(Units!$L36=1,DX$1=Units!$Q36),1,Inputs!$B$15)*Inputs!$B$16*(1+Inputs!$B$11)^(DX$2-1),0)</f>
        <v>0</v>
      </c>
      <c r="DY37" s="11" t="n">
        <f aca="false">IF(AND(DY$1&gt;=Units!$Q36,MOD(DY$1-Units!$Q36,12)=0),IF(AND(Units!$L36=1,DY$1=Units!$Q36),1,Inputs!$B$15)*Inputs!$B$16*(1+Inputs!$B$11)^(DY$2-1),0)</f>
        <v>0</v>
      </c>
      <c r="DZ37" s="11" t="n">
        <f aca="false">IF(AND(DZ$1&gt;=Units!$Q36,MOD(DZ$1-Units!$Q36,12)=0),IF(AND(Units!$L36=1,DZ$1=Units!$Q36),1,Inputs!$B$15)*Inputs!$B$16*(1+Inputs!$B$11)^(DZ$2-1),0)</f>
        <v>0</v>
      </c>
      <c r="EA37" s="11" t="n">
        <f aca="false">IF(AND(EA$1&gt;=Units!$Q36,MOD(EA$1-Units!$Q36,12)=0),IF(AND(Units!$L36=1,EA$1=Units!$Q36),1,Inputs!$B$15)*Inputs!$B$16*(1+Inputs!$B$11)^(EA$2-1),0)</f>
        <v>0</v>
      </c>
      <c r="EB37" s="11" t="n">
        <f aca="false">IF(AND(EB$1&gt;=Units!$Q36,MOD(EB$1-Units!$Q36,12)=0),IF(AND(Units!$L36=1,EB$1=Units!$Q36),1,Inputs!$B$15)*Inputs!$B$16*(1+Inputs!$B$11)^(EB$2-1),0)</f>
        <v>0</v>
      </c>
      <c r="EC37" s="11" t="n">
        <f aca="false">IF(AND(EC$1&gt;=Units!$Q36,MOD(EC$1-Units!$Q36,12)=0),IF(AND(Units!$L36=1,EC$1=Units!$Q36),1,Inputs!$B$15)*Inputs!$B$16*(1+Inputs!$B$11)^(EC$2-1),0)</f>
        <v>0</v>
      </c>
      <c r="ED37" s="11" t="n">
        <f aca="false">IF(AND(ED$1&gt;=Units!$Q36,MOD(ED$1-Units!$Q36,12)=0),IF(AND(Units!$L36=1,ED$1=Units!$Q36),1,Inputs!$B$15)*Inputs!$B$16*(1+Inputs!$B$11)^(ED$2-1),0)</f>
        <v>0</v>
      </c>
    </row>
    <row r="38" customFormat="false" ht="15" hidden="false" customHeight="false" outlineLevel="0" collapsed="false">
      <c r="A38" s="22" t="n">
        <f aca="false">Units!A37</f>
        <v>206</v>
      </c>
      <c r="B38" s="23"/>
      <c r="C38" s="11" t="n">
        <f aca="false">IF(AND(C$1&gt;=Units!$Q37,MOD(C$1-Units!$Q37,12)=0),IF(AND(Units!$L37=1,C$1=Units!$Q37),1,Inputs!$B$15)*Inputs!$B$16*(1+Inputs!$B$11)^(C$2-1),0)</f>
        <v>0</v>
      </c>
      <c r="D38" s="11" t="n">
        <f aca="false">IF(AND(D$1&gt;=Units!$Q37,MOD(D$1-Units!$Q37,12)=0),IF(AND(Units!$L37=1,D$1=Units!$Q37),1,Inputs!$B$15)*Inputs!$B$16*(1+Inputs!$B$11)^(D$2-1),0)</f>
        <v>0</v>
      </c>
      <c r="E38" s="11" t="n">
        <f aca="false">IF(AND(E$1&gt;=Units!$Q37,MOD(E$1-Units!$Q37,12)=0),IF(AND(Units!$L37=1,E$1=Units!$Q37),1,Inputs!$B$15)*Inputs!$B$16*(1+Inputs!$B$11)^(E$2-1),0)</f>
        <v>0</v>
      </c>
      <c r="F38" s="11" t="n">
        <f aca="false">IF(AND(F$1&gt;=Units!$Q37,MOD(F$1-Units!$Q37,12)=0),IF(AND(Units!$L37=1,F$1=Units!$Q37),1,Inputs!$B$15)*Inputs!$B$16*(1+Inputs!$B$11)^(F$2-1),0)</f>
        <v>0</v>
      </c>
      <c r="G38" s="11" t="n">
        <f aca="false">IF(AND(G$1&gt;=Units!$Q37,MOD(G$1-Units!$Q37,12)=0),IF(AND(Units!$L37=1,G$1=Units!$Q37),1,Inputs!$B$15)*Inputs!$B$16*(1+Inputs!$B$11)^(G$2-1),0)</f>
        <v>0</v>
      </c>
      <c r="H38" s="11" t="n">
        <f aca="false">IF(AND(H$1&gt;=Units!$Q37,MOD(H$1-Units!$Q37,12)=0),IF(AND(Units!$L37=1,H$1=Units!$Q37),1,Inputs!$B$15)*Inputs!$B$16*(1+Inputs!$B$11)^(H$2-1),0)</f>
        <v>0</v>
      </c>
      <c r="I38" s="11" t="n">
        <f aca="false">IF(AND(I$1&gt;=Units!$Q37,MOD(I$1-Units!$Q37,12)=0),IF(AND(Units!$L37=1,I$1=Units!$Q37),1,Inputs!$B$15)*Inputs!$B$16*(1+Inputs!$B$11)^(I$2-1),0)</f>
        <v>0</v>
      </c>
      <c r="J38" s="11" t="n">
        <f aca="false">IF(AND(J$1&gt;=Units!$Q37,MOD(J$1-Units!$Q37,12)=0),IF(AND(Units!$L37=1,J$1=Units!$Q37),1,Inputs!$B$15)*Inputs!$B$16*(1+Inputs!$B$11)^(J$2-1),0)</f>
        <v>0</v>
      </c>
      <c r="K38" s="11" t="n">
        <f aca="false">IF(AND(K$1&gt;=Units!$Q37,MOD(K$1-Units!$Q37,12)=0),IF(AND(Units!$L37=1,K$1=Units!$Q37),1,Inputs!$B$15)*Inputs!$B$16*(1+Inputs!$B$11)^(K$2-1),0)</f>
        <v>0</v>
      </c>
      <c r="L38" s="11" t="n">
        <f aca="false">IF(AND(L$1&gt;=Units!$Q37,MOD(L$1-Units!$Q37,12)=0),IF(AND(Units!$L37=1,L$1=Units!$Q37),1,Inputs!$B$15)*Inputs!$B$16*(1+Inputs!$B$11)^(L$2-1),0)</f>
        <v>0</v>
      </c>
      <c r="M38" s="11" t="n">
        <f aca="false">IF(AND(M$1&gt;=Units!$Q37,MOD(M$1-Units!$Q37,12)=0),IF(AND(Units!$L37=1,M$1=Units!$Q37),1,Inputs!$B$15)*Inputs!$B$16*(1+Inputs!$B$11)^(M$2-1),0)</f>
        <v>0</v>
      </c>
      <c r="N38" s="11" t="n">
        <f aca="false">IF(AND(N$1&gt;=Units!$Q37,MOD(N$1-Units!$Q37,12)=0),IF(AND(Units!$L37=1,N$1=Units!$Q37),1,Inputs!$B$15)*Inputs!$B$16*(1+Inputs!$B$11)^(N$2-1),0)</f>
        <v>500</v>
      </c>
      <c r="O38" s="11" t="n">
        <f aca="false">IF(AND(O$1&gt;=Units!$Q37,MOD(O$1-Units!$Q37,12)=0),IF(AND(Units!$L37=1,O$1=Units!$Q37),1,Inputs!$B$15)*Inputs!$B$16*(1+Inputs!$B$11)^(O$2-1),0)</f>
        <v>0</v>
      </c>
      <c r="P38" s="11" t="n">
        <f aca="false">IF(AND(P$1&gt;=Units!$Q37,MOD(P$1-Units!$Q37,12)=0),IF(AND(Units!$L37=1,P$1=Units!$Q37),1,Inputs!$B$15)*Inputs!$B$16*(1+Inputs!$B$11)^(P$2-1),0)</f>
        <v>0</v>
      </c>
      <c r="Q38" s="11" t="n">
        <f aca="false">IF(AND(Q$1&gt;=Units!$Q37,MOD(Q$1-Units!$Q37,12)=0),IF(AND(Units!$L37=1,Q$1=Units!$Q37),1,Inputs!$B$15)*Inputs!$B$16*(1+Inputs!$B$11)^(Q$2-1),0)</f>
        <v>0</v>
      </c>
      <c r="R38" s="11" t="n">
        <f aca="false">IF(AND(R$1&gt;=Units!$Q37,MOD(R$1-Units!$Q37,12)=0),IF(AND(Units!$L37=1,R$1=Units!$Q37),1,Inputs!$B$15)*Inputs!$B$16*(1+Inputs!$B$11)^(R$2-1),0)</f>
        <v>0</v>
      </c>
      <c r="S38" s="11" t="n">
        <f aca="false">IF(AND(S$1&gt;=Units!$Q37,MOD(S$1-Units!$Q37,12)=0),IF(AND(Units!$L37=1,S$1=Units!$Q37),1,Inputs!$B$15)*Inputs!$B$16*(1+Inputs!$B$11)^(S$2-1),0)</f>
        <v>0</v>
      </c>
      <c r="T38" s="11" t="n">
        <f aca="false">IF(AND(T$1&gt;=Units!$Q37,MOD(T$1-Units!$Q37,12)=0),IF(AND(Units!$L37=1,T$1=Units!$Q37),1,Inputs!$B$15)*Inputs!$B$16*(1+Inputs!$B$11)^(T$2-1),0)</f>
        <v>0</v>
      </c>
      <c r="U38" s="11" t="n">
        <f aca="false">IF(AND(U$1&gt;=Units!$Q37,MOD(U$1-Units!$Q37,12)=0),IF(AND(Units!$L37=1,U$1=Units!$Q37),1,Inputs!$B$15)*Inputs!$B$16*(1+Inputs!$B$11)^(U$2-1),0)</f>
        <v>0</v>
      </c>
      <c r="V38" s="11" t="n">
        <f aca="false">IF(AND(V$1&gt;=Units!$Q37,MOD(V$1-Units!$Q37,12)=0),IF(AND(Units!$L37=1,V$1=Units!$Q37),1,Inputs!$B$15)*Inputs!$B$16*(1+Inputs!$B$11)^(V$2-1),0)</f>
        <v>0</v>
      </c>
      <c r="W38" s="11" t="n">
        <f aca="false">IF(AND(W$1&gt;=Units!$Q37,MOD(W$1-Units!$Q37,12)=0),IF(AND(Units!$L37=1,W$1=Units!$Q37),1,Inputs!$B$15)*Inputs!$B$16*(1+Inputs!$B$11)^(W$2-1),0)</f>
        <v>0</v>
      </c>
      <c r="X38" s="11" t="n">
        <f aca="false">IF(AND(X$1&gt;=Units!$Q37,MOD(X$1-Units!$Q37,12)=0),IF(AND(Units!$L37=1,X$1=Units!$Q37),1,Inputs!$B$15)*Inputs!$B$16*(1+Inputs!$B$11)^(X$2-1),0)</f>
        <v>0</v>
      </c>
      <c r="Y38" s="11" t="n">
        <f aca="false">IF(AND(Y$1&gt;=Units!$Q37,MOD(Y$1-Units!$Q37,12)=0),IF(AND(Units!$L37=1,Y$1=Units!$Q37),1,Inputs!$B$15)*Inputs!$B$16*(1+Inputs!$B$11)^(Y$2-1),0)</f>
        <v>0</v>
      </c>
      <c r="Z38" s="11" t="n">
        <f aca="false">IF(AND(Z$1&gt;=Units!$Q37,MOD(Z$1-Units!$Q37,12)=0),IF(AND(Units!$L37=1,Z$1=Units!$Q37),1,Inputs!$B$15)*Inputs!$B$16*(1+Inputs!$B$11)^(Z$2-1),0)</f>
        <v>515</v>
      </c>
      <c r="AA38" s="11" t="n">
        <f aca="false">IF(AND(AA$1&gt;=Units!$Q37,MOD(AA$1-Units!$Q37,12)=0),IF(AND(Units!$L37=1,AA$1=Units!$Q37),1,Inputs!$B$15)*Inputs!$B$16*(1+Inputs!$B$11)^(AA$2-1),0)</f>
        <v>0</v>
      </c>
      <c r="AB38" s="11" t="n">
        <f aca="false">IF(AND(AB$1&gt;=Units!$Q37,MOD(AB$1-Units!$Q37,12)=0),IF(AND(Units!$L37=1,AB$1=Units!$Q37),1,Inputs!$B$15)*Inputs!$B$16*(1+Inputs!$B$11)^(AB$2-1),0)</f>
        <v>0</v>
      </c>
      <c r="AC38" s="11" t="n">
        <f aca="false">IF(AND(AC$1&gt;=Units!$Q37,MOD(AC$1-Units!$Q37,12)=0),IF(AND(Units!$L37=1,AC$1=Units!$Q37),1,Inputs!$B$15)*Inputs!$B$16*(1+Inputs!$B$11)^(AC$2-1),0)</f>
        <v>0</v>
      </c>
      <c r="AD38" s="11" t="n">
        <f aca="false">IF(AND(AD$1&gt;=Units!$Q37,MOD(AD$1-Units!$Q37,12)=0),IF(AND(Units!$L37=1,AD$1=Units!$Q37),1,Inputs!$B$15)*Inputs!$B$16*(1+Inputs!$B$11)^(AD$2-1),0)</f>
        <v>0</v>
      </c>
      <c r="AE38" s="11" t="n">
        <f aca="false">IF(AND(AE$1&gt;=Units!$Q37,MOD(AE$1-Units!$Q37,12)=0),IF(AND(Units!$L37=1,AE$1=Units!$Q37),1,Inputs!$B$15)*Inputs!$B$16*(1+Inputs!$B$11)^(AE$2-1),0)</f>
        <v>0</v>
      </c>
      <c r="AF38" s="11" t="n">
        <f aca="false">IF(AND(AF$1&gt;=Units!$Q37,MOD(AF$1-Units!$Q37,12)=0),IF(AND(Units!$L37=1,AF$1=Units!$Q37),1,Inputs!$B$15)*Inputs!$B$16*(1+Inputs!$B$11)^(AF$2-1),0)</f>
        <v>0</v>
      </c>
      <c r="AG38" s="11" t="n">
        <f aca="false">IF(AND(AG$1&gt;=Units!$Q37,MOD(AG$1-Units!$Q37,12)=0),IF(AND(Units!$L37=1,AG$1=Units!$Q37),1,Inputs!$B$15)*Inputs!$B$16*(1+Inputs!$B$11)^(AG$2-1),0)</f>
        <v>0</v>
      </c>
      <c r="AH38" s="11" t="n">
        <f aca="false">IF(AND(AH$1&gt;=Units!$Q37,MOD(AH$1-Units!$Q37,12)=0),IF(AND(Units!$L37=1,AH$1=Units!$Q37),1,Inputs!$B$15)*Inputs!$B$16*(1+Inputs!$B$11)^(AH$2-1),0)</f>
        <v>0</v>
      </c>
      <c r="AI38" s="11" t="n">
        <f aca="false">IF(AND(AI$1&gt;=Units!$Q37,MOD(AI$1-Units!$Q37,12)=0),IF(AND(Units!$L37=1,AI$1=Units!$Q37),1,Inputs!$B$15)*Inputs!$B$16*(1+Inputs!$B$11)^(AI$2-1),0)</f>
        <v>0</v>
      </c>
      <c r="AJ38" s="11" t="n">
        <f aca="false">IF(AND(AJ$1&gt;=Units!$Q37,MOD(AJ$1-Units!$Q37,12)=0),IF(AND(Units!$L37=1,AJ$1=Units!$Q37),1,Inputs!$B$15)*Inputs!$B$16*(1+Inputs!$B$11)^(AJ$2-1),0)</f>
        <v>0</v>
      </c>
      <c r="AK38" s="11" t="n">
        <f aca="false">IF(AND(AK$1&gt;=Units!$Q37,MOD(AK$1-Units!$Q37,12)=0),IF(AND(Units!$L37=1,AK$1=Units!$Q37),1,Inputs!$B$15)*Inputs!$B$16*(1+Inputs!$B$11)^(AK$2-1),0)</f>
        <v>0</v>
      </c>
      <c r="AL38" s="11" t="n">
        <f aca="false">IF(AND(AL$1&gt;=Units!$Q37,MOD(AL$1-Units!$Q37,12)=0),IF(AND(Units!$L37=1,AL$1=Units!$Q37),1,Inputs!$B$15)*Inputs!$B$16*(1+Inputs!$B$11)^(AL$2-1),0)</f>
        <v>530.45</v>
      </c>
      <c r="AM38" s="11" t="n">
        <f aca="false">IF(AND(AM$1&gt;=Units!$Q37,MOD(AM$1-Units!$Q37,12)=0),IF(AND(Units!$L37=1,AM$1=Units!$Q37),1,Inputs!$B$15)*Inputs!$B$16*(1+Inputs!$B$11)^(AM$2-1),0)</f>
        <v>0</v>
      </c>
      <c r="AN38" s="11" t="n">
        <f aca="false">IF(AND(AN$1&gt;=Units!$Q37,MOD(AN$1-Units!$Q37,12)=0),IF(AND(Units!$L37=1,AN$1=Units!$Q37),1,Inputs!$B$15)*Inputs!$B$16*(1+Inputs!$B$11)^(AN$2-1),0)</f>
        <v>0</v>
      </c>
      <c r="AO38" s="11" t="n">
        <f aca="false">IF(AND(AO$1&gt;=Units!$Q37,MOD(AO$1-Units!$Q37,12)=0),IF(AND(Units!$L37=1,AO$1=Units!$Q37),1,Inputs!$B$15)*Inputs!$B$16*(1+Inputs!$B$11)^(AO$2-1),0)</f>
        <v>0</v>
      </c>
      <c r="AP38" s="11" t="n">
        <f aca="false">IF(AND(AP$1&gt;=Units!$Q37,MOD(AP$1-Units!$Q37,12)=0),IF(AND(Units!$L37=1,AP$1=Units!$Q37),1,Inputs!$B$15)*Inputs!$B$16*(1+Inputs!$B$11)^(AP$2-1),0)</f>
        <v>0</v>
      </c>
      <c r="AQ38" s="11" t="n">
        <f aca="false">IF(AND(AQ$1&gt;=Units!$Q37,MOD(AQ$1-Units!$Q37,12)=0),IF(AND(Units!$L37=1,AQ$1=Units!$Q37),1,Inputs!$B$15)*Inputs!$B$16*(1+Inputs!$B$11)^(AQ$2-1),0)</f>
        <v>0</v>
      </c>
      <c r="AR38" s="11" t="n">
        <f aca="false">IF(AND(AR$1&gt;=Units!$Q37,MOD(AR$1-Units!$Q37,12)=0),IF(AND(Units!$L37=1,AR$1=Units!$Q37),1,Inputs!$B$15)*Inputs!$B$16*(1+Inputs!$B$11)^(AR$2-1),0)</f>
        <v>0</v>
      </c>
      <c r="AS38" s="11" t="n">
        <f aca="false">IF(AND(AS$1&gt;=Units!$Q37,MOD(AS$1-Units!$Q37,12)=0),IF(AND(Units!$L37=1,AS$1=Units!$Q37),1,Inputs!$B$15)*Inputs!$B$16*(1+Inputs!$B$11)^(AS$2-1),0)</f>
        <v>0</v>
      </c>
      <c r="AT38" s="11" t="n">
        <f aca="false">IF(AND(AT$1&gt;=Units!$Q37,MOD(AT$1-Units!$Q37,12)=0),IF(AND(Units!$L37=1,AT$1=Units!$Q37),1,Inputs!$B$15)*Inputs!$B$16*(1+Inputs!$B$11)^(AT$2-1),0)</f>
        <v>0</v>
      </c>
      <c r="AU38" s="11" t="n">
        <f aca="false">IF(AND(AU$1&gt;=Units!$Q37,MOD(AU$1-Units!$Q37,12)=0),IF(AND(Units!$L37=1,AU$1=Units!$Q37),1,Inputs!$B$15)*Inputs!$B$16*(1+Inputs!$B$11)^(AU$2-1),0)</f>
        <v>0</v>
      </c>
      <c r="AV38" s="11" t="n">
        <f aca="false">IF(AND(AV$1&gt;=Units!$Q37,MOD(AV$1-Units!$Q37,12)=0),IF(AND(Units!$L37=1,AV$1=Units!$Q37),1,Inputs!$B$15)*Inputs!$B$16*(1+Inputs!$B$11)^(AV$2-1),0)</f>
        <v>0</v>
      </c>
      <c r="AW38" s="11" t="n">
        <f aca="false">IF(AND(AW$1&gt;=Units!$Q37,MOD(AW$1-Units!$Q37,12)=0),IF(AND(Units!$L37=1,AW$1=Units!$Q37),1,Inputs!$B$15)*Inputs!$B$16*(1+Inputs!$B$11)^(AW$2-1),0)</f>
        <v>0</v>
      </c>
      <c r="AX38" s="11" t="n">
        <f aca="false">IF(AND(AX$1&gt;=Units!$Q37,MOD(AX$1-Units!$Q37,12)=0),IF(AND(Units!$L37=1,AX$1=Units!$Q37),1,Inputs!$B$15)*Inputs!$B$16*(1+Inputs!$B$11)^(AX$2-1),0)</f>
        <v>546.3635</v>
      </c>
      <c r="AY38" s="11" t="n">
        <f aca="false">IF(AND(AY$1&gt;=Units!$Q37,MOD(AY$1-Units!$Q37,12)=0),IF(AND(Units!$L37=1,AY$1=Units!$Q37),1,Inputs!$B$15)*Inputs!$B$16*(1+Inputs!$B$11)^(AY$2-1),0)</f>
        <v>0</v>
      </c>
      <c r="AZ38" s="11" t="n">
        <f aca="false">IF(AND(AZ$1&gt;=Units!$Q37,MOD(AZ$1-Units!$Q37,12)=0),IF(AND(Units!$L37=1,AZ$1=Units!$Q37),1,Inputs!$B$15)*Inputs!$B$16*(1+Inputs!$B$11)^(AZ$2-1),0)</f>
        <v>0</v>
      </c>
      <c r="BA38" s="11" t="n">
        <f aca="false">IF(AND(BA$1&gt;=Units!$Q37,MOD(BA$1-Units!$Q37,12)=0),IF(AND(Units!$L37=1,BA$1=Units!$Q37),1,Inputs!$B$15)*Inputs!$B$16*(1+Inputs!$B$11)^(BA$2-1),0)</f>
        <v>0</v>
      </c>
      <c r="BB38" s="11" t="n">
        <f aca="false">IF(AND(BB$1&gt;=Units!$Q37,MOD(BB$1-Units!$Q37,12)=0),IF(AND(Units!$L37=1,BB$1=Units!$Q37),1,Inputs!$B$15)*Inputs!$B$16*(1+Inputs!$B$11)^(BB$2-1),0)</f>
        <v>0</v>
      </c>
      <c r="BC38" s="11" t="n">
        <f aca="false">IF(AND(BC$1&gt;=Units!$Q37,MOD(BC$1-Units!$Q37,12)=0),IF(AND(Units!$L37=1,BC$1=Units!$Q37),1,Inputs!$B$15)*Inputs!$B$16*(1+Inputs!$B$11)^(BC$2-1),0)</f>
        <v>0</v>
      </c>
      <c r="BD38" s="11" t="n">
        <f aca="false">IF(AND(BD$1&gt;=Units!$Q37,MOD(BD$1-Units!$Q37,12)=0),IF(AND(Units!$L37=1,BD$1=Units!$Q37),1,Inputs!$B$15)*Inputs!$B$16*(1+Inputs!$B$11)^(BD$2-1),0)</f>
        <v>0</v>
      </c>
      <c r="BE38" s="11" t="n">
        <f aca="false">IF(AND(BE$1&gt;=Units!$Q37,MOD(BE$1-Units!$Q37,12)=0),IF(AND(Units!$L37=1,BE$1=Units!$Q37),1,Inputs!$B$15)*Inputs!$B$16*(1+Inputs!$B$11)^(BE$2-1),0)</f>
        <v>0</v>
      </c>
      <c r="BF38" s="11" t="n">
        <f aca="false">IF(AND(BF$1&gt;=Units!$Q37,MOD(BF$1-Units!$Q37,12)=0),IF(AND(Units!$L37=1,BF$1=Units!$Q37),1,Inputs!$B$15)*Inputs!$B$16*(1+Inputs!$B$11)^(BF$2-1),0)</f>
        <v>0</v>
      </c>
      <c r="BG38" s="11" t="n">
        <f aca="false">IF(AND(BG$1&gt;=Units!$Q37,MOD(BG$1-Units!$Q37,12)=0),IF(AND(Units!$L37=1,BG$1=Units!$Q37),1,Inputs!$B$15)*Inputs!$B$16*(1+Inputs!$B$11)^(BG$2-1),0)</f>
        <v>0</v>
      </c>
      <c r="BH38" s="11" t="n">
        <f aca="false">IF(AND(BH$1&gt;=Units!$Q37,MOD(BH$1-Units!$Q37,12)=0),IF(AND(Units!$L37=1,BH$1=Units!$Q37),1,Inputs!$B$15)*Inputs!$B$16*(1+Inputs!$B$11)^(BH$2-1),0)</f>
        <v>0</v>
      </c>
      <c r="BI38" s="11" t="n">
        <f aca="false">IF(AND(BI$1&gt;=Units!$Q37,MOD(BI$1-Units!$Q37,12)=0),IF(AND(Units!$L37=1,BI$1=Units!$Q37),1,Inputs!$B$15)*Inputs!$B$16*(1+Inputs!$B$11)^(BI$2-1),0)</f>
        <v>0</v>
      </c>
      <c r="BJ38" s="11" t="n">
        <f aca="false">IF(AND(BJ$1&gt;=Units!$Q37,MOD(BJ$1-Units!$Q37,12)=0),IF(AND(Units!$L37=1,BJ$1=Units!$Q37),1,Inputs!$B$15)*Inputs!$B$16*(1+Inputs!$B$11)^(BJ$2-1),0)</f>
        <v>562.754405</v>
      </c>
      <c r="BK38" s="11" t="n">
        <f aca="false">IF(AND(BK$1&gt;=Units!$Q37,MOD(BK$1-Units!$Q37,12)=0),IF(AND(Units!$L37=1,BK$1=Units!$Q37),1,Inputs!$B$15)*Inputs!$B$16*(1+Inputs!$B$11)^(BK$2-1),0)</f>
        <v>0</v>
      </c>
      <c r="BL38" s="11" t="n">
        <f aca="false">IF(AND(BL$1&gt;=Units!$Q37,MOD(BL$1-Units!$Q37,12)=0),IF(AND(Units!$L37=1,BL$1=Units!$Q37),1,Inputs!$B$15)*Inputs!$B$16*(1+Inputs!$B$11)^(BL$2-1),0)</f>
        <v>0</v>
      </c>
      <c r="BM38" s="11" t="n">
        <f aca="false">IF(AND(BM$1&gt;=Units!$Q37,MOD(BM$1-Units!$Q37,12)=0),IF(AND(Units!$L37=1,BM$1=Units!$Q37),1,Inputs!$B$15)*Inputs!$B$16*(1+Inputs!$B$11)^(BM$2-1),0)</f>
        <v>0</v>
      </c>
      <c r="BN38" s="11" t="n">
        <f aca="false">IF(AND(BN$1&gt;=Units!$Q37,MOD(BN$1-Units!$Q37,12)=0),IF(AND(Units!$L37=1,BN$1=Units!$Q37),1,Inputs!$B$15)*Inputs!$B$16*(1+Inputs!$B$11)^(BN$2-1),0)</f>
        <v>0</v>
      </c>
      <c r="BO38" s="11" t="n">
        <f aca="false">IF(AND(BO$1&gt;=Units!$Q37,MOD(BO$1-Units!$Q37,12)=0),IF(AND(Units!$L37=1,BO$1=Units!$Q37),1,Inputs!$B$15)*Inputs!$B$16*(1+Inputs!$B$11)^(BO$2-1),0)</f>
        <v>0</v>
      </c>
      <c r="BP38" s="11" t="n">
        <f aca="false">IF(AND(BP$1&gt;=Units!$Q37,MOD(BP$1-Units!$Q37,12)=0),IF(AND(Units!$L37=1,BP$1=Units!$Q37),1,Inputs!$B$15)*Inputs!$B$16*(1+Inputs!$B$11)^(BP$2-1),0)</f>
        <v>0</v>
      </c>
      <c r="BQ38" s="11" t="n">
        <f aca="false">IF(AND(BQ$1&gt;=Units!$Q37,MOD(BQ$1-Units!$Q37,12)=0),IF(AND(Units!$L37=1,BQ$1=Units!$Q37),1,Inputs!$B$15)*Inputs!$B$16*(1+Inputs!$B$11)^(BQ$2-1),0)</f>
        <v>0</v>
      </c>
      <c r="BR38" s="11" t="n">
        <f aca="false">IF(AND(BR$1&gt;=Units!$Q37,MOD(BR$1-Units!$Q37,12)=0),IF(AND(Units!$L37=1,BR$1=Units!$Q37),1,Inputs!$B$15)*Inputs!$B$16*(1+Inputs!$B$11)^(BR$2-1),0)</f>
        <v>0</v>
      </c>
      <c r="BS38" s="11" t="n">
        <f aca="false">IF(AND(BS$1&gt;=Units!$Q37,MOD(BS$1-Units!$Q37,12)=0),IF(AND(Units!$L37=1,BS$1=Units!$Q37),1,Inputs!$B$15)*Inputs!$B$16*(1+Inputs!$B$11)^(BS$2-1),0)</f>
        <v>0</v>
      </c>
      <c r="BT38" s="11" t="n">
        <f aca="false">IF(AND(BT$1&gt;=Units!$Q37,MOD(BT$1-Units!$Q37,12)=0),IF(AND(Units!$L37=1,BT$1=Units!$Q37),1,Inputs!$B$15)*Inputs!$B$16*(1+Inputs!$B$11)^(BT$2-1),0)</f>
        <v>0</v>
      </c>
      <c r="BU38" s="11" t="n">
        <f aca="false">IF(AND(BU$1&gt;=Units!$Q37,MOD(BU$1-Units!$Q37,12)=0),IF(AND(Units!$L37=1,BU$1=Units!$Q37),1,Inputs!$B$15)*Inputs!$B$16*(1+Inputs!$B$11)^(BU$2-1),0)</f>
        <v>0</v>
      </c>
      <c r="BV38" s="11" t="n">
        <f aca="false">IF(AND(BV$1&gt;=Units!$Q37,MOD(BV$1-Units!$Q37,12)=0),IF(AND(Units!$L37=1,BV$1=Units!$Q37),1,Inputs!$B$15)*Inputs!$B$16*(1+Inputs!$B$11)^(BV$2-1),0)</f>
        <v>579.63703715</v>
      </c>
      <c r="BW38" s="11" t="n">
        <f aca="false">IF(AND(BW$1&gt;=Units!$Q37,MOD(BW$1-Units!$Q37,12)=0),IF(AND(Units!$L37=1,BW$1=Units!$Q37),1,Inputs!$B$15)*Inputs!$B$16*(1+Inputs!$B$11)^(BW$2-1),0)</f>
        <v>0</v>
      </c>
      <c r="BX38" s="11" t="n">
        <f aca="false">IF(AND(BX$1&gt;=Units!$Q37,MOD(BX$1-Units!$Q37,12)=0),IF(AND(Units!$L37=1,BX$1=Units!$Q37),1,Inputs!$B$15)*Inputs!$B$16*(1+Inputs!$B$11)^(BX$2-1),0)</f>
        <v>0</v>
      </c>
      <c r="BY38" s="11" t="n">
        <f aca="false">IF(AND(BY$1&gt;=Units!$Q37,MOD(BY$1-Units!$Q37,12)=0),IF(AND(Units!$L37=1,BY$1=Units!$Q37),1,Inputs!$B$15)*Inputs!$B$16*(1+Inputs!$B$11)^(BY$2-1),0)</f>
        <v>0</v>
      </c>
      <c r="BZ38" s="11" t="n">
        <f aca="false">IF(AND(BZ$1&gt;=Units!$Q37,MOD(BZ$1-Units!$Q37,12)=0),IF(AND(Units!$L37=1,BZ$1=Units!$Q37),1,Inputs!$B$15)*Inputs!$B$16*(1+Inputs!$B$11)^(BZ$2-1),0)</f>
        <v>0</v>
      </c>
      <c r="CA38" s="11" t="n">
        <f aca="false">IF(AND(CA$1&gt;=Units!$Q37,MOD(CA$1-Units!$Q37,12)=0),IF(AND(Units!$L37=1,CA$1=Units!$Q37),1,Inputs!$B$15)*Inputs!$B$16*(1+Inputs!$B$11)^(CA$2-1),0)</f>
        <v>0</v>
      </c>
      <c r="CB38" s="11" t="n">
        <f aca="false">IF(AND(CB$1&gt;=Units!$Q37,MOD(CB$1-Units!$Q37,12)=0),IF(AND(Units!$L37=1,CB$1=Units!$Q37),1,Inputs!$B$15)*Inputs!$B$16*(1+Inputs!$B$11)^(CB$2-1),0)</f>
        <v>0</v>
      </c>
      <c r="CC38" s="11" t="n">
        <f aca="false">IF(AND(CC$1&gt;=Units!$Q37,MOD(CC$1-Units!$Q37,12)=0),IF(AND(Units!$L37=1,CC$1=Units!$Q37),1,Inputs!$B$15)*Inputs!$B$16*(1+Inputs!$B$11)^(CC$2-1),0)</f>
        <v>0</v>
      </c>
      <c r="CD38" s="11" t="n">
        <f aca="false">IF(AND(CD$1&gt;=Units!$Q37,MOD(CD$1-Units!$Q37,12)=0),IF(AND(Units!$L37=1,CD$1=Units!$Q37),1,Inputs!$B$15)*Inputs!$B$16*(1+Inputs!$B$11)^(CD$2-1),0)</f>
        <v>0</v>
      </c>
      <c r="CE38" s="11" t="n">
        <f aca="false">IF(AND(CE$1&gt;=Units!$Q37,MOD(CE$1-Units!$Q37,12)=0),IF(AND(Units!$L37=1,CE$1=Units!$Q37),1,Inputs!$B$15)*Inputs!$B$16*(1+Inputs!$B$11)^(CE$2-1),0)</f>
        <v>0</v>
      </c>
      <c r="CF38" s="11" t="n">
        <f aca="false">IF(AND(CF$1&gt;=Units!$Q37,MOD(CF$1-Units!$Q37,12)=0),IF(AND(Units!$L37=1,CF$1=Units!$Q37),1,Inputs!$B$15)*Inputs!$B$16*(1+Inputs!$B$11)^(CF$2-1),0)</f>
        <v>0</v>
      </c>
      <c r="CG38" s="11" t="n">
        <f aca="false">IF(AND(CG$1&gt;=Units!$Q37,MOD(CG$1-Units!$Q37,12)=0),IF(AND(Units!$L37=1,CG$1=Units!$Q37),1,Inputs!$B$15)*Inputs!$B$16*(1+Inputs!$B$11)^(CG$2-1),0)</f>
        <v>0</v>
      </c>
      <c r="CH38" s="11" t="n">
        <f aca="false">IF(AND(CH$1&gt;=Units!$Q37,MOD(CH$1-Units!$Q37,12)=0),IF(AND(Units!$L37=1,CH$1=Units!$Q37),1,Inputs!$B$15)*Inputs!$B$16*(1+Inputs!$B$11)^(CH$2-1),0)</f>
        <v>597.0261482645</v>
      </c>
      <c r="CI38" s="11" t="n">
        <f aca="false">IF(AND(CI$1&gt;=Units!$Q37,MOD(CI$1-Units!$Q37,12)=0),IF(AND(Units!$L37=1,CI$1=Units!$Q37),1,Inputs!$B$15)*Inputs!$B$16*(1+Inputs!$B$11)^(CI$2-1),0)</f>
        <v>0</v>
      </c>
      <c r="CJ38" s="11" t="n">
        <f aca="false">IF(AND(CJ$1&gt;=Units!$Q37,MOD(CJ$1-Units!$Q37,12)=0),IF(AND(Units!$L37=1,CJ$1=Units!$Q37),1,Inputs!$B$15)*Inputs!$B$16*(1+Inputs!$B$11)^(CJ$2-1),0)</f>
        <v>0</v>
      </c>
      <c r="CK38" s="11" t="n">
        <f aca="false">IF(AND(CK$1&gt;=Units!$Q37,MOD(CK$1-Units!$Q37,12)=0),IF(AND(Units!$L37=1,CK$1=Units!$Q37),1,Inputs!$B$15)*Inputs!$B$16*(1+Inputs!$B$11)^(CK$2-1),0)</f>
        <v>0</v>
      </c>
      <c r="CL38" s="11" t="n">
        <f aca="false">IF(AND(CL$1&gt;=Units!$Q37,MOD(CL$1-Units!$Q37,12)=0),IF(AND(Units!$L37=1,CL$1=Units!$Q37),1,Inputs!$B$15)*Inputs!$B$16*(1+Inputs!$B$11)^(CL$2-1),0)</f>
        <v>0</v>
      </c>
      <c r="CM38" s="11" t="n">
        <f aca="false">IF(AND(CM$1&gt;=Units!$Q37,MOD(CM$1-Units!$Q37,12)=0),IF(AND(Units!$L37=1,CM$1=Units!$Q37),1,Inputs!$B$15)*Inputs!$B$16*(1+Inputs!$B$11)^(CM$2-1),0)</f>
        <v>0</v>
      </c>
      <c r="CN38" s="11" t="n">
        <f aca="false">IF(AND(CN$1&gt;=Units!$Q37,MOD(CN$1-Units!$Q37,12)=0),IF(AND(Units!$L37=1,CN$1=Units!$Q37),1,Inputs!$B$15)*Inputs!$B$16*(1+Inputs!$B$11)^(CN$2-1),0)</f>
        <v>0</v>
      </c>
      <c r="CO38" s="11" t="n">
        <f aca="false">IF(AND(CO$1&gt;=Units!$Q37,MOD(CO$1-Units!$Q37,12)=0),IF(AND(Units!$L37=1,CO$1=Units!$Q37),1,Inputs!$B$15)*Inputs!$B$16*(1+Inputs!$B$11)^(CO$2-1),0)</f>
        <v>0</v>
      </c>
      <c r="CP38" s="11" t="n">
        <f aca="false">IF(AND(CP$1&gt;=Units!$Q37,MOD(CP$1-Units!$Q37,12)=0),IF(AND(Units!$L37=1,CP$1=Units!$Q37),1,Inputs!$B$15)*Inputs!$B$16*(1+Inputs!$B$11)^(CP$2-1),0)</f>
        <v>0</v>
      </c>
      <c r="CQ38" s="11" t="n">
        <f aca="false">IF(AND(CQ$1&gt;=Units!$Q37,MOD(CQ$1-Units!$Q37,12)=0),IF(AND(Units!$L37=1,CQ$1=Units!$Q37),1,Inputs!$B$15)*Inputs!$B$16*(1+Inputs!$B$11)^(CQ$2-1),0)</f>
        <v>0</v>
      </c>
      <c r="CR38" s="11" t="n">
        <f aca="false">IF(AND(CR$1&gt;=Units!$Q37,MOD(CR$1-Units!$Q37,12)=0),IF(AND(Units!$L37=1,CR$1=Units!$Q37),1,Inputs!$B$15)*Inputs!$B$16*(1+Inputs!$B$11)^(CR$2-1),0)</f>
        <v>0</v>
      </c>
      <c r="CS38" s="11" t="n">
        <f aca="false">IF(AND(CS$1&gt;=Units!$Q37,MOD(CS$1-Units!$Q37,12)=0),IF(AND(Units!$L37=1,CS$1=Units!$Q37),1,Inputs!$B$15)*Inputs!$B$16*(1+Inputs!$B$11)^(CS$2-1),0)</f>
        <v>0</v>
      </c>
      <c r="CT38" s="11" t="n">
        <f aca="false">IF(AND(CT$1&gt;=Units!$Q37,MOD(CT$1-Units!$Q37,12)=0),IF(AND(Units!$L37=1,CT$1=Units!$Q37),1,Inputs!$B$15)*Inputs!$B$16*(1+Inputs!$B$11)^(CT$2-1),0)</f>
        <v>614.936932712435</v>
      </c>
      <c r="CU38" s="11" t="n">
        <f aca="false">IF(AND(CU$1&gt;=Units!$Q37,MOD(CU$1-Units!$Q37,12)=0),IF(AND(Units!$L37=1,CU$1=Units!$Q37),1,Inputs!$B$15)*Inputs!$B$16*(1+Inputs!$B$11)^(CU$2-1),0)</f>
        <v>0</v>
      </c>
      <c r="CV38" s="11" t="n">
        <f aca="false">IF(AND(CV$1&gt;=Units!$Q37,MOD(CV$1-Units!$Q37,12)=0),IF(AND(Units!$L37=1,CV$1=Units!$Q37),1,Inputs!$B$15)*Inputs!$B$16*(1+Inputs!$B$11)^(CV$2-1),0)</f>
        <v>0</v>
      </c>
      <c r="CW38" s="11" t="n">
        <f aca="false">IF(AND(CW$1&gt;=Units!$Q37,MOD(CW$1-Units!$Q37,12)=0),IF(AND(Units!$L37=1,CW$1=Units!$Q37),1,Inputs!$B$15)*Inputs!$B$16*(1+Inputs!$B$11)^(CW$2-1),0)</f>
        <v>0</v>
      </c>
      <c r="CX38" s="11" t="n">
        <f aca="false">IF(AND(CX$1&gt;=Units!$Q37,MOD(CX$1-Units!$Q37,12)=0),IF(AND(Units!$L37=1,CX$1=Units!$Q37),1,Inputs!$B$15)*Inputs!$B$16*(1+Inputs!$B$11)^(CX$2-1),0)</f>
        <v>0</v>
      </c>
      <c r="CY38" s="11" t="n">
        <f aca="false">IF(AND(CY$1&gt;=Units!$Q37,MOD(CY$1-Units!$Q37,12)=0),IF(AND(Units!$L37=1,CY$1=Units!$Q37),1,Inputs!$B$15)*Inputs!$B$16*(1+Inputs!$B$11)^(CY$2-1),0)</f>
        <v>0</v>
      </c>
      <c r="CZ38" s="11" t="n">
        <f aca="false">IF(AND(CZ$1&gt;=Units!$Q37,MOD(CZ$1-Units!$Q37,12)=0),IF(AND(Units!$L37=1,CZ$1=Units!$Q37),1,Inputs!$B$15)*Inputs!$B$16*(1+Inputs!$B$11)^(CZ$2-1),0)</f>
        <v>0</v>
      </c>
      <c r="DA38" s="11" t="n">
        <f aca="false">IF(AND(DA$1&gt;=Units!$Q37,MOD(DA$1-Units!$Q37,12)=0),IF(AND(Units!$L37=1,DA$1=Units!$Q37),1,Inputs!$B$15)*Inputs!$B$16*(1+Inputs!$B$11)^(DA$2-1),0)</f>
        <v>0</v>
      </c>
      <c r="DB38" s="11" t="n">
        <f aca="false">IF(AND(DB$1&gt;=Units!$Q37,MOD(DB$1-Units!$Q37,12)=0),IF(AND(Units!$L37=1,DB$1=Units!$Q37),1,Inputs!$B$15)*Inputs!$B$16*(1+Inputs!$B$11)^(DB$2-1),0)</f>
        <v>0</v>
      </c>
      <c r="DC38" s="11" t="n">
        <f aca="false">IF(AND(DC$1&gt;=Units!$Q37,MOD(DC$1-Units!$Q37,12)=0),IF(AND(Units!$L37=1,DC$1=Units!$Q37),1,Inputs!$B$15)*Inputs!$B$16*(1+Inputs!$B$11)^(DC$2-1),0)</f>
        <v>0</v>
      </c>
      <c r="DD38" s="11" t="n">
        <f aca="false">IF(AND(DD$1&gt;=Units!$Q37,MOD(DD$1-Units!$Q37,12)=0),IF(AND(Units!$L37=1,DD$1=Units!$Q37),1,Inputs!$B$15)*Inputs!$B$16*(1+Inputs!$B$11)^(DD$2-1),0)</f>
        <v>0</v>
      </c>
      <c r="DE38" s="11" t="n">
        <f aca="false">IF(AND(DE$1&gt;=Units!$Q37,MOD(DE$1-Units!$Q37,12)=0),IF(AND(Units!$L37=1,DE$1=Units!$Q37),1,Inputs!$B$15)*Inputs!$B$16*(1+Inputs!$B$11)^(DE$2-1),0)</f>
        <v>0</v>
      </c>
      <c r="DF38" s="11" t="n">
        <f aca="false">IF(AND(DF$1&gt;=Units!$Q37,MOD(DF$1-Units!$Q37,12)=0),IF(AND(Units!$L37=1,DF$1=Units!$Q37),1,Inputs!$B$15)*Inputs!$B$16*(1+Inputs!$B$11)^(DF$2-1),0)</f>
        <v>633.385040693808</v>
      </c>
      <c r="DG38" s="11" t="n">
        <f aca="false">IF(AND(DG$1&gt;=Units!$Q37,MOD(DG$1-Units!$Q37,12)=0),IF(AND(Units!$L37=1,DG$1=Units!$Q37),1,Inputs!$B$15)*Inputs!$B$16*(1+Inputs!$B$11)^(DG$2-1),0)</f>
        <v>0</v>
      </c>
      <c r="DH38" s="11" t="n">
        <f aca="false">IF(AND(DH$1&gt;=Units!$Q37,MOD(DH$1-Units!$Q37,12)=0),IF(AND(Units!$L37=1,DH$1=Units!$Q37),1,Inputs!$B$15)*Inputs!$B$16*(1+Inputs!$B$11)^(DH$2-1),0)</f>
        <v>0</v>
      </c>
      <c r="DI38" s="11" t="n">
        <f aca="false">IF(AND(DI$1&gt;=Units!$Q37,MOD(DI$1-Units!$Q37,12)=0),IF(AND(Units!$L37=1,DI$1=Units!$Q37),1,Inputs!$B$15)*Inputs!$B$16*(1+Inputs!$B$11)^(DI$2-1),0)</f>
        <v>0</v>
      </c>
      <c r="DJ38" s="11" t="n">
        <f aca="false">IF(AND(DJ$1&gt;=Units!$Q37,MOD(DJ$1-Units!$Q37,12)=0),IF(AND(Units!$L37=1,DJ$1=Units!$Q37),1,Inputs!$B$15)*Inputs!$B$16*(1+Inputs!$B$11)^(DJ$2-1),0)</f>
        <v>0</v>
      </c>
      <c r="DK38" s="11" t="n">
        <f aca="false">IF(AND(DK$1&gt;=Units!$Q37,MOD(DK$1-Units!$Q37,12)=0),IF(AND(Units!$L37=1,DK$1=Units!$Q37),1,Inputs!$B$15)*Inputs!$B$16*(1+Inputs!$B$11)^(DK$2-1),0)</f>
        <v>0</v>
      </c>
      <c r="DL38" s="11" t="n">
        <f aca="false">IF(AND(DL$1&gt;=Units!$Q37,MOD(DL$1-Units!$Q37,12)=0),IF(AND(Units!$L37=1,DL$1=Units!$Q37),1,Inputs!$B$15)*Inputs!$B$16*(1+Inputs!$B$11)^(DL$2-1),0)</f>
        <v>0</v>
      </c>
      <c r="DM38" s="11" t="n">
        <f aca="false">IF(AND(DM$1&gt;=Units!$Q37,MOD(DM$1-Units!$Q37,12)=0),IF(AND(Units!$L37=1,DM$1=Units!$Q37),1,Inputs!$B$15)*Inputs!$B$16*(1+Inputs!$B$11)^(DM$2-1),0)</f>
        <v>0</v>
      </c>
      <c r="DN38" s="11" t="n">
        <f aca="false">IF(AND(DN$1&gt;=Units!$Q37,MOD(DN$1-Units!$Q37,12)=0),IF(AND(Units!$L37=1,DN$1=Units!$Q37),1,Inputs!$B$15)*Inputs!$B$16*(1+Inputs!$B$11)^(DN$2-1),0)</f>
        <v>0</v>
      </c>
      <c r="DO38" s="11" t="n">
        <f aca="false">IF(AND(DO$1&gt;=Units!$Q37,MOD(DO$1-Units!$Q37,12)=0),IF(AND(Units!$L37=1,DO$1=Units!$Q37),1,Inputs!$B$15)*Inputs!$B$16*(1+Inputs!$B$11)^(DO$2-1),0)</f>
        <v>0</v>
      </c>
      <c r="DP38" s="11" t="n">
        <f aca="false">IF(AND(DP$1&gt;=Units!$Q37,MOD(DP$1-Units!$Q37,12)=0),IF(AND(Units!$L37=1,DP$1=Units!$Q37),1,Inputs!$B$15)*Inputs!$B$16*(1+Inputs!$B$11)^(DP$2-1),0)</f>
        <v>0</v>
      </c>
      <c r="DQ38" s="11" t="n">
        <f aca="false">IF(AND(DQ$1&gt;=Units!$Q37,MOD(DQ$1-Units!$Q37,12)=0),IF(AND(Units!$L37=1,DQ$1=Units!$Q37),1,Inputs!$B$15)*Inputs!$B$16*(1+Inputs!$B$11)^(DQ$2-1),0)</f>
        <v>0</v>
      </c>
      <c r="DR38" s="11" t="n">
        <f aca="false">IF(AND(DR$1&gt;=Units!$Q37,MOD(DR$1-Units!$Q37,12)=0),IF(AND(Units!$L37=1,DR$1=Units!$Q37),1,Inputs!$B$15)*Inputs!$B$16*(1+Inputs!$B$11)^(DR$2-1),0)</f>
        <v>652.386591914623</v>
      </c>
      <c r="DS38" s="11" t="n">
        <f aca="false">IF(AND(DS$1&gt;=Units!$Q37,MOD(DS$1-Units!$Q37,12)=0),IF(AND(Units!$L37=1,DS$1=Units!$Q37),1,Inputs!$B$15)*Inputs!$B$16*(1+Inputs!$B$11)^(DS$2-1),0)</f>
        <v>0</v>
      </c>
      <c r="DT38" s="11" t="n">
        <f aca="false">IF(AND(DT$1&gt;=Units!$Q37,MOD(DT$1-Units!$Q37,12)=0),IF(AND(Units!$L37=1,DT$1=Units!$Q37),1,Inputs!$B$15)*Inputs!$B$16*(1+Inputs!$B$11)^(DT$2-1),0)</f>
        <v>0</v>
      </c>
      <c r="DU38" s="11" t="n">
        <f aca="false">IF(AND(DU$1&gt;=Units!$Q37,MOD(DU$1-Units!$Q37,12)=0),IF(AND(Units!$L37=1,DU$1=Units!$Q37),1,Inputs!$B$15)*Inputs!$B$16*(1+Inputs!$B$11)^(DU$2-1),0)</f>
        <v>0</v>
      </c>
      <c r="DV38" s="11" t="n">
        <f aca="false">IF(AND(DV$1&gt;=Units!$Q37,MOD(DV$1-Units!$Q37,12)=0),IF(AND(Units!$L37=1,DV$1=Units!$Q37),1,Inputs!$B$15)*Inputs!$B$16*(1+Inputs!$B$11)^(DV$2-1),0)</f>
        <v>0</v>
      </c>
      <c r="DW38" s="11" t="n">
        <f aca="false">IF(AND(DW$1&gt;=Units!$Q37,MOD(DW$1-Units!$Q37,12)=0),IF(AND(Units!$L37=1,DW$1=Units!$Q37),1,Inputs!$B$15)*Inputs!$B$16*(1+Inputs!$B$11)^(DW$2-1),0)</f>
        <v>0</v>
      </c>
      <c r="DX38" s="11" t="n">
        <f aca="false">IF(AND(DX$1&gt;=Units!$Q37,MOD(DX$1-Units!$Q37,12)=0),IF(AND(Units!$L37=1,DX$1=Units!$Q37),1,Inputs!$B$15)*Inputs!$B$16*(1+Inputs!$B$11)^(DX$2-1),0)</f>
        <v>0</v>
      </c>
      <c r="DY38" s="11" t="n">
        <f aca="false">IF(AND(DY$1&gt;=Units!$Q37,MOD(DY$1-Units!$Q37,12)=0),IF(AND(Units!$L37=1,DY$1=Units!$Q37),1,Inputs!$B$15)*Inputs!$B$16*(1+Inputs!$B$11)^(DY$2-1),0)</f>
        <v>0</v>
      </c>
      <c r="DZ38" s="11" t="n">
        <f aca="false">IF(AND(DZ$1&gt;=Units!$Q37,MOD(DZ$1-Units!$Q37,12)=0),IF(AND(Units!$L37=1,DZ$1=Units!$Q37),1,Inputs!$B$15)*Inputs!$B$16*(1+Inputs!$B$11)^(DZ$2-1),0)</f>
        <v>0</v>
      </c>
      <c r="EA38" s="11" t="n">
        <f aca="false">IF(AND(EA$1&gt;=Units!$Q37,MOD(EA$1-Units!$Q37,12)=0),IF(AND(Units!$L37=1,EA$1=Units!$Q37),1,Inputs!$B$15)*Inputs!$B$16*(1+Inputs!$B$11)^(EA$2-1),0)</f>
        <v>0</v>
      </c>
      <c r="EB38" s="11" t="n">
        <f aca="false">IF(AND(EB$1&gt;=Units!$Q37,MOD(EB$1-Units!$Q37,12)=0),IF(AND(Units!$L37=1,EB$1=Units!$Q37),1,Inputs!$B$15)*Inputs!$B$16*(1+Inputs!$B$11)^(EB$2-1),0)</f>
        <v>0</v>
      </c>
      <c r="EC38" s="11" t="n">
        <f aca="false">IF(AND(EC$1&gt;=Units!$Q37,MOD(EC$1-Units!$Q37,12)=0),IF(AND(Units!$L37=1,EC$1=Units!$Q37),1,Inputs!$B$15)*Inputs!$B$16*(1+Inputs!$B$11)^(EC$2-1),0)</f>
        <v>0</v>
      </c>
      <c r="ED38" s="11" t="n">
        <f aca="false">IF(AND(ED$1&gt;=Units!$Q37,MOD(ED$1-Units!$Q37,12)=0),IF(AND(Units!$L37=1,ED$1=Units!$Q37),1,Inputs!$B$15)*Inputs!$B$16*(1+Inputs!$B$11)^(ED$2-1),0)</f>
        <v>671.958189672061</v>
      </c>
    </row>
    <row r="39" customFormat="false" ht="15" hidden="false" customHeight="false" outlineLevel="0" collapsed="false">
      <c r="A39" s="22" t="n">
        <f aca="false">Units!A38</f>
        <v>207</v>
      </c>
      <c r="B39" s="23"/>
      <c r="C39" s="11" t="n">
        <f aca="false">IF(AND(C$1&gt;=Units!$Q38,MOD(C$1-Units!$Q38,12)=0),IF(AND(Units!$L38=1,C$1=Units!$Q38),1,Inputs!$B$15)*Inputs!$B$16*(1+Inputs!$B$11)^(C$2-1),0)</f>
        <v>0</v>
      </c>
      <c r="D39" s="11" t="n">
        <f aca="false">IF(AND(D$1&gt;=Units!$Q38,MOD(D$1-Units!$Q38,12)=0),IF(AND(Units!$L38=1,D$1=Units!$Q38),1,Inputs!$B$15)*Inputs!$B$16*(1+Inputs!$B$11)^(D$2-1),0)</f>
        <v>0</v>
      </c>
      <c r="E39" s="11" t="n">
        <f aca="false">IF(AND(E$1&gt;=Units!$Q38,MOD(E$1-Units!$Q38,12)=0),IF(AND(Units!$L38=1,E$1=Units!$Q38),1,Inputs!$B$15)*Inputs!$B$16*(1+Inputs!$B$11)^(E$2-1),0)</f>
        <v>0</v>
      </c>
      <c r="F39" s="11" t="n">
        <f aca="false">IF(AND(F$1&gt;=Units!$Q38,MOD(F$1-Units!$Q38,12)=0),IF(AND(Units!$L38=1,F$1=Units!$Q38),1,Inputs!$B$15)*Inputs!$B$16*(1+Inputs!$B$11)^(F$2-1),0)</f>
        <v>500</v>
      </c>
      <c r="G39" s="11" t="n">
        <f aca="false">IF(AND(G$1&gt;=Units!$Q38,MOD(G$1-Units!$Q38,12)=0),IF(AND(Units!$L38=1,G$1=Units!$Q38),1,Inputs!$B$15)*Inputs!$B$16*(1+Inputs!$B$11)^(G$2-1),0)</f>
        <v>0</v>
      </c>
      <c r="H39" s="11" t="n">
        <f aca="false">IF(AND(H$1&gt;=Units!$Q38,MOD(H$1-Units!$Q38,12)=0),IF(AND(Units!$L38=1,H$1=Units!$Q38),1,Inputs!$B$15)*Inputs!$B$16*(1+Inputs!$B$11)^(H$2-1),0)</f>
        <v>0</v>
      </c>
      <c r="I39" s="11" t="n">
        <f aca="false">IF(AND(I$1&gt;=Units!$Q38,MOD(I$1-Units!$Q38,12)=0),IF(AND(Units!$L38=1,I$1=Units!$Q38),1,Inputs!$B$15)*Inputs!$B$16*(1+Inputs!$B$11)^(I$2-1),0)</f>
        <v>0</v>
      </c>
      <c r="J39" s="11" t="n">
        <f aca="false">IF(AND(J$1&gt;=Units!$Q38,MOD(J$1-Units!$Q38,12)=0),IF(AND(Units!$L38=1,J$1=Units!$Q38),1,Inputs!$B$15)*Inputs!$B$16*(1+Inputs!$B$11)^(J$2-1),0)</f>
        <v>0</v>
      </c>
      <c r="K39" s="11" t="n">
        <f aca="false">IF(AND(K$1&gt;=Units!$Q38,MOD(K$1-Units!$Q38,12)=0),IF(AND(Units!$L38=1,K$1=Units!$Q38),1,Inputs!$B$15)*Inputs!$B$16*(1+Inputs!$B$11)^(K$2-1),0)</f>
        <v>0</v>
      </c>
      <c r="L39" s="11" t="n">
        <f aca="false">IF(AND(L$1&gt;=Units!$Q38,MOD(L$1-Units!$Q38,12)=0),IF(AND(Units!$L38=1,L$1=Units!$Q38),1,Inputs!$B$15)*Inputs!$B$16*(1+Inputs!$B$11)^(L$2-1),0)</f>
        <v>0</v>
      </c>
      <c r="M39" s="11" t="n">
        <f aca="false">IF(AND(M$1&gt;=Units!$Q38,MOD(M$1-Units!$Q38,12)=0),IF(AND(Units!$L38=1,M$1=Units!$Q38),1,Inputs!$B$15)*Inputs!$B$16*(1+Inputs!$B$11)^(M$2-1),0)</f>
        <v>0</v>
      </c>
      <c r="N39" s="11" t="n">
        <f aca="false">IF(AND(N$1&gt;=Units!$Q38,MOD(N$1-Units!$Q38,12)=0),IF(AND(Units!$L38=1,N$1=Units!$Q38),1,Inputs!$B$15)*Inputs!$B$16*(1+Inputs!$B$11)^(N$2-1),0)</f>
        <v>0</v>
      </c>
      <c r="O39" s="11" t="n">
        <f aca="false">IF(AND(O$1&gt;=Units!$Q38,MOD(O$1-Units!$Q38,12)=0),IF(AND(Units!$L38=1,O$1=Units!$Q38),1,Inputs!$B$15)*Inputs!$B$16*(1+Inputs!$B$11)^(O$2-1),0)</f>
        <v>0</v>
      </c>
      <c r="P39" s="11" t="n">
        <f aca="false">IF(AND(P$1&gt;=Units!$Q38,MOD(P$1-Units!$Q38,12)=0),IF(AND(Units!$L38=1,P$1=Units!$Q38),1,Inputs!$B$15)*Inputs!$B$16*(1+Inputs!$B$11)^(P$2-1),0)</f>
        <v>0</v>
      </c>
      <c r="Q39" s="11" t="n">
        <f aca="false">IF(AND(Q$1&gt;=Units!$Q38,MOD(Q$1-Units!$Q38,12)=0),IF(AND(Units!$L38=1,Q$1=Units!$Q38),1,Inputs!$B$15)*Inputs!$B$16*(1+Inputs!$B$11)^(Q$2-1),0)</f>
        <v>0</v>
      </c>
      <c r="R39" s="11" t="n">
        <f aca="false">IF(AND(R$1&gt;=Units!$Q38,MOD(R$1-Units!$Q38,12)=0),IF(AND(Units!$L38=1,R$1=Units!$Q38),1,Inputs!$B$15)*Inputs!$B$16*(1+Inputs!$B$11)^(R$2-1),0)</f>
        <v>515</v>
      </c>
      <c r="S39" s="11" t="n">
        <f aca="false">IF(AND(S$1&gt;=Units!$Q38,MOD(S$1-Units!$Q38,12)=0),IF(AND(Units!$L38=1,S$1=Units!$Q38),1,Inputs!$B$15)*Inputs!$B$16*(1+Inputs!$B$11)^(S$2-1),0)</f>
        <v>0</v>
      </c>
      <c r="T39" s="11" t="n">
        <f aca="false">IF(AND(T$1&gt;=Units!$Q38,MOD(T$1-Units!$Q38,12)=0),IF(AND(Units!$L38=1,T$1=Units!$Q38),1,Inputs!$B$15)*Inputs!$B$16*(1+Inputs!$B$11)^(T$2-1),0)</f>
        <v>0</v>
      </c>
      <c r="U39" s="11" t="n">
        <f aca="false">IF(AND(U$1&gt;=Units!$Q38,MOD(U$1-Units!$Q38,12)=0),IF(AND(Units!$L38=1,U$1=Units!$Q38),1,Inputs!$B$15)*Inputs!$B$16*(1+Inputs!$B$11)^(U$2-1),0)</f>
        <v>0</v>
      </c>
      <c r="V39" s="11" t="n">
        <f aca="false">IF(AND(V$1&gt;=Units!$Q38,MOD(V$1-Units!$Q38,12)=0),IF(AND(Units!$L38=1,V$1=Units!$Q38),1,Inputs!$B$15)*Inputs!$B$16*(1+Inputs!$B$11)^(V$2-1),0)</f>
        <v>0</v>
      </c>
      <c r="W39" s="11" t="n">
        <f aca="false">IF(AND(W$1&gt;=Units!$Q38,MOD(W$1-Units!$Q38,12)=0),IF(AND(Units!$L38=1,W$1=Units!$Q38),1,Inputs!$B$15)*Inputs!$B$16*(1+Inputs!$B$11)^(W$2-1),0)</f>
        <v>0</v>
      </c>
      <c r="X39" s="11" t="n">
        <f aca="false">IF(AND(X$1&gt;=Units!$Q38,MOD(X$1-Units!$Q38,12)=0),IF(AND(Units!$L38=1,X$1=Units!$Q38),1,Inputs!$B$15)*Inputs!$B$16*(1+Inputs!$B$11)^(X$2-1),0)</f>
        <v>0</v>
      </c>
      <c r="Y39" s="11" t="n">
        <f aca="false">IF(AND(Y$1&gt;=Units!$Q38,MOD(Y$1-Units!$Q38,12)=0),IF(AND(Units!$L38=1,Y$1=Units!$Q38),1,Inputs!$B$15)*Inputs!$B$16*(1+Inputs!$B$11)^(Y$2-1),0)</f>
        <v>0</v>
      </c>
      <c r="Z39" s="11" t="n">
        <f aca="false">IF(AND(Z$1&gt;=Units!$Q38,MOD(Z$1-Units!$Q38,12)=0),IF(AND(Units!$L38=1,Z$1=Units!$Q38),1,Inputs!$B$15)*Inputs!$B$16*(1+Inputs!$B$11)^(Z$2-1),0)</f>
        <v>0</v>
      </c>
      <c r="AA39" s="11" t="n">
        <f aca="false">IF(AND(AA$1&gt;=Units!$Q38,MOD(AA$1-Units!$Q38,12)=0),IF(AND(Units!$L38=1,AA$1=Units!$Q38),1,Inputs!$B$15)*Inputs!$B$16*(1+Inputs!$B$11)^(AA$2-1),0)</f>
        <v>0</v>
      </c>
      <c r="AB39" s="11" t="n">
        <f aca="false">IF(AND(AB$1&gt;=Units!$Q38,MOD(AB$1-Units!$Q38,12)=0),IF(AND(Units!$L38=1,AB$1=Units!$Q38),1,Inputs!$B$15)*Inputs!$B$16*(1+Inputs!$B$11)^(AB$2-1),0)</f>
        <v>0</v>
      </c>
      <c r="AC39" s="11" t="n">
        <f aca="false">IF(AND(AC$1&gt;=Units!$Q38,MOD(AC$1-Units!$Q38,12)=0),IF(AND(Units!$L38=1,AC$1=Units!$Q38),1,Inputs!$B$15)*Inputs!$B$16*(1+Inputs!$B$11)^(AC$2-1),0)</f>
        <v>0</v>
      </c>
      <c r="AD39" s="11" t="n">
        <f aca="false">IF(AND(AD$1&gt;=Units!$Q38,MOD(AD$1-Units!$Q38,12)=0),IF(AND(Units!$L38=1,AD$1=Units!$Q38),1,Inputs!$B$15)*Inputs!$B$16*(1+Inputs!$B$11)^(AD$2-1),0)</f>
        <v>530.45</v>
      </c>
      <c r="AE39" s="11" t="n">
        <f aca="false">IF(AND(AE$1&gt;=Units!$Q38,MOD(AE$1-Units!$Q38,12)=0),IF(AND(Units!$L38=1,AE$1=Units!$Q38),1,Inputs!$B$15)*Inputs!$B$16*(1+Inputs!$B$11)^(AE$2-1),0)</f>
        <v>0</v>
      </c>
      <c r="AF39" s="11" t="n">
        <f aca="false">IF(AND(AF$1&gt;=Units!$Q38,MOD(AF$1-Units!$Q38,12)=0),IF(AND(Units!$L38=1,AF$1=Units!$Q38),1,Inputs!$B$15)*Inputs!$B$16*(1+Inputs!$B$11)^(AF$2-1),0)</f>
        <v>0</v>
      </c>
      <c r="AG39" s="11" t="n">
        <f aca="false">IF(AND(AG$1&gt;=Units!$Q38,MOD(AG$1-Units!$Q38,12)=0),IF(AND(Units!$L38=1,AG$1=Units!$Q38),1,Inputs!$B$15)*Inputs!$B$16*(1+Inputs!$B$11)^(AG$2-1),0)</f>
        <v>0</v>
      </c>
      <c r="AH39" s="11" t="n">
        <f aca="false">IF(AND(AH$1&gt;=Units!$Q38,MOD(AH$1-Units!$Q38,12)=0),IF(AND(Units!$L38=1,AH$1=Units!$Q38),1,Inputs!$B$15)*Inputs!$B$16*(1+Inputs!$B$11)^(AH$2-1),0)</f>
        <v>0</v>
      </c>
      <c r="AI39" s="11" t="n">
        <f aca="false">IF(AND(AI$1&gt;=Units!$Q38,MOD(AI$1-Units!$Q38,12)=0),IF(AND(Units!$L38=1,AI$1=Units!$Q38),1,Inputs!$B$15)*Inputs!$B$16*(1+Inputs!$B$11)^(AI$2-1),0)</f>
        <v>0</v>
      </c>
      <c r="AJ39" s="11" t="n">
        <f aca="false">IF(AND(AJ$1&gt;=Units!$Q38,MOD(AJ$1-Units!$Q38,12)=0),IF(AND(Units!$L38=1,AJ$1=Units!$Q38),1,Inputs!$B$15)*Inputs!$B$16*(1+Inputs!$B$11)^(AJ$2-1),0)</f>
        <v>0</v>
      </c>
      <c r="AK39" s="11" t="n">
        <f aca="false">IF(AND(AK$1&gt;=Units!$Q38,MOD(AK$1-Units!$Q38,12)=0),IF(AND(Units!$L38=1,AK$1=Units!$Q38),1,Inputs!$B$15)*Inputs!$B$16*(1+Inputs!$B$11)^(AK$2-1),0)</f>
        <v>0</v>
      </c>
      <c r="AL39" s="11" t="n">
        <f aca="false">IF(AND(AL$1&gt;=Units!$Q38,MOD(AL$1-Units!$Q38,12)=0),IF(AND(Units!$L38=1,AL$1=Units!$Q38),1,Inputs!$B$15)*Inputs!$B$16*(1+Inputs!$B$11)^(AL$2-1),0)</f>
        <v>0</v>
      </c>
      <c r="AM39" s="11" t="n">
        <f aca="false">IF(AND(AM$1&gt;=Units!$Q38,MOD(AM$1-Units!$Q38,12)=0),IF(AND(Units!$L38=1,AM$1=Units!$Q38),1,Inputs!$B$15)*Inputs!$B$16*(1+Inputs!$B$11)^(AM$2-1),0)</f>
        <v>0</v>
      </c>
      <c r="AN39" s="11" t="n">
        <f aca="false">IF(AND(AN$1&gt;=Units!$Q38,MOD(AN$1-Units!$Q38,12)=0),IF(AND(Units!$L38=1,AN$1=Units!$Q38),1,Inputs!$B$15)*Inputs!$B$16*(1+Inputs!$B$11)^(AN$2-1),0)</f>
        <v>0</v>
      </c>
      <c r="AO39" s="11" t="n">
        <f aca="false">IF(AND(AO$1&gt;=Units!$Q38,MOD(AO$1-Units!$Q38,12)=0),IF(AND(Units!$L38=1,AO$1=Units!$Q38),1,Inputs!$B$15)*Inputs!$B$16*(1+Inputs!$B$11)^(AO$2-1),0)</f>
        <v>0</v>
      </c>
      <c r="AP39" s="11" t="n">
        <f aca="false">IF(AND(AP$1&gt;=Units!$Q38,MOD(AP$1-Units!$Q38,12)=0),IF(AND(Units!$L38=1,AP$1=Units!$Q38),1,Inputs!$B$15)*Inputs!$B$16*(1+Inputs!$B$11)^(AP$2-1),0)</f>
        <v>546.3635</v>
      </c>
      <c r="AQ39" s="11" t="n">
        <f aca="false">IF(AND(AQ$1&gt;=Units!$Q38,MOD(AQ$1-Units!$Q38,12)=0),IF(AND(Units!$L38=1,AQ$1=Units!$Q38),1,Inputs!$B$15)*Inputs!$B$16*(1+Inputs!$B$11)^(AQ$2-1),0)</f>
        <v>0</v>
      </c>
      <c r="AR39" s="11" t="n">
        <f aca="false">IF(AND(AR$1&gt;=Units!$Q38,MOD(AR$1-Units!$Q38,12)=0),IF(AND(Units!$L38=1,AR$1=Units!$Q38),1,Inputs!$B$15)*Inputs!$B$16*(1+Inputs!$B$11)^(AR$2-1),0)</f>
        <v>0</v>
      </c>
      <c r="AS39" s="11" t="n">
        <f aca="false">IF(AND(AS$1&gt;=Units!$Q38,MOD(AS$1-Units!$Q38,12)=0),IF(AND(Units!$L38=1,AS$1=Units!$Q38),1,Inputs!$B$15)*Inputs!$B$16*(1+Inputs!$B$11)^(AS$2-1),0)</f>
        <v>0</v>
      </c>
      <c r="AT39" s="11" t="n">
        <f aca="false">IF(AND(AT$1&gt;=Units!$Q38,MOD(AT$1-Units!$Q38,12)=0),IF(AND(Units!$L38=1,AT$1=Units!$Q38),1,Inputs!$B$15)*Inputs!$B$16*(1+Inputs!$B$11)^(AT$2-1),0)</f>
        <v>0</v>
      </c>
      <c r="AU39" s="11" t="n">
        <f aca="false">IF(AND(AU$1&gt;=Units!$Q38,MOD(AU$1-Units!$Q38,12)=0),IF(AND(Units!$L38=1,AU$1=Units!$Q38),1,Inputs!$B$15)*Inputs!$B$16*(1+Inputs!$B$11)^(AU$2-1),0)</f>
        <v>0</v>
      </c>
      <c r="AV39" s="11" t="n">
        <f aca="false">IF(AND(AV$1&gt;=Units!$Q38,MOD(AV$1-Units!$Q38,12)=0),IF(AND(Units!$L38=1,AV$1=Units!$Q38),1,Inputs!$B$15)*Inputs!$B$16*(1+Inputs!$B$11)^(AV$2-1),0)</f>
        <v>0</v>
      </c>
      <c r="AW39" s="11" t="n">
        <f aca="false">IF(AND(AW$1&gt;=Units!$Q38,MOD(AW$1-Units!$Q38,12)=0),IF(AND(Units!$L38=1,AW$1=Units!$Q38),1,Inputs!$B$15)*Inputs!$B$16*(1+Inputs!$B$11)^(AW$2-1),0)</f>
        <v>0</v>
      </c>
      <c r="AX39" s="11" t="n">
        <f aca="false">IF(AND(AX$1&gt;=Units!$Q38,MOD(AX$1-Units!$Q38,12)=0),IF(AND(Units!$L38=1,AX$1=Units!$Q38),1,Inputs!$B$15)*Inputs!$B$16*(1+Inputs!$B$11)^(AX$2-1),0)</f>
        <v>0</v>
      </c>
      <c r="AY39" s="11" t="n">
        <f aca="false">IF(AND(AY$1&gt;=Units!$Q38,MOD(AY$1-Units!$Q38,12)=0),IF(AND(Units!$L38=1,AY$1=Units!$Q38),1,Inputs!$B$15)*Inputs!$B$16*(1+Inputs!$B$11)^(AY$2-1),0)</f>
        <v>0</v>
      </c>
      <c r="AZ39" s="11" t="n">
        <f aca="false">IF(AND(AZ$1&gt;=Units!$Q38,MOD(AZ$1-Units!$Q38,12)=0),IF(AND(Units!$L38=1,AZ$1=Units!$Q38),1,Inputs!$B$15)*Inputs!$B$16*(1+Inputs!$B$11)^(AZ$2-1),0)</f>
        <v>0</v>
      </c>
      <c r="BA39" s="11" t="n">
        <f aca="false">IF(AND(BA$1&gt;=Units!$Q38,MOD(BA$1-Units!$Q38,12)=0),IF(AND(Units!$L38=1,BA$1=Units!$Q38),1,Inputs!$B$15)*Inputs!$B$16*(1+Inputs!$B$11)^(BA$2-1),0)</f>
        <v>0</v>
      </c>
      <c r="BB39" s="11" t="n">
        <f aca="false">IF(AND(BB$1&gt;=Units!$Q38,MOD(BB$1-Units!$Q38,12)=0),IF(AND(Units!$L38=1,BB$1=Units!$Q38),1,Inputs!$B$15)*Inputs!$B$16*(1+Inputs!$B$11)^(BB$2-1),0)</f>
        <v>562.754405</v>
      </c>
      <c r="BC39" s="11" t="n">
        <f aca="false">IF(AND(BC$1&gt;=Units!$Q38,MOD(BC$1-Units!$Q38,12)=0),IF(AND(Units!$L38=1,BC$1=Units!$Q38),1,Inputs!$B$15)*Inputs!$B$16*(1+Inputs!$B$11)^(BC$2-1),0)</f>
        <v>0</v>
      </c>
      <c r="BD39" s="11" t="n">
        <f aca="false">IF(AND(BD$1&gt;=Units!$Q38,MOD(BD$1-Units!$Q38,12)=0),IF(AND(Units!$L38=1,BD$1=Units!$Q38),1,Inputs!$B$15)*Inputs!$B$16*(1+Inputs!$B$11)^(BD$2-1),0)</f>
        <v>0</v>
      </c>
      <c r="BE39" s="11" t="n">
        <f aca="false">IF(AND(BE$1&gt;=Units!$Q38,MOD(BE$1-Units!$Q38,12)=0),IF(AND(Units!$L38=1,BE$1=Units!$Q38),1,Inputs!$B$15)*Inputs!$B$16*(1+Inputs!$B$11)^(BE$2-1),0)</f>
        <v>0</v>
      </c>
      <c r="BF39" s="11" t="n">
        <f aca="false">IF(AND(BF$1&gt;=Units!$Q38,MOD(BF$1-Units!$Q38,12)=0),IF(AND(Units!$L38=1,BF$1=Units!$Q38),1,Inputs!$B$15)*Inputs!$B$16*(1+Inputs!$B$11)^(BF$2-1),0)</f>
        <v>0</v>
      </c>
      <c r="BG39" s="11" t="n">
        <f aca="false">IF(AND(BG$1&gt;=Units!$Q38,MOD(BG$1-Units!$Q38,12)=0),IF(AND(Units!$L38=1,BG$1=Units!$Q38),1,Inputs!$B$15)*Inputs!$B$16*(1+Inputs!$B$11)^(BG$2-1),0)</f>
        <v>0</v>
      </c>
      <c r="BH39" s="11" t="n">
        <f aca="false">IF(AND(BH$1&gt;=Units!$Q38,MOD(BH$1-Units!$Q38,12)=0),IF(AND(Units!$L38=1,BH$1=Units!$Q38),1,Inputs!$B$15)*Inputs!$B$16*(1+Inputs!$B$11)^(BH$2-1),0)</f>
        <v>0</v>
      </c>
      <c r="BI39" s="11" t="n">
        <f aca="false">IF(AND(BI$1&gt;=Units!$Q38,MOD(BI$1-Units!$Q38,12)=0),IF(AND(Units!$L38=1,BI$1=Units!$Q38),1,Inputs!$B$15)*Inputs!$B$16*(1+Inputs!$B$11)^(BI$2-1),0)</f>
        <v>0</v>
      </c>
      <c r="BJ39" s="11" t="n">
        <f aca="false">IF(AND(BJ$1&gt;=Units!$Q38,MOD(BJ$1-Units!$Q38,12)=0),IF(AND(Units!$L38=1,BJ$1=Units!$Q38),1,Inputs!$B$15)*Inputs!$B$16*(1+Inputs!$B$11)^(BJ$2-1),0)</f>
        <v>0</v>
      </c>
      <c r="BK39" s="11" t="n">
        <f aca="false">IF(AND(BK$1&gt;=Units!$Q38,MOD(BK$1-Units!$Q38,12)=0),IF(AND(Units!$L38=1,BK$1=Units!$Q38),1,Inputs!$B$15)*Inputs!$B$16*(1+Inputs!$B$11)^(BK$2-1),0)</f>
        <v>0</v>
      </c>
      <c r="BL39" s="11" t="n">
        <f aca="false">IF(AND(BL$1&gt;=Units!$Q38,MOD(BL$1-Units!$Q38,12)=0),IF(AND(Units!$L38=1,BL$1=Units!$Q38),1,Inputs!$B$15)*Inputs!$B$16*(1+Inputs!$B$11)^(BL$2-1),0)</f>
        <v>0</v>
      </c>
      <c r="BM39" s="11" t="n">
        <f aca="false">IF(AND(BM$1&gt;=Units!$Q38,MOD(BM$1-Units!$Q38,12)=0),IF(AND(Units!$L38=1,BM$1=Units!$Q38),1,Inputs!$B$15)*Inputs!$B$16*(1+Inputs!$B$11)^(BM$2-1),0)</f>
        <v>0</v>
      </c>
      <c r="BN39" s="11" t="n">
        <f aca="false">IF(AND(BN$1&gt;=Units!$Q38,MOD(BN$1-Units!$Q38,12)=0),IF(AND(Units!$L38=1,BN$1=Units!$Q38),1,Inputs!$B$15)*Inputs!$B$16*(1+Inputs!$B$11)^(BN$2-1),0)</f>
        <v>579.63703715</v>
      </c>
      <c r="BO39" s="11" t="n">
        <f aca="false">IF(AND(BO$1&gt;=Units!$Q38,MOD(BO$1-Units!$Q38,12)=0),IF(AND(Units!$L38=1,BO$1=Units!$Q38),1,Inputs!$B$15)*Inputs!$B$16*(1+Inputs!$B$11)^(BO$2-1),0)</f>
        <v>0</v>
      </c>
      <c r="BP39" s="11" t="n">
        <f aca="false">IF(AND(BP$1&gt;=Units!$Q38,MOD(BP$1-Units!$Q38,12)=0),IF(AND(Units!$L38=1,BP$1=Units!$Q38),1,Inputs!$B$15)*Inputs!$B$16*(1+Inputs!$B$11)^(BP$2-1),0)</f>
        <v>0</v>
      </c>
      <c r="BQ39" s="11" t="n">
        <f aca="false">IF(AND(BQ$1&gt;=Units!$Q38,MOD(BQ$1-Units!$Q38,12)=0),IF(AND(Units!$L38=1,BQ$1=Units!$Q38),1,Inputs!$B$15)*Inputs!$B$16*(1+Inputs!$B$11)^(BQ$2-1),0)</f>
        <v>0</v>
      </c>
      <c r="BR39" s="11" t="n">
        <f aca="false">IF(AND(BR$1&gt;=Units!$Q38,MOD(BR$1-Units!$Q38,12)=0),IF(AND(Units!$L38=1,BR$1=Units!$Q38),1,Inputs!$B$15)*Inputs!$B$16*(1+Inputs!$B$11)^(BR$2-1),0)</f>
        <v>0</v>
      </c>
      <c r="BS39" s="11" t="n">
        <f aca="false">IF(AND(BS$1&gt;=Units!$Q38,MOD(BS$1-Units!$Q38,12)=0),IF(AND(Units!$L38=1,BS$1=Units!$Q38),1,Inputs!$B$15)*Inputs!$B$16*(1+Inputs!$B$11)^(BS$2-1),0)</f>
        <v>0</v>
      </c>
      <c r="BT39" s="11" t="n">
        <f aca="false">IF(AND(BT$1&gt;=Units!$Q38,MOD(BT$1-Units!$Q38,12)=0),IF(AND(Units!$L38=1,BT$1=Units!$Q38),1,Inputs!$B$15)*Inputs!$B$16*(1+Inputs!$B$11)^(BT$2-1),0)</f>
        <v>0</v>
      </c>
      <c r="BU39" s="11" t="n">
        <f aca="false">IF(AND(BU$1&gt;=Units!$Q38,MOD(BU$1-Units!$Q38,12)=0),IF(AND(Units!$L38=1,BU$1=Units!$Q38),1,Inputs!$B$15)*Inputs!$B$16*(1+Inputs!$B$11)^(BU$2-1),0)</f>
        <v>0</v>
      </c>
      <c r="BV39" s="11" t="n">
        <f aca="false">IF(AND(BV$1&gt;=Units!$Q38,MOD(BV$1-Units!$Q38,12)=0),IF(AND(Units!$L38=1,BV$1=Units!$Q38),1,Inputs!$B$15)*Inputs!$B$16*(1+Inputs!$B$11)^(BV$2-1),0)</f>
        <v>0</v>
      </c>
      <c r="BW39" s="11" t="n">
        <f aca="false">IF(AND(BW$1&gt;=Units!$Q38,MOD(BW$1-Units!$Q38,12)=0),IF(AND(Units!$L38=1,BW$1=Units!$Q38),1,Inputs!$B$15)*Inputs!$B$16*(1+Inputs!$B$11)^(BW$2-1),0)</f>
        <v>0</v>
      </c>
      <c r="BX39" s="11" t="n">
        <f aca="false">IF(AND(BX$1&gt;=Units!$Q38,MOD(BX$1-Units!$Q38,12)=0),IF(AND(Units!$L38=1,BX$1=Units!$Q38),1,Inputs!$B$15)*Inputs!$B$16*(1+Inputs!$B$11)^(BX$2-1),0)</f>
        <v>0</v>
      </c>
      <c r="BY39" s="11" t="n">
        <f aca="false">IF(AND(BY$1&gt;=Units!$Q38,MOD(BY$1-Units!$Q38,12)=0),IF(AND(Units!$L38=1,BY$1=Units!$Q38),1,Inputs!$B$15)*Inputs!$B$16*(1+Inputs!$B$11)^(BY$2-1),0)</f>
        <v>0</v>
      </c>
      <c r="BZ39" s="11" t="n">
        <f aca="false">IF(AND(BZ$1&gt;=Units!$Q38,MOD(BZ$1-Units!$Q38,12)=0),IF(AND(Units!$L38=1,BZ$1=Units!$Q38),1,Inputs!$B$15)*Inputs!$B$16*(1+Inputs!$B$11)^(BZ$2-1),0)</f>
        <v>597.0261482645</v>
      </c>
      <c r="CA39" s="11" t="n">
        <f aca="false">IF(AND(CA$1&gt;=Units!$Q38,MOD(CA$1-Units!$Q38,12)=0),IF(AND(Units!$L38=1,CA$1=Units!$Q38),1,Inputs!$B$15)*Inputs!$B$16*(1+Inputs!$B$11)^(CA$2-1),0)</f>
        <v>0</v>
      </c>
      <c r="CB39" s="11" t="n">
        <f aca="false">IF(AND(CB$1&gt;=Units!$Q38,MOD(CB$1-Units!$Q38,12)=0),IF(AND(Units!$L38=1,CB$1=Units!$Q38),1,Inputs!$B$15)*Inputs!$B$16*(1+Inputs!$B$11)^(CB$2-1),0)</f>
        <v>0</v>
      </c>
      <c r="CC39" s="11" t="n">
        <f aca="false">IF(AND(CC$1&gt;=Units!$Q38,MOD(CC$1-Units!$Q38,12)=0),IF(AND(Units!$L38=1,CC$1=Units!$Q38),1,Inputs!$B$15)*Inputs!$B$16*(1+Inputs!$B$11)^(CC$2-1),0)</f>
        <v>0</v>
      </c>
      <c r="CD39" s="11" t="n">
        <f aca="false">IF(AND(CD$1&gt;=Units!$Q38,MOD(CD$1-Units!$Q38,12)=0),IF(AND(Units!$L38=1,CD$1=Units!$Q38),1,Inputs!$B$15)*Inputs!$B$16*(1+Inputs!$B$11)^(CD$2-1),0)</f>
        <v>0</v>
      </c>
      <c r="CE39" s="11" t="n">
        <f aca="false">IF(AND(CE$1&gt;=Units!$Q38,MOD(CE$1-Units!$Q38,12)=0),IF(AND(Units!$L38=1,CE$1=Units!$Q38),1,Inputs!$B$15)*Inputs!$B$16*(1+Inputs!$B$11)^(CE$2-1),0)</f>
        <v>0</v>
      </c>
      <c r="CF39" s="11" t="n">
        <f aca="false">IF(AND(CF$1&gt;=Units!$Q38,MOD(CF$1-Units!$Q38,12)=0),IF(AND(Units!$L38=1,CF$1=Units!$Q38),1,Inputs!$B$15)*Inputs!$B$16*(1+Inputs!$B$11)^(CF$2-1),0)</f>
        <v>0</v>
      </c>
      <c r="CG39" s="11" t="n">
        <f aca="false">IF(AND(CG$1&gt;=Units!$Q38,MOD(CG$1-Units!$Q38,12)=0),IF(AND(Units!$L38=1,CG$1=Units!$Q38),1,Inputs!$B$15)*Inputs!$B$16*(1+Inputs!$B$11)^(CG$2-1),0)</f>
        <v>0</v>
      </c>
      <c r="CH39" s="11" t="n">
        <f aca="false">IF(AND(CH$1&gt;=Units!$Q38,MOD(CH$1-Units!$Q38,12)=0),IF(AND(Units!$L38=1,CH$1=Units!$Q38),1,Inputs!$B$15)*Inputs!$B$16*(1+Inputs!$B$11)^(CH$2-1),0)</f>
        <v>0</v>
      </c>
      <c r="CI39" s="11" t="n">
        <f aca="false">IF(AND(CI$1&gt;=Units!$Q38,MOD(CI$1-Units!$Q38,12)=0),IF(AND(Units!$L38=1,CI$1=Units!$Q38),1,Inputs!$B$15)*Inputs!$B$16*(1+Inputs!$B$11)^(CI$2-1),0)</f>
        <v>0</v>
      </c>
      <c r="CJ39" s="11" t="n">
        <f aca="false">IF(AND(CJ$1&gt;=Units!$Q38,MOD(CJ$1-Units!$Q38,12)=0),IF(AND(Units!$L38=1,CJ$1=Units!$Q38),1,Inputs!$B$15)*Inputs!$B$16*(1+Inputs!$B$11)^(CJ$2-1),0)</f>
        <v>0</v>
      </c>
      <c r="CK39" s="11" t="n">
        <f aca="false">IF(AND(CK$1&gt;=Units!$Q38,MOD(CK$1-Units!$Q38,12)=0),IF(AND(Units!$L38=1,CK$1=Units!$Q38),1,Inputs!$B$15)*Inputs!$B$16*(1+Inputs!$B$11)^(CK$2-1),0)</f>
        <v>0</v>
      </c>
      <c r="CL39" s="11" t="n">
        <f aca="false">IF(AND(CL$1&gt;=Units!$Q38,MOD(CL$1-Units!$Q38,12)=0),IF(AND(Units!$L38=1,CL$1=Units!$Q38),1,Inputs!$B$15)*Inputs!$B$16*(1+Inputs!$B$11)^(CL$2-1),0)</f>
        <v>614.936932712435</v>
      </c>
      <c r="CM39" s="11" t="n">
        <f aca="false">IF(AND(CM$1&gt;=Units!$Q38,MOD(CM$1-Units!$Q38,12)=0),IF(AND(Units!$L38=1,CM$1=Units!$Q38),1,Inputs!$B$15)*Inputs!$B$16*(1+Inputs!$B$11)^(CM$2-1),0)</f>
        <v>0</v>
      </c>
      <c r="CN39" s="11" t="n">
        <f aca="false">IF(AND(CN$1&gt;=Units!$Q38,MOD(CN$1-Units!$Q38,12)=0),IF(AND(Units!$L38=1,CN$1=Units!$Q38),1,Inputs!$B$15)*Inputs!$B$16*(1+Inputs!$B$11)^(CN$2-1),0)</f>
        <v>0</v>
      </c>
      <c r="CO39" s="11" t="n">
        <f aca="false">IF(AND(CO$1&gt;=Units!$Q38,MOD(CO$1-Units!$Q38,12)=0),IF(AND(Units!$L38=1,CO$1=Units!$Q38),1,Inputs!$B$15)*Inputs!$B$16*(1+Inputs!$B$11)^(CO$2-1),0)</f>
        <v>0</v>
      </c>
      <c r="CP39" s="11" t="n">
        <f aca="false">IF(AND(CP$1&gt;=Units!$Q38,MOD(CP$1-Units!$Q38,12)=0),IF(AND(Units!$L38=1,CP$1=Units!$Q38),1,Inputs!$B$15)*Inputs!$B$16*(1+Inputs!$B$11)^(CP$2-1),0)</f>
        <v>0</v>
      </c>
      <c r="CQ39" s="11" t="n">
        <f aca="false">IF(AND(CQ$1&gt;=Units!$Q38,MOD(CQ$1-Units!$Q38,12)=0),IF(AND(Units!$L38=1,CQ$1=Units!$Q38),1,Inputs!$B$15)*Inputs!$B$16*(1+Inputs!$B$11)^(CQ$2-1),0)</f>
        <v>0</v>
      </c>
      <c r="CR39" s="11" t="n">
        <f aca="false">IF(AND(CR$1&gt;=Units!$Q38,MOD(CR$1-Units!$Q38,12)=0),IF(AND(Units!$L38=1,CR$1=Units!$Q38),1,Inputs!$B$15)*Inputs!$B$16*(1+Inputs!$B$11)^(CR$2-1),0)</f>
        <v>0</v>
      </c>
      <c r="CS39" s="11" t="n">
        <f aca="false">IF(AND(CS$1&gt;=Units!$Q38,MOD(CS$1-Units!$Q38,12)=0),IF(AND(Units!$L38=1,CS$1=Units!$Q38),1,Inputs!$B$15)*Inputs!$B$16*(1+Inputs!$B$11)^(CS$2-1),0)</f>
        <v>0</v>
      </c>
      <c r="CT39" s="11" t="n">
        <f aca="false">IF(AND(CT$1&gt;=Units!$Q38,MOD(CT$1-Units!$Q38,12)=0),IF(AND(Units!$L38=1,CT$1=Units!$Q38),1,Inputs!$B$15)*Inputs!$B$16*(1+Inputs!$B$11)^(CT$2-1),0)</f>
        <v>0</v>
      </c>
      <c r="CU39" s="11" t="n">
        <f aca="false">IF(AND(CU$1&gt;=Units!$Q38,MOD(CU$1-Units!$Q38,12)=0),IF(AND(Units!$L38=1,CU$1=Units!$Q38),1,Inputs!$B$15)*Inputs!$B$16*(1+Inputs!$B$11)^(CU$2-1),0)</f>
        <v>0</v>
      </c>
      <c r="CV39" s="11" t="n">
        <f aca="false">IF(AND(CV$1&gt;=Units!$Q38,MOD(CV$1-Units!$Q38,12)=0),IF(AND(Units!$L38=1,CV$1=Units!$Q38),1,Inputs!$B$15)*Inputs!$B$16*(1+Inputs!$B$11)^(CV$2-1),0)</f>
        <v>0</v>
      </c>
      <c r="CW39" s="11" t="n">
        <f aca="false">IF(AND(CW$1&gt;=Units!$Q38,MOD(CW$1-Units!$Q38,12)=0),IF(AND(Units!$L38=1,CW$1=Units!$Q38),1,Inputs!$B$15)*Inputs!$B$16*(1+Inputs!$B$11)^(CW$2-1),0)</f>
        <v>0</v>
      </c>
      <c r="CX39" s="11" t="n">
        <f aca="false">IF(AND(CX$1&gt;=Units!$Q38,MOD(CX$1-Units!$Q38,12)=0),IF(AND(Units!$L38=1,CX$1=Units!$Q38),1,Inputs!$B$15)*Inputs!$B$16*(1+Inputs!$B$11)^(CX$2-1),0)</f>
        <v>633.385040693808</v>
      </c>
      <c r="CY39" s="11" t="n">
        <f aca="false">IF(AND(CY$1&gt;=Units!$Q38,MOD(CY$1-Units!$Q38,12)=0),IF(AND(Units!$L38=1,CY$1=Units!$Q38),1,Inputs!$B$15)*Inputs!$B$16*(1+Inputs!$B$11)^(CY$2-1),0)</f>
        <v>0</v>
      </c>
      <c r="CZ39" s="11" t="n">
        <f aca="false">IF(AND(CZ$1&gt;=Units!$Q38,MOD(CZ$1-Units!$Q38,12)=0),IF(AND(Units!$L38=1,CZ$1=Units!$Q38),1,Inputs!$B$15)*Inputs!$B$16*(1+Inputs!$B$11)^(CZ$2-1),0)</f>
        <v>0</v>
      </c>
      <c r="DA39" s="11" t="n">
        <f aca="false">IF(AND(DA$1&gt;=Units!$Q38,MOD(DA$1-Units!$Q38,12)=0),IF(AND(Units!$L38=1,DA$1=Units!$Q38),1,Inputs!$B$15)*Inputs!$B$16*(1+Inputs!$B$11)^(DA$2-1),0)</f>
        <v>0</v>
      </c>
      <c r="DB39" s="11" t="n">
        <f aca="false">IF(AND(DB$1&gt;=Units!$Q38,MOD(DB$1-Units!$Q38,12)=0),IF(AND(Units!$L38=1,DB$1=Units!$Q38),1,Inputs!$B$15)*Inputs!$B$16*(1+Inputs!$B$11)^(DB$2-1),0)</f>
        <v>0</v>
      </c>
      <c r="DC39" s="11" t="n">
        <f aca="false">IF(AND(DC$1&gt;=Units!$Q38,MOD(DC$1-Units!$Q38,12)=0),IF(AND(Units!$L38=1,DC$1=Units!$Q38),1,Inputs!$B$15)*Inputs!$B$16*(1+Inputs!$B$11)^(DC$2-1),0)</f>
        <v>0</v>
      </c>
      <c r="DD39" s="11" t="n">
        <f aca="false">IF(AND(DD$1&gt;=Units!$Q38,MOD(DD$1-Units!$Q38,12)=0),IF(AND(Units!$L38=1,DD$1=Units!$Q38),1,Inputs!$B$15)*Inputs!$B$16*(1+Inputs!$B$11)^(DD$2-1),0)</f>
        <v>0</v>
      </c>
      <c r="DE39" s="11" t="n">
        <f aca="false">IF(AND(DE$1&gt;=Units!$Q38,MOD(DE$1-Units!$Q38,12)=0),IF(AND(Units!$L38=1,DE$1=Units!$Q38),1,Inputs!$B$15)*Inputs!$B$16*(1+Inputs!$B$11)^(DE$2-1),0)</f>
        <v>0</v>
      </c>
      <c r="DF39" s="11" t="n">
        <f aca="false">IF(AND(DF$1&gt;=Units!$Q38,MOD(DF$1-Units!$Q38,12)=0),IF(AND(Units!$L38=1,DF$1=Units!$Q38),1,Inputs!$B$15)*Inputs!$B$16*(1+Inputs!$B$11)^(DF$2-1),0)</f>
        <v>0</v>
      </c>
      <c r="DG39" s="11" t="n">
        <f aca="false">IF(AND(DG$1&gt;=Units!$Q38,MOD(DG$1-Units!$Q38,12)=0),IF(AND(Units!$L38=1,DG$1=Units!$Q38),1,Inputs!$B$15)*Inputs!$B$16*(1+Inputs!$B$11)^(DG$2-1),0)</f>
        <v>0</v>
      </c>
      <c r="DH39" s="11" t="n">
        <f aca="false">IF(AND(DH$1&gt;=Units!$Q38,MOD(DH$1-Units!$Q38,12)=0),IF(AND(Units!$L38=1,DH$1=Units!$Q38),1,Inputs!$B$15)*Inputs!$B$16*(1+Inputs!$B$11)^(DH$2-1),0)</f>
        <v>0</v>
      </c>
      <c r="DI39" s="11" t="n">
        <f aca="false">IF(AND(DI$1&gt;=Units!$Q38,MOD(DI$1-Units!$Q38,12)=0),IF(AND(Units!$L38=1,DI$1=Units!$Q38),1,Inputs!$B$15)*Inputs!$B$16*(1+Inputs!$B$11)^(DI$2-1),0)</f>
        <v>0</v>
      </c>
      <c r="DJ39" s="11" t="n">
        <f aca="false">IF(AND(DJ$1&gt;=Units!$Q38,MOD(DJ$1-Units!$Q38,12)=0),IF(AND(Units!$L38=1,DJ$1=Units!$Q38),1,Inputs!$B$15)*Inputs!$B$16*(1+Inputs!$B$11)^(DJ$2-1),0)</f>
        <v>652.386591914623</v>
      </c>
      <c r="DK39" s="11" t="n">
        <f aca="false">IF(AND(DK$1&gt;=Units!$Q38,MOD(DK$1-Units!$Q38,12)=0),IF(AND(Units!$L38=1,DK$1=Units!$Q38),1,Inputs!$B$15)*Inputs!$B$16*(1+Inputs!$B$11)^(DK$2-1),0)</f>
        <v>0</v>
      </c>
      <c r="DL39" s="11" t="n">
        <f aca="false">IF(AND(DL$1&gt;=Units!$Q38,MOD(DL$1-Units!$Q38,12)=0),IF(AND(Units!$L38=1,DL$1=Units!$Q38),1,Inputs!$B$15)*Inputs!$B$16*(1+Inputs!$B$11)^(DL$2-1),0)</f>
        <v>0</v>
      </c>
      <c r="DM39" s="11" t="n">
        <f aca="false">IF(AND(DM$1&gt;=Units!$Q38,MOD(DM$1-Units!$Q38,12)=0),IF(AND(Units!$L38=1,DM$1=Units!$Q38),1,Inputs!$B$15)*Inputs!$B$16*(1+Inputs!$B$11)^(DM$2-1),0)</f>
        <v>0</v>
      </c>
      <c r="DN39" s="11" t="n">
        <f aca="false">IF(AND(DN$1&gt;=Units!$Q38,MOD(DN$1-Units!$Q38,12)=0),IF(AND(Units!$L38=1,DN$1=Units!$Q38),1,Inputs!$B$15)*Inputs!$B$16*(1+Inputs!$B$11)^(DN$2-1),0)</f>
        <v>0</v>
      </c>
      <c r="DO39" s="11" t="n">
        <f aca="false">IF(AND(DO$1&gt;=Units!$Q38,MOD(DO$1-Units!$Q38,12)=0),IF(AND(Units!$L38=1,DO$1=Units!$Q38),1,Inputs!$B$15)*Inputs!$B$16*(1+Inputs!$B$11)^(DO$2-1),0)</f>
        <v>0</v>
      </c>
      <c r="DP39" s="11" t="n">
        <f aca="false">IF(AND(DP$1&gt;=Units!$Q38,MOD(DP$1-Units!$Q38,12)=0),IF(AND(Units!$L38=1,DP$1=Units!$Q38),1,Inputs!$B$15)*Inputs!$B$16*(1+Inputs!$B$11)^(DP$2-1),0)</f>
        <v>0</v>
      </c>
      <c r="DQ39" s="11" t="n">
        <f aca="false">IF(AND(DQ$1&gt;=Units!$Q38,MOD(DQ$1-Units!$Q38,12)=0),IF(AND(Units!$L38=1,DQ$1=Units!$Q38),1,Inputs!$B$15)*Inputs!$B$16*(1+Inputs!$B$11)^(DQ$2-1),0)</f>
        <v>0</v>
      </c>
      <c r="DR39" s="11" t="n">
        <f aca="false">IF(AND(DR$1&gt;=Units!$Q38,MOD(DR$1-Units!$Q38,12)=0),IF(AND(Units!$L38=1,DR$1=Units!$Q38),1,Inputs!$B$15)*Inputs!$B$16*(1+Inputs!$B$11)^(DR$2-1),0)</f>
        <v>0</v>
      </c>
      <c r="DS39" s="11" t="n">
        <f aca="false">IF(AND(DS$1&gt;=Units!$Q38,MOD(DS$1-Units!$Q38,12)=0),IF(AND(Units!$L38=1,DS$1=Units!$Q38),1,Inputs!$B$15)*Inputs!$B$16*(1+Inputs!$B$11)^(DS$2-1),0)</f>
        <v>0</v>
      </c>
      <c r="DT39" s="11" t="n">
        <f aca="false">IF(AND(DT$1&gt;=Units!$Q38,MOD(DT$1-Units!$Q38,12)=0),IF(AND(Units!$L38=1,DT$1=Units!$Q38),1,Inputs!$B$15)*Inputs!$B$16*(1+Inputs!$B$11)^(DT$2-1),0)</f>
        <v>0</v>
      </c>
      <c r="DU39" s="11" t="n">
        <f aca="false">IF(AND(DU$1&gt;=Units!$Q38,MOD(DU$1-Units!$Q38,12)=0),IF(AND(Units!$L38=1,DU$1=Units!$Q38),1,Inputs!$B$15)*Inputs!$B$16*(1+Inputs!$B$11)^(DU$2-1),0)</f>
        <v>0</v>
      </c>
      <c r="DV39" s="11" t="n">
        <f aca="false">IF(AND(DV$1&gt;=Units!$Q38,MOD(DV$1-Units!$Q38,12)=0),IF(AND(Units!$L38=1,DV$1=Units!$Q38),1,Inputs!$B$15)*Inputs!$B$16*(1+Inputs!$B$11)^(DV$2-1),0)</f>
        <v>671.958189672061</v>
      </c>
      <c r="DW39" s="11" t="n">
        <f aca="false">IF(AND(DW$1&gt;=Units!$Q38,MOD(DW$1-Units!$Q38,12)=0),IF(AND(Units!$L38=1,DW$1=Units!$Q38),1,Inputs!$B$15)*Inputs!$B$16*(1+Inputs!$B$11)^(DW$2-1),0)</f>
        <v>0</v>
      </c>
      <c r="DX39" s="11" t="n">
        <f aca="false">IF(AND(DX$1&gt;=Units!$Q38,MOD(DX$1-Units!$Q38,12)=0),IF(AND(Units!$L38=1,DX$1=Units!$Q38),1,Inputs!$B$15)*Inputs!$B$16*(1+Inputs!$B$11)^(DX$2-1),0)</f>
        <v>0</v>
      </c>
      <c r="DY39" s="11" t="n">
        <f aca="false">IF(AND(DY$1&gt;=Units!$Q38,MOD(DY$1-Units!$Q38,12)=0),IF(AND(Units!$L38=1,DY$1=Units!$Q38),1,Inputs!$B$15)*Inputs!$B$16*(1+Inputs!$B$11)^(DY$2-1),0)</f>
        <v>0</v>
      </c>
      <c r="DZ39" s="11" t="n">
        <f aca="false">IF(AND(DZ$1&gt;=Units!$Q38,MOD(DZ$1-Units!$Q38,12)=0),IF(AND(Units!$L38=1,DZ$1=Units!$Q38),1,Inputs!$B$15)*Inputs!$B$16*(1+Inputs!$B$11)^(DZ$2-1),0)</f>
        <v>0</v>
      </c>
      <c r="EA39" s="11" t="n">
        <f aca="false">IF(AND(EA$1&gt;=Units!$Q38,MOD(EA$1-Units!$Q38,12)=0),IF(AND(Units!$L38=1,EA$1=Units!$Q38),1,Inputs!$B$15)*Inputs!$B$16*(1+Inputs!$B$11)^(EA$2-1),0)</f>
        <v>0</v>
      </c>
      <c r="EB39" s="11" t="n">
        <f aca="false">IF(AND(EB$1&gt;=Units!$Q38,MOD(EB$1-Units!$Q38,12)=0),IF(AND(Units!$L38=1,EB$1=Units!$Q38),1,Inputs!$B$15)*Inputs!$B$16*(1+Inputs!$B$11)^(EB$2-1),0)</f>
        <v>0</v>
      </c>
      <c r="EC39" s="11" t="n">
        <f aca="false">IF(AND(EC$1&gt;=Units!$Q38,MOD(EC$1-Units!$Q38,12)=0),IF(AND(Units!$L38=1,EC$1=Units!$Q38),1,Inputs!$B$15)*Inputs!$B$16*(1+Inputs!$B$11)^(EC$2-1),0)</f>
        <v>0</v>
      </c>
      <c r="ED39" s="11" t="n">
        <f aca="false">IF(AND(ED$1&gt;=Units!$Q38,MOD(ED$1-Units!$Q38,12)=0),IF(AND(Units!$L38=1,ED$1=Units!$Q38),1,Inputs!$B$15)*Inputs!$B$16*(1+Inputs!$B$11)^(ED$2-1),0)</f>
        <v>0</v>
      </c>
    </row>
    <row r="40" customFormat="false" ht="15" hidden="false" customHeight="false" outlineLevel="0" collapsed="false">
      <c r="A40" s="22" t="n">
        <f aca="false">Units!A39</f>
        <v>208</v>
      </c>
      <c r="B40" s="23"/>
      <c r="C40" s="11" t="n">
        <f aca="false">IF(AND(C$1&gt;=Units!$Q39,MOD(C$1-Units!$Q39,12)=0),IF(AND(Units!$L39=1,C$1=Units!$Q39),1,Inputs!$B$15)*Inputs!$B$16*(1+Inputs!$B$11)^(C$2-1),0)</f>
        <v>0</v>
      </c>
      <c r="D40" s="11" t="n">
        <f aca="false">IF(AND(D$1&gt;=Units!$Q39,MOD(D$1-Units!$Q39,12)=0),IF(AND(Units!$L39=1,D$1=Units!$Q39),1,Inputs!$B$15)*Inputs!$B$16*(1+Inputs!$B$11)^(D$2-1),0)</f>
        <v>0</v>
      </c>
      <c r="E40" s="11" t="n">
        <f aca="false">IF(AND(E$1&gt;=Units!$Q39,MOD(E$1-Units!$Q39,12)=0),IF(AND(Units!$L39=1,E$1=Units!$Q39),1,Inputs!$B$15)*Inputs!$B$16*(1+Inputs!$B$11)^(E$2-1),0)</f>
        <v>500</v>
      </c>
      <c r="F40" s="11" t="n">
        <f aca="false">IF(AND(F$1&gt;=Units!$Q39,MOD(F$1-Units!$Q39,12)=0),IF(AND(Units!$L39=1,F$1=Units!$Q39),1,Inputs!$B$15)*Inputs!$B$16*(1+Inputs!$B$11)^(F$2-1),0)</f>
        <v>0</v>
      </c>
      <c r="G40" s="11" t="n">
        <f aca="false">IF(AND(G$1&gt;=Units!$Q39,MOD(G$1-Units!$Q39,12)=0),IF(AND(Units!$L39=1,G$1=Units!$Q39),1,Inputs!$B$15)*Inputs!$B$16*(1+Inputs!$B$11)^(G$2-1),0)</f>
        <v>0</v>
      </c>
      <c r="H40" s="11" t="n">
        <f aca="false">IF(AND(H$1&gt;=Units!$Q39,MOD(H$1-Units!$Q39,12)=0),IF(AND(Units!$L39=1,H$1=Units!$Q39),1,Inputs!$B$15)*Inputs!$B$16*(1+Inputs!$B$11)^(H$2-1),0)</f>
        <v>0</v>
      </c>
      <c r="I40" s="11" t="n">
        <f aca="false">IF(AND(I$1&gt;=Units!$Q39,MOD(I$1-Units!$Q39,12)=0),IF(AND(Units!$L39=1,I$1=Units!$Q39),1,Inputs!$B$15)*Inputs!$B$16*(1+Inputs!$B$11)^(I$2-1),0)</f>
        <v>0</v>
      </c>
      <c r="J40" s="11" t="n">
        <f aca="false">IF(AND(J$1&gt;=Units!$Q39,MOD(J$1-Units!$Q39,12)=0),IF(AND(Units!$L39=1,J$1=Units!$Q39),1,Inputs!$B$15)*Inputs!$B$16*(1+Inputs!$B$11)^(J$2-1),0)</f>
        <v>0</v>
      </c>
      <c r="K40" s="11" t="n">
        <f aca="false">IF(AND(K$1&gt;=Units!$Q39,MOD(K$1-Units!$Q39,12)=0),IF(AND(Units!$L39=1,K$1=Units!$Q39),1,Inputs!$B$15)*Inputs!$B$16*(1+Inputs!$B$11)^(K$2-1),0)</f>
        <v>0</v>
      </c>
      <c r="L40" s="11" t="n">
        <f aca="false">IF(AND(L$1&gt;=Units!$Q39,MOD(L$1-Units!$Q39,12)=0),IF(AND(Units!$L39=1,L$1=Units!$Q39),1,Inputs!$B$15)*Inputs!$B$16*(1+Inputs!$B$11)^(L$2-1),0)</f>
        <v>0</v>
      </c>
      <c r="M40" s="11" t="n">
        <f aca="false">IF(AND(M$1&gt;=Units!$Q39,MOD(M$1-Units!$Q39,12)=0),IF(AND(Units!$L39=1,M$1=Units!$Q39),1,Inputs!$B$15)*Inputs!$B$16*(1+Inputs!$B$11)^(M$2-1),0)</f>
        <v>0</v>
      </c>
      <c r="N40" s="11" t="n">
        <f aca="false">IF(AND(N$1&gt;=Units!$Q39,MOD(N$1-Units!$Q39,12)=0),IF(AND(Units!$L39=1,N$1=Units!$Q39),1,Inputs!$B$15)*Inputs!$B$16*(1+Inputs!$B$11)^(N$2-1),0)</f>
        <v>0</v>
      </c>
      <c r="O40" s="11" t="n">
        <f aca="false">IF(AND(O$1&gt;=Units!$Q39,MOD(O$1-Units!$Q39,12)=0),IF(AND(Units!$L39=1,O$1=Units!$Q39),1,Inputs!$B$15)*Inputs!$B$16*(1+Inputs!$B$11)^(O$2-1),0)</f>
        <v>0</v>
      </c>
      <c r="P40" s="11" t="n">
        <f aca="false">IF(AND(P$1&gt;=Units!$Q39,MOD(P$1-Units!$Q39,12)=0),IF(AND(Units!$L39=1,P$1=Units!$Q39),1,Inputs!$B$15)*Inputs!$B$16*(1+Inputs!$B$11)^(P$2-1),0)</f>
        <v>0</v>
      </c>
      <c r="Q40" s="11" t="n">
        <f aca="false">IF(AND(Q$1&gt;=Units!$Q39,MOD(Q$1-Units!$Q39,12)=0),IF(AND(Units!$L39=1,Q$1=Units!$Q39),1,Inputs!$B$15)*Inputs!$B$16*(1+Inputs!$B$11)^(Q$2-1),0)</f>
        <v>515</v>
      </c>
      <c r="R40" s="11" t="n">
        <f aca="false">IF(AND(R$1&gt;=Units!$Q39,MOD(R$1-Units!$Q39,12)=0),IF(AND(Units!$L39=1,R$1=Units!$Q39),1,Inputs!$B$15)*Inputs!$B$16*(1+Inputs!$B$11)^(R$2-1),0)</f>
        <v>0</v>
      </c>
      <c r="S40" s="11" t="n">
        <f aca="false">IF(AND(S$1&gt;=Units!$Q39,MOD(S$1-Units!$Q39,12)=0),IF(AND(Units!$L39=1,S$1=Units!$Q39),1,Inputs!$B$15)*Inputs!$B$16*(1+Inputs!$B$11)^(S$2-1),0)</f>
        <v>0</v>
      </c>
      <c r="T40" s="11" t="n">
        <f aca="false">IF(AND(T$1&gt;=Units!$Q39,MOD(T$1-Units!$Q39,12)=0),IF(AND(Units!$L39=1,T$1=Units!$Q39),1,Inputs!$B$15)*Inputs!$B$16*(1+Inputs!$B$11)^(T$2-1),0)</f>
        <v>0</v>
      </c>
      <c r="U40" s="11" t="n">
        <f aca="false">IF(AND(U$1&gt;=Units!$Q39,MOD(U$1-Units!$Q39,12)=0),IF(AND(Units!$L39=1,U$1=Units!$Q39),1,Inputs!$B$15)*Inputs!$B$16*(1+Inputs!$B$11)^(U$2-1),0)</f>
        <v>0</v>
      </c>
      <c r="V40" s="11" t="n">
        <f aca="false">IF(AND(V$1&gt;=Units!$Q39,MOD(V$1-Units!$Q39,12)=0),IF(AND(Units!$L39=1,V$1=Units!$Q39),1,Inputs!$B$15)*Inputs!$B$16*(1+Inputs!$B$11)^(V$2-1),0)</f>
        <v>0</v>
      </c>
      <c r="W40" s="11" t="n">
        <f aca="false">IF(AND(W$1&gt;=Units!$Q39,MOD(W$1-Units!$Q39,12)=0),IF(AND(Units!$L39=1,W$1=Units!$Q39),1,Inputs!$B$15)*Inputs!$B$16*(1+Inputs!$B$11)^(W$2-1),0)</f>
        <v>0</v>
      </c>
      <c r="X40" s="11" t="n">
        <f aca="false">IF(AND(X$1&gt;=Units!$Q39,MOD(X$1-Units!$Q39,12)=0),IF(AND(Units!$L39=1,X$1=Units!$Q39),1,Inputs!$B$15)*Inputs!$B$16*(1+Inputs!$B$11)^(X$2-1),0)</f>
        <v>0</v>
      </c>
      <c r="Y40" s="11" t="n">
        <f aca="false">IF(AND(Y$1&gt;=Units!$Q39,MOD(Y$1-Units!$Q39,12)=0),IF(AND(Units!$L39=1,Y$1=Units!$Q39),1,Inputs!$B$15)*Inputs!$B$16*(1+Inputs!$B$11)^(Y$2-1),0)</f>
        <v>0</v>
      </c>
      <c r="Z40" s="11" t="n">
        <f aca="false">IF(AND(Z$1&gt;=Units!$Q39,MOD(Z$1-Units!$Q39,12)=0),IF(AND(Units!$L39=1,Z$1=Units!$Q39),1,Inputs!$B$15)*Inputs!$B$16*(1+Inputs!$B$11)^(Z$2-1),0)</f>
        <v>0</v>
      </c>
      <c r="AA40" s="11" t="n">
        <f aca="false">IF(AND(AA$1&gt;=Units!$Q39,MOD(AA$1-Units!$Q39,12)=0),IF(AND(Units!$L39=1,AA$1=Units!$Q39),1,Inputs!$B$15)*Inputs!$B$16*(1+Inputs!$B$11)^(AA$2-1),0)</f>
        <v>0</v>
      </c>
      <c r="AB40" s="11" t="n">
        <f aca="false">IF(AND(AB$1&gt;=Units!$Q39,MOD(AB$1-Units!$Q39,12)=0),IF(AND(Units!$L39=1,AB$1=Units!$Q39),1,Inputs!$B$15)*Inputs!$B$16*(1+Inputs!$B$11)^(AB$2-1),0)</f>
        <v>0</v>
      </c>
      <c r="AC40" s="11" t="n">
        <f aca="false">IF(AND(AC$1&gt;=Units!$Q39,MOD(AC$1-Units!$Q39,12)=0),IF(AND(Units!$L39=1,AC$1=Units!$Q39),1,Inputs!$B$15)*Inputs!$B$16*(1+Inputs!$B$11)^(AC$2-1),0)</f>
        <v>530.45</v>
      </c>
      <c r="AD40" s="11" t="n">
        <f aca="false">IF(AND(AD$1&gt;=Units!$Q39,MOD(AD$1-Units!$Q39,12)=0),IF(AND(Units!$L39=1,AD$1=Units!$Q39),1,Inputs!$B$15)*Inputs!$B$16*(1+Inputs!$B$11)^(AD$2-1),0)</f>
        <v>0</v>
      </c>
      <c r="AE40" s="11" t="n">
        <f aca="false">IF(AND(AE$1&gt;=Units!$Q39,MOD(AE$1-Units!$Q39,12)=0),IF(AND(Units!$L39=1,AE$1=Units!$Q39),1,Inputs!$B$15)*Inputs!$B$16*(1+Inputs!$B$11)^(AE$2-1),0)</f>
        <v>0</v>
      </c>
      <c r="AF40" s="11" t="n">
        <f aca="false">IF(AND(AF$1&gt;=Units!$Q39,MOD(AF$1-Units!$Q39,12)=0),IF(AND(Units!$L39=1,AF$1=Units!$Q39),1,Inputs!$B$15)*Inputs!$B$16*(1+Inputs!$B$11)^(AF$2-1),0)</f>
        <v>0</v>
      </c>
      <c r="AG40" s="11" t="n">
        <f aca="false">IF(AND(AG$1&gt;=Units!$Q39,MOD(AG$1-Units!$Q39,12)=0),IF(AND(Units!$L39=1,AG$1=Units!$Q39),1,Inputs!$B$15)*Inputs!$B$16*(1+Inputs!$B$11)^(AG$2-1),0)</f>
        <v>0</v>
      </c>
      <c r="AH40" s="11" t="n">
        <f aca="false">IF(AND(AH$1&gt;=Units!$Q39,MOD(AH$1-Units!$Q39,12)=0),IF(AND(Units!$L39=1,AH$1=Units!$Q39),1,Inputs!$B$15)*Inputs!$B$16*(1+Inputs!$B$11)^(AH$2-1),0)</f>
        <v>0</v>
      </c>
      <c r="AI40" s="11" t="n">
        <f aca="false">IF(AND(AI$1&gt;=Units!$Q39,MOD(AI$1-Units!$Q39,12)=0),IF(AND(Units!$L39=1,AI$1=Units!$Q39),1,Inputs!$B$15)*Inputs!$B$16*(1+Inputs!$B$11)^(AI$2-1),0)</f>
        <v>0</v>
      </c>
      <c r="AJ40" s="11" t="n">
        <f aca="false">IF(AND(AJ$1&gt;=Units!$Q39,MOD(AJ$1-Units!$Q39,12)=0),IF(AND(Units!$L39=1,AJ$1=Units!$Q39),1,Inputs!$B$15)*Inputs!$B$16*(1+Inputs!$B$11)^(AJ$2-1),0)</f>
        <v>0</v>
      </c>
      <c r="AK40" s="11" t="n">
        <f aca="false">IF(AND(AK$1&gt;=Units!$Q39,MOD(AK$1-Units!$Q39,12)=0),IF(AND(Units!$L39=1,AK$1=Units!$Q39),1,Inputs!$B$15)*Inputs!$B$16*(1+Inputs!$B$11)^(AK$2-1),0)</f>
        <v>0</v>
      </c>
      <c r="AL40" s="11" t="n">
        <f aca="false">IF(AND(AL$1&gt;=Units!$Q39,MOD(AL$1-Units!$Q39,12)=0),IF(AND(Units!$L39=1,AL$1=Units!$Q39),1,Inputs!$B$15)*Inputs!$B$16*(1+Inputs!$B$11)^(AL$2-1),0)</f>
        <v>0</v>
      </c>
      <c r="AM40" s="11" t="n">
        <f aca="false">IF(AND(AM$1&gt;=Units!$Q39,MOD(AM$1-Units!$Q39,12)=0),IF(AND(Units!$L39=1,AM$1=Units!$Q39),1,Inputs!$B$15)*Inputs!$B$16*(1+Inputs!$B$11)^(AM$2-1),0)</f>
        <v>0</v>
      </c>
      <c r="AN40" s="11" t="n">
        <f aca="false">IF(AND(AN$1&gt;=Units!$Q39,MOD(AN$1-Units!$Q39,12)=0),IF(AND(Units!$L39=1,AN$1=Units!$Q39),1,Inputs!$B$15)*Inputs!$B$16*(1+Inputs!$B$11)^(AN$2-1),0)</f>
        <v>0</v>
      </c>
      <c r="AO40" s="11" t="n">
        <f aca="false">IF(AND(AO$1&gt;=Units!$Q39,MOD(AO$1-Units!$Q39,12)=0),IF(AND(Units!$L39=1,AO$1=Units!$Q39),1,Inputs!$B$15)*Inputs!$B$16*(1+Inputs!$B$11)^(AO$2-1),0)</f>
        <v>546.3635</v>
      </c>
      <c r="AP40" s="11" t="n">
        <f aca="false">IF(AND(AP$1&gt;=Units!$Q39,MOD(AP$1-Units!$Q39,12)=0),IF(AND(Units!$L39=1,AP$1=Units!$Q39),1,Inputs!$B$15)*Inputs!$B$16*(1+Inputs!$B$11)^(AP$2-1),0)</f>
        <v>0</v>
      </c>
      <c r="AQ40" s="11" t="n">
        <f aca="false">IF(AND(AQ$1&gt;=Units!$Q39,MOD(AQ$1-Units!$Q39,12)=0),IF(AND(Units!$L39=1,AQ$1=Units!$Q39),1,Inputs!$B$15)*Inputs!$B$16*(1+Inputs!$B$11)^(AQ$2-1),0)</f>
        <v>0</v>
      </c>
      <c r="AR40" s="11" t="n">
        <f aca="false">IF(AND(AR$1&gt;=Units!$Q39,MOD(AR$1-Units!$Q39,12)=0),IF(AND(Units!$L39=1,AR$1=Units!$Q39),1,Inputs!$B$15)*Inputs!$B$16*(1+Inputs!$B$11)^(AR$2-1),0)</f>
        <v>0</v>
      </c>
      <c r="AS40" s="11" t="n">
        <f aca="false">IF(AND(AS$1&gt;=Units!$Q39,MOD(AS$1-Units!$Q39,12)=0),IF(AND(Units!$L39=1,AS$1=Units!$Q39),1,Inputs!$B$15)*Inputs!$B$16*(1+Inputs!$B$11)^(AS$2-1),0)</f>
        <v>0</v>
      </c>
      <c r="AT40" s="11" t="n">
        <f aca="false">IF(AND(AT$1&gt;=Units!$Q39,MOD(AT$1-Units!$Q39,12)=0),IF(AND(Units!$L39=1,AT$1=Units!$Q39),1,Inputs!$B$15)*Inputs!$B$16*(1+Inputs!$B$11)^(AT$2-1),0)</f>
        <v>0</v>
      </c>
      <c r="AU40" s="11" t="n">
        <f aca="false">IF(AND(AU$1&gt;=Units!$Q39,MOD(AU$1-Units!$Q39,12)=0),IF(AND(Units!$L39=1,AU$1=Units!$Q39),1,Inputs!$B$15)*Inputs!$B$16*(1+Inputs!$B$11)^(AU$2-1),0)</f>
        <v>0</v>
      </c>
      <c r="AV40" s="11" t="n">
        <f aca="false">IF(AND(AV$1&gt;=Units!$Q39,MOD(AV$1-Units!$Q39,12)=0),IF(AND(Units!$L39=1,AV$1=Units!$Q39),1,Inputs!$B$15)*Inputs!$B$16*(1+Inputs!$B$11)^(AV$2-1),0)</f>
        <v>0</v>
      </c>
      <c r="AW40" s="11" t="n">
        <f aca="false">IF(AND(AW$1&gt;=Units!$Q39,MOD(AW$1-Units!$Q39,12)=0),IF(AND(Units!$L39=1,AW$1=Units!$Q39),1,Inputs!$B$15)*Inputs!$B$16*(1+Inputs!$B$11)^(AW$2-1),0)</f>
        <v>0</v>
      </c>
      <c r="AX40" s="11" t="n">
        <f aca="false">IF(AND(AX$1&gt;=Units!$Q39,MOD(AX$1-Units!$Q39,12)=0),IF(AND(Units!$L39=1,AX$1=Units!$Q39),1,Inputs!$B$15)*Inputs!$B$16*(1+Inputs!$B$11)^(AX$2-1),0)</f>
        <v>0</v>
      </c>
      <c r="AY40" s="11" t="n">
        <f aca="false">IF(AND(AY$1&gt;=Units!$Q39,MOD(AY$1-Units!$Q39,12)=0),IF(AND(Units!$L39=1,AY$1=Units!$Q39),1,Inputs!$B$15)*Inputs!$B$16*(1+Inputs!$B$11)^(AY$2-1),0)</f>
        <v>0</v>
      </c>
      <c r="AZ40" s="11" t="n">
        <f aca="false">IF(AND(AZ$1&gt;=Units!$Q39,MOD(AZ$1-Units!$Q39,12)=0),IF(AND(Units!$L39=1,AZ$1=Units!$Q39),1,Inputs!$B$15)*Inputs!$B$16*(1+Inputs!$B$11)^(AZ$2-1),0)</f>
        <v>0</v>
      </c>
      <c r="BA40" s="11" t="n">
        <f aca="false">IF(AND(BA$1&gt;=Units!$Q39,MOD(BA$1-Units!$Q39,12)=0),IF(AND(Units!$L39=1,BA$1=Units!$Q39),1,Inputs!$B$15)*Inputs!$B$16*(1+Inputs!$B$11)^(BA$2-1),0)</f>
        <v>562.754405</v>
      </c>
      <c r="BB40" s="11" t="n">
        <f aca="false">IF(AND(BB$1&gt;=Units!$Q39,MOD(BB$1-Units!$Q39,12)=0),IF(AND(Units!$L39=1,BB$1=Units!$Q39),1,Inputs!$B$15)*Inputs!$B$16*(1+Inputs!$B$11)^(BB$2-1),0)</f>
        <v>0</v>
      </c>
      <c r="BC40" s="11" t="n">
        <f aca="false">IF(AND(BC$1&gt;=Units!$Q39,MOD(BC$1-Units!$Q39,12)=0),IF(AND(Units!$L39=1,BC$1=Units!$Q39),1,Inputs!$B$15)*Inputs!$B$16*(1+Inputs!$B$11)^(BC$2-1),0)</f>
        <v>0</v>
      </c>
      <c r="BD40" s="11" t="n">
        <f aca="false">IF(AND(BD$1&gt;=Units!$Q39,MOD(BD$1-Units!$Q39,12)=0),IF(AND(Units!$L39=1,BD$1=Units!$Q39),1,Inputs!$B$15)*Inputs!$B$16*(1+Inputs!$B$11)^(BD$2-1),0)</f>
        <v>0</v>
      </c>
      <c r="BE40" s="11" t="n">
        <f aca="false">IF(AND(BE$1&gt;=Units!$Q39,MOD(BE$1-Units!$Q39,12)=0),IF(AND(Units!$L39=1,BE$1=Units!$Q39),1,Inputs!$B$15)*Inputs!$B$16*(1+Inputs!$B$11)^(BE$2-1),0)</f>
        <v>0</v>
      </c>
      <c r="BF40" s="11" t="n">
        <f aca="false">IF(AND(BF$1&gt;=Units!$Q39,MOD(BF$1-Units!$Q39,12)=0),IF(AND(Units!$L39=1,BF$1=Units!$Q39),1,Inputs!$B$15)*Inputs!$B$16*(1+Inputs!$B$11)^(BF$2-1),0)</f>
        <v>0</v>
      </c>
      <c r="BG40" s="11" t="n">
        <f aca="false">IF(AND(BG$1&gt;=Units!$Q39,MOD(BG$1-Units!$Q39,12)=0),IF(AND(Units!$L39=1,BG$1=Units!$Q39),1,Inputs!$B$15)*Inputs!$B$16*(1+Inputs!$B$11)^(BG$2-1),0)</f>
        <v>0</v>
      </c>
      <c r="BH40" s="11" t="n">
        <f aca="false">IF(AND(BH$1&gt;=Units!$Q39,MOD(BH$1-Units!$Q39,12)=0),IF(AND(Units!$L39=1,BH$1=Units!$Q39),1,Inputs!$B$15)*Inputs!$B$16*(1+Inputs!$B$11)^(BH$2-1),0)</f>
        <v>0</v>
      </c>
      <c r="BI40" s="11" t="n">
        <f aca="false">IF(AND(BI$1&gt;=Units!$Q39,MOD(BI$1-Units!$Q39,12)=0),IF(AND(Units!$L39=1,BI$1=Units!$Q39),1,Inputs!$B$15)*Inputs!$B$16*(1+Inputs!$B$11)^(BI$2-1),0)</f>
        <v>0</v>
      </c>
      <c r="BJ40" s="11" t="n">
        <f aca="false">IF(AND(BJ$1&gt;=Units!$Q39,MOD(BJ$1-Units!$Q39,12)=0),IF(AND(Units!$L39=1,BJ$1=Units!$Q39),1,Inputs!$B$15)*Inputs!$B$16*(1+Inputs!$B$11)^(BJ$2-1),0)</f>
        <v>0</v>
      </c>
      <c r="BK40" s="11" t="n">
        <f aca="false">IF(AND(BK$1&gt;=Units!$Q39,MOD(BK$1-Units!$Q39,12)=0),IF(AND(Units!$L39=1,BK$1=Units!$Q39),1,Inputs!$B$15)*Inputs!$B$16*(1+Inputs!$B$11)^(BK$2-1),0)</f>
        <v>0</v>
      </c>
      <c r="BL40" s="11" t="n">
        <f aca="false">IF(AND(BL$1&gt;=Units!$Q39,MOD(BL$1-Units!$Q39,12)=0),IF(AND(Units!$L39=1,BL$1=Units!$Q39),1,Inputs!$B$15)*Inputs!$B$16*(1+Inputs!$B$11)^(BL$2-1),0)</f>
        <v>0</v>
      </c>
      <c r="BM40" s="11" t="n">
        <f aca="false">IF(AND(BM$1&gt;=Units!$Q39,MOD(BM$1-Units!$Q39,12)=0),IF(AND(Units!$L39=1,BM$1=Units!$Q39),1,Inputs!$B$15)*Inputs!$B$16*(1+Inputs!$B$11)^(BM$2-1),0)</f>
        <v>579.63703715</v>
      </c>
      <c r="BN40" s="11" t="n">
        <f aca="false">IF(AND(BN$1&gt;=Units!$Q39,MOD(BN$1-Units!$Q39,12)=0),IF(AND(Units!$L39=1,BN$1=Units!$Q39),1,Inputs!$B$15)*Inputs!$B$16*(1+Inputs!$B$11)^(BN$2-1),0)</f>
        <v>0</v>
      </c>
      <c r="BO40" s="11" t="n">
        <f aca="false">IF(AND(BO$1&gt;=Units!$Q39,MOD(BO$1-Units!$Q39,12)=0),IF(AND(Units!$L39=1,BO$1=Units!$Q39),1,Inputs!$B$15)*Inputs!$B$16*(1+Inputs!$B$11)^(BO$2-1),0)</f>
        <v>0</v>
      </c>
      <c r="BP40" s="11" t="n">
        <f aca="false">IF(AND(BP$1&gt;=Units!$Q39,MOD(BP$1-Units!$Q39,12)=0),IF(AND(Units!$L39=1,BP$1=Units!$Q39),1,Inputs!$B$15)*Inputs!$B$16*(1+Inputs!$B$11)^(BP$2-1),0)</f>
        <v>0</v>
      </c>
      <c r="BQ40" s="11" t="n">
        <f aca="false">IF(AND(BQ$1&gt;=Units!$Q39,MOD(BQ$1-Units!$Q39,12)=0),IF(AND(Units!$L39=1,BQ$1=Units!$Q39),1,Inputs!$B$15)*Inputs!$B$16*(1+Inputs!$B$11)^(BQ$2-1),0)</f>
        <v>0</v>
      </c>
      <c r="BR40" s="11" t="n">
        <f aca="false">IF(AND(BR$1&gt;=Units!$Q39,MOD(BR$1-Units!$Q39,12)=0),IF(AND(Units!$L39=1,BR$1=Units!$Q39),1,Inputs!$B$15)*Inputs!$B$16*(1+Inputs!$B$11)^(BR$2-1),0)</f>
        <v>0</v>
      </c>
      <c r="BS40" s="11" t="n">
        <f aca="false">IF(AND(BS$1&gt;=Units!$Q39,MOD(BS$1-Units!$Q39,12)=0),IF(AND(Units!$L39=1,BS$1=Units!$Q39),1,Inputs!$B$15)*Inputs!$B$16*(1+Inputs!$B$11)^(BS$2-1),0)</f>
        <v>0</v>
      </c>
      <c r="BT40" s="11" t="n">
        <f aca="false">IF(AND(BT$1&gt;=Units!$Q39,MOD(BT$1-Units!$Q39,12)=0),IF(AND(Units!$L39=1,BT$1=Units!$Q39),1,Inputs!$B$15)*Inputs!$B$16*(1+Inputs!$B$11)^(BT$2-1),0)</f>
        <v>0</v>
      </c>
      <c r="BU40" s="11" t="n">
        <f aca="false">IF(AND(BU$1&gt;=Units!$Q39,MOD(BU$1-Units!$Q39,12)=0),IF(AND(Units!$L39=1,BU$1=Units!$Q39),1,Inputs!$B$15)*Inputs!$B$16*(1+Inputs!$B$11)^(BU$2-1),0)</f>
        <v>0</v>
      </c>
      <c r="BV40" s="11" t="n">
        <f aca="false">IF(AND(BV$1&gt;=Units!$Q39,MOD(BV$1-Units!$Q39,12)=0),IF(AND(Units!$L39=1,BV$1=Units!$Q39),1,Inputs!$B$15)*Inputs!$B$16*(1+Inputs!$B$11)^(BV$2-1),0)</f>
        <v>0</v>
      </c>
      <c r="BW40" s="11" t="n">
        <f aca="false">IF(AND(BW$1&gt;=Units!$Q39,MOD(BW$1-Units!$Q39,12)=0),IF(AND(Units!$L39=1,BW$1=Units!$Q39),1,Inputs!$B$15)*Inputs!$B$16*(1+Inputs!$B$11)^(BW$2-1),0)</f>
        <v>0</v>
      </c>
      <c r="BX40" s="11" t="n">
        <f aca="false">IF(AND(BX$1&gt;=Units!$Q39,MOD(BX$1-Units!$Q39,12)=0),IF(AND(Units!$L39=1,BX$1=Units!$Q39),1,Inputs!$B$15)*Inputs!$B$16*(1+Inputs!$B$11)^(BX$2-1),0)</f>
        <v>0</v>
      </c>
      <c r="BY40" s="11" t="n">
        <f aca="false">IF(AND(BY$1&gt;=Units!$Q39,MOD(BY$1-Units!$Q39,12)=0),IF(AND(Units!$L39=1,BY$1=Units!$Q39),1,Inputs!$B$15)*Inputs!$B$16*(1+Inputs!$B$11)^(BY$2-1),0)</f>
        <v>597.0261482645</v>
      </c>
      <c r="BZ40" s="11" t="n">
        <f aca="false">IF(AND(BZ$1&gt;=Units!$Q39,MOD(BZ$1-Units!$Q39,12)=0),IF(AND(Units!$L39=1,BZ$1=Units!$Q39),1,Inputs!$B$15)*Inputs!$B$16*(1+Inputs!$B$11)^(BZ$2-1),0)</f>
        <v>0</v>
      </c>
      <c r="CA40" s="11" t="n">
        <f aca="false">IF(AND(CA$1&gt;=Units!$Q39,MOD(CA$1-Units!$Q39,12)=0),IF(AND(Units!$L39=1,CA$1=Units!$Q39),1,Inputs!$B$15)*Inputs!$B$16*(1+Inputs!$B$11)^(CA$2-1),0)</f>
        <v>0</v>
      </c>
      <c r="CB40" s="11" t="n">
        <f aca="false">IF(AND(CB$1&gt;=Units!$Q39,MOD(CB$1-Units!$Q39,12)=0),IF(AND(Units!$L39=1,CB$1=Units!$Q39),1,Inputs!$B$15)*Inputs!$B$16*(1+Inputs!$B$11)^(CB$2-1),0)</f>
        <v>0</v>
      </c>
      <c r="CC40" s="11" t="n">
        <f aca="false">IF(AND(CC$1&gt;=Units!$Q39,MOD(CC$1-Units!$Q39,12)=0),IF(AND(Units!$L39=1,CC$1=Units!$Q39),1,Inputs!$B$15)*Inputs!$B$16*(1+Inputs!$B$11)^(CC$2-1),0)</f>
        <v>0</v>
      </c>
      <c r="CD40" s="11" t="n">
        <f aca="false">IF(AND(CD$1&gt;=Units!$Q39,MOD(CD$1-Units!$Q39,12)=0),IF(AND(Units!$L39=1,CD$1=Units!$Q39),1,Inputs!$B$15)*Inputs!$B$16*(1+Inputs!$B$11)^(CD$2-1),0)</f>
        <v>0</v>
      </c>
      <c r="CE40" s="11" t="n">
        <f aca="false">IF(AND(CE$1&gt;=Units!$Q39,MOD(CE$1-Units!$Q39,12)=0),IF(AND(Units!$L39=1,CE$1=Units!$Q39),1,Inputs!$B$15)*Inputs!$B$16*(1+Inputs!$B$11)^(CE$2-1),0)</f>
        <v>0</v>
      </c>
      <c r="CF40" s="11" t="n">
        <f aca="false">IF(AND(CF$1&gt;=Units!$Q39,MOD(CF$1-Units!$Q39,12)=0),IF(AND(Units!$L39=1,CF$1=Units!$Q39),1,Inputs!$B$15)*Inputs!$B$16*(1+Inputs!$B$11)^(CF$2-1),0)</f>
        <v>0</v>
      </c>
      <c r="CG40" s="11" t="n">
        <f aca="false">IF(AND(CG$1&gt;=Units!$Q39,MOD(CG$1-Units!$Q39,12)=0),IF(AND(Units!$L39=1,CG$1=Units!$Q39),1,Inputs!$B$15)*Inputs!$B$16*(1+Inputs!$B$11)^(CG$2-1),0)</f>
        <v>0</v>
      </c>
      <c r="CH40" s="11" t="n">
        <f aca="false">IF(AND(CH$1&gt;=Units!$Q39,MOD(CH$1-Units!$Q39,12)=0),IF(AND(Units!$L39=1,CH$1=Units!$Q39),1,Inputs!$B$15)*Inputs!$B$16*(1+Inputs!$B$11)^(CH$2-1),0)</f>
        <v>0</v>
      </c>
      <c r="CI40" s="11" t="n">
        <f aca="false">IF(AND(CI$1&gt;=Units!$Q39,MOD(CI$1-Units!$Q39,12)=0),IF(AND(Units!$L39=1,CI$1=Units!$Q39),1,Inputs!$B$15)*Inputs!$B$16*(1+Inputs!$B$11)^(CI$2-1),0)</f>
        <v>0</v>
      </c>
      <c r="CJ40" s="11" t="n">
        <f aca="false">IF(AND(CJ$1&gt;=Units!$Q39,MOD(CJ$1-Units!$Q39,12)=0),IF(AND(Units!$L39=1,CJ$1=Units!$Q39),1,Inputs!$B$15)*Inputs!$B$16*(1+Inputs!$B$11)^(CJ$2-1),0)</f>
        <v>0</v>
      </c>
      <c r="CK40" s="11" t="n">
        <f aca="false">IF(AND(CK$1&gt;=Units!$Q39,MOD(CK$1-Units!$Q39,12)=0),IF(AND(Units!$L39=1,CK$1=Units!$Q39),1,Inputs!$B$15)*Inputs!$B$16*(1+Inputs!$B$11)^(CK$2-1),0)</f>
        <v>614.936932712435</v>
      </c>
      <c r="CL40" s="11" t="n">
        <f aca="false">IF(AND(CL$1&gt;=Units!$Q39,MOD(CL$1-Units!$Q39,12)=0),IF(AND(Units!$L39=1,CL$1=Units!$Q39),1,Inputs!$B$15)*Inputs!$B$16*(1+Inputs!$B$11)^(CL$2-1),0)</f>
        <v>0</v>
      </c>
      <c r="CM40" s="11" t="n">
        <f aca="false">IF(AND(CM$1&gt;=Units!$Q39,MOD(CM$1-Units!$Q39,12)=0),IF(AND(Units!$L39=1,CM$1=Units!$Q39),1,Inputs!$B$15)*Inputs!$B$16*(1+Inputs!$B$11)^(CM$2-1),0)</f>
        <v>0</v>
      </c>
      <c r="CN40" s="11" t="n">
        <f aca="false">IF(AND(CN$1&gt;=Units!$Q39,MOD(CN$1-Units!$Q39,12)=0),IF(AND(Units!$L39=1,CN$1=Units!$Q39),1,Inputs!$B$15)*Inputs!$B$16*(1+Inputs!$B$11)^(CN$2-1),0)</f>
        <v>0</v>
      </c>
      <c r="CO40" s="11" t="n">
        <f aca="false">IF(AND(CO$1&gt;=Units!$Q39,MOD(CO$1-Units!$Q39,12)=0),IF(AND(Units!$L39=1,CO$1=Units!$Q39),1,Inputs!$B$15)*Inputs!$B$16*(1+Inputs!$B$11)^(CO$2-1),0)</f>
        <v>0</v>
      </c>
      <c r="CP40" s="11" t="n">
        <f aca="false">IF(AND(CP$1&gt;=Units!$Q39,MOD(CP$1-Units!$Q39,12)=0),IF(AND(Units!$L39=1,CP$1=Units!$Q39),1,Inputs!$B$15)*Inputs!$B$16*(1+Inputs!$B$11)^(CP$2-1),0)</f>
        <v>0</v>
      </c>
      <c r="CQ40" s="11" t="n">
        <f aca="false">IF(AND(CQ$1&gt;=Units!$Q39,MOD(CQ$1-Units!$Q39,12)=0),IF(AND(Units!$L39=1,CQ$1=Units!$Q39),1,Inputs!$B$15)*Inputs!$B$16*(1+Inputs!$B$11)^(CQ$2-1),0)</f>
        <v>0</v>
      </c>
      <c r="CR40" s="11" t="n">
        <f aca="false">IF(AND(CR$1&gt;=Units!$Q39,MOD(CR$1-Units!$Q39,12)=0),IF(AND(Units!$L39=1,CR$1=Units!$Q39),1,Inputs!$B$15)*Inputs!$B$16*(1+Inputs!$B$11)^(CR$2-1),0)</f>
        <v>0</v>
      </c>
      <c r="CS40" s="11" t="n">
        <f aca="false">IF(AND(CS$1&gt;=Units!$Q39,MOD(CS$1-Units!$Q39,12)=0),IF(AND(Units!$L39=1,CS$1=Units!$Q39),1,Inputs!$B$15)*Inputs!$B$16*(1+Inputs!$B$11)^(CS$2-1),0)</f>
        <v>0</v>
      </c>
      <c r="CT40" s="11" t="n">
        <f aca="false">IF(AND(CT$1&gt;=Units!$Q39,MOD(CT$1-Units!$Q39,12)=0),IF(AND(Units!$L39=1,CT$1=Units!$Q39),1,Inputs!$B$15)*Inputs!$B$16*(1+Inputs!$B$11)^(CT$2-1),0)</f>
        <v>0</v>
      </c>
      <c r="CU40" s="11" t="n">
        <f aca="false">IF(AND(CU$1&gt;=Units!$Q39,MOD(CU$1-Units!$Q39,12)=0),IF(AND(Units!$L39=1,CU$1=Units!$Q39),1,Inputs!$B$15)*Inputs!$B$16*(1+Inputs!$B$11)^(CU$2-1),0)</f>
        <v>0</v>
      </c>
      <c r="CV40" s="11" t="n">
        <f aca="false">IF(AND(CV$1&gt;=Units!$Q39,MOD(CV$1-Units!$Q39,12)=0),IF(AND(Units!$L39=1,CV$1=Units!$Q39),1,Inputs!$B$15)*Inputs!$B$16*(1+Inputs!$B$11)^(CV$2-1),0)</f>
        <v>0</v>
      </c>
      <c r="CW40" s="11" t="n">
        <f aca="false">IF(AND(CW$1&gt;=Units!$Q39,MOD(CW$1-Units!$Q39,12)=0),IF(AND(Units!$L39=1,CW$1=Units!$Q39),1,Inputs!$B$15)*Inputs!$B$16*(1+Inputs!$B$11)^(CW$2-1),0)</f>
        <v>633.385040693808</v>
      </c>
      <c r="CX40" s="11" t="n">
        <f aca="false">IF(AND(CX$1&gt;=Units!$Q39,MOD(CX$1-Units!$Q39,12)=0),IF(AND(Units!$L39=1,CX$1=Units!$Q39),1,Inputs!$B$15)*Inputs!$B$16*(1+Inputs!$B$11)^(CX$2-1),0)</f>
        <v>0</v>
      </c>
      <c r="CY40" s="11" t="n">
        <f aca="false">IF(AND(CY$1&gt;=Units!$Q39,MOD(CY$1-Units!$Q39,12)=0),IF(AND(Units!$L39=1,CY$1=Units!$Q39),1,Inputs!$B$15)*Inputs!$B$16*(1+Inputs!$B$11)^(CY$2-1),0)</f>
        <v>0</v>
      </c>
      <c r="CZ40" s="11" t="n">
        <f aca="false">IF(AND(CZ$1&gt;=Units!$Q39,MOD(CZ$1-Units!$Q39,12)=0),IF(AND(Units!$L39=1,CZ$1=Units!$Q39),1,Inputs!$B$15)*Inputs!$B$16*(1+Inputs!$B$11)^(CZ$2-1),0)</f>
        <v>0</v>
      </c>
      <c r="DA40" s="11" t="n">
        <f aca="false">IF(AND(DA$1&gt;=Units!$Q39,MOD(DA$1-Units!$Q39,12)=0),IF(AND(Units!$L39=1,DA$1=Units!$Q39),1,Inputs!$B$15)*Inputs!$B$16*(1+Inputs!$B$11)^(DA$2-1),0)</f>
        <v>0</v>
      </c>
      <c r="DB40" s="11" t="n">
        <f aca="false">IF(AND(DB$1&gt;=Units!$Q39,MOD(DB$1-Units!$Q39,12)=0),IF(AND(Units!$L39=1,DB$1=Units!$Q39),1,Inputs!$B$15)*Inputs!$B$16*(1+Inputs!$B$11)^(DB$2-1),0)</f>
        <v>0</v>
      </c>
      <c r="DC40" s="11" t="n">
        <f aca="false">IF(AND(DC$1&gt;=Units!$Q39,MOD(DC$1-Units!$Q39,12)=0),IF(AND(Units!$L39=1,DC$1=Units!$Q39),1,Inputs!$B$15)*Inputs!$B$16*(1+Inputs!$B$11)^(DC$2-1),0)</f>
        <v>0</v>
      </c>
      <c r="DD40" s="11" t="n">
        <f aca="false">IF(AND(DD$1&gt;=Units!$Q39,MOD(DD$1-Units!$Q39,12)=0),IF(AND(Units!$L39=1,DD$1=Units!$Q39),1,Inputs!$B$15)*Inputs!$B$16*(1+Inputs!$B$11)^(DD$2-1),0)</f>
        <v>0</v>
      </c>
      <c r="DE40" s="11" t="n">
        <f aca="false">IF(AND(DE$1&gt;=Units!$Q39,MOD(DE$1-Units!$Q39,12)=0),IF(AND(Units!$L39=1,DE$1=Units!$Q39),1,Inputs!$B$15)*Inputs!$B$16*(1+Inputs!$B$11)^(DE$2-1),0)</f>
        <v>0</v>
      </c>
      <c r="DF40" s="11" t="n">
        <f aca="false">IF(AND(DF$1&gt;=Units!$Q39,MOD(DF$1-Units!$Q39,12)=0),IF(AND(Units!$L39=1,DF$1=Units!$Q39),1,Inputs!$B$15)*Inputs!$B$16*(1+Inputs!$B$11)^(DF$2-1),0)</f>
        <v>0</v>
      </c>
      <c r="DG40" s="11" t="n">
        <f aca="false">IF(AND(DG$1&gt;=Units!$Q39,MOD(DG$1-Units!$Q39,12)=0),IF(AND(Units!$L39=1,DG$1=Units!$Q39),1,Inputs!$B$15)*Inputs!$B$16*(1+Inputs!$B$11)^(DG$2-1),0)</f>
        <v>0</v>
      </c>
      <c r="DH40" s="11" t="n">
        <f aca="false">IF(AND(DH$1&gt;=Units!$Q39,MOD(DH$1-Units!$Q39,12)=0),IF(AND(Units!$L39=1,DH$1=Units!$Q39),1,Inputs!$B$15)*Inputs!$B$16*(1+Inputs!$B$11)^(DH$2-1),0)</f>
        <v>0</v>
      </c>
      <c r="DI40" s="11" t="n">
        <f aca="false">IF(AND(DI$1&gt;=Units!$Q39,MOD(DI$1-Units!$Q39,12)=0),IF(AND(Units!$L39=1,DI$1=Units!$Q39),1,Inputs!$B$15)*Inputs!$B$16*(1+Inputs!$B$11)^(DI$2-1),0)</f>
        <v>652.386591914623</v>
      </c>
      <c r="DJ40" s="11" t="n">
        <f aca="false">IF(AND(DJ$1&gt;=Units!$Q39,MOD(DJ$1-Units!$Q39,12)=0),IF(AND(Units!$L39=1,DJ$1=Units!$Q39),1,Inputs!$B$15)*Inputs!$B$16*(1+Inputs!$B$11)^(DJ$2-1),0)</f>
        <v>0</v>
      </c>
      <c r="DK40" s="11" t="n">
        <f aca="false">IF(AND(DK$1&gt;=Units!$Q39,MOD(DK$1-Units!$Q39,12)=0),IF(AND(Units!$L39=1,DK$1=Units!$Q39),1,Inputs!$B$15)*Inputs!$B$16*(1+Inputs!$B$11)^(DK$2-1),0)</f>
        <v>0</v>
      </c>
      <c r="DL40" s="11" t="n">
        <f aca="false">IF(AND(DL$1&gt;=Units!$Q39,MOD(DL$1-Units!$Q39,12)=0),IF(AND(Units!$L39=1,DL$1=Units!$Q39),1,Inputs!$B$15)*Inputs!$B$16*(1+Inputs!$B$11)^(DL$2-1),0)</f>
        <v>0</v>
      </c>
      <c r="DM40" s="11" t="n">
        <f aca="false">IF(AND(DM$1&gt;=Units!$Q39,MOD(DM$1-Units!$Q39,12)=0),IF(AND(Units!$L39=1,DM$1=Units!$Q39),1,Inputs!$B$15)*Inputs!$B$16*(1+Inputs!$B$11)^(DM$2-1),0)</f>
        <v>0</v>
      </c>
      <c r="DN40" s="11" t="n">
        <f aca="false">IF(AND(DN$1&gt;=Units!$Q39,MOD(DN$1-Units!$Q39,12)=0),IF(AND(Units!$L39=1,DN$1=Units!$Q39),1,Inputs!$B$15)*Inputs!$B$16*(1+Inputs!$B$11)^(DN$2-1),0)</f>
        <v>0</v>
      </c>
      <c r="DO40" s="11" t="n">
        <f aca="false">IF(AND(DO$1&gt;=Units!$Q39,MOD(DO$1-Units!$Q39,12)=0),IF(AND(Units!$L39=1,DO$1=Units!$Q39),1,Inputs!$B$15)*Inputs!$B$16*(1+Inputs!$B$11)^(DO$2-1),0)</f>
        <v>0</v>
      </c>
      <c r="DP40" s="11" t="n">
        <f aca="false">IF(AND(DP$1&gt;=Units!$Q39,MOD(DP$1-Units!$Q39,12)=0),IF(AND(Units!$L39=1,DP$1=Units!$Q39),1,Inputs!$B$15)*Inputs!$B$16*(1+Inputs!$B$11)^(DP$2-1),0)</f>
        <v>0</v>
      </c>
      <c r="DQ40" s="11" t="n">
        <f aca="false">IF(AND(DQ$1&gt;=Units!$Q39,MOD(DQ$1-Units!$Q39,12)=0),IF(AND(Units!$L39=1,DQ$1=Units!$Q39),1,Inputs!$B$15)*Inputs!$B$16*(1+Inputs!$B$11)^(DQ$2-1),0)</f>
        <v>0</v>
      </c>
      <c r="DR40" s="11" t="n">
        <f aca="false">IF(AND(DR$1&gt;=Units!$Q39,MOD(DR$1-Units!$Q39,12)=0),IF(AND(Units!$L39=1,DR$1=Units!$Q39),1,Inputs!$B$15)*Inputs!$B$16*(1+Inputs!$B$11)^(DR$2-1),0)</f>
        <v>0</v>
      </c>
      <c r="DS40" s="11" t="n">
        <f aca="false">IF(AND(DS$1&gt;=Units!$Q39,MOD(DS$1-Units!$Q39,12)=0),IF(AND(Units!$L39=1,DS$1=Units!$Q39),1,Inputs!$B$15)*Inputs!$B$16*(1+Inputs!$B$11)^(DS$2-1),0)</f>
        <v>0</v>
      </c>
      <c r="DT40" s="11" t="n">
        <f aca="false">IF(AND(DT$1&gt;=Units!$Q39,MOD(DT$1-Units!$Q39,12)=0),IF(AND(Units!$L39=1,DT$1=Units!$Q39),1,Inputs!$B$15)*Inputs!$B$16*(1+Inputs!$B$11)^(DT$2-1),0)</f>
        <v>0</v>
      </c>
      <c r="DU40" s="11" t="n">
        <f aca="false">IF(AND(DU$1&gt;=Units!$Q39,MOD(DU$1-Units!$Q39,12)=0),IF(AND(Units!$L39=1,DU$1=Units!$Q39),1,Inputs!$B$15)*Inputs!$B$16*(1+Inputs!$B$11)^(DU$2-1),0)</f>
        <v>671.958189672061</v>
      </c>
      <c r="DV40" s="11" t="n">
        <f aca="false">IF(AND(DV$1&gt;=Units!$Q39,MOD(DV$1-Units!$Q39,12)=0),IF(AND(Units!$L39=1,DV$1=Units!$Q39),1,Inputs!$B$15)*Inputs!$B$16*(1+Inputs!$B$11)^(DV$2-1),0)</f>
        <v>0</v>
      </c>
      <c r="DW40" s="11" t="n">
        <f aca="false">IF(AND(DW$1&gt;=Units!$Q39,MOD(DW$1-Units!$Q39,12)=0),IF(AND(Units!$L39=1,DW$1=Units!$Q39),1,Inputs!$B$15)*Inputs!$B$16*(1+Inputs!$B$11)^(DW$2-1),0)</f>
        <v>0</v>
      </c>
      <c r="DX40" s="11" t="n">
        <f aca="false">IF(AND(DX$1&gt;=Units!$Q39,MOD(DX$1-Units!$Q39,12)=0),IF(AND(Units!$L39=1,DX$1=Units!$Q39),1,Inputs!$B$15)*Inputs!$B$16*(1+Inputs!$B$11)^(DX$2-1),0)</f>
        <v>0</v>
      </c>
      <c r="DY40" s="11" t="n">
        <f aca="false">IF(AND(DY$1&gt;=Units!$Q39,MOD(DY$1-Units!$Q39,12)=0),IF(AND(Units!$L39=1,DY$1=Units!$Q39),1,Inputs!$B$15)*Inputs!$B$16*(1+Inputs!$B$11)^(DY$2-1),0)</f>
        <v>0</v>
      </c>
      <c r="DZ40" s="11" t="n">
        <f aca="false">IF(AND(DZ$1&gt;=Units!$Q39,MOD(DZ$1-Units!$Q39,12)=0),IF(AND(Units!$L39=1,DZ$1=Units!$Q39),1,Inputs!$B$15)*Inputs!$B$16*(1+Inputs!$B$11)^(DZ$2-1),0)</f>
        <v>0</v>
      </c>
      <c r="EA40" s="11" t="n">
        <f aca="false">IF(AND(EA$1&gt;=Units!$Q39,MOD(EA$1-Units!$Q39,12)=0),IF(AND(Units!$L39=1,EA$1=Units!$Q39),1,Inputs!$B$15)*Inputs!$B$16*(1+Inputs!$B$11)^(EA$2-1),0)</f>
        <v>0</v>
      </c>
      <c r="EB40" s="11" t="n">
        <f aca="false">IF(AND(EB$1&gt;=Units!$Q39,MOD(EB$1-Units!$Q39,12)=0),IF(AND(Units!$L39=1,EB$1=Units!$Q39),1,Inputs!$B$15)*Inputs!$B$16*(1+Inputs!$B$11)^(EB$2-1),0)</f>
        <v>0</v>
      </c>
      <c r="EC40" s="11" t="n">
        <f aca="false">IF(AND(EC$1&gt;=Units!$Q39,MOD(EC$1-Units!$Q39,12)=0),IF(AND(Units!$L39=1,EC$1=Units!$Q39),1,Inputs!$B$15)*Inputs!$B$16*(1+Inputs!$B$11)^(EC$2-1),0)</f>
        <v>0</v>
      </c>
      <c r="ED40" s="11" t="n">
        <f aca="false">IF(AND(ED$1&gt;=Units!$Q39,MOD(ED$1-Units!$Q39,12)=0),IF(AND(Units!$L39=1,ED$1=Units!$Q39),1,Inputs!$B$15)*Inputs!$B$16*(1+Inputs!$B$11)^(ED$2-1),0)</f>
        <v>0</v>
      </c>
    </row>
    <row r="41" customFormat="false" ht="15" hidden="false" customHeight="false" outlineLevel="0" collapsed="false">
      <c r="A41" s="22" t="n">
        <f aca="false">Units!A40</f>
        <v>209</v>
      </c>
      <c r="B41" s="23"/>
      <c r="C41" s="11" t="n">
        <f aca="false">IF(AND(C$1&gt;=Units!$Q40,MOD(C$1-Units!$Q40,12)=0),IF(AND(Units!$L40=1,C$1=Units!$Q40),1,Inputs!$B$15)*Inputs!$B$16*(1+Inputs!$B$11)^(C$2-1),0)</f>
        <v>0</v>
      </c>
      <c r="D41" s="11" t="n">
        <f aca="false">IF(AND(D$1&gt;=Units!$Q40,MOD(D$1-Units!$Q40,12)=0),IF(AND(Units!$L40=1,D$1=Units!$Q40),1,Inputs!$B$15)*Inputs!$B$16*(1+Inputs!$B$11)^(D$2-1),0)</f>
        <v>0</v>
      </c>
      <c r="E41" s="11" t="n">
        <f aca="false">IF(AND(E$1&gt;=Units!$Q40,MOD(E$1-Units!$Q40,12)=0),IF(AND(Units!$L40=1,E$1=Units!$Q40),1,Inputs!$B$15)*Inputs!$B$16*(1+Inputs!$B$11)^(E$2-1),0)</f>
        <v>0</v>
      </c>
      <c r="F41" s="11" t="n">
        <f aca="false">IF(AND(F$1&gt;=Units!$Q40,MOD(F$1-Units!$Q40,12)=0),IF(AND(Units!$L40=1,F$1=Units!$Q40),1,Inputs!$B$15)*Inputs!$B$16*(1+Inputs!$B$11)^(F$2-1),0)</f>
        <v>0</v>
      </c>
      <c r="G41" s="11" t="n">
        <f aca="false">IF(AND(G$1&gt;=Units!$Q40,MOD(G$1-Units!$Q40,12)=0),IF(AND(Units!$L40=1,G$1=Units!$Q40),1,Inputs!$B$15)*Inputs!$B$16*(1+Inputs!$B$11)^(G$2-1),0)</f>
        <v>0</v>
      </c>
      <c r="H41" s="11" t="n">
        <f aca="false">IF(AND(H$1&gt;=Units!$Q40,MOD(H$1-Units!$Q40,12)=0),IF(AND(Units!$L40=1,H$1=Units!$Q40),1,Inputs!$B$15)*Inputs!$B$16*(1+Inputs!$B$11)^(H$2-1),0)</f>
        <v>0</v>
      </c>
      <c r="I41" s="11" t="n">
        <f aca="false">IF(AND(I$1&gt;=Units!$Q40,MOD(I$1-Units!$Q40,12)=0),IF(AND(Units!$L40=1,I$1=Units!$Q40),1,Inputs!$B$15)*Inputs!$B$16*(1+Inputs!$B$11)^(I$2-1),0)</f>
        <v>0</v>
      </c>
      <c r="J41" s="11" t="n">
        <f aca="false">IF(AND(J$1&gt;=Units!$Q40,MOD(J$1-Units!$Q40,12)=0),IF(AND(Units!$L40=1,J$1=Units!$Q40),1,Inputs!$B$15)*Inputs!$B$16*(1+Inputs!$B$11)^(J$2-1),0)</f>
        <v>0</v>
      </c>
      <c r="K41" s="11" t="n">
        <f aca="false">IF(AND(K$1&gt;=Units!$Q40,MOD(K$1-Units!$Q40,12)=0),IF(AND(Units!$L40=1,K$1=Units!$Q40),1,Inputs!$B$15)*Inputs!$B$16*(1+Inputs!$B$11)^(K$2-1),0)</f>
        <v>0</v>
      </c>
      <c r="L41" s="11" t="n">
        <f aca="false">IF(AND(L$1&gt;=Units!$Q40,MOD(L$1-Units!$Q40,12)=0),IF(AND(Units!$L40=1,L$1=Units!$Q40),1,Inputs!$B$15)*Inputs!$B$16*(1+Inputs!$B$11)^(L$2-1),0)</f>
        <v>0</v>
      </c>
      <c r="M41" s="11" t="n">
        <f aca="false">IF(AND(M$1&gt;=Units!$Q40,MOD(M$1-Units!$Q40,12)=0),IF(AND(Units!$L40=1,M$1=Units!$Q40),1,Inputs!$B$15)*Inputs!$B$16*(1+Inputs!$B$11)^(M$2-1),0)</f>
        <v>0</v>
      </c>
      <c r="N41" s="11" t="n">
        <f aca="false">IF(AND(N$1&gt;=Units!$Q40,MOD(N$1-Units!$Q40,12)=0),IF(AND(Units!$L40=1,N$1=Units!$Q40),1,Inputs!$B$15)*Inputs!$B$16*(1+Inputs!$B$11)^(N$2-1),0)</f>
        <v>0</v>
      </c>
      <c r="O41" s="11" t="n">
        <f aca="false">IF(AND(O$1&gt;=Units!$Q40,MOD(O$1-Units!$Q40,12)=0),IF(AND(Units!$L40=1,O$1=Units!$Q40),1,Inputs!$B$15)*Inputs!$B$16*(1+Inputs!$B$11)^(O$2-1),0)</f>
        <v>515</v>
      </c>
      <c r="P41" s="11" t="n">
        <f aca="false">IF(AND(P$1&gt;=Units!$Q40,MOD(P$1-Units!$Q40,12)=0),IF(AND(Units!$L40=1,P$1=Units!$Q40),1,Inputs!$B$15)*Inputs!$B$16*(1+Inputs!$B$11)^(P$2-1),0)</f>
        <v>0</v>
      </c>
      <c r="Q41" s="11" t="n">
        <f aca="false">IF(AND(Q$1&gt;=Units!$Q40,MOD(Q$1-Units!$Q40,12)=0),IF(AND(Units!$L40=1,Q$1=Units!$Q40),1,Inputs!$B$15)*Inputs!$B$16*(1+Inputs!$B$11)^(Q$2-1),0)</f>
        <v>0</v>
      </c>
      <c r="R41" s="11" t="n">
        <f aca="false">IF(AND(R$1&gt;=Units!$Q40,MOD(R$1-Units!$Q40,12)=0),IF(AND(Units!$L40=1,R$1=Units!$Q40),1,Inputs!$B$15)*Inputs!$B$16*(1+Inputs!$B$11)^(R$2-1),0)</f>
        <v>0</v>
      </c>
      <c r="S41" s="11" t="n">
        <f aca="false">IF(AND(S$1&gt;=Units!$Q40,MOD(S$1-Units!$Q40,12)=0),IF(AND(Units!$L40=1,S$1=Units!$Q40),1,Inputs!$B$15)*Inputs!$B$16*(1+Inputs!$B$11)^(S$2-1),0)</f>
        <v>0</v>
      </c>
      <c r="T41" s="11" t="n">
        <f aca="false">IF(AND(T$1&gt;=Units!$Q40,MOD(T$1-Units!$Q40,12)=0),IF(AND(Units!$L40=1,T$1=Units!$Q40),1,Inputs!$B$15)*Inputs!$B$16*(1+Inputs!$B$11)^(T$2-1),0)</f>
        <v>0</v>
      </c>
      <c r="U41" s="11" t="n">
        <f aca="false">IF(AND(U$1&gt;=Units!$Q40,MOD(U$1-Units!$Q40,12)=0),IF(AND(Units!$L40=1,U$1=Units!$Q40),1,Inputs!$B$15)*Inputs!$B$16*(1+Inputs!$B$11)^(U$2-1),0)</f>
        <v>0</v>
      </c>
      <c r="V41" s="11" t="n">
        <f aca="false">IF(AND(V$1&gt;=Units!$Q40,MOD(V$1-Units!$Q40,12)=0),IF(AND(Units!$L40=1,V$1=Units!$Q40),1,Inputs!$B$15)*Inputs!$B$16*(1+Inputs!$B$11)^(V$2-1),0)</f>
        <v>0</v>
      </c>
      <c r="W41" s="11" t="n">
        <f aca="false">IF(AND(W$1&gt;=Units!$Q40,MOD(W$1-Units!$Q40,12)=0),IF(AND(Units!$L40=1,W$1=Units!$Q40),1,Inputs!$B$15)*Inputs!$B$16*(1+Inputs!$B$11)^(W$2-1),0)</f>
        <v>0</v>
      </c>
      <c r="X41" s="11" t="n">
        <f aca="false">IF(AND(X$1&gt;=Units!$Q40,MOD(X$1-Units!$Q40,12)=0),IF(AND(Units!$L40=1,X$1=Units!$Q40),1,Inputs!$B$15)*Inputs!$B$16*(1+Inputs!$B$11)^(X$2-1),0)</f>
        <v>0</v>
      </c>
      <c r="Y41" s="11" t="n">
        <f aca="false">IF(AND(Y$1&gt;=Units!$Q40,MOD(Y$1-Units!$Q40,12)=0),IF(AND(Units!$L40=1,Y$1=Units!$Q40),1,Inputs!$B$15)*Inputs!$B$16*(1+Inputs!$B$11)^(Y$2-1),0)</f>
        <v>0</v>
      </c>
      <c r="Z41" s="11" t="n">
        <f aca="false">IF(AND(Z$1&gt;=Units!$Q40,MOD(Z$1-Units!$Q40,12)=0),IF(AND(Units!$L40=1,Z$1=Units!$Q40),1,Inputs!$B$15)*Inputs!$B$16*(1+Inputs!$B$11)^(Z$2-1),0)</f>
        <v>0</v>
      </c>
      <c r="AA41" s="11" t="n">
        <f aca="false">IF(AND(AA$1&gt;=Units!$Q40,MOD(AA$1-Units!$Q40,12)=0),IF(AND(Units!$L40=1,AA$1=Units!$Q40),1,Inputs!$B$15)*Inputs!$B$16*(1+Inputs!$B$11)^(AA$2-1),0)</f>
        <v>530.45</v>
      </c>
      <c r="AB41" s="11" t="n">
        <f aca="false">IF(AND(AB$1&gt;=Units!$Q40,MOD(AB$1-Units!$Q40,12)=0),IF(AND(Units!$L40=1,AB$1=Units!$Q40),1,Inputs!$B$15)*Inputs!$B$16*(1+Inputs!$B$11)^(AB$2-1),0)</f>
        <v>0</v>
      </c>
      <c r="AC41" s="11" t="n">
        <f aca="false">IF(AND(AC$1&gt;=Units!$Q40,MOD(AC$1-Units!$Q40,12)=0),IF(AND(Units!$L40=1,AC$1=Units!$Q40),1,Inputs!$B$15)*Inputs!$B$16*(1+Inputs!$B$11)^(AC$2-1),0)</f>
        <v>0</v>
      </c>
      <c r="AD41" s="11" t="n">
        <f aca="false">IF(AND(AD$1&gt;=Units!$Q40,MOD(AD$1-Units!$Q40,12)=0),IF(AND(Units!$L40=1,AD$1=Units!$Q40),1,Inputs!$B$15)*Inputs!$B$16*(1+Inputs!$B$11)^(AD$2-1),0)</f>
        <v>0</v>
      </c>
      <c r="AE41" s="11" t="n">
        <f aca="false">IF(AND(AE$1&gt;=Units!$Q40,MOD(AE$1-Units!$Q40,12)=0),IF(AND(Units!$L40=1,AE$1=Units!$Q40),1,Inputs!$B$15)*Inputs!$B$16*(1+Inputs!$B$11)^(AE$2-1),0)</f>
        <v>0</v>
      </c>
      <c r="AF41" s="11" t="n">
        <f aca="false">IF(AND(AF$1&gt;=Units!$Q40,MOD(AF$1-Units!$Q40,12)=0),IF(AND(Units!$L40=1,AF$1=Units!$Q40),1,Inputs!$B$15)*Inputs!$B$16*(1+Inputs!$B$11)^(AF$2-1),0)</f>
        <v>0</v>
      </c>
      <c r="AG41" s="11" t="n">
        <f aca="false">IF(AND(AG$1&gt;=Units!$Q40,MOD(AG$1-Units!$Q40,12)=0),IF(AND(Units!$L40=1,AG$1=Units!$Q40),1,Inputs!$B$15)*Inputs!$B$16*(1+Inputs!$B$11)^(AG$2-1),0)</f>
        <v>0</v>
      </c>
      <c r="AH41" s="11" t="n">
        <f aca="false">IF(AND(AH$1&gt;=Units!$Q40,MOD(AH$1-Units!$Q40,12)=0),IF(AND(Units!$L40=1,AH$1=Units!$Q40),1,Inputs!$B$15)*Inputs!$B$16*(1+Inputs!$B$11)^(AH$2-1),0)</f>
        <v>0</v>
      </c>
      <c r="AI41" s="11" t="n">
        <f aca="false">IF(AND(AI$1&gt;=Units!$Q40,MOD(AI$1-Units!$Q40,12)=0),IF(AND(Units!$L40=1,AI$1=Units!$Q40),1,Inputs!$B$15)*Inputs!$B$16*(1+Inputs!$B$11)^(AI$2-1),0)</f>
        <v>0</v>
      </c>
      <c r="AJ41" s="11" t="n">
        <f aca="false">IF(AND(AJ$1&gt;=Units!$Q40,MOD(AJ$1-Units!$Q40,12)=0),IF(AND(Units!$L40=1,AJ$1=Units!$Q40),1,Inputs!$B$15)*Inputs!$B$16*(1+Inputs!$B$11)^(AJ$2-1),0)</f>
        <v>0</v>
      </c>
      <c r="AK41" s="11" t="n">
        <f aca="false">IF(AND(AK$1&gt;=Units!$Q40,MOD(AK$1-Units!$Q40,12)=0),IF(AND(Units!$L40=1,AK$1=Units!$Q40),1,Inputs!$B$15)*Inputs!$B$16*(1+Inputs!$B$11)^(AK$2-1),0)</f>
        <v>0</v>
      </c>
      <c r="AL41" s="11" t="n">
        <f aca="false">IF(AND(AL$1&gt;=Units!$Q40,MOD(AL$1-Units!$Q40,12)=0),IF(AND(Units!$L40=1,AL$1=Units!$Q40),1,Inputs!$B$15)*Inputs!$B$16*(1+Inputs!$B$11)^(AL$2-1),0)</f>
        <v>0</v>
      </c>
      <c r="AM41" s="11" t="n">
        <f aca="false">IF(AND(AM$1&gt;=Units!$Q40,MOD(AM$1-Units!$Q40,12)=0),IF(AND(Units!$L40=1,AM$1=Units!$Q40),1,Inputs!$B$15)*Inputs!$B$16*(1+Inputs!$B$11)^(AM$2-1),0)</f>
        <v>546.3635</v>
      </c>
      <c r="AN41" s="11" t="n">
        <f aca="false">IF(AND(AN$1&gt;=Units!$Q40,MOD(AN$1-Units!$Q40,12)=0),IF(AND(Units!$L40=1,AN$1=Units!$Q40),1,Inputs!$B$15)*Inputs!$B$16*(1+Inputs!$B$11)^(AN$2-1),0)</f>
        <v>0</v>
      </c>
      <c r="AO41" s="11" t="n">
        <f aca="false">IF(AND(AO$1&gt;=Units!$Q40,MOD(AO$1-Units!$Q40,12)=0),IF(AND(Units!$L40=1,AO$1=Units!$Q40),1,Inputs!$B$15)*Inputs!$B$16*(1+Inputs!$B$11)^(AO$2-1),0)</f>
        <v>0</v>
      </c>
      <c r="AP41" s="11" t="n">
        <f aca="false">IF(AND(AP$1&gt;=Units!$Q40,MOD(AP$1-Units!$Q40,12)=0),IF(AND(Units!$L40=1,AP$1=Units!$Q40),1,Inputs!$B$15)*Inputs!$B$16*(1+Inputs!$B$11)^(AP$2-1),0)</f>
        <v>0</v>
      </c>
      <c r="AQ41" s="11" t="n">
        <f aca="false">IF(AND(AQ$1&gt;=Units!$Q40,MOD(AQ$1-Units!$Q40,12)=0),IF(AND(Units!$L40=1,AQ$1=Units!$Q40),1,Inputs!$B$15)*Inputs!$B$16*(1+Inputs!$B$11)^(AQ$2-1),0)</f>
        <v>0</v>
      </c>
      <c r="AR41" s="11" t="n">
        <f aca="false">IF(AND(AR$1&gt;=Units!$Q40,MOD(AR$1-Units!$Q40,12)=0),IF(AND(Units!$L40=1,AR$1=Units!$Q40),1,Inputs!$B$15)*Inputs!$B$16*(1+Inputs!$B$11)^(AR$2-1),0)</f>
        <v>0</v>
      </c>
      <c r="AS41" s="11" t="n">
        <f aca="false">IF(AND(AS$1&gt;=Units!$Q40,MOD(AS$1-Units!$Q40,12)=0),IF(AND(Units!$L40=1,AS$1=Units!$Q40),1,Inputs!$B$15)*Inputs!$B$16*(1+Inputs!$B$11)^(AS$2-1),0)</f>
        <v>0</v>
      </c>
      <c r="AT41" s="11" t="n">
        <f aca="false">IF(AND(AT$1&gt;=Units!$Q40,MOD(AT$1-Units!$Q40,12)=0),IF(AND(Units!$L40=1,AT$1=Units!$Q40),1,Inputs!$B$15)*Inputs!$B$16*(1+Inputs!$B$11)^(AT$2-1),0)</f>
        <v>0</v>
      </c>
      <c r="AU41" s="11" t="n">
        <f aca="false">IF(AND(AU$1&gt;=Units!$Q40,MOD(AU$1-Units!$Q40,12)=0),IF(AND(Units!$L40=1,AU$1=Units!$Q40),1,Inputs!$B$15)*Inputs!$B$16*(1+Inputs!$B$11)^(AU$2-1),0)</f>
        <v>0</v>
      </c>
      <c r="AV41" s="11" t="n">
        <f aca="false">IF(AND(AV$1&gt;=Units!$Q40,MOD(AV$1-Units!$Q40,12)=0),IF(AND(Units!$L40=1,AV$1=Units!$Q40),1,Inputs!$B$15)*Inputs!$B$16*(1+Inputs!$B$11)^(AV$2-1),0)</f>
        <v>0</v>
      </c>
      <c r="AW41" s="11" t="n">
        <f aca="false">IF(AND(AW$1&gt;=Units!$Q40,MOD(AW$1-Units!$Q40,12)=0),IF(AND(Units!$L40=1,AW$1=Units!$Q40),1,Inputs!$B$15)*Inputs!$B$16*(1+Inputs!$B$11)^(AW$2-1),0)</f>
        <v>0</v>
      </c>
      <c r="AX41" s="11" t="n">
        <f aca="false">IF(AND(AX$1&gt;=Units!$Q40,MOD(AX$1-Units!$Q40,12)=0),IF(AND(Units!$L40=1,AX$1=Units!$Q40),1,Inputs!$B$15)*Inputs!$B$16*(1+Inputs!$B$11)^(AX$2-1),0)</f>
        <v>0</v>
      </c>
      <c r="AY41" s="11" t="n">
        <f aca="false">IF(AND(AY$1&gt;=Units!$Q40,MOD(AY$1-Units!$Q40,12)=0),IF(AND(Units!$L40=1,AY$1=Units!$Q40),1,Inputs!$B$15)*Inputs!$B$16*(1+Inputs!$B$11)^(AY$2-1),0)</f>
        <v>562.754405</v>
      </c>
      <c r="AZ41" s="11" t="n">
        <f aca="false">IF(AND(AZ$1&gt;=Units!$Q40,MOD(AZ$1-Units!$Q40,12)=0),IF(AND(Units!$L40=1,AZ$1=Units!$Q40),1,Inputs!$B$15)*Inputs!$B$16*(1+Inputs!$B$11)^(AZ$2-1),0)</f>
        <v>0</v>
      </c>
      <c r="BA41" s="11" t="n">
        <f aca="false">IF(AND(BA$1&gt;=Units!$Q40,MOD(BA$1-Units!$Q40,12)=0),IF(AND(Units!$L40=1,BA$1=Units!$Q40),1,Inputs!$B$15)*Inputs!$B$16*(1+Inputs!$B$11)^(BA$2-1),0)</f>
        <v>0</v>
      </c>
      <c r="BB41" s="11" t="n">
        <f aca="false">IF(AND(BB$1&gt;=Units!$Q40,MOD(BB$1-Units!$Q40,12)=0),IF(AND(Units!$L40=1,BB$1=Units!$Q40),1,Inputs!$B$15)*Inputs!$B$16*(1+Inputs!$B$11)^(BB$2-1),0)</f>
        <v>0</v>
      </c>
      <c r="BC41" s="11" t="n">
        <f aca="false">IF(AND(BC$1&gt;=Units!$Q40,MOD(BC$1-Units!$Q40,12)=0),IF(AND(Units!$L40=1,BC$1=Units!$Q40),1,Inputs!$B$15)*Inputs!$B$16*(1+Inputs!$B$11)^(BC$2-1),0)</f>
        <v>0</v>
      </c>
      <c r="BD41" s="11" t="n">
        <f aca="false">IF(AND(BD$1&gt;=Units!$Q40,MOD(BD$1-Units!$Q40,12)=0),IF(AND(Units!$L40=1,BD$1=Units!$Q40),1,Inputs!$B$15)*Inputs!$B$16*(1+Inputs!$B$11)^(BD$2-1),0)</f>
        <v>0</v>
      </c>
      <c r="BE41" s="11" t="n">
        <f aca="false">IF(AND(BE$1&gt;=Units!$Q40,MOD(BE$1-Units!$Q40,12)=0),IF(AND(Units!$L40=1,BE$1=Units!$Q40),1,Inputs!$B$15)*Inputs!$B$16*(1+Inputs!$B$11)^(BE$2-1),0)</f>
        <v>0</v>
      </c>
      <c r="BF41" s="11" t="n">
        <f aca="false">IF(AND(BF$1&gt;=Units!$Q40,MOD(BF$1-Units!$Q40,12)=0),IF(AND(Units!$L40=1,BF$1=Units!$Q40),1,Inputs!$B$15)*Inputs!$B$16*(1+Inputs!$B$11)^(BF$2-1),0)</f>
        <v>0</v>
      </c>
      <c r="BG41" s="11" t="n">
        <f aca="false">IF(AND(BG$1&gt;=Units!$Q40,MOD(BG$1-Units!$Q40,12)=0),IF(AND(Units!$L40=1,BG$1=Units!$Q40),1,Inputs!$B$15)*Inputs!$B$16*(1+Inputs!$B$11)^(BG$2-1),0)</f>
        <v>0</v>
      </c>
      <c r="BH41" s="11" t="n">
        <f aca="false">IF(AND(BH$1&gt;=Units!$Q40,MOD(BH$1-Units!$Q40,12)=0),IF(AND(Units!$L40=1,BH$1=Units!$Q40),1,Inputs!$B$15)*Inputs!$B$16*(1+Inputs!$B$11)^(BH$2-1),0)</f>
        <v>0</v>
      </c>
      <c r="BI41" s="11" t="n">
        <f aca="false">IF(AND(BI$1&gt;=Units!$Q40,MOD(BI$1-Units!$Q40,12)=0),IF(AND(Units!$L40=1,BI$1=Units!$Q40),1,Inputs!$B$15)*Inputs!$B$16*(1+Inputs!$B$11)^(BI$2-1),0)</f>
        <v>0</v>
      </c>
      <c r="BJ41" s="11" t="n">
        <f aca="false">IF(AND(BJ$1&gt;=Units!$Q40,MOD(BJ$1-Units!$Q40,12)=0),IF(AND(Units!$L40=1,BJ$1=Units!$Q40),1,Inputs!$B$15)*Inputs!$B$16*(1+Inputs!$B$11)^(BJ$2-1),0)</f>
        <v>0</v>
      </c>
      <c r="BK41" s="11" t="n">
        <f aca="false">IF(AND(BK$1&gt;=Units!$Q40,MOD(BK$1-Units!$Q40,12)=0),IF(AND(Units!$L40=1,BK$1=Units!$Q40),1,Inputs!$B$15)*Inputs!$B$16*(1+Inputs!$B$11)^(BK$2-1),0)</f>
        <v>579.63703715</v>
      </c>
      <c r="BL41" s="11" t="n">
        <f aca="false">IF(AND(BL$1&gt;=Units!$Q40,MOD(BL$1-Units!$Q40,12)=0),IF(AND(Units!$L40=1,BL$1=Units!$Q40),1,Inputs!$B$15)*Inputs!$B$16*(1+Inputs!$B$11)^(BL$2-1),0)</f>
        <v>0</v>
      </c>
      <c r="BM41" s="11" t="n">
        <f aca="false">IF(AND(BM$1&gt;=Units!$Q40,MOD(BM$1-Units!$Q40,12)=0),IF(AND(Units!$L40=1,BM$1=Units!$Q40),1,Inputs!$B$15)*Inputs!$B$16*(1+Inputs!$B$11)^(BM$2-1),0)</f>
        <v>0</v>
      </c>
      <c r="BN41" s="11" t="n">
        <f aca="false">IF(AND(BN$1&gt;=Units!$Q40,MOD(BN$1-Units!$Q40,12)=0),IF(AND(Units!$L40=1,BN$1=Units!$Q40),1,Inputs!$B$15)*Inputs!$B$16*(1+Inputs!$B$11)^(BN$2-1),0)</f>
        <v>0</v>
      </c>
      <c r="BO41" s="11" t="n">
        <f aca="false">IF(AND(BO$1&gt;=Units!$Q40,MOD(BO$1-Units!$Q40,12)=0),IF(AND(Units!$L40=1,BO$1=Units!$Q40),1,Inputs!$B$15)*Inputs!$B$16*(1+Inputs!$B$11)^(BO$2-1),0)</f>
        <v>0</v>
      </c>
      <c r="BP41" s="11" t="n">
        <f aca="false">IF(AND(BP$1&gt;=Units!$Q40,MOD(BP$1-Units!$Q40,12)=0),IF(AND(Units!$L40=1,BP$1=Units!$Q40),1,Inputs!$B$15)*Inputs!$B$16*(1+Inputs!$B$11)^(BP$2-1),0)</f>
        <v>0</v>
      </c>
      <c r="BQ41" s="11" t="n">
        <f aca="false">IF(AND(BQ$1&gt;=Units!$Q40,MOD(BQ$1-Units!$Q40,12)=0),IF(AND(Units!$L40=1,BQ$1=Units!$Q40),1,Inputs!$B$15)*Inputs!$B$16*(1+Inputs!$B$11)^(BQ$2-1),0)</f>
        <v>0</v>
      </c>
      <c r="BR41" s="11" t="n">
        <f aca="false">IF(AND(BR$1&gt;=Units!$Q40,MOD(BR$1-Units!$Q40,12)=0),IF(AND(Units!$L40=1,BR$1=Units!$Q40),1,Inputs!$B$15)*Inputs!$B$16*(1+Inputs!$B$11)^(BR$2-1),0)</f>
        <v>0</v>
      </c>
      <c r="BS41" s="11" t="n">
        <f aca="false">IF(AND(BS$1&gt;=Units!$Q40,MOD(BS$1-Units!$Q40,12)=0),IF(AND(Units!$L40=1,BS$1=Units!$Q40),1,Inputs!$B$15)*Inputs!$B$16*(1+Inputs!$B$11)^(BS$2-1),0)</f>
        <v>0</v>
      </c>
      <c r="BT41" s="11" t="n">
        <f aca="false">IF(AND(BT$1&gt;=Units!$Q40,MOD(BT$1-Units!$Q40,12)=0),IF(AND(Units!$L40=1,BT$1=Units!$Q40),1,Inputs!$B$15)*Inputs!$B$16*(1+Inputs!$B$11)^(BT$2-1),0)</f>
        <v>0</v>
      </c>
      <c r="BU41" s="11" t="n">
        <f aca="false">IF(AND(BU$1&gt;=Units!$Q40,MOD(BU$1-Units!$Q40,12)=0),IF(AND(Units!$L40=1,BU$1=Units!$Q40),1,Inputs!$B$15)*Inputs!$B$16*(1+Inputs!$B$11)^(BU$2-1),0)</f>
        <v>0</v>
      </c>
      <c r="BV41" s="11" t="n">
        <f aca="false">IF(AND(BV$1&gt;=Units!$Q40,MOD(BV$1-Units!$Q40,12)=0),IF(AND(Units!$L40=1,BV$1=Units!$Q40),1,Inputs!$B$15)*Inputs!$B$16*(1+Inputs!$B$11)^(BV$2-1),0)</f>
        <v>0</v>
      </c>
      <c r="BW41" s="11" t="n">
        <f aca="false">IF(AND(BW$1&gt;=Units!$Q40,MOD(BW$1-Units!$Q40,12)=0),IF(AND(Units!$L40=1,BW$1=Units!$Q40),1,Inputs!$B$15)*Inputs!$B$16*(1+Inputs!$B$11)^(BW$2-1),0)</f>
        <v>597.0261482645</v>
      </c>
      <c r="BX41" s="11" t="n">
        <f aca="false">IF(AND(BX$1&gt;=Units!$Q40,MOD(BX$1-Units!$Q40,12)=0),IF(AND(Units!$L40=1,BX$1=Units!$Q40),1,Inputs!$B$15)*Inputs!$B$16*(1+Inputs!$B$11)^(BX$2-1),0)</f>
        <v>0</v>
      </c>
      <c r="BY41" s="11" t="n">
        <f aca="false">IF(AND(BY$1&gt;=Units!$Q40,MOD(BY$1-Units!$Q40,12)=0),IF(AND(Units!$L40=1,BY$1=Units!$Q40),1,Inputs!$B$15)*Inputs!$B$16*(1+Inputs!$B$11)^(BY$2-1),0)</f>
        <v>0</v>
      </c>
      <c r="BZ41" s="11" t="n">
        <f aca="false">IF(AND(BZ$1&gt;=Units!$Q40,MOD(BZ$1-Units!$Q40,12)=0),IF(AND(Units!$L40=1,BZ$1=Units!$Q40),1,Inputs!$B$15)*Inputs!$B$16*(1+Inputs!$B$11)^(BZ$2-1),0)</f>
        <v>0</v>
      </c>
      <c r="CA41" s="11" t="n">
        <f aca="false">IF(AND(CA$1&gt;=Units!$Q40,MOD(CA$1-Units!$Q40,12)=0),IF(AND(Units!$L40=1,CA$1=Units!$Q40),1,Inputs!$B$15)*Inputs!$B$16*(1+Inputs!$B$11)^(CA$2-1),0)</f>
        <v>0</v>
      </c>
      <c r="CB41" s="11" t="n">
        <f aca="false">IF(AND(CB$1&gt;=Units!$Q40,MOD(CB$1-Units!$Q40,12)=0),IF(AND(Units!$L40=1,CB$1=Units!$Q40),1,Inputs!$B$15)*Inputs!$B$16*(1+Inputs!$B$11)^(CB$2-1),0)</f>
        <v>0</v>
      </c>
      <c r="CC41" s="11" t="n">
        <f aca="false">IF(AND(CC$1&gt;=Units!$Q40,MOD(CC$1-Units!$Q40,12)=0),IF(AND(Units!$L40=1,CC$1=Units!$Q40),1,Inputs!$B$15)*Inputs!$B$16*(1+Inputs!$B$11)^(CC$2-1),0)</f>
        <v>0</v>
      </c>
      <c r="CD41" s="11" t="n">
        <f aca="false">IF(AND(CD$1&gt;=Units!$Q40,MOD(CD$1-Units!$Q40,12)=0),IF(AND(Units!$L40=1,CD$1=Units!$Q40),1,Inputs!$B$15)*Inputs!$B$16*(1+Inputs!$B$11)^(CD$2-1),0)</f>
        <v>0</v>
      </c>
      <c r="CE41" s="11" t="n">
        <f aca="false">IF(AND(CE$1&gt;=Units!$Q40,MOD(CE$1-Units!$Q40,12)=0),IF(AND(Units!$L40=1,CE$1=Units!$Q40),1,Inputs!$B$15)*Inputs!$B$16*(1+Inputs!$B$11)^(CE$2-1),0)</f>
        <v>0</v>
      </c>
      <c r="CF41" s="11" t="n">
        <f aca="false">IF(AND(CF$1&gt;=Units!$Q40,MOD(CF$1-Units!$Q40,12)=0),IF(AND(Units!$L40=1,CF$1=Units!$Q40),1,Inputs!$B$15)*Inputs!$B$16*(1+Inputs!$B$11)^(CF$2-1),0)</f>
        <v>0</v>
      </c>
      <c r="CG41" s="11" t="n">
        <f aca="false">IF(AND(CG$1&gt;=Units!$Q40,MOD(CG$1-Units!$Q40,12)=0),IF(AND(Units!$L40=1,CG$1=Units!$Q40),1,Inputs!$B$15)*Inputs!$B$16*(1+Inputs!$B$11)^(CG$2-1),0)</f>
        <v>0</v>
      </c>
      <c r="CH41" s="11" t="n">
        <f aca="false">IF(AND(CH$1&gt;=Units!$Q40,MOD(CH$1-Units!$Q40,12)=0),IF(AND(Units!$L40=1,CH$1=Units!$Q40),1,Inputs!$B$15)*Inputs!$B$16*(1+Inputs!$B$11)^(CH$2-1),0)</f>
        <v>0</v>
      </c>
      <c r="CI41" s="11" t="n">
        <f aca="false">IF(AND(CI$1&gt;=Units!$Q40,MOD(CI$1-Units!$Q40,12)=0),IF(AND(Units!$L40=1,CI$1=Units!$Q40),1,Inputs!$B$15)*Inputs!$B$16*(1+Inputs!$B$11)^(CI$2-1),0)</f>
        <v>614.936932712435</v>
      </c>
      <c r="CJ41" s="11" t="n">
        <f aca="false">IF(AND(CJ$1&gt;=Units!$Q40,MOD(CJ$1-Units!$Q40,12)=0),IF(AND(Units!$L40=1,CJ$1=Units!$Q40),1,Inputs!$B$15)*Inputs!$B$16*(1+Inputs!$B$11)^(CJ$2-1),0)</f>
        <v>0</v>
      </c>
      <c r="CK41" s="11" t="n">
        <f aca="false">IF(AND(CK$1&gt;=Units!$Q40,MOD(CK$1-Units!$Q40,12)=0),IF(AND(Units!$L40=1,CK$1=Units!$Q40),1,Inputs!$B$15)*Inputs!$B$16*(1+Inputs!$B$11)^(CK$2-1),0)</f>
        <v>0</v>
      </c>
      <c r="CL41" s="11" t="n">
        <f aca="false">IF(AND(CL$1&gt;=Units!$Q40,MOD(CL$1-Units!$Q40,12)=0),IF(AND(Units!$L40=1,CL$1=Units!$Q40),1,Inputs!$B$15)*Inputs!$B$16*(1+Inputs!$B$11)^(CL$2-1),0)</f>
        <v>0</v>
      </c>
      <c r="CM41" s="11" t="n">
        <f aca="false">IF(AND(CM$1&gt;=Units!$Q40,MOD(CM$1-Units!$Q40,12)=0),IF(AND(Units!$L40=1,CM$1=Units!$Q40),1,Inputs!$B$15)*Inputs!$B$16*(1+Inputs!$B$11)^(CM$2-1),0)</f>
        <v>0</v>
      </c>
      <c r="CN41" s="11" t="n">
        <f aca="false">IF(AND(CN$1&gt;=Units!$Q40,MOD(CN$1-Units!$Q40,12)=0),IF(AND(Units!$L40=1,CN$1=Units!$Q40),1,Inputs!$B$15)*Inputs!$B$16*(1+Inputs!$B$11)^(CN$2-1),0)</f>
        <v>0</v>
      </c>
      <c r="CO41" s="11" t="n">
        <f aca="false">IF(AND(CO$1&gt;=Units!$Q40,MOD(CO$1-Units!$Q40,12)=0),IF(AND(Units!$L40=1,CO$1=Units!$Q40),1,Inputs!$B$15)*Inputs!$B$16*(1+Inputs!$B$11)^(CO$2-1),0)</f>
        <v>0</v>
      </c>
      <c r="CP41" s="11" t="n">
        <f aca="false">IF(AND(CP$1&gt;=Units!$Q40,MOD(CP$1-Units!$Q40,12)=0),IF(AND(Units!$L40=1,CP$1=Units!$Q40),1,Inputs!$B$15)*Inputs!$B$16*(1+Inputs!$B$11)^(CP$2-1),0)</f>
        <v>0</v>
      </c>
      <c r="CQ41" s="11" t="n">
        <f aca="false">IF(AND(CQ$1&gt;=Units!$Q40,MOD(CQ$1-Units!$Q40,12)=0),IF(AND(Units!$L40=1,CQ$1=Units!$Q40),1,Inputs!$B$15)*Inputs!$B$16*(1+Inputs!$B$11)^(CQ$2-1),0)</f>
        <v>0</v>
      </c>
      <c r="CR41" s="11" t="n">
        <f aca="false">IF(AND(CR$1&gt;=Units!$Q40,MOD(CR$1-Units!$Q40,12)=0),IF(AND(Units!$L40=1,CR$1=Units!$Q40),1,Inputs!$B$15)*Inputs!$B$16*(1+Inputs!$B$11)^(CR$2-1),0)</f>
        <v>0</v>
      </c>
      <c r="CS41" s="11" t="n">
        <f aca="false">IF(AND(CS$1&gt;=Units!$Q40,MOD(CS$1-Units!$Q40,12)=0),IF(AND(Units!$L40=1,CS$1=Units!$Q40),1,Inputs!$B$15)*Inputs!$B$16*(1+Inputs!$B$11)^(CS$2-1),0)</f>
        <v>0</v>
      </c>
      <c r="CT41" s="11" t="n">
        <f aca="false">IF(AND(CT$1&gt;=Units!$Q40,MOD(CT$1-Units!$Q40,12)=0),IF(AND(Units!$L40=1,CT$1=Units!$Q40),1,Inputs!$B$15)*Inputs!$B$16*(1+Inputs!$B$11)^(CT$2-1),0)</f>
        <v>0</v>
      </c>
      <c r="CU41" s="11" t="n">
        <f aca="false">IF(AND(CU$1&gt;=Units!$Q40,MOD(CU$1-Units!$Q40,12)=0),IF(AND(Units!$L40=1,CU$1=Units!$Q40),1,Inputs!$B$15)*Inputs!$B$16*(1+Inputs!$B$11)^(CU$2-1),0)</f>
        <v>633.385040693808</v>
      </c>
      <c r="CV41" s="11" t="n">
        <f aca="false">IF(AND(CV$1&gt;=Units!$Q40,MOD(CV$1-Units!$Q40,12)=0),IF(AND(Units!$L40=1,CV$1=Units!$Q40),1,Inputs!$B$15)*Inputs!$B$16*(1+Inputs!$B$11)^(CV$2-1),0)</f>
        <v>0</v>
      </c>
      <c r="CW41" s="11" t="n">
        <f aca="false">IF(AND(CW$1&gt;=Units!$Q40,MOD(CW$1-Units!$Q40,12)=0),IF(AND(Units!$L40=1,CW$1=Units!$Q40),1,Inputs!$B$15)*Inputs!$B$16*(1+Inputs!$B$11)^(CW$2-1),0)</f>
        <v>0</v>
      </c>
      <c r="CX41" s="11" t="n">
        <f aca="false">IF(AND(CX$1&gt;=Units!$Q40,MOD(CX$1-Units!$Q40,12)=0),IF(AND(Units!$L40=1,CX$1=Units!$Q40),1,Inputs!$B$15)*Inputs!$B$16*(1+Inputs!$B$11)^(CX$2-1),0)</f>
        <v>0</v>
      </c>
      <c r="CY41" s="11" t="n">
        <f aca="false">IF(AND(CY$1&gt;=Units!$Q40,MOD(CY$1-Units!$Q40,12)=0),IF(AND(Units!$L40=1,CY$1=Units!$Q40),1,Inputs!$B$15)*Inputs!$B$16*(1+Inputs!$B$11)^(CY$2-1),0)</f>
        <v>0</v>
      </c>
      <c r="CZ41" s="11" t="n">
        <f aca="false">IF(AND(CZ$1&gt;=Units!$Q40,MOD(CZ$1-Units!$Q40,12)=0),IF(AND(Units!$L40=1,CZ$1=Units!$Q40),1,Inputs!$B$15)*Inputs!$B$16*(1+Inputs!$B$11)^(CZ$2-1),0)</f>
        <v>0</v>
      </c>
      <c r="DA41" s="11" t="n">
        <f aca="false">IF(AND(DA$1&gt;=Units!$Q40,MOD(DA$1-Units!$Q40,12)=0),IF(AND(Units!$L40=1,DA$1=Units!$Q40),1,Inputs!$B$15)*Inputs!$B$16*(1+Inputs!$B$11)^(DA$2-1),0)</f>
        <v>0</v>
      </c>
      <c r="DB41" s="11" t="n">
        <f aca="false">IF(AND(DB$1&gt;=Units!$Q40,MOD(DB$1-Units!$Q40,12)=0),IF(AND(Units!$L40=1,DB$1=Units!$Q40),1,Inputs!$B$15)*Inputs!$B$16*(1+Inputs!$B$11)^(DB$2-1),0)</f>
        <v>0</v>
      </c>
      <c r="DC41" s="11" t="n">
        <f aca="false">IF(AND(DC$1&gt;=Units!$Q40,MOD(DC$1-Units!$Q40,12)=0),IF(AND(Units!$L40=1,DC$1=Units!$Q40),1,Inputs!$B$15)*Inputs!$B$16*(1+Inputs!$B$11)^(DC$2-1),0)</f>
        <v>0</v>
      </c>
      <c r="DD41" s="11" t="n">
        <f aca="false">IF(AND(DD$1&gt;=Units!$Q40,MOD(DD$1-Units!$Q40,12)=0),IF(AND(Units!$L40=1,DD$1=Units!$Q40),1,Inputs!$B$15)*Inputs!$B$16*(1+Inputs!$B$11)^(DD$2-1),0)</f>
        <v>0</v>
      </c>
      <c r="DE41" s="11" t="n">
        <f aca="false">IF(AND(DE$1&gt;=Units!$Q40,MOD(DE$1-Units!$Q40,12)=0),IF(AND(Units!$L40=1,DE$1=Units!$Q40),1,Inputs!$B$15)*Inputs!$B$16*(1+Inputs!$B$11)^(DE$2-1),0)</f>
        <v>0</v>
      </c>
      <c r="DF41" s="11" t="n">
        <f aca="false">IF(AND(DF$1&gt;=Units!$Q40,MOD(DF$1-Units!$Q40,12)=0),IF(AND(Units!$L40=1,DF$1=Units!$Q40),1,Inputs!$B$15)*Inputs!$B$16*(1+Inputs!$B$11)^(DF$2-1),0)</f>
        <v>0</v>
      </c>
      <c r="DG41" s="11" t="n">
        <f aca="false">IF(AND(DG$1&gt;=Units!$Q40,MOD(DG$1-Units!$Q40,12)=0),IF(AND(Units!$L40=1,DG$1=Units!$Q40),1,Inputs!$B$15)*Inputs!$B$16*(1+Inputs!$B$11)^(DG$2-1),0)</f>
        <v>652.386591914623</v>
      </c>
      <c r="DH41" s="11" t="n">
        <f aca="false">IF(AND(DH$1&gt;=Units!$Q40,MOD(DH$1-Units!$Q40,12)=0),IF(AND(Units!$L40=1,DH$1=Units!$Q40),1,Inputs!$B$15)*Inputs!$B$16*(1+Inputs!$B$11)^(DH$2-1),0)</f>
        <v>0</v>
      </c>
      <c r="DI41" s="11" t="n">
        <f aca="false">IF(AND(DI$1&gt;=Units!$Q40,MOD(DI$1-Units!$Q40,12)=0),IF(AND(Units!$L40=1,DI$1=Units!$Q40),1,Inputs!$B$15)*Inputs!$B$16*(1+Inputs!$B$11)^(DI$2-1),0)</f>
        <v>0</v>
      </c>
      <c r="DJ41" s="11" t="n">
        <f aca="false">IF(AND(DJ$1&gt;=Units!$Q40,MOD(DJ$1-Units!$Q40,12)=0),IF(AND(Units!$L40=1,DJ$1=Units!$Q40),1,Inputs!$B$15)*Inputs!$B$16*(1+Inputs!$B$11)^(DJ$2-1),0)</f>
        <v>0</v>
      </c>
      <c r="DK41" s="11" t="n">
        <f aca="false">IF(AND(DK$1&gt;=Units!$Q40,MOD(DK$1-Units!$Q40,12)=0),IF(AND(Units!$L40=1,DK$1=Units!$Q40),1,Inputs!$B$15)*Inputs!$B$16*(1+Inputs!$B$11)^(DK$2-1),0)</f>
        <v>0</v>
      </c>
      <c r="DL41" s="11" t="n">
        <f aca="false">IF(AND(DL$1&gt;=Units!$Q40,MOD(DL$1-Units!$Q40,12)=0),IF(AND(Units!$L40=1,DL$1=Units!$Q40),1,Inputs!$B$15)*Inputs!$B$16*(1+Inputs!$B$11)^(DL$2-1),0)</f>
        <v>0</v>
      </c>
      <c r="DM41" s="11" t="n">
        <f aca="false">IF(AND(DM$1&gt;=Units!$Q40,MOD(DM$1-Units!$Q40,12)=0),IF(AND(Units!$L40=1,DM$1=Units!$Q40),1,Inputs!$B$15)*Inputs!$B$16*(1+Inputs!$B$11)^(DM$2-1),0)</f>
        <v>0</v>
      </c>
      <c r="DN41" s="11" t="n">
        <f aca="false">IF(AND(DN$1&gt;=Units!$Q40,MOD(DN$1-Units!$Q40,12)=0),IF(AND(Units!$L40=1,DN$1=Units!$Q40),1,Inputs!$B$15)*Inputs!$B$16*(1+Inputs!$B$11)^(DN$2-1),0)</f>
        <v>0</v>
      </c>
      <c r="DO41" s="11" t="n">
        <f aca="false">IF(AND(DO$1&gt;=Units!$Q40,MOD(DO$1-Units!$Q40,12)=0),IF(AND(Units!$L40=1,DO$1=Units!$Q40),1,Inputs!$B$15)*Inputs!$B$16*(1+Inputs!$B$11)^(DO$2-1),0)</f>
        <v>0</v>
      </c>
      <c r="DP41" s="11" t="n">
        <f aca="false">IF(AND(DP$1&gt;=Units!$Q40,MOD(DP$1-Units!$Q40,12)=0),IF(AND(Units!$L40=1,DP$1=Units!$Q40),1,Inputs!$B$15)*Inputs!$B$16*(1+Inputs!$B$11)^(DP$2-1),0)</f>
        <v>0</v>
      </c>
      <c r="DQ41" s="11" t="n">
        <f aca="false">IF(AND(DQ$1&gt;=Units!$Q40,MOD(DQ$1-Units!$Q40,12)=0),IF(AND(Units!$L40=1,DQ$1=Units!$Q40),1,Inputs!$B$15)*Inputs!$B$16*(1+Inputs!$B$11)^(DQ$2-1),0)</f>
        <v>0</v>
      </c>
      <c r="DR41" s="11" t="n">
        <f aca="false">IF(AND(DR$1&gt;=Units!$Q40,MOD(DR$1-Units!$Q40,12)=0),IF(AND(Units!$L40=1,DR$1=Units!$Q40),1,Inputs!$B$15)*Inputs!$B$16*(1+Inputs!$B$11)^(DR$2-1),0)</f>
        <v>0</v>
      </c>
      <c r="DS41" s="11" t="n">
        <f aca="false">IF(AND(DS$1&gt;=Units!$Q40,MOD(DS$1-Units!$Q40,12)=0),IF(AND(Units!$L40=1,DS$1=Units!$Q40),1,Inputs!$B$15)*Inputs!$B$16*(1+Inputs!$B$11)^(DS$2-1),0)</f>
        <v>671.958189672061</v>
      </c>
      <c r="DT41" s="11" t="n">
        <f aca="false">IF(AND(DT$1&gt;=Units!$Q40,MOD(DT$1-Units!$Q40,12)=0),IF(AND(Units!$L40=1,DT$1=Units!$Q40),1,Inputs!$B$15)*Inputs!$B$16*(1+Inputs!$B$11)^(DT$2-1),0)</f>
        <v>0</v>
      </c>
      <c r="DU41" s="11" t="n">
        <f aca="false">IF(AND(DU$1&gt;=Units!$Q40,MOD(DU$1-Units!$Q40,12)=0),IF(AND(Units!$L40=1,DU$1=Units!$Q40),1,Inputs!$B$15)*Inputs!$B$16*(1+Inputs!$B$11)^(DU$2-1),0)</f>
        <v>0</v>
      </c>
      <c r="DV41" s="11" t="n">
        <f aca="false">IF(AND(DV$1&gt;=Units!$Q40,MOD(DV$1-Units!$Q40,12)=0),IF(AND(Units!$L40=1,DV$1=Units!$Q40),1,Inputs!$B$15)*Inputs!$B$16*(1+Inputs!$B$11)^(DV$2-1),0)</f>
        <v>0</v>
      </c>
      <c r="DW41" s="11" t="n">
        <f aca="false">IF(AND(DW$1&gt;=Units!$Q40,MOD(DW$1-Units!$Q40,12)=0),IF(AND(Units!$L40=1,DW$1=Units!$Q40),1,Inputs!$B$15)*Inputs!$B$16*(1+Inputs!$B$11)^(DW$2-1),0)</f>
        <v>0</v>
      </c>
      <c r="DX41" s="11" t="n">
        <f aca="false">IF(AND(DX$1&gt;=Units!$Q40,MOD(DX$1-Units!$Q40,12)=0),IF(AND(Units!$L40=1,DX$1=Units!$Q40),1,Inputs!$B$15)*Inputs!$B$16*(1+Inputs!$B$11)^(DX$2-1),0)</f>
        <v>0</v>
      </c>
      <c r="DY41" s="11" t="n">
        <f aca="false">IF(AND(DY$1&gt;=Units!$Q40,MOD(DY$1-Units!$Q40,12)=0),IF(AND(Units!$L40=1,DY$1=Units!$Q40),1,Inputs!$B$15)*Inputs!$B$16*(1+Inputs!$B$11)^(DY$2-1),0)</f>
        <v>0</v>
      </c>
      <c r="DZ41" s="11" t="n">
        <f aca="false">IF(AND(DZ$1&gt;=Units!$Q40,MOD(DZ$1-Units!$Q40,12)=0),IF(AND(Units!$L40=1,DZ$1=Units!$Q40),1,Inputs!$B$15)*Inputs!$B$16*(1+Inputs!$B$11)^(DZ$2-1),0)</f>
        <v>0</v>
      </c>
      <c r="EA41" s="11" t="n">
        <f aca="false">IF(AND(EA$1&gt;=Units!$Q40,MOD(EA$1-Units!$Q40,12)=0),IF(AND(Units!$L40=1,EA$1=Units!$Q40),1,Inputs!$B$15)*Inputs!$B$16*(1+Inputs!$B$11)^(EA$2-1),0)</f>
        <v>0</v>
      </c>
      <c r="EB41" s="11" t="n">
        <f aca="false">IF(AND(EB$1&gt;=Units!$Q40,MOD(EB$1-Units!$Q40,12)=0),IF(AND(Units!$L40=1,EB$1=Units!$Q40),1,Inputs!$B$15)*Inputs!$B$16*(1+Inputs!$B$11)^(EB$2-1),0)</f>
        <v>0</v>
      </c>
      <c r="EC41" s="11" t="n">
        <f aca="false">IF(AND(EC$1&gt;=Units!$Q40,MOD(EC$1-Units!$Q40,12)=0),IF(AND(Units!$L40=1,EC$1=Units!$Q40),1,Inputs!$B$15)*Inputs!$B$16*(1+Inputs!$B$11)^(EC$2-1),0)</f>
        <v>0</v>
      </c>
      <c r="ED41" s="11" t="n">
        <f aca="false">IF(AND(ED$1&gt;=Units!$Q40,MOD(ED$1-Units!$Q40,12)=0),IF(AND(Units!$L40=1,ED$1=Units!$Q40),1,Inputs!$B$15)*Inputs!$B$16*(1+Inputs!$B$11)^(ED$2-1),0)</f>
        <v>0</v>
      </c>
    </row>
    <row r="42" customFormat="false" ht="15" hidden="false" customHeight="false" outlineLevel="0" collapsed="false">
      <c r="A42" s="22" t="n">
        <f aca="false">Units!A41</f>
        <v>210</v>
      </c>
      <c r="B42" s="23"/>
      <c r="C42" s="11" t="n">
        <f aca="false">IF(AND(C$1&gt;=Units!$Q41,MOD(C$1-Units!$Q41,12)=0),IF(AND(Units!$L41=1,C$1=Units!$Q41),1,Inputs!$B$15)*Inputs!$B$16*(1+Inputs!$B$11)^(C$2-1),0)</f>
        <v>0</v>
      </c>
      <c r="D42" s="11" t="n">
        <f aca="false">IF(AND(D$1&gt;=Units!$Q41,MOD(D$1-Units!$Q41,12)=0),IF(AND(Units!$L41=1,D$1=Units!$Q41),1,Inputs!$B$15)*Inputs!$B$16*(1+Inputs!$B$11)^(D$2-1),0)</f>
        <v>0</v>
      </c>
      <c r="E42" s="11" t="n">
        <f aca="false">IF(AND(E$1&gt;=Units!$Q41,MOD(E$1-Units!$Q41,12)=0),IF(AND(Units!$L41=1,E$1=Units!$Q41),1,Inputs!$B$15)*Inputs!$B$16*(1+Inputs!$B$11)^(E$2-1),0)</f>
        <v>0</v>
      </c>
      <c r="F42" s="11" t="n">
        <f aca="false">IF(AND(F$1&gt;=Units!$Q41,MOD(F$1-Units!$Q41,12)=0),IF(AND(Units!$L41=1,F$1=Units!$Q41),1,Inputs!$B$15)*Inputs!$B$16*(1+Inputs!$B$11)^(F$2-1),0)</f>
        <v>0</v>
      </c>
      <c r="G42" s="11" t="n">
        <f aca="false">IF(AND(G$1&gt;=Units!$Q41,MOD(G$1-Units!$Q41,12)=0),IF(AND(Units!$L41=1,G$1=Units!$Q41),1,Inputs!$B$15)*Inputs!$B$16*(1+Inputs!$B$11)^(G$2-1),0)</f>
        <v>0</v>
      </c>
      <c r="H42" s="11" t="n">
        <f aca="false">IF(AND(H$1&gt;=Units!$Q41,MOD(H$1-Units!$Q41,12)=0),IF(AND(Units!$L41=1,H$1=Units!$Q41),1,Inputs!$B$15)*Inputs!$B$16*(1+Inputs!$B$11)^(H$2-1),0)</f>
        <v>0</v>
      </c>
      <c r="I42" s="11" t="n">
        <f aca="false">IF(AND(I$1&gt;=Units!$Q41,MOD(I$1-Units!$Q41,12)=0),IF(AND(Units!$L41=1,I$1=Units!$Q41),1,Inputs!$B$15)*Inputs!$B$16*(1+Inputs!$B$11)^(I$2-1),0)</f>
        <v>0</v>
      </c>
      <c r="J42" s="11" t="n">
        <f aca="false">IF(AND(J$1&gt;=Units!$Q41,MOD(J$1-Units!$Q41,12)=0),IF(AND(Units!$L41=1,J$1=Units!$Q41),1,Inputs!$B$15)*Inputs!$B$16*(1+Inputs!$B$11)^(J$2-1),0)</f>
        <v>500</v>
      </c>
      <c r="K42" s="11" t="n">
        <f aca="false">IF(AND(K$1&gt;=Units!$Q41,MOD(K$1-Units!$Q41,12)=0),IF(AND(Units!$L41=1,K$1=Units!$Q41),1,Inputs!$B$15)*Inputs!$B$16*(1+Inputs!$B$11)^(K$2-1),0)</f>
        <v>0</v>
      </c>
      <c r="L42" s="11" t="n">
        <f aca="false">IF(AND(L$1&gt;=Units!$Q41,MOD(L$1-Units!$Q41,12)=0),IF(AND(Units!$L41=1,L$1=Units!$Q41),1,Inputs!$B$15)*Inputs!$B$16*(1+Inputs!$B$11)^(L$2-1),0)</f>
        <v>0</v>
      </c>
      <c r="M42" s="11" t="n">
        <f aca="false">IF(AND(M$1&gt;=Units!$Q41,MOD(M$1-Units!$Q41,12)=0),IF(AND(Units!$L41=1,M$1=Units!$Q41),1,Inputs!$B$15)*Inputs!$B$16*(1+Inputs!$B$11)^(M$2-1),0)</f>
        <v>0</v>
      </c>
      <c r="N42" s="11" t="n">
        <f aca="false">IF(AND(N$1&gt;=Units!$Q41,MOD(N$1-Units!$Q41,12)=0),IF(AND(Units!$L41=1,N$1=Units!$Q41),1,Inputs!$B$15)*Inputs!$B$16*(1+Inputs!$B$11)^(N$2-1),0)</f>
        <v>0</v>
      </c>
      <c r="O42" s="11" t="n">
        <f aca="false">IF(AND(O$1&gt;=Units!$Q41,MOD(O$1-Units!$Q41,12)=0),IF(AND(Units!$L41=1,O$1=Units!$Q41),1,Inputs!$B$15)*Inputs!$B$16*(1+Inputs!$B$11)^(O$2-1),0)</f>
        <v>0</v>
      </c>
      <c r="P42" s="11" t="n">
        <f aca="false">IF(AND(P$1&gt;=Units!$Q41,MOD(P$1-Units!$Q41,12)=0),IF(AND(Units!$L41=1,P$1=Units!$Q41),1,Inputs!$B$15)*Inputs!$B$16*(1+Inputs!$B$11)^(P$2-1),0)</f>
        <v>0</v>
      </c>
      <c r="Q42" s="11" t="n">
        <f aca="false">IF(AND(Q$1&gt;=Units!$Q41,MOD(Q$1-Units!$Q41,12)=0),IF(AND(Units!$L41=1,Q$1=Units!$Q41),1,Inputs!$B$15)*Inputs!$B$16*(1+Inputs!$B$11)^(Q$2-1),0)</f>
        <v>0</v>
      </c>
      <c r="R42" s="11" t="n">
        <f aca="false">IF(AND(R$1&gt;=Units!$Q41,MOD(R$1-Units!$Q41,12)=0),IF(AND(Units!$L41=1,R$1=Units!$Q41),1,Inputs!$B$15)*Inputs!$B$16*(1+Inputs!$B$11)^(R$2-1),0)</f>
        <v>0</v>
      </c>
      <c r="S42" s="11" t="n">
        <f aca="false">IF(AND(S$1&gt;=Units!$Q41,MOD(S$1-Units!$Q41,12)=0),IF(AND(Units!$L41=1,S$1=Units!$Q41),1,Inputs!$B$15)*Inputs!$B$16*(1+Inputs!$B$11)^(S$2-1),0)</f>
        <v>0</v>
      </c>
      <c r="T42" s="11" t="n">
        <f aca="false">IF(AND(T$1&gt;=Units!$Q41,MOD(T$1-Units!$Q41,12)=0),IF(AND(Units!$L41=1,T$1=Units!$Q41),1,Inputs!$B$15)*Inputs!$B$16*(1+Inputs!$B$11)^(T$2-1),0)</f>
        <v>0</v>
      </c>
      <c r="U42" s="11" t="n">
        <f aca="false">IF(AND(U$1&gt;=Units!$Q41,MOD(U$1-Units!$Q41,12)=0),IF(AND(Units!$L41=1,U$1=Units!$Q41),1,Inputs!$B$15)*Inputs!$B$16*(1+Inputs!$B$11)^(U$2-1),0)</f>
        <v>0</v>
      </c>
      <c r="V42" s="11" t="n">
        <f aca="false">IF(AND(V$1&gt;=Units!$Q41,MOD(V$1-Units!$Q41,12)=0),IF(AND(Units!$L41=1,V$1=Units!$Q41),1,Inputs!$B$15)*Inputs!$B$16*(1+Inputs!$B$11)^(V$2-1),0)</f>
        <v>515</v>
      </c>
      <c r="W42" s="11" t="n">
        <f aca="false">IF(AND(W$1&gt;=Units!$Q41,MOD(W$1-Units!$Q41,12)=0),IF(AND(Units!$L41=1,W$1=Units!$Q41),1,Inputs!$B$15)*Inputs!$B$16*(1+Inputs!$B$11)^(W$2-1),0)</f>
        <v>0</v>
      </c>
      <c r="X42" s="11" t="n">
        <f aca="false">IF(AND(X$1&gt;=Units!$Q41,MOD(X$1-Units!$Q41,12)=0),IF(AND(Units!$L41=1,X$1=Units!$Q41),1,Inputs!$B$15)*Inputs!$B$16*(1+Inputs!$B$11)^(X$2-1),0)</f>
        <v>0</v>
      </c>
      <c r="Y42" s="11" t="n">
        <f aca="false">IF(AND(Y$1&gt;=Units!$Q41,MOD(Y$1-Units!$Q41,12)=0),IF(AND(Units!$L41=1,Y$1=Units!$Q41),1,Inputs!$B$15)*Inputs!$B$16*(1+Inputs!$B$11)^(Y$2-1),0)</f>
        <v>0</v>
      </c>
      <c r="Z42" s="11" t="n">
        <f aca="false">IF(AND(Z$1&gt;=Units!$Q41,MOD(Z$1-Units!$Q41,12)=0),IF(AND(Units!$L41=1,Z$1=Units!$Q41),1,Inputs!$B$15)*Inputs!$B$16*(1+Inputs!$B$11)^(Z$2-1),0)</f>
        <v>0</v>
      </c>
      <c r="AA42" s="11" t="n">
        <f aca="false">IF(AND(AA$1&gt;=Units!$Q41,MOD(AA$1-Units!$Q41,12)=0),IF(AND(Units!$L41=1,AA$1=Units!$Q41),1,Inputs!$B$15)*Inputs!$B$16*(1+Inputs!$B$11)^(AA$2-1),0)</f>
        <v>0</v>
      </c>
      <c r="AB42" s="11" t="n">
        <f aca="false">IF(AND(AB$1&gt;=Units!$Q41,MOD(AB$1-Units!$Q41,12)=0),IF(AND(Units!$L41=1,AB$1=Units!$Q41),1,Inputs!$B$15)*Inputs!$B$16*(1+Inputs!$B$11)^(AB$2-1),0)</f>
        <v>0</v>
      </c>
      <c r="AC42" s="11" t="n">
        <f aca="false">IF(AND(AC$1&gt;=Units!$Q41,MOD(AC$1-Units!$Q41,12)=0),IF(AND(Units!$L41=1,AC$1=Units!$Q41),1,Inputs!$B$15)*Inputs!$B$16*(1+Inputs!$B$11)^(AC$2-1),0)</f>
        <v>0</v>
      </c>
      <c r="AD42" s="11" t="n">
        <f aca="false">IF(AND(AD$1&gt;=Units!$Q41,MOD(AD$1-Units!$Q41,12)=0),IF(AND(Units!$L41=1,AD$1=Units!$Q41),1,Inputs!$B$15)*Inputs!$B$16*(1+Inputs!$B$11)^(AD$2-1),0)</f>
        <v>0</v>
      </c>
      <c r="AE42" s="11" t="n">
        <f aca="false">IF(AND(AE$1&gt;=Units!$Q41,MOD(AE$1-Units!$Q41,12)=0),IF(AND(Units!$L41=1,AE$1=Units!$Q41),1,Inputs!$B$15)*Inputs!$B$16*(1+Inputs!$B$11)^(AE$2-1),0)</f>
        <v>0</v>
      </c>
      <c r="AF42" s="11" t="n">
        <f aca="false">IF(AND(AF$1&gt;=Units!$Q41,MOD(AF$1-Units!$Q41,12)=0),IF(AND(Units!$L41=1,AF$1=Units!$Q41),1,Inputs!$B$15)*Inputs!$B$16*(1+Inputs!$B$11)^(AF$2-1),0)</f>
        <v>0</v>
      </c>
      <c r="AG42" s="11" t="n">
        <f aca="false">IF(AND(AG$1&gt;=Units!$Q41,MOD(AG$1-Units!$Q41,12)=0),IF(AND(Units!$L41=1,AG$1=Units!$Q41),1,Inputs!$B$15)*Inputs!$B$16*(1+Inputs!$B$11)^(AG$2-1),0)</f>
        <v>0</v>
      </c>
      <c r="AH42" s="11" t="n">
        <f aca="false">IF(AND(AH$1&gt;=Units!$Q41,MOD(AH$1-Units!$Q41,12)=0),IF(AND(Units!$L41=1,AH$1=Units!$Q41),1,Inputs!$B$15)*Inputs!$B$16*(1+Inputs!$B$11)^(AH$2-1),0)</f>
        <v>530.45</v>
      </c>
      <c r="AI42" s="11" t="n">
        <f aca="false">IF(AND(AI$1&gt;=Units!$Q41,MOD(AI$1-Units!$Q41,12)=0),IF(AND(Units!$L41=1,AI$1=Units!$Q41),1,Inputs!$B$15)*Inputs!$B$16*(1+Inputs!$B$11)^(AI$2-1),0)</f>
        <v>0</v>
      </c>
      <c r="AJ42" s="11" t="n">
        <f aca="false">IF(AND(AJ$1&gt;=Units!$Q41,MOD(AJ$1-Units!$Q41,12)=0),IF(AND(Units!$L41=1,AJ$1=Units!$Q41),1,Inputs!$B$15)*Inputs!$B$16*(1+Inputs!$B$11)^(AJ$2-1),0)</f>
        <v>0</v>
      </c>
      <c r="AK42" s="11" t="n">
        <f aca="false">IF(AND(AK$1&gt;=Units!$Q41,MOD(AK$1-Units!$Q41,12)=0),IF(AND(Units!$L41=1,AK$1=Units!$Q41),1,Inputs!$B$15)*Inputs!$B$16*(1+Inputs!$B$11)^(AK$2-1),0)</f>
        <v>0</v>
      </c>
      <c r="AL42" s="11" t="n">
        <f aca="false">IF(AND(AL$1&gt;=Units!$Q41,MOD(AL$1-Units!$Q41,12)=0),IF(AND(Units!$L41=1,AL$1=Units!$Q41),1,Inputs!$B$15)*Inputs!$B$16*(1+Inputs!$B$11)^(AL$2-1),0)</f>
        <v>0</v>
      </c>
      <c r="AM42" s="11" t="n">
        <f aca="false">IF(AND(AM$1&gt;=Units!$Q41,MOD(AM$1-Units!$Q41,12)=0),IF(AND(Units!$L41=1,AM$1=Units!$Q41),1,Inputs!$B$15)*Inputs!$B$16*(1+Inputs!$B$11)^(AM$2-1),0)</f>
        <v>0</v>
      </c>
      <c r="AN42" s="11" t="n">
        <f aca="false">IF(AND(AN$1&gt;=Units!$Q41,MOD(AN$1-Units!$Q41,12)=0),IF(AND(Units!$L41=1,AN$1=Units!$Q41),1,Inputs!$B$15)*Inputs!$B$16*(1+Inputs!$B$11)^(AN$2-1),0)</f>
        <v>0</v>
      </c>
      <c r="AO42" s="11" t="n">
        <f aca="false">IF(AND(AO$1&gt;=Units!$Q41,MOD(AO$1-Units!$Q41,12)=0),IF(AND(Units!$L41=1,AO$1=Units!$Q41),1,Inputs!$B$15)*Inputs!$B$16*(1+Inputs!$B$11)^(AO$2-1),0)</f>
        <v>0</v>
      </c>
      <c r="AP42" s="11" t="n">
        <f aca="false">IF(AND(AP$1&gt;=Units!$Q41,MOD(AP$1-Units!$Q41,12)=0),IF(AND(Units!$L41=1,AP$1=Units!$Q41),1,Inputs!$B$15)*Inputs!$B$16*(1+Inputs!$B$11)^(AP$2-1),0)</f>
        <v>0</v>
      </c>
      <c r="AQ42" s="11" t="n">
        <f aca="false">IF(AND(AQ$1&gt;=Units!$Q41,MOD(AQ$1-Units!$Q41,12)=0),IF(AND(Units!$L41=1,AQ$1=Units!$Q41),1,Inputs!$B$15)*Inputs!$B$16*(1+Inputs!$B$11)^(AQ$2-1),0)</f>
        <v>0</v>
      </c>
      <c r="AR42" s="11" t="n">
        <f aca="false">IF(AND(AR$1&gt;=Units!$Q41,MOD(AR$1-Units!$Q41,12)=0),IF(AND(Units!$L41=1,AR$1=Units!$Q41),1,Inputs!$B$15)*Inputs!$B$16*(1+Inputs!$B$11)^(AR$2-1),0)</f>
        <v>0</v>
      </c>
      <c r="AS42" s="11" t="n">
        <f aca="false">IF(AND(AS$1&gt;=Units!$Q41,MOD(AS$1-Units!$Q41,12)=0),IF(AND(Units!$L41=1,AS$1=Units!$Q41),1,Inputs!$B$15)*Inputs!$B$16*(1+Inputs!$B$11)^(AS$2-1),0)</f>
        <v>0</v>
      </c>
      <c r="AT42" s="11" t="n">
        <f aca="false">IF(AND(AT$1&gt;=Units!$Q41,MOD(AT$1-Units!$Q41,12)=0),IF(AND(Units!$L41=1,AT$1=Units!$Q41),1,Inputs!$B$15)*Inputs!$B$16*(1+Inputs!$B$11)^(AT$2-1),0)</f>
        <v>546.3635</v>
      </c>
      <c r="AU42" s="11" t="n">
        <f aca="false">IF(AND(AU$1&gt;=Units!$Q41,MOD(AU$1-Units!$Q41,12)=0),IF(AND(Units!$L41=1,AU$1=Units!$Q41),1,Inputs!$B$15)*Inputs!$B$16*(1+Inputs!$B$11)^(AU$2-1),0)</f>
        <v>0</v>
      </c>
      <c r="AV42" s="11" t="n">
        <f aca="false">IF(AND(AV$1&gt;=Units!$Q41,MOD(AV$1-Units!$Q41,12)=0),IF(AND(Units!$L41=1,AV$1=Units!$Q41),1,Inputs!$B$15)*Inputs!$B$16*(1+Inputs!$B$11)^(AV$2-1),0)</f>
        <v>0</v>
      </c>
      <c r="AW42" s="11" t="n">
        <f aca="false">IF(AND(AW$1&gt;=Units!$Q41,MOD(AW$1-Units!$Q41,12)=0),IF(AND(Units!$L41=1,AW$1=Units!$Q41),1,Inputs!$B$15)*Inputs!$B$16*(1+Inputs!$B$11)^(AW$2-1),0)</f>
        <v>0</v>
      </c>
      <c r="AX42" s="11" t="n">
        <f aca="false">IF(AND(AX$1&gt;=Units!$Q41,MOD(AX$1-Units!$Q41,12)=0),IF(AND(Units!$L41=1,AX$1=Units!$Q41),1,Inputs!$B$15)*Inputs!$B$16*(1+Inputs!$B$11)^(AX$2-1),0)</f>
        <v>0</v>
      </c>
      <c r="AY42" s="11" t="n">
        <f aca="false">IF(AND(AY$1&gt;=Units!$Q41,MOD(AY$1-Units!$Q41,12)=0),IF(AND(Units!$L41=1,AY$1=Units!$Q41),1,Inputs!$B$15)*Inputs!$B$16*(1+Inputs!$B$11)^(AY$2-1),0)</f>
        <v>0</v>
      </c>
      <c r="AZ42" s="11" t="n">
        <f aca="false">IF(AND(AZ$1&gt;=Units!$Q41,MOD(AZ$1-Units!$Q41,12)=0),IF(AND(Units!$L41=1,AZ$1=Units!$Q41),1,Inputs!$B$15)*Inputs!$B$16*(1+Inputs!$B$11)^(AZ$2-1),0)</f>
        <v>0</v>
      </c>
      <c r="BA42" s="11" t="n">
        <f aca="false">IF(AND(BA$1&gt;=Units!$Q41,MOD(BA$1-Units!$Q41,12)=0),IF(AND(Units!$L41=1,BA$1=Units!$Q41),1,Inputs!$B$15)*Inputs!$B$16*(1+Inputs!$B$11)^(BA$2-1),0)</f>
        <v>0</v>
      </c>
      <c r="BB42" s="11" t="n">
        <f aca="false">IF(AND(BB$1&gt;=Units!$Q41,MOD(BB$1-Units!$Q41,12)=0),IF(AND(Units!$L41=1,BB$1=Units!$Q41),1,Inputs!$B$15)*Inputs!$B$16*(1+Inputs!$B$11)^(BB$2-1),0)</f>
        <v>0</v>
      </c>
      <c r="BC42" s="11" t="n">
        <f aca="false">IF(AND(BC$1&gt;=Units!$Q41,MOD(BC$1-Units!$Q41,12)=0),IF(AND(Units!$L41=1,BC$1=Units!$Q41),1,Inputs!$B$15)*Inputs!$B$16*(1+Inputs!$B$11)^(BC$2-1),0)</f>
        <v>0</v>
      </c>
      <c r="BD42" s="11" t="n">
        <f aca="false">IF(AND(BD$1&gt;=Units!$Q41,MOD(BD$1-Units!$Q41,12)=0),IF(AND(Units!$L41=1,BD$1=Units!$Q41),1,Inputs!$B$15)*Inputs!$B$16*(1+Inputs!$B$11)^(BD$2-1),0)</f>
        <v>0</v>
      </c>
      <c r="BE42" s="11" t="n">
        <f aca="false">IF(AND(BE$1&gt;=Units!$Q41,MOD(BE$1-Units!$Q41,12)=0),IF(AND(Units!$L41=1,BE$1=Units!$Q41),1,Inputs!$B$15)*Inputs!$B$16*(1+Inputs!$B$11)^(BE$2-1),0)</f>
        <v>0</v>
      </c>
      <c r="BF42" s="11" t="n">
        <f aca="false">IF(AND(BF$1&gt;=Units!$Q41,MOD(BF$1-Units!$Q41,12)=0),IF(AND(Units!$L41=1,BF$1=Units!$Q41),1,Inputs!$B$15)*Inputs!$B$16*(1+Inputs!$B$11)^(BF$2-1),0)</f>
        <v>562.754405</v>
      </c>
      <c r="BG42" s="11" t="n">
        <f aca="false">IF(AND(BG$1&gt;=Units!$Q41,MOD(BG$1-Units!$Q41,12)=0),IF(AND(Units!$L41=1,BG$1=Units!$Q41),1,Inputs!$B$15)*Inputs!$B$16*(1+Inputs!$B$11)^(BG$2-1),0)</f>
        <v>0</v>
      </c>
      <c r="BH42" s="11" t="n">
        <f aca="false">IF(AND(BH$1&gt;=Units!$Q41,MOD(BH$1-Units!$Q41,12)=0),IF(AND(Units!$L41=1,BH$1=Units!$Q41),1,Inputs!$B$15)*Inputs!$B$16*(1+Inputs!$B$11)^(BH$2-1),0)</f>
        <v>0</v>
      </c>
      <c r="BI42" s="11" t="n">
        <f aca="false">IF(AND(BI$1&gt;=Units!$Q41,MOD(BI$1-Units!$Q41,12)=0),IF(AND(Units!$L41=1,BI$1=Units!$Q41),1,Inputs!$B$15)*Inputs!$B$16*(1+Inputs!$B$11)^(BI$2-1),0)</f>
        <v>0</v>
      </c>
      <c r="BJ42" s="11" t="n">
        <f aca="false">IF(AND(BJ$1&gt;=Units!$Q41,MOD(BJ$1-Units!$Q41,12)=0),IF(AND(Units!$L41=1,BJ$1=Units!$Q41),1,Inputs!$B$15)*Inputs!$B$16*(1+Inputs!$B$11)^(BJ$2-1),0)</f>
        <v>0</v>
      </c>
      <c r="BK42" s="11" t="n">
        <f aca="false">IF(AND(BK$1&gt;=Units!$Q41,MOD(BK$1-Units!$Q41,12)=0),IF(AND(Units!$L41=1,BK$1=Units!$Q41),1,Inputs!$B$15)*Inputs!$B$16*(1+Inputs!$B$11)^(BK$2-1),0)</f>
        <v>0</v>
      </c>
      <c r="BL42" s="11" t="n">
        <f aca="false">IF(AND(BL$1&gt;=Units!$Q41,MOD(BL$1-Units!$Q41,12)=0),IF(AND(Units!$L41=1,BL$1=Units!$Q41),1,Inputs!$B$15)*Inputs!$B$16*(1+Inputs!$B$11)^(BL$2-1),0)</f>
        <v>0</v>
      </c>
      <c r="BM42" s="11" t="n">
        <f aca="false">IF(AND(BM$1&gt;=Units!$Q41,MOD(BM$1-Units!$Q41,12)=0),IF(AND(Units!$L41=1,BM$1=Units!$Q41),1,Inputs!$B$15)*Inputs!$B$16*(1+Inputs!$B$11)^(BM$2-1),0)</f>
        <v>0</v>
      </c>
      <c r="BN42" s="11" t="n">
        <f aca="false">IF(AND(BN$1&gt;=Units!$Q41,MOD(BN$1-Units!$Q41,12)=0),IF(AND(Units!$L41=1,BN$1=Units!$Q41),1,Inputs!$B$15)*Inputs!$B$16*(1+Inputs!$B$11)^(BN$2-1),0)</f>
        <v>0</v>
      </c>
      <c r="BO42" s="11" t="n">
        <f aca="false">IF(AND(BO$1&gt;=Units!$Q41,MOD(BO$1-Units!$Q41,12)=0),IF(AND(Units!$L41=1,BO$1=Units!$Q41),1,Inputs!$B$15)*Inputs!$B$16*(1+Inputs!$B$11)^(BO$2-1),0)</f>
        <v>0</v>
      </c>
      <c r="BP42" s="11" t="n">
        <f aca="false">IF(AND(BP$1&gt;=Units!$Q41,MOD(BP$1-Units!$Q41,12)=0),IF(AND(Units!$L41=1,BP$1=Units!$Q41),1,Inputs!$B$15)*Inputs!$B$16*(1+Inputs!$B$11)^(BP$2-1),0)</f>
        <v>0</v>
      </c>
      <c r="BQ42" s="11" t="n">
        <f aca="false">IF(AND(BQ$1&gt;=Units!$Q41,MOD(BQ$1-Units!$Q41,12)=0),IF(AND(Units!$L41=1,BQ$1=Units!$Q41),1,Inputs!$B$15)*Inputs!$B$16*(1+Inputs!$B$11)^(BQ$2-1),0)</f>
        <v>0</v>
      </c>
      <c r="BR42" s="11" t="n">
        <f aca="false">IF(AND(BR$1&gt;=Units!$Q41,MOD(BR$1-Units!$Q41,12)=0),IF(AND(Units!$L41=1,BR$1=Units!$Q41),1,Inputs!$B$15)*Inputs!$B$16*(1+Inputs!$B$11)^(BR$2-1),0)</f>
        <v>579.63703715</v>
      </c>
      <c r="BS42" s="11" t="n">
        <f aca="false">IF(AND(BS$1&gt;=Units!$Q41,MOD(BS$1-Units!$Q41,12)=0),IF(AND(Units!$L41=1,BS$1=Units!$Q41),1,Inputs!$B$15)*Inputs!$B$16*(1+Inputs!$B$11)^(BS$2-1),0)</f>
        <v>0</v>
      </c>
      <c r="BT42" s="11" t="n">
        <f aca="false">IF(AND(BT$1&gt;=Units!$Q41,MOD(BT$1-Units!$Q41,12)=0),IF(AND(Units!$L41=1,BT$1=Units!$Q41),1,Inputs!$B$15)*Inputs!$B$16*(1+Inputs!$B$11)^(BT$2-1),0)</f>
        <v>0</v>
      </c>
      <c r="BU42" s="11" t="n">
        <f aca="false">IF(AND(BU$1&gt;=Units!$Q41,MOD(BU$1-Units!$Q41,12)=0),IF(AND(Units!$L41=1,BU$1=Units!$Q41),1,Inputs!$B$15)*Inputs!$B$16*(1+Inputs!$B$11)^(BU$2-1),0)</f>
        <v>0</v>
      </c>
      <c r="BV42" s="11" t="n">
        <f aca="false">IF(AND(BV$1&gt;=Units!$Q41,MOD(BV$1-Units!$Q41,12)=0),IF(AND(Units!$L41=1,BV$1=Units!$Q41),1,Inputs!$B$15)*Inputs!$B$16*(1+Inputs!$B$11)^(BV$2-1),0)</f>
        <v>0</v>
      </c>
      <c r="BW42" s="11" t="n">
        <f aca="false">IF(AND(BW$1&gt;=Units!$Q41,MOD(BW$1-Units!$Q41,12)=0),IF(AND(Units!$L41=1,BW$1=Units!$Q41),1,Inputs!$B$15)*Inputs!$B$16*(1+Inputs!$B$11)^(BW$2-1),0)</f>
        <v>0</v>
      </c>
      <c r="BX42" s="11" t="n">
        <f aca="false">IF(AND(BX$1&gt;=Units!$Q41,MOD(BX$1-Units!$Q41,12)=0),IF(AND(Units!$L41=1,BX$1=Units!$Q41),1,Inputs!$B$15)*Inputs!$B$16*(1+Inputs!$B$11)^(BX$2-1),0)</f>
        <v>0</v>
      </c>
      <c r="BY42" s="11" t="n">
        <f aca="false">IF(AND(BY$1&gt;=Units!$Q41,MOD(BY$1-Units!$Q41,12)=0),IF(AND(Units!$L41=1,BY$1=Units!$Q41),1,Inputs!$B$15)*Inputs!$B$16*(1+Inputs!$B$11)^(BY$2-1),0)</f>
        <v>0</v>
      </c>
      <c r="BZ42" s="11" t="n">
        <f aca="false">IF(AND(BZ$1&gt;=Units!$Q41,MOD(BZ$1-Units!$Q41,12)=0),IF(AND(Units!$L41=1,BZ$1=Units!$Q41),1,Inputs!$B$15)*Inputs!$B$16*(1+Inputs!$B$11)^(BZ$2-1),0)</f>
        <v>0</v>
      </c>
      <c r="CA42" s="11" t="n">
        <f aca="false">IF(AND(CA$1&gt;=Units!$Q41,MOD(CA$1-Units!$Q41,12)=0),IF(AND(Units!$L41=1,CA$1=Units!$Q41),1,Inputs!$B$15)*Inputs!$B$16*(1+Inputs!$B$11)^(CA$2-1),0)</f>
        <v>0</v>
      </c>
      <c r="CB42" s="11" t="n">
        <f aca="false">IF(AND(CB$1&gt;=Units!$Q41,MOD(CB$1-Units!$Q41,12)=0),IF(AND(Units!$L41=1,CB$1=Units!$Q41),1,Inputs!$B$15)*Inputs!$B$16*(1+Inputs!$B$11)^(CB$2-1),0)</f>
        <v>0</v>
      </c>
      <c r="CC42" s="11" t="n">
        <f aca="false">IF(AND(CC$1&gt;=Units!$Q41,MOD(CC$1-Units!$Q41,12)=0),IF(AND(Units!$L41=1,CC$1=Units!$Q41),1,Inputs!$B$15)*Inputs!$B$16*(1+Inputs!$B$11)^(CC$2-1),0)</f>
        <v>0</v>
      </c>
      <c r="CD42" s="11" t="n">
        <f aca="false">IF(AND(CD$1&gt;=Units!$Q41,MOD(CD$1-Units!$Q41,12)=0),IF(AND(Units!$L41=1,CD$1=Units!$Q41),1,Inputs!$B$15)*Inputs!$B$16*(1+Inputs!$B$11)^(CD$2-1),0)</f>
        <v>597.0261482645</v>
      </c>
      <c r="CE42" s="11" t="n">
        <f aca="false">IF(AND(CE$1&gt;=Units!$Q41,MOD(CE$1-Units!$Q41,12)=0),IF(AND(Units!$L41=1,CE$1=Units!$Q41),1,Inputs!$B$15)*Inputs!$B$16*(1+Inputs!$B$11)^(CE$2-1),0)</f>
        <v>0</v>
      </c>
      <c r="CF42" s="11" t="n">
        <f aca="false">IF(AND(CF$1&gt;=Units!$Q41,MOD(CF$1-Units!$Q41,12)=0),IF(AND(Units!$L41=1,CF$1=Units!$Q41),1,Inputs!$B$15)*Inputs!$B$16*(1+Inputs!$B$11)^(CF$2-1),0)</f>
        <v>0</v>
      </c>
      <c r="CG42" s="11" t="n">
        <f aca="false">IF(AND(CG$1&gt;=Units!$Q41,MOD(CG$1-Units!$Q41,12)=0),IF(AND(Units!$L41=1,CG$1=Units!$Q41),1,Inputs!$B$15)*Inputs!$B$16*(1+Inputs!$B$11)^(CG$2-1),0)</f>
        <v>0</v>
      </c>
      <c r="CH42" s="11" t="n">
        <f aca="false">IF(AND(CH$1&gt;=Units!$Q41,MOD(CH$1-Units!$Q41,12)=0),IF(AND(Units!$L41=1,CH$1=Units!$Q41),1,Inputs!$B$15)*Inputs!$B$16*(1+Inputs!$B$11)^(CH$2-1),0)</f>
        <v>0</v>
      </c>
      <c r="CI42" s="11" t="n">
        <f aca="false">IF(AND(CI$1&gt;=Units!$Q41,MOD(CI$1-Units!$Q41,12)=0),IF(AND(Units!$L41=1,CI$1=Units!$Q41),1,Inputs!$B$15)*Inputs!$B$16*(1+Inputs!$B$11)^(CI$2-1),0)</f>
        <v>0</v>
      </c>
      <c r="CJ42" s="11" t="n">
        <f aca="false">IF(AND(CJ$1&gt;=Units!$Q41,MOD(CJ$1-Units!$Q41,12)=0),IF(AND(Units!$L41=1,CJ$1=Units!$Q41),1,Inputs!$B$15)*Inputs!$B$16*(1+Inputs!$B$11)^(CJ$2-1),0)</f>
        <v>0</v>
      </c>
      <c r="CK42" s="11" t="n">
        <f aca="false">IF(AND(CK$1&gt;=Units!$Q41,MOD(CK$1-Units!$Q41,12)=0),IF(AND(Units!$L41=1,CK$1=Units!$Q41),1,Inputs!$B$15)*Inputs!$B$16*(1+Inputs!$B$11)^(CK$2-1),0)</f>
        <v>0</v>
      </c>
      <c r="CL42" s="11" t="n">
        <f aca="false">IF(AND(CL$1&gt;=Units!$Q41,MOD(CL$1-Units!$Q41,12)=0),IF(AND(Units!$L41=1,CL$1=Units!$Q41),1,Inputs!$B$15)*Inputs!$B$16*(1+Inputs!$B$11)^(CL$2-1),0)</f>
        <v>0</v>
      </c>
      <c r="CM42" s="11" t="n">
        <f aca="false">IF(AND(CM$1&gt;=Units!$Q41,MOD(CM$1-Units!$Q41,12)=0),IF(AND(Units!$L41=1,CM$1=Units!$Q41),1,Inputs!$B$15)*Inputs!$B$16*(1+Inputs!$B$11)^(CM$2-1),0)</f>
        <v>0</v>
      </c>
      <c r="CN42" s="11" t="n">
        <f aca="false">IF(AND(CN$1&gt;=Units!$Q41,MOD(CN$1-Units!$Q41,12)=0),IF(AND(Units!$L41=1,CN$1=Units!$Q41),1,Inputs!$B$15)*Inputs!$B$16*(1+Inputs!$B$11)^(CN$2-1),0)</f>
        <v>0</v>
      </c>
      <c r="CO42" s="11" t="n">
        <f aca="false">IF(AND(CO$1&gt;=Units!$Q41,MOD(CO$1-Units!$Q41,12)=0),IF(AND(Units!$L41=1,CO$1=Units!$Q41),1,Inputs!$B$15)*Inputs!$B$16*(1+Inputs!$B$11)^(CO$2-1),0)</f>
        <v>0</v>
      </c>
      <c r="CP42" s="11" t="n">
        <f aca="false">IF(AND(CP$1&gt;=Units!$Q41,MOD(CP$1-Units!$Q41,12)=0),IF(AND(Units!$L41=1,CP$1=Units!$Q41),1,Inputs!$B$15)*Inputs!$B$16*(1+Inputs!$B$11)^(CP$2-1),0)</f>
        <v>614.936932712435</v>
      </c>
      <c r="CQ42" s="11" t="n">
        <f aca="false">IF(AND(CQ$1&gt;=Units!$Q41,MOD(CQ$1-Units!$Q41,12)=0),IF(AND(Units!$L41=1,CQ$1=Units!$Q41),1,Inputs!$B$15)*Inputs!$B$16*(1+Inputs!$B$11)^(CQ$2-1),0)</f>
        <v>0</v>
      </c>
      <c r="CR42" s="11" t="n">
        <f aca="false">IF(AND(CR$1&gt;=Units!$Q41,MOD(CR$1-Units!$Q41,12)=0),IF(AND(Units!$L41=1,CR$1=Units!$Q41),1,Inputs!$B$15)*Inputs!$B$16*(1+Inputs!$B$11)^(CR$2-1),0)</f>
        <v>0</v>
      </c>
      <c r="CS42" s="11" t="n">
        <f aca="false">IF(AND(CS$1&gt;=Units!$Q41,MOD(CS$1-Units!$Q41,12)=0),IF(AND(Units!$L41=1,CS$1=Units!$Q41),1,Inputs!$B$15)*Inputs!$B$16*(1+Inputs!$B$11)^(CS$2-1),0)</f>
        <v>0</v>
      </c>
      <c r="CT42" s="11" t="n">
        <f aca="false">IF(AND(CT$1&gt;=Units!$Q41,MOD(CT$1-Units!$Q41,12)=0),IF(AND(Units!$L41=1,CT$1=Units!$Q41),1,Inputs!$B$15)*Inputs!$B$16*(1+Inputs!$B$11)^(CT$2-1),0)</f>
        <v>0</v>
      </c>
      <c r="CU42" s="11" t="n">
        <f aca="false">IF(AND(CU$1&gt;=Units!$Q41,MOD(CU$1-Units!$Q41,12)=0),IF(AND(Units!$L41=1,CU$1=Units!$Q41),1,Inputs!$B$15)*Inputs!$B$16*(1+Inputs!$B$11)^(CU$2-1),0)</f>
        <v>0</v>
      </c>
      <c r="CV42" s="11" t="n">
        <f aca="false">IF(AND(CV$1&gt;=Units!$Q41,MOD(CV$1-Units!$Q41,12)=0),IF(AND(Units!$L41=1,CV$1=Units!$Q41),1,Inputs!$B$15)*Inputs!$B$16*(1+Inputs!$B$11)^(CV$2-1),0)</f>
        <v>0</v>
      </c>
      <c r="CW42" s="11" t="n">
        <f aca="false">IF(AND(CW$1&gt;=Units!$Q41,MOD(CW$1-Units!$Q41,12)=0),IF(AND(Units!$L41=1,CW$1=Units!$Q41),1,Inputs!$B$15)*Inputs!$B$16*(1+Inputs!$B$11)^(CW$2-1),0)</f>
        <v>0</v>
      </c>
      <c r="CX42" s="11" t="n">
        <f aca="false">IF(AND(CX$1&gt;=Units!$Q41,MOD(CX$1-Units!$Q41,12)=0),IF(AND(Units!$L41=1,CX$1=Units!$Q41),1,Inputs!$B$15)*Inputs!$B$16*(1+Inputs!$B$11)^(CX$2-1),0)</f>
        <v>0</v>
      </c>
      <c r="CY42" s="11" t="n">
        <f aca="false">IF(AND(CY$1&gt;=Units!$Q41,MOD(CY$1-Units!$Q41,12)=0),IF(AND(Units!$L41=1,CY$1=Units!$Q41),1,Inputs!$B$15)*Inputs!$B$16*(1+Inputs!$B$11)^(CY$2-1),0)</f>
        <v>0</v>
      </c>
      <c r="CZ42" s="11" t="n">
        <f aca="false">IF(AND(CZ$1&gt;=Units!$Q41,MOD(CZ$1-Units!$Q41,12)=0),IF(AND(Units!$L41=1,CZ$1=Units!$Q41),1,Inputs!$B$15)*Inputs!$B$16*(1+Inputs!$B$11)^(CZ$2-1),0)</f>
        <v>0</v>
      </c>
      <c r="DA42" s="11" t="n">
        <f aca="false">IF(AND(DA$1&gt;=Units!$Q41,MOD(DA$1-Units!$Q41,12)=0),IF(AND(Units!$L41=1,DA$1=Units!$Q41),1,Inputs!$B$15)*Inputs!$B$16*(1+Inputs!$B$11)^(DA$2-1),0)</f>
        <v>0</v>
      </c>
      <c r="DB42" s="11" t="n">
        <f aca="false">IF(AND(DB$1&gt;=Units!$Q41,MOD(DB$1-Units!$Q41,12)=0),IF(AND(Units!$L41=1,DB$1=Units!$Q41),1,Inputs!$B$15)*Inputs!$B$16*(1+Inputs!$B$11)^(DB$2-1),0)</f>
        <v>633.385040693808</v>
      </c>
      <c r="DC42" s="11" t="n">
        <f aca="false">IF(AND(DC$1&gt;=Units!$Q41,MOD(DC$1-Units!$Q41,12)=0),IF(AND(Units!$L41=1,DC$1=Units!$Q41),1,Inputs!$B$15)*Inputs!$B$16*(1+Inputs!$B$11)^(DC$2-1),0)</f>
        <v>0</v>
      </c>
      <c r="DD42" s="11" t="n">
        <f aca="false">IF(AND(DD$1&gt;=Units!$Q41,MOD(DD$1-Units!$Q41,12)=0),IF(AND(Units!$L41=1,DD$1=Units!$Q41),1,Inputs!$B$15)*Inputs!$B$16*(1+Inputs!$B$11)^(DD$2-1),0)</f>
        <v>0</v>
      </c>
      <c r="DE42" s="11" t="n">
        <f aca="false">IF(AND(DE$1&gt;=Units!$Q41,MOD(DE$1-Units!$Q41,12)=0),IF(AND(Units!$L41=1,DE$1=Units!$Q41),1,Inputs!$B$15)*Inputs!$B$16*(1+Inputs!$B$11)^(DE$2-1),0)</f>
        <v>0</v>
      </c>
      <c r="DF42" s="11" t="n">
        <f aca="false">IF(AND(DF$1&gt;=Units!$Q41,MOD(DF$1-Units!$Q41,12)=0),IF(AND(Units!$L41=1,DF$1=Units!$Q41),1,Inputs!$B$15)*Inputs!$B$16*(1+Inputs!$B$11)^(DF$2-1),0)</f>
        <v>0</v>
      </c>
      <c r="DG42" s="11" t="n">
        <f aca="false">IF(AND(DG$1&gt;=Units!$Q41,MOD(DG$1-Units!$Q41,12)=0),IF(AND(Units!$L41=1,DG$1=Units!$Q41),1,Inputs!$B$15)*Inputs!$B$16*(1+Inputs!$B$11)^(DG$2-1),0)</f>
        <v>0</v>
      </c>
      <c r="DH42" s="11" t="n">
        <f aca="false">IF(AND(DH$1&gt;=Units!$Q41,MOD(DH$1-Units!$Q41,12)=0),IF(AND(Units!$L41=1,DH$1=Units!$Q41),1,Inputs!$B$15)*Inputs!$B$16*(1+Inputs!$B$11)^(DH$2-1),0)</f>
        <v>0</v>
      </c>
      <c r="DI42" s="11" t="n">
        <f aca="false">IF(AND(DI$1&gt;=Units!$Q41,MOD(DI$1-Units!$Q41,12)=0),IF(AND(Units!$L41=1,DI$1=Units!$Q41),1,Inputs!$B$15)*Inputs!$B$16*(1+Inputs!$B$11)^(DI$2-1),0)</f>
        <v>0</v>
      </c>
      <c r="DJ42" s="11" t="n">
        <f aca="false">IF(AND(DJ$1&gt;=Units!$Q41,MOD(DJ$1-Units!$Q41,12)=0),IF(AND(Units!$L41=1,DJ$1=Units!$Q41),1,Inputs!$B$15)*Inputs!$B$16*(1+Inputs!$B$11)^(DJ$2-1),0)</f>
        <v>0</v>
      </c>
      <c r="DK42" s="11" t="n">
        <f aca="false">IF(AND(DK$1&gt;=Units!$Q41,MOD(DK$1-Units!$Q41,12)=0),IF(AND(Units!$L41=1,DK$1=Units!$Q41),1,Inputs!$B$15)*Inputs!$B$16*(1+Inputs!$B$11)^(DK$2-1),0)</f>
        <v>0</v>
      </c>
      <c r="DL42" s="11" t="n">
        <f aca="false">IF(AND(DL$1&gt;=Units!$Q41,MOD(DL$1-Units!$Q41,12)=0),IF(AND(Units!$L41=1,DL$1=Units!$Q41),1,Inputs!$B$15)*Inputs!$B$16*(1+Inputs!$B$11)^(DL$2-1),0)</f>
        <v>0</v>
      </c>
      <c r="DM42" s="11" t="n">
        <f aca="false">IF(AND(DM$1&gt;=Units!$Q41,MOD(DM$1-Units!$Q41,12)=0),IF(AND(Units!$L41=1,DM$1=Units!$Q41),1,Inputs!$B$15)*Inputs!$B$16*(1+Inputs!$B$11)^(DM$2-1),0)</f>
        <v>0</v>
      </c>
      <c r="DN42" s="11" t="n">
        <f aca="false">IF(AND(DN$1&gt;=Units!$Q41,MOD(DN$1-Units!$Q41,12)=0),IF(AND(Units!$L41=1,DN$1=Units!$Q41),1,Inputs!$B$15)*Inputs!$B$16*(1+Inputs!$B$11)^(DN$2-1),0)</f>
        <v>652.386591914623</v>
      </c>
      <c r="DO42" s="11" t="n">
        <f aca="false">IF(AND(DO$1&gt;=Units!$Q41,MOD(DO$1-Units!$Q41,12)=0),IF(AND(Units!$L41=1,DO$1=Units!$Q41),1,Inputs!$B$15)*Inputs!$B$16*(1+Inputs!$B$11)^(DO$2-1),0)</f>
        <v>0</v>
      </c>
      <c r="DP42" s="11" t="n">
        <f aca="false">IF(AND(DP$1&gt;=Units!$Q41,MOD(DP$1-Units!$Q41,12)=0),IF(AND(Units!$L41=1,DP$1=Units!$Q41),1,Inputs!$B$15)*Inputs!$B$16*(1+Inputs!$B$11)^(DP$2-1),0)</f>
        <v>0</v>
      </c>
      <c r="DQ42" s="11" t="n">
        <f aca="false">IF(AND(DQ$1&gt;=Units!$Q41,MOD(DQ$1-Units!$Q41,12)=0),IF(AND(Units!$L41=1,DQ$1=Units!$Q41),1,Inputs!$B$15)*Inputs!$B$16*(1+Inputs!$B$11)^(DQ$2-1),0)</f>
        <v>0</v>
      </c>
      <c r="DR42" s="11" t="n">
        <f aca="false">IF(AND(DR$1&gt;=Units!$Q41,MOD(DR$1-Units!$Q41,12)=0),IF(AND(Units!$L41=1,DR$1=Units!$Q41),1,Inputs!$B$15)*Inputs!$B$16*(1+Inputs!$B$11)^(DR$2-1),0)</f>
        <v>0</v>
      </c>
      <c r="DS42" s="11" t="n">
        <f aca="false">IF(AND(DS$1&gt;=Units!$Q41,MOD(DS$1-Units!$Q41,12)=0),IF(AND(Units!$L41=1,DS$1=Units!$Q41),1,Inputs!$B$15)*Inputs!$B$16*(1+Inputs!$B$11)^(DS$2-1),0)</f>
        <v>0</v>
      </c>
      <c r="DT42" s="11" t="n">
        <f aca="false">IF(AND(DT$1&gt;=Units!$Q41,MOD(DT$1-Units!$Q41,12)=0),IF(AND(Units!$L41=1,DT$1=Units!$Q41),1,Inputs!$B$15)*Inputs!$B$16*(1+Inputs!$B$11)^(DT$2-1),0)</f>
        <v>0</v>
      </c>
      <c r="DU42" s="11" t="n">
        <f aca="false">IF(AND(DU$1&gt;=Units!$Q41,MOD(DU$1-Units!$Q41,12)=0),IF(AND(Units!$L41=1,DU$1=Units!$Q41),1,Inputs!$B$15)*Inputs!$B$16*(1+Inputs!$B$11)^(DU$2-1),0)</f>
        <v>0</v>
      </c>
      <c r="DV42" s="11" t="n">
        <f aca="false">IF(AND(DV$1&gt;=Units!$Q41,MOD(DV$1-Units!$Q41,12)=0),IF(AND(Units!$L41=1,DV$1=Units!$Q41),1,Inputs!$B$15)*Inputs!$B$16*(1+Inputs!$B$11)^(DV$2-1),0)</f>
        <v>0</v>
      </c>
      <c r="DW42" s="11" t="n">
        <f aca="false">IF(AND(DW$1&gt;=Units!$Q41,MOD(DW$1-Units!$Q41,12)=0),IF(AND(Units!$L41=1,DW$1=Units!$Q41),1,Inputs!$B$15)*Inputs!$B$16*(1+Inputs!$B$11)^(DW$2-1),0)</f>
        <v>0</v>
      </c>
      <c r="DX42" s="11" t="n">
        <f aca="false">IF(AND(DX$1&gt;=Units!$Q41,MOD(DX$1-Units!$Q41,12)=0),IF(AND(Units!$L41=1,DX$1=Units!$Q41),1,Inputs!$B$15)*Inputs!$B$16*(1+Inputs!$B$11)^(DX$2-1),0)</f>
        <v>0</v>
      </c>
      <c r="DY42" s="11" t="n">
        <f aca="false">IF(AND(DY$1&gt;=Units!$Q41,MOD(DY$1-Units!$Q41,12)=0),IF(AND(Units!$L41=1,DY$1=Units!$Q41),1,Inputs!$B$15)*Inputs!$B$16*(1+Inputs!$B$11)^(DY$2-1),0)</f>
        <v>0</v>
      </c>
      <c r="DZ42" s="11" t="n">
        <f aca="false">IF(AND(DZ$1&gt;=Units!$Q41,MOD(DZ$1-Units!$Q41,12)=0),IF(AND(Units!$L41=1,DZ$1=Units!$Q41),1,Inputs!$B$15)*Inputs!$B$16*(1+Inputs!$B$11)^(DZ$2-1),0)</f>
        <v>671.958189672061</v>
      </c>
      <c r="EA42" s="11" t="n">
        <f aca="false">IF(AND(EA$1&gt;=Units!$Q41,MOD(EA$1-Units!$Q41,12)=0),IF(AND(Units!$L41=1,EA$1=Units!$Q41),1,Inputs!$B$15)*Inputs!$B$16*(1+Inputs!$B$11)^(EA$2-1),0)</f>
        <v>0</v>
      </c>
      <c r="EB42" s="11" t="n">
        <f aca="false">IF(AND(EB$1&gt;=Units!$Q41,MOD(EB$1-Units!$Q41,12)=0),IF(AND(Units!$L41=1,EB$1=Units!$Q41),1,Inputs!$B$15)*Inputs!$B$16*(1+Inputs!$B$11)^(EB$2-1),0)</f>
        <v>0</v>
      </c>
      <c r="EC42" s="11" t="n">
        <f aca="false">IF(AND(EC$1&gt;=Units!$Q41,MOD(EC$1-Units!$Q41,12)=0),IF(AND(Units!$L41=1,EC$1=Units!$Q41),1,Inputs!$B$15)*Inputs!$B$16*(1+Inputs!$B$11)^(EC$2-1),0)</f>
        <v>0</v>
      </c>
      <c r="ED42" s="11" t="n">
        <f aca="false">IF(AND(ED$1&gt;=Units!$Q41,MOD(ED$1-Units!$Q41,12)=0),IF(AND(Units!$L41=1,ED$1=Units!$Q41),1,Inputs!$B$15)*Inputs!$B$16*(1+Inputs!$B$11)^(ED$2-1),0)</f>
        <v>0</v>
      </c>
    </row>
    <row r="43" customFormat="false" ht="15" hidden="false" customHeight="false" outlineLevel="0" collapsed="false">
      <c r="A43" s="22" t="n">
        <f aca="false">Units!A42</f>
        <v>211</v>
      </c>
      <c r="B43" s="23"/>
      <c r="C43" s="11" t="n">
        <f aca="false">IF(AND(C$1&gt;=Units!$Q42,MOD(C$1-Units!$Q42,12)=0),IF(AND(Units!$L42=1,C$1=Units!$Q42),1,Inputs!$B$15)*Inputs!$B$16*(1+Inputs!$B$11)^(C$2-1),0)</f>
        <v>0</v>
      </c>
      <c r="D43" s="11" t="n">
        <f aca="false">IF(AND(D$1&gt;=Units!$Q42,MOD(D$1-Units!$Q42,12)=0),IF(AND(Units!$L42=1,D$1=Units!$Q42),1,Inputs!$B$15)*Inputs!$B$16*(1+Inputs!$B$11)^(D$2-1),0)</f>
        <v>0</v>
      </c>
      <c r="E43" s="11" t="n">
        <f aca="false">IF(AND(E$1&gt;=Units!$Q42,MOD(E$1-Units!$Q42,12)=0),IF(AND(Units!$L42=1,E$1=Units!$Q42),1,Inputs!$B$15)*Inputs!$B$16*(1+Inputs!$B$11)^(E$2-1),0)</f>
        <v>0</v>
      </c>
      <c r="F43" s="11" t="n">
        <f aca="false">IF(AND(F$1&gt;=Units!$Q42,MOD(F$1-Units!$Q42,12)=0),IF(AND(Units!$L42=1,F$1=Units!$Q42),1,Inputs!$B$15)*Inputs!$B$16*(1+Inputs!$B$11)^(F$2-1),0)</f>
        <v>500</v>
      </c>
      <c r="G43" s="11" t="n">
        <f aca="false">IF(AND(G$1&gt;=Units!$Q42,MOD(G$1-Units!$Q42,12)=0),IF(AND(Units!$L42=1,G$1=Units!$Q42),1,Inputs!$B$15)*Inputs!$B$16*(1+Inputs!$B$11)^(G$2-1),0)</f>
        <v>0</v>
      </c>
      <c r="H43" s="11" t="n">
        <f aca="false">IF(AND(H$1&gt;=Units!$Q42,MOD(H$1-Units!$Q42,12)=0),IF(AND(Units!$L42=1,H$1=Units!$Q42),1,Inputs!$B$15)*Inputs!$B$16*(1+Inputs!$B$11)^(H$2-1),0)</f>
        <v>0</v>
      </c>
      <c r="I43" s="11" t="n">
        <f aca="false">IF(AND(I$1&gt;=Units!$Q42,MOD(I$1-Units!$Q42,12)=0),IF(AND(Units!$L42=1,I$1=Units!$Q42),1,Inputs!$B$15)*Inputs!$B$16*(1+Inputs!$B$11)^(I$2-1),0)</f>
        <v>0</v>
      </c>
      <c r="J43" s="11" t="n">
        <f aca="false">IF(AND(J$1&gt;=Units!$Q42,MOD(J$1-Units!$Q42,12)=0),IF(AND(Units!$L42=1,J$1=Units!$Q42),1,Inputs!$B$15)*Inputs!$B$16*(1+Inputs!$B$11)^(J$2-1),0)</f>
        <v>0</v>
      </c>
      <c r="K43" s="11" t="n">
        <f aca="false">IF(AND(K$1&gt;=Units!$Q42,MOD(K$1-Units!$Q42,12)=0),IF(AND(Units!$L42=1,K$1=Units!$Q42),1,Inputs!$B$15)*Inputs!$B$16*(1+Inputs!$B$11)^(K$2-1),0)</f>
        <v>0</v>
      </c>
      <c r="L43" s="11" t="n">
        <f aca="false">IF(AND(L$1&gt;=Units!$Q42,MOD(L$1-Units!$Q42,12)=0),IF(AND(Units!$L42=1,L$1=Units!$Q42),1,Inputs!$B$15)*Inputs!$B$16*(1+Inputs!$B$11)^(L$2-1),0)</f>
        <v>0</v>
      </c>
      <c r="M43" s="11" t="n">
        <f aca="false">IF(AND(M$1&gt;=Units!$Q42,MOD(M$1-Units!$Q42,12)=0),IF(AND(Units!$L42=1,M$1=Units!$Q42),1,Inputs!$B$15)*Inputs!$B$16*(1+Inputs!$B$11)^(M$2-1),0)</f>
        <v>0</v>
      </c>
      <c r="N43" s="11" t="n">
        <f aca="false">IF(AND(N$1&gt;=Units!$Q42,MOD(N$1-Units!$Q42,12)=0),IF(AND(Units!$L42=1,N$1=Units!$Q42),1,Inputs!$B$15)*Inputs!$B$16*(1+Inputs!$B$11)^(N$2-1),0)</f>
        <v>0</v>
      </c>
      <c r="O43" s="11" t="n">
        <f aca="false">IF(AND(O$1&gt;=Units!$Q42,MOD(O$1-Units!$Q42,12)=0),IF(AND(Units!$L42=1,O$1=Units!$Q42),1,Inputs!$B$15)*Inputs!$B$16*(1+Inputs!$B$11)^(O$2-1),0)</f>
        <v>0</v>
      </c>
      <c r="P43" s="11" t="n">
        <f aca="false">IF(AND(P$1&gt;=Units!$Q42,MOD(P$1-Units!$Q42,12)=0),IF(AND(Units!$L42=1,P$1=Units!$Q42),1,Inputs!$B$15)*Inputs!$B$16*(1+Inputs!$B$11)^(P$2-1),0)</f>
        <v>0</v>
      </c>
      <c r="Q43" s="11" t="n">
        <f aca="false">IF(AND(Q$1&gt;=Units!$Q42,MOD(Q$1-Units!$Q42,12)=0),IF(AND(Units!$L42=1,Q$1=Units!$Q42),1,Inputs!$B$15)*Inputs!$B$16*(1+Inputs!$B$11)^(Q$2-1),0)</f>
        <v>0</v>
      </c>
      <c r="R43" s="11" t="n">
        <f aca="false">IF(AND(R$1&gt;=Units!$Q42,MOD(R$1-Units!$Q42,12)=0),IF(AND(Units!$L42=1,R$1=Units!$Q42),1,Inputs!$B$15)*Inputs!$B$16*(1+Inputs!$B$11)^(R$2-1),0)</f>
        <v>515</v>
      </c>
      <c r="S43" s="11" t="n">
        <f aca="false">IF(AND(S$1&gt;=Units!$Q42,MOD(S$1-Units!$Q42,12)=0),IF(AND(Units!$L42=1,S$1=Units!$Q42),1,Inputs!$B$15)*Inputs!$B$16*(1+Inputs!$B$11)^(S$2-1),0)</f>
        <v>0</v>
      </c>
      <c r="T43" s="11" t="n">
        <f aca="false">IF(AND(T$1&gt;=Units!$Q42,MOD(T$1-Units!$Q42,12)=0),IF(AND(Units!$L42=1,T$1=Units!$Q42),1,Inputs!$B$15)*Inputs!$B$16*(1+Inputs!$B$11)^(T$2-1),0)</f>
        <v>0</v>
      </c>
      <c r="U43" s="11" t="n">
        <f aca="false">IF(AND(U$1&gt;=Units!$Q42,MOD(U$1-Units!$Q42,12)=0),IF(AND(Units!$L42=1,U$1=Units!$Q42),1,Inputs!$B$15)*Inputs!$B$16*(1+Inputs!$B$11)^(U$2-1),0)</f>
        <v>0</v>
      </c>
      <c r="V43" s="11" t="n">
        <f aca="false">IF(AND(V$1&gt;=Units!$Q42,MOD(V$1-Units!$Q42,12)=0),IF(AND(Units!$L42=1,V$1=Units!$Q42),1,Inputs!$B$15)*Inputs!$B$16*(1+Inputs!$B$11)^(V$2-1),0)</f>
        <v>0</v>
      </c>
      <c r="W43" s="11" t="n">
        <f aca="false">IF(AND(W$1&gt;=Units!$Q42,MOD(W$1-Units!$Q42,12)=0),IF(AND(Units!$L42=1,W$1=Units!$Q42),1,Inputs!$B$15)*Inputs!$B$16*(1+Inputs!$B$11)^(W$2-1),0)</f>
        <v>0</v>
      </c>
      <c r="X43" s="11" t="n">
        <f aca="false">IF(AND(X$1&gt;=Units!$Q42,MOD(X$1-Units!$Q42,12)=0),IF(AND(Units!$L42=1,X$1=Units!$Q42),1,Inputs!$B$15)*Inputs!$B$16*(1+Inputs!$B$11)^(X$2-1),0)</f>
        <v>0</v>
      </c>
      <c r="Y43" s="11" t="n">
        <f aca="false">IF(AND(Y$1&gt;=Units!$Q42,MOD(Y$1-Units!$Q42,12)=0),IF(AND(Units!$L42=1,Y$1=Units!$Q42),1,Inputs!$B$15)*Inputs!$B$16*(1+Inputs!$B$11)^(Y$2-1),0)</f>
        <v>0</v>
      </c>
      <c r="Z43" s="11" t="n">
        <f aca="false">IF(AND(Z$1&gt;=Units!$Q42,MOD(Z$1-Units!$Q42,12)=0),IF(AND(Units!$L42=1,Z$1=Units!$Q42),1,Inputs!$B$15)*Inputs!$B$16*(1+Inputs!$B$11)^(Z$2-1),0)</f>
        <v>0</v>
      </c>
      <c r="AA43" s="11" t="n">
        <f aca="false">IF(AND(AA$1&gt;=Units!$Q42,MOD(AA$1-Units!$Q42,12)=0),IF(AND(Units!$L42=1,AA$1=Units!$Q42),1,Inputs!$B$15)*Inputs!$B$16*(1+Inputs!$B$11)^(AA$2-1),0)</f>
        <v>0</v>
      </c>
      <c r="AB43" s="11" t="n">
        <f aca="false">IF(AND(AB$1&gt;=Units!$Q42,MOD(AB$1-Units!$Q42,12)=0),IF(AND(Units!$L42=1,AB$1=Units!$Q42),1,Inputs!$B$15)*Inputs!$B$16*(1+Inputs!$B$11)^(AB$2-1),0)</f>
        <v>0</v>
      </c>
      <c r="AC43" s="11" t="n">
        <f aca="false">IF(AND(AC$1&gt;=Units!$Q42,MOD(AC$1-Units!$Q42,12)=0),IF(AND(Units!$L42=1,AC$1=Units!$Q42),1,Inputs!$B$15)*Inputs!$B$16*(1+Inputs!$B$11)^(AC$2-1),0)</f>
        <v>0</v>
      </c>
      <c r="AD43" s="11" t="n">
        <f aca="false">IF(AND(AD$1&gt;=Units!$Q42,MOD(AD$1-Units!$Q42,12)=0),IF(AND(Units!$L42=1,AD$1=Units!$Q42),1,Inputs!$B$15)*Inputs!$B$16*(1+Inputs!$B$11)^(AD$2-1),0)</f>
        <v>530.45</v>
      </c>
      <c r="AE43" s="11" t="n">
        <f aca="false">IF(AND(AE$1&gt;=Units!$Q42,MOD(AE$1-Units!$Q42,12)=0),IF(AND(Units!$L42=1,AE$1=Units!$Q42),1,Inputs!$B$15)*Inputs!$B$16*(1+Inputs!$B$11)^(AE$2-1),0)</f>
        <v>0</v>
      </c>
      <c r="AF43" s="11" t="n">
        <f aca="false">IF(AND(AF$1&gt;=Units!$Q42,MOD(AF$1-Units!$Q42,12)=0),IF(AND(Units!$L42=1,AF$1=Units!$Q42),1,Inputs!$B$15)*Inputs!$B$16*(1+Inputs!$B$11)^(AF$2-1),0)</f>
        <v>0</v>
      </c>
      <c r="AG43" s="11" t="n">
        <f aca="false">IF(AND(AG$1&gt;=Units!$Q42,MOD(AG$1-Units!$Q42,12)=0),IF(AND(Units!$L42=1,AG$1=Units!$Q42),1,Inputs!$B$15)*Inputs!$B$16*(1+Inputs!$B$11)^(AG$2-1),0)</f>
        <v>0</v>
      </c>
      <c r="AH43" s="11" t="n">
        <f aca="false">IF(AND(AH$1&gt;=Units!$Q42,MOD(AH$1-Units!$Q42,12)=0),IF(AND(Units!$L42=1,AH$1=Units!$Q42),1,Inputs!$B$15)*Inputs!$B$16*(1+Inputs!$B$11)^(AH$2-1),0)</f>
        <v>0</v>
      </c>
      <c r="AI43" s="11" t="n">
        <f aca="false">IF(AND(AI$1&gt;=Units!$Q42,MOD(AI$1-Units!$Q42,12)=0),IF(AND(Units!$L42=1,AI$1=Units!$Q42),1,Inputs!$B$15)*Inputs!$B$16*(1+Inputs!$B$11)^(AI$2-1),0)</f>
        <v>0</v>
      </c>
      <c r="AJ43" s="11" t="n">
        <f aca="false">IF(AND(AJ$1&gt;=Units!$Q42,MOD(AJ$1-Units!$Q42,12)=0),IF(AND(Units!$L42=1,AJ$1=Units!$Q42),1,Inputs!$B$15)*Inputs!$B$16*(1+Inputs!$B$11)^(AJ$2-1),0)</f>
        <v>0</v>
      </c>
      <c r="AK43" s="11" t="n">
        <f aca="false">IF(AND(AK$1&gt;=Units!$Q42,MOD(AK$1-Units!$Q42,12)=0),IF(AND(Units!$L42=1,AK$1=Units!$Q42),1,Inputs!$B$15)*Inputs!$B$16*(1+Inputs!$B$11)^(AK$2-1),0)</f>
        <v>0</v>
      </c>
      <c r="AL43" s="11" t="n">
        <f aca="false">IF(AND(AL$1&gt;=Units!$Q42,MOD(AL$1-Units!$Q42,12)=0),IF(AND(Units!$L42=1,AL$1=Units!$Q42),1,Inputs!$B$15)*Inputs!$B$16*(1+Inputs!$B$11)^(AL$2-1),0)</f>
        <v>0</v>
      </c>
      <c r="AM43" s="11" t="n">
        <f aca="false">IF(AND(AM$1&gt;=Units!$Q42,MOD(AM$1-Units!$Q42,12)=0),IF(AND(Units!$L42=1,AM$1=Units!$Q42),1,Inputs!$B$15)*Inputs!$B$16*(1+Inputs!$B$11)^(AM$2-1),0)</f>
        <v>0</v>
      </c>
      <c r="AN43" s="11" t="n">
        <f aca="false">IF(AND(AN$1&gt;=Units!$Q42,MOD(AN$1-Units!$Q42,12)=0),IF(AND(Units!$L42=1,AN$1=Units!$Q42),1,Inputs!$B$15)*Inputs!$B$16*(1+Inputs!$B$11)^(AN$2-1),0)</f>
        <v>0</v>
      </c>
      <c r="AO43" s="11" t="n">
        <f aca="false">IF(AND(AO$1&gt;=Units!$Q42,MOD(AO$1-Units!$Q42,12)=0),IF(AND(Units!$L42=1,AO$1=Units!$Q42),1,Inputs!$B$15)*Inputs!$B$16*(1+Inputs!$B$11)^(AO$2-1),0)</f>
        <v>0</v>
      </c>
      <c r="AP43" s="11" t="n">
        <f aca="false">IF(AND(AP$1&gt;=Units!$Q42,MOD(AP$1-Units!$Q42,12)=0),IF(AND(Units!$L42=1,AP$1=Units!$Q42),1,Inputs!$B$15)*Inputs!$B$16*(1+Inputs!$B$11)^(AP$2-1),0)</f>
        <v>546.3635</v>
      </c>
      <c r="AQ43" s="11" t="n">
        <f aca="false">IF(AND(AQ$1&gt;=Units!$Q42,MOD(AQ$1-Units!$Q42,12)=0),IF(AND(Units!$L42=1,AQ$1=Units!$Q42),1,Inputs!$B$15)*Inputs!$B$16*(1+Inputs!$B$11)^(AQ$2-1),0)</f>
        <v>0</v>
      </c>
      <c r="AR43" s="11" t="n">
        <f aca="false">IF(AND(AR$1&gt;=Units!$Q42,MOD(AR$1-Units!$Q42,12)=0),IF(AND(Units!$L42=1,AR$1=Units!$Q42),1,Inputs!$B$15)*Inputs!$B$16*(1+Inputs!$B$11)^(AR$2-1),0)</f>
        <v>0</v>
      </c>
      <c r="AS43" s="11" t="n">
        <f aca="false">IF(AND(AS$1&gt;=Units!$Q42,MOD(AS$1-Units!$Q42,12)=0),IF(AND(Units!$L42=1,AS$1=Units!$Q42),1,Inputs!$B$15)*Inputs!$B$16*(1+Inputs!$B$11)^(AS$2-1),0)</f>
        <v>0</v>
      </c>
      <c r="AT43" s="11" t="n">
        <f aca="false">IF(AND(AT$1&gt;=Units!$Q42,MOD(AT$1-Units!$Q42,12)=0),IF(AND(Units!$L42=1,AT$1=Units!$Q42),1,Inputs!$B$15)*Inputs!$B$16*(1+Inputs!$B$11)^(AT$2-1),0)</f>
        <v>0</v>
      </c>
      <c r="AU43" s="11" t="n">
        <f aca="false">IF(AND(AU$1&gt;=Units!$Q42,MOD(AU$1-Units!$Q42,12)=0),IF(AND(Units!$L42=1,AU$1=Units!$Q42),1,Inputs!$B$15)*Inputs!$B$16*(1+Inputs!$B$11)^(AU$2-1),0)</f>
        <v>0</v>
      </c>
      <c r="AV43" s="11" t="n">
        <f aca="false">IF(AND(AV$1&gt;=Units!$Q42,MOD(AV$1-Units!$Q42,12)=0),IF(AND(Units!$L42=1,AV$1=Units!$Q42),1,Inputs!$B$15)*Inputs!$B$16*(1+Inputs!$B$11)^(AV$2-1),0)</f>
        <v>0</v>
      </c>
      <c r="AW43" s="11" t="n">
        <f aca="false">IF(AND(AW$1&gt;=Units!$Q42,MOD(AW$1-Units!$Q42,12)=0),IF(AND(Units!$L42=1,AW$1=Units!$Q42),1,Inputs!$B$15)*Inputs!$B$16*(1+Inputs!$B$11)^(AW$2-1),0)</f>
        <v>0</v>
      </c>
      <c r="AX43" s="11" t="n">
        <f aca="false">IF(AND(AX$1&gt;=Units!$Q42,MOD(AX$1-Units!$Q42,12)=0),IF(AND(Units!$L42=1,AX$1=Units!$Q42),1,Inputs!$B$15)*Inputs!$B$16*(1+Inputs!$B$11)^(AX$2-1),0)</f>
        <v>0</v>
      </c>
      <c r="AY43" s="11" t="n">
        <f aca="false">IF(AND(AY$1&gt;=Units!$Q42,MOD(AY$1-Units!$Q42,12)=0),IF(AND(Units!$L42=1,AY$1=Units!$Q42),1,Inputs!$B$15)*Inputs!$B$16*(1+Inputs!$B$11)^(AY$2-1),0)</f>
        <v>0</v>
      </c>
      <c r="AZ43" s="11" t="n">
        <f aca="false">IF(AND(AZ$1&gt;=Units!$Q42,MOD(AZ$1-Units!$Q42,12)=0),IF(AND(Units!$L42=1,AZ$1=Units!$Q42),1,Inputs!$B$15)*Inputs!$B$16*(1+Inputs!$B$11)^(AZ$2-1),0)</f>
        <v>0</v>
      </c>
      <c r="BA43" s="11" t="n">
        <f aca="false">IF(AND(BA$1&gt;=Units!$Q42,MOD(BA$1-Units!$Q42,12)=0),IF(AND(Units!$L42=1,BA$1=Units!$Q42),1,Inputs!$B$15)*Inputs!$B$16*(1+Inputs!$B$11)^(BA$2-1),0)</f>
        <v>0</v>
      </c>
      <c r="BB43" s="11" t="n">
        <f aca="false">IF(AND(BB$1&gt;=Units!$Q42,MOD(BB$1-Units!$Q42,12)=0),IF(AND(Units!$L42=1,BB$1=Units!$Q42),1,Inputs!$B$15)*Inputs!$B$16*(1+Inputs!$B$11)^(BB$2-1),0)</f>
        <v>562.754405</v>
      </c>
      <c r="BC43" s="11" t="n">
        <f aca="false">IF(AND(BC$1&gt;=Units!$Q42,MOD(BC$1-Units!$Q42,12)=0),IF(AND(Units!$L42=1,BC$1=Units!$Q42),1,Inputs!$B$15)*Inputs!$B$16*(1+Inputs!$B$11)^(BC$2-1),0)</f>
        <v>0</v>
      </c>
      <c r="BD43" s="11" t="n">
        <f aca="false">IF(AND(BD$1&gt;=Units!$Q42,MOD(BD$1-Units!$Q42,12)=0),IF(AND(Units!$L42=1,BD$1=Units!$Q42),1,Inputs!$B$15)*Inputs!$B$16*(1+Inputs!$B$11)^(BD$2-1),0)</f>
        <v>0</v>
      </c>
      <c r="BE43" s="11" t="n">
        <f aca="false">IF(AND(BE$1&gt;=Units!$Q42,MOD(BE$1-Units!$Q42,12)=0),IF(AND(Units!$L42=1,BE$1=Units!$Q42),1,Inputs!$B$15)*Inputs!$B$16*(1+Inputs!$B$11)^(BE$2-1),0)</f>
        <v>0</v>
      </c>
      <c r="BF43" s="11" t="n">
        <f aca="false">IF(AND(BF$1&gt;=Units!$Q42,MOD(BF$1-Units!$Q42,12)=0),IF(AND(Units!$L42=1,BF$1=Units!$Q42),1,Inputs!$B$15)*Inputs!$B$16*(1+Inputs!$B$11)^(BF$2-1),0)</f>
        <v>0</v>
      </c>
      <c r="BG43" s="11" t="n">
        <f aca="false">IF(AND(BG$1&gt;=Units!$Q42,MOD(BG$1-Units!$Q42,12)=0),IF(AND(Units!$L42=1,BG$1=Units!$Q42),1,Inputs!$B$15)*Inputs!$B$16*(1+Inputs!$B$11)^(BG$2-1),0)</f>
        <v>0</v>
      </c>
      <c r="BH43" s="11" t="n">
        <f aca="false">IF(AND(BH$1&gt;=Units!$Q42,MOD(BH$1-Units!$Q42,12)=0),IF(AND(Units!$L42=1,BH$1=Units!$Q42),1,Inputs!$B$15)*Inputs!$B$16*(1+Inputs!$B$11)^(BH$2-1),0)</f>
        <v>0</v>
      </c>
      <c r="BI43" s="11" t="n">
        <f aca="false">IF(AND(BI$1&gt;=Units!$Q42,MOD(BI$1-Units!$Q42,12)=0),IF(AND(Units!$L42=1,BI$1=Units!$Q42),1,Inputs!$B$15)*Inputs!$B$16*(1+Inputs!$B$11)^(BI$2-1),0)</f>
        <v>0</v>
      </c>
      <c r="BJ43" s="11" t="n">
        <f aca="false">IF(AND(BJ$1&gt;=Units!$Q42,MOD(BJ$1-Units!$Q42,12)=0),IF(AND(Units!$L42=1,BJ$1=Units!$Q42),1,Inputs!$B$15)*Inputs!$B$16*(1+Inputs!$B$11)^(BJ$2-1),0)</f>
        <v>0</v>
      </c>
      <c r="BK43" s="11" t="n">
        <f aca="false">IF(AND(BK$1&gt;=Units!$Q42,MOD(BK$1-Units!$Q42,12)=0),IF(AND(Units!$L42=1,BK$1=Units!$Q42),1,Inputs!$B$15)*Inputs!$B$16*(1+Inputs!$B$11)^(BK$2-1),0)</f>
        <v>0</v>
      </c>
      <c r="BL43" s="11" t="n">
        <f aca="false">IF(AND(BL$1&gt;=Units!$Q42,MOD(BL$1-Units!$Q42,12)=0),IF(AND(Units!$L42=1,BL$1=Units!$Q42),1,Inputs!$B$15)*Inputs!$B$16*(1+Inputs!$B$11)^(BL$2-1),0)</f>
        <v>0</v>
      </c>
      <c r="BM43" s="11" t="n">
        <f aca="false">IF(AND(BM$1&gt;=Units!$Q42,MOD(BM$1-Units!$Q42,12)=0),IF(AND(Units!$L42=1,BM$1=Units!$Q42),1,Inputs!$B$15)*Inputs!$B$16*(1+Inputs!$B$11)^(BM$2-1),0)</f>
        <v>0</v>
      </c>
      <c r="BN43" s="11" t="n">
        <f aca="false">IF(AND(BN$1&gt;=Units!$Q42,MOD(BN$1-Units!$Q42,12)=0),IF(AND(Units!$L42=1,BN$1=Units!$Q42),1,Inputs!$B$15)*Inputs!$B$16*(1+Inputs!$B$11)^(BN$2-1),0)</f>
        <v>579.63703715</v>
      </c>
      <c r="BO43" s="11" t="n">
        <f aca="false">IF(AND(BO$1&gt;=Units!$Q42,MOD(BO$1-Units!$Q42,12)=0),IF(AND(Units!$L42=1,BO$1=Units!$Q42),1,Inputs!$B$15)*Inputs!$B$16*(1+Inputs!$B$11)^(BO$2-1),0)</f>
        <v>0</v>
      </c>
      <c r="BP43" s="11" t="n">
        <f aca="false">IF(AND(BP$1&gt;=Units!$Q42,MOD(BP$1-Units!$Q42,12)=0),IF(AND(Units!$L42=1,BP$1=Units!$Q42),1,Inputs!$B$15)*Inputs!$B$16*(1+Inputs!$B$11)^(BP$2-1),0)</f>
        <v>0</v>
      </c>
      <c r="BQ43" s="11" t="n">
        <f aca="false">IF(AND(BQ$1&gt;=Units!$Q42,MOD(BQ$1-Units!$Q42,12)=0),IF(AND(Units!$L42=1,BQ$1=Units!$Q42),1,Inputs!$B$15)*Inputs!$B$16*(1+Inputs!$B$11)^(BQ$2-1),0)</f>
        <v>0</v>
      </c>
      <c r="BR43" s="11" t="n">
        <f aca="false">IF(AND(BR$1&gt;=Units!$Q42,MOD(BR$1-Units!$Q42,12)=0),IF(AND(Units!$L42=1,BR$1=Units!$Q42),1,Inputs!$B$15)*Inputs!$B$16*(1+Inputs!$B$11)^(BR$2-1),0)</f>
        <v>0</v>
      </c>
      <c r="BS43" s="11" t="n">
        <f aca="false">IF(AND(BS$1&gt;=Units!$Q42,MOD(BS$1-Units!$Q42,12)=0),IF(AND(Units!$L42=1,BS$1=Units!$Q42),1,Inputs!$B$15)*Inputs!$B$16*(1+Inputs!$B$11)^(BS$2-1),0)</f>
        <v>0</v>
      </c>
      <c r="BT43" s="11" t="n">
        <f aca="false">IF(AND(BT$1&gt;=Units!$Q42,MOD(BT$1-Units!$Q42,12)=0),IF(AND(Units!$L42=1,BT$1=Units!$Q42),1,Inputs!$B$15)*Inputs!$B$16*(1+Inputs!$B$11)^(BT$2-1),0)</f>
        <v>0</v>
      </c>
      <c r="BU43" s="11" t="n">
        <f aca="false">IF(AND(BU$1&gt;=Units!$Q42,MOD(BU$1-Units!$Q42,12)=0),IF(AND(Units!$L42=1,BU$1=Units!$Q42),1,Inputs!$B$15)*Inputs!$B$16*(1+Inputs!$B$11)^(BU$2-1),0)</f>
        <v>0</v>
      </c>
      <c r="BV43" s="11" t="n">
        <f aca="false">IF(AND(BV$1&gt;=Units!$Q42,MOD(BV$1-Units!$Q42,12)=0),IF(AND(Units!$L42=1,BV$1=Units!$Q42),1,Inputs!$B$15)*Inputs!$B$16*(1+Inputs!$B$11)^(BV$2-1),0)</f>
        <v>0</v>
      </c>
      <c r="BW43" s="11" t="n">
        <f aca="false">IF(AND(BW$1&gt;=Units!$Q42,MOD(BW$1-Units!$Q42,12)=0),IF(AND(Units!$L42=1,BW$1=Units!$Q42),1,Inputs!$B$15)*Inputs!$B$16*(1+Inputs!$B$11)^(BW$2-1),0)</f>
        <v>0</v>
      </c>
      <c r="BX43" s="11" t="n">
        <f aca="false">IF(AND(BX$1&gt;=Units!$Q42,MOD(BX$1-Units!$Q42,12)=0),IF(AND(Units!$L42=1,BX$1=Units!$Q42),1,Inputs!$B$15)*Inputs!$B$16*(1+Inputs!$B$11)^(BX$2-1),0)</f>
        <v>0</v>
      </c>
      <c r="BY43" s="11" t="n">
        <f aca="false">IF(AND(BY$1&gt;=Units!$Q42,MOD(BY$1-Units!$Q42,12)=0),IF(AND(Units!$L42=1,BY$1=Units!$Q42),1,Inputs!$B$15)*Inputs!$B$16*(1+Inputs!$B$11)^(BY$2-1),0)</f>
        <v>0</v>
      </c>
      <c r="BZ43" s="11" t="n">
        <f aca="false">IF(AND(BZ$1&gt;=Units!$Q42,MOD(BZ$1-Units!$Q42,12)=0),IF(AND(Units!$L42=1,BZ$1=Units!$Q42),1,Inputs!$B$15)*Inputs!$B$16*(1+Inputs!$B$11)^(BZ$2-1),0)</f>
        <v>597.0261482645</v>
      </c>
      <c r="CA43" s="11" t="n">
        <f aca="false">IF(AND(CA$1&gt;=Units!$Q42,MOD(CA$1-Units!$Q42,12)=0),IF(AND(Units!$L42=1,CA$1=Units!$Q42),1,Inputs!$B$15)*Inputs!$B$16*(1+Inputs!$B$11)^(CA$2-1),0)</f>
        <v>0</v>
      </c>
      <c r="CB43" s="11" t="n">
        <f aca="false">IF(AND(CB$1&gt;=Units!$Q42,MOD(CB$1-Units!$Q42,12)=0),IF(AND(Units!$L42=1,CB$1=Units!$Q42),1,Inputs!$B$15)*Inputs!$B$16*(1+Inputs!$B$11)^(CB$2-1),0)</f>
        <v>0</v>
      </c>
      <c r="CC43" s="11" t="n">
        <f aca="false">IF(AND(CC$1&gt;=Units!$Q42,MOD(CC$1-Units!$Q42,12)=0),IF(AND(Units!$L42=1,CC$1=Units!$Q42),1,Inputs!$B$15)*Inputs!$B$16*(1+Inputs!$B$11)^(CC$2-1),0)</f>
        <v>0</v>
      </c>
      <c r="CD43" s="11" t="n">
        <f aca="false">IF(AND(CD$1&gt;=Units!$Q42,MOD(CD$1-Units!$Q42,12)=0),IF(AND(Units!$L42=1,CD$1=Units!$Q42),1,Inputs!$B$15)*Inputs!$B$16*(1+Inputs!$B$11)^(CD$2-1),0)</f>
        <v>0</v>
      </c>
      <c r="CE43" s="11" t="n">
        <f aca="false">IF(AND(CE$1&gt;=Units!$Q42,MOD(CE$1-Units!$Q42,12)=0),IF(AND(Units!$L42=1,CE$1=Units!$Q42),1,Inputs!$B$15)*Inputs!$B$16*(1+Inputs!$B$11)^(CE$2-1),0)</f>
        <v>0</v>
      </c>
      <c r="CF43" s="11" t="n">
        <f aca="false">IF(AND(CF$1&gt;=Units!$Q42,MOD(CF$1-Units!$Q42,12)=0),IF(AND(Units!$L42=1,CF$1=Units!$Q42),1,Inputs!$B$15)*Inputs!$B$16*(1+Inputs!$B$11)^(CF$2-1),0)</f>
        <v>0</v>
      </c>
      <c r="CG43" s="11" t="n">
        <f aca="false">IF(AND(CG$1&gt;=Units!$Q42,MOD(CG$1-Units!$Q42,12)=0),IF(AND(Units!$L42=1,CG$1=Units!$Q42),1,Inputs!$B$15)*Inputs!$B$16*(1+Inputs!$B$11)^(CG$2-1),0)</f>
        <v>0</v>
      </c>
      <c r="CH43" s="11" t="n">
        <f aca="false">IF(AND(CH$1&gt;=Units!$Q42,MOD(CH$1-Units!$Q42,12)=0),IF(AND(Units!$L42=1,CH$1=Units!$Q42),1,Inputs!$B$15)*Inputs!$B$16*(1+Inputs!$B$11)^(CH$2-1),0)</f>
        <v>0</v>
      </c>
      <c r="CI43" s="11" t="n">
        <f aca="false">IF(AND(CI$1&gt;=Units!$Q42,MOD(CI$1-Units!$Q42,12)=0),IF(AND(Units!$L42=1,CI$1=Units!$Q42),1,Inputs!$B$15)*Inputs!$B$16*(1+Inputs!$B$11)^(CI$2-1),0)</f>
        <v>0</v>
      </c>
      <c r="CJ43" s="11" t="n">
        <f aca="false">IF(AND(CJ$1&gt;=Units!$Q42,MOD(CJ$1-Units!$Q42,12)=0),IF(AND(Units!$L42=1,CJ$1=Units!$Q42),1,Inputs!$B$15)*Inputs!$B$16*(1+Inputs!$B$11)^(CJ$2-1),0)</f>
        <v>0</v>
      </c>
      <c r="CK43" s="11" t="n">
        <f aca="false">IF(AND(CK$1&gt;=Units!$Q42,MOD(CK$1-Units!$Q42,12)=0),IF(AND(Units!$L42=1,CK$1=Units!$Q42),1,Inputs!$B$15)*Inputs!$B$16*(1+Inputs!$B$11)^(CK$2-1),0)</f>
        <v>0</v>
      </c>
      <c r="CL43" s="11" t="n">
        <f aca="false">IF(AND(CL$1&gt;=Units!$Q42,MOD(CL$1-Units!$Q42,12)=0),IF(AND(Units!$L42=1,CL$1=Units!$Q42),1,Inputs!$B$15)*Inputs!$B$16*(1+Inputs!$B$11)^(CL$2-1),0)</f>
        <v>614.936932712435</v>
      </c>
      <c r="CM43" s="11" t="n">
        <f aca="false">IF(AND(CM$1&gt;=Units!$Q42,MOD(CM$1-Units!$Q42,12)=0),IF(AND(Units!$L42=1,CM$1=Units!$Q42),1,Inputs!$B$15)*Inputs!$B$16*(1+Inputs!$B$11)^(CM$2-1),0)</f>
        <v>0</v>
      </c>
      <c r="CN43" s="11" t="n">
        <f aca="false">IF(AND(CN$1&gt;=Units!$Q42,MOD(CN$1-Units!$Q42,12)=0),IF(AND(Units!$L42=1,CN$1=Units!$Q42),1,Inputs!$B$15)*Inputs!$B$16*(1+Inputs!$B$11)^(CN$2-1),0)</f>
        <v>0</v>
      </c>
      <c r="CO43" s="11" t="n">
        <f aca="false">IF(AND(CO$1&gt;=Units!$Q42,MOD(CO$1-Units!$Q42,12)=0),IF(AND(Units!$L42=1,CO$1=Units!$Q42),1,Inputs!$B$15)*Inputs!$B$16*(1+Inputs!$B$11)^(CO$2-1),0)</f>
        <v>0</v>
      </c>
      <c r="CP43" s="11" t="n">
        <f aca="false">IF(AND(CP$1&gt;=Units!$Q42,MOD(CP$1-Units!$Q42,12)=0),IF(AND(Units!$L42=1,CP$1=Units!$Q42),1,Inputs!$B$15)*Inputs!$B$16*(1+Inputs!$B$11)^(CP$2-1),0)</f>
        <v>0</v>
      </c>
      <c r="CQ43" s="11" t="n">
        <f aca="false">IF(AND(CQ$1&gt;=Units!$Q42,MOD(CQ$1-Units!$Q42,12)=0),IF(AND(Units!$L42=1,CQ$1=Units!$Q42),1,Inputs!$B$15)*Inputs!$B$16*(1+Inputs!$B$11)^(CQ$2-1),0)</f>
        <v>0</v>
      </c>
      <c r="CR43" s="11" t="n">
        <f aca="false">IF(AND(CR$1&gt;=Units!$Q42,MOD(CR$1-Units!$Q42,12)=0),IF(AND(Units!$L42=1,CR$1=Units!$Q42),1,Inputs!$B$15)*Inputs!$B$16*(1+Inputs!$B$11)^(CR$2-1),0)</f>
        <v>0</v>
      </c>
      <c r="CS43" s="11" t="n">
        <f aca="false">IF(AND(CS$1&gt;=Units!$Q42,MOD(CS$1-Units!$Q42,12)=0),IF(AND(Units!$L42=1,CS$1=Units!$Q42),1,Inputs!$B$15)*Inputs!$B$16*(1+Inputs!$B$11)^(CS$2-1),0)</f>
        <v>0</v>
      </c>
      <c r="CT43" s="11" t="n">
        <f aca="false">IF(AND(CT$1&gt;=Units!$Q42,MOD(CT$1-Units!$Q42,12)=0),IF(AND(Units!$L42=1,CT$1=Units!$Q42),1,Inputs!$B$15)*Inputs!$B$16*(1+Inputs!$B$11)^(CT$2-1),0)</f>
        <v>0</v>
      </c>
      <c r="CU43" s="11" t="n">
        <f aca="false">IF(AND(CU$1&gt;=Units!$Q42,MOD(CU$1-Units!$Q42,12)=0),IF(AND(Units!$L42=1,CU$1=Units!$Q42),1,Inputs!$B$15)*Inputs!$B$16*(1+Inputs!$B$11)^(CU$2-1),0)</f>
        <v>0</v>
      </c>
      <c r="CV43" s="11" t="n">
        <f aca="false">IF(AND(CV$1&gt;=Units!$Q42,MOD(CV$1-Units!$Q42,12)=0),IF(AND(Units!$L42=1,CV$1=Units!$Q42),1,Inputs!$B$15)*Inputs!$B$16*(1+Inputs!$B$11)^(CV$2-1),0)</f>
        <v>0</v>
      </c>
      <c r="CW43" s="11" t="n">
        <f aca="false">IF(AND(CW$1&gt;=Units!$Q42,MOD(CW$1-Units!$Q42,12)=0),IF(AND(Units!$L42=1,CW$1=Units!$Q42),1,Inputs!$B$15)*Inputs!$B$16*(1+Inputs!$B$11)^(CW$2-1),0)</f>
        <v>0</v>
      </c>
      <c r="CX43" s="11" t="n">
        <f aca="false">IF(AND(CX$1&gt;=Units!$Q42,MOD(CX$1-Units!$Q42,12)=0),IF(AND(Units!$L42=1,CX$1=Units!$Q42),1,Inputs!$B$15)*Inputs!$B$16*(1+Inputs!$B$11)^(CX$2-1),0)</f>
        <v>633.385040693808</v>
      </c>
      <c r="CY43" s="11" t="n">
        <f aca="false">IF(AND(CY$1&gt;=Units!$Q42,MOD(CY$1-Units!$Q42,12)=0),IF(AND(Units!$L42=1,CY$1=Units!$Q42),1,Inputs!$B$15)*Inputs!$B$16*(1+Inputs!$B$11)^(CY$2-1),0)</f>
        <v>0</v>
      </c>
      <c r="CZ43" s="11" t="n">
        <f aca="false">IF(AND(CZ$1&gt;=Units!$Q42,MOD(CZ$1-Units!$Q42,12)=0),IF(AND(Units!$L42=1,CZ$1=Units!$Q42),1,Inputs!$B$15)*Inputs!$B$16*(1+Inputs!$B$11)^(CZ$2-1),0)</f>
        <v>0</v>
      </c>
      <c r="DA43" s="11" t="n">
        <f aca="false">IF(AND(DA$1&gt;=Units!$Q42,MOD(DA$1-Units!$Q42,12)=0),IF(AND(Units!$L42=1,DA$1=Units!$Q42),1,Inputs!$B$15)*Inputs!$B$16*(1+Inputs!$B$11)^(DA$2-1),0)</f>
        <v>0</v>
      </c>
      <c r="DB43" s="11" t="n">
        <f aca="false">IF(AND(DB$1&gt;=Units!$Q42,MOD(DB$1-Units!$Q42,12)=0),IF(AND(Units!$L42=1,DB$1=Units!$Q42),1,Inputs!$B$15)*Inputs!$B$16*(1+Inputs!$B$11)^(DB$2-1),0)</f>
        <v>0</v>
      </c>
      <c r="DC43" s="11" t="n">
        <f aca="false">IF(AND(DC$1&gt;=Units!$Q42,MOD(DC$1-Units!$Q42,12)=0),IF(AND(Units!$L42=1,DC$1=Units!$Q42),1,Inputs!$B$15)*Inputs!$B$16*(1+Inputs!$B$11)^(DC$2-1),0)</f>
        <v>0</v>
      </c>
      <c r="DD43" s="11" t="n">
        <f aca="false">IF(AND(DD$1&gt;=Units!$Q42,MOD(DD$1-Units!$Q42,12)=0),IF(AND(Units!$L42=1,DD$1=Units!$Q42),1,Inputs!$B$15)*Inputs!$B$16*(1+Inputs!$B$11)^(DD$2-1),0)</f>
        <v>0</v>
      </c>
      <c r="DE43" s="11" t="n">
        <f aca="false">IF(AND(DE$1&gt;=Units!$Q42,MOD(DE$1-Units!$Q42,12)=0),IF(AND(Units!$L42=1,DE$1=Units!$Q42),1,Inputs!$B$15)*Inputs!$B$16*(1+Inputs!$B$11)^(DE$2-1),0)</f>
        <v>0</v>
      </c>
      <c r="DF43" s="11" t="n">
        <f aca="false">IF(AND(DF$1&gt;=Units!$Q42,MOD(DF$1-Units!$Q42,12)=0),IF(AND(Units!$L42=1,DF$1=Units!$Q42),1,Inputs!$B$15)*Inputs!$B$16*(1+Inputs!$B$11)^(DF$2-1),0)</f>
        <v>0</v>
      </c>
      <c r="DG43" s="11" t="n">
        <f aca="false">IF(AND(DG$1&gt;=Units!$Q42,MOD(DG$1-Units!$Q42,12)=0),IF(AND(Units!$L42=1,DG$1=Units!$Q42),1,Inputs!$B$15)*Inputs!$B$16*(1+Inputs!$B$11)^(DG$2-1),0)</f>
        <v>0</v>
      </c>
      <c r="DH43" s="11" t="n">
        <f aca="false">IF(AND(DH$1&gt;=Units!$Q42,MOD(DH$1-Units!$Q42,12)=0),IF(AND(Units!$L42=1,DH$1=Units!$Q42),1,Inputs!$B$15)*Inputs!$B$16*(1+Inputs!$B$11)^(DH$2-1),0)</f>
        <v>0</v>
      </c>
      <c r="DI43" s="11" t="n">
        <f aca="false">IF(AND(DI$1&gt;=Units!$Q42,MOD(DI$1-Units!$Q42,12)=0),IF(AND(Units!$L42=1,DI$1=Units!$Q42),1,Inputs!$B$15)*Inputs!$B$16*(1+Inputs!$B$11)^(DI$2-1),0)</f>
        <v>0</v>
      </c>
      <c r="DJ43" s="11" t="n">
        <f aca="false">IF(AND(DJ$1&gt;=Units!$Q42,MOD(DJ$1-Units!$Q42,12)=0),IF(AND(Units!$L42=1,DJ$1=Units!$Q42),1,Inputs!$B$15)*Inputs!$B$16*(1+Inputs!$B$11)^(DJ$2-1),0)</f>
        <v>652.386591914623</v>
      </c>
      <c r="DK43" s="11" t="n">
        <f aca="false">IF(AND(DK$1&gt;=Units!$Q42,MOD(DK$1-Units!$Q42,12)=0),IF(AND(Units!$L42=1,DK$1=Units!$Q42),1,Inputs!$B$15)*Inputs!$B$16*(1+Inputs!$B$11)^(DK$2-1),0)</f>
        <v>0</v>
      </c>
      <c r="DL43" s="11" t="n">
        <f aca="false">IF(AND(DL$1&gt;=Units!$Q42,MOD(DL$1-Units!$Q42,12)=0),IF(AND(Units!$L42=1,DL$1=Units!$Q42),1,Inputs!$B$15)*Inputs!$B$16*(1+Inputs!$B$11)^(DL$2-1),0)</f>
        <v>0</v>
      </c>
      <c r="DM43" s="11" t="n">
        <f aca="false">IF(AND(DM$1&gt;=Units!$Q42,MOD(DM$1-Units!$Q42,12)=0),IF(AND(Units!$L42=1,DM$1=Units!$Q42),1,Inputs!$B$15)*Inputs!$B$16*(1+Inputs!$B$11)^(DM$2-1),0)</f>
        <v>0</v>
      </c>
      <c r="DN43" s="11" t="n">
        <f aca="false">IF(AND(DN$1&gt;=Units!$Q42,MOD(DN$1-Units!$Q42,12)=0),IF(AND(Units!$L42=1,DN$1=Units!$Q42),1,Inputs!$B$15)*Inputs!$B$16*(1+Inputs!$B$11)^(DN$2-1),0)</f>
        <v>0</v>
      </c>
      <c r="DO43" s="11" t="n">
        <f aca="false">IF(AND(DO$1&gt;=Units!$Q42,MOD(DO$1-Units!$Q42,12)=0),IF(AND(Units!$L42=1,DO$1=Units!$Q42),1,Inputs!$B$15)*Inputs!$B$16*(1+Inputs!$B$11)^(DO$2-1),0)</f>
        <v>0</v>
      </c>
      <c r="DP43" s="11" t="n">
        <f aca="false">IF(AND(DP$1&gt;=Units!$Q42,MOD(DP$1-Units!$Q42,12)=0),IF(AND(Units!$L42=1,DP$1=Units!$Q42),1,Inputs!$B$15)*Inputs!$B$16*(1+Inputs!$B$11)^(DP$2-1),0)</f>
        <v>0</v>
      </c>
      <c r="DQ43" s="11" t="n">
        <f aca="false">IF(AND(DQ$1&gt;=Units!$Q42,MOD(DQ$1-Units!$Q42,12)=0),IF(AND(Units!$L42=1,DQ$1=Units!$Q42),1,Inputs!$B$15)*Inputs!$B$16*(1+Inputs!$B$11)^(DQ$2-1),0)</f>
        <v>0</v>
      </c>
      <c r="DR43" s="11" t="n">
        <f aca="false">IF(AND(DR$1&gt;=Units!$Q42,MOD(DR$1-Units!$Q42,12)=0),IF(AND(Units!$L42=1,DR$1=Units!$Q42),1,Inputs!$B$15)*Inputs!$B$16*(1+Inputs!$B$11)^(DR$2-1),0)</f>
        <v>0</v>
      </c>
      <c r="DS43" s="11" t="n">
        <f aca="false">IF(AND(DS$1&gt;=Units!$Q42,MOD(DS$1-Units!$Q42,12)=0),IF(AND(Units!$L42=1,DS$1=Units!$Q42),1,Inputs!$B$15)*Inputs!$B$16*(1+Inputs!$B$11)^(DS$2-1),0)</f>
        <v>0</v>
      </c>
      <c r="DT43" s="11" t="n">
        <f aca="false">IF(AND(DT$1&gt;=Units!$Q42,MOD(DT$1-Units!$Q42,12)=0),IF(AND(Units!$L42=1,DT$1=Units!$Q42),1,Inputs!$B$15)*Inputs!$B$16*(1+Inputs!$B$11)^(DT$2-1),0)</f>
        <v>0</v>
      </c>
      <c r="DU43" s="11" t="n">
        <f aca="false">IF(AND(DU$1&gt;=Units!$Q42,MOD(DU$1-Units!$Q42,12)=0),IF(AND(Units!$L42=1,DU$1=Units!$Q42),1,Inputs!$B$15)*Inputs!$B$16*(1+Inputs!$B$11)^(DU$2-1),0)</f>
        <v>0</v>
      </c>
      <c r="DV43" s="11" t="n">
        <f aca="false">IF(AND(DV$1&gt;=Units!$Q42,MOD(DV$1-Units!$Q42,12)=0),IF(AND(Units!$L42=1,DV$1=Units!$Q42),1,Inputs!$B$15)*Inputs!$B$16*(1+Inputs!$B$11)^(DV$2-1),0)</f>
        <v>671.958189672061</v>
      </c>
      <c r="DW43" s="11" t="n">
        <f aca="false">IF(AND(DW$1&gt;=Units!$Q42,MOD(DW$1-Units!$Q42,12)=0),IF(AND(Units!$L42=1,DW$1=Units!$Q42),1,Inputs!$B$15)*Inputs!$B$16*(1+Inputs!$B$11)^(DW$2-1),0)</f>
        <v>0</v>
      </c>
      <c r="DX43" s="11" t="n">
        <f aca="false">IF(AND(DX$1&gt;=Units!$Q42,MOD(DX$1-Units!$Q42,12)=0),IF(AND(Units!$L42=1,DX$1=Units!$Q42),1,Inputs!$B$15)*Inputs!$B$16*(1+Inputs!$B$11)^(DX$2-1),0)</f>
        <v>0</v>
      </c>
      <c r="DY43" s="11" t="n">
        <f aca="false">IF(AND(DY$1&gt;=Units!$Q42,MOD(DY$1-Units!$Q42,12)=0),IF(AND(Units!$L42=1,DY$1=Units!$Q42),1,Inputs!$B$15)*Inputs!$B$16*(1+Inputs!$B$11)^(DY$2-1),0)</f>
        <v>0</v>
      </c>
      <c r="DZ43" s="11" t="n">
        <f aca="false">IF(AND(DZ$1&gt;=Units!$Q42,MOD(DZ$1-Units!$Q42,12)=0),IF(AND(Units!$L42=1,DZ$1=Units!$Q42),1,Inputs!$B$15)*Inputs!$B$16*(1+Inputs!$B$11)^(DZ$2-1),0)</f>
        <v>0</v>
      </c>
      <c r="EA43" s="11" t="n">
        <f aca="false">IF(AND(EA$1&gt;=Units!$Q42,MOD(EA$1-Units!$Q42,12)=0),IF(AND(Units!$L42=1,EA$1=Units!$Q42),1,Inputs!$B$15)*Inputs!$B$16*(1+Inputs!$B$11)^(EA$2-1),0)</f>
        <v>0</v>
      </c>
      <c r="EB43" s="11" t="n">
        <f aca="false">IF(AND(EB$1&gt;=Units!$Q42,MOD(EB$1-Units!$Q42,12)=0),IF(AND(Units!$L42=1,EB$1=Units!$Q42),1,Inputs!$B$15)*Inputs!$B$16*(1+Inputs!$B$11)^(EB$2-1),0)</f>
        <v>0</v>
      </c>
      <c r="EC43" s="11" t="n">
        <f aca="false">IF(AND(EC$1&gt;=Units!$Q42,MOD(EC$1-Units!$Q42,12)=0),IF(AND(Units!$L42=1,EC$1=Units!$Q42),1,Inputs!$B$15)*Inputs!$B$16*(1+Inputs!$B$11)^(EC$2-1),0)</f>
        <v>0</v>
      </c>
      <c r="ED43" s="11" t="n">
        <f aca="false">IF(AND(ED$1&gt;=Units!$Q42,MOD(ED$1-Units!$Q42,12)=0),IF(AND(Units!$L42=1,ED$1=Units!$Q42),1,Inputs!$B$15)*Inputs!$B$16*(1+Inputs!$B$11)^(ED$2-1),0)</f>
        <v>0</v>
      </c>
    </row>
    <row r="44" customFormat="false" ht="15" hidden="false" customHeight="false" outlineLevel="0" collapsed="false">
      <c r="A44" s="22" t="n">
        <f aca="false">Units!A43</f>
        <v>212</v>
      </c>
      <c r="B44" s="23"/>
      <c r="C44" s="11" t="n">
        <f aca="false">IF(AND(C$1&gt;=Units!$Q43,MOD(C$1-Units!$Q43,12)=0),IF(AND(Units!$L43=1,C$1=Units!$Q43),1,Inputs!$B$15)*Inputs!$B$16*(1+Inputs!$B$11)^(C$2-1),0)</f>
        <v>0</v>
      </c>
      <c r="D44" s="11" t="n">
        <f aca="false">IF(AND(D$1&gt;=Units!$Q43,MOD(D$1-Units!$Q43,12)=0),IF(AND(Units!$L43=1,D$1=Units!$Q43),1,Inputs!$B$15)*Inputs!$B$16*(1+Inputs!$B$11)^(D$2-1),0)</f>
        <v>0</v>
      </c>
      <c r="E44" s="11" t="n">
        <f aca="false">IF(AND(E$1&gt;=Units!$Q43,MOD(E$1-Units!$Q43,12)=0),IF(AND(Units!$L43=1,E$1=Units!$Q43),1,Inputs!$B$15)*Inputs!$B$16*(1+Inputs!$B$11)^(E$2-1),0)</f>
        <v>0</v>
      </c>
      <c r="F44" s="11" t="n">
        <f aca="false">IF(AND(F$1&gt;=Units!$Q43,MOD(F$1-Units!$Q43,12)=0),IF(AND(Units!$L43=1,F$1=Units!$Q43),1,Inputs!$B$15)*Inputs!$B$16*(1+Inputs!$B$11)^(F$2-1),0)</f>
        <v>0</v>
      </c>
      <c r="G44" s="11" t="n">
        <f aca="false">IF(AND(G$1&gt;=Units!$Q43,MOD(G$1-Units!$Q43,12)=0),IF(AND(Units!$L43=1,G$1=Units!$Q43),1,Inputs!$B$15)*Inputs!$B$16*(1+Inputs!$B$11)^(G$2-1),0)</f>
        <v>0</v>
      </c>
      <c r="H44" s="11" t="n">
        <f aca="false">IF(AND(H$1&gt;=Units!$Q43,MOD(H$1-Units!$Q43,12)=0),IF(AND(Units!$L43=1,H$1=Units!$Q43),1,Inputs!$B$15)*Inputs!$B$16*(1+Inputs!$B$11)^(H$2-1),0)</f>
        <v>0</v>
      </c>
      <c r="I44" s="11" t="n">
        <f aca="false">IF(AND(I$1&gt;=Units!$Q43,MOD(I$1-Units!$Q43,12)=0),IF(AND(Units!$L43=1,I$1=Units!$Q43),1,Inputs!$B$15)*Inputs!$B$16*(1+Inputs!$B$11)^(I$2-1),0)</f>
        <v>0</v>
      </c>
      <c r="J44" s="11" t="n">
        <f aca="false">IF(AND(J$1&gt;=Units!$Q43,MOD(J$1-Units!$Q43,12)=0),IF(AND(Units!$L43=1,J$1=Units!$Q43),1,Inputs!$B$15)*Inputs!$B$16*(1+Inputs!$B$11)^(J$2-1),0)</f>
        <v>0</v>
      </c>
      <c r="K44" s="11" t="n">
        <f aca="false">IF(AND(K$1&gt;=Units!$Q43,MOD(K$1-Units!$Q43,12)=0),IF(AND(Units!$L43=1,K$1=Units!$Q43),1,Inputs!$B$15)*Inputs!$B$16*(1+Inputs!$B$11)^(K$2-1),0)</f>
        <v>500</v>
      </c>
      <c r="L44" s="11" t="n">
        <f aca="false">IF(AND(L$1&gt;=Units!$Q43,MOD(L$1-Units!$Q43,12)=0),IF(AND(Units!$L43=1,L$1=Units!$Q43),1,Inputs!$B$15)*Inputs!$B$16*(1+Inputs!$B$11)^(L$2-1),0)</f>
        <v>0</v>
      </c>
      <c r="M44" s="11" t="n">
        <f aca="false">IF(AND(M$1&gt;=Units!$Q43,MOD(M$1-Units!$Q43,12)=0),IF(AND(Units!$L43=1,M$1=Units!$Q43),1,Inputs!$B$15)*Inputs!$B$16*(1+Inputs!$B$11)^(M$2-1),0)</f>
        <v>0</v>
      </c>
      <c r="N44" s="11" t="n">
        <f aca="false">IF(AND(N$1&gt;=Units!$Q43,MOD(N$1-Units!$Q43,12)=0),IF(AND(Units!$L43=1,N$1=Units!$Q43),1,Inputs!$B$15)*Inputs!$B$16*(1+Inputs!$B$11)^(N$2-1),0)</f>
        <v>0</v>
      </c>
      <c r="O44" s="11" t="n">
        <f aca="false">IF(AND(O$1&gt;=Units!$Q43,MOD(O$1-Units!$Q43,12)=0),IF(AND(Units!$L43=1,O$1=Units!$Q43),1,Inputs!$B$15)*Inputs!$B$16*(1+Inputs!$B$11)^(O$2-1),0)</f>
        <v>0</v>
      </c>
      <c r="P44" s="11" t="n">
        <f aca="false">IF(AND(P$1&gt;=Units!$Q43,MOD(P$1-Units!$Q43,12)=0),IF(AND(Units!$L43=1,P$1=Units!$Q43),1,Inputs!$B$15)*Inputs!$B$16*(1+Inputs!$B$11)^(P$2-1),0)</f>
        <v>0</v>
      </c>
      <c r="Q44" s="11" t="n">
        <f aca="false">IF(AND(Q$1&gt;=Units!$Q43,MOD(Q$1-Units!$Q43,12)=0),IF(AND(Units!$L43=1,Q$1=Units!$Q43),1,Inputs!$B$15)*Inputs!$B$16*(1+Inputs!$B$11)^(Q$2-1),0)</f>
        <v>0</v>
      </c>
      <c r="R44" s="11" t="n">
        <f aca="false">IF(AND(R$1&gt;=Units!$Q43,MOD(R$1-Units!$Q43,12)=0),IF(AND(Units!$L43=1,R$1=Units!$Q43),1,Inputs!$B$15)*Inputs!$B$16*(1+Inputs!$B$11)^(R$2-1),0)</f>
        <v>0</v>
      </c>
      <c r="S44" s="11" t="n">
        <f aca="false">IF(AND(S$1&gt;=Units!$Q43,MOD(S$1-Units!$Q43,12)=0),IF(AND(Units!$L43=1,S$1=Units!$Q43),1,Inputs!$B$15)*Inputs!$B$16*(1+Inputs!$B$11)^(S$2-1),0)</f>
        <v>0</v>
      </c>
      <c r="T44" s="11" t="n">
        <f aca="false">IF(AND(T$1&gt;=Units!$Q43,MOD(T$1-Units!$Q43,12)=0),IF(AND(Units!$L43=1,T$1=Units!$Q43),1,Inputs!$B$15)*Inputs!$B$16*(1+Inputs!$B$11)^(T$2-1),0)</f>
        <v>0</v>
      </c>
      <c r="U44" s="11" t="n">
        <f aca="false">IF(AND(U$1&gt;=Units!$Q43,MOD(U$1-Units!$Q43,12)=0),IF(AND(Units!$L43=1,U$1=Units!$Q43),1,Inputs!$B$15)*Inputs!$B$16*(1+Inputs!$B$11)^(U$2-1),0)</f>
        <v>0</v>
      </c>
      <c r="V44" s="11" t="n">
        <f aca="false">IF(AND(V$1&gt;=Units!$Q43,MOD(V$1-Units!$Q43,12)=0),IF(AND(Units!$L43=1,V$1=Units!$Q43),1,Inputs!$B$15)*Inputs!$B$16*(1+Inputs!$B$11)^(V$2-1),0)</f>
        <v>0</v>
      </c>
      <c r="W44" s="11" t="n">
        <f aca="false">IF(AND(W$1&gt;=Units!$Q43,MOD(W$1-Units!$Q43,12)=0),IF(AND(Units!$L43=1,W$1=Units!$Q43),1,Inputs!$B$15)*Inputs!$B$16*(1+Inputs!$B$11)^(W$2-1),0)</f>
        <v>515</v>
      </c>
      <c r="X44" s="11" t="n">
        <f aca="false">IF(AND(X$1&gt;=Units!$Q43,MOD(X$1-Units!$Q43,12)=0),IF(AND(Units!$L43=1,X$1=Units!$Q43),1,Inputs!$B$15)*Inputs!$B$16*(1+Inputs!$B$11)^(X$2-1),0)</f>
        <v>0</v>
      </c>
      <c r="Y44" s="11" t="n">
        <f aca="false">IF(AND(Y$1&gt;=Units!$Q43,MOD(Y$1-Units!$Q43,12)=0),IF(AND(Units!$L43=1,Y$1=Units!$Q43),1,Inputs!$B$15)*Inputs!$B$16*(1+Inputs!$B$11)^(Y$2-1),0)</f>
        <v>0</v>
      </c>
      <c r="Z44" s="11" t="n">
        <f aca="false">IF(AND(Z$1&gt;=Units!$Q43,MOD(Z$1-Units!$Q43,12)=0),IF(AND(Units!$L43=1,Z$1=Units!$Q43),1,Inputs!$B$15)*Inputs!$B$16*(1+Inputs!$B$11)^(Z$2-1),0)</f>
        <v>0</v>
      </c>
      <c r="AA44" s="11" t="n">
        <f aca="false">IF(AND(AA$1&gt;=Units!$Q43,MOD(AA$1-Units!$Q43,12)=0),IF(AND(Units!$L43=1,AA$1=Units!$Q43),1,Inputs!$B$15)*Inputs!$B$16*(1+Inputs!$B$11)^(AA$2-1),0)</f>
        <v>0</v>
      </c>
      <c r="AB44" s="11" t="n">
        <f aca="false">IF(AND(AB$1&gt;=Units!$Q43,MOD(AB$1-Units!$Q43,12)=0),IF(AND(Units!$L43=1,AB$1=Units!$Q43),1,Inputs!$B$15)*Inputs!$B$16*(1+Inputs!$B$11)^(AB$2-1),0)</f>
        <v>0</v>
      </c>
      <c r="AC44" s="11" t="n">
        <f aca="false">IF(AND(AC$1&gt;=Units!$Q43,MOD(AC$1-Units!$Q43,12)=0),IF(AND(Units!$L43=1,AC$1=Units!$Q43),1,Inputs!$B$15)*Inputs!$B$16*(1+Inputs!$B$11)^(AC$2-1),0)</f>
        <v>0</v>
      </c>
      <c r="AD44" s="11" t="n">
        <f aca="false">IF(AND(AD$1&gt;=Units!$Q43,MOD(AD$1-Units!$Q43,12)=0),IF(AND(Units!$L43=1,AD$1=Units!$Q43),1,Inputs!$B$15)*Inputs!$B$16*(1+Inputs!$B$11)^(AD$2-1),0)</f>
        <v>0</v>
      </c>
      <c r="AE44" s="11" t="n">
        <f aca="false">IF(AND(AE$1&gt;=Units!$Q43,MOD(AE$1-Units!$Q43,12)=0),IF(AND(Units!$L43=1,AE$1=Units!$Q43),1,Inputs!$B$15)*Inputs!$B$16*(1+Inputs!$B$11)^(AE$2-1),0)</f>
        <v>0</v>
      </c>
      <c r="AF44" s="11" t="n">
        <f aca="false">IF(AND(AF$1&gt;=Units!$Q43,MOD(AF$1-Units!$Q43,12)=0),IF(AND(Units!$L43=1,AF$1=Units!$Q43),1,Inputs!$B$15)*Inputs!$B$16*(1+Inputs!$B$11)^(AF$2-1),0)</f>
        <v>0</v>
      </c>
      <c r="AG44" s="11" t="n">
        <f aca="false">IF(AND(AG$1&gt;=Units!$Q43,MOD(AG$1-Units!$Q43,12)=0),IF(AND(Units!$L43=1,AG$1=Units!$Q43),1,Inputs!$B$15)*Inputs!$B$16*(1+Inputs!$B$11)^(AG$2-1),0)</f>
        <v>0</v>
      </c>
      <c r="AH44" s="11" t="n">
        <f aca="false">IF(AND(AH$1&gt;=Units!$Q43,MOD(AH$1-Units!$Q43,12)=0),IF(AND(Units!$L43=1,AH$1=Units!$Q43),1,Inputs!$B$15)*Inputs!$B$16*(1+Inputs!$B$11)^(AH$2-1),0)</f>
        <v>0</v>
      </c>
      <c r="AI44" s="11" t="n">
        <f aca="false">IF(AND(AI$1&gt;=Units!$Q43,MOD(AI$1-Units!$Q43,12)=0),IF(AND(Units!$L43=1,AI$1=Units!$Q43),1,Inputs!$B$15)*Inputs!$B$16*(1+Inputs!$B$11)^(AI$2-1),0)</f>
        <v>530.45</v>
      </c>
      <c r="AJ44" s="11" t="n">
        <f aca="false">IF(AND(AJ$1&gt;=Units!$Q43,MOD(AJ$1-Units!$Q43,12)=0),IF(AND(Units!$L43=1,AJ$1=Units!$Q43),1,Inputs!$B$15)*Inputs!$B$16*(1+Inputs!$B$11)^(AJ$2-1),0)</f>
        <v>0</v>
      </c>
      <c r="AK44" s="11" t="n">
        <f aca="false">IF(AND(AK$1&gt;=Units!$Q43,MOD(AK$1-Units!$Q43,12)=0),IF(AND(Units!$L43=1,AK$1=Units!$Q43),1,Inputs!$B$15)*Inputs!$B$16*(1+Inputs!$B$11)^(AK$2-1),0)</f>
        <v>0</v>
      </c>
      <c r="AL44" s="11" t="n">
        <f aca="false">IF(AND(AL$1&gt;=Units!$Q43,MOD(AL$1-Units!$Q43,12)=0),IF(AND(Units!$L43=1,AL$1=Units!$Q43),1,Inputs!$B$15)*Inputs!$B$16*(1+Inputs!$B$11)^(AL$2-1),0)</f>
        <v>0</v>
      </c>
      <c r="AM44" s="11" t="n">
        <f aca="false">IF(AND(AM$1&gt;=Units!$Q43,MOD(AM$1-Units!$Q43,12)=0),IF(AND(Units!$L43=1,AM$1=Units!$Q43),1,Inputs!$B$15)*Inputs!$B$16*(1+Inputs!$B$11)^(AM$2-1),0)</f>
        <v>0</v>
      </c>
      <c r="AN44" s="11" t="n">
        <f aca="false">IF(AND(AN$1&gt;=Units!$Q43,MOD(AN$1-Units!$Q43,12)=0),IF(AND(Units!$L43=1,AN$1=Units!$Q43),1,Inputs!$B$15)*Inputs!$B$16*(1+Inputs!$B$11)^(AN$2-1),0)</f>
        <v>0</v>
      </c>
      <c r="AO44" s="11" t="n">
        <f aca="false">IF(AND(AO$1&gt;=Units!$Q43,MOD(AO$1-Units!$Q43,12)=0),IF(AND(Units!$L43=1,AO$1=Units!$Q43),1,Inputs!$B$15)*Inputs!$B$16*(1+Inputs!$B$11)^(AO$2-1),0)</f>
        <v>0</v>
      </c>
      <c r="AP44" s="11" t="n">
        <f aca="false">IF(AND(AP$1&gt;=Units!$Q43,MOD(AP$1-Units!$Q43,12)=0),IF(AND(Units!$L43=1,AP$1=Units!$Q43),1,Inputs!$B$15)*Inputs!$B$16*(1+Inputs!$B$11)^(AP$2-1),0)</f>
        <v>0</v>
      </c>
      <c r="AQ44" s="11" t="n">
        <f aca="false">IF(AND(AQ$1&gt;=Units!$Q43,MOD(AQ$1-Units!$Q43,12)=0),IF(AND(Units!$L43=1,AQ$1=Units!$Q43),1,Inputs!$B$15)*Inputs!$B$16*(1+Inputs!$B$11)^(AQ$2-1),0)</f>
        <v>0</v>
      </c>
      <c r="AR44" s="11" t="n">
        <f aca="false">IF(AND(AR$1&gt;=Units!$Q43,MOD(AR$1-Units!$Q43,12)=0),IF(AND(Units!$L43=1,AR$1=Units!$Q43),1,Inputs!$B$15)*Inputs!$B$16*(1+Inputs!$B$11)^(AR$2-1),0)</f>
        <v>0</v>
      </c>
      <c r="AS44" s="11" t="n">
        <f aca="false">IF(AND(AS$1&gt;=Units!$Q43,MOD(AS$1-Units!$Q43,12)=0),IF(AND(Units!$L43=1,AS$1=Units!$Q43),1,Inputs!$B$15)*Inputs!$B$16*(1+Inputs!$B$11)^(AS$2-1),0)</f>
        <v>0</v>
      </c>
      <c r="AT44" s="11" t="n">
        <f aca="false">IF(AND(AT$1&gt;=Units!$Q43,MOD(AT$1-Units!$Q43,12)=0),IF(AND(Units!$L43=1,AT$1=Units!$Q43),1,Inputs!$B$15)*Inputs!$B$16*(1+Inputs!$B$11)^(AT$2-1),0)</f>
        <v>0</v>
      </c>
      <c r="AU44" s="11" t="n">
        <f aca="false">IF(AND(AU$1&gt;=Units!$Q43,MOD(AU$1-Units!$Q43,12)=0),IF(AND(Units!$L43=1,AU$1=Units!$Q43),1,Inputs!$B$15)*Inputs!$B$16*(1+Inputs!$B$11)^(AU$2-1),0)</f>
        <v>546.3635</v>
      </c>
      <c r="AV44" s="11" t="n">
        <f aca="false">IF(AND(AV$1&gt;=Units!$Q43,MOD(AV$1-Units!$Q43,12)=0),IF(AND(Units!$L43=1,AV$1=Units!$Q43),1,Inputs!$B$15)*Inputs!$B$16*(1+Inputs!$B$11)^(AV$2-1),0)</f>
        <v>0</v>
      </c>
      <c r="AW44" s="11" t="n">
        <f aca="false">IF(AND(AW$1&gt;=Units!$Q43,MOD(AW$1-Units!$Q43,12)=0),IF(AND(Units!$L43=1,AW$1=Units!$Q43),1,Inputs!$B$15)*Inputs!$B$16*(1+Inputs!$B$11)^(AW$2-1),0)</f>
        <v>0</v>
      </c>
      <c r="AX44" s="11" t="n">
        <f aca="false">IF(AND(AX$1&gt;=Units!$Q43,MOD(AX$1-Units!$Q43,12)=0),IF(AND(Units!$L43=1,AX$1=Units!$Q43),1,Inputs!$B$15)*Inputs!$B$16*(1+Inputs!$B$11)^(AX$2-1),0)</f>
        <v>0</v>
      </c>
      <c r="AY44" s="11" t="n">
        <f aca="false">IF(AND(AY$1&gt;=Units!$Q43,MOD(AY$1-Units!$Q43,12)=0),IF(AND(Units!$L43=1,AY$1=Units!$Q43),1,Inputs!$B$15)*Inputs!$B$16*(1+Inputs!$B$11)^(AY$2-1),0)</f>
        <v>0</v>
      </c>
      <c r="AZ44" s="11" t="n">
        <f aca="false">IF(AND(AZ$1&gt;=Units!$Q43,MOD(AZ$1-Units!$Q43,12)=0),IF(AND(Units!$L43=1,AZ$1=Units!$Q43),1,Inputs!$B$15)*Inputs!$B$16*(1+Inputs!$B$11)^(AZ$2-1),0)</f>
        <v>0</v>
      </c>
      <c r="BA44" s="11" t="n">
        <f aca="false">IF(AND(BA$1&gt;=Units!$Q43,MOD(BA$1-Units!$Q43,12)=0),IF(AND(Units!$L43=1,BA$1=Units!$Q43),1,Inputs!$B$15)*Inputs!$B$16*(1+Inputs!$B$11)^(BA$2-1),0)</f>
        <v>0</v>
      </c>
      <c r="BB44" s="11" t="n">
        <f aca="false">IF(AND(BB$1&gt;=Units!$Q43,MOD(BB$1-Units!$Q43,12)=0),IF(AND(Units!$L43=1,BB$1=Units!$Q43),1,Inputs!$B$15)*Inputs!$B$16*(1+Inputs!$B$11)^(BB$2-1),0)</f>
        <v>0</v>
      </c>
      <c r="BC44" s="11" t="n">
        <f aca="false">IF(AND(BC$1&gt;=Units!$Q43,MOD(BC$1-Units!$Q43,12)=0),IF(AND(Units!$L43=1,BC$1=Units!$Q43),1,Inputs!$B$15)*Inputs!$B$16*(1+Inputs!$B$11)^(BC$2-1),0)</f>
        <v>0</v>
      </c>
      <c r="BD44" s="11" t="n">
        <f aca="false">IF(AND(BD$1&gt;=Units!$Q43,MOD(BD$1-Units!$Q43,12)=0),IF(AND(Units!$L43=1,BD$1=Units!$Q43),1,Inputs!$B$15)*Inputs!$B$16*(1+Inputs!$B$11)^(BD$2-1),0)</f>
        <v>0</v>
      </c>
      <c r="BE44" s="11" t="n">
        <f aca="false">IF(AND(BE$1&gt;=Units!$Q43,MOD(BE$1-Units!$Q43,12)=0),IF(AND(Units!$L43=1,BE$1=Units!$Q43),1,Inputs!$B$15)*Inputs!$B$16*(1+Inputs!$B$11)^(BE$2-1),0)</f>
        <v>0</v>
      </c>
      <c r="BF44" s="11" t="n">
        <f aca="false">IF(AND(BF$1&gt;=Units!$Q43,MOD(BF$1-Units!$Q43,12)=0),IF(AND(Units!$L43=1,BF$1=Units!$Q43),1,Inputs!$B$15)*Inputs!$B$16*(1+Inputs!$B$11)^(BF$2-1),0)</f>
        <v>0</v>
      </c>
      <c r="BG44" s="11" t="n">
        <f aca="false">IF(AND(BG$1&gt;=Units!$Q43,MOD(BG$1-Units!$Q43,12)=0),IF(AND(Units!$L43=1,BG$1=Units!$Q43),1,Inputs!$B$15)*Inputs!$B$16*(1+Inputs!$B$11)^(BG$2-1),0)</f>
        <v>562.754405</v>
      </c>
      <c r="BH44" s="11" t="n">
        <f aca="false">IF(AND(BH$1&gt;=Units!$Q43,MOD(BH$1-Units!$Q43,12)=0),IF(AND(Units!$L43=1,BH$1=Units!$Q43),1,Inputs!$B$15)*Inputs!$B$16*(1+Inputs!$B$11)^(BH$2-1),0)</f>
        <v>0</v>
      </c>
      <c r="BI44" s="11" t="n">
        <f aca="false">IF(AND(BI$1&gt;=Units!$Q43,MOD(BI$1-Units!$Q43,12)=0),IF(AND(Units!$L43=1,BI$1=Units!$Q43),1,Inputs!$B$15)*Inputs!$B$16*(1+Inputs!$B$11)^(BI$2-1),0)</f>
        <v>0</v>
      </c>
      <c r="BJ44" s="11" t="n">
        <f aca="false">IF(AND(BJ$1&gt;=Units!$Q43,MOD(BJ$1-Units!$Q43,12)=0),IF(AND(Units!$L43=1,BJ$1=Units!$Q43),1,Inputs!$B$15)*Inputs!$B$16*(1+Inputs!$B$11)^(BJ$2-1),0)</f>
        <v>0</v>
      </c>
      <c r="BK44" s="11" t="n">
        <f aca="false">IF(AND(BK$1&gt;=Units!$Q43,MOD(BK$1-Units!$Q43,12)=0),IF(AND(Units!$L43=1,BK$1=Units!$Q43),1,Inputs!$B$15)*Inputs!$B$16*(1+Inputs!$B$11)^(BK$2-1),0)</f>
        <v>0</v>
      </c>
      <c r="BL44" s="11" t="n">
        <f aca="false">IF(AND(BL$1&gt;=Units!$Q43,MOD(BL$1-Units!$Q43,12)=0),IF(AND(Units!$L43=1,BL$1=Units!$Q43),1,Inputs!$B$15)*Inputs!$B$16*(1+Inputs!$B$11)^(BL$2-1),0)</f>
        <v>0</v>
      </c>
      <c r="BM44" s="11" t="n">
        <f aca="false">IF(AND(BM$1&gt;=Units!$Q43,MOD(BM$1-Units!$Q43,12)=0),IF(AND(Units!$L43=1,BM$1=Units!$Q43),1,Inputs!$B$15)*Inputs!$B$16*(1+Inputs!$B$11)^(BM$2-1),0)</f>
        <v>0</v>
      </c>
      <c r="BN44" s="11" t="n">
        <f aca="false">IF(AND(BN$1&gt;=Units!$Q43,MOD(BN$1-Units!$Q43,12)=0),IF(AND(Units!$L43=1,BN$1=Units!$Q43),1,Inputs!$B$15)*Inputs!$B$16*(1+Inputs!$B$11)^(BN$2-1),0)</f>
        <v>0</v>
      </c>
      <c r="BO44" s="11" t="n">
        <f aca="false">IF(AND(BO$1&gt;=Units!$Q43,MOD(BO$1-Units!$Q43,12)=0),IF(AND(Units!$L43=1,BO$1=Units!$Q43),1,Inputs!$B$15)*Inputs!$B$16*(1+Inputs!$B$11)^(BO$2-1),0)</f>
        <v>0</v>
      </c>
      <c r="BP44" s="11" t="n">
        <f aca="false">IF(AND(BP$1&gt;=Units!$Q43,MOD(BP$1-Units!$Q43,12)=0),IF(AND(Units!$L43=1,BP$1=Units!$Q43),1,Inputs!$B$15)*Inputs!$B$16*(1+Inputs!$B$11)^(BP$2-1),0)</f>
        <v>0</v>
      </c>
      <c r="BQ44" s="11" t="n">
        <f aca="false">IF(AND(BQ$1&gt;=Units!$Q43,MOD(BQ$1-Units!$Q43,12)=0),IF(AND(Units!$L43=1,BQ$1=Units!$Q43),1,Inputs!$B$15)*Inputs!$B$16*(1+Inputs!$B$11)^(BQ$2-1),0)</f>
        <v>0</v>
      </c>
      <c r="BR44" s="11" t="n">
        <f aca="false">IF(AND(BR$1&gt;=Units!$Q43,MOD(BR$1-Units!$Q43,12)=0),IF(AND(Units!$L43=1,BR$1=Units!$Q43),1,Inputs!$B$15)*Inputs!$B$16*(1+Inputs!$B$11)^(BR$2-1),0)</f>
        <v>0</v>
      </c>
      <c r="BS44" s="11" t="n">
        <f aca="false">IF(AND(BS$1&gt;=Units!$Q43,MOD(BS$1-Units!$Q43,12)=0),IF(AND(Units!$L43=1,BS$1=Units!$Q43),1,Inputs!$B$15)*Inputs!$B$16*(1+Inputs!$B$11)^(BS$2-1),0)</f>
        <v>579.63703715</v>
      </c>
      <c r="BT44" s="11" t="n">
        <f aca="false">IF(AND(BT$1&gt;=Units!$Q43,MOD(BT$1-Units!$Q43,12)=0),IF(AND(Units!$L43=1,BT$1=Units!$Q43),1,Inputs!$B$15)*Inputs!$B$16*(1+Inputs!$B$11)^(BT$2-1),0)</f>
        <v>0</v>
      </c>
      <c r="BU44" s="11" t="n">
        <f aca="false">IF(AND(BU$1&gt;=Units!$Q43,MOD(BU$1-Units!$Q43,12)=0),IF(AND(Units!$L43=1,BU$1=Units!$Q43),1,Inputs!$B$15)*Inputs!$B$16*(1+Inputs!$B$11)^(BU$2-1),0)</f>
        <v>0</v>
      </c>
      <c r="BV44" s="11" t="n">
        <f aca="false">IF(AND(BV$1&gt;=Units!$Q43,MOD(BV$1-Units!$Q43,12)=0),IF(AND(Units!$L43=1,BV$1=Units!$Q43),1,Inputs!$B$15)*Inputs!$B$16*(1+Inputs!$B$11)^(BV$2-1),0)</f>
        <v>0</v>
      </c>
      <c r="BW44" s="11" t="n">
        <f aca="false">IF(AND(BW$1&gt;=Units!$Q43,MOD(BW$1-Units!$Q43,12)=0),IF(AND(Units!$L43=1,BW$1=Units!$Q43),1,Inputs!$B$15)*Inputs!$B$16*(1+Inputs!$B$11)^(BW$2-1),0)</f>
        <v>0</v>
      </c>
      <c r="BX44" s="11" t="n">
        <f aca="false">IF(AND(BX$1&gt;=Units!$Q43,MOD(BX$1-Units!$Q43,12)=0),IF(AND(Units!$L43=1,BX$1=Units!$Q43),1,Inputs!$B$15)*Inputs!$B$16*(1+Inputs!$B$11)^(BX$2-1),0)</f>
        <v>0</v>
      </c>
      <c r="BY44" s="11" t="n">
        <f aca="false">IF(AND(BY$1&gt;=Units!$Q43,MOD(BY$1-Units!$Q43,12)=0),IF(AND(Units!$L43=1,BY$1=Units!$Q43),1,Inputs!$B$15)*Inputs!$B$16*(1+Inputs!$B$11)^(BY$2-1),0)</f>
        <v>0</v>
      </c>
      <c r="BZ44" s="11" t="n">
        <f aca="false">IF(AND(BZ$1&gt;=Units!$Q43,MOD(BZ$1-Units!$Q43,12)=0),IF(AND(Units!$L43=1,BZ$1=Units!$Q43),1,Inputs!$B$15)*Inputs!$B$16*(1+Inputs!$B$11)^(BZ$2-1),0)</f>
        <v>0</v>
      </c>
      <c r="CA44" s="11" t="n">
        <f aca="false">IF(AND(CA$1&gt;=Units!$Q43,MOD(CA$1-Units!$Q43,12)=0),IF(AND(Units!$L43=1,CA$1=Units!$Q43),1,Inputs!$B$15)*Inputs!$B$16*(1+Inputs!$B$11)^(CA$2-1),0)</f>
        <v>0</v>
      </c>
      <c r="CB44" s="11" t="n">
        <f aca="false">IF(AND(CB$1&gt;=Units!$Q43,MOD(CB$1-Units!$Q43,12)=0),IF(AND(Units!$L43=1,CB$1=Units!$Q43),1,Inputs!$B$15)*Inputs!$B$16*(1+Inputs!$B$11)^(CB$2-1),0)</f>
        <v>0</v>
      </c>
      <c r="CC44" s="11" t="n">
        <f aca="false">IF(AND(CC$1&gt;=Units!$Q43,MOD(CC$1-Units!$Q43,12)=0),IF(AND(Units!$L43=1,CC$1=Units!$Q43),1,Inputs!$B$15)*Inputs!$B$16*(1+Inputs!$B$11)^(CC$2-1),0)</f>
        <v>0</v>
      </c>
      <c r="CD44" s="11" t="n">
        <f aca="false">IF(AND(CD$1&gt;=Units!$Q43,MOD(CD$1-Units!$Q43,12)=0),IF(AND(Units!$L43=1,CD$1=Units!$Q43),1,Inputs!$B$15)*Inputs!$B$16*(1+Inputs!$B$11)^(CD$2-1),0)</f>
        <v>0</v>
      </c>
      <c r="CE44" s="11" t="n">
        <f aca="false">IF(AND(CE$1&gt;=Units!$Q43,MOD(CE$1-Units!$Q43,12)=0),IF(AND(Units!$L43=1,CE$1=Units!$Q43),1,Inputs!$B$15)*Inputs!$B$16*(1+Inputs!$B$11)^(CE$2-1),0)</f>
        <v>597.0261482645</v>
      </c>
      <c r="CF44" s="11" t="n">
        <f aca="false">IF(AND(CF$1&gt;=Units!$Q43,MOD(CF$1-Units!$Q43,12)=0),IF(AND(Units!$L43=1,CF$1=Units!$Q43),1,Inputs!$B$15)*Inputs!$B$16*(1+Inputs!$B$11)^(CF$2-1),0)</f>
        <v>0</v>
      </c>
      <c r="CG44" s="11" t="n">
        <f aca="false">IF(AND(CG$1&gt;=Units!$Q43,MOD(CG$1-Units!$Q43,12)=0),IF(AND(Units!$L43=1,CG$1=Units!$Q43),1,Inputs!$B$15)*Inputs!$B$16*(1+Inputs!$B$11)^(CG$2-1),0)</f>
        <v>0</v>
      </c>
      <c r="CH44" s="11" t="n">
        <f aca="false">IF(AND(CH$1&gt;=Units!$Q43,MOD(CH$1-Units!$Q43,12)=0),IF(AND(Units!$L43=1,CH$1=Units!$Q43),1,Inputs!$B$15)*Inputs!$B$16*(1+Inputs!$B$11)^(CH$2-1),0)</f>
        <v>0</v>
      </c>
      <c r="CI44" s="11" t="n">
        <f aca="false">IF(AND(CI$1&gt;=Units!$Q43,MOD(CI$1-Units!$Q43,12)=0),IF(AND(Units!$L43=1,CI$1=Units!$Q43),1,Inputs!$B$15)*Inputs!$B$16*(1+Inputs!$B$11)^(CI$2-1),0)</f>
        <v>0</v>
      </c>
      <c r="CJ44" s="11" t="n">
        <f aca="false">IF(AND(CJ$1&gt;=Units!$Q43,MOD(CJ$1-Units!$Q43,12)=0),IF(AND(Units!$L43=1,CJ$1=Units!$Q43),1,Inputs!$B$15)*Inputs!$B$16*(1+Inputs!$B$11)^(CJ$2-1),0)</f>
        <v>0</v>
      </c>
      <c r="CK44" s="11" t="n">
        <f aca="false">IF(AND(CK$1&gt;=Units!$Q43,MOD(CK$1-Units!$Q43,12)=0),IF(AND(Units!$L43=1,CK$1=Units!$Q43),1,Inputs!$B$15)*Inputs!$B$16*(1+Inputs!$B$11)^(CK$2-1),0)</f>
        <v>0</v>
      </c>
      <c r="CL44" s="11" t="n">
        <f aca="false">IF(AND(CL$1&gt;=Units!$Q43,MOD(CL$1-Units!$Q43,12)=0),IF(AND(Units!$L43=1,CL$1=Units!$Q43),1,Inputs!$B$15)*Inputs!$B$16*(1+Inputs!$B$11)^(CL$2-1),0)</f>
        <v>0</v>
      </c>
      <c r="CM44" s="11" t="n">
        <f aca="false">IF(AND(CM$1&gt;=Units!$Q43,MOD(CM$1-Units!$Q43,12)=0),IF(AND(Units!$L43=1,CM$1=Units!$Q43),1,Inputs!$B$15)*Inputs!$B$16*(1+Inputs!$B$11)^(CM$2-1),0)</f>
        <v>0</v>
      </c>
      <c r="CN44" s="11" t="n">
        <f aca="false">IF(AND(CN$1&gt;=Units!$Q43,MOD(CN$1-Units!$Q43,12)=0),IF(AND(Units!$L43=1,CN$1=Units!$Q43),1,Inputs!$B$15)*Inputs!$B$16*(1+Inputs!$B$11)^(CN$2-1),0)</f>
        <v>0</v>
      </c>
      <c r="CO44" s="11" t="n">
        <f aca="false">IF(AND(CO$1&gt;=Units!$Q43,MOD(CO$1-Units!$Q43,12)=0),IF(AND(Units!$L43=1,CO$1=Units!$Q43),1,Inputs!$B$15)*Inputs!$B$16*(1+Inputs!$B$11)^(CO$2-1),0)</f>
        <v>0</v>
      </c>
      <c r="CP44" s="11" t="n">
        <f aca="false">IF(AND(CP$1&gt;=Units!$Q43,MOD(CP$1-Units!$Q43,12)=0),IF(AND(Units!$L43=1,CP$1=Units!$Q43),1,Inputs!$B$15)*Inputs!$B$16*(1+Inputs!$B$11)^(CP$2-1),0)</f>
        <v>0</v>
      </c>
      <c r="CQ44" s="11" t="n">
        <f aca="false">IF(AND(CQ$1&gt;=Units!$Q43,MOD(CQ$1-Units!$Q43,12)=0),IF(AND(Units!$L43=1,CQ$1=Units!$Q43),1,Inputs!$B$15)*Inputs!$B$16*(1+Inputs!$B$11)^(CQ$2-1),0)</f>
        <v>614.936932712435</v>
      </c>
      <c r="CR44" s="11" t="n">
        <f aca="false">IF(AND(CR$1&gt;=Units!$Q43,MOD(CR$1-Units!$Q43,12)=0),IF(AND(Units!$L43=1,CR$1=Units!$Q43),1,Inputs!$B$15)*Inputs!$B$16*(1+Inputs!$B$11)^(CR$2-1),0)</f>
        <v>0</v>
      </c>
      <c r="CS44" s="11" t="n">
        <f aca="false">IF(AND(CS$1&gt;=Units!$Q43,MOD(CS$1-Units!$Q43,12)=0),IF(AND(Units!$L43=1,CS$1=Units!$Q43),1,Inputs!$B$15)*Inputs!$B$16*(1+Inputs!$B$11)^(CS$2-1),0)</f>
        <v>0</v>
      </c>
      <c r="CT44" s="11" t="n">
        <f aca="false">IF(AND(CT$1&gt;=Units!$Q43,MOD(CT$1-Units!$Q43,12)=0),IF(AND(Units!$L43=1,CT$1=Units!$Q43),1,Inputs!$B$15)*Inputs!$B$16*(1+Inputs!$B$11)^(CT$2-1),0)</f>
        <v>0</v>
      </c>
      <c r="CU44" s="11" t="n">
        <f aca="false">IF(AND(CU$1&gt;=Units!$Q43,MOD(CU$1-Units!$Q43,12)=0),IF(AND(Units!$L43=1,CU$1=Units!$Q43),1,Inputs!$B$15)*Inputs!$B$16*(1+Inputs!$B$11)^(CU$2-1),0)</f>
        <v>0</v>
      </c>
      <c r="CV44" s="11" t="n">
        <f aca="false">IF(AND(CV$1&gt;=Units!$Q43,MOD(CV$1-Units!$Q43,12)=0),IF(AND(Units!$L43=1,CV$1=Units!$Q43),1,Inputs!$B$15)*Inputs!$B$16*(1+Inputs!$B$11)^(CV$2-1),0)</f>
        <v>0</v>
      </c>
      <c r="CW44" s="11" t="n">
        <f aca="false">IF(AND(CW$1&gt;=Units!$Q43,MOD(CW$1-Units!$Q43,12)=0),IF(AND(Units!$L43=1,CW$1=Units!$Q43),1,Inputs!$B$15)*Inputs!$B$16*(1+Inputs!$B$11)^(CW$2-1),0)</f>
        <v>0</v>
      </c>
      <c r="CX44" s="11" t="n">
        <f aca="false">IF(AND(CX$1&gt;=Units!$Q43,MOD(CX$1-Units!$Q43,12)=0),IF(AND(Units!$L43=1,CX$1=Units!$Q43),1,Inputs!$B$15)*Inputs!$B$16*(1+Inputs!$B$11)^(CX$2-1),0)</f>
        <v>0</v>
      </c>
      <c r="CY44" s="11" t="n">
        <f aca="false">IF(AND(CY$1&gt;=Units!$Q43,MOD(CY$1-Units!$Q43,12)=0),IF(AND(Units!$L43=1,CY$1=Units!$Q43),1,Inputs!$B$15)*Inputs!$B$16*(1+Inputs!$B$11)^(CY$2-1),0)</f>
        <v>0</v>
      </c>
      <c r="CZ44" s="11" t="n">
        <f aca="false">IF(AND(CZ$1&gt;=Units!$Q43,MOD(CZ$1-Units!$Q43,12)=0),IF(AND(Units!$L43=1,CZ$1=Units!$Q43),1,Inputs!$B$15)*Inputs!$B$16*(1+Inputs!$B$11)^(CZ$2-1),0)</f>
        <v>0</v>
      </c>
      <c r="DA44" s="11" t="n">
        <f aca="false">IF(AND(DA$1&gt;=Units!$Q43,MOD(DA$1-Units!$Q43,12)=0),IF(AND(Units!$L43=1,DA$1=Units!$Q43),1,Inputs!$B$15)*Inputs!$B$16*(1+Inputs!$B$11)^(DA$2-1),0)</f>
        <v>0</v>
      </c>
      <c r="DB44" s="11" t="n">
        <f aca="false">IF(AND(DB$1&gt;=Units!$Q43,MOD(DB$1-Units!$Q43,12)=0),IF(AND(Units!$L43=1,DB$1=Units!$Q43),1,Inputs!$B$15)*Inputs!$B$16*(1+Inputs!$B$11)^(DB$2-1),0)</f>
        <v>0</v>
      </c>
      <c r="DC44" s="11" t="n">
        <f aca="false">IF(AND(DC$1&gt;=Units!$Q43,MOD(DC$1-Units!$Q43,12)=0),IF(AND(Units!$L43=1,DC$1=Units!$Q43),1,Inputs!$B$15)*Inputs!$B$16*(1+Inputs!$B$11)^(DC$2-1),0)</f>
        <v>633.385040693808</v>
      </c>
      <c r="DD44" s="11" t="n">
        <f aca="false">IF(AND(DD$1&gt;=Units!$Q43,MOD(DD$1-Units!$Q43,12)=0),IF(AND(Units!$L43=1,DD$1=Units!$Q43),1,Inputs!$B$15)*Inputs!$B$16*(1+Inputs!$B$11)^(DD$2-1),0)</f>
        <v>0</v>
      </c>
      <c r="DE44" s="11" t="n">
        <f aca="false">IF(AND(DE$1&gt;=Units!$Q43,MOD(DE$1-Units!$Q43,12)=0),IF(AND(Units!$L43=1,DE$1=Units!$Q43),1,Inputs!$B$15)*Inputs!$B$16*(1+Inputs!$B$11)^(DE$2-1),0)</f>
        <v>0</v>
      </c>
      <c r="DF44" s="11" t="n">
        <f aca="false">IF(AND(DF$1&gt;=Units!$Q43,MOD(DF$1-Units!$Q43,12)=0),IF(AND(Units!$L43=1,DF$1=Units!$Q43),1,Inputs!$B$15)*Inputs!$B$16*(1+Inputs!$B$11)^(DF$2-1),0)</f>
        <v>0</v>
      </c>
      <c r="DG44" s="11" t="n">
        <f aca="false">IF(AND(DG$1&gt;=Units!$Q43,MOD(DG$1-Units!$Q43,12)=0),IF(AND(Units!$L43=1,DG$1=Units!$Q43),1,Inputs!$B$15)*Inputs!$B$16*(1+Inputs!$B$11)^(DG$2-1),0)</f>
        <v>0</v>
      </c>
      <c r="DH44" s="11" t="n">
        <f aca="false">IF(AND(DH$1&gt;=Units!$Q43,MOD(DH$1-Units!$Q43,12)=0),IF(AND(Units!$L43=1,DH$1=Units!$Q43),1,Inputs!$B$15)*Inputs!$B$16*(1+Inputs!$B$11)^(DH$2-1),0)</f>
        <v>0</v>
      </c>
      <c r="DI44" s="11" t="n">
        <f aca="false">IF(AND(DI$1&gt;=Units!$Q43,MOD(DI$1-Units!$Q43,12)=0),IF(AND(Units!$L43=1,DI$1=Units!$Q43),1,Inputs!$B$15)*Inputs!$B$16*(1+Inputs!$B$11)^(DI$2-1),0)</f>
        <v>0</v>
      </c>
      <c r="DJ44" s="11" t="n">
        <f aca="false">IF(AND(DJ$1&gt;=Units!$Q43,MOD(DJ$1-Units!$Q43,12)=0),IF(AND(Units!$L43=1,DJ$1=Units!$Q43),1,Inputs!$B$15)*Inputs!$B$16*(1+Inputs!$B$11)^(DJ$2-1),0)</f>
        <v>0</v>
      </c>
      <c r="DK44" s="11" t="n">
        <f aca="false">IF(AND(DK$1&gt;=Units!$Q43,MOD(DK$1-Units!$Q43,12)=0),IF(AND(Units!$L43=1,DK$1=Units!$Q43),1,Inputs!$B$15)*Inputs!$B$16*(1+Inputs!$B$11)^(DK$2-1),0)</f>
        <v>0</v>
      </c>
      <c r="DL44" s="11" t="n">
        <f aca="false">IF(AND(DL$1&gt;=Units!$Q43,MOD(DL$1-Units!$Q43,12)=0),IF(AND(Units!$L43=1,DL$1=Units!$Q43),1,Inputs!$B$15)*Inputs!$B$16*(1+Inputs!$B$11)^(DL$2-1),0)</f>
        <v>0</v>
      </c>
      <c r="DM44" s="11" t="n">
        <f aca="false">IF(AND(DM$1&gt;=Units!$Q43,MOD(DM$1-Units!$Q43,12)=0),IF(AND(Units!$L43=1,DM$1=Units!$Q43),1,Inputs!$B$15)*Inputs!$B$16*(1+Inputs!$B$11)^(DM$2-1),0)</f>
        <v>0</v>
      </c>
      <c r="DN44" s="11" t="n">
        <f aca="false">IF(AND(DN$1&gt;=Units!$Q43,MOD(DN$1-Units!$Q43,12)=0),IF(AND(Units!$L43=1,DN$1=Units!$Q43),1,Inputs!$B$15)*Inputs!$B$16*(1+Inputs!$B$11)^(DN$2-1),0)</f>
        <v>0</v>
      </c>
      <c r="DO44" s="11" t="n">
        <f aca="false">IF(AND(DO$1&gt;=Units!$Q43,MOD(DO$1-Units!$Q43,12)=0),IF(AND(Units!$L43=1,DO$1=Units!$Q43),1,Inputs!$B$15)*Inputs!$B$16*(1+Inputs!$B$11)^(DO$2-1),0)</f>
        <v>652.386591914623</v>
      </c>
      <c r="DP44" s="11" t="n">
        <f aca="false">IF(AND(DP$1&gt;=Units!$Q43,MOD(DP$1-Units!$Q43,12)=0),IF(AND(Units!$L43=1,DP$1=Units!$Q43),1,Inputs!$B$15)*Inputs!$B$16*(1+Inputs!$B$11)^(DP$2-1),0)</f>
        <v>0</v>
      </c>
      <c r="DQ44" s="11" t="n">
        <f aca="false">IF(AND(DQ$1&gt;=Units!$Q43,MOD(DQ$1-Units!$Q43,12)=0),IF(AND(Units!$L43=1,DQ$1=Units!$Q43),1,Inputs!$B$15)*Inputs!$B$16*(1+Inputs!$B$11)^(DQ$2-1),0)</f>
        <v>0</v>
      </c>
      <c r="DR44" s="11" t="n">
        <f aca="false">IF(AND(DR$1&gt;=Units!$Q43,MOD(DR$1-Units!$Q43,12)=0),IF(AND(Units!$L43=1,DR$1=Units!$Q43),1,Inputs!$B$15)*Inputs!$B$16*(1+Inputs!$B$11)^(DR$2-1),0)</f>
        <v>0</v>
      </c>
      <c r="DS44" s="11" t="n">
        <f aca="false">IF(AND(DS$1&gt;=Units!$Q43,MOD(DS$1-Units!$Q43,12)=0),IF(AND(Units!$L43=1,DS$1=Units!$Q43),1,Inputs!$B$15)*Inputs!$B$16*(1+Inputs!$B$11)^(DS$2-1),0)</f>
        <v>0</v>
      </c>
      <c r="DT44" s="11" t="n">
        <f aca="false">IF(AND(DT$1&gt;=Units!$Q43,MOD(DT$1-Units!$Q43,12)=0),IF(AND(Units!$L43=1,DT$1=Units!$Q43),1,Inputs!$B$15)*Inputs!$B$16*(1+Inputs!$B$11)^(DT$2-1),0)</f>
        <v>0</v>
      </c>
      <c r="DU44" s="11" t="n">
        <f aca="false">IF(AND(DU$1&gt;=Units!$Q43,MOD(DU$1-Units!$Q43,12)=0),IF(AND(Units!$L43=1,DU$1=Units!$Q43),1,Inputs!$B$15)*Inputs!$B$16*(1+Inputs!$B$11)^(DU$2-1),0)</f>
        <v>0</v>
      </c>
      <c r="DV44" s="11" t="n">
        <f aca="false">IF(AND(DV$1&gt;=Units!$Q43,MOD(DV$1-Units!$Q43,12)=0),IF(AND(Units!$L43=1,DV$1=Units!$Q43),1,Inputs!$B$15)*Inputs!$B$16*(1+Inputs!$B$11)^(DV$2-1),0)</f>
        <v>0</v>
      </c>
      <c r="DW44" s="11" t="n">
        <f aca="false">IF(AND(DW$1&gt;=Units!$Q43,MOD(DW$1-Units!$Q43,12)=0),IF(AND(Units!$L43=1,DW$1=Units!$Q43),1,Inputs!$B$15)*Inputs!$B$16*(1+Inputs!$B$11)^(DW$2-1),0)</f>
        <v>0</v>
      </c>
      <c r="DX44" s="11" t="n">
        <f aca="false">IF(AND(DX$1&gt;=Units!$Q43,MOD(DX$1-Units!$Q43,12)=0),IF(AND(Units!$L43=1,DX$1=Units!$Q43),1,Inputs!$B$15)*Inputs!$B$16*(1+Inputs!$B$11)^(DX$2-1),0)</f>
        <v>0</v>
      </c>
      <c r="DY44" s="11" t="n">
        <f aca="false">IF(AND(DY$1&gt;=Units!$Q43,MOD(DY$1-Units!$Q43,12)=0),IF(AND(Units!$L43=1,DY$1=Units!$Q43),1,Inputs!$B$15)*Inputs!$B$16*(1+Inputs!$B$11)^(DY$2-1),0)</f>
        <v>0</v>
      </c>
      <c r="DZ44" s="11" t="n">
        <f aca="false">IF(AND(DZ$1&gt;=Units!$Q43,MOD(DZ$1-Units!$Q43,12)=0),IF(AND(Units!$L43=1,DZ$1=Units!$Q43),1,Inputs!$B$15)*Inputs!$B$16*(1+Inputs!$B$11)^(DZ$2-1),0)</f>
        <v>0</v>
      </c>
      <c r="EA44" s="11" t="n">
        <f aca="false">IF(AND(EA$1&gt;=Units!$Q43,MOD(EA$1-Units!$Q43,12)=0),IF(AND(Units!$L43=1,EA$1=Units!$Q43),1,Inputs!$B$15)*Inputs!$B$16*(1+Inputs!$B$11)^(EA$2-1),0)</f>
        <v>671.958189672061</v>
      </c>
      <c r="EB44" s="11" t="n">
        <f aca="false">IF(AND(EB$1&gt;=Units!$Q43,MOD(EB$1-Units!$Q43,12)=0),IF(AND(Units!$L43=1,EB$1=Units!$Q43),1,Inputs!$B$15)*Inputs!$B$16*(1+Inputs!$B$11)^(EB$2-1),0)</f>
        <v>0</v>
      </c>
      <c r="EC44" s="11" t="n">
        <f aca="false">IF(AND(EC$1&gt;=Units!$Q43,MOD(EC$1-Units!$Q43,12)=0),IF(AND(Units!$L43=1,EC$1=Units!$Q43),1,Inputs!$B$15)*Inputs!$B$16*(1+Inputs!$B$11)^(EC$2-1),0)</f>
        <v>0</v>
      </c>
      <c r="ED44" s="11" t="n">
        <f aca="false">IF(AND(ED$1&gt;=Units!$Q43,MOD(ED$1-Units!$Q43,12)=0),IF(AND(Units!$L43=1,ED$1=Units!$Q43),1,Inputs!$B$15)*Inputs!$B$16*(1+Inputs!$B$11)^(ED$2-1),0)</f>
        <v>0</v>
      </c>
    </row>
    <row r="45" customFormat="false" ht="15" hidden="false" customHeight="false" outlineLevel="0" collapsed="false">
      <c r="A45" s="22" t="n">
        <f aca="false">Units!A44</f>
        <v>213</v>
      </c>
      <c r="B45" s="23"/>
      <c r="C45" s="11" t="n">
        <f aca="false">IF(AND(C$1&gt;=Units!$Q44,MOD(C$1-Units!$Q44,12)=0),IF(AND(Units!$L44=1,C$1=Units!$Q44),1,Inputs!$B$15)*Inputs!$B$16*(1+Inputs!$B$11)^(C$2-1),0)</f>
        <v>0</v>
      </c>
      <c r="D45" s="11" t="n">
        <f aca="false">IF(AND(D$1&gt;=Units!$Q44,MOD(D$1-Units!$Q44,12)=0),IF(AND(Units!$L44=1,D$1=Units!$Q44),1,Inputs!$B$15)*Inputs!$B$16*(1+Inputs!$B$11)^(D$2-1),0)</f>
        <v>0</v>
      </c>
      <c r="E45" s="11" t="n">
        <f aca="false">IF(AND(E$1&gt;=Units!$Q44,MOD(E$1-Units!$Q44,12)=0),IF(AND(Units!$L44=1,E$1=Units!$Q44),1,Inputs!$B$15)*Inputs!$B$16*(1+Inputs!$B$11)^(E$2-1),0)</f>
        <v>0</v>
      </c>
      <c r="F45" s="11" t="n">
        <f aca="false">IF(AND(F$1&gt;=Units!$Q44,MOD(F$1-Units!$Q44,12)=0),IF(AND(Units!$L44=1,F$1=Units!$Q44),1,Inputs!$B$15)*Inputs!$B$16*(1+Inputs!$B$11)^(F$2-1),0)</f>
        <v>0</v>
      </c>
      <c r="G45" s="11" t="n">
        <f aca="false">IF(AND(G$1&gt;=Units!$Q44,MOD(G$1-Units!$Q44,12)=0),IF(AND(Units!$L44=1,G$1=Units!$Q44),1,Inputs!$B$15)*Inputs!$B$16*(1+Inputs!$B$11)^(G$2-1),0)</f>
        <v>0</v>
      </c>
      <c r="H45" s="11" t="n">
        <f aca="false">IF(AND(H$1&gt;=Units!$Q44,MOD(H$1-Units!$Q44,12)=0),IF(AND(Units!$L44=1,H$1=Units!$Q44),1,Inputs!$B$15)*Inputs!$B$16*(1+Inputs!$B$11)^(H$2-1),0)</f>
        <v>0</v>
      </c>
      <c r="I45" s="11" t="n">
        <f aca="false">IF(AND(I$1&gt;=Units!$Q44,MOD(I$1-Units!$Q44,12)=0),IF(AND(Units!$L44=1,I$1=Units!$Q44),1,Inputs!$B$15)*Inputs!$B$16*(1+Inputs!$B$11)^(I$2-1),0)</f>
        <v>0</v>
      </c>
      <c r="J45" s="11" t="n">
        <f aca="false">IF(AND(J$1&gt;=Units!$Q44,MOD(J$1-Units!$Q44,12)=0),IF(AND(Units!$L44=1,J$1=Units!$Q44),1,Inputs!$B$15)*Inputs!$B$16*(1+Inputs!$B$11)^(J$2-1),0)</f>
        <v>0</v>
      </c>
      <c r="K45" s="11" t="n">
        <f aca="false">IF(AND(K$1&gt;=Units!$Q44,MOD(K$1-Units!$Q44,12)=0),IF(AND(Units!$L44=1,K$1=Units!$Q44),1,Inputs!$B$15)*Inputs!$B$16*(1+Inputs!$B$11)^(K$2-1),0)</f>
        <v>0</v>
      </c>
      <c r="L45" s="11" t="n">
        <f aca="false">IF(AND(L$1&gt;=Units!$Q44,MOD(L$1-Units!$Q44,12)=0),IF(AND(Units!$L44=1,L$1=Units!$Q44),1,Inputs!$B$15)*Inputs!$B$16*(1+Inputs!$B$11)^(L$2-1),0)</f>
        <v>0</v>
      </c>
      <c r="M45" s="11" t="n">
        <f aca="false">IF(AND(M$1&gt;=Units!$Q44,MOD(M$1-Units!$Q44,12)=0),IF(AND(Units!$L44=1,M$1=Units!$Q44),1,Inputs!$B$15)*Inputs!$B$16*(1+Inputs!$B$11)^(M$2-1),0)</f>
        <v>0</v>
      </c>
      <c r="N45" s="11" t="n">
        <f aca="false">IF(AND(N$1&gt;=Units!$Q44,MOD(N$1-Units!$Q44,12)=0),IF(AND(Units!$L44=1,N$1=Units!$Q44),1,Inputs!$B$15)*Inputs!$B$16*(1+Inputs!$B$11)^(N$2-1),0)</f>
        <v>500</v>
      </c>
      <c r="O45" s="11" t="n">
        <f aca="false">IF(AND(O$1&gt;=Units!$Q44,MOD(O$1-Units!$Q44,12)=0),IF(AND(Units!$L44=1,O$1=Units!$Q44),1,Inputs!$B$15)*Inputs!$B$16*(1+Inputs!$B$11)^(O$2-1),0)</f>
        <v>0</v>
      </c>
      <c r="P45" s="11" t="n">
        <f aca="false">IF(AND(P$1&gt;=Units!$Q44,MOD(P$1-Units!$Q44,12)=0),IF(AND(Units!$L44=1,P$1=Units!$Q44),1,Inputs!$B$15)*Inputs!$B$16*(1+Inputs!$B$11)^(P$2-1),0)</f>
        <v>0</v>
      </c>
      <c r="Q45" s="11" t="n">
        <f aca="false">IF(AND(Q$1&gt;=Units!$Q44,MOD(Q$1-Units!$Q44,12)=0),IF(AND(Units!$L44=1,Q$1=Units!$Q44),1,Inputs!$B$15)*Inputs!$B$16*(1+Inputs!$B$11)^(Q$2-1),0)</f>
        <v>0</v>
      </c>
      <c r="R45" s="11" t="n">
        <f aca="false">IF(AND(R$1&gt;=Units!$Q44,MOD(R$1-Units!$Q44,12)=0),IF(AND(Units!$L44=1,R$1=Units!$Q44),1,Inputs!$B$15)*Inputs!$B$16*(1+Inputs!$B$11)^(R$2-1),0)</f>
        <v>0</v>
      </c>
      <c r="S45" s="11" t="n">
        <f aca="false">IF(AND(S$1&gt;=Units!$Q44,MOD(S$1-Units!$Q44,12)=0),IF(AND(Units!$L44=1,S$1=Units!$Q44),1,Inputs!$B$15)*Inputs!$B$16*(1+Inputs!$B$11)^(S$2-1),0)</f>
        <v>0</v>
      </c>
      <c r="T45" s="11" t="n">
        <f aca="false">IF(AND(T$1&gt;=Units!$Q44,MOD(T$1-Units!$Q44,12)=0),IF(AND(Units!$L44=1,T$1=Units!$Q44),1,Inputs!$B$15)*Inputs!$B$16*(1+Inputs!$B$11)^(T$2-1),0)</f>
        <v>0</v>
      </c>
      <c r="U45" s="11" t="n">
        <f aca="false">IF(AND(U$1&gt;=Units!$Q44,MOD(U$1-Units!$Q44,12)=0),IF(AND(Units!$L44=1,U$1=Units!$Q44),1,Inputs!$B$15)*Inputs!$B$16*(1+Inputs!$B$11)^(U$2-1),0)</f>
        <v>0</v>
      </c>
      <c r="V45" s="11" t="n">
        <f aca="false">IF(AND(V$1&gt;=Units!$Q44,MOD(V$1-Units!$Q44,12)=0),IF(AND(Units!$L44=1,V$1=Units!$Q44),1,Inputs!$B$15)*Inputs!$B$16*(1+Inputs!$B$11)^(V$2-1),0)</f>
        <v>0</v>
      </c>
      <c r="W45" s="11" t="n">
        <f aca="false">IF(AND(W$1&gt;=Units!$Q44,MOD(W$1-Units!$Q44,12)=0),IF(AND(Units!$L44=1,W$1=Units!$Q44),1,Inputs!$B$15)*Inputs!$B$16*(1+Inputs!$B$11)^(W$2-1),0)</f>
        <v>0</v>
      </c>
      <c r="X45" s="11" t="n">
        <f aca="false">IF(AND(X$1&gt;=Units!$Q44,MOD(X$1-Units!$Q44,12)=0),IF(AND(Units!$L44=1,X$1=Units!$Q44),1,Inputs!$B$15)*Inputs!$B$16*(1+Inputs!$B$11)^(X$2-1),0)</f>
        <v>0</v>
      </c>
      <c r="Y45" s="11" t="n">
        <f aca="false">IF(AND(Y$1&gt;=Units!$Q44,MOD(Y$1-Units!$Q44,12)=0),IF(AND(Units!$L44=1,Y$1=Units!$Q44),1,Inputs!$B$15)*Inputs!$B$16*(1+Inputs!$B$11)^(Y$2-1),0)</f>
        <v>0</v>
      </c>
      <c r="Z45" s="11" t="n">
        <f aca="false">IF(AND(Z$1&gt;=Units!$Q44,MOD(Z$1-Units!$Q44,12)=0),IF(AND(Units!$L44=1,Z$1=Units!$Q44),1,Inputs!$B$15)*Inputs!$B$16*(1+Inputs!$B$11)^(Z$2-1),0)</f>
        <v>515</v>
      </c>
      <c r="AA45" s="11" t="n">
        <f aca="false">IF(AND(AA$1&gt;=Units!$Q44,MOD(AA$1-Units!$Q44,12)=0),IF(AND(Units!$L44=1,AA$1=Units!$Q44),1,Inputs!$B$15)*Inputs!$B$16*(1+Inputs!$B$11)^(AA$2-1),0)</f>
        <v>0</v>
      </c>
      <c r="AB45" s="11" t="n">
        <f aca="false">IF(AND(AB$1&gt;=Units!$Q44,MOD(AB$1-Units!$Q44,12)=0),IF(AND(Units!$L44=1,AB$1=Units!$Q44),1,Inputs!$B$15)*Inputs!$B$16*(1+Inputs!$B$11)^(AB$2-1),0)</f>
        <v>0</v>
      </c>
      <c r="AC45" s="11" t="n">
        <f aca="false">IF(AND(AC$1&gt;=Units!$Q44,MOD(AC$1-Units!$Q44,12)=0),IF(AND(Units!$L44=1,AC$1=Units!$Q44),1,Inputs!$B$15)*Inputs!$B$16*(1+Inputs!$B$11)^(AC$2-1),0)</f>
        <v>0</v>
      </c>
      <c r="AD45" s="11" t="n">
        <f aca="false">IF(AND(AD$1&gt;=Units!$Q44,MOD(AD$1-Units!$Q44,12)=0),IF(AND(Units!$L44=1,AD$1=Units!$Q44),1,Inputs!$B$15)*Inputs!$B$16*(1+Inputs!$B$11)^(AD$2-1),0)</f>
        <v>0</v>
      </c>
      <c r="AE45" s="11" t="n">
        <f aca="false">IF(AND(AE$1&gt;=Units!$Q44,MOD(AE$1-Units!$Q44,12)=0),IF(AND(Units!$L44=1,AE$1=Units!$Q44),1,Inputs!$B$15)*Inputs!$B$16*(1+Inputs!$B$11)^(AE$2-1),0)</f>
        <v>0</v>
      </c>
      <c r="AF45" s="11" t="n">
        <f aca="false">IF(AND(AF$1&gt;=Units!$Q44,MOD(AF$1-Units!$Q44,12)=0),IF(AND(Units!$L44=1,AF$1=Units!$Q44),1,Inputs!$B$15)*Inputs!$B$16*(1+Inputs!$B$11)^(AF$2-1),0)</f>
        <v>0</v>
      </c>
      <c r="AG45" s="11" t="n">
        <f aca="false">IF(AND(AG$1&gt;=Units!$Q44,MOD(AG$1-Units!$Q44,12)=0),IF(AND(Units!$L44=1,AG$1=Units!$Q44),1,Inputs!$B$15)*Inputs!$B$16*(1+Inputs!$B$11)^(AG$2-1),0)</f>
        <v>0</v>
      </c>
      <c r="AH45" s="11" t="n">
        <f aca="false">IF(AND(AH$1&gt;=Units!$Q44,MOD(AH$1-Units!$Q44,12)=0),IF(AND(Units!$L44=1,AH$1=Units!$Q44),1,Inputs!$B$15)*Inputs!$B$16*(1+Inputs!$B$11)^(AH$2-1),0)</f>
        <v>0</v>
      </c>
      <c r="AI45" s="11" t="n">
        <f aca="false">IF(AND(AI$1&gt;=Units!$Q44,MOD(AI$1-Units!$Q44,12)=0),IF(AND(Units!$L44=1,AI$1=Units!$Q44),1,Inputs!$B$15)*Inputs!$B$16*(1+Inputs!$B$11)^(AI$2-1),0)</f>
        <v>0</v>
      </c>
      <c r="AJ45" s="11" t="n">
        <f aca="false">IF(AND(AJ$1&gt;=Units!$Q44,MOD(AJ$1-Units!$Q44,12)=0),IF(AND(Units!$L44=1,AJ$1=Units!$Q44),1,Inputs!$B$15)*Inputs!$B$16*(1+Inputs!$B$11)^(AJ$2-1),0)</f>
        <v>0</v>
      </c>
      <c r="AK45" s="11" t="n">
        <f aca="false">IF(AND(AK$1&gt;=Units!$Q44,MOD(AK$1-Units!$Q44,12)=0),IF(AND(Units!$L44=1,AK$1=Units!$Q44),1,Inputs!$B$15)*Inputs!$B$16*(1+Inputs!$B$11)^(AK$2-1),0)</f>
        <v>0</v>
      </c>
      <c r="AL45" s="11" t="n">
        <f aca="false">IF(AND(AL$1&gt;=Units!$Q44,MOD(AL$1-Units!$Q44,12)=0),IF(AND(Units!$L44=1,AL$1=Units!$Q44),1,Inputs!$B$15)*Inputs!$B$16*(1+Inputs!$B$11)^(AL$2-1),0)</f>
        <v>530.45</v>
      </c>
      <c r="AM45" s="11" t="n">
        <f aca="false">IF(AND(AM$1&gt;=Units!$Q44,MOD(AM$1-Units!$Q44,12)=0),IF(AND(Units!$L44=1,AM$1=Units!$Q44),1,Inputs!$B$15)*Inputs!$B$16*(1+Inputs!$B$11)^(AM$2-1),0)</f>
        <v>0</v>
      </c>
      <c r="AN45" s="11" t="n">
        <f aca="false">IF(AND(AN$1&gt;=Units!$Q44,MOD(AN$1-Units!$Q44,12)=0),IF(AND(Units!$L44=1,AN$1=Units!$Q44),1,Inputs!$B$15)*Inputs!$B$16*(1+Inputs!$B$11)^(AN$2-1),0)</f>
        <v>0</v>
      </c>
      <c r="AO45" s="11" t="n">
        <f aca="false">IF(AND(AO$1&gt;=Units!$Q44,MOD(AO$1-Units!$Q44,12)=0),IF(AND(Units!$L44=1,AO$1=Units!$Q44),1,Inputs!$B$15)*Inputs!$B$16*(1+Inputs!$B$11)^(AO$2-1),0)</f>
        <v>0</v>
      </c>
      <c r="AP45" s="11" t="n">
        <f aca="false">IF(AND(AP$1&gt;=Units!$Q44,MOD(AP$1-Units!$Q44,12)=0),IF(AND(Units!$L44=1,AP$1=Units!$Q44),1,Inputs!$B$15)*Inputs!$B$16*(1+Inputs!$B$11)^(AP$2-1),0)</f>
        <v>0</v>
      </c>
      <c r="AQ45" s="11" t="n">
        <f aca="false">IF(AND(AQ$1&gt;=Units!$Q44,MOD(AQ$1-Units!$Q44,12)=0),IF(AND(Units!$L44=1,AQ$1=Units!$Q44),1,Inputs!$B$15)*Inputs!$B$16*(1+Inputs!$B$11)^(AQ$2-1),0)</f>
        <v>0</v>
      </c>
      <c r="AR45" s="11" t="n">
        <f aca="false">IF(AND(AR$1&gt;=Units!$Q44,MOD(AR$1-Units!$Q44,12)=0),IF(AND(Units!$L44=1,AR$1=Units!$Q44),1,Inputs!$B$15)*Inputs!$B$16*(1+Inputs!$B$11)^(AR$2-1),0)</f>
        <v>0</v>
      </c>
      <c r="AS45" s="11" t="n">
        <f aca="false">IF(AND(AS$1&gt;=Units!$Q44,MOD(AS$1-Units!$Q44,12)=0),IF(AND(Units!$L44=1,AS$1=Units!$Q44),1,Inputs!$B$15)*Inputs!$B$16*(1+Inputs!$B$11)^(AS$2-1),0)</f>
        <v>0</v>
      </c>
      <c r="AT45" s="11" t="n">
        <f aca="false">IF(AND(AT$1&gt;=Units!$Q44,MOD(AT$1-Units!$Q44,12)=0),IF(AND(Units!$L44=1,AT$1=Units!$Q44),1,Inputs!$B$15)*Inputs!$B$16*(1+Inputs!$B$11)^(AT$2-1),0)</f>
        <v>0</v>
      </c>
      <c r="AU45" s="11" t="n">
        <f aca="false">IF(AND(AU$1&gt;=Units!$Q44,MOD(AU$1-Units!$Q44,12)=0),IF(AND(Units!$L44=1,AU$1=Units!$Q44),1,Inputs!$B$15)*Inputs!$B$16*(1+Inputs!$B$11)^(AU$2-1),0)</f>
        <v>0</v>
      </c>
      <c r="AV45" s="11" t="n">
        <f aca="false">IF(AND(AV$1&gt;=Units!$Q44,MOD(AV$1-Units!$Q44,12)=0),IF(AND(Units!$L44=1,AV$1=Units!$Q44),1,Inputs!$B$15)*Inputs!$B$16*(1+Inputs!$B$11)^(AV$2-1),0)</f>
        <v>0</v>
      </c>
      <c r="AW45" s="11" t="n">
        <f aca="false">IF(AND(AW$1&gt;=Units!$Q44,MOD(AW$1-Units!$Q44,12)=0),IF(AND(Units!$L44=1,AW$1=Units!$Q44),1,Inputs!$B$15)*Inputs!$B$16*(1+Inputs!$B$11)^(AW$2-1),0)</f>
        <v>0</v>
      </c>
      <c r="AX45" s="11" t="n">
        <f aca="false">IF(AND(AX$1&gt;=Units!$Q44,MOD(AX$1-Units!$Q44,12)=0),IF(AND(Units!$L44=1,AX$1=Units!$Q44),1,Inputs!$B$15)*Inputs!$B$16*(1+Inputs!$B$11)^(AX$2-1),0)</f>
        <v>546.3635</v>
      </c>
      <c r="AY45" s="11" t="n">
        <f aca="false">IF(AND(AY$1&gt;=Units!$Q44,MOD(AY$1-Units!$Q44,12)=0),IF(AND(Units!$L44=1,AY$1=Units!$Q44),1,Inputs!$B$15)*Inputs!$B$16*(1+Inputs!$B$11)^(AY$2-1),0)</f>
        <v>0</v>
      </c>
      <c r="AZ45" s="11" t="n">
        <f aca="false">IF(AND(AZ$1&gt;=Units!$Q44,MOD(AZ$1-Units!$Q44,12)=0),IF(AND(Units!$L44=1,AZ$1=Units!$Q44),1,Inputs!$B$15)*Inputs!$B$16*(1+Inputs!$B$11)^(AZ$2-1),0)</f>
        <v>0</v>
      </c>
      <c r="BA45" s="11" t="n">
        <f aca="false">IF(AND(BA$1&gt;=Units!$Q44,MOD(BA$1-Units!$Q44,12)=0),IF(AND(Units!$L44=1,BA$1=Units!$Q44),1,Inputs!$B$15)*Inputs!$B$16*(1+Inputs!$B$11)^(BA$2-1),0)</f>
        <v>0</v>
      </c>
      <c r="BB45" s="11" t="n">
        <f aca="false">IF(AND(BB$1&gt;=Units!$Q44,MOD(BB$1-Units!$Q44,12)=0),IF(AND(Units!$L44=1,BB$1=Units!$Q44),1,Inputs!$B$15)*Inputs!$B$16*(1+Inputs!$B$11)^(BB$2-1),0)</f>
        <v>0</v>
      </c>
      <c r="BC45" s="11" t="n">
        <f aca="false">IF(AND(BC$1&gt;=Units!$Q44,MOD(BC$1-Units!$Q44,12)=0),IF(AND(Units!$L44=1,BC$1=Units!$Q44),1,Inputs!$B$15)*Inputs!$B$16*(1+Inputs!$B$11)^(BC$2-1),0)</f>
        <v>0</v>
      </c>
      <c r="BD45" s="11" t="n">
        <f aca="false">IF(AND(BD$1&gt;=Units!$Q44,MOD(BD$1-Units!$Q44,12)=0),IF(AND(Units!$L44=1,BD$1=Units!$Q44),1,Inputs!$B$15)*Inputs!$B$16*(1+Inputs!$B$11)^(BD$2-1),0)</f>
        <v>0</v>
      </c>
      <c r="BE45" s="11" t="n">
        <f aca="false">IF(AND(BE$1&gt;=Units!$Q44,MOD(BE$1-Units!$Q44,12)=0),IF(AND(Units!$L44=1,BE$1=Units!$Q44),1,Inputs!$B$15)*Inputs!$B$16*(1+Inputs!$B$11)^(BE$2-1),0)</f>
        <v>0</v>
      </c>
      <c r="BF45" s="11" t="n">
        <f aca="false">IF(AND(BF$1&gt;=Units!$Q44,MOD(BF$1-Units!$Q44,12)=0),IF(AND(Units!$L44=1,BF$1=Units!$Q44),1,Inputs!$B$15)*Inputs!$B$16*(1+Inputs!$B$11)^(BF$2-1),0)</f>
        <v>0</v>
      </c>
      <c r="BG45" s="11" t="n">
        <f aca="false">IF(AND(BG$1&gt;=Units!$Q44,MOD(BG$1-Units!$Q44,12)=0),IF(AND(Units!$L44=1,BG$1=Units!$Q44),1,Inputs!$B$15)*Inputs!$B$16*(1+Inputs!$B$11)^(BG$2-1),0)</f>
        <v>0</v>
      </c>
      <c r="BH45" s="11" t="n">
        <f aca="false">IF(AND(BH$1&gt;=Units!$Q44,MOD(BH$1-Units!$Q44,12)=0),IF(AND(Units!$L44=1,BH$1=Units!$Q44),1,Inputs!$B$15)*Inputs!$B$16*(1+Inputs!$B$11)^(BH$2-1),0)</f>
        <v>0</v>
      </c>
      <c r="BI45" s="11" t="n">
        <f aca="false">IF(AND(BI$1&gt;=Units!$Q44,MOD(BI$1-Units!$Q44,12)=0),IF(AND(Units!$L44=1,BI$1=Units!$Q44),1,Inputs!$B$15)*Inputs!$B$16*(1+Inputs!$B$11)^(BI$2-1),0)</f>
        <v>0</v>
      </c>
      <c r="BJ45" s="11" t="n">
        <f aca="false">IF(AND(BJ$1&gt;=Units!$Q44,MOD(BJ$1-Units!$Q44,12)=0),IF(AND(Units!$L44=1,BJ$1=Units!$Q44),1,Inputs!$B$15)*Inputs!$B$16*(1+Inputs!$B$11)^(BJ$2-1),0)</f>
        <v>562.754405</v>
      </c>
      <c r="BK45" s="11" t="n">
        <f aca="false">IF(AND(BK$1&gt;=Units!$Q44,MOD(BK$1-Units!$Q44,12)=0),IF(AND(Units!$L44=1,BK$1=Units!$Q44),1,Inputs!$B$15)*Inputs!$B$16*(1+Inputs!$B$11)^(BK$2-1),0)</f>
        <v>0</v>
      </c>
      <c r="BL45" s="11" t="n">
        <f aca="false">IF(AND(BL$1&gt;=Units!$Q44,MOD(BL$1-Units!$Q44,12)=0),IF(AND(Units!$L44=1,BL$1=Units!$Q44),1,Inputs!$B$15)*Inputs!$B$16*(1+Inputs!$B$11)^(BL$2-1),0)</f>
        <v>0</v>
      </c>
      <c r="BM45" s="11" t="n">
        <f aca="false">IF(AND(BM$1&gt;=Units!$Q44,MOD(BM$1-Units!$Q44,12)=0),IF(AND(Units!$L44=1,BM$1=Units!$Q44),1,Inputs!$B$15)*Inputs!$B$16*(1+Inputs!$B$11)^(BM$2-1),0)</f>
        <v>0</v>
      </c>
      <c r="BN45" s="11" t="n">
        <f aca="false">IF(AND(BN$1&gt;=Units!$Q44,MOD(BN$1-Units!$Q44,12)=0),IF(AND(Units!$L44=1,BN$1=Units!$Q44),1,Inputs!$B$15)*Inputs!$B$16*(1+Inputs!$B$11)^(BN$2-1),0)</f>
        <v>0</v>
      </c>
      <c r="BO45" s="11" t="n">
        <f aca="false">IF(AND(BO$1&gt;=Units!$Q44,MOD(BO$1-Units!$Q44,12)=0),IF(AND(Units!$L44=1,BO$1=Units!$Q44),1,Inputs!$B$15)*Inputs!$B$16*(1+Inputs!$B$11)^(BO$2-1),0)</f>
        <v>0</v>
      </c>
      <c r="BP45" s="11" t="n">
        <f aca="false">IF(AND(BP$1&gt;=Units!$Q44,MOD(BP$1-Units!$Q44,12)=0),IF(AND(Units!$L44=1,BP$1=Units!$Q44),1,Inputs!$B$15)*Inputs!$B$16*(1+Inputs!$B$11)^(BP$2-1),0)</f>
        <v>0</v>
      </c>
      <c r="BQ45" s="11" t="n">
        <f aca="false">IF(AND(BQ$1&gt;=Units!$Q44,MOD(BQ$1-Units!$Q44,12)=0),IF(AND(Units!$L44=1,BQ$1=Units!$Q44),1,Inputs!$B$15)*Inputs!$B$16*(1+Inputs!$B$11)^(BQ$2-1),0)</f>
        <v>0</v>
      </c>
      <c r="BR45" s="11" t="n">
        <f aca="false">IF(AND(BR$1&gt;=Units!$Q44,MOD(BR$1-Units!$Q44,12)=0),IF(AND(Units!$L44=1,BR$1=Units!$Q44),1,Inputs!$B$15)*Inputs!$B$16*(1+Inputs!$B$11)^(BR$2-1),0)</f>
        <v>0</v>
      </c>
      <c r="BS45" s="11" t="n">
        <f aca="false">IF(AND(BS$1&gt;=Units!$Q44,MOD(BS$1-Units!$Q44,12)=0),IF(AND(Units!$L44=1,BS$1=Units!$Q44),1,Inputs!$B$15)*Inputs!$B$16*(1+Inputs!$B$11)^(BS$2-1),0)</f>
        <v>0</v>
      </c>
      <c r="BT45" s="11" t="n">
        <f aca="false">IF(AND(BT$1&gt;=Units!$Q44,MOD(BT$1-Units!$Q44,12)=0),IF(AND(Units!$L44=1,BT$1=Units!$Q44),1,Inputs!$B$15)*Inputs!$B$16*(1+Inputs!$B$11)^(BT$2-1),0)</f>
        <v>0</v>
      </c>
      <c r="BU45" s="11" t="n">
        <f aca="false">IF(AND(BU$1&gt;=Units!$Q44,MOD(BU$1-Units!$Q44,12)=0),IF(AND(Units!$L44=1,BU$1=Units!$Q44),1,Inputs!$B$15)*Inputs!$B$16*(1+Inputs!$B$11)^(BU$2-1),0)</f>
        <v>0</v>
      </c>
      <c r="BV45" s="11" t="n">
        <f aca="false">IF(AND(BV$1&gt;=Units!$Q44,MOD(BV$1-Units!$Q44,12)=0),IF(AND(Units!$L44=1,BV$1=Units!$Q44),1,Inputs!$B$15)*Inputs!$B$16*(1+Inputs!$B$11)^(BV$2-1),0)</f>
        <v>579.63703715</v>
      </c>
      <c r="BW45" s="11" t="n">
        <f aca="false">IF(AND(BW$1&gt;=Units!$Q44,MOD(BW$1-Units!$Q44,12)=0),IF(AND(Units!$L44=1,BW$1=Units!$Q44),1,Inputs!$B$15)*Inputs!$B$16*(1+Inputs!$B$11)^(BW$2-1),0)</f>
        <v>0</v>
      </c>
      <c r="BX45" s="11" t="n">
        <f aca="false">IF(AND(BX$1&gt;=Units!$Q44,MOD(BX$1-Units!$Q44,12)=0),IF(AND(Units!$L44=1,BX$1=Units!$Q44),1,Inputs!$B$15)*Inputs!$B$16*(1+Inputs!$B$11)^(BX$2-1),0)</f>
        <v>0</v>
      </c>
      <c r="BY45" s="11" t="n">
        <f aca="false">IF(AND(BY$1&gt;=Units!$Q44,MOD(BY$1-Units!$Q44,12)=0),IF(AND(Units!$L44=1,BY$1=Units!$Q44),1,Inputs!$B$15)*Inputs!$B$16*(1+Inputs!$B$11)^(BY$2-1),0)</f>
        <v>0</v>
      </c>
      <c r="BZ45" s="11" t="n">
        <f aca="false">IF(AND(BZ$1&gt;=Units!$Q44,MOD(BZ$1-Units!$Q44,12)=0),IF(AND(Units!$L44=1,BZ$1=Units!$Q44),1,Inputs!$B$15)*Inputs!$B$16*(1+Inputs!$B$11)^(BZ$2-1),0)</f>
        <v>0</v>
      </c>
      <c r="CA45" s="11" t="n">
        <f aca="false">IF(AND(CA$1&gt;=Units!$Q44,MOD(CA$1-Units!$Q44,12)=0),IF(AND(Units!$L44=1,CA$1=Units!$Q44),1,Inputs!$B$15)*Inputs!$B$16*(1+Inputs!$B$11)^(CA$2-1),0)</f>
        <v>0</v>
      </c>
      <c r="CB45" s="11" t="n">
        <f aca="false">IF(AND(CB$1&gt;=Units!$Q44,MOD(CB$1-Units!$Q44,12)=0),IF(AND(Units!$L44=1,CB$1=Units!$Q44),1,Inputs!$B$15)*Inputs!$B$16*(1+Inputs!$B$11)^(CB$2-1),0)</f>
        <v>0</v>
      </c>
      <c r="CC45" s="11" t="n">
        <f aca="false">IF(AND(CC$1&gt;=Units!$Q44,MOD(CC$1-Units!$Q44,12)=0),IF(AND(Units!$L44=1,CC$1=Units!$Q44),1,Inputs!$B$15)*Inputs!$B$16*(1+Inputs!$B$11)^(CC$2-1),0)</f>
        <v>0</v>
      </c>
      <c r="CD45" s="11" t="n">
        <f aca="false">IF(AND(CD$1&gt;=Units!$Q44,MOD(CD$1-Units!$Q44,12)=0),IF(AND(Units!$L44=1,CD$1=Units!$Q44),1,Inputs!$B$15)*Inputs!$B$16*(1+Inputs!$B$11)^(CD$2-1),0)</f>
        <v>0</v>
      </c>
      <c r="CE45" s="11" t="n">
        <f aca="false">IF(AND(CE$1&gt;=Units!$Q44,MOD(CE$1-Units!$Q44,12)=0),IF(AND(Units!$L44=1,CE$1=Units!$Q44),1,Inputs!$B$15)*Inputs!$B$16*(1+Inputs!$B$11)^(CE$2-1),0)</f>
        <v>0</v>
      </c>
      <c r="CF45" s="11" t="n">
        <f aca="false">IF(AND(CF$1&gt;=Units!$Q44,MOD(CF$1-Units!$Q44,12)=0),IF(AND(Units!$L44=1,CF$1=Units!$Q44),1,Inputs!$B$15)*Inputs!$B$16*(1+Inputs!$B$11)^(CF$2-1),0)</f>
        <v>0</v>
      </c>
      <c r="CG45" s="11" t="n">
        <f aca="false">IF(AND(CG$1&gt;=Units!$Q44,MOD(CG$1-Units!$Q44,12)=0),IF(AND(Units!$L44=1,CG$1=Units!$Q44),1,Inputs!$B$15)*Inputs!$B$16*(1+Inputs!$B$11)^(CG$2-1),0)</f>
        <v>0</v>
      </c>
      <c r="CH45" s="11" t="n">
        <f aca="false">IF(AND(CH$1&gt;=Units!$Q44,MOD(CH$1-Units!$Q44,12)=0),IF(AND(Units!$L44=1,CH$1=Units!$Q44),1,Inputs!$B$15)*Inputs!$B$16*(1+Inputs!$B$11)^(CH$2-1),0)</f>
        <v>597.0261482645</v>
      </c>
      <c r="CI45" s="11" t="n">
        <f aca="false">IF(AND(CI$1&gt;=Units!$Q44,MOD(CI$1-Units!$Q44,12)=0),IF(AND(Units!$L44=1,CI$1=Units!$Q44),1,Inputs!$B$15)*Inputs!$B$16*(1+Inputs!$B$11)^(CI$2-1),0)</f>
        <v>0</v>
      </c>
      <c r="CJ45" s="11" t="n">
        <f aca="false">IF(AND(CJ$1&gt;=Units!$Q44,MOD(CJ$1-Units!$Q44,12)=0),IF(AND(Units!$L44=1,CJ$1=Units!$Q44),1,Inputs!$B$15)*Inputs!$B$16*(1+Inputs!$B$11)^(CJ$2-1),0)</f>
        <v>0</v>
      </c>
      <c r="CK45" s="11" t="n">
        <f aca="false">IF(AND(CK$1&gt;=Units!$Q44,MOD(CK$1-Units!$Q44,12)=0),IF(AND(Units!$L44=1,CK$1=Units!$Q44),1,Inputs!$B$15)*Inputs!$B$16*(1+Inputs!$B$11)^(CK$2-1),0)</f>
        <v>0</v>
      </c>
      <c r="CL45" s="11" t="n">
        <f aca="false">IF(AND(CL$1&gt;=Units!$Q44,MOD(CL$1-Units!$Q44,12)=0),IF(AND(Units!$L44=1,CL$1=Units!$Q44),1,Inputs!$B$15)*Inputs!$B$16*(1+Inputs!$B$11)^(CL$2-1),0)</f>
        <v>0</v>
      </c>
      <c r="CM45" s="11" t="n">
        <f aca="false">IF(AND(CM$1&gt;=Units!$Q44,MOD(CM$1-Units!$Q44,12)=0),IF(AND(Units!$L44=1,CM$1=Units!$Q44),1,Inputs!$B$15)*Inputs!$B$16*(1+Inputs!$B$11)^(CM$2-1),0)</f>
        <v>0</v>
      </c>
      <c r="CN45" s="11" t="n">
        <f aca="false">IF(AND(CN$1&gt;=Units!$Q44,MOD(CN$1-Units!$Q44,12)=0),IF(AND(Units!$L44=1,CN$1=Units!$Q44),1,Inputs!$B$15)*Inputs!$B$16*(1+Inputs!$B$11)^(CN$2-1),0)</f>
        <v>0</v>
      </c>
      <c r="CO45" s="11" t="n">
        <f aca="false">IF(AND(CO$1&gt;=Units!$Q44,MOD(CO$1-Units!$Q44,12)=0),IF(AND(Units!$L44=1,CO$1=Units!$Q44),1,Inputs!$B$15)*Inputs!$B$16*(1+Inputs!$B$11)^(CO$2-1),0)</f>
        <v>0</v>
      </c>
      <c r="CP45" s="11" t="n">
        <f aca="false">IF(AND(CP$1&gt;=Units!$Q44,MOD(CP$1-Units!$Q44,12)=0),IF(AND(Units!$L44=1,CP$1=Units!$Q44),1,Inputs!$B$15)*Inputs!$B$16*(1+Inputs!$B$11)^(CP$2-1),0)</f>
        <v>0</v>
      </c>
      <c r="CQ45" s="11" t="n">
        <f aca="false">IF(AND(CQ$1&gt;=Units!$Q44,MOD(CQ$1-Units!$Q44,12)=0),IF(AND(Units!$L44=1,CQ$1=Units!$Q44),1,Inputs!$B$15)*Inputs!$B$16*(1+Inputs!$B$11)^(CQ$2-1),0)</f>
        <v>0</v>
      </c>
      <c r="CR45" s="11" t="n">
        <f aca="false">IF(AND(CR$1&gt;=Units!$Q44,MOD(CR$1-Units!$Q44,12)=0),IF(AND(Units!$L44=1,CR$1=Units!$Q44),1,Inputs!$B$15)*Inputs!$B$16*(1+Inputs!$B$11)^(CR$2-1),0)</f>
        <v>0</v>
      </c>
      <c r="CS45" s="11" t="n">
        <f aca="false">IF(AND(CS$1&gt;=Units!$Q44,MOD(CS$1-Units!$Q44,12)=0),IF(AND(Units!$L44=1,CS$1=Units!$Q44),1,Inputs!$B$15)*Inputs!$B$16*(1+Inputs!$B$11)^(CS$2-1),0)</f>
        <v>0</v>
      </c>
      <c r="CT45" s="11" t="n">
        <f aca="false">IF(AND(CT$1&gt;=Units!$Q44,MOD(CT$1-Units!$Q44,12)=0),IF(AND(Units!$L44=1,CT$1=Units!$Q44),1,Inputs!$B$15)*Inputs!$B$16*(1+Inputs!$B$11)^(CT$2-1),0)</f>
        <v>614.936932712435</v>
      </c>
      <c r="CU45" s="11" t="n">
        <f aca="false">IF(AND(CU$1&gt;=Units!$Q44,MOD(CU$1-Units!$Q44,12)=0),IF(AND(Units!$L44=1,CU$1=Units!$Q44),1,Inputs!$B$15)*Inputs!$B$16*(1+Inputs!$B$11)^(CU$2-1),0)</f>
        <v>0</v>
      </c>
      <c r="CV45" s="11" t="n">
        <f aca="false">IF(AND(CV$1&gt;=Units!$Q44,MOD(CV$1-Units!$Q44,12)=0),IF(AND(Units!$L44=1,CV$1=Units!$Q44),1,Inputs!$B$15)*Inputs!$B$16*(1+Inputs!$B$11)^(CV$2-1),0)</f>
        <v>0</v>
      </c>
      <c r="CW45" s="11" t="n">
        <f aca="false">IF(AND(CW$1&gt;=Units!$Q44,MOD(CW$1-Units!$Q44,12)=0),IF(AND(Units!$L44=1,CW$1=Units!$Q44),1,Inputs!$B$15)*Inputs!$B$16*(1+Inputs!$B$11)^(CW$2-1),0)</f>
        <v>0</v>
      </c>
      <c r="CX45" s="11" t="n">
        <f aca="false">IF(AND(CX$1&gt;=Units!$Q44,MOD(CX$1-Units!$Q44,12)=0),IF(AND(Units!$L44=1,CX$1=Units!$Q44),1,Inputs!$B$15)*Inputs!$B$16*(1+Inputs!$B$11)^(CX$2-1),0)</f>
        <v>0</v>
      </c>
      <c r="CY45" s="11" t="n">
        <f aca="false">IF(AND(CY$1&gt;=Units!$Q44,MOD(CY$1-Units!$Q44,12)=0),IF(AND(Units!$L44=1,CY$1=Units!$Q44),1,Inputs!$B$15)*Inputs!$B$16*(1+Inputs!$B$11)^(CY$2-1),0)</f>
        <v>0</v>
      </c>
      <c r="CZ45" s="11" t="n">
        <f aca="false">IF(AND(CZ$1&gt;=Units!$Q44,MOD(CZ$1-Units!$Q44,12)=0),IF(AND(Units!$L44=1,CZ$1=Units!$Q44),1,Inputs!$B$15)*Inputs!$B$16*(1+Inputs!$B$11)^(CZ$2-1),0)</f>
        <v>0</v>
      </c>
      <c r="DA45" s="11" t="n">
        <f aca="false">IF(AND(DA$1&gt;=Units!$Q44,MOD(DA$1-Units!$Q44,12)=0),IF(AND(Units!$L44=1,DA$1=Units!$Q44),1,Inputs!$B$15)*Inputs!$B$16*(1+Inputs!$B$11)^(DA$2-1),0)</f>
        <v>0</v>
      </c>
      <c r="DB45" s="11" t="n">
        <f aca="false">IF(AND(DB$1&gt;=Units!$Q44,MOD(DB$1-Units!$Q44,12)=0),IF(AND(Units!$L44=1,DB$1=Units!$Q44),1,Inputs!$B$15)*Inputs!$B$16*(1+Inputs!$B$11)^(DB$2-1),0)</f>
        <v>0</v>
      </c>
      <c r="DC45" s="11" t="n">
        <f aca="false">IF(AND(DC$1&gt;=Units!$Q44,MOD(DC$1-Units!$Q44,12)=0),IF(AND(Units!$L44=1,DC$1=Units!$Q44),1,Inputs!$B$15)*Inputs!$B$16*(1+Inputs!$B$11)^(DC$2-1),0)</f>
        <v>0</v>
      </c>
      <c r="DD45" s="11" t="n">
        <f aca="false">IF(AND(DD$1&gt;=Units!$Q44,MOD(DD$1-Units!$Q44,12)=0),IF(AND(Units!$L44=1,DD$1=Units!$Q44),1,Inputs!$B$15)*Inputs!$B$16*(1+Inputs!$B$11)^(DD$2-1),0)</f>
        <v>0</v>
      </c>
      <c r="DE45" s="11" t="n">
        <f aca="false">IF(AND(DE$1&gt;=Units!$Q44,MOD(DE$1-Units!$Q44,12)=0),IF(AND(Units!$L44=1,DE$1=Units!$Q44),1,Inputs!$B$15)*Inputs!$B$16*(1+Inputs!$B$11)^(DE$2-1),0)</f>
        <v>0</v>
      </c>
      <c r="DF45" s="11" t="n">
        <f aca="false">IF(AND(DF$1&gt;=Units!$Q44,MOD(DF$1-Units!$Q44,12)=0),IF(AND(Units!$L44=1,DF$1=Units!$Q44),1,Inputs!$B$15)*Inputs!$B$16*(1+Inputs!$B$11)^(DF$2-1),0)</f>
        <v>633.385040693808</v>
      </c>
      <c r="DG45" s="11" t="n">
        <f aca="false">IF(AND(DG$1&gt;=Units!$Q44,MOD(DG$1-Units!$Q44,12)=0),IF(AND(Units!$L44=1,DG$1=Units!$Q44),1,Inputs!$B$15)*Inputs!$B$16*(1+Inputs!$B$11)^(DG$2-1),0)</f>
        <v>0</v>
      </c>
      <c r="DH45" s="11" t="n">
        <f aca="false">IF(AND(DH$1&gt;=Units!$Q44,MOD(DH$1-Units!$Q44,12)=0),IF(AND(Units!$L44=1,DH$1=Units!$Q44),1,Inputs!$B$15)*Inputs!$B$16*(1+Inputs!$B$11)^(DH$2-1),0)</f>
        <v>0</v>
      </c>
      <c r="DI45" s="11" t="n">
        <f aca="false">IF(AND(DI$1&gt;=Units!$Q44,MOD(DI$1-Units!$Q44,12)=0),IF(AND(Units!$L44=1,DI$1=Units!$Q44),1,Inputs!$B$15)*Inputs!$B$16*(1+Inputs!$B$11)^(DI$2-1),0)</f>
        <v>0</v>
      </c>
      <c r="DJ45" s="11" t="n">
        <f aca="false">IF(AND(DJ$1&gt;=Units!$Q44,MOD(DJ$1-Units!$Q44,12)=0),IF(AND(Units!$L44=1,DJ$1=Units!$Q44),1,Inputs!$B$15)*Inputs!$B$16*(1+Inputs!$B$11)^(DJ$2-1),0)</f>
        <v>0</v>
      </c>
      <c r="DK45" s="11" t="n">
        <f aca="false">IF(AND(DK$1&gt;=Units!$Q44,MOD(DK$1-Units!$Q44,12)=0),IF(AND(Units!$L44=1,DK$1=Units!$Q44),1,Inputs!$B$15)*Inputs!$B$16*(1+Inputs!$B$11)^(DK$2-1),0)</f>
        <v>0</v>
      </c>
      <c r="DL45" s="11" t="n">
        <f aca="false">IF(AND(DL$1&gt;=Units!$Q44,MOD(DL$1-Units!$Q44,12)=0),IF(AND(Units!$L44=1,DL$1=Units!$Q44),1,Inputs!$B$15)*Inputs!$B$16*(1+Inputs!$B$11)^(DL$2-1),0)</f>
        <v>0</v>
      </c>
      <c r="DM45" s="11" t="n">
        <f aca="false">IF(AND(DM$1&gt;=Units!$Q44,MOD(DM$1-Units!$Q44,12)=0),IF(AND(Units!$L44=1,DM$1=Units!$Q44),1,Inputs!$B$15)*Inputs!$B$16*(1+Inputs!$B$11)^(DM$2-1),0)</f>
        <v>0</v>
      </c>
      <c r="DN45" s="11" t="n">
        <f aca="false">IF(AND(DN$1&gt;=Units!$Q44,MOD(DN$1-Units!$Q44,12)=0),IF(AND(Units!$L44=1,DN$1=Units!$Q44),1,Inputs!$B$15)*Inputs!$B$16*(1+Inputs!$B$11)^(DN$2-1),0)</f>
        <v>0</v>
      </c>
      <c r="DO45" s="11" t="n">
        <f aca="false">IF(AND(DO$1&gt;=Units!$Q44,MOD(DO$1-Units!$Q44,12)=0),IF(AND(Units!$L44=1,DO$1=Units!$Q44),1,Inputs!$B$15)*Inputs!$B$16*(1+Inputs!$B$11)^(DO$2-1),0)</f>
        <v>0</v>
      </c>
      <c r="DP45" s="11" t="n">
        <f aca="false">IF(AND(DP$1&gt;=Units!$Q44,MOD(DP$1-Units!$Q44,12)=0),IF(AND(Units!$L44=1,DP$1=Units!$Q44),1,Inputs!$B$15)*Inputs!$B$16*(1+Inputs!$B$11)^(DP$2-1),0)</f>
        <v>0</v>
      </c>
      <c r="DQ45" s="11" t="n">
        <f aca="false">IF(AND(DQ$1&gt;=Units!$Q44,MOD(DQ$1-Units!$Q44,12)=0),IF(AND(Units!$L44=1,DQ$1=Units!$Q44),1,Inputs!$B$15)*Inputs!$B$16*(1+Inputs!$B$11)^(DQ$2-1),0)</f>
        <v>0</v>
      </c>
      <c r="DR45" s="11" t="n">
        <f aca="false">IF(AND(DR$1&gt;=Units!$Q44,MOD(DR$1-Units!$Q44,12)=0),IF(AND(Units!$L44=1,DR$1=Units!$Q44),1,Inputs!$B$15)*Inputs!$B$16*(1+Inputs!$B$11)^(DR$2-1),0)</f>
        <v>652.386591914623</v>
      </c>
      <c r="DS45" s="11" t="n">
        <f aca="false">IF(AND(DS$1&gt;=Units!$Q44,MOD(DS$1-Units!$Q44,12)=0),IF(AND(Units!$L44=1,DS$1=Units!$Q44),1,Inputs!$B$15)*Inputs!$B$16*(1+Inputs!$B$11)^(DS$2-1),0)</f>
        <v>0</v>
      </c>
      <c r="DT45" s="11" t="n">
        <f aca="false">IF(AND(DT$1&gt;=Units!$Q44,MOD(DT$1-Units!$Q44,12)=0),IF(AND(Units!$L44=1,DT$1=Units!$Q44),1,Inputs!$B$15)*Inputs!$B$16*(1+Inputs!$B$11)^(DT$2-1),0)</f>
        <v>0</v>
      </c>
      <c r="DU45" s="11" t="n">
        <f aca="false">IF(AND(DU$1&gt;=Units!$Q44,MOD(DU$1-Units!$Q44,12)=0),IF(AND(Units!$L44=1,DU$1=Units!$Q44),1,Inputs!$B$15)*Inputs!$B$16*(1+Inputs!$B$11)^(DU$2-1),0)</f>
        <v>0</v>
      </c>
      <c r="DV45" s="11" t="n">
        <f aca="false">IF(AND(DV$1&gt;=Units!$Q44,MOD(DV$1-Units!$Q44,12)=0),IF(AND(Units!$L44=1,DV$1=Units!$Q44),1,Inputs!$B$15)*Inputs!$B$16*(1+Inputs!$B$11)^(DV$2-1),0)</f>
        <v>0</v>
      </c>
      <c r="DW45" s="11" t="n">
        <f aca="false">IF(AND(DW$1&gt;=Units!$Q44,MOD(DW$1-Units!$Q44,12)=0),IF(AND(Units!$L44=1,DW$1=Units!$Q44),1,Inputs!$B$15)*Inputs!$B$16*(1+Inputs!$B$11)^(DW$2-1),0)</f>
        <v>0</v>
      </c>
      <c r="DX45" s="11" t="n">
        <f aca="false">IF(AND(DX$1&gt;=Units!$Q44,MOD(DX$1-Units!$Q44,12)=0),IF(AND(Units!$L44=1,DX$1=Units!$Q44),1,Inputs!$B$15)*Inputs!$B$16*(1+Inputs!$B$11)^(DX$2-1),0)</f>
        <v>0</v>
      </c>
      <c r="DY45" s="11" t="n">
        <f aca="false">IF(AND(DY$1&gt;=Units!$Q44,MOD(DY$1-Units!$Q44,12)=0),IF(AND(Units!$L44=1,DY$1=Units!$Q44),1,Inputs!$B$15)*Inputs!$B$16*(1+Inputs!$B$11)^(DY$2-1),0)</f>
        <v>0</v>
      </c>
      <c r="DZ45" s="11" t="n">
        <f aca="false">IF(AND(DZ$1&gt;=Units!$Q44,MOD(DZ$1-Units!$Q44,12)=0),IF(AND(Units!$L44=1,DZ$1=Units!$Q44),1,Inputs!$B$15)*Inputs!$B$16*(1+Inputs!$B$11)^(DZ$2-1),0)</f>
        <v>0</v>
      </c>
      <c r="EA45" s="11" t="n">
        <f aca="false">IF(AND(EA$1&gt;=Units!$Q44,MOD(EA$1-Units!$Q44,12)=0),IF(AND(Units!$L44=1,EA$1=Units!$Q44),1,Inputs!$B$15)*Inputs!$B$16*(1+Inputs!$B$11)^(EA$2-1),0)</f>
        <v>0</v>
      </c>
      <c r="EB45" s="11" t="n">
        <f aca="false">IF(AND(EB$1&gt;=Units!$Q44,MOD(EB$1-Units!$Q44,12)=0),IF(AND(Units!$L44=1,EB$1=Units!$Q44),1,Inputs!$B$15)*Inputs!$B$16*(1+Inputs!$B$11)^(EB$2-1),0)</f>
        <v>0</v>
      </c>
      <c r="EC45" s="11" t="n">
        <f aca="false">IF(AND(EC$1&gt;=Units!$Q44,MOD(EC$1-Units!$Q44,12)=0),IF(AND(Units!$L44=1,EC$1=Units!$Q44),1,Inputs!$B$15)*Inputs!$B$16*(1+Inputs!$B$11)^(EC$2-1),0)</f>
        <v>0</v>
      </c>
      <c r="ED45" s="11" t="n">
        <f aca="false">IF(AND(ED$1&gt;=Units!$Q44,MOD(ED$1-Units!$Q44,12)=0),IF(AND(Units!$L44=1,ED$1=Units!$Q44),1,Inputs!$B$15)*Inputs!$B$16*(1+Inputs!$B$11)^(ED$2-1),0)</f>
        <v>671.958189672061</v>
      </c>
    </row>
    <row r="46" customFormat="false" ht="15" hidden="false" customHeight="false" outlineLevel="0" collapsed="false">
      <c r="A46" s="22" t="n">
        <f aca="false">Units!A45</f>
        <v>214</v>
      </c>
      <c r="B46" s="23"/>
      <c r="C46" s="11" t="n">
        <f aca="false">IF(AND(C$1&gt;=Units!$Q45,MOD(C$1-Units!$Q45,12)=0),IF(AND(Units!$L45=1,C$1=Units!$Q45),1,Inputs!$B$15)*Inputs!$B$16*(1+Inputs!$B$11)^(C$2-1),0)</f>
        <v>1000</v>
      </c>
      <c r="D46" s="11" t="n">
        <f aca="false">IF(AND(D$1&gt;=Units!$Q45,MOD(D$1-Units!$Q45,12)=0),IF(AND(Units!$L45=1,D$1=Units!$Q45),1,Inputs!$B$15)*Inputs!$B$16*(1+Inputs!$B$11)^(D$2-1),0)</f>
        <v>0</v>
      </c>
      <c r="E46" s="11" t="n">
        <f aca="false">IF(AND(E$1&gt;=Units!$Q45,MOD(E$1-Units!$Q45,12)=0),IF(AND(Units!$L45=1,E$1=Units!$Q45),1,Inputs!$B$15)*Inputs!$B$16*(1+Inputs!$B$11)^(E$2-1),0)</f>
        <v>0</v>
      </c>
      <c r="F46" s="11" t="n">
        <f aca="false">IF(AND(F$1&gt;=Units!$Q45,MOD(F$1-Units!$Q45,12)=0),IF(AND(Units!$L45=1,F$1=Units!$Q45),1,Inputs!$B$15)*Inputs!$B$16*(1+Inputs!$B$11)^(F$2-1),0)</f>
        <v>0</v>
      </c>
      <c r="G46" s="11" t="n">
        <f aca="false">IF(AND(G$1&gt;=Units!$Q45,MOD(G$1-Units!$Q45,12)=0),IF(AND(Units!$L45=1,G$1=Units!$Q45),1,Inputs!$B$15)*Inputs!$B$16*(1+Inputs!$B$11)^(G$2-1),0)</f>
        <v>0</v>
      </c>
      <c r="H46" s="11" t="n">
        <f aca="false">IF(AND(H$1&gt;=Units!$Q45,MOD(H$1-Units!$Q45,12)=0),IF(AND(Units!$L45=1,H$1=Units!$Q45),1,Inputs!$B$15)*Inputs!$B$16*(1+Inputs!$B$11)^(H$2-1),0)</f>
        <v>0</v>
      </c>
      <c r="I46" s="11" t="n">
        <f aca="false">IF(AND(I$1&gt;=Units!$Q45,MOD(I$1-Units!$Q45,12)=0),IF(AND(Units!$L45=1,I$1=Units!$Q45),1,Inputs!$B$15)*Inputs!$B$16*(1+Inputs!$B$11)^(I$2-1),0)</f>
        <v>0</v>
      </c>
      <c r="J46" s="11" t="n">
        <f aca="false">IF(AND(J$1&gt;=Units!$Q45,MOD(J$1-Units!$Q45,12)=0),IF(AND(Units!$L45=1,J$1=Units!$Q45),1,Inputs!$B$15)*Inputs!$B$16*(1+Inputs!$B$11)^(J$2-1),0)</f>
        <v>0</v>
      </c>
      <c r="K46" s="11" t="n">
        <f aca="false">IF(AND(K$1&gt;=Units!$Q45,MOD(K$1-Units!$Q45,12)=0),IF(AND(Units!$L45=1,K$1=Units!$Q45),1,Inputs!$B$15)*Inputs!$B$16*(1+Inputs!$B$11)^(K$2-1),0)</f>
        <v>0</v>
      </c>
      <c r="L46" s="11" t="n">
        <f aca="false">IF(AND(L$1&gt;=Units!$Q45,MOD(L$1-Units!$Q45,12)=0),IF(AND(Units!$L45=1,L$1=Units!$Q45),1,Inputs!$B$15)*Inputs!$B$16*(1+Inputs!$B$11)^(L$2-1),0)</f>
        <v>0</v>
      </c>
      <c r="M46" s="11" t="n">
        <f aca="false">IF(AND(M$1&gt;=Units!$Q45,MOD(M$1-Units!$Q45,12)=0),IF(AND(Units!$L45=1,M$1=Units!$Q45),1,Inputs!$B$15)*Inputs!$B$16*(1+Inputs!$B$11)^(M$2-1),0)</f>
        <v>0</v>
      </c>
      <c r="N46" s="11" t="n">
        <f aca="false">IF(AND(N$1&gt;=Units!$Q45,MOD(N$1-Units!$Q45,12)=0),IF(AND(Units!$L45=1,N$1=Units!$Q45),1,Inputs!$B$15)*Inputs!$B$16*(1+Inputs!$B$11)^(N$2-1),0)</f>
        <v>0</v>
      </c>
      <c r="O46" s="11" t="n">
        <f aca="false">IF(AND(O$1&gt;=Units!$Q45,MOD(O$1-Units!$Q45,12)=0),IF(AND(Units!$L45=1,O$1=Units!$Q45),1,Inputs!$B$15)*Inputs!$B$16*(1+Inputs!$B$11)^(O$2-1),0)</f>
        <v>515</v>
      </c>
      <c r="P46" s="11" t="n">
        <f aca="false">IF(AND(P$1&gt;=Units!$Q45,MOD(P$1-Units!$Q45,12)=0),IF(AND(Units!$L45=1,P$1=Units!$Q45),1,Inputs!$B$15)*Inputs!$B$16*(1+Inputs!$B$11)^(P$2-1),0)</f>
        <v>0</v>
      </c>
      <c r="Q46" s="11" t="n">
        <f aca="false">IF(AND(Q$1&gt;=Units!$Q45,MOD(Q$1-Units!$Q45,12)=0),IF(AND(Units!$L45=1,Q$1=Units!$Q45),1,Inputs!$B$15)*Inputs!$B$16*(1+Inputs!$B$11)^(Q$2-1),0)</f>
        <v>0</v>
      </c>
      <c r="R46" s="11" t="n">
        <f aca="false">IF(AND(R$1&gt;=Units!$Q45,MOD(R$1-Units!$Q45,12)=0),IF(AND(Units!$L45=1,R$1=Units!$Q45),1,Inputs!$B$15)*Inputs!$B$16*(1+Inputs!$B$11)^(R$2-1),0)</f>
        <v>0</v>
      </c>
      <c r="S46" s="11" t="n">
        <f aca="false">IF(AND(S$1&gt;=Units!$Q45,MOD(S$1-Units!$Q45,12)=0),IF(AND(Units!$L45=1,S$1=Units!$Q45),1,Inputs!$B$15)*Inputs!$B$16*(1+Inputs!$B$11)^(S$2-1),0)</f>
        <v>0</v>
      </c>
      <c r="T46" s="11" t="n">
        <f aca="false">IF(AND(T$1&gt;=Units!$Q45,MOD(T$1-Units!$Q45,12)=0),IF(AND(Units!$L45=1,T$1=Units!$Q45),1,Inputs!$B$15)*Inputs!$B$16*(1+Inputs!$B$11)^(T$2-1),0)</f>
        <v>0</v>
      </c>
      <c r="U46" s="11" t="n">
        <f aca="false">IF(AND(U$1&gt;=Units!$Q45,MOD(U$1-Units!$Q45,12)=0),IF(AND(Units!$L45=1,U$1=Units!$Q45),1,Inputs!$B$15)*Inputs!$B$16*(1+Inputs!$B$11)^(U$2-1),0)</f>
        <v>0</v>
      </c>
      <c r="V46" s="11" t="n">
        <f aca="false">IF(AND(V$1&gt;=Units!$Q45,MOD(V$1-Units!$Q45,12)=0),IF(AND(Units!$L45=1,V$1=Units!$Q45),1,Inputs!$B$15)*Inputs!$B$16*(1+Inputs!$B$11)^(V$2-1),0)</f>
        <v>0</v>
      </c>
      <c r="W46" s="11" t="n">
        <f aca="false">IF(AND(W$1&gt;=Units!$Q45,MOD(W$1-Units!$Q45,12)=0),IF(AND(Units!$L45=1,W$1=Units!$Q45),1,Inputs!$B$15)*Inputs!$B$16*(1+Inputs!$B$11)^(W$2-1),0)</f>
        <v>0</v>
      </c>
      <c r="X46" s="11" t="n">
        <f aca="false">IF(AND(X$1&gt;=Units!$Q45,MOD(X$1-Units!$Q45,12)=0),IF(AND(Units!$L45=1,X$1=Units!$Q45),1,Inputs!$B$15)*Inputs!$B$16*(1+Inputs!$B$11)^(X$2-1),0)</f>
        <v>0</v>
      </c>
      <c r="Y46" s="11" t="n">
        <f aca="false">IF(AND(Y$1&gt;=Units!$Q45,MOD(Y$1-Units!$Q45,12)=0),IF(AND(Units!$L45=1,Y$1=Units!$Q45),1,Inputs!$B$15)*Inputs!$B$16*(1+Inputs!$B$11)^(Y$2-1),0)</f>
        <v>0</v>
      </c>
      <c r="Z46" s="11" t="n">
        <f aca="false">IF(AND(Z$1&gt;=Units!$Q45,MOD(Z$1-Units!$Q45,12)=0),IF(AND(Units!$L45=1,Z$1=Units!$Q45),1,Inputs!$B$15)*Inputs!$B$16*(1+Inputs!$B$11)^(Z$2-1),0)</f>
        <v>0</v>
      </c>
      <c r="AA46" s="11" t="n">
        <f aca="false">IF(AND(AA$1&gt;=Units!$Q45,MOD(AA$1-Units!$Q45,12)=0),IF(AND(Units!$L45=1,AA$1=Units!$Q45),1,Inputs!$B$15)*Inputs!$B$16*(1+Inputs!$B$11)^(AA$2-1),0)</f>
        <v>530.45</v>
      </c>
      <c r="AB46" s="11" t="n">
        <f aca="false">IF(AND(AB$1&gt;=Units!$Q45,MOD(AB$1-Units!$Q45,12)=0),IF(AND(Units!$L45=1,AB$1=Units!$Q45),1,Inputs!$B$15)*Inputs!$B$16*(1+Inputs!$B$11)^(AB$2-1),0)</f>
        <v>0</v>
      </c>
      <c r="AC46" s="11" t="n">
        <f aca="false">IF(AND(AC$1&gt;=Units!$Q45,MOD(AC$1-Units!$Q45,12)=0),IF(AND(Units!$L45=1,AC$1=Units!$Q45),1,Inputs!$B$15)*Inputs!$B$16*(1+Inputs!$B$11)^(AC$2-1),0)</f>
        <v>0</v>
      </c>
      <c r="AD46" s="11" t="n">
        <f aca="false">IF(AND(AD$1&gt;=Units!$Q45,MOD(AD$1-Units!$Q45,12)=0),IF(AND(Units!$L45=1,AD$1=Units!$Q45),1,Inputs!$B$15)*Inputs!$B$16*(1+Inputs!$B$11)^(AD$2-1),0)</f>
        <v>0</v>
      </c>
      <c r="AE46" s="11" t="n">
        <f aca="false">IF(AND(AE$1&gt;=Units!$Q45,MOD(AE$1-Units!$Q45,12)=0),IF(AND(Units!$L45=1,AE$1=Units!$Q45),1,Inputs!$B$15)*Inputs!$B$16*(1+Inputs!$B$11)^(AE$2-1),0)</f>
        <v>0</v>
      </c>
      <c r="AF46" s="11" t="n">
        <f aca="false">IF(AND(AF$1&gt;=Units!$Q45,MOD(AF$1-Units!$Q45,12)=0),IF(AND(Units!$L45=1,AF$1=Units!$Q45),1,Inputs!$B$15)*Inputs!$B$16*(1+Inputs!$B$11)^(AF$2-1),0)</f>
        <v>0</v>
      </c>
      <c r="AG46" s="11" t="n">
        <f aca="false">IF(AND(AG$1&gt;=Units!$Q45,MOD(AG$1-Units!$Q45,12)=0),IF(AND(Units!$L45=1,AG$1=Units!$Q45),1,Inputs!$B$15)*Inputs!$B$16*(1+Inputs!$B$11)^(AG$2-1),0)</f>
        <v>0</v>
      </c>
      <c r="AH46" s="11" t="n">
        <f aca="false">IF(AND(AH$1&gt;=Units!$Q45,MOD(AH$1-Units!$Q45,12)=0),IF(AND(Units!$L45=1,AH$1=Units!$Q45),1,Inputs!$B$15)*Inputs!$B$16*(1+Inputs!$B$11)^(AH$2-1),0)</f>
        <v>0</v>
      </c>
      <c r="AI46" s="11" t="n">
        <f aca="false">IF(AND(AI$1&gt;=Units!$Q45,MOD(AI$1-Units!$Q45,12)=0),IF(AND(Units!$L45=1,AI$1=Units!$Q45),1,Inputs!$B$15)*Inputs!$B$16*(1+Inputs!$B$11)^(AI$2-1),0)</f>
        <v>0</v>
      </c>
      <c r="AJ46" s="11" t="n">
        <f aca="false">IF(AND(AJ$1&gt;=Units!$Q45,MOD(AJ$1-Units!$Q45,12)=0),IF(AND(Units!$L45=1,AJ$1=Units!$Q45),1,Inputs!$B$15)*Inputs!$B$16*(1+Inputs!$B$11)^(AJ$2-1),0)</f>
        <v>0</v>
      </c>
      <c r="AK46" s="11" t="n">
        <f aca="false">IF(AND(AK$1&gt;=Units!$Q45,MOD(AK$1-Units!$Q45,12)=0),IF(AND(Units!$L45=1,AK$1=Units!$Q45),1,Inputs!$B$15)*Inputs!$B$16*(1+Inputs!$B$11)^(AK$2-1),0)</f>
        <v>0</v>
      </c>
      <c r="AL46" s="11" t="n">
        <f aca="false">IF(AND(AL$1&gt;=Units!$Q45,MOD(AL$1-Units!$Q45,12)=0),IF(AND(Units!$L45=1,AL$1=Units!$Q45),1,Inputs!$B$15)*Inputs!$B$16*(1+Inputs!$B$11)^(AL$2-1),0)</f>
        <v>0</v>
      </c>
      <c r="AM46" s="11" t="n">
        <f aca="false">IF(AND(AM$1&gt;=Units!$Q45,MOD(AM$1-Units!$Q45,12)=0),IF(AND(Units!$L45=1,AM$1=Units!$Q45),1,Inputs!$B$15)*Inputs!$B$16*(1+Inputs!$B$11)^(AM$2-1),0)</f>
        <v>546.3635</v>
      </c>
      <c r="AN46" s="11" t="n">
        <f aca="false">IF(AND(AN$1&gt;=Units!$Q45,MOD(AN$1-Units!$Q45,12)=0),IF(AND(Units!$L45=1,AN$1=Units!$Q45),1,Inputs!$B$15)*Inputs!$B$16*(1+Inputs!$B$11)^(AN$2-1),0)</f>
        <v>0</v>
      </c>
      <c r="AO46" s="11" t="n">
        <f aca="false">IF(AND(AO$1&gt;=Units!$Q45,MOD(AO$1-Units!$Q45,12)=0),IF(AND(Units!$L45=1,AO$1=Units!$Q45),1,Inputs!$B$15)*Inputs!$B$16*(1+Inputs!$B$11)^(AO$2-1),0)</f>
        <v>0</v>
      </c>
      <c r="AP46" s="11" t="n">
        <f aca="false">IF(AND(AP$1&gt;=Units!$Q45,MOD(AP$1-Units!$Q45,12)=0),IF(AND(Units!$L45=1,AP$1=Units!$Q45),1,Inputs!$B$15)*Inputs!$B$16*(1+Inputs!$B$11)^(AP$2-1),0)</f>
        <v>0</v>
      </c>
      <c r="AQ46" s="11" t="n">
        <f aca="false">IF(AND(AQ$1&gt;=Units!$Q45,MOD(AQ$1-Units!$Q45,12)=0),IF(AND(Units!$L45=1,AQ$1=Units!$Q45),1,Inputs!$B$15)*Inputs!$B$16*(1+Inputs!$B$11)^(AQ$2-1),0)</f>
        <v>0</v>
      </c>
      <c r="AR46" s="11" t="n">
        <f aca="false">IF(AND(AR$1&gt;=Units!$Q45,MOD(AR$1-Units!$Q45,12)=0),IF(AND(Units!$L45=1,AR$1=Units!$Q45),1,Inputs!$B$15)*Inputs!$B$16*(1+Inputs!$B$11)^(AR$2-1),0)</f>
        <v>0</v>
      </c>
      <c r="AS46" s="11" t="n">
        <f aca="false">IF(AND(AS$1&gt;=Units!$Q45,MOD(AS$1-Units!$Q45,12)=0),IF(AND(Units!$L45=1,AS$1=Units!$Q45),1,Inputs!$B$15)*Inputs!$B$16*(1+Inputs!$B$11)^(AS$2-1),0)</f>
        <v>0</v>
      </c>
      <c r="AT46" s="11" t="n">
        <f aca="false">IF(AND(AT$1&gt;=Units!$Q45,MOD(AT$1-Units!$Q45,12)=0),IF(AND(Units!$L45=1,AT$1=Units!$Q45),1,Inputs!$B$15)*Inputs!$B$16*(1+Inputs!$B$11)^(AT$2-1),0)</f>
        <v>0</v>
      </c>
      <c r="AU46" s="11" t="n">
        <f aca="false">IF(AND(AU$1&gt;=Units!$Q45,MOD(AU$1-Units!$Q45,12)=0),IF(AND(Units!$L45=1,AU$1=Units!$Q45),1,Inputs!$B$15)*Inputs!$B$16*(1+Inputs!$B$11)^(AU$2-1),0)</f>
        <v>0</v>
      </c>
      <c r="AV46" s="11" t="n">
        <f aca="false">IF(AND(AV$1&gt;=Units!$Q45,MOD(AV$1-Units!$Q45,12)=0),IF(AND(Units!$L45=1,AV$1=Units!$Q45),1,Inputs!$B$15)*Inputs!$B$16*(1+Inputs!$B$11)^(AV$2-1),0)</f>
        <v>0</v>
      </c>
      <c r="AW46" s="11" t="n">
        <f aca="false">IF(AND(AW$1&gt;=Units!$Q45,MOD(AW$1-Units!$Q45,12)=0),IF(AND(Units!$L45=1,AW$1=Units!$Q45),1,Inputs!$B$15)*Inputs!$B$16*(1+Inputs!$B$11)^(AW$2-1),0)</f>
        <v>0</v>
      </c>
      <c r="AX46" s="11" t="n">
        <f aca="false">IF(AND(AX$1&gt;=Units!$Q45,MOD(AX$1-Units!$Q45,12)=0),IF(AND(Units!$L45=1,AX$1=Units!$Q45),1,Inputs!$B$15)*Inputs!$B$16*(1+Inputs!$B$11)^(AX$2-1),0)</f>
        <v>0</v>
      </c>
      <c r="AY46" s="11" t="n">
        <f aca="false">IF(AND(AY$1&gt;=Units!$Q45,MOD(AY$1-Units!$Q45,12)=0),IF(AND(Units!$L45=1,AY$1=Units!$Q45),1,Inputs!$B$15)*Inputs!$B$16*(1+Inputs!$B$11)^(AY$2-1),0)</f>
        <v>562.754405</v>
      </c>
      <c r="AZ46" s="11" t="n">
        <f aca="false">IF(AND(AZ$1&gt;=Units!$Q45,MOD(AZ$1-Units!$Q45,12)=0),IF(AND(Units!$L45=1,AZ$1=Units!$Q45),1,Inputs!$B$15)*Inputs!$B$16*(1+Inputs!$B$11)^(AZ$2-1),0)</f>
        <v>0</v>
      </c>
      <c r="BA46" s="11" t="n">
        <f aca="false">IF(AND(BA$1&gt;=Units!$Q45,MOD(BA$1-Units!$Q45,12)=0),IF(AND(Units!$L45=1,BA$1=Units!$Q45),1,Inputs!$B$15)*Inputs!$B$16*(1+Inputs!$B$11)^(BA$2-1),0)</f>
        <v>0</v>
      </c>
      <c r="BB46" s="11" t="n">
        <f aca="false">IF(AND(BB$1&gt;=Units!$Q45,MOD(BB$1-Units!$Q45,12)=0),IF(AND(Units!$L45=1,BB$1=Units!$Q45),1,Inputs!$B$15)*Inputs!$B$16*(1+Inputs!$B$11)^(BB$2-1),0)</f>
        <v>0</v>
      </c>
      <c r="BC46" s="11" t="n">
        <f aca="false">IF(AND(BC$1&gt;=Units!$Q45,MOD(BC$1-Units!$Q45,12)=0),IF(AND(Units!$L45=1,BC$1=Units!$Q45),1,Inputs!$B$15)*Inputs!$B$16*(1+Inputs!$B$11)^(BC$2-1),0)</f>
        <v>0</v>
      </c>
      <c r="BD46" s="11" t="n">
        <f aca="false">IF(AND(BD$1&gt;=Units!$Q45,MOD(BD$1-Units!$Q45,12)=0),IF(AND(Units!$L45=1,BD$1=Units!$Q45),1,Inputs!$B$15)*Inputs!$B$16*(1+Inputs!$B$11)^(BD$2-1),0)</f>
        <v>0</v>
      </c>
      <c r="BE46" s="11" t="n">
        <f aca="false">IF(AND(BE$1&gt;=Units!$Q45,MOD(BE$1-Units!$Q45,12)=0),IF(AND(Units!$L45=1,BE$1=Units!$Q45),1,Inputs!$B$15)*Inputs!$B$16*(1+Inputs!$B$11)^(BE$2-1),0)</f>
        <v>0</v>
      </c>
      <c r="BF46" s="11" t="n">
        <f aca="false">IF(AND(BF$1&gt;=Units!$Q45,MOD(BF$1-Units!$Q45,12)=0),IF(AND(Units!$L45=1,BF$1=Units!$Q45),1,Inputs!$B$15)*Inputs!$B$16*(1+Inputs!$B$11)^(BF$2-1),0)</f>
        <v>0</v>
      </c>
      <c r="BG46" s="11" t="n">
        <f aca="false">IF(AND(BG$1&gt;=Units!$Q45,MOD(BG$1-Units!$Q45,12)=0),IF(AND(Units!$L45=1,BG$1=Units!$Q45),1,Inputs!$B$15)*Inputs!$B$16*(1+Inputs!$B$11)^(BG$2-1),0)</f>
        <v>0</v>
      </c>
      <c r="BH46" s="11" t="n">
        <f aca="false">IF(AND(BH$1&gt;=Units!$Q45,MOD(BH$1-Units!$Q45,12)=0),IF(AND(Units!$L45=1,BH$1=Units!$Q45),1,Inputs!$B$15)*Inputs!$B$16*(1+Inputs!$B$11)^(BH$2-1),0)</f>
        <v>0</v>
      </c>
      <c r="BI46" s="11" t="n">
        <f aca="false">IF(AND(BI$1&gt;=Units!$Q45,MOD(BI$1-Units!$Q45,12)=0),IF(AND(Units!$L45=1,BI$1=Units!$Q45),1,Inputs!$B$15)*Inputs!$B$16*(1+Inputs!$B$11)^(BI$2-1),0)</f>
        <v>0</v>
      </c>
      <c r="BJ46" s="11" t="n">
        <f aca="false">IF(AND(BJ$1&gt;=Units!$Q45,MOD(BJ$1-Units!$Q45,12)=0),IF(AND(Units!$L45=1,BJ$1=Units!$Q45),1,Inputs!$B$15)*Inputs!$B$16*(1+Inputs!$B$11)^(BJ$2-1),0)</f>
        <v>0</v>
      </c>
      <c r="BK46" s="11" t="n">
        <f aca="false">IF(AND(BK$1&gt;=Units!$Q45,MOD(BK$1-Units!$Q45,12)=0),IF(AND(Units!$L45=1,BK$1=Units!$Q45),1,Inputs!$B$15)*Inputs!$B$16*(1+Inputs!$B$11)^(BK$2-1),0)</f>
        <v>579.63703715</v>
      </c>
      <c r="BL46" s="11" t="n">
        <f aca="false">IF(AND(BL$1&gt;=Units!$Q45,MOD(BL$1-Units!$Q45,12)=0),IF(AND(Units!$L45=1,BL$1=Units!$Q45),1,Inputs!$B$15)*Inputs!$B$16*(1+Inputs!$B$11)^(BL$2-1),0)</f>
        <v>0</v>
      </c>
      <c r="BM46" s="11" t="n">
        <f aca="false">IF(AND(BM$1&gt;=Units!$Q45,MOD(BM$1-Units!$Q45,12)=0),IF(AND(Units!$L45=1,BM$1=Units!$Q45),1,Inputs!$B$15)*Inputs!$B$16*(1+Inputs!$B$11)^(BM$2-1),0)</f>
        <v>0</v>
      </c>
      <c r="BN46" s="11" t="n">
        <f aca="false">IF(AND(BN$1&gt;=Units!$Q45,MOD(BN$1-Units!$Q45,12)=0),IF(AND(Units!$L45=1,BN$1=Units!$Q45),1,Inputs!$B$15)*Inputs!$B$16*(1+Inputs!$B$11)^(BN$2-1),0)</f>
        <v>0</v>
      </c>
      <c r="BO46" s="11" t="n">
        <f aca="false">IF(AND(BO$1&gt;=Units!$Q45,MOD(BO$1-Units!$Q45,12)=0),IF(AND(Units!$L45=1,BO$1=Units!$Q45),1,Inputs!$B$15)*Inputs!$B$16*(1+Inputs!$B$11)^(BO$2-1),0)</f>
        <v>0</v>
      </c>
      <c r="BP46" s="11" t="n">
        <f aca="false">IF(AND(BP$1&gt;=Units!$Q45,MOD(BP$1-Units!$Q45,12)=0),IF(AND(Units!$L45=1,BP$1=Units!$Q45),1,Inputs!$B$15)*Inputs!$B$16*(1+Inputs!$B$11)^(BP$2-1),0)</f>
        <v>0</v>
      </c>
      <c r="BQ46" s="11" t="n">
        <f aca="false">IF(AND(BQ$1&gt;=Units!$Q45,MOD(BQ$1-Units!$Q45,12)=0),IF(AND(Units!$L45=1,BQ$1=Units!$Q45),1,Inputs!$B$15)*Inputs!$B$16*(1+Inputs!$B$11)^(BQ$2-1),0)</f>
        <v>0</v>
      </c>
      <c r="BR46" s="11" t="n">
        <f aca="false">IF(AND(BR$1&gt;=Units!$Q45,MOD(BR$1-Units!$Q45,12)=0),IF(AND(Units!$L45=1,BR$1=Units!$Q45),1,Inputs!$B$15)*Inputs!$B$16*(1+Inputs!$B$11)^(BR$2-1),0)</f>
        <v>0</v>
      </c>
      <c r="BS46" s="11" t="n">
        <f aca="false">IF(AND(BS$1&gt;=Units!$Q45,MOD(BS$1-Units!$Q45,12)=0),IF(AND(Units!$L45=1,BS$1=Units!$Q45),1,Inputs!$B$15)*Inputs!$B$16*(1+Inputs!$B$11)^(BS$2-1),0)</f>
        <v>0</v>
      </c>
      <c r="BT46" s="11" t="n">
        <f aca="false">IF(AND(BT$1&gt;=Units!$Q45,MOD(BT$1-Units!$Q45,12)=0),IF(AND(Units!$L45=1,BT$1=Units!$Q45),1,Inputs!$B$15)*Inputs!$B$16*(1+Inputs!$B$11)^(BT$2-1),0)</f>
        <v>0</v>
      </c>
      <c r="BU46" s="11" t="n">
        <f aca="false">IF(AND(BU$1&gt;=Units!$Q45,MOD(BU$1-Units!$Q45,12)=0),IF(AND(Units!$L45=1,BU$1=Units!$Q45),1,Inputs!$B$15)*Inputs!$B$16*(1+Inputs!$B$11)^(BU$2-1),0)</f>
        <v>0</v>
      </c>
      <c r="BV46" s="11" t="n">
        <f aca="false">IF(AND(BV$1&gt;=Units!$Q45,MOD(BV$1-Units!$Q45,12)=0),IF(AND(Units!$L45=1,BV$1=Units!$Q45),1,Inputs!$B$15)*Inputs!$B$16*(1+Inputs!$B$11)^(BV$2-1),0)</f>
        <v>0</v>
      </c>
      <c r="BW46" s="11" t="n">
        <f aca="false">IF(AND(BW$1&gt;=Units!$Q45,MOD(BW$1-Units!$Q45,12)=0),IF(AND(Units!$L45=1,BW$1=Units!$Q45),1,Inputs!$B$15)*Inputs!$B$16*(1+Inputs!$B$11)^(BW$2-1),0)</f>
        <v>597.0261482645</v>
      </c>
      <c r="BX46" s="11" t="n">
        <f aca="false">IF(AND(BX$1&gt;=Units!$Q45,MOD(BX$1-Units!$Q45,12)=0),IF(AND(Units!$L45=1,BX$1=Units!$Q45),1,Inputs!$B$15)*Inputs!$B$16*(1+Inputs!$B$11)^(BX$2-1),0)</f>
        <v>0</v>
      </c>
      <c r="BY46" s="11" t="n">
        <f aca="false">IF(AND(BY$1&gt;=Units!$Q45,MOD(BY$1-Units!$Q45,12)=0),IF(AND(Units!$L45=1,BY$1=Units!$Q45),1,Inputs!$B$15)*Inputs!$B$16*(1+Inputs!$B$11)^(BY$2-1),0)</f>
        <v>0</v>
      </c>
      <c r="BZ46" s="11" t="n">
        <f aca="false">IF(AND(BZ$1&gt;=Units!$Q45,MOD(BZ$1-Units!$Q45,12)=0),IF(AND(Units!$L45=1,BZ$1=Units!$Q45),1,Inputs!$B$15)*Inputs!$B$16*(1+Inputs!$B$11)^(BZ$2-1),0)</f>
        <v>0</v>
      </c>
      <c r="CA46" s="11" t="n">
        <f aca="false">IF(AND(CA$1&gt;=Units!$Q45,MOD(CA$1-Units!$Q45,12)=0),IF(AND(Units!$L45=1,CA$1=Units!$Q45),1,Inputs!$B$15)*Inputs!$B$16*(1+Inputs!$B$11)^(CA$2-1),0)</f>
        <v>0</v>
      </c>
      <c r="CB46" s="11" t="n">
        <f aca="false">IF(AND(CB$1&gt;=Units!$Q45,MOD(CB$1-Units!$Q45,12)=0),IF(AND(Units!$L45=1,CB$1=Units!$Q45),1,Inputs!$B$15)*Inputs!$B$16*(1+Inputs!$B$11)^(CB$2-1),0)</f>
        <v>0</v>
      </c>
      <c r="CC46" s="11" t="n">
        <f aca="false">IF(AND(CC$1&gt;=Units!$Q45,MOD(CC$1-Units!$Q45,12)=0),IF(AND(Units!$L45=1,CC$1=Units!$Q45),1,Inputs!$B$15)*Inputs!$B$16*(1+Inputs!$B$11)^(CC$2-1),0)</f>
        <v>0</v>
      </c>
      <c r="CD46" s="11" t="n">
        <f aca="false">IF(AND(CD$1&gt;=Units!$Q45,MOD(CD$1-Units!$Q45,12)=0),IF(AND(Units!$L45=1,CD$1=Units!$Q45),1,Inputs!$B$15)*Inputs!$B$16*(1+Inputs!$B$11)^(CD$2-1),0)</f>
        <v>0</v>
      </c>
      <c r="CE46" s="11" t="n">
        <f aca="false">IF(AND(CE$1&gt;=Units!$Q45,MOD(CE$1-Units!$Q45,12)=0),IF(AND(Units!$L45=1,CE$1=Units!$Q45),1,Inputs!$B$15)*Inputs!$B$16*(1+Inputs!$B$11)^(CE$2-1),0)</f>
        <v>0</v>
      </c>
      <c r="CF46" s="11" t="n">
        <f aca="false">IF(AND(CF$1&gt;=Units!$Q45,MOD(CF$1-Units!$Q45,12)=0),IF(AND(Units!$L45=1,CF$1=Units!$Q45),1,Inputs!$B$15)*Inputs!$B$16*(1+Inputs!$B$11)^(CF$2-1),0)</f>
        <v>0</v>
      </c>
      <c r="CG46" s="11" t="n">
        <f aca="false">IF(AND(CG$1&gt;=Units!$Q45,MOD(CG$1-Units!$Q45,12)=0),IF(AND(Units!$L45=1,CG$1=Units!$Q45),1,Inputs!$B$15)*Inputs!$B$16*(1+Inputs!$B$11)^(CG$2-1),0)</f>
        <v>0</v>
      </c>
      <c r="CH46" s="11" t="n">
        <f aca="false">IF(AND(CH$1&gt;=Units!$Q45,MOD(CH$1-Units!$Q45,12)=0),IF(AND(Units!$L45=1,CH$1=Units!$Q45),1,Inputs!$B$15)*Inputs!$B$16*(1+Inputs!$B$11)^(CH$2-1),0)</f>
        <v>0</v>
      </c>
      <c r="CI46" s="11" t="n">
        <f aca="false">IF(AND(CI$1&gt;=Units!$Q45,MOD(CI$1-Units!$Q45,12)=0),IF(AND(Units!$L45=1,CI$1=Units!$Q45),1,Inputs!$B$15)*Inputs!$B$16*(1+Inputs!$B$11)^(CI$2-1),0)</f>
        <v>614.936932712435</v>
      </c>
      <c r="CJ46" s="11" t="n">
        <f aca="false">IF(AND(CJ$1&gt;=Units!$Q45,MOD(CJ$1-Units!$Q45,12)=0),IF(AND(Units!$L45=1,CJ$1=Units!$Q45),1,Inputs!$B$15)*Inputs!$B$16*(1+Inputs!$B$11)^(CJ$2-1),0)</f>
        <v>0</v>
      </c>
      <c r="CK46" s="11" t="n">
        <f aca="false">IF(AND(CK$1&gt;=Units!$Q45,MOD(CK$1-Units!$Q45,12)=0),IF(AND(Units!$L45=1,CK$1=Units!$Q45),1,Inputs!$B$15)*Inputs!$B$16*(1+Inputs!$B$11)^(CK$2-1),0)</f>
        <v>0</v>
      </c>
      <c r="CL46" s="11" t="n">
        <f aca="false">IF(AND(CL$1&gt;=Units!$Q45,MOD(CL$1-Units!$Q45,12)=0),IF(AND(Units!$L45=1,CL$1=Units!$Q45),1,Inputs!$B$15)*Inputs!$B$16*(1+Inputs!$B$11)^(CL$2-1),0)</f>
        <v>0</v>
      </c>
      <c r="CM46" s="11" t="n">
        <f aca="false">IF(AND(CM$1&gt;=Units!$Q45,MOD(CM$1-Units!$Q45,12)=0),IF(AND(Units!$L45=1,CM$1=Units!$Q45),1,Inputs!$B$15)*Inputs!$B$16*(1+Inputs!$B$11)^(CM$2-1),0)</f>
        <v>0</v>
      </c>
      <c r="CN46" s="11" t="n">
        <f aca="false">IF(AND(CN$1&gt;=Units!$Q45,MOD(CN$1-Units!$Q45,12)=0),IF(AND(Units!$L45=1,CN$1=Units!$Q45),1,Inputs!$B$15)*Inputs!$B$16*(1+Inputs!$B$11)^(CN$2-1),0)</f>
        <v>0</v>
      </c>
      <c r="CO46" s="11" t="n">
        <f aca="false">IF(AND(CO$1&gt;=Units!$Q45,MOD(CO$1-Units!$Q45,12)=0),IF(AND(Units!$L45=1,CO$1=Units!$Q45),1,Inputs!$B$15)*Inputs!$B$16*(1+Inputs!$B$11)^(CO$2-1),0)</f>
        <v>0</v>
      </c>
      <c r="CP46" s="11" t="n">
        <f aca="false">IF(AND(CP$1&gt;=Units!$Q45,MOD(CP$1-Units!$Q45,12)=0),IF(AND(Units!$L45=1,CP$1=Units!$Q45),1,Inputs!$B$15)*Inputs!$B$16*(1+Inputs!$B$11)^(CP$2-1),0)</f>
        <v>0</v>
      </c>
      <c r="CQ46" s="11" t="n">
        <f aca="false">IF(AND(CQ$1&gt;=Units!$Q45,MOD(CQ$1-Units!$Q45,12)=0),IF(AND(Units!$L45=1,CQ$1=Units!$Q45),1,Inputs!$B$15)*Inputs!$B$16*(1+Inputs!$B$11)^(CQ$2-1),0)</f>
        <v>0</v>
      </c>
      <c r="CR46" s="11" t="n">
        <f aca="false">IF(AND(CR$1&gt;=Units!$Q45,MOD(CR$1-Units!$Q45,12)=0),IF(AND(Units!$L45=1,CR$1=Units!$Q45),1,Inputs!$B$15)*Inputs!$B$16*(1+Inputs!$B$11)^(CR$2-1),0)</f>
        <v>0</v>
      </c>
      <c r="CS46" s="11" t="n">
        <f aca="false">IF(AND(CS$1&gt;=Units!$Q45,MOD(CS$1-Units!$Q45,12)=0),IF(AND(Units!$L45=1,CS$1=Units!$Q45),1,Inputs!$B$15)*Inputs!$B$16*(1+Inputs!$B$11)^(CS$2-1),0)</f>
        <v>0</v>
      </c>
      <c r="CT46" s="11" t="n">
        <f aca="false">IF(AND(CT$1&gt;=Units!$Q45,MOD(CT$1-Units!$Q45,12)=0),IF(AND(Units!$L45=1,CT$1=Units!$Q45),1,Inputs!$B$15)*Inputs!$B$16*(1+Inputs!$B$11)^(CT$2-1),0)</f>
        <v>0</v>
      </c>
      <c r="CU46" s="11" t="n">
        <f aca="false">IF(AND(CU$1&gt;=Units!$Q45,MOD(CU$1-Units!$Q45,12)=0),IF(AND(Units!$L45=1,CU$1=Units!$Q45),1,Inputs!$B$15)*Inputs!$B$16*(1+Inputs!$B$11)^(CU$2-1),0)</f>
        <v>633.385040693808</v>
      </c>
      <c r="CV46" s="11" t="n">
        <f aca="false">IF(AND(CV$1&gt;=Units!$Q45,MOD(CV$1-Units!$Q45,12)=0),IF(AND(Units!$L45=1,CV$1=Units!$Q45),1,Inputs!$B$15)*Inputs!$B$16*(1+Inputs!$B$11)^(CV$2-1),0)</f>
        <v>0</v>
      </c>
      <c r="CW46" s="11" t="n">
        <f aca="false">IF(AND(CW$1&gt;=Units!$Q45,MOD(CW$1-Units!$Q45,12)=0),IF(AND(Units!$L45=1,CW$1=Units!$Q45),1,Inputs!$B$15)*Inputs!$B$16*(1+Inputs!$B$11)^(CW$2-1),0)</f>
        <v>0</v>
      </c>
      <c r="CX46" s="11" t="n">
        <f aca="false">IF(AND(CX$1&gt;=Units!$Q45,MOD(CX$1-Units!$Q45,12)=0),IF(AND(Units!$L45=1,CX$1=Units!$Q45),1,Inputs!$B$15)*Inputs!$B$16*(1+Inputs!$B$11)^(CX$2-1),0)</f>
        <v>0</v>
      </c>
      <c r="CY46" s="11" t="n">
        <f aca="false">IF(AND(CY$1&gt;=Units!$Q45,MOD(CY$1-Units!$Q45,12)=0),IF(AND(Units!$L45=1,CY$1=Units!$Q45),1,Inputs!$B$15)*Inputs!$B$16*(1+Inputs!$B$11)^(CY$2-1),0)</f>
        <v>0</v>
      </c>
      <c r="CZ46" s="11" t="n">
        <f aca="false">IF(AND(CZ$1&gt;=Units!$Q45,MOD(CZ$1-Units!$Q45,12)=0),IF(AND(Units!$L45=1,CZ$1=Units!$Q45),1,Inputs!$B$15)*Inputs!$B$16*(1+Inputs!$B$11)^(CZ$2-1),0)</f>
        <v>0</v>
      </c>
      <c r="DA46" s="11" t="n">
        <f aca="false">IF(AND(DA$1&gt;=Units!$Q45,MOD(DA$1-Units!$Q45,12)=0),IF(AND(Units!$L45=1,DA$1=Units!$Q45),1,Inputs!$B$15)*Inputs!$B$16*(1+Inputs!$B$11)^(DA$2-1),0)</f>
        <v>0</v>
      </c>
      <c r="DB46" s="11" t="n">
        <f aca="false">IF(AND(DB$1&gt;=Units!$Q45,MOD(DB$1-Units!$Q45,12)=0),IF(AND(Units!$L45=1,DB$1=Units!$Q45),1,Inputs!$B$15)*Inputs!$B$16*(1+Inputs!$B$11)^(DB$2-1),0)</f>
        <v>0</v>
      </c>
      <c r="DC46" s="11" t="n">
        <f aca="false">IF(AND(DC$1&gt;=Units!$Q45,MOD(DC$1-Units!$Q45,12)=0),IF(AND(Units!$L45=1,DC$1=Units!$Q45),1,Inputs!$B$15)*Inputs!$B$16*(1+Inputs!$B$11)^(DC$2-1),0)</f>
        <v>0</v>
      </c>
      <c r="DD46" s="11" t="n">
        <f aca="false">IF(AND(DD$1&gt;=Units!$Q45,MOD(DD$1-Units!$Q45,12)=0),IF(AND(Units!$L45=1,DD$1=Units!$Q45),1,Inputs!$B$15)*Inputs!$B$16*(1+Inputs!$B$11)^(DD$2-1),0)</f>
        <v>0</v>
      </c>
      <c r="DE46" s="11" t="n">
        <f aca="false">IF(AND(DE$1&gt;=Units!$Q45,MOD(DE$1-Units!$Q45,12)=0),IF(AND(Units!$L45=1,DE$1=Units!$Q45),1,Inputs!$B$15)*Inputs!$B$16*(1+Inputs!$B$11)^(DE$2-1),0)</f>
        <v>0</v>
      </c>
      <c r="DF46" s="11" t="n">
        <f aca="false">IF(AND(DF$1&gt;=Units!$Q45,MOD(DF$1-Units!$Q45,12)=0),IF(AND(Units!$L45=1,DF$1=Units!$Q45),1,Inputs!$B$15)*Inputs!$B$16*(1+Inputs!$B$11)^(DF$2-1),0)</f>
        <v>0</v>
      </c>
      <c r="DG46" s="11" t="n">
        <f aca="false">IF(AND(DG$1&gt;=Units!$Q45,MOD(DG$1-Units!$Q45,12)=0),IF(AND(Units!$L45=1,DG$1=Units!$Q45),1,Inputs!$B$15)*Inputs!$B$16*(1+Inputs!$B$11)^(DG$2-1),0)</f>
        <v>652.386591914623</v>
      </c>
      <c r="DH46" s="11" t="n">
        <f aca="false">IF(AND(DH$1&gt;=Units!$Q45,MOD(DH$1-Units!$Q45,12)=0),IF(AND(Units!$L45=1,DH$1=Units!$Q45),1,Inputs!$B$15)*Inputs!$B$16*(1+Inputs!$B$11)^(DH$2-1),0)</f>
        <v>0</v>
      </c>
      <c r="DI46" s="11" t="n">
        <f aca="false">IF(AND(DI$1&gt;=Units!$Q45,MOD(DI$1-Units!$Q45,12)=0),IF(AND(Units!$L45=1,DI$1=Units!$Q45),1,Inputs!$B$15)*Inputs!$B$16*(1+Inputs!$B$11)^(DI$2-1),0)</f>
        <v>0</v>
      </c>
      <c r="DJ46" s="11" t="n">
        <f aca="false">IF(AND(DJ$1&gt;=Units!$Q45,MOD(DJ$1-Units!$Q45,12)=0),IF(AND(Units!$L45=1,DJ$1=Units!$Q45),1,Inputs!$B$15)*Inputs!$B$16*(1+Inputs!$B$11)^(DJ$2-1),0)</f>
        <v>0</v>
      </c>
      <c r="DK46" s="11" t="n">
        <f aca="false">IF(AND(DK$1&gt;=Units!$Q45,MOD(DK$1-Units!$Q45,12)=0),IF(AND(Units!$L45=1,DK$1=Units!$Q45),1,Inputs!$B$15)*Inputs!$B$16*(1+Inputs!$B$11)^(DK$2-1),0)</f>
        <v>0</v>
      </c>
      <c r="DL46" s="11" t="n">
        <f aca="false">IF(AND(DL$1&gt;=Units!$Q45,MOD(DL$1-Units!$Q45,12)=0),IF(AND(Units!$L45=1,DL$1=Units!$Q45),1,Inputs!$B$15)*Inputs!$B$16*(1+Inputs!$B$11)^(DL$2-1),0)</f>
        <v>0</v>
      </c>
      <c r="DM46" s="11" t="n">
        <f aca="false">IF(AND(DM$1&gt;=Units!$Q45,MOD(DM$1-Units!$Q45,12)=0),IF(AND(Units!$L45=1,DM$1=Units!$Q45),1,Inputs!$B$15)*Inputs!$B$16*(1+Inputs!$B$11)^(DM$2-1),0)</f>
        <v>0</v>
      </c>
      <c r="DN46" s="11" t="n">
        <f aca="false">IF(AND(DN$1&gt;=Units!$Q45,MOD(DN$1-Units!$Q45,12)=0),IF(AND(Units!$L45=1,DN$1=Units!$Q45),1,Inputs!$B$15)*Inputs!$B$16*(1+Inputs!$B$11)^(DN$2-1),0)</f>
        <v>0</v>
      </c>
      <c r="DO46" s="11" t="n">
        <f aca="false">IF(AND(DO$1&gt;=Units!$Q45,MOD(DO$1-Units!$Q45,12)=0),IF(AND(Units!$L45=1,DO$1=Units!$Q45),1,Inputs!$B$15)*Inputs!$B$16*(1+Inputs!$B$11)^(DO$2-1),0)</f>
        <v>0</v>
      </c>
      <c r="DP46" s="11" t="n">
        <f aca="false">IF(AND(DP$1&gt;=Units!$Q45,MOD(DP$1-Units!$Q45,12)=0),IF(AND(Units!$L45=1,DP$1=Units!$Q45),1,Inputs!$B$15)*Inputs!$B$16*(1+Inputs!$B$11)^(DP$2-1),0)</f>
        <v>0</v>
      </c>
      <c r="DQ46" s="11" t="n">
        <f aca="false">IF(AND(DQ$1&gt;=Units!$Q45,MOD(DQ$1-Units!$Q45,12)=0),IF(AND(Units!$L45=1,DQ$1=Units!$Q45),1,Inputs!$B$15)*Inputs!$B$16*(1+Inputs!$B$11)^(DQ$2-1),0)</f>
        <v>0</v>
      </c>
      <c r="DR46" s="11" t="n">
        <f aca="false">IF(AND(DR$1&gt;=Units!$Q45,MOD(DR$1-Units!$Q45,12)=0),IF(AND(Units!$L45=1,DR$1=Units!$Q45),1,Inputs!$B$15)*Inputs!$B$16*(1+Inputs!$B$11)^(DR$2-1),0)</f>
        <v>0</v>
      </c>
      <c r="DS46" s="11" t="n">
        <f aca="false">IF(AND(DS$1&gt;=Units!$Q45,MOD(DS$1-Units!$Q45,12)=0),IF(AND(Units!$L45=1,DS$1=Units!$Q45),1,Inputs!$B$15)*Inputs!$B$16*(1+Inputs!$B$11)^(DS$2-1),0)</f>
        <v>671.958189672061</v>
      </c>
      <c r="DT46" s="11" t="n">
        <f aca="false">IF(AND(DT$1&gt;=Units!$Q45,MOD(DT$1-Units!$Q45,12)=0),IF(AND(Units!$L45=1,DT$1=Units!$Q45),1,Inputs!$B$15)*Inputs!$B$16*(1+Inputs!$B$11)^(DT$2-1),0)</f>
        <v>0</v>
      </c>
      <c r="DU46" s="11" t="n">
        <f aca="false">IF(AND(DU$1&gt;=Units!$Q45,MOD(DU$1-Units!$Q45,12)=0),IF(AND(Units!$L45=1,DU$1=Units!$Q45),1,Inputs!$B$15)*Inputs!$B$16*(1+Inputs!$B$11)^(DU$2-1),0)</f>
        <v>0</v>
      </c>
      <c r="DV46" s="11" t="n">
        <f aca="false">IF(AND(DV$1&gt;=Units!$Q45,MOD(DV$1-Units!$Q45,12)=0),IF(AND(Units!$L45=1,DV$1=Units!$Q45),1,Inputs!$B$15)*Inputs!$B$16*(1+Inputs!$B$11)^(DV$2-1),0)</f>
        <v>0</v>
      </c>
      <c r="DW46" s="11" t="n">
        <f aca="false">IF(AND(DW$1&gt;=Units!$Q45,MOD(DW$1-Units!$Q45,12)=0),IF(AND(Units!$L45=1,DW$1=Units!$Q45),1,Inputs!$B$15)*Inputs!$B$16*(1+Inputs!$B$11)^(DW$2-1),0)</f>
        <v>0</v>
      </c>
      <c r="DX46" s="11" t="n">
        <f aca="false">IF(AND(DX$1&gt;=Units!$Q45,MOD(DX$1-Units!$Q45,12)=0),IF(AND(Units!$L45=1,DX$1=Units!$Q45),1,Inputs!$B$15)*Inputs!$B$16*(1+Inputs!$B$11)^(DX$2-1),0)</f>
        <v>0</v>
      </c>
      <c r="DY46" s="11" t="n">
        <f aca="false">IF(AND(DY$1&gt;=Units!$Q45,MOD(DY$1-Units!$Q45,12)=0),IF(AND(Units!$L45=1,DY$1=Units!$Q45),1,Inputs!$B$15)*Inputs!$B$16*(1+Inputs!$B$11)^(DY$2-1),0)</f>
        <v>0</v>
      </c>
      <c r="DZ46" s="11" t="n">
        <f aca="false">IF(AND(DZ$1&gt;=Units!$Q45,MOD(DZ$1-Units!$Q45,12)=0),IF(AND(Units!$L45=1,DZ$1=Units!$Q45),1,Inputs!$B$15)*Inputs!$B$16*(1+Inputs!$B$11)^(DZ$2-1),0)</f>
        <v>0</v>
      </c>
      <c r="EA46" s="11" t="n">
        <f aca="false">IF(AND(EA$1&gt;=Units!$Q45,MOD(EA$1-Units!$Q45,12)=0),IF(AND(Units!$L45=1,EA$1=Units!$Q45),1,Inputs!$B$15)*Inputs!$B$16*(1+Inputs!$B$11)^(EA$2-1),0)</f>
        <v>0</v>
      </c>
      <c r="EB46" s="11" t="n">
        <f aca="false">IF(AND(EB$1&gt;=Units!$Q45,MOD(EB$1-Units!$Q45,12)=0),IF(AND(Units!$L45=1,EB$1=Units!$Q45),1,Inputs!$B$15)*Inputs!$B$16*(1+Inputs!$B$11)^(EB$2-1),0)</f>
        <v>0</v>
      </c>
      <c r="EC46" s="11" t="n">
        <f aca="false">IF(AND(EC$1&gt;=Units!$Q45,MOD(EC$1-Units!$Q45,12)=0),IF(AND(Units!$L45=1,EC$1=Units!$Q45),1,Inputs!$B$15)*Inputs!$B$16*(1+Inputs!$B$11)^(EC$2-1),0)</f>
        <v>0</v>
      </c>
      <c r="ED46" s="11" t="n">
        <f aca="false">IF(AND(ED$1&gt;=Units!$Q45,MOD(ED$1-Units!$Q45,12)=0),IF(AND(Units!$L45=1,ED$1=Units!$Q45),1,Inputs!$B$15)*Inputs!$B$16*(1+Inputs!$B$11)^(ED$2-1),0)</f>
        <v>0</v>
      </c>
    </row>
    <row r="47" customFormat="false" ht="15" hidden="false" customHeight="false" outlineLevel="0" collapsed="false">
      <c r="A47" s="22" t="n">
        <f aca="false">Units!A46</f>
        <v>215</v>
      </c>
      <c r="B47" s="23"/>
      <c r="C47" s="11" t="n">
        <f aca="false">IF(AND(C$1&gt;=Units!$Q46,MOD(C$1-Units!$Q46,12)=0),IF(AND(Units!$L46=1,C$1=Units!$Q46),1,Inputs!$B$15)*Inputs!$B$16*(1+Inputs!$B$11)^(C$2-1),0)</f>
        <v>0</v>
      </c>
      <c r="D47" s="11" t="n">
        <f aca="false">IF(AND(D$1&gt;=Units!$Q46,MOD(D$1-Units!$Q46,12)=0),IF(AND(Units!$L46=1,D$1=Units!$Q46),1,Inputs!$B$15)*Inputs!$B$16*(1+Inputs!$B$11)^(D$2-1),0)</f>
        <v>0</v>
      </c>
      <c r="E47" s="11" t="n">
        <f aca="false">IF(AND(E$1&gt;=Units!$Q46,MOD(E$1-Units!$Q46,12)=0),IF(AND(Units!$L46=1,E$1=Units!$Q46),1,Inputs!$B$15)*Inputs!$B$16*(1+Inputs!$B$11)^(E$2-1),0)</f>
        <v>0</v>
      </c>
      <c r="F47" s="11" t="n">
        <f aca="false">IF(AND(F$1&gt;=Units!$Q46,MOD(F$1-Units!$Q46,12)=0),IF(AND(Units!$L46=1,F$1=Units!$Q46),1,Inputs!$B$15)*Inputs!$B$16*(1+Inputs!$B$11)^(F$2-1),0)</f>
        <v>0</v>
      </c>
      <c r="G47" s="11" t="n">
        <f aca="false">IF(AND(G$1&gt;=Units!$Q46,MOD(G$1-Units!$Q46,12)=0),IF(AND(Units!$L46=1,G$1=Units!$Q46),1,Inputs!$B$15)*Inputs!$B$16*(1+Inputs!$B$11)^(G$2-1),0)</f>
        <v>0</v>
      </c>
      <c r="H47" s="11" t="n">
        <f aca="false">IF(AND(H$1&gt;=Units!$Q46,MOD(H$1-Units!$Q46,12)=0),IF(AND(Units!$L46=1,H$1=Units!$Q46),1,Inputs!$B$15)*Inputs!$B$16*(1+Inputs!$B$11)^(H$2-1),0)</f>
        <v>0</v>
      </c>
      <c r="I47" s="11" t="n">
        <f aca="false">IF(AND(I$1&gt;=Units!$Q46,MOD(I$1-Units!$Q46,12)=0),IF(AND(Units!$L46=1,I$1=Units!$Q46),1,Inputs!$B$15)*Inputs!$B$16*(1+Inputs!$B$11)^(I$2-1),0)</f>
        <v>0</v>
      </c>
      <c r="J47" s="11" t="n">
        <f aca="false">IF(AND(J$1&gt;=Units!$Q46,MOD(J$1-Units!$Q46,12)=0),IF(AND(Units!$L46=1,J$1=Units!$Q46),1,Inputs!$B$15)*Inputs!$B$16*(1+Inputs!$B$11)^(J$2-1),0)</f>
        <v>0</v>
      </c>
      <c r="K47" s="11" t="n">
        <f aca="false">IF(AND(K$1&gt;=Units!$Q46,MOD(K$1-Units!$Q46,12)=0),IF(AND(Units!$L46=1,K$1=Units!$Q46),1,Inputs!$B$15)*Inputs!$B$16*(1+Inputs!$B$11)^(K$2-1),0)</f>
        <v>0</v>
      </c>
      <c r="L47" s="11" t="n">
        <f aca="false">IF(AND(L$1&gt;=Units!$Q46,MOD(L$1-Units!$Q46,12)=0),IF(AND(Units!$L46=1,L$1=Units!$Q46),1,Inputs!$B$15)*Inputs!$B$16*(1+Inputs!$B$11)^(L$2-1),0)</f>
        <v>0</v>
      </c>
      <c r="M47" s="11" t="n">
        <f aca="false">IF(AND(M$1&gt;=Units!$Q46,MOD(M$1-Units!$Q46,12)=0),IF(AND(Units!$L46=1,M$1=Units!$Q46),1,Inputs!$B$15)*Inputs!$B$16*(1+Inputs!$B$11)^(M$2-1),0)</f>
        <v>500</v>
      </c>
      <c r="N47" s="11" t="n">
        <f aca="false">IF(AND(N$1&gt;=Units!$Q46,MOD(N$1-Units!$Q46,12)=0),IF(AND(Units!$L46=1,N$1=Units!$Q46),1,Inputs!$B$15)*Inputs!$B$16*(1+Inputs!$B$11)^(N$2-1),0)</f>
        <v>0</v>
      </c>
      <c r="O47" s="11" t="n">
        <f aca="false">IF(AND(O$1&gt;=Units!$Q46,MOD(O$1-Units!$Q46,12)=0),IF(AND(Units!$L46=1,O$1=Units!$Q46),1,Inputs!$B$15)*Inputs!$B$16*(1+Inputs!$B$11)^(O$2-1),0)</f>
        <v>0</v>
      </c>
      <c r="P47" s="11" t="n">
        <f aca="false">IF(AND(P$1&gt;=Units!$Q46,MOD(P$1-Units!$Q46,12)=0),IF(AND(Units!$L46=1,P$1=Units!$Q46),1,Inputs!$B$15)*Inputs!$B$16*(1+Inputs!$B$11)^(P$2-1),0)</f>
        <v>0</v>
      </c>
      <c r="Q47" s="11" t="n">
        <f aca="false">IF(AND(Q$1&gt;=Units!$Q46,MOD(Q$1-Units!$Q46,12)=0),IF(AND(Units!$L46=1,Q$1=Units!$Q46),1,Inputs!$B$15)*Inputs!$B$16*(1+Inputs!$B$11)^(Q$2-1),0)</f>
        <v>0</v>
      </c>
      <c r="R47" s="11" t="n">
        <f aca="false">IF(AND(R$1&gt;=Units!$Q46,MOD(R$1-Units!$Q46,12)=0),IF(AND(Units!$L46=1,R$1=Units!$Q46),1,Inputs!$B$15)*Inputs!$B$16*(1+Inputs!$B$11)^(R$2-1),0)</f>
        <v>0</v>
      </c>
      <c r="S47" s="11" t="n">
        <f aca="false">IF(AND(S$1&gt;=Units!$Q46,MOD(S$1-Units!$Q46,12)=0),IF(AND(Units!$L46=1,S$1=Units!$Q46),1,Inputs!$B$15)*Inputs!$B$16*(1+Inputs!$B$11)^(S$2-1),0)</f>
        <v>0</v>
      </c>
      <c r="T47" s="11" t="n">
        <f aca="false">IF(AND(T$1&gt;=Units!$Q46,MOD(T$1-Units!$Q46,12)=0),IF(AND(Units!$L46=1,T$1=Units!$Q46),1,Inputs!$B$15)*Inputs!$B$16*(1+Inputs!$B$11)^(T$2-1),0)</f>
        <v>0</v>
      </c>
      <c r="U47" s="11" t="n">
        <f aca="false">IF(AND(U$1&gt;=Units!$Q46,MOD(U$1-Units!$Q46,12)=0),IF(AND(Units!$L46=1,U$1=Units!$Q46),1,Inputs!$B$15)*Inputs!$B$16*(1+Inputs!$B$11)^(U$2-1),0)</f>
        <v>0</v>
      </c>
      <c r="V47" s="11" t="n">
        <f aca="false">IF(AND(V$1&gt;=Units!$Q46,MOD(V$1-Units!$Q46,12)=0),IF(AND(Units!$L46=1,V$1=Units!$Q46),1,Inputs!$B$15)*Inputs!$B$16*(1+Inputs!$B$11)^(V$2-1),0)</f>
        <v>0</v>
      </c>
      <c r="W47" s="11" t="n">
        <f aca="false">IF(AND(W$1&gt;=Units!$Q46,MOD(W$1-Units!$Q46,12)=0),IF(AND(Units!$L46=1,W$1=Units!$Q46),1,Inputs!$B$15)*Inputs!$B$16*(1+Inputs!$B$11)^(W$2-1),0)</f>
        <v>0</v>
      </c>
      <c r="X47" s="11" t="n">
        <f aca="false">IF(AND(X$1&gt;=Units!$Q46,MOD(X$1-Units!$Q46,12)=0),IF(AND(Units!$L46=1,X$1=Units!$Q46),1,Inputs!$B$15)*Inputs!$B$16*(1+Inputs!$B$11)^(X$2-1),0)</f>
        <v>0</v>
      </c>
      <c r="Y47" s="11" t="n">
        <f aca="false">IF(AND(Y$1&gt;=Units!$Q46,MOD(Y$1-Units!$Q46,12)=0),IF(AND(Units!$L46=1,Y$1=Units!$Q46),1,Inputs!$B$15)*Inputs!$B$16*(1+Inputs!$B$11)^(Y$2-1),0)</f>
        <v>515</v>
      </c>
      <c r="Z47" s="11" t="n">
        <f aca="false">IF(AND(Z$1&gt;=Units!$Q46,MOD(Z$1-Units!$Q46,12)=0),IF(AND(Units!$L46=1,Z$1=Units!$Q46),1,Inputs!$B$15)*Inputs!$B$16*(1+Inputs!$B$11)^(Z$2-1),0)</f>
        <v>0</v>
      </c>
      <c r="AA47" s="11" t="n">
        <f aca="false">IF(AND(AA$1&gt;=Units!$Q46,MOD(AA$1-Units!$Q46,12)=0),IF(AND(Units!$L46=1,AA$1=Units!$Q46),1,Inputs!$B$15)*Inputs!$B$16*(1+Inputs!$B$11)^(AA$2-1),0)</f>
        <v>0</v>
      </c>
      <c r="AB47" s="11" t="n">
        <f aca="false">IF(AND(AB$1&gt;=Units!$Q46,MOD(AB$1-Units!$Q46,12)=0),IF(AND(Units!$L46=1,AB$1=Units!$Q46),1,Inputs!$B$15)*Inputs!$B$16*(1+Inputs!$B$11)^(AB$2-1),0)</f>
        <v>0</v>
      </c>
      <c r="AC47" s="11" t="n">
        <f aca="false">IF(AND(AC$1&gt;=Units!$Q46,MOD(AC$1-Units!$Q46,12)=0),IF(AND(Units!$L46=1,AC$1=Units!$Q46),1,Inputs!$B$15)*Inputs!$B$16*(1+Inputs!$B$11)^(AC$2-1),0)</f>
        <v>0</v>
      </c>
      <c r="AD47" s="11" t="n">
        <f aca="false">IF(AND(AD$1&gt;=Units!$Q46,MOD(AD$1-Units!$Q46,12)=0),IF(AND(Units!$L46=1,AD$1=Units!$Q46),1,Inputs!$B$15)*Inputs!$B$16*(1+Inputs!$B$11)^(AD$2-1),0)</f>
        <v>0</v>
      </c>
      <c r="AE47" s="11" t="n">
        <f aca="false">IF(AND(AE$1&gt;=Units!$Q46,MOD(AE$1-Units!$Q46,12)=0),IF(AND(Units!$L46=1,AE$1=Units!$Q46),1,Inputs!$B$15)*Inputs!$B$16*(1+Inputs!$B$11)^(AE$2-1),0)</f>
        <v>0</v>
      </c>
      <c r="AF47" s="11" t="n">
        <f aca="false">IF(AND(AF$1&gt;=Units!$Q46,MOD(AF$1-Units!$Q46,12)=0),IF(AND(Units!$L46=1,AF$1=Units!$Q46),1,Inputs!$B$15)*Inputs!$B$16*(1+Inputs!$B$11)^(AF$2-1),0)</f>
        <v>0</v>
      </c>
      <c r="AG47" s="11" t="n">
        <f aca="false">IF(AND(AG$1&gt;=Units!$Q46,MOD(AG$1-Units!$Q46,12)=0),IF(AND(Units!$L46=1,AG$1=Units!$Q46),1,Inputs!$B$15)*Inputs!$B$16*(1+Inputs!$B$11)^(AG$2-1),0)</f>
        <v>0</v>
      </c>
      <c r="AH47" s="11" t="n">
        <f aca="false">IF(AND(AH$1&gt;=Units!$Q46,MOD(AH$1-Units!$Q46,12)=0),IF(AND(Units!$L46=1,AH$1=Units!$Q46),1,Inputs!$B$15)*Inputs!$B$16*(1+Inputs!$B$11)^(AH$2-1),0)</f>
        <v>0</v>
      </c>
      <c r="AI47" s="11" t="n">
        <f aca="false">IF(AND(AI$1&gt;=Units!$Q46,MOD(AI$1-Units!$Q46,12)=0),IF(AND(Units!$L46=1,AI$1=Units!$Q46),1,Inputs!$B$15)*Inputs!$B$16*(1+Inputs!$B$11)^(AI$2-1),0)</f>
        <v>0</v>
      </c>
      <c r="AJ47" s="11" t="n">
        <f aca="false">IF(AND(AJ$1&gt;=Units!$Q46,MOD(AJ$1-Units!$Q46,12)=0),IF(AND(Units!$L46=1,AJ$1=Units!$Q46),1,Inputs!$B$15)*Inputs!$B$16*(1+Inputs!$B$11)^(AJ$2-1),0)</f>
        <v>0</v>
      </c>
      <c r="AK47" s="11" t="n">
        <f aca="false">IF(AND(AK$1&gt;=Units!$Q46,MOD(AK$1-Units!$Q46,12)=0),IF(AND(Units!$L46=1,AK$1=Units!$Q46),1,Inputs!$B$15)*Inputs!$B$16*(1+Inputs!$B$11)^(AK$2-1),0)</f>
        <v>530.45</v>
      </c>
      <c r="AL47" s="11" t="n">
        <f aca="false">IF(AND(AL$1&gt;=Units!$Q46,MOD(AL$1-Units!$Q46,12)=0),IF(AND(Units!$L46=1,AL$1=Units!$Q46),1,Inputs!$B$15)*Inputs!$B$16*(1+Inputs!$B$11)^(AL$2-1),0)</f>
        <v>0</v>
      </c>
      <c r="AM47" s="11" t="n">
        <f aca="false">IF(AND(AM$1&gt;=Units!$Q46,MOD(AM$1-Units!$Q46,12)=0),IF(AND(Units!$L46=1,AM$1=Units!$Q46),1,Inputs!$B$15)*Inputs!$B$16*(1+Inputs!$B$11)^(AM$2-1),0)</f>
        <v>0</v>
      </c>
      <c r="AN47" s="11" t="n">
        <f aca="false">IF(AND(AN$1&gt;=Units!$Q46,MOD(AN$1-Units!$Q46,12)=0),IF(AND(Units!$L46=1,AN$1=Units!$Q46),1,Inputs!$B$15)*Inputs!$B$16*(1+Inputs!$B$11)^(AN$2-1),0)</f>
        <v>0</v>
      </c>
      <c r="AO47" s="11" t="n">
        <f aca="false">IF(AND(AO$1&gt;=Units!$Q46,MOD(AO$1-Units!$Q46,12)=0),IF(AND(Units!$L46=1,AO$1=Units!$Q46),1,Inputs!$B$15)*Inputs!$B$16*(1+Inputs!$B$11)^(AO$2-1),0)</f>
        <v>0</v>
      </c>
      <c r="AP47" s="11" t="n">
        <f aca="false">IF(AND(AP$1&gt;=Units!$Q46,MOD(AP$1-Units!$Q46,12)=0),IF(AND(Units!$L46=1,AP$1=Units!$Q46),1,Inputs!$B$15)*Inputs!$B$16*(1+Inputs!$B$11)^(AP$2-1),0)</f>
        <v>0</v>
      </c>
      <c r="AQ47" s="11" t="n">
        <f aca="false">IF(AND(AQ$1&gt;=Units!$Q46,MOD(AQ$1-Units!$Q46,12)=0),IF(AND(Units!$L46=1,AQ$1=Units!$Q46),1,Inputs!$B$15)*Inputs!$B$16*(1+Inputs!$B$11)^(AQ$2-1),0)</f>
        <v>0</v>
      </c>
      <c r="AR47" s="11" t="n">
        <f aca="false">IF(AND(AR$1&gt;=Units!$Q46,MOD(AR$1-Units!$Q46,12)=0),IF(AND(Units!$L46=1,AR$1=Units!$Q46),1,Inputs!$B$15)*Inputs!$B$16*(1+Inputs!$B$11)^(AR$2-1),0)</f>
        <v>0</v>
      </c>
      <c r="AS47" s="11" t="n">
        <f aca="false">IF(AND(AS$1&gt;=Units!$Q46,MOD(AS$1-Units!$Q46,12)=0),IF(AND(Units!$L46=1,AS$1=Units!$Q46),1,Inputs!$B$15)*Inputs!$B$16*(1+Inputs!$B$11)^(AS$2-1),0)</f>
        <v>0</v>
      </c>
      <c r="AT47" s="11" t="n">
        <f aca="false">IF(AND(AT$1&gt;=Units!$Q46,MOD(AT$1-Units!$Q46,12)=0),IF(AND(Units!$L46=1,AT$1=Units!$Q46),1,Inputs!$B$15)*Inputs!$B$16*(1+Inputs!$B$11)^(AT$2-1),0)</f>
        <v>0</v>
      </c>
      <c r="AU47" s="11" t="n">
        <f aca="false">IF(AND(AU$1&gt;=Units!$Q46,MOD(AU$1-Units!$Q46,12)=0),IF(AND(Units!$L46=1,AU$1=Units!$Q46),1,Inputs!$B$15)*Inputs!$B$16*(1+Inputs!$B$11)^(AU$2-1),0)</f>
        <v>0</v>
      </c>
      <c r="AV47" s="11" t="n">
        <f aca="false">IF(AND(AV$1&gt;=Units!$Q46,MOD(AV$1-Units!$Q46,12)=0),IF(AND(Units!$L46=1,AV$1=Units!$Q46),1,Inputs!$B$15)*Inputs!$B$16*(1+Inputs!$B$11)^(AV$2-1),0)</f>
        <v>0</v>
      </c>
      <c r="AW47" s="11" t="n">
        <f aca="false">IF(AND(AW$1&gt;=Units!$Q46,MOD(AW$1-Units!$Q46,12)=0),IF(AND(Units!$L46=1,AW$1=Units!$Q46),1,Inputs!$B$15)*Inputs!$B$16*(1+Inputs!$B$11)^(AW$2-1),0)</f>
        <v>546.3635</v>
      </c>
      <c r="AX47" s="11" t="n">
        <f aca="false">IF(AND(AX$1&gt;=Units!$Q46,MOD(AX$1-Units!$Q46,12)=0),IF(AND(Units!$L46=1,AX$1=Units!$Q46),1,Inputs!$B$15)*Inputs!$B$16*(1+Inputs!$B$11)^(AX$2-1),0)</f>
        <v>0</v>
      </c>
      <c r="AY47" s="11" t="n">
        <f aca="false">IF(AND(AY$1&gt;=Units!$Q46,MOD(AY$1-Units!$Q46,12)=0),IF(AND(Units!$L46=1,AY$1=Units!$Q46),1,Inputs!$B$15)*Inputs!$B$16*(1+Inputs!$B$11)^(AY$2-1),0)</f>
        <v>0</v>
      </c>
      <c r="AZ47" s="11" t="n">
        <f aca="false">IF(AND(AZ$1&gt;=Units!$Q46,MOD(AZ$1-Units!$Q46,12)=0),IF(AND(Units!$L46=1,AZ$1=Units!$Q46),1,Inputs!$B$15)*Inputs!$B$16*(1+Inputs!$B$11)^(AZ$2-1),0)</f>
        <v>0</v>
      </c>
      <c r="BA47" s="11" t="n">
        <f aca="false">IF(AND(BA$1&gt;=Units!$Q46,MOD(BA$1-Units!$Q46,12)=0),IF(AND(Units!$L46=1,BA$1=Units!$Q46),1,Inputs!$B$15)*Inputs!$B$16*(1+Inputs!$B$11)^(BA$2-1),0)</f>
        <v>0</v>
      </c>
      <c r="BB47" s="11" t="n">
        <f aca="false">IF(AND(BB$1&gt;=Units!$Q46,MOD(BB$1-Units!$Q46,12)=0),IF(AND(Units!$L46=1,BB$1=Units!$Q46),1,Inputs!$B$15)*Inputs!$B$16*(1+Inputs!$B$11)^(BB$2-1),0)</f>
        <v>0</v>
      </c>
      <c r="BC47" s="11" t="n">
        <f aca="false">IF(AND(BC$1&gt;=Units!$Q46,MOD(BC$1-Units!$Q46,12)=0),IF(AND(Units!$L46=1,BC$1=Units!$Q46),1,Inputs!$B$15)*Inputs!$B$16*(1+Inputs!$B$11)^(BC$2-1),0)</f>
        <v>0</v>
      </c>
      <c r="BD47" s="11" t="n">
        <f aca="false">IF(AND(BD$1&gt;=Units!$Q46,MOD(BD$1-Units!$Q46,12)=0),IF(AND(Units!$L46=1,BD$1=Units!$Q46),1,Inputs!$B$15)*Inputs!$B$16*(1+Inputs!$B$11)^(BD$2-1),0)</f>
        <v>0</v>
      </c>
      <c r="BE47" s="11" t="n">
        <f aca="false">IF(AND(BE$1&gt;=Units!$Q46,MOD(BE$1-Units!$Q46,12)=0),IF(AND(Units!$L46=1,BE$1=Units!$Q46),1,Inputs!$B$15)*Inputs!$B$16*(1+Inputs!$B$11)^(BE$2-1),0)</f>
        <v>0</v>
      </c>
      <c r="BF47" s="11" t="n">
        <f aca="false">IF(AND(BF$1&gt;=Units!$Q46,MOD(BF$1-Units!$Q46,12)=0),IF(AND(Units!$L46=1,BF$1=Units!$Q46),1,Inputs!$B$15)*Inputs!$B$16*(1+Inputs!$B$11)^(BF$2-1),0)</f>
        <v>0</v>
      </c>
      <c r="BG47" s="11" t="n">
        <f aca="false">IF(AND(BG$1&gt;=Units!$Q46,MOD(BG$1-Units!$Q46,12)=0),IF(AND(Units!$L46=1,BG$1=Units!$Q46),1,Inputs!$B$15)*Inputs!$B$16*(1+Inputs!$B$11)^(BG$2-1),0)</f>
        <v>0</v>
      </c>
      <c r="BH47" s="11" t="n">
        <f aca="false">IF(AND(BH$1&gt;=Units!$Q46,MOD(BH$1-Units!$Q46,12)=0),IF(AND(Units!$L46=1,BH$1=Units!$Q46),1,Inputs!$B$15)*Inputs!$B$16*(1+Inputs!$B$11)^(BH$2-1),0)</f>
        <v>0</v>
      </c>
      <c r="BI47" s="11" t="n">
        <f aca="false">IF(AND(BI$1&gt;=Units!$Q46,MOD(BI$1-Units!$Q46,12)=0),IF(AND(Units!$L46=1,BI$1=Units!$Q46),1,Inputs!$B$15)*Inputs!$B$16*(1+Inputs!$B$11)^(BI$2-1),0)</f>
        <v>562.754405</v>
      </c>
      <c r="BJ47" s="11" t="n">
        <f aca="false">IF(AND(BJ$1&gt;=Units!$Q46,MOD(BJ$1-Units!$Q46,12)=0),IF(AND(Units!$L46=1,BJ$1=Units!$Q46),1,Inputs!$B$15)*Inputs!$B$16*(1+Inputs!$B$11)^(BJ$2-1),0)</f>
        <v>0</v>
      </c>
      <c r="BK47" s="11" t="n">
        <f aca="false">IF(AND(BK$1&gt;=Units!$Q46,MOD(BK$1-Units!$Q46,12)=0),IF(AND(Units!$L46=1,BK$1=Units!$Q46),1,Inputs!$B$15)*Inputs!$B$16*(1+Inputs!$B$11)^(BK$2-1),0)</f>
        <v>0</v>
      </c>
      <c r="BL47" s="11" t="n">
        <f aca="false">IF(AND(BL$1&gt;=Units!$Q46,MOD(BL$1-Units!$Q46,12)=0),IF(AND(Units!$L46=1,BL$1=Units!$Q46),1,Inputs!$B$15)*Inputs!$B$16*(1+Inputs!$B$11)^(BL$2-1),0)</f>
        <v>0</v>
      </c>
      <c r="BM47" s="11" t="n">
        <f aca="false">IF(AND(BM$1&gt;=Units!$Q46,MOD(BM$1-Units!$Q46,12)=0),IF(AND(Units!$L46=1,BM$1=Units!$Q46),1,Inputs!$B$15)*Inputs!$B$16*(1+Inputs!$B$11)^(BM$2-1),0)</f>
        <v>0</v>
      </c>
      <c r="BN47" s="11" t="n">
        <f aca="false">IF(AND(BN$1&gt;=Units!$Q46,MOD(BN$1-Units!$Q46,12)=0),IF(AND(Units!$L46=1,BN$1=Units!$Q46),1,Inputs!$B$15)*Inputs!$B$16*(1+Inputs!$B$11)^(BN$2-1),0)</f>
        <v>0</v>
      </c>
      <c r="BO47" s="11" t="n">
        <f aca="false">IF(AND(BO$1&gt;=Units!$Q46,MOD(BO$1-Units!$Q46,12)=0),IF(AND(Units!$L46=1,BO$1=Units!$Q46),1,Inputs!$B$15)*Inputs!$B$16*(1+Inputs!$B$11)^(BO$2-1),0)</f>
        <v>0</v>
      </c>
      <c r="BP47" s="11" t="n">
        <f aca="false">IF(AND(BP$1&gt;=Units!$Q46,MOD(BP$1-Units!$Q46,12)=0),IF(AND(Units!$L46=1,BP$1=Units!$Q46),1,Inputs!$B$15)*Inputs!$B$16*(1+Inputs!$B$11)^(BP$2-1),0)</f>
        <v>0</v>
      </c>
      <c r="BQ47" s="11" t="n">
        <f aca="false">IF(AND(BQ$1&gt;=Units!$Q46,MOD(BQ$1-Units!$Q46,12)=0),IF(AND(Units!$L46=1,BQ$1=Units!$Q46),1,Inputs!$B$15)*Inputs!$B$16*(1+Inputs!$B$11)^(BQ$2-1),0)</f>
        <v>0</v>
      </c>
      <c r="BR47" s="11" t="n">
        <f aca="false">IF(AND(BR$1&gt;=Units!$Q46,MOD(BR$1-Units!$Q46,12)=0),IF(AND(Units!$L46=1,BR$1=Units!$Q46),1,Inputs!$B$15)*Inputs!$B$16*(1+Inputs!$B$11)^(BR$2-1),0)</f>
        <v>0</v>
      </c>
      <c r="BS47" s="11" t="n">
        <f aca="false">IF(AND(BS$1&gt;=Units!$Q46,MOD(BS$1-Units!$Q46,12)=0),IF(AND(Units!$L46=1,BS$1=Units!$Q46),1,Inputs!$B$15)*Inputs!$B$16*(1+Inputs!$B$11)^(BS$2-1),0)</f>
        <v>0</v>
      </c>
      <c r="BT47" s="11" t="n">
        <f aca="false">IF(AND(BT$1&gt;=Units!$Q46,MOD(BT$1-Units!$Q46,12)=0),IF(AND(Units!$L46=1,BT$1=Units!$Q46),1,Inputs!$B$15)*Inputs!$B$16*(1+Inputs!$B$11)^(BT$2-1),0)</f>
        <v>0</v>
      </c>
      <c r="BU47" s="11" t="n">
        <f aca="false">IF(AND(BU$1&gt;=Units!$Q46,MOD(BU$1-Units!$Q46,12)=0),IF(AND(Units!$L46=1,BU$1=Units!$Q46),1,Inputs!$B$15)*Inputs!$B$16*(1+Inputs!$B$11)^(BU$2-1),0)</f>
        <v>579.63703715</v>
      </c>
      <c r="BV47" s="11" t="n">
        <f aca="false">IF(AND(BV$1&gt;=Units!$Q46,MOD(BV$1-Units!$Q46,12)=0),IF(AND(Units!$L46=1,BV$1=Units!$Q46),1,Inputs!$B$15)*Inputs!$B$16*(1+Inputs!$B$11)^(BV$2-1),0)</f>
        <v>0</v>
      </c>
      <c r="BW47" s="11" t="n">
        <f aca="false">IF(AND(BW$1&gt;=Units!$Q46,MOD(BW$1-Units!$Q46,12)=0),IF(AND(Units!$L46=1,BW$1=Units!$Q46),1,Inputs!$B$15)*Inputs!$B$16*(1+Inputs!$B$11)^(BW$2-1),0)</f>
        <v>0</v>
      </c>
      <c r="BX47" s="11" t="n">
        <f aca="false">IF(AND(BX$1&gt;=Units!$Q46,MOD(BX$1-Units!$Q46,12)=0),IF(AND(Units!$L46=1,BX$1=Units!$Q46),1,Inputs!$B$15)*Inputs!$B$16*(1+Inputs!$B$11)^(BX$2-1),0)</f>
        <v>0</v>
      </c>
      <c r="BY47" s="11" t="n">
        <f aca="false">IF(AND(BY$1&gt;=Units!$Q46,MOD(BY$1-Units!$Q46,12)=0),IF(AND(Units!$L46=1,BY$1=Units!$Q46),1,Inputs!$B$15)*Inputs!$B$16*(1+Inputs!$B$11)^(BY$2-1),0)</f>
        <v>0</v>
      </c>
      <c r="BZ47" s="11" t="n">
        <f aca="false">IF(AND(BZ$1&gt;=Units!$Q46,MOD(BZ$1-Units!$Q46,12)=0),IF(AND(Units!$L46=1,BZ$1=Units!$Q46),1,Inputs!$B$15)*Inputs!$B$16*(1+Inputs!$B$11)^(BZ$2-1),0)</f>
        <v>0</v>
      </c>
      <c r="CA47" s="11" t="n">
        <f aca="false">IF(AND(CA$1&gt;=Units!$Q46,MOD(CA$1-Units!$Q46,12)=0),IF(AND(Units!$L46=1,CA$1=Units!$Q46),1,Inputs!$B$15)*Inputs!$B$16*(1+Inputs!$B$11)^(CA$2-1),0)</f>
        <v>0</v>
      </c>
      <c r="CB47" s="11" t="n">
        <f aca="false">IF(AND(CB$1&gt;=Units!$Q46,MOD(CB$1-Units!$Q46,12)=0),IF(AND(Units!$L46=1,CB$1=Units!$Q46),1,Inputs!$B$15)*Inputs!$B$16*(1+Inputs!$B$11)^(CB$2-1),0)</f>
        <v>0</v>
      </c>
      <c r="CC47" s="11" t="n">
        <f aca="false">IF(AND(CC$1&gt;=Units!$Q46,MOD(CC$1-Units!$Q46,12)=0),IF(AND(Units!$L46=1,CC$1=Units!$Q46),1,Inputs!$B$15)*Inputs!$B$16*(1+Inputs!$B$11)^(CC$2-1),0)</f>
        <v>0</v>
      </c>
      <c r="CD47" s="11" t="n">
        <f aca="false">IF(AND(CD$1&gt;=Units!$Q46,MOD(CD$1-Units!$Q46,12)=0),IF(AND(Units!$L46=1,CD$1=Units!$Q46),1,Inputs!$B$15)*Inputs!$B$16*(1+Inputs!$B$11)^(CD$2-1),0)</f>
        <v>0</v>
      </c>
      <c r="CE47" s="11" t="n">
        <f aca="false">IF(AND(CE$1&gt;=Units!$Q46,MOD(CE$1-Units!$Q46,12)=0),IF(AND(Units!$L46=1,CE$1=Units!$Q46),1,Inputs!$B$15)*Inputs!$B$16*(1+Inputs!$B$11)^(CE$2-1),0)</f>
        <v>0</v>
      </c>
      <c r="CF47" s="11" t="n">
        <f aca="false">IF(AND(CF$1&gt;=Units!$Q46,MOD(CF$1-Units!$Q46,12)=0),IF(AND(Units!$L46=1,CF$1=Units!$Q46),1,Inputs!$B$15)*Inputs!$B$16*(1+Inputs!$B$11)^(CF$2-1),0)</f>
        <v>0</v>
      </c>
      <c r="CG47" s="11" t="n">
        <f aca="false">IF(AND(CG$1&gt;=Units!$Q46,MOD(CG$1-Units!$Q46,12)=0),IF(AND(Units!$L46=1,CG$1=Units!$Q46),1,Inputs!$B$15)*Inputs!$B$16*(1+Inputs!$B$11)^(CG$2-1),0)</f>
        <v>597.0261482645</v>
      </c>
      <c r="CH47" s="11" t="n">
        <f aca="false">IF(AND(CH$1&gt;=Units!$Q46,MOD(CH$1-Units!$Q46,12)=0),IF(AND(Units!$L46=1,CH$1=Units!$Q46),1,Inputs!$B$15)*Inputs!$B$16*(1+Inputs!$B$11)^(CH$2-1),0)</f>
        <v>0</v>
      </c>
      <c r="CI47" s="11" t="n">
        <f aca="false">IF(AND(CI$1&gt;=Units!$Q46,MOD(CI$1-Units!$Q46,12)=0),IF(AND(Units!$L46=1,CI$1=Units!$Q46),1,Inputs!$B$15)*Inputs!$B$16*(1+Inputs!$B$11)^(CI$2-1),0)</f>
        <v>0</v>
      </c>
      <c r="CJ47" s="11" t="n">
        <f aca="false">IF(AND(CJ$1&gt;=Units!$Q46,MOD(CJ$1-Units!$Q46,12)=0),IF(AND(Units!$L46=1,CJ$1=Units!$Q46),1,Inputs!$B$15)*Inputs!$B$16*(1+Inputs!$B$11)^(CJ$2-1),0)</f>
        <v>0</v>
      </c>
      <c r="CK47" s="11" t="n">
        <f aca="false">IF(AND(CK$1&gt;=Units!$Q46,MOD(CK$1-Units!$Q46,12)=0),IF(AND(Units!$L46=1,CK$1=Units!$Q46),1,Inputs!$B$15)*Inputs!$B$16*(1+Inputs!$B$11)^(CK$2-1),0)</f>
        <v>0</v>
      </c>
      <c r="CL47" s="11" t="n">
        <f aca="false">IF(AND(CL$1&gt;=Units!$Q46,MOD(CL$1-Units!$Q46,12)=0),IF(AND(Units!$L46=1,CL$1=Units!$Q46),1,Inputs!$B$15)*Inputs!$B$16*(1+Inputs!$B$11)^(CL$2-1),0)</f>
        <v>0</v>
      </c>
      <c r="CM47" s="11" t="n">
        <f aca="false">IF(AND(CM$1&gt;=Units!$Q46,MOD(CM$1-Units!$Q46,12)=0),IF(AND(Units!$L46=1,CM$1=Units!$Q46),1,Inputs!$B$15)*Inputs!$B$16*(1+Inputs!$B$11)^(CM$2-1),0)</f>
        <v>0</v>
      </c>
      <c r="CN47" s="11" t="n">
        <f aca="false">IF(AND(CN$1&gt;=Units!$Q46,MOD(CN$1-Units!$Q46,12)=0),IF(AND(Units!$L46=1,CN$1=Units!$Q46),1,Inputs!$B$15)*Inputs!$B$16*(1+Inputs!$B$11)^(CN$2-1),0)</f>
        <v>0</v>
      </c>
      <c r="CO47" s="11" t="n">
        <f aca="false">IF(AND(CO$1&gt;=Units!$Q46,MOD(CO$1-Units!$Q46,12)=0),IF(AND(Units!$L46=1,CO$1=Units!$Q46),1,Inputs!$B$15)*Inputs!$B$16*(1+Inputs!$B$11)^(CO$2-1),0)</f>
        <v>0</v>
      </c>
      <c r="CP47" s="11" t="n">
        <f aca="false">IF(AND(CP$1&gt;=Units!$Q46,MOD(CP$1-Units!$Q46,12)=0),IF(AND(Units!$L46=1,CP$1=Units!$Q46),1,Inputs!$B$15)*Inputs!$B$16*(1+Inputs!$B$11)^(CP$2-1),0)</f>
        <v>0</v>
      </c>
      <c r="CQ47" s="11" t="n">
        <f aca="false">IF(AND(CQ$1&gt;=Units!$Q46,MOD(CQ$1-Units!$Q46,12)=0),IF(AND(Units!$L46=1,CQ$1=Units!$Q46),1,Inputs!$B$15)*Inputs!$B$16*(1+Inputs!$B$11)^(CQ$2-1),0)</f>
        <v>0</v>
      </c>
      <c r="CR47" s="11" t="n">
        <f aca="false">IF(AND(CR$1&gt;=Units!$Q46,MOD(CR$1-Units!$Q46,12)=0),IF(AND(Units!$L46=1,CR$1=Units!$Q46),1,Inputs!$B$15)*Inputs!$B$16*(1+Inputs!$B$11)^(CR$2-1),0)</f>
        <v>0</v>
      </c>
      <c r="CS47" s="11" t="n">
        <f aca="false">IF(AND(CS$1&gt;=Units!$Q46,MOD(CS$1-Units!$Q46,12)=0),IF(AND(Units!$L46=1,CS$1=Units!$Q46),1,Inputs!$B$15)*Inputs!$B$16*(1+Inputs!$B$11)^(CS$2-1),0)</f>
        <v>614.936932712435</v>
      </c>
      <c r="CT47" s="11" t="n">
        <f aca="false">IF(AND(CT$1&gt;=Units!$Q46,MOD(CT$1-Units!$Q46,12)=0),IF(AND(Units!$L46=1,CT$1=Units!$Q46),1,Inputs!$B$15)*Inputs!$B$16*(1+Inputs!$B$11)^(CT$2-1),0)</f>
        <v>0</v>
      </c>
      <c r="CU47" s="11" t="n">
        <f aca="false">IF(AND(CU$1&gt;=Units!$Q46,MOD(CU$1-Units!$Q46,12)=0),IF(AND(Units!$L46=1,CU$1=Units!$Q46),1,Inputs!$B$15)*Inputs!$B$16*(1+Inputs!$B$11)^(CU$2-1),0)</f>
        <v>0</v>
      </c>
      <c r="CV47" s="11" t="n">
        <f aca="false">IF(AND(CV$1&gt;=Units!$Q46,MOD(CV$1-Units!$Q46,12)=0),IF(AND(Units!$L46=1,CV$1=Units!$Q46),1,Inputs!$B$15)*Inputs!$B$16*(1+Inputs!$B$11)^(CV$2-1),0)</f>
        <v>0</v>
      </c>
      <c r="CW47" s="11" t="n">
        <f aca="false">IF(AND(CW$1&gt;=Units!$Q46,MOD(CW$1-Units!$Q46,12)=0),IF(AND(Units!$L46=1,CW$1=Units!$Q46),1,Inputs!$B$15)*Inputs!$B$16*(1+Inputs!$B$11)^(CW$2-1),0)</f>
        <v>0</v>
      </c>
      <c r="CX47" s="11" t="n">
        <f aca="false">IF(AND(CX$1&gt;=Units!$Q46,MOD(CX$1-Units!$Q46,12)=0),IF(AND(Units!$L46=1,CX$1=Units!$Q46),1,Inputs!$B$15)*Inputs!$B$16*(1+Inputs!$B$11)^(CX$2-1),0)</f>
        <v>0</v>
      </c>
      <c r="CY47" s="11" t="n">
        <f aca="false">IF(AND(CY$1&gt;=Units!$Q46,MOD(CY$1-Units!$Q46,12)=0),IF(AND(Units!$L46=1,CY$1=Units!$Q46),1,Inputs!$B$15)*Inputs!$B$16*(1+Inputs!$B$11)^(CY$2-1),0)</f>
        <v>0</v>
      </c>
      <c r="CZ47" s="11" t="n">
        <f aca="false">IF(AND(CZ$1&gt;=Units!$Q46,MOD(CZ$1-Units!$Q46,12)=0),IF(AND(Units!$L46=1,CZ$1=Units!$Q46),1,Inputs!$B$15)*Inputs!$B$16*(1+Inputs!$B$11)^(CZ$2-1),0)</f>
        <v>0</v>
      </c>
      <c r="DA47" s="11" t="n">
        <f aca="false">IF(AND(DA$1&gt;=Units!$Q46,MOD(DA$1-Units!$Q46,12)=0),IF(AND(Units!$L46=1,DA$1=Units!$Q46),1,Inputs!$B$15)*Inputs!$B$16*(1+Inputs!$B$11)^(DA$2-1),0)</f>
        <v>0</v>
      </c>
      <c r="DB47" s="11" t="n">
        <f aca="false">IF(AND(DB$1&gt;=Units!$Q46,MOD(DB$1-Units!$Q46,12)=0),IF(AND(Units!$L46=1,DB$1=Units!$Q46),1,Inputs!$B$15)*Inputs!$B$16*(1+Inputs!$B$11)^(DB$2-1),0)</f>
        <v>0</v>
      </c>
      <c r="DC47" s="11" t="n">
        <f aca="false">IF(AND(DC$1&gt;=Units!$Q46,MOD(DC$1-Units!$Q46,12)=0),IF(AND(Units!$L46=1,DC$1=Units!$Q46),1,Inputs!$B$15)*Inputs!$B$16*(1+Inputs!$B$11)^(DC$2-1),0)</f>
        <v>0</v>
      </c>
      <c r="DD47" s="11" t="n">
        <f aca="false">IF(AND(DD$1&gt;=Units!$Q46,MOD(DD$1-Units!$Q46,12)=0),IF(AND(Units!$L46=1,DD$1=Units!$Q46),1,Inputs!$B$15)*Inputs!$B$16*(1+Inputs!$B$11)^(DD$2-1),0)</f>
        <v>0</v>
      </c>
      <c r="DE47" s="11" t="n">
        <f aca="false">IF(AND(DE$1&gt;=Units!$Q46,MOD(DE$1-Units!$Q46,12)=0),IF(AND(Units!$L46=1,DE$1=Units!$Q46),1,Inputs!$B$15)*Inputs!$B$16*(1+Inputs!$B$11)^(DE$2-1),0)</f>
        <v>633.385040693808</v>
      </c>
      <c r="DF47" s="11" t="n">
        <f aca="false">IF(AND(DF$1&gt;=Units!$Q46,MOD(DF$1-Units!$Q46,12)=0),IF(AND(Units!$L46=1,DF$1=Units!$Q46),1,Inputs!$B$15)*Inputs!$B$16*(1+Inputs!$B$11)^(DF$2-1),0)</f>
        <v>0</v>
      </c>
      <c r="DG47" s="11" t="n">
        <f aca="false">IF(AND(DG$1&gt;=Units!$Q46,MOD(DG$1-Units!$Q46,12)=0),IF(AND(Units!$L46=1,DG$1=Units!$Q46),1,Inputs!$B$15)*Inputs!$B$16*(1+Inputs!$B$11)^(DG$2-1),0)</f>
        <v>0</v>
      </c>
      <c r="DH47" s="11" t="n">
        <f aca="false">IF(AND(DH$1&gt;=Units!$Q46,MOD(DH$1-Units!$Q46,12)=0),IF(AND(Units!$L46=1,DH$1=Units!$Q46),1,Inputs!$B$15)*Inputs!$B$16*(1+Inputs!$B$11)^(DH$2-1),0)</f>
        <v>0</v>
      </c>
      <c r="DI47" s="11" t="n">
        <f aca="false">IF(AND(DI$1&gt;=Units!$Q46,MOD(DI$1-Units!$Q46,12)=0),IF(AND(Units!$L46=1,DI$1=Units!$Q46),1,Inputs!$B$15)*Inputs!$B$16*(1+Inputs!$B$11)^(DI$2-1),0)</f>
        <v>0</v>
      </c>
      <c r="DJ47" s="11" t="n">
        <f aca="false">IF(AND(DJ$1&gt;=Units!$Q46,MOD(DJ$1-Units!$Q46,12)=0),IF(AND(Units!$L46=1,DJ$1=Units!$Q46),1,Inputs!$B$15)*Inputs!$B$16*(1+Inputs!$B$11)^(DJ$2-1),0)</f>
        <v>0</v>
      </c>
      <c r="DK47" s="11" t="n">
        <f aca="false">IF(AND(DK$1&gt;=Units!$Q46,MOD(DK$1-Units!$Q46,12)=0),IF(AND(Units!$L46=1,DK$1=Units!$Q46),1,Inputs!$B$15)*Inputs!$B$16*(1+Inputs!$B$11)^(DK$2-1),0)</f>
        <v>0</v>
      </c>
      <c r="DL47" s="11" t="n">
        <f aca="false">IF(AND(DL$1&gt;=Units!$Q46,MOD(DL$1-Units!$Q46,12)=0),IF(AND(Units!$L46=1,DL$1=Units!$Q46),1,Inputs!$B$15)*Inputs!$B$16*(1+Inputs!$B$11)^(DL$2-1),0)</f>
        <v>0</v>
      </c>
      <c r="DM47" s="11" t="n">
        <f aca="false">IF(AND(DM$1&gt;=Units!$Q46,MOD(DM$1-Units!$Q46,12)=0),IF(AND(Units!$L46=1,DM$1=Units!$Q46),1,Inputs!$B$15)*Inputs!$B$16*(1+Inputs!$B$11)^(DM$2-1),0)</f>
        <v>0</v>
      </c>
      <c r="DN47" s="11" t="n">
        <f aca="false">IF(AND(DN$1&gt;=Units!$Q46,MOD(DN$1-Units!$Q46,12)=0),IF(AND(Units!$L46=1,DN$1=Units!$Q46),1,Inputs!$B$15)*Inputs!$B$16*(1+Inputs!$B$11)^(DN$2-1),0)</f>
        <v>0</v>
      </c>
      <c r="DO47" s="11" t="n">
        <f aca="false">IF(AND(DO$1&gt;=Units!$Q46,MOD(DO$1-Units!$Q46,12)=0),IF(AND(Units!$L46=1,DO$1=Units!$Q46),1,Inputs!$B$15)*Inputs!$B$16*(1+Inputs!$B$11)^(DO$2-1),0)</f>
        <v>0</v>
      </c>
      <c r="DP47" s="11" t="n">
        <f aca="false">IF(AND(DP$1&gt;=Units!$Q46,MOD(DP$1-Units!$Q46,12)=0),IF(AND(Units!$L46=1,DP$1=Units!$Q46),1,Inputs!$B$15)*Inputs!$B$16*(1+Inputs!$B$11)^(DP$2-1),0)</f>
        <v>0</v>
      </c>
      <c r="DQ47" s="11" t="n">
        <f aca="false">IF(AND(DQ$1&gt;=Units!$Q46,MOD(DQ$1-Units!$Q46,12)=0),IF(AND(Units!$L46=1,DQ$1=Units!$Q46),1,Inputs!$B$15)*Inputs!$B$16*(1+Inputs!$B$11)^(DQ$2-1),0)</f>
        <v>652.386591914623</v>
      </c>
      <c r="DR47" s="11" t="n">
        <f aca="false">IF(AND(DR$1&gt;=Units!$Q46,MOD(DR$1-Units!$Q46,12)=0),IF(AND(Units!$L46=1,DR$1=Units!$Q46),1,Inputs!$B$15)*Inputs!$B$16*(1+Inputs!$B$11)^(DR$2-1),0)</f>
        <v>0</v>
      </c>
      <c r="DS47" s="11" t="n">
        <f aca="false">IF(AND(DS$1&gt;=Units!$Q46,MOD(DS$1-Units!$Q46,12)=0),IF(AND(Units!$L46=1,DS$1=Units!$Q46),1,Inputs!$B$15)*Inputs!$B$16*(1+Inputs!$B$11)^(DS$2-1),0)</f>
        <v>0</v>
      </c>
      <c r="DT47" s="11" t="n">
        <f aca="false">IF(AND(DT$1&gt;=Units!$Q46,MOD(DT$1-Units!$Q46,12)=0),IF(AND(Units!$L46=1,DT$1=Units!$Q46),1,Inputs!$B$15)*Inputs!$B$16*(1+Inputs!$B$11)^(DT$2-1),0)</f>
        <v>0</v>
      </c>
      <c r="DU47" s="11" t="n">
        <f aca="false">IF(AND(DU$1&gt;=Units!$Q46,MOD(DU$1-Units!$Q46,12)=0),IF(AND(Units!$L46=1,DU$1=Units!$Q46),1,Inputs!$B$15)*Inputs!$B$16*(1+Inputs!$B$11)^(DU$2-1),0)</f>
        <v>0</v>
      </c>
      <c r="DV47" s="11" t="n">
        <f aca="false">IF(AND(DV$1&gt;=Units!$Q46,MOD(DV$1-Units!$Q46,12)=0),IF(AND(Units!$L46=1,DV$1=Units!$Q46),1,Inputs!$B$15)*Inputs!$B$16*(1+Inputs!$B$11)^(DV$2-1),0)</f>
        <v>0</v>
      </c>
      <c r="DW47" s="11" t="n">
        <f aca="false">IF(AND(DW$1&gt;=Units!$Q46,MOD(DW$1-Units!$Q46,12)=0),IF(AND(Units!$L46=1,DW$1=Units!$Q46),1,Inputs!$B$15)*Inputs!$B$16*(1+Inputs!$B$11)^(DW$2-1),0)</f>
        <v>0</v>
      </c>
      <c r="DX47" s="11" t="n">
        <f aca="false">IF(AND(DX$1&gt;=Units!$Q46,MOD(DX$1-Units!$Q46,12)=0),IF(AND(Units!$L46=1,DX$1=Units!$Q46),1,Inputs!$B$15)*Inputs!$B$16*(1+Inputs!$B$11)^(DX$2-1),0)</f>
        <v>0</v>
      </c>
      <c r="DY47" s="11" t="n">
        <f aca="false">IF(AND(DY$1&gt;=Units!$Q46,MOD(DY$1-Units!$Q46,12)=0),IF(AND(Units!$L46=1,DY$1=Units!$Q46),1,Inputs!$B$15)*Inputs!$B$16*(1+Inputs!$B$11)^(DY$2-1),0)</f>
        <v>0</v>
      </c>
      <c r="DZ47" s="11" t="n">
        <f aca="false">IF(AND(DZ$1&gt;=Units!$Q46,MOD(DZ$1-Units!$Q46,12)=0),IF(AND(Units!$L46=1,DZ$1=Units!$Q46),1,Inputs!$B$15)*Inputs!$B$16*(1+Inputs!$B$11)^(DZ$2-1),0)</f>
        <v>0</v>
      </c>
      <c r="EA47" s="11" t="n">
        <f aca="false">IF(AND(EA$1&gt;=Units!$Q46,MOD(EA$1-Units!$Q46,12)=0),IF(AND(Units!$L46=1,EA$1=Units!$Q46),1,Inputs!$B$15)*Inputs!$B$16*(1+Inputs!$B$11)^(EA$2-1),0)</f>
        <v>0</v>
      </c>
      <c r="EB47" s="11" t="n">
        <f aca="false">IF(AND(EB$1&gt;=Units!$Q46,MOD(EB$1-Units!$Q46,12)=0),IF(AND(Units!$L46=1,EB$1=Units!$Q46),1,Inputs!$B$15)*Inputs!$B$16*(1+Inputs!$B$11)^(EB$2-1),0)</f>
        <v>0</v>
      </c>
      <c r="EC47" s="11" t="n">
        <f aca="false">IF(AND(EC$1&gt;=Units!$Q46,MOD(EC$1-Units!$Q46,12)=0),IF(AND(Units!$L46=1,EC$1=Units!$Q46),1,Inputs!$B$15)*Inputs!$B$16*(1+Inputs!$B$11)^(EC$2-1),0)</f>
        <v>671.958189672061</v>
      </c>
      <c r="ED47" s="11" t="n">
        <f aca="false">IF(AND(ED$1&gt;=Units!$Q46,MOD(ED$1-Units!$Q46,12)=0),IF(AND(Units!$L46=1,ED$1=Units!$Q46),1,Inputs!$B$15)*Inputs!$B$16*(1+Inputs!$B$11)^(ED$2-1),0)</f>
        <v>0</v>
      </c>
    </row>
    <row r="48" customFormat="false" ht="15" hidden="false" customHeight="false" outlineLevel="0" collapsed="false">
      <c r="A48" s="22" t="n">
        <f aca="false">Units!A47</f>
        <v>216</v>
      </c>
      <c r="B48" s="23"/>
      <c r="C48" s="11" t="n">
        <f aca="false">IF(AND(C$1&gt;=Units!$Q47,MOD(C$1-Units!$Q47,12)=0),IF(AND(Units!$L47=1,C$1=Units!$Q47),1,Inputs!$B$15)*Inputs!$B$16*(1+Inputs!$B$11)^(C$2-1),0)</f>
        <v>0</v>
      </c>
      <c r="D48" s="11" t="n">
        <f aca="false">IF(AND(D$1&gt;=Units!$Q47,MOD(D$1-Units!$Q47,12)=0),IF(AND(Units!$L47=1,D$1=Units!$Q47),1,Inputs!$B$15)*Inputs!$B$16*(1+Inputs!$B$11)^(D$2-1),0)</f>
        <v>0</v>
      </c>
      <c r="E48" s="11" t="n">
        <f aca="false">IF(AND(E$1&gt;=Units!$Q47,MOD(E$1-Units!$Q47,12)=0),IF(AND(Units!$L47=1,E$1=Units!$Q47),1,Inputs!$B$15)*Inputs!$B$16*(1+Inputs!$B$11)^(E$2-1),0)</f>
        <v>0</v>
      </c>
      <c r="F48" s="11" t="n">
        <f aca="false">IF(AND(F$1&gt;=Units!$Q47,MOD(F$1-Units!$Q47,12)=0),IF(AND(Units!$L47=1,F$1=Units!$Q47),1,Inputs!$B$15)*Inputs!$B$16*(1+Inputs!$B$11)^(F$2-1),0)</f>
        <v>0</v>
      </c>
      <c r="G48" s="11" t="n">
        <f aca="false">IF(AND(G$1&gt;=Units!$Q47,MOD(G$1-Units!$Q47,12)=0),IF(AND(Units!$L47=1,G$1=Units!$Q47),1,Inputs!$B$15)*Inputs!$B$16*(1+Inputs!$B$11)^(G$2-1),0)</f>
        <v>0</v>
      </c>
      <c r="H48" s="11" t="n">
        <f aca="false">IF(AND(H$1&gt;=Units!$Q47,MOD(H$1-Units!$Q47,12)=0),IF(AND(Units!$L47=1,H$1=Units!$Q47),1,Inputs!$B$15)*Inputs!$B$16*(1+Inputs!$B$11)^(H$2-1),0)</f>
        <v>0</v>
      </c>
      <c r="I48" s="11" t="n">
        <f aca="false">IF(AND(I$1&gt;=Units!$Q47,MOD(I$1-Units!$Q47,12)=0),IF(AND(Units!$L47=1,I$1=Units!$Q47),1,Inputs!$B$15)*Inputs!$B$16*(1+Inputs!$B$11)^(I$2-1),0)</f>
        <v>0</v>
      </c>
      <c r="J48" s="11" t="n">
        <f aca="false">IF(AND(J$1&gt;=Units!$Q47,MOD(J$1-Units!$Q47,12)=0),IF(AND(Units!$L47=1,J$1=Units!$Q47),1,Inputs!$B$15)*Inputs!$B$16*(1+Inputs!$B$11)^(J$2-1),0)</f>
        <v>0</v>
      </c>
      <c r="K48" s="11" t="n">
        <f aca="false">IF(AND(K$1&gt;=Units!$Q47,MOD(K$1-Units!$Q47,12)=0),IF(AND(Units!$L47=1,K$1=Units!$Q47),1,Inputs!$B$15)*Inputs!$B$16*(1+Inputs!$B$11)^(K$2-1),0)</f>
        <v>0</v>
      </c>
      <c r="L48" s="11" t="n">
        <f aca="false">IF(AND(L$1&gt;=Units!$Q47,MOD(L$1-Units!$Q47,12)=0),IF(AND(Units!$L47=1,L$1=Units!$Q47),1,Inputs!$B$15)*Inputs!$B$16*(1+Inputs!$B$11)^(L$2-1),0)</f>
        <v>0</v>
      </c>
      <c r="M48" s="11" t="n">
        <f aca="false">IF(AND(M$1&gt;=Units!$Q47,MOD(M$1-Units!$Q47,12)=0),IF(AND(Units!$L47=1,M$1=Units!$Q47),1,Inputs!$B$15)*Inputs!$B$16*(1+Inputs!$B$11)^(M$2-1),0)</f>
        <v>0</v>
      </c>
      <c r="N48" s="11" t="n">
        <f aca="false">IF(AND(N$1&gt;=Units!$Q47,MOD(N$1-Units!$Q47,12)=0),IF(AND(Units!$L47=1,N$1=Units!$Q47),1,Inputs!$B$15)*Inputs!$B$16*(1+Inputs!$B$11)^(N$2-1),0)</f>
        <v>500</v>
      </c>
      <c r="O48" s="11" t="n">
        <f aca="false">IF(AND(O$1&gt;=Units!$Q47,MOD(O$1-Units!$Q47,12)=0),IF(AND(Units!$L47=1,O$1=Units!$Q47),1,Inputs!$B$15)*Inputs!$B$16*(1+Inputs!$B$11)^(O$2-1),0)</f>
        <v>0</v>
      </c>
      <c r="P48" s="11" t="n">
        <f aca="false">IF(AND(P$1&gt;=Units!$Q47,MOD(P$1-Units!$Q47,12)=0),IF(AND(Units!$L47=1,P$1=Units!$Q47),1,Inputs!$B$15)*Inputs!$B$16*(1+Inputs!$B$11)^(P$2-1),0)</f>
        <v>0</v>
      </c>
      <c r="Q48" s="11" t="n">
        <f aca="false">IF(AND(Q$1&gt;=Units!$Q47,MOD(Q$1-Units!$Q47,12)=0),IF(AND(Units!$L47=1,Q$1=Units!$Q47),1,Inputs!$B$15)*Inputs!$B$16*(1+Inputs!$B$11)^(Q$2-1),0)</f>
        <v>0</v>
      </c>
      <c r="R48" s="11" t="n">
        <f aca="false">IF(AND(R$1&gt;=Units!$Q47,MOD(R$1-Units!$Q47,12)=0),IF(AND(Units!$L47=1,R$1=Units!$Q47),1,Inputs!$B$15)*Inputs!$B$16*(1+Inputs!$B$11)^(R$2-1),0)</f>
        <v>0</v>
      </c>
      <c r="S48" s="11" t="n">
        <f aca="false">IF(AND(S$1&gt;=Units!$Q47,MOD(S$1-Units!$Q47,12)=0),IF(AND(Units!$L47=1,S$1=Units!$Q47),1,Inputs!$B$15)*Inputs!$B$16*(1+Inputs!$B$11)^(S$2-1),0)</f>
        <v>0</v>
      </c>
      <c r="T48" s="11" t="n">
        <f aca="false">IF(AND(T$1&gt;=Units!$Q47,MOD(T$1-Units!$Q47,12)=0),IF(AND(Units!$L47=1,T$1=Units!$Q47),1,Inputs!$B$15)*Inputs!$B$16*(1+Inputs!$B$11)^(T$2-1),0)</f>
        <v>0</v>
      </c>
      <c r="U48" s="11" t="n">
        <f aca="false">IF(AND(U$1&gt;=Units!$Q47,MOD(U$1-Units!$Q47,12)=0),IF(AND(Units!$L47=1,U$1=Units!$Q47),1,Inputs!$B$15)*Inputs!$B$16*(1+Inputs!$B$11)^(U$2-1),0)</f>
        <v>0</v>
      </c>
      <c r="V48" s="11" t="n">
        <f aca="false">IF(AND(V$1&gt;=Units!$Q47,MOD(V$1-Units!$Q47,12)=0),IF(AND(Units!$L47=1,V$1=Units!$Q47),1,Inputs!$B$15)*Inputs!$B$16*(1+Inputs!$B$11)^(V$2-1),0)</f>
        <v>0</v>
      </c>
      <c r="W48" s="11" t="n">
        <f aca="false">IF(AND(W$1&gt;=Units!$Q47,MOD(W$1-Units!$Q47,12)=0),IF(AND(Units!$L47=1,W$1=Units!$Q47),1,Inputs!$B$15)*Inputs!$B$16*(1+Inputs!$B$11)^(W$2-1),0)</f>
        <v>0</v>
      </c>
      <c r="X48" s="11" t="n">
        <f aca="false">IF(AND(X$1&gt;=Units!$Q47,MOD(X$1-Units!$Q47,12)=0),IF(AND(Units!$L47=1,X$1=Units!$Q47),1,Inputs!$B$15)*Inputs!$B$16*(1+Inputs!$B$11)^(X$2-1),0)</f>
        <v>0</v>
      </c>
      <c r="Y48" s="11" t="n">
        <f aca="false">IF(AND(Y$1&gt;=Units!$Q47,MOD(Y$1-Units!$Q47,12)=0),IF(AND(Units!$L47=1,Y$1=Units!$Q47),1,Inputs!$B$15)*Inputs!$B$16*(1+Inputs!$B$11)^(Y$2-1),0)</f>
        <v>0</v>
      </c>
      <c r="Z48" s="11" t="n">
        <f aca="false">IF(AND(Z$1&gt;=Units!$Q47,MOD(Z$1-Units!$Q47,12)=0),IF(AND(Units!$L47=1,Z$1=Units!$Q47),1,Inputs!$B$15)*Inputs!$B$16*(1+Inputs!$B$11)^(Z$2-1),0)</f>
        <v>515</v>
      </c>
      <c r="AA48" s="11" t="n">
        <f aca="false">IF(AND(AA$1&gt;=Units!$Q47,MOD(AA$1-Units!$Q47,12)=0),IF(AND(Units!$L47=1,AA$1=Units!$Q47),1,Inputs!$B$15)*Inputs!$B$16*(1+Inputs!$B$11)^(AA$2-1),0)</f>
        <v>0</v>
      </c>
      <c r="AB48" s="11" t="n">
        <f aca="false">IF(AND(AB$1&gt;=Units!$Q47,MOD(AB$1-Units!$Q47,12)=0),IF(AND(Units!$L47=1,AB$1=Units!$Q47),1,Inputs!$B$15)*Inputs!$B$16*(1+Inputs!$B$11)^(AB$2-1),0)</f>
        <v>0</v>
      </c>
      <c r="AC48" s="11" t="n">
        <f aca="false">IF(AND(AC$1&gt;=Units!$Q47,MOD(AC$1-Units!$Q47,12)=0),IF(AND(Units!$L47=1,AC$1=Units!$Q47),1,Inputs!$B$15)*Inputs!$B$16*(1+Inputs!$B$11)^(AC$2-1),0)</f>
        <v>0</v>
      </c>
      <c r="AD48" s="11" t="n">
        <f aca="false">IF(AND(AD$1&gt;=Units!$Q47,MOD(AD$1-Units!$Q47,12)=0),IF(AND(Units!$L47=1,AD$1=Units!$Q47),1,Inputs!$B$15)*Inputs!$B$16*(1+Inputs!$B$11)^(AD$2-1),0)</f>
        <v>0</v>
      </c>
      <c r="AE48" s="11" t="n">
        <f aca="false">IF(AND(AE$1&gt;=Units!$Q47,MOD(AE$1-Units!$Q47,12)=0),IF(AND(Units!$L47=1,AE$1=Units!$Q47),1,Inputs!$B$15)*Inputs!$B$16*(1+Inputs!$B$11)^(AE$2-1),0)</f>
        <v>0</v>
      </c>
      <c r="AF48" s="11" t="n">
        <f aca="false">IF(AND(AF$1&gt;=Units!$Q47,MOD(AF$1-Units!$Q47,12)=0),IF(AND(Units!$L47=1,AF$1=Units!$Q47),1,Inputs!$B$15)*Inputs!$B$16*(1+Inputs!$B$11)^(AF$2-1),0)</f>
        <v>0</v>
      </c>
      <c r="AG48" s="11" t="n">
        <f aca="false">IF(AND(AG$1&gt;=Units!$Q47,MOD(AG$1-Units!$Q47,12)=0),IF(AND(Units!$L47=1,AG$1=Units!$Q47),1,Inputs!$B$15)*Inputs!$B$16*(1+Inputs!$B$11)^(AG$2-1),0)</f>
        <v>0</v>
      </c>
      <c r="AH48" s="11" t="n">
        <f aca="false">IF(AND(AH$1&gt;=Units!$Q47,MOD(AH$1-Units!$Q47,12)=0),IF(AND(Units!$L47=1,AH$1=Units!$Q47),1,Inputs!$B$15)*Inputs!$B$16*(1+Inputs!$B$11)^(AH$2-1),0)</f>
        <v>0</v>
      </c>
      <c r="AI48" s="11" t="n">
        <f aca="false">IF(AND(AI$1&gt;=Units!$Q47,MOD(AI$1-Units!$Q47,12)=0),IF(AND(Units!$L47=1,AI$1=Units!$Q47),1,Inputs!$B$15)*Inputs!$B$16*(1+Inputs!$B$11)^(AI$2-1),0)</f>
        <v>0</v>
      </c>
      <c r="AJ48" s="11" t="n">
        <f aca="false">IF(AND(AJ$1&gt;=Units!$Q47,MOD(AJ$1-Units!$Q47,12)=0),IF(AND(Units!$L47=1,AJ$1=Units!$Q47),1,Inputs!$B$15)*Inputs!$B$16*(1+Inputs!$B$11)^(AJ$2-1),0)</f>
        <v>0</v>
      </c>
      <c r="AK48" s="11" t="n">
        <f aca="false">IF(AND(AK$1&gt;=Units!$Q47,MOD(AK$1-Units!$Q47,12)=0),IF(AND(Units!$L47=1,AK$1=Units!$Q47),1,Inputs!$B$15)*Inputs!$B$16*(1+Inputs!$B$11)^(AK$2-1),0)</f>
        <v>0</v>
      </c>
      <c r="AL48" s="11" t="n">
        <f aca="false">IF(AND(AL$1&gt;=Units!$Q47,MOD(AL$1-Units!$Q47,12)=0),IF(AND(Units!$L47=1,AL$1=Units!$Q47),1,Inputs!$B$15)*Inputs!$B$16*(1+Inputs!$B$11)^(AL$2-1),0)</f>
        <v>530.45</v>
      </c>
      <c r="AM48" s="11" t="n">
        <f aca="false">IF(AND(AM$1&gt;=Units!$Q47,MOD(AM$1-Units!$Q47,12)=0),IF(AND(Units!$L47=1,AM$1=Units!$Q47),1,Inputs!$B$15)*Inputs!$B$16*(1+Inputs!$B$11)^(AM$2-1),0)</f>
        <v>0</v>
      </c>
      <c r="AN48" s="11" t="n">
        <f aca="false">IF(AND(AN$1&gt;=Units!$Q47,MOD(AN$1-Units!$Q47,12)=0),IF(AND(Units!$L47=1,AN$1=Units!$Q47),1,Inputs!$B$15)*Inputs!$B$16*(1+Inputs!$B$11)^(AN$2-1),0)</f>
        <v>0</v>
      </c>
      <c r="AO48" s="11" t="n">
        <f aca="false">IF(AND(AO$1&gt;=Units!$Q47,MOD(AO$1-Units!$Q47,12)=0),IF(AND(Units!$L47=1,AO$1=Units!$Q47),1,Inputs!$B$15)*Inputs!$B$16*(1+Inputs!$B$11)^(AO$2-1),0)</f>
        <v>0</v>
      </c>
      <c r="AP48" s="11" t="n">
        <f aca="false">IF(AND(AP$1&gt;=Units!$Q47,MOD(AP$1-Units!$Q47,12)=0),IF(AND(Units!$L47=1,AP$1=Units!$Q47),1,Inputs!$B$15)*Inputs!$B$16*(1+Inputs!$B$11)^(AP$2-1),0)</f>
        <v>0</v>
      </c>
      <c r="AQ48" s="11" t="n">
        <f aca="false">IF(AND(AQ$1&gt;=Units!$Q47,MOD(AQ$1-Units!$Q47,12)=0),IF(AND(Units!$L47=1,AQ$1=Units!$Q47),1,Inputs!$B$15)*Inputs!$B$16*(1+Inputs!$B$11)^(AQ$2-1),0)</f>
        <v>0</v>
      </c>
      <c r="AR48" s="11" t="n">
        <f aca="false">IF(AND(AR$1&gt;=Units!$Q47,MOD(AR$1-Units!$Q47,12)=0),IF(AND(Units!$L47=1,AR$1=Units!$Q47),1,Inputs!$B$15)*Inputs!$B$16*(1+Inputs!$B$11)^(AR$2-1),0)</f>
        <v>0</v>
      </c>
      <c r="AS48" s="11" t="n">
        <f aca="false">IF(AND(AS$1&gt;=Units!$Q47,MOD(AS$1-Units!$Q47,12)=0),IF(AND(Units!$L47=1,AS$1=Units!$Q47),1,Inputs!$B$15)*Inputs!$B$16*(1+Inputs!$B$11)^(AS$2-1),0)</f>
        <v>0</v>
      </c>
      <c r="AT48" s="11" t="n">
        <f aca="false">IF(AND(AT$1&gt;=Units!$Q47,MOD(AT$1-Units!$Q47,12)=0),IF(AND(Units!$L47=1,AT$1=Units!$Q47),1,Inputs!$B$15)*Inputs!$B$16*(1+Inputs!$B$11)^(AT$2-1),0)</f>
        <v>0</v>
      </c>
      <c r="AU48" s="11" t="n">
        <f aca="false">IF(AND(AU$1&gt;=Units!$Q47,MOD(AU$1-Units!$Q47,12)=0),IF(AND(Units!$L47=1,AU$1=Units!$Q47),1,Inputs!$B$15)*Inputs!$B$16*(1+Inputs!$B$11)^(AU$2-1),0)</f>
        <v>0</v>
      </c>
      <c r="AV48" s="11" t="n">
        <f aca="false">IF(AND(AV$1&gt;=Units!$Q47,MOD(AV$1-Units!$Q47,12)=0),IF(AND(Units!$L47=1,AV$1=Units!$Q47),1,Inputs!$B$15)*Inputs!$B$16*(1+Inputs!$B$11)^(AV$2-1),0)</f>
        <v>0</v>
      </c>
      <c r="AW48" s="11" t="n">
        <f aca="false">IF(AND(AW$1&gt;=Units!$Q47,MOD(AW$1-Units!$Q47,12)=0),IF(AND(Units!$L47=1,AW$1=Units!$Q47),1,Inputs!$B$15)*Inputs!$B$16*(1+Inputs!$B$11)^(AW$2-1),0)</f>
        <v>0</v>
      </c>
      <c r="AX48" s="11" t="n">
        <f aca="false">IF(AND(AX$1&gt;=Units!$Q47,MOD(AX$1-Units!$Q47,12)=0),IF(AND(Units!$L47=1,AX$1=Units!$Q47),1,Inputs!$B$15)*Inputs!$B$16*(1+Inputs!$B$11)^(AX$2-1),0)</f>
        <v>546.3635</v>
      </c>
      <c r="AY48" s="11" t="n">
        <f aca="false">IF(AND(AY$1&gt;=Units!$Q47,MOD(AY$1-Units!$Q47,12)=0),IF(AND(Units!$L47=1,AY$1=Units!$Q47),1,Inputs!$B$15)*Inputs!$B$16*(1+Inputs!$B$11)^(AY$2-1),0)</f>
        <v>0</v>
      </c>
      <c r="AZ48" s="11" t="n">
        <f aca="false">IF(AND(AZ$1&gt;=Units!$Q47,MOD(AZ$1-Units!$Q47,12)=0),IF(AND(Units!$L47=1,AZ$1=Units!$Q47),1,Inputs!$B$15)*Inputs!$B$16*(1+Inputs!$B$11)^(AZ$2-1),0)</f>
        <v>0</v>
      </c>
      <c r="BA48" s="11" t="n">
        <f aca="false">IF(AND(BA$1&gt;=Units!$Q47,MOD(BA$1-Units!$Q47,12)=0),IF(AND(Units!$L47=1,BA$1=Units!$Q47),1,Inputs!$B$15)*Inputs!$B$16*(1+Inputs!$B$11)^(BA$2-1),0)</f>
        <v>0</v>
      </c>
      <c r="BB48" s="11" t="n">
        <f aca="false">IF(AND(BB$1&gt;=Units!$Q47,MOD(BB$1-Units!$Q47,12)=0),IF(AND(Units!$L47=1,BB$1=Units!$Q47),1,Inputs!$B$15)*Inputs!$B$16*(1+Inputs!$B$11)^(BB$2-1),0)</f>
        <v>0</v>
      </c>
      <c r="BC48" s="11" t="n">
        <f aca="false">IF(AND(BC$1&gt;=Units!$Q47,MOD(BC$1-Units!$Q47,12)=0),IF(AND(Units!$L47=1,BC$1=Units!$Q47),1,Inputs!$B$15)*Inputs!$B$16*(1+Inputs!$B$11)^(BC$2-1),0)</f>
        <v>0</v>
      </c>
      <c r="BD48" s="11" t="n">
        <f aca="false">IF(AND(BD$1&gt;=Units!$Q47,MOD(BD$1-Units!$Q47,12)=0),IF(AND(Units!$L47=1,BD$1=Units!$Q47),1,Inputs!$B$15)*Inputs!$B$16*(1+Inputs!$B$11)^(BD$2-1),0)</f>
        <v>0</v>
      </c>
      <c r="BE48" s="11" t="n">
        <f aca="false">IF(AND(BE$1&gt;=Units!$Q47,MOD(BE$1-Units!$Q47,12)=0),IF(AND(Units!$L47=1,BE$1=Units!$Q47),1,Inputs!$B$15)*Inputs!$B$16*(1+Inputs!$B$11)^(BE$2-1),0)</f>
        <v>0</v>
      </c>
      <c r="BF48" s="11" t="n">
        <f aca="false">IF(AND(BF$1&gt;=Units!$Q47,MOD(BF$1-Units!$Q47,12)=0),IF(AND(Units!$L47=1,BF$1=Units!$Q47),1,Inputs!$B$15)*Inputs!$B$16*(1+Inputs!$B$11)^(BF$2-1),0)</f>
        <v>0</v>
      </c>
      <c r="BG48" s="11" t="n">
        <f aca="false">IF(AND(BG$1&gt;=Units!$Q47,MOD(BG$1-Units!$Q47,12)=0),IF(AND(Units!$L47=1,BG$1=Units!$Q47),1,Inputs!$B$15)*Inputs!$B$16*(1+Inputs!$B$11)^(BG$2-1),0)</f>
        <v>0</v>
      </c>
      <c r="BH48" s="11" t="n">
        <f aca="false">IF(AND(BH$1&gt;=Units!$Q47,MOD(BH$1-Units!$Q47,12)=0),IF(AND(Units!$L47=1,BH$1=Units!$Q47),1,Inputs!$B$15)*Inputs!$B$16*(1+Inputs!$B$11)^(BH$2-1),0)</f>
        <v>0</v>
      </c>
      <c r="BI48" s="11" t="n">
        <f aca="false">IF(AND(BI$1&gt;=Units!$Q47,MOD(BI$1-Units!$Q47,12)=0),IF(AND(Units!$L47=1,BI$1=Units!$Q47),1,Inputs!$B$15)*Inputs!$B$16*(1+Inputs!$B$11)^(BI$2-1),0)</f>
        <v>0</v>
      </c>
      <c r="BJ48" s="11" t="n">
        <f aca="false">IF(AND(BJ$1&gt;=Units!$Q47,MOD(BJ$1-Units!$Q47,12)=0),IF(AND(Units!$L47=1,BJ$1=Units!$Q47),1,Inputs!$B$15)*Inputs!$B$16*(1+Inputs!$B$11)^(BJ$2-1),0)</f>
        <v>562.754405</v>
      </c>
      <c r="BK48" s="11" t="n">
        <f aca="false">IF(AND(BK$1&gt;=Units!$Q47,MOD(BK$1-Units!$Q47,12)=0),IF(AND(Units!$L47=1,BK$1=Units!$Q47),1,Inputs!$B$15)*Inputs!$B$16*(1+Inputs!$B$11)^(BK$2-1),0)</f>
        <v>0</v>
      </c>
      <c r="BL48" s="11" t="n">
        <f aca="false">IF(AND(BL$1&gt;=Units!$Q47,MOD(BL$1-Units!$Q47,12)=0),IF(AND(Units!$L47=1,BL$1=Units!$Q47),1,Inputs!$B$15)*Inputs!$B$16*(1+Inputs!$B$11)^(BL$2-1),0)</f>
        <v>0</v>
      </c>
      <c r="BM48" s="11" t="n">
        <f aca="false">IF(AND(BM$1&gt;=Units!$Q47,MOD(BM$1-Units!$Q47,12)=0),IF(AND(Units!$L47=1,BM$1=Units!$Q47),1,Inputs!$B$15)*Inputs!$B$16*(1+Inputs!$B$11)^(BM$2-1),0)</f>
        <v>0</v>
      </c>
      <c r="BN48" s="11" t="n">
        <f aca="false">IF(AND(BN$1&gt;=Units!$Q47,MOD(BN$1-Units!$Q47,12)=0),IF(AND(Units!$L47=1,BN$1=Units!$Q47),1,Inputs!$B$15)*Inputs!$B$16*(1+Inputs!$B$11)^(BN$2-1),0)</f>
        <v>0</v>
      </c>
      <c r="BO48" s="11" t="n">
        <f aca="false">IF(AND(BO$1&gt;=Units!$Q47,MOD(BO$1-Units!$Q47,12)=0),IF(AND(Units!$L47=1,BO$1=Units!$Q47),1,Inputs!$B$15)*Inputs!$B$16*(1+Inputs!$B$11)^(BO$2-1),0)</f>
        <v>0</v>
      </c>
      <c r="BP48" s="11" t="n">
        <f aca="false">IF(AND(BP$1&gt;=Units!$Q47,MOD(BP$1-Units!$Q47,12)=0),IF(AND(Units!$L47=1,BP$1=Units!$Q47),1,Inputs!$B$15)*Inputs!$B$16*(1+Inputs!$B$11)^(BP$2-1),0)</f>
        <v>0</v>
      </c>
      <c r="BQ48" s="11" t="n">
        <f aca="false">IF(AND(BQ$1&gt;=Units!$Q47,MOD(BQ$1-Units!$Q47,12)=0),IF(AND(Units!$L47=1,BQ$1=Units!$Q47),1,Inputs!$B$15)*Inputs!$B$16*(1+Inputs!$B$11)^(BQ$2-1),0)</f>
        <v>0</v>
      </c>
      <c r="BR48" s="11" t="n">
        <f aca="false">IF(AND(BR$1&gt;=Units!$Q47,MOD(BR$1-Units!$Q47,12)=0),IF(AND(Units!$L47=1,BR$1=Units!$Q47),1,Inputs!$B$15)*Inputs!$B$16*(1+Inputs!$B$11)^(BR$2-1),0)</f>
        <v>0</v>
      </c>
      <c r="BS48" s="11" t="n">
        <f aca="false">IF(AND(BS$1&gt;=Units!$Q47,MOD(BS$1-Units!$Q47,12)=0),IF(AND(Units!$L47=1,BS$1=Units!$Q47),1,Inputs!$B$15)*Inputs!$B$16*(1+Inputs!$B$11)^(BS$2-1),0)</f>
        <v>0</v>
      </c>
      <c r="BT48" s="11" t="n">
        <f aca="false">IF(AND(BT$1&gt;=Units!$Q47,MOD(BT$1-Units!$Q47,12)=0),IF(AND(Units!$L47=1,BT$1=Units!$Q47),1,Inputs!$B$15)*Inputs!$B$16*(1+Inputs!$B$11)^(BT$2-1),0)</f>
        <v>0</v>
      </c>
      <c r="BU48" s="11" t="n">
        <f aca="false">IF(AND(BU$1&gt;=Units!$Q47,MOD(BU$1-Units!$Q47,12)=0),IF(AND(Units!$L47=1,BU$1=Units!$Q47),1,Inputs!$B$15)*Inputs!$B$16*(1+Inputs!$B$11)^(BU$2-1),0)</f>
        <v>0</v>
      </c>
      <c r="BV48" s="11" t="n">
        <f aca="false">IF(AND(BV$1&gt;=Units!$Q47,MOD(BV$1-Units!$Q47,12)=0),IF(AND(Units!$L47=1,BV$1=Units!$Q47),1,Inputs!$B$15)*Inputs!$B$16*(1+Inputs!$B$11)^(BV$2-1),0)</f>
        <v>579.63703715</v>
      </c>
      <c r="BW48" s="11" t="n">
        <f aca="false">IF(AND(BW$1&gt;=Units!$Q47,MOD(BW$1-Units!$Q47,12)=0),IF(AND(Units!$L47=1,BW$1=Units!$Q47),1,Inputs!$B$15)*Inputs!$B$16*(1+Inputs!$B$11)^(BW$2-1),0)</f>
        <v>0</v>
      </c>
      <c r="BX48" s="11" t="n">
        <f aca="false">IF(AND(BX$1&gt;=Units!$Q47,MOD(BX$1-Units!$Q47,12)=0),IF(AND(Units!$L47=1,BX$1=Units!$Q47),1,Inputs!$B$15)*Inputs!$B$16*(1+Inputs!$B$11)^(BX$2-1),0)</f>
        <v>0</v>
      </c>
      <c r="BY48" s="11" t="n">
        <f aca="false">IF(AND(BY$1&gt;=Units!$Q47,MOD(BY$1-Units!$Q47,12)=0),IF(AND(Units!$L47=1,BY$1=Units!$Q47),1,Inputs!$B$15)*Inputs!$B$16*(1+Inputs!$B$11)^(BY$2-1),0)</f>
        <v>0</v>
      </c>
      <c r="BZ48" s="11" t="n">
        <f aca="false">IF(AND(BZ$1&gt;=Units!$Q47,MOD(BZ$1-Units!$Q47,12)=0),IF(AND(Units!$L47=1,BZ$1=Units!$Q47),1,Inputs!$B$15)*Inputs!$B$16*(1+Inputs!$B$11)^(BZ$2-1),0)</f>
        <v>0</v>
      </c>
      <c r="CA48" s="11" t="n">
        <f aca="false">IF(AND(CA$1&gt;=Units!$Q47,MOD(CA$1-Units!$Q47,12)=0),IF(AND(Units!$L47=1,CA$1=Units!$Q47),1,Inputs!$B$15)*Inputs!$B$16*(1+Inputs!$B$11)^(CA$2-1),0)</f>
        <v>0</v>
      </c>
      <c r="CB48" s="11" t="n">
        <f aca="false">IF(AND(CB$1&gt;=Units!$Q47,MOD(CB$1-Units!$Q47,12)=0),IF(AND(Units!$L47=1,CB$1=Units!$Q47),1,Inputs!$B$15)*Inputs!$B$16*(1+Inputs!$B$11)^(CB$2-1),0)</f>
        <v>0</v>
      </c>
      <c r="CC48" s="11" t="n">
        <f aca="false">IF(AND(CC$1&gt;=Units!$Q47,MOD(CC$1-Units!$Q47,12)=0),IF(AND(Units!$L47=1,CC$1=Units!$Q47),1,Inputs!$B$15)*Inputs!$B$16*(1+Inputs!$B$11)^(CC$2-1),0)</f>
        <v>0</v>
      </c>
      <c r="CD48" s="11" t="n">
        <f aca="false">IF(AND(CD$1&gt;=Units!$Q47,MOD(CD$1-Units!$Q47,12)=0),IF(AND(Units!$L47=1,CD$1=Units!$Q47),1,Inputs!$B$15)*Inputs!$B$16*(1+Inputs!$B$11)^(CD$2-1),0)</f>
        <v>0</v>
      </c>
      <c r="CE48" s="11" t="n">
        <f aca="false">IF(AND(CE$1&gt;=Units!$Q47,MOD(CE$1-Units!$Q47,12)=0),IF(AND(Units!$L47=1,CE$1=Units!$Q47),1,Inputs!$B$15)*Inputs!$B$16*(1+Inputs!$B$11)^(CE$2-1),0)</f>
        <v>0</v>
      </c>
      <c r="CF48" s="11" t="n">
        <f aca="false">IF(AND(CF$1&gt;=Units!$Q47,MOD(CF$1-Units!$Q47,12)=0),IF(AND(Units!$L47=1,CF$1=Units!$Q47),1,Inputs!$B$15)*Inputs!$B$16*(1+Inputs!$B$11)^(CF$2-1),0)</f>
        <v>0</v>
      </c>
      <c r="CG48" s="11" t="n">
        <f aca="false">IF(AND(CG$1&gt;=Units!$Q47,MOD(CG$1-Units!$Q47,12)=0),IF(AND(Units!$L47=1,CG$1=Units!$Q47),1,Inputs!$B$15)*Inputs!$B$16*(1+Inputs!$B$11)^(CG$2-1),0)</f>
        <v>0</v>
      </c>
      <c r="CH48" s="11" t="n">
        <f aca="false">IF(AND(CH$1&gt;=Units!$Q47,MOD(CH$1-Units!$Q47,12)=0),IF(AND(Units!$L47=1,CH$1=Units!$Q47),1,Inputs!$B$15)*Inputs!$B$16*(1+Inputs!$B$11)^(CH$2-1),0)</f>
        <v>597.0261482645</v>
      </c>
      <c r="CI48" s="11" t="n">
        <f aca="false">IF(AND(CI$1&gt;=Units!$Q47,MOD(CI$1-Units!$Q47,12)=0),IF(AND(Units!$L47=1,CI$1=Units!$Q47),1,Inputs!$B$15)*Inputs!$B$16*(1+Inputs!$B$11)^(CI$2-1),0)</f>
        <v>0</v>
      </c>
      <c r="CJ48" s="11" t="n">
        <f aca="false">IF(AND(CJ$1&gt;=Units!$Q47,MOD(CJ$1-Units!$Q47,12)=0),IF(AND(Units!$L47=1,CJ$1=Units!$Q47),1,Inputs!$B$15)*Inputs!$B$16*(1+Inputs!$B$11)^(CJ$2-1),0)</f>
        <v>0</v>
      </c>
      <c r="CK48" s="11" t="n">
        <f aca="false">IF(AND(CK$1&gt;=Units!$Q47,MOD(CK$1-Units!$Q47,12)=0),IF(AND(Units!$L47=1,CK$1=Units!$Q47),1,Inputs!$B$15)*Inputs!$B$16*(1+Inputs!$B$11)^(CK$2-1),0)</f>
        <v>0</v>
      </c>
      <c r="CL48" s="11" t="n">
        <f aca="false">IF(AND(CL$1&gt;=Units!$Q47,MOD(CL$1-Units!$Q47,12)=0),IF(AND(Units!$L47=1,CL$1=Units!$Q47),1,Inputs!$B$15)*Inputs!$B$16*(1+Inputs!$B$11)^(CL$2-1),0)</f>
        <v>0</v>
      </c>
      <c r="CM48" s="11" t="n">
        <f aca="false">IF(AND(CM$1&gt;=Units!$Q47,MOD(CM$1-Units!$Q47,12)=0),IF(AND(Units!$L47=1,CM$1=Units!$Q47),1,Inputs!$B$15)*Inputs!$B$16*(1+Inputs!$B$11)^(CM$2-1),0)</f>
        <v>0</v>
      </c>
      <c r="CN48" s="11" t="n">
        <f aca="false">IF(AND(CN$1&gt;=Units!$Q47,MOD(CN$1-Units!$Q47,12)=0),IF(AND(Units!$L47=1,CN$1=Units!$Q47),1,Inputs!$B$15)*Inputs!$B$16*(1+Inputs!$B$11)^(CN$2-1),0)</f>
        <v>0</v>
      </c>
      <c r="CO48" s="11" t="n">
        <f aca="false">IF(AND(CO$1&gt;=Units!$Q47,MOD(CO$1-Units!$Q47,12)=0),IF(AND(Units!$L47=1,CO$1=Units!$Q47),1,Inputs!$B$15)*Inputs!$B$16*(1+Inputs!$B$11)^(CO$2-1),0)</f>
        <v>0</v>
      </c>
      <c r="CP48" s="11" t="n">
        <f aca="false">IF(AND(CP$1&gt;=Units!$Q47,MOD(CP$1-Units!$Q47,12)=0),IF(AND(Units!$L47=1,CP$1=Units!$Q47),1,Inputs!$B$15)*Inputs!$B$16*(1+Inputs!$B$11)^(CP$2-1),0)</f>
        <v>0</v>
      </c>
      <c r="CQ48" s="11" t="n">
        <f aca="false">IF(AND(CQ$1&gt;=Units!$Q47,MOD(CQ$1-Units!$Q47,12)=0),IF(AND(Units!$L47=1,CQ$1=Units!$Q47),1,Inputs!$B$15)*Inputs!$B$16*(1+Inputs!$B$11)^(CQ$2-1),0)</f>
        <v>0</v>
      </c>
      <c r="CR48" s="11" t="n">
        <f aca="false">IF(AND(CR$1&gt;=Units!$Q47,MOD(CR$1-Units!$Q47,12)=0),IF(AND(Units!$L47=1,CR$1=Units!$Q47),1,Inputs!$B$15)*Inputs!$B$16*(1+Inputs!$B$11)^(CR$2-1),0)</f>
        <v>0</v>
      </c>
      <c r="CS48" s="11" t="n">
        <f aca="false">IF(AND(CS$1&gt;=Units!$Q47,MOD(CS$1-Units!$Q47,12)=0),IF(AND(Units!$L47=1,CS$1=Units!$Q47),1,Inputs!$B$15)*Inputs!$B$16*(1+Inputs!$B$11)^(CS$2-1),0)</f>
        <v>0</v>
      </c>
      <c r="CT48" s="11" t="n">
        <f aca="false">IF(AND(CT$1&gt;=Units!$Q47,MOD(CT$1-Units!$Q47,12)=0),IF(AND(Units!$L47=1,CT$1=Units!$Q47),1,Inputs!$B$15)*Inputs!$B$16*(1+Inputs!$B$11)^(CT$2-1),0)</f>
        <v>614.936932712435</v>
      </c>
      <c r="CU48" s="11" t="n">
        <f aca="false">IF(AND(CU$1&gt;=Units!$Q47,MOD(CU$1-Units!$Q47,12)=0),IF(AND(Units!$L47=1,CU$1=Units!$Q47),1,Inputs!$B$15)*Inputs!$B$16*(1+Inputs!$B$11)^(CU$2-1),0)</f>
        <v>0</v>
      </c>
      <c r="CV48" s="11" t="n">
        <f aca="false">IF(AND(CV$1&gt;=Units!$Q47,MOD(CV$1-Units!$Q47,12)=0),IF(AND(Units!$L47=1,CV$1=Units!$Q47),1,Inputs!$B$15)*Inputs!$B$16*(1+Inputs!$B$11)^(CV$2-1),0)</f>
        <v>0</v>
      </c>
      <c r="CW48" s="11" t="n">
        <f aca="false">IF(AND(CW$1&gt;=Units!$Q47,MOD(CW$1-Units!$Q47,12)=0),IF(AND(Units!$L47=1,CW$1=Units!$Q47),1,Inputs!$B$15)*Inputs!$B$16*(1+Inputs!$B$11)^(CW$2-1),0)</f>
        <v>0</v>
      </c>
      <c r="CX48" s="11" t="n">
        <f aca="false">IF(AND(CX$1&gt;=Units!$Q47,MOD(CX$1-Units!$Q47,12)=0),IF(AND(Units!$L47=1,CX$1=Units!$Q47),1,Inputs!$B$15)*Inputs!$B$16*(1+Inputs!$B$11)^(CX$2-1),0)</f>
        <v>0</v>
      </c>
      <c r="CY48" s="11" t="n">
        <f aca="false">IF(AND(CY$1&gt;=Units!$Q47,MOD(CY$1-Units!$Q47,12)=0),IF(AND(Units!$L47=1,CY$1=Units!$Q47),1,Inputs!$B$15)*Inputs!$B$16*(1+Inputs!$B$11)^(CY$2-1),0)</f>
        <v>0</v>
      </c>
      <c r="CZ48" s="11" t="n">
        <f aca="false">IF(AND(CZ$1&gt;=Units!$Q47,MOD(CZ$1-Units!$Q47,12)=0),IF(AND(Units!$L47=1,CZ$1=Units!$Q47),1,Inputs!$B$15)*Inputs!$B$16*(1+Inputs!$B$11)^(CZ$2-1),0)</f>
        <v>0</v>
      </c>
      <c r="DA48" s="11" t="n">
        <f aca="false">IF(AND(DA$1&gt;=Units!$Q47,MOD(DA$1-Units!$Q47,12)=0),IF(AND(Units!$L47=1,DA$1=Units!$Q47),1,Inputs!$B$15)*Inputs!$B$16*(1+Inputs!$B$11)^(DA$2-1),0)</f>
        <v>0</v>
      </c>
      <c r="DB48" s="11" t="n">
        <f aca="false">IF(AND(DB$1&gt;=Units!$Q47,MOD(DB$1-Units!$Q47,12)=0),IF(AND(Units!$L47=1,DB$1=Units!$Q47),1,Inputs!$B$15)*Inputs!$B$16*(1+Inputs!$B$11)^(DB$2-1),0)</f>
        <v>0</v>
      </c>
      <c r="DC48" s="11" t="n">
        <f aca="false">IF(AND(DC$1&gt;=Units!$Q47,MOD(DC$1-Units!$Q47,12)=0),IF(AND(Units!$L47=1,DC$1=Units!$Q47),1,Inputs!$B$15)*Inputs!$B$16*(1+Inputs!$B$11)^(DC$2-1),0)</f>
        <v>0</v>
      </c>
      <c r="DD48" s="11" t="n">
        <f aca="false">IF(AND(DD$1&gt;=Units!$Q47,MOD(DD$1-Units!$Q47,12)=0),IF(AND(Units!$L47=1,DD$1=Units!$Q47),1,Inputs!$B$15)*Inputs!$B$16*(1+Inputs!$B$11)^(DD$2-1),0)</f>
        <v>0</v>
      </c>
      <c r="DE48" s="11" t="n">
        <f aca="false">IF(AND(DE$1&gt;=Units!$Q47,MOD(DE$1-Units!$Q47,12)=0),IF(AND(Units!$L47=1,DE$1=Units!$Q47),1,Inputs!$B$15)*Inputs!$B$16*(1+Inputs!$B$11)^(DE$2-1),0)</f>
        <v>0</v>
      </c>
      <c r="DF48" s="11" t="n">
        <f aca="false">IF(AND(DF$1&gt;=Units!$Q47,MOD(DF$1-Units!$Q47,12)=0),IF(AND(Units!$L47=1,DF$1=Units!$Q47),1,Inputs!$B$15)*Inputs!$B$16*(1+Inputs!$B$11)^(DF$2-1),0)</f>
        <v>633.385040693808</v>
      </c>
      <c r="DG48" s="11" t="n">
        <f aca="false">IF(AND(DG$1&gt;=Units!$Q47,MOD(DG$1-Units!$Q47,12)=0),IF(AND(Units!$L47=1,DG$1=Units!$Q47),1,Inputs!$B$15)*Inputs!$B$16*(1+Inputs!$B$11)^(DG$2-1),0)</f>
        <v>0</v>
      </c>
      <c r="DH48" s="11" t="n">
        <f aca="false">IF(AND(DH$1&gt;=Units!$Q47,MOD(DH$1-Units!$Q47,12)=0),IF(AND(Units!$L47=1,DH$1=Units!$Q47),1,Inputs!$B$15)*Inputs!$B$16*(1+Inputs!$B$11)^(DH$2-1),0)</f>
        <v>0</v>
      </c>
      <c r="DI48" s="11" t="n">
        <f aca="false">IF(AND(DI$1&gt;=Units!$Q47,MOD(DI$1-Units!$Q47,12)=0),IF(AND(Units!$L47=1,DI$1=Units!$Q47),1,Inputs!$B$15)*Inputs!$B$16*(1+Inputs!$B$11)^(DI$2-1),0)</f>
        <v>0</v>
      </c>
      <c r="DJ48" s="11" t="n">
        <f aca="false">IF(AND(DJ$1&gt;=Units!$Q47,MOD(DJ$1-Units!$Q47,12)=0),IF(AND(Units!$L47=1,DJ$1=Units!$Q47),1,Inputs!$B$15)*Inputs!$B$16*(1+Inputs!$B$11)^(DJ$2-1),0)</f>
        <v>0</v>
      </c>
      <c r="DK48" s="11" t="n">
        <f aca="false">IF(AND(DK$1&gt;=Units!$Q47,MOD(DK$1-Units!$Q47,12)=0),IF(AND(Units!$L47=1,DK$1=Units!$Q47),1,Inputs!$B$15)*Inputs!$B$16*(1+Inputs!$B$11)^(DK$2-1),0)</f>
        <v>0</v>
      </c>
      <c r="DL48" s="11" t="n">
        <f aca="false">IF(AND(DL$1&gt;=Units!$Q47,MOD(DL$1-Units!$Q47,12)=0),IF(AND(Units!$L47=1,DL$1=Units!$Q47),1,Inputs!$B$15)*Inputs!$B$16*(1+Inputs!$B$11)^(DL$2-1),0)</f>
        <v>0</v>
      </c>
      <c r="DM48" s="11" t="n">
        <f aca="false">IF(AND(DM$1&gt;=Units!$Q47,MOD(DM$1-Units!$Q47,12)=0),IF(AND(Units!$L47=1,DM$1=Units!$Q47),1,Inputs!$B$15)*Inputs!$B$16*(1+Inputs!$B$11)^(DM$2-1),0)</f>
        <v>0</v>
      </c>
      <c r="DN48" s="11" t="n">
        <f aca="false">IF(AND(DN$1&gt;=Units!$Q47,MOD(DN$1-Units!$Q47,12)=0),IF(AND(Units!$L47=1,DN$1=Units!$Q47),1,Inputs!$B$15)*Inputs!$B$16*(1+Inputs!$B$11)^(DN$2-1),0)</f>
        <v>0</v>
      </c>
      <c r="DO48" s="11" t="n">
        <f aca="false">IF(AND(DO$1&gt;=Units!$Q47,MOD(DO$1-Units!$Q47,12)=0),IF(AND(Units!$L47=1,DO$1=Units!$Q47),1,Inputs!$B$15)*Inputs!$B$16*(1+Inputs!$B$11)^(DO$2-1),0)</f>
        <v>0</v>
      </c>
      <c r="DP48" s="11" t="n">
        <f aca="false">IF(AND(DP$1&gt;=Units!$Q47,MOD(DP$1-Units!$Q47,12)=0),IF(AND(Units!$L47=1,DP$1=Units!$Q47),1,Inputs!$B$15)*Inputs!$B$16*(1+Inputs!$B$11)^(DP$2-1),0)</f>
        <v>0</v>
      </c>
      <c r="DQ48" s="11" t="n">
        <f aca="false">IF(AND(DQ$1&gt;=Units!$Q47,MOD(DQ$1-Units!$Q47,12)=0),IF(AND(Units!$L47=1,DQ$1=Units!$Q47),1,Inputs!$B$15)*Inputs!$B$16*(1+Inputs!$B$11)^(DQ$2-1),0)</f>
        <v>0</v>
      </c>
      <c r="DR48" s="11" t="n">
        <f aca="false">IF(AND(DR$1&gt;=Units!$Q47,MOD(DR$1-Units!$Q47,12)=0),IF(AND(Units!$L47=1,DR$1=Units!$Q47),1,Inputs!$B$15)*Inputs!$B$16*(1+Inputs!$B$11)^(DR$2-1),0)</f>
        <v>652.386591914623</v>
      </c>
      <c r="DS48" s="11" t="n">
        <f aca="false">IF(AND(DS$1&gt;=Units!$Q47,MOD(DS$1-Units!$Q47,12)=0),IF(AND(Units!$L47=1,DS$1=Units!$Q47),1,Inputs!$B$15)*Inputs!$B$16*(1+Inputs!$B$11)^(DS$2-1),0)</f>
        <v>0</v>
      </c>
      <c r="DT48" s="11" t="n">
        <f aca="false">IF(AND(DT$1&gt;=Units!$Q47,MOD(DT$1-Units!$Q47,12)=0),IF(AND(Units!$L47=1,DT$1=Units!$Q47),1,Inputs!$B$15)*Inputs!$B$16*(1+Inputs!$B$11)^(DT$2-1),0)</f>
        <v>0</v>
      </c>
      <c r="DU48" s="11" t="n">
        <f aca="false">IF(AND(DU$1&gt;=Units!$Q47,MOD(DU$1-Units!$Q47,12)=0),IF(AND(Units!$L47=1,DU$1=Units!$Q47),1,Inputs!$B$15)*Inputs!$B$16*(1+Inputs!$B$11)^(DU$2-1),0)</f>
        <v>0</v>
      </c>
      <c r="DV48" s="11" t="n">
        <f aca="false">IF(AND(DV$1&gt;=Units!$Q47,MOD(DV$1-Units!$Q47,12)=0),IF(AND(Units!$L47=1,DV$1=Units!$Q47),1,Inputs!$B$15)*Inputs!$B$16*(1+Inputs!$B$11)^(DV$2-1),0)</f>
        <v>0</v>
      </c>
      <c r="DW48" s="11" t="n">
        <f aca="false">IF(AND(DW$1&gt;=Units!$Q47,MOD(DW$1-Units!$Q47,12)=0),IF(AND(Units!$L47=1,DW$1=Units!$Q47),1,Inputs!$B$15)*Inputs!$B$16*(1+Inputs!$B$11)^(DW$2-1),0)</f>
        <v>0</v>
      </c>
      <c r="DX48" s="11" t="n">
        <f aca="false">IF(AND(DX$1&gt;=Units!$Q47,MOD(DX$1-Units!$Q47,12)=0),IF(AND(Units!$L47=1,DX$1=Units!$Q47),1,Inputs!$B$15)*Inputs!$B$16*(1+Inputs!$B$11)^(DX$2-1),0)</f>
        <v>0</v>
      </c>
      <c r="DY48" s="11" t="n">
        <f aca="false">IF(AND(DY$1&gt;=Units!$Q47,MOD(DY$1-Units!$Q47,12)=0),IF(AND(Units!$L47=1,DY$1=Units!$Q47),1,Inputs!$B$15)*Inputs!$B$16*(1+Inputs!$B$11)^(DY$2-1),0)</f>
        <v>0</v>
      </c>
      <c r="DZ48" s="11" t="n">
        <f aca="false">IF(AND(DZ$1&gt;=Units!$Q47,MOD(DZ$1-Units!$Q47,12)=0),IF(AND(Units!$L47=1,DZ$1=Units!$Q47),1,Inputs!$B$15)*Inputs!$B$16*(1+Inputs!$B$11)^(DZ$2-1),0)</f>
        <v>0</v>
      </c>
      <c r="EA48" s="11" t="n">
        <f aca="false">IF(AND(EA$1&gt;=Units!$Q47,MOD(EA$1-Units!$Q47,12)=0),IF(AND(Units!$L47=1,EA$1=Units!$Q47),1,Inputs!$B$15)*Inputs!$B$16*(1+Inputs!$B$11)^(EA$2-1),0)</f>
        <v>0</v>
      </c>
      <c r="EB48" s="11" t="n">
        <f aca="false">IF(AND(EB$1&gt;=Units!$Q47,MOD(EB$1-Units!$Q47,12)=0),IF(AND(Units!$L47=1,EB$1=Units!$Q47),1,Inputs!$B$15)*Inputs!$B$16*(1+Inputs!$B$11)^(EB$2-1),0)</f>
        <v>0</v>
      </c>
      <c r="EC48" s="11" t="n">
        <f aca="false">IF(AND(EC$1&gt;=Units!$Q47,MOD(EC$1-Units!$Q47,12)=0),IF(AND(Units!$L47=1,EC$1=Units!$Q47),1,Inputs!$B$15)*Inputs!$B$16*(1+Inputs!$B$11)^(EC$2-1),0)</f>
        <v>0</v>
      </c>
      <c r="ED48" s="11" t="n">
        <f aca="false">IF(AND(ED$1&gt;=Units!$Q47,MOD(ED$1-Units!$Q47,12)=0),IF(AND(Units!$L47=1,ED$1=Units!$Q47),1,Inputs!$B$15)*Inputs!$B$16*(1+Inputs!$B$11)^(ED$2-1),0)</f>
        <v>671.958189672061</v>
      </c>
    </row>
    <row r="49" customFormat="false" ht="15" hidden="false" customHeight="false" outlineLevel="0" collapsed="false">
      <c r="A49" s="22" t="n">
        <f aca="false">Units!A48</f>
        <v>217</v>
      </c>
      <c r="B49" s="23"/>
      <c r="C49" s="11" t="n">
        <f aca="false">IF(AND(C$1&gt;=Units!$Q48,MOD(C$1-Units!$Q48,12)=0),IF(AND(Units!$L48=1,C$1=Units!$Q48),1,Inputs!$B$15)*Inputs!$B$16*(1+Inputs!$B$11)^(C$2-1),0)</f>
        <v>0</v>
      </c>
      <c r="D49" s="11" t="n">
        <f aca="false">IF(AND(D$1&gt;=Units!$Q48,MOD(D$1-Units!$Q48,12)=0),IF(AND(Units!$L48=1,D$1=Units!$Q48),1,Inputs!$B$15)*Inputs!$B$16*(1+Inputs!$B$11)^(D$2-1),0)</f>
        <v>0</v>
      </c>
      <c r="E49" s="11" t="n">
        <f aca="false">IF(AND(E$1&gt;=Units!$Q48,MOD(E$1-Units!$Q48,12)=0),IF(AND(Units!$L48=1,E$1=Units!$Q48),1,Inputs!$B$15)*Inputs!$B$16*(1+Inputs!$B$11)^(E$2-1),0)</f>
        <v>0</v>
      </c>
      <c r="F49" s="11" t="n">
        <f aca="false">IF(AND(F$1&gt;=Units!$Q48,MOD(F$1-Units!$Q48,12)=0),IF(AND(Units!$L48=1,F$1=Units!$Q48),1,Inputs!$B$15)*Inputs!$B$16*(1+Inputs!$B$11)^(F$2-1),0)</f>
        <v>0</v>
      </c>
      <c r="G49" s="11" t="n">
        <f aca="false">IF(AND(G$1&gt;=Units!$Q48,MOD(G$1-Units!$Q48,12)=0),IF(AND(Units!$L48=1,G$1=Units!$Q48),1,Inputs!$B$15)*Inputs!$B$16*(1+Inputs!$B$11)^(G$2-1),0)</f>
        <v>0</v>
      </c>
      <c r="H49" s="11" t="n">
        <f aca="false">IF(AND(H$1&gt;=Units!$Q48,MOD(H$1-Units!$Q48,12)=0),IF(AND(Units!$L48=1,H$1=Units!$Q48),1,Inputs!$B$15)*Inputs!$B$16*(1+Inputs!$B$11)^(H$2-1),0)</f>
        <v>0</v>
      </c>
      <c r="I49" s="11" t="n">
        <f aca="false">IF(AND(I$1&gt;=Units!$Q48,MOD(I$1-Units!$Q48,12)=0),IF(AND(Units!$L48=1,I$1=Units!$Q48),1,Inputs!$B$15)*Inputs!$B$16*(1+Inputs!$B$11)^(I$2-1),0)</f>
        <v>500</v>
      </c>
      <c r="J49" s="11" t="n">
        <f aca="false">IF(AND(J$1&gt;=Units!$Q48,MOD(J$1-Units!$Q48,12)=0),IF(AND(Units!$L48=1,J$1=Units!$Q48),1,Inputs!$B$15)*Inputs!$B$16*(1+Inputs!$B$11)^(J$2-1),0)</f>
        <v>0</v>
      </c>
      <c r="K49" s="11" t="n">
        <f aca="false">IF(AND(K$1&gt;=Units!$Q48,MOD(K$1-Units!$Q48,12)=0),IF(AND(Units!$L48=1,K$1=Units!$Q48),1,Inputs!$B$15)*Inputs!$B$16*(1+Inputs!$B$11)^(K$2-1),0)</f>
        <v>0</v>
      </c>
      <c r="L49" s="11" t="n">
        <f aca="false">IF(AND(L$1&gt;=Units!$Q48,MOD(L$1-Units!$Q48,12)=0),IF(AND(Units!$L48=1,L$1=Units!$Q48),1,Inputs!$B$15)*Inputs!$B$16*(1+Inputs!$B$11)^(L$2-1),0)</f>
        <v>0</v>
      </c>
      <c r="M49" s="11" t="n">
        <f aca="false">IF(AND(M$1&gt;=Units!$Q48,MOD(M$1-Units!$Q48,12)=0),IF(AND(Units!$L48=1,M$1=Units!$Q48),1,Inputs!$B$15)*Inputs!$B$16*(1+Inputs!$B$11)^(M$2-1),0)</f>
        <v>0</v>
      </c>
      <c r="N49" s="11" t="n">
        <f aca="false">IF(AND(N$1&gt;=Units!$Q48,MOD(N$1-Units!$Q48,12)=0),IF(AND(Units!$L48=1,N$1=Units!$Q48),1,Inputs!$B$15)*Inputs!$B$16*(1+Inputs!$B$11)^(N$2-1),0)</f>
        <v>0</v>
      </c>
      <c r="O49" s="11" t="n">
        <f aca="false">IF(AND(O$1&gt;=Units!$Q48,MOD(O$1-Units!$Q48,12)=0),IF(AND(Units!$L48=1,O$1=Units!$Q48),1,Inputs!$B$15)*Inputs!$B$16*(1+Inputs!$B$11)^(O$2-1),0)</f>
        <v>0</v>
      </c>
      <c r="P49" s="11" t="n">
        <f aca="false">IF(AND(P$1&gt;=Units!$Q48,MOD(P$1-Units!$Q48,12)=0),IF(AND(Units!$L48=1,P$1=Units!$Q48),1,Inputs!$B$15)*Inputs!$B$16*(1+Inputs!$B$11)^(P$2-1),0)</f>
        <v>0</v>
      </c>
      <c r="Q49" s="11" t="n">
        <f aca="false">IF(AND(Q$1&gt;=Units!$Q48,MOD(Q$1-Units!$Q48,12)=0),IF(AND(Units!$L48=1,Q$1=Units!$Q48),1,Inputs!$B$15)*Inputs!$B$16*(1+Inputs!$B$11)^(Q$2-1),0)</f>
        <v>0</v>
      </c>
      <c r="R49" s="11" t="n">
        <f aca="false">IF(AND(R$1&gt;=Units!$Q48,MOD(R$1-Units!$Q48,12)=0),IF(AND(Units!$L48=1,R$1=Units!$Q48),1,Inputs!$B$15)*Inputs!$B$16*(1+Inputs!$B$11)^(R$2-1),0)</f>
        <v>0</v>
      </c>
      <c r="S49" s="11" t="n">
        <f aca="false">IF(AND(S$1&gt;=Units!$Q48,MOD(S$1-Units!$Q48,12)=0),IF(AND(Units!$L48=1,S$1=Units!$Q48),1,Inputs!$B$15)*Inputs!$B$16*(1+Inputs!$B$11)^(S$2-1),0)</f>
        <v>0</v>
      </c>
      <c r="T49" s="11" t="n">
        <f aca="false">IF(AND(T$1&gt;=Units!$Q48,MOD(T$1-Units!$Q48,12)=0),IF(AND(Units!$L48=1,T$1=Units!$Q48),1,Inputs!$B$15)*Inputs!$B$16*(1+Inputs!$B$11)^(T$2-1),0)</f>
        <v>0</v>
      </c>
      <c r="U49" s="11" t="n">
        <f aca="false">IF(AND(U$1&gt;=Units!$Q48,MOD(U$1-Units!$Q48,12)=0),IF(AND(Units!$L48=1,U$1=Units!$Q48),1,Inputs!$B$15)*Inputs!$B$16*(1+Inputs!$B$11)^(U$2-1),0)</f>
        <v>515</v>
      </c>
      <c r="V49" s="11" t="n">
        <f aca="false">IF(AND(V$1&gt;=Units!$Q48,MOD(V$1-Units!$Q48,12)=0),IF(AND(Units!$L48=1,V$1=Units!$Q48),1,Inputs!$B$15)*Inputs!$B$16*(1+Inputs!$B$11)^(V$2-1),0)</f>
        <v>0</v>
      </c>
      <c r="W49" s="11" t="n">
        <f aca="false">IF(AND(W$1&gt;=Units!$Q48,MOD(W$1-Units!$Q48,12)=0),IF(AND(Units!$L48=1,W$1=Units!$Q48),1,Inputs!$B$15)*Inputs!$B$16*(1+Inputs!$B$11)^(W$2-1),0)</f>
        <v>0</v>
      </c>
      <c r="X49" s="11" t="n">
        <f aca="false">IF(AND(X$1&gt;=Units!$Q48,MOD(X$1-Units!$Q48,12)=0),IF(AND(Units!$L48=1,X$1=Units!$Q48),1,Inputs!$B$15)*Inputs!$B$16*(1+Inputs!$B$11)^(X$2-1),0)</f>
        <v>0</v>
      </c>
      <c r="Y49" s="11" t="n">
        <f aca="false">IF(AND(Y$1&gt;=Units!$Q48,MOD(Y$1-Units!$Q48,12)=0),IF(AND(Units!$L48=1,Y$1=Units!$Q48),1,Inputs!$B$15)*Inputs!$B$16*(1+Inputs!$B$11)^(Y$2-1),0)</f>
        <v>0</v>
      </c>
      <c r="Z49" s="11" t="n">
        <f aca="false">IF(AND(Z$1&gt;=Units!$Q48,MOD(Z$1-Units!$Q48,12)=0),IF(AND(Units!$L48=1,Z$1=Units!$Q48),1,Inputs!$B$15)*Inputs!$B$16*(1+Inputs!$B$11)^(Z$2-1),0)</f>
        <v>0</v>
      </c>
      <c r="AA49" s="11" t="n">
        <f aca="false">IF(AND(AA$1&gt;=Units!$Q48,MOD(AA$1-Units!$Q48,12)=0),IF(AND(Units!$L48=1,AA$1=Units!$Q48),1,Inputs!$B$15)*Inputs!$B$16*(1+Inputs!$B$11)^(AA$2-1),0)</f>
        <v>0</v>
      </c>
      <c r="AB49" s="11" t="n">
        <f aca="false">IF(AND(AB$1&gt;=Units!$Q48,MOD(AB$1-Units!$Q48,12)=0),IF(AND(Units!$L48=1,AB$1=Units!$Q48),1,Inputs!$B$15)*Inputs!$B$16*(1+Inputs!$B$11)^(AB$2-1),0)</f>
        <v>0</v>
      </c>
      <c r="AC49" s="11" t="n">
        <f aca="false">IF(AND(AC$1&gt;=Units!$Q48,MOD(AC$1-Units!$Q48,12)=0),IF(AND(Units!$L48=1,AC$1=Units!$Q48),1,Inputs!$B$15)*Inputs!$B$16*(1+Inputs!$B$11)^(AC$2-1),0)</f>
        <v>0</v>
      </c>
      <c r="AD49" s="11" t="n">
        <f aca="false">IF(AND(AD$1&gt;=Units!$Q48,MOD(AD$1-Units!$Q48,12)=0),IF(AND(Units!$L48=1,AD$1=Units!$Q48),1,Inputs!$B$15)*Inputs!$B$16*(1+Inputs!$B$11)^(AD$2-1),0)</f>
        <v>0</v>
      </c>
      <c r="AE49" s="11" t="n">
        <f aca="false">IF(AND(AE$1&gt;=Units!$Q48,MOD(AE$1-Units!$Q48,12)=0),IF(AND(Units!$L48=1,AE$1=Units!$Q48),1,Inputs!$B$15)*Inputs!$B$16*(1+Inputs!$B$11)^(AE$2-1),0)</f>
        <v>0</v>
      </c>
      <c r="AF49" s="11" t="n">
        <f aca="false">IF(AND(AF$1&gt;=Units!$Q48,MOD(AF$1-Units!$Q48,12)=0),IF(AND(Units!$L48=1,AF$1=Units!$Q48),1,Inputs!$B$15)*Inputs!$B$16*(1+Inputs!$B$11)^(AF$2-1),0)</f>
        <v>0</v>
      </c>
      <c r="AG49" s="11" t="n">
        <f aca="false">IF(AND(AG$1&gt;=Units!$Q48,MOD(AG$1-Units!$Q48,12)=0),IF(AND(Units!$L48=1,AG$1=Units!$Q48),1,Inputs!$B$15)*Inputs!$B$16*(1+Inputs!$B$11)^(AG$2-1),0)</f>
        <v>530.45</v>
      </c>
      <c r="AH49" s="11" t="n">
        <f aca="false">IF(AND(AH$1&gt;=Units!$Q48,MOD(AH$1-Units!$Q48,12)=0),IF(AND(Units!$L48=1,AH$1=Units!$Q48),1,Inputs!$B$15)*Inputs!$B$16*(1+Inputs!$B$11)^(AH$2-1),0)</f>
        <v>0</v>
      </c>
      <c r="AI49" s="11" t="n">
        <f aca="false">IF(AND(AI$1&gt;=Units!$Q48,MOD(AI$1-Units!$Q48,12)=0),IF(AND(Units!$L48=1,AI$1=Units!$Q48),1,Inputs!$B$15)*Inputs!$B$16*(1+Inputs!$B$11)^(AI$2-1),0)</f>
        <v>0</v>
      </c>
      <c r="AJ49" s="11" t="n">
        <f aca="false">IF(AND(AJ$1&gt;=Units!$Q48,MOD(AJ$1-Units!$Q48,12)=0),IF(AND(Units!$L48=1,AJ$1=Units!$Q48),1,Inputs!$B$15)*Inputs!$B$16*(1+Inputs!$B$11)^(AJ$2-1),0)</f>
        <v>0</v>
      </c>
      <c r="AK49" s="11" t="n">
        <f aca="false">IF(AND(AK$1&gt;=Units!$Q48,MOD(AK$1-Units!$Q48,12)=0),IF(AND(Units!$L48=1,AK$1=Units!$Q48),1,Inputs!$B$15)*Inputs!$B$16*(1+Inputs!$B$11)^(AK$2-1),0)</f>
        <v>0</v>
      </c>
      <c r="AL49" s="11" t="n">
        <f aca="false">IF(AND(AL$1&gt;=Units!$Q48,MOD(AL$1-Units!$Q48,12)=0),IF(AND(Units!$L48=1,AL$1=Units!$Q48),1,Inputs!$B$15)*Inputs!$B$16*(1+Inputs!$B$11)^(AL$2-1),0)</f>
        <v>0</v>
      </c>
      <c r="AM49" s="11" t="n">
        <f aca="false">IF(AND(AM$1&gt;=Units!$Q48,MOD(AM$1-Units!$Q48,12)=0),IF(AND(Units!$L48=1,AM$1=Units!$Q48),1,Inputs!$B$15)*Inputs!$B$16*(1+Inputs!$B$11)^(AM$2-1),0)</f>
        <v>0</v>
      </c>
      <c r="AN49" s="11" t="n">
        <f aca="false">IF(AND(AN$1&gt;=Units!$Q48,MOD(AN$1-Units!$Q48,12)=0),IF(AND(Units!$L48=1,AN$1=Units!$Q48),1,Inputs!$B$15)*Inputs!$B$16*(1+Inputs!$B$11)^(AN$2-1),0)</f>
        <v>0</v>
      </c>
      <c r="AO49" s="11" t="n">
        <f aca="false">IF(AND(AO$1&gt;=Units!$Q48,MOD(AO$1-Units!$Q48,12)=0),IF(AND(Units!$L48=1,AO$1=Units!$Q48),1,Inputs!$B$15)*Inputs!$B$16*(1+Inputs!$B$11)^(AO$2-1),0)</f>
        <v>0</v>
      </c>
      <c r="AP49" s="11" t="n">
        <f aca="false">IF(AND(AP$1&gt;=Units!$Q48,MOD(AP$1-Units!$Q48,12)=0),IF(AND(Units!$L48=1,AP$1=Units!$Q48),1,Inputs!$B$15)*Inputs!$B$16*(1+Inputs!$B$11)^(AP$2-1),0)</f>
        <v>0</v>
      </c>
      <c r="AQ49" s="11" t="n">
        <f aca="false">IF(AND(AQ$1&gt;=Units!$Q48,MOD(AQ$1-Units!$Q48,12)=0),IF(AND(Units!$L48=1,AQ$1=Units!$Q48),1,Inputs!$B$15)*Inputs!$B$16*(1+Inputs!$B$11)^(AQ$2-1),0)</f>
        <v>0</v>
      </c>
      <c r="AR49" s="11" t="n">
        <f aca="false">IF(AND(AR$1&gt;=Units!$Q48,MOD(AR$1-Units!$Q48,12)=0),IF(AND(Units!$L48=1,AR$1=Units!$Q48),1,Inputs!$B$15)*Inputs!$B$16*(1+Inputs!$B$11)^(AR$2-1),0)</f>
        <v>0</v>
      </c>
      <c r="AS49" s="11" t="n">
        <f aca="false">IF(AND(AS$1&gt;=Units!$Q48,MOD(AS$1-Units!$Q48,12)=0),IF(AND(Units!$L48=1,AS$1=Units!$Q48),1,Inputs!$B$15)*Inputs!$B$16*(1+Inputs!$B$11)^(AS$2-1),0)</f>
        <v>546.3635</v>
      </c>
      <c r="AT49" s="11" t="n">
        <f aca="false">IF(AND(AT$1&gt;=Units!$Q48,MOD(AT$1-Units!$Q48,12)=0),IF(AND(Units!$L48=1,AT$1=Units!$Q48),1,Inputs!$B$15)*Inputs!$B$16*(1+Inputs!$B$11)^(AT$2-1),0)</f>
        <v>0</v>
      </c>
      <c r="AU49" s="11" t="n">
        <f aca="false">IF(AND(AU$1&gt;=Units!$Q48,MOD(AU$1-Units!$Q48,12)=0),IF(AND(Units!$L48=1,AU$1=Units!$Q48),1,Inputs!$B$15)*Inputs!$B$16*(1+Inputs!$B$11)^(AU$2-1),0)</f>
        <v>0</v>
      </c>
      <c r="AV49" s="11" t="n">
        <f aca="false">IF(AND(AV$1&gt;=Units!$Q48,MOD(AV$1-Units!$Q48,12)=0),IF(AND(Units!$L48=1,AV$1=Units!$Q48),1,Inputs!$B$15)*Inputs!$B$16*(1+Inputs!$B$11)^(AV$2-1),0)</f>
        <v>0</v>
      </c>
      <c r="AW49" s="11" t="n">
        <f aca="false">IF(AND(AW$1&gt;=Units!$Q48,MOD(AW$1-Units!$Q48,12)=0),IF(AND(Units!$L48=1,AW$1=Units!$Q48),1,Inputs!$B$15)*Inputs!$B$16*(1+Inputs!$B$11)^(AW$2-1),0)</f>
        <v>0</v>
      </c>
      <c r="AX49" s="11" t="n">
        <f aca="false">IF(AND(AX$1&gt;=Units!$Q48,MOD(AX$1-Units!$Q48,12)=0),IF(AND(Units!$L48=1,AX$1=Units!$Q48),1,Inputs!$B$15)*Inputs!$B$16*(1+Inputs!$B$11)^(AX$2-1),0)</f>
        <v>0</v>
      </c>
      <c r="AY49" s="11" t="n">
        <f aca="false">IF(AND(AY$1&gt;=Units!$Q48,MOD(AY$1-Units!$Q48,12)=0),IF(AND(Units!$L48=1,AY$1=Units!$Q48),1,Inputs!$B$15)*Inputs!$B$16*(1+Inputs!$B$11)^(AY$2-1),0)</f>
        <v>0</v>
      </c>
      <c r="AZ49" s="11" t="n">
        <f aca="false">IF(AND(AZ$1&gt;=Units!$Q48,MOD(AZ$1-Units!$Q48,12)=0),IF(AND(Units!$L48=1,AZ$1=Units!$Q48),1,Inputs!$B$15)*Inputs!$B$16*(1+Inputs!$B$11)^(AZ$2-1),0)</f>
        <v>0</v>
      </c>
      <c r="BA49" s="11" t="n">
        <f aca="false">IF(AND(BA$1&gt;=Units!$Q48,MOD(BA$1-Units!$Q48,12)=0),IF(AND(Units!$L48=1,BA$1=Units!$Q48),1,Inputs!$B$15)*Inputs!$B$16*(1+Inputs!$B$11)^(BA$2-1),0)</f>
        <v>0</v>
      </c>
      <c r="BB49" s="11" t="n">
        <f aca="false">IF(AND(BB$1&gt;=Units!$Q48,MOD(BB$1-Units!$Q48,12)=0),IF(AND(Units!$L48=1,BB$1=Units!$Q48),1,Inputs!$B$15)*Inputs!$B$16*(1+Inputs!$B$11)^(BB$2-1),0)</f>
        <v>0</v>
      </c>
      <c r="BC49" s="11" t="n">
        <f aca="false">IF(AND(BC$1&gt;=Units!$Q48,MOD(BC$1-Units!$Q48,12)=0),IF(AND(Units!$L48=1,BC$1=Units!$Q48),1,Inputs!$B$15)*Inputs!$B$16*(1+Inputs!$B$11)^(BC$2-1),0)</f>
        <v>0</v>
      </c>
      <c r="BD49" s="11" t="n">
        <f aca="false">IF(AND(BD$1&gt;=Units!$Q48,MOD(BD$1-Units!$Q48,12)=0),IF(AND(Units!$L48=1,BD$1=Units!$Q48),1,Inputs!$B$15)*Inputs!$B$16*(1+Inputs!$B$11)^(BD$2-1),0)</f>
        <v>0</v>
      </c>
      <c r="BE49" s="11" t="n">
        <f aca="false">IF(AND(BE$1&gt;=Units!$Q48,MOD(BE$1-Units!$Q48,12)=0),IF(AND(Units!$L48=1,BE$1=Units!$Q48),1,Inputs!$B$15)*Inputs!$B$16*(1+Inputs!$B$11)^(BE$2-1),0)</f>
        <v>562.754405</v>
      </c>
      <c r="BF49" s="11" t="n">
        <f aca="false">IF(AND(BF$1&gt;=Units!$Q48,MOD(BF$1-Units!$Q48,12)=0),IF(AND(Units!$L48=1,BF$1=Units!$Q48),1,Inputs!$B$15)*Inputs!$B$16*(1+Inputs!$B$11)^(BF$2-1),0)</f>
        <v>0</v>
      </c>
      <c r="BG49" s="11" t="n">
        <f aca="false">IF(AND(BG$1&gt;=Units!$Q48,MOD(BG$1-Units!$Q48,12)=0),IF(AND(Units!$L48=1,BG$1=Units!$Q48),1,Inputs!$B$15)*Inputs!$B$16*(1+Inputs!$B$11)^(BG$2-1),0)</f>
        <v>0</v>
      </c>
      <c r="BH49" s="11" t="n">
        <f aca="false">IF(AND(BH$1&gt;=Units!$Q48,MOD(BH$1-Units!$Q48,12)=0),IF(AND(Units!$L48=1,BH$1=Units!$Q48),1,Inputs!$B$15)*Inputs!$B$16*(1+Inputs!$B$11)^(BH$2-1),0)</f>
        <v>0</v>
      </c>
      <c r="BI49" s="11" t="n">
        <f aca="false">IF(AND(BI$1&gt;=Units!$Q48,MOD(BI$1-Units!$Q48,12)=0),IF(AND(Units!$L48=1,BI$1=Units!$Q48),1,Inputs!$B$15)*Inputs!$B$16*(1+Inputs!$B$11)^(BI$2-1),0)</f>
        <v>0</v>
      </c>
      <c r="BJ49" s="11" t="n">
        <f aca="false">IF(AND(BJ$1&gt;=Units!$Q48,MOD(BJ$1-Units!$Q48,12)=0),IF(AND(Units!$L48=1,BJ$1=Units!$Q48),1,Inputs!$B$15)*Inputs!$B$16*(1+Inputs!$B$11)^(BJ$2-1),0)</f>
        <v>0</v>
      </c>
      <c r="BK49" s="11" t="n">
        <f aca="false">IF(AND(BK$1&gt;=Units!$Q48,MOD(BK$1-Units!$Q48,12)=0),IF(AND(Units!$L48=1,BK$1=Units!$Q48),1,Inputs!$B$15)*Inputs!$B$16*(1+Inputs!$B$11)^(BK$2-1),0)</f>
        <v>0</v>
      </c>
      <c r="BL49" s="11" t="n">
        <f aca="false">IF(AND(BL$1&gt;=Units!$Q48,MOD(BL$1-Units!$Q48,12)=0),IF(AND(Units!$L48=1,BL$1=Units!$Q48),1,Inputs!$B$15)*Inputs!$B$16*(1+Inputs!$B$11)^(BL$2-1),0)</f>
        <v>0</v>
      </c>
      <c r="BM49" s="11" t="n">
        <f aca="false">IF(AND(BM$1&gt;=Units!$Q48,MOD(BM$1-Units!$Q48,12)=0),IF(AND(Units!$L48=1,BM$1=Units!$Q48),1,Inputs!$B$15)*Inputs!$B$16*(1+Inputs!$B$11)^(BM$2-1),0)</f>
        <v>0</v>
      </c>
      <c r="BN49" s="11" t="n">
        <f aca="false">IF(AND(BN$1&gt;=Units!$Q48,MOD(BN$1-Units!$Q48,12)=0),IF(AND(Units!$L48=1,BN$1=Units!$Q48),1,Inputs!$B$15)*Inputs!$B$16*(1+Inputs!$B$11)^(BN$2-1),0)</f>
        <v>0</v>
      </c>
      <c r="BO49" s="11" t="n">
        <f aca="false">IF(AND(BO$1&gt;=Units!$Q48,MOD(BO$1-Units!$Q48,12)=0),IF(AND(Units!$L48=1,BO$1=Units!$Q48),1,Inputs!$B$15)*Inputs!$B$16*(1+Inputs!$B$11)^(BO$2-1),0)</f>
        <v>0</v>
      </c>
      <c r="BP49" s="11" t="n">
        <f aca="false">IF(AND(BP$1&gt;=Units!$Q48,MOD(BP$1-Units!$Q48,12)=0),IF(AND(Units!$L48=1,BP$1=Units!$Q48),1,Inputs!$B$15)*Inputs!$B$16*(1+Inputs!$B$11)^(BP$2-1),0)</f>
        <v>0</v>
      </c>
      <c r="BQ49" s="11" t="n">
        <f aca="false">IF(AND(BQ$1&gt;=Units!$Q48,MOD(BQ$1-Units!$Q48,12)=0),IF(AND(Units!$L48=1,BQ$1=Units!$Q48),1,Inputs!$B$15)*Inputs!$B$16*(1+Inputs!$B$11)^(BQ$2-1),0)</f>
        <v>579.63703715</v>
      </c>
      <c r="BR49" s="11" t="n">
        <f aca="false">IF(AND(BR$1&gt;=Units!$Q48,MOD(BR$1-Units!$Q48,12)=0),IF(AND(Units!$L48=1,BR$1=Units!$Q48),1,Inputs!$B$15)*Inputs!$B$16*(1+Inputs!$B$11)^(BR$2-1),0)</f>
        <v>0</v>
      </c>
      <c r="BS49" s="11" t="n">
        <f aca="false">IF(AND(BS$1&gt;=Units!$Q48,MOD(BS$1-Units!$Q48,12)=0),IF(AND(Units!$L48=1,BS$1=Units!$Q48),1,Inputs!$B$15)*Inputs!$B$16*(1+Inputs!$B$11)^(BS$2-1),0)</f>
        <v>0</v>
      </c>
      <c r="BT49" s="11" t="n">
        <f aca="false">IF(AND(BT$1&gt;=Units!$Q48,MOD(BT$1-Units!$Q48,12)=0),IF(AND(Units!$L48=1,BT$1=Units!$Q48),1,Inputs!$B$15)*Inputs!$B$16*(1+Inputs!$B$11)^(BT$2-1),0)</f>
        <v>0</v>
      </c>
      <c r="BU49" s="11" t="n">
        <f aca="false">IF(AND(BU$1&gt;=Units!$Q48,MOD(BU$1-Units!$Q48,12)=0),IF(AND(Units!$L48=1,BU$1=Units!$Q48),1,Inputs!$B$15)*Inputs!$B$16*(1+Inputs!$B$11)^(BU$2-1),0)</f>
        <v>0</v>
      </c>
      <c r="BV49" s="11" t="n">
        <f aca="false">IF(AND(BV$1&gt;=Units!$Q48,MOD(BV$1-Units!$Q48,12)=0),IF(AND(Units!$L48=1,BV$1=Units!$Q48),1,Inputs!$B$15)*Inputs!$B$16*(1+Inputs!$B$11)^(BV$2-1),0)</f>
        <v>0</v>
      </c>
      <c r="BW49" s="11" t="n">
        <f aca="false">IF(AND(BW$1&gt;=Units!$Q48,MOD(BW$1-Units!$Q48,12)=0),IF(AND(Units!$L48=1,BW$1=Units!$Q48),1,Inputs!$B$15)*Inputs!$B$16*(1+Inputs!$B$11)^(BW$2-1),0)</f>
        <v>0</v>
      </c>
      <c r="BX49" s="11" t="n">
        <f aca="false">IF(AND(BX$1&gt;=Units!$Q48,MOD(BX$1-Units!$Q48,12)=0),IF(AND(Units!$L48=1,BX$1=Units!$Q48),1,Inputs!$B$15)*Inputs!$B$16*(1+Inputs!$B$11)^(BX$2-1),0)</f>
        <v>0</v>
      </c>
      <c r="BY49" s="11" t="n">
        <f aca="false">IF(AND(BY$1&gt;=Units!$Q48,MOD(BY$1-Units!$Q48,12)=0),IF(AND(Units!$L48=1,BY$1=Units!$Q48),1,Inputs!$B$15)*Inputs!$B$16*(1+Inputs!$B$11)^(BY$2-1),0)</f>
        <v>0</v>
      </c>
      <c r="BZ49" s="11" t="n">
        <f aca="false">IF(AND(BZ$1&gt;=Units!$Q48,MOD(BZ$1-Units!$Q48,12)=0),IF(AND(Units!$L48=1,BZ$1=Units!$Q48),1,Inputs!$B$15)*Inputs!$B$16*(1+Inputs!$B$11)^(BZ$2-1),0)</f>
        <v>0</v>
      </c>
      <c r="CA49" s="11" t="n">
        <f aca="false">IF(AND(CA$1&gt;=Units!$Q48,MOD(CA$1-Units!$Q48,12)=0),IF(AND(Units!$L48=1,CA$1=Units!$Q48),1,Inputs!$B$15)*Inputs!$B$16*(1+Inputs!$B$11)^(CA$2-1),0)</f>
        <v>0</v>
      </c>
      <c r="CB49" s="11" t="n">
        <f aca="false">IF(AND(CB$1&gt;=Units!$Q48,MOD(CB$1-Units!$Q48,12)=0),IF(AND(Units!$L48=1,CB$1=Units!$Q48),1,Inputs!$B$15)*Inputs!$B$16*(1+Inputs!$B$11)^(CB$2-1),0)</f>
        <v>0</v>
      </c>
      <c r="CC49" s="11" t="n">
        <f aca="false">IF(AND(CC$1&gt;=Units!$Q48,MOD(CC$1-Units!$Q48,12)=0),IF(AND(Units!$L48=1,CC$1=Units!$Q48),1,Inputs!$B$15)*Inputs!$B$16*(1+Inputs!$B$11)^(CC$2-1),0)</f>
        <v>597.0261482645</v>
      </c>
      <c r="CD49" s="11" t="n">
        <f aca="false">IF(AND(CD$1&gt;=Units!$Q48,MOD(CD$1-Units!$Q48,12)=0),IF(AND(Units!$L48=1,CD$1=Units!$Q48),1,Inputs!$B$15)*Inputs!$B$16*(1+Inputs!$B$11)^(CD$2-1),0)</f>
        <v>0</v>
      </c>
      <c r="CE49" s="11" t="n">
        <f aca="false">IF(AND(CE$1&gt;=Units!$Q48,MOD(CE$1-Units!$Q48,12)=0),IF(AND(Units!$L48=1,CE$1=Units!$Q48),1,Inputs!$B$15)*Inputs!$B$16*(1+Inputs!$B$11)^(CE$2-1),0)</f>
        <v>0</v>
      </c>
      <c r="CF49" s="11" t="n">
        <f aca="false">IF(AND(CF$1&gt;=Units!$Q48,MOD(CF$1-Units!$Q48,12)=0),IF(AND(Units!$L48=1,CF$1=Units!$Q48),1,Inputs!$B$15)*Inputs!$B$16*(1+Inputs!$B$11)^(CF$2-1),0)</f>
        <v>0</v>
      </c>
      <c r="CG49" s="11" t="n">
        <f aca="false">IF(AND(CG$1&gt;=Units!$Q48,MOD(CG$1-Units!$Q48,12)=0),IF(AND(Units!$L48=1,CG$1=Units!$Q48),1,Inputs!$B$15)*Inputs!$B$16*(1+Inputs!$B$11)^(CG$2-1),0)</f>
        <v>0</v>
      </c>
      <c r="CH49" s="11" t="n">
        <f aca="false">IF(AND(CH$1&gt;=Units!$Q48,MOD(CH$1-Units!$Q48,12)=0),IF(AND(Units!$L48=1,CH$1=Units!$Q48),1,Inputs!$B$15)*Inputs!$B$16*(1+Inputs!$B$11)^(CH$2-1),0)</f>
        <v>0</v>
      </c>
      <c r="CI49" s="11" t="n">
        <f aca="false">IF(AND(CI$1&gt;=Units!$Q48,MOD(CI$1-Units!$Q48,12)=0),IF(AND(Units!$L48=1,CI$1=Units!$Q48),1,Inputs!$B$15)*Inputs!$B$16*(1+Inputs!$B$11)^(CI$2-1),0)</f>
        <v>0</v>
      </c>
      <c r="CJ49" s="11" t="n">
        <f aca="false">IF(AND(CJ$1&gt;=Units!$Q48,MOD(CJ$1-Units!$Q48,12)=0),IF(AND(Units!$L48=1,CJ$1=Units!$Q48),1,Inputs!$B$15)*Inputs!$B$16*(1+Inputs!$B$11)^(CJ$2-1),0)</f>
        <v>0</v>
      </c>
      <c r="CK49" s="11" t="n">
        <f aca="false">IF(AND(CK$1&gt;=Units!$Q48,MOD(CK$1-Units!$Q48,12)=0),IF(AND(Units!$L48=1,CK$1=Units!$Q48),1,Inputs!$B$15)*Inputs!$B$16*(1+Inputs!$B$11)^(CK$2-1),0)</f>
        <v>0</v>
      </c>
      <c r="CL49" s="11" t="n">
        <f aca="false">IF(AND(CL$1&gt;=Units!$Q48,MOD(CL$1-Units!$Q48,12)=0),IF(AND(Units!$L48=1,CL$1=Units!$Q48),1,Inputs!$B$15)*Inputs!$B$16*(1+Inputs!$B$11)^(CL$2-1),0)</f>
        <v>0</v>
      </c>
      <c r="CM49" s="11" t="n">
        <f aca="false">IF(AND(CM$1&gt;=Units!$Q48,MOD(CM$1-Units!$Q48,12)=0),IF(AND(Units!$L48=1,CM$1=Units!$Q48),1,Inputs!$B$15)*Inputs!$B$16*(1+Inputs!$B$11)^(CM$2-1),0)</f>
        <v>0</v>
      </c>
      <c r="CN49" s="11" t="n">
        <f aca="false">IF(AND(CN$1&gt;=Units!$Q48,MOD(CN$1-Units!$Q48,12)=0),IF(AND(Units!$L48=1,CN$1=Units!$Q48),1,Inputs!$B$15)*Inputs!$B$16*(1+Inputs!$B$11)^(CN$2-1),0)</f>
        <v>0</v>
      </c>
      <c r="CO49" s="11" t="n">
        <f aca="false">IF(AND(CO$1&gt;=Units!$Q48,MOD(CO$1-Units!$Q48,12)=0),IF(AND(Units!$L48=1,CO$1=Units!$Q48),1,Inputs!$B$15)*Inputs!$B$16*(1+Inputs!$B$11)^(CO$2-1),0)</f>
        <v>614.936932712435</v>
      </c>
      <c r="CP49" s="11" t="n">
        <f aca="false">IF(AND(CP$1&gt;=Units!$Q48,MOD(CP$1-Units!$Q48,12)=0),IF(AND(Units!$L48=1,CP$1=Units!$Q48),1,Inputs!$B$15)*Inputs!$B$16*(1+Inputs!$B$11)^(CP$2-1),0)</f>
        <v>0</v>
      </c>
      <c r="CQ49" s="11" t="n">
        <f aca="false">IF(AND(CQ$1&gt;=Units!$Q48,MOD(CQ$1-Units!$Q48,12)=0),IF(AND(Units!$L48=1,CQ$1=Units!$Q48),1,Inputs!$B$15)*Inputs!$B$16*(1+Inputs!$B$11)^(CQ$2-1),0)</f>
        <v>0</v>
      </c>
      <c r="CR49" s="11" t="n">
        <f aca="false">IF(AND(CR$1&gt;=Units!$Q48,MOD(CR$1-Units!$Q48,12)=0),IF(AND(Units!$L48=1,CR$1=Units!$Q48),1,Inputs!$B$15)*Inputs!$B$16*(1+Inputs!$B$11)^(CR$2-1),0)</f>
        <v>0</v>
      </c>
      <c r="CS49" s="11" t="n">
        <f aca="false">IF(AND(CS$1&gt;=Units!$Q48,MOD(CS$1-Units!$Q48,12)=0),IF(AND(Units!$L48=1,CS$1=Units!$Q48),1,Inputs!$B$15)*Inputs!$B$16*(1+Inputs!$B$11)^(CS$2-1),0)</f>
        <v>0</v>
      </c>
      <c r="CT49" s="11" t="n">
        <f aca="false">IF(AND(CT$1&gt;=Units!$Q48,MOD(CT$1-Units!$Q48,12)=0),IF(AND(Units!$L48=1,CT$1=Units!$Q48),1,Inputs!$B$15)*Inputs!$B$16*(1+Inputs!$B$11)^(CT$2-1),0)</f>
        <v>0</v>
      </c>
      <c r="CU49" s="11" t="n">
        <f aca="false">IF(AND(CU$1&gt;=Units!$Q48,MOD(CU$1-Units!$Q48,12)=0),IF(AND(Units!$L48=1,CU$1=Units!$Q48),1,Inputs!$B$15)*Inputs!$B$16*(1+Inputs!$B$11)^(CU$2-1),0)</f>
        <v>0</v>
      </c>
      <c r="CV49" s="11" t="n">
        <f aca="false">IF(AND(CV$1&gt;=Units!$Q48,MOD(CV$1-Units!$Q48,12)=0),IF(AND(Units!$L48=1,CV$1=Units!$Q48),1,Inputs!$B$15)*Inputs!$B$16*(1+Inputs!$B$11)^(CV$2-1),0)</f>
        <v>0</v>
      </c>
      <c r="CW49" s="11" t="n">
        <f aca="false">IF(AND(CW$1&gt;=Units!$Q48,MOD(CW$1-Units!$Q48,12)=0),IF(AND(Units!$L48=1,CW$1=Units!$Q48),1,Inputs!$B$15)*Inputs!$B$16*(1+Inputs!$B$11)^(CW$2-1),0)</f>
        <v>0</v>
      </c>
      <c r="CX49" s="11" t="n">
        <f aca="false">IF(AND(CX$1&gt;=Units!$Q48,MOD(CX$1-Units!$Q48,12)=0),IF(AND(Units!$L48=1,CX$1=Units!$Q48),1,Inputs!$B$15)*Inputs!$B$16*(1+Inputs!$B$11)^(CX$2-1),0)</f>
        <v>0</v>
      </c>
      <c r="CY49" s="11" t="n">
        <f aca="false">IF(AND(CY$1&gt;=Units!$Q48,MOD(CY$1-Units!$Q48,12)=0),IF(AND(Units!$L48=1,CY$1=Units!$Q48),1,Inputs!$B$15)*Inputs!$B$16*(1+Inputs!$B$11)^(CY$2-1),0)</f>
        <v>0</v>
      </c>
      <c r="CZ49" s="11" t="n">
        <f aca="false">IF(AND(CZ$1&gt;=Units!$Q48,MOD(CZ$1-Units!$Q48,12)=0),IF(AND(Units!$L48=1,CZ$1=Units!$Q48),1,Inputs!$B$15)*Inputs!$B$16*(1+Inputs!$B$11)^(CZ$2-1),0)</f>
        <v>0</v>
      </c>
      <c r="DA49" s="11" t="n">
        <f aca="false">IF(AND(DA$1&gt;=Units!$Q48,MOD(DA$1-Units!$Q48,12)=0),IF(AND(Units!$L48=1,DA$1=Units!$Q48),1,Inputs!$B$15)*Inputs!$B$16*(1+Inputs!$B$11)^(DA$2-1),0)</f>
        <v>633.385040693808</v>
      </c>
      <c r="DB49" s="11" t="n">
        <f aca="false">IF(AND(DB$1&gt;=Units!$Q48,MOD(DB$1-Units!$Q48,12)=0),IF(AND(Units!$L48=1,DB$1=Units!$Q48),1,Inputs!$B$15)*Inputs!$B$16*(1+Inputs!$B$11)^(DB$2-1),0)</f>
        <v>0</v>
      </c>
      <c r="DC49" s="11" t="n">
        <f aca="false">IF(AND(DC$1&gt;=Units!$Q48,MOD(DC$1-Units!$Q48,12)=0),IF(AND(Units!$L48=1,DC$1=Units!$Q48),1,Inputs!$B$15)*Inputs!$B$16*(1+Inputs!$B$11)^(DC$2-1),0)</f>
        <v>0</v>
      </c>
      <c r="DD49" s="11" t="n">
        <f aca="false">IF(AND(DD$1&gt;=Units!$Q48,MOD(DD$1-Units!$Q48,12)=0),IF(AND(Units!$L48=1,DD$1=Units!$Q48),1,Inputs!$B$15)*Inputs!$B$16*(1+Inputs!$B$11)^(DD$2-1),0)</f>
        <v>0</v>
      </c>
      <c r="DE49" s="11" t="n">
        <f aca="false">IF(AND(DE$1&gt;=Units!$Q48,MOD(DE$1-Units!$Q48,12)=0),IF(AND(Units!$L48=1,DE$1=Units!$Q48),1,Inputs!$B$15)*Inputs!$B$16*(1+Inputs!$B$11)^(DE$2-1),0)</f>
        <v>0</v>
      </c>
      <c r="DF49" s="11" t="n">
        <f aca="false">IF(AND(DF$1&gt;=Units!$Q48,MOD(DF$1-Units!$Q48,12)=0),IF(AND(Units!$L48=1,DF$1=Units!$Q48),1,Inputs!$B$15)*Inputs!$B$16*(1+Inputs!$B$11)^(DF$2-1),0)</f>
        <v>0</v>
      </c>
      <c r="DG49" s="11" t="n">
        <f aca="false">IF(AND(DG$1&gt;=Units!$Q48,MOD(DG$1-Units!$Q48,12)=0),IF(AND(Units!$L48=1,DG$1=Units!$Q48),1,Inputs!$B$15)*Inputs!$B$16*(1+Inputs!$B$11)^(DG$2-1),0)</f>
        <v>0</v>
      </c>
      <c r="DH49" s="11" t="n">
        <f aca="false">IF(AND(DH$1&gt;=Units!$Q48,MOD(DH$1-Units!$Q48,12)=0),IF(AND(Units!$L48=1,DH$1=Units!$Q48),1,Inputs!$B$15)*Inputs!$B$16*(1+Inputs!$B$11)^(DH$2-1),0)</f>
        <v>0</v>
      </c>
      <c r="DI49" s="11" t="n">
        <f aca="false">IF(AND(DI$1&gt;=Units!$Q48,MOD(DI$1-Units!$Q48,12)=0),IF(AND(Units!$L48=1,DI$1=Units!$Q48),1,Inputs!$B$15)*Inputs!$B$16*(1+Inputs!$B$11)^(DI$2-1),0)</f>
        <v>0</v>
      </c>
      <c r="DJ49" s="11" t="n">
        <f aca="false">IF(AND(DJ$1&gt;=Units!$Q48,MOD(DJ$1-Units!$Q48,12)=0),IF(AND(Units!$L48=1,DJ$1=Units!$Q48),1,Inputs!$B$15)*Inputs!$B$16*(1+Inputs!$B$11)^(DJ$2-1),0)</f>
        <v>0</v>
      </c>
      <c r="DK49" s="11" t="n">
        <f aca="false">IF(AND(DK$1&gt;=Units!$Q48,MOD(DK$1-Units!$Q48,12)=0),IF(AND(Units!$L48=1,DK$1=Units!$Q48),1,Inputs!$B$15)*Inputs!$B$16*(1+Inputs!$B$11)^(DK$2-1),0)</f>
        <v>0</v>
      </c>
      <c r="DL49" s="11" t="n">
        <f aca="false">IF(AND(DL$1&gt;=Units!$Q48,MOD(DL$1-Units!$Q48,12)=0),IF(AND(Units!$L48=1,DL$1=Units!$Q48),1,Inputs!$B$15)*Inputs!$B$16*(1+Inputs!$B$11)^(DL$2-1),0)</f>
        <v>0</v>
      </c>
      <c r="DM49" s="11" t="n">
        <f aca="false">IF(AND(DM$1&gt;=Units!$Q48,MOD(DM$1-Units!$Q48,12)=0),IF(AND(Units!$L48=1,DM$1=Units!$Q48),1,Inputs!$B$15)*Inputs!$B$16*(1+Inputs!$B$11)^(DM$2-1),0)</f>
        <v>652.386591914623</v>
      </c>
      <c r="DN49" s="11" t="n">
        <f aca="false">IF(AND(DN$1&gt;=Units!$Q48,MOD(DN$1-Units!$Q48,12)=0),IF(AND(Units!$L48=1,DN$1=Units!$Q48),1,Inputs!$B$15)*Inputs!$B$16*(1+Inputs!$B$11)^(DN$2-1),0)</f>
        <v>0</v>
      </c>
      <c r="DO49" s="11" t="n">
        <f aca="false">IF(AND(DO$1&gt;=Units!$Q48,MOD(DO$1-Units!$Q48,12)=0),IF(AND(Units!$L48=1,DO$1=Units!$Q48),1,Inputs!$B$15)*Inputs!$B$16*(1+Inputs!$B$11)^(DO$2-1),0)</f>
        <v>0</v>
      </c>
      <c r="DP49" s="11" t="n">
        <f aca="false">IF(AND(DP$1&gt;=Units!$Q48,MOD(DP$1-Units!$Q48,12)=0),IF(AND(Units!$L48=1,DP$1=Units!$Q48),1,Inputs!$B$15)*Inputs!$B$16*(1+Inputs!$B$11)^(DP$2-1),0)</f>
        <v>0</v>
      </c>
      <c r="DQ49" s="11" t="n">
        <f aca="false">IF(AND(DQ$1&gt;=Units!$Q48,MOD(DQ$1-Units!$Q48,12)=0),IF(AND(Units!$L48=1,DQ$1=Units!$Q48),1,Inputs!$B$15)*Inputs!$B$16*(1+Inputs!$B$11)^(DQ$2-1),0)</f>
        <v>0</v>
      </c>
      <c r="DR49" s="11" t="n">
        <f aca="false">IF(AND(DR$1&gt;=Units!$Q48,MOD(DR$1-Units!$Q48,12)=0),IF(AND(Units!$L48=1,DR$1=Units!$Q48),1,Inputs!$B$15)*Inputs!$B$16*(1+Inputs!$B$11)^(DR$2-1),0)</f>
        <v>0</v>
      </c>
      <c r="DS49" s="11" t="n">
        <f aca="false">IF(AND(DS$1&gt;=Units!$Q48,MOD(DS$1-Units!$Q48,12)=0),IF(AND(Units!$L48=1,DS$1=Units!$Q48),1,Inputs!$B$15)*Inputs!$B$16*(1+Inputs!$B$11)^(DS$2-1),0)</f>
        <v>0</v>
      </c>
      <c r="DT49" s="11" t="n">
        <f aca="false">IF(AND(DT$1&gt;=Units!$Q48,MOD(DT$1-Units!$Q48,12)=0),IF(AND(Units!$L48=1,DT$1=Units!$Q48),1,Inputs!$B$15)*Inputs!$B$16*(1+Inputs!$B$11)^(DT$2-1),0)</f>
        <v>0</v>
      </c>
      <c r="DU49" s="11" t="n">
        <f aca="false">IF(AND(DU$1&gt;=Units!$Q48,MOD(DU$1-Units!$Q48,12)=0),IF(AND(Units!$L48=1,DU$1=Units!$Q48),1,Inputs!$B$15)*Inputs!$B$16*(1+Inputs!$B$11)^(DU$2-1),0)</f>
        <v>0</v>
      </c>
      <c r="DV49" s="11" t="n">
        <f aca="false">IF(AND(DV$1&gt;=Units!$Q48,MOD(DV$1-Units!$Q48,12)=0),IF(AND(Units!$L48=1,DV$1=Units!$Q48),1,Inputs!$B$15)*Inputs!$B$16*(1+Inputs!$B$11)^(DV$2-1),0)</f>
        <v>0</v>
      </c>
      <c r="DW49" s="11" t="n">
        <f aca="false">IF(AND(DW$1&gt;=Units!$Q48,MOD(DW$1-Units!$Q48,12)=0),IF(AND(Units!$L48=1,DW$1=Units!$Q48),1,Inputs!$B$15)*Inputs!$B$16*(1+Inputs!$B$11)^(DW$2-1),0)</f>
        <v>0</v>
      </c>
      <c r="DX49" s="11" t="n">
        <f aca="false">IF(AND(DX$1&gt;=Units!$Q48,MOD(DX$1-Units!$Q48,12)=0),IF(AND(Units!$L48=1,DX$1=Units!$Q48),1,Inputs!$B$15)*Inputs!$B$16*(1+Inputs!$B$11)^(DX$2-1),0)</f>
        <v>0</v>
      </c>
      <c r="DY49" s="11" t="n">
        <f aca="false">IF(AND(DY$1&gt;=Units!$Q48,MOD(DY$1-Units!$Q48,12)=0),IF(AND(Units!$L48=1,DY$1=Units!$Q48),1,Inputs!$B$15)*Inputs!$B$16*(1+Inputs!$B$11)^(DY$2-1),0)</f>
        <v>671.958189672061</v>
      </c>
      <c r="DZ49" s="11" t="n">
        <f aca="false">IF(AND(DZ$1&gt;=Units!$Q48,MOD(DZ$1-Units!$Q48,12)=0),IF(AND(Units!$L48=1,DZ$1=Units!$Q48),1,Inputs!$B$15)*Inputs!$B$16*(1+Inputs!$B$11)^(DZ$2-1),0)</f>
        <v>0</v>
      </c>
      <c r="EA49" s="11" t="n">
        <f aca="false">IF(AND(EA$1&gt;=Units!$Q48,MOD(EA$1-Units!$Q48,12)=0),IF(AND(Units!$L48=1,EA$1=Units!$Q48),1,Inputs!$B$15)*Inputs!$B$16*(1+Inputs!$B$11)^(EA$2-1),0)</f>
        <v>0</v>
      </c>
      <c r="EB49" s="11" t="n">
        <f aca="false">IF(AND(EB$1&gt;=Units!$Q48,MOD(EB$1-Units!$Q48,12)=0),IF(AND(Units!$L48=1,EB$1=Units!$Q48),1,Inputs!$B$15)*Inputs!$B$16*(1+Inputs!$B$11)^(EB$2-1),0)</f>
        <v>0</v>
      </c>
      <c r="EC49" s="11" t="n">
        <f aca="false">IF(AND(EC$1&gt;=Units!$Q48,MOD(EC$1-Units!$Q48,12)=0),IF(AND(Units!$L48=1,EC$1=Units!$Q48),1,Inputs!$B$15)*Inputs!$B$16*(1+Inputs!$B$11)^(EC$2-1),0)</f>
        <v>0</v>
      </c>
      <c r="ED49" s="11" t="n">
        <f aca="false">IF(AND(ED$1&gt;=Units!$Q48,MOD(ED$1-Units!$Q48,12)=0),IF(AND(Units!$L48=1,ED$1=Units!$Q48),1,Inputs!$B$15)*Inputs!$B$16*(1+Inputs!$B$11)^(ED$2-1),0)</f>
        <v>0</v>
      </c>
    </row>
    <row r="50" customFormat="false" ht="15" hidden="false" customHeight="false" outlineLevel="0" collapsed="false">
      <c r="A50" s="22" t="n">
        <f aca="false">Units!A49</f>
        <v>218</v>
      </c>
      <c r="B50" s="23"/>
      <c r="C50" s="11" t="n">
        <f aca="false">IF(AND(C$1&gt;=Units!$Q49,MOD(C$1-Units!$Q49,12)=0),IF(AND(Units!$L49=1,C$1=Units!$Q49),1,Inputs!$B$15)*Inputs!$B$16*(1+Inputs!$B$11)^(C$2-1),0)</f>
        <v>0</v>
      </c>
      <c r="D50" s="11" t="n">
        <f aca="false">IF(AND(D$1&gt;=Units!$Q49,MOD(D$1-Units!$Q49,12)=0),IF(AND(Units!$L49=1,D$1=Units!$Q49),1,Inputs!$B$15)*Inputs!$B$16*(1+Inputs!$B$11)^(D$2-1),0)</f>
        <v>0</v>
      </c>
      <c r="E50" s="11" t="n">
        <f aca="false">IF(AND(E$1&gt;=Units!$Q49,MOD(E$1-Units!$Q49,12)=0),IF(AND(Units!$L49=1,E$1=Units!$Q49),1,Inputs!$B$15)*Inputs!$B$16*(1+Inputs!$B$11)^(E$2-1),0)</f>
        <v>0</v>
      </c>
      <c r="F50" s="11" t="n">
        <f aca="false">IF(AND(F$1&gt;=Units!$Q49,MOD(F$1-Units!$Q49,12)=0),IF(AND(Units!$L49=1,F$1=Units!$Q49),1,Inputs!$B$15)*Inputs!$B$16*(1+Inputs!$B$11)^(F$2-1),0)</f>
        <v>0</v>
      </c>
      <c r="G50" s="11" t="n">
        <f aca="false">IF(AND(G$1&gt;=Units!$Q49,MOD(G$1-Units!$Q49,12)=0),IF(AND(Units!$L49=1,G$1=Units!$Q49),1,Inputs!$B$15)*Inputs!$B$16*(1+Inputs!$B$11)^(G$2-1),0)</f>
        <v>0</v>
      </c>
      <c r="H50" s="11" t="n">
        <f aca="false">IF(AND(H$1&gt;=Units!$Q49,MOD(H$1-Units!$Q49,12)=0),IF(AND(Units!$L49=1,H$1=Units!$Q49),1,Inputs!$B$15)*Inputs!$B$16*(1+Inputs!$B$11)^(H$2-1),0)</f>
        <v>500</v>
      </c>
      <c r="I50" s="11" t="n">
        <f aca="false">IF(AND(I$1&gt;=Units!$Q49,MOD(I$1-Units!$Q49,12)=0),IF(AND(Units!$L49=1,I$1=Units!$Q49),1,Inputs!$B$15)*Inputs!$B$16*(1+Inputs!$B$11)^(I$2-1),0)</f>
        <v>0</v>
      </c>
      <c r="J50" s="11" t="n">
        <f aca="false">IF(AND(J$1&gt;=Units!$Q49,MOD(J$1-Units!$Q49,12)=0),IF(AND(Units!$L49=1,J$1=Units!$Q49),1,Inputs!$B$15)*Inputs!$B$16*(1+Inputs!$B$11)^(J$2-1),0)</f>
        <v>0</v>
      </c>
      <c r="K50" s="11" t="n">
        <f aca="false">IF(AND(K$1&gt;=Units!$Q49,MOD(K$1-Units!$Q49,12)=0),IF(AND(Units!$L49=1,K$1=Units!$Q49),1,Inputs!$B$15)*Inputs!$B$16*(1+Inputs!$B$11)^(K$2-1),0)</f>
        <v>0</v>
      </c>
      <c r="L50" s="11" t="n">
        <f aca="false">IF(AND(L$1&gt;=Units!$Q49,MOD(L$1-Units!$Q49,12)=0),IF(AND(Units!$L49=1,L$1=Units!$Q49),1,Inputs!$B$15)*Inputs!$B$16*(1+Inputs!$B$11)^(L$2-1),0)</f>
        <v>0</v>
      </c>
      <c r="M50" s="11" t="n">
        <f aca="false">IF(AND(M$1&gt;=Units!$Q49,MOD(M$1-Units!$Q49,12)=0),IF(AND(Units!$L49=1,M$1=Units!$Q49),1,Inputs!$B$15)*Inputs!$B$16*(1+Inputs!$B$11)^(M$2-1),0)</f>
        <v>0</v>
      </c>
      <c r="N50" s="11" t="n">
        <f aca="false">IF(AND(N$1&gt;=Units!$Q49,MOD(N$1-Units!$Q49,12)=0),IF(AND(Units!$L49=1,N$1=Units!$Q49),1,Inputs!$B$15)*Inputs!$B$16*(1+Inputs!$B$11)^(N$2-1),0)</f>
        <v>0</v>
      </c>
      <c r="O50" s="11" t="n">
        <f aca="false">IF(AND(O$1&gt;=Units!$Q49,MOD(O$1-Units!$Q49,12)=0),IF(AND(Units!$L49=1,O$1=Units!$Q49),1,Inputs!$B$15)*Inputs!$B$16*(1+Inputs!$B$11)^(O$2-1),0)</f>
        <v>0</v>
      </c>
      <c r="P50" s="11" t="n">
        <f aca="false">IF(AND(P$1&gt;=Units!$Q49,MOD(P$1-Units!$Q49,12)=0),IF(AND(Units!$L49=1,P$1=Units!$Q49),1,Inputs!$B$15)*Inputs!$B$16*(1+Inputs!$B$11)^(P$2-1),0)</f>
        <v>0</v>
      </c>
      <c r="Q50" s="11" t="n">
        <f aca="false">IF(AND(Q$1&gt;=Units!$Q49,MOD(Q$1-Units!$Q49,12)=0),IF(AND(Units!$L49=1,Q$1=Units!$Q49),1,Inputs!$B$15)*Inputs!$B$16*(1+Inputs!$B$11)^(Q$2-1),0)</f>
        <v>0</v>
      </c>
      <c r="R50" s="11" t="n">
        <f aca="false">IF(AND(R$1&gt;=Units!$Q49,MOD(R$1-Units!$Q49,12)=0),IF(AND(Units!$L49=1,R$1=Units!$Q49),1,Inputs!$B$15)*Inputs!$B$16*(1+Inputs!$B$11)^(R$2-1),0)</f>
        <v>0</v>
      </c>
      <c r="S50" s="11" t="n">
        <f aca="false">IF(AND(S$1&gt;=Units!$Q49,MOD(S$1-Units!$Q49,12)=0),IF(AND(Units!$L49=1,S$1=Units!$Q49),1,Inputs!$B$15)*Inputs!$B$16*(1+Inputs!$B$11)^(S$2-1),0)</f>
        <v>0</v>
      </c>
      <c r="T50" s="11" t="n">
        <f aca="false">IF(AND(T$1&gt;=Units!$Q49,MOD(T$1-Units!$Q49,12)=0),IF(AND(Units!$L49=1,T$1=Units!$Q49),1,Inputs!$B$15)*Inputs!$B$16*(1+Inputs!$B$11)^(T$2-1),0)</f>
        <v>515</v>
      </c>
      <c r="U50" s="11" t="n">
        <f aca="false">IF(AND(U$1&gt;=Units!$Q49,MOD(U$1-Units!$Q49,12)=0),IF(AND(Units!$L49=1,U$1=Units!$Q49),1,Inputs!$B$15)*Inputs!$B$16*(1+Inputs!$B$11)^(U$2-1),0)</f>
        <v>0</v>
      </c>
      <c r="V50" s="11" t="n">
        <f aca="false">IF(AND(V$1&gt;=Units!$Q49,MOD(V$1-Units!$Q49,12)=0),IF(AND(Units!$L49=1,V$1=Units!$Q49),1,Inputs!$B$15)*Inputs!$B$16*(1+Inputs!$B$11)^(V$2-1),0)</f>
        <v>0</v>
      </c>
      <c r="W50" s="11" t="n">
        <f aca="false">IF(AND(W$1&gt;=Units!$Q49,MOD(W$1-Units!$Q49,12)=0),IF(AND(Units!$L49=1,W$1=Units!$Q49),1,Inputs!$B$15)*Inputs!$B$16*(1+Inputs!$B$11)^(W$2-1),0)</f>
        <v>0</v>
      </c>
      <c r="X50" s="11" t="n">
        <f aca="false">IF(AND(X$1&gt;=Units!$Q49,MOD(X$1-Units!$Q49,12)=0),IF(AND(Units!$L49=1,X$1=Units!$Q49),1,Inputs!$B$15)*Inputs!$B$16*(1+Inputs!$B$11)^(X$2-1),0)</f>
        <v>0</v>
      </c>
      <c r="Y50" s="11" t="n">
        <f aca="false">IF(AND(Y$1&gt;=Units!$Q49,MOD(Y$1-Units!$Q49,12)=0),IF(AND(Units!$L49=1,Y$1=Units!$Q49),1,Inputs!$B$15)*Inputs!$B$16*(1+Inputs!$B$11)^(Y$2-1),0)</f>
        <v>0</v>
      </c>
      <c r="Z50" s="11" t="n">
        <f aca="false">IF(AND(Z$1&gt;=Units!$Q49,MOD(Z$1-Units!$Q49,12)=0),IF(AND(Units!$L49=1,Z$1=Units!$Q49),1,Inputs!$B$15)*Inputs!$B$16*(1+Inputs!$B$11)^(Z$2-1),0)</f>
        <v>0</v>
      </c>
      <c r="AA50" s="11" t="n">
        <f aca="false">IF(AND(AA$1&gt;=Units!$Q49,MOD(AA$1-Units!$Q49,12)=0),IF(AND(Units!$L49=1,AA$1=Units!$Q49),1,Inputs!$B$15)*Inputs!$B$16*(1+Inputs!$B$11)^(AA$2-1),0)</f>
        <v>0</v>
      </c>
      <c r="AB50" s="11" t="n">
        <f aca="false">IF(AND(AB$1&gt;=Units!$Q49,MOD(AB$1-Units!$Q49,12)=0),IF(AND(Units!$L49=1,AB$1=Units!$Q49),1,Inputs!$B$15)*Inputs!$B$16*(1+Inputs!$B$11)^(AB$2-1),0)</f>
        <v>0</v>
      </c>
      <c r="AC50" s="11" t="n">
        <f aca="false">IF(AND(AC$1&gt;=Units!$Q49,MOD(AC$1-Units!$Q49,12)=0),IF(AND(Units!$L49=1,AC$1=Units!$Q49),1,Inputs!$B$15)*Inputs!$B$16*(1+Inputs!$B$11)^(AC$2-1),0)</f>
        <v>0</v>
      </c>
      <c r="AD50" s="11" t="n">
        <f aca="false">IF(AND(AD$1&gt;=Units!$Q49,MOD(AD$1-Units!$Q49,12)=0),IF(AND(Units!$L49=1,AD$1=Units!$Q49),1,Inputs!$B$15)*Inputs!$B$16*(1+Inputs!$B$11)^(AD$2-1),0)</f>
        <v>0</v>
      </c>
      <c r="AE50" s="11" t="n">
        <f aca="false">IF(AND(AE$1&gt;=Units!$Q49,MOD(AE$1-Units!$Q49,12)=0),IF(AND(Units!$L49=1,AE$1=Units!$Q49),1,Inputs!$B$15)*Inputs!$B$16*(1+Inputs!$B$11)^(AE$2-1),0)</f>
        <v>0</v>
      </c>
      <c r="AF50" s="11" t="n">
        <f aca="false">IF(AND(AF$1&gt;=Units!$Q49,MOD(AF$1-Units!$Q49,12)=0),IF(AND(Units!$L49=1,AF$1=Units!$Q49),1,Inputs!$B$15)*Inputs!$B$16*(1+Inputs!$B$11)^(AF$2-1),0)</f>
        <v>530.45</v>
      </c>
      <c r="AG50" s="11" t="n">
        <f aca="false">IF(AND(AG$1&gt;=Units!$Q49,MOD(AG$1-Units!$Q49,12)=0),IF(AND(Units!$L49=1,AG$1=Units!$Q49),1,Inputs!$B$15)*Inputs!$B$16*(1+Inputs!$B$11)^(AG$2-1),0)</f>
        <v>0</v>
      </c>
      <c r="AH50" s="11" t="n">
        <f aca="false">IF(AND(AH$1&gt;=Units!$Q49,MOD(AH$1-Units!$Q49,12)=0),IF(AND(Units!$L49=1,AH$1=Units!$Q49),1,Inputs!$B$15)*Inputs!$B$16*(1+Inputs!$B$11)^(AH$2-1),0)</f>
        <v>0</v>
      </c>
      <c r="AI50" s="11" t="n">
        <f aca="false">IF(AND(AI$1&gt;=Units!$Q49,MOD(AI$1-Units!$Q49,12)=0),IF(AND(Units!$L49=1,AI$1=Units!$Q49),1,Inputs!$B$15)*Inputs!$B$16*(1+Inputs!$B$11)^(AI$2-1),0)</f>
        <v>0</v>
      </c>
      <c r="AJ50" s="11" t="n">
        <f aca="false">IF(AND(AJ$1&gt;=Units!$Q49,MOD(AJ$1-Units!$Q49,12)=0),IF(AND(Units!$L49=1,AJ$1=Units!$Q49),1,Inputs!$B$15)*Inputs!$B$16*(1+Inputs!$B$11)^(AJ$2-1),0)</f>
        <v>0</v>
      </c>
      <c r="AK50" s="11" t="n">
        <f aca="false">IF(AND(AK$1&gt;=Units!$Q49,MOD(AK$1-Units!$Q49,12)=0),IF(AND(Units!$L49=1,AK$1=Units!$Q49),1,Inputs!$B$15)*Inputs!$B$16*(1+Inputs!$B$11)^(AK$2-1),0)</f>
        <v>0</v>
      </c>
      <c r="AL50" s="11" t="n">
        <f aca="false">IF(AND(AL$1&gt;=Units!$Q49,MOD(AL$1-Units!$Q49,12)=0),IF(AND(Units!$L49=1,AL$1=Units!$Q49),1,Inputs!$B$15)*Inputs!$B$16*(1+Inputs!$B$11)^(AL$2-1),0)</f>
        <v>0</v>
      </c>
      <c r="AM50" s="11" t="n">
        <f aca="false">IF(AND(AM$1&gt;=Units!$Q49,MOD(AM$1-Units!$Q49,12)=0),IF(AND(Units!$L49=1,AM$1=Units!$Q49),1,Inputs!$B$15)*Inputs!$B$16*(1+Inputs!$B$11)^(AM$2-1),0)</f>
        <v>0</v>
      </c>
      <c r="AN50" s="11" t="n">
        <f aca="false">IF(AND(AN$1&gt;=Units!$Q49,MOD(AN$1-Units!$Q49,12)=0),IF(AND(Units!$L49=1,AN$1=Units!$Q49),1,Inputs!$B$15)*Inputs!$B$16*(1+Inputs!$B$11)^(AN$2-1),0)</f>
        <v>0</v>
      </c>
      <c r="AO50" s="11" t="n">
        <f aca="false">IF(AND(AO$1&gt;=Units!$Q49,MOD(AO$1-Units!$Q49,12)=0),IF(AND(Units!$L49=1,AO$1=Units!$Q49),1,Inputs!$B$15)*Inputs!$B$16*(1+Inputs!$B$11)^(AO$2-1),0)</f>
        <v>0</v>
      </c>
      <c r="AP50" s="11" t="n">
        <f aca="false">IF(AND(AP$1&gt;=Units!$Q49,MOD(AP$1-Units!$Q49,12)=0),IF(AND(Units!$L49=1,AP$1=Units!$Q49),1,Inputs!$B$15)*Inputs!$B$16*(1+Inputs!$B$11)^(AP$2-1),0)</f>
        <v>0</v>
      </c>
      <c r="AQ50" s="11" t="n">
        <f aca="false">IF(AND(AQ$1&gt;=Units!$Q49,MOD(AQ$1-Units!$Q49,12)=0),IF(AND(Units!$L49=1,AQ$1=Units!$Q49),1,Inputs!$B$15)*Inputs!$B$16*(1+Inputs!$B$11)^(AQ$2-1),0)</f>
        <v>0</v>
      </c>
      <c r="AR50" s="11" t="n">
        <f aca="false">IF(AND(AR$1&gt;=Units!$Q49,MOD(AR$1-Units!$Q49,12)=0),IF(AND(Units!$L49=1,AR$1=Units!$Q49),1,Inputs!$B$15)*Inputs!$B$16*(1+Inputs!$B$11)^(AR$2-1),0)</f>
        <v>546.3635</v>
      </c>
      <c r="AS50" s="11" t="n">
        <f aca="false">IF(AND(AS$1&gt;=Units!$Q49,MOD(AS$1-Units!$Q49,12)=0),IF(AND(Units!$L49=1,AS$1=Units!$Q49),1,Inputs!$B$15)*Inputs!$B$16*(1+Inputs!$B$11)^(AS$2-1),0)</f>
        <v>0</v>
      </c>
      <c r="AT50" s="11" t="n">
        <f aca="false">IF(AND(AT$1&gt;=Units!$Q49,MOD(AT$1-Units!$Q49,12)=0),IF(AND(Units!$L49=1,AT$1=Units!$Q49),1,Inputs!$B$15)*Inputs!$B$16*(1+Inputs!$B$11)^(AT$2-1),0)</f>
        <v>0</v>
      </c>
      <c r="AU50" s="11" t="n">
        <f aca="false">IF(AND(AU$1&gt;=Units!$Q49,MOD(AU$1-Units!$Q49,12)=0),IF(AND(Units!$L49=1,AU$1=Units!$Q49),1,Inputs!$B$15)*Inputs!$B$16*(1+Inputs!$B$11)^(AU$2-1),0)</f>
        <v>0</v>
      </c>
      <c r="AV50" s="11" t="n">
        <f aca="false">IF(AND(AV$1&gt;=Units!$Q49,MOD(AV$1-Units!$Q49,12)=0),IF(AND(Units!$L49=1,AV$1=Units!$Q49),1,Inputs!$B$15)*Inputs!$B$16*(1+Inputs!$B$11)^(AV$2-1),0)</f>
        <v>0</v>
      </c>
      <c r="AW50" s="11" t="n">
        <f aca="false">IF(AND(AW$1&gt;=Units!$Q49,MOD(AW$1-Units!$Q49,12)=0),IF(AND(Units!$L49=1,AW$1=Units!$Q49),1,Inputs!$B$15)*Inputs!$B$16*(1+Inputs!$B$11)^(AW$2-1),0)</f>
        <v>0</v>
      </c>
      <c r="AX50" s="11" t="n">
        <f aca="false">IF(AND(AX$1&gt;=Units!$Q49,MOD(AX$1-Units!$Q49,12)=0),IF(AND(Units!$L49=1,AX$1=Units!$Q49),1,Inputs!$B$15)*Inputs!$B$16*(1+Inputs!$B$11)^(AX$2-1),0)</f>
        <v>0</v>
      </c>
      <c r="AY50" s="11" t="n">
        <f aca="false">IF(AND(AY$1&gt;=Units!$Q49,MOD(AY$1-Units!$Q49,12)=0),IF(AND(Units!$L49=1,AY$1=Units!$Q49),1,Inputs!$B$15)*Inputs!$B$16*(1+Inputs!$B$11)^(AY$2-1),0)</f>
        <v>0</v>
      </c>
      <c r="AZ50" s="11" t="n">
        <f aca="false">IF(AND(AZ$1&gt;=Units!$Q49,MOD(AZ$1-Units!$Q49,12)=0),IF(AND(Units!$L49=1,AZ$1=Units!$Q49),1,Inputs!$B$15)*Inputs!$B$16*(1+Inputs!$B$11)^(AZ$2-1),0)</f>
        <v>0</v>
      </c>
      <c r="BA50" s="11" t="n">
        <f aca="false">IF(AND(BA$1&gt;=Units!$Q49,MOD(BA$1-Units!$Q49,12)=0),IF(AND(Units!$L49=1,BA$1=Units!$Q49),1,Inputs!$B$15)*Inputs!$B$16*(1+Inputs!$B$11)^(BA$2-1),0)</f>
        <v>0</v>
      </c>
      <c r="BB50" s="11" t="n">
        <f aca="false">IF(AND(BB$1&gt;=Units!$Q49,MOD(BB$1-Units!$Q49,12)=0),IF(AND(Units!$L49=1,BB$1=Units!$Q49),1,Inputs!$B$15)*Inputs!$B$16*(1+Inputs!$B$11)^(BB$2-1),0)</f>
        <v>0</v>
      </c>
      <c r="BC50" s="11" t="n">
        <f aca="false">IF(AND(BC$1&gt;=Units!$Q49,MOD(BC$1-Units!$Q49,12)=0),IF(AND(Units!$L49=1,BC$1=Units!$Q49),1,Inputs!$B$15)*Inputs!$B$16*(1+Inputs!$B$11)^(BC$2-1),0)</f>
        <v>0</v>
      </c>
      <c r="BD50" s="11" t="n">
        <f aca="false">IF(AND(BD$1&gt;=Units!$Q49,MOD(BD$1-Units!$Q49,12)=0),IF(AND(Units!$L49=1,BD$1=Units!$Q49),1,Inputs!$B$15)*Inputs!$B$16*(1+Inputs!$B$11)^(BD$2-1),0)</f>
        <v>562.754405</v>
      </c>
      <c r="BE50" s="11" t="n">
        <f aca="false">IF(AND(BE$1&gt;=Units!$Q49,MOD(BE$1-Units!$Q49,12)=0),IF(AND(Units!$L49=1,BE$1=Units!$Q49),1,Inputs!$B$15)*Inputs!$B$16*(1+Inputs!$B$11)^(BE$2-1),0)</f>
        <v>0</v>
      </c>
      <c r="BF50" s="11" t="n">
        <f aca="false">IF(AND(BF$1&gt;=Units!$Q49,MOD(BF$1-Units!$Q49,12)=0),IF(AND(Units!$L49=1,BF$1=Units!$Q49),1,Inputs!$B$15)*Inputs!$B$16*(1+Inputs!$B$11)^(BF$2-1),0)</f>
        <v>0</v>
      </c>
      <c r="BG50" s="11" t="n">
        <f aca="false">IF(AND(BG$1&gt;=Units!$Q49,MOD(BG$1-Units!$Q49,12)=0),IF(AND(Units!$L49=1,BG$1=Units!$Q49),1,Inputs!$B$15)*Inputs!$B$16*(1+Inputs!$B$11)^(BG$2-1),0)</f>
        <v>0</v>
      </c>
      <c r="BH50" s="11" t="n">
        <f aca="false">IF(AND(BH$1&gt;=Units!$Q49,MOD(BH$1-Units!$Q49,12)=0),IF(AND(Units!$L49=1,BH$1=Units!$Q49),1,Inputs!$B$15)*Inputs!$B$16*(1+Inputs!$B$11)^(BH$2-1),0)</f>
        <v>0</v>
      </c>
      <c r="BI50" s="11" t="n">
        <f aca="false">IF(AND(BI$1&gt;=Units!$Q49,MOD(BI$1-Units!$Q49,12)=0),IF(AND(Units!$L49=1,BI$1=Units!$Q49),1,Inputs!$B$15)*Inputs!$B$16*(1+Inputs!$B$11)^(BI$2-1),0)</f>
        <v>0</v>
      </c>
      <c r="BJ50" s="11" t="n">
        <f aca="false">IF(AND(BJ$1&gt;=Units!$Q49,MOD(BJ$1-Units!$Q49,12)=0),IF(AND(Units!$L49=1,BJ$1=Units!$Q49),1,Inputs!$B$15)*Inputs!$B$16*(1+Inputs!$B$11)^(BJ$2-1),0)</f>
        <v>0</v>
      </c>
      <c r="BK50" s="11" t="n">
        <f aca="false">IF(AND(BK$1&gt;=Units!$Q49,MOD(BK$1-Units!$Q49,12)=0),IF(AND(Units!$L49=1,BK$1=Units!$Q49),1,Inputs!$B$15)*Inputs!$B$16*(1+Inputs!$B$11)^(BK$2-1),0)</f>
        <v>0</v>
      </c>
      <c r="BL50" s="11" t="n">
        <f aca="false">IF(AND(BL$1&gt;=Units!$Q49,MOD(BL$1-Units!$Q49,12)=0),IF(AND(Units!$L49=1,BL$1=Units!$Q49),1,Inputs!$B$15)*Inputs!$B$16*(1+Inputs!$B$11)^(BL$2-1),0)</f>
        <v>0</v>
      </c>
      <c r="BM50" s="11" t="n">
        <f aca="false">IF(AND(BM$1&gt;=Units!$Q49,MOD(BM$1-Units!$Q49,12)=0),IF(AND(Units!$L49=1,BM$1=Units!$Q49),1,Inputs!$B$15)*Inputs!$B$16*(1+Inputs!$B$11)^(BM$2-1),0)</f>
        <v>0</v>
      </c>
      <c r="BN50" s="11" t="n">
        <f aca="false">IF(AND(BN$1&gt;=Units!$Q49,MOD(BN$1-Units!$Q49,12)=0),IF(AND(Units!$L49=1,BN$1=Units!$Q49),1,Inputs!$B$15)*Inputs!$B$16*(1+Inputs!$B$11)^(BN$2-1),0)</f>
        <v>0</v>
      </c>
      <c r="BO50" s="11" t="n">
        <f aca="false">IF(AND(BO$1&gt;=Units!$Q49,MOD(BO$1-Units!$Q49,12)=0),IF(AND(Units!$L49=1,BO$1=Units!$Q49),1,Inputs!$B$15)*Inputs!$B$16*(1+Inputs!$B$11)^(BO$2-1),0)</f>
        <v>0</v>
      </c>
      <c r="BP50" s="11" t="n">
        <f aca="false">IF(AND(BP$1&gt;=Units!$Q49,MOD(BP$1-Units!$Q49,12)=0),IF(AND(Units!$L49=1,BP$1=Units!$Q49),1,Inputs!$B$15)*Inputs!$B$16*(1+Inputs!$B$11)^(BP$2-1),0)</f>
        <v>579.63703715</v>
      </c>
      <c r="BQ50" s="11" t="n">
        <f aca="false">IF(AND(BQ$1&gt;=Units!$Q49,MOD(BQ$1-Units!$Q49,12)=0),IF(AND(Units!$L49=1,BQ$1=Units!$Q49),1,Inputs!$B$15)*Inputs!$B$16*(1+Inputs!$B$11)^(BQ$2-1),0)</f>
        <v>0</v>
      </c>
      <c r="BR50" s="11" t="n">
        <f aca="false">IF(AND(BR$1&gt;=Units!$Q49,MOD(BR$1-Units!$Q49,12)=0),IF(AND(Units!$L49=1,BR$1=Units!$Q49),1,Inputs!$B$15)*Inputs!$B$16*(1+Inputs!$B$11)^(BR$2-1),0)</f>
        <v>0</v>
      </c>
      <c r="BS50" s="11" t="n">
        <f aca="false">IF(AND(BS$1&gt;=Units!$Q49,MOD(BS$1-Units!$Q49,12)=0),IF(AND(Units!$L49=1,BS$1=Units!$Q49),1,Inputs!$B$15)*Inputs!$B$16*(1+Inputs!$B$11)^(BS$2-1),0)</f>
        <v>0</v>
      </c>
      <c r="BT50" s="11" t="n">
        <f aca="false">IF(AND(BT$1&gt;=Units!$Q49,MOD(BT$1-Units!$Q49,12)=0),IF(AND(Units!$L49=1,BT$1=Units!$Q49),1,Inputs!$B$15)*Inputs!$B$16*(1+Inputs!$B$11)^(BT$2-1),0)</f>
        <v>0</v>
      </c>
      <c r="BU50" s="11" t="n">
        <f aca="false">IF(AND(BU$1&gt;=Units!$Q49,MOD(BU$1-Units!$Q49,12)=0),IF(AND(Units!$L49=1,BU$1=Units!$Q49),1,Inputs!$B$15)*Inputs!$B$16*(1+Inputs!$B$11)^(BU$2-1),0)</f>
        <v>0</v>
      </c>
      <c r="BV50" s="11" t="n">
        <f aca="false">IF(AND(BV$1&gt;=Units!$Q49,MOD(BV$1-Units!$Q49,12)=0),IF(AND(Units!$L49=1,BV$1=Units!$Q49),1,Inputs!$B$15)*Inputs!$B$16*(1+Inputs!$B$11)^(BV$2-1),0)</f>
        <v>0</v>
      </c>
      <c r="BW50" s="11" t="n">
        <f aca="false">IF(AND(BW$1&gt;=Units!$Q49,MOD(BW$1-Units!$Q49,12)=0),IF(AND(Units!$L49=1,BW$1=Units!$Q49),1,Inputs!$B$15)*Inputs!$B$16*(1+Inputs!$B$11)^(BW$2-1),0)</f>
        <v>0</v>
      </c>
      <c r="BX50" s="11" t="n">
        <f aca="false">IF(AND(BX$1&gt;=Units!$Q49,MOD(BX$1-Units!$Q49,12)=0),IF(AND(Units!$L49=1,BX$1=Units!$Q49),1,Inputs!$B$15)*Inputs!$B$16*(1+Inputs!$B$11)^(BX$2-1),0)</f>
        <v>0</v>
      </c>
      <c r="BY50" s="11" t="n">
        <f aca="false">IF(AND(BY$1&gt;=Units!$Q49,MOD(BY$1-Units!$Q49,12)=0),IF(AND(Units!$L49=1,BY$1=Units!$Q49),1,Inputs!$B$15)*Inputs!$B$16*(1+Inputs!$B$11)^(BY$2-1),0)</f>
        <v>0</v>
      </c>
      <c r="BZ50" s="11" t="n">
        <f aca="false">IF(AND(BZ$1&gt;=Units!$Q49,MOD(BZ$1-Units!$Q49,12)=0),IF(AND(Units!$L49=1,BZ$1=Units!$Q49),1,Inputs!$B$15)*Inputs!$B$16*(1+Inputs!$B$11)^(BZ$2-1),0)</f>
        <v>0</v>
      </c>
      <c r="CA50" s="11" t="n">
        <f aca="false">IF(AND(CA$1&gt;=Units!$Q49,MOD(CA$1-Units!$Q49,12)=0),IF(AND(Units!$L49=1,CA$1=Units!$Q49),1,Inputs!$B$15)*Inputs!$B$16*(1+Inputs!$B$11)^(CA$2-1),0)</f>
        <v>0</v>
      </c>
      <c r="CB50" s="11" t="n">
        <f aca="false">IF(AND(CB$1&gt;=Units!$Q49,MOD(CB$1-Units!$Q49,12)=0),IF(AND(Units!$L49=1,CB$1=Units!$Q49),1,Inputs!$B$15)*Inputs!$B$16*(1+Inputs!$B$11)^(CB$2-1),0)</f>
        <v>597.0261482645</v>
      </c>
      <c r="CC50" s="11" t="n">
        <f aca="false">IF(AND(CC$1&gt;=Units!$Q49,MOD(CC$1-Units!$Q49,12)=0),IF(AND(Units!$L49=1,CC$1=Units!$Q49),1,Inputs!$B$15)*Inputs!$B$16*(1+Inputs!$B$11)^(CC$2-1),0)</f>
        <v>0</v>
      </c>
      <c r="CD50" s="11" t="n">
        <f aca="false">IF(AND(CD$1&gt;=Units!$Q49,MOD(CD$1-Units!$Q49,12)=0),IF(AND(Units!$L49=1,CD$1=Units!$Q49),1,Inputs!$B$15)*Inputs!$B$16*(1+Inputs!$B$11)^(CD$2-1),0)</f>
        <v>0</v>
      </c>
      <c r="CE50" s="11" t="n">
        <f aca="false">IF(AND(CE$1&gt;=Units!$Q49,MOD(CE$1-Units!$Q49,12)=0),IF(AND(Units!$L49=1,CE$1=Units!$Q49),1,Inputs!$B$15)*Inputs!$B$16*(1+Inputs!$B$11)^(CE$2-1),0)</f>
        <v>0</v>
      </c>
      <c r="CF50" s="11" t="n">
        <f aca="false">IF(AND(CF$1&gt;=Units!$Q49,MOD(CF$1-Units!$Q49,12)=0),IF(AND(Units!$L49=1,CF$1=Units!$Q49),1,Inputs!$B$15)*Inputs!$B$16*(1+Inputs!$B$11)^(CF$2-1),0)</f>
        <v>0</v>
      </c>
      <c r="CG50" s="11" t="n">
        <f aca="false">IF(AND(CG$1&gt;=Units!$Q49,MOD(CG$1-Units!$Q49,12)=0),IF(AND(Units!$L49=1,CG$1=Units!$Q49),1,Inputs!$B$15)*Inputs!$B$16*(1+Inputs!$B$11)^(CG$2-1),0)</f>
        <v>0</v>
      </c>
      <c r="CH50" s="11" t="n">
        <f aca="false">IF(AND(CH$1&gt;=Units!$Q49,MOD(CH$1-Units!$Q49,12)=0),IF(AND(Units!$L49=1,CH$1=Units!$Q49),1,Inputs!$B$15)*Inputs!$B$16*(1+Inputs!$B$11)^(CH$2-1),0)</f>
        <v>0</v>
      </c>
      <c r="CI50" s="11" t="n">
        <f aca="false">IF(AND(CI$1&gt;=Units!$Q49,MOD(CI$1-Units!$Q49,12)=0),IF(AND(Units!$L49=1,CI$1=Units!$Q49),1,Inputs!$B$15)*Inputs!$B$16*(1+Inputs!$B$11)^(CI$2-1),0)</f>
        <v>0</v>
      </c>
      <c r="CJ50" s="11" t="n">
        <f aca="false">IF(AND(CJ$1&gt;=Units!$Q49,MOD(CJ$1-Units!$Q49,12)=0),IF(AND(Units!$L49=1,CJ$1=Units!$Q49),1,Inputs!$B$15)*Inputs!$B$16*(1+Inputs!$B$11)^(CJ$2-1),0)</f>
        <v>0</v>
      </c>
      <c r="CK50" s="11" t="n">
        <f aca="false">IF(AND(CK$1&gt;=Units!$Q49,MOD(CK$1-Units!$Q49,12)=0),IF(AND(Units!$L49=1,CK$1=Units!$Q49),1,Inputs!$B$15)*Inputs!$B$16*(1+Inputs!$B$11)^(CK$2-1),0)</f>
        <v>0</v>
      </c>
      <c r="CL50" s="11" t="n">
        <f aca="false">IF(AND(CL$1&gt;=Units!$Q49,MOD(CL$1-Units!$Q49,12)=0),IF(AND(Units!$L49=1,CL$1=Units!$Q49),1,Inputs!$B$15)*Inputs!$B$16*(1+Inputs!$B$11)^(CL$2-1),0)</f>
        <v>0</v>
      </c>
      <c r="CM50" s="11" t="n">
        <f aca="false">IF(AND(CM$1&gt;=Units!$Q49,MOD(CM$1-Units!$Q49,12)=0),IF(AND(Units!$L49=1,CM$1=Units!$Q49),1,Inputs!$B$15)*Inputs!$B$16*(1+Inputs!$B$11)^(CM$2-1),0)</f>
        <v>0</v>
      </c>
      <c r="CN50" s="11" t="n">
        <f aca="false">IF(AND(CN$1&gt;=Units!$Q49,MOD(CN$1-Units!$Q49,12)=0),IF(AND(Units!$L49=1,CN$1=Units!$Q49),1,Inputs!$B$15)*Inputs!$B$16*(1+Inputs!$B$11)^(CN$2-1),0)</f>
        <v>614.936932712435</v>
      </c>
      <c r="CO50" s="11" t="n">
        <f aca="false">IF(AND(CO$1&gt;=Units!$Q49,MOD(CO$1-Units!$Q49,12)=0),IF(AND(Units!$L49=1,CO$1=Units!$Q49),1,Inputs!$B$15)*Inputs!$B$16*(1+Inputs!$B$11)^(CO$2-1),0)</f>
        <v>0</v>
      </c>
      <c r="CP50" s="11" t="n">
        <f aca="false">IF(AND(CP$1&gt;=Units!$Q49,MOD(CP$1-Units!$Q49,12)=0),IF(AND(Units!$L49=1,CP$1=Units!$Q49),1,Inputs!$B$15)*Inputs!$B$16*(1+Inputs!$B$11)^(CP$2-1),0)</f>
        <v>0</v>
      </c>
      <c r="CQ50" s="11" t="n">
        <f aca="false">IF(AND(CQ$1&gt;=Units!$Q49,MOD(CQ$1-Units!$Q49,12)=0),IF(AND(Units!$L49=1,CQ$1=Units!$Q49),1,Inputs!$B$15)*Inputs!$B$16*(1+Inputs!$B$11)^(CQ$2-1),0)</f>
        <v>0</v>
      </c>
      <c r="CR50" s="11" t="n">
        <f aca="false">IF(AND(CR$1&gt;=Units!$Q49,MOD(CR$1-Units!$Q49,12)=0),IF(AND(Units!$L49=1,CR$1=Units!$Q49),1,Inputs!$B$15)*Inputs!$B$16*(1+Inputs!$B$11)^(CR$2-1),0)</f>
        <v>0</v>
      </c>
      <c r="CS50" s="11" t="n">
        <f aca="false">IF(AND(CS$1&gt;=Units!$Q49,MOD(CS$1-Units!$Q49,12)=0),IF(AND(Units!$L49=1,CS$1=Units!$Q49),1,Inputs!$B$15)*Inputs!$B$16*(1+Inputs!$B$11)^(CS$2-1),0)</f>
        <v>0</v>
      </c>
      <c r="CT50" s="11" t="n">
        <f aca="false">IF(AND(CT$1&gt;=Units!$Q49,MOD(CT$1-Units!$Q49,12)=0),IF(AND(Units!$L49=1,CT$1=Units!$Q49),1,Inputs!$B$15)*Inputs!$B$16*(1+Inputs!$B$11)^(CT$2-1),0)</f>
        <v>0</v>
      </c>
      <c r="CU50" s="11" t="n">
        <f aca="false">IF(AND(CU$1&gt;=Units!$Q49,MOD(CU$1-Units!$Q49,12)=0),IF(AND(Units!$L49=1,CU$1=Units!$Q49),1,Inputs!$B$15)*Inputs!$B$16*(1+Inputs!$B$11)^(CU$2-1),0)</f>
        <v>0</v>
      </c>
      <c r="CV50" s="11" t="n">
        <f aca="false">IF(AND(CV$1&gt;=Units!$Q49,MOD(CV$1-Units!$Q49,12)=0),IF(AND(Units!$L49=1,CV$1=Units!$Q49),1,Inputs!$B$15)*Inputs!$B$16*(1+Inputs!$B$11)^(CV$2-1),0)</f>
        <v>0</v>
      </c>
      <c r="CW50" s="11" t="n">
        <f aca="false">IF(AND(CW$1&gt;=Units!$Q49,MOD(CW$1-Units!$Q49,12)=0),IF(AND(Units!$L49=1,CW$1=Units!$Q49),1,Inputs!$B$15)*Inputs!$B$16*(1+Inputs!$B$11)^(CW$2-1),0)</f>
        <v>0</v>
      </c>
      <c r="CX50" s="11" t="n">
        <f aca="false">IF(AND(CX$1&gt;=Units!$Q49,MOD(CX$1-Units!$Q49,12)=0),IF(AND(Units!$L49=1,CX$1=Units!$Q49),1,Inputs!$B$15)*Inputs!$B$16*(1+Inputs!$B$11)^(CX$2-1),0)</f>
        <v>0</v>
      </c>
      <c r="CY50" s="11" t="n">
        <f aca="false">IF(AND(CY$1&gt;=Units!$Q49,MOD(CY$1-Units!$Q49,12)=0),IF(AND(Units!$L49=1,CY$1=Units!$Q49),1,Inputs!$B$15)*Inputs!$B$16*(1+Inputs!$B$11)^(CY$2-1),0)</f>
        <v>0</v>
      </c>
      <c r="CZ50" s="11" t="n">
        <f aca="false">IF(AND(CZ$1&gt;=Units!$Q49,MOD(CZ$1-Units!$Q49,12)=0),IF(AND(Units!$L49=1,CZ$1=Units!$Q49),1,Inputs!$B$15)*Inputs!$B$16*(1+Inputs!$B$11)^(CZ$2-1),0)</f>
        <v>633.385040693808</v>
      </c>
      <c r="DA50" s="11" t="n">
        <f aca="false">IF(AND(DA$1&gt;=Units!$Q49,MOD(DA$1-Units!$Q49,12)=0),IF(AND(Units!$L49=1,DA$1=Units!$Q49),1,Inputs!$B$15)*Inputs!$B$16*(1+Inputs!$B$11)^(DA$2-1),0)</f>
        <v>0</v>
      </c>
      <c r="DB50" s="11" t="n">
        <f aca="false">IF(AND(DB$1&gt;=Units!$Q49,MOD(DB$1-Units!$Q49,12)=0),IF(AND(Units!$L49=1,DB$1=Units!$Q49),1,Inputs!$B$15)*Inputs!$B$16*(1+Inputs!$B$11)^(DB$2-1),0)</f>
        <v>0</v>
      </c>
      <c r="DC50" s="11" t="n">
        <f aca="false">IF(AND(DC$1&gt;=Units!$Q49,MOD(DC$1-Units!$Q49,12)=0),IF(AND(Units!$L49=1,DC$1=Units!$Q49),1,Inputs!$B$15)*Inputs!$B$16*(1+Inputs!$B$11)^(DC$2-1),0)</f>
        <v>0</v>
      </c>
      <c r="DD50" s="11" t="n">
        <f aca="false">IF(AND(DD$1&gt;=Units!$Q49,MOD(DD$1-Units!$Q49,12)=0),IF(AND(Units!$L49=1,DD$1=Units!$Q49),1,Inputs!$B$15)*Inputs!$B$16*(1+Inputs!$B$11)^(DD$2-1),0)</f>
        <v>0</v>
      </c>
      <c r="DE50" s="11" t="n">
        <f aca="false">IF(AND(DE$1&gt;=Units!$Q49,MOD(DE$1-Units!$Q49,12)=0),IF(AND(Units!$L49=1,DE$1=Units!$Q49),1,Inputs!$B$15)*Inputs!$B$16*(1+Inputs!$B$11)^(DE$2-1),0)</f>
        <v>0</v>
      </c>
      <c r="DF50" s="11" t="n">
        <f aca="false">IF(AND(DF$1&gt;=Units!$Q49,MOD(DF$1-Units!$Q49,12)=0),IF(AND(Units!$L49=1,DF$1=Units!$Q49),1,Inputs!$B$15)*Inputs!$B$16*(1+Inputs!$B$11)^(DF$2-1),0)</f>
        <v>0</v>
      </c>
      <c r="DG50" s="11" t="n">
        <f aca="false">IF(AND(DG$1&gt;=Units!$Q49,MOD(DG$1-Units!$Q49,12)=0),IF(AND(Units!$L49=1,DG$1=Units!$Q49),1,Inputs!$B$15)*Inputs!$B$16*(1+Inputs!$B$11)^(DG$2-1),0)</f>
        <v>0</v>
      </c>
      <c r="DH50" s="11" t="n">
        <f aca="false">IF(AND(DH$1&gt;=Units!$Q49,MOD(DH$1-Units!$Q49,12)=0),IF(AND(Units!$L49=1,DH$1=Units!$Q49),1,Inputs!$B$15)*Inputs!$B$16*(1+Inputs!$B$11)^(DH$2-1),0)</f>
        <v>0</v>
      </c>
      <c r="DI50" s="11" t="n">
        <f aca="false">IF(AND(DI$1&gt;=Units!$Q49,MOD(DI$1-Units!$Q49,12)=0),IF(AND(Units!$L49=1,DI$1=Units!$Q49),1,Inputs!$B$15)*Inputs!$B$16*(1+Inputs!$B$11)^(DI$2-1),0)</f>
        <v>0</v>
      </c>
      <c r="DJ50" s="11" t="n">
        <f aca="false">IF(AND(DJ$1&gt;=Units!$Q49,MOD(DJ$1-Units!$Q49,12)=0),IF(AND(Units!$L49=1,DJ$1=Units!$Q49),1,Inputs!$B$15)*Inputs!$B$16*(1+Inputs!$B$11)^(DJ$2-1),0)</f>
        <v>0</v>
      </c>
      <c r="DK50" s="11" t="n">
        <f aca="false">IF(AND(DK$1&gt;=Units!$Q49,MOD(DK$1-Units!$Q49,12)=0),IF(AND(Units!$L49=1,DK$1=Units!$Q49),1,Inputs!$B$15)*Inputs!$B$16*(1+Inputs!$B$11)^(DK$2-1),0)</f>
        <v>0</v>
      </c>
      <c r="DL50" s="11" t="n">
        <f aca="false">IF(AND(DL$1&gt;=Units!$Q49,MOD(DL$1-Units!$Q49,12)=0),IF(AND(Units!$L49=1,DL$1=Units!$Q49),1,Inputs!$B$15)*Inputs!$B$16*(1+Inputs!$B$11)^(DL$2-1),0)</f>
        <v>652.386591914623</v>
      </c>
      <c r="DM50" s="11" t="n">
        <f aca="false">IF(AND(DM$1&gt;=Units!$Q49,MOD(DM$1-Units!$Q49,12)=0),IF(AND(Units!$L49=1,DM$1=Units!$Q49),1,Inputs!$B$15)*Inputs!$B$16*(1+Inputs!$B$11)^(DM$2-1),0)</f>
        <v>0</v>
      </c>
      <c r="DN50" s="11" t="n">
        <f aca="false">IF(AND(DN$1&gt;=Units!$Q49,MOD(DN$1-Units!$Q49,12)=0),IF(AND(Units!$L49=1,DN$1=Units!$Q49),1,Inputs!$B$15)*Inputs!$B$16*(1+Inputs!$B$11)^(DN$2-1),0)</f>
        <v>0</v>
      </c>
      <c r="DO50" s="11" t="n">
        <f aca="false">IF(AND(DO$1&gt;=Units!$Q49,MOD(DO$1-Units!$Q49,12)=0),IF(AND(Units!$L49=1,DO$1=Units!$Q49),1,Inputs!$B$15)*Inputs!$B$16*(1+Inputs!$B$11)^(DO$2-1),0)</f>
        <v>0</v>
      </c>
      <c r="DP50" s="11" t="n">
        <f aca="false">IF(AND(DP$1&gt;=Units!$Q49,MOD(DP$1-Units!$Q49,12)=0),IF(AND(Units!$L49=1,DP$1=Units!$Q49),1,Inputs!$B$15)*Inputs!$B$16*(1+Inputs!$B$11)^(DP$2-1),0)</f>
        <v>0</v>
      </c>
      <c r="DQ50" s="11" t="n">
        <f aca="false">IF(AND(DQ$1&gt;=Units!$Q49,MOD(DQ$1-Units!$Q49,12)=0),IF(AND(Units!$L49=1,DQ$1=Units!$Q49),1,Inputs!$B$15)*Inputs!$B$16*(1+Inputs!$B$11)^(DQ$2-1),0)</f>
        <v>0</v>
      </c>
      <c r="DR50" s="11" t="n">
        <f aca="false">IF(AND(DR$1&gt;=Units!$Q49,MOD(DR$1-Units!$Q49,12)=0),IF(AND(Units!$L49=1,DR$1=Units!$Q49),1,Inputs!$B$15)*Inputs!$B$16*(1+Inputs!$B$11)^(DR$2-1),0)</f>
        <v>0</v>
      </c>
      <c r="DS50" s="11" t="n">
        <f aca="false">IF(AND(DS$1&gt;=Units!$Q49,MOD(DS$1-Units!$Q49,12)=0),IF(AND(Units!$L49=1,DS$1=Units!$Q49),1,Inputs!$B$15)*Inputs!$B$16*(1+Inputs!$B$11)^(DS$2-1),0)</f>
        <v>0</v>
      </c>
      <c r="DT50" s="11" t="n">
        <f aca="false">IF(AND(DT$1&gt;=Units!$Q49,MOD(DT$1-Units!$Q49,12)=0),IF(AND(Units!$L49=1,DT$1=Units!$Q49),1,Inputs!$B$15)*Inputs!$B$16*(1+Inputs!$B$11)^(DT$2-1),0)</f>
        <v>0</v>
      </c>
      <c r="DU50" s="11" t="n">
        <f aca="false">IF(AND(DU$1&gt;=Units!$Q49,MOD(DU$1-Units!$Q49,12)=0),IF(AND(Units!$L49=1,DU$1=Units!$Q49),1,Inputs!$B$15)*Inputs!$B$16*(1+Inputs!$B$11)^(DU$2-1),0)</f>
        <v>0</v>
      </c>
      <c r="DV50" s="11" t="n">
        <f aca="false">IF(AND(DV$1&gt;=Units!$Q49,MOD(DV$1-Units!$Q49,12)=0),IF(AND(Units!$L49=1,DV$1=Units!$Q49),1,Inputs!$B$15)*Inputs!$B$16*(1+Inputs!$B$11)^(DV$2-1),0)</f>
        <v>0</v>
      </c>
      <c r="DW50" s="11" t="n">
        <f aca="false">IF(AND(DW$1&gt;=Units!$Q49,MOD(DW$1-Units!$Q49,12)=0),IF(AND(Units!$L49=1,DW$1=Units!$Q49),1,Inputs!$B$15)*Inputs!$B$16*(1+Inputs!$B$11)^(DW$2-1),0)</f>
        <v>0</v>
      </c>
      <c r="DX50" s="11" t="n">
        <f aca="false">IF(AND(DX$1&gt;=Units!$Q49,MOD(DX$1-Units!$Q49,12)=0),IF(AND(Units!$L49=1,DX$1=Units!$Q49),1,Inputs!$B$15)*Inputs!$B$16*(1+Inputs!$B$11)^(DX$2-1),0)</f>
        <v>671.958189672061</v>
      </c>
      <c r="DY50" s="11" t="n">
        <f aca="false">IF(AND(DY$1&gt;=Units!$Q49,MOD(DY$1-Units!$Q49,12)=0),IF(AND(Units!$L49=1,DY$1=Units!$Q49),1,Inputs!$B$15)*Inputs!$B$16*(1+Inputs!$B$11)^(DY$2-1),0)</f>
        <v>0</v>
      </c>
      <c r="DZ50" s="11" t="n">
        <f aca="false">IF(AND(DZ$1&gt;=Units!$Q49,MOD(DZ$1-Units!$Q49,12)=0),IF(AND(Units!$L49=1,DZ$1=Units!$Q49),1,Inputs!$B$15)*Inputs!$B$16*(1+Inputs!$B$11)^(DZ$2-1),0)</f>
        <v>0</v>
      </c>
      <c r="EA50" s="11" t="n">
        <f aca="false">IF(AND(EA$1&gt;=Units!$Q49,MOD(EA$1-Units!$Q49,12)=0),IF(AND(Units!$L49=1,EA$1=Units!$Q49),1,Inputs!$B$15)*Inputs!$B$16*(1+Inputs!$B$11)^(EA$2-1),0)</f>
        <v>0</v>
      </c>
      <c r="EB50" s="11" t="n">
        <f aca="false">IF(AND(EB$1&gt;=Units!$Q49,MOD(EB$1-Units!$Q49,12)=0),IF(AND(Units!$L49=1,EB$1=Units!$Q49),1,Inputs!$B$15)*Inputs!$B$16*(1+Inputs!$B$11)^(EB$2-1),0)</f>
        <v>0</v>
      </c>
      <c r="EC50" s="11" t="n">
        <f aca="false">IF(AND(EC$1&gt;=Units!$Q49,MOD(EC$1-Units!$Q49,12)=0),IF(AND(Units!$L49=1,EC$1=Units!$Q49),1,Inputs!$B$15)*Inputs!$B$16*(1+Inputs!$B$11)^(EC$2-1),0)</f>
        <v>0</v>
      </c>
      <c r="ED50" s="11" t="n">
        <f aca="false">IF(AND(ED$1&gt;=Units!$Q49,MOD(ED$1-Units!$Q49,12)=0),IF(AND(Units!$L49=1,ED$1=Units!$Q49),1,Inputs!$B$15)*Inputs!$B$16*(1+Inputs!$B$11)^(ED$2-1),0)</f>
        <v>0</v>
      </c>
    </row>
    <row r="51" customFormat="false" ht="15" hidden="false" customHeight="false" outlineLevel="0" collapsed="false">
      <c r="A51" s="22" t="n">
        <f aca="false">Units!A50</f>
        <v>219</v>
      </c>
      <c r="B51" s="23"/>
      <c r="C51" s="11" t="n">
        <f aca="false">IF(AND(C$1&gt;=Units!$Q50,MOD(C$1-Units!$Q50,12)=0),IF(AND(Units!$L50=1,C$1=Units!$Q50),1,Inputs!$B$15)*Inputs!$B$16*(1+Inputs!$B$11)^(C$2-1),0)</f>
        <v>0</v>
      </c>
      <c r="D51" s="11" t="n">
        <f aca="false">IF(AND(D$1&gt;=Units!$Q50,MOD(D$1-Units!$Q50,12)=0),IF(AND(Units!$L50=1,D$1=Units!$Q50),1,Inputs!$B$15)*Inputs!$B$16*(1+Inputs!$B$11)^(D$2-1),0)</f>
        <v>0</v>
      </c>
      <c r="E51" s="11" t="n">
        <f aca="false">IF(AND(E$1&gt;=Units!$Q50,MOD(E$1-Units!$Q50,12)=0),IF(AND(Units!$L50=1,E$1=Units!$Q50),1,Inputs!$B$15)*Inputs!$B$16*(1+Inputs!$B$11)^(E$2-1),0)</f>
        <v>0</v>
      </c>
      <c r="F51" s="11" t="n">
        <f aca="false">IF(AND(F$1&gt;=Units!$Q50,MOD(F$1-Units!$Q50,12)=0),IF(AND(Units!$L50=1,F$1=Units!$Q50),1,Inputs!$B$15)*Inputs!$B$16*(1+Inputs!$B$11)^(F$2-1),0)</f>
        <v>0</v>
      </c>
      <c r="G51" s="11" t="n">
        <f aca="false">IF(AND(G$1&gt;=Units!$Q50,MOD(G$1-Units!$Q50,12)=0),IF(AND(Units!$L50=1,G$1=Units!$Q50),1,Inputs!$B$15)*Inputs!$B$16*(1+Inputs!$B$11)^(G$2-1),0)</f>
        <v>0</v>
      </c>
      <c r="H51" s="11" t="n">
        <f aca="false">IF(AND(H$1&gt;=Units!$Q50,MOD(H$1-Units!$Q50,12)=0),IF(AND(Units!$L50=1,H$1=Units!$Q50),1,Inputs!$B$15)*Inputs!$B$16*(1+Inputs!$B$11)^(H$2-1),0)</f>
        <v>0</v>
      </c>
      <c r="I51" s="11" t="n">
        <f aca="false">IF(AND(I$1&gt;=Units!$Q50,MOD(I$1-Units!$Q50,12)=0),IF(AND(Units!$L50=1,I$1=Units!$Q50),1,Inputs!$B$15)*Inputs!$B$16*(1+Inputs!$B$11)^(I$2-1),0)</f>
        <v>0</v>
      </c>
      <c r="J51" s="11" t="n">
        <f aca="false">IF(AND(J$1&gt;=Units!$Q50,MOD(J$1-Units!$Q50,12)=0),IF(AND(Units!$L50=1,J$1=Units!$Q50),1,Inputs!$B$15)*Inputs!$B$16*(1+Inputs!$B$11)^(J$2-1),0)</f>
        <v>0</v>
      </c>
      <c r="K51" s="11" t="n">
        <f aca="false">IF(AND(K$1&gt;=Units!$Q50,MOD(K$1-Units!$Q50,12)=0),IF(AND(Units!$L50=1,K$1=Units!$Q50),1,Inputs!$B$15)*Inputs!$B$16*(1+Inputs!$B$11)^(K$2-1),0)</f>
        <v>0</v>
      </c>
      <c r="L51" s="11" t="n">
        <f aca="false">IF(AND(L$1&gt;=Units!$Q50,MOD(L$1-Units!$Q50,12)=0),IF(AND(Units!$L50=1,L$1=Units!$Q50),1,Inputs!$B$15)*Inputs!$B$16*(1+Inputs!$B$11)^(L$2-1),0)</f>
        <v>0</v>
      </c>
      <c r="M51" s="11" t="n">
        <f aca="false">IF(AND(M$1&gt;=Units!$Q50,MOD(M$1-Units!$Q50,12)=0),IF(AND(Units!$L50=1,M$1=Units!$Q50),1,Inputs!$B$15)*Inputs!$B$16*(1+Inputs!$B$11)^(M$2-1),0)</f>
        <v>500</v>
      </c>
      <c r="N51" s="11" t="n">
        <f aca="false">IF(AND(N$1&gt;=Units!$Q50,MOD(N$1-Units!$Q50,12)=0),IF(AND(Units!$L50=1,N$1=Units!$Q50),1,Inputs!$B$15)*Inputs!$B$16*(1+Inputs!$B$11)^(N$2-1),0)</f>
        <v>0</v>
      </c>
      <c r="O51" s="11" t="n">
        <f aca="false">IF(AND(O$1&gt;=Units!$Q50,MOD(O$1-Units!$Q50,12)=0),IF(AND(Units!$L50=1,O$1=Units!$Q50),1,Inputs!$B$15)*Inputs!$B$16*(1+Inputs!$B$11)^(O$2-1),0)</f>
        <v>0</v>
      </c>
      <c r="P51" s="11" t="n">
        <f aca="false">IF(AND(P$1&gt;=Units!$Q50,MOD(P$1-Units!$Q50,12)=0),IF(AND(Units!$L50=1,P$1=Units!$Q50),1,Inputs!$B$15)*Inputs!$B$16*(1+Inputs!$B$11)^(P$2-1),0)</f>
        <v>0</v>
      </c>
      <c r="Q51" s="11" t="n">
        <f aca="false">IF(AND(Q$1&gt;=Units!$Q50,MOD(Q$1-Units!$Q50,12)=0),IF(AND(Units!$L50=1,Q$1=Units!$Q50),1,Inputs!$B$15)*Inputs!$B$16*(1+Inputs!$B$11)^(Q$2-1),0)</f>
        <v>0</v>
      </c>
      <c r="R51" s="11" t="n">
        <f aca="false">IF(AND(R$1&gt;=Units!$Q50,MOD(R$1-Units!$Q50,12)=0),IF(AND(Units!$L50=1,R$1=Units!$Q50),1,Inputs!$B$15)*Inputs!$B$16*(1+Inputs!$B$11)^(R$2-1),0)</f>
        <v>0</v>
      </c>
      <c r="S51" s="11" t="n">
        <f aca="false">IF(AND(S$1&gt;=Units!$Q50,MOD(S$1-Units!$Q50,12)=0),IF(AND(Units!$L50=1,S$1=Units!$Q50),1,Inputs!$B$15)*Inputs!$B$16*(1+Inputs!$B$11)^(S$2-1),0)</f>
        <v>0</v>
      </c>
      <c r="T51" s="11" t="n">
        <f aca="false">IF(AND(T$1&gt;=Units!$Q50,MOD(T$1-Units!$Q50,12)=0),IF(AND(Units!$L50=1,T$1=Units!$Q50),1,Inputs!$B$15)*Inputs!$B$16*(1+Inputs!$B$11)^(T$2-1),0)</f>
        <v>0</v>
      </c>
      <c r="U51" s="11" t="n">
        <f aca="false">IF(AND(U$1&gt;=Units!$Q50,MOD(U$1-Units!$Q50,12)=0),IF(AND(Units!$L50=1,U$1=Units!$Q50),1,Inputs!$B$15)*Inputs!$B$16*(1+Inputs!$B$11)^(U$2-1),0)</f>
        <v>0</v>
      </c>
      <c r="V51" s="11" t="n">
        <f aca="false">IF(AND(V$1&gt;=Units!$Q50,MOD(V$1-Units!$Q50,12)=0),IF(AND(Units!$L50=1,V$1=Units!$Q50),1,Inputs!$B$15)*Inputs!$B$16*(1+Inputs!$B$11)^(V$2-1),0)</f>
        <v>0</v>
      </c>
      <c r="W51" s="11" t="n">
        <f aca="false">IF(AND(W$1&gt;=Units!$Q50,MOD(W$1-Units!$Q50,12)=0),IF(AND(Units!$L50=1,W$1=Units!$Q50),1,Inputs!$B$15)*Inputs!$B$16*(1+Inputs!$B$11)^(W$2-1),0)</f>
        <v>0</v>
      </c>
      <c r="X51" s="11" t="n">
        <f aca="false">IF(AND(X$1&gt;=Units!$Q50,MOD(X$1-Units!$Q50,12)=0),IF(AND(Units!$L50=1,X$1=Units!$Q50),1,Inputs!$B$15)*Inputs!$B$16*(1+Inputs!$B$11)^(X$2-1),0)</f>
        <v>0</v>
      </c>
      <c r="Y51" s="11" t="n">
        <f aca="false">IF(AND(Y$1&gt;=Units!$Q50,MOD(Y$1-Units!$Q50,12)=0),IF(AND(Units!$L50=1,Y$1=Units!$Q50),1,Inputs!$B$15)*Inputs!$B$16*(1+Inputs!$B$11)^(Y$2-1),0)</f>
        <v>515</v>
      </c>
      <c r="Z51" s="11" t="n">
        <f aca="false">IF(AND(Z$1&gt;=Units!$Q50,MOD(Z$1-Units!$Q50,12)=0),IF(AND(Units!$L50=1,Z$1=Units!$Q50),1,Inputs!$B$15)*Inputs!$B$16*(1+Inputs!$B$11)^(Z$2-1),0)</f>
        <v>0</v>
      </c>
      <c r="AA51" s="11" t="n">
        <f aca="false">IF(AND(AA$1&gt;=Units!$Q50,MOD(AA$1-Units!$Q50,12)=0),IF(AND(Units!$L50=1,AA$1=Units!$Q50),1,Inputs!$B$15)*Inputs!$B$16*(1+Inputs!$B$11)^(AA$2-1),0)</f>
        <v>0</v>
      </c>
      <c r="AB51" s="11" t="n">
        <f aca="false">IF(AND(AB$1&gt;=Units!$Q50,MOD(AB$1-Units!$Q50,12)=0),IF(AND(Units!$L50=1,AB$1=Units!$Q50),1,Inputs!$B$15)*Inputs!$B$16*(1+Inputs!$B$11)^(AB$2-1),0)</f>
        <v>0</v>
      </c>
      <c r="AC51" s="11" t="n">
        <f aca="false">IF(AND(AC$1&gt;=Units!$Q50,MOD(AC$1-Units!$Q50,12)=0),IF(AND(Units!$L50=1,AC$1=Units!$Q50),1,Inputs!$B$15)*Inputs!$B$16*(1+Inputs!$B$11)^(AC$2-1),0)</f>
        <v>0</v>
      </c>
      <c r="AD51" s="11" t="n">
        <f aca="false">IF(AND(AD$1&gt;=Units!$Q50,MOD(AD$1-Units!$Q50,12)=0),IF(AND(Units!$L50=1,AD$1=Units!$Q50),1,Inputs!$B$15)*Inputs!$B$16*(1+Inputs!$B$11)^(AD$2-1),0)</f>
        <v>0</v>
      </c>
      <c r="AE51" s="11" t="n">
        <f aca="false">IF(AND(AE$1&gt;=Units!$Q50,MOD(AE$1-Units!$Q50,12)=0),IF(AND(Units!$L50=1,AE$1=Units!$Q50),1,Inputs!$B$15)*Inputs!$B$16*(1+Inputs!$B$11)^(AE$2-1),0)</f>
        <v>0</v>
      </c>
      <c r="AF51" s="11" t="n">
        <f aca="false">IF(AND(AF$1&gt;=Units!$Q50,MOD(AF$1-Units!$Q50,12)=0),IF(AND(Units!$L50=1,AF$1=Units!$Q50),1,Inputs!$B$15)*Inputs!$B$16*(1+Inputs!$B$11)^(AF$2-1),0)</f>
        <v>0</v>
      </c>
      <c r="AG51" s="11" t="n">
        <f aca="false">IF(AND(AG$1&gt;=Units!$Q50,MOD(AG$1-Units!$Q50,12)=0),IF(AND(Units!$L50=1,AG$1=Units!$Q50),1,Inputs!$B$15)*Inputs!$B$16*(1+Inputs!$B$11)^(AG$2-1),0)</f>
        <v>0</v>
      </c>
      <c r="AH51" s="11" t="n">
        <f aca="false">IF(AND(AH$1&gt;=Units!$Q50,MOD(AH$1-Units!$Q50,12)=0),IF(AND(Units!$L50=1,AH$1=Units!$Q50),1,Inputs!$B$15)*Inputs!$B$16*(1+Inputs!$B$11)^(AH$2-1),0)</f>
        <v>0</v>
      </c>
      <c r="AI51" s="11" t="n">
        <f aca="false">IF(AND(AI$1&gt;=Units!$Q50,MOD(AI$1-Units!$Q50,12)=0),IF(AND(Units!$L50=1,AI$1=Units!$Q50),1,Inputs!$B$15)*Inputs!$B$16*(1+Inputs!$B$11)^(AI$2-1),0)</f>
        <v>0</v>
      </c>
      <c r="AJ51" s="11" t="n">
        <f aca="false">IF(AND(AJ$1&gt;=Units!$Q50,MOD(AJ$1-Units!$Q50,12)=0),IF(AND(Units!$L50=1,AJ$1=Units!$Q50),1,Inputs!$B$15)*Inputs!$B$16*(1+Inputs!$B$11)^(AJ$2-1),0)</f>
        <v>0</v>
      </c>
      <c r="AK51" s="11" t="n">
        <f aca="false">IF(AND(AK$1&gt;=Units!$Q50,MOD(AK$1-Units!$Q50,12)=0),IF(AND(Units!$L50=1,AK$1=Units!$Q50),1,Inputs!$B$15)*Inputs!$B$16*(1+Inputs!$B$11)^(AK$2-1),0)</f>
        <v>530.45</v>
      </c>
      <c r="AL51" s="11" t="n">
        <f aca="false">IF(AND(AL$1&gt;=Units!$Q50,MOD(AL$1-Units!$Q50,12)=0),IF(AND(Units!$L50=1,AL$1=Units!$Q50),1,Inputs!$B$15)*Inputs!$B$16*(1+Inputs!$B$11)^(AL$2-1),0)</f>
        <v>0</v>
      </c>
      <c r="AM51" s="11" t="n">
        <f aca="false">IF(AND(AM$1&gt;=Units!$Q50,MOD(AM$1-Units!$Q50,12)=0),IF(AND(Units!$L50=1,AM$1=Units!$Q50),1,Inputs!$B$15)*Inputs!$B$16*(1+Inputs!$B$11)^(AM$2-1),0)</f>
        <v>0</v>
      </c>
      <c r="AN51" s="11" t="n">
        <f aca="false">IF(AND(AN$1&gt;=Units!$Q50,MOD(AN$1-Units!$Q50,12)=0),IF(AND(Units!$L50=1,AN$1=Units!$Q50),1,Inputs!$B$15)*Inputs!$B$16*(1+Inputs!$B$11)^(AN$2-1),0)</f>
        <v>0</v>
      </c>
      <c r="AO51" s="11" t="n">
        <f aca="false">IF(AND(AO$1&gt;=Units!$Q50,MOD(AO$1-Units!$Q50,12)=0),IF(AND(Units!$L50=1,AO$1=Units!$Q50),1,Inputs!$B$15)*Inputs!$B$16*(1+Inputs!$B$11)^(AO$2-1),0)</f>
        <v>0</v>
      </c>
      <c r="AP51" s="11" t="n">
        <f aca="false">IF(AND(AP$1&gt;=Units!$Q50,MOD(AP$1-Units!$Q50,12)=0),IF(AND(Units!$L50=1,AP$1=Units!$Q50),1,Inputs!$B$15)*Inputs!$B$16*(1+Inputs!$B$11)^(AP$2-1),0)</f>
        <v>0</v>
      </c>
      <c r="AQ51" s="11" t="n">
        <f aca="false">IF(AND(AQ$1&gt;=Units!$Q50,MOD(AQ$1-Units!$Q50,12)=0),IF(AND(Units!$L50=1,AQ$1=Units!$Q50),1,Inputs!$B$15)*Inputs!$B$16*(1+Inputs!$B$11)^(AQ$2-1),0)</f>
        <v>0</v>
      </c>
      <c r="AR51" s="11" t="n">
        <f aca="false">IF(AND(AR$1&gt;=Units!$Q50,MOD(AR$1-Units!$Q50,12)=0),IF(AND(Units!$L50=1,AR$1=Units!$Q50),1,Inputs!$B$15)*Inputs!$B$16*(1+Inputs!$B$11)^(AR$2-1),0)</f>
        <v>0</v>
      </c>
      <c r="AS51" s="11" t="n">
        <f aca="false">IF(AND(AS$1&gt;=Units!$Q50,MOD(AS$1-Units!$Q50,12)=0),IF(AND(Units!$L50=1,AS$1=Units!$Q50),1,Inputs!$B$15)*Inputs!$B$16*(1+Inputs!$B$11)^(AS$2-1),0)</f>
        <v>0</v>
      </c>
      <c r="AT51" s="11" t="n">
        <f aca="false">IF(AND(AT$1&gt;=Units!$Q50,MOD(AT$1-Units!$Q50,12)=0),IF(AND(Units!$L50=1,AT$1=Units!$Q50),1,Inputs!$B$15)*Inputs!$B$16*(1+Inputs!$B$11)^(AT$2-1),0)</f>
        <v>0</v>
      </c>
      <c r="AU51" s="11" t="n">
        <f aca="false">IF(AND(AU$1&gt;=Units!$Q50,MOD(AU$1-Units!$Q50,12)=0),IF(AND(Units!$L50=1,AU$1=Units!$Q50),1,Inputs!$B$15)*Inputs!$B$16*(1+Inputs!$B$11)^(AU$2-1),0)</f>
        <v>0</v>
      </c>
      <c r="AV51" s="11" t="n">
        <f aca="false">IF(AND(AV$1&gt;=Units!$Q50,MOD(AV$1-Units!$Q50,12)=0),IF(AND(Units!$L50=1,AV$1=Units!$Q50),1,Inputs!$B$15)*Inputs!$B$16*(1+Inputs!$B$11)^(AV$2-1),0)</f>
        <v>0</v>
      </c>
      <c r="AW51" s="11" t="n">
        <f aca="false">IF(AND(AW$1&gt;=Units!$Q50,MOD(AW$1-Units!$Q50,12)=0),IF(AND(Units!$L50=1,AW$1=Units!$Q50),1,Inputs!$B$15)*Inputs!$B$16*(1+Inputs!$B$11)^(AW$2-1),0)</f>
        <v>546.3635</v>
      </c>
      <c r="AX51" s="11" t="n">
        <f aca="false">IF(AND(AX$1&gt;=Units!$Q50,MOD(AX$1-Units!$Q50,12)=0),IF(AND(Units!$L50=1,AX$1=Units!$Q50),1,Inputs!$B$15)*Inputs!$B$16*(1+Inputs!$B$11)^(AX$2-1),0)</f>
        <v>0</v>
      </c>
      <c r="AY51" s="11" t="n">
        <f aca="false">IF(AND(AY$1&gt;=Units!$Q50,MOD(AY$1-Units!$Q50,12)=0),IF(AND(Units!$L50=1,AY$1=Units!$Q50),1,Inputs!$B$15)*Inputs!$B$16*(1+Inputs!$B$11)^(AY$2-1),0)</f>
        <v>0</v>
      </c>
      <c r="AZ51" s="11" t="n">
        <f aca="false">IF(AND(AZ$1&gt;=Units!$Q50,MOD(AZ$1-Units!$Q50,12)=0),IF(AND(Units!$L50=1,AZ$1=Units!$Q50),1,Inputs!$B$15)*Inputs!$B$16*(1+Inputs!$B$11)^(AZ$2-1),0)</f>
        <v>0</v>
      </c>
      <c r="BA51" s="11" t="n">
        <f aca="false">IF(AND(BA$1&gt;=Units!$Q50,MOD(BA$1-Units!$Q50,12)=0),IF(AND(Units!$L50=1,BA$1=Units!$Q50),1,Inputs!$B$15)*Inputs!$B$16*(1+Inputs!$B$11)^(BA$2-1),0)</f>
        <v>0</v>
      </c>
      <c r="BB51" s="11" t="n">
        <f aca="false">IF(AND(BB$1&gt;=Units!$Q50,MOD(BB$1-Units!$Q50,12)=0),IF(AND(Units!$L50=1,BB$1=Units!$Q50),1,Inputs!$B$15)*Inputs!$B$16*(1+Inputs!$B$11)^(BB$2-1),0)</f>
        <v>0</v>
      </c>
      <c r="BC51" s="11" t="n">
        <f aca="false">IF(AND(BC$1&gt;=Units!$Q50,MOD(BC$1-Units!$Q50,12)=0),IF(AND(Units!$L50=1,BC$1=Units!$Q50),1,Inputs!$B$15)*Inputs!$B$16*(1+Inputs!$B$11)^(BC$2-1),0)</f>
        <v>0</v>
      </c>
      <c r="BD51" s="11" t="n">
        <f aca="false">IF(AND(BD$1&gt;=Units!$Q50,MOD(BD$1-Units!$Q50,12)=0),IF(AND(Units!$L50=1,BD$1=Units!$Q50),1,Inputs!$B$15)*Inputs!$B$16*(1+Inputs!$B$11)^(BD$2-1),0)</f>
        <v>0</v>
      </c>
      <c r="BE51" s="11" t="n">
        <f aca="false">IF(AND(BE$1&gt;=Units!$Q50,MOD(BE$1-Units!$Q50,12)=0),IF(AND(Units!$L50=1,BE$1=Units!$Q50),1,Inputs!$B$15)*Inputs!$B$16*(1+Inputs!$B$11)^(BE$2-1),0)</f>
        <v>0</v>
      </c>
      <c r="BF51" s="11" t="n">
        <f aca="false">IF(AND(BF$1&gt;=Units!$Q50,MOD(BF$1-Units!$Q50,12)=0),IF(AND(Units!$L50=1,BF$1=Units!$Q50),1,Inputs!$B$15)*Inputs!$B$16*(1+Inputs!$B$11)^(BF$2-1),0)</f>
        <v>0</v>
      </c>
      <c r="BG51" s="11" t="n">
        <f aca="false">IF(AND(BG$1&gt;=Units!$Q50,MOD(BG$1-Units!$Q50,12)=0),IF(AND(Units!$L50=1,BG$1=Units!$Q50),1,Inputs!$B$15)*Inputs!$B$16*(1+Inputs!$B$11)^(BG$2-1),0)</f>
        <v>0</v>
      </c>
      <c r="BH51" s="11" t="n">
        <f aca="false">IF(AND(BH$1&gt;=Units!$Q50,MOD(BH$1-Units!$Q50,12)=0),IF(AND(Units!$L50=1,BH$1=Units!$Q50),1,Inputs!$B$15)*Inputs!$B$16*(1+Inputs!$B$11)^(BH$2-1),0)</f>
        <v>0</v>
      </c>
      <c r="BI51" s="11" t="n">
        <f aca="false">IF(AND(BI$1&gt;=Units!$Q50,MOD(BI$1-Units!$Q50,12)=0),IF(AND(Units!$L50=1,BI$1=Units!$Q50),1,Inputs!$B$15)*Inputs!$B$16*(1+Inputs!$B$11)^(BI$2-1),0)</f>
        <v>562.754405</v>
      </c>
      <c r="BJ51" s="11" t="n">
        <f aca="false">IF(AND(BJ$1&gt;=Units!$Q50,MOD(BJ$1-Units!$Q50,12)=0),IF(AND(Units!$L50=1,BJ$1=Units!$Q50),1,Inputs!$B$15)*Inputs!$B$16*(1+Inputs!$B$11)^(BJ$2-1),0)</f>
        <v>0</v>
      </c>
      <c r="BK51" s="11" t="n">
        <f aca="false">IF(AND(BK$1&gt;=Units!$Q50,MOD(BK$1-Units!$Q50,12)=0),IF(AND(Units!$L50=1,BK$1=Units!$Q50),1,Inputs!$B$15)*Inputs!$B$16*(1+Inputs!$B$11)^(BK$2-1),0)</f>
        <v>0</v>
      </c>
      <c r="BL51" s="11" t="n">
        <f aca="false">IF(AND(BL$1&gt;=Units!$Q50,MOD(BL$1-Units!$Q50,12)=0),IF(AND(Units!$L50=1,BL$1=Units!$Q50),1,Inputs!$B$15)*Inputs!$B$16*(1+Inputs!$B$11)^(BL$2-1),0)</f>
        <v>0</v>
      </c>
      <c r="BM51" s="11" t="n">
        <f aca="false">IF(AND(BM$1&gt;=Units!$Q50,MOD(BM$1-Units!$Q50,12)=0),IF(AND(Units!$L50=1,BM$1=Units!$Q50),1,Inputs!$B$15)*Inputs!$B$16*(1+Inputs!$B$11)^(BM$2-1),0)</f>
        <v>0</v>
      </c>
      <c r="BN51" s="11" t="n">
        <f aca="false">IF(AND(BN$1&gt;=Units!$Q50,MOD(BN$1-Units!$Q50,12)=0),IF(AND(Units!$L50=1,BN$1=Units!$Q50),1,Inputs!$B$15)*Inputs!$B$16*(1+Inputs!$B$11)^(BN$2-1),0)</f>
        <v>0</v>
      </c>
      <c r="BO51" s="11" t="n">
        <f aca="false">IF(AND(BO$1&gt;=Units!$Q50,MOD(BO$1-Units!$Q50,12)=0),IF(AND(Units!$L50=1,BO$1=Units!$Q50),1,Inputs!$B$15)*Inputs!$B$16*(1+Inputs!$B$11)^(BO$2-1),0)</f>
        <v>0</v>
      </c>
      <c r="BP51" s="11" t="n">
        <f aca="false">IF(AND(BP$1&gt;=Units!$Q50,MOD(BP$1-Units!$Q50,12)=0),IF(AND(Units!$L50=1,BP$1=Units!$Q50),1,Inputs!$B$15)*Inputs!$B$16*(1+Inputs!$B$11)^(BP$2-1),0)</f>
        <v>0</v>
      </c>
      <c r="BQ51" s="11" t="n">
        <f aca="false">IF(AND(BQ$1&gt;=Units!$Q50,MOD(BQ$1-Units!$Q50,12)=0),IF(AND(Units!$L50=1,BQ$1=Units!$Q50),1,Inputs!$B$15)*Inputs!$B$16*(1+Inputs!$B$11)^(BQ$2-1),0)</f>
        <v>0</v>
      </c>
      <c r="BR51" s="11" t="n">
        <f aca="false">IF(AND(BR$1&gt;=Units!$Q50,MOD(BR$1-Units!$Q50,12)=0),IF(AND(Units!$L50=1,BR$1=Units!$Q50),1,Inputs!$B$15)*Inputs!$B$16*(1+Inputs!$B$11)^(BR$2-1),0)</f>
        <v>0</v>
      </c>
      <c r="BS51" s="11" t="n">
        <f aca="false">IF(AND(BS$1&gt;=Units!$Q50,MOD(BS$1-Units!$Q50,12)=0),IF(AND(Units!$L50=1,BS$1=Units!$Q50),1,Inputs!$B$15)*Inputs!$B$16*(1+Inputs!$B$11)^(BS$2-1),0)</f>
        <v>0</v>
      </c>
      <c r="BT51" s="11" t="n">
        <f aca="false">IF(AND(BT$1&gt;=Units!$Q50,MOD(BT$1-Units!$Q50,12)=0),IF(AND(Units!$L50=1,BT$1=Units!$Q50),1,Inputs!$B$15)*Inputs!$B$16*(1+Inputs!$B$11)^(BT$2-1),0)</f>
        <v>0</v>
      </c>
      <c r="BU51" s="11" t="n">
        <f aca="false">IF(AND(BU$1&gt;=Units!$Q50,MOD(BU$1-Units!$Q50,12)=0),IF(AND(Units!$L50=1,BU$1=Units!$Q50),1,Inputs!$B$15)*Inputs!$B$16*(1+Inputs!$B$11)^(BU$2-1),0)</f>
        <v>579.63703715</v>
      </c>
      <c r="BV51" s="11" t="n">
        <f aca="false">IF(AND(BV$1&gt;=Units!$Q50,MOD(BV$1-Units!$Q50,12)=0),IF(AND(Units!$L50=1,BV$1=Units!$Q50),1,Inputs!$B$15)*Inputs!$B$16*(1+Inputs!$B$11)^(BV$2-1),0)</f>
        <v>0</v>
      </c>
      <c r="BW51" s="11" t="n">
        <f aca="false">IF(AND(BW$1&gt;=Units!$Q50,MOD(BW$1-Units!$Q50,12)=0),IF(AND(Units!$L50=1,BW$1=Units!$Q50),1,Inputs!$B$15)*Inputs!$B$16*(1+Inputs!$B$11)^(BW$2-1),0)</f>
        <v>0</v>
      </c>
      <c r="BX51" s="11" t="n">
        <f aca="false">IF(AND(BX$1&gt;=Units!$Q50,MOD(BX$1-Units!$Q50,12)=0),IF(AND(Units!$L50=1,BX$1=Units!$Q50),1,Inputs!$B$15)*Inputs!$B$16*(1+Inputs!$B$11)^(BX$2-1),0)</f>
        <v>0</v>
      </c>
      <c r="BY51" s="11" t="n">
        <f aca="false">IF(AND(BY$1&gt;=Units!$Q50,MOD(BY$1-Units!$Q50,12)=0),IF(AND(Units!$L50=1,BY$1=Units!$Q50),1,Inputs!$B$15)*Inputs!$B$16*(1+Inputs!$B$11)^(BY$2-1),0)</f>
        <v>0</v>
      </c>
      <c r="BZ51" s="11" t="n">
        <f aca="false">IF(AND(BZ$1&gt;=Units!$Q50,MOD(BZ$1-Units!$Q50,12)=0),IF(AND(Units!$L50=1,BZ$1=Units!$Q50),1,Inputs!$B$15)*Inputs!$B$16*(1+Inputs!$B$11)^(BZ$2-1),0)</f>
        <v>0</v>
      </c>
      <c r="CA51" s="11" t="n">
        <f aca="false">IF(AND(CA$1&gt;=Units!$Q50,MOD(CA$1-Units!$Q50,12)=0),IF(AND(Units!$L50=1,CA$1=Units!$Q50),1,Inputs!$B$15)*Inputs!$B$16*(1+Inputs!$B$11)^(CA$2-1),0)</f>
        <v>0</v>
      </c>
      <c r="CB51" s="11" t="n">
        <f aca="false">IF(AND(CB$1&gt;=Units!$Q50,MOD(CB$1-Units!$Q50,12)=0),IF(AND(Units!$L50=1,CB$1=Units!$Q50),1,Inputs!$B$15)*Inputs!$B$16*(1+Inputs!$B$11)^(CB$2-1),0)</f>
        <v>0</v>
      </c>
      <c r="CC51" s="11" t="n">
        <f aca="false">IF(AND(CC$1&gt;=Units!$Q50,MOD(CC$1-Units!$Q50,12)=0),IF(AND(Units!$L50=1,CC$1=Units!$Q50),1,Inputs!$B$15)*Inputs!$B$16*(1+Inputs!$B$11)^(CC$2-1),0)</f>
        <v>0</v>
      </c>
      <c r="CD51" s="11" t="n">
        <f aca="false">IF(AND(CD$1&gt;=Units!$Q50,MOD(CD$1-Units!$Q50,12)=0),IF(AND(Units!$L50=1,CD$1=Units!$Q50),1,Inputs!$B$15)*Inputs!$B$16*(1+Inputs!$B$11)^(CD$2-1),0)</f>
        <v>0</v>
      </c>
      <c r="CE51" s="11" t="n">
        <f aca="false">IF(AND(CE$1&gt;=Units!$Q50,MOD(CE$1-Units!$Q50,12)=0),IF(AND(Units!$L50=1,CE$1=Units!$Q50),1,Inputs!$B$15)*Inputs!$B$16*(1+Inputs!$B$11)^(CE$2-1),0)</f>
        <v>0</v>
      </c>
      <c r="CF51" s="11" t="n">
        <f aca="false">IF(AND(CF$1&gt;=Units!$Q50,MOD(CF$1-Units!$Q50,12)=0),IF(AND(Units!$L50=1,CF$1=Units!$Q50),1,Inputs!$B$15)*Inputs!$B$16*(1+Inputs!$B$11)^(CF$2-1),0)</f>
        <v>0</v>
      </c>
      <c r="CG51" s="11" t="n">
        <f aca="false">IF(AND(CG$1&gt;=Units!$Q50,MOD(CG$1-Units!$Q50,12)=0),IF(AND(Units!$L50=1,CG$1=Units!$Q50),1,Inputs!$B$15)*Inputs!$B$16*(1+Inputs!$B$11)^(CG$2-1),0)</f>
        <v>597.0261482645</v>
      </c>
      <c r="CH51" s="11" t="n">
        <f aca="false">IF(AND(CH$1&gt;=Units!$Q50,MOD(CH$1-Units!$Q50,12)=0),IF(AND(Units!$L50=1,CH$1=Units!$Q50),1,Inputs!$B$15)*Inputs!$B$16*(1+Inputs!$B$11)^(CH$2-1),0)</f>
        <v>0</v>
      </c>
      <c r="CI51" s="11" t="n">
        <f aca="false">IF(AND(CI$1&gt;=Units!$Q50,MOD(CI$1-Units!$Q50,12)=0),IF(AND(Units!$L50=1,CI$1=Units!$Q50),1,Inputs!$B$15)*Inputs!$B$16*(1+Inputs!$B$11)^(CI$2-1),0)</f>
        <v>0</v>
      </c>
      <c r="CJ51" s="11" t="n">
        <f aca="false">IF(AND(CJ$1&gt;=Units!$Q50,MOD(CJ$1-Units!$Q50,12)=0),IF(AND(Units!$L50=1,CJ$1=Units!$Q50),1,Inputs!$B$15)*Inputs!$B$16*(1+Inputs!$B$11)^(CJ$2-1),0)</f>
        <v>0</v>
      </c>
      <c r="CK51" s="11" t="n">
        <f aca="false">IF(AND(CK$1&gt;=Units!$Q50,MOD(CK$1-Units!$Q50,12)=0),IF(AND(Units!$L50=1,CK$1=Units!$Q50),1,Inputs!$B$15)*Inputs!$B$16*(1+Inputs!$B$11)^(CK$2-1),0)</f>
        <v>0</v>
      </c>
      <c r="CL51" s="11" t="n">
        <f aca="false">IF(AND(CL$1&gt;=Units!$Q50,MOD(CL$1-Units!$Q50,12)=0),IF(AND(Units!$L50=1,CL$1=Units!$Q50),1,Inputs!$B$15)*Inputs!$B$16*(1+Inputs!$B$11)^(CL$2-1),0)</f>
        <v>0</v>
      </c>
      <c r="CM51" s="11" t="n">
        <f aca="false">IF(AND(CM$1&gt;=Units!$Q50,MOD(CM$1-Units!$Q50,12)=0),IF(AND(Units!$L50=1,CM$1=Units!$Q50),1,Inputs!$B$15)*Inputs!$B$16*(1+Inputs!$B$11)^(CM$2-1),0)</f>
        <v>0</v>
      </c>
      <c r="CN51" s="11" t="n">
        <f aca="false">IF(AND(CN$1&gt;=Units!$Q50,MOD(CN$1-Units!$Q50,12)=0),IF(AND(Units!$L50=1,CN$1=Units!$Q50),1,Inputs!$B$15)*Inputs!$B$16*(1+Inputs!$B$11)^(CN$2-1),0)</f>
        <v>0</v>
      </c>
      <c r="CO51" s="11" t="n">
        <f aca="false">IF(AND(CO$1&gt;=Units!$Q50,MOD(CO$1-Units!$Q50,12)=0),IF(AND(Units!$L50=1,CO$1=Units!$Q50),1,Inputs!$B$15)*Inputs!$B$16*(1+Inputs!$B$11)^(CO$2-1),0)</f>
        <v>0</v>
      </c>
      <c r="CP51" s="11" t="n">
        <f aca="false">IF(AND(CP$1&gt;=Units!$Q50,MOD(CP$1-Units!$Q50,12)=0),IF(AND(Units!$L50=1,CP$1=Units!$Q50),1,Inputs!$B$15)*Inputs!$B$16*(1+Inputs!$B$11)^(CP$2-1),0)</f>
        <v>0</v>
      </c>
      <c r="CQ51" s="11" t="n">
        <f aca="false">IF(AND(CQ$1&gt;=Units!$Q50,MOD(CQ$1-Units!$Q50,12)=0),IF(AND(Units!$L50=1,CQ$1=Units!$Q50),1,Inputs!$B$15)*Inputs!$B$16*(1+Inputs!$B$11)^(CQ$2-1),0)</f>
        <v>0</v>
      </c>
      <c r="CR51" s="11" t="n">
        <f aca="false">IF(AND(CR$1&gt;=Units!$Q50,MOD(CR$1-Units!$Q50,12)=0),IF(AND(Units!$L50=1,CR$1=Units!$Q50),1,Inputs!$B$15)*Inputs!$B$16*(1+Inputs!$B$11)^(CR$2-1),0)</f>
        <v>0</v>
      </c>
      <c r="CS51" s="11" t="n">
        <f aca="false">IF(AND(CS$1&gt;=Units!$Q50,MOD(CS$1-Units!$Q50,12)=0),IF(AND(Units!$L50=1,CS$1=Units!$Q50),1,Inputs!$B$15)*Inputs!$B$16*(1+Inputs!$B$11)^(CS$2-1),0)</f>
        <v>614.936932712435</v>
      </c>
      <c r="CT51" s="11" t="n">
        <f aca="false">IF(AND(CT$1&gt;=Units!$Q50,MOD(CT$1-Units!$Q50,12)=0),IF(AND(Units!$L50=1,CT$1=Units!$Q50),1,Inputs!$B$15)*Inputs!$B$16*(1+Inputs!$B$11)^(CT$2-1),0)</f>
        <v>0</v>
      </c>
      <c r="CU51" s="11" t="n">
        <f aca="false">IF(AND(CU$1&gt;=Units!$Q50,MOD(CU$1-Units!$Q50,12)=0),IF(AND(Units!$L50=1,CU$1=Units!$Q50),1,Inputs!$B$15)*Inputs!$B$16*(1+Inputs!$B$11)^(CU$2-1),0)</f>
        <v>0</v>
      </c>
      <c r="CV51" s="11" t="n">
        <f aca="false">IF(AND(CV$1&gt;=Units!$Q50,MOD(CV$1-Units!$Q50,12)=0),IF(AND(Units!$L50=1,CV$1=Units!$Q50),1,Inputs!$B$15)*Inputs!$B$16*(1+Inputs!$B$11)^(CV$2-1),0)</f>
        <v>0</v>
      </c>
      <c r="CW51" s="11" t="n">
        <f aca="false">IF(AND(CW$1&gt;=Units!$Q50,MOD(CW$1-Units!$Q50,12)=0),IF(AND(Units!$L50=1,CW$1=Units!$Q50),1,Inputs!$B$15)*Inputs!$B$16*(1+Inputs!$B$11)^(CW$2-1),0)</f>
        <v>0</v>
      </c>
      <c r="CX51" s="11" t="n">
        <f aca="false">IF(AND(CX$1&gt;=Units!$Q50,MOD(CX$1-Units!$Q50,12)=0),IF(AND(Units!$L50=1,CX$1=Units!$Q50),1,Inputs!$B$15)*Inputs!$B$16*(1+Inputs!$B$11)^(CX$2-1),0)</f>
        <v>0</v>
      </c>
      <c r="CY51" s="11" t="n">
        <f aca="false">IF(AND(CY$1&gt;=Units!$Q50,MOD(CY$1-Units!$Q50,12)=0),IF(AND(Units!$L50=1,CY$1=Units!$Q50),1,Inputs!$B$15)*Inputs!$B$16*(1+Inputs!$B$11)^(CY$2-1),0)</f>
        <v>0</v>
      </c>
      <c r="CZ51" s="11" t="n">
        <f aca="false">IF(AND(CZ$1&gt;=Units!$Q50,MOD(CZ$1-Units!$Q50,12)=0),IF(AND(Units!$L50=1,CZ$1=Units!$Q50),1,Inputs!$B$15)*Inputs!$B$16*(1+Inputs!$B$11)^(CZ$2-1),0)</f>
        <v>0</v>
      </c>
      <c r="DA51" s="11" t="n">
        <f aca="false">IF(AND(DA$1&gt;=Units!$Q50,MOD(DA$1-Units!$Q50,12)=0),IF(AND(Units!$L50=1,DA$1=Units!$Q50),1,Inputs!$B$15)*Inputs!$B$16*(1+Inputs!$B$11)^(DA$2-1),0)</f>
        <v>0</v>
      </c>
      <c r="DB51" s="11" t="n">
        <f aca="false">IF(AND(DB$1&gt;=Units!$Q50,MOD(DB$1-Units!$Q50,12)=0),IF(AND(Units!$L50=1,DB$1=Units!$Q50),1,Inputs!$B$15)*Inputs!$B$16*(1+Inputs!$B$11)^(DB$2-1),0)</f>
        <v>0</v>
      </c>
      <c r="DC51" s="11" t="n">
        <f aca="false">IF(AND(DC$1&gt;=Units!$Q50,MOD(DC$1-Units!$Q50,12)=0),IF(AND(Units!$L50=1,DC$1=Units!$Q50),1,Inputs!$B$15)*Inputs!$B$16*(1+Inputs!$B$11)^(DC$2-1),0)</f>
        <v>0</v>
      </c>
      <c r="DD51" s="11" t="n">
        <f aca="false">IF(AND(DD$1&gt;=Units!$Q50,MOD(DD$1-Units!$Q50,12)=0),IF(AND(Units!$L50=1,DD$1=Units!$Q50),1,Inputs!$B$15)*Inputs!$B$16*(1+Inputs!$B$11)^(DD$2-1),0)</f>
        <v>0</v>
      </c>
      <c r="DE51" s="11" t="n">
        <f aca="false">IF(AND(DE$1&gt;=Units!$Q50,MOD(DE$1-Units!$Q50,12)=0),IF(AND(Units!$L50=1,DE$1=Units!$Q50),1,Inputs!$B$15)*Inputs!$B$16*(1+Inputs!$B$11)^(DE$2-1),0)</f>
        <v>633.385040693808</v>
      </c>
      <c r="DF51" s="11" t="n">
        <f aca="false">IF(AND(DF$1&gt;=Units!$Q50,MOD(DF$1-Units!$Q50,12)=0),IF(AND(Units!$L50=1,DF$1=Units!$Q50),1,Inputs!$B$15)*Inputs!$B$16*(1+Inputs!$B$11)^(DF$2-1),0)</f>
        <v>0</v>
      </c>
      <c r="DG51" s="11" t="n">
        <f aca="false">IF(AND(DG$1&gt;=Units!$Q50,MOD(DG$1-Units!$Q50,12)=0),IF(AND(Units!$L50=1,DG$1=Units!$Q50),1,Inputs!$B$15)*Inputs!$B$16*(1+Inputs!$B$11)^(DG$2-1),0)</f>
        <v>0</v>
      </c>
      <c r="DH51" s="11" t="n">
        <f aca="false">IF(AND(DH$1&gt;=Units!$Q50,MOD(DH$1-Units!$Q50,12)=0),IF(AND(Units!$L50=1,DH$1=Units!$Q50),1,Inputs!$B$15)*Inputs!$B$16*(1+Inputs!$B$11)^(DH$2-1),0)</f>
        <v>0</v>
      </c>
      <c r="DI51" s="11" t="n">
        <f aca="false">IF(AND(DI$1&gt;=Units!$Q50,MOD(DI$1-Units!$Q50,12)=0),IF(AND(Units!$L50=1,DI$1=Units!$Q50),1,Inputs!$B$15)*Inputs!$B$16*(1+Inputs!$B$11)^(DI$2-1),0)</f>
        <v>0</v>
      </c>
      <c r="DJ51" s="11" t="n">
        <f aca="false">IF(AND(DJ$1&gt;=Units!$Q50,MOD(DJ$1-Units!$Q50,12)=0),IF(AND(Units!$L50=1,DJ$1=Units!$Q50),1,Inputs!$B$15)*Inputs!$B$16*(1+Inputs!$B$11)^(DJ$2-1),0)</f>
        <v>0</v>
      </c>
      <c r="DK51" s="11" t="n">
        <f aca="false">IF(AND(DK$1&gt;=Units!$Q50,MOD(DK$1-Units!$Q50,12)=0),IF(AND(Units!$L50=1,DK$1=Units!$Q50),1,Inputs!$B$15)*Inputs!$B$16*(1+Inputs!$B$11)^(DK$2-1),0)</f>
        <v>0</v>
      </c>
      <c r="DL51" s="11" t="n">
        <f aca="false">IF(AND(DL$1&gt;=Units!$Q50,MOD(DL$1-Units!$Q50,12)=0),IF(AND(Units!$L50=1,DL$1=Units!$Q50),1,Inputs!$B$15)*Inputs!$B$16*(1+Inputs!$B$11)^(DL$2-1),0)</f>
        <v>0</v>
      </c>
      <c r="DM51" s="11" t="n">
        <f aca="false">IF(AND(DM$1&gt;=Units!$Q50,MOD(DM$1-Units!$Q50,12)=0),IF(AND(Units!$L50=1,DM$1=Units!$Q50),1,Inputs!$B$15)*Inputs!$B$16*(1+Inputs!$B$11)^(DM$2-1),0)</f>
        <v>0</v>
      </c>
      <c r="DN51" s="11" t="n">
        <f aca="false">IF(AND(DN$1&gt;=Units!$Q50,MOD(DN$1-Units!$Q50,12)=0),IF(AND(Units!$L50=1,DN$1=Units!$Q50),1,Inputs!$B$15)*Inputs!$B$16*(1+Inputs!$B$11)^(DN$2-1),0)</f>
        <v>0</v>
      </c>
      <c r="DO51" s="11" t="n">
        <f aca="false">IF(AND(DO$1&gt;=Units!$Q50,MOD(DO$1-Units!$Q50,12)=0),IF(AND(Units!$L50=1,DO$1=Units!$Q50),1,Inputs!$B$15)*Inputs!$B$16*(1+Inputs!$B$11)^(DO$2-1),0)</f>
        <v>0</v>
      </c>
      <c r="DP51" s="11" t="n">
        <f aca="false">IF(AND(DP$1&gt;=Units!$Q50,MOD(DP$1-Units!$Q50,12)=0),IF(AND(Units!$L50=1,DP$1=Units!$Q50),1,Inputs!$B$15)*Inputs!$B$16*(1+Inputs!$B$11)^(DP$2-1),0)</f>
        <v>0</v>
      </c>
      <c r="DQ51" s="11" t="n">
        <f aca="false">IF(AND(DQ$1&gt;=Units!$Q50,MOD(DQ$1-Units!$Q50,12)=0),IF(AND(Units!$L50=1,DQ$1=Units!$Q50),1,Inputs!$B$15)*Inputs!$B$16*(1+Inputs!$B$11)^(DQ$2-1),0)</f>
        <v>652.386591914623</v>
      </c>
      <c r="DR51" s="11" t="n">
        <f aca="false">IF(AND(DR$1&gt;=Units!$Q50,MOD(DR$1-Units!$Q50,12)=0),IF(AND(Units!$L50=1,DR$1=Units!$Q50),1,Inputs!$B$15)*Inputs!$B$16*(1+Inputs!$B$11)^(DR$2-1),0)</f>
        <v>0</v>
      </c>
      <c r="DS51" s="11" t="n">
        <f aca="false">IF(AND(DS$1&gt;=Units!$Q50,MOD(DS$1-Units!$Q50,12)=0),IF(AND(Units!$L50=1,DS$1=Units!$Q50),1,Inputs!$B$15)*Inputs!$B$16*(1+Inputs!$B$11)^(DS$2-1),0)</f>
        <v>0</v>
      </c>
      <c r="DT51" s="11" t="n">
        <f aca="false">IF(AND(DT$1&gt;=Units!$Q50,MOD(DT$1-Units!$Q50,12)=0),IF(AND(Units!$L50=1,DT$1=Units!$Q50),1,Inputs!$B$15)*Inputs!$B$16*(1+Inputs!$B$11)^(DT$2-1),0)</f>
        <v>0</v>
      </c>
      <c r="DU51" s="11" t="n">
        <f aca="false">IF(AND(DU$1&gt;=Units!$Q50,MOD(DU$1-Units!$Q50,12)=0),IF(AND(Units!$L50=1,DU$1=Units!$Q50),1,Inputs!$B$15)*Inputs!$B$16*(1+Inputs!$B$11)^(DU$2-1),0)</f>
        <v>0</v>
      </c>
      <c r="DV51" s="11" t="n">
        <f aca="false">IF(AND(DV$1&gt;=Units!$Q50,MOD(DV$1-Units!$Q50,12)=0),IF(AND(Units!$L50=1,DV$1=Units!$Q50),1,Inputs!$B$15)*Inputs!$B$16*(1+Inputs!$B$11)^(DV$2-1),0)</f>
        <v>0</v>
      </c>
      <c r="DW51" s="11" t="n">
        <f aca="false">IF(AND(DW$1&gt;=Units!$Q50,MOD(DW$1-Units!$Q50,12)=0),IF(AND(Units!$L50=1,DW$1=Units!$Q50),1,Inputs!$B$15)*Inputs!$B$16*(1+Inputs!$B$11)^(DW$2-1),0)</f>
        <v>0</v>
      </c>
      <c r="DX51" s="11" t="n">
        <f aca="false">IF(AND(DX$1&gt;=Units!$Q50,MOD(DX$1-Units!$Q50,12)=0),IF(AND(Units!$L50=1,DX$1=Units!$Q50),1,Inputs!$B$15)*Inputs!$B$16*(1+Inputs!$B$11)^(DX$2-1),0)</f>
        <v>0</v>
      </c>
      <c r="DY51" s="11" t="n">
        <f aca="false">IF(AND(DY$1&gt;=Units!$Q50,MOD(DY$1-Units!$Q50,12)=0),IF(AND(Units!$L50=1,DY$1=Units!$Q50),1,Inputs!$B$15)*Inputs!$B$16*(1+Inputs!$B$11)^(DY$2-1),0)</f>
        <v>0</v>
      </c>
      <c r="DZ51" s="11" t="n">
        <f aca="false">IF(AND(DZ$1&gt;=Units!$Q50,MOD(DZ$1-Units!$Q50,12)=0),IF(AND(Units!$L50=1,DZ$1=Units!$Q50),1,Inputs!$B$15)*Inputs!$B$16*(1+Inputs!$B$11)^(DZ$2-1),0)</f>
        <v>0</v>
      </c>
      <c r="EA51" s="11" t="n">
        <f aca="false">IF(AND(EA$1&gt;=Units!$Q50,MOD(EA$1-Units!$Q50,12)=0),IF(AND(Units!$L50=1,EA$1=Units!$Q50),1,Inputs!$B$15)*Inputs!$B$16*(1+Inputs!$B$11)^(EA$2-1),0)</f>
        <v>0</v>
      </c>
      <c r="EB51" s="11" t="n">
        <f aca="false">IF(AND(EB$1&gt;=Units!$Q50,MOD(EB$1-Units!$Q50,12)=0),IF(AND(Units!$L50=1,EB$1=Units!$Q50),1,Inputs!$B$15)*Inputs!$B$16*(1+Inputs!$B$11)^(EB$2-1),0)</f>
        <v>0</v>
      </c>
      <c r="EC51" s="11" t="n">
        <f aca="false">IF(AND(EC$1&gt;=Units!$Q50,MOD(EC$1-Units!$Q50,12)=0),IF(AND(Units!$L50=1,EC$1=Units!$Q50),1,Inputs!$B$15)*Inputs!$B$16*(1+Inputs!$B$11)^(EC$2-1),0)</f>
        <v>671.958189672061</v>
      </c>
      <c r="ED51" s="11" t="n">
        <f aca="false">IF(AND(ED$1&gt;=Units!$Q50,MOD(ED$1-Units!$Q50,12)=0),IF(AND(Units!$L50=1,ED$1=Units!$Q50),1,Inputs!$B$15)*Inputs!$B$16*(1+Inputs!$B$11)^(ED$2-1),0)</f>
        <v>0</v>
      </c>
    </row>
    <row r="52" customFormat="false" ht="15" hidden="false" customHeight="false" outlineLevel="0" collapsed="false">
      <c r="A52" s="22" t="n">
        <f aca="false">Units!A51</f>
        <v>220</v>
      </c>
      <c r="B52" s="23"/>
      <c r="C52" s="11" t="n">
        <f aca="false">IF(AND(C$1&gt;=Units!$Q51,MOD(C$1-Units!$Q51,12)=0),IF(AND(Units!$L51=1,C$1=Units!$Q51),1,Inputs!$B$15)*Inputs!$B$16*(1+Inputs!$B$11)^(C$2-1),0)</f>
        <v>0</v>
      </c>
      <c r="D52" s="11" t="n">
        <f aca="false">IF(AND(D$1&gt;=Units!$Q51,MOD(D$1-Units!$Q51,12)=0),IF(AND(Units!$L51=1,D$1=Units!$Q51),1,Inputs!$B$15)*Inputs!$B$16*(1+Inputs!$B$11)^(D$2-1),0)</f>
        <v>500</v>
      </c>
      <c r="E52" s="11" t="n">
        <f aca="false">IF(AND(E$1&gt;=Units!$Q51,MOD(E$1-Units!$Q51,12)=0),IF(AND(Units!$L51=1,E$1=Units!$Q51),1,Inputs!$B$15)*Inputs!$B$16*(1+Inputs!$B$11)^(E$2-1),0)</f>
        <v>0</v>
      </c>
      <c r="F52" s="11" t="n">
        <f aca="false">IF(AND(F$1&gt;=Units!$Q51,MOD(F$1-Units!$Q51,12)=0),IF(AND(Units!$L51=1,F$1=Units!$Q51),1,Inputs!$B$15)*Inputs!$B$16*(1+Inputs!$B$11)^(F$2-1),0)</f>
        <v>0</v>
      </c>
      <c r="G52" s="11" t="n">
        <f aca="false">IF(AND(G$1&gt;=Units!$Q51,MOD(G$1-Units!$Q51,12)=0),IF(AND(Units!$L51=1,G$1=Units!$Q51),1,Inputs!$B$15)*Inputs!$B$16*(1+Inputs!$B$11)^(G$2-1),0)</f>
        <v>0</v>
      </c>
      <c r="H52" s="11" t="n">
        <f aca="false">IF(AND(H$1&gt;=Units!$Q51,MOD(H$1-Units!$Q51,12)=0),IF(AND(Units!$L51=1,H$1=Units!$Q51),1,Inputs!$B$15)*Inputs!$B$16*(1+Inputs!$B$11)^(H$2-1),0)</f>
        <v>0</v>
      </c>
      <c r="I52" s="11" t="n">
        <f aca="false">IF(AND(I$1&gt;=Units!$Q51,MOD(I$1-Units!$Q51,12)=0),IF(AND(Units!$L51=1,I$1=Units!$Q51),1,Inputs!$B$15)*Inputs!$B$16*(1+Inputs!$B$11)^(I$2-1),0)</f>
        <v>0</v>
      </c>
      <c r="J52" s="11" t="n">
        <f aca="false">IF(AND(J$1&gt;=Units!$Q51,MOD(J$1-Units!$Q51,12)=0),IF(AND(Units!$L51=1,J$1=Units!$Q51),1,Inputs!$B$15)*Inputs!$B$16*(1+Inputs!$B$11)^(J$2-1),0)</f>
        <v>0</v>
      </c>
      <c r="K52" s="11" t="n">
        <f aca="false">IF(AND(K$1&gt;=Units!$Q51,MOD(K$1-Units!$Q51,12)=0),IF(AND(Units!$L51=1,K$1=Units!$Q51),1,Inputs!$B$15)*Inputs!$B$16*(1+Inputs!$B$11)^(K$2-1),0)</f>
        <v>0</v>
      </c>
      <c r="L52" s="11" t="n">
        <f aca="false">IF(AND(L$1&gt;=Units!$Q51,MOD(L$1-Units!$Q51,12)=0),IF(AND(Units!$L51=1,L$1=Units!$Q51),1,Inputs!$B$15)*Inputs!$B$16*(1+Inputs!$B$11)^(L$2-1),0)</f>
        <v>0</v>
      </c>
      <c r="M52" s="11" t="n">
        <f aca="false">IF(AND(M$1&gt;=Units!$Q51,MOD(M$1-Units!$Q51,12)=0),IF(AND(Units!$L51=1,M$1=Units!$Q51),1,Inputs!$B$15)*Inputs!$B$16*(1+Inputs!$B$11)^(M$2-1),0)</f>
        <v>0</v>
      </c>
      <c r="N52" s="11" t="n">
        <f aca="false">IF(AND(N$1&gt;=Units!$Q51,MOD(N$1-Units!$Q51,12)=0),IF(AND(Units!$L51=1,N$1=Units!$Q51),1,Inputs!$B$15)*Inputs!$B$16*(1+Inputs!$B$11)^(N$2-1),0)</f>
        <v>0</v>
      </c>
      <c r="O52" s="11" t="n">
        <f aca="false">IF(AND(O$1&gt;=Units!$Q51,MOD(O$1-Units!$Q51,12)=0),IF(AND(Units!$L51=1,O$1=Units!$Q51),1,Inputs!$B$15)*Inputs!$B$16*(1+Inputs!$B$11)^(O$2-1),0)</f>
        <v>0</v>
      </c>
      <c r="P52" s="11" t="n">
        <f aca="false">IF(AND(P$1&gt;=Units!$Q51,MOD(P$1-Units!$Q51,12)=0),IF(AND(Units!$L51=1,P$1=Units!$Q51),1,Inputs!$B$15)*Inputs!$B$16*(1+Inputs!$B$11)^(P$2-1),0)</f>
        <v>515</v>
      </c>
      <c r="Q52" s="11" t="n">
        <f aca="false">IF(AND(Q$1&gt;=Units!$Q51,MOD(Q$1-Units!$Q51,12)=0),IF(AND(Units!$L51=1,Q$1=Units!$Q51),1,Inputs!$B$15)*Inputs!$B$16*(1+Inputs!$B$11)^(Q$2-1),0)</f>
        <v>0</v>
      </c>
      <c r="R52" s="11" t="n">
        <f aca="false">IF(AND(R$1&gt;=Units!$Q51,MOD(R$1-Units!$Q51,12)=0),IF(AND(Units!$L51=1,R$1=Units!$Q51),1,Inputs!$B$15)*Inputs!$B$16*(1+Inputs!$B$11)^(R$2-1),0)</f>
        <v>0</v>
      </c>
      <c r="S52" s="11" t="n">
        <f aca="false">IF(AND(S$1&gt;=Units!$Q51,MOD(S$1-Units!$Q51,12)=0),IF(AND(Units!$L51=1,S$1=Units!$Q51),1,Inputs!$B$15)*Inputs!$B$16*(1+Inputs!$B$11)^(S$2-1),0)</f>
        <v>0</v>
      </c>
      <c r="T52" s="11" t="n">
        <f aca="false">IF(AND(T$1&gt;=Units!$Q51,MOD(T$1-Units!$Q51,12)=0),IF(AND(Units!$L51=1,T$1=Units!$Q51),1,Inputs!$B$15)*Inputs!$B$16*(1+Inputs!$B$11)^(T$2-1),0)</f>
        <v>0</v>
      </c>
      <c r="U52" s="11" t="n">
        <f aca="false">IF(AND(U$1&gt;=Units!$Q51,MOD(U$1-Units!$Q51,12)=0),IF(AND(Units!$L51=1,U$1=Units!$Q51),1,Inputs!$B$15)*Inputs!$B$16*(1+Inputs!$B$11)^(U$2-1),0)</f>
        <v>0</v>
      </c>
      <c r="V52" s="11" t="n">
        <f aca="false">IF(AND(V$1&gt;=Units!$Q51,MOD(V$1-Units!$Q51,12)=0),IF(AND(Units!$L51=1,V$1=Units!$Q51),1,Inputs!$B$15)*Inputs!$B$16*(1+Inputs!$B$11)^(V$2-1),0)</f>
        <v>0</v>
      </c>
      <c r="W52" s="11" t="n">
        <f aca="false">IF(AND(W$1&gt;=Units!$Q51,MOD(W$1-Units!$Q51,12)=0),IF(AND(Units!$L51=1,W$1=Units!$Q51),1,Inputs!$B$15)*Inputs!$B$16*(1+Inputs!$B$11)^(W$2-1),0)</f>
        <v>0</v>
      </c>
      <c r="X52" s="11" t="n">
        <f aca="false">IF(AND(X$1&gt;=Units!$Q51,MOD(X$1-Units!$Q51,12)=0),IF(AND(Units!$L51=1,X$1=Units!$Q51),1,Inputs!$B$15)*Inputs!$B$16*(1+Inputs!$B$11)^(X$2-1),0)</f>
        <v>0</v>
      </c>
      <c r="Y52" s="11" t="n">
        <f aca="false">IF(AND(Y$1&gt;=Units!$Q51,MOD(Y$1-Units!$Q51,12)=0),IF(AND(Units!$L51=1,Y$1=Units!$Q51),1,Inputs!$B$15)*Inputs!$B$16*(1+Inputs!$B$11)^(Y$2-1),0)</f>
        <v>0</v>
      </c>
      <c r="Z52" s="11" t="n">
        <f aca="false">IF(AND(Z$1&gt;=Units!$Q51,MOD(Z$1-Units!$Q51,12)=0),IF(AND(Units!$L51=1,Z$1=Units!$Q51),1,Inputs!$B$15)*Inputs!$B$16*(1+Inputs!$B$11)^(Z$2-1),0)</f>
        <v>0</v>
      </c>
      <c r="AA52" s="11" t="n">
        <f aca="false">IF(AND(AA$1&gt;=Units!$Q51,MOD(AA$1-Units!$Q51,12)=0),IF(AND(Units!$L51=1,AA$1=Units!$Q51),1,Inputs!$B$15)*Inputs!$B$16*(1+Inputs!$B$11)^(AA$2-1),0)</f>
        <v>0</v>
      </c>
      <c r="AB52" s="11" t="n">
        <f aca="false">IF(AND(AB$1&gt;=Units!$Q51,MOD(AB$1-Units!$Q51,12)=0),IF(AND(Units!$L51=1,AB$1=Units!$Q51),1,Inputs!$B$15)*Inputs!$B$16*(1+Inputs!$B$11)^(AB$2-1),0)</f>
        <v>530.45</v>
      </c>
      <c r="AC52" s="11" t="n">
        <f aca="false">IF(AND(AC$1&gt;=Units!$Q51,MOD(AC$1-Units!$Q51,12)=0),IF(AND(Units!$L51=1,AC$1=Units!$Q51),1,Inputs!$B$15)*Inputs!$B$16*(1+Inputs!$B$11)^(AC$2-1),0)</f>
        <v>0</v>
      </c>
      <c r="AD52" s="11" t="n">
        <f aca="false">IF(AND(AD$1&gt;=Units!$Q51,MOD(AD$1-Units!$Q51,12)=0),IF(AND(Units!$L51=1,AD$1=Units!$Q51),1,Inputs!$B$15)*Inputs!$B$16*(1+Inputs!$B$11)^(AD$2-1),0)</f>
        <v>0</v>
      </c>
      <c r="AE52" s="11" t="n">
        <f aca="false">IF(AND(AE$1&gt;=Units!$Q51,MOD(AE$1-Units!$Q51,12)=0),IF(AND(Units!$L51=1,AE$1=Units!$Q51),1,Inputs!$B$15)*Inputs!$B$16*(1+Inputs!$B$11)^(AE$2-1),0)</f>
        <v>0</v>
      </c>
      <c r="AF52" s="11" t="n">
        <f aca="false">IF(AND(AF$1&gt;=Units!$Q51,MOD(AF$1-Units!$Q51,12)=0),IF(AND(Units!$L51=1,AF$1=Units!$Q51),1,Inputs!$B$15)*Inputs!$B$16*(1+Inputs!$B$11)^(AF$2-1),0)</f>
        <v>0</v>
      </c>
      <c r="AG52" s="11" t="n">
        <f aca="false">IF(AND(AG$1&gt;=Units!$Q51,MOD(AG$1-Units!$Q51,12)=0),IF(AND(Units!$L51=1,AG$1=Units!$Q51),1,Inputs!$B$15)*Inputs!$B$16*(1+Inputs!$B$11)^(AG$2-1),0)</f>
        <v>0</v>
      </c>
      <c r="AH52" s="11" t="n">
        <f aca="false">IF(AND(AH$1&gt;=Units!$Q51,MOD(AH$1-Units!$Q51,12)=0),IF(AND(Units!$L51=1,AH$1=Units!$Q51),1,Inputs!$B$15)*Inputs!$B$16*(1+Inputs!$B$11)^(AH$2-1),0)</f>
        <v>0</v>
      </c>
      <c r="AI52" s="11" t="n">
        <f aca="false">IF(AND(AI$1&gt;=Units!$Q51,MOD(AI$1-Units!$Q51,12)=0),IF(AND(Units!$L51=1,AI$1=Units!$Q51),1,Inputs!$B$15)*Inputs!$B$16*(1+Inputs!$B$11)^(AI$2-1),0)</f>
        <v>0</v>
      </c>
      <c r="AJ52" s="11" t="n">
        <f aca="false">IF(AND(AJ$1&gt;=Units!$Q51,MOD(AJ$1-Units!$Q51,12)=0),IF(AND(Units!$L51=1,AJ$1=Units!$Q51),1,Inputs!$B$15)*Inputs!$B$16*(1+Inputs!$B$11)^(AJ$2-1),0)</f>
        <v>0</v>
      </c>
      <c r="AK52" s="11" t="n">
        <f aca="false">IF(AND(AK$1&gt;=Units!$Q51,MOD(AK$1-Units!$Q51,12)=0),IF(AND(Units!$L51=1,AK$1=Units!$Q51),1,Inputs!$B$15)*Inputs!$B$16*(1+Inputs!$B$11)^(AK$2-1),0)</f>
        <v>0</v>
      </c>
      <c r="AL52" s="11" t="n">
        <f aca="false">IF(AND(AL$1&gt;=Units!$Q51,MOD(AL$1-Units!$Q51,12)=0),IF(AND(Units!$L51=1,AL$1=Units!$Q51),1,Inputs!$B$15)*Inputs!$B$16*(1+Inputs!$B$11)^(AL$2-1),0)</f>
        <v>0</v>
      </c>
      <c r="AM52" s="11" t="n">
        <f aca="false">IF(AND(AM$1&gt;=Units!$Q51,MOD(AM$1-Units!$Q51,12)=0),IF(AND(Units!$L51=1,AM$1=Units!$Q51),1,Inputs!$B$15)*Inputs!$B$16*(1+Inputs!$B$11)^(AM$2-1),0)</f>
        <v>0</v>
      </c>
      <c r="AN52" s="11" t="n">
        <f aca="false">IF(AND(AN$1&gt;=Units!$Q51,MOD(AN$1-Units!$Q51,12)=0),IF(AND(Units!$L51=1,AN$1=Units!$Q51),1,Inputs!$B$15)*Inputs!$B$16*(1+Inputs!$B$11)^(AN$2-1),0)</f>
        <v>546.3635</v>
      </c>
      <c r="AO52" s="11" t="n">
        <f aca="false">IF(AND(AO$1&gt;=Units!$Q51,MOD(AO$1-Units!$Q51,12)=0),IF(AND(Units!$L51=1,AO$1=Units!$Q51),1,Inputs!$B$15)*Inputs!$B$16*(1+Inputs!$B$11)^(AO$2-1),0)</f>
        <v>0</v>
      </c>
      <c r="AP52" s="11" t="n">
        <f aca="false">IF(AND(AP$1&gt;=Units!$Q51,MOD(AP$1-Units!$Q51,12)=0),IF(AND(Units!$L51=1,AP$1=Units!$Q51),1,Inputs!$B$15)*Inputs!$B$16*(1+Inputs!$B$11)^(AP$2-1),0)</f>
        <v>0</v>
      </c>
      <c r="AQ52" s="11" t="n">
        <f aca="false">IF(AND(AQ$1&gt;=Units!$Q51,MOD(AQ$1-Units!$Q51,12)=0),IF(AND(Units!$L51=1,AQ$1=Units!$Q51),1,Inputs!$B$15)*Inputs!$B$16*(1+Inputs!$B$11)^(AQ$2-1),0)</f>
        <v>0</v>
      </c>
      <c r="AR52" s="11" t="n">
        <f aca="false">IF(AND(AR$1&gt;=Units!$Q51,MOD(AR$1-Units!$Q51,12)=0),IF(AND(Units!$L51=1,AR$1=Units!$Q51),1,Inputs!$B$15)*Inputs!$B$16*(1+Inputs!$B$11)^(AR$2-1),0)</f>
        <v>0</v>
      </c>
      <c r="AS52" s="11" t="n">
        <f aca="false">IF(AND(AS$1&gt;=Units!$Q51,MOD(AS$1-Units!$Q51,12)=0),IF(AND(Units!$L51=1,AS$1=Units!$Q51),1,Inputs!$B$15)*Inputs!$B$16*(1+Inputs!$B$11)^(AS$2-1),0)</f>
        <v>0</v>
      </c>
      <c r="AT52" s="11" t="n">
        <f aca="false">IF(AND(AT$1&gt;=Units!$Q51,MOD(AT$1-Units!$Q51,12)=0),IF(AND(Units!$L51=1,AT$1=Units!$Q51),1,Inputs!$B$15)*Inputs!$B$16*(1+Inputs!$B$11)^(AT$2-1),0)</f>
        <v>0</v>
      </c>
      <c r="AU52" s="11" t="n">
        <f aca="false">IF(AND(AU$1&gt;=Units!$Q51,MOD(AU$1-Units!$Q51,12)=0),IF(AND(Units!$L51=1,AU$1=Units!$Q51),1,Inputs!$B$15)*Inputs!$B$16*(1+Inputs!$B$11)^(AU$2-1),0)</f>
        <v>0</v>
      </c>
      <c r="AV52" s="11" t="n">
        <f aca="false">IF(AND(AV$1&gt;=Units!$Q51,MOD(AV$1-Units!$Q51,12)=0),IF(AND(Units!$L51=1,AV$1=Units!$Q51),1,Inputs!$B$15)*Inputs!$B$16*(1+Inputs!$B$11)^(AV$2-1),0)</f>
        <v>0</v>
      </c>
      <c r="AW52" s="11" t="n">
        <f aca="false">IF(AND(AW$1&gt;=Units!$Q51,MOD(AW$1-Units!$Q51,12)=0),IF(AND(Units!$L51=1,AW$1=Units!$Q51),1,Inputs!$B$15)*Inputs!$B$16*(1+Inputs!$B$11)^(AW$2-1),0)</f>
        <v>0</v>
      </c>
      <c r="AX52" s="11" t="n">
        <f aca="false">IF(AND(AX$1&gt;=Units!$Q51,MOD(AX$1-Units!$Q51,12)=0),IF(AND(Units!$L51=1,AX$1=Units!$Q51),1,Inputs!$B$15)*Inputs!$B$16*(1+Inputs!$B$11)^(AX$2-1),0)</f>
        <v>0</v>
      </c>
      <c r="AY52" s="11" t="n">
        <f aca="false">IF(AND(AY$1&gt;=Units!$Q51,MOD(AY$1-Units!$Q51,12)=0),IF(AND(Units!$L51=1,AY$1=Units!$Q51),1,Inputs!$B$15)*Inputs!$B$16*(1+Inputs!$B$11)^(AY$2-1),0)</f>
        <v>0</v>
      </c>
      <c r="AZ52" s="11" t="n">
        <f aca="false">IF(AND(AZ$1&gt;=Units!$Q51,MOD(AZ$1-Units!$Q51,12)=0),IF(AND(Units!$L51=1,AZ$1=Units!$Q51),1,Inputs!$B$15)*Inputs!$B$16*(1+Inputs!$B$11)^(AZ$2-1),0)</f>
        <v>562.754405</v>
      </c>
      <c r="BA52" s="11" t="n">
        <f aca="false">IF(AND(BA$1&gt;=Units!$Q51,MOD(BA$1-Units!$Q51,12)=0),IF(AND(Units!$L51=1,BA$1=Units!$Q51),1,Inputs!$B$15)*Inputs!$B$16*(1+Inputs!$B$11)^(BA$2-1),0)</f>
        <v>0</v>
      </c>
      <c r="BB52" s="11" t="n">
        <f aca="false">IF(AND(BB$1&gt;=Units!$Q51,MOD(BB$1-Units!$Q51,12)=0),IF(AND(Units!$L51=1,BB$1=Units!$Q51),1,Inputs!$B$15)*Inputs!$B$16*(1+Inputs!$B$11)^(BB$2-1),0)</f>
        <v>0</v>
      </c>
      <c r="BC52" s="11" t="n">
        <f aca="false">IF(AND(BC$1&gt;=Units!$Q51,MOD(BC$1-Units!$Q51,12)=0),IF(AND(Units!$L51=1,BC$1=Units!$Q51),1,Inputs!$B$15)*Inputs!$B$16*(1+Inputs!$B$11)^(BC$2-1),0)</f>
        <v>0</v>
      </c>
      <c r="BD52" s="11" t="n">
        <f aca="false">IF(AND(BD$1&gt;=Units!$Q51,MOD(BD$1-Units!$Q51,12)=0),IF(AND(Units!$L51=1,BD$1=Units!$Q51),1,Inputs!$B$15)*Inputs!$B$16*(1+Inputs!$B$11)^(BD$2-1),0)</f>
        <v>0</v>
      </c>
      <c r="BE52" s="11" t="n">
        <f aca="false">IF(AND(BE$1&gt;=Units!$Q51,MOD(BE$1-Units!$Q51,12)=0),IF(AND(Units!$L51=1,BE$1=Units!$Q51),1,Inputs!$B$15)*Inputs!$B$16*(1+Inputs!$B$11)^(BE$2-1),0)</f>
        <v>0</v>
      </c>
      <c r="BF52" s="11" t="n">
        <f aca="false">IF(AND(BF$1&gt;=Units!$Q51,MOD(BF$1-Units!$Q51,12)=0),IF(AND(Units!$L51=1,BF$1=Units!$Q51),1,Inputs!$B$15)*Inputs!$B$16*(1+Inputs!$B$11)^(BF$2-1),0)</f>
        <v>0</v>
      </c>
      <c r="BG52" s="11" t="n">
        <f aca="false">IF(AND(BG$1&gt;=Units!$Q51,MOD(BG$1-Units!$Q51,12)=0),IF(AND(Units!$L51=1,BG$1=Units!$Q51),1,Inputs!$B$15)*Inputs!$B$16*(1+Inputs!$B$11)^(BG$2-1),0)</f>
        <v>0</v>
      </c>
      <c r="BH52" s="11" t="n">
        <f aca="false">IF(AND(BH$1&gt;=Units!$Q51,MOD(BH$1-Units!$Q51,12)=0),IF(AND(Units!$L51=1,BH$1=Units!$Q51),1,Inputs!$B$15)*Inputs!$B$16*(1+Inputs!$B$11)^(BH$2-1),0)</f>
        <v>0</v>
      </c>
      <c r="BI52" s="11" t="n">
        <f aca="false">IF(AND(BI$1&gt;=Units!$Q51,MOD(BI$1-Units!$Q51,12)=0),IF(AND(Units!$L51=1,BI$1=Units!$Q51),1,Inputs!$B$15)*Inputs!$B$16*(1+Inputs!$B$11)^(BI$2-1),0)</f>
        <v>0</v>
      </c>
      <c r="BJ52" s="11" t="n">
        <f aca="false">IF(AND(BJ$1&gt;=Units!$Q51,MOD(BJ$1-Units!$Q51,12)=0),IF(AND(Units!$L51=1,BJ$1=Units!$Q51),1,Inputs!$B$15)*Inputs!$B$16*(1+Inputs!$B$11)^(BJ$2-1),0)</f>
        <v>0</v>
      </c>
      <c r="BK52" s="11" t="n">
        <f aca="false">IF(AND(BK$1&gt;=Units!$Q51,MOD(BK$1-Units!$Q51,12)=0),IF(AND(Units!$L51=1,BK$1=Units!$Q51),1,Inputs!$B$15)*Inputs!$B$16*(1+Inputs!$B$11)^(BK$2-1),0)</f>
        <v>0</v>
      </c>
      <c r="BL52" s="11" t="n">
        <f aca="false">IF(AND(BL$1&gt;=Units!$Q51,MOD(BL$1-Units!$Q51,12)=0),IF(AND(Units!$L51=1,BL$1=Units!$Q51),1,Inputs!$B$15)*Inputs!$B$16*(1+Inputs!$B$11)^(BL$2-1),0)</f>
        <v>579.63703715</v>
      </c>
      <c r="BM52" s="11" t="n">
        <f aca="false">IF(AND(BM$1&gt;=Units!$Q51,MOD(BM$1-Units!$Q51,12)=0),IF(AND(Units!$L51=1,BM$1=Units!$Q51),1,Inputs!$B$15)*Inputs!$B$16*(1+Inputs!$B$11)^(BM$2-1),0)</f>
        <v>0</v>
      </c>
      <c r="BN52" s="11" t="n">
        <f aca="false">IF(AND(BN$1&gt;=Units!$Q51,MOD(BN$1-Units!$Q51,12)=0),IF(AND(Units!$L51=1,BN$1=Units!$Q51),1,Inputs!$B$15)*Inputs!$B$16*(1+Inputs!$B$11)^(BN$2-1),0)</f>
        <v>0</v>
      </c>
      <c r="BO52" s="11" t="n">
        <f aca="false">IF(AND(BO$1&gt;=Units!$Q51,MOD(BO$1-Units!$Q51,12)=0),IF(AND(Units!$L51=1,BO$1=Units!$Q51),1,Inputs!$B$15)*Inputs!$B$16*(1+Inputs!$B$11)^(BO$2-1),0)</f>
        <v>0</v>
      </c>
      <c r="BP52" s="11" t="n">
        <f aca="false">IF(AND(BP$1&gt;=Units!$Q51,MOD(BP$1-Units!$Q51,12)=0),IF(AND(Units!$L51=1,BP$1=Units!$Q51),1,Inputs!$B$15)*Inputs!$B$16*(1+Inputs!$B$11)^(BP$2-1),0)</f>
        <v>0</v>
      </c>
      <c r="BQ52" s="11" t="n">
        <f aca="false">IF(AND(BQ$1&gt;=Units!$Q51,MOD(BQ$1-Units!$Q51,12)=0),IF(AND(Units!$L51=1,BQ$1=Units!$Q51),1,Inputs!$B$15)*Inputs!$B$16*(1+Inputs!$B$11)^(BQ$2-1),0)</f>
        <v>0</v>
      </c>
      <c r="BR52" s="11" t="n">
        <f aca="false">IF(AND(BR$1&gt;=Units!$Q51,MOD(BR$1-Units!$Q51,12)=0),IF(AND(Units!$L51=1,BR$1=Units!$Q51),1,Inputs!$B$15)*Inputs!$B$16*(1+Inputs!$B$11)^(BR$2-1),0)</f>
        <v>0</v>
      </c>
      <c r="BS52" s="11" t="n">
        <f aca="false">IF(AND(BS$1&gt;=Units!$Q51,MOD(BS$1-Units!$Q51,12)=0),IF(AND(Units!$L51=1,BS$1=Units!$Q51),1,Inputs!$B$15)*Inputs!$B$16*(1+Inputs!$B$11)^(BS$2-1),0)</f>
        <v>0</v>
      </c>
      <c r="BT52" s="11" t="n">
        <f aca="false">IF(AND(BT$1&gt;=Units!$Q51,MOD(BT$1-Units!$Q51,12)=0),IF(AND(Units!$L51=1,BT$1=Units!$Q51),1,Inputs!$B$15)*Inputs!$B$16*(1+Inputs!$B$11)^(BT$2-1),0)</f>
        <v>0</v>
      </c>
      <c r="BU52" s="11" t="n">
        <f aca="false">IF(AND(BU$1&gt;=Units!$Q51,MOD(BU$1-Units!$Q51,12)=0),IF(AND(Units!$L51=1,BU$1=Units!$Q51),1,Inputs!$B$15)*Inputs!$B$16*(1+Inputs!$B$11)^(BU$2-1),0)</f>
        <v>0</v>
      </c>
      <c r="BV52" s="11" t="n">
        <f aca="false">IF(AND(BV$1&gt;=Units!$Q51,MOD(BV$1-Units!$Q51,12)=0),IF(AND(Units!$L51=1,BV$1=Units!$Q51),1,Inputs!$B$15)*Inputs!$B$16*(1+Inputs!$B$11)^(BV$2-1),0)</f>
        <v>0</v>
      </c>
      <c r="BW52" s="11" t="n">
        <f aca="false">IF(AND(BW$1&gt;=Units!$Q51,MOD(BW$1-Units!$Q51,12)=0),IF(AND(Units!$L51=1,BW$1=Units!$Q51),1,Inputs!$B$15)*Inputs!$B$16*(1+Inputs!$B$11)^(BW$2-1),0)</f>
        <v>0</v>
      </c>
      <c r="BX52" s="11" t="n">
        <f aca="false">IF(AND(BX$1&gt;=Units!$Q51,MOD(BX$1-Units!$Q51,12)=0),IF(AND(Units!$L51=1,BX$1=Units!$Q51),1,Inputs!$B$15)*Inputs!$B$16*(1+Inputs!$B$11)^(BX$2-1),0)</f>
        <v>597.0261482645</v>
      </c>
      <c r="BY52" s="11" t="n">
        <f aca="false">IF(AND(BY$1&gt;=Units!$Q51,MOD(BY$1-Units!$Q51,12)=0),IF(AND(Units!$L51=1,BY$1=Units!$Q51),1,Inputs!$B$15)*Inputs!$B$16*(1+Inputs!$B$11)^(BY$2-1),0)</f>
        <v>0</v>
      </c>
      <c r="BZ52" s="11" t="n">
        <f aca="false">IF(AND(BZ$1&gt;=Units!$Q51,MOD(BZ$1-Units!$Q51,12)=0),IF(AND(Units!$L51=1,BZ$1=Units!$Q51),1,Inputs!$B$15)*Inputs!$B$16*(1+Inputs!$B$11)^(BZ$2-1),0)</f>
        <v>0</v>
      </c>
      <c r="CA52" s="11" t="n">
        <f aca="false">IF(AND(CA$1&gt;=Units!$Q51,MOD(CA$1-Units!$Q51,12)=0),IF(AND(Units!$L51=1,CA$1=Units!$Q51),1,Inputs!$B$15)*Inputs!$B$16*(1+Inputs!$B$11)^(CA$2-1),0)</f>
        <v>0</v>
      </c>
      <c r="CB52" s="11" t="n">
        <f aca="false">IF(AND(CB$1&gt;=Units!$Q51,MOD(CB$1-Units!$Q51,12)=0),IF(AND(Units!$L51=1,CB$1=Units!$Q51),1,Inputs!$B$15)*Inputs!$B$16*(1+Inputs!$B$11)^(CB$2-1),0)</f>
        <v>0</v>
      </c>
      <c r="CC52" s="11" t="n">
        <f aca="false">IF(AND(CC$1&gt;=Units!$Q51,MOD(CC$1-Units!$Q51,12)=0),IF(AND(Units!$L51=1,CC$1=Units!$Q51),1,Inputs!$B$15)*Inputs!$B$16*(1+Inputs!$B$11)^(CC$2-1),0)</f>
        <v>0</v>
      </c>
      <c r="CD52" s="11" t="n">
        <f aca="false">IF(AND(CD$1&gt;=Units!$Q51,MOD(CD$1-Units!$Q51,12)=0),IF(AND(Units!$L51=1,CD$1=Units!$Q51),1,Inputs!$B$15)*Inputs!$B$16*(1+Inputs!$B$11)^(CD$2-1),0)</f>
        <v>0</v>
      </c>
      <c r="CE52" s="11" t="n">
        <f aca="false">IF(AND(CE$1&gt;=Units!$Q51,MOD(CE$1-Units!$Q51,12)=0),IF(AND(Units!$L51=1,CE$1=Units!$Q51),1,Inputs!$B$15)*Inputs!$B$16*(1+Inputs!$B$11)^(CE$2-1),0)</f>
        <v>0</v>
      </c>
      <c r="CF52" s="11" t="n">
        <f aca="false">IF(AND(CF$1&gt;=Units!$Q51,MOD(CF$1-Units!$Q51,12)=0),IF(AND(Units!$L51=1,CF$1=Units!$Q51),1,Inputs!$B$15)*Inputs!$B$16*(1+Inputs!$B$11)^(CF$2-1),0)</f>
        <v>0</v>
      </c>
      <c r="CG52" s="11" t="n">
        <f aca="false">IF(AND(CG$1&gt;=Units!$Q51,MOD(CG$1-Units!$Q51,12)=0),IF(AND(Units!$L51=1,CG$1=Units!$Q51),1,Inputs!$B$15)*Inputs!$B$16*(1+Inputs!$B$11)^(CG$2-1),0)</f>
        <v>0</v>
      </c>
      <c r="CH52" s="11" t="n">
        <f aca="false">IF(AND(CH$1&gt;=Units!$Q51,MOD(CH$1-Units!$Q51,12)=0),IF(AND(Units!$L51=1,CH$1=Units!$Q51),1,Inputs!$B$15)*Inputs!$B$16*(1+Inputs!$B$11)^(CH$2-1),0)</f>
        <v>0</v>
      </c>
      <c r="CI52" s="11" t="n">
        <f aca="false">IF(AND(CI$1&gt;=Units!$Q51,MOD(CI$1-Units!$Q51,12)=0),IF(AND(Units!$L51=1,CI$1=Units!$Q51),1,Inputs!$B$15)*Inputs!$B$16*(1+Inputs!$B$11)^(CI$2-1),0)</f>
        <v>0</v>
      </c>
      <c r="CJ52" s="11" t="n">
        <f aca="false">IF(AND(CJ$1&gt;=Units!$Q51,MOD(CJ$1-Units!$Q51,12)=0),IF(AND(Units!$L51=1,CJ$1=Units!$Q51),1,Inputs!$B$15)*Inputs!$B$16*(1+Inputs!$B$11)^(CJ$2-1),0)</f>
        <v>614.936932712435</v>
      </c>
      <c r="CK52" s="11" t="n">
        <f aca="false">IF(AND(CK$1&gt;=Units!$Q51,MOD(CK$1-Units!$Q51,12)=0),IF(AND(Units!$L51=1,CK$1=Units!$Q51),1,Inputs!$B$15)*Inputs!$B$16*(1+Inputs!$B$11)^(CK$2-1),0)</f>
        <v>0</v>
      </c>
      <c r="CL52" s="11" t="n">
        <f aca="false">IF(AND(CL$1&gt;=Units!$Q51,MOD(CL$1-Units!$Q51,12)=0),IF(AND(Units!$L51=1,CL$1=Units!$Q51),1,Inputs!$B$15)*Inputs!$B$16*(1+Inputs!$B$11)^(CL$2-1),0)</f>
        <v>0</v>
      </c>
      <c r="CM52" s="11" t="n">
        <f aca="false">IF(AND(CM$1&gt;=Units!$Q51,MOD(CM$1-Units!$Q51,12)=0),IF(AND(Units!$L51=1,CM$1=Units!$Q51),1,Inputs!$B$15)*Inputs!$B$16*(1+Inputs!$B$11)^(CM$2-1),0)</f>
        <v>0</v>
      </c>
      <c r="CN52" s="11" t="n">
        <f aca="false">IF(AND(CN$1&gt;=Units!$Q51,MOD(CN$1-Units!$Q51,12)=0),IF(AND(Units!$L51=1,CN$1=Units!$Q51),1,Inputs!$B$15)*Inputs!$B$16*(1+Inputs!$B$11)^(CN$2-1),0)</f>
        <v>0</v>
      </c>
      <c r="CO52" s="11" t="n">
        <f aca="false">IF(AND(CO$1&gt;=Units!$Q51,MOD(CO$1-Units!$Q51,12)=0),IF(AND(Units!$L51=1,CO$1=Units!$Q51),1,Inputs!$B$15)*Inputs!$B$16*(1+Inputs!$B$11)^(CO$2-1),0)</f>
        <v>0</v>
      </c>
      <c r="CP52" s="11" t="n">
        <f aca="false">IF(AND(CP$1&gt;=Units!$Q51,MOD(CP$1-Units!$Q51,12)=0),IF(AND(Units!$L51=1,CP$1=Units!$Q51),1,Inputs!$B$15)*Inputs!$B$16*(1+Inputs!$B$11)^(CP$2-1),0)</f>
        <v>0</v>
      </c>
      <c r="CQ52" s="11" t="n">
        <f aca="false">IF(AND(CQ$1&gt;=Units!$Q51,MOD(CQ$1-Units!$Q51,12)=0),IF(AND(Units!$L51=1,CQ$1=Units!$Q51),1,Inputs!$B$15)*Inputs!$B$16*(1+Inputs!$B$11)^(CQ$2-1),0)</f>
        <v>0</v>
      </c>
      <c r="CR52" s="11" t="n">
        <f aca="false">IF(AND(CR$1&gt;=Units!$Q51,MOD(CR$1-Units!$Q51,12)=0),IF(AND(Units!$L51=1,CR$1=Units!$Q51),1,Inputs!$B$15)*Inputs!$B$16*(1+Inputs!$B$11)^(CR$2-1),0)</f>
        <v>0</v>
      </c>
      <c r="CS52" s="11" t="n">
        <f aca="false">IF(AND(CS$1&gt;=Units!$Q51,MOD(CS$1-Units!$Q51,12)=0),IF(AND(Units!$L51=1,CS$1=Units!$Q51),1,Inputs!$B$15)*Inputs!$B$16*(1+Inputs!$B$11)^(CS$2-1),0)</f>
        <v>0</v>
      </c>
      <c r="CT52" s="11" t="n">
        <f aca="false">IF(AND(CT$1&gt;=Units!$Q51,MOD(CT$1-Units!$Q51,12)=0),IF(AND(Units!$L51=1,CT$1=Units!$Q51),1,Inputs!$B$15)*Inputs!$B$16*(1+Inputs!$B$11)^(CT$2-1),0)</f>
        <v>0</v>
      </c>
      <c r="CU52" s="11" t="n">
        <f aca="false">IF(AND(CU$1&gt;=Units!$Q51,MOD(CU$1-Units!$Q51,12)=0),IF(AND(Units!$L51=1,CU$1=Units!$Q51),1,Inputs!$B$15)*Inputs!$B$16*(1+Inputs!$B$11)^(CU$2-1),0)</f>
        <v>0</v>
      </c>
      <c r="CV52" s="11" t="n">
        <f aca="false">IF(AND(CV$1&gt;=Units!$Q51,MOD(CV$1-Units!$Q51,12)=0),IF(AND(Units!$L51=1,CV$1=Units!$Q51),1,Inputs!$B$15)*Inputs!$B$16*(1+Inputs!$B$11)^(CV$2-1),0)</f>
        <v>633.385040693808</v>
      </c>
      <c r="CW52" s="11" t="n">
        <f aca="false">IF(AND(CW$1&gt;=Units!$Q51,MOD(CW$1-Units!$Q51,12)=0),IF(AND(Units!$L51=1,CW$1=Units!$Q51),1,Inputs!$B$15)*Inputs!$B$16*(1+Inputs!$B$11)^(CW$2-1),0)</f>
        <v>0</v>
      </c>
      <c r="CX52" s="11" t="n">
        <f aca="false">IF(AND(CX$1&gt;=Units!$Q51,MOD(CX$1-Units!$Q51,12)=0),IF(AND(Units!$L51=1,CX$1=Units!$Q51),1,Inputs!$B$15)*Inputs!$B$16*(1+Inputs!$B$11)^(CX$2-1),0)</f>
        <v>0</v>
      </c>
      <c r="CY52" s="11" t="n">
        <f aca="false">IF(AND(CY$1&gt;=Units!$Q51,MOD(CY$1-Units!$Q51,12)=0),IF(AND(Units!$L51=1,CY$1=Units!$Q51),1,Inputs!$B$15)*Inputs!$B$16*(1+Inputs!$B$11)^(CY$2-1),0)</f>
        <v>0</v>
      </c>
      <c r="CZ52" s="11" t="n">
        <f aca="false">IF(AND(CZ$1&gt;=Units!$Q51,MOD(CZ$1-Units!$Q51,12)=0),IF(AND(Units!$L51=1,CZ$1=Units!$Q51),1,Inputs!$B$15)*Inputs!$B$16*(1+Inputs!$B$11)^(CZ$2-1),0)</f>
        <v>0</v>
      </c>
      <c r="DA52" s="11" t="n">
        <f aca="false">IF(AND(DA$1&gt;=Units!$Q51,MOD(DA$1-Units!$Q51,12)=0),IF(AND(Units!$L51=1,DA$1=Units!$Q51),1,Inputs!$B$15)*Inputs!$B$16*(1+Inputs!$B$11)^(DA$2-1),0)</f>
        <v>0</v>
      </c>
      <c r="DB52" s="11" t="n">
        <f aca="false">IF(AND(DB$1&gt;=Units!$Q51,MOD(DB$1-Units!$Q51,12)=0),IF(AND(Units!$L51=1,DB$1=Units!$Q51),1,Inputs!$B$15)*Inputs!$B$16*(1+Inputs!$B$11)^(DB$2-1),0)</f>
        <v>0</v>
      </c>
      <c r="DC52" s="11" t="n">
        <f aca="false">IF(AND(DC$1&gt;=Units!$Q51,MOD(DC$1-Units!$Q51,12)=0),IF(AND(Units!$L51=1,DC$1=Units!$Q51),1,Inputs!$B$15)*Inputs!$B$16*(1+Inputs!$B$11)^(DC$2-1),0)</f>
        <v>0</v>
      </c>
      <c r="DD52" s="11" t="n">
        <f aca="false">IF(AND(DD$1&gt;=Units!$Q51,MOD(DD$1-Units!$Q51,12)=0),IF(AND(Units!$L51=1,DD$1=Units!$Q51),1,Inputs!$B$15)*Inputs!$B$16*(1+Inputs!$B$11)^(DD$2-1),0)</f>
        <v>0</v>
      </c>
      <c r="DE52" s="11" t="n">
        <f aca="false">IF(AND(DE$1&gt;=Units!$Q51,MOD(DE$1-Units!$Q51,12)=0),IF(AND(Units!$L51=1,DE$1=Units!$Q51),1,Inputs!$B$15)*Inputs!$B$16*(1+Inputs!$B$11)^(DE$2-1),0)</f>
        <v>0</v>
      </c>
      <c r="DF52" s="11" t="n">
        <f aca="false">IF(AND(DF$1&gt;=Units!$Q51,MOD(DF$1-Units!$Q51,12)=0),IF(AND(Units!$L51=1,DF$1=Units!$Q51),1,Inputs!$B$15)*Inputs!$B$16*(1+Inputs!$B$11)^(DF$2-1),0)</f>
        <v>0</v>
      </c>
      <c r="DG52" s="11" t="n">
        <f aca="false">IF(AND(DG$1&gt;=Units!$Q51,MOD(DG$1-Units!$Q51,12)=0),IF(AND(Units!$L51=1,DG$1=Units!$Q51),1,Inputs!$B$15)*Inputs!$B$16*(1+Inputs!$B$11)^(DG$2-1),0)</f>
        <v>0</v>
      </c>
      <c r="DH52" s="11" t="n">
        <f aca="false">IF(AND(DH$1&gt;=Units!$Q51,MOD(DH$1-Units!$Q51,12)=0),IF(AND(Units!$L51=1,DH$1=Units!$Q51),1,Inputs!$B$15)*Inputs!$B$16*(1+Inputs!$B$11)^(DH$2-1),0)</f>
        <v>652.386591914623</v>
      </c>
      <c r="DI52" s="11" t="n">
        <f aca="false">IF(AND(DI$1&gt;=Units!$Q51,MOD(DI$1-Units!$Q51,12)=0),IF(AND(Units!$L51=1,DI$1=Units!$Q51),1,Inputs!$B$15)*Inputs!$B$16*(1+Inputs!$B$11)^(DI$2-1),0)</f>
        <v>0</v>
      </c>
      <c r="DJ52" s="11" t="n">
        <f aca="false">IF(AND(DJ$1&gt;=Units!$Q51,MOD(DJ$1-Units!$Q51,12)=0),IF(AND(Units!$L51=1,DJ$1=Units!$Q51),1,Inputs!$B$15)*Inputs!$B$16*(1+Inputs!$B$11)^(DJ$2-1),0)</f>
        <v>0</v>
      </c>
      <c r="DK52" s="11" t="n">
        <f aca="false">IF(AND(DK$1&gt;=Units!$Q51,MOD(DK$1-Units!$Q51,12)=0),IF(AND(Units!$L51=1,DK$1=Units!$Q51),1,Inputs!$B$15)*Inputs!$B$16*(1+Inputs!$B$11)^(DK$2-1),0)</f>
        <v>0</v>
      </c>
      <c r="DL52" s="11" t="n">
        <f aca="false">IF(AND(DL$1&gt;=Units!$Q51,MOD(DL$1-Units!$Q51,12)=0),IF(AND(Units!$L51=1,DL$1=Units!$Q51),1,Inputs!$B$15)*Inputs!$B$16*(1+Inputs!$B$11)^(DL$2-1),0)</f>
        <v>0</v>
      </c>
      <c r="DM52" s="11" t="n">
        <f aca="false">IF(AND(DM$1&gt;=Units!$Q51,MOD(DM$1-Units!$Q51,12)=0),IF(AND(Units!$L51=1,DM$1=Units!$Q51),1,Inputs!$B$15)*Inputs!$B$16*(1+Inputs!$B$11)^(DM$2-1),0)</f>
        <v>0</v>
      </c>
      <c r="DN52" s="11" t="n">
        <f aca="false">IF(AND(DN$1&gt;=Units!$Q51,MOD(DN$1-Units!$Q51,12)=0),IF(AND(Units!$L51=1,DN$1=Units!$Q51),1,Inputs!$B$15)*Inputs!$B$16*(1+Inputs!$B$11)^(DN$2-1),0)</f>
        <v>0</v>
      </c>
      <c r="DO52" s="11" t="n">
        <f aca="false">IF(AND(DO$1&gt;=Units!$Q51,MOD(DO$1-Units!$Q51,12)=0),IF(AND(Units!$L51=1,DO$1=Units!$Q51),1,Inputs!$B$15)*Inputs!$B$16*(1+Inputs!$B$11)^(DO$2-1),0)</f>
        <v>0</v>
      </c>
      <c r="DP52" s="11" t="n">
        <f aca="false">IF(AND(DP$1&gt;=Units!$Q51,MOD(DP$1-Units!$Q51,12)=0),IF(AND(Units!$L51=1,DP$1=Units!$Q51),1,Inputs!$B$15)*Inputs!$B$16*(1+Inputs!$B$11)^(DP$2-1),0)</f>
        <v>0</v>
      </c>
      <c r="DQ52" s="11" t="n">
        <f aca="false">IF(AND(DQ$1&gt;=Units!$Q51,MOD(DQ$1-Units!$Q51,12)=0),IF(AND(Units!$L51=1,DQ$1=Units!$Q51),1,Inputs!$B$15)*Inputs!$B$16*(1+Inputs!$B$11)^(DQ$2-1),0)</f>
        <v>0</v>
      </c>
      <c r="DR52" s="11" t="n">
        <f aca="false">IF(AND(DR$1&gt;=Units!$Q51,MOD(DR$1-Units!$Q51,12)=0),IF(AND(Units!$L51=1,DR$1=Units!$Q51),1,Inputs!$B$15)*Inputs!$B$16*(1+Inputs!$B$11)^(DR$2-1),0)</f>
        <v>0</v>
      </c>
      <c r="DS52" s="11" t="n">
        <f aca="false">IF(AND(DS$1&gt;=Units!$Q51,MOD(DS$1-Units!$Q51,12)=0),IF(AND(Units!$L51=1,DS$1=Units!$Q51),1,Inputs!$B$15)*Inputs!$B$16*(1+Inputs!$B$11)^(DS$2-1),0)</f>
        <v>0</v>
      </c>
      <c r="DT52" s="11" t="n">
        <f aca="false">IF(AND(DT$1&gt;=Units!$Q51,MOD(DT$1-Units!$Q51,12)=0),IF(AND(Units!$L51=1,DT$1=Units!$Q51),1,Inputs!$B$15)*Inputs!$B$16*(1+Inputs!$B$11)^(DT$2-1),0)</f>
        <v>671.958189672061</v>
      </c>
      <c r="DU52" s="11" t="n">
        <f aca="false">IF(AND(DU$1&gt;=Units!$Q51,MOD(DU$1-Units!$Q51,12)=0),IF(AND(Units!$L51=1,DU$1=Units!$Q51),1,Inputs!$B$15)*Inputs!$B$16*(1+Inputs!$B$11)^(DU$2-1),0)</f>
        <v>0</v>
      </c>
      <c r="DV52" s="11" t="n">
        <f aca="false">IF(AND(DV$1&gt;=Units!$Q51,MOD(DV$1-Units!$Q51,12)=0),IF(AND(Units!$L51=1,DV$1=Units!$Q51),1,Inputs!$B$15)*Inputs!$B$16*(1+Inputs!$B$11)^(DV$2-1),0)</f>
        <v>0</v>
      </c>
      <c r="DW52" s="11" t="n">
        <f aca="false">IF(AND(DW$1&gt;=Units!$Q51,MOD(DW$1-Units!$Q51,12)=0),IF(AND(Units!$L51=1,DW$1=Units!$Q51),1,Inputs!$B$15)*Inputs!$B$16*(1+Inputs!$B$11)^(DW$2-1),0)</f>
        <v>0</v>
      </c>
      <c r="DX52" s="11" t="n">
        <f aca="false">IF(AND(DX$1&gt;=Units!$Q51,MOD(DX$1-Units!$Q51,12)=0),IF(AND(Units!$L51=1,DX$1=Units!$Q51),1,Inputs!$B$15)*Inputs!$B$16*(1+Inputs!$B$11)^(DX$2-1),0)</f>
        <v>0</v>
      </c>
      <c r="DY52" s="11" t="n">
        <f aca="false">IF(AND(DY$1&gt;=Units!$Q51,MOD(DY$1-Units!$Q51,12)=0),IF(AND(Units!$L51=1,DY$1=Units!$Q51),1,Inputs!$B$15)*Inputs!$B$16*(1+Inputs!$B$11)^(DY$2-1),0)</f>
        <v>0</v>
      </c>
      <c r="DZ52" s="11" t="n">
        <f aca="false">IF(AND(DZ$1&gt;=Units!$Q51,MOD(DZ$1-Units!$Q51,12)=0),IF(AND(Units!$L51=1,DZ$1=Units!$Q51),1,Inputs!$B$15)*Inputs!$B$16*(1+Inputs!$B$11)^(DZ$2-1),0)</f>
        <v>0</v>
      </c>
      <c r="EA52" s="11" t="n">
        <f aca="false">IF(AND(EA$1&gt;=Units!$Q51,MOD(EA$1-Units!$Q51,12)=0),IF(AND(Units!$L51=1,EA$1=Units!$Q51),1,Inputs!$B$15)*Inputs!$B$16*(1+Inputs!$B$11)^(EA$2-1),0)</f>
        <v>0</v>
      </c>
      <c r="EB52" s="11" t="n">
        <f aca="false">IF(AND(EB$1&gt;=Units!$Q51,MOD(EB$1-Units!$Q51,12)=0),IF(AND(Units!$L51=1,EB$1=Units!$Q51),1,Inputs!$B$15)*Inputs!$B$16*(1+Inputs!$B$11)^(EB$2-1),0)</f>
        <v>0</v>
      </c>
      <c r="EC52" s="11" t="n">
        <f aca="false">IF(AND(EC$1&gt;=Units!$Q51,MOD(EC$1-Units!$Q51,12)=0),IF(AND(Units!$L51=1,EC$1=Units!$Q51),1,Inputs!$B$15)*Inputs!$B$16*(1+Inputs!$B$11)^(EC$2-1),0)</f>
        <v>0</v>
      </c>
      <c r="ED52" s="11" t="n">
        <f aca="false">IF(AND(ED$1&gt;=Units!$Q51,MOD(ED$1-Units!$Q51,12)=0),IF(AND(Units!$L51=1,ED$1=Units!$Q51),1,Inputs!$B$15)*Inputs!$B$16*(1+Inputs!$B$11)^(ED$2-1),0)</f>
        <v>0</v>
      </c>
    </row>
    <row r="53" customFormat="false" ht="15" hidden="false" customHeight="false" outlineLevel="0" collapsed="false">
      <c r="A53" s="22" t="n">
        <f aca="false">Units!A52</f>
        <v>221</v>
      </c>
      <c r="B53" s="23"/>
      <c r="C53" s="11" t="n">
        <f aca="false">IF(AND(C$1&gt;=Units!$Q52,MOD(C$1-Units!$Q52,12)=0),IF(AND(Units!$L52=1,C$1=Units!$Q52),1,Inputs!$B$15)*Inputs!$B$16*(1+Inputs!$B$11)^(C$2-1),0)</f>
        <v>0</v>
      </c>
      <c r="D53" s="11" t="n">
        <f aca="false">IF(AND(D$1&gt;=Units!$Q52,MOD(D$1-Units!$Q52,12)=0),IF(AND(Units!$L52=1,D$1=Units!$Q52),1,Inputs!$B$15)*Inputs!$B$16*(1+Inputs!$B$11)^(D$2-1),0)</f>
        <v>0</v>
      </c>
      <c r="E53" s="11" t="n">
        <f aca="false">IF(AND(E$1&gt;=Units!$Q52,MOD(E$1-Units!$Q52,12)=0),IF(AND(Units!$L52=1,E$1=Units!$Q52),1,Inputs!$B$15)*Inputs!$B$16*(1+Inputs!$B$11)^(E$2-1),0)</f>
        <v>500</v>
      </c>
      <c r="F53" s="11" t="n">
        <f aca="false">IF(AND(F$1&gt;=Units!$Q52,MOD(F$1-Units!$Q52,12)=0),IF(AND(Units!$L52=1,F$1=Units!$Q52),1,Inputs!$B$15)*Inputs!$B$16*(1+Inputs!$B$11)^(F$2-1),0)</f>
        <v>0</v>
      </c>
      <c r="G53" s="11" t="n">
        <f aca="false">IF(AND(G$1&gt;=Units!$Q52,MOD(G$1-Units!$Q52,12)=0),IF(AND(Units!$L52=1,G$1=Units!$Q52),1,Inputs!$B$15)*Inputs!$B$16*(1+Inputs!$B$11)^(G$2-1),0)</f>
        <v>0</v>
      </c>
      <c r="H53" s="11" t="n">
        <f aca="false">IF(AND(H$1&gt;=Units!$Q52,MOD(H$1-Units!$Q52,12)=0),IF(AND(Units!$L52=1,H$1=Units!$Q52),1,Inputs!$B$15)*Inputs!$B$16*(1+Inputs!$B$11)^(H$2-1),0)</f>
        <v>0</v>
      </c>
      <c r="I53" s="11" t="n">
        <f aca="false">IF(AND(I$1&gt;=Units!$Q52,MOD(I$1-Units!$Q52,12)=0),IF(AND(Units!$L52=1,I$1=Units!$Q52),1,Inputs!$B$15)*Inputs!$B$16*(1+Inputs!$B$11)^(I$2-1),0)</f>
        <v>0</v>
      </c>
      <c r="J53" s="11" t="n">
        <f aca="false">IF(AND(J$1&gt;=Units!$Q52,MOD(J$1-Units!$Q52,12)=0),IF(AND(Units!$L52=1,J$1=Units!$Q52),1,Inputs!$B$15)*Inputs!$B$16*(1+Inputs!$B$11)^(J$2-1),0)</f>
        <v>0</v>
      </c>
      <c r="K53" s="11" t="n">
        <f aca="false">IF(AND(K$1&gt;=Units!$Q52,MOD(K$1-Units!$Q52,12)=0),IF(AND(Units!$L52=1,K$1=Units!$Q52),1,Inputs!$B$15)*Inputs!$B$16*(1+Inputs!$B$11)^(K$2-1),0)</f>
        <v>0</v>
      </c>
      <c r="L53" s="11" t="n">
        <f aca="false">IF(AND(L$1&gt;=Units!$Q52,MOD(L$1-Units!$Q52,12)=0),IF(AND(Units!$L52=1,L$1=Units!$Q52),1,Inputs!$B$15)*Inputs!$B$16*(1+Inputs!$B$11)^(L$2-1),0)</f>
        <v>0</v>
      </c>
      <c r="M53" s="11" t="n">
        <f aca="false">IF(AND(M$1&gt;=Units!$Q52,MOD(M$1-Units!$Q52,12)=0),IF(AND(Units!$L52=1,M$1=Units!$Q52),1,Inputs!$B$15)*Inputs!$B$16*(1+Inputs!$B$11)^(M$2-1),0)</f>
        <v>0</v>
      </c>
      <c r="N53" s="11" t="n">
        <f aca="false">IF(AND(N$1&gt;=Units!$Q52,MOD(N$1-Units!$Q52,12)=0),IF(AND(Units!$L52=1,N$1=Units!$Q52),1,Inputs!$B$15)*Inputs!$B$16*(1+Inputs!$B$11)^(N$2-1),0)</f>
        <v>0</v>
      </c>
      <c r="O53" s="11" t="n">
        <f aca="false">IF(AND(O$1&gt;=Units!$Q52,MOD(O$1-Units!$Q52,12)=0),IF(AND(Units!$L52=1,O$1=Units!$Q52),1,Inputs!$B$15)*Inputs!$B$16*(1+Inputs!$B$11)^(O$2-1),0)</f>
        <v>0</v>
      </c>
      <c r="P53" s="11" t="n">
        <f aca="false">IF(AND(P$1&gt;=Units!$Q52,MOD(P$1-Units!$Q52,12)=0),IF(AND(Units!$L52=1,P$1=Units!$Q52),1,Inputs!$B$15)*Inputs!$B$16*(1+Inputs!$B$11)^(P$2-1),0)</f>
        <v>0</v>
      </c>
      <c r="Q53" s="11" t="n">
        <f aca="false">IF(AND(Q$1&gt;=Units!$Q52,MOD(Q$1-Units!$Q52,12)=0),IF(AND(Units!$L52=1,Q$1=Units!$Q52),1,Inputs!$B$15)*Inputs!$B$16*(1+Inputs!$B$11)^(Q$2-1),0)</f>
        <v>515</v>
      </c>
      <c r="R53" s="11" t="n">
        <f aca="false">IF(AND(R$1&gt;=Units!$Q52,MOD(R$1-Units!$Q52,12)=0),IF(AND(Units!$L52=1,R$1=Units!$Q52),1,Inputs!$B$15)*Inputs!$B$16*(1+Inputs!$B$11)^(R$2-1),0)</f>
        <v>0</v>
      </c>
      <c r="S53" s="11" t="n">
        <f aca="false">IF(AND(S$1&gt;=Units!$Q52,MOD(S$1-Units!$Q52,12)=0),IF(AND(Units!$L52=1,S$1=Units!$Q52),1,Inputs!$B$15)*Inputs!$B$16*(1+Inputs!$B$11)^(S$2-1),0)</f>
        <v>0</v>
      </c>
      <c r="T53" s="11" t="n">
        <f aca="false">IF(AND(T$1&gt;=Units!$Q52,MOD(T$1-Units!$Q52,12)=0),IF(AND(Units!$L52=1,T$1=Units!$Q52),1,Inputs!$B$15)*Inputs!$B$16*(1+Inputs!$B$11)^(T$2-1),0)</f>
        <v>0</v>
      </c>
      <c r="U53" s="11" t="n">
        <f aca="false">IF(AND(U$1&gt;=Units!$Q52,MOD(U$1-Units!$Q52,12)=0),IF(AND(Units!$L52=1,U$1=Units!$Q52),1,Inputs!$B$15)*Inputs!$B$16*(1+Inputs!$B$11)^(U$2-1),0)</f>
        <v>0</v>
      </c>
      <c r="V53" s="11" t="n">
        <f aca="false">IF(AND(V$1&gt;=Units!$Q52,MOD(V$1-Units!$Q52,12)=0),IF(AND(Units!$L52=1,V$1=Units!$Q52),1,Inputs!$B$15)*Inputs!$B$16*(1+Inputs!$B$11)^(V$2-1),0)</f>
        <v>0</v>
      </c>
      <c r="W53" s="11" t="n">
        <f aca="false">IF(AND(W$1&gt;=Units!$Q52,MOD(W$1-Units!$Q52,12)=0),IF(AND(Units!$L52=1,W$1=Units!$Q52),1,Inputs!$B$15)*Inputs!$B$16*(1+Inputs!$B$11)^(W$2-1),0)</f>
        <v>0</v>
      </c>
      <c r="X53" s="11" t="n">
        <f aca="false">IF(AND(X$1&gt;=Units!$Q52,MOD(X$1-Units!$Q52,12)=0),IF(AND(Units!$L52=1,X$1=Units!$Q52),1,Inputs!$B$15)*Inputs!$B$16*(1+Inputs!$B$11)^(X$2-1),0)</f>
        <v>0</v>
      </c>
      <c r="Y53" s="11" t="n">
        <f aca="false">IF(AND(Y$1&gt;=Units!$Q52,MOD(Y$1-Units!$Q52,12)=0),IF(AND(Units!$L52=1,Y$1=Units!$Q52),1,Inputs!$B$15)*Inputs!$B$16*(1+Inputs!$B$11)^(Y$2-1),0)</f>
        <v>0</v>
      </c>
      <c r="Z53" s="11" t="n">
        <f aca="false">IF(AND(Z$1&gt;=Units!$Q52,MOD(Z$1-Units!$Q52,12)=0),IF(AND(Units!$L52=1,Z$1=Units!$Q52),1,Inputs!$B$15)*Inputs!$B$16*(1+Inputs!$B$11)^(Z$2-1),0)</f>
        <v>0</v>
      </c>
      <c r="AA53" s="11" t="n">
        <f aca="false">IF(AND(AA$1&gt;=Units!$Q52,MOD(AA$1-Units!$Q52,12)=0),IF(AND(Units!$L52=1,AA$1=Units!$Q52),1,Inputs!$B$15)*Inputs!$B$16*(1+Inputs!$B$11)^(AA$2-1),0)</f>
        <v>0</v>
      </c>
      <c r="AB53" s="11" t="n">
        <f aca="false">IF(AND(AB$1&gt;=Units!$Q52,MOD(AB$1-Units!$Q52,12)=0),IF(AND(Units!$L52=1,AB$1=Units!$Q52),1,Inputs!$B$15)*Inputs!$B$16*(1+Inputs!$B$11)^(AB$2-1),0)</f>
        <v>0</v>
      </c>
      <c r="AC53" s="11" t="n">
        <f aca="false">IF(AND(AC$1&gt;=Units!$Q52,MOD(AC$1-Units!$Q52,12)=0),IF(AND(Units!$L52=1,AC$1=Units!$Q52),1,Inputs!$B$15)*Inputs!$B$16*(1+Inputs!$B$11)^(AC$2-1),0)</f>
        <v>530.45</v>
      </c>
      <c r="AD53" s="11" t="n">
        <f aca="false">IF(AND(AD$1&gt;=Units!$Q52,MOD(AD$1-Units!$Q52,12)=0),IF(AND(Units!$L52=1,AD$1=Units!$Q52),1,Inputs!$B$15)*Inputs!$B$16*(1+Inputs!$B$11)^(AD$2-1),0)</f>
        <v>0</v>
      </c>
      <c r="AE53" s="11" t="n">
        <f aca="false">IF(AND(AE$1&gt;=Units!$Q52,MOD(AE$1-Units!$Q52,12)=0),IF(AND(Units!$L52=1,AE$1=Units!$Q52),1,Inputs!$B$15)*Inputs!$B$16*(1+Inputs!$B$11)^(AE$2-1),0)</f>
        <v>0</v>
      </c>
      <c r="AF53" s="11" t="n">
        <f aca="false">IF(AND(AF$1&gt;=Units!$Q52,MOD(AF$1-Units!$Q52,12)=0),IF(AND(Units!$L52=1,AF$1=Units!$Q52),1,Inputs!$B$15)*Inputs!$B$16*(1+Inputs!$B$11)^(AF$2-1),0)</f>
        <v>0</v>
      </c>
      <c r="AG53" s="11" t="n">
        <f aca="false">IF(AND(AG$1&gt;=Units!$Q52,MOD(AG$1-Units!$Q52,12)=0),IF(AND(Units!$L52=1,AG$1=Units!$Q52),1,Inputs!$B$15)*Inputs!$B$16*(1+Inputs!$B$11)^(AG$2-1),0)</f>
        <v>0</v>
      </c>
      <c r="AH53" s="11" t="n">
        <f aca="false">IF(AND(AH$1&gt;=Units!$Q52,MOD(AH$1-Units!$Q52,12)=0),IF(AND(Units!$L52=1,AH$1=Units!$Q52),1,Inputs!$B$15)*Inputs!$B$16*(1+Inputs!$B$11)^(AH$2-1),0)</f>
        <v>0</v>
      </c>
      <c r="AI53" s="11" t="n">
        <f aca="false">IF(AND(AI$1&gt;=Units!$Q52,MOD(AI$1-Units!$Q52,12)=0),IF(AND(Units!$L52=1,AI$1=Units!$Q52),1,Inputs!$B$15)*Inputs!$B$16*(1+Inputs!$B$11)^(AI$2-1),0)</f>
        <v>0</v>
      </c>
      <c r="AJ53" s="11" t="n">
        <f aca="false">IF(AND(AJ$1&gt;=Units!$Q52,MOD(AJ$1-Units!$Q52,12)=0),IF(AND(Units!$L52=1,AJ$1=Units!$Q52),1,Inputs!$B$15)*Inputs!$B$16*(1+Inputs!$B$11)^(AJ$2-1),0)</f>
        <v>0</v>
      </c>
      <c r="AK53" s="11" t="n">
        <f aca="false">IF(AND(AK$1&gt;=Units!$Q52,MOD(AK$1-Units!$Q52,12)=0),IF(AND(Units!$L52=1,AK$1=Units!$Q52),1,Inputs!$B$15)*Inputs!$B$16*(1+Inputs!$B$11)^(AK$2-1),0)</f>
        <v>0</v>
      </c>
      <c r="AL53" s="11" t="n">
        <f aca="false">IF(AND(AL$1&gt;=Units!$Q52,MOD(AL$1-Units!$Q52,12)=0),IF(AND(Units!$L52=1,AL$1=Units!$Q52),1,Inputs!$B$15)*Inputs!$B$16*(1+Inputs!$B$11)^(AL$2-1),0)</f>
        <v>0</v>
      </c>
      <c r="AM53" s="11" t="n">
        <f aca="false">IF(AND(AM$1&gt;=Units!$Q52,MOD(AM$1-Units!$Q52,12)=0),IF(AND(Units!$L52=1,AM$1=Units!$Q52),1,Inputs!$B$15)*Inputs!$B$16*(1+Inputs!$B$11)^(AM$2-1),0)</f>
        <v>0</v>
      </c>
      <c r="AN53" s="11" t="n">
        <f aca="false">IF(AND(AN$1&gt;=Units!$Q52,MOD(AN$1-Units!$Q52,12)=0),IF(AND(Units!$L52=1,AN$1=Units!$Q52),1,Inputs!$B$15)*Inputs!$B$16*(1+Inputs!$B$11)^(AN$2-1),0)</f>
        <v>0</v>
      </c>
      <c r="AO53" s="11" t="n">
        <f aca="false">IF(AND(AO$1&gt;=Units!$Q52,MOD(AO$1-Units!$Q52,12)=0),IF(AND(Units!$L52=1,AO$1=Units!$Q52),1,Inputs!$B$15)*Inputs!$B$16*(1+Inputs!$B$11)^(AO$2-1),0)</f>
        <v>546.3635</v>
      </c>
      <c r="AP53" s="11" t="n">
        <f aca="false">IF(AND(AP$1&gt;=Units!$Q52,MOD(AP$1-Units!$Q52,12)=0),IF(AND(Units!$L52=1,AP$1=Units!$Q52),1,Inputs!$B$15)*Inputs!$B$16*(1+Inputs!$B$11)^(AP$2-1),0)</f>
        <v>0</v>
      </c>
      <c r="AQ53" s="11" t="n">
        <f aca="false">IF(AND(AQ$1&gt;=Units!$Q52,MOD(AQ$1-Units!$Q52,12)=0),IF(AND(Units!$L52=1,AQ$1=Units!$Q52),1,Inputs!$B$15)*Inputs!$B$16*(1+Inputs!$B$11)^(AQ$2-1),0)</f>
        <v>0</v>
      </c>
      <c r="AR53" s="11" t="n">
        <f aca="false">IF(AND(AR$1&gt;=Units!$Q52,MOD(AR$1-Units!$Q52,12)=0),IF(AND(Units!$L52=1,AR$1=Units!$Q52),1,Inputs!$B$15)*Inputs!$B$16*(1+Inputs!$B$11)^(AR$2-1),0)</f>
        <v>0</v>
      </c>
      <c r="AS53" s="11" t="n">
        <f aca="false">IF(AND(AS$1&gt;=Units!$Q52,MOD(AS$1-Units!$Q52,12)=0),IF(AND(Units!$L52=1,AS$1=Units!$Q52),1,Inputs!$B$15)*Inputs!$B$16*(1+Inputs!$B$11)^(AS$2-1),0)</f>
        <v>0</v>
      </c>
      <c r="AT53" s="11" t="n">
        <f aca="false">IF(AND(AT$1&gt;=Units!$Q52,MOD(AT$1-Units!$Q52,12)=0),IF(AND(Units!$L52=1,AT$1=Units!$Q52),1,Inputs!$B$15)*Inputs!$B$16*(1+Inputs!$B$11)^(AT$2-1),0)</f>
        <v>0</v>
      </c>
      <c r="AU53" s="11" t="n">
        <f aca="false">IF(AND(AU$1&gt;=Units!$Q52,MOD(AU$1-Units!$Q52,12)=0),IF(AND(Units!$L52=1,AU$1=Units!$Q52),1,Inputs!$B$15)*Inputs!$B$16*(1+Inputs!$B$11)^(AU$2-1),0)</f>
        <v>0</v>
      </c>
      <c r="AV53" s="11" t="n">
        <f aca="false">IF(AND(AV$1&gt;=Units!$Q52,MOD(AV$1-Units!$Q52,12)=0),IF(AND(Units!$L52=1,AV$1=Units!$Q52),1,Inputs!$B$15)*Inputs!$B$16*(1+Inputs!$B$11)^(AV$2-1),0)</f>
        <v>0</v>
      </c>
      <c r="AW53" s="11" t="n">
        <f aca="false">IF(AND(AW$1&gt;=Units!$Q52,MOD(AW$1-Units!$Q52,12)=0),IF(AND(Units!$L52=1,AW$1=Units!$Q52),1,Inputs!$B$15)*Inputs!$B$16*(1+Inputs!$B$11)^(AW$2-1),0)</f>
        <v>0</v>
      </c>
      <c r="AX53" s="11" t="n">
        <f aca="false">IF(AND(AX$1&gt;=Units!$Q52,MOD(AX$1-Units!$Q52,12)=0),IF(AND(Units!$L52=1,AX$1=Units!$Q52),1,Inputs!$B$15)*Inputs!$B$16*(1+Inputs!$B$11)^(AX$2-1),0)</f>
        <v>0</v>
      </c>
      <c r="AY53" s="11" t="n">
        <f aca="false">IF(AND(AY$1&gt;=Units!$Q52,MOD(AY$1-Units!$Q52,12)=0),IF(AND(Units!$L52=1,AY$1=Units!$Q52),1,Inputs!$B$15)*Inputs!$B$16*(1+Inputs!$B$11)^(AY$2-1),0)</f>
        <v>0</v>
      </c>
      <c r="AZ53" s="11" t="n">
        <f aca="false">IF(AND(AZ$1&gt;=Units!$Q52,MOD(AZ$1-Units!$Q52,12)=0),IF(AND(Units!$L52=1,AZ$1=Units!$Q52),1,Inputs!$B$15)*Inputs!$B$16*(1+Inputs!$B$11)^(AZ$2-1),0)</f>
        <v>0</v>
      </c>
      <c r="BA53" s="11" t="n">
        <f aca="false">IF(AND(BA$1&gt;=Units!$Q52,MOD(BA$1-Units!$Q52,12)=0),IF(AND(Units!$L52=1,BA$1=Units!$Q52),1,Inputs!$B$15)*Inputs!$B$16*(1+Inputs!$B$11)^(BA$2-1),0)</f>
        <v>562.754405</v>
      </c>
      <c r="BB53" s="11" t="n">
        <f aca="false">IF(AND(BB$1&gt;=Units!$Q52,MOD(BB$1-Units!$Q52,12)=0),IF(AND(Units!$L52=1,BB$1=Units!$Q52),1,Inputs!$B$15)*Inputs!$B$16*(1+Inputs!$B$11)^(BB$2-1),0)</f>
        <v>0</v>
      </c>
      <c r="BC53" s="11" t="n">
        <f aca="false">IF(AND(BC$1&gt;=Units!$Q52,MOD(BC$1-Units!$Q52,12)=0),IF(AND(Units!$L52=1,BC$1=Units!$Q52),1,Inputs!$B$15)*Inputs!$B$16*(1+Inputs!$B$11)^(BC$2-1),0)</f>
        <v>0</v>
      </c>
      <c r="BD53" s="11" t="n">
        <f aca="false">IF(AND(BD$1&gt;=Units!$Q52,MOD(BD$1-Units!$Q52,12)=0),IF(AND(Units!$L52=1,BD$1=Units!$Q52),1,Inputs!$B$15)*Inputs!$B$16*(1+Inputs!$B$11)^(BD$2-1),0)</f>
        <v>0</v>
      </c>
      <c r="BE53" s="11" t="n">
        <f aca="false">IF(AND(BE$1&gt;=Units!$Q52,MOD(BE$1-Units!$Q52,12)=0),IF(AND(Units!$L52=1,BE$1=Units!$Q52),1,Inputs!$B$15)*Inputs!$B$16*(1+Inputs!$B$11)^(BE$2-1),0)</f>
        <v>0</v>
      </c>
      <c r="BF53" s="11" t="n">
        <f aca="false">IF(AND(BF$1&gt;=Units!$Q52,MOD(BF$1-Units!$Q52,12)=0),IF(AND(Units!$L52=1,BF$1=Units!$Q52),1,Inputs!$B$15)*Inputs!$B$16*(1+Inputs!$B$11)^(BF$2-1),0)</f>
        <v>0</v>
      </c>
      <c r="BG53" s="11" t="n">
        <f aca="false">IF(AND(BG$1&gt;=Units!$Q52,MOD(BG$1-Units!$Q52,12)=0),IF(AND(Units!$L52=1,BG$1=Units!$Q52),1,Inputs!$B$15)*Inputs!$B$16*(1+Inputs!$B$11)^(BG$2-1),0)</f>
        <v>0</v>
      </c>
      <c r="BH53" s="11" t="n">
        <f aca="false">IF(AND(BH$1&gt;=Units!$Q52,MOD(BH$1-Units!$Q52,12)=0),IF(AND(Units!$L52=1,BH$1=Units!$Q52),1,Inputs!$B$15)*Inputs!$B$16*(1+Inputs!$B$11)^(BH$2-1),0)</f>
        <v>0</v>
      </c>
      <c r="BI53" s="11" t="n">
        <f aca="false">IF(AND(BI$1&gt;=Units!$Q52,MOD(BI$1-Units!$Q52,12)=0),IF(AND(Units!$L52=1,BI$1=Units!$Q52),1,Inputs!$B$15)*Inputs!$B$16*(1+Inputs!$B$11)^(BI$2-1),0)</f>
        <v>0</v>
      </c>
      <c r="BJ53" s="11" t="n">
        <f aca="false">IF(AND(BJ$1&gt;=Units!$Q52,MOD(BJ$1-Units!$Q52,12)=0),IF(AND(Units!$L52=1,BJ$1=Units!$Q52),1,Inputs!$B$15)*Inputs!$B$16*(1+Inputs!$B$11)^(BJ$2-1),0)</f>
        <v>0</v>
      </c>
      <c r="BK53" s="11" t="n">
        <f aca="false">IF(AND(BK$1&gt;=Units!$Q52,MOD(BK$1-Units!$Q52,12)=0),IF(AND(Units!$L52=1,BK$1=Units!$Q52),1,Inputs!$B$15)*Inputs!$B$16*(1+Inputs!$B$11)^(BK$2-1),0)</f>
        <v>0</v>
      </c>
      <c r="BL53" s="11" t="n">
        <f aca="false">IF(AND(BL$1&gt;=Units!$Q52,MOD(BL$1-Units!$Q52,12)=0),IF(AND(Units!$L52=1,BL$1=Units!$Q52),1,Inputs!$B$15)*Inputs!$B$16*(1+Inputs!$B$11)^(BL$2-1),0)</f>
        <v>0</v>
      </c>
      <c r="BM53" s="11" t="n">
        <f aca="false">IF(AND(BM$1&gt;=Units!$Q52,MOD(BM$1-Units!$Q52,12)=0),IF(AND(Units!$L52=1,BM$1=Units!$Q52),1,Inputs!$B$15)*Inputs!$B$16*(1+Inputs!$B$11)^(BM$2-1),0)</f>
        <v>579.63703715</v>
      </c>
      <c r="BN53" s="11" t="n">
        <f aca="false">IF(AND(BN$1&gt;=Units!$Q52,MOD(BN$1-Units!$Q52,12)=0),IF(AND(Units!$L52=1,BN$1=Units!$Q52),1,Inputs!$B$15)*Inputs!$B$16*(1+Inputs!$B$11)^(BN$2-1),0)</f>
        <v>0</v>
      </c>
      <c r="BO53" s="11" t="n">
        <f aca="false">IF(AND(BO$1&gt;=Units!$Q52,MOD(BO$1-Units!$Q52,12)=0),IF(AND(Units!$L52=1,BO$1=Units!$Q52),1,Inputs!$B$15)*Inputs!$B$16*(1+Inputs!$B$11)^(BO$2-1),0)</f>
        <v>0</v>
      </c>
      <c r="BP53" s="11" t="n">
        <f aca="false">IF(AND(BP$1&gt;=Units!$Q52,MOD(BP$1-Units!$Q52,12)=0),IF(AND(Units!$L52=1,BP$1=Units!$Q52),1,Inputs!$B$15)*Inputs!$B$16*(1+Inputs!$B$11)^(BP$2-1),0)</f>
        <v>0</v>
      </c>
      <c r="BQ53" s="11" t="n">
        <f aca="false">IF(AND(BQ$1&gt;=Units!$Q52,MOD(BQ$1-Units!$Q52,12)=0),IF(AND(Units!$L52=1,BQ$1=Units!$Q52),1,Inputs!$B$15)*Inputs!$B$16*(1+Inputs!$B$11)^(BQ$2-1),0)</f>
        <v>0</v>
      </c>
      <c r="BR53" s="11" t="n">
        <f aca="false">IF(AND(BR$1&gt;=Units!$Q52,MOD(BR$1-Units!$Q52,12)=0),IF(AND(Units!$L52=1,BR$1=Units!$Q52),1,Inputs!$B$15)*Inputs!$B$16*(1+Inputs!$B$11)^(BR$2-1),0)</f>
        <v>0</v>
      </c>
      <c r="BS53" s="11" t="n">
        <f aca="false">IF(AND(BS$1&gt;=Units!$Q52,MOD(BS$1-Units!$Q52,12)=0),IF(AND(Units!$L52=1,BS$1=Units!$Q52),1,Inputs!$B$15)*Inputs!$B$16*(1+Inputs!$B$11)^(BS$2-1),0)</f>
        <v>0</v>
      </c>
      <c r="BT53" s="11" t="n">
        <f aca="false">IF(AND(BT$1&gt;=Units!$Q52,MOD(BT$1-Units!$Q52,12)=0),IF(AND(Units!$L52=1,BT$1=Units!$Q52),1,Inputs!$B$15)*Inputs!$B$16*(1+Inputs!$B$11)^(BT$2-1),0)</f>
        <v>0</v>
      </c>
      <c r="BU53" s="11" t="n">
        <f aca="false">IF(AND(BU$1&gt;=Units!$Q52,MOD(BU$1-Units!$Q52,12)=0),IF(AND(Units!$L52=1,BU$1=Units!$Q52),1,Inputs!$B$15)*Inputs!$B$16*(1+Inputs!$B$11)^(BU$2-1),0)</f>
        <v>0</v>
      </c>
      <c r="BV53" s="11" t="n">
        <f aca="false">IF(AND(BV$1&gt;=Units!$Q52,MOD(BV$1-Units!$Q52,12)=0),IF(AND(Units!$L52=1,BV$1=Units!$Q52),1,Inputs!$B$15)*Inputs!$B$16*(1+Inputs!$B$11)^(BV$2-1),0)</f>
        <v>0</v>
      </c>
      <c r="BW53" s="11" t="n">
        <f aca="false">IF(AND(BW$1&gt;=Units!$Q52,MOD(BW$1-Units!$Q52,12)=0),IF(AND(Units!$L52=1,BW$1=Units!$Q52),1,Inputs!$B$15)*Inputs!$B$16*(1+Inputs!$B$11)^(BW$2-1),0)</f>
        <v>0</v>
      </c>
      <c r="BX53" s="11" t="n">
        <f aca="false">IF(AND(BX$1&gt;=Units!$Q52,MOD(BX$1-Units!$Q52,12)=0),IF(AND(Units!$L52=1,BX$1=Units!$Q52),1,Inputs!$B$15)*Inputs!$B$16*(1+Inputs!$B$11)^(BX$2-1),0)</f>
        <v>0</v>
      </c>
      <c r="BY53" s="11" t="n">
        <f aca="false">IF(AND(BY$1&gt;=Units!$Q52,MOD(BY$1-Units!$Q52,12)=0),IF(AND(Units!$L52=1,BY$1=Units!$Q52),1,Inputs!$B$15)*Inputs!$B$16*(1+Inputs!$B$11)^(BY$2-1),0)</f>
        <v>597.0261482645</v>
      </c>
      <c r="BZ53" s="11" t="n">
        <f aca="false">IF(AND(BZ$1&gt;=Units!$Q52,MOD(BZ$1-Units!$Q52,12)=0),IF(AND(Units!$L52=1,BZ$1=Units!$Q52),1,Inputs!$B$15)*Inputs!$B$16*(1+Inputs!$B$11)^(BZ$2-1),0)</f>
        <v>0</v>
      </c>
      <c r="CA53" s="11" t="n">
        <f aca="false">IF(AND(CA$1&gt;=Units!$Q52,MOD(CA$1-Units!$Q52,12)=0),IF(AND(Units!$L52=1,CA$1=Units!$Q52),1,Inputs!$B$15)*Inputs!$B$16*(1+Inputs!$B$11)^(CA$2-1),0)</f>
        <v>0</v>
      </c>
      <c r="CB53" s="11" t="n">
        <f aca="false">IF(AND(CB$1&gt;=Units!$Q52,MOD(CB$1-Units!$Q52,12)=0),IF(AND(Units!$L52=1,CB$1=Units!$Q52),1,Inputs!$B$15)*Inputs!$B$16*(1+Inputs!$B$11)^(CB$2-1),0)</f>
        <v>0</v>
      </c>
      <c r="CC53" s="11" t="n">
        <f aca="false">IF(AND(CC$1&gt;=Units!$Q52,MOD(CC$1-Units!$Q52,12)=0),IF(AND(Units!$L52=1,CC$1=Units!$Q52),1,Inputs!$B$15)*Inputs!$B$16*(1+Inputs!$B$11)^(CC$2-1),0)</f>
        <v>0</v>
      </c>
      <c r="CD53" s="11" t="n">
        <f aca="false">IF(AND(CD$1&gt;=Units!$Q52,MOD(CD$1-Units!$Q52,12)=0),IF(AND(Units!$L52=1,CD$1=Units!$Q52),1,Inputs!$B$15)*Inputs!$B$16*(1+Inputs!$B$11)^(CD$2-1),0)</f>
        <v>0</v>
      </c>
      <c r="CE53" s="11" t="n">
        <f aca="false">IF(AND(CE$1&gt;=Units!$Q52,MOD(CE$1-Units!$Q52,12)=0),IF(AND(Units!$L52=1,CE$1=Units!$Q52),1,Inputs!$B$15)*Inputs!$B$16*(1+Inputs!$B$11)^(CE$2-1),0)</f>
        <v>0</v>
      </c>
      <c r="CF53" s="11" t="n">
        <f aca="false">IF(AND(CF$1&gt;=Units!$Q52,MOD(CF$1-Units!$Q52,12)=0),IF(AND(Units!$L52=1,CF$1=Units!$Q52),1,Inputs!$B$15)*Inputs!$B$16*(1+Inputs!$B$11)^(CF$2-1),0)</f>
        <v>0</v>
      </c>
      <c r="CG53" s="11" t="n">
        <f aca="false">IF(AND(CG$1&gt;=Units!$Q52,MOD(CG$1-Units!$Q52,12)=0),IF(AND(Units!$L52=1,CG$1=Units!$Q52),1,Inputs!$B$15)*Inputs!$B$16*(1+Inputs!$B$11)^(CG$2-1),0)</f>
        <v>0</v>
      </c>
      <c r="CH53" s="11" t="n">
        <f aca="false">IF(AND(CH$1&gt;=Units!$Q52,MOD(CH$1-Units!$Q52,12)=0),IF(AND(Units!$L52=1,CH$1=Units!$Q52),1,Inputs!$B$15)*Inputs!$B$16*(1+Inputs!$B$11)^(CH$2-1),0)</f>
        <v>0</v>
      </c>
      <c r="CI53" s="11" t="n">
        <f aca="false">IF(AND(CI$1&gt;=Units!$Q52,MOD(CI$1-Units!$Q52,12)=0),IF(AND(Units!$L52=1,CI$1=Units!$Q52),1,Inputs!$B$15)*Inputs!$B$16*(1+Inputs!$B$11)^(CI$2-1),0)</f>
        <v>0</v>
      </c>
      <c r="CJ53" s="11" t="n">
        <f aca="false">IF(AND(CJ$1&gt;=Units!$Q52,MOD(CJ$1-Units!$Q52,12)=0),IF(AND(Units!$L52=1,CJ$1=Units!$Q52),1,Inputs!$B$15)*Inputs!$B$16*(1+Inputs!$B$11)^(CJ$2-1),0)</f>
        <v>0</v>
      </c>
      <c r="CK53" s="11" t="n">
        <f aca="false">IF(AND(CK$1&gt;=Units!$Q52,MOD(CK$1-Units!$Q52,12)=0),IF(AND(Units!$L52=1,CK$1=Units!$Q52),1,Inputs!$B$15)*Inputs!$B$16*(1+Inputs!$B$11)^(CK$2-1),0)</f>
        <v>614.936932712435</v>
      </c>
      <c r="CL53" s="11" t="n">
        <f aca="false">IF(AND(CL$1&gt;=Units!$Q52,MOD(CL$1-Units!$Q52,12)=0),IF(AND(Units!$L52=1,CL$1=Units!$Q52),1,Inputs!$B$15)*Inputs!$B$16*(1+Inputs!$B$11)^(CL$2-1),0)</f>
        <v>0</v>
      </c>
      <c r="CM53" s="11" t="n">
        <f aca="false">IF(AND(CM$1&gt;=Units!$Q52,MOD(CM$1-Units!$Q52,12)=0),IF(AND(Units!$L52=1,CM$1=Units!$Q52),1,Inputs!$B$15)*Inputs!$B$16*(1+Inputs!$B$11)^(CM$2-1),0)</f>
        <v>0</v>
      </c>
      <c r="CN53" s="11" t="n">
        <f aca="false">IF(AND(CN$1&gt;=Units!$Q52,MOD(CN$1-Units!$Q52,12)=0),IF(AND(Units!$L52=1,CN$1=Units!$Q52),1,Inputs!$B$15)*Inputs!$B$16*(1+Inputs!$B$11)^(CN$2-1),0)</f>
        <v>0</v>
      </c>
      <c r="CO53" s="11" t="n">
        <f aca="false">IF(AND(CO$1&gt;=Units!$Q52,MOD(CO$1-Units!$Q52,12)=0),IF(AND(Units!$L52=1,CO$1=Units!$Q52),1,Inputs!$B$15)*Inputs!$B$16*(1+Inputs!$B$11)^(CO$2-1),0)</f>
        <v>0</v>
      </c>
      <c r="CP53" s="11" t="n">
        <f aca="false">IF(AND(CP$1&gt;=Units!$Q52,MOD(CP$1-Units!$Q52,12)=0),IF(AND(Units!$L52=1,CP$1=Units!$Q52),1,Inputs!$B$15)*Inputs!$B$16*(1+Inputs!$B$11)^(CP$2-1),0)</f>
        <v>0</v>
      </c>
      <c r="CQ53" s="11" t="n">
        <f aca="false">IF(AND(CQ$1&gt;=Units!$Q52,MOD(CQ$1-Units!$Q52,12)=0),IF(AND(Units!$L52=1,CQ$1=Units!$Q52),1,Inputs!$B$15)*Inputs!$B$16*(1+Inputs!$B$11)^(CQ$2-1),0)</f>
        <v>0</v>
      </c>
      <c r="CR53" s="11" t="n">
        <f aca="false">IF(AND(CR$1&gt;=Units!$Q52,MOD(CR$1-Units!$Q52,12)=0),IF(AND(Units!$L52=1,CR$1=Units!$Q52),1,Inputs!$B$15)*Inputs!$B$16*(1+Inputs!$B$11)^(CR$2-1),0)</f>
        <v>0</v>
      </c>
      <c r="CS53" s="11" t="n">
        <f aca="false">IF(AND(CS$1&gt;=Units!$Q52,MOD(CS$1-Units!$Q52,12)=0),IF(AND(Units!$L52=1,CS$1=Units!$Q52),1,Inputs!$B$15)*Inputs!$B$16*(1+Inputs!$B$11)^(CS$2-1),0)</f>
        <v>0</v>
      </c>
      <c r="CT53" s="11" t="n">
        <f aca="false">IF(AND(CT$1&gt;=Units!$Q52,MOD(CT$1-Units!$Q52,12)=0),IF(AND(Units!$L52=1,CT$1=Units!$Q52),1,Inputs!$B$15)*Inputs!$B$16*(1+Inputs!$B$11)^(CT$2-1),0)</f>
        <v>0</v>
      </c>
      <c r="CU53" s="11" t="n">
        <f aca="false">IF(AND(CU$1&gt;=Units!$Q52,MOD(CU$1-Units!$Q52,12)=0),IF(AND(Units!$L52=1,CU$1=Units!$Q52),1,Inputs!$B$15)*Inputs!$B$16*(1+Inputs!$B$11)^(CU$2-1),0)</f>
        <v>0</v>
      </c>
      <c r="CV53" s="11" t="n">
        <f aca="false">IF(AND(CV$1&gt;=Units!$Q52,MOD(CV$1-Units!$Q52,12)=0),IF(AND(Units!$L52=1,CV$1=Units!$Q52),1,Inputs!$B$15)*Inputs!$B$16*(1+Inputs!$B$11)^(CV$2-1),0)</f>
        <v>0</v>
      </c>
      <c r="CW53" s="11" t="n">
        <f aca="false">IF(AND(CW$1&gt;=Units!$Q52,MOD(CW$1-Units!$Q52,12)=0),IF(AND(Units!$L52=1,CW$1=Units!$Q52),1,Inputs!$B$15)*Inputs!$B$16*(1+Inputs!$B$11)^(CW$2-1),0)</f>
        <v>633.385040693808</v>
      </c>
      <c r="CX53" s="11" t="n">
        <f aca="false">IF(AND(CX$1&gt;=Units!$Q52,MOD(CX$1-Units!$Q52,12)=0),IF(AND(Units!$L52=1,CX$1=Units!$Q52),1,Inputs!$B$15)*Inputs!$B$16*(1+Inputs!$B$11)^(CX$2-1),0)</f>
        <v>0</v>
      </c>
      <c r="CY53" s="11" t="n">
        <f aca="false">IF(AND(CY$1&gt;=Units!$Q52,MOD(CY$1-Units!$Q52,12)=0),IF(AND(Units!$L52=1,CY$1=Units!$Q52),1,Inputs!$B$15)*Inputs!$B$16*(1+Inputs!$B$11)^(CY$2-1),0)</f>
        <v>0</v>
      </c>
      <c r="CZ53" s="11" t="n">
        <f aca="false">IF(AND(CZ$1&gt;=Units!$Q52,MOD(CZ$1-Units!$Q52,12)=0),IF(AND(Units!$L52=1,CZ$1=Units!$Q52),1,Inputs!$B$15)*Inputs!$B$16*(1+Inputs!$B$11)^(CZ$2-1),0)</f>
        <v>0</v>
      </c>
      <c r="DA53" s="11" t="n">
        <f aca="false">IF(AND(DA$1&gt;=Units!$Q52,MOD(DA$1-Units!$Q52,12)=0),IF(AND(Units!$L52=1,DA$1=Units!$Q52),1,Inputs!$B$15)*Inputs!$B$16*(1+Inputs!$B$11)^(DA$2-1),0)</f>
        <v>0</v>
      </c>
      <c r="DB53" s="11" t="n">
        <f aca="false">IF(AND(DB$1&gt;=Units!$Q52,MOD(DB$1-Units!$Q52,12)=0),IF(AND(Units!$L52=1,DB$1=Units!$Q52),1,Inputs!$B$15)*Inputs!$B$16*(1+Inputs!$B$11)^(DB$2-1),0)</f>
        <v>0</v>
      </c>
      <c r="DC53" s="11" t="n">
        <f aca="false">IF(AND(DC$1&gt;=Units!$Q52,MOD(DC$1-Units!$Q52,12)=0),IF(AND(Units!$L52=1,DC$1=Units!$Q52),1,Inputs!$B$15)*Inputs!$B$16*(1+Inputs!$B$11)^(DC$2-1),0)</f>
        <v>0</v>
      </c>
      <c r="DD53" s="11" t="n">
        <f aca="false">IF(AND(DD$1&gt;=Units!$Q52,MOD(DD$1-Units!$Q52,12)=0),IF(AND(Units!$L52=1,DD$1=Units!$Q52),1,Inputs!$B$15)*Inputs!$B$16*(1+Inputs!$B$11)^(DD$2-1),0)</f>
        <v>0</v>
      </c>
      <c r="DE53" s="11" t="n">
        <f aca="false">IF(AND(DE$1&gt;=Units!$Q52,MOD(DE$1-Units!$Q52,12)=0),IF(AND(Units!$L52=1,DE$1=Units!$Q52),1,Inputs!$B$15)*Inputs!$B$16*(1+Inputs!$B$11)^(DE$2-1),0)</f>
        <v>0</v>
      </c>
      <c r="DF53" s="11" t="n">
        <f aca="false">IF(AND(DF$1&gt;=Units!$Q52,MOD(DF$1-Units!$Q52,12)=0),IF(AND(Units!$L52=1,DF$1=Units!$Q52),1,Inputs!$B$15)*Inputs!$B$16*(1+Inputs!$B$11)^(DF$2-1),0)</f>
        <v>0</v>
      </c>
      <c r="DG53" s="11" t="n">
        <f aca="false">IF(AND(DG$1&gt;=Units!$Q52,MOD(DG$1-Units!$Q52,12)=0),IF(AND(Units!$L52=1,DG$1=Units!$Q52),1,Inputs!$B$15)*Inputs!$B$16*(1+Inputs!$B$11)^(DG$2-1),0)</f>
        <v>0</v>
      </c>
      <c r="DH53" s="11" t="n">
        <f aca="false">IF(AND(DH$1&gt;=Units!$Q52,MOD(DH$1-Units!$Q52,12)=0),IF(AND(Units!$L52=1,DH$1=Units!$Q52),1,Inputs!$B$15)*Inputs!$B$16*(1+Inputs!$B$11)^(DH$2-1),0)</f>
        <v>0</v>
      </c>
      <c r="DI53" s="11" t="n">
        <f aca="false">IF(AND(DI$1&gt;=Units!$Q52,MOD(DI$1-Units!$Q52,12)=0),IF(AND(Units!$L52=1,DI$1=Units!$Q52),1,Inputs!$B$15)*Inputs!$B$16*(1+Inputs!$B$11)^(DI$2-1),0)</f>
        <v>652.386591914623</v>
      </c>
      <c r="DJ53" s="11" t="n">
        <f aca="false">IF(AND(DJ$1&gt;=Units!$Q52,MOD(DJ$1-Units!$Q52,12)=0),IF(AND(Units!$L52=1,DJ$1=Units!$Q52),1,Inputs!$B$15)*Inputs!$B$16*(1+Inputs!$B$11)^(DJ$2-1),0)</f>
        <v>0</v>
      </c>
      <c r="DK53" s="11" t="n">
        <f aca="false">IF(AND(DK$1&gt;=Units!$Q52,MOD(DK$1-Units!$Q52,12)=0),IF(AND(Units!$L52=1,DK$1=Units!$Q52),1,Inputs!$B$15)*Inputs!$B$16*(1+Inputs!$B$11)^(DK$2-1),0)</f>
        <v>0</v>
      </c>
      <c r="DL53" s="11" t="n">
        <f aca="false">IF(AND(DL$1&gt;=Units!$Q52,MOD(DL$1-Units!$Q52,12)=0),IF(AND(Units!$L52=1,DL$1=Units!$Q52),1,Inputs!$B$15)*Inputs!$B$16*(1+Inputs!$B$11)^(DL$2-1),0)</f>
        <v>0</v>
      </c>
      <c r="DM53" s="11" t="n">
        <f aca="false">IF(AND(DM$1&gt;=Units!$Q52,MOD(DM$1-Units!$Q52,12)=0),IF(AND(Units!$L52=1,DM$1=Units!$Q52),1,Inputs!$B$15)*Inputs!$B$16*(1+Inputs!$B$11)^(DM$2-1),0)</f>
        <v>0</v>
      </c>
      <c r="DN53" s="11" t="n">
        <f aca="false">IF(AND(DN$1&gt;=Units!$Q52,MOD(DN$1-Units!$Q52,12)=0),IF(AND(Units!$L52=1,DN$1=Units!$Q52),1,Inputs!$B$15)*Inputs!$B$16*(1+Inputs!$B$11)^(DN$2-1),0)</f>
        <v>0</v>
      </c>
      <c r="DO53" s="11" t="n">
        <f aca="false">IF(AND(DO$1&gt;=Units!$Q52,MOD(DO$1-Units!$Q52,12)=0),IF(AND(Units!$L52=1,DO$1=Units!$Q52),1,Inputs!$B$15)*Inputs!$B$16*(1+Inputs!$B$11)^(DO$2-1),0)</f>
        <v>0</v>
      </c>
      <c r="DP53" s="11" t="n">
        <f aca="false">IF(AND(DP$1&gt;=Units!$Q52,MOD(DP$1-Units!$Q52,12)=0),IF(AND(Units!$L52=1,DP$1=Units!$Q52),1,Inputs!$B$15)*Inputs!$B$16*(1+Inputs!$B$11)^(DP$2-1),0)</f>
        <v>0</v>
      </c>
      <c r="DQ53" s="11" t="n">
        <f aca="false">IF(AND(DQ$1&gt;=Units!$Q52,MOD(DQ$1-Units!$Q52,12)=0),IF(AND(Units!$L52=1,DQ$1=Units!$Q52),1,Inputs!$B$15)*Inputs!$B$16*(1+Inputs!$B$11)^(DQ$2-1),0)</f>
        <v>0</v>
      </c>
      <c r="DR53" s="11" t="n">
        <f aca="false">IF(AND(DR$1&gt;=Units!$Q52,MOD(DR$1-Units!$Q52,12)=0),IF(AND(Units!$L52=1,DR$1=Units!$Q52),1,Inputs!$B$15)*Inputs!$B$16*(1+Inputs!$B$11)^(DR$2-1),0)</f>
        <v>0</v>
      </c>
      <c r="DS53" s="11" t="n">
        <f aca="false">IF(AND(DS$1&gt;=Units!$Q52,MOD(DS$1-Units!$Q52,12)=0),IF(AND(Units!$L52=1,DS$1=Units!$Q52),1,Inputs!$B$15)*Inputs!$B$16*(1+Inputs!$B$11)^(DS$2-1),0)</f>
        <v>0</v>
      </c>
      <c r="DT53" s="11" t="n">
        <f aca="false">IF(AND(DT$1&gt;=Units!$Q52,MOD(DT$1-Units!$Q52,12)=0),IF(AND(Units!$L52=1,DT$1=Units!$Q52),1,Inputs!$B$15)*Inputs!$B$16*(1+Inputs!$B$11)^(DT$2-1),0)</f>
        <v>0</v>
      </c>
      <c r="DU53" s="11" t="n">
        <f aca="false">IF(AND(DU$1&gt;=Units!$Q52,MOD(DU$1-Units!$Q52,12)=0),IF(AND(Units!$L52=1,DU$1=Units!$Q52),1,Inputs!$B$15)*Inputs!$B$16*(1+Inputs!$B$11)^(DU$2-1),0)</f>
        <v>671.958189672061</v>
      </c>
      <c r="DV53" s="11" t="n">
        <f aca="false">IF(AND(DV$1&gt;=Units!$Q52,MOD(DV$1-Units!$Q52,12)=0),IF(AND(Units!$L52=1,DV$1=Units!$Q52),1,Inputs!$B$15)*Inputs!$B$16*(1+Inputs!$B$11)^(DV$2-1),0)</f>
        <v>0</v>
      </c>
      <c r="DW53" s="11" t="n">
        <f aca="false">IF(AND(DW$1&gt;=Units!$Q52,MOD(DW$1-Units!$Q52,12)=0),IF(AND(Units!$L52=1,DW$1=Units!$Q52),1,Inputs!$B$15)*Inputs!$B$16*(1+Inputs!$B$11)^(DW$2-1),0)</f>
        <v>0</v>
      </c>
      <c r="DX53" s="11" t="n">
        <f aca="false">IF(AND(DX$1&gt;=Units!$Q52,MOD(DX$1-Units!$Q52,12)=0),IF(AND(Units!$L52=1,DX$1=Units!$Q52),1,Inputs!$B$15)*Inputs!$B$16*(1+Inputs!$B$11)^(DX$2-1),0)</f>
        <v>0</v>
      </c>
      <c r="DY53" s="11" t="n">
        <f aca="false">IF(AND(DY$1&gt;=Units!$Q52,MOD(DY$1-Units!$Q52,12)=0),IF(AND(Units!$L52=1,DY$1=Units!$Q52),1,Inputs!$B$15)*Inputs!$B$16*(1+Inputs!$B$11)^(DY$2-1),0)</f>
        <v>0</v>
      </c>
      <c r="DZ53" s="11" t="n">
        <f aca="false">IF(AND(DZ$1&gt;=Units!$Q52,MOD(DZ$1-Units!$Q52,12)=0),IF(AND(Units!$L52=1,DZ$1=Units!$Q52),1,Inputs!$B$15)*Inputs!$B$16*(1+Inputs!$B$11)^(DZ$2-1),0)</f>
        <v>0</v>
      </c>
      <c r="EA53" s="11" t="n">
        <f aca="false">IF(AND(EA$1&gt;=Units!$Q52,MOD(EA$1-Units!$Q52,12)=0),IF(AND(Units!$L52=1,EA$1=Units!$Q52),1,Inputs!$B$15)*Inputs!$B$16*(1+Inputs!$B$11)^(EA$2-1),0)</f>
        <v>0</v>
      </c>
      <c r="EB53" s="11" t="n">
        <f aca="false">IF(AND(EB$1&gt;=Units!$Q52,MOD(EB$1-Units!$Q52,12)=0),IF(AND(Units!$L52=1,EB$1=Units!$Q52),1,Inputs!$B$15)*Inputs!$B$16*(1+Inputs!$B$11)^(EB$2-1),0)</f>
        <v>0</v>
      </c>
      <c r="EC53" s="11" t="n">
        <f aca="false">IF(AND(EC$1&gt;=Units!$Q52,MOD(EC$1-Units!$Q52,12)=0),IF(AND(Units!$L52=1,EC$1=Units!$Q52),1,Inputs!$B$15)*Inputs!$B$16*(1+Inputs!$B$11)^(EC$2-1),0)</f>
        <v>0</v>
      </c>
      <c r="ED53" s="11" t="n">
        <f aca="false">IF(AND(ED$1&gt;=Units!$Q52,MOD(ED$1-Units!$Q52,12)=0),IF(AND(Units!$L52=1,ED$1=Units!$Q52),1,Inputs!$B$15)*Inputs!$B$16*(1+Inputs!$B$11)^(ED$2-1),0)</f>
        <v>0</v>
      </c>
    </row>
    <row r="54" customFormat="false" ht="15" hidden="false" customHeight="false" outlineLevel="0" collapsed="false">
      <c r="A54" s="22" t="n">
        <f aca="false">Units!A53</f>
        <v>222</v>
      </c>
      <c r="B54" s="23"/>
      <c r="C54" s="11" t="n">
        <f aca="false">IF(AND(C$1&gt;=Units!$Q53,MOD(C$1-Units!$Q53,12)=0),IF(AND(Units!$L53=1,C$1=Units!$Q53),1,Inputs!$B$15)*Inputs!$B$16*(1+Inputs!$B$11)^(C$2-1),0)</f>
        <v>0</v>
      </c>
      <c r="D54" s="11" t="n">
        <f aca="false">IF(AND(D$1&gt;=Units!$Q53,MOD(D$1-Units!$Q53,12)=0),IF(AND(Units!$L53=1,D$1=Units!$Q53),1,Inputs!$B$15)*Inputs!$B$16*(1+Inputs!$B$11)^(D$2-1),0)</f>
        <v>0</v>
      </c>
      <c r="E54" s="11" t="n">
        <f aca="false">IF(AND(E$1&gt;=Units!$Q53,MOD(E$1-Units!$Q53,12)=0),IF(AND(Units!$L53=1,E$1=Units!$Q53),1,Inputs!$B$15)*Inputs!$B$16*(1+Inputs!$B$11)^(E$2-1),0)</f>
        <v>0</v>
      </c>
      <c r="F54" s="11" t="n">
        <f aca="false">IF(AND(F$1&gt;=Units!$Q53,MOD(F$1-Units!$Q53,12)=0),IF(AND(Units!$L53=1,F$1=Units!$Q53),1,Inputs!$B$15)*Inputs!$B$16*(1+Inputs!$B$11)^(F$2-1),0)</f>
        <v>0</v>
      </c>
      <c r="G54" s="11" t="n">
        <f aca="false">IF(AND(G$1&gt;=Units!$Q53,MOD(G$1-Units!$Q53,12)=0),IF(AND(Units!$L53=1,G$1=Units!$Q53),1,Inputs!$B$15)*Inputs!$B$16*(1+Inputs!$B$11)^(G$2-1),0)</f>
        <v>0</v>
      </c>
      <c r="H54" s="11" t="n">
        <f aca="false">IF(AND(H$1&gt;=Units!$Q53,MOD(H$1-Units!$Q53,12)=0),IF(AND(Units!$L53=1,H$1=Units!$Q53),1,Inputs!$B$15)*Inputs!$B$16*(1+Inputs!$B$11)^(H$2-1),0)</f>
        <v>0</v>
      </c>
      <c r="I54" s="11" t="n">
        <f aca="false">IF(AND(I$1&gt;=Units!$Q53,MOD(I$1-Units!$Q53,12)=0),IF(AND(Units!$L53=1,I$1=Units!$Q53),1,Inputs!$B$15)*Inputs!$B$16*(1+Inputs!$B$11)^(I$2-1),0)</f>
        <v>0</v>
      </c>
      <c r="J54" s="11" t="n">
        <f aca="false">IF(AND(J$1&gt;=Units!$Q53,MOD(J$1-Units!$Q53,12)=0),IF(AND(Units!$L53=1,J$1=Units!$Q53),1,Inputs!$B$15)*Inputs!$B$16*(1+Inputs!$B$11)^(J$2-1),0)</f>
        <v>0</v>
      </c>
      <c r="K54" s="11" t="n">
        <f aca="false">IF(AND(K$1&gt;=Units!$Q53,MOD(K$1-Units!$Q53,12)=0),IF(AND(Units!$L53=1,K$1=Units!$Q53),1,Inputs!$B$15)*Inputs!$B$16*(1+Inputs!$B$11)^(K$2-1),0)</f>
        <v>0</v>
      </c>
      <c r="L54" s="11" t="n">
        <f aca="false">IF(AND(L$1&gt;=Units!$Q53,MOD(L$1-Units!$Q53,12)=0),IF(AND(Units!$L53=1,L$1=Units!$Q53),1,Inputs!$B$15)*Inputs!$B$16*(1+Inputs!$B$11)^(L$2-1),0)</f>
        <v>0</v>
      </c>
      <c r="M54" s="11" t="n">
        <f aca="false">IF(AND(M$1&gt;=Units!$Q53,MOD(M$1-Units!$Q53,12)=0),IF(AND(Units!$L53=1,M$1=Units!$Q53),1,Inputs!$B$15)*Inputs!$B$16*(1+Inputs!$B$11)^(M$2-1),0)</f>
        <v>0</v>
      </c>
      <c r="N54" s="11" t="n">
        <f aca="false">IF(AND(N$1&gt;=Units!$Q53,MOD(N$1-Units!$Q53,12)=0),IF(AND(Units!$L53=1,N$1=Units!$Q53),1,Inputs!$B$15)*Inputs!$B$16*(1+Inputs!$B$11)^(N$2-1),0)</f>
        <v>0</v>
      </c>
      <c r="O54" s="11" t="n">
        <f aca="false">IF(AND(O$1&gt;=Units!$Q53,MOD(O$1-Units!$Q53,12)=0),IF(AND(Units!$L53=1,O$1=Units!$Q53),1,Inputs!$B$15)*Inputs!$B$16*(1+Inputs!$B$11)^(O$2-1),0)</f>
        <v>515</v>
      </c>
      <c r="P54" s="11" t="n">
        <f aca="false">IF(AND(P$1&gt;=Units!$Q53,MOD(P$1-Units!$Q53,12)=0),IF(AND(Units!$L53=1,P$1=Units!$Q53),1,Inputs!$B$15)*Inputs!$B$16*(1+Inputs!$B$11)^(P$2-1),0)</f>
        <v>0</v>
      </c>
      <c r="Q54" s="11" t="n">
        <f aca="false">IF(AND(Q$1&gt;=Units!$Q53,MOD(Q$1-Units!$Q53,12)=0),IF(AND(Units!$L53=1,Q$1=Units!$Q53),1,Inputs!$B$15)*Inputs!$B$16*(1+Inputs!$B$11)^(Q$2-1),0)</f>
        <v>0</v>
      </c>
      <c r="R54" s="11" t="n">
        <f aca="false">IF(AND(R$1&gt;=Units!$Q53,MOD(R$1-Units!$Q53,12)=0),IF(AND(Units!$L53=1,R$1=Units!$Q53),1,Inputs!$B$15)*Inputs!$B$16*(1+Inputs!$B$11)^(R$2-1),0)</f>
        <v>0</v>
      </c>
      <c r="S54" s="11" t="n">
        <f aca="false">IF(AND(S$1&gt;=Units!$Q53,MOD(S$1-Units!$Q53,12)=0),IF(AND(Units!$L53=1,S$1=Units!$Q53),1,Inputs!$B$15)*Inputs!$B$16*(1+Inputs!$B$11)^(S$2-1),0)</f>
        <v>0</v>
      </c>
      <c r="T54" s="11" t="n">
        <f aca="false">IF(AND(T$1&gt;=Units!$Q53,MOD(T$1-Units!$Q53,12)=0),IF(AND(Units!$L53=1,T$1=Units!$Q53),1,Inputs!$B$15)*Inputs!$B$16*(1+Inputs!$B$11)^(T$2-1),0)</f>
        <v>0</v>
      </c>
      <c r="U54" s="11" t="n">
        <f aca="false">IF(AND(U$1&gt;=Units!$Q53,MOD(U$1-Units!$Q53,12)=0),IF(AND(Units!$L53=1,U$1=Units!$Q53),1,Inputs!$B$15)*Inputs!$B$16*(1+Inputs!$B$11)^(U$2-1),0)</f>
        <v>0</v>
      </c>
      <c r="V54" s="11" t="n">
        <f aca="false">IF(AND(V$1&gt;=Units!$Q53,MOD(V$1-Units!$Q53,12)=0),IF(AND(Units!$L53=1,V$1=Units!$Q53),1,Inputs!$B$15)*Inputs!$B$16*(1+Inputs!$B$11)^(V$2-1),0)</f>
        <v>0</v>
      </c>
      <c r="W54" s="11" t="n">
        <f aca="false">IF(AND(W$1&gt;=Units!$Q53,MOD(W$1-Units!$Q53,12)=0),IF(AND(Units!$L53=1,W$1=Units!$Q53),1,Inputs!$B$15)*Inputs!$B$16*(1+Inputs!$B$11)^(W$2-1),0)</f>
        <v>0</v>
      </c>
      <c r="X54" s="11" t="n">
        <f aca="false">IF(AND(X$1&gt;=Units!$Q53,MOD(X$1-Units!$Q53,12)=0),IF(AND(Units!$L53=1,X$1=Units!$Q53),1,Inputs!$B$15)*Inputs!$B$16*(1+Inputs!$B$11)^(X$2-1),0)</f>
        <v>0</v>
      </c>
      <c r="Y54" s="11" t="n">
        <f aca="false">IF(AND(Y$1&gt;=Units!$Q53,MOD(Y$1-Units!$Q53,12)=0),IF(AND(Units!$L53=1,Y$1=Units!$Q53),1,Inputs!$B$15)*Inputs!$B$16*(1+Inputs!$B$11)^(Y$2-1),0)</f>
        <v>0</v>
      </c>
      <c r="Z54" s="11" t="n">
        <f aca="false">IF(AND(Z$1&gt;=Units!$Q53,MOD(Z$1-Units!$Q53,12)=0),IF(AND(Units!$L53=1,Z$1=Units!$Q53),1,Inputs!$B$15)*Inputs!$B$16*(1+Inputs!$B$11)^(Z$2-1),0)</f>
        <v>0</v>
      </c>
      <c r="AA54" s="11" t="n">
        <f aca="false">IF(AND(AA$1&gt;=Units!$Q53,MOD(AA$1-Units!$Q53,12)=0),IF(AND(Units!$L53=1,AA$1=Units!$Q53),1,Inputs!$B$15)*Inputs!$B$16*(1+Inputs!$B$11)^(AA$2-1),0)</f>
        <v>530.45</v>
      </c>
      <c r="AB54" s="11" t="n">
        <f aca="false">IF(AND(AB$1&gt;=Units!$Q53,MOD(AB$1-Units!$Q53,12)=0),IF(AND(Units!$L53=1,AB$1=Units!$Q53),1,Inputs!$B$15)*Inputs!$B$16*(1+Inputs!$B$11)^(AB$2-1),0)</f>
        <v>0</v>
      </c>
      <c r="AC54" s="11" t="n">
        <f aca="false">IF(AND(AC$1&gt;=Units!$Q53,MOD(AC$1-Units!$Q53,12)=0),IF(AND(Units!$L53=1,AC$1=Units!$Q53),1,Inputs!$B$15)*Inputs!$B$16*(1+Inputs!$B$11)^(AC$2-1),0)</f>
        <v>0</v>
      </c>
      <c r="AD54" s="11" t="n">
        <f aca="false">IF(AND(AD$1&gt;=Units!$Q53,MOD(AD$1-Units!$Q53,12)=0),IF(AND(Units!$L53=1,AD$1=Units!$Q53),1,Inputs!$B$15)*Inputs!$B$16*(1+Inputs!$B$11)^(AD$2-1),0)</f>
        <v>0</v>
      </c>
      <c r="AE54" s="11" t="n">
        <f aca="false">IF(AND(AE$1&gt;=Units!$Q53,MOD(AE$1-Units!$Q53,12)=0),IF(AND(Units!$L53=1,AE$1=Units!$Q53),1,Inputs!$B$15)*Inputs!$B$16*(1+Inputs!$B$11)^(AE$2-1),0)</f>
        <v>0</v>
      </c>
      <c r="AF54" s="11" t="n">
        <f aca="false">IF(AND(AF$1&gt;=Units!$Q53,MOD(AF$1-Units!$Q53,12)=0),IF(AND(Units!$L53=1,AF$1=Units!$Q53),1,Inputs!$B$15)*Inputs!$B$16*(1+Inputs!$B$11)^(AF$2-1),0)</f>
        <v>0</v>
      </c>
      <c r="AG54" s="11" t="n">
        <f aca="false">IF(AND(AG$1&gt;=Units!$Q53,MOD(AG$1-Units!$Q53,12)=0),IF(AND(Units!$L53=1,AG$1=Units!$Q53),1,Inputs!$B$15)*Inputs!$B$16*(1+Inputs!$B$11)^(AG$2-1),0)</f>
        <v>0</v>
      </c>
      <c r="AH54" s="11" t="n">
        <f aca="false">IF(AND(AH$1&gt;=Units!$Q53,MOD(AH$1-Units!$Q53,12)=0),IF(AND(Units!$L53=1,AH$1=Units!$Q53),1,Inputs!$B$15)*Inputs!$B$16*(1+Inputs!$B$11)^(AH$2-1),0)</f>
        <v>0</v>
      </c>
      <c r="AI54" s="11" t="n">
        <f aca="false">IF(AND(AI$1&gt;=Units!$Q53,MOD(AI$1-Units!$Q53,12)=0),IF(AND(Units!$L53=1,AI$1=Units!$Q53),1,Inputs!$B$15)*Inputs!$B$16*(1+Inputs!$B$11)^(AI$2-1),0)</f>
        <v>0</v>
      </c>
      <c r="AJ54" s="11" t="n">
        <f aca="false">IF(AND(AJ$1&gt;=Units!$Q53,MOD(AJ$1-Units!$Q53,12)=0),IF(AND(Units!$L53=1,AJ$1=Units!$Q53),1,Inputs!$B$15)*Inputs!$B$16*(1+Inputs!$B$11)^(AJ$2-1),0)</f>
        <v>0</v>
      </c>
      <c r="AK54" s="11" t="n">
        <f aca="false">IF(AND(AK$1&gt;=Units!$Q53,MOD(AK$1-Units!$Q53,12)=0),IF(AND(Units!$L53=1,AK$1=Units!$Q53),1,Inputs!$B$15)*Inputs!$B$16*(1+Inputs!$B$11)^(AK$2-1),0)</f>
        <v>0</v>
      </c>
      <c r="AL54" s="11" t="n">
        <f aca="false">IF(AND(AL$1&gt;=Units!$Q53,MOD(AL$1-Units!$Q53,12)=0),IF(AND(Units!$L53=1,AL$1=Units!$Q53),1,Inputs!$B$15)*Inputs!$B$16*(1+Inputs!$B$11)^(AL$2-1),0)</f>
        <v>0</v>
      </c>
      <c r="AM54" s="11" t="n">
        <f aca="false">IF(AND(AM$1&gt;=Units!$Q53,MOD(AM$1-Units!$Q53,12)=0),IF(AND(Units!$L53=1,AM$1=Units!$Q53),1,Inputs!$B$15)*Inputs!$B$16*(1+Inputs!$B$11)^(AM$2-1),0)</f>
        <v>546.3635</v>
      </c>
      <c r="AN54" s="11" t="n">
        <f aca="false">IF(AND(AN$1&gt;=Units!$Q53,MOD(AN$1-Units!$Q53,12)=0),IF(AND(Units!$L53=1,AN$1=Units!$Q53),1,Inputs!$B$15)*Inputs!$B$16*(1+Inputs!$B$11)^(AN$2-1),0)</f>
        <v>0</v>
      </c>
      <c r="AO54" s="11" t="n">
        <f aca="false">IF(AND(AO$1&gt;=Units!$Q53,MOD(AO$1-Units!$Q53,12)=0),IF(AND(Units!$L53=1,AO$1=Units!$Q53),1,Inputs!$B$15)*Inputs!$B$16*(1+Inputs!$B$11)^(AO$2-1),0)</f>
        <v>0</v>
      </c>
      <c r="AP54" s="11" t="n">
        <f aca="false">IF(AND(AP$1&gt;=Units!$Q53,MOD(AP$1-Units!$Q53,12)=0),IF(AND(Units!$L53=1,AP$1=Units!$Q53),1,Inputs!$B$15)*Inputs!$B$16*(1+Inputs!$B$11)^(AP$2-1),0)</f>
        <v>0</v>
      </c>
      <c r="AQ54" s="11" t="n">
        <f aca="false">IF(AND(AQ$1&gt;=Units!$Q53,MOD(AQ$1-Units!$Q53,12)=0),IF(AND(Units!$L53=1,AQ$1=Units!$Q53),1,Inputs!$B$15)*Inputs!$B$16*(1+Inputs!$B$11)^(AQ$2-1),0)</f>
        <v>0</v>
      </c>
      <c r="AR54" s="11" t="n">
        <f aca="false">IF(AND(AR$1&gt;=Units!$Q53,MOD(AR$1-Units!$Q53,12)=0),IF(AND(Units!$L53=1,AR$1=Units!$Q53),1,Inputs!$B$15)*Inputs!$B$16*(1+Inputs!$B$11)^(AR$2-1),0)</f>
        <v>0</v>
      </c>
      <c r="AS54" s="11" t="n">
        <f aca="false">IF(AND(AS$1&gt;=Units!$Q53,MOD(AS$1-Units!$Q53,12)=0),IF(AND(Units!$L53=1,AS$1=Units!$Q53),1,Inputs!$B$15)*Inputs!$B$16*(1+Inputs!$B$11)^(AS$2-1),0)</f>
        <v>0</v>
      </c>
      <c r="AT54" s="11" t="n">
        <f aca="false">IF(AND(AT$1&gt;=Units!$Q53,MOD(AT$1-Units!$Q53,12)=0),IF(AND(Units!$L53=1,AT$1=Units!$Q53),1,Inputs!$B$15)*Inputs!$B$16*(1+Inputs!$B$11)^(AT$2-1),0)</f>
        <v>0</v>
      </c>
      <c r="AU54" s="11" t="n">
        <f aca="false">IF(AND(AU$1&gt;=Units!$Q53,MOD(AU$1-Units!$Q53,12)=0),IF(AND(Units!$L53=1,AU$1=Units!$Q53),1,Inputs!$B$15)*Inputs!$B$16*(1+Inputs!$B$11)^(AU$2-1),0)</f>
        <v>0</v>
      </c>
      <c r="AV54" s="11" t="n">
        <f aca="false">IF(AND(AV$1&gt;=Units!$Q53,MOD(AV$1-Units!$Q53,12)=0),IF(AND(Units!$L53=1,AV$1=Units!$Q53),1,Inputs!$B$15)*Inputs!$B$16*(1+Inputs!$B$11)^(AV$2-1),0)</f>
        <v>0</v>
      </c>
      <c r="AW54" s="11" t="n">
        <f aca="false">IF(AND(AW$1&gt;=Units!$Q53,MOD(AW$1-Units!$Q53,12)=0),IF(AND(Units!$L53=1,AW$1=Units!$Q53),1,Inputs!$B$15)*Inputs!$B$16*(1+Inputs!$B$11)^(AW$2-1),0)</f>
        <v>0</v>
      </c>
      <c r="AX54" s="11" t="n">
        <f aca="false">IF(AND(AX$1&gt;=Units!$Q53,MOD(AX$1-Units!$Q53,12)=0),IF(AND(Units!$L53=1,AX$1=Units!$Q53),1,Inputs!$B$15)*Inputs!$B$16*(1+Inputs!$B$11)^(AX$2-1),0)</f>
        <v>0</v>
      </c>
      <c r="AY54" s="11" t="n">
        <f aca="false">IF(AND(AY$1&gt;=Units!$Q53,MOD(AY$1-Units!$Q53,12)=0),IF(AND(Units!$L53=1,AY$1=Units!$Q53),1,Inputs!$B$15)*Inputs!$B$16*(1+Inputs!$B$11)^(AY$2-1),0)</f>
        <v>562.754405</v>
      </c>
      <c r="AZ54" s="11" t="n">
        <f aca="false">IF(AND(AZ$1&gt;=Units!$Q53,MOD(AZ$1-Units!$Q53,12)=0),IF(AND(Units!$L53=1,AZ$1=Units!$Q53),1,Inputs!$B$15)*Inputs!$B$16*(1+Inputs!$B$11)^(AZ$2-1),0)</f>
        <v>0</v>
      </c>
      <c r="BA54" s="11" t="n">
        <f aca="false">IF(AND(BA$1&gt;=Units!$Q53,MOD(BA$1-Units!$Q53,12)=0),IF(AND(Units!$L53=1,BA$1=Units!$Q53),1,Inputs!$B$15)*Inputs!$B$16*(1+Inputs!$B$11)^(BA$2-1),0)</f>
        <v>0</v>
      </c>
      <c r="BB54" s="11" t="n">
        <f aca="false">IF(AND(BB$1&gt;=Units!$Q53,MOD(BB$1-Units!$Q53,12)=0),IF(AND(Units!$L53=1,BB$1=Units!$Q53),1,Inputs!$B$15)*Inputs!$B$16*(1+Inputs!$B$11)^(BB$2-1),0)</f>
        <v>0</v>
      </c>
      <c r="BC54" s="11" t="n">
        <f aca="false">IF(AND(BC$1&gt;=Units!$Q53,MOD(BC$1-Units!$Q53,12)=0),IF(AND(Units!$L53=1,BC$1=Units!$Q53),1,Inputs!$B$15)*Inputs!$B$16*(1+Inputs!$B$11)^(BC$2-1),0)</f>
        <v>0</v>
      </c>
      <c r="BD54" s="11" t="n">
        <f aca="false">IF(AND(BD$1&gt;=Units!$Q53,MOD(BD$1-Units!$Q53,12)=0),IF(AND(Units!$L53=1,BD$1=Units!$Q53),1,Inputs!$B$15)*Inputs!$B$16*(1+Inputs!$B$11)^(BD$2-1),0)</f>
        <v>0</v>
      </c>
      <c r="BE54" s="11" t="n">
        <f aca="false">IF(AND(BE$1&gt;=Units!$Q53,MOD(BE$1-Units!$Q53,12)=0),IF(AND(Units!$L53=1,BE$1=Units!$Q53),1,Inputs!$B$15)*Inputs!$B$16*(1+Inputs!$B$11)^(BE$2-1),0)</f>
        <v>0</v>
      </c>
      <c r="BF54" s="11" t="n">
        <f aca="false">IF(AND(BF$1&gt;=Units!$Q53,MOD(BF$1-Units!$Q53,12)=0),IF(AND(Units!$L53=1,BF$1=Units!$Q53),1,Inputs!$B$15)*Inputs!$B$16*(1+Inputs!$B$11)^(BF$2-1),0)</f>
        <v>0</v>
      </c>
      <c r="BG54" s="11" t="n">
        <f aca="false">IF(AND(BG$1&gt;=Units!$Q53,MOD(BG$1-Units!$Q53,12)=0),IF(AND(Units!$L53=1,BG$1=Units!$Q53),1,Inputs!$B$15)*Inputs!$B$16*(1+Inputs!$B$11)^(BG$2-1),0)</f>
        <v>0</v>
      </c>
      <c r="BH54" s="11" t="n">
        <f aca="false">IF(AND(BH$1&gt;=Units!$Q53,MOD(BH$1-Units!$Q53,12)=0),IF(AND(Units!$L53=1,BH$1=Units!$Q53),1,Inputs!$B$15)*Inputs!$B$16*(1+Inputs!$B$11)^(BH$2-1),0)</f>
        <v>0</v>
      </c>
      <c r="BI54" s="11" t="n">
        <f aca="false">IF(AND(BI$1&gt;=Units!$Q53,MOD(BI$1-Units!$Q53,12)=0),IF(AND(Units!$L53=1,BI$1=Units!$Q53),1,Inputs!$B$15)*Inputs!$B$16*(1+Inputs!$B$11)^(BI$2-1),0)</f>
        <v>0</v>
      </c>
      <c r="BJ54" s="11" t="n">
        <f aca="false">IF(AND(BJ$1&gt;=Units!$Q53,MOD(BJ$1-Units!$Q53,12)=0),IF(AND(Units!$L53=1,BJ$1=Units!$Q53),1,Inputs!$B$15)*Inputs!$B$16*(1+Inputs!$B$11)^(BJ$2-1),0)</f>
        <v>0</v>
      </c>
      <c r="BK54" s="11" t="n">
        <f aca="false">IF(AND(BK$1&gt;=Units!$Q53,MOD(BK$1-Units!$Q53,12)=0),IF(AND(Units!$L53=1,BK$1=Units!$Q53),1,Inputs!$B$15)*Inputs!$B$16*(1+Inputs!$B$11)^(BK$2-1),0)</f>
        <v>579.63703715</v>
      </c>
      <c r="BL54" s="11" t="n">
        <f aca="false">IF(AND(BL$1&gt;=Units!$Q53,MOD(BL$1-Units!$Q53,12)=0),IF(AND(Units!$L53=1,BL$1=Units!$Q53),1,Inputs!$B$15)*Inputs!$B$16*(1+Inputs!$B$11)^(BL$2-1),0)</f>
        <v>0</v>
      </c>
      <c r="BM54" s="11" t="n">
        <f aca="false">IF(AND(BM$1&gt;=Units!$Q53,MOD(BM$1-Units!$Q53,12)=0),IF(AND(Units!$L53=1,BM$1=Units!$Q53),1,Inputs!$B$15)*Inputs!$B$16*(1+Inputs!$B$11)^(BM$2-1),0)</f>
        <v>0</v>
      </c>
      <c r="BN54" s="11" t="n">
        <f aca="false">IF(AND(BN$1&gt;=Units!$Q53,MOD(BN$1-Units!$Q53,12)=0),IF(AND(Units!$L53=1,BN$1=Units!$Q53),1,Inputs!$B$15)*Inputs!$B$16*(1+Inputs!$B$11)^(BN$2-1),0)</f>
        <v>0</v>
      </c>
      <c r="BO54" s="11" t="n">
        <f aca="false">IF(AND(BO$1&gt;=Units!$Q53,MOD(BO$1-Units!$Q53,12)=0),IF(AND(Units!$L53=1,BO$1=Units!$Q53),1,Inputs!$B$15)*Inputs!$B$16*(1+Inputs!$B$11)^(BO$2-1),0)</f>
        <v>0</v>
      </c>
      <c r="BP54" s="11" t="n">
        <f aca="false">IF(AND(BP$1&gt;=Units!$Q53,MOD(BP$1-Units!$Q53,12)=0),IF(AND(Units!$L53=1,BP$1=Units!$Q53),1,Inputs!$B$15)*Inputs!$B$16*(1+Inputs!$B$11)^(BP$2-1),0)</f>
        <v>0</v>
      </c>
      <c r="BQ54" s="11" t="n">
        <f aca="false">IF(AND(BQ$1&gt;=Units!$Q53,MOD(BQ$1-Units!$Q53,12)=0),IF(AND(Units!$L53=1,BQ$1=Units!$Q53),1,Inputs!$B$15)*Inputs!$B$16*(1+Inputs!$B$11)^(BQ$2-1),0)</f>
        <v>0</v>
      </c>
      <c r="BR54" s="11" t="n">
        <f aca="false">IF(AND(BR$1&gt;=Units!$Q53,MOD(BR$1-Units!$Q53,12)=0),IF(AND(Units!$L53=1,BR$1=Units!$Q53),1,Inputs!$B$15)*Inputs!$B$16*(1+Inputs!$B$11)^(BR$2-1),0)</f>
        <v>0</v>
      </c>
      <c r="BS54" s="11" t="n">
        <f aca="false">IF(AND(BS$1&gt;=Units!$Q53,MOD(BS$1-Units!$Q53,12)=0),IF(AND(Units!$L53=1,BS$1=Units!$Q53),1,Inputs!$B$15)*Inputs!$B$16*(1+Inputs!$B$11)^(BS$2-1),0)</f>
        <v>0</v>
      </c>
      <c r="BT54" s="11" t="n">
        <f aca="false">IF(AND(BT$1&gt;=Units!$Q53,MOD(BT$1-Units!$Q53,12)=0),IF(AND(Units!$L53=1,BT$1=Units!$Q53),1,Inputs!$B$15)*Inputs!$B$16*(1+Inputs!$B$11)^(BT$2-1),0)</f>
        <v>0</v>
      </c>
      <c r="BU54" s="11" t="n">
        <f aca="false">IF(AND(BU$1&gt;=Units!$Q53,MOD(BU$1-Units!$Q53,12)=0),IF(AND(Units!$L53=1,BU$1=Units!$Q53),1,Inputs!$B$15)*Inputs!$B$16*(1+Inputs!$B$11)^(BU$2-1),0)</f>
        <v>0</v>
      </c>
      <c r="BV54" s="11" t="n">
        <f aca="false">IF(AND(BV$1&gt;=Units!$Q53,MOD(BV$1-Units!$Q53,12)=0),IF(AND(Units!$L53=1,BV$1=Units!$Q53),1,Inputs!$B$15)*Inputs!$B$16*(1+Inputs!$B$11)^(BV$2-1),0)</f>
        <v>0</v>
      </c>
      <c r="BW54" s="11" t="n">
        <f aca="false">IF(AND(BW$1&gt;=Units!$Q53,MOD(BW$1-Units!$Q53,12)=0),IF(AND(Units!$L53=1,BW$1=Units!$Q53),1,Inputs!$B$15)*Inputs!$B$16*(1+Inputs!$B$11)^(BW$2-1),0)</f>
        <v>597.0261482645</v>
      </c>
      <c r="BX54" s="11" t="n">
        <f aca="false">IF(AND(BX$1&gt;=Units!$Q53,MOD(BX$1-Units!$Q53,12)=0),IF(AND(Units!$L53=1,BX$1=Units!$Q53),1,Inputs!$B$15)*Inputs!$B$16*(1+Inputs!$B$11)^(BX$2-1),0)</f>
        <v>0</v>
      </c>
      <c r="BY54" s="11" t="n">
        <f aca="false">IF(AND(BY$1&gt;=Units!$Q53,MOD(BY$1-Units!$Q53,12)=0),IF(AND(Units!$L53=1,BY$1=Units!$Q53),1,Inputs!$B$15)*Inputs!$B$16*(1+Inputs!$B$11)^(BY$2-1),0)</f>
        <v>0</v>
      </c>
      <c r="BZ54" s="11" t="n">
        <f aca="false">IF(AND(BZ$1&gt;=Units!$Q53,MOD(BZ$1-Units!$Q53,12)=0),IF(AND(Units!$L53=1,BZ$1=Units!$Q53),1,Inputs!$B$15)*Inputs!$B$16*(1+Inputs!$B$11)^(BZ$2-1),0)</f>
        <v>0</v>
      </c>
      <c r="CA54" s="11" t="n">
        <f aca="false">IF(AND(CA$1&gt;=Units!$Q53,MOD(CA$1-Units!$Q53,12)=0),IF(AND(Units!$L53=1,CA$1=Units!$Q53),1,Inputs!$B$15)*Inputs!$B$16*(1+Inputs!$B$11)^(CA$2-1),0)</f>
        <v>0</v>
      </c>
      <c r="CB54" s="11" t="n">
        <f aca="false">IF(AND(CB$1&gt;=Units!$Q53,MOD(CB$1-Units!$Q53,12)=0),IF(AND(Units!$L53=1,CB$1=Units!$Q53),1,Inputs!$B$15)*Inputs!$B$16*(1+Inputs!$B$11)^(CB$2-1),0)</f>
        <v>0</v>
      </c>
      <c r="CC54" s="11" t="n">
        <f aca="false">IF(AND(CC$1&gt;=Units!$Q53,MOD(CC$1-Units!$Q53,12)=0),IF(AND(Units!$L53=1,CC$1=Units!$Q53),1,Inputs!$B$15)*Inputs!$B$16*(1+Inputs!$B$11)^(CC$2-1),0)</f>
        <v>0</v>
      </c>
      <c r="CD54" s="11" t="n">
        <f aca="false">IF(AND(CD$1&gt;=Units!$Q53,MOD(CD$1-Units!$Q53,12)=0),IF(AND(Units!$L53=1,CD$1=Units!$Q53),1,Inputs!$B$15)*Inputs!$B$16*(1+Inputs!$B$11)^(CD$2-1),0)</f>
        <v>0</v>
      </c>
      <c r="CE54" s="11" t="n">
        <f aca="false">IF(AND(CE$1&gt;=Units!$Q53,MOD(CE$1-Units!$Q53,12)=0),IF(AND(Units!$L53=1,CE$1=Units!$Q53),1,Inputs!$B$15)*Inputs!$B$16*(1+Inputs!$B$11)^(CE$2-1),0)</f>
        <v>0</v>
      </c>
      <c r="CF54" s="11" t="n">
        <f aca="false">IF(AND(CF$1&gt;=Units!$Q53,MOD(CF$1-Units!$Q53,12)=0),IF(AND(Units!$L53=1,CF$1=Units!$Q53),1,Inputs!$B$15)*Inputs!$B$16*(1+Inputs!$B$11)^(CF$2-1),0)</f>
        <v>0</v>
      </c>
      <c r="CG54" s="11" t="n">
        <f aca="false">IF(AND(CG$1&gt;=Units!$Q53,MOD(CG$1-Units!$Q53,12)=0),IF(AND(Units!$L53=1,CG$1=Units!$Q53),1,Inputs!$B$15)*Inputs!$B$16*(1+Inputs!$B$11)^(CG$2-1),0)</f>
        <v>0</v>
      </c>
      <c r="CH54" s="11" t="n">
        <f aca="false">IF(AND(CH$1&gt;=Units!$Q53,MOD(CH$1-Units!$Q53,12)=0),IF(AND(Units!$L53=1,CH$1=Units!$Q53),1,Inputs!$B$15)*Inputs!$B$16*(1+Inputs!$B$11)^(CH$2-1),0)</f>
        <v>0</v>
      </c>
      <c r="CI54" s="11" t="n">
        <f aca="false">IF(AND(CI$1&gt;=Units!$Q53,MOD(CI$1-Units!$Q53,12)=0),IF(AND(Units!$L53=1,CI$1=Units!$Q53),1,Inputs!$B$15)*Inputs!$B$16*(1+Inputs!$B$11)^(CI$2-1),0)</f>
        <v>614.936932712435</v>
      </c>
      <c r="CJ54" s="11" t="n">
        <f aca="false">IF(AND(CJ$1&gt;=Units!$Q53,MOD(CJ$1-Units!$Q53,12)=0),IF(AND(Units!$L53=1,CJ$1=Units!$Q53),1,Inputs!$B$15)*Inputs!$B$16*(1+Inputs!$B$11)^(CJ$2-1),0)</f>
        <v>0</v>
      </c>
      <c r="CK54" s="11" t="n">
        <f aca="false">IF(AND(CK$1&gt;=Units!$Q53,MOD(CK$1-Units!$Q53,12)=0),IF(AND(Units!$L53=1,CK$1=Units!$Q53),1,Inputs!$B$15)*Inputs!$B$16*(1+Inputs!$B$11)^(CK$2-1),0)</f>
        <v>0</v>
      </c>
      <c r="CL54" s="11" t="n">
        <f aca="false">IF(AND(CL$1&gt;=Units!$Q53,MOD(CL$1-Units!$Q53,12)=0),IF(AND(Units!$L53=1,CL$1=Units!$Q53),1,Inputs!$B$15)*Inputs!$B$16*(1+Inputs!$B$11)^(CL$2-1),0)</f>
        <v>0</v>
      </c>
      <c r="CM54" s="11" t="n">
        <f aca="false">IF(AND(CM$1&gt;=Units!$Q53,MOD(CM$1-Units!$Q53,12)=0),IF(AND(Units!$L53=1,CM$1=Units!$Q53),1,Inputs!$B$15)*Inputs!$B$16*(1+Inputs!$B$11)^(CM$2-1),0)</f>
        <v>0</v>
      </c>
      <c r="CN54" s="11" t="n">
        <f aca="false">IF(AND(CN$1&gt;=Units!$Q53,MOD(CN$1-Units!$Q53,12)=0),IF(AND(Units!$L53=1,CN$1=Units!$Q53),1,Inputs!$B$15)*Inputs!$B$16*(1+Inputs!$B$11)^(CN$2-1),0)</f>
        <v>0</v>
      </c>
      <c r="CO54" s="11" t="n">
        <f aca="false">IF(AND(CO$1&gt;=Units!$Q53,MOD(CO$1-Units!$Q53,12)=0),IF(AND(Units!$L53=1,CO$1=Units!$Q53),1,Inputs!$B$15)*Inputs!$B$16*(1+Inputs!$B$11)^(CO$2-1),0)</f>
        <v>0</v>
      </c>
      <c r="CP54" s="11" t="n">
        <f aca="false">IF(AND(CP$1&gt;=Units!$Q53,MOD(CP$1-Units!$Q53,12)=0),IF(AND(Units!$L53=1,CP$1=Units!$Q53),1,Inputs!$B$15)*Inputs!$B$16*(1+Inputs!$B$11)^(CP$2-1),0)</f>
        <v>0</v>
      </c>
      <c r="CQ54" s="11" t="n">
        <f aca="false">IF(AND(CQ$1&gt;=Units!$Q53,MOD(CQ$1-Units!$Q53,12)=0),IF(AND(Units!$L53=1,CQ$1=Units!$Q53),1,Inputs!$B$15)*Inputs!$B$16*(1+Inputs!$B$11)^(CQ$2-1),0)</f>
        <v>0</v>
      </c>
      <c r="CR54" s="11" t="n">
        <f aca="false">IF(AND(CR$1&gt;=Units!$Q53,MOD(CR$1-Units!$Q53,12)=0),IF(AND(Units!$L53=1,CR$1=Units!$Q53),1,Inputs!$B$15)*Inputs!$B$16*(1+Inputs!$B$11)^(CR$2-1),0)</f>
        <v>0</v>
      </c>
      <c r="CS54" s="11" t="n">
        <f aca="false">IF(AND(CS$1&gt;=Units!$Q53,MOD(CS$1-Units!$Q53,12)=0),IF(AND(Units!$L53=1,CS$1=Units!$Q53),1,Inputs!$B$15)*Inputs!$B$16*(1+Inputs!$B$11)^(CS$2-1),0)</f>
        <v>0</v>
      </c>
      <c r="CT54" s="11" t="n">
        <f aca="false">IF(AND(CT$1&gt;=Units!$Q53,MOD(CT$1-Units!$Q53,12)=0),IF(AND(Units!$L53=1,CT$1=Units!$Q53),1,Inputs!$B$15)*Inputs!$B$16*(1+Inputs!$B$11)^(CT$2-1),0)</f>
        <v>0</v>
      </c>
      <c r="CU54" s="11" t="n">
        <f aca="false">IF(AND(CU$1&gt;=Units!$Q53,MOD(CU$1-Units!$Q53,12)=0),IF(AND(Units!$L53=1,CU$1=Units!$Q53),1,Inputs!$B$15)*Inputs!$B$16*(1+Inputs!$B$11)^(CU$2-1),0)</f>
        <v>633.385040693808</v>
      </c>
      <c r="CV54" s="11" t="n">
        <f aca="false">IF(AND(CV$1&gt;=Units!$Q53,MOD(CV$1-Units!$Q53,12)=0),IF(AND(Units!$L53=1,CV$1=Units!$Q53),1,Inputs!$B$15)*Inputs!$B$16*(1+Inputs!$B$11)^(CV$2-1),0)</f>
        <v>0</v>
      </c>
      <c r="CW54" s="11" t="n">
        <f aca="false">IF(AND(CW$1&gt;=Units!$Q53,MOD(CW$1-Units!$Q53,12)=0),IF(AND(Units!$L53=1,CW$1=Units!$Q53),1,Inputs!$B$15)*Inputs!$B$16*(1+Inputs!$B$11)^(CW$2-1),0)</f>
        <v>0</v>
      </c>
      <c r="CX54" s="11" t="n">
        <f aca="false">IF(AND(CX$1&gt;=Units!$Q53,MOD(CX$1-Units!$Q53,12)=0),IF(AND(Units!$L53=1,CX$1=Units!$Q53),1,Inputs!$B$15)*Inputs!$B$16*(1+Inputs!$B$11)^(CX$2-1),0)</f>
        <v>0</v>
      </c>
      <c r="CY54" s="11" t="n">
        <f aca="false">IF(AND(CY$1&gt;=Units!$Q53,MOD(CY$1-Units!$Q53,12)=0),IF(AND(Units!$L53=1,CY$1=Units!$Q53),1,Inputs!$B$15)*Inputs!$B$16*(1+Inputs!$B$11)^(CY$2-1),0)</f>
        <v>0</v>
      </c>
      <c r="CZ54" s="11" t="n">
        <f aca="false">IF(AND(CZ$1&gt;=Units!$Q53,MOD(CZ$1-Units!$Q53,12)=0),IF(AND(Units!$L53=1,CZ$1=Units!$Q53),1,Inputs!$B$15)*Inputs!$B$16*(1+Inputs!$B$11)^(CZ$2-1),0)</f>
        <v>0</v>
      </c>
      <c r="DA54" s="11" t="n">
        <f aca="false">IF(AND(DA$1&gt;=Units!$Q53,MOD(DA$1-Units!$Q53,12)=0),IF(AND(Units!$L53=1,DA$1=Units!$Q53),1,Inputs!$B$15)*Inputs!$B$16*(1+Inputs!$B$11)^(DA$2-1),0)</f>
        <v>0</v>
      </c>
      <c r="DB54" s="11" t="n">
        <f aca="false">IF(AND(DB$1&gt;=Units!$Q53,MOD(DB$1-Units!$Q53,12)=0),IF(AND(Units!$L53=1,DB$1=Units!$Q53),1,Inputs!$B$15)*Inputs!$B$16*(1+Inputs!$B$11)^(DB$2-1),0)</f>
        <v>0</v>
      </c>
      <c r="DC54" s="11" t="n">
        <f aca="false">IF(AND(DC$1&gt;=Units!$Q53,MOD(DC$1-Units!$Q53,12)=0),IF(AND(Units!$L53=1,DC$1=Units!$Q53),1,Inputs!$B$15)*Inputs!$B$16*(1+Inputs!$B$11)^(DC$2-1),0)</f>
        <v>0</v>
      </c>
      <c r="DD54" s="11" t="n">
        <f aca="false">IF(AND(DD$1&gt;=Units!$Q53,MOD(DD$1-Units!$Q53,12)=0),IF(AND(Units!$L53=1,DD$1=Units!$Q53),1,Inputs!$B$15)*Inputs!$B$16*(1+Inputs!$B$11)^(DD$2-1),0)</f>
        <v>0</v>
      </c>
      <c r="DE54" s="11" t="n">
        <f aca="false">IF(AND(DE$1&gt;=Units!$Q53,MOD(DE$1-Units!$Q53,12)=0),IF(AND(Units!$L53=1,DE$1=Units!$Q53),1,Inputs!$B$15)*Inputs!$B$16*(1+Inputs!$B$11)^(DE$2-1),0)</f>
        <v>0</v>
      </c>
      <c r="DF54" s="11" t="n">
        <f aca="false">IF(AND(DF$1&gt;=Units!$Q53,MOD(DF$1-Units!$Q53,12)=0),IF(AND(Units!$L53=1,DF$1=Units!$Q53),1,Inputs!$B$15)*Inputs!$B$16*(1+Inputs!$B$11)^(DF$2-1),0)</f>
        <v>0</v>
      </c>
      <c r="DG54" s="11" t="n">
        <f aca="false">IF(AND(DG$1&gt;=Units!$Q53,MOD(DG$1-Units!$Q53,12)=0),IF(AND(Units!$L53=1,DG$1=Units!$Q53),1,Inputs!$B$15)*Inputs!$B$16*(1+Inputs!$B$11)^(DG$2-1),0)</f>
        <v>652.386591914623</v>
      </c>
      <c r="DH54" s="11" t="n">
        <f aca="false">IF(AND(DH$1&gt;=Units!$Q53,MOD(DH$1-Units!$Q53,12)=0),IF(AND(Units!$L53=1,DH$1=Units!$Q53),1,Inputs!$B$15)*Inputs!$B$16*(1+Inputs!$B$11)^(DH$2-1),0)</f>
        <v>0</v>
      </c>
      <c r="DI54" s="11" t="n">
        <f aca="false">IF(AND(DI$1&gt;=Units!$Q53,MOD(DI$1-Units!$Q53,12)=0),IF(AND(Units!$L53=1,DI$1=Units!$Q53),1,Inputs!$B$15)*Inputs!$B$16*(1+Inputs!$B$11)^(DI$2-1),0)</f>
        <v>0</v>
      </c>
      <c r="DJ54" s="11" t="n">
        <f aca="false">IF(AND(DJ$1&gt;=Units!$Q53,MOD(DJ$1-Units!$Q53,12)=0),IF(AND(Units!$L53=1,DJ$1=Units!$Q53),1,Inputs!$B$15)*Inputs!$B$16*(1+Inputs!$B$11)^(DJ$2-1),0)</f>
        <v>0</v>
      </c>
      <c r="DK54" s="11" t="n">
        <f aca="false">IF(AND(DK$1&gt;=Units!$Q53,MOD(DK$1-Units!$Q53,12)=0),IF(AND(Units!$L53=1,DK$1=Units!$Q53),1,Inputs!$B$15)*Inputs!$B$16*(1+Inputs!$B$11)^(DK$2-1),0)</f>
        <v>0</v>
      </c>
      <c r="DL54" s="11" t="n">
        <f aca="false">IF(AND(DL$1&gt;=Units!$Q53,MOD(DL$1-Units!$Q53,12)=0),IF(AND(Units!$L53=1,DL$1=Units!$Q53),1,Inputs!$B$15)*Inputs!$B$16*(1+Inputs!$B$11)^(DL$2-1),0)</f>
        <v>0</v>
      </c>
      <c r="DM54" s="11" t="n">
        <f aca="false">IF(AND(DM$1&gt;=Units!$Q53,MOD(DM$1-Units!$Q53,12)=0),IF(AND(Units!$L53=1,DM$1=Units!$Q53),1,Inputs!$B$15)*Inputs!$B$16*(1+Inputs!$B$11)^(DM$2-1),0)</f>
        <v>0</v>
      </c>
      <c r="DN54" s="11" t="n">
        <f aca="false">IF(AND(DN$1&gt;=Units!$Q53,MOD(DN$1-Units!$Q53,12)=0),IF(AND(Units!$L53=1,DN$1=Units!$Q53),1,Inputs!$B$15)*Inputs!$B$16*(1+Inputs!$B$11)^(DN$2-1),0)</f>
        <v>0</v>
      </c>
      <c r="DO54" s="11" t="n">
        <f aca="false">IF(AND(DO$1&gt;=Units!$Q53,MOD(DO$1-Units!$Q53,12)=0),IF(AND(Units!$L53=1,DO$1=Units!$Q53),1,Inputs!$B$15)*Inputs!$B$16*(1+Inputs!$B$11)^(DO$2-1),0)</f>
        <v>0</v>
      </c>
      <c r="DP54" s="11" t="n">
        <f aca="false">IF(AND(DP$1&gt;=Units!$Q53,MOD(DP$1-Units!$Q53,12)=0),IF(AND(Units!$L53=1,DP$1=Units!$Q53),1,Inputs!$B$15)*Inputs!$B$16*(1+Inputs!$B$11)^(DP$2-1),0)</f>
        <v>0</v>
      </c>
      <c r="DQ54" s="11" t="n">
        <f aca="false">IF(AND(DQ$1&gt;=Units!$Q53,MOD(DQ$1-Units!$Q53,12)=0),IF(AND(Units!$L53=1,DQ$1=Units!$Q53),1,Inputs!$B$15)*Inputs!$B$16*(1+Inputs!$B$11)^(DQ$2-1),0)</f>
        <v>0</v>
      </c>
      <c r="DR54" s="11" t="n">
        <f aca="false">IF(AND(DR$1&gt;=Units!$Q53,MOD(DR$1-Units!$Q53,12)=0),IF(AND(Units!$L53=1,DR$1=Units!$Q53),1,Inputs!$B$15)*Inputs!$B$16*(1+Inputs!$B$11)^(DR$2-1),0)</f>
        <v>0</v>
      </c>
      <c r="DS54" s="11" t="n">
        <f aca="false">IF(AND(DS$1&gt;=Units!$Q53,MOD(DS$1-Units!$Q53,12)=0),IF(AND(Units!$L53=1,DS$1=Units!$Q53),1,Inputs!$B$15)*Inputs!$B$16*(1+Inputs!$B$11)^(DS$2-1),0)</f>
        <v>671.958189672061</v>
      </c>
      <c r="DT54" s="11" t="n">
        <f aca="false">IF(AND(DT$1&gt;=Units!$Q53,MOD(DT$1-Units!$Q53,12)=0),IF(AND(Units!$L53=1,DT$1=Units!$Q53),1,Inputs!$B$15)*Inputs!$B$16*(1+Inputs!$B$11)^(DT$2-1),0)</f>
        <v>0</v>
      </c>
      <c r="DU54" s="11" t="n">
        <f aca="false">IF(AND(DU$1&gt;=Units!$Q53,MOD(DU$1-Units!$Q53,12)=0),IF(AND(Units!$L53=1,DU$1=Units!$Q53),1,Inputs!$B$15)*Inputs!$B$16*(1+Inputs!$B$11)^(DU$2-1),0)</f>
        <v>0</v>
      </c>
      <c r="DV54" s="11" t="n">
        <f aca="false">IF(AND(DV$1&gt;=Units!$Q53,MOD(DV$1-Units!$Q53,12)=0),IF(AND(Units!$L53=1,DV$1=Units!$Q53),1,Inputs!$B$15)*Inputs!$B$16*(1+Inputs!$B$11)^(DV$2-1),0)</f>
        <v>0</v>
      </c>
      <c r="DW54" s="11" t="n">
        <f aca="false">IF(AND(DW$1&gt;=Units!$Q53,MOD(DW$1-Units!$Q53,12)=0),IF(AND(Units!$L53=1,DW$1=Units!$Q53),1,Inputs!$B$15)*Inputs!$B$16*(1+Inputs!$B$11)^(DW$2-1),0)</f>
        <v>0</v>
      </c>
      <c r="DX54" s="11" t="n">
        <f aca="false">IF(AND(DX$1&gt;=Units!$Q53,MOD(DX$1-Units!$Q53,12)=0),IF(AND(Units!$L53=1,DX$1=Units!$Q53),1,Inputs!$B$15)*Inputs!$B$16*(1+Inputs!$B$11)^(DX$2-1),0)</f>
        <v>0</v>
      </c>
      <c r="DY54" s="11" t="n">
        <f aca="false">IF(AND(DY$1&gt;=Units!$Q53,MOD(DY$1-Units!$Q53,12)=0),IF(AND(Units!$L53=1,DY$1=Units!$Q53),1,Inputs!$B$15)*Inputs!$B$16*(1+Inputs!$B$11)^(DY$2-1),0)</f>
        <v>0</v>
      </c>
      <c r="DZ54" s="11" t="n">
        <f aca="false">IF(AND(DZ$1&gt;=Units!$Q53,MOD(DZ$1-Units!$Q53,12)=0),IF(AND(Units!$L53=1,DZ$1=Units!$Q53),1,Inputs!$B$15)*Inputs!$B$16*(1+Inputs!$B$11)^(DZ$2-1),0)</f>
        <v>0</v>
      </c>
      <c r="EA54" s="11" t="n">
        <f aca="false">IF(AND(EA$1&gt;=Units!$Q53,MOD(EA$1-Units!$Q53,12)=0),IF(AND(Units!$L53=1,EA$1=Units!$Q53),1,Inputs!$B$15)*Inputs!$B$16*(1+Inputs!$B$11)^(EA$2-1),0)</f>
        <v>0</v>
      </c>
      <c r="EB54" s="11" t="n">
        <f aca="false">IF(AND(EB$1&gt;=Units!$Q53,MOD(EB$1-Units!$Q53,12)=0),IF(AND(Units!$L53=1,EB$1=Units!$Q53),1,Inputs!$B$15)*Inputs!$B$16*(1+Inputs!$B$11)^(EB$2-1),0)</f>
        <v>0</v>
      </c>
      <c r="EC54" s="11" t="n">
        <f aca="false">IF(AND(EC$1&gt;=Units!$Q53,MOD(EC$1-Units!$Q53,12)=0),IF(AND(Units!$L53=1,EC$1=Units!$Q53),1,Inputs!$B$15)*Inputs!$B$16*(1+Inputs!$B$11)^(EC$2-1),0)</f>
        <v>0</v>
      </c>
      <c r="ED54" s="11" t="n">
        <f aca="false">IF(AND(ED$1&gt;=Units!$Q53,MOD(ED$1-Units!$Q53,12)=0),IF(AND(Units!$L53=1,ED$1=Units!$Q53),1,Inputs!$B$15)*Inputs!$B$16*(1+Inputs!$B$11)^(ED$2-1),0)</f>
        <v>0</v>
      </c>
    </row>
    <row r="55" customFormat="false" ht="15" hidden="false" customHeight="false" outlineLevel="0" collapsed="false">
      <c r="A55" s="22" t="n">
        <f aca="false">Units!A54</f>
        <v>223</v>
      </c>
      <c r="B55" s="23"/>
      <c r="C55" s="11" t="n">
        <f aca="false">IF(AND(C$1&gt;=Units!$Q54,MOD(C$1-Units!$Q54,12)=0),IF(AND(Units!$L54=1,C$1=Units!$Q54),1,Inputs!$B$15)*Inputs!$B$16*(1+Inputs!$B$11)^(C$2-1),0)</f>
        <v>0</v>
      </c>
      <c r="D55" s="11" t="n">
        <f aca="false">IF(AND(D$1&gt;=Units!$Q54,MOD(D$1-Units!$Q54,12)=0),IF(AND(Units!$L54=1,D$1=Units!$Q54),1,Inputs!$B$15)*Inputs!$B$16*(1+Inputs!$B$11)^(D$2-1),0)</f>
        <v>0</v>
      </c>
      <c r="E55" s="11" t="n">
        <f aca="false">IF(AND(E$1&gt;=Units!$Q54,MOD(E$1-Units!$Q54,12)=0),IF(AND(Units!$L54=1,E$1=Units!$Q54),1,Inputs!$B$15)*Inputs!$B$16*(1+Inputs!$B$11)^(E$2-1),0)</f>
        <v>0</v>
      </c>
      <c r="F55" s="11" t="n">
        <f aca="false">IF(AND(F$1&gt;=Units!$Q54,MOD(F$1-Units!$Q54,12)=0),IF(AND(Units!$L54=1,F$1=Units!$Q54),1,Inputs!$B$15)*Inputs!$B$16*(1+Inputs!$B$11)^(F$2-1),0)</f>
        <v>0</v>
      </c>
      <c r="G55" s="11" t="n">
        <f aca="false">IF(AND(G$1&gt;=Units!$Q54,MOD(G$1-Units!$Q54,12)=0),IF(AND(Units!$L54=1,G$1=Units!$Q54),1,Inputs!$B$15)*Inputs!$B$16*(1+Inputs!$B$11)^(G$2-1),0)</f>
        <v>0</v>
      </c>
      <c r="H55" s="11" t="n">
        <f aca="false">IF(AND(H$1&gt;=Units!$Q54,MOD(H$1-Units!$Q54,12)=0),IF(AND(Units!$L54=1,H$1=Units!$Q54),1,Inputs!$B$15)*Inputs!$B$16*(1+Inputs!$B$11)^(H$2-1),0)</f>
        <v>0</v>
      </c>
      <c r="I55" s="11" t="n">
        <f aca="false">IF(AND(I$1&gt;=Units!$Q54,MOD(I$1-Units!$Q54,12)=0),IF(AND(Units!$L54=1,I$1=Units!$Q54),1,Inputs!$B$15)*Inputs!$B$16*(1+Inputs!$B$11)^(I$2-1),0)</f>
        <v>0</v>
      </c>
      <c r="J55" s="11" t="n">
        <f aca="false">IF(AND(J$1&gt;=Units!$Q54,MOD(J$1-Units!$Q54,12)=0),IF(AND(Units!$L54=1,J$1=Units!$Q54),1,Inputs!$B$15)*Inputs!$B$16*(1+Inputs!$B$11)^(J$2-1),0)</f>
        <v>0</v>
      </c>
      <c r="K55" s="11" t="n">
        <f aca="false">IF(AND(K$1&gt;=Units!$Q54,MOD(K$1-Units!$Q54,12)=0),IF(AND(Units!$L54=1,K$1=Units!$Q54),1,Inputs!$B$15)*Inputs!$B$16*(1+Inputs!$B$11)^(K$2-1),0)</f>
        <v>0</v>
      </c>
      <c r="L55" s="11" t="n">
        <f aca="false">IF(AND(L$1&gt;=Units!$Q54,MOD(L$1-Units!$Q54,12)=0),IF(AND(Units!$L54=1,L$1=Units!$Q54),1,Inputs!$B$15)*Inputs!$B$16*(1+Inputs!$B$11)^(L$2-1),0)</f>
        <v>500</v>
      </c>
      <c r="M55" s="11" t="n">
        <f aca="false">IF(AND(M$1&gt;=Units!$Q54,MOD(M$1-Units!$Q54,12)=0),IF(AND(Units!$L54=1,M$1=Units!$Q54),1,Inputs!$B$15)*Inputs!$B$16*(1+Inputs!$B$11)^(M$2-1),0)</f>
        <v>0</v>
      </c>
      <c r="N55" s="11" t="n">
        <f aca="false">IF(AND(N$1&gt;=Units!$Q54,MOD(N$1-Units!$Q54,12)=0),IF(AND(Units!$L54=1,N$1=Units!$Q54),1,Inputs!$B$15)*Inputs!$B$16*(1+Inputs!$B$11)^(N$2-1),0)</f>
        <v>0</v>
      </c>
      <c r="O55" s="11" t="n">
        <f aca="false">IF(AND(O$1&gt;=Units!$Q54,MOD(O$1-Units!$Q54,12)=0),IF(AND(Units!$L54=1,O$1=Units!$Q54),1,Inputs!$B$15)*Inputs!$B$16*(1+Inputs!$B$11)^(O$2-1),0)</f>
        <v>0</v>
      </c>
      <c r="P55" s="11" t="n">
        <f aca="false">IF(AND(P$1&gt;=Units!$Q54,MOD(P$1-Units!$Q54,12)=0),IF(AND(Units!$L54=1,P$1=Units!$Q54),1,Inputs!$B$15)*Inputs!$B$16*(1+Inputs!$B$11)^(P$2-1),0)</f>
        <v>0</v>
      </c>
      <c r="Q55" s="11" t="n">
        <f aca="false">IF(AND(Q$1&gt;=Units!$Q54,MOD(Q$1-Units!$Q54,12)=0),IF(AND(Units!$L54=1,Q$1=Units!$Q54),1,Inputs!$B$15)*Inputs!$B$16*(1+Inputs!$B$11)^(Q$2-1),0)</f>
        <v>0</v>
      </c>
      <c r="R55" s="11" t="n">
        <f aca="false">IF(AND(R$1&gt;=Units!$Q54,MOD(R$1-Units!$Q54,12)=0),IF(AND(Units!$L54=1,R$1=Units!$Q54),1,Inputs!$B$15)*Inputs!$B$16*(1+Inputs!$B$11)^(R$2-1),0)</f>
        <v>0</v>
      </c>
      <c r="S55" s="11" t="n">
        <f aca="false">IF(AND(S$1&gt;=Units!$Q54,MOD(S$1-Units!$Q54,12)=0),IF(AND(Units!$L54=1,S$1=Units!$Q54),1,Inputs!$B$15)*Inputs!$B$16*(1+Inputs!$B$11)^(S$2-1),0)</f>
        <v>0</v>
      </c>
      <c r="T55" s="11" t="n">
        <f aca="false">IF(AND(T$1&gt;=Units!$Q54,MOD(T$1-Units!$Q54,12)=0),IF(AND(Units!$L54=1,T$1=Units!$Q54),1,Inputs!$B$15)*Inputs!$B$16*(1+Inputs!$B$11)^(T$2-1),0)</f>
        <v>0</v>
      </c>
      <c r="U55" s="11" t="n">
        <f aca="false">IF(AND(U$1&gt;=Units!$Q54,MOD(U$1-Units!$Q54,12)=0),IF(AND(Units!$L54=1,U$1=Units!$Q54),1,Inputs!$B$15)*Inputs!$B$16*(1+Inputs!$B$11)^(U$2-1),0)</f>
        <v>0</v>
      </c>
      <c r="V55" s="11" t="n">
        <f aca="false">IF(AND(V$1&gt;=Units!$Q54,MOD(V$1-Units!$Q54,12)=0),IF(AND(Units!$L54=1,V$1=Units!$Q54),1,Inputs!$B$15)*Inputs!$B$16*(1+Inputs!$B$11)^(V$2-1),0)</f>
        <v>0</v>
      </c>
      <c r="W55" s="11" t="n">
        <f aca="false">IF(AND(W$1&gt;=Units!$Q54,MOD(W$1-Units!$Q54,12)=0),IF(AND(Units!$L54=1,W$1=Units!$Q54),1,Inputs!$B$15)*Inputs!$B$16*(1+Inputs!$B$11)^(W$2-1),0)</f>
        <v>0</v>
      </c>
      <c r="X55" s="11" t="n">
        <f aca="false">IF(AND(X$1&gt;=Units!$Q54,MOD(X$1-Units!$Q54,12)=0),IF(AND(Units!$L54=1,X$1=Units!$Q54),1,Inputs!$B$15)*Inputs!$B$16*(1+Inputs!$B$11)^(X$2-1),0)</f>
        <v>515</v>
      </c>
      <c r="Y55" s="11" t="n">
        <f aca="false">IF(AND(Y$1&gt;=Units!$Q54,MOD(Y$1-Units!$Q54,12)=0),IF(AND(Units!$L54=1,Y$1=Units!$Q54),1,Inputs!$B$15)*Inputs!$B$16*(1+Inputs!$B$11)^(Y$2-1),0)</f>
        <v>0</v>
      </c>
      <c r="Z55" s="11" t="n">
        <f aca="false">IF(AND(Z$1&gt;=Units!$Q54,MOD(Z$1-Units!$Q54,12)=0),IF(AND(Units!$L54=1,Z$1=Units!$Q54),1,Inputs!$B$15)*Inputs!$B$16*(1+Inputs!$B$11)^(Z$2-1),0)</f>
        <v>0</v>
      </c>
      <c r="AA55" s="11" t="n">
        <f aca="false">IF(AND(AA$1&gt;=Units!$Q54,MOD(AA$1-Units!$Q54,12)=0),IF(AND(Units!$L54=1,AA$1=Units!$Q54),1,Inputs!$B$15)*Inputs!$B$16*(1+Inputs!$B$11)^(AA$2-1),0)</f>
        <v>0</v>
      </c>
      <c r="AB55" s="11" t="n">
        <f aca="false">IF(AND(AB$1&gt;=Units!$Q54,MOD(AB$1-Units!$Q54,12)=0),IF(AND(Units!$L54=1,AB$1=Units!$Q54),1,Inputs!$B$15)*Inputs!$B$16*(1+Inputs!$B$11)^(AB$2-1),0)</f>
        <v>0</v>
      </c>
      <c r="AC55" s="11" t="n">
        <f aca="false">IF(AND(AC$1&gt;=Units!$Q54,MOD(AC$1-Units!$Q54,12)=0),IF(AND(Units!$L54=1,AC$1=Units!$Q54),1,Inputs!$B$15)*Inputs!$B$16*(1+Inputs!$B$11)^(AC$2-1),0)</f>
        <v>0</v>
      </c>
      <c r="AD55" s="11" t="n">
        <f aca="false">IF(AND(AD$1&gt;=Units!$Q54,MOD(AD$1-Units!$Q54,12)=0),IF(AND(Units!$L54=1,AD$1=Units!$Q54),1,Inputs!$B$15)*Inputs!$B$16*(1+Inputs!$B$11)^(AD$2-1),0)</f>
        <v>0</v>
      </c>
      <c r="AE55" s="11" t="n">
        <f aca="false">IF(AND(AE$1&gt;=Units!$Q54,MOD(AE$1-Units!$Q54,12)=0),IF(AND(Units!$L54=1,AE$1=Units!$Q54),1,Inputs!$B$15)*Inputs!$B$16*(1+Inputs!$B$11)^(AE$2-1),0)</f>
        <v>0</v>
      </c>
      <c r="AF55" s="11" t="n">
        <f aca="false">IF(AND(AF$1&gt;=Units!$Q54,MOD(AF$1-Units!$Q54,12)=0),IF(AND(Units!$L54=1,AF$1=Units!$Q54),1,Inputs!$B$15)*Inputs!$B$16*(1+Inputs!$B$11)^(AF$2-1),0)</f>
        <v>0</v>
      </c>
      <c r="AG55" s="11" t="n">
        <f aca="false">IF(AND(AG$1&gt;=Units!$Q54,MOD(AG$1-Units!$Q54,12)=0),IF(AND(Units!$L54=1,AG$1=Units!$Q54),1,Inputs!$B$15)*Inputs!$B$16*(1+Inputs!$B$11)^(AG$2-1),0)</f>
        <v>0</v>
      </c>
      <c r="AH55" s="11" t="n">
        <f aca="false">IF(AND(AH$1&gt;=Units!$Q54,MOD(AH$1-Units!$Q54,12)=0),IF(AND(Units!$L54=1,AH$1=Units!$Q54),1,Inputs!$B$15)*Inputs!$B$16*(1+Inputs!$B$11)^(AH$2-1),0)</f>
        <v>0</v>
      </c>
      <c r="AI55" s="11" t="n">
        <f aca="false">IF(AND(AI$1&gt;=Units!$Q54,MOD(AI$1-Units!$Q54,12)=0),IF(AND(Units!$L54=1,AI$1=Units!$Q54),1,Inputs!$B$15)*Inputs!$B$16*(1+Inputs!$B$11)^(AI$2-1),0)</f>
        <v>0</v>
      </c>
      <c r="AJ55" s="11" t="n">
        <f aca="false">IF(AND(AJ$1&gt;=Units!$Q54,MOD(AJ$1-Units!$Q54,12)=0),IF(AND(Units!$L54=1,AJ$1=Units!$Q54),1,Inputs!$B$15)*Inputs!$B$16*(1+Inputs!$B$11)^(AJ$2-1),0)</f>
        <v>530.45</v>
      </c>
      <c r="AK55" s="11" t="n">
        <f aca="false">IF(AND(AK$1&gt;=Units!$Q54,MOD(AK$1-Units!$Q54,12)=0),IF(AND(Units!$L54=1,AK$1=Units!$Q54),1,Inputs!$B$15)*Inputs!$B$16*(1+Inputs!$B$11)^(AK$2-1),0)</f>
        <v>0</v>
      </c>
      <c r="AL55" s="11" t="n">
        <f aca="false">IF(AND(AL$1&gt;=Units!$Q54,MOD(AL$1-Units!$Q54,12)=0),IF(AND(Units!$L54=1,AL$1=Units!$Q54),1,Inputs!$B$15)*Inputs!$B$16*(1+Inputs!$B$11)^(AL$2-1),0)</f>
        <v>0</v>
      </c>
      <c r="AM55" s="11" t="n">
        <f aca="false">IF(AND(AM$1&gt;=Units!$Q54,MOD(AM$1-Units!$Q54,12)=0),IF(AND(Units!$L54=1,AM$1=Units!$Q54),1,Inputs!$B$15)*Inputs!$B$16*(1+Inputs!$B$11)^(AM$2-1),0)</f>
        <v>0</v>
      </c>
      <c r="AN55" s="11" t="n">
        <f aca="false">IF(AND(AN$1&gt;=Units!$Q54,MOD(AN$1-Units!$Q54,12)=0),IF(AND(Units!$L54=1,AN$1=Units!$Q54),1,Inputs!$B$15)*Inputs!$B$16*(1+Inputs!$B$11)^(AN$2-1),0)</f>
        <v>0</v>
      </c>
      <c r="AO55" s="11" t="n">
        <f aca="false">IF(AND(AO$1&gt;=Units!$Q54,MOD(AO$1-Units!$Q54,12)=0),IF(AND(Units!$L54=1,AO$1=Units!$Q54),1,Inputs!$B$15)*Inputs!$B$16*(1+Inputs!$B$11)^(AO$2-1),0)</f>
        <v>0</v>
      </c>
      <c r="AP55" s="11" t="n">
        <f aca="false">IF(AND(AP$1&gt;=Units!$Q54,MOD(AP$1-Units!$Q54,12)=0),IF(AND(Units!$L54=1,AP$1=Units!$Q54),1,Inputs!$B$15)*Inputs!$B$16*(1+Inputs!$B$11)^(AP$2-1),0)</f>
        <v>0</v>
      </c>
      <c r="AQ55" s="11" t="n">
        <f aca="false">IF(AND(AQ$1&gt;=Units!$Q54,MOD(AQ$1-Units!$Q54,12)=0),IF(AND(Units!$L54=1,AQ$1=Units!$Q54),1,Inputs!$B$15)*Inputs!$B$16*(1+Inputs!$B$11)^(AQ$2-1),0)</f>
        <v>0</v>
      </c>
      <c r="AR55" s="11" t="n">
        <f aca="false">IF(AND(AR$1&gt;=Units!$Q54,MOD(AR$1-Units!$Q54,12)=0),IF(AND(Units!$L54=1,AR$1=Units!$Q54),1,Inputs!$B$15)*Inputs!$B$16*(1+Inputs!$B$11)^(AR$2-1),0)</f>
        <v>0</v>
      </c>
      <c r="AS55" s="11" t="n">
        <f aca="false">IF(AND(AS$1&gt;=Units!$Q54,MOD(AS$1-Units!$Q54,12)=0),IF(AND(Units!$L54=1,AS$1=Units!$Q54),1,Inputs!$B$15)*Inputs!$B$16*(1+Inputs!$B$11)^(AS$2-1),0)</f>
        <v>0</v>
      </c>
      <c r="AT55" s="11" t="n">
        <f aca="false">IF(AND(AT$1&gt;=Units!$Q54,MOD(AT$1-Units!$Q54,12)=0),IF(AND(Units!$L54=1,AT$1=Units!$Q54),1,Inputs!$B$15)*Inputs!$B$16*(1+Inputs!$B$11)^(AT$2-1),0)</f>
        <v>0</v>
      </c>
      <c r="AU55" s="11" t="n">
        <f aca="false">IF(AND(AU$1&gt;=Units!$Q54,MOD(AU$1-Units!$Q54,12)=0),IF(AND(Units!$L54=1,AU$1=Units!$Q54),1,Inputs!$B$15)*Inputs!$B$16*(1+Inputs!$B$11)^(AU$2-1),0)</f>
        <v>0</v>
      </c>
      <c r="AV55" s="11" t="n">
        <f aca="false">IF(AND(AV$1&gt;=Units!$Q54,MOD(AV$1-Units!$Q54,12)=0),IF(AND(Units!$L54=1,AV$1=Units!$Q54),1,Inputs!$B$15)*Inputs!$B$16*(1+Inputs!$B$11)^(AV$2-1),0)</f>
        <v>546.3635</v>
      </c>
      <c r="AW55" s="11" t="n">
        <f aca="false">IF(AND(AW$1&gt;=Units!$Q54,MOD(AW$1-Units!$Q54,12)=0),IF(AND(Units!$L54=1,AW$1=Units!$Q54),1,Inputs!$B$15)*Inputs!$B$16*(1+Inputs!$B$11)^(AW$2-1),0)</f>
        <v>0</v>
      </c>
      <c r="AX55" s="11" t="n">
        <f aca="false">IF(AND(AX$1&gt;=Units!$Q54,MOD(AX$1-Units!$Q54,12)=0),IF(AND(Units!$L54=1,AX$1=Units!$Q54),1,Inputs!$B$15)*Inputs!$B$16*(1+Inputs!$B$11)^(AX$2-1),0)</f>
        <v>0</v>
      </c>
      <c r="AY55" s="11" t="n">
        <f aca="false">IF(AND(AY$1&gt;=Units!$Q54,MOD(AY$1-Units!$Q54,12)=0),IF(AND(Units!$L54=1,AY$1=Units!$Q54),1,Inputs!$B$15)*Inputs!$B$16*(1+Inputs!$B$11)^(AY$2-1),0)</f>
        <v>0</v>
      </c>
      <c r="AZ55" s="11" t="n">
        <f aca="false">IF(AND(AZ$1&gt;=Units!$Q54,MOD(AZ$1-Units!$Q54,12)=0),IF(AND(Units!$L54=1,AZ$1=Units!$Q54),1,Inputs!$B$15)*Inputs!$B$16*(1+Inputs!$B$11)^(AZ$2-1),0)</f>
        <v>0</v>
      </c>
      <c r="BA55" s="11" t="n">
        <f aca="false">IF(AND(BA$1&gt;=Units!$Q54,MOD(BA$1-Units!$Q54,12)=0),IF(AND(Units!$L54=1,BA$1=Units!$Q54),1,Inputs!$B$15)*Inputs!$B$16*(1+Inputs!$B$11)^(BA$2-1),0)</f>
        <v>0</v>
      </c>
      <c r="BB55" s="11" t="n">
        <f aca="false">IF(AND(BB$1&gt;=Units!$Q54,MOD(BB$1-Units!$Q54,12)=0),IF(AND(Units!$L54=1,BB$1=Units!$Q54),1,Inputs!$B$15)*Inputs!$B$16*(1+Inputs!$B$11)^(BB$2-1),0)</f>
        <v>0</v>
      </c>
      <c r="BC55" s="11" t="n">
        <f aca="false">IF(AND(BC$1&gt;=Units!$Q54,MOD(BC$1-Units!$Q54,12)=0),IF(AND(Units!$L54=1,BC$1=Units!$Q54),1,Inputs!$B$15)*Inputs!$B$16*(1+Inputs!$B$11)^(BC$2-1),0)</f>
        <v>0</v>
      </c>
      <c r="BD55" s="11" t="n">
        <f aca="false">IF(AND(BD$1&gt;=Units!$Q54,MOD(BD$1-Units!$Q54,12)=0),IF(AND(Units!$L54=1,BD$1=Units!$Q54),1,Inputs!$B$15)*Inputs!$B$16*(1+Inputs!$B$11)^(BD$2-1),0)</f>
        <v>0</v>
      </c>
      <c r="BE55" s="11" t="n">
        <f aca="false">IF(AND(BE$1&gt;=Units!$Q54,MOD(BE$1-Units!$Q54,12)=0),IF(AND(Units!$L54=1,BE$1=Units!$Q54),1,Inputs!$B$15)*Inputs!$B$16*(1+Inputs!$B$11)^(BE$2-1),0)</f>
        <v>0</v>
      </c>
      <c r="BF55" s="11" t="n">
        <f aca="false">IF(AND(BF$1&gt;=Units!$Q54,MOD(BF$1-Units!$Q54,12)=0),IF(AND(Units!$L54=1,BF$1=Units!$Q54),1,Inputs!$B$15)*Inputs!$B$16*(1+Inputs!$B$11)^(BF$2-1),0)</f>
        <v>0</v>
      </c>
      <c r="BG55" s="11" t="n">
        <f aca="false">IF(AND(BG$1&gt;=Units!$Q54,MOD(BG$1-Units!$Q54,12)=0),IF(AND(Units!$L54=1,BG$1=Units!$Q54),1,Inputs!$B$15)*Inputs!$B$16*(1+Inputs!$B$11)^(BG$2-1),0)</f>
        <v>0</v>
      </c>
      <c r="BH55" s="11" t="n">
        <f aca="false">IF(AND(BH$1&gt;=Units!$Q54,MOD(BH$1-Units!$Q54,12)=0),IF(AND(Units!$L54=1,BH$1=Units!$Q54),1,Inputs!$B$15)*Inputs!$B$16*(1+Inputs!$B$11)^(BH$2-1),0)</f>
        <v>562.754405</v>
      </c>
      <c r="BI55" s="11" t="n">
        <f aca="false">IF(AND(BI$1&gt;=Units!$Q54,MOD(BI$1-Units!$Q54,12)=0),IF(AND(Units!$L54=1,BI$1=Units!$Q54),1,Inputs!$B$15)*Inputs!$B$16*(1+Inputs!$B$11)^(BI$2-1),0)</f>
        <v>0</v>
      </c>
      <c r="BJ55" s="11" t="n">
        <f aca="false">IF(AND(BJ$1&gt;=Units!$Q54,MOD(BJ$1-Units!$Q54,12)=0),IF(AND(Units!$L54=1,BJ$1=Units!$Q54),1,Inputs!$B$15)*Inputs!$B$16*(1+Inputs!$B$11)^(BJ$2-1),0)</f>
        <v>0</v>
      </c>
      <c r="BK55" s="11" t="n">
        <f aca="false">IF(AND(BK$1&gt;=Units!$Q54,MOD(BK$1-Units!$Q54,12)=0),IF(AND(Units!$L54=1,BK$1=Units!$Q54),1,Inputs!$B$15)*Inputs!$B$16*(1+Inputs!$B$11)^(BK$2-1),0)</f>
        <v>0</v>
      </c>
      <c r="BL55" s="11" t="n">
        <f aca="false">IF(AND(BL$1&gt;=Units!$Q54,MOD(BL$1-Units!$Q54,12)=0),IF(AND(Units!$L54=1,BL$1=Units!$Q54),1,Inputs!$B$15)*Inputs!$B$16*(1+Inputs!$B$11)^(BL$2-1),0)</f>
        <v>0</v>
      </c>
      <c r="BM55" s="11" t="n">
        <f aca="false">IF(AND(BM$1&gt;=Units!$Q54,MOD(BM$1-Units!$Q54,12)=0),IF(AND(Units!$L54=1,BM$1=Units!$Q54),1,Inputs!$B$15)*Inputs!$B$16*(1+Inputs!$B$11)^(BM$2-1),0)</f>
        <v>0</v>
      </c>
      <c r="BN55" s="11" t="n">
        <f aca="false">IF(AND(BN$1&gt;=Units!$Q54,MOD(BN$1-Units!$Q54,12)=0),IF(AND(Units!$L54=1,BN$1=Units!$Q54),1,Inputs!$B$15)*Inputs!$B$16*(1+Inputs!$B$11)^(BN$2-1),0)</f>
        <v>0</v>
      </c>
      <c r="BO55" s="11" t="n">
        <f aca="false">IF(AND(BO$1&gt;=Units!$Q54,MOD(BO$1-Units!$Q54,12)=0),IF(AND(Units!$L54=1,BO$1=Units!$Q54),1,Inputs!$B$15)*Inputs!$B$16*(1+Inputs!$B$11)^(BO$2-1),0)</f>
        <v>0</v>
      </c>
      <c r="BP55" s="11" t="n">
        <f aca="false">IF(AND(BP$1&gt;=Units!$Q54,MOD(BP$1-Units!$Q54,12)=0),IF(AND(Units!$L54=1,BP$1=Units!$Q54),1,Inputs!$B$15)*Inputs!$B$16*(1+Inputs!$B$11)^(BP$2-1),0)</f>
        <v>0</v>
      </c>
      <c r="BQ55" s="11" t="n">
        <f aca="false">IF(AND(BQ$1&gt;=Units!$Q54,MOD(BQ$1-Units!$Q54,12)=0),IF(AND(Units!$L54=1,BQ$1=Units!$Q54),1,Inputs!$B$15)*Inputs!$B$16*(1+Inputs!$B$11)^(BQ$2-1),0)</f>
        <v>0</v>
      </c>
      <c r="BR55" s="11" t="n">
        <f aca="false">IF(AND(BR$1&gt;=Units!$Q54,MOD(BR$1-Units!$Q54,12)=0),IF(AND(Units!$L54=1,BR$1=Units!$Q54),1,Inputs!$B$15)*Inputs!$B$16*(1+Inputs!$B$11)^(BR$2-1),0)</f>
        <v>0</v>
      </c>
      <c r="BS55" s="11" t="n">
        <f aca="false">IF(AND(BS$1&gt;=Units!$Q54,MOD(BS$1-Units!$Q54,12)=0),IF(AND(Units!$L54=1,BS$1=Units!$Q54),1,Inputs!$B$15)*Inputs!$B$16*(1+Inputs!$B$11)^(BS$2-1),0)</f>
        <v>0</v>
      </c>
      <c r="BT55" s="11" t="n">
        <f aca="false">IF(AND(BT$1&gt;=Units!$Q54,MOD(BT$1-Units!$Q54,12)=0),IF(AND(Units!$L54=1,BT$1=Units!$Q54),1,Inputs!$B$15)*Inputs!$B$16*(1+Inputs!$B$11)^(BT$2-1),0)</f>
        <v>579.63703715</v>
      </c>
      <c r="BU55" s="11" t="n">
        <f aca="false">IF(AND(BU$1&gt;=Units!$Q54,MOD(BU$1-Units!$Q54,12)=0),IF(AND(Units!$L54=1,BU$1=Units!$Q54),1,Inputs!$B$15)*Inputs!$B$16*(1+Inputs!$B$11)^(BU$2-1),0)</f>
        <v>0</v>
      </c>
      <c r="BV55" s="11" t="n">
        <f aca="false">IF(AND(BV$1&gt;=Units!$Q54,MOD(BV$1-Units!$Q54,12)=0),IF(AND(Units!$L54=1,BV$1=Units!$Q54),1,Inputs!$B$15)*Inputs!$B$16*(1+Inputs!$B$11)^(BV$2-1),0)</f>
        <v>0</v>
      </c>
      <c r="BW55" s="11" t="n">
        <f aca="false">IF(AND(BW$1&gt;=Units!$Q54,MOD(BW$1-Units!$Q54,12)=0),IF(AND(Units!$L54=1,BW$1=Units!$Q54),1,Inputs!$B$15)*Inputs!$B$16*(1+Inputs!$B$11)^(BW$2-1),0)</f>
        <v>0</v>
      </c>
      <c r="BX55" s="11" t="n">
        <f aca="false">IF(AND(BX$1&gt;=Units!$Q54,MOD(BX$1-Units!$Q54,12)=0),IF(AND(Units!$L54=1,BX$1=Units!$Q54),1,Inputs!$B$15)*Inputs!$B$16*(1+Inputs!$B$11)^(BX$2-1),0)</f>
        <v>0</v>
      </c>
      <c r="BY55" s="11" t="n">
        <f aca="false">IF(AND(BY$1&gt;=Units!$Q54,MOD(BY$1-Units!$Q54,12)=0),IF(AND(Units!$L54=1,BY$1=Units!$Q54),1,Inputs!$B$15)*Inputs!$B$16*(1+Inputs!$B$11)^(BY$2-1),0)</f>
        <v>0</v>
      </c>
      <c r="BZ55" s="11" t="n">
        <f aca="false">IF(AND(BZ$1&gt;=Units!$Q54,MOD(BZ$1-Units!$Q54,12)=0),IF(AND(Units!$L54=1,BZ$1=Units!$Q54),1,Inputs!$B$15)*Inputs!$B$16*(1+Inputs!$B$11)^(BZ$2-1),0)</f>
        <v>0</v>
      </c>
      <c r="CA55" s="11" t="n">
        <f aca="false">IF(AND(CA$1&gt;=Units!$Q54,MOD(CA$1-Units!$Q54,12)=0),IF(AND(Units!$L54=1,CA$1=Units!$Q54),1,Inputs!$B$15)*Inputs!$B$16*(1+Inputs!$B$11)^(CA$2-1),0)</f>
        <v>0</v>
      </c>
      <c r="CB55" s="11" t="n">
        <f aca="false">IF(AND(CB$1&gt;=Units!$Q54,MOD(CB$1-Units!$Q54,12)=0),IF(AND(Units!$L54=1,CB$1=Units!$Q54),1,Inputs!$B$15)*Inputs!$B$16*(1+Inputs!$B$11)^(CB$2-1),0)</f>
        <v>0</v>
      </c>
      <c r="CC55" s="11" t="n">
        <f aca="false">IF(AND(CC$1&gt;=Units!$Q54,MOD(CC$1-Units!$Q54,12)=0),IF(AND(Units!$L54=1,CC$1=Units!$Q54),1,Inputs!$B$15)*Inputs!$B$16*(1+Inputs!$B$11)^(CC$2-1),0)</f>
        <v>0</v>
      </c>
      <c r="CD55" s="11" t="n">
        <f aca="false">IF(AND(CD$1&gt;=Units!$Q54,MOD(CD$1-Units!$Q54,12)=0),IF(AND(Units!$L54=1,CD$1=Units!$Q54),1,Inputs!$B$15)*Inputs!$B$16*(1+Inputs!$B$11)^(CD$2-1),0)</f>
        <v>0</v>
      </c>
      <c r="CE55" s="11" t="n">
        <f aca="false">IF(AND(CE$1&gt;=Units!$Q54,MOD(CE$1-Units!$Q54,12)=0),IF(AND(Units!$L54=1,CE$1=Units!$Q54),1,Inputs!$B$15)*Inputs!$B$16*(1+Inputs!$B$11)^(CE$2-1),0)</f>
        <v>0</v>
      </c>
      <c r="CF55" s="11" t="n">
        <f aca="false">IF(AND(CF$1&gt;=Units!$Q54,MOD(CF$1-Units!$Q54,12)=0),IF(AND(Units!$L54=1,CF$1=Units!$Q54),1,Inputs!$B$15)*Inputs!$B$16*(1+Inputs!$B$11)^(CF$2-1),0)</f>
        <v>597.0261482645</v>
      </c>
      <c r="CG55" s="11" t="n">
        <f aca="false">IF(AND(CG$1&gt;=Units!$Q54,MOD(CG$1-Units!$Q54,12)=0),IF(AND(Units!$L54=1,CG$1=Units!$Q54),1,Inputs!$B$15)*Inputs!$B$16*(1+Inputs!$B$11)^(CG$2-1),0)</f>
        <v>0</v>
      </c>
      <c r="CH55" s="11" t="n">
        <f aca="false">IF(AND(CH$1&gt;=Units!$Q54,MOD(CH$1-Units!$Q54,12)=0),IF(AND(Units!$L54=1,CH$1=Units!$Q54),1,Inputs!$B$15)*Inputs!$B$16*(1+Inputs!$B$11)^(CH$2-1),0)</f>
        <v>0</v>
      </c>
      <c r="CI55" s="11" t="n">
        <f aca="false">IF(AND(CI$1&gt;=Units!$Q54,MOD(CI$1-Units!$Q54,12)=0),IF(AND(Units!$L54=1,CI$1=Units!$Q54),1,Inputs!$B$15)*Inputs!$B$16*(1+Inputs!$B$11)^(CI$2-1),0)</f>
        <v>0</v>
      </c>
      <c r="CJ55" s="11" t="n">
        <f aca="false">IF(AND(CJ$1&gt;=Units!$Q54,MOD(CJ$1-Units!$Q54,12)=0),IF(AND(Units!$L54=1,CJ$1=Units!$Q54),1,Inputs!$B$15)*Inputs!$B$16*(1+Inputs!$B$11)^(CJ$2-1),0)</f>
        <v>0</v>
      </c>
      <c r="CK55" s="11" t="n">
        <f aca="false">IF(AND(CK$1&gt;=Units!$Q54,MOD(CK$1-Units!$Q54,12)=0),IF(AND(Units!$L54=1,CK$1=Units!$Q54),1,Inputs!$B$15)*Inputs!$B$16*(1+Inputs!$B$11)^(CK$2-1),0)</f>
        <v>0</v>
      </c>
      <c r="CL55" s="11" t="n">
        <f aca="false">IF(AND(CL$1&gt;=Units!$Q54,MOD(CL$1-Units!$Q54,12)=0),IF(AND(Units!$L54=1,CL$1=Units!$Q54),1,Inputs!$B$15)*Inputs!$B$16*(1+Inputs!$B$11)^(CL$2-1),0)</f>
        <v>0</v>
      </c>
      <c r="CM55" s="11" t="n">
        <f aca="false">IF(AND(CM$1&gt;=Units!$Q54,MOD(CM$1-Units!$Q54,12)=0),IF(AND(Units!$L54=1,CM$1=Units!$Q54),1,Inputs!$B$15)*Inputs!$B$16*(1+Inputs!$B$11)^(CM$2-1),0)</f>
        <v>0</v>
      </c>
      <c r="CN55" s="11" t="n">
        <f aca="false">IF(AND(CN$1&gt;=Units!$Q54,MOD(CN$1-Units!$Q54,12)=0),IF(AND(Units!$L54=1,CN$1=Units!$Q54),1,Inputs!$B$15)*Inputs!$B$16*(1+Inputs!$B$11)^(CN$2-1),0)</f>
        <v>0</v>
      </c>
      <c r="CO55" s="11" t="n">
        <f aca="false">IF(AND(CO$1&gt;=Units!$Q54,MOD(CO$1-Units!$Q54,12)=0),IF(AND(Units!$L54=1,CO$1=Units!$Q54),1,Inputs!$B$15)*Inputs!$B$16*(1+Inputs!$B$11)^(CO$2-1),0)</f>
        <v>0</v>
      </c>
      <c r="CP55" s="11" t="n">
        <f aca="false">IF(AND(CP$1&gt;=Units!$Q54,MOD(CP$1-Units!$Q54,12)=0),IF(AND(Units!$L54=1,CP$1=Units!$Q54),1,Inputs!$B$15)*Inputs!$B$16*(1+Inputs!$B$11)^(CP$2-1),0)</f>
        <v>0</v>
      </c>
      <c r="CQ55" s="11" t="n">
        <f aca="false">IF(AND(CQ$1&gt;=Units!$Q54,MOD(CQ$1-Units!$Q54,12)=0),IF(AND(Units!$L54=1,CQ$1=Units!$Q54),1,Inputs!$B$15)*Inputs!$B$16*(1+Inputs!$B$11)^(CQ$2-1),0)</f>
        <v>0</v>
      </c>
      <c r="CR55" s="11" t="n">
        <f aca="false">IF(AND(CR$1&gt;=Units!$Q54,MOD(CR$1-Units!$Q54,12)=0),IF(AND(Units!$L54=1,CR$1=Units!$Q54),1,Inputs!$B$15)*Inputs!$B$16*(1+Inputs!$B$11)^(CR$2-1),0)</f>
        <v>614.936932712435</v>
      </c>
      <c r="CS55" s="11" t="n">
        <f aca="false">IF(AND(CS$1&gt;=Units!$Q54,MOD(CS$1-Units!$Q54,12)=0),IF(AND(Units!$L54=1,CS$1=Units!$Q54),1,Inputs!$B$15)*Inputs!$B$16*(1+Inputs!$B$11)^(CS$2-1),0)</f>
        <v>0</v>
      </c>
      <c r="CT55" s="11" t="n">
        <f aca="false">IF(AND(CT$1&gt;=Units!$Q54,MOD(CT$1-Units!$Q54,12)=0),IF(AND(Units!$L54=1,CT$1=Units!$Q54),1,Inputs!$B$15)*Inputs!$B$16*(1+Inputs!$B$11)^(CT$2-1),0)</f>
        <v>0</v>
      </c>
      <c r="CU55" s="11" t="n">
        <f aca="false">IF(AND(CU$1&gt;=Units!$Q54,MOD(CU$1-Units!$Q54,12)=0),IF(AND(Units!$L54=1,CU$1=Units!$Q54),1,Inputs!$B$15)*Inputs!$B$16*(1+Inputs!$B$11)^(CU$2-1),0)</f>
        <v>0</v>
      </c>
      <c r="CV55" s="11" t="n">
        <f aca="false">IF(AND(CV$1&gt;=Units!$Q54,MOD(CV$1-Units!$Q54,12)=0),IF(AND(Units!$L54=1,CV$1=Units!$Q54),1,Inputs!$B$15)*Inputs!$B$16*(1+Inputs!$B$11)^(CV$2-1),0)</f>
        <v>0</v>
      </c>
      <c r="CW55" s="11" t="n">
        <f aca="false">IF(AND(CW$1&gt;=Units!$Q54,MOD(CW$1-Units!$Q54,12)=0),IF(AND(Units!$L54=1,CW$1=Units!$Q54),1,Inputs!$B$15)*Inputs!$B$16*(1+Inputs!$B$11)^(CW$2-1),0)</f>
        <v>0</v>
      </c>
      <c r="CX55" s="11" t="n">
        <f aca="false">IF(AND(CX$1&gt;=Units!$Q54,MOD(CX$1-Units!$Q54,12)=0),IF(AND(Units!$L54=1,CX$1=Units!$Q54),1,Inputs!$B$15)*Inputs!$B$16*(1+Inputs!$B$11)^(CX$2-1),0)</f>
        <v>0</v>
      </c>
      <c r="CY55" s="11" t="n">
        <f aca="false">IF(AND(CY$1&gt;=Units!$Q54,MOD(CY$1-Units!$Q54,12)=0),IF(AND(Units!$L54=1,CY$1=Units!$Q54),1,Inputs!$B$15)*Inputs!$B$16*(1+Inputs!$B$11)^(CY$2-1),0)</f>
        <v>0</v>
      </c>
      <c r="CZ55" s="11" t="n">
        <f aca="false">IF(AND(CZ$1&gt;=Units!$Q54,MOD(CZ$1-Units!$Q54,12)=0),IF(AND(Units!$L54=1,CZ$1=Units!$Q54),1,Inputs!$B$15)*Inputs!$B$16*(1+Inputs!$B$11)^(CZ$2-1),0)</f>
        <v>0</v>
      </c>
      <c r="DA55" s="11" t="n">
        <f aca="false">IF(AND(DA$1&gt;=Units!$Q54,MOD(DA$1-Units!$Q54,12)=0),IF(AND(Units!$L54=1,DA$1=Units!$Q54),1,Inputs!$B$15)*Inputs!$B$16*(1+Inputs!$B$11)^(DA$2-1),0)</f>
        <v>0</v>
      </c>
      <c r="DB55" s="11" t="n">
        <f aca="false">IF(AND(DB$1&gt;=Units!$Q54,MOD(DB$1-Units!$Q54,12)=0),IF(AND(Units!$L54=1,DB$1=Units!$Q54),1,Inputs!$B$15)*Inputs!$B$16*(1+Inputs!$B$11)^(DB$2-1),0)</f>
        <v>0</v>
      </c>
      <c r="DC55" s="11" t="n">
        <f aca="false">IF(AND(DC$1&gt;=Units!$Q54,MOD(DC$1-Units!$Q54,12)=0),IF(AND(Units!$L54=1,DC$1=Units!$Q54),1,Inputs!$B$15)*Inputs!$B$16*(1+Inputs!$B$11)^(DC$2-1),0)</f>
        <v>0</v>
      </c>
      <c r="DD55" s="11" t="n">
        <f aca="false">IF(AND(DD$1&gt;=Units!$Q54,MOD(DD$1-Units!$Q54,12)=0),IF(AND(Units!$L54=1,DD$1=Units!$Q54),1,Inputs!$B$15)*Inputs!$B$16*(1+Inputs!$B$11)^(DD$2-1),0)</f>
        <v>633.385040693808</v>
      </c>
      <c r="DE55" s="11" t="n">
        <f aca="false">IF(AND(DE$1&gt;=Units!$Q54,MOD(DE$1-Units!$Q54,12)=0),IF(AND(Units!$L54=1,DE$1=Units!$Q54),1,Inputs!$B$15)*Inputs!$B$16*(1+Inputs!$B$11)^(DE$2-1),0)</f>
        <v>0</v>
      </c>
      <c r="DF55" s="11" t="n">
        <f aca="false">IF(AND(DF$1&gt;=Units!$Q54,MOD(DF$1-Units!$Q54,12)=0),IF(AND(Units!$L54=1,DF$1=Units!$Q54),1,Inputs!$B$15)*Inputs!$B$16*(1+Inputs!$B$11)^(DF$2-1),0)</f>
        <v>0</v>
      </c>
      <c r="DG55" s="11" t="n">
        <f aca="false">IF(AND(DG$1&gt;=Units!$Q54,MOD(DG$1-Units!$Q54,12)=0),IF(AND(Units!$L54=1,DG$1=Units!$Q54),1,Inputs!$B$15)*Inputs!$B$16*(1+Inputs!$B$11)^(DG$2-1),0)</f>
        <v>0</v>
      </c>
      <c r="DH55" s="11" t="n">
        <f aca="false">IF(AND(DH$1&gt;=Units!$Q54,MOD(DH$1-Units!$Q54,12)=0),IF(AND(Units!$L54=1,DH$1=Units!$Q54),1,Inputs!$B$15)*Inputs!$B$16*(1+Inputs!$B$11)^(DH$2-1),0)</f>
        <v>0</v>
      </c>
      <c r="DI55" s="11" t="n">
        <f aca="false">IF(AND(DI$1&gt;=Units!$Q54,MOD(DI$1-Units!$Q54,12)=0),IF(AND(Units!$L54=1,DI$1=Units!$Q54),1,Inputs!$B$15)*Inputs!$B$16*(1+Inputs!$B$11)^(DI$2-1),0)</f>
        <v>0</v>
      </c>
      <c r="DJ55" s="11" t="n">
        <f aca="false">IF(AND(DJ$1&gt;=Units!$Q54,MOD(DJ$1-Units!$Q54,12)=0),IF(AND(Units!$L54=1,DJ$1=Units!$Q54),1,Inputs!$B$15)*Inputs!$B$16*(1+Inputs!$B$11)^(DJ$2-1),0)</f>
        <v>0</v>
      </c>
      <c r="DK55" s="11" t="n">
        <f aca="false">IF(AND(DK$1&gt;=Units!$Q54,MOD(DK$1-Units!$Q54,12)=0),IF(AND(Units!$L54=1,DK$1=Units!$Q54),1,Inputs!$B$15)*Inputs!$B$16*(1+Inputs!$B$11)^(DK$2-1),0)</f>
        <v>0</v>
      </c>
      <c r="DL55" s="11" t="n">
        <f aca="false">IF(AND(DL$1&gt;=Units!$Q54,MOD(DL$1-Units!$Q54,12)=0),IF(AND(Units!$L54=1,DL$1=Units!$Q54),1,Inputs!$B$15)*Inputs!$B$16*(1+Inputs!$B$11)^(DL$2-1),0)</f>
        <v>0</v>
      </c>
      <c r="DM55" s="11" t="n">
        <f aca="false">IF(AND(DM$1&gt;=Units!$Q54,MOD(DM$1-Units!$Q54,12)=0),IF(AND(Units!$L54=1,DM$1=Units!$Q54),1,Inputs!$B$15)*Inputs!$B$16*(1+Inputs!$B$11)^(DM$2-1),0)</f>
        <v>0</v>
      </c>
      <c r="DN55" s="11" t="n">
        <f aca="false">IF(AND(DN$1&gt;=Units!$Q54,MOD(DN$1-Units!$Q54,12)=0),IF(AND(Units!$L54=1,DN$1=Units!$Q54),1,Inputs!$B$15)*Inputs!$B$16*(1+Inputs!$B$11)^(DN$2-1),0)</f>
        <v>0</v>
      </c>
      <c r="DO55" s="11" t="n">
        <f aca="false">IF(AND(DO$1&gt;=Units!$Q54,MOD(DO$1-Units!$Q54,12)=0),IF(AND(Units!$L54=1,DO$1=Units!$Q54),1,Inputs!$B$15)*Inputs!$B$16*(1+Inputs!$B$11)^(DO$2-1),0)</f>
        <v>0</v>
      </c>
      <c r="DP55" s="11" t="n">
        <f aca="false">IF(AND(DP$1&gt;=Units!$Q54,MOD(DP$1-Units!$Q54,12)=0),IF(AND(Units!$L54=1,DP$1=Units!$Q54),1,Inputs!$B$15)*Inputs!$B$16*(1+Inputs!$B$11)^(DP$2-1),0)</f>
        <v>652.386591914623</v>
      </c>
      <c r="DQ55" s="11" t="n">
        <f aca="false">IF(AND(DQ$1&gt;=Units!$Q54,MOD(DQ$1-Units!$Q54,12)=0),IF(AND(Units!$L54=1,DQ$1=Units!$Q54),1,Inputs!$B$15)*Inputs!$B$16*(1+Inputs!$B$11)^(DQ$2-1),0)</f>
        <v>0</v>
      </c>
      <c r="DR55" s="11" t="n">
        <f aca="false">IF(AND(DR$1&gt;=Units!$Q54,MOD(DR$1-Units!$Q54,12)=0),IF(AND(Units!$L54=1,DR$1=Units!$Q54),1,Inputs!$B$15)*Inputs!$B$16*(1+Inputs!$B$11)^(DR$2-1),0)</f>
        <v>0</v>
      </c>
      <c r="DS55" s="11" t="n">
        <f aca="false">IF(AND(DS$1&gt;=Units!$Q54,MOD(DS$1-Units!$Q54,12)=0),IF(AND(Units!$L54=1,DS$1=Units!$Q54),1,Inputs!$B$15)*Inputs!$B$16*(1+Inputs!$B$11)^(DS$2-1),0)</f>
        <v>0</v>
      </c>
      <c r="DT55" s="11" t="n">
        <f aca="false">IF(AND(DT$1&gt;=Units!$Q54,MOD(DT$1-Units!$Q54,12)=0),IF(AND(Units!$L54=1,DT$1=Units!$Q54),1,Inputs!$B$15)*Inputs!$B$16*(1+Inputs!$B$11)^(DT$2-1),0)</f>
        <v>0</v>
      </c>
      <c r="DU55" s="11" t="n">
        <f aca="false">IF(AND(DU$1&gt;=Units!$Q54,MOD(DU$1-Units!$Q54,12)=0),IF(AND(Units!$L54=1,DU$1=Units!$Q54),1,Inputs!$B$15)*Inputs!$B$16*(1+Inputs!$B$11)^(DU$2-1),0)</f>
        <v>0</v>
      </c>
      <c r="DV55" s="11" t="n">
        <f aca="false">IF(AND(DV$1&gt;=Units!$Q54,MOD(DV$1-Units!$Q54,12)=0),IF(AND(Units!$L54=1,DV$1=Units!$Q54),1,Inputs!$B$15)*Inputs!$B$16*(1+Inputs!$B$11)^(DV$2-1),0)</f>
        <v>0</v>
      </c>
      <c r="DW55" s="11" t="n">
        <f aca="false">IF(AND(DW$1&gt;=Units!$Q54,MOD(DW$1-Units!$Q54,12)=0),IF(AND(Units!$L54=1,DW$1=Units!$Q54),1,Inputs!$B$15)*Inputs!$B$16*(1+Inputs!$B$11)^(DW$2-1),0)</f>
        <v>0</v>
      </c>
      <c r="DX55" s="11" t="n">
        <f aca="false">IF(AND(DX$1&gt;=Units!$Q54,MOD(DX$1-Units!$Q54,12)=0),IF(AND(Units!$L54=1,DX$1=Units!$Q54),1,Inputs!$B$15)*Inputs!$B$16*(1+Inputs!$B$11)^(DX$2-1),0)</f>
        <v>0</v>
      </c>
      <c r="DY55" s="11" t="n">
        <f aca="false">IF(AND(DY$1&gt;=Units!$Q54,MOD(DY$1-Units!$Q54,12)=0),IF(AND(Units!$L54=1,DY$1=Units!$Q54),1,Inputs!$B$15)*Inputs!$B$16*(1+Inputs!$B$11)^(DY$2-1),0)</f>
        <v>0</v>
      </c>
      <c r="DZ55" s="11" t="n">
        <f aca="false">IF(AND(DZ$1&gt;=Units!$Q54,MOD(DZ$1-Units!$Q54,12)=0),IF(AND(Units!$L54=1,DZ$1=Units!$Q54),1,Inputs!$B$15)*Inputs!$B$16*(1+Inputs!$B$11)^(DZ$2-1),0)</f>
        <v>0</v>
      </c>
      <c r="EA55" s="11" t="n">
        <f aca="false">IF(AND(EA$1&gt;=Units!$Q54,MOD(EA$1-Units!$Q54,12)=0),IF(AND(Units!$L54=1,EA$1=Units!$Q54),1,Inputs!$B$15)*Inputs!$B$16*(1+Inputs!$B$11)^(EA$2-1),0)</f>
        <v>0</v>
      </c>
      <c r="EB55" s="11" t="n">
        <f aca="false">IF(AND(EB$1&gt;=Units!$Q54,MOD(EB$1-Units!$Q54,12)=0),IF(AND(Units!$L54=1,EB$1=Units!$Q54),1,Inputs!$B$15)*Inputs!$B$16*(1+Inputs!$B$11)^(EB$2-1),0)</f>
        <v>671.958189672061</v>
      </c>
      <c r="EC55" s="11" t="n">
        <f aca="false">IF(AND(EC$1&gt;=Units!$Q54,MOD(EC$1-Units!$Q54,12)=0),IF(AND(Units!$L54=1,EC$1=Units!$Q54),1,Inputs!$B$15)*Inputs!$B$16*(1+Inputs!$B$11)^(EC$2-1),0)</f>
        <v>0</v>
      </c>
      <c r="ED55" s="11" t="n">
        <f aca="false">IF(AND(ED$1&gt;=Units!$Q54,MOD(ED$1-Units!$Q54,12)=0),IF(AND(Units!$L54=1,ED$1=Units!$Q54),1,Inputs!$B$15)*Inputs!$B$16*(1+Inputs!$B$11)^(ED$2-1),0)</f>
        <v>0</v>
      </c>
    </row>
    <row r="56" customFormat="false" ht="15" hidden="false" customHeight="false" outlineLevel="0" collapsed="false">
      <c r="A56" s="22" t="n">
        <f aca="false">Units!A55</f>
        <v>224</v>
      </c>
      <c r="B56" s="23"/>
      <c r="C56" s="11" t="n">
        <f aca="false">IF(AND(C$1&gt;=Units!$Q55,MOD(C$1-Units!$Q55,12)=0),IF(AND(Units!$L55=1,C$1=Units!$Q55),1,Inputs!$B$15)*Inputs!$B$16*(1+Inputs!$B$11)^(C$2-1),0)</f>
        <v>0</v>
      </c>
      <c r="D56" s="11" t="n">
        <f aca="false">IF(AND(D$1&gt;=Units!$Q55,MOD(D$1-Units!$Q55,12)=0),IF(AND(Units!$L55=1,D$1=Units!$Q55),1,Inputs!$B$15)*Inputs!$B$16*(1+Inputs!$B$11)^(D$2-1),0)</f>
        <v>0</v>
      </c>
      <c r="E56" s="11" t="n">
        <f aca="false">IF(AND(E$1&gt;=Units!$Q55,MOD(E$1-Units!$Q55,12)=0),IF(AND(Units!$L55=1,E$1=Units!$Q55),1,Inputs!$B$15)*Inputs!$B$16*(1+Inputs!$B$11)^(E$2-1),0)</f>
        <v>0</v>
      </c>
      <c r="F56" s="11" t="n">
        <f aca="false">IF(AND(F$1&gt;=Units!$Q55,MOD(F$1-Units!$Q55,12)=0),IF(AND(Units!$L55=1,F$1=Units!$Q55),1,Inputs!$B$15)*Inputs!$B$16*(1+Inputs!$B$11)^(F$2-1),0)</f>
        <v>0</v>
      </c>
      <c r="G56" s="11" t="n">
        <f aca="false">IF(AND(G$1&gt;=Units!$Q55,MOD(G$1-Units!$Q55,12)=0),IF(AND(Units!$L55=1,G$1=Units!$Q55),1,Inputs!$B$15)*Inputs!$B$16*(1+Inputs!$B$11)^(G$2-1),0)</f>
        <v>0</v>
      </c>
      <c r="H56" s="11" t="n">
        <f aca="false">IF(AND(H$1&gt;=Units!$Q55,MOD(H$1-Units!$Q55,12)=0),IF(AND(Units!$L55=1,H$1=Units!$Q55),1,Inputs!$B$15)*Inputs!$B$16*(1+Inputs!$B$11)^(H$2-1),0)</f>
        <v>0</v>
      </c>
      <c r="I56" s="11" t="n">
        <f aca="false">IF(AND(I$1&gt;=Units!$Q55,MOD(I$1-Units!$Q55,12)=0),IF(AND(Units!$L55=1,I$1=Units!$Q55),1,Inputs!$B$15)*Inputs!$B$16*(1+Inputs!$B$11)^(I$2-1),0)</f>
        <v>500</v>
      </c>
      <c r="J56" s="11" t="n">
        <f aca="false">IF(AND(J$1&gt;=Units!$Q55,MOD(J$1-Units!$Q55,12)=0),IF(AND(Units!$L55=1,J$1=Units!$Q55),1,Inputs!$B$15)*Inputs!$B$16*(1+Inputs!$B$11)^(J$2-1),0)</f>
        <v>0</v>
      </c>
      <c r="K56" s="11" t="n">
        <f aca="false">IF(AND(K$1&gt;=Units!$Q55,MOD(K$1-Units!$Q55,12)=0),IF(AND(Units!$L55=1,K$1=Units!$Q55),1,Inputs!$B$15)*Inputs!$B$16*(1+Inputs!$B$11)^(K$2-1),0)</f>
        <v>0</v>
      </c>
      <c r="L56" s="11" t="n">
        <f aca="false">IF(AND(L$1&gt;=Units!$Q55,MOD(L$1-Units!$Q55,12)=0),IF(AND(Units!$L55=1,L$1=Units!$Q55),1,Inputs!$B$15)*Inputs!$B$16*(1+Inputs!$B$11)^(L$2-1),0)</f>
        <v>0</v>
      </c>
      <c r="M56" s="11" t="n">
        <f aca="false">IF(AND(M$1&gt;=Units!$Q55,MOD(M$1-Units!$Q55,12)=0),IF(AND(Units!$L55=1,M$1=Units!$Q55),1,Inputs!$B$15)*Inputs!$B$16*(1+Inputs!$B$11)^(M$2-1),0)</f>
        <v>0</v>
      </c>
      <c r="N56" s="11" t="n">
        <f aca="false">IF(AND(N$1&gt;=Units!$Q55,MOD(N$1-Units!$Q55,12)=0),IF(AND(Units!$L55=1,N$1=Units!$Q55),1,Inputs!$B$15)*Inputs!$B$16*(1+Inputs!$B$11)^(N$2-1),0)</f>
        <v>0</v>
      </c>
      <c r="O56" s="11" t="n">
        <f aca="false">IF(AND(O$1&gt;=Units!$Q55,MOD(O$1-Units!$Q55,12)=0),IF(AND(Units!$L55=1,O$1=Units!$Q55),1,Inputs!$B$15)*Inputs!$B$16*(1+Inputs!$B$11)^(O$2-1),0)</f>
        <v>0</v>
      </c>
      <c r="P56" s="11" t="n">
        <f aca="false">IF(AND(P$1&gt;=Units!$Q55,MOD(P$1-Units!$Q55,12)=0),IF(AND(Units!$L55=1,P$1=Units!$Q55),1,Inputs!$B$15)*Inputs!$B$16*(1+Inputs!$B$11)^(P$2-1),0)</f>
        <v>0</v>
      </c>
      <c r="Q56" s="11" t="n">
        <f aca="false">IF(AND(Q$1&gt;=Units!$Q55,MOD(Q$1-Units!$Q55,12)=0),IF(AND(Units!$L55=1,Q$1=Units!$Q55),1,Inputs!$B$15)*Inputs!$B$16*(1+Inputs!$B$11)^(Q$2-1),0)</f>
        <v>0</v>
      </c>
      <c r="R56" s="11" t="n">
        <f aca="false">IF(AND(R$1&gt;=Units!$Q55,MOD(R$1-Units!$Q55,12)=0),IF(AND(Units!$L55=1,R$1=Units!$Q55),1,Inputs!$B$15)*Inputs!$B$16*(1+Inputs!$B$11)^(R$2-1),0)</f>
        <v>0</v>
      </c>
      <c r="S56" s="11" t="n">
        <f aca="false">IF(AND(S$1&gt;=Units!$Q55,MOD(S$1-Units!$Q55,12)=0),IF(AND(Units!$L55=1,S$1=Units!$Q55),1,Inputs!$B$15)*Inputs!$B$16*(1+Inputs!$B$11)^(S$2-1),0)</f>
        <v>0</v>
      </c>
      <c r="T56" s="11" t="n">
        <f aca="false">IF(AND(T$1&gt;=Units!$Q55,MOD(T$1-Units!$Q55,12)=0),IF(AND(Units!$L55=1,T$1=Units!$Q55),1,Inputs!$B$15)*Inputs!$B$16*(1+Inputs!$B$11)^(T$2-1),0)</f>
        <v>0</v>
      </c>
      <c r="U56" s="11" t="n">
        <f aca="false">IF(AND(U$1&gt;=Units!$Q55,MOD(U$1-Units!$Q55,12)=0),IF(AND(Units!$L55=1,U$1=Units!$Q55),1,Inputs!$B$15)*Inputs!$B$16*(1+Inputs!$B$11)^(U$2-1),0)</f>
        <v>515</v>
      </c>
      <c r="V56" s="11" t="n">
        <f aca="false">IF(AND(V$1&gt;=Units!$Q55,MOD(V$1-Units!$Q55,12)=0),IF(AND(Units!$L55=1,V$1=Units!$Q55),1,Inputs!$B$15)*Inputs!$B$16*(1+Inputs!$B$11)^(V$2-1),0)</f>
        <v>0</v>
      </c>
      <c r="W56" s="11" t="n">
        <f aca="false">IF(AND(W$1&gt;=Units!$Q55,MOD(W$1-Units!$Q55,12)=0),IF(AND(Units!$L55=1,W$1=Units!$Q55),1,Inputs!$B$15)*Inputs!$B$16*(1+Inputs!$B$11)^(W$2-1),0)</f>
        <v>0</v>
      </c>
      <c r="X56" s="11" t="n">
        <f aca="false">IF(AND(X$1&gt;=Units!$Q55,MOD(X$1-Units!$Q55,12)=0),IF(AND(Units!$L55=1,X$1=Units!$Q55),1,Inputs!$B$15)*Inputs!$B$16*(1+Inputs!$B$11)^(X$2-1),0)</f>
        <v>0</v>
      </c>
      <c r="Y56" s="11" t="n">
        <f aca="false">IF(AND(Y$1&gt;=Units!$Q55,MOD(Y$1-Units!$Q55,12)=0),IF(AND(Units!$L55=1,Y$1=Units!$Q55),1,Inputs!$B$15)*Inputs!$B$16*(1+Inputs!$B$11)^(Y$2-1),0)</f>
        <v>0</v>
      </c>
      <c r="Z56" s="11" t="n">
        <f aca="false">IF(AND(Z$1&gt;=Units!$Q55,MOD(Z$1-Units!$Q55,12)=0),IF(AND(Units!$L55=1,Z$1=Units!$Q55),1,Inputs!$B$15)*Inputs!$B$16*(1+Inputs!$B$11)^(Z$2-1),0)</f>
        <v>0</v>
      </c>
      <c r="AA56" s="11" t="n">
        <f aca="false">IF(AND(AA$1&gt;=Units!$Q55,MOD(AA$1-Units!$Q55,12)=0),IF(AND(Units!$L55=1,AA$1=Units!$Q55),1,Inputs!$B$15)*Inputs!$B$16*(1+Inputs!$B$11)^(AA$2-1),0)</f>
        <v>0</v>
      </c>
      <c r="AB56" s="11" t="n">
        <f aca="false">IF(AND(AB$1&gt;=Units!$Q55,MOD(AB$1-Units!$Q55,12)=0),IF(AND(Units!$L55=1,AB$1=Units!$Q55),1,Inputs!$B$15)*Inputs!$B$16*(1+Inputs!$B$11)^(AB$2-1),0)</f>
        <v>0</v>
      </c>
      <c r="AC56" s="11" t="n">
        <f aca="false">IF(AND(AC$1&gt;=Units!$Q55,MOD(AC$1-Units!$Q55,12)=0),IF(AND(Units!$L55=1,AC$1=Units!$Q55),1,Inputs!$B$15)*Inputs!$B$16*(1+Inputs!$B$11)^(AC$2-1),0)</f>
        <v>0</v>
      </c>
      <c r="AD56" s="11" t="n">
        <f aca="false">IF(AND(AD$1&gt;=Units!$Q55,MOD(AD$1-Units!$Q55,12)=0),IF(AND(Units!$L55=1,AD$1=Units!$Q55),1,Inputs!$B$15)*Inputs!$B$16*(1+Inputs!$B$11)^(AD$2-1),0)</f>
        <v>0</v>
      </c>
      <c r="AE56" s="11" t="n">
        <f aca="false">IF(AND(AE$1&gt;=Units!$Q55,MOD(AE$1-Units!$Q55,12)=0),IF(AND(Units!$L55=1,AE$1=Units!$Q55),1,Inputs!$B$15)*Inputs!$B$16*(1+Inputs!$B$11)^(AE$2-1),0)</f>
        <v>0</v>
      </c>
      <c r="AF56" s="11" t="n">
        <f aca="false">IF(AND(AF$1&gt;=Units!$Q55,MOD(AF$1-Units!$Q55,12)=0),IF(AND(Units!$L55=1,AF$1=Units!$Q55),1,Inputs!$B$15)*Inputs!$B$16*(1+Inputs!$B$11)^(AF$2-1),0)</f>
        <v>0</v>
      </c>
      <c r="AG56" s="11" t="n">
        <f aca="false">IF(AND(AG$1&gt;=Units!$Q55,MOD(AG$1-Units!$Q55,12)=0),IF(AND(Units!$L55=1,AG$1=Units!$Q55),1,Inputs!$B$15)*Inputs!$B$16*(1+Inputs!$B$11)^(AG$2-1),0)</f>
        <v>530.45</v>
      </c>
      <c r="AH56" s="11" t="n">
        <f aca="false">IF(AND(AH$1&gt;=Units!$Q55,MOD(AH$1-Units!$Q55,12)=0),IF(AND(Units!$L55=1,AH$1=Units!$Q55),1,Inputs!$B$15)*Inputs!$B$16*(1+Inputs!$B$11)^(AH$2-1),0)</f>
        <v>0</v>
      </c>
      <c r="AI56" s="11" t="n">
        <f aca="false">IF(AND(AI$1&gt;=Units!$Q55,MOD(AI$1-Units!$Q55,12)=0),IF(AND(Units!$L55=1,AI$1=Units!$Q55),1,Inputs!$B$15)*Inputs!$B$16*(1+Inputs!$B$11)^(AI$2-1),0)</f>
        <v>0</v>
      </c>
      <c r="AJ56" s="11" t="n">
        <f aca="false">IF(AND(AJ$1&gt;=Units!$Q55,MOD(AJ$1-Units!$Q55,12)=0),IF(AND(Units!$L55=1,AJ$1=Units!$Q55),1,Inputs!$B$15)*Inputs!$B$16*(1+Inputs!$B$11)^(AJ$2-1),0)</f>
        <v>0</v>
      </c>
      <c r="AK56" s="11" t="n">
        <f aca="false">IF(AND(AK$1&gt;=Units!$Q55,MOD(AK$1-Units!$Q55,12)=0),IF(AND(Units!$L55=1,AK$1=Units!$Q55),1,Inputs!$B$15)*Inputs!$B$16*(1+Inputs!$B$11)^(AK$2-1),0)</f>
        <v>0</v>
      </c>
      <c r="AL56" s="11" t="n">
        <f aca="false">IF(AND(AL$1&gt;=Units!$Q55,MOD(AL$1-Units!$Q55,12)=0),IF(AND(Units!$L55=1,AL$1=Units!$Q55),1,Inputs!$B$15)*Inputs!$B$16*(1+Inputs!$B$11)^(AL$2-1),0)</f>
        <v>0</v>
      </c>
      <c r="AM56" s="11" t="n">
        <f aca="false">IF(AND(AM$1&gt;=Units!$Q55,MOD(AM$1-Units!$Q55,12)=0),IF(AND(Units!$L55=1,AM$1=Units!$Q55),1,Inputs!$B$15)*Inputs!$B$16*(1+Inputs!$B$11)^(AM$2-1),0)</f>
        <v>0</v>
      </c>
      <c r="AN56" s="11" t="n">
        <f aca="false">IF(AND(AN$1&gt;=Units!$Q55,MOD(AN$1-Units!$Q55,12)=0),IF(AND(Units!$L55=1,AN$1=Units!$Q55),1,Inputs!$B$15)*Inputs!$B$16*(1+Inputs!$B$11)^(AN$2-1),0)</f>
        <v>0</v>
      </c>
      <c r="AO56" s="11" t="n">
        <f aca="false">IF(AND(AO$1&gt;=Units!$Q55,MOD(AO$1-Units!$Q55,12)=0),IF(AND(Units!$L55=1,AO$1=Units!$Q55),1,Inputs!$B$15)*Inputs!$B$16*(1+Inputs!$B$11)^(AO$2-1),0)</f>
        <v>0</v>
      </c>
      <c r="AP56" s="11" t="n">
        <f aca="false">IF(AND(AP$1&gt;=Units!$Q55,MOD(AP$1-Units!$Q55,12)=0),IF(AND(Units!$L55=1,AP$1=Units!$Q55),1,Inputs!$B$15)*Inputs!$B$16*(1+Inputs!$B$11)^(AP$2-1),0)</f>
        <v>0</v>
      </c>
      <c r="AQ56" s="11" t="n">
        <f aca="false">IF(AND(AQ$1&gt;=Units!$Q55,MOD(AQ$1-Units!$Q55,12)=0),IF(AND(Units!$L55=1,AQ$1=Units!$Q55),1,Inputs!$B$15)*Inputs!$B$16*(1+Inputs!$B$11)^(AQ$2-1),0)</f>
        <v>0</v>
      </c>
      <c r="AR56" s="11" t="n">
        <f aca="false">IF(AND(AR$1&gt;=Units!$Q55,MOD(AR$1-Units!$Q55,12)=0),IF(AND(Units!$L55=1,AR$1=Units!$Q55),1,Inputs!$B$15)*Inputs!$B$16*(1+Inputs!$B$11)^(AR$2-1),0)</f>
        <v>0</v>
      </c>
      <c r="AS56" s="11" t="n">
        <f aca="false">IF(AND(AS$1&gt;=Units!$Q55,MOD(AS$1-Units!$Q55,12)=0),IF(AND(Units!$L55=1,AS$1=Units!$Q55),1,Inputs!$B$15)*Inputs!$B$16*(1+Inputs!$B$11)^(AS$2-1),0)</f>
        <v>546.3635</v>
      </c>
      <c r="AT56" s="11" t="n">
        <f aca="false">IF(AND(AT$1&gt;=Units!$Q55,MOD(AT$1-Units!$Q55,12)=0),IF(AND(Units!$L55=1,AT$1=Units!$Q55),1,Inputs!$B$15)*Inputs!$B$16*(1+Inputs!$B$11)^(AT$2-1),0)</f>
        <v>0</v>
      </c>
      <c r="AU56" s="11" t="n">
        <f aca="false">IF(AND(AU$1&gt;=Units!$Q55,MOD(AU$1-Units!$Q55,12)=0),IF(AND(Units!$L55=1,AU$1=Units!$Q55),1,Inputs!$B$15)*Inputs!$B$16*(1+Inputs!$B$11)^(AU$2-1),0)</f>
        <v>0</v>
      </c>
      <c r="AV56" s="11" t="n">
        <f aca="false">IF(AND(AV$1&gt;=Units!$Q55,MOD(AV$1-Units!$Q55,12)=0),IF(AND(Units!$L55=1,AV$1=Units!$Q55),1,Inputs!$B$15)*Inputs!$B$16*(1+Inputs!$B$11)^(AV$2-1),0)</f>
        <v>0</v>
      </c>
      <c r="AW56" s="11" t="n">
        <f aca="false">IF(AND(AW$1&gt;=Units!$Q55,MOD(AW$1-Units!$Q55,12)=0),IF(AND(Units!$L55=1,AW$1=Units!$Q55),1,Inputs!$B$15)*Inputs!$B$16*(1+Inputs!$B$11)^(AW$2-1),0)</f>
        <v>0</v>
      </c>
      <c r="AX56" s="11" t="n">
        <f aca="false">IF(AND(AX$1&gt;=Units!$Q55,MOD(AX$1-Units!$Q55,12)=0),IF(AND(Units!$L55=1,AX$1=Units!$Q55),1,Inputs!$B$15)*Inputs!$B$16*(1+Inputs!$B$11)^(AX$2-1),0)</f>
        <v>0</v>
      </c>
      <c r="AY56" s="11" t="n">
        <f aca="false">IF(AND(AY$1&gt;=Units!$Q55,MOD(AY$1-Units!$Q55,12)=0),IF(AND(Units!$L55=1,AY$1=Units!$Q55),1,Inputs!$B$15)*Inputs!$B$16*(1+Inputs!$B$11)^(AY$2-1),0)</f>
        <v>0</v>
      </c>
      <c r="AZ56" s="11" t="n">
        <f aca="false">IF(AND(AZ$1&gt;=Units!$Q55,MOD(AZ$1-Units!$Q55,12)=0),IF(AND(Units!$L55=1,AZ$1=Units!$Q55),1,Inputs!$B$15)*Inputs!$B$16*(1+Inputs!$B$11)^(AZ$2-1),0)</f>
        <v>0</v>
      </c>
      <c r="BA56" s="11" t="n">
        <f aca="false">IF(AND(BA$1&gt;=Units!$Q55,MOD(BA$1-Units!$Q55,12)=0),IF(AND(Units!$L55=1,BA$1=Units!$Q55),1,Inputs!$B$15)*Inputs!$B$16*(1+Inputs!$B$11)^(BA$2-1),0)</f>
        <v>0</v>
      </c>
      <c r="BB56" s="11" t="n">
        <f aca="false">IF(AND(BB$1&gt;=Units!$Q55,MOD(BB$1-Units!$Q55,12)=0),IF(AND(Units!$L55=1,BB$1=Units!$Q55),1,Inputs!$B$15)*Inputs!$B$16*(1+Inputs!$B$11)^(BB$2-1),0)</f>
        <v>0</v>
      </c>
      <c r="BC56" s="11" t="n">
        <f aca="false">IF(AND(BC$1&gt;=Units!$Q55,MOD(BC$1-Units!$Q55,12)=0),IF(AND(Units!$L55=1,BC$1=Units!$Q55),1,Inputs!$B$15)*Inputs!$B$16*(1+Inputs!$B$11)^(BC$2-1),0)</f>
        <v>0</v>
      </c>
      <c r="BD56" s="11" t="n">
        <f aca="false">IF(AND(BD$1&gt;=Units!$Q55,MOD(BD$1-Units!$Q55,12)=0),IF(AND(Units!$L55=1,BD$1=Units!$Q55),1,Inputs!$B$15)*Inputs!$B$16*(1+Inputs!$B$11)^(BD$2-1),0)</f>
        <v>0</v>
      </c>
      <c r="BE56" s="11" t="n">
        <f aca="false">IF(AND(BE$1&gt;=Units!$Q55,MOD(BE$1-Units!$Q55,12)=0),IF(AND(Units!$L55=1,BE$1=Units!$Q55),1,Inputs!$B$15)*Inputs!$B$16*(1+Inputs!$B$11)^(BE$2-1),0)</f>
        <v>562.754405</v>
      </c>
      <c r="BF56" s="11" t="n">
        <f aca="false">IF(AND(BF$1&gt;=Units!$Q55,MOD(BF$1-Units!$Q55,12)=0),IF(AND(Units!$L55=1,BF$1=Units!$Q55),1,Inputs!$B$15)*Inputs!$B$16*(1+Inputs!$B$11)^(BF$2-1),0)</f>
        <v>0</v>
      </c>
      <c r="BG56" s="11" t="n">
        <f aca="false">IF(AND(BG$1&gt;=Units!$Q55,MOD(BG$1-Units!$Q55,12)=0),IF(AND(Units!$L55=1,BG$1=Units!$Q55),1,Inputs!$B$15)*Inputs!$B$16*(1+Inputs!$B$11)^(BG$2-1),0)</f>
        <v>0</v>
      </c>
      <c r="BH56" s="11" t="n">
        <f aca="false">IF(AND(BH$1&gt;=Units!$Q55,MOD(BH$1-Units!$Q55,12)=0),IF(AND(Units!$L55=1,BH$1=Units!$Q55),1,Inputs!$B$15)*Inputs!$B$16*(1+Inputs!$B$11)^(BH$2-1),0)</f>
        <v>0</v>
      </c>
      <c r="BI56" s="11" t="n">
        <f aca="false">IF(AND(BI$1&gt;=Units!$Q55,MOD(BI$1-Units!$Q55,12)=0),IF(AND(Units!$L55=1,BI$1=Units!$Q55),1,Inputs!$B$15)*Inputs!$B$16*(1+Inputs!$B$11)^(BI$2-1),0)</f>
        <v>0</v>
      </c>
      <c r="BJ56" s="11" t="n">
        <f aca="false">IF(AND(BJ$1&gt;=Units!$Q55,MOD(BJ$1-Units!$Q55,12)=0),IF(AND(Units!$L55=1,BJ$1=Units!$Q55),1,Inputs!$B$15)*Inputs!$B$16*(1+Inputs!$B$11)^(BJ$2-1),0)</f>
        <v>0</v>
      </c>
      <c r="BK56" s="11" t="n">
        <f aca="false">IF(AND(BK$1&gt;=Units!$Q55,MOD(BK$1-Units!$Q55,12)=0),IF(AND(Units!$L55=1,BK$1=Units!$Q55),1,Inputs!$B$15)*Inputs!$B$16*(1+Inputs!$B$11)^(BK$2-1),0)</f>
        <v>0</v>
      </c>
      <c r="BL56" s="11" t="n">
        <f aca="false">IF(AND(BL$1&gt;=Units!$Q55,MOD(BL$1-Units!$Q55,12)=0),IF(AND(Units!$L55=1,BL$1=Units!$Q55),1,Inputs!$B$15)*Inputs!$B$16*(1+Inputs!$B$11)^(BL$2-1),0)</f>
        <v>0</v>
      </c>
      <c r="BM56" s="11" t="n">
        <f aca="false">IF(AND(BM$1&gt;=Units!$Q55,MOD(BM$1-Units!$Q55,12)=0),IF(AND(Units!$L55=1,BM$1=Units!$Q55),1,Inputs!$B$15)*Inputs!$B$16*(1+Inputs!$B$11)^(BM$2-1),0)</f>
        <v>0</v>
      </c>
      <c r="BN56" s="11" t="n">
        <f aca="false">IF(AND(BN$1&gt;=Units!$Q55,MOD(BN$1-Units!$Q55,12)=0),IF(AND(Units!$L55=1,BN$1=Units!$Q55),1,Inputs!$B$15)*Inputs!$B$16*(1+Inputs!$B$11)^(BN$2-1),0)</f>
        <v>0</v>
      </c>
      <c r="BO56" s="11" t="n">
        <f aca="false">IF(AND(BO$1&gt;=Units!$Q55,MOD(BO$1-Units!$Q55,12)=0),IF(AND(Units!$L55=1,BO$1=Units!$Q55),1,Inputs!$B$15)*Inputs!$B$16*(1+Inputs!$B$11)^(BO$2-1),0)</f>
        <v>0</v>
      </c>
      <c r="BP56" s="11" t="n">
        <f aca="false">IF(AND(BP$1&gt;=Units!$Q55,MOD(BP$1-Units!$Q55,12)=0),IF(AND(Units!$L55=1,BP$1=Units!$Q55),1,Inputs!$B$15)*Inputs!$B$16*(1+Inputs!$B$11)^(BP$2-1),0)</f>
        <v>0</v>
      </c>
      <c r="BQ56" s="11" t="n">
        <f aca="false">IF(AND(BQ$1&gt;=Units!$Q55,MOD(BQ$1-Units!$Q55,12)=0),IF(AND(Units!$L55=1,BQ$1=Units!$Q55),1,Inputs!$B$15)*Inputs!$B$16*(1+Inputs!$B$11)^(BQ$2-1),0)</f>
        <v>579.63703715</v>
      </c>
      <c r="BR56" s="11" t="n">
        <f aca="false">IF(AND(BR$1&gt;=Units!$Q55,MOD(BR$1-Units!$Q55,12)=0),IF(AND(Units!$L55=1,BR$1=Units!$Q55),1,Inputs!$B$15)*Inputs!$B$16*(1+Inputs!$B$11)^(BR$2-1),0)</f>
        <v>0</v>
      </c>
      <c r="BS56" s="11" t="n">
        <f aca="false">IF(AND(BS$1&gt;=Units!$Q55,MOD(BS$1-Units!$Q55,12)=0),IF(AND(Units!$L55=1,BS$1=Units!$Q55),1,Inputs!$B$15)*Inputs!$B$16*(1+Inputs!$B$11)^(BS$2-1),0)</f>
        <v>0</v>
      </c>
      <c r="BT56" s="11" t="n">
        <f aca="false">IF(AND(BT$1&gt;=Units!$Q55,MOD(BT$1-Units!$Q55,12)=0),IF(AND(Units!$L55=1,BT$1=Units!$Q55),1,Inputs!$B$15)*Inputs!$B$16*(1+Inputs!$B$11)^(BT$2-1),0)</f>
        <v>0</v>
      </c>
      <c r="BU56" s="11" t="n">
        <f aca="false">IF(AND(BU$1&gt;=Units!$Q55,MOD(BU$1-Units!$Q55,12)=0),IF(AND(Units!$L55=1,BU$1=Units!$Q55),1,Inputs!$B$15)*Inputs!$B$16*(1+Inputs!$B$11)^(BU$2-1),0)</f>
        <v>0</v>
      </c>
      <c r="BV56" s="11" t="n">
        <f aca="false">IF(AND(BV$1&gt;=Units!$Q55,MOD(BV$1-Units!$Q55,12)=0),IF(AND(Units!$L55=1,BV$1=Units!$Q55),1,Inputs!$B$15)*Inputs!$B$16*(1+Inputs!$B$11)^(BV$2-1),0)</f>
        <v>0</v>
      </c>
      <c r="BW56" s="11" t="n">
        <f aca="false">IF(AND(BW$1&gt;=Units!$Q55,MOD(BW$1-Units!$Q55,12)=0),IF(AND(Units!$L55=1,BW$1=Units!$Q55),1,Inputs!$B$15)*Inputs!$B$16*(1+Inputs!$B$11)^(BW$2-1),0)</f>
        <v>0</v>
      </c>
      <c r="BX56" s="11" t="n">
        <f aca="false">IF(AND(BX$1&gt;=Units!$Q55,MOD(BX$1-Units!$Q55,12)=0),IF(AND(Units!$L55=1,BX$1=Units!$Q55),1,Inputs!$B$15)*Inputs!$B$16*(1+Inputs!$B$11)^(BX$2-1),0)</f>
        <v>0</v>
      </c>
      <c r="BY56" s="11" t="n">
        <f aca="false">IF(AND(BY$1&gt;=Units!$Q55,MOD(BY$1-Units!$Q55,12)=0),IF(AND(Units!$L55=1,BY$1=Units!$Q55),1,Inputs!$B$15)*Inputs!$B$16*(1+Inputs!$B$11)^(BY$2-1),0)</f>
        <v>0</v>
      </c>
      <c r="BZ56" s="11" t="n">
        <f aca="false">IF(AND(BZ$1&gt;=Units!$Q55,MOD(BZ$1-Units!$Q55,12)=0),IF(AND(Units!$L55=1,BZ$1=Units!$Q55),1,Inputs!$B$15)*Inputs!$B$16*(1+Inputs!$B$11)^(BZ$2-1),0)</f>
        <v>0</v>
      </c>
      <c r="CA56" s="11" t="n">
        <f aca="false">IF(AND(CA$1&gt;=Units!$Q55,MOD(CA$1-Units!$Q55,12)=0),IF(AND(Units!$L55=1,CA$1=Units!$Q55),1,Inputs!$B$15)*Inputs!$B$16*(1+Inputs!$B$11)^(CA$2-1),0)</f>
        <v>0</v>
      </c>
      <c r="CB56" s="11" t="n">
        <f aca="false">IF(AND(CB$1&gt;=Units!$Q55,MOD(CB$1-Units!$Q55,12)=0),IF(AND(Units!$L55=1,CB$1=Units!$Q55),1,Inputs!$B$15)*Inputs!$B$16*(1+Inputs!$B$11)^(CB$2-1),0)</f>
        <v>0</v>
      </c>
      <c r="CC56" s="11" t="n">
        <f aca="false">IF(AND(CC$1&gt;=Units!$Q55,MOD(CC$1-Units!$Q55,12)=0),IF(AND(Units!$L55=1,CC$1=Units!$Q55),1,Inputs!$B$15)*Inputs!$B$16*(1+Inputs!$B$11)^(CC$2-1),0)</f>
        <v>597.0261482645</v>
      </c>
      <c r="CD56" s="11" t="n">
        <f aca="false">IF(AND(CD$1&gt;=Units!$Q55,MOD(CD$1-Units!$Q55,12)=0),IF(AND(Units!$L55=1,CD$1=Units!$Q55),1,Inputs!$B$15)*Inputs!$B$16*(1+Inputs!$B$11)^(CD$2-1),0)</f>
        <v>0</v>
      </c>
      <c r="CE56" s="11" t="n">
        <f aca="false">IF(AND(CE$1&gt;=Units!$Q55,MOD(CE$1-Units!$Q55,12)=0),IF(AND(Units!$L55=1,CE$1=Units!$Q55),1,Inputs!$B$15)*Inputs!$B$16*(1+Inputs!$B$11)^(CE$2-1),0)</f>
        <v>0</v>
      </c>
      <c r="CF56" s="11" t="n">
        <f aca="false">IF(AND(CF$1&gt;=Units!$Q55,MOD(CF$1-Units!$Q55,12)=0),IF(AND(Units!$L55=1,CF$1=Units!$Q55),1,Inputs!$B$15)*Inputs!$B$16*(1+Inputs!$B$11)^(CF$2-1),0)</f>
        <v>0</v>
      </c>
      <c r="CG56" s="11" t="n">
        <f aca="false">IF(AND(CG$1&gt;=Units!$Q55,MOD(CG$1-Units!$Q55,12)=0),IF(AND(Units!$L55=1,CG$1=Units!$Q55),1,Inputs!$B$15)*Inputs!$B$16*(1+Inputs!$B$11)^(CG$2-1),0)</f>
        <v>0</v>
      </c>
      <c r="CH56" s="11" t="n">
        <f aca="false">IF(AND(CH$1&gt;=Units!$Q55,MOD(CH$1-Units!$Q55,12)=0),IF(AND(Units!$L55=1,CH$1=Units!$Q55),1,Inputs!$B$15)*Inputs!$B$16*(1+Inputs!$B$11)^(CH$2-1),0)</f>
        <v>0</v>
      </c>
      <c r="CI56" s="11" t="n">
        <f aca="false">IF(AND(CI$1&gt;=Units!$Q55,MOD(CI$1-Units!$Q55,12)=0),IF(AND(Units!$L55=1,CI$1=Units!$Q55),1,Inputs!$B$15)*Inputs!$B$16*(1+Inputs!$B$11)^(CI$2-1),0)</f>
        <v>0</v>
      </c>
      <c r="CJ56" s="11" t="n">
        <f aca="false">IF(AND(CJ$1&gt;=Units!$Q55,MOD(CJ$1-Units!$Q55,12)=0),IF(AND(Units!$L55=1,CJ$1=Units!$Q55),1,Inputs!$B$15)*Inputs!$B$16*(1+Inputs!$B$11)^(CJ$2-1),0)</f>
        <v>0</v>
      </c>
      <c r="CK56" s="11" t="n">
        <f aca="false">IF(AND(CK$1&gt;=Units!$Q55,MOD(CK$1-Units!$Q55,12)=0),IF(AND(Units!$L55=1,CK$1=Units!$Q55),1,Inputs!$B$15)*Inputs!$B$16*(1+Inputs!$B$11)^(CK$2-1),0)</f>
        <v>0</v>
      </c>
      <c r="CL56" s="11" t="n">
        <f aca="false">IF(AND(CL$1&gt;=Units!$Q55,MOD(CL$1-Units!$Q55,12)=0),IF(AND(Units!$L55=1,CL$1=Units!$Q55),1,Inputs!$B$15)*Inputs!$B$16*(1+Inputs!$B$11)^(CL$2-1),0)</f>
        <v>0</v>
      </c>
      <c r="CM56" s="11" t="n">
        <f aca="false">IF(AND(CM$1&gt;=Units!$Q55,MOD(CM$1-Units!$Q55,12)=0),IF(AND(Units!$L55=1,CM$1=Units!$Q55),1,Inputs!$B$15)*Inputs!$B$16*(1+Inputs!$B$11)^(CM$2-1),0)</f>
        <v>0</v>
      </c>
      <c r="CN56" s="11" t="n">
        <f aca="false">IF(AND(CN$1&gt;=Units!$Q55,MOD(CN$1-Units!$Q55,12)=0),IF(AND(Units!$L55=1,CN$1=Units!$Q55),1,Inputs!$B$15)*Inputs!$B$16*(1+Inputs!$B$11)^(CN$2-1),0)</f>
        <v>0</v>
      </c>
      <c r="CO56" s="11" t="n">
        <f aca="false">IF(AND(CO$1&gt;=Units!$Q55,MOD(CO$1-Units!$Q55,12)=0),IF(AND(Units!$L55=1,CO$1=Units!$Q55),1,Inputs!$B$15)*Inputs!$B$16*(1+Inputs!$B$11)^(CO$2-1),0)</f>
        <v>614.936932712435</v>
      </c>
      <c r="CP56" s="11" t="n">
        <f aca="false">IF(AND(CP$1&gt;=Units!$Q55,MOD(CP$1-Units!$Q55,12)=0),IF(AND(Units!$L55=1,CP$1=Units!$Q55),1,Inputs!$B$15)*Inputs!$B$16*(1+Inputs!$B$11)^(CP$2-1),0)</f>
        <v>0</v>
      </c>
      <c r="CQ56" s="11" t="n">
        <f aca="false">IF(AND(CQ$1&gt;=Units!$Q55,MOD(CQ$1-Units!$Q55,12)=0),IF(AND(Units!$L55=1,CQ$1=Units!$Q55),1,Inputs!$B$15)*Inputs!$B$16*(1+Inputs!$B$11)^(CQ$2-1),0)</f>
        <v>0</v>
      </c>
      <c r="CR56" s="11" t="n">
        <f aca="false">IF(AND(CR$1&gt;=Units!$Q55,MOD(CR$1-Units!$Q55,12)=0),IF(AND(Units!$L55=1,CR$1=Units!$Q55),1,Inputs!$B$15)*Inputs!$B$16*(1+Inputs!$B$11)^(CR$2-1),0)</f>
        <v>0</v>
      </c>
      <c r="CS56" s="11" t="n">
        <f aca="false">IF(AND(CS$1&gt;=Units!$Q55,MOD(CS$1-Units!$Q55,12)=0),IF(AND(Units!$L55=1,CS$1=Units!$Q55),1,Inputs!$B$15)*Inputs!$B$16*(1+Inputs!$B$11)^(CS$2-1),0)</f>
        <v>0</v>
      </c>
      <c r="CT56" s="11" t="n">
        <f aca="false">IF(AND(CT$1&gt;=Units!$Q55,MOD(CT$1-Units!$Q55,12)=0),IF(AND(Units!$L55=1,CT$1=Units!$Q55),1,Inputs!$B$15)*Inputs!$B$16*(1+Inputs!$B$11)^(CT$2-1),0)</f>
        <v>0</v>
      </c>
      <c r="CU56" s="11" t="n">
        <f aca="false">IF(AND(CU$1&gt;=Units!$Q55,MOD(CU$1-Units!$Q55,12)=0),IF(AND(Units!$L55=1,CU$1=Units!$Q55),1,Inputs!$B$15)*Inputs!$B$16*(1+Inputs!$B$11)^(CU$2-1),0)</f>
        <v>0</v>
      </c>
      <c r="CV56" s="11" t="n">
        <f aca="false">IF(AND(CV$1&gt;=Units!$Q55,MOD(CV$1-Units!$Q55,12)=0),IF(AND(Units!$L55=1,CV$1=Units!$Q55),1,Inputs!$B$15)*Inputs!$B$16*(1+Inputs!$B$11)^(CV$2-1),0)</f>
        <v>0</v>
      </c>
      <c r="CW56" s="11" t="n">
        <f aca="false">IF(AND(CW$1&gt;=Units!$Q55,MOD(CW$1-Units!$Q55,12)=0),IF(AND(Units!$L55=1,CW$1=Units!$Q55),1,Inputs!$B$15)*Inputs!$B$16*(1+Inputs!$B$11)^(CW$2-1),0)</f>
        <v>0</v>
      </c>
      <c r="CX56" s="11" t="n">
        <f aca="false">IF(AND(CX$1&gt;=Units!$Q55,MOD(CX$1-Units!$Q55,12)=0),IF(AND(Units!$L55=1,CX$1=Units!$Q55),1,Inputs!$B$15)*Inputs!$B$16*(1+Inputs!$B$11)^(CX$2-1),0)</f>
        <v>0</v>
      </c>
      <c r="CY56" s="11" t="n">
        <f aca="false">IF(AND(CY$1&gt;=Units!$Q55,MOD(CY$1-Units!$Q55,12)=0),IF(AND(Units!$L55=1,CY$1=Units!$Q55),1,Inputs!$B$15)*Inputs!$B$16*(1+Inputs!$B$11)^(CY$2-1),0)</f>
        <v>0</v>
      </c>
      <c r="CZ56" s="11" t="n">
        <f aca="false">IF(AND(CZ$1&gt;=Units!$Q55,MOD(CZ$1-Units!$Q55,12)=0),IF(AND(Units!$L55=1,CZ$1=Units!$Q55),1,Inputs!$B$15)*Inputs!$B$16*(1+Inputs!$B$11)^(CZ$2-1),0)</f>
        <v>0</v>
      </c>
      <c r="DA56" s="11" t="n">
        <f aca="false">IF(AND(DA$1&gt;=Units!$Q55,MOD(DA$1-Units!$Q55,12)=0),IF(AND(Units!$L55=1,DA$1=Units!$Q55),1,Inputs!$B$15)*Inputs!$B$16*(1+Inputs!$B$11)^(DA$2-1),0)</f>
        <v>633.385040693808</v>
      </c>
      <c r="DB56" s="11" t="n">
        <f aca="false">IF(AND(DB$1&gt;=Units!$Q55,MOD(DB$1-Units!$Q55,12)=0),IF(AND(Units!$L55=1,DB$1=Units!$Q55),1,Inputs!$B$15)*Inputs!$B$16*(1+Inputs!$B$11)^(DB$2-1),0)</f>
        <v>0</v>
      </c>
      <c r="DC56" s="11" t="n">
        <f aca="false">IF(AND(DC$1&gt;=Units!$Q55,MOD(DC$1-Units!$Q55,12)=0),IF(AND(Units!$L55=1,DC$1=Units!$Q55),1,Inputs!$B$15)*Inputs!$B$16*(1+Inputs!$B$11)^(DC$2-1),0)</f>
        <v>0</v>
      </c>
      <c r="DD56" s="11" t="n">
        <f aca="false">IF(AND(DD$1&gt;=Units!$Q55,MOD(DD$1-Units!$Q55,12)=0),IF(AND(Units!$L55=1,DD$1=Units!$Q55),1,Inputs!$B$15)*Inputs!$B$16*(1+Inputs!$B$11)^(DD$2-1),0)</f>
        <v>0</v>
      </c>
      <c r="DE56" s="11" t="n">
        <f aca="false">IF(AND(DE$1&gt;=Units!$Q55,MOD(DE$1-Units!$Q55,12)=0),IF(AND(Units!$L55=1,DE$1=Units!$Q55),1,Inputs!$B$15)*Inputs!$B$16*(1+Inputs!$B$11)^(DE$2-1),0)</f>
        <v>0</v>
      </c>
      <c r="DF56" s="11" t="n">
        <f aca="false">IF(AND(DF$1&gt;=Units!$Q55,MOD(DF$1-Units!$Q55,12)=0),IF(AND(Units!$L55=1,DF$1=Units!$Q55),1,Inputs!$B$15)*Inputs!$B$16*(1+Inputs!$B$11)^(DF$2-1),0)</f>
        <v>0</v>
      </c>
      <c r="DG56" s="11" t="n">
        <f aca="false">IF(AND(DG$1&gt;=Units!$Q55,MOD(DG$1-Units!$Q55,12)=0),IF(AND(Units!$L55=1,DG$1=Units!$Q55),1,Inputs!$B$15)*Inputs!$B$16*(1+Inputs!$B$11)^(DG$2-1),0)</f>
        <v>0</v>
      </c>
      <c r="DH56" s="11" t="n">
        <f aca="false">IF(AND(DH$1&gt;=Units!$Q55,MOD(DH$1-Units!$Q55,12)=0),IF(AND(Units!$L55=1,DH$1=Units!$Q55),1,Inputs!$B$15)*Inputs!$B$16*(1+Inputs!$B$11)^(DH$2-1),0)</f>
        <v>0</v>
      </c>
      <c r="DI56" s="11" t="n">
        <f aca="false">IF(AND(DI$1&gt;=Units!$Q55,MOD(DI$1-Units!$Q55,12)=0),IF(AND(Units!$L55=1,DI$1=Units!$Q55),1,Inputs!$B$15)*Inputs!$B$16*(1+Inputs!$B$11)^(DI$2-1),0)</f>
        <v>0</v>
      </c>
      <c r="DJ56" s="11" t="n">
        <f aca="false">IF(AND(DJ$1&gt;=Units!$Q55,MOD(DJ$1-Units!$Q55,12)=0),IF(AND(Units!$L55=1,DJ$1=Units!$Q55),1,Inputs!$B$15)*Inputs!$B$16*(1+Inputs!$B$11)^(DJ$2-1),0)</f>
        <v>0</v>
      </c>
      <c r="DK56" s="11" t="n">
        <f aca="false">IF(AND(DK$1&gt;=Units!$Q55,MOD(DK$1-Units!$Q55,12)=0),IF(AND(Units!$L55=1,DK$1=Units!$Q55),1,Inputs!$B$15)*Inputs!$B$16*(1+Inputs!$B$11)^(DK$2-1),0)</f>
        <v>0</v>
      </c>
      <c r="DL56" s="11" t="n">
        <f aca="false">IF(AND(DL$1&gt;=Units!$Q55,MOD(DL$1-Units!$Q55,12)=0),IF(AND(Units!$L55=1,DL$1=Units!$Q55),1,Inputs!$B$15)*Inputs!$B$16*(1+Inputs!$B$11)^(DL$2-1),0)</f>
        <v>0</v>
      </c>
      <c r="DM56" s="11" t="n">
        <f aca="false">IF(AND(DM$1&gt;=Units!$Q55,MOD(DM$1-Units!$Q55,12)=0),IF(AND(Units!$L55=1,DM$1=Units!$Q55),1,Inputs!$B$15)*Inputs!$B$16*(1+Inputs!$B$11)^(DM$2-1),0)</f>
        <v>652.386591914623</v>
      </c>
      <c r="DN56" s="11" t="n">
        <f aca="false">IF(AND(DN$1&gt;=Units!$Q55,MOD(DN$1-Units!$Q55,12)=0),IF(AND(Units!$L55=1,DN$1=Units!$Q55),1,Inputs!$B$15)*Inputs!$B$16*(1+Inputs!$B$11)^(DN$2-1),0)</f>
        <v>0</v>
      </c>
      <c r="DO56" s="11" t="n">
        <f aca="false">IF(AND(DO$1&gt;=Units!$Q55,MOD(DO$1-Units!$Q55,12)=0),IF(AND(Units!$L55=1,DO$1=Units!$Q55),1,Inputs!$B$15)*Inputs!$B$16*(1+Inputs!$B$11)^(DO$2-1),0)</f>
        <v>0</v>
      </c>
      <c r="DP56" s="11" t="n">
        <f aca="false">IF(AND(DP$1&gt;=Units!$Q55,MOD(DP$1-Units!$Q55,12)=0),IF(AND(Units!$L55=1,DP$1=Units!$Q55),1,Inputs!$B$15)*Inputs!$B$16*(1+Inputs!$B$11)^(DP$2-1),0)</f>
        <v>0</v>
      </c>
      <c r="DQ56" s="11" t="n">
        <f aca="false">IF(AND(DQ$1&gt;=Units!$Q55,MOD(DQ$1-Units!$Q55,12)=0),IF(AND(Units!$L55=1,DQ$1=Units!$Q55),1,Inputs!$B$15)*Inputs!$B$16*(1+Inputs!$B$11)^(DQ$2-1),0)</f>
        <v>0</v>
      </c>
      <c r="DR56" s="11" t="n">
        <f aca="false">IF(AND(DR$1&gt;=Units!$Q55,MOD(DR$1-Units!$Q55,12)=0),IF(AND(Units!$L55=1,DR$1=Units!$Q55),1,Inputs!$B$15)*Inputs!$B$16*(1+Inputs!$B$11)^(DR$2-1),0)</f>
        <v>0</v>
      </c>
      <c r="DS56" s="11" t="n">
        <f aca="false">IF(AND(DS$1&gt;=Units!$Q55,MOD(DS$1-Units!$Q55,12)=0),IF(AND(Units!$L55=1,DS$1=Units!$Q55),1,Inputs!$B$15)*Inputs!$B$16*(1+Inputs!$B$11)^(DS$2-1),0)</f>
        <v>0</v>
      </c>
      <c r="DT56" s="11" t="n">
        <f aca="false">IF(AND(DT$1&gt;=Units!$Q55,MOD(DT$1-Units!$Q55,12)=0),IF(AND(Units!$L55=1,DT$1=Units!$Q55),1,Inputs!$B$15)*Inputs!$B$16*(1+Inputs!$B$11)^(DT$2-1),0)</f>
        <v>0</v>
      </c>
      <c r="DU56" s="11" t="n">
        <f aca="false">IF(AND(DU$1&gt;=Units!$Q55,MOD(DU$1-Units!$Q55,12)=0),IF(AND(Units!$L55=1,DU$1=Units!$Q55),1,Inputs!$B$15)*Inputs!$B$16*(1+Inputs!$B$11)^(DU$2-1),0)</f>
        <v>0</v>
      </c>
      <c r="DV56" s="11" t="n">
        <f aca="false">IF(AND(DV$1&gt;=Units!$Q55,MOD(DV$1-Units!$Q55,12)=0),IF(AND(Units!$L55=1,DV$1=Units!$Q55),1,Inputs!$B$15)*Inputs!$B$16*(1+Inputs!$B$11)^(DV$2-1),0)</f>
        <v>0</v>
      </c>
      <c r="DW56" s="11" t="n">
        <f aca="false">IF(AND(DW$1&gt;=Units!$Q55,MOD(DW$1-Units!$Q55,12)=0),IF(AND(Units!$L55=1,DW$1=Units!$Q55),1,Inputs!$B$15)*Inputs!$B$16*(1+Inputs!$B$11)^(DW$2-1),0)</f>
        <v>0</v>
      </c>
      <c r="DX56" s="11" t="n">
        <f aca="false">IF(AND(DX$1&gt;=Units!$Q55,MOD(DX$1-Units!$Q55,12)=0),IF(AND(Units!$L55=1,DX$1=Units!$Q55),1,Inputs!$B$15)*Inputs!$B$16*(1+Inputs!$B$11)^(DX$2-1),0)</f>
        <v>0</v>
      </c>
      <c r="DY56" s="11" t="n">
        <f aca="false">IF(AND(DY$1&gt;=Units!$Q55,MOD(DY$1-Units!$Q55,12)=0),IF(AND(Units!$L55=1,DY$1=Units!$Q55),1,Inputs!$B$15)*Inputs!$B$16*(1+Inputs!$B$11)^(DY$2-1),0)</f>
        <v>671.958189672061</v>
      </c>
      <c r="DZ56" s="11" t="n">
        <f aca="false">IF(AND(DZ$1&gt;=Units!$Q55,MOD(DZ$1-Units!$Q55,12)=0),IF(AND(Units!$L55=1,DZ$1=Units!$Q55),1,Inputs!$B$15)*Inputs!$B$16*(1+Inputs!$B$11)^(DZ$2-1),0)</f>
        <v>0</v>
      </c>
      <c r="EA56" s="11" t="n">
        <f aca="false">IF(AND(EA$1&gt;=Units!$Q55,MOD(EA$1-Units!$Q55,12)=0),IF(AND(Units!$L55=1,EA$1=Units!$Q55),1,Inputs!$B$15)*Inputs!$B$16*(1+Inputs!$B$11)^(EA$2-1),0)</f>
        <v>0</v>
      </c>
      <c r="EB56" s="11" t="n">
        <f aca="false">IF(AND(EB$1&gt;=Units!$Q55,MOD(EB$1-Units!$Q55,12)=0),IF(AND(Units!$L55=1,EB$1=Units!$Q55),1,Inputs!$B$15)*Inputs!$B$16*(1+Inputs!$B$11)^(EB$2-1),0)</f>
        <v>0</v>
      </c>
      <c r="EC56" s="11" t="n">
        <f aca="false">IF(AND(EC$1&gt;=Units!$Q55,MOD(EC$1-Units!$Q55,12)=0),IF(AND(Units!$L55=1,EC$1=Units!$Q55),1,Inputs!$B$15)*Inputs!$B$16*(1+Inputs!$B$11)^(EC$2-1),0)</f>
        <v>0</v>
      </c>
      <c r="ED56" s="11" t="n">
        <f aca="false">IF(AND(ED$1&gt;=Units!$Q55,MOD(ED$1-Units!$Q55,12)=0),IF(AND(Units!$L55=1,ED$1=Units!$Q55),1,Inputs!$B$15)*Inputs!$B$16*(1+Inputs!$B$11)^(ED$2-1),0)</f>
        <v>0</v>
      </c>
    </row>
    <row r="57" customFormat="false" ht="15" hidden="false" customHeight="false" outlineLevel="0" collapsed="false">
      <c r="A57" s="22" t="n">
        <f aca="false">Units!A56</f>
        <v>225</v>
      </c>
      <c r="B57" s="23"/>
      <c r="C57" s="11" t="n">
        <f aca="false">IF(AND(C$1&gt;=Units!$Q56,MOD(C$1-Units!$Q56,12)=0),IF(AND(Units!$L56=1,C$1=Units!$Q56),1,Inputs!$B$15)*Inputs!$B$16*(1+Inputs!$B$11)^(C$2-1),0)</f>
        <v>0</v>
      </c>
      <c r="D57" s="11" t="n">
        <f aca="false">IF(AND(D$1&gt;=Units!$Q56,MOD(D$1-Units!$Q56,12)=0),IF(AND(Units!$L56=1,D$1=Units!$Q56),1,Inputs!$B$15)*Inputs!$B$16*(1+Inputs!$B$11)^(D$2-1),0)</f>
        <v>0</v>
      </c>
      <c r="E57" s="11" t="n">
        <f aca="false">IF(AND(E$1&gt;=Units!$Q56,MOD(E$1-Units!$Q56,12)=0),IF(AND(Units!$L56=1,E$1=Units!$Q56),1,Inputs!$B$15)*Inputs!$B$16*(1+Inputs!$B$11)^(E$2-1),0)</f>
        <v>0</v>
      </c>
      <c r="F57" s="11" t="n">
        <f aca="false">IF(AND(F$1&gt;=Units!$Q56,MOD(F$1-Units!$Q56,12)=0),IF(AND(Units!$L56=1,F$1=Units!$Q56),1,Inputs!$B$15)*Inputs!$B$16*(1+Inputs!$B$11)^(F$2-1),0)</f>
        <v>0</v>
      </c>
      <c r="G57" s="11" t="n">
        <f aca="false">IF(AND(G$1&gt;=Units!$Q56,MOD(G$1-Units!$Q56,12)=0),IF(AND(Units!$L56=1,G$1=Units!$Q56),1,Inputs!$B$15)*Inputs!$B$16*(1+Inputs!$B$11)^(G$2-1),0)</f>
        <v>0</v>
      </c>
      <c r="H57" s="11" t="n">
        <f aca="false">IF(AND(H$1&gt;=Units!$Q56,MOD(H$1-Units!$Q56,12)=0),IF(AND(Units!$L56=1,H$1=Units!$Q56),1,Inputs!$B$15)*Inputs!$B$16*(1+Inputs!$B$11)^(H$2-1),0)</f>
        <v>0</v>
      </c>
      <c r="I57" s="11" t="n">
        <f aca="false">IF(AND(I$1&gt;=Units!$Q56,MOD(I$1-Units!$Q56,12)=0),IF(AND(Units!$L56=1,I$1=Units!$Q56),1,Inputs!$B$15)*Inputs!$B$16*(1+Inputs!$B$11)^(I$2-1),0)</f>
        <v>0</v>
      </c>
      <c r="J57" s="11" t="n">
        <f aca="false">IF(AND(J$1&gt;=Units!$Q56,MOD(J$1-Units!$Q56,12)=0),IF(AND(Units!$L56=1,J$1=Units!$Q56),1,Inputs!$B$15)*Inputs!$B$16*(1+Inputs!$B$11)^(J$2-1),0)</f>
        <v>0</v>
      </c>
      <c r="K57" s="11" t="n">
        <f aca="false">IF(AND(K$1&gt;=Units!$Q56,MOD(K$1-Units!$Q56,12)=0),IF(AND(Units!$L56=1,K$1=Units!$Q56),1,Inputs!$B$15)*Inputs!$B$16*(1+Inputs!$B$11)^(K$2-1),0)</f>
        <v>0</v>
      </c>
      <c r="L57" s="11" t="n">
        <f aca="false">IF(AND(L$1&gt;=Units!$Q56,MOD(L$1-Units!$Q56,12)=0),IF(AND(Units!$L56=1,L$1=Units!$Q56),1,Inputs!$B$15)*Inputs!$B$16*(1+Inputs!$B$11)^(L$2-1),0)</f>
        <v>0</v>
      </c>
      <c r="M57" s="11" t="n">
        <f aca="false">IF(AND(M$1&gt;=Units!$Q56,MOD(M$1-Units!$Q56,12)=0),IF(AND(Units!$L56=1,M$1=Units!$Q56),1,Inputs!$B$15)*Inputs!$B$16*(1+Inputs!$B$11)^(M$2-1),0)</f>
        <v>0</v>
      </c>
      <c r="N57" s="11" t="n">
        <f aca="false">IF(AND(N$1&gt;=Units!$Q56,MOD(N$1-Units!$Q56,12)=0),IF(AND(Units!$L56=1,N$1=Units!$Q56),1,Inputs!$B$15)*Inputs!$B$16*(1+Inputs!$B$11)^(N$2-1),0)</f>
        <v>500</v>
      </c>
      <c r="O57" s="11" t="n">
        <f aca="false">IF(AND(O$1&gt;=Units!$Q56,MOD(O$1-Units!$Q56,12)=0),IF(AND(Units!$L56=1,O$1=Units!$Q56),1,Inputs!$B$15)*Inputs!$B$16*(1+Inputs!$B$11)^(O$2-1),0)</f>
        <v>0</v>
      </c>
      <c r="P57" s="11" t="n">
        <f aca="false">IF(AND(P$1&gt;=Units!$Q56,MOD(P$1-Units!$Q56,12)=0),IF(AND(Units!$L56=1,P$1=Units!$Q56),1,Inputs!$B$15)*Inputs!$B$16*(1+Inputs!$B$11)^(P$2-1),0)</f>
        <v>0</v>
      </c>
      <c r="Q57" s="11" t="n">
        <f aca="false">IF(AND(Q$1&gt;=Units!$Q56,MOD(Q$1-Units!$Q56,12)=0),IF(AND(Units!$L56=1,Q$1=Units!$Q56),1,Inputs!$B$15)*Inputs!$B$16*(1+Inputs!$B$11)^(Q$2-1),0)</f>
        <v>0</v>
      </c>
      <c r="R57" s="11" t="n">
        <f aca="false">IF(AND(R$1&gt;=Units!$Q56,MOD(R$1-Units!$Q56,12)=0),IF(AND(Units!$L56=1,R$1=Units!$Q56),1,Inputs!$B$15)*Inputs!$B$16*(1+Inputs!$B$11)^(R$2-1),0)</f>
        <v>0</v>
      </c>
      <c r="S57" s="11" t="n">
        <f aca="false">IF(AND(S$1&gt;=Units!$Q56,MOD(S$1-Units!$Q56,12)=0),IF(AND(Units!$L56=1,S$1=Units!$Q56),1,Inputs!$B$15)*Inputs!$B$16*(1+Inputs!$B$11)^(S$2-1),0)</f>
        <v>0</v>
      </c>
      <c r="T57" s="11" t="n">
        <f aca="false">IF(AND(T$1&gt;=Units!$Q56,MOD(T$1-Units!$Q56,12)=0),IF(AND(Units!$L56=1,T$1=Units!$Q56),1,Inputs!$B$15)*Inputs!$B$16*(1+Inputs!$B$11)^(T$2-1),0)</f>
        <v>0</v>
      </c>
      <c r="U57" s="11" t="n">
        <f aca="false">IF(AND(U$1&gt;=Units!$Q56,MOD(U$1-Units!$Q56,12)=0),IF(AND(Units!$L56=1,U$1=Units!$Q56),1,Inputs!$B$15)*Inputs!$B$16*(1+Inputs!$B$11)^(U$2-1),0)</f>
        <v>0</v>
      </c>
      <c r="V57" s="11" t="n">
        <f aca="false">IF(AND(V$1&gt;=Units!$Q56,MOD(V$1-Units!$Q56,12)=0),IF(AND(Units!$L56=1,V$1=Units!$Q56),1,Inputs!$B$15)*Inputs!$B$16*(1+Inputs!$B$11)^(V$2-1),0)</f>
        <v>0</v>
      </c>
      <c r="W57" s="11" t="n">
        <f aca="false">IF(AND(W$1&gt;=Units!$Q56,MOD(W$1-Units!$Q56,12)=0),IF(AND(Units!$L56=1,W$1=Units!$Q56),1,Inputs!$B$15)*Inputs!$B$16*(1+Inputs!$B$11)^(W$2-1),0)</f>
        <v>0</v>
      </c>
      <c r="X57" s="11" t="n">
        <f aca="false">IF(AND(X$1&gt;=Units!$Q56,MOD(X$1-Units!$Q56,12)=0),IF(AND(Units!$L56=1,X$1=Units!$Q56),1,Inputs!$B$15)*Inputs!$B$16*(1+Inputs!$B$11)^(X$2-1),0)</f>
        <v>0</v>
      </c>
      <c r="Y57" s="11" t="n">
        <f aca="false">IF(AND(Y$1&gt;=Units!$Q56,MOD(Y$1-Units!$Q56,12)=0),IF(AND(Units!$L56=1,Y$1=Units!$Q56),1,Inputs!$B$15)*Inputs!$B$16*(1+Inputs!$B$11)^(Y$2-1),0)</f>
        <v>0</v>
      </c>
      <c r="Z57" s="11" t="n">
        <f aca="false">IF(AND(Z$1&gt;=Units!$Q56,MOD(Z$1-Units!$Q56,12)=0),IF(AND(Units!$L56=1,Z$1=Units!$Q56),1,Inputs!$B$15)*Inputs!$B$16*(1+Inputs!$B$11)^(Z$2-1),0)</f>
        <v>515</v>
      </c>
      <c r="AA57" s="11" t="n">
        <f aca="false">IF(AND(AA$1&gt;=Units!$Q56,MOD(AA$1-Units!$Q56,12)=0),IF(AND(Units!$L56=1,AA$1=Units!$Q56),1,Inputs!$B$15)*Inputs!$B$16*(1+Inputs!$B$11)^(AA$2-1),0)</f>
        <v>0</v>
      </c>
      <c r="AB57" s="11" t="n">
        <f aca="false">IF(AND(AB$1&gt;=Units!$Q56,MOD(AB$1-Units!$Q56,12)=0),IF(AND(Units!$L56=1,AB$1=Units!$Q56),1,Inputs!$B$15)*Inputs!$B$16*(1+Inputs!$B$11)^(AB$2-1),0)</f>
        <v>0</v>
      </c>
      <c r="AC57" s="11" t="n">
        <f aca="false">IF(AND(AC$1&gt;=Units!$Q56,MOD(AC$1-Units!$Q56,12)=0),IF(AND(Units!$L56=1,AC$1=Units!$Q56),1,Inputs!$B$15)*Inputs!$B$16*(1+Inputs!$B$11)^(AC$2-1),0)</f>
        <v>0</v>
      </c>
      <c r="AD57" s="11" t="n">
        <f aca="false">IF(AND(AD$1&gt;=Units!$Q56,MOD(AD$1-Units!$Q56,12)=0),IF(AND(Units!$L56=1,AD$1=Units!$Q56),1,Inputs!$B$15)*Inputs!$B$16*(1+Inputs!$B$11)^(AD$2-1),0)</f>
        <v>0</v>
      </c>
      <c r="AE57" s="11" t="n">
        <f aca="false">IF(AND(AE$1&gt;=Units!$Q56,MOD(AE$1-Units!$Q56,12)=0),IF(AND(Units!$L56=1,AE$1=Units!$Q56),1,Inputs!$B$15)*Inputs!$B$16*(1+Inputs!$B$11)^(AE$2-1),0)</f>
        <v>0</v>
      </c>
      <c r="AF57" s="11" t="n">
        <f aca="false">IF(AND(AF$1&gt;=Units!$Q56,MOD(AF$1-Units!$Q56,12)=0),IF(AND(Units!$L56=1,AF$1=Units!$Q56),1,Inputs!$B$15)*Inputs!$B$16*(1+Inputs!$B$11)^(AF$2-1),0)</f>
        <v>0</v>
      </c>
      <c r="AG57" s="11" t="n">
        <f aca="false">IF(AND(AG$1&gt;=Units!$Q56,MOD(AG$1-Units!$Q56,12)=0),IF(AND(Units!$L56=1,AG$1=Units!$Q56),1,Inputs!$B$15)*Inputs!$B$16*(1+Inputs!$B$11)^(AG$2-1),0)</f>
        <v>0</v>
      </c>
      <c r="AH57" s="11" t="n">
        <f aca="false">IF(AND(AH$1&gt;=Units!$Q56,MOD(AH$1-Units!$Q56,12)=0),IF(AND(Units!$L56=1,AH$1=Units!$Q56),1,Inputs!$B$15)*Inputs!$B$16*(1+Inputs!$B$11)^(AH$2-1),0)</f>
        <v>0</v>
      </c>
      <c r="AI57" s="11" t="n">
        <f aca="false">IF(AND(AI$1&gt;=Units!$Q56,MOD(AI$1-Units!$Q56,12)=0),IF(AND(Units!$L56=1,AI$1=Units!$Q56),1,Inputs!$B$15)*Inputs!$B$16*(1+Inputs!$B$11)^(AI$2-1),0)</f>
        <v>0</v>
      </c>
      <c r="AJ57" s="11" t="n">
        <f aca="false">IF(AND(AJ$1&gt;=Units!$Q56,MOD(AJ$1-Units!$Q56,12)=0),IF(AND(Units!$L56=1,AJ$1=Units!$Q56),1,Inputs!$B$15)*Inputs!$B$16*(1+Inputs!$B$11)^(AJ$2-1),0)</f>
        <v>0</v>
      </c>
      <c r="AK57" s="11" t="n">
        <f aca="false">IF(AND(AK$1&gt;=Units!$Q56,MOD(AK$1-Units!$Q56,12)=0),IF(AND(Units!$L56=1,AK$1=Units!$Q56),1,Inputs!$B$15)*Inputs!$B$16*(1+Inputs!$B$11)^(AK$2-1),0)</f>
        <v>0</v>
      </c>
      <c r="AL57" s="11" t="n">
        <f aca="false">IF(AND(AL$1&gt;=Units!$Q56,MOD(AL$1-Units!$Q56,12)=0),IF(AND(Units!$L56=1,AL$1=Units!$Q56),1,Inputs!$B$15)*Inputs!$B$16*(1+Inputs!$B$11)^(AL$2-1),0)</f>
        <v>530.45</v>
      </c>
      <c r="AM57" s="11" t="n">
        <f aca="false">IF(AND(AM$1&gt;=Units!$Q56,MOD(AM$1-Units!$Q56,12)=0),IF(AND(Units!$L56=1,AM$1=Units!$Q56),1,Inputs!$B$15)*Inputs!$B$16*(1+Inputs!$B$11)^(AM$2-1),0)</f>
        <v>0</v>
      </c>
      <c r="AN57" s="11" t="n">
        <f aca="false">IF(AND(AN$1&gt;=Units!$Q56,MOD(AN$1-Units!$Q56,12)=0),IF(AND(Units!$L56=1,AN$1=Units!$Q56),1,Inputs!$B$15)*Inputs!$B$16*(1+Inputs!$B$11)^(AN$2-1),0)</f>
        <v>0</v>
      </c>
      <c r="AO57" s="11" t="n">
        <f aca="false">IF(AND(AO$1&gt;=Units!$Q56,MOD(AO$1-Units!$Q56,12)=0),IF(AND(Units!$L56=1,AO$1=Units!$Q56),1,Inputs!$B$15)*Inputs!$B$16*(1+Inputs!$B$11)^(AO$2-1),0)</f>
        <v>0</v>
      </c>
      <c r="AP57" s="11" t="n">
        <f aca="false">IF(AND(AP$1&gt;=Units!$Q56,MOD(AP$1-Units!$Q56,12)=0),IF(AND(Units!$L56=1,AP$1=Units!$Q56),1,Inputs!$B$15)*Inputs!$B$16*(1+Inputs!$B$11)^(AP$2-1),0)</f>
        <v>0</v>
      </c>
      <c r="AQ57" s="11" t="n">
        <f aca="false">IF(AND(AQ$1&gt;=Units!$Q56,MOD(AQ$1-Units!$Q56,12)=0),IF(AND(Units!$L56=1,AQ$1=Units!$Q56),1,Inputs!$B$15)*Inputs!$B$16*(1+Inputs!$B$11)^(AQ$2-1),0)</f>
        <v>0</v>
      </c>
      <c r="AR57" s="11" t="n">
        <f aca="false">IF(AND(AR$1&gt;=Units!$Q56,MOD(AR$1-Units!$Q56,12)=0),IF(AND(Units!$L56=1,AR$1=Units!$Q56),1,Inputs!$B$15)*Inputs!$B$16*(1+Inputs!$B$11)^(AR$2-1),0)</f>
        <v>0</v>
      </c>
      <c r="AS57" s="11" t="n">
        <f aca="false">IF(AND(AS$1&gt;=Units!$Q56,MOD(AS$1-Units!$Q56,12)=0),IF(AND(Units!$L56=1,AS$1=Units!$Q56),1,Inputs!$B$15)*Inputs!$B$16*(1+Inputs!$B$11)^(AS$2-1),0)</f>
        <v>0</v>
      </c>
      <c r="AT57" s="11" t="n">
        <f aca="false">IF(AND(AT$1&gt;=Units!$Q56,MOD(AT$1-Units!$Q56,12)=0),IF(AND(Units!$L56=1,AT$1=Units!$Q56),1,Inputs!$B$15)*Inputs!$B$16*(1+Inputs!$B$11)^(AT$2-1),0)</f>
        <v>0</v>
      </c>
      <c r="AU57" s="11" t="n">
        <f aca="false">IF(AND(AU$1&gt;=Units!$Q56,MOD(AU$1-Units!$Q56,12)=0),IF(AND(Units!$L56=1,AU$1=Units!$Q56),1,Inputs!$B$15)*Inputs!$B$16*(1+Inputs!$B$11)^(AU$2-1),0)</f>
        <v>0</v>
      </c>
      <c r="AV57" s="11" t="n">
        <f aca="false">IF(AND(AV$1&gt;=Units!$Q56,MOD(AV$1-Units!$Q56,12)=0),IF(AND(Units!$L56=1,AV$1=Units!$Q56),1,Inputs!$B$15)*Inputs!$B$16*(1+Inputs!$B$11)^(AV$2-1),0)</f>
        <v>0</v>
      </c>
      <c r="AW57" s="11" t="n">
        <f aca="false">IF(AND(AW$1&gt;=Units!$Q56,MOD(AW$1-Units!$Q56,12)=0),IF(AND(Units!$L56=1,AW$1=Units!$Q56),1,Inputs!$B$15)*Inputs!$B$16*(1+Inputs!$B$11)^(AW$2-1),0)</f>
        <v>0</v>
      </c>
      <c r="AX57" s="11" t="n">
        <f aca="false">IF(AND(AX$1&gt;=Units!$Q56,MOD(AX$1-Units!$Q56,12)=0),IF(AND(Units!$L56=1,AX$1=Units!$Q56),1,Inputs!$B$15)*Inputs!$B$16*(1+Inputs!$B$11)^(AX$2-1),0)</f>
        <v>546.3635</v>
      </c>
      <c r="AY57" s="11" t="n">
        <f aca="false">IF(AND(AY$1&gt;=Units!$Q56,MOD(AY$1-Units!$Q56,12)=0),IF(AND(Units!$L56=1,AY$1=Units!$Q56),1,Inputs!$B$15)*Inputs!$B$16*(1+Inputs!$B$11)^(AY$2-1),0)</f>
        <v>0</v>
      </c>
      <c r="AZ57" s="11" t="n">
        <f aca="false">IF(AND(AZ$1&gt;=Units!$Q56,MOD(AZ$1-Units!$Q56,12)=0),IF(AND(Units!$L56=1,AZ$1=Units!$Q56),1,Inputs!$B$15)*Inputs!$B$16*(1+Inputs!$B$11)^(AZ$2-1),0)</f>
        <v>0</v>
      </c>
      <c r="BA57" s="11" t="n">
        <f aca="false">IF(AND(BA$1&gt;=Units!$Q56,MOD(BA$1-Units!$Q56,12)=0),IF(AND(Units!$L56=1,BA$1=Units!$Q56),1,Inputs!$B$15)*Inputs!$B$16*(1+Inputs!$B$11)^(BA$2-1),0)</f>
        <v>0</v>
      </c>
      <c r="BB57" s="11" t="n">
        <f aca="false">IF(AND(BB$1&gt;=Units!$Q56,MOD(BB$1-Units!$Q56,12)=0),IF(AND(Units!$L56=1,BB$1=Units!$Q56),1,Inputs!$B$15)*Inputs!$B$16*(1+Inputs!$B$11)^(BB$2-1),0)</f>
        <v>0</v>
      </c>
      <c r="BC57" s="11" t="n">
        <f aca="false">IF(AND(BC$1&gt;=Units!$Q56,MOD(BC$1-Units!$Q56,12)=0),IF(AND(Units!$L56=1,BC$1=Units!$Q56),1,Inputs!$B$15)*Inputs!$B$16*(1+Inputs!$B$11)^(BC$2-1),0)</f>
        <v>0</v>
      </c>
      <c r="BD57" s="11" t="n">
        <f aca="false">IF(AND(BD$1&gt;=Units!$Q56,MOD(BD$1-Units!$Q56,12)=0),IF(AND(Units!$L56=1,BD$1=Units!$Q56),1,Inputs!$B$15)*Inputs!$B$16*(1+Inputs!$B$11)^(BD$2-1),0)</f>
        <v>0</v>
      </c>
      <c r="BE57" s="11" t="n">
        <f aca="false">IF(AND(BE$1&gt;=Units!$Q56,MOD(BE$1-Units!$Q56,12)=0),IF(AND(Units!$L56=1,BE$1=Units!$Q56),1,Inputs!$B$15)*Inputs!$B$16*(1+Inputs!$B$11)^(BE$2-1),0)</f>
        <v>0</v>
      </c>
      <c r="BF57" s="11" t="n">
        <f aca="false">IF(AND(BF$1&gt;=Units!$Q56,MOD(BF$1-Units!$Q56,12)=0),IF(AND(Units!$L56=1,BF$1=Units!$Q56),1,Inputs!$B$15)*Inputs!$B$16*(1+Inputs!$B$11)^(BF$2-1),0)</f>
        <v>0</v>
      </c>
      <c r="BG57" s="11" t="n">
        <f aca="false">IF(AND(BG$1&gt;=Units!$Q56,MOD(BG$1-Units!$Q56,12)=0),IF(AND(Units!$L56=1,BG$1=Units!$Q56),1,Inputs!$B$15)*Inputs!$B$16*(1+Inputs!$B$11)^(BG$2-1),0)</f>
        <v>0</v>
      </c>
      <c r="BH57" s="11" t="n">
        <f aca="false">IF(AND(BH$1&gt;=Units!$Q56,MOD(BH$1-Units!$Q56,12)=0),IF(AND(Units!$L56=1,BH$1=Units!$Q56),1,Inputs!$B$15)*Inputs!$B$16*(1+Inputs!$B$11)^(BH$2-1),0)</f>
        <v>0</v>
      </c>
      <c r="BI57" s="11" t="n">
        <f aca="false">IF(AND(BI$1&gt;=Units!$Q56,MOD(BI$1-Units!$Q56,12)=0),IF(AND(Units!$L56=1,BI$1=Units!$Q56),1,Inputs!$B$15)*Inputs!$B$16*(1+Inputs!$B$11)^(BI$2-1),0)</f>
        <v>0</v>
      </c>
      <c r="BJ57" s="11" t="n">
        <f aca="false">IF(AND(BJ$1&gt;=Units!$Q56,MOD(BJ$1-Units!$Q56,12)=0),IF(AND(Units!$L56=1,BJ$1=Units!$Q56),1,Inputs!$B$15)*Inputs!$B$16*(1+Inputs!$B$11)^(BJ$2-1),0)</f>
        <v>562.754405</v>
      </c>
      <c r="BK57" s="11" t="n">
        <f aca="false">IF(AND(BK$1&gt;=Units!$Q56,MOD(BK$1-Units!$Q56,12)=0),IF(AND(Units!$L56=1,BK$1=Units!$Q56),1,Inputs!$B$15)*Inputs!$B$16*(1+Inputs!$B$11)^(BK$2-1),0)</f>
        <v>0</v>
      </c>
      <c r="BL57" s="11" t="n">
        <f aca="false">IF(AND(BL$1&gt;=Units!$Q56,MOD(BL$1-Units!$Q56,12)=0),IF(AND(Units!$L56=1,BL$1=Units!$Q56),1,Inputs!$B$15)*Inputs!$B$16*(1+Inputs!$B$11)^(BL$2-1),0)</f>
        <v>0</v>
      </c>
      <c r="BM57" s="11" t="n">
        <f aca="false">IF(AND(BM$1&gt;=Units!$Q56,MOD(BM$1-Units!$Q56,12)=0),IF(AND(Units!$L56=1,BM$1=Units!$Q56),1,Inputs!$B$15)*Inputs!$B$16*(1+Inputs!$B$11)^(BM$2-1),0)</f>
        <v>0</v>
      </c>
      <c r="BN57" s="11" t="n">
        <f aca="false">IF(AND(BN$1&gt;=Units!$Q56,MOD(BN$1-Units!$Q56,12)=0),IF(AND(Units!$L56=1,BN$1=Units!$Q56),1,Inputs!$B$15)*Inputs!$B$16*(1+Inputs!$B$11)^(BN$2-1),0)</f>
        <v>0</v>
      </c>
      <c r="BO57" s="11" t="n">
        <f aca="false">IF(AND(BO$1&gt;=Units!$Q56,MOD(BO$1-Units!$Q56,12)=0),IF(AND(Units!$L56=1,BO$1=Units!$Q56),1,Inputs!$B$15)*Inputs!$B$16*(1+Inputs!$B$11)^(BO$2-1),0)</f>
        <v>0</v>
      </c>
      <c r="BP57" s="11" t="n">
        <f aca="false">IF(AND(BP$1&gt;=Units!$Q56,MOD(BP$1-Units!$Q56,12)=0),IF(AND(Units!$L56=1,BP$1=Units!$Q56),1,Inputs!$B$15)*Inputs!$B$16*(1+Inputs!$B$11)^(BP$2-1),0)</f>
        <v>0</v>
      </c>
      <c r="BQ57" s="11" t="n">
        <f aca="false">IF(AND(BQ$1&gt;=Units!$Q56,MOD(BQ$1-Units!$Q56,12)=0),IF(AND(Units!$L56=1,BQ$1=Units!$Q56),1,Inputs!$B$15)*Inputs!$B$16*(1+Inputs!$B$11)^(BQ$2-1),0)</f>
        <v>0</v>
      </c>
      <c r="BR57" s="11" t="n">
        <f aca="false">IF(AND(BR$1&gt;=Units!$Q56,MOD(BR$1-Units!$Q56,12)=0),IF(AND(Units!$L56=1,BR$1=Units!$Q56),1,Inputs!$B$15)*Inputs!$B$16*(1+Inputs!$B$11)^(BR$2-1),0)</f>
        <v>0</v>
      </c>
      <c r="BS57" s="11" t="n">
        <f aca="false">IF(AND(BS$1&gt;=Units!$Q56,MOD(BS$1-Units!$Q56,12)=0),IF(AND(Units!$L56=1,BS$1=Units!$Q56),1,Inputs!$B$15)*Inputs!$B$16*(1+Inputs!$B$11)^(BS$2-1),0)</f>
        <v>0</v>
      </c>
      <c r="BT57" s="11" t="n">
        <f aca="false">IF(AND(BT$1&gt;=Units!$Q56,MOD(BT$1-Units!$Q56,12)=0),IF(AND(Units!$L56=1,BT$1=Units!$Q56),1,Inputs!$B$15)*Inputs!$B$16*(1+Inputs!$B$11)^(BT$2-1),0)</f>
        <v>0</v>
      </c>
      <c r="BU57" s="11" t="n">
        <f aca="false">IF(AND(BU$1&gt;=Units!$Q56,MOD(BU$1-Units!$Q56,12)=0),IF(AND(Units!$L56=1,BU$1=Units!$Q56),1,Inputs!$B$15)*Inputs!$B$16*(1+Inputs!$B$11)^(BU$2-1),0)</f>
        <v>0</v>
      </c>
      <c r="BV57" s="11" t="n">
        <f aca="false">IF(AND(BV$1&gt;=Units!$Q56,MOD(BV$1-Units!$Q56,12)=0),IF(AND(Units!$L56=1,BV$1=Units!$Q56),1,Inputs!$B$15)*Inputs!$B$16*(1+Inputs!$B$11)^(BV$2-1),0)</f>
        <v>579.63703715</v>
      </c>
      <c r="BW57" s="11" t="n">
        <f aca="false">IF(AND(BW$1&gt;=Units!$Q56,MOD(BW$1-Units!$Q56,12)=0),IF(AND(Units!$L56=1,BW$1=Units!$Q56),1,Inputs!$B$15)*Inputs!$B$16*(1+Inputs!$B$11)^(BW$2-1),0)</f>
        <v>0</v>
      </c>
      <c r="BX57" s="11" t="n">
        <f aca="false">IF(AND(BX$1&gt;=Units!$Q56,MOD(BX$1-Units!$Q56,12)=0),IF(AND(Units!$L56=1,BX$1=Units!$Q56),1,Inputs!$B$15)*Inputs!$B$16*(1+Inputs!$B$11)^(BX$2-1),0)</f>
        <v>0</v>
      </c>
      <c r="BY57" s="11" t="n">
        <f aca="false">IF(AND(BY$1&gt;=Units!$Q56,MOD(BY$1-Units!$Q56,12)=0),IF(AND(Units!$L56=1,BY$1=Units!$Q56),1,Inputs!$B$15)*Inputs!$B$16*(1+Inputs!$B$11)^(BY$2-1),0)</f>
        <v>0</v>
      </c>
      <c r="BZ57" s="11" t="n">
        <f aca="false">IF(AND(BZ$1&gt;=Units!$Q56,MOD(BZ$1-Units!$Q56,12)=0),IF(AND(Units!$L56=1,BZ$1=Units!$Q56),1,Inputs!$B$15)*Inputs!$B$16*(1+Inputs!$B$11)^(BZ$2-1),0)</f>
        <v>0</v>
      </c>
      <c r="CA57" s="11" t="n">
        <f aca="false">IF(AND(CA$1&gt;=Units!$Q56,MOD(CA$1-Units!$Q56,12)=0),IF(AND(Units!$L56=1,CA$1=Units!$Q56),1,Inputs!$B$15)*Inputs!$B$16*(1+Inputs!$B$11)^(CA$2-1),0)</f>
        <v>0</v>
      </c>
      <c r="CB57" s="11" t="n">
        <f aca="false">IF(AND(CB$1&gt;=Units!$Q56,MOD(CB$1-Units!$Q56,12)=0),IF(AND(Units!$L56=1,CB$1=Units!$Q56),1,Inputs!$B$15)*Inputs!$B$16*(1+Inputs!$B$11)^(CB$2-1),0)</f>
        <v>0</v>
      </c>
      <c r="CC57" s="11" t="n">
        <f aca="false">IF(AND(CC$1&gt;=Units!$Q56,MOD(CC$1-Units!$Q56,12)=0),IF(AND(Units!$L56=1,CC$1=Units!$Q56),1,Inputs!$B$15)*Inputs!$B$16*(1+Inputs!$B$11)^(CC$2-1),0)</f>
        <v>0</v>
      </c>
      <c r="CD57" s="11" t="n">
        <f aca="false">IF(AND(CD$1&gt;=Units!$Q56,MOD(CD$1-Units!$Q56,12)=0),IF(AND(Units!$L56=1,CD$1=Units!$Q56),1,Inputs!$B$15)*Inputs!$B$16*(1+Inputs!$B$11)^(CD$2-1),0)</f>
        <v>0</v>
      </c>
      <c r="CE57" s="11" t="n">
        <f aca="false">IF(AND(CE$1&gt;=Units!$Q56,MOD(CE$1-Units!$Q56,12)=0),IF(AND(Units!$L56=1,CE$1=Units!$Q56),1,Inputs!$B$15)*Inputs!$B$16*(1+Inputs!$B$11)^(CE$2-1),0)</f>
        <v>0</v>
      </c>
      <c r="CF57" s="11" t="n">
        <f aca="false">IF(AND(CF$1&gt;=Units!$Q56,MOD(CF$1-Units!$Q56,12)=0),IF(AND(Units!$L56=1,CF$1=Units!$Q56),1,Inputs!$B$15)*Inputs!$B$16*(1+Inputs!$B$11)^(CF$2-1),0)</f>
        <v>0</v>
      </c>
      <c r="CG57" s="11" t="n">
        <f aca="false">IF(AND(CG$1&gt;=Units!$Q56,MOD(CG$1-Units!$Q56,12)=0),IF(AND(Units!$L56=1,CG$1=Units!$Q56),1,Inputs!$B$15)*Inputs!$B$16*(1+Inputs!$B$11)^(CG$2-1),0)</f>
        <v>0</v>
      </c>
      <c r="CH57" s="11" t="n">
        <f aca="false">IF(AND(CH$1&gt;=Units!$Q56,MOD(CH$1-Units!$Q56,12)=0),IF(AND(Units!$L56=1,CH$1=Units!$Q56),1,Inputs!$B$15)*Inputs!$B$16*(1+Inputs!$B$11)^(CH$2-1),0)</f>
        <v>597.0261482645</v>
      </c>
      <c r="CI57" s="11" t="n">
        <f aca="false">IF(AND(CI$1&gt;=Units!$Q56,MOD(CI$1-Units!$Q56,12)=0),IF(AND(Units!$L56=1,CI$1=Units!$Q56),1,Inputs!$B$15)*Inputs!$B$16*(1+Inputs!$B$11)^(CI$2-1),0)</f>
        <v>0</v>
      </c>
      <c r="CJ57" s="11" t="n">
        <f aca="false">IF(AND(CJ$1&gt;=Units!$Q56,MOD(CJ$1-Units!$Q56,12)=0),IF(AND(Units!$L56=1,CJ$1=Units!$Q56),1,Inputs!$B$15)*Inputs!$B$16*(1+Inputs!$B$11)^(CJ$2-1),0)</f>
        <v>0</v>
      </c>
      <c r="CK57" s="11" t="n">
        <f aca="false">IF(AND(CK$1&gt;=Units!$Q56,MOD(CK$1-Units!$Q56,12)=0),IF(AND(Units!$L56=1,CK$1=Units!$Q56),1,Inputs!$B$15)*Inputs!$B$16*(1+Inputs!$B$11)^(CK$2-1),0)</f>
        <v>0</v>
      </c>
      <c r="CL57" s="11" t="n">
        <f aca="false">IF(AND(CL$1&gt;=Units!$Q56,MOD(CL$1-Units!$Q56,12)=0),IF(AND(Units!$L56=1,CL$1=Units!$Q56),1,Inputs!$B$15)*Inputs!$B$16*(1+Inputs!$B$11)^(CL$2-1),0)</f>
        <v>0</v>
      </c>
      <c r="CM57" s="11" t="n">
        <f aca="false">IF(AND(CM$1&gt;=Units!$Q56,MOD(CM$1-Units!$Q56,12)=0),IF(AND(Units!$L56=1,CM$1=Units!$Q56),1,Inputs!$B$15)*Inputs!$B$16*(1+Inputs!$B$11)^(CM$2-1),0)</f>
        <v>0</v>
      </c>
      <c r="CN57" s="11" t="n">
        <f aca="false">IF(AND(CN$1&gt;=Units!$Q56,MOD(CN$1-Units!$Q56,12)=0),IF(AND(Units!$L56=1,CN$1=Units!$Q56),1,Inputs!$B$15)*Inputs!$B$16*(1+Inputs!$B$11)^(CN$2-1),0)</f>
        <v>0</v>
      </c>
      <c r="CO57" s="11" t="n">
        <f aca="false">IF(AND(CO$1&gt;=Units!$Q56,MOD(CO$1-Units!$Q56,12)=0),IF(AND(Units!$L56=1,CO$1=Units!$Q56),1,Inputs!$B$15)*Inputs!$B$16*(1+Inputs!$B$11)^(CO$2-1),0)</f>
        <v>0</v>
      </c>
      <c r="CP57" s="11" t="n">
        <f aca="false">IF(AND(CP$1&gt;=Units!$Q56,MOD(CP$1-Units!$Q56,12)=0),IF(AND(Units!$L56=1,CP$1=Units!$Q56),1,Inputs!$B$15)*Inputs!$B$16*(1+Inputs!$B$11)^(CP$2-1),0)</f>
        <v>0</v>
      </c>
      <c r="CQ57" s="11" t="n">
        <f aca="false">IF(AND(CQ$1&gt;=Units!$Q56,MOD(CQ$1-Units!$Q56,12)=0),IF(AND(Units!$L56=1,CQ$1=Units!$Q56),1,Inputs!$B$15)*Inputs!$B$16*(1+Inputs!$B$11)^(CQ$2-1),0)</f>
        <v>0</v>
      </c>
      <c r="CR57" s="11" t="n">
        <f aca="false">IF(AND(CR$1&gt;=Units!$Q56,MOD(CR$1-Units!$Q56,12)=0),IF(AND(Units!$L56=1,CR$1=Units!$Q56),1,Inputs!$B$15)*Inputs!$B$16*(1+Inputs!$B$11)^(CR$2-1),0)</f>
        <v>0</v>
      </c>
      <c r="CS57" s="11" t="n">
        <f aca="false">IF(AND(CS$1&gt;=Units!$Q56,MOD(CS$1-Units!$Q56,12)=0),IF(AND(Units!$L56=1,CS$1=Units!$Q56),1,Inputs!$B$15)*Inputs!$B$16*(1+Inputs!$B$11)^(CS$2-1),0)</f>
        <v>0</v>
      </c>
      <c r="CT57" s="11" t="n">
        <f aca="false">IF(AND(CT$1&gt;=Units!$Q56,MOD(CT$1-Units!$Q56,12)=0),IF(AND(Units!$L56=1,CT$1=Units!$Q56),1,Inputs!$B$15)*Inputs!$B$16*(1+Inputs!$B$11)^(CT$2-1),0)</f>
        <v>614.936932712435</v>
      </c>
      <c r="CU57" s="11" t="n">
        <f aca="false">IF(AND(CU$1&gt;=Units!$Q56,MOD(CU$1-Units!$Q56,12)=0),IF(AND(Units!$L56=1,CU$1=Units!$Q56),1,Inputs!$B$15)*Inputs!$B$16*(1+Inputs!$B$11)^(CU$2-1),0)</f>
        <v>0</v>
      </c>
      <c r="CV57" s="11" t="n">
        <f aca="false">IF(AND(CV$1&gt;=Units!$Q56,MOD(CV$1-Units!$Q56,12)=0),IF(AND(Units!$L56=1,CV$1=Units!$Q56),1,Inputs!$B$15)*Inputs!$B$16*(1+Inputs!$B$11)^(CV$2-1),0)</f>
        <v>0</v>
      </c>
      <c r="CW57" s="11" t="n">
        <f aca="false">IF(AND(CW$1&gt;=Units!$Q56,MOD(CW$1-Units!$Q56,12)=0),IF(AND(Units!$L56=1,CW$1=Units!$Q56),1,Inputs!$B$15)*Inputs!$B$16*(1+Inputs!$B$11)^(CW$2-1),0)</f>
        <v>0</v>
      </c>
      <c r="CX57" s="11" t="n">
        <f aca="false">IF(AND(CX$1&gt;=Units!$Q56,MOD(CX$1-Units!$Q56,12)=0),IF(AND(Units!$L56=1,CX$1=Units!$Q56),1,Inputs!$B$15)*Inputs!$B$16*(1+Inputs!$B$11)^(CX$2-1),0)</f>
        <v>0</v>
      </c>
      <c r="CY57" s="11" t="n">
        <f aca="false">IF(AND(CY$1&gt;=Units!$Q56,MOD(CY$1-Units!$Q56,12)=0),IF(AND(Units!$L56=1,CY$1=Units!$Q56),1,Inputs!$B$15)*Inputs!$B$16*(1+Inputs!$B$11)^(CY$2-1),0)</f>
        <v>0</v>
      </c>
      <c r="CZ57" s="11" t="n">
        <f aca="false">IF(AND(CZ$1&gt;=Units!$Q56,MOD(CZ$1-Units!$Q56,12)=0),IF(AND(Units!$L56=1,CZ$1=Units!$Q56),1,Inputs!$B$15)*Inputs!$B$16*(1+Inputs!$B$11)^(CZ$2-1),0)</f>
        <v>0</v>
      </c>
      <c r="DA57" s="11" t="n">
        <f aca="false">IF(AND(DA$1&gt;=Units!$Q56,MOD(DA$1-Units!$Q56,12)=0),IF(AND(Units!$L56=1,DA$1=Units!$Q56),1,Inputs!$B$15)*Inputs!$B$16*(1+Inputs!$B$11)^(DA$2-1),0)</f>
        <v>0</v>
      </c>
      <c r="DB57" s="11" t="n">
        <f aca="false">IF(AND(DB$1&gt;=Units!$Q56,MOD(DB$1-Units!$Q56,12)=0),IF(AND(Units!$L56=1,DB$1=Units!$Q56),1,Inputs!$B$15)*Inputs!$B$16*(1+Inputs!$B$11)^(DB$2-1),0)</f>
        <v>0</v>
      </c>
      <c r="DC57" s="11" t="n">
        <f aca="false">IF(AND(DC$1&gt;=Units!$Q56,MOD(DC$1-Units!$Q56,12)=0),IF(AND(Units!$L56=1,DC$1=Units!$Q56),1,Inputs!$B$15)*Inputs!$B$16*(1+Inputs!$B$11)^(DC$2-1),0)</f>
        <v>0</v>
      </c>
      <c r="DD57" s="11" t="n">
        <f aca="false">IF(AND(DD$1&gt;=Units!$Q56,MOD(DD$1-Units!$Q56,12)=0),IF(AND(Units!$L56=1,DD$1=Units!$Q56),1,Inputs!$B$15)*Inputs!$B$16*(1+Inputs!$B$11)^(DD$2-1),0)</f>
        <v>0</v>
      </c>
      <c r="DE57" s="11" t="n">
        <f aca="false">IF(AND(DE$1&gt;=Units!$Q56,MOD(DE$1-Units!$Q56,12)=0),IF(AND(Units!$L56=1,DE$1=Units!$Q56),1,Inputs!$B$15)*Inputs!$B$16*(1+Inputs!$B$11)^(DE$2-1),0)</f>
        <v>0</v>
      </c>
      <c r="DF57" s="11" t="n">
        <f aca="false">IF(AND(DF$1&gt;=Units!$Q56,MOD(DF$1-Units!$Q56,12)=0),IF(AND(Units!$L56=1,DF$1=Units!$Q56),1,Inputs!$B$15)*Inputs!$B$16*(1+Inputs!$B$11)^(DF$2-1),0)</f>
        <v>633.385040693808</v>
      </c>
      <c r="DG57" s="11" t="n">
        <f aca="false">IF(AND(DG$1&gt;=Units!$Q56,MOD(DG$1-Units!$Q56,12)=0),IF(AND(Units!$L56=1,DG$1=Units!$Q56),1,Inputs!$B$15)*Inputs!$B$16*(1+Inputs!$B$11)^(DG$2-1),0)</f>
        <v>0</v>
      </c>
      <c r="DH57" s="11" t="n">
        <f aca="false">IF(AND(DH$1&gt;=Units!$Q56,MOD(DH$1-Units!$Q56,12)=0),IF(AND(Units!$L56=1,DH$1=Units!$Q56),1,Inputs!$B$15)*Inputs!$B$16*(1+Inputs!$B$11)^(DH$2-1),0)</f>
        <v>0</v>
      </c>
      <c r="DI57" s="11" t="n">
        <f aca="false">IF(AND(DI$1&gt;=Units!$Q56,MOD(DI$1-Units!$Q56,12)=0),IF(AND(Units!$L56=1,DI$1=Units!$Q56),1,Inputs!$B$15)*Inputs!$B$16*(1+Inputs!$B$11)^(DI$2-1),0)</f>
        <v>0</v>
      </c>
      <c r="DJ57" s="11" t="n">
        <f aca="false">IF(AND(DJ$1&gt;=Units!$Q56,MOD(DJ$1-Units!$Q56,12)=0),IF(AND(Units!$L56=1,DJ$1=Units!$Q56),1,Inputs!$B$15)*Inputs!$B$16*(1+Inputs!$B$11)^(DJ$2-1),0)</f>
        <v>0</v>
      </c>
      <c r="DK57" s="11" t="n">
        <f aca="false">IF(AND(DK$1&gt;=Units!$Q56,MOD(DK$1-Units!$Q56,12)=0),IF(AND(Units!$L56=1,DK$1=Units!$Q56),1,Inputs!$B$15)*Inputs!$B$16*(1+Inputs!$B$11)^(DK$2-1),0)</f>
        <v>0</v>
      </c>
      <c r="DL57" s="11" t="n">
        <f aca="false">IF(AND(DL$1&gt;=Units!$Q56,MOD(DL$1-Units!$Q56,12)=0),IF(AND(Units!$L56=1,DL$1=Units!$Q56),1,Inputs!$B$15)*Inputs!$B$16*(1+Inputs!$B$11)^(DL$2-1),0)</f>
        <v>0</v>
      </c>
      <c r="DM57" s="11" t="n">
        <f aca="false">IF(AND(DM$1&gt;=Units!$Q56,MOD(DM$1-Units!$Q56,12)=0),IF(AND(Units!$L56=1,DM$1=Units!$Q56),1,Inputs!$B$15)*Inputs!$B$16*(1+Inputs!$B$11)^(DM$2-1),0)</f>
        <v>0</v>
      </c>
      <c r="DN57" s="11" t="n">
        <f aca="false">IF(AND(DN$1&gt;=Units!$Q56,MOD(DN$1-Units!$Q56,12)=0),IF(AND(Units!$L56=1,DN$1=Units!$Q56),1,Inputs!$B$15)*Inputs!$B$16*(1+Inputs!$B$11)^(DN$2-1),0)</f>
        <v>0</v>
      </c>
      <c r="DO57" s="11" t="n">
        <f aca="false">IF(AND(DO$1&gt;=Units!$Q56,MOD(DO$1-Units!$Q56,12)=0),IF(AND(Units!$L56=1,DO$1=Units!$Q56),1,Inputs!$B$15)*Inputs!$B$16*(1+Inputs!$B$11)^(DO$2-1),0)</f>
        <v>0</v>
      </c>
      <c r="DP57" s="11" t="n">
        <f aca="false">IF(AND(DP$1&gt;=Units!$Q56,MOD(DP$1-Units!$Q56,12)=0),IF(AND(Units!$L56=1,DP$1=Units!$Q56),1,Inputs!$B$15)*Inputs!$B$16*(1+Inputs!$B$11)^(DP$2-1),0)</f>
        <v>0</v>
      </c>
      <c r="DQ57" s="11" t="n">
        <f aca="false">IF(AND(DQ$1&gt;=Units!$Q56,MOD(DQ$1-Units!$Q56,12)=0),IF(AND(Units!$L56=1,DQ$1=Units!$Q56),1,Inputs!$B$15)*Inputs!$B$16*(1+Inputs!$B$11)^(DQ$2-1),0)</f>
        <v>0</v>
      </c>
      <c r="DR57" s="11" t="n">
        <f aca="false">IF(AND(DR$1&gt;=Units!$Q56,MOD(DR$1-Units!$Q56,12)=0),IF(AND(Units!$L56=1,DR$1=Units!$Q56),1,Inputs!$B$15)*Inputs!$B$16*(1+Inputs!$B$11)^(DR$2-1),0)</f>
        <v>652.386591914623</v>
      </c>
      <c r="DS57" s="11" t="n">
        <f aca="false">IF(AND(DS$1&gt;=Units!$Q56,MOD(DS$1-Units!$Q56,12)=0),IF(AND(Units!$L56=1,DS$1=Units!$Q56),1,Inputs!$B$15)*Inputs!$B$16*(1+Inputs!$B$11)^(DS$2-1),0)</f>
        <v>0</v>
      </c>
      <c r="DT57" s="11" t="n">
        <f aca="false">IF(AND(DT$1&gt;=Units!$Q56,MOD(DT$1-Units!$Q56,12)=0),IF(AND(Units!$L56=1,DT$1=Units!$Q56),1,Inputs!$B$15)*Inputs!$B$16*(1+Inputs!$B$11)^(DT$2-1),0)</f>
        <v>0</v>
      </c>
      <c r="DU57" s="11" t="n">
        <f aca="false">IF(AND(DU$1&gt;=Units!$Q56,MOD(DU$1-Units!$Q56,12)=0),IF(AND(Units!$L56=1,DU$1=Units!$Q56),1,Inputs!$B$15)*Inputs!$B$16*(1+Inputs!$B$11)^(DU$2-1),0)</f>
        <v>0</v>
      </c>
      <c r="DV57" s="11" t="n">
        <f aca="false">IF(AND(DV$1&gt;=Units!$Q56,MOD(DV$1-Units!$Q56,12)=0),IF(AND(Units!$L56=1,DV$1=Units!$Q56),1,Inputs!$B$15)*Inputs!$B$16*(1+Inputs!$B$11)^(DV$2-1),0)</f>
        <v>0</v>
      </c>
      <c r="DW57" s="11" t="n">
        <f aca="false">IF(AND(DW$1&gt;=Units!$Q56,MOD(DW$1-Units!$Q56,12)=0),IF(AND(Units!$L56=1,DW$1=Units!$Q56),1,Inputs!$B$15)*Inputs!$B$16*(1+Inputs!$B$11)^(DW$2-1),0)</f>
        <v>0</v>
      </c>
      <c r="DX57" s="11" t="n">
        <f aca="false">IF(AND(DX$1&gt;=Units!$Q56,MOD(DX$1-Units!$Q56,12)=0),IF(AND(Units!$L56=1,DX$1=Units!$Q56),1,Inputs!$B$15)*Inputs!$B$16*(1+Inputs!$B$11)^(DX$2-1),0)</f>
        <v>0</v>
      </c>
      <c r="DY57" s="11" t="n">
        <f aca="false">IF(AND(DY$1&gt;=Units!$Q56,MOD(DY$1-Units!$Q56,12)=0),IF(AND(Units!$L56=1,DY$1=Units!$Q56),1,Inputs!$B$15)*Inputs!$B$16*(1+Inputs!$B$11)^(DY$2-1),0)</f>
        <v>0</v>
      </c>
      <c r="DZ57" s="11" t="n">
        <f aca="false">IF(AND(DZ$1&gt;=Units!$Q56,MOD(DZ$1-Units!$Q56,12)=0),IF(AND(Units!$L56=1,DZ$1=Units!$Q56),1,Inputs!$B$15)*Inputs!$B$16*(1+Inputs!$B$11)^(DZ$2-1),0)</f>
        <v>0</v>
      </c>
      <c r="EA57" s="11" t="n">
        <f aca="false">IF(AND(EA$1&gt;=Units!$Q56,MOD(EA$1-Units!$Q56,12)=0),IF(AND(Units!$L56=1,EA$1=Units!$Q56),1,Inputs!$B$15)*Inputs!$B$16*(1+Inputs!$B$11)^(EA$2-1),0)</f>
        <v>0</v>
      </c>
      <c r="EB57" s="11" t="n">
        <f aca="false">IF(AND(EB$1&gt;=Units!$Q56,MOD(EB$1-Units!$Q56,12)=0),IF(AND(Units!$L56=1,EB$1=Units!$Q56),1,Inputs!$B$15)*Inputs!$B$16*(1+Inputs!$B$11)^(EB$2-1),0)</f>
        <v>0</v>
      </c>
      <c r="EC57" s="11" t="n">
        <f aca="false">IF(AND(EC$1&gt;=Units!$Q56,MOD(EC$1-Units!$Q56,12)=0),IF(AND(Units!$L56=1,EC$1=Units!$Q56),1,Inputs!$B$15)*Inputs!$B$16*(1+Inputs!$B$11)^(EC$2-1),0)</f>
        <v>0</v>
      </c>
      <c r="ED57" s="11" t="n">
        <f aca="false">IF(AND(ED$1&gt;=Units!$Q56,MOD(ED$1-Units!$Q56,12)=0),IF(AND(Units!$L56=1,ED$1=Units!$Q56),1,Inputs!$B$15)*Inputs!$B$16*(1+Inputs!$B$11)^(ED$2-1),0)</f>
        <v>671.958189672061</v>
      </c>
    </row>
    <row r="58" customFormat="false" ht="15" hidden="false" customHeight="false" outlineLevel="0" collapsed="false">
      <c r="A58" s="22" t="n">
        <f aca="false">Units!A57</f>
        <v>226</v>
      </c>
      <c r="B58" s="23"/>
      <c r="C58" s="11" t="n">
        <f aca="false">IF(AND(C$1&gt;=Units!$Q57,MOD(C$1-Units!$Q57,12)=0),IF(AND(Units!$L57=1,C$1=Units!$Q57),1,Inputs!$B$15)*Inputs!$B$16*(1+Inputs!$B$11)^(C$2-1),0)</f>
        <v>0</v>
      </c>
      <c r="D58" s="11" t="n">
        <f aca="false">IF(AND(D$1&gt;=Units!$Q57,MOD(D$1-Units!$Q57,12)=0),IF(AND(Units!$L57=1,D$1=Units!$Q57),1,Inputs!$B$15)*Inputs!$B$16*(1+Inputs!$B$11)^(D$2-1),0)</f>
        <v>0</v>
      </c>
      <c r="E58" s="11" t="n">
        <f aca="false">IF(AND(E$1&gt;=Units!$Q57,MOD(E$1-Units!$Q57,12)=0),IF(AND(Units!$L57=1,E$1=Units!$Q57),1,Inputs!$B$15)*Inputs!$B$16*(1+Inputs!$B$11)^(E$2-1),0)</f>
        <v>0</v>
      </c>
      <c r="F58" s="11" t="n">
        <f aca="false">IF(AND(F$1&gt;=Units!$Q57,MOD(F$1-Units!$Q57,12)=0),IF(AND(Units!$L57=1,F$1=Units!$Q57),1,Inputs!$B$15)*Inputs!$B$16*(1+Inputs!$B$11)^(F$2-1),0)</f>
        <v>0</v>
      </c>
      <c r="G58" s="11" t="n">
        <f aca="false">IF(AND(G$1&gt;=Units!$Q57,MOD(G$1-Units!$Q57,12)=0),IF(AND(Units!$L57=1,G$1=Units!$Q57),1,Inputs!$B$15)*Inputs!$B$16*(1+Inputs!$B$11)^(G$2-1),0)</f>
        <v>0</v>
      </c>
      <c r="H58" s="11" t="n">
        <f aca="false">IF(AND(H$1&gt;=Units!$Q57,MOD(H$1-Units!$Q57,12)=0),IF(AND(Units!$L57=1,H$1=Units!$Q57),1,Inputs!$B$15)*Inputs!$B$16*(1+Inputs!$B$11)^(H$2-1),0)</f>
        <v>0</v>
      </c>
      <c r="I58" s="11" t="n">
        <f aca="false">IF(AND(I$1&gt;=Units!$Q57,MOD(I$1-Units!$Q57,12)=0),IF(AND(Units!$L57=1,I$1=Units!$Q57),1,Inputs!$B$15)*Inputs!$B$16*(1+Inputs!$B$11)^(I$2-1),0)</f>
        <v>0</v>
      </c>
      <c r="J58" s="11" t="n">
        <f aca="false">IF(AND(J$1&gt;=Units!$Q57,MOD(J$1-Units!$Q57,12)=0),IF(AND(Units!$L57=1,J$1=Units!$Q57),1,Inputs!$B$15)*Inputs!$B$16*(1+Inputs!$B$11)^(J$2-1),0)</f>
        <v>500</v>
      </c>
      <c r="K58" s="11" t="n">
        <f aca="false">IF(AND(K$1&gt;=Units!$Q57,MOD(K$1-Units!$Q57,12)=0),IF(AND(Units!$L57=1,K$1=Units!$Q57),1,Inputs!$B$15)*Inputs!$B$16*(1+Inputs!$B$11)^(K$2-1),0)</f>
        <v>0</v>
      </c>
      <c r="L58" s="11" t="n">
        <f aca="false">IF(AND(L$1&gt;=Units!$Q57,MOD(L$1-Units!$Q57,12)=0),IF(AND(Units!$L57=1,L$1=Units!$Q57),1,Inputs!$B$15)*Inputs!$B$16*(1+Inputs!$B$11)^(L$2-1),0)</f>
        <v>0</v>
      </c>
      <c r="M58" s="11" t="n">
        <f aca="false">IF(AND(M$1&gt;=Units!$Q57,MOD(M$1-Units!$Q57,12)=0),IF(AND(Units!$L57=1,M$1=Units!$Q57),1,Inputs!$B$15)*Inputs!$B$16*(1+Inputs!$B$11)^(M$2-1),0)</f>
        <v>0</v>
      </c>
      <c r="N58" s="11" t="n">
        <f aca="false">IF(AND(N$1&gt;=Units!$Q57,MOD(N$1-Units!$Q57,12)=0),IF(AND(Units!$L57=1,N$1=Units!$Q57),1,Inputs!$B$15)*Inputs!$B$16*(1+Inputs!$B$11)^(N$2-1),0)</f>
        <v>0</v>
      </c>
      <c r="O58" s="11" t="n">
        <f aca="false">IF(AND(O$1&gt;=Units!$Q57,MOD(O$1-Units!$Q57,12)=0),IF(AND(Units!$L57=1,O$1=Units!$Q57),1,Inputs!$B$15)*Inputs!$B$16*(1+Inputs!$B$11)^(O$2-1),0)</f>
        <v>0</v>
      </c>
      <c r="P58" s="11" t="n">
        <f aca="false">IF(AND(P$1&gt;=Units!$Q57,MOD(P$1-Units!$Q57,12)=0),IF(AND(Units!$L57=1,P$1=Units!$Q57),1,Inputs!$B$15)*Inputs!$B$16*(1+Inputs!$B$11)^(P$2-1),0)</f>
        <v>0</v>
      </c>
      <c r="Q58" s="11" t="n">
        <f aca="false">IF(AND(Q$1&gt;=Units!$Q57,MOD(Q$1-Units!$Q57,12)=0),IF(AND(Units!$L57=1,Q$1=Units!$Q57),1,Inputs!$B$15)*Inputs!$B$16*(1+Inputs!$B$11)^(Q$2-1),0)</f>
        <v>0</v>
      </c>
      <c r="R58" s="11" t="n">
        <f aca="false">IF(AND(R$1&gt;=Units!$Q57,MOD(R$1-Units!$Q57,12)=0),IF(AND(Units!$L57=1,R$1=Units!$Q57),1,Inputs!$B$15)*Inputs!$B$16*(1+Inputs!$B$11)^(R$2-1),0)</f>
        <v>0</v>
      </c>
      <c r="S58" s="11" t="n">
        <f aca="false">IF(AND(S$1&gt;=Units!$Q57,MOD(S$1-Units!$Q57,12)=0),IF(AND(Units!$L57=1,S$1=Units!$Q57),1,Inputs!$B$15)*Inputs!$B$16*(1+Inputs!$B$11)^(S$2-1),0)</f>
        <v>0</v>
      </c>
      <c r="T58" s="11" t="n">
        <f aca="false">IF(AND(T$1&gt;=Units!$Q57,MOD(T$1-Units!$Q57,12)=0),IF(AND(Units!$L57=1,T$1=Units!$Q57),1,Inputs!$B$15)*Inputs!$B$16*(1+Inputs!$B$11)^(T$2-1),0)</f>
        <v>0</v>
      </c>
      <c r="U58" s="11" t="n">
        <f aca="false">IF(AND(U$1&gt;=Units!$Q57,MOD(U$1-Units!$Q57,12)=0),IF(AND(Units!$L57=1,U$1=Units!$Q57),1,Inputs!$B$15)*Inputs!$B$16*(1+Inputs!$B$11)^(U$2-1),0)</f>
        <v>0</v>
      </c>
      <c r="V58" s="11" t="n">
        <f aca="false">IF(AND(V$1&gt;=Units!$Q57,MOD(V$1-Units!$Q57,12)=0),IF(AND(Units!$L57=1,V$1=Units!$Q57),1,Inputs!$B$15)*Inputs!$B$16*(1+Inputs!$B$11)^(V$2-1),0)</f>
        <v>515</v>
      </c>
      <c r="W58" s="11" t="n">
        <f aca="false">IF(AND(W$1&gt;=Units!$Q57,MOD(W$1-Units!$Q57,12)=0),IF(AND(Units!$L57=1,W$1=Units!$Q57),1,Inputs!$B$15)*Inputs!$B$16*(1+Inputs!$B$11)^(W$2-1),0)</f>
        <v>0</v>
      </c>
      <c r="X58" s="11" t="n">
        <f aca="false">IF(AND(X$1&gt;=Units!$Q57,MOD(X$1-Units!$Q57,12)=0),IF(AND(Units!$L57=1,X$1=Units!$Q57),1,Inputs!$B$15)*Inputs!$B$16*(1+Inputs!$B$11)^(X$2-1),0)</f>
        <v>0</v>
      </c>
      <c r="Y58" s="11" t="n">
        <f aca="false">IF(AND(Y$1&gt;=Units!$Q57,MOD(Y$1-Units!$Q57,12)=0),IF(AND(Units!$L57=1,Y$1=Units!$Q57),1,Inputs!$B$15)*Inputs!$B$16*(1+Inputs!$B$11)^(Y$2-1),0)</f>
        <v>0</v>
      </c>
      <c r="Z58" s="11" t="n">
        <f aca="false">IF(AND(Z$1&gt;=Units!$Q57,MOD(Z$1-Units!$Q57,12)=0),IF(AND(Units!$L57=1,Z$1=Units!$Q57),1,Inputs!$B$15)*Inputs!$B$16*(1+Inputs!$B$11)^(Z$2-1),0)</f>
        <v>0</v>
      </c>
      <c r="AA58" s="11" t="n">
        <f aca="false">IF(AND(AA$1&gt;=Units!$Q57,MOD(AA$1-Units!$Q57,12)=0),IF(AND(Units!$L57=1,AA$1=Units!$Q57),1,Inputs!$B$15)*Inputs!$B$16*(1+Inputs!$B$11)^(AA$2-1),0)</f>
        <v>0</v>
      </c>
      <c r="AB58" s="11" t="n">
        <f aca="false">IF(AND(AB$1&gt;=Units!$Q57,MOD(AB$1-Units!$Q57,12)=0),IF(AND(Units!$L57=1,AB$1=Units!$Q57),1,Inputs!$B$15)*Inputs!$B$16*(1+Inputs!$B$11)^(AB$2-1),0)</f>
        <v>0</v>
      </c>
      <c r="AC58" s="11" t="n">
        <f aca="false">IF(AND(AC$1&gt;=Units!$Q57,MOD(AC$1-Units!$Q57,12)=0),IF(AND(Units!$L57=1,AC$1=Units!$Q57),1,Inputs!$B$15)*Inputs!$B$16*(1+Inputs!$B$11)^(AC$2-1),0)</f>
        <v>0</v>
      </c>
      <c r="AD58" s="11" t="n">
        <f aca="false">IF(AND(AD$1&gt;=Units!$Q57,MOD(AD$1-Units!$Q57,12)=0),IF(AND(Units!$L57=1,AD$1=Units!$Q57),1,Inputs!$B$15)*Inputs!$B$16*(1+Inputs!$B$11)^(AD$2-1),0)</f>
        <v>0</v>
      </c>
      <c r="AE58" s="11" t="n">
        <f aca="false">IF(AND(AE$1&gt;=Units!$Q57,MOD(AE$1-Units!$Q57,12)=0),IF(AND(Units!$L57=1,AE$1=Units!$Q57),1,Inputs!$B$15)*Inputs!$B$16*(1+Inputs!$B$11)^(AE$2-1),0)</f>
        <v>0</v>
      </c>
      <c r="AF58" s="11" t="n">
        <f aca="false">IF(AND(AF$1&gt;=Units!$Q57,MOD(AF$1-Units!$Q57,12)=0),IF(AND(Units!$L57=1,AF$1=Units!$Q57),1,Inputs!$B$15)*Inputs!$B$16*(1+Inputs!$B$11)^(AF$2-1),0)</f>
        <v>0</v>
      </c>
      <c r="AG58" s="11" t="n">
        <f aca="false">IF(AND(AG$1&gt;=Units!$Q57,MOD(AG$1-Units!$Q57,12)=0),IF(AND(Units!$L57=1,AG$1=Units!$Q57),1,Inputs!$B$15)*Inputs!$B$16*(1+Inputs!$B$11)^(AG$2-1),0)</f>
        <v>0</v>
      </c>
      <c r="AH58" s="11" t="n">
        <f aca="false">IF(AND(AH$1&gt;=Units!$Q57,MOD(AH$1-Units!$Q57,12)=0),IF(AND(Units!$L57=1,AH$1=Units!$Q57),1,Inputs!$B$15)*Inputs!$B$16*(1+Inputs!$B$11)^(AH$2-1),0)</f>
        <v>530.45</v>
      </c>
      <c r="AI58" s="11" t="n">
        <f aca="false">IF(AND(AI$1&gt;=Units!$Q57,MOD(AI$1-Units!$Q57,12)=0),IF(AND(Units!$L57=1,AI$1=Units!$Q57),1,Inputs!$B$15)*Inputs!$B$16*(1+Inputs!$B$11)^(AI$2-1),0)</f>
        <v>0</v>
      </c>
      <c r="AJ58" s="11" t="n">
        <f aca="false">IF(AND(AJ$1&gt;=Units!$Q57,MOD(AJ$1-Units!$Q57,12)=0),IF(AND(Units!$L57=1,AJ$1=Units!$Q57),1,Inputs!$B$15)*Inputs!$B$16*(1+Inputs!$B$11)^(AJ$2-1),0)</f>
        <v>0</v>
      </c>
      <c r="AK58" s="11" t="n">
        <f aca="false">IF(AND(AK$1&gt;=Units!$Q57,MOD(AK$1-Units!$Q57,12)=0),IF(AND(Units!$L57=1,AK$1=Units!$Q57),1,Inputs!$B$15)*Inputs!$B$16*(1+Inputs!$B$11)^(AK$2-1),0)</f>
        <v>0</v>
      </c>
      <c r="AL58" s="11" t="n">
        <f aca="false">IF(AND(AL$1&gt;=Units!$Q57,MOD(AL$1-Units!$Q57,12)=0),IF(AND(Units!$L57=1,AL$1=Units!$Q57),1,Inputs!$B$15)*Inputs!$B$16*(1+Inputs!$B$11)^(AL$2-1),0)</f>
        <v>0</v>
      </c>
      <c r="AM58" s="11" t="n">
        <f aca="false">IF(AND(AM$1&gt;=Units!$Q57,MOD(AM$1-Units!$Q57,12)=0),IF(AND(Units!$L57=1,AM$1=Units!$Q57),1,Inputs!$B$15)*Inputs!$B$16*(1+Inputs!$B$11)^(AM$2-1),0)</f>
        <v>0</v>
      </c>
      <c r="AN58" s="11" t="n">
        <f aca="false">IF(AND(AN$1&gt;=Units!$Q57,MOD(AN$1-Units!$Q57,12)=0),IF(AND(Units!$L57=1,AN$1=Units!$Q57),1,Inputs!$B$15)*Inputs!$B$16*(1+Inputs!$B$11)^(AN$2-1),0)</f>
        <v>0</v>
      </c>
      <c r="AO58" s="11" t="n">
        <f aca="false">IF(AND(AO$1&gt;=Units!$Q57,MOD(AO$1-Units!$Q57,12)=0),IF(AND(Units!$L57=1,AO$1=Units!$Q57),1,Inputs!$B$15)*Inputs!$B$16*(1+Inputs!$B$11)^(AO$2-1),0)</f>
        <v>0</v>
      </c>
      <c r="AP58" s="11" t="n">
        <f aca="false">IF(AND(AP$1&gt;=Units!$Q57,MOD(AP$1-Units!$Q57,12)=0),IF(AND(Units!$L57=1,AP$1=Units!$Q57),1,Inputs!$B$15)*Inputs!$B$16*(1+Inputs!$B$11)^(AP$2-1),0)</f>
        <v>0</v>
      </c>
      <c r="AQ58" s="11" t="n">
        <f aca="false">IF(AND(AQ$1&gt;=Units!$Q57,MOD(AQ$1-Units!$Q57,12)=0),IF(AND(Units!$L57=1,AQ$1=Units!$Q57),1,Inputs!$B$15)*Inputs!$B$16*(1+Inputs!$B$11)^(AQ$2-1),0)</f>
        <v>0</v>
      </c>
      <c r="AR58" s="11" t="n">
        <f aca="false">IF(AND(AR$1&gt;=Units!$Q57,MOD(AR$1-Units!$Q57,12)=0),IF(AND(Units!$L57=1,AR$1=Units!$Q57),1,Inputs!$B$15)*Inputs!$B$16*(1+Inputs!$B$11)^(AR$2-1),0)</f>
        <v>0</v>
      </c>
      <c r="AS58" s="11" t="n">
        <f aca="false">IF(AND(AS$1&gt;=Units!$Q57,MOD(AS$1-Units!$Q57,12)=0),IF(AND(Units!$L57=1,AS$1=Units!$Q57),1,Inputs!$B$15)*Inputs!$B$16*(1+Inputs!$B$11)^(AS$2-1),0)</f>
        <v>0</v>
      </c>
      <c r="AT58" s="11" t="n">
        <f aca="false">IF(AND(AT$1&gt;=Units!$Q57,MOD(AT$1-Units!$Q57,12)=0),IF(AND(Units!$L57=1,AT$1=Units!$Q57),1,Inputs!$B$15)*Inputs!$B$16*(1+Inputs!$B$11)^(AT$2-1),0)</f>
        <v>546.3635</v>
      </c>
      <c r="AU58" s="11" t="n">
        <f aca="false">IF(AND(AU$1&gt;=Units!$Q57,MOD(AU$1-Units!$Q57,12)=0),IF(AND(Units!$L57=1,AU$1=Units!$Q57),1,Inputs!$B$15)*Inputs!$B$16*(1+Inputs!$B$11)^(AU$2-1),0)</f>
        <v>0</v>
      </c>
      <c r="AV58" s="11" t="n">
        <f aca="false">IF(AND(AV$1&gt;=Units!$Q57,MOD(AV$1-Units!$Q57,12)=0),IF(AND(Units!$L57=1,AV$1=Units!$Q57),1,Inputs!$B$15)*Inputs!$B$16*(1+Inputs!$B$11)^(AV$2-1),0)</f>
        <v>0</v>
      </c>
      <c r="AW58" s="11" t="n">
        <f aca="false">IF(AND(AW$1&gt;=Units!$Q57,MOD(AW$1-Units!$Q57,12)=0),IF(AND(Units!$L57=1,AW$1=Units!$Q57),1,Inputs!$B$15)*Inputs!$B$16*(1+Inputs!$B$11)^(AW$2-1),0)</f>
        <v>0</v>
      </c>
      <c r="AX58" s="11" t="n">
        <f aca="false">IF(AND(AX$1&gt;=Units!$Q57,MOD(AX$1-Units!$Q57,12)=0),IF(AND(Units!$L57=1,AX$1=Units!$Q57),1,Inputs!$B$15)*Inputs!$B$16*(1+Inputs!$B$11)^(AX$2-1),0)</f>
        <v>0</v>
      </c>
      <c r="AY58" s="11" t="n">
        <f aca="false">IF(AND(AY$1&gt;=Units!$Q57,MOD(AY$1-Units!$Q57,12)=0),IF(AND(Units!$L57=1,AY$1=Units!$Q57),1,Inputs!$B$15)*Inputs!$B$16*(1+Inputs!$B$11)^(AY$2-1),0)</f>
        <v>0</v>
      </c>
      <c r="AZ58" s="11" t="n">
        <f aca="false">IF(AND(AZ$1&gt;=Units!$Q57,MOD(AZ$1-Units!$Q57,12)=0),IF(AND(Units!$L57=1,AZ$1=Units!$Q57),1,Inputs!$B$15)*Inputs!$B$16*(1+Inputs!$B$11)^(AZ$2-1),0)</f>
        <v>0</v>
      </c>
      <c r="BA58" s="11" t="n">
        <f aca="false">IF(AND(BA$1&gt;=Units!$Q57,MOD(BA$1-Units!$Q57,12)=0),IF(AND(Units!$L57=1,BA$1=Units!$Q57),1,Inputs!$B$15)*Inputs!$B$16*(1+Inputs!$B$11)^(BA$2-1),0)</f>
        <v>0</v>
      </c>
      <c r="BB58" s="11" t="n">
        <f aca="false">IF(AND(BB$1&gt;=Units!$Q57,MOD(BB$1-Units!$Q57,12)=0),IF(AND(Units!$L57=1,BB$1=Units!$Q57),1,Inputs!$B$15)*Inputs!$B$16*(1+Inputs!$B$11)^(BB$2-1),0)</f>
        <v>0</v>
      </c>
      <c r="BC58" s="11" t="n">
        <f aca="false">IF(AND(BC$1&gt;=Units!$Q57,MOD(BC$1-Units!$Q57,12)=0),IF(AND(Units!$L57=1,BC$1=Units!$Q57),1,Inputs!$B$15)*Inputs!$B$16*(1+Inputs!$B$11)^(BC$2-1),0)</f>
        <v>0</v>
      </c>
      <c r="BD58" s="11" t="n">
        <f aca="false">IF(AND(BD$1&gt;=Units!$Q57,MOD(BD$1-Units!$Q57,12)=0),IF(AND(Units!$L57=1,BD$1=Units!$Q57),1,Inputs!$B$15)*Inputs!$B$16*(1+Inputs!$B$11)^(BD$2-1),0)</f>
        <v>0</v>
      </c>
      <c r="BE58" s="11" t="n">
        <f aca="false">IF(AND(BE$1&gt;=Units!$Q57,MOD(BE$1-Units!$Q57,12)=0),IF(AND(Units!$L57=1,BE$1=Units!$Q57),1,Inputs!$B$15)*Inputs!$B$16*(1+Inputs!$B$11)^(BE$2-1),0)</f>
        <v>0</v>
      </c>
      <c r="BF58" s="11" t="n">
        <f aca="false">IF(AND(BF$1&gt;=Units!$Q57,MOD(BF$1-Units!$Q57,12)=0),IF(AND(Units!$L57=1,BF$1=Units!$Q57),1,Inputs!$B$15)*Inputs!$B$16*(1+Inputs!$B$11)^(BF$2-1),0)</f>
        <v>562.754405</v>
      </c>
      <c r="BG58" s="11" t="n">
        <f aca="false">IF(AND(BG$1&gt;=Units!$Q57,MOD(BG$1-Units!$Q57,12)=0),IF(AND(Units!$L57=1,BG$1=Units!$Q57),1,Inputs!$B$15)*Inputs!$B$16*(1+Inputs!$B$11)^(BG$2-1),0)</f>
        <v>0</v>
      </c>
      <c r="BH58" s="11" t="n">
        <f aca="false">IF(AND(BH$1&gt;=Units!$Q57,MOD(BH$1-Units!$Q57,12)=0),IF(AND(Units!$L57=1,BH$1=Units!$Q57),1,Inputs!$B$15)*Inputs!$B$16*(1+Inputs!$B$11)^(BH$2-1),0)</f>
        <v>0</v>
      </c>
      <c r="BI58" s="11" t="n">
        <f aca="false">IF(AND(BI$1&gt;=Units!$Q57,MOD(BI$1-Units!$Q57,12)=0),IF(AND(Units!$L57=1,BI$1=Units!$Q57),1,Inputs!$B$15)*Inputs!$B$16*(1+Inputs!$B$11)^(BI$2-1),0)</f>
        <v>0</v>
      </c>
      <c r="BJ58" s="11" t="n">
        <f aca="false">IF(AND(BJ$1&gt;=Units!$Q57,MOD(BJ$1-Units!$Q57,12)=0),IF(AND(Units!$L57=1,BJ$1=Units!$Q57),1,Inputs!$B$15)*Inputs!$B$16*(1+Inputs!$B$11)^(BJ$2-1),0)</f>
        <v>0</v>
      </c>
      <c r="BK58" s="11" t="n">
        <f aca="false">IF(AND(BK$1&gt;=Units!$Q57,MOD(BK$1-Units!$Q57,12)=0),IF(AND(Units!$L57=1,BK$1=Units!$Q57),1,Inputs!$B$15)*Inputs!$B$16*(1+Inputs!$B$11)^(BK$2-1),0)</f>
        <v>0</v>
      </c>
      <c r="BL58" s="11" t="n">
        <f aca="false">IF(AND(BL$1&gt;=Units!$Q57,MOD(BL$1-Units!$Q57,12)=0),IF(AND(Units!$L57=1,BL$1=Units!$Q57),1,Inputs!$B$15)*Inputs!$B$16*(1+Inputs!$B$11)^(BL$2-1),0)</f>
        <v>0</v>
      </c>
      <c r="BM58" s="11" t="n">
        <f aca="false">IF(AND(BM$1&gt;=Units!$Q57,MOD(BM$1-Units!$Q57,12)=0),IF(AND(Units!$L57=1,BM$1=Units!$Q57),1,Inputs!$B$15)*Inputs!$B$16*(1+Inputs!$B$11)^(BM$2-1),0)</f>
        <v>0</v>
      </c>
      <c r="BN58" s="11" t="n">
        <f aca="false">IF(AND(BN$1&gt;=Units!$Q57,MOD(BN$1-Units!$Q57,12)=0),IF(AND(Units!$L57=1,BN$1=Units!$Q57),1,Inputs!$B$15)*Inputs!$B$16*(1+Inputs!$B$11)^(BN$2-1),0)</f>
        <v>0</v>
      </c>
      <c r="BO58" s="11" t="n">
        <f aca="false">IF(AND(BO$1&gt;=Units!$Q57,MOD(BO$1-Units!$Q57,12)=0),IF(AND(Units!$L57=1,BO$1=Units!$Q57),1,Inputs!$B$15)*Inputs!$B$16*(1+Inputs!$B$11)^(BO$2-1),0)</f>
        <v>0</v>
      </c>
      <c r="BP58" s="11" t="n">
        <f aca="false">IF(AND(BP$1&gt;=Units!$Q57,MOD(BP$1-Units!$Q57,12)=0),IF(AND(Units!$L57=1,BP$1=Units!$Q57),1,Inputs!$B$15)*Inputs!$B$16*(1+Inputs!$B$11)^(BP$2-1),0)</f>
        <v>0</v>
      </c>
      <c r="BQ58" s="11" t="n">
        <f aca="false">IF(AND(BQ$1&gt;=Units!$Q57,MOD(BQ$1-Units!$Q57,12)=0),IF(AND(Units!$L57=1,BQ$1=Units!$Q57),1,Inputs!$B$15)*Inputs!$B$16*(1+Inputs!$B$11)^(BQ$2-1),0)</f>
        <v>0</v>
      </c>
      <c r="BR58" s="11" t="n">
        <f aca="false">IF(AND(BR$1&gt;=Units!$Q57,MOD(BR$1-Units!$Q57,12)=0),IF(AND(Units!$L57=1,BR$1=Units!$Q57),1,Inputs!$B$15)*Inputs!$B$16*(1+Inputs!$B$11)^(BR$2-1),0)</f>
        <v>579.63703715</v>
      </c>
      <c r="BS58" s="11" t="n">
        <f aca="false">IF(AND(BS$1&gt;=Units!$Q57,MOD(BS$1-Units!$Q57,12)=0),IF(AND(Units!$L57=1,BS$1=Units!$Q57),1,Inputs!$B$15)*Inputs!$B$16*(1+Inputs!$B$11)^(BS$2-1),0)</f>
        <v>0</v>
      </c>
      <c r="BT58" s="11" t="n">
        <f aca="false">IF(AND(BT$1&gt;=Units!$Q57,MOD(BT$1-Units!$Q57,12)=0),IF(AND(Units!$L57=1,BT$1=Units!$Q57),1,Inputs!$B$15)*Inputs!$B$16*(1+Inputs!$B$11)^(BT$2-1),0)</f>
        <v>0</v>
      </c>
      <c r="BU58" s="11" t="n">
        <f aca="false">IF(AND(BU$1&gt;=Units!$Q57,MOD(BU$1-Units!$Q57,12)=0),IF(AND(Units!$L57=1,BU$1=Units!$Q57),1,Inputs!$B$15)*Inputs!$B$16*(1+Inputs!$B$11)^(BU$2-1),0)</f>
        <v>0</v>
      </c>
      <c r="BV58" s="11" t="n">
        <f aca="false">IF(AND(BV$1&gt;=Units!$Q57,MOD(BV$1-Units!$Q57,12)=0),IF(AND(Units!$L57=1,BV$1=Units!$Q57),1,Inputs!$B$15)*Inputs!$B$16*(1+Inputs!$B$11)^(BV$2-1),0)</f>
        <v>0</v>
      </c>
      <c r="BW58" s="11" t="n">
        <f aca="false">IF(AND(BW$1&gt;=Units!$Q57,MOD(BW$1-Units!$Q57,12)=0),IF(AND(Units!$L57=1,BW$1=Units!$Q57),1,Inputs!$B$15)*Inputs!$B$16*(1+Inputs!$B$11)^(BW$2-1),0)</f>
        <v>0</v>
      </c>
      <c r="BX58" s="11" t="n">
        <f aca="false">IF(AND(BX$1&gt;=Units!$Q57,MOD(BX$1-Units!$Q57,12)=0),IF(AND(Units!$L57=1,BX$1=Units!$Q57),1,Inputs!$B$15)*Inputs!$B$16*(1+Inputs!$B$11)^(BX$2-1),0)</f>
        <v>0</v>
      </c>
      <c r="BY58" s="11" t="n">
        <f aca="false">IF(AND(BY$1&gt;=Units!$Q57,MOD(BY$1-Units!$Q57,12)=0),IF(AND(Units!$L57=1,BY$1=Units!$Q57),1,Inputs!$B$15)*Inputs!$B$16*(1+Inputs!$B$11)^(BY$2-1),0)</f>
        <v>0</v>
      </c>
      <c r="BZ58" s="11" t="n">
        <f aca="false">IF(AND(BZ$1&gt;=Units!$Q57,MOD(BZ$1-Units!$Q57,12)=0),IF(AND(Units!$L57=1,BZ$1=Units!$Q57),1,Inputs!$B$15)*Inputs!$B$16*(1+Inputs!$B$11)^(BZ$2-1),0)</f>
        <v>0</v>
      </c>
      <c r="CA58" s="11" t="n">
        <f aca="false">IF(AND(CA$1&gt;=Units!$Q57,MOD(CA$1-Units!$Q57,12)=0),IF(AND(Units!$L57=1,CA$1=Units!$Q57),1,Inputs!$B$15)*Inputs!$B$16*(1+Inputs!$B$11)^(CA$2-1),0)</f>
        <v>0</v>
      </c>
      <c r="CB58" s="11" t="n">
        <f aca="false">IF(AND(CB$1&gt;=Units!$Q57,MOD(CB$1-Units!$Q57,12)=0),IF(AND(Units!$L57=1,CB$1=Units!$Q57),1,Inputs!$B$15)*Inputs!$B$16*(1+Inputs!$B$11)^(CB$2-1),0)</f>
        <v>0</v>
      </c>
      <c r="CC58" s="11" t="n">
        <f aca="false">IF(AND(CC$1&gt;=Units!$Q57,MOD(CC$1-Units!$Q57,12)=0),IF(AND(Units!$L57=1,CC$1=Units!$Q57),1,Inputs!$B$15)*Inputs!$B$16*(1+Inputs!$B$11)^(CC$2-1),0)</f>
        <v>0</v>
      </c>
      <c r="CD58" s="11" t="n">
        <f aca="false">IF(AND(CD$1&gt;=Units!$Q57,MOD(CD$1-Units!$Q57,12)=0),IF(AND(Units!$L57=1,CD$1=Units!$Q57),1,Inputs!$B$15)*Inputs!$B$16*(1+Inputs!$B$11)^(CD$2-1),0)</f>
        <v>597.0261482645</v>
      </c>
      <c r="CE58" s="11" t="n">
        <f aca="false">IF(AND(CE$1&gt;=Units!$Q57,MOD(CE$1-Units!$Q57,12)=0),IF(AND(Units!$L57=1,CE$1=Units!$Q57),1,Inputs!$B$15)*Inputs!$B$16*(1+Inputs!$B$11)^(CE$2-1),0)</f>
        <v>0</v>
      </c>
      <c r="CF58" s="11" t="n">
        <f aca="false">IF(AND(CF$1&gt;=Units!$Q57,MOD(CF$1-Units!$Q57,12)=0),IF(AND(Units!$L57=1,CF$1=Units!$Q57),1,Inputs!$B$15)*Inputs!$B$16*(1+Inputs!$B$11)^(CF$2-1),0)</f>
        <v>0</v>
      </c>
      <c r="CG58" s="11" t="n">
        <f aca="false">IF(AND(CG$1&gt;=Units!$Q57,MOD(CG$1-Units!$Q57,12)=0),IF(AND(Units!$L57=1,CG$1=Units!$Q57),1,Inputs!$B$15)*Inputs!$B$16*(1+Inputs!$B$11)^(CG$2-1),0)</f>
        <v>0</v>
      </c>
      <c r="CH58" s="11" t="n">
        <f aca="false">IF(AND(CH$1&gt;=Units!$Q57,MOD(CH$1-Units!$Q57,12)=0),IF(AND(Units!$L57=1,CH$1=Units!$Q57),1,Inputs!$B$15)*Inputs!$B$16*(1+Inputs!$B$11)^(CH$2-1),0)</f>
        <v>0</v>
      </c>
      <c r="CI58" s="11" t="n">
        <f aca="false">IF(AND(CI$1&gt;=Units!$Q57,MOD(CI$1-Units!$Q57,12)=0),IF(AND(Units!$L57=1,CI$1=Units!$Q57),1,Inputs!$B$15)*Inputs!$B$16*(1+Inputs!$B$11)^(CI$2-1),0)</f>
        <v>0</v>
      </c>
      <c r="CJ58" s="11" t="n">
        <f aca="false">IF(AND(CJ$1&gt;=Units!$Q57,MOD(CJ$1-Units!$Q57,12)=0),IF(AND(Units!$L57=1,CJ$1=Units!$Q57),1,Inputs!$B$15)*Inputs!$B$16*(1+Inputs!$B$11)^(CJ$2-1),0)</f>
        <v>0</v>
      </c>
      <c r="CK58" s="11" t="n">
        <f aca="false">IF(AND(CK$1&gt;=Units!$Q57,MOD(CK$1-Units!$Q57,12)=0),IF(AND(Units!$L57=1,CK$1=Units!$Q57),1,Inputs!$B$15)*Inputs!$B$16*(1+Inputs!$B$11)^(CK$2-1),0)</f>
        <v>0</v>
      </c>
      <c r="CL58" s="11" t="n">
        <f aca="false">IF(AND(CL$1&gt;=Units!$Q57,MOD(CL$1-Units!$Q57,12)=0),IF(AND(Units!$L57=1,CL$1=Units!$Q57),1,Inputs!$B$15)*Inputs!$B$16*(1+Inputs!$B$11)^(CL$2-1),0)</f>
        <v>0</v>
      </c>
      <c r="CM58" s="11" t="n">
        <f aca="false">IF(AND(CM$1&gt;=Units!$Q57,MOD(CM$1-Units!$Q57,12)=0),IF(AND(Units!$L57=1,CM$1=Units!$Q57),1,Inputs!$B$15)*Inputs!$B$16*(1+Inputs!$B$11)^(CM$2-1),0)</f>
        <v>0</v>
      </c>
      <c r="CN58" s="11" t="n">
        <f aca="false">IF(AND(CN$1&gt;=Units!$Q57,MOD(CN$1-Units!$Q57,12)=0),IF(AND(Units!$L57=1,CN$1=Units!$Q57),1,Inputs!$B$15)*Inputs!$B$16*(1+Inputs!$B$11)^(CN$2-1),0)</f>
        <v>0</v>
      </c>
      <c r="CO58" s="11" t="n">
        <f aca="false">IF(AND(CO$1&gt;=Units!$Q57,MOD(CO$1-Units!$Q57,12)=0),IF(AND(Units!$L57=1,CO$1=Units!$Q57),1,Inputs!$B$15)*Inputs!$B$16*(1+Inputs!$B$11)^(CO$2-1),0)</f>
        <v>0</v>
      </c>
      <c r="CP58" s="11" t="n">
        <f aca="false">IF(AND(CP$1&gt;=Units!$Q57,MOD(CP$1-Units!$Q57,12)=0),IF(AND(Units!$L57=1,CP$1=Units!$Q57),1,Inputs!$B$15)*Inputs!$B$16*(1+Inputs!$B$11)^(CP$2-1),0)</f>
        <v>614.936932712435</v>
      </c>
      <c r="CQ58" s="11" t="n">
        <f aca="false">IF(AND(CQ$1&gt;=Units!$Q57,MOD(CQ$1-Units!$Q57,12)=0),IF(AND(Units!$L57=1,CQ$1=Units!$Q57),1,Inputs!$B$15)*Inputs!$B$16*(1+Inputs!$B$11)^(CQ$2-1),0)</f>
        <v>0</v>
      </c>
      <c r="CR58" s="11" t="n">
        <f aca="false">IF(AND(CR$1&gt;=Units!$Q57,MOD(CR$1-Units!$Q57,12)=0),IF(AND(Units!$L57=1,CR$1=Units!$Q57),1,Inputs!$B$15)*Inputs!$B$16*(1+Inputs!$B$11)^(CR$2-1),0)</f>
        <v>0</v>
      </c>
      <c r="CS58" s="11" t="n">
        <f aca="false">IF(AND(CS$1&gt;=Units!$Q57,MOD(CS$1-Units!$Q57,12)=0),IF(AND(Units!$L57=1,CS$1=Units!$Q57),1,Inputs!$B$15)*Inputs!$B$16*(1+Inputs!$B$11)^(CS$2-1),0)</f>
        <v>0</v>
      </c>
      <c r="CT58" s="11" t="n">
        <f aca="false">IF(AND(CT$1&gt;=Units!$Q57,MOD(CT$1-Units!$Q57,12)=0),IF(AND(Units!$L57=1,CT$1=Units!$Q57),1,Inputs!$B$15)*Inputs!$B$16*(1+Inputs!$B$11)^(CT$2-1),0)</f>
        <v>0</v>
      </c>
      <c r="CU58" s="11" t="n">
        <f aca="false">IF(AND(CU$1&gt;=Units!$Q57,MOD(CU$1-Units!$Q57,12)=0),IF(AND(Units!$L57=1,CU$1=Units!$Q57),1,Inputs!$B$15)*Inputs!$B$16*(1+Inputs!$B$11)^(CU$2-1),0)</f>
        <v>0</v>
      </c>
      <c r="CV58" s="11" t="n">
        <f aca="false">IF(AND(CV$1&gt;=Units!$Q57,MOD(CV$1-Units!$Q57,12)=0),IF(AND(Units!$L57=1,CV$1=Units!$Q57),1,Inputs!$B$15)*Inputs!$B$16*(1+Inputs!$B$11)^(CV$2-1),0)</f>
        <v>0</v>
      </c>
      <c r="CW58" s="11" t="n">
        <f aca="false">IF(AND(CW$1&gt;=Units!$Q57,MOD(CW$1-Units!$Q57,12)=0),IF(AND(Units!$L57=1,CW$1=Units!$Q57),1,Inputs!$B$15)*Inputs!$B$16*(1+Inputs!$B$11)^(CW$2-1),0)</f>
        <v>0</v>
      </c>
      <c r="CX58" s="11" t="n">
        <f aca="false">IF(AND(CX$1&gt;=Units!$Q57,MOD(CX$1-Units!$Q57,12)=0),IF(AND(Units!$L57=1,CX$1=Units!$Q57),1,Inputs!$B$15)*Inputs!$B$16*(1+Inputs!$B$11)^(CX$2-1),0)</f>
        <v>0</v>
      </c>
      <c r="CY58" s="11" t="n">
        <f aca="false">IF(AND(CY$1&gt;=Units!$Q57,MOD(CY$1-Units!$Q57,12)=0),IF(AND(Units!$L57=1,CY$1=Units!$Q57),1,Inputs!$B$15)*Inputs!$B$16*(1+Inputs!$B$11)^(CY$2-1),0)</f>
        <v>0</v>
      </c>
      <c r="CZ58" s="11" t="n">
        <f aca="false">IF(AND(CZ$1&gt;=Units!$Q57,MOD(CZ$1-Units!$Q57,12)=0),IF(AND(Units!$L57=1,CZ$1=Units!$Q57),1,Inputs!$B$15)*Inputs!$B$16*(1+Inputs!$B$11)^(CZ$2-1),0)</f>
        <v>0</v>
      </c>
      <c r="DA58" s="11" t="n">
        <f aca="false">IF(AND(DA$1&gt;=Units!$Q57,MOD(DA$1-Units!$Q57,12)=0),IF(AND(Units!$L57=1,DA$1=Units!$Q57),1,Inputs!$B$15)*Inputs!$B$16*(1+Inputs!$B$11)^(DA$2-1),0)</f>
        <v>0</v>
      </c>
      <c r="DB58" s="11" t="n">
        <f aca="false">IF(AND(DB$1&gt;=Units!$Q57,MOD(DB$1-Units!$Q57,12)=0),IF(AND(Units!$L57=1,DB$1=Units!$Q57),1,Inputs!$B$15)*Inputs!$B$16*(1+Inputs!$B$11)^(DB$2-1),0)</f>
        <v>633.385040693808</v>
      </c>
      <c r="DC58" s="11" t="n">
        <f aca="false">IF(AND(DC$1&gt;=Units!$Q57,MOD(DC$1-Units!$Q57,12)=0),IF(AND(Units!$L57=1,DC$1=Units!$Q57),1,Inputs!$B$15)*Inputs!$B$16*(1+Inputs!$B$11)^(DC$2-1),0)</f>
        <v>0</v>
      </c>
      <c r="DD58" s="11" t="n">
        <f aca="false">IF(AND(DD$1&gt;=Units!$Q57,MOD(DD$1-Units!$Q57,12)=0),IF(AND(Units!$L57=1,DD$1=Units!$Q57),1,Inputs!$B$15)*Inputs!$B$16*(1+Inputs!$B$11)^(DD$2-1),0)</f>
        <v>0</v>
      </c>
      <c r="DE58" s="11" t="n">
        <f aca="false">IF(AND(DE$1&gt;=Units!$Q57,MOD(DE$1-Units!$Q57,12)=0),IF(AND(Units!$L57=1,DE$1=Units!$Q57),1,Inputs!$B$15)*Inputs!$B$16*(1+Inputs!$B$11)^(DE$2-1),0)</f>
        <v>0</v>
      </c>
      <c r="DF58" s="11" t="n">
        <f aca="false">IF(AND(DF$1&gt;=Units!$Q57,MOD(DF$1-Units!$Q57,12)=0),IF(AND(Units!$L57=1,DF$1=Units!$Q57),1,Inputs!$B$15)*Inputs!$B$16*(1+Inputs!$B$11)^(DF$2-1),0)</f>
        <v>0</v>
      </c>
      <c r="DG58" s="11" t="n">
        <f aca="false">IF(AND(DG$1&gt;=Units!$Q57,MOD(DG$1-Units!$Q57,12)=0),IF(AND(Units!$L57=1,DG$1=Units!$Q57),1,Inputs!$B$15)*Inputs!$B$16*(1+Inputs!$B$11)^(DG$2-1),0)</f>
        <v>0</v>
      </c>
      <c r="DH58" s="11" t="n">
        <f aca="false">IF(AND(DH$1&gt;=Units!$Q57,MOD(DH$1-Units!$Q57,12)=0),IF(AND(Units!$L57=1,DH$1=Units!$Q57),1,Inputs!$B$15)*Inputs!$B$16*(1+Inputs!$B$11)^(DH$2-1),0)</f>
        <v>0</v>
      </c>
      <c r="DI58" s="11" t="n">
        <f aca="false">IF(AND(DI$1&gt;=Units!$Q57,MOD(DI$1-Units!$Q57,12)=0),IF(AND(Units!$L57=1,DI$1=Units!$Q57),1,Inputs!$B$15)*Inputs!$B$16*(1+Inputs!$B$11)^(DI$2-1),0)</f>
        <v>0</v>
      </c>
      <c r="DJ58" s="11" t="n">
        <f aca="false">IF(AND(DJ$1&gt;=Units!$Q57,MOD(DJ$1-Units!$Q57,12)=0),IF(AND(Units!$L57=1,DJ$1=Units!$Q57),1,Inputs!$B$15)*Inputs!$B$16*(1+Inputs!$B$11)^(DJ$2-1),0)</f>
        <v>0</v>
      </c>
      <c r="DK58" s="11" t="n">
        <f aca="false">IF(AND(DK$1&gt;=Units!$Q57,MOD(DK$1-Units!$Q57,12)=0),IF(AND(Units!$L57=1,DK$1=Units!$Q57),1,Inputs!$B$15)*Inputs!$B$16*(1+Inputs!$B$11)^(DK$2-1),0)</f>
        <v>0</v>
      </c>
      <c r="DL58" s="11" t="n">
        <f aca="false">IF(AND(DL$1&gt;=Units!$Q57,MOD(DL$1-Units!$Q57,12)=0),IF(AND(Units!$L57=1,DL$1=Units!$Q57),1,Inputs!$B$15)*Inputs!$B$16*(1+Inputs!$B$11)^(DL$2-1),0)</f>
        <v>0</v>
      </c>
      <c r="DM58" s="11" t="n">
        <f aca="false">IF(AND(DM$1&gt;=Units!$Q57,MOD(DM$1-Units!$Q57,12)=0),IF(AND(Units!$L57=1,DM$1=Units!$Q57),1,Inputs!$B$15)*Inputs!$B$16*(1+Inputs!$B$11)^(DM$2-1),0)</f>
        <v>0</v>
      </c>
      <c r="DN58" s="11" t="n">
        <f aca="false">IF(AND(DN$1&gt;=Units!$Q57,MOD(DN$1-Units!$Q57,12)=0),IF(AND(Units!$L57=1,DN$1=Units!$Q57),1,Inputs!$B$15)*Inputs!$B$16*(1+Inputs!$B$11)^(DN$2-1),0)</f>
        <v>652.386591914623</v>
      </c>
      <c r="DO58" s="11" t="n">
        <f aca="false">IF(AND(DO$1&gt;=Units!$Q57,MOD(DO$1-Units!$Q57,12)=0),IF(AND(Units!$L57=1,DO$1=Units!$Q57),1,Inputs!$B$15)*Inputs!$B$16*(1+Inputs!$B$11)^(DO$2-1),0)</f>
        <v>0</v>
      </c>
      <c r="DP58" s="11" t="n">
        <f aca="false">IF(AND(DP$1&gt;=Units!$Q57,MOD(DP$1-Units!$Q57,12)=0),IF(AND(Units!$L57=1,DP$1=Units!$Q57),1,Inputs!$B$15)*Inputs!$B$16*(1+Inputs!$B$11)^(DP$2-1),0)</f>
        <v>0</v>
      </c>
      <c r="DQ58" s="11" t="n">
        <f aca="false">IF(AND(DQ$1&gt;=Units!$Q57,MOD(DQ$1-Units!$Q57,12)=0),IF(AND(Units!$L57=1,DQ$1=Units!$Q57),1,Inputs!$B$15)*Inputs!$B$16*(1+Inputs!$B$11)^(DQ$2-1),0)</f>
        <v>0</v>
      </c>
      <c r="DR58" s="11" t="n">
        <f aca="false">IF(AND(DR$1&gt;=Units!$Q57,MOD(DR$1-Units!$Q57,12)=0),IF(AND(Units!$L57=1,DR$1=Units!$Q57),1,Inputs!$B$15)*Inputs!$B$16*(1+Inputs!$B$11)^(DR$2-1),0)</f>
        <v>0</v>
      </c>
      <c r="DS58" s="11" t="n">
        <f aca="false">IF(AND(DS$1&gt;=Units!$Q57,MOD(DS$1-Units!$Q57,12)=0),IF(AND(Units!$L57=1,DS$1=Units!$Q57),1,Inputs!$B$15)*Inputs!$B$16*(1+Inputs!$B$11)^(DS$2-1),0)</f>
        <v>0</v>
      </c>
      <c r="DT58" s="11" t="n">
        <f aca="false">IF(AND(DT$1&gt;=Units!$Q57,MOD(DT$1-Units!$Q57,12)=0),IF(AND(Units!$L57=1,DT$1=Units!$Q57),1,Inputs!$B$15)*Inputs!$B$16*(1+Inputs!$B$11)^(DT$2-1),0)</f>
        <v>0</v>
      </c>
      <c r="DU58" s="11" t="n">
        <f aca="false">IF(AND(DU$1&gt;=Units!$Q57,MOD(DU$1-Units!$Q57,12)=0),IF(AND(Units!$L57=1,DU$1=Units!$Q57),1,Inputs!$B$15)*Inputs!$B$16*(1+Inputs!$B$11)^(DU$2-1),0)</f>
        <v>0</v>
      </c>
      <c r="DV58" s="11" t="n">
        <f aca="false">IF(AND(DV$1&gt;=Units!$Q57,MOD(DV$1-Units!$Q57,12)=0),IF(AND(Units!$L57=1,DV$1=Units!$Q57),1,Inputs!$B$15)*Inputs!$B$16*(1+Inputs!$B$11)^(DV$2-1),0)</f>
        <v>0</v>
      </c>
      <c r="DW58" s="11" t="n">
        <f aca="false">IF(AND(DW$1&gt;=Units!$Q57,MOD(DW$1-Units!$Q57,12)=0),IF(AND(Units!$L57=1,DW$1=Units!$Q57),1,Inputs!$B$15)*Inputs!$B$16*(1+Inputs!$B$11)^(DW$2-1),0)</f>
        <v>0</v>
      </c>
      <c r="DX58" s="11" t="n">
        <f aca="false">IF(AND(DX$1&gt;=Units!$Q57,MOD(DX$1-Units!$Q57,12)=0),IF(AND(Units!$L57=1,DX$1=Units!$Q57),1,Inputs!$B$15)*Inputs!$B$16*(1+Inputs!$B$11)^(DX$2-1),0)</f>
        <v>0</v>
      </c>
      <c r="DY58" s="11" t="n">
        <f aca="false">IF(AND(DY$1&gt;=Units!$Q57,MOD(DY$1-Units!$Q57,12)=0),IF(AND(Units!$L57=1,DY$1=Units!$Q57),1,Inputs!$B$15)*Inputs!$B$16*(1+Inputs!$B$11)^(DY$2-1),0)</f>
        <v>0</v>
      </c>
      <c r="DZ58" s="11" t="n">
        <f aca="false">IF(AND(DZ$1&gt;=Units!$Q57,MOD(DZ$1-Units!$Q57,12)=0),IF(AND(Units!$L57=1,DZ$1=Units!$Q57),1,Inputs!$B$15)*Inputs!$B$16*(1+Inputs!$B$11)^(DZ$2-1),0)</f>
        <v>671.958189672061</v>
      </c>
      <c r="EA58" s="11" t="n">
        <f aca="false">IF(AND(EA$1&gt;=Units!$Q57,MOD(EA$1-Units!$Q57,12)=0),IF(AND(Units!$L57=1,EA$1=Units!$Q57),1,Inputs!$B$15)*Inputs!$B$16*(1+Inputs!$B$11)^(EA$2-1),0)</f>
        <v>0</v>
      </c>
      <c r="EB58" s="11" t="n">
        <f aca="false">IF(AND(EB$1&gt;=Units!$Q57,MOD(EB$1-Units!$Q57,12)=0),IF(AND(Units!$L57=1,EB$1=Units!$Q57),1,Inputs!$B$15)*Inputs!$B$16*(1+Inputs!$B$11)^(EB$2-1),0)</f>
        <v>0</v>
      </c>
      <c r="EC58" s="11" t="n">
        <f aca="false">IF(AND(EC$1&gt;=Units!$Q57,MOD(EC$1-Units!$Q57,12)=0),IF(AND(Units!$L57=1,EC$1=Units!$Q57),1,Inputs!$B$15)*Inputs!$B$16*(1+Inputs!$B$11)^(EC$2-1),0)</f>
        <v>0</v>
      </c>
      <c r="ED58" s="11" t="n">
        <f aca="false">IF(AND(ED$1&gt;=Units!$Q57,MOD(ED$1-Units!$Q57,12)=0),IF(AND(Units!$L57=1,ED$1=Units!$Q57),1,Inputs!$B$15)*Inputs!$B$16*(1+Inputs!$B$11)^(ED$2-1),0)</f>
        <v>0</v>
      </c>
    </row>
    <row r="59" customFormat="false" ht="15" hidden="false" customHeight="false" outlineLevel="0" collapsed="false">
      <c r="A59" s="22" t="n">
        <f aca="false">Units!A58</f>
        <v>227</v>
      </c>
      <c r="B59" s="23"/>
      <c r="C59" s="11" t="n">
        <f aca="false">IF(AND(C$1&gt;=Units!$Q58,MOD(C$1-Units!$Q58,12)=0),IF(AND(Units!$L58=1,C$1=Units!$Q58),1,Inputs!$B$15)*Inputs!$B$16*(1+Inputs!$B$11)^(C$2-1),0)</f>
        <v>0</v>
      </c>
      <c r="D59" s="11" t="n">
        <f aca="false">IF(AND(D$1&gt;=Units!$Q58,MOD(D$1-Units!$Q58,12)=0),IF(AND(Units!$L58=1,D$1=Units!$Q58),1,Inputs!$B$15)*Inputs!$B$16*(1+Inputs!$B$11)^(D$2-1),0)</f>
        <v>0</v>
      </c>
      <c r="E59" s="11" t="n">
        <f aca="false">IF(AND(E$1&gt;=Units!$Q58,MOD(E$1-Units!$Q58,12)=0),IF(AND(Units!$L58=1,E$1=Units!$Q58),1,Inputs!$B$15)*Inputs!$B$16*(1+Inputs!$B$11)^(E$2-1),0)</f>
        <v>0</v>
      </c>
      <c r="F59" s="11" t="n">
        <f aca="false">IF(AND(F$1&gt;=Units!$Q58,MOD(F$1-Units!$Q58,12)=0),IF(AND(Units!$L58=1,F$1=Units!$Q58),1,Inputs!$B$15)*Inputs!$B$16*(1+Inputs!$B$11)^(F$2-1),0)</f>
        <v>0</v>
      </c>
      <c r="G59" s="11" t="n">
        <f aca="false">IF(AND(G$1&gt;=Units!$Q58,MOD(G$1-Units!$Q58,12)=0),IF(AND(Units!$L58=1,G$1=Units!$Q58),1,Inputs!$B$15)*Inputs!$B$16*(1+Inputs!$B$11)^(G$2-1),0)</f>
        <v>500</v>
      </c>
      <c r="H59" s="11" t="n">
        <f aca="false">IF(AND(H$1&gt;=Units!$Q58,MOD(H$1-Units!$Q58,12)=0),IF(AND(Units!$L58=1,H$1=Units!$Q58),1,Inputs!$B$15)*Inputs!$B$16*(1+Inputs!$B$11)^(H$2-1),0)</f>
        <v>0</v>
      </c>
      <c r="I59" s="11" t="n">
        <f aca="false">IF(AND(I$1&gt;=Units!$Q58,MOD(I$1-Units!$Q58,12)=0),IF(AND(Units!$L58=1,I$1=Units!$Q58),1,Inputs!$B$15)*Inputs!$B$16*(1+Inputs!$B$11)^(I$2-1),0)</f>
        <v>0</v>
      </c>
      <c r="J59" s="11" t="n">
        <f aca="false">IF(AND(J$1&gt;=Units!$Q58,MOD(J$1-Units!$Q58,12)=0),IF(AND(Units!$L58=1,J$1=Units!$Q58),1,Inputs!$B$15)*Inputs!$B$16*(1+Inputs!$B$11)^(J$2-1),0)</f>
        <v>0</v>
      </c>
      <c r="K59" s="11" t="n">
        <f aca="false">IF(AND(K$1&gt;=Units!$Q58,MOD(K$1-Units!$Q58,12)=0),IF(AND(Units!$L58=1,K$1=Units!$Q58),1,Inputs!$B$15)*Inputs!$B$16*(1+Inputs!$B$11)^(K$2-1),0)</f>
        <v>0</v>
      </c>
      <c r="L59" s="11" t="n">
        <f aca="false">IF(AND(L$1&gt;=Units!$Q58,MOD(L$1-Units!$Q58,12)=0),IF(AND(Units!$L58=1,L$1=Units!$Q58),1,Inputs!$B$15)*Inputs!$B$16*(1+Inputs!$B$11)^(L$2-1),0)</f>
        <v>0</v>
      </c>
      <c r="M59" s="11" t="n">
        <f aca="false">IF(AND(M$1&gt;=Units!$Q58,MOD(M$1-Units!$Q58,12)=0),IF(AND(Units!$L58=1,M$1=Units!$Q58),1,Inputs!$B$15)*Inputs!$B$16*(1+Inputs!$B$11)^(M$2-1),0)</f>
        <v>0</v>
      </c>
      <c r="N59" s="11" t="n">
        <f aca="false">IF(AND(N$1&gt;=Units!$Q58,MOD(N$1-Units!$Q58,12)=0),IF(AND(Units!$L58=1,N$1=Units!$Q58),1,Inputs!$B$15)*Inputs!$B$16*(1+Inputs!$B$11)^(N$2-1),0)</f>
        <v>0</v>
      </c>
      <c r="O59" s="11" t="n">
        <f aca="false">IF(AND(O$1&gt;=Units!$Q58,MOD(O$1-Units!$Q58,12)=0),IF(AND(Units!$L58=1,O$1=Units!$Q58),1,Inputs!$B$15)*Inputs!$B$16*(1+Inputs!$B$11)^(O$2-1),0)</f>
        <v>0</v>
      </c>
      <c r="P59" s="11" t="n">
        <f aca="false">IF(AND(P$1&gt;=Units!$Q58,MOD(P$1-Units!$Q58,12)=0),IF(AND(Units!$L58=1,P$1=Units!$Q58),1,Inputs!$B$15)*Inputs!$B$16*(1+Inputs!$B$11)^(P$2-1),0)</f>
        <v>0</v>
      </c>
      <c r="Q59" s="11" t="n">
        <f aca="false">IF(AND(Q$1&gt;=Units!$Q58,MOD(Q$1-Units!$Q58,12)=0),IF(AND(Units!$L58=1,Q$1=Units!$Q58),1,Inputs!$B$15)*Inputs!$B$16*(1+Inputs!$B$11)^(Q$2-1),0)</f>
        <v>0</v>
      </c>
      <c r="R59" s="11" t="n">
        <f aca="false">IF(AND(R$1&gt;=Units!$Q58,MOD(R$1-Units!$Q58,12)=0),IF(AND(Units!$L58=1,R$1=Units!$Q58),1,Inputs!$B$15)*Inputs!$B$16*(1+Inputs!$B$11)^(R$2-1),0)</f>
        <v>0</v>
      </c>
      <c r="S59" s="11" t="n">
        <f aca="false">IF(AND(S$1&gt;=Units!$Q58,MOD(S$1-Units!$Q58,12)=0),IF(AND(Units!$L58=1,S$1=Units!$Q58),1,Inputs!$B$15)*Inputs!$B$16*(1+Inputs!$B$11)^(S$2-1),0)</f>
        <v>515</v>
      </c>
      <c r="T59" s="11" t="n">
        <f aca="false">IF(AND(T$1&gt;=Units!$Q58,MOD(T$1-Units!$Q58,12)=0),IF(AND(Units!$L58=1,T$1=Units!$Q58),1,Inputs!$B$15)*Inputs!$B$16*(1+Inputs!$B$11)^(T$2-1),0)</f>
        <v>0</v>
      </c>
      <c r="U59" s="11" t="n">
        <f aca="false">IF(AND(U$1&gt;=Units!$Q58,MOD(U$1-Units!$Q58,12)=0),IF(AND(Units!$L58=1,U$1=Units!$Q58),1,Inputs!$B$15)*Inputs!$B$16*(1+Inputs!$B$11)^(U$2-1),0)</f>
        <v>0</v>
      </c>
      <c r="V59" s="11" t="n">
        <f aca="false">IF(AND(V$1&gt;=Units!$Q58,MOD(V$1-Units!$Q58,12)=0),IF(AND(Units!$L58=1,V$1=Units!$Q58),1,Inputs!$B$15)*Inputs!$B$16*(1+Inputs!$B$11)^(V$2-1),0)</f>
        <v>0</v>
      </c>
      <c r="W59" s="11" t="n">
        <f aca="false">IF(AND(W$1&gt;=Units!$Q58,MOD(W$1-Units!$Q58,12)=0),IF(AND(Units!$L58=1,W$1=Units!$Q58),1,Inputs!$B$15)*Inputs!$B$16*(1+Inputs!$B$11)^(W$2-1),0)</f>
        <v>0</v>
      </c>
      <c r="X59" s="11" t="n">
        <f aca="false">IF(AND(X$1&gt;=Units!$Q58,MOD(X$1-Units!$Q58,12)=0),IF(AND(Units!$L58=1,X$1=Units!$Q58),1,Inputs!$B$15)*Inputs!$B$16*(1+Inputs!$B$11)^(X$2-1),0)</f>
        <v>0</v>
      </c>
      <c r="Y59" s="11" t="n">
        <f aca="false">IF(AND(Y$1&gt;=Units!$Q58,MOD(Y$1-Units!$Q58,12)=0),IF(AND(Units!$L58=1,Y$1=Units!$Q58),1,Inputs!$B$15)*Inputs!$B$16*(1+Inputs!$B$11)^(Y$2-1),0)</f>
        <v>0</v>
      </c>
      <c r="Z59" s="11" t="n">
        <f aca="false">IF(AND(Z$1&gt;=Units!$Q58,MOD(Z$1-Units!$Q58,12)=0),IF(AND(Units!$L58=1,Z$1=Units!$Q58),1,Inputs!$B$15)*Inputs!$B$16*(1+Inputs!$B$11)^(Z$2-1),0)</f>
        <v>0</v>
      </c>
      <c r="AA59" s="11" t="n">
        <f aca="false">IF(AND(AA$1&gt;=Units!$Q58,MOD(AA$1-Units!$Q58,12)=0),IF(AND(Units!$L58=1,AA$1=Units!$Q58),1,Inputs!$B$15)*Inputs!$B$16*(1+Inputs!$B$11)^(AA$2-1),0)</f>
        <v>0</v>
      </c>
      <c r="AB59" s="11" t="n">
        <f aca="false">IF(AND(AB$1&gt;=Units!$Q58,MOD(AB$1-Units!$Q58,12)=0),IF(AND(Units!$L58=1,AB$1=Units!$Q58),1,Inputs!$B$15)*Inputs!$B$16*(1+Inputs!$B$11)^(AB$2-1),0)</f>
        <v>0</v>
      </c>
      <c r="AC59" s="11" t="n">
        <f aca="false">IF(AND(AC$1&gt;=Units!$Q58,MOD(AC$1-Units!$Q58,12)=0),IF(AND(Units!$L58=1,AC$1=Units!$Q58),1,Inputs!$B$15)*Inputs!$B$16*(1+Inputs!$B$11)^(AC$2-1),0)</f>
        <v>0</v>
      </c>
      <c r="AD59" s="11" t="n">
        <f aca="false">IF(AND(AD$1&gt;=Units!$Q58,MOD(AD$1-Units!$Q58,12)=0),IF(AND(Units!$L58=1,AD$1=Units!$Q58),1,Inputs!$B$15)*Inputs!$B$16*(1+Inputs!$B$11)^(AD$2-1),0)</f>
        <v>0</v>
      </c>
      <c r="AE59" s="11" t="n">
        <f aca="false">IF(AND(AE$1&gt;=Units!$Q58,MOD(AE$1-Units!$Q58,12)=0),IF(AND(Units!$L58=1,AE$1=Units!$Q58),1,Inputs!$B$15)*Inputs!$B$16*(1+Inputs!$B$11)^(AE$2-1),0)</f>
        <v>530.45</v>
      </c>
      <c r="AF59" s="11" t="n">
        <f aca="false">IF(AND(AF$1&gt;=Units!$Q58,MOD(AF$1-Units!$Q58,12)=0),IF(AND(Units!$L58=1,AF$1=Units!$Q58),1,Inputs!$B$15)*Inputs!$B$16*(1+Inputs!$B$11)^(AF$2-1),0)</f>
        <v>0</v>
      </c>
      <c r="AG59" s="11" t="n">
        <f aca="false">IF(AND(AG$1&gt;=Units!$Q58,MOD(AG$1-Units!$Q58,12)=0),IF(AND(Units!$L58=1,AG$1=Units!$Q58),1,Inputs!$B$15)*Inputs!$B$16*(1+Inputs!$B$11)^(AG$2-1),0)</f>
        <v>0</v>
      </c>
      <c r="AH59" s="11" t="n">
        <f aca="false">IF(AND(AH$1&gt;=Units!$Q58,MOD(AH$1-Units!$Q58,12)=0),IF(AND(Units!$L58=1,AH$1=Units!$Q58),1,Inputs!$B$15)*Inputs!$B$16*(1+Inputs!$B$11)^(AH$2-1),0)</f>
        <v>0</v>
      </c>
      <c r="AI59" s="11" t="n">
        <f aca="false">IF(AND(AI$1&gt;=Units!$Q58,MOD(AI$1-Units!$Q58,12)=0),IF(AND(Units!$L58=1,AI$1=Units!$Q58),1,Inputs!$B$15)*Inputs!$B$16*(1+Inputs!$B$11)^(AI$2-1),0)</f>
        <v>0</v>
      </c>
      <c r="AJ59" s="11" t="n">
        <f aca="false">IF(AND(AJ$1&gt;=Units!$Q58,MOD(AJ$1-Units!$Q58,12)=0),IF(AND(Units!$L58=1,AJ$1=Units!$Q58),1,Inputs!$B$15)*Inputs!$B$16*(1+Inputs!$B$11)^(AJ$2-1),0)</f>
        <v>0</v>
      </c>
      <c r="AK59" s="11" t="n">
        <f aca="false">IF(AND(AK$1&gt;=Units!$Q58,MOD(AK$1-Units!$Q58,12)=0),IF(AND(Units!$L58=1,AK$1=Units!$Q58),1,Inputs!$B$15)*Inputs!$B$16*(1+Inputs!$B$11)^(AK$2-1),0)</f>
        <v>0</v>
      </c>
      <c r="AL59" s="11" t="n">
        <f aca="false">IF(AND(AL$1&gt;=Units!$Q58,MOD(AL$1-Units!$Q58,12)=0),IF(AND(Units!$L58=1,AL$1=Units!$Q58),1,Inputs!$B$15)*Inputs!$B$16*(1+Inputs!$B$11)^(AL$2-1),0)</f>
        <v>0</v>
      </c>
      <c r="AM59" s="11" t="n">
        <f aca="false">IF(AND(AM$1&gt;=Units!$Q58,MOD(AM$1-Units!$Q58,12)=0),IF(AND(Units!$L58=1,AM$1=Units!$Q58),1,Inputs!$B$15)*Inputs!$B$16*(1+Inputs!$B$11)^(AM$2-1),0)</f>
        <v>0</v>
      </c>
      <c r="AN59" s="11" t="n">
        <f aca="false">IF(AND(AN$1&gt;=Units!$Q58,MOD(AN$1-Units!$Q58,12)=0),IF(AND(Units!$L58=1,AN$1=Units!$Q58),1,Inputs!$B$15)*Inputs!$B$16*(1+Inputs!$B$11)^(AN$2-1),0)</f>
        <v>0</v>
      </c>
      <c r="AO59" s="11" t="n">
        <f aca="false">IF(AND(AO$1&gt;=Units!$Q58,MOD(AO$1-Units!$Q58,12)=0),IF(AND(Units!$L58=1,AO$1=Units!$Q58),1,Inputs!$B$15)*Inputs!$B$16*(1+Inputs!$B$11)^(AO$2-1),0)</f>
        <v>0</v>
      </c>
      <c r="AP59" s="11" t="n">
        <f aca="false">IF(AND(AP$1&gt;=Units!$Q58,MOD(AP$1-Units!$Q58,12)=0),IF(AND(Units!$L58=1,AP$1=Units!$Q58),1,Inputs!$B$15)*Inputs!$B$16*(1+Inputs!$B$11)^(AP$2-1),0)</f>
        <v>0</v>
      </c>
      <c r="AQ59" s="11" t="n">
        <f aca="false">IF(AND(AQ$1&gt;=Units!$Q58,MOD(AQ$1-Units!$Q58,12)=0),IF(AND(Units!$L58=1,AQ$1=Units!$Q58),1,Inputs!$B$15)*Inputs!$B$16*(1+Inputs!$B$11)^(AQ$2-1),0)</f>
        <v>546.3635</v>
      </c>
      <c r="AR59" s="11" t="n">
        <f aca="false">IF(AND(AR$1&gt;=Units!$Q58,MOD(AR$1-Units!$Q58,12)=0),IF(AND(Units!$L58=1,AR$1=Units!$Q58),1,Inputs!$B$15)*Inputs!$B$16*(1+Inputs!$B$11)^(AR$2-1),0)</f>
        <v>0</v>
      </c>
      <c r="AS59" s="11" t="n">
        <f aca="false">IF(AND(AS$1&gt;=Units!$Q58,MOD(AS$1-Units!$Q58,12)=0),IF(AND(Units!$L58=1,AS$1=Units!$Q58),1,Inputs!$B$15)*Inputs!$B$16*(1+Inputs!$B$11)^(AS$2-1),0)</f>
        <v>0</v>
      </c>
      <c r="AT59" s="11" t="n">
        <f aca="false">IF(AND(AT$1&gt;=Units!$Q58,MOD(AT$1-Units!$Q58,12)=0),IF(AND(Units!$L58=1,AT$1=Units!$Q58),1,Inputs!$B$15)*Inputs!$B$16*(1+Inputs!$B$11)^(AT$2-1),0)</f>
        <v>0</v>
      </c>
      <c r="AU59" s="11" t="n">
        <f aca="false">IF(AND(AU$1&gt;=Units!$Q58,MOD(AU$1-Units!$Q58,12)=0),IF(AND(Units!$L58=1,AU$1=Units!$Q58),1,Inputs!$B$15)*Inputs!$B$16*(1+Inputs!$B$11)^(AU$2-1),0)</f>
        <v>0</v>
      </c>
      <c r="AV59" s="11" t="n">
        <f aca="false">IF(AND(AV$1&gt;=Units!$Q58,MOD(AV$1-Units!$Q58,12)=0),IF(AND(Units!$L58=1,AV$1=Units!$Q58),1,Inputs!$B$15)*Inputs!$B$16*(1+Inputs!$B$11)^(AV$2-1),0)</f>
        <v>0</v>
      </c>
      <c r="AW59" s="11" t="n">
        <f aca="false">IF(AND(AW$1&gt;=Units!$Q58,MOD(AW$1-Units!$Q58,12)=0),IF(AND(Units!$L58=1,AW$1=Units!$Q58),1,Inputs!$B$15)*Inputs!$B$16*(1+Inputs!$B$11)^(AW$2-1),0)</f>
        <v>0</v>
      </c>
      <c r="AX59" s="11" t="n">
        <f aca="false">IF(AND(AX$1&gt;=Units!$Q58,MOD(AX$1-Units!$Q58,12)=0),IF(AND(Units!$L58=1,AX$1=Units!$Q58),1,Inputs!$B$15)*Inputs!$B$16*(1+Inputs!$B$11)^(AX$2-1),0)</f>
        <v>0</v>
      </c>
      <c r="AY59" s="11" t="n">
        <f aca="false">IF(AND(AY$1&gt;=Units!$Q58,MOD(AY$1-Units!$Q58,12)=0),IF(AND(Units!$L58=1,AY$1=Units!$Q58),1,Inputs!$B$15)*Inputs!$B$16*(1+Inputs!$B$11)^(AY$2-1),0)</f>
        <v>0</v>
      </c>
      <c r="AZ59" s="11" t="n">
        <f aca="false">IF(AND(AZ$1&gt;=Units!$Q58,MOD(AZ$1-Units!$Q58,12)=0),IF(AND(Units!$L58=1,AZ$1=Units!$Q58),1,Inputs!$B$15)*Inputs!$B$16*(1+Inputs!$B$11)^(AZ$2-1),0)</f>
        <v>0</v>
      </c>
      <c r="BA59" s="11" t="n">
        <f aca="false">IF(AND(BA$1&gt;=Units!$Q58,MOD(BA$1-Units!$Q58,12)=0),IF(AND(Units!$L58=1,BA$1=Units!$Q58),1,Inputs!$B$15)*Inputs!$B$16*(1+Inputs!$B$11)^(BA$2-1),0)</f>
        <v>0</v>
      </c>
      <c r="BB59" s="11" t="n">
        <f aca="false">IF(AND(BB$1&gt;=Units!$Q58,MOD(BB$1-Units!$Q58,12)=0),IF(AND(Units!$L58=1,BB$1=Units!$Q58),1,Inputs!$B$15)*Inputs!$B$16*(1+Inputs!$B$11)^(BB$2-1),0)</f>
        <v>0</v>
      </c>
      <c r="BC59" s="11" t="n">
        <f aca="false">IF(AND(BC$1&gt;=Units!$Q58,MOD(BC$1-Units!$Q58,12)=0),IF(AND(Units!$L58=1,BC$1=Units!$Q58),1,Inputs!$B$15)*Inputs!$B$16*(1+Inputs!$B$11)^(BC$2-1),0)</f>
        <v>562.754405</v>
      </c>
      <c r="BD59" s="11" t="n">
        <f aca="false">IF(AND(BD$1&gt;=Units!$Q58,MOD(BD$1-Units!$Q58,12)=0),IF(AND(Units!$L58=1,BD$1=Units!$Q58),1,Inputs!$B$15)*Inputs!$B$16*(1+Inputs!$B$11)^(BD$2-1),0)</f>
        <v>0</v>
      </c>
      <c r="BE59" s="11" t="n">
        <f aca="false">IF(AND(BE$1&gt;=Units!$Q58,MOD(BE$1-Units!$Q58,12)=0),IF(AND(Units!$L58=1,BE$1=Units!$Q58),1,Inputs!$B$15)*Inputs!$B$16*(1+Inputs!$B$11)^(BE$2-1),0)</f>
        <v>0</v>
      </c>
      <c r="BF59" s="11" t="n">
        <f aca="false">IF(AND(BF$1&gt;=Units!$Q58,MOD(BF$1-Units!$Q58,12)=0),IF(AND(Units!$L58=1,BF$1=Units!$Q58),1,Inputs!$B$15)*Inputs!$B$16*(1+Inputs!$B$11)^(BF$2-1),0)</f>
        <v>0</v>
      </c>
      <c r="BG59" s="11" t="n">
        <f aca="false">IF(AND(BG$1&gt;=Units!$Q58,MOD(BG$1-Units!$Q58,12)=0),IF(AND(Units!$L58=1,BG$1=Units!$Q58),1,Inputs!$B$15)*Inputs!$B$16*(1+Inputs!$B$11)^(BG$2-1),0)</f>
        <v>0</v>
      </c>
      <c r="BH59" s="11" t="n">
        <f aca="false">IF(AND(BH$1&gt;=Units!$Q58,MOD(BH$1-Units!$Q58,12)=0),IF(AND(Units!$L58=1,BH$1=Units!$Q58),1,Inputs!$B$15)*Inputs!$B$16*(1+Inputs!$B$11)^(BH$2-1),0)</f>
        <v>0</v>
      </c>
      <c r="BI59" s="11" t="n">
        <f aca="false">IF(AND(BI$1&gt;=Units!$Q58,MOD(BI$1-Units!$Q58,12)=0),IF(AND(Units!$L58=1,BI$1=Units!$Q58),1,Inputs!$B$15)*Inputs!$B$16*(1+Inputs!$B$11)^(BI$2-1),0)</f>
        <v>0</v>
      </c>
      <c r="BJ59" s="11" t="n">
        <f aca="false">IF(AND(BJ$1&gt;=Units!$Q58,MOD(BJ$1-Units!$Q58,12)=0),IF(AND(Units!$L58=1,BJ$1=Units!$Q58),1,Inputs!$B$15)*Inputs!$B$16*(1+Inputs!$B$11)^(BJ$2-1),0)</f>
        <v>0</v>
      </c>
      <c r="BK59" s="11" t="n">
        <f aca="false">IF(AND(BK$1&gt;=Units!$Q58,MOD(BK$1-Units!$Q58,12)=0),IF(AND(Units!$L58=1,BK$1=Units!$Q58),1,Inputs!$B$15)*Inputs!$B$16*(1+Inputs!$B$11)^(BK$2-1),0)</f>
        <v>0</v>
      </c>
      <c r="BL59" s="11" t="n">
        <f aca="false">IF(AND(BL$1&gt;=Units!$Q58,MOD(BL$1-Units!$Q58,12)=0),IF(AND(Units!$L58=1,BL$1=Units!$Q58),1,Inputs!$B$15)*Inputs!$B$16*(1+Inputs!$B$11)^(BL$2-1),0)</f>
        <v>0</v>
      </c>
      <c r="BM59" s="11" t="n">
        <f aca="false">IF(AND(BM$1&gt;=Units!$Q58,MOD(BM$1-Units!$Q58,12)=0),IF(AND(Units!$L58=1,BM$1=Units!$Q58),1,Inputs!$B$15)*Inputs!$B$16*(1+Inputs!$B$11)^(BM$2-1),0)</f>
        <v>0</v>
      </c>
      <c r="BN59" s="11" t="n">
        <f aca="false">IF(AND(BN$1&gt;=Units!$Q58,MOD(BN$1-Units!$Q58,12)=0),IF(AND(Units!$L58=1,BN$1=Units!$Q58),1,Inputs!$B$15)*Inputs!$B$16*(1+Inputs!$B$11)^(BN$2-1),0)</f>
        <v>0</v>
      </c>
      <c r="BO59" s="11" t="n">
        <f aca="false">IF(AND(BO$1&gt;=Units!$Q58,MOD(BO$1-Units!$Q58,12)=0),IF(AND(Units!$L58=1,BO$1=Units!$Q58),1,Inputs!$B$15)*Inputs!$B$16*(1+Inputs!$B$11)^(BO$2-1),0)</f>
        <v>579.63703715</v>
      </c>
      <c r="BP59" s="11" t="n">
        <f aca="false">IF(AND(BP$1&gt;=Units!$Q58,MOD(BP$1-Units!$Q58,12)=0),IF(AND(Units!$L58=1,BP$1=Units!$Q58),1,Inputs!$B$15)*Inputs!$B$16*(1+Inputs!$B$11)^(BP$2-1),0)</f>
        <v>0</v>
      </c>
      <c r="BQ59" s="11" t="n">
        <f aca="false">IF(AND(BQ$1&gt;=Units!$Q58,MOD(BQ$1-Units!$Q58,12)=0),IF(AND(Units!$L58=1,BQ$1=Units!$Q58),1,Inputs!$B$15)*Inputs!$B$16*(1+Inputs!$B$11)^(BQ$2-1),0)</f>
        <v>0</v>
      </c>
      <c r="BR59" s="11" t="n">
        <f aca="false">IF(AND(BR$1&gt;=Units!$Q58,MOD(BR$1-Units!$Q58,12)=0),IF(AND(Units!$L58=1,BR$1=Units!$Q58),1,Inputs!$B$15)*Inputs!$B$16*(1+Inputs!$B$11)^(BR$2-1),0)</f>
        <v>0</v>
      </c>
      <c r="BS59" s="11" t="n">
        <f aca="false">IF(AND(BS$1&gt;=Units!$Q58,MOD(BS$1-Units!$Q58,12)=0),IF(AND(Units!$L58=1,BS$1=Units!$Q58),1,Inputs!$B$15)*Inputs!$B$16*(1+Inputs!$B$11)^(BS$2-1),0)</f>
        <v>0</v>
      </c>
      <c r="BT59" s="11" t="n">
        <f aca="false">IF(AND(BT$1&gt;=Units!$Q58,MOD(BT$1-Units!$Q58,12)=0),IF(AND(Units!$L58=1,BT$1=Units!$Q58),1,Inputs!$B$15)*Inputs!$B$16*(1+Inputs!$B$11)^(BT$2-1),0)</f>
        <v>0</v>
      </c>
      <c r="BU59" s="11" t="n">
        <f aca="false">IF(AND(BU$1&gt;=Units!$Q58,MOD(BU$1-Units!$Q58,12)=0),IF(AND(Units!$L58=1,BU$1=Units!$Q58),1,Inputs!$B$15)*Inputs!$B$16*(1+Inputs!$B$11)^(BU$2-1),0)</f>
        <v>0</v>
      </c>
      <c r="BV59" s="11" t="n">
        <f aca="false">IF(AND(BV$1&gt;=Units!$Q58,MOD(BV$1-Units!$Q58,12)=0),IF(AND(Units!$L58=1,BV$1=Units!$Q58),1,Inputs!$B$15)*Inputs!$B$16*(1+Inputs!$B$11)^(BV$2-1),0)</f>
        <v>0</v>
      </c>
      <c r="BW59" s="11" t="n">
        <f aca="false">IF(AND(BW$1&gt;=Units!$Q58,MOD(BW$1-Units!$Q58,12)=0),IF(AND(Units!$L58=1,BW$1=Units!$Q58),1,Inputs!$B$15)*Inputs!$B$16*(1+Inputs!$B$11)^(BW$2-1),0)</f>
        <v>0</v>
      </c>
      <c r="BX59" s="11" t="n">
        <f aca="false">IF(AND(BX$1&gt;=Units!$Q58,MOD(BX$1-Units!$Q58,12)=0),IF(AND(Units!$L58=1,BX$1=Units!$Q58),1,Inputs!$B$15)*Inputs!$B$16*(1+Inputs!$B$11)^(BX$2-1),0)</f>
        <v>0</v>
      </c>
      <c r="BY59" s="11" t="n">
        <f aca="false">IF(AND(BY$1&gt;=Units!$Q58,MOD(BY$1-Units!$Q58,12)=0),IF(AND(Units!$L58=1,BY$1=Units!$Q58),1,Inputs!$B$15)*Inputs!$B$16*(1+Inputs!$B$11)^(BY$2-1),0)</f>
        <v>0</v>
      </c>
      <c r="BZ59" s="11" t="n">
        <f aca="false">IF(AND(BZ$1&gt;=Units!$Q58,MOD(BZ$1-Units!$Q58,12)=0),IF(AND(Units!$L58=1,BZ$1=Units!$Q58),1,Inputs!$B$15)*Inputs!$B$16*(1+Inputs!$B$11)^(BZ$2-1),0)</f>
        <v>0</v>
      </c>
      <c r="CA59" s="11" t="n">
        <f aca="false">IF(AND(CA$1&gt;=Units!$Q58,MOD(CA$1-Units!$Q58,12)=0),IF(AND(Units!$L58=1,CA$1=Units!$Q58),1,Inputs!$B$15)*Inputs!$B$16*(1+Inputs!$B$11)^(CA$2-1),0)</f>
        <v>597.0261482645</v>
      </c>
      <c r="CB59" s="11" t="n">
        <f aca="false">IF(AND(CB$1&gt;=Units!$Q58,MOD(CB$1-Units!$Q58,12)=0),IF(AND(Units!$L58=1,CB$1=Units!$Q58),1,Inputs!$B$15)*Inputs!$B$16*(1+Inputs!$B$11)^(CB$2-1),0)</f>
        <v>0</v>
      </c>
      <c r="CC59" s="11" t="n">
        <f aca="false">IF(AND(CC$1&gt;=Units!$Q58,MOD(CC$1-Units!$Q58,12)=0),IF(AND(Units!$L58=1,CC$1=Units!$Q58),1,Inputs!$B$15)*Inputs!$B$16*(1+Inputs!$B$11)^(CC$2-1),0)</f>
        <v>0</v>
      </c>
      <c r="CD59" s="11" t="n">
        <f aca="false">IF(AND(CD$1&gt;=Units!$Q58,MOD(CD$1-Units!$Q58,12)=0),IF(AND(Units!$L58=1,CD$1=Units!$Q58),1,Inputs!$B$15)*Inputs!$B$16*(1+Inputs!$B$11)^(CD$2-1),0)</f>
        <v>0</v>
      </c>
      <c r="CE59" s="11" t="n">
        <f aca="false">IF(AND(CE$1&gt;=Units!$Q58,MOD(CE$1-Units!$Q58,12)=0),IF(AND(Units!$L58=1,CE$1=Units!$Q58),1,Inputs!$B$15)*Inputs!$B$16*(1+Inputs!$B$11)^(CE$2-1),0)</f>
        <v>0</v>
      </c>
      <c r="CF59" s="11" t="n">
        <f aca="false">IF(AND(CF$1&gt;=Units!$Q58,MOD(CF$1-Units!$Q58,12)=0),IF(AND(Units!$L58=1,CF$1=Units!$Q58),1,Inputs!$B$15)*Inputs!$B$16*(1+Inputs!$B$11)^(CF$2-1),0)</f>
        <v>0</v>
      </c>
      <c r="CG59" s="11" t="n">
        <f aca="false">IF(AND(CG$1&gt;=Units!$Q58,MOD(CG$1-Units!$Q58,12)=0),IF(AND(Units!$L58=1,CG$1=Units!$Q58),1,Inputs!$B$15)*Inputs!$B$16*(1+Inputs!$B$11)^(CG$2-1),0)</f>
        <v>0</v>
      </c>
      <c r="CH59" s="11" t="n">
        <f aca="false">IF(AND(CH$1&gt;=Units!$Q58,MOD(CH$1-Units!$Q58,12)=0),IF(AND(Units!$L58=1,CH$1=Units!$Q58),1,Inputs!$B$15)*Inputs!$B$16*(1+Inputs!$B$11)^(CH$2-1),0)</f>
        <v>0</v>
      </c>
      <c r="CI59" s="11" t="n">
        <f aca="false">IF(AND(CI$1&gt;=Units!$Q58,MOD(CI$1-Units!$Q58,12)=0),IF(AND(Units!$L58=1,CI$1=Units!$Q58),1,Inputs!$B$15)*Inputs!$B$16*(1+Inputs!$B$11)^(CI$2-1),0)</f>
        <v>0</v>
      </c>
      <c r="CJ59" s="11" t="n">
        <f aca="false">IF(AND(CJ$1&gt;=Units!$Q58,MOD(CJ$1-Units!$Q58,12)=0),IF(AND(Units!$L58=1,CJ$1=Units!$Q58),1,Inputs!$B$15)*Inputs!$B$16*(1+Inputs!$B$11)^(CJ$2-1),0)</f>
        <v>0</v>
      </c>
      <c r="CK59" s="11" t="n">
        <f aca="false">IF(AND(CK$1&gt;=Units!$Q58,MOD(CK$1-Units!$Q58,12)=0),IF(AND(Units!$L58=1,CK$1=Units!$Q58),1,Inputs!$B$15)*Inputs!$B$16*(1+Inputs!$B$11)^(CK$2-1),0)</f>
        <v>0</v>
      </c>
      <c r="CL59" s="11" t="n">
        <f aca="false">IF(AND(CL$1&gt;=Units!$Q58,MOD(CL$1-Units!$Q58,12)=0),IF(AND(Units!$L58=1,CL$1=Units!$Q58),1,Inputs!$B$15)*Inputs!$B$16*(1+Inputs!$B$11)^(CL$2-1),0)</f>
        <v>0</v>
      </c>
      <c r="CM59" s="11" t="n">
        <f aca="false">IF(AND(CM$1&gt;=Units!$Q58,MOD(CM$1-Units!$Q58,12)=0),IF(AND(Units!$L58=1,CM$1=Units!$Q58),1,Inputs!$B$15)*Inputs!$B$16*(1+Inputs!$B$11)^(CM$2-1),0)</f>
        <v>614.936932712435</v>
      </c>
      <c r="CN59" s="11" t="n">
        <f aca="false">IF(AND(CN$1&gt;=Units!$Q58,MOD(CN$1-Units!$Q58,12)=0),IF(AND(Units!$L58=1,CN$1=Units!$Q58),1,Inputs!$B$15)*Inputs!$B$16*(1+Inputs!$B$11)^(CN$2-1),0)</f>
        <v>0</v>
      </c>
      <c r="CO59" s="11" t="n">
        <f aca="false">IF(AND(CO$1&gt;=Units!$Q58,MOD(CO$1-Units!$Q58,12)=0),IF(AND(Units!$L58=1,CO$1=Units!$Q58),1,Inputs!$B$15)*Inputs!$B$16*(1+Inputs!$B$11)^(CO$2-1),0)</f>
        <v>0</v>
      </c>
      <c r="CP59" s="11" t="n">
        <f aca="false">IF(AND(CP$1&gt;=Units!$Q58,MOD(CP$1-Units!$Q58,12)=0),IF(AND(Units!$L58=1,CP$1=Units!$Q58),1,Inputs!$B$15)*Inputs!$B$16*(1+Inputs!$B$11)^(CP$2-1),0)</f>
        <v>0</v>
      </c>
      <c r="CQ59" s="11" t="n">
        <f aca="false">IF(AND(CQ$1&gt;=Units!$Q58,MOD(CQ$1-Units!$Q58,12)=0),IF(AND(Units!$L58=1,CQ$1=Units!$Q58),1,Inputs!$B$15)*Inputs!$B$16*(1+Inputs!$B$11)^(CQ$2-1),0)</f>
        <v>0</v>
      </c>
      <c r="CR59" s="11" t="n">
        <f aca="false">IF(AND(CR$1&gt;=Units!$Q58,MOD(CR$1-Units!$Q58,12)=0),IF(AND(Units!$L58=1,CR$1=Units!$Q58),1,Inputs!$B$15)*Inputs!$B$16*(1+Inputs!$B$11)^(CR$2-1),0)</f>
        <v>0</v>
      </c>
      <c r="CS59" s="11" t="n">
        <f aca="false">IF(AND(CS$1&gt;=Units!$Q58,MOD(CS$1-Units!$Q58,12)=0),IF(AND(Units!$L58=1,CS$1=Units!$Q58),1,Inputs!$B$15)*Inputs!$B$16*(1+Inputs!$B$11)^(CS$2-1),0)</f>
        <v>0</v>
      </c>
      <c r="CT59" s="11" t="n">
        <f aca="false">IF(AND(CT$1&gt;=Units!$Q58,MOD(CT$1-Units!$Q58,12)=0),IF(AND(Units!$L58=1,CT$1=Units!$Q58),1,Inputs!$B$15)*Inputs!$B$16*(1+Inputs!$B$11)^(CT$2-1),0)</f>
        <v>0</v>
      </c>
      <c r="CU59" s="11" t="n">
        <f aca="false">IF(AND(CU$1&gt;=Units!$Q58,MOD(CU$1-Units!$Q58,12)=0),IF(AND(Units!$L58=1,CU$1=Units!$Q58),1,Inputs!$B$15)*Inputs!$B$16*(1+Inputs!$B$11)^(CU$2-1),0)</f>
        <v>0</v>
      </c>
      <c r="CV59" s="11" t="n">
        <f aca="false">IF(AND(CV$1&gt;=Units!$Q58,MOD(CV$1-Units!$Q58,12)=0),IF(AND(Units!$L58=1,CV$1=Units!$Q58),1,Inputs!$B$15)*Inputs!$B$16*(1+Inputs!$B$11)^(CV$2-1),0)</f>
        <v>0</v>
      </c>
      <c r="CW59" s="11" t="n">
        <f aca="false">IF(AND(CW$1&gt;=Units!$Q58,MOD(CW$1-Units!$Q58,12)=0),IF(AND(Units!$L58=1,CW$1=Units!$Q58),1,Inputs!$B$15)*Inputs!$B$16*(1+Inputs!$B$11)^(CW$2-1),0)</f>
        <v>0</v>
      </c>
      <c r="CX59" s="11" t="n">
        <f aca="false">IF(AND(CX$1&gt;=Units!$Q58,MOD(CX$1-Units!$Q58,12)=0),IF(AND(Units!$L58=1,CX$1=Units!$Q58),1,Inputs!$B$15)*Inputs!$B$16*(1+Inputs!$B$11)^(CX$2-1),0)</f>
        <v>0</v>
      </c>
      <c r="CY59" s="11" t="n">
        <f aca="false">IF(AND(CY$1&gt;=Units!$Q58,MOD(CY$1-Units!$Q58,12)=0),IF(AND(Units!$L58=1,CY$1=Units!$Q58),1,Inputs!$B$15)*Inputs!$B$16*(1+Inputs!$B$11)^(CY$2-1),0)</f>
        <v>633.385040693808</v>
      </c>
      <c r="CZ59" s="11" t="n">
        <f aca="false">IF(AND(CZ$1&gt;=Units!$Q58,MOD(CZ$1-Units!$Q58,12)=0),IF(AND(Units!$L58=1,CZ$1=Units!$Q58),1,Inputs!$B$15)*Inputs!$B$16*(1+Inputs!$B$11)^(CZ$2-1),0)</f>
        <v>0</v>
      </c>
      <c r="DA59" s="11" t="n">
        <f aca="false">IF(AND(DA$1&gt;=Units!$Q58,MOD(DA$1-Units!$Q58,12)=0),IF(AND(Units!$L58=1,DA$1=Units!$Q58),1,Inputs!$B$15)*Inputs!$B$16*(1+Inputs!$B$11)^(DA$2-1),0)</f>
        <v>0</v>
      </c>
      <c r="DB59" s="11" t="n">
        <f aca="false">IF(AND(DB$1&gt;=Units!$Q58,MOD(DB$1-Units!$Q58,12)=0),IF(AND(Units!$L58=1,DB$1=Units!$Q58),1,Inputs!$B$15)*Inputs!$B$16*(1+Inputs!$B$11)^(DB$2-1),0)</f>
        <v>0</v>
      </c>
      <c r="DC59" s="11" t="n">
        <f aca="false">IF(AND(DC$1&gt;=Units!$Q58,MOD(DC$1-Units!$Q58,12)=0),IF(AND(Units!$L58=1,DC$1=Units!$Q58),1,Inputs!$B$15)*Inputs!$B$16*(1+Inputs!$B$11)^(DC$2-1),0)</f>
        <v>0</v>
      </c>
      <c r="DD59" s="11" t="n">
        <f aca="false">IF(AND(DD$1&gt;=Units!$Q58,MOD(DD$1-Units!$Q58,12)=0),IF(AND(Units!$L58=1,DD$1=Units!$Q58),1,Inputs!$B$15)*Inputs!$B$16*(1+Inputs!$B$11)^(DD$2-1),0)</f>
        <v>0</v>
      </c>
      <c r="DE59" s="11" t="n">
        <f aca="false">IF(AND(DE$1&gt;=Units!$Q58,MOD(DE$1-Units!$Q58,12)=0),IF(AND(Units!$L58=1,DE$1=Units!$Q58),1,Inputs!$B$15)*Inputs!$B$16*(1+Inputs!$B$11)^(DE$2-1),0)</f>
        <v>0</v>
      </c>
      <c r="DF59" s="11" t="n">
        <f aca="false">IF(AND(DF$1&gt;=Units!$Q58,MOD(DF$1-Units!$Q58,12)=0),IF(AND(Units!$L58=1,DF$1=Units!$Q58),1,Inputs!$B$15)*Inputs!$B$16*(1+Inputs!$B$11)^(DF$2-1),0)</f>
        <v>0</v>
      </c>
      <c r="DG59" s="11" t="n">
        <f aca="false">IF(AND(DG$1&gt;=Units!$Q58,MOD(DG$1-Units!$Q58,12)=0),IF(AND(Units!$L58=1,DG$1=Units!$Q58),1,Inputs!$B$15)*Inputs!$B$16*(1+Inputs!$B$11)^(DG$2-1),0)</f>
        <v>0</v>
      </c>
      <c r="DH59" s="11" t="n">
        <f aca="false">IF(AND(DH$1&gt;=Units!$Q58,MOD(DH$1-Units!$Q58,12)=0),IF(AND(Units!$L58=1,DH$1=Units!$Q58),1,Inputs!$B$15)*Inputs!$B$16*(1+Inputs!$B$11)^(DH$2-1),0)</f>
        <v>0</v>
      </c>
      <c r="DI59" s="11" t="n">
        <f aca="false">IF(AND(DI$1&gt;=Units!$Q58,MOD(DI$1-Units!$Q58,12)=0),IF(AND(Units!$L58=1,DI$1=Units!$Q58),1,Inputs!$B$15)*Inputs!$B$16*(1+Inputs!$B$11)^(DI$2-1),0)</f>
        <v>0</v>
      </c>
      <c r="DJ59" s="11" t="n">
        <f aca="false">IF(AND(DJ$1&gt;=Units!$Q58,MOD(DJ$1-Units!$Q58,12)=0),IF(AND(Units!$L58=1,DJ$1=Units!$Q58),1,Inputs!$B$15)*Inputs!$B$16*(1+Inputs!$B$11)^(DJ$2-1),0)</f>
        <v>0</v>
      </c>
      <c r="DK59" s="11" t="n">
        <f aca="false">IF(AND(DK$1&gt;=Units!$Q58,MOD(DK$1-Units!$Q58,12)=0),IF(AND(Units!$L58=1,DK$1=Units!$Q58),1,Inputs!$B$15)*Inputs!$B$16*(1+Inputs!$B$11)^(DK$2-1),0)</f>
        <v>652.386591914623</v>
      </c>
      <c r="DL59" s="11" t="n">
        <f aca="false">IF(AND(DL$1&gt;=Units!$Q58,MOD(DL$1-Units!$Q58,12)=0),IF(AND(Units!$L58=1,DL$1=Units!$Q58),1,Inputs!$B$15)*Inputs!$B$16*(1+Inputs!$B$11)^(DL$2-1),0)</f>
        <v>0</v>
      </c>
      <c r="DM59" s="11" t="n">
        <f aca="false">IF(AND(DM$1&gt;=Units!$Q58,MOD(DM$1-Units!$Q58,12)=0),IF(AND(Units!$L58=1,DM$1=Units!$Q58),1,Inputs!$B$15)*Inputs!$B$16*(1+Inputs!$B$11)^(DM$2-1),0)</f>
        <v>0</v>
      </c>
      <c r="DN59" s="11" t="n">
        <f aca="false">IF(AND(DN$1&gt;=Units!$Q58,MOD(DN$1-Units!$Q58,12)=0),IF(AND(Units!$L58=1,DN$1=Units!$Q58),1,Inputs!$B$15)*Inputs!$B$16*(1+Inputs!$B$11)^(DN$2-1),0)</f>
        <v>0</v>
      </c>
      <c r="DO59" s="11" t="n">
        <f aca="false">IF(AND(DO$1&gt;=Units!$Q58,MOD(DO$1-Units!$Q58,12)=0),IF(AND(Units!$L58=1,DO$1=Units!$Q58),1,Inputs!$B$15)*Inputs!$B$16*(1+Inputs!$B$11)^(DO$2-1),0)</f>
        <v>0</v>
      </c>
      <c r="DP59" s="11" t="n">
        <f aca="false">IF(AND(DP$1&gt;=Units!$Q58,MOD(DP$1-Units!$Q58,12)=0),IF(AND(Units!$L58=1,DP$1=Units!$Q58),1,Inputs!$B$15)*Inputs!$B$16*(1+Inputs!$B$11)^(DP$2-1),0)</f>
        <v>0</v>
      </c>
      <c r="DQ59" s="11" t="n">
        <f aca="false">IF(AND(DQ$1&gt;=Units!$Q58,MOD(DQ$1-Units!$Q58,12)=0),IF(AND(Units!$L58=1,DQ$1=Units!$Q58),1,Inputs!$B$15)*Inputs!$B$16*(1+Inputs!$B$11)^(DQ$2-1),0)</f>
        <v>0</v>
      </c>
      <c r="DR59" s="11" t="n">
        <f aca="false">IF(AND(DR$1&gt;=Units!$Q58,MOD(DR$1-Units!$Q58,12)=0),IF(AND(Units!$L58=1,DR$1=Units!$Q58),1,Inputs!$B$15)*Inputs!$B$16*(1+Inputs!$B$11)^(DR$2-1),0)</f>
        <v>0</v>
      </c>
      <c r="DS59" s="11" t="n">
        <f aca="false">IF(AND(DS$1&gt;=Units!$Q58,MOD(DS$1-Units!$Q58,12)=0),IF(AND(Units!$L58=1,DS$1=Units!$Q58),1,Inputs!$B$15)*Inputs!$B$16*(1+Inputs!$B$11)^(DS$2-1),0)</f>
        <v>0</v>
      </c>
      <c r="DT59" s="11" t="n">
        <f aca="false">IF(AND(DT$1&gt;=Units!$Q58,MOD(DT$1-Units!$Q58,12)=0),IF(AND(Units!$L58=1,DT$1=Units!$Q58),1,Inputs!$B$15)*Inputs!$B$16*(1+Inputs!$B$11)^(DT$2-1),0)</f>
        <v>0</v>
      </c>
      <c r="DU59" s="11" t="n">
        <f aca="false">IF(AND(DU$1&gt;=Units!$Q58,MOD(DU$1-Units!$Q58,12)=0),IF(AND(Units!$L58=1,DU$1=Units!$Q58),1,Inputs!$B$15)*Inputs!$B$16*(1+Inputs!$B$11)^(DU$2-1),0)</f>
        <v>0</v>
      </c>
      <c r="DV59" s="11" t="n">
        <f aca="false">IF(AND(DV$1&gt;=Units!$Q58,MOD(DV$1-Units!$Q58,12)=0),IF(AND(Units!$L58=1,DV$1=Units!$Q58),1,Inputs!$B$15)*Inputs!$B$16*(1+Inputs!$B$11)^(DV$2-1),0)</f>
        <v>0</v>
      </c>
      <c r="DW59" s="11" t="n">
        <f aca="false">IF(AND(DW$1&gt;=Units!$Q58,MOD(DW$1-Units!$Q58,12)=0),IF(AND(Units!$L58=1,DW$1=Units!$Q58),1,Inputs!$B$15)*Inputs!$B$16*(1+Inputs!$B$11)^(DW$2-1),0)</f>
        <v>671.958189672061</v>
      </c>
      <c r="DX59" s="11" t="n">
        <f aca="false">IF(AND(DX$1&gt;=Units!$Q58,MOD(DX$1-Units!$Q58,12)=0),IF(AND(Units!$L58=1,DX$1=Units!$Q58),1,Inputs!$B$15)*Inputs!$B$16*(1+Inputs!$B$11)^(DX$2-1),0)</f>
        <v>0</v>
      </c>
      <c r="DY59" s="11" t="n">
        <f aca="false">IF(AND(DY$1&gt;=Units!$Q58,MOD(DY$1-Units!$Q58,12)=0),IF(AND(Units!$L58=1,DY$1=Units!$Q58),1,Inputs!$B$15)*Inputs!$B$16*(1+Inputs!$B$11)^(DY$2-1),0)</f>
        <v>0</v>
      </c>
      <c r="DZ59" s="11" t="n">
        <f aca="false">IF(AND(DZ$1&gt;=Units!$Q58,MOD(DZ$1-Units!$Q58,12)=0),IF(AND(Units!$L58=1,DZ$1=Units!$Q58),1,Inputs!$B$15)*Inputs!$B$16*(1+Inputs!$B$11)^(DZ$2-1),0)</f>
        <v>0</v>
      </c>
      <c r="EA59" s="11" t="n">
        <f aca="false">IF(AND(EA$1&gt;=Units!$Q58,MOD(EA$1-Units!$Q58,12)=0),IF(AND(Units!$L58=1,EA$1=Units!$Q58),1,Inputs!$B$15)*Inputs!$B$16*(1+Inputs!$B$11)^(EA$2-1),0)</f>
        <v>0</v>
      </c>
      <c r="EB59" s="11" t="n">
        <f aca="false">IF(AND(EB$1&gt;=Units!$Q58,MOD(EB$1-Units!$Q58,12)=0),IF(AND(Units!$L58=1,EB$1=Units!$Q58),1,Inputs!$B$15)*Inputs!$B$16*(1+Inputs!$B$11)^(EB$2-1),0)</f>
        <v>0</v>
      </c>
      <c r="EC59" s="11" t="n">
        <f aca="false">IF(AND(EC$1&gt;=Units!$Q58,MOD(EC$1-Units!$Q58,12)=0),IF(AND(Units!$L58=1,EC$1=Units!$Q58),1,Inputs!$B$15)*Inputs!$B$16*(1+Inputs!$B$11)^(EC$2-1),0)</f>
        <v>0</v>
      </c>
      <c r="ED59" s="11" t="n">
        <f aca="false">IF(AND(ED$1&gt;=Units!$Q58,MOD(ED$1-Units!$Q58,12)=0),IF(AND(Units!$L58=1,ED$1=Units!$Q58),1,Inputs!$B$15)*Inputs!$B$16*(1+Inputs!$B$11)^(ED$2-1),0)</f>
        <v>0</v>
      </c>
    </row>
    <row r="60" customFormat="false" ht="15" hidden="false" customHeight="false" outlineLevel="0" collapsed="false">
      <c r="A60" s="22" t="n">
        <f aca="false">Units!A59</f>
        <v>228</v>
      </c>
      <c r="B60" s="23"/>
      <c r="C60" s="11" t="n">
        <f aca="false">IF(AND(C$1&gt;=Units!$Q59,MOD(C$1-Units!$Q59,12)=0),IF(AND(Units!$L59=1,C$1=Units!$Q59),1,Inputs!$B$15)*Inputs!$B$16*(1+Inputs!$B$11)^(C$2-1),0)</f>
        <v>0</v>
      </c>
      <c r="D60" s="11" t="n">
        <f aca="false">IF(AND(D$1&gt;=Units!$Q59,MOD(D$1-Units!$Q59,12)=0),IF(AND(Units!$L59=1,D$1=Units!$Q59),1,Inputs!$B$15)*Inputs!$B$16*(1+Inputs!$B$11)^(D$2-1),0)</f>
        <v>0</v>
      </c>
      <c r="E60" s="11" t="n">
        <f aca="false">IF(AND(E$1&gt;=Units!$Q59,MOD(E$1-Units!$Q59,12)=0),IF(AND(Units!$L59=1,E$1=Units!$Q59),1,Inputs!$B$15)*Inputs!$B$16*(1+Inputs!$B$11)^(E$2-1),0)</f>
        <v>0</v>
      </c>
      <c r="F60" s="11" t="n">
        <f aca="false">IF(AND(F$1&gt;=Units!$Q59,MOD(F$1-Units!$Q59,12)=0),IF(AND(Units!$L59=1,F$1=Units!$Q59),1,Inputs!$B$15)*Inputs!$B$16*(1+Inputs!$B$11)^(F$2-1),0)</f>
        <v>500</v>
      </c>
      <c r="G60" s="11" t="n">
        <f aca="false">IF(AND(G$1&gt;=Units!$Q59,MOD(G$1-Units!$Q59,12)=0),IF(AND(Units!$L59=1,G$1=Units!$Q59),1,Inputs!$B$15)*Inputs!$B$16*(1+Inputs!$B$11)^(G$2-1),0)</f>
        <v>0</v>
      </c>
      <c r="H60" s="11" t="n">
        <f aca="false">IF(AND(H$1&gt;=Units!$Q59,MOD(H$1-Units!$Q59,12)=0),IF(AND(Units!$L59=1,H$1=Units!$Q59),1,Inputs!$B$15)*Inputs!$B$16*(1+Inputs!$B$11)^(H$2-1),0)</f>
        <v>0</v>
      </c>
      <c r="I60" s="11" t="n">
        <f aca="false">IF(AND(I$1&gt;=Units!$Q59,MOD(I$1-Units!$Q59,12)=0),IF(AND(Units!$L59=1,I$1=Units!$Q59),1,Inputs!$B$15)*Inputs!$B$16*(1+Inputs!$B$11)^(I$2-1),0)</f>
        <v>0</v>
      </c>
      <c r="J60" s="11" t="n">
        <f aca="false">IF(AND(J$1&gt;=Units!$Q59,MOD(J$1-Units!$Q59,12)=0),IF(AND(Units!$L59=1,J$1=Units!$Q59),1,Inputs!$B$15)*Inputs!$B$16*(1+Inputs!$B$11)^(J$2-1),0)</f>
        <v>0</v>
      </c>
      <c r="K60" s="11" t="n">
        <f aca="false">IF(AND(K$1&gt;=Units!$Q59,MOD(K$1-Units!$Q59,12)=0),IF(AND(Units!$L59=1,K$1=Units!$Q59),1,Inputs!$B$15)*Inputs!$B$16*(1+Inputs!$B$11)^(K$2-1),0)</f>
        <v>0</v>
      </c>
      <c r="L60" s="11" t="n">
        <f aca="false">IF(AND(L$1&gt;=Units!$Q59,MOD(L$1-Units!$Q59,12)=0),IF(AND(Units!$L59=1,L$1=Units!$Q59),1,Inputs!$B$15)*Inputs!$B$16*(1+Inputs!$B$11)^(L$2-1),0)</f>
        <v>0</v>
      </c>
      <c r="M60" s="11" t="n">
        <f aca="false">IF(AND(M$1&gt;=Units!$Q59,MOD(M$1-Units!$Q59,12)=0),IF(AND(Units!$L59=1,M$1=Units!$Q59),1,Inputs!$B$15)*Inputs!$B$16*(1+Inputs!$B$11)^(M$2-1),0)</f>
        <v>0</v>
      </c>
      <c r="N60" s="11" t="n">
        <f aca="false">IF(AND(N$1&gt;=Units!$Q59,MOD(N$1-Units!$Q59,12)=0),IF(AND(Units!$L59=1,N$1=Units!$Q59),1,Inputs!$B$15)*Inputs!$B$16*(1+Inputs!$B$11)^(N$2-1),0)</f>
        <v>0</v>
      </c>
      <c r="O60" s="11" t="n">
        <f aca="false">IF(AND(O$1&gt;=Units!$Q59,MOD(O$1-Units!$Q59,12)=0),IF(AND(Units!$L59=1,O$1=Units!$Q59),1,Inputs!$B$15)*Inputs!$B$16*(1+Inputs!$B$11)^(O$2-1),0)</f>
        <v>0</v>
      </c>
      <c r="P60" s="11" t="n">
        <f aca="false">IF(AND(P$1&gt;=Units!$Q59,MOD(P$1-Units!$Q59,12)=0),IF(AND(Units!$L59=1,P$1=Units!$Q59),1,Inputs!$B$15)*Inputs!$B$16*(1+Inputs!$B$11)^(P$2-1),0)</f>
        <v>0</v>
      </c>
      <c r="Q60" s="11" t="n">
        <f aca="false">IF(AND(Q$1&gt;=Units!$Q59,MOD(Q$1-Units!$Q59,12)=0),IF(AND(Units!$L59=1,Q$1=Units!$Q59),1,Inputs!$B$15)*Inputs!$B$16*(1+Inputs!$B$11)^(Q$2-1),0)</f>
        <v>0</v>
      </c>
      <c r="R60" s="11" t="n">
        <f aca="false">IF(AND(R$1&gt;=Units!$Q59,MOD(R$1-Units!$Q59,12)=0),IF(AND(Units!$L59=1,R$1=Units!$Q59),1,Inputs!$B$15)*Inputs!$B$16*(1+Inputs!$B$11)^(R$2-1),0)</f>
        <v>515</v>
      </c>
      <c r="S60" s="11" t="n">
        <f aca="false">IF(AND(S$1&gt;=Units!$Q59,MOD(S$1-Units!$Q59,12)=0),IF(AND(Units!$L59=1,S$1=Units!$Q59),1,Inputs!$B$15)*Inputs!$B$16*(1+Inputs!$B$11)^(S$2-1),0)</f>
        <v>0</v>
      </c>
      <c r="T60" s="11" t="n">
        <f aca="false">IF(AND(T$1&gt;=Units!$Q59,MOD(T$1-Units!$Q59,12)=0),IF(AND(Units!$L59=1,T$1=Units!$Q59),1,Inputs!$B$15)*Inputs!$B$16*(1+Inputs!$B$11)^(T$2-1),0)</f>
        <v>0</v>
      </c>
      <c r="U60" s="11" t="n">
        <f aca="false">IF(AND(U$1&gt;=Units!$Q59,MOD(U$1-Units!$Q59,12)=0),IF(AND(Units!$L59=1,U$1=Units!$Q59),1,Inputs!$B$15)*Inputs!$B$16*(1+Inputs!$B$11)^(U$2-1),0)</f>
        <v>0</v>
      </c>
      <c r="V60" s="11" t="n">
        <f aca="false">IF(AND(V$1&gt;=Units!$Q59,MOD(V$1-Units!$Q59,12)=0),IF(AND(Units!$L59=1,V$1=Units!$Q59),1,Inputs!$B$15)*Inputs!$B$16*(1+Inputs!$B$11)^(V$2-1),0)</f>
        <v>0</v>
      </c>
      <c r="W60" s="11" t="n">
        <f aca="false">IF(AND(W$1&gt;=Units!$Q59,MOD(W$1-Units!$Q59,12)=0),IF(AND(Units!$L59=1,W$1=Units!$Q59),1,Inputs!$B$15)*Inputs!$B$16*(1+Inputs!$B$11)^(W$2-1),0)</f>
        <v>0</v>
      </c>
      <c r="X60" s="11" t="n">
        <f aca="false">IF(AND(X$1&gt;=Units!$Q59,MOD(X$1-Units!$Q59,12)=0),IF(AND(Units!$L59=1,X$1=Units!$Q59),1,Inputs!$B$15)*Inputs!$B$16*(1+Inputs!$B$11)^(X$2-1),0)</f>
        <v>0</v>
      </c>
      <c r="Y60" s="11" t="n">
        <f aca="false">IF(AND(Y$1&gt;=Units!$Q59,MOD(Y$1-Units!$Q59,12)=0),IF(AND(Units!$L59=1,Y$1=Units!$Q59),1,Inputs!$B$15)*Inputs!$B$16*(1+Inputs!$B$11)^(Y$2-1),0)</f>
        <v>0</v>
      </c>
      <c r="Z60" s="11" t="n">
        <f aca="false">IF(AND(Z$1&gt;=Units!$Q59,MOD(Z$1-Units!$Q59,12)=0),IF(AND(Units!$L59=1,Z$1=Units!$Q59),1,Inputs!$B$15)*Inputs!$B$16*(1+Inputs!$B$11)^(Z$2-1),0)</f>
        <v>0</v>
      </c>
      <c r="AA60" s="11" t="n">
        <f aca="false">IF(AND(AA$1&gt;=Units!$Q59,MOD(AA$1-Units!$Q59,12)=0),IF(AND(Units!$L59=1,AA$1=Units!$Q59),1,Inputs!$B$15)*Inputs!$B$16*(1+Inputs!$B$11)^(AA$2-1),0)</f>
        <v>0</v>
      </c>
      <c r="AB60" s="11" t="n">
        <f aca="false">IF(AND(AB$1&gt;=Units!$Q59,MOD(AB$1-Units!$Q59,12)=0),IF(AND(Units!$L59=1,AB$1=Units!$Q59),1,Inputs!$B$15)*Inputs!$B$16*(1+Inputs!$B$11)^(AB$2-1),0)</f>
        <v>0</v>
      </c>
      <c r="AC60" s="11" t="n">
        <f aca="false">IF(AND(AC$1&gt;=Units!$Q59,MOD(AC$1-Units!$Q59,12)=0),IF(AND(Units!$L59=1,AC$1=Units!$Q59),1,Inputs!$B$15)*Inputs!$B$16*(1+Inputs!$B$11)^(AC$2-1),0)</f>
        <v>0</v>
      </c>
      <c r="AD60" s="11" t="n">
        <f aca="false">IF(AND(AD$1&gt;=Units!$Q59,MOD(AD$1-Units!$Q59,12)=0),IF(AND(Units!$L59=1,AD$1=Units!$Q59),1,Inputs!$B$15)*Inputs!$B$16*(1+Inputs!$B$11)^(AD$2-1),0)</f>
        <v>530.45</v>
      </c>
      <c r="AE60" s="11" t="n">
        <f aca="false">IF(AND(AE$1&gt;=Units!$Q59,MOD(AE$1-Units!$Q59,12)=0),IF(AND(Units!$L59=1,AE$1=Units!$Q59),1,Inputs!$B$15)*Inputs!$B$16*(1+Inputs!$B$11)^(AE$2-1),0)</f>
        <v>0</v>
      </c>
      <c r="AF60" s="11" t="n">
        <f aca="false">IF(AND(AF$1&gt;=Units!$Q59,MOD(AF$1-Units!$Q59,12)=0),IF(AND(Units!$L59=1,AF$1=Units!$Q59),1,Inputs!$B$15)*Inputs!$B$16*(1+Inputs!$B$11)^(AF$2-1),0)</f>
        <v>0</v>
      </c>
      <c r="AG60" s="11" t="n">
        <f aca="false">IF(AND(AG$1&gt;=Units!$Q59,MOD(AG$1-Units!$Q59,12)=0),IF(AND(Units!$L59=1,AG$1=Units!$Q59),1,Inputs!$B$15)*Inputs!$B$16*(1+Inputs!$B$11)^(AG$2-1),0)</f>
        <v>0</v>
      </c>
      <c r="AH60" s="11" t="n">
        <f aca="false">IF(AND(AH$1&gt;=Units!$Q59,MOD(AH$1-Units!$Q59,12)=0),IF(AND(Units!$L59=1,AH$1=Units!$Q59),1,Inputs!$B$15)*Inputs!$B$16*(1+Inputs!$B$11)^(AH$2-1),0)</f>
        <v>0</v>
      </c>
      <c r="AI60" s="11" t="n">
        <f aca="false">IF(AND(AI$1&gt;=Units!$Q59,MOD(AI$1-Units!$Q59,12)=0),IF(AND(Units!$L59=1,AI$1=Units!$Q59),1,Inputs!$B$15)*Inputs!$B$16*(1+Inputs!$B$11)^(AI$2-1),0)</f>
        <v>0</v>
      </c>
      <c r="AJ60" s="11" t="n">
        <f aca="false">IF(AND(AJ$1&gt;=Units!$Q59,MOD(AJ$1-Units!$Q59,12)=0),IF(AND(Units!$L59=1,AJ$1=Units!$Q59),1,Inputs!$B$15)*Inputs!$B$16*(1+Inputs!$B$11)^(AJ$2-1),0)</f>
        <v>0</v>
      </c>
      <c r="AK60" s="11" t="n">
        <f aca="false">IF(AND(AK$1&gt;=Units!$Q59,MOD(AK$1-Units!$Q59,12)=0),IF(AND(Units!$L59=1,AK$1=Units!$Q59),1,Inputs!$B$15)*Inputs!$B$16*(1+Inputs!$B$11)^(AK$2-1),0)</f>
        <v>0</v>
      </c>
      <c r="AL60" s="11" t="n">
        <f aca="false">IF(AND(AL$1&gt;=Units!$Q59,MOD(AL$1-Units!$Q59,12)=0),IF(AND(Units!$L59=1,AL$1=Units!$Q59),1,Inputs!$B$15)*Inputs!$B$16*(1+Inputs!$B$11)^(AL$2-1),0)</f>
        <v>0</v>
      </c>
      <c r="AM60" s="11" t="n">
        <f aca="false">IF(AND(AM$1&gt;=Units!$Q59,MOD(AM$1-Units!$Q59,12)=0),IF(AND(Units!$L59=1,AM$1=Units!$Q59),1,Inputs!$B$15)*Inputs!$B$16*(1+Inputs!$B$11)^(AM$2-1),0)</f>
        <v>0</v>
      </c>
      <c r="AN60" s="11" t="n">
        <f aca="false">IF(AND(AN$1&gt;=Units!$Q59,MOD(AN$1-Units!$Q59,12)=0),IF(AND(Units!$L59=1,AN$1=Units!$Q59),1,Inputs!$B$15)*Inputs!$B$16*(1+Inputs!$B$11)^(AN$2-1),0)</f>
        <v>0</v>
      </c>
      <c r="AO60" s="11" t="n">
        <f aca="false">IF(AND(AO$1&gt;=Units!$Q59,MOD(AO$1-Units!$Q59,12)=0),IF(AND(Units!$L59=1,AO$1=Units!$Q59),1,Inputs!$B$15)*Inputs!$B$16*(1+Inputs!$B$11)^(AO$2-1),0)</f>
        <v>0</v>
      </c>
      <c r="AP60" s="11" t="n">
        <f aca="false">IF(AND(AP$1&gt;=Units!$Q59,MOD(AP$1-Units!$Q59,12)=0),IF(AND(Units!$L59=1,AP$1=Units!$Q59),1,Inputs!$B$15)*Inputs!$B$16*(1+Inputs!$B$11)^(AP$2-1),0)</f>
        <v>546.3635</v>
      </c>
      <c r="AQ60" s="11" t="n">
        <f aca="false">IF(AND(AQ$1&gt;=Units!$Q59,MOD(AQ$1-Units!$Q59,12)=0),IF(AND(Units!$L59=1,AQ$1=Units!$Q59),1,Inputs!$B$15)*Inputs!$B$16*(1+Inputs!$B$11)^(AQ$2-1),0)</f>
        <v>0</v>
      </c>
      <c r="AR60" s="11" t="n">
        <f aca="false">IF(AND(AR$1&gt;=Units!$Q59,MOD(AR$1-Units!$Q59,12)=0),IF(AND(Units!$L59=1,AR$1=Units!$Q59),1,Inputs!$B$15)*Inputs!$B$16*(1+Inputs!$B$11)^(AR$2-1),0)</f>
        <v>0</v>
      </c>
      <c r="AS60" s="11" t="n">
        <f aca="false">IF(AND(AS$1&gt;=Units!$Q59,MOD(AS$1-Units!$Q59,12)=0),IF(AND(Units!$L59=1,AS$1=Units!$Q59),1,Inputs!$B$15)*Inputs!$B$16*(1+Inputs!$B$11)^(AS$2-1),0)</f>
        <v>0</v>
      </c>
      <c r="AT60" s="11" t="n">
        <f aca="false">IF(AND(AT$1&gt;=Units!$Q59,MOD(AT$1-Units!$Q59,12)=0),IF(AND(Units!$L59=1,AT$1=Units!$Q59),1,Inputs!$B$15)*Inputs!$B$16*(1+Inputs!$B$11)^(AT$2-1),0)</f>
        <v>0</v>
      </c>
      <c r="AU60" s="11" t="n">
        <f aca="false">IF(AND(AU$1&gt;=Units!$Q59,MOD(AU$1-Units!$Q59,12)=0),IF(AND(Units!$L59=1,AU$1=Units!$Q59),1,Inputs!$B$15)*Inputs!$B$16*(1+Inputs!$B$11)^(AU$2-1),0)</f>
        <v>0</v>
      </c>
      <c r="AV60" s="11" t="n">
        <f aca="false">IF(AND(AV$1&gt;=Units!$Q59,MOD(AV$1-Units!$Q59,12)=0),IF(AND(Units!$L59=1,AV$1=Units!$Q59),1,Inputs!$B$15)*Inputs!$B$16*(1+Inputs!$B$11)^(AV$2-1),0)</f>
        <v>0</v>
      </c>
      <c r="AW60" s="11" t="n">
        <f aca="false">IF(AND(AW$1&gt;=Units!$Q59,MOD(AW$1-Units!$Q59,12)=0),IF(AND(Units!$L59=1,AW$1=Units!$Q59),1,Inputs!$B$15)*Inputs!$B$16*(1+Inputs!$B$11)^(AW$2-1),0)</f>
        <v>0</v>
      </c>
      <c r="AX60" s="11" t="n">
        <f aca="false">IF(AND(AX$1&gt;=Units!$Q59,MOD(AX$1-Units!$Q59,12)=0),IF(AND(Units!$L59=1,AX$1=Units!$Q59),1,Inputs!$B$15)*Inputs!$B$16*(1+Inputs!$B$11)^(AX$2-1),0)</f>
        <v>0</v>
      </c>
      <c r="AY60" s="11" t="n">
        <f aca="false">IF(AND(AY$1&gt;=Units!$Q59,MOD(AY$1-Units!$Q59,12)=0),IF(AND(Units!$L59=1,AY$1=Units!$Q59),1,Inputs!$B$15)*Inputs!$B$16*(1+Inputs!$B$11)^(AY$2-1),0)</f>
        <v>0</v>
      </c>
      <c r="AZ60" s="11" t="n">
        <f aca="false">IF(AND(AZ$1&gt;=Units!$Q59,MOD(AZ$1-Units!$Q59,12)=0),IF(AND(Units!$L59=1,AZ$1=Units!$Q59),1,Inputs!$B$15)*Inputs!$B$16*(1+Inputs!$B$11)^(AZ$2-1),0)</f>
        <v>0</v>
      </c>
      <c r="BA60" s="11" t="n">
        <f aca="false">IF(AND(BA$1&gt;=Units!$Q59,MOD(BA$1-Units!$Q59,12)=0),IF(AND(Units!$L59=1,BA$1=Units!$Q59),1,Inputs!$B$15)*Inputs!$B$16*(1+Inputs!$B$11)^(BA$2-1),0)</f>
        <v>0</v>
      </c>
      <c r="BB60" s="11" t="n">
        <f aca="false">IF(AND(BB$1&gt;=Units!$Q59,MOD(BB$1-Units!$Q59,12)=0),IF(AND(Units!$L59=1,BB$1=Units!$Q59),1,Inputs!$B$15)*Inputs!$B$16*(1+Inputs!$B$11)^(BB$2-1),0)</f>
        <v>562.754405</v>
      </c>
      <c r="BC60" s="11" t="n">
        <f aca="false">IF(AND(BC$1&gt;=Units!$Q59,MOD(BC$1-Units!$Q59,12)=0),IF(AND(Units!$L59=1,BC$1=Units!$Q59),1,Inputs!$B$15)*Inputs!$B$16*(1+Inputs!$B$11)^(BC$2-1),0)</f>
        <v>0</v>
      </c>
      <c r="BD60" s="11" t="n">
        <f aca="false">IF(AND(BD$1&gt;=Units!$Q59,MOD(BD$1-Units!$Q59,12)=0),IF(AND(Units!$L59=1,BD$1=Units!$Q59),1,Inputs!$B$15)*Inputs!$B$16*(1+Inputs!$B$11)^(BD$2-1),0)</f>
        <v>0</v>
      </c>
      <c r="BE60" s="11" t="n">
        <f aca="false">IF(AND(BE$1&gt;=Units!$Q59,MOD(BE$1-Units!$Q59,12)=0),IF(AND(Units!$L59=1,BE$1=Units!$Q59),1,Inputs!$B$15)*Inputs!$B$16*(1+Inputs!$B$11)^(BE$2-1),0)</f>
        <v>0</v>
      </c>
      <c r="BF60" s="11" t="n">
        <f aca="false">IF(AND(BF$1&gt;=Units!$Q59,MOD(BF$1-Units!$Q59,12)=0),IF(AND(Units!$L59=1,BF$1=Units!$Q59),1,Inputs!$B$15)*Inputs!$B$16*(1+Inputs!$B$11)^(BF$2-1),0)</f>
        <v>0</v>
      </c>
      <c r="BG60" s="11" t="n">
        <f aca="false">IF(AND(BG$1&gt;=Units!$Q59,MOD(BG$1-Units!$Q59,12)=0),IF(AND(Units!$L59=1,BG$1=Units!$Q59),1,Inputs!$B$15)*Inputs!$B$16*(1+Inputs!$B$11)^(BG$2-1),0)</f>
        <v>0</v>
      </c>
      <c r="BH60" s="11" t="n">
        <f aca="false">IF(AND(BH$1&gt;=Units!$Q59,MOD(BH$1-Units!$Q59,12)=0),IF(AND(Units!$L59=1,BH$1=Units!$Q59),1,Inputs!$B$15)*Inputs!$B$16*(1+Inputs!$B$11)^(BH$2-1),0)</f>
        <v>0</v>
      </c>
      <c r="BI60" s="11" t="n">
        <f aca="false">IF(AND(BI$1&gt;=Units!$Q59,MOD(BI$1-Units!$Q59,12)=0),IF(AND(Units!$L59=1,BI$1=Units!$Q59),1,Inputs!$B$15)*Inputs!$B$16*(1+Inputs!$B$11)^(BI$2-1),0)</f>
        <v>0</v>
      </c>
      <c r="BJ60" s="11" t="n">
        <f aca="false">IF(AND(BJ$1&gt;=Units!$Q59,MOD(BJ$1-Units!$Q59,12)=0),IF(AND(Units!$L59=1,BJ$1=Units!$Q59),1,Inputs!$B$15)*Inputs!$B$16*(1+Inputs!$B$11)^(BJ$2-1),0)</f>
        <v>0</v>
      </c>
      <c r="BK60" s="11" t="n">
        <f aca="false">IF(AND(BK$1&gt;=Units!$Q59,MOD(BK$1-Units!$Q59,12)=0),IF(AND(Units!$L59=1,BK$1=Units!$Q59),1,Inputs!$B$15)*Inputs!$B$16*(1+Inputs!$B$11)^(BK$2-1),0)</f>
        <v>0</v>
      </c>
      <c r="BL60" s="11" t="n">
        <f aca="false">IF(AND(BL$1&gt;=Units!$Q59,MOD(BL$1-Units!$Q59,12)=0),IF(AND(Units!$L59=1,BL$1=Units!$Q59),1,Inputs!$B$15)*Inputs!$B$16*(1+Inputs!$B$11)^(BL$2-1),0)</f>
        <v>0</v>
      </c>
      <c r="BM60" s="11" t="n">
        <f aca="false">IF(AND(BM$1&gt;=Units!$Q59,MOD(BM$1-Units!$Q59,12)=0),IF(AND(Units!$L59=1,BM$1=Units!$Q59),1,Inputs!$B$15)*Inputs!$B$16*(1+Inputs!$B$11)^(BM$2-1),0)</f>
        <v>0</v>
      </c>
      <c r="BN60" s="11" t="n">
        <f aca="false">IF(AND(BN$1&gt;=Units!$Q59,MOD(BN$1-Units!$Q59,12)=0),IF(AND(Units!$L59=1,BN$1=Units!$Q59),1,Inputs!$B$15)*Inputs!$B$16*(1+Inputs!$B$11)^(BN$2-1),0)</f>
        <v>579.63703715</v>
      </c>
      <c r="BO60" s="11" t="n">
        <f aca="false">IF(AND(BO$1&gt;=Units!$Q59,MOD(BO$1-Units!$Q59,12)=0),IF(AND(Units!$L59=1,BO$1=Units!$Q59),1,Inputs!$B$15)*Inputs!$B$16*(1+Inputs!$B$11)^(BO$2-1),0)</f>
        <v>0</v>
      </c>
      <c r="BP60" s="11" t="n">
        <f aca="false">IF(AND(BP$1&gt;=Units!$Q59,MOD(BP$1-Units!$Q59,12)=0),IF(AND(Units!$L59=1,BP$1=Units!$Q59),1,Inputs!$B$15)*Inputs!$B$16*(1+Inputs!$B$11)^(BP$2-1),0)</f>
        <v>0</v>
      </c>
      <c r="BQ60" s="11" t="n">
        <f aca="false">IF(AND(BQ$1&gt;=Units!$Q59,MOD(BQ$1-Units!$Q59,12)=0),IF(AND(Units!$L59=1,BQ$1=Units!$Q59),1,Inputs!$B$15)*Inputs!$B$16*(1+Inputs!$B$11)^(BQ$2-1),0)</f>
        <v>0</v>
      </c>
      <c r="BR60" s="11" t="n">
        <f aca="false">IF(AND(BR$1&gt;=Units!$Q59,MOD(BR$1-Units!$Q59,12)=0),IF(AND(Units!$L59=1,BR$1=Units!$Q59),1,Inputs!$B$15)*Inputs!$B$16*(1+Inputs!$B$11)^(BR$2-1),0)</f>
        <v>0</v>
      </c>
      <c r="BS60" s="11" t="n">
        <f aca="false">IF(AND(BS$1&gt;=Units!$Q59,MOD(BS$1-Units!$Q59,12)=0),IF(AND(Units!$L59=1,BS$1=Units!$Q59),1,Inputs!$B$15)*Inputs!$B$16*(1+Inputs!$B$11)^(BS$2-1),0)</f>
        <v>0</v>
      </c>
      <c r="BT60" s="11" t="n">
        <f aca="false">IF(AND(BT$1&gt;=Units!$Q59,MOD(BT$1-Units!$Q59,12)=0),IF(AND(Units!$L59=1,BT$1=Units!$Q59),1,Inputs!$B$15)*Inputs!$B$16*(1+Inputs!$B$11)^(BT$2-1),0)</f>
        <v>0</v>
      </c>
      <c r="BU60" s="11" t="n">
        <f aca="false">IF(AND(BU$1&gt;=Units!$Q59,MOD(BU$1-Units!$Q59,12)=0),IF(AND(Units!$L59=1,BU$1=Units!$Q59),1,Inputs!$B$15)*Inputs!$B$16*(1+Inputs!$B$11)^(BU$2-1),0)</f>
        <v>0</v>
      </c>
      <c r="BV60" s="11" t="n">
        <f aca="false">IF(AND(BV$1&gt;=Units!$Q59,MOD(BV$1-Units!$Q59,12)=0),IF(AND(Units!$L59=1,BV$1=Units!$Q59),1,Inputs!$B$15)*Inputs!$B$16*(1+Inputs!$B$11)^(BV$2-1),0)</f>
        <v>0</v>
      </c>
      <c r="BW60" s="11" t="n">
        <f aca="false">IF(AND(BW$1&gt;=Units!$Q59,MOD(BW$1-Units!$Q59,12)=0),IF(AND(Units!$L59=1,BW$1=Units!$Q59),1,Inputs!$B$15)*Inputs!$B$16*(1+Inputs!$B$11)^(BW$2-1),0)</f>
        <v>0</v>
      </c>
      <c r="BX60" s="11" t="n">
        <f aca="false">IF(AND(BX$1&gt;=Units!$Q59,MOD(BX$1-Units!$Q59,12)=0),IF(AND(Units!$L59=1,BX$1=Units!$Q59),1,Inputs!$B$15)*Inputs!$B$16*(1+Inputs!$B$11)^(BX$2-1),0)</f>
        <v>0</v>
      </c>
      <c r="BY60" s="11" t="n">
        <f aca="false">IF(AND(BY$1&gt;=Units!$Q59,MOD(BY$1-Units!$Q59,12)=0),IF(AND(Units!$L59=1,BY$1=Units!$Q59),1,Inputs!$B$15)*Inputs!$B$16*(1+Inputs!$B$11)^(BY$2-1),0)</f>
        <v>0</v>
      </c>
      <c r="BZ60" s="11" t="n">
        <f aca="false">IF(AND(BZ$1&gt;=Units!$Q59,MOD(BZ$1-Units!$Q59,12)=0),IF(AND(Units!$L59=1,BZ$1=Units!$Q59),1,Inputs!$B$15)*Inputs!$B$16*(1+Inputs!$B$11)^(BZ$2-1),0)</f>
        <v>597.0261482645</v>
      </c>
      <c r="CA60" s="11" t="n">
        <f aca="false">IF(AND(CA$1&gt;=Units!$Q59,MOD(CA$1-Units!$Q59,12)=0),IF(AND(Units!$L59=1,CA$1=Units!$Q59),1,Inputs!$B$15)*Inputs!$B$16*(1+Inputs!$B$11)^(CA$2-1),0)</f>
        <v>0</v>
      </c>
      <c r="CB60" s="11" t="n">
        <f aca="false">IF(AND(CB$1&gt;=Units!$Q59,MOD(CB$1-Units!$Q59,12)=0),IF(AND(Units!$L59=1,CB$1=Units!$Q59),1,Inputs!$B$15)*Inputs!$B$16*(1+Inputs!$B$11)^(CB$2-1),0)</f>
        <v>0</v>
      </c>
      <c r="CC60" s="11" t="n">
        <f aca="false">IF(AND(CC$1&gt;=Units!$Q59,MOD(CC$1-Units!$Q59,12)=0),IF(AND(Units!$L59=1,CC$1=Units!$Q59),1,Inputs!$B$15)*Inputs!$B$16*(1+Inputs!$B$11)^(CC$2-1),0)</f>
        <v>0</v>
      </c>
      <c r="CD60" s="11" t="n">
        <f aca="false">IF(AND(CD$1&gt;=Units!$Q59,MOD(CD$1-Units!$Q59,12)=0),IF(AND(Units!$L59=1,CD$1=Units!$Q59),1,Inputs!$B$15)*Inputs!$B$16*(1+Inputs!$B$11)^(CD$2-1),0)</f>
        <v>0</v>
      </c>
      <c r="CE60" s="11" t="n">
        <f aca="false">IF(AND(CE$1&gt;=Units!$Q59,MOD(CE$1-Units!$Q59,12)=0),IF(AND(Units!$L59=1,CE$1=Units!$Q59),1,Inputs!$B$15)*Inputs!$B$16*(1+Inputs!$B$11)^(CE$2-1),0)</f>
        <v>0</v>
      </c>
      <c r="CF60" s="11" t="n">
        <f aca="false">IF(AND(CF$1&gt;=Units!$Q59,MOD(CF$1-Units!$Q59,12)=0),IF(AND(Units!$L59=1,CF$1=Units!$Q59),1,Inputs!$B$15)*Inputs!$B$16*(1+Inputs!$B$11)^(CF$2-1),0)</f>
        <v>0</v>
      </c>
      <c r="CG60" s="11" t="n">
        <f aca="false">IF(AND(CG$1&gt;=Units!$Q59,MOD(CG$1-Units!$Q59,12)=0),IF(AND(Units!$L59=1,CG$1=Units!$Q59),1,Inputs!$B$15)*Inputs!$B$16*(1+Inputs!$B$11)^(CG$2-1),0)</f>
        <v>0</v>
      </c>
      <c r="CH60" s="11" t="n">
        <f aca="false">IF(AND(CH$1&gt;=Units!$Q59,MOD(CH$1-Units!$Q59,12)=0),IF(AND(Units!$L59=1,CH$1=Units!$Q59),1,Inputs!$B$15)*Inputs!$B$16*(1+Inputs!$B$11)^(CH$2-1),0)</f>
        <v>0</v>
      </c>
      <c r="CI60" s="11" t="n">
        <f aca="false">IF(AND(CI$1&gt;=Units!$Q59,MOD(CI$1-Units!$Q59,12)=0),IF(AND(Units!$L59=1,CI$1=Units!$Q59),1,Inputs!$B$15)*Inputs!$B$16*(1+Inputs!$B$11)^(CI$2-1),0)</f>
        <v>0</v>
      </c>
      <c r="CJ60" s="11" t="n">
        <f aca="false">IF(AND(CJ$1&gt;=Units!$Q59,MOD(CJ$1-Units!$Q59,12)=0),IF(AND(Units!$L59=1,CJ$1=Units!$Q59),1,Inputs!$B$15)*Inputs!$B$16*(1+Inputs!$B$11)^(CJ$2-1),0)</f>
        <v>0</v>
      </c>
      <c r="CK60" s="11" t="n">
        <f aca="false">IF(AND(CK$1&gt;=Units!$Q59,MOD(CK$1-Units!$Q59,12)=0),IF(AND(Units!$L59=1,CK$1=Units!$Q59),1,Inputs!$B$15)*Inputs!$B$16*(1+Inputs!$B$11)^(CK$2-1),0)</f>
        <v>0</v>
      </c>
      <c r="CL60" s="11" t="n">
        <f aca="false">IF(AND(CL$1&gt;=Units!$Q59,MOD(CL$1-Units!$Q59,12)=0),IF(AND(Units!$L59=1,CL$1=Units!$Q59),1,Inputs!$B$15)*Inputs!$B$16*(1+Inputs!$B$11)^(CL$2-1),0)</f>
        <v>614.936932712435</v>
      </c>
      <c r="CM60" s="11" t="n">
        <f aca="false">IF(AND(CM$1&gt;=Units!$Q59,MOD(CM$1-Units!$Q59,12)=0),IF(AND(Units!$L59=1,CM$1=Units!$Q59),1,Inputs!$B$15)*Inputs!$B$16*(1+Inputs!$B$11)^(CM$2-1),0)</f>
        <v>0</v>
      </c>
      <c r="CN60" s="11" t="n">
        <f aca="false">IF(AND(CN$1&gt;=Units!$Q59,MOD(CN$1-Units!$Q59,12)=0),IF(AND(Units!$L59=1,CN$1=Units!$Q59),1,Inputs!$B$15)*Inputs!$B$16*(1+Inputs!$B$11)^(CN$2-1),0)</f>
        <v>0</v>
      </c>
      <c r="CO60" s="11" t="n">
        <f aca="false">IF(AND(CO$1&gt;=Units!$Q59,MOD(CO$1-Units!$Q59,12)=0),IF(AND(Units!$L59=1,CO$1=Units!$Q59),1,Inputs!$B$15)*Inputs!$B$16*(1+Inputs!$B$11)^(CO$2-1),0)</f>
        <v>0</v>
      </c>
      <c r="CP60" s="11" t="n">
        <f aca="false">IF(AND(CP$1&gt;=Units!$Q59,MOD(CP$1-Units!$Q59,12)=0),IF(AND(Units!$L59=1,CP$1=Units!$Q59),1,Inputs!$B$15)*Inputs!$B$16*(1+Inputs!$B$11)^(CP$2-1),0)</f>
        <v>0</v>
      </c>
      <c r="CQ60" s="11" t="n">
        <f aca="false">IF(AND(CQ$1&gt;=Units!$Q59,MOD(CQ$1-Units!$Q59,12)=0),IF(AND(Units!$L59=1,CQ$1=Units!$Q59),1,Inputs!$B$15)*Inputs!$B$16*(1+Inputs!$B$11)^(CQ$2-1),0)</f>
        <v>0</v>
      </c>
      <c r="CR60" s="11" t="n">
        <f aca="false">IF(AND(CR$1&gt;=Units!$Q59,MOD(CR$1-Units!$Q59,12)=0),IF(AND(Units!$L59=1,CR$1=Units!$Q59),1,Inputs!$B$15)*Inputs!$B$16*(1+Inputs!$B$11)^(CR$2-1),0)</f>
        <v>0</v>
      </c>
      <c r="CS60" s="11" t="n">
        <f aca="false">IF(AND(CS$1&gt;=Units!$Q59,MOD(CS$1-Units!$Q59,12)=0),IF(AND(Units!$L59=1,CS$1=Units!$Q59),1,Inputs!$B$15)*Inputs!$B$16*(1+Inputs!$B$11)^(CS$2-1),0)</f>
        <v>0</v>
      </c>
      <c r="CT60" s="11" t="n">
        <f aca="false">IF(AND(CT$1&gt;=Units!$Q59,MOD(CT$1-Units!$Q59,12)=0),IF(AND(Units!$L59=1,CT$1=Units!$Q59),1,Inputs!$B$15)*Inputs!$B$16*(1+Inputs!$B$11)^(CT$2-1),0)</f>
        <v>0</v>
      </c>
      <c r="CU60" s="11" t="n">
        <f aca="false">IF(AND(CU$1&gt;=Units!$Q59,MOD(CU$1-Units!$Q59,12)=0),IF(AND(Units!$L59=1,CU$1=Units!$Q59),1,Inputs!$B$15)*Inputs!$B$16*(1+Inputs!$B$11)^(CU$2-1),0)</f>
        <v>0</v>
      </c>
      <c r="CV60" s="11" t="n">
        <f aca="false">IF(AND(CV$1&gt;=Units!$Q59,MOD(CV$1-Units!$Q59,12)=0),IF(AND(Units!$L59=1,CV$1=Units!$Q59),1,Inputs!$B$15)*Inputs!$B$16*(1+Inputs!$B$11)^(CV$2-1),0)</f>
        <v>0</v>
      </c>
      <c r="CW60" s="11" t="n">
        <f aca="false">IF(AND(CW$1&gt;=Units!$Q59,MOD(CW$1-Units!$Q59,12)=0),IF(AND(Units!$L59=1,CW$1=Units!$Q59),1,Inputs!$B$15)*Inputs!$B$16*(1+Inputs!$B$11)^(CW$2-1),0)</f>
        <v>0</v>
      </c>
      <c r="CX60" s="11" t="n">
        <f aca="false">IF(AND(CX$1&gt;=Units!$Q59,MOD(CX$1-Units!$Q59,12)=0),IF(AND(Units!$L59=1,CX$1=Units!$Q59),1,Inputs!$B$15)*Inputs!$B$16*(1+Inputs!$B$11)^(CX$2-1),0)</f>
        <v>633.385040693808</v>
      </c>
      <c r="CY60" s="11" t="n">
        <f aca="false">IF(AND(CY$1&gt;=Units!$Q59,MOD(CY$1-Units!$Q59,12)=0),IF(AND(Units!$L59=1,CY$1=Units!$Q59),1,Inputs!$B$15)*Inputs!$B$16*(1+Inputs!$B$11)^(CY$2-1),0)</f>
        <v>0</v>
      </c>
      <c r="CZ60" s="11" t="n">
        <f aca="false">IF(AND(CZ$1&gt;=Units!$Q59,MOD(CZ$1-Units!$Q59,12)=0),IF(AND(Units!$L59=1,CZ$1=Units!$Q59),1,Inputs!$B$15)*Inputs!$B$16*(1+Inputs!$B$11)^(CZ$2-1),0)</f>
        <v>0</v>
      </c>
      <c r="DA60" s="11" t="n">
        <f aca="false">IF(AND(DA$1&gt;=Units!$Q59,MOD(DA$1-Units!$Q59,12)=0),IF(AND(Units!$L59=1,DA$1=Units!$Q59),1,Inputs!$B$15)*Inputs!$B$16*(1+Inputs!$B$11)^(DA$2-1),0)</f>
        <v>0</v>
      </c>
      <c r="DB60" s="11" t="n">
        <f aca="false">IF(AND(DB$1&gt;=Units!$Q59,MOD(DB$1-Units!$Q59,12)=0),IF(AND(Units!$L59=1,DB$1=Units!$Q59),1,Inputs!$B$15)*Inputs!$B$16*(1+Inputs!$B$11)^(DB$2-1),0)</f>
        <v>0</v>
      </c>
      <c r="DC60" s="11" t="n">
        <f aca="false">IF(AND(DC$1&gt;=Units!$Q59,MOD(DC$1-Units!$Q59,12)=0),IF(AND(Units!$L59=1,DC$1=Units!$Q59),1,Inputs!$B$15)*Inputs!$B$16*(1+Inputs!$B$11)^(DC$2-1),0)</f>
        <v>0</v>
      </c>
      <c r="DD60" s="11" t="n">
        <f aca="false">IF(AND(DD$1&gt;=Units!$Q59,MOD(DD$1-Units!$Q59,12)=0),IF(AND(Units!$L59=1,DD$1=Units!$Q59),1,Inputs!$B$15)*Inputs!$B$16*(1+Inputs!$B$11)^(DD$2-1),0)</f>
        <v>0</v>
      </c>
      <c r="DE60" s="11" t="n">
        <f aca="false">IF(AND(DE$1&gt;=Units!$Q59,MOD(DE$1-Units!$Q59,12)=0),IF(AND(Units!$L59=1,DE$1=Units!$Q59),1,Inputs!$B$15)*Inputs!$B$16*(1+Inputs!$B$11)^(DE$2-1),0)</f>
        <v>0</v>
      </c>
      <c r="DF60" s="11" t="n">
        <f aca="false">IF(AND(DF$1&gt;=Units!$Q59,MOD(DF$1-Units!$Q59,12)=0),IF(AND(Units!$L59=1,DF$1=Units!$Q59),1,Inputs!$B$15)*Inputs!$B$16*(1+Inputs!$B$11)^(DF$2-1),0)</f>
        <v>0</v>
      </c>
      <c r="DG60" s="11" t="n">
        <f aca="false">IF(AND(DG$1&gt;=Units!$Q59,MOD(DG$1-Units!$Q59,12)=0),IF(AND(Units!$L59=1,DG$1=Units!$Q59),1,Inputs!$B$15)*Inputs!$B$16*(1+Inputs!$B$11)^(DG$2-1),0)</f>
        <v>0</v>
      </c>
      <c r="DH60" s="11" t="n">
        <f aca="false">IF(AND(DH$1&gt;=Units!$Q59,MOD(DH$1-Units!$Q59,12)=0),IF(AND(Units!$L59=1,DH$1=Units!$Q59),1,Inputs!$B$15)*Inputs!$B$16*(1+Inputs!$B$11)^(DH$2-1),0)</f>
        <v>0</v>
      </c>
      <c r="DI60" s="11" t="n">
        <f aca="false">IF(AND(DI$1&gt;=Units!$Q59,MOD(DI$1-Units!$Q59,12)=0),IF(AND(Units!$L59=1,DI$1=Units!$Q59),1,Inputs!$B$15)*Inputs!$B$16*(1+Inputs!$B$11)^(DI$2-1),0)</f>
        <v>0</v>
      </c>
      <c r="DJ60" s="11" t="n">
        <f aca="false">IF(AND(DJ$1&gt;=Units!$Q59,MOD(DJ$1-Units!$Q59,12)=0),IF(AND(Units!$L59=1,DJ$1=Units!$Q59),1,Inputs!$B$15)*Inputs!$B$16*(1+Inputs!$B$11)^(DJ$2-1),0)</f>
        <v>652.386591914623</v>
      </c>
      <c r="DK60" s="11" t="n">
        <f aca="false">IF(AND(DK$1&gt;=Units!$Q59,MOD(DK$1-Units!$Q59,12)=0),IF(AND(Units!$L59=1,DK$1=Units!$Q59),1,Inputs!$B$15)*Inputs!$B$16*(1+Inputs!$B$11)^(DK$2-1),0)</f>
        <v>0</v>
      </c>
      <c r="DL60" s="11" t="n">
        <f aca="false">IF(AND(DL$1&gt;=Units!$Q59,MOD(DL$1-Units!$Q59,12)=0),IF(AND(Units!$L59=1,DL$1=Units!$Q59),1,Inputs!$B$15)*Inputs!$B$16*(1+Inputs!$B$11)^(DL$2-1),0)</f>
        <v>0</v>
      </c>
      <c r="DM60" s="11" t="n">
        <f aca="false">IF(AND(DM$1&gt;=Units!$Q59,MOD(DM$1-Units!$Q59,12)=0),IF(AND(Units!$L59=1,DM$1=Units!$Q59),1,Inputs!$B$15)*Inputs!$B$16*(1+Inputs!$B$11)^(DM$2-1),0)</f>
        <v>0</v>
      </c>
      <c r="DN60" s="11" t="n">
        <f aca="false">IF(AND(DN$1&gt;=Units!$Q59,MOD(DN$1-Units!$Q59,12)=0),IF(AND(Units!$L59=1,DN$1=Units!$Q59),1,Inputs!$B$15)*Inputs!$B$16*(1+Inputs!$B$11)^(DN$2-1),0)</f>
        <v>0</v>
      </c>
      <c r="DO60" s="11" t="n">
        <f aca="false">IF(AND(DO$1&gt;=Units!$Q59,MOD(DO$1-Units!$Q59,12)=0),IF(AND(Units!$L59=1,DO$1=Units!$Q59),1,Inputs!$B$15)*Inputs!$B$16*(1+Inputs!$B$11)^(DO$2-1),0)</f>
        <v>0</v>
      </c>
      <c r="DP60" s="11" t="n">
        <f aca="false">IF(AND(DP$1&gt;=Units!$Q59,MOD(DP$1-Units!$Q59,12)=0),IF(AND(Units!$L59=1,DP$1=Units!$Q59),1,Inputs!$B$15)*Inputs!$B$16*(1+Inputs!$B$11)^(DP$2-1),0)</f>
        <v>0</v>
      </c>
      <c r="DQ60" s="11" t="n">
        <f aca="false">IF(AND(DQ$1&gt;=Units!$Q59,MOD(DQ$1-Units!$Q59,12)=0),IF(AND(Units!$L59=1,DQ$1=Units!$Q59),1,Inputs!$B$15)*Inputs!$B$16*(1+Inputs!$B$11)^(DQ$2-1),0)</f>
        <v>0</v>
      </c>
      <c r="DR60" s="11" t="n">
        <f aca="false">IF(AND(DR$1&gt;=Units!$Q59,MOD(DR$1-Units!$Q59,12)=0),IF(AND(Units!$L59=1,DR$1=Units!$Q59),1,Inputs!$B$15)*Inputs!$B$16*(1+Inputs!$B$11)^(DR$2-1),0)</f>
        <v>0</v>
      </c>
      <c r="DS60" s="11" t="n">
        <f aca="false">IF(AND(DS$1&gt;=Units!$Q59,MOD(DS$1-Units!$Q59,12)=0),IF(AND(Units!$L59=1,DS$1=Units!$Q59),1,Inputs!$B$15)*Inputs!$B$16*(1+Inputs!$B$11)^(DS$2-1),0)</f>
        <v>0</v>
      </c>
      <c r="DT60" s="11" t="n">
        <f aca="false">IF(AND(DT$1&gt;=Units!$Q59,MOD(DT$1-Units!$Q59,12)=0),IF(AND(Units!$L59=1,DT$1=Units!$Q59),1,Inputs!$B$15)*Inputs!$B$16*(1+Inputs!$B$11)^(DT$2-1),0)</f>
        <v>0</v>
      </c>
      <c r="DU60" s="11" t="n">
        <f aca="false">IF(AND(DU$1&gt;=Units!$Q59,MOD(DU$1-Units!$Q59,12)=0),IF(AND(Units!$L59=1,DU$1=Units!$Q59),1,Inputs!$B$15)*Inputs!$B$16*(1+Inputs!$B$11)^(DU$2-1),0)</f>
        <v>0</v>
      </c>
      <c r="DV60" s="11" t="n">
        <f aca="false">IF(AND(DV$1&gt;=Units!$Q59,MOD(DV$1-Units!$Q59,12)=0),IF(AND(Units!$L59=1,DV$1=Units!$Q59),1,Inputs!$B$15)*Inputs!$B$16*(1+Inputs!$B$11)^(DV$2-1),0)</f>
        <v>671.958189672061</v>
      </c>
      <c r="DW60" s="11" t="n">
        <f aca="false">IF(AND(DW$1&gt;=Units!$Q59,MOD(DW$1-Units!$Q59,12)=0),IF(AND(Units!$L59=1,DW$1=Units!$Q59),1,Inputs!$B$15)*Inputs!$B$16*(1+Inputs!$B$11)^(DW$2-1),0)</f>
        <v>0</v>
      </c>
      <c r="DX60" s="11" t="n">
        <f aca="false">IF(AND(DX$1&gt;=Units!$Q59,MOD(DX$1-Units!$Q59,12)=0),IF(AND(Units!$L59=1,DX$1=Units!$Q59),1,Inputs!$B$15)*Inputs!$B$16*(1+Inputs!$B$11)^(DX$2-1),0)</f>
        <v>0</v>
      </c>
      <c r="DY60" s="11" t="n">
        <f aca="false">IF(AND(DY$1&gt;=Units!$Q59,MOD(DY$1-Units!$Q59,12)=0),IF(AND(Units!$L59=1,DY$1=Units!$Q59),1,Inputs!$B$15)*Inputs!$B$16*(1+Inputs!$B$11)^(DY$2-1),0)</f>
        <v>0</v>
      </c>
      <c r="DZ60" s="11" t="n">
        <f aca="false">IF(AND(DZ$1&gt;=Units!$Q59,MOD(DZ$1-Units!$Q59,12)=0),IF(AND(Units!$L59=1,DZ$1=Units!$Q59),1,Inputs!$B$15)*Inputs!$B$16*(1+Inputs!$B$11)^(DZ$2-1),0)</f>
        <v>0</v>
      </c>
      <c r="EA60" s="11" t="n">
        <f aca="false">IF(AND(EA$1&gt;=Units!$Q59,MOD(EA$1-Units!$Q59,12)=0),IF(AND(Units!$L59=1,EA$1=Units!$Q59),1,Inputs!$B$15)*Inputs!$B$16*(1+Inputs!$B$11)^(EA$2-1),0)</f>
        <v>0</v>
      </c>
      <c r="EB60" s="11" t="n">
        <f aca="false">IF(AND(EB$1&gt;=Units!$Q59,MOD(EB$1-Units!$Q59,12)=0),IF(AND(Units!$L59=1,EB$1=Units!$Q59),1,Inputs!$B$15)*Inputs!$B$16*(1+Inputs!$B$11)^(EB$2-1),0)</f>
        <v>0</v>
      </c>
      <c r="EC60" s="11" t="n">
        <f aca="false">IF(AND(EC$1&gt;=Units!$Q59,MOD(EC$1-Units!$Q59,12)=0),IF(AND(Units!$L59=1,EC$1=Units!$Q59),1,Inputs!$B$15)*Inputs!$B$16*(1+Inputs!$B$11)^(EC$2-1),0)</f>
        <v>0</v>
      </c>
      <c r="ED60" s="11" t="n">
        <f aca="false">IF(AND(ED$1&gt;=Units!$Q59,MOD(ED$1-Units!$Q59,12)=0),IF(AND(Units!$L59=1,ED$1=Units!$Q59),1,Inputs!$B$15)*Inputs!$B$16*(1+Inputs!$B$11)^(ED$2-1),0)</f>
        <v>0</v>
      </c>
    </row>
    <row r="61" customFormat="false" ht="15" hidden="false" customHeight="false" outlineLevel="0" collapsed="false">
      <c r="A61" s="22" t="n">
        <f aca="false">Units!A60</f>
        <v>229</v>
      </c>
      <c r="B61" s="23"/>
      <c r="C61" s="11" t="n">
        <f aca="false">IF(AND(C$1&gt;=Units!$Q60,MOD(C$1-Units!$Q60,12)=0),IF(AND(Units!$L60=1,C$1=Units!$Q60),1,Inputs!$B$15)*Inputs!$B$16*(1+Inputs!$B$11)^(C$2-1),0)</f>
        <v>0</v>
      </c>
      <c r="D61" s="11" t="n">
        <f aca="false">IF(AND(D$1&gt;=Units!$Q60,MOD(D$1-Units!$Q60,12)=0),IF(AND(Units!$L60=1,D$1=Units!$Q60),1,Inputs!$B$15)*Inputs!$B$16*(1+Inputs!$B$11)^(D$2-1),0)</f>
        <v>0</v>
      </c>
      <c r="E61" s="11" t="n">
        <f aca="false">IF(AND(E$1&gt;=Units!$Q60,MOD(E$1-Units!$Q60,12)=0),IF(AND(Units!$L60=1,E$1=Units!$Q60),1,Inputs!$B$15)*Inputs!$B$16*(1+Inputs!$B$11)^(E$2-1),0)</f>
        <v>500</v>
      </c>
      <c r="F61" s="11" t="n">
        <f aca="false">IF(AND(F$1&gt;=Units!$Q60,MOD(F$1-Units!$Q60,12)=0),IF(AND(Units!$L60=1,F$1=Units!$Q60),1,Inputs!$B$15)*Inputs!$B$16*(1+Inputs!$B$11)^(F$2-1),0)</f>
        <v>0</v>
      </c>
      <c r="G61" s="11" t="n">
        <f aca="false">IF(AND(G$1&gt;=Units!$Q60,MOD(G$1-Units!$Q60,12)=0),IF(AND(Units!$L60=1,G$1=Units!$Q60),1,Inputs!$B$15)*Inputs!$B$16*(1+Inputs!$B$11)^(G$2-1),0)</f>
        <v>0</v>
      </c>
      <c r="H61" s="11" t="n">
        <f aca="false">IF(AND(H$1&gt;=Units!$Q60,MOD(H$1-Units!$Q60,12)=0),IF(AND(Units!$L60=1,H$1=Units!$Q60),1,Inputs!$B$15)*Inputs!$B$16*(1+Inputs!$B$11)^(H$2-1),0)</f>
        <v>0</v>
      </c>
      <c r="I61" s="11" t="n">
        <f aca="false">IF(AND(I$1&gt;=Units!$Q60,MOD(I$1-Units!$Q60,12)=0),IF(AND(Units!$L60=1,I$1=Units!$Q60),1,Inputs!$B$15)*Inputs!$B$16*(1+Inputs!$B$11)^(I$2-1),0)</f>
        <v>0</v>
      </c>
      <c r="J61" s="11" t="n">
        <f aca="false">IF(AND(J$1&gt;=Units!$Q60,MOD(J$1-Units!$Q60,12)=0),IF(AND(Units!$L60=1,J$1=Units!$Q60),1,Inputs!$B$15)*Inputs!$B$16*(1+Inputs!$B$11)^(J$2-1),0)</f>
        <v>0</v>
      </c>
      <c r="K61" s="11" t="n">
        <f aca="false">IF(AND(K$1&gt;=Units!$Q60,MOD(K$1-Units!$Q60,12)=0),IF(AND(Units!$L60=1,K$1=Units!$Q60),1,Inputs!$B$15)*Inputs!$B$16*(1+Inputs!$B$11)^(K$2-1),0)</f>
        <v>0</v>
      </c>
      <c r="L61" s="11" t="n">
        <f aca="false">IF(AND(L$1&gt;=Units!$Q60,MOD(L$1-Units!$Q60,12)=0),IF(AND(Units!$L60=1,L$1=Units!$Q60),1,Inputs!$B$15)*Inputs!$B$16*(1+Inputs!$B$11)^(L$2-1),0)</f>
        <v>0</v>
      </c>
      <c r="M61" s="11" t="n">
        <f aca="false">IF(AND(M$1&gt;=Units!$Q60,MOD(M$1-Units!$Q60,12)=0),IF(AND(Units!$L60=1,M$1=Units!$Q60),1,Inputs!$B$15)*Inputs!$B$16*(1+Inputs!$B$11)^(M$2-1),0)</f>
        <v>0</v>
      </c>
      <c r="N61" s="11" t="n">
        <f aca="false">IF(AND(N$1&gt;=Units!$Q60,MOD(N$1-Units!$Q60,12)=0),IF(AND(Units!$L60=1,N$1=Units!$Q60),1,Inputs!$B$15)*Inputs!$B$16*(1+Inputs!$B$11)^(N$2-1),0)</f>
        <v>0</v>
      </c>
      <c r="O61" s="11" t="n">
        <f aca="false">IF(AND(O$1&gt;=Units!$Q60,MOD(O$1-Units!$Q60,12)=0),IF(AND(Units!$L60=1,O$1=Units!$Q60),1,Inputs!$B$15)*Inputs!$B$16*(1+Inputs!$B$11)^(O$2-1),0)</f>
        <v>0</v>
      </c>
      <c r="P61" s="11" t="n">
        <f aca="false">IF(AND(P$1&gt;=Units!$Q60,MOD(P$1-Units!$Q60,12)=0),IF(AND(Units!$L60=1,P$1=Units!$Q60),1,Inputs!$B$15)*Inputs!$B$16*(1+Inputs!$B$11)^(P$2-1),0)</f>
        <v>0</v>
      </c>
      <c r="Q61" s="11" t="n">
        <f aca="false">IF(AND(Q$1&gt;=Units!$Q60,MOD(Q$1-Units!$Q60,12)=0),IF(AND(Units!$L60=1,Q$1=Units!$Q60),1,Inputs!$B$15)*Inputs!$B$16*(1+Inputs!$B$11)^(Q$2-1),0)</f>
        <v>515</v>
      </c>
      <c r="R61" s="11" t="n">
        <f aca="false">IF(AND(R$1&gt;=Units!$Q60,MOD(R$1-Units!$Q60,12)=0),IF(AND(Units!$L60=1,R$1=Units!$Q60),1,Inputs!$B$15)*Inputs!$B$16*(1+Inputs!$B$11)^(R$2-1),0)</f>
        <v>0</v>
      </c>
      <c r="S61" s="11" t="n">
        <f aca="false">IF(AND(S$1&gt;=Units!$Q60,MOD(S$1-Units!$Q60,12)=0),IF(AND(Units!$L60=1,S$1=Units!$Q60),1,Inputs!$B$15)*Inputs!$B$16*(1+Inputs!$B$11)^(S$2-1),0)</f>
        <v>0</v>
      </c>
      <c r="T61" s="11" t="n">
        <f aca="false">IF(AND(T$1&gt;=Units!$Q60,MOD(T$1-Units!$Q60,12)=0),IF(AND(Units!$L60=1,T$1=Units!$Q60),1,Inputs!$B$15)*Inputs!$B$16*(1+Inputs!$B$11)^(T$2-1),0)</f>
        <v>0</v>
      </c>
      <c r="U61" s="11" t="n">
        <f aca="false">IF(AND(U$1&gt;=Units!$Q60,MOD(U$1-Units!$Q60,12)=0),IF(AND(Units!$L60=1,U$1=Units!$Q60),1,Inputs!$B$15)*Inputs!$B$16*(1+Inputs!$B$11)^(U$2-1),0)</f>
        <v>0</v>
      </c>
      <c r="V61" s="11" t="n">
        <f aca="false">IF(AND(V$1&gt;=Units!$Q60,MOD(V$1-Units!$Q60,12)=0),IF(AND(Units!$L60=1,V$1=Units!$Q60),1,Inputs!$B$15)*Inputs!$B$16*(1+Inputs!$B$11)^(V$2-1),0)</f>
        <v>0</v>
      </c>
      <c r="W61" s="11" t="n">
        <f aca="false">IF(AND(W$1&gt;=Units!$Q60,MOD(W$1-Units!$Q60,12)=0),IF(AND(Units!$L60=1,W$1=Units!$Q60),1,Inputs!$B$15)*Inputs!$B$16*(1+Inputs!$B$11)^(W$2-1),0)</f>
        <v>0</v>
      </c>
      <c r="X61" s="11" t="n">
        <f aca="false">IF(AND(X$1&gt;=Units!$Q60,MOD(X$1-Units!$Q60,12)=0),IF(AND(Units!$L60=1,X$1=Units!$Q60),1,Inputs!$B$15)*Inputs!$B$16*(1+Inputs!$B$11)^(X$2-1),0)</f>
        <v>0</v>
      </c>
      <c r="Y61" s="11" t="n">
        <f aca="false">IF(AND(Y$1&gt;=Units!$Q60,MOD(Y$1-Units!$Q60,12)=0),IF(AND(Units!$L60=1,Y$1=Units!$Q60),1,Inputs!$B$15)*Inputs!$B$16*(1+Inputs!$B$11)^(Y$2-1),0)</f>
        <v>0</v>
      </c>
      <c r="Z61" s="11" t="n">
        <f aca="false">IF(AND(Z$1&gt;=Units!$Q60,MOD(Z$1-Units!$Q60,12)=0),IF(AND(Units!$L60=1,Z$1=Units!$Q60),1,Inputs!$B$15)*Inputs!$B$16*(1+Inputs!$B$11)^(Z$2-1),0)</f>
        <v>0</v>
      </c>
      <c r="AA61" s="11" t="n">
        <f aca="false">IF(AND(AA$1&gt;=Units!$Q60,MOD(AA$1-Units!$Q60,12)=0),IF(AND(Units!$L60=1,AA$1=Units!$Q60),1,Inputs!$B$15)*Inputs!$B$16*(1+Inputs!$B$11)^(AA$2-1),0)</f>
        <v>0</v>
      </c>
      <c r="AB61" s="11" t="n">
        <f aca="false">IF(AND(AB$1&gt;=Units!$Q60,MOD(AB$1-Units!$Q60,12)=0),IF(AND(Units!$L60=1,AB$1=Units!$Q60),1,Inputs!$B$15)*Inputs!$B$16*(1+Inputs!$B$11)^(AB$2-1),0)</f>
        <v>0</v>
      </c>
      <c r="AC61" s="11" t="n">
        <f aca="false">IF(AND(AC$1&gt;=Units!$Q60,MOD(AC$1-Units!$Q60,12)=0),IF(AND(Units!$L60=1,AC$1=Units!$Q60),1,Inputs!$B$15)*Inputs!$B$16*(1+Inputs!$B$11)^(AC$2-1),0)</f>
        <v>530.45</v>
      </c>
      <c r="AD61" s="11" t="n">
        <f aca="false">IF(AND(AD$1&gt;=Units!$Q60,MOD(AD$1-Units!$Q60,12)=0),IF(AND(Units!$L60=1,AD$1=Units!$Q60),1,Inputs!$B$15)*Inputs!$B$16*(1+Inputs!$B$11)^(AD$2-1),0)</f>
        <v>0</v>
      </c>
      <c r="AE61" s="11" t="n">
        <f aca="false">IF(AND(AE$1&gt;=Units!$Q60,MOD(AE$1-Units!$Q60,12)=0),IF(AND(Units!$L60=1,AE$1=Units!$Q60),1,Inputs!$B$15)*Inputs!$B$16*(1+Inputs!$B$11)^(AE$2-1),0)</f>
        <v>0</v>
      </c>
      <c r="AF61" s="11" t="n">
        <f aca="false">IF(AND(AF$1&gt;=Units!$Q60,MOD(AF$1-Units!$Q60,12)=0),IF(AND(Units!$L60=1,AF$1=Units!$Q60),1,Inputs!$B$15)*Inputs!$B$16*(1+Inputs!$B$11)^(AF$2-1),0)</f>
        <v>0</v>
      </c>
      <c r="AG61" s="11" t="n">
        <f aca="false">IF(AND(AG$1&gt;=Units!$Q60,MOD(AG$1-Units!$Q60,12)=0),IF(AND(Units!$L60=1,AG$1=Units!$Q60),1,Inputs!$B$15)*Inputs!$B$16*(1+Inputs!$B$11)^(AG$2-1),0)</f>
        <v>0</v>
      </c>
      <c r="AH61" s="11" t="n">
        <f aca="false">IF(AND(AH$1&gt;=Units!$Q60,MOD(AH$1-Units!$Q60,12)=0),IF(AND(Units!$L60=1,AH$1=Units!$Q60),1,Inputs!$B$15)*Inputs!$B$16*(1+Inputs!$B$11)^(AH$2-1),0)</f>
        <v>0</v>
      </c>
      <c r="AI61" s="11" t="n">
        <f aca="false">IF(AND(AI$1&gt;=Units!$Q60,MOD(AI$1-Units!$Q60,12)=0),IF(AND(Units!$L60=1,AI$1=Units!$Q60),1,Inputs!$B$15)*Inputs!$B$16*(1+Inputs!$B$11)^(AI$2-1),0)</f>
        <v>0</v>
      </c>
      <c r="AJ61" s="11" t="n">
        <f aca="false">IF(AND(AJ$1&gt;=Units!$Q60,MOD(AJ$1-Units!$Q60,12)=0),IF(AND(Units!$L60=1,AJ$1=Units!$Q60),1,Inputs!$B$15)*Inputs!$B$16*(1+Inputs!$B$11)^(AJ$2-1),0)</f>
        <v>0</v>
      </c>
      <c r="AK61" s="11" t="n">
        <f aca="false">IF(AND(AK$1&gt;=Units!$Q60,MOD(AK$1-Units!$Q60,12)=0),IF(AND(Units!$L60=1,AK$1=Units!$Q60),1,Inputs!$B$15)*Inputs!$B$16*(1+Inputs!$B$11)^(AK$2-1),0)</f>
        <v>0</v>
      </c>
      <c r="AL61" s="11" t="n">
        <f aca="false">IF(AND(AL$1&gt;=Units!$Q60,MOD(AL$1-Units!$Q60,12)=0),IF(AND(Units!$L60=1,AL$1=Units!$Q60),1,Inputs!$B$15)*Inputs!$B$16*(1+Inputs!$B$11)^(AL$2-1),0)</f>
        <v>0</v>
      </c>
      <c r="AM61" s="11" t="n">
        <f aca="false">IF(AND(AM$1&gt;=Units!$Q60,MOD(AM$1-Units!$Q60,12)=0),IF(AND(Units!$L60=1,AM$1=Units!$Q60),1,Inputs!$B$15)*Inputs!$B$16*(1+Inputs!$B$11)^(AM$2-1),0)</f>
        <v>0</v>
      </c>
      <c r="AN61" s="11" t="n">
        <f aca="false">IF(AND(AN$1&gt;=Units!$Q60,MOD(AN$1-Units!$Q60,12)=0),IF(AND(Units!$L60=1,AN$1=Units!$Q60),1,Inputs!$B$15)*Inputs!$B$16*(1+Inputs!$B$11)^(AN$2-1),0)</f>
        <v>0</v>
      </c>
      <c r="AO61" s="11" t="n">
        <f aca="false">IF(AND(AO$1&gt;=Units!$Q60,MOD(AO$1-Units!$Q60,12)=0),IF(AND(Units!$L60=1,AO$1=Units!$Q60),1,Inputs!$B$15)*Inputs!$B$16*(1+Inputs!$B$11)^(AO$2-1),0)</f>
        <v>546.3635</v>
      </c>
      <c r="AP61" s="11" t="n">
        <f aca="false">IF(AND(AP$1&gt;=Units!$Q60,MOD(AP$1-Units!$Q60,12)=0),IF(AND(Units!$L60=1,AP$1=Units!$Q60),1,Inputs!$B$15)*Inputs!$B$16*(1+Inputs!$B$11)^(AP$2-1),0)</f>
        <v>0</v>
      </c>
      <c r="AQ61" s="11" t="n">
        <f aca="false">IF(AND(AQ$1&gt;=Units!$Q60,MOD(AQ$1-Units!$Q60,12)=0),IF(AND(Units!$L60=1,AQ$1=Units!$Q60),1,Inputs!$B$15)*Inputs!$B$16*(1+Inputs!$B$11)^(AQ$2-1),0)</f>
        <v>0</v>
      </c>
      <c r="AR61" s="11" t="n">
        <f aca="false">IF(AND(AR$1&gt;=Units!$Q60,MOD(AR$1-Units!$Q60,12)=0),IF(AND(Units!$L60=1,AR$1=Units!$Q60),1,Inputs!$B$15)*Inputs!$B$16*(1+Inputs!$B$11)^(AR$2-1),0)</f>
        <v>0</v>
      </c>
      <c r="AS61" s="11" t="n">
        <f aca="false">IF(AND(AS$1&gt;=Units!$Q60,MOD(AS$1-Units!$Q60,12)=0),IF(AND(Units!$L60=1,AS$1=Units!$Q60),1,Inputs!$B$15)*Inputs!$B$16*(1+Inputs!$B$11)^(AS$2-1),0)</f>
        <v>0</v>
      </c>
      <c r="AT61" s="11" t="n">
        <f aca="false">IF(AND(AT$1&gt;=Units!$Q60,MOD(AT$1-Units!$Q60,12)=0),IF(AND(Units!$L60=1,AT$1=Units!$Q60),1,Inputs!$B$15)*Inputs!$B$16*(1+Inputs!$B$11)^(AT$2-1),0)</f>
        <v>0</v>
      </c>
      <c r="AU61" s="11" t="n">
        <f aca="false">IF(AND(AU$1&gt;=Units!$Q60,MOD(AU$1-Units!$Q60,12)=0),IF(AND(Units!$L60=1,AU$1=Units!$Q60),1,Inputs!$B$15)*Inputs!$B$16*(1+Inputs!$B$11)^(AU$2-1),0)</f>
        <v>0</v>
      </c>
      <c r="AV61" s="11" t="n">
        <f aca="false">IF(AND(AV$1&gt;=Units!$Q60,MOD(AV$1-Units!$Q60,12)=0),IF(AND(Units!$L60=1,AV$1=Units!$Q60),1,Inputs!$B$15)*Inputs!$B$16*(1+Inputs!$B$11)^(AV$2-1),0)</f>
        <v>0</v>
      </c>
      <c r="AW61" s="11" t="n">
        <f aca="false">IF(AND(AW$1&gt;=Units!$Q60,MOD(AW$1-Units!$Q60,12)=0),IF(AND(Units!$L60=1,AW$1=Units!$Q60),1,Inputs!$B$15)*Inputs!$B$16*(1+Inputs!$B$11)^(AW$2-1),0)</f>
        <v>0</v>
      </c>
      <c r="AX61" s="11" t="n">
        <f aca="false">IF(AND(AX$1&gt;=Units!$Q60,MOD(AX$1-Units!$Q60,12)=0),IF(AND(Units!$L60=1,AX$1=Units!$Q60),1,Inputs!$B$15)*Inputs!$B$16*(1+Inputs!$B$11)^(AX$2-1),0)</f>
        <v>0</v>
      </c>
      <c r="AY61" s="11" t="n">
        <f aca="false">IF(AND(AY$1&gt;=Units!$Q60,MOD(AY$1-Units!$Q60,12)=0),IF(AND(Units!$L60=1,AY$1=Units!$Q60),1,Inputs!$B$15)*Inputs!$B$16*(1+Inputs!$B$11)^(AY$2-1),0)</f>
        <v>0</v>
      </c>
      <c r="AZ61" s="11" t="n">
        <f aca="false">IF(AND(AZ$1&gt;=Units!$Q60,MOD(AZ$1-Units!$Q60,12)=0),IF(AND(Units!$L60=1,AZ$1=Units!$Q60),1,Inputs!$B$15)*Inputs!$B$16*(1+Inputs!$B$11)^(AZ$2-1),0)</f>
        <v>0</v>
      </c>
      <c r="BA61" s="11" t="n">
        <f aca="false">IF(AND(BA$1&gt;=Units!$Q60,MOD(BA$1-Units!$Q60,12)=0),IF(AND(Units!$L60=1,BA$1=Units!$Q60),1,Inputs!$B$15)*Inputs!$B$16*(1+Inputs!$B$11)^(BA$2-1),0)</f>
        <v>562.754405</v>
      </c>
      <c r="BB61" s="11" t="n">
        <f aca="false">IF(AND(BB$1&gt;=Units!$Q60,MOD(BB$1-Units!$Q60,12)=0),IF(AND(Units!$L60=1,BB$1=Units!$Q60),1,Inputs!$B$15)*Inputs!$B$16*(1+Inputs!$B$11)^(BB$2-1),0)</f>
        <v>0</v>
      </c>
      <c r="BC61" s="11" t="n">
        <f aca="false">IF(AND(BC$1&gt;=Units!$Q60,MOD(BC$1-Units!$Q60,12)=0),IF(AND(Units!$L60=1,BC$1=Units!$Q60),1,Inputs!$B$15)*Inputs!$B$16*(1+Inputs!$B$11)^(BC$2-1),0)</f>
        <v>0</v>
      </c>
      <c r="BD61" s="11" t="n">
        <f aca="false">IF(AND(BD$1&gt;=Units!$Q60,MOD(BD$1-Units!$Q60,12)=0),IF(AND(Units!$L60=1,BD$1=Units!$Q60),1,Inputs!$B$15)*Inputs!$B$16*(1+Inputs!$B$11)^(BD$2-1),0)</f>
        <v>0</v>
      </c>
      <c r="BE61" s="11" t="n">
        <f aca="false">IF(AND(BE$1&gt;=Units!$Q60,MOD(BE$1-Units!$Q60,12)=0),IF(AND(Units!$L60=1,BE$1=Units!$Q60),1,Inputs!$B$15)*Inputs!$B$16*(1+Inputs!$B$11)^(BE$2-1),0)</f>
        <v>0</v>
      </c>
      <c r="BF61" s="11" t="n">
        <f aca="false">IF(AND(BF$1&gt;=Units!$Q60,MOD(BF$1-Units!$Q60,12)=0),IF(AND(Units!$L60=1,BF$1=Units!$Q60),1,Inputs!$B$15)*Inputs!$B$16*(1+Inputs!$B$11)^(BF$2-1),0)</f>
        <v>0</v>
      </c>
      <c r="BG61" s="11" t="n">
        <f aca="false">IF(AND(BG$1&gt;=Units!$Q60,MOD(BG$1-Units!$Q60,12)=0),IF(AND(Units!$L60=1,BG$1=Units!$Q60),1,Inputs!$B$15)*Inputs!$B$16*(1+Inputs!$B$11)^(BG$2-1),0)</f>
        <v>0</v>
      </c>
      <c r="BH61" s="11" t="n">
        <f aca="false">IF(AND(BH$1&gt;=Units!$Q60,MOD(BH$1-Units!$Q60,12)=0),IF(AND(Units!$L60=1,BH$1=Units!$Q60),1,Inputs!$B$15)*Inputs!$B$16*(1+Inputs!$B$11)^(BH$2-1),0)</f>
        <v>0</v>
      </c>
      <c r="BI61" s="11" t="n">
        <f aca="false">IF(AND(BI$1&gt;=Units!$Q60,MOD(BI$1-Units!$Q60,12)=0),IF(AND(Units!$L60=1,BI$1=Units!$Q60),1,Inputs!$B$15)*Inputs!$B$16*(1+Inputs!$B$11)^(BI$2-1),0)</f>
        <v>0</v>
      </c>
      <c r="BJ61" s="11" t="n">
        <f aca="false">IF(AND(BJ$1&gt;=Units!$Q60,MOD(BJ$1-Units!$Q60,12)=0),IF(AND(Units!$L60=1,BJ$1=Units!$Q60),1,Inputs!$B$15)*Inputs!$B$16*(1+Inputs!$B$11)^(BJ$2-1),0)</f>
        <v>0</v>
      </c>
      <c r="BK61" s="11" t="n">
        <f aca="false">IF(AND(BK$1&gt;=Units!$Q60,MOD(BK$1-Units!$Q60,12)=0),IF(AND(Units!$L60=1,BK$1=Units!$Q60),1,Inputs!$B$15)*Inputs!$B$16*(1+Inputs!$B$11)^(BK$2-1),0)</f>
        <v>0</v>
      </c>
      <c r="BL61" s="11" t="n">
        <f aca="false">IF(AND(BL$1&gt;=Units!$Q60,MOD(BL$1-Units!$Q60,12)=0),IF(AND(Units!$L60=1,BL$1=Units!$Q60),1,Inputs!$B$15)*Inputs!$B$16*(1+Inputs!$B$11)^(BL$2-1),0)</f>
        <v>0</v>
      </c>
      <c r="BM61" s="11" t="n">
        <f aca="false">IF(AND(BM$1&gt;=Units!$Q60,MOD(BM$1-Units!$Q60,12)=0),IF(AND(Units!$L60=1,BM$1=Units!$Q60),1,Inputs!$B$15)*Inputs!$B$16*(1+Inputs!$B$11)^(BM$2-1),0)</f>
        <v>579.63703715</v>
      </c>
      <c r="BN61" s="11" t="n">
        <f aca="false">IF(AND(BN$1&gt;=Units!$Q60,MOD(BN$1-Units!$Q60,12)=0),IF(AND(Units!$L60=1,BN$1=Units!$Q60),1,Inputs!$B$15)*Inputs!$B$16*(1+Inputs!$B$11)^(BN$2-1),0)</f>
        <v>0</v>
      </c>
      <c r="BO61" s="11" t="n">
        <f aca="false">IF(AND(BO$1&gt;=Units!$Q60,MOD(BO$1-Units!$Q60,12)=0),IF(AND(Units!$L60=1,BO$1=Units!$Q60),1,Inputs!$B$15)*Inputs!$B$16*(1+Inputs!$B$11)^(BO$2-1),0)</f>
        <v>0</v>
      </c>
      <c r="BP61" s="11" t="n">
        <f aca="false">IF(AND(BP$1&gt;=Units!$Q60,MOD(BP$1-Units!$Q60,12)=0),IF(AND(Units!$L60=1,BP$1=Units!$Q60),1,Inputs!$B$15)*Inputs!$B$16*(1+Inputs!$B$11)^(BP$2-1),0)</f>
        <v>0</v>
      </c>
      <c r="BQ61" s="11" t="n">
        <f aca="false">IF(AND(BQ$1&gt;=Units!$Q60,MOD(BQ$1-Units!$Q60,12)=0),IF(AND(Units!$L60=1,BQ$1=Units!$Q60),1,Inputs!$B$15)*Inputs!$B$16*(1+Inputs!$B$11)^(BQ$2-1),0)</f>
        <v>0</v>
      </c>
      <c r="BR61" s="11" t="n">
        <f aca="false">IF(AND(BR$1&gt;=Units!$Q60,MOD(BR$1-Units!$Q60,12)=0),IF(AND(Units!$L60=1,BR$1=Units!$Q60),1,Inputs!$B$15)*Inputs!$B$16*(1+Inputs!$B$11)^(BR$2-1),0)</f>
        <v>0</v>
      </c>
      <c r="BS61" s="11" t="n">
        <f aca="false">IF(AND(BS$1&gt;=Units!$Q60,MOD(BS$1-Units!$Q60,12)=0),IF(AND(Units!$L60=1,BS$1=Units!$Q60),1,Inputs!$B$15)*Inputs!$B$16*(1+Inputs!$B$11)^(BS$2-1),0)</f>
        <v>0</v>
      </c>
      <c r="BT61" s="11" t="n">
        <f aca="false">IF(AND(BT$1&gt;=Units!$Q60,MOD(BT$1-Units!$Q60,12)=0),IF(AND(Units!$L60=1,BT$1=Units!$Q60),1,Inputs!$B$15)*Inputs!$B$16*(1+Inputs!$B$11)^(BT$2-1),0)</f>
        <v>0</v>
      </c>
      <c r="BU61" s="11" t="n">
        <f aca="false">IF(AND(BU$1&gt;=Units!$Q60,MOD(BU$1-Units!$Q60,12)=0),IF(AND(Units!$L60=1,BU$1=Units!$Q60),1,Inputs!$B$15)*Inputs!$B$16*(1+Inputs!$B$11)^(BU$2-1),0)</f>
        <v>0</v>
      </c>
      <c r="BV61" s="11" t="n">
        <f aca="false">IF(AND(BV$1&gt;=Units!$Q60,MOD(BV$1-Units!$Q60,12)=0),IF(AND(Units!$L60=1,BV$1=Units!$Q60),1,Inputs!$B$15)*Inputs!$B$16*(1+Inputs!$B$11)^(BV$2-1),0)</f>
        <v>0</v>
      </c>
      <c r="BW61" s="11" t="n">
        <f aca="false">IF(AND(BW$1&gt;=Units!$Q60,MOD(BW$1-Units!$Q60,12)=0),IF(AND(Units!$L60=1,BW$1=Units!$Q60),1,Inputs!$B$15)*Inputs!$B$16*(1+Inputs!$B$11)^(BW$2-1),0)</f>
        <v>0</v>
      </c>
      <c r="BX61" s="11" t="n">
        <f aca="false">IF(AND(BX$1&gt;=Units!$Q60,MOD(BX$1-Units!$Q60,12)=0),IF(AND(Units!$L60=1,BX$1=Units!$Q60),1,Inputs!$B$15)*Inputs!$B$16*(1+Inputs!$B$11)^(BX$2-1),0)</f>
        <v>0</v>
      </c>
      <c r="BY61" s="11" t="n">
        <f aca="false">IF(AND(BY$1&gt;=Units!$Q60,MOD(BY$1-Units!$Q60,12)=0),IF(AND(Units!$L60=1,BY$1=Units!$Q60),1,Inputs!$B$15)*Inputs!$B$16*(1+Inputs!$B$11)^(BY$2-1),0)</f>
        <v>597.0261482645</v>
      </c>
      <c r="BZ61" s="11" t="n">
        <f aca="false">IF(AND(BZ$1&gt;=Units!$Q60,MOD(BZ$1-Units!$Q60,12)=0),IF(AND(Units!$L60=1,BZ$1=Units!$Q60),1,Inputs!$B$15)*Inputs!$B$16*(1+Inputs!$B$11)^(BZ$2-1),0)</f>
        <v>0</v>
      </c>
      <c r="CA61" s="11" t="n">
        <f aca="false">IF(AND(CA$1&gt;=Units!$Q60,MOD(CA$1-Units!$Q60,12)=0),IF(AND(Units!$L60=1,CA$1=Units!$Q60),1,Inputs!$B$15)*Inputs!$B$16*(1+Inputs!$B$11)^(CA$2-1),0)</f>
        <v>0</v>
      </c>
      <c r="CB61" s="11" t="n">
        <f aca="false">IF(AND(CB$1&gt;=Units!$Q60,MOD(CB$1-Units!$Q60,12)=0),IF(AND(Units!$L60=1,CB$1=Units!$Q60),1,Inputs!$B$15)*Inputs!$B$16*(1+Inputs!$B$11)^(CB$2-1),0)</f>
        <v>0</v>
      </c>
      <c r="CC61" s="11" t="n">
        <f aca="false">IF(AND(CC$1&gt;=Units!$Q60,MOD(CC$1-Units!$Q60,12)=0),IF(AND(Units!$L60=1,CC$1=Units!$Q60),1,Inputs!$B$15)*Inputs!$B$16*(1+Inputs!$B$11)^(CC$2-1),0)</f>
        <v>0</v>
      </c>
      <c r="CD61" s="11" t="n">
        <f aca="false">IF(AND(CD$1&gt;=Units!$Q60,MOD(CD$1-Units!$Q60,12)=0),IF(AND(Units!$L60=1,CD$1=Units!$Q60),1,Inputs!$B$15)*Inputs!$B$16*(1+Inputs!$B$11)^(CD$2-1),0)</f>
        <v>0</v>
      </c>
      <c r="CE61" s="11" t="n">
        <f aca="false">IF(AND(CE$1&gt;=Units!$Q60,MOD(CE$1-Units!$Q60,12)=0),IF(AND(Units!$L60=1,CE$1=Units!$Q60),1,Inputs!$B$15)*Inputs!$B$16*(1+Inputs!$B$11)^(CE$2-1),0)</f>
        <v>0</v>
      </c>
      <c r="CF61" s="11" t="n">
        <f aca="false">IF(AND(CF$1&gt;=Units!$Q60,MOD(CF$1-Units!$Q60,12)=0),IF(AND(Units!$L60=1,CF$1=Units!$Q60),1,Inputs!$B$15)*Inputs!$B$16*(1+Inputs!$B$11)^(CF$2-1),0)</f>
        <v>0</v>
      </c>
      <c r="CG61" s="11" t="n">
        <f aca="false">IF(AND(CG$1&gt;=Units!$Q60,MOD(CG$1-Units!$Q60,12)=0),IF(AND(Units!$L60=1,CG$1=Units!$Q60),1,Inputs!$B$15)*Inputs!$B$16*(1+Inputs!$B$11)^(CG$2-1),0)</f>
        <v>0</v>
      </c>
      <c r="CH61" s="11" t="n">
        <f aca="false">IF(AND(CH$1&gt;=Units!$Q60,MOD(CH$1-Units!$Q60,12)=0),IF(AND(Units!$L60=1,CH$1=Units!$Q60),1,Inputs!$B$15)*Inputs!$B$16*(1+Inputs!$B$11)^(CH$2-1),0)</f>
        <v>0</v>
      </c>
      <c r="CI61" s="11" t="n">
        <f aca="false">IF(AND(CI$1&gt;=Units!$Q60,MOD(CI$1-Units!$Q60,12)=0),IF(AND(Units!$L60=1,CI$1=Units!$Q60),1,Inputs!$B$15)*Inputs!$B$16*(1+Inputs!$B$11)^(CI$2-1),0)</f>
        <v>0</v>
      </c>
      <c r="CJ61" s="11" t="n">
        <f aca="false">IF(AND(CJ$1&gt;=Units!$Q60,MOD(CJ$1-Units!$Q60,12)=0),IF(AND(Units!$L60=1,CJ$1=Units!$Q60),1,Inputs!$B$15)*Inputs!$B$16*(1+Inputs!$B$11)^(CJ$2-1),0)</f>
        <v>0</v>
      </c>
      <c r="CK61" s="11" t="n">
        <f aca="false">IF(AND(CK$1&gt;=Units!$Q60,MOD(CK$1-Units!$Q60,12)=0),IF(AND(Units!$L60=1,CK$1=Units!$Q60),1,Inputs!$B$15)*Inputs!$B$16*(1+Inputs!$B$11)^(CK$2-1),0)</f>
        <v>614.936932712435</v>
      </c>
      <c r="CL61" s="11" t="n">
        <f aca="false">IF(AND(CL$1&gt;=Units!$Q60,MOD(CL$1-Units!$Q60,12)=0),IF(AND(Units!$L60=1,CL$1=Units!$Q60),1,Inputs!$B$15)*Inputs!$B$16*(1+Inputs!$B$11)^(CL$2-1),0)</f>
        <v>0</v>
      </c>
      <c r="CM61" s="11" t="n">
        <f aca="false">IF(AND(CM$1&gt;=Units!$Q60,MOD(CM$1-Units!$Q60,12)=0),IF(AND(Units!$L60=1,CM$1=Units!$Q60),1,Inputs!$B$15)*Inputs!$B$16*(1+Inputs!$B$11)^(CM$2-1),0)</f>
        <v>0</v>
      </c>
      <c r="CN61" s="11" t="n">
        <f aca="false">IF(AND(CN$1&gt;=Units!$Q60,MOD(CN$1-Units!$Q60,12)=0),IF(AND(Units!$L60=1,CN$1=Units!$Q60),1,Inputs!$B$15)*Inputs!$B$16*(1+Inputs!$B$11)^(CN$2-1),0)</f>
        <v>0</v>
      </c>
      <c r="CO61" s="11" t="n">
        <f aca="false">IF(AND(CO$1&gt;=Units!$Q60,MOD(CO$1-Units!$Q60,12)=0),IF(AND(Units!$L60=1,CO$1=Units!$Q60),1,Inputs!$B$15)*Inputs!$B$16*(1+Inputs!$B$11)^(CO$2-1),0)</f>
        <v>0</v>
      </c>
      <c r="CP61" s="11" t="n">
        <f aca="false">IF(AND(CP$1&gt;=Units!$Q60,MOD(CP$1-Units!$Q60,12)=0),IF(AND(Units!$L60=1,CP$1=Units!$Q60),1,Inputs!$B$15)*Inputs!$B$16*(1+Inputs!$B$11)^(CP$2-1),0)</f>
        <v>0</v>
      </c>
      <c r="CQ61" s="11" t="n">
        <f aca="false">IF(AND(CQ$1&gt;=Units!$Q60,MOD(CQ$1-Units!$Q60,12)=0),IF(AND(Units!$L60=1,CQ$1=Units!$Q60),1,Inputs!$B$15)*Inputs!$B$16*(1+Inputs!$B$11)^(CQ$2-1),0)</f>
        <v>0</v>
      </c>
      <c r="CR61" s="11" t="n">
        <f aca="false">IF(AND(CR$1&gt;=Units!$Q60,MOD(CR$1-Units!$Q60,12)=0),IF(AND(Units!$L60=1,CR$1=Units!$Q60),1,Inputs!$B$15)*Inputs!$B$16*(1+Inputs!$B$11)^(CR$2-1),0)</f>
        <v>0</v>
      </c>
      <c r="CS61" s="11" t="n">
        <f aca="false">IF(AND(CS$1&gt;=Units!$Q60,MOD(CS$1-Units!$Q60,12)=0),IF(AND(Units!$L60=1,CS$1=Units!$Q60),1,Inputs!$B$15)*Inputs!$B$16*(1+Inputs!$B$11)^(CS$2-1),0)</f>
        <v>0</v>
      </c>
      <c r="CT61" s="11" t="n">
        <f aca="false">IF(AND(CT$1&gt;=Units!$Q60,MOD(CT$1-Units!$Q60,12)=0),IF(AND(Units!$L60=1,CT$1=Units!$Q60),1,Inputs!$B$15)*Inputs!$B$16*(1+Inputs!$B$11)^(CT$2-1),0)</f>
        <v>0</v>
      </c>
      <c r="CU61" s="11" t="n">
        <f aca="false">IF(AND(CU$1&gt;=Units!$Q60,MOD(CU$1-Units!$Q60,12)=0),IF(AND(Units!$L60=1,CU$1=Units!$Q60),1,Inputs!$B$15)*Inputs!$B$16*(1+Inputs!$B$11)^(CU$2-1),0)</f>
        <v>0</v>
      </c>
      <c r="CV61" s="11" t="n">
        <f aca="false">IF(AND(CV$1&gt;=Units!$Q60,MOD(CV$1-Units!$Q60,12)=0),IF(AND(Units!$L60=1,CV$1=Units!$Q60),1,Inputs!$B$15)*Inputs!$B$16*(1+Inputs!$B$11)^(CV$2-1),0)</f>
        <v>0</v>
      </c>
      <c r="CW61" s="11" t="n">
        <f aca="false">IF(AND(CW$1&gt;=Units!$Q60,MOD(CW$1-Units!$Q60,12)=0),IF(AND(Units!$L60=1,CW$1=Units!$Q60),1,Inputs!$B$15)*Inputs!$B$16*(1+Inputs!$B$11)^(CW$2-1),0)</f>
        <v>633.385040693808</v>
      </c>
      <c r="CX61" s="11" t="n">
        <f aca="false">IF(AND(CX$1&gt;=Units!$Q60,MOD(CX$1-Units!$Q60,12)=0),IF(AND(Units!$L60=1,CX$1=Units!$Q60),1,Inputs!$B$15)*Inputs!$B$16*(1+Inputs!$B$11)^(CX$2-1),0)</f>
        <v>0</v>
      </c>
      <c r="CY61" s="11" t="n">
        <f aca="false">IF(AND(CY$1&gt;=Units!$Q60,MOD(CY$1-Units!$Q60,12)=0),IF(AND(Units!$L60=1,CY$1=Units!$Q60),1,Inputs!$B$15)*Inputs!$B$16*(1+Inputs!$B$11)^(CY$2-1),0)</f>
        <v>0</v>
      </c>
      <c r="CZ61" s="11" t="n">
        <f aca="false">IF(AND(CZ$1&gt;=Units!$Q60,MOD(CZ$1-Units!$Q60,12)=0),IF(AND(Units!$L60=1,CZ$1=Units!$Q60),1,Inputs!$B$15)*Inputs!$B$16*(1+Inputs!$B$11)^(CZ$2-1),0)</f>
        <v>0</v>
      </c>
      <c r="DA61" s="11" t="n">
        <f aca="false">IF(AND(DA$1&gt;=Units!$Q60,MOD(DA$1-Units!$Q60,12)=0),IF(AND(Units!$L60=1,DA$1=Units!$Q60),1,Inputs!$B$15)*Inputs!$B$16*(1+Inputs!$B$11)^(DA$2-1),0)</f>
        <v>0</v>
      </c>
      <c r="DB61" s="11" t="n">
        <f aca="false">IF(AND(DB$1&gt;=Units!$Q60,MOD(DB$1-Units!$Q60,12)=0),IF(AND(Units!$L60=1,DB$1=Units!$Q60),1,Inputs!$B$15)*Inputs!$B$16*(1+Inputs!$B$11)^(DB$2-1),0)</f>
        <v>0</v>
      </c>
      <c r="DC61" s="11" t="n">
        <f aca="false">IF(AND(DC$1&gt;=Units!$Q60,MOD(DC$1-Units!$Q60,12)=0),IF(AND(Units!$L60=1,DC$1=Units!$Q60),1,Inputs!$B$15)*Inputs!$B$16*(1+Inputs!$B$11)^(DC$2-1),0)</f>
        <v>0</v>
      </c>
      <c r="DD61" s="11" t="n">
        <f aca="false">IF(AND(DD$1&gt;=Units!$Q60,MOD(DD$1-Units!$Q60,12)=0),IF(AND(Units!$L60=1,DD$1=Units!$Q60),1,Inputs!$B$15)*Inputs!$B$16*(1+Inputs!$B$11)^(DD$2-1),0)</f>
        <v>0</v>
      </c>
      <c r="DE61" s="11" t="n">
        <f aca="false">IF(AND(DE$1&gt;=Units!$Q60,MOD(DE$1-Units!$Q60,12)=0),IF(AND(Units!$L60=1,DE$1=Units!$Q60),1,Inputs!$B$15)*Inputs!$B$16*(1+Inputs!$B$11)^(DE$2-1),0)</f>
        <v>0</v>
      </c>
      <c r="DF61" s="11" t="n">
        <f aca="false">IF(AND(DF$1&gt;=Units!$Q60,MOD(DF$1-Units!$Q60,12)=0),IF(AND(Units!$L60=1,DF$1=Units!$Q60),1,Inputs!$B$15)*Inputs!$B$16*(1+Inputs!$B$11)^(DF$2-1),0)</f>
        <v>0</v>
      </c>
      <c r="DG61" s="11" t="n">
        <f aca="false">IF(AND(DG$1&gt;=Units!$Q60,MOD(DG$1-Units!$Q60,12)=0),IF(AND(Units!$L60=1,DG$1=Units!$Q60),1,Inputs!$B$15)*Inputs!$B$16*(1+Inputs!$B$11)^(DG$2-1),0)</f>
        <v>0</v>
      </c>
      <c r="DH61" s="11" t="n">
        <f aca="false">IF(AND(DH$1&gt;=Units!$Q60,MOD(DH$1-Units!$Q60,12)=0),IF(AND(Units!$L60=1,DH$1=Units!$Q60),1,Inputs!$B$15)*Inputs!$B$16*(1+Inputs!$B$11)^(DH$2-1),0)</f>
        <v>0</v>
      </c>
      <c r="DI61" s="11" t="n">
        <f aca="false">IF(AND(DI$1&gt;=Units!$Q60,MOD(DI$1-Units!$Q60,12)=0),IF(AND(Units!$L60=1,DI$1=Units!$Q60),1,Inputs!$B$15)*Inputs!$B$16*(1+Inputs!$B$11)^(DI$2-1),0)</f>
        <v>652.386591914623</v>
      </c>
      <c r="DJ61" s="11" t="n">
        <f aca="false">IF(AND(DJ$1&gt;=Units!$Q60,MOD(DJ$1-Units!$Q60,12)=0),IF(AND(Units!$L60=1,DJ$1=Units!$Q60),1,Inputs!$B$15)*Inputs!$B$16*(1+Inputs!$B$11)^(DJ$2-1),0)</f>
        <v>0</v>
      </c>
      <c r="DK61" s="11" t="n">
        <f aca="false">IF(AND(DK$1&gt;=Units!$Q60,MOD(DK$1-Units!$Q60,12)=0),IF(AND(Units!$L60=1,DK$1=Units!$Q60),1,Inputs!$B$15)*Inputs!$B$16*(1+Inputs!$B$11)^(DK$2-1),0)</f>
        <v>0</v>
      </c>
      <c r="DL61" s="11" t="n">
        <f aca="false">IF(AND(DL$1&gt;=Units!$Q60,MOD(DL$1-Units!$Q60,12)=0),IF(AND(Units!$L60=1,DL$1=Units!$Q60),1,Inputs!$B$15)*Inputs!$B$16*(1+Inputs!$B$11)^(DL$2-1),0)</f>
        <v>0</v>
      </c>
      <c r="DM61" s="11" t="n">
        <f aca="false">IF(AND(DM$1&gt;=Units!$Q60,MOD(DM$1-Units!$Q60,12)=0),IF(AND(Units!$L60=1,DM$1=Units!$Q60),1,Inputs!$B$15)*Inputs!$B$16*(1+Inputs!$B$11)^(DM$2-1),0)</f>
        <v>0</v>
      </c>
      <c r="DN61" s="11" t="n">
        <f aca="false">IF(AND(DN$1&gt;=Units!$Q60,MOD(DN$1-Units!$Q60,12)=0),IF(AND(Units!$L60=1,DN$1=Units!$Q60),1,Inputs!$B$15)*Inputs!$B$16*(1+Inputs!$B$11)^(DN$2-1),0)</f>
        <v>0</v>
      </c>
      <c r="DO61" s="11" t="n">
        <f aca="false">IF(AND(DO$1&gt;=Units!$Q60,MOD(DO$1-Units!$Q60,12)=0),IF(AND(Units!$L60=1,DO$1=Units!$Q60),1,Inputs!$B$15)*Inputs!$B$16*(1+Inputs!$B$11)^(DO$2-1),0)</f>
        <v>0</v>
      </c>
      <c r="DP61" s="11" t="n">
        <f aca="false">IF(AND(DP$1&gt;=Units!$Q60,MOD(DP$1-Units!$Q60,12)=0),IF(AND(Units!$L60=1,DP$1=Units!$Q60),1,Inputs!$B$15)*Inputs!$B$16*(1+Inputs!$B$11)^(DP$2-1),0)</f>
        <v>0</v>
      </c>
      <c r="DQ61" s="11" t="n">
        <f aca="false">IF(AND(DQ$1&gt;=Units!$Q60,MOD(DQ$1-Units!$Q60,12)=0),IF(AND(Units!$L60=1,DQ$1=Units!$Q60),1,Inputs!$B$15)*Inputs!$B$16*(1+Inputs!$B$11)^(DQ$2-1),0)</f>
        <v>0</v>
      </c>
      <c r="DR61" s="11" t="n">
        <f aca="false">IF(AND(DR$1&gt;=Units!$Q60,MOD(DR$1-Units!$Q60,12)=0),IF(AND(Units!$L60=1,DR$1=Units!$Q60),1,Inputs!$B$15)*Inputs!$B$16*(1+Inputs!$B$11)^(DR$2-1),0)</f>
        <v>0</v>
      </c>
      <c r="DS61" s="11" t="n">
        <f aca="false">IF(AND(DS$1&gt;=Units!$Q60,MOD(DS$1-Units!$Q60,12)=0),IF(AND(Units!$L60=1,DS$1=Units!$Q60),1,Inputs!$B$15)*Inputs!$B$16*(1+Inputs!$B$11)^(DS$2-1),0)</f>
        <v>0</v>
      </c>
      <c r="DT61" s="11" t="n">
        <f aca="false">IF(AND(DT$1&gt;=Units!$Q60,MOD(DT$1-Units!$Q60,12)=0),IF(AND(Units!$L60=1,DT$1=Units!$Q60),1,Inputs!$B$15)*Inputs!$B$16*(1+Inputs!$B$11)^(DT$2-1),0)</f>
        <v>0</v>
      </c>
      <c r="DU61" s="11" t="n">
        <f aca="false">IF(AND(DU$1&gt;=Units!$Q60,MOD(DU$1-Units!$Q60,12)=0),IF(AND(Units!$L60=1,DU$1=Units!$Q60),1,Inputs!$B$15)*Inputs!$B$16*(1+Inputs!$B$11)^(DU$2-1),0)</f>
        <v>671.958189672061</v>
      </c>
      <c r="DV61" s="11" t="n">
        <f aca="false">IF(AND(DV$1&gt;=Units!$Q60,MOD(DV$1-Units!$Q60,12)=0),IF(AND(Units!$L60=1,DV$1=Units!$Q60),1,Inputs!$B$15)*Inputs!$B$16*(1+Inputs!$B$11)^(DV$2-1),0)</f>
        <v>0</v>
      </c>
      <c r="DW61" s="11" t="n">
        <f aca="false">IF(AND(DW$1&gt;=Units!$Q60,MOD(DW$1-Units!$Q60,12)=0),IF(AND(Units!$L60=1,DW$1=Units!$Q60),1,Inputs!$B$15)*Inputs!$B$16*(1+Inputs!$B$11)^(DW$2-1),0)</f>
        <v>0</v>
      </c>
      <c r="DX61" s="11" t="n">
        <f aca="false">IF(AND(DX$1&gt;=Units!$Q60,MOD(DX$1-Units!$Q60,12)=0),IF(AND(Units!$L60=1,DX$1=Units!$Q60),1,Inputs!$B$15)*Inputs!$B$16*(1+Inputs!$B$11)^(DX$2-1),0)</f>
        <v>0</v>
      </c>
      <c r="DY61" s="11" t="n">
        <f aca="false">IF(AND(DY$1&gt;=Units!$Q60,MOD(DY$1-Units!$Q60,12)=0),IF(AND(Units!$L60=1,DY$1=Units!$Q60),1,Inputs!$B$15)*Inputs!$B$16*(1+Inputs!$B$11)^(DY$2-1),0)</f>
        <v>0</v>
      </c>
      <c r="DZ61" s="11" t="n">
        <f aca="false">IF(AND(DZ$1&gt;=Units!$Q60,MOD(DZ$1-Units!$Q60,12)=0),IF(AND(Units!$L60=1,DZ$1=Units!$Q60),1,Inputs!$B$15)*Inputs!$B$16*(1+Inputs!$B$11)^(DZ$2-1),0)</f>
        <v>0</v>
      </c>
      <c r="EA61" s="11" t="n">
        <f aca="false">IF(AND(EA$1&gt;=Units!$Q60,MOD(EA$1-Units!$Q60,12)=0),IF(AND(Units!$L60=1,EA$1=Units!$Q60),1,Inputs!$B$15)*Inputs!$B$16*(1+Inputs!$B$11)^(EA$2-1),0)</f>
        <v>0</v>
      </c>
      <c r="EB61" s="11" t="n">
        <f aca="false">IF(AND(EB$1&gt;=Units!$Q60,MOD(EB$1-Units!$Q60,12)=0),IF(AND(Units!$L60=1,EB$1=Units!$Q60),1,Inputs!$B$15)*Inputs!$B$16*(1+Inputs!$B$11)^(EB$2-1),0)</f>
        <v>0</v>
      </c>
      <c r="EC61" s="11" t="n">
        <f aca="false">IF(AND(EC$1&gt;=Units!$Q60,MOD(EC$1-Units!$Q60,12)=0),IF(AND(Units!$L60=1,EC$1=Units!$Q60),1,Inputs!$B$15)*Inputs!$B$16*(1+Inputs!$B$11)^(EC$2-1),0)</f>
        <v>0</v>
      </c>
      <c r="ED61" s="11" t="n">
        <f aca="false">IF(AND(ED$1&gt;=Units!$Q60,MOD(ED$1-Units!$Q60,12)=0),IF(AND(Units!$L60=1,ED$1=Units!$Q60),1,Inputs!$B$15)*Inputs!$B$16*(1+Inputs!$B$11)^(ED$2-1),0)</f>
        <v>0</v>
      </c>
    </row>
    <row r="62" customFormat="false" ht="15" hidden="false" customHeight="false" outlineLevel="0" collapsed="false">
      <c r="A62" s="22" t="n">
        <f aca="false">Units!A61</f>
        <v>230</v>
      </c>
      <c r="B62" s="23"/>
      <c r="C62" s="11" t="n">
        <f aca="false">IF(AND(C$1&gt;=Units!$Q61,MOD(C$1-Units!$Q61,12)=0),IF(AND(Units!$L61=1,C$1=Units!$Q61),1,Inputs!$B$15)*Inputs!$B$16*(1+Inputs!$B$11)^(C$2-1),0)</f>
        <v>0</v>
      </c>
      <c r="D62" s="11" t="n">
        <f aca="false">IF(AND(D$1&gt;=Units!$Q61,MOD(D$1-Units!$Q61,12)=0),IF(AND(Units!$L61=1,D$1=Units!$Q61),1,Inputs!$B$15)*Inputs!$B$16*(1+Inputs!$B$11)^(D$2-1),0)</f>
        <v>0</v>
      </c>
      <c r="E62" s="11" t="n">
        <f aca="false">IF(AND(E$1&gt;=Units!$Q61,MOD(E$1-Units!$Q61,12)=0),IF(AND(Units!$L61=1,E$1=Units!$Q61),1,Inputs!$B$15)*Inputs!$B$16*(1+Inputs!$B$11)^(E$2-1),0)</f>
        <v>0</v>
      </c>
      <c r="F62" s="11" t="n">
        <f aca="false">IF(AND(F$1&gt;=Units!$Q61,MOD(F$1-Units!$Q61,12)=0),IF(AND(Units!$L61=1,F$1=Units!$Q61),1,Inputs!$B$15)*Inputs!$B$16*(1+Inputs!$B$11)^(F$2-1),0)</f>
        <v>0</v>
      </c>
      <c r="G62" s="11" t="n">
        <f aca="false">IF(AND(G$1&gt;=Units!$Q61,MOD(G$1-Units!$Q61,12)=0),IF(AND(Units!$L61=1,G$1=Units!$Q61),1,Inputs!$B$15)*Inputs!$B$16*(1+Inputs!$B$11)^(G$2-1),0)</f>
        <v>0</v>
      </c>
      <c r="H62" s="11" t="n">
        <f aca="false">IF(AND(H$1&gt;=Units!$Q61,MOD(H$1-Units!$Q61,12)=0),IF(AND(Units!$L61=1,H$1=Units!$Q61),1,Inputs!$B$15)*Inputs!$B$16*(1+Inputs!$B$11)^(H$2-1),0)</f>
        <v>0</v>
      </c>
      <c r="I62" s="11" t="n">
        <f aca="false">IF(AND(I$1&gt;=Units!$Q61,MOD(I$1-Units!$Q61,12)=0),IF(AND(Units!$L61=1,I$1=Units!$Q61),1,Inputs!$B$15)*Inputs!$B$16*(1+Inputs!$B$11)^(I$2-1),0)</f>
        <v>0</v>
      </c>
      <c r="J62" s="11" t="n">
        <f aca="false">IF(AND(J$1&gt;=Units!$Q61,MOD(J$1-Units!$Q61,12)=0),IF(AND(Units!$L61=1,J$1=Units!$Q61),1,Inputs!$B$15)*Inputs!$B$16*(1+Inputs!$B$11)^(J$2-1),0)</f>
        <v>0</v>
      </c>
      <c r="K62" s="11" t="n">
        <f aca="false">IF(AND(K$1&gt;=Units!$Q61,MOD(K$1-Units!$Q61,12)=0),IF(AND(Units!$L61=1,K$1=Units!$Q61),1,Inputs!$B$15)*Inputs!$B$16*(1+Inputs!$B$11)^(K$2-1),0)</f>
        <v>0</v>
      </c>
      <c r="L62" s="11" t="n">
        <f aca="false">IF(AND(L$1&gt;=Units!$Q61,MOD(L$1-Units!$Q61,12)=0),IF(AND(Units!$L61=1,L$1=Units!$Q61),1,Inputs!$B$15)*Inputs!$B$16*(1+Inputs!$B$11)^(L$2-1),0)</f>
        <v>0</v>
      </c>
      <c r="M62" s="11" t="n">
        <f aca="false">IF(AND(M$1&gt;=Units!$Q61,MOD(M$1-Units!$Q61,12)=0),IF(AND(Units!$L61=1,M$1=Units!$Q61),1,Inputs!$B$15)*Inputs!$B$16*(1+Inputs!$B$11)^(M$2-1),0)</f>
        <v>0</v>
      </c>
      <c r="N62" s="11" t="n">
        <f aca="false">IF(AND(N$1&gt;=Units!$Q61,MOD(N$1-Units!$Q61,12)=0),IF(AND(Units!$L61=1,N$1=Units!$Q61),1,Inputs!$B$15)*Inputs!$B$16*(1+Inputs!$B$11)^(N$2-1),0)</f>
        <v>0</v>
      </c>
      <c r="O62" s="11" t="n">
        <f aca="false">IF(AND(O$1&gt;=Units!$Q61,MOD(O$1-Units!$Q61,12)=0),IF(AND(Units!$L61=1,O$1=Units!$Q61),1,Inputs!$B$15)*Inputs!$B$16*(1+Inputs!$B$11)^(O$2-1),0)</f>
        <v>515</v>
      </c>
      <c r="P62" s="11" t="n">
        <f aca="false">IF(AND(P$1&gt;=Units!$Q61,MOD(P$1-Units!$Q61,12)=0),IF(AND(Units!$L61=1,P$1=Units!$Q61),1,Inputs!$B$15)*Inputs!$B$16*(1+Inputs!$B$11)^(P$2-1),0)</f>
        <v>0</v>
      </c>
      <c r="Q62" s="11" t="n">
        <f aca="false">IF(AND(Q$1&gt;=Units!$Q61,MOD(Q$1-Units!$Q61,12)=0),IF(AND(Units!$L61=1,Q$1=Units!$Q61),1,Inputs!$B$15)*Inputs!$B$16*(1+Inputs!$B$11)^(Q$2-1),0)</f>
        <v>0</v>
      </c>
      <c r="R62" s="11" t="n">
        <f aca="false">IF(AND(R$1&gt;=Units!$Q61,MOD(R$1-Units!$Q61,12)=0),IF(AND(Units!$L61=1,R$1=Units!$Q61),1,Inputs!$B$15)*Inputs!$B$16*(1+Inputs!$B$11)^(R$2-1),0)</f>
        <v>0</v>
      </c>
      <c r="S62" s="11" t="n">
        <f aca="false">IF(AND(S$1&gt;=Units!$Q61,MOD(S$1-Units!$Q61,12)=0),IF(AND(Units!$L61=1,S$1=Units!$Q61),1,Inputs!$B$15)*Inputs!$B$16*(1+Inputs!$B$11)^(S$2-1),0)</f>
        <v>0</v>
      </c>
      <c r="T62" s="11" t="n">
        <f aca="false">IF(AND(T$1&gt;=Units!$Q61,MOD(T$1-Units!$Q61,12)=0),IF(AND(Units!$L61=1,T$1=Units!$Q61),1,Inputs!$B$15)*Inputs!$B$16*(1+Inputs!$B$11)^(T$2-1),0)</f>
        <v>0</v>
      </c>
      <c r="U62" s="11" t="n">
        <f aca="false">IF(AND(U$1&gt;=Units!$Q61,MOD(U$1-Units!$Q61,12)=0),IF(AND(Units!$L61=1,U$1=Units!$Q61),1,Inputs!$B$15)*Inputs!$B$16*(1+Inputs!$B$11)^(U$2-1),0)</f>
        <v>0</v>
      </c>
      <c r="V62" s="11" t="n">
        <f aca="false">IF(AND(V$1&gt;=Units!$Q61,MOD(V$1-Units!$Q61,12)=0),IF(AND(Units!$L61=1,V$1=Units!$Q61),1,Inputs!$B$15)*Inputs!$B$16*(1+Inputs!$B$11)^(V$2-1),0)</f>
        <v>0</v>
      </c>
      <c r="W62" s="11" t="n">
        <f aca="false">IF(AND(W$1&gt;=Units!$Q61,MOD(W$1-Units!$Q61,12)=0),IF(AND(Units!$L61=1,W$1=Units!$Q61),1,Inputs!$B$15)*Inputs!$B$16*(1+Inputs!$B$11)^(W$2-1),0)</f>
        <v>0</v>
      </c>
      <c r="X62" s="11" t="n">
        <f aca="false">IF(AND(X$1&gt;=Units!$Q61,MOD(X$1-Units!$Q61,12)=0),IF(AND(Units!$L61=1,X$1=Units!$Q61),1,Inputs!$B$15)*Inputs!$B$16*(1+Inputs!$B$11)^(X$2-1),0)</f>
        <v>0</v>
      </c>
      <c r="Y62" s="11" t="n">
        <f aca="false">IF(AND(Y$1&gt;=Units!$Q61,MOD(Y$1-Units!$Q61,12)=0),IF(AND(Units!$L61=1,Y$1=Units!$Q61),1,Inputs!$B$15)*Inputs!$B$16*(1+Inputs!$B$11)^(Y$2-1),0)</f>
        <v>0</v>
      </c>
      <c r="Z62" s="11" t="n">
        <f aca="false">IF(AND(Z$1&gt;=Units!$Q61,MOD(Z$1-Units!$Q61,12)=0),IF(AND(Units!$L61=1,Z$1=Units!$Q61),1,Inputs!$B$15)*Inputs!$B$16*(1+Inputs!$B$11)^(Z$2-1),0)</f>
        <v>0</v>
      </c>
      <c r="AA62" s="11" t="n">
        <f aca="false">IF(AND(AA$1&gt;=Units!$Q61,MOD(AA$1-Units!$Q61,12)=0),IF(AND(Units!$L61=1,AA$1=Units!$Q61),1,Inputs!$B$15)*Inputs!$B$16*(1+Inputs!$B$11)^(AA$2-1),0)</f>
        <v>530.45</v>
      </c>
      <c r="AB62" s="11" t="n">
        <f aca="false">IF(AND(AB$1&gt;=Units!$Q61,MOD(AB$1-Units!$Q61,12)=0),IF(AND(Units!$L61=1,AB$1=Units!$Q61),1,Inputs!$B$15)*Inputs!$B$16*(1+Inputs!$B$11)^(AB$2-1),0)</f>
        <v>0</v>
      </c>
      <c r="AC62" s="11" t="n">
        <f aca="false">IF(AND(AC$1&gt;=Units!$Q61,MOD(AC$1-Units!$Q61,12)=0),IF(AND(Units!$L61=1,AC$1=Units!$Q61),1,Inputs!$B$15)*Inputs!$B$16*(1+Inputs!$B$11)^(AC$2-1),0)</f>
        <v>0</v>
      </c>
      <c r="AD62" s="11" t="n">
        <f aca="false">IF(AND(AD$1&gt;=Units!$Q61,MOD(AD$1-Units!$Q61,12)=0),IF(AND(Units!$L61=1,AD$1=Units!$Q61),1,Inputs!$B$15)*Inputs!$B$16*(1+Inputs!$B$11)^(AD$2-1),0)</f>
        <v>0</v>
      </c>
      <c r="AE62" s="11" t="n">
        <f aca="false">IF(AND(AE$1&gt;=Units!$Q61,MOD(AE$1-Units!$Q61,12)=0),IF(AND(Units!$L61=1,AE$1=Units!$Q61),1,Inputs!$B$15)*Inputs!$B$16*(1+Inputs!$B$11)^(AE$2-1),0)</f>
        <v>0</v>
      </c>
      <c r="AF62" s="11" t="n">
        <f aca="false">IF(AND(AF$1&gt;=Units!$Q61,MOD(AF$1-Units!$Q61,12)=0),IF(AND(Units!$L61=1,AF$1=Units!$Q61),1,Inputs!$B$15)*Inputs!$B$16*(1+Inputs!$B$11)^(AF$2-1),0)</f>
        <v>0</v>
      </c>
      <c r="AG62" s="11" t="n">
        <f aca="false">IF(AND(AG$1&gt;=Units!$Q61,MOD(AG$1-Units!$Q61,12)=0),IF(AND(Units!$L61=1,AG$1=Units!$Q61),1,Inputs!$B$15)*Inputs!$B$16*(1+Inputs!$B$11)^(AG$2-1),0)</f>
        <v>0</v>
      </c>
      <c r="AH62" s="11" t="n">
        <f aca="false">IF(AND(AH$1&gt;=Units!$Q61,MOD(AH$1-Units!$Q61,12)=0),IF(AND(Units!$L61=1,AH$1=Units!$Q61),1,Inputs!$B$15)*Inputs!$B$16*(1+Inputs!$B$11)^(AH$2-1),0)</f>
        <v>0</v>
      </c>
      <c r="AI62" s="11" t="n">
        <f aca="false">IF(AND(AI$1&gt;=Units!$Q61,MOD(AI$1-Units!$Q61,12)=0),IF(AND(Units!$L61=1,AI$1=Units!$Q61),1,Inputs!$B$15)*Inputs!$B$16*(1+Inputs!$B$11)^(AI$2-1),0)</f>
        <v>0</v>
      </c>
      <c r="AJ62" s="11" t="n">
        <f aca="false">IF(AND(AJ$1&gt;=Units!$Q61,MOD(AJ$1-Units!$Q61,12)=0),IF(AND(Units!$L61=1,AJ$1=Units!$Q61),1,Inputs!$B$15)*Inputs!$B$16*(1+Inputs!$B$11)^(AJ$2-1),0)</f>
        <v>0</v>
      </c>
      <c r="AK62" s="11" t="n">
        <f aca="false">IF(AND(AK$1&gt;=Units!$Q61,MOD(AK$1-Units!$Q61,12)=0),IF(AND(Units!$L61=1,AK$1=Units!$Q61),1,Inputs!$B$15)*Inputs!$B$16*(1+Inputs!$B$11)^(AK$2-1),0)</f>
        <v>0</v>
      </c>
      <c r="AL62" s="11" t="n">
        <f aca="false">IF(AND(AL$1&gt;=Units!$Q61,MOD(AL$1-Units!$Q61,12)=0),IF(AND(Units!$L61=1,AL$1=Units!$Q61),1,Inputs!$B$15)*Inputs!$B$16*(1+Inputs!$B$11)^(AL$2-1),0)</f>
        <v>0</v>
      </c>
      <c r="AM62" s="11" t="n">
        <f aca="false">IF(AND(AM$1&gt;=Units!$Q61,MOD(AM$1-Units!$Q61,12)=0),IF(AND(Units!$L61=1,AM$1=Units!$Q61),1,Inputs!$B$15)*Inputs!$B$16*(1+Inputs!$B$11)^(AM$2-1),0)</f>
        <v>546.3635</v>
      </c>
      <c r="AN62" s="11" t="n">
        <f aca="false">IF(AND(AN$1&gt;=Units!$Q61,MOD(AN$1-Units!$Q61,12)=0),IF(AND(Units!$L61=1,AN$1=Units!$Q61),1,Inputs!$B$15)*Inputs!$B$16*(1+Inputs!$B$11)^(AN$2-1),0)</f>
        <v>0</v>
      </c>
      <c r="AO62" s="11" t="n">
        <f aca="false">IF(AND(AO$1&gt;=Units!$Q61,MOD(AO$1-Units!$Q61,12)=0),IF(AND(Units!$L61=1,AO$1=Units!$Q61),1,Inputs!$B$15)*Inputs!$B$16*(1+Inputs!$B$11)^(AO$2-1),0)</f>
        <v>0</v>
      </c>
      <c r="AP62" s="11" t="n">
        <f aca="false">IF(AND(AP$1&gt;=Units!$Q61,MOD(AP$1-Units!$Q61,12)=0),IF(AND(Units!$L61=1,AP$1=Units!$Q61),1,Inputs!$B$15)*Inputs!$B$16*(1+Inputs!$B$11)^(AP$2-1),0)</f>
        <v>0</v>
      </c>
      <c r="AQ62" s="11" t="n">
        <f aca="false">IF(AND(AQ$1&gt;=Units!$Q61,MOD(AQ$1-Units!$Q61,12)=0),IF(AND(Units!$L61=1,AQ$1=Units!$Q61),1,Inputs!$B$15)*Inputs!$B$16*(1+Inputs!$B$11)^(AQ$2-1),0)</f>
        <v>0</v>
      </c>
      <c r="AR62" s="11" t="n">
        <f aca="false">IF(AND(AR$1&gt;=Units!$Q61,MOD(AR$1-Units!$Q61,12)=0),IF(AND(Units!$L61=1,AR$1=Units!$Q61),1,Inputs!$B$15)*Inputs!$B$16*(1+Inputs!$B$11)^(AR$2-1),0)</f>
        <v>0</v>
      </c>
      <c r="AS62" s="11" t="n">
        <f aca="false">IF(AND(AS$1&gt;=Units!$Q61,MOD(AS$1-Units!$Q61,12)=0),IF(AND(Units!$L61=1,AS$1=Units!$Q61),1,Inputs!$B$15)*Inputs!$B$16*(1+Inputs!$B$11)^(AS$2-1),0)</f>
        <v>0</v>
      </c>
      <c r="AT62" s="11" t="n">
        <f aca="false">IF(AND(AT$1&gt;=Units!$Q61,MOD(AT$1-Units!$Q61,12)=0),IF(AND(Units!$L61=1,AT$1=Units!$Q61),1,Inputs!$B$15)*Inputs!$B$16*(1+Inputs!$B$11)^(AT$2-1),0)</f>
        <v>0</v>
      </c>
      <c r="AU62" s="11" t="n">
        <f aca="false">IF(AND(AU$1&gt;=Units!$Q61,MOD(AU$1-Units!$Q61,12)=0),IF(AND(Units!$L61=1,AU$1=Units!$Q61),1,Inputs!$B$15)*Inputs!$B$16*(1+Inputs!$B$11)^(AU$2-1),0)</f>
        <v>0</v>
      </c>
      <c r="AV62" s="11" t="n">
        <f aca="false">IF(AND(AV$1&gt;=Units!$Q61,MOD(AV$1-Units!$Q61,12)=0),IF(AND(Units!$L61=1,AV$1=Units!$Q61),1,Inputs!$B$15)*Inputs!$B$16*(1+Inputs!$B$11)^(AV$2-1),0)</f>
        <v>0</v>
      </c>
      <c r="AW62" s="11" t="n">
        <f aca="false">IF(AND(AW$1&gt;=Units!$Q61,MOD(AW$1-Units!$Q61,12)=0),IF(AND(Units!$L61=1,AW$1=Units!$Q61),1,Inputs!$B$15)*Inputs!$B$16*(1+Inputs!$B$11)^(AW$2-1),0)</f>
        <v>0</v>
      </c>
      <c r="AX62" s="11" t="n">
        <f aca="false">IF(AND(AX$1&gt;=Units!$Q61,MOD(AX$1-Units!$Q61,12)=0),IF(AND(Units!$L61=1,AX$1=Units!$Q61),1,Inputs!$B$15)*Inputs!$B$16*(1+Inputs!$B$11)^(AX$2-1),0)</f>
        <v>0</v>
      </c>
      <c r="AY62" s="11" t="n">
        <f aca="false">IF(AND(AY$1&gt;=Units!$Q61,MOD(AY$1-Units!$Q61,12)=0),IF(AND(Units!$L61=1,AY$1=Units!$Q61),1,Inputs!$B$15)*Inputs!$B$16*(1+Inputs!$B$11)^(AY$2-1),0)</f>
        <v>562.754405</v>
      </c>
      <c r="AZ62" s="11" t="n">
        <f aca="false">IF(AND(AZ$1&gt;=Units!$Q61,MOD(AZ$1-Units!$Q61,12)=0),IF(AND(Units!$L61=1,AZ$1=Units!$Q61),1,Inputs!$B$15)*Inputs!$B$16*(1+Inputs!$B$11)^(AZ$2-1),0)</f>
        <v>0</v>
      </c>
      <c r="BA62" s="11" t="n">
        <f aca="false">IF(AND(BA$1&gt;=Units!$Q61,MOD(BA$1-Units!$Q61,12)=0),IF(AND(Units!$L61=1,BA$1=Units!$Q61),1,Inputs!$B$15)*Inputs!$B$16*(1+Inputs!$B$11)^(BA$2-1),0)</f>
        <v>0</v>
      </c>
      <c r="BB62" s="11" t="n">
        <f aca="false">IF(AND(BB$1&gt;=Units!$Q61,MOD(BB$1-Units!$Q61,12)=0),IF(AND(Units!$L61=1,BB$1=Units!$Q61),1,Inputs!$B$15)*Inputs!$B$16*(1+Inputs!$B$11)^(BB$2-1),0)</f>
        <v>0</v>
      </c>
      <c r="BC62" s="11" t="n">
        <f aca="false">IF(AND(BC$1&gt;=Units!$Q61,MOD(BC$1-Units!$Q61,12)=0),IF(AND(Units!$L61=1,BC$1=Units!$Q61),1,Inputs!$B$15)*Inputs!$B$16*(1+Inputs!$B$11)^(BC$2-1),0)</f>
        <v>0</v>
      </c>
      <c r="BD62" s="11" t="n">
        <f aca="false">IF(AND(BD$1&gt;=Units!$Q61,MOD(BD$1-Units!$Q61,12)=0),IF(AND(Units!$L61=1,BD$1=Units!$Q61),1,Inputs!$B$15)*Inputs!$B$16*(1+Inputs!$B$11)^(BD$2-1),0)</f>
        <v>0</v>
      </c>
      <c r="BE62" s="11" t="n">
        <f aca="false">IF(AND(BE$1&gt;=Units!$Q61,MOD(BE$1-Units!$Q61,12)=0),IF(AND(Units!$L61=1,BE$1=Units!$Q61),1,Inputs!$B$15)*Inputs!$B$16*(1+Inputs!$B$11)^(BE$2-1),0)</f>
        <v>0</v>
      </c>
      <c r="BF62" s="11" t="n">
        <f aca="false">IF(AND(BF$1&gt;=Units!$Q61,MOD(BF$1-Units!$Q61,12)=0),IF(AND(Units!$L61=1,BF$1=Units!$Q61),1,Inputs!$B$15)*Inputs!$B$16*(1+Inputs!$B$11)^(BF$2-1),0)</f>
        <v>0</v>
      </c>
      <c r="BG62" s="11" t="n">
        <f aca="false">IF(AND(BG$1&gt;=Units!$Q61,MOD(BG$1-Units!$Q61,12)=0),IF(AND(Units!$L61=1,BG$1=Units!$Q61),1,Inputs!$B$15)*Inputs!$B$16*(1+Inputs!$B$11)^(BG$2-1),0)</f>
        <v>0</v>
      </c>
      <c r="BH62" s="11" t="n">
        <f aca="false">IF(AND(BH$1&gt;=Units!$Q61,MOD(BH$1-Units!$Q61,12)=0),IF(AND(Units!$L61=1,BH$1=Units!$Q61),1,Inputs!$B$15)*Inputs!$B$16*(1+Inputs!$B$11)^(BH$2-1),0)</f>
        <v>0</v>
      </c>
      <c r="BI62" s="11" t="n">
        <f aca="false">IF(AND(BI$1&gt;=Units!$Q61,MOD(BI$1-Units!$Q61,12)=0),IF(AND(Units!$L61=1,BI$1=Units!$Q61),1,Inputs!$B$15)*Inputs!$B$16*(1+Inputs!$B$11)^(BI$2-1),0)</f>
        <v>0</v>
      </c>
      <c r="BJ62" s="11" t="n">
        <f aca="false">IF(AND(BJ$1&gt;=Units!$Q61,MOD(BJ$1-Units!$Q61,12)=0),IF(AND(Units!$L61=1,BJ$1=Units!$Q61),1,Inputs!$B$15)*Inputs!$B$16*(1+Inputs!$B$11)^(BJ$2-1),0)</f>
        <v>0</v>
      </c>
      <c r="BK62" s="11" t="n">
        <f aca="false">IF(AND(BK$1&gt;=Units!$Q61,MOD(BK$1-Units!$Q61,12)=0),IF(AND(Units!$L61=1,BK$1=Units!$Q61),1,Inputs!$B$15)*Inputs!$B$16*(1+Inputs!$B$11)^(BK$2-1),0)</f>
        <v>579.63703715</v>
      </c>
      <c r="BL62" s="11" t="n">
        <f aca="false">IF(AND(BL$1&gt;=Units!$Q61,MOD(BL$1-Units!$Q61,12)=0),IF(AND(Units!$L61=1,BL$1=Units!$Q61),1,Inputs!$B$15)*Inputs!$B$16*(1+Inputs!$B$11)^(BL$2-1),0)</f>
        <v>0</v>
      </c>
      <c r="BM62" s="11" t="n">
        <f aca="false">IF(AND(BM$1&gt;=Units!$Q61,MOD(BM$1-Units!$Q61,12)=0),IF(AND(Units!$L61=1,BM$1=Units!$Q61),1,Inputs!$B$15)*Inputs!$B$16*(1+Inputs!$B$11)^(BM$2-1),0)</f>
        <v>0</v>
      </c>
      <c r="BN62" s="11" t="n">
        <f aca="false">IF(AND(BN$1&gt;=Units!$Q61,MOD(BN$1-Units!$Q61,12)=0),IF(AND(Units!$L61=1,BN$1=Units!$Q61),1,Inputs!$B$15)*Inputs!$B$16*(1+Inputs!$B$11)^(BN$2-1),0)</f>
        <v>0</v>
      </c>
      <c r="BO62" s="11" t="n">
        <f aca="false">IF(AND(BO$1&gt;=Units!$Q61,MOD(BO$1-Units!$Q61,12)=0),IF(AND(Units!$L61=1,BO$1=Units!$Q61),1,Inputs!$B$15)*Inputs!$B$16*(1+Inputs!$B$11)^(BO$2-1),0)</f>
        <v>0</v>
      </c>
      <c r="BP62" s="11" t="n">
        <f aca="false">IF(AND(BP$1&gt;=Units!$Q61,MOD(BP$1-Units!$Q61,12)=0),IF(AND(Units!$L61=1,BP$1=Units!$Q61),1,Inputs!$B$15)*Inputs!$B$16*(1+Inputs!$B$11)^(BP$2-1),0)</f>
        <v>0</v>
      </c>
      <c r="BQ62" s="11" t="n">
        <f aca="false">IF(AND(BQ$1&gt;=Units!$Q61,MOD(BQ$1-Units!$Q61,12)=0),IF(AND(Units!$L61=1,BQ$1=Units!$Q61),1,Inputs!$B$15)*Inputs!$B$16*(1+Inputs!$B$11)^(BQ$2-1),0)</f>
        <v>0</v>
      </c>
      <c r="BR62" s="11" t="n">
        <f aca="false">IF(AND(BR$1&gt;=Units!$Q61,MOD(BR$1-Units!$Q61,12)=0),IF(AND(Units!$L61=1,BR$1=Units!$Q61),1,Inputs!$B$15)*Inputs!$B$16*(1+Inputs!$B$11)^(BR$2-1),0)</f>
        <v>0</v>
      </c>
      <c r="BS62" s="11" t="n">
        <f aca="false">IF(AND(BS$1&gt;=Units!$Q61,MOD(BS$1-Units!$Q61,12)=0),IF(AND(Units!$L61=1,BS$1=Units!$Q61),1,Inputs!$B$15)*Inputs!$B$16*(1+Inputs!$B$11)^(BS$2-1),0)</f>
        <v>0</v>
      </c>
      <c r="BT62" s="11" t="n">
        <f aca="false">IF(AND(BT$1&gt;=Units!$Q61,MOD(BT$1-Units!$Q61,12)=0),IF(AND(Units!$L61=1,BT$1=Units!$Q61),1,Inputs!$B$15)*Inputs!$B$16*(1+Inputs!$B$11)^(BT$2-1),0)</f>
        <v>0</v>
      </c>
      <c r="BU62" s="11" t="n">
        <f aca="false">IF(AND(BU$1&gt;=Units!$Q61,MOD(BU$1-Units!$Q61,12)=0),IF(AND(Units!$L61=1,BU$1=Units!$Q61),1,Inputs!$B$15)*Inputs!$B$16*(1+Inputs!$B$11)^(BU$2-1),0)</f>
        <v>0</v>
      </c>
      <c r="BV62" s="11" t="n">
        <f aca="false">IF(AND(BV$1&gt;=Units!$Q61,MOD(BV$1-Units!$Q61,12)=0),IF(AND(Units!$L61=1,BV$1=Units!$Q61),1,Inputs!$B$15)*Inputs!$B$16*(1+Inputs!$B$11)^(BV$2-1),0)</f>
        <v>0</v>
      </c>
      <c r="BW62" s="11" t="n">
        <f aca="false">IF(AND(BW$1&gt;=Units!$Q61,MOD(BW$1-Units!$Q61,12)=0),IF(AND(Units!$L61=1,BW$1=Units!$Q61),1,Inputs!$B$15)*Inputs!$B$16*(1+Inputs!$B$11)^(BW$2-1),0)</f>
        <v>597.0261482645</v>
      </c>
      <c r="BX62" s="11" t="n">
        <f aca="false">IF(AND(BX$1&gt;=Units!$Q61,MOD(BX$1-Units!$Q61,12)=0),IF(AND(Units!$L61=1,BX$1=Units!$Q61),1,Inputs!$B$15)*Inputs!$B$16*(1+Inputs!$B$11)^(BX$2-1),0)</f>
        <v>0</v>
      </c>
      <c r="BY62" s="11" t="n">
        <f aca="false">IF(AND(BY$1&gt;=Units!$Q61,MOD(BY$1-Units!$Q61,12)=0),IF(AND(Units!$L61=1,BY$1=Units!$Q61),1,Inputs!$B$15)*Inputs!$B$16*(1+Inputs!$B$11)^(BY$2-1),0)</f>
        <v>0</v>
      </c>
      <c r="BZ62" s="11" t="n">
        <f aca="false">IF(AND(BZ$1&gt;=Units!$Q61,MOD(BZ$1-Units!$Q61,12)=0),IF(AND(Units!$L61=1,BZ$1=Units!$Q61),1,Inputs!$B$15)*Inputs!$B$16*(1+Inputs!$B$11)^(BZ$2-1),0)</f>
        <v>0</v>
      </c>
      <c r="CA62" s="11" t="n">
        <f aca="false">IF(AND(CA$1&gt;=Units!$Q61,MOD(CA$1-Units!$Q61,12)=0),IF(AND(Units!$L61=1,CA$1=Units!$Q61),1,Inputs!$B$15)*Inputs!$B$16*(1+Inputs!$B$11)^(CA$2-1),0)</f>
        <v>0</v>
      </c>
      <c r="CB62" s="11" t="n">
        <f aca="false">IF(AND(CB$1&gt;=Units!$Q61,MOD(CB$1-Units!$Q61,12)=0),IF(AND(Units!$L61=1,CB$1=Units!$Q61),1,Inputs!$B$15)*Inputs!$B$16*(1+Inputs!$B$11)^(CB$2-1),0)</f>
        <v>0</v>
      </c>
      <c r="CC62" s="11" t="n">
        <f aca="false">IF(AND(CC$1&gt;=Units!$Q61,MOD(CC$1-Units!$Q61,12)=0),IF(AND(Units!$L61=1,CC$1=Units!$Q61),1,Inputs!$B$15)*Inputs!$B$16*(1+Inputs!$B$11)^(CC$2-1),0)</f>
        <v>0</v>
      </c>
      <c r="CD62" s="11" t="n">
        <f aca="false">IF(AND(CD$1&gt;=Units!$Q61,MOD(CD$1-Units!$Q61,12)=0),IF(AND(Units!$L61=1,CD$1=Units!$Q61),1,Inputs!$B$15)*Inputs!$B$16*(1+Inputs!$B$11)^(CD$2-1),0)</f>
        <v>0</v>
      </c>
      <c r="CE62" s="11" t="n">
        <f aca="false">IF(AND(CE$1&gt;=Units!$Q61,MOD(CE$1-Units!$Q61,12)=0),IF(AND(Units!$L61=1,CE$1=Units!$Q61),1,Inputs!$B$15)*Inputs!$B$16*(1+Inputs!$B$11)^(CE$2-1),0)</f>
        <v>0</v>
      </c>
      <c r="CF62" s="11" t="n">
        <f aca="false">IF(AND(CF$1&gt;=Units!$Q61,MOD(CF$1-Units!$Q61,12)=0),IF(AND(Units!$L61=1,CF$1=Units!$Q61),1,Inputs!$B$15)*Inputs!$B$16*(1+Inputs!$B$11)^(CF$2-1),0)</f>
        <v>0</v>
      </c>
      <c r="CG62" s="11" t="n">
        <f aca="false">IF(AND(CG$1&gt;=Units!$Q61,MOD(CG$1-Units!$Q61,12)=0),IF(AND(Units!$L61=1,CG$1=Units!$Q61),1,Inputs!$B$15)*Inputs!$B$16*(1+Inputs!$B$11)^(CG$2-1),0)</f>
        <v>0</v>
      </c>
      <c r="CH62" s="11" t="n">
        <f aca="false">IF(AND(CH$1&gt;=Units!$Q61,MOD(CH$1-Units!$Q61,12)=0),IF(AND(Units!$L61=1,CH$1=Units!$Q61),1,Inputs!$B$15)*Inputs!$B$16*(1+Inputs!$B$11)^(CH$2-1),0)</f>
        <v>0</v>
      </c>
      <c r="CI62" s="11" t="n">
        <f aca="false">IF(AND(CI$1&gt;=Units!$Q61,MOD(CI$1-Units!$Q61,12)=0),IF(AND(Units!$L61=1,CI$1=Units!$Q61),1,Inputs!$B$15)*Inputs!$B$16*(1+Inputs!$B$11)^(CI$2-1),0)</f>
        <v>614.936932712435</v>
      </c>
      <c r="CJ62" s="11" t="n">
        <f aca="false">IF(AND(CJ$1&gt;=Units!$Q61,MOD(CJ$1-Units!$Q61,12)=0),IF(AND(Units!$L61=1,CJ$1=Units!$Q61),1,Inputs!$B$15)*Inputs!$B$16*(1+Inputs!$B$11)^(CJ$2-1),0)</f>
        <v>0</v>
      </c>
      <c r="CK62" s="11" t="n">
        <f aca="false">IF(AND(CK$1&gt;=Units!$Q61,MOD(CK$1-Units!$Q61,12)=0),IF(AND(Units!$L61=1,CK$1=Units!$Q61),1,Inputs!$B$15)*Inputs!$B$16*(1+Inputs!$B$11)^(CK$2-1),0)</f>
        <v>0</v>
      </c>
      <c r="CL62" s="11" t="n">
        <f aca="false">IF(AND(CL$1&gt;=Units!$Q61,MOD(CL$1-Units!$Q61,12)=0),IF(AND(Units!$L61=1,CL$1=Units!$Q61),1,Inputs!$B$15)*Inputs!$B$16*(1+Inputs!$B$11)^(CL$2-1),0)</f>
        <v>0</v>
      </c>
      <c r="CM62" s="11" t="n">
        <f aca="false">IF(AND(CM$1&gt;=Units!$Q61,MOD(CM$1-Units!$Q61,12)=0),IF(AND(Units!$L61=1,CM$1=Units!$Q61),1,Inputs!$B$15)*Inputs!$B$16*(1+Inputs!$B$11)^(CM$2-1),0)</f>
        <v>0</v>
      </c>
      <c r="CN62" s="11" t="n">
        <f aca="false">IF(AND(CN$1&gt;=Units!$Q61,MOD(CN$1-Units!$Q61,12)=0),IF(AND(Units!$L61=1,CN$1=Units!$Q61),1,Inputs!$B$15)*Inputs!$B$16*(1+Inputs!$B$11)^(CN$2-1),0)</f>
        <v>0</v>
      </c>
      <c r="CO62" s="11" t="n">
        <f aca="false">IF(AND(CO$1&gt;=Units!$Q61,MOD(CO$1-Units!$Q61,12)=0),IF(AND(Units!$L61=1,CO$1=Units!$Q61),1,Inputs!$B$15)*Inputs!$B$16*(1+Inputs!$B$11)^(CO$2-1),0)</f>
        <v>0</v>
      </c>
      <c r="CP62" s="11" t="n">
        <f aca="false">IF(AND(CP$1&gt;=Units!$Q61,MOD(CP$1-Units!$Q61,12)=0),IF(AND(Units!$L61=1,CP$1=Units!$Q61),1,Inputs!$B$15)*Inputs!$B$16*(1+Inputs!$B$11)^(CP$2-1),0)</f>
        <v>0</v>
      </c>
      <c r="CQ62" s="11" t="n">
        <f aca="false">IF(AND(CQ$1&gt;=Units!$Q61,MOD(CQ$1-Units!$Q61,12)=0),IF(AND(Units!$L61=1,CQ$1=Units!$Q61),1,Inputs!$B$15)*Inputs!$B$16*(1+Inputs!$B$11)^(CQ$2-1),0)</f>
        <v>0</v>
      </c>
      <c r="CR62" s="11" t="n">
        <f aca="false">IF(AND(CR$1&gt;=Units!$Q61,MOD(CR$1-Units!$Q61,12)=0),IF(AND(Units!$L61=1,CR$1=Units!$Q61),1,Inputs!$B$15)*Inputs!$B$16*(1+Inputs!$B$11)^(CR$2-1),0)</f>
        <v>0</v>
      </c>
      <c r="CS62" s="11" t="n">
        <f aca="false">IF(AND(CS$1&gt;=Units!$Q61,MOD(CS$1-Units!$Q61,12)=0),IF(AND(Units!$L61=1,CS$1=Units!$Q61),1,Inputs!$B$15)*Inputs!$B$16*(1+Inputs!$B$11)^(CS$2-1),0)</f>
        <v>0</v>
      </c>
      <c r="CT62" s="11" t="n">
        <f aca="false">IF(AND(CT$1&gt;=Units!$Q61,MOD(CT$1-Units!$Q61,12)=0),IF(AND(Units!$L61=1,CT$1=Units!$Q61),1,Inputs!$B$15)*Inputs!$B$16*(1+Inputs!$B$11)^(CT$2-1),0)</f>
        <v>0</v>
      </c>
      <c r="CU62" s="11" t="n">
        <f aca="false">IF(AND(CU$1&gt;=Units!$Q61,MOD(CU$1-Units!$Q61,12)=0),IF(AND(Units!$L61=1,CU$1=Units!$Q61),1,Inputs!$B$15)*Inputs!$B$16*(1+Inputs!$B$11)^(CU$2-1),0)</f>
        <v>633.385040693808</v>
      </c>
      <c r="CV62" s="11" t="n">
        <f aca="false">IF(AND(CV$1&gt;=Units!$Q61,MOD(CV$1-Units!$Q61,12)=0),IF(AND(Units!$L61=1,CV$1=Units!$Q61),1,Inputs!$B$15)*Inputs!$B$16*(1+Inputs!$B$11)^(CV$2-1),0)</f>
        <v>0</v>
      </c>
      <c r="CW62" s="11" t="n">
        <f aca="false">IF(AND(CW$1&gt;=Units!$Q61,MOD(CW$1-Units!$Q61,12)=0),IF(AND(Units!$L61=1,CW$1=Units!$Q61),1,Inputs!$B$15)*Inputs!$B$16*(1+Inputs!$B$11)^(CW$2-1),0)</f>
        <v>0</v>
      </c>
      <c r="CX62" s="11" t="n">
        <f aca="false">IF(AND(CX$1&gt;=Units!$Q61,MOD(CX$1-Units!$Q61,12)=0),IF(AND(Units!$L61=1,CX$1=Units!$Q61),1,Inputs!$B$15)*Inputs!$B$16*(1+Inputs!$B$11)^(CX$2-1),0)</f>
        <v>0</v>
      </c>
      <c r="CY62" s="11" t="n">
        <f aca="false">IF(AND(CY$1&gt;=Units!$Q61,MOD(CY$1-Units!$Q61,12)=0),IF(AND(Units!$L61=1,CY$1=Units!$Q61),1,Inputs!$B$15)*Inputs!$B$16*(1+Inputs!$B$11)^(CY$2-1),0)</f>
        <v>0</v>
      </c>
      <c r="CZ62" s="11" t="n">
        <f aca="false">IF(AND(CZ$1&gt;=Units!$Q61,MOD(CZ$1-Units!$Q61,12)=0),IF(AND(Units!$L61=1,CZ$1=Units!$Q61),1,Inputs!$B$15)*Inputs!$B$16*(1+Inputs!$B$11)^(CZ$2-1),0)</f>
        <v>0</v>
      </c>
      <c r="DA62" s="11" t="n">
        <f aca="false">IF(AND(DA$1&gt;=Units!$Q61,MOD(DA$1-Units!$Q61,12)=0),IF(AND(Units!$L61=1,DA$1=Units!$Q61),1,Inputs!$B$15)*Inputs!$B$16*(1+Inputs!$B$11)^(DA$2-1),0)</f>
        <v>0</v>
      </c>
      <c r="DB62" s="11" t="n">
        <f aca="false">IF(AND(DB$1&gt;=Units!$Q61,MOD(DB$1-Units!$Q61,12)=0),IF(AND(Units!$L61=1,DB$1=Units!$Q61),1,Inputs!$B$15)*Inputs!$B$16*(1+Inputs!$B$11)^(DB$2-1),0)</f>
        <v>0</v>
      </c>
      <c r="DC62" s="11" t="n">
        <f aca="false">IF(AND(DC$1&gt;=Units!$Q61,MOD(DC$1-Units!$Q61,12)=0),IF(AND(Units!$L61=1,DC$1=Units!$Q61),1,Inputs!$B$15)*Inputs!$B$16*(1+Inputs!$B$11)^(DC$2-1),0)</f>
        <v>0</v>
      </c>
      <c r="DD62" s="11" t="n">
        <f aca="false">IF(AND(DD$1&gt;=Units!$Q61,MOD(DD$1-Units!$Q61,12)=0),IF(AND(Units!$L61=1,DD$1=Units!$Q61),1,Inputs!$B$15)*Inputs!$B$16*(1+Inputs!$B$11)^(DD$2-1),0)</f>
        <v>0</v>
      </c>
      <c r="DE62" s="11" t="n">
        <f aca="false">IF(AND(DE$1&gt;=Units!$Q61,MOD(DE$1-Units!$Q61,12)=0),IF(AND(Units!$L61=1,DE$1=Units!$Q61),1,Inputs!$B$15)*Inputs!$B$16*(1+Inputs!$B$11)^(DE$2-1),0)</f>
        <v>0</v>
      </c>
      <c r="DF62" s="11" t="n">
        <f aca="false">IF(AND(DF$1&gt;=Units!$Q61,MOD(DF$1-Units!$Q61,12)=0),IF(AND(Units!$L61=1,DF$1=Units!$Q61),1,Inputs!$B$15)*Inputs!$B$16*(1+Inputs!$B$11)^(DF$2-1),0)</f>
        <v>0</v>
      </c>
      <c r="DG62" s="11" t="n">
        <f aca="false">IF(AND(DG$1&gt;=Units!$Q61,MOD(DG$1-Units!$Q61,12)=0),IF(AND(Units!$L61=1,DG$1=Units!$Q61),1,Inputs!$B$15)*Inputs!$B$16*(1+Inputs!$B$11)^(DG$2-1),0)</f>
        <v>652.386591914623</v>
      </c>
      <c r="DH62" s="11" t="n">
        <f aca="false">IF(AND(DH$1&gt;=Units!$Q61,MOD(DH$1-Units!$Q61,12)=0),IF(AND(Units!$L61=1,DH$1=Units!$Q61),1,Inputs!$B$15)*Inputs!$B$16*(1+Inputs!$B$11)^(DH$2-1),0)</f>
        <v>0</v>
      </c>
      <c r="DI62" s="11" t="n">
        <f aca="false">IF(AND(DI$1&gt;=Units!$Q61,MOD(DI$1-Units!$Q61,12)=0),IF(AND(Units!$L61=1,DI$1=Units!$Q61),1,Inputs!$B$15)*Inputs!$B$16*(1+Inputs!$B$11)^(DI$2-1),0)</f>
        <v>0</v>
      </c>
      <c r="DJ62" s="11" t="n">
        <f aca="false">IF(AND(DJ$1&gt;=Units!$Q61,MOD(DJ$1-Units!$Q61,12)=0),IF(AND(Units!$L61=1,DJ$1=Units!$Q61),1,Inputs!$B$15)*Inputs!$B$16*(1+Inputs!$B$11)^(DJ$2-1),0)</f>
        <v>0</v>
      </c>
      <c r="DK62" s="11" t="n">
        <f aca="false">IF(AND(DK$1&gt;=Units!$Q61,MOD(DK$1-Units!$Q61,12)=0),IF(AND(Units!$L61=1,DK$1=Units!$Q61),1,Inputs!$B$15)*Inputs!$B$16*(1+Inputs!$B$11)^(DK$2-1),0)</f>
        <v>0</v>
      </c>
      <c r="DL62" s="11" t="n">
        <f aca="false">IF(AND(DL$1&gt;=Units!$Q61,MOD(DL$1-Units!$Q61,12)=0),IF(AND(Units!$L61=1,DL$1=Units!$Q61),1,Inputs!$B$15)*Inputs!$B$16*(1+Inputs!$B$11)^(DL$2-1),0)</f>
        <v>0</v>
      </c>
      <c r="DM62" s="11" t="n">
        <f aca="false">IF(AND(DM$1&gt;=Units!$Q61,MOD(DM$1-Units!$Q61,12)=0),IF(AND(Units!$L61=1,DM$1=Units!$Q61),1,Inputs!$B$15)*Inputs!$B$16*(1+Inputs!$B$11)^(DM$2-1),0)</f>
        <v>0</v>
      </c>
      <c r="DN62" s="11" t="n">
        <f aca="false">IF(AND(DN$1&gt;=Units!$Q61,MOD(DN$1-Units!$Q61,12)=0),IF(AND(Units!$L61=1,DN$1=Units!$Q61),1,Inputs!$B$15)*Inputs!$B$16*(1+Inputs!$B$11)^(DN$2-1),0)</f>
        <v>0</v>
      </c>
      <c r="DO62" s="11" t="n">
        <f aca="false">IF(AND(DO$1&gt;=Units!$Q61,MOD(DO$1-Units!$Q61,12)=0),IF(AND(Units!$L61=1,DO$1=Units!$Q61),1,Inputs!$B$15)*Inputs!$B$16*(1+Inputs!$B$11)^(DO$2-1),0)</f>
        <v>0</v>
      </c>
      <c r="DP62" s="11" t="n">
        <f aca="false">IF(AND(DP$1&gt;=Units!$Q61,MOD(DP$1-Units!$Q61,12)=0),IF(AND(Units!$L61=1,DP$1=Units!$Q61),1,Inputs!$B$15)*Inputs!$B$16*(1+Inputs!$B$11)^(DP$2-1),0)</f>
        <v>0</v>
      </c>
      <c r="DQ62" s="11" t="n">
        <f aca="false">IF(AND(DQ$1&gt;=Units!$Q61,MOD(DQ$1-Units!$Q61,12)=0),IF(AND(Units!$L61=1,DQ$1=Units!$Q61),1,Inputs!$B$15)*Inputs!$B$16*(1+Inputs!$B$11)^(DQ$2-1),0)</f>
        <v>0</v>
      </c>
      <c r="DR62" s="11" t="n">
        <f aca="false">IF(AND(DR$1&gt;=Units!$Q61,MOD(DR$1-Units!$Q61,12)=0),IF(AND(Units!$L61=1,DR$1=Units!$Q61),1,Inputs!$B$15)*Inputs!$B$16*(1+Inputs!$B$11)^(DR$2-1),0)</f>
        <v>0</v>
      </c>
      <c r="DS62" s="11" t="n">
        <f aca="false">IF(AND(DS$1&gt;=Units!$Q61,MOD(DS$1-Units!$Q61,12)=0),IF(AND(Units!$L61=1,DS$1=Units!$Q61),1,Inputs!$B$15)*Inputs!$B$16*(1+Inputs!$B$11)^(DS$2-1),0)</f>
        <v>671.958189672061</v>
      </c>
      <c r="DT62" s="11" t="n">
        <f aca="false">IF(AND(DT$1&gt;=Units!$Q61,MOD(DT$1-Units!$Q61,12)=0),IF(AND(Units!$L61=1,DT$1=Units!$Q61),1,Inputs!$B$15)*Inputs!$B$16*(1+Inputs!$B$11)^(DT$2-1),0)</f>
        <v>0</v>
      </c>
      <c r="DU62" s="11" t="n">
        <f aca="false">IF(AND(DU$1&gt;=Units!$Q61,MOD(DU$1-Units!$Q61,12)=0),IF(AND(Units!$L61=1,DU$1=Units!$Q61),1,Inputs!$B$15)*Inputs!$B$16*(1+Inputs!$B$11)^(DU$2-1),0)</f>
        <v>0</v>
      </c>
      <c r="DV62" s="11" t="n">
        <f aca="false">IF(AND(DV$1&gt;=Units!$Q61,MOD(DV$1-Units!$Q61,12)=0),IF(AND(Units!$L61=1,DV$1=Units!$Q61),1,Inputs!$B$15)*Inputs!$B$16*(1+Inputs!$B$11)^(DV$2-1),0)</f>
        <v>0</v>
      </c>
      <c r="DW62" s="11" t="n">
        <f aca="false">IF(AND(DW$1&gt;=Units!$Q61,MOD(DW$1-Units!$Q61,12)=0),IF(AND(Units!$L61=1,DW$1=Units!$Q61),1,Inputs!$B$15)*Inputs!$B$16*(1+Inputs!$B$11)^(DW$2-1),0)</f>
        <v>0</v>
      </c>
      <c r="DX62" s="11" t="n">
        <f aca="false">IF(AND(DX$1&gt;=Units!$Q61,MOD(DX$1-Units!$Q61,12)=0),IF(AND(Units!$L61=1,DX$1=Units!$Q61),1,Inputs!$B$15)*Inputs!$B$16*(1+Inputs!$B$11)^(DX$2-1),0)</f>
        <v>0</v>
      </c>
      <c r="DY62" s="11" t="n">
        <f aca="false">IF(AND(DY$1&gt;=Units!$Q61,MOD(DY$1-Units!$Q61,12)=0),IF(AND(Units!$L61=1,DY$1=Units!$Q61),1,Inputs!$B$15)*Inputs!$B$16*(1+Inputs!$B$11)^(DY$2-1),0)</f>
        <v>0</v>
      </c>
      <c r="DZ62" s="11" t="n">
        <f aca="false">IF(AND(DZ$1&gt;=Units!$Q61,MOD(DZ$1-Units!$Q61,12)=0),IF(AND(Units!$L61=1,DZ$1=Units!$Q61),1,Inputs!$B$15)*Inputs!$B$16*(1+Inputs!$B$11)^(DZ$2-1),0)</f>
        <v>0</v>
      </c>
      <c r="EA62" s="11" t="n">
        <f aca="false">IF(AND(EA$1&gt;=Units!$Q61,MOD(EA$1-Units!$Q61,12)=0),IF(AND(Units!$L61=1,EA$1=Units!$Q61),1,Inputs!$B$15)*Inputs!$B$16*(1+Inputs!$B$11)^(EA$2-1),0)</f>
        <v>0</v>
      </c>
      <c r="EB62" s="11" t="n">
        <f aca="false">IF(AND(EB$1&gt;=Units!$Q61,MOD(EB$1-Units!$Q61,12)=0),IF(AND(Units!$L61=1,EB$1=Units!$Q61),1,Inputs!$B$15)*Inputs!$B$16*(1+Inputs!$B$11)^(EB$2-1),0)</f>
        <v>0</v>
      </c>
      <c r="EC62" s="11" t="n">
        <f aca="false">IF(AND(EC$1&gt;=Units!$Q61,MOD(EC$1-Units!$Q61,12)=0),IF(AND(Units!$L61=1,EC$1=Units!$Q61),1,Inputs!$B$15)*Inputs!$B$16*(1+Inputs!$B$11)^(EC$2-1),0)</f>
        <v>0</v>
      </c>
      <c r="ED62" s="11" t="n">
        <f aca="false">IF(AND(ED$1&gt;=Units!$Q61,MOD(ED$1-Units!$Q61,12)=0),IF(AND(Units!$L61=1,ED$1=Units!$Q61),1,Inputs!$B$15)*Inputs!$B$16*(1+Inputs!$B$11)^(ED$2-1),0)</f>
        <v>0</v>
      </c>
    </row>
    <row r="63" customFormat="false" ht="15" hidden="false" customHeight="false" outlineLevel="0" collapsed="false">
      <c r="A63" s="22" t="n">
        <f aca="false">Units!A62</f>
        <v>301</v>
      </c>
      <c r="B63" s="23"/>
      <c r="C63" s="11" t="n">
        <f aca="false">IF(AND(C$1&gt;=Units!$Q62,MOD(C$1-Units!$Q62,12)=0),IF(AND(Units!$L62=1,C$1=Units!$Q62),1,Inputs!$B$15)*Inputs!$B$16*(1+Inputs!$B$11)^(C$2-1),0)</f>
        <v>500</v>
      </c>
      <c r="D63" s="11" t="n">
        <f aca="false">IF(AND(D$1&gt;=Units!$Q62,MOD(D$1-Units!$Q62,12)=0),IF(AND(Units!$L62=1,D$1=Units!$Q62),1,Inputs!$B$15)*Inputs!$B$16*(1+Inputs!$B$11)^(D$2-1),0)</f>
        <v>0</v>
      </c>
      <c r="E63" s="11" t="n">
        <f aca="false">IF(AND(E$1&gt;=Units!$Q62,MOD(E$1-Units!$Q62,12)=0),IF(AND(Units!$L62=1,E$1=Units!$Q62),1,Inputs!$B$15)*Inputs!$B$16*(1+Inputs!$B$11)^(E$2-1),0)</f>
        <v>0</v>
      </c>
      <c r="F63" s="11" t="n">
        <f aca="false">IF(AND(F$1&gt;=Units!$Q62,MOD(F$1-Units!$Q62,12)=0),IF(AND(Units!$L62=1,F$1=Units!$Q62),1,Inputs!$B$15)*Inputs!$B$16*(1+Inputs!$B$11)^(F$2-1),0)</f>
        <v>0</v>
      </c>
      <c r="G63" s="11" t="n">
        <f aca="false">IF(AND(G$1&gt;=Units!$Q62,MOD(G$1-Units!$Q62,12)=0),IF(AND(Units!$L62=1,G$1=Units!$Q62),1,Inputs!$B$15)*Inputs!$B$16*(1+Inputs!$B$11)^(G$2-1),0)</f>
        <v>0</v>
      </c>
      <c r="H63" s="11" t="n">
        <f aca="false">IF(AND(H$1&gt;=Units!$Q62,MOD(H$1-Units!$Q62,12)=0),IF(AND(Units!$L62=1,H$1=Units!$Q62),1,Inputs!$B$15)*Inputs!$B$16*(1+Inputs!$B$11)^(H$2-1),0)</f>
        <v>0</v>
      </c>
      <c r="I63" s="11" t="n">
        <f aca="false">IF(AND(I$1&gt;=Units!$Q62,MOD(I$1-Units!$Q62,12)=0),IF(AND(Units!$L62=1,I$1=Units!$Q62),1,Inputs!$B$15)*Inputs!$B$16*(1+Inputs!$B$11)^(I$2-1),0)</f>
        <v>0</v>
      </c>
      <c r="J63" s="11" t="n">
        <f aca="false">IF(AND(J$1&gt;=Units!$Q62,MOD(J$1-Units!$Q62,12)=0),IF(AND(Units!$L62=1,J$1=Units!$Q62),1,Inputs!$B$15)*Inputs!$B$16*(1+Inputs!$B$11)^(J$2-1),0)</f>
        <v>0</v>
      </c>
      <c r="K63" s="11" t="n">
        <f aca="false">IF(AND(K$1&gt;=Units!$Q62,MOD(K$1-Units!$Q62,12)=0),IF(AND(Units!$L62=1,K$1=Units!$Q62),1,Inputs!$B$15)*Inputs!$B$16*(1+Inputs!$B$11)^(K$2-1),0)</f>
        <v>0</v>
      </c>
      <c r="L63" s="11" t="n">
        <f aca="false">IF(AND(L$1&gt;=Units!$Q62,MOD(L$1-Units!$Q62,12)=0),IF(AND(Units!$L62=1,L$1=Units!$Q62),1,Inputs!$B$15)*Inputs!$B$16*(1+Inputs!$B$11)^(L$2-1),0)</f>
        <v>0</v>
      </c>
      <c r="M63" s="11" t="n">
        <f aca="false">IF(AND(M$1&gt;=Units!$Q62,MOD(M$1-Units!$Q62,12)=0),IF(AND(Units!$L62=1,M$1=Units!$Q62),1,Inputs!$B$15)*Inputs!$B$16*(1+Inputs!$B$11)^(M$2-1),0)</f>
        <v>0</v>
      </c>
      <c r="N63" s="11" t="n">
        <f aca="false">IF(AND(N$1&gt;=Units!$Q62,MOD(N$1-Units!$Q62,12)=0),IF(AND(Units!$L62=1,N$1=Units!$Q62),1,Inputs!$B$15)*Inputs!$B$16*(1+Inputs!$B$11)^(N$2-1),0)</f>
        <v>0</v>
      </c>
      <c r="O63" s="11" t="n">
        <f aca="false">IF(AND(O$1&gt;=Units!$Q62,MOD(O$1-Units!$Q62,12)=0),IF(AND(Units!$L62=1,O$1=Units!$Q62),1,Inputs!$B$15)*Inputs!$B$16*(1+Inputs!$B$11)^(O$2-1),0)</f>
        <v>515</v>
      </c>
      <c r="P63" s="11" t="n">
        <f aca="false">IF(AND(P$1&gt;=Units!$Q62,MOD(P$1-Units!$Q62,12)=0),IF(AND(Units!$L62=1,P$1=Units!$Q62),1,Inputs!$B$15)*Inputs!$B$16*(1+Inputs!$B$11)^(P$2-1),0)</f>
        <v>0</v>
      </c>
      <c r="Q63" s="11" t="n">
        <f aca="false">IF(AND(Q$1&gt;=Units!$Q62,MOD(Q$1-Units!$Q62,12)=0),IF(AND(Units!$L62=1,Q$1=Units!$Q62),1,Inputs!$B$15)*Inputs!$B$16*(1+Inputs!$B$11)^(Q$2-1),0)</f>
        <v>0</v>
      </c>
      <c r="R63" s="11" t="n">
        <f aca="false">IF(AND(R$1&gt;=Units!$Q62,MOD(R$1-Units!$Q62,12)=0),IF(AND(Units!$L62=1,R$1=Units!$Q62),1,Inputs!$B$15)*Inputs!$B$16*(1+Inputs!$B$11)^(R$2-1),0)</f>
        <v>0</v>
      </c>
      <c r="S63" s="11" t="n">
        <f aca="false">IF(AND(S$1&gt;=Units!$Q62,MOD(S$1-Units!$Q62,12)=0),IF(AND(Units!$L62=1,S$1=Units!$Q62),1,Inputs!$B$15)*Inputs!$B$16*(1+Inputs!$B$11)^(S$2-1),0)</f>
        <v>0</v>
      </c>
      <c r="T63" s="11" t="n">
        <f aca="false">IF(AND(T$1&gt;=Units!$Q62,MOD(T$1-Units!$Q62,12)=0),IF(AND(Units!$L62=1,T$1=Units!$Q62),1,Inputs!$B$15)*Inputs!$B$16*(1+Inputs!$B$11)^(T$2-1),0)</f>
        <v>0</v>
      </c>
      <c r="U63" s="11" t="n">
        <f aca="false">IF(AND(U$1&gt;=Units!$Q62,MOD(U$1-Units!$Q62,12)=0),IF(AND(Units!$L62=1,U$1=Units!$Q62),1,Inputs!$B$15)*Inputs!$B$16*(1+Inputs!$B$11)^(U$2-1),0)</f>
        <v>0</v>
      </c>
      <c r="V63" s="11" t="n">
        <f aca="false">IF(AND(V$1&gt;=Units!$Q62,MOD(V$1-Units!$Q62,12)=0),IF(AND(Units!$L62=1,V$1=Units!$Q62),1,Inputs!$B$15)*Inputs!$B$16*(1+Inputs!$B$11)^(V$2-1),0)</f>
        <v>0</v>
      </c>
      <c r="W63" s="11" t="n">
        <f aca="false">IF(AND(W$1&gt;=Units!$Q62,MOD(W$1-Units!$Q62,12)=0),IF(AND(Units!$L62=1,W$1=Units!$Q62),1,Inputs!$B$15)*Inputs!$B$16*(1+Inputs!$B$11)^(W$2-1),0)</f>
        <v>0</v>
      </c>
      <c r="X63" s="11" t="n">
        <f aca="false">IF(AND(X$1&gt;=Units!$Q62,MOD(X$1-Units!$Q62,12)=0),IF(AND(Units!$L62=1,X$1=Units!$Q62),1,Inputs!$B$15)*Inputs!$B$16*(1+Inputs!$B$11)^(X$2-1),0)</f>
        <v>0</v>
      </c>
      <c r="Y63" s="11" t="n">
        <f aca="false">IF(AND(Y$1&gt;=Units!$Q62,MOD(Y$1-Units!$Q62,12)=0),IF(AND(Units!$L62=1,Y$1=Units!$Q62),1,Inputs!$B$15)*Inputs!$B$16*(1+Inputs!$B$11)^(Y$2-1),0)</f>
        <v>0</v>
      </c>
      <c r="Z63" s="11" t="n">
        <f aca="false">IF(AND(Z$1&gt;=Units!$Q62,MOD(Z$1-Units!$Q62,12)=0),IF(AND(Units!$L62=1,Z$1=Units!$Q62),1,Inputs!$B$15)*Inputs!$B$16*(1+Inputs!$B$11)^(Z$2-1),0)</f>
        <v>0</v>
      </c>
      <c r="AA63" s="11" t="n">
        <f aca="false">IF(AND(AA$1&gt;=Units!$Q62,MOD(AA$1-Units!$Q62,12)=0),IF(AND(Units!$L62=1,AA$1=Units!$Q62),1,Inputs!$B$15)*Inputs!$B$16*(1+Inputs!$B$11)^(AA$2-1),0)</f>
        <v>530.45</v>
      </c>
      <c r="AB63" s="11" t="n">
        <f aca="false">IF(AND(AB$1&gt;=Units!$Q62,MOD(AB$1-Units!$Q62,12)=0),IF(AND(Units!$L62=1,AB$1=Units!$Q62),1,Inputs!$B$15)*Inputs!$B$16*(1+Inputs!$B$11)^(AB$2-1),0)</f>
        <v>0</v>
      </c>
      <c r="AC63" s="11" t="n">
        <f aca="false">IF(AND(AC$1&gt;=Units!$Q62,MOD(AC$1-Units!$Q62,12)=0),IF(AND(Units!$L62=1,AC$1=Units!$Q62),1,Inputs!$B$15)*Inputs!$B$16*(1+Inputs!$B$11)^(AC$2-1),0)</f>
        <v>0</v>
      </c>
      <c r="AD63" s="11" t="n">
        <f aca="false">IF(AND(AD$1&gt;=Units!$Q62,MOD(AD$1-Units!$Q62,12)=0),IF(AND(Units!$L62=1,AD$1=Units!$Q62),1,Inputs!$B$15)*Inputs!$B$16*(1+Inputs!$B$11)^(AD$2-1),0)</f>
        <v>0</v>
      </c>
      <c r="AE63" s="11" t="n">
        <f aca="false">IF(AND(AE$1&gt;=Units!$Q62,MOD(AE$1-Units!$Q62,12)=0),IF(AND(Units!$L62=1,AE$1=Units!$Q62),1,Inputs!$B$15)*Inputs!$B$16*(1+Inputs!$B$11)^(AE$2-1),0)</f>
        <v>0</v>
      </c>
      <c r="AF63" s="11" t="n">
        <f aca="false">IF(AND(AF$1&gt;=Units!$Q62,MOD(AF$1-Units!$Q62,12)=0),IF(AND(Units!$L62=1,AF$1=Units!$Q62),1,Inputs!$B$15)*Inputs!$B$16*(1+Inputs!$B$11)^(AF$2-1),0)</f>
        <v>0</v>
      </c>
      <c r="AG63" s="11" t="n">
        <f aca="false">IF(AND(AG$1&gt;=Units!$Q62,MOD(AG$1-Units!$Q62,12)=0),IF(AND(Units!$L62=1,AG$1=Units!$Q62),1,Inputs!$B$15)*Inputs!$B$16*(1+Inputs!$B$11)^(AG$2-1),0)</f>
        <v>0</v>
      </c>
      <c r="AH63" s="11" t="n">
        <f aca="false">IF(AND(AH$1&gt;=Units!$Q62,MOD(AH$1-Units!$Q62,12)=0),IF(AND(Units!$L62=1,AH$1=Units!$Q62),1,Inputs!$B$15)*Inputs!$B$16*(1+Inputs!$B$11)^(AH$2-1),0)</f>
        <v>0</v>
      </c>
      <c r="AI63" s="11" t="n">
        <f aca="false">IF(AND(AI$1&gt;=Units!$Q62,MOD(AI$1-Units!$Q62,12)=0),IF(AND(Units!$L62=1,AI$1=Units!$Q62),1,Inputs!$B$15)*Inputs!$B$16*(1+Inputs!$B$11)^(AI$2-1),0)</f>
        <v>0</v>
      </c>
      <c r="AJ63" s="11" t="n">
        <f aca="false">IF(AND(AJ$1&gt;=Units!$Q62,MOD(AJ$1-Units!$Q62,12)=0),IF(AND(Units!$L62=1,AJ$1=Units!$Q62),1,Inputs!$B$15)*Inputs!$B$16*(1+Inputs!$B$11)^(AJ$2-1),0)</f>
        <v>0</v>
      </c>
      <c r="AK63" s="11" t="n">
        <f aca="false">IF(AND(AK$1&gt;=Units!$Q62,MOD(AK$1-Units!$Q62,12)=0),IF(AND(Units!$L62=1,AK$1=Units!$Q62),1,Inputs!$B$15)*Inputs!$B$16*(1+Inputs!$B$11)^(AK$2-1),0)</f>
        <v>0</v>
      </c>
      <c r="AL63" s="11" t="n">
        <f aca="false">IF(AND(AL$1&gt;=Units!$Q62,MOD(AL$1-Units!$Q62,12)=0),IF(AND(Units!$L62=1,AL$1=Units!$Q62),1,Inputs!$B$15)*Inputs!$B$16*(1+Inputs!$B$11)^(AL$2-1),0)</f>
        <v>0</v>
      </c>
      <c r="AM63" s="11" t="n">
        <f aca="false">IF(AND(AM$1&gt;=Units!$Q62,MOD(AM$1-Units!$Q62,12)=0),IF(AND(Units!$L62=1,AM$1=Units!$Q62),1,Inputs!$B$15)*Inputs!$B$16*(1+Inputs!$B$11)^(AM$2-1),0)</f>
        <v>546.3635</v>
      </c>
      <c r="AN63" s="11" t="n">
        <f aca="false">IF(AND(AN$1&gt;=Units!$Q62,MOD(AN$1-Units!$Q62,12)=0),IF(AND(Units!$L62=1,AN$1=Units!$Q62),1,Inputs!$B$15)*Inputs!$B$16*(1+Inputs!$B$11)^(AN$2-1),0)</f>
        <v>0</v>
      </c>
      <c r="AO63" s="11" t="n">
        <f aca="false">IF(AND(AO$1&gt;=Units!$Q62,MOD(AO$1-Units!$Q62,12)=0),IF(AND(Units!$L62=1,AO$1=Units!$Q62),1,Inputs!$B$15)*Inputs!$B$16*(1+Inputs!$B$11)^(AO$2-1),0)</f>
        <v>0</v>
      </c>
      <c r="AP63" s="11" t="n">
        <f aca="false">IF(AND(AP$1&gt;=Units!$Q62,MOD(AP$1-Units!$Q62,12)=0),IF(AND(Units!$L62=1,AP$1=Units!$Q62),1,Inputs!$B$15)*Inputs!$B$16*(1+Inputs!$B$11)^(AP$2-1),0)</f>
        <v>0</v>
      </c>
      <c r="AQ63" s="11" t="n">
        <f aca="false">IF(AND(AQ$1&gt;=Units!$Q62,MOD(AQ$1-Units!$Q62,12)=0),IF(AND(Units!$L62=1,AQ$1=Units!$Q62),1,Inputs!$B$15)*Inputs!$B$16*(1+Inputs!$B$11)^(AQ$2-1),0)</f>
        <v>0</v>
      </c>
      <c r="AR63" s="11" t="n">
        <f aca="false">IF(AND(AR$1&gt;=Units!$Q62,MOD(AR$1-Units!$Q62,12)=0),IF(AND(Units!$L62=1,AR$1=Units!$Q62),1,Inputs!$B$15)*Inputs!$B$16*(1+Inputs!$B$11)^(AR$2-1),0)</f>
        <v>0</v>
      </c>
      <c r="AS63" s="11" t="n">
        <f aca="false">IF(AND(AS$1&gt;=Units!$Q62,MOD(AS$1-Units!$Q62,12)=0),IF(AND(Units!$L62=1,AS$1=Units!$Q62),1,Inputs!$B$15)*Inputs!$B$16*(1+Inputs!$B$11)^(AS$2-1),0)</f>
        <v>0</v>
      </c>
      <c r="AT63" s="11" t="n">
        <f aca="false">IF(AND(AT$1&gt;=Units!$Q62,MOD(AT$1-Units!$Q62,12)=0),IF(AND(Units!$L62=1,AT$1=Units!$Q62),1,Inputs!$B$15)*Inputs!$B$16*(1+Inputs!$B$11)^(AT$2-1),0)</f>
        <v>0</v>
      </c>
      <c r="AU63" s="11" t="n">
        <f aca="false">IF(AND(AU$1&gt;=Units!$Q62,MOD(AU$1-Units!$Q62,12)=0),IF(AND(Units!$L62=1,AU$1=Units!$Q62),1,Inputs!$B$15)*Inputs!$B$16*(1+Inputs!$B$11)^(AU$2-1),0)</f>
        <v>0</v>
      </c>
      <c r="AV63" s="11" t="n">
        <f aca="false">IF(AND(AV$1&gt;=Units!$Q62,MOD(AV$1-Units!$Q62,12)=0),IF(AND(Units!$L62=1,AV$1=Units!$Q62),1,Inputs!$B$15)*Inputs!$B$16*(1+Inputs!$B$11)^(AV$2-1),0)</f>
        <v>0</v>
      </c>
      <c r="AW63" s="11" t="n">
        <f aca="false">IF(AND(AW$1&gt;=Units!$Q62,MOD(AW$1-Units!$Q62,12)=0),IF(AND(Units!$L62=1,AW$1=Units!$Q62),1,Inputs!$B$15)*Inputs!$B$16*(1+Inputs!$B$11)^(AW$2-1),0)</f>
        <v>0</v>
      </c>
      <c r="AX63" s="11" t="n">
        <f aca="false">IF(AND(AX$1&gt;=Units!$Q62,MOD(AX$1-Units!$Q62,12)=0),IF(AND(Units!$L62=1,AX$1=Units!$Q62),1,Inputs!$B$15)*Inputs!$B$16*(1+Inputs!$B$11)^(AX$2-1),0)</f>
        <v>0</v>
      </c>
      <c r="AY63" s="11" t="n">
        <f aca="false">IF(AND(AY$1&gt;=Units!$Q62,MOD(AY$1-Units!$Q62,12)=0),IF(AND(Units!$L62=1,AY$1=Units!$Q62),1,Inputs!$B$15)*Inputs!$B$16*(1+Inputs!$B$11)^(AY$2-1),0)</f>
        <v>562.754405</v>
      </c>
      <c r="AZ63" s="11" t="n">
        <f aca="false">IF(AND(AZ$1&gt;=Units!$Q62,MOD(AZ$1-Units!$Q62,12)=0),IF(AND(Units!$L62=1,AZ$1=Units!$Q62),1,Inputs!$B$15)*Inputs!$B$16*(1+Inputs!$B$11)^(AZ$2-1),0)</f>
        <v>0</v>
      </c>
      <c r="BA63" s="11" t="n">
        <f aca="false">IF(AND(BA$1&gt;=Units!$Q62,MOD(BA$1-Units!$Q62,12)=0),IF(AND(Units!$L62=1,BA$1=Units!$Q62),1,Inputs!$B$15)*Inputs!$B$16*(1+Inputs!$B$11)^(BA$2-1),0)</f>
        <v>0</v>
      </c>
      <c r="BB63" s="11" t="n">
        <f aca="false">IF(AND(BB$1&gt;=Units!$Q62,MOD(BB$1-Units!$Q62,12)=0),IF(AND(Units!$L62=1,BB$1=Units!$Q62),1,Inputs!$B$15)*Inputs!$B$16*(1+Inputs!$B$11)^(BB$2-1),0)</f>
        <v>0</v>
      </c>
      <c r="BC63" s="11" t="n">
        <f aca="false">IF(AND(BC$1&gt;=Units!$Q62,MOD(BC$1-Units!$Q62,12)=0),IF(AND(Units!$L62=1,BC$1=Units!$Q62),1,Inputs!$B$15)*Inputs!$B$16*(1+Inputs!$B$11)^(BC$2-1),0)</f>
        <v>0</v>
      </c>
      <c r="BD63" s="11" t="n">
        <f aca="false">IF(AND(BD$1&gt;=Units!$Q62,MOD(BD$1-Units!$Q62,12)=0),IF(AND(Units!$L62=1,BD$1=Units!$Q62),1,Inputs!$B$15)*Inputs!$B$16*(1+Inputs!$B$11)^(BD$2-1),0)</f>
        <v>0</v>
      </c>
      <c r="BE63" s="11" t="n">
        <f aca="false">IF(AND(BE$1&gt;=Units!$Q62,MOD(BE$1-Units!$Q62,12)=0),IF(AND(Units!$L62=1,BE$1=Units!$Q62),1,Inputs!$B$15)*Inputs!$B$16*(1+Inputs!$B$11)^(BE$2-1),0)</f>
        <v>0</v>
      </c>
      <c r="BF63" s="11" t="n">
        <f aca="false">IF(AND(BF$1&gt;=Units!$Q62,MOD(BF$1-Units!$Q62,12)=0),IF(AND(Units!$L62=1,BF$1=Units!$Q62),1,Inputs!$B$15)*Inputs!$B$16*(1+Inputs!$B$11)^(BF$2-1),0)</f>
        <v>0</v>
      </c>
      <c r="BG63" s="11" t="n">
        <f aca="false">IF(AND(BG$1&gt;=Units!$Q62,MOD(BG$1-Units!$Q62,12)=0),IF(AND(Units!$L62=1,BG$1=Units!$Q62),1,Inputs!$B$15)*Inputs!$B$16*(1+Inputs!$B$11)^(BG$2-1),0)</f>
        <v>0</v>
      </c>
      <c r="BH63" s="11" t="n">
        <f aca="false">IF(AND(BH$1&gt;=Units!$Q62,MOD(BH$1-Units!$Q62,12)=0),IF(AND(Units!$L62=1,BH$1=Units!$Q62),1,Inputs!$B$15)*Inputs!$B$16*(1+Inputs!$B$11)^(BH$2-1),0)</f>
        <v>0</v>
      </c>
      <c r="BI63" s="11" t="n">
        <f aca="false">IF(AND(BI$1&gt;=Units!$Q62,MOD(BI$1-Units!$Q62,12)=0),IF(AND(Units!$L62=1,BI$1=Units!$Q62),1,Inputs!$B$15)*Inputs!$B$16*(1+Inputs!$B$11)^(BI$2-1),0)</f>
        <v>0</v>
      </c>
      <c r="BJ63" s="11" t="n">
        <f aca="false">IF(AND(BJ$1&gt;=Units!$Q62,MOD(BJ$1-Units!$Q62,12)=0),IF(AND(Units!$L62=1,BJ$1=Units!$Q62),1,Inputs!$B$15)*Inputs!$B$16*(1+Inputs!$B$11)^(BJ$2-1),0)</f>
        <v>0</v>
      </c>
      <c r="BK63" s="11" t="n">
        <f aca="false">IF(AND(BK$1&gt;=Units!$Q62,MOD(BK$1-Units!$Q62,12)=0),IF(AND(Units!$L62=1,BK$1=Units!$Q62),1,Inputs!$B$15)*Inputs!$B$16*(1+Inputs!$B$11)^(BK$2-1),0)</f>
        <v>579.63703715</v>
      </c>
      <c r="BL63" s="11" t="n">
        <f aca="false">IF(AND(BL$1&gt;=Units!$Q62,MOD(BL$1-Units!$Q62,12)=0),IF(AND(Units!$L62=1,BL$1=Units!$Q62),1,Inputs!$B$15)*Inputs!$B$16*(1+Inputs!$B$11)^(BL$2-1),0)</f>
        <v>0</v>
      </c>
      <c r="BM63" s="11" t="n">
        <f aca="false">IF(AND(BM$1&gt;=Units!$Q62,MOD(BM$1-Units!$Q62,12)=0),IF(AND(Units!$L62=1,BM$1=Units!$Q62),1,Inputs!$B$15)*Inputs!$B$16*(1+Inputs!$B$11)^(BM$2-1),0)</f>
        <v>0</v>
      </c>
      <c r="BN63" s="11" t="n">
        <f aca="false">IF(AND(BN$1&gt;=Units!$Q62,MOD(BN$1-Units!$Q62,12)=0),IF(AND(Units!$L62=1,BN$1=Units!$Q62),1,Inputs!$B$15)*Inputs!$B$16*(1+Inputs!$B$11)^(BN$2-1),0)</f>
        <v>0</v>
      </c>
      <c r="BO63" s="11" t="n">
        <f aca="false">IF(AND(BO$1&gt;=Units!$Q62,MOD(BO$1-Units!$Q62,12)=0),IF(AND(Units!$L62=1,BO$1=Units!$Q62),1,Inputs!$B$15)*Inputs!$B$16*(1+Inputs!$B$11)^(BO$2-1),0)</f>
        <v>0</v>
      </c>
      <c r="BP63" s="11" t="n">
        <f aca="false">IF(AND(BP$1&gt;=Units!$Q62,MOD(BP$1-Units!$Q62,12)=0),IF(AND(Units!$L62=1,BP$1=Units!$Q62),1,Inputs!$B$15)*Inputs!$B$16*(1+Inputs!$B$11)^(BP$2-1),0)</f>
        <v>0</v>
      </c>
      <c r="BQ63" s="11" t="n">
        <f aca="false">IF(AND(BQ$1&gt;=Units!$Q62,MOD(BQ$1-Units!$Q62,12)=0),IF(AND(Units!$L62=1,BQ$1=Units!$Q62),1,Inputs!$B$15)*Inputs!$B$16*(1+Inputs!$B$11)^(BQ$2-1),0)</f>
        <v>0</v>
      </c>
      <c r="BR63" s="11" t="n">
        <f aca="false">IF(AND(BR$1&gt;=Units!$Q62,MOD(BR$1-Units!$Q62,12)=0),IF(AND(Units!$L62=1,BR$1=Units!$Q62),1,Inputs!$B$15)*Inputs!$B$16*(1+Inputs!$B$11)^(BR$2-1),0)</f>
        <v>0</v>
      </c>
      <c r="BS63" s="11" t="n">
        <f aca="false">IF(AND(BS$1&gt;=Units!$Q62,MOD(BS$1-Units!$Q62,12)=0),IF(AND(Units!$L62=1,BS$1=Units!$Q62),1,Inputs!$B$15)*Inputs!$B$16*(1+Inputs!$B$11)^(BS$2-1),0)</f>
        <v>0</v>
      </c>
      <c r="BT63" s="11" t="n">
        <f aca="false">IF(AND(BT$1&gt;=Units!$Q62,MOD(BT$1-Units!$Q62,12)=0),IF(AND(Units!$L62=1,BT$1=Units!$Q62),1,Inputs!$B$15)*Inputs!$B$16*(1+Inputs!$B$11)^(BT$2-1),0)</f>
        <v>0</v>
      </c>
      <c r="BU63" s="11" t="n">
        <f aca="false">IF(AND(BU$1&gt;=Units!$Q62,MOD(BU$1-Units!$Q62,12)=0),IF(AND(Units!$L62=1,BU$1=Units!$Q62),1,Inputs!$B$15)*Inputs!$B$16*(1+Inputs!$B$11)^(BU$2-1),0)</f>
        <v>0</v>
      </c>
      <c r="BV63" s="11" t="n">
        <f aca="false">IF(AND(BV$1&gt;=Units!$Q62,MOD(BV$1-Units!$Q62,12)=0),IF(AND(Units!$L62=1,BV$1=Units!$Q62),1,Inputs!$B$15)*Inputs!$B$16*(1+Inputs!$B$11)^(BV$2-1),0)</f>
        <v>0</v>
      </c>
      <c r="BW63" s="11" t="n">
        <f aca="false">IF(AND(BW$1&gt;=Units!$Q62,MOD(BW$1-Units!$Q62,12)=0),IF(AND(Units!$L62=1,BW$1=Units!$Q62),1,Inputs!$B$15)*Inputs!$B$16*(1+Inputs!$B$11)^(BW$2-1),0)</f>
        <v>597.0261482645</v>
      </c>
      <c r="BX63" s="11" t="n">
        <f aca="false">IF(AND(BX$1&gt;=Units!$Q62,MOD(BX$1-Units!$Q62,12)=0),IF(AND(Units!$L62=1,BX$1=Units!$Q62),1,Inputs!$B$15)*Inputs!$B$16*(1+Inputs!$B$11)^(BX$2-1),0)</f>
        <v>0</v>
      </c>
      <c r="BY63" s="11" t="n">
        <f aca="false">IF(AND(BY$1&gt;=Units!$Q62,MOD(BY$1-Units!$Q62,12)=0),IF(AND(Units!$L62=1,BY$1=Units!$Q62),1,Inputs!$B$15)*Inputs!$B$16*(1+Inputs!$B$11)^(BY$2-1),0)</f>
        <v>0</v>
      </c>
      <c r="BZ63" s="11" t="n">
        <f aca="false">IF(AND(BZ$1&gt;=Units!$Q62,MOD(BZ$1-Units!$Q62,12)=0),IF(AND(Units!$L62=1,BZ$1=Units!$Q62),1,Inputs!$B$15)*Inputs!$B$16*(1+Inputs!$B$11)^(BZ$2-1),0)</f>
        <v>0</v>
      </c>
      <c r="CA63" s="11" t="n">
        <f aca="false">IF(AND(CA$1&gt;=Units!$Q62,MOD(CA$1-Units!$Q62,12)=0),IF(AND(Units!$L62=1,CA$1=Units!$Q62),1,Inputs!$B$15)*Inputs!$B$16*(1+Inputs!$B$11)^(CA$2-1),0)</f>
        <v>0</v>
      </c>
      <c r="CB63" s="11" t="n">
        <f aca="false">IF(AND(CB$1&gt;=Units!$Q62,MOD(CB$1-Units!$Q62,12)=0),IF(AND(Units!$L62=1,CB$1=Units!$Q62),1,Inputs!$B$15)*Inputs!$B$16*(1+Inputs!$B$11)^(CB$2-1),0)</f>
        <v>0</v>
      </c>
      <c r="CC63" s="11" t="n">
        <f aca="false">IF(AND(CC$1&gt;=Units!$Q62,MOD(CC$1-Units!$Q62,12)=0),IF(AND(Units!$L62=1,CC$1=Units!$Q62),1,Inputs!$B$15)*Inputs!$B$16*(1+Inputs!$B$11)^(CC$2-1),0)</f>
        <v>0</v>
      </c>
      <c r="CD63" s="11" t="n">
        <f aca="false">IF(AND(CD$1&gt;=Units!$Q62,MOD(CD$1-Units!$Q62,12)=0),IF(AND(Units!$L62=1,CD$1=Units!$Q62),1,Inputs!$B$15)*Inputs!$B$16*(1+Inputs!$B$11)^(CD$2-1),0)</f>
        <v>0</v>
      </c>
      <c r="CE63" s="11" t="n">
        <f aca="false">IF(AND(CE$1&gt;=Units!$Q62,MOD(CE$1-Units!$Q62,12)=0),IF(AND(Units!$L62=1,CE$1=Units!$Q62),1,Inputs!$B$15)*Inputs!$B$16*(1+Inputs!$B$11)^(CE$2-1),0)</f>
        <v>0</v>
      </c>
      <c r="CF63" s="11" t="n">
        <f aca="false">IF(AND(CF$1&gt;=Units!$Q62,MOD(CF$1-Units!$Q62,12)=0),IF(AND(Units!$L62=1,CF$1=Units!$Q62),1,Inputs!$B$15)*Inputs!$B$16*(1+Inputs!$B$11)^(CF$2-1),0)</f>
        <v>0</v>
      </c>
      <c r="CG63" s="11" t="n">
        <f aca="false">IF(AND(CG$1&gt;=Units!$Q62,MOD(CG$1-Units!$Q62,12)=0),IF(AND(Units!$L62=1,CG$1=Units!$Q62),1,Inputs!$B$15)*Inputs!$B$16*(1+Inputs!$B$11)^(CG$2-1),0)</f>
        <v>0</v>
      </c>
      <c r="CH63" s="11" t="n">
        <f aca="false">IF(AND(CH$1&gt;=Units!$Q62,MOD(CH$1-Units!$Q62,12)=0),IF(AND(Units!$L62=1,CH$1=Units!$Q62),1,Inputs!$B$15)*Inputs!$B$16*(1+Inputs!$B$11)^(CH$2-1),0)</f>
        <v>0</v>
      </c>
      <c r="CI63" s="11" t="n">
        <f aca="false">IF(AND(CI$1&gt;=Units!$Q62,MOD(CI$1-Units!$Q62,12)=0),IF(AND(Units!$L62=1,CI$1=Units!$Q62),1,Inputs!$B$15)*Inputs!$B$16*(1+Inputs!$B$11)^(CI$2-1),0)</f>
        <v>614.936932712435</v>
      </c>
      <c r="CJ63" s="11" t="n">
        <f aca="false">IF(AND(CJ$1&gt;=Units!$Q62,MOD(CJ$1-Units!$Q62,12)=0),IF(AND(Units!$L62=1,CJ$1=Units!$Q62),1,Inputs!$B$15)*Inputs!$B$16*(1+Inputs!$B$11)^(CJ$2-1),0)</f>
        <v>0</v>
      </c>
      <c r="CK63" s="11" t="n">
        <f aca="false">IF(AND(CK$1&gt;=Units!$Q62,MOD(CK$1-Units!$Q62,12)=0),IF(AND(Units!$L62=1,CK$1=Units!$Q62),1,Inputs!$B$15)*Inputs!$B$16*(1+Inputs!$B$11)^(CK$2-1),0)</f>
        <v>0</v>
      </c>
      <c r="CL63" s="11" t="n">
        <f aca="false">IF(AND(CL$1&gt;=Units!$Q62,MOD(CL$1-Units!$Q62,12)=0),IF(AND(Units!$L62=1,CL$1=Units!$Q62),1,Inputs!$B$15)*Inputs!$B$16*(1+Inputs!$B$11)^(CL$2-1),0)</f>
        <v>0</v>
      </c>
      <c r="CM63" s="11" t="n">
        <f aca="false">IF(AND(CM$1&gt;=Units!$Q62,MOD(CM$1-Units!$Q62,12)=0),IF(AND(Units!$L62=1,CM$1=Units!$Q62),1,Inputs!$B$15)*Inputs!$B$16*(1+Inputs!$B$11)^(CM$2-1),0)</f>
        <v>0</v>
      </c>
      <c r="CN63" s="11" t="n">
        <f aca="false">IF(AND(CN$1&gt;=Units!$Q62,MOD(CN$1-Units!$Q62,12)=0),IF(AND(Units!$L62=1,CN$1=Units!$Q62),1,Inputs!$B$15)*Inputs!$B$16*(1+Inputs!$B$11)^(CN$2-1),0)</f>
        <v>0</v>
      </c>
      <c r="CO63" s="11" t="n">
        <f aca="false">IF(AND(CO$1&gt;=Units!$Q62,MOD(CO$1-Units!$Q62,12)=0),IF(AND(Units!$L62=1,CO$1=Units!$Q62),1,Inputs!$B$15)*Inputs!$B$16*(1+Inputs!$B$11)^(CO$2-1),0)</f>
        <v>0</v>
      </c>
      <c r="CP63" s="11" t="n">
        <f aca="false">IF(AND(CP$1&gt;=Units!$Q62,MOD(CP$1-Units!$Q62,12)=0),IF(AND(Units!$L62=1,CP$1=Units!$Q62),1,Inputs!$B$15)*Inputs!$B$16*(1+Inputs!$B$11)^(CP$2-1),0)</f>
        <v>0</v>
      </c>
      <c r="CQ63" s="11" t="n">
        <f aca="false">IF(AND(CQ$1&gt;=Units!$Q62,MOD(CQ$1-Units!$Q62,12)=0),IF(AND(Units!$L62=1,CQ$1=Units!$Q62),1,Inputs!$B$15)*Inputs!$B$16*(1+Inputs!$B$11)^(CQ$2-1),0)</f>
        <v>0</v>
      </c>
      <c r="CR63" s="11" t="n">
        <f aca="false">IF(AND(CR$1&gt;=Units!$Q62,MOD(CR$1-Units!$Q62,12)=0),IF(AND(Units!$L62=1,CR$1=Units!$Q62),1,Inputs!$B$15)*Inputs!$B$16*(1+Inputs!$B$11)^(CR$2-1),0)</f>
        <v>0</v>
      </c>
      <c r="CS63" s="11" t="n">
        <f aca="false">IF(AND(CS$1&gt;=Units!$Q62,MOD(CS$1-Units!$Q62,12)=0),IF(AND(Units!$L62=1,CS$1=Units!$Q62),1,Inputs!$B$15)*Inputs!$B$16*(1+Inputs!$B$11)^(CS$2-1),0)</f>
        <v>0</v>
      </c>
      <c r="CT63" s="11" t="n">
        <f aca="false">IF(AND(CT$1&gt;=Units!$Q62,MOD(CT$1-Units!$Q62,12)=0),IF(AND(Units!$L62=1,CT$1=Units!$Q62),1,Inputs!$B$15)*Inputs!$B$16*(1+Inputs!$B$11)^(CT$2-1),0)</f>
        <v>0</v>
      </c>
      <c r="CU63" s="11" t="n">
        <f aca="false">IF(AND(CU$1&gt;=Units!$Q62,MOD(CU$1-Units!$Q62,12)=0),IF(AND(Units!$L62=1,CU$1=Units!$Q62),1,Inputs!$B$15)*Inputs!$B$16*(1+Inputs!$B$11)^(CU$2-1),0)</f>
        <v>633.385040693808</v>
      </c>
      <c r="CV63" s="11" t="n">
        <f aca="false">IF(AND(CV$1&gt;=Units!$Q62,MOD(CV$1-Units!$Q62,12)=0),IF(AND(Units!$L62=1,CV$1=Units!$Q62),1,Inputs!$B$15)*Inputs!$B$16*(1+Inputs!$B$11)^(CV$2-1),0)</f>
        <v>0</v>
      </c>
      <c r="CW63" s="11" t="n">
        <f aca="false">IF(AND(CW$1&gt;=Units!$Q62,MOD(CW$1-Units!$Q62,12)=0),IF(AND(Units!$L62=1,CW$1=Units!$Q62),1,Inputs!$B$15)*Inputs!$B$16*(1+Inputs!$B$11)^(CW$2-1),0)</f>
        <v>0</v>
      </c>
      <c r="CX63" s="11" t="n">
        <f aca="false">IF(AND(CX$1&gt;=Units!$Q62,MOD(CX$1-Units!$Q62,12)=0),IF(AND(Units!$L62=1,CX$1=Units!$Q62),1,Inputs!$B$15)*Inputs!$B$16*(1+Inputs!$B$11)^(CX$2-1),0)</f>
        <v>0</v>
      </c>
      <c r="CY63" s="11" t="n">
        <f aca="false">IF(AND(CY$1&gt;=Units!$Q62,MOD(CY$1-Units!$Q62,12)=0),IF(AND(Units!$L62=1,CY$1=Units!$Q62),1,Inputs!$B$15)*Inputs!$B$16*(1+Inputs!$B$11)^(CY$2-1),0)</f>
        <v>0</v>
      </c>
      <c r="CZ63" s="11" t="n">
        <f aca="false">IF(AND(CZ$1&gt;=Units!$Q62,MOD(CZ$1-Units!$Q62,12)=0),IF(AND(Units!$L62=1,CZ$1=Units!$Q62),1,Inputs!$B$15)*Inputs!$B$16*(1+Inputs!$B$11)^(CZ$2-1),0)</f>
        <v>0</v>
      </c>
      <c r="DA63" s="11" t="n">
        <f aca="false">IF(AND(DA$1&gt;=Units!$Q62,MOD(DA$1-Units!$Q62,12)=0),IF(AND(Units!$L62=1,DA$1=Units!$Q62),1,Inputs!$B$15)*Inputs!$B$16*(1+Inputs!$B$11)^(DA$2-1),0)</f>
        <v>0</v>
      </c>
      <c r="DB63" s="11" t="n">
        <f aca="false">IF(AND(DB$1&gt;=Units!$Q62,MOD(DB$1-Units!$Q62,12)=0),IF(AND(Units!$L62=1,DB$1=Units!$Q62),1,Inputs!$B$15)*Inputs!$B$16*(1+Inputs!$B$11)^(DB$2-1),0)</f>
        <v>0</v>
      </c>
      <c r="DC63" s="11" t="n">
        <f aca="false">IF(AND(DC$1&gt;=Units!$Q62,MOD(DC$1-Units!$Q62,12)=0),IF(AND(Units!$L62=1,DC$1=Units!$Q62),1,Inputs!$B$15)*Inputs!$B$16*(1+Inputs!$B$11)^(DC$2-1),0)</f>
        <v>0</v>
      </c>
      <c r="DD63" s="11" t="n">
        <f aca="false">IF(AND(DD$1&gt;=Units!$Q62,MOD(DD$1-Units!$Q62,12)=0),IF(AND(Units!$L62=1,DD$1=Units!$Q62),1,Inputs!$B$15)*Inputs!$B$16*(1+Inputs!$B$11)^(DD$2-1),0)</f>
        <v>0</v>
      </c>
      <c r="DE63" s="11" t="n">
        <f aca="false">IF(AND(DE$1&gt;=Units!$Q62,MOD(DE$1-Units!$Q62,12)=0),IF(AND(Units!$L62=1,DE$1=Units!$Q62),1,Inputs!$B$15)*Inputs!$B$16*(1+Inputs!$B$11)^(DE$2-1),0)</f>
        <v>0</v>
      </c>
      <c r="DF63" s="11" t="n">
        <f aca="false">IF(AND(DF$1&gt;=Units!$Q62,MOD(DF$1-Units!$Q62,12)=0),IF(AND(Units!$L62=1,DF$1=Units!$Q62),1,Inputs!$B$15)*Inputs!$B$16*(1+Inputs!$B$11)^(DF$2-1),0)</f>
        <v>0</v>
      </c>
      <c r="DG63" s="11" t="n">
        <f aca="false">IF(AND(DG$1&gt;=Units!$Q62,MOD(DG$1-Units!$Q62,12)=0),IF(AND(Units!$L62=1,DG$1=Units!$Q62),1,Inputs!$B$15)*Inputs!$B$16*(1+Inputs!$B$11)^(DG$2-1),0)</f>
        <v>652.386591914623</v>
      </c>
      <c r="DH63" s="11" t="n">
        <f aca="false">IF(AND(DH$1&gt;=Units!$Q62,MOD(DH$1-Units!$Q62,12)=0),IF(AND(Units!$L62=1,DH$1=Units!$Q62),1,Inputs!$B$15)*Inputs!$B$16*(1+Inputs!$B$11)^(DH$2-1),0)</f>
        <v>0</v>
      </c>
      <c r="DI63" s="11" t="n">
        <f aca="false">IF(AND(DI$1&gt;=Units!$Q62,MOD(DI$1-Units!$Q62,12)=0),IF(AND(Units!$L62=1,DI$1=Units!$Q62),1,Inputs!$B$15)*Inputs!$B$16*(1+Inputs!$B$11)^(DI$2-1),0)</f>
        <v>0</v>
      </c>
      <c r="DJ63" s="11" t="n">
        <f aca="false">IF(AND(DJ$1&gt;=Units!$Q62,MOD(DJ$1-Units!$Q62,12)=0),IF(AND(Units!$L62=1,DJ$1=Units!$Q62),1,Inputs!$B$15)*Inputs!$B$16*(1+Inputs!$B$11)^(DJ$2-1),0)</f>
        <v>0</v>
      </c>
      <c r="DK63" s="11" t="n">
        <f aca="false">IF(AND(DK$1&gt;=Units!$Q62,MOD(DK$1-Units!$Q62,12)=0),IF(AND(Units!$L62=1,DK$1=Units!$Q62),1,Inputs!$B$15)*Inputs!$B$16*(1+Inputs!$B$11)^(DK$2-1),0)</f>
        <v>0</v>
      </c>
      <c r="DL63" s="11" t="n">
        <f aca="false">IF(AND(DL$1&gt;=Units!$Q62,MOD(DL$1-Units!$Q62,12)=0),IF(AND(Units!$L62=1,DL$1=Units!$Q62),1,Inputs!$B$15)*Inputs!$B$16*(1+Inputs!$B$11)^(DL$2-1),0)</f>
        <v>0</v>
      </c>
      <c r="DM63" s="11" t="n">
        <f aca="false">IF(AND(DM$1&gt;=Units!$Q62,MOD(DM$1-Units!$Q62,12)=0),IF(AND(Units!$L62=1,DM$1=Units!$Q62),1,Inputs!$B$15)*Inputs!$B$16*(1+Inputs!$B$11)^(DM$2-1),0)</f>
        <v>0</v>
      </c>
      <c r="DN63" s="11" t="n">
        <f aca="false">IF(AND(DN$1&gt;=Units!$Q62,MOD(DN$1-Units!$Q62,12)=0),IF(AND(Units!$L62=1,DN$1=Units!$Q62),1,Inputs!$B$15)*Inputs!$B$16*(1+Inputs!$B$11)^(DN$2-1),0)</f>
        <v>0</v>
      </c>
      <c r="DO63" s="11" t="n">
        <f aca="false">IF(AND(DO$1&gt;=Units!$Q62,MOD(DO$1-Units!$Q62,12)=0),IF(AND(Units!$L62=1,DO$1=Units!$Q62),1,Inputs!$B$15)*Inputs!$B$16*(1+Inputs!$B$11)^(DO$2-1),0)</f>
        <v>0</v>
      </c>
      <c r="DP63" s="11" t="n">
        <f aca="false">IF(AND(DP$1&gt;=Units!$Q62,MOD(DP$1-Units!$Q62,12)=0),IF(AND(Units!$L62=1,DP$1=Units!$Q62),1,Inputs!$B$15)*Inputs!$B$16*(1+Inputs!$B$11)^(DP$2-1),0)</f>
        <v>0</v>
      </c>
      <c r="DQ63" s="11" t="n">
        <f aca="false">IF(AND(DQ$1&gt;=Units!$Q62,MOD(DQ$1-Units!$Q62,12)=0),IF(AND(Units!$L62=1,DQ$1=Units!$Q62),1,Inputs!$B$15)*Inputs!$B$16*(1+Inputs!$B$11)^(DQ$2-1),0)</f>
        <v>0</v>
      </c>
      <c r="DR63" s="11" t="n">
        <f aca="false">IF(AND(DR$1&gt;=Units!$Q62,MOD(DR$1-Units!$Q62,12)=0),IF(AND(Units!$L62=1,DR$1=Units!$Q62),1,Inputs!$B$15)*Inputs!$B$16*(1+Inputs!$B$11)^(DR$2-1),0)</f>
        <v>0</v>
      </c>
      <c r="DS63" s="11" t="n">
        <f aca="false">IF(AND(DS$1&gt;=Units!$Q62,MOD(DS$1-Units!$Q62,12)=0),IF(AND(Units!$L62=1,DS$1=Units!$Q62),1,Inputs!$B$15)*Inputs!$B$16*(1+Inputs!$B$11)^(DS$2-1),0)</f>
        <v>671.958189672061</v>
      </c>
      <c r="DT63" s="11" t="n">
        <f aca="false">IF(AND(DT$1&gt;=Units!$Q62,MOD(DT$1-Units!$Q62,12)=0),IF(AND(Units!$L62=1,DT$1=Units!$Q62),1,Inputs!$B$15)*Inputs!$B$16*(1+Inputs!$B$11)^(DT$2-1),0)</f>
        <v>0</v>
      </c>
      <c r="DU63" s="11" t="n">
        <f aca="false">IF(AND(DU$1&gt;=Units!$Q62,MOD(DU$1-Units!$Q62,12)=0),IF(AND(Units!$L62=1,DU$1=Units!$Q62),1,Inputs!$B$15)*Inputs!$B$16*(1+Inputs!$B$11)^(DU$2-1),0)</f>
        <v>0</v>
      </c>
      <c r="DV63" s="11" t="n">
        <f aca="false">IF(AND(DV$1&gt;=Units!$Q62,MOD(DV$1-Units!$Q62,12)=0),IF(AND(Units!$L62=1,DV$1=Units!$Q62),1,Inputs!$B$15)*Inputs!$B$16*(1+Inputs!$B$11)^(DV$2-1),0)</f>
        <v>0</v>
      </c>
      <c r="DW63" s="11" t="n">
        <f aca="false">IF(AND(DW$1&gt;=Units!$Q62,MOD(DW$1-Units!$Q62,12)=0),IF(AND(Units!$L62=1,DW$1=Units!$Q62),1,Inputs!$B$15)*Inputs!$B$16*(1+Inputs!$B$11)^(DW$2-1),0)</f>
        <v>0</v>
      </c>
      <c r="DX63" s="11" t="n">
        <f aca="false">IF(AND(DX$1&gt;=Units!$Q62,MOD(DX$1-Units!$Q62,12)=0),IF(AND(Units!$L62=1,DX$1=Units!$Q62),1,Inputs!$B$15)*Inputs!$B$16*(1+Inputs!$B$11)^(DX$2-1),0)</f>
        <v>0</v>
      </c>
      <c r="DY63" s="11" t="n">
        <f aca="false">IF(AND(DY$1&gt;=Units!$Q62,MOD(DY$1-Units!$Q62,12)=0),IF(AND(Units!$L62=1,DY$1=Units!$Q62),1,Inputs!$B$15)*Inputs!$B$16*(1+Inputs!$B$11)^(DY$2-1),0)</f>
        <v>0</v>
      </c>
      <c r="DZ63" s="11" t="n">
        <f aca="false">IF(AND(DZ$1&gt;=Units!$Q62,MOD(DZ$1-Units!$Q62,12)=0),IF(AND(Units!$L62=1,DZ$1=Units!$Q62),1,Inputs!$B$15)*Inputs!$B$16*(1+Inputs!$B$11)^(DZ$2-1),0)</f>
        <v>0</v>
      </c>
      <c r="EA63" s="11" t="n">
        <f aca="false">IF(AND(EA$1&gt;=Units!$Q62,MOD(EA$1-Units!$Q62,12)=0),IF(AND(Units!$L62=1,EA$1=Units!$Q62),1,Inputs!$B$15)*Inputs!$B$16*(1+Inputs!$B$11)^(EA$2-1),0)</f>
        <v>0</v>
      </c>
      <c r="EB63" s="11" t="n">
        <f aca="false">IF(AND(EB$1&gt;=Units!$Q62,MOD(EB$1-Units!$Q62,12)=0),IF(AND(Units!$L62=1,EB$1=Units!$Q62),1,Inputs!$B$15)*Inputs!$B$16*(1+Inputs!$B$11)^(EB$2-1),0)</f>
        <v>0</v>
      </c>
      <c r="EC63" s="11" t="n">
        <f aca="false">IF(AND(EC$1&gt;=Units!$Q62,MOD(EC$1-Units!$Q62,12)=0),IF(AND(Units!$L62=1,EC$1=Units!$Q62),1,Inputs!$B$15)*Inputs!$B$16*(1+Inputs!$B$11)^(EC$2-1),0)</f>
        <v>0</v>
      </c>
      <c r="ED63" s="11" t="n">
        <f aca="false">IF(AND(ED$1&gt;=Units!$Q62,MOD(ED$1-Units!$Q62,12)=0),IF(AND(Units!$L62=1,ED$1=Units!$Q62),1,Inputs!$B$15)*Inputs!$B$16*(1+Inputs!$B$11)^(ED$2-1),0)</f>
        <v>0</v>
      </c>
    </row>
    <row r="64" customFormat="false" ht="15" hidden="false" customHeight="false" outlineLevel="0" collapsed="false">
      <c r="A64" s="22" t="n">
        <f aca="false">Units!A63</f>
        <v>302</v>
      </c>
      <c r="B64" s="23"/>
      <c r="C64" s="11" t="n">
        <f aca="false">IF(AND(C$1&gt;=Units!$Q63,MOD(C$1-Units!$Q63,12)=0),IF(AND(Units!$L63=1,C$1=Units!$Q63),1,Inputs!$B$15)*Inputs!$B$16*(1+Inputs!$B$11)^(C$2-1),0)</f>
        <v>0</v>
      </c>
      <c r="D64" s="11" t="n">
        <f aca="false">IF(AND(D$1&gt;=Units!$Q63,MOD(D$1-Units!$Q63,12)=0),IF(AND(Units!$L63=1,D$1=Units!$Q63),1,Inputs!$B$15)*Inputs!$B$16*(1+Inputs!$B$11)^(D$2-1),0)</f>
        <v>0</v>
      </c>
      <c r="E64" s="11" t="n">
        <f aca="false">IF(AND(E$1&gt;=Units!$Q63,MOD(E$1-Units!$Q63,12)=0),IF(AND(Units!$L63=1,E$1=Units!$Q63),1,Inputs!$B$15)*Inputs!$B$16*(1+Inputs!$B$11)^(E$2-1),0)</f>
        <v>0</v>
      </c>
      <c r="F64" s="11" t="n">
        <f aca="false">IF(AND(F$1&gt;=Units!$Q63,MOD(F$1-Units!$Q63,12)=0),IF(AND(Units!$L63=1,F$1=Units!$Q63),1,Inputs!$B$15)*Inputs!$B$16*(1+Inputs!$B$11)^(F$2-1),0)</f>
        <v>0</v>
      </c>
      <c r="G64" s="11" t="n">
        <f aca="false">IF(AND(G$1&gt;=Units!$Q63,MOD(G$1-Units!$Q63,12)=0),IF(AND(Units!$L63=1,G$1=Units!$Q63),1,Inputs!$B$15)*Inputs!$B$16*(1+Inputs!$B$11)^(G$2-1),0)</f>
        <v>0</v>
      </c>
      <c r="H64" s="11" t="n">
        <f aca="false">IF(AND(H$1&gt;=Units!$Q63,MOD(H$1-Units!$Q63,12)=0),IF(AND(Units!$L63=1,H$1=Units!$Q63),1,Inputs!$B$15)*Inputs!$B$16*(1+Inputs!$B$11)^(H$2-1),0)</f>
        <v>500</v>
      </c>
      <c r="I64" s="11" t="n">
        <f aca="false">IF(AND(I$1&gt;=Units!$Q63,MOD(I$1-Units!$Q63,12)=0),IF(AND(Units!$L63=1,I$1=Units!$Q63),1,Inputs!$B$15)*Inputs!$B$16*(1+Inputs!$B$11)^(I$2-1),0)</f>
        <v>0</v>
      </c>
      <c r="J64" s="11" t="n">
        <f aca="false">IF(AND(J$1&gt;=Units!$Q63,MOD(J$1-Units!$Q63,12)=0),IF(AND(Units!$L63=1,J$1=Units!$Q63),1,Inputs!$B$15)*Inputs!$B$16*(1+Inputs!$B$11)^(J$2-1),0)</f>
        <v>0</v>
      </c>
      <c r="K64" s="11" t="n">
        <f aca="false">IF(AND(K$1&gt;=Units!$Q63,MOD(K$1-Units!$Q63,12)=0),IF(AND(Units!$L63=1,K$1=Units!$Q63),1,Inputs!$B$15)*Inputs!$B$16*(1+Inputs!$B$11)^(K$2-1),0)</f>
        <v>0</v>
      </c>
      <c r="L64" s="11" t="n">
        <f aca="false">IF(AND(L$1&gt;=Units!$Q63,MOD(L$1-Units!$Q63,12)=0),IF(AND(Units!$L63=1,L$1=Units!$Q63),1,Inputs!$B$15)*Inputs!$B$16*(1+Inputs!$B$11)^(L$2-1),0)</f>
        <v>0</v>
      </c>
      <c r="M64" s="11" t="n">
        <f aca="false">IF(AND(M$1&gt;=Units!$Q63,MOD(M$1-Units!$Q63,12)=0),IF(AND(Units!$L63=1,M$1=Units!$Q63),1,Inputs!$B$15)*Inputs!$B$16*(1+Inputs!$B$11)^(M$2-1),0)</f>
        <v>0</v>
      </c>
      <c r="N64" s="11" t="n">
        <f aca="false">IF(AND(N$1&gt;=Units!$Q63,MOD(N$1-Units!$Q63,12)=0),IF(AND(Units!$L63=1,N$1=Units!$Q63),1,Inputs!$B$15)*Inputs!$B$16*(1+Inputs!$B$11)^(N$2-1),0)</f>
        <v>0</v>
      </c>
      <c r="O64" s="11" t="n">
        <f aca="false">IF(AND(O$1&gt;=Units!$Q63,MOD(O$1-Units!$Q63,12)=0),IF(AND(Units!$L63=1,O$1=Units!$Q63),1,Inputs!$B$15)*Inputs!$B$16*(1+Inputs!$B$11)^(O$2-1),0)</f>
        <v>0</v>
      </c>
      <c r="P64" s="11" t="n">
        <f aca="false">IF(AND(P$1&gt;=Units!$Q63,MOD(P$1-Units!$Q63,12)=0),IF(AND(Units!$L63=1,P$1=Units!$Q63),1,Inputs!$B$15)*Inputs!$B$16*(1+Inputs!$B$11)^(P$2-1),0)</f>
        <v>0</v>
      </c>
      <c r="Q64" s="11" t="n">
        <f aca="false">IF(AND(Q$1&gt;=Units!$Q63,MOD(Q$1-Units!$Q63,12)=0),IF(AND(Units!$L63=1,Q$1=Units!$Q63),1,Inputs!$B$15)*Inputs!$B$16*(1+Inputs!$B$11)^(Q$2-1),0)</f>
        <v>0</v>
      </c>
      <c r="R64" s="11" t="n">
        <f aca="false">IF(AND(R$1&gt;=Units!$Q63,MOD(R$1-Units!$Q63,12)=0),IF(AND(Units!$L63=1,R$1=Units!$Q63),1,Inputs!$B$15)*Inputs!$B$16*(1+Inputs!$B$11)^(R$2-1),0)</f>
        <v>0</v>
      </c>
      <c r="S64" s="11" t="n">
        <f aca="false">IF(AND(S$1&gt;=Units!$Q63,MOD(S$1-Units!$Q63,12)=0),IF(AND(Units!$L63=1,S$1=Units!$Q63),1,Inputs!$B$15)*Inputs!$B$16*(1+Inputs!$B$11)^(S$2-1),0)</f>
        <v>0</v>
      </c>
      <c r="T64" s="11" t="n">
        <f aca="false">IF(AND(T$1&gt;=Units!$Q63,MOD(T$1-Units!$Q63,12)=0),IF(AND(Units!$L63=1,T$1=Units!$Q63),1,Inputs!$B$15)*Inputs!$B$16*(1+Inputs!$B$11)^(T$2-1),0)</f>
        <v>515</v>
      </c>
      <c r="U64" s="11" t="n">
        <f aca="false">IF(AND(U$1&gt;=Units!$Q63,MOD(U$1-Units!$Q63,12)=0),IF(AND(Units!$L63=1,U$1=Units!$Q63),1,Inputs!$B$15)*Inputs!$B$16*(1+Inputs!$B$11)^(U$2-1),0)</f>
        <v>0</v>
      </c>
      <c r="V64" s="11" t="n">
        <f aca="false">IF(AND(V$1&gt;=Units!$Q63,MOD(V$1-Units!$Q63,12)=0),IF(AND(Units!$L63=1,V$1=Units!$Q63),1,Inputs!$B$15)*Inputs!$B$16*(1+Inputs!$B$11)^(V$2-1),0)</f>
        <v>0</v>
      </c>
      <c r="W64" s="11" t="n">
        <f aca="false">IF(AND(W$1&gt;=Units!$Q63,MOD(W$1-Units!$Q63,12)=0),IF(AND(Units!$L63=1,W$1=Units!$Q63),1,Inputs!$B$15)*Inputs!$B$16*(1+Inputs!$B$11)^(W$2-1),0)</f>
        <v>0</v>
      </c>
      <c r="X64" s="11" t="n">
        <f aca="false">IF(AND(X$1&gt;=Units!$Q63,MOD(X$1-Units!$Q63,12)=0),IF(AND(Units!$L63=1,X$1=Units!$Q63),1,Inputs!$B$15)*Inputs!$B$16*(1+Inputs!$B$11)^(X$2-1),0)</f>
        <v>0</v>
      </c>
      <c r="Y64" s="11" t="n">
        <f aca="false">IF(AND(Y$1&gt;=Units!$Q63,MOD(Y$1-Units!$Q63,12)=0),IF(AND(Units!$L63=1,Y$1=Units!$Q63),1,Inputs!$B$15)*Inputs!$B$16*(1+Inputs!$B$11)^(Y$2-1),0)</f>
        <v>0</v>
      </c>
      <c r="Z64" s="11" t="n">
        <f aca="false">IF(AND(Z$1&gt;=Units!$Q63,MOD(Z$1-Units!$Q63,12)=0),IF(AND(Units!$L63=1,Z$1=Units!$Q63),1,Inputs!$B$15)*Inputs!$B$16*(1+Inputs!$B$11)^(Z$2-1),0)</f>
        <v>0</v>
      </c>
      <c r="AA64" s="11" t="n">
        <f aca="false">IF(AND(AA$1&gt;=Units!$Q63,MOD(AA$1-Units!$Q63,12)=0),IF(AND(Units!$L63=1,AA$1=Units!$Q63),1,Inputs!$B$15)*Inputs!$B$16*(1+Inputs!$B$11)^(AA$2-1),0)</f>
        <v>0</v>
      </c>
      <c r="AB64" s="11" t="n">
        <f aca="false">IF(AND(AB$1&gt;=Units!$Q63,MOD(AB$1-Units!$Q63,12)=0),IF(AND(Units!$L63=1,AB$1=Units!$Q63),1,Inputs!$B$15)*Inputs!$B$16*(1+Inputs!$B$11)^(AB$2-1),0)</f>
        <v>0</v>
      </c>
      <c r="AC64" s="11" t="n">
        <f aca="false">IF(AND(AC$1&gt;=Units!$Q63,MOD(AC$1-Units!$Q63,12)=0),IF(AND(Units!$L63=1,AC$1=Units!$Q63),1,Inputs!$B$15)*Inputs!$B$16*(1+Inputs!$B$11)^(AC$2-1),0)</f>
        <v>0</v>
      </c>
      <c r="AD64" s="11" t="n">
        <f aca="false">IF(AND(AD$1&gt;=Units!$Q63,MOD(AD$1-Units!$Q63,12)=0),IF(AND(Units!$L63=1,AD$1=Units!$Q63),1,Inputs!$B$15)*Inputs!$B$16*(1+Inputs!$B$11)^(AD$2-1),0)</f>
        <v>0</v>
      </c>
      <c r="AE64" s="11" t="n">
        <f aca="false">IF(AND(AE$1&gt;=Units!$Q63,MOD(AE$1-Units!$Q63,12)=0),IF(AND(Units!$L63=1,AE$1=Units!$Q63),1,Inputs!$B$15)*Inputs!$B$16*(1+Inputs!$B$11)^(AE$2-1),0)</f>
        <v>0</v>
      </c>
      <c r="AF64" s="11" t="n">
        <f aca="false">IF(AND(AF$1&gt;=Units!$Q63,MOD(AF$1-Units!$Q63,12)=0),IF(AND(Units!$L63=1,AF$1=Units!$Q63),1,Inputs!$B$15)*Inputs!$B$16*(1+Inputs!$B$11)^(AF$2-1),0)</f>
        <v>530.45</v>
      </c>
      <c r="AG64" s="11" t="n">
        <f aca="false">IF(AND(AG$1&gt;=Units!$Q63,MOD(AG$1-Units!$Q63,12)=0),IF(AND(Units!$L63=1,AG$1=Units!$Q63),1,Inputs!$B$15)*Inputs!$B$16*(1+Inputs!$B$11)^(AG$2-1),0)</f>
        <v>0</v>
      </c>
      <c r="AH64" s="11" t="n">
        <f aca="false">IF(AND(AH$1&gt;=Units!$Q63,MOD(AH$1-Units!$Q63,12)=0),IF(AND(Units!$L63=1,AH$1=Units!$Q63),1,Inputs!$B$15)*Inputs!$B$16*(1+Inputs!$B$11)^(AH$2-1),0)</f>
        <v>0</v>
      </c>
      <c r="AI64" s="11" t="n">
        <f aca="false">IF(AND(AI$1&gt;=Units!$Q63,MOD(AI$1-Units!$Q63,12)=0),IF(AND(Units!$L63=1,AI$1=Units!$Q63),1,Inputs!$B$15)*Inputs!$B$16*(1+Inputs!$B$11)^(AI$2-1),0)</f>
        <v>0</v>
      </c>
      <c r="AJ64" s="11" t="n">
        <f aca="false">IF(AND(AJ$1&gt;=Units!$Q63,MOD(AJ$1-Units!$Q63,12)=0),IF(AND(Units!$L63=1,AJ$1=Units!$Q63),1,Inputs!$B$15)*Inputs!$B$16*(1+Inputs!$B$11)^(AJ$2-1),0)</f>
        <v>0</v>
      </c>
      <c r="AK64" s="11" t="n">
        <f aca="false">IF(AND(AK$1&gt;=Units!$Q63,MOD(AK$1-Units!$Q63,12)=0),IF(AND(Units!$L63=1,AK$1=Units!$Q63),1,Inputs!$B$15)*Inputs!$B$16*(1+Inputs!$B$11)^(AK$2-1),0)</f>
        <v>0</v>
      </c>
      <c r="AL64" s="11" t="n">
        <f aca="false">IF(AND(AL$1&gt;=Units!$Q63,MOD(AL$1-Units!$Q63,12)=0),IF(AND(Units!$L63=1,AL$1=Units!$Q63),1,Inputs!$B$15)*Inputs!$B$16*(1+Inputs!$B$11)^(AL$2-1),0)</f>
        <v>0</v>
      </c>
      <c r="AM64" s="11" t="n">
        <f aca="false">IF(AND(AM$1&gt;=Units!$Q63,MOD(AM$1-Units!$Q63,12)=0),IF(AND(Units!$L63=1,AM$1=Units!$Q63),1,Inputs!$B$15)*Inputs!$B$16*(1+Inputs!$B$11)^(AM$2-1),0)</f>
        <v>0</v>
      </c>
      <c r="AN64" s="11" t="n">
        <f aca="false">IF(AND(AN$1&gt;=Units!$Q63,MOD(AN$1-Units!$Q63,12)=0),IF(AND(Units!$L63=1,AN$1=Units!$Q63),1,Inputs!$B$15)*Inputs!$B$16*(1+Inputs!$B$11)^(AN$2-1),0)</f>
        <v>0</v>
      </c>
      <c r="AO64" s="11" t="n">
        <f aca="false">IF(AND(AO$1&gt;=Units!$Q63,MOD(AO$1-Units!$Q63,12)=0),IF(AND(Units!$L63=1,AO$1=Units!$Q63),1,Inputs!$B$15)*Inputs!$B$16*(1+Inputs!$B$11)^(AO$2-1),0)</f>
        <v>0</v>
      </c>
      <c r="AP64" s="11" t="n">
        <f aca="false">IF(AND(AP$1&gt;=Units!$Q63,MOD(AP$1-Units!$Q63,12)=0),IF(AND(Units!$L63=1,AP$1=Units!$Q63),1,Inputs!$B$15)*Inputs!$B$16*(1+Inputs!$B$11)^(AP$2-1),0)</f>
        <v>0</v>
      </c>
      <c r="AQ64" s="11" t="n">
        <f aca="false">IF(AND(AQ$1&gt;=Units!$Q63,MOD(AQ$1-Units!$Q63,12)=0),IF(AND(Units!$L63=1,AQ$1=Units!$Q63),1,Inputs!$B$15)*Inputs!$B$16*(1+Inputs!$B$11)^(AQ$2-1),0)</f>
        <v>0</v>
      </c>
      <c r="AR64" s="11" t="n">
        <f aca="false">IF(AND(AR$1&gt;=Units!$Q63,MOD(AR$1-Units!$Q63,12)=0),IF(AND(Units!$L63=1,AR$1=Units!$Q63),1,Inputs!$B$15)*Inputs!$B$16*(1+Inputs!$B$11)^(AR$2-1),0)</f>
        <v>546.3635</v>
      </c>
      <c r="AS64" s="11" t="n">
        <f aca="false">IF(AND(AS$1&gt;=Units!$Q63,MOD(AS$1-Units!$Q63,12)=0),IF(AND(Units!$L63=1,AS$1=Units!$Q63),1,Inputs!$B$15)*Inputs!$B$16*(1+Inputs!$B$11)^(AS$2-1),0)</f>
        <v>0</v>
      </c>
      <c r="AT64" s="11" t="n">
        <f aca="false">IF(AND(AT$1&gt;=Units!$Q63,MOD(AT$1-Units!$Q63,12)=0),IF(AND(Units!$L63=1,AT$1=Units!$Q63),1,Inputs!$B$15)*Inputs!$B$16*(1+Inputs!$B$11)^(AT$2-1),0)</f>
        <v>0</v>
      </c>
      <c r="AU64" s="11" t="n">
        <f aca="false">IF(AND(AU$1&gt;=Units!$Q63,MOD(AU$1-Units!$Q63,12)=0),IF(AND(Units!$L63=1,AU$1=Units!$Q63),1,Inputs!$B$15)*Inputs!$B$16*(1+Inputs!$B$11)^(AU$2-1),0)</f>
        <v>0</v>
      </c>
      <c r="AV64" s="11" t="n">
        <f aca="false">IF(AND(AV$1&gt;=Units!$Q63,MOD(AV$1-Units!$Q63,12)=0),IF(AND(Units!$L63=1,AV$1=Units!$Q63),1,Inputs!$B$15)*Inputs!$B$16*(1+Inputs!$B$11)^(AV$2-1),0)</f>
        <v>0</v>
      </c>
      <c r="AW64" s="11" t="n">
        <f aca="false">IF(AND(AW$1&gt;=Units!$Q63,MOD(AW$1-Units!$Q63,12)=0),IF(AND(Units!$L63=1,AW$1=Units!$Q63),1,Inputs!$B$15)*Inputs!$B$16*(1+Inputs!$B$11)^(AW$2-1),0)</f>
        <v>0</v>
      </c>
      <c r="AX64" s="11" t="n">
        <f aca="false">IF(AND(AX$1&gt;=Units!$Q63,MOD(AX$1-Units!$Q63,12)=0),IF(AND(Units!$L63=1,AX$1=Units!$Q63),1,Inputs!$B$15)*Inputs!$B$16*(1+Inputs!$B$11)^(AX$2-1),0)</f>
        <v>0</v>
      </c>
      <c r="AY64" s="11" t="n">
        <f aca="false">IF(AND(AY$1&gt;=Units!$Q63,MOD(AY$1-Units!$Q63,12)=0),IF(AND(Units!$L63=1,AY$1=Units!$Q63),1,Inputs!$B$15)*Inputs!$B$16*(1+Inputs!$B$11)^(AY$2-1),0)</f>
        <v>0</v>
      </c>
      <c r="AZ64" s="11" t="n">
        <f aca="false">IF(AND(AZ$1&gt;=Units!$Q63,MOD(AZ$1-Units!$Q63,12)=0),IF(AND(Units!$L63=1,AZ$1=Units!$Q63),1,Inputs!$B$15)*Inputs!$B$16*(1+Inputs!$B$11)^(AZ$2-1),0)</f>
        <v>0</v>
      </c>
      <c r="BA64" s="11" t="n">
        <f aca="false">IF(AND(BA$1&gt;=Units!$Q63,MOD(BA$1-Units!$Q63,12)=0),IF(AND(Units!$L63=1,BA$1=Units!$Q63),1,Inputs!$B$15)*Inputs!$B$16*(1+Inputs!$B$11)^(BA$2-1),0)</f>
        <v>0</v>
      </c>
      <c r="BB64" s="11" t="n">
        <f aca="false">IF(AND(BB$1&gt;=Units!$Q63,MOD(BB$1-Units!$Q63,12)=0),IF(AND(Units!$L63=1,BB$1=Units!$Q63),1,Inputs!$B$15)*Inputs!$B$16*(1+Inputs!$B$11)^(BB$2-1),0)</f>
        <v>0</v>
      </c>
      <c r="BC64" s="11" t="n">
        <f aca="false">IF(AND(BC$1&gt;=Units!$Q63,MOD(BC$1-Units!$Q63,12)=0),IF(AND(Units!$L63=1,BC$1=Units!$Q63),1,Inputs!$B$15)*Inputs!$B$16*(1+Inputs!$B$11)^(BC$2-1),0)</f>
        <v>0</v>
      </c>
      <c r="BD64" s="11" t="n">
        <f aca="false">IF(AND(BD$1&gt;=Units!$Q63,MOD(BD$1-Units!$Q63,12)=0),IF(AND(Units!$L63=1,BD$1=Units!$Q63),1,Inputs!$B$15)*Inputs!$B$16*(1+Inputs!$B$11)^(BD$2-1),0)</f>
        <v>562.754405</v>
      </c>
      <c r="BE64" s="11" t="n">
        <f aca="false">IF(AND(BE$1&gt;=Units!$Q63,MOD(BE$1-Units!$Q63,12)=0),IF(AND(Units!$L63=1,BE$1=Units!$Q63),1,Inputs!$B$15)*Inputs!$B$16*(1+Inputs!$B$11)^(BE$2-1),0)</f>
        <v>0</v>
      </c>
      <c r="BF64" s="11" t="n">
        <f aca="false">IF(AND(BF$1&gt;=Units!$Q63,MOD(BF$1-Units!$Q63,12)=0),IF(AND(Units!$L63=1,BF$1=Units!$Q63),1,Inputs!$B$15)*Inputs!$B$16*(1+Inputs!$B$11)^(BF$2-1),0)</f>
        <v>0</v>
      </c>
      <c r="BG64" s="11" t="n">
        <f aca="false">IF(AND(BG$1&gt;=Units!$Q63,MOD(BG$1-Units!$Q63,12)=0),IF(AND(Units!$L63=1,BG$1=Units!$Q63),1,Inputs!$B$15)*Inputs!$B$16*(1+Inputs!$B$11)^(BG$2-1),0)</f>
        <v>0</v>
      </c>
      <c r="BH64" s="11" t="n">
        <f aca="false">IF(AND(BH$1&gt;=Units!$Q63,MOD(BH$1-Units!$Q63,12)=0),IF(AND(Units!$L63=1,BH$1=Units!$Q63),1,Inputs!$B$15)*Inputs!$B$16*(1+Inputs!$B$11)^(BH$2-1),0)</f>
        <v>0</v>
      </c>
      <c r="BI64" s="11" t="n">
        <f aca="false">IF(AND(BI$1&gt;=Units!$Q63,MOD(BI$1-Units!$Q63,12)=0),IF(AND(Units!$L63=1,BI$1=Units!$Q63),1,Inputs!$B$15)*Inputs!$B$16*(1+Inputs!$B$11)^(BI$2-1),0)</f>
        <v>0</v>
      </c>
      <c r="BJ64" s="11" t="n">
        <f aca="false">IF(AND(BJ$1&gt;=Units!$Q63,MOD(BJ$1-Units!$Q63,12)=0),IF(AND(Units!$L63=1,BJ$1=Units!$Q63),1,Inputs!$B$15)*Inputs!$B$16*(1+Inputs!$B$11)^(BJ$2-1),0)</f>
        <v>0</v>
      </c>
      <c r="BK64" s="11" t="n">
        <f aca="false">IF(AND(BK$1&gt;=Units!$Q63,MOD(BK$1-Units!$Q63,12)=0),IF(AND(Units!$L63=1,BK$1=Units!$Q63),1,Inputs!$B$15)*Inputs!$B$16*(1+Inputs!$B$11)^(BK$2-1),0)</f>
        <v>0</v>
      </c>
      <c r="BL64" s="11" t="n">
        <f aca="false">IF(AND(BL$1&gt;=Units!$Q63,MOD(BL$1-Units!$Q63,12)=0),IF(AND(Units!$L63=1,BL$1=Units!$Q63),1,Inputs!$B$15)*Inputs!$B$16*(1+Inputs!$B$11)^(BL$2-1),0)</f>
        <v>0</v>
      </c>
      <c r="BM64" s="11" t="n">
        <f aca="false">IF(AND(BM$1&gt;=Units!$Q63,MOD(BM$1-Units!$Q63,12)=0),IF(AND(Units!$L63=1,BM$1=Units!$Q63),1,Inputs!$B$15)*Inputs!$B$16*(1+Inputs!$B$11)^(BM$2-1),0)</f>
        <v>0</v>
      </c>
      <c r="BN64" s="11" t="n">
        <f aca="false">IF(AND(BN$1&gt;=Units!$Q63,MOD(BN$1-Units!$Q63,12)=0),IF(AND(Units!$L63=1,BN$1=Units!$Q63),1,Inputs!$B$15)*Inputs!$B$16*(1+Inputs!$B$11)^(BN$2-1),0)</f>
        <v>0</v>
      </c>
      <c r="BO64" s="11" t="n">
        <f aca="false">IF(AND(BO$1&gt;=Units!$Q63,MOD(BO$1-Units!$Q63,12)=0),IF(AND(Units!$L63=1,BO$1=Units!$Q63),1,Inputs!$B$15)*Inputs!$B$16*(1+Inputs!$B$11)^(BO$2-1),0)</f>
        <v>0</v>
      </c>
      <c r="BP64" s="11" t="n">
        <f aca="false">IF(AND(BP$1&gt;=Units!$Q63,MOD(BP$1-Units!$Q63,12)=0),IF(AND(Units!$L63=1,BP$1=Units!$Q63),1,Inputs!$B$15)*Inputs!$B$16*(1+Inputs!$B$11)^(BP$2-1),0)</f>
        <v>579.63703715</v>
      </c>
      <c r="BQ64" s="11" t="n">
        <f aca="false">IF(AND(BQ$1&gt;=Units!$Q63,MOD(BQ$1-Units!$Q63,12)=0),IF(AND(Units!$L63=1,BQ$1=Units!$Q63),1,Inputs!$B$15)*Inputs!$B$16*(1+Inputs!$B$11)^(BQ$2-1),0)</f>
        <v>0</v>
      </c>
      <c r="BR64" s="11" t="n">
        <f aca="false">IF(AND(BR$1&gt;=Units!$Q63,MOD(BR$1-Units!$Q63,12)=0),IF(AND(Units!$L63=1,BR$1=Units!$Q63),1,Inputs!$B$15)*Inputs!$B$16*(1+Inputs!$B$11)^(BR$2-1),0)</f>
        <v>0</v>
      </c>
      <c r="BS64" s="11" t="n">
        <f aca="false">IF(AND(BS$1&gt;=Units!$Q63,MOD(BS$1-Units!$Q63,12)=0),IF(AND(Units!$L63=1,BS$1=Units!$Q63),1,Inputs!$B$15)*Inputs!$B$16*(1+Inputs!$B$11)^(BS$2-1),0)</f>
        <v>0</v>
      </c>
      <c r="BT64" s="11" t="n">
        <f aca="false">IF(AND(BT$1&gt;=Units!$Q63,MOD(BT$1-Units!$Q63,12)=0),IF(AND(Units!$L63=1,BT$1=Units!$Q63),1,Inputs!$B$15)*Inputs!$B$16*(1+Inputs!$B$11)^(BT$2-1),0)</f>
        <v>0</v>
      </c>
      <c r="BU64" s="11" t="n">
        <f aca="false">IF(AND(BU$1&gt;=Units!$Q63,MOD(BU$1-Units!$Q63,12)=0),IF(AND(Units!$L63=1,BU$1=Units!$Q63),1,Inputs!$B$15)*Inputs!$B$16*(1+Inputs!$B$11)^(BU$2-1),0)</f>
        <v>0</v>
      </c>
      <c r="BV64" s="11" t="n">
        <f aca="false">IF(AND(BV$1&gt;=Units!$Q63,MOD(BV$1-Units!$Q63,12)=0),IF(AND(Units!$L63=1,BV$1=Units!$Q63),1,Inputs!$B$15)*Inputs!$B$16*(1+Inputs!$B$11)^(BV$2-1),0)</f>
        <v>0</v>
      </c>
      <c r="BW64" s="11" t="n">
        <f aca="false">IF(AND(BW$1&gt;=Units!$Q63,MOD(BW$1-Units!$Q63,12)=0),IF(AND(Units!$L63=1,BW$1=Units!$Q63),1,Inputs!$B$15)*Inputs!$B$16*(1+Inputs!$B$11)^(BW$2-1),0)</f>
        <v>0</v>
      </c>
      <c r="BX64" s="11" t="n">
        <f aca="false">IF(AND(BX$1&gt;=Units!$Q63,MOD(BX$1-Units!$Q63,12)=0),IF(AND(Units!$L63=1,BX$1=Units!$Q63),1,Inputs!$B$15)*Inputs!$B$16*(1+Inputs!$B$11)^(BX$2-1),0)</f>
        <v>0</v>
      </c>
      <c r="BY64" s="11" t="n">
        <f aca="false">IF(AND(BY$1&gt;=Units!$Q63,MOD(BY$1-Units!$Q63,12)=0),IF(AND(Units!$L63=1,BY$1=Units!$Q63),1,Inputs!$B$15)*Inputs!$B$16*(1+Inputs!$B$11)^(BY$2-1),0)</f>
        <v>0</v>
      </c>
      <c r="BZ64" s="11" t="n">
        <f aca="false">IF(AND(BZ$1&gt;=Units!$Q63,MOD(BZ$1-Units!$Q63,12)=0),IF(AND(Units!$L63=1,BZ$1=Units!$Q63),1,Inputs!$B$15)*Inputs!$B$16*(1+Inputs!$B$11)^(BZ$2-1),0)</f>
        <v>0</v>
      </c>
      <c r="CA64" s="11" t="n">
        <f aca="false">IF(AND(CA$1&gt;=Units!$Q63,MOD(CA$1-Units!$Q63,12)=0),IF(AND(Units!$L63=1,CA$1=Units!$Q63),1,Inputs!$B$15)*Inputs!$B$16*(1+Inputs!$B$11)^(CA$2-1),0)</f>
        <v>0</v>
      </c>
      <c r="CB64" s="11" t="n">
        <f aca="false">IF(AND(CB$1&gt;=Units!$Q63,MOD(CB$1-Units!$Q63,12)=0),IF(AND(Units!$L63=1,CB$1=Units!$Q63),1,Inputs!$B$15)*Inputs!$B$16*(1+Inputs!$B$11)^(CB$2-1),0)</f>
        <v>597.0261482645</v>
      </c>
      <c r="CC64" s="11" t="n">
        <f aca="false">IF(AND(CC$1&gt;=Units!$Q63,MOD(CC$1-Units!$Q63,12)=0),IF(AND(Units!$L63=1,CC$1=Units!$Q63),1,Inputs!$B$15)*Inputs!$B$16*(1+Inputs!$B$11)^(CC$2-1),0)</f>
        <v>0</v>
      </c>
      <c r="CD64" s="11" t="n">
        <f aca="false">IF(AND(CD$1&gt;=Units!$Q63,MOD(CD$1-Units!$Q63,12)=0),IF(AND(Units!$L63=1,CD$1=Units!$Q63),1,Inputs!$B$15)*Inputs!$B$16*(1+Inputs!$B$11)^(CD$2-1),0)</f>
        <v>0</v>
      </c>
      <c r="CE64" s="11" t="n">
        <f aca="false">IF(AND(CE$1&gt;=Units!$Q63,MOD(CE$1-Units!$Q63,12)=0),IF(AND(Units!$L63=1,CE$1=Units!$Q63),1,Inputs!$B$15)*Inputs!$B$16*(1+Inputs!$B$11)^(CE$2-1),0)</f>
        <v>0</v>
      </c>
      <c r="CF64" s="11" t="n">
        <f aca="false">IF(AND(CF$1&gt;=Units!$Q63,MOD(CF$1-Units!$Q63,12)=0),IF(AND(Units!$L63=1,CF$1=Units!$Q63),1,Inputs!$B$15)*Inputs!$B$16*(1+Inputs!$B$11)^(CF$2-1),0)</f>
        <v>0</v>
      </c>
      <c r="CG64" s="11" t="n">
        <f aca="false">IF(AND(CG$1&gt;=Units!$Q63,MOD(CG$1-Units!$Q63,12)=0),IF(AND(Units!$L63=1,CG$1=Units!$Q63),1,Inputs!$B$15)*Inputs!$B$16*(1+Inputs!$B$11)^(CG$2-1),0)</f>
        <v>0</v>
      </c>
      <c r="CH64" s="11" t="n">
        <f aca="false">IF(AND(CH$1&gt;=Units!$Q63,MOD(CH$1-Units!$Q63,12)=0),IF(AND(Units!$L63=1,CH$1=Units!$Q63),1,Inputs!$B$15)*Inputs!$B$16*(1+Inputs!$B$11)^(CH$2-1),0)</f>
        <v>0</v>
      </c>
      <c r="CI64" s="11" t="n">
        <f aca="false">IF(AND(CI$1&gt;=Units!$Q63,MOD(CI$1-Units!$Q63,12)=0),IF(AND(Units!$L63=1,CI$1=Units!$Q63),1,Inputs!$B$15)*Inputs!$B$16*(1+Inputs!$B$11)^(CI$2-1),0)</f>
        <v>0</v>
      </c>
      <c r="CJ64" s="11" t="n">
        <f aca="false">IF(AND(CJ$1&gt;=Units!$Q63,MOD(CJ$1-Units!$Q63,12)=0),IF(AND(Units!$L63=1,CJ$1=Units!$Q63),1,Inputs!$B$15)*Inputs!$B$16*(1+Inputs!$B$11)^(CJ$2-1),0)</f>
        <v>0</v>
      </c>
      <c r="CK64" s="11" t="n">
        <f aca="false">IF(AND(CK$1&gt;=Units!$Q63,MOD(CK$1-Units!$Q63,12)=0),IF(AND(Units!$L63=1,CK$1=Units!$Q63),1,Inputs!$B$15)*Inputs!$B$16*(1+Inputs!$B$11)^(CK$2-1),0)</f>
        <v>0</v>
      </c>
      <c r="CL64" s="11" t="n">
        <f aca="false">IF(AND(CL$1&gt;=Units!$Q63,MOD(CL$1-Units!$Q63,12)=0),IF(AND(Units!$L63=1,CL$1=Units!$Q63),1,Inputs!$B$15)*Inputs!$B$16*(1+Inputs!$B$11)^(CL$2-1),0)</f>
        <v>0</v>
      </c>
      <c r="CM64" s="11" t="n">
        <f aca="false">IF(AND(CM$1&gt;=Units!$Q63,MOD(CM$1-Units!$Q63,12)=0),IF(AND(Units!$L63=1,CM$1=Units!$Q63),1,Inputs!$B$15)*Inputs!$B$16*(1+Inputs!$B$11)^(CM$2-1),0)</f>
        <v>0</v>
      </c>
      <c r="CN64" s="11" t="n">
        <f aca="false">IF(AND(CN$1&gt;=Units!$Q63,MOD(CN$1-Units!$Q63,12)=0),IF(AND(Units!$L63=1,CN$1=Units!$Q63),1,Inputs!$B$15)*Inputs!$B$16*(1+Inputs!$B$11)^(CN$2-1),0)</f>
        <v>614.936932712435</v>
      </c>
      <c r="CO64" s="11" t="n">
        <f aca="false">IF(AND(CO$1&gt;=Units!$Q63,MOD(CO$1-Units!$Q63,12)=0),IF(AND(Units!$L63=1,CO$1=Units!$Q63),1,Inputs!$B$15)*Inputs!$B$16*(1+Inputs!$B$11)^(CO$2-1),0)</f>
        <v>0</v>
      </c>
      <c r="CP64" s="11" t="n">
        <f aca="false">IF(AND(CP$1&gt;=Units!$Q63,MOD(CP$1-Units!$Q63,12)=0),IF(AND(Units!$L63=1,CP$1=Units!$Q63),1,Inputs!$B$15)*Inputs!$B$16*(1+Inputs!$B$11)^(CP$2-1),0)</f>
        <v>0</v>
      </c>
      <c r="CQ64" s="11" t="n">
        <f aca="false">IF(AND(CQ$1&gt;=Units!$Q63,MOD(CQ$1-Units!$Q63,12)=0),IF(AND(Units!$L63=1,CQ$1=Units!$Q63),1,Inputs!$B$15)*Inputs!$B$16*(1+Inputs!$B$11)^(CQ$2-1),0)</f>
        <v>0</v>
      </c>
      <c r="CR64" s="11" t="n">
        <f aca="false">IF(AND(CR$1&gt;=Units!$Q63,MOD(CR$1-Units!$Q63,12)=0),IF(AND(Units!$L63=1,CR$1=Units!$Q63),1,Inputs!$B$15)*Inputs!$B$16*(1+Inputs!$B$11)^(CR$2-1),0)</f>
        <v>0</v>
      </c>
      <c r="CS64" s="11" t="n">
        <f aca="false">IF(AND(CS$1&gt;=Units!$Q63,MOD(CS$1-Units!$Q63,12)=0),IF(AND(Units!$L63=1,CS$1=Units!$Q63),1,Inputs!$B$15)*Inputs!$B$16*(1+Inputs!$B$11)^(CS$2-1),0)</f>
        <v>0</v>
      </c>
      <c r="CT64" s="11" t="n">
        <f aca="false">IF(AND(CT$1&gt;=Units!$Q63,MOD(CT$1-Units!$Q63,12)=0),IF(AND(Units!$L63=1,CT$1=Units!$Q63),1,Inputs!$B$15)*Inputs!$B$16*(1+Inputs!$B$11)^(CT$2-1),0)</f>
        <v>0</v>
      </c>
      <c r="CU64" s="11" t="n">
        <f aca="false">IF(AND(CU$1&gt;=Units!$Q63,MOD(CU$1-Units!$Q63,12)=0),IF(AND(Units!$L63=1,CU$1=Units!$Q63),1,Inputs!$B$15)*Inputs!$B$16*(1+Inputs!$B$11)^(CU$2-1),0)</f>
        <v>0</v>
      </c>
      <c r="CV64" s="11" t="n">
        <f aca="false">IF(AND(CV$1&gt;=Units!$Q63,MOD(CV$1-Units!$Q63,12)=0),IF(AND(Units!$L63=1,CV$1=Units!$Q63),1,Inputs!$B$15)*Inputs!$B$16*(1+Inputs!$B$11)^(CV$2-1),0)</f>
        <v>0</v>
      </c>
      <c r="CW64" s="11" t="n">
        <f aca="false">IF(AND(CW$1&gt;=Units!$Q63,MOD(CW$1-Units!$Q63,12)=0),IF(AND(Units!$L63=1,CW$1=Units!$Q63),1,Inputs!$B$15)*Inputs!$B$16*(1+Inputs!$B$11)^(CW$2-1),0)</f>
        <v>0</v>
      </c>
      <c r="CX64" s="11" t="n">
        <f aca="false">IF(AND(CX$1&gt;=Units!$Q63,MOD(CX$1-Units!$Q63,12)=0),IF(AND(Units!$L63=1,CX$1=Units!$Q63),1,Inputs!$B$15)*Inputs!$B$16*(1+Inputs!$B$11)^(CX$2-1),0)</f>
        <v>0</v>
      </c>
      <c r="CY64" s="11" t="n">
        <f aca="false">IF(AND(CY$1&gt;=Units!$Q63,MOD(CY$1-Units!$Q63,12)=0),IF(AND(Units!$L63=1,CY$1=Units!$Q63),1,Inputs!$B$15)*Inputs!$B$16*(1+Inputs!$B$11)^(CY$2-1),0)</f>
        <v>0</v>
      </c>
      <c r="CZ64" s="11" t="n">
        <f aca="false">IF(AND(CZ$1&gt;=Units!$Q63,MOD(CZ$1-Units!$Q63,12)=0),IF(AND(Units!$L63=1,CZ$1=Units!$Q63),1,Inputs!$B$15)*Inputs!$B$16*(1+Inputs!$B$11)^(CZ$2-1),0)</f>
        <v>633.385040693808</v>
      </c>
      <c r="DA64" s="11" t="n">
        <f aca="false">IF(AND(DA$1&gt;=Units!$Q63,MOD(DA$1-Units!$Q63,12)=0),IF(AND(Units!$L63=1,DA$1=Units!$Q63),1,Inputs!$B$15)*Inputs!$B$16*(1+Inputs!$B$11)^(DA$2-1),0)</f>
        <v>0</v>
      </c>
      <c r="DB64" s="11" t="n">
        <f aca="false">IF(AND(DB$1&gt;=Units!$Q63,MOD(DB$1-Units!$Q63,12)=0),IF(AND(Units!$L63=1,DB$1=Units!$Q63),1,Inputs!$B$15)*Inputs!$B$16*(1+Inputs!$B$11)^(DB$2-1),0)</f>
        <v>0</v>
      </c>
      <c r="DC64" s="11" t="n">
        <f aca="false">IF(AND(DC$1&gt;=Units!$Q63,MOD(DC$1-Units!$Q63,12)=0),IF(AND(Units!$L63=1,DC$1=Units!$Q63),1,Inputs!$B$15)*Inputs!$B$16*(1+Inputs!$B$11)^(DC$2-1),0)</f>
        <v>0</v>
      </c>
      <c r="DD64" s="11" t="n">
        <f aca="false">IF(AND(DD$1&gt;=Units!$Q63,MOD(DD$1-Units!$Q63,12)=0),IF(AND(Units!$L63=1,DD$1=Units!$Q63),1,Inputs!$B$15)*Inputs!$B$16*(1+Inputs!$B$11)^(DD$2-1),0)</f>
        <v>0</v>
      </c>
      <c r="DE64" s="11" t="n">
        <f aca="false">IF(AND(DE$1&gt;=Units!$Q63,MOD(DE$1-Units!$Q63,12)=0),IF(AND(Units!$L63=1,DE$1=Units!$Q63),1,Inputs!$B$15)*Inputs!$B$16*(1+Inputs!$B$11)^(DE$2-1),0)</f>
        <v>0</v>
      </c>
      <c r="DF64" s="11" t="n">
        <f aca="false">IF(AND(DF$1&gt;=Units!$Q63,MOD(DF$1-Units!$Q63,12)=0),IF(AND(Units!$L63=1,DF$1=Units!$Q63),1,Inputs!$B$15)*Inputs!$B$16*(1+Inputs!$B$11)^(DF$2-1),0)</f>
        <v>0</v>
      </c>
      <c r="DG64" s="11" t="n">
        <f aca="false">IF(AND(DG$1&gt;=Units!$Q63,MOD(DG$1-Units!$Q63,12)=0),IF(AND(Units!$L63=1,DG$1=Units!$Q63),1,Inputs!$B$15)*Inputs!$B$16*(1+Inputs!$B$11)^(DG$2-1),0)</f>
        <v>0</v>
      </c>
      <c r="DH64" s="11" t="n">
        <f aca="false">IF(AND(DH$1&gt;=Units!$Q63,MOD(DH$1-Units!$Q63,12)=0),IF(AND(Units!$L63=1,DH$1=Units!$Q63),1,Inputs!$B$15)*Inputs!$B$16*(1+Inputs!$B$11)^(DH$2-1),0)</f>
        <v>0</v>
      </c>
      <c r="DI64" s="11" t="n">
        <f aca="false">IF(AND(DI$1&gt;=Units!$Q63,MOD(DI$1-Units!$Q63,12)=0),IF(AND(Units!$L63=1,DI$1=Units!$Q63),1,Inputs!$B$15)*Inputs!$B$16*(1+Inputs!$B$11)^(DI$2-1),0)</f>
        <v>0</v>
      </c>
      <c r="DJ64" s="11" t="n">
        <f aca="false">IF(AND(DJ$1&gt;=Units!$Q63,MOD(DJ$1-Units!$Q63,12)=0),IF(AND(Units!$L63=1,DJ$1=Units!$Q63),1,Inputs!$B$15)*Inputs!$B$16*(1+Inputs!$B$11)^(DJ$2-1),0)</f>
        <v>0</v>
      </c>
      <c r="DK64" s="11" t="n">
        <f aca="false">IF(AND(DK$1&gt;=Units!$Q63,MOD(DK$1-Units!$Q63,12)=0),IF(AND(Units!$L63=1,DK$1=Units!$Q63),1,Inputs!$B$15)*Inputs!$B$16*(1+Inputs!$B$11)^(DK$2-1),0)</f>
        <v>0</v>
      </c>
      <c r="DL64" s="11" t="n">
        <f aca="false">IF(AND(DL$1&gt;=Units!$Q63,MOD(DL$1-Units!$Q63,12)=0),IF(AND(Units!$L63=1,DL$1=Units!$Q63),1,Inputs!$B$15)*Inputs!$B$16*(1+Inputs!$B$11)^(DL$2-1),0)</f>
        <v>652.386591914623</v>
      </c>
      <c r="DM64" s="11" t="n">
        <f aca="false">IF(AND(DM$1&gt;=Units!$Q63,MOD(DM$1-Units!$Q63,12)=0),IF(AND(Units!$L63=1,DM$1=Units!$Q63),1,Inputs!$B$15)*Inputs!$B$16*(1+Inputs!$B$11)^(DM$2-1),0)</f>
        <v>0</v>
      </c>
      <c r="DN64" s="11" t="n">
        <f aca="false">IF(AND(DN$1&gt;=Units!$Q63,MOD(DN$1-Units!$Q63,12)=0),IF(AND(Units!$L63=1,DN$1=Units!$Q63),1,Inputs!$B$15)*Inputs!$B$16*(1+Inputs!$B$11)^(DN$2-1),0)</f>
        <v>0</v>
      </c>
      <c r="DO64" s="11" t="n">
        <f aca="false">IF(AND(DO$1&gt;=Units!$Q63,MOD(DO$1-Units!$Q63,12)=0),IF(AND(Units!$L63=1,DO$1=Units!$Q63),1,Inputs!$B$15)*Inputs!$B$16*(1+Inputs!$B$11)^(DO$2-1),0)</f>
        <v>0</v>
      </c>
      <c r="DP64" s="11" t="n">
        <f aca="false">IF(AND(DP$1&gt;=Units!$Q63,MOD(DP$1-Units!$Q63,12)=0),IF(AND(Units!$L63=1,DP$1=Units!$Q63),1,Inputs!$B$15)*Inputs!$B$16*(1+Inputs!$B$11)^(DP$2-1),0)</f>
        <v>0</v>
      </c>
      <c r="DQ64" s="11" t="n">
        <f aca="false">IF(AND(DQ$1&gt;=Units!$Q63,MOD(DQ$1-Units!$Q63,12)=0),IF(AND(Units!$L63=1,DQ$1=Units!$Q63),1,Inputs!$B$15)*Inputs!$B$16*(1+Inputs!$B$11)^(DQ$2-1),0)</f>
        <v>0</v>
      </c>
      <c r="DR64" s="11" t="n">
        <f aca="false">IF(AND(DR$1&gt;=Units!$Q63,MOD(DR$1-Units!$Q63,12)=0),IF(AND(Units!$L63=1,DR$1=Units!$Q63),1,Inputs!$B$15)*Inputs!$B$16*(1+Inputs!$B$11)^(DR$2-1),0)</f>
        <v>0</v>
      </c>
      <c r="DS64" s="11" t="n">
        <f aca="false">IF(AND(DS$1&gt;=Units!$Q63,MOD(DS$1-Units!$Q63,12)=0),IF(AND(Units!$L63=1,DS$1=Units!$Q63),1,Inputs!$B$15)*Inputs!$B$16*(1+Inputs!$B$11)^(DS$2-1),0)</f>
        <v>0</v>
      </c>
      <c r="DT64" s="11" t="n">
        <f aca="false">IF(AND(DT$1&gt;=Units!$Q63,MOD(DT$1-Units!$Q63,12)=0),IF(AND(Units!$L63=1,DT$1=Units!$Q63),1,Inputs!$B$15)*Inputs!$B$16*(1+Inputs!$B$11)^(DT$2-1),0)</f>
        <v>0</v>
      </c>
      <c r="DU64" s="11" t="n">
        <f aca="false">IF(AND(DU$1&gt;=Units!$Q63,MOD(DU$1-Units!$Q63,12)=0),IF(AND(Units!$L63=1,DU$1=Units!$Q63),1,Inputs!$B$15)*Inputs!$B$16*(1+Inputs!$B$11)^(DU$2-1),0)</f>
        <v>0</v>
      </c>
      <c r="DV64" s="11" t="n">
        <f aca="false">IF(AND(DV$1&gt;=Units!$Q63,MOD(DV$1-Units!$Q63,12)=0),IF(AND(Units!$L63=1,DV$1=Units!$Q63),1,Inputs!$B$15)*Inputs!$B$16*(1+Inputs!$B$11)^(DV$2-1),0)</f>
        <v>0</v>
      </c>
      <c r="DW64" s="11" t="n">
        <f aca="false">IF(AND(DW$1&gt;=Units!$Q63,MOD(DW$1-Units!$Q63,12)=0),IF(AND(Units!$L63=1,DW$1=Units!$Q63),1,Inputs!$B$15)*Inputs!$B$16*(1+Inputs!$B$11)^(DW$2-1),0)</f>
        <v>0</v>
      </c>
      <c r="DX64" s="11" t="n">
        <f aca="false">IF(AND(DX$1&gt;=Units!$Q63,MOD(DX$1-Units!$Q63,12)=0),IF(AND(Units!$L63=1,DX$1=Units!$Q63),1,Inputs!$B$15)*Inputs!$B$16*(1+Inputs!$B$11)^(DX$2-1),0)</f>
        <v>671.958189672061</v>
      </c>
      <c r="DY64" s="11" t="n">
        <f aca="false">IF(AND(DY$1&gt;=Units!$Q63,MOD(DY$1-Units!$Q63,12)=0),IF(AND(Units!$L63=1,DY$1=Units!$Q63),1,Inputs!$B$15)*Inputs!$B$16*(1+Inputs!$B$11)^(DY$2-1),0)</f>
        <v>0</v>
      </c>
      <c r="DZ64" s="11" t="n">
        <f aca="false">IF(AND(DZ$1&gt;=Units!$Q63,MOD(DZ$1-Units!$Q63,12)=0),IF(AND(Units!$L63=1,DZ$1=Units!$Q63),1,Inputs!$B$15)*Inputs!$B$16*(1+Inputs!$B$11)^(DZ$2-1),0)</f>
        <v>0</v>
      </c>
      <c r="EA64" s="11" t="n">
        <f aca="false">IF(AND(EA$1&gt;=Units!$Q63,MOD(EA$1-Units!$Q63,12)=0),IF(AND(Units!$L63=1,EA$1=Units!$Q63),1,Inputs!$B$15)*Inputs!$B$16*(1+Inputs!$B$11)^(EA$2-1),0)</f>
        <v>0</v>
      </c>
      <c r="EB64" s="11" t="n">
        <f aca="false">IF(AND(EB$1&gt;=Units!$Q63,MOD(EB$1-Units!$Q63,12)=0),IF(AND(Units!$L63=1,EB$1=Units!$Q63),1,Inputs!$B$15)*Inputs!$B$16*(1+Inputs!$B$11)^(EB$2-1),0)</f>
        <v>0</v>
      </c>
      <c r="EC64" s="11" t="n">
        <f aca="false">IF(AND(EC$1&gt;=Units!$Q63,MOD(EC$1-Units!$Q63,12)=0),IF(AND(Units!$L63=1,EC$1=Units!$Q63),1,Inputs!$B$15)*Inputs!$B$16*(1+Inputs!$B$11)^(EC$2-1),0)</f>
        <v>0</v>
      </c>
      <c r="ED64" s="11" t="n">
        <f aca="false">IF(AND(ED$1&gt;=Units!$Q63,MOD(ED$1-Units!$Q63,12)=0),IF(AND(Units!$L63=1,ED$1=Units!$Q63),1,Inputs!$B$15)*Inputs!$B$16*(1+Inputs!$B$11)^(ED$2-1),0)</f>
        <v>0</v>
      </c>
    </row>
    <row r="65" customFormat="false" ht="15" hidden="false" customHeight="false" outlineLevel="0" collapsed="false">
      <c r="A65" s="22" t="n">
        <f aca="false">Units!A64</f>
        <v>303</v>
      </c>
      <c r="B65" s="23"/>
      <c r="C65" s="11" t="n">
        <f aca="false">IF(AND(C$1&gt;=Units!$Q64,MOD(C$1-Units!$Q64,12)=0),IF(AND(Units!$L64=1,C$1=Units!$Q64),1,Inputs!$B$15)*Inputs!$B$16*(1+Inputs!$B$11)^(C$2-1),0)</f>
        <v>0</v>
      </c>
      <c r="D65" s="11" t="n">
        <f aca="false">IF(AND(D$1&gt;=Units!$Q64,MOD(D$1-Units!$Q64,12)=0),IF(AND(Units!$L64=1,D$1=Units!$Q64),1,Inputs!$B$15)*Inputs!$B$16*(1+Inputs!$B$11)^(D$2-1),0)</f>
        <v>0</v>
      </c>
      <c r="E65" s="11" t="n">
        <f aca="false">IF(AND(E$1&gt;=Units!$Q64,MOD(E$1-Units!$Q64,12)=0),IF(AND(Units!$L64=1,E$1=Units!$Q64),1,Inputs!$B$15)*Inputs!$B$16*(1+Inputs!$B$11)^(E$2-1),0)</f>
        <v>0</v>
      </c>
      <c r="F65" s="11" t="n">
        <f aca="false">IF(AND(F$1&gt;=Units!$Q64,MOD(F$1-Units!$Q64,12)=0),IF(AND(Units!$L64=1,F$1=Units!$Q64),1,Inputs!$B$15)*Inputs!$B$16*(1+Inputs!$B$11)^(F$2-1),0)</f>
        <v>0</v>
      </c>
      <c r="G65" s="11" t="n">
        <f aca="false">IF(AND(G$1&gt;=Units!$Q64,MOD(G$1-Units!$Q64,12)=0),IF(AND(Units!$L64=1,G$1=Units!$Q64),1,Inputs!$B$15)*Inputs!$B$16*(1+Inputs!$B$11)^(G$2-1),0)</f>
        <v>0</v>
      </c>
      <c r="H65" s="11" t="n">
        <f aca="false">IF(AND(H$1&gt;=Units!$Q64,MOD(H$1-Units!$Q64,12)=0),IF(AND(Units!$L64=1,H$1=Units!$Q64),1,Inputs!$B$15)*Inputs!$B$16*(1+Inputs!$B$11)^(H$2-1),0)</f>
        <v>0</v>
      </c>
      <c r="I65" s="11" t="n">
        <f aca="false">IF(AND(I$1&gt;=Units!$Q64,MOD(I$1-Units!$Q64,12)=0),IF(AND(Units!$L64=1,I$1=Units!$Q64),1,Inputs!$B$15)*Inputs!$B$16*(1+Inputs!$B$11)^(I$2-1),0)</f>
        <v>0</v>
      </c>
      <c r="J65" s="11" t="n">
        <f aca="false">IF(AND(J$1&gt;=Units!$Q64,MOD(J$1-Units!$Q64,12)=0),IF(AND(Units!$L64=1,J$1=Units!$Q64),1,Inputs!$B$15)*Inputs!$B$16*(1+Inputs!$B$11)^(J$2-1),0)</f>
        <v>0</v>
      </c>
      <c r="K65" s="11" t="n">
        <f aca="false">IF(AND(K$1&gt;=Units!$Q64,MOD(K$1-Units!$Q64,12)=0),IF(AND(Units!$L64=1,K$1=Units!$Q64),1,Inputs!$B$15)*Inputs!$B$16*(1+Inputs!$B$11)^(K$2-1),0)</f>
        <v>0</v>
      </c>
      <c r="L65" s="11" t="n">
        <f aca="false">IF(AND(L$1&gt;=Units!$Q64,MOD(L$1-Units!$Q64,12)=0),IF(AND(Units!$L64=1,L$1=Units!$Q64),1,Inputs!$B$15)*Inputs!$B$16*(1+Inputs!$B$11)^(L$2-1),0)</f>
        <v>0</v>
      </c>
      <c r="M65" s="11" t="n">
        <f aca="false">IF(AND(M$1&gt;=Units!$Q64,MOD(M$1-Units!$Q64,12)=0),IF(AND(Units!$L64=1,M$1=Units!$Q64),1,Inputs!$B$15)*Inputs!$B$16*(1+Inputs!$B$11)^(M$2-1),0)</f>
        <v>500</v>
      </c>
      <c r="N65" s="11" t="n">
        <f aca="false">IF(AND(N$1&gt;=Units!$Q64,MOD(N$1-Units!$Q64,12)=0),IF(AND(Units!$L64=1,N$1=Units!$Q64),1,Inputs!$B$15)*Inputs!$B$16*(1+Inputs!$B$11)^(N$2-1),0)</f>
        <v>0</v>
      </c>
      <c r="O65" s="11" t="n">
        <f aca="false">IF(AND(O$1&gt;=Units!$Q64,MOD(O$1-Units!$Q64,12)=0),IF(AND(Units!$L64=1,O$1=Units!$Q64),1,Inputs!$B$15)*Inputs!$B$16*(1+Inputs!$B$11)^(O$2-1),0)</f>
        <v>0</v>
      </c>
      <c r="P65" s="11" t="n">
        <f aca="false">IF(AND(P$1&gt;=Units!$Q64,MOD(P$1-Units!$Q64,12)=0),IF(AND(Units!$L64=1,P$1=Units!$Q64),1,Inputs!$B$15)*Inputs!$B$16*(1+Inputs!$B$11)^(P$2-1),0)</f>
        <v>0</v>
      </c>
      <c r="Q65" s="11" t="n">
        <f aca="false">IF(AND(Q$1&gt;=Units!$Q64,MOD(Q$1-Units!$Q64,12)=0),IF(AND(Units!$L64=1,Q$1=Units!$Q64),1,Inputs!$B$15)*Inputs!$B$16*(1+Inputs!$B$11)^(Q$2-1),0)</f>
        <v>0</v>
      </c>
      <c r="R65" s="11" t="n">
        <f aca="false">IF(AND(R$1&gt;=Units!$Q64,MOD(R$1-Units!$Q64,12)=0),IF(AND(Units!$L64=1,R$1=Units!$Q64),1,Inputs!$B$15)*Inputs!$B$16*(1+Inputs!$B$11)^(R$2-1),0)</f>
        <v>0</v>
      </c>
      <c r="S65" s="11" t="n">
        <f aca="false">IF(AND(S$1&gt;=Units!$Q64,MOD(S$1-Units!$Q64,12)=0),IF(AND(Units!$L64=1,S$1=Units!$Q64),1,Inputs!$B$15)*Inputs!$B$16*(1+Inputs!$B$11)^(S$2-1),0)</f>
        <v>0</v>
      </c>
      <c r="T65" s="11" t="n">
        <f aca="false">IF(AND(T$1&gt;=Units!$Q64,MOD(T$1-Units!$Q64,12)=0),IF(AND(Units!$L64=1,T$1=Units!$Q64),1,Inputs!$B$15)*Inputs!$B$16*(1+Inputs!$B$11)^(T$2-1),0)</f>
        <v>0</v>
      </c>
      <c r="U65" s="11" t="n">
        <f aca="false">IF(AND(U$1&gt;=Units!$Q64,MOD(U$1-Units!$Q64,12)=0),IF(AND(Units!$L64=1,U$1=Units!$Q64),1,Inputs!$B$15)*Inputs!$B$16*(1+Inputs!$B$11)^(U$2-1),0)</f>
        <v>0</v>
      </c>
      <c r="V65" s="11" t="n">
        <f aca="false">IF(AND(V$1&gt;=Units!$Q64,MOD(V$1-Units!$Q64,12)=0),IF(AND(Units!$L64=1,V$1=Units!$Q64),1,Inputs!$B$15)*Inputs!$B$16*(1+Inputs!$B$11)^(V$2-1),0)</f>
        <v>0</v>
      </c>
      <c r="W65" s="11" t="n">
        <f aca="false">IF(AND(W$1&gt;=Units!$Q64,MOD(W$1-Units!$Q64,12)=0),IF(AND(Units!$L64=1,W$1=Units!$Q64),1,Inputs!$B$15)*Inputs!$B$16*(1+Inputs!$B$11)^(W$2-1),0)</f>
        <v>0</v>
      </c>
      <c r="X65" s="11" t="n">
        <f aca="false">IF(AND(X$1&gt;=Units!$Q64,MOD(X$1-Units!$Q64,12)=0),IF(AND(Units!$L64=1,X$1=Units!$Q64),1,Inputs!$B$15)*Inputs!$B$16*(1+Inputs!$B$11)^(X$2-1),0)</f>
        <v>0</v>
      </c>
      <c r="Y65" s="11" t="n">
        <f aca="false">IF(AND(Y$1&gt;=Units!$Q64,MOD(Y$1-Units!$Q64,12)=0),IF(AND(Units!$L64=1,Y$1=Units!$Q64),1,Inputs!$B$15)*Inputs!$B$16*(1+Inputs!$B$11)^(Y$2-1),0)</f>
        <v>515</v>
      </c>
      <c r="Z65" s="11" t="n">
        <f aca="false">IF(AND(Z$1&gt;=Units!$Q64,MOD(Z$1-Units!$Q64,12)=0),IF(AND(Units!$L64=1,Z$1=Units!$Q64),1,Inputs!$B$15)*Inputs!$B$16*(1+Inputs!$B$11)^(Z$2-1),0)</f>
        <v>0</v>
      </c>
      <c r="AA65" s="11" t="n">
        <f aca="false">IF(AND(AA$1&gt;=Units!$Q64,MOD(AA$1-Units!$Q64,12)=0),IF(AND(Units!$L64=1,AA$1=Units!$Q64),1,Inputs!$B$15)*Inputs!$B$16*(1+Inputs!$B$11)^(AA$2-1),0)</f>
        <v>0</v>
      </c>
      <c r="AB65" s="11" t="n">
        <f aca="false">IF(AND(AB$1&gt;=Units!$Q64,MOD(AB$1-Units!$Q64,12)=0),IF(AND(Units!$L64=1,AB$1=Units!$Q64),1,Inputs!$B$15)*Inputs!$B$16*(1+Inputs!$B$11)^(AB$2-1),0)</f>
        <v>0</v>
      </c>
      <c r="AC65" s="11" t="n">
        <f aca="false">IF(AND(AC$1&gt;=Units!$Q64,MOD(AC$1-Units!$Q64,12)=0),IF(AND(Units!$L64=1,AC$1=Units!$Q64),1,Inputs!$B$15)*Inputs!$B$16*(1+Inputs!$B$11)^(AC$2-1),0)</f>
        <v>0</v>
      </c>
      <c r="AD65" s="11" t="n">
        <f aca="false">IF(AND(AD$1&gt;=Units!$Q64,MOD(AD$1-Units!$Q64,12)=0),IF(AND(Units!$L64=1,AD$1=Units!$Q64),1,Inputs!$B$15)*Inputs!$B$16*(1+Inputs!$B$11)^(AD$2-1),0)</f>
        <v>0</v>
      </c>
      <c r="AE65" s="11" t="n">
        <f aca="false">IF(AND(AE$1&gt;=Units!$Q64,MOD(AE$1-Units!$Q64,12)=0),IF(AND(Units!$L64=1,AE$1=Units!$Q64),1,Inputs!$B$15)*Inputs!$B$16*(1+Inputs!$B$11)^(AE$2-1),0)</f>
        <v>0</v>
      </c>
      <c r="AF65" s="11" t="n">
        <f aca="false">IF(AND(AF$1&gt;=Units!$Q64,MOD(AF$1-Units!$Q64,12)=0),IF(AND(Units!$L64=1,AF$1=Units!$Q64),1,Inputs!$B$15)*Inputs!$B$16*(1+Inputs!$B$11)^(AF$2-1),0)</f>
        <v>0</v>
      </c>
      <c r="AG65" s="11" t="n">
        <f aca="false">IF(AND(AG$1&gt;=Units!$Q64,MOD(AG$1-Units!$Q64,12)=0),IF(AND(Units!$L64=1,AG$1=Units!$Q64),1,Inputs!$B$15)*Inputs!$B$16*(1+Inputs!$B$11)^(AG$2-1),0)</f>
        <v>0</v>
      </c>
      <c r="AH65" s="11" t="n">
        <f aca="false">IF(AND(AH$1&gt;=Units!$Q64,MOD(AH$1-Units!$Q64,12)=0),IF(AND(Units!$L64=1,AH$1=Units!$Q64),1,Inputs!$B$15)*Inputs!$B$16*(1+Inputs!$B$11)^(AH$2-1),0)</f>
        <v>0</v>
      </c>
      <c r="AI65" s="11" t="n">
        <f aca="false">IF(AND(AI$1&gt;=Units!$Q64,MOD(AI$1-Units!$Q64,12)=0),IF(AND(Units!$L64=1,AI$1=Units!$Q64),1,Inputs!$B$15)*Inputs!$B$16*(1+Inputs!$B$11)^(AI$2-1),0)</f>
        <v>0</v>
      </c>
      <c r="AJ65" s="11" t="n">
        <f aca="false">IF(AND(AJ$1&gt;=Units!$Q64,MOD(AJ$1-Units!$Q64,12)=0),IF(AND(Units!$L64=1,AJ$1=Units!$Q64),1,Inputs!$B$15)*Inputs!$B$16*(1+Inputs!$B$11)^(AJ$2-1),0)</f>
        <v>0</v>
      </c>
      <c r="AK65" s="11" t="n">
        <f aca="false">IF(AND(AK$1&gt;=Units!$Q64,MOD(AK$1-Units!$Q64,12)=0),IF(AND(Units!$L64=1,AK$1=Units!$Q64),1,Inputs!$B$15)*Inputs!$B$16*(1+Inputs!$B$11)^(AK$2-1),0)</f>
        <v>530.45</v>
      </c>
      <c r="AL65" s="11" t="n">
        <f aca="false">IF(AND(AL$1&gt;=Units!$Q64,MOD(AL$1-Units!$Q64,12)=0),IF(AND(Units!$L64=1,AL$1=Units!$Q64),1,Inputs!$B$15)*Inputs!$B$16*(1+Inputs!$B$11)^(AL$2-1),0)</f>
        <v>0</v>
      </c>
      <c r="AM65" s="11" t="n">
        <f aca="false">IF(AND(AM$1&gt;=Units!$Q64,MOD(AM$1-Units!$Q64,12)=0),IF(AND(Units!$L64=1,AM$1=Units!$Q64),1,Inputs!$B$15)*Inputs!$B$16*(1+Inputs!$B$11)^(AM$2-1),0)</f>
        <v>0</v>
      </c>
      <c r="AN65" s="11" t="n">
        <f aca="false">IF(AND(AN$1&gt;=Units!$Q64,MOD(AN$1-Units!$Q64,12)=0),IF(AND(Units!$L64=1,AN$1=Units!$Q64),1,Inputs!$B$15)*Inputs!$B$16*(1+Inputs!$B$11)^(AN$2-1),0)</f>
        <v>0</v>
      </c>
      <c r="AO65" s="11" t="n">
        <f aca="false">IF(AND(AO$1&gt;=Units!$Q64,MOD(AO$1-Units!$Q64,12)=0),IF(AND(Units!$L64=1,AO$1=Units!$Q64),1,Inputs!$B$15)*Inputs!$B$16*(1+Inputs!$B$11)^(AO$2-1),0)</f>
        <v>0</v>
      </c>
      <c r="AP65" s="11" t="n">
        <f aca="false">IF(AND(AP$1&gt;=Units!$Q64,MOD(AP$1-Units!$Q64,12)=0),IF(AND(Units!$L64=1,AP$1=Units!$Q64),1,Inputs!$B$15)*Inputs!$B$16*(1+Inputs!$B$11)^(AP$2-1),0)</f>
        <v>0</v>
      </c>
      <c r="AQ65" s="11" t="n">
        <f aca="false">IF(AND(AQ$1&gt;=Units!$Q64,MOD(AQ$1-Units!$Q64,12)=0),IF(AND(Units!$L64=1,AQ$1=Units!$Q64),1,Inputs!$B$15)*Inputs!$B$16*(1+Inputs!$B$11)^(AQ$2-1),0)</f>
        <v>0</v>
      </c>
      <c r="AR65" s="11" t="n">
        <f aca="false">IF(AND(AR$1&gt;=Units!$Q64,MOD(AR$1-Units!$Q64,12)=0),IF(AND(Units!$L64=1,AR$1=Units!$Q64),1,Inputs!$B$15)*Inputs!$B$16*(1+Inputs!$B$11)^(AR$2-1),0)</f>
        <v>0</v>
      </c>
      <c r="AS65" s="11" t="n">
        <f aca="false">IF(AND(AS$1&gt;=Units!$Q64,MOD(AS$1-Units!$Q64,12)=0),IF(AND(Units!$L64=1,AS$1=Units!$Q64),1,Inputs!$B$15)*Inputs!$B$16*(1+Inputs!$B$11)^(AS$2-1),0)</f>
        <v>0</v>
      </c>
      <c r="AT65" s="11" t="n">
        <f aca="false">IF(AND(AT$1&gt;=Units!$Q64,MOD(AT$1-Units!$Q64,12)=0),IF(AND(Units!$L64=1,AT$1=Units!$Q64),1,Inputs!$B$15)*Inputs!$B$16*(1+Inputs!$B$11)^(AT$2-1),0)</f>
        <v>0</v>
      </c>
      <c r="AU65" s="11" t="n">
        <f aca="false">IF(AND(AU$1&gt;=Units!$Q64,MOD(AU$1-Units!$Q64,12)=0),IF(AND(Units!$L64=1,AU$1=Units!$Q64),1,Inputs!$B$15)*Inputs!$B$16*(1+Inputs!$B$11)^(AU$2-1),0)</f>
        <v>0</v>
      </c>
      <c r="AV65" s="11" t="n">
        <f aca="false">IF(AND(AV$1&gt;=Units!$Q64,MOD(AV$1-Units!$Q64,12)=0),IF(AND(Units!$L64=1,AV$1=Units!$Q64),1,Inputs!$B$15)*Inputs!$B$16*(1+Inputs!$B$11)^(AV$2-1),0)</f>
        <v>0</v>
      </c>
      <c r="AW65" s="11" t="n">
        <f aca="false">IF(AND(AW$1&gt;=Units!$Q64,MOD(AW$1-Units!$Q64,12)=0),IF(AND(Units!$L64=1,AW$1=Units!$Q64),1,Inputs!$B$15)*Inputs!$B$16*(1+Inputs!$B$11)^(AW$2-1),0)</f>
        <v>546.3635</v>
      </c>
      <c r="AX65" s="11" t="n">
        <f aca="false">IF(AND(AX$1&gt;=Units!$Q64,MOD(AX$1-Units!$Q64,12)=0),IF(AND(Units!$L64=1,AX$1=Units!$Q64),1,Inputs!$B$15)*Inputs!$B$16*(1+Inputs!$B$11)^(AX$2-1),0)</f>
        <v>0</v>
      </c>
      <c r="AY65" s="11" t="n">
        <f aca="false">IF(AND(AY$1&gt;=Units!$Q64,MOD(AY$1-Units!$Q64,12)=0),IF(AND(Units!$L64=1,AY$1=Units!$Q64),1,Inputs!$B$15)*Inputs!$B$16*(1+Inputs!$B$11)^(AY$2-1),0)</f>
        <v>0</v>
      </c>
      <c r="AZ65" s="11" t="n">
        <f aca="false">IF(AND(AZ$1&gt;=Units!$Q64,MOD(AZ$1-Units!$Q64,12)=0),IF(AND(Units!$L64=1,AZ$1=Units!$Q64),1,Inputs!$B$15)*Inputs!$B$16*(1+Inputs!$B$11)^(AZ$2-1),0)</f>
        <v>0</v>
      </c>
      <c r="BA65" s="11" t="n">
        <f aca="false">IF(AND(BA$1&gt;=Units!$Q64,MOD(BA$1-Units!$Q64,12)=0),IF(AND(Units!$L64=1,BA$1=Units!$Q64),1,Inputs!$B$15)*Inputs!$B$16*(1+Inputs!$B$11)^(BA$2-1),0)</f>
        <v>0</v>
      </c>
      <c r="BB65" s="11" t="n">
        <f aca="false">IF(AND(BB$1&gt;=Units!$Q64,MOD(BB$1-Units!$Q64,12)=0),IF(AND(Units!$L64=1,BB$1=Units!$Q64),1,Inputs!$B$15)*Inputs!$B$16*(1+Inputs!$B$11)^(BB$2-1),0)</f>
        <v>0</v>
      </c>
      <c r="BC65" s="11" t="n">
        <f aca="false">IF(AND(BC$1&gt;=Units!$Q64,MOD(BC$1-Units!$Q64,12)=0),IF(AND(Units!$L64=1,BC$1=Units!$Q64),1,Inputs!$B$15)*Inputs!$B$16*(1+Inputs!$B$11)^(BC$2-1),0)</f>
        <v>0</v>
      </c>
      <c r="BD65" s="11" t="n">
        <f aca="false">IF(AND(BD$1&gt;=Units!$Q64,MOD(BD$1-Units!$Q64,12)=0),IF(AND(Units!$L64=1,BD$1=Units!$Q64),1,Inputs!$B$15)*Inputs!$B$16*(1+Inputs!$B$11)^(BD$2-1),0)</f>
        <v>0</v>
      </c>
      <c r="BE65" s="11" t="n">
        <f aca="false">IF(AND(BE$1&gt;=Units!$Q64,MOD(BE$1-Units!$Q64,12)=0),IF(AND(Units!$L64=1,BE$1=Units!$Q64),1,Inputs!$B$15)*Inputs!$B$16*(1+Inputs!$B$11)^(BE$2-1),0)</f>
        <v>0</v>
      </c>
      <c r="BF65" s="11" t="n">
        <f aca="false">IF(AND(BF$1&gt;=Units!$Q64,MOD(BF$1-Units!$Q64,12)=0),IF(AND(Units!$L64=1,BF$1=Units!$Q64),1,Inputs!$B$15)*Inputs!$B$16*(1+Inputs!$B$11)^(BF$2-1),0)</f>
        <v>0</v>
      </c>
      <c r="BG65" s="11" t="n">
        <f aca="false">IF(AND(BG$1&gt;=Units!$Q64,MOD(BG$1-Units!$Q64,12)=0),IF(AND(Units!$L64=1,BG$1=Units!$Q64),1,Inputs!$B$15)*Inputs!$B$16*(1+Inputs!$B$11)^(BG$2-1),0)</f>
        <v>0</v>
      </c>
      <c r="BH65" s="11" t="n">
        <f aca="false">IF(AND(BH$1&gt;=Units!$Q64,MOD(BH$1-Units!$Q64,12)=0),IF(AND(Units!$L64=1,BH$1=Units!$Q64),1,Inputs!$B$15)*Inputs!$B$16*(1+Inputs!$B$11)^(BH$2-1),0)</f>
        <v>0</v>
      </c>
      <c r="BI65" s="11" t="n">
        <f aca="false">IF(AND(BI$1&gt;=Units!$Q64,MOD(BI$1-Units!$Q64,12)=0),IF(AND(Units!$L64=1,BI$1=Units!$Q64),1,Inputs!$B$15)*Inputs!$B$16*(1+Inputs!$B$11)^(BI$2-1),0)</f>
        <v>562.754405</v>
      </c>
      <c r="BJ65" s="11" t="n">
        <f aca="false">IF(AND(BJ$1&gt;=Units!$Q64,MOD(BJ$1-Units!$Q64,12)=0),IF(AND(Units!$L64=1,BJ$1=Units!$Q64),1,Inputs!$B$15)*Inputs!$B$16*(1+Inputs!$B$11)^(BJ$2-1),0)</f>
        <v>0</v>
      </c>
      <c r="BK65" s="11" t="n">
        <f aca="false">IF(AND(BK$1&gt;=Units!$Q64,MOD(BK$1-Units!$Q64,12)=0),IF(AND(Units!$L64=1,BK$1=Units!$Q64),1,Inputs!$B$15)*Inputs!$B$16*(1+Inputs!$B$11)^(BK$2-1),0)</f>
        <v>0</v>
      </c>
      <c r="BL65" s="11" t="n">
        <f aca="false">IF(AND(BL$1&gt;=Units!$Q64,MOD(BL$1-Units!$Q64,12)=0),IF(AND(Units!$L64=1,BL$1=Units!$Q64),1,Inputs!$B$15)*Inputs!$B$16*(1+Inputs!$B$11)^(BL$2-1),0)</f>
        <v>0</v>
      </c>
      <c r="BM65" s="11" t="n">
        <f aca="false">IF(AND(BM$1&gt;=Units!$Q64,MOD(BM$1-Units!$Q64,12)=0),IF(AND(Units!$L64=1,BM$1=Units!$Q64),1,Inputs!$B$15)*Inputs!$B$16*(1+Inputs!$B$11)^(BM$2-1),0)</f>
        <v>0</v>
      </c>
      <c r="BN65" s="11" t="n">
        <f aca="false">IF(AND(BN$1&gt;=Units!$Q64,MOD(BN$1-Units!$Q64,12)=0),IF(AND(Units!$L64=1,BN$1=Units!$Q64),1,Inputs!$B$15)*Inputs!$B$16*(1+Inputs!$B$11)^(BN$2-1),0)</f>
        <v>0</v>
      </c>
      <c r="BO65" s="11" t="n">
        <f aca="false">IF(AND(BO$1&gt;=Units!$Q64,MOD(BO$1-Units!$Q64,12)=0),IF(AND(Units!$L64=1,BO$1=Units!$Q64),1,Inputs!$B$15)*Inputs!$B$16*(1+Inputs!$B$11)^(BO$2-1),0)</f>
        <v>0</v>
      </c>
      <c r="BP65" s="11" t="n">
        <f aca="false">IF(AND(BP$1&gt;=Units!$Q64,MOD(BP$1-Units!$Q64,12)=0),IF(AND(Units!$L64=1,BP$1=Units!$Q64),1,Inputs!$B$15)*Inputs!$B$16*(1+Inputs!$B$11)^(BP$2-1),0)</f>
        <v>0</v>
      </c>
      <c r="BQ65" s="11" t="n">
        <f aca="false">IF(AND(BQ$1&gt;=Units!$Q64,MOD(BQ$1-Units!$Q64,12)=0),IF(AND(Units!$L64=1,BQ$1=Units!$Q64),1,Inputs!$B$15)*Inputs!$B$16*(1+Inputs!$B$11)^(BQ$2-1),0)</f>
        <v>0</v>
      </c>
      <c r="BR65" s="11" t="n">
        <f aca="false">IF(AND(BR$1&gt;=Units!$Q64,MOD(BR$1-Units!$Q64,12)=0),IF(AND(Units!$L64=1,BR$1=Units!$Q64),1,Inputs!$B$15)*Inputs!$B$16*(1+Inputs!$B$11)^(BR$2-1),0)</f>
        <v>0</v>
      </c>
      <c r="BS65" s="11" t="n">
        <f aca="false">IF(AND(BS$1&gt;=Units!$Q64,MOD(BS$1-Units!$Q64,12)=0),IF(AND(Units!$L64=1,BS$1=Units!$Q64),1,Inputs!$B$15)*Inputs!$B$16*(1+Inputs!$B$11)^(BS$2-1),0)</f>
        <v>0</v>
      </c>
      <c r="BT65" s="11" t="n">
        <f aca="false">IF(AND(BT$1&gt;=Units!$Q64,MOD(BT$1-Units!$Q64,12)=0),IF(AND(Units!$L64=1,BT$1=Units!$Q64),1,Inputs!$B$15)*Inputs!$B$16*(1+Inputs!$B$11)^(BT$2-1),0)</f>
        <v>0</v>
      </c>
      <c r="BU65" s="11" t="n">
        <f aca="false">IF(AND(BU$1&gt;=Units!$Q64,MOD(BU$1-Units!$Q64,12)=0),IF(AND(Units!$L64=1,BU$1=Units!$Q64),1,Inputs!$B$15)*Inputs!$B$16*(1+Inputs!$B$11)^(BU$2-1),0)</f>
        <v>579.63703715</v>
      </c>
      <c r="BV65" s="11" t="n">
        <f aca="false">IF(AND(BV$1&gt;=Units!$Q64,MOD(BV$1-Units!$Q64,12)=0),IF(AND(Units!$L64=1,BV$1=Units!$Q64),1,Inputs!$B$15)*Inputs!$B$16*(1+Inputs!$B$11)^(BV$2-1),0)</f>
        <v>0</v>
      </c>
      <c r="BW65" s="11" t="n">
        <f aca="false">IF(AND(BW$1&gt;=Units!$Q64,MOD(BW$1-Units!$Q64,12)=0),IF(AND(Units!$L64=1,BW$1=Units!$Q64),1,Inputs!$B$15)*Inputs!$B$16*(1+Inputs!$B$11)^(BW$2-1),0)</f>
        <v>0</v>
      </c>
      <c r="BX65" s="11" t="n">
        <f aca="false">IF(AND(BX$1&gt;=Units!$Q64,MOD(BX$1-Units!$Q64,12)=0),IF(AND(Units!$L64=1,BX$1=Units!$Q64),1,Inputs!$B$15)*Inputs!$B$16*(1+Inputs!$B$11)^(BX$2-1),0)</f>
        <v>0</v>
      </c>
      <c r="BY65" s="11" t="n">
        <f aca="false">IF(AND(BY$1&gt;=Units!$Q64,MOD(BY$1-Units!$Q64,12)=0),IF(AND(Units!$L64=1,BY$1=Units!$Q64),1,Inputs!$B$15)*Inputs!$B$16*(1+Inputs!$B$11)^(BY$2-1),0)</f>
        <v>0</v>
      </c>
      <c r="BZ65" s="11" t="n">
        <f aca="false">IF(AND(BZ$1&gt;=Units!$Q64,MOD(BZ$1-Units!$Q64,12)=0),IF(AND(Units!$L64=1,BZ$1=Units!$Q64),1,Inputs!$B$15)*Inputs!$B$16*(1+Inputs!$B$11)^(BZ$2-1),0)</f>
        <v>0</v>
      </c>
      <c r="CA65" s="11" t="n">
        <f aca="false">IF(AND(CA$1&gt;=Units!$Q64,MOD(CA$1-Units!$Q64,12)=0),IF(AND(Units!$L64=1,CA$1=Units!$Q64),1,Inputs!$B$15)*Inputs!$B$16*(1+Inputs!$B$11)^(CA$2-1),0)</f>
        <v>0</v>
      </c>
      <c r="CB65" s="11" t="n">
        <f aca="false">IF(AND(CB$1&gt;=Units!$Q64,MOD(CB$1-Units!$Q64,12)=0),IF(AND(Units!$L64=1,CB$1=Units!$Q64),1,Inputs!$B$15)*Inputs!$B$16*(1+Inputs!$B$11)^(CB$2-1),0)</f>
        <v>0</v>
      </c>
      <c r="CC65" s="11" t="n">
        <f aca="false">IF(AND(CC$1&gt;=Units!$Q64,MOD(CC$1-Units!$Q64,12)=0),IF(AND(Units!$L64=1,CC$1=Units!$Q64),1,Inputs!$B$15)*Inputs!$B$16*(1+Inputs!$B$11)^(CC$2-1),0)</f>
        <v>0</v>
      </c>
      <c r="CD65" s="11" t="n">
        <f aca="false">IF(AND(CD$1&gt;=Units!$Q64,MOD(CD$1-Units!$Q64,12)=0),IF(AND(Units!$L64=1,CD$1=Units!$Q64),1,Inputs!$B$15)*Inputs!$B$16*(1+Inputs!$B$11)^(CD$2-1),0)</f>
        <v>0</v>
      </c>
      <c r="CE65" s="11" t="n">
        <f aca="false">IF(AND(CE$1&gt;=Units!$Q64,MOD(CE$1-Units!$Q64,12)=0),IF(AND(Units!$L64=1,CE$1=Units!$Q64),1,Inputs!$B$15)*Inputs!$B$16*(1+Inputs!$B$11)^(CE$2-1),0)</f>
        <v>0</v>
      </c>
      <c r="CF65" s="11" t="n">
        <f aca="false">IF(AND(CF$1&gt;=Units!$Q64,MOD(CF$1-Units!$Q64,12)=0),IF(AND(Units!$L64=1,CF$1=Units!$Q64),1,Inputs!$B$15)*Inputs!$B$16*(1+Inputs!$B$11)^(CF$2-1),0)</f>
        <v>0</v>
      </c>
      <c r="CG65" s="11" t="n">
        <f aca="false">IF(AND(CG$1&gt;=Units!$Q64,MOD(CG$1-Units!$Q64,12)=0),IF(AND(Units!$L64=1,CG$1=Units!$Q64),1,Inputs!$B$15)*Inputs!$B$16*(1+Inputs!$B$11)^(CG$2-1),0)</f>
        <v>597.0261482645</v>
      </c>
      <c r="CH65" s="11" t="n">
        <f aca="false">IF(AND(CH$1&gt;=Units!$Q64,MOD(CH$1-Units!$Q64,12)=0),IF(AND(Units!$L64=1,CH$1=Units!$Q64),1,Inputs!$B$15)*Inputs!$B$16*(1+Inputs!$B$11)^(CH$2-1),0)</f>
        <v>0</v>
      </c>
      <c r="CI65" s="11" t="n">
        <f aca="false">IF(AND(CI$1&gt;=Units!$Q64,MOD(CI$1-Units!$Q64,12)=0),IF(AND(Units!$L64=1,CI$1=Units!$Q64),1,Inputs!$B$15)*Inputs!$B$16*(1+Inputs!$B$11)^(CI$2-1),0)</f>
        <v>0</v>
      </c>
      <c r="CJ65" s="11" t="n">
        <f aca="false">IF(AND(CJ$1&gt;=Units!$Q64,MOD(CJ$1-Units!$Q64,12)=0),IF(AND(Units!$L64=1,CJ$1=Units!$Q64),1,Inputs!$B$15)*Inputs!$B$16*(1+Inputs!$B$11)^(CJ$2-1),0)</f>
        <v>0</v>
      </c>
      <c r="CK65" s="11" t="n">
        <f aca="false">IF(AND(CK$1&gt;=Units!$Q64,MOD(CK$1-Units!$Q64,12)=0),IF(AND(Units!$L64=1,CK$1=Units!$Q64),1,Inputs!$B$15)*Inputs!$B$16*(1+Inputs!$B$11)^(CK$2-1),0)</f>
        <v>0</v>
      </c>
      <c r="CL65" s="11" t="n">
        <f aca="false">IF(AND(CL$1&gt;=Units!$Q64,MOD(CL$1-Units!$Q64,12)=0),IF(AND(Units!$L64=1,CL$1=Units!$Q64),1,Inputs!$B$15)*Inputs!$B$16*(1+Inputs!$B$11)^(CL$2-1),0)</f>
        <v>0</v>
      </c>
      <c r="CM65" s="11" t="n">
        <f aca="false">IF(AND(CM$1&gt;=Units!$Q64,MOD(CM$1-Units!$Q64,12)=0),IF(AND(Units!$L64=1,CM$1=Units!$Q64),1,Inputs!$B$15)*Inputs!$B$16*(1+Inputs!$B$11)^(CM$2-1),0)</f>
        <v>0</v>
      </c>
      <c r="CN65" s="11" t="n">
        <f aca="false">IF(AND(CN$1&gt;=Units!$Q64,MOD(CN$1-Units!$Q64,12)=0),IF(AND(Units!$L64=1,CN$1=Units!$Q64),1,Inputs!$B$15)*Inputs!$B$16*(1+Inputs!$B$11)^(CN$2-1),0)</f>
        <v>0</v>
      </c>
      <c r="CO65" s="11" t="n">
        <f aca="false">IF(AND(CO$1&gt;=Units!$Q64,MOD(CO$1-Units!$Q64,12)=0),IF(AND(Units!$L64=1,CO$1=Units!$Q64),1,Inputs!$B$15)*Inputs!$B$16*(1+Inputs!$B$11)^(CO$2-1),0)</f>
        <v>0</v>
      </c>
      <c r="CP65" s="11" t="n">
        <f aca="false">IF(AND(CP$1&gt;=Units!$Q64,MOD(CP$1-Units!$Q64,12)=0),IF(AND(Units!$L64=1,CP$1=Units!$Q64),1,Inputs!$B$15)*Inputs!$B$16*(1+Inputs!$B$11)^(CP$2-1),0)</f>
        <v>0</v>
      </c>
      <c r="CQ65" s="11" t="n">
        <f aca="false">IF(AND(CQ$1&gt;=Units!$Q64,MOD(CQ$1-Units!$Q64,12)=0),IF(AND(Units!$L64=1,CQ$1=Units!$Q64),1,Inputs!$B$15)*Inputs!$B$16*(1+Inputs!$B$11)^(CQ$2-1),0)</f>
        <v>0</v>
      </c>
      <c r="CR65" s="11" t="n">
        <f aca="false">IF(AND(CR$1&gt;=Units!$Q64,MOD(CR$1-Units!$Q64,12)=0),IF(AND(Units!$L64=1,CR$1=Units!$Q64),1,Inputs!$B$15)*Inputs!$B$16*(1+Inputs!$B$11)^(CR$2-1),0)</f>
        <v>0</v>
      </c>
      <c r="CS65" s="11" t="n">
        <f aca="false">IF(AND(CS$1&gt;=Units!$Q64,MOD(CS$1-Units!$Q64,12)=0),IF(AND(Units!$L64=1,CS$1=Units!$Q64),1,Inputs!$B$15)*Inputs!$B$16*(1+Inputs!$B$11)^(CS$2-1),0)</f>
        <v>614.936932712435</v>
      </c>
      <c r="CT65" s="11" t="n">
        <f aca="false">IF(AND(CT$1&gt;=Units!$Q64,MOD(CT$1-Units!$Q64,12)=0),IF(AND(Units!$L64=1,CT$1=Units!$Q64),1,Inputs!$B$15)*Inputs!$B$16*(1+Inputs!$B$11)^(CT$2-1),0)</f>
        <v>0</v>
      </c>
      <c r="CU65" s="11" t="n">
        <f aca="false">IF(AND(CU$1&gt;=Units!$Q64,MOD(CU$1-Units!$Q64,12)=0),IF(AND(Units!$L64=1,CU$1=Units!$Q64),1,Inputs!$B$15)*Inputs!$B$16*(1+Inputs!$B$11)^(CU$2-1),0)</f>
        <v>0</v>
      </c>
      <c r="CV65" s="11" t="n">
        <f aca="false">IF(AND(CV$1&gt;=Units!$Q64,MOD(CV$1-Units!$Q64,12)=0),IF(AND(Units!$L64=1,CV$1=Units!$Q64),1,Inputs!$B$15)*Inputs!$B$16*(1+Inputs!$B$11)^(CV$2-1),0)</f>
        <v>0</v>
      </c>
      <c r="CW65" s="11" t="n">
        <f aca="false">IF(AND(CW$1&gt;=Units!$Q64,MOD(CW$1-Units!$Q64,12)=0),IF(AND(Units!$L64=1,CW$1=Units!$Q64),1,Inputs!$B$15)*Inputs!$B$16*(1+Inputs!$B$11)^(CW$2-1),0)</f>
        <v>0</v>
      </c>
      <c r="CX65" s="11" t="n">
        <f aca="false">IF(AND(CX$1&gt;=Units!$Q64,MOD(CX$1-Units!$Q64,12)=0),IF(AND(Units!$L64=1,CX$1=Units!$Q64),1,Inputs!$B$15)*Inputs!$B$16*(1+Inputs!$B$11)^(CX$2-1),0)</f>
        <v>0</v>
      </c>
      <c r="CY65" s="11" t="n">
        <f aca="false">IF(AND(CY$1&gt;=Units!$Q64,MOD(CY$1-Units!$Q64,12)=0),IF(AND(Units!$L64=1,CY$1=Units!$Q64),1,Inputs!$B$15)*Inputs!$B$16*(1+Inputs!$B$11)^(CY$2-1),0)</f>
        <v>0</v>
      </c>
      <c r="CZ65" s="11" t="n">
        <f aca="false">IF(AND(CZ$1&gt;=Units!$Q64,MOD(CZ$1-Units!$Q64,12)=0),IF(AND(Units!$L64=1,CZ$1=Units!$Q64),1,Inputs!$B$15)*Inputs!$B$16*(1+Inputs!$B$11)^(CZ$2-1),0)</f>
        <v>0</v>
      </c>
      <c r="DA65" s="11" t="n">
        <f aca="false">IF(AND(DA$1&gt;=Units!$Q64,MOD(DA$1-Units!$Q64,12)=0),IF(AND(Units!$L64=1,DA$1=Units!$Q64),1,Inputs!$B$15)*Inputs!$B$16*(1+Inputs!$B$11)^(DA$2-1),0)</f>
        <v>0</v>
      </c>
      <c r="DB65" s="11" t="n">
        <f aca="false">IF(AND(DB$1&gt;=Units!$Q64,MOD(DB$1-Units!$Q64,12)=0),IF(AND(Units!$L64=1,DB$1=Units!$Q64),1,Inputs!$B$15)*Inputs!$B$16*(1+Inputs!$B$11)^(DB$2-1),0)</f>
        <v>0</v>
      </c>
      <c r="DC65" s="11" t="n">
        <f aca="false">IF(AND(DC$1&gt;=Units!$Q64,MOD(DC$1-Units!$Q64,12)=0),IF(AND(Units!$L64=1,DC$1=Units!$Q64),1,Inputs!$B$15)*Inputs!$B$16*(1+Inputs!$B$11)^(DC$2-1),0)</f>
        <v>0</v>
      </c>
      <c r="DD65" s="11" t="n">
        <f aca="false">IF(AND(DD$1&gt;=Units!$Q64,MOD(DD$1-Units!$Q64,12)=0),IF(AND(Units!$L64=1,DD$1=Units!$Q64),1,Inputs!$B$15)*Inputs!$B$16*(1+Inputs!$B$11)^(DD$2-1),0)</f>
        <v>0</v>
      </c>
      <c r="DE65" s="11" t="n">
        <f aca="false">IF(AND(DE$1&gt;=Units!$Q64,MOD(DE$1-Units!$Q64,12)=0),IF(AND(Units!$L64=1,DE$1=Units!$Q64),1,Inputs!$B$15)*Inputs!$B$16*(1+Inputs!$B$11)^(DE$2-1),0)</f>
        <v>633.385040693808</v>
      </c>
      <c r="DF65" s="11" t="n">
        <f aca="false">IF(AND(DF$1&gt;=Units!$Q64,MOD(DF$1-Units!$Q64,12)=0),IF(AND(Units!$L64=1,DF$1=Units!$Q64),1,Inputs!$B$15)*Inputs!$B$16*(1+Inputs!$B$11)^(DF$2-1),0)</f>
        <v>0</v>
      </c>
      <c r="DG65" s="11" t="n">
        <f aca="false">IF(AND(DG$1&gt;=Units!$Q64,MOD(DG$1-Units!$Q64,12)=0),IF(AND(Units!$L64=1,DG$1=Units!$Q64),1,Inputs!$B$15)*Inputs!$B$16*(1+Inputs!$B$11)^(DG$2-1),0)</f>
        <v>0</v>
      </c>
      <c r="DH65" s="11" t="n">
        <f aca="false">IF(AND(DH$1&gt;=Units!$Q64,MOD(DH$1-Units!$Q64,12)=0),IF(AND(Units!$L64=1,DH$1=Units!$Q64),1,Inputs!$B$15)*Inputs!$B$16*(1+Inputs!$B$11)^(DH$2-1),0)</f>
        <v>0</v>
      </c>
      <c r="DI65" s="11" t="n">
        <f aca="false">IF(AND(DI$1&gt;=Units!$Q64,MOD(DI$1-Units!$Q64,12)=0),IF(AND(Units!$L64=1,DI$1=Units!$Q64),1,Inputs!$B$15)*Inputs!$B$16*(1+Inputs!$B$11)^(DI$2-1),0)</f>
        <v>0</v>
      </c>
      <c r="DJ65" s="11" t="n">
        <f aca="false">IF(AND(DJ$1&gt;=Units!$Q64,MOD(DJ$1-Units!$Q64,12)=0),IF(AND(Units!$L64=1,DJ$1=Units!$Q64),1,Inputs!$B$15)*Inputs!$B$16*(1+Inputs!$B$11)^(DJ$2-1),0)</f>
        <v>0</v>
      </c>
      <c r="DK65" s="11" t="n">
        <f aca="false">IF(AND(DK$1&gt;=Units!$Q64,MOD(DK$1-Units!$Q64,12)=0),IF(AND(Units!$L64=1,DK$1=Units!$Q64),1,Inputs!$B$15)*Inputs!$B$16*(1+Inputs!$B$11)^(DK$2-1),0)</f>
        <v>0</v>
      </c>
      <c r="DL65" s="11" t="n">
        <f aca="false">IF(AND(DL$1&gt;=Units!$Q64,MOD(DL$1-Units!$Q64,12)=0),IF(AND(Units!$L64=1,DL$1=Units!$Q64),1,Inputs!$B$15)*Inputs!$B$16*(1+Inputs!$B$11)^(DL$2-1),0)</f>
        <v>0</v>
      </c>
      <c r="DM65" s="11" t="n">
        <f aca="false">IF(AND(DM$1&gt;=Units!$Q64,MOD(DM$1-Units!$Q64,12)=0),IF(AND(Units!$L64=1,DM$1=Units!$Q64),1,Inputs!$B$15)*Inputs!$B$16*(1+Inputs!$B$11)^(DM$2-1),0)</f>
        <v>0</v>
      </c>
      <c r="DN65" s="11" t="n">
        <f aca="false">IF(AND(DN$1&gt;=Units!$Q64,MOD(DN$1-Units!$Q64,12)=0),IF(AND(Units!$L64=1,DN$1=Units!$Q64),1,Inputs!$B$15)*Inputs!$B$16*(1+Inputs!$B$11)^(DN$2-1),0)</f>
        <v>0</v>
      </c>
      <c r="DO65" s="11" t="n">
        <f aca="false">IF(AND(DO$1&gt;=Units!$Q64,MOD(DO$1-Units!$Q64,12)=0),IF(AND(Units!$L64=1,DO$1=Units!$Q64),1,Inputs!$B$15)*Inputs!$B$16*(1+Inputs!$B$11)^(DO$2-1),0)</f>
        <v>0</v>
      </c>
      <c r="DP65" s="11" t="n">
        <f aca="false">IF(AND(DP$1&gt;=Units!$Q64,MOD(DP$1-Units!$Q64,12)=0),IF(AND(Units!$L64=1,DP$1=Units!$Q64),1,Inputs!$B$15)*Inputs!$B$16*(1+Inputs!$B$11)^(DP$2-1),0)</f>
        <v>0</v>
      </c>
      <c r="DQ65" s="11" t="n">
        <f aca="false">IF(AND(DQ$1&gt;=Units!$Q64,MOD(DQ$1-Units!$Q64,12)=0),IF(AND(Units!$L64=1,DQ$1=Units!$Q64),1,Inputs!$B$15)*Inputs!$B$16*(1+Inputs!$B$11)^(DQ$2-1),0)</f>
        <v>652.386591914623</v>
      </c>
      <c r="DR65" s="11" t="n">
        <f aca="false">IF(AND(DR$1&gt;=Units!$Q64,MOD(DR$1-Units!$Q64,12)=0),IF(AND(Units!$L64=1,DR$1=Units!$Q64),1,Inputs!$B$15)*Inputs!$B$16*(1+Inputs!$B$11)^(DR$2-1),0)</f>
        <v>0</v>
      </c>
      <c r="DS65" s="11" t="n">
        <f aca="false">IF(AND(DS$1&gt;=Units!$Q64,MOD(DS$1-Units!$Q64,12)=0),IF(AND(Units!$L64=1,DS$1=Units!$Q64),1,Inputs!$B$15)*Inputs!$B$16*(1+Inputs!$B$11)^(DS$2-1),0)</f>
        <v>0</v>
      </c>
      <c r="DT65" s="11" t="n">
        <f aca="false">IF(AND(DT$1&gt;=Units!$Q64,MOD(DT$1-Units!$Q64,12)=0),IF(AND(Units!$L64=1,DT$1=Units!$Q64),1,Inputs!$B$15)*Inputs!$B$16*(1+Inputs!$B$11)^(DT$2-1),0)</f>
        <v>0</v>
      </c>
      <c r="DU65" s="11" t="n">
        <f aca="false">IF(AND(DU$1&gt;=Units!$Q64,MOD(DU$1-Units!$Q64,12)=0),IF(AND(Units!$L64=1,DU$1=Units!$Q64),1,Inputs!$B$15)*Inputs!$B$16*(1+Inputs!$B$11)^(DU$2-1),0)</f>
        <v>0</v>
      </c>
      <c r="DV65" s="11" t="n">
        <f aca="false">IF(AND(DV$1&gt;=Units!$Q64,MOD(DV$1-Units!$Q64,12)=0),IF(AND(Units!$L64=1,DV$1=Units!$Q64),1,Inputs!$B$15)*Inputs!$B$16*(1+Inputs!$B$11)^(DV$2-1),0)</f>
        <v>0</v>
      </c>
      <c r="DW65" s="11" t="n">
        <f aca="false">IF(AND(DW$1&gt;=Units!$Q64,MOD(DW$1-Units!$Q64,12)=0),IF(AND(Units!$L64=1,DW$1=Units!$Q64),1,Inputs!$B$15)*Inputs!$B$16*(1+Inputs!$B$11)^(DW$2-1),0)</f>
        <v>0</v>
      </c>
      <c r="DX65" s="11" t="n">
        <f aca="false">IF(AND(DX$1&gt;=Units!$Q64,MOD(DX$1-Units!$Q64,12)=0),IF(AND(Units!$L64=1,DX$1=Units!$Q64),1,Inputs!$B$15)*Inputs!$B$16*(1+Inputs!$B$11)^(DX$2-1),0)</f>
        <v>0</v>
      </c>
      <c r="DY65" s="11" t="n">
        <f aca="false">IF(AND(DY$1&gt;=Units!$Q64,MOD(DY$1-Units!$Q64,12)=0),IF(AND(Units!$L64=1,DY$1=Units!$Q64),1,Inputs!$B$15)*Inputs!$B$16*(1+Inputs!$B$11)^(DY$2-1),0)</f>
        <v>0</v>
      </c>
      <c r="DZ65" s="11" t="n">
        <f aca="false">IF(AND(DZ$1&gt;=Units!$Q64,MOD(DZ$1-Units!$Q64,12)=0),IF(AND(Units!$L64=1,DZ$1=Units!$Q64),1,Inputs!$B$15)*Inputs!$B$16*(1+Inputs!$B$11)^(DZ$2-1),0)</f>
        <v>0</v>
      </c>
      <c r="EA65" s="11" t="n">
        <f aca="false">IF(AND(EA$1&gt;=Units!$Q64,MOD(EA$1-Units!$Q64,12)=0),IF(AND(Units!$L64=1,EA$1=Units!$Q64),1,Inputs!$B$15)*Inputs!$B$16*(1+Inputs!$B$11)^(EA$2-1),0)</f>
        <v>0</v>
      </c>
      <c r="EB65" s="11" t="n">
        <f aca="false">IF(AND(EB$1&gt;=Units!$Q64,MOD(EB$1-Units!$Q64,12)=0),IF(AND(Units!$L64=1,EB$1=Units!$Q64),1,Inputs!$B$15)*Inputs!$B$16*(1+Inputs!$B$11)^(EB$2-1),0)</f>
        <v>0</v>
      </c>
      <c r="EC65" s="11" t="n">
        <f aca="false">IF(AND(EC$1&gt;=Units!$Q64,MOD(EC$1-Units!$Q64,12)=0),IF(AND(Units!$L64=1,EC$1=Units!$Q64),1,Inputs!$B$15)*Inputs!$B$16*(1+Inputs!$B$11)^(EC$2-1),0)</f>
        <v>671.958189672061</v>
      </c>
      <c r="ED65" s="11" t="n">
        <f aca="false">IF(AND(ED$1&gt;=Units!$Q64,MOD(ED$1-Units!$Q64,12)=0),IF(AND(Units!$L64=1,ED$1=Units!$Q64),1,Inputs!$B$15)*Inputs!$B$16*(1+Inputs!$B$11)^(ED$2-1),0)</f>
        <v>0</v>
      </c>
    </row>
    <row r="66" customFormat="false" ht="15" hidden="false" customHeight="false" outlineLevel="0" collapsed="false">
      <c r="A66" s="22" t="n">
        <f aca="false">Units!A65</f>
        <v>304</v>
      </c>
      <c r="B66" s="23"/>
      <c r="C66" s="11" t="n">
        <f aca="false">IF(AND(C$1&gt;=Units!$Q65,MOD(C$1-Units!$Q65,12)=0),IF(AND(Units!$L65=1,C$1=Units!$Q65),1,Inputs!$B$15)*Inputs!$B$16*(1+Inputs!$B$11)^(C$2-1),0)</f>
        <v>0</v>
      </c>
      <c r="D66" s="11" t="n">
        <f aca="false">IF(AND(D$1&gt;=Units!$Q65,MOD(D$1-Units!$Q65,12)=0),IF(AND(Units!$L65=1,D$1=Units!$Q65),1,Inputs!$B$15)*Inputs!$B$16*(1+Inputs!$B$11)^(D$2-1),0)</f>
        <v>0</v>
      </c>
      <c r="E66" s="11" t="n">
        <f aca="false">IF(AND(E$1&gt;=Units!$Q65,MOD(E$1-Units!$Q65,12)=0),IF(AND(Units!$L65=1,E$1=Units!$Q65),1,Inputs!$B$15)*Inputs!$B$16*(1+Inputs!$B$11)^(E$2-1),0)</f>
        <v>0</v>
      </c>
      <c r="F66" s="11" t="n">
        <f aca="false">IF(AND(F$1&gt;=Units!$Q65,MOD(F$1-Units!$Q65,12)=0),IF(AND(Units!$L65=1,F$1=Units!$Q65),1,Inputs!$B$15)*Inputs!$B$16*(1+Inputs!$B$11)^(F$2-1),0)</f>
        <v>0</v>
      </c>
      <c r="G66" s="11" t="n">
        <f aca="false">IF(AND(G$1&gt;=Units!$Q65,MOD(G$1-Units!$Q65,12)=0),IF(AND(Units!$L65=1,G$1=Units!$Q65),1,Inputs!$B$15)*Inputs!$B$16*(1+Inputs!$B$11)^(G$2-1),0)</f>
        <v>500</v>
      </c>
      <c r="H66" s="11" t="n">
        <f aca="false">IF(AND(H$1&gt;=Units!$Q65,MOD(H$1-Units!$Q65,12)=0),IF(AND(Units!$L65=1,H$1=Units!$Q65),1,Inputs!$B$15)*Inputs!$B$16*(1+Inputs!$B$11)^(H$2-1),0)</f>
        <v>0</v>
      </c>
      <c r="I66" s="11" t="n">
        <f aca="false">IF(AND(I$1&gt;=Units!$Q65,MOD(I$1-Units!$Q65,12)=0),IF(AND(Units!$L65=1,I$1=Units!$Q65),1,Inputs!$B$15)*Inputs!$B$16*(1+Inputs!$B$11)^(I$2-1),0)</f>
        <v>0</v>
      </c>
      <c r="J66" s="11" t="n">
        <f aca="false">IF(AND(J$1&gt;=Units!$Q65,MOD(J$1-Units!$Q65,12)=0),IF(AND(Units!$L65=1,J$1=Units!$Q65),1,Inputs!$B$15)*Inputs!$B$16*(1+Inputs!$B$11)^(J$2-1),0)</f>
        <v>0</v>
      </c>
      <c r="K66" s="11" t="n">
        <f aca="false">IF(AND(K$1&gt;=Units!$Q65,MOD(K$1-Units!$Q65,12)=0),IF(AND(Units!$L65=1,K$1=Units!$Q65),1,Inputs!$B$15)*Inputs!$B$16*(1+Inputs!$B$11)^(K$2-1),0)</f>
        <v>0</v>
      </c>
      <c r="L66" s="11" t="n">
        <f aca="false">IF(AND(L$1&gt;=Units!$Q65,MOD(L$1-Units!$Q65,12)=0),IF(AND(Units!$L65=1,L$1=Units!$Q65),1,Inputs!$B$15)*Inputs!$B$16*(1+Inputs!$B$11)^(L$2-1),0)</f>
        <v>0</v>
      </c>
      <c r="M66" s="11" t="n">
        <f aca="false">IF(AND(M$1&gt;=Units!$Q65,MOD(M$1-Units!$Q65,12)=0),IF(AND(Units!$L65=1,M$1=Units!$Q65),1,Inputs!$B$15)*Inputs!$B$16*(1+Inputs!$B$11)^(M$2-1),0)</f>
        <v>0</v>
      </c>
      <c r="N66" s="11" t="n">
        <f aca="false">IF(AND(N$1&gt;=Units!$Q65,MOD(N$1-Units!$Q65,12)=0),IF(AND(Units!$L65=1,N$1=Units!$Q65),1,Inputs!$B$15)*Inputs!$B$16*(1+Inputs!$B$11)^(N$2-1),0)</f>
        <v>0</v>
      </c>
      <c r="O66" s="11" t="n">
        <f aca="false">IF(AND(O$1&gt;=Units!$Q65,MOD(O$1-Units!$Q65,12)=0),IF(AND(Units!$L65=1,O$1=Units!$Q65),1,Inputs!$B$15)*Inputs!$B$16*(1+Inputs!$B$11)^(O$2-1),0)</f>
        <v>0</v>
      </c>
      <c r="P66" s="11" t="n">
        <f aca="false">IF(AND(P$1&gt;=Units!$Q65,MOD(P$1-Units!$Q65,12)=0),IF(AND(Units!$L65=1,P$1=Units!$Q65),1,Inputs!$B$15)*Inputs!$B$16*(1+Inputs!$B$11)^(P$2-1),0)</f>
        <v>0</v>
      </c>
      <c r="Q66" s="11" t="n">
        <f aca="false">IF(AND(Q$1&gt;=Units!$Q65,MOD(Q$1-Units!$Q65,12)=0),IF(AND(Units!$L65=1,Q$1=Units!$Q65),1,Inputs!$B$15)*Inputs!$B$16*(1+Inputs!$B$11)^(Q$2-1),0)</f>
        <v>0</v>
      </c>
      <c r="R66" s="11" t="n">
        <f aca="false">IF(AND(R$1&gt;=Units!$Q65,MOD(R$1-Units!$Q65,12)=0),IF(AND(Units!$L65=1,R$1=Units!$Q65),1,Inputs!$B$15)*Inputs!$B$16*(1+Inputs!$B$11)^(R$2-1),0)</f>
        <v>0</v>
      </c>
      <c r="S66" s="11" t="n">
        <f aca="false">IF(AND(S$1&gt;=Units!$Q65,MOD(S$1-Units!$Q65,12)=0),IF(AND(Units!$L65=1,S$1=Units!$Q65),1,Inputs!$B$15)*Inputs!$B$16*(1+Inputs!$B$11)^(S$2-1),0)</f>
        <v>515</v>
      </c>
      <c r="T66" s="11" t="n">
        <f aca="false">IF(AND(T$1&gt;=Units!$Q65,MOD(T$1-Units!$Q65,12)=0),IF(AND(Units!$L65=1,T$1=Units!$Q65),1,Inputs!$B$15)*Inputs!$B$16*(1+Inputs!$B$11)^(T$2-1),0)</f>
        <v>0</v>
      </c>
      <c r="U66" s="11" t="n">
        <f aca="false">IF(AND(U$1&gt;=Units!$Q65,MOD(U$1-Units!$Q65,12)=0),IF(AND(Units!$L65=1,U$1=Units!$Q65),1,Inputs!$B$15)*Inputs!$B$16*(1+Inputs!$B$11)^(U$2-1),0)</f>
        <v>0</v>
      </c>
      <c r="V66" s="11" t="n">
        <f aca="false">IF(AND(V$1&gt;=Units!$Q65,MOD(V$1-Units!$Q65,12)=0),IF(AND(Units!$L65=1,V$1=Units!$Q65),1,Inputs!$B$15)*Inputs!$B$16*(1+Inputs!$B$11)^(V$2-1),0)</f>
        <v>0</v>
      </c>
      <c r="W66" s="11" t="n">
        <f aca="false">IF(AND(W$1&gt;=Units!$Q65,MOD(W$1-Units!$Q65,12)=0),IF(AND(Units!$L65=1,W$1=Units!$Q65),1,Inputs!$B$15)*Inputs!$B$16*(1+Inputs!$B$11)^(W$2-1),0)</f>
        <v>0</v>
      </c>
      <c r="X66" s="11" t="n">
        <f aca="false">IF(AND(X$1&gt;=Units!$Q65,MOD(X$1-Units!$Q65,12)=0),IF(AND(Units!$L65=1,X$1=Units!$Q65),1,Inputs!$B$15)*Inputs!$B$16*(1+Inputs!$B$11)^(X$2-1),0)</f>
        <v>0</v>
      </c>
      <c r="Y66" s="11" t="n">
        <f aca="false">IF(AND(Y$1&gt;=Units!$Q65,MOD(Y$1-Units!$Q65,12)=0),IF(AND(Units!$L65=1,Y$1=Units!$Q65),1,Inputs!$B$15)*Inputs!$B$16*(1+Inputs!$B$11)^(Y$2-1),0)</f>
        <v>0</v>
      </c>
      <c r="Z66" s="11" t="n">
        <f aca="false">IF(AND(Z$1&gt;=Units!$Q65,MOD(Z$1-Units!$Q65,12)=0),IF(AND(Units!$L65=1,Z$1=Units!$Q65),1,Inputs!$B$15)*Inputs!$B$16*(1+Inputs!$B$11)^(Z$2-1),0)</f>
        <v>0</v>
      </c>
      <c r="AA66" s="11" t="n">
        <f aca="false">IF(AND(AA$1&gt;=Units!$Q65,MOD(AA$1-Units!$Q65,12)=0),IF(AND(Units!$L65=1,AA$1=Units!$Q65),1,Inputs!$B$15)*Inputs!$B$16*(1+Inputs!$B$11)^(AA$2-1),0)</f>
        <v>0</v>
      </c>
      <c r="AB66" s="11" t="n">
        <f aca="false">IF(AND(AB$1&gt;=Units!$Q65,MOD(AB$1-Units!$Q65,12)=0),IF(AND(Units!$L65=1,AB$1=Units!$Q65),1,Inputs!$B$15)*Inputs!$B$16*(1+Inputs!$B$11)^(AB$2-1),0)</f>
        <v>0</v>
      </c>
      <c r="AC66" s="11" t="n">
        <f aca="false">IF(AND(AC$1&gt;=Units!$Q65,MOD(AC$1-Units!$Q65,12)=0),IF(AND(Units!$L65=1,AC$1=Units!$Q65),1,Inputs!$B$15)*Inputs!$B$16*(1+Inputs!$B$11)^(AC$2-1),0)</f>
        <v>0</v>
      </c>
      <c r="AD66" s="11" t="n">
        <f aca="false">IF(AND(AD$1&gt;=Units!$Q65,MOD(AD$1-Units!$Q65,12)=0),IF(AND(Units!$L65=1,AD$1=Units!$Q65),1,Inputs!$B$15)*Inputs!$B$16*(1+Inputs!$B$11)^(AD$2-1),0)</f>
        <v>0</v>
      </c>
      <c r="AE66" s="11" t="n">
        <f aca="false">IF(AND(AE$1&gt;=Units!$Q65,MOD(AE$1-Units!$Q65,12)=0),IF(AND(Units!$L65=1,AE$1=Units!$Q65),1,Inputs!$B$15)*Inputs!$B$16*(1+Inputs!$B$11)^(AE$2-1),0)</f>
        <v>530.45</v>
      </c>
      <c r="AF66" s="11" t="n">
        <f aca="false">IF(AND(AF$1&gt;=Units!$Q65,MOD(AF$1-Units!$Q65,12)=0),IF(AND(Units!$L65=1,AF$1=Units!$Q65),1,Inputs!$B$15)*Inputs!$B$16*(1+Inputs!$B$11)^(AF$2-1),0)</f>
        <v>0</v>
      </c>
      <c r="AG66" s="11" t="n">
        <f aca="false">IF(AND(AG$1&gt;=Units!$Q65,MOD(AG$1-Units!$Q65,12)=0),IF(AND(Units!$L65=1,AG$1=Units!$Q65),1,Inputs!$B$15)*Inputs!$B$16*(1+Inputs!$B$11)^(AG$2-1),0)</f>
        <v>0</v>
      </c>
      <c r="AH66" s="11" t="n">
        <f aca="false">IF(AND(AH$1&gt;=Units!$Q65,MOD(AH$1-Units!$Q65,12)=0),IF(AND(Units!$L65=1,AH$1=Units!$Q65),1,Inputs!$B$15)*Inputs!$B$16*(1+Inputs!$B$11)^(AH$2-1),0)</f>
        <v>0</v>
      </c>
      <c r="AI66" s="11" t="n">
        <f aca="false">IF(AND(AI$1&gt;=Units!$Q65,MOD(AI$1-Units!$Q65,12)=0),IF(AND(Units!$L65=1,AI$1=Units!$Q65),1,Inputs!$B$15)*Inputs!$B$16*(1+Inputs!$B$11)^(AI$2-1),0)</f>
        <v>0</v>
      </c>
      <c r="AJ66" s="11" t="n">
        <f aca="false">IF(AND(AJ$1&gt;=Units!$Q65,MOD(AJ$1-Units!$Q65,12)=0),IF(AND(Units!$L65=1,AJ$1=Units!$Q65),1,Inputs!$B$15)*Inputs!$B$16*(1+Inputs!$B$11)^(AJ$2-1),0)</f>
        <v>0</v>
      </c>
      <c r="AK66" s="11" t="n">
        <f aca="false">IF(AND(AK$1&gt;=Units!$Q65,MOD(AK$1-Units!$Q65,12)=0),IF(AND(Units!$L65=1,AK$1=Units!$Q65),1,Inputs!$B$15)*Inputs!$B$16*(1+Inputs!$B$11)^(AK$2-1),0)</f>
        <v>0</v>
      </c>
      <c r="AL66" s="11" t="n">
        <f aca="false">IF(AND(AL$1&gt;=Units!$Q65,MOD(AL$1-Units!$Q65,12)=0),IF(AND(Units!$L65=1,AL$1=Units!$Q65),1,Inputs!$B$15)*Inputs!$B$16*(1+Inputs!$B$11)^(AL$2-1),0)</f>
        <v>0</v>
      </c>
      <c r="AM66" s="11" t="n">
        <f aca="false">IF(AND(AM$1&gt;=Units!$Q65,MOD(AM$1-Units!$Q65,12)=0),IF(AND(Units!$L65=1,AM$1=Units!$Q65),1,Inputs!$B$15)*Inputs!$B$16*(1+Inputs!$B$11)^(AM$2-1),0)</f>
        <v>0</v>
      </c>
      <c r="AN66" s="11" t="n">
        <f aca="false">IF(AND(AN$1&gt;=Units!$Q65,MOD(AN$1-Units!$Q65,12)=0),IF(AND(Units!$L65=1,AN$1=Units!$Q65),1,Inputs!$B$15)*Inputs!$B$16*(1+Inputs!$B$11)^(AN$2-1),0)</f>
        <v>0</v>
      </c>
      <c r="AO66" s="11" t="n">
        <f aca="false">IF(AND(AO$1&gt;=Units!$Q65,MOD(AO$1-Units!$Q65,12)=0),IF(AND(Units!$L65=1,AO$1=Units!$Q65),1,Inputs!$B$15)*Inputs!$B$16*(1+Inputs!$B$11)^(AO$2-1),0)</f>
        <v>0</v>
      </c>
      <c r="AP66" s="11" t="n">
        <f aca="false">IF(AND(AP$1&gt;=Units!$Q65,MOD(AP$1-Units!$Q65,12)=0),IF(AND(Units!$L65=1,AP$1=Units!$Q65),1,Inputs!$B$15)*Inputs!$B$16*(1+Inputs!$B$11)^(AP$2-1),0)</f>
        <v>0</v>
      </c>
      <c r="AQ66" s="11" t="n">
        <f aca="false">IF(AND(AQ$1&gt;=Units!$Q65,MOD(AQ$1-Units!$Q65,12)=0),IF(AND(Units!$L65=1,AQ$1=Units!$Q65),1,Inputs!$B$15)*Inputs!$B$16*(1+Inputs!$B$11)^(AQ$2-1),0)</f>
        <v>546.3635</v>
      </c>
      <c r="AR66" s="11" t="n">
        <f aca="false">IF(AND(AR$1&gt;=Units!$Q65,MOD(AR$1-Units!$Q65,12)=0),IF(AND(Units!$L65=1,AR$1=Units!$Q65),1,Inputs!$B$15)*Inputs!$B$16*(1+Inputs!$B$11)^(AR$2-1),0)</f>
        <v>0</v>
      </c>
      <c r="AS66" s="11" t="n">
        <f aca="false">IF(AND(AS$1&gt;=Units!$Q65,MOD(AS$1-Units!$Q65,12)=0),IF(AND(Units!$L65=1,AS$1=Units!$Q65),1,Inputs!$B$15)*Inputs!$B$16*(1+Inputs!$B$11)^(AS$2-1),0)</f>
        <v>0</v>
      </c>
      <c r="AT66" s="11" t="n">
        <f aca="false">IF(AND(AT$1&gt;=Units!$Q65,MOD(AT$1-Units!$Q65,12)=0),IF(AND(Units!$L65=1,AT$1=Units!$Q65),1,Inputs!$B$15)*Inputs!$B$16*(1+Inputs!$B$11)^(AT$2-1),0)</f>
        <v>0</v>
      </c>
      <c r="AU66" s="11" t="n">
        <f aca="false">IF(AND(AU$1&gt;=Units!$Q65,MOD(AU$1-Units!$Q65,12)=0),IF(AND(Units!$L65=1,AU$1=Units!$Q65),1,Inputs!$B$15)*Inputs!$B$16*(1+Inputs!$B$11)^(AU$2-1),0)</f>
        <v>0</v>
      </c>
      <c r="AV66" s="11" t="n">
        <f aca="false">IF(AND(AV$1&gt;=Units!$Q65,MOD(AV$1-Units!$Q65,12)=0),IF(AND(Units!$L65=1,AV$1=Units!$Q65),1,Inputs!$B$15)*Inputs!$B$16*(1+Inputs!$B$11)^(AV$2-1),0)</f>
        <v>0</v>
      </c>
      <c r="AW66" s="11" t="n">
        <f aca="false">IF(AND(AW$1&gt;=Units!$Q65,MOD(AW$1-Units!$Q65,12)=0),IF(AND(Units!$L65=1,AW$1=Units!$Q65),1,Inputs!$B$15)*Inputs!$B$16*(1+Inputs!$B$11)^(AW$2-1),0)</f>
        <v>0</v>
      </c>
      <c r="AX66" s="11" t="n">
        <f aca="false">IF(AND(AX$1&gt;=Units!$Q65,MOD(AX$1-Units!$Q65,12)=0),IF(AND(Units!$L65=1,AX$1=Units!$Q65),1,Inputs!$B$15)*Inputs!$B$16*(1+Inputs!$B$11)^(AX$2-1),0)</f>
        <v>0</v>
      </c>
      <c r="AY66" s="11" t="n">
        <f aca="false">IF(AND(AY$1&gt;=Units!$Q65,MOD(AY$1-Units!$Q65,12)=0),IF(AND(Units!$L65=1,AY$1=Units!$Q65),1,Inputs!$B$15)*Inputs!$B$16*(1+Inputs!$B$11)^(AY$2-1),0)</f>
        <v>0</v>
      </c>
      <c r="AZ66" s="11" t="n">
        <f aca="false">IF(AND(AZ$1&gt;=Units!$Q65,MOD(AZ$1-Units!$Q65,12)=0),IF(AND(Units!$L65=1,AZ$1=Units!$Q65),1,Inputs!$B$15)*Inputs!$B$16*(1+Inputs!$B$11)^(AZ$2-1),0)</f>
        <v>0</v>
      </c>
      <c r="BA66" s="11" t="n">
        <f aca="false">IF(AND(BA$1&gt;=Units!$Q65,MOD(BA$1-Units!$Q65,12)=0),IF(AND(Units!$L65=1,BA$1=Units!$Q65),1,Inputs!$B$15)*Inputs!$B$16*(1+Inputs!$B$11)^(BA$2-1),0)</f>
        <v>0</v>
      </c>
      <c r="BB66" s="11" t="n">
        <f aca="false">IF(AND(BB$1&gt;=Units!$Q65,MOD(BB$1-Units!$Q65,12)=0),IF(AND(Units!$L65=1,BB$1=Units!$Q65),1,Inputs!$B$15)*Inputs!$B$16*(1+Inputs!$B$11)^(BB$2-1),0)</f>
        <v>0</v>
      </c>
      <c r="BC66" s="11" t="n">
        <f aca="false">IF(AND(BC$1&gt;=Units!$Q65,MOD(BC$1-Units!$Q65,12)=0),IF(AND(Units!$L65=1,BC$1=Units!$Q65),1,Inputs!$B$15)*Inputs!$B$16*(1+Inputs!$B$11)^(BC$2-1),0)</f>
        <v>562.754405</v>
      </c>
      <c r="BD66" s="11" t="n">
        <f aca="false">IF(AND(BD$1&gt;=Units!$Q65,MOD(BD$1-Units!$Q65,12)=0),IF(AND(Units!$L65=1,BD$1=Units!$Q65),1,Inputs!$B$15)*Inputs!$B$16*(1+Inputs!$B$11)^(BD$2-1),0)</f>
        <v>0</v>
      </c>
      <c r="BE66" s="11" t="n">
        <f aca="false">IF(AND(BE$1&gt;=Units!$Q65,MOD(BE$1-Units!$Q65,12)=0),IF(AND(Units!$L65=1,BE$1=Units!$Q65),1,Inputs!$B$15)*Inputs!$B$16*(1+Inputs!$B$11)^(BE$2-1),0)</f>
        <v>0</v>
      </c>
      <c r="BF66" s="11" t="n">
        <f aca="false">IF(AND(BF$1&gt;=Units!$Q65,MOD(BF$1-Units!$Q65,12)=0),IF(AND(Units!$L65=1,BF$1=Units!$Q65),1,Inputs!$B$15)*Inputs!$B$16*(1+Inputs!$B$11)^(BF$2-1),0)</f>
        <v>0</v>
      </c>
      <c r="BG66" s="11" t="n">
        <f aca="false">IF(AND(BG$1&gt;=Units!$Q65,MOD(BG$1-Units!$Q65,12)=0),IF(AND(Units!$L65=1,BG$1=Units!$Q65),1,Inputs!$B$15)*Inputs!$B$16*(1+Inputs!$B$11)^(BG$2-1),0)</f>
        <v>0</v>
      </c>
      <c r="BH66" s="11" t="n">
        <f aca="false">IF(AND(BH$1&gt;=Units!$Q65,MOD(BH$1-Units!$Q65,12)=0),IF(AND(Units!$L65=1,BH$1=Units!$Q65),1,Inputs!$B$15)*Inputs!$B$16*(1+Inputs!$B$11)^(BH$2-1),0)</f>
        <v>0</v>
      </c>
      <c r="BI66" s="11" t="n">
        <f aca="false">IF(AND(BI$1&gt;=Units!$Q65,MOD(BI$1-Units!$Q65,12)=0),IF(AND(Units!$L65=1,BI$1=Units!$Q65),1,Inputs!$B$15)*Inputs!$B$16*(1+Inputs!$B$11)^(BI$2-1),0)</f>
        <v>0</v>
      </c>
      <c r="BJ66" s="11" t="n">
        <f aca="false">IF(AND(BJ$1&gt;=Units!$Q65,MOD(BJ$1-Units!$Q65,12)=0),IF(AND(Units!$L65=1,BJ$1=Units!$Q65),1,Inputs!$B$15)*Inputs!$B$16*(1+Inputs!$B$11)^(BJ$2-1),0)</f>
        <v>0</v>
      </c>
      <c r="BK66" s="11" t="n">
        <f aca="false">IF(AND(BK$1&gt;=Units!$Q65,MOD(BK$1-Units!$Q65,12)=0),IF(AND(Units!$L65=1,BK$1=Units!$Q65),1,Inputs!$B$15)*Inputs!$B$16*(1+Inputs!$B$11)^(BK$2-1),0)</f>
        <v>0</v>
      </c>
      <c r="BL66" s="11" t="n">
        <f aca="false">IF(AND(BL$1&gt;=Units!$Q65,MOD(BL$1-Units!$Q65,12)=0),IF(AND(Units!$L65=1,BL$1=Units!$Q65),1,Inputs!$B$15)*Inputs!$B$16*(1+Inputs!$B$11)^(BL$2-1),0)</f>
        <v>0</v>
      </c>
      <c r="BM66" s="11" t="n">
        <f aca="false">IF(AND(BM$1&gt;=Units!$Q65,MOD(BM$1-Units!$Q65,12)=0),IF(AND(Units!$L65=1,BM$1=Units!$Q65),1,Inputs!$B$15)*Inputs!$B$16*(1+Inputs!$B$11)^(BM$2-1),0)</f>
        <v>0</v>
      </c>
      <c r="BN66" s="11" t="n">
        <f aca="false">IF(AND(BN$1&gt;=Units!$Q65,MOD(BN$1-Units!$Q65,12)=0),IF(AND(Units!$L65=1,BN$1=Units!$Q65),1,Inputs!$B$15)*Inputs!$B$16*(1+Inputs!$B$11)^(BN$2-1),0)</f>
        <v>0</v>
      </c>
      <c r="BO66" s="11" t="n">
        <f aca="false">IF(AND(BO$1&gt;=Units!$Q65,MOD(BO$1-Units!$Q65,12)=0),IF(AND(Units!$L65=1,BO$1=Units!$Q65),1,Inputs!$B$15)*Inputs!$B$16*(1+Inputs!$B$11)^(BO$2-1),0)</f>
        <v>579.63703715</v>
      </c>
      <c r="BP66" s="11" t="n">
        <f aca="false">IF(AND(BP$1&gt;=Units!$Q65,MOD(BP$1-Units!$Q65,12)=0),IF(AND(Units!$L65=1,BP$1=Units!$Q65),1,Inputs!$B$15)*Inputs!$B$16*(1+Inputs!$B$11)^(BP$2-1),0)</f>
        <v>0</v>
      </c>
      <c r="BQ66" s="11" t="n">
        <f aca="false">IF(AND(BQ$1&gt;=Units!$Q65,MOD(BQ$1-Units!$Q65,12)=0),IF(AND(Units!$L65=1,BQ$1=Units!$Q65),1,Inputs!$B$15)*Inputs!$B$16*(1+Inputs!$B$11)^(BQ$2-1),0)</f>
        <v>0</v>
      </c>
      <c r="BR66" s="11" t="n">
        <f aca="false">IF(AND(BR$1&gt;=Units!$Q65,MOD(BR$1-Units!$Q65,12)=0),IF(AND(Units!$L65=1,BR$1=Units!$Q65),1,Inputs!$B$15)*Inputs!$B$16*(1+Inputs!$B$11)^(BR$2-1),0)</f>
        <v>0</v>
      </c>
      <c r="BS66" s="11" t="n">
        <f aca="false">IF(AND(BS$1&gt;=Units!$Q65,MOD(BS$1-Units!$Q65,12)=0),IF(AND(Units!$L65=1,BS$1=Units!$Q65),1,Inputs!$B$15)*Inputs!$B$16*(1+Inputs!$B$11)^(BS$2-1),0)</f>
        <v>0</v>
      </c>
      <c r="BT66" s="11" t="n">
        <f aca="false">IF(AND(BT$1&gt;=Units!$Q65,MOD(BT$1-Units!$Q65,12)=0),IF(AND(Units!$L65=1,BT$1=Units!$Q65),1,Inputs!$B$15)*Inputs!$B$16*(1+Inputs!$B$11)^(BT$2-1),0)</f>
        <v>0</v>
      </c>
      <c r="BU66" s="11" t="n">
        <f aca="false">IF(AND(BU$1&gt;=Units!$Q65,MOD(BU$1-Units!$Q65,12)=0),IF(AND(Units!$L65=1,BU$1=Units!$Q65),1,Inputs!$B$15)*Inputs!$B$16*(1+Inputs!$B$11)^(BU$2-1),0)</f>
        <v>0</v>
      </c>
      <c r="BV66" s="11" t="n">
        <f aca="false">IF(AND(BV$1&gt;=Units!$Q65,MOD(BV$1-Units!$Q65,12)=0),IF(AND(Units!$L65=1,BV$1=Units!$Q65),1,Inputs!$B$15)*Inputs!$B$16*(1+Inputs!$B$11)^(BV$2-1),0)</f>
        <v>0</v>
      </c>
      <c r="BW66" s="11" t="n">
        <f aca="false">IF(AND(BW$1&gt;=Units!$Q65,MOD(BW$1-Units!$Q65,12)=0),IF(AND(Units!$L65=1,BW$1=Units!$Q65),1,Inputs!$B$15)*Inputs!$B$16*(1+Inputs!$B$11)^(BW$2-1),0)</f>
        <v>0</v>
      </c>
      <c r="BX66" s="11" t="n">
        <f aca="false">IF(AND(BX$1&gt;=Units!$Q65,MOD(BX$1-Units!$Q65,12)=0),IF(AND(Units!$L65=1,BX$1=Units!$Q65),1,Inputs!$B$15)*Inputs!$B$16*(1+Inputs!$B$11)^(BX$2-1),0)</f>
        <v>0</v>
      </c>
      <c r="BY66" s="11" t="n">
        <f aca="false">IF(AND(BY$1&gt;=Units!$Q65,MOD(BY$1-Units!$Q65,12)=0),IF(AND(Units!$L65=1,BY$1=Units!$Q65),1,Inputs!$B$15)*Inputs!$B$16*(1+Inputs!$B$11)^(BY$2-1),0)</f>
        <v>0</v>
      </c>
      <c r="BZ66" s="11" t="n">
        <f aca="false">IF(AND(BZ$1&gt;=Units!$Q65,MOD(BZ$1-Units!$Q65,12)=0),IF(AND(Units!$L65=1,BZ$1=Units!$Q65),1,Inputs!$B$15)*Inputs!$B$16*(1+Inputs!$B$11)^(BZ$2-1),0)</f>
        <v>0</v>
      </c>
      <c r="CA66" s="11" t="n">
        <f aca="false">IF(AND(CA$1&gt;=Units!$Q65,MOD(CA$1-Units!$Q65,12)=0),IF(AND(Units!$L65=1,CA$1=Units!$Q65),1,Inputs!$B$15)*Inputs!$B$16*(1+Inputs!$B$11)^(CA$2-1),0)</f>
        <v>597.0261482645</v>
      </c>
      <c r="CB66" s="11" t="n">
        <f aca="false">IF(AND(CB$1&gt;=Units!$Q65,MOD(CB$1-Units!$Q65,12)=0),IF(AND(Units!$L65=1,CB$1=Units!$Q65),1,Inputs!$B$15)*Inputs!$B$16*(1+Inputs!$B$11)^(CB$2-1),0)</f>
        <v>0</v>
      </c>
      <c r="CC66" s="11" t="n">
        <f aca="false">IF(AND(CC$1&gt;=Units!$Q65,MOD(CC$1-Units!$Q65,12)=0),IF(AND(Units!$L65=1,CC$1=Units!$Q65),1,Inputs!$B$15)*Inputs!$B$16*(1+Inputs!$B$11)^(CC$2-1),0)</f>
        <v>0</v>
      </c>
      <c r="CD66" s="11" t="n">
        <f aca="false">IF(AND(CD$1&gt;=Units!$Q65,MOD(CD$1-Units!$Q65,12)=0),IF(AND(Units!$L65=1,CD$1=Units!$Q65),1,Inputs!$B$15)*Inputs!$B$16*(1+Inputs!$B$11)^(CD$2-1),0)</f>
        <v>0</v>
      </c>
      <c r="CE66" s="11" t="n">
        <f aca="false">IF(AND(CE$1&gt;=Units!$Q65,MOD(CE$1-Units!$Q65,12)=0),IF(AND(Units!$L65=1,CE$1=Units!$Q65),1,Inputs!$B$15)*Inputs!$B$16*(1+Inputs!$B$11)^(CE$2-1),0)</f>
        <v>0</v>
      </c>
      <c r="CF66" s="11" t="n">
        <f aca="false">IF(AND(CF$1&gt;=Units!$Q65,MOD(CF$1-Units!$Q65,12)=0),IF(AND(Units!$L65=1,CF$1=Units!$Q65),1,Inputs!$B$15)*Inputs!$B$16*(1+Inputs!$B$11)^(CF$2-1),0)</f>
        <v>0</v>
      </c>
      <c r="CG66" s="11" t="n">
        <f aca="false">IF(AND(CG$1&gt;=Units!$Q65,MOD(CG$1-Units!$Q65,12)=0),IF(AND(Units!$L65=1,CG$1=Units!$Q65),1,Inputs!$B$15)*Inputs!$B$16*(1+Inputs!$B$11)^(CG$2-1),0)</f>
        <v>0</v>
      </c>
      <c r="CH66" s="11" t="n">
        <f aca="false">IF(AND(CH$1&gt;=Units!$Q65,MOD(CH$1-Units!$Q65,12)=0),IF(AND(Units!$L65=1,CH$1=Units!$Q65),1,Inputs!$B$15)*Inputs!$B$16*(1+Inputs!$B$11)^(CH$2-1),0)</f>
        <v>0</v>
      </c>
      <c r="CI66" s="11" t="n">
        <f aca="false">IF(AND(CI$1&gt;=Units!$Q65,MOD(CI$1-Units!$Q65,12)=0),IF(AND(Units!$L65=1,CI$1=Units!$Q65),1,Inputs!$B$15)*Inputs!$B$16*(1+Inputs!$B$11)^(CI$2-1),0)</f>
        <v>0</v>
      </c>
      <c r="CJ66" s="11" t="n">
        <f aca="false">IF(AND(CJ$1&gt;=Units!$Q65,MOD(CJ$1-Units!$Q65,12)=0),IF(AND(Units!$L65=1,CJ$1=Units!$Q65),1,Inputs!$B$15)*Inputs!$B$16*(1+Inputs!$B$11)^(CJ$2-1),0)</f>
        <v>0</v>
      </c>
      <c r="CK66" s="11" t="n">
        <f aca="false">IF(AND(CK$1&gt;=Units!$Q65,MOD(CK$1-Units!$Q65,12)=0),IF(AND(Units!$L65=1,CK$1=Units!$Q65),1,Inputs!$B$15)*Inputs!$B$16*(1+Inputs!$B$11)^(CK$2-1),0)</f>
        <v>0</v>
      </c>
      <c r="CL66" s="11" t="n">
        <f aca="false">IF(AND(CL$1&gt;=Units!$Q65,MOD(CL$1-Units!$Q65,12)=0),IF(AND(Units!$L65=1,CL$1=Units!$Q65),1,Inputs!$B$15)*Inputs!$B$16*(1+Inputs!$B$11)^(CL$2-1),0)</f>
        <v>0</v>
      </c>
      <c r="CM66" s="11" t="n">
        <f aca="false">IF(AND(CM$1&gt;=Units!$Q65,MOD(CM$1-Units!$Q65,12)=0),IF(AND(Units!$L65=1,CM$1=Units!$Q65),1,Inputs!$B$15)*Inputs!$B$16*(1+Inputs!$B$11)^(CM$2-1),0)</f>
        <v>614.936932712435</v>
      </c>
      <c r="CN66" s="11" t="n">
        <f aca="false">IF(AND(CN$1&gt;=Units!$Q65,MOD(CN$1-Units!$Q65,12)=0),IF(AND(Units!$L65=1,CN$1=Units!$Q65),1,Inputs!$B$15)*Inputs!$B$16*(1+Inputs!$B$11)^(CN$2-1),0)</f>
        <v>0</v>
      </c>
      <c r="CO66" s="11" t="n">
        <f aca="false">IF(AND(CO$1&gt;=Units!$Q65,MOD(CO$1-Units!$Q65,12)=0),IF(AND(Units!$L65=1,CO$1=Units!$Q65),1,Inputs!$B$15)*Inputs!$B$16*(1+Inputs!$B$11)^(CO$2-1),0)</f>
        <v>0</v>
      </c>
      <c r="CP66" s="11" t="n">
        <f aca="false">IF(AND(CP$1&gt;=Units!$Q65,MOD(CP$1-Units!$Q65,12)=0),IF(AND(Units!$L65=1,CP$1=Units!$Q65),1,Inputs!$B$15)*Inputs!$B$16*(1+Inputs!$B$11)^(CP$2-1),0)</f>
        <v>0</v>
      </c>
      <c r="CQ66" s="11" t="n">
        <f aca="false">IF(AND(CQ$1&gt;=Units!$Q65,MOD(CQ$1-Units!$Q65,12)=0),IF(AND(Units!$L65=1,CQ$1=Units!$Q65),1,Inputs!$B$15)*Inputs!$B$16*(1+Inputs!$B$11)^(CQ$2-1),0)</f>
        <v>0</v>
      </c>
      <c r="CR66" s="11" t="n">
        <f aca="false">IF(AND(CR$1&gt;=Units!$Q65,MOD(CR$1-Units!$Q65,12)=0),IF(AND(Units!$L65=1,CR$1=Units!$Q65),1,Inputs!$B$15)*Inputs!$B$16*(1+Inputs!$B$11)^(CR$2-1),0)</f>
        <v>0</v>
      </c>
      <c r="CS66" s="11" t="n">
        <f aca="false">IF(AND(CS$1&gt;=Units!$Q65,MOD(CS$1-Units!$Q65,12)=0),IF(AND(Units!$L65=1,CS$1=Units!$Q65),1,Inputs!$B$15)*Inputs!$B$16*(1+Inputs!$B$11)^(CS$2-1),0)</f>
        <v>0</v>
      </c>
      <c r="CT66" s="11" t="n">
        <f aca="false">IF(AND(CT$1&gt;=Units!$Q65,MOD(CT$1-Units!$Q65,12)=0),IF(AND(Units!$L65=1,CT$1=Units!$Q65),1,Inputs!$B$15)*Inputs!$B$16*(1+Inputs!$B$11)^(CT$2-1),0)</f>
        <v>0</v>
      </c>
      <c r="CU66" s="11" t="n">
        <f aca="false">IF(AND(CU$1&gt;=Units!$Q65,MOD(CU$1-Units!$Q65,12)=0),IF(AND(Units!$L65=1,CU$1=Units!$Q65),1,Inputs!$B$15)*Inputs!$B$16*(1+Inputs!$B$11)^(CU$2-1),0)</f>
        <v>0</v>
      </c>
      <c r="CV66" s="11" t="n">
        <f aca="false">IF(AND(CV$1&gt;=Units!$Q65,MOD(CV$1-Units!$Q65,12)=0),IF(AND(Units!$L65=1,CV$1=Units!$Q65),1,Inputs!$B$15)*Inputs!$B$16*(1+Inputs!$B$11)^(CV$2-1),0)</f>
        <v>0</v>
      </c>
      <c r="CW66" s="11" t="n">
        <f aca="false">IF(AND(CW$1&gt;=Units!$Q65,MOD(CW$1-Units!$Q65,12)=0),IF(AND(Units!$L65=1,CW$1=Units!$Q65),1,Inputs!$B$15)*Inputs!$B$16*(1+Inputs!$B$11)^(CW$2-1),0)</f>
        <v>0</v>
      </c>
      <c r="CX66" s="11" t="n">
        <f aca="false">IF(AND(CX$1&gt;=Units!$Q65,MOD(CX$1-Units!$Q65,12)=0),IF(AND(Units!$L65=1,CX$1=Units!$Q65),1,Inputs!$B$15)*Inputs!$B$16*(1+Inputs!$B$11)^(CX$2-1),0)</f>
        <v>0</v>
      </c>
      <c r="CY66" s="11" t="n">
        <f aca="false">IF(AND(CY$1&gt;=Units!$Q65,MOD(CY$1-Units!$Q65,12)=0),IF(AND(Units!$L65=1,CY$1=Units!$Q65),1,Inputs!$B$15)*Inputs!$B$16*(1+Inputs!$B$11)^(CY$2-1),0)</f>
        <v>633.385040693808</v>
      </c>
      <c r="CZ66" s="11" t="n">
        <f aca="false">IF(AND(CZ$1&gt;=Units!$Q65,MOD(CZ$1-Units!$Q65,12)=0),IF(AND(Units!$L65=1,CZ$1=Units!$Q65),1,Inputs!$B$15)*Inputs!$B$16*(1+Inputs!$B$11)^(CZ$2-1),0)</f>
        <v>0</v>
      </c>
      <c r="DA66" s="11" t="n">
        <f aca="false">IF(AND(DA$1&gt;=Units!$Q65,MOD(DA$1-Units!$Q65,12)=0),IF(AND(Units!$L65=1,DA$1=Units!$Q65),1,Inputs!$B$15)*Inputs!$B$16*(1+Inputs!$B$11)^(DA$2-1),0)</f>
        <v>0</v>
      </c>
      <c r="DB66" s="11" t="n">
        <f aca="false">IF(AND(DB$1&gt;=Units!$Q65,MOD(DB$1-Units!$Q65,12)=0),IF(AND(Units!$L65=1,DB$1=Units!$Q65),1,Inputs!$B$15)*Inputs!$B$16*(1+Inputs!$B$11)^(DB$2-1),0)</f>
        <v>0</v>
      </c>
      <c r="DC66" s="11" t="n">
        <f aca="false">IF(AND(DC$1&gt;=Units!$Q65,MOD(DC$1-Units!$Q65,12)=0),IF(AND(Units!$L65=1,DC$1=Units!$Q65),1,Inputs!$B$15)*Inputs!$B$16*(1+Inputs!$B$11)^(DC$2-1),0)</f>
        <v>0</v>
      </c>
      <c r="DD66" s="11" t="n">
        <f aca="false">IF(AND(DD$1&gt;=Units!$Q65,MOD(DD$1-Units!$Q65,12)=0),IF(AND(Units!$L65=1,DD$1=Units!$Q65),1,Inputs!$B$15)*Inputs!$B$16*(1+Inputs!$B$11)^(DD$2-1),0)</f>
        <v>0</v>
      </c>
      <c r="DE66" s="11" t="n">
        <f aca="false">IF(AND(DE$1&gt;=Units!$Q65,MOD(DE$1-Units!$Q65,12)=0),IF(AND(Units!$L65=1,DE$1=Units!$Q65),1,Inputs!$B$15)*Inputs!$B$16*(1+Inputs!$B$11)^(DE$2-1),0)</f>
        <v>0</v>
      </c>
      <c r="DF66" s="11" t="n">
        <f aca="false">IF(AND(DF$1&gt;=Units!$Q65,MOD(DF$1-Units!$Q65,12)=0),IF(AND(Units!$L65=1,DF$1=Units!$Q65),1,Inputs!$B$15)*Inputs!$B$16*(1+Inputs!$B$11)^(DF$2-1),0)</f>
        <v>0</v>
      </c>
      <c r="DG66" s="11" t="n">
        <f aca="false">IF(AND(DG$1&gt;=Units!$Q65,MOD(DG$1-Units!$Q65,12)=0),IF(AND(Units!$L65=1,DG$1=Units!$Q65),1,Inputs!$B$15)*Inputs!$B$16*(1+Inputs!$B$11)^(DG$2-1),0)</f>
        <v>0</v>
      </c>
      <c r="DH66" s="11" t="n">
        <f aca="false">IF(AND(DH$1&gt;=Units!$Q65,MOD(DH$1-Units!$Q65,12)=0),IF(AND(Units!$L65=1,DH$1=Units!$Q65),1,Inputs!$B$15)*Inputs!$B$16*(1+Inputs!$B$11)^(DH$2-1),0)</f>
        <v>0</v>
      </c>
      <c r="DI66" s="11" t="n">
        <f aca="false">IF(AND(DI$1&gt;=Units!$Q65,MOD(DI$1-Units!$Q65,12)=0),IF(AND(Units!$L65=1,DI$1=Units!$Q65),1,Inputs!$B$15)*Inputs!$B$16*(1+Inputs!$B$11)^(DI$2-1),0)</f>
        <v>0</v>
      </c>
      <c r="DJ66" s="11" t="n">
        <f aca="false">IF(AND(DJ$1&gt;=Units!$Q65,MOD(DJ$1-Units!$Q65,12)=0),IF(AND(Units!$L65=1,DJ$1=Units!$Q65),1,Inputs!$B$15)*Inputs!$B$16*(1+Inputs!$B$11)^(DJ$2-1),0)</f>
        <v>0</v>
      </c>
      <c r="DK66" s="11" t="n">
        <f aca="false">IF(AND(DK$1&gt;=Units!$Q65,MOD(DK$1-Units!$Q65,12)=0),IF(AND(Units!$L65=1,DK$1=Units!$Q65),1,Inputs!$B$15)*Inputs!$B$16*(1+Inputs!$B$11)^(DK$2-1),0)</f>
        <v>652.386591914623</v>
      </c>
      <c r="DL66" s="11" t="n">
        <f aca="false">IF(AND(DL$1&gt;=Units!$Q65,MOD(DL$1-Units!$Q65,12)=0),IF(AND(Units!$L65=1,DL$1=Units!$Q65),1,Inputs!$B$15)*Inputs!$B$16*(1+Inputs!$B$11)^(DL$2-1),0)</f>
        <v>0</v>
      </c>
      <c r="DM66" s="11" t="n">
        <f aca="false">IF(AND(DM$1&gt;=Units!$Q65,MOD(DM$1-Units!$Q65,12)=0),IF(AND(Units!$L65=1,DM$1=Units!$Q65),1,Inputs!$B$15)*Inputs!$B$16*(1+Inputs!$B$11)^(DM$2-1),0)</f>
        <v>0</v>
      </c>
      <c r="DN66" s="11" t="n">
        <f aca="false">IF(AND(DN$1&gt;=Units!$Q65,MOD(DN$1-Units!$Q65,12)=0),IF(AND(Units!$L65=1,DN$1=Units!$Q65),1,Inputs!$B$15)*Inputs!$B$16*(1+Inputs!$B$11)^(DN$2-1),0)</f>
        <v>0</v>
      </c>
      <c r="DO66" s="11" t="n">
        <f aca="false">IF(AND(DO$1&gt;=Units!$Q65,MOD(DO$1-Units!$Q65,12)=0),IF(AND(Units!$L65=1,DO$1=Units!$Q65),1,Inputs!$B$15)*Inputs!$B$16*(1+Inputs!$B$11)^(DO$2-1),0)</f>
        <v>0</v>
      </c>
      <c r="DP66" s="11" t="n">
        <f aca="false">IF(AND(DP$1&gt;=Units!$Q65,MOD(DP$1-Units!$Q65,12)=0),IF(AND(Units!$L65=1,DP$1=Units!$Q65),1,Inputs!$B$15)*Inputs!$B$16*(1+Inputs!$B$11)^(DP$2-1),0)</f>
        <v>0</v>
      </c>
      <c r="DQ66" s="11" t="n">
        <f aca="false">IF(AND(DQ$1&gt;=Units!$Q65,MOD(DQ$1-Units!$Q65,12)=0),IF(AND(Units!$L65=1,DQ$1=Units!$Q65),1,Inputs!$B$15)*Inputs!$B$16*(1+Inputs!$B$11)^(DQ$2-1),0)</f>
        <v>0</v>
      </c>
      <c r="DR66" s="11" t="n">
        <f aca="false">IF(AND(DR$1&gt;=Units!$Q65,MOD(DR$1-Units!$Q65,12)=0),IF(AND(Units!$L65=1,DR$1=Units!$Q65),1,Inputs!$B$15)*Inputs!$B$16*(1+Inputs!$B$11)^(DR$2-1),0)</f>
        <v>0</v>
      </c>
      <c r="DS66" s="11" t="n">
        <f aca="false">IF(AND(DS$1&gt;=Units!$Q65,MOD(DS$1-Units!$Q65,12)=0),IF(AND(Units!$L65=1,DS$1=Units!$Q65),1,Inputs!$B$15)*Inputs!$B$16*(1+Inputs!$B$11)^(DS$2-1),0)</f>
        <v>0</v>
      </c>
      <c r="DT66" s="11" t="n">
        <f aca="false">IF(AND(DT$1&gt;=Units!$Q65,MOD(DT$1-Units!$Q65,12)=0),IF(AND(Units!$L65=1,DT$1=Units!$Q65),1,Inputs!$B$15)*Inputs!$B$16*(1+Inputs!$B$11)^(DT$2-1),0)</f>
        <v>0</v>
      </c>
      <c r="DU66" s="11" t="n">
        <f aca="false">IF(AND(DU$1&gt;=Units!$Q65,MOD(DU$1-Units!$Q65,12)=0),IF(AND(Units!$L65=1,DU$1=Units!$Q65),1,Inputs!$B$15)*Inputs!$B$16*(1+Inputs!$B$11)^(DU$2-1),0)</f>
        <v>0</v>
      </c>
      <c r="DV66" s="11" t="n">
        <f aca="false">IF(AND(DV$1&gt;=Units!$Q65,MOD(DV$1-Units!$Q65,12)=0),IF(AND(Units!$L65=1,DV$1=Units!$Q65),1,Inputs!$B$15)*Inputs!$B$16*(1+Inputs!$B$11)^(DV$2-1),0)</f>
        <v>0</v>
      </c>
      <c r="DW66" s="11" t="n">
        <f aca="false">IF(AND(DW$1&gt;=Units!$Q65,MOD(DW$1-Units!$Q65,12)=0),IF(AND(Units!$L65=1,DW$1=Units!$Q65),1,Inputs!$B$15)*Inputs!$B$16*(1+Inputs!$B$11)^(DW$2-1),0)</f>
        <v>671.958189672061</v>
      </c>
      <c r="DX66" s="11" t="n">
        <f aca="false">IF(AND(DX$1&gt;=Units!$Q65,MOD(DX$1-Units!$Q65,12)=0),IF(AND(Units!$L65=1,DX$1=Units!$Q65),1,Inputs!$B$15)*Inputs!$B$16*(1+Inputs!$B$11)^(DX$2-1),0)</f>
        <v>0</v>
      </c>
      <c r="DY66" s="11" t="n">
        <f aca="false">IF(AND(DY$1&gt;=Units!$Q65,MOD(DY$1-Units!$Q65,12)=0),IF(AND(Units!$L65=1,DY$1=Units!$Q65),1,Inputs!$B$15)*Inputs!$B$16*(1+Inputs!$B$11)^(DY$2-1),0)</f>
        <v>0</v>
      </c>
      <c r="DZ66" s="11" t="n">
        <f aca="false">IF(AND(DZ$1&gt;=Units!$Q65,MOD(DZ$1-Units!$Q65,12)=0),IF(AND(Units!$L65=1,DZ$1=Units!$Q65),1,Inputs!$B$15)*Inputs!$B$16*(1+Inputs!$B$11)^(DZ$2-1),0)</f>
        <v>0</v>
      </c>
      <c r="EA66" s="11" t="n">
        <f aca="false">IF(AND(EA$1&gt;=Units!$Q65,MOD(EA$1-Units!$Q65,12)=0),IF(AND(Units!$L65=1,EA$1=Units!$Q65),1,Inputs!$B$15)*Inputs!$B$16*(1+Inputs!$B$11)^(EA$2-1),0)</f>
        <v>0</v>
      </c>
      <c r="EB66" s="11" t="n">
        <f aca="false">IF(AND(EB$1&gt;=Units!$Q65,MOD(EB$1-Units!$Q65,12)=0),IF(AND(Units!$L65=1,EB$1=Units!$Q65),1,Inputs!$B$15)*Inputs!$B$16*(1+Inputs!$B$11)^(EB$2-1),0)</f>
        <v>0</v>
      </c>
      <c r="EC66" s="11" t="n">
        <f aca="false">IF(AND(EC$1&gt;=Units!$Q65,MOD(EC$1-Units!$Q65,12)=0),IF(AND(Units!$L65=1,EC$1=Units!$Q65),1,Inputs!$B$15)*Inputs!$B$16*(1+Inputs!$B$11)^(EC$2-1),0)</f>
        <v>0</v>
      </c>
      <c r="ED66" s="11" t="n">
        <f aca="false">IF(AND(ED$1&gt;=Units!$Q65,MOD(ED$1-Units!$Q65,12)=0),IF(AND(Units!$L65=1,ED$1=Units!$Q65),1,Inputs!$B$15)*Inputs!$B$16*(1+Inputs!$B$11)^(ED$2-1),0)</f>
        <v>0</v>
      </c>
    </row>
    <row r="67" customFormat="false" ht="15" hidden="false" customHeight="false" outlineLevel="0" collapsed="false">
      <c r="A67" s="22" t="n">
        <f aca="false">Units!A66</f>
        <v>305</v>
      </c>
      <c r="B67" s="23"/>
      <c r="C67" s="11" t="n">
        <f aca="false">IF(AND(C$1&gt;=Units!$Q66,MOD(C$1-Units!$Q66,12)=0),IF(AND(Units!$L66=1,C$1=Units!$Q66),1,Inputs!$B$15)*Inputs!$B$16*(1+Inputs!$B$11)^(C$2-1),0)</f>
        <v>0</v>
      </c>
      <c r="D67" s="11" t="n">
        <f aca="false">IF(AND(D$1&gt;=Units!$Q66,MOD(D$1-Units!$Q66,12)=0),IF(AND(Units!$L66=1,D$1=Units!$Q66),1,Inputs!$B$15)*Inputs!$B$16*(1+Inputs!$B$11)^(D$2-1),0)</f>
        <v>0</v>
      </c>
      <c r="E67" s="11" t="n">
        <f aca="false">IF(AND(E$1&gt;=Units!$Q66,MOD(E$1-Units!$Q66,12)=0),IF(AND(Units!$L66=1,E$1=Units!$Q66),1,Inputs!$B$15)*Inputs!$B$16*(1+Inputs!$B$11)^(E$2-1),0)</f>
        <v>0</v>
      </c>
      <c r="F67" s="11" t="n">
        <f aca="false">IF(AND(F$1&gt;=Units!$Q66,MOD(F$1-Units!$Q66,12)=0),IF(AND(Units!$L66=1,F$1=Units!$Q66),1,Inputs!$B$15)*Inputs!$B$16*(1+Inputs!$B$11)^(F$2-1),0)</f>
        <v>0</v>
      </c>
      <c r="G67" s="11" t="n">
        <f aca="false">IF(AND(G$1&gt;=Units!$Q66,MOD(G$1-Units!$Q66,12)=0),IF(AND(Units!$L66=1,G$1=Units!$Q66),1,Inputs!$B$15)*Inputs!$B$16*(1+Inputs!$B$11)^(G$2-1),0)</f>
        <v>0</v>
      </c>
      <c r="H67" s="11" t="n">
        <f aca="false">IF(AND(H$1&gt;=Units!$Q66,MOD(H$1-Units!$Q66,12)=0),IF(AND(Units!$L66=1,H$1=Units!$Q66),1,Inputs!$B$15)*Inputs!$B$16*(1+Inputs!$B$11)^(H$2-1),0)</f>
        <v>0</v>
      </c>
      <c r="I67" s="11" t="n">
        <f aca="false">IF(AND(I$1&gt;=Units!$Q66,MOD(I$1-Units!$Q66,12)=0),IF(AND(Units!$L66=1,I$1=Units!$Q66),1,Inputs!$B$15)*Inputs!$B$16*(1+Inputs!$B$11)^(I$2-1),0)</f>
        <v>0</v>
      </c>
      <c r="J67" s="11" t="n">
        <f aca="false">IF(AND(J$1&gt;=Units!$Q66,MOD(J$1-Units!$Q66,12)=0),IF(AND(Units!$L66=1,J$1=Units!$Q66),1,Inputs!$B$15)*Inputs!$B$16*(1+Inputs!$B$11)^(J$2-1),0)</f>
        <v>0</v>
      </c>
      <c r="K67" s="11" t="n">
        <f aca="false">IF(AND(K$1&gt;=Units!$Q66,MOD(K$1-Units!$Q66,12)=0),IF(AND(Units!$L66=1,K$1=Units!$Q66),1,Inputs!$B$15)*Inputs!$B$16*(1+Inputs!$B$11)^(K$2-1),0)</f>
        <v>0</v>
      </c>
      <c r="L67" s="11" t="n">
        <f aca="false">IF(AND(L$1&gt;=Units!$Q66,MOD(L$1-Units!$Q66,12)=0),IF(AND(Units!$L66=1,L$1=Units!$Q66),1,Inputs!$B$15)*Inputs!$B$16*(1+Inputs!$B$11)^(L$2-1),0)</f>
        <v>0</v>
      </c>
      <c r="M67" s="11" t="n">
        <f aca="false">IF(AND(M$1&gt;=Units!$Q66,MOD(M$1-Units!$Q66,12)=0),IF(AND(Units!$L66=1,M$1=Units!$Q66),1,Inputs!$B$15)*Inputs!$B$16*(1+Inputs!$B$11)^(M$2-1),0)</f>
        <v>0</v>
      </c>
      <c r="N67" s="11" t="n">
        <f aca="false">IF(AND(N$1&gt;=Units!$Q66,MOD(N$1-Units!$Q66,12)=0),IF(AND(Units!$L66=1,N$1=Units!$Q66),1,Inputs!$B$15)*Inputs!$B$16*(1+Inputs!$B$11)^(N$2-1),0)</f>
        <v>0</v>
      </c>
      <c r="O67" s="11" t="n">
        <f aca="false">IF(AND(O$1&gt;=Units!$Q66,MOD(O$1-Units!$Q66,12)=0),IF(AND(Units!$L66=1,O$1=Units!$Q66),1,Inputs!$B$15)*Inputs!$B$16*(1+Inputs!$B$11)^(O$2-1),0)</f>
        <v>515</v>
      </c>
      <c r="P67" s="11" t="n">
        <f aca="false">IF(AND(P$1&gt;=Units!$Q66,MOD(P$1-Units!$Q66,12)=0),IF(AND(Units!$L66=1,P$1=Units!$Q66),1,Inputs!$B$15)*Inputs!$B$16*(1+Inputs!$B$11)^(P$2-1),0)</f>
        <v>0</v>
      </c>
      <c r="Q67" s="11" t="n">
        <f aca="false">IF(AND(Q$1&gt;=Units!$Q66,MOD(Q$1-Units!$Q66,12)=0),IF(AND(Units!$L66=1,Q$1=Units!$Q66),1,Inputs!$B$15)*Inputs!$B$16*(1+Inputs!$B$11)^(Q$2-1),0)</f>
        <v>0</v>
      </c>
      <c r="R67" s="11" t="n">
        <f aca="false">IF(AND(R$1&gt;=Units!$Q66,MOD(R$1-Units!$Q66,12)=0),IF(AND(Units!$L66=1,R$1=Units!$Q66),1,Inputs!$B$15)*Inputs!$B$16*(1+Inputs!$B$11)^(R$2-1),0)</f>
        <v>0</v>
      </c>
      <c r="S67" s="11" t="n">
        <f aca="false">IF(AND(S$1&gt;=Units!$Q66,MOD(S$1-Units!$Q66,12)=0),IF(AND(Units!$L66=1,S$1=Units!$Q66),1,Inputs!$B$15)*Inputs!$B$16*(1+Inputs!$B$11)^(S$2-1),0)</f>
        <v>0</v>
      </c>
      <c r="T67" s="11" t="n">
        <f aca="false">IF(AND(T$1&gt;=Units!$Q66,MOD(T$1-Units!$Q66,12)=0),IF(AND(Units!$L66=1,T$1=Units!$Q66),1,Inputs!$B$15)*Inputs!$B$16*(1+Inputs!$B$11)^(T$2-1),0)</f>
        <v>0</v>
      </c>
      <c r="U67" s="11" t="n">
        <f aca="false">IF(AND(U$1&gt;=Units!$Q66,MOD(U$1-Units!$Q66,12)=0),IF(AND(Units!$L66=1,U$1=Units!$Q66),1,Inputs!$B$15)*Inputs!$B$16*(1+Inputs!$B$11)^(U$2-1),0)</f>
        <v>0</v>
      </c>
      <c r="V67" s="11" t="n">
        <f aca="false">IF(AND(V$1&gt;=Units!$Q66,MOD(V$1-Units!$Q66,12)=0),IF(AND(Units!$L66=1,V$1=Units!$Q66),1,Inputs!$B$15)*Inputs!$B$16*(1+Inputs!$B$11)^(V$2-1),0)</f>
        <v>0</v>
      </c>
      <c r="W67" s="11" t="n">
        <f aca="false">IF(AND(W$1&gt;=Units!$Q66,MOD(W$1-Units!$Q66,12)=0),IF(AND(Units!$L66=1,W$1=Units!$Q66),1,Inputs!$B$15)*Inputs!$B$16*(1+Inputs!$B$11)^(W$2-1),0)</f>
        <v>0</v>
      </c>
      <c r="X67" s="11" t="n">
        <f aca="false">IF(AND(X$1&gt;=Units!$Q66,MOD(X$1-Units!$Q66,12)=0),IF(AND(Units!$L66=1,X$1=Units!$Q66),1,Inputs!$B$15)*Inputs!$B$16*(1+Inputs!$B$11)^(X$2-1),0)</f>
        <v>0</v>
      </c>
      <c r="Y67" s="11" t="n">
        <f aca="false">IF(AND(Y$1&gt;=Units!$Q66,MOD(Y$1-Units!$Q66,12)=0),IF(AND(Units!$L66=1,Y$1=Units!$Q66),1,Inputs!$B$15)*Inputs!$B$16*(1+Inputs!$B$11)^(Y$2-1),0)</f>
        <v>0</v>
      </c>
      <c r="Z67" s="11" t="n">
        <f aca="false">IF(AND(Z$1&gt;=Units!$Q66,MOD(Z$1-Units!$Q66,12)=0),IF(AND(Units!$L66=1,Z$1=Units!$Q66),1,Inputs!$B$15)*Inputs!$B$16*(1+Inputs!$B$11)^(Z$2-1),0)</f>
        <v>0</v>
      </c>
      <c r="AA67" s="11" t="n">
        <f aca="false">IF(AND(AA$1&gt;=Units!$Q66,MOD(AA$1-Units!$Q66,12)=0),IF(AND(Units!$L66=1,AA$1=Units!$Q66),1,Inputs!$B$15)*Inputs!$B$16*(1+Inputs!$B$11)^(AA$2-1),0)</f>
        <v>530.45</v>
      </c>
      <c r="AB67" s="11" t="n">
        <f aca="false">IF(AND(AB$1&gt;=Units!$Q66,MOD(AB$1-Units!$Q66,12)=0),IF(AND(Units!$L66=1,AB$1=Units!$Q66),1,Inputs!$B$15)*Inputs!$B$16*(1+Inputs!$B$11)^(AB$2-1),0)</f>
        <v>0</v>
      </c>
      <c r="AC67" s="11" t="n">
        <f aca="false">IF(AND(AC$1&gt;=Units!$Q66,MOD(AC$1-Units!$Q66,12)=0),IF(AND(Units!$L66=1,AC$1=Units!$Q66),1,Inputs!$B$15)*Inputs!$B$16*(1+Inputs!$B$11)^(AC$2-1),0)</f>
        <v>0</v>
      </c>
      <c r="AD67" s="11" t="n">
        <f aca="false">IF(AND(AD$1&gt;=Units!$Q66,MOD(AD$1-Units!$Q66,12)=0),IF(AND(Units!$L66=1,AD$1=Units!$Q66),1,Inputs!$B$15)*Inputs!$B$16*(1+Inputs!$B$11)^(AD$2-1),0)</f>
        <v>0</v>
      </c>
      <c r="AE67" s="11" t="n">
        <f aca="false">IF(AND(AE$1&gt;=Units!$Q66,MOD(AE$1-Units!$Q66,12)=0),IF(AND(Units!$L66=1,AE$1=Units!$Q66),1,Inputs!$B$15)*Inputs!$B$16*(1+Inputs!$B$11)^(AE$2-1),0)</f>
        <v>0</v>
      </c>
      <c r="AF67" s="11" t="n">
        <f aca="false">IF(AND(AF$1&gt;=Units!$Q66,MOD(AF$1-Units!$Q66,12)=0),IF(AND(Units!$L66=1,AF$1=Units!$Q66),1,Inputs!$B$15)*Inputs!$B$16*(1+Inputs!$B$11)^(AF$2-1),0)</f>
        <v>0</v>
      </c>
      <c r="AG67" s="11" t="n">
        <f aca="false">IF(AND(AG$1&gt;=Units!$Q66,MOD(AG$1-Units!$Q66,12)=0),IF(AND(Units!$L66=1,AG$1=Units!$Q66),1,Inputs!$B$15)*Inputs!$B$16*(1+Inputs!$B$11)^(AG$2-1),0)</f>
        <v>0</v>
      </c>
      <c r="AH67" s="11" t="n">
        <f aca="false">IF(AND(AH$1&gt;=Units!$Q66,MOD(AH$1-Units!$Q66,12)=0),IF(AND(Units!$L66=1,AH$1=Units!$Q66),1,Inputs!$B$15)*Inputs!$B$16*(1+Inputs!$B$11)^(AH$2-1),0)</f>
        <v>0</v>
      </c>
      <c r="AI67" s="11" t="n">
        <f aca="false">IF(AND(AI$1&gt;=Units!$Q66,MOD(AI$1-Units!$Q66,12)=0),IF(AND(Units!$L66=1,AI$1=Units!$Q66),1,Inputs!$B$15)*Inputs!$B$16*(1+Inputs!$B$11)^(AI$2-1),0)</f>
        <v>0</v>
      </c>
      <c r="AJ67" s="11" t="n">
        <f aca="false">IF(AND(AJ$1&gt;=Units!$Q66,MOD(AJ$1-Units!$Q66,12)=0),IF(AND(Units!$L66=1,AJ$1=Units!$Q66),1,Inputs!$B$15)*Inputs!$B$16*(1+Inputs!$B$11)^(AJ$2-1),0)</f>
        <v>0</v>
      </c>
      <c r="AK67" s="11" t="n">
        <f aca="false">IF(AND(AK$1&gt;=Units!$Q66,MOD(AK$1-Units!$Q66,12)=0),IF(AND(Units!$L66=1,AK$1=Units!$Q66),1,Inputs!$B$15)*Inputs!$B$16*(1+Inputs!$B$11)^(AK$2-1),0)</f>
        <v>0</v>
      </c>
      <c r="AL67" s="11" t="n">
        <f aca="false">IF(AND(AL$1&gt;=Units!$Q66,MOD(AL$1-Units!$Q66,12)=0),IF(AND(Units!$L66=1,AL$1=Units!$Q66),1,Inputs!$B$15)*Inputs!$B$16*(1+Inputs!$B$11)^(AL$2-1),0)</f>
        <v>0</v>
      </c>
      <c r="AM67" s="11" t="n">
        <f aca="false">IF(AND(AM$1&gt;=Units!$Q66,MOD(AM$1-Units!$Q66,12)=0),IF(AND(Units!$L66=1,AM$1=Units!$Q66),1,Inputs!$B$15)*Inputs!$B$16*(1+Inputs!$B$11)^(AM$2-1),0)</f>
        <v>546.3635</v>
      </c>
      <c r="AN67" s="11" t="n">
        <f aca="false">IF(AND(AN$1&gt;=Units!$Q66,MOD(AN$1-Units!$Q66,12)=0),IF(AND(Units!$L66=1,AN$1=Units!$Q66),1,Inputs!$B$15)*Inputs!$B$16*(1+Inputs!$B$11)^(AN$2-1),0)</f>
        <v>0</v>
      </c>
      <c r="AO67" s="11" t="n">
        <f aca="false">IF(AND(AO$1&gt;=Units!$Q66,MOD(AO$1-Units!$Q66,12)=0),IF(AND(Units!$L66=1,AO$1=Units!$Q66),1,Inputs!$B$15)*Inputs!$B$16*(1+Inputs!$B$11)^(AO$2-1),0)</f>
        <v>0</v>
      </c>
      <c r="AP67" s="11" t="n">
        <f aca="false">IF(AND(AP$1&gt;=Units!$Q66,MOD(AP$1-Units!$Q66,12)=0),IF(AND(Units!$L66=1,AP$1=Units!$Q66),1,Inputs!$B$15)*Inputs!$B$16*(1+Inputs!$B$11)^(AP$2-1),0)</f>
        <v>0</v>
      </c>
      <c r="AQ67" s="11" t="n">
        <f aca="false">IF(AND(AQ$1&gt;=Units!$Q66,MOD(AQ$1-Units!$Q66,12)=0),IF(AND(Units!$L66=1,AQ$1=Units!$Q66),1,Inputs!$B$15)*Inputs!$B$16*(1+Inputs!$B$11)^(AQ$2-1),0)</f>
        <v>0</v>
      </c>
      <c r="AR67" s="11" t="n">
        <f aca="false">IF(AND(AR$1&gt;=Units!$Q66,MOD(AR$1-Units!$Q66,12)=0),IF(AND(Units!$L66=1,AR$1=Units!$Q66),1,Inputs!$B$15)*Inputs!$B$16*(1+Inputs!$B$11)^(AR$2-1),0)</f>
        <v>0</v>
      </c>
      <c r="AS67" s="11" t="n">
        <f aca="false">IF(AND(AS$1&gt;=Units!$Q66,MOD(AS$1-Units!$Q66,12)=0),IF(AND(Units!$L66=1,AS$1=Units!$Q66),1,Inputs!$B$15)*Inputs!$B$16*(1+Inputs!$B$11)^(AS$2-1),0)</f>
        <v>0</v>
      </c>
      <c r="AT67" s="11" t="n">
        <f aca="false">IF(AND(AT$1&gt;=Units!$Q66,MOD(AT$1-Units!$Q66,12)=0),IF(AND(Units!$L66=1,AT$1=Units!$Q66),1,Inputs!$B$15)*Inputs!$B$16*(1+Inputs!$B$11)^(AT$2-1),0)</f>
        <v>0</v>
      </c>
      <c r="AU67" s="11" t="n">
        <f aca="false">IF(AND(AU$1&gt;=Units!$Q66,MOD(AU$1-Units!$Q66,12)=0),IF(AND(Units!$L66=1,AU$1=Units!$Q66),1,Inputs!$B$15)*Inputs!$B$16*(1+Inputs!$B$11)^(AU$2-1),0)</f>
        <v>0</v>
      </c>
      <c r="AV67" s="11" t="n">
        <f aca="false">IF(AND(AV$1&gt;=Units!$Q66,MOD(AV$1-Units!$Q66,12)=0),IF(AND(Units!$L66=1,AV$1=Units!$Q66),1,Inputs!$B$15)*Inputs!$B$16*(1+Inputs!$B$11)^(AV$2-1),0)</f>
        <v>0</v>
      </c>
      <c r="AW67" s="11" t="n">
        <f aca="false">IF(AND(AW$1&gt;=Units!$Q66,MOD(AW$1-Units!$Q66,12)=0),IF(AND(Units!$L66=1,AW$1=Units!$Q66),1,Inputs!$B$15)*Inputs!$B$16*(1+Inputs!$B$11)^(AW$2-1),0)</f>
        <v>0</v>
      </c>
      <c r="AX67" s="11" t="n">
        <f aca="false">IF(AND(AX$1&gt;=Units!$Q66,MOD(AX$1-Units!$Q66,12)=0),IF(AND(Units!$L66=1,AX$1=Units!$Q66),1,Inputs!$B$15)*Inputs!$B$16*(1+Inputs!$B$11)^(AX$2-1),0)</f>
        <v>0</v>
      </c>
      <c r="AY67" s="11" t="n">
        <f aca="false">IF(AND(AY$1&gt;=Units!$Q66,MOD(AY$1-Units!$Q66,12)=0),IF(AND(Units!$L66=1,AY$1=Units!$Q66),1,Inputs!$B$15)*Inputs!$B$16*(1+Inputs!$B$11)^(AY$2-1),0)</f>
        <v>562.754405</v>
      </c>
      <c r="AZ67" s="11" t="n">
        <f aca="false">IF(AND(AZ$1&gt;=Units!$Q66,MOD(AZ$1-Units!$Q66,12)=0),IF(AND(Units!$L66=1,AZ$1=Units!$Q66),1,Inputs!$B$15)*Inputs!$B$16*(1+Inputs!$B$11)^(AZ$2-1),0)</f>
        <v>0</v>
      </c>
      <c r="BA67" s="11" t="n">
        <f aca="false">IF(AND(BA$1&gt;=Units!$Q66,MOD(BA$1-Units!$Q66,12)=0),IF(AND(Units!$L66=1,BA$1=Units!$Q66),1,Inputs!$B$15)*Inputs!$B$16*(1+Inputs!$B$11)^(BA$2-1),0)</f>
        <v>0</v>
      </c>
      <c r="BB67" s="11" t="n">
        <f aca="false">IF(AND(BB$1&gt;=Units!$Q66,MOD(BB$1-Units!$Q66,12)=0),IF(AND(Units!$L66=1,BB$1=Units!$Q66),1,Inputs!$B$15)*Inputs!$B$16*(1+Inputs!$B$11)^(BB$2-1),0)</f>
        <v>0</v>
      </c>
      <c r="BC67" s="11" t="n">
        <f aca="false">IF(AND(BC$1&gt;=Units!$Q66,MOD(BC$1-Units!$Q66,12)=0),IF(AND(Units!$L66=1,BC$1=Units!$Q66),1,Inputs!$B$15)*Inputs!$B$16*(1+Inputs!$B$11)^(BC$2-1),0)</f>
        <v>0</v>
      </c>
      <c r="BD67" s="11" t="n">
        <f aca="false">IF(AND(BD$1&gt;=Units!$Q66,MOD(BD$1-Units!$Q66,12)=0),IF(AND(Units!$L66=1,BD$1=Units!$Q66),1,Inputs!$B$15)*Inputs!$B$16*(1+Inputs!$B$11)^(BD$2-1),0)</f>
        <v>0</v>
      </c>
      <c r="BE67" s="11" t="n">
        <f aca="false">IF(AND(BE$1&gt;=Units!$Q66,MOD(BE$1-Units!$Q66,12)=0),IF(AND(Units!$L66=1,BE$1=Units!$Q66),1,Inputs!$B$15)*Inputs!$B$16*(1+Inputs!$B$11)^(BE$2-1),0)</f>
        <v>0</v>
      </c>
      <c r="BF67" s="11" t="n">
        <f aca="false">IF(AND(BF$1&gt;=Units!$Q66,MOD(BF$1-Units!$Q66,12)=0),IF(AND(Units!$L66=1,BF$1=Units!$Q66),1,Inputs!$B$15)*Inputs!$B$16*(1+Inputs!$B$11)^(BF$2-1),0)</f>
        <v>0</v>
      </c>
      <c r="BG67" s="11" t="n">
        <f aca="false">IF(AND(BG$1&gt;=Units!$Q66,MOD(BG$1-Units!$Q66,12)=0),IF(AND(Units!$L66=1,BG$1=Units!$Q66),1,Inputs!$B$15)*Inputs!$B$16*(1+Inputs!$B$11)^(BG$2-1),0)</f>
        <v>0</v>
      </c>
      <c r="BH67" s="11" t="n">
        <f aca="false">IF(AND(BH$1&gt;=Units!$Q66,MOD(BH$1-Units!$Q66,12)=0),IF(AND(Units!$L66=1,BH$1=Units!$Q66),1,Inputs!$B$15)*Inputs!$B$16*(1+Inputs!$B$11)^(BH$2-1),0)</f>
        <v>0</v>
      </c>
      <c r="BI67" s="11" t="n">
        <f aca="false">IF(AND(BI$1&gt;=Units!$Q66,MOD(BI$1-Units!$Q66,12)=0),IF(AND(Units!$L66=1,BI$1=Units!$Q66),1,Inputs!$B$15)*Inputs!$B$16*(1+Inputs!$B$11)^(BI$2-1),0)</f>
        <v>0</v>
      </c>
      <c r="BJ67" s="11" t="n">
        <f aca="false">IF(AND(BJ$1&gt;=Units!$Q66,MOD(BJ$1-Units!$Q66,12)=0),IF(AND(Units!$L66=1,BJ$1=Units!$Q66),1,Inputs!$B$15)*Inputs!$B$16*(1+Inputs!$B$11)^(BJ$2-1),0)</f>
        <v>0</v>
      </c>
      <c r="BK67" s="11" t="n">
        <f aca="false">IF(AND(BK$1&gt;=Units!$Q66,MOD(BK$1-Units!$Q66,12)=0),IF(AND(Units!$L66=1,BK$1=Units!$Q66),1,Inputs!$B$15)*Inputs!$B$16*(1+Inputs!$B$11)^(BK$2-1),0)</f>
        <v>579.63703715</v>
      </c>
      <c r="BL67" s="11" t="n">
        <f aca="false">IF(AND(BL$1&gt;=Units!$Q66,MOD(BL$1-Units!$Q66,12)=0),IF(AND(Units!$L66=1,BL$1=Units!$Q66),1,Inputs!$B$15)*Inputs!$B$16*(1+Inputs!$B$11)^(BL$2-1),0)</f>
        <v>0</v>
      </c>
      <c r="BM67" s="11" t="n">
        <f aca="false">IF(AND(BM$1&gt;=Units!$Q66,MOD(BM$1-Units!$Q66,12)=0),IF(AND(Units!$L66=1,BM$1=Units!$Q66),1,Inputs!$B$15)*Inputs!$B$16*(1+Inputs!$B$11)^(BM$2-1),0)</f>
        <v>0</v>
      </c>
      <c r="BN67" s="11" t="n">
        <f aca="false">IF(AND(BN$1&gt;=Units!$Q66,MOD(BN$1-Units!$Q66,12)=0),IF(AND(Units!$L66=1,BN$1=Units!$Q66),1,Inputs!$B$15)*Inputs!$B$16*(1+Inputs!$B$11)^(BN$2-1),0)</f>
        <v>0</v>
      </c>
      <c r="BO67" s="11" t="n">
        <f aca="false">IF(AND(BO$1&gt;=Units!$Q66,MOD(BO$1-Units!$Q66,12)=0),IF(AND(Units!$L66=1,BO$1=Units!$Q66),1,Inputs!$B$15)*Inputs!$B$16*(1+Inputs!$B$11)^(BO$2-1),0)</f>
        <v>0</v>
      </c>
      <c r="BP67" s="11" t="n">
        <f aca="false">IF(AND(BP$1&gt;=Units!$Q66,MOD(BP$1-Units!$Q66,12)=0),IF(AND(Units!$L66=1,BP$1=Units!$Q66),1,Inputs!$B$15)*Inputs!$B$16*(1+Inputs!$B$11)^(BP$2-1),0)</f>
        <v>0</v>
      </c>
      <c r="BQ67" s="11" t="n">
        <f aca="false">IF(AND(BQ$1&gt;=Units!$Q66,MOD(BQ$1-Units!$Q66,12)=0),IF(AND(Units!$L66=1,BQ$1=Units!$Q66),1,Inputs!$B$15)*Inputs!$B$16*(1+Inputs!$B$11)^(BQ$2-1),0)</f>
        <v>0</v>
      </c>
      <c r="BR67" s="11" t="n">
        <f aca="false">IF(AND(BR$1&gt;=Units!$Q66,MOD(BR$1-Units!$Q66,12)=0),IF(AND(Units!$L66=1,BR$1=Units!$Q66),1,Inputs!$B$15)*Inputs!$B$16*(1+Inputs!$B$11)^(BR$2-1),0)</f>
        <v>0</v>
      </c>
      <c r="BS67" s="11" t="n">
        <f aca="false">IF(AND(BS$1&gt;=Units!$Q66,MOD(BS$1-Units!$Q66,12)=0),IF(AND(Units!$L66=1,BS$1=Units!$Q66),1,Inputs!$B$15)*Inputs!$B$16*(1+Inputs!$B$11)^(BS$2-1),0)</f>
        <v>0</v>
      </c>
      <c r="BT67" s="11" t="n">
        <f aca="false">IF(AND(BT$1&gt;=Units!$Q66,MOD(BT$1-Units!$Q66,12)=0),IF(AND(Units!$L66=1,BT$1=Units!$Q66),1,Inputs!$B$15)*Inputs!$B$16*(1+Inputs!$B$11)^(BT$2-1),0)</f>
        <v>0</v>
      </c>
      <c r="BU67" s="11" t="n">
        <f aca="false">IF(AND(BU$1&gt;=Units!$Q66,MOD(BU$1-Units!$Q66,12)=0),IF(AND(Units!$L66=1,BU$1=Units!$Q66),1,Inputs!$B$15)*Inputs!$B$16*(1+Inputs!$B$11)^(BU$2-1),0)</f>
        <v>0</v>
      </c>
      <c r="BV67" s="11" t="n">
        <f aca="false">IF(AND(BV$1&gt;=Units!$Q66,MOD(BV$1-Units!$Q66,12)=0),IF(AND(Units!$L66=1,BV$1=Units!$Q66),1,Inputs!$B$15)*Inputs!$B$16*(1+Inputs!$B$11)^(BV$2-1),0)</f>
        <v>0</v>
      </c>
      <c r="BW67" s="11" t="n">
        <f aca="false">IF(AND(BW$1&gt;=Units!$Q66,MOD(BW$1-Units!$Q66,12)=0),IF(AND(Units!$L66=1,BW$1=Units!$Q66),1,Inputs!$B$15)*Inputs!$B$16*(1+Inputs!$B$11)^(BW$2-1),0)</f>
        <v>597.0261482645</v>
      </c>
      <c r="BX67" s="11" t="n">
        <f aca="false">IF(AND(BX$1&gt;=Units!$Q66,MOD(BX$1-Units!$Q66,12)=0),IF(AND(Units!$L66=1,BX$1=Units!$Q66),1,Inputs!$B$15)*Inputs!$B$16*(1+Inputs!$B$11)^(BX$2-1),0)</f>
        <v>0</v>
      </c>
      <c r="BY67" s="11" t="n">
        <f aca="false">IF(AND(BY$1&gt;=Units!$Q66,MOD(BY$1-Units!$Q66,12)=0),IF(AND(Units!$L66=1,BY$1=Units!$Q66),1,Inputs!$B$15)*Inputs!$B$16*(1+Inputs!$B$11)^(BY$2-1),0)</f>
        <v>0</v>
      </c>
      <c r="BZ67" s="11" t="n">
        <f aca="false">IF(AND(BZ$1&gt;=Units!$Q66,MOD(BZ$1-Units!$Q66,12)=0),IF(AND(Units!$L66=1,BZ$1=Units!$Q66),1,Inputs!$B$15)*Inputs!$B$16*(1+Inputs!$B$11)^(BZ$2-1),0)</f>
        <v>0</v>
      </c>
      <c r="CA67" s="11" t="n">
        <f aca="false">IF(AND(CA$1&gt;=Units!$Q66,MOD(CA$1-Units!$Q66,12)=0),IF(AND(Units!$L66=1,CA$1=Units!$Q66),1,Inputs!$B$15)*Inputs!$B$16*(1+Inputs!$B$11)^(CA$2-1),0)</f>
        <v>0</v>
      </c>
      <c r="CB67" s="11" t="n">
        <f aca="false">IF(AND(CB$1&gt;=Units!$Q66,MOD(CB$1-Units!$Q66,12)=0),IF(AND(Units!$L66=1,CB$1=Units!$Q66),1,Inputs!$B$15)*Inputs!$B$16*(1+Inputs!$B$11)^(CB$2-1),0)</f>
        <v>0</v>
      </c>
      <c r="CC67" s="11" t="n">
        <f aca="false">IF(AND(CC$1&gt;=Units!$Q66,MOD(CC$1-Units!$Q66,12)=0),IF(AND(Units!$L66=1,CC$1=Units!$Q66),1,Inputs!$B$15)*Inputs!$B$16*(1+Inputs!$B$11)^(CC$2-1),0)</f>
        <v>0</v>
      </c>
      <c r="CD67" s="11" t="n">
        <f aca="false">IF(AND(CD$1&gt;=Units!$Q66,MOD(CD$1-Units!$Q66,12)=0),IF(AND(Units!$L66=1,CD$1=Units!$Q66),1,Inputs!$B$15)*Inputs!$B$16*(1+Inputs!$B$11)^(CD$2-1),0)</f>
        <v>0</v>
      </c>
      <c r="CE67" s="11" t="n">
        <f aca="false">IF(AND(CE$1&gt;=Units!$Q66,MOD(CE$1-Units!$Q66,12)=0),IF(AND(Units!$L66=1,CE$1=Units!$Q66),1,Inputs!$B$15)*Inputs!$B$16*(1+Inputs!$B$11)^(CE$2-1),0)</f>
        <v>0</v>
      </c>
      <c r="CF67" s="11" t="n">
        <f aca="false">IF(AND(CF$1&gt;=Units!$Q66,MOD(CF$1-Units!$Q66,12)=0),IF(AND(Units!$L66=1,CF$1=Units!$Q66),1,Inputs!$B$15)*Inputs!$B$16*(1+Inputs!$B$11)^(CF$2-1),0)</f>
        <v>0</v>
      </c>
      <c r="CG67" s="11" t="n">
        <f aca="false">IF(AND(CG$1&gt;=Units!$Q66,MOD(CG$1-Units!$Q66,12)=0),IF(AND(Units!$L66=1,CG$1=Units!$Q66),1,Inputs!$B$15)*Inputs!$B$16*(1+Inputs!$B$11)^(CG$2-1),0)</f>
        <v>0</v>
      </c>
      <c r="CH67" s="11" t="n">
        <f aca="false">IF(AND(CH$1&gt;=Units!$Q66,MOD(CH$1-Units!$Q66,12)=0),IF(AND(Units!$L66=1,CH$1=Units!$Q66),1,Inputs!$B$15)*Inputs!$B$16*(1+Inputs!$B$11)^(CH$2-1),0)</f>
        <v>0</v>
      </c>
      <c r="CI67" s="11" t="n">
        <f aca="false">IF(AND(CI$1&gt;=Units!$Q66,MOD(CI$1-Units!$Q66,12)=0),IF(AND(Units!$L66=1,CI$1=Units!$Q66),1,Inputs!$B$15)*Inputs!$B$16*(1+Inputs!$B$11)^(CI$2-1),0)</f>
        <v>614.936932712435</v>
      </c>
      <c r="CJ67" s="11" t="n">
        <f aca="false">IF(AND(CJ$1&gt;=Units!$Q66,MOD(CJ$1-Units!$Q66,12)=0),IF(AND(Units!$L66=1,CJ$1=Units!$Q66),1,Inputs!$B$15)*Inputs!$B$16*(1+Inputs!$B$11)^(CJ$2-1),0)</f>
        <v>0</v>
      </c>
      <c r="CK67" s="11" t="n">
        <f aca="false">IF(AND(CK$1&gt;=Units!$Q66,MOD(CK$1-Units!$Q66,12)=0),IF(AND(Units!$L66=1,CK$1=Units!$Q66),1,Inputs!$B$15)*Inputs!$B$16*(1+Inputs!$B$11)^(CK$2-1),0)</f>
        <v>0</v>
      </c>
      <c r="CL67" s="11" t="n">
        <f aca="false">IF(AND(CL$1&gt;=Units!$Q66,MOD(CL$1-Units!$Q66,12)=0),IF(AND(Units!$L66=1,CL$1=Units!$Q66),1,Inputs!$B$15)*Inputs!$B$16*(1+Inputs!$B$11)^(CL$2-1),0)</f>
        <v>0</v>
      </c>
      <c r="CM67" s="11" t="n">
        <f aca="false">IF(AND(CM$1&gt;=Units!$Q66,MOD(CM$1-Units!$Q66,12)=0),IF(AND(Units!$L66=1,CM$1=Units!$Q66),1,Inputs!$B$15)*Inputs!$B$16*(1+Inputs!$B$11)^(CM$2-1),0)</f>
        <v>0</v>
      </c>
      <c r="CN67" s="11" t="n">
        <f aca="false">IF(AND(CN$1&gt;=Units!$Q66,MOD(CN$1-Units!$Q66,12)=0),IF(AND(Units!$L66=1,CN$1=Units!$Q66),1,Inputs!$B$15)*Inputs!$B$16*(1+Inputs!$B$11)^(CN$2-1),0)</f>
        <v>0</v>
      </c>
      <c r="CO67" s="11" t="n">
        <f aca="false">IF(AND(CO$1&gt;=Units!$Q66,MOD(CO$1-Units!$Q66,12)=0),IF(AND(Units!$L66=1,CO$1=Units!$Q66),1,Inputs!$B$15)*Inputs!$B$16*(1+Inputs!$B$11)^(CO$2-1),0)</f>
        <v>0</v>
      </c>
      <c r="CP67" s="11" t="n">
        <f aca="false">IF(AND(CP$1&gt;=Units!$Q66,MOD(CP$1-Units!$Q66,12)=0),IF(AND(Units!$L66=1,CP$1=Units!$Q66),1,Inputs!$B$15)*Inputs!$B$16*(1+Inputs!$B$11)^(CP$2-1),0)</f>
        <v>0</v>
      </c>
      <c r="CQ67" s="11" t="n">
        <f aca="false">IF(AND(CQ$1&gt;=Units!$Q66,MOD(CQ$1-Units!$Q66,12)=0),IF(AND(Units!$L66=1,CQ$1=Units!$Q66),1,Inputs!$B$15)*Inputs!$B$16*(1+Inputs!$B$11)^(CQ$2-1),0)</f>
        <v>0</v>
      </c>
      <c r="CR67" s="11" t="n">
        <f aca="false">IF(AND(CR$1&gt;=Units!$Q66,MOD(CR$1-Units!$Q66,12)=0),IF(AND(Units!$L66=1,CR$1=Units!$Q66),1,Inputs!$B$15)*Inputs!$B$16*(1+Inputs!$B$11)^(CR$2-1),0)</f>
        <v>0</v>
      </c>
      <c r="CS67" s="11" t="n">
        <f aca="false">IF(AND(CS$1&gt;=Units!$Q66,MOD(CS$1-Units!$Q66,12)=0),IF(AND(Units!$L66=1,CS$1=Units!$Q66),1,Inputs!$B$15)*Inputs!$B$16*(1+Inputs!$B$11)^(CS$2-1),0)</f>
        <v>0</v>
      </c>
      <c r="CT67" s="11" t="n">
        <f aca="false">IF(AND(CT$1&gt;=Units!$Q66,MOD(CT$1-Units!$Q66,12)=0),IF(AND(Units!$L66=1,CT$1=Units!$Q66),1,Inputs!$B$15)*Inputs!$B$16*(1+Inputs!$B$11)^(CT$2-1),0)</f>
        <v>0</v>
      </c>
      <c r="CU67" s="11" t="n">
        <f aca="false">IF(AND(CU$1&gt;=Units!$Q66,MOD(CU$1-Units!$Q66,12)=0),IF(AND(Units!$L66=1,CU$1=Units!$Q66),1,Inputs!$B$15)*Inputs!$B$16*(1+Inputs!$B$11)^(CU$2-1),0)</f>
        <v>633.385040693808</v>
      </c>
      <c r="CV67" s="11" t="n">
        <f aca="false">IF(AND(CV$1&gt;=Units!$Q66,MOD(CV$1-Units!$Q66,12)=0),IF(AND(Units!$L66=1,CV$1=Units!$Q66),1,Inputs!$B$15)*Inputs!$B$16*(1+Inputs!$B$11)^(CV$2-1),0)</f>
        <v>0</v>
      </c>
      <c r="CW67" s="11" t="n">
        <f aca="false">IF(AND(CW$1&gt;=Units!$Q66,MOD(CW$1-Units!$Q66,12)=0),IF(AND(Units!$L66=1,CW$1=Units!$Q66),1,Inputs!$B$15)*Inputs!$B$16*(1+Inputs!$B$11)^(CW$2-1),0)</f>
        <v>0</v>
      </c>
      <c r="CX67" s="11" t="n">
        <f aca="false">IF(AND(CX$1&gt;=Units!$Q66,MOD(CX$1-Units!$Q66,12)=0),IF(AND(Units!$L66=1,CX$1=Units!$Q66),1,Inputs!$B$15)*Inputs!$B$16*(1+Inputs!$B$11)^(CX$2-1),0)</f>
        <v>0</v>
      </c>
      <c r="CY67" s="11" t="n">
        <f aca="false">IF(AND(CY$1&gt;=Units!$Q66,MOD(CY$1-Units!$Q66,12)=0),IF(AND(Units!$L66=1,CY$1=Units!$Q66),1,Inputs!$B$15)*Inputs!$B$16*(1+Inputs!$B$11)^(CY$2-1),0)</f>
        <v>0</v>
      </c>
      <c r="CZ67" s="11" t="n">
        <f aca="false">IF(AND(CZ$1&gt;=Units!$Q66,MOD(CZ$1-Units!$Q66,12)=0),IF(AND(Units!$L66=1,CZ$1=Units!$Q66),1,Inputs!$B$15)*Inputs!$B$16*(1+Inputs!$B$11)^(CZ$2-1),0)</f>
        <v>0</v>
      </c>
      <c r="DA67" s="11" t="n">
        <f aca="false">IF(AND(DA$1&gt;=Units!$Q66,MOD(DA$1-Units!$Q66,12)=0),IF(AND(Units!$L66=1,DA$1=Units!$Q66),1,Inputs!$B$15)*Inputs!$B$16*(1+Inputs!$B$11)^(DA$2-1),0)</f>
        <v>0</v>
      </c>
      <c r="DB67" s="11" t="n">
        <f aca="false">IF(AND(DB$1&gt;=Units!$Q66,MOD(DB$1-Units!$Q66,12)=0),IF(AND(Units!$L66=1,DB$1=Units!$Q66),1,Inputs!$B$15)*Inputs!$B$16*(1+Inputs!$B$11)^(DB$2-1),0)</f>
        <v>0</v>
      </c>
      <c r="DC67" s="11" t="n">
        <f aca="false">IF(AND(DC$1&gt;=Units!$Q66,MOD(DC$1-Units!$Q66,12)=0),IF(AND(Units!$L66=1,DC$1=Units!$Q66),1,Inputs!$B$15)*Inputs!$B$16*(1+Inputs!$B$11)^(DC$2-1),0)</f>
        <v>0</v>
      </c>
      <c r="DD67" s="11" t="n">
        <f aca="false">IF(AND(DD$1&gt;=Units!$Q66,MOD(DD$1-Units!$Q66,12)=0),IF(AND(Units!$L66=1,DD$1=Units!$Q66),1,Inputs!$B$15)*Inputs!$B$16*(1+Inputs!$B$11)^(DD$2-1),0)</f>
        <v>0</v>
      </c>
      <c r="DE67" s="11" t="n">
        <f aca="false">IF(AND(DE$1&gt;=Units!$Q66,MOD(DE$1-Units!$Q66,12)=0),IF(AND(Units!$L66=1,DE$1=Units!$Q66),1,Inputs!$B$15)*Inputs!$B$16*(1+Inputs!$B$11)^(DE$2-1),0)</f>
        <v>0</v>
      </c>
      <c r="DF67" s="11" t="n">
        <f aca="false">IF(AND(DF$1&gt;=Units!$Q66,MOD(DF$1-Units!$Q66,12)=0),IF(AND(Units!$L66=1,DF$1=Units!$Q66),1,Inputs!$B$15)*Inputs!$B$16*(1+Inputs!$B$11)^(DF$2-1),0)</f>
        <v>0</v>
      </c>
      <c r="DG67" s="11" t="n">
        <f aca="false">IF(AND(DG$1&gt;=Units!$Q66,MOD(DG$1-Units!$Q66,12)=0),IF(AND(Units!$L66=1,DG$1=Units!$Q66),1,Inputs!$B$15)*Inputs!$B$16*(1+Inputs!$B$11)^(DG$2-1),0)</f>
        <v>652.386591914623</v>
      </c>
      <c r="DH67" s="11" t="n">
        <f aca="false">IF(AND(DH$1&gt;=Units!$Q66,MOD(DH$1-Units!$Q66,12)=0),IF(AND(Units!$L66=1,DH$1=Units!$Q66),1,Inputs!$B$15)*Inputs!$B$16*(1+Inputs!$B$11)^(DH$2-1),0)</f>
        <v>0</v>
      </c>
      <c r="DI67" s="11" t="n">
        <f aca="false">IF(AND(DI$1&gt;=Units!$Q66,MOD(DI$1-Units!$Q66,12)=0),IF(AND(Units!$L66=1,DI$1=Units!$Q66),1,Inputs!$B$15)*Inputs!$B$16*(1+Inputs!$B$11)^(DI$2-1),0)</f>
        <v>0</v>
      </c>
      <c r="DJ67" s="11" t="n">
        <f aca="false">IF(AND(DJ$1&gt;=Units!$Q66,MOD(DJ$1-Units!$Q66,12)=0),IF(AND(Units!$L66=1,DJ$1=Units!$Q66),1,Inputs!$B$15)*Inputs!$B$16*(1+Inputs!$B$11)^(DJ$2-1),0)</f>
        <v>0</v>
      </c>
      <c r="DK67" s="11" t="n">
        <f aca="false">IF(AND(DK$1&gt;=Units!$Q66,MOD(DK$1-Units!$Q66,12)=0),IF(AND(Units!$L66=1,DK$1=Units!$Q66),1,Inputs!$B$15)*Inputs!$B$16*(1+Inputs!$B$11)^(DK$2-1),0)</f>
        <v>0</v>
      </c>
      <c r="DL67" s="11" t="n">
        <f aca="false">IF(AND(DL$1&gt;=Units!$Q66,MOD(DL$1-Units!$Q66,12)=0),IF(AND(Units!$L66=1,DL$1=Units!$Q66),1,Inputs!$B$15)*Inputs!$B$16*(1+Inputs!$B$11)^(DL$2-1),0)</f>
        <v>0</v>
      </c>
      <c r="DM67" s="11" t="n">
        <f aca="false">IF(AND(DM$1&gt;=Units!$Q66,MOD(DM$1-Units!$Q66,12)=0),IF(AND(Units!$L66=1,DM$1=Units!$Q66),1,Inputs!$B$15)*Inputs!$B$16*(1+Inputs!$B$11)^(DM$2-1),0)</f>
        <v>0</v>
      </c>
      <c r="DN67" s="11" t="n">
        <f aca="false">IF(AND(DN$1&gt;=Units!$Q66,MOD(DN$1-Units!$Q66,12)=0),IF(AND(Units!$L66=1,DN$1=Units!$Q66),1,Inputs!$B$15)*Inputs!$B$16*(1+Inputs!$B$11)^(DN$2-1),0)</f>
        <v>0</v>
      </c>
      <c r="DO67" s="11" t="n">
        <f aca="false">IF(AND(DO$1&gt;=Units!$Q66,MOD(DO$1-Units!$Q66,12)=0),IF(AND(Units!$L66=1,DO$1=Units!$Q66),1,Inputs!$B$15)*Inputs!$B$16*(1+Inputs!$B$11)^(DO$2-1),0)</f>
        <v>0</v>
      </c>
      <c r="DP67" s="11" t="n">
        <f aca="false">IF(AND(DP$1&gt;=Units!$Q66,MOD(DP$1-Units!$Q66,12)=0),IF(AND(Units!$L66=1,DP$1=Units!$Q66),1,Inputs!$B$15)*Inputs!$B$16*(1+Inputs!$B$11)^(DP$2-1),0)</f>
        <v>0</v>
      </c>
      <c r="DQ67" s="11" t="n">
        <f aca="false">IF(AND(DQ$1&gt;=Units!$Q66,MOD(DQ$1-Units!$Q66,12)=0),IF(AND(Units!$L66=1,DQ$1=Units!$Q66),1,Inputs!$B$15)*Inputs!$B$16*(1+Inputs!$B$11)^(DQ$2-1),0)</f>
        <v>0</v>
      </c>
      <c r="DR67" s="11" t="n">
        <f aca="false">IF(AND(DR$1&gt;=Units!$Q66,MOD(DR$1-Units!$Q66,12)=0),IF(AND(Units!$L66=1,DR$1=Units!$Q66),1,Inputs!$B$15)*Inputs!$B$16*(1+Inputs!$B$11)^(DR$2-1),0)</f>
        <v>0</v>
      </c>
      <c r="DS67" s="11" t="n">
        <f aca="false">IF(AND(DS$1&gt;=Units!$Q66,MOD(DS$1-Units!$Q66,12)=0),IF(AND(Units!$L66=1,DS$1=Units!$Q66),1,Inputs!$B$15)*Inputs!$B$16*(1+Inputs!$B$11)^(DS$2-1),0)</f>
        <v>671.958189672061</v>
      </c>
      <c r="DT67" s="11" t="n">
        <f aca="false">IF(AND(DT$1&gt;=Units!$Q66,MOD(DT$1-Units!$Q66,12)=0),IF(AND(Units!$L66=1,DT$1=Units!$Q66),1,Inputs!$B$15)*Inputs!$B$16*(1+Inputs!$B$11)^(DT$2-1),0)</f>
        <v>0</v>
      </c>
      <c r="DU67" s="11" t="n">
        <f aca="false">IF(AND(DU$1&gt;=Units!$Q66,MOD(DU$1-Units!$Q66,12)=0),IF(AND(Units!$L66=1,DU$1=Units!$Q66),1,Inputs!$B$15)*Inputs!$B$16*(1+Inputs!$B$11)^(DU$2-1),0)</f>
        <v>0</v>
      </c>
      <c r="DV67" s="11" t="n">
        <f aca="false">IF(AND(DV$1&gt;=Units!$Q66,MOD(DV$1-Units!$Q66,12)=0),IF(AND(Units!$L66=1,DV$1=Units!$Q66),1,Inputs!$B$15)*Inputs!$B$16*(1+Inputs!$B$11)^(DV$2-1),0)</f>
        <v>0</v>
      </c>
      <c r="DW67" s="11" t="n">
        <f aca="false">IF(AND(DW$1&gt;=Units!$Q66,MOD(DW$1-Units!$Q66,12)=0),IF(AND(Units!$L66=1,DW$1=Units!$Q66),1,Inputs!$B$15)*Inputs!$B$16*(1+Inputs!$B$11)^(DW$2-1),0)</f>
        <v>0</v>
      </c>
      <c r="DX67" s="11" t="n">
        <f aca="false">IF(AND(DX$1&gt;=Units!$Q66,MOD(DX$1-Units!$Q66,12)=0),IF(AND(Units!$L66=1,DX$1=Units!$Q66),1,Inputs!$B$15)*Inputs!$B$16*(1+Inputs!$B$11)^(DX$2-1),0)</f>
        <v>0</v>
      </c>
      <c r="DY67" s="11" t="n">
        <f aca="false">IF(AND(DY$1&gt;=Units!$Q66,MOD(DY$1-Units!$Q66,12)=0),IF(AND(Units!$L66=1,DY$1=Units!$Q66),1,Inputs!$B$15)*Inputs!$B$16*(1+Inputs!$B$11)^(DY$2-1),0)</f>
        <v>0</v>
      </c>
      <c r="DZ67" s="11" t="n">
        <f aca="false">IF(AND(DZ$1&gt;=Units!$Q66,MOD(DZ$1-Units!$Q66,12)=0),IF(AND(Units!$L66=1,DZ$1=Units!$Q66),1,Inputs!$B$15)*Inputs!$B$16*(1+Inputs!$B$11)^(DZ$2-1),0)</f>
        <v>0</v>
      </c>
      <c r="EA67" s="11" t="n">
        <f aca="false">IF(AND(EA$1&gt;=Units!$Q66,MOD(EA$1-Units!$Q66,12)=0),IF(AND(Units!$L66=1,EA$1=Units!$Q66),1,Inputs!$B$15)*Inputs!$B$16*(1+Inputs!$B$11)^(EA$2-1),0)</f>
        <v>0</v>
      </c>
      <c r="EB67" s="11" t="n">
        <f aca="false">IF(AND(EB$1&gt;=Units!$Q66,MOD(EB$1-Units!$Q66,12)=0),IF(AND(Units!$L66=1,EB$1=Units!$Q66),1,Inputs!$B$15)*Inputs!$B$16*(1+Inputs!$B$11)^(EB$2-1),0)</f>
        <v>0</v>
      </c>
      <c r="EC67" s="11" t="n">
        <f aca="false">IF(AND(EC$1&gt;=Units!$Q66,MOD(EC$1-Units!$Q66,12)=0),IF(AND(Units!$L66=1,EC$1=Units!$Q66),1,Inputs!$B$15)*Inputs!$B$16*(1+Inputs!$B$11)^(EC$2-1),0)</f>
        <v>0</v>
      </c>
      <c r="ED67" s="11" t="n">
        <f aca="false">IF(AND(ED$1&gt;=Units!$Q66,MOD(ED$1-Units!$Q66,12)=0),IF(AND(Units!$L66=1,ED$1=Units!$Q66),1,Inputs!$B$15)*Inputs!$B$16*(1+Inputs!$B$11)^(ED$2-1),0)</f>
        <v>0</v>
      </c>
    </row>
    <row r="68" customFormat="false" ht="15" hidden="false" customHeight="false" outlineLevel="0" collapsed="false">
      <c r="A68" s="22" t="n">
        <f aca="false">Units!A67</f>
        <v>306</v>
      </c>
      <c r="B68" s="23"/>
      <c r="C68" s="11" t="n">
        <f aca="false">IF(AND(C$1&gt;=Units!$Q67,MOD(C$1-Units!$Q67,12)=0),IF(AND(Units!$L67=1,C$1=Units!$Q67),1,Inputs!$B$15)*Inputs!$B$16*(1+Inputs!$B$11)^(C$2-1),0)</f>
        <v>0</v>
      </c>
      <c r="D68" s="11" t="n">
        <f aca="false">IF(AND(D$1&gt;=Units!$Q67,MOD(D$1-Units!$Q67,12)=0),IF(AND(Units!$L67=1,D$1=Units!$Q67),1,Inputs!$B$15)*Inputs!$B$16*(1+Inputs!$B$11)^(D$2-1),0)</f>
        <v>0</v>
      </c>
      <c r="E68" s="11" t="n">
        <f aca="false">IF(AND(E$1&gt;=Units!$Q67,MOD(E$1-Units!$Q67,12)=0),IF(AND(Units!$L67=1,E$1=Units!$Q67),1,Inputs!$B$15)*Inputs!$B$16*(1+Inputs!$B$11)^(E$2-1),0)</f>
        <v>0</v>
      </c>
      <c r="F68" s="11" t="n">
        <f aca="false">IF(AND(F$1&gt;=Units!$Q67,MOD(F$1-Units!$Q67,12)=0),IF(AND(Units!$L67=1,F$1=Units!$Q67),1,Inputs!$B$15)*Inputs!$B$16*(1+Inputs!$B$11)^(F$2-1),0)</f>
        <v>0</v>
      </c>
      <c r="G68" s="11" t="n">
        <f aca="false">IF(AND(G$1&gt;=Units!$Q67,MOD(G$1-Units!$Q67,12)=0),IF(AND(Units!$L67=1,G$1=Units!$Q67),1,Inputs!$B$15)*Inputs!$B$16*(1+Inputs!$B$11)^(G$2-1),0)</f>
        <v>0</v>
      </c>
      <c r="H68" s="11" t="n">
        <f aca="false">IF(AND(H$1&gt;=Units!$Q67,MOD(H$1-Units!$Q67,12)=0),IF(AND(Units!$L67=1,H$1=Units!$Q67),1,Inputs!$B$15)*Inputs!$B$16*(1+Inputs!$B$11)^(H$2-1),0)</f>
        <v>0</v>
      </c>
      <c r="I68" s="11" t="n">
        <f aca="false">IF(AND(I$1&gt;=Units!$Q67,MOD(I$1-Units!$Q67,12)=0),IF(AND(Units!$L67=1,I$1=Units!$Q67),1,Inputs!$B$15)*Inputs!$B$16*(1+Inputs!$B$11)^(I$2-1),0)</f>
        <v>500</v>
      </c>
      <c r="J68" s="11" t="n">
        <f aca="false">IF(AND(J$1&gt;=Units!$Q67,MOD(J$1-Units!$Q67,12)=0),IF(AND(Units!$L67=1,J$1=Units!$Q67),1,Inputs!$B$15)*Inputs!$B$16*(1+Inputs!$B$11)^(J$2-1),0)</f>
        <v>0</v>
      </c>
      <c r="K68" s="11" t="n">
        <f aca="false">IF(AND(K$1&gt;=Units!$Q67,MOD(K$1-Units!$Q67,12)=0),IF(AND(Units!$L67=1,K$1=Units!$Q67),1,Inputs!$B$15)*Inputs!$B$16*(1+Inputs!$B$11)^(K$2-1),0)</f>
        <v>0</v>
      </c>
      <c r="L68" s="11" t="n">
        <f aca="false">IF(AND(L$1&gt;=Units!$Q67,MOD(L$1-Units!$Q67,12)=0),IF(AND(Units!$L67=1,L$1=Units!$Q67),1,Inputs!$B$15)*Inputs!$B$16*(1+Inputs!$B$11)^(L$2-1),0)</f>
        <v>0</v>
      </c>
      <c r="M68" s="11" t="n">
        <f aca="false">IF(AND(M$1&gt;=Units!$Q67,MOD(M$1-Units!$Q67,12)=0),IF(AND(Units!$L67=1,M$1=Units!$Q67),1,Inputs!$B$15)*Inputs!$B$16*(1+Inputs!$B$11)^(M$2-1),0)</f>
        <v>0</v>
      </c>
      <c r="N68" s="11" t="n">
        <f aca="false">IF(AND(N$1&gt;=Units!$Q67,MOD(N$1-Units!$Q67,12)=0),IF(AND(Units!$L67=1,N$1=Units!$Q67),1,Inputs!$B$15)*Inputs!$B$16*(1+Inputs!$B$11)^(N$2-1),0)</f>
        <v>0</v>
      </c>
      <c r="O68" s="11" t="n">
        <f aca="false">IF(AND(O$1&gt;=Units!$Q67,MOD(O$1-Units!$Q67,12)=0),IF(AND(Units!$L67=1,O$1=Units!$Q67),1,Inputs!$B$15)*Inputs!$B$16*(1+Inputs!$B$11)^(O$2-1),0)</f>
        <v>0</v>
      </c>
      <c r="P68" s="11" t="n">
        <f aca="false">IF(AND(P$1&gt;=Units!$Q67,MOD(P$1-Units!$Q67,12)=0),IF(AND(Units!$L67=1,P$1=Units!$Q67),1,Inputs!$B$15)*Inputs!$B$16*(1+Inputs!$B$11)^(P$2-1),0)</f>
        <v>0</v>
      </c>
      <c r="Q68" s="11" t="n">
        <f aca="false">IF(AND(Q$1&gt;=Units!$Q67,MOD(Q$1-Units!$Q67,12)=0),IF(AND(Units!$L67=1,Q$1=Units!$Q67),1,Inputs!$B$15)*Inputs!$B$16*(1+Inputs!$B$11)^(Q$2-1),0)</f>
        <v>0</v>
      </c>
      <c r="R68" s="11" t="n">
        <f aca="false">IF(AND(R$1&gt;=Units!$Q67,MOD(R$1-Units!$Q67,12)=0),IF(AND(Units!$L67=1,R$1=Units!$Q67),1,Inputs!$B$15)*Inputs!$B$16*(1+Inputs!$B$11)^(R$2-1),0)</f>
        <v>0</v>
      </c>
      <c r="S68" s="11" t="n">
        <f aca="false">IF(AND(S$1&gt;=Units!$Q67,MOD(S$1-Units!$Q67,12)=0),IF(AND(Units!$L67=1,S$1=Units!$Q67),1,Inputs!$B$15)*Inputs!$B$16*(1+Inputs!$B$11)^(S$2-1),0)</f>
        <v>0</v>
      </c>
      <c r="T68" s="11" t="n">
        <f aca="false">IF(AND(T$1&gt;=Units!$Q67,MOD(T$1-Units!$Q67,12)=0),IF(AND(Units!$L67=1,T$1=Units!$Q67),1,Inputs!$B$15)*Inputs!$B$16*(1+Inputs!$B$11)^(T$2-1),0)</f>
        <v>0</v>
      </c>
      <c r="U68" s="11" t="n">
        <f aca="false">IF(AND(U$1&gt;=Units!$Q67,MOD(U$1-Units!$Q67,12)=0),IF(AND(Units!$L67=1,U$1=Units!$Q67),1,Inputs!$B$15)*Inputs!$B$16*(1+Inputs!$B$11)^(U$2-1),0)</f>
        <v>515</v>
      </c>
      <c r="V68" s="11" t="n">
        <f aca="false">IF(AND(V$1&gt;=Units!$Q67,MOD(V$1-Units!$Q67,12)=0),IF(AND(Units!$L67=1,V$1=Units!$Q67),1,Inputs!$B$15)*Inputs!$B$16*(1+Inputs!$B$11)^(V$2-1),0)</f>
        <v>0</v>
      </c>
      <c r="W68" s="11" t="n">
        <f aca="false">IF(AND(W$1&gt;=Units!$Q67,MOD(W$1-Units!$Q67,12)=0),IF(AND(Units!$L67=1,W$1=Units!$Q67),1,Inputs!$B$15)*Inputs!$B$16*(1+Inputs!$B$11)^(W$2-1),0)</f>
        <v>0</v>
      </c>
      <c r="X68" s="11" t="n">
        <f aca="false">IF(AND(X$1&gt;=Units!$Q67,MOD(X$1-Units!$Q67,12)=0),IF(AND(Units!$L67=1,X$1=Units!$Q67),1,Inputs!$B$15)*Inputs!$B$16*(1+Inputs!$B$11)^(X$2-1),0)</f>
        <v>0</v>
      </c>
      <c r="Y68" s="11" t="n">
        <f aca="false">IF(AND(Y$1&gt;=Units!$Q67,MOD(Y$1-Units!$Q67,12)=0),IF(AND(Units!$L67=1,Y$1=Units!$Q67),1,Inputs!$B$15)*Inputs!$B$16*(1+Inputs!$B$11)^(Y$2-1),0)</f>
        <v>0</v>
      </c>
      <c r="Z68" s="11" t="n">
        <f aca="false">IF(AND(Z$1&gt;=Units!$Q67,MOD(Z$1-Units!$Q67,12)=0),IF(AND(Units!$L67=1,Z$1=Units!$Q67),1,Inputs!$B$15)*Inputs!$B$16*(1+Inputs!$B$11)^(Z$2-1),0)</f>
        <v>0</v>
      </c>
      <c r="AA68" s="11" t="n">
        <f aca="false">IF(AND(AA$1&gt;=Units!$Q67,MOD(AA$1-Units!$Q67,12)=0),IF(AND(Units!$L67=1,AA$1=Units!$Q67),1,Inputs!$B$15)*Inputs!$B$16*(1+Inputs!$B$11)^(AA$2-1),0)</f>
        <v>0</v>
      </c>
      <c r="AB68" s="11" t="n">
        <f aca="false">IF(AND(AB$1&gt;=Units!$Q67,MOD(AB$1-Units!$Q67,12)=0),IF(AND(Units!$L67=1,AB$1=Units!$Q67),1,Inputs!$B$15)*Inputs!$B$16*(1+Inputs!$B$11)^(AB$2-1),0)</f>
        <v>0</v>
      </c>
      <c r="AC68" s="11" t="n">
        <f aca="false">IF(AND(AC$1&gt;=Units!$Q67,MOD(AC$1-Units!$Q67,12)=0),IF(AND(Units!$L67=1,AC$1=Units!$Q67),1,Inputs!$B$15)*Inputs!$B$16*(1+Inputs!$B$11)^(AC$2-1),0)</f>
        <v>0</v>
      </c>
      <c r="AD68" s="11" t="n">
        <f aca="false">IF(AND(AD$1&gt;=Units!$Q67,MOD(AD$1-Units!$Q67,12)=0),IF(AND(Units!$L67=1,AD$1=Units!$Q67),1,Inputs!$B$15)*Inputs!$B$16*(1+Inputs!$B$11)^(AD$2-1),0)</f>
        <v>0</v>
      </c>
      <c r="AE68" s="11" t="n">
        <f aca="false">IF(AND(AE$1&gt;=Units!$Q67,MOD(AE$1-Units!$Q67,12)=0),IF(AND(Units!$L67=1,AE$1=Units!$Q67),1,Inputs!$B$15)*Inputs!$B$16*(1+Inputs!$B$11)^(AE$2-1),0)</f>
        <v>0</v>
      </c>
      <c r="AF68" s="11" t="n">
        <f aca="false">IF(AND(AF$1&gt;=Units!$Q67,MOD(AF$1-Units!$Q67,12)=0),IF(AND(Units!$L67=1,AF$1=Units!$Q67),1,Inputs!$B$15)*Inputs!$B$16*(1+Inputs!$B$11)^(AF$2-1),0)</f>
        <v>0</v>
      </c>
      <c r="AG68" s="11" t="n">
        <f aca="false">IF(AND(AG$1&gt;=Units!$Q67,MOD(AG$1-Units!$Q67,12)=0),IF(AND(Units!$L67=1,AG$1=Units!$Q67),1,Inputs!$B$15)*Inputs!$B$16*(1+Inputs!$B$11)^(AG$2-1),0)</f>
        <v>530.45</v>
      </c>
      <c r="AH68" s="11" t="n">
        <f aca="false">IF(AND(AH$1&gt;=Units!$Q67,MOD(AH$1-Units!$Q67,12)=0),IF(AND(Units!$L67=1,AH$1=Units!$Q67),1,Inputs!$B$15)*Inputs!$B$16*(1+Inputs!$B$11)^(AH$2-1),0)</f>
        <v>0</v>
      </c>
      <c r="AI68" s="11" t="n">
        <f aca="false">IF(AND(AI$1&gt;=Units!$Q67,MOD(AI$1-Units!$Q67,12)=0),IF(AND(Units!$L67=1,AI$1=Units!$Q67),1,Inputs!$B$15)*Inputs!$B$16*(1+Inputs!$B$11)^(AI$2-1),0)</f>
        <v>0</v>
      </c>
      <c r="AJ68" s="11" t="n">
        <f aca="false">IF(AND(AJ$1&gt;=Units!$Q67,MOD(AJ$1-Units!$Q67,12)=0),IF(AND(Units!$L67=1,AJ$1=Units!$Q67),1,Inputs!$B$15)*Inputs!$B$16*(1+Inputs!$B$11)^(AJ$2-1),0)</f>
        <v>0</v>
      </c>
      <c r="AK68" s="11" t="n">
        <f aca="false">IF(AND(AK$1&gt;=Units!$Q67,MOD(AK$1-Units!$Q67,12)=0),IF(AND(Units!$L67=1,AK$1=Units!$Q67),1,Inputs!$B$15)*Inputs!$B$16*(1+Inputs!$B$11)^(AK$2-1),0)</f>
        <v>0</v>
      </c>
      <c r="AL68" s="11" t="n">
        <f aca="false">IF(AND(AL$1&gt;=Units!$Q67,MOD(AL$1-Units!$Q67,12)=0),IF(AND(Units!$L67=1,AL$1=Units!$Q67),1,Inputs!$B$15)*Inputs!$B$16*(1+Inputs!$B$11)^(AL$2-1),0)</f>
        <v>0</v>
      </c>
      <c r="AM68" s="11" t="n">
        <f aca="false">IF(AND(AM$1&gt;=Units!$Q67,MOD(AM$1-Units!$Q67,12)=0),IF(AND(Units!$L67=1,AM$1=Units!$Q67),1,Inputs!$B$15)*Inputs!$B$16*(1+Inputs!$B$11)^(AM$2-1),0)</f>
        <v>0</v>
      </c>
      <c r="AN68" s="11" t="n">
        <f aca="false">IF(AND(AN$1&gt;=Units!$Q67,MOD(AN$1-Units!$Q67,12)=0),IF(AND(Units!$L67=1,AN$1=Units!$Q67),1,Inputs!$B$15)*Inputs!$B$16*(1+Inputs!$B$11)^(AN$2-1),0)</f>
        <v>0</v>
      </c>
      <c r="AO68" s="11" t="n">
        <f aca="false">IF(AND(AO$1&gt;=Units!$Q67,MOD(AO$1-Units!$Q67,12)=0),IF(AND(Units!$L67=1,AO$1=Units!$Q67),1,Inputs!$B$15)*Inputs!$B$16*(1+Inputs!$B$11)^(AO$2-1),0)</f>
        <v>0</v>
      </c>
      <c r="AP68" s="11" t="n">
        <f aca="false">IF(AND(AP$1&gt;=Units!$Q67,MOD(AP$1-Units!$Q67,12)=0),IF(AND(Units!$L67=1,AP$1=Units!$Q67),1,Inputs!$B$15)*Inputs!$B$16*(1+Inputs!$B$11)^(AP$2-1),0)</f>
        <v>0</v>
      </c>
      <c r="AQ68" s="11" t="n">
        <f aca="false">IF(AND(AQ$1&gt;=Units!$Q67,MOD(AQ$1-Units!$Q67,12)=0),IF(AND(Units!$L67=1,AQ$1=Units!$Q67),1,Inputs!$B$15)*Inputs!$B$16*(1+Inputs!$B$11)^(AQ$2-1),0)</f>
        <v>0</v>
      </c>
      <c r="AR68" s="11" t="n">
        <f aca="false">IF(AND(AR$1&gt;=Units!$Q67,MOD(AR$1-Units!$Q67,12)=0),IF(AND(Units!$L67=1,AR$1=Units!$Q67),1,Inputs!$B$15)*Inputs!$B$16*(1+Inputs!$B$11)^(AR$2-1),0)</f>
        <v>0</v>
      </c>
      <c r="AS68" s="11" t="n">
        <f aca="false">IF(AND(AS$1&gt;=Units!$Q67,MOD(AS$1-Units!$Q67,12)=0),IF(AND(Units!$L67=1,AS$1=Units!$Q67),1,Inputs!$B$15)*Inputs!$B$16*(1+Inputs!$B$11)^(AS$2-1),0)</f>
        <v>546.3635</v>
      </c>
      <c r="AT68" s="11" t="n">
        <f aca="false">IF(AND(AT$1&gt;=Units!$Q67,MOD(AT$1-Units!$Q67,12)=0),IF(AND(Units!$L67=1,AT$1=Units!$Q67),1,Inputs!$B$15)*Inputs!$B$16*(1+Inputs!$B$11)^(AT$2-1),0)</f>
        <v>0</v>
      </c>
      <c r="AU68" s="11" t="n">
        <f aca="false">IF(AND(AU$1&gt;=Units!$Q67,MOD(AU$1-Units!$Q67,12)=0),IF(AND(Units!$L67=1,AU$1=Units!$Q67),1,Inputs!$B$15)*Inputs!$B$16*(1+Inputs!$B$11)^(AU$2-1),0)</f>
        <v>0</v>
      </c>
      <c r="AV68" s="11" t="n">
        <f aca="false">IF(AND(AV$1&gt;=Units!$Q67,MOD(AV$1-Units!$Q67,12)=0),IF(AND(Units!$L67=1,AV$1=Units!$Q67),1,Inputs!$B$15)*Inputs!$B$16*(1+Inputs!$B$11)^(AV$2-1),0)</f>
        <v>0</v>
      </c>
      <c r="AW68" s="11" t="n">
        <f aca="false">IF(AND(AW$1&gt;=Units!$Q67,MOD(AW$1-Units!$Q67,12)=0),IF(AND(Units!$L67=1,AW$1=Units!$Q67),1,Inputs!$B$15)*Inputs!$B$16*(1+Inputs!$B$11)^(AW$2-1),0)</f>
        <v>0</v>
      </c>
      <c r="AX68" s="11" t="n">
        <f aca="false">IF(AND(AX$1&gt;=Units!$Q67,MOD(AX$1-Units!$Q67,12)=0),IF(AND(Units!$L67=1,AX$1=Units!$Q67),1,Inputs!$B$15)*Inputs!$B$16*(1+Inputs!$B$11)^(AX$2-1),0)</f>
        <v>0</v>
      </c>
      <c r="AY68" s="11" t="n">
        <f aca="false">IF(AND(AY$1&gt;=Units!$Q67,MOD(AY$1-Units!$Q67,12)=0),IF(AND(Units!$L67=1,AY$1=Units!$Q67),1,Inputs!$B$15)*Inputs!$B$16*(1+Inputs!$B$11)^(AY$2-1),0)</f>
        <v>0</v>
      </c>
      <c r="AZ68" s="11" t="n">
        <f aca="false">IF(AND(AZ$1&gt;=Units!$Q67,MOD(AZ$1-Units!$Q67,12)=0),IF(AND(Units!$L67=1,AZ$1=Units!$Q67),1,Inputs!$B$15)*Inputs!$B$16*(1+Inputs!$B$11)^(AZ$2-1),0)</f>
        <v>0</v>
      </c>
      <c r="BA68" s="11" t="n">
        <f aca="false">IF(AND(BA$1&gt;=Units!$Q67,MOD(BA$1-Units!$Q67,12)=0),IF(AND(Units!$L67=1,BA$1=Units!$Q67),1,Inputs!$B$15)*Inputs!$B$16*(1+Inputs!$B$11)^(BA$2-1),0)</f>
        <v>0</v>
      </c>
      <c r="BB68" s="11" t="n">
        <f aca="false">IF(AND(BB$1&gt;=Units!$Q67,MOD(BB$1-Units!$Q67,12)=0),IF(AND(Units!$L67=1,BB$1=Units!$Q67),1,Inputs!$B$15)*Inputs!$B$16*(1+Inputs!$B$11)^(BB$2-1),0)</f>
        <v>0</v>
      </c>
      <c r="BC68" s="11" t="n">
        <f aca="false">IF(AND(BC$1&gt;=Units!$Q67,MOD(BC$1-Units!$Q67,12)=0),IF(AND(Units!$L67=1,BC$1=Units!$Q67),1,Inputs!$B$15)*Inputs!$B$16*(1+Inputs!$B$11)^(BC$2-1),0)</f>
        <v>0</v>
      </c>
      <c r="BD68" s="11" t="n">
        <f aca="false">IF(AND(BD$1&gt;=Units!$Q67,MOD(BD$1-Units!$Q67,12)=0),IF(AND(Units!$L67=1,BD$1=Units!$Q67),1,Inputs!$B$15)*Inputs!$B$16*(1+Inputs!$B$11)^(BD$2-1),0)</f>
        <v>0</v>
      </c>
      <c r="BE68" s="11" t="n">
        <f aca="false">IF(AND(BE$1&gt;=Units!$Q67,MOD(BE$1-Units!$Q67,12)=0),IF(AND(Units!$L67=1,BE$1=Units!$Q67),1,Inputs!$B$15)*Inputs!$B$16*(1+Inputs!$B$11)^(BE$2-1),0)</f>
        <v>562.754405</v>
      </c>
      <c r="BF68" s="11" t="n">
        <f aca="false">IF(AND(BF$1&gt;=Units!$Q67,MOD(BF$1-Units!$Q67,12)=0),IF(AND(Units!$L67=1,BF$1=Units!$Q67),1,Inputs!$B$15)*Inputs!$B$16*(1+Inputs!$B$11)^(BF$2-1),0)</f>
        <v>0</v>
      </c>
      <c r="BG68" s="11" t="n">
        <f aca="false">IF(AND(BG$1&gt;=Units!$Q67,MOD(BG$1-Units!$Q67,12)=0),IF(AND(Units!$L67=1,BG$1=Units!$Q67),1,Inputs!$B$15)*Inputs!$B$16*(1+Inputs!$B$11)^(BG$2-1),0)</f>
        <v>0</v>
      </c>
      <c r="BH68" s="11" t="n">
        <f aca="false">IF(AND(BH$1&gt;=Units!$Q67,MOD(BH$1-Units!$Q67,12)=0),IF(AND(Units!$L67=1,BH$1=Units!$Q67),1,Inputs!$B$15)*Inputs!$B$16*(1+Inputs!$B$11)^(BH$2-1),0)</f>
        <v>0</v>
      </c>
      <c r="BI68" s="11" t="n">
        <f aca="false">IF(AND(BI$1&gt;=Units!$Q67,MOD(BI$1-Units!$Q67,12)=0),IF(AND(Units!$L67=1,BI$1=Units!$Q67),1,Inputs!$B$15)*Inputs!$B$16*(1+Inputs!$B$11)^(BI$2-1),0)</f>
        <v>0</v>
      </c>
      <c r="BJ68" s="11" t="n">
        <f aca="false">IF(AND(BJ$1&gt;=Units!$Q67,MOD(BJ$1-Units!$Q67,12)=0),IF(AND(Units!$L67=1,BJ$1=Units!$Q67),1,Inputs!$B$15)*Inputs!$B$16*(1+Inputs!$B$11)^(BJ$2-1),0)</f>
        <v>0</v>
      </c>
      <c r="BK68" s="11" t="n">
        <f aca="false">IF(AND(BK$1&gt;=Units!$Q67,MOD(BK$1-Units!$Q67,12)=0),IF(AND(Units!$L67=1,BK$1=Units!$Q67),1,Inputs!$B$15)*Inputs!$B$16*(1+Inputs!$B$11)^(BK$2-1),0)</f>
        <v>0</v>
      </c>
      <c r="BL68" s="11" t="n">
        <f aca="false">IF(AND(BL$1&gt;=Units!$Q67,MOD(BL$1-Units!$Q67,12)=0),IF(AND(Units!$L67=1,BL$1=Units!$Q67),1,Inputs!$B$15)*Inputs!$B$16*(1+Inputs!$B$11)^(BL$2-1),0)</f>
        <v>0</v>
      </c>
      <c r="BM68" s="11" t="n">
        <f aca="false">IF(AND(BM$1&gt;=Units!$Q67,MOD(BM$1-Units!$Q67,12)=0),IF(AND(Units!$L67=1,BM$1=Units!$Q67),1,Inputs!$B$15)*Inputs!$B$16*(1+Inputs!$B$11)^(BM$2-1),0)</f>
        <v>0</v>
      </c>
      <c r="BN68" s="11" t="n">
        <f aca="false">IF(AND(BN$1&gt;=Units!$Q67,MOD(BN$1-Units!$Q67,12)=0),IF(AND(Units!$L67=1,BN$1=Units!$Q67),1,Inputs!$B$15)*Inputs!$B$16*(1+Inputs!$B$11)^(BN$2-1),0)</f>
        <v>0</v>
      </c>
      <c r="BO68" s="11" t="n">
        <f aca="false">IF(AND(BO$1&gt;=Units!$Q67,MOD(BO$1-Units!$Q67,12)=0),IF(AND(Units!$L67=1,BO$1=Units!$Q67),1,Inputs!$B$15)*Inputs!$B$16*(1+Inputs!$B$11)^(BO$2-1),0)</f>
        <v>0</v>
      </c>
      <c r="BP68" s="11" t="n">
        <f aca="false">IF(AND(BP$1&gt;=Units!$Q67,MOD(BP$1-Units!$Q67,12)=0),IF(AND(Units!$L67=1,BP$1=Units!$Q67),1,Inputs!$B$15)*Inputs!$B$16*(1+Inputs!$B$11)^(BP$2-1),0)</f>
        <v>0</v>
      </c>
      <c r="BQ68" s="11" t="n">
        <f aca="false">IF(AND(BQ$1&gt;=Units!$Q67,MOD(BQ$1-Units!$Q67,12)=0),IF(AND(Units!$L67=1,BQ$1=Units!$Q67),1,Inputs!$B$15)*Inputs!$B$16*(1+Inputs!$B$11)^(BQ$2-1),0)</f>
        <v>579.63703715</v>
      </c>
      <c r="BR68" s="11" t="n">
        <f aca="false">IF(AND(BR$1&gt;=Units!$Q67,MOD(BR$1-Units!$Q67,12)=0),IF(AND(Units!$L67=1,BR$1=Units!$Q67),1,Inputs!$B$15)*Inputs!$B$16*(1+Inputs!$B$11)^(BR$2-1),0)</f>
        <v>0</v>
      </c>
      <c r="BS68" s="11" t="n">
        <f aca="false">IF(AND(BS$1&gt;=Units!$Q67,MOD(BS$1-Units!$Q67,12)=0),IF(AND(Units!$L67=1,BS$1=Units!$Q67),1,Inputs!$B$15)*Inputs!$B$16*(1+Inputs!$B$11)^(BS$2-1),0)</f>
        <v>0</v>
      </c>
      <c r="BT68" s="11" t="n">
        <f aca="false">IF(AND(BT$1&gt;=Units!$Q67,MOD(BT$1-Units!$Q67,12)=0),IF(AND(Units!$L67=1,BT$1=Units!$Q67),1,Inputs!$B$15)*Inputs!$B$16*(1+Inputs!$B$11)^(BT$2-1),0)</f>
        <v>0</v>
      </c>
      <c r="BU68" s="11" t="n">
        <f aca="false">IF(AND(BU$1&gt;=Units!$Q67,MOD(BU$1-Units!$Q67,12)=0),IF(AND(Units!$L67=1,BU$1=Units!$Q67),1,Inputs!$B$15)*Inputs!$B$16*(1+Inputs!$B$11)^(BU$2-1),0)</f>
        <v>0</v>
      </c>
      <c r="BV68" s="11" t="n">
        <f aca="false">IF(AND(BV$1&gt;=Units!$Q67,MOD(BV$1-Units!$Q67,12)=0),IF(AND(Units!$L67=1,BV$1=Units!$Q67),1,Inputs!$B$15)*Inputs!$B$16*(1+Inputs!$B$11)^(BV$2-1),0)</f>
        <v>0</v>
      </c>
      <c r="BW68" s="11" t="n">
        <f aca="false">IF(AND(BW$1&gt;=Units!$Q67,MOD(BW$1-Units!$Q67,12)=0),IF(AND(Units!$L67=1,BW$1=Units!$Q67),1,Inputs!$B$15)*Inputs!$B$16*(1+Inputs!$B$11)^(BW$2-1),0)</f>
        <v>0</v>
      </c>
      <c r="BX68" s="11" t="n">
        <f aca="false">IF(AND(BX$1&gt;=Units!$Q67,MOD(BX$1-Units!$Q67,12)=0),IF(AND(Units!$L67=1,BX$1=Units!$Q67),1,Inputs!$B$15)*Inputs!$B$16*(1+Inputs!$B$11)^(BX$2-1),0)</f>
        <v>0</v>
      </c>
      <c r="BY68" s="11" t="n">
        <f aca="false">IF(AND(BY$1&gt;=Units!$Q67,MOD(BY$1-Units!$Q67,12)=0),IF(AND(Units!$L67=1,BY$1=Units!$Q67),1,Inputs!$B$15)*Inputs!$B$16*(1+Inputs!$B$11)^(BY$2-1),0)</f>
        <v>0</v>
      </c>
      <c r="BZ68" s="11" t="n">
        <f aca="false">IF(AND(BZ$1&gt;=Units!$Q67,MOD(BZ$1-Units!$Q67,12)=0),IF(AND(Units!$L67=1,BZ$1=Units!$Q67),1,Inputs!$B$15)*Inputs!$B$16*(1+Inputs!$B$11)^(BZ$2-1),0)</f>
        <v>0</v>
      </c>
      <c r="CA68" s="11" t="n">
        <f aca="false">IF(AND(CA$1&gt;=Units!$Q67,MOD(CA$1-Units!$Q67,12)=0),IF(AND(Units!$L67=1,CA$1=Units!$Q67),1,Inputs!$B$15)*Inputs!$B$16*(1+Inputs!$B$11)^(CA$2-1),0)</f>
        <v>0</v>
      </c>
      <c r="CB68" s="11" t="n">
        <f aca="false">IF(AND(CB$1&gt;=Units!$Q67,MOD(CB$1-Units!$Q67,12)=0),IF(AND(Units!$L67=1,CB$1=Units!$Q67),1,Inputs!$B$15)*Inputs!$B$16*(1+Inputs!$B$11)^(CB$2-1),0)</f>
        <v>0</v>
      </c>
      <c r="CC68" s="11" t="n">
        <f aca="false">IF(AND(CC$1&gt;=Units!$Q67,MOD(CC$1-Units!$Q67,12)=0),IF(AND(Units!$L67=1,CC$1=Units!$Q67),1,Inputs!$B$15)*Inputs!$B$16*(1+Inputs!$B$11)^(CC$2-1),0)</f>
        <v>597.0261482645</v>
      </c>
      <c r="CD68" s="11" t="n">
        <f aca="false">IF(AND(CD$1&gt;=Units!$Q67,MOD(CD$1-Units!$Q67,12)=0),IF(AND(Units!$L67=1,CD$1=Units!$Q67),1,Inputs!$B$15)*Inputs!$B$16*(1+Inputs!$B$11)^(CD$2-1),0)</f>
        <v>0</v>
      </c>
      <c r="CE68" s="11" t="n">
        <f aca="false">IF(AND(CE$1&gt;=Units!$Q67,MOD(CE$1-Units!$Q67,12)=0),IF(AND(Units!$L67=1,CE$1=Units!$Q67),1,Inputs!$B$15)*Inputs!$B$16*(1+Inputs!$B$11)^(CE$2-1),0)</f>
        <v>0</v>
      </c>
      <c r="CF68" s="11" t="n">
        <f aca="false">IF(AND(CF$1&gt;=Units!$Q67,MOD(CF$1-Units!$Q67,12)=0),IF(AND(Units!$L67=1,CF$1=Units!$Q67),1,Inputs!$B$15)*Inputs!$B$16*(1+Inputs!$B$11)^(CF$2-1),0)</f>
        <v>0</v>
      </c>
      <c r="CG68" s="11" t="n">
        <f aca="false">IF(AND(CG$1&gt;=Units!$Q67,MOD(CG$1-Units!$Q67,12)=0),IF(AND(Units!$L67=1,CG$1=Units!$Q67),1,Inputs!$B$15)*Inputs!$B$16*(1+Inputs!$B$11)^(CG$2-1),0)</f>
        <v>0</v>
      </c>
      <c r="CH68" s="11" t="n">
        <f aca="false">IF(AND(CH$1&gt;=Units!$Q67,MOD(CH$1-Units!$Q67,12)=0),IF(AND(Units!$L67=1,CH$1=Units!$Q67),1,Inputs!$B$15)*Inputs!$B$16*(1+Inputs!$B$11)^(CH$2-1),0)</f>
        <v>0</v>
      </c>
      <c r="CI68" s="11" t="n">
        <f aca="false">IF(AND(CI$1&gt;=Units!$Q67,MOD(CI$1-Units!$Q67,12)=0),IF(AND(Units!$L67=1,CI$1=Units!$Q67),1,Inputs!$B$15)*Inputs!$B$16*(1+Inputs!$B$11)^(CI$2-1),0)</f>
        <v>0</v>
      </c>
      <c r="CJ68" s="11" t="n">
        <f aca="false">IF(AND(CJ$1&gt;=Units!$Q67,MOD(CJ$1-Units!$Q67,12)=0),IF(AND(Units!$L67=1,CJ$1=Units!$Q67),1,Inputs!$B$15)*Inputs!$B$16*(1+Inputs!$B$11)^(CJ$2-1),0)</f>
        <v>0</v>
      </c>
      <c r="CK68" s="11" t="n">
        <f aca="false">IF(AND(CK$1&gt;=Units!$Q67,MOD(CK$1-Units!$Q67,12)=0),IF(AND(Units!$L67=1,CK$1=Units!$Q67),1,Inputs!$B$15)*Inputs!$B$16*(1+Inputs!$B$11)^(CK$2-1),0)</f>
        <v>0</v>
      </c>
      <c r="CL68" s="11" t="n">
        <f aca="false">IF(AND(CL$1&gt;=Units!$Q67,MOD(CL$1-Units!$Q67,12)=0),IF(AND(Units!$L67=1,CL$1=Units!$Q67),1,Inputs!$B$15)*Inputs!$B$16*(1+Inputs!$B$11)^(CL$2-1),0)</f>
        <v>0</v>
      </c>
      <c r="CM68" s="11" t="n">
        <f aca="false">IF(AND(CM$1&gt;=Units!$Q67,MOD(CM$1-Units!$Q67,12)=0),IF(AND(Units!$L67=1,CM$1=Units!$Q67),1,Inputs!$B$15)*Inputs!$B$16*(1+Inputs!$B$11)^(CM$2-1),0)</f>
        <v>0</v>
      </c>
      <c r="CN68" s="11" t="n">
        <f aca="false">IF(AND(CN$1&gt;=Units!$Q67,MOD(CN$1-Units!$Q67,12)=0),IF(AND(Units!$L67=1,CN$1=Units!$Q67),1,Inputs!$B$15)*Inputs!$B$16*(1+Inputs!$B$11)^(CN$2-1),0)</f>
        <v>0</v>
      </c>
      <c r="CO68" s="11" t="n">
        <f aca="false">IF(AND(CO$1&gt;=Units!$Q67,MOD(CO$1-Units!$Q67,12)=0),IF(AND(Units!$L67=1,CO$1=Units!$Q67),1,Inputs!$B$15)*Inputs!$B$16*(1+Inputs!$B$11)^(CO$2-1),0)</f>
        <v>614.936932712435</v>
      </c>
      <c r="CP68" s="11" t="n">
        <f aca="false">IF(AND(CP$1&gt;=Units!$Q67,MOD(CP$1-Units!$Q67,12)=0),IF(AND(Units!$L67=1,CP$1=Units!$Q67),1,Inputs!$B$15)*Inputs!$B$16*(1+Inputs!$B$11)^(CP$2-1),0)</f>
        <v>0</v>
      </c>
      <c r="CQ68" s="11" t="n">
        <f aca="false">IF(AND(CQ$1&gt;=Units!$Q67,MOD(CQ$1-Units!$Q67,12)=0),IF(AND(Units!$L67=1,CQ$1=Units!$Q67),1,Inputs!$B$15)*Inputs!$B$16*(1+Inputs!$B$11)^(CQ$2-1),0)</f>
        <v>0</v>
      </c>
      <c r="CR68" s="11" t="n">
        <f aca="false">IF(AND(CR$1&gt;=Units!$Q67,MOD(CR$1-Units!$Q67,12)=0),IF(AND(Units!$L67=1,CR$1=Units!$Q67),1,Inputs!$B$15)*Inputs!$B$16*(1+Inputs!$B$11)^(CR$2-1),0)</f>
        <v>0</v>
      </c>
      <c r="CS68" s="11" t="n">
        <f aca="false">IF(AND(CS$1&gt;=Units!$Q67,MOD(CS$1-Units!$Q67,12)=0),IF(AND(Units!$L67=1,CS$1=Units!$Q67),1,Inputs!$B$15)*Inputs!$B$16*(1+Inputs!$B$11)^(CS$2-1),0)</f>
        <v>0</v>
      </c>
      <c r="CT68" s="11" t="n">
        <f aca="false">IF(AND(CT$1&gt;=Units!$Q67,MOD(CT$1-Units!$Q67,12)=0),IF(AND(Units!$L67=1,CT$1=Units!$Q67),1,Inputs!$B$15)*Inputs!$B$16*(1+Inputs!$B$11)^(CT$2-1),0)</f>
        <v>0</v>
      </c>
      <c r="CU68" s="11" t="n">
        <f aca="false">IF(AND(CU$1&gt;=Units!$Q67,MOD(CU$1-Units!$Q67,12)=0),IF(AND(Units!$L67=1,CU$1=Units!$Q67),1,Inputs!$B$15)*Inputs!$B$16*(1+Inputs!$B$11)^(CU$2-1),0)</f>
        <v>0</v>
      </c>
      <c r="CV68" s="11" t="n">
        <f aca="false">IF(AND(CV$1&gt;=Units!$Q67,MOD(CV$1-Units!$Q67,12)=0),IF(AND(Units!$L67=1,CV$1=Units!$Q67),1,Inputs!$B$15)*Inputs!$B$16*(1+Inputs!$B$11)^(CV$2-1),0)</f>
        <v>0</v>
      </c>
      <c r="CW68" s="11" t="n">
        <f aca="false">IF(AND(CW$1&gt;=Units!$Q67,MOD(CW$1-Units!$Q67,12)=0),IF(AND(Units!$L67=1,CW$1=Units!$Q67),1,Inputs!$B$15)*Inputs!$B$16*(1+Inputs!$B$11)^(CW$2-1),0)</f>
        <v>0</v>
      </c>
      <c r="CX68" s="11" t="n">
        <f aca="false">IF(AND(CX$1&gt;=Units!$Q67,MOD(CX$1-Units!$Q67,12)=0),IF(AND(Units!$L67=1,CX$1=Units!$Q67),1,Inputs!$B$15)*Inputs!$B$16*(1+Inputs!$B$11)^(CX$2-1),0)</f>
        <v>0</v>
      </c>
      <c r="CY68" s="11" t="n">
        <f aca="false">IF(AND(CY$1&gt;=Units!$Q67,MOD(CY$1-Units!$Q67,12)=0),IF(AND(Units!$L67=1,CY$1=Units!$Q67),1,Inputs!$B$15)*Inputs!$B$16*(1+Inputs!$B$11)^(CY$2-1),0)</f>
        <v>0</v>
      </c>
      <c r="CZ68" s="11" t="n">
        <f aca="false">IF(AND(CZ$1&gt;=Units!$Q67,MOD(CZ$1-Units!$Q67,12)=0),IF(AND(Units!$L67=1,CZ$1=Units!$Q67),1,Inputs!$B$15)*Inputs!$B$16*(1+Inputs!$B$11)^(CZ$2-1),0)</f>
        <v>0</v>
      </c>
      <c r="DA68" s="11" t="n">
        <f aca="false">IF(AND(DA$1&gt;=Units!$Q67,MOD(DA$1-Units!$Q67,12)=0),IF(AND(Units!$L67=1,DA$1=Units!$Q67),1,Inputs!$B$15)*Inputs!$B$16*(1+Inputs!$B$11)^(DA$2-1),0)</f>
        <v>633.385040693808</v>
      </c>
      <c r="DB68" s="11" t="n">
        <f aca="false">IF(AND(DB$1&gt;=Units!$Q67,MOD(DB$1-Units!$Q67,12)=0),IF(AND(Units!$L67=1,DB$1=Units!$Q67),1,Inputs!$B$15)*Inputs!$B$16*(1+Inputs!$B$11)^(DB$2-1),0)</f>
        <v>0</v>
      </c>
      <c r="DC68" s="11" t="n">
        <f aca="false">IF(AND(DC$1&gt;=Units!$Q67,MOD(DC$1-Units!$Q67,12)=0),IF(AND(Units!$L67=1,DC$1=Units!$Q67),1,Inputs!$B$15)*Inputs!$B$16*(1+Inputs!$B$11)^(DC$2-1),0)</f>
        <v>0</v>
      </c>
      <c r="DD68" s="11" t="n">
        <f aca="false">IF(AND(DD$1&gt;=Units!$Q67,MOD(DD$1-Units!$Q67,12)=0),IF(AND(Units!$L67=1,DD$1=Units!$Q67),1,Inputs!$B$15)*Inputs!$B$16*(1+Inputs!$B$11)^(DD$2-1),0)</f>
        <v>0</v>
      </c>
      <c r="DE68" s="11" t="n">
        <f aca="false">IF(AND(DE$1&gt;=Units!$Q67,MOD(DE$1-Units!$Q67,12)=0),IF(AND(Units!$L67=1,DE$1=Units!$Q67),1,Inputs!$B$15)*Inputs!$B$16*(1+Inputs!$B$11)^(DE$2-1),0)</f>
        <v>0</v>
      </c>
      <c r="DF68" s="11" t="n">
        <f aca="false">IF(AND(DF$1&gt;=Units!$Q67,MOD(DF$1-Units!$Q67,12)=0),IF(AND(Units!$L67=1,DF$1=Units!$Q67),1,Inputs!$B$15)*Inputs!$B$16*(1+Inputs!$B$11)^(DF$2-1),0)</f>
        <v>0</v>
      </c>
      <c r="DG68" s="11" t="n">
        <f aca="false">IF(AND(DG$1&gt;=Units!$Q67,MOD(DG$1-Units!$Q67,12)=0),IF(AND(Units!$L67=1,DG$1=Units!$Q67),1,Inputs!$B$15)*Inputs!$B$16*(1+Inputs!$B$11)^(DG$2-1),0)</f>
        <v>0</v>
      </c>
      <c r="DH68" s="11" t="n">
        <f aca="false">IF(AND(DH$1&gt;=Units!$Q67,MOD(DH$1-Units!$Q67,12)=0),IF(AND(Units!$L67=1,DH$1=Units!$Q67),1,Inputs!$B$15)*Inputs!$B$16*(1+Inputs!$B$11)^(DH$2-1),0)</f>
        <v>0</v>
      </c>
      <c r="DI68" s="11" t="n">
        <f aca="false">IF(AND(DI$1&gt;=Units!$Q67,MOD(DI$1-Units!$Q67,12)=0),IF(AND(Units!$L67=1,DI$1=Units!$Q67),1,Inputs!$B$15)*Inputs!$B$16*(1+Inputs!$B$11)^(DI$2-1),0)</f>
        <v>0</v>
      </c>
      <c r="DJ68" s="11" t="n">
        <f aca="false">IF(AND(DJ$1&gt;=Units!$Q67,MOD(DJ$1-Units!$Q67,12)=0),IF(AND(Units!$L67=1,DJ$1=Units!$Q67),1,Inputs!$B$15)*Inputs!$B$16*(1+Inputs!$B$11)^(DJ$2-1),0)</f>
        <v>0</v>
      </c>
      <c r="DK68" s="11" t="n">
        <f aca="false">IF(AND(DK$1&gt;=Units!$Q67,MOD(DK$1-Units!$Q67,12)=0),IF(AND(Units!$L67=1,DK$1=Units!$Q67),1,Inputs!$B$15)*Inputs!$B$16*(1+Inputs!$B$11)^(DK$2-1),0)</f>
        <v>0</v>
      </c>
      <c r="DL68" s="11" t="n">
        <f aca="false">IF(AND(DL$1&gt;=Units!$Q67,MOD(DL$1-Units!$Q67,12)=0),IF(AND(Units!$L67=1,DL$1=Units!$Q67),1,Inputs!$B$15)*Inputs!$B$16*(1+Inputs!$B$11)^(DL$2-1),0)</f>
        <v>0</v>
      </c>
      <c r="DM68" s="11" t="n">
        <f aca="false">IF(AND(DM$1&gt;=Units!$Q67,MOD(DM$1-Units!$Q67,12)=0),IF(AND(Units!$L67=1,DM$1=Units!$Q67),1,Inputs!$B$15)*Inputs!$B$16*(1+Inputs!$B$11)^(DM$2-1),0)</f>
        <v>652.386591914623</v>
      </c>
      <c r="DN68" s="11" t="n">
        <f aca="false">IF(AND(DN$1&gt;=Units!$Q67,MOD(DN$1-Units!$Q67,12)=0),IF(AND(Units!$L67=1,DN$1=Units!$Q67),1,Inputs!$B$15)*Inputs!$B$16*(1+Inputs!$B$11)^(DN$2-1),0)</f>
        <v>0</v>
      </c>
      <c r="DO68" s="11" t="n">
        <f aca="false">IF(AND(DO$1&gt;=Units!$Q67,MOD(DO$1-Units!$Q67,12)=0),IF(AND(Units!$L67=1,DO$1=Units!$Q67),1,Inputs!$B$15)*Inputs!$B$16*(1+Inputs!$B$11)^(DO$2-1),0)</f>
        <v>0</v>
      </c>
      <c r="DP68" s="11" t="n">
        <f aca="false">IF(AND(DP$1&gt;=Units!$Q67,MOD(DP$1-Units!$Q67,12)=0),IF(AND(Units!$L67=1,DP$1=Units!$Q67),1,Inputs!$B$15)*Inputs!$B$16*(1+Inputs!$B$11)^(DP$2-1),0)</f>
        <v>0</v>
      </c>
      <c r="DQ68" s="11" t="n">
        <f aca="false">IF(AND(DQ$1&gt;=Units!$Q67,MOD(DQ$1-Units!$Q67,12)=0),IF(AND(Units!$L67=1,DQ$1=Units!$Q67),1,Inputs!$B$15)*Inputs!$B$16*(1+Inputs!$B$11)^(DQ$2-1),0)</f>
        <v>0</v>
      </c>
      <c r="DR68" s="11" t="n">
        <f aca="false">IF(AND(DR$1&gt;=Units!$Q67,MOD(DR$1-Units!$Q67,12)=0),IF(AND(Units!$L67=1,DR$1=Units!$Q67),1,Inputs!$B$15)*Inputs!$B$16*(1+Inputs!$B$11)^(DR$2-1),0)</f>
        <v>0</v>
      </c>
      <c r="DS68" s="11" t="n">
        <f aca="false">IF(AND(DS$1&gt;=Units!$Q67,MOD(DS$1-Units!$Q67,12)=0),IF(AND(Units!$L67=1,DS$1=Units!$Q67),1,Inputs!$B$15)*Inputs!$B$16*(1+Inputs!$B$11)^(DS$2-1),0)</f>
        <v>0</v>
      </c>
      <c r="DT68" s="11" t="n">
        <f aca="false">IF(AND(DT$1&gt;=Units!$Q67,MOD(DT$1-Units!$Q67,12)=0),IF(AND(Units!$L67=1,DT$1=Units!$Q67),1,Inputs!$B$15)*Inputs!$B$16*(1+Inputs!$B$11)^(DT$2-1),0)</f>
        <v>0</v>
      </c>
      <c r="DU68" s="11" t="n">
        <f aca="false">IF(AND(DU$1&gt;=Units!$Q67,MOD(DU$1-Units!$Q67,12)=0),IF(AND(Units!$L67=1,DU$1=Units!$Q67),1,Inputs!$B$15)*Inputs!$B$16*(1+Inputs!$B$11)^(DU$2-1),0)</f>
        <v>0</v>
      </c>
      <c r="DV68" s="11" t="n">
        <f aca="false">IF(AND(DV$1&gt;=Units!$Q67,MOD(DV$1-Units!$Q67,12)=0),IF(AND(Units!$L67=1,DV$1=Units!$Q67),1,Inputs!$B$15)*Inputs!$B$16*(1+Inputs!$B$11)^(DV$2-1),0)</f>
        <v>0</v>
      </c>
      <c r="DW68" s="11" t="n">
        <f aca="false">IF(AND(DW$1&gt;=Units!$Q67,MOD(DW$1-Units!$Q67,12)=0),IF(AND(Units!$L67=1,DW$1=Units!$Q67),1,Inputs!$B$15)*Inputs!$B$16*(1+Inputs!$B$11)^(DW$2-1),0)</f>
        <v>0</v>
      </c>
      <c r="DX68" s="11" t="n">
        <f aca="false">IF(AND(DX$1&gt;=Units!$Q67,MOD(DX$1-Units!$Q67,12)=0),IF(AND(Units!$L67=1,DX$1=Units!$Q67),1,Inputs!$B$15)*Inputs!$B$16*(1+Inputs!$B$11)^(DX$2-1),0)</f>
        <v>0</v>
      </c>
      <c r="DY68" s="11" t="n">
        <f aca="false">IF(AND(DY$1&gt;=Units!$Q67,MOD(DY$1-Units!$Q67,12)=0),IF(AND(Units!$L67=1,DY$1=Units!$Q67),1,Inputs!$B$15)*Inputs!$B$16*(1+Inputs!$B$11)^(DY$2-1),0)</f>
        <v>671.958189672061</v>
      </c>
      <c r="DZ68" s="11" t="n">
        <f aca="false">IF(AND(DZ$1&gt;=Units!$Q67,MOD(DZ$1-Units!$Q67,12)=0),IF(AND(Units!$L67=1,DZ$1=Units!$Q67),1,Inputs!$B$15)*Inputs!$B$16*(1+Inputs!$B$11)^(DZ$2-1),0)</f>
        <v>0</v>
      </c>
      <c r="EA68" s="11" t="n">
        <f aca="false">IF(AND(EA$1&gt;=Units!$Q67,MOD(EA$1-Units!$Q67,12)=0),IF(AND(Units!$L67=1,EA$1=Units!$Q67),1,Inputs!$B$15)*Inputs!$B$16*(1+Inputs!$B$11)^(EA$2-1),0)</f>
        <v>0</v>
      </c>
      <c r="EB68" s="11" t="n">
        <f aca="false">IF(AND(EB$1&gt;=Units!$Q67,MOD(EB$1-Units!$Q67,12)=0),IF(AND(Units!$L67=1,EB$1=Units!$Q67),1,Inputs!$B$15)*Inputs!$B$16*(1+Inputs!$B$11)^(EB$2-1),0)</f>
        <v>0</v>
      </c>
      <c r="EC68" s="11" t="n">
        <f aca="false">IF(AND(EC$1&gt;=Units!$Q67,MOD(EC$1-Units!$Q67,12)=0),IF(AND(Units!$L67=1,EC$1=Units!$Q67),1,Inputs!$B$15)*Inputs!$B$16*(1+Inputs!$B$11)^(EC$2-1),0)</f>
        <v>0</v>
      </c>
      <c r="ED68" s="11" t="n">
        <f aca="false">IF(AND(ED$1&gt;=Units!$Q67,MOD(ED$1-Units!$Q67,12)=0),IF(AND(Units!$L67=1,ED$1=Units!$Q67),1,Inputs!$B$15)*Inputs!$B$16*(1+Inputs!$B$11)^(ED$2-1),0)</f>
        <v>0</v>
      </c>
    </row>
    <row r="69" customFormat="false" ht="15" hidden="false" customHeight="false" outlineLevel="0" collapsed="false">
      <c r="A69" s="22" t="n">
        <f aca="false">Units!A68</f>
        <v>307</v>
      </c>
      <c r="B69" s="23"/>
      <c r="C69" s="11" t="n">
        <f aca="false">IF(AND(C$1&gt;=Units!$Q68,MOD(C$1-Units!$Q68,12)=0),IF(AND(Units!$L68=1,C$1=Units!$Q68),1,Inputs!$B$15)*Inputs!$B$16*(1+Inputs!$B$11)^(C$2-1),0)</f>
        <v>500</v>
      </c>
      <c r="D69" s="11" t="n">
        <f aca="false">IF(AND(D$1&gt;=Units!$Q68,MOD(D$1-Units!$Q68,12)=0),IF(AND(Units!$L68=1,D$1=Units!$Q68),1,Inputs!$B$15)*Inputs!$B$16*(1+Inputs!$B$11)^(D$2-1),0)</f>
        <v>0</v>
      </c>
      <c r="E69" s="11" t="n">
        <f aca="false">IF(AND(E$1&gt;=Units!$Q68,MOD(E$1-Units!$Q68,12)=0),IF(AND(Units!$L68=1,E$1=Units!$Q68),1,Inputs!$B$15)*Inputs!$B$16*(1+Inputs!$B$11)^(E$2-1),0)</f>
        <v>0</v>
      </c>
      <c r="F69" s="11" t="n">
        <f aca="false">IF(AND(F$1&gt;=Units!$Q68,MOD(F$1-Units!$Q68,12)=0),IF(AND(Units!$L68=1,F$1=Units!$Q68),1,Inputs!$B$15)*Inputs!$B$16*(1+Inputs!$B$11)^(F$2-1),0)</f>
        <v>0</v>
      </c>
      <c r="G69" s="11" t="n">
        <f aca="false">IF(AND(G$1&gt;=Units!$Q68,MOD(G$1-Units!$Q68,12)=0),IF(AND(Units!$L68=1,G$1=Units!$Q68),1,Inputs!$B$15)*Inputs!$B$16*(1+Inputs!$B$11)^(G$2-1),0)</f>
        <v>0</v>
      </c>
      <c r="H69" s="11" t="n">
        <f aca="false">IF(AND(H$1&gt;=Units!$Q68,MOD(H$1-Units!$Q68,12)=0),IF(AND(Units!$L68=1,H$1=Units!$Q68),1,Inputs!$B$15)*Inputs!$B$16*(1+Inputs!$B$11)^(H$2-1),0)</f>
        <v>0</v>
      </c>
      <c r="I69" s="11" t="n">
        <f aca="false">IF(AND(I$1&gt;=Units!$Q68,MOD(I$1-Units!$Q68,12)=0),IF(AND(Units!$L68=1,I$1=Units!$Q68),1,Inputs!$B$15)*Inputs!$B$16*(1+Inputs!$B$11)^(I$2-1),0)</f>
        <v>0</v>
      </c>
      <c r="J69" s="11" t="n">
        <f aca="false">IF(AND(J$1&gt;=Units!$Q68,MOD(J$1-Units!$Q68,12)=0),IF(AND(Units!$L68=1,J$1=Units!$Q68),1,Inputs!$B$15)*Inputs!$B$16*(1+Inputs!$B$11)^(J$2-1),0)</f>
        <v>0</v>
      </c>
      <c r="K69" s="11" t="n">
        <f aca="false">IF(AND(K$1&gt;=Units!$Q68,MOD(K$1-Units!$Q68,12)=0),IF(AND(Units!$L68=1,K$1=Units!$Q68),1,Inputs!$B$15)*Inputs!$B$16*(1+Inputs!$B$11)^(K$2-1),0)</f>
        <v>0</v>
      </c>
      <c r="L69" s="11" t="n">
        <f aca="false">IF(AND(L$1&gt;=Units!$Q68,MOD(L$1-Units!$Q68,12)=0),IF(AND(Units!$L68=1,L$1=Units!$Q68),1,Inputs!$B$15)*Inputs!$B$16*(1+Inputs!$B$11)^(L$2-1),0)</f>
        <v>0</v>
      </c>
      <c r="M69" s="11" t="n">
        <f aca="false">IF(AND(M$1&gt;=Units!$Q68,MOD(M$1-Units!$Q68,12)=0),IF(AND(Units!$L68=1,M$1=Units!$Q68),1,Inputs!$B$15)*Inputs!$B$16*(1+Inputs!$B$11)^(M$2-1),0)</f>
        <v>0</v>
      </c>
      <c r="N69" s="11" t="n">
        <f aca="false">IF(AND(N$1&gt;=Units!$Q68,MOD(N$1-Units!$Q68,12)=0),IF(AND(Units!$L68=1,N$1=Units!$Q68),1,Inputs!$B$15)*Inputs!$B$16*(1+Inputs!$B$11)^(N$2-1),0)</f>
        <v>0</v>
      </c>
      <c r="O69" s="11" t="n">
        <f aca="false">IF(AND(O$1&gt;=Units!$Q68,MOD(O$1-Units!$Q68,12)=0),IF(AND(Units!$L68=1,O$1=Units!$Q68),1,Inputs!$B$15)*Inputs!$B$16*(1+Inputs!$B$11)^(O$2-1),0)</f>
        <v>515</v>
      </c>
      <c r="P69" s="11" t="n">
        <f aca="false">IF(AND(P$1&gt;=Units!$Q68,MOD(P$1-Units!$Q68,12)=0),IF(AND(Units!$L68=1,P$1=Units!$Q68),1,Inputs!$B$15)*Inputs!$B$16*(1+Inputs!$B$11)^(P$2-1),0)</f>
        <v>0</v>
      </c>
      <c r="Q69" s="11" t="n">
        <f aca="false">IF(AND(Q$1&gt;=Units!$Q68,MOD(Q$1-Units!$Q68,12)=0),IF(AND(Units!$L68=1,Q$1=Units!$Q68),1,Inputs!$B$15)*Inputs!$B$16*(1+Inputs!$B$11)^(Q$2-1),0)</f>
        <v>0</v>
      </c>
      <c r="R69" s="11" t="n">
        <f aca="false">IF(AND(R$1&gt;=Units!$Q68,MOD(R$1-Units!$Q68,12)=0),IF(AND(Units!$L68=1,R$1=Units!$Q68),1,Inputs!$B$15)*Inputs!$B$16*(1+Inputs!$B$11)^(R$2-1),0)</f>
        <v>0</v>
      </c>
      <c r="S69" s="11" t="n">
        <f aca="false">IF(AND(S$1&gt;=Units!$Q68,MOD(S$1-Units!$Q68,12)=0),IF(AND(Units!$L68=1,S$1=Units!$Q68),1,Inputs!$B$15)*Inputs!$B$16*(1+Inputs!$B$11)^(S$2-1),0)</f>
        <v>0</v>
      </c>
      <c r="T69" s="11" t="n">
        <f aca="false">IF(AND(T$1&gt;=Units!$Q68,MOD(T$1-Units!$Q68,12)=0),IF(AND(Units!$L68=1,T$1=Units!$Q68),1,Inputs!$B$15)*Inputs!$B$16*(1+Inputs!$B$11)^(T$2-1),0)</f>
        <v>0</v>
      </c>
      <c r="U69" s="11" t="n">
        <f aca="false">IF(AND(U$1&gt;=Units!$Q68,MOD(U$1-Units!$Q68,12)=0),IF(AND(Units!$L68=1,U$1=Units!$Q68),1,Inputs!$B$15)*Inputs!$B$16*(1+Inputs!$B$11)^(U$2-1),0)</f>
        <v>0</v>
      </c>
      <c r="V69" s="11" t="n">
        <f aca="false">IF(AND(V$1&gt;=Units!$Q68,MOD(V$1-Units!$Q68,12)=0),IF(AND(Units!$L68=1,V$1=Units!$Q68),1,Inputs!$B$15)*Inputs!$B$16*(1+Inputs!$B$11)^(V$2-1),0)</f>
        <v>0</v>
      </c>
      <c r="W69" s="11" t="n">
        <f aca="false">IF(AND(W$1&gt;=Units!$Q68,MOD(W$1-Units!$Q68,12)=0),IF(AND(Units!$L68=1,W$1=Units!$Q68),1,Inputs!$B$15)*Inputs!$B$16*(1+Inputs!$B$11)^(W$2-1),0)</f>
        <v>0</v>
      </c>
      <c r="X69" s="11" t="n">
        <f aca="false">IF(AND(X$1&gt;=Units!$Q68,MOD(X$1-Units!$Q68,12)=0),IF(AND(Units!$L68=1,X$1=Units!$Q68),1,Inputs!$B$15)*Inputs!$B$16*(1+Inputs!$B$11)^(X$2-1),0)</f>
        <v>0</v>
      </c>
      <c r="Y69" s="11" t="n">
        <f aca="false">IF(AND(Y$1&gt;=Units!$Q68,MOD(Y$1-Units!$Q68,12)=0),IF(AND(Units!$L68=1,Y$1=Units!$Q68),1,Inputs!$B$15)*Inputs!$B$16*(1+Inputs!$B$11)^(Y$2-1),0)</f>
        <v>0</v>
      </c>
      <c r="Z69" s="11" t="n">
        <f aca="false">IF(AND(Z$1&gt;=Units!$Q68,MOD(Z$1-Units!$Q68,12)=0),IF(AND(Units!$L68=1,Z$1=Units!$Q68),1,Inputs!$B$15)*Inputs!$B$16*(1+Inputs!$B$11)^(Z$2-1),0)</f>
        <v>0</v>
      </c>
      <c r="AA69" s="11" t="n">
        <f aca="false">IF(AND(AA$1&gt;=Units!$Q68,MOD(AA$1-Units!$Q68,12)=0),IF(AND(Units!$L68=1,AA$1=Units!$Q68),1,Inputs!$B$15)*Inputs!$B$16*(1+Inputs!$B$11)^(AA$2-1),0)</f>
        <v>530.45</v>
      </c>
      <c r="AB69" s="11" t="n">
        <f aca="false">IF(AND(AB$1&gt;=Units!$Q68,MOD(AB$1-Units!$Q68,12)=0),IF(AND(Units!$L68=1,AB$1=Units!$Q68),1,Inputs!$B$15)*Inputs!$B$16*(1+Inputs!$B$11)^(AB$2-1),0)</f>
        <v>0</v>
      </c>
      <c r="AC69" s="11" t="n">
        <f aca="false">IF(AND(AC$1&gt;=Units!$Q68,MOD(AC$1-Units!$Q68,12)=0),IF(AND(Units!$L68=1,AC$1=Units!$Q68),1,Inputs!$B$15)*Inputs!$B$16*(1+Inputs!$B$11)^(AC$2-1),0)</f>
        <v>0</v>
      </c>
      <c r="AD69" s="11" t="n">
        <f aca="false">IF(AND(AD$1&gt;=Units!$Q68,MOD(AD$1-Units!$Q68,12)=0),IF(AND(Units!$L68=1,AD$1=Units!$Q68),1,Inputs!$B$15)*Inputs!$B$16*(1+Inputs!$B$11)^(AD$2-1),0)</f>
        <v>0</v>
      </c>
      <c r="AE69" s="11" t="n">
        <f aca="false">IF(AND(AE$1&gt;=Units!$Q68,MOD(AE$1-Units!$Q68,12)=0),IF(AND(Units!$L68=1,AE$1=Units!$Q68),1,Inputs!$B$15)*Inputs!$B$16*(1+Inputs!$B$11)^(AE$2-1),0)</f>
        <v>0</v>
      </c>
      <c r="AF69" s="11" t="n">
        <f aca="false">IF(AND(AF$1&gt;=Units!$Q68,MOD(AF$1-Units!$Q68,12)=0),IF(AND(Units!$L68=1,AF$1=Units!$Q68),1,Inputs!$B$15)*Inputs!$B$16*(1+Inputs!$B$11)^(AF$2-1),0)</f>
        <v>0</v>
      </c>
      <c r="AG69" s="11" t="n">
        <f aca="false">IF(AND(AG$1&gt;=Units!$Q68,MOD(AG$1-Units!$Q68,12)=0),IF(AND(Units!$L68=1,AG$1=Units!$Q68),1,Inputs!$B$15)*Inputs!$B$16*(1+Inputs!$B$11)^(AG$2-1),0)</f>
        <v>0</v>
      </c>
      <c r="AH69" s="11" t="n">
        <f aca="false">IF(AND(AH$1&gt;=Units!$Q68,MOD(AH$1-Units!$Q68,12)=0),IF(AND(Units!$L68=1,AH$1=Units!$Q68),1,Inputs!$B$15)*Inputs!$B$16*(1+Inputs!$B$11)^(AH$2-1),0)</f>
        <v>0</v>
      </c>
      <c r="AI69" s="11" t="n">
        <f aca="false">IF(AND(AI$1&gt;=Units!$Q68,MOD(AI$1-Units!$Q68,12)=0),IF(AND(Units!$L68=1,AI$1=Units!$Q68),1,Inputs!$B$15)*Inputs!$B$16*(1+Inputs!$B$11)^(AI$2-1),0)</f>
        <v>0</v>
      </c>
      <c r="AJ69" s="11" t="n">
        <f aca="false">IF(AND(AJ$1&gt;=Units!$Q68,MOD(AJ$1-Units!$Q68,12)=0),IF(AND(Units!$L68=1,AJ$1=Units!$Q68),1,Inputs!$B$15)*Inputs!$B$16*(1+Inputs!$B$11)^(AJ$2-1),0)</f>
        <v>0</v>
      </c>
      <c r="AK69" s="11" t="n">
        <f aca="false">IF(AND(AK$1&gt;=Units!$Q68,MOD(AK$1-Units!$Q68,12)=0),IF(AND(Units!$L68=1,AK$1=Units!$Q68),1,Inputs!$B$15)*Inputs!$B$16*(1+Inputs!$B$11)^(AK$2-1),0)</f>
        <v>0</v>
      </c>
      <c r="AL69" s="11" t="n">
        <f aca="false">IF(AND(AL$1&gt;=Units!$Q68,MOD(AL$1-Units!$Q68,12)=0),IF(AND(Units!$L68=1,AL$1=Units!$Q68),1,Inputs!$B$15)*Inputs!$B$16*(1+Inputs!$B$11)^(AL$2-1),0)</f>
        <v>0</v>
      </c>
      <c r="AM69" s="11" t="n">
        <f aca="false">IF(AND(AM$1&gt;=Units!$Q68,MOD(AM$1-Units!$Q68,12)=0),IF(AND(Units!$L68=1,AM$1=Units!$Q68),1,Inputs!$B$15)*Inputs!$B$16*(1+Inputs!$B$11)^(AM$2-1),0)</f>
        <v>546.3635</v>
      </c>
      <c r="AN69" s="11" t="n">
        <f aca="false">IF(AND(AN$1&gt;=Units!$Q68,MOD(AN$1-Units!$Q68,12)=0),IF(AND(Units!$L68=1,AN$1=Units!$Q68),1,Inputs!$B$15)*Inputs!$B$16*(1+Inputs!$B$11)^(AN$2-1),0)</f>
        <v>0</v>
      </c>
      <c r="AO69" s="11" t="n">
        <f aca="false">IF(AND(AO$1&gt;=Units!$Q68,MOD(AO$1-Units!$Q68,12)=0),IF(AND(Units!$L68=1,AO$1=Units!$Q68),1,Inputs!$B$15)*Inputs!$B$16*(1+Inputs!$B$11)^(AO$2-1),0)</f>
        <v>0</v>
      </c>
      <c r="AP69" s="11" t="n">
        <f aca="false">IF(AND(AP$1&gt;=Units!$Q68,MOD(AP$1-Units!$Q68,12)=0),IF(AND(Units!$L68=1,AP$1=Units!$Q68),1,Inputs!$B$15)*Inputs!$B$16*(1+Inputs!$B$11)^(AP$2-1),0)</f>
        <v>0</v>
      </c>
      <c r="AQ69" s="11" t="n">
        <f aca="false">IF(AND(AQ$1&gt;=Units!$Q68,MOD(AQ$1-Units!$Q68,12)=0),IF(AND(Units!$L68=1,AQ$1=Units!$Q68),1,Inputs!$B$15)*Inputs!$B$16*(1+Inputs!$B$11)^(AQ$2-1),0)</f>
        <v>0</v>
      </c>
      <c r="AR69" s="11" t="n">
        <f aca="false">IF(AND(AR$1&gt;=Units!$Q68,MOD(AR$1-Units!$Q68,12)=0),IF(AND(Units!$L68=1,AR$1=Units!$Q68),1,Inputs!$B$15)*Inputs!$B$16*(1+Inputs!$B$11)^(AR$2-1),0)</f>
        <v>0</v>
      </c>
      <c r="AS69" s="11" t="n">
        <f aca="false">IF(AND(AS$1&gt;=Units!$Q68,MOD(AS$1-Units!$Q68,12)=0),IF(AND(Units!$L68=1,AS$1=Units!$Q68),1,Inputs!$B$15)*Inputs!$B$16*(1+Inputs!$B$11)^(AS$2-1),0)</f>
        <v>0</v>
      </c>
      <c r="AT69" s="11" t="n">
        <f aca="false">IF(AND(AT$1&gt;=Units!$Q68,MOD(AT$1-Units!$Q68,12)=0),IF(AND(Units!$L68=1,AT$1=Units!$Q68),1,Inputs!$B$15)*Inputs!$B$16*(1+Inputs!$B$11)^(AT$2-1),0)</f>
        <v>0</v>
      </c>
      <c r="AU69" s="11" t="n">
        <f aca="false">IF(AND(AU$1&gt;=Units!$Q68,MOD(AU$1-Units!$Q68,12)=0),IF(AND(Units!$L68=1,AU$1=Units!$Q68),1,Inputs!$B$15)*Inputs!$B$16*(1+Inputs!$B$11)^(AU$2-1),0)</f>
        <v>0</v>
      </c>
      <c r="AV69" s="11" t="n">
        <f aca="false">IF(AND(AV$1&gt;=Units!$Q68,MOD(AV$1-Units!$Q68,12)=0),IF(AND(Units!$L68=1,AV$1=Units!$Q68),1,Inputs!$B$15)*Inputs!$B$16*(1+Inputs!$B$11)^(AV$2-1),0)</f>
        <v>0</v>
      </c>
      <c r="AW69" s="11" t="n">
        <f aca="false">IF(AND(AW$1&gt;=Units!$Q68,MOD(AW$1-Units!$Q68,12)=0),IF(AND(Units!$L68=1,AW$1=Units!$Q68),1,Inputs!$B$15)*Inputs!$B$16*(1+Inputs!$B$11)^(AW$2-1),0)</f>
        <v>0</v>
      </c>
      <c r="AX69" s="11" t="n">
        <f aca="false">IF(AND(AX$1&gt;=Units!$Q68,MOD(AX$1-Units!$Q68,12)=0),IF(AND(Units!$L68=1,AX$1=Units!$Q68),1,Inputs!$B$15)*Inputs!$B$16*(1+Inputs!$B$11)^(AX$2-1),0)</f>
        <v>0</v>
      </c>
      <c r="AY69" s="11" t="n">
        <f aca="false">IF(AND(AY$1&gt;=Units!$Q68,MOD(AY$1-Units!$Q68,12)=0),IF(AND(Units!$L68=1,AY$1=Units!$Q68),1,Inputs!$B$15)*Inputs!$B$16*(1+Inputs!$B$11)^(AY$2-1),0)</f>
        <v>562.754405</v>
      </c>
      <c r="AZ69" s="11" t="n">
        <f aca="false">IF(AND(AZ$1&gt;=Units!$Q68,MOD(AZ$1-Units!$Q68,12)=0),IF(AND(Units!$L68=1,AZ$1=Units!$Q68),1,Inputs!$B$15)*Inputs!$B$16*(1+Inputs!$B$11)^(AZ$2-1),0)</f>
        <v>0</v>
      </c>
      <c r="BA69" s="11" t="n">
        <f aca="false">IF(AND(BA$1&gt;=Units!$Q68,MOD(BA$1-Units!$Q68,12)=0),IF(AND(Units!$L68=1,BA$1=Units!$Q68),1,Inputs!$B$15)*Inputs!$B$16*(1+Inputs!$B$11)^(BA$2-1),0)</f>
        <v>0</v>
      </c>
      <c r="BB69" s="11" t="n">
        <f aca="false">IF(AND(BB$1&gt;=Units!$Q68,MOD(BB$1-Units!$Q68,12)=0),IF(AND(Units!$L68=1,BB$1=Units!$Q68),1,Inputs!$B$15)*Inputs!$B$16*(1+Inputs!$B$11)^(BB$2-1),0)</f>
        <v>0</v>
      </c>
      <c r="BC69" s="11" t="n">
        <f aca="false">IF(AND(BC$1&gt;=Units!$Q68,MOD(BC$1-Units!$Q68,12)=0),IF(AND(Units!$L68=1,BC$1=Units!$Q68),1,Inputs!$B$15)*Inputs!$B$16*(1+Inputs!$B$11)^(BC$2-1),0)</f>
        <v>0</v>
      </c>
      <c r="BD69" s="11" t="n">
        <f aca="false">IF(AND(BD$1&gt;=Units!$Q68,MOD(BD$1-Units!$Q68,12)=0),IF(AND(Units!$L68=1,BD$1=Units!$Q68),1,Inputs!$B$15)*Inputs!$B$16*(1+Inputs!$B$11)^(BD$2-1),0)</f>
        <v>0</v>
      </c>
      <c r="BE69" s="11" t="n">
        <f aca="false">IF(AND(BE$1&gt;=Units!$Q68,MOD(BE$1-Units!$Q68,12)=0),IF(AND(Units!$L68=1,BE$1=Units!$Q68),1,Inputs!$B$15)*Inputs!$B$16*(1+Inputs!$B$11)^(BE$2-1),0)</f>
        <v>0</v>
      </c>
      <c r="BF69" s="11" t="n">
        <f aca="false">IF(AND(BF$1&gt;=Units!$Q68,MOD(BF$1-Units!$Q68,12)=0),IF(AND(Units!$L68=1,BF$1=Units!$Q68),1,Inputs!$B$15)*Inputs!$B$16*(1+Inputs!$B$11)^(BF$2-1),0)</f>
        <v>0</v>
      </c>
      <c r="BG69" s="11" t="n">
        <f aca="false">IF(AND(BG$1&gt;=Units!$Q68,MOD(BG$1-Units!$Q68,12)=0),IF(AND(Units!$L68=1,BG$1=Units!$Q68),1,Inputs!$B$15)*Inputs!$B$16*(1+Inputs!$B$11)^(BG$2-1),0)</f>
        <v>0</v>
      </c>
      <c r="BH69" s="11" t="n">
        <f aca="false">IF(AND(BH$1&gt;=Units!$Q68,MOD(BH$1-Units!$Q68,12)=0),IF(AND(Units!$L68=1,BH$1=Units!$Q68),1,Inputs!$B$15)*Inputs!$B$16*(1+Inputs!$B$11)^(BH$2-1),0)</f>
        <v>0</v>
      </c>
      <c r="BI69" s="11" t="n">
        <f aca="false">IF(AND(BI$1&gt;=Units!$Q68,MOD(BI$1-Units!$Q68,12)=0),IF(AND(Units!$L68=1,BI$1=Units!$Q68),1,Inputs!$B$15)*Inputs!$B$16*(1+Inputs!$B$11)^(BI$2-1),0)</f>
        <v>0</v>
      </c>
      <c r="BJ69" s="11" t="n">
        <f aca="false">IF(AND(BJ$1&gt;=Units!$Q68,MOD(BJ$1-Units!$Q68,12)=0),IF(AND(Units!$L68=1,BJ$1=Units!$Q68),1,Inputs!$B$15)*Inputs!$B$16*(1+Inputs!$B$11)^(BJ$2-1),0)</f>
        <v>0</v>
      </c>
      <c r="BK69" s="11" t="n">
        <f aca="false">IF(AND(BK$1&gt;=Units!$Q68,MOD(BK$1-Units!$Q68,12)=0),IF(AND(Units!$L68=1,BK$1=Units!$Q68),1,Inputs!$B$15)*Inputs!$B$16*(1+Inputs!$B$11)^(BK$2-1),0)</f>
        <v>579.63703715</v>
      </c>
      <c r="BL69" s="11" t="n">
        <f aca="false">IF(AND(BL$1&gt;=Units!$Q68,MOD(BL$1-Units!$Q68,12)=0),IF(AND(Units!$L68=1,BL$1=Units!$Q68),1,Inputs!$B$15)*Inputs!$B$16*(1+Inputs!$B$11)^(BL$2-1),0)</f>
        <v>0</v>
      </c>
      <c r="BM69" s="11" t="n">
        <f aca="false">IF(AND(BM$1&gt;=Units!$Q68,MOD(BM$1-Units!$Q68,12)=0),IF(AND(Units!$L68=1,BM$1=Units!$Q68),1,Inputs!$B$15)*Inputs!$B$16*(1+Inputs!$B$11)^(BM$2-1),0)</f>
        <v>0</v>
      </c>
      <c r="BN69" s="11" t="n">
        <f aca="false">IF(AND(BN$1&gt;=Units!$Q68,MOD(BN$1-Units!$Q68,12)=0),IF(AND(Units!$L68=1,BN$1=Units!$Q68),1,Inputs!$B$15)*Inputs!$B$16*(1+Inputs!$B$11)^(BN$2-1),0)</f>
        <v>0</v>
      </c>
      <c r="BO69" s="11" t="n">
        <f aca="false">IF(AND(BO$1&gt;=Units!$Q68,MOD(BO$1-Units!$Q68,12)=0),IF(AND(Units!$L68=1,BO$1=Units!$Q68),1,Inputs!$B$15)*Inputs!$B$16*(1+Inputs!$B$11)^(BO$2-1),0)</f>
        <v>0</v>
      </c>
      <c r="BP69" s="11" t="n">
        <f aca="false">IF(AND(BP$1&gt;=Units!$Q68,MOD(BP$1-Units!$Q68,12)=0),IF(AND(Units!$L68=1,BP$1=Units!$Q68),1,Inputs!$B$15)*Inputs!$B$16*(1+Inputs!$B$11)^(BP$2-1),0)</f>
        <v>0</v>
      </c>
      <c r="BQ69" s="11" t="n">
        <f aca="false">IF(AND(BQ$1&gt;=Units!$Q68,MOD(BQ$1-Units!$Q68,12)=0),IF(AND(Units!$L68=1,BQ$1=Units!$Q68),1,Inputs!$B$15)*Inputs!$B$16*(1+Inputs!$B$11)^(BQ$2-1),0)</f>
        <v>0</v>
      </c>
      <c r="BR69" s="11" t="n">
        <f aca="false">IF(AND(BR$1&gt;=Units!$Q68,MOD(BR$1-Units!$Q68,12)=0),IF(AND(Units!$L68=1,BR$1=Units!$Q68),1,Inputs!$B$15)*Inputs!$B$16*(1+Inputs!$B$11)^(BR$2-1),0)</f>
        <v>0</v>
      </c>
      <c r="BS69" s="11" t="n">
        <f aca="false">IF(AND(BS$1&gt;=Units!$Q68,MOD(BS$1-Units!$Q68,12)=0),IF(AND(Units!$L68=1,BS$1=Units!$Q68),1,Inputs!$B$15)*Inputs!$B$16*(1+Inputs!$B$11)^(BS$2-1),0)</f>
        <v>0</v>
      </c>
      <c r="BT69" s="11" t="n">
        <f aca="false">IF(AND(BT$1&gt;=Units!$Q68,MOD(BT$1-Units!$Q68,12)=0),IF(AND(Units!$L68=1,BT$1=Units!$Q68),1,Inputs!$B$15)*Inputs!$B$16*(1+Inputs!$B$11)^(BT$2-1),0)</f>
        <v>0</v>
      </c>
      <c r="BU69" s="11" t="n">
        <f aca="false">IF(AND(BU$1&gt;=Units!$Q68,MOD(BU$1-Units!$Q68,12)=0),IF(AND(Units!$L68=1,BU$1=Units!$Q68),1,Inputs!$B$15)*Inputs!$B$16*(1+Inputs!$B$11)^(BU$2-1),0)</f>
        <v>0</v>
      </c>
      <c r="BV69" s="11" t="n">
        <f aca="false">IF(AND(BV$1&gt;=Units!$Q68,MOD(BV$1-Units!$Q68,12)=0),IF(AND(Units!$L68=1,BV$1=Units!$Q68),1,Inputs!$B$15)*Inputs!$B$16*(1+Inputs!$B$11)^(BV$2-1),0)</f>
        <v>0</v>
      </c>
      <c r="BW69" s="11" t="n">
        <f aca="false">IF(AND(BW$1&gt;=Units!$Q68,MOD(BW$1-Units!$Q68,12)=0),IF(AND(Units!$L68=1,BW$1=Units!$Q68),1,Inputs!$B$15)*Inputs!$B$16*(1+Inputs!$B$11)^(BW$2-1),0)</f>
        <v>597.0261482645</v>
      </c>
      <c r="BX69" s="11" t="n">
        <f aca="false">IF(AND(BX$1&gt;=Units!$Q68,MOD(BX$1-Units!$Q68,12)=0),IF(AND(Units!$L68=1,BX$1=Units!$Q68),1,Inputs!$B$15)*Inputs!$B$16*(1+Inputs!$B$11)^(BX$2-1),0)</f>
        <v>0</v>
      </c>
      <c r="BY69" s="11" t="n">
        <f aca="false">IF(AND(BY$1&gt;=Units!$Q68,MOD(BY$1-Units!$Q68,12)=0),IF(AND(Units!$L68=1,BY$1=Units!$Q68),1,Inputs!$B$15)*Inputs!$B$16*(1+Inputs!$B$11)^(BY$2-1),0)</f>
        <v>0</v>
      </c>
      <c r="BZ69" s="11" t="n">
        <f aca="false">IF(AND(BZ$1&gt;=Units!$Q68,MOD(BZ$1-Units!$Q68,12)=0),IF(AND(Units!$L68=1,BZ$1=Units!$Q68),1,Inputs!$B$15)*Inputs!$B$16*(1+Inputs!$B$11)^(BZ$2-1),0)</f>
        <v>0</v>
      </c>
      <c r="CA69" s="11" t="n">
        <f aca="false">IF(AND(CA$1&gt;=Units!$Q68,MOD(CA$1-Units!$Q68,12)=0),IF(AND(Units!$L68=1,CA$1=Units!$Q68),1,Inputs!$B$15)*Inputs!$B$16*(1+Inputs!$B$11)^(CA$2-1),0)</f>
        <v>0</v>
      </c>
      <c r="CB69" s="11" t="n">
        <f aca="false">IF(AND(CB$1&gt;=Units!$Q68,MOD(CB$1-Units!$Q68,12)=0),IF(AND(Units!$L68=1,CB$1=Units!$Q68),1,Inputs!$B$15)*Inputs!$B$16*(1+Inputs!$B$11)^(CB$2-1),0)</f>
        <v>0</v>
      </c>
      <c r="CC69" s="11" t="n">
        <f aca="false">IF(AND(CC$1&gt;=Units!$Q68,MOD(CC$1-Units!$Q68,12)=0),IF(AND(Units!$L68=1,CC$1=Units!$Q68),1,Inputs!$B$15)*Inputs!$B$16*(1+Inputs!$B$11)^(CC$2-1),0)</f>
        <v>0</v>
      </c>
      <c r="CD69" s="11" t="n">
        <f aca="false">IF(AND(CD$1&gt;=Units!$Q68,MOD(CD$1-Units!$Q68,12)=0),IF(AND(Units!$L68=1,CD$1=Units!$Q68),1,Inputs!$B$15)*Inputs!$B$16*(1+Inputs!$B$11)^(CD$2-1),0)</f>
        <v>0</v>
      </c>
      <c r="CE69" s="11" t="n">
        <f aca="false">IF(AND(CE$1&gt;=Units!$Q68,MOD(CE$1-Units!$Q68,12)=0),IF(AND(Units!$L68=1,CE$1=Units!$Q68),1,Inputs!$B$15)*Inputs!$B$16*(1+Inputs!$B$11)^(CE$2-1),0)</f>
        <v>0</v>
      </c>
      <c r="CF69" s="11" t="n">
        <f aca="false">IF(AND(CF$1&gt;=Units!$Q68,MOD(CF$1-Units!$Q68,12)=0),IF(AND(Units!$L68=1,CF$1=Units!$Q68),1,Inputs!$B$15)*Inputs!$B$16*(1+Inputs!$B$11)^(CF$2-1),0)</f>
        <v>0</v>
      </c>
      <c r="CG69" s="11" t="n">
        <f aca="false">IF(AND(CG$1&gt;=Units!$Q68,MOD(CG$1-Units!$Q68,12)=0),IF(AND(Units!$L68=1,CG$1=Units!$Q68),1,Inputs!$B$15)*Inputs!$B$16*(1+Inputs!$B$11)^(CG$2-1),0)</f>
        <v>0</v>
      </c>
      <c r="CH69" s="11" t="n">
        <f aca="false">IF(AND(CH$1&gt;=Units!$Q68,MOD(CH$1-Units!$Q68,12)=0),IF(AND(Units!$L68=1,CH$1=Units!$Q68),1,Inputs!$B$15)*Inputs!$B$16*(1+Inputs!$B$11)^(CH$2-1),0)</f>
        <v>0</v>
      </c>
      <c r="CI69" s="11" t="n">
        <f aca="false">IF(AND(CI$1&gt;=Units!$Q68,MOD(CI$1-Units!$Q68,12)=0),IF(AND(Units!$L68=1,CI$1=Units!$Q68),1,Inputs!$B$15)*Inputs!$B$16*(1+Inputs!$B$11)^(CI$2-1),0)</f>
        <v>614.936932712435</v>
      </c>
      <c r="CJ69" s="11" t="n">
        <f aca="false">IF(AND(CJ$1&gt;=Units!$Q68,MOD(CJ$1-Units!$Q68,12)=0),IF(AND(Units!$L68=1,CJ$1=Units!$Q68),1,Inputs!$B$15)*Inputs!$B$16*(1+Inputs!$B$11)^(CJ$2-1),0)</f>
        <v>0</v>
      </c>
      <c r="CK69" s="11" t="n">
        <f aca="false">IF(AND(CK$1&gt;=Units!$Q68,MOD(CK$1-Units!$Q68,12)=0),IF(AND(Units!$L68=1,CK$1=Units!$Q68),1,Inputs!$B$15)*Inputs!$B$16*(1+Inputs!$B$11)^(CK$2-1),0)</f>
        <v>0</v>
      </c>
      <c r="CL69" s="11" t="n">
        <f aca="false">IF(AND(CL$1&gt;=Units!$Q68,MOD(CL$1-Units!$Q68,12)=0),IF(AND(Units!$L68=1,CL$1=Units!$Q68),1,Inputs!$B$15)*Inputs!$B$16*(1+Inputs!$B$11)^(CL$2-1),0)</f>
        <v>0</v>
      </c>
      <c r="CM69" s="11" t="n">
        <f aca="false">IF(AND(CM$1&gt;=Units!$Q68,MOD(CM$1-Units!$Q68,12)=0),IF(AND(Units!$L68=1,CM$1=Units!$Q68),1,Inputs!$B$15)*Inputs!$B$16*(1+Inputs!$B$11)^(CM$2-1),0)</f>
        <v>0</v>
      </c>
      <c r="CN69" s="11" t="n">
        <f aca="false">IF(AND(CN$1&gt;=Units!$Q68,MOD(CN$1-Units!$Q68,12)=0),IF(AND(Units!$L68=1,CN$1=Units!$Q68),1,Inputs!$B$15)*Inputs!$B$16*(1+Inputs!$B$11)^(CN$2-1),0)</f>
        <v>0</v>
      </c>
      <c r="CO69" s="11" t="n">
        <f aca="false">IF(AND(CO$1&gt;=Units!$Q68,MOD(CO$1-Units!$Q68,12)=0),IF(AND(Units!$L68=1,CO$1=Units!$Q68),1,Inputs!$B$15)*Inputs!$B$16*(1+Inputs!$B$11)^(CO$2-1),0)</f>
        <v>0</v>
      </c>
      <c r="CP69" s="11" t="n">
        <f aca="false">IF(AND(CP$1&gt;=Units!$Q68,MOD(CP$1-Units!$Q68,12)=0),IF(AND(Units!$L68=1,CP$1=Units!$Q68),1,Inputs!$B$15)*Inputs!$B$16*(1+Inputs!$B$11)^(CP$2-1),0)</f>
        <v>0</v>
      </c>
      <c r="CQ69" s="11" t="n">
        <f aca="false">IF(AND(CQ$1&gt;=Units!$Q68,MOD(CQ$1-Units!$Q68,12)=0),IF(AND(Units!$L68=1,CQ$1=Units!$Q68),1,Inputs!$B$15)*Inputs!$B$16*(1+Inputs!$B$11)^(CQ$2-1),0)</f>
        <v>0</v>
      </c>
      <c r="CR69" s="11" t="n">
        <f aca="false">IF(AND(CR$1&gt;=Units!$Q68,MOD(CR$1-Units!$Q68,12)=0),IF(AND(Units!$L68=1,CR$1=Units!$Q68),1,Inputs!$B$15)*Inputs!$B$16*(1+Inputs!$B$11)^(CR$2-1),0)</f>
        <v>0</v>
      </c>
      <c r="CS69" s="11" t="n">
        <f aca="false">IF(AND(CS$1&gt;=Units!$Q68,MOD(CS$1-Units!$Q68,12)=0),IF(AND(Units!$L68=1,CS$1=Units!$Q68),1,Inputs!$B$15)*Inputs!$B$16*(1+Inputs!$B$11)^(CS$2-1),0)</f>
        <v>0</v>
      </c>
      <c r="CT69" s="11" t="n">
        <f aca="false">IF(AND(CT$1&gt;=Units!$Q68,MOD(CT$1-Units!$Q68,12)=0),IF(AND(Units!$L68=1,CT$1=Units!$Q68),1,Inputs!$B$15)*Inputs!$B$16*(1+Inputs!$B$11)^(CT$2-1),0)</f>
        <v>0</v>
      </c>
      <c r="CU69" s="11" t="n">
        <f aca="false">IF(AND(CU$1&gt;=Units!$Q68,MOD(CU$1-Units!$Q68,12)=0),IF(AND(Units!$L68=1,CU$1=Units!$Q68),1,Inputs!$B$15)*Inputs!$B$16*(1+Inputs!$B$11)^(CU$2-1),0)</f>
        <v>633.385040693808</v>
      </c>
      <c r="CV69" s="11" t="n">
        <f aca="false">IF(AND(CV$1&gt;=Units!$Q68,MOD(CV$1-Units!$Q68,12)=0),IF(AND(Units!$L68=1,CV$1=Units!$Q68),1,Inputs!$B$15)*Inputs!$B$16*(1+Inputs!$B$11)^(CV$2-1),0)</f>
        <v>0</v>
      </c>
      <c r="CW69" s="11" t="n">
        <f aca="false">IF(AND(CW$1&gt;=Units!$Q68,MOD(CW$1-Units!$Q68,12)=0),IF(AND(Units!$L68=1,CW$1=Units!$Q68),1,Inputs!$B$15)*Inputs!$B$16*(1+Inputs!$B$11)^(CW$2-1),0)</f>
        <v>0</v>
      </c>
      <c r="CX69" s="11" t="n">
        <f aca="false">IF(AND(CX$1&gt;=Units!$Q68,MOD(CX$1-Units!$Q68,12)=0),IF(AND(Units!$L68=1,CX$1=Units!$Q68),1,Inputs!$B$15)*Inputs!$B$16*(1+Inputs!$B$11)^(CX$2-1),0)</f>
        <v>0</v>
      </c>
      <c r="CY69" s="11" t="n">
        <f aca="false">IF(AND(CY$1&gt;=Units!$Q68,MOD(CY$1-Units!$Q68,12)=0),IF(AND(Units!$L68=1,CY$1=Units!$Q68),1,Inputs!$B$15)*Inputs!$B$16*(1+Inputs!$B$11)^(CY$2-1),0)</f>
        <v>0</v>
      </c>
      <c r="CZ69" s="11" t="n">
        <f aca="false">IF(AND(CZ$1&gt;=Units!$Q68,MOD(CZ$1-Units!$Q68,12)=0),IF(AND(Units!$L68=1,CZ$1=Units!$Q68),1,Inputs!$B$15)*Inputs!$B$16*(1+Inputs!$B$11)^(CZ$2-1),0)</f>
        <v>0</v>
      </c>
      <c r="DA69" s="11" t="n">
        <f aca="false">IF(AND(DA$1&gt;=Units!$Q68,MOD(DA$1-Units!$Q68,12)=0),IF(AND(Units!$L68=1,DA$1=Units!$Q68),1,Inputs!$B$15)*Inputs!$B$16*(1+Inputs!$B$11)^(DA$2-1),0)</f>
        <v>0</v>
      </c>
      <c r="DB69" s="11" t="n">
        <f aca="false">IF(AND(DB$1&gt;=Units!$Q68,MOD(DB$1-Units!$Q68,12)=0),IF(AND(Units!$L68=1,DB$1=Units!$Q68),1,Inputs!$B$15)*Inputs!$B$16*(1+Inputs!$B$11)^(DB$2-1),0)</f>
        <v>0</v>
      </c>
      <c r="DC69" s="11" t="n">
        <f aca="false">IF(AND(DC$1&gt;=Units!$Q68,MOD(DC$1-Units!$Q68,12)=0),IF(AND(Units!$L68=1,DC$1=Units!$Q68),1,Inputs!$B$15)*Inputs!$B$16*(1+Inputs!$B$11)^(DC$2-1),0)</f>
        <v>0</v>
      </c>
      <c r="DD69" s="11" t="n">
        <f aca="false">IF(AND(DD$1&gt;=Units!$Q68,MOD(DD$1-Units!$Q68,12)=0),IF(AND(Units!$L68=1,DD$1=Units!$Q68),1,Inputs!$B$15)*Inputs!$B$16*(1+Inputs!$B$11)^(DD$2-1),0)</f>
        <v>0</v>
      </c>
      <c r="DE69" s="11" t="n">
        <f aca="false">IF(AND(DE$1&gt;=Units!$Q68,MOD(DE$1-Units!$Q68,12)=0),IF(AND(Units!$L68=1,DE$1=Units!$Q68),1,Inputs!$B$15)*Inputs!$B$16*(1+Inputs!$B$11)^(DE$2-1),0)</f>
        <v>0</v>
      </c>
      <c r="DF69" s="11" t="n">
        <f aca="false">IF(AND(DF$1&gt;=Units!$Q68,MOD(DF$1-Units!$Q68,12)=0),IF(AND(Units!$L68=1,DF$1=Units!$Q68),1,Inputs!$B$15)*Inputs!$B$16*(1+Inputs!$B$11)^(DF$2-1),0)</f>
        <v>0</v>
      </c>
      <c r="DG69" s="11" t="n">
        <f aca="false">IF(AND(DG$1&gt;=Units!$Q68,MOD(DG$1-Units!$Q68,12)=0),IF(AND(Units!$L68=1,DG$1=Units!$Q68),1,Inputs!$B$15)*Inputs!$B$16*(1+Inputs!$B$11)^(DG$2-1),0)</f>
        <v>652.386591914623</v>
      </c>
      <c r="DH69" s="11" t="n">
        <f aca="false">IF(AND(DH$1&gt;=Units!$Q68,MOD(DH$1-Units!$Q68,12)=0),IF(AND(Units!$L68=1,DH$1=Units!$Q68),1,Inputs!$B$15)*Inputs!$B$16*(1+Inputs!$B$11)^(DH$2-1),0)</f>
        <v>0</v>
      </c>
      <c r="DI69" s="11" t="n">
        <f aca="false">IF(AND(DI$1&gt;=Units!$Q68,MOD(DI$1-Units!$Q68,12)=0),IF(AND(Units!$L68=1,DI$1=Units!$Q68),1,Inputs!$B$15)*Inputs!$B$16*(1+Inputs!$B$11)^(DI$2-1),0)</f>
        <v>0</v>
      </c>
      <c r="DJ69" s="11" t="n">
        <f aca="false">IF(AND(DJ$1&gt;=Units!$Q68,MOD(DJ$1-Units!$Q68,12)=0),IF(AND(Units!$L68=1,DJ$1=Units!$Q68),1,Inputs!$B$15)*Inputs!$B$16*(1+Inputs!$B$11)^(DJ$2-1),0)</f>
        <v>0</v>
      </c>
      <c r="DK69" s="11" t="n">
        <f aca="false">IF(AND(DK$1&gt;=Units!$Q68,MOD(DK$1-Units!$Q68,12)=0),IF(AND(Units!$L68=1,DK$1=Units!$Q68),1,Inputs!$B$15)*Inputs!$B$16*(1+Inputs!$B$11)^(DK$2-1),0)</f>
        <v>0</v>
      </c>
      <c r="DL69" s="11" t="n">
        <f aca="false">IF(AND(DL$1&gt;=Units!$Q68,MOD(DL$1-Units!$Q68,12)=0),IF(AND(Units!$L68=1,DL$1=Units!$Q68),1,Inputs!$B$15)*Inputs!$B$16*(1+Inputs!$B$11)^(DL$2-1),0)</f>
        <v>0</v>
      </c>
      <c r="DM69" s="11" t="n">
        <f aca="false">IF(AND(DM$1&gt;=Units!$Q68,MOD(DM$1-Units!$Q68,12)=0),IF(AND(Units!$L68=1,DM$1=Units!$Q68),1,Inputs!$B$15)*Inputs!$B$16*(1+Inputs!$B$11)^(DM$2-1),0)</f>
        <v>0</v>
      </c>
      <c r="DN69" s="11" t="n">
        <f aca="false">IF(AND(DN$1&gt;=Units!$Q68,MOD(DN$1-Units!$Q68,12)=0),IF(AND(Units!$L68=1,DN$1=Units!$Q68),1,Inputs!$B$15)*Inputs!$B$16*(1+Inputs!$B$11)^(DN$2-1),0)</f>
        <v>0</v>
      </c>
      <c r="DO69" s="11" t="n">
        <f aca="false">IF(AND(DO$1&gt;=Units!$Q68,MOD(DO$1-Units!$Q68,12)=0),IF(AND(Units!$L68=1,DO$1=Units!$Q68),1,Inputs!$B$15)*Inputs!$B$16*(1+Inputs!$B$11)^(DO$2-1),0)</f>
        <v>0</v>
      </c>
      <c r="DP69" s="11" t="n">
        <f aca="false">IF(AND(DP$1&gt;=Units!$Q68,MOD(DP$1-Units!$Q68,12)=0),IF(AND(Units!$L68=1,DP$1=Units!$Q68),1,Inputs!$B$15)*Inputs!$B$16*(1+Inputs!$B$11)^(DP$2-1),0)</f>
        <v>0</v>
      </c>
      <c r="DQ69" s="11" t="n">
        <f aca="false">IF(AND(DQ$1&gt;=Units!$Q68,MOD(DQ$1-Units!$Q68,12)=0),IF(AND(Units!$L68=1,DQ$1=Units!$Q68),1,Inputs!$B$15)*Inputs!$B$16*(1+Inputs!$B$11)^(DQ$2-1),0)</f>
        <v>0</v>
      </c>
      <c r="DR69" s="11" t="n">
        <f aca="false">IF(AND(DR$1&gt;=Units!$Q68,MOD(DR$1-Units!$Q68,12)=0),IF(AND(Units!$L68=1,DR$1=Units!$Q68),1,Inputs!$B$15)*Inputs!$B$16*(1+Inputs!$B$11)^(DR$2-1),0)</f>
        <v>0</v>
      </c>
      <c r="DS69" s="11" t="n">
        <f aca="false">IF(AND(DS$1&gt;=Units!$Q68,MOD(DS$1-Units!$Q68,12)=0),IF(AND(Units!$L68=1,DS$1=Units!$Q68),1,Inputs!$B$15)*Inputs!$B$16*(1+Inputs!$B$11)^(DS$2-1),0)</f>
        <v>671.958189672061</v>
      </c>
      <c r="DT69" s="11" t="n">
        <f aca="false">IF(AND(DT$1&gt;=Units!$Q68,MOD(DT$1-Units!$Q68,12)=0),IF(AND(Units!$L68=1,DT$1=Units!$Q68),1,Inputs!$B$15)*Inputs!$B$16*(1+Inputs!$B$11)^(DT$2-1),0)</f>
        <v>0</v>
      </c>
      <c r="DU69" s="11" t="n">
        <f aca="false">IF(AND(DU$1&gt;=Units!$Q68,MOD(DU$1-Units!$Q68,12)=0),IF(AND(Units!$L68=1,DU$1=Units!$Q68),1,Inputs!$B$15)*Inputs!$B$16*(1+Inputs!$B$11)^(DU$2-1),0)</f>
        <v>0</v>
      </c>
      <c r="DV69" s="11" t="n">
        <f aca="false">IF(AND(DV$1&gt;=Units!$Q68,MOD(DV$1-Units!$Q68,12)=0),IF(AND(Units!$L68=1,DV$1=Units!$Q68),1,Inputs!$B$15)*Inputs!$B$16*(1+Inputs!$B$11)^(DV$2-1),0)</f>
        <v>0</v>
      </c>
      <c r="DW69" s="11" t="n">
        <f aca="false">IF(AND(DW$1&gt;=Units!$Q68,MOD(DW$1-Units!$Q68,12)=0),IF(AND(Units!$L68=1,DW$1=Units!$Q68),1,Inputs!$B$15)*Inputs!$B$16*(1+Inputs!$B$11)^(DW$2-1),0)</f>
        <v>0</v>
      </c>
      <c r="DX69" s="11" t="n">
        <f aca="false">IF(AND(DX$1&gt;=Units!$Q68,MOD(DX$1-Units!$Q68,12)=0),IF(AND(Units!$L68=1,DX$1=Units!$Q68),1,Inputs!$B$15)*Inputs!$B$16*(1+Inputs!$B$11)^(DX$2-1),0)</f>
        <v>0</v>
      </c>
      <c r="DY69" s="11" t="n">
        <f aca="false">IF(AND(DY$1&gt;=Units!$Q68,MOD(DY$1-Units!$Q68,12)=0),IF(AND(Units!$L68=1,DY$1=Units!$Q68),1,Inputs!$B$15)*Inputs!$B$16*(1+Inputs!$B$11)^(DY$2-1),0)</f>
        <v>0</v>
      </c>
      <c r="DZ69" s="11" t="n">
        <f aca="false">IF(AND(DZ$1&gt;=Units!$Q68,MOD(DZ$1-Units!$Q68,12)=0),IF(AND(Units!$L68=1,DZ$1=Units!$Q68),1,Inputs!$B$15)*Inputs!$B$16*(1+Inputs!$B$11)^(DZ$2-1),0)</f>
        <v>0</v>
      </c>
      <c r="EA69" s="11" t="n">
        <f aca="false">IF(AND(EA$1&gt;=Units!$Q68,MOD(EA$1-Units!$Q68,12)=0),IF(AND(Units!$L68=1,EA$1=Units!$Q68),1,Inputs!$B$15)*Inputs!$B$16*(1+Inputs!$B$11)^(EA$2-1),0)</f>
        <v>0</v>
      </c>
      <c r="EB69" s="11" t="n">
        <f aca="false">IF(AND(EB$1&gt;=Units!$Q68,MOD(EB$1-Units!$Q68,12)=0),IF(AND(Units!$L68=1,EB$1=Units!$Q68),1,Inputs!$B$15)*Inputs!$B$16*(1+Inputs!$B$11)^(EB$2-1),0)</f>
        <v>0</v>
      </c>
      <c r="EC69" s="11" t="n">
        <f aca="false">IF(AND(EC$1&gt;=Units!$Q68,MOD(EC$1-Units!$Q68,12)=0),IF(AND(Units!$L68=1,EC$1=Units!$Q68),1,Inputs!$B$15)*Inputs!$B$16*(1+Inputs!$B$11)^(EC$2-1),0)</f>
        <v>0</v>
      </c>
      <c r="ED69" s="11" t="n">
        <f aca="false">IF(AND(ED$1&gt;=Units!$Q68,MOD(ED$1-Units!$Q68,12)=0),IF(AND(Units!$L68=1,ED$1=Units!$Q68),1,Inputs!$B$15)*Inputs!$B$16*(1+Inputs!$B$11)^(ED$2-1),0)</f>
        <v>0</v>
      </c>
    </row>
    <row r="70" customFormat="false" ht="15" hidden="false" customHeight="false" outlineLevel="0" collapsed="false">
      <c r="A70" s="22" t="n">
        <f aca="false">Units!A69</f>
        <v>308</v>
      </c>
      <c r="B70" s="23"/>
      <c r="C70" s="11" t="n">
        <f aca="false">IF(AND(C$1&gt;=Units!$Q69,MOD(C$1-Units!$Q69,12)=0),IF(AND(Units!$L69=1,C$1=Units!$Q69),1,Inputs!$B$15)*Inputs!$B$16*(1+Inputs!$B$11)^(C$2-1),0)</f>
        <v>500</v>
      </c>
      <c r="D70" s="11" t="n">
        <f aca="false">IF(AND(D$1&gt;=Units!$Q69,MOD(D$1-Units!$Q69,12)=0),IF(AND(Units!$L69=1,D$1=Units!$Q69),1,Inputs!$B$15)*Inputs!$B$16*(1+Inputs!$B$11)^(D$2-1),0)</f>
        <v>0</v>
      </c>
      <c r="E70" s="11" t="n">
        <f aca="false">IF(AND(E$1&gt;=Units!$Q69,MOD(E$1-Units!$Q69,12)=0),IF(AND(Units!$L69=1,E$1=Units!$Q69),1,Inputs!$B$15)*Inputs!$B$16*(1+Inputs!$B$11)^(E$2-1),0)</f>
        <v>0</v>
      </c>
      <c r="F70" s="11" t="n">
        <f aca="false">IF(AND(F$1&gt;=Units!$Q69,MOD(F$1-Units!$Q69,12)=0),IF(AND(Units!$L69=1,F$1=Units!$Q69),1,Inputs!$B$15)*Inputs!$B$16*(1+Inputs!$B$11)^(F$2-1),0)</f>
        <v>0</v>
      </c>
      <c r="G70" s="11" t="n">
        <f aca="false">IF(AND(G$1&gt;=Units!$Q69,MOD(G$1-Units!$Q69,12)=0),IF(AND(Units!$L69=1,G$1=Units!$Q69),1,Inputs!$B$15)*Inputs!$B$16*(1+Inputs!$B$11)^(G$2-1),0)</f>
        <v>0</v>
      </c>
      <c r="H70" s="11" t="n">
        <f aca="false">IF(AND(H$1&gt;=Units!$Q69,MOD(H$1-Units!$Q69,12)=0),IF(AND(Units!$L69=1,H$1=Units!$Q69),1,Inputs!$B$15)*Inputs!$B$16*(1+Inputs!$B$11)^(H$2-1),0)</f>
        <v>0</v>
      </c>
      <c r="I70" s="11" t="n">
        <f aca="false">IF(AND(I$1&gt;=Units!$Q69,MOD(I$1-Units!$Q69,12)=0),IF(AND(Units!$L69=1,I$1=Units!$Q69),1,Inputs!$B$15)*Inputs!$B$16*(1+Inputs!$B$11)^(I$2-1),0)</f>
        <v>0</v>
      </c>
      <c r="J70" s="11" t="n">
        <f aca="false">IF(AND(J$1&gt;=Units!$Q69,MOD(J$1-Units!$Q69,12)=0),IF(AND(Units!$L69=1,J$1=Units!$Q69),1,Inputs!$B$15)*Inputs!$B$16*(1+Inputs!$B$11)^(J$2-1),0)</f>
        <v>0</v>
      </c>
      <c r="K70" s="11" t="n">
        <f aca="false">IF(AND(K$1&gt;=Units!$Q69,MOD(K$1-Units!$Q69,12)=0),IF(AND(Units!$L69=1,K$1=Units!$Q69),1,Inputs!$B$15)*Inputs!$B$16*(1+Inputs!$B$11)^(K$2-1),0)</f>
        <v>0</v>
      </c>
      <c r="L70" s="11" t="n">
        <f aca="false">IF(AND(L$1&gt;=Units!$Q69,MOD(L$1-Units!$Q69,12)=0),IF(AND(Units!$L69=1,L$1=Units!$Q69),1,Inputs!$B$15)*Inputs!$B$16*(1+Inputs!$B$11)^(L$2-1),0)</f>
        <v>0</v>
      </c>
      <c r="M70" s="11" t="n">
        <f aca="false">IF(AND(M$1&gt;=Units!$Q69,MOD(M$1-Units!$Q69,12)=0),IF(AND(Units!$L69=1,M$1=Units!$Q69),1,Inputs!$B$15)*Inputs!$B$16*(1+Inputs!$B$11)^(M$2-1),0)</f>
        <v>0</v>
      </c>
      <c r="N70" s="11" t="n">
        <f aca="false">IF(AND(N$1&gt;=Units!$Q69,MOD(N$1-Units!$Q69,12)=0),IF(AND(Units!$L69=1,N$1=Units!$Q69),1,Inputs!$B$15)*Inputs!$B$16*(1+Inputs!$B$11)^(N$2-1),0)</f>
        <v>0</v>
      </c>
      <c r="O70" s="11" t="n">
        <f aca="false">IF(AND(O$1&gt;=Units!$Q69,MOD(O$1-Units!$Q69,12)=0),IF(AND(Units!$L69=1,O$1=Units!$Q69),1,Inputs!$B$15)*Inputs!$B$16*(1+Inputs!$B$11)^(O$2-1),0)</f>
        <v>515</v>
      </c>
      <c r="P70" s="11" t="n">
        <f aca="false">IF(AND(P$1&gt;=Units!$Q69,MOD(P$1-Units!$Q69,12)=0),IF(AND(Units!$L69=1,P$1=Units!$Q69),1,Inputs!$B$15)*Inputs!$B$16*(1+Inputs!$B$11)^(P$2-1),0)</f>
        <v>0</v>
      </c>
      <c r="Q70" s="11" t="n">
        <f aca="false">IF(AND(Q$1&gt;=Units!$Q69,MOD(Q$1-Units!$Q69,12)=0),IF(AND(Units!$L69=1,Q$1=Units!$Q69),1,Inputs!$B$15)*Inputs!$B$16*(1+Inputs!$B$11)^(Q$2-1),0)</f>
        <v>0</v>
      </c>
      <c r="R70" s="11" t="n">
        <f aca="false">IF(AND(R$1&gt;=Units!$Q69,MOD(R$1-Units!$Q69,12)=0),IF(AND(Units!$L69=1,R$1=Units!$Q69),1,Inputs!$B$15)*Inputs!$B$16*(1+Inputs!$B$11)^(R$2-1),0)</f>
        <v>0</v>
      </c>
      <c r="S70" s="11" t="n">
        <f aca="false">IF(AND(S$1&gt;=Units!$Q69,MOD(S$1-Units!$Q69,12)=0),IF(AND(Units!$L69=1,S$1=Units!$Q69),1,Inputs!$B$15)*Inputs!$B$16*(1+Inputs!$B$11)^(S$2-1),0)</f>
        <v>0</v>
      </c>
      <c r="T70" s="11" t="n">
        <f aca="false">IF(AND(T$1&gt;=Units!$Q69,MOD(T$1-Units!$Q69,12)=0),IF(AND(Units!$L69=1,T$1=Units!$Q69),1,Inputs!$B$15)*Inputs!$B$16*(1+Inputs!$B$11)^(T$2-1),0)</f>
        <v>0</v>
      </c>
      <c r="U70" s="11" t="n">
        <f aca="false">IF(AND(U$1&gt;=Units!$Q69,MOD(U$1-Units!$Q69,12)=0),IF(AND(Units!$L69=1,U$1=Units!$Q69),1,Inputs!$B$15)*Inputs!$B$16*(1+Inputs!$B$11)^(U$2-1),0)</f>
        <v>0</v>
      </c>
      <c r="V70" s="11" t="n">
        <f aca="false">IF(AND(V$1&gt;=Units!$Q69,MOD(V$1-Units!$Q69,12)=0),IF(AND(Units!$L69=1,V$1=Units!$Q69),1,Inputs!$B$15)*Inputs!$B$16*(1+Inputs!$B$11)^(V$2-1),0)</f>
        <v>0</v>
      </c>
      <c r="W70" s="11" t="n">
        <f aca="false">IF(AND(W$1&gt;=Units!$Q69,MOD(W$1-Units!$Q69,12)=0),IF(AND(Units!$L69=1,W$1=Units!$Q69),1,Inputs!$B$15)*Inputs!$B$16*(1+Inputs!$B$11)^(W$2-1),0)</f>
        <v>0</v>
      </c>
      <c r="X70" s="11" t="n">
        <f aca="false">IF(AND(X$1&gt;=Units!$Q69,MOD(X$1-Units!$Q69,12)=0),IF(AND(Units!$L69=1,X$1=Units!$Q69),1,Inputs!$B$15)*Inputs!$B$16*(1+Inputs!$B$11)^(X$2-1),0)</f>
        <v>0</v>
      </c>
      <c r="Y70" s="11" t="n">
        <f aca="false">IF(AND(Y$1&gt;=Units!$Q69,MOD(Y$1-Units!$Q69,12)=0),IF(AND(Units!$L69=1,Y$1=Units!$Q69),1,Inputs!$B$15)*Inputs!$B$16*(1+Inputs!$B$11)^(Y$2-1),0)</f>
        <v>0</v>
      </c>
      <c r="Z70" s="11" t="n">
        <f aca="false">IF(AND(Z$1&gt;=Units!$Q69,MOD(Z$1-Units!$Q69,12)=0),IF(AND(Units!$L69=1,Z$1=Units!$Q69),1,Inputs!$B$15)*Inputs!$B$16*(1+Inputs!$B$11)^(Z$2-1),0)</f>
        <v>0</v>
      </c>
      <c r="AA70" s="11" t="n">
        <f aca="false">IF(AND(AA$1&gt;=Units!$Q69,MOD(AA$1-Units!$Q69,12)=0),IF(AND(Units!$L69=1,AA$1=Units!$Q69),1,Inputs!$B$15)*Inputs!$B$16*(1+Inputs!$B$11)^(AA$2-1),0)</f>
        <v>530.45</v>
      </c>
      <c r="AB70" s="11" t="n">
        <f aca="false">IF(AND(AB$1&gt;=Units!$Q69,MOD(AB$1-Units!$Q69,12)=0),IF(AND(Units!$L69=1,AB$1=Units!$Q69),1,Inputs!$B$15)*Inputs!$B$16*(1+Inputs!$B$11)^(AB$2-1),0)</f>
        <v>0</v>
      </c>
      <c r="AC70" s="11" t="n">
        <f aca="false">IF(AND(AC$1&gt;=Units!$Q69,MOD(AC$1-Units!$Q69,12)=0),IF(AND(Units!$L69=1,AC$1=Units!$Q69),1,Inputs!$B$15)*Inputs!$B$16*(1+Inputs!$B$11)^(AC$2-1),0)</f>
        <v>0</v>
      </c>
      <c r="AD70" s="11" t="n">
        <f aca="false">IF(AND(AD$1&gt;=Units!$Q69,MOD(AD$1-Units!$Q69,12)=0),IF(AND(Units!$L69=1,AD$1=Units!$Q69),1,Inputs!$B$15)*Inputs!$B$16*(1+Inputs!$B$11)^(AD$2-1),0)</f>
        <v>0</v>
      </c>
      <c r="AE70" s="11" t="n">
        <f aca="false">IF(AND(AE$1&gt;=Units!$Q69,MOD(AE$1-Units!$Q69,12)=0),IF(AND(Units!$L69=1,AE$1=Units!$Q69),1,Inputs!$B$15)*Inputs!$B$16*(1+Inputs!$B$11)^(AE$2-1),0)</f>
        <v>0</v>
      </c>
      <c r="AF70" s="11" t="n">
        <f aca="false">IF(AND(AF$1&gt;=Units!$Q69,MOD(AF$1-Units!$Q69,12)=0),IF(AND(Units!$L69=1,AF$1=Units!$Q69),1,Inputs!$B$15)*Inputs!$B$16*(1+Inputs!$B$11)^(AF$2-1),0)</f>
        <v>0</v>
      </c>
      <c r="AG70" s="11" t="n">
        <f aca="false">IF(AND(AG$1&gt;=Units!$Q69,MOD(AG$1-Units!$Q69,12)=0),IF(AND(Units!$L69=1,AG$1=Units!$Q69),1,Inputs!$B$15)*Inputs!$B$16*(1+Inputs!$B$11)^(AG$2-1),0)</f>
        <v>0</v>
      </c>
      <c r="AH70" s="11" t="n">
        <f aca="false">IF(AND(AH$1&gt;=Units!$Q69,MOD(AH$1-Units!$Q69,12)=0),IF(AND(Units!$L69=1,AH$1=Units!$Q69),1,Inputs!$B$15)*Inputs!$B$16*(1+Inputs!$B$11)^(AH$2-1),0)</f>
        <v>0</v>
      </c>
      <c r="AI70" s="11" t="n">
        <f aca="false">IF(AND(AI$1&gt;=Units!$Q69,MOD(AI$1-Units!$Q69,12)=0),IF(AND(Units!$L69=1,AI$1=Units!$Q69),1,Inputs!$B$15)*Inputs!$B$16*(1+Inputs!$B$11)^(AI$2-1),0)</f>
        <v>0</v>
      </c>
      <c r="AJ70" s="11" t="n">
        <f aca="false">IF(AND(AJ$1&gt;=Units!$Q69,MOD(AJ$1-Units!$Q69,12)=0),IF(AND(Units!$L69=1,AJ$1=Units!$Q69),1,Inputs!$B$15)*Inputs!$B$16*(1+Inputs!$B$11)^(AJ$2-1),0)</f>
        <v>0</v>
      </c>
      <c r="AK70" s="11" t="n">
        <f aca="false">IF(AND(AK$1&gt;=Units!$Q69,MOD(AK$1-Units!$Q69,12)=0),IF(AND(Units!$L69=1,AK$1=Units!$Q69),1,Inputs!$B$15)*Inputs!$B$16*(1+Inputs!$B$11)^(AK$2-1),0)</f>
        <v>0</v>
      </c>
      <c r="AL70" s="11" t="n">
        <f aca="false">IF(AND(AL$1&gt;=Units!$Q69,MOD(AL$1-Units!$Q69,12)=0),IF(AND(Units!$L69=1,AL$1=Units!$Q69),1,Inputs!$B$15)*Inputs!$B$16*(1+Inputs!$B$11)^(AL$2-1),0)</f>
        <v>0</v>
      </c>
      <c r="AM70" s="11" t="n">
        <f aca="false">IF(AND(AM$1&gt;=Units!$Q69,MOD(AM$1-Units!$Q69,12)=0),IF(AND(Units!$L69=1,AM$1=Units!$Q69),1,Inputs!$B$15)*Inputs!$B$16*(1+Inputs!$B$11)^(AM$2-1),0)</f>
        <v>546.3635</v>
      </c>
      <c r="AN70" s="11" t="n">
        <f aca="false">IF(AND(AN$1&gt;=Units!$Q69,MOD(AN$1-Units!$Q69,12)=0),IF(AND(Units!$L69=1,AN$1=Units!$Q69),1,Inputs!$B$15)*Inputs!$B$16*(1+Inputs!$B$11)^(AN$2-1),0)</f>
        <v>0</v>
      </c>
      <c r="AO70" s="11" t="n">
        <f aca="false">IF(AND(AO$1&gt;=Units!$Q69,MOD(AO$1-Units!$Q69,12)=0),IF(AND(Units!$L69=1,AO$1=Units!$Q69),1,Inputs!$B$15)*Inputs!$B$16*(1+Inputs!$B$11)^(AO$2-1),0)</f>
        <v>0</v>
      </c>
      <c r="AP70" s="11" t="n">
        <f aca="false">IF(AND(AP$1&gt;=Units!$Q69,MOD(AP$1-Units!$Q69,12)=0),IF(AND(Units!$L69=1,AP$1=Units!$Q69),1,Inputs!$B$15)*Inputs!$B$16*(1+Inputs!$B$11)^(AP$2-1),0)</f>
        <v>0</v>
      </c>
      <c r="AQ70" s="11" t="n">
        <f aca="false">IF(AND(AQ$1&gt;=Units!$Q69,MOD(AQ$1-Units!$Q69,12)=0),IF(AND(Units!$L69=1,AQ$1=Units!$Q69),1,Inputs!$B$15)*Inputs!$B$16*(1+Inputs!$B$11)^(AQ$2-1),0)</f>
        <v>0</v>
      </c>
      <c r="AR70" s="11" t="n">
        <f aca="false">IF(AND(AR$1&gt;=Units!$Q69,MOD(AR$1-Units!$Q69,12)=0),IF(AND(Units!$L69=1,AR$1=Units!$Q69),1,Inputs!$B$15)*Inputs!$B$16*(1+Inputs!$B$11)^(AR$2-1),0)</f>
        <v>0</v>
      </c>
      <c r="AS70" s="11" t="n">
        <f aca="false">IF(AND(AS$1&gt;=Units!$Q69,MOD(AS$1-Units!$Q69,12)=0),IF(AND(Units!$L69=1,AS$1=Units!$Q69),1,Inputs!$B$15)*Inputs!$B$16*(1+Inputs!$B$11)^(AS$2-1),0)</f>
        <v>0</v>
      </c>
      <c r="AT70" s="11" t="n">
        <f aca="false">IF(AND(AT$1&gt;=Units!$Q69,MOD(AT$1-Units!$Q69,12)=0),IF(AND(Units!$L69=1,AT$1=Units!$Q69),1,Inputs!$B$15)*Inputs!$B$16*(1+Inputs!$B$11)^(AT$2-1),0)</f>
        <v>0</v>
      </c>
      <c r="AU70" s="11" t="n">
        <f aca="false">IF(AND(AU$1&gt;=Units!$Q69,MOD(AU$1-Units!$Q69,12)=0),IF(AND(Units!$L69=1,AU$1=Units!$Q69),1,Inputs!$B$15)*Inputs!$B$16*(1+Inputs!$B$11)^(AU$2-1),0)</f>
        <v>0</v>
      </c>
      <c r="AV70" s="11" t="n">
        <f aca="false">IF(AND(AV$1&gt;=Units!$Q69,MOD(AV$1-Units!$Q69,12)=0),IF(AND(Units!$L69=1,AV$1=Units!$Q69),1,Inputs!$B$15)*Inputs!$B$16*(1+Inputs!$B$11)^(AV$2-1),0)</f>
        <v>0</v>
      </c>
      <c r="AW70" s="11" t="n">
        <f aca="false">IF(AND(AW$1&gt;=Units!$Q69,MOD(AW$1-Units!$Q69,12)=0),IF(AND(Units!$L69=1,AW$1=Units!$Q69),1,Inputs!$B$15)*Inputs!$B$16*(1+Inputs!$B$11)^(AW$2-1),0)</f>
        <v>0</v>
      </c>
      <c r="AX70" s="11" t="n">
        <f aca="false">IF(AND(AX$1&gt;=Units!$Q69,MOD(AX$1-Units!$Q69,12)=0),IF(AND(Units!$L69=1,AX$1=Units!$Q69),1,Inputs!$B$15)*Inputs!$B$16*(1+Inputs!$B$11)^(AX$2-1),0)</f>
        <v>0</v>
      </c>
      <c r="AY70" s="11" t="n">
        <f aca="false">IF(AND(AY$1&gt;=Units!$Q69,MOD(AY$1-Units!$Q69,12)=0),IF(AND(Units!$L69=1,AY$1=Units!$Q69),1,Inputs!$B$15)*Inputs!$B$16*(1+Inputs!$B$11)^(AY$2-1),0)</f>
        <v>562.754405</v>
      </c>
      <c r="AZ70" s="11" t="n">
        <f aca="false">IF(AND(AZ$1&gt;=Units!$Q69,MOD(AZ$1-Units!$Q69,12)=0),IF(AND(Units!$L69=1,AZ$1=Units!$Q69),1,Inputs!$B$15)*Inputs!$B$16*(1+Inputs!$B$11)^(AZ$2-1),0)</f>
        <v>0</v>
      </c>
      <c r="BA70" s="11" t="n">
        <f aca="false">IF(AND(BA$1&gt;=Units!$Q69,MOD(BA$1-Units!$Q69,12)=0),IF(AND(Units!$L69=1,BA$1=Units!$Q69),1,Inputs!$B$15)*Inputs!$B$16*(1+Inputs!$B$11)^(BA$2-1),0)</f>
        <v>0</v>
      </c>
      <c r="BB70" s="11" t="n">
        <f aca="false">IF(AND(BB$1&gt;=Units!$Q69,MOD(BB$1-Units!$Q69,12)=0),IF(AND(Units!$L69=1,BB$1=Units!$Q69),1,Inputs!$B$15)*Inputs!$B$16*(1+Inputs!$B$11)^(BB$2-1),0)</f>
        <v>0</v>
      </c>
      <c r="BC70" s="11" t="n">
        <f aca="false">IF(AND(BC$1&gt;=Units!$Q69,MOD(BC$1-Units!$Q69,12)=0),IF(AND(Units!$L69=1,BC$1=Units!$Q69),1,Inputs!$B$15)*Inputs!$B$16*(1+Inputs!$B$11)^(BC$2-1),0)</f>
        <v>0</v>
      </c>
      <c r="BD70" s="11" t="n">
        <f aca="false">IF(AND(BD$1&gt;=Units!$Q69,MOD(BD$1-Units!$Q69,12)=0),IF(AND(Units!$L69=1,BD$1=Units!$Q69),1,Inputs!$B$15)*Inputs!$B$16*(1+Inputs!$B$11)^(BD$2-1),0)</f>
        <v>0</v>
      </c>
      <c r="BE70" s="11" t="n">
        <f aca="false">IF(AND(BE$1&gt;=Units!$Q69,MOD(BE$1-Units!$Q69,12)=0),IF(AND(Units!$L69=1,BE$1=Units!$Q69),1,Inputs!$B$15)*Inputs!$B$16*(1+Inputs!$B$11)^(BE$2-1),0)</f>
        <v>0</v>
      </c>
      <c r="BF70" s="11" t="n">
        <f aca="false">IF(AND(BF$1&gt;=Units!$Q69,MOD(BF$1-Units!$Q69,12)=0),IF(AND(Units!$L69=1,BF$1=Units!$Q69),1,Inputs!$B$15)*Inputs!$B$16*(1+Inputs!$B$11)^(BF$2-1),0)</f>
        <v>0</v>
      </c>
      <c r="BG70" s="11" t="n">
        <f aca="false">IF(AND(BG$1&gt;=Units!$Q69,MOD(BG$1-Units!$Q69,12)=0),IF(AND(Units!$L69=1,BG$1=Units!$Q69),1,Inputs!$B$15)*Inputs!$B$16*(1+Inputs!$B$11)^(BG$2-1),0)</f>
        <v>0</v>
      </c>
      <c r="BH70" s="11" t="n">
        <f aca="false">IF(AND(BH$1&gt;=Units!$Q69,MOD(BH$1-Units!$Q69,12)=0),IF(AND(Units!$L69=1,BH$1=Units!$Q69),1,Inputs!$B$15)*Inputs!$B$16*(1+Inputs!$B$11)^(BH$2-1),0)</f>
        <v>0</v>
      </c>
      <c r="BI70" s="11" t="n">
        <f aca="false">IF(AND(BI$1&gt;=Units!$Q69,MOD(BI$1-Units!$Q69,12)=0),IF(AND(Units!$L69=1,BI$1=Units!$Q69),1,Inputs!$B$15)*Inputs!$B$16*(1+Inputs!$B$11)^(BI$2-1),0)</f>
        <v>0</v>
      </c>
      <c r="BJ70" s="11" t="n">
        <f aca="false">IF(AND(BJ$1&gt;=Units!$Q69,MOD(BJ$1-Units!$Q69,12)=0),IF(AND(Units!$L69=1,BJ$1=Units!$Q69),1,Inputs!$B$15)*Inputs!$B$16*(1+Inputs!$B$11)^(BJ$2-1),0)</f>
        <v>0</v>
      </c>
      <c r="BK70" s="11" t="n">
        <f aca="false">IF(AND(BK$1&gt;=Units!$Q69,MOD(BK$1-Units!$Q69,12)=0),IF(AND(Units!$L69=1,BK$1=Units!$Q69),1,Inputs!$B$15)*Inputs!$B$16*(1+Inputs!$B$11)^(BK$2-1),0)</f>
        <v>579.63703715</v>
      </c>
      <c r="BL70" s="11" t="n">
        <f aca="false">IF(AND(BL$1&gt;=Units!$Q69,MOD(BL$1-Units!$Q69,12)=0),IF(AND(Units!$L69=1,BL$1=Units!$Q69),1,Inputs!$B$15)*Inputs!$B$16*(1+Inputs!$B$11)^(BL$2-1),0)</f>
        <v>0</v>
      </c>
      <c r="BM70" s="11" t="n">
        <f aca="false">IF(AND(BM$1&gt;=Units!$Q69,MOD(BM$1-Units!$Q69,12)=0),IF(AND(Units!$L69=1,BM$1=Units!$Q69),1,Inputs!$B$15)*Inputs!$B$16*(1+Inputs!$B$11)^(BM$2-1),0)</f>
        <v>0</v>
      </c>
      <c r="BN70" s="11" t="n">
        <f aca="false">IF(AND(BN$1&gt;=Units!$Q69,MOD(BN$1-Units!$Q69,12)=0),IF(AND(Units!$L69=1,BN$1=Units!$Q69),1,Inputs!$B$15)*Inputs!$B$16*(1+Inputs!$B$11)^(BN$2-1),0)</f>
        <v>0</v>
      </c>
      <c r="BO70" s="11" t="n">
        <f aca="false">IF(AND(BO$1&gt;=Units!$Q69,MOD(BO$1-Units!$Q69,12)=0),IF(AND(Units!$L69=1,BO$1=Units!$Q69),1,Inputs!$B$15)*Inputs!$B$16*(1+Inputs!$B$11)^(BO$2-1),0)</f>
        <v>0</v>
      </c>
      <c r="BP70" s="11" t="n">
        <f aca="false">IF(AND(BP$1&gt;=Units!$Q69,MOD(BP$1-Units!$Q69,12)=0),IF(AND(Units!$L69=1,BP$1=Units!$Q69),1,Inputs!$B$15)*Inputs!$B$16*(1+Inputs!$B$11)^(BP$2-1),0)</f>
        <v>0</v>
      </c>
      <c r="BQ70" s="11" t="n">
        <f aca="false">IF(AND(BQ$1&gt;=Units!$Q69,MOD(BQ$1-Units!$Q69,12)=0),IF(AND(Units!$L69=1,BQ$1=Units!$Q69),1,Inputs!$B$15)*Inputs!$B$16*(1+Inputs!$B$11)^(BQ$2-1),0)</f>
        <v>0</v>
      </c>
      <c r="BR70" s="11" t="n">
        <f aca="false">IF(AND(BR$1&gt;=Units!$Q69,MOD(BR$1-Units!$Q69,12)=0),IF(AND(Units!$L69=1,BR$1=Units!$Q69),1,Inputs!$B$15)*Inputs!$B$16*(1+Inputs!$B$11)^(BR$2-1),0)</f>
        <v>0</v>
      </c>
      <c r="BS70" s="11" t="n">
        <f aca="false">IF(AND(BS$1&gt;=Units!$Q69,MOD(BS$1-Units!$Q69,12)=0),IF(AND(Units!$L69=1,BS$1=Units!$Q69),1,Inputs!$B$15)*Inputs!$B$16*(1+Inputs!$B$11)^(BS$2-1),0)</f>
        <v>0</v>
      </c>
      <c r="BT70" s="11" t="n">
        <f aca="false">IF(AND(BT$1&gt;=Units!$Q69,MOD(BT$1-Units!$Q69,12)=0),IF(AND(Units!$L69=1,BT$1=Units!$Q69),1,Inputs!$B$15)*Inputs!$B$16*(1+Inputs!$B$11)^(BT$2-1),0)</f>
        <v>0</v>
      </c>
      <c r="BU70" s="11" t="n">
        <f aca="false">IF(AND(BU$1&gt;=Units!$Q69,MOD(BU$1-Units!$Q69,12)=0),IF(AND(Units!$L69=1,BU$1=Units!$Q69),1,Inputs!$B$15)*Inputs!$B$16*(1+Inputs!$B$11)^(BU$2-1),0)</f>
        <v>0</v>
      </c>
      <c r="BV70" s="11" t="n">
        <f aca="false">IF(AND(BV$1&gt;=Units!$Q69,MOD(BV$1-Units!$Q69,12)=0),IF(AND(Units!$L69=1,BV$1=Units!$Q69),1,Inputs!$B$15)*Inputs!$B$16*(1+Inputs!$B$11)^(BV$2-1),0)</f>
        <v>0</v>
      </c>
      <c r="BW70" s="11" t="n">
        <f aca="false">IF(AND(BW$1&gt;=Units!$Q69,MOD(BW$1-Units!$Q69,12)=0),IF(AND(Units!$L69=1,BW$1=Units!$Q69),1,Inputs!$B$15)*Inputs!$B$16*(1+Inputs!$B$11)^(BW$2-1),0)</f>
        <v>597.0261482645</v>
      </c>
      <c r="BX70" s="11" t="n">
        <f aca="false">IF(AND(BX$1&gt;=Units!$Q69,MOD(BX$1-Units!$Q69,12)=0),IF(AND(Units!$L69=1,BX$1=Units!$Q69),1,Inputs!$B$15)*Inputs!$B$16*(1+Inputs!$B$11)^(BX$2-1),0)</f>
        <v>0</v>
      </c>
      <c r="BY70" s="11" t="n">
        <f aca="false">IF(AND(BY$1&gt;=Units!$Q69,MOD(BY$1-Units!$Q69,12)=0),IF(AND(Units!$L69=1,BY$1=Units!$Q69),1,Inputs!$B$15)*Inputs!$B$16*(1+Inputs!$B$11)^(BY$2-1),0)</f>
        <v>0</v>
      </c>
      <c r="BZ70" s="11" t="n">
        <f aca="false">IF(AND(BZ$1&gt;=Units!$Q69,MOD(BZ$1-Units!$Q69,12)=0),IF(AND(Units!$L69=1,BZ$1=Units!$Q69),1,Inputs!$B$15)*Inputs!$B$16*(1+Inputs!$B$11)^(BZ$2-1),0)</f>
        <v>0</v>
      </c>
      <c r="CA70" s="11" t="n">
        <f aca="false">IF(AND(CA$1&gt;=Units!$Q69,MOD(CA$1-Units!$Q69,12)=0),IF(AND(Units!$L69=1,CA$1=Units!$Q69),1,Inputs!$B$15)*Inputs!$B$16*(1+Inputs!$B$11)^(CA$2-1),0)</f>
        <v>0</v>
      </c>
      <c r="CB70" s="11" t="n">
        <f aca="false">IF(AND(CB$1&gt;=Units!$Q69,MOD(CB$1-Units!$Q69,12)=0),IF(AND(Units!$L69=1,CB$1=Units!$Q69),1,Inputs!$B$15)*Inputs!$B$16*(1+Inputs!$B$11)^(CB$2-1),0)</f>
        <v>0</v>
      </c>
      <c r="CC70" s="11" t="n">
        <f aca="false">IF(AND(CC$1&gt;=Units!$Q69,MOD(CC$1-Units!$Q69,12)=0),IF(AND(Units!$L69=1,CC$1=Units!$Q69),1,Inputs!$B$15)*Inputs!$B$16*(1+Inputs!$B$11)^(CC$2-1),0)</f>
        <v>0</v>
      </c>
      <c r="CD70" s="11" t="n">
        <f aca="false">IF(AND(CD$1&gt;=Units!$Q69,MOD(CD$1-Units!$Q69,12)=0),IF(AND(Units!$L69=1,CD$1=Units!$Q69),1,Inputs!$B$15)*Inputs!$B$16*(1+Inputs!$B$11)^(CD$2-1),0)</f>
        <v>0</v>
      </c>
      <c r="CE70" s="11" t="n">
        <f aca="false">IF(AND(CE$1&gt;=Units!$Q69,MOD(CE$1-Units!$Q69,12)=0),IF(AND(Units!$L69=1,CE$1=Units!$Q69),1,Inputs!$B$15)*Inputs!$B$16*(1+Inputs!$B$11)^(CE$2-1),0)</f>
        <v>0</v>
      </c>
      <c r="CF70" s="11" t="n">
        <f aca="false">IF(AND(CF$1&gt;=Units!$Q69,MOD(CF$1-Units!$Q69,12)=0),IF(AND(Units!$L69=1,CF$1=Units!$Q69),1,Inputs!$B$15)*Inputs!$B$16*(1+Inputs!$B$11)^(CF$2-1),0)</f>
        <v>0</v>
      </c>
      <c r="CG70" s="11" t="n">
        <f aca="false">IF(AND(CG$1&gt;=Units!$Q69,MOD(CG$1-Units!$Q69,12)=0),IF(AND(Units!$L69=1,CG$1=Units!$Q69),1,Inputs!$B$15)*Inputs!$B$16*(1+Inputs!$B$11)^(CG$2-1),0)</f>
        <v>0</v>
      </c>
      <c r="CH70" s="11" t="n">
        <f aca="false">IF(AND(CH$1&gt;=Units!$Q69,MOD(CH$1-Units!$Q69,12)=0),IF(AND(Units!$L69=1,CH$1=Units!$Q69),1,Inputs!$B$15)*Inputs!$B$16*(1+Inputs!$B$11)^(CH$2-1),0)</f>
        <v>0</v>
      </c>
      <c r="CI70" s="11" t="n">
        <f aca="false">IF(AND(CI$1&gt;=Units!$Q69,MOD(CI$1-Units!$Q69,12)=0),IF(AND(Units!$L69=1,CI$1=Units!$Q69),1,Inputs!$B$15)*Inputs!$B$16*(1+Inputs!$B$11)^(CI$2-1),0)</f>
        <v>614.936932712435</v>
      </c>
      <c r="CJ70" s="11" t="n">
        <f aca="false">IF(AND(CJ$1&gt;=Units!$Q69,MOD(CJ$1-Units!$Q69,12)=0),IF(AND(Units!$L69=1,CJ$1=Units!$Q69),1,Inputs!$B$15)*Inputs!$B$16*(1+Inputs!$B$11)^(CJ$2-1),0)</f>
        <v>0</v>
      </c>
      <c r="CK70" s="11" t="n">
        <f aca="false">IF(AND(CK$1&gt;=Units!$Q69,MOD(CK$1-Units!$Q69,12)=0),IF(AND(Units!$L69=1,CK$1=Units!$Q69),1,Inputs!$B$15)*Inputs!$B$16*(1+Inputs!$B$11)^(CK$2-1),0)</f>
        <v>0</v>
      </c>
      <c r="CL70" s="11" t="n">
        <f aca="false">IF(AND(CL$1&gt;=Units!$Q69,MOD(CL$1-Units!$Q69,12)=0),IF(AND(Units!$L69=1,CL$1=Units!$Q69),1,Inputs!$B$15)*Inputs!$B$16*(1+Inputs!$B$11)^(CL$2-1),0)</f>
        <v>0</v>
      </c>
      <c r="CM70" s="11" t="n">
        <f aca="false">IF(AND(CM$1&gt;=Units!$Q69,MOD(CM$1-Units!$Q69,12)=0),IF(AND(Units!$L69=1,CM$1=Units!$Q69),1,Inputs!$B$15)*Inputs!$B$16*(1+Inputs!$B$11)^(CM$2-1),0)</f>
        <v>0</v>
      </c>
      <c r="CN70" s="11" t="n">
        <f aca="false">IF(AND(CN$1&gt;=Units!$Q69,MOD(CN$1-Units!$Q69,12)=0),IF(AND(Units!$L69=1,CN$1=Units!$Q69),1,Inputs!$B$15)*Inputs!$B$16*(1+Inputs!$B$11)^(CN$2-1),0)</f>
        <v>0</v>
      </c>
      <c r="CO70" s="11" t="n">
        <f aca="false">IF(AND(CO$1&gt;=Units!$Q69,MOD(CO$1-Units!$Q69,12)=0),IF(AND(Units!$L69=1,CO$1=Units!$Q69),1,Inputs!$B$15)*Inputs!$B$16*(1+Inputs!$B$11)^(CO$2-1),0)</f>
        <v>0</v>
      </c>
      <c r="CP70" s="11" t="n">
        <f aca="false">IF(AND(CP$1&gt;=Units!$Q69,MOD(CP$1-Units!$Q69,12)=0),IF(AND(Units!$L69=1,CP$1=Units!$Q69),1,Inputs!$B$15)*Inputs!$B$16*(1+Inputs!$B$11)^(CP$2-1),0)</f>
        <v>0</v>
      </c>
      <c r="CQ70" s="11" t="n">
        <f aca="false">IF(AND(CQ$1&gt;=Units!$Q69,MOD(CQ$1-Units!$Q69,12)=0),IF(AND(Units!$L69=1,CQ$1=Units!$Q69),1,Inputs!$B$15)*Inputs!$B$16*(1+Inputs!$B$11)^(CQ$2-1),0)</f>
        <v>0</v>
      </c>
      <c r="CR70" s="11" t="n">
        <f aca="false">IF(AND(CR$1&gt;=Units!$Q69,MOD(CR$1-Units!$Q69,12)=0),IF(AND(Units!$L69=1,CR$1=Units!$Q69),1,Inputs!$B$15)*Inputs!$B$16*(1+Inputs!$B$11)^(CR$2-1),0)</f>
        <v>0</v>
      </c>
      <c r="CS70" s="11" t="n">
        <f aca="false">IF(AND(CS$1&gt;=Units!$Q69,MOD(CS$1-Units!$Q69,12)=0),IF(AND(Units!$L69=1,CS$1=Units!$Q69),1,Inputs!$B$15)*Inputs!$B$16*(1+Inputs!$B$11)^(CS$2-1),0)</f>
        <v>0</v>
      </c>
      <c r="CT70" s="11" t="n">
        <f aca="false">IF(AND(CT$1&gt;=Units!$Q69,MOD(CT$1-Units!$Q69,12)=0),IF(AND(Units!$L69=1,CT$1=Units!$Q69),1,Inputs!$B$15)*Inputs!$B$16*(1+Inputs!$B$11)^(CT$2-1),0)</f>
        <v>0</v>
      </c>
      <c r="CU70" s="11" t="n">
        <f aca="false">IF(AND(CU$1&gt;=Units!$Q69,MOD(CU$1-Units!$Q69,12)=0),IF(AND(Units!$L69=1,CU$1=Units!$Q69),1,Inputs!$B$15)*Inputs!$B$16*(1+Inputs!$B$11)^(CU$2-1),0)</f>
        <v>633.385040693808</v>
      </c>
      <c r="CV70" s="11" t="n">
        <f aca="false">IF(AND(CV$1&gt;=Units!$Q69,MOD(CV$1-Units!$Q69,12)=0),IF(AND(Units!$L69=1,CV$1=Units!$Q69),1,Inputs!$B$15)*Inputs!$B$16*(1+Inputs!$B$11)^(CV$2-1),0)</f>
        <v>0</v>
      </c>
      <c r="CW70" s="11" t="n">
        <f aca="false">IF(AND(CW$1&gt;=Units!$Q69,MOD(CW$1-Units!$Q69,12)=0),IF(AND(Units!$L69=1,CW$1=Units!$Q69),1,Inputs!$B$15)*Inputs!$B$16*(1+Inputs!$B$11)^(CW$2-1),0)</f>
        <v>0</v>
      </c>
      <c r="CX70" s="11" t="n">
        <f aca="false">IF(AND(CX$1&gt;=Units!$Q69,MOD(CX$1-Units!$Q69,12)=0),IF(AND(Units!$L69=1,CX$1=Units!$Q69),1,Inputs!$B$15)*Inputs!$B$16*(1+Inputs!$B$11)^(CX$2-1),0)</f>
        <v>0</v>
      </c>
      <c r="CY70" s="11" t="n">
        <f aca="false">IF(AND(CY$1&gt;=Units!$Q69,MOD(CY$1-Units!$Q69,12)=0),IF(AND(Units!$L69=1,CY$1=Units!$Q69),1,Inputs!$B$15)*Inputs!$B$16*(1+Inputs!$B$11)^(CY$2-1),0)</f>
        <v>0</v>
      </c>
      <c r="CZ70" s="11" t="n">
        <f aca="false">IF(AND(CZ$1&gt;=Units!$Q69,MOD(CZ$1-Units!$Q69,12)=0),IF(AND(Units!$L69=1,CZ$1=Units!$Q69),1,Inputs!$B$15)*Inputs!$B$16*(1+Inputs!$B$11)^(CZ$2-1),0)</f>
        <v>0</v>
      </c>
      <c r="DA70" s="11" t="n">
        <f aca="false">IF(AND(DA$1&gt;=Units!$Q69,MOD(DA$1-Units!$Q69,12)=0),IF(AND(Units!$L69=1,DA$1=Units!$Q69),1,Inputs!$B$15)*Inputs!$B$16*(1+Inputs!$B$11)^(DA$2-1),0)</f>
        <v>0</v>
      </c>
      <c r="DB70" s="11" t="n">
        <f aca="false">IF(AND(DB$1&gt;=Units!$Q69,MOD(DB$1-Units!$Q69,12)=0),IF(AND(Units!$L69=1,DB$1=Units!$Q69),1,Inputs!$B$15)*Inputs!$B$16*(1+Inputs!$B$11)^(DB$2-1),0)</f>
        <v>0</v>
      </c>
      <c r="DC70" s="11" t="n">
        <f aca="false">IF(AND(DC$1&gt;=Units!$Q69,MOD(DC$1-Units!$Q69,12)=0),IF(AND(Units!$L69=1,DC$1=Units!$Q69),1,Inputs!$B$15)*Inputs!$B$16*(1+Inputs!$B$11)^(DC$2-1),0)</f>
        <v>0</v>
      </c>
      <c r="DD70" s="11" t="n">
        <f aca="false">IF(AND(DD$1&gt;=Units!$Q69,MOD(DD$1-Units!$Q69,12)=0),IF(AND(Units!$L69=1,DD$1=Units!$Q69),1,Inputs!$B$15)*Inputs!$B$16*(1+Inputs!$B$11)^(DD$2-1),0)</f>
        <v>0</v>
      </c>
      <c r="DE70" s="11" t="n">
        <f aca="false">IF(AND(DE$1&gt;=Units!$Q69,MOD(DE$1-Units!$Q69,12)=0),IF(AND(Units!$L69=1,DE$1=Units!$Q69),1,Inputs!$B$15)*Inputs!$B$16*(1+Inputs!$B$11)^(DE$2-1),0)</f>
        <v>0</v>
      </c>
      <c r="DF70" s="11" t="n">
        <f aca="false">IF(AND(DF$1&gt;=Units!$Q69,MOD(DF$1-Units!$Q69,12)=0),IF(AND(Units!$L69=1,DF$1=Units!$Q69),1,Inputs!$B$15)*Inputs!$B$16*(1+Inputs!$B$11)^(DF$2-1),0)</f>
        <v>0</v>
      </c>
      <c r="DG70" s="11" t="n">
        <f aca="false">IF(AND(DG$1&gt;=Units!$Q69,MOD(DG$1-Units!$Q69,12)=0),IF(AND(Units!$L69=1,DG$1=Units!$Q69),1,Inputs!$B$15)*Inputs!$B$16*(1+Inputs!$B$11)^(DG$2-1),0)</f>
        <v>652.386591914623</v>
      </c>
      <c r="DH70" s="11" t="n">
        <f aca="false">IF(AND(DH$1&gt;=Units!$Q69,MOD(DH$1-Units!$Q69,12)=0),IF(AND(Units!$L69=1,DH$1=Units!$Q69),1,Inputs!$B$15)*Inputs!$B$16*(1+Inputs!$B$11)^(DH$2-1),0)</f>
        <v>0</v>
      </c>
      <c r="DI70" s="11" t="n">
        <f aca="false">IF(AND(DI$1&gt;=Units!$Q69,MOD(DI$1-Units!$Q69,12)=0),IF(AND(Units!$L69=1,DI$1=Units!$Q69),1,Inputs!$B$15)*Inputs!$B$16*(1+Inputs!$B$11)^(DI$2-1),0)</f>
        <v>0</v>
      </c>
      <c r="DJ70" s="11" t="n">
        <f aca="false">IF(AND(DJ$1&gt;=Units!$Q69,MOD(DJ$1-Units!$Q69,12)=0),IF(AND(Units!$L69=1,DJ$1=Units!$Q69),1,Inputs!$B$15)*Inputs!$B$16*(1+Inputs!$B$11)^(DJ$2-1),0)</f>
        <v>0</v>
      </c>
      <c r="DK70" s="11" t="n">
        <f aca="false">IF(AND(DK$1&gt;=Units!$Q69,MOD(DK$1-Units!$Q69,12)=0),IF(AND(Units!$L69=1,DK$1=Units!$Q69),1,Inputs!$B$15)*Inputs!$B$16*(1+Inputs!$B$11)^(DK$2-1),0)</f>
        <v>0</v>
      </c>
      <c r="DL70" s="11" t="n">
        <f aca="false">IF(AND(DL$1&gt;=Units!$Q69,MOD(DL$1-Units!$Q69,12)=0),IF(AND(Units!$L69=1,DL$1=Units!$Q69),1,Inputs!$B$15)*Inputs!$B$16*(1+Inputs!$B$11)^(DL$2-1),0)</f>
        <v>0</v>
      </c>
      <c r="DM70" s="11" t="n">
        <f aca="false">IF(AND(DM$1&gt;=Units!$Q69,MOD(DM$1-Units!$Q69,12)=0),IF(AND(Units!$L69=1,DM$1=Units!$Q69),1,Inputs!$B$15)*Inputs!$B$16*(1+Inputs!$B$11)^(DM$2-1),0)</f>
        <v>0</v>
      </c>
      <c r="DN70" s="11" t="n">
        <f aca="false">IF(AND(DN$1&gt;=Units!$Q69,MOD(DN$1-Units!$Q69,12)=0),IF(AND(Units!$L69=1,DN$1=Units!$Q69),1,Inputs!$B$15)*Inputs!$B$16*(1+Inputs!$B$11)^(DN$2-1),0)</f>
        <v>0</v>
      </c>
      <c r="DO70" s="11" t="n">
        <f aca="false">IF(AND(DO$1&gt;=Units!$Q69,MOD(DO$1-Units!$Q69,12)=0),IF(AND(Units!$L69=1,DO$1=Units!$Q69),1,Inputs!$B$15)*Inputs!$B$16*(1+Inputs!$B$11)^(DO$2-1),0)</f>
        <v>0</v>
      </c>
      <c r="DP70" s="11" t="n">
        <f aca="false">IF(AND(DP$1&gt;=Units!$Q69,MOD(DP$1-Units!$Q69,12)=0),IF(AND(Units!$L69=1,DP$1=Units!$Q69),1,Inputs!$B$15)*Inputs!$B$16*(1+Inputs!$B$11)^(DP$2-1),0)</f>
        <v>0</v>
      </c>
      <c r="DQ70" s="11" t="n">
        <f aca="false">IF(AND(DQ$1&gt;=Units!$Q69,MOD(DQ$1-Units!$Q69,12)=0),IF(AND(Units!$L69=1,DQ$1=Units!$Q69),1,Inputs!$B$15)*Inputs!$B$16*(1+Inputs!$B$11)^(DQ$2-1),0)</f>
        <v>0</v>
      </c>
      <c r="DR70" s="11" t="n">
        <f aca="false">IF(AND(DR$1&gt;=Units!$Q69,MOD(DR$1-Units!$Q69,12)=0),IF(AND(Units!$L69=1,DR$1=Units!$Q69),1,Inputs!$B$15)*Inputs!$B$16*(1+Inputs!$B$11)^(DR$2-1),0)</f>
        <v>0</v>
      </c>
      <c r="DS70" s="11" t="n">
        <f aca="false">IF(AND(DS$1&gt;=Units!$Q69,MOD(DS$1-Units!$Q69,12)=0),IF(AND(Units!$L69=1,DS$1=Units!$Q69),1,Inputs!$B$15)*Inputs!$B$16*(1+Inputs!$B$11)^(DS$2-1),0)</f>
        <v>671.958189672061</v>
      </c>
      <c r="DT70" s="11" t="n">
        <f aca="false">IF(AND(DT$1&gt;=Units!$Q69,MOD(DT$1-Units!$Q69,12)=0),IF(AND(Units!$L69=1,DT$1=Units!$Q69),1,Inputs!$B$15)*Inputs!$B$16*(1+Inputs!$B$11)^(DT$2-1),0)</f>
        <v>0</v>
      </c>
      <c r="DU70" s="11" t="n">
        <f aca="false">IF(AND(DU$1&gt;=Units!$Q69,MOD(DU$1-Units!$Q69,12)=0),IF(AND(Units!$L69=1,DU$1=Units!$Q69),1,Inputs!$B$15)*Inputs!$B$16*(1+Inputs!$B$11)^(DU$2-1),0)</f>
        <v>0</v>
      </c>
      <c r="DV70" s="11" t="n">
        <f aca="false">IF(AND(DV$1&gt;=Units!$Q69,MOD(DV$1-Units!$Q69,12)=0),IF(AND(Units!$L69=1,DV$1=Units!$Q69),1,Inputs!$B$15)*Inputs!$B$16*(1+Inputs!$B$11)^(DV$2-1),0)</f>
        <v>0</v>
      </c>
      <c r="DW70" s="11" t="n">
        <f aca="false">IF(AND(DW$1&gt;=Units!$Q69,MOD(DW$1-Units!$Q69,12)=0),IF(AND(Units!$L69=1,DW$1=Units!$Q69),1,Inputs!$B$15)*Inputs!$B$16*(1+Inputs!$B$11)^(DW$2-1),0)</f>
        <v>0</v>
      </c>
      <c r="DX70" s="11" t="n">
        <f aca="false">IF(AND(DX$1&gt;=Units!$Q69,MOD(DX$1-Units!$Q69,12)=0),IF(AND(Units!$L69=1,DX$1=Units!$Q69),1,Inputs!$B$15)*Inputs!$B$16*(1+Inputs!$B$11)^(DX$2-1),0)</f>
        <v>0</v>
      </c>
      <c r="DY70" s="11" t="n">
        <f aca="false">IF(AND(DY$1&gt;=Units!$Q69,MOD(DY$1-Units!$Q69,12)=0),IF(AND(Units!$L69=1,DY$1=Units!$Q69),1,Inputs!$B$15)*Inputs!$B$16*(1+Inputs!$B$11)^(DY$2-1),0)</f>
        <v>0</v>
      </c>
      <c r="DZ70" s="11" t="n">
        <f aca="false">IF(AND(DZ$1&gt;=Units!$Q69,MOD(DZ$1-Units!$Q69,12)=0),IF(AND(Units!$L69=1,DZ$1=Units!$Q69),1,Inputs!$B$15)*Inputs!$B$16*(1+Inputs!$B$11)^(DZ$2-1),0)</f>
        <v>0</v>
      </c>
      <c r="EA70" s="11" t="n">
        <f aca="false">IF(AND(EA$1&gt;=Units!$Q69,MOD(EA$1-Units!$Q69,12)=0),IF(AND(Units!$L69=1,EA$1=Units!$Q69),1,Inputs!$B$15)*Inputs!$B$16*(1+Inputs!$B$11)^(EA$2-1),0)</f>
        <v>0</v>
      </c>
      <c r="EB70" s="11" t="n">
        <f aca="false">IF(AND(EB$1&gt;=Units!$Q69,MOD(EB$1-Units!$Q69,12)=0),IF(AND(Units!$L69=1,EB$1=Units!$Q69),1,Inputs!$B$15)*Inputs!$B$16*(1+Inputs!$B$11)^(EB$2-1),0)</f>
        <v>0</v>
      </c>
      <c r="EC70" s="11" t="n">
        <f aca="false">IF(AND(EC$1&gt;=Units!$Q69,MOD(EC$1-Units!$Q69,12)=0),IF(AND(Units!$L69=1,EC$1=Units!$Q69),1,Inputs!$B$15)*Inputs!$B$16*(1+Inputs!$B$11)^(EC$2-1),0)</f>
        <v>0</v>
      </c>
      <c r="ED70" s="11" t="n">
        <f aca="false">IF(AND(ED$1&gt;=Units!$Q69,MOD(ED$1-Units!$Q69,12)=0),IF(AND(Units!$L69=1,ED$1=Units!$Q69),1,Inputs!$B$15)*Inputs!$B$16*(1+Inputs!$B$11)^(ED$2-1),0)</f>
        <v>0</v>
      </c>
    </row>
    <row r="71" customFormat="false" ht="15" hidden="false" customHeight="false" outlineLevel="0" collapsed="false">
      <c r="A71" s="22" t="n">
        <f aca="false">Units!A70</f>
        <v>309</v>
      </c>
      <c r="B71" s="23"/>
      <c r="C71" s="11" t="n">
        <f aca="false">IF(AND(C$1&gt;=Units!$Q70,MOD(C$1-Units!$Q70,12)=0),IF(AND(Units!$L70=1,C$1=Units!$Q70),1,Inputs!$B$15)*Inputs!$B$16*(1+Inputs!$B$11)^(C$2-1),0)</f>
        <v>0</v>
      </c>
      <c r="D71" s="11" t="n">
        <f aca="false">IF(AND(D$1&gt;=Units!$Q70,MOD(D$1-Units!$Q70,12)=0),IF(AND(Units!$L70=1,D$1=Units!$Q70),1,Inputs!$B$15)*Inputs!$B$16*(1+Inputs!$B$11)^(D$2-1),0)</f>
        <v>500</v>
      </c>
      <c r="E71" s="11" t="n">
        <f aca="false">IF(AND(E$1&gt;=Units!$Q70,MOD(E$1-Units!$Q70,12)=0),IF(AND(Units!$L70=1,E$1=Units!$Q70),1,Inputs!$B$15)*Inputs!$B$16*(1+Inputs!$B$11)^(E$2-1),0)</f>
        <v>0</v>
      </c>
      <c r="F71" s="11" t="n">
        <f aca="false">IF(AND(F$1&gt;=Units!$Q70,MOD(F$1-Units!$Q70,12)=0),IF(AND(Units!$L70=1,F$1=Units!$Q70),1,Inputs!$B$15)*Inputs!$B$16*(1+Inputs!$B$11)^(F$2-1),0)</f>
        <v>0</v>
      </c>
      <c r="G71" s="11" t="n">
        <f aca="false">IF(AND(G$1&gt;=Units!$Q70,MOD(G$1-Units!$Q70,12)=0),IF(AND(Units!$L70=1,G$1=Units!$Q70),1,Inputs!$B$15)*Inputs!$B$16*(1+Inputs!$B$11)^(G$2-1),0)</f>
        <v>0</v>
      </c>
      <c r="H71" s="11" t="n">
        <f aca="false">IF(AND(H$1&gt;=Units!$Q70,MOD(H$1-Units!$Q70,12)=0),IF(AND(Units!$L70=1,H$1=Units!$Q70),1,Inputs!$B$15)*Inputs!$B$16*(1+Inputs!$B$11)^(H$2-1),0)</f>
        <v>0</v>
      </c>
      <c r="I71" s="11" t="n">
        <f aca="false">IF(AND(I$1&gt;=Units!$Q70,MOD(I$1-Units!$Q70,12)=0),IF(AND(Units!$L70=1,I$1=Units!$Q70),1,Inputs!$B$15)*Inputs!$B$16*(1+Inputs!$B$11)^(I$2-1),0)</f>
        <v>0</v>
      </c>
      <c r="J71" s="11" t="n">
        <f aca="false">IF(AND(J$1&gt;=Units!$Q70,MOD(J$1-Units!$Q70,12)=0),IF(AND(Units!$L70=1,J$1=Units!$Q70),1,Inputs!$B$15)*Inputs!$B$16*(1+Inputs!$B$11)^(J$2-1),0)</f>
        <v>0</v>
      </c>
      <c r="K71" s="11" t="n">
        <f aca="false">IF(AND(K$1&gt;=Units!$Q70,MOD(K$1-Units!$Q70,12)=0),IF(AND(Units!$L70=1,K$1=Units!$Q70),1,Inputs!$B$15)*Inputs!$B$16*(1+Inputs!$B$11)^(K$2-1),0)</f>
        <v>0</v>
      </c>
      <c r="L71" s="11" t="n">
        <f aca="false">IF(AND(L$1&gt;=Units!$Q70,MOD(L$1-Units!$Q70,12)=0),IF(AND(Units!$L70=1,L$1=Units!$Q70),1,Inputs!$B$15)*Inputs!$B$16*(1+Inputs!$B$11)^(L$2-1),0)</f>
        <v>0</v>
      </c>
      <c r="M71" s="11" t="n">
        <f aca="false">IF(AND(M$1&gt;=Units!$Q70,MOD(M$1-Units!$Q70,12)=0),IF(AND(Units!$L70=1,M$1=Units!$Q70),1,Inputs!$B$15)*Inputs!$B$16*(1+Inputs!$B$11)^(M$2-1),0)</f>
        <v>0</v>
      </c>
      <c r="N71" s="11" t="n">
        <f aca="false">IF(AND(N$1&gt;=Units!$Q70,MOD(N$1-Units!$Q70,12)=0),IF(AND(Units!$L70=1,N$1=Units!$Q70),1,Inputs!$B$15)*Inputs!$B$16*(1+Inputs!$B$11)^(N$2-1),0)</f>
        <v>0</v>
      </c>
      <c r="O71" s="11" t="n">
        <f aca="false">IF(AND(O$1&gt;=Units!$Q70,MOD(O$1-Units!$Q70,12)=0),IF(AND(Units!$L70=1,O$1=Units!$Q70),1,Inputs!$B$15)*Inputs!$B$16*(1+Inputs!$B$11)^(O$2-1),0)</f>
        <v>0</v>
      </c>
      <c r="P71" s="11" t="n">
        <f aca="false">IF(AND(P$1&gt;=Units!$Q70,MOD(P$1-Units!$Q70,12)=0),IF(AND(Units!$L70=1,P$1=Units!$Q70),1,Inputs!$B$15)*Inputs!$B$16*(1+Inputs!$B$11)^(P$2-1),0)</f>
        <v>515</v>
      </c>
      <c r="Q71" s="11" t="n">
        <f aca="false">IF(AND(Q$1&gt;=Units!$Q70,MOD(Q$1-Units!$Q70,12)=0),IF(AND(Units!$L70=1,Q$1=Units!$Q70),1,Inputs!$B$15)*Inputs!$B$16*(1+Inputs!$B$11)^(Q$2-1),0)</f>
        <v>0</v>
      </c>
      <c r="R71" s="11" t="n">
        <f aca="false">IF(AND(R$1&gt;=Units!$Q70,MOD(R$1-Units!$Q70,12)=0),IF(AND(Units!$L70=1,R$1=Units!$Q70),1,Inputs!$B$15)*Inputs!$B$16*(1+Inputs!$B$11)^(R$2-1),0)</f>
        <v>0</v>
      </c>
      <c r="S71" s="11" t="n">
        <f aca="false">IF(AND(S$1&gt;=Units!$Q70,MOD(S$1-Units!$Q70,12)=0),IF(AND(Units!$L70=1,S$1=Units!$Q70),1,Inputs!$B$15)*Inputs!$B$16*(1+Inputs!$B$11)^(S$2-1),0)</f>
        <v>0</v>
      </c>
      <c r="T71" s="11" t="n">
        <f aca="false">IF(AND(T$1&gt;=Units!$Q70,MOD(T$1-Units!$Q70,12)=0),IF(AND(Units!$L70=1,T$1=Units!$Q70),1,Inputs!$B$15)*Inputs!$B$16*(1+Inputs!$B$11)^(T$2-1),0)</f>
        <v>0</v>
      </c>
      <c r="U71" s="11" t="n">
        <f aca="false">IF(AND(U$1&gt;=Units!$Q70,MOD(U$1-Units!$Q70,12)=0),IF(AND(Units!$L70=1,U$1=Units!$Q70),1,Inputs!$B$15)*Inputs!$B$16*(1+Inputs!$B$11)^(U$2-1),0)</f>
        <v>0</v>
      </c>
      <c r="V71" s="11" t="n">
        <f aca="false">IF(AND(V$1&gt;=Units!$Q70,MOD(V$1-Units!$Q70,12)=0),IF(AND(Units!$L70=1,V$1=Units!$Q70),1,Inputs!$B$15)*Inputs!$B$16*(1+Inputs!$B$11)^(V$2-1),0)</f>
        <v>0</v>
      </c>
      <c r="W71" s="11" t="n">
        <f aca="false">IF(AND(W$1&gt;=Units!$Q70,MOD(W$1-Units!$Q70,12)=0),IF(AND(Units!$L70=1,W$1=Units!$Q70),1,Inputs!$B$15)*Inputs!$B$16*(1+Inputs!$B$11)^(W$2-1),0)</f>
        <v>0</v>
      </c>
      <c r="X71" s="11" t="n">
        <f aca="false">IF(AND(X$1&gt;=Units!$Q70,MOD(X$1-Units!$Q70,12)=0),IF(AND(Units!$L70=1,X$1=Units!$Q70),1,Inputs!$B$15)*Inputs!$B$16*(1+Inputs!$B$11)^(X$2-1),0)</f>
        <v>0</v>
      </c>
      <c r="Y71" s="11" t="n">
        <f aca="false">IF(AND(Y$1&gt;=Units!$Q70,MOD(Y$1-Units!$Q70,12)=0),IF(AND(Units!$L70=1,Y$1=Units!$Q70),1,Inputs!$B$15)*Inputs!$B$16*(1+Inputs!$B$11)^(Y$2-1),0)</f>
        <v>0</v>
      </c>
      <c r="Z71" s="11" t="n">
        <f aca="false">IF(AND(Z$1&gt;=Units!$Q70,MOD(Z$1-Units!$Q70,12)=0),IF(AND(Units!$L70=1,Z$1=Units!$Q70),1,Inputs!$B$15)*Inputs!$B$16*(1+Inputs!$B$11)^(Z$2-1),0)</f>
        <v>0</v>
      </c>
      <c r="AA71" s="11" t="n">
        <f aca="false">IF(AND(AA$1&gt;=Units!$Q70,MOD(AA$1-Units!$Q70,12)=0),IF(AND(Units!$L70=1,AA$1=Units!$Q70),1,Inputs!$B$15)*Inputs!$B$16*(1+Inputs!$B$11)^(AA$2-1),0)</f>
        <v>0</v>
      </c>
      <c r="AB71" s="11" t="n">
        <f aca="false">IF(AND(AB$1&gt;=Units!$Q70,MOD(AB$1-Units!$Q70,12)=0),IF(AND(Units!$L70=1,AB$1=Units!$Q70),1,Inputs!$B$15)*Inputs!$B$16*(1+Inputs!$B$11)^(AB$2-1),0)</f>
        <v>530.45</v>
      </c>
      <c r="AC71" s="11" t="n">
        <f aca="false">IF(AND(AC$1&gt;=Units!$Q70,MOD(AC$1-Units!$Q70,12)=0),IF(AND(Units!$L70=1,AC$1=Units!$Q70),1,Inputs!$B$15)*Inputs!$B$16*(1+Inputs!$B$11)^(AC$2-1),0)</f>
        <v>0</v>
      </c>
      <c r="AD71" s="11" t="n">
        <f aca="false">IF(AND(AD$1&gt;=Units!$Q70,MOD(AD$1-Units!$Q70,12)=0),IF(AND(Units!$L70=1,AD$1=Units!$Q70),1,Inputs!$B$15)*Inputs!$B$16*(1+Inputs!$B$11)^(AD$2-1),0)</f>
        <v>0</v>
      </c>
      <c r="AE71" s="11" t="n">
        <f aca="false">IF(AND(AE$1&gt;=Units!$Q70,MOD(AE$1-Units!$Q70,12)=0),IF(AND(Units!$L70=1,AE$1=Units!$Q70),1,Inputs!$B$15)*Inputs!$B$16*(1+Inputs!$B$11)^(AE$2-1),0)</f>
        <v>0</v>
      </c>
      <c r="AF71" s="11" t="n">
        <f aca="false">IF(AND(AF$1&gt;=Units!$Q70,MOD(AF$1-Units!$Q70,12)=0),IF(AND(Units!$L70=1,AF$1=Units!$Q70),1,Inputs!$B$15)*Inputs!$B$16*(1+Inputs!$B$11)^(AF$2-1),0)</f>
        <v>0</v>
      </c>
      <c r="AG71" s="11" t="n">
        <f aca="false">IF(AND(AG$1&gt;=Units!$Q70,MOD(AG$1-Units!$Q70,12)=0),IF(AND(Units!$L70=1,AG$1=Units!$Q70),1,Inputs!$B$15)*Inputs!$B$16*(1+Inputs!$B$11)^(AG$2-1),0)</f>
        <v>0</v>
      </c>
      <c r="AH71" s="11" t="n">
        <f aca="false">IF(AND(AH$1&gt;=Units!$Q70,MOD(AH$1-Units!$Q70,12)=0),IF(AND(Units!$L70=1,AH$1=Units!$Q70),1,Inputs!$B$15)*Inputs!$B$16*(1+Inputs!$B$11)^(AH$2-1),0)</f>
        <v>0</v>
      </c>
      <c r="AI71" s="11" t="n">
        <f aca="false">IF(AND(AI$1&gt;=Units!$Q70,MOD(AI$1-Units!$Q70,12)=0),IF(AND(Units!$L70=1,AI$1=Units!$Q70),1,Inputs!$B$15)*Inputs!$B$16*(1+Inputs!$B$11)^(AI$2-1),0)</f>
        <v>0</v>
      </c>
      <c r="AJ71" s="11" t="n">
        <f aca="false">IF(AND(AJ$1&gt;=Units!$Q70,MOD(AJ$1-Units!$Q70,12)=0),IF(AND(Units!$L70=1,AJ$1=Units!$Q70),1,Inputs!$B$15)*Inputs!$B$16*(1+Inputs!$B$11)^(AJ$2-1),0)</f>
        <v>0</v>
      </c>
      <c r="AK71" s="11" t="n">
        <f aca="false">IF(AND(AK$1&gt;=Units!$Q70,MOD(AK$1-Units!$Q70,12)=0),IF(AND(Units!$L70=1,AK$1=Units!$Q70),1,Inputs!$B$15)*Inputs!$B$16*(1+Inputs!$B$11)^(AK$2-1),0)</f>
        <v>0</v>
      </c>
      <c r="AL71" s="11" t="n">
        <f aca="false">IF(AND(AL$1&gt;=Units!$Q70,MOD(AL$1-Units!$Q70,12)=0),IF(AND(Units!$L70=1,AL$1=Units!$Q70),1,Inputs!$B$15)*Inputs!$B$16*(1+Inputs!$B$11)^(AL$2-1),0)</f>
        <v>0</v>
      </c>
      <c r="AM71" s="11" t="n">
        <f aca="false">IF(AND(AM$1&gt;=Units!$Q70,MOD(AM$1-Units!$Q70,12)=0),IF(AND(Units!$L70=1,AM$1=Units!$Q70),1,Inputs!$B$15)*Inputs!$B$16*(1+Inputs!$B$11)^(AM$2-1),0)</f>
        <v>0</v>
      </c>
      <c r="AN71" s="11" t="n">
        <f aca="false">IF(AND(AN$1&gt;=Units!$Q70,MOD(AN$1-Units!$Q70,12)=0),IF(AND(Units!$L70=1,AN$1=Units!$Q70),1,Inputs!$B$15)*Inputs!$B$16*(1+Inputs!$B$11)^(AN$2-1),0)</f>
        <v>546.3635</v>
      </c>
      <c r="AO71" s="11" t="n">
        <f aca="false">IF(AND(AO$1&gt;=Units!$Q70,MOD(AO$1-Units!$Q70,12)=0),IF(AND(Units!$L70=1,AO$1=Units!$Q70),1,Inputs!$B$15)*Inputs!$B$16*(1+Inputs!$B$11)^(AO$2-1),0)</f>
        <v>0</v>
      </c>
      <c r="AP71" s="11" t="n">
        <f aca="false">IF(AND(AP$1&gt;=Units!$Q70,MOD(AP$1-Units!$Q70,12)=0),IF(AND(Units!$L70=1,AP$1=Units!$Q70),1,Inputs!$B$15)*Inputs!$B$16*(1+Inputs!$B$11)^(AP$2-1),0)</f>
        <v>0</v>
      </c>
      <c r="AQ71" s="11" t="n">
        <f aca="false">IF(AND(AQ$1&gt;=Units!$Q70,MOD(AQ$1-Units!$Q70,12)=0),IF(AND(Units!$L70=1,AQ$1=Units!$Q70),1,Inputs!$B$15)*Inputs!$B$16*(1+Inputs!$B$11)^(AQ$2-1),0)</f>
        <v>0</v>
      </c>
      <c r="AR71" s="11" t="n">
        <f aca="false">IF(AND(AR$1&gt;=Units!$Q70,MOD(AR$1-Units!$Q70,12)=0),IF(AND(Units!$L70=1,AR$1=Units!$Q70),1,Inputs!$B$15)*Inputs!$B$16*(1+Inputs!$B$11)^(AR$2-1),0)</f>
        <v>0</v>
      </c>
      <c r="AS71" s="11" t="n">
        <f aca="false">IF(AND(AS$1&gt;=Units!$Q70,MOD(AS$1-Units!$Q70,12)=0),IF(AND(Units!$L70=1,AS$1=Units!$Q70),1,Inputs!$B$15)*Inputs!$B$16*(1+Inputs!$B$11)^(AS$2-1),0)</f>
        <v>0</v>
      </c>
      <c r="AT71" s="11" t="n">
        <f aca="false">IF(AND(AT$1&gt;=Units!$Q70,MOD(AT$1-Units!$Q70,12)=0),IF(AND(Units!$L70=1,AT$1=Units!$Q70),1,Inputs!$B$15)*Inputs!$B$16*(1+Inputs!$B$11)^(AT$2-1),0)</f>
        <v>0</v>
      </c>
      <c r="AU71" s="11" t="n">
        <f aca="false">IF(AND(AU$1&gt;=Units!$Q70,MOD(AU$1-Units!$Q70,12)=0),IF(AND(Units!$L70=1,AU$1=Units!$Q70),1,Inputs!$B$15)*Inputs!$B$16*(1+Inputs!$B$11)^(AU$2-1),0)</f>
        <v>0</v>
      </c>
      <c r="AV71" s="11" t="n">
        <f aca="false">IF(AND(AV$1&gt;=Units!$Q70,MOD(AV$1-Units!$Q70,12)=0),IF(AND(Units!$L70=1,AV$1=Units!$Q70),1,Inputs!$B$15)*Inputs!$B$16*(1+Inputs!$B$11)^(AV$2-1),0)</f>
        <v>0</v>
      </c>
      <c r="AW71" s="11" t="n">
        <f aca="false">IF(AND(AW$1&gt;=Units!$Q70,MOD(AW$1-Units!$Q70,12)=0),IF(AND(Units!$L70=1,AW$1=Units!$Q70),1,Inputs!$B$15)*Inputs!$B$16*(1+Inputs!$B$11)^(AW$2-1),0)</f>
        <v>0</v>
      </c>
      <c r="AX71" s="11" t="n">
        <f aca="false">IF(AND(AX$1&gt;=Units!$Q70,MOD(AX$1-Units!$Q70,12)=0),IF(AND(Units!$L70=1,AX$1=Units!$Q70),1,Inputs!$B$15)*Inputs!$B$16*(1+Inputs!$B$11)^(AX$2-1),0)</f>
        <v>0</v>
      </c>
      <c r="AY71" s="11" t="n">
        <f aca="false">IF(AND(AY$1&gt;=Units!$Q70,MOD(AY$1-Units!$Q70,12)=0),IF(AND(Units!$L70=1,AY$1=Units!$Q70),1,Inputs!$B$15)*Inputs!$B$16*(1+Inputs!$B$11)^(AY$2-1),0)</f>
        <v>0</v>
      </c>
      <c r="AZ71" s="11" t="n">
        <f aca="false">IF(AND(AZ$1&gt;=Units!$Q70,MOD(AZ$1-Units!$Q70,12)=0),IF(AND(Units!$L70=1,AZ$1=Units!$Q70),1,Inputs!$B$15)*Inputs!$B$16*(1+Inputs!$B$11)^(AZ$2-1),0)</f>
        <v>562.754405</v>
      </c>
      <c r="BA71" s="11" t="n">
        <f aca="false">IF(AND(BA$1&gt;=Units!$Q70,MOD(BA$1-Units!$Q70,12)=0),IF(AND(Units!$L70=1,BA$1=Units!$Q70),1,Inputs!$B$15)*Inputs!$B$16*(1+Inputs!$B$11)^(BA$2-1),0)</f>
        <v>0</v>
      </c>
      <c r="BB71" s="11" t="n">
        <f aca="false">IF(AND(BB$1&gt;=Units!$Q70,MOD(BB$1-Units!$Q70,12)=0),IF(AND(Units!$L70=1,BB$1=Units!$Q70),1,Inputs!$B$15)*Inputs!$B$16*(1+Inputs!$B$11)^(BB$2-1),0)</f>
        <v>0</v>
      </c>
      <c r="BC71" s="11" t="n">
        <f aca="false">IF(AND(BC$1&gt;=Units!$Q70,MOD(BC$1-Units!$Q70,12)=0),IF(AND(Units!$L70=1,BC$1=Units!$Q70),1,Inputs!$B$15)*Inputs!$B$16*(1+Inputs!$B$11)^(BC$2-1),0)</f>
        <v>0</v>
      </c>
      <c r="BD71" s="11" t="n">
        <f aca="false">IF(AND(BD$1&gt;=Units!$Q70,MOD(BD$1-Units!$Q70,12)=0),IF(AND(Units!$L70=1,BD$1=Units!$Q70),1,Inputs!$B$15)*Inputs!$B$16*(1+Inputs!$B$11)^(BD$2-1),0)</f>
        <v>0</v>
      </c>
      <c r="BE71" s="11" t="n">
        <f aca="false">IF(AND(BE$1&gt;=Units!$Q70,MOD(BE$1-Units!$Q70,12)=0),IF(AND(Units!$L70=1,BE$1=Units!$Q70),1,Inputs!$B$15)*Inputs!$B$16*(1+Inputs!$B$11)^(BE$2-1),0)</f>
        <v>0</v>
      </c>
      <c r="BF71" s="11" t="n">
        <f aca="false">IF(AND(BF$1&gt;=Units!$Q70,MOD(BF$1-Units!$Q70,12)=0),IF(AND(Units!$L70=1,BF$1=Units!$Q70),1,Inputs!$B$15)*Inputs!$B$16*(1+Inputs!$B$11)^(BF$2-1),0)</f>
        <v>0</v>
      </c>
      <c r="BG71" s="11" t="n">
        <f aca="false">IF(AND(BG$1&gt;=Units!$Q70,MOD(BG$1-Units!$Q70,12)=0),IF(AND(Units!$L70=1,BG$1=Units!$Q70),1,Inputs!$B$15)*Inputs!$B$16*(1+Inputs!$B$11)^(BG$2-1),0)</f>
        <v>0</v>
      </c>
      <c r="BH71" s="11" t="n">
        <f aca="false">IF(AND(BH$1&gt;=Units!$Q70,MOD(BH$1-Units!$Q70,12)=0),IF(AND(Units!$L70=1,BH$1=Units!$Q70),1,Inputs!$B$15)*Inputs!$B$16*(1+Inputs!$B$11)^(BH$2-1),0)</f>
        <v>0</v>
      </c>
      <c r="BI71" s="11" t="n">
        <f aca="false">IF(AND(BI$1&gt;=Units!$Q70,MOD(BI$1-Units!$Q70,12)=0),IF(AND(Units!$L70=1,BI$1=Units!$Q70),1,Inputs!$B$15)*Inputs!$B$16*(1+Inputs!$B$11)^(BI$2-1),0)</f>
        <v>0</v>
      </c>
      <c r="BJ71" s="11" t="n">
        <f aca="false">IF(AND(BJ$1&gt;=Units!$Q70,MOD(BJ$1-Units!$Q70,12)=0),IF(AND(Units!$L70=1,BJ$1=Units!$Q70),1,Inputs!$B$15)*Inputs!$B$16*(1+Inputs!$B$11)^(BJ$2-1),0)</f>
        <v>0</v>
      </c>
      <c r="BK71" s="11" t="n">
        <f aca="false">IF(AND(BK$1&gt;=Units!$Q70,MOD(BK$1-Units!$Q70,12)=0),IF(AND(Units!$L70=1,BK$1=Units!$Q70),1,Inputs!$B$15)*Inputs!$B$16*(1+Inputs!$B$11)^(BK$2-1),0)</f>
        <v>0</v>
      </c>
      <c r="BL71" s="11" t="n">
        <f aca="false">IF(AND(BL$1&gt;=Units!$Q70,MOD(BL$1-Units!$Q70,12)=0),IF(AND(Units!$L70=1,BL$1=Units!$Q70),1,Inputs!$B$15)*Inputs!$B$16*(1+Inputs!$B$11)^(BL$2-1),0)</f>
        <v>579.63703715</v>
      </c>
      <c r="BM71" s="11" t="n">
        <f aca="false">IF(AND(BM$1&gt;=Units!$Q70,MOD(BM$1-Units!$Q70,12)=0),IF(AND(Units!$L70=1,BM$1=Units!$Q70),1,Inputs!$B$15)*Inputs!$B$16*(1+Inputs!$B$11)^(BM$2-1),0)</f>
        <v>0</v>
      </c>
      <c r="BN71" s="11" t="n">
        <f aca="false">IF(AND(BN$1&gt;=Units!$Q70,MOD(BN$1-Units!$Q70,12)=0),IF(AND(Units!$L70=1,BN$1=Units!$Q70),1,Inputs!$B$15)*Inputs!$B$16*(1+Inputs!$B$11)^(BN$2-1),0)</f>
        <v>0</v>
      </c>
      <c r="BO71" s="11" t="n">
        <f aca="false">IF(AND(BO$1&gt;=Units!$Q70,MOD(BO$1-Units!$Q70,12)=0),IF(AND(Units!$L70=1,BO$1=Units!$Q70),1,Inputs!$B$15)*Inputs!$B$16*(1+Inputs!$B$11)^(BO$2-1),0)</f>
        <v>0</v>
      </c>
      <c r="BP71" s="11" t="n">
        <f aca="false">IF(AND(BP$1&gt;=Units!$Q70,MOD(BP$1-Units!$Q70,12)=0),IF(AND(Units!$L70=1,BP$1=Units!$Q70),1,Inputs!$B$15)*Inputs!$B$16*(1+Inputs!$B$11)^(BP$2-1),0)</f>
        <v>0</v>
      </c>
      <c r="BQ71" s="11" t="n">
        <f aca="false">IF(AND(BQ$1&gt;=Units!$Q70,MOD(BQ$1-Units!$Q70,12)=0),IF(AND(Units!$L70=1,BQ$1=Units!$Q70),1,Inputs!$B$15)*Inputs!$B$16*(1+Inputs!$B$11)^(BQ$2-1),0)</f>
        <v>0</v>
      </c>
      <c r="BR71" s="11" t="n">
        <f aca="false">IF(AND(BR$1&gt;=Units!$Q70,MOD(BR$1-Units!$Q70,12)=0),IF(AND(Units!$L70=1,BR$1=Units!$Q70),1,Inputs!$B$15)*Inputs!$B$16*(1+Inputs!$B$11)^(BR$2-1),0)</f>
        <v>0</v>
      </c>
      <c r="BS71" s="11" t="n">
        <f aca="false">IF(AND(BS$1&gt;=Units!$Q70,MOD(BS$1-Units!$Q70,12)=0),IF(AND(Units!$L70=1,BS$1=Units!$Q70),1,Inputs!$B$15)*Inputs!$B$16*(1+Inputs!$B$11)^(BS$2-1),0)</f>
        <v>0</v>
      </c>
      <c r="BT71" s="11" t="n">
        <f aca="false">IF(AND(BT$1&gt;=Units!$Q70,MOD(BT$1-Units!$Q70,12)=0),IF(AND(Units!$L70=1,BT$1=Units!$Q70),1,Inputs!$B$15)*Inputs!$B$16*(1+Inputs!$B$11)^(BT$2-1),0)</f>
        <v>0</v>
      </c>
      <c r="BU71" s="11" t="n">
        <f aca="false">IF(AND(BU$1&gt;=Units!$Q70,MOD(BU$1-Units!$Q70,12)=0),IF(AND(Units!$L70=1,BU$1=Units!$Q70),1,Inputs!$B$15)*Inputs!$B$16*(1+Inputs!$B$11)^(BU$2-1),0)</f>
        <v>0</v>
      </c>
      <c r="BV71" s="11" t="n">
        <f aca="false">IF(AND(BV$1&gt;=Units!$Q70,MOD(BV$1-Units!$Q70,12)=0),IF(AND(Units!$L70=1,BV$1=Units!$Q70),1,Inputs!$B$15)*Inputs!$B$16*(1+Inputs!$B$11)^(BV$2-1),0)</f>
        <v>0</v>
      </c>
      <c r="BW71" s="11" t="n">
        <f aca="false">IF(AND(BW$1&gt;=Units!$Q70,MOD(BW$1-Units!$Q70,12)=0),IF(AND(Units!$L70=1,BW$1=Units!$Q70),1,Inputs!$B$15)*Inputs!$B$16*(1+Inputs!$B$11)^(BW$2-1),0)</f>
        <v>0</v>
      </c>
      <c r="BX71" s="11" t="n">
        <f aca="false">IF(AND(BX$1&gt;=Units!$Q70,MOD(BX$1-Units!$Q70,12)=0),IF(AND(Units!$L70=1,BX$1=Units!$Q70),1,Inputs!$B$15)*Inputs!$B$16*(1+Inputs!$B$11)^(BX$2-1),0)</f>
        <v>597.0261482645</v>
      </c>
      <c r="BY71" s="11" t="n">
        <f aca="false">IF(AND(BY$1&gt;=Units!$Q70,MOD(BY$1-Units!$Q70,12)=0),IF(AND(Units!$L70=1,BY$1=Units!$Q70),1,Inputs!$B$15)*Inputs!$B$16*(1+Inputs!$B$11)^(BY$2-1),0)</f>
        <v>0</v>
      </c>
      <c r="BZ71" s="11" t="n">
        <f aca="false">IF(AND(BZ$1&gt;=Units!$Q70,MOD(BZ$1-Units!$Q70,12)=0),IF(AND(Units!$L70=1,BZ$1=Units!$Q70),1,Inputs!$B$15)*Inputs!$B$16*(1+Inputs!$B$11)^(BZ$2-1),0)</f>
        <v>0</v>
      </c>
      <c r="CA71" s="11" t="n">
        <f aca="false">IF(AND(CA$1&gt;=Units!$Q70,MOD(CA$1-Units!$Q70,12)=0),IF(AND(Units!$L70=1,CA$1=Units!$Q70),1,Inputs!$B$15)*Inputs!$B$16*(1+Inputs!$B$11)^(CA$2-1),0)</f>
        <v>0</v>
      </c>
      <c r="CB71" s="11" t="n">
        <f aca="false">IF(AND(CB$1&gt;=Units!$Q70,MOD(CB$1-Units!$Q70,12)=0),IF(AND(Units!$L70=1,CB$1=Units!$Q70),1,Inputs!$B$15)*Inputs!$B$16*(1+Inputs!$B$11)^(CB$2-1),0)</f>
        <v>0</v>
      </c>
      <c r="CC71" s="11" t="n">
        <f aca="false">IF(AND(CC$1&gt;=Units!$Q70,MOD(CC$1-Units!$Q70,12)=0),IF(AND(Units!$L70=1,CC$1=Units!$Q70),1,Inputs!$B$15)*Inputs!$B$16*(1+Inputs!$B$11)^(CC$2-1),0)</f>
        <v>0</v>
      </c>
      <c r="CD71" s="11" t="n">
        <f aca="false">IF(AND(CD$1&gt;=Units!$Q70,MOD(CD$1-Units!$Q70,12)=0),IF(AND(Units!$L70=1,CD$1=Units!$Q70),1,Inputs!$B$15)*Inputs!$B$16*(1+Inputs!$B$11)^(CD$2-1),0)</f>
        <v>0</v>
      </c>
      <c r="CE71" s="11" t="n">
        <f aca="false">IF(AND(CE$1&gt;=Units!$Q70,MOD(CE$1-Units!$Q70,12)=0),IF(AND(Units!$L70=1,CE$1=Units!$Q70),1,Inputs!$B$15)*Inputs!$B$16*(1+Inputs!$B$11)^(CE$2-1),0)</f>
        <v>0</v>
      </c>
      <c r="CF71" s="11" t="n">
        <f aca="false">IF(AND(CF$1&gt;=Units!$Q70,MOD(CF$1-Units!$Q70,12)=0),IF(AND(Units!$L70=1,CF$1=Units!$Q70),1,Inputs!$B$15)*Inputs!$B$16*(1+Inputs!$B$11)^(CF$2-1),0)</f>
        <v>0</v>
      </c>
      <c r="CG71" s="11" t="n">
        <f aca="false">IF(AND(CG$1&gt;=Units!$Q70,MOD(CG$1-Units!$Q70,12)=0),IF(AND(Units!$L70=1,CG$1=Units!$Q70),1,Inputs!$B$15)*Inputs!$B$16*(1+Inputs!$B$11)^(CG$2-1),0)</f>
        <v>0</v>
      </c>
      <c r="CH71" s="11" t="n">
        <f aca="false">IF(AND(CH$1&gt;=Units!$Q70,MOD(CH$1-Units!$Q70,12)=0),IF(AND(Units!$L70=1,CH$1=Units!$Q70),1,Inputs!$B$15)*Inputs!$B$16*(1+Inputs!$B$11)^(CH$2-1),0)</f>
        <v>0</v>
      </c>
      <c r="CI71" s="11" t="n">
        <f aca="false">IF(AND(CI$1&gt;=Units!$Q70,MOD(CI$1-Units!$Q70,12)=0),IF(AND(Units!$L70=1,CI$1=Units!$Q70),1,Inputs!$B$15)*Inputs!$B$16*(1+Inputs!$B$11)^(CI$2-1),0)</f>
        <v>0</v>
      </c>
      <c r="CJ71" s="11" t="n">
        <f aca="false">IF(AND(CJ$1&gt;=Units!$Q70,MOD(CJ$1-Units!$Q70,12)=0),IF(AND(Units!$L70=1,CJ$1=Units!$Q70),1,Inputs!$B$15)*Inputs!$B$16*(1+Inputs!$B$11)^(CJ$2-1),0)</f>
        <v>614.936932712435</v>
      </c>
      <c r="CK71" s="11" t="n">
        <f aca="false">IF(AND(CK$1&gt;=Units!$Q70,MOD(CK$1-Units!$Q70,12)=0),IF(AND(Units!$L70=1,CK$1=Units!$Q70),1,Inputs!$B$15)*Inputs!$B$16*(1+Inputs!$B$11)^(CK$2-1),0)</f>
        <v>0</v>
      </c>
      <c r="CL71" s="11" t="n">
        <f aca="false">IF(AND(CL$1&gt;=Units!$Q70,MOD(CL$1-Units!$Q70,12)=0),IF(AND(Units!$L70=1,CL$1=Units!$Q70),1,Inputs!$B$15)*Inputs!$B$16*(1+Inputs!$B$11)^(CL$2-1),0)</f>
        <v>0</v>
      </c>
      <c r="CM71" s="11" t="n">
        <f aca="false">IF(AND(CM$1&gt;=Units!$Q70,MOD(CM$1-Units!$Q70,12)=0),IF(AND(Units!$L70=1,CM$1=Units!$Q70),1,Inputs!$B$15)*Inputs!$B$16*(1+Inputs!$B$11)^(CM$2-1),0)</f>
        <v>0</v>
      </c>
      <c r="CN71" s="11" t="n">
        <f aca="false">IF(AND(CN$1&gt;=Units!$Q70,MOD(CN$1-Units!$Q70,12)=0),IF(AND(Units!$L70=1,CN$1=Units!$Q70),1,Inputs!$B$15)*Inputs!$B$16*(1+Inputs!$B$11)^(CN$2-1),0)</f>
        <v>0</v>
      </c>
      <c r="CO71" s="11" t="n">
        <f aca="false">IF(AND(CO$1&gt;=Units!$Q70,MOD(CO$1-Units!$Q70,12)=0),IF(AND(Units!$L70=1,CO$1=Units!$Q70),1,Inputs!$B$15)*Inputs!$B$16*(1+Inputs!$B$11)^(CO$2-1),0)</f>
        <v>0</v>
      </c>
      <c r="CP71" s="11" t="n">
        <f aca="false">IF(AND(CP$1&gt;=Units!$Q70,MOD(CP$1-Units!$Q70,12)=0),IF(AND(Units!$L70=1,CP$1=Units!$Q70),1,Inputs!$B$15)*Inputs!$B$16*(1+Inputs!$B$11)^(CP$2-1),0)</f>
        <v>0</v>
      </c>
      <c r="CQ71" s="11" t="n">
        <f aca="false">IF(AND(CQ$1&gt;=Units!$Q70,MOD(CQ$1-Units!$Q70,12)=0),IF(AND(Units!$L70=1,CQ$1=Units!$Q70),1,Inputs!$B$15)*Inputs!$B$16*(1+Inputs!$B$11)^(CQ$2-1),0)</f>
        <v>0</v>
      </c>
      <c r="CR71" s="11" t="n">
        <f aca="false">IF(AND(CR$1&gt;=Units!$Q70,MOD(CR$1-Units!$Q70,12)=0),IF(AND(Units!$L70=1,CR$1=Units!$Q70),1,Inputs!$B$15)*Inputs!$B$16*(1+Inputs!$B$11)^(CR$2-1),0)</f>
        <v>0</v>
      </c>
      <c r="CS71" s="11" t="n">
        <f aca="false">IF(AND(CS$1&gt;=Units!$Q70,MOD(CS$1-Units!$Q70,12)=0),IF(AND(Units!$L70=1,CS$1=Units!$Q70),1,Inputs!$B$15)*Inputs!$B$16*(1+Inputs!$B$11)^(CS$2-1),0)</f>
        <v>0</v>
      </c>
      <c r="CT71" s="11" t="n">
        <f aca="false">IF(AND(CT$1&gt;=Units!$Q70,MOD(CT$1-Units!$Q70,12)=0),IF(AND(Units!$L70=1,CT$1=Units!$Q70),1,Inputs!$B$15)*Inputs!$B$16*(1+Inputs!$B$11)^(CT$2-1),0)</f>
        <v>0</v>
      </c>
      <c r="CU71" s="11" t="n">
        <f aca="false">IF(AND(CU$1&gt;=Units!$Q70,MOD(CU$1-Units!$Q70,12)=0),IF(AND(Units!$L70=1,CU$1=Units!$Q70),1,Inputs!$B$15)*Inputs!$B$16*(1+Inputs!$B$11)^(CU$2-1),0)</f>
        <v>0</v>
      </c>
      <c r="CV71" s="11" t="n">
        <f aca="false">IF(AND(CV$1&gt;=Units!$Q70,MOD(CV$1-Units!$Q70,12)=0),IF(AND(Units!$L70=1,CV$1=Units!$Q70),1,Inputs!$B$15)*Inputs!$B$16*(1+Inputs!$B$11)^(CV$2-1),0)</f>
        <v>633.385040693808</v>
      </c>
      <c r="CW71" s="11" t="n">
        <f aca="false">IF(AND(CW$1&gt;=Units!$Q70,MOD(CW$1-Units!$Q70,12)=0),IF(AND(Units!$L70=1,CW$1=Units!$Q70),1,Inputs!$B$15)*Inputs!$B$16*(1+Inputs!$B$11)^(CW$2-1),0)</f>
        <v>0</v>
      </c>
      <c r="CX71" s="11" t="n">
        <f aca="false">IF(AND(CX$1&gt;=Units!$Q70,MOD(CX$1-Units!$Q70,12)=0),IF(AND(Units!$L70=1,CX$1=Units!$Q70),1,Inputs!$B$15)*Inputs!$B$16*(1+Inputs!$B$11)^(CX$2-1),0)</f>
        <v>0</v>
      </c>
      <c r="CY71" s="11" t="n">
        <f aca="false">IF(AND(CY$1&gt;=Units!$Q70,MOD(CY$1-Units!$Q70,12)=0),IF(AND(Units!$L70=1,CY$1=Units!$Q70),1,Inputs!$B$15)*Inputs!$B$16*(1+Inputs!$B$11)^(CY$2-1),0)</f>
        <v>0</v>
      </c>
      <c r="CZ71" s="11" t="n">
        <f aca="false">IF(AND(CZ$1&gt;=Units!$Q70,MOD(CZ$1-Units!$Q70,12)=0),IF(AND(Units!$L70=1,CZ$1=Units!$Q70),1,Inputs!$B$15)*Inputs!$B$16*(1+Inputs!$B$11)^(CZ$2-1),0)</f>
        <v>0</v>
      </c>
      <c r="DA71" s="11" t="n">
        <f aca="false">IF(AND(DA$1&gt;=Units!$Q70,MOD(DA$1-Units!$Q70,12)=0),IF(AND(Units!$L70=1,DA$1=Units!$Q70),1,Inputs!$B$15)*Inputs!$B$16*(1+Inputs!$B$11)^(DA$2-1),0)</f>
        <v>0</v>
      </c>
      <c r="DB71" s="11" t="n">
        <f aca="false">IF(AND(DB$1&gt;=Units!$Q70,MOD(DB$1-Units!$Q70,12)=0),IF(AND(Units!$L70=1,DB$1=Units!$Q70),1,Inputs!$B$15)*Inputs!$B$16*(1+Inputs!$B$11)^(DB$2-1),0)</f>
        <v>0</v>
      </c>
      <c r="DC71" s="11" t="n">
        <f aca="false">IF(AND(DC$1&gt;=Units!$Q70,MOD(DC$1-Units!$Q70,12)=0),IF(AND(Units!$L70=1,DC$1=Units!$Q70),1,Inputs!$B$15)*Inputs!$B$16*(1+Inputs!$B$11)^(DC$2-1),0)</f>
        <v>0</v>
      </c>
      <c r="DD71" s="11" t="n">
        <f aca="false">IF(AND(DD$1&gt;=Units!$Q70,MOD(DD$1-Units!$Q70,12)=0),IF(AND(Units!$L70=1,DD$1=Units!$Q70),1,Inputs!$B$15)*Inputs!$B$16*(1+Inputs!$B$11)^(DD$2-1),0)</f>
        <v>0</v>
      </c>
      <c r="DE71" s="11" t="n">
        <f aca="false">IF(AND(DE$1&gt;=Units!$Q70,MOD(DE$1-Units!$Q70,12)=0),IF(AND(Units!$L70=1,DE$1=Units!$Q70),1,Inputs!$B$15)*Inputs!$B$16*(1+Inputs!$B$11)^(DE$2-1),0)</f>
        <v>0</v>
      </c>
      <c r="DF71" s="11" t="n">
        <f aca="false">IF(AND(DF$1&gt;=Units!$Q70,MOD(DF$1-Units!$Q70,12)=0),IF(AND(Units!$L70=1,DF$1=Units!$Q70),1,Inputs!$B$15)*Inputs!$B$16*(1+Inputs!$B$11)^(DF$2-1),0)</f>
        <v>0</v>
      </c>
      <c r="DG71" s="11" t="n">
        <f aca="false">IF(AND(DG$1&gt;=Units!$Q70,MOD(DG$1-Units!$Q70,12)=0),IF(AND(Units!$L70=1,DG$1=Units!$Q70),1,Inputs!$B$15)*Inputs!$B$16*(1+Inputs!$B$11)^(DG$2-1),0)</f>
        <v>0</v>
      </c>
      <c r="DH71" s="11" t="n">
        <f aca="false">IF(AND(DH$1&gt;=Units!$Q70,MOD(DH$1-Units!$Q70,12)=0),IF(AND(Units!$L70=1,DH$1=Units!$Q70),1,Inputs!$B$15)*Inputs!$B$16*(1+Inputs!$B$11)^(DH$2-1),0)</f>
        <v>652.386591914623</v>
      </c>
      <c r="DI71" s="11" t="n">
        <f aca="false">IF(AND(DI$1&gt;=Units!$Q70,MOD(DI$1-Units!$Q70,12)=0),IF(AND(Units!$L70=1,DI$1=Units!$Q70),1,Inputs!$B$15)*Inputs!$B$16*(1+Inputs!$B$11)^(DI$2-1),0)</f>
        <v>0</v>
      </c>
      <c r="DJ71" s="11" t="n">
        <f aca="false">IF(AND(DJ$1&gt;=Units!$Q70,MOD(DJ$1-Units!$Q70,12)=0),IF(AND(Units!$L70=1,DJ$1=Units!$Q70),1,Inputs!$B$15)*Inputs!$B$16*(1+Inputs!$B$11)^(DJ$2-1),0)</f>
        <v>0</v>
      </c>
      <c r="DK71" s="11" t="n">
        <f aca="false">IF(AND(DK$1&gt;=Units!$Q70,MOD(DK$1-Units!$Q70,12)=0),IF(AND(Units!$L70=1,DK$1=Units!$Q70),1,Inputs!$B$15)*Inputs!$B$16*(1+Inputs!$B$11)^(DK$2-1),0)</f>
        <v>0</v>
      </c>
      <c r="DL71" s="11" t="n">
        <f aca="false">IF(AND(DL$1&gt;=Units!$Q70,MOD(DL$1-Units!$Q70,12)=0),IF(AND(Units!$L70=1,DL$1=Units!$Q70),1,Inputs!$B$15)*Inputs!$B$16*(1+Inputs!$B$11)^(DL$2-1),0)</f>
        <v>0</v>
      </c>
      <c r="DM71" s="11" t="n">
        <f aca="false">IF(AND(DM$1&gt;=Units!$Q70,MOD(DM$1-Units!$Q70,12)=0),IF(AND(Units!$L70=1,DM$1=Units!$Q70),1,Inputs!$B$15)*Inputs!$B$16*(1+Inputs!$B$11)^(DM$2-1),0)</f>
        <v>0</v>
      </c>
      <c r="DN71" s="11" t="n">
        <f aca="false">IF(AND(DN$1&gt;=Units!$Q70,MOD(DN$1-Units!$Q70,12)=0),IF(AND(Units!$L70=1,DN$1=Units!$Q70),1,Inputs!$B$15)*Inputs!$B$16*(1+Inputs!$B$11)^(DN$2-1),0)</f>
        <v>0</v>
      </c>
      <c r="DO71" s="11" t="n">
        <f aca="false">IF(AND(DO$1&gt;=Units!$Q70,MOD(DO$1-Units!$Q70,12)=0),IF(AND(Units!$L70=1,DO$1=Units!$Q70),1,Inputs!$B$15)*Inputs!$B$16*(1+Inputs!$B$11)^(DO$2-1),0)</f>
        <v>0</v>
      </c>
      <c r="DP71" s="11" t="n">
        <f aca="false">IF(AND(DP$1&gt;=Units!$Q70,MOD(DP$1-Units!$Q70,12)=0),IF(AND(Units!$L70=1,DP$1=Units!$Q70),1,Inputs!$B$15)*Inputs!$B$16*(1+Inputs!$B$11)^(DP$2-1),0)</f>
        <v>0</v>
      </c>
      <c r="DQ71" s="11" t="n">
        <f aca="false">IF(AND(DQ$1&gt;=Units!$Q70,MOD(DQ$1-Units!$Q70,12)=0),IF(AND(Units!$L70=1,DQ$1=Units!$Q70),1,Inputs!$B$15)*Inputs!$B$16*(1+Inputs!$B$11)^(DQ$2-1),0)</f>
        <v>0</v>
      </c>
      <c r="DR71" s="11" t="n">
        <f aca="false">IF(AND(DR$1&gt;=Units!$Q70,MOD(DR$1-Units!$Q70,12)=0),IF(AND(Units!$L70=1,DR$1=Units!$Q70),1,Inputs!$B$15)*Inputs!$B$16*(1+Inputs!$B$11)^(DR$2-1),0)</f>
        <v>0</v>
      </c>
      <c r="DS71" s="11" t="n">
        <f aca="false">IF(AND(DS$1&gt;=Units!$Q70,MOD(DS$1-Units!$Q70,12)=0),IF(AND(Units!$L70=1,DS$1=Units!$Q70),1,Inputs!$B$15)*Inputs!$B$16*(1+Inputs!$B$11)^(DS$2-1),0)</f>
        <v>0</v>
      </c>
      <c r="DT71" s="11" t="n">
        <f aca="false">IF(AND(DT$1&gt;=Units!$Q70,MOD(DT$1-Units!$Q70,12)=0),IF(AND(Units!$L70=1,DT$1=Units!$Q70),1,Inputs!$B$15)*Inputs!$B$16*(1+Inputs!$B$11)^(DT$2-1),0)</f>
        <v>671.958189672061</v>
      </c>
      <c r="DU71" s="11" t="n">
        <f aca="false">IF(AND(DU$1&gt;=Units!$Q70,MOD(DU$1-Units!$Q70,12)=0),IF(AND(Units!$L70=1,DU$1=Units!$Q70),1,Inputs!$B$15)*Inputs!$B$16*(1+Inputs!$B$11)^(DU$2-1),0)</f>
        <v>0</v>
      </c>
      <c r="DV71" s="11" t="n">
        <f aca="false">IF(AND(DV$1&gt;=Units!$Q70,MOD(DV$1-Units!$Q70,12)=0),IF(AND(Units!$L70=1,DV$1=Units!$Q70),1,Inputs!$B$15)*Inputs!$B$16*(1+Inputs!$B$11)^(DV$2-1),0)</f>
        <v>0</v>
      </c>
      <c r="DW71" s="11" t="n">
        <f aca="false">IF(AND(DW$1&gt;=Units!$Q70,MOD(DW$1-Units!$Q70,12)=0),IF(AND(Units!$L70=1,DW$1=Units!$Q70),1,Inputs!$B$15)*Inputs!$B$16*(1+Inputs!$B$11)^(DW$2-1),0)</f>
        <v>0</v>
      </c>
      <c r="DX71" s="11" t="n">
        <f aca="false">IF(AND(DX$1&gt;=Units!$Q70,MOD(DX$1-Units!$Q70,12)=0),IF(AND(Units!$L70=1,DX$1=Units!$Q70),1,Inputs!$B$15)*Inputs!$B$16*(1+Inputs!$B$11)^(DX$2-1),0)</f>
        <v>0</v>
      </c>
      <c r="DY71" s="11" t="n">
        <f aca="false">IF(AND(DY$1&gt;=Units!$Q70,MOD(DY$1-Units!$Q70,12)=0),IF(AND(Units!$L70=1,DY$1=Units!$Q70),1,Inputs!$B$15)*Inputs!$B$16*(1+Inputs!$B$11)^(DY$2-1),0)</f>
        <v>0</v>
      </c>
      <c r="DZ71" s="11" t="n">
        <f aca="false">IF(AND(DZ$1&gt;=Units!$Q70,MOD(DZ$1-Units!$Q70,12)=0),IF(AND(Units!$L70=1,DZ$1=Units!$Q70),1,Inputs!$B$15)*Inputs!$B$16*(1+Inputs!$B$11)^(DZ$2-1),0)</f>
        <v>0</v>
      </c>
      <c r="EA71" s="11" t="n">
        <f aca="false">IF(AND(EA$1&gt;=Units!$Q70,MOD(EA$1-Units!$Q70,12)=0),IF(AND(Units!$L70=1,EA$1=Units!$Q70),1,Inputs!$B$15)*Inputs!$B$16*(1+Inputs!$B$11)^(EA$2-1),0)</f>
        <v>0</v>
      </c>
      <c r="EB71" s="11" t="n">
        <f aca="false">IF(AND(EB$1&gt;=Units!$Q70,MOD(EB$1-Units!$Q70,12)=0),IF(AND(Units!$L70=1,EB$1=Units!$Q70),1,Inputs!$B$15)*Inputs!$B$16*(1+Inputs!$B$11)^(EB$2-1),0)</f>
        <v>0</v>
      </c>
      <c r="EC71" s="11" t="n">
        <f aca="false">IF(AND(EC$1&gt;=Units!$Q70,MOD(EC$1-Units!$Q70,12)=0),IF(AND(Units!$L70=1,EC$1=Units!$Q70),1,Inputs!$B$15)*Inputs!$B$16*(1+Inputs!$B$11)^(EC$2-1),0)</f>
        <v>0</v>
      </c>
      <c r="ED71" s="11" t="n">
        <f aca="false">IF(AND(ED$1&gt;=Units!$Q70,MOD(ED$1-Units!$Q70,12)=0),IF(AND(Units!$L70=1,ED$1=Units!$Q70),1,Inputs!$B$15)*Inputs!$B$16*(1+Inputs!$B$11)^(ED$2-1),0)</f>
        <v>0</v>
      </c>
    </row>
    <row r="72" customFormat="false" ht="15" hidden="false" customHeight="false" outlineLevel="0" collapsed="false">
      <c r="A72" s="22" t="n">
        <f aca="false">Units!A71</f>
        <v>310</v>
      </c>
      <c r="B72" s="23"/>
      <c r="C72" s="11" t="n">
        <f aca="false">IF(AND(C$1&gt;=Units!$Q71,MOD(C$1-Units!$Q71,12)=0),IF(AND(Units!$L71=1,C$1=Units!$Q71),1,Inputs!$B$15)*Inputs!$B$16*(1+Inputs!$B$11)^(C$2-1),0)</f>
        <v>0</v>
      </c>
      <c r="D72" s="11" t="n">
        <f aca="false">IF(AND(D$1&gt;=Units!$Q71,MOD(D$1-Units!$Q71,12)=0),IF(AND(Units!$L71=1,D$1=Units!$Q71),1,Inputs!$B$15)*Inputs!$B$16*(1+Inputs!$B$11)^(D$2-1),0)</f>
        <v>0</v>
      </c>
      <c r="E72" s="11" t="n">
        <f aca="false">IF(AND(E$1&gt;=Units!$Q71,MOD(E$1-Units!$Q71,12)=0),IF(AND(Units!$L71=1,E$1=Units!$Q71),1,Inputs!$B$15)*Inputs!$B$16*(1+Inputs!$B$11)^(E$2-1),0)</f>
        <v>0</v>
      </c>
      <c r="F72" s="11" t="n">
        <f aca="false">IF(AND(F$1&gt;=Units!$Q71,MOD(F$1-Units!$Q71,12)=0),IF(AND(Units!$L71=1,F$1=Units!$Q71),1,Inputs!$B$15)*Inputs!$B$16*(1+Inputs!$B$11)^(F$2-1),0)</f>
        <v>0</v>
      </c>
      <c r="G72" s="11" t="n">
        <f aca="false">IF(AND(G$1&gt;=Units!$Q71,MOD(G$1-Units!$Q71,12)=0),IF(AND(Units!$L71=1,G$1=Units!$Q71),1,Inputs!$B$15)*Inputs!$B$16*(1+Inputs!$B$11)^(G$2-1),0)</f>
        <v>0</v>
      </c>
      <c r="H72" s="11" t="n">
        <f aca="false">IF(AND(H$1&gt;=Units!$Q71,MOD(H$1-Units!$Q71,12)=0),IF(AND(Units!$L71=1,H$1=Units!$Q71),1,Inputs!$B$15)*Inputs!$B$16*(1+Inputs!$B$11)^(H$2-1),0)</f>
        <v>0</v>
      </c>
      <c r="I72" s="11" t="n">
        <f aca="false">IF(AND(I$1&gt;=Units!$Q71,MOD(I$1-Units!$Q71,12)=0),IF(AND(Units!$L71=1,I$1=Units!$Q71),1,Inputs!$B$15)*Inputs!$B$16*(1+Inputs!$B$11)^(I$2-1),0)</f>
        <v>0</v>
      </c>
      <c r="J72" s="11" t="n">
        <f aca="false">IF(AND(J$1&gt;=Units!$Q71,MOD(J$1-Units!$Q71,12)=0),IF(AND(Units!$L71=1,J$1=Units!$Q71),1,Inputs!$B$15)*Inputs!$B$16*(1+Inputs!$B$11)^(J$2-1),0)</f>
        <v>0</v>
      </c>
      <c r="K72" s="11" t="n">
        <f aca="false">IF(AND(K$1&gt;=Units!$Q71,MOD(K$1-Units!$Q71,12)=0),IF(AND(Units!$L71=1,K$1=Units!$Q71),1,Inputs!$B$15)*Inputs!$B$16*(1+Inputs!$B$11)^(K$2-1),0)</f>
        <v>0</v>
      </c>
      <c r="L72" s="11" t="n">
        <f aca="false">IF(AND(L$1&gt;=Units!$Q71,MOD(L$1-Units!$Q71,12)=0),IF(AND(Units!$L71=1,L$1=Units!$Q71),1,Inputs!$B$15)*Inputs!$B$16*(1+Inputs!$B$11)^(L$2-1),0)</f>
        <v>500</v>
      </c>
      <c r="M72" s="11" t="n">
        <f aca="false">IF(AND(M$1&gt;=Units!$Q71,MOD(M$1-Units!$Q71,12)=0),IF(AND(Units!$L71=1,M$1=Units!$Q71),1,Inputs!$B$15)*Inputs!$B$16*(1+Inputs!$B$11)^(M$2-1),0)</f>
        <v>0</v>
      </c>
      <c r="N72" s="11" t="n">
        <f aca="false">IF(AND(N$1&gt;=Units!$Q71,MOD(N$1-Units!$Q71,12)=0),IF(AND(Units!$L71=1,N$1=Units!$Q71),1,Inputs!$B$15)*Inputs!$B$16*(1+Inputs!$B$11)^(N$2-1),0)</f>
        <v>0</v>
      </c>
      <c r="O72" s="11" t="n">
        <f aca="false">IF(AND(O$1&gt;=Units!$Q71,MOD(O$1-Units!$Q71,12)=0),IF(AND(Units!$L71=1,O$1=Units!$Q71),1,Inputs!$B$15)*Inputs!$B$16*(1+Inputs!$B$11)^(O$2-1),0)</f>
        <v>0</v>
      </c>
      <c r="P72" s="11" t="n">
        <f aca="false">IF(AND(P$1&gt;=Units!$Q71,MOD(P$1-Units!$Q71,12)=0),IF(AND(Units!$L71=1,P$1=Units!$Q71),1,Inputs!$B$15)*Inputs!$B$16*(1+Inputs!$B$11)^(P$2-1),0)</f>
        <v>0</v>
      </c>
      <c r="Q72" s="11" t="n">
        <f aca="false">IF(AND(Q$1&gt;=Units!$Q71,MOD(Q$1-Units!$Q71,12)=0),IF(AND(Units!$L71=1,Q$1=Units!$Q71),1,Inputs!$B$15)*Inputs!$B$16*(1+Inputs!$B$11)^(Q$2-1),0)</f>
        <v>0</v>
      </c>
      <c r="R72" s="11" t="n">
        <f aca="false">IF(AND(R$1&gt;=Units!$Q71,MOD(R$1-Units!$Q71,12)=0),IF(AND(Units!$L71=1,R$1=Units!$Q71),1,Inputs!$B$15)*Inputs!$B$16*(1+Inputs!$B$11)^(R$2-1),0)</f>
        <v>0</v>
      </c>
      <c r="S72" s="11" t="n">
        <f aca="false">IF(AND(S$1&gt;=Units!$Q71,MOD(S$1-Units!$Q71,12)=0),IF(AND(Units!$L71=1,S$1=Units!$Q71),1,Inputs!$B$15)*Inputs!$B$16*(1+Inputs!$B$11)^(S$2-1),0)</f>
        <v>0</v>
      </c>
      <c r="T72" s="11" t="n">
        <f aca="false">IF(AND(T$1&gt;=Units!$Q71,MOD(T$1-Units!$Q71,12)=0),IF(AND(Units!$L71=1,T$1=Units!$Q71),1,Inputs!$B$15)*Inputs!$B$16*(1+Inputs!$B$11)^(T$2-1),0)</f>
        <v>0</v>
      </c>
      <c r="U72" s="11" t="n">
        <f aca="false">IF(AND(U$1&gt;=Units!$Q71,MOD(U$1-Units!$Q71,12)=0),IF(AND(Units!$L71=1,U$1=Units!$Q71),1,Inputs!$B$15)*Inputs!$B$16*(1+Inputs!$B$11)^(U$2-1),0)</f>
        <v>0</v>
      </c>
      <c r="V72" s="11" t="n">
        <f aca="false">IF(AND(V$1&gt;=Units!$Q71,MOD(V$1-Units!$Q71,12)=0),IF(AND(Units!$L71=1,V$1=Units!$Q71),1,Inputs!$B$15)*Inputs!$B$16*(1+Inputs!$B$11)^(V$2-1),0)</f>
        <v>0</v>
      </c>
      <c r="W72" s="11" t="n">
        <f aca="false">IF(AND(W$1&gt;=Units!$Q71,MOD(W$1-Units!$Q71,12)=0),IF(AND(Units!$L71=1,W$1=Units!$Q71),1,Inputs!$B$15)*Inputs!$B$16*(1+Inputs!$B$11)^(W$2-1),0)</f>
        <v>0</v>
      </c>
      <c r="X72" s="11" t="n">
        <f aca="false">IF(AND(X$1&gt;=Units!$Q71,MOD(X$1-Units!$Q71,12)=0),IF(AND(Units!$L71=1,X$1=Units!$Q71),1,Inputs!$B$15)*Inputs!$B$16*(1+Inputs!$B$11)^(X$2-1),0)</f>
        <v>515</v>
      </c>
      <c r="Y72" s="11" t="n">
        <f aca="false">IF(AND(Y$1&gt;=Units!$Q71,MOD(Y$1-Units!$Q71,12)=0),IF(AND(Units!$L71=1,Y$1=Units!$Q71),1,Inputs!$B$15)*Inputs!$B$16*(1+Inputs!$B$11)^(Y$2-1),0)</f>
        <v>0</v>
      </c>
      <c r="Z72" s="11" t="n">
        <f aca="false">IF(AND(Z$1&gt;=Units!$Q71,MOD(Z$1-Units!$Q71,12)=0),IF(AND(Units!$L71=1,Z$1=Units!$Q71),1,Inputs!$B$15)*Inputs!$B$16*(1+Inputs!$B$11)^(Z$2-1),0)</f>
        <v>0</v>
      </c>
      <c r="AA72" s="11" t="n">
        <f aca="false">IF(AND(AA$1&gt;=Units!$Q71,MOD(AA$1-Units!$Q71,12)=0),IF(AND(Units!$L71=1,AA$1=Units!$Q71),1,Inputs!$B$15)*Inputs!$B$16*(1+Inputs!$B$11)^(AA$2-1),0)</f>
        <v>0</v>
      </c>
      <c r="AB72" s="11" t="n">
        <f aca="false">IF(AND(AB$1&gt;=Units!$Q71,MOD(AB$1-Units!$Q71,12)=0),IF(AND(Units!$L71=1,AB$1=Units!$Q71),1,Inputs!$B$15)*Inputs!$B$16*(1+Inputs!$B$11)^(AB$2-1),0)</f>
        <v>0</v>
      </c>
      <c r="AC72" s="11" t="n">
        <f aca="false">IF(AND(AC$1&gt;=Units!$Q71,MOD(AC$1-Units!$Q71,12)=0),IF(AND(Units!$L71=1,AC$1=Units!$Q71),1,Inputs!$B$15)*Inputs!$B$16*(1+Inputs!$B$11)^(AC$2-1),0)</f>
        <v>0</v>
      </c>
      <c r="AD72" s="11" t="n">
        <f aca="false">IF(AND(AD$1&gt;=Units!$Q71,MOD(AD$1-Units!$Q71,12)=0),IF(AND(Units!$L71=1,AD$1=Units!$Q71),1,Inputs!$B$15)*Inputs!$B$16*(1+Inputs!$B$11)^(AD$2-1),0)</f>
        <v>0</v>
      </c>
      <c r="AE72" s="11" t="n">
        <f aca="false">IF(AND(AE$1&gt;=Units!$Q71,MOD(AE$1-Units!$Q71,12)=0),IF(AND(Units!$L71=1,AE$1=Units!$Q71),1,Inputs!$B$15)*Inputs!$B$16*(1+Inputs!$B$11)^(AE$2-1),0)</f>
        <v>0</v>
      </c>
      <c r="AF72" s="11" t="n">
        <f aca="false">IF(AND(AF$1&gt;=Units!$Q71,MOD(AF$1-Units!$Q71,12)=0),IF(AND(Units!$L71=1,AF$1=Units!$Q71),1,Inputs!$B$15)*Inputs!$B$16*(1+Inputs!$B$11)^(AF$2-1),0)</f>
        <v>0</v>
      </c>
      <c r="AG72" s="11" t="n">
        <f aca="false">IF(AND(AG$1&gt;=Units!$Q71,MOD(AG$1-Units!$Q71,12)=0),IF(AND(Units!$L71=1,AG$1=Units!$Q71),1,Inputs!$B$15)*Inputs!$B$16*(1+Inputs!$B$11)^(AG$2-1),0)</f>
        <v>0</v>
      </c>
      <c r="AH72" s="11" t="n">
        <f aca="false">IF(AND(AH$1&gt;=Units!$Q71,MOD(AH$1-Units!$Q71,12)=0),IF(AND(Units!$L71=1,AH$1=Units!$Q71),1,Inputs!$B$15)*Inputs!$B$16*(1+Inputs!$B$11)^(AH$2-1),0)</f>
        <v>0</v>
      </c>
      <c r="AI72" s="11" t="n">
        <f aca="false">IF(AND(AI$1&gt;=Units!$Q71,MOD(AI$1-Units!$Q71,12)=0),IF(AND(Units!$L71=1,AI$1=Units!$Q71),1,Inputs!$B$15)*Inputs!$B$16*(1+Inputs!$B$11)^(AI$2-1),0)</f>
        <v>0</v>
      </c>
      <c r="AJ72" s="11" t="n">
        <f aca="false">IF(AND(AJ$1&gt;=Units!$Q71,MOD(AJ$1-Units!$Q71,12)=0),IF(AND(Units!$L71=1,AJ$1=Units!$Q71),1,Inputs!$B$15)*Inputs!$B$16*(1+Inputs!$B$11)^(AJ$2-1),0)</f>
        <v>530.45</v>
      </c>
      <c r="AK72" s="11" t="n">
        <f aca="false">IF(AND(AK$1&gt;=Units!$Q71,MOD(AK$1-Units!$Q71,12)=0),IF(AND(Units!$L71=1,AK$1=Units!$Q71),1,Inputs!$B$15)*Inputs!$B$16*(1+Inputs!$B$11)^(AK$2-1),0)</f>
        <v>0</v>
      </c>
      <c r="AL72" s="11" t="n">
        <f aca="false">IF(AND(AL$1&gt;=Units!$Q71,MOD(AL$1-Units!$Q71,12)=0),IF(AND(Units!$L71=1,AL$1=Units!$Q71),1,Inputs!$B$15)*Inputs!$B$16*(1+Inputs!$B$11)^(AL$2-1),0)</f>
        <v>0</v>
      </c>
      <c r="AM72" s="11" t="n">
        <f aca="false">IF(AND(AM$1&gt;=Units!$Q71,MOD(AM$1-Units!$Q71,12)=0),IF(AND(Units!$L71=1,AM$1=Units!$Q71),1,Inputs!$B$15)*Inputs!$B$16*(1+Inputs!$B$11)^(AM$2-1),0)</f>
        <v>0</v>
      </c>
      <c r="AN72" s="11" t="n">
        <f aca="false">IF(AND(AN$1&gt;=Units!$Q71,MOD(AN$1-Units!$Q71,12)=0),IF(AND(Units!$L71=1,AN$1=Units!$Q71),1,Inputs!$B$15)*Inputs!$B$16*(1+Inputs!$B$11)^(AN$2-1),0)</f>
        <v>0</v>
      </c>
      <c r="AO72" s="11" t="n">
        <f aca="false">IF(AND(AO$1&gt;=Units!$Q71,MOD(AO$1-Units!$Q71,12)=0),IF(AND(Units!$L71=1,AO$1=Units!$Q71),1,Inputs!$B$15)*Inputs!$B$16*(1+Inputs!$B$11)^(AO$2-1),0)</f>
        <v>0</v>
      </c>
      <c r="AP72" s="11" t="n">
        <f aca="false">IF(AND(AP$1&gt;=Units!$Q71,MOD(AP$1-Units!$Q71,12)=0),IF(AND(Units!$L71=1,AP$1=Units!$Q71),1,Inputs!$B$15)*Inputs!$B$16*(1+Inputs!$B$11)^(AP$2-1),0)</f>
        <v>0</v>
      </c>
      <c r="AQ72" s="11" t="n">
        <f aca="false">IF(AND(AQ$1&gt;=Units!$Q71,MOD(AQ$1-Units!$Q71,12)=0),IF(AND(Units!$L71=1,AQ$1=Units!$Q71),1,Inputs!$B$15)*Inputs!$B$16*(1+Inputs!$B$11)^(AQ$2-1),0)</f>
        <v>0</v>
      </c>
      <c r="AR72" s="11" t="n">
        <f aca="false">IF(AND(AR$1&gt;=Units!$Q71,MOD(AR$1-Units!$Q71,12)=0),IF(AND(Units!$L71=1,AR$1=Units!$Q71),1,Inputs!$B$15)*Inputs!$B$16*(1+Inputs!$B$11)^(AR$2-1),0)</f>
        <v>0</v>
      </c>
      <c r="AS72" s="11" t="n">
        <f aca="false">IF(AND(AS$1&gt;=Units!$Q71,MOD(AS$1-Units!$Q71,12)=0),IF(AND(Units!$L71=1,AS$1=Units!$Q71),1,Inputs!$B$15)*Inputs!$B$16*(1+Inputs!$B$11)^(AS$2-1),0)</f>
        <v>0</v>
      </c>
      <c r="AT72" s="11" t="n">
        <f aca="false">IF(AND(AT$1&gt;=Units!$Q71,MOD(AT$1-Units!$Q71,12)=0),IF(AND(Units!$L71=1,AT$1=Units!$Q71),1,Inputs!$B$15)*Inputs!$B$16*(1+Inputs!$B$11)^(AT$2-1),0)</f>
        <v>0</v>
      </c>
      <c r="AU72" s="11" t="n">
        <f aca="false">IF(AND(AU$1&gt;=Units!$Q71,MOD(AU$1-Units!$Q71,12)=0),IF(AND(Units!$L71=1,AU$1=Units!$Q71),1,Inputs!$B$15)*Inputs!$B$16*(1+Inputs!$B$11)^(AU$2-1),0)</f>
        <v>0</v>
      </c>
      <c r="AV72" s="11" t="n">
        <f aca="false">IF(AND(AV$1&gt;=Units!$Q71,MOD(AV$1-Units!$Q71,12)=0),IF(AND(Units!$L71=1,AV$1=Units!$Q71),1,Inputs!$B$15)*Inputs!$B$16*(1+Inputs!$B$11)^(AV$2-1),0)</f>
        <v>546.3635</v>
      </c>
      <c r="AW72" s="11" t="n">
        <f aca="false">IF(AND(AW$1&gt;=Units!$Q71,MOD(AW$1-Units!$Q71,12)=0),IF(AND(Units!$L71=1,AW$1=Units!$Q71),1,Inputs!$B$15)*Inputs!$B$16*(1+Inputs!$B$11)^(AW$2-1),0)</f>
        <v>0</v>
      </c>
      <c r="AX72" s="11" t="n">
        <f aca="false">IF(AND(AX$1&gt;=Units!$Q71,MOD(AX$1-Units!$Q71,12)=0),IF(AND(Units!$L71=1,AX$1=Units!$Q71),1,Inputs!$B$15)*Inputs!$B$16*(1+Inputs!$B$11)^(AX$2-1),0)</f>
        <v>0</v>
      </c>
      <c r="AY72" s="11" t="n">
        <f aca="false">IF(AND(AY$1&gt;=Units!$Q71,MOD(AY$1-Units!$Q71,12)=0),IF(AND(Units!$L71=1,AY$1=Units!$Q71),1,Inputs!$B$15)*Inputs!$B$16*(1+Inputs!$B$11)^(AY$2-1),0)</f>
        <v>0</v>
      </c>
      <c r="AZ72" s="11" t="n">
        <f aca="false">IF(AND(AZ$1&gt;=Units!$Q71,MOD(AZ$1-Units!$Q71,12)=0),IF(AND(Units!$L71=1,AZ$1=Units!$Q71),1,Inputs!$B$15)*Inputs!$B$16*(1+Inputs!$B$11)^(AZ$2-1),0)</f>
        <v>0</v>
      </c>
      <c r="BA72" s="11" t="n">
        <f aca="false">IF(AND(BA$1&gt;=Units!$Q71,MOD(BA$1-Units!$Q71,12)=0),IF(AND(Units!$L71=1,BA$1=Units!$Q71),1,Inputs!$B$15)*Inputs!$B$16*(1+Inputs!$B$11)^(BA$2-1),0)</f>
        <v>0</v>
      </c>
      <c r="BB72" s="11" t="n">
        <f aca="false">IF(AND(BB$1&gt;=Units!$Q71,MOD(BB$1-Units!$Q71,12)=0),IF(AND(Units!$L71=1,BB$1=Units!$Q71),1,Inputs!$B$15)*Inputs!$B$16*(1+Inputs!$B$11)^(BB$2-1),0)</f>
        <v>0</v>
      </c>
      <c r="BC72" s="11" t="n">
        <f aca="false">IF(AND(BC$1&gt;=Units!$Q71,MOD(BC$1-Units!$Q71,12)=0),IF(AND(Units!$L71=1,BC$1=Units!$Q71),1,Inputs!$B$15)*Inputs!$B$16*(1+Inputs!$B$11)^(BC$2-1),0)</f>
        <v>0</v>
      </c>
      <c r="BD72" s="11" t="n">
        <f aca="false">IF(AND(BD$1&gt;=Units!$Q71,MOD(BD$1-Units!$Q71,12)=0),IF(AND(Units!$L71=1,BD$1=Units!$Q71),1,Inputs!$B$15)*Inputs!$B$16*(1+Inputs!$B$11)^(BD$2-1),0)</f>
        <v>0</v>
      </c>
      <c r="BE72" s="11" t="n">
        <f aca="false">IF(AND(BE$1&gt;=Units!$Q71,MOD(BE$1-Units!$Q71,12)=0),IF(AND(Units!$L71=1,BE$1=Units!$Q71),1,Inputs!$B$15)*Inputs!$B$16*(1+Inputs!$B$11)^(BE$2-1),0)</f>
        <v>0</v>
      </c>
      <c r="BF72" s="11" t="n">
        <f aca="false">IF(AND(BF$1&gt;=Units!$Q71,MOD(BF$1-Units!$Q71,12)=0),IF(AND(Units!$L71=1,BF$1=Units!$Q71),1,Inputs!$B$15)*Inputs!$B$16*(1+Inputs!$B$11)^(BF$2-1),0)</f>
        <v>0</v>
      </c>
      <c r="BG72" s="11" t="n">
        <f aca="false">IF(AND(BG$1&gt;=Units!$Q71,MOD(BG$1-Units!$Q71,12)=0),IF(AND(Units!$L71=1,BG$1=Units!$Q71),1,Inputs!$B$15)*Inputs!$B$16*(1+Inputs!$B$11)^(BG$2-1),0)</f>
        <v>0</v>
      </c>
      <c r="BH72" s="11" t="n">
        <f aca="false">IF(AND(BH$1&gt;=Units!$Q71,MOD(BH$1-Units!$Q71,12)=0),IF(AND(Units!$L71=1,BH$1=Units!$Q71),1,Inputs!$B$15)*Inputs!$B$16*(1+Inputs!$B$11)^(BH$2-1),0)</f>
        <v>562.754405</v>
      </c>
      <c r="BI72" s="11" t="n">
        <f aca="false">IF(AND(BI$1&gt;=Units!$Q71,MOD(BI$1-Units!$Q71,12)=0),IF(AND(Units!$L71=1,BI$1=Units!$Q71),1,Inputs!$B$15)*Inputs!$B$16*(1+Inputs!$B$11)^(BI$2-1),0)</f>
        <v>0</v>
      </c>
      <c r="BJ72" s="11" t="n">
        <f aca="false">IF(AND(BJ$1&gt;=Units!$Q71,MOD(BJ$1-Units!$Q71,12)=0),IF(AND(Units!$L71=1,BJ$1=Units!$Q71),1,Inputs!$B$15)*Inputs!$B$16*(1+Inputs!$B$11)^(BJ$2-1),0)</f>
        <v>0</v>
      </c>
      <c r="BK72" s="11" t="n">
        <f aca="false">IF(AND(BK$1&gt;=Units!$Q71,MOD(BK$1-Units!$Q71,12)=0),IF(AND(Units!$L71=1,BK$1=Units!$Q71),1,Inputs!$B$15)*Inputs!$B$16*(1+Inputs!$B$11)^(BK$2-1),0)</f>
        <v>0</v>
      </c>
      <c r="BL72" s="11" t="n">
        <f aca="false">IF(AND(BL$1&gt;=Units!$Q71,MOD(BL$1-Units!$Q71,12)=0),IF(AND(Units!$L71=1,BL$1=Units!$Q71),1,Inputs!$B$15)*Inputs!$B$16*(1+Inputs!$B$11)^(BL$2-1),0)</f>
        <v>0</v>
      </c>
      <c r="BM72" s="11" t="n">
        <f aca="false">IF(AND(BM$1&gt;=Units!$Q71,MOD(BM$1-Units!$Q71,12)=0),IF(AND(Units!$L71=1,BM$1=Units!$Q71),1,Inputs!$B$15)*Inputs!$B$16*(1+Inputs!$B$11)^(BM$2-1),0)</f>
        <v>0</v>
      </c>
      <c r="BN72" s="11" t="n">
        <f aca="false">IF(AND(BN$1&gt;=Units!$Q71,MOD(BN$1-Units!$Q71,12)=0),IF(AND(Units!$L71=1,BN$1=Units!$Q71),1,Inputs!$B$15)*Inputs!$B$16*(1+Inputs!$B$11)^(BN$2-1),0)</f>
        <v>0</v>
      </c>
      <c r="BO72" s="11" t="n">
        <f aca="false">IF(AND(BO$1&gt;=Units!$Q71,MOD(BO$1-Units!$Q71,12)=0),IF(AND(Units!$L71=1,BO$1=Units!$Q71),1,Inputs!$B$15)*Inputs!$B$16*(1+Inputs!$B$11)^(BO$2-1),0)</f>
        <v>0</v>
      </c>
      <c r="BP72" s="11" t="n">
        <f aca="false">IF(AND(BP$1&gt;=Units!$Q71,MOD(BP$1-Units!$Q71,12)=0),IF(AND(Units!$L71=1,BP$1=Units!$Q71),1,Inputs!$B$15)*Inputs!$B$16*(1+Inputs!$B$11)^(BP$2-1),0)</f>
        <v>0</v>
      </c>
      <c r="BQ72" s="11" t="n">
        <f aca="false">IF(AND(BQ$1&gt;=Units!$Q71,MOD(BQ$1-Units!$Q71,12)=0),IF(AND(Units!$L71=1,BQ$1=Units!$Q71),1,Inputs!$B$15)*Inputs!$B$16*(1+Inputs!$B$11)^(BQ$2-1),0)</f>
        <v>0</v>
      </c>
      <c r="BR72" s="11" t="n">
        <f aca="false">IF(AND(BR$1&gt;=Units!$Q71,MOD(BR$1-Units!$Q71,12)=0),IF(AND(Units!$L71=1,BR$1=Units!$Q71),1,Inputs!$B$15)*Inputs!$B$16*(1+Inputs!$B$11)^(BR$2-1),0)</f>
        <v>0</v>
      </c>
      <c r="BS72" s="11" t="n">
        <f aca="false">IF(AND(BS$1&gt;=Units!$Q71,MOD(BS$1-Units!$Q71,12)=0),IF(AND(Units!$L71=1,BS$1=Units!$Q71),1,Inputs!$B$15)*Inputs!$B$16*(1+Inputs!$B$11)^(BS$2-1),0)</f>
        <v>0</v>
      </c>
      <c r="BT72" s="11" t="n">
        <f aca="false">IF(AND(BT$1&gt;=Units!$Q71,MOD(BT$1-Units!$Q71,12)=0),IF(AND(Units!$L71=1,BT$1=Units!$Q71),1,Inputs!$B$15)*Inputs!$B$16*(1+Inputs!$B$11)^(BT$2-1),0)</f>
        <v>579.63703715</v>
      </c>
      <c r="BU72" s="11" t="n">
        <f aca="false">IF(AND(BU$1&gt;=Units!$Q71,MOD(BU$1-Units!$Q71,12)=0),IF(AND(Units!$L71=1,BU$1=Units!$Q71),1,Inputs!$B$15)*Inputs!$B$16*(1+Inputs!$B$11)^(BU$2-1),0)</f>
        <v>0</v>
      </c>
      <c r="BV72" s="11" t="n">
        <f aca="false">IF(AND(BV$1&gt;=Units!$Q71,MOD(BV$1-Units!$Q71,12)=0),IF(AND(Units!$L71=1,BV$1=Units!$Q71),1,Inputs!$B$15)*Inputs!$B$16*(1+Inputs!$B$11)^(BV$2-1),0)</f>
        <v>0</v>
      </c>
      <c r="BW72" s="11" t="n">
        <f aca="false">IF(AND(BW$1&gt;=Units!$Q71,MOD(BW$1-Units!$Q71,12)=0),IF(AND(Units!$L71=1,BW$1=Units!$Q71),1,Inputs!$B$15)*Inputs!$B$16*(1+Inputs!$B$11)^(BW$2-1),0)</f>
        <v>0</v>
      </c>
      <c r="BX72" s="11" t="n">
        <f aca="false">IF(AND(BX$1&gt;=Units!$Q71,MOD(BX$1-Units!$Q71,12)=0),IF(AND(Units!$L71=1,BX$1=Units!$Q71),1,Inputs!$B$15)*Inputs!$B$16*(1+Inputs!$B$11)^(BX$2-1),0)</f>
        <v>0</v>
      </c>
      <c r="BY72" s="11" t="n">
        <f aca="false">IF(AND(BY$1&gt;=Units!$Q71,MOD(BY$1-Units!$Q71,12)=0),IF(AND(Units!$L71=1,BY$1=Units!$Q71),1,Inputs!$B$15)*Inputs!$B$16*(1+Inputs!$B$11)^(BY$2-1),0)</f>
        <v>0</v>
      </c>
      <c r="BZ72" s="11" t="n">
        <f aca="false">IF(AND(BZ$1&gt;=Units!$Q71,MOD(BZ$1-Units!$Q71,12)=0),IF(AND(Units!$L71=1,BZ$1=Units!$Q71),1,Inputs!$B$15)*Inputs!$B$16*(1+Inputs!$B$11)^(BZ$2-1),0)</f>
        <v>0</v>
      </c>
      <c r="CA72" s="11" t="n">
        <f aca="false">IF(AND(CA$1&gt;=Units!$Q71,MOD(CA$1-Units!$Q71,12)=0),IF(AND(Units!$L71=1,CA$1=Units!$Q71),1,Inputs!$B$15)*Inputs!$B$16*(1+Inputs!$B$11)^(CA$2-1),0)</f>
        <v>0</v>
      </c>
      <c r="CB72" s="11" t="n">
        <f aca="false">IF(AND(CB$1&gt;=Units!$Q71,MOD(CB$1-Units!$Q71,12)=0),IF(AND(Units!$L71=1,CB$1=Units!$Q71),1,Inputs!$B$15)*Inputs!$B$16*(1+Inputs!$B$11)^(CB$2-1),0)</f>
        <v>0</v>
      </c>
      <c r="CC72" s="11" t="n">
        <f aca="false">IF(AND(CC$1&gt;=Units!$Q71,MOD(CC$1-Units!$Q71,12)=0),IF(AND(Units!$L71=1,CC$1=Units!$Q71),1,Inputs!$B$15)*Inputs!$B$16*(1+Inputs!$B$11)^(CC$2-1),0)</f>
        <v>0</v>
      </c>
      <c r="CD72" s="11" t="n">
        <f aca="false">IF(AND(CD$1&gt;=Units!$Q71,MOD(CD$1-Units!$Q71,12)=0),IF(AND(Units!$L71=1,CD$1=Units!$Q71),1,Inputs!$B$15)*Inputs!$B$16*(1+Inputs!$B$11)^(CD$2-1),0)</f>
        <v>0</v>
      </c>
      <c r="CE72" s="11" t="n">
        <f aca="false">IF(AND(CE$1&gt;=Units!$Q71,MOD(CE$1-Units!$Q71,12)=0),IF(AND(Units!$L71=1,CE$1=Units!$Q71),1,Inputs!$B$15)*Inputs!$B$16*(1+Inputs!$B$11)^(CE$2-1),0)</f>
        <v>0</v>
      </c>
      <c r="CF72" s="11" t="n">
        <f aca="false">IF(AND(CF$1&gt;=Units!$Q71,MOD(CF$1-Units!$Q71,12)=0),IF(AND(Units!$L71=1,CF$1=Units!$Q71),1,Inputs!$B$15)*Inputs!$B$16*(1+Inputs!$B$11)^(CF$2-1),0)</f>
        <v>597.0261482645</v>
      </c>
      <c r="CG72" s="11" t="n">
        <f aca="false">IF(AND(CG$1&gt;=Units!$Q71,MOD(CG$1-Units!$Q71,12)=0),IF(AND(Units!$L71=1,CG$1=Units!$Q71),1,Inputs!$B$15)*Inputs!$B$16*(1+Inputs!$B$11)^(CG$2-1),0)</f>
        <v>0</v>
      </c>
      <c r="CH72" s="11" t="n">
        <f aca="false">IF(AND(CH$1&gt;=Units!$Q71,MOD(CH$1-Units!$Q71,12)=0),IF(AND(Units!$L71=1,CH$1=Units!$Q71),1,Inputs!$B$15)*Inputs!$B$16*(1+Inputs!$B$11)^(CH$2-1),0)</f>
        <v>0</v>
      </c>
      <c r="CI72" s="11" t="n">
        <f aca="false">IF(AND(CI$1&gt;=Units!$Q71,MOD(CI$1-Units!$Q71,12)=0),IF(AND(Units!$L71=1,CI$1=Units!$Q71),1,Inputs!$B$15)*Inputs!$B$16*(1+Inputs!$B$11)^(CI$2-1),0)</f>
        <v>0</v>
      </c>
      <c r="CJ72" s="11" t="n">
        <f aca="false">IF(AND(CJ$1&gt;=Units!$Q71,MOD(CJ$1-Units!$Q71,12)=0),IF(AND(Units!$L71=1,CJ$1=Units!$Q71),1,Inputs!$B$15)*Inputs!$B$16*(1+Inputs!$B$11)^(CJ$2-1),0)</f>
        <v>0</v>
      </c>
      <c r="CK72" s="11" t="n">
        <f aca="false">IF(AND(CK$1&gt;=Units!$Q71,MOD(CK$1-Units!$Q71,12)=0),IF(AND(Units!$L71=1,CK$1=Units!$Q71),1,Inputs!$B$15)*Inputs!$B$16*(1+Inputs!$B$11)^(CK$2-1),0)</f>
        <v>0</v>
      </c>
      <c r="CL72" s="11" t="n">
        <f aca="false">IF(AND(CL$1&gt;=Units!$Q71,MOD(CL$1-Units!$Q71,12)=0),IF(AND(Units!$L71=1,CL$1=Units!$Q71),1,Inputs!$B$15)*Inputs!$B$16*(1+Inputs!$B$11)^(CL$2-1),0)</f>
        <v>0</v>
      </c>
      <c r="CM72" s="11" t="n">
        <f aca="false">IF(AND(CM$1&gt;=Units!$Q71,MOD(CM$1-Units!$Q71,12)=0),IF(AND(Units!$L71=1,CM$1=Units!$Q71),1,Inputs!$B$15)*Inputs!$B$16*(1+Inputs!$B$11)^(CM$2-1),0)</f>
        <v>0</v>
      </c>
      <c r="CN72" s="11" t="n">
        <f aca="false">IF(AND(CN$1&gt;=Units!$Q71,MOD(CN$1-Units!$Q71,12)=0),IF(AND(Units!$L71=1,CN$1=Units!$Q71),1,Inputs!$B$15)*Inputs!$B$16*(1+Inputs!$B$11)^(CN$2-1),0)</f>
        <v>0</v>
      </c>
      <c r="CO72" s="11" t="n">
        <f aca="false">IF(AND(CO$1&gt;=Units!$Q71,MOD(CO$1-Units!$Q71,12)=0),IF(AND(Units!$L71=1,CO$1=Units!$Q71),1,Inputs!$B$15)*Inputs!$B$16*(1+Inputs!$B$11)^(CO$2-1),0)</f>
        <v>0</v>
      </c>
      <c r="CP72" s="11" t="n">
        <f aca="false">IF(AND(CP$1&gt;=Units!$Q71,MOD(CP$1-Units!$Q71,12)=0),IF(AND(Units!$L71=1,CP$1=Units!$Q71),1,Inputs!$B$15)*Inputs!$B$16*(1+Inputs!$B$11)^(CP$2-1),0)</f>
        <v>0</v>
      </c>
      <c r="CQ72" s="11" t="n">
        <f aca="false">IF(AND(CQ$1&gt;=Units!$Q71,MOD(CQ$1-Units!$Q71,12)=0),IF(AND(Units!$L71=1,CQ$1=Units!$Q71),1,Inputs!$B$15)*Inputs!$B$16*(1+Inputs!$B$11)^(CQ$2-1),0)</f>
        <v>0</v>
      </c>
      <c r="CR72" s="11" t="n">
        <f aca="false">IF(AND(CR$1&gt;=Units!$Q71,MOD(CR$1-Units!$Q71,12)=0),IF(AND(Units!$L71=1,CR$1=Units!$Q71),1,Inputs!$B$15)*Inputs!$B$16*(1+Inputs!$B$11)^(CR$2-1),0)</f>
        <v>614.936932712435</v>
      </c>
      <c r="CS72" s="11" t="n">
        <f aca="false">IF(AND(CS$1&gt;=Units!$Q71,MOD(CS$1-Units!$Q71,12)=0),IF(AND(Units!$L71=1,CS$1=Units!$Q71),1,Inputs!$B$15)*Inputs!$B$16*(1+Inputs!$B$11)^(CS$2-1),0)</f>
        <v>0</v>
      </c>
      <c r="CT72" s="11" t="n">
        <f aca="false">IF(AND(CT$1&gt;=Units!$Q71,MOD(CT$1-Units!$Q71,12)=0),IF(AND(Units!$L71=1,CT$1=Units!$Q71),1,Inputs!$B$15)*Inputs!$B$16*(1+Inputs!$B$11)^(CT$2-1),0)</f>
        <v>0</v>
      </c>
      <c r="CU72" s="11" t="n">
        <f aca="false">IF(AND(CU$1&gt;=Units!$Q71,MOD(CU$1-Units!$Q71,12)=0),IF(AND(Units!$L71=1,CU$1=Units!$Q71),1,Inputs!$B$15)*Inputs!$B$16*(1+Inputs!$B$11)^(CU$2-1),0)</f>
        <v>0</v>
      </c>
      <c r="CV72" s="11" t="n">
        <f aca="false">IF(AND(CV$1&gt;=Units!$Q71,MOD(CV$1-Units!$Q71,12)=0),IF(AND(Units!$L71=1,CV$1=Units!$Q71),1,Inputs!$B$15)*Inputs!$B$16*(1+Inputs!$B$11)^(CV$2-1),0)</f>
        <v>0</v>
      </c>
      <c r="CW72" s="11" t="n">
        <f aca="false">IF(AND(CW$1&gt;=Units!$Q71,MOD(CW$1-Units!$Q71,12)=0),IF(AND(Units!$L71=1,CW$1=Units!$Q71),1,Inputs!$B$15)*Inputs!$B$16*(1+Inputs!$B$11)^(CW$2-1),0)</f>
        <v>0</v>
      </c>
      <c r="CX72" s="11" t="n">
        <f aca="false">IF(AND(CX$1&gt;=Units!$Q71,MOD(CX$1-Units!$Q71,12)=0),IF(AND(Units!$L71=1,CX$1=Units!$Q71),1,Inputs!$B$15)*Inputs!$B$16*(1+Inputs!$B$11)^(CX$2-1),0)</f>
        <v>0</v>
      </c>
      <c r="CY72" s="11" t="n">
        <f aca="false">IF(AND(CY$1&gt;=Units!$Q71,MOD(CY$1-Units!$Q71,12)=0),IF(AND(Units!$L71=1,CY$1=Units!$Q71),1,Inputs!$B$15)*Inputs!$B$16*(1+Inputs!$B$11)^(CY$2-1),0)</f>
        <v>0</v>
      </c>
      <c r="CZ72" s="11" t="n">
        <f aca="false">IF(AND(CZ$1&gt;=Units!$Q71,MOD(CZ$1-Units!$Q71,12)=0),IF(AND(Units!$L71=1,CZ$1=Units!$Q71),1,Inputs!$B$15)*Inputs!$B$16*(1+Inputs!$B$11)^(CZ$2-1),0)</f>
        <v>0</v>
      </c>
      <c r="DA72" s="11" t="n">
        <f aca="false">IF(AND(DA$1&gt;=Units!$Q71,MOD(DA$1-Units!$Q71,12)=0),IF(AND(Units!$L71=1,DA$1=Units!$Q71),1,Inputs!$B$15)*Inputs!$B$16*(1+Inputs!$B$11)^(DA$2-1),0)</f>
        <v>0</v>
      </c>
      <c r="DB72" s="11" t="n">
        <f aca="false">IF(AND(DB$1&gt;=Units!$Q71,MOD(DB$1-Units!$Q71,12)=0),IF(AND(Units!$L71=1,DB$1=Units!$Q71),1,Inputs!$B$15)*Inputs!$B$16*(1+Inputs!$B$11)^(DB$2-1),0)</f>
        <v>0</v>
      </c>
      <c r="DC72" s="11" t="n">
        <f aca="false">IF(AND(DC$1&gt;=Units!$Q71,MOD(DC$1-Units!$Q71,12)=0),IF(AND(Units!$L71=1,DC$1=Units!$Q71),1,Inputs!$B$15)*Inputs!$B$16*(1+Inputs!$B$11)^(DC$2-1),0)</f>
        <v>0</v>
      </c>
      <c r="DD72" s="11" t="n">
        <f aca="false">IF(AND(DD$1&gt;=Units!$Q71,MOD(DD$1-Units!$Q71,12)=0),IF(AND(Units!$L71=1,DD$1=Units!$Q71),1,Inputs!$B$15)*Inputs!$B$16*(1+Inputs!$B$11)^(DD$2-1),0)</f>
        <v>633.385040693808</v>
      </c>
      <c r="DE72" s="11" t="n">
        <f aca="false">IF(AND(DE$1&gt;=Units!$Q71,MOD(DE$1-Units!$Q71,12)=0),IF(AND(Units!$L71=1,DE$1=Units!$Q71),1,Inputs!$B$15)*Inputs!$B$16*(1+Inputs!$B$11)^(DE$2-1),0)</f>
        <v>0</v>
      </c>
      <c r="DF72" s="11" t="n">
        <f aca="false">IF(AND(DF$1&gt;=Units!$Q71,MOD(DF$1-Units!$Q71,12)=0),IF(AND(Units!$L71=1,DF$1=Units!$Q71),1,Inputs!$B$15)*Inputs!$B$16*(1+Inputs!$B$11)^(DF$2-1),0)</f>
        <v>0</v>
      </c>
      <c r="DG72" s="11" t="n">
        <f aca="false">IF(AND(DG$1&gt;=Units!$Q71,MOD(DG$1-Units!$Q71,12)=0),IF(AND(Units!$L71=1,DG$1=Units!$Q71),1,Inputs!$B$15)*Inputs!$B$16*(1+Inputs!$B$11)^(DG$2-1),0)</f>
        <v>0</v>
      </c>
      <c r="DH72" s="11" t="n">
        <f aca="false">IF(AND(DH$1&gt;=Units!$Q71,MOD(DH$1-Units!$Q71,12)=0),IF(AND(Units!$L71=1,DH$1=Units!$Q71),1,Inputs!$B$15)*Inputs!$B$16*(1+Inputs!$B$11)^(DH$2-1),0)</f>
        <v>0</v>
      </c>
      <c r="DI72" s="11" t="n">
        <f aca="false">IF(AND(DI$1&gt;=Units!$Q71,MOD(DI$1-Units!$Q71,12)=0),IF(AND(Units!$L71=1,DI$1=Units!$Q71),1,Inputs!$B$15)*Inputs!$B$16*(1+Inputs!$B$11)^(DI$2-1),0)</f>
        <v>0</v>
      </c>
      <c r="DJ72" s="11" t="n">
        <f aca="false">IF(AND(DJ$1&gt;=Units!$Q71,MOD(DJ$1-Units!$Q71,12)=0),IF(AND(Units!$L71=1,DJ$1=Units!$Q71),1,Inputs!$B$15)*Inputs!$B$16*(1+Inputs!$B$11)^(DJ$2-1),0)</f>
        <v>0</v>
      </c>
      <c r="DK72" s="11" t="n">
        <f aca="false">IF(AND(DK$1&gt;=Units!$Q71,MOD(DK$1-Units!$Q71,12)=0),IF(AND(Units!$L71=1,DK$1=Units!$Q71),1,Inputs!$B$15)*Inputs!$B$16*(1+Inputs!$B$11)^(DK$2-1),0)</f>
        <v>0</v>
      </c>
      <c r="DL72" s="11" t="n">
        <f aca="false">IF(AND(DL$1&gt;=Units!$Q71,MOD(DL$1-Units!$Q71,12)=0),IF(AND(Units!$L71=1,DL$1=Units!$Q71),1,Inputs!$B$15)*Inputs!$B$16*(1+Inputs!$B$11)^(DL$2-1),0)</f>
        <v>0</v>
      </c>
      <c r="DM72" s="11" t="n">
        <f aca="false">IF(AND(DM$1&gt;=Units!$Q71,MOD(DM$1-Units!$Q71,12)=0),IF(AND(Units!$L71=1,DM$1=Units!$Q71),1,Inputs!$B$15)*Inputs!$B$16*(1+Inputs!$B$11)^(DM$2-1),0)</f>
        <v>0</v>
      </c>
      <c r="DN72" s="11" t="n">
        <f aca="false">IF(AND(DN$1&gt;=Units!$Q71,MOD(DN$1-Units!$Q71,12)=0),IF(AND(Units!$L71=1,DN$1=Units!$Q71),1,Inputs!$B$15)*Inputs!$B$16*(1+Inputs!$B$11)^(DN$2-1),0)</f>
        <v>0</v>
      </c>
      <c r="DO72" s="11" t="n">
        <f aca="false">IF(AND(DO$1&gt;=Units!$Q71,MOD(DO$1-Units!$Q71,12)=0),IF(AND(Units!$L71=1,DO$1=Units!$Q71),1,Inputs!$B$15)*Inputs!$B$16*(1+Inputs!$B$11)^(DO$2-1),0)</f>
        <v>0</v>
      </c>
      <c r="DP72" s="11" t="n">
        <f aca="false">IF(AND(DP$1&gt;=Units!$Q71,MOD(DP$1-Units!$Q71,12)=0),IF(AND(Units!$L71=1,DP$1=Units!$Q71),1,Inputs!$B$15)*Inputs!$B$16*(1+Inputs!$B$11)^(DP$2-1),0)</f>
        <v>652.386591914623</v>
      </c>
      <c r="DQ72" s="11" t="n">
        <f aca="false">IF(AND(DQ$1&gt;=Units!$Q71,MOD(DQ$1-Units!$Q71,12)=0),IF(AND(Units!$L71=1,DQ$1=Units!$Q71),1,Inputs!$B$15)*Inputs!$B$16*(1+Inputs!$B$11)^(DQ$2-1),0)</f>
        <v>0</v>
      </c>
      <c r="DR72" s="11" t="n">
        <f aca="false">IF(AND(DR$1&gt;=Units!$Q71,MOD(DR$1-Units!$Q71,12)=0),IF(AND(Units!$L71=1,DR$1=Units!$Q71),1,Inputs!$B$15)*Inputs!$B$16*(1+Inputs!$B$11)^(DR$2-1),0)</f>
        <v>0</v>
      </c>
      <c r="DS72" s="11" t="n">
        <f aca="false">IF(AND(DS$1&gt;=Units!$Q71,MOD(DS$1-Units!$Q71,12)=0),IF(AND(Units!$L71=1,DS$1=Units!$Q71),1,Inputs!$B$15)*Inputs!$B$16*(1+Inputs!$B$11)^(DS$2-1),0)</f>
        <v>0</v>
      </c>
      <c r="DT72" s="11" t="n">
        <f aca="false">IF(AND(DT$1&gt;=Units!$Q71,MOD(DT$1-Units!$Q71,12)=0),IF(AND(Units!$L71=1,DT$1=Units!$Q71),1,Inputs!$B$15)*Inputs!$B$16*(1+Inputs!$B$11)^(DT$2-1),0)</f>
        <v>0</v>
      </c>
      <c r="DU72" s="11" t="n">
        <f aca="false">IF(AND(DU$1&gt;=Units!$Q71,MOD(DU$1-Units!$Q71,12)=0),IF(AND(Units!$L71=1,DU$1=Units!$Q71),1,Inputs!$B$15)*Inputs!$B$16*(1+Inputs!$B$11)^(DU$2-1),0)</f>
        <v>0</v>
      </c>
      <c r="DV72" s="11" t="n">
        <f aca="false">IF(AND(DV$1&gt;=Units!$Q71,MOD(DV$1-Units!$Q71,12)=0),IF(AND(Units!$L71=1,DV$1=Units!$Q71),1,Inputs!$B$15)*Inputs!$B$16*(1+Inputs!$B$11)^(DV$2-1),0)</f>
        <v>0</v>
      </c>
      <c r="DW72" s="11" t="n">
        <f aca="false">IF(AND(DW$1&gt;=Units!$Q71,MOD(DW$1-Units!$Q71,12)=0),IF(AND(Units!$L71=1,DW$1=Units!$Q71),1,Inputs!$B$15)*Inputs!$B$16*(1+Inputs!$B$11)^(DW$2-1),0)</f>
        <v>0</v>
      </c>
      <c r="DX72" s="11" t="n">
        <f aca="false">IF(AND(DX$1&gt;=Units!$Q71,MOD(DX$1-Units!$Q71,12)=0),IF(AND(Units!$L71=1,DX$1=Units!$Q71),1,Inputs!$B$15)*Inputs!$B$16*(1+Inputs!$B$11)^(DX$2-1),0)</f>
        <v>0</v>
      </c>
      <c r="DY72" s="11" t="n">
        <f aca="false">IF(AND(DY$1&gt;=Units!$Q71,MOD(DY$1-Units!$Q71,12)=0),IF(AND(Units!$L71=1,DY$1=Units!$Q71),1,Inputs!$B$15)*Inputs!$B$16*(1+Inputs!$B$11)^(DY$2-1),0)</f>
        <v>0</v>
      </c>
      <c r="DZ72" s="11" t="n">
        <f aca="false">IF(AND(DZ$1&gt;=Units!$Q71,MOD(DZ$1-Units!$Q71,12)=0),IF(AND(Units!$L71=1,DZ$1=Units!$Q71),1,Inputs!$B$15)*Inputs!$B$16*(1+Inputs!$B$11)^(DZ$2-1),0)</f>
        <v>0</v>
      </c>
      <c r="EA72" s="11" t="n">
        <f aca="false">IF(AND(EA$1&gt;=Units!$Q71,MOD(EA$1-Units!$Q71,12)=0),IF(AND(Units!$L71=1,EA$1=Units!$Q71),1,Inputs!$B$15)*Inputs!$B$16*(1+Inputs!$B$11)^(EA$2-1),0)</f>
        <v>0</v>
      </c>
      <c r="EB72" s="11" t="n">
        <f aca="false">IF(AND(EB$1&gt;=Units!$Q71,MOD(EB$1-Units!$Q71,12)=0),IF(AND(Units!$L71=1,EB$1=Units!$Q71),1,Inputs!$B$15)*Inputs!$B$16*(1+Inputs!$B$11)^(EB$2-1),0)</f>
        <v>671.958189672061</v>
      </c>
      <c r="EC72" s="11" t="n">
        <f aca="false">IF(AND(EC$1&gt;=Units!$Q71,MOD(EC$1-Units!$Q71,12)=0),IF(AND(Units!$L71=1,EC$1=Units!$Q71),1,Inputs!$B$15)*Inputs!$B$16*(1+Inputs!$B$11)^(EC$2-1),0)</f>
        <v>0</v>
      </c>
      <c r="ED72" s="11" t="n">
        <f aca="false">IF(AND(ED$1&gt;=Units!$Q71,MOD(ED$1-Units!$Q71,12)=0),IF(AND(Units!$L71=1,ED$1=Units!$Q71),1,Inputs!$B$15)*Inputs!$B$16*(1+Inputs!$B$11)^(ED$2-1),0)</f>
        <v>0</v>
      </c>
    </row>
    <row r="73" customFormat="false" ht="15" hidden="false" customHeight="false" outlineLevel="0" collapsed="false">
      <c r="A73" s="22" t="n">
        <f aca="false">Units!A72</f>
        <v>311</v>
      </c>
      <c r="B73" s="23"/>
      <c r="C73" s="11" t="n">
        <f aca="false">IF(AND(C$1&gt;=Units!$Q72,MOD(C$1-Units!$Q72,12)=0),IF(AND(Units!$L72=1,C$1=Units!$Q72),1,Inputs!$B$15)*Inputs!$B$16*(1+Inputs!$B$11)^(C$2-1),0)</f>
        <v>0</v>
      </c>
      <c r="D73" s="11" t="n">
        <f aca="false">IF(AND(D$1&gt;=Units!$Q72,MOD(D$1-Units!$Q72,12)=0),IF(AND(Units!$L72=1,D$1=Units!$Q72),1,Inputs!$B$15)*Inputs!$B$16*(1+Inputs!$B$11)^(D$2-1),0)</f>
        <v>0</v>
      </c>
      <c r="E73" s="11" t="n">
        <f aca="false">IF(AND(E$1&gt;=Units!$Q72,MOD(E$1-Units!$Q72,12)=0),IF(AND(Units!$L72=1,E$1=Units!$Q72),1,Inputs!$B$15)*Inputs!$B$16*(1+Inputs!$B$11)^(E$2-1),0)</f>
        <v>0</v>
      </c>
      <c r="F73" s="11" t="n">
        <f aca="false">IF(AND(F$1&gt;=Units!$Q72,MOD(F$1-Units!$Q72,12)=0),IF(AND(Units!$L72=1,F$1=Units!$Q72),1,Inputs!$B$15)*Inputs!$B$16*(1+Inputs!$B$11)^(F$2-1),0)</f>
        <v>0</v>
      </c>
      <c r="G73" s="11" t="n">
        <f aca="false">IF(AND(G$1&gt;=Units!$Q72,MOD(G$1-Units!$Q72,12)=0),IF(AND(Units!$L72=1,G$1=Units!$Q72),1,Inputs!$B$15)*Inputs!$B$16*(1+Inputs!$B$11)^(G$2-1),0)</f>
        <v>0</v>
      </c>
      <c r="H73" s="11" t="n">
        <f aca="false">IF(AND(H$1&gt;=Units!$Q72,MOD(H$1-Units!$Q72,12)=0),IF(AND(Units!$L72=1,H$1=Units!$Q72),1,Inputs!$B$15)*Inputs!$B$16*(1+Inputs!$B$11)^(H$2-1),0)</f>
        <v>0</v>
      </c>
      <c r="I73" s="11" t="n">
        <f aca="false">IF(AND(I$1&gt;=Units!$Q72,MOD(I$1-Units!$Q72,12)=0),IF(AND(Units!$L72=1,I$1=Units!$Q72),1,Inputs!$B$15)*Inputs!$B$16*(1+Inputs!$B$11)^(I$2-1),0)</f>
        <v>500</v>
      </c>
      <c r="J73" s="11" t="n">
        <f aca="false">IF(AND(J$1&gt;=Units!$Q72,MOD(J$1-Units!$Q72,12)=0),IF(AND(Units!$L72=1,J$1=Units!$Q72),1,Inputs!$B$15)*Inputs!$B$16*(1+Inputs!$B$11)^(J$2-1),0)</f>
        <v>0</v>
      </c>
      <c r="K73" s="11" t="n">
        <f aca="false">IF(AND(K$1&gt;=Units!$Q72,MOD(K$1-Units!$Q72,12)=0),IF(AND(Units!$L72=1,K$1=Units!$Q72),1,Inputs!$B$15)*Inputs!$B$16*(1+Inputs!$B$11)^(K$2-1),0)</f>
        <v>0</v>
      </c>
      <c r="L73" s="11" t="n">
        <f aca="false">IF(AND(L$1&gt;=Units!$Q72,MOD(L$1-Units!$Q72,12)=0),IF(AND(Units!$L72=1,L$1=Units!$Q72),1,Inputs!$B$15)*Inputs!$B$16*(1+Inputs!$B$11)^(L$2-1),0)</f>
        <v>0</v>
      </c>
      <c r="M73" s="11" t="n">
        <f aca="false">IF(AND(M$1&gt;=Units!$Q72,MOD(M$1-Units!$Q72,12)=0),IF(AND(Units!$L72=1,M$1=Units!$Q72),1,Inputs!$B$15)*Inputs!$B$16*(1+Inputs!$B$11)^(M$2-1),0)</f>
        <v>0</v>
      </c>
      <c r="N73" s="11" t="n">
        <f aca="false">IF(AND(N$1&gt;=Units!$Q72,MOD(N$1-Units!$Q72,12)=0),IF(AND(Units!$L72=1,N$1=Units!$Q72),1,Inputs!$B$15)*Inputs!$B$16*(1+Inputs!$B$11)^(N$2-1),0)</f>
        <v>0</v>
      </c>
      <c r="O73" s="11" t="n">
        <f aca="false">IF(AND(O$1&gt;=Units!$Q72,MOD(O$1-Units!$Q72,12)=0),IF(AND(Units!$L72=1,O$1=Units!$Q72),1,Inputs!$B$15)*Inputs!$B$16*(1+Inputs!$B$11)^(O$2-1),0)</f>
        <v>0</v>
      </c>
      <c r="P73" s="11" t="n">
        <f aca="false">IF(AND(P$1&gt;=Units!$Q72,MOD(P$1-Units!$Q72,12)=0),IF(AND(Units!$L72=1,P$1=Units!$Q72),1,Inputs!$B$15)*Inputs!$B$16*(1+Inputs!$B$11)^(P$2-1),0)</f>
        <v>0</v>
      </c>
      <c r="Q73" s="11" t="n">
        <f aca="false">IF(AND(Q$1&gt;=Units!$Q72,MOD(Q$1-Units!$Q72,12)=0),IF(AND(Units!$L72=1,Q$1=Units!$Q72),1,Inputs!$B$15)*Inputs!$B$16*(1+Inputs!$B$11)^(Q$2-1),0)</f>
        <v>0</v>
      </c>
      <c r="R73" s="11" t="n">
        <f aca="false">IF(AND(R$1&gt;=Units!$Q72,MOD(R$1-Units!$Q72,12)=0),IF(AND(Units!$L72=1,R$1=Units!$Q72),1,Inputs!$B$15)*Inputs!$B$16*(1+Inputs!$B$11)^(R$2-1),0)</f>
        <v>0</v>
      </c>
      <c r="S73" s="11" t="n">
        <f aca="false">IF(AND(S$1&gt;=Units!$Q72,MOD(S$1-Units!$Q72,12)=0),IF(AND(Units!$L72=1,S$1=Units!$Q72),1,Inputs!$B$15)*Inputs!$B$16*(1+Inputs!$B$11)^(S$2-1),0)</f>
        <v>0</v>
      </c>
      <c r="T73" s="11" t="n">
        <f aca="false">IF(AND(T$1&gt;=Units!$Q72,MOD(T$1-Units!$Q72,12)=0),IF(AND(Units!$L72=1,T$1=Units!$Q72),1,Inputs!$B$15)*Inputs!$B$16*(1+Inputs!$B$11)^(T$2-1),0)</f>
        <v>0</v>
      </c>
      <c r="U73" s="11" t="n">
        <f aca="false">IF(AND(U$1&gt;=Units!$Q72,MOD(U$1-Units!$Q72,12)=0),IF(AND(Units!$L72=1,U$1=Units!$Q72),1,Inputs!$B$15)*Inputs!$B$16*(1+Inputs!$B$11)^(U$2-1),0)</f>
        <v>515</v>
      </c>
      <c r="V73" s="11" t="n">
        <f aca="false">IF(AND(V$1&gt;=Units!$Q72,MOD(V$1-Units!$Q72,12)=0),IF(AND(Units!$L72=1,V$1=Units!$Q72),1,Inputs!$B$15)*Inputs!$B$16*(1+Inputs!$B$11)^(V$2-1),0)</f>
        <v>0</v>
      </c>
      <c r="W73" s="11" t="n">
        <f aca="false">IF(AND(W$1&gt;=Units!$Q72,MOD(W$1-Units!$Q72,12)=0),IF(AND(Units!$L72=1,W$1=Units!$Q72),1,Inputs!$B$15)*Inputs!$B$16*(1+Inputs!$B$11)^(W$2-1),0)</f>
        <v>0</v>
      </c>
      <c r="X73" s="11" t="n">
        <f aca="false">IF(AND(X$1&gt;=Units!$Q72,MOD(X$1-Units!$Q72,12)=0),IF(AND(Units!$L72=1,X$1=Units!$Q72),1,Inputs!$B$15)*Inputs!$B$16*(1+Inputs!$B$11)^(X$2-1),0)</f>
        <v>0</v>
      </c>
      <c r="Y73" s="11" t="n">
        <f aca="false">IF(AND(Y$1&gt;=Units!$Q72,MOD(Y$1-Units!$Q72,12)=0),IF(AND(Units!$L72=1,Y$1=Units!$Q72),1,Inputs!$B$15)*Inputs!$B$16*(1+Inputs!$B$11)^(Y$2-1),0)</f>
        <v>0</v>
      </c>
      <c r="Z73" s="11" t="n">
        <f aca="false">IF(AND(Z$1&gt;=Units!$Q72,MOD(Z$1-Units!$Q72,12)=0),IF(AND(Units!$L72=1,Z$1=Units!$Q72),1,Inputs!$B$15)*Inputs!$B$16*(1+Inputs!$B$11)^(Z$2-1),0)</f>
        <v>0</v>
      </c>
      <c r="AA73" s="11" t="n">
        <f aca="false">IF(AND(AA$1&gt;=Units!$Q72,MOD(AA$1-Units!$Q72,12)=0),IF(AND(Units!$L72=1,AA$1=Units!$Q72),1,Inputs!$B$15)*Inputs!$B$16*(1+Inputs!$B$11)^(AA$2-1),0)</f>
        <v>0</v>
      </c>
      <c r="AB73" s="11" t="n">
        <f aca="false">IF(AND(AB$1&gt;=Units!$Q72,MOD(AB$1-Units!$Q72,12)=0),IF(AND(Units!$L72=1,AB$1=Units!$Q72),1,Inputs!$B$15)*Inputs!$B$16*(1+Inputs!$B$11)^(AB$2-1),0)</f>
        <v>0</v>
      </c>
      <c r="AC73" s="11" t="n">
        <f aca="false">IF(AND(AC$1&gt;=Units!$Q72,MOD(AC$1-Units!$Q72,12)=0),IF(AND(Units!$L72=1,AC$1=Units!$Q72),1,Inputs!$B$15)*Inputs!$B$16*(1+Inputs!$B$11)^(AC$2-1),0)</f>
        <v>0</v>
      </c>
      <c r="AD73" s="11" t="n">
        <f aca="false">IF(AND(AD$1&gt;=Units!$Q72,MOD(AD$1-Units!$Q72,12)=0),IF(AND(Units!$L72=1,AD$1=Units!$Q72),1,Inputs!$B$15)*Inputs!$B$16*(1+Inputs!$B$11)^(AD$2-1),0)</f>
        <v>0</v>
      </c>
      <c r="AE73" s="11" t="n">
        <f aca="false">IF(AND(AE$1&gt;=Units!$Q72,MOD(AE$1-Units!$Q72,12)=0),IF(AND(Units!$L72=1,AE$1=Units!$Q72),1,Inputs!$B$15)*Inputs!$B$16*(1+Inputs!$B$11)^(AE$2-1),0)</f>
        <v>0</v>
      </c>
      <c r="AF73" s="11" t="n">
        <f aca="false">IF(AND(AF$1&gt;=Units!$Q72,MOD(AF$1-Units!$Q72,12)=0),IF(AND(Units!$L72=1,AF$1=Units!$Q72),1,Inputs!$B$15)*Inputs!$B$16*(1+Inputs!$B$11)^(AF$2-1),0)</f>
        <v>0</v>
      </c>
      <c r="AG73" s="11" t="n">
        <f aca="false">IF(AND(AG$1&gt;=Units!$Q72,MOD(AG$1-Units!$Q72,12)=0),IF(AND(Units!$L72=1,AG$1=Units!$Q72),1,Inputs!$B$15)*Inputs!$B$16*(1+Inputs!$B$11)^(AG$2-1),0)</f>
        <v>530.45</v>
      </c>
      <c r="AH73" s="11" t="n">
        <f aca="false">IF(AND(AH$1&gt;=Units!$Q72,MOD(AH$1-Units!$Q72,12)=0),IF(AND(Units!$L72=1,AH$1=Units!$Q72),1,Inputs!$B$15)*Inputs!$B$16*(1+Inputs!$B$11)^(AH$2-1),0)</f>
        <v>0</v>
      </c>
      <c r="AI73" s="11" t="n">
        <f aca="false">IF(AND(AI$1&gt;=Units!$Q72,MOD(AI$1-Units!$Q72,12)=0),IF(AND(Units!$L72=1,AI$1=Units!$Q72),1,Inputs!$B$15)*Inputs!$B$16*(1+Inputs!$B$11)^(AI$2-1),0)</f>
        <v>0</v>
      </c>
      <c r="AJ73" s="11" t="n">
        <f aca="false">IF(AND(AJ$1&gt;=Units!$Q72,MOD(AJ$1-Units!$Q72,12)=0),IF(AND(Units!$L72=1,AJ$1=Units!$Q72),1,Inputs!$B$15)*Inputs!$B$16*(1+Inputs!$B$11)^(AJ$2-1),0)</f>
        <v>0</v>
      </c>
      <c r="AK73" s="11" t="n">
        <f aca="false">IF(AND(AK$1&gt;=Units!$Q72,MOD(AK$1-Units!$Q72,12)=0),IF(AND(Units!$L72=1,AK$1=Units!$Q72),1,Inputs!$B$15)*Inputs!$B$16*(1+Inputs!$B$11)^(AK$2-1),0)</f>
        <v>0</v>
      </c>
      <c r="AL73" s="11" t="n">
        <f aca="false">IF(AND(AL$1&gt;=Units!$Q72,MOD(AL$1-Units!$Q72,12)=0),IF(AND(Units!$L72=1,AL$1=Units!$Q72),1,Inputs!$B$15)*Inputs!$B$16*(1+Inputs!$B$11)^(AL$2-1),0)</f>
        <v>0</v>
      </c>
      <c r="AM73" s="11" t="n">
        <f aca="false">IF(AND(AM$1&gt;=Units!$Q72,MOD(AM$1-Units!$Q72,12)=0),IF(AND(Units!$L72=1,AM$1=Units!$Q72),1,Inputs!$B$15)*Inputs!$B$16*(1+Inputs!$B$11)^(AM$2-1),0)</f>
        <v>0</v>
      </c>
      <c r="AN73" s="11" t="n">
        <f aca="false">IF(AND(AN$1&gt;=Units!$Q72,MOD(AN$1-Units!$Q72,12)=0),IF(AND(Units!$L72=1,AN$1=Units!$Q72),1,Inputs!$B$15)*Inputs!$B$16*(1+Inputs!$B$11)^(AN$2-1),0)</f>
        <v>0</v>
      </c>
      <c r="AO73" s="11" t="n">
        <f aca="false">IF(AND(AO$1&gt;=Units!$Q72,MOD(AO$1-Units!$Q72,12)=0),IF(AND(Units!$L72=1,AO$1=Units!$Q72),1,Inputs!$B$15)*Inputs!$B$16*(1+Inputs!$B$11)^(AO$2-1),0)</f>
        <v>0</v>
      </c>
      <c r="AP73" s="11" t="n">
        <f aca="false">IF(AND(AP$1&gt;=Units!$Q72,MOD(AP$1-Units!$Q72,12)=0),IF(AND(Units!$L72=1,AP$1=Units!$Q72),1,Inputs!$B$15)*Inputs!$B$16*(1+Inputs!$B$11)^(AP$2-1),0)</f>
        <v>0</v>
      </c>
      <c r="AQ73" s="11" t="n">
        <f aca="false">IF(AND(AQ$1&gt;=Units!$Q72,MOD(AQ$1-Units!$Q72,12)=0),IF(AND(Units!$L72=1,AQ$1=Units!$Q72),1,Inputs!$B$15)*Inputs!$B$16*(1+Inputs!$B$11)^(AQ$2-1),0)</f>
        <v>0</v>
      </c>
      <c r="AR73" s="11" t="n">
        <f aca="false">IF(AND(AR$1&gt;=Units!$Q72,MOD(AR$1-Units!$Q72,12)=0),IF(AND(Units!$L72=1,AR$1=Units!$Q72),1,Inputs!$B$15)*Inputs!$B$16*(1+Inputs!$B$11)^(AR$2-1),0)</f>
        <v>0</v>
      </c>
      <c r="AS73" s="11" t="n">
        <f aca="false">IF(AND(AS$1&gt;=Units!$Q72,MOD(AS$1-Units!$Q72,12)=0),IF(AND(Units!$L72=1,AS$1=Units!$Q72),1,Inputs!$B$15)*Inputs!$B$16*(1+Inputs!$B$11)^(AS$2-1),0)</f>
        <v>546.3635</v>
      </c>
      <c r="AT73" s="11" t="n">
        <f aca="false">IF(AND(AT$1&gt;=Units!$Q72,MOD(AT$1-Units!$Q72,12)=0),IF(AND(Units!$L72=1,AT$1=Units!$Q72),1,Inputs!$B$15)*Inputs!$B$16*(1+Inputs!$B$11)^(AT$2-1),0)</f>
        <v>0</v>
      </c>
      <c r="AU73" s="11" t="n">
        <f aca="false">IF(AND(AU$1&gt;=Units!$Q72,MOD(AU$1-Units!$Q72,12)=0),IF(AND(Units!$L72=1,AU$1=Units!$Q72),1,Inputs!$B$15)*Inputs!$B$16*(1+Inputs!$B$11)^(AU$2-1),0)</f>
        <v>0</v>
      </c>
      <c r="AV73" s="11" t="n">
        <f aca="false">IF(AND(AV$1&gt;=Units!$Q72,MOD(AV$1-Units!$Q72,12)=0),IF(AND(Units!$L72=1,AV$1=Units!$Q72),1,Inputs!$B$15)*Inputs!$B$16*(1+Inputs!$B$11)^(AV$2-1),0)</f>
        <v>0</v>
      </c>
      <c r="AW73" s="11" t="n">
        <f aca="false">IF(AND(AW$1&gt;=Units!$Q72,MOD(AW$1-Units!$Q72,12)=0),IF(AND(Units!$L72=1,AW$1=Units!$Q72),1,Inputs!$B$15)*Inputs!$B$16*(1+Inputs!$B$11)^(AW$2-1),0)</f>
        <v>0</v>
      </c>
      <c r="AX73" s="11" t="n">
        <f aca="false">IF(AND(AX$1&gt;=Units!$Q72,MOD(AX$1-Units!$Q72,12)=0),IF(AND(Units!$L72=1,AX$1=Units!$Q72),1,Inputs!$B$15)*Inputs!$B$16*(1+Inputs!$B$11)^(AX$2-1),0)</f>
        <v>0</v>
      </c>
      <c r="AY73" s="11" t="n">
        <f aca="false">IF(AND(AY$1&gt;=Units!$Q72,MOD(AY$1-Units!$Q72,12)=0),IF(AND(Units!$L72=1,AY$1=Units!$Q72),1,Inputs!$B$15)*Inputs!$B$16*(1+Inputs!$B$11)^(AY$2-1),0)</f>
        <v>0</v>
      </c>
      <c r="AZ73" s="11" t="n">
        <f aca="false">IF(AND(AZ$1&gt;=Units!$Q72,MOD(AZ$1-Units!$Q72,12)=0),IF(AND(Units!$L72=1,AZ$1=Units!$Q72),1,Inputs!$B$15)*Inputs!$B$16*(1+Inputs!$B$11)^(AZ$2-1),0)</f>
        <v>0</v>
      </c>
      <c r="BA73" s="11" t="n">
        <f aca="false">IF(AND(BA$1&gt;=Units!$Q72,MOD(BA$1-Units!$Q72,12)=0),IF(AND(Units!$L72=1,BA$1=Units!$Q72),1,Inputs!$B$15)*Inputs!$B$16*(1+Inputs!$B$11)^(BA$2-1),0)</f>
        <v>0</v>
      </c>
      <c r="BB73" s="11" t="n">
        <f aca="false">IF(AND(BB$1&gt;=Units!$Q72,MOD(BB$1-Units!$Q72,12)=0),IF(AND(Units!$L72=1,BB$1=Units!$Q72),1,Inputs!$B$15)*Inputs!$B$16*(1+Inputs!$B$11)^(BB$2-1),0)</f>
        <v>0</v>
      </c>
      <c r="BC73" s="11" t="n">
        <f aca="false">IF(AND(BC$1&gt;=Units!$Q72,MOD(BC$1-Units!$Q72,12)=0),IF(AND(Units!$L72=1,BC$1=Units!$Q72),1,Inputs!$B$15)*Inputs!$B$16*(1+Inputs!$B$11)^(BC$2-1),0)</f>
        <v>0</v>
      </c>
      <c r="BD73" s="11" t="n">
        <f aca="false">IF(AND(BD$1&gt;=Units!$Q72,MOD(BD$1-Units!$Q72,12)=0),IF(AND(Units!$L72=1,BD$1=Units!$Q72),1,Inputs!$B$15)*Inputs!$B$16*(1+Inputs!$B$11)^(BD$2-1),0)</f>
        <v>0</v>
      </c>
      <c r="BE73" s="11" t="n">
        <f aca="false">IF(AND(BE$1&gt;=Units!$Q72,MOD(BE$1-Units!$Q72,12)=0),IF(AND(Units!$L72=1,BE$1=Units!$Q72),1,Inputs!$B$15)*Inputs!$B$16*(1+Inputs!$B$11)^(BE$2-1),0)</f>
        <v>562.754405</v>
      </c>
      <c r="BF73" s="11" t="n">
        <f aca="false">IF(AND(BF$1&gt;=Units!$Q72,MOD(BF$1-Units!$Q72,12)=0),IF(AND(Units!$L72=1,BF$1=Units!$Q72),1,Inputs!$B$15)*Inputs!$B$16*(1+Inputs!$B$11)^(BF$2-1),0)</f>
        <v>0</v>
      </c>
      <c r="BG73" s="11" t="n">
        <f aca="false">IF(AND(BG$1&gt;=Units!$Q72,MOD(BG$1-Units!$Q72,12)=0),IF(AND(Units!$L72=1,BG$1=Units!$Q72),1,Inputs!$B$15)*Inputs!$B$16*(1+Inputs!$B$11)^(BG$2-1),0)</f>
        <v>0</v>
      </c>
      <c r="BH73" s="11" t="n">
        <f aca="false">IF(AND(BH$1&gt;=Units!$Q72,MOD(BH$1-Units!$Q72,12)=0),IF(AND(Units!$L72=1,BH$1=Units!$Q72),1,Inputs!$B$15)*Inputs!$B$16*(1+Inputs!$B$11)^(BH$2-1),0)</f>
        <v>0</v>
      </c>
      <c r="BI73" s="11" t="n">
        <f aca="false">IF(AND(BI$1&gt;=Units!$Q72,MOD(BI$1-Units!$Q72,12)=0),IF(AND(Units!$L72=1,BI$1=Units!$Q72),1,Inputs!$B$15)*Inputs!$B$16*(1+Inputs!$B$11)^(BI$2-1),0)</f>
        <v>0</v>
      </c>
      <c r="BJ73" s="11" t="n">
        <f aca="false">IF(AND(BJ$1&gt;=Units!$Q72,MOD(BJ$1-Units!$Q72,12)=0),IF(AND(Units!$L72=1,BJ$1=Units!$Q72),1,Inputs!$B$15)*Inputs!$B$16*(1+Inputs!$B$11)^(BJ$2-1),0)</f>
        <v>0</v>
      </c>
      <c r="BK73" s="11" t="n">
        <f aca="false">IF(AND(BK$1&gt;=Units!$Q72,MOD(BK$1-Units!$Q72,12)=0),IF(AND(Units!$L72=1,BK$1=Units!$Q72),1,Inputs!$B$15)*Inputs!$B$16*(1+Inputs!$B$11)^(BK$2-1),0)</f>
        <v>0</v>
      </c>
      <c r="BL73" s="11" t="n">
        <f aca="false">IF(AND(BL$1&gt;=Units!$Q72,MOD(BL$1-Units!$Q72,12)=0),IF(AND(Units!$L72=1,BL$1=Units!$Q72),1,Inputs!$B$15)*Inputs!$B$16*(1+Inputs!$B$11)^(BL$2-1),0)</f>
        <v>0</v>
      </c>
      <c r="BM73" s="11" t="n">
        <f aca="false">IF(AND(BM$1&gt;=Units!$Q72,MOD(BM$1-Units!$Q72,12)=0),IF(AND(Units!$L72=1,BM$1=Units!$Q72),1,Inputs!$B$15)*Inputs!$B$16*(1+Inputs!$B$11)^(BM$2-1),0)</f>
        <v>0</v>
      </c>
      <c r="BN73" s="11" t="n">
        <f aca="false">IF(AND(BN$1&gt;=Units!$Q72,MOD(BN$1-Units!$Q72,12)=0),IF(AND(Units!$L72=1,BN$1=Units!$Q72),1,Inputs!$B$15)*Inputs!$B$16*(1+Inputs!$B$11)^(BN$2-1),0)</f>
        <v>0</v>
      </c>
      <c r="BO73" s="11" t="n">
        <f aca="false">IF(AND(BO$1&gt;=Units!$Q72,MOD(BO$1-Units!$Q72,12)=0),IF(AND(Units!$L72=1,BO$1=Units!$Q72),1,Inputs!$B$15)*Inputs!$B$16*(1+Inputs!$B$11)^(BO$2-1),0)</f>
        <v>0</v>
      </c>
      <c r="BP73" s="11" t="n">
        <f aca="false">IF(AND(BP$1&gt;=Units!$Q72,MOD(BP$1-Units!$Q72,12)=0),IF(AND(Units!$L72=1,BP$1=Units!$Q72),1,Inputs!$B$15)*Inputs!$B$16*(1+Inputs!$B$11)^(BP$2-1),0)</f>
        <v>0</v>
      </c>
      <c r="BQ73" s="11" t="n">
        <f aca="false">IF(AND(BQ$1&gt;=Units!$Q72,MOD(BQ$1-Units!$Q72,12)=0),IF(AND(Units!$L72=1,BQ$1=Units!$Q72),1,Inputs!$B$15)*Inputs!$B$16*(1+Inputs!$B$11)^(BQ$2-1),0)</f>
        <v>579.63703715</v>
      </c>
      <c r="BR73" s="11" t="n">
        <f aca="false">IF(AND(BR$1&gt;=Units!$Q72,MOD(BR$1-Units!$Q72,12)=0),IF(AND(Units!$L72=1,BR$1=Units!$Q72),1,Inputs!$B$15)*Inputs!$B$16*(1+Inputs!$B$11)^(BR$2-1),0)</f>
        <v>0</v>
      </c>
      <c r="BS73" s="11" t="n">
        <f aca="false">IF(AND(BS$1&gt;=Units!$Q72,MOD(BS$1-Units!$Q72,12)=0),IF(AND(Units!$L72=1,BS$1=Units!$Q72),1,Inputs!$B$15)*Inputs!$B$16*(1+Inputs!$B$11)^(BS$2-1),0)</f>
        <v>0</v>
      </c>
      <c r="BT73" s="11" t="n">
        <f aca="false">IF(AND(BT$1&gt;=Units!$Q72,MOD(BT$1-Units!$Q72,12)=0),IF(AND(Units!$L72=1,BT$1=Units!$Q72),1,Inputs!$B$15)*Inputs!$B$16*(1+Inputs!$B$11)^(BT$2-1),0)</f>
        <v>0</v>
      </c>
      <c r="BU73" s="11" t="n">
        <f aca="false">IF(AND(BU$1&gt;=Units!$Q72,MOD(BU$1-Units!$Q72,12)=0),IF(AND(Units!$L72=1,BU$1=Units!$Q72),1,Inputs!$B$15)*Inputs!$B$16*(1+Inputs!$B$11)^(BU$2-1),0)</f>
        <v>0</v>
      </c>
      <c r="BV73" s="11" t="n">
        <f aca="false">IF(AND(BV$1&gt;=Units!$Q72,MOD(BV$1-Units!$Q72,12)=0),IF(AND(Units!$L72=1,BV$1=Units!$Q72),1,Inputs!$B$15)*Inputs!$B$16*(1+Inputs!$B$11)^(BV$2-1),0)</f>
        <v>0</v>
      </c>
      <c r="BW73" s="11" t="n">
        <f aca="false">IF(AND(BW$1&gt;=Units!$Q72,MOD(BW$1-Units!$Q72,12)=0),IF(AND(Units!$L72=1,BW$1=Units!$Q72),1,Inputs!$B$15)*Inputs!$B$16*(1+Inputs!$B$11)^(BW$2-1),0)</f>
        <v>0</v>
      </c>
      <c r="BX73" s="11" t="n">
        <f aca="false">IF(AND(BX$1&gt;=Units!$Q72,MOD(BX$1-Units!$Q72,12)=0),IF(AND(Units!$L72=1,BX$1=Units!$Q72),1,Inputs!$B$15)*Inputs!$B$16*(1+Inputs!$B$11)^(BX$2-1),0)</f>
        <v>0</v>
      </c>
      <c r="BY73" s="11" t="n">
        <f aca="false">IF(AND(BY$1&gt;=Units!$Q72,MOD(BY$1-Units!$Q72,12)=0),IF(AND(Units!$L72=1,BY$1=Units!$Q72),1,Inputs!$B$15)*Inputs!$B$16*(1+Inputs!$B$11)^(BY$2-1),0)</f>
        <v>0</v>
      </c>
      <c r="BZ73" s="11" t="n">
        <f aca="false">IF(AND(BZ$1&gt;=Units!$Q72,MOD(BZ$1-Units!$Q72,12)=0),IF(AND(Units!$L72=1,BZ$1=Units!$Q72),1,Inputs!$B$15)*Inputs!$B$16*(1+Inputs!$B$11)^(BZ$2-1),0)</f>
        <v>0</v>
      </c>
      <c r="CA73" s="11" t="n">
        <f aca="false">IF(AND(CA$1&gt;=Units!$Q72,MOD(CA$1-Units!$Q72,12)=0),IF(AND(Units!$L72=1,CA$1=Units!$Q72),1,Inputs!$B$15)*Inputs!$B$16*(1+Inputs!$B$11)^(CA$2-1),0)</f>
        <v>0</v>
      </c>
      <c r="CB73" s="11" t="n">
        <f aca="false">IF(AND(CB$1&gt;=Units!$Q72,MOD(CB$1-Units!$Q72,12)=0),IF(AND(Units!$L72=1,CB$1=Units!$Q72),1,Inputs!$B$15)*Inputs!$B$16*(1+Inputs!$B$11)^(CB$2-1),0)</f>
        <v>0</v>
      </c>
      <c r="CC73" s="11" t="n">
        <f aca="false">IF(AND(CC$1&gt;=Units!$Q72,MOD(CC$1-Units!$Q72,12)=0),IF(AND(Units!$L72=1,CC$1=Units!$Q72),1,Inputs!$B$15)*Inputs!$B$16*(1+Inputs!$B$11)^(CC$2-1),0)</f>
        <v>597.0261482645</v>
      </c>
      <c r="CD73" s="11" t="n">
        <f aca="false">IF(AND(CD$1&gt;=Units!$Q72,MOD(CD$1-Units!$Q72,12)=0),IF(AND(Units!$L72=1,CD$1=Units!$Q72),1,Inputs!$B$15)*Inputs!$B$16*(1+Inputs!$B$11)^(CD$2-1),0)</f>
        <v>0</v>
      </c>
      <c r="CE73" s="11" t="n">
        <f aca="false">IF(AND(CE$1&gt;=Units!$Q72,MOD(CE$1-Units!$Q72,12)=0),IF(AND(Units!$L72=1,CE$1=Units!$Q72),1,Inputs!$B$15)*Inputs!$B$16*(1+Inputs!$B$11)^(CE$2-1),0)</f>
        <v>0</v>
      </c>
      <c r="CF73" s="11" t="n">
        <f aca="false">IF(AND(CF$1&gt;=Units!$Q72,MOD(CF$1-Units!$Q72,12)=0),IF(AND(Units!$L72=1,CF$1=Units!$Q72),1,Inputs!$B$15)*Inputs!$B$16*(1+Inputs!$B$11)^(CF$2-1),0)</f>
        <v>0</v>
      </c>
      <c r="CG73" s="11" t="n">
        <f aca="false">IF(AND(CG$1&gt;=Units!$Q72,MOD(CG$1-Units!$Q72,12)=0),IF(AND(Units!$L72=1,CG$1=Units!$Q72),1,Inputs!$B$15)*Inputs!$B$16*(1+Inputs!$B$11)^(CG$2-1),0)</f>
        <v>0</v>
      </c>
      <c r="CH73" s="11" t="n">
        <f aca="false">IF(AND(CH$1&gt;=Units!$Q72,MOD(CH$1-Units!$Q72,12)=0),IF(AND(Units!$L72=1,CH$1=Units!$Q72),1,Inputs!$B$15)*Inputs!$B$16*(1+Inputs!$B$11)^(CH$2-1),0)</f>
        <v>0</v>
      </c>
      <c r="CI73" s="11" t="n">
        <f aca="false">IF(AND(CI$1&gt;=Units!$Q72,MOD(CI$1-Units!$Q72,12)=0),IF(AND(Units!$L72=1,CI$1=Units!$Q72),1,Inputs!$B$15)*Inputs!$B$16*(1+Inputs!$B$11)^(CI$2-1),0)</f>
        <v>0</v>
      </c>
      <c r="CJ73" s="11" t="n">
        <f aca="false">IF(AND(CJ$1&gt;=Units!$Q72,MOD(CJ$1-Units!$Q72,12)=0),IF(AND(Units!$L72=1,CJ$1=Units!$Q72),1,Inputs!$B$15)*Inputs!$B$16*(1+Inputs!$B$11)^(CJ$2-1),0)</f>
        <v>0</v>
      </c>
      <c r="CK73" s="11" t="n">
        <f aca="false">IF(AND(CK$1&gt;=Units!$Q72,MOD(CK$1-Units!$Q72,12)=0),IF(AND(Units!$L72=1,CK$1=Units!$Q72),1,Inputs!$B$15)*Inputs!$B$16*(1+Inputs!$B$11)^(CK$2-1),0)</f>
        <v>0</v>
      </c>
      <c r="CL73" s="11" t="n">
        <f aca="false">IF(AND(CL$1&gt;=Units!$Q72,MOD(CL$1-Units!$Q72,12)=0),IF(AND(Units!$L72=1,CL$1=Units!$Q72),1,Inputs!$B$15)*Inputs!$B$16*(1+Inputs!$B$11)^(CL$2-1),0)</f>
        <v>0</v>
      </c>
      <c r="CM73" s="11" t="n">
        <f aca="false">IF(AND(CM$1&gt;=Units!$Q72,MOD(CM$1-Units!$Q72,12)=0),IF(AND(Units!$L72=1,CM$1=Units!$Q72),1,Inputs!$B$15)*Inputs!$B$16*(1+Inputs!$B$11)^(CM$2-1),0)</f>
        <v>0</v>
      </c>
      <c r="CN73" s="11" t="n">
        <f aca="false">IF(AND(CN$1&gt;=Units!$Q72,MOD(CN$1-Units!$Q72,12)=0),IF(AND(Units!$L72=1,CN$1=Units!$Q72),1,Inputs!$B$15)*Inputs!$B$16*(1+Inputs!$B$11)^(CN$2-1),0)</f>
        <v>0</v>
      </c>
      <c r="CO73" s="11" t="n">
        <f aca="false">IF(AND(CO$1&gt;=Units!$Q72,MOD(CO$1-Units!$Q72,12)=0),IF(AND(Units!$L72=1,CO$1=Units!$Q72),1,Inputs!$B$15)*Inputs!$B$16*(1+Inputs!$B$11)^(CO$2-1),0)</f>
        <v>614.936932712435</v>
      </c>
      <c r="CP73" s="11" t="n">
        <f aca="false">IF(AND(CP$1&gt;=Units!$Q72,MOD(CP$1-Units!$Q72,12)=0),IF(AND(Units!$L72=1,CP$1=Units!$Q72),1,Inputs!$B$15)*Inputs!$B$16*(1+Inputs!$B$11)^(CP$2-1),0)</f>
        <v>0</v>
      </c>
      <c r="CQ73" s="11" t="n">
        <f aca="false">IF(AND(CQ$1&gt;=Units!$Q72,MOD(CQ$1-Units!$Q72,12)=0),IF(AND(Units!$L72=1,CQ$1=Units!$Q72),1,Inputs!$B$15)*Inputs!$B$16*(1+Inputs!$B$11)^(CQ$2-1),0)</f>
        <v>0</v>
      </c>
      <c r="CR73" s="11" t="n">
        <f aca="false">IF(AND(CR$1&gt;=Units!$Q72,MOD(CR$1-Units!$Q72,12)=0),IF(AND(Units!$L72=1,CR$1=Units!$Q72),1,Inputs!$B$15)*Inputs!$B$16*(1+Inputs!$B$11)^(CR$2-1),0)</f>
        <v>0</v>
      </c>
      <c r="CS73" s="11" t="n">
        <f aca="false">IF(AND(CS$1&gt;=Units!$Q72,MOD(CS$1-Units!$Q72,12)=0),IF(AND(Units!$L72=1,CS$1=Units!$Q72),1,Inputs!$B$15)*Inputs!$B$16*(1+Inputs!$B$11)^(CS$2-1),0)</f>
        <v>0</v>
      </c>
      <c r="CT73" s="11" t="n">
        <f aca="false">IF(AND(CT$1&gt;=Units!$Q72,MOD(CT$1-Units!$Q72,12)=0),IF(AND(Units!$L72=1,CT$1=Units!$Q72),1,Inputs!$B$15)*Inputs!$B$16*(1+Inputs!$B$11)^(CT$2-1),0)</f>
        <v>0</v>
      </c>
      <c r="CU73" s="11" t="n">
        <f aca="false">IF(AND(CU$1&gt;=Units!$Q72,MOD(CU$1-Units!$Q72,12)=0),IF(AND(Units!$L72=1,CU$1=Units!$Q72),1,Inputs!$B$15)*Inputs!$B$16*(1+Inputs!$B$11)^(CU$2-1),0)</f>
        <v>0</v>
      </c>
      <c r="CV73" s="11" t="n">
        <f aca="false">IF(AND(CV$1&gt;=Units!$Q72,MOD(CV$1-Units!$Q72,12)=0),IF(AND(Units!$L72=1,CV$1=Units!$Q72),1,Inputs!$B$15)*Inputs!$B$16*(1+Inputs!$B$11)^(CV$2-1),0)</f>
        <v>0</v>
      </c>
      <c r="CW73" s="11" t="n">
        <f aca="false">IF(AND(CW$1&gt;=Units!$Q72,MOD(CW$1-Units!$Q72,12)=0),IF(AND(Units!$L72=1,CW$1=Units!$Q72),1,Inputs!$B$15)*Inputs!$B$16*(1+Inputs!$B$11)^(CW$2-1),0)</f>
        <v>0</v>
      </c>
      <c r="CX73" s="11" t="n">
        <f aca="false">IF(AND(CX$1&gt;=Units!$Q72,MOD(CX$1-Units!$Q72,12)=0),IF(AND(Units!$L72=1,CX$1=Units!$Q72),1,Inputs!$B$15)*Inputs!$B$16*(1+Inputs!$B$11)^(CX$2-1),0)</f>
        <v>0</v>
      </c>
      <c r="CY73" s="11" t="n">
        <f aca="false">IF(AND(CY$1&gt;=Units!$Q72,MOD(CY$1-Units!$Q72,12)=0),IF(AND(Units!$L72=1,CY$1=Units!$Q72),1,Inputs!$B$15)*Inputs!$B$16*(1+Inputs!$B$11)^(CY$2-1),0)</f>
        <v>0</v>
      </c>
      <c r="CZ73" s="11" t="n">
        <f aca="false">IF(AND(CZ$1&gt;=Units!$Q72,MOD(CZ$1-Units!$Q72,12)=0),IF(AND(Units!$L72=1,CZ$1=Units!$Q72),1,Inputs!$B$15)*Inputs!$B$16*(1+Inputs!$B$11)^(CZ$2-1),0)</f>
        <v>0</v>
      </c>
      <c r="DA73" s="11" t="n">
        <f aca="false">IF(AND(DA$1&gt;=Units!$Q72,MOD(DA$1-Units!$Q72,12)=0),IF(AND(Units!$L72=1,DA$1=Units!$Q72),1,Inputs!$B$15)*Inputs!$B$16*(1+Inputs!$B$11)^(DA$2-1),0)</f>
        <v>633.385040693808</v>
      </c>
      <c r="DB73" s="11" t="n">
        <f aca="false">IF(AND(DB$1&gt;=Units!$Q72,MOD(DB$1-Units!$Q72,12)=0),IF(AND(Units!$L72=1,DB$1=Units!$Q72),1,Inputs!$B$15)*Inputs!$B$16*(1+Inputs!$B$11)^(DB$2-1),0)</f>
        <v>0</v>
      </c>
      <c r="DC73" s="11" t="n">
        <f aca="false">IF(AND(DC$1&gt;=Units!$Q72,MOD(DC$1-Units!$Q72,12)=0),IF(AND(Units!$L72=1,DC$1=Units!$Q72),1,Inputs!$B$15)*Inputs!$B$16*(1+Inputs!$B$11)^(DC$2-1),0)</f>
        <v>0</v>
      </c>
      <c r="DD73" s="11" t="n">
        <f aca="false">IF(AND(DD$1&gt;=Units!$Q72,MOD(DD$1-Units!$Q72,12)=0),IF(AND(Units!$L72=1,DD$1=Units!$Q72),1,Inputs!$B$15)*Inputs!$B$16*(1+Inputs!$B$11)^(DD$2-1),0)</f>
        <v>0</v>
      </c>
      <c r="DE73" s="11" t="n">
        <f aca="false">IF(AND(DE$1&gt;=Units!$Q72,MOD(DE$1-Units!$Q72,12)=0),IF(AND(Units!$L72=1,DE$1=Units!$Q72),1,Inputs!$B$15)*Inputs!$B$16*(1+Inputs!$B$11)^(DE$2-1),0)</f>
        <v>0</v>
      </c>
      <c r="DF73" s="11" t="n">
        <f aca="false">IF(AND(DF$1&gt;=Units!$Q72,MOD(DF$1-Units!$Q72,12)=0),IF(AND(Units!$L72=1,DF$1=Units!$Q72),1,Inputs!$B$15)*Inputs!$B$16*(1+Inputs!$B$11)^(DF$2-1),0)</f>
        <v>0</v>
      </c>
      <c r="DG73" s="11" t="n">
        <f aca="false">IF(AND(DG$1&gt;=Units!$Q72,MOD(DG$1-Units!$Q72,12)=0),IF(AND(Units!$L72=1,DG$1=Units!$Q72),1,Inputs!$B$15)*Inputs!$B$16*(1+Inputs!$B$11)^(DG$2-1),0)</f>
        <v>0</v>
      </c>
      <c r="DH73" s="11" t="n">
        <f aca="false">IF(AND(DH$1&gt;=Units!$Q72,MOD(DH$1-Units!$Q72,12)=0),IF(AND(Units!$L72=1,DH$1=Units!$Q72),1,Inputs!$B$15)*Inputs!$B$16*(1+Inputs!$B$11)^(DH$2-1),0)</f>
        <v>0</v>
      </c>
      <c r="DI73" s="11" t="n">
        <f aca="false">IF(AND(DI$1&gt;=Units!$Q72,MOD(DI$1-Units!$Q72,12)=0),IF(AND(Units!$L72=1,DI$1=Units!$Q72),1,Inputs!$B$15)*Inputs!$B$16*(1+Inputs!$B$11)^(DI$2-1),0)</f>
        <v>0</v>
      </c>
      <c r="DJ73" s="11" t="n">
        <f aca="false">IF(AND(DJ$1&gt;=Units!$Q72,MOD(DJ$1-Units!$Q72,12)=0),IF(AND(Units!$L72=1,DJ$1=Units!$Q72),1,Inputs!$B$15)*Inputs!$B$16*(1+Inputs!$B$11)^(DJ$2-1),0)</f>
        <v>0</v>
      </c>
      <c r="DK73" s="11" t="n">
        <f aca="false">IF(AND(DK$1&gt;=Units!$Q72,MOD(DK$1-Units!$Q72,12)=0),IF(AND(Units!$L72=1,DK$1=Units!$Q72),1,Inputs!$B$15)*Inputs!$B$16*(1+Inputs!$B$11)^(DK$2-1),0)</f>
        <v>0</v>
      </c>
      <c r="DL73" s="11" t="n">
        <f aca="false">IF(AND(DL$1&gt;=Units!$Q72,MOD(DL$1-Units!$Q72,12)=0),IF(AND(Units!$L72=1,DL$1=Units!$Q72),1,Inputs!$B$15)*Inputs!$B$16*(1+Inputs!$B$11)^(DL$2-1),0)</f>
        <v>0</v>
      </c>
      <c r="DM73" s="11" t="n">
        <f aca="false">IF(AND(DM$1&gt;=Units!$Q72,MOD(DM$1-Units!$Q72,12)=0),IF(AND(Units!$L72=1,DM$1=Units!$Q72),1,Inputs!$B$15)*Inputs!$B$16*(1+Inputs!$B$11)^(DM$2-1),0)</f>
        <v>652.386591914623</v>
      </c>
      <c r="DN73" s="11" t="n">
        <f aca="false">IF(AND(DN$1&gt;=Units!$Q72,MOD(DN$1-Units!$Q72,12)=0),IF(AND(Units!$L72=1,DN$1=Units!$Q72),1,Inputs!$B$15)*Inputs!$B$16*(1+Inputs!$B$11)^(DN$2-1),0)</f>
        <v>0</v>
      </c>
      <c r="DO73" s="11" t="n">
        <f aca="false">IF(AND(DO$1&gt;=Units!$Q72,MOD(DO$1-Units!$Q72,12)=0),IF(AND(Units!$L72=1,DO$1=Units!$Q72),1,Inputs!$B$15)*Inputs!$B$16*(1+Inputs!$B$11)^(DO$2-1),0)</f>
        <v>0</v>
      </c>
      <c r="DP73" s="11" t="n">
        <f aca="false">IF(AND(DP$1&gt;=Units!$Q72,MOD(DP$1-Units!$Q72,12)=0),IF(AND(Units!$L72=1,DP$1=Units!$Q72),1,Inputs!$B$15)*Inputs!$B$16*(1+Inputs!$B$11)^(DP$2-1),0)</f>
        <v>0</v>
      </c>
      <c r="DQ73" s="11" t="n">
        <f aca="false">IF(AND(DQ$1&gt;=Units!$Q72,MOD(DQ$1-Units!$Q72,12)=0),IF(AND(Units!$L72=1,DQ$1=Units!$Q72),1,Inputs!$B$15)*Inputs!$B$16*(1+Inputs!$B$11)^(DQ$2-1),0)</f>
        <v>0</v>
      </c>
      <c r="DR73" s="11" t="n">
        <f aca="false">IF(AND(DR$1&gt;=Units!$Q72,MOD(DR$1-Units!$Q72,12)=0),IF(AND(Units!$L72=1,DR$1=Units!$Q72),1,Inputs!$B$15)*Inputs!$B$16*(1+Inputs!$B$11)^(DR$2-1),0)</f>
        <v>0</v>
      </c>
      <c r="DS73" s="11" t="n">
        <f aca="false">IF(AND(DS$1&gt;=Units!$Q72,MOD(DS$1-Units!$Q72,12)=0),IF(AND(Units!$L72=1,DS$1=Units!$Q72),1,Inputs!$B$15)*Inputs!$B$16*(1+Inputs!$B$11)^(DS$2-1),0)</f>
        <v>0</v>
      </c>
      <c r="DT73" s="11" t="n">
        <f aca="false">IF(AND(DT$1&gt;=Units!$Q72,MOD(DT$1-Units!$Q72,12)=0),IF(AND(Units!$L72=1,DT$1=Units!$Q72),1,Inputs!$B$15)*Inputs!$B$16*(1+Inputs!$B$11)^(DT$2-1),0)</f>
        <v>0</v>
      </c>
      <c r="DU73" s="11" t="n">
        <f aca="false">IF(AND(DU$1&gt;=Units!$Q72,MOD(DU$1-Units!$Q72,12)=0),IF(AND(Units!$L72=1,DU$1=Units!$Q72),1,Inputs!$B$15)*Inputs!$B$16*(1+Inputs!$B$11)^(DU$2-1),0)</f>
        <v>0</v>
      </c>
      <c r="DV73" s="11" t="n">
        <f aca="false">IF(AND(DV$1&gt;=Units!$Q72,MOD(DV$1-Units!$Q72,12)=0),IF(AND(Units!$L72=1,DV$1=Units!$Q72),1,Inputs!$B$15)*Inputs!$B$16*(1+Inputs!$B$11)^(DV$2-1),0)</f>
        <v>0</v>
      </c>
      <c r="DW73" s="11" t="n">
        <f aca="false">IF(AND(DW$1&gt;=Units!$Q72,MOD(DW$1-Units!$Q72,12)=0),IF(AND(Units!$L72=1,DW$1=Units!$Q72),1,Inputs!$B$15)*Inputs!$B$16*(1+Inputs!$B$11)^(DW$2-1),0)</f>
        <v>0</v>
      </c>
      <c r="DX73" s="11" t="n">
        <f aca="false">IF(AND(DX$1&gt;=Units!$Q72,MOD(DX$1-Units!$Q72,12)=0),IF(AND(Units!$L72=1,DX$1=Units!$Q72),1,Inputs!$B$15)*Inputs!$B$16*(1+Inputs!$B$11)^(DX$2-1),0)</f>
        <v>0</v>
      </c>
      <c r="DY73" s="11" t="n">
        <f aca="false">IF(AND(DY$1&gt;=Units!$Q72,MOD(DY$1-Units!$Q72,12)=0),IF(AND(Units!$L72=1,DY$1=Units!$Q72),1,Inputs!$B$15)*Inputs!$B$16*(1+Inputs!$B$11)^(DY$2-1),0)</f>
        <v>671.958189672061</v>
      </c>
      <c r="DZ73" s="11" t="n">
        <f aca="false">IF(AND(DZ$1&gt;=Units!$Q72,MOD(DZ$1-Units!$Q72,12)=0),IF(AND(Units!$L72=1,DZ$1=Units!$Q72),1,Inputs!$B$15)*Inputs!$B$16*(1+Inputs!$B$11)^(DZ$2-1),0)</f>
        <v>0</v>
      </c>
      <c r="EA73" s="11" t="n">
        <f aca="false">IF(AND(EA$1&gt;=Units!$Q72,MOD(EA$1-Units!$Q72,12)=0),IF(AND(Units!$L72=1,EA$1=Units!$Q72),1,Inputs!$B$15)*Inputs!$B$16*(1+Inputs!$B$11)^(EA$2-1),0)</f>
        <v>0</v>
      </c>
      <c r="EB73" s="11" t="n">
        <f aca="false">IF(AND(EB$1&gt;=Units!$Q72,MOD(EB$1-Units!$Q72,12)=0),IF(AND(Units!$L72=1,EB$1=Units!$Q72),1,Inputs!$B$15)*Inputs!$B$16*(1+Inputs!$B$11)^(EB$2-1),0)</f>
        <v>0</v>
      </c>
      <c r="EC73" s="11" t="n">
        <f aca="false">IF(AND(EC$1&gt;=Units!$Q72,MOD(EC$1-Units!$Q72,12)=0),IF(AND(Units!$L72=1,EC$1=Units!$Q72),1,Inputs!$B$15)*Inputs!$B$16*(1+Inputs!$B$11)^(EC$2-1),0)</f>
        <v>0</v>
      </c>
      <c r="ED73" s="11" t="n">
        <f aca="false">IF(AND(ED$1&gt;=Units!$Q72,MOD(ED$1-Units!$Q72,12)=0),IF(AND(Units!$L72=1,ED$1=Units!$Q72),1,Inputs!$B$15)*Inputs!$B$16*(1+Inputs!$B$11)^(ED$2-1),0)</f>
        <v>0</v>
      </c>
    </row>
    <row r="74" customFormat="false" ht="15" hidden="false" customHeight="false" outlineLevel="0" collapsed="false">
      <c r="A74" s="22" t="n">
        <f aca="false">Units!A73</f>
        <v>312</v>
      </c>
      <c r="B74" s="23"/>
      <c r="C74" s="11" t="n">
        <f aca="false">IF(AND(C$1&gt;=Units!$Q73,MOD(C$1-Units!$Q73,12)=0),IF(AND(Units!$L73=1,C$1=Units!$Q73),1,Inputs!$B$15)*Inputs!$B$16*(1+Inputs!$B$11)^(C$2-1),0)</f>
        <v>0</v>
      </c>
      <c r="D74" s="11" t="n">
        <f aca="false">IF(AND(D$1&gt;=Units!$Q73,MOD(D$1-Units!$Q73,12)=0),IF(AND(Units!$L73=1,D$1=Units!$Q73),1,Inputs!$B$15)*Inputs!$B$16*(1+Inputs!$B$11)^(D$2-1),0)</f>
        <v>0</v>
      </c>
      <c r="E74" s="11" t="n">
        <f aca="false">IF(AND(E$1&gt;=Units!$Q73,MOD(E$1-Units!$Q73,12)=0),IF(AND(Units!$L73=1,E$1=Units!$Q73),1,Inputs!$B$15)*Inputs!$B$16*(1+Inputs!$B$11)^(E$2-1),0)</f>
        <v>0</v>
      </c>
      <c r="F74" s="11" t="n">
        <f aca="false">IF(AND(F$1&gt;=Units!$Q73,MOD(F$1-Units!$Q73,12)=0),IF(AND(Units!$L73=1,F$1=Units!$Q73),1,Inputs!$B$15)*Inputs!$B$16*(1+Inputs!$B$11)^(F$2-1),0)</f>
        <v>500</v>
      </c>
      <c r="G74" s="11" t="n">
        <f aca="false">IF(AND(G$1&gt;=Units!$Q73,MOD(G$1-Units!$Q73,12)=0),IF(AND(Units!$L73=1,G$1=Units!$Q73),1,Inputs!$B$15)*Inputs!$B$16*(1+Inputs!$B$11)^(G$2-1),0)</f>
        <v>0</v>
      </c>
      <c r="H74" s="11" t="n">
        <f aca="false">IF(AND(H$1&gt;=Units!$Q73,MOD(H$1-Units!$Q73,12)=0),IF(AND(Units!$L73=1,H$1=Units!$Q73),1,Inputs!$B$15)*Inputs!$B$16*(1+Inputs!$B$11)^(H$2-1),0)</f>
        <v>0</v>
      </c>
      <c r="I74" s="11" t="n">
        <f aca="false">IF(AND(I$1&gt;=Units!$Q73,MOD(I$1-Units!$Q73,12)=0),IF(AND(Units!$L73=1,I$1=Units!$Q73),1,Inputs!$B$15)*Inputs!$B$16*(1+Inputs!$B$11)^(I$2-1),0)</f>
        <v>0</v>
      </c>
      <c r="J74" s="11" t="n">
        <f aca="false">IF(AND(J$1&gt;=Units!$Q73,MOD(J$1-Units!$Q73,12)=0),IF(AND(Units!$L73=1,J$1=Units!$Q73),1,Inputs!$B$15)*Inputs!$B$16*(1+Inputs!$B$11)^(J$2-1),0)</f>
        <v>0</v>
      </c>
      <c r="K74" s="11" t="n">
        <f aca="false">IF(AND(K$1&gt;=Units!$Q73,MOD(K$1-Units!$Q73,12)=0),IF(AND(Units!$L73=1,K$1=Units!$Q73),1,Inputs!$B$15)*Inputs!$B$16*(1+Inputs!$B$11)^(K$2-1),0)</f>
        <v>0</v>
      </c>
      <c r="L74" s="11" t="n">
        <f aca="false">IF(AND(L$1&gt;=Units!$Q73,MOD(L$1-Units!$Q73,12)=0),IF(AND(Units!$L73=1,L$1=Units!$Q73),1,Inputs!$B$15)*Inputs!$B$16*(1+Inputs!$B$11)^(L$2-1),0)</f>
        <v>0</v>
      </c>
      <c r="M74" s="11" t="n">
        <f aca="false">IF(AND(M$1&gt;=Units!$Q73,MOD(M$1-Units!$Q73,12)=0),IF(AND(Units!$L73=1,M$1=Units!$Q73),1,Inputs!$B$15)*Inputs!$B$16*(1+Inputs!$B$11)^(M$2-1),0)</f>
        <v>0</v>
      </c>
      <c r="N74" s="11" t="n">
        <f aca="false">IF(AND(N$1&gt;=Units!$Q73,MOD(N$1-Units!$Q73,12)=0),IF(AND(Units!$L73=1,N$1=Units!$Q73),1,Inputs!$B$15)*Inputs!$B$16*(1+Inputs!$B$11)^(N$2-1),0)</f>
        <v>0</v>
      </c>
      <c r="O74" s="11" t="n">
        <f aca="false">IF(AND(O$1&gt;=Units!$Q73,MOD(O$1-Units!$Q73,12)=0),IF(AND(Units!$L73=1,O$1=Units!$Q73),1,Inputs!$B$15)*Inputs!$B$16*(1+Inputs!$B$11)^(O$2-1),0)</f>
        <v>0</v>
      </c>
      <c r="P74" s="11" t="n">
        <f aca="false">IF(AND(P$1&gt;=Units!$Q73,MOD(P$1-Units!$Q73,12)=0),IF(AND(Units!$L73=1,P$1=Units!$Q73),1,Inputs!$B$15)*Inputs!$B$16*(1+Inputs!$B$11)^(P$2-1),0)</f>
        <v>0</v>
      </c>
      <c r="Q74" s="11" t="n">
        <f aca="false">IF(AND(Q$1&gt;=Units!$Q73,MOD(Q$1-Units!$Q73,12)=0),IF(AND(Units!$L73=1,Q$1=Units!$Q73),1,Inputs!$B$15)*Inputs!$B$16*(1+Inputs!$B$11)^(Q$2-1),0)</f>
        <v>0</v>
      </c>
      <c r="R74" s="11" t="n">
        <f aca="false">IF(AND(R$1&gt;=Units!$Q73,MOD(R$1-Units!$Q73,12)=0),IF(AND(Units!$L73=1,R$1=Units!$Q73),1,Inputs!$B$15)*Inputs!$B$16*(1+Inputs!$B$11)^(R$2-1),0)</f>
        <v>515</v>
      </c>
      <c r="S74" s="11" t="n">
        <f aca="false">IF(AND(S$1&gt;=Units!$Q73,MOD(S$1-Units!$Q73,12)=0),IF(AND(Units!$L73=1,S$1=Units!$Q73),1,Inputs!$B$15)*Inputs!$B$16*(1+Inputs!$B$11)^(S$2-1),0)</f>
        <v>0</v>
      </c>
      <c r="T74" s="11" t="n">
        <f aca="false">IF(AND(T$1&gt;=Units!$Q73,MOD(T$1-Units!$Q73,12)=0),IF(AND(Units!$L73=1,T$1=Units!$Q73),1,Inputs!$B$15)*Inputs!$B$16*(1+Inputs!$B$11)^(T$2-1),0)</f>
        <v>0</v>
      </c>
      <c r="U74" s="11" t="n">
        <f aca="false">IF(AND(U$1&gt;=Units!$Q73,MOD(U$1-Units!$Q73,12)=0),IF(AND(Units!$L73=1,U$1=Units!$Q73),1,Inputs!$B$15)*Inputs!$B$16*(1+Inputs!$B$11)^(U$2-1),0)</f>
        <v>0</v>
      </c>
      <c r="V74" s="11" t="n">
        <f aca="false">IF(AND(V$1&gt;=Units!$Q73,MOD(V$1-Units!$Q73,12)=0),IF(AND(Units!$L73=1,V$1=Units!$Q73),1,Inputs!$B$15)*Inputs!$B$16*(1+Inputs!$B$11)^(V$2-1),0)</f>
        <v>0</v>
      </c>
      <c r="W74" s="11" t="n">
        <f aca="false">IF(AND(W$1&gt;=Units!$Q73,MOD(W$1-Units!$Q73,12)=0),IF(AND(Units!$L73=1,W$1=Units!$Q73),1,Inputs!$B$15)*Inputs!$B$16*(1+Inputs!$B$11)^(W$2-1),0)</f>
        <v>0</v>
      </c>
      <c r="X74" s="11" t="n">
        <f aca="false">IF(AND(X$1&gt;=Units!$Q73,MOD(X$1-Units!$Q73,12)=0),IF(AND(Units!$L73=1,X$1=Units!$Q73),1,Inputs!$B$15)*Inputs!$B$16*(1+Inputs!$B$11)^(X$2-1),0)</f>
        <v>0</v>
      </c>
      <c r="Y74" s="11" t="n">
        <f aca="false">IF(AND(Y$1&gt;=Units!$Q73,MOD(Y$1-Units!$Q73,12)=0),IF(AND(Units!$L73=1,Y$1=Units!$Q73),1,Inputs!$B$15)*Inputs!$B$16*(1+Inputs!$B$11)^(Y$2-1),0)</f>
        <v>0</v>
      </c>
      <c r="Z74" s="11" t="n">
        <f aca="false">IF(AND(Z$1&gt;=Units!$Q73,MOD(Z$1-Units!$Q73,12)=0),IF(AND(Units!$L73=1,Z$1=Units!$Q73),1,Inputs!$B$15)*Inputs!$B$16*(1+Inputs!$B$11)^(Z$2-1),0)</f>
        <v>0</v>
      </c>
      <c r="AA74" s="11" t="n">
        <f aca="false">IF(AND(AA$1&gt;=Units!$Q73,MOD(AA$1-Units!$Q73,12)=0),IF(AND(Units!$L73=1,AA$1=Units!$Q73),1,Inputs!$B$15)*Inputs!$B$16*(1+Inputs!$B$11)^(AA$2-1),0)</f>
        <v>0</v>
      </c>
      <c r="AB74" s="11" t="n">
        <f aca="false">IF(AND(AB$1&gt;=Units!$Q73,MOD(AB$1-Units!$Q73,12)=0),IF(AND(Units!$L73=1,AB$1=Units!$Q73),1,Inputs!$B$15)*Inputs!$B$16*(1+Inputs!$B$11)^(AB$2-1),0)</f>
        <v>0</v>
      </c>
      <c r="AC74" s="11" t="n">
        <f aca="false">IF(AND(AC$1&gt;=Units!$Q73,MOD(AC$1-Units!$Q73,12)=0),IF(AND(Units!$L73=1,AC$1=Units!$Q73),1,Inputs!$B$15)*Inputs!$B$16*(1+Inputs!$B$11)^(AC$2-1),0)</f>
        <v>0</v>
      </c>
      <c r="AD74" s="11" t="n">
        <f aca="false">IF(AND(AD$1&gt;=Units!$Q73,MOD(AD$1-Units!$Q73,12)=0),IF(AND(Units!$L73=1,AD$1=Units!$Q73),1,Inputs!$B$15)*Inputs!$B$16*(1+Inputs!$B$11)^(AD$2-1),0)</f>
        <v>530.45</v>
      </c>
      <c r="AE74" s="11" t="n">
        <f aca="false">IF(AND(AE$1&gt;=Units!$Q73,MOD(AE$1-Units!$Q73,12)=0),IF(AND(Units!$L73=1,AE$1=Units!$Q73),1,Inputs!$B$15)*Inputs!$B$16*(1+Inputs!$B$11)^(AE$2-1),0)</f>
        <v>0</v>
      </c>
      <c r="AF74" s="11" t="n">
        <f aca="false">IF(AND(AF$1&gt;=Units!$Q73,MOD(AF$1-Units!$Q73,12)=0),IF(AND(Units!$L73=1,AF$1=Units!$Q73),1,Inputs!$B$15)*Inputs!$B$16*(1+Inputs!$B$11)^(AF$2-1),0)</f>
        <v>0</v>
      </c>
      <c r="AG74" s="11" t="n">
        <f aca="false">IF(AND(AG$1&gt;=Units!$Q73,MOD(AG$1-Units!$Q73,12)=0),IF(AND(Units!$L73=1,AG$1=Units!$Q73),1,Inputs!$B$15)*Inputs!$B$16*(1+Inputs!$B$11)^(AG$2-1),0)</f>
        <v>0</v>
      </c>
      <c r="AH74" s="11" t="n">
        <f aca="false">IF(AND(AH$1&gt;=Units!$Q73,MOD(AH$1-Units!$Q73,12)=0),IF(AND(Units!$L73=1,AH$1=Units!$Q73),1,Inputs!$B$15)*Inputs!$B$16*(1+Inputs!$B$11)^(AH$2-1),0)</f>
        <v>0</v>
      </c>
      <c r="AI74" s="11" t="n">
        <f aca="false">IF(AND(AI$1&gt;=Units!$Q73,MOD(AI$1-Units!$Q73,12)=0),IF(AND(Units!$L73=1,AI$1=Units!$Q73),1,Inputs!$B$15)*Inputs!$B$16*(1+Inputs!$B$11)^(AI$2-1),0)</f>
        <v>0</v>
      </c>
      <c r="AJ74" s="11" t="n">
        <f aca="false">IF(AND(AJ$1&gt;=Units!$Q73,MOD(AJ$1-Units!$Q73,12)=0),IF(AND(Units!$L73=1,AJ$1=Units!$Q73),1,Inputs!$B$15)*Inputs!$B$16*(1+Inputs!$B$11)^(AJ$2-1),0)</f>
        <v>0</v>
      </c>
      <c r="AK74" s="11" t="n">
        <f aca="false">IF(AND(AK$1&gt;=Units!$Q73,MOD(AK$1-Units!$Q73,12)=0),IF(AND(Units!$L73=1,AK$1=Units!$Q73),1,Inputs!$B$15)*Inputs!$B$16*(1+Inputs!$B$11)^(AK$2-1),0)</f>
        <v>0</v>
      </c>
      <c r="AL74" s="11" t="n">
        <f aca="false">IF(AND(AL$1&gt;=Units!$Q73,MOD(AL$1-Units!$Q73,12)=0),IF(AND(Units!$L73=1,AL$1=Units!$Q73),1,Inputs!$B$15)*Inputs!$B$16*(1+Inputs!$B$11)^(AL$2-1),0)</f>
        <v>0</v>
      </c>
      <c r="AM74" s="11" t="n">
        <f aca="false">IF(AND(AM$1&gt;=Units!$Q73,MOD(AM$1-Units!$Q73,12)=0),IF(AND(Units!$L73=1,AM$1=Units!$Q73),1,Inputs!$B$15)*Inputs!$B$16*(1+Inputs!$B$11)^(AM$2-1),0)</f>
        <v>0</v>
      </c>
      <c r="AN74" s="11" t="n">
        <f aca="false">IF(AND(AN$1&gt;=Units!$Q73,MOD(AN$1-Units!$Q73,12)=0),IF(AND(Units!$L73=1,AN$1=Units!$Q73),1,Inputs!$B$15)*Inputs!$B$16*(1+Inputs!$B$11)^(AN$2-1),0)</f>
        <v>0</v>
      </c>
      <c r="AO74" s="11" t="n">
        <f aca="false">IF(AND(AO$1&gt;=Units!$Q73,MOD(AO$1-Units!$Q73,12)=0),IF(AND(Units!$L73=1,AO$1=Units!$Q73),1,Inputs!$B$15)*Inputs!$B$16*(1+Inputs!$B$11)^(AO$2-1),0)</f>
        <v>0</v>
      </c>
      <c r="AP74" s="11" t="n">
        <f aca="false">IF(AND(AP$1&gt;=Units!$Q73,MOD(AP$1-Units!$Q73,12)=0),IF(AND(Units!$L73=1,AP$1=Units!$Q73),1,Inputs!$B$15)*Inputs!$B$16*(1+Inputs!$B$11)^(AP$2-1),0)</f>
        <v>546.3635</v>
      </c>
      <c r="AQ74" s="11" t="n">
        <f aca="false">IF(AND(AQ$1&gt;=Units!$Q73,MOD(AQ$1-Units!$Q73,12)=0),IF(AND(Units!$L73=1,AQ$1=Units!$Q73),1,Inputs!$B$15)*Inputs!$B$16*(1+Inputs!$B$11)^(AQ$2-1),0)</f>
        <v>0</v>
      </c>
      <c r="AR74" s="11" t="n">
        <f aca="false">IF(AND(AR$1&gt;=Units!$Q73,MOD(AR$1-Units!$Q73,12)=0),IF(AND(Units!$L73=1,AR$1=Units!$Q73),1,Inputs!$B$15)*Inputs!$B$16*(1+Inputs!$B$11)^(AR$2-1),0)</f>
        <v>0</v>
      </c>
      <c r="AS74" s="11" t="n">
        <f aca="false">IF(AND(AS$1&gt;=Units!$Q73,MOD(AS$1-Units!$Q73,12)=0),IF(AND(Units!$L73=1,AS$1=Units!$Q73),1,Inputs!$B$15)*Inputs!$B$16*(1+Inputs!$B$11)^(AS$2-1),0)</f>
        <v>0</v>
      </c>
      <c r="AT74" s="11" t="n">
        <f aca="false">IF(AND(AT$1&gt;=Units!$Q73,MOD(AT$1-Units!$Q73,12)=0),IF(AND(Units!$L73=1,AT$1=Units!$Q73),1,Inputs!$B$15)*Inputs!$B$16*(1+Inputs!$B$11)^(AT$2-1),0)</f>
        <v>0</v>
      </c>
      <c r="AU74" s="11" t="n">
        <f aca="false">IF(AND(AU$1&gt;=Units!$Q73,MOD(AU$1-Units!$Q73,12)=0),IF(AND(Units!$L73=1,AU$1=Units!$Q73),1,Inputs!$B$15)*Inputs!$B$16*(1+Inputs!$B$11)^(AU$2-1),0)</f>
        <v>0</v>
      </c>
      <c r="AV74" s="11" t="n">
        <f aca="false">IF(AND(AV$1&gt;=Units!$Q73,MOD(AV$1-Units!$Q73,12)=0),IF(AND(Units!$L73=1,AV$1=Units!$Q73),1,Inputs!$B$15)*Inputs!$B$16*(1+Inputs!$B$11)^(AV$2-1),0)</f>
        <v>0</v>
      </c>
      <c r="AW74" s="11" t="n">
        <f aca="false">IF(AND(AW$1&gt;=Units!$Q73,MOD(AW$1-Units!$Q73,12)=0),IF(AND(Units!$L73=1,AW$1=Units!$Q73),1,Inputs!$B$15)*Inputs!$B$16*(1+Inputs!$B$11)^(AW$2-1),0)</f>
        <v>0</v>
      </c>
      <c r="AX74" s="11" t="n">
        <f aca="false">IF(AND(AX$1&gt;=Units!$Q73,MOD(AX$1-Units!$Q73,12)=0),IF(AND(Units!$L73=1,AX$1=Units!$Q73),1,Inputs!$B$15)*Inputs!$B$16*(1+Inputs!$B$11)^(AX$2-1),0)</f>
        <v>0</v>
      </c>
      <c r="AY74" s="11" t="n">
        <f aca="false">IF(AND(AY$1&gt;=Units!$Q73,MOD(AY$1-Units!$Q73,12)=0),IF(AND(Units!$L73=1,AY$1=Units!$Q73),1,Inputs!$B$15)*Inputs!$B$16*(1+Inputs!$B$11)^(AY$2-1),0)</f>
        <v>0</v>
      </c>
      <c r="AZ74" s="11" t="n">
        <f aca="false">IF(AND(AZ$1&gt;=Units!$Q73,MOD(AZ$1-Units!$Q73,12)=0),IF(AND(Units!$L73=1,AZ$1=Units!$Q73),1,Inputs!$B$15)*Inputs!$B$16*(1+Inputs!$B$11)^(AZ$2-1),0)</f>
        <v>0</v>
      </c>
      <c r="BA74" s="11" t="n">
        <f aca="false">IF(AND(BA$1&gt;=Units!$Q73,MOD(BA$1-Units!$Q73,12)=0),IF(AND(Units!$L73=1,BA$1=Units!$Q73),1,Inputs!$B$15)*Inputs!$B$16*(1+Inputs!$B$11)^(BA$2-1),0)</f>
        <v>0</v>
      </c>
      <c r="BB74" s="11" t="n">
        <f aca="false">IF(AND(BB$1&gt;=Units!$Q73,MOD(BB$1-Units!$Q73,12)=0),IF(AND(Units!$L73=1,BB$1=Units!$Q73),1,Inputs!$B$15)*Inputs!$B$16*(1+Inputs!$B$11)^(BB$2-1),0)</f>
        <v>562.754405</v>
      </c>
      <c r="BC74" s="11" t="n">
        <f aca="false">IF(AND(BC$1&gt;=Units!$Q73,MOD(BC$1-Units!$Q73,12)=0),IF(AND(Units!$L73=1,BC$1=Units!$Q73),1,Inputs!$B$15)*Inputs!$B$16*(1+Inputs!$B$11)^(BC$2-1),0)</f>
        <v>0</v>
      </c>
      <c r="BD74" s="11" t="n">
        <f aca="false">IF(AND(BD$1&gt;=Units!$Q73,MOD(BD$1-Units!$Q73,12)=0),IF(AND(Units!$L73=1,BD$1=Units!$Q73),1,Inputs!$B$15)*Inputs!$B$16*(1+Inputs!$B$11)^(BD$2-1),0)</f>
        <v>0</v>
      </c>
      <c r="BE74" s="11" t="n">
        <f aca="false">IF(AND(BE$1&gt;=Units!$Q73,MOD(BE$1-Units!$Q73,12)=0),IF(AND(Units!$L73=1,BE$1=Units!$Q73),1,Inputs!$B$15)*Inputs!$B$16*(1+Inputs!$B$11)^(BE$2-1),0)</f>
        <v>0</v>
      </c>
      <c r="BF74" s="11" t="n">
        <f aca="false">IF(AND(BF$1&gt;=Units!$Q73,MOD(BF$1-Units!$Q73,12)=0),IF(AND(Units!$L73=1,BF$1=Units!$Q73),1,Inputs!$B$15)*Inputs!$B$16*(1+Inputs!$B$11)^(BF$2-1),0)</f>
        <v>0</v>
      </c>
      <c r="BG74" s="11" t="n">
        <f aca="false">IF(AND(BG$1&gt;=Units!$Q73,MOD(BG$1-Units!$Q73,12)=0),IF(AND(Units!$L73=1,BG$1=Units!$Q73),1,Inputs!$B$15)*Inputs!$B$16*(1+Inputs!$B$11)^(BG$2-1),0)</f>
        <v>0</v>
      </c>
      <c r="BH74" s="11" t="n">
        <f aca="false">IF(AND(BH$1&gt;=Units!$Q73,MOD(BH$1-Units!$Q73,12)=0),IF(AND(Units!$L73=1,BH$1=Units!$Q73),1,Inputs!$B$15)*Inputs!$B$16*(1+Inputs!$B$11)^(BH$2-1),0)</f>
        <v>0</v>
      </c>
      <c r="BI74" s="11" t="n">
        <f aca="false">IF(AND(BI$1&gt;=Units!$Q73,MOD(BI$1-Units!$Q73,12)=0),IF(AND(Units!$L73=1,BI$1=Units!$Q73),1,Inputs!$B$15)*Inputs!$B$16*(1+Inputs!$B$11)^(BI$2-1),0)</f>
        <v>0</v>
      </c>
      <c r="BJ74" s="11" t="n">
        <f aca="false">IF(AND(BJ$1&gt;=Units!$Q73,MOD(BJ$1-Units!$Q73,12)=0),IF(AND(Units!$L73=1,BJ$1=Units!$Q73),1,Inputs!$B$15)*Inputs!$B$16*(1+Inputs!$B$11)^(BJ$2-1),0)</f>
        <v>0</v>
      </c>
      <c r="BK74" s="11" t="n">
        <f aca="false">IF(AND(BK$1&gt;=Units!$Q73,MOD(BK$1-Units!$Q73,12)=0),IF(AND(Units!$L73=1,BK$1=Units!$Q73),1,Inputs!$B$15)*Inputs!$B$16*(1+Inputs!$B$11)^(BK$2-1),0)</f>
        <v>0</v>
      </c>
      <c r="BL74" s="11" t="n">
        <f aca="false">IF(AND(BL$1&gt;=Units!$Q73,MOD(BL$1-Units!$Q73,12)=0),IF(AND(Units!$L73=1,BL$1=Units!$Q73),1,Inputs!$B$15)*Inputs!$B$16*(1+Inputs!$B$11)^(BL$2-1),0)</f>
        <v>0</v>
      </c>
      <c r="BM74" s="11" t="n">
        <f aca="false">IF(AND(BM$1&gt;=Units!$Q73,MOD(BM$1-Units!$Q73,12)=0),IF(AND(Units!$L73=1,BM$1=Units!$Q73),1,Inputs!$B$15)*Inputs!$B$16*(1+Inputs!$B$11)^(BM$2-1),0)</f>
        <v>0</v>
      </c>
      <c r="BN74" s="11" t="n">
        <f aca="false">IF(AND(BN$1&gt;=Units!$Q73,MOD(BN$1-Units!$Q73,12)=0),IF(AND(Units!$L73=1,BN$1=Units!$Q73),1,Inputs!$B$15)*Inputs!$B$16*(1+Inputs!$B$11)^(BN$2-1),0)</f>
        <v>579.63703715</v>
      </c>
      <c r="BO74" s="11" t="n">
        <f aca="false">IF(AND(BO$1&gt;=Units!$Q73,MOD(BO$1-Units!$Q73,12)=0),IF(AND(Units!$L73=1,BO$1=Units!$Q73),1,Inputs!$B$15)*Inputs!$B$16*(1+Inputs!$B$11)^(BO$2-1),0)</f>
        <v>0</v>
      </c>
      <c r="BP74" s="11" t="n">
        <f aca="false">IF(AND(BP$1&gt;=Units!$Q73,MOD(BP$1-Units!$Q73,12)=0),IF(AND(Units!$L73=1,BP$1=Units!$Q73),1,Inputs!$B$15)*Inputs!$B$16*(1+Inputs!$B$11)^(BP$2-1),0)</f>
        <v>0</v>
      </c>
      <c r="BQ74" s="11" t="n">
        <f aca="false">IF(AND(BQ$1&gt;=Units!$Q73,MOD(BQ$1-Units!$Q73,12)=0),IF(AND(Units!$L73=1,BQ$1=Units!$Q73),1,Inputs!$B$15)*Inputs!$B$16*(1+Inputs!$B$11)^(BQ$2-1),0)</f>
        <v>0</v>
      </c>
      <c r="BR74" s="11" t="n">
        <f aca="false">IF(AND(BR$1&gt;=Units!$Q73,MOD(BR$1-Units!$Q73,12)=0),IF(AND(Units!$L73=1,BR$1=Units!$Q73),1,Inputs!$B$15)*Inputs!$B$16*(1+Inputs!$B$11)^(BR$2-1),0)</f>
        <v>0</v>
      </c>
      <c r="BS74" s="11" t="n">
        <f aca="false">IF(AND(BS$1&gt;=Units!$Q73,MOD(BS$1-Units!$Q73,12)=0),IF(AND(Units!$L73=1,BS$1=Units!$Q73),1,Inputs!$B$15)*Inputs!$B$16*(1+Inputs!$B$11)^(BS$2-1),0)</f>
        <v>0</v>
      </c>
      <c r="BT74" s="11" t="n">
        <f aca="false">IF(AND(BT$1&gt;=Units!$Q73,MOD(BT$1-Units!$Q73,12)=0),IF(AND(Units!$L73=1,BT$1=Units!$Q73),1,Inputs!$B$15)*Inputs!$B$16*(1+Inputs!$B$11)^(BT$2-1),0)</f>
        <v>0</v>
      </c>
      <c r="BU74" s="11" t="n">
        <f aca="false">IF(AND(BU$1&gt;=Units!$Q73,MOD(BU$1-Units!$Q73,12)=0),IF(AND(Units!$L73=1,BU$1=Units!$Q73),1,Inputs!$B$15)*Inputs!$B$16*(1+Inputs!$B$11)^(BU$2-1),0)</f>
        <v>0</v>
      </c>
      <c r="BV74" s="11" t="n">
        <f aca="false">IF(AND(BV$1&gt;=Units!$Q73,MOD(BV$1-Units!$Q73,12)=0),IF(AND(Units!$L73=1,BV$1=Units!$Q73),1,Inputs!$B$15)*Inputs!$B$16*(1+Inputs!$B$11)^(BV$2-1),0)</f>
        <v>0</v>
      </c>
      <c r="BW74" s="11" t="n">
        <f aca="false">IF(AND(BW$1&gt;=Units!$Q73,MOD(BW$1-Units!$Q73,12)=0),IF(AND(Units!$L73=1,BW$1=Units!$Q73),1,Inputs!$B$15)*Inputs!$B$16*(1+Inputs!$B$11)^(BW$2-1),0)</f>
        <v>0</v>
      </c>
      <c r="BX74" s="11" t="n">
        <f aca="false">IF(AND(BX$1&gt;=Units!$Q73,MOD(BX$1-Units!$Q73,12)=0),IF(AND(Units!$L73=1,BX$1=Units!$Q73),1,Inputs!$B$15)*Inputs!$B$16*(1+Inputs!$B$11)^(BX$2-1),0)</f>
        <v>0</v>
      </c>
      <c r="BY74" s="11" t="n">
        <f aca="false">IF(AND(BY$1&gt;=Units!$Q73,MOD(BY$1-Units!$Q73,12)=0),IF(AND(Units!$L73=1,BY$1=Units!$Q73),1,Inputs!$B$15)*Inputs!$B$16*(1+Inputs!$B$11)^(BY$2-1),0)</f>
        <v>0</v>
      </c>
      <c r="BZ74" s="11" t="n">
        <f aca="false">IF(AND(BZ$1&gt;=Units!$Q73,MOD(BZ$1-Units!$Q73,12)=0),IF(AND(Units!$L73=1,BZ$1=Units!$Q73),1,Inputs!$B$15)*Inputs!$B$16*(1+Inputs!$B$11)^(BZ$2-1),0)</f>
        <v>597.0261482645</v>
      </c>
      <c r="CA74" s="11" t="n">
        <f aca="false">IF(AND(CA$1&gt;=Units!$Q73,MOD(CA$1-Units!$Q73,12)=0),IF(AND(Units!$L73=1,CA$1=Units!$Q73),1,Inputs!$B$15)*Inputs!$B$16*(1+Inputs!$B$11)^(CA$2-1),0)</f>
        <v>0</v>
      </c>
      <c r="CB74" s="11" t="n">
        <f aca="false">IF(AND(CB$1&gt;=Units!$Q73,MOD(CB$1-Units!$Q73,12)=0),IF(AND(Units!$L73=1,CB$1=Units!$Q73),1,Inputs!$B$15)*Inputs!$B$16*(1+Inputs!$B$11)^(CB$2-1),0)</f>
        <v>0</v>
      </c>
      <c r="CC74" s="11" t="n">
        <f aca="false">IF(AND(CC$1&gt;=Units!$Q73,MOD(CC$1-Units!$Q73,12)=0),IF(AND(Units!$L73=1,CC$1=Units!$Q73),1,Inputs!$B$15)*Inputs!$B$16*(1+Inputs!$B$11)^(CC$2-1),0)</f>
        <v>0</v>
      </c>
      <c r="CD74" s="11" t="n">
        <f aca="false">IF(AND(CD$1&gt;=Units!$Q73,MOD(CD$1-Units!$Q73,12)=0),IF(AND(Units!$L73=1,CD$1=Units!$Q73),1,Inputs!$B$15)*Inputs!$B$16*(1+Inputs!$B$11)^(CD$2-1),0)</f>
        <v>0</v>
      </c>
      <c r="CE74" s="11" t="n">
        <f aca="false">IF(AND(CE$1&gt;=Units!$Q73,MOD(CE$1-Units!$Q73,12)=0),IF(AND(Units!$L73=1,CE$1=Units!$Q73),1,Inputs!$B$15)*Inputs!$B$16*(1+Inputs!$B$11)^(CE$2-1),0)</f>
        <v>0</v>
      </c>
      <c r="CF74" s="11" t="n">
        <f aca="false">IF(AND(CF$1&gt;=Units!$Q73,MOD(CF$1-Units!$Q73,12)=0),IF(AND(Units!$L73=1,CF$1=Units!$Q73),1,Inputs!$B$15)*Inputs!$B$16*(1+Inputs!$B$11)^(CF$2-1),0)</f>
        <v>0</v>
      </c>
      <c r="CG74" s="11" t="n">
        <f aca="false">IF(AND(CG$1&gt;=Units!$Q73,MOD(CG$1-Units!$Q73,12)=0),IF(AND(Units!$L73=1,CG$1=Units!$Q73),1,Inputs!$B$15)*Inputs!$B$16*(1+Inputs!$B$11)^(CG$2-1),0)</f>
        <v>0</v>
      </c>
      <c r="CH74" s="11" t="n">
        <f aca="false">IF(AND(CH$1&gt;=Units!$Q73,MOD(CH$1-Units!$Q73,12)=0),IF(AND(Units!$L73=1,CH$1=Units!$Q73),1,Inputs!$B$15)*Inputs!$B$16*(1+Inputs!$B$11)^(CH$2-1),0)</f>
        <v>0</v>
      </c>
      <c r="CI74" s="11" t="n">
        <f aca="false">IF(AND(CI$1&gt;=Units!$Q73,MOD(CI$1-Units!$Q73,12)=0),IF(AND(Units!$L73=1,CI$1=Units!$Q73),1,Inputs!$B$15)*Inputs!$B$16*(1+Inputs!$B$11)^(CI$2-1),0)</f>
        <v>0</v>
      </c>
      <c r="CJ74" s="11" t="n">
        <f aca="false">IF(AND(CJ$1&gt;=Units!$Q73,MOD(CJ$1-Units!$Q73,12)=0),IF(AND(Units!$L73=1,CJ$1=Units!$Q73),1,Inputs!$B$15)*Inputs!$B$16*(1+Inputs!$B$11)^(CJ$2-1),0)</f>
        <v>0</v>
      </c>
      <c r="CK74" s="11" t="n">
        <f aca="false">IF(AND(CK$1&gt;=Units!$Q73,MOD(CK$1-Units!$Q73,12)=0),IF(AND(Units!$L73=1,CK$1=Units!$Q73),1,Inputs!$B$15)*Inputs!$B$16*(1+Inputs!$B$11)^(CK$2-1),0)</f>
        <v>0</v>
      </c>
      <c r="CL74" s="11" t="n">
        <f aca="false">IF(AND(CL$1&gt;=Units!$Q73,MOD(CL$1-Units!$Q73,12)=0),IF(AND(Units!$L73=1,CL$1=Units!$Q73),1,Inputs!$B$15)*Inputs!$B$16*(1+Inputs!$B$11)^(CL$2-1),0)</f>
        <v>614.936932712435</v>
      </c>
      <c r="CM74" s="11" t="n">
        <f aca="false">IF(AND(CM$1&gt;=Units!$Q73,MOD(CM$1-Units!$Q73,12)=0),IF(AND(Units!$L73=1,CM$1=Units!$Q73),1,Inputs!$B$15)*Inputs!$B$16*(1+Inputs!$B$11)^(CM$2-1),0)</f>
        <v>0</v>
      </c>
      <c r="CN74" s="11" t="n">
        <f aca="false">IF(AND(CN$1&gt;=Units!$Q73,MOD(CN$1-Units!$Q73,12)=0),IF(AND(Units!$L73=1,CN$1=Units!$Q73),1,Inputs!$B$15)*Inputs!$B$16*(1+Inputs!$B$11)^(CN$2-1),0)</f>
        <v>0</v>
      </c>
      <c r="CO74" s="11" t="n">
        <f aca="false">IF(AND(CO$1&gt;=Units!$Q73,MOD(CO$1-Units!$Q73,12)=0),IF(AND(Units!$L73=1,CO$1=Units!$Q73),1,Inputs!$B$15)*Inputs!$B$16*(1+Inputs!$B$11)^(CO$2-1),0)</f>
        <v>0</v>
      </c>
      <c r="CP74" s="11" t="n">
        <f aca="false">IF(AND(CP$1&gt;=Units!$Q73,MOD(CP$1-Units!$Q73,12)=0),IF(AND(Units!$L73=1,CP$1=Units!$Q73),1,Inputs!$B$15)*Inputs!$B$16*(1+Inputs!$B$11)^(CP$2-1),0)</f>
        <v>0</v>
      </c>
      <c r="CQ74" s="11" t="n">
        <f aca="false">IF(AND(CQ$1&gt;=Units!$Q73,MOD(CQ$1-Units!$Q73,12)=0),IF(AND(Units!$L73=1,CQ$1=Units!$Q73),1,Inputs!$B$15)*Inputs!$B$16*(1+Inputs!$B$11)^(CQ$2-1),0)</f>
        <v>0</v>
      </c>
      <c r="CR74" s="11" t="n">
        <f aca="false">IF(AND(CR$1&gt;=Units!$Q73,MOD(CR$1-Units!$Q73,12)=0),IF(AND(Units!$L73=1,CR$1=Units!$Q73),1,Inputs!$B$15)*Inputs!$B$16*(1+Inputs!$B$11)^(CR$2-1),0)</f>
        <v>0</v>
      </c>
      <c r="CS74" s="11" t="n">
        <f aca="false">IF(AND(CS$1&gt;=Units!$Q73,MOD(CS$1-Units!$Q73,12)=0),IF(AND(Units!$L73=1,CS$1=Units!$Q73),1,Inputs!$B$15)*Inputs!$B$16*(1+Inputs!$B$11)^(CS$2-1),0)</f>
        <v>0</v>
      </c>
      <c r="CT74" s="11" t="n">
        <f aca="false">IF(AND(CT$1&gt;=Units!$Q73,MOD(CT$1-Units!$Q73,12)=0),IF(AND(Units!$L73=1,CT$1=Units!$Q73),1,Inputs!$B$15)*Inputs!$B$16*(1+Inputs!$B$11)^(CT$2-1),0)</f>
        <v>0</v>
      </c>
      <c r="CU74" s="11" t="n">
        <f aca="false">IF(AND(CU$1&gt;=Units!$Q73,MOD(CU$1-Units!$Q73,12)=0),IF(AND(Units!$L73=1,CU$1=Units!$Q73),1,Inputs!$B$15)*Inputs!$B$16*(1+Inputs!$B$11)^(CU$2-1),0)</f>
        <v>0</v>
      </c>
      <c r="CV74" s="11" t="n">
        <f aca="false">IF(AND(CV$1&gt;=Units!$Q73,MOD(CV$1-Units!$Q73,12)=0),IF(AND(Units!$L73=1,CV$1=Units!$Q73),1,Inputs!$B$15)*Inputs!$B$16*(1+Inputs!$B$11)^(CV$2-1),0)</f>
        <v>0</v>
      </c>
      <c r="CW74" s="11" t="n">
        <f aca="false">IF(AND(CW$1&gt;=Units!$Q73,MOD(CW$1-Units!$Q73,12)=0),IF(AND(Units!$L73=1,CW$1=Units!$Q73),1,Inputs!$B$15)*Inputs!$B$16*(1+Inputs!$B$11)^(CW$2-1),0)</f>
        <v>0</v>
      </c>
      <c r="CX74" s="11" t="n">
        <f aca="false">IF(AND(CX$1&gt;=Units!$Q73,MOD(CX$1-Units!$Q73,12)=0),IF(AND(Units!$L73=1,CX$1=Units!$Q73),1,Inputs!$B$15)*Inputs!$B$16*(1+Inputs!$B$11)^(CX$2-1),0)</f>
        <v>633.385040693808</v>
      </c>
      <c r="CY74" s="11" t="n">
        <f aca="false">IF(AND(CY$1&gt;=Units!$Q73,MOD(CY$1-Units!$Q73,12)=0),IF(AND(Units!$L73=1,CY$1=Units!$Q73),1,Inputs!$B$15)*Inputs!$B$16*(1+Inputs!$B$11)^(CY$2-1),0)</f>
        <v>0</v>
      </c>
      <c r="CZ74" s="11" t="n">
        <f aca="false">IF(AND(CZ$1&gt;=Units!$Q73,MOD(CZ$1-Units!$Q73,12)=0),IF(AND(Units!$L73=1,CZ$1=Units!$Q73),1,Inputs!$B$15)*Inputs!$B$16*(1+Inputs!$B$11)^(CZ$2-1),0)</f>
        <v>0</v>
      </c>
      <c r="DA74" s="11" t="n">
        <f aca="false">IF(AND(DA$1&gt;=Units!$Q73,MOD(DA$1-Units!$Q73,12)=0),IF(AND(Units!$L73=1,DA$1=Units!$Q73),1,Inputs!$B$15)*Inputs!$B$16*(1+Inputs!$B$11)^(DA$2-1),0)</f>
        <v>0</v>
      </c>
      <c r="DB74" s="11" t="n">
        <f aca="false">IF(AND(DB$1&gt;=Units!$Q73,MOD(DB$1-Units!$Q73,12)=0),IF(AND(Units!$L73=1,DB$1=Units!$Q73),1,Inputs!$B$15)*Inputs!$B$16*(1+Inputs!$B$11)^(DB$2-1),0)</f>
        <v>0</v>
      </c>
      <c r="DC74" s="11" t="n">
        <f aca="false">IF(AND(DC$1&gt;=Units!$Q73,MOD(DC$1-Units!$Q73,12)=0),IF(AND(Units!$L73=1,DC$1=Units!$Q73),1,Inputs!$B$15)*Inputs!$B$16*(1+Inputs!$B$11)^(DC$2-1),0)</f>
        <v>0</v>
      </c>
      <c r="DD74" s="11" t="n">
        <f aca="false">IF(AND(DD$1&gt;=Units!$Q73,MOD(DD$1-Units!$Q73,12)=0),IF(AND(Units!$L73=1,DD$1=Units!$Q73),1,Inputs!$B$15)*Inputs!$B$16*(1+Inputs!$B$11)^(DD$2-1),0)</f>
        <v>0</v>
      </c>
      <c r="DE74" s="11" t="n">
        <f aca="false">IF(AND(DE$1&gt;=Units!$Q73,MOD(DE$1-Units!$Q73,12)=0),IF(AND(Units!$L73=1,DE$1=Units!$Q73),1,Inputs!$B$15)*Inputs!$B$16*(1+Inputs!$B$11)^(DE$2-1),0)</f>
        <v>0</v>
      </c>
      <c r="DF74" s="11" t="n">
        <f aca="false">IF(AND(DF$1&gt;=Units!$Q73,MOD(DF$1-Units!$Q73,12)=0),IF(AND(Units!$L73=1,DF$1=Units!$Q73),1,Inputs!$B$15)*Inputs!$B$16*(1+Inputs!$B$11)^(DF$2-1),0)</f>
        <v>0</v>
      </c>
      <c r="DG74" s="11" t="n">
        <f aca="false">IF(AND(DG$1&gt;=Units!$Q73,MOD(DG$1-Units!$Q73,12)=0),IF(AND(Units!$L73=1,DG$1=Units!$Q73),1,Inputs!$B$15)*Inputs!$B$16*(1+Inputs!$B$11)^(DG$2-1),0)</f>
        <v>0</v>
      </c>
      <c r="DH74" s="11" t="n">
        <f aca="false">IF(AND(DH$1&gt;=Units!$Q73,MOD(DH$1-Units!$Q73,12)=0),IF(AND(Units!$L73=1,DH$1=Units!$Q73),1,Inputs!$B$15)*Inputs!$B$16*(1+Inputs!$B$11)^(DH$2-1),0)</f>
        <v>0</v>
      </c>
      <c r="DI74" s="11" t="n">
        <f aca="false">IF(AND(DI$1&gt;=Units!$Q73,MOD(DI$1-Units!$Q73,12)=0),IF(AND(Units!$L73=1,DI$1=Units!$Q73),1,Inputs!$B$15)*Inputs!$B$16*(1+Inputs!$B$11)^(DI$2-1),0)</f>
        <v>0</v>
      </c>
      <c r="DJ74" s="11" t="n">
        <f aca="false">IF(AND(DJ$1&gt;=Units!$Q73,MOD(DJ$1-Units!$Q73,12)=0),IF(AND(Units!$L73=1,DJ$1=Units!$Q73),1,Inputs!$B$15)*Inputs!$B$16*(1+Inputs!$B$11)^(DJ$2-1),0)</f>
        <v>652.386591914623</v>
      </c>
      <c r="DK74" s="11" t="n">
        <f aca="false">IF(AND(DK$1&gt;=Units!$Q73,MOD(DK$1-Units!$Q73,12)=0),IF(AND(Units!$L73=1,DK$1=Units!$Q73),1,Inputs!$B$15)*Inputs!$B$16*(1+Inputs!$B$11)^(DK$2-1),0)</f>
        <v>0</v>
      </c>
      <c r="DL74" s="11" t="n">
        <f aca="false">IF(AND(DL$1&gt;=Units!$Q73,MOD(DL$1-Units!$Q73,12)=0),IF(AND(Units!$L73=1,DL$1=Units!$Q73),1,Inputs!$B$15)*Inputs!$B$16*(1+Inputs!$B$11)^(DL$2-1),0)</f>
        <v>0</v>
      </c>
      <c r="DM74" s="11" t="n">
        <f aca="false">IF(AND(DM$1&gt;=Units!$Q73,MOD(DM$1-Units!$Q73,12)=0),IF(AND(Units!$L73=1,DM$1=Units!$Q73),1,Inputs!$B$15)*Inputs!$B$16*(1+Inputs!$B$11)^(DM$2-1),0)</f>
        <v>0</v>
      </c>
      <c r="DN74" s="11" t="n">
        <f aca="false">IF(AND(DN$1&gt;=Units!$Q73,MOD(DN$1-Units!$Q73,12)=0),IF(AND(Units!$L73=1,DN$1=Units!$Q73),1,Inputs!$B$15)*Inputs!$B$16*(1+Inputs!$B$11)^(DN$2-1),0)</f>
        <v>0</v>
      </c>
      <c r="DO74" s="11" t="n">
        <f aca="false">IF(AND(DO$1&gt;=Units!$Q73,MOD(DO$1-Units!$Q73,12)=0),IF(AND(Units!$L73=1,DO$1=Units!$Q73),1,Inputs!$B$15)*Inputs!$B$16*(1+Inputs!$B$11)^(DO$2-1),0)</f>
        <v>0</v>
      </c>
      <c r="DP74" s="11" t="n">
        <f aca="false">IF(AND(DP$1&gt;=Units!$Q73,MOD(DP$1-Units!$Q73,12)=0),IF(AND(Units!$L73=1,DP$1=Units!$Q73),1,Inputs!$B$15)*Inputs!$B$16*(1+Inputs!$B$11)^(DP$2-1),0)</f>
        <v>0</v>
      </c>
      <c r="DQ74" s="11" t="n">
        <f aca="false">IF(AND(DQ$1&gt;=Units!$Q73,MOD(DQ$1-Units!$Q73,12)=0),IF(AND(Units!$L73=1,DQ$1=Units!$Q73),1,Inputs!$B$15)*Inputs!$B$16*(1+Inputs!$B$11)^(DQ$2-1),0)</f>
        <v>0</v>
      </c>
      <c r="DR74" s="11" t="n">
        <f aca="false">IF(AND(DR$1&gt;=Units!$Q73,MOD(DR$1-Units!$Q73,12)=0),IF(AND(Units!$L73=1,DR$1=Units!$Q73),1,Inputs!$B$15)*Inputs!$B$16*(1+Inputs!$B$11)^(DR$2-1),0)</f>
        <v>0</v>
      </c>
      <c r="DS74" s="11" t="n">
        <f aca="false">IF(AND(DS$1&gt;=Units!$Q73,MOD(DS$1-Units!$Q73,12)=0),IF(AND(Units!$L73=1,DS$1=Units!$Q73),1,Inputs!$B$15)*Inputs!$B$16*(1+Inputs!$B$11)^(DS$2-1),0)</f>
        <v>0</v>
      </c>
      <c r="DT74" s="11" t="n">
        <f aca="false">IF(AND(DT$1&gt;=Units!$Q73,MOD(DT$1-Units!$Q73,12)=0),IF(AND(Units!$L73=1,DT$1=Units!$Q73),1,Inputs!$B$15)*Inputs!$B$16*(1+Inputs!$B$11)^(DT$2-1),0)</f>
        <v>0</v>
      </c>
      <c r="DU74" s="11" t="n">
        <f aca="false">IF(AND(DU$1&gt;=Units!$Q73,MOD(DU$1-Units!$Q73,12)=0),IF(AND(Units!$L73=1,DU$1=Units!$Q73),1,Inputs!$B$15)*Inputs!$B$16*(1+Inputs!$B$11)^(DU$2-1),0)</f>
        <v>0</v>
      </c>
      <c r="DV74" s="11" t="n">
        <f aca="false">IF(AND(DV$1&gt;=Units!$Q73,MOD(DV$1-Units!$Q73,12)=0),IF(AND(Units!$L73=1,DV$1=Units!$Q73),1,Inputs!$B$15)*Inputs!$B$16*(1+Inputs!$B$11)^(DV$2-1),0)</f>
        <v>671.958189672061</v>
      </c>
      <c r="DW74" s="11" t="n">
        <f aca="false">IF(AND(DW$1&gt;=Units!$Q73,MOD(DW$1-Units!$Q73,12)=0),IF(AND(Units!$L73=1,DW$1=Units!$Q73),1,Inputs!$B$15)*Inputs!$B$16*(1+Inputs!$B$11)^(DW$2-1),0)</f>
        <v>0</v>
      </c>
      <c r="DX74" s="11" t="n">
        <f aca="false">IF(AND(DX$1&gt;=Units!$Q73,MOD(DX$1-Units!$Q73,12)=0),IF(AND(Units!$L73=1,DX$1=Units!$Q73),1,Inputs!$B$15)*Inputs!$B$16*(1+Inputs!$B$11)^(DX$2-1),0)</f>
        <v>0</v>
      </c>
      <c r="DY74" s="11" t="n">
        <f aca="false">IF(AND(DY$1&gt;=Units!$Q73,MOD(DY$1-Units!$Q73,12)=0),IF(AND(Units!$L73=1,DY$1=Units!$Q73),1,Inputs!$B$15)*Inputs!$B$16*(1+Inputs!$B$11)^(DY$2-1),0)</f>
        <v>0</v>
      </c>
      <c r="DZ74" s="11" t="n">
        <f aca="false">IF(AND(DZ$1&gt;=Units!$Q73,MOD(DZ$1-Units!$Q73,12)=0),IF(AND(Units!$L73=1,DZ$1=Units!$Q73),1,Inputs!$B$15)*Inputs!$B$16*(1+Inputs!$B$11)^(DZ$2-1),0)</f>
        <v>0</v>
      </c>
      <c r="EA74" s="11" t="n">
        <f aca="false">IF(AND(EA$1&gt;=Units!$Q73,MOD(EA$1-Units!$Q73,12)=0),IF(AND(Units!$L73=1,EA$1=Units!$Q73),1,Inputs!$B$15)*Inputs!$B$16*(1+Inputs!$B$11)^(EA$2-1),0)</f>
        <v>0</v>
      </c>
      <c r="EB74" s="11" t="n">
        <f aca="false">IF(AND(EB$1&gt;=Units!$Q73,MOD(EB$1-Units!$Q73,12)=0),IF(AND(Units!$L73=1,EB$1=Units!$Q73),1,Inputs!$B$15)*Inputs!$B$16*(1+Inputs!$B$11)^(EB$2-1),0)</f>
        <v>0</v>
      </c>
      <c r="EC74" s="11" t="n">
        <f aca="false">IF(AND(EC$1&gt;=Units!$Q73,MOD(EC$1-Units!$Q73,12)=0),IF(AND(Units!$L73=1,EC$1=Units!$Q73),1,Inputs!$B$15)*Inputs!$B$16*(1+Inputs!$B$11)^(EC$2-1),0)</f>
        <v>0</v>
      </c>
      <c r="ED74" s="11" t="n">
        <f aca="false">IF(AND(ED$1&gt;=Units!$Q73,MOD(ED$1-Units!$Q73,12)=0),IF(AND(Units!$L73=1,ED$1=Units!$Q73),1,Inputs!$B$15)*Inputs!$B$16*(1+Inputs!$B$11)^(ED$2-1),0)</f>
        <v>0</v>
      </c>
    </row>
    <row r="75" customFormat="false" ht="15" hidden="false" customHeight="false" outlineLevel="0" collapsed="false">
      <c r="A75" s="22" t="n">
        <f aca="false">Units!A74</f>
        <v>313</v>
      </c>
      <c r="B75" s="23"/>
      <c r="C75" s="11" t="n">
        <f aca="false">IF(AND(C$1&gt;=Units!$Q74,MOD(C$1-Units!$Q74,12)=0),IF(AND(Units!$L74=1,C$1=Units!$Q74),1,Inputs!$B$15)*Inputs!$B$16*(1+Inputs!$B$11)^(C$2-1),0)</f>
        <v>0</v>
      </c>
      <c r="D75" s="11" t="n">
        <f aca="false">IF(AND(D$1&gt;=Units!$Q74,MOD(D$1-Units!$Q74,12)=0),IF(AND(Units!$L74=1,D$1=Units!$Q74),1,Inputs!$B$15)*Inputs!$B$16*(1+Inputs!$B$11)^(D$2-1),0)</f>
        <v>0</v>
      </c>
      <c r="E75" s="11" t="n">
        <f aca="false">IF(AND(E$1&gt;=Units!$Q74,MOD(E$1-Units!$Q74,12)=0),IF(AND(Units!$L74=1,E$1=Units!$Q74),1,Inputs!$B$15)*Inputs!$B$16*(1+Inputs!$B$11)^(E$2-1),0)</f>
        <v>0</v>
      </c>
      <c r="F75" s="11" t="n">
        <f aca="false">IF(AND(F$1&gt;=Units!$Q74,MOD(F$1-Units!$Q74,12)=0),IF(AND(Units!$L74=1,F$1=Units!$Q74),1,Inputs!$B$15)*Inputs!$B$16*(1+Inputs!$B$11)^(F$2-1),0)</f>
        <v>500</v>
      </c>
      <c r="G75" s="11" t="n">
        <f aca="false">IF(AND(G$1&gt;=Units!$Q74,MOD(G$1-Units!$Q74,12)=0),IF(AND(Units!$L74=1,G$1=Units!$Q74),1,Inputs!$B$15)*Inputs!$B$16*(1+Inputs!$B$11)^(G$2-1),0)</f>
        <v>0</v>
      </c>
      <c r="H75" s="11" t="n">
        <f aca="false">IF(AND(H$1&gt;=Units!$Q74,MOD(H$1-Units!$Q74,12)=0),IF(AND(Units!$L74=1,H$1=Units!$Q74),1,Inputs!$B$15)*Inputs!$B$16*(1+Inputs!$B$11)^(H$2-1),0)</f>
        <v>0</v>
      </c>
      <c r="I75" s="11" t="n">
        <f aca="false">IF(AND(I$1&gt;=Units!$Q74,MOD(I$1-Units!$Q74,12)=0),IF(AND(Units!$L74=1,I$1=Units!$Q74),1,Inputs!$B$15)*Inputs!$B$16*(1+Inputs!$B$11)^(I$2-1),0)</f>
        <v>0</v>
      </c>
      <c r="J75" s="11" t="n">
        <f aca="false">IF(AND(J$1&gt;=Units!$Q74,MOD(J$1-Units!$Q74,12)=0),IF(AND(Units!$L74=1,J$1=Units!$Q74),1,Inputs!$B$15)*Inputs!$B$16*(1+Inputs!$B$11)^(J$2-1),0)</f>
        <v>0</v>
      </c>
      <c r="K75" s="11" t="n">
        <f aca="false">IF(AND(K$1&gt;=Units!$Q74,MOD(K$1-Units!$Q74,12)=0),IF(AND(Units!$L74=1,K$1=Units!$Q74),1,Inputs!$B$15)*Inputs!$B$16*(1+Inputs!$B$11)^(K$2-1),0)</f>
        <v>0</v>
      </c>
      <c r="L75" s="11" t="n">
        <f aca="false">IF(AND(L$1&gt;=Units!$Q74,MOD(L$1-Units!$Q74,12)=0),IF(AND(Units!$L74=1,L$1=Units!$Q74),1,Inputs!$B$15)*Inputs!$B$16*(1+Inputs!$B$11)^(L$2-1),0)</f>
        <v>0</v>
      </c>
      <c r="M75" s="11" t="n">
        <f aca="false">IF(AND(M$1&gt;=Units!$Q74,MOD(M$1-Units!$Q74,12)=0),IF(AND(Units!$L74=1,M$1=Units!$Q74),1,Inputs!$B$15)*Inputs!$B$16*(1+Inputs!$B$11)^(M$2-1),0)</f>
        <v>0</v>
      </c>
      <c r="N75" s="11" t="n">
        <f aca="false">IF(AND(N$1&gt;=Units!$Q74,MOD(N$1-Units!$Q74,12)=0),IF(AND(Units!$L74=1,N$1=Units!$Q74),1,Inputs!$B$15)*Inputs!$B$16*(1+Inputs!$B$11)^(N$2-1),0)</f>
        <v>0</v>
      </c>
      <c r="O75" s="11" t="n">
        <f aca="false">IF(AND(O$1&gt;=Units!$Q74,MOD(O$1-Units!$Q74,12)=0),IF(AND(Units!$L74=1,O$1=Units!$Q74),1,Inputs!$B$15)*Inputs!$B$16*(1+Inputs!$B$11)^(O$2-1),0)</f>
        <v>0</v>
      </c>
      <c r="P75" s="11" t="n">
        <f aca="false">IF(AND(P$1&gt;=Units!$Q74,MOD(P$1-Units!$Q74,12)=0),IF(AND(Units!$L74=1,P$1=Units!$Q74),1,Inputs!$B$15)*Inputs!$B$16*(1+Inputs!$B$11)^(P$2-1),0)</f>
        <v>0</v>
      </c>
      <c r="Q75" s="11" t="n">
        <f aca="false">IF(AND(Q$1&gt;=Units!$Q74,MOD(Q$1-Units!$Q74,12)=0),IF(AND(Units!$L74=1,Q$1=Units!$Q74),1,Inputs!$B$15)*Inputs!$B$16*(1+Inputs!$B$11)^(Q$2-1),0)</f>
        <v>0</v>
      </c>
      <c r="R75" s="11" t="n">
        <f aca="false">IF(AND(R$1&gt;=Units!$Q74,MOD(R$1-Units!$Q74,12)=0),IF(AND(Units!$L74=1,R$1=Units!$Q74),1,Inputs!$B$15)*Inputs!$B$16*(1+Inputs!$B$11)^(R$2-1),0)</f>
        <v>515</v>
      </c>
      <c r="S75" s="11" t="n">
        <f aca="false">IF(AND(S$1&gt;=Units!$Q74,MOD(S$1-Units!$Q74,12)=0),IF(AND(Units!$L74=1,S$1=Units!$Q74),1,Inputs!$B$15)*Inputs!$B$16*(1+Inputs!$B$11)^(S$2-1),0)</f>
        <v>0</v>
      </c>
      <c r="T75" s="11" t="n">
        <f aca="false">IF(AND(T$1&gt;=Units!$Q74,MOD(T$1-Units!$Q74,12)=0),IF(AND(Units!$L74=1,T$1=Units!$Q74),1,Inputs!$B$15)*Inputs!$B$16*(1+Inputs!$B$11)^(T$2-1),0)</f>
        <v>0</v>
      </c>
      <c r="U75" s="11" t="n">
        <f aca="false">IF(AND(U$1&gt;=Units!$Q74,MOD(U$1-Units!$Q74,12)=0),IF(AND(Units!$L74=1,U$1=Units!$Q74),1,Inputs!$B$15)*Inputs!$B$16*(1+Inputs!$B$11)^(U$2-1),0)</f>
        <v>0</v>
      </c>
      <c r="V75" s="11" t="n">
        <f aca="false">IF(AND(V$1&gt;=Units!$Q74,MOD(V$1-Units!$Q74,12)=0),IF(AND(Units!$L74=1,V$1=Units!$Q74),1,Inputs!$B$15)*Inputs!$B$16*(1+Inputs!$B$11)^(V$2-1),0)</f>
        <v>0</v>
      </c>
      <c r="W75" s="11" t="n">
        <f aca="false">IF(AND(W$1&gt;=Units!$Q74,MOD(W$1-Units!$Q74,12)=0),IF(AND(Units!$L74=1,W$1=Units!$Q74),1,Inputs!$B$15)*Inputs!$B$16*(1+Inputs!$B$11)^(W$2-1),0)</f>
        <v>0</v>
      </c>
      <c r="X75" s="11" t="n">
        <f aca="false">IF(AND(X$1&gt;=Units!$Q74,MOD(X$1-Units!$Q74,12)=0),IF(AND(Units!$L74=1,X$1=Units!$Q74),1,Inputs!$B$15)*Inputs!$B$16*(1+Inputs!$B$11)^(X$2-1),0)</f>
        <v>0</v>
      </c>
      <c r="Y75" s="11" t="n">
        <f aca="false">IF(AND(Y$1&gt;=Units!$Q74,MOD(Y$1-Units!$Q74,12)=0),IF(AND(Units!$L74=1,Y$1=Units!$Q74),1,Inputs!$B$15)*Inputs!$B$16*(1+Inputs!$B$11)^(Y$2-1),0)</f>
        <v>0</v>
      </c>
      <c r="Z75" s="11" t="n">
        <f aca="false">IF(AND(Z$1&gt;=Units!$Q74,MOD(Z$1-Units!$Q74,12)=0),IF(AND(Units!$L74=1,Z$1=Units!$Q74),1,Inputs!$B$15)*Inputs!$B$16*(1+Inputs!$B$11)^(Z$2-1),0)</f>
        <v>0</v>
      </c>
      <c r="AA75" s="11" t="n">
        <f aca="false">IF(AND(AA$1&gt;=Units!$Q74,MOD(AA$1-Units!$Q74,12)=0),IF(AND(Units!$L74=1,AA$1=Units!$Q74),1,Inputs!$B$15)*Inputs!$B$16*(1+Inputs!$B$11)^(AA$2-1),0)</f>
        <v>0</v>
      </c>
      <c r="AB75" s="11" t="n">
        <f aca="false">IF(AND(AB$1&gt;=Units!$Q74,MOD(AB$1-Units!$Q74,12)=0),IF(AND(Units!$L74=1,AB$1=Units!$Q74),1,Inputs!$B$15)*Inputs!$B$16*(1+Inputs!$B$11)^(AB$2-1),0)</f>
        <v>0</v>
      </c>
      <c r="AC75" s="11" t="n">
        <f aca="false">IF(AND(AC$1&gt;=Units!$Q74,MOD(AC$1-Units!$Q74,12)=0),IF(AND(Units!$L74=1,AC$1=Units!$Q74),1,Inputs!$B$15)*Inputs!$B$16*(1+Inputs!$B$11)^(AC$2-1),0)</f>
        <v>0</v>
      </c>
      <c r="AD75" s="11" t="n">
        <f aca="false">IF(AND(AD$1&gt;=Units!$Q74,MOD(AD$1-Units!$Q74,12)=0),IF(AND(Units!$L74=1,AD$1=Units!$Q74),1,Inputs!$B$15)*Inputs!$B$16*(1+Inputs!$B$11)^(AD$2-1),0)</f>
        <v>530.45</v>
      </c>
      <c r="AE75" s="11" t="n">
        <f aca="false">IF(AND(AE$1&gt;=Units!$Q74,MOD(AE$1-Units!$Q74,12)=0),IF(AND(Units!$L74=1,AE$1=Units!$Q74),1,Inputs!$B$15)*Inputs!$B$16*(1+Inputs!$B$11)^(AE$2-1),0)</f>
        <v>0</v>
      </c>
      <c r="AF75" s="11" t="n">
        <f aca="false">IF(AND(AF$1&gt;=Units!$Q74,MOD(AF$1-Units!$Q74,12)=0),IF(AND(Units!$L74=1,AF$1=Units!$Q74),1,Inputs!$B$15)*Inputs!$B$16*(1+Inputs!$B$11)^(AF$2-1),0)</f>
        <v>0</v>
      </c>
      <c r="AG75" s="11" t="n">
        <f aca="false">IF(AND(AG$1&gt;=Units!$Q74,MOD(AG$1-Units!$Q74,12)=0),IF(AND(Units!$L74=1,AG$1=Units!$Q74),1,Inputs!$B$15)*Inputs!$B$16*(1+Inputs!$B$11)^(AG$2-1),0)</f>
        <v>0</v>
      </c>
      <c r="AH75" s="11" t="n">
        <f aca="false">IF(AND(AH$1&gt;=Units!$Q74,MOD(AH$1-Units!$Q74,12)=0),IF(AND(Units!$L74=1,AH$1=Units!$Q74),1,Inputs!$B$15)*Inputs!$B$16*(1+Inputs!$B$11)^(AH$2-1),0)</f>
        <v>0</v>
      </c>
      <c r="AI75" s="11" t="n">
        <f aca="false">IF(AND(AI$1&gt;=Units!$Q74,MOD(AI$1-Units!$Q74,12)=0),IF(AND(Units!$L74=1,AI$1=Units!$Q74),1,Inputs!$B$15)*Inputs!$B$16*(1+Inputs!$B$11)^(AI$2-1),0)</f>
        <v>0</v>
      </c>
      <c r="AJ75" s="11" t="n">
        <f aca="false">IF(AND(AJ$1&gt;=Units!$Q74,MOD(AJ$1-Units!$Q74,12)=0),IF(AND(Units!$L74=1,AJ$1=Units!$Q74),1,Inputs!$B$15)*Inputs!$B$16*(1+Inputs!$B$11)^(AJ$2-1),0)</f>
        <v>0</v>
      </c>
      <c r="AK75" s="11" t="n">
        <f aca="false">IF(AND(AK$1&gt;=Units!$Q74,MOD(AK$1-Units!$Q74,12)=0),IF(AND(Units!$L74=1,AK$1=Units!$Q74),1,Inputs!$B$15)*Inputs!$B$16*(1+Inputs!$B$11)^(AK$2-1),0)</f>
        <v>0</v>
      </c>
      <c r="AL75" s="11" t="n">
        <f aca="false">IF(AND(AL$1&gt;=Units!$Q74,MOD(AL$1-Units!$Q74,12)=0),IF(AND(Units!$L74=1,AL$1=Units!$Q74),1,Inputs!$B$15)*Inputs!$B$16*(1+Inputs!$B$11)^(AL$2-1),0)</f>
        <v>0</v>
      </c>
      <c r="AM75" s="11" t="n">
        <f aca="false">IF(AND(AM$1&gt;=Units!$Q74,MOD(AM$1-Units!$Q74,12)=0),IF(AND(Units!$L74=1,AM$1=Units!$Q74),1,Inputs!$B$15)*Inputs!$B$16*(1+Inputs!$B$11)^(AM$2-1),0)</f>
        <v>0</v>
      </c>
      <c r="AN75" s="11" t="n">
        <f aca="false">IF(AND(AN$1&gt;=Units!$Q74,MOD(AN$1-Units!$Q74,12)=0),IF(AND(Units!$L74=1,AN$1=Units!$Q74),1,Inputs!$B$15)*Inputs!$B$16*(1+Inputs!$B$11)^(AN$2-1),0)</f>
        <v>0</v>
      </c>
      <c r="AO75" s="11" t="n">
        <f aca="false">IF(AND(AO$1&gt;=Units!$Q74,MOD(AO$1-Units!$Q74,12)=0),IF(AND(Units!$L74=1,AO$1=Units!$Q74),1,Inputs!$B$15)*Inputs!$B$16*(1+Inputs!$B$11)^(AO$2-1),0)</f>
        <v>0</v>
      </c>
      <c r="AP75" s="11" t="n">
        <f aca="false">IF(AND(AP$1&gt;=Units!$Q74,MOD(AP$1-Units!$Q74,12)=0),IF(AND(Units!$L74=1,AP$1=Units!$Q74),1,Inputs!$B$15)*Inputs!$B$16*(1+Inputs!$B$11)^(AP$2-1),0)</f>
        <v>546.3635</v>
      </c>
      <c r="AQ75" s="11" t="n">
        <f aca="false">IF(AND(AQ$1&gt;=Units!$Q74,MOD(AQ$1-Units!$Q74,12)=0),IF(AND(Units!$L74=1,AQ$1=Units!$Q74),1,Inputs!$B$15)*Inputs!$B$16*(1+Inputs!$B$11)^(AQ$2-1),0)</f>
        <v>0</v>
      </c>
      <c r="AR75" s="11" t="n">
        <f aca="false">IF(AND(AR$1&gt;=Units!$Q74,MOD(AR$1-Units!$Q74,12)=0),IF(AND(Units!$L74=1,AR$1=Units!$Q74),1,Inputs!$B$15)*Inputs!$B$16*(1+Inputs!$B$11)^(AR$2-1),0)</f>
        <v>0</v>
      </c>
      <c r="AS75" s="11" t="n">
        <f aca="false">IF(AND(AS$1&gt;=Units!$Q74,MOD(AS$1-Units!$Q74,12)=0),IF(AND(Units!$L74=1,AS$1=Units!$Q74),1,Inputs!$B$15)*Inputs!$B$16*(1+Inputs!$B$11)^(AS$2-1),0)</f>
        <v>0</v>
      </c>
      <c r="AT75" s="11" t="n">
        <f aca="false">IF(AND(AT$1&gt;=Units!$Q74,MOD(AT$1-Units!$Q74,12)=0),IF(AND(Units!$L74=1,AT$1=Units!$Q74),1,Inputs!$B$15)*Inputs!$B$16*(1+Inputs!$B$11)^(AT$2-1),0)</f>
        <v>0</v>
      </c>
      <c r="AU75" s="11" t="n">
        <f aca="false">IF(AND(AU$1&gt;=Units!$Q74,MOD(AU$1-Units!$Q74,12)=0),IF(AND(Units!$L74=1,AU$1=Units!$Q74),1,Inputs!$B$15)*Inputs!$B$16*(1+Inputs!$B$11)^(AU$2-1),0)</f>
        <v>0</v>
      </c>
      <c r="AV75" s="11" t="n">
        <f aca="false">IF(AND(AV$1&gt;=Units!$Q74,MOD(AV$1-Units!$Q74,12)=0),IF(AND(Units!$L74=1,AV$1=Units!$Q74),1,Inputs!$B$15)*Inputs!$B$16*(1+Inputs!$B$11)^(AV$2-1),0)</f>
        <v>0</v>
      </c>
      <c r="AW75" s="11" t="n">
        <f aca="false">IF(AND(AW$1&gt;=Units!$Q74,MOD(AW$1-Units!$Q74,12)=0),IF(AND(Units!$L74=1,AW$1=Units!$Q74),1,Inputs!$B$15)*Inputs!$B$16*(1+Inputs!$B$11)^(AW$2-1),0)</f>
        <v>0</v>
      </c>
      <c r="AX75" s="11" t="n">
        <f aca="false">IF(AND(AX$1&gt;=Units!$Q74,MOD(AX$1-Units!$Q74,12)=0),IF(AND(Units!$L74=1,AX$1=Units!$Q74),1,Inputs!$B$15)*Inputs!$B$16*(1+Inputs!$B$11)^(AX$2-1),0)</f>
        <v>0</v>
      </c>
      <c r="AY75" s="11" t="n">
        <f aca="false">IF(AND(AY$1&gt;=Units!$Q74,MOD(AY$1-Units!$Q74,12)=0),IF(AND(Units!$L74=1,AY$1=Units!$Q74),1,Inputs!$B$15)*Inputs!$B$16*(1+Inputs!$B$11)^(AY$2-1),0)</f>
        <v>0</v>
      </c>
      <c r="AZ75" s="11" t="n">
        <f aca="false">IF(AND(AZ$1&gt;=Units!$Q74,MOD(AZ$1-Units!$Q74,12)=0),IF(AND(Units!$L74=1,AZ$1=Units!$Q74),1,Inputs!$B$15)*Inputs!$B$16*(1+Inputs!$B$11)^(AZ$2-1),0)</f>
        <v>0</v>
      </c>
      <c r="BA75" s="11" t="n">
        <f aca="false">IF(AND(BA$1&gt;=Units!$Q74,MOD(BA$1-Units!$Q74,12)=0),IF(AND(Units!$L74=1,BA$1=Units!$Q74),1,Inputs!$B$15)*Inputs!$B$16*(1+Inputs!$B$11)^(BA$2-1),0)</f>
        <v>0</v>
      </c>
      <c r="BB75" s="11" t="n">
        <f aca="false">IF(AND(BB$1&gt;=Units!$Q74,MOD(BB$1-Units!$Q74,12)=0),IF(AND(Units!$L74=1,BB$1=Units!$Q74),1,Inputs!$B$15)*Inputs!$B$16*(1+Inputs!$B$11)^(BB$2-1),0)</f>
        <v>562.754405</v>
      </c>
      <c r="BC75" s="11" t="n">
        <f aca="false">IF(AND(BC$1&gt;=Units!$Q74,MOD(BC$1-Units!$Q74,12)=0),IF(AND(Units!$L74=1,BC$1=Units!$Q74),1,Inputs!$B$15)*Inputs!$B$16*(1+Inputs!$B$11)^(BC$2-1),0)</f>
        <v>0</v>
      </c>
      <c r="BD75" s="11" t="n">
        <f aca="false">IF(AND(BD$1&gt;=Units!$Q74,MOD(BD$1-Units!$Q74,12)=0),IF(AND(Units!$L74=1,BD$1=Units!$Q74),1,Inputs!$B$15)*Inputs!$B$16*(1+Inputs!$B$11)^(BD$2-1),0)</f>
        <v>0</v>
      </c>
      <c r="BE75" s="11" t="n">
        <f aca="false">IF(AND(BE$1&gt;=Units!$Q74,MOD(BE$1-Units!$Q74,12)=0),IF(AND(Units!$L74=1,BE$1=Units!$Q74),1,Inputs!$B$15)*Inputs!$B$16*(1+Inputs!$B$11)^(BE$2-1),0)</f>
        <v>0</v>
      </c>
      <c r="BF75" s="11" t="n">
        <f aca="false">IF(AND(BF$1&gt;=Units!$Q74,MOD(BF$1-Units!$Q74,12)=0),IF(AND(Units!$L74=1,BF$1=Units!$Q74),1,Inputs!$B$15)*Inputs!$B$16*(1+Inputs!$B$11)^(BF$2-1),0)</f>
        <v>0</v>
      </c>
      <c r="BG75" s="11" t="n">
        <f aca="false">IF(AND(BG$1&gt;=Units!$Q74,MOD(BG$1-Units!$Q74,12)=0),IF(AND(Units!$L74=1,BG$1=Units!$Q74),1,Inputs!$B$15)*Inputs!$B$16*(1+Inputs!$B$11)^(BG$2-1),0)</f>
        <v>0</v>
      </c>
      <c r="BH75" s="11" t="n">
        <f aca="false">IF(AND(BH$1&gt;=Units!$Q74,MOD(BH$1-Units!$Q74,12)=0),IF(AND(Units!$L74=1,BH$1=Units!$Q74),1,Inputs!$B$15)*Inputs!$B$16*(1+Inputs!$B$11)^(BH$2-1),0)</f>
        <v>0</v>
      </c>
      <c r="BI75" s="11" t="n">
        <f aca="false">IF(AND(BI$1&gt;=Units!$Q74,MOD(BI$1-Units!$Q74,12)=0),IF(AND(Units!$L74=1,BI$1=Units!$Q74),1,Inputs!$B$15)*Inputs!$B$16*(1+Inputs!$B$11)^(BI$2-1),0)</f>
        <v>0</v>
      </c>
      <c r="BJ75" s="11" t="n">
        <f aca="false">IF(AND(BJ$1&gt;=Units!$Q74,MOD(BJ$1-Units!$Q74,12)=0),IF(AND(Units!$L74=1,BJ$1=Units!$Q74),1,Inputs!$B$15)*Inputs!$B$16*(1+Inputs!$B$11)^(BJ$2-1),0)</f>
        <v>0</v>
      </c>
      <c r="BK75" s="11" t="n">
        <f aca="false">IF(AND(BK$1&gt;=Units!$Q74,MOD(BK$1-Units!$Q74,12)=0),IF(AND(Units!$L74=1,BK$1=Units!$Q74),1,Inputs!$B$15)*Inputs!$B$16*(1+Inputs!$B$11)^(BK$2-1),0)</f>
        <v>0</v>
      </c>
      <c r="BL75" s="11" t="n">
        <f aca="false">IF(AND(BL$1&gt;=Units!$Q74,MOD(BL$1-Units!$Q74,12)=0),IF(AND(Units!$L74=1,BL$1=Units!$Q74),1,Inputs!$B$15)*Inputs!$B$16*(1+Inputs!$B$11)^(BL$2-1),0)</f>
        <v>0</v>
      </c>
      <c r="BM75" s="11" t="n">
        <f aca="false">IF(AND(BM$1&gt;=Units!$Q74,MOD(BM$1-Units!$Q74,12)=0),IF(AND(Units!$L74=1,BM$1=Units!$Q74),1,Inputs!$B$15)*Inputs!$B$16*(1+Inputs!$B$11)^(BM$2-1),0)</f>
        <v>0</v>
      </c>
      <c r="BN75" s="11" t="n">
        <f aca="false">IF(AND(BN$1&gt;=Units!$Q74,MOD(BN$1-Units!$Q74,12)=0),IF(AND(Units!$L74=1,BN$1=Units!$Q74),1,Inputs!$B$15)*Inputs!$B$16*(1+Inputs!$B$11)^(BN$2-1),0)</f>
        <v>579.63703715</v>
      </c>
      <c r="BO75" s="11" t="n">
        <f aca="false">IF(AND(BO$1&gt;=Units!$Q74,MOD(BO$1-Units!$Q74,12)=0),IF(AND(Units!$L74=1,BO$1=Units!$Q74),1,Inputs!$B$15)*Inputs!$B$16*(1+Inputs!$B$11)^(BO$2-1),0)</f>
        <v>0</v>
      </c>
      <c r="BP75" s="11" t="n">
        <f aca="false">IF(AND(BP$1&gt;=Units!$Q74,MOD(BP$1-Units!$Q74,12)=0),IF(AND(Units!$L74=1,BP$1=Units!$Q74),1,Inputs!$B$15)*Inputs!$B$16*(1+Inputs!$B$11)^(BP$2-1),0)</f>
        <v>0</v>
      </c>
      <c r="BQ75" s="11" t="n">
        <f aca="false">IF(AND(BQ$1&gt;=Units!$Q74,MOD(BQ$1-Units!$Q74,12)=0),IF(AND(Units!$L74=1,BQ$1=Units!$Q74),1,Inputs!$B$15)*Inputs!$B$16*(1+Inputs!$B$11)^(BQ$2-1),0)</f>
        <v>0</v>
      </c>
      <c r="BR75" s="11" t="n">
        <f aca="false">IF(AND(BR$1&gt;=Units!$Q74,MOD(BR$1-Units!$Q74,12)=0),IF(AND(Units!$L74=1,BR$1=Units!$Q74),1,Inputs!$B$15)*Inputs!$B$16*(1+Inputs!$B$11)^(BR$2-1),0)</f>
        <v>0</v>
      </c>
      <c r="BS75" s="11" t="n">
        <f aca="false">IF(AND(BS$1&gt;=Units!$Q74,MOD(BS$1-Units!$Q74,12)=0),IF(AND(Units!$L74=1,BS$1=Units!$Q74),1,Inputs!$B$15)*Inputs!$B$16*(1+Inputs!$B$11)^(BS$2-1),0)</f>
        <v>0</v>
      </c>
      <c r="BT75" s="11" t="n">
        <f aca="false">IF(AND(BT$1&gt;=Units!$Q74,MOD(BT$1-Units!$Q74,12)=0),IF(AND(Units!$L74=1,BT$1=Units!$Q74),1,Inputs!$B$15)*Inputs!$B$16*(1+Inputs!$B$11)^(BT$2-1),0)</f>
        <v>0</v>
      </c>
      <c r="BU75" s="11" t="n">
        <f aca="false">IF(AND(BU$1&gt;=Units!$Q74,MOD(BU$1-Units!$Q74,12)=0),IF(AND(Units!$L74=1,BU$1=Units!$Q74),1,Inputs!$B$15)*Inputs!$B$16*(1+Inputs!$B$11)^(BU$2-1),0)</f>
        <v>0</v>
      </c>
      <c r="BV75" s="11" t="n">
        <f aca="false">IF(AND(BV$1&gt;=Units!$Q74,MOD(BV$1-Units!$Q74,12)=0),IF(AND(Units!$L74=1,BV$1=Units!$Q74),1,Inputs!$B$15)*Inputs!$B$16*(1+Inputs!$B$11)^(BV$2-1),0)</f>
        <v>0</v>
      </c>
      <c r="BW75" s="11" t="n">
        <f aca="false">IF(AND(BW$1&gt;=Units!$Q74,MOD(BW$1-Units!$Q74,12)=0),IF(AND(Units!$L74=1,BW$1=Units!$Q74),1,Inputs!$B$15)*Inputs!$B$16*(1+Inputs!$B$11)^(BW$2-1),0)</f>
        <v>0</v>
      </c>
      <c r="BX75" s="11" t="n">
        <f aca="false">IF(AND(BX$1&gt;=Units!$Q74,MOD(BX$1-Units!$Q74,12)=0),IF(AND(Units!$L74=1,BX$1=Units!$Q74),1,Inputs!$B$15)*Inputs!$B$16*(1+Inputs!$B$11)^(BX$2-1),0)</f>
        <v>0</v>
      </c>
      <c r="BY75" s="11" t="n">
        <f aca="false">IF(AND(BY$1&gt;=Units!$Q74,MOD(BY$1-Units!$Q74,12)=0),IF(AND(Units!$L74=1,BY$1=Units!$Q74),1,Inputs!$B$15)*Inputs!$B$16*(1+Inputs!$B$11)^(BY$2-1),0)</f>
        <v>0</v>
      </c>
      <c r="BZ75" s="11" t="n">
        <f aca="false">IF(AND(BZ$1&gt;=Units!$Q74,MOD(BZ$1-Units!$Q74,12)=0),IF(AND(Units!$L74=1,BZ$1=Units!$Q74),1,Inputs!$B$15)*Inputs!$B$16*(1+Inputs!$B$11)^(BZ$2-1),0)</f>
        <v>597.0261482645</v>
      </c>
      <c r="CA75" s="11" t="n">
        <f aca="false">IF(AND(CA$1&gt;=Units!$Q74,MOD(CA$1-Units!$Q74,12)=0),IF(AND(Units!$L74=1,CA$1=Units!$Q74),1,Inputs!$B$15)*Inputs!$B$16*(1+Inputs!$B$11)^(CA$2-1),0)</f>
        <v>0</v>
      </c>
      <c r="CB75" s="11" t="n">
        <f aca="false">IF(AND(CB$1&gt;=Units!$Q74,MOD(CB$1-Units!$Q74,12)=0),IF(AND(Units!$L74=1,CB$1=Units!$Q74),1,Inputs!$B$15)*Inputs!$B$16*(1+Inputs!$B$11)^(CB$2-1),0)</f>
        <v>0</v>
      </c>
      <c r="CC75" s="11" t="n">
        <f aca="false">IF(AND(CC$1&gt;=Units!$Q74,MOD(CC$1-Units!$Q74,12)=0),IF(AND(Units!$L74=1,CC$1=Units!$Q74),1,Inputs!$B$15)*Inputs!$B$16*(1+Inputs!$B$11)^(CC$2-1),0)</f>
        <v>0</v>
      </c>
      <c r="CD75" s="11" t="n">
        <f aca="false">IF(AND(CD$1&gt;=Units!$Q74,MOD(CD$1-Units!$Q74,12)=0),IF(AND(Units!$L74=1,CD$1=Units!$Q74),1,Inputs!$B$15)*Inputs!$B$16*(1+Inputs!$B$11)^(CD$2-1),0)</f>
        <v>0</v>
      </c>
      <c r="CE75" s="11" t="n">
        <f aca="false">IF(AND(CE$1&gt;=Units!$Q74,MOD(CE$1-Units!$Q74,12)=0),IF(AND(Units!$L74=1,CE$1=Units!$Q74),1,Inputs!$B$15)*Inputs!$B$16*(1+Inputs!$B$11)^(CE$2-1),0)</f>
        <v>0</v>
      </c>
      <c r="CF75" s="11" t="n">
        <f aca="false">IF(AND(CF$1&gt;=Units!$Q74,MOD(CF$1-Units!$Q74,12)=0),IF(AND(Units!$L74=1,CF$1=Units!$Q74),1,Inputs!$B$15)*Inputs!$B$16*(1+Inputs!$B$11)^(CF$2-1),0)</f>
        <v>0</v>
      </c>
      <c r="CG75" s="11" t="n">
        <f aca="false">IF(AND(CG$1&gt;=Units!$Q74,MOD(CG$1-Units!$Q74,12)=0),IF(AND(Units!$L74=1,CG$1=Units!$Q74),1,Inputs!$B$15)*Inputs!$B$16*(1+Inputs!$B$11)^(CG$2-1),0)</f>
        <v>0</v>
      </c>
      <c r="CH75" s="11" t="n">
        <f aca="false">IF(AND(CH$1&gt;=Units!$Q74,MOD(CH$1-Units!$Q74,12)=0),IF(AND(Units!$L74=1,CH$1=Units!$Q74),1,Inputs!$B$15)*Inputs!$B$16*(1+Inputs!$B$11)^(CH$2-1),0)</f>
        <v>0</v>
      </c>
      <c r="CI75" s="11" t="n">
        <f aca="false">IF(AND(CI$1&gt;=Units!$Q74,MOD(CI$1-Units!$Q74,12)=0),IF(AND(Units!$L74=1,CI$1=Units!$Q74),1,Inputs!$B$15)*Inputs!$B$16*(1+Inputs!$B$11)^(CI$2-1),0)</f>
        <v>0</v>
      </c>
      <c r="CJ75" s="11" t="n">
        <f aca="false">IF(AND(CJ$1&gt;=Units!$Q74,MOD(CJ$1-Units!$Q74,12)=0),IF(AND(Units!$L74=1,CJ$1=Units!$Q74),1,Inputs!$B$15)*Inputs!$B$16*(1+Inputs!$B$11)^(CJ$2-1),0)</f>
        <v>0</v>
      </c>
      <c r="CK75" s="11" t="n">
        <f aca="false">IF(AND(CK$1&gt;=Units!$Q74,MOD(CK$1-Units!$Q74,12)=0),IF(AND(Units!$L74=1,CK$1=Units!$Q74),1,Inputs!$B$15)*Inputs!$B$16*(1+Inputs!$B$11)^(CK$2-1),0)</f>
        <v>0</v>
      </c>
      <c r="CL75" s="11" t="n">
        <f aca="false">IF(AND(CL$1&gt;=Units!$Q74,MOD(CL$1-Units!$Q74,12)=0),IF(AND(Units!$L74=1,CL$1=Units!$Q74),1,Inputs!$B$15)*Inputs!$B$16*(1+Inputs!$B$11)^(CL$2-1),0)</f>
        <v>614.936932712435</v>
      </c>
      <c r="CM75" s="11" t="n">
        <f aca="false">IF(AND(CM$1&gt;=Units!$Q74,MOD(CM$1-Units!$Q74,12)=0),IF(AND(Units!$L74=1,CM$1=Units!$Q74),1,Inputs!$B$15)*Inputs!$B$16*(1+Inputs!$B$11)^(CM$2-1),0)</f>
        <v>0</v>
      </c>
      <c r="CN75" s="11" t="n">
        <f aca="false">IF(AND(CN$1&gt;=Units!$Q74,MOD(CN$1-Units!$Q74,12)=0),IF(AND(Units!$L74=1,CN$1=Units!$Q74),1,Inputs!$B$15)*Inputs!$B$16*(1+Inputs!$B$11)^(CN$2-1),0)</f>
        <v>0</v>
      </c>
      <c r="CO75" s="11" t="n">
        <f aca="false">IF(AND(CO$1&gt;=Units!$Q74,MOD(CO$1-Units!$Q74,12)=0),IF(AND(Units!$L74=1,CO$1=Units!$Q74),1,Inputs!$B$15)*Inputs!$B$16*(1+Inputs!$B$11)^(CO$2-1),0)</f>
        <v>0</v>
      </c>
      <c r="CP75" s="11" t="n">
        <f aca="false">IF(AND(CP$1&gt;=Units!$Q74,MOD(CP$1-Units!$Q74,12)=0),IF(AND(Units!$L74=1,CP$1=Units!$Q74),1,Inputs!$B$15)*Inputs!$B$16*(1+Inputs!$B$11)^(CP$2-1),0)</f>
        <v>0</v>
      </c>
      <c r="CQ75" s="11" t="n">
        <f aca="false">IF(AND(CQ$1&gt;=Units!$Q74,MOD(CQ$1-Units!$Q74,12)=0),IF(AND(Units!$L74=1,CQ$1=Units!$Q74),1,Inputs!$B$15)*Inputs!$B$16*(1+Inputs!$B$11)^(CQ$2-1),0)</f>
        <v>0</v>
      </c>
      <c r="CR75" s="11" t="n">
        <f aca="false">IF(AND(CR$1&gt;=Units!$Q74,MOD(CR$1-Units!$Q74,12)=0),IF(AND(Units!$L74=1,CR$1=Units!$Q74),1,Inputs!$B$15)*Inputs!$B$16*(1+Inputs!$B$11)^(CR$2-1),0)</f>
        <v>0</v>
      </c>
      <c r="CS75" s="11" t="n">
        <f aca="false">IF(AND(CS$1&gt;=Units!$Q74,MOD(CS$1-Units!$Q74,12)=0),IF(AND(Units!$L74=1,CS$1=Units!$Q74),1,Inputs!$B$15)*Inputs!$B$16*(1+Inputs!$B$11)^(CS$2-1),0)</f>
        <v>0</v>
      </c>
      <c r="CT75" s="11" t="n">
        <f aca="false">IF(AND(CT$1&gt;=Units!$Q74,MOD(CT$1-Units!$Q74,12)=0),IF(AND(Units!$L74=1,CT$1=Units!$Q74),1,Inputs!$B$15)*Inputs!$B$16*(1+Inputs!$B$11)^(CT$2-1),0)</f>
        <v>0</v>
      </c>
      <c r="CU75" s="11" t="n">
        <f aca="false">IF(AND(CU$1&gt;=Units!$Q74,MOD(CU$1-Units!$Q74,12)=0),IF(AND(Units!$L74=1,CU$1=Units!$Q74),1,Inputs!$B$15)*Inputs!$B$16*(1+Inputs!$B$11)^(CU$2-1),0)</f>
        <v>0</v>
      </c>
      <c r="CV75" s="11" t="n">
        <f aca="false">IF(AND(CV$1&gt;=Units!$Q74,MOD(CV$1-Units!$Q74,12)=0),IF(AND(Units!$L74=1,CV$1=Units!$Q74),1,Inputs!$B$15)*Inputs!$B$16*(1+Inputs!$B$11)^(CV$2-1),0)</f>
        <v>0</v>
      </c>
      <c r="CW75" s="11" t="n">
        <f aca="false">IF(AND(CW$1&gt;=Units!$Q74,MOD(CW$1-Units!$Q74,12)=0),IF(AND(Units!$L74=1,CW$1=Units!$Q74),1,Inputs!$B$15)*Inputs!$B$16*(1+Inputs!$B$11)^(CW$2-1),0)</f>
        <v>0</v>
      </c>
      <c r="CX75" s="11" t="n">
        <f aca="false">IF(AND(CX$1&gt;=Units!$Q74,MOD(CX$1-Units!$Q74,12)=0),IF(AND(Units!$L74=1,CX$1=Units!$Q74),1,Inputs!$B$15)*Inputs!$B$16*(1+Inputs!$B$11)^(CX$2-1),0)</f>
        <v>633.385040693808</v>
      </c>
      <c r="CY75" s="11" t="n">
        <f aca="false">IF(AND(CY$1&gt;=Units!$Q74,MOD(CY$1-Units!$Q74,12)=0),IF(AND(Units!$L74=1,CY$1=Units!$Q74),1,Inputs!$B$15)*Inputs!$B$16*(1+Inputs!$B$11)^(CY$2-1),0)</f>
        <v>0</v>
      </c>
      <c r="CZ75" s="11" t="n">
        <f aca="false">IF(AND(CZ$1&gt;=Units!$Q74,MOD(CZ$1-Units!$Q74,12)=0),IF(AND(Units!$L74=1,CZ$1=Units!$Q74),1,Inputs!$B$15)*Inputs!$B$16*(1+Inputs!$B$11)^(CZ$2-1),0)</f>
        <v>0</v>
      </c>
      <c r="DA75" s="11" t="n">
        <f aca="false">IF(AND(DA$1&gt;=Units!$Q74,MOD(DA$1-Units!$Q74,12)=0),IF(AND(Units!$L74=1,DA$1=Units!$Q74),1,Inputs!$B$15)*Inputs!$B$16*(1+Inputs!$B$11)^(DA$2-1),0)</f>
        <v>0</v>
      </c>
      <c r="DB75" s="11" t="n">
        <f aca="false">IF(AND(DB$1&gt;=Units!$Q74,MOD(DB$1-Units!$Q74,12)=0),IF(AND(Units!$L74=1,DB$1=Units!$Q74),1,Inputs!$B$15)*Inputs!$B$16*(1+Inputs!$B$11)^(DB$2-1),0)</f>
        <v>0</v>
      </c>
      <c r="DC75" s="11" t="n">
        <f aca="false">IF(AND(DC$1&gt;=Units!$Q74,MOD(DC$1-Units!$Q74,12)=0),IF(AND(Units!$L74=1,DC$1=Units!$Q74),1,Inputs!$B$15)*Inputs!$B$16*(1+Inputs!$B$11)^(DC$2-1),0)</f>
        <v>0</v>
      </c>
      <c r="DD75" s="11" t="n">
        <f aca="false">IF(AND(DD$1&gt;=Units!$Q74,MOD(DD$1-Units!$Q74,12)=0),IF(AND(Units!$L74=1,DD$1=Units!$Q74),1,Inputs!$B$15)*Inputs!$B$16*(1+Inputs!$B$11)^(DD$2-1),0)</f>
        <v>0</v>
      </c>
      <c r="DE75" s="11" t="n">
        <f aca="false">IF(AND(DE$1&gt;=Units!$Q74,MOD(DE$1-Units!$Q74,12)=0),IF(AND(Units!$L74=1,DE$1=Units!$Q74),1,Inputs!$B$15)*Inputs!$B$16*(1+Inputs!$B$11)^(DE$2-1),0)</f>
        <v>0</v>
      </c>
      <c r="DF75" s="11" t="n">
        <f aca="false">IF(AND(DF$1&gt;=Units!$Q74,MOD(DF$1-Units!$Q74,12)=0),IF(AND(Units!$L74=1,DF$1=Units!$Q74),1,Inputs!$B$15)*Inputs!$B$16*(1+Inputs!$B$11)^(DF$2-1),0)</f>
        <v>0</v>
      </c>
      <c r="DG75" s="11" t="n">
        <f aca="false">IF(AND(DG$1&gt;=Units!$Q74,MOD(DG$1-Units!$Q74,12)=0),IF(AND(Units!$L74=1,DG$1=Units!$Q74),1,Inputs!$B$15)*Inputs!$B$16*(1+Inputs!$B$11)^(DG$2-1),0)</f>
        <v>0</v>
      </c>
      <c r="DH75" s="11" t="n">
        <f aca="false">IF(AND(DH$1&gt;=Units!$Q74,MOD(DH$1-Units!$Q74,12)=0),IF(AND(Units!$L74=1,DH$1=Units!$Q74),1,Inputs!$B$15)*Inputs!$B$16*(1+Inputs!$B$11)^(DH$2-1),0)</f>
        <v>0</v>
      </c>
      <c r="DI75" s="11" t="n">
        <f aca="false">IF(AND(DI$1&gt;=Units!$Q74,MOD(DI$1-Units!$Q74,12)=0),IF(AND(Units!$L74=1,DI$1=Units!$Q74),1,Inputs!$B$15)*Inputs!$B$16*(1+Inputs!$B$11)^(DI$2-1),0)</f>
        <v>0</v>
      </c>
      <c r="DJ75" s="11" t="n">
        <f aca="false">IF(AND(DJ$1&gt;=Units!$Q74,MOD(DJ$1-Units!$Q74,12)=0),IF(AND(Units!$L74=1,DJ$1=Units!$Q74),1,Inputs!$B$15)*Inputs!$B$16*(1+Inputs!$B$11)^(DJ$2-1),0)</f>
        <v>652.386591914623</v>
      </c>
      <c r="DK75" s="11" t="n">
        <f aca="false">IF(AND(DK$1&gt;=Units!$Q74,MOD(DK$1-Units!$Q74,12)=0),IF(AND(Units!$L74=1,DK$1=Units!$Q74),1,Inputs!$B$15)*Inputs!$B$16*(1+Inputs!$B$11)^(DK$2-1),0)</f>
        <v>0</v>
      </c>
      <c r="DL75" s="11" t="n">
        <f aca="false">IF(AND(DL$1&gt;=Units!$Q74,MOD(DL$1-Units!$Q74,12)=0),IF(AND(Units!$L74=1,DL$1=Units!$Q74),1,Inputs!$B$15)*Inputs!$B$16*(1+Inputs!$B$11)^(DL$2-1),0)</f>
        <v>0</v>
      </c>
      <c r="DM75" s="11" t="n">
        <f aca="false">IF(AND(DM$1&gt;=Units!$Q74,MOD(DM$1-Units!$Q74,12)=0),IF(AND(Units!$L74=1,DM$1=Units!$Q74),1,Inputs!$B$15)*Inputs!$B$16*(1+Inputs!$B$11)^(DM$2-1),0)</f>
        <v>0</v>
      </c>
      <c r="DN75" s="11" t="n">
        <f aca="false">IF(AND(DN$1&gt;=Units!$Q74,MOD(DN$1-Units!$Q74,12)=0),IF(AND(Units!$L74=1,DN$1=Units!$Q74),1,Inputs!$B$15)*Inputs!$B$16*(1+Inputs!$B$11)^(DN$2-1),0)</f>
        <v>0</v>
      </c>
      <c r="DO75" s="11" t="n">
        <f aca="false">IF(AND(DO$1&gt;=Units!$Q74,MOD(DO$1-Units!$Q74,12)=0),IF(AND(Units!$L74=1,DO$1=Units!$Q74),1,Inputs!$B$15)*Inputs!$B$16*(1+Inputs!$B$11)^(DO$2-1),0)</f>
        <v>0</v>
      </c>
      <c r="DP75" s="11" t="n">
        <f aca="false">IF(AND(DP$1&gt;=Units!$Q74,MOD(DP$1-Units!$Q74,12)=0),IF(AND(Units!$L74=1,DP$1=Units!$Q74),1,Inputs!$B$15)*Inputs!$B$16*(1+Inputs!$B$11)^(DP$2-1),0)</f>
        <v>0</v>
      </c>
      <c r="DQ75" s="11" t="n">
        <f aca="false">IF(AND(DQ$1&gt;=Units!$Q74,MOD(DQ$1-Units!$Q74,12)=0),IF(AND(Units!$L74=1,DQ$1=Units!$Q74),1,Inputs!$B$15)*Inputs!$B$16*(1+Inputs!$B$11)^(DQ$2-1),0)</f>
        <v>0</v>
      </c>
      <c r="DR75" s="11" t="n">
        <f aca="false">IF(AND(DR$1&gt;=Units!$Q74,MOD(DR$1-Units!$Q74,12)=0),IF(AND(Units!$L74=1,DR$1=Units!$Q74),1,Inputs!$B$15)*Inputs!$B$16*(1+Inputs!$B$11)^(DR$2-1),0)</f>
        <v>0</v>
      </c>
      <c r="DS75" s="11" t="n">
        <f aca="false">IF(AND(DS$1&gt;=Units!$Q74,MOD(DS$1-Units!$Q74,12)=0),IF(AND(Units!$L74=1,DS$1=Units!$Q74),1,Inputs!$B$15)*Inputs!$B$16*(1+Inputs!$B$11)^(DS$2-1),0)</f>
        <v>0</v>
      </c>
      <c r="DT75" s="11" t="n">
        <f aca="false">IF(AND(DT$1&gt;=Units!$Q74,MOD(DT$1-Units!$Q74,12)=0),IF(AND(Units!$L74=1,DT$1=Units!$Q74),1,Inputs!$B$15)*Inputs!$B$16*(1+Inputs!$B$11)^(DT$2-1),0)</f>
        <v>0</v>
      </c>
      <c r="DU75" s="11" t="n">
        <f aca="false">IF(AND(DU$1&gt;=Units!$Q74,MOD(DU$1-Units!$Q74,12)=0),IF(AND(Units!$L74=1,DU$1=Units!$Q74),1,Inputs!$B$15)*Inputs!$B$16*(1+Inputs!$B$11)^(DU$2-1),0)</f>
        <v>0</v>
      </c>
      <c r="DV75" s="11" t="n">
        <f aca="false">IF(AND(DV$1&gt;=Units!$Q74,MOD(DV$1-Units!$Q74,12)=0),IF(AND(Units!$L74=1,DV$1=Units!$Q74),1,Inputs!$B$15)*Inputs!$B$16*(1+Inputs!$B$11)^(DV$2-1),0)</f>
        <v>671.958189672061</v>
      </c>
      <c r="DW75" s="11" t="n">
        <f aca="false">IF(AND(DW$1&gt;=Units!$Q74,MOD(DW$1-Units!$Q74,12)=0),IF(AND(Units!$L74=1,DW$1=Units!$Q74),1,Inputs!$B$15)*Inputs!$B$16*(1+Inputs!$B$11)^(DW$2-1),0)</f>
        <v>0</v>
      </c>
      <c r="DX75" s="11" t="n">
        <f aca="false">IF(AND(DX$1&gt;=Units!$Q74,MOD(DX$1-Units!$Q74,12)=0),IF(AND(Units!$L74=1,DX$1=Units!$Q74),1,Inputs!$B$15)*Inputs!$B$16*(1+Inputs!$B$11)^(DX$2-1),0)</f>
        <v>0</v>
      </c>
      <c r="DY75" s="11" t="n">
        <f aca="false">IF(AND(DY$1&gt;=Units!$Q74,MOD(DY$1-Units!$Q74,12)=0),IF(AND(Units!$L74=1,DY$1=Units!$Q74),1,Inputs!$B$15)*Inputs!$B$16*(1+Inputs!$B$11)^(DY$2-1),0)</f>
        <v>0</v>
      </c>
      <c r="DZ75" s="11" t="n">
        <f aca="false">IF(AND(DZ$1&gt;=Units!$Q74,MOD(DZ$1-Units!$Q74,12)=0),IF(AND(Units!$L74=1,DZ$1=Units!$Q74),1,Inputs!$B$15)*Inputs!$B$16*(1+Inputs!$B$11)^(DZ$2-1),0)</f>
        <v>0</v>
      </c>
      <c r="EA75" s="11" t="n">
        <f aca="false">IF(AND(EA$1&gt;=Units!$Q74,MOD(EA$1-Units!$Q74,12)=0),IF(AND(Units!$L74=1,EA$1=Units!$Q74),1,Inputs!$B$15)*Inputs!$B$16*(1+Inputs!$B$11)^(EA$2-1),0)</f>
        <v>0</v>
      </c>
      <c r="EB75" s="11" t="n">
        <f aca="false">IF(AND(EB$1&gt;=Units!$Q74,MOD(EB$1-Units!$Q74,12)=0),IF(AND(Units!$L74=1,EB$1=Units!$Q74),1,Inputs!$B$15)*Inputs!$B$16*(1+Inputs!$B$11)^(EB$2-1),0)</f>
        <v>0</v>
      </c>
      <c r="EC75" s="11" t="n">
        <f aca="false">IF(AND(EC$1&gt;=Units!$Q74,MOD(EC$1-Units!$Q74,12)=0),IF(AND(Units!$L74=1,EC$1=Units!$Q74),1,Inputs!$B$15)*Inputs!$B$16*(1+Inputs!$B$11)^(EC$2-1),0)</f>
        <v>0</v>
      </c>
      <c r="ED75" s="11" t="n">
        <f aca="false">IF(AND(ED$1&gt;=Units!$Q74,MOD(ED$1-Units!$Q74,12)=0),IF(AND(Units!$L74=1,ED$1=Units!$Q74),1,Inputs!$B$15)*Inputs!$B$16*(1+Inputs!$B$11)^(ED$2-1),0)</f>
        <v>0</v>
      </c>
    </row>
    <row r="76" customFormat="false" ht="15" hidden="false" customHeight="false" outlineLevel="0" collapsed="false">
      <c r="A76" s="22" t="n">
        <f aca="false">Units!A75</f>
        <v>314</v>
      </c>
      <c r="B76" s="23"/>
      <c r="C76" s="11" t="n">
        <f aca="false">IF(AND(C$1&gt;=Units!$Q75,MOD(C$1-Units!$Q75,12)=0),IF(AND(Units!$L75=1,C$1=Units!$Q75),1,Inputs!$B$15)*Inputs!$B$16*(1+Inputs!$B$11)^(C$2-1),0)</f>
        <v>500</v>
      </c>
      <c r="D76" s="11" t="n">
        <f aca="false">IF(AND(D$1&gt;=Units!$Q75,MOD(D$1-Units!$Q75,12)=0),IF(AND(Units!$L75=1,D$1=Units!$Q75),1,Inputs!$B$15)*Inputs!$B$16*(1+Inputs!$B$11)^(D$2-1),0)</f>
        <v>0</v>
      </c>
      <c r="E76" s="11" t="n">
        <f aca="false">IF(AND(E$1&gt;=Units!$Q75,MOD(E$1-Units!$Q75,12)=0),IF(AND(Units!$L75=1,E$1=Units!$Q75),1,Inputs!$B$15)*Inputs!$B$16*(1+Inputs!$B$11)^(E$2-1),0)</f>
        <v>0</v>
      </c>
      <c r="F76" s="11" t="n">
        <f aca="false">IF(AND(F$1&gt;=Units!$Q75,MOD(F$1-Units!$Q75,12)=0),IF(AND(Units!$L75=1,F$1=Units!$Q75),1,Inputs!$B$15)*Inputs!$B$16*(1+Inputs!$B$11)^(F$2-1),0)</f>
        <v>0</v>
      </c>
      <c r="G76" s="11" t="n">
        <f aca="false">IF(AND(G$1&gt;=Units!$Q75,MOD(G$1-Units!$Q75,12)=0),IF(AND(Units!$L75=1,G$1=Units!$Q75),1,Inputs!$B$15)*Inputs!$B$16*(1+Inputs!$B$11)^(G$2-1),0)</f>
        <v>0</v>
      </c>
      <c r="H76" s="11" t="n">
        <f aca="false">IF(AND(H$1&gt;=Units!$Q75,MOD(H$1-Units!$Q75,12)=0),IF(AND(Units!$L75=1,H$1=Units!$Q75),1,Inputs!$B$15)*Inputs!$B$16*(1+Inputs!$B$11)^(H$2-1),0)</f>
        <v>0</v>
      </c>
      <c r="I76" s="11" t="n">
        <f aca="false">IF(AND(I$1&gt;=Units!$Q75,MOD(I$1-Units!$Q75,12)=0),IF(AND(Units!$L75=1,I$1=Units!$Q75),1,Inputs!$B$15)*Inputs!$B$16*(1+Inputs!$B$11)^(I$2-1),0)</f>
        <v>0</v>
      </c>
      <c r="J76" s="11" t="n">
        <f aca="false">IF(AND(J$1&gt;=Units!$Q75,MOD(J$1-Units!$Q75,12)=0),IF(AND(Units!$L75=1,J$1=Units!$Q75),1,Inputs!$B$15)*Inputs!$B$16*(1+Inputs!$B$11)^(J$2-1),0)</f>
        <v>0</v>
      </c>
      <c r="K76" s="11" t="n">
        <f aca="false">IF(AND(K$1&gt;=Units!$Q75,MOD(K$1-Units!$Q75,12)=0),IF(AND(Units!$L75=1,K$1=Units!$Q75),1,Inputs!$B$15)*Inputs!$B$16*(1+Inputs!$B$11)^(K$2-1),0)</f>
        <v>0</v>
      </c>
      <c r="L76" s="11" t="n">
        <f aca="false">IF(AND(L$1&gt;=Units!$Q75,MOD(L$1-Units!$Q75,12)=0),IF(AND(Units!$L75=1,L$1=Units!$Q75),1,Inputs!$B$15)*Inputs!$B$16*(1+Inputs!$B$11)^(L$2-1),0)</f>
        <v>0</v>
      </c>
      <c r="M76" s="11" t="n">
        <f aca="false">IF(AND(M$1&gt;=Units!$Q75,MOD(M$1-Units!$Q75,12)=0),IF(AND(Units!$L75=1,M$1=Units!$Q75),1,Inputs!$B$15)*Inputs!$B$16*(1+Inputs!$B$11)^(M$2-1),0)</f>
        <v>0</v>
      </c>
      <c r="N76" s="11" t="n">
        <f aca="false">IF(AND(N$1&gt;=Units!$Q75,MOD(N$1-Units!$Q75,12)=0),IF(AND(Units!$L75=1,N$1=Units!$Q75),1,Inputs!$B$15)*Inputs!$B$16*(1+Inputs!$B$11)^(N$2-1),0)</f>
        <v>0</v>
      </c>
      <c r="O76" s="11" t="n">
        <f aca="false">IF(AND(O$1&gt;=Units!$Q75,MOD(O$1-Units!$Q75,12)=0),IF(AND(Units!$L75=1,O$1=Units!$Q75),1,Inputs!$B$15)*Inputs!$B$16*(1+Inputs!$B$11)^(O$2-1),0)</f>
        <v>515</v>
      </c>
      <c r="P76" s="11" t="n">
        <f aca="false">IF(AND(P$1&gt;=Units!$Q75,MOD(P$1-Units!$Q75,12)=0),IF(AND(Units!$L75=1,P$1=Units!$Q75),1,Inputs!$B$15)*Inputs!$B$16*(1+Inputs!$B$11)^(P$2-1),0)</f>
        <v>0</v>
      </c>
      <c r="Q76" s="11" t="n">
        <f aca="false">IF(AND(Q$1&gt;=Units!$Q75,MOD(Q$1-Units!$Q75,12)=0),IF(AND(Units!$L75=1,Q$1=Units!$Q75),1,Inputs!$B$15)*Inputs!$B$16*(1+Inputs!$B$11)^(Q$2-1),0)</f>
        <v>0</v>
      </c>
      <c r="R76" s="11" t="n">
        <f aca="false">IF(AND(R$1&gt;=Units!$Q75,MOD(R$1-Units!$Q75,12)=0),IF(AND(Units!$L75=1,R$1=Units!$Q75),1,Inputs!$B$15)*Inputs!$B$16*(1+Inputs!$B$11)^(R$2-1),0)</f>
        <v>0</v>
      </c>
      <c r="S76" s="11" t="n">
        <f aca="false">IF(AND(S$1&gt;=Units!$Q75,MOD(S$1-Units!$Q75,12)=0),IF(AND(Units!$L75=1,S$1=Units!$Q75),1,Inputs!$B$15)*Inputs!$B$16*(1+Inputs!$B$11)^(S$2-1),0)</f>
        <v>0</v>
      </c>
      <c r="T76" s="11" t="n">
        <f aca="false">IF(AND(T$1&gt;=Units!$Q75,MOD(T$1-Units!$Q75,12)=0),IF(AND(Units!$L75=1,T$1=Units!$Q75),1,Inputs!$B$15)*Inputs!$B$16*(1+Inputs!$B$11)^(T$2-1),0)</f>
        <v>0</v>
      </c>
      <c r="U76" s="11" t="n">
        <f aca="false">IF(AND(U$1&gt;=Units!$Q75,MOD(U$1-Units!$Q75,12)=0),IF(AND(Units!$L75=1,U$1=Units!$Q75),1,Inputs!$B$15)*Inputs!$B$16*(1+Inputs!$B$11)^(U$2-1),0)</f>
        <v>0</v>
      </c>
      <c r="V76" s="11" t="n">
        <f aca="false">IF(AND(V$1&gt;=Units!$Q75,MOD(V$1-Units!$Q75,12)=0),IF(AND(Units!$L75=1,V$1=Units!$Q75),1,Inputs!$B$15)*Inputs!$B$16*(1+Inputs!$B$11)^(V$2-1),0)</f>
        <v>0</v>
      </c>
      <c r="W76" s="11" t="n">
        <f aca="false">IF(AND(W$1&gt;=Units!$Q75,MOD(W$1-Units!$Q75,12)=0),IF(AND(Units!$L75=1,W$1=Units!$Q75),1,Inputs!$B$15)*Inputs!$B$16*(1+Inputs!$B$11)^(W$2-1),0)</f>
        <v>0</v>
      </c>
      <c r="X76" s="11" t="n">
        <f aca="false">IF(AND(X$1&gt;=Units!$Q75,MOD(X$1-Units!$Q75,12)=0),IF(AND(Units!$L75=1,X$1=Units!$Q75),1,Inputs!$B$15)*Inputs!$B$16*(1+Inputs!$B$11)^(X$2-1),0)</f>
        <v>0</v>
      </c>
      <c r="Y76" s="11" t="n">
        <f aca="false">IF(AND(Y$1&gt;=Units!$Q75,MOD(Y$1-Units!$Q75,12)=0),IF(AND(Units!$L75=1,Y$1=Units!$Q75),1,Inputs!$B$15)*Inputs!$B$16*(1+Inputs!$B$11)^(Y$2-1),0)</f>
        <v>0</v>
      </c>
      <c r="Z76" s="11" t="n">
        <f aca="false">IF(AND(Z$1&gt;=Units!$Q75,MOD(Z$1-Units!$Q75,12)=0),IF(AND(Units!$L75=1,Z$1=Units!$Q75),1,Inputs!$B$15)*Inputs!$B$16*(1+Inputs!$B$11)^(Z$2-1),0)</f>
        <v>0</v>
      </c>
      <c r="AA76" s="11" t="n">
        <f aca="false">IF(AND(AA$1&gt;=Units!$Q75,MOD(AA$1-Units!$Q75,12)=0),IF(AND(Units!$L75=1,AA$1=Units!$Q75),1,Inputs!$B$15)*Inputs!$B$16*(1+Inputs!$B$11)^(AA$2-1),0)</f>
        <v>530.45</v>
      </c>
      <c r="AB76" s="11" t="n">
        <f aca="false">IF(AND(AB$1&gt;=Units!$Q75,MOD(AB$1-Units!$Q75,12)=0),IF(AND(Units!$L75=1,AB$1=Units!$Q75),1,Inputs!$B$15)*Inputs!$B$16*(1+Inputs!$B$11)^(AB$2-1),0)</f>
        <v>0</v>
      </c>
      <c r="AC76" s="11" t="n">
        <f aca="false">IF(AND(AC$1&gt;=Units!$Q75,MOD(AC$1-Units!$Q75,12)=0),IF(AND(Units!$L75=1,AC$1=Units!$Q75),1,Inputs!$B$15)*Inputs!$B$16*(1+Inputs!$B$11)^(AC$2-1),0)</f>
        <v>0</v>
      </c>
      <c r="AD76" s="11" t="n">
        <f aca="false">IF(AND(AD$1&gt;=Units!$Q75,MOD(AD$1-Units!$Q75,12)=0),IF(AND(Units!$L75=1,AD$1=Units!$Q75),1,Inputs!$B$15)*Inputs!$B$16*(1+Inputs!$B$11)^(AD$2-1),0)</f>
        <v>0</v>
      </c>
      <c r="AE76" s="11" t="n">
        <f aca="false">IF(AND(AE$1&gt;=Units!$Q75,MOD(AE$1-Units!$Q75,12)=0),IF(AND(Units!$L75=1,AE$1=Units!$Q75),1,Inputs!$B$15)*Inputs!$B$16*(1+Inputs!$B$11)^(AE$2-1),0)</f>
        <v>0</v>
      </c>
      <c r="AF76" s="11" t="n">
        <f aca="false">IF(AND(AF$1&gt;=Units!$Q75,MOD(AF$1-Units!$Q75,12)=0),IF(AND(Units!$L75=1,AF$1=Units!$Q75),1,Inputs!$B$15)*Inputs!$B$16*(1+Inputs!$B$11)^(AF$2-1),0)</f>
        <v>0</v>
      </c>
      <c r="AG76" s="11" t="n">
        <f aca="false">IF(AND(AG$1&gt;=Units!$Q75,MOD(AG$1-Units!$Q75,12)=0),IF(AND(Units!$L75=1,AG$1=Units!$Q75),1,Inputs!$B$15)*Inputs!$B$16*(1+Inputs!$B$11)^(AG$2-1),0)</f>
        <v>0</v>
      </c>
      <c r="AH76" s="11" t="n">
        <f aca="false">IF(AND(AH$1&gt;=Units!$Q75,MOD(AH$1-Units!$Q75,12)=0),IF(AND(Units!$L75=1,AH$1=Units!$Q75),1,Inputs!$B$15)*Inputs!$B$16*(1+Inputs!$B$11)^(AH$2-1),0)</f>
        <v>0</v>
      </c>
      <c r="AI76" s="11" t="n">
        <f aca="false">IF(AND(AI$1&gt;=Units!$Q75,MOD(AI$1-Units!$Q75,12)=0),IF(AND(Units!$L75=1,AI$1=Units!$Q75),1,Inputs!$B$15)*Inputs!$B$16*(1+Inputs!$B$11)^(AI$2-1),0)</f>
        <v>0</v>
      </c>
      <c r="AJ76" s="11" t="n">
        <f aca="false">IF(AND(AJ$1&gt;=Units!$Q75,MOD(AJ$1-Units!$Q75,12)=0),IF(AND(Units!$L75=1,AJ$1=Units!$Q75),1,Inputs!$B$15)*Inputs!$B$16*(1+Inputs!$B$11)^(AJ$2-1),0)</f>
        <v>0</v>
      </c>
      <c r="AK76" s="11" t="n">
        <f aca="false">IF(AND(AK$1&gt;=Units!$Q75,MOD(AK$1-Units!$Q75,12)=0),IF(AND(Units!$L75=1,AK$1=Units!$Q75),1,Inputs!$B$15)*Inputs!$B$16*(1+Inputs!$B$11)^(AK$2-1),0)</f>
        <v>0</v>
      </c>
      <c r="AL76" s="11" t="n">
        <f aca="false">IF(AND(AL$1&gt;=Units!$Q75,MOD(AL$1-Units!$Q75,12)=0),IF(AND(Units!$L75=1,AL$1=Units!$Q75),1,Inputs!$B$15)*Inputs!$B$16*(1+Inputs!$B$11)^(AL$2-1),0)</f>
        <v>0</v>
      </c>
      <c r="AM76" s="11" t="n">
        <f aca="false">IF(AND(AM$1&gt;=Units!$Q75,MOD(AM$1-Units!$Q75,12)=0),IF(AND(Units!$L75=1,AM$1=Units!$Q75),1,Inputs!$B$15)*Inputs!$B$16*(1+Inputs!$B$11)^(AM$2-1),0)</f>
        <v>546.3635</v>
      </c>
      <c r="AN76" s="11" t="n">
        <f aca="false">IF(AND(AN$1&gt;=Units!$Q75,MOD(AN$1-Units!$Q75,12)=0),IF(AND(Units!$L75=1,AN$1=Units!$Q75),1,Inputs!$B$15)*Inputs!$B$16*(1+Inputs!$B$11)^(AN$2-1),0)</f>
        <v>0</v>
      </c>
      <c r="AO76" s="11" t="n">
        <f aca="false">IF(AND(AO$1&gt;=Units!$Q75,MOD(AO$1-Units!$Q75,12)=0),IF(AND(Units!$L75=1,AO$1=Units!$Q75),1,Inputs!$B$15)*Inputs!$B$16*(1+Inputs!$B$11)^(AO$2-1),0)</f>
        <v>0</v>
      </c>
      <c r="AP76" s="11" t="n">
        <f aca="false">IF(AND(AP$1&gt;=Units!$Q75,MOD(AP$1-Units!$Q75,12)=0),IF(AND(Units!$L75=1,AP$1=Units!$Q75),1,Inputs!$B$15)*Inputs!$B$16*(1+Inputs!$B$11)^(AP$2-1),0)</f>
        <v>0</v>
      </c>
      <c r="AQ76" s="11" t="n">
        <f aca="false">IF(AND(AQ$1&gt;=Units!$Q75,MOD(AQ$1-Units!$Q75,12)=0),IF(AND(Units!$L75=1,AQ$1=Units!$Q75),1,Inputs!$B$15)*Inputs!$B$16*(1+Inputs!$B$11)^(AQ$2-1),0)</f>
        <v>0</v>
      </c>
      <c r="AR76" s="11" t="n">
        <f aca="false">IF(AND(AR$1&gt;=Units!$Q75,MOD(AR$1-Units!$Q75,12)=0),IF(AND(Units!$L75=1,AR$1=Units!$Q75),1,Inputs!$B$15)*Inputs!$B$16*(1+Inputs!$B$11)^(AR$2-1),0)</f>
        <v>0</v>
      </c>
      <c r="AS76" s="11" t="n">
        <f aca="false">IF(AND(AS$1&gt;=Units!$Q75,MOD(AS$1-Units!$Q75,12)=0),IF(AND(Units!$L75=1,AS$1=Units!$Q75),1,Inputs!$B$15)*Inputs!$B$16*(1+Inputs!$B$11)^(AS$2-1),0)</f>
        <v>0</v>
      </c>
      <c r="AT76" s="11" t="n">
        <f aca="false">IF(AND(AT$1&gt;=Units!$Q75,MOD(AT$1-Units!$Q75,12)=0),IF(AND(Units!$L75=1,AT$1=Units!$Q75),1,Inputs!$B$15)*Inputs!$B$16*(1+Inputs!$B$11)^(AT$2-1),0)</f>
        <v>0</v>
      </c>
      <c r="AU76" s="11" t="n">
        <f aca="false">IF(AND(AU$1&gt;=Units!$Q75,MOD(AU$1-Units!$Q75,12)=0),IF(AND(Units!$L75=1,AU$1=Units!$Q75),1,Inputs!$B$15)*Inputs!$B$16*(1+Inputs!$B$11)^(AU$2-1),0)</f>
        <v>0</v>
      </c>
      <c r="AV76" s="11" t="n">
        <f aca="false">IF(AND(AV$1&gt;=Units!$Q75,MOD(AV$1-Units!$Q75,12)=0),IF(AND(Units!$L75=1,AV$1=Units!$Q75),1,Inputs!$B$15)*Inputs!$B$16*(1+Inputs!$B$11)^(AV$2-1),0)</f>
        <v>0</v>
      </c>
      <c r="AW76" s="11" t="n">
        <f aca="false">IF(AND(AW$1&gt;=Units!$Q75,MOD(AW$1-Units!$Q75,12)=0),IF(AND(Units!$L75=1,AW$1=Units!$Q75),1,Inputs!$B$15)*Inputs!$B$16*(1+Inputs!$B$11)^(AW$2-1),0)</f>
        <v>0</v>
      </c>
      <c r="AX76" s="11" t="n">
        <f aca="false">IF(AND(AX$1&gt;=Units!$Q75,MOD(AX$1-Units!$Q75,12)=0),IF(AND(Units!$L75=1,AX$1=Units!$Q75),1,Inputs!$B$15)*Inputs!$B$16*(1+Inputs!$B$11)^(AX$2-1),0)</f>
        <v>0</v>
      </c>
      <c r="AY76" s="11" t="n">
        <f aca="false">IF(AND(AY$1&gt;=Units!$Q75,MOD(AY$1-Units!$Q75,12)=0),IF(AND(Units!$L75=1,AY$1=Units!$Q75),1,Inputs!$B$15)*Inputs!$B$16*(1+Inputs!$B$11)^(AY$2-1),0)</f>
        <v>562.754405</v>
      </c>
      <c r="AZ76" s="11" t="n">
        <f aca="false">IF(AND(AZ$1&gt;=Units!$Q75,MOD(AZ$1-Units!$Q75,12)=0),IF(AND(Units!$L75=1,AZ$1=Units!$Q75),1,Inputs!$B$15)*Inputs!$B$16*(1+Inputs!$B$11)^(AZ$2-1),0)</f>
        <v>0</v>
      </c>
      <c r="BA76" s="11" t="n">
        <f aca="false">IF(AND(BA$1&gt;=Units!$Q75,MOD(BA$1-Units!$Q75,12)=0),IF(AND(Units!$L75=1,BA$1=Units!$Q75),1,Inputs!$B$15)*Inputs!$B$16*(1+Inputs!$B$11)^(BA$2-1),0)</f>
        <v>0</v>
      </c>
      <c r="BB76" s="11" t="n">
        <f aca="false">IF(AND(BB$1&gt;=Units!$Q75,MOD(BB$1-Units!$Q75,12)=0),IF(AND(Units!$L75=1,BB$1=Units!$Q75),1,Inputs!$B$15)*Inputs!$B$16*(1+Inputs!$B$11)^(BB$2-1),0)</f>
        <v>0</v>
      </c>
      <c r="BC76" s="11" t="n">
        <f aca="false">IF(AND(BC$1&gt;=Units!$Q75,MOD(BC$1-Units!$Q75,12)=0),IF(AND(Units!$L75=1,BC$1=Units!$Q75),1,Inputs!$B$15)*Inputs!$B$16*(1+Inputs!$B$11)^(BC$2-1),0)</f>
        <v>0</v>
      </c>
      <c r="BD76" s="11" t="n">
        <f aca="false">IF(AND(BD$1&gt;=Units!$Q75,MOD(BD$1-Units!$Q75,12)=0),IF(AND(Units!$L75=1,BD$1=Units!$Q75),1,Inputs!$B$15)*Inputs!$B$16*(1+Inputs!$B$11)^(BD$2-1),0)</f>
        <v>0</v>
      </c>
      <c r="BE76" s="11" t="n">
        <f aca="false">IF(AND(BE$1&gt;=Units!$Q75,MOD(BE$1-Units!$Q75,12)=0),IF(AND(Units!$L75=1,BE$1=Units!$Q75),1,Inputs!$B$15)*Inputs!$B$16*(1+Inputs!$B$11)^(BE$2-1),0)</f>
        <v>0</v>
      </c>
      <c r="BF76" s="11" t="n">
        <f aca="false">IF(AND(BF$1&gt;=Units!$Q75,MOD(BF$1-Units!$Q75,12)=0),IF(AND(Units!$L75=1,BF$1=Units!$Q75),1,Inputs!$B$15)*Inputs!$B$16*(1+Inputs!$B$11)^(BF$2-1),0)</f>
        <v>0</v>
      </c>
      <c r="BG76" s="11" t="n">
        <f aca="false">IF(AND(BG$1&gt;=Units!$Q75,MOD(BG$1-Units!$Q75,12)=0),IF(AND(Units!$L75=1,BG$1=Units!$Q75),1,Inputs!$B$15)*Inputs!$B$16*(1+Inputs!$B$11)^(BG$2-1),0)</f>
        <v>0</v>
      </c>
      <c r="BH76" s="11" t="n">
        <f aca="false">IF(AND(BH$1&gt;=Units!$Q75,MOD(BH$1-Units!$Q75,12)=0),IF(AND(Units!$L75=1,BH$1=Units!$Q75),1,Inputs!$B$15)*Inputs!$B$16*(1+Inputs!$B$11)^(BH$2-1),0)</f>
        <v>0</v>
      </c>
      <c r="BI76" s="11" t="n">
        <f aca="false">IF(AND(BI$1&gt;=Units!$Q75,MOD(BI$1-Units!$Q75,12)=0),IF(AND(Units!$L75=1,BI$1=Units!$Q75),1,Inputs!$B$15)*Inputs!$B$16*(1+Inputs!$B$11)^(BI$2-1),0)</f>
        <v>0</v>
      </c>
      <c r="BJ76" s="11" t="n">
        <f aca="false">IF(AND(BJ$1&gt;=Units!$Q75,MOD(BJ$1-Units!$Q75,12)=0),IF(AND(Units!$L75=1,BJ$1=Units!$Q75),1,Inputs!$B$15)*Inputs!$B$16*(1+Inputs!$B$11)^(BJ$2-1),0)</f>
        <v>0</v>
      </c>
      <c r="BK76" s="11" t="n">
        <f aca="false">IF(AND(BK$1&gt;=Units!$Q75,MOD(BK$1-Units!$Q75,12)=0),IF(AND(Units!$L75=1,BK$1=Units!$Q75),1,Inputs!$B$15)*Inputs!$B$16*(1+Inputs!$B$11)^(BK$2-1),0)</f>
        <v>579.63703715</v>
      </c>
      <c r="BL76" s="11" t="n">
        <f aca="false">IF(AND(BL$1&gt;=Units!$Q75,MOD(BL$1-Units!$Q75,12)=0),IF(AND(Units!$L75=1,BL$1=Units!$Q75),1,Inputs!$B$15)*Inputs!$B$16*(1+Inputs!$B$11)^(BL$2-1),0)</f>
        <v>0</v>
      </c>
      <c r="BM76" s="11" t="n">
        <f aca="false">IF(AND(BM$1&gt;=Units!$Q75,MOD(BM$1-Units!$Q75,12)=0),IF(AND(Units!$L75=1,BM$1=Units!$Q75),1,Inputs!$B$15)*Inputs!$B$16*(1+Inputs!$B$11)^(BM$2-1),0)</f>
        <v>0</v>
      </c>
      <c r="BN76" s="11" t="n">
        <f aca="false">IF(AND(BN$1&gt;=Units!$Q75,MOD(BN$1-Units!$Q75,12)=0),IF(AND(Units!$L75=1,BN$1=Units!$Q75),1,Inputs!$B$15)*Inputs!$B$16*(1+Inputs!$B$11)^(BN$2-1),0)</f>
        <v>0</v>
      </c>
      <c r="BO76" s="11" t="n">
        <f aca="false">IF(AND(BO$1&gt;=Units!$Q75,MOD(BO$1-Units!$Q75,12)=0),IF(AND(Units!$L75=1,BO$1=Units!$Q75),1,Inputs!$B$15)*Inputs!$B$16*(1+Inputs!$B$11)^(BO$2-1),0)</f>
        <v>0</v>
      </c>
      <c r="BP76" s="11" t="n">
        <f aca="false">IF(AND(BP$1&gt;=Units!$Q75,MOD(BP$1-Units!$Q75,12)=0),IF(AND(Units!$L75=1,BP$1=Units!$Q75),1,Inputs!$B$15)*Inputs!$B$16*(1+Inputs!$B$11)^(BP$2-1),0)</f>
        <v>0</v>
      </c>
      <c r="BQ76" s="11" t="n">
        <f aca="false">IF(AND(BQ$1&gt;=Units!$Q75,MOD(BQ$1-Units!$Q75,12)=0),IF(AND(Units!$L75=1,BQ$1=Units!$Q75),1,Inputs!$B$15)*Inputs!$B$16*(1+Inputs!$B$11)^(BQ$2-1),0)</f>
        <v>0</v>
      </c>
      <c r="BR76" s="11" t="n">
        <f aca="false">IF(AND(BR$1&gt;=Units!$Q75,MOD(BR$1-Units!$Q75,12)=0),IF(AND(Units!$L75=1,BR$1=Units!$Q75),1,Inputs!$B$15)*Inputs!$B$16*(1+Inputs!$B$11)^(BR$2-1),0)</f>
        <v>0</v>
      </c>
      <c r="BS76" s="11" t="n">
        <f aca="false">IF(AND(BS$1&gt;=Units!$Q75,MOD(BS$1-Units!$Q75,12)=0),IF(AND(Units!$L75=1,BS$1=Units!$Q75),1,Inputs!$B$15)*Inputs!$B$16*(1+Inputs!$B$11)^(BS$2-1),0)</f>
        <v>0</v>
      </c>
      <c r="BT76" s="11" t="n">
        <f aca="false">IF(AND(BT$1&gt;=Units!$Q75,MOD(BT$1-Units!$Q75,12)=0),IF(AND(Units!$L75=1,BT$1=Units!$Q75),1,Inputs!$B$15)*Inputs!$B$16*(1+Inputs!$B$11)^(BT$2-1),0)</f>
        <v>0</v>
      </c>
      <c r="BU76" s="11" t="n">
        <f aca="false">IF(AND(BU$1&gt;=Units!$Q75,MOD(BU$1-Units!$Q75,12)=0),IF(AND(Units!$L75=1,BU$1=Units!$Q75),1,Inputs!$B$15)*Inputs!$B$16*(1+Inputs!$B$11)^(BU$2-1),0)</f>
        <v>0</v>
      </c>
      <c r="BV76" s="11" t="n">
        <f aca="false">IF(AND(BV$1&gt;=Units!$Q75,MOD(BV$1-Units!$Q75,12)=0),IF(AND(Units!$L75=1,BV$1=Units!$Q75),1,Inputs!$B$15)*Inputs!$B$16*(1+Inputs!$B$11)^(BV$2-1),0)</f>
        <v>0</v>
      </c>
      <c r="BW76" s="11" t="n">
        <f aca="false">IF(AND(BW$1&gt;=Units!$Q75,MOD(BW$1-Units!$Q75,12)=0),IF(AND(Units!$L75=1,BW$1=Units!$Q75),1,Inputs!$B$15)*Inputs!$B$16*(1+Inputs!$B$11)^(BW$2-1),0)</f>
        <v>597.0261482645</v>
      </c>
      <c r="BX76" s="11" t="n">
        <f aca="false">IF(AND(BX$1&gt;=Units!$Q75,MOD(BX$1-Units!$Q75,12)=0),IF(AND(Units!$L75=1,BX$1=Units!$Q75),1,Inputs!$B$15)*Inputs!$B$16*(1+Inputs!$B$11)^(BX$2-1),0)</f>
        <v>0</v>
      </c>
      <c r="BY76" s="11" t="n">
        <f aca="false">IF(AND(BY$1&gt;=Units!$Q75,MOD(BY$1-Units!$Q75,12)=0),IF(AND(Units!$L75=1,BY$1=Units!$Q75),1,Inputs!$B$15)*Inputs!$B$16*(1+Inputs!$B$11)^(BY$2-1),0)</f>
        <v>0</v>
      </c>
      <c r="BZ76" s="11" t="n">
        <f aca="false">IF(AND(BZ$1&gt;=Units!$Q75,MOD(BZ$1-Units!$Q75,12)=0),IF(AND(Units!$L75=1,BZ$1=Units!$Q75),1,Inputs!$B$15)*Inputs!$B$16*(1+Inputs!$B$11)^(BZ$2-1),0)</f>
        <v>0</v>
      </c>
      <c r="CA76" s="11" t="n">
        <f aca="false">IF(AND(CA$1&gt;=Units!$Q75,MOD(CA$1-Units!$Q75,12)=0),IF(AND(Units!$L75=1,CA$1=Units!$Q75),1,Inputs!$B$15)*Inputs!$B$16*(1+Inputs!$B$11)^(CA$2-1),0)</f>
        <v>0</v>
      </c>
      <c r="CB76" s="11" t="n">
        <f aca="false">IF(AND(CB$1&gt;=Units!$Q75,MOD(CB$1-Units!$Q75,12)=0),IF(AND(Units!$L75=1,CB$1=Units!$Q75),1,Inputs!$B$15)*Inputs!$B$16*(1+Inputs!$B$11)^(CB$2-1),0)</f>
        <v>0</v>
      </c>
      <c r="CC76" s="11" t="n">
        <f aca="false">IF(AND(CC$1&gt;=Units!$Q75,MOD(CC$1-Units!$Q75,12)=0),IF(AND(Units!$L75=1,CC$1=Units!$Q75),1,Inputs!$B$15)*Inputs!$B$16*(1+Inputs!$B$11)^(CC$2-1),0)</f>
        <v>0</v>
      </c>
      <c r="CD76" s="11" t="n">
        <f aca="false">IF(AND(CD$1&gt;=Units!$Q75,MOD(CD$1-Units!$Q75,12)=0),IF(AND(Units!$L75=1,CD$1=Units!$Q75),1,Inputs!$B$15)*Inputs!$B$16*(1+Inputs!$B$11)^(CD$2-1),0)</f>
        <v>0</v>
      </c>
      <c r="CE76" s="11" t="n">
        <f aca="false">IF(AND(CE$1&gt;=Units!$Q75,MOD(CE$1-Units!$Q75,12)=0),IF(AND(Units!$L75=1,CE$1=Units!$Q75),1,Inputs!$B$15)*Inputs!$B$16*(1+Inputs!$B$11)^(CE$2-1),0)</f>
        <v>0</v>
      </c>
      <c r="CF76" s="11" t="n">
        <f aca="false">IF(AND(CF$1&gt;=Units!$Q75,MOD(CF$1-Units!$Q75,12)=0),IF(AND(Units!$L75=1,CF$1=Units!$Q75),1,Inputs!$B$15)*Inputs!$B$16*(1+Inputs!$B$11)^(CF$2-1),0)</f>
        <v>0</v>
      </c>
      <c r="CG76" s="11" t="n">
        <f aca="false">IF(AND(CG$1&gt;=Units!$Q75,MOD(CG$1-Units!$Q75,12)=0),IF(AND(Units!$L75=1,CG$1=Units!$Q75),1,Inputs!$B$15)*Inputs!$B$16*(1+Inputs!$B$11)^(CG$2-1),0)</f>
        <v>0</v>
      </c>
      <c r="CH76" s="11" t="n">
        <f aca="false">IF(AND(CH$1&gt;=Units!$Q75,MOD(CH$1-Units!$Q75,12)=0),IF(AND(Units!$L75=1,CH$1=Units!$Q75),1,Inputs!$B$15)*Inputs!$B$16*(1+Inputs!$B$11)^(CH$2-1),0)</f>
        <v>0</v>
      </c>
      <c r="CI76" s="11" t="n">
        <f aca="false">IF(AND(CI$1&gt;=Units!$Q75,MOD(CI$1-Units!$Q75,12)=0),IF(AND(Units!$L75=1,CI$1=Units!$Q75),1,Inputs!$B$15)*Inputs!$B$16*(1+Inputs!$B$11)^(CI$2-1),0)</f>
        <v>614.936932712435</v>
      </c>
      <c r="CJ76" s="11" t="n">
        <f aca="false">IF(AND(CJ$1&gt;=Units!$Q75,MOD(CJ$1-Units!$Q75,12)=0),IF(AND(Units!$L75=1,CJ$1=Units!$Q75),1,Inputs!$B$15)*Inputs!$B$16*(1+Inputs!$B$11)^(CJ$2-1),0)</f>
        <v>0</v>
      </c>
      <c r="CK76" s="11" t="n">
        <f aca="false">IF(AND(CK$1&gt;=Units!$Q75,MOD(CK$1-Units!$Q75,12)=0),IF(AND(Units!$L75=1,CK$1=Units!$Q75),1,Inputs!$B$15)*Inputs!$B$16*(1+Inputs!$B$11)^(CK$2-1),0)</f>
        <v>0</v>
      </c>
      <c r="CL76" s="11" t="n">
        <f aca="false">IF(AND(CL$1&gt;=Units!$Q75,MOD(CL$1-Units!$Q75,12)=0),IF(AND(Units!$L75=1,CL$1=Units!$Q75),1,Inputs!$B$15)*Inputs!$B$16*(1+Inputs!$B$11)^(CL$2-1),0)</f>
        <v>0</v>
      </c>
      <c r="CM76" s="11" t="n">
        <f aca="false">IF(AND(CM$1&gt;=Units!$Q75,MOD(CM$1-Units!$Q75,12)=0),IF(AND(Units!$L75=1,CM$1=Units!$Q75),1,Inputs!$B$15)*Inputs!$B$16*(1+Inputs!$B$11)^(CM$2-1),0)</f>
        <v>0</v>
      </c>
      <c r="CN76" s="11" t="n">
        <f aca="false">IF(AND(CN$1&gt;=Units!$Q75,MOD(CN$1-Units!$Q75,12)=0),IF(AND(Units!$L75=1,CN$1=Units!$Q75),1,Inputs!$B$15)*Inputs!$B$16*(1+Inputs!$B$11)^(CN$2-1),0)</f>
        <v>0</v>
      </c>
      <c r="CO76" s="11" t="n">
        <f aca="false">IF(AND(CO$1&gt;=Units!$Q75,MOD(CO$1-Units!$Q75,12)=0),IF(AND(Units!$L75=1,CO$1=Units!$Q75),1,Inputs!$B$15)*Inputs!$B$16*(1+Inputs!$B$11)^(CO$2-1),0)</f>
        <v>0</v>
      </c>
      <c r="CP76" s="11" t="n">
        <f aca="false">IF(AND(CP$1&gt;=Units!$Q75,MOD(CP$1-Units!$Q75,12)=0),IF(AND(Units!$L75=1,CP$1=Units!$Q75),1,Inputs!$B$15)*Inputs!$B$16*(1+Inputs!$B$11)^(CP$2-1),0)</f>
        <v>0</v>
      </c>
      <c r="CQ76" s="11" t="n">
        <f aca="false">IF(AND(CQ$1&gt;=Units!$Q75,MOD(CQ$1-Units!$Q75,12)=0),IF(AND(Units!$L75=1,CQ$1=Units!$Q75),1,Inputs!$B$15)*Inputs!$B$16*(1+Inputs!$B$11)^(CQ$2-1),0)</f>
        <v>0</v>
      </c>
      <c r="CR76" s="11" t="n">
        <f aca="false">IF(AND(CR$1&gt;=Units!$Q75,MOD(CR$1-Units!$Q75,12)=0),IF(AND(Units!$L75=1,CR$1=Units!$Q75),1,Inputs!$B$15)*Inputs!$B$16*(1+Inputs!$B$11)^(CR$2-1),0)</f>
        <v>0</v>
      </c>
      <c r="CS76" s="11" t="n">
        <f aca="false">IF(AND(CS$1&gt;=Units!$Q75,MOD(CS$1-Units!$Q75,12)=0),IF(AND(Units!$L75=1,CS$1=Units!$Q75),1,Inputs!$B$15)*Inputs!$B$16*(1+Inputs!$B$11)^(CS$2-1),0)</f>
        <v>0</v>
      </c>
      <c r="CT76" s="11" t="n">
        <f aca="false">IF(AND(CT$1&gt;=Units!$Q75,MOD(CT$1-Units!$Q75,12)=0),IF(AND(Units!$L75=1,CT$1=Units!$Q75),1,Inputs!$B$15)*Inputs!$B$16*(1+Inputs!$B$11)^(CT$2-1),0)</f>
        <v>0</v>
      </c>
      <c r="CU76" s="11" t="n">
        <f aca="false">IF(AND(CU$1&gt;=Units!$Q75,MOD(CU$1-Units!$Q75,12)=0),IF(AND(Units!$L75=1,CU$1=Units!$Q75),1,Inputs!$B$15)*Inputs!$B$16*(1+Inputs!$B$11)^(CU$2-1),0)</f>
        <v>633.385040693808</v>
      </c>
      <c r="CV76" s="11" t="n">
        <f aca="false">IF(AND(CV$1&gt;=Units!$Q75,MOD(CV$1-Units!$Q75,12)=0),IF(AND(Units!$L75=1,CV$1=Units!$Q75),1,Inputs!$B$15)*Inputs!$B$16*(1+Inputs!$B$11)^(CV$2-1),0)</f>
        <v>0</v>
      </c>
      <c r="CW76" s="11" t="n">
        <f aca="false">IF(AND(CW$1&gt;=Units!$Q75,MOD(CW$1-Units!$Q75,12)=0),IF(AND(Units!$L75=1,CW$1=Units!$Q75),1,Inputs!$B$15)*Inputs!$B$16*(1+Inputs!$B$11)^(CW$2-1),0)</f>
        <v>0</v>
      </c>
      <c r="CX76" s="11" t="n">
        <f aca="false">IF(AND(CX$1&gt;=Units!$Q75,MOD(CX$1-Units!$Q75,12)=0),IF(AND(Units!$L75=1,CX$1=Units!$Q75),1,Inputs!$B$15)*Inputs!$B$16*(1+Inputs!$B$11)^(CX$2-1),0)</f>
        <v>0</v>
      </c>
      <c r="CY76" s="11" t="n">
        <f aca="false">IF(AND(CY$1&gt;=Units!$Q75,MOD(CY$1-Units!$Q75,12)=0),IF(AND(Units!$L75=1,CY$1=Units!$Q75),1,Inputs!$B$15)*Inputs!$B$16*(1+Inputs!$B$11)^(CY$2-1),0)</f>
        <v>0</v>
      </c>
      <c r="CZ76" s="11" t="n">
        <f aca="false">IF(AND(CZ$1&gt;=Units!$Q75,MOD(CZ$1-Units!$Q75,12)=0),IF(AND(Units!$L75=1,CZ$1=Units!$Q75),1,Inputs!$B$15)*Inputs!$B$16*(1+Inputs!$B$11)^(CZ$2-1),0)</f>
        <v>0</v>
      </c>
      <c r="DA76" s="11" t="n">
        <f aca="false">IF(AND(DA$1&gt;=Units!$Q75,MOD(DA$1-Units!$Q75,12)=0),IF(AND(Units!$L75=1,DA$1=Units!$Q75),1,Inputs!$B$15)*Inputs!$B$16*(1+Inputs!$B$11)^(DA$2-1),0)</f>
        <v>0</v>
      </c>
      <c r="DB76" s="11" t="n">
        <f aca="false">IF(AND(DB$1&gt;=Units!$Q75,MOD(DB$1-Units!$Q75,12)=0),IF(AND(Units!$L75=1,DB$1=Units!$Q75),1,Inputs!$B$15)*Inputs!$B$16*(1+Inputs!$B$11)^(DB$2-1),0)</f>
        <v>0</v>
      </c>
      <c r="DC76" s="11" t="n">
        <f aca="false">IF(AND(DC$1&gt;=Units!$Q75,MOD(DC$1-Units!$Q75,12)=0),IF(AND(Units!$L75=1,DC$1=Units!$Q75),1,Inputs!$B$15)*Inputs!$B$16*(1+Inputs!$B$11)^(DC$2-1),0)</f>
        <v>0</v>
      </c>
      <c r="DD76" s="11" t="n">
        <f aca="false">IF(AND(DD$1&gt;=Units!$Q75,MOD(DD$1-Units!$Q75,12)=0),IF(AND(Units!$L75=1,DD$1=Units!$Q75),1,Inputs!$B$15)*Inputs!$B$16*(1+Inputs!$B$11)^(DD$2-1),0)</f>
        <v>0</v>
      </c>
      <c r="DE76" s="11" t="n">
        <f aca="false">IF(AND(DE$1&gt;=Units!$Q75,MOD(DE$1-Units!$Q75,12)=0),IF(AND(Units!$L75=1,DE$1=Units!$Q75),1,Inputs!$B$15)*Inputs!$B$16*(1+Inputs!$B$11)^(DE$2-1),0)</f>
        <v>0</v>
      </c>
      <c r="DF76" s="11" t="n">
        <f aca="false">IF(AND(DF$1&gt;=Units!$Q75,MOD(DF$1-Units!$Q75,12)=0),IF(AND(Units!$L75=1,DF$1=Units!$Q75),1,Inputs!$B$15)*Inputs!$B$16*(1+Inputs!$B$11)^(DF$2-1),0)</f>
        <v>0</v>
      </c>
      <c r="DG76" s="11" t="n">
        <f aca="false">IF(AND(DG$1&gt;=Units!$Q75,MOD(DG$1-Units!$Q75,12)=0),IF(AND(Units!$L75=1,DG$1=Units!$Q75),1,Inputs!$B$15)*Inputs!$B$16*(1+Inputs!$B$11)^(DG$2-1),0)</f>
        <v>652.386591914623</v>
      </c>
      <c r="DH76" s="11" t="n">
        <f aca="false">IF(AND(DH$1&gt;=Units!$Q75,MOD(DH$1-Units!$Q75,12)=0),IF(AND(Units!$L75=1,DH$1=Units!$Q75),1,Inputs!$B$15)*Inputs!$B$16*(1+Inputs!$B$11)^(DH$2-1),0)</f>
        <v>0</v>
      </c>
      <c r="DI76" s="11" t="n">
        <f aca="false">IF(AND(DI$1&gt;=Units!$Q75,MOD(DI$1-Units!$Q75,12)=0),IF(AND(Units!$L75=1,DI$1=Units!$Q75),1,Inputs!$B$15)*Inputs!$B$16*(1+Inputs!$B$11)^(DI$2-1),0)</f>
        <v>0</v>
      </c>
      <c r="DJ76" s="11" t="n">
        <f aca="false">IF(AND(DJ$1&gt;=Units!$Q75,MOD(DJ$1-Units!$Q75,12)=0),IF(AND(Units!$L75=1,DJ$1=Units!$Q75),1,Inputs!$B$15)*Inputs!$B$16*(1+Inputs!$B$11)^(DJ$2-1),0)</f>
        <v>0</v>
      </c>
      <c r="DK76" s="11" t="n">
        <f aca="false">IF(AND(DK$1&gt;=Units!$Q75,MOD(DK$1-Units!$Q75,12)=0),IF(AND(Units!$L75=1,DK$1=Units!$Q75),1,Inputs!$B$15)*Inputs!$B$16*(1+Inputs!$B$11)^(DK$2-1),0)</f>
        <v>0</v>
      </c>
      <c r="DL76" s="11" t="n">
        <f aca="false">IF(AND(DL$1&gt;=Units!$Q75,MOD(DL$1-Units!$Q75,12)=0),IF(AND(Units!$L75=1,DL$1=Units!$Q75),1,Inputs!$B$15)*Inputs!$B$16*(1+Inputs!$B$11)^(DL$2-1),0)</f>
        <v>0</v>
      </c>
      <c r="DM76" s="11" t="n">
        <f aca="false">IF(AND(DM$1&gt;=Units!$Q75,MOD(DM$1-Units!$Q75,12)=0),IF(AND(Units!$L75=1,DM$1=Units!$Q75),1,Inputs!$B$15)*Inputs!$B$16*(1+Inputs!$B$11)^(DM$2-1),0)</f>
        <v>0</v>
      </c>
      <c r="DN76" s="11" t="n">
        <f aca="false">IF(AND(DN$1&gt;=Units!$Q75,MOD(DN$1-Units!$Q75,12)=0),IF(AND(Units!$L75=1,DN$1=Units!$Q75),1,Inputs!$B$15)*Inputs!$B$16*(1+Inputs!$B$11)^(DN$2-1),0)</f>
        <v>0</v>
      </c>
      <c r="DO76" s="11" t="n">
        <f aca="false">IF(AND(DO$1&gt;=Units!$Q75,MOD(DO$1-Units!$Q75,12)=0),IF(AND(Units!$L75=1,DO$1=Units!$Q75),1,Inputs!$B$15)*Inputs!$B$16*(1+Inputs!$B$11)^(DO$2-1),0)</f>
        <v>0</v>
      </c>
      <c r="DP76" s="11" t="n">
        <f aca="false">IF(AND(DP$1&gt;=Units!$Q75,MOD(DP$1-Units!$Q75,12)=0),IF(AND(Units!$L75=1,DP$1=Units!$Q75),1,Inputs!$B$15)*Inputs!$B$16*(1+Inputs!$B$11)^(DP$2-1),0)</f>
        <v>0</v>
      </c>
      <c r="DQ76" s="11" t="n">
        <f aca="false">IF(AND(DQ$1&gt;=Units!$Q75,MOD(DQ$1-Units!$Q75,12)=0),IF(AND(Units!$L75=1,DQ$1=Units!$Q75),1,Inputs!$B$15)*Inputs!$B$16*(1+Inputs!$B$11)^(DQ$2-1),0)</f>
        <v>0</v>
      </c>
      <c r="DR76" s="11" t="n">
        <f aca="false">IF(AND(DR$1&gt;=Units!$Q75,MOD(DR$1-Units!$Q75,12)=0),IF(AND(Units!$L75=1,DR$1=Units!$Q75),1,Inputs!$B$15)*Inputs!$B$16*(1+Inputs!$B$11)^(DR$2-1),0)</f>
        <v>0</v>
      </c>
      <c r="DS76" s="11" t="n">
        <f aca="false">IF(AND(DS$1&gt;=Units!$Q75,MOD(DS$1-Units!$Q75,12)=0),IF(AND(Units!$L75=1,DS$1=Units!$Q75),1,Inputs!$B$15)*Inputs!$B$16*(1+Inputs!$B$11)^(DS$2-1),0)</f>
        <v>671.958189672061</v>
      </c>
      <c r="DT76" s="11" t="n">
        <f aca="false">IF(AND(DT$1&gt;=Units!$Q75,MOD(DT$1-Units!$Q75,12)=0),IF(AND(Units!$L75=1,DT$1=Units!$Q75),1,Inputs!$B$15)*Inputs!$B$16*(1+Inputs!$B$11)^(DT$2-1),0)</f>
        <v>0</v>
      </c>
      <c r="DU76" s="11" t="n">
        <f aca="false">IF(AND(DU$1&gt;=Units!$Q75,MOD(DU$1-Units!$Q75,12)=0),IF(AND(Units!$L75=1,DU$1=Units!$Q75),1,Inputs!$B$15)*Inputs!$B$16*(1+Inputs!$B$11)^(DU$2-1),0)</f>
        <v>0</v>
      </c>
      <c r="DV76" s="11" t="n">
        <f aca="false">IF(AND(DV$1&gt;=Units!$Q75,MOD(DV$1-Units!$Q75,12)=0),IF(AND(Units!$L75=1,DV$1=Units!$Q75),1,Inputs!$B$15)*Inputs!$B$16*(1+Inputs!$B$11)^(DV$2-1),0)</f>
        <v>0</v>
      </c>
      <c r="DW76" s="11" t="n">
        <f aca="false">IF(AND(DW$1&gt;=Units!$Q75,MOD(DW$1-Units!$Q75,12)=0),IF(AND(Units!$L75=1,DW$1=Units!$Q75),1,Inputs!$B$15)*Inputs!$B$16*(1+Inputs!$B$11)^(DW$2-1),0)</f>
        <v>0</v>
      </c>
      <c r="DX76" s="11" t="n">
        <f aca="false">IF(AND(DX$1&gt;=Units!$Q75,MOD(DX$1-Units!$Q75,12)=0),IF(AND(Units!$L75=1,DX$1=Units!$Q75),1,Inputs!$B$15)*Inputs!$B$16*(1+Inputs!$B$11)^(DX$2-1),0)</f>
        <v>0</v>
      </c>
      <c r="DY76" s="11" t="n">
        <f aca="false">IF(AND(DY$1&gt;=Units!$Q75,MOD(DY$1-Units!$Q75,12)=0),IF(AND(Units!$L75=1,DY$1=Units!$Q75),1,Inputs!$B$15)*Inputs!$B$16*(1+Inputs!$B$11)^(DY$2-1),0)</f>
        <v>0</v>
      </c>
      <c r="DZ76" s="11" t="n">
        <f aca="false">IF(AND(DZ$1&gt;=Units!$Q75,MOD(DZ$1-Units!$Q75,12)=0),IF(AND(Units!$L75=1,DZ$1=Units!$Q75),1,Inputs!$B$15)*Inputs!$B$16*(1+Inputs!$B$11)^(DZ$2-1),0)</f>
        <v>0</v>
      </c>
      <c r="EA76" s="11" t="n">
        <f aca="false">IF(AND(EA$1&gt;=Units!$Q75,MOD(EA$1-Units!$Q75,12)=0),IF(AND(Units!$L75=1,EA$1=Units!$Q75),1,Inputs!$B$15)*Inputs!$B$16*(1+Inputs!$B$11)^(EA$2-1),0)</f>
        <v>0</v>
      </c>
      <c r="EB76" s="11" t="n">
        <f aca="false">IF(AND(EB$1&gt;=Units!$Q75,MOD(EB$1-Units!$Q75,12)=0),IF(AND(Units!$L75=1,EB$1=Units!$Q75),1,Inputs!$B$15)*Inputs!$B$16*(1+Inputs!$B$11)^(EB$2-1),0)</f>
        <v>0</v>
      </c>
      <c r="EC76" s="11" t="n">
        <f aca="false">IF(AND(EC$1&gt;=Units!$Q75,MOD(EC$1-Units!$Q75,12)=0),IF(AND(Units!$L75=1,EC$1=Units!$Q75),1,Inputs!$B$15)*Inputs!$B$16*(1+Inputs!$B$11)^(EC$2-1),0)</f>
        <v>0</v>
      </c>
      <c r="ED76" s="11" t="n">
        <f aca="false">IF(AND(ED$1&gt;=Units!$Q75,MOD(ED$1-Units!$Q75,12)=0),IF(AND(Units!$L75=1,ED$1=Units!$Q75),1,Inputs!$B$15)*Inputs!$B$16*(1+Inputs!$B$11)^(ED$2-1),0)</f>
        <v>0</v>
      </c>
    </row>
    <row r="77" customFormat="false" ht="15" hidden="false" customHeight="false" outlineLevel="0" collapsed="false">
      <c r="A77" s="22" t="n">
        <f aca="false">Units!A76</f>
        <v>315</v>
      </c>
      <c r="B77" s="23"/>
      <c r="C77" s="11" t="n">
        <f aca="false">IF(AND(C$1&gt;=Units!$Q76,MOD(C$1-Units!$Q76,12)=0),IF(AND(Units!$L76=1,C$1=Units!$Q76),1,Inputs!$B$15)*Inputs!$B$16*(1+Inputs!$B$11)^(C$2-1),0)</f>
        <v>0</v>
      </c>
      <c r="D77" s="11" t="n">
        <f aca="false">IF(AND(D$1&gt;=Units!$Q76,MOD(D$1-Units!$Q76,12)=0),IF(AND(Units!$L76=1,D$1=Units!$Q76),1,Inputs!$B$15)*Inputs!$B$16*(1+Inputs!$B$11)^(D$2-1),0)</f>
        <v>0</v>
      </c>
      <c r="E77" s="11" t="n">
        <f aca="false">IF(AND(E$1&gt;=Units!$Q76,MOD(E$1-Units!$Q76,12)=0),IF(AND(Units!$L76=1,E$1=Units!$Q76),1,Inputs!$B$15)*Inputs!$B$16*(1+Inputs!$B$11)^(E$2-1),0)</f>
        <v>0</v>
      </c>
      <c r="F77" s="11" t="n">
        <f aca="false">IF(AND(F$1&gt;=Units!$Q76,MOD(F$1-Units!$Q76,12)=0),IF(AND(Units!$L76=1,F$1=Units!$Q76),1,Inputs!$B$15)*Inputs!$B$16*(1+Inputs!$B$11)^(F$2-1),0)</f>
        <v>0</v>
      </c>
      <c r="G77" s="11" t="n">
        <f aca="false">IF(AND(G$1&gt;=Units!$Q76,MOD(G$1-Units!$Q76,12)=0),IF(AND(Units!$L76=1,G$1=Units!$Q76),1,Inputs!$B$15)*Inputs!$B$16*(1+Inputs!$B$11)^(G$2-1),0)</f>
        <v>500</v>
      </c>
      <c r="H77" s="11" t="n">
        <f aca="false">IF(AND(H$1&gt;=Units!$Q76,MOD(H$1-Units!$Q76,12)=0),IF(AND(Units!$L76=1,H$1=Units!$Q76),1,Inputs!$B$15)*Inputs!$B$16*(1+Inputs!$B$11)^(H$2-1),0)</f>
        <v>0</v>
      </c>
      <c r="I77" s="11" t="n">
        <f aca="false">IF(AND(I$1&gt;=Units!$Q76,MOD(I$1-Units!$Q76,12)=0),IF(AND(Units!$L76=1,I$1=Units!$Q76),1,Inputs!$B$15)*Inputs!$B$16*(1+Inputs!$B$11)^(I$2-1),0)</f>
        <v>0</v>
      </c>
      <c r="J77" s="11" t="n">
        <f aca="false">IF(AND(J$1&gt;=Units!$Q76,MOD(J$1-Units!$Q76,12)=0),IF(AND(Units!$L76=1,J$1=Units!$Q76),1,Inputs!$B$15)*Inputs!$B$16*(1+Inputs!$B$11)^(J$2-1),0)</f>
        <v>0</v>
      </c>
      <c r="K77" s="11" t="n">
        <f aca="false">IF(AND(K$1&gt;=Units!$Q76,MOD(K$1-Units!$Q76,12)=0),IF(AND(Units!$L76=1,K$1=Units!$Q76),1,Inputs!$B$15)*Inputs!$B$16*(1+Inputs!$B$11)^(K$2-1),0)</f>
        <v>0</v>
      </c>
      <c r="L77" s="11" t="n">
        <f aca="false">IF(AND(L$1&gt;=Units!$Q76,MOD(L$1-Units!$Q76,12)=0),IF(AND(Units!$L76=1,L$1=Units!$Q76),1,Inputs!$B$15)*Inputs!$B$16*(1+Inputs!$B$11)^(L$2-1),0)</f>
        <v>0</v>
      </c>
      <c r="M77" s="11" t="n">
        <f aca="false">IF(AND(M$1&gt;=Units!$Q76,MOD(M$1-Units!$Q76,12)=0),IF(AND(Units!$L76=1,M$1=Units!$Q76),1,Inputs!$B$15)*Inputs!$B$16*(1+Inputs!$B$11)^(M$2-1),0)</f>
        <v>0</v>
      </c>
      <c r="N77" s="11" t="n">
        <f aca="false">IF(AND(N$1&gt;=Units!$Q76,MOD(N$1-Units!$Q76,12)=0),IF(AND(Units!$L76=1,N$1=Units!$Q76),1,Inputs!$B$15)*Inputs!$B$16*(1+Inputs!$B$11)^(N$2-1),0)</f>
        <v>0</v>
      </c>
      <c r="O77" s="11" t="n">
        <f aca="false">IF(AND(O$1&gt;=Units!$Q76,MOD(O$1-Units!$Q76,12)=0),IF(AND(Units!$L76=1,O$1=Units!$Q76),1,Inputs!$B$15)*Inputs!$B$16*(1+Inputs!$B$11)^(O$2-1),0)</f>
        <v>0</v>
      </c>
      <c r="P77" s="11" t="n">
        <f aca="false">IF(AND(P$1&gt;=Units!$Q76,MOD(P$1-Units!$Q76,12)=0),IF(AND(Units!$L76=1,P$1=Units!$Q76),1,Inputs!$B$15)*Inputs!$B$16*(1+Inputs!$B$11)^(P$2-1),0)</f>
        <v>0</v>
      </c>
      <c r="Q77" s="11" t="n">
        <f aca="false">IF(AND(Q$1&gt;=Units!$Q76,MOD(Q$1-Units!$Q76,12)=0),IF(AND(Units!$L76=1,Q$1=Units!$Q76),1,Inputs!$B$15)*Inputs!$B$16*(1+Inputs!$B$11)^(Q$2-1),0)</f>
        <v>0</v>
      </c>
      <c r="R77" s="11" t="n">
        <f aca="false">IF(AND(R$1&gt;=Units!$Q76,MOD(R$1-Units!$Q76,12)=0),IF(AND(Units!$L76=1,R$1=Units!$Q76),1,Inputs!$B$15)*Inputs!$B$16*(1+Inputs!$B$11)^(R$2-1),0)</f>
        <v>0</v>
      </c>
      <c r="S77" s="11" t="n">
        <f aca="false">IF(AND(S$1&gt;=Units!$Q76,MOD(S$1-Units!$Q76,12)=0),IF(AND(Units!$L76=1,S$1=Units!$Q76),1,Inputs!$B$15)*Inputs!$B$16*(1+Inputs!$B$11)^(S$2-1),0)</f>
        <v>515</v>
      </c>
      <c r="T77" s="11" t="n">
        <f aca="false">IF(AND(T$1&gt;=Units!$Q76,MOD(T$1-Units!$Q76,12)=0),IF(AND(Units!$L76=1,T$1=Units!$Q76),1,Inputs!$B$15)*Inputs!$B$16*(1+Inputs!$B$11)^(T$2-1),0)</f>
        <v>0</v>
      </c>
      <c r="U77" s="11" t="n">
        <f aca="false">IF(AND(U$1&gt;=Units!$Q76,MOD(U$1-Units!$Q76,12)=0),IF(AND(Units!$L76=1,U$1=Units!$Q76),1,Inputs!$B$15)*Inputs!$B$16*(1+Inputs!$B$11)^(U$2-1),0)</f>
        <v>0</v>
      </c>
      <c r="V77" s="11" t="n">
        <f aca="false">IF(AND(V$1&gt;=Units!$Q76,MOD(V$1-Units!$Q76,12)=0),IF(AND(Units!$L76=1,V$1=Units!$Q76),1,Inputs!$B$15)*Inputs!$B$16*(1+Inputs!$B$11)^(V$2-1),0)</f>
        <v>0</v>
      </c>
      <c r="W77" s="11" t="n">
        <f aca="false">IF(AND(W$1&gt;=Units!$Q76,MOD(W$1-Units!$Q76,12)=0),IF(AND(Units!$L76=1,W$1=Units!$Q76),1,Inputs!$B$15)*Inputs!$B$16*(1+Inputs!$B$11)^(W$2-1),0)</f>
        <v>0</v>
      </c>
      <c r="X77" s="11" t="n">
        <f aca="false">IF(AND(X$1&gt;=Units!$Q76,MOD(X$1-Units!$Q76,12)=0),IF(AND(Units!$L76=1,X$1=Units!$Q76),1,Inputs!$B$15)*Inputs!$B$16*(1+Inputs!$B$11)^(X$2-1),0)</f>
        <v>0</v>
      </c>
      <c r="Y77" s="11" t="n">
        <f aca="false">IF(AND(Y$1&gt;=Units!$Q76,MOD(Y$1-Units!$Q76,12)=0),IF(AND(Units!$L76=1,Y$1=Units!$Q76),1,Inputs!$B$15)*Inputs!$B$16*(1+Inputs!$B$11)^(Y$2-1),0)</f>
        <v>0</v>
      </c>
      <c r="Z77" s="11" t="n">
        <f aca="false">IF(AND(Z$1&gt;=Units!$Q76,MOD(Z$1-Units!$Q76,12)=0),IF(AND(Units!$L76=1,Z$1=Units!$Q76),1,Inputs!$B$15)*Inputs!$B$16*(1+Inputs!$B$11)^(Z$2-1),0)</f>
        <v>0</v>
      </c>
      <c r="AA77" s="11" t="n">
        <f aca="false">IF(AND(AA$1&gt;=Units!$Q76,MOD(AA$1-Units!$Q76,12)=0),IF(AND(Units!$L76=1,AA$1=Units!$Q76),1,Inputs!$B$15)*Inputs!$B$16*(1+Inputs!$B$11)^(AA$2-1),0)</f>
        <v>0</v>
      </c>
      <c r="AB77" s="11" t="n">
        <f aca="false">IF(AND(AB$1&gt;=Units!$Q76,MOD(AB$1-Units!$Q76,12)=0),IF(AND(Units!$L76=1,AB$1=Units!$Q76),1,Inputs!$B$15)*Inputs!$B$16*(1+Inputs!$B$11)^(AB$2-1),0)</f>
        <v>0</v>
      </c>
      <c r="AC77" s="11" t="n">
        <f aca="false">IF(AND(AC$1&gt;=Units!$Q76,MOD(AC$1-Units!$Q76,12)=0),IF(AND(Units!$L76=1,AC$1=Units!$Q76),1,Inputs!$B$15)*Inputs!$B$16*(1+Inputs!$B$11)^(AC$2-1),0)</f>
        <v>0</v>
      </c>
      <c r="AD77" s="11" t="n">
        <f aca="false">IF(AND(AD$1&gt;=Units!$Q76,MOD(AD$1-Units!$Q76,12)=0),IF(AND(Units!$L76=1,AD$1=Units!$Q76),1,Inputs!$B$15)*Inputs!$B$16*(1+Inputs!$B$11)^(AD$2-1),0)</f>
        <v>0</v>
      </c>
      <c r="AE77" s="11" t="n">
        <f aca="false">IF(AND(AE$1&gt;=Units!$Q76,MOD(AE$1-Units!$Q76,12)=0),IF(AND(Units!$L76=1,AE$1=Units!$Q76),1,Inputs!$B$15)*Inputs!$B$16*(1+Inputs!$B$11)^(AE$2-1),0)</f>
        <v>530.45</v>
      </c>
      <c r="AF77" s="11" t="n">
        <f aca="false">IF(AND(AF$1&gt;=Units!$Q76,MOD(AF$1-Units!$Q76,12)=0),IF(AND(Units!$L76=1,AF$1=Units!$Q76),1,Inputs!$B$15)*Inputs!$B$16*(1+Inputs!$B$11)^(AF$2-1),0)</f>
        <v>0</v>
      </c>
      <c r="AG77" s="11" t="n">
        <f aca="false">IF(AND(AG$1&gt;=Units!$Q76,MOD(AG$1-Units!$Q76,12)=0),IF(AND(Units!$L76=1,AG$1=Units!$Q76),1,Inputs!$B$15)*Inputs!$B$16*(1+Inputs!$B$11)^(AG$2-1),0)</f>
        <v>0</v>
      </c>
      <c r="AH77" s="11" t="n">
        <f aca="false">IF(AND(AH$1&gt;=Units!$Q76,MOD(AH$1-Units!$Q76,12)=0),IF(AND(Units!$L76=1,AH$1=Units!$Q76),1,Inputs!$B$15)*Inputs!$B$16*(1+Inputs!$B$11)^(AH$2-1),0)</f>
        <v>0</v>
      </c>
      <c r="AI77" s="11" t="n">
        <f aca="false">IF(AND(AI$1&gt;=Units!$Q76,MOD(AI$1-Units!$Q76,12)=0),IF(AND(Units!$L76=1,AI$1=Units!$Q76),1,Inputs!$B$15)*Inputs!$B$16*(1+Inputs!$B$11)^(AI$2-1),0)</f>
        <v>0</v>
      </c>
      <c r="AJ77" s="11" t="n">
        <f aca="false">IF(AND(AJ$1&gt;=Units!$Q76,MOD(AJ$1-Units!$Q76,12)=0),IF(AND(Units!$L76=1,AJ$1=Units!$Q76),1,Inputs!$B$15)*Inputs!$B$16*(1+Inputs!$B$11)^(AJ$2-1),0)</f>
        <v>0</v>
      </c>
      <c r="AK77" s="11" t="n">
        <f aca="false">IF(AND(AK$1&gt;=Units!$Q76,MOD(AK$1-Units!$Q76,12)=0),IF(AND(Units!$L76=1,AK$1=Units!$Q76),1,Inputs!$B$15)*Inputs!$B$16*(1+Inputs!$B$11)^(AK$2-1),0)</f>
        <v>0</v>
      </c>
      <c r="AL77" s="11" t="n">
        <f aca="false">IF(AND(AL$1&gt;=Units!$Q76,MOD(AL$1-Units!$Q76,12)=0),IF(AND(Units!$L76=1,AL$1=Units!$Q76),1,Inputs!$B$15)*Inputs!$B$16*(1+Inputs!$B$11)^(AL$2-1),0)</f>
        <v>0</v>
      </c>
      <c r="AM77" s="11" t="n">
        <f aca="false">IF(AND(AM$1&gt;=Units!$Q76,MOD(AM$1-Units!$Q76,12)=0),IF(AND(Units!$L76=1,AM$1=Units!$Q76),1,Inputs!$B$15)*Inputs!$B$16*(1+Inputs!$B$11)^(AM$2-1),0)</f>
        <v>0</v>
      </c>
      <c r="AN77" s="11" t="n">
        <f aca="false">IF(AND(AN$1&gt;=Units!$Q76,MOD(AN$1-Units!$Q76,12)=0),IF(AND(Units!$L76=1,AN$1=Units!$Q76),1,Inputs!$B$15)*Inputs!$B$16*(1+Inputs!$B$11)^(AN$2-1),0)</f>
        <v>0</v>
      </c>
      <c r="AO77" s="11" t="n">
        <f aca="false">IF(AND(AO$1&gt;=Units!$Q76,MOD(AO$1-Units!$Q76,12)=0),IF(AND(Units!$L76=1,AO$1=Units!$Q76),1,Inputs!$B$15)*Inputs!$B$16*(1+Inputs!$B$11)^(AO$2-1),0)</f>
        <v>0</v>
      </c>
      <c r="AP77" s="11" t="n">
        <f aca="false">IF(AND(AP$1&gt;=Units!$Q76,MOD(AP$1-Units!$Q76,12)=0),IF(AND(Units!$L76=1,AP$1=Units!$Q76),1,Inputs!$B$15)*Inputs!$B$16*(1+Inputs!$B$11)^(AP$2-1),0)</f>
        <v>0</v>
      </c>
      <c r="AQ77" s="11" t="n">
        <f aca="false">IF(AND(AQ$1&gt;=Units!$Q76,MOD(AQ$1-Units!$Q76,12)=0),IF(AND(Units!$L76=1,AQ$1=Units!$Q76),1,Inputs!$B$15)*Inputs!$B$16*(1+Inputs!$B$11)^(AQ$2-1),0)</f>
        <v>546.3635</v>
      </c>
      <c r="AR77" s="11" t="n">
        <f aca="false">IF(AND(AR$1&gt;=Units!$Q76,MOD(AR$1-Units!$Q76,12)=0),IF(AND(Units!$L76=1,AR$1=Units!$Q76),1,Inputs!$B$15)*Inputs!$B$16*(1+Inputs!$B$11)^(AR$2-1),0)</f>
        <v>0</v>
      </c>
      <c r="AS77" s="11" t="n">
        <f aca="false">IF(AND(AS$1&gt;=Units!$Q76,MOD(AS$1-Units!$Q76,12)=0),IF(AND(Units!$L76=1,AS$1=Units!$Q76),1,Inputs!$B$15)*Inputs!$B$16*(1+Inputs!$B$11)^(AS$2-1),0)</f>
        <v>0</v>
      </c>
      <c r="AT77" s="11" t="n">
        <f aca="false">IF(AND(AT$1&gt;=Units!$Q76,MOD(AT$1-Units!$Q76,12)=0),IF(AND(Units!$L76=1,AT$1=Units!$Q76),1,Inputs!$B$15)*Inputs!$B$16*(1+Inputs!$B$11)^(AT$2-1),0)</f>
        <v>0</v>
      </c>
      <c r="AU77" s="11" t="n">
        <f aca="false">IF(AND(AU$1&gt;=Units!$Q76,MOD(AU$1-Units!$Q76,12)=0),IF(AND(Units!$L76=1,AU$1=Units!$Q76),1,Inputs!$B$15)*Inputs!$B$16*(1+Inputs!$B$11)^(AU$2-1),0)</f>
        <v>0</v>
      </c>
      <c r="AV77" s="11" t="n">
        <f aca="false">IF(AND(AV$1&gt;=Units!$Q76,MOD(AV$1-Units!$Q76,12)=0),IF(AND(Units!$L76=1,AV$1=Units!$Q76),1,Inputs!$B$15)*Inputs!$B$16*(1+Inputs!$B$11)^(AV$2-1),0)</f>
        <v>0</v>
      </c>
      <c r="AW77" s="11" t="n">
        <f aca="false">IF(AND(AW$1&gt;=Units!$Q76,MOD(AW$1-Units!$Q76,12)=0),IF(AND(Units!$L76=1,AW$1=Units!$Q76),1,Inputs!$B$15)*Inputs!$B$16*(1+Inputs!$B$11)^(AW$2-1),0)</f>
        <v>0</v>
      </c>
      <c r="AX77" s="11" t="n">
        <f aca="false">IF(AND(AX$1&gt;=Units!$Q76,MOD(AX$1-Units!$Q76,12)=0),IF(AND(Units!$L76=1,AX$1=Units!$Q76),1,Inputs!$B$15)*Inputs!$B$16*(1+Inputs!$B$11)^(AX$2-1),0)</f>
        <v>0</v>
      </c>
      <c r="AY77" s="11" t="n">
        <f aca="false">IF(AND(AY$1&gt;=Units!$Q76,MOD(AY$1-Units!$Q76,12)=0),IF(AND(Units!$L76=1,AY$1=Units!$Q76),1,Inputs!$B$15)*Inputs!$B$16*(1+Inputs!$B$11)^(AY$2-1),0)</f>
        <v>0</v>
      </c>
      <c r="AZ77" s="11" t="n">
        <f aca="false">IF(AND(AZ$1&gt;=Units!$Q76,MOD(AZ$1-Units!$Q76,12)=0),IF(AND(Units!$L76=1,AZ$1=Units!$Q76),1,Inputs!$B$15)*Inputs!$B$16*(1+Inputs!$B$11)^(AZ$2-1),0)</f>
        <v>0</v>
      </c>
      <c r="BA77" s="11" t="n">
        <f aca="false">IF(AND(BA$1&gt;=Units!$Q76,MOD(BA$1-Units!$Q76,12)=0),IF(AND(Units!$L76=1,BA$1=Units!$Q76),1,Inputs!$B$15)*Inputs!$B$16*(1+Inputs!$B$11)^(BA$2-1),0)</f>
        <v>0</v>
      </c>
      <c r="BB77" s="11" t="n">
        <f aca="false">IF(AND(BB$1&gt;=Units!$Q76,MOD(BB$1-Units!$Q76,12)=0),IF(AND(Units!$L76=1,BB$1=Units!$Q76),1,Inputs!$B$15)*Inputs!$B$16*(1+Inputs!$B$11)^(BB$2-1),0)</f>
        <v>0</v>
      </c>
      <c r="BC77" s="11" t="n">
        <f aca="false">IF(AND(BC$1&gt;=Units!$Q76,MOD(BC$1-Units!$Q76,12)=0),IF(AND(Units!$L76=1,BC$1=Units!$Q76),1,Inputs!$B$15)*Inputs!$B$16*(1+Inputs!$B$11)^(BC$2-1),0)</f>
        <v>562.754405</v>
      </c>
      <c r="BD77" s="11" t="n">
        <f aca="false">IF(AND(BD$1&gt;=Units!$Q76,MOD(BD$1-Units!$Q76,12)=0),IF(AND(Units!$L76=1,BD$1=Units!$Q76),1,Inputs!$B$15)*Inputs!$B$16*(1+Inputs!$B$11)^(BD$2-1),0)</f>
        <v>0</v>
      </c>
      <c r="BE77" s="11" t="n">
        <f aca="false">IF(AND(BE$1&gt;=Units!$Q76,MOD(BE$1-Units!$Q76,12)=0),IF(AND(Units!$L76=1,BE$1=Units!$Q76),1,Inputs!$B$15)*Inputs!$B$16*(1+Inputs!$B$11)^(BE$2-1),0)</f>
        <v>0</v>
      </c>
      <c r="BF77" s="11" t="n">
        <f aca="false">IF(AND(BF$1&gt;=Units!$Q76,MOD(BF$1-Units!$Q76,12)=0),IF(AND(Units!$L76=1,BF$1=Units!$Q76),1,Inputs!$B$15)*Inputs!$B$16*(1+Inputs!$B$11)^(BF$2-1),0)</f>
        <v>0</v>
      </c>
      <c r="BG77" s="11" t="n">
        <f aca="false">IF(AND(BG$1&gt;=Units!$Q76,MOD(BG$1-Units!$Q76,12)=0),IF(AND(Units!$L76=1,BG$1=Units!$Q76),1,Inputs!$B$15)*Inputs!$B$16*(1+Inputs!$B$11)^(BG$2-1),0)</f>
        <v>0</v>
      </c>
      <c r="BH77" s="11" t="n">
        <f aca="false">IF(AND(BH$1&gt;=Units!$Q76,MOD(BH$1-Units!$Q76,12)=0),IF(AND(Units!$L76=1,BH$1=Units!$Q76),1,Inputs!$B$15)*Inputs!$B$16*(1+Inputs!$B$11)^(BH$2-1),0)</f>
        <v>0</v>
      </c>
      <c r="BI77" s="11" t="n">
        <f aca="false">IF(AND(BI$1&gt;=Units!$Q76,MOD(BI$1-Units!$Q76,12)=0),IF(AND(Units!$L76=1,BI$1=Units!$Q76),1,Inputs!$B$15)*Inputs!$B$16*(1+Inputs!$B$11)^(BI$2-1),0)</f>
        <v>0</v>
      </c>
      <c r="BJ77" s="11" t="n">
        <f aca="false">IF(AND(BJ$1&gt;=Units!$Q76,MOD(BJ$1-Units!$Q76,12)=0),IF(AND(Units!$L76=1,BJ$1=Units!$Q76),1,Inputs!$B$15)*Inputs!$B$16*(1+Inputs!$B$11)^(BJ$2-1),0)</f>
        <v>0</v>
      </c>
      <c r="BK77" s="11" t="n">
        <f aca="false">IF(AND(BK$1&gt;=Units!$Q76,MOD(BK$1-Units!$Q76,12)=0),IF(AND(Units!$L76=1,BK$1=Units!$Q76),1,Inputs!$B$15)*Inputs!$B$16*(1+Inputs!$B$11)^(BK$2-1),0)</f>
        <v>0</v>
      </c>
      <c r="BL77" s="11" t="n">
        <f aca="false">IF(AND(BL$1&gt;=Units!$Q76,MOD(BL$1-Units!$Q76,12)=0),IF(AND(Units!$L76=1,BL$1=Units!$Q76),1,Inputs!$B$15)*Inputs!$B$16*(1+Inputs!$B$11)^(BL$2-1),0)</f>
        <v>0</v>
      </c>
      <c r="BM77" s="11" t="n">
        <f aca="false">IF(AND(BM$1&gt;=Units!$Q76,MOD(BM$1-Units!$Q76,12)=0),IF(AND(Units!$L76=1,BM$1=Units!$Q76),1,Inputs!$B$15)*Inputs!$B$16*(1+Inputs!$B$11)^(BM$2-1),0)</f>
        <v>0</v>
      </c>
      <c r="BN77" s="11" t="n">
        <f aca="false">IF(AND(BN$1&gt;=Units!$Q76,MOD(BN$1-Units!$Q76,12)=0),IF(AND(Units!$L76=1,BN$1=Units!$Q76),1,Inputs!$B$15)*Inputs!$B$16*(1+Inputs!$B$11)^(BN$2-1),0)</f>
        <v>0</v>
      </c>
      <c r="BO77" s="11" t="n">
        <f aca="false">IF(AND(BO$1&gt;=Units!$Q76,MOD(BO$1-Units!$Q76,12)=0),IF(AND(Units!$L76=1,BO$1=Units!$Q76),1,Inputs!$B$15)*Inputs!$B$16*(1+Inputs!$B$11)^(BO$2-1),0)</f>
        <v>579.63703715</v>
      </c>
      <c r="BP77" s="11" t="n">
        <f aca="false">IF(AND(BP$1&gt;=Units!$Q76,MOD(BP$1-Units!$Q76,12)=0),IF(AND(Units!$L76=1,BP$1=Units!$Q76),1,Inputs!$B$15)*Inputs!$B$16*(1+Inputs!$B$11)^(BP$2-1),0)</f>
        <v>0</v>
      </c>
      <c r="BQ77" s="11" t="n">
        <f aca="false">IF(AND(BQ$1&gt;=Units!$Q76,MOD(BQ$1-Units!$Q76,12)=0),IF(AND(Units!$L76=1,BQ$1=Units!$Q76),1,Inputs!$B$15)*Inputs!$B$16*(1+Inputs!$B$11)^(BQ$2-1),0)</f>
        <v>0</v>
      </c>
      <c r="BR77" s="11" t="n">
        <f aca="false">IF(AND(BR$1&gt;=Units!$Q76,MOD(BR$1-Units!$Q76,12)=0),IF(AND(Units!$L76=1,BR$1=Units!$Q76),1,Inputs!$B$15)*Inputs!$B$16*(1+Inputs!$B$11)^(BR$2-1),0)</f>
        <v>0</v>
      </c>
      <c r="BS77" s="11" t="n">
        <f aca="false">IF(AND(BS$1&gt;=Units!$Q76,MOD(BS$1-Units!$Q76,12)=0),IF(AND(Units!$L76=1,BS$1=Units!$Q76),1,Inputs!$B$15)*Inputs!$B$16*(1+Inputs!$B$11)^(BS$2-1),0)</f>
        <v>0</v>
      </c>
      <c r="BT77" s="11" t="n">
        <f aca="false">IF(AND(BT$1&gt;=Units!$Q76,MOD(BT$1-Units!$Q76,12)=0),IF(AND(Units!$L76=1,BT$1=Units!$Q76),1,Inputs!$B$15)*Inputs!$B$16*(1+Inputs!$B$11)^(BT$2-1),0)</f>
        <v>0</v>
      </c>
      <c r="BU77" s="11" t="n">
        <f aca="false">IF(AND(BU$1&gt;=Units!$Q76,MOD(BU$1-Units!$Q76,12)=0),IF(AND(Units!$L76=1,BU$1=Units!$Q76),1,Inputs!$B$15)*Inputs!$B$16*(1+Inputs!$B$11)^(BU$2-1),0)</f>
        <v>0</v>
      </c>
      <c r="BV77" s="11" t="n">
        <f aca="false">IF(AND(BV$1&gt;=Units!$Q76,MOD(BV$1-Units!$Q76,12)=0),IF(AND(Units!$L76=1,BV$1=Units!$Q76),1,Inputs!$B$15)*Inputs!$B$16*(1+Inputs!$B$11)^(BV$2-1),0)</f>
        <v>0</v>
      </c>
      <c r="BW77" s="11" t="n">
        <f aca="false">IF(AND(BW$1&gt;=Units!$Q76,MOD(BW$1-Units!$Q76,12)=0),IF(AND(Units!$L76=1,BW$1=Units!$Q76),1,Inputs!$B$15)*Inputs!$B$16*(1+Inputs!$B$11)^(BW$2-1),0)</f>
        <v>0</v>
      </c>
      <c r="BX77" s="11" t="n">
        <f aca="false">IF(AND(BX$1&gt;=Units!$Q76,MOD(BX$1-Units!$Q76,12)=0),IF(AND(Units!$L76=1,BX$1=Units!$Q76),1,Inputs!$B$15)*Inputs!$B$16*(1+Inputs!$B$11)^(BX$2-1),0)</f>
        <v>0</v>
      </c>
      <c r="BY77" s="11" t="n">
        <f aca="false">IF(AND(BY$1&gt;=Units!$Q76,MOD(BY$1-Units!$Q76,12)=0),IF(AND(Units!$L76=1,BY$1=Units!$Q76),1,Inputs!$B$15)*Inputs!$B$16*(1+Inputs!$B$11)^(BY$2-1),0)</f>
        <v>0</v>
      </c>
      <c r="BZ77" s="11" t="n">
        <f aca="false">IF(AND(BZ$1&gt;=Units!$Q76,MOD(BZ$1-Units!$Q76,12)=0),IF(AND(Units!$L76=1,BZ$1=Units!$Q76),1,Inputs!$B$15)*Inputs!$B$16*(1+Inputs!$B$11)^(BZ$2-1),0)</f>
        <v>0</v>
      </c>
      <c r="CA77" s="11" t="n">
        <f aca="false">IF(AND(CA$1&gt;=Units!$Q76,MOD(CA$1-Units!$Q76,12)=0),IF(AND(Units!$L76=1,CA$1=Units!$Q76),1,Inputs!$B$15)*Inputs!$B$16*(1+Inputs!$B$11)^(CA$2-1),0)</f>
        <v>597.0261482645</v>
      </c>
      <c r="CB77" s="11" t="n">
        <f aca="false">IF(AND(CB$1&gt;=Units!$Q76,MOD(CB$1-Units!$Q76,12)=0),IF(AND(Units!$L76=1,CB$1=Units!$Q76),1,Inputs!$B$15)*Inputs!$B$16*(1+Inputs!$B$11)^(CB$2-1),0)</f>
        <v>0</v>
      </c>
      <c r="CC77" s="11" t="n">
        <f aca="false">IF(AND(CC$1&gt;=Units!$Q76,MOD(CC$1-Units!$Q76,12)=0),IF(AND(Units!$L76=1,CC$1=Units!$Q76),1,Inputs!$B$15)*Inputs!$B$16*(1+Inputs!$B$11)^(CC$2-1),0)</f>
        <v>0</v>
      </c>
      <c r="CD77" s="11" t="n">
        <f aca="false">IF(AND(CD$1&gt;=Units!$Q76,MOD(CD$1-Units!$Q76,12)=0),IF(AND(Units!$L76=1,CD$1=Units!$Q76),1,Inputs!$B$15)*Inputs!$B$16*(1+Inputs!$B$11)^(CD$2-1),0)</f>
        <v>0</v>
      </c>
      <c r="CE77" s="11" t="n">
        <f aca="false">IF(AND(CE$1&gt;=Units!$Q76,MOD(CE$1-Units!$Q76,12)=0),IF(AND(Units!$L76=1,CE$1=Units!$Q76),1,Inputs!$B$15)*Inputs!$B$16*(1+Inputs!$B$11)^(CE$2-1),0)</f>
        <v>0</v>
      </c>
      <c r="CF77" s="11" t="n">
        <f aca="false">IF(AND(CF$1&gt;=Units!$Q76,MOD(CF$1-Units!$Q76,12)=0),IF(AND(Units!$L76=1,CF$1=Units!$Q76),1,Inputs!$B$15)*Inputs!$B$16*(1+Inputs!$B$11)^(CF$2-1),0)</f>
        <v>0</v>
      </c>
      <c r="CG77" s="11" t="n">
        <f aca="false">IF(AND(CG$1&gt;=Units!$Q76,MOD(CG$1-Units!$Q76,12)=0),IF(AND(Units!$L76=1,CG$1=Units!$Q76),1,Inputs!$B$15)*Inputs!$B$16*(1+Inputs!$B$11)^(CG$2-1),0)</f>
        <v>0</v>
      </c>
      <c r="CH77" s="11" t="n">
        <f aca="false">IF(AND(CH$1&gt;=Units!$Q76,MOD(CH$1-Units!$Q76,12)=0),IF(AND(Units!$L76=1,CH$1=Units!$Q76),1,Inputs!$B$15)*Inputs!$B$16*(1+Inputs!$B$11)^(CH$2-1),0)</f>
        <v>0</v>
      </c>
      <c r="CI77" s="11" t="n">
        <f aca="false">IF(AND(CI$1&gt;=Units!$Q76,MOD(CI$1-Units!$Q76,12)=0),IF(AND(Units!$L76=1,CI$1=Units!$Q76),1,Inputs!$B$15)*Inputs!$B$16*(1+Inputs!$B$11)^(CI$2-1),0)</f>
        <v>0</v>
      </c>
      <c r="CJ77" s="11" t="n">
        <f aca="false">IF(AND(CJ$1&gt;=Units!$Q76,MOD(CJ$1-Units!$Q76,12)=0),IF(AND(Units!$L76=1,CJ$1=Units!$Q76),1,Inputs!$B$15)*Inputs!$B$16*(1+Inputs!$B$11)^(CJ$2-1),0)</f>
        <v>0</v>
      </c>
      <c r="CK77" s="11" t="n">
        <f aca="false">IF(AND(CK$1&gt;=Units!$Q76,MOD(CK$1-Units!$Q76,12)=0),IF(AND(Units!$L76=1,CK$1=Units!$Q76),1,Inputs!$B$15)*Inputs!$B$16*(1+Inputs!$B$11)^(CK$2-1),0)</f>
        <v>0</v>
      </c>
      <c r="CL77" s="11" t="n">
        <f aca="false">IF(AND(CL$1&gt;=Units!$Q76,MOD(CL$1-Units!$Q76,12)=0),IF(AND(Units!$L76=1,CL$1=Units!$Q76),1,Inputs!$B$15)*Inputs!$B$16*(1+Inputs!$B$11)^(CL$2-1),0)</f>
        <v>0</v>
      </c>
      <c r="CM77" s="11" t="n">
        <f aca="false">IF(AND(CM$1&gt;=Units!$Q76,MOD(CM$1-Units!$Q76,12)=0),IF(AND(Units!$L76=1,CM$1=Units!$Q76),1,Inputs!$B$15)*Inputs!$B$16*(1+Inputs!$B$11)^(CM$2-1),0)</f>
        <v>614.936932712435</v>
      </c>
      <c r="CN77" s="11" t="n">
        <f aca="false">IF(AND(CN$1&gt;=Units!$Q76,MOD(CN$1-Units!$Q76,12)=0),IF(AND(Units!$L76=1,CN$1=Units!$Q76),1,Inputs!$B$15)*Inputs!$B$16*(1+Inputs!$B$11)^(CN$2-1),0)</f>
        <v>0</v>
      </c>
      <c r="CO77" s="11" t="n">
        <f aca="false">IF(AND(CO$1&gt;=Units!$Q76,MOD(CO$1-Units!$Q76,12)=0),IF(AND(Units!$L76=1,CO$1=Units!$Q76),1,Inputs!$B$15)*Inputs!$B$16*(1+Inputs!$B$11)^(CO$2-1),0)</f>
        <v>0</v>
      </c>
      <c r="CP77" s="11" t="n">
        <f aca="false">IF(AND(CP$1&gt;=Units!$Q76,MOD(CP$1-Units!$Q76,12)=0),IF(AND(Units!$L76=1,CP$1=Units!$Q76),1,Inputs!$B$15)*Inputs!$B$16*(1+Inputs!$B$11)^(CP$2-1),0)</f>
        <v>0</v>
      </c>
      <c r="CQ77" s="11" t="n">
        <f aca="false">IF(AND(CQ$1&gt;=Units!$Q76,MOD(CQ$1-Units!$Q76,12)=0),IF(AND(Units!$L76=1,CQ$1=Units!$Q76),1,Inputs!$B$15)*Inputs!$B$16*(1+Inputs!$B$11)^(CQ$2-1),0)</f>
        <v>0</v>
      </c>
      <c r="CR77" s="11" t="n">
        <f aca="false">IF(AND(CR$1&gt;=Units!$Q76,MOD(CR$1-Units!$Q76,12)=0),IF(AND(Units!$L76=1,CR$1=Units!$Q76),1,Inputs!$B$15)*Inputs!$B$16*(1+Inputs!$B$11)^(CR$2-1),0)</f>
        <v>0</v>
      </c>
      <c r="CS77" s="11" t="n">
        <f aca="false">IF(AND(CS$1&gt;=Units!$Q76,MOD(CS$1-Units!$Q76,12)=0),IF(AND(Units!$L76=1,CS$1=Units!$Q76),1,Inputs!$B$15)*Inputs!$B$16*(1+Inputs!$B$11)^(CS$2-1),0)</f>
        <v>0</v>
      </c>
      <c r="CT77" s="11" t="n">
        <f aca="false">IF(AND(CT$1&gt;=Units!$Q76,MOD(CT$1-Units!$Q76,12)=0),IF(AND(Units!$L76=1,CT$1=Units!$Q76),1,Inputs!$B$15)*Inputs!$B$16*(1+Inputs!$B$11)^(CT$2-1),0)</f>
        <v>0</v>
      </c>
      <c r="CU77" s="11" t="n">
        <f aca="false">IF(AND(CU$1&gt;=Units!$Q76,MOD(CU$1-Units!$Q76,12)=0),IF(AND(Units!$L76=1,CU$1=Units!$Q76),1,Inputs!$B$15)*Inputs!$B$16*(1+Inputs!$B$11)^(CU$2-1),0)</f>
        <v>0</v>
      </c>
      <c r="CV77" s="11" t="n">
        <f aca="false">IF(AND(CV$1&gt;=Units!$Q76,MOD(CV$1-Units!$Q76,12)=0),IF(AND(Units!$L76=1,CV$1=Units!$Q76),1,Inputs!$B$15)*Inputs!$B$16*(1+Inputs!$B$11)^(CV$2-1),0)</f>
        <v>0</v>
      </c>
      <c r="CW77" s="11" t="n">
        <f aca="false">IF(AND(CW$1&gt;=Units!$Q76,MOD(CW$1-Units!$Q76,12)=0),IF(AND(Units!$L76=1,CW$1=Units!$Q76),1,Inputs!$B$15)*Inputs!$B$16*(1+Inputs!$B$11)^(CW$2-1),0)</f>
        <v>0</v>
      </c>
      <c r="CX77" s="11" t="n">
        <f aca="false">IF(AND(CX$1&gt;=Units!$Q76,MOD(CX$1-Units!$Q76,12)=0),IF(AND(Units!$L76=1,CX$1=Units!$Q76),1,Inputs!$B$15)*Inputs!$B$16*(1+Inputs!$B$11)^(CX$2-1),0)</f>
        <v>0</v>
      </c>
      <c r="CY77" s="11" t="n">
        <f aca="false">IF(AND(CY$1&gt;=Units!$Q76,MOD(CY$1-Units!$Q76,12)=0),IF(AND(Units!$L76=1,CY$1=Units!$Q76),1,Inputs!$B$15)*Inputs!$B$16*(1+Inputs!$B$11)^(CY$2-1),0)</f>
        <v>633.385040693808</v>
      </c>
      <c r="CZ77" s="11" t="n">
        <f aca="false">IF(AND(CZ$1&gt;=Units!$Q76,MOD(CZ$1-Units!$Q76,12)=0),IF(AND(Units!$L76=1,CZ$1=Units!$Q76),1,Inputs!$B$15)*Inputs!$B$16*(1+Inputs!$B$11)^(CZ$2-1),0)</f>
        <v>0</v>
      </c>
      <c r="DA77" s="11" t="n">
        <f aca="false">IF(AND(DA$1&gt;=Units!$Q76,MOD(DA$1-Units!$Q76,12)=0),IF(AND(Units!$L76=1,DA$1=Units!$Q76),1,Inputs!$B$15)*Inputs!$B$16*(1+Inputs!$B$11)^(DA$2-1),0)</f>
        <v>0</v>
      </c>
      <c r="DB77" s="11" t="n">
        <f aca="false">IF(AND(DB$1&gt;=Units!$Q76,MOD(DB$1-Units!$Q76,12)=0),IF(AND(Units!$L76=1,DB$1=Units!$Q76),1,Inputs!$B$15)*Inputs!$B$16*(1+Inputs!$B$11)^(DB$2-1),0)</f>
        <v>0</v>
      </c>
      <c r="DC77" s="11" t="n">
        <f aca="false">IF(AND(DC$1&gt;=Units!$Q76,MOD(DC$1-Units!$Q76,12)=0),IF(AND(Units!$L76=1,DC$1=Units!$Q76),1,Inputs!$B$15)*Inputs!$B$16*(1+Inputs!$B$11)^(DC$2-1),0)</f>
        <v>0</v>
      </c>
      <c r="DD77" s="11" t="n">
        <f aca="false">IF(AND(DD$1&gt;=Units!$Q76,MOD(DD$1-Units!$Q76,12)=0),IF(AND(Units!$L76=1,DD$1=Units!$Q76),1,Inputs!$B$15)*Inputs!$B$16*(1+Inputs!$B$11)^(DD$2-1),0)</f>
        <v>0</v>
      </c>
      <c r="DE77" s="11" t="n">
        <f aca="false">IF(AND(DE$1&gt;=Units!$Q76,MOD(DE$1-Units!$Q76,12)=0),IF(AND(Units!$L76=1,DE$1=Units!$Q76),1,Inputs!$B$15)*Inputs!$B$16*(1+Inputs!$B$11)^(DE$2-1),0)</f>
        <v>0</v>
      </c>
      <c r="DF77" s="11" t="n">
        <f aca="false">IF(AND(DF$1&gt;=Units!$Q76,MOD(DF$1-Units!$Q76,12)=0),IF(AND(Units!$L76=1,DF$1=Units!$Q76),1,Inputs!$B$15)*Inputs!$B$16*(1+Inputs!$B$11)^(DF$2-1),0)</f>
        <v>0</v>
      </c>
      <c r="DG77" s="11" t="n">
        <f aca="false">IF(AND(DG$1&gt;=Units!$Q76,MOD(DG$1-Units!$Q76,12)=0),IF(AND(Units!$L76=1,DG$1=Units!$Q76),1,Inputs!$B$15)*Inputs!$B$16*(1+Inputs!$B$11)^(DG$2-1),0)</f>
        <v>0</v>
      </c>
      <c r="DH77" s="11" t="n">
        <f aca="false">IF(AND(DH$1&gt;=Units!$Q76,MOD(DH$1-Units!$Q76,12)=0),IF(AND(Units!$L76=1,DH$1=Units!$Q76),1,Inputs!$B$15)*Inputs!$B$16*(1+Inputs!$B$11)^(DH$2-1),0)</f>
        <v>0</v>
      </c>
      <c r="DI77" s="11" t="n">
        <f aca="false">IF(AND(DI$1&gt;=Units!$Q76,MOD(DI$1-Units!$Q76,12)=0),IF(AND(Units!$L76=1,DI$1=Units!$Q76),1,Inputs!$B$15)*Inputs!$B$16*(1+Inputs!$B$11)^(DI$2-1),0)</f>
        <v>0</v>
      </c>
      <c r="DJ77" s="11" t="n">
        <f aca="false">IF(AND(DJ$1&gt;=Units!$Q76,MOD(DJ$1-Units!$Q76,12)=0),IF(AND(Units!$L76=1,DJ$1=Units!$Q76),1,Inputs!$B$15)*Inputs!$B$16*(1+Inputs!$B$11)^(DJ$2-1),0)</f>
        <v>0</v>
      </c>
      <c r="DK77" s="11" t="n">
        <f aca="false">IF(AND(DK$1&gt;=Units!$Q76,MOD(DK$1-Units!$Q76,12)=0),IF(AND(Units!$L76=1,DK$1=Units!$Q76),1,Inputs!$B$15)*Inputs!$B$16*(1+Inputs!$B$11)^(DK$2-1),0)</f>
        <v>652.386591914623</v>
      </c>
      <c r="DL77" s="11" t="n">
        <f aca="false">IF(AND(DL$1&gt;=Units!$Q76,MOD(DL$1-Units!$Q76,12)=0),IF(AND(Units!$L76=1,DL$1=Units!$Q76),1,Inputs!$B$15)*Inputs!$B$16*(1+Inputs!$B$11)^(DL$2-1),0)</f>
        <v>0</v>
      </c>
      <c r="DM77" s="11" t="n">
        <f aca="false">IF(AND(DM$1&gt;=Units!$Q76,MOD(DM$1-Units!$Q76,12)=0),IF(AND(Units!$L76=1,DM$1=Units!$Q76),1,Inputs!$B$15)*Inputs!$B$16*(1+Inputs!$B$11)^(DM$2-1),0)</f>
        <v>0</v>
      </c>
      <c r="DN77" s="11" t="n">
        <f aca="false">IF(AND(DN$1&gt;=Units!$Q76,MOD(DN$1-Units!$Q76,12)=0),IF(AND(Units!$L76=1,DN$1=Units!$Q76),1,Inputs!$B$15)*Inputs!$B$16*(1+Inputs!$B$11)^(DN$2-1),0)</f>
        <v>0</v>
      </c>
      <c r="DO77" s="11" t="n">
        <f aca="false">IF(AND(DO$1&gt;=Units!$Q76,MOD(DO$1-Units!$Q76,12)=0),IF(AND(Units!$L76=1,DO$1=Units!$Q76),1,Inputs!$B$15)*Inputs!$B$16*(1+Inputs!$B$11)^(DO$2-1),0)</f>
        <v>0</v>
      </c>
      <c r="DP77" s="11" t="n">
        <f aca="false">IF(AND(DP$1&gt;=Units!$Q76,MOD(DP$1-Units!$Q76,12)=0),IF(AND(Units!$L76=1,DP$1=Units!$Q76),1,Inputs!$B$15)*Inputs!$B$16*(1+Inputs!$B$11)^(DP$2-1),0)</f>
        <v>0</v>
      </c>
      <c r="DQ77" s="11" t="n">
        <f aca="false">IF(AND(DQ$1&gt;=Units!$Q76,MOD(DQ$1-Units!$Q76,12)=0),IF(AND(Units!$L76=1,DQ$1=Units!$Q76),1,Inputs!$B$15)*Inputs!$B$16*(1+Inputs!$B$11)^(DQ$2-1),0)</f>
        <v>0</v>
      </c>
      <c r="DR77" s="11" t="n">
        <f aca="false">IF(AND(DR$1&gt;=Units!$Q76,MOD(DR$1-Units!$Q76,12)=0),IF(AND(Units!$L76=1,DR$1=Units!$Q76),1,Inputs!$B$15)*Inputs!$B$16*(1+Inputs!$B$11)^(DR$2-1),0)</f>
        <v>0</v>
      </c>
      <c r="DS77" s="11" t="n">
        <f aca="false">IF(AND(DS$1&gt;=Units!$Q76,MOD(DS$1-Units!$Q76,12)=0),IF(AND(Units!$L76=1,DS$1=Units!$Q76),1,Inputs!$B$15)*Inputs!$B$16*(1+Inputs!$B$11)^(DS$2-1),0)</f>
        <v>0</v>
      </c>
      <c r="DT77" s="11" t="n">
        <f aca="false">IF(AND(DT$1&gt;=Units!$Q76,MOD(DT$1-Units!$Q76,12)=0),IF(AND(Units!$L76=1,DT$1=Units!$Q76),1,Inputs!$B$15)*Inputs!$B$16*(1+Inputs!$B$11)^(DT$2-1),0)</f>
        <v>0</v>
      </c>
      <c r="DU77" s="11" t="n">
        <f aca="false">IF(AND(DU$1&gt;=Units!$Q76,MOD(DU$1-Units!$Q76,12)=0),IF(AND(Units!$L76=1,DU$1=Units!$Q76),1,Inputs!$B$15)*Inputs!$B$16*(1+Inputs!$B$11)^(DU$2-1),0)</f>
        <v>0</v>
      </c>
      <c r="DV77" s="11" t="n">
        <f aca="false">IF(AND(DV$1&gt;=Units!$Q76,MOD(DV$1-Units!$Q76,12)=0),IF(AND(Units!$L76=1,DV$1=Units!$Q76),1,Inputs!$B$15)*Inputs!$B$16*(1+Inputs!$B$11)^(DV$2-1),0)</f>
        <v>0</v>
      </c>
      <c r="DW77" s="11" t="n">
        <f aca="false">IF(AND(DW$1&gt;=Units!$Q76,MOD(DW$1-Units!$Q76,12)=0),IF(AND(Units!$L76=1,DW$1=Units!$Q76),1,Inputs!$B$15)*Inputs!$B$16*(1+Inputs!$B$11)^(DW$2-1),0)</f>
        <v>671.958189672061</v>
      </c>
      <c r="DX77" s="11" t="n">
        <f aca="false">IF(AND(DX$1&gt;=Units!$Q76,MOD(DX$1-Units!$Q76,12)=0),IF(AND(Units!$L76=1,DX$1=Units!$Q76),1,Inputs!$B$15)*Inputs!$B$16*(1+Inputs!$B$11)^(DX$2-1),0)</f>
        <v>0</v>
      </c>
      <c r="DY77" s="11" t="n">
        <f aca="false">IF(AND(DY$1&gt;=Units!$Q76,MOD(DY$1-Units!$Q76,12)=0),IF(AND(Units!$L76=1,DY$1=Units!$Q76),1,Inputs!$B$15)*Inputs!$B$16*(1+Inputs!$B$11)^(DY$2-1),0)</f>
        <v>0</v>
      </c>
      <c r="DZ77" s="11" t="n">
        <f aca="false">IF(AND(DZ$1&gt;=Units!$Q76,MOD(DZ$1-Units!$Q76,12)=0),IF(AND(Units!$L76=1,DZ$1=Units!$Q76),1,Inputs!$B$15)*Inputs!$B$16*(1+Inputs!$B$11)^(DZ$2-1),0)</f>
        <v>0</v>
      </c>
      <c r="EA77" s="11" t="n">
        <f aca="false">IF(AND(EA$1&gt;=Units!$Q76,MOD(EA$1-Units!$Q76,12)=0),IF(AND(Units!$L76=1,EA$1=Units!$Q76),1,Inputs!$B$15)*Inputs!$B$16*(1+Inputs!$B$11)^(EA$2-1),0)</f>
        <v>0</v>
      </c>
      <c r="EB77" s="11" t="n">
        <f aca="false">IF(AND(EB$1&gt;=Units!$Q76,MOD(EB$1-Units!$Q76,12)=0),IF(AND(Units!$L76=1,EB$1=Units!$Q76),1,Inputs!$B$15)*Inputs!$B$16*(1+Inputs!$B$11)^(EB$2-1),0)</f>
        <v>0</v>
      </c>
      <c r="EC77" s="11" t="n">
        <f aca="false">IF(AND(EC$1&gt;=Units!$Q76,MOD(EC$1-Units!$Q76,12)=0),IF(AND(Units!$L76=1,EC$1=Units!$Q76),1,Inputs!$B$15)*Inputs!$B$16*(1+Inputs!$B$11)^(EC$2-1),0)</f>
        <v>0</v>
      </c>
      <c r="ED77" s="11" t="n">
        <f aca="false">IF(AND(ED$1&gt;=Units!$Q76,MOD(ED$1-Units!$Q76,12)=0),IF(AND(Units!$L76=1,ED$1=Units!$Q76),1,Inputs!$B$15)*Inputs!$B$16*(1+Inputs!$B$11)^(ED$2-1),0)</f>
        <v>0</v>
      </c>
    </row>
    <row r="78" customFormat="false" ht="15" hidden="false" customHeight="false" outlineLevel="0" collapsed="false">
      <c r="A78" s="22" t="n">
        <f aca="false">Units!A77</f>
        <v>316</v>
      </c>
      <c r="B78" s="23"/>
      <c r="C78" s="11" t="n">
        <f aca="false">IF(AND(C$1&gt;=Units!$Q77,MOD(C$1-Units!$Q77,12)=0),IF(AND(Units!$L77=1,C$1=Units!$Q77),1,Inputs!$B$15)*Inputs!$B$16*(1+Inputs!$B$11)^(C$2-1),0)</f>
        <v>500</v>
      </c>
      <c r="D78" s="11" t="n">
        <f aca="false">IF(AND(D$1&gt;=Units!$Q77,MOD(D$1-Units!$Q77,12)=0),IF(AND(Units!$L77=1,D$1=Units!$Q77),1,Inputs!$B$15)*Inputs!$B$16*(1+Inputs!$B$11)^(D$2-1),0)</f>
        <v>0</v>
      </c>
      <c r="E78" s="11" t="n">
        <f aca="false">IF(AND(E$1&gt;=Units!$Q77,MOD(E$1-Units!$Q77,12)=0),IF(AND(Units!$L77=1,E$1=Units!$Q77),1,Inputs!$B$15)*Inputs!$B$16*(1+Inputs!$B$11)^(E$2-1),0)</f>
        <v>0</v>
      </c>
      <c r="F78" s="11" t="n">
        <f aca="false">IF(AND(F$1&gt;=Units!$Q77,MOD(F$1-Units!$Q77,12)=0),IF(AND(Units!$L77=1,F$1=Units!$Q77),1,Inputs!$B$15)*Inputs!$B$16*(1+Inputs!$B$11)^(F$2-1),0)</f>
        <v>0</v>
      </c>
      <c r="G78" s="11" t="n">
        <f aca="false">IF(AND(G$1&gt;=Units!$Q77,MOD(G$1-Units!$Q77,12)=0),IF(AND(Units!$L77=1,G$1=Units!$Q77),1,Inputs!$B$15)*Inputs!$B$16*(1+Inputs!$B$11)^(G$2-1),0)</f>
        <v>0</v>
      </c>
      <c r="H78" s="11" t="n">
        <f aca="false">IF(AND(H$1&gt;=Units!$Q77,MOD(H$1-Units!$Q77,12)=0),IF(AND(Units!$L77=1,H$1=Units!$Q77),1,Inputs!$B$15)*Inputs!$B$16*(1+Inputs!$B$11)^(H$2-1),0)</f>
        <v>0</v>
      </c>
      <c r="I78" s="11" t="n">
        <f aca="false">IF(AND(I$1&gt;=Units!$Q77,MOD(I$1-Units!$Q77,12)=0),IF(AND(Units!$L77=1,I$1=Units!$Q77),1,Inputs!$B$15)*Inputs!$B$16*(1+Inputs!$B$11)^(I$2-1),0)</f>
        <v>0</v>
      </c>
      <c r="J78" s="11" t="n">
        <f aca="false">IF(AND(J$1&gt;=Units!$Q77,MOD(J$1-Units!$Q77,12)=0),IF(AND(Units!$L77=1,J$1=Units!$Q77),1,Inputs!$B$15)*Inputs!$B$16*(1+Inputs!$B$11)^(J$2-1),0)</f>
        <v>0</v>
      </c>
      <c r="K78" s="11" t="n">
        <f aca="false">IF(AND(K$1&gt;=Units!$Q77,MOD(K$1-Units!$Q77,12)=0),IF(AND(Units!$L77=1,K$1=Units!$Q77),1,Inputs!$B$15)*Inputs!$B$16*(1+Inputs!$B$11)^(K$2-1),0)</f>
        <v>0</v>
      </c>
      <c r="L78" s="11" t="n">
        <f aca="false">IF(AND(L$1&gt;=Units!$Q77,MOD(L$1-Units!$Q77,12)=0),IF(AND(Units!$L77=1,L$1=Units!$Q77),1,Inputs!$B$15)*Inputs!$B$16*(1+Inputs!$B$11)^(L$2-1),0)</f>
        <v>0</v>
      </c>
      <c r="M78" s="11" t="n">
        <f aca="false">IF(AND(M$1&gt;=Units!$Q77,MOD(M$1-Units!$Q77,12)=0),IF(AND(Units!$L77=1,M$1=Units!$Q77),1,Inputs!$B$15)*Inputs!$B$16*(1+Inputs!$B$11)^(M$2-1),0)</f>
        <v>0</v>
      </c>
      <c r="N78" s="11" t="n">
        <f aca="false">IF(AND(N$1&gt;=Units!$Q77,MOD(N$1-Units!$Q77,12)=0),IF(AND(Units!$L77=1,N$1=Units!$Q77),1,Inputs!$B$15)*Inputs!$B$16*(1+Inputs!$B$11)^(N$2-1),0)</f>
        <v>0</v>
      </c>
      <c r="O78" s="11" t="n">
        <f aca="false">IF(AND(O$1&gt;=Units!$Q77,MOD(O$1-Units!$Q77,12)=0),IF(AND(Units!$L77=1,O$1=Units!$Q77),1,Inputs!$B$15)*Inputs!$B$16*(1+Inputs!$B$11)^(O$2-1),0)</f>
        <v>515</v>
      </c>
      <c r="P78" s="11" t="n">
        <f aca="false">IF(AND(P$1&gt;=Units!$Q77,MOD(P$1-Units!$Q77,12)=0),IF(AND(Units!$L77=1,P$1=Units!$Q77),1,Inputs!$B$15)*Inputs!$B$16*(1+Inputs!$B$11)^(P$2-1),0)</f>
        <v>0</v>
      </c>
      <c r="Q78" s="11" t="n">
        <f aca="false">IF(AND(Q$1&gt;=Units!$Q77,MOD(Q$1-Units!$Q77,12)=0),IF(AND(Units!$L77=1,Q$1=Units!$Q77),1,Inputs!$B$15)*Inputs!$B$16*(1+Inputs!$B$11)^(Q$2-1),0)</f>
        <v>0</v>
      </c>
      <c r="R78" s="11" t="n">
        <f aca="false">IF(AND(R$1&gt;=Units!$Q77,MOD(R$1-Units!$Q77,12)=0),IF(AND(Units!$L77=1,R$1=Units!$Q77),1,Inputs!$B$15)*Inputs!$B$16*(1+Inputs!$B$11)^(R$2-1),0)</f>
        <v>0</v>
      </c>
      <c r="S78" s="11" t="n">
        <f aca="false">IF(AND(S$1&gt;=Units!$Q77,MOD(S$1-Units!$Q77,12)=0),IF(AND(Units!$L77=1,S$1=Units!$Q77),1,Inputs!$B$15)*Inputs!$B$16*(1+Inputs!$B$11)^(S$2-1),0)</f>
        <v>0</v>
      </c>
      <c r="T78" s="11" t="n">
        <f aca="false">IF(AND(T$1&gt;=Units!$Q77,MOD(T$1-Units!$Q77,12)=0),IF(AND(Units!$L77=1,T$1=Units!$Q77),1,Inputs!$B$15)*Inputs!$B$16*(1+Inputs!$B$11)^(T$2-1),0)</f>
        <v>0</v>
      </c>
      <c r="U78" s="11" t="n">
        <f aca="false">IF(AND(U$1&gt;=Units!$Q77,MOD(U$1-Units!$Q77,12)=0),IF(AND(Units!$L77=1,U$1=Units!$Q77),1,Inputs!$B$15)*Inputs!$B$16*(1+Inputs!$B$11)^(U$2-1),0)</f>
        <v>0</v>
      </c>
      <c r="V78" s="11" t="n">
        <f aca="false">IF(AND(V$1&gt;=Units!$Q77,MOD(V$1-Units!$Q77,12)=0),IF(AND(Units!$L77=1,V$1=Units!$Q77),1,Inputs!$B$15)*Inputs!$B$16*(1+Inputs!$B$11)^(V$2-1),0)</f>
        <v>0</v>
      </c>
      <c r="W78" s="11" t="n">
        <f aca="false">IF(AND(W$1&gt;=Units!$Q77,MOD(W$1-Units!$Q77,12)=0),IF(AND(Units!$L77=1,W$1=Units!$Q77),1,Inputs!$B$15)*Inputs!$B$16*(1+Inputs!$B$11)^(W$2-1),0)</f>
        <v>0</v>
      </c>
      <c r="X78" s="11" t="n">
        <f aca="false">IF(AND(X$1&gt;=Units!$Q77,MOD(X$1-Units!$Q77,12)=0),IF(AND(Units!$L77=1,X$1=Units!$Q77),1,Inputs!$B$15)*Inputs!$B$16*(1+Inputs!$B$11)^(X$2-1),0)</f>
        <v>0</v>
      </c>
      <c r="Y78" s="11" t="n">
        <f aca="false">IF(AND(Y$1&gt;=Units!$Q77,MOD(Y$1-Units!$Q77,12)=0),IF(AND(Units!$L77=1,Y$1=Units!$Q77),1,Inputs!$B$15)*Inputs!$B$16*(1+Inputs!$B$11)^(Y$2-1),0)</f>
        <v>0</v>
      </c>
      <c r="Z78" s="11" t="n">
        <f aca="false">IF(AND(Z$1&gt;=Units!$Q77,MOD(Z$1-Units!$Q77,12)=0),IF(AND(Units!$L77=1,Z$1=Units!$Q77),1,Inputs!$B$15)*Inputs!$B$16*(1+Inputs!$B$11)^(Z$2-1),0)</f>
        <v>0</v>
      </c>
      <c r="AA78" s="11" t="n">
        <f aca="false">IF(AND(AA$1&gt;=Units!$Q77,MOD(AA$1-Units!$Q77,12)=0),IF(AND(Units!$L77=1,AA$1=Units!$Q77),1,Inputs!$B$15)*Inputs!$B$16*(1+Inputs!$B$11)^(AA$2-1),0)</f>
        <v>530.45</v>
      </c>
      <c r="AB78" s="11" t="n">
        <f aca="false">IF(AND(AB$1&gt;=Units!$Q77,MOD(AB$1-Units!$Q77,12)=0),IF(AND(Units!$L77=1,AB$1=Units!$Q77),1,Inputs!$B$15)*Inputs!$B$16*(1+Inputs!$B$11)^(AB$2-1),0)</f>
        <v>0</v>
      </c>
      <c r="AC78" s="11" t="n">
        <f aca="false">IF(AND(AC$1&gt;=Units!$Q77,MOD(AC$1-Units!$Q77,12)=0),IF(AND(Units!$L77=1,AC$1=Units!$Q77),1,Inputs!$B$15)*Inputs!$B$16*(1+Inputs!$B$11)^(AC$2-1),0)</f>
        <v>0</v>
      </c>
      <c r="AD78" s="11" t="n">
        <f aca="false">IF(AND(AD$1&gt;=Units!$Q77,MOD(AD$1-Units!$Q77,12)=0),IF(AND(Units!$L77=1,AD$1=Units!$Q77),1,Inputs!$B$15)*Inputs!$B$16*(1+Inputs!$B$11)^(AD$2-1),0)</f>
        <v>0</v>
      </c>
      <c r="AE78" s="11" t="n">
        <f aca="false">IF(AND(AE$1&gt;=Units!$Q77,MOD(AE$1-Units!$Q77,12)=0),IF(AND(Units!$L77=1,AE$1=Units!$Q77),1,Inputs!$B$15)*Inputs!$B$16*(1+Inputs!$B$11)^(AE$2-1),0)</f>
        <v>0</v>
      </c>
      <c r="AF78" s="11" t="n">
        <f aca="false">IF(AND(AF$1&gt;=Units!$Q77,MOD(AF$1-Units!$Q77,12)=0),IF(AND(Units!$L77=1,AF$1=Units!$Q77),1,Inputs!$B$15)*Inputs!$B$16*(1+Inputs!$B$11)^(AF$2-1),0)</f>
        <v>0</v>
      </c>
      <c r="AG78" s="11" t="n">
        <f aca="false">IF(AND(AG$1&gt;=Units!$Q77,MOD(AG$1-Units!$Q77,12)=0),IF(AND(Units!$L77=1,AG$1=Units!$Q77),1,Inputs!$B$15)*Inputs!$B$16*(1+Inputs!$B$11)^(AG$2-1),0)</f>
        <v>0</v>
      </c>
      <c r="AH78" s="11" t="n">
        <f aca="false">IF(AND(AH$1&gt;=Units!$Q77,MOD(AH$1-Units!$Q77,12)=0),IF(AND(Units!$L77=1,AH$1=Units!$Q77),1,Inputs!$B$15)*Inputs!$B$16*(1+Inputs!$B$11)^(AH$2-1),0)</f>
        <v>0</v>
      </c>
      <c r="AI78" s="11" t="n">
        <f aca="false">IF(AND(AI$1&gt;=Units!$Q77,MOD(AI$1-Units!$Q77,12)=0),IF(AND(Units!$L77=1,AI$1=Units!$Q77),1,Inputs!$B$15)*Inputs!$B$16*(1+Inputs!$B$11)^(AI$2-1),0)</f>
        <v>0</v>
      </c>
      <c r="AJ78" s="11" t="n">
        <f aca="false">IF(AND(AJ$1&gt;=Units!$Q77,MOD(AJ$1-Units!$Q77,12)=0),IF(AND(Units!$L77=1,AJ$1=Units!$Q77),1,Inputs!$B$15)*Inputs!$B$16*(1+Inputs!$B$11)^(AJ$2-1),0)</f>
        <v>0</v>
      </c>
      <c r="AK78" s="11" t="n">
        <f aca="false">IF(AND(AK$1&gt;=Units!$Q77,MOD(AK$1-Units!$Q77,12)=0),IF(AND(Units!$L77=1,AK$1=Units!$Q77),1,Inputs!$B$15)*Inputs!$B$16*(1+Inputs!$B$11)^(AK$2-1),0)</f>
        <v>0</v>
      </c>
      <c r="AL78" s="11" t="n">
        <f aca="false">IF(AND(AL$1&gt;=Units!$Q77,MOD(AL$1-Units!$Q77,12)=0),IF(AND(Units!$L77=1,AL$1=Units!$Q77),1,Inputs!$B$15)*Inputs!$B$16*(1+Inputs!$B$11)^(AL$2-1),0)</f>
        <v>0</v>
      </c>
      <c r="AM78" s="11" t="n">
        <f aca="false">IF(AND(AM$1&gt;=Units!$Q77,MOD(AM$1-Units!$Q77,12)=0),IF(AND(Units!$L77=1,AM$1=Units!$Q77),1,Inputs!$B$15)*Inputs!$B$16*(1+Inputs!$B$11)^(AM$2-1),0)</f>
        <v>546.3635</v>
      </c>
      <c r="AN78" s="11" t="n">
        <f aca="false">IF(AND(AN$1&gt;=Units!$Q77,MOD(AN$1-Units!$Q77,12)=0),IF(AND(Units!$L77=1,AN$1=Units!$Q77),1,Inputs!$B$15)*Inputs!$B$16*(1+Inputs!$B$11)^(AN$2-1),0)</f>
        <v>0</v>
      </c>
      <c r="AO78" s="11" t="n">
        <f aca="false">IF(AND(AO$1&gt;=Units!$Q77,MOD(AO$1-Units!$Q77,12)=0),IF(AND(Units!$L77=1,AO$1=Units!$Q77),1,Inputs!$B$15)*Inputs!$B$16*(1+Inputs!$B$11)^(AO$2-1),0)</f>
        <v>0</v>
      </c>
      <c r="AP78" s="11" t="n">
        <f aca="false">IF(AND(AP$1&gt;=Units!$Q77,MOD(AP$1-Units!$Q77,12)=0),IF(AND(Units!$L77=1,AP$1=Units!$Q77),1,Inputs!$B$15)*Inputs!$B$16*(1+Inputs!$B$11)^(AP$2-1),0)</f>
        <v>0</v>
      </c>
      <c r="AQ78" s="11" t="n">
        <f aca="false">IF(AND(AQ$1&gt;=Units!$Q77,MOD(AQ$1-Units!$Q77,12)=0),IF(AND(Units!$L77=1,AQ$1=Units!$Q77),1,Inputs!$B$15)*Inputs!$B$16*(1+Inputs!$B$11)^(AQ$2-1),0)</f>
        <v>0</v>
      </c>
      <c r="AR78" s="11" t="n">
        <f aca="false">IF(AND(AR$1&gt;=Units!$Q77,MOD(AR$1-Units!$Q77,12)=0),IF(AND(Units!$L77=1,AR$1=Units!$Q77),1,Inputs!$B$15)*Inputs!$B$16*(1+Inputs!$B$11)^(AR$2-1),0)</f>
        <v>0</v>
      </c>
      <c r="AS78" s="11" t="n">
        <f aca="false">IF(AND(AS$1&gt;=Units!$Q77,MOD(AS$1-Units!$Q77,12)=0),IF(AND(Units!$L77=1,AS$1=Units!$Q77),1,Inputs!$B$15)*Inputs!$B$16*(1+Inputs!$B$11)^(AS$2-1),0)</f>
        <v>0</v>
      </c>
      <c r="AT78" s="11" t="n">
        <f aca="false">IF(AND(AT$1&gt;=Units!$Q77,MOD(AT$1-Units!$Q77,12)=0),IF(AND(Units!$L77=1,AT$1=Units!$Q77),1,Inputs!$B$15)*Inputs!$B$16*(1+Inputs!$B$11)^(AT$2-1),0)</f>
        <v>0</v>
      </c>
      <c r="AU78" s="11" t="n">
        <f aca="false">IF(AND(AU$1&gt;=Units!$Q77,MOD(AU$1-Units!$Q77,12)=0),IF(AND(Units!$L77=1,AU$1=Units!$Q77),1,Inputs!$B$15)*Inputs!$B$16*(1+Inputs!$B$11)^(AU$2-1),0)</f>
        <v>0</v>
      </c>
      <c r="AV78" s="11" t="n">
        <f aca="false">IF(AND(AV$1&gt;=Units!$Q77,MOD(AV$1-Units!$Q77,12)=0),IF(AND(Units!$L77=1,AV$1=Units!$Q77),1,Inputs!$B$15)*Inputs!$B$16*(1+Inputs!$B$11)^(AV$2-1),0)</f>
        <v>0</v>
      </c>
      <c r="AW78" s="11" t="n">
        <f aca="false">IF(AND(AW$1&gt;=Units!$Q77,MOD(AW$1-Units!$Q77,12)=0),IF(AND(Units!$L77=1,AW$1=Units!$Q77),1,Inputs!$B$15)*Inputs!$B$16*(1+Inputs!$B$11)^(AW$2-1),0)</f>
        <v>0</v>
      </c>
      <c r="AX78" s="11" t="n">
        <f aca="false">IF(AND(AX$1&gt;=Units!$Q77,MOD(AX$1-Units!$Q77,12)=0),IF(AND(Units!$L77=1,AX$1=Units!$Q77),1,Inputs!$B$15)*Inputs!$B$16*(1+Inputs!$B$11)^(AX$2-1),0)</f>
        <v>0</v>
      </c>
      <c r="AY78" s="11" t="n">
        <f aca="false">IF(AND(AY$1&gt;=Units!$Q77,MOD(AY$1-Units!$Q77,12)=0),IF(AND(Units!$L77=1,AY$1=Units!$Q77),1,Inputs!$B$15)*Inputs!$B$16*(1+Inputs!$B$11)^(AY$2-1),0)</f>
        <v>562.754405</v>
      </c>
      <c r="AZ78" s="11" t="n">
        <f aca="false">IF(AND(AZ$1&gt;=Units!$Q77,MOD(AZ$1-Units!$Q77,12)=0),IF(AND(Units!$L77=1,AZ$1=Units!$Q77),1,Inputs!$B$15)*Inputs!$B$16*(1+Inputs!$B$11)^(AZ$2-1),0)</f>
        <v>0</v>
      </c>
      <c r="BA78" s="11" t="n">
        <f aca="false">IF(AND(BA$1&gt;=Units!$Q77,MOD(BA$1-Units!$Q77,12)=0),IF(AND(Units!$L77=1,BA$1=Units!$Q77),1,Inputs!$B$15)*Inputs!$B$16*(1+Inputs!$B$11)^(BA$2-1),0)</f>
        <v>0</v>
      </c>
      <c r="BB78" s="11" t="n">
        <f aca="false">IF(AND(BB$1&gt;=Units!$Q77,MOD(BB$1-Units!$Q77,12)=0),IF(AND(Units!$L77=1,BB$1=Units!$Q77),1,Inputs!$B$15)*Inputs!$B$16*(1+Inputs!$B$11)^(BB$2-1),0)</f>
        <v>0</v>
      </c>
      <c r="BC78" s="11" t="n">
        <f aca="false">IF(AND(BC$1&gt;=Units!$Q77,MOD(BC$1-Units!$Q77,12)=0),IF(AND(Units!$L77=1,BC$1=Units!$Q77),1,Inputs!$B$15)*Inputs!$B$16*(1+Inputs!$B$11)^(BC$2-1),0)</f>
        <v>0</v>
      </c>
      <c r="BD78" s="11" t="n">
        <f aca="false">IF(AND(BD$1&gt;=Units!$Q77,MOD(BD$1-Units!$Q77,12)=0),IF(AND(Units!$L77=1,BD$1=Units!$Q77),1,Inputs!$B$15)*Inputs!$B$16*(1+Inputs!$B$11)^(BD$2-1),0)</f>
        <v>0</v>
      </c>
      <c r="BE78" s="11" t="n">
        <f aca="false">IF(AND(BE$1&gt;=Units!$Q77,MOD(BE$1-Units!$Q77,12)=0),IF(AND(Units!$L77=1,BE$1=Units!$Q77),1,Inputs!$B$15)*Inputs!$B$16*(1+Inputs!$B$11)^(BE$2-1),0)</f>
        <v>0</v>
      </c>
      <c r="BF78" s="11" t="n">
        <f aca="false">IF(AND(BF$1&gt;=Units!$Q77,MOD(BF$1-Units!$Q77,12)=0),IF(AND(Units!$L77=1,BF$1=Units!$Q77),1,Inputs!$B$15)*Inputs!$B$16*(1+Inputs!$B$11)^(BF$2-1),0)</f>
        <v>0</v>
      </c>
      <c r="BG78" s="11" t="n">
        <f aca="false">IF(AND(BG$1&gt;=Units!$Q77,MOD(BG$1-Units!$Q77,12)=0),IF(AND(Units!$L77=1,BG$1=Units!$Q77),1,Inputs!$B$15)*Inputs!$B$16*(1+Inputs!$B$11)^(BG$2-1),0)</f>
        <v>0</v>
      </c>
      <c r="BH78" s="11" t="n">
        <f aca="false">IF(AND(BH$1&gt;=Units!$Q77,MOD(BH$1-Units!$Q77,12)=0),IF(AND(Units!$L77=1,BH$1=Units!$Q77),1,Inputs!$B$15)*Inputs!$B$16*(1+Inputs!$B$11)^(BH$2-1),0)</f>
        <v>0</v>
      </c>
      <c r="BI78" s="11" t="n">
        <f aca="false">IF(AND(BI$1&gt;=Units!$Q77,MOD(BI$1-Units!$Q77,12)=0),IF(AND(Units!$L77=1,BI$1=Units!$Q77),1,Inputs!$B$15)*Inputs!$B$16*(1+Inputs!$B$11)^(BI$2-1),0)</f>
        <v>0</v>
      </c>
      <c r="BJ78" s="11" t="n">
        <f aca="false">IF(AND(BJ$1&gt;=Units!$Q77,MOD(BJ$1-Units!$Q77,12)=0),IF(AND(Units!$L77=1,BJ$1=Units!$Q77),1,Inputs!$B$15)*Inputs!$B$16*(1+Inputs!$B$11)^(BJ$2-1),0)</f>
        <v>0</v>
      </c>
      <c r="BK78" s="11" t="n">
        <f aca="false">IF(AND(BK$1&gt;=Units!$Q77,MOD(BK$1-Units!$Q77,12)=0),IF(AND(Units!$L77=1,BK$1=Units!$Q77),1,Inputs!$B$15)*Inputs!$B$16*(1+Inputs!$B$11)^(BK$2-1),0)</f>
        <v>579.63703715</v>
      </c>
      <c r="BL78" s="11" t="n">
        <f aca="false">IF(AND(BL$1&gt;=Units!$Q77,MOD(BL$1-Units!$Q77,12)=0),IF(AND(Units!$L77=1,BL$1=Units!$Q77),1,Inputs!$B$15)*Inputs!$B$16*(1+Inputs!$B$11)^(BL$2-1),0)</f>
        <v>0</v>
      </c>
      <c r="BM78" s="11" t="n">
        <f aca="false">IF(AND(BM$1&gt;=Units!$Q77,MOD(BM$1-Units!$Q77,12)=0),IF(AND(Units!$L77=1,BM$1=Units!$Q77),1,Inputs!$B$15)*Inputs!$B$16*(1+Inputs!$B$11)^(BM$2-1),0)</f>
        <v>0</v>
      </c>
      <c r="BN78" s="11" t="n">
        <f aca="false">IF(AND(BN$1&gt;=Units!$Q77,MOD(BN$1-Units!$Q77,12)=0),IF(AND(Units!$L77=1,BN$1=Units!$Q77),1,Inputs!$B$15)*Inputs!$B$16*(1+Inputs!$B$11)^(BN$2-1),0)</f>
        <v>0</v>
      </c>
      <c r="BO78" s="11" t="n">
        <f aca="false">IF(AND(BO$1&gt;=Units!$Q77,MOD(BO$1-Units!$Q77,12)=0),IF(AND(Units!$L77=1,BO$1=Units!$Q77),1,Inputs!$B$15)*Inputs!$B$16*(1+Inputs!$B$11)^(BO$2-1),0)</f>
        <v>0</v>
      </c>
      <c r="BP78" s="11" t="n">
        <f aca="false">IF(AND(BP$1&gt;=Units!$Q77,MOD(BP$1-Units!$Q77,12)=0),IF(AND(Units!$L77=1,BP$1=Units!$Q77),1,Inputs!$B$15)*Inputs!$B$16*(1+Inputs!$B$11)^(BP$2-1),0)</f>
        <v>0</v>
      </c>
      <c r="BQ78" s="11" t="n">
        <f aca="false">IF(AND(BQ$1&gt;=Units!$Q77,MOD(BQ$1-Units!$Q77,12)=0),IF(AND(Units!$L77=1,BQ$1=Units!$Q77),1,Inputs!$B$15)*Inputs!$B$16*(1+Inputs!$B$11)^(BQ$2-1),0)</f>
        <v>0</v>
      </c>
      <c r="BR78" s="11" t="n">
        <f aca="false">IF(AND(BR$1&gt;=Units!$Q77,MOD(BR$1-Units!$Q77,12)=0),IF(AND(Units!$L77=1,BR$1=Units!$Q77),1,Inputs!$B$15)*Inputs!$B$16*(1+Inputs!$B$11)^(BR$2-1),0)</f>
        <v>0</v>
      </c>
      <c r="BS78" s="11" t="n">
        <f aca="false">IF(AND(BS$1&gt;=Units!$Q77,MOD(BS$1-Units!$Q77,12)=0),IF(AND(Units!$L77=1,BS$1=Units!$Q77),1,Inputs!$B$15)*Inputs!$B$16*(1+Inputs!$B$11)^(BS$2-1),0)</f>
        <v>0</v>
      </c>
      <c r="BT78" s="11" t="n">
        <f aca="false">IF(AND(BT$1&gt;=Units!$Q77,MOD(BT$1-Units!$Q77,12)=0),IF(AND(Units!$L77=1,BT$1=Units!$Q77),1,Inputs!$B$15)*Inputs!$B$16*(1+Inputs!$B$11)^(BT$2-1),0)</f>
        <v>0</v>
      </c>
      <c r="BU78" s="11" t="n">
        <f aca="false">IF(AND(BU$1&gt;=Units!$Q77,MOD(BU$1-Units!$Q77,12)=0),IF(AND(Units!$L77=1,BU$1=Units!$Q77),1,Inputs!$B$15)*Inputs!$B$16*(1+Inputs!$B$11)^(BU$2-1),0)</f>
        <v>0</v>
      </c>
      <c r="BV78" s="11" t="n">
        <f aca="false">IF(AND(BV$1&gt;=Units!$Q77,MOD(BV$1-Units!$Q77,12)=0),IF(AND(Units!$L77=1,BV$1=Units!$Q77),1,Inputs!$B$15)*Inputs!$B$16*(1+Inputs!$B$11)^(BV$2-1),0)</f>
        <v>0</v>
      </c>
      <c r="BW78" s="11" t="n">
        <f aca="false">IF(AND(BW$1&gt;=Units!$Q77,MOD(BW$1-Units!$Q77,12)=0),IF(AND(Units!$L77=1,BW$1=Units!$Q77),1,Inputs!$B$15)*Inputs!$B$16*(1+Inputs!$B$11)^(BW$2-1),0)</f>
        <v>597.0261482645</v>
      </c>
      <c r="BX78" s="11" t="n">
        <f aca="false">IF(AND(BX$1&gt;=Units!$Q77,MOD(BX$1-Units!$Q77,12)=0),IF(AND(Units!$L77=1,BX$1=Units!$Q77),1,Inputs!$B$15)*Inputs!$B$16*(1+Inputs!$B$11)^(BX$2-1),0)</f>
        <v>0</v>
      </c>
      <c r="BY78" s="11" t="n">
        <f aca="false">IF(AND(BY$1&gt;=Units!$Q77,MOD(BY$1-Units!$Q77,12)=0),IF(AND(Units!$L77=1,BY$1=Units!$Q77),1,Inputs!$B$15)*Inputs!$B$16*(1+Inputs!$B$11)^(BY$2-1),0)</f>
        <v>0</v>
      </c>
      <c r="BZ78" s="11" t="n">
        <f aca="false">IF(AND(BZ$1&gt;=Units!$Q77,MOD(BZ$1-Units!$Q77,12)=0),IF(AND(Units!$L77=1,BZ$1=Units!$Q77),1,Inputs!$B$15)*Inputs!$B$16*(1+Inputs!$B$11)^(BZ$2-1),0)</f>
        <v>0</v>
      </c>
      <c r="CA78" s="11" t="n">
        <f aca="false">IF(AND(CA$1&gt;=Units!$Q77,MOD(CA$1-Units!$Q77,12)=0),IF(AND(Units!$L77=1,CA$1=Units!$Q77),1,Inputs!$B$15)*Inputs!$B$16*(1+Inputs!$B$11)^(CA$2-1),0)</f>
        <v>0</v>
      </c>
      <c r="CB78" s="11" t="n">
        <f aca="false">IF(AND(CB$1&gt;=Units!$Q77,MOD(CB$1-Units!$Q77,12)=0),IF(AND(Units!$L77=1,CB$1=Units!$Q77),1,Inputs!$B$15)*Inputs!$B$16*(1+Inputs!$B$11)^(CB$2-1),0)</f>
        <v>0</v>
      </c>
      <c r="CC78" s="11" t="n">
        <f aca="false">IF(AND(CC$1&gt;=Units!$Q77,MOD(CC$1-Units!$Q77,12)=0),IF(AND(Units!$L77=1,CC$1=Units!$Q77),1,Inputs!$B$15)*Inputs!$B$16*(1+Inputs!$B$11)^(CC$2-1),0)</f>
        <v>0</v>
      </c>
      <c r="CD78" s="11" t="n">
        <f aca="false">IF(AND(CD$1&gt;=Units!$Q77,MOD(CD$1-Units!$Q77,12)=0),IF(AND(Units!$L77=1,CD$1=Units!$Q77),1,Inputs!$B$15)*Inputs!$B$16*(1+Inputs!$B$11)^(CD$2-1),0)</f>
        <v>0</v>
      </c>
      <c r="CE78" s="11" t="n">
        <f aca="false">IF(AND(CE$1&gt;=Units!$Q77,MOD(CE$1-Units!$Q77,12)=0),IF(AND(Units!$L77=1,CE$1=Units!$Q77),1,Inputs!$B$15)*Inputs!$B$16*(1+Inputs!$B$11)^(CE$2-1),0)</f>
        <v>0</v>
      </c>
      <c r="CF78" s="11" t="n">
        <f aca="false">IF(AND(CF$1&gt;=Units!$Q77,MOD(CF$1-Units!$Q77,12)=0),IF(AND(Units!$L77=1,CF$1=Units!$Q77),1,Inputs!$B$15)*Inputs!$B$16*(1+Inputs!$B$11)^(CF$2-1),0)</f>
        <v>0</v>
      </c>
      <c r="CG78" s="11" t="n">
        <f aca="false">IF(AND(CG$1&gt;=Units!$Q77,MOD(CG$1-Units!$Q77,12)=0),IF(AND(Units!$L77=1,CG$1=Units!$Q77),1,Inputs!$B$15)*Inputs!$B$16*(1+Inputs!$B$11)^(CG$2-1),0)</f>
        <v>0</v>
      </c>
      <c r="CH78" s="11" t="n">
        <f aca="false">IF(AND(CH$1&gt;=Units!$Q77,MOD(CH$1-Units!$Q77,12)=0),IF(AND(Units!$L77=1,CH$1=Units!$Q77),1,Inputs!$B$15)*Inputs!$B$16*(1+Inputs!$B$11)^(CH$2-1),0)</f>
        <v>0</v>
      </c>
      <c r="CI78" s="11" t="n">
        <f aca="false">IF(AND(CI$1&gt;=Units!$Q77,MOD(CI$1-Units!$Q77,12)=0),IF(AND(Units!$L77=1,CI$1=Units!$Q77),1,Inputs!$B$15)*Inputs!$B$16*(1+Inputs!$B$11)^(CI$2-1),0)</f>
        <v>614.936932712435</v>
      </c>
      <c r="CJ78" s="11" t="n">
        <f aca="false">IF(AND(CJ$1&gt;=Units!$Q77,MOD(CJ$1-Units!$Q77,12)=0),IF(AND(Units!$L77=1,CJ$1=Units!$Q77),1,Inputs!$B$15)*Inputs!$B$16*(1+Inputs!$B$11)^(CJ$2-1),0)</f>
        <v>0</v>
      </c>
      <c r="CK78" s="11" t="n">
        <f aca="false">IF(AND(CK$1&gt;=Units!$Q77,MOD(CK$1-Units!$Q77,12)=0),IF(AND(Units!$L77=1,CK$1=Units!$Q77),1,Inputs!$B$15)*Inputs!$B$16*(1+Inputs!$B$11)^(CK$2-1),0)</f>
        <v>0</v>
      </c>
      <c r="CL78" s="11" t="n">
        <f aca="false">IF(AND(CL$1&gt;=Units!$Q77,MOD(CL$1-Units!$Q77,12)=0),IF(AND(Units!$L77=1,CL$1=Units!$Q77),1,Inputs!$B$15)*Inputs!$B$16*(1+Inputs!$B$11)^(CL$2-1),0)</f>
        <v>0</v>
      </c>
      <c r="CM78" s="11" t="n">
        <f aca="false">IF(AND(CM$1&gt;=Units!$Q77,MOD(CM$1-Units!$Q77,12)=0),IF(AND(Units!$L77=1,CM$1=Units!$Q77),1,Inputs!$B$15)*Inputs!$B$16*(1+Inputs!$B$11)^(CM$2-1),0)</f>
        <v>0</v>
      </c>
      <c r="CN78" s="11" t="n">
        <f aca="false">IF(AND(CN$1&gt;=Units!$Q77,MOD(CN$1-Units!$Q77,12)=0),IF(AND(Units!$L77=1,CN$1=Units!$Q77),1,Inputs!$B$15)*Inputs!$B$16*(1+Inputs!$B$11)^(CN$2-1),0)</f>
        <v>0</v>
      </c>
      <c r="CO78" s="11" t="n">
        <f aca="false">IF(AND(CO$1&gt;=Units!$Q77,MOD(CO$1-Units!$Q77,12)=0),IF(AND(Units!$L77=1,CO$1=Units!$Q77),1,Inputs!$B$15)*Inputs!$B$16*(1+Inputs!$B$11)^(CO$2-1),0)</f>
        <v>0</v>
      </c>
      <c r="CP78" s="11" t="n">
        <f aca="false">IF(AND(CP$1&gt;=Units!$Q77,MOD(CP$1-Units!$Q77,12)=0),IF(AND(Units!$L77=1,CP$1=Units!$Q77),1,Inputs!$B$15)*Inputs!$B$16*(1+Inputs!$B$11)^(CP$2-1),0)</f>
        <v>0</v>
      </c>
      <c r="CQ78" s="11" t="n">
        <f aca="false">IF(AND(CQ$1&gt;=Units!$Q77,MOD(CQ$1-Units!$Q77,12)=0),IF(AND(Units!$L77=1,CQ$1=Units!$Q77),1,Inputs!$B$15)*Inputs!$B$16*(1+Inputs!$B$11)^(CQ$2-1),0)</f>
        <v>0</v>
      </c>
      <c r="CR78" s="11" t="n">
        <f aca="false">IF(AND(CR$1&gt;=Units!$Q77,MOD(CR$1-Units!$Q77,12)=0),IF(AND(Units!$L77=1,CR$1=Units!$Q77),1,Inputs!$B$15)*Inputs!$B$16*(1+Inputs!$B$11)^(CR$2-1),0)</f>
        <v>0</v>
      </c>
      <c r="CS78" s="11" t="n">
        <f aca="false">IF(AND(CS$1&gt;=Units!$Q77,MOD(CS$1-Units!$Q77,12)=0),IF(AND(Units!$L77=1,CS$1=Units!$Q77),1,Inputs!$B$15)*Inputs!$B$16*(1+Inputs!$B$11)^(CS$2-1),0)</f>
        <v>0</v>
      </c>
      <c r="CT78" s="11" t="n">
        <f aca="false">IF(AND(CT$1&gt;=Units!$Q77,MOD(CT$1-Units!$Q77,12)=0),IF(AND(Units!$L77=1,CT$1=Units!$Q77),1,Inputs!$B$15)*Inputs!$B$16*(1+Inputs!$B$11)^(CT$2-1),0)</f>
        <v>0</v>
      </c>
      <c r="CU78" s="11" t="n">
        <f aca="false">IF(AND(CU$1&gt;=Units!$Q77,MOD(CU$1-Units!$Q77,12)=0),IF(AND(Units!$L77=1,CU$1=Units!$Q77),1,Inputs!$B$15)*Inputs!$B$16*(1+Inputs!$B$11)^(CU$2-1),0)</f>
        <v>633.385040693808</v>
      </c>
      <c r="CV78" s="11" t="n">
        <f aca="false">IF(AND(CV$1&gt;=Units!$Q77,MOD(CV$1-Units!$Q77,12)=0),IF(AND(Units!$L77=1,CV$1=Units!$Q77),1,Inputs!$B$15)*Inputs!$B$16*(1+Inputs!$B$11)^(CV$2-1),0)</f>
        <v>0</v>
      </c>
      <c r="CW78" s="11" t="n">
        <f aca="false">IF(AND(CW$1&gt;=Units!$Q77,MOD(CW$1-Units!$Q77,12)=0),IF(AND(Units!$L77=1,CW$1=Units!$Q77),1,Inputs!$B$15)*Inputs!$B$16*(1+Inputs!$B$11)^(CW$2-1),0)</f>
        <v>0</v>
      </c>
      <c r="CX78" s="11" t="n">
        <f aca="false">IF(AND(CX$1&gt;=Units!$Q77,MOD(CX$1-Units!$Q77,12)=0),IF(AND(Units!$L77=1,CX$1=Units!$Q77),1,Inputs!$B$15)*Inputs!$B$16*(1+Inputs!$B$11)^(CX$2-1),0)</f>
        <v>0</v>
      </c>
      <c r="CY78" s="11" t="n">
        <f aca="false">IF(AND(CY$1&gt;=Units!$Q77,MOD(CY$1-Units!$Q77,12)=0),IF(AND(Units!$L77=1,CY$1=Units!$Q77),1,Inputs!$B$15)*Inputs!$B$16*(1+Inputs!$B$11)^(CY$2-1),0)</f>
        <v>0</v>
      </c>
      <c r="CZ78" s="11" t="n">
        <f aca="false">IF(AND(CZ$1&gt;=Units!$Q77,MOD(CZ$1-Units!$Q77,12)=0),IF(AND(Units!$L77=1,CZ$1=Units!$Q77),1,Inputs!$B$15)*Inputs!$B$16*(1+Inputs!$B$11)^(CZ$2-1),0)</f>
        <v>0</v>
      </c>
      <c r="DA78" s="11" t="n">
        <f aca="false">IF(AND(DA$1&gt;=Units!$Q77,MOD(DA$1-Units!$Q77,12)=0),IF(AND(Units!$L77=1,DA$1=Units!$Q77),1,Inputs!$B$15)*Inputs!$B$16*(1+Inputs!$B$11)^(DA$2-1),0)</f>
        <v>0</v>
      </c>
      <c r="DB78" s="11" t="n">
        <f aca="false">IF(AND(DB$1&gt;=Units!$Q77,MOD(DB$1-Units!$Q77,12)=0),IF(AND(Units!$L77=1,DB$1=Units!$Q77),1,Inputs!$B$15)*Inputs!$B$16*(1+Inputs!$B$11)^(DB$2-1),0)</f>
        <v>0</v>
      </c>
      <c r="DC78" s="11" t="n">
        <f aca="false">IF(AND(DC$1&gt;=Units!$Q77,MOD(DC$1-Units!$Q77,12)=0),IF(AND(Units!$L77=1,DC$1=Units!$Q77),1,Inputs!$B$15)*Inputs!$B$16*(1+Inputs!$B$11)^(DC$2-1),0)</f>
        <v>0</v>
      </c>
      <c r="DD78" s="11" t="n">
        <f aca="false">IF(AND(DD$1&gt;=Units!$Q77,MOD(DD$1-Units!$Q77,12)=0),IF(AND(Units!$L77=1,DD$1=Units!$Q77),1,Inputs!$B$15)*Inputs!$B$16*(1+Inputs!$B$11)^(DD$2-1),0)</f>
        <v>0</v>
      </c>
      <c r="DE78" s="11" t="n">
        <f aca="false">IF(AND(DE$1&gt;=Units!$Q77,MOD(DE$1-Units!$Q77,12)=0),IF(AND(Units!$L77=1,DE$1=Units!$Q77),1,Inputs!$B$15)*Inputs!$B$16*(1+Inputs!$B$11)^(DE$2-1),0)</f>
        <v>0</v>
      </c>
      <c r="DF78" s="11" t="n">
        <f aca="false">IF(AND(DF$1&gt;=Units!$Q77,MOD(DF$1-Units!$Q77,12)=0),IF(AND(Units!$L77=1,DF$1=Units!$Q77),1,Inputs!$B$15)*Inputs!$B$16*(1+Inputs!$B$11)^(DF$2-1),0)</f>
        <v>0</v>
      </c>
      <c r="DG78" s="11" t="n">
        <f aca="false">IF(AND(DG$1&gt;=Units!$Q77,MOD(DG$1-Units!$Q77,12)=0),IF(AND(Units!$L77=1,DG$1=Units!$Q77),1,Inputs!$B$15)*Inputs!$B$16*(1+Inputs!$B$11)^(DG$2-1),0)</f>
        <v>652.386591914623</v>
      </c>
      <c r="DH78" s="11" t="n">
        <f aca="false">IF(AND(DH$1&gt;=Units!$Q77,MOD(DH$1-Units!$Q77,12)=0),IF(AND(Units!$L77=1,DH$1=Units!$Q77),1,Inputs!$B$15)*Inputs!$B$16*(1+Inputs!$B$11)^(DH$2-1),0)</f>
        <v>0</v>
      </c>
      <c r="DI78" s="11" t="n">
        <f aca="false">IF(AND(DI$1&gt;=Units!$Q77,MOD(DI$1-Units!$Q77,12)=0),IF(AND(Units!$L77=1,DI$1=Units!$Q77),1,Inputs!$B$15)*Inputs!$B$16*(1+Inputs!$B$11)^(DI$2-1),0)</f>
        <v>0</v>
      </c>
      <c r="DJ78" s="11" t="n">
        <f aca="false">IF(AND(DJ$1&gt;=Units!$Q77,MOD(DJ$1-Units!$Q77,12)=0),IF(AND(Units!$L77=1,DJ$1=Units!$Q77),1,Inputs!$B$15)*Inputs!$B$16*(1+Inputs!$B$11)^(DJ$2-1),0)</f>
        <v>0</v>
      </c>
      <c r="DK78" s="11" t="n">
        <f aca="false">IF(AND(DK$1&gt;=Units!$Q77,MOD(DK$1-Units!$Q77,12)=0),IF(AND(Units!$L77=1,DK$1=Units!$Q77),1,Inputs!$B$15)*Inputs!$B$16*(1+Inputs!$B$11)^(DK$2-1),0)</f>
        <v>0</v>
      </c>
      <c r="DL78" s="11" t="n">
        <f aca="false">IF(AND(DL$1&gt;=Units!$Q77,MOD(DL$1-Units!$Q77,12)=0),IF(AND(Units!$L77=1,DL$1=Units!$Q77),1,Inputs!$B$15)*Inputs!$B$16*(1+Inputs!$B$11)^(DL$2-1),0)</f>
        <v>0</v>
      </c>
      <c r="DM78" s="11" t="n">
        <f aca="false">IF(AND(DM$1&gt;=Units!$Q77,MOD(DM$1-Units!$Q77,12)=0),IF(AND(Units!$L77=1,DM$1=Units!$Q77),1,Inputs!$B$15)*Inputs!$B$16*(1+Inputs!$B$11)^(DM$2-1),0)</f>
        <v>0</v>
      </c>
      <c r="DN78" s="11" t="n">
        <f aca="false">IF(AND(DN$1&gt;=Units!$Q77,MOD(DN$1-Units!$Q77,12)=0),IF(AND(Units!$L77=1,DN$1=Units!$Q77),1,Inputs!$B$15)*Inputs!$B$16*(1+Inputs!$B$11)^(DN$2-1),0)</f>
        <v>0</v>
      </c>
      <c r="DO78" s="11" t="n">
        <f aca="false">IF(AND(DO$1&gt;=Units!$Q77,MOD(DO$1-Units!$Q77,12)=0),IF(AND(Units!$L77=1,DO$1=Units!$Q77),1,Inputs!$B$15)*Inputs!$B$16*(1+Inputs!$B$11)^(DO$2-1),0)</f>
        <v>0</v>
      </c>
      <c r="DP78" s="11" t="n">
        <f aca="false">IF(AND(DP$1&gt;=Units!$Q77,MOD(DP$1-Units!$Q77,12)=0),IF(AND(Units!$L77=1,DP$1=Units!$Q77),1,Inputs!$B$15)*Inputs!$B$16*(1+Inputs!$B$11)^(DP$2-1),0)</f>
        <v>0</v>
      </c>
      <c r="DQ78" s="11" t="n">
        <f aca="false">IF(AND(DQ$1&gt;=Units!$Q77,MOD(DQ$1-Units!$Q77,12)=0),IF(AND(Units!$L77=1,DQ$1=Units!$Q77),1,Inputs!$B$15)*Inputs!$B$16*(1+Inputs!$B$11)^(DQ$2-1),0)</f>
        <v>0</v>
      </c>
      <c r="DR78" s="11" t="n">
        <f aca="false">IF(AND(DR$1&gt;=Units!$Q77,MOD(DR$1-Units!$Q77,12)=0),IF(AND(Units!$L77=1,DR$1=Units!$Q77),1,Inputs!$B$15)*Inputs!$B$16*(1+Inputs!$B$11)^(DR$2-1),0)</f>
        <v>0</v>
      </c>
      <c r="DS78" s="11" t="n">
        <f aca="false">IF(AND(DS$1&gt;=Units!$Q77,MOD(DS$1-Units!$Q77,12)=0),IF(AND(Units!$L77=1,DS$1=Units!$Q77),1,Inputs!$B$15)*Inputs!$B$16*(1+Inputs!$B$11)^(DS$2-1),0)</f>
        <v>671.958189672061</v>
      </c>
      <c r="DT78" s="11" t="n">
        <f aca="false">IF(AND(DT$1&gt;=Units!$Q77,MOD(DT$1-Units!$Q77,12)=0),IF(AND(Units!$L77=1,DT$1=Units!$Q77),1,Inputs!$B$15)*Inputs!$B$16*(1+Inputs!$B$11)^(DT$2-1),0)</f>
        <v>0</v>
      </c>
      <c r="DU78" s="11" t="n">
        <f aca="false">IF(AND(DU$1&gt;=Units!$Q77,MOD(DU$1-Units!$Q77,12)=0),IF(AND(Units!$L77=1,DU$1=Units!$Q77),1,Inputs!$B$15)*Inputs!$B$16*(1+Inputs!$B$11)^(DU$2-1),0)</f>
        <v>0</v>
      </c>
      <c r="DV78" s="11" t="n">
        <f aca="false">IF(AND(DV$1&gt;=Units!$Q77,MOD(DV$1-Units!$Q77,12)=0),IF(AND(Units!$L77=1,DV$1=Units!$Q77),1,Inputs!$B$15)*Inputs!$B$16*(1+Inputs!$B$11)^(DV$2-1),0)</f>
        <v>0</v>
      </c>
      <c r="DW78" s="11" t="n">
        <f aca="false">IF(AND(DW$1&gt;=Units!$Q77,MOD(DW$1-Units!$Q77,12)=0),IF(AND(Units!$L77=1,DW$1=Units!$Q77),1,Inputs!$B$15)*Inputs!$B$16*(1+Inputs!$B$11)^(DW$2-1),0)</f>
        <v>0</v>
      </c>
      <c r="DX78" s="11" t="n">
        <f aca="false">IF(AND(DX$1&gt;=Units!$Q77,MOD(DX$1-Units!$Q77,12)=0),IF(AND(Units!$L77=1,DX$1=Units!$Q77),1,Inputs!$B$15)*Inputs!$B$16*(1+Inputs!$B$11)^(DX$2-1),0)</f>
        <v>0</v>
      </c>
      <c r="DY78" s="11" t="n">
        <f aca="false">IF(AND(DY$1&gt;=Units!$Q77,MOD(DY$1-Units!$Q77,12)=0),IF(AND(Units!$L77=1,DY$1=Units!$Q77),1,Inputs!$B$15)*Inputs!$B$16*(1+Inputs!$B$11)^(DY$2-1),0)</f>
        <v>0</v>
      </c>
      <c r="DZ78" s="11" t="n">
        <f aca="false">IF(AND(DZ$1&gt;=Units!$Q77,MOD(DZ$1-Units!$Q77,12)=0),IF(AND(Units!$L77=1,DZ$1=Units!$Q77),1,Inputs!$B$15)*Inputs!$B$16*(1+Inputs!$B$11)^(DZ$2-1),0)</f>
        <v>0</v>
      </c>
      <c r="EA78" s="11" t="n">
        <f aca="false">IF(AND(EA$1&gt;=Units!$Q77,MOD(EA$1-Units!$Q77,12)=0),IF(AND(Units!$L77=1,EA$1=Units!$Q77),1,Inputs!$B$15)*Inputs!$B$16*(1+Inputs!$B$11)^(EA$2-1),0)</f>
        <v>0</v>
      </c>
      <c r="EB78" s="11" t="n">
        <f aca="false">IF(AND(EB$1&gt;=Units!$Q77,MOD(EB$1-Units!$Q77,12)=0),IF(AND(Units!$L77=1,EB$1=Units!$Q77),1,Inputs!$B$15)*Inputs!$B$16*(1+Inputs!$B$11)^(EB$2-1),0)</f>
        <v>0</v>
      </c>
      <c r="EC78" s="11" t="n">
        <f aca="false">IF(AND(EC$1&gt;=Units!$Q77,MOD(EC$1-Units!$Q77,12)=0),IF(AND(Units!$L77=1,EC$1=Units!$Q77),1,Inputs!$B$15)*Inputs!$B$16*(1+Inputs!$B$11)^(EC$2-1),0)</f>
        <v>0</v>
      </c>
      <c r="ED78" s="11" t="n">
        <f aca="false">IF(AND(ED$1&gt;=Units!$Q77,MOD(ED$1-Units!$Q77,12)=0),IF(AND(Units!$L77=1,ED$1=Units!$Q77),1,Inputs!$B$15)*Inputs!$B$16*(1+Inputs!$B$11)^(ED$2-1),0)</f>
        <v>0</v>
      </c>
    </row>
    <row r="79" customFormat="false" ht="15" hidden="false" customHeight="false" outlineLevel="0" collapsed="false">
      <c r="A79" s="22" t="n">
        <f aca="false">Units!A78</f>
        <v>317</v>
      </c>
      <c r="B79" s="23"/>
      <c r="C79" s="11" t="n">
        <f aca="false">IF(AND(C$1&gt;=Units!$Q78,MOD(C$1-Units!$Q78,12)=0),IF(AND(Units!$L78=1,C$1=Units!$Q78),1,Inputs!$B$15)*Inputs!$B$16*(1+Inputs!$B$11)^(C$2-1),0)</f>
        <v>0</v>
      </c>
      <c r="D79" s="11" t="n">
        <f aca="false">IF(AND(D$1&gt;=Units!$Q78,MOD(D$1-Units!$Q78,12)=0),IF(AND(Units!$L78=1,D$1=Units!$Q78),1,Inputs!$B$15)*Inputs!$B$16*(1+Inputs!$B$11)^(D$2-1),0)</f>
        <v>0</v>
      </c>
      <c r="E79" s="11" t="n">
        <f aca="false">IF(AND(E$1&gt;=Units!$Q78,MOD(E$1-Units!$Q78,12)=0),IF(AND(Units!$L78=1,E$1=Units!$Q78),1,Inputs!$B$15)*Inputs!$B$16*(1+Inputs!$B$11)^(E$2-1),0)</f>
        <v>0</v>
      </c>
      <c r="F79" s="11" t="n">
        <f aca="false">IF(AND(F$1&gt;=Units!$Q78,MOD(F$1-Units!$Q78,12)=0),IF(AND(Units!$L78=1,F$1=Units!$Q78),1,Inputs!$B$15)*Inputs!$B$16*(1+Inputs!$B$11)^(F$2-1),0)</f>
        <v>0</v>
      </c>
      <c r="G79" s="11" t="n">
        <f aca="false">IF(AND(G$1&gt;=Units!$Q78,MOD(G$1-Units!$Q78,12)=0),IF(AND(Units!$L78=1,G$1=Units!$Q78),1,Inputs!$B$15)*Inputs!$B$16*(1+Inputs!$B$11)^(G$2-1),0)</f>
        <v>0</v>
      </c>
      <c r="H79" s="11" t="n">
        <f aca="false">IF(AND(H$1&gt;=Units!$Q78,MOD(H$1-Units!$Q78,12)=0),IF(AND(Units!$L78=1,H$1=Units!$Q78),1,Inputs!$B$15)*Inputs!$B$16*(1+Inputs!$B$11)^(H$2-1),0)</f>
        <v>0</v>
      </c>
      <c r="I79" s="11" t="n">
        <f aca="false">IF(AND(I$1&gt;=Units!$Q78,MOD(I$1-Units!$Q78,12)=0),IF(AND(Units!$L78=1,I$1=Units!$Q78),1,Inputs!$B$15)*Inputs!$B$16*(1+Inputs!$B$11)^(I$2-1),0)</f>
        <v>0</v>
      </c>
      <c r="J79" s="11" t="n">
        <f aca="false">IF(AND(J$1&gt;=Units!$Q78,MOD(J$1-Units!$Q78,12)=0),IF(AND(Units!$L78=1,J$1=Units!$Q78),1,Inputs!$B$15)*Inputs!$B$16*(1+Inputs!$B$11)^(J$2-1),0)</f>
        <v>0</v>
      </c>
      <c r="K79" s="11" t="n">
        <f aca="false">IF(AND(K$1&gt;=Units!$Q78,MOD(K$1-Units!$Q78,12)=0),IF(AND(Units!$L78=1,K$1=Units!$Q78),1,Inputs!$B$15)*Inputs!$B$16*(1+Inputs!$B$11)^(K$2-1),0)</f>
        <v>500</v>
      </c>
      <c r="L79" s="11" t="n">
        <f aca="false">IF(AND(L$1&gt;=Units!$Q78,MOD(L$1-Units!$Q78,12)=0),IF(AND(Units!$L78=1,L$1=Units!$Q78),1,Inputs!$B$15)*Inputs!$B$16*(1+Inputs!$B$11)^(L$2-1),0)</f>
        <v>0</v>
      </c>
      <c r="M79" s="11" t="n">
        <f aca="false">IF(AND(M$1&gt;=Units!$Q78,MOD(M$1-Units!$Q78,12)=0),IF(AND(Units!$L78=1,M$1=Units!$Q78),1,Inputs!$B$15)*Inputs!$B$16*(1+Inputs!$B$11)^(M$2-1),0)</f>
        <v>0</v>
      </c>
      <c r="N79" s="11" t="n">
        <f aca="false">IF(AND(N$1&gt;=Units!$Q78,MOD(N$1-Units!$Q78,12)=0),IF(AND(Units!$L78=1,N$1=Units!$Q78),1,Inputs!$B$15)*Inputs!$B$16*(1+Inputs!$B$11)^(N$2-1),0)</f>
        <v>0</v>
      </c>
      <c r="O79" s="11" t="n">
        <f aca="false">IF(AND(O$1&gt;=Units!$Q78,MOD(O$1-Units!$Q78,12)=0),IF(AND(Units!$L78=1,O$1=Units!$Q78),1,Inputs!$B$15)*Inputs!$B$16*(1+Inputs!$B$11)^(O$2-1),0)</f>
        <v>0</v>
      </c>
      <c r="P79" s="11" t="n">
        <f aca="false">IF(AND(P$1&gt;=Units!$Q78,MOD(P$1-Units!$Q78,12)=0),IF(AND(Units!$L78=1,P$1=Units!$Q78),1,Inputs!$B$15)*Inputs!$B$16*(1+Inputs!$B$11)^(P$2-1),0)</f>
        <v>0</v>
      </c>
      <c r="Q79" s="11" t="n">
        <f aca="false">IF(AND(Q$1&gt;=Units!$Q78,MOD(Q$1-Units!$Q78,12)=0),IF(AND(Units!$L78=1,Q$1=Units!$Q78),1,Inputs!$B$15)*Inputs!$B$16*(1+Inputs!$B$11)^(Q$2-1),0)</f>
        <v>0</v>
      </c>
      <c r="R79" s="11" t="n">
        <f aca="false">IF(AND(R$1&gt;=Units!$Q78,MOD(R$1-Units!$Q78,12)=0),IF(AND(Units!$L78=1,R$1=Units!$Q78),1,Inputs!$B$15)*Inputs!$B$16*(1+Inputs!$B$11)^(R$2-1),0)</f>
        <v>0</v>
      </c>
      <c r="S79" s="11" t="n">
        <f aca="false">IF(AND(S$1&gt;=Units!$Q78,MOD(S$1-Units!$Q78,12)=0),IF(AND(Units!$L78=1,S$1=Units!$Q78),1,Inputs!$B$15)*Inputs!$B$16*(1+Inputs!$B$11)^(S$2-1),0)</f>
        <v>0</v>
      </c>
      <c r="T79" s="11" t="n">
        <f aca="false">IF(AND(T$1&gt;=Units!$Q78,MOD(T$1-Units!$Q78,12)=0),IF(AND(Units!$L78=1,T$1=Units!$Q78),1,Inputs!$B$15)*Inputs!$B$16*(1+Inputs!$B$11)^(T$2-1),0)</f>
        <v>0</v>
      </c>
      <c r="U79" s="11" t="n">
        <f aca="false">IF(AND(U$1&gt;=Units!$Q78,MOD(U$1-Units!$Q78,12)=0),IF(AND(Units!$L78=1,U$1=Units!$Q78),1,Inputs!$B$15)*Inputs!$B$16*(1+Inputs!$B$11)^(U$2-1),0)</f>
        <v>0</v>
      </c>
      <c r="V79" s="11" t="n">
        <f aca="false">IF(AND(V$1&gt;=Units!$Q78,MOD(V$1-Units!$Q78,12)=0),IF(AND(Units!$L78=1,V$1=Units!$Q78),1,Inputs!$B$15)*Inputs!$B$16*(1+Inputs!$B$11)^(V$2-1),0)</f>
        <v>0</v>
      </c>
      <c r="W79" s="11" t="n">
        <f aca="false">IF(AND(W$1&gt;=Units!$Q78,MOD(W$1-Units!$Q78,12)=0),IF(AND(Units!$L78=1,W$1=Units!$Q78),1,Inputs!$B$15)*Inputs!$B$16*(1+Inputs!$B$11)^(W$2-1),0)</f>
        <v>515</v>
      </c>
      <c r="X79" s="11" t="n">
        <f aca="false">IF(AND(X$1&gt;=Units!$Q78,MOD(X$1-Units!$Q78,12)=0),IF(AND(Units!$L78=1,X$1=Units!$Q78),1,Inputs!$B$15)*Inputs!$B$16*(1+Inputs!$B$11)^(X$2-1),0)</f>
        <v>0</v>
      </c>
      <c r="Y79" s="11" t="n">
        <f aca="false">IF(AND(Y$1&gt;=Units!$Q78,MOD(Y$1-Units!$Q78,12)=0),IF(AND(Units!$L78=1,Y$1=Units!$Q78),1,Inputs!$B$15)*Inputs!$B$16*(1+Inputs!$B$11)^(Y$2-1),0)</f>
        <v>0</v>
      </c>
      <c r="Z79" s="11" t="n">
        <f aca="false">IF(AND(Z$1&gt;=Units!$Q78,MOD(Z$1-Units!$Q78,12)=0),IF(AND(Units!$L78=1,Z$1=Units!$Q78),1,Inputs!$B$15)*Inputs!$B$16*(1+Inputs!$B$11)^(Z$2-1),0)</f>
        <v>0</v>
      </c>
      <c r="AA79" s="11" t="n">
        <f aca="false">IF(AND(AA$1&gt;=Units!$Q78,MOD(AA$1-Units!$Q78,12)=0),IF(AND(Units!$L78=1,AA$1=Units!$Q78),1,Inputs!$B$15)*Inputs!$B$16*(1+Inputs!$B$11)^(AA$2-1),0)</f>
        <v>0</v>
      </c>
      <c r="AB79" s="11" t="n">
        <f aca="false">IF(AND(AB$1&gt;=Units!$Q78,MOD(AB$1-Units!$Q78,12)=0),IF(AND(Units!$L78=1,AB$1=Units!$Q78),1,Inputs!$B$15)*Inputs!$B$16*(1+Inputs!$B$11)^(AB$2-1),0)</f>
        <v>0</v>
      </c>
      <c r="AC79" s="11" t="n">
        <f aca="false">IF(AND(AC$1&gt;=Units!$Q78,MOD(AC$1-Units!$Q78,12)=0),IF(AND(Units!$L78=1,AC$1=Units!$Q78),1,Inputs!$B$15)*Inputs!$B$16*(1+Inputs!$B$11)^(AC$2-1),0)</f>
        <v>0</v>
      </c>
      <c r="AD79" s="11" t="n">
        <f aca="false">IF(AND(AD$1&gt;=Units!$Q78,MOD(AD$1-Units!$Q78,12)=0),IF(AND(Units!$L78=1,AD$1=Units!$Q78),1,Inputs!$B$15)*Inputs!$B$16*(1+Inputs!$B$11)^(AD$2-1),0)</f>
        <v>0</v>
      </c>
      <c r="AE79" s="11" t="n">
        <f aca="false">IF(AND(AE$1&gt;=Units!$Q78,MOD(AE$1-Units!$Q78,12)=0),IF(AND(Units!$L78=1,AE$1=Units!$Q78),1,Inputs!$B$15)*Inputs!$B$16*(1+Inputs!$B$11)^(AE$2-1),0)</f>
        <v>0</v>
      </c>
      <c r="AF79" s="11" t="n">
        <f aca="false">IF(AND(AF$1&gt;=Units!$Q78,MOD(AF$1-Units!$Q78,12)=0),IF(AND(Units!$L78=1,AF$1=Units!$Q78),1,Inputs!$B$15)*Inputs!$B$16*(1+Inputs!$B$11)^(AF$2-1),0)</f>
        <v>0</v>
      </c>
      <c r="AG79" s="11" t="n">
        <f aca="false">IF(AND(AG$1&gt;=Units!$Q78,MOD(AG$1-Units!$Q78,12)=0),IF(AND(Units!$L78=1,AG$1=Units!$Q78),1,Inputs!$B$15)*Inputs!$B$16*(1+Inputs!$B$11)^(AG$2-1),0)</f>
        <v>0</v>
      </c>
      <c r="AH79" s="11" t="n">
        <f aca="false">IF(AND(AH$1&gt;=Units!$Q78,MOD(AH$1-Units!$Q78,12)=0),IF(AND(Units!$L78=1,AH$1=Units!$Q78),1,Inputs!$B$15)*Inputs!$B$16*(1+Inputs!$B$11)^(AH$2-1),0)</f>
        <v>0</v>
      </c>
      <c r="AI79" s="11" t="n">
        <f aca="false">IF(AND(AI$1&gt;=Units!$Q78,MOD(AI$1-Units!$Q78,12)=0),IF(AND(Units!$L78=1,AI$1=Units!$Q78),1,Inputs!$B$15)*Inputs!$B$16*(1+Inputs!$B$11)^(AI$2-1),0)</f>
        <v>530.45</v>
      </c>
      <c r="AJ79" s="11" t="n">
        <f aca="false">IF(AND(AJ$1&gt;=Units!$Q78,MOD(AJ$1-Units!$Q78,12)=0),IF(AND(Units!$L78=1,AJ$1=Units!$Q78),1,Inputs!$B$15)*Inputs!$B$16*(1+Inputs!$B$11)^(AJ$2-1),0)</f>
        <v>0</v>
      </c>
      <c r="AK79" s="11" t="n">
        <f aca="false">IF(AND(AK$1&gt;=Units!$Q78,MOD(AK$1-Units!$Q78,12)=0),IF(AND(Units!$L78=1,AK$1=Units!$Q78),1,Inputs!$B$15)*Inputs!$B$16*(1+Inputs!$B$11)^(AK$2-1),0)</f>
        <v>0</v>
      </c>
      <c r="AL79" s="11" t="n">
        <f aca="false">IF(AND(AL$1&gt;=Units!$Q78,MOD(AL$1-Units!$Q78,12)=0),IF(AND(Units!$L78=1,AL$1=Units!$Q78),1,Inputs!$B$15)*Inputs!$B$16*(1+Inputs!$B$11)^(AL$2-1),0)</f>
        <v>0</v>
      </c>
      <c r="AM79" s="11" t="n">
        <f aca="false">IF(AND(AM$1&gt;=Units!$Q78,MOD(AM$1-Units!$Q78,12)=0),IF(AND(Units!$L78=1,AM$1=Units!$Q78),1,Inputs!$B$15)*Inputs!$B$16*(1+Inputs!$B$11)^(AM$2-1),0)</f>
        <v>0</v>
      </c>
      <c r="AN79" s="11" t="n">
        <f aca="false">IF(AND(AN$1&gt;=Units!$Q78,MOD(AN$1-Units!$Q78,12)=0),IF(AND(Units!$L78=1,AN$1=Units!$Q78),1,Inputs!$B$15)*Inputs!$B$16*(1+Inputs!$B$11)^(AN$2-1),0)</f>
        <v>0</v>
      </c>
      <c r="AO79" s="11" t="n">
        <f aca="false">IF(AND(AO$1&gt;=Units!$Q78,MOD(AO$1-Units!$Q78,12)=0),IF(AND(Units!$L78=1,AO$1=Units!$Q78),1,Inputs!$B$15)*Inputs!$B$16*(1+Inputs!$B$11)^(AO$2-1),0)</f>
        <v>0</v>
      </c>
      <c r="AP79" s="11" t="n">
        <f aca="false">IF(AND(AP$1&gt;=Units!$Q78,MOD(AP$1-Units!$Q78,12)=0),IF(AND(Units!$L78=1,AP$1=Units!$Q78),1,Inputs!$B$15)*Inputs!$B$16*(1+Inputs!$B$11)^(AP$2-1),0)</f>
        <v>0</v>
      </c>
      <c r="AQ79" s="11" t="n">
        <f aca="false">IF(AND(AQ$1&gt;=Units!$Q78,MOD(AQ$1-Units!$Q78,12)=0),IF(AND(Units!$L78=1,AQ$1=Units!$Q78),1,Inputs!$B$15)*Inputs!$B$16*(1+Inputs!$B$11)^(AQ$2-1),0)</f>
        <v>0</v>
      </c>
      <c r="AR79" s="11" t="n">
        <f aca="false">IF(AND(AR$1&gt;=Units!$Q78,MOD(AR$1-Units!$Q78,12)=0),IF(AND(Units!$L78=1,AR$1=Units!$Q78),1,Inputs!$B$15)*Inputs!$B$16*(1+Inputs!$B$11)^(AR$2-1),0)</f>
        <v>0</v>
      </c>
      <c r="AS79" s="11" t="n">
        <f aca="false">IF(AND(AS$1&gt;=Units!$Q78,MOD(AS$1-Units!$Q78,12)=0),IF(AND(Units!$L78=1,AS$1=Units!$Q78),1,Inputs!$B$15)*Inputs!$B$16*(1+Inputs!$B$11)^(AS$2-1),0)</f>
        <v>0</v>
      </c>
      <c r="AT79" s="11" t="n">
        <f aca="false">IF(AND(AT$1&gt;=Units!$Q78,MOD(AT$1-Units!$Q78,12)=0),IF(AND(Units!$L78=1,AT$1=Units!$Q78),1,Inputs!$B$15)*Inputs!$B$16*(1+Inputs!$B$11)^(AT$2-1),0)</f>
        <v>0</v>
      </c>
      <c r="AU79" s="11" t="n">
        <f aca="false">IF(AND(AU$1&gt;=Units!$Q78,MOD(AU$1-Units!$Q78,12)=0),IF(AND(Units!$L78=1,AU$1=Units!$Q78),1,Inputs!$B$15)*Inputs!$B$16*(1+Inputs!$B$11)^(AU$2-1),0)</f>
        <v>546.3635</v>
      </c>
      <c r="AV79" s="11" t="n">
        <f aca="false">IF(AND(AV$1&gt;=Units!$Q78,MOD(AV$1-Units!$Q78,12)=0),IF(AND(Units!$L78=1,AV$1=Units!$Q78),1,Inputs!$B$15)*Inputs!$B$16*(1+Inputs!$B$11)^(AV$2-1),0)</f>
        <v>0</v>
      </c>
      <c r="AW79" s="11" t="n">
        <f aca="false">IF(AND(AW$1&gt;=Units!$Q78,MOD(AW$1-Units!$Q78,12)=0),IF(AND(Units!$L78=1,AW$1=Units!$Q78),1,Inputs!$B$15)*Inputs!$B$16*(1+Inputs!$B$11)^(AW$2-1),0)</f>
        <v>0</v>
      </c>
      <c r="AX79" s="11" t="n">
        <f aca="false">IF(AND(AX$1&gt;=Units!$Q78,MOD(AX$1-Units!$Q78,12)=0),IF(AND(Units!$L78=1,AX$1=Units!$Q78),1,Inputs!$B$15)*Inputs!$B$16*(1+Inputs!$B$11)^(AX$2-1),0)</f>
        <v>0</v>
      </c>
      <c r="AY79" s="11" t="n">
        <f aca="false">IF(AND(AY$1&gt;=Units!$Q78,MOD(AY$1-Units!$Q78,12)=0),IF(AND(Units!$L78=1,AY$1=Units!$Q78),1,Inputs!$B$15)*Inputs!$B$16*(1+Inputs!$B$11)^(AY$2-1),0)</f>
        <v>0</v>
      </c>
      <c r="AZ79" s="11" t="n">
        <f aca="false">IF(AND(AZ$1&gt;=Units!$Q78,MOD(AZ$1-Units!$Q78,12)=0),IF(AND(Units!$L78=1,AZ$1=Units!$Q78),1,Inputs!$B$15)*Inputs!$B$16*(1+Inputs!$B$11)^(AZ$2-1),0)</f>
        <v>0</v>
      </c>
      <c r="BA79" s="11" t="n">
        <f aca="false">IF(AND(BA$1&gt;=Units!$Q78,MOD(BA$1-Units!$Q78,12)=0),IF(AND(Units!$L78=1,BA$1=Units!$Q78),1,Inputs!$B$15)*Inputs!$B$16*(1+Inputs!$B$11)^(BA$2-1),0)</f>
        <v>0</v>
      </c>
      <c r="BB79" s="11" t="n">
        <f aca="false">IF(AND(BB$1&gt;=Units!$Q78,MOD(BB$1-Units!$Q78,12)=0),IF(AND(Units!$L78=1,BB$1=Units!$Q78),1,Inputs!$B$15)*Inputs!$B$16*(1+Inputs!$B$11)^(BB$2-1),0)</f>
        <v>0</v>
      </c>
      <c r="BC79" s="11" t="n">
        <f aca="false">IF(AND(BC$1&gt;=Units!$Q78,MOD(BC$1-Units!$Q78,12)=0),IF(AND(Units!$L78=1,BC$1=Units!$Q78),1,Inputs!$B$15)*Inputs!$B$16*(1+Inputs!$B$11)^(BC$2-1),0)</f>
        <v>0</v>
      </c>
      <c r="BD79" s="11" t="n">
        <f aca="false">IF(AND(BD$1&gt;=Units!$Q78,MOD(BD$1-Units!$Q78,12)=0),IF(AND(Units!$L78=1,BD$1=Units!$Q78),1,Inputs!$B$15)*Inputs!$B$16*(1+Inputs!$B$11)^(BD$2-1),0)</f>
        <v>0</v>
      </c>
      <c r="BE79" s="11" t="n">
        <f aca="false">IF(AND(BE$1&gt;=Units!$Q78,MOD(BE$1-Units!$Q78,12)=0),IF(AND(Units!$L78=1,BE$1=Units!$Q78),1,Inputs!$B$15)*Inputs!$B$16*(1+Inputs!$B$11)^(BE$2-1),0)</f>
        <v>0</v>
      </c>
      <c r="BF79" s="11" t="n">
        <f aca="false">IF(AND(BF$1&gt;=Units!$Q78,MOD(BF$1-Units!$Q78,12)=0),IF(AND(Units!$L78=1,BF$1=Units!$Q78),1,Inputs!$B$15)*Inputs!$B$16*(1+Inputs!$B$11)^(BF$2-1),0)</f>
        <v>0</v>
      </c>
      <c r="BG79" s="11" t="n">
        <f aca="false">IF(AND(BG$1&gt;=Units!$Q78,MOD(BG$1-Units!$Q78,12)=0),IF(AND(Units!$L78=1,BG$1=Units!$Q78),1,Inputs!$B$15)*Inputs!$B$16*(1+Inputs!$B$11)^(BG$2-1),0)</f>
        <v>562.754405</v>
      </c>
      <c r="BH79" s="11" t="n">
        <f aca="false">IF(AND(BH$1&gt;=Units!$Q78,MOD(BH$1-Units!$Q78,12)=0),IF(AND(Units!$L78=1,BH$1=Units!$Q78),1,Inputs!$B$15)*Inputs!$B$16*(1+Inputs!$B$11)^(BH$2-1),0)</f>
        <v>0</v>
      </c>
      <c r="BI79" s="11" t="n">
        <f aca="false">IF(AND(BI$1&gt;=Units!$Q78,MOD(BI$1-Units!$Q78,12)=0),IF(AND(Units!$L78=1,BI$1=Units!$Q78),1,Inputs!$B$15)*Inputs!$B$16*(1+Inputs!$B$11)^(BI$2-1),0)</f>
        <v>0</v>
      </c>
      <c r="BJ79" s="11" t="n">
        <f aca="false">IF(AND(BJ$1&gt;=Units!$Q78,MOD(BJ$1-Units!$Q78,12)=0),IF(AND(Units!$L78=1,BJ$1=Units!$Q78),1,Inputs!$B$15)*Inputs!$B$16*(1+Inputs!$B$11)^(BJ$2-1),0)</f>
        <v>0</v>
      </c>
      <c r="BK79" s="11" t="n">
        <f aca="false">IF(AND(BK$1&gt;=Units!$Q78,MOD(BK$1-Units!$Q78,12)=0),IF(AND(Units!$L78=1,BK$1=Units!$Q78),1,Inputs!$B$15)*Inputs!$B$16*(1+Inputs!$B$11)^(BK$2-1),0)</f>
        <v>0</v>
      </c>
      <c r="BL79" s="11" t="n">
        <f aca="false">IF(AND(BL$1&gt;=Units!$Q78,MOD(BL$1-Units!$Q78,12)=0),IF(AND(Units!$L78=1,BL$1=Units!$Q78),1,Inputs!$B$15)*Inputs!$B$16*(1+Inputs!$B$11)^(BL$2-1),0)</f>
        <v>0</v>
      </c>
      <c r="BM79" s="11" t="n">
        <f aca="false">IF(AND(BM$1&gt;=Units!$Q78,MOD(BM$1-Units!$Q78,12)=0),IF(AND(Units!$L78=1,BM$1=Units!$Q78),1,Inputs!$B$15)*Inputs!$B$16*(1+Inputs!$B$11)^(BM$2-1),0)</f>
        <v>0</v>
      </c>
      <c r="BN79" s="11" t="n">
        <f aca="false">IF(AND(BN$1&gt;=Units!$Q78,MOD(BN$1-Units!$Q78,12)=0),IF(AND(Units!$L78=1,BN$1=Units!$Q78),1,Inputs!$B$15)*Inputs!$B$16*(1+Inputs!$B$11)^(BN$2-1),0)</f>
        <v>0</v>
      </c>
      <c r="BO79" s="11" t="n">
        <f aca="false">IF(AND(BO$1&gt;=Units!$Q78,MOD(BO$1-Units!$Q78,12)=0),IF(AND(Units!$L78=1,BO$1=Units!$Q78),1,Inputs!$B$15)*Inputs!$B$16*(1+Inputs!$B$11)^(BO$2-1),0)</f>
        <v>0</v>
      </c>
      <c r="BP79" s="11" t="n">
        <f aca="false">IF(AND(BP$1&gt;=Units!$Q78,MOD(BP$1-Units!$Q78,12)=0),IF(AND(Units!$L78=1,BP$1=Units!$Q78),1,Inputs!$B$15)*Inputs!$B$16*(1+Inputs!$B$11)^(BP$2-1),0)</f>
        <v>0</v>
      </c>
      <c r="BQ79" s="11" t="n">
        <f aca="false">IF(AND(BQ$1&gt;=Units!$Q78,MOD(BQ$1-Units!$Q78,12)=0),IF(AND(Units!$L78=1,BQ$1=Units!$Q78),1,Inputs!$B$15)*Inputs!$B$16*(1+Inputs!$B$11)^(BQ$2-1),0)</f>
        <v>0</v>
      </c>
      <c r="BR79" s="11" t="n">
        <f aca="false">IF(AND(BR$1&gt;=Units!$Q78,MOD(BR$1-Units!$Q78,12)=0),IF(AND(Units!$L78=1,BR$1=Units!$Q78),1,Inputs!$B$15)*Inputs!$B$16*(1+Inputs!$B$11)^(BR$2-1),0)</f>
        <v>0</v>
      </c>
      <c r="BS79" s="11" t="n">
        <f aca="false">IF(AND(BS$1&gt;=Units!$Q78,MOD(BS$1-Units!$Q78,12)=0),IF(AND(Units!$L78=1,BS$1=Units!$Q78),1,Inputs!$B$15)*Inputs!$B$16*(1+Inputs!$B$11)^(BS$2-1),0)</f>
        <v>579.63703715</v>
      </c>
      <c r="BT79" s="11" t="n">
        <f aca="false">IF(AND(BT$1&gt;=Units!$Q78,MOD(BT$1-Units!$Q78,12)=0),IF(AND(Units!$L78=1,BT$1=Units!$Q78),1,Inputs!$B$15)*Inputs!$B$16*(1+Inputs!$B$11)^(BT$2-1),0)</f>
        <v>0</v>
      </c>
      <c r="BU79" s="11" t="n">
        <f aca="false">IF(AND(BU$1&gt;=Units!$Q78,MOD(BU$1-Units!$Q78,12)=0),IF(AND(Units!$L78=1,BU$1=Units!$Q78),1,Inputs!$B$15)*Inputs!$B$16*(1+Inputs!$B$11)^(BU$2-1),0)</f>
        <v>0</v>
      </c>
      <c r="BV79" s="11" t="n">
        <f aca="false">IF(AND(BV$1&gt;=Units!$Q78,MOD(BV$1-Units!$Q78,12)=0),IF(AND(Units!$L78=1,BV$1=Units!$Q78),1,Inputs!$B$15)*Inputs!$B$16*(1+Inputs!$B$11)^(BV$2-1),0)</f>
        <v>0</v>
      </c>
      <c r="BW79" s="11" t="n">
        <f aca="false">IF(AND(BW$1&gt;=Units!$Q78,MOD(BW$1-Units!$Q78,12)=0),IF(AND(Units!$L78=1,BW$1=Units!$Q78),1,Inputs!$B$15)*Inputs!$B$16*(1+Inputs!$B$11)^(BW$2-1),0)</f>
        <v>0</v>
      </c>
      <c r="BX79" s="11" t="n">
        <f aca="false">IF(AND(BX$1&gt;=Units!$Q78,MOD(BX$1-Units!$Q78,12)=0),IF(AND(Units!$L78=1,BX$1=Units!$Q78),1,Inputs!$B$15)*Inputs!$B$16*(1+Inputs!$B$11)^(BX$2-1),0)</f>
        <v>0</v>
      </c>
      <c r="BY79" s="11" t="n">
        <f aca="false">IF(AND(BY$1&gt;=Units!$Q78,MOD(BY$1-Units!$Q78,12)=0),IF(AND(Units!$L78=1,BY$1=Units!$Q78),1,Inputs!$B$15)*Inputs!$B$16*(1+Inputs!$B$11)^(BY$2-1),0)</f>
        <v>0</v>
      </c>
      <c r="BZ79" s="11" t="n">
        <f aca="false">IF(AND(BZ$1&gt;=Units!$Q78,MOD(BZ$1-Units!$Q78,12)=0),IF(AND(Units!$L78=1,BZ$1=Units!$Q78),1,Inputs!$B$15)*Inputs!$B$16*(1+Inputs!$B$11)^(BZ$2-1),0)</f>
        <v>0</v>
      </c>
      <c r="CA79" s="11" t="n">
        <f aca="false">IF(AND(CA$1&gt;=Units!$Q78,MOD(CA$1-Units!$Q78,12)=0),IF(AND(Units!$L78=1,CA$1=Units!$Q78),1,Inputs!$B$15)*Inputs!$B$16*(1+Inputs!$B$11)^(CA$2-1),0)</f>
        <v>0</v>
      </c>
      <c r="CB79" s="11" t="n">
        <f aca="false">IF(AND(CB$1&gt;=Units!$Q78,MOD(CB$1-Units!$Q78,12)=0),IF(AND(Units!$L78=1,CB$1=Units!$Q78),1,Inputs!$B$15)*Inputs!$B$16*(1+Inputs!$B$11)^(CB$2-1),0)</f>
        <v>0</v>
      </c>
      <c r="CC79" s="11" t="n">
        <f aca="false">IF(AND(CC$1&gt;=Units!$Q78,MOD(CC$1-Units!$Q78,12)=0),IF(AND(Units!$L78=1,CC$1=Units!$Q78),1,Inputs!$B$15)*Inputs!$B$16*(1+Inputs!$B$11)^(CC$2-1),0)</f>
        <v>0</v>
      </c>
      <c r="CD79" s="11" t="n">
        <f aca="false">IF(AND(CD$1&gt;=Units!$Q78,MOD(CD$1-Units!$Q78,12)=0),IF(AND(Units!$L78=1,CD$1=Units!$Q78),1,Inputs!$B$15)*Inputs!$B$16*(1+Inputs!$B$11)^(CD$2-1),0)</f>
        <v>0</v>
      </c>
      <c r="CE79" s="11" t="n">
        <f aca="false">IF(AND(CE$1&gt;=Units!$Q78,MOD(CE$1-Units!$Q78,12)=0),IF(AND(Units!$L78=1,CE$1=Units!$Q78),1,Inputs!$B$15)*Inputs!$B$16*(1+Inputs!$B$11)^(CE$2-1),0)</f>
        <v>597.0261482645</v>
      </c>
      <c r="CF79" s="11" t="n">
        <f aca="false">IF(AND(CF$1&gt;=Units!$Q78,MOD(CF$1-Units!$Q78,12)=0),IF(AND(Units!$L78=1,CF$1=Units!$Q78),1,Inputs!$B$15)*Inputs!$B$16*(1+Inputs!$B$11)^(CF$2-1),0)</f>
        <v>0</v>
      </c>
      <c r="CG79" s="11" t="n">
        <f aca="false">IF(AND(CG$1&gt;=Units!$Q78,MOD(CG$1-Units!$Q78,12)=0),IF(AND(Units!$L78=1,CG$1=Units!$Q78),1,Inputs!$B$15)*Inputs!$B$16*(1+Inputs!$B$11)^(CG$2-1),0)</f>
        <v>0</v>
      </c>
      <c r="CH79" s="11" t="n">
        <f aca="false">IF(AND(CH$1&gt;=Units!$Q78,MOD(CH$1-Units!$Q78,12)=0),IF(AND(Units!$L78=1,CH$1=Units!$Q78),1,Inputs!$B$15)*Inputs!$B$16*(1+Inputs!$B$11)^(CH$2-1),0)</f>
        <v>0</v>
      </c>
      <c r="CI79" s="11" t="n">
        <f aca="false">IF(AND(CI$1&gt;=Units!$Q78,MOD(CI$1-Units!$Q78,12)=0),IF(AND(Units!$L78=1,CI$1=Units!$Q78),1,Inputs!$B$15)*Inputs!$B$16*(1+Inputs!$B$11)^(CI$2-1),0)</f>
        <v>0</v>
      </c>
      <c r="CJ79" s="11" t="n">
        <f aca="false">IF(AND(CJ$1&gt;=Units!$Q78,MOD(CJ$1-Units!$Q78,12)=0),IF(AND(Units!$L78=1,CJ$1=Units!$Q78),1,Inputs!$B$15)*Inputs!$B$16*(1+Inputs!$B$11)^(CJ$2-1),0)</f>
        <v>0</v>
      </c>
      <c r="CK79" s="11" t="n">
        <f aca="false">IF(AND(CK$1&gt;=Units!$Q78,MOD(CK$1-Units!$Q78,12)=0),IF(AND(Units!$L78=1,CK$1=Units!$Q78),1,Inputs!$B$15)*Inputs!$B$16*(1+Inputs!$B$11)^(CK$2-1),0)</f>
        <v>0</v>
      </c>
      <c r="CL79" s="11" t="n">
        <f aca="false">IF(AND(CL$1&gt;=Units!$Q78,MOD(CL$1-Units!$Q78,12)=0),IF(AND(Units!$L78=1,CL$1=Units!$Q78),1,Inputs!$B$15)*Inputs!$B$16*(1+Inputs!$B$11)^(CL$2-1),0)</f>
        <v>0</v>
      </c>
      <c r="CM79" s="11" t="n">
        <f aca="false">IF(AND(CM$1&gt;=Units!$Q78,MOD(CM$1-Units!$Q78,12)=0),IF(AND(Units!$L78=1,CM$1=Units!$Q78),1,Inputs!$B$15)*Inputs!$B$16*(1+Inputs!$B$11)^(CM$2-1),0)</f>
        <v>0</v>
      </c>
      <c r="CN79" s="11" t="n">
        <f aca="false">IF(AND(CN$1&gt;=Units!$Q78,MOD(CN$1-Units!$Q78,12)=0),IF(AND(Units!$L78=1,CN$1=Units!$Q78),1,Inputs!$B$15)*Inputs!$B$16*(1+Inputs!$B$11)^(CN$2-1),0)</f>
        <v>0</v>
      </c>
      <c r="CO79" s="11" t="n">
        <f aca="false">IF(AND(CO$1&gt;=Units!$Q78,MOD(CO$1-Units!$Q78,12)=0),IF(AND(Units!$L78=1,CO$1=Units!$Q78),1,Inputs!$B$15)*Inputs!$B$16*(1+Inputs!$B$11)^(CO$2-1),0)</f>
        <v>0</v>
      </c>
      <c r="CP79" s="11" t="n">
        <f aca="false">IF(AND(CP$1&gt;=Units!$Q78,MOD(CP$1-Units!$Q78,12)=0),IF(AND(Units!$L78=1,CP$1=Units!$Q78),1,Inputs!$B$15)*Inputs!$B$16*(1+Inputs!$B$11)^(CP$2-1),0)</f>
        <v>0</v>
      </c>
      <c r="CQ79" s="11" t="n">
        <f aca="false">IF(AND(CQ$1&gt;=Units!$Q78,MOD(CQ$1-Units!$Q78,12)=0),IF(AND(Units!$L78=1,CQ$1=Units!$Q78),1,Inputs!$B$15)*Inputs!$B$16*(1+Inputs!$B$11)^(CQ$2-1),0)</f>
        <v>614.936932712435</v>
      </c>
      <c r="CR79" s="11" t="n">
        <f aca="false">IF(AND(CR$1&gt;=Units!$Q78,MOD(CR$1-Units!$Q78,12)=0),IF(AND(Units!$L78=1,CR$1=Units!$Q78),1,Inputs!$B$15)*Inputs!$B$16*(1+Inputs!$B$11)^(CR$2-1),0)</f>
        <v>0</v>
      </c>
      <c r="CS79" s="11" t="n">
        <f aca="false">IF(AND(CS$1&gt;=Units!$Q78,MOD(CS$1-Units!$Q78,12)=0),IF(AND(Units!$L78=1,CS$1=Units!$Q78),1,Inputs!$B$15)*Inputs!$B$16*(1+Inputs!$B$11)^(CS$2-1),0)</f>
        <v>0</v>
      </c>
      <c r="CT79" s="11" t="n">
        <f aca="false">IF(AND(CT$1&gt;=Units!$Q78,MOD(CT$1-Units!$Q78,12)=0),IF(AND(Units!$L78=1,CT$1=Units!$Q78),1,Inputs!$B$15)*Inputs!$B$16*(1+Inputs!$B$11)^(CT$2-1),0)</f>
        <v>0</v>
      </c>
      <c r="CU79" s="11" t="n">
        <f aca="false">IF(AND(CU$1&gt;=Units!$Q78,MOD(CU$1-Units!$Q78,12)=0),IF(AND(Units!$L78=1,CU$1=Units!$Q78),1,Inputs!$B$15)*Inputs!$B$16*(1+Inputs!$B$11)^(CU$2-1),0)</f>
        <v>0</v>
      </c>
      <c r="CV79" s="11" t="n">
        <f aca="false">IF(AND(CV$1&gt;=Units!$Q78,MOD(CV$1-Units!$Q78,12)=0),IF(AND(Units!$L78=1,CV$1=Units!$Q78),1,Inputs!$B$15)*Inputs!$B$16*(1+Inputs!$B$11)^(CV$2-1),0)</f>
        <v>0</v>
      </c>
      <c r="CW79" s="11" t="n">
        <f aca="false">IF(AND(CW$1&gt;=Units!$Q78,MOD(CW$1-Units!$Q78,12)=0),IF(AND(Units!$L78=1,CW$1=Units!$Q78),1,Inputs!$B$15)*Inputs!$B$16*(1+Inputs!$B$11)^(CW$2-1),0)</f>
        <v>0</v>
      </c>
      <c r="CX79" s="11" t="n">
        <f aca="false">IF(AND(CX$1&gt;=Units!$Q78,MOD(CX$1-Units!$Q78,12)=0),IF(AND(Units!$L78=1,CX$1=Units!$Q78),1,Inputs!$B$15)*Inputs!$B$16*(1+Inputs!$B$11)^(CX$2-1),0)</f>
        <v>0</v>
      </c>
      <c r="CY79" s="11" t="n">
        <f aca="false">IF(AND(CY$1&gt;=Units!$Q78,MOD(CY$1-Units!$Q78,12)=0),IF(AND(Units!$L78=1,CY$1=Units!$Q78),1,Inputs!$B$15)*Inputs!$B$16*(1+Inputs!$B$11)^(CY$2-1),0)</f>
        <v>0</v>
      </c>
      <c r="CZ79" s="11" t="n">
        <f aca="false">IF(AND(CZ$1&gt;=Units!$Q78,MOD(CZ$1-Units!$Q78,12)=0),IF(AND(Units!$L78=1,CZ$1=Units!$Q78),1,Inputs!$B$15)*Inputs!$B$16*(1+Inputs!$B$11)^(CZ$2-1),0)</f>
        <v>0</v>
      </c>
      <c r="DA79" s="11" t="n">
        <f aca="false">IF(AND(DA$1&gt;=Units!$Q78,MOD(DA$1-Units!$Q78,12)=0),IF(AND(Units!$L78=1,DA$1=Units!$Q78),1,Inputs!$B$15)*Inputs!$B$16*(1+Inputs!$B$11)^(DA$2-1),0)</f>
        <v>0</v>
      </c>
      <c r="DB79" s="11" t="n">
        <f aca="false">IF(AND(DB$1&gt;=Units!$Q78,MOD(DB$1-Units!$Q78,12)=0),IF(AND(Units!$L78=1,DB$1=Units!$Q78),1,Inputs!$B$15)*Inputs!$B$16*(1+Inputs!$B$11)^(DB$2-1),0)</f>
        <v>0</v>
      </c>
      <c r="DC79" s="11" t="n">
        <f aca="false">IF(AND(DC$1&gt;=Units!$Q78,MOD(DC$1-Units!$Q78,12)=0),IF(AND(Units!$L78=1,DC$1=Units!$Q78),1,Inputs!$B$15)*Inputs!$B$16*(1+Inputs!$B$11)^(DC$2-1),0)</f>
        <v>633.385040693808</v>
      </c>
      <c r="DD79" s="11" t="n">
        <f aca="false">IF(AND(DD$1&gt;=Units!$Q78,MOD(DD$1-Units!$Q78,12)=0),IF(AND(Units!$L78=1,DD$1=Units!$Q78),1,Inputs!$B$15)*Inputs!$B$16*(1+Inputs!$B$11)^(DD$2-1),0)</f>
        <v>0</v>
      </c>
      <c r="DE79" s="11" t="n">
        <f aca="false">IF(AND(DE$1&gt;=Units!$Q78,MOD(DE$1-Units!$Q78,12)=0),IF(AND(Units!$L78=1,DE$1=Units!$Q78),1,Inputs!$B$15)*Inputs!$B$16*(1+Inputs!$B$11)^(DE$2-1),0)</f>
        <v>0</v>
      </c>
      <c r="DF79" s="11" t="n">
        <f aca="false">IF(AND(DF$1&gt;=Units!$Q78,MOD(DF$1-Units!$Q78,12)=0),IF(AND(Units!$L78=1,DF$1=Units!$Q78),1,Inputs!$B$15)*Inputs!$B$16*(1+Inputs!$B$11)^(DF$2-1),0)</f>
        <v>0</v>
      </c>
      <c r="DG79" s="11" t="n">
        <f aca="false">IF(AND(DG$1&gt;=Units!$Q78,MOD(DG$1-Units!$Q78,12)=0),IF(AND(Units!$L78=1,DG$1=Units!$Q78),1,Inputs!$B$15)*Inputs!$B$16*(1+Inputs!$B$11)^(DG$2-1),0)</f>
        <v>0</v>
      </c>
      <c r="DH79" s="11" t="n">
        <f aca="false">IF(AND(DH$1&gt;=Units!$Q78,MOD(DH$1-Units!$Q78,12)=0),IF(AND(Units!$L78=1,DH$1=Units!$Q78),1,Inputs!$B$15)*Inputs!$B$16*(1+Inputs!$B$11)^(DH$2-1),0)</f>
        <v>0</v>
      </c>
      <c r="DI79" s="11" t="n">
        <f aca="false">IF(AND(DI$1&gt;=Units!$Q78,MOD(DI$1-Units!$Q78,12)=0),IF(AND(Units!$L78=1,DI$1=Units!$Q78),1,Inputs!$B$15)*Inputs!$B$16*(1+Inputs!$B$11)^(DI$2-1),0)</f>
        <v>0</v>
      </c>
      <c r="DJ79" s="11" t="n">
        <f aca="false">IF(AND(DJ$1&gt;=Units!$Q78,MOD(DJ$1-Units!$Q78,12)=0),IF(AND(Units!$L78=1,DJ$1=Units!$Q78),1,Inputs!$B$15)*Inputs!$B$16*(1+Inputs!$B$11)^(DJ$2-1),0)</f>
        <v>0</v>
      </c>
      <c r="DK79" s="11" t="n">
        <f aca="false">IF(AND(DK$1&gt;=Units!$Q78,MOD(DK$1-Units!$Q78,12)=0),IF(AND(Units!$L78=1,DK$1=Units!$Q78),1,Inputs!$B$15)*Inputs!$B$16*(1+Inputs!$B$11)^(DK$2-1),0)</f>
        <v>0</v>
      </c>
      <c r="DL79" s="11" t="n">
        <f aca="false">IF(AND(DL$1&gt;=Units!$Q78,MOD(DL$1-Units!$Q78,12)=0),IF(AND(Units!$L78=1,DL$1=Units!$Q78),1,Inputs!$B$15)*Inputs!$B$16*(1+Inputs!$B$11)^(DL$2-1),0)</f>
        <v>0</v>
      </c>
      <c r="DM79" s="11" t="n">
        <f aca="false">IF(AND(DM$1&gt;=Units!$Q78,MOD(DM$1-Units!$Q78,12)=0),IF(AND(Units!$L78=1,DM$1=Units!$Q78),1,Inputs!$B$15)*Inputs!$B$16*(1+Inputs!$B$11)^(DM$2-1),0)</f>
        <v>0</v>
      </c>
      <c r="DN79" s="11" t="n">
        <f aca="false">IF(AND(DN$1&gt;=Units!$Q78,MOD(DN$1-Units!$Q78,12)=0),IF(AND(Units!$L78=1,DN$1=Units!$Q78),1,Inputs!$B$15)*Inputs!$B$16*(1+Inputs!$B$11)^(DN$2-1),0)</f>
        <v>0</v>
      </c>
      <c r="DO79" s="11" t="n">
        <f aca="false">IF(AND(DO$1&gt;=Units!$Q78,MOD(DO$1-Units!$Q78,12)=0),IF(AND(Units!$L78=1,DO$1=Units!$Q78),1,Inputs!$B$15)*Inputs!$B$16*(1+Inputs!$B$11)^(DO$2-1),0)</f>
        <v>652.386591914623</v>
      </c>
      <c r="DP79" s="11" t="n">
        <f aca="false">IF(AND(DP$1&gt;=Units!$Q78,MOD(DP$1-Units!$Q78,12)=0),IF(AND(Units!$L78=1,DP$1=Units!$Q78),1,Inputs!$B$15)*Inputs!$B$16*(1+Inputs!$B$11)^(DP$2-1),0)</f>
        <v>0</v>
      </c>
      <c r="DQ79" s="11" t="n">
        <f aca="false">IF(AND(DQ$1&gt;=Units!$Q78,MOD(DQ$1-Units!$Q78,12)=0),IF(AND(Units!$L78=1,DQ$1=Units!$Q78),1,Inputs!$B$15)*Inputs!$B$16*(1+Inputs!$B$11)^(DQ$2-1),0)</f>
        <v>0</v>
      </c>
      <c r="DR79" s="11" t="n">
        <f aca="false">IF(AND(DR$1&gt;=Units!$Q78,MOD(DR$1-Units!$Q78,12)=0),IF(AND(Units!$L78=1,DR$1=Units!$Q78),1,Inputs!$B$15)*Inputs!$B$16*(1+Inputs!$B$11)^(DR$2-1),0)</f>
        <v>0</v>
      </c>
      <c r="DS79" s="11" t="n">
        <f aca="false">IF(AND(DS$1&gt;=Units!$Q78,MOD(DS$1-Units!$Q78,12)=0),IF(AND(Units!$L78=1,DS$1=Units!$Q78),1,Inputs!$B$15)*Inputs!$B$16*(1+Inputs!$B$11)^(DS$2-1),0)</f>
        <v>0</v>
      </c>
      <c r="DT79" s="11" t="n">
        <f aca="false">IF(AND(DT$1&gt;=Units!$Q78,MOD(DT$1-Units!$Q78,12)=0),IF(AND(Units!$L78=1,DT$1=Units!$Q78),1,Inputs!$B$15)*Inputs!$B$16*(1+Inputs!$B$11)^(DT$2-1),0)</f>
        <v>0</v>
      </c>
      <c r="DU79" s="11" t="n">
        <f aca="false">IF(AND(DU$1&gt;=Units!$Q78,MOD(DU$1-Units!$Q78,12)=0),IF(AND(Units!$L78=1,DU$1=Units!$Q78),1,Inputs!$B$15)*Inputs!$B$16*(1+Inputs!$B$11)^(DU$2-1),0)</f>
        <v>0</v>
      </c>
      <c r="DV79" s="11" t="n">
        <f aca="false">IF(AND(DV$1&gt;=Units!$Q78,MOD(DV$1-Units!$Q78,12)=0),IF(AND(Units!$L78=1,DV$1=Units!$Q78),1,Inputs!$B$15)*Inputs!$B$16*(1+Inputs!$B$11)^(DV$2-1),0)</f>
        <v>0</v>
      </c>
      <c r="DW79" s="11" t="n">
        <f aca="false">IF(AND(DW$1&gt;=Units!$Q78,MOD(DW$1-Units!$Q78,12)=0),IF(AND(Units!$L78=1,DW$1=Units!$Q78),1,Inputs!$B$15)*Inputs!$B$16*(1+Inputs!$B$11)^(DW$2-1),0)</f>
        <v>0</v>
      </c>
      <c r="DX79" s="11" t="n">
        <f aca="false">IF(AND(DX$1&gt;=Units!$Q78,MOD(DX$1-Units!$Q78,12)=0),IF(AND(Units!$L78=1,DX$1=Units!$Q78),1,Inputs!$B$15)*Inputs!$B$16*(1+Inputs!$B$11)^(DX$2-1),0)</f>
        <v>0</v>
      </c>
      <c r="DY79" s="11" t="n">
        <f aca="false">IF(AND(DY$1&gt;=Units!$Q78,MOD(DY$1-Units!$Q78,12)=0),IF(AND(Units!$L78=1,DY$1=Units!$Q78),1,Inputs!$B$15)*Inputs!$B$16*(1+Inputs!$B$11)^(DY$2-1),0)</f>
        <v>0</v>
      </c>
      <c r="DZ79" s="11" t="n">
        <f aca="false">IF(AND(DZ$1&gt;=Units!$Q78,MOD(DZ$1-Units!$Q78,12)=0),IF(AND(Units!$L78=1,DZ$1=Units!$Q78),1,Inputs!$B$15)*Inputs!$B$16*(1+Inputs!$B$11)^(DZ$2-1),0)</f>
        <v>0</v>
      </c>
      <c r="EA79" s="11" t="n">
        <f aca="false">IF(AND(EA$1&gt;=Units!$Q78,MOD(EA$1-Units!$Q78,12)=0),IF(AND(Units!$L78=1,EA$1=Units!$Q78),1,Inputs!$B$15)*Inputs!$B$16*(1+Inputs!$B$11)^(EA$2-1),0)</f>
        <v>671.958189672061</v>
      </c>
      <c r="EB79" s="11" t="n">
        <f aca="false">IF(AND(EB$1&gt;=Units!$Q78,MOD(EB$1-Units!$Q78,12)=0),IF(AND(Units!$L78=1,EB$1=Units!$Q78),1,Inputs!$B$15)*Inputs!$B$16*(1+Inputs!$B$11)^(EB$2-1),0)</f>
        <v>0</v>
      </c>
      <c r="EC79" s="11" t="n">
        <f aca="false">IF(AND(EC$1&gt;=Units!$Q78,MOD(EC$1-Units!$Q78,12)=0),IF(AND(Units!$L78=1,EC$1=Units!$Q78),1,Inputs!$B$15)*Inputs!$B$16*(1+Inputs!$B$11)^(EC$2-1),0)</f>
        <v>0</v>
      </c>
      <c r="ED79" s="11" t="n">
        <f aca="false">IF(AND(ED$1&gt;=Units!$Q78,MOD(ED$1-Units!$Q78,12)=0),IF(AND(Units!$L78=1,ED$1=Units!$Q78),1,Inputs!$B$15)*Inputs!$B$16*(1+Inputs!$B$11)^(ED$2-1),0)</f>
        <v>0</v>
      </c>
    </row>
    <row r="80" customFormat="false" ht="15" hidden="false" customHeight="false" outlineLevel="0" collapsed="false">
      <c r="A80" s="22" t="n">
        <f aca="false">Units!A79</f>
        <v>318</v>
      </c>
      <c r="B80" s="23"/>
      <c r="C80" s="11" t="n">
        <f aca="false">IF(AND(C$1&gt;=Units!$Q79,MOD(C$1-Units!$Q79,12)=0),IF(AND(Units!$L79=1,C$1=Units!$Q79),1,Inputs!$B$15)*Inputs!$B$16*(1+Inputs!$B$11)^(C$2-1),0)</f>
        <v>0</v>
      </c>
      <c r="D80" s="11" t="n">
        <f aca="false">IF(AND(D$1&gt;=Units!$Q79,MOD(D$1-Units!$Q79,12)=0),IF(AND(Units!$L79=1,D$1=Units!$Q79),1,Inputs!$B$15)*Inputs!$B$16*(1+Inputs!$B$11)^(D$2-1),0)</f>
        <v>0</v>
      </c>
      <c r="E80" s="11" t="n">
        <f aca="false">IF(AND(E$1&gt;=Units!$Q79,MOD(E$1-Units!$Q79,12)=0),IF(AND(Units!$L79=1,E$1=Units!$Q79),1,Inputs!$B$15)*Inputs!$B$16*(1+Inputs!$B$11)^(E$2-1),0)</f>
        <v>0</v>
      </c>
      <c r="F80" s="11" t="n">
        <f aca="false">IF(AND(F$1&gt;=Units!$Q79,MOD(F$1-Units!$Q79,12)=0),IF(AND(Units!$L79=1,F$1=Units!$Q79),1,Inputs!$B$15)*Inputs!$B$16*(1+Inputs!$B$11)^(F$2-1),0)</f>
        <v>0</v>
      </c>
      <c r="G80" s="11" t="n">
        <f aca="false">IF(AND(G$1&gt;=Units!$Q79,MOD(G$1-Units!$Q79,12)=0),IF(AND(Units!$L79=1,G$1=Units!$Q79),1,Inputs!$B$15)*Inputs!$B$16*(1+Inputs!$B$11)^(G$2-1),0)</f>
        <v>0</v>
      </c>
      <c r="H80" s="11" t="n">
        <f aca="false">IF(AND(H$1&gt;=Units!$Q79,MOD(H$1-Units!$Q79,12)=0),IF(AND(Units!$L79=1,H$1=Units!$Q79),1,Inputs!$B$15)*Inputs!$B$16*(1+Inputs!$B$11)^(H$2-1),0)</f>
        <v>0</v>
      </c>
      <c r="I80" s="11" t="n">
        <f aca="false">IF(AND(I$1&gt;=Units!$Q79,MOD(I$1-Units!$Q79,12)=0),IF(AND(Units!$L79=1,I$1=Units!$Q79),1,Inputs!$B$15)*Inputs!$B$16*(1+Inputs!$B$11)^(I$2-1),0)</f>
        <v>0</v>
      </c>
      <c r="J80" s="11" t="n">
        <f aca="false">IF(AND(J$1&gt;=Units!$Q79,MOD(J$1-Units!$Q79,12)=0),IF(AND(Units!$L79=1,J$1=Units!$Q79),1,Inputs!$B$15)*Inputs!$B$16*(1+Inputs!$B$11)^(J$2-1),0)</f>
        <v>0</v>
      </c>
      <c r="K80" s="11" t="n">
        <f aca="false">IF(AND(K$1&gt;=Units!$Q79,MOD(K$1-Units!$Q79,12)=0),IF(AND(Units!$L79=1,K$1=Units!$Q79),1,Inputs!$B$15)*Inputs!$B$16*(1+Inputs!$B$11)^(K$2-1),0)</f>
        <v>0</v>
      </c>
      <c r="L80" s="11" t="n">
        <f aca="false">IF(AND(L$1&gt;=Units!$Q79,MOD(L$1-Units!$Q79,12)=0),IF(AND(Units!$L79=1,L$1=Units!$Q79),1,Inputs!$B$15)*Inputs!$B$16*(1+Inputs!$B$11)^(L$2-1),0)</f>
        <v>0</v>
      </c>
      <c r="M80" s="11" t="n">
        <f aca="false">IF(AND(M$1&gt;=Units!$Q79,MOD(M$1-Units!$Q79,12)=0),IF(AND(Units!$L79=1,M$1=Units!$Q79),1,Inputs!$B$15)*Inputs!$B$16*(1+Inputs!$B$11)^(M$2-1),0)</f>
        <v>0</v>
      </c>
      <c r="N80" s="11" t="n">
        <f aca="false">IF(AND(N$1&gt;=Units!$Q79,MOD(N$1-Units!$Q79,12)=0),IF(AND(Units!$L79=1,N$1=Units!$Q79),1,Inputs!$B$15)*Inputs!$B$16*(1+Inputs!$B$11)^(N$2-1),0)</f>
        <v>0</v>
      </c>
      <c r="O80" s="11" t="n">
        <f aca="false">IF(AND(O$1&gt;=Units!$Q79,MOD(O$1-Units!$Q79,12)=0),IF(AND(Units!$L79=1,O$1=Units!$Q79),1,Inputs!$B$15)*Inputs!$B$16*(1+Inputs!$B$11)^(O$2-1),0)</f>
        <v>515</v>
      </c>
      <c r="P80" s="11" t="n">
        <f aca="false">IF(AND(P$1&gt;=Units!$Q79,MOD(P$1-Units!$Q79,12)=0),IF(AND(Units!$L79=1,P$1=Units!$Q79),1,Inputs!$B$15)*Inputs!$B$16*(1+Inputs!$B$11)^(P$2-1),0)</f>
        <v>0</v>
      </c>
      <c r="Q80" s="11" t="n">
        <f aca="false">IF(AND(Q$1&gt;=Units!$Q79,MOD(Q$1-Units!$Q79,12)=0),IF(AND(Units!$L79=1,Q$1=Units!$Q79),1,Inputs!$B$15)*Inputs!$B$16*(1+Inputs!$B$11)^(Q$2-1),0)</f>
        <v>0</v>
      </c>
      <c r="R80" s="11" t="n">
        <f aca="false">IF(AND(R$1&gt;=Units!$Q79,MOD(R$1-Units!$Q79,12)=0),IF(AND(Units!$L79=1,R$1=Units!$Q79),1,Inputs!$B$15)*Inputs!$B$16*(1+Inputs!$B$11)^(R$2-1),0)</f>
        <v>0</v>
      </c>
      <c r="S80" s="11" t="n">
        <f aca="false">IF(AND(S$1&gt;=Units!$Q79,MOD(S$1-Units!$Q79,12)=0),IF(AND(Units!$L79=1,S$1=Units!$Q79),1,Inputs!$B$15)*Inputs!$B$16*(1+Inputs!$B$11)^(S$2-1),0)</f>
        <v>0</v>
      </c>
      <c r="T80" s="11" t="n">
        <f aca="false">IF(AND(T$1&gt;=Units!$Q79,MOD(T$1-Units!$Q79,12)=0),IF(AND(Units!$L79=1,T$1=Units!$Q79),1,Inputs!$B$15)*Inputs!$B$16*(1+Inputs!$B$11)^(T$2-1),0)</f>
        <v>0</v>
      </c>
      <c r="U80" s="11" t="n">
        <f aca="false">IF(AND(U$1&gt;=Units!$Q79,MOD(U$1-Units!$Q79,12)=0),IF(AND(Units!$L79=1,U$1=Units!$Q79),1,Inputs!$B$15)*Inputs!$B$16*(1+Inputs!$B$11)^(U$2-1),0)</f>
        <v>0</v>
      </c>
      <c r="V80" s="11" t="n">
        <f aca="false">IF(AND(V$1&gt;=Units!$Q79,MOD(V$1-Units!$Q79,12)=0),IF(AND(Units!$L79=1,V$1=Units!$Q79),1,Inputs!$B$15)*Inputs!$B$16*(1+Inputs!$B$11)^(V$2-1),0)</f>
        <v>0</v>
      </c>
      <c r="W80" s="11" t="n">
        <f aca="false">IF(AND(W$1&gt;=Units!$Q79,MOD(W$1-Units!$Q79,12)=0),IF(AND(Units!$L79=1,W$1=Units!$Q79),1,Inputs!$B$15)*Inputs!$B$16*(1+Inputs!$B$11)^(W$2-1),0)</f>
        <v>0</v>
      </c>
      <c r="X80" s="11" t="n">
        <f aca="false">IF(AND(X$1&gt;=Units!$Q79,MOD(X$1-Units!$Q79,12)=0),IF(AND(Units!$L79=1,X$1=Units!$Q79),1,Inputs!$B$15)*Inputs!$B$16*(1+Inputs!$B$11)^(X$2-1),0)</f>
        <v>0</v>
      </c>
      <c r="Y80" s="11" t="n">
        <f aca="false">IF(AND(Y$1&gt;=Units!$Q79,MOD(Y$1-Units!$Q79,12)=0),IF(AND(Units!$L79=1,Y$1=Units!$Q79),1,Inputs!$B$15)*Inputs!$B$16*(1+Inputs!$B$11)^(Y$2-1),0)</f>
        <v>0</v>
      </c>
      <c r="Z80" s="11" t="n">
        <f aca="false">IF(AND(Z$1&gt;=Units!$Q79,MOD(Z$1-Units!$Q79,12)=0),IF(AND(Units!$L79=1,Z$1=Units!$Q79),1,Inputs!$B$15)*Inputs!$B$16*(1+Inputs!$B$11)^(Z$2-1),0)</f>
        <v>0</v>
      </c>
      <c r="AA80" s="11" t="n">
        <f aca="false">IF(AND(AA$1&gt;=Units!$Q79,MOD(AA$1-Units!$Q79,12)=0),IF(AND(Units!$L79=1,AA$1=Units!$Q79),1,Inputs!$B$15)*Inputs!$B$16*(1+Inputs!$B$11)^(AA$2-1),0)</f>
        <v>530.45</v>
      </c>
      <c r="AB80" s="11" t="n">
        <f aca="false">IF(AND(AB$1&gt;=Units!$Q79,MOD(AB$1-Units!$Q79,12)=0),IF(AND(Units!$L79=1,AB$1=Units!$Q79),1,Inputs!$B$15)*Inputs!$B$16*(1+Inputs!$B$11)^(AB$2-1),0)</f>
        <v>0</v>
      </c>
      <c r="AC80" s="11" t="n">
        <f aca="false">IF(AND(AC$1&gt;=Units!$Q79,MOD(AC$1-Units!$Q79,12)=0),IF(AND(Units!$L79=1,AC$1=Units!$Q79),1,Inputs!$B$15)*Inputs!$B$16*(1+Inputs!$B$11)^(AC$2-1),0)</f>
        <v>0</v>
      </c>
      <c r="AD80" s="11" t="n">
        <f aca="false">IF(AND(AD$1&gt;=Units!$Q79,MOD(AD$1-Units!$Q79,12)=0),IF(AND(Units!$L79=1,AD$1=Units!$Q79),1,Inputs!$B$15)*Inputs!$B$16*(1+Inputs!$B$11)^(AD$2-1),0)</f>
        <v>0</v>
      </c>
      <c r="AE80" s="11" t="n">
        <f aca="false">IF(AND(AE$1&gt;=Units!$Q79,MOD(AE$1-Units!$Q79,12)=0),IF(AND(Units!$L79=1,AE$1=Units!$Q79),1,Inputs!$B$15)*Inputs!$B$16*(1+Inputs!$B$11)^(AE$2-1),0)</f>
        <v>0</v>
      </c>
      <c r="AF80" s="11" t="n">
        <f aca="false">IF(AND(AF$1&gt;=Units!$Q79,MOD(AF$1-Units!$Q79,12)=0),IF(AND(Units!$L79=1,AF$1=Units!$Q79),1,Inputs!$B$15)*Inputs!$B$16*(1+Inputs!$B$11)^(AF$2-1),0)</f>
        <v>0</v>
      </c>
      <c r="AG80" s="11" t="n">
        <f aca="false">IF(AND(AG$1&gt;=Units!$Q79,MOD(AG$1-Units!$Q79,12)=0),IF(AND(Units!$L79=1,AG$1=Units!$Q79),1,Inputs!$B$15)*Inputs!$B$16*(1+Inputs!$B$11)^(AG$2-1),0)</f>
        <v>0</v>
      </c>
      <c r="AH80" s="11" t="n">
        <f aca="false">IF(AND(AH$1&gt;=Units!$Q79,MOD(AH$1-Units!$Q79,12)=0),IF(AND(Units!$L79=1,AH$1=Units!$Q79),1,Inputs!$B$15)*Inputs!$B$16*(1+Inputs!$B$11)^(AH$2-1),0)</f>
        <v>0</v>
      </c>
      <c r="AI80" s="11" t="n">
        <f aca="false">IF(AND(AI$1&gt;=Units!$Q79,MOD(AI$1-Units!$Q79,12)=0),IF(AND(Units!$L79=1,AI$1=Units!$Q79),1,Inputs!$B$15)*Inputs!$B$16*(1+Inputs!$B$11)^(AI$2-1),0)</f>
        <v>0</v>
      </c>
      <c r="AJ80" s="11" t="n">
        <f aca="false">IF(AND(AJ$1&gt;=Units!$Q79,MOD(AJ$1-Units!$Q79,12)=0),IF(AND(Units!$L79=1,AJ$1=Units!$Q79),1,Inputs!$B$15)*Inputs!$B$16*(1+Inputs!$B$11)^(AJ$2-1),0)</f>
        <v>0</v>
      </c>
      <c r="AK80" s="11" t="n">
        <f aca="false">IF(AND(AK$1&gt;=Units!$Q79,MOD(AK$1-Units!$Q79,12)=0),IF(AND(Units!$L79=1,AK$1=Units!$Q79),1,Inputs!$B$15)*Inputs!$B$16*(1+Inputs!$B$11)^(AK$2-1),0)</f>
        <v>0</v>
      </c>
      <c r="AL80" s="11" t="n">
        <f aca="false">IF(AND(AL$1&gt;=Units!$Q79,MOD(AL$1-Units!$Q79,12)=0),IF(AND(Units!$L79=1,AL$1=Units!$Q79),1,Inputs!$B$15)*Inputs!$B$16*(1+Inputs!$B$11)^(AL$2-1),0)</f>
        <v>0</v>
      </c>
      <c r="AM80" s="11" t="n">
        <f aca="false">IF(AND(AM$1&gt;=Units!$Q79,MOD(AM$1-Units!$Q79,12)=0),IF(AND(Units!$L79=1,AM$1=Units!$Q79),1,Inputs!$B$15)*Inputs!$B$16*(1+Inputs!$B$11)^(AM$2-1),0)</f>
        <v>546.3635</v>
      </c>
      <c r="AN80" s="11" t="n">
        <f aca="false">IF(AND(AN$1&gt;=Units!$Q79,MOD(AN$1-Units!$Q79,12)=0),IF(AND(Units!$L79=1,AN$1=Units!$Q79),1,Inputs!$B$15)*Inputs!$B$16*(1+Inputs!$B$11)^(AN$2-1),0)</f>
        <v>0</v>
      </c>
      <c r="AO80" s="11" t="n">
        <f aca="false">IF(AND(AO$1&gt;=Units!$Q79,MOD(AO$1-Units!$Q79,12)=0),IF(AND(Units!$L79=1,AO$1=Units!$Q79),1,Inputs!$B$15)*Inputs!$B$16*(1+Inputs!$B$11)^(AO$2-1),0)</f>
        <v>0</v>
      </c>
      <c r="AP80" s="11" t="n">
        <f aca="false">IF(AND(AP$1&gt;=Units!$Q79,MOD(AP$1-Units!$Q79,12)=0),IF(AND(Units!$L79=1,AP$1=Units!$Q79),1,Inputs!$B$15)*Inputs!$B$16*(1+Inputs!$B$11)^(AP$2-1),0)</f>
        <v>0</v>
      </c>
      <c r="AQ80" s="11" t="n">
        <f aca="false">IF(AND(AQ$1&gt;=Units!$Q79,MOD(AQ$1-Units!$Q79,12)=0),IF(AND(Units!$L79=1,AQ$1=Units!$Q79),1,Inputs!$B$15)*Inputs!$B$16*(1+Inputs!$B$11)^(AQ$2-1),0)</f>
        <v>0</v>
      </c>
      <c r="AR80" s="11" t="n">
        <f aca="false">IF(AND(AR$1&gt;=Units!$Q79,MOD(AR$1-Units!$Q79,12)=0),IF(AND(Units!$L79=1,AR$1=Units!$Q79),1,Inputs!$B$15)*Inputs!$B$16*(1+Inputs!$B$11)^(AR$2-1),0)</f>
        <v>0</v>
      </c>
      <c r="AS80" s="11" t="n">
        <f aca="false">IF(AND(AS$1&gt;=Units!$Q79,MOD(AS$1-Units!$Q79,12)=0),IF(AND(Units!$L79=1,AS$1=Units!$Q79),1,Inputs!$B$15)*Inputs!$B$16*(1+Inputs!$B$11)^(AS$2-1),0)</f>
        <v>0</v>
      </c>
      <c r="AT80" s="11" t="n">
        <f aca="false">IF(AND(AT$1&gt;=Units!$Q79,MOD(AT$1-Units!$Q79,12)=0),IF(AND(Units!$L79=1,AT$1=Units!$Q79),1,Inputs!$B$15)*Inputs!$B$16*(1+Inputs!$B$11)^(AT$2-1),0)</f>
        <v>0</v>
      </c>
      <c r="AU80" s="11" t="n">
        <f aca="false">IF(AND(AU$1&gt;=Units!$Q79,MOD(AU$1-Units!$Q79,12)=0),IF(AND(Units!$L79=1,AU$1=Units!$Q79),1,Inputs!$B$15)*Inputs!$B$16*(1+Inputs!$B$11)^(AU$2-1),0)</f>
        <v>0</v>
      </c>
      <c r="AV80" s="11" t="n">
        <f aca="false">IF(AND(AV$1&gt;=Units!$Q79,MOD(AV$1-Units!$Q79,12)=0),IF(AND(Units!$L79=1,AV$1=Units!$Q79),1,Inputs!$B$15)*Inputs!$B$16*(1+Inputs!$B$11)^(AV$2-1),0)</f>
        <v>0</v>
      </c>
      <c r="AW80" s="11" t="n">
        <f aca="false">IF(AND(AW$1&gt;=Units!$Q79,MOD(AW$1-Units!$Q79,12)=0),IF(AND(Units!$L79=1,AW$1=Units!$Q79),1,Inputs!$B$15)*Inputs!$B$16*(1+Inputs!$B$11)^(AW$2-1),0)</f>
        <v>0</v>
      </c>
      <c r="AX80" s="11" t="n">
        <f aca="false">IF(AND(AX$1&gt;=Units!$Q79,MOD(AX$1-Units!$Q79,12)=0),IF(AND(Units!$L79=1,AX$1=Units!$Q79),1,Inputs!$B$15)*Inputs!$B$16*(1+Inputs!$B$11)^(AX$2-1),0)</f>
        <v>0</v>
      </c>
      <c r="AY80" s="11" t="n">
        <f aca="false">IF(AND(AY$1&gt;=Units!$Q79,MOD(AY$1-Units!$Q79,12)=0),IF(AND(Units!$L79=1,AY$1=Units!$Q79),1,Inputs!$B$15)*Inputs!$B$16*(1+Inputs!$B$11)^(AY$2-1),0)</f>
        <v>562.754405</v>
      </c>
      <c r="AZ80" s="11" t="n">
        <f aca="false">IF(AND(AZ$1&gt;=Units!$Q79,MOD(AZ$1-Units!$Q79,12)=0),IF(AND(Units!$L79=1,AZ$1=Units!$Q79),1,Inputs!$B$15)*Inputs!$B$16*(1+Inputs!$B$11)^(AZ$2-1),0)</f>
        <v>0</v>
      </c>
      <c r="BA80" s="11" t="n">
        <f aca="false">IF(AND(BA$1&gt;=Units!$Q79,MOD(BA$1-Units!$Q79,12)=0),IF(AND(Units!$L79=1,BA$1=Units!$Q79),1,Inputs!$B$15)*Inputs!$B$16*(1+Inputs!$B$11)^(BA$2-1),0)</f>
        <v>0</v>
      </c>
      <c r="BB80" s="11" t="n">
        <f aca="false">IF(AND(BB$1&gt;=Units!$Q79,MOD(BB$1-Units!$Q79,12)=0),IF(AND(Units!$L79=1,BB$1=Units!$Q79),1,Inputs!$B$15)*Inputs!$B$16*(1+Inputs!$B$11)^(BB$2-1),0)</f>
        <v>0</v>
      </c>
      <c r="BC80" s="11" t="n">
        <f aca="false">IF(AND(BC$1&gt;=Units!$Q79,MOD(BC$1-Units!$Q79,12)=0),IF(AND(Units!$L79=1,BC$1=Units!$Q79),1,Inputs!$B$15)*Inputs!$B$16*(1+Inputs!$B$11)^(BC$2-1),0)</f>
        <v>0</v>
      </c>
      <c r="BD80" s="11" t="n">
        <f aca="false">IF(AND(BD$1&gt;=Units!$Q79,MOD(BD$1-Units!$Q79,12)=0),IF(AND(Units!$L79=1,BD$1=Units!$Q79),1,Inputs!$B$15)*Inputs!$B$16*(1+Inputs!$B$11)^(BD$2-1),0)</f>
        <v>0</v>
      </c>
      <c r="BE80" s="11" t="n">
        <f aca="false">IF(AND(BE$1&gt;=Units!$Q79,MOD(BE$1-Units!$Q79,12)=0),IF(AND(Units!$L79=1,BE$1=Units!$Q79),1,Inputs!$B$15)*Inputs!$B$16*(1+Inputs!$B$11)^(BE$2-1),0)</f>
        <v>0</v>
      </c>
      <c r="BF80" s="11" t="n">
        <f aca="false">IF(AND(BF$1&gt;=Units!$Q79,MOD(BF$1-Units!$Q79,12)=0),IF(AND(Units!$L79=1,BF$1=Units!$Q79),1,Inputs!$B$15)*Inputs!$B$16*(1+Inputs!$B$11)^(BF$2-1),0)</f>
        <v>0</v>
      </c>
      <c r="BG80" s="11" t="n">
        <f aca="false">IF(AND(BG$1&gt;=Units!$Q79,MOD(BG$1-Units!$Q79,12)=0),IF(AND(Units!$L79=1,BG$1=Units!$Q79),1,Inputs!$B$15)*Inputs!$B$16*(1+Inputs!$B$11)^(BG$2-1),0)</f>
        <v>0</v>
      </c>
      <c r="BH80" s="11" t="n">
        <f aca="false">IF(AND(BH$1&gt;=Units!$Q79,MOD(BH$1-Units!$Q79,12)=0),IF(AND(Units!$L79=1,BH$1=Units!$Q79),1,Inputs!$B$15)*Inputs!$B$16*(1+Inputs!$B$11)^(BH$2-1),0)</f>
        <v>0</v>
      </c>
      <c r="BI80" s="11" t="n">
        <f aca="false">IF(AND(BI$1&gt;=Units!$Q79,MOD(BI$1-Units!$Q79,12)=0),IF(AND(Units!$L79=1,BI$1=Units!$Q79),1,Inputs!$B$15)*Inputs!$B$16*(1+Inputs!$B$11)^(BI$2-1),0)</f>
        <v>0</v>
      </c>
      <c r="BJ80" s="11" t="n">
        <f aca="false">IF(AND(BJ$1&gt;=Units!$Q79,MOD(BJ$1-Units!$Q79,12)=0),IF(AND(Units!$L79=1,BJ$1=Units!$Q79),1,Inputs!$B$15)*Inputs!$B$16*(1+Inputs!$B$11)^(BJ$2-1),0)</f>
        <v>0</v>
      </c>
      <c r="BK80" s="11" t="n">
        <f aca="false">IF(AND(BK$1&gt;=Units!$Q79,MOD(BK$1-Units!$Q79,12)=0),IF(AND(Units!$L79=1,BK$1=Units!$Q79),1,Inputs!$B$15)*Inputs!$B$16*(1+Inputs!$B$11)^(BK$2-1),0)</f>
        <v>579.63703715</v>
      </c>
      <c r="BL80" s="11" t="n">
        <f aca="false">IF(AND(BL$1&gt;=Units!$Q79,MOD(BL$1-Units!$Q79,12)=0),IF(AND(Units!$L79=1,BL$1=Units!$Q79),1,Inputs!$B$15)*Inputs!$B$16*(1+Inputs!$B$11)^(BL$2-1),0)</f>
        <v>0</v>
      </c>
      <c r="BM80" s="11" t="n">
        <f aca="false">IF(AND(BM$1&gt;=Units!$Q79,MOD(BM$1-Units!$Q79,12)=0),IF(AND(Units!$L79=1,BM$1=Units!$Q79),1,Inputs!$B$15)*Inputs!$B$16*(1+Inputs!$B$11)^(BM$2-1),0)</f>
        <v>0</v>
      </c>
      <c r="BN80" s="11" t="n">
        <f aca="false">IF(AND(BN$1&gt;=Units!$Q79,MOD(BN$1-Units!$Q79,12)=0),IF(AND(Units!$L79=1,BN$1=Units!$Q79),1,Inputs!$B$15)*Inputs!$B$16*(1+Inputs!$B$11)^(BN$2-1),0)</f>
        <v>0</v>
      </c>
      <c r="BO80" s="11" t="n">
        <f aca="false">IF(AND(BO$1&gt;=Units!$Q79,MOD(BO$1-Units!$Q79,12)=0),IF(AND(Units!$L79=1,BO$1=Units!$Q79),1,Inputs!$B$15)*Inputs!$B$16*(1+Inputs!$B$11)^(BO$2-1),0)</f>
        <v>0</v>
      </c>
      <c r="BP80" s="11" t="n">
        <f aca="false">IF(AND(BP$1&gt;=Units!$Q79,MOD(BP$1-Units!$Q79,12)=0),IF(AND(Units!$L79=1,BP$1=Units!$Q79),1,Inputs!$B$15)*Inputs!$B$16*(1+Inputs!$B$11)^(BP$2-1),0)</f>
        <v>0</v>
      </c>
      <c r="BQ80" s="11" t="n">
        <f aca="false">IF(AND(BQ$1&gt;=Units!$Q79,MOD(BQ$1-Units!$Q79,12)=0),IF(AND(Units!$L79=1,BQ$1=Units!$Q79),1,Inputs!$B$15)*Inputs!$B$16*(1+Inputs!$B$11)^(BQ$2-1),0)</f>
        <v>0</v>
      </c>
      <c r="BR80" s="11" t="n">
        <f aca="false">IF(AND(BR$1&gt;=Units!$Q79,MOD(BR$1-Units!$Q79,12)=0),IF(AND(Units!$L79=1,BR$1=Units!$Q79),1,Inputs!$B$15)*Inputs!$B$16*(1+Inputs!$B$11)^(BR$2-1),0)</f>
        <v>0</v>
      </c>
      <c r="BS80" s="11" t="n">
        <f aca="false">IF(AND(BS$1&gt;=Units!$Q79,MOD(BS$1-Units!$Q79,12)=0),IF(AND(Units!$L79=1,BS$1=Units!$Q79),1,Inputs!$B$15)*Inputs!$B$16*(1+Inputs!$B$11)^(BS$2-1),0)</f>
        <v>0</v>
      </c>
      <c r="BT80" s="11" t="n">
        <f aca="false">IF(AND(BT$1&gt;=Units!$Q79,MOD(BT$1-Units!$Q79,12)=0),IF(AND(Units!$L79=1,BT$1=Units!$Q79),1,Inputs!$B$15)*Inputs!$B$16*(1+Inputs!$B$11)^(BT$2-1),0)</f>
        <v>0</v>
      </c>
      <c r="BU80" s="11" t="n">
        <f aca="false">IF(AND(BU$1&gt;=Units!$Q79,MOD(BU$1-Units!$Q79,12)=0),IF(AND(Units!$L79=1,BU$1=Units!$Q79),1,Inputs!$B$15)*Inputs!$B$16*(1+Inputs!$B$11)^(BU$2-1),0)</f>
        <v>0</v>
      </c>
      <c r="BV80" s="11" t="n">
        <f aca="false">IF(AND(BV$1&gt;=Units!$Q79,MOD(BV$1-Units!$Q79,12)=0),IF(AND(Units!$L79=1,BV$1=Units!$Q79),1,Inputs!$B$15)*Inputs!$B$16*(1+Inputs!$B$11)^(BV$2-1),0)</f>
        <v>0</v>
      </c>
      <c r="BW80" s="11" t="n">
        <f aca="false">IF(AND(BW$1&gt;=Units!$Q79,MOD(BW$1-Units!$Q79,12)=0),IF(AND(Units!$L79=1,BW$1=Units!$Q79),1,Inputs!$B$15)*Inputs!$B$16*(1+Inputs!$B$11)^(BW$2-1),0)</f>
        <v>597.0261482645</v>
      </c>
      <c r="BX80" s="11" t="n">
        <f aca="false">IF(AND(BX$1&gt;=Units!$Q79,MOD(BX$1-Units!$Q79,12)=0),IF(AND(Units!$L79=1,BX$1=Units!$Q79),1,Inputs!$B$15)*Inputs!$B$16*(1+Inputs!$B$11)^(BX$2-1),0)</f>
        <v>0</v>
      </c>
      <c r="BY80" s="11" t="n">
        <f aca="false">IF(AND(BY$1&gt;=Units!$Q79,MOD(BY$1-Units!$Q79,12)=0),IF(AND(Units!$L79=1,BY$1=Units!$Q79),1,Inputs!$B$15)*Inputs!$B$16*(1+Inputs!$B$11)^(BY$2-1),0)</f>
        <v>0</v>
      </c>
      <c r="BZ80" s="11" t="n">
        <f aca="false">IF(AND(BZ$1&gt;=Units!$Q79,MOD(BZ$1-Units!$Q79,12)=0),IF(AND(Units!$L79=1,BZ$1=Units!$Q79),1,Inputs!$B$15)*Inputs!$B$16*(1+Inputs!$B$11)^(BZ$2-1),0)</f>
        <v>0</v>
      </c>
      <c r="CA80" s="11" t="n">
        <f aca="false">IF(AND(CA$1&gt;=Units!$Q79,MOD(CA$1-Units!$Q79,12)=0),IF(AND(Units!$L79=1,CA$1=Units!$Q79),1,Inputs!$B$15)*Inputs!$B$16*(1+Inputs!$B$11)^(CA$2-1),0)</f>
        <v>0</v>
      </c>
      <c r="CB80" s="11" t="n">
        <f aca="false">IF(AND(CB$1&gt;=Units!$Q79,MOD(CB$1-Units!$Q79,12)=0),IF(AND(Units!$L79=1,CB$1=Units!$Q79),1,Inputs!$B$15)*Inputs!$B$16*(1+Inputs!$B$11)^(CB$2-1),0)</f>
        <v>0</v>
      </c>
      <c r="CC80" s="11" t="n">
        <f aca="false">IF(AND(CC$1&gt;=Units!$Q79,MOD(CC$1-Units!$Q79,12)=0),IF(AND(Units!$L79=1,CC$1=Units!$Q79),1,Inputs!$B$15)*Inputs!$B$16*(1+Inputs!$B$11)^(CC$2-1),0)</f>
        <v>0</v>
      </c>
      <c r="CD80" s="11" t="n">
        <f aca="false">IF(AND(CD$1&gt;=Units!$Q79,MOD(CD$1-Units!$Q79,12)=0),IF(AND(Units!$L79=1,CD$1=Units!$Q79),1,Inputs!$B$15)*Inputs!$B$16*(1+Inputs!$B$11)^(CD$2-1),0)</f>
        <v>0</v>
      </c>
      <c r="CE80" s="11" t="n">
        <f aca="false">IF(AND(CE$1&gt;=Units!$Q79,MOD(CE$1-Units!$Q79,12)=0),IF(AND(Units!$L79=1,CE$1=Units!$Q79),1,Inputs!$B$15)*Inputs!$B$16*(1+Inputs!$B$11)^(CE$2-1),0)</f>
        <v>0</v>
      </c>
      <c r="CF80" s="11" t="n">
        <f aca="false">IF(AND(CF$1&gt;=Units!$Q79,MOD(CF$1-Units!$Q79,12)=0),IF(AND(Units!$L79=1,CF$1=Units!$Q79),1,Inputs!$B$15)*Inputs!$B$16*(1+Inputs!$B$11)^(CF$2-1),0)</f>
        <v>0</v>
      </c>
      <c r="CG80" s="11" t="n">
        <f aca="false">IF(AND(CG$1&gt;=Units!$Q79,MOD(CG$1-Units!$Q79,12)=0),IF(AND(Units!$L79=1,CG$1=Units!$Q79),1,Inputs!$B$15)*Inputs!$B$16*(1+Inputs!$B$11)^(CG$2-1),0)</f>
        <v>0</v>
      </c>
      <c r="CH80" s="11" t="n">
        <f aca="false">IF(AND(CH$1&gt;=Units!$Q79,MOD(CH$1-Units!$Q79,12)=0),IF(AND(Units!$L79=1,CH$1=Units!$Q79),1,Inputs!$B$15)*Inputs!$B$16*(1+Inputs!$B$11)^(CH$2-1),0)</f>
        <v>0</v>
      </c>
      <c r="CI80" s="11" t="n">
        <f aca="false">IF(AND(CI$1&gt;=Units!$Q79,MOD(CI$1-Units!$Q79,12)=0),IF(AND(Units!$L79=1,CI$1=Units!$Q79),1,Inputs!$B$15)*Inputs!$B$16*(1+Inputs!$B$11)^(CI$2-1),0)</f>
        <v>614.936932712435</v>
      </c>
      <c r="CJ80" s="11" t="n">
        <f aca="false">IF(AND(CJ$1&gt;=Units!$Q79,MOD(CJ$1-Units!$Q79,12)=0),IF(AND(Units!$L79=1,CJ$1=Units!$Q79),1,Inputs!$B$15)*Inputs!$B$16*(1+Inputs!$B$11)^(CJ$2-1),0)</f>
        <v>0</v>
      </c>
      <c r="CK80" s="11" t="n">
        <f aca="false">IF(AND(CK$1&gt;=Units!$Q79,MOD(CK$1-Units!$Q79,12)=0),IF(AND(Units!$L79=1,CK$1=Units!$Q79),1,Inputs!$B$15)*Inputs!$B$16*(1+Inputs!$B$11)^(CK$2-1),0)</f>
        <v>0</v>
      </c>
      <c r="CL80" s="11" t="n">
        <f aca="false">IF(AND(CL$1&gt;=Units!$Q79,MOD(CL$1-Units!$Q79,12)=0),IF(AND(Units!$L79=1,CL$1=Units!$Q79),1,Inputs!$B$15)*Inputs!$B$16*(1+Inputs!$B$11)^(CL$2-1),0)</f>
        <v>0</v>
      </c>
      <c r="CM80" s="11" t="n">
        <f aca="false">IF(AND(CM$1&gt;=Units!$Q79,MOD(CM$1-Units!$Q79,12)=0),IF(AND(Units!$L79=1,CM$1=Units!$Q79),1,Inputs!$B$15)*Inputs!$B$16*(1+Inputs!$B$11)^(CM$2-1),0)</f>
        <v>0</v>
      </c>
      <c r="CN80" s="11" t="n">
        <f aca="false">IF(AND(CN$1&gt;=Units!$Q79,MOD(CN$1-Units!$Q79,12)=0),IF(AND(Units!$L79=1,CN$1=Units!$Q79),1,Inputs!$B$15)*Inputs!$B$16*(1+Inputs!$B$11)^(CN$2-1),0)</f>
        <v>0</v>
      </c>
      <c r="CO80" s="11" t="n">
        <f aca="false">IF(AND(CO$1&gt;=Units!$Q79,MOD(CO$1-Units!$Q79,12)=0),IF(AND(Units!$L79=1,CO$1=Units!$Q79),1,Inputs!$B$15)*Inputs!$B$16*(1+Inputs!$B$11)^(CO$2-1),0)</f>
        <v>0</v>
      </c>
      <c r="CP80" s="11" t="n">
        <f aca="false">IF(AND(CP$1&gt;=Units!$Q79,MOD(CP$1-Units!$Q79,12)=0),IF(AND(Units!$L79=1,CP$1=Units!$Q79),1,Inputs!$B$15)*Inputs!$B$16*(1+Inputs!$B$11)^(CP$2-1),0)</f>
        <v>0</v>
      </c>
      <c r="CQ80" s="11" t="n">
        <f aca="false">IF(AND(CQ$1&gt;=Units!$Q79,MOD(CQ$1-Units!$Q79,12)=0),IF(AND(Units!$L79=1,CQ$1=Units!$Q79),1,Inputs!$B$15)*Inputs!$B$16*(1+Inputs!$B$11)^(CQ$2-1),0)</f>
        <v>0</v>
      </c>
      <c r="CR80" s="11" t="n">
        <f aca="false">IF(AND(CR$1&gt;=Units!$Q79,MOD(CR$1-Units!$Q79,12)=0),IF(AND(Units!$L79=1,CR$1=Units!$Q79),1,Inputs!$B$15)*Inputs!$B$16*(1+Inputs!$B$11)^(CR$2-1),0)</f>
        <v>0</v>
      </c>
      <c r="CS80" s="11" t="n">
        <f aca="false">IF(AND(CS$1&gt;=Units!$Q79,MOD(CS$1-Units!$Q79,12)=0),IF(AND(Units!$L79=1,CS$1=Units!$Q79),1,Inputs!$B$15)*Inputs!$B$16*(1+Inputs!$B$11)^(CS$2-1),0)</f>
        <v>0</v>
      </c>
      <c r="CT80" s="11" t="n">
        <f aca="false">IF(AND(CT$1&gt;=Units!$Q79,MOD(CT$1-Units!$Q79,12)=0),IF(AND(Units!$L79=1,CT$1=Units!$Q79),1,Inputs!$B$15)*Inputs!$B$16*(1+Inputs!$B$11)^(CT$2-1),0)</f>
        <v>0</v>
      </c>
      <c r="CU80" s="11" t="n">
        <f aca="false">IF(AND(CU$1&gt;=Units!$Q79,MOD(CU$1-Units!$Q79,12)=0),IF(AND(Units!$L79=1,CU$1=Units!$Q79),1,Inputs!$B$15)*Inputs!$B$16*(1+Inputs!$B$11)^(CU$2-1),0)</f>
        <v>633.385040693808</v>
      </c>
      <c r="CV80" s="11" t="n">
        <f aca="false">IF(AND(CV$1&gt;=Units!$Q79,MOD(CV$1-Units!$Q79,12)=0),IF(AND(Units!$L79=1,CV$1=Units!$Q79),1,Inputs!$B$15)*Inputs!$B$16*(1+Inputs!$B$11)^(CV$2-1),0)</f>
        <v>0</v>
      </c>
      <c r="CW80" s="11" t="n">
        <f aca="false">IF(AND(CW$1&gt;=Units!$Q79,MOD(CW$1-Units!$Q79,12)=0),IF(AND(Units!$L79=1,CW$1=Units!$Q79),1,Inputs!$B$15)*Inputs!$B$16*(1+Inputs!$B$11)^(CW$2-1),0)</f>
        <v>0</v>
      </c>
      <c r="CX80" s="11" t="n">
        <f aca="false">IF(AND(CX$1&gt;=Units!$Q79,MOD(CX$1-Units!$Q79,12)=0),IF(AND(Units!$L79=1,CX$1=Units!$Q79),1,Inputs!$B$15)*Inputs!$B$16*(1+Inputs!$B$11)^(CX$2-1),0)</f>
        <v>0</v>
      </c>
      <c r="CY80" s="11" t="n">
        <f aca="false">IF(AND(CY$1&gt;=Units!$Q79,MOD(CY$1-Units!$Q79,12)=0),IF(AND(Units!$L79=1,CY$1=Units!$Q79),1,Inputs!$B$15)*Inputs!$B$16*(1+Inputs!$B$11)^(CY$2-1),0)</f>
        <v>0</v>
      </c>
      <c r="CZ80" s="11" t="n">
        <f aca="false">IF(AND(CZ$1&gt;=Units!$Q79,MOD(CZ$1-Units!$Q79,12)=0),IF(AND(Units!$L79=1,CZ$1=Units!$Q79),1,Inputs!$B$15)*Inputs!$B$16*(1+Inputs!$B$11)^(CZ$2-1),0)</f>
        <v>0</v>
      </c>
      <c r="DA80" s="11" t="n">
        <f aca="false">IF(AND(DA$1&gt;=Units!$Q79,MOD(DA$1-Units!$Q79,12)=0),IF(AND(Units!$L79=1,DA$1=Units!$Q79),1,Inputs!$B$15)*Inputs!$B$16*(1+Inputs!$B$11)^(DA$2-1),0)</f>
        <v>0</v>
      </c>
      <c r="DB80" s="11" t="n">
        <f aca="false">IF(AND(DB$1&gt;=Units!$Q79,MOD(DB$1-Units!$Q79,12)=0),IF(AND(Units!$L79=1,DB$1=Units!$Q79),1,Inputs!$B$15)*Inputs!$B$16*(1+Inputs!$B$11)^(DB$2-1),0)</f>
        <v>0</v>
      </c>
      <c r="DC80" s="11" t="n">
        <f aca="false">IF(AND(DC$1&gt;=Units!$Q79,MOD(DC$1-Units!$Q79,12)=0),IF(AND(Units!$L79=1,DC$1=Units!$Q79),1,Inputs!$B$15)*Inputs!$B$16*(1+Inputs!$B$11)^(DC$2-1),0)</f>
        <v>0</v>
      </c>
      <c r="DD80" s="11" t="n">
        <f aca="false">IF(AND(DD$1&gt;=Units!$Q79,MOD(DD$1-Units!$Q79,12)=0),IF(AND(Units!$L79=1,DD$1=Units!$Q79),1,Inputs!$B$15)*Inputs!$B$16*(1+Inputs!$B$11)^(DD$2-1),0)</f>
        <v>0</v>
      </c>
      <c r="DE80" s="11" t="n">
        <f aca="false">IF(AND(DE$1&gt;=Units!$Q79,MOD(DE$1-Units!$Q79,12)=0),IF(AND(Units!$L79=1,DE$1=Units!$Q79),1,Inputs!$B$15)*Inputs!$B$16*(1+Inputs!$B$11)^(DE$2-1),0)</f>
        <v>0</v>
      </c>
      <c r="DF80" s="11" t="n">
        <f aca="false">IF(AND(DF$1&gt;=Units!$Q79,MOD(DF$1-Units!$Q79,12)=0),IF(AND(Units!$L79=1,DF$1=Units!$Q79),1,Inputs!$B$15)*Inputs!$B$16*(1+Inputs!$B$11)^(DF$2-1),0)</f>
        <v>0</v>
      </c>
      <c r="DG80" s="11" t="n">
        <f aca="false">IF(AND(DG$1&gt;=Units!$Q79,MOD(DG$1-Units!$Q79,12)=0),IF(AND(Units!$L79=1,DG$1=Units!$Q79),1,Inputs!$B$15)*Inputs!$B$16*(1+Inputs!$B$11)^(DG$2-1),0)</f>
        <v>652.386591914623</v>
      </c>
      <c r="DH80" s="11" t="n">
        <f aca="false">IF(AND(DH$1&gt;=Units!$Q79,MOD(DH$1-Units!$Q79,12)=0),IF(AND(Units!$L79=1,DH$1=Units!$Q79),1,Inputs!$B$15)*Inputs!$B$16*(1+Inputs!$B$11)^(DH$2-1),0)</f>
        <v>0</v>
      </c>
      <c r="DI80" s="11" t="n">
        <f aca="false">IF(AND(DI$1&gt;=Units!$Q79,MOD(DI$1-Units!$Q79,12)=0),IF(AND(Units!$L79=1,DI$1=Units!$Q79),1,Inputs!$B$15)*Inputs!$B$16*(1+Inputs!$B$11)^(DI$2-1),0)</f>
        <v>0</v>
      </c>
      <c r="DJ80" s="11" t="n">
        <f aca="false">IF(AND(DJ$1&gt;=Units!$Q79,MOD(DJ$1-Units!$Q79,12)=0),IF(AND(Units!$L79=1,DJ$1=Units!$Q79),1,Inputs!$B$15)*Inputs!$B$16*(1+Inputs!$B$11)^(DJ$2-1),0)</f>
        <v>0</v>
      </c>
      <c r="DK80" s="11" t="n">
        <f aca="false">IF(AND(DK$1&gt;=Units!$Q79,MOD(DK$1-Units!$Q79,12)=0),IF(AND(Units!$L79=1,DK$1=Units!$Q79),1,Inputs!$B$15)*Inputs!$B$16*(1+Inputs!$B$11)^(DK$2-1),0)</f>
        <v>0</v>
      </c>
      <c r="DL80" s="11" t="n">
        <f aca="false">IF(AND(DL$1&gt;=Units!$Q79,MOD(DL$1-Units!$Q79,12)=0),IF(AND(Units!$L79=1,DL$1=Units!$Q79),1,Inputs!$B$15)*Inputs!$B$16*(1+Inputs!$B$11)^(DL$2-1),0)</f>
        <v>0</v>
      </c>
      <c r="DM80" s="11" t="n">
        <f aca="false">IF(AND(DM$1&gt;=Units!$Q79,MOD(DM$1-Units!$Q79,12)=0),IF(AND(Units!$L79=1,DM$1=Units!$Q79),1,Inputs!$B$15)*Inputs!$B$16*(1+Inputs!$B$11)^(DM$2-1),0)</f>
        <v>0</v>
      </c>
      <c r="DN80" s="11" t="n">
        <f aca="false">IF(AND(DN$1&gt;=Units!$Q79,MOD(DN$1-Units!$Q79,12)=0),IF(AND(Units!$L79=1,DN$1=Units!$Q79),1,Inputs!$B$15)*Inputs!$B$16*(1+Inputs!$B$11)^(DN$2-1),0)</f>
        <v>0</v>
      </c>
      <c r="DO80" s="11" t="n">
        <f aca="false">IF(AND(DO$1&gt;=Units!$Q79,MOD(DO$1-Units!$Q79,12)=0),IF(AND(Units!$L79=1,DO$1=Units!$Q79),1,Inputs!$B$15)*Inputs!$B$16*(1+Inputs!$B$11)^(DO$2-1),0)</f>
        <v>0</v>
      </c>
      <c r="DP80" s="11" t="n">
        <f aca="false">IF(AND(DP$1&gt;=Units!$Q79,MOD(DP$1-Units!$Q79,12)=0),IF(AND(Units!$L79=1,DP$1=Units!$Q79),1,Inputs!$B$15)*Inputs!$B$16*(1+Inputs!$B$11)^(DP$2-1),0)</f>
        <v>0</v>
      </c>
      <c r="DQ80" s="11" t="n">
        <f aca="false">IF(AND(DQ$1&gt;=Units!$Q79,MOD(DQ$1-Units!$Q79,12)=0),IF(AND(Units!$L79=1,DQ$1=Units!$Q79),1,Inputs!$B$15)*Inputs!$B$16*(1+Inputs!$B$11)^(DQ$2-1),0)</f>
        <v>0</v>
      </c>
      <c r="DR80" s="11" t="n">
        <f aca="false">IF(AND(DR$1&gt;=Units!$Q79,MOD(DR$1-Units!$Q79,12)=0),IF(AND(Units!$L79=1,DR$1=Units!$Q79),1,Inputs!$B$15)*Inputs!$B$16*(1+Inputs!$B$11)^(DR$2-1),0)</f>
        <v>0</v>
      </c>
      <c r="DS80" s="11" t="n">
        <f aca="false">IF(AND(DS$1&gt;=Units!$Q79,MOD(DS$1-Units!$Q79,12)=0),IF(AND(Units!$L79=1,DS$1=Units!$Q79),1,Inputs!$B$15)*Inputs!$B$16*(1+Inputs!$B$11)^(DS$2-1),0)</f>
        <v>671.958189672061</v>
      </c>
      <c r="DT80" s="11" t="n">
        <f aca="false">IF(AND(DT$1&gt;=Units!$Q79,MOD(DT$1-Units!$Q79,12)=0),IF(AND(Units!$L79=1,DT$1=Units!$Q79),1,Inputs!$B$15)*Inputs!$B$16*(1+Inputs!$B$11)^(DT$2-1),0)</f>
        <v>0</v>
      </c>
      <c r="DU80" s="11" t="n">
        <f aca="false">IF(AND(DU$1&gt;=Units!$Q79,MOD(DU$1-Units!$Q79,12)=0),IF(AND(Units!$L79=1,DU$1=Units!$Q79),1,Inputs!$B$15)*Inputs!$B$16*(1+Inputs!$B$11)^(DU$2-1),0)</f>
        <v>0</v>
      </c>
      <c r="DV80" s="11" t="n">
        <f aca="false">IF(AND(DV$1&gt;=Units!$Q79,MOD(DV$1-Units!$Q79,12)=0),IF(AND(Units!$L79=1,DV$1=Units!$Q79),1,Inputs!$B$15)*Inputs!$B$16*(1+Inputs!$B$11)^(DV$2-1),0)</f>
        <v>0</v>
      </c>
      <c r="DW80" s="11" t="n">
        <f aca="false">IF(AND(DW$1&gt;=Units!$Q79,MOD(DW$1-Units!$Q79,12)=0),IF(AND(Units!$L79=1,DW$1=Units!$Q79),1,Inputs!$B$15)*Inputs!$B$16*(1+Inputs!$B$11)^(DW$2-1),0)</f>
        <v>0</v>
      </c>
      <c r="DX80" s="11" t="n">
        <f aca="false">IF(AND(DX$1&gt;=Units!$Q79,MOD(DX$1-Units!$Q79,12)=0),IF(AND(Units!$L79=1,DX$1=Units!$Q79),1,Inputs!$B$15)*Inputs!$B$16*(1+Inputs!$B$11)^(DX$2-1),0)</f>
        <v>0</v>
      </c>
      <c r="DY80" s="11" t="n">
        <f aca="false">IF(AND(DY$1&gt;=Units!$Q79,MOD(DY$1-Units!$Q79,12)=0),IF(AND(Units!$L79=1,DY$1=Units!$Q79),1,Inputs!$B$15)*Inputs!$B$16*(1+Inputs!$B$11)^(DY$2-1),0)</f>
        <v>0</v>
      </c>
      <c r="DZ80" s="11" t="n">
        <f aca="false">IF(AND(DZ$1&gt;=Units!$Q79,MOD(DZ$1-Units!$Q79,12)=0),IF(AND(Units!$L79=1,DZ$1=Units!$Q79),1,Inputs!$B$15)*Inputs!$B$16*(1+Inputs!$B$11)^(DZ$2-1),0)</f>
        <v>0</v>
      </c>
      <c r="EA80" s="11" t="n">
        <f aca="false">IF(AND(EA$1&gt;=Units!$Q79,MOD(EA$1-Units!$Q79,12)=0),IF(AND(Units!$L79=1,EA$1=Units!$Q79),1,Inputs!$B$15)*Inputs!$B$16*(1+Inputs!$B$11)^(EA$2-1),0)</f>
        <v>0</v>
      </c>
      <c r="EB80" s="11" t="n">
        <f aca="false">IF(AND(EB$1&gt;=Units!$Q79,MOD(EB$1-Units!$Q79,12)=0),IF(AND(Units!$L79=1,EB$1=Units!$Q79),1,Inputs!$B$15)*Inputs!$B$16*(1+Inputs!$B$11)^(EB$2-1),0)</f>
        <v>0</v>
      </c>
      <c r="EC80" s="11" t="n">
        <f aca="false">IF(AND(EC$1&gt;=Units!$Q79,MOD(EC$1-Units!$Q79,12)=0),IF(AND(Units!$L79=1,EC$1=Units!$Q79),1,Inputs!$B$15)*Inputs!$B$16*(1+Inputs!$B$11)^(EC$2-1),0)</f>
        <v>0</v>
      </c>
      <c r="ED80" s="11" t="n">
        <f aca="false">IF(AND(ED$1&gt;=Units!$Q79,MOD(ED$1-Units!$Q79,12)=0),IF(AND(Units!$L79=1,ED$1=Units!$Q79),1,Inputs!$B$15)*Inputs!$B$16*(1+Inputs!$B$11)^(ED$2-1),0)</f>
        <v>0</v>
      </c>
    </row>
    <row r="81" customFormat="false" ht="15" hidden="false" customHeight="false" outlineLevel="0" collapsed="false">
      <c r="A81" s="22" t="n">
        <f aca="false">Units!A80</f>
        <v>319</v>
      </c>
      <c r="B81" s="23"/>
      <c r="C81" s="11" t="n">
        <f aca="false">IF(AND(C$1&gt;=Units!$Q80,MOD(C$1-Units!$Q80,12)=0),IF(AND(Units!$L80=1,C$1=Units!$Q80),1,Inputs!$B$15)*Inputs!$B$16*(1+Inputs!$B$11)^(C$2-1),0)</f>
        <v>0</v>
      </c>
      <c r="D81" s="11" t="n">
        <f aca="false">IF(AND(D$1&gt;=Units!$Q80,MOD(D$1-Units!$Q80,12)=0),IF(AND(Units!$L80=1,D$1=Units!$Q80),1,Inputs!$B$15)*Inputs!$B$16*(1+Inputs!$B$11)^(D$2-1),0)</f>
        <v>0</v>
      </c>
      <c r="E81" s="11" t="n">
        <f aca="false">IF(AND(E$1&gt;=Units!$Q80,MOD(E$1-Units!$Q80,12)=0),IF(AND(Units!$L80=1,E$1=Units!$Q80),1,Inputs!$B$15)*Inputs!$B$16*(1+Inputs!$B$11)^(E$2-1),0)</f>
        <v>0</v>
      </c>
      <c r="F81" s="11" t="n">
        <f aca="false">IF(AND(F$1&gt;=Units!$Q80,MOD(F$1-Units!$Q80,12)=0),IF(AND(Units!$L80=1,F$1=Units!$Q80),1,Inputs!$B$15)*Inputs!$B$16*(1+Inputs!$B$11)^(F$2-1),0)</f>
        <v>500</v>
      </c>
      <c r="G81" s="11" t="n">
        <f aca="false">IF(AND(G$1&gt;=Units!$Q80,MOD(G$1-Units!$Q80,12)=0),IF(AND(Units!$L80=1,G$1=Units!$Q80),1,Inputs!$B$15)*Inputs!$B$16*(1+Inputs!$B$11)^(G$2-1),0)</f>
        <v>0</v>
      </c>
      <c r="H81" s="11" t="n">
        <f aca="false">IF(AND(H$1&gt;=Units!$Q80,MOD(H$1-Units!$Q80,12)=0),IF(AND(Units!$L80=1,H$1=Units!$Q80),1,Inputs!$B$15)*Inputs!$B$16*(1+Inputs!$B$11)^(H$2-1),0)</f>
        <v>0</v>
      </c>
      <c r="I81" s="11" t="n">
        <f aca="false">IF(AND(I$1&gt;=Units!$Q80,MOD(I$1-Units!$Q80,12)=0),IF(AND(Units!$L80=1,I$1=Units!$Q80),1,Inputs!$B$15)*Inputs!$B$16*(1+Inputs!$B$11)^(I$2-1),0)</f>
        <v>0</v>
      </c>
      <c r="J81" s="11" t="n">
        <f aca="false">IF(AND(J$1&gt;=Units!$Q80,MOD(J$1-Units!$Q80,12)=0),IF(AND(Units!$L80=1,J$1=Units!$Q80),1,Inputs!$B$15)*Inputs!$B$16*(1+Inputs!$B$11)^(J$2-1),0)</f>
        <v>0</v>
      </c>
      <c r="K81" s="11" t="n">
        <f aca="false">IF(AND(K$1&gt;=Units!$Q80,MOD(K$1-Units!$Q80,12)=0),IF(AND(Units!$L80=1,K$1=Units!$Q80),1,Inputs!$B$15)*Inputs!$B$16*(1+Inputs!$B$11)^(K$2-1),0)</f>
        <v>0</v>
      </c>
      <c r="L81" s="11" t="n">
        <f aca="false">IF(AND(L$1&gt;=Units!$Q80,MOD(L$1-Units!$Q80,12)=0),IF(AND(Units!$L80=1,L$1=Units!$Q80),1,Inputs!$B$15)*Inputs!$B$16*(1+Inputs!$B$11)^(L$2-1),0)</f>
        <v>0</v>
      </c>
      <c r="M81" s="11" t="n">
        <f aca="false">IF(AND(M$1&gt;=Units!$Q80,MOD(M$1-Units!$Q80,12)=0),IF(AND(Units!$L80=1,M$1=Units!$Q80),1,Inputs!$B$15)*Inputs!$B$16*(1+Inputs!$B$11)^(M$2-1),0)</f>
        <v>0</v>
      </c>
      <c r="N81" s="11" t="n">
        <f aca="false">IF(AND(N$1&gt;=Units!$Q80,MOD(N$1-Units!$Q80,12)=0),IF(AND(Units!$L80=1,N$1=Units!$Q80),1,Inputs!$B$15)*Inputs!$B$16*(1+Inputs!$B$11)^(N$2-1),0)</f>
        <v>0</v>
      </c>
      <c r="O81" s="11" t="n">
        <f aca="false">IF(AND(O$1&gt;=Units!$Q80,MOD(O$1-Units!$Q80,12)=0),IF(AND(Units!$L80=1,O$1=Units!$Q80),1,Inputs!$B$15)*Inputs!$B$16*(1+Inputs!$B$11)^(O$2-1),0)</f>
        <v>0</v>
      </c>
      <c r="P81" s="11" t="n">
        <f aca="false">IF(AND(P$1&gt;=Units!$Q80,MOD(P$1-Units!$Q80,12)=0),IF(AND(Units!$L80=1,P$1=Units!$Q80),1,Inputs!$B$15)*Inputs!$B$16*(1+Inputs!$B$11)^(P$2-1),0)</f>
        <v>0</v>
      </c>
      <c r="Q81" s="11" t="n">
        <f aca="false">IF(AND(Q$1&gt;=Units!$Q80,MOD(Q$1-Units!$Q80,12)=0),IF(AND(Units!$L80=1,Q$1=Units!$Q80),1,Inputs!$B$15)*Inputs!$B$16*(1+Inputs!$B$11)^(Q$2-1),0)</f>
        <v>0</v>
      </c>
      <c r="R81" s="11" t="n">
        <f aca="false">IF(AND(R$1&gt;=Units!$Q80,MOD(R$1-Units!$Q80,12)=0),IF(AND(Units!$L80=1,R$1=Units!$Q80),1,Inputs!$B$15)*Inputs!$B$16*(1+Inputs!$B$11)^(R$2-1),0)</f>
        <v>515</v>
      </c>
      <c r="S81" s="11" t="n">
        <f aca="false">IF(AND(S$1&gt;=Units!$Q80,MOD(S$1-Units!$Q80,12)=0),IF(AND(Units!$L80=1,S$1=Units!$Q80),1,Inputs!$B$15)*Inputs!$B$16*(1+Inputs!$B$11)^(S$2-1),0)</f>
        <v>0</v>
      </c>
      <c r="T81" s="11" t="n">
        <f aca="false">IF(AND(T$1&gt;=Units!$Q80,MOD(T$1-Units!$Q80,12)=0),IF(AND(Units!$L80=1,T$1=Units!$Q80),1,Inputs!$B$15)*Inputs!$B$16*(1+Inputs!$B$11)^(T$2-1),0)</f>
        <v>0</v>
      </c>
      <c r="U81" s="11" t="n">
        <f aca="false">IF(AND(U$1&gt;=Units!$Q80,MOD(U$1-Units!$Q80,12)=0),IF(AND(Units!$L80=1,U$1=Units!$Q80),1,Inputs!$B$15)*Inputs!$B$16*(1+Inputs!$B$11)^(U$2-1),0)</f>
        <v>0</v>
      </c>
      <c r="V81" s="11" t="n">
        <f aca="false">IF(AND(V$1&gt;=Units!$Q80,MOD(V$1-Units!$Q80,12)=0),IF(AND(Units!$L80=1,V$1=Units!$Q80),1,Inputs!$B$15)*Inputs!$B$16*(1+Inputs!$B$11)^(V$2-1),0)</f>
        <v>0</v>
      </c>
      <c r="W81" s="11" t="n">
        <f aca="false">IF(AND(W$1&gt;=Units!$Q80,MOD(W$1-Units!$Q80,12)=0),IF(AND(Units!$L80=1,W$1=Units!$Q80),1,Inputs!$B$15)*Inputs!$B$16*(1+Inputs!$B$11)^(W$2-1),0)</f>
        <v>0</v>
      </c>
      <c r="X81" s="11" t="n">
        <f aca="false">IF(AND(X$1&gt;=Units!$Q80,MOD(X$1-Units!$Q80,12)=0),IF(AND(Units!$L80=1,X$1=Units!$Q80),1,Inputs!$B$15)*Inputs!$B$16*(1+Inputs!$B$11)^(X$2-1),0)</f>
        <v>0</v>
      </c>
      <c r="Y81" s="11" t="n">
        <f aca="false">IF(AND(Y$1&gt;=Units!$Q80,MOD(Y$1-Units!$Q80,12)=0),IF(AND(Units!$L80=1,Y$1=Units!$Q80),1,Inputs!$B$15)*Inputs!$B$16*(1+Inputs!$B$11)^(Y$2-1),0)</f>
        <v>0</v>
      </c>
      <c r="Z81" s="11" t="n">
        <f aca="false">IF(AND(Z$1&gt;=Units!$Q80,MOD(Z$1-Units!$Q80,12)=0),IF(AND(Units!$L80=1,Z$1=Units!$Q80),1,Inputs!$B$15)*Inputs!$B$16*(1+Inputs!$B$11)^(Z$2-1),0)</f>
        <v>0</v>
      </c>
      <c r="AA81" s="11" t="n">
        <f aca="false">IF(AND(AA$1&gt;=Units!$Q80,MOD(AA$1-Units!$Q80,12)=0),IF(AND(Units!$L80=1,AA$1=Units!$Q80),1,Inputs!$B$15)*Inputs!$B$16*(1+Inputs!$B$11)^(AA$2-1),0)</f>
        <v>0</v>
      </c>
      <c r="AB81" s="11" t="n">
        <f aca="false">IF(AND(AB$1&gt;=Units!$Q80,MOD(AB$1-Units!$Q80,12)=0),IF(AND(Units!$L80=1,AB$1=Units!$Q80),1,Inputs!$B$15)*Inputs!$B$16*(1+Inputs!$B$11)^(AB$2-1),0)</f>
        <v>0</v>
      </c>
      <c r="AC81" s="11" t="n">
        <f aca="false">IF(AND(AC$1&gt;=Units!$Q80,MOD(AC$1-Units!$Q80,12)=0),IF(AND(Units!$L80=1,AC$1=Units!$Q80),1,Inputs!$B$15)*Inputs!$B$16*(1+Inputs!$B$11)^(AC$2-1),0)</f>
        <v>0</v>
      </c>
      <c r="AD81" s="11" t="n">
        <f aca="false">IF(AND(AD$1&gt;=Units!$Q80,MOD(AD$1-Units!$Q80,12)=0),IF(AND(Units!$L80=1,AD$1=Units!$Q80),1,Inputs!$B$15)*Inputs!$B$16*(1+Inputs!$B$11)^(AD$2-1),0)</f>
        <v>530.45</v>
      </c>
      <c r="AE81" s="11" t="n">
        <f aca="false">IF(AND(AE$1&gt;=Units!$Q80,MOD(AE$1-Units!$Q80,12)=0),IF(AND(Units!$L80=1,AE$1=Units!$Q80),1,Inputs!$B$15)*Inputs!$B$16*(1+Inputs!$B$11)^(AE$2-1),0)</f>
        <v>0</v>
      </c>
      <c r="AF81" s="11" t="n">
        <f aca="false">IF(AND(AF$1&gt;=Units!$Q80,MOD(AF$1-Units!$Q80,12)=0),IF(AND(Units!$L80=1,AF$1=Units!$Q80),1,Inputs!$B$15)*Inputs!$B$16*(1+Inputs!$B$11)^(AF$2-1),0)</f>
        <v>0</v>
      </c>
      <c r="AG81" s="11" t="n">
        <f aca="false">IF(AND(AG$1&gt;=Units!$Q80,MOD(AG$1-Units!$Q80,12)=0),IF(AND(Units!$L80=1,AG$1=Units!$Q80),1,Inputs!$B$15)*Inputs!$B$16*(1+Inputs!$B$11)^(AG$2-1),0)</f>
        <v>0</v>
      </c>
      <c r="AH81" s="11" t="n">
        <f aca="false">IF(AND(AH$1&gt;=Units!$Q80,MOD(AH$1-Units!$Q80,12)=0),IF(AND(Units!$L80=1,AH$1=Units!$Q80),1,Inputs!$B$15)*Inputs!$B$16*(1+Inputs!$B$11)^(AH$2-1),0)</f>
        <v>0</v>
      </c>
      <c r="AI81" s="11" t="n">
        <f aca="false">IF(AND(AI$1&gt;=Units!$Q80,MOD(AI$1-Units!$Q80,12)=0),IF(AND(Units!$L80=1,AI$1=Units!$Q80),1,Inputs!$B$15)*Inputs!$B$16*(1+Inputs!$B$11)^(AI$2-1),0)</f>
        <v>0</v>
      </c>
      <c r="AJ81" s="11" t="n">
        <f aca="false">IF(AND(AJ$1&gt;=Units!$Q80,MOD(AJ$1-Units!$Q80,12)=0),IF(AND(Units!$L80=1,AJ$1=Units!$Q80),1,Inputs!$B$15)*Inputs!$B$16*(1+Inputs!$B$11)^(AJ$2-1),0)</f>
        <v>0</v>
      </c>
      <c r="AK81" s="11" t="n">
        <f aca="false">IF(AND(AK$1&gt;=Units!$Q80,MOD(AK$1-Units!$Q80,12)=0),IF(AND(Units!$L80=1,AK$1=Units!$Q80),1,Inputs!$B$15)*Inputs!$B$16*(1+Inputs!$B$11)^(AK$2-1),0)</f>
        <v>0</v>
      </c>
      <c r="AL81" s="11" t="n">
        <f aca="false">IF(AND(AL$1&gt;=Units!$Q80,MOD(AL$1-Units!$Q80,12)=0),IF(AND(Units!$L80=1,AL$1=Units!$Q80),1,Inputs!$B$15)*Inputs!$B$16*(1+Inputs!$B$11)^(AL$2-1),0)</f>
        <v>0</v>
      </c>
      <c r="AM81" s="11" t="n">
        <f aca="false">IF(AND(AM$1&gt;=Units!$Q80,MOD(AM$1-Units!$Q80,12)=0),IF(AND(Units!$L80=1,AM$1=Units!$Q80),1,Inputs!$B$15)*Inputs!$B$16*(1+Inputs!$B$11)^(AM$2-1),0)</f>
        <v>0</v>
      </c>
      <c r="AN81" s="11" t="n">
        <f aca="false">IF(AND(AN$1&gt;=Units!$Q80,MOD(AN$1-Units!$Q80,12)=0),IF(AND(Units!$L80=1,AN$1=Units!$Q80),1,Inputs!$B$15)*Inputs!$B$16*(1+Inputs!$B$11)^(AN$2-1),0)</f>
        <v>0</v>
      </c>
      <c r="AO81" s="11" t="n">
        <f aca="false">IF(AND(AO$1&gt;=Units!$Q80,MOD(AO$1-Units!$Q80,12)=0),IF(AND(Units!$L80=1,AO$1=Units!$Q80),1,Inputs!$B$15)*Inputs!$B$16*(1+Inputs!$B$11)^(AO$2-1),0)</f>
        <v>0</v>
      </c>
      <c r="AP81" s="11" t="n">
        <f aca="false">IF(AND(AP$1&gt;=Units!$Q80,MOD(AP$1-Units!$Q80,12)=0),IF(AND(Units!$L80=1,AP$1=Units!$Q80),1,Inputs!$B$15)*Inputs!$B$16*(1+Inputs!$B$11)^(AP$2-1),0)</f>
        <v>546.3635</v>
      </c>
      <c r="AQ81" s="11" t="n">
        <f aca="false">IF(AND(AQ$1&gt;=Units!$Q80,MOD(AQ$1-Units!$Q80,12)=0),IF(AND(Units!$L80=1,AQ$1=Units!$Q80),1,Inputs!$B$15)*Inputs!$B$16*(1+Inputs!$B$11)^(AQ$2-1),0)</f>
        <v>0</v>
      </c>
      <c r="AR81" s="11" t="n">
        <f aca="false">IF(AND(AR$1&gt;=Units!$Q80,MOD(AR$1-Units!$Q80,12)=0),IF(AND(Units!$L80=1,AR$1=Units!$Q80),1,Inputs!$B$15)*Inputs!$B$16*(1+Inputs!$B$11)^(AR$2-1),0)</f>
        <v>0</v>
      </c>
      <c r="AS81" s="11" t="n">
        <f aca="false">IF(AND(AS$1&gt;=Units!$Q80,MOD(AS$1-Units!$Q80,12)=0),IF(AND(Units!$L80=1,AS$1=Units!$Q80),1,Inputs!$B$15)*Inputs!$B$16*(1+Inputs!$B$11)^(AS$2-1),0)</f>
        <v>0</v>
      </c>
      <c r="AT81" s="11" t="n">
        <f aca="false">IF(AND(AT$1&gt;=Units!$Q80,MOD(AT$1-Units!$Q80,12)=0),IF(AND(Units!$L80=1,AT$1=Units!$Q80),1,Inputs!$B$15)*Inputs!$B$16*(1+Inputs!$B$11)^(AT$2-1),0)</f>
        <v>0</v>
      </c>
      <c r="AU81" s="11" t="n">
        <f aca="false">IF(AND(AU$1&gt;=Units!$Q80,MOD(AU$1-Units!$Q80,12)=0),IF(AND(Units!$L80=1,AU$1=Units!$Q80),1,Inputs!$B$15)*Inputs!$B$16*(1+Inputs!$B$11)^(AU$2-1),0)</f>
        <v>0</v>
      </c>
      <c r="AV81" s="11" t="n">
        <f aca="false">IF(AND(AV$1&gt;=Units!$Q80,MOD(AV$1-Units!$Q80,12)=0),IF(AND(Units!$L80=1,AV$1=Units!$Q80),1,Inputs!$B$15)*Inputs!$B$16*(1+Inputs!$B$11)^(AV$2-1),0)</f>
        <v>0</v>
      </c>
      <c r="AW81" s="11" t="n">
        <f aca="false">IF(AND(AW$1&gt;=Units!$Q80,MOD(AW$1-Units!$Q80,12)=0),IF(AND(Units!$L80=1,AW$1=Units!$Q80),1,Inputs!$B$15)*Inputs!$B$16*(1+Inputs!$B$11)^(AW$2-1),0)</f>
        <v>0</v>
      </c>
      <c r="AX81" s="11" t="n">
        <f aca="false">IF(AND(AX$1&gt;=Units!$Q80,MOD(AX$1-Units!$Q80,12)=0),IF(AND(Units!$L80=1,AX$1=Units!$Q80),1,Inputs!$B$15)*Inputs!$B$16*(1+Inputs!$B$11)^(AX$2-1),0)</f>
        <v>0</v>
      </c>
      <c r="AY81" s="11" t="n">
        <f aca="false">IF(AND(AY$1&gt;=Units!$Q80,MOD(AY$1-Units!$Q80,12)=0),IF(AND(Units!$L80=1,AY$1=Units!$Q80),1,Inputs!$B$15)*Inputs!$B$16*(1+Inputs!$B$11)^(AY$2-1),0)</f>
        <v>0</v>
      </c>
      <c r="AZ81" s="11" t="n">
        <f aca="false">IF(AND(AZ$1&gt;=Units!$Q80,MOD(AZ$1-Units!$Q80,12)=0),IF(AND(Units!$L80=1,AZ$1=Units!$Q80),1,Inputs!$B$15)*Inputs!$B$16*(1+Inputs!$B$11)^(AZ$2-1),0)</f>
        <v>0</v>
      </c>
      <c r="BA81" s="11" t="n">
        <f aca="false">IF(AND(BA$1&gt;=Units!$Q80,MOD(BA$1-Units!$Q80,12)=0),IF(AND(Units!$L80=1,BA$1=Units!$Q80),1,Inputs!$B$15)*Inputs!$B$16*(1+Inputs!$B$11)^(BA$2-1),0)</f>
        <v>0</v>
      </c>
      <c r="BB81" s="11" t="n">
        <f aca="false">IF(AND(BB$1&gt;=Units!$Q80,MOD(BB$1-Units!$Q80,12)=0),IF(AND(Units!$L80=1,BB$1=Units!$Q80),1,Inputs!$B$15)*Inputs!$B$16*(1+Inputs!$B$11)^(BB$2-1),0)</f>
        <v>562.754405</v>
      </c>
      <c r="BC81" s="11" t="n">
        <f aca="false">IF(AND(BC$1&gt;=Units!$Q80,MOD(BC$1-Units!$Q80,12)=0),IF(AND(Units!$L80=1,BC$1=Units!$Q80),1,Inputs!$B$15)*Inputs!$B$16*(1+Inputs!$B$11)^(BC$2-1),0)</f>
        <v>0</v>
      </c>
      <c r="BD81" s="11" t="n">
        <f aca="false">IF(AND(BD$1&gt;=Units!$Q80,MOD(BD$1-Units!$Q80,12)=0),IF(AND(Units!$L80=1,BD$1=Units!$Q80),1,Inputs!$B$15)*Inputs!$B$16*(1+Inputs!$B$11)^(BD$2-1),0)</f>
        <v>0</v>
      </c>
      <c r="BE81" s="11" t="n">
        <f aca="false">IF(AND(BE$1&gt;=Units!$Q80,MOD(BE$1-Units!$Q80,12)=0),IF(AND(Units!$L80=1,BE$1=Units!$Q80),1,Inputs!$B$15)*Inputs!$B$16*(1+Inputs!$B$11)^(BE$2-1),0)</f>
        <v>0</v>
      </c>
      <c r="BF81" s="11" t="n">
        <f aca="false">IF(AND(BF$1&gt;=Units!$Q80,MOD(BF$1-Units!$Q80,12)=0),IF(AND(Units!$L80=1,BF$1=Units!$Q80),1,Inputs!$B$15)*Inputs!$B$16*(1+Inputs!$B$11)^(BF$2-1),0)</f>
        <v>0</v>
      </c>
      <c r="BG81" s="11" t="n">
        <f aca="false">IF(AND(BG$1&gt;=Units!$Q80,MOD(BG$1-Units!$Q80,12)=0),IF(AND(Units!$L80=1,BG$1=Units!$Q80),1,Inputs!$B$15)*Inputs!$B$16*(1+Inputs!$B$11)^(BG$2-1),0)</f>
        <v>0</v>
      </c>
      <c r="BH81" s="11" t="n">
        <f aca="false">IF(AND(BH$1&gt;=Units!$Q80,MOD(BH$1-Units!$Q80,12)=0),IF(AND(Units!$L80=1,BH$1=Units!$Q80),1,Inputs!$B$15)*Inputs!$B$16*(1+Inputs!$B$11)^(BH$2-1),0)</f>
        <v>0</v>
      </c>
      <c r="BI81" s="11" t="n">
        <f aca="false">IF(AND(BI$1&gt;=Units!$Q80,MOD(BI$1-Units!$Q80,12)=0),IF(AND(Units!$L80=1,BI$1=Units!$Q80),1,Inputs!$B$15)*Inputs!$B$16*(1+Inputs!$B$11)^(BI$2-1),0)</f>
        <v>0</v>
      </c>
      <c r="BJ81" s="11" t="n">
        <f aca="false">IF(AND(BJ$1&gt;=Units!$Q80,MOD(BJ$1-Units!$Q80,12)=0),IF(AND(Units!$L80=1,BJ$1=Units!$Q80),1,Inputs!$B$15)*Inputs!$B$16*(1+Inputs!$B$11)^(BJ$2-1),0)</f>
        <v>0</v>
      </c>
      <c r="BK81" s="11" t="n">
        <f aca="false">IF(AND(BK$1&gt;=Units!$Q80,MOD(BK$1-Units!$Q80,12)=0),IF(AND(Units!$L80=1,BK$1=Units!$Q80),1,Inputs!$B$15)*Inputs!$B$16*(1+Inputs!$B$11)^(BK$2-1),0)</f>
        <v>0</v>
      </c>
      <c r="BL81" s="11" t="n">
        <f aca="false">IF(AND(BL$1&gt;=Units!$Q80,MOD(BL$1-Units!$Q80,12)=0),IF(AND(Units!$L80=1,BL$1=Units!$Q80),1,Inputs!$B$15)*Inputs!$B$16*(1+Inputs!$B$11)^(BL$2-1),0)</f>
        <v>0</v>
      </c>
      <c r="BM81" s="11" t="n">
        <f aca="false">IF(AND(BM$1&gt;=Units!$Q80,MOD(BM$1-Units!$Q80,12)=0),IF(AND(Units!$L80=1,BM$1=Units!$Q80),1,Inputs!$B$15)*Inputs!$B$16*(1+Inputs!$B$11)^(BM$2-1),0)</f>
        <v>0</v>
      </c>
      <c r="BN81" s="11" t="n">
        <f aca="false">IF(AND(BN$1&gt;=Units!$Q80,MOD(BN$1-Units!$Q80,12)=0),IF(AND(Units!$L80=1,BN$1=Units!$Q80),1,Inputs!$B$15)*Inputs!$B$16*(1+Inputs!$B$11)^(BN$2-1),0)</f>
        <v>579.63703715</v>
      </c>
      <c r="BO81" s="11" t="n">
        <f aca="false">IF(AND(BO$1&gt;=Units!$Q80,MOD(BO$1-Units!$Q80,12)=0),IF(AND(Units!$L80=1,BO$1=Units!$Q80),1,Inputs!$B$15)*Inputs!$B$16*(1+Inputs!$B$11)^(BO$2-1),0)</f>
        <v>0</v>
      </c>
      <c r="BP81" s="11" t="n">
        <f aca="false">IF(AND(BP$1&gt;=Units!$Q80,MOD(BP$1-Units!$Q80,12)=0),IF(AND(Units!$L80=1,BP$1=Units!$Q80),1,Inputs!$B$15)*Inputs!$B$16*(1+Inputs!$B$11)^(BP$2-1),0)</f>
        <v>0</v>
      </c>
      <c r="BQ81" s="11" t="n">
        <f aca="false">IF(AND(BQ$1&gt;=Units!$Q80,MOD(BQ$1-Units!$Q80,12)=0),IF(AND(Units!$L80=1,BQ$1=Units!$Q80),1,Inputs!$B$15)*Inputs!$B$16*(1+Inputs!$B$11)^(BQ$2-1),0)</f>
        <v>0</v>
      </c>
      <c r="BR81" s="11" t="n">
        <f aca="false">IF(AND(BR$1&gt;=Units!$Q80,MOD(BR$1-Units!$Q80,12)=0),IF(AND(Units!$L80=1,BR$1=Units!$Q80),1,Inputs!$B$15)*Inputs!$B$16*(1+Inputs!$B$11)^(BR$2-1),0)</f>
        <v>0</v>
      </c>
      <c r="BS81" s="11" t="n">
        <f aca="false">IF(AND(BS$1&gt;=Units!$Q80,MOD(BS$1-Units!$Q80,12)=0),IF(AND(Units!$L80=1,BS$1=Units!$Q80),1,Inputs!$B$15)*Inputs!$B$16*(1+Inputs!$B$11)^(BS$2-1),0)</f>
        <v>0</v>
      </c>
      <c r="BT81" s="11" t="n">
        <f aca="false">IF(AND(BT$1&gt;=Units!$Q80,MOD(BT$1-Units!$Q80,12)=0),IF(AND(Units!$L80=1,BT$1=Units!$Q80),1,Inputs!$B$15)*Inputs!$B$16*(1+Inputs!$B$11)^(BT$2-1),0)</f>
        <v>0</v>
      </c>
      <c r="BU81" s="11" t="n">
        <f aca="false">IF(AND(BU$1&gt;=Units!$Q80,MOD(BU$1-Units!$Q80,12)=0),IF(AND(Units!$L80=1,BU$1=Units!$Q80),1,Inputs!$B$15)*Inputs!$B$16*(1+Inputs!$B$11)^(BU$2-1),0)</f>
        <v>0</v>
      </c>
      <c r="BV81" s="11" t="n">
        <f aca="false">IF(AND(BV$1&gt;=Units!$Q80,MOD(BV$1-Units!$Q80,12)=0),IF(AND(Units!$L80=1,BV$1=Units!$Q80),1,Inputs!$B$15)*Inputs!$B$16*(1+Inputs!$B$11)^(BV$2-1),0)</f>
        <v>0</v>
      </c>
      <c r="BW81" s="11" t="n">
        <f aca="false">IF(AND(BW$1&gt;=Units!$Q80,MOD(BW$1-Units!$Q80,12)=0),IF(AND(Units!$L80=1,BW$1=Units!$Q80),1,Inputs!$B$15)*Inputs!$B$16*(1+Inputs!$B$11)^(BW$2-1),0)</f>
        <v>0</v>
      </c>
      <c r="BX81" s="11" t="n">
        <f aca="false">IF(AND(BX$1&gt;=Units!$Q80,MOD(BX$1-Units!$Q80,12)=0),IF(AND(Units!$L80=1,BX$1=Units!$Q80),1,Inputs!$B$15)*Inputs!$B$16*(1+Inputs!$B$11)^(BX$2-1),0)</f>
        <v>0</v>
      </c>
      <c r="BY81" s="11" t="n">
        <f aca="false">IF(AND(BY$1&gt;=Units!$Q80,MOD(BY$1-Units!$Q80,12)=0),IF(AND(Units!$L80=1,BY$1=Units!$Q80),1,Inputs!$B$15)*Inputs!$B$16*(1+Inputs!$B$11)^(BY$2-1),0)</f>
        <v>0</v>
      </c>
      <c r="BZ81" s="11" t="n">
        <f aca="false">IF(AND(BZ$1&gt;=Units!$Q80,MOD(BZ$1-Units!$Q80,12)=0),IF(AND(Units!$L80=1,BZ$1=Units!$Q80),1,Inputs!$B$15)*Inputs!$B$16*(1+Inputs!$B$11)^(BZ$2-1),0)</f>
        <v>597.0261482645</v>
      </c>
      <c r="CA81" s="11" t="n">
        <f aca="false">IF(AND(CA$1&gt;=Units!$Q80,MOD(CA$1-Units!$Q80,12)=0),IF(AND(Units!$L80=1,CA$1=Units!$Q80),1,Inputs!$B$15)*Inputs!$B$16*(1+Inputs!$B$11)^(CA$2-1),0)</f>
        <v>0</v>
      </c>
      <c r="CB81" s="11" t="n">
        <f aca="false">IF(AND(CB$1&gt;=Units!$Q80,MOD(CB$1-Units!$Q80,12)=0),IF(AND(Units!$L80=1,CB$1=Units!$Q80),1,Inputs!$B$15)*Inputs!$B$16*(1+Inputs!$B$11)^(CB$2-1),0)</f>
        <v>0</v>
      </c>
      <c r="CC81" s="11" t="n">
        <f aca="false">IF(AND(CC$1&gt;=Units!$Q80,MOD(CC$1-Units!$Q80,12)=0),IF(AND(Units!$L80=1,CC$1=Units!$Q80),1,Inputs!$B$15)*Inputs!$B$16*(1+Inputs!$B$11)^(CC$2-1),0)</f>
        <v>0</v>
      </c>
      <c r="CD81" s="11" t="n">
        <f aca="false">IF(AND(CD$1&gt;=Units!$Q80,MOD(CD$1-Units!$Q80,12)=0),IF(AND(Units!$L80=1,CD$1=Units!$Q80),1,Inputs!$B$15)*Inputs!$B$16*(1+Inputs!$B$11)^(CD$2-1),0)</f>
        <v>0</v>
      </c>
      <c r="CE81" s="11" t="n">
        <f aca="false">IF(AND(CE$1&gt;=Units!$Q80,MOD(CE$1-Units!$Q80,12)=0),IF(AND(Units!$L80=1,CE$1=Units!$Q80),1,Inputs!$B$15)*Inputs!$B$16*(1+Inputs!$B$11)^(CE$2-1),0)</f>
        <v>0</v>
      </c>
      <c r="CF81" s="11" t="n">
        <f aca="false">IF(AND(CF$1&gt;=Units!$Q80,MOD(CF$1-Units!$Q80,12)=0),IF(AND(Units!$L80=1,CF$1=Units!$Q80),1,Inputs!$B$15)*Inputs!$B$16*(1+Inputs!$B$11)^(CF$2-1),0)</f>
        <v>0</v>
      </c>
      <c r="CG81" s="11" t="n">
        <f aca="false">IF(AND(CG$1&gt;=Units!$Q80,MOD(CG$1-Units!$Q80,12)=0),IF(AND(Units!$L80=1,CG$1=Units!$Q80),1,Inputs!$B$15)*Inputs!$B$16*(1+Inputs!$B$11)^(CG$2-1),0)</f>
        <v>0</v>
      </c>
      <c r="CH81" s="11" t="n">
        <f aca="false">IF(AND(CH$1&gt;=Units!$Q80,MOD(CH$1-Units!$Q80,12)=0),IF(AND(Units!$L80=1,CH$1=Units!$Q80),1,Inputs!$B$15)*Inputs!$B$16*(1+Inputs!$B$11)^(CH$2-1),0)</f>
        <v>0</v>
      </c>
      <c r="CI81" s="11" t="n">
        <f aca="false">IF(AND(CI$1&gt;=Units!$Q80,MOD(CI$1-Units!$Q80,12)=0),IF(AND(Units!$L80=1,CI$1=Units!$Q80),1,Inputs!$B$15)*Inputs!$B$16*(1+Inputs!$B$11)^(CI$2-1),0)</f>
        <v>0</v>
      </c>
      <c r="CJ81" s="11" t="n">
        <f aca="false">IF(AND(CJ$1&gt;=Units!$Q80,MOD(CJ$1-Units!$Q80,12)=0),IF(AND(Units!$L80=1,CJ$1=Units!$Q80),1,Inputs!$B$15)*Inputs!$B$16*(1+Inputs!$B$11)^(CJ$2-1),0)</f>
        <v>0</v>
      </c>
      <c r="CK81" s="11" t="n">
        <f aca="false">IF(AND(CK$1&gt;=Units!$Q80,MOD(CK$1-Units!$Q80,12)=0),IF(AND(Units!$L80=1,CK$1=Units!$Q80),1,Inputs!$B$15)*Inputs!$B$16*(1+Inputs!$B$11)^(CK$2-1),0)</f>
        <v>0</v>
      </c>
      <c r="CL81" s="11" t="n">
        <f aca="false">IF(AND(CL$1&gt;=Units!$Q80,MOD(CL$1-Units!$Q80,12)=0),IF(AND(Units!$L80=1,CL$1=Units!$Q80),1,Inputs!$B$15)*Inputs!$B$16*(1+Inputs!$B$11)^(CL$2-1),0)</f>
        <v>614.936932712435</v>
      </c>
      <c r="CM81" s="11" t="n">
        <f aca="false">IF(AND(CM$1&gt;=Units!$Q80,MOD(CM$1-Units!$Q80,12)=0),IF(AND(Units!$L80=1,CM$1=Units!$Q80),1,Inputs!$B$15)*Inputs!$B$16*(1+Inputs!$B$11)^(CM$2-1),0)</f>
        <v>0</v>
      </c>
      <c r="CN81" s="11" t="n">
        <f aca="false">IF(AND(CN$1&gt;=Units!$Q80,MOD(CN$1-Units!$Q80,12)=0),IF(AND(Units!$L80=1,CN$1=Units!$Q80),1,Inputs!$B$15)*Inputs!$B$16*(1+Inputs!$B$11)^(CN$2-1),0)</f>
        <v>0</v>
      </c>
      <c r="CO81" s="11" t="n">
        <f aca="false">IF(AND(CO$1&gt;=Units!$Q80,MOD(CO$1-Units!$Q80,12)=0),IF(AND(Units!$L80=1,CO$1=Units!$Q80),1,Inputs!$B$15)*Inputs!$B$16*(1+Inputs!$B$11)^(CO$2-1),0)</f>
        <v>0</v>
      </c>
      <c r="CP81" s="11" t="n">
        <f aca="false">IF(AND(CP$1&gt;=Units!$Q80,MOD(CP$1-Units!$Q80,12)=0),IF(AND(Units!$L80=1,CP$1=Units!$Q80),1,Inputs!$B$15)*Inputs!$B$16*(1+Inputs!$B$11)^(CP$2-1),0)</f>
        <v>0</v>
      </c>
      <c r="CQ81" s="11" t="n">
        <f aca="false">IF(AND(CQ$1&gt;=Units!$Q80,MOD(CQ$1-Units!$Q80,12)=0),IF(AND(Units!$L80=1,CQ$1=Units!$Q80),1,Inputs!$B$15)*Inputs!$B$16*(1+Inputs!$B$11)^(CQ$2-1),0)</f>
        <v>0</v>
      </c>
      <c r="CR81" s="11" t="n">
        <f aca="false">IF(AND(CR$1&gt;=Units!$Q80,MOD(CR$1-Units!$Q80,12)=0),IF(AND(Units!$L80=1,CR$1=Units!$Q80),1,Inputs!$B$15)*Inputs!$B$16*(1+Inputs!$B$11)^(CR$2-1),0)</f>
        <v>0</v>
      </c>
      <c r="CS81" s="11" t="n">
        <f aca="false">IF(AND(CS$1&gt;=Units!$Q80,MOD(CS$1-Units!$Q80,12)=0),IF(AND(Units!$L80=1,CS$1=Units!$Q80),1,Inputs!$B$15)*Inputs!$B$16*(1+Inputs!$B$11)^(CS$2-1),0)</f>
        <v>0</v>
      </c>
      <c r="CT81" s="11" t="n">
        <f aca="false">IF(AND(CT$1&gt;=Units!$Q80,MOD(CT$1-Units!$Q80,12)=0),IF(AND(Units!$L80=1,CT$1=Units!$Q80),1,Inputs!$B$15)*Inputs!$B$16*(1+Inputs!$B$11)^(CT$2-1),0)</f>
        <v>0</v>
      </c>
      <c r="CU81" s="11" t="n">
        <f aca="false">IF(AND(CU$1&gt;=Units!$Q80,MOD(CU$1-Units!$Q80,12)=0),IF(AND(Units!$L80=1,CU$1=Units!$Q80),1,Inputs!$B$15)*Inputs!$B$16*(1+Inputs!$B$11)^(CU$2-1),0)</f>
        <v>0</v>
      </c>
      <c r="CV81" s="11" t="n">
        <f aca="false">IF(AND(CV$1&gt;=Units!$Q80,MOD(CV$1-Units!$Q80,12)=0),IF(AND(Units!$L80=1,CV$1=Units!$Q80),1,Inputs!$B$15)*Inputs!$B$16*(1+Inputs!$B$11)^(CV$2-1),0)</f>
        <v>0</v>
      </c>
      <c r="CW81" s="11" t="n">
        <f aca="false">IF(AND(CW$1&gt;=Units!$Q80,MOD(CW$1-Units!$Q80,12)=0),IF(AND(Units!$L80=1,CW$1=Units!$Q80),1,Inputs!$B$15)*Inputs!$B$16*(1+Inputs!$B$11)^(CW$2-1),0)</f>
        <v>0</v>
      </c>
      <c r="CX81" s="11" t="n">
        <f aca="false">IF(AND(CX$1&gt;=Units!$Q80,MOD(CX$1-Units!$Q80,12)=0),IF(AND(Units!$L80=1,CX$1=Units!$Q80),1,Inputs!$B$15)*Inputs!$B$16*(1+Inputs!$B$11)^(CX$2-1),0)</f>
        <v>633.385040693808</v>
      </c>
      <c r="CY81" s="11" t="n">
        <f aca="false">IF(AND(CY$1&gt;=Units!$Q80,MOD(CY$1-Units!$Q80,12)=0),IF(AND(Units!$L80=1,CY$1=Units!$Q80),1,Inputs!$B$15)*Inputs!$B$16*(1+Inputs!$B$11)^(CY$2-1),0)</f>
        <v>0</v>
      </c>
      <c r="CZ81" s="11" t="n">
        <f aca="false">IF(AND(CZ$1&gt;=Units!$Q80,MOD(CZ$1-Units!$Q80,12)=0),IF(AND(Units!$L80=1,CZ$1=Units!$Q80),1,Inputs!$B$15)*Inputs!$B$16*(1+Inputs!$B$11)^(CZ$2-1),0)</f>
        <v>0</v>
      </c>
      <c r="DA81" s="11" t="n">
        <f aca="false">IF(AND(DA$1&gt;=Units!$Q80,MOD(DA$1-Units!$Q80,12)=0),IF(AND(Units!$L80=1,DA$1=Units!$Q80),1,Inputs!$B$15)*Inputs!$B$16*(1+Inputs!$B$11)^(DA$2-1),0)</f>
        <v>0</v>
      </c>
      <c r="DB81" s="11" t="n">
        <f aca="false">IF(AND(DB$1&gt;=Units!$Q80,MOD(DB$1-Units!$Q80,12)=0),IF(AND(Units!$L80=1,DB$1=Units!$Q80),1,Inputs!$B$15)*Inputs!$B$16*(1+Inputs!$B$11)^(DB$2-1),0)</f>
        <v>0</v>
      </c>
      <c r="DC81" s="11" t="n">
        <f aca="false">IF(AND(DC$1&gt;=Units!$Q80,MOD(DC$1-Units!$Q80,12)=0),IF(AND(Units!$L80=1,DC$1=Units!$Q80),1,Inputs!$B$15)*Inputs!$B$16*(1+Inputs!$B$11)^(DC$2-1),0)</f>
        <v>0</v>
      </c>
      <c r="DD81" s="11" t="n">
        <f aca="false">IF(AND(DD$1&gt;=Units!$Q80,MOD(DD$1-Units!$Q80,12)=0),IF(AND(Units!$L80=1,DD$1=Units!$Q80),1,Inputs!$B$15)*Inputs!$B$16*(1+Inputs!$B$11)^(DD$2-1),0)</f>
        <v>0</v>
      </c>
      <c r="DE81" s="11" t="n">
        <f aca="false">IF(AND(DE$1&gt;=Units!$Q80,MOD(DE$1-Units!$Q80,12)=0),IF(AND(Units!$L80=1,DE$1=Units!$Q80),1,Inputs!$B$15)*Inputs!$B$16*(1+Inputs!$B$11)^(DE$2-1),0)</f>
        <v>0</v>
      </c>
      <c r="DF81" s="11" t="n">
        <f aca="false">IF(AND(DF$1&gt;=Units!$Q80,MOD(DF$1-Units!$Q80,12)=0),IF(AND(Units!$L80=1,DF$1=Units!$Q80),1,Inputs!$B$15)*Inputs!$B$16*(1+Inputs!$B$11)^(DF$2-1),0)</f>
        <v>0</v>
      </c>
      <c r="DG81" s="11" t="n">
        <f aca="false">IF(AND(DG$1&gt;=Units!$Q80,MOD(DG$1-Units!$Q80,12)=0),IF(AND(Units!$L80=1,DG$1=Units!$Q80),1,Inputs!$B$15)*Inputs!$B$16*(1+Inputs!$B$11)^(DG$2-1),0)</f>
        <v>0</v>
      </c>
      <c r="DH81" s="11" t="n">
        <f aca="false">IF(AND(DH$1&gt;=Units!$Q80,MOD(DH$1-Units!$Q80,12)=0),IF(AND(Units!$L80=1,DH$1=Units!$Q80),1,Inputs!$B$15)*Inputs!$B$16*(1+Inputs!$B$11)^(DH$2-1),0)</f>
        <v>0</v>
      </c>
      <c r="DI81" s="11" t="n">
        <f aca="false">IF(AND(DI$1&gt;=Units!$Q80,MOD(DI$1-Units!$Q80,12)=0),IF(AND(Units!$L80=1,DI$1=Units!$Q80),1,Inputs!$B$15)*Inputs!$B$16*(1+Inputs!$B$11)^(DI$2-1),0)</f>
        <v>0</v>
      </c>
      <c r="DJ81" s="11" t="n">
        <f aca="false">IF(AND(DJ$1&gt;=Units!$Q80,MOD(DJ$1-Units!$Q80,12)=0),IF(AND(Units!$L80=1,DJ$1=Units!$Q80),1,Inputs!$B$15)*Inputs!$B$16*(1+Inputs!$B$11)^(DJ$2-1),0)</f>
        <v>652.386591914623</v>
      </c>
      <c r="DK81" s="11" t="n">
        <f aca="false">IF(AND(DK$1&gt;=Units!$Q80,MOD(DK$1-Units!$Q80,12)=0),IF(AND(Units!$L80=1,DK$1=Units!$Q80),1,Inputs!$B$15)*Inputs!$B$16*(1+Inputs!$B$11)^(DK$2-1),0)</f>
        <v>0</v>
      </c>
      <c r="DL81" s="11" t="n">
        <f aca="false">IF(AND(DL$1&gt;=Units!$Q80,MOD(DL$1-Units!$Q80,12)=0),IF(AND(Units!$L80=1,DL$1=Units!$Q80),1,Inputs!$B$15)*Inputs!$B$16*(1+Inputs!$B$11)^(DL$2-1),0)</f>
        <v>0</v>
      </c>
      <c r="DM81" s="11" t="n">
        <f aca="false">IF(AND(DM$1&gt;=Units!$Q80,MOD(DM$1-Units!$Q80,12)=0),IF(AND(Units!$L80=1,DM$1=Units!$Q80),1,Inputs!$B$15)*Inputs!$B$16*(1+Inputs!$B$11)^(DM$2-1),0)</f>
        <v>0</v>
      </c>
      <c r="DN81" s="11" t="n">
        <f aca="false">IF(AND(DN$1&gt;=Units!$Q80,MOD(DN$1-Units!$Q80,12)=0),IF(AND(Units!$L80=1,DN$1=Units!$Q80),1,Inputs!$B$15)*Inputs!$B$16*(1+Inputs!$B$11)^(DN$2-1),0)</f>
        <v>0</v>
      </c>
      <c r="DO81" s="11" t="n">
        <f aca="false">IF(AND(DO$1&gt;=Units!$Q80,MOD(DO$1-Units!$Q80,12)=0),IF(AND(Units!$L80=1,DO$1=Units!$Q80),1,Inputs!$B$15)*Inputs!$B$16*(1+Inputs!$B$11)^(DO$2-1),0)</f>
        <v>0</v>
      </c>
      <c r="DP81" s="11" t="n">
        <f aca="false">IF(AND(DP$1&gt;=Units!$Q80,MOD(DP$1-Units!$Q80,12)=0),IF(AND(Units!$L80=1,DP$1=Units!$Q80),1,Inputs!$B$15)*Inputs!$B$16*(1+Inputs!$B$11)^(DP$2-1),0)</f>
        <v>0</v>
      </c>
      <c r="DQ81" s="11" t="n">
        <f aca="false">IF(AND(DQ$1&gt;=Units!$Q80,MOD(DQ$1-Units!$Q80,12)=0),IF(AND(Units!$L80=1,DQ$1=Units!$Q80),1,Inputs!$B$15)*Inputs!$B$16*(1+Inputs!$B$11)^(DQ$2-1),0)</f>
        <v>0</v>
      </c>
      <c r="DR81" s="11" t="n">
        <f aca="false">IF(AND(DR$1&gt;=Units!$Q80,MOD(DR$1-Units!$Q80,12)=0),IF(AND(Units!$L80=1,DR$1=Units!$Q80),1,Inputs!$B$15)*Inputs!$B$16*(1+Inputs!$B$11)^(DR$2-1),0)</f>
        <v>0</v>
      </c>
      <c r="DS81" s="11" t="n">
        <f aca="false">IF(AND(DS$1&gt;=Units!$Q80,MOD(DS$1-Units!$Q80,12)=0),IF(AND(Units!$L80=1,DS$1=Units!$Q80),1,Inputs!$B$15)*Inputs!$B$16*(1+Inputs!$B$11)^(DS$2-1),0)</f>
        <v>0</v>
      </c>
      <c r="DT81" s="11" t="n">
        <f aca="false">IF(AND(DT$1&gt;=Units!$Q80,MOD(DT$1-Units!$Q80,12)=0),IF(AND(Units!$L80=1,DT$1=Units!$Q80),1,Inputs!$B$15)*Inputs!$B$16*(1+Inputs!$B$11)^(DT$2-1),0)</f>
        <v>0</v>
      </c>
      <c r="DU81" s="11" t="n">
        <f aca="false">IF(AND(DU$1&gt;=Units!$Q80,MOD(DU$1-Units!$Q80,12)=0),IF(AND(Units!$L80=1,DU$1=Units!$Q80),1,Inputs!$B$15)*Inputs!$B$16*(1+Inputs!$B$11)^(DU$2-1),0)</f>
        <v>0</v>
      </c>
      <c r="DV81" s="11" t="n">
        <f aca="false">IF(AND(DV$1&gt;=Units!$Q80,MOD(DV$1-Units!$Q80,12)=0),IF(AND(Units!$L80=1,DV$1=Units!$Q80),1,Inputs!$B$15)*Inputs!$B$16*(1+Inputs!$B$11)^(DV$2-1),0)</f>
        <v>671.958189672061</v>
      </c>
      <c r="DW81" s="11" t="n">
        <f aca="false">IF(AND(DW$1&gt;=Units!$Q80,MOD(DW$1-Units!$Q80,12)=0),IF(AND(Units!$L80=1,DW$1=Units!$Q80),1,Inputs!$B$15)*Inputs!$B$16*(1+Inputs!$B$11)^(DW$2-1),0)</f>
        <v>0</v>
      </c>
      <c r="DX81" s="11" t="n">
        <f aca="false">IF(AND(DX$1&gt;=Units!$Q80,MOD(DX$1-Units!$Q80,12)=0),IF(AND(Units!$L80=1,DX$1=Units!$Q80),1,Inputs!$B$15)*Inputs!$B$16*(1+Inputs!$B$11)^(DX$2-1),0)</f>
        <v>0</v>
      </c>
      <c r="DY81" s="11" t="n">
        <f aca="false">IF(AND(DY$1&gt;=Units!$Q80,MOD(DY$1-Units!$Q80,12)=0),IF(AND(Units!$L80=1,DY$1=Units!$Q80),1,Inputs!$B$15)*Inputs!$B$16*(1+Inputs!$B$11)^(DY$2-1),0)</f>
        <v>0</v>
      </c>
      <c r="DZ81" s="11" t="n">
        <f aca="false">IF(AND(DZ$1&gt;=Units!$Q80,MOD(DZ$1-Units!$Q80,12)=0),IF(AND(Units!$L80=1,DZ$1=Units!$Q80),1,Inputs!$B$15)*Inputs!$B$16*(1+Inputs!$B$11)^(DZ$2-1),0)</f>
        <v>0</v>
      </c>
      <c r="EA81" s="11" t="n">
        <f aca="false">IF(AND(EA$1&gt;=Units!$Q80,MOD(EA$1-Units!$Q80,12)=0),IF(AND(Units!$L80=1,EA$1=Units!$Q80),1,Inputs!$B$15)*Inputs!$B$16*(1+Inputs!$B$11)^(EA$2-1),0)</f>
        <v>0</v>
      </c>
      <c r="EB81" s="11" t="n">
        <f aca="false">IF(AND(EB$1&gt;=Units!$Q80,MOD(EB$1-Units!$Q80,12)=0),IF(AND(Units!$L80=1,EB$1=Units!$Q80),1,Inputs!$B$15)*Inputs!$B$16*(1+Inputs!$B$11)^(EB$2-1),0)</f>
        <v>0</v>
      </c>
      <c r="EC81" s="11" t="n">
        <f aca="false">IF(AND(EC$1&gt;=Units!$Q80,MOD(EC$1-Units!$Q80,12)=0),IF(AND(Units!$L80=1,EC$1=Units!$Q80),1,Inputs!$B$15)*Inputs!$B$16*(1+Inputs!$B$11)^(EC$2-1),0)</f>
        <v>0</v>
      </c>
      <c r="ED81" s="11" t="n">
        <f aca="false">IF(AND(ED$1&gt;=Units!$Q80,MOD(ED$1-Units!$Q80,12)=0),IF(AND(Units!$L80=1,ED$1=Units!$Q80),1,Inputs!$B$15)*Inputs!$B$16*(1+Inputs!$B$11)^(ED$2-1),0)</f>
        <v>0</v>
      </c>
    </row>
    <row r="82" customFormat="false" ht="15" hidden="false" customHeight="false" outlineLevel="0" collapsed="false">
      <c r="A82" s="22" t="n">
        <f aca="false">Units!A81</f>
        <v>320</v>
      </c>
      <c r="B82" s="23"/>
      <c r="C82" s="11" t="n">
        <f aca="false">IF(AND(C$1&gt;=Units!$Q81,MOD(C$1-Units!$Q81,12)=0),IF(AND(Units!$L81=1,C$1=Units!$Q81),1,Inputs!$B$15)*Inputs!$B$16*(1+Inputs!$B$11)^(C$2-1),0)</f>
        <v>0</v>
      </c>
      <c r="D82" s="11" t="n">
        <f aca="false">IF(AND(D$1&gt;=Units!$Q81,MOD(D$1-Units!$Q81,12)=0),IF(AND(Units!$L81=1,D$1=Units!$Q81),1,Inputs!$B$15)*Inputs!$B$16*(1+Inputs!$B$11)^(D$2-1),0)</f>
        <v>0</v>
      </c>
      <c r="E82" s="11" t="n">
        <f aca="false">IF(AND(E$1&gt;=Units!$Q81,MOD(E$1-Units!$Q81,12)=0),IF(AND(Units!$L81=1,E$1=Units!$Q81),1,Inputs!$B$15)*Inputs!$B$16*(1+Inputs!$B$11)^(E$2-1),0)</f>
        <v>500</v>
      </c>
      <c r="F82" s="11" t="n">
        <f aca="false">IF(AND(F$1&gt;=Units!$Q81,MOD(F$1-Units!$Q81,12)=0),IF(AND(Units!$L81=1,F$1=Units!$Q81),1,Inputs!$B$15)*Inputs!$B$16*(1+Inputs!$B$11)^(F$2-1),0)</f>
        <v>0</v>
      </c>
      <c r="G82" s="11" t="n">
        <f aca="false">IF(AND(G$1&gt;=Units!$Q81,MOD(G$1-Units!$Q81,12)=0),IF(AND(Units!$L81=1,G$1=Units!$Q81),1,Inputs!$B$15)*Inputs!$B$16*(1+Inputs!$B$11)^(G$2-1),0)</f>
        <v>0</v>
      </c>
      <c r="H82" s="11" t="n">
        <f aca="false">IF(AND(H$1&gt;=Units!$Q81,MOD(H$1-Units!$Q81,12)=0),IF(AND(Units!$L81=1,H$1=Units!$Q81),1,Inputs!$B$15)*Inputs!$B$16*(1+Inputs!$B$11)^(H$2-1),0)</f>
        <v>0</v>
      </c>
      <c r="I82" s="11" t="n">
        <f aca="false">IF(AND(I$1&gt;=Units!$Q81,MOD(I$1-Units!$Q81,12)=0),IF(AND(Units!$L81=1,I$1=Units!$Q81),1,Inputs!$B$15)*Inputs!$B$16*(1+Inputs!$B$11)^(I$2-1),0)</f>
        <v>0</v>
      </c>
      <c r="J82" s="11" t="n">
        <f aca="false">IF(AND(J$1&gt;=Units!$Q81,MOD(J$1-Units!$Q81,12)=0),IF(AND(Units!$L81=1,J$1=Units!$Q81),1,Inputs!$B$15)*Inputs!$B$16*(1+Inputs!$B$11)^(J$2-1),0)</f>
        <v>0</v>
      </c>
      <c r="K82" s="11" t="n">
        <f aca="false">IF(AND(K$1&gt;=Units!$Q81,MOD(K$1-Units!$Q81,12)=0),IF(AND(Units!$L81=1,K$1=Units!$Q81),1,Inputs!$B$15)*Inputs!$B$16*(1+Inputs!$B$11)^(K$2-1),0)</f>
        <v>0</v>
      </c>
      <c r="L82" s="11" t="n">
        <f aca="false">IF(AND(L$1&gt;=Units!$Q81,MOD(L$1-Units!$Q81,12)=0),IF(AND(Units!$L81=1,L$1=Units!$Q81),1,Inputs!$B$15)*Inputs!$B$16*(1+Inputs!$B$11)^(L$2-1),0)</f>
        <v>0</v>
      </c>
      <c r="M82" s="11" t="n">
        <f aca="false">IF(AND(M$1&gt;=Units!$Q81,MOD(M$1-Units!$Q81,12)=0),IF(AND(Units!$L81=1,M$1=Units!$Q81),1,Inputs!$B$15)*Inputs!$B$16*(1+Inputs!$B$11)^(M$2-1),0)</f>
        <v>0</v>
      </c>
      <c r="N82" s="11" t="n">
        <f aca="false">IF(AND(N$1&gt;=Units!$Q81,MOD(N$1-Units!$Q81,12)=0),IF(AND(Units!$L81=1,N$1=Units!$Q81),1,Inputs!$B$15)*Inputs!$B$16*(1+Inputs!$B$11)^(N$2-1),0)</f>
        <v>0</v>
      </c>
      <c r="O82" s="11" t="n">
        <f aca="false">IF(AND(O$1&gt;=Units!$Q81,MOD(O$1-Units!$Q81,12)=0),IF(AND(Units!$L81=1,O$1=Units!$Q81),1,Inputs!$B$15)*Inputs!$B$16*(1+Inputs!$B$11)^(O$2-1),0)</f>
        <v>0</v>
      </c>
      <c r="P82" s="11" t="n">
        <f aca="false">IF(AND(P$1&gt;=Units!$Q81,MOD(P$1-Units!$Q81,12)=0),IF(AND(Units!$L81=1,P$1=Units!$Q81),1,Inputs!$B$15)*Inputs!$B$16*(1+Inputs!$B$11)^(P$2-1),0)</f>
        <v>0</v>
      </c>
      <c r="Q82" s="11" t="n">
        <f aca="false">IF(AND(Q$1&gt;=Units!$Q81,MOD(Q$1-Units!$Q81,12)=0),IF(AND(Units!$L81=1,Q$1=Units!$Q81),1,Inputs!$B$15)*Inputs!$B$16*(1+Inputs!$B$11)^(Q$2-1),0)</f>
        <v>515</v>
      </c>
      <c r="R82" s="11" t="n">
        <f aca="false">IF(AND(R$1&gt;=Units!$Q81,MOD(R$1-Units!$Q81,12)=0),IF(AND(Units!$L81=1,R$1=Units!$Q81),1,Inputs!$B$15)*Inputs!$B$16*(1+Inputs!$B$11)^(R$2-1),0)</f>
        <v>0</v>
      </c>
      <c r="S82" s="11" t="n">
        <f aca="false">IF(AND(S$1&gt;=Units!$Q81,MOD(S$1-Units!$Q81,12)=0),IF(AND(Units!$L81=1,S$1=Units!$Q81),1,Inputs!$B$15)*Inputs!$B$16*(1+Inputs!$B$11)^(S$2-1),0)</f>
        <v>0</v>
      </c>
      <c r="T82" s="11" t="n">
        <f aca="false">IF(AND(T$1&gt;=Units!$Q81,MOD(T$1-Units!$Q81,12)=0),IF(AND(Units!$L81=1,T$1=Units!$Q81),1,Inputs!$B$15)*Inputs!$B$16*(1+Inputs!$B$11)^(T$2-1),0)</f>
        <v>0</v>
      </c>
      <c r="U82" s="11" t="n">
        <f aca="false">IF(AND(U$1&gt;=Units!$Q81,MOD(U$1-Units!$Q81,12)=0),IF(AND(Units!$L81=1,U$1=Units!$Q81),1,Inputs!$B$15)*Inputs!$B$16*(1+Inputs!$B$11)^(U$2-1),0)</f>
        <v>0</v>
      </c>
      <c r="V82" s="11" t="n">
        <f aca="false">IF(AND(V$1&gt;=Units!$Q81,MOD(V$1-Units!$Q81,12)=0),IF(AND(Units!$L81=1,V$1=Units!$Q81),1,Inputs!$B$15)*Inputs!$B$16*(1+Inputs!$B$11)^(V$2-1),0)</f>
        <v>0</v>
      </c>
      <c r="W82" s="11" t="n">
        <f aca="false">IF(AND(W$1&gt;=Units!$Q81,MOD(W$1-Units!$Q81,12)=0),IF(AND(Units!$L81=1,W$1=Units!$Q81),1,Inputs!$B$15)*Inputs!$B$16*(1+Inputs!$B$11)^(W$2-1),0)</f>
        <v>0</v>
      </c>
      <c r="X82" s="11" t="n">
        <f aca="false">IF(AND(X$1&gt;=Units!$Q81,MOD(X$1-Units!$Q81,12)=0),IF(AND(Units!$L81=1,X$1=Units!$Q81),1,Inputs!$B$15)*Inputs!$B$16*(1+Inputs!$B$11)^(X$2-1),0)</f>
        <v>0</v>
      </c>
      <c r="Y82" s="11" t="n">
        <f aca="false">IF(AND(Y$1&gt;=Units!$Q81,MOD(Y$1-Units!$Q81,12)=0),IF(AND(Units!$L81=1,Y$1=Units!$Q81),1,Inputs!$B$15)*Inputs!$B$16*(1+Inputs!$B$11)^(Y$2-1),0)</f>
        <v>0</v>
      </c>
      <c r="Z82" s="11" t="n">
        <f aca="false">IF(AND(Z$1&gt;=Units!$Q81,MOD(Z$1-Units!$Q81,12)=0),IF(AND(Units!$L81=1,Z$1=Units!$Q81),1,Inputs!$B$15)*Inputs!$B$16*(1+Inputs!$B$11)^(Z$2-1),0)</f>
        <v>0</v>
      </c>
      <c r="AA82" s="11" t="n">
        <f aca="false">IF(AND(AA$1&gt;=Units!$Q81,MOD(AA$1-Units!$Q81,12)=0),IF(AND(Units!$L81=1,AA$1=Units!$Q81),1,Inputs!$B$15)*Inputs!$B$16*(1+Inputs!$B$11)^(AA$2-1),0)</f>
        <v>0</v>
      </c>
      <c r="AB82" s="11" t="n">
        <f aca="false">IF(AND(AB$1&gt;=Units!$Q81,MOD(AB$1-Units!$Q81,12)=0),IF(AND(Units!$L81=1,AB$1=Units!$Q81),1,Inputs!$B$15)*Inputs!$B$16*(1+Inputs!$B$11)^(AB$2-1),0)</f>
        <v>0</v>
      </c>
      <c r="AC82" s="11" t="n">
        <f aca="false">IF(AND(AC$1&gt;=Units!$Q81,MOD(AC$1-Units!$Q81,12)=0),IF(AND(Units!$L81=1,AC$1=Units!$Q81),1,Inputs!$B$15)*Inputs!$B$16*(1+Inputs!$B$11)^(AC$2-1),0)</f>
        <v>530.45</v>
      </c>
      <c r="AD82" s="11" t="n">
        <f aca="false">IF(AND(AD$1&gt;=Units!$Q81,MOD(AD$1-Units!$Q81,12)=0),IF(AND(Units!$L81=1,AD$1=Units!$Q81),1,Inputs!$B$15)*Inputs!$B$16*(1+Inputs!$B$11)^(AD$2-1),0)</f>
        <v>0</v>
      </c>
      <c r="AE82" s="11" t="n">
        <f aca="false">IF(AND(AE$1&gt;=Units!$Q81,MOD(AE$1-Units!$Q81,12)=0),IF(AND(Units!$L81=1,AE$1=Units!$Q81),1,Inputs!$B$15)*Inputs!$B$16*(1+Inputs!$B$11)^(AE$2-1),0)</f>
        <v>0</v>
      </c>
      <c r="AF82" s="11" t="n">
        <f aca="false">IF(AND(AF$1&gt;=Units!$Q81,MOD(AF$1-Units!$Q81,12)=0),IF(AND(Units!$L81=1,AF$1=Units!$Q81),1,Inputs!$B$15)*Inputs!$B$16*(1+Inputs!$B$11)^(AF$2-1),0)</f>
        <v>0</v>
      </c>
      <c r="AG82" s="11" t="n">
        <f aca="false">IF(AND(AG$1&gt;=Units!$Q81,MOD(AG$1-Units!$Q81,12)=0),IF(AND(Units!$L81=1,AG$1=Units!$Q81),1,Inputs!$B$15)*Inputs!$B$16*(1+Inputs!$B$11)^(AG$2-1),0)</f>
        <v>0</v>
      </c>
      <c r="AH82" s="11" t="n">
        <f aca="false">IF(AND(AH$1&gt;=Units!$Q81,MOD(AH$1-Units!$Q81,12)=0),IF(AND(Units!$L81=1,AH$1=Units!$Q81),1,Inputs!$B$15)*Inputs!$B$16*(1+Inputs!$B$11)^(AH$2-1),0)</f>
        <v>0</v>
      </c>
      <c r="AI82" s="11" t="n">
        <f aca="false">IF(AND(AI$1&gt;=Units!$Q81,MOD(AI$1-Units!$Q81,12)=0),IF(AND(Units!$L81=1,AI$1=Units!$Q81),1,Inputs!$B$15)*Inputs!$B$16*(1+Inputs!$B$11)^(AI$2-1),0)</f>
        <v>0</v>
      </c>
      <c r="AJ82" s="11" t="n">
        <f aca="false">IF(AND(AJ$1&gt;=Units!$Q81,MOD(AJ$1-Units!$Q81,12)=0),IF(AND(Units!$L81=1,AJ$1=Units!$Q81),1,Inputs!$B$15)*Inputs!$B$16*(1+Inputs!$B$11)^(AJ$2-1),0)</f>
        <v>0</v>
      </c>
      <c r="AK82" s="11" t="n">
        <f aca="false">IF(AND(AK$1&gt;=Units!$Q81,MOD(AK$1-Units!$Q81,12)=0),IF(AND(Units!$L81=1,AK$1=Units!$Q81),1,Inputs!$B$15)*Inputs!$B$16*(1+Inputs!$B$11)^(AK$2-1),0)</f>
        <v>0</v>
      </c>
      <c r="AL82" s="11" t="n">
        <f aca="false">IF(AND(AL$1&gt;=Units!$Q81,MOD(AL$1-Units!$Q81,12)=0),IF(AND(Units!$L81=1,AL$1=Units!$Q81),1,Inputs!$B$15)*Inputs!$B$16*(1+Inputs!$B$11)^(AL$2-1),0)</f>
        <v>0</v>
      </c>
      <c r="AM82" s="11" t="n">
        <f aca="false">IF(AND(AM$1&gt;=Units!$Q81,MOD(AM$1-Units!$Q81,12)=0),IF(AND(Units!$L81=1,AM$1=Units!$Q81),1,Inputs!$B$15)*Inputs!$B$16*(1+Inputs!$B$11)^(AM$2-1),0)</f>
        <v>0</v>
      </c>
      <c r="AN82" s="11" t="n">
        <f aca="false">IF(AND(AN$1&gt;=Units!$Q81,MOD(AN$1-Units!$Q81,12)=0),IF(AND(Units!$L81=1,AN$1=Units!$Q81),1,Inputs!$B$15)*Inputs!$B$16*(1+Inputs!$B$11)^(AN$2-1),0)</f>
        <v>0</v>
      </c>
      <c r="AO82" s="11" t="n">
        <f aca="false">IF(AND(AO$1&gt;=Units!$Q81,MOD(AO$1-Units!$Q81,12)=0),IF(AND(Units!$L81=1,AO$1=Units!$Q81),1,Inputs!$B$15)*Inputs!$B$16*(1+Inputs!$B$11)^(AO$2-1),0)</f>
        <v>546.3635</v>
      </c>
      <c r="AP82" s="11" t="n">
        <f aca="false">IF(AND(AP$1&gt;=Units!$Q81,MOD(AP$1-Units!$Q81,12)=0),IF(AND(Units!$L81=1,AP$1=Units!$Q81),1,Inputs!$B$15)*Inputs!$B$16*(1+Inputs!$B$11)^(AP$2-1),0)</f>
        <v>0</v>
      </c>
      <c r="AQ82" s="11" t="n">
        <f aca="false">IF(AND(AQ$1&gt;=Units!$Q81,MOD(AQ$1-Units!$Q81,12)=0),IF(AND(Units!$L81=1,AQ$1=Units!$Q81),1,Inputs!$B$15)*Inputs!$B$16*(1+Inputs!$B$11)^(AQ$2-1),0)</f>
        <v>0</v>
      </c>
      <c r="AR82" s="11" t="n">
        <f aca="false">IF(AND(AR$1&gt;=Units!$Q81,MOD(AR$1-Units!$Q81,12)=0),IF(AND(Units!$L81=1,AR$1=Units!$Q81),1,Inputs!$B$15)*Inputs!$B$16*(1+Inputs!$B$11)^(AR$2-1),0)</f>
        <v>0</v>
      </c>
      <c r="AS82" s="11" t="n">
        <f aca="false">IF(AND(AS$1&gt;=Units!$Q81,MOD(AS$1-Units!$Q81,12)=0),IF(AND(Units!$L81=1,AS$1=Units!$Q81),1,Inputs!$B$15)*Inputs!$B$16*(1+Inputs!$B$11)^(AS$2-1),0)</f>
        <v>0</v>
      </c>
      <c r="AT82" s="11" t="n">
        <f aca="false">IF(AND(AT$1&gt;=Units!$Q81,MOD(AT$1-Units!$Q81,12)=0),IF(AND(Units!$L81=1,AT$1=Units!$Q81),1,Inputs!$B$15)*Inputs!$B$16*(1+Inputs!$B$11)^(AT$2-1),0)</f>
        <v>0</v>
      </c>
      <c r="AU82" s="11" t="n">
        <f aca="false">IF(AND(AU$1&gt;=Units!$Q81,MOD(AU$1-Units!$Q81,12)=0),IF(AND(Units!$L81=1,AU$1=Units!$Q81),1,Inputs!$B$15)*Inputs!$B$16*(1+Inputs!$B$11)^(AU$2-1),0)</f>
        <v>0</v>
      </c>
      <c r="AV82" s="11" t="n">
        <f aca="false">IF(AND(AV$1&gt;=Units!$Q81,MOD(AV$1-Units!$Q81,12)=0),IF(AND(Units!$L81=1,AV$1=Units!$Q81),1,Inputs!$B$15)*Inputs!$B$16*(1+Inputs!$B$11)^(AV$2-1),0)</f>
        <v>0</v>
      </c>
      <c r="AW82" s="11" t="n">
        <f aca="false">IF(AND(AW$1&gt;=Units!$Q81,MOD(AW$1-Units!$Q81,12)=0),IF(AND(Units!$L81=1,AW$1=Units!$Q81),1,Inputs!$B$15)*Inputs!$B$16*(1+Inputs!$B$11)^(AW$2-1),0)</f>
        <v>0</v>
      </c>
      <c r="AX82" s="11" t="n">
        <f aca="false">IF(AND(AX$1&gt;=Units!$Q81,MOD(AX$1-Units!$Q81,12)=0),IF(AND(Units!$L81=1,AX$1=Units!$Q81),1,Inputs!$B$15)*Inputs!$B$16*(1+Inputs!$B$11)^(AX$2-1),0)</f>
        <v>0</v>
      </c>
      <c r="AY82" s="11" t="n">
        <f aca="false">IF(AND(AY$1&gt;=Units!$Q81,MOD(AY$1-Units!$Q81,12)=0),IF(AND(Units!$L81=1,AY$1=Units!$Q81),1,Inputs!$B$15)*Inputs!$B$16*(1+Inputs!$B$11)^(AY$2-1),0)</f>
        <v>0</v>
      </c>
      <c r="AZ82" s="11" t="n">
        <f aca="false">IF(AND(AZ$1&gt;=Units!$Q81,MOD(AZ$1-Units!$Q81,12)=0),IF(AND(Units!$L81=1,AZ$1=Units!$Q81),1,Inputs!$B$15)*Inputs!$B$16*(1+Inputs!$B$11)^(AZ$2-1),0)</f>
        <v>0</v>
      </c>
      <c r="BA82" s="11" t="n">
        <f aca="false">IF(AND(BA$1&gt;=Units!$Q81,MOD(BA$1-Units!$Q81,12)=0),IF(AND(Units!$L81=1,BA$1=Units!$Q81),1,Inputs!$B$15)*Inputs!$B$16*(1+Inputs!$B$11)^(BA$2-1),0)</f>
        <v>562.754405</v>
      </c>
      <c r="BB82" s="11" t="n">
        <f aca="false">IF(AND(BB$1&gt;=Units!$Q81,MOD(BB$1-Units!$Q81,12)=0),IF(AND(Units!$L81=1,BB$1=Units!$Q81),1,Inputs!$B$15)*Inputs!$B$16*(1+Inputs!$B$11)^(BB$2-1),0)</f>
        <v>0</v>
      </c>
      <c r="BC82" s="11" t="n">
        <f aca="false">IF(AND(BC$1&gt;=Units!$Q81,MOD(BC$1-Units!$Q81,12)=0),IF(AND(Units!$L81=1,BC$1=Units!$Q81),1,Inputs!$B$15)*Inputs!$B$16*(1+Inputs!$B$11)^(BC$2-1),0)</f>
        <v>0</v>
      </c>
      <c r="BD82" s="11" t="n">
        <f aca="false">IF(AND(BD$1&gt;=Units!$Q81,MOD(BD$1-Units!$Q81,12)=0),IF(AND(Units!$L81=1,BD$1=Units!$Q81),1,Inputs!$B$15)*Inputs!$B$16*(1+Inputs!$B$11)^(BD$2-1),0)</f>
        <v>0</v>
      </c>
      <c r="BE82" s="11" t="n">
        <f aca="false">IF(AND(BE$1&gt;=Units!$Q81,MOD(BE$1-Units!$Q81,12)=0),IF(AND(Units!$L81=1,BE$1=Units!$Q81),1,Inputs!$B$15)*Inputs!$B$16*(1+Inputs!$B$11)^(BE$2-1),0)</f>
        <v>0</v>
      </c>
      <c r="BF82" s="11" t="n">
        <f aca="false">IF(AND(BF$1&gt;=Units!$Q81,MOD(BF$1-Units!$Q81,12)=0),IF(AND(Units!$L81=1,BF$1=Units!$Q81),1,Inputs!$B$15)*Inputs!$B$16*(1+Inputs!$B$11)^(BF$2-1),0)</f>
        <v>0</v>
      </c>
      <c r="BG82" s="11" t="n">
        <f aca="false">IF(AND(BG$1&gt;=Units!$Q81,MOD(BG$1-Units!$Q81,12)=0),IF(AND(Units!$L81=1,BG$1=Units!$Q81),1,Inputs!$B$15)*Inputs!$B$16*(1+Inputs!$B$11)^(BG$2-1),0)</f>
        <v>0</v>
      </c>
      <c r="BH82" s="11" t="n">
        <f aca="false">IF(AND(BH$1&gt;=Units!$Q81,MOD(BH$1-Units!$Q81,12)=0),IF(AND(Units!$L81=1,BH$1=Units!$Q81),1,Inputs!$B$15)*Inputs!$B$16*(1+Inputs!$B$11)^(BH$2-1),0)</f>
        <v>0</v>
      </c>
      <c r="BI82" s="11" t="n">
        <f aca="false">IF(AND(BI$1&gt;=Units!$Q81,MOD(BI$1-Units!$Q81,12)=0),IF(AND(Units!$L81=1,BI$1=Units!$Q81),1,Inputs!$B$15)*Inputs!$B$16*(1+Inputs!$B$11)^(BI$2-1),0)</f>
        <v>0</v>
      </c>
      <c r="BJ82" s="11" t="n">
        <f aca="false">IF(AND(BJ$1&gt;=Units!$Q81,MOD(BJ$1-Units!$Q81,12)=0),IF(AND(Units!$L81=1,BJ$1=Units!$Q81),1,Inputs!$B$15)*Inputs!$B$16*(1+Inputs!$B$11)^(BJ$2-1),0)</f>
        <v>0</v>
      </c>
      <c r="BK82" s="11" t="n">
        <f aca="false">IF(AND(BK$1&gt;=Units!$Q81,MOD(BK$1-Units!$Q81,12)=0),IF(AND(Units!$L81=1,BK$1=Units!$Q81),1,Inputs!$B$15)*Inputs!$B$16*(1+Inputs!$B$11)^(BK$2-1),0)</f>
        <v>0</v>
      </c>
      <c r="BL82" s="11" t="n">
        <f aca="false">IF(AND(BL$1&gt;=Units!$Q81,MOD(BL$1-Units!$Q81,12)=0),IF(AND(Units!$L81=1,BL$1=Units!$Q81),1,Inputs!$B$15)*Inputs!$B$16*(1+Inputs!$B$11)^(BL$2-1),0)</f>
        <v>0</v>
      </c>
      <c r="BM82" s="11" t="n">
        <f aca="false">IF(AND(BM$1&gt;=Units!$Q81,MOD(BM$1-Units!$Q81,12)=0),IF(AND(Units!$L81=1,BM$1=Units!$Q81),1,Inputs!$B$15)*Inputs!$B$16*(1+Inputs!$B$11)^(BM$2-1),0)</f>
        <v>579.63703715</v>
      </c>
      <c r="BN82" s="11" t="n">
        <f aca="false">IF(AND(BN$1&gt;=Units!$Q81,MOD(BN$1-Units!$Q81,12)=0),IF(AND(Units!$L81=1,BN$1=Units!$Q81),1,Inputs!$B$15)*Inputs!$B$16*(1+Inputs!$B$11)^(BN$2-1),0)</f>
        <v>0</v>
      </c>
      <c r="BO82" s="11" t="n">
        <f aca="false">IF(AND(BO$1&gt;=Units!$Q81,MOD(BO$1-Units!$Q81,12)=0),IF(AND(Units!$L81=1,BO$1=Units!$Q81),1,Inputs!$B$15)*Inputs!$B$16*(1+Inputs!$B$11)^(BO$2-1),0)</f>
        <v>0</v>
      </c>
      <c r="BP82" s="11" t="n">
        <f aca="false">IF(AND(BP$1&gt;=Units!$Q81,MOD(BP$1-Units!$Q81,12)=0),IF(AND(Units!$L81=1,BP$1=Units!$Q81),1,Inputs!$B$15)*Inputs!$B$16*(1+Inputs!$B$11)^(BP$2-1),0)</f>
        <v>0</v>
      </c>
      <c r="BQ82" s="11" t="n">
        <f aca="false">IF(AND(BQ$1&gt;=Units!$Q81,MOD(BQ$1-Units!$Q81,12)=0),IF(AND(Units!$L81=1,BQ$1=Units!$Q81),1,Inputs!$B$15)*Inputs!$B$16*(1+Inputs!$B$11)^(BQ$2-1),0)</f>
        <v>0</v>
      </c>
      <c r="BR82" s="11" t="n">
        <f aca="false">IF(AND(BR$1&gt;=Units!$Q81,MOD(BR$1-Units!$Q81,12)=0),IF(AND(Units!$L81=1,BR$1=Units!$Q81),1,Inputs!$B$15)*Inputs!$B$16*(1+Inputs!$B$11)^(BR$2-1),0)</f>
        <v>0</v>
      </c>
      <c r="BS82" s="11" t="n">
        <f aca="false">IF(AND(BS$1&gt;=Units!$Q81,MOD(BS$1-Units!$Q81,12)=0),IF(AND(Units!$L81=1,BS$1=Units!$Q81),1,Inputs!$B$15)*Inputs!$B$16*(1+Inputs!$B$11)^(BS$2-1),0)</f>
        <v>0</v>
      </c>
      <c r="BT82" s="11" t="n">
        <f aca="false">IF(AND(BT$1&gt;=Units!$Q81,MOD(BT$1-Units!$Q81,12)=0),IF(AND(Units!$L81=1,BT$1=Units!$Q81),1,Inputs!$B$15)*Inputs!$B$16*(1+Inputs!$B$11)^(BT$2-1),0)</f>
        <v>0</v>
      </c>
      <c r="BU82" s="11" t="n">
        <f aca="false">IF(AND(BU$1&gt;=Units!$Q81,MOD(BU$1-Units!$Q81,12)=0),IF(AND(Units!$L81=1,BU$1=Units!$Q81),1,Inputs!$B$15)*Inputs!$B$16*(1+Inputs!$B$11)^(BU$2-1),0)</f>
        <v>0</v>
      </c>
      <c r="BV82" s="11" t="n">
        <f aca="false">IF(AND(BV$1&gt;=Units!$Q81,MOD(BV$1-Units!$Q81,12)=0),IF(AND(Units!$L81=1,BV$1=Units!$Q81),1,Inputs!$B$15)*Inputs!$B$16*(1+Inputs!$B$11)^(BV$2-1),0)</f>
        <v>0</v>
      </c>
      <c r="BW82" s="11" t="n">
        <f aca="false">IF(AND(BW$1&gt;=Units!$Q81,MOD(BW$1-Units!$Q81,12)=0),IF(AND(Units!$L81=1,BW$1=Units!$Q81),1,Inputs!$B$15)*Inputs!$B$16*(1+Inputs!$B$11)^(BW$2-1),0)</f>
        <v>0</v>
      </c>
      <c r="BX82" s="11" t="n">
        <f aca="false">IF(AND(BX$1&gt;=Units!$Q81,MOD(BX$1-Units!$Q81,12)=0),IF(AND(Units!$L81=1,BX$1=Units!$Q81),1,Inputs!$B$15)*Inputs!$B$16*(1+Inputs!$B$11)^(BX$2-1),0)</f>
        <v>0</v>
      </c>
      <c r="BY82" s="11" t="n">
        <f aca="false">IF(AND(BY$1&gt;=Units!$Q81,MOD(BY$1-Units!$Q81,12)=0),IF(AND(Units!$L81=1,BY$1=Units!$Q81),1,Inputs!$B$15)*Inputs!$B$16*(1+Inputs!$B$11)^(BY$2-1),0)</f>
        <v>597.0261482645</v>
      </c>
      <c r="BZ82" s="11" t="n">
        <f aca="false">IF(AND(BZ$1&gt;=Units!$Q81,MOD(BZ$1-Units!$Q81,12)=0),IF(AND(Units!$L81=1,BZ$1=Units!$Q81),1,Inputs!$B$15)*Inputs!$B$16*(1+Inputs!$B$11)^(BZ$2-1),0)</f>
        <v>0</v>
      </c>
      <c r="CA82" s="11" t="n">
        <f aca="false">IF(AND(CA$1&gt;=Units!$Q81,MOD(CA$1-Units!$Q81,12)=0),IF(AND(Units!$L81=1,CA$1=Units!$Q81),1,Inputs!$B$15)*Inputs!$B$16*(1+Inputs!$B$11)^(CA$2-1),0)</f>
        <v>0</v>
      </c>
      <c r="CB82" s="11" t="n">
        <f aca="false">IF(AND(CB$1&gt;=Units!$Q81,MOD(CB$1-Units!$Q81,12)=0),IF(AND(Units!$L81=1,CB$1=Units!$Q81),1,Inputs!$B$15)*Inputs!$B$16*(1+Inputs!$B$11)^(CB$2-1),0)</f>
        <v>0</v>
      </c>
      <c r="CC82" s="11" t="n">
        <f aca="false">IF(AND(CC$1&gt;=Units!$Q81,MOD(CC$1-Units!$Q81,12)=0),IF(AND(Units!$L81=1,CC$1=Units!$Q81),1,Inputs!$B$15)*Inputs!$B$16*(1+Inputs!$B$11)^(CC$2-1),0)</f>
        <v>0</v>
      </c>
      <c r="CD82" s="11" t="n">
        <f aca="false">IF(AND(CD$1&gt;=Units!$Q81,MOD(CD$1-Units!$Q81,12)=0),IF(AND(Units!$L81=1,CD$1=Units!$Q81),1,Inputs!$B$15)*Inputs!$B$16*(1+Inputs!$B$11)^(CD$2-1),0)</f>
        <v>0</v>
      </c>
      <c r="CE82" s="11" t="n">
        <f aca="false">IF(AND(CE$1&gt;=Units!$Q81,MOD(CE$1-Units!$Q81,12)=0),IF(AND(Units!$L81=1,CE$1=Units!$Q81),1,Inputs!$B$15)*Inputs!$B$16*(1+Inputs!$B$11)^(CE$2-1),0)</f>
        <v>0</v>
      </c>
      <c r="CF82" s="11" t="n">
        <f aca="false">IF(AND(CF$1&gt;=Units!$Q81,MOD(CF$1-Units!$Q81,12)=0),IF(AND(Units!$L81=1,CF$1=Units!$Q81),1,Inputs!$B$15)*Inputs!$B$16*(1+Inputs!$B$11)^(CF$2-1),0)</f>
        <v>0</v>
      </c>
      <c r="CG82" s="11" t="n">
        <f aca="false">IF(AND(CG$1&gt;=Units!$Q81,MOD(CG$1-Units!$Q81,12)=0),IF(AND(Units!$L81=1,CG$1=Units!$Q81),1,Inputs!$B$15)*Inputs!$B$16*(1+Inputs!$B$11)^(CG$2-1),0)</f>
        <v>0</v>
      </c>
      <c r="CH82" s="11" t="n">
        <f aca="false">IF(AND(CH$1&gt;=Units!$Q81,MOD(CH$1-Units!$Q81,12)=0),IF(AND(Units!$L81=1,CH$1=Units!$Q81),1,Inputs!$B$15)*Inputs!$B$16*(1+Inputs!$B$11)^(CH$2-1),0)</f>
        <v>0</v>
      </c>
      <c r="CI82" s="11" t="n">
        <f aca="false">IF(AND(CI$1&gt;=Units!$Q81,MOD(CI$1-Units!$Q81,12)=0),IF(AND(Units!$L81=1,CI$1=Units!$Q81),1,Inputs!$B$15)*Inputs!$B$16*(1+Inputs!$B$11)^(CI$2-1),0)</f>
        <v>0</v>
      </c>
      <c r="CJ82" s="11" t="n">
        <f aca="false">IF(AND(CJ$1&gt;=Units!$Q81,MOD(CJ$1-Units!$Q81,12)=0),IF(AND(Units!$L81=1,CJ$1=Units!$Q81),1,Inputs!$B$15)*Inputs!$B$16*(1+Inputs!$B$11)^(CJ$2-1),0)</f>
        <v>0</v>
      </c>
      <c r="CK82" s="11" t="n">
        <f aca="false">IF(AND(CK$1&gt;=Units!$Q81,MOD(CK$1-Units!$Q81,12)=0),IF(AND(Units!$L81=1,CK$1=Units!$Q81),1,Inputs!$B$15)*Inputs!$B$16*(1+Inputs!$B$11)^(CK$2-1),0)</f>
        <v>614.936932712435</v>
      </c>
      <c r="CL82" s="11" t="n">
        <f aca="false">IF(AND(CL$1&gt;=Units!$Q81,MOD(CL$1-Units!$Q81,12)=0),IF(AND(Units!$L81=1,CL$1=Units!$Q81),1,Inputs!$B$15)*Inputs!$B$16*(1+Inputs!$B$11)^(CL$2-1),0)</f>
        <v>0</v>
      </c>
      <c r="CM82" s="11" t="n">
        <f aca="false">IF(AND(CM$1&gt;=Units!$Q81,MOD(CM$1-Units!$Q81,12)=0),IF(AND(Units!$L81=1,CM$1=Units!$Q81),1,Inputs!$B$15)*Inputs!$B$16*(1+Inputs!$B$11)^(CM$2-1),0)</f>
        <v>0</v>
      </c>
      <c r="CN82" s="11" t="n">
        <f aca="false">IF(AND(CN$1&gt;=Units!$Q81,MOD(CN$1-Units!$Q81,12)=0),IF(AND(Units!$L81=1,CN$1=Units!$Q81),1,Inputs!$B$15)*Inputs!$B$16*(1+Inputs!$B$11)^(CN$2-1),0)</f>
        <v>0</v>
      </c>
      <c r="CO82" s="11" t="n">
        <f aca="false">IF(AND(CO$1&gt;=Units!$Q81,MOD(CO$1-Units!$Q81,12)=0),IF(AND(Units!$L81=1,CO$1=Units!$Q81),1,Inputs!$B$15)*Inputs!$B$16*(1+Inputs!$B$11)^(CO$2-1),0)</f>
        <v>0</v>
      </c>
      <c r="CP82" s="11" t="n">
        <f aca="false">IF(AND(CP$1&gt;=Units!$Q81,MOD(CP$1-Units!$Q81,12)=0),IF(AND(Units!$L81=1,CP$1=Units!$Q81),1,Inputs!$B$15)*Inputs!$B$16*(1+Inputs!$B$11)^(CP$2-1),0)</f>
        <v>0</v>
      </c>
      <c r="CQ82" s="11" t="n">
        <f aca="false">IF(AND(CQ$1&gt;=Units!$Q81,MOD(CQ$1-Units!$Q81,12)=0),IF(AND(Units!$L81=1,CQ$1=Units!$Q81),1,Inputs!$B$15)*Inputs!$B$16*(1+Inputs!$B$11)^(CQ$2-1),0)</f>
        <v>0</v>
      </c>
      <c r="CR82" s="11" t="n">
        <f aca="false">IF(AND(CR$1&gt;=Units!$Q81,MOD(CR$1-Units!$Q81,12)=0),IF(AND(Units!$L81=1,CR$1=Units!$Q81),1,Inputs!$B$15)*Inputs!$B$16*(1+Inputs!$B$11)^(CR$2-1),0)</f>
        <v>0</v>
      </c>
      <c r="CS82" s="11" t="n">
        <f aca="false">IF(AND(CS$1&gt;=Units!$Q81,MOD(CS$1-Units!$Q81,12)=0),IF(AND(Units!$L81=1,CS$1=Units!$Q81),1,Inputs!$B$15)*Inputs!$B$16*(1+Inputs!$B$11)^(CS$2-1),0)</f>
        <v>0</v>
      </c>
      <c r="CT82" s="11" t="n">
        <f aca="false">IF(AND(CT$1&gt;=Units!$Q81,MOD(CT$1-Units!$Q81,12)=0),IF(AND(Units!$L81=1,CT$1=Units!$Q81),1,Inputs!$B$15)*Inputs!$B$16*(1+Inputs!$B$11)^(CT$2-1),0)</f>
        <v>0</v>
      </c>
      <c r="CU82" s="11" t="n">
        <f aca="false">IF(AND(CU$1&gt;=Units!$Q81,MOD(CU$1-Units!$Q81,12)=0),IF(AND(Units!$L81=1,CU$1=Units!$Q81),1,Inputs!$B$15)*Inputs!$B$16*(1+Inputs!$B$11)^(CU$2-1),0)</f>
        <v>0</v>
      </c>
      <c r="CV82" s="11" t="n">
        <f aca="false">IF(AND(CV$1&gt;=Units!$Q81,MOD(CV$1-Units!$Q81,12)=0),IF(AND(Units!$L81=1,CV$1=Units!$Q81),1,Inputs!$B$15)*Inputs!$B$16*(1+Inputs!$B$11)^(CV$2-1),0)</f>
        <v>0</v>
      </c>
      <c r="CW82" s="11" t="n">
        <f aca="false">IF(AND(CW$1&gt;=Units!$Q81,MOD(CW$1-Units!$Q81,12)=0),IF(AND(Units!$L81=1,CW$1=Units!$Q81),1,Inputs!$B$15)*Inputs!$B$16*(1+Inputs!$B$11)^(CW$2-1),0)</f>
        <v>633.385040693808</v>
      </c>
      <c r="CX82" s="11" t="n">
        <f aca="false">IF(AND(CX$1&gt;=Units!$Q81,MOD(CX$1-Units!$Q81,12)=0),IF(AND(Units!$L81=1,CX$1=Units!$Q81),1,Inputs!$B$15)*Inputs!$B$16*(1+Inputs!$B$11)^(CX$2-1),0)</f>
        <v>0</v>
      </c>
      <c r="CY82" s="11" t="n">
        <f aca="false">IF(AND(CY$1&gt;=Units!$Q81,MOD(CY$1-Units!$Q81,12)=0),IF(AND(Units!$L81=1,CY$1=Units!$Q81),1,Inputs!$B$15)*Inputs!$B$16*(1+Inputs!$B$11)^(CY$2-1),0)</f>
        <v>0</v>
      </c>
      <c r="CZ82" s="11" t="n">
        <f aca="false">IF(AND(CZ$1&gt;=Units!$Q81,MOD(CZ$1-Units!$Q81,12)=0),IF(AND(Units!$L81=1,CZ$1=Units!$Q81),1,Inputs!$B$15)*Inputs!$B$16*(1+Inputs!$B$11)^(CZ$2-1),0)</f>
        <v>0</v>
      </c>
      <c r="DA82" s="11" t="n">
        <f aca="false">IF(AND(DA$1&gt;=Units!$Q81,MOD(DA$1-Units!$Q81,12)=0),IF(AND(Units!$L81=1,DA$1=Units!$Q81),1,Inputs!$B$15)*Inputs!$B$16*(1+Inputs!$B$11)^(DA$2-1),0)</f>
        <v>0</v>
      </c>
      <c r="DB82" s="11" t="n">
        <f aca="false">IF(AND(DB$1&gt;=Units!$Q81,MOD(DB$1-Units!$Q81,12)=0),IF(AND(Units!$L81=1,DB$1=Units!$Q81),1,Inputs!$B$15)*Inputs!$B$16*(1+Inputs!$B$11)^(DB$2-1),0)</f>
        <v>0</v>
      </c>
      <c r="DC82" s="11" t="n">
        <f aca="false">IF(AND(DC$1&gt;=Units!$Q81,MOD(DC$1-Units!$Q81,12)=0),IF(AND(Units!$L81=1,DC$1=Units!$Q81),1,Inputs!$B$15)*Inputs!$B$16*(1+Inputs!$B$11)^(DC$2-1),0)</f>
        <v>0</v>
      </c>
      <c r="DD82" s="11" t="n">
        <f aca="false">IF(AND(DD$1&gt;=Units!$Q81,MOD(DD$1-Units!$Q81,12)=0),IF(AND(Units!$L81=1,DD$1=Units!$Q81),1,Inputs!$B$15)*Inputs!$B$16*(1+Inputs!$B$11)^(DD$2-1),0)</f>
        <v>0</v>
      </c>
      <c r="DE82" s="11" t="n">
        <f aca="false">IF(AND(DE$1&gt;=Units!$Q81,MOD(DE$1-Units!$Q81,12)=0),IF(AND(Units!$L81=1,DE$1=Units!$Q81),1,Inputs!$B$15)*Inputs!$B$16*(1+Inputs!$B$11)^(DE$2-1),0)</f>
        <v>0</v>
      </c>
      <c r="DF82" s="11" t="n">
        <f aca="false">IF(AND(DF$1&gt;=Units!$Q81,MOD(DF$1-Units!$Q81,12)=0),IF(AND(Units!$L81=1,DF$1=Units!$Q81),1,Inputs!$B$15)*Inputs!$B$16*(1+Inputs!$B$11)^(DF$2-1),0)</f>
        <v>0</v>
      </c>
      <c r="DG82" s="11" t="n">
        <f aca="false">IF(AND(DG$1&gt;=Units!$Q81,MOD(DG$1-Units!$Q81,12)=0),IF(AND(Units!$L81=1,DG$1=Units!$Q81),1,Inputs!$B$15)*Inputs!$B$16*(1+Inputs!$B$11)^(DG$2-1),0)</f>
        <v>0</v>
      </c>
      <c r="DH82" s="11" t="n">
        <f aca="false">IF(AND(DH$1&gt;=Units!$Q81,MOD(DH$1-Units!$Q81,12)=0),IF(AND(Units!$L81=1,DH$1=Units!$Q81),1,Inputs!$B$15)*Inputs!$B$16*(1+Inputs!$B$11)^(DH$2-1),0)</f>
        <v>0</v>
      </c>
      <c r="DI82" s="11" t="n">
        <f aca="false">IF(AND(DI$1&gt;=Units!$Q81,MOD(DI$1-Units!$Q81,12)=0),IF(AND(Units!$L81=1,DI$1=Units!$Q81),1,Inputs!$B$15)*Inputs!$B$16*(1+Inputs!$B$11)^(DI$2-1),0)</f>
        <v>652.386591914623</v>
      </c>
      <c r="DJ82" s="11" t="n">
        <f aca="false">IF(AND(DJ$1&gt;=Units!$Q81,MOD(DJ$1-Units!$Q81,12)=0),IF(AND(Units!$L81=1,DJ$1=Units!$Q81),1,Inputs!$B$15)*Inputs!$B$16*(1+Inputs!$B$11)^(DJ$2-1),0)</f>
        <v>0</v>
      </c>
      <c r="DK82" s="11" t="n">
        <f aca="false">IF(AND(DK$1&gt;=Units!$Q81,MOD(DK$1-Units!$Q81,12)=0),IF(AND(Units!$L81=1,DK$1=Units!$Q81),1,Inputs!$B$15)*Inputs!$B$16*(1+Inputs!$B$11)^(DK$2-1),0)</f>
        <v>0</v>
      </c>
      <c r="DL82" s="11" t="n">
        <f aca="false">IF(AND(DL$1&gt;=Units!$Q81,MOD(DL$1-Units!$Q81,12)=0),IF(AND(Units!$L81=1,DL$1=Units!$Q81),1,Inputs!$B$15)*Inputs!$B$16*(1+Inputs!$B$11)^(DL$2-1),0)</f>
        <v>0</v>
      </c>
      <c r="DM82" s="11" t="n">
        <f aca="false">IF(AND(DM$1&gt;=Units!$Q81,MOD(DM$1-Units!$Q81,12)=0),IF(AND(Units!$L81=1,DM$1=Units!$Q81),1,Inputs!$B$15)*Inputs!$B$16*(1+Inputs!$B$11)^(DM$2-1),0)</f>
        <v>0</v>
      </c>
      <c r="DN82" s="11" t="n">
        <f aca="false">IF(AND(DN$1&gt;=Units!$Q81,MOD(DN$1-Units!$Q81,12)=0),IF(AND(Units!$L81=1,DN$1=Units!$Q81),1,Inputs!$B$15)*Inputs!$B$16*(1+Inputs!$B$11)^(DN$2-1),0)</f>
        <v>0</v>
      </c>
      <c r="DO82" s="11" t="n">
        <f aca="false">IF(AND(DO$1&gt;=Units!$Q81,MOD(DO$1-Units!$Q81,12)=0),IF(AND(Units!$L81=1,DO$1=Units!$Q81),1,Inputs!$B$15)*Inputs!$B$16*(1+Inputs!$B$11)^(DO$2-1),0)</f>
        <v>0</v>
      </c>
      <c r="DP82" s="11" t="n">
        <f aca="false">IF(AND(DP$1&gt;=Units!$Q81,MOD(DP$1-Units!$Q81,12)=0),IF(AND(Units!$L81=1,DP$1=Units!$Q81),1,Inputs!$B$15)*Inputs!$B$16*(1+Inputs!$B$11)^(DP$2-1),0)</f>
        <v>0</v>
      </c>
      <c r="DQ82" s="11" t="n">
        <f aca="false">IF(AND(DQ$1&gt;=Units!$Q81,MOD(DQ$1-Units!$Q81,12)=0),IF(AND(Units!$L81=1,DQ$1=Units!$Q81),1,Inputs!$B$15)*Inputs!$B$16*(1+Inputs!$B$11)^(DQ$2-1),0)</f>
        <v>0</v>
      </c>
      <c r="DR82" s="11" t="n">
        <f aca="false">IF(AND(DR$1&gt;=Units!$Q81,MOD(DR$1-Units!$Q81,12)=0),IF(AND(Units!$L81=1,DR$1=Units!$Q81),1,Inputs!$B$15)*Inputs!$B$16*(1+Inputs!$B$11)^(DR$2-1),0)</f>
        <v>0</v>
      </c>
      <c r="DS82" s="11" t="n">
        <f aca="false">IF(AND(DS$1&gt;=Units!$Q81,MOD(DS$1-Units!$Q81,12)=0),IF(AND(Units!$L81=1,DS$1=Units!$Q81),1,Inputs!$B$15)*Inputs!$B$16*(1+Inputs!$B$11)^(DS$2-1),0)</f>
        <v>0</v>
      </c>
      <c r="DT82" s="11" t="n">
        <f aca="false">IF(AND(DT$1&gt;=Units!$Q81,MOD(DT$1-Units!$Q81,12)=0),IF(AND(Units!$L81=1,DT$1=Units!$Q81),1,Inputs!$B$15)*Inputs!$B$16*(1+Inputs!$B$11)^(DT$2-1),0)</f>
        <v>0</v>
      </c>
      <c r="DU82" s="11" t="n">
        <f aca="false">IF(AND(DU$1&gt;=Units!$Q81,MOD(DU$1-Units!$Q81,12)=0),IF(AND(Units!$L81=1,DU$1=Units!$Q81),1,Inputs!$B$15)*Inputs!$B$16*(1+Inputs!$B$11)^(DU$2-1),0)</f>
        <v>671.958189672061</v>
      </c>
      <c r="DV82" s="11" t="n">
        <f aca="false">IF(AND(DV$1&gt;=Units!$Q81,MOD(DV$1-Units!$Q81,12)=0),IF(AND(Units!$L81=1,DV$1=Units!$Q81),1,Inputs!$B$15)*Inputs!$B$16*(1+Inputs!$B$11)^(DV$2-1),0)</f>
        <v>0</v>
      </c>
      <c r="DW82" s="11" t="n">
        <f aca="false">IF(AND(DW$1&gt;=Units!$Q81,MOD(DW$1-Units!$Q81,12)=0),IF(AND(Units!$L81=1,DW$1=Units!$Q81),1,Inputs!$B$15)*Inputs!$B$16*(1+Inputs!$B$11)^(DW$2-1),0)</f>
        <v>0</v>
      </c>
      <c r="DX82" s="11" t="n">
        <f aca="false">IF(AND(DX$1&gt;=Units!$Q81,MOD(DX$1-Units!$Q81,12)=0),IF(AND(Units!$L81=1,DX$1=Units!$Q81),1,Inputs!$B$15)*Inputs!$B$16*(1+Inputs!$B$11)^(DX$2-1),0)</f>
        <v>0</v>
      </c>
      <c r="DY82" s="11" t="n">
        <f aca="false">IF(AND(DY$1&gt;=Units!$Q81,MOD(DY$1-Units!$Q81,12)=0),IF(AND(Units!$L81=1,DY$1=Units!$Q81),1,Inputs!$B$15)*Inputs!$B$16*(1+Inputs!$B$11)^(DY$2-1),0)</f>
        <v>0</v>
      </c>
      <c r="DZ82" s="11" t="n">
        <f aca="false">IF(AND(DZ$1&gt;=Units!$Q81,MOD(DZ$1-Units!$Q81,12)=0),IF(AND(Units!$L81=1,DZ$1=Units!$Q81),1,Inputs!$B$15)*Inputs!$B$16*(1+Inputs!$B$11)^(DZ$2-1),0)</f>
        <v>0</v>
      </c>
      <c r="EA82" s="11" t="n">
        <f aca="false">IF(AND(EA$1&gt;=Units!$Q81,MOD(EA$1-Units!$Q81,12)=0),IF(AND(Units!$L81=1,EA$1=Units!$Q81),1,Inputs!$B$15)*Inputs!$B$16*(1+Inputs!$B$11)^(EA$2-1),0)</f>
        <v>0</v>
      </c>
      <c r="EB82" s="11" t="n">
        <f aca="false">IF(AND(EB$1&gt;=Units!$Q81,MOD(EB$1-Units!$Q81,12)=0),IF(AND(Units!$L81=1,EB$1=Units!$Q81),1,Inputs!$B$15)*Inputs!$B$16*(1+Inputs!$B$11)^(EB$2-1),0)</f>
        <v>0</v>
      </c>
      <c r="EC82" s="11" t="n">
        <f aca="false">IF(AND(EC$1&gt;=Units!$Q81,MOD(EC$1-Units!$Q81,12)=0),IF(AND(Units!$L81=1,EC$1=Units!$Q81),1,Inputs!$B$15)*Inputs!$B$16*(1+Inputs!$B$11)^(EC$2-1),0)</f>
        <v>0</v>
      </c>
      <c r="ED82" s="11" t="n">
        <f aca="false">IF(AND(ED$1&gt;=Units!$Q81,MOD(ED$1-Units!$Q81,12)=0),IF(AND(Units!$L81=1,ED$1=Units!$Q81),1,Inputs!$B$15)*Inputs!$B$16*(1+Inputs!$B$11)^(ED$2-1),0)</f>
        <v>0</v>
      </c>
    </row>
    <row r="83" customFormat="false" ht="15" hidden="false" customHeight="false" outlineLevel="0" collapsed="false">
      <c r="A83" s="22" t="n">
        <f aca="false">Units!A82</f>
        <v>321</v>
      </c>
      <c r="B83" s="23"/>
      <c r="C83" s="11" t="n">
        <f aca="false">IF(AND(C$1&gt;=Units!$Q82,MOD(C$1-Units!$Q82,12)=0),IF(AND(Units!$L82=1,C$1=Units!$Q82),1,Inputs!$B$15)*Inputs!$B$16*(1+Inputs!$B$11)^(C$2-1),0)</f>
        <v>0</v>
      </c>
      <c r="D83" s="11" t="n">
        <f aca="false">IF(AND(D$1&gt;=Units!$Q82,MOD(D$1-Units!$Q82,12)=0),IF(AND(Units!$L82=1,D$1=Units!$Q82),1,Inputs!$B$15)*Inputs!$B$16*(1+Inputs!$B$11)^(D$2-1),0)</f>
        <v>0</v>
      </c>
      <c r="E83" s="11" t="n">
        <f aca="false">IF(AND(E$1&gt;=Units!$Q82,MOD(E$1-Units!$Q82,12)=0),IF(AND(Units!$L82=1,E$1=Units!$Q82),1,Inputs!$B$15)*Inputs!$B$16*(1+Inputs!$B$11)^(E$2-1),0)</f>
        <v>0</v>
      </c>
      <c r="F83" s="11" t="n">
        <f aca="false">IF(AND(F$1&gt;=Units!$Q82,MOD(F$1-Units!$Q82,12)=0),IF(AND(Units!$L82=1,F$1=Units!$Q82),1,Inputs!$B$15)*Inputs!$B$16*(1+Inputs!$B$11)^(F$2-1),0)</f>
        <v>0</v>
      </c>
      <c r="G83" s="11" t="n">
        <f aca="false">IF(AND(G$1&gt;=Units!$Q82,MOD(G$1-Units!$Q82,12)=0),IF(AND(Units!$L82=1,G$1=Units!$Q82),1,Inputs!$B$15)*Inputs!$B$16*(1+Inputs!$B$11)^(G$2-1),0)</f>
        <v>0</v>
      </c>
      <c r="H83" s="11" t="n">
        <f aca="false">IF(AND(H$1&gt;=Units!$Q82,MOD(H$1-Units!$Q82,12)=0),IF(AND(Units!$L82=1,H$1=Units!$Q82),1,Inputs!$B$15)*Inputs!$B$16*(1+Inputs!$B$11)^(H$2-1),0)</f>
        <v>0</v>
      </c>
      <c r="I83" s="11" t="n">
        <f aca="false">IF(AND(I$1&gt;=Units!$Q82,MOD(I$1-Units!$Q82,12)=0),IF(AND(Units!$L82=1,I$1=Units!$Q82),1,Inputs!$B$15)*Inputs!$B$16*(1+Inputs!$B$11)^(I$2-1),0)</f>
        <v>0</v>
      </c>
      <c r="J83" s="11" t="n">
        <f aca="false">IF(AND(J$1&gt;=Units!$Q82,MOD(J$1-Units!$Q82,12)=0),IF(AND(Units!$L82=1,J$1=Units!$Q82),1,Inputs!$B$15)*Inputs!$B$16*(1+Inputs!$B$11)^(J$2-1),0)</f>
        <v>0</v>
      </c>
      <c r="K83" s="11" t="n">
        <f aca="false">IF(AND(K$1&gt;=Units!$Q82,MOD(K$1-Units!$Q82,12)=0),IF(AND(Units!$L82=1,K$1=Units!$Q82),1,Inputs!$B$15)*Inputs!$B$16*(1+Inputs!$B$11)^(K$2-1),0)</f>
        <v>0</v>
      </c>
      <c r="L83" s="11" t="n">
        <f aca="false">IF(AND(L$1&gt;=Units!$Q82,MOD(L$1-Units!$Q82,12)=0),IF(AND(Units!$L82=1,L$1=Units!$Q82),1,Inputs!$B$15)*Inputs!$B$16*(1+Inputs!$B$11)^(L$2-1),0)</f>
        <v>0</v>
      </c>
      <c r="M83" s="11" t="n">
        <f aca="false">IF(AND(M$1&gt;=Units!$Q82,MOD(M$1-Units!$Q82,12)=0),IF(AND(Units!$L82=1,M$1=Units!$Q82),1,Inputs!$B$15)*Inputs!$B$16*(1+Inputs!$B$11)^(M$2-1),0)</f>
        <v>0</v>
      </c>
      <c r="N83" s="11" t="n">
        <f aca="false">IF(AND(N$1&gt;=Units!$Q82,MOD(N$1-Units!$Q82,12)=0),IF(AND(Units!$L82=1,N$1=Units!$Q82),1,Inputs!$B$15)*Inputs!$B$16*(1+Inputs!$B$11)^(N$2-1),0)</f>
        <v>0</v>
      </c>
      <c r="O83" s="11" t="n">
        <f aca="false">IF(AND(O$1&gt;=Units!$Q82,MOD(O$1-Units!$Q82,12)=0),IF(AND(Units!$L82=1,O$1=Units!$Q82),1,Inputs!$B$15)*Inputs!$B$16*(1+Inputs!$B$11)^(O$2-1),0)</f>
        <v>0</v>
      </c>
      <c r="P83" s="11" t="n">
        <f aca="false">IF(AND(P$1&gt;=Units!$Q82,MOD(P$1-Units!$Q82,12)=0),IF(AND(Units!$L82=1,P$1=Units!$Q82),1,Inputs!$B$15)*Inputs!$B$16*(1+Inputs!$B$11)^(P$2-1),0)</f>
        <v>515</v>
      </c>
      <c r="Q83" s="11" t="n">
        <f aca="false">IF(AND(Q$1&gt;=Units!$Q82,MOD(Q$1-Units!$Q82,12)=0),IF(AND(Units!$L82=1,Q$1=Units!$Q82),1,Inputs!$B$15)*Inputs!$B$16*(1+Inputs!$B$11)^(Q$2-1),0)</f>
        <v>0</v>
      </c>
      <c r="R83" s="11" t="n">
        <f aca="false">IF(AND(R$1&gt;=Units!$Q82,MOD(R$1-Units!$Q82,12)=0),IF(AND(Units!$L82=1,R$1=Units!$Q82),1,Inputs!$B$15)*Inputs!$B$16*(1+Inputs!$B$11)^(R$2-1),0)</f>
        <v>0</v>
      </c>
      <c r="S83" s="11" t="n">
        <f aca="false">IF(AND(S$1&gt;=Units!$Q82,MOD(S$1-Units!$Q82,12)=0),IF(AND(Units!$L82=1,S$1=Units!$Q82),1,Inputs!$B$15)*Inputs!$B$16*(1+Inputs!$B$11)^(S$2-1),0)</f>
        <v>0</v>
      </c>
      <c r="T83" s="11" t="n">
        <f aca="false">IF(AND(T$1&gt;=Units!$Q82,MOD(T$1-Units!$Q82,12)=0),IF(AND(Units!$L82=1,T$1=Units!$Q82),1,Inputs!$B$15)*Inputs!$B$16*(1+Inputs!$B$11)^(T$2-1),0)</f>
        <v>0</v>
      </c>
      <c r="U83" s="11" t="n">
        <f aca="false">IF(AND(U$1&gt;=Units!$Q82,MOD(U$1-Units!$Q82,12)=0),IF(AND(Units!$L82=1,U$1=Units!$Q82),1,Inputs!$B$15)*Inputs!$B$16*(1+Inputs!$B$11)^(U$2-1),0)</f>
        <v>0</v>
      </c>
      <c r="V83" s="11" t="n">
        <f aca="false">IF(AND(V$1&gt;=Units!$Q82,MOD(V$1-Units!$Q82,12)=0),IF(AND(Units!$L82=1,V$1=Units!$Q82),1,Inputs!$B$15)*Inputs!$B$16*(1+Inputs!$B$11)^(V$2-1),0)</f>
        <v>0</v>
      </c>
      <c r="W83" s="11" t="n">
        <f aca="false">IF(AND(W$1&gt;=Units!$Q82,MOD(W$1-Units!$Q82,12)=0),IF(AND(Units!$L82=1,W$1=Units!$Q82),1,Inputs!$B$15)*Inputs!$B$16*(1+Inputs!$B$11)^(W$2-1),0)</f>
        <v>0</v>
      </c>
      <c r="X83" s="11" t="n">
        <f aca="false">IF(AND(X$1&gt;=Units!$Q82,MOD(X$1-Units!$Q82,12)=0),IF(AND(Units!$L82=1,X$1=Units!$Q82),1,Inputs!$B$15)*Inputs!$B$16*(1+Inputs!$B$11)^(X$2-1),0)</f>
        <v>0</v>
      </c>
      <c r="Y83" s="11" t="n">
        <f aca="false">IF(AND(Y$1&gt;=Units!$Q82,MOD(Y$1-Units!$Q82,12)=0),IF(AND(Units!$L82=1,Y$1=Units!$Q82),1,Inputs!$B$15)*Inputs!$B$16*(1+Inputs!$B$11)^(Y$2-1),0)</f>
        <v>0</v>
      </c>
      <c r="Z83" s="11" t="n">
        <f aca="false">IF(AND(Z$1&gt;=Units!$Q82,MOD(Z$1-Units!$Q82,12)=0),IF(AND(Units!$L82=1,Z$1=Units!$Q82),1,Inputs!$B$15)*Inputs!$B$16*(1+Inputs!$B$11)^(Z$2-1),0)</f>
        <v>0</v>
      </c>
      <c r="AA83" s="11" t="n">
        <f aca="false">IF(AND(AA$1&gt;=Units!$Q82,MOD(AA$1-Units!$Q82,12)=0),IF(AND(Units!$L82=1,AA$1=Units!$Q82),1,Inputs!$B$15)*Inputs!$B$16*(1+Inputs!$B$11)^(AA$2-1),0)</f>
        <v>0</v>
      </c>
      <c r="AB83" s="11" t="n">
        <f aca="false">IF(AND(AB$1&gt;=Units!$Q82,MOD(AB$1-Units!$Q82,12)=0),IF(AND(Units!$L82=1,AB$1=Units!$Q82),1,Inputs!$B$15)*Inputs!$B$16*(1+Inputs!$B$11)^(AB$2-1),0)</f>
        <v>530.45</v>
      </c>
      <c r="AC83" s="11" t="n">
        <f aca="false">IF(AND(AC$1&gt;=Units!$Q82,MOD(AC$1-Units!$Q82,12)=0),IF(AND(Units!$L82=1,AC$1=Units!$Q82),1,Inputs!$B$15)*Inputs!$B$16*(1+Inputs!$B$11)^(AC$2-1),0)</f>
        <v>0</v>
      </c>
      <c r="AD83" s="11" t="n">
        <f aca="false">IF(AND(AD$1&gt;=Units!$Q82,MOD(AD$1-Units!$Q82,12)=0),IF(AND(Units!$L82=1,AD$1=Units!$Q82),1,Inputs!$B$15)*Inputs!$B$16*(1+Inputs!$B$11)^(AD$2-1),0)</f>
        <v>0</v>
      </c>
      <c r="AE83" s="11" t="n">
        <f aca="false">IF(AND(AE$1&gt;=Units!$Q82,MOD(AE$1-Units!$Q82,12)=0),IF(AND(Units!$L82=1,AE$1=Units!$Q82),1,Inputs!$B$15)*Inputs!$B$16*(1+Inputs!$B$11)^(AE$2-1),0)</f>
        <v>0</v>
      </c>
      <c r="AF83" s="11" t="n">
        <f aca="false">IF(AND(AF$1&gt;=Units!$Q82,MOD(AF$1-Units!$Q82,12)=0),IF(AND(Units!$L82=1,AF$1=Units!$Q82),1,Inputs!$B$15)*Inputs!$B$16*(1+Inputs!$B$11)^(AF$2-1),0)</f>
        <v>0</v>
      </c>
      <c r="AG83" s="11" t="n">
        <f aca="false">IF(AND(AG$1&gt;=Units!$Q82,MOD(AG$1-Units!$Q82,12)=0),IF(AND(Units!$L82=1,AG$1=Units!$Q82),1,Inputs!$B$15)*Inputs!$B$16*(1+Inputs!$B$11)^(AG$2-1),0)</f>
        <v>0</v>
      </c>
      <c r="AH83" s="11" t="n">
        <f aca="false">IF(AND(AH$1&gt;=Units!$Q82,MOD(AH$1-Units!$Q82,12)=0),IF(AND(Units!$L82=1,AH$1=Units!$Q82),1,Inputs!$B$15)*Inputs!$B$16*(1+Inputs!$B$11)^(AH$2-1),0)</f>
        <v>0</v>
      </c>
      <c r="AI83" s="11" t="n">
        <f aca="false">IF(AND(AI$1&gt;=Units!$Q82,MOD(AI$1-Units!$Q82,12)=0),IF(AND(Units!$L82=1,AI$1=Units!$Q82),1,Inputs!$B$15)*Inputs!$B$16*(1+Inputs!$B$11)^(AI$2-1),0)</f>
        <v>0</v>
      </c>
      <c r="AJ83" s="11" t="n">
        <f aca="false">IF(AND(AJ$1&gt;=Units!$Q82,MOD(AJ$1-Units!$Q82,12)=0),IF(AND(Units!$L82=1,AJ$1=Units!$Q82),1,Inputs!$B$15)*Inputs!$B$16*(1+Inputs!$B$11)^(AJ$2-1),0)</f>
        <v>0</v>
      </c>
      <c r="AK83" s="11" t="n">
        <f aca="false">IF(AND(AK$1&gt;=Units!$Q82,MOD(AK$1-Units!$Q82,12)=0),IF(AND(Units!$L82=1,AK$1=Units!$Q82),1,Inputs!$B$15)*Inputs!$B$16*(1+Inputs!$B$11)^(AK$2-1),0)</f>
        <v>0</v>
      </c>
      <c r="AL83" s="11" t="n">
        <f aca="false">IF(AND(AL$1&gt;=Units!$Q82,MOD(AL$1-Units!$Q82,12)=0),IF(AND(Units!$L82=1,AL$1=Units!$Q82),1,Inputs!$B$15)*Inputs!$B$16*(1+Inputs!$B$11)^(AL$2-1),0)</f>
        <v>0</v>
      </c>
      <c r="AM83" s="11" t="n">
        <f aca="false">IF(AND(AM$1&gt;=Units!$Q82,MOD(AM$1-Units!$Q82,12)=0),IF(AND(Units!$L82=1,AM$1=Units!$Q82),1,Inputs!$B$15)*Inputs!$B$16*(1+Inputs!$B$11)^(AM$2-1),0)</f>
        <v>0</v>
      </c>
      <c r="AN83" s="11" t="n">
        <f aca="false">IF(AND(AN$1&gt;=Units!$Q82,MOD(AN$1-Units!$Q82,12)=0),IF(AND(Units!$L82=1,AN$1=Units!$Q82),1,Inputs!$B$15)*Inputs!$B$16*(1+Inputs!$B$11)^(AN$2-1),0)</f>
        <v>546.3635</v>
      </c>
      <c r="AO83" s="11" t="n">
        <f aca="false">IF(AND(AO$1&gt;=Units!$Q82,MOD(AO$1-Units!$Q82,12)=0),IF(AND(Units!$L82=1,AO$1=Units!$Q82),1,Inputs!$B$15)*Inputs!$B$16*(1+Inputs!$B$11)^(AO$2-1),0)</f>
        <v>0</v>
      </c>
      <c r="AP83" s="11" t="n">
        <f aca="false">IF(AND(AP$1&gt;=Units!$Q82,MOD(AP$1-Units!$Q82,12)=0),IF(AND(Units!$L82=1,AP$1=Units!$Q82),1,Inputs!$B$15)*Inputs!$B$16*(1+Inputs!$B$11)^(AP$2-1),0)</f>
        <v>0</v>
      </c>
      <c r="AQ83" s="11" t="n">
        <f aca="false">IF(AND(AQ$1&gt;=Units!$Q82,MOD(AQ$1-Units!$Q82,12)=0),IF(AND(Units!$L82=1,AQ$1=Units!$Q82),1,Inputs!$B$15)*Inputs!$B$16*(1+Inputs!$B$11)^(AQ$2-1),0)</f>
        <v>0</v>
      </c>
      <c r="AR83" s="11" t="n">
        <f aca="false">IF(AND(AR$1&gt;=Units!$Q82,MOD(AR$1-Units!$Q82,12)=0),IF(AND(Units!$L82=1,AR$1=Units!$Q82),1,Inputs!$B$15)*Inputs!$B$16*(1+Inputs!$B$11)^(AR$2-1),0)</f>
        <v>0</v>
      </c>
      <c r="AS83" s="11" t="n">
        <f aca="false">IF(AND(AS$1&gt;=Units!$Q82,MOD(AS$1-Units!$Q82,12)=0),IF(AND(Units!$L82=1,AS$1=Units!$Q82),1,Inputs!$B$15)*Inputs!$B$16*(1+Inputs!$B$11)^(AS$2-1),0)</f>
        <v>0</v>
      </c>
      <c r="AT83" s="11" t="n">
        <f aca="false">IF(AND(AT$1&gt;=Units!$Q82,MOD(AT$1-Units!$Q82,12)=0),IF(AND(Units!$L82=1,AT$1=Units!$Q82),1,Inputs!$B$15)*Inputs!$B$16*(1+Inputs!$B$11)^(AT$2-1),0)</f>
        <v>0</v>
      </c>
      <c r="AU83" s="11" t="n">
        <f aca="false">IF(AND(AU$1&gt;=Units!$Q82,MOD(AU$1-Units!$Q82,12)=0),IF(AND(Units!$L82=1,AU$1=Units!$Q82),1,Inputs!$B$15)*Inputs!$B$16*(1+Inputs!$B$11)^(AU$2-1),0)</f>
        <v>0</v>
      </c>
      <c r="AV83" s="11" t="n">
        <f aca="false">IF(AND(AV$1&gt;=Units!$Q82,MOD(AV$1-Units!$Q82,12)=0),IF(AND(Units!$L82=1,AV$1=Units!$Q82),1,Inputs!$B$15)*Inputs!$B$16*(1+Inputs!$B$11)^(AV$2-1),0)</f>
        <v>0</v>
      </c>
      <c r="AW83" s="11" t="n">
        <f aca="false">IF(AND(AW$1&gt;=Units!$Q82,MOD(AW$1-Units!$Q82,12)=0),IF(AND(Units!$L82=1,AW$1=Units!$Q82),1,Inputs!$B$15)*Inputs!$B$16*(1+Inputs!$B$11)^(AW$2-1),0)</f>
        <v>0</v>
      </c>
      <c r="AX83" s="11" t="n">
        <f aca="false">IF(AND(AX$1&gt;=Units!$Q82,MOD(AX$1-Units!$Q82,12)=0),IF(AND(Units!$L82=1,AX$1=Units!$Q82),1,Inputs!$B$15)*Inputs!$B$16*(1+Inputs!$B$11)^(AX$2-1),0)</f>
        <v>0</v>
      </c>
      <c r="AY83" s="11" t="n">
        <f aca="false">IF(AND(AY$1&gt;=Units!$Q82,MOD(AY$1-Units!$Q82,12)=0),IF(AND(Units!$L82=1,AY$1=Units!$Q82),1,Inputs!$B$15)*Inputs!$B$16*(1+Inputs!$B$11)^(AY$2-1),0)</f>
        <v>0</v>
      </c>
      <c r="AZ83" s="11" t="n">
        <f aca="false">IF(AND(AZ$1&gt;=Units!$Q82,MOD(AZ$1-Units!$Q82,12)=0),IF(AND(Units!$L82=1,AZ$1=Units!$Q82),1,Inputs!$B$15)*Inputs!$B$16*(1+Inputs!$B$11)^(AZ$2-1),0)</f>
        <v>562.754405</v>
      </c>
      <c r="BA83" s="11" t="n">
        <f aca="false">IF(AND(BA$1&gt;=Units!$Q82,MOD(BA$1-Units!$Q82,12)=0),IF(AND(Units!$L82=1,BA$1=Units!$Q82),1,Inputs!$B$15)*Inputs!$B$16*(1+Inputs!$B$11)^(BA$2-1),0)</f>
        <v>0</v>
      </c>
      <c r="BB83" s="11" t="n">
        <f aca="false">IF(AND(BB$1&gt;=Units!$Q82,MOD(BB$1-Units!$Q82,12)=0),IF(AND(Units!$L82=1,BB$1=Units!$Q82),1,Inputs!$B$15)*Inputs!$B$16*(1+Inputs!$B$11)^(BB$2-1),0)</f>
        <v>0</v>
      </c>
      <c r="BC83" s="11" t="n">
        <f aca="false">IF(AND(BC$1&gt;=Units!$Q82,MOD(BC$1-Units!$Q82,12)=0),IF(AND(Units!$L82=1,BC$1=Units!$Q82),1,Inputs!$B$15)*Inputs!$B$16*(1+Inputs!$B$11)^(BC$2-1),0)</f>
        <v>0</v>
      </c>
      <c r="BD83" s="11" t="n">
        <f aca="false">IF(AND(BD$1&gt;=Units!$Q82,MOD(BD$1-Units!$Q82,12)=0),IF(AND(Units!$L82=1,BD$1=Units!$Q82),1,Inputs!$B$15)*Inputs!$B$16*(1+Inputs!$B$11)^(BD$2-1),0)</f>
        <v>0</v>
      </c>
      <c r="BE83" s="11" t="n">
        <f aca="false">IF(AND(BE$1&gt;=Units!$Q82,MOD(BE$1-Units!$Q82,12)=0),IF(AND(Units!$L82=1,BE$1=Units!$Q82),1,Inputs!$B$15)*Inputs!$B$16*(1+Inputs!$B$11)^(BE$2-1),0)</f>
        <v>0</v>
      </c>
      <c r="BF83" s="11" t="n">
        <f aca="false">IF(AND(BF$1&gt;=Units!$Q82,MOD(BF$1-Units!$Q82,12)=0),IF(AND(Units!$L82=1,BF$1=Units!$Q82),1,Inputs!$B$15)*Inputs!$B$16*(1+Inputs!$B$11)^(BF$2-1),0)</f>
        <v>0</v>
      </c>
      <c r="BG83" s="11" t="n">
        <f aca="false">IF(AND(BG$1&gt;=Units!$Q82,MOD(BG$1-Units!$Q82,12)=0),IF(AND(Units!$L82=1,BG$1=Units!$Q82),1,Inputs!$B$15)*Inputs!$B$16*(1+Inputs!$B$11)^(BG$2-1),0)</f>
        <v>0</v>
      </c>
      <c r="BH83" s="11" t="n">
        <f aca="false">IF(AND(BH$1&gt;=Units!$Q82,MOD(BH$1-Units!$Q82,12)=0),IF(AND(Units!$L82=1,BH$1=Units!$Q82),1,Inputs!$B$15)*Inputs!$B$16*(1+Inputs!$B$11)^(BH$2-1),0)</f>
        <v>0</v>
      </c>
      <c r="BI83" s="11" t="n">
        <f aca="false">IF(AND(BI$1&gt;=Units!$Q82,MOD(BI$1-Units!$Q82,12)=0),IF(AND(Units!$L82=1,BI$1=Units!$Q82),1,Inputs!$B$15)*Inputs!$B$16*(1+Inputs!$B$11)^(BI$2-1),0)</f>
        <v>0</v>
      </c>
      <c r="BJ83" s="11" t="n">
        <f aca="false">IF(AND(BJ$1&gt;=Units!$Q82,MOD(BJ$1-Units!$Q82,12)=0),IF(AND(Units!$L82=1,BJ$1=Units!$Q82),1,Inputs!$B$15)*Inputs!$B$16*(1+Inputs!$B$11)^(BJ$2-1),0)</f>
        <v>0</v>
      </c>
      <c r="BK83" s="11" t="n">
        <f aca="false">IF(AND(BK$1&gt;=Units!$Q82,MOD(BK$1-Units!$Q82,12)=0),IF(AND(Units!$L82=1,BK$1=Units!$Q82),1,Inputs!$B$15)*Inputs!$B$16*(1+Inputs!$B$11)^(BK$2-1),0)</f>
        <v>0</v>
      </c>
      <c r="BL83" s="11" t="n">
        <f aca="false">IF(AND(BL$1&gt;=Units!$Q82,MOD(BL$1-Units!$Q82,12)=0),IF(AND(Units!$L82=1,BL$1=Units!$Q82),1,Inputs!$B$15)*Inputs!$B$16*(1+Inputs!$B$11)^(BL$2-1),0)</f>
        <v>579.63703715</v>
      </c>
      <c r="BM83" s="11" t="n">
        <f aca="false">IF(AND(BM$1&gt;=Units!$Q82,MOD(BM$1-Units!$Q82,12)=0),IF(AND(Units!$L82=1,BM$1=Units!$Q82),1,Inputs!$B$15)*Inputs!$B$16*(1+Inputs!$B$11)^(BM$2-1),0)</f>
        <v>0</v>
      </c>
      <c r="BN83" s="11" t="n">
        <f aca="false">IF(AND(BN$1&gt;=Units!$Q82,MOD(BN$1-Units!$Q82,12)=0),IF(AND(Units!$L82=1,BN$1=Units!$Q82),1,Inputs!$B$15)*Inputs!$B$16*(1+Inputs!$B$11)^(BN$2-1),0)</f>
        <v>0</v>
      </c>
      <c r="BO83" s="11" t="n">
        <f aca="false">IF(AND(BO$1&gt;=Units!$Q82,MOD(BO$1-Units!$Q82,12)=0),IF(AND(Units!$L82=1,BO$1=Units!$Q82),1,Inputs!$B$15)*Inputs!$B$16*(1+Inputs!$B$11)^(BO$2-1),0)</f>
        <v>0</v>
      </c>
      <c r="BP83" s="11" t="n">
        <f aca="false">IF(AND(BP$1&gt;=Units!$Q82,MOD(BP$1-Units!$Q82,12)=0),IF(AND(Units!$L82=1,BP$1=Units!$Q82),1,Inputs!$B$15)*Inputs!$B$16*(1+Inputs!$B$11)^(BP$2-1),0)</f>
        <v>0</v>
      </c>
      <c r="BQ83" s="11" t="n">
        <f aca="false">IF(AND(BQ$1&gt;=Units!$Q82,MOD(BQ$1-Units!$Q82,12)=0),IF(AND(Units!$L82=1,BQ$1=Units!$Q82),1,Inputs!$B$15)*Inputs!$B$16*(1+Inputs!$B$11)^(BQ$2-1),0)</f>
        <v>0</v>
      </c>
      <c r="BR83" s="11" t="n">
        <f aca="false">IF(AND(BR$1&gt;=Units!$Q82,MOD(BR$1-Units!$Q82,12)=0),IF(AND(Units!$L82=1,BR$1=Units!$Q82),1,Inputs!$B$15)*Inputs!$B$16*(1+Inputs!$B$11)^(BR$2-1),0)</f>
        <v>0</v>
      </c>
      <c r="BS83" s="11" t="n">
        <f aca="false">IF(AND(BS$1&gt;=Units!$Q82,MOD(BS$1-Units!$Q82,12)=0),IF(AND(Units!$L82=1,BS$1=Units!$Q82),1,Inputs!$B$15)*Inputs!$B$16*(1+Inputs!$B$11)^(BS$2-1),0)</f>
        <v>0</v>
      </c>
      <c r="BT83" s="11" t="n">
        <f aca="false">IF(AND(BT$1&gt;=Units!$Q82,MOD(BT$1-Units!$Q82,12)=0),IF(AND(Units!$L82=1,BT$1=Units!$Q82),1,Inputs!$B$15)*Inputs!$B$16*(1+Inputs!$B$11)^(BT$2-1),0)</f>
        <v>0</v>
      </c>
      <c r="BU83" s="11" t="n">
        <f aca="false">IF(AND(BU$1&gt;=Units!$Q82,MOD(BU$1-Units!$Q82,12)=0),IF(AND(Units!$L82=1,BU$1=Units!$Q82),1,Inputs!$B$15)*Inputs!$B$16*(1+Inputs!$B$11)^(BU$2-1),0)</f>
        <v>0</v>
      </c>
      <c r="BV83" s="11" t="n">
        <f aca="false">IF(AND(BV$1&gt;=Units!$Q82,MOD(BV$1-Units!$Q82,12)=0),IF(AND(Units!$L82=1,BV$1=Units!$Q82),1,Inputs!$B$15)*Inputs!$B$16*(1+Inputs!$B$11)^(BV$2-1),0)</f>
        <v>0</v>
      </c>
      <c r="BW83" s="11" t="n">
        <f aca="false">IF(AND(BW$1&gt;=Units!$Q82,MOD(BW$1-Units!$Q82,12)=0),IF(AND(Units!$L82=1,BW$1=Units!$Q82),1,Inputs!$B$15)*Inputs!$B$16*(1+Inputs!$B$11)^(BW$2-1),0)</f>
        <v>0</v>
      </c>
      <c r="BX83" s="11" t="n">
        <f aca="false">IF(AND(BX$1&gt;=Units!$Q82,MOD(BX$1-Units!$Q82,12)=0),IF(AND(Units!$L82=1,BX$1=Units!$Q82),1,Inputs!$B$15)*Inputs!$B$16*(1+Inputs!$B$11)^(BX$2-1),0)</f>
        <v>597.0261482645</v>
      </c>
      <c r="BY83" s="11" t="n">
        <f aca="false">IF(AND(BY$1&gt;=Units!$Q82,MOD(BY$1-Units!$Q82,12)=0),IF(AND(Units!$L82=1,BY$1=Units!$Q82),1,Inputs!$B$15)*Inputs!$B$16*(1+Inputs!$B$11)^(BY$2-1),0)</f>
        <v>0</v>
      </c>
      <c r="BZ83" s="11" t="n">
        <f aca="false">IF(AND(BZ$1&gt;=Units!$Q82,MOD(BZ$1-Units!$Q82,12)=0),IF(AND(Units!$L82=1,BZ$1=Units!$Q82),1,Inputs!$B$15)*Inputs!$B$16*(1+Inputs!$B$11)^(BZ$2-1),0)</f>
        <v>0</v>
      </c>
      <c r="CA83" s="11" t="n">
        <f aca="false">IF(AND(CA$1&gt;=Units!$Q82,MOD(CA$1-Units!$Q82,12)=0),IF(AND(Units!$L82=1,CA$1=Units!$Q82),1,Inputs!$B$15)*Inputs!$B$16*(1+Inputs!$B$11)^(CA$2-1),0)</f>
        <v>0</v>
      </c>
      <c r="CB83" s="11" t="n">
        <f aca="false">IF(AND(CB$1&gt;=Units!$Q82,MOD(CB$1-Units!$Q82,12)=0),IF(AND(Units!$L82=1,CB$1=Units!$Q82),1,Inputs!$B$15)*Inputs!$B$16*(1+Inputs!$B$11)^(CB$2-1),0)</f>
        <v>0</v>
      </c>
      <c r="CC83" s="11" t="n">
        <f aca="false">IF(AND(CC$1&gt;=Units!$Q82,MOD(CC$1-Units!$Q82,12)=0),IF(AND(Units!$L82=1,CC$1=Units!$Q82),1,Inputs!$B$15)*Inputs!$B$16*(1+Inputs!$B$11)^(CC$2-1),0)</f>
        <v>0</v>
      </c>
      <c r="CD83" s="11" t="n">
        <f aca="false">IF(AND(CD$1&gt;=Units!$Q82,MOD(CD$1-Units!$Q82,12)=0),IF(AND(Units!$L82=1,CD$1=Units!$Q82),1,Inputs!$B$15)*Inputs!$B$16*(1+Inputs!$B$11)^(CD$2-1),0)</f>
        <v>0</v>
      </c>
      <c r="CE83" s="11" t="n">
        <f aca="false">IF(AND(CE$1&gt;=Units!$Q82,MOD(CE$1-Units!$Q82,12)=0),IF(AND(Units!$L82=1,CE$1=Units!$Q82),1,Inputs!$B$15)*Inputs!$B$16*(1+Inputs!$B$11)^(CE$2-1),0)</f>
        <v>0</v>
      </c>
      <c r="CF83" s="11" t="n">
        <f aca="false">IF(AND(CF$1&gt;=Units!$Q82,MOD(CF$1-Units!$Q82,12)=0),IF(AND(Units!$L82=1,CF$1=Units!$Q82),1,Inputs!$B$15)*Inputs!$B$16*(1+Inputs!$B$11)^(CF$2-1),0)</f>
        <v>0</v>
      </c>
      <c r="CG83" s="11" t="n">
        <f aca="false">IF(AND(CG$1&gt;=Units!$Q82,MOD(CG$1-Units!$Q82,12)=0),IF(AND(Units!$L82=1,CG$1=Units!$Q82),1,Inputs!$B$15)*Inputs!$B$16*(1+Inputs!$B$11)^(CG$2-1),0)</f>
        <v>0</v>
      </c>
      <c r="CH83" s="11" t="n">
        <f aca="false">IF(AND(CH$1&gt;=Units!$Q82,MOD(CH$1-Units!$Q82,12)=0),IF(AND(Units!$L82=1,CH$1=Units!$Q82),1,Inputs!$B$15)*Inputs!$B$16*(1+Inputs!$B$11)^(CH$2-1),0)</f>
        <v>0</v>
      </c>
      <c r="CI83" s="11" t="n">
        <f aca="false">IF(AND(CI$1&gt;=Units!$Q82,MOD(CI$1-Units!$Q82,12)=0),IF(AND(Units!$L82=1,CI$1=Units!$Q82),1,Inputs!$B$15)*Inputs!$B$16*(1+Inputs!$B$11)^(CI$2-1),0)</f>
        <v>0</v>
      </c>
      <c r="CJ83" s="11" t="n">
        <f aca="false">IF(AND(CJ$1&gt;=Units!$Q82,MOD(CJ$1-Units!$Q82,12)=0),IF(AND(Units!$L82=1,CJ$1=Units!$Q82),1,Inputs!$B$15)*Inputs!$B$16*(1+Inputs!$B$11)^(CJ$2-1),0)</f>
        <v>614.936932712435</v>
      </c>
      <c r="CK83" s="11" t="n">
        <f aca="false">IF(AND(CK$1&gt;=Units!$Q82,MOD(CK$1-Units!$Q82,12)=0),IF(AND(Units!$L82=1,CK$1=Units!$Q82),1,Inputs!$B$15)*Inputs!$B$16*(1+Inputs!$B$11)^(CK$2-1),0)</f>
        <v>0</v>
      </c>
      <c r="CL83" s="11" t="n">
        <f aca="false">IF(AND(CL$1&gt;=Units!$Q82,MOD(CL$1-Units!$Q82,12)=0),IF(AND(Units!$L82=1,CL$1=Units!$Q82),1,Inputs!$B$15)*Inputs!$B$16*(1+Inputs!$B$11)^(CL$2-1),0)</f>
        <v>0</v>
      </c>
      <c r="CM83" s="11" t="n">
        <f aca="false">IF(AND(CM$1&gt;=Units!$Q82,MOD(CM$1-Units!$Q82,12)=0),IF(AND(Units!$L82=1,CM$1=Units!$Q82),1,Inputs!$B$15)*Inputs!$B$16*(1+Inputs!$B$11)^(CM$2-1),0)</f>
        <v>0</v>
      </c>
      <c r="CN83" s="11" t="n">
        <f aca="false">IF(AND(CN$1&gt;=Units!$Q82,MOD(CN$1-Units!$Q82,12)=0),IF(AND(Units!$L82=1,CN$1=Units!$Q82),1,Inputs!$B$15)*Inputs!$B$16*(1+Inputs!$B$11)^(CN$2-1),0)</f>
        <v>0</v>
      </c>
      <c r="CO83" s="11" t="n">
        <f aca="false">IF(AND(CO$1&gt;=Units!$Q82,MOD(CO$1-Units!$Q82,12)=0),IF(AND(Units!$L82=1,CO$1=Units!$Q82),1,Inputs!$B$15)*Inputs!$B$16*(1+Inputs!$B$11)^(CO$2-1),0)</f>
        <v>0</v>
      </c>
      <c r="CP83" s="11" t="n">
        <f aca="false">IF(AND(CP$1&gt;=Units!$Q82,MOD(CP$1-Units!$Q82,12)=0),IF(AND(Units!$L82=1,CP$1=Units!$Q82),1,Inputs!$B$15)*Inputs!$B$16*(1+Inputs!$B$11)^(CP$2-1),0)</f>
        <v>0</v>
      </c>
      <c r="CQ83" s="11" t="n">
        <f aca="false">IF(AND(CQ$1&gt;=Units!$Q82,MOD(CQ$1-Units!$Q82,12)=0),IF(AND(Units!$L82=1,CQ$1=Units!$Q82),1,Inputs!$B$15)*Inputs!$B$16*(1+Inputs!$B$11)^(CQ$2-1),0)</f>
        <v>0</v>
      </c>
      <c r="CR83" s="11" t="n">
        <f aca="false">IF(AND(CR$1&gt;=Units!$Q82,MOD(CR$1-Units!$Q82,12)=0),IF(AND(Units!$L82=1,CR$1=Units!$Q82),1,Inputs!$B$15)*Inputs!$B$16*(1+Inputs!$B$11)^(CR$2-1),0)</f>
        <v>0</v>
      </c>
      <c r="CS83" s="11" t="n">
        <f aca="false">IF(AND(CS$1&gt;=Units!$Q82,MOD(CS$1-Units!$Q82,12)=0),IF(AND(Units!$L82=1,CS$1=Units!$Q82),1,Inputs!$B$15)*Inputs!$B$16*(1+Inputs!$B$11)^(CS$2-1),0)</f>
        <v>0</v>
      </c>
      <c r="CT83" s="11" t="n">
        <f aca="false">IF(AND(CT$1&gt;=Units!$Q82,MOD(CT$1-Units!$Q82,12)=0),IF(AND(Units!$L82=1,CT$1=Units!$Q82),1,Inputs!$B$15)*Inputs!$B$16*(1+Inputs!$B$11)^(CT$2-1),0)</f>
        <v>0</v>
      </c>
      <c r="CU83" s="11" t="n">
        <f aca="false">IF(AND(CU$1&gt;=Units!$Q82,MOD(CU$1-Units!$Q82,12)=0),IF(AND(Units!$L82=1,CU$1=Units!$Q82),1,Inputs!$B$15)*Inputs!$B$16*(1+Inputs!$B$11)^(CU$2-1),0)</f>
        <v>0</v>
      </c>
      <c r="CV83" s="11" t="n">
        <f aca="false">IF(AND(CV$1&gt;=Units!$Q82,MOD(CV$1-Units!$Q82,12)=0),IF(AND(Units!$L82=1,CV$1=Units!$Q82),1,Inputs!$B$15)*Inputs!$B$16*(1+Inputs!$B$11)^(CV$2-1),0)</f>
        <v>633.385040693808</v>
      </c>
      <c r="CW83" s="11" t="n">
        <f aca="false">IF(AND(CW$1&gt;=Units!$Q82,MOD(CW$1-Units!$Q82,12)=0),IF(AND(Units!$L82=1,CW$1=Units!$Q82),1,Inputs!$B$15)*Inputs!$B$16*(1+Inputs!$B$11)^(CW$2-1),0)</f>
        <v>0</v>
      </c>
      <c r="CX83" s="11" t="n">
        <f aca="false">IF(AND(CX$1&gt;=Units!$Q82,MOD(CX$1-Units!$Q82,12)=0),IF(AND(Units!$L82=1,CX$1=Units!$Q82),1,Inputs!$B$15)*Inputs!$B$16*(1+Inputs!$B$11)^(CX$2-1),0)</f>
        <v>0</v>
      </c>
      <c r="CY83" s="11" t="n">
        <f aca="false">IF(AND(CY$1&gt;=Units!$Q82,MOD(CY$1-Units!$Q82,12)=0),IF(AND(Units!$L82=1,CY$1=Units!$Q82),1,Inputs!$B$15)*Inputs!$B$16*(1+Inputs!$B$11)^(CY$2-1),0)</f>
        <v>0</v>
      </c>
      <c r="CZ83" s="11" t="n">
        <f aca="false">IF(AND(CZ$1&gt;=Units!$Q82,MOD(CZ$1-Units!$Q82,12)=0),IF(AND(Units!$L82=1,CZ$1=Units!$Q82),1,Inputs!$B$15)*Inputs!$B$16*(1+Inputs!$B$11)^(CZ$2-1),0)</f>
        <v>0</v>
      </c>
      <c r="DA83" s="11" t="n">
        <f aca="false">IF(AND(DA$1&gt;=Units!$Q82,MOD(DA$1-Units!$Q82,12)=0),IF(AND(Units!$L82=1,DA$1=Units!$Q82),1,Inputs!$B$15)*Inputs!$B$16*(1+Inputs!$B$11)^(DA$2-1),0)</f>
        <v>0</v>
      </c>
      <c r="DB83" s="11" t="n">
        <f aca="false">IF(AND(DB$1&gt;=Units!$Q82,MOD(DB$1-Units!$Q82,12)=0),IF(AND(Units!$L82=1,DB$1=Units!$Q82),1,Inputs!$B$15)*Inputs!$B$16*(1+Inputs!$B$11)^(DB$2-1),0)</f>
        <v>0</v>
      </c>
      <c r="DC83" s="11" t="n">
        <f aca="false">IF(AND(DC$1&gt;=Units!$Q82,MOD(DC$1-Units!$Q82,12)=0),IF(AND(Units!$L82=1,DC$1=Units!$Q82),1,Inputs!$B$15)*Inputs!$B$16*(1+Inputs!$B$11)^(DC$2-1),0)</f>
        <v>0</v>
      </c>
      <c r="DD83" s="11" t="n">
        <f aca="false">IF(AND(DD$1&gt;=Units!$Q82,MOD(DD$1-Units!$Q82,12)=0),IF(AND(Units!$L82=1,DD$1=Units!$Q82),1,Inputs!$B$15)*Inputs!$B$16*(1+Inputs!$B$11)^(DD$2-1),0)</f>
        <v>0</v>
      </c>
      <c r="DE83" s="11" t="n">
        <f aca="false">IF(AND(DE$1&gt;=Units!$Q82,MOD(DE$1-Units!$Q82,12)=0),IF(AND(Units!$L82=1,DE$1=Units!$Q82),1,Inputs!$B$15)*Inputs!$B$16*(1+Inputs!$B$11)^(DE$2-1),0)</f>
        <v>0</v>
      </c>
      <c r="DF83" s="11" t="n">
        <f aca="false">IF(AND(DF$1&gt;=Units!$Q82,MOD(DF$1-Units!$Q82,12)=0),IF(AND(Units!$L82=1,DF$1=Units!$Q82),1,Inputs!$B$15)*Inputs!$B$16*(1+Inputs!$B$11)^(DF$2-1),0)</f>
        <v>0</v>
      </c>
      <c r="DG83" s="11" t="n">
        <f aca="false">IF(AND(DG$1&gt;=Units!$Q82,MOD(DG$1-Units!$Q82,12)=0),IF(AND(Units!$L82=1,DG$1=Units!$Q82),1,Inputs!$B$15)*Inputs!$B$16*(1+Inputs!$B$11)^(DG$2-1),0)</f>
        <v>0</v>
      </c>
      <c r="DH83" s="11" t="n">
        <f aca="false">IF(AND(DH$1&gt;=Units!$Q82,MOD(DH$1-Units!$Q82,12)=0),IF(AND(Units!$L82=1,DH$1=Units!$Q82),1,Inputs!$B$15)*Inputs!$B$16*(1+Inputs!$B$11)^(DH$2-1),0)</f>
        <v>652.386591914623</v>
      </c>
      <c r="DI83" s="11" t="n">
        <f aca="false">IF(AND(DI$1&gt;=Units!$Q82,MOD(DI$1-Units!$Q82,12)=0),IF(AND(Units!$L82=1,DI$1=Units!$Q82),1,Inputs!$B$15)*Inputs!$B$16*(1+Inputs!$B$11)^(DI$2-1),0)</f>
        <v>0</v>
      </c>
      <c r="DJ83" s="11" t="n">
        <f aca="false">IF(AND(DJ$1&gt;=Units!$Q82,MOD(DJ$1-Units!$Q82,12)=0),IF(AND(Units!$L82=1,DJ$1=Units!$Q82),1,Inputs!$B$15)*Inputs!$B$16*(1+Inputs!$B$11)^(DJ$2-1),0)</f>
        <v>0</v>
      </c>
      <c r="DK83" s="11" t="n">
        <f aca="false">IF(AND(DK$1&gt;=Units!$Q82,MOD(DK$1-Units!$Q82,12)=0),IF(AND(Units!$L82=1,DK$1=Units!$Q82),1,Inputs!$B$15)*Inputs!$B$16*(1+Inputs!$B$11)^(DK$2-1),0)</f>
        <v>0</v>
      </c>
      <c r="DL83" s="11" t="n">
        <f aca="false">IF(AND(DL$1&gt;=Units!$Q82,MOD(DL$1-Units!$Q82,12)=0),IF(AND(Units!$L82=1,DL$1=Units!$Q82),1,Inputs!$B$15)*Inputs!$B$16*(1+Inputs!$B$11)^(DL$2-1),0)</f>
        <v>0</v>
      </c>
      <c r="DM83" s="11" t="n">
        <f aca="false">IF(AND(DM$1&gt;=Units!$Q82,MOD(DM$1-Units!$Q82,12)=0),IF(AND(Units!$L82=1,DM$1=Units!$Q82),1,Inputs!$B$15)*Inputs!$B$16*(1+Inputs!$B$11)^(DM$2-1),0)</f>
        <v>0</v>
      </c>
      <c r="DN83" s="11" t="n">
        <f aca="false">IF(AND(DN$1&gt;=Units!$Q82,MOD(DN$1-Units!$Q82,12)=0),IF(AND(Units!$L82=1,DN$1=Units!$Q82),1,Inputs!$B$15)*Inputs!$B$16*(1+Inputs!$B$11)^(DN$2-1),0)</f>
        <v>0</v>
      </c>
      <c r="DO83" s="11" t="n">
        <f aca="false">IF(AND(DO$1&gt;=Units!$Q82,MOD(DO$1-Units!$Q82,12)=0),IF(AND(Units!$L82=1,DO$1=Units!$Q82),1,Inputs!$B$15)*Inputs!$B$16*(1+Inputs!$B$11)^(DO$2-1),0)</f>
        <v>0</v>
      </c>
      <c r="DP83" s="11" t="n">
        <f aca="false">IF(AND(DP$1&gt;=Units!$Q82,MOD(DP$1-Units!$Q82,12)=0),IF(AND(Units!$L82=1,DP$1=Units!$Q82),1,Inputs!$B$15)*Inputs!$B$16*(1+Inputs!$B$11)^(DP$2-1),0)</f>
        <v>0</v>
      </c>
      <c r="DQ83" s="11" t="n">
        <f aca="false">IF(AND(DQ$1&gt;=Units!$Q82,MOD(DQ$1-Units!$Q82,12)=0),IF(AND(Units!$L82=1,DQ$1=Units!$Q82),1,Inputs!$B$15)*Inputs!$B$16*(1+Inputs!$B$11)^(DQ$2-1),0)</f>
        <v>0</v>
      </c>
      <c r="DR83" s="11" t="n">
        <f aca="false">IF(AND(DR$1&gt;=Units!$Q82,MOD(DR$1-Units!$Q82,12)=0),IF(AND(Units!$L82=1,DR$1=Units!$Q82),1,Inputs!$B$15)*Inputs!$B$16*(1+Inputs!$B$11)^(DR$2-1),0)</f>
        <v>0</v>
      </c>
      <c r="DS83" s="11" t="n">
        <f aca="false">IF(AND(DS$1&gt;=Units!$Q82,MOD(DS$1-Units!$Q82,12)=0),IF(AND(Units!$L82=1,DS$1=Units!$Q82),1,Inputs!$B$15)*Inputs!$B$16*(1+Inputs!$B$11)^(DS$2-1),0)</f>
        <v>0</v>
      </c>
      <c r="DT83" s="11" t="n">
        <f aca="false">IF(AND(DT$1&gt;=Units!$Q82,MOD(DT$1-Units!$Q82,12)=0),IF(AND(Units!$L82=1,DT$1=Units!$Q82),1,Inputs!$B$15)*Inputs!$B$16*(1+Inputs!$B$11)^(DT$2-1),0)</f>
        <v>671.958189672061</v>
      </c>
      <c r="DU83" s="11" t="n">
        <f aca="false">IF(AND(DU$1&gt;=Units!$Q82,MOD(DU$1-Units!$Q82,12)=0),IF(AND(Units!$L82=1,DU$1=Units!$Q82),1,Inputs!$B$15)*Inputs!$B$16*(1+Inputs!$B$11)^(DU$2-1),0)</f>
        <v>0</v>
      </c>
      <c r="DV83" s="11" t="n">
        <f aca="false">IF(AND(DV$1&gt;=Units!$Q82,MOD(DV$1-Units!$Q82,12)=0),IF(AND(Units!$L82=1,DV$1=Units!$Q82),1,Inputs!$B$15)*Inputs!$B$16*(1+Inputs!$B$11)^(DV$2-1),0)</f>
        <v>0</v>
      </c>
      <c r="DW83" s="11" t="n">
        <f aca="false">IF(AND(DW$1&gt;=Units!$Q82,MOD(DW$1-Units!$Q82,12)=0),IF(AND(Units!$L82=1,DW$1=Units!$Q82),1,Inputs!$B$15)*Inputs!$B$16*(1+Inputs!$B$11)^(DW$2-1),0)</f>
        <v>0</v>
      </c>
      <c r="DX83" s="11" t="n">
        <f aca="false">IF(AND(DX$1&gt;=Units!$Q82,MOD(DX$1-Units!$Q82,12)=0),IF(AND(Units!$L82=1,DX$1=Units!$Q82),1,Inputs!$B$15)*Inputs!$B$16*(1+Inputs!$B$11)^(DX$2-1),0)</f>
        <v>0</v>
      </c>
      <c r="DY83" s="11" t="n">
        <f aca="false">IF(AND(DY$1&gt;=Units!$Q82,MOD(DY$1-Units!$Q82,12)=0),IF(AND(Units!$L82=1,DY$1=Units!$Q82),1,Inputs!$B$15)*Inputs!$B$16*(1+Inputs!$B$11)^(DY$2-1),0)</f>
        <v>0</v>
      </c>
      <c r="DZ83" s="11" t="n">
        <f aca="false">IF(AND(DZ$1&gt;=Units!$Q82,MOD(DZ$1-Units!$Q82,12)=0),IF(AND(Units!$L82=1,DZ$1=Units!$Q82),1,Inputs!$B$15)*Inputs!$B$16*(1+Inputs!$B$11)^(DZ$2-1),0)</f>
        <v>0</v>
      </c>
      <c r="EA83" s="11" t="n">
        <f aca="false">IF(AND(EA$1&gt;=Units!$Q82,MOD(EA$1-Units!$Q82,12)=0),IF(AND(Units!$L82=1,EA$1=Units!$Q82),1,Inputs!$B$15)*Inputs!$B$16*(1+Inputs!$B$11)^(EA$2-1),0)</f>
        <v>0</v>
      </c>
      <c r="EB83" s="11" t="n">
        <f aca="false">IF(AND(EB$1&gt;=Units!$Q82,MOD(EB$1-Units!$Q82,12)=0),IF(AND(Units!$L82=1,EB$1=Units!$Q82),1,Inputs!$B$15)*Inputs!$B$16*(1+Inputs!$B$11)^(EB$2-1),0)</f>
        <v>0</v>
      </c>
      <c r="EC83" s="11" t="n">
        <f aca="false">IF(AND(EC$1&gt;=Units!$Q82,MOD(EC$1-Units!$Q82,12)=0),IF(AND(Units!$L82=1,EC$1=Units!$Q82),1,Inputs!$B$15)*Inputs!$B$16*(1+Inputs!$B$11)^(EC$2-1),0)</f>
        <v>0</v>
      </c>
      <c r="ED83" s="11" t="n">
        <f aca="false">IF(AND(ED$1&gt;=Units!$Q82,MOD(ED$1-Units!$Q82,12)=0),IF(AND(Units!$L82=1,ED$1=Units!$Q82),1,Inputs!$B$15)*Inputs!$B$16*(1+Inputs!$B$11)^(ED$2-1),0)</f>
        <v>0</v>
      </c>
    </row>
    <row r="84" customFormat="false" ht="15" hidden="false" customHeight="false" outlineLevel="0" collapsed="false">
      <c r="A84" s="22" t="n">
        <f aca="false">Units!A83</f>
        <v>322</v>
      </c>
      <c r="B84" s="23"/>
      <c r="C84" s="11" t="n">
        <f aca="false">IF(AND(C$1&gt;=Units!$Q83,MOD(C$1-Units!$Q83,12)=0),IF(AND(Units!$L83=1,C$1=Units!$Q83),1,Inputs!$B$15)*Inputs!$B$16*(1+Inputs!$B$11)^(C$2-1),0)</f>
        <v>0</v>
      </c>
      <c r="D84" s="11" t="n">
        <f aca="false">IF(AND(D$1&gt;=Units!$Q83,MOD(D$1-Units!$Q83,12)=0),IF(AND(Units!$L83=1,D$1=Units!$Q83),1,Inputs!$B$15)*Inputs!$B$16*(1+Inputs!$B$11)^(D$2-1),0)</f>
        <v>0</v>
      </c>
      <c r="E84" s="11" t="n">
        <f aca="false">IF(AND(E$1&gt;=Units!$Q83,MOD(E$1-Units!$Q83,12)=0),IF(AND(Units!$L83=1,E$1=Units!$Q83),1,Inputs!$B$15)*Inputs!$B$16*(1+Inputs!$B$11)^(E$2-1),0)</f>
        <v>500</v>
      </c>
      <c r="F84" s="11" t="n">
        <f aca="false">IF(AND(F$1&gt;=Units!$Q83,MOD(F$1-Units!$Q83,12)=0),IF(AND(Units!$L83=1,F$1=Units!$Q83),1,Inputs!$B$15)*Inputs!$B$16*(1+Inputs!$B$11)^(F$2-1),0)</f>
        <v>0</v>
      </c>
      <c r="G84" s="11" t="n">
        <f aca="false">IF(AND(G$1&gt;=Units!$Q83,MOD(G$1-Units!$Q83,12)=0),IF(AND(Units!$L83=1,G$1=Units!$Q83),1,Inputs!$B$15)*Inputs!$B$16*(1+Inputs!$B$11)^(G$2-1),0)</f>
        <v>0</v>
      </c>
      <c r="H84" s="11" t="n">
        <f aca="false">IF(AND(H$1&gt;=Units!$Q83,MOD(H$1-Units!$Q83,12)=0),IF(AND(Units!$L83=1,H$1=Units!$Q83),1,Inputs!$B$15)*Inputs!$B$16*(1+Inputs!$B$11)^(H$2-1),0)</f>
        <v>0</v>
      </c>
      <c r="I84" s="11" t="n">
        <f aca="false">IF(AND(I$1&gt;=Units!$Q83,MOD(I$1-Units!$Q83,12)=0),IF(AND(Units!$L83=1,I$1=Units!$Q83),1,Inputs!$B$15)*Inputs!$B$16*(1+Inputs!$B$11)^(I$2-1),0)</f>
        <v>0</v>
      </c>
      <c r="J84" s="11" t="n">
        <f aca="false">IF(AND(J$1&gt;=Units!$Q83,MOD(J$1-Units!$Q83,12)=0),IF(AND(Units!$L83=1,J$1=Units!$Q83),1,Inputs!$B$15)*Inputs!$B$16*(1+Inputs!$B$11)^(J$2-1),0)</f>
        <v>0</v>
      </c>
      <c r="K84" s="11" t="n">
        <f aca="false">IF(AND(K$1&gt;=Units!$Q83,MOD(K$1-Units!$Q83,12)=0),IF(AND(Units!$L83=1,K$1=Units!$Q83),1,Inputs!$B$15)*Inputs!$B$16*(1+Inputs!$B$11)^(K$2-1),0)</f>
        <v>0</v>
      </c>
      <c r="L84" s="11" t="n">
        <f aca="false">IF(AND(L$1&gt;=Units!$Q83,MOD(L$1-Units!$Q83,12)=0),IF(AND(Units!$L83=1,L$1=Units!$Q83),1,Inputs!$B$15)*Inputs!$B$16*(1+Inputs!$B$11)^(L$2-1),0)</f>
        <v>0</v>
      </c>
      <c r="M84" s="11" t="n">
        <f aca="false">IF(AND(M$1&gt;=Units!$Q83,MOD(M$1-Units!$Q83,12)=0),IF(AND(Units!$L83=1,M$1=Units!$Q83),1,Inputs!$B$15)*Inputs!$B$16*(1+Inputs!$B$11)^(M$2-1),0)</f>
        <v>0</v>
      </c>
      <c r="N84" s="11" t="n">
        <f aca="false">IF(AND(N$1&gt;=Units!$Q83,MOD(N$1-Units!$Q83,12)=0),IF(AND(Units!$L83=1,N$1=Units!$Q83),1,Inputs!$B$15)*Inputs!$B$16*(1+Inputs!$B$11)^(N$2-1),0)</f>
        <v>0</v>
      </c>
      <c r="O84" s="11" t="n">
        <f aca="false">IF(AND(O$1&gt;=Units!$Q83,MOD(O$1-Units!$Q83,12)=0),IF(AND(Units!$L83=1,O$1=Units!$Q83),1,Inputs!$B$15)*Inputs!$B$16*(1+Inputs!$B$11)^(O$2-1),0)</f>
        <v>0</v>
      </c>
      <c r="P84" s="11" t="n">
        <f aca="false">IF(AND(P$1&gt;=Units!$Q83,MOD(P$1-Units!$Q83,12)=0),IF(AND(Units!$L83=1,P$1=Units!$Q83),1,Inputs!$B$15)*Inputs!$B$16*(1+Inputs!$B$11)^(P$2-1),0)</f>
        <v>0</v>
      </c>
      <c r="Q84" s="11" t="n">
        <f aca="false">IF(AND(Q$1&gt;=Units!$Q83,MOD(Q$1-Units!$Q83,12)=0),IF(AND(Units!$L83=1,Q$1=Units!$Q83),1,Inputs!$B$15)*Inputs!$B$16*(1+Inputs!$B$11)^(Q$2-1),0)</f>
        <v>515</v>
      </c>
      <c r="R84" s="11" t="n">
        <f aca="false">IF(AND(R$1&gt;=Units!$Q83,MOD(R$1-Units!$Q83,12)=0),IF(AND(Units!$L83=1,R$1=Units!$Q83),1,Inputs!$B$15)*Inputs!$B$16*(1+Inputs!$B$11)^(R$2-1),0)</f>
        <v>0</v>
      </c>
      <c r="S84" s="11" t="n">
        <f aca="false">IF(AND(S$1&gt;=Units!$Q83,MOD(S$1-Units!$Q83,12)=0),IF(AND(Units!$L83=1,S$1=Units!$Q83),1,Inputs!$B$15)*Inputs!$B$16*(1+Inputs!$B$11)^(S$2-1),0)</f>
        <v>0</v>
      </c>
      <c r="T84" s="11" t="n">
        <f aca="false">IF(AND(T$1&gt;=Units!$Q83,MOD(T$1-Units!$Q83,12)=0),IF(AND(Units!$L83=1,T$1=Units!$Q83),1,Inputs!$B$15)*Inputs!$B$16*(1+Inputs!$B$11)^(T$2-1),0)</f>
        <v>0</v>
      </c>
      <c r="U84" s="11" t="n">
        <f aca="false">IF(AND(U$1&gt;=Units!$Q83,MOD(U$1-Units!$Q83,12)=0),IF(AND(Units!$L83=1,U$1=Units!$Q83),1,Inputs!$B$15)*Inputs!$B$16*(1+Inputs!$B$11)^(U$2-1),0)</f>
        <v>0</v>
      </c>
      <c r="V84" s="11" t="n">
        <f aca="false">IF(AND(V$1&gt;=Units!$Q83,MOD(V$1-Units!$Q83,12)=0),IF(AND(Units!$L83=1,V$1=Units!$Q83),1,Inputs!$B$15)*Inputs!$B$16*(1+Inputs!$B$11)^(V$2-1),0)</f>
        <v>0</v>
      </c>
      <c r="W84" s="11" t="n">
        <f aca="false">IF(AND(W$1&gt;=Units!$Q83,MOD(W$1-Units!$Q83,12)=0),IF(AND(Units!$L83=1,W$1=Units!$Q83),1,Inputs!$B$15)*Inputs!$B$16*(1+Inputs!$B$11)^(W$2-1),0)</f>
        <v>0</v>
      </c>
      <c r="X84" s="11" t="n">
        <f aca="false">IF(AND(X$1&gt;=Units!$Q83,MOD(X$1-Units!$Q83,12)=0),IF(AND(Units!$L83=1,X$1=Units!$Q83),1,Inputs!$B$15)*Inputs!$B$16*(1+Inputs!$B$11)^(X$2-1),0)</f>
        <v>0</v>
      </c>
      <c r="Y84" s="11" t="n">
        <f aca="false">IF(AND(Y$1&gt;=Units!$Q83,MOD(Y$1-Units!$Q83,12)=0),IF(AND(Units!$L83=1,Y$1=Units!$Q83),1,Inputs!$B$15)*Inputs!$B$16*(1+Inputs!$B$11)^(Y$2-1),0)</f>
        <v>0</v>
      </c>
      <c r="Z84" s="11" t="n">
        <f aca="false">IF(AND(Z$1&gt;=Units!$Q83,MOD(Z$1-Units!$Q83,12)=0),IF(AND(Units!$L83=1,Z$1=Units!$Q83),1,Inputs!$B$15)*Inputs!$B$16*(1+Inputs!$B$11)^(Z$2-1),0)</f>
        <v>0</v>
      </c>
      <c r="AA84" s="11" t="n">
        <f aca="false">IF(AND(AA$1&gt;=Units!$Q83,MOD(AA$1-Units!$Q83,12)=0),IF(AND(Units!$L83=1,AA$1=Units!$Q83),1,Inputs!$B$15)*Inputs!$B$16*(1+Inputs!$B$11)^(AA$2-1),0)</f>
        <v>0</v>
      </c>
      <c r="AB84" s="11" t="n">
        <f aca="false">IF(AND(AB$1&gt;=Units!$Q83,MOD(AB$1-Units!$Q83,12)=0),IF(AND(Units!$L83=1,AB$1=Units!$Q83),1,Inputs!$B$15)*Inputs!$B$16*(1+Inputs!$B$11)^(AB$2-1),0)</f>
        <v>0</v>
      </c>
      <c r="AC84" s="11" t="n">
        <f aca="false">IF(AND(AC$1&gt;=Units!$Q83,MOD(AC$1-Units!$Q83,12)=0),IF(AND(Units!$L83=1,AC$1=Units!$Q83),1,Inputs!$B$15)*Inputs!$B$16*(1+Inputs!$B$11)^(AC$2-1),0)</f>
        <v>530.45</v>
      </c>
      <c r="AD84" s="11" t="n">
        <f aca="false">IF(AND(AD$1&gt;=Units!$Q83,MOD(AD$1-Units!$Q83,12)=0),IF(AND(Units!$L83=1,AD$1=Units!$Q83),1,Inputs!$B$15)*Inputs!$B$16*(1+Inputs!$B$11)^(AD$2-1),0)</f>
        <v>0</v>
      </c>
      <c r="AE84" s="11" t="n">
        <f aca="false">IF(AND(AE$1&gt;=Units!$Q83,MOD(AE$1-Units!$Q83,12)=0),IF(AND(Units!$L83=1,AE$1=Units!$Q83),1,Inputs!$B$15)*Inputs!$B$16*(1+Inputs!$B$11)^(AE$2-1),0)</f>
        <v>0</v>
      </c>
      <c r="AF84" s="11" t="n">
        <f aca="false">IF(AND(AF$1&gt;=Units!$Q83,MOD(AF$1-Units!$Q83,12)=0),IF(AND(Units!$L83=1,AF$1=Units!$Q83),1,Inputs!$B$15)*Inputs!$B$16*(1+Inputs!$B$11)^(AF$2-1),0)</f>
        <v>0</v>
      </c>
      <c r="AG84" s="11" t="n">
        <f aca="false">IF(AND(AG$1&gt;=Units!$Q83,MOD(AG$1-Units!$Q83,12)=0),IF(AND(Units!$L83=1,AG$1=Units!$Q83),1,Inputs!$B$15)*Inputs!$B$16*(1+Inputs!$B$11)^(AG$2-1),0)</f>
        <v>0</v>
      </c>
      <c r="AH84" s="11" t="n">
        <f aca="false">IF(AND(AH$1&gt;=Units!$Q83,MOD(AH$1-Units!$Q83,12)=0),IF(AND(Units!$L83=1,AH$1=Units!$Q83),1,Inputs!$B$15)*Inputs!$B$16*(1+Inputs!$B$11)^(AH$2-1),0)</f>
        <v>0</v>
      </c>
      <c r="AI84" s="11" t="n">
        <f aca="false">IF(AND(AI$1&gt;=Units!$Q83,MOD(AI$1-Units!$Q83,12)=0),IF(AND(Units!$L83=1,AI$1=Units!$Q83),1,Inputs!$B$15)*Inputs!$B$16*(1+Inputs!$B$11)^(AI$2-1),0)</f>
        <v>0</v>
      </c>
      <c r="AJ84" s="11" t="n">
        <f aca="false">IF(AND(AJ$1&gt;=Units!$Q83,MOD(AJ$1-Units!$Q83,12)=0),IF(AND(Units!$L83=1,AJ$1=Units!$Q83),1,Inputs!$B$15)*Inputs!$B$16*(1+Inputs!$B$11)^(AJ$2-1),0)</f>
        <v>0</v>
      </c>
      <c r="AK84" s="11" t="n">
        <f aca="false">IF(AND(AK$1&gt;=Units!$Q83,MOD(AK$1-Units!$Q83,12)=0),IF(AND(Units!$L83=1,AK$1=Units!$Q83),1,Inputs!$B$15)*Inputs!$B$16*(1+Inputs!$B$11)^(AK$2-1),0)</f>
        <v>0</v>
      </c>
      <c r="AL84" s="11" t="n">
        <f aca="false">IF(AND(AL$1&gt;=Units!$Q83,MOD(AL$1-Units!$Q83,12)=0),IF(AND(Units!$L83=1,AL$1=Units!$Q83),1,Inputs!$B$15)*Inputs!$B$16*(1+Inputs!$B$11)^(AL$2-1),0)</f>
        <v>0</v>
      </c>
      <c r="AM84" s="11" t="n">
        <f aca="false">IF(AND(AM$1&gt;=Units!$Q83,MOD(AM$1-Units!$Q83,12)=0),IF(AND(Units!$L83=1,AM$1=Units!$Q83),1,Inputs!$B$15)*Inputs!$B$16*(1+Inputs!$B$11)^(AM$2-1),0)</f>
        <v>0</v>
      </c>
      <c r="AN84" s="11" t="n">
        <f aca="false">IF(AND(AN$1&gt;=Units!$Q83,MOD(AN$1-Units!$Q83,12)=0),IF(AND(Units!$L83=1,AN$1=Units!$Q83),1,Inputs!$B$15)*Inputs!$B$16*(1+Inputs!$B$11)^(AN$2-1),0)</f>
        <v>0</v>
      </c>
      <c r="AO84" s="11" t="n">
        <f aca="false">IF(AND(AO$1&gt;=Units!$Q83,MOD(AO$1-Units!$Q83,12)=0),IF(AND(Units!$L83=1,AO$1=Units!$Q83),1,Inputs!$B$15)*Inputs!$B$16*(1+Inputs!$B$11)^(AO$2-1),0)</f>
        <v>546.3635</v>
      </c>
      <c r="AP84" s="11" t="n">
        <f aca="false">IF(AND(AP$1&gt;=Units!$Q83,MOD(AP$1-Units!$Q83,12)=0),IF(AND(Units!$L83=1,AP$1=Units!$Q83),1,Inputs!$B$15)*Inputs!$B$16*(1+Inputs!$B$11)^(AP$2-1),0)</f>
        <v>0</v>
      </c>
      <c r="AQ84" s="11" t="n">
        <f aca="false">IF(AND(AQ$1&gt;=Units!$Q83,MOD(AQ$1-Units!$Q83,12)=0),IF(AND(Units!$L83=1,AQ$1=Units!$Q83),1,Inputs!$B$15)*Inputs!$B$16*(1+Inputs!$B$11)^(AQ$2-1),0)</f>
        <v>0</v>
      </c>
      <c r="AR84" s="11" t="n">
        <f aca="false">IF(AND(AR$1&gt;=Units!$Q83,MOD(AR$1-Units!$Q83,12)=0),IF(AND(Units!$L83=1,AR$1=Units!$Q83),1,Inputs!$B$15)*Inputs!$B$16*(1+Inputs!$B$11)^(AR$2-1),0)</f>
        <v>0</v>
      </c>
      <c r="AS84" s="11" t="n">
        <f aca="false">IF(AND(AS$1&gt;=Units!$Q83,MOD(AS$1-Units!$Q83,12)=0),IF(AND(Units!$L83=1,AS$1=Units!$Q83),1,Inputs!$B$15)*Inputs!$B$16*(1+Inputs!$B$11)^(AS$2-1),0)</f>
        <v>0</v>
      </c>
      <c r="AT84" s="11" t="n">
        <f aca="false">IF(AND(AT$1&gt;=Units!$Q83,MOD(AT$1-Units!$Q83,12)=0),IF(AND(Units!$L83=1,AT$1=Units!$Q83),1,Inputs!$B$15)*Inputs!$B$16*(1+Inputs!$B$11)^(AT$2-1),0)</f>
        <v>0</v>
      </c>
      <c r="AU84" s="11" t="n">
        <f aca="false">IF(AND(AU$1&gt;=Units!$Q83,MOD(AU$1-Units!$Q83,12)=0),IF(AND(Units!$L83=1,AU$1=Units!$Q83),1,Inputs!$B$15)*Inputs!$B$16*(1+Inputs!$B$11)^(AU$2-1),0)</f>
        <v>0</v>
      </c>
      <c r="AV84" s="11" t="n">
        <f aca="false">IF(AND(AV$1&gt;=Units!$Q83,MOD(AV$1-Units!$Q83,12)=0),IF(AND(Units!$L83=1,AV$1=Units!$Q83),1,Inputs!$B$15)*Inputs!$B$16*(1+Inputs!$B$11)^(AV$2-1),0)</f>
        <v>0</v>
      </c>
      <c r="AW84" s="11" t="n">
        <f aca="false">IF(AND(AW$1&gt;=Units!$Q83,MOD(AW$1-Units!$Q83,12)=0),IF(AND(Units!$L83=1,AW$1=Units!$Q83),1,Inputs!$B$15)*Inputs!$B$16*(1+Inputs!$B$11)^(AW$2-1),0)</f>
        <v>0</v>
      </c>
      <c r="AX84" s="11" t="n">
        <f aca="false">IF(AND(AX$1&gt;=Units!$Q83,MOD(AX$1-Units!$Q83,12)=0),IF(AND(Units!$L83=1,AX$1=Units!$Q83),1,Inputs!$B$15)*Inputs!$B$16*(1+Inputs!$B$11)^(AX$2-1),0)</f>
        <v>0</v>
      </c>
      <c r="AY84" s="11" t="n">
        <f aca="false">IF(AND(AY$1&gt;=Units!$Q83,MOD(AY$1-Units!$Q83,12)=0),IF(AND(Units!$L83=1,AY$1=Units!$Q83),1,Inputs!$B$15)*Inputs!$B$16*(1+Inputs!$B$11)^(AY$2-1),0)</f>
        <v>0</v>
      </c>
      <c r="AZ84" s="11" t="n">
        <f aca="false">IF(AND(AZ$1&gt;=Units!$Q83,MOD(AZ$1-Units!$Q83,12)=0),IF(AND(Units!$L83=1,AZ$1=Units!$Q83),1,Inputs!$B$15)*Inputs!$B$16*(1+Inputs!$B$11)^(AZ$2-1),0)</f>
        <v>0</v>
      </c>
      <c r="BA84" s="11" t="n">
        <f aca="false">IF(AND(BA$1&gt;=Units!$Q83,MOD(BA$1-Units!$Q83,12)=0),IF(AND(Units!$L83=1,BA$1=Units!$Q83),1,Inputs!$B$15)*Inputs!$B$16*(1+Inputs!$B$11)^(BA$2-1),0)</f>
        <v>562.754405</v>
      </c>
      <c r="BB84" s="11" t="n">
        <f aca="false">IF(AND(BB$1&gt;=Units!$Q83,MOD(BB$1-Units!$Q83,12)=0),IF(AND(Units!$L83=1,BB$1=Units!$Q83),1,Inputs!$B$15)*Inputs!$B$16*(1+Inputs!$B$11)^(BB$2-1),0)</f>
        <v>0</v>
      </c>
      <c r="BC84" s="11" t="n">
        <f aca="false">IF(AND(BC$1&gt;=Units!$Q83,MOD(BC$1-Units!$Q83,12)=0),IF(AND(Units!$L83=1,BC$1=Units!$Q83),1,Inputs!$B$15)*Inputs!$B$16*(1+Inputs!$B$11)^(BC$2-1),0)</f>
        <v>0</v>
      </c>
      <c r="BD84" s="11" t="n">
        <f aca="false">IF(AND(BD$1&gt;=Units!$Q83,MOD(BD$1-Units!$Q83,12)=0),IF(AND(Units!$L83=1,BD$1=Units!$Q83),1,Inputs!$B$15)*Inputs!$B$16*(1+Inputs!$B$11)^(BD$2-1),0)</f>
        <v>0</v>
      </c>
      <c r="BE84" s="11" t="n">
        <f aca="false">IF(AND(BE$1&gt;=Units!$Q83,MOD(BE$1-Units!$Q83,12)=0),IF(AND(Units!$L83=1,BE$1=Units!$Q83),1,Inputs!$B$15)*Inputs!$B$16*(1+Inputs!$B$11)^(BE$2-1),0)</f>
        <v>0</v>
      </c>
      <c r="BF84" s="11" t="n">
        <f aca="false">IF(AND(BF$1&gt;=Units!$Q83,MOD(BF$1-Units!$Q83,12)=0),IF(AND(Units!$L83=1,BF$1=Units!$Q83),1,Inputs!$B$15)*Inputs!$B$16*(1+Inputs!$B$11)^(BF$2-1),0)</f>
        <v>0</v>
      </c>
      <c r="BG84" s="11" t="n">
        <f aca="false">IF(AND(BG$1&gt;=Units!$Q83,MOD(BG$1-Units!$Q83,12)=0),IF(AND(Units!$L83=1,BG$1=Units!$Q83),1,Inputs!$B$15)*Inputs!$B$16*(1+Inputs!$B$11)^(BG$2-1),0)</f>
        <v>0</v>
      </c>
      <c r="BH84" s="11" t="n">
        <f aca="false">IF(AND(BH$1&gt;=Units!$Q83,MOD(BH$1-Units!$Q83,12)=0),IF(AND(Units!$L83=1,BH$1=Units!$Q83),1,Inputs!$B$15)*Inputs!$B$16*(1+Inputs!$B$11)^(BH$2-1),0)</f>
        <v>0</v>
      </c>
      <c r="BI84" s="11" t="n">
        <f aca="false">IF(AND(BI$1&gt;=Units!$Q83,MOD(BI$1-Units!$Q83,12)=0),IF(AND(Units!$L83=1,BI$1=Units!$Q83),1,Inputs!$B$15)*Inputs!$B$16*(1+Inputs!$B$11)^(BI$2-1),0)</f>
        <v>0</v>
      </c>
      <c r="BJ84" s="11" t="n">
        <f aca="false">IF(AND(BJ$1&gt;=Units!$Q83,MOD(BJ$1-Units!$Q83,12)=0),IF(AND(Units!$L83=1,BJ$1=Units!$Q83),1,Inputs!$B$15)*Inputs!$B$16*(1+Inputs!$B$11)^(BJ$2-1),0)</f>
        <v>0</v>
      </c>
      <c r="BK84" s="11" t="n">
        <f aca="false">IF(AND(BK$1&gt;=Units!$Q83,MOD(BK$1-Units!$Q83,12)=0),IF(AND(Units!$L83=1,BK$1=Units!$Q83),1,Inputs!$B$15)*Inputs!$B$16*(1+Inputs!$B$11)^(BK$2-1),0)</f>
        <v>0</v>
      </c>
      <c r="BL84" s="11" t="n">
        <f aca="false">IF(AND(BL$1&gt;=Units!$Q83,MOD(BL$1-Units!$Q83,12)=0),IF(AND(Units!$L83=1,BL$1=Units!$Q83),1,Inputs!$B$15)*Inputs!$B$16*(1+Inputs!$B$11)^(BL$2-1),0)</f>
        <v>0</v>
      </c>
      <c r="BM84" s="11" t="n">
        <f aca="false">IF(AND(BM$1&gt;=Units!$Q83,MOD(BM$1-Units!$Q83,12)=0),IF(AND(Units!$L83=1,BM$1=Units!$Q83),1,Inputs!$B$15)*Inputs!$B$16*(1+Inputs!$B$11)^(BM$2-1),0)</f>
        <v>579.63703715</v>
      </c>
      <c r="BN84" s="11" t="n">
        <f aca="false">IF(AND(BN$1&gt;=Units!$Q83,MOD(BN$1-Units!$Q83,12)=0),IF(AND(Units!$L83=1,BN$1=Units!$Q83),1,Inputs!$B$15)*Inputs!$B$16*(1+Inputs!$B$11)^(BN$2-1),0)</f>
        <v>0</v>
      </c>
      <c r="BO84" s="11" t="n">
        <f aca="false">IF(AND(BO$1&gt;=Units!$Q83,MOD(BO$1-Units!$Q83,12)=0),IF(AND(Units!$L83=1,BO$1=Units!$Q83),1,Inputs!$B$15)*Inputs!$B$16*(1+Inputs!$B$11)^(BO$2-1),0)</f>
        <v>0</v>
      </c>
      <c r="BP84" s="11" t="n">
        <f aca="false">IF(AND(BP$1&gt;=Units!$Q83,MOD(BP$1-Units!$Q83,12)=0),IF(AND(Units!$L83=1,BP$1=Units!$Q83),1,Inputs!$B$15)*Inputs!$B$16*(1+Inputs!$B$11)^(BP$2-1),0)</f>
        <v>0</v>
      </c>
      <c r="BQ84" s="11" t="n">
        <f aca="false">IF(AND(BQ$1&gt;=Units!$Q83,MOD(BQ$1-Units!$Q83,12)=0),IF(AND(Units!$L83=1,BQ$1=Units!$Q83),1,Inputs!$B$15)*Inputs!$B$16*(1+Inputs!$B$11)^(BQ$2-1),0)</f>
        <v>0</v>
      </c>
      <c r="BR84" s="11" t="n">
        <f aca="false">IF(AND(BR$1&gt;=Units!$Q83,MOD(BR$1-Units!$Q83,12)=0),IF(AND(Units!$L83=1,BR$1=Units!$Q83),1,Inputs!$B$15)*Inputs!$B$16*(1+Inputs!$B$11)^(BR$2-1),0)</f>
        <v>0</v>
      </c>
      <c r="BS84" s="11" t="n">
        <f aca="false">IF(AND(BS$1&gt;=Units!$Q83,MOD(BS$1-Units!$Q83,12)=0),IF(AND(Units!$L83=1,BS$1=Units!$Q83),1,Inputs!$B$15)*Inputs!$B$16*(1+Inputs!$B$11)^(BS$2-1),0)</f>
        <v>0</v>
      </c>
      <c r="BT84" s="11" t="n">
        <f aca="false">IF(AND(BT$1&gt;=Units!$Q83,MOD(BT$1-Units!$Q83,12)=0),IF(AND(Units!$L83=1,BT$1=Units!$Q83),1,Inputs!$B$15)*Inputs!$B$16*(1+Inputs!$B$11)^(BT$2-1),0)</f>
        <v>0</v>
      </c>
      <c r="BU84" s="11" t="n">
        <f aca="false">IF(AND(BU$1&gt;=Units!$Q83,MOD(BU$1-Units!$Q83,12)=0),IF(AND(Units!$L83=1,BU$1=Units!$Q83),1,Inputs!$B$15)*Inputs!$B$16*(1+Inputs!$B$11)^(BU$2-1),0)</f>
        <v>0</v>
      </c>
      <c r="BV84" s="11" t="n">
        <f aca="false">IF(AND(BV$1&gt;=Units!$Q83,MOD(BV$1-Units!$Q83,12)=0),IF(AND(Units!$L83=1,BV$1=Units!$Q83),1,Inputs!$B$15)*Inputs!$B$16*(1+Inputs!$B$11)^(BV$2-1),0)</f>
        <v>0</v>
      </c>
      <c r="BW84" s="11" t="n">
        <f aca="false">IF(AND(BW$1&gt;=Units!$Q83,MOD(BW$1-Units!$Q83,12)=0),IF(AND(Units!$L83=1,BW$1=Units!$Q83),1,Inputs!$B$15)*Inputs!$B$16*(1+Inputs!$B$11)^(BW$2-1),0)</f>
        <v>0</v>
      </c>
      <c r="BX84" s="11" t="n">
        <f aca="false">IF(AND(BX$1&gt;=Units!$Q83,MOD(BX$1-Units!$Q83,12)=0),IF(AND(Units!$L83=1,BX$1=Units!$Q83),1,Inputs!$B$15)*Inputs!$B$16*(1+Inputs!$B$11)^(BX$2-1),0)</f>
        <v>0</v>
      </c>
      <c r="BY84" s="11" t="n">
        <f aca="false">IF(AND(BY$1&gt;=Units!$Q83,MOD(BY$1-Units!$Q83,12)=0),IF(AND(Units!$L83=1,BY$1=Units!$Q83),1,Inputs!$B$15)*Inputs!$B$16*(1+Inputs!$B$11)^(BY$2-1),0)</f>
        <v>597.0261482645</v>
      </c>
      <c r="BZ84" s="11" t="n">
        <f aca="false">IF(AND(BZ$1&gt;=Units!$Q83,MOD(BZ$1-Units!$Q83,12)=0),IF(AND(Units!$L83=1,BZ$1=Units!$Q83),1,Inputs!$B$15)*Inputs!$B$16*(1+Inputs!$B$11)^(BZ$2-1),0)</f>
        <v>0</v>
      </c>
      <c r="CA84" s="11" t="n">
        <f aca="false">IF(AND(CA$1&gt;=Units!$Q83,MOD(CA$1-Units!$Q83,12)=0),IF(AND(Units!$L83=1,CA$1=Units!$Q83),1,Inputs!$B$15)*Inputs!$B$16*(1+Inputs!$B$11)^(CA$2-1),0)</f>
        <v>0</v>
      </c>
      <c r="CB84" s="11" t="n">
        <f aca="false">IF(AND(CB$1&gt;=Units!$Q83,MOD(CB$1-Units!$Q83,12)=0),IF(AND(Units!$L83=1,CB$1=Units!$Q83),1,Inputs!$B$15)*Inputs!$B$16*(1+Inputs!$B$11)^(CB$2-1),0)</f>
        <v>0</v>
      </c>
      <c r="CC84" s="11" t="n">
        <f aca="false">IF(AND(CC$1&gt;=Units!$Q83,MOD(CC$1-Units!$Q83,12)=0),IF(AND(Units!$L83=1,CC$1=Units!$Q83),1,Inputs!$B$15)*Inputs!$B$16*(1+Inputs!$B$11)^(CC$2-1),0)</f>
        <v>0</v>
      </c>
      <c r="CD84" s="11" t="n">
        <f aca="false">IF(AND(CD$1&gt;=Units!$Q83,MOD(CD$1-Units!$Q83,12)=0),IF(AND(Units!$L83=1,CD$1=Units!$Q83),1,Inputs!$B$15)*Inputs!$B$16*(1+Inputs!$B$11)^(CD$2-1),0)</f>
        <v>0</v>
      </c>
      <c r="CE84" s="11" t="n">
        <f aca="false">IF(AND(CE$1&gt;=Units!$Q83,MOD(CE$1-Units!$Q83,12)=0),IF(AND(Units!$L83=1,CE$1=Units!$Q83),1,Inputs!$B$15)*Inputs!$B$16*(1+Inputs!$B$11)^(CE$2-1),0)</f>
        <v>0</v>
      </c>
      <c r="CF84" s="11" t="n">
        <f aca="false">IF(AND(CF$1&gt;=Units!$Q83,MOD(CF$1-Units!$Q83,12)=0),IF(AND(Units!$L83=1,CF$1=Units!$Q83),1,Inputs!$B$15)*Inputs!$B$16*(1+Inputs!$B$11)^(CF$2-1),0)</f>
        <v>0</v>
      </c>
      <c r="CG84" s="11" t="n">
        <f aca="false">IF(AND(CG$1&gt;=Units!$Q83,MOD(CG$1-Units!$Q83,12)=0),IF(AND(Units!$L83=1,CG$1=Units!$Q83),1,Inputs!$B$15)*Inputs!$B$16*(1+Inputs!$B$11)^(CG$2-1),0)</f>
        <v>0</v>
      </c>
      <c r="CH84" s="11" t="n">
        <f aca="false">IF(AND(CH$1&gt;=Units!$Q83,MOD(CH$1-Units!$Q83,12)=0),IF(AND(Units!$L83=1,CH$1=Units!$Q83),1,Inputs!$B$15)*Inputs!$B$16*(1+Inputs!$B$11)^(CH$2-1),0)</f>
        <v>0</v>
      </c>
      <c r="CI84" s="11" t="n">
        <f aca="false">IF(AND(CI$1&gt;=Units!$Q83,MOD(CI$1-Units!$Q83,12)=0),IF(AND(Units!$L83=1,CI$1=Units!$Q83),1,Inputs!$B$15)*Inputs!$B$16*(1+Inputs!$B$11)^(CI$2-1),0)</f>
        <v>0</v>
      </c>
      <c r="CJ84" s="11" t="n">
        <f aca="false">IF(AND(CJ$1&gt;=Units!$Q83,MOD(CJ$1-Units!$Q83,12)=0),IF(AND(Units!$L83=1,CJ$1=Units!$Q83),1,Inputs!$B$15)*Inputs!$B$16*(1+Inputs!$B$11)^(CJ$2-1),0)</f>
        <v>0</v>
      </c>
      <c r="CK84" s="11" t="n">
        <f aca="false">IF(AND(CK$1&gt;=Units!$Q83,MOD(CK$1-Units!$Q83,12)=0),IF(AND(Units!$L83=1,CK$1=Units!$Q83),1,Inputs!$B$15)*Inputs!$B$16*(1+Inputs!$B$11)^(CK$2-1),0)</f>
        <v>614.936932712435</v>
      </c>
      <c r="CL84" s="11" t="n">
        <f aca="false">IF(AND(CL$1&gt;=Units!$Q83,MOD(CL$1-Units!$Q83,12)=0),IF(AND(Units!$L83=1,CL$1=Units!$Q83),1,Inputs!$B$15)*Inputs!$B$16*(1+Inputs!$B$11)^(CL$2-1),0)</f>
        <v>0</v>
      </c>
      <c r="CM84" s="11" t="n">
        <f aca="false">IF(AND(CM$1&gt;=Units!$Q83,MOD(CM$1-Units!$Q83,12)=0),IF(AND(Units!$L83=1,CM$1=Units!$Q83),1,Inputs!$B$15)*Inputs!$B$16*(1+Inputs!$B$11)^(CM$2-1),0)</f>
        <v>0</v>
      </c>
      <c r="CN84" s="11" t="n">
        <f aca="false">IF(AND(CN$1&gt;=Units!$Q83,MOD(CN$1-Units!$Q83,12)=0),IF(AND(Units!$L83=1,CN$1=Units!$Q83),1,Inputs!$B$15)*Inputs!$B$16*(1+Inputs!$B$11)^(CN$2-1),0)</f>
        <v>0</v>
      </c>
      <c r="CO84" s="11" t="n">
        <f aca="false">IF(AND(CO$1&gt;=Units!$Q83,MOD(CO$1-Units!$Q83,12)=0),IF(AND(Units!$L83=1,CO$1=Units!$Q83),1,Inputs!$B$15)*Inputs!$B$16*(1+Inputs!$B$11)^(CO$2-1),0)</f>
        <v>0</v>
      </c>
      <c r="CP84" s="11" t="n">
        <f aca="false">IF(AND(CP$1&gt;=Units!$Q83,MOD(CP$1-Units!$Q83,12)=0),IF(AND(Units!$L83=1,CP$1=Units!$Q83),1,Inputs!$B$15)*Inputs!$B$16*(1+Inputs!$B$11)^(CP$2-1),0)</f>
        <v>0</v>
      </c>
      <c r="CQ84" s="11" t="n">
        <f aca="false">IF(AND(CQ$1&gt;=Units!$Q83,MOD(CQ$1-Units!$Q83,12)=0),IF(AND(Units!$L83=1,CQ$1=Units!$Q83),1,Inputs!$B$15)*Inputs!$B$16*(1+Inputs!$B$11)^(CQ$2-1),0)</f>
        <v>0</v>
      </c>
      <c r="CR84" s="11" t="n">
        <f aca="false">IF(AND(CR$1&gt;=Units!$Q83,MOD(CR$1-Units!$Q83,12)=0),IF(AND(Units!$L83=1,CR$1=Units!$Q83),1,Inputs!$B$15)*Inputs!$B$16*(1+Inputs!$B$11)^(CR$2-1),0)</f>
        <v>0</v>
      </c>
      <c r="CS84" s="11" t="n">
        <f aca="false">IF(AND(CS$1&gt;=Units!$Q83,MOD(CS$1-Units!$Q83,12)=0),IF(AND(Units!$L83=1,CS$1=Units!$Q83),1,Inputs!$B$15)*Inputs!$B$16*(1+Inputs!$B$11)^(CS$2-1),0)</f>
        <v>0</v>
      </c>
      <c r="CT84" s="11" t="n">
        <f aca="false">IF(AND(CT$1&gt;=Units!$Q83,MOD(CT$1-Units!$Q83,12)=0),IF(AND(Units!$L83=1,CT$1=Units!$Q83),1,Inputs!$B$15)*Inputs!$B$16*(1+Inputs!$B$11)^(CT$2-1),0)</f>
        <v>0</v>
      </c>
      <c r="CU84" s="11" t="n">
        <f aca="false">IF(AND(CU$1&gt;=Units!$Q83,MOD(CU$1-Units!$Q83,12)=0),IF(AND(Units!$L83=1,CU$1=Units!$Q83),1,Inputs!$B$15)*Inputs!$B$16*(1+Inputs!$B$11)^(CU$2-1),0)</f>
        <v>0</v>
      </c>
      <c r="CV84" s="11" t="n">
        <f aca="false">IF(AND(CV$1&gt;=Units!$Q83,MOD(CV$1-Units!$Q83,12)=0),IF(AND(Units!$L83=1,CV$1=Units!$Q83),1,Inputs!$B$15)*Inputs!$B$16*(1+Inputs!$B$11)^(CV$2-1),0)</f>
        <v>0</v>
      </c>
      <c r="CW84" s="11" t="n">
        <f aca="false">IF(AND(CW$1&gt;=Units!$Q83,MOD(CW$1-Units!$Q83,12)=0),IF(AND(Units!$L83=1,CW$1=Units!$Q83),1,Inputs!$B$15)*Inputs!$B$16*(1+Inputs!$B$11)^(CW$2-1),0)</f>
        <v>633.385040693808</v>
      </c>
      <c r="CX84" s="11" t="n">
        <f aca="false">IF(AND(CX$1&gt;=Units!$Q83,MOD(CX$1-Units!$Q83,12)=0),IF(AND(Units!$L83=1,CX$1=Units!$Q83),1,Inputs!$B$15)*Inputs!$B$16*(1+Inputs!$B$11)^(CX$2-1),0)</f>
        <v>0</v>
      </c>
      <c r="CY84" s="11" t="n">
        <f aca="false">IF(AND(CY$1&gt;=Units!$Q83,MOD(CY$1-Units!$Q83,12)=0),IF(AND(Units!$L83=1,CY$1=Units!$Q83),1,Inputs!$B$15)*Inputs!$B$16*(1+Inputs!$B$11)^(CY$2-1),0)</f>
        <v>0</v>
      </c>
      <c r="CZ84" s="11" t="n">
        <f aca="false">IF(AND(CZ$1&gt;=Units!$Q83,MOD(CZ$1-Units!$Q83,12)=0),IF(AND(Units!$L83=1,CZ$1=Units!$Q83),1,Inputs!$B$15)*Inputs!$B$16*(1+Inputs!$B$11)^(CZ$2-1),0)</f>
        <v>0</v>
      </c>
      <c r="DA84" s="11" t="n">
        <f aca="false">IF(AND(DA$1&gt;=Units!$Q83,MOD(DA$1-Units!$Q83,12)=0),IF(AND(Units!$L83=1,DA$1=Units!$Q83),1,Inputs!$B$15)*Inputs!$B$16*(1+Inputs!$B$11)^(DA$2-1),0)</f>
        <v>0</v>
      </c>
      <c r="DB84" s="11" t="n">
        <f aca="false">IF(AND(DB$1&gt;=Units!$Q83,MOD(DB$1-Units!$Q83,12)=0),IF(AND(Units!$L83=1,DB$1=Units!$Q83),1,Inputs!$B$15)*Inputs!$B$16*(1+Inputs!$B$11)^(DB$2-1),0)</f>
        <v>0</v>
      </c>
      <c r="DC84" s="11" t="n">
        <f aca="false">IF(AND(DC$1&gt;=Units!$Q83,MOD(DC$1-Units!$Q83,12)=0),IF(AND(Units!$L83=1,DC$1=Units!$Q83),1,Inputs!$B$15)*Inputs!$B$16*(1+Inputs!$B$11)^(DC$2-1),0)</f>
        <v>0</v>
      </c>
      <c r="DD84" s="11" t="n">
        <f aca="false">IF(AND(DD$1&gt;=Units!$Q83,MOD(DD$1-Units!$Q83,12)=0),IF(AND(Units!$L83=1,DD$1=Units!$Q83),1,Inputs!$B$15)*Inputs!$B$16*(1+Inputs!$B$11)^(DD$2-1),0)</f>
        <v>0</v>
      </c>
      <c r="DE84" s="11" t="n">
        <f aca="false">IF(AND(DE$1&gt;=Units!$Q83,MOD(DE$1-Units!$Q83,12)=0),IF(AND(Units!$L83=1,DE$1=Units!$Q83),1,Inputs!$B$15)*Inputs!$B$16*(1+Inputs!$B$11)^(DE$2-1),0)</f>
        <v>0</v>
      </c>
      <c r="DF84" s="11" t="n">
        <f aca="false">IF(AND(DF$1&gt;=Units!$Q83,MOD(DF$1-Units!$Q83,12)=0),IF(AND(Units!$L83=1,DF$1=Units!$Q83),1,Inputs!$B$15)*Inputs!$B$16*(1+Inputs!$B$11)^(DF$2-1),0)</f>
        <v>0</v>
      </c>
      <c r="DG84" s="11" t="n">
        <f aca="false">IF(AND(DG$1&gt;=Units!$Q83,MOD(DG$1-Units!$Q83,12)=0),IF(AND(Units!$L83=1,DG$1=Units!$Q83),1,Inputs!$B$15)*Inputs!$B$16*(1+Inputs!$B$11)^(DG$2-1),0)</f>
        <v>0</v>
      </c>
      <c r="DH84" s="11" t="n">
        <f aca="false">IF(AND(DH$1&gt;=Units!$Q83,MOD(DH$1-Units!$Q83,12)=0),IF(AND(Units!$L83=1,DH$1=Units!$Q83),1,Inputs!$B$15)*Inputs!$B$16*(1+Inputs!$B$11)^(DH$2-1),0)</f>
        <v>0</v>
      </c>
      <c r="DI84" s="11" t="n">
        <f aca="false">IF(AND(DI$1&gt;=Units!$Q83,MOD(DI$1-Units!$Q83,12)=0),IF(AND(Units!$L83=1,DI$1=Units!$Q83),1,Inputs!$B$15)*Inputs!$B$16*(1+Inputs!$B$11)^(DI$2-1),0)</f>
        <v>652.386591914623</v>
      </c>
      <c r="DJ84" s="11" t="n">
        <f aca="false">IF(AND(DJ$1&gt;=Units!$Q83,MOD(DJ$1-Units!$Q83,12)=0),IF(AND(Units!$L83=1,DJ$1=Units!$Q83),1,Inputs!$B$15)*Inputs!$B$16*(1+Inputs!$B$11)^(DJ$2-1),0)</f>
        <v>0</v>
      </c>
      <c r="DK84" s="11" t="n">
        <f aca="false">IF(AND(DK$1&gt;=Units!$Q83,MOD(DK$1-Units!$Q83,12)=0),IF(AND(Units!$L83=1,DK$1=Units!$Q83),1,Inputs!$B$15)*Inputs!$B$16*(1+Inputs!$B$11)^(DK$2-1),0)</f>
        <v>0</v>
      </c>
      <c r="DL84" s="11" t="n">
        <f aca="false">IF(AND(DL$1&gt;=Units!$Q83,MOD(DL$1-Units!$Q83,12)=0),IF(AND(Units!$L83=1,DL$1=Units!$Q83),1,Inputs!$B$15)*Inputs!$B$16*(1+Inputs!$B$11)^(DL$2-1),0)</f>
        <v>0</v>
      </c>
      <c r="DM84" s="11" t="n">
        <f aca="false">IF(AND(DM$1&gt;=Units!$Q83,MOD(DM$1-Units!$Q83,12)=0),IF(AND(Units!$L83=1,DM$1=Units!$Q83),1,Inputs!$B$15)*Inputs!$B$16*(1+Inputs!$B$11)^(DM$2-1),0)</f>
        <v>0</v>
      </c>
      <c r="DN84" s="11" t="n">
        <f aca="false">IF(AND(DN$1&gt;=Units!$Q83,MOD(DN$1-Units!$Q83,12)=0),IF(AND(Units!$L83=1,DN$1=Units!$Q83),1,Inputs!$B$15)*Inputs!$B$16*(1+Inputs!$B$11)^(DN$2-1),0)</f>
        <v>0</v>
      </c>
      <c r="DO84" s="11" t="n">
        <f aca="false">IF(AND(DO$1&gt;=Units!$Q83,MOD(DO$1-Units!$Q83,12)=0),IF(AND(Units!$L83=1,DO$1=Units!$Q83),1,Inputs!$B$15)*Inputs!$B$16*(1+Inputs!$B$11)^(DO$2-1),0)</f>
        <v>0</v>
      </c>
      <c r="DP84" s="11" t="n">
        <f aca="false">IF(AND(DP$1&gt;=Units!$Q83,MOD(DP$1-Units!$Q83,12)=0),IF(AND(Units!$L83=1,DP$1=Units!$Q83),1,Inputs!$B$15)*Inputs!$B$16*(1+Inputs!$B$11)^(DP$2-1),0)</f>
        <v>0</v>
      </c>
      <c r="DQ84" s="11" t="n">
        <f aca="false">IF(AND(DQ$1&gt;=Units!$Q83,MOD(DQ$1-Units!$Q83,12)=0),IF(AND(Units!$L83=1,DQ$1=Units!$Q83),1,Inputs!$B$15)*Inputs!$B$16*(1+Inputs!$B$11)^(DQ$2-1),0)</f>
        <v>0</v>
      </c>
      <c r="DR84" s="11" t="n">
        <f aca="false">IF(AND(DR$1&gt;=Units!$Q83,MOD(DR$1-Units!$Q83,12)=0),IF(AND(Units!$L83=1,DR$1=Units!$Q83),1,Inputs!$B$15)*Inputs!$B$16*(1+Inputs!$B$11)^(DR$2-1),0)</f>
        <v>0</v>
      </c>
      <c r="DS84" s="11" t="n">
        <f aca="false">IF(AND(DS$1&gt;=Units!$Q83,MOD(DS$1-Units!$Q83,12)=0),IF(AND(Units!$L83=1,DS$1=Units!$Q83),1,Inputs!$B$15)*Inputs!$B$16*(1+Inputs!$B$11)^(DS$2-1),0)</f>
        <v>0</v>
      </c>
      <c r="DT84" s="11" t="n">
        <f aca="false">IF(AND(DT$1&gt;=Units!$Q83,MOD(DT$1-Units!$Q83,12)=0),IF(AND(Units!$L83=1,DT$1=Units!$Q83),1,Inputs!$B$15)*Inputs!$B$16*(1+Inputs!$B$11)^(DT$2-1),0)</f>
        <v>0</v>
      </c>
      <c r="DU84" s="11" t="n">
        <f aca="false">IF(AND(DU$1&gt;=Units!$Q83,MOD(DU$1-Units!$Q83,12)=0),IF(AND(Units!$L83=1,DU$1=Units!$Q83),1,Inputs!$B$15)*Inputs!$B$16*(1+Inputs!$B$11)^(DU$2-1),0)</f>
        <v>671.958189672061</v>
      </c>
      <c r="DV84" s="11" t="n">
        <f aca="false">IF(AND(DV$1&gt;=Units!$Q83,MOD(DV$1-Units!$Q83,12)=0),IF(AND(Units!$L83=1,DV$1=Units!$Q83),1,Inputs!$B$15)*Inputs!$B$16*(1+Inputs!$B$11)^(DV$2-1),0)</f>
        <v>0</v>
      </c>
      <c r="DW84" s="11" t="n">
        <f aca="false">IF(AND(DW$1&gt;=Units!$Q83,MOD(DW$1-Units!$Q83,12)=0),IF(AND(Units!$L83=1,DW$1=Units!$Q83),1,Inputs!$B$15)*Inputs!$B$16*(1+Inputs!$B$11)^(DW$2-1),0)</f>
        <v>0</v>
      </c>
      <c r="DX84" s="11" t="n">
        <f aca="false">IF(AND(DX$1&gt;=Units!$Q83,MOD(DX$1-Units!$Q83,12)=0),IF(AND(Units!$L83=1,DX$1=Units!$Q83),1,Inputs!$B$15)*Inputs!$B$16*(1+Inputs!$B$11)^(DX$2-1),0)</f>
        <v>0</v>
      </c>
      <c r="DY84" s="11" t="n">
        <f aca="false">IF(AND(DY$1&gt;=Units!$Q83,MOD(DY$1-Units!$Q83,12)=0),IF(AND(Units!$L83=1,DY$1=Units!$Q83),1,Inputs!$B$15)*Inputs!$B$16*(1+Inputs!$B$11)^(DY$2-1),0)</f>
        <v>0</v>
      </c>
      <c r="DZ84" s="11" t="n">
        <f aca="false">IF(AND(DZ$1&gt;=Units!$Q83,MOD(DZ$1-Units!$Q83,12)=0),IF(AND(Units!$L83=1,DZ$1=Units!$Q83),1,Inputs!$B$15)*Inputs!$B$16*(1+Inputs!$B$11)^(DZ$2-1),0)</f>
        <v>0</v>
      </c>
      <c r="EA84" s="11" t="n">
        <f aca="false">IF(AND(EA$1&gt;=Units!$Q83,MOD(EA$1-Units!$Q83,12)=0),IF(AND(Units!$L83=1,EA$1=Units!$Q83),1,Inputs!$B$15)*Inputs!$B$16*(1+Inputs!$B$11)^(EA$2-1),0)</f>
        <v>0</v>
      </c>
      <c r="EB84" s="11" t="n">
        <f aca="false">IF(AND(EB$1&gt;=Units!$Q83,MOD(EB$1-Units!$Q83,12)=0),IF(AND(Units!$L83=1,EB$1=Units!$Q83),1,Inputs!$B$15)*Inputs!$B$16*(1+Inputs!$B$11)^(EB$2-1),0)</f>
        <v>0</v>
      </c>
      <c r="EC84" s="11" t="n">
        <f aca="false">IF(AND(EC$1&gt;=Units!$Q83,MOD(EC$1-Units!$Q83,12)=0),IF(AND(Units!$L83=1,EC$1=Units!$Q83),1,Inputs!$B$15)*Inputs!$B$16*(1+Inputs!$B$11)^(EC$2-1),0)</f>
        <v>0</v>
      </c>
      <c r="ED84" s="11" t="n">
        <f aca="false">IF(AND(ED$1&gt;=Units!$Q83,MOD(ED$1-Units!$Q83,12)=0),IF(AND(Units!$L83=1,ED$1=Units!$Q83),1,Inputs!$B$15)*Inputs!$B$16*(1+Inputs!$B$11)^(ED$2-1),0)</f>
        <v>0</v>
      </c>
    </row>
    <row r="85" customFormat="false" ht="15" hidden="false" customHeight="false" outlineLevel="0" collapsed="false">
      <c r="A85" s="22" t="n">
        <f aca="false">Units!A84</f>
        <v>323</v>
      </c>
      <c r="B85" s="23"/>
      <c r="C85" s="11" t="n">
        <f aca="false">IF(AND(C$1&gt;=Units!$Q84,MOD(C$1-Units!$Q84,12)=0),IF(AND(Units!$L84=1,C$1=Units!$Q84),1,Inputs!$B$15)*Inputs!$B$16*(1+Inputs!$B$11)^(C$2-1),0)</f>
        <v>500</v>
      </c>
      <c r="D85" s="11" t="n">
        <f aca="false">IF(AND(D$1&gt;=Units!$Q84,MOD(D$1-Units!$Q84,12)=0),IF(AND(Units!$L84=1,D$1=Units!$Q84),1,Inputs!$B$15)*Inputs!$B$16*(1+Inputs!$B$11)^(D$2-1),0)</f>
        <v>0</v>
      </c>
      <c r="E85" s="11" t="n">
        <f aca="false">IF(AND(E$1&gt;=Units!$Q84,MOD(E$1-Units!$Q84,12)=0),IF(AND(Units!$L84=1,E$1=Units!$Q84),1,Inputs!$B$15)*Inputs!$B$16*(1+Inputs!$B$11)^(E$2-1),0)</f>
        <v>0</v>
      </c>
      <c r="F85" s="11" t="n">
        <f aca="false">IF(AND(F$1&gt;=Units!$Q84,MOD(F$1-Units!$Q84,12)=0),IF(AND(Units!$L84=1,F$1=Units!$Q84),1,Inputs!$B$15)*Inputs!$B$16*(1+Inputs!$B$11)^(F$2-1),0)</f>
        <v>0</v>
      </c>
      <c r="G85" s="11" t="n">
        <f aca="false">IF(AND(G$1&gt;=Units!$Q84,MOD(G$1-Units!$Q84,12)=0),IF(AND(Units!$L84=1,G$1=Units!$Q84),1,Inputs!$B$15)*Inputs!$B$16*(1+Inputs!$B$11)^(G$2-1),0)</f>
        <v>0</v>
      </c>
      <c r="H85" s="11" t="n">
        <f aca="false">IF(AND(H$1&gt;=Units!$Q84,MOD(H$1-Units!$Q84,12)=0),IF(AND(Units!$L84=1,H$1=Units!$Q84),1,Inputs!$B$15)*Inputs!$B$16*(1+Inputs!$B$11)^(H$2-1),0)</f>
        <v>0</v>
      </c>
      <c r="I85" s="11" t="n">
        <f aca="false">IF(AND(I$1&gt;=Units!$Q84,MOD(I$1-Units!$Q84,12)=0),IF(AND(Units!$L84=1,I$1=Units!$Q84),1,Inputs!$B$15)*Inputs!$B$16*(1+Inputs!$B$11)^(I$2-1),0)</f>
        <v>0</v>
      </c>
      <c r="J85" s="11" t="n">
        <f aca="false">IF(AND(J$1&gt;=Units!$Q84,MOD(J$1-Units!$Q84,12)=0),IF(AND(Units!$L84=1,J$1=Units!$Q84),1,Inputs!$B$15)*Inputs!$B$16*(1+Inputs!$B$11)^(J$2-1),0)</f>
        <v>0</v>
      </c>
      <c r="K85" s="11" t="n">
        <f aca="false">IF(AND(K$1&gt;=Units!$Q84,MOD(K$1-Units!$Q84,12)=0),IF(AND(Units!$L84=1,K$1=Units!$Q84),1,Inputs!$B$15)*Inputs!$B$16*(1+Inputs!$B$11)^(K$2-1),0)</f>
        <v>0</v>
      </c>
      <c r="L85" s="11" t="n">
        <f aca="false">IF(AND(L$1&gt;=Units!$Q84,MOD(L$1-Units!$Q84,12)=0),IF(AND(Units!$L84=1,L$1=Units!$Q84),1,Inputs!$B$15)*Inputs!$B$16*(1+Inputs!$B$11)^(L$2-1),0)</f>
        <v>0</v>
      </c>
      <c r="M85" s="11" t="n">
        <f aca="false">IF(AND(M$1&gt;=Units!$Q84,MOD(M$1-Units!$Q84,12)=0),IF(AND(Units!$L84=1,M$1=Units!$Q84),1,Inputs!$B$15)*Inputs!$B$16*(1+Inputs!$B$11)^(M$2-1),0)</f>
        <v>0</v>
      </c>
      <c r="N85" s="11" t="n">
        <f aca="false">IF(AND(N$1&gt;=Units!$Q84,MOD(N$1-Units!$Q84,12)=0),IF(AND(Units!$L84=1,N$1=Units!$Q84),1,Inputs!$B$15)*Inputs!$B$16*(1+Inputs!$B$11)^(N$2-1),0)</f>
        <v>0</v>
      </c>
      <c r="O85" s="11" t="n">
        <f aca="false">IF(AND(O$1&gt;=Units!$Q84,MOD(O$1-Units!$Q84,12)=0),IF(AND(Units!$L84=1,O$1=Units!$Q84),1,Inputs!$B$15)*Inputs!$B$16*(1+Inputs!$B$11)^(O$2-1),0)</f>
        <v>515</v>
      </c>
      <c r="P85" s="11" t="n">
        <f aca="false">IF(AND(P$1&gt;=Units!$Q84,MOD(P$1-Units!$Q84,12)=0),IF(AND(Units!$L84=1,P$1=Units!$Q84),1,Inputs!$B$15)*Inputs!$B$16*(1+Inputs!$B$11)^(P$2-1),0)</f>
        <v>0</v>
      </c>
      <c r="Q85" s="11" t="n">
        <f aca="false">IF(AND(Q$1&gt;=Units!$Q84,MOD(Q$1-Units!$Q84,12)=0),IF(AND(Units!$L84=1,Q$1=Units!$Q84),1,Inputs!$B$15)*Inputs!$B$16*(1+Inputs!$B$11)^(Q$2-1),0)</f>
        <v>0</v>
      </c>
      <c r="R85" s="11" t="n">
        <f aca="false">IF(AND(R$1&gt;=Units!$Q84,MOD(R$1-Units!$Q84,12)=0),IF(AND(Units!$L84=1,R$1=Units!$Q84),1,Inputs!$B$15)*Inputs!$B$16*(1+Inputs!$B$11)^(R$2-1),0)</f>
        <v>0</v>
      </c>
      <c r="S85" s="11" t="n">
        <f aca="false">IF(AND(S$1&gt;=Units!$Q84,MOD(S$1-Units!$Q84,12)=0),IF(AND(Units!$L84=1,S$1=Units!$Q84),1,Inputs!$B$15)*Inputs!$B$16*(1+Inputs!$B$11)^(S$2-1),0)</f>
        <v>0</v>
      </c>
      <c r="T85" s="11" t="n">
        <f aca="false">IF(AND(T$1&gt;=Units!$Q84,MOD(T$1-Units!$Q84,12)=0),IF(AND(Units!$L84=1,T$1=Units!$Q84),1,Inputs!$B$15)*Inputs!$B$16*(1+Inputs!$B$11)^(T$2-1),0)</f>
        <v>0</v>
      </c>
      <c r="U85" s="11" t="n">
        <f aca="false">IF(AND(U$1&gt;=Units!$Q84,MOD(U$1-Units!$Q84,12)=0),IF(AND(Units!$L84=1,U$1=Units!$Q84),1,Inputs!$B$15)*Inputs!$B$16*(1+Inputs!$B$11)^(U$2-1),0)</f>
        <v>0</v>
      </c>
      <c r="V85" s="11" t="n">
        <f aca="false">IF(AND(V$1&gt;=Units!$Q84,MOD(V$1-Units!$Q84,12)=0),IF(AND(Units!$L84=1,V$1=Units!$Q84),1,Inputs!$B$15)*Inputs!$B$16*(1+Inputs!$B$11)^(V$2-1),0)</f>
        <v>0</v>
      </c>
      <c r="W85" s="11" t="n">
        <f aca="false">IF(AND(W$1&gt;=Units!$Q84,MOD(W$1-Units!$Q84,12)=0),IF(AND(Units!$L84=1,W$1=Units!$Q84),1,Inputs!$B$15)*Inputs!$B$16*(1+Inputs!$B$11)^(W$2-1),0)</f>
        <v>0</v>
      </c>
      <c r="X85" s="11" t="n">
        <f aca="false">IF(AND(X$1&gt;=Units!$Q84,MOD(X$1-Units!$Q84,12)=0),IF(AND(Units!$L84=1,X$1=Units!$Q84),1,Inputs!$B$15)*Inputs!$B$16*(1+Inputs!$B$11)^(X$2-1),0)</f>
        <v>0</v>
      </c>
      <c r="Y85" s="11" t="n">
        <f aca="false">IF(AND(Y$1&gt;=Units!$Q84,MOD(Y$1-Units!$Q84,12)=0),IF(AND(Units!$L84=1,Y$1=Units!$Q84),1,Inputs!$B$15)*Inputs!$B$16*(1+Inputs!$B$11)^(Y$2-1),0)</f>
        <v>0</v>
      </c>
      <c r="Z85" s="11" t="n">
        <f aca="false">IF(AND(Z$1&gt;=Units!$Q84,MOD(Z$1-Units!$Q84,12)=0),IF(AND(Units!$L84=1,Z$1=Units!$Q84),1,Inputs!$B$15)*Inputs!$B$16*(1+Inputs!$B$11)^(Z$2-1),0)</f>
        <v>0</v>
      </c>
      <c r="AA85" s="11" t="n">
        <f aca="false">IF(AND(AA$1&gt;=Units!$Q84,MOD(AA$1-Units!$Q84,12)=0),IF(AND(Units!$L84=1,AA$1=Units!$Q84),1,Inputs!$B$15)*Inputs!$B$16*(1+Inputs!$B$11)^(AA$2-1),0)</f>
        <v>530.45</v>
      </c>
      <c r="AB85" s="11" t="n">
        <f aca="false">IF(AND(AB$1&gt;=Units!$Q84,MOD(AB$1-Units!$Q84,12)=0),IF(AND(Units!$L84=1,AB$1=Units!$Q84),1,Inputs!$B$15)*Inputs!$B$16*(1+Inputs!$B$11)^(AB$2-1),0)</f>
        <v>0</v>
      </c>
      <c r="AC85" s="11" t="n">
        <f aca="false">IF(AND(AC$1&gt;=Units!$Q84,MOD(AC$1-Units!$Q84,12)=0),IF(AND(Units!$L84=1,AC$1=Units!$Q84),1,Inputs!$B$15)*Inputs!$B$16*(1+Inputs!$B$11)^(AC$2-1),0)</f>
        <v>0</v>
      </c>
      <c r="AD85" s="11" t="n">
        <f aca="false">IF(AND(AD$1&gt;=Units!$Q84,MOD(AD$1-Units!$Q84,12)=0),IF(AND(Units!$L84=1,AD$1=Units!$Q84),1,Inputs!$B$15)*Inputs!$B$16*(1+Inputs!$B$11)^(AD$2-1),0)</f>
        <v>0</v>
      </c>
      <c r="AE85" s="11" t="n">
        <f aca="false">IF(AND(AE$1&gt;=Units!$Q84,MOD(AE$1-Units!$Q84,12)=0),IF(AND(Units!$L84=1,AE$1=Units!$Q84),1,Inputs!$B$15)*Inputs!$B$16*(1+Inputs!$B$11)^(AE$2-1),0)</f>
        <v>0</v>
      </c>
      <c r="AF85" s="11" t="n">
        <f aca="false">IF(AND(AF$1&gt;=Units!$Q84,MOD(AF$1-Units!$Q84,12)=0),IF(AND(Units!$L84=1,AF$1=Units!$Q84),1,Inputs!$B$15)*Inputs!$B$16*(1+Inputs!$B$11)^(AF$2-1),0)</f>
        <v>0</v>
      </c>
      <c r="AG85" s="11" t="n">
        <f aca="false">IF(AND(AG$1&gt;=Units!$Q84,MOD(AG$1-Units!$Q84,12)=0),IF(AND(Units!$L84=1,AG$1=Units!$Q84),1,Inputs!$B$15)*Inputs!$B$16*(1+Inputs!$B$11)^(AG$2-1),0)</f>
        <v>0</v>
      </c>
      <c r="AH85" s="11" t="n">
        <f aca="false">IF(AND(AH$1&gt;=Units!$Q84,MOD(AH$1-Units!$Q84,12)=0),IF(AND(Units!$L84=1,AH$1=Units!$Q84),1,Inputs!$B$15)*Inputs!$B$16*(1+Inputs!$B$11)^(AH$2-1),0)</f>
        <v>0</v>
      </c>
      <c r="AI85" s="11" t="n">
        <f aca="false">IF(AND(AI$1&gt;=Units!$Q84,MOD(AI$1-Units!$Q84,12)=0),IF(AND(Units!$L84=1,AI$1=Units!$Q84),1,Inputs!$B$15)*Inputs!$B$16*(1+Inputs!$B$11)^(AI$2-1),0)</f>
        <v>0</v>
      </c>
      <c r="AJ85" s="11" t="n">
        <f aca="false">IF(AND(AJ$1&gt;=Units!$Q84,MOD(AJ$1-Units!$Q84,12)=0),IF(AND(Units!$L84=1,AJ$1=Units!$Q84),1,Inputs!$B$15)*Inputs!$B$16*(1+Inputs!$B$11)^(AJ$2-1),0)</f>
        <v>0</v>
      </c>
      <c r="AK85" s="11" t="n">
        <f aca="false">IF(AND(AK$1&gt;=Units!$Q84,MOD(AK$1-Units!$Q84,12)=0),IF(AND(Units!$L84=1,AK$1=Units!$Q84),1,Inputs!$B$15)*Inputs!$B$16*(1+Inputs!$B$11)^(AK$2-1),0)</f>
        <v>0</v>
      </c>
      <c r="AL85" s="11" t="n">
        <f aca="false">IF(AND(AL$1&gt;=Units!$Q84,MOD(AL$1-Units!$Q84,12)=0),IF(AND(Units!$L84=1,AL$1=Units!$Q84),1,Inputs!$B$15)*Inputs!$B$16*(1+Inputs!$B$11)^(AL$2-1),0)</f>
        <v>0</v>
      </c>
      <c r="AM85" s="11" t="n">
        <f aca="false">IF(AND(AM$1&gt;=Units!$Q84,MOD(AM$1-Units!$Q84,12)=0),IF(AND(Units!$L84=1,AM$1=Units!$Q84),1,Inputs!$B$15)*Inputs!$B$16*(1+Inputs!$B$11)^(AM$2-1),0)</f>
        <v>546.3635</v>
      </c>
      <c r="AN85" s="11" t="n">
        <f aca="false">IF(AND(AN$1&gt;=Units!$Q84,MOD(AN$1-Units!$Q84,12)=0),IF(AND(Units!$L84=1,AN$1=Units!$Q84),1,Inputs!$B$15)*Inputs!$B$16*(1+Inputs!$B$11)^(AN$2-1),0)</f>
        <v>0</v>
      </c>
      <c r="AO85" s="11" t="n">
        <f aca="false">IF(AND(AO$1&gt;=Units!$Q84,MOD(AO$1-Units!$Q84,12)=0),IF(AND(Units!$L84=1,AO$1=Units!$Q84),1,Inputs!$B$15)*Inputs!$B$16*(1+Inputs!$B$11)^(AO$2-1),0)</f>
        <v>0</v>
      </c>
      <c r="AP85" s="11" t="n">
        <f aca="false">IF(AND(AP$1&gt;=Units!$Q84,MOD(AP$1-Units!$Q84,12)=0),IF(AND(Units!$L84=1,AP$1=Units!$Q84),1,Inputs!$B$15)*Inputs!$B$16*(1+Inputs!$B$11)^(AP$2-1),0)</f>
        <v>0</v>
      </c>
      <c r="AQ85" s="11" t="n">
        <f aca="false">IF(AND(AQ$1&gt;=Units!$Q84,MOD(AQ$1-Units!$Q84,12)=0),IF(AND(Units!$L84=1,AQ$1=Units!$Q84),1,Inputs!$B$15)*Inputs!$B$16*(1+Inputs!$B$11)^(AQ$2-1),0)</f>
        <v>0</v>
      </c>
      <c r="AR85" s="11" t="n">
        <f aca="false">IF(AND(AR$1&gt;=Units!$Q84,MOD(AR$1-Units!$Q84,12)=0),IF(AND(Units!$L84=1,AR$1=Units!$Q84),1,Inputs!$B$15)*Inputs!$B$16*(1+Inputs!$B$11)^(AR$2-1),0)</f>
        <v>0</v>
      </c>
      <c r="AS85" s="11" t="n">
        <f aca="false">IF(AND(AS$1&gt;=Units!$Q84,MOD(AS$1-Units!$Q84,12)=0),IF(AND(Units!$L84=1,AS$1=Units!$Q84),1,Inputs!$B$15)*Inputs!$B$16*(1+Inputs!$B$11)^(AS$2-1),0)</f>
        <v>0</v>
      </c>
      <c r="AT85" s="11" t="n">
        <f aca="false">IF(AND(AT$1&gt;=Units!$Q84,MOD(AT$1-Units!$Q84,12)=0),IF(AND(Units!$L84=1,AT$1=Units!$Q84),1,Inputs!$B$15)*Inputs!$B$16*(1+Inputs!$B$11)^(AT$2-1),0)</f>
        <v>0</v>
      </c>
      <c r="AU85" s="11" t="n">
        <f aca="false">IF(AND(AU$1&gt;=Units!$Q84,MOD(AU$1-Units!$Q84,12)=0),IF(AND(Units!$L84=1,AU$1=Units!$Q84),1,Inputs!$B$15)*Inputs!$B$16*(1+Inputs!$B$11)^(AU$2-1),0)</f>
        <v>0</v>
      </c>
      <c r="AV85" s="11" t="n">
        <f aca="false">IF(AND(AV$1&gt;=Units!$Q84,MOD(AV$1-Units!$Q84,12)=0),IF(AND(Units!$L84=1,AV$1=Units!$Q84),1,Inputs!$B$15)*Inputs!$B$16*(1+Inputs!$B$11)^(AV$2-1),0)</f>
        <v>0</v>
      </c>
      <c r="AW85" s="11" t="n">
        <f aca="false">IF(AND(AW$1&gt;=Units!$Q84,MOD(AW$1-Units!$Q84,12)=0),IF(AND(Units!$L84=1,AW$1=Units!$Q84),1,Inputs!$B$15)*Inputs!$B$16*(1+Inputs!$B$11)^(AW$2-1),0)</f>
        <v>0</v>
      </c>
      <c r="AX85" s="11" t="n">
        <f aca="false">IF(AND(AX$1&gt;=Units!$Q84,MOD(AX$1-Units!$Q84,12)=0),IF(AND(Units!$L84=1,AX$1=Units!$Q84),1,Inputs!$B$15)*Inputs!$B$16*(1+Inputs!$B$11)^(AX$2-1),0)</f>
        <v>0</v>
      </c>
      <c r="AY85" s="11" t="n">
        <f aca="false">IF(AND(AY$1&gt;=Units!$Q84,MOD(AY$1-Units!$Q84,12)=0),IF(AND(Units!$L84=1,AY$1=Units!$Q84),1,Inputs!$B$15)*Inputs!$B$16*(1+Inputs!$B$11)^(AY$2-1),0)</f>
        <v>562.754405</v>
      </c>
      <c r="AZ85" s="11" t="n">
        <f aca="false">IF(AND(AZ$1&gt;=Units!$Q84,MOD(AZ$1-Units!$Q84,12)=0),IF(AND(Units!$L84=1,AZ$1=Units!$Q84),1,Inputs!$B$15)*Inputs!$B$16*(1+Inputs!$B$11)^(AZ$2-1),0)</f>
        <v>0</v>
      </c>
      <c r="BA85" s="11" t="n">
        <f aca="false">IF(AND(BA$1&gt;=Units!$Q84,MOD(BA$1-Units!$Q84,12)=0),IF(AND(Units!$L84=1,BA$1=Units!$Q84),1,Inputs!$B$15)*Inputs!$B$16*(1+Inputs!$B$11)^(BA$2-1),0)</f>
        <v>0</v>
      </c>
      <c r="BB85" s="11" t="n">
        <f aca="false">IF(AND(BB$1&gt;=Units!$Q84,MOD(BB$1-Units!$Q84,12)=0),IF(AND(Units!$L84=1,BB$1=Units!$Q84),1,Inputs!$B$15)*Inputs!$B$16*(1+Inputs!$B$11)^(BB$2-1),0)</f>
        <v>0</v>
      </c>
      <c r="BC85" s="11" t="n">
        <f aca="false">IF(AND(BC$1&gt;=Units!$Q84,MOD(BC$1-Units!$Q84,12)=0),IF(AND(Units!$L84=1,BC$1=Units!$Q84),1,Inputs!$B$15)*Inputs!$B$16*(1+Inputs!$B$11)^(BC$2-1),0)</f>
        <v>0</v>
      </c>
      <c r="BD85" s="11" t="n">
        <f aca="false">IF(AND(BD$1&gt;=Units!$Q84,MOD(BD$1-Units!$Q84,12)=0),IF(AND(Units!$L84=1,BD$1=Units!$Q84),1,Inputs!$B$15)*Inputs!$B$16*(1+Inputs!$B$11)^(BD$2-1),0)</f>
        <v>0</v>
      </c>
      <c r="BE85" s="11" t="n">
        <f aca="false">IF(AND(BE$1&gt;=Units!$Q84,MOD(BE$1-Units!$Q84,12)=0),IF(AND(Units!$L84=1,BE$1=Units!$Q84),1,Inputs!$B$15)*Inputs!$B$16*(1+Inputs!$B$11)^(BE$2-1),0)</f>
        <v>0</v>
      </c>
      <c r="BF85" s="11" t="n">
        <f aca="false">IF(AND(BF$1&gt;=Units!$Q84,MOD(BF$1-Units!$Q84,12)=0),IF(AND(Units!$L84=1,BF$1=Units!$Q84),1,Inputs!$B$15)*Inputs!$B$16*(1+Inputs!$B$11)^(BF$2-1),0)</f>
        <v>0</v>
      </c>
      <c r="BG85" s="11" t="n">
        <f aca="false">IF(AND(BG$1&gt;=Units!$Q84,MOD(BG$1-Units!$Q84,12)=0),IF(AND(Units!$L84=1,BG$1=Units!$Q84),1,Inputs!$B$15)*Inputs!$B$16*(1+Inputs!$B$11)^(BG$2-1),0)</f>
        <v>0</v>
      </c>
      <c r="BH85" s="11" t="n">
        <f aca="false">IF(AND(BH$1&gt;=Units!$Q84,MOD(BH$1-Units!$Q84,12)=0),IF(AND(Units!$L84=1,BH$1=Units!$Q84),1,Inputs!$B$15)*Inputs!$B$16*(1+Inputs!$B$11)^(BH$2-1),0)</f>
        <v>0</v>
      </c>
      <c r="BI85" s="11" t="n">
        <f aca="false">IF(AND(BI$1&gt;=Units!$Q84,MOD(BI$1-Units!$Q84,12)=0),IF(AND(Units!$L84=1,BI$1=Units!$Q84),1,Inputs!$B$15)*Inputs!$B$16*(1+Inputs!$B$11)^(BI$2-1),0)</f>
        <v>0</v>
      </c>
      <c r="BJ85" s="11" t="n">
        <f aca="false">IF(AND(BJ$1&gt;=Units!$Q84,MOD(BJ$1-Units!$Q84,12)=0),IF(AND(Units!$L84=1,BJ$1=Units!$Q84),1,Inputs!$B$15)*Inputs!$B$16*(1+Inputs!$B$11)^(BJ$2-1),0)</f>
        <v>0</v>
      </c>
      <c r="BK85" s="11" t="n">
        <f aca="false">IF(AND(BK$1&gt;=Units!$Q84,MOD(BK$1-Units!$Q84,12)=0),IF(AND(Units!$L84=1,BK$1=Units!$Q84),1,Inputs!$B$15)*Inputs!$B$16*(1+Inputs!$B$11)^(BK$2-1),0)</f>
        <v>579.63703715</v>
      </c>
      <c r="BL85" s="11" t="n">
        <f aca="false">IF(AND(BL$1&gt;=Units!$Q84,MOD(BL$1-Units!$Q84,12)=0),IF(AND(Units!$L84=1,BL$1=Units!$Q84),1,Inputs!$B$15)*Inputs!$B$16*(1+Inputs!$B$11)^(BL$2-1),0)</f>
        <v>0</v>
      </c>
      <c r="BM85" s="11" t="n">
        <f aca="false">IF(AND(BM$1&gt;=Units!$Q84,MOD(BM$1-Units!$Q84,12)=0),IF(AND(Units!$L84=1,BM$1=Units!$Q84),1,Inputs!$B$15)*Inputs!$B$16*(1+Inputs!$B$11)^(BM$2-1),0)</f>
        <v>0</v>
      </c>
      <c r="BN85" s="11" t="n">
        <f aca="false">IF(AND(BN$1&gt;=Units!$Q84,MOD(BN$1-Units!$Q84,12)=0),IF(AND(Units!$L84=1,BN$1=Units!$Q84),1,Inputs!$B$15)*Inputs!$B$16*(1+Inputs!$B$11)^(BN$2-1),0)</f>
        <v>0</v>
      </c>
      <c r="BO85" s="11" t="n">
        <f aca="false">IF(AND(BO$1&gt;=Units!$Q84,MOD(BO$1-Units!$Q84,12)=0),IF(AND(Units!$L84=1,BO$1=Units!$Q84),1,Inputs!$B$15)*Inputs!$B$16*(1+Inputs!$B$11)^(BO$2-1),0)</f>
        <v>0</v>
      </c>
      <c r="BP85" s="11" t="n">
        <f aca="false">IF(AND(BP$1&gt;=Units!$Q84,MOD(BP$1-Units!$Q84,12)=0),IF(AND(Units!$L84=1,BP$1=Units!$Q84),1,Inputs!$B$15)*Inputs!$B$16*(1+Inputs!$B$11)^(BP$2-1),0)</f>
        <v>0</v>
      </c>
      <c r="BQ85" s="11" t="n">
        <f aca="false">IF(AND(BQ$1&gt;=Units!$Q84,MOD(BQ$1-Units!$Q84,12)=0),IF(AND(Units!$L84=1,BQ$1=Units!$Q84),1,Inputs!$B$15)*Inputs!$B$16*(1+Inputs!$B$11)^(BQ$2-1),0)</f>
        <v>0</v>
      </c>
      <c r="BR85" s="11" t="n">
        <f aca="false">IF(AND(BR$1&gt;=Units!$Q84,MOD(BR$1-Units!$Q84,12)=0),IF(AND(Units!$L84=1,BR$1=Units!$Q84),1,Inputs!$B$15)*Inputs!$B$16*(1+Inputs!$B$11)^(BR$2-1),0)</f>
        <v>0</v>
      </c>
      <c r="BS85" s="11" t="n">
        <f aca="false">IF(AND(BS$1&gt;=Units!$Q84,MOD(BS$1-Units!$Q84,12)=0),IF(AND(Units!$L84=1,BS$1=Units!$Q84),1,Inputs!$B$15)*Inputs!$B$16*(1+Inputs!$B$11)^(BS$2-1),0)</f>
        <v>0</v>
      </c>
      <c r="BT85" s="11" t="n">
        <f aca="false">IF(AND(BT$1&gt;=Units!$Q84,MOD(BT$1-Units!$Q84,12)=0),IF(AND(Units!$L84=1,BT$1=Units!$Q84),1,Inputs!$B$15)*Inputs!$B$16*(1+Inputs!$B$11)^(BT$2-1),0)</f>
        <v>0</v>
      </c>
      <c r="BU85" s="11" t="n">
        <f aca="false">IF(AND(BU$1&gt;=Units!$Q84,MOD(BU$1-Units!$Q84,12)=0),IF(AND(Units!$L84=1,BU$1=Units!$Q84),1,Inputs!$B$15)*Inputs!$B$16*(1+Inputs!$B$11)^(BU$2-1),0)</f>
        <v>0</v>
      </c>
      <c r="BV85" s="11" t="n">
        <f aca="false">IF(AND(BV$1&gt;=Units!$Q84,MOD(BV$1-Units!$Q84,12)=0),IF(AND(Units!$L84=1,BV$1=Units!$Q84),1,Inputs!$B$15)*Inputs!$B$16*(1+Inputs!$B$11)^(BV$2-1),0)</f>
        <v>0</v>
      </c>
      <c r="BW85" s="11" t="n">
        <f aca="false">IF(AND(BW$1&gt;=Units!$Q84,MOD(BW$1-Units!$Q84,12)=0),IF(AND(Units!$L84=1,BW$1=Units!$Q84),1,Inputs!$B$15)*Inputs!$B$16*(1+Inputs!$B$11)^(BW$2-1),0)</f>
        <v>597.0261482645</v>
      </c>
      <c r="BX85" s="11" t="n">
        <f aca="false">IF(AND(BX$1&gt;=Units!$Q84,MOD(BX$1-Units!$Q84,12)=0),IF(AND(Units!$L84=1,BX$1=Units!$Q84),1,Inputs!$B$15)*Inputs!$B$16*(1+Inputs!$B$11)^(BX$2-1),0)</f>
        <v>0</v>
      </c>
      <c r="BY85" s="11" t="n">
        <f aca="false">IF(AND(BY$1&gt;=Units!$Q84,MOD(BY$1-Units!$Q84,12)=0),IF(AND(Units!$L84=1,BY$1=Units!$Q84),1,Inputs!$B$15)*Inputs!$B$16*(1+Inputs!$B$11)^(BY$2-1),0)</f>
        <v>0</v>
      </c>
      <c r="BZ85" s="11" t="n">
        <f aca="false">IF(AND(BZ$1&gt;=Units!$Q84,MOD(BZ$1-Units!$Q84,12)=0),IF(AND(Units!$L84=1,BZ$1=Units!$Q84),1,Inputs!$B$15)*Inputs!$B$16*(1+Inputs!$B$11)^(BZ$2-1),0)</f>
        <v>0</v>
      </c>
      <c r="CA85" s="11" t="n">
        <f aca="false">IF(AND(CA$1&gt;=Units!$Q84,MOD(CA$1-Units!$Q84,12)=0),IF(AND(Units!$L84=1,CA$1=Units!$Q84),1,Inputs!$B$15)*Inputs!$B$16*(1+Inputs!$B$11)^(CA$2-1),0)</f>
        <v>0</v>
      </c>
      <c r="CB85" s="11" t="n">
        <f aca="false">IF(AND(CB$1&gt;=Units!$Q84,MOD(CB$1-Units!$Q84,12)=0),IF(AND(Units!$L84=1,CB$1=Units!$Q84),1,Inputs!$B$15)*Inputs!$B$16*(1+Inputs!$B$11)^(CB$2-1),0)</f>
        <v>0</v>
      </c>
      <c r="CC85" s="11" t="n">
        <f aca="false">IF(AND(CC$1&gt;=Units!$Q84,MOD(CC$1-Units!$Q84,12)=0),IF(AND(Units!$L84=1,CC$1=Units!$Q84),1,Inputs!$B$15)*Inputs!$B$16*(1+Inputs!$B$11)^(CC$2-1),0)</f>
        <v>0</v>
      </c>
      <c r="CD85" s="11" t="n">
        <f aca="false">IF(AND(CD$1&gt;=Units!$Q84,MOD(CD$1-Units!$Q84,12)=0),IF(AND(Units!$L84=1,CD$1=Units!$Q84),1,Inputs!$B$15)*Inputs!$B$16*(1+Inputs!$B$11)^(CD$2-1),0)</f>
        <v>0</v>
      </c>
      <c r="CE85" s="11" t="n">
        <f aca="false">IF(AND(CE$1&gt;=Units!$Q84,MOD(CE$1-Units!$Q84,12)=0),IF(AND(Units!$L84=1,CE$1=Units!$Q84),1,Inputs!$B$15)*Inputs!$B$16*(1+Inputs!$B$11)^(CE$2-1),0)</f>
        <v>0</v>
      </c>
      <c r="CF85" s="11" t="n">
        <f aca="false">IF(AND(CF$1&gt;=Units!$Q84,MOD(CF$1-Units!$Q84,12)=0),IF(AND(Units!$L84=1,CF$1=Units!$Q84),1,Inputs!$B$15)*Inputs!$B$16*(1+Inputs!$B$11)^(CF$2-1),0)</f>
        <v>0</v>
      </c>
      <c r="CG85" s="11" t="n">
        <f aca="false">IF(AND(CG$1&gt;=Units!$Q84,MOD(CG$1-Units!$Q84,12)=0),IF(AND(Units!$L84=1,CG$1=Units!$Q84),1,Inputs!$B$15)*Inputs!$B$16*(1+Inputs!$B$11)^(CG$2-1),0)</f>
        <v>0</v>
      </c>
      <c r="CH85" s="11" t="n">
        <f aca="false">IF(AND(CH$1&gt;=Units!$Q84,MOD(CH$1-Units!$Q84,12)=0),IF(AND(Units!$L84=1,CH$1=Units!$Q84),1,Inputs!$B$15)*Inputs!$B$16*(1+Inputs!$B$11)^(CH$2-1),0)</f>
        <v>0</v>
      </c>
      <c r="CI85" s="11" t="n">
        <f aca="false">IF(AND(CI$1&gt;=Units!$Q84,MOD(CI$1-Units!$Q84,12)=0),IF(AND(Units!$L84=1,CI$1=Units!$Q84),1,Inputs!$B$15)*Inputs!$B$16*(1+Inputs!$B$11)^(CI$2-1),0)</f>
        <v>614.936932712435</v>
      </c>
      <c r="CJ85" s="11" t="n">
        <f aca="false">IF(AND(CJ$1&gt;=Units!$Q84,MOD(CJ$1-Units!$Q84,12)=0),IF(AND(Units!$L84=1,CJ$1=Units!$Q84),1,Inputs!$B$15)*Inputs!$B$16*(1+Inputs!$B$11)^(CJ$2-1),0)</f>
        <v>0</v>
      </c>
      <c r="CK85" s="11" t="n">
        <f aca="false">IF(AND(CK$1&gt;=Units!$Q84,MOD(CK$1-Units!$Q84,12)=0),IF(AND(Units!$L84=1,CK$1=Units!$Q84),1,Inputs!$B$15)*Inputs!$B$16*(1+Inputs!$B$11)^(CK$2-1),0)</f>
        <v>0</v>
      </c>
      <c r="CL85" s="11" t="n">
        <f aca="false">IF(AND(CL$1&gt;=Units!$Q84,MOD(CL$1-Units!$Q84,12)=0),IF(AND(Units!$L84=1,CL$1=Units!$Q84),1,Inputs!$B$15)*Inputs!$B$16*(1+Inputs!$B$11)^(CL$2-1),0)</f>
        <v>0</v>
      </c>
      <c r="CM85" s="11" t="n">
        <f aca="false">IF(AND(CM$1&gt;=Units!$Q84,MOD(CM$1-Units!$Q84,12)=0),IF(AND(Units!$L84=1,CM$1=Units!$Q84),1,Inputs!$B$15)*Inputs!$B$16*(1+Inputs!$B$11)^(CM$2-1),0)</f>
        <v>0</v>
      </c>
      <c r="CN85" s="11" t="n">
        <f aca="false">IF(AND(CN$1&gt;=Units!$Q84,MOD(CN$1-Units!$Q84,12)=0),IF(AND(Units!$L84=1,CN$1=Units!$Q84),1,Inputs!$B$15)*Inputs!$B$16*(1+Inputs!$B$11)^(CN$2-1),0)</f>
        <v>0</v>
      </c>
      <c r="CO85" s="11" t="n">
        <f aca="false">IF(AND(CO$1&gt;=Units!$Q84,MOD(CO$1-Units!$Q84,12)=0),IF(AND(Units!$L84=1,CO$1=Units!$Q84),1,Inputs!$B$15)*Inputs!$B$16*(1+Inputs!$B$11)^(CO$2-1),0)</f>
        <v>0</v>
      </c>
      <c r="CP85" s="11" t="n">
        <f aca="false">IF(AND(CP$1&gt;=Units!$Q84,MOD(CP$1-Units!$Q84,12)=0),IF(AND(Units!$L84=1,CP$1=Units!$Q84),1,Inputs!$B$15)*Inputs!$B$16*(1+Inputs!$B$11)^(CP$2-1),0)</f>
        <v>0</v>
      </c>
      <c r="CQ85" s="11" t="n">
        <f aca="false">IF(AND(CQ$1&gt;=Units!$Q84,MOD(CQ$1-Units!$Q84,12)=0),IF(AND(Units!$L84=1,CQ$1=Units!$Q84),1,Inputs!$B$15)*Inputs!$B$16*(1+Inputs!$B$11)^(CQ$2-1),0)</f>
        <v>0</v>
      </c>
      <c r="CR85" s="11" t="n">
        <f aca="false">IF(AND(CR$1&gt;=Units!$Q84,MOD(CR$1-Units!$Q84,12)=0),IF(AND(Units!$L84=1,CR$1=Units!$Q84),1,Inputs!$B$15)*Inputs!$B$16*(1+Inputs!$B$11)^(CR$2-1),0)</f>
        <v>0</v>
      </c>
      <c r="CS85" s="11" t="n">
        <f aca="false">IF(AND(CS$1&gt;=Units!$Q84,MOD(CS$1-Units!$Q84,12)=0),IF(AND(Units!$L84=1,CS$1=Units!$Q84),1,Inputs!$B$15)*Inputs!$B$16*(1+Inputs!$B$11)^(CS$2-1),0)</f>
        <v>0</v>
      </c>
      <c r="CT85" s="11" t="n">
        <f aca="false">IF(AND(CT$1&gt;=Units!$Q84,MOD(CT$1-Units!$Q84,12)=0),IF(AND(Units!$L84=1,CT$1=Units!$Q84),1,Inputs!$B$15)*Inputs!$B$16*(1+Inputs!$B$11)^(CT$2-1),0)</f>
        <v>0</v>
      </c>
      <c r="CU85" s="11" t="n">
        <f aca="false">IF(AND(CU$1&gt;=Units!$Q84,MOD(CU$1-Units!$Q84,12)=0),IF(AND(Units!$L84=1,CU$1=Units!$Q84),1,Inputs!$B$15)*Inputs!$B$16*(1+Inputs!$B$11)^(CU$2-1),0)</f>
        <v>633.385040693808</v>
      </c>
      <c r="CV85" s="11" t="n">
        <f aca="false">IF(AND(CV$1&gt;=Units!$Q84,MOD(CV$1-Units!$Q84,12)=0),IF(AND(Units!$L84=1,CV$1=Units!$Q84),1,Inputs!$B$15)*Inputs!$B$16*(1+Inputs!$B$11)^(CV$2-1),0)</f>
        <v>0</v>
      </c>
      <c r="CW85" s="11" t="n">
        <f aca="false">IF(AND(CW$1&gt;=Units!$Q84,MOD(CW$1-Units!$Q84,12)=0),IF(AND(Units!$L84=1,CW$1=Units!$Q84),1,Inputs!$B$15)*Inputs!$B$16*(1+Inputs!$B$11)^(CW$2-1),0)</f>
        <v>0</v>
      </c>
      <c r="CX85" s="11" t="n">
        <f aca="false">IF(AND(CX$1&gt;=Units!$Q84,MOD(CX$1-Units!$Q84,12)=0),IF(AND(Units!$L84=1,CX$1=Units!$Q84),1,Inputs!$B$15)*Inputs!$B$16*(1+Inputs!$B$11)^(CX$2-1),0)</f>
        <v>0</v>
      </c>
      <c r="CY85" s="11" t="n">
        <f aca="false">IF(AND(CY$1&gt;=Units!$Q84,MOD(CY$1-Units!$Q84,12)=0),IF(AND(Units!$L84=1,CY$1=Units!$Q84),1,Inputs!$B$15)*Inputs!$B$16*(1+Inputs!$B$11)^(CY$2-1),0)</f>
        <v>0</v>
      </c>
      <c r="CZ85" s="11" t="n">
        <f aca="false">IF(AND(CZ$1&gt;=Units!$Q84,MOD(CZ$1-Units!$Q84,12)=0),IF(AND(Units!$L84=1,CZ$1=Units!$Q84),1,Inputs!$B$15)*Inputs!$B$16*(1+Inputs!$B$11)^(CZ$2-1),0)</f>
        <v>0</v>
      </c>
      <c r="DA85" s="11" t="n">
        <f aca="false">IF(AND(DA$1&gt;=Units!$Q84,MOD(DA$1-Units!$Q84,12)=0),IF(AND(Units!$L84=1,DA$1=Units!$Q84),1,Inputs!$B$15)*Inputs!$B$16*(1+Inputs!$B$11)^(DA$2-1),0)</f>
        <v>0</v>
      </c>
      <c r="DB85" s="11" t="n">
        <f aca="false">IF(AND(DB$1&gt;=Units!$Q84,MOD(DB$1-Units!$Q84,12)=0),IF(AND(Units!$L84=1,DB$1=Units!$Q84),1,Inputs!$B$15)*Inputs!$B$16*(1+Inputs!$B$11)^(DB$2-1),0)</f>
        <v>0</v>
      </c>
      <c r="DC85" s="11" t="n">
        <f aca="false">IF(AND(DC$1&gt;=Units!$Q84,MOD(DC$1-Units!$Q84,12)=0),IF(AND(Units!$L84=1,DC$1=Units!$Q84),1,Inputs!$B$15)*Inputs!$B$16*(1+Inputs!$B$11)^(DC$2-1),0)</f>
        <v>0</v>
      </c>
      <c r="DD85" s="11" t="n">
        <f aca="false">IF(AND(DD$1&gt;=Units!$Q84,MOD(DD$1-Units!$Q84,12)=0),IF(AND(Units!$L84=1,DD$1=Units!$Q84),1,Inputs!$B$15)*Inputs!$B$16*(1+Inputs!$B$11)^(DD$2-1),0)</f>
        <v>0</v>
      </c>
      <c r="DE85" s="11" t="n">
        <f aca="false">IF(AND(DE$1&gt;=Units!$Q84,MOD(DE$1-Units!$Q84,12)=0),IF(AND(Units!$L84=1,DE$1=Units!$Q84),1,Inputs!$B$15)*Inputs!$B$16*(1+Inputs!$B$11)^(DE$2-1),0)</f>
        <v>0</v>
      </c>
      <c r="DF85" s="11" t="n">
        <f aca="false">IF(AND(DF$1&gt;=Units!$Q84,MOD(DF$1-Units!$Q84,12)=0),IF(AND(Units!$L84=1,DF$1=Units!$Q84),1,Inputs!$B$15)*Inputs!$B$16*(1+Inputs!$B$11)^(DF$2-1),0)</f>
        <v>0</v>
      </c>
      <c r="DG85" s="11" t="n">
        <f aca="false">IF(AND(DG$1&gt;=Units!$Q84,MOD(DG$1-Units!$Q84,12)=0),IF(AND(Units!$L84=1,DG$1=Units!$Q84),1,Inputs!$B$15)*Inputs!$B$16*(1+Inputs!$B$11)^(DG$2-1),0)</f>
        <v>652.386591914623</v>
      </c>
      <c r="DH85" s="11" t="n">
        <f aca="false">IF(AND(DH$1&gt;=Units!$Q84,MOD(DH$1-Units!$Q84,12)=0),IF(AND(Units!$L84=1,DH$1=Units!$Q84),1,Inputs!$B$15)*Inputs!$B$16*(1+Inputs!$B$11)^(DH$2-1),0)</f>
        <v>0</v>
      </c>
      <c r="DI85" s="11" t="n">
        <f aca="false">IF(AND(DI$1&gt;=Units!$Q84,MOD(DI$1-Units!$Q84,12)=0),IF(AND(Units!$L84=1,DI$1=Units!$Q84),1,Inputs!$B$15)*Inputs!$B$16*(1+Inputs!$B$11)^(DI$2-1),0)</f>
        <v>0</v>
      </c>
      <c r="DJ85" s="11" t="n">
        <f aca="false">IF(AND(DJ$1&gt;=Units!$Q84,MOD(DJ$1-Units!$Q84,12)=0),IF(AND(Units!$L84=1,DJ$1=Units!$Q84),1,Inputs!$B$15)*Inputs!$B$16*(1+Inputs!$B$11)^(DJ$2-1),0)</f>
        <v>0</v>
      </c>
      <c r="DK85" s="11" t="n">
        <f aca="false">IF(AND(DK$1&gt;=Units!$Q84,MOD(DK$1-Units!$Q84,12)=0),IF(AND(Units!$L84=1,DK$1=Units!$Q84),1,Inputs!$B$15)*Inputs!$B$16*(1+Inputs!$B$11)^(DK$2-1),0)</f>
        <v>0</v>
      </c>
      <c r="DL85" s="11" t="n">
        <f aca="false">IF(AND(DL$1&gt;=Units!$Q84,MOD(DL$1-Units!$Q84,12)=0),IF(AND(Units!$L84=1,DL$1=Units!$Q84),1,Inputs!$B$15)*Inputs!$B$16*(1+Inputs!$B$11)^(DL$2-1),0)</f>
        <v>0</v>
      </c>
      <c r="DM85" s="11" t="n">
        <f aca="false">IF(AND(DM$1&gt;=Units!$Q84,MOD(DM$1-Units!$Q84,12)=0),IF(AND(Units!$L84=1,DM$1=Units!$Q84),1,Inputs!$B$15)*Inputs!$B$16*(1+Inputs!$B$11)^(DM$2-1),0)</f>
        <v>0</v>
      </c>
      <c r="DN85" s="11" t="n">
        <f aca="false">IF(AND(DN$1&gt;=Units!$Q84,MOD(DN$1-Units!$Q84,12)=0),IF(AND(Units!$L84=1,DN$1=Units!$Q84),1,Inputs!$B$15)*Inputs!$B$16*(1+Inputs!$B$11)^(DN$2-1),0)</f>
        <v>0</v>
      </c>
      <c r="DO85" s="11" t="n">
        <f aca="false">IF(AND(DO$1&gt;=Units!$Q84,MOD(DO$1-Units!$Q84,12)=0),IF(AND(Units!$L84=1,DO$1=Units!$Q84),1,Inputs!$B$15)*Inputs!$B$16*(1+Inputs!$B$11)^(DO$2-1),0)</f>
        <v>0</v>
      </c>
      <c r="DP85" s="11" t="n">
        <f aca="false">IF(AND(DP$1&gt;=Units!$Q84,MOD(DP$1-Units!$Q84,12)=0),IF(AND(Units!$L84=1,DP$1=Units!$Q84),1,Inputs!$B$15)*Inputs!$B$16*(1+Inputs!$B$11)^(DP$2-1),0)</f>
        <v>0</v>
      </c>
      <c r="DQ85" s="11" t="n">
        <f aca="false">IF(AND(DQ$1&gt;=Units!$Q84,MOD(DQ$1-Units!$Q84,12)=0),IF(AND(Units!$L84=1,DQ$1=Units!$Q84),1,Inputs!$B$15)*Inputs!$B$16*(1+Inputs!$B$11)^(DQ$2-1),0)</f>
        <v>0</v>
      </c>
      <c r="DR85" s="11" t="n">
        <f aca="false">IF(AND(DR$1&gt;=Units!$Q84,MOD(DR$1-Units!$Q84,12)=0),IF(AND(Units!$L84=1,DR$1=Units!$Q84),1,Inputs!$B$15)*Inputs!$B$16*(1+Inputs!$B$11)^(DR$2-1),0)</f>
        <v>0</v>
      </c>
      <c r="DS85" s="11" t="n">
        <f aca="false">IF(AND(DS$1&gt;=Units!$Q84,MOD(DS$1-Units!$Q84,12)=0),IF(AND(Units!$L84=1,DS$1=Units!$Q84),1,Inputs!$B$15)*Inputs!$B$16*(1+Inputs!$B$11)^(DS$2-1),0)</f>
        <v>671.958189672061</v>
      </c>
      <c r="DT85" s="11" t="n">
        <f aca="false">IF(AND(DT$1&gt;=Units!$Q84,MOD(DT$1-Units!$Q84,12)=0),IF(AND(Units!$L84=1,DT$1=Units!$Q84),1,Inputs!$B$15)*Inputs!$B$16*(1+Inputs!$B$11)^(DT$2-1),0)</f>
        <v>0</v>
      </c>
      <c r="DU85" s="11" t="n">
        <f aca="false">IF(AND(DU$1&gt;=Units!$Q84,MOD(DU$1-Units!$Q84,12)=0),IF(AND(Units!$L84=1,DU$1=Units!$Q84),1,Inputs!$B$15)*Inputs!$B$16*(1+Inputs!$B$11)^(DU$2-1),0)</f>
        <v>0</v>
      </c>
      <c r="DV85" s="11" t="n">
        <f aca="false">IF(AND(DV$1&gt;=Units!$Q84,MOD(DV$1-Units!$Q84,12)=0),IF(AND(Units!$L84=1,DV$1=Units!$Q84),1,Inputs!$B$15)*Inputs!$B$16*(1+Inputs!$B$11)^(DV$2-1),0)</f>
        <v>0</v>
      </c>
      <c r="DW85" s="11" t="n">
        <f aca="false">IF(AND(DW$1&gt;=Units!$Q84,MOD(DW$1-Units!$Q84,12)=0),IF(AND(Units!$L84=1,DW$1=Units!$Q84),1,Inputs!$B$15)*Inputs!$B$16*(1+Inputs!$B$11)^(DW$2-1),0)</f>
        <v>0</v>
      </c>
      <c r="DX85" s="11" t="n">
        <f aca="false">IF(AND(DX$1&gt;=Units!$Q84,MOD(DX$1-Units!$Q84,12)=0),IF(AND(Units!$L84=1,DX$1=Units!$Q84),1,Inputs!$B$15)*Inputs!$B$16*(1+Inputs!$B$11)^(DX$2-1),0)</f>
        <v>0</v>
      </c>
      <c r="DY85" s="11" t="n">
        <f aca="false">IF(AND(DY$1&gt;=Units!$Q84,MOD(DY$1-Units!$Q84,12)=0),IF(AND(Units!$L84=1,DY$1=Units!$Q84),1,Inputs!$B$15)*Inputs!$B$16*(1+Inputs!$B$11)^(DY$2-1),0)</f>
        <v>0</v>
      </c>
      <c r="DZ85" s="11" t="n">
        <f aca="false">IF(AND(DZ$1&gt;=Units!$Q84,MOD(DZ$1-Units!$Q84,12)=0),IF(AND(Units!$L84=1,DZ$1=Units!$Q84),1,Inputs!$B$15)*Inputs!$B$16*(1+Inputs!$B$11)^(DZ$2-1),0)</f>
        <v>0</v>
      </c>
      <c r="EA85" s="11" t="n">
        <f aca="false">IF(AND(EA$1&gt;=Units!$Q84,MOD(EA$1-Units!$Q84,12)=0),IF(AND(Units!$L84=1,EA$1=Units!$Q84),1,Inputs!$B$15)*Inputs!$B$16*(1+Inputs!$B$11)^(EA$2-1),0)</f>
        <v>0</v>
      </c>
      <c r="EB85" s="11" t="n">
        <f aca="false">IF(AND(EB$1&gt;=Units!$Q84,MOD(EB$1-Units!$Q84,12)=0),IF(AND(Units!$L84=1,EB$1=Units!$Q84),1,Inputs!$B$15)*Inputs!$B$16*(1+Inputs!$B$11)^(EB$2-1),0)</f>
        <v>0</v>
      </c>
      <c r="EC85" s="11" t="n">
        <f aca="false">IF(AND(EC$1&gt;=Units!$Q84,MOD(EC$1-Units!$Q84,12)=0),IF(AND(Units!$L84=1,EC$1=Units!$Q84),1,Inputs!$B$15)*Inputs!$B$16*(1+Inputs!$B$11)^(EC$2-1),0)</f>
        <v>0</v>
      </c>
      <c r="ED85" s="11" t="n">
        <f aca="false">IF(AND(ED$1&gt;=Units!$Q84,MOD(ED$1-Units!$Q84,12)=0),IF(AND(Units!$L84=1,ED$1=Units!$Q84),1,Inputs!$B$15)*Inputs!$B$16*(1+Inputs!$B$11)^(ED$2-1),0)</f>
        <v>0</v>
      </c>
    </row>
    <row r="86" customFormat="false" ht="15" hidden="false" customHeight="false" outlineLevel="0" collapsed="false">
      <c r="A86" s="22" t="n">
        <f aca="false">Units!A85</f>
        <v>324</v>
      </c>
      <c r="B86" s="23"/>
      <c r="C86" s="11" t="n">
        <f aca="false">IF(AND(C$1&gt;=Units!$Q85,MOD(C$1-Units!$Q85,12)=0),IF(AND(Units!$L85=1,C$1=Units!$Q85),1,Inputs!$B$15)*Inputs!$B$16*(1+Inputs!$B$11)^(C$2-1),0)</f>
        <v>0</v>
      </c>
      <c r="D86" s="11" t="n">
        <f aca="false">IF(AND(D$1&gt;=Units!$Q85,MOD(D$1-Units!$Q85,12)=0),IF(AND(Units!$L85=1,D$1=Units!$Q85),1,Inputs!$B$15)*Inputs!$B$16*(1+Inputs!$B$11)^(D$2-1),0)</f>
        <v>0</v>
      </c>
      <c r="E86" s="11" t="n">
        <f aca="false">IF(AND(E$1&gt;=Units!$Q85,MOD(E$1-Units!$Q85,12)=0),IF(AND(Units!$L85=1,E$1=Units!$Q85),1,Inputs!$B$15)*Inputs!$B$16*(1+Inputs!$B$11)^(E$2-1),0)</f>
        <v>0</v>
      </c>
      <c r="F86" s="11" t="n">
        <f aca="false">IF(AND(F$1&gt;=Units!$Q85,MOD(F$1-Units!$Q85,12)=0),IF(AND(Units!$L85=1,F$1=Units!$Q85),1,Inputs!$B$15)*Inputs!$B$16*(1+Inputs!$B$11)^(F$2-1),0)</f>
        <v>0</v>
      </c>
      <c r="G86" s="11" t="n">
        <f aca="false">IF(AND(G$1&gt;=Units!$Q85,MOD(G$1-Units!$Q85,12)=0),IF(AND(Units!$L85=1,G$1=Units!$Q85),1,Inputs!$B$15)*Inputs!$B$16*(1+Inputs!$B$11)^(G$2-1),0)</f>
        <v>0</v>
      </c>
      <c r="H86" s="11" t="n">
        <f aca="false">IF(AND(H$1&gt;=Units!$Q85,MOD(H$1-Units!$Q85,12)=0),IF(AND(Units!$L85=1,H$1=Units!$Q85),1,Inputs!$B$15)*Inputs!$B$16*(1+Inputs!$B$11)^(H$2-1),0)</f>
        <v>0</v>
      </c>
      <c r="I86" s="11" t="n">
        <f aca="false">IF(AND(I$1&gt;=Units!$Q85,MOD(I$1-Units!$Q85,12)=0),IF(AND(Units!$L85=1,I$1=Units!$Q85),1,Inputs!$B$15)*Inputs!$B$16*(1+Inputs!$B$11)^(I$2-1),0)</f>
        <v>0</v>
      </c>
      <c r="J86" s="11" t="n">
        <f aca="false">IF(AND(J$1&gt;=Units!$Q85,MOD(J$1-Units!$Q85,12)=0),IF(AND(Units!$L85=1,J$1=Units!$Q85),1,Inputs!$B$15)*Inputs!$B$16*(1+Inputs!$B$11)^(J$2-1),0)</f>
        <v>0</v>
      </c>
      <c r="K86" s="11" t="n">
        <f aca="false">IF(AND(K$1&gt;=Units!$Q85,MOD(K$1-Units!$Q85,12)=0),IF(AND(Units!$L85=1,K$1=Units!$Q85),1,Inputs!$B$15)*Inputs!$B$16*(1+Inputs!$B$11)^(K$2-1),0)</f>
        <v>0</v>
      </c>
      <c r="L86" s="11" t="n">
        <f aca="false">IF(AND(L$1&gt;=Units!$Q85,MOD(L$1-Units!$Q85,12)=0),IF(AND(Units!$L85=1,L$1=Units!$Q85),1,Inputs!$B$15)*Inputs!$B$16*(1+Inputs!$B$11)^(L$2-1),0)</f>
        <v>0</v>
      </c>
      <c r="M86" s="11" t="n">
        <f aca="false">IF(AND(M$1&gt;=Units!$Q85,MOD(M$1-Units!$Q85,12)=0),IF(AND(Units!$L85=1,M$1=Units!$Q85),1,Inputs!$B$15)*Inputs!$B$16*(1+Inputs!$B$11)^(M$2-1),0)</f>
        <v>0</v>
      </c>
      <c r="N86" s="11" t="n">
        <f aca="false">IF(AND(N$1&gt;=Units!$Q85,MOD(N$1-Units!$Q85,12)=0),IF(AND(Units!$L85=1,N$1=Units!$Q85),1,Inputs!$B$15)*Inputs!$B$16*(1+Inputs!$B$11)^(N$2-1),0)</f>
        <v>500</v>
      </c>
      <c r="O86" s="11" t="n">
        <f aca="false">IF(AND(O$1&gt;=Units!$Q85,MOD(O$1-Units!$Q85,12)=0),IF(AND(Units!$L85=1,O$1=Units!$Q85),1,Inputs!$B$15)*Inputs!$B$16*(1+Inputs!$B$11)^(O$2-1),0)</f>
        <v>0</v>
      </c>
      <c r="P86" s="11" t="n">
        <f aca="false">IF(AND(P$1&gt;=Units!$Q85,MOD(P$1-Units!$Q85,12)=0),IF(AND(Units!$L85=1,P$1=Units!$Q85),1,Inputs!$B$15)*Inputs!$B$16*(1+Inputs!$B$11)^(P$2-1),0)</f>
        <v>0</v>
      </c>
      <c r="Q86" s="11" t="n">
        <f aca="false">IF(AND(Q$1&gt;=Units!$Q85,MOD(Q$1-Units!$Q85,12)=0),IF(AND(Units!$L85=1,Q$1=Units!$Q85),1,Inputs!$B$15)*Inputs!$B$16*(1+Inputs!$B$11)^(Q$2-1),0)</f>
        <v>0</v>
      </c>
      <c r="R86" s="11" t="n">
        <f aca="false">IF(AND(R$1&gt;=Units!$Q85,MOD(R$1-Units!$Q85,12)=0),IF(AND(Units!$L85=1,R$1=Units!$Q85),1,Inputs!$B$15)*Inputs!$B$16*(1+Inputs!$B$11)^(R$2-1),0)</f>
        <v>0</v>
      </c>
      <c r="S86" s="11" t="n">
        <f aca="false">IF(AND(S$1&gt;=Units!$Q85,MOD(S$1-Units!$Q85,12)=0),IF(AND(Units!$L85=1,S$1=Units!$Q85),1,Inputs!$B$15)*Inputs!$B$16*(1+Inputs!$B$11)^(S$2-1),0)</f>
        <v>0</v>
      </c>
      <c r="T86" s="11" t="n">
        <f aca="false">IF(AND(T$1&gt;=Units!$Q85,MOD(T$1-Units!$Q85,12)=0),IF(AND(Units!$L85=1,T$1=Units!$Q85),1,Inputs!$B$15)*Inputs!$B$16*(1+Inputs!$B$11)^(T$2-1),0)</f>
        <v>0</v>
      </c>
      <c r="U86" s="11" t="n">
        <f aca="false">IF(AND(U$1&gt;=Units!$Q85,MOD(U$1-Units!$Q85,12)=0),IF(AND(Units!$L85=1,U$1=Units!$Q85),1,Inputs!$B$15)*Inputs!$B$16*(1+Inputs!$B$11)^(U$2-1),0)</f>
        <v>0</v>
      </c>
      <c r="V86" s="11" t="n">
        <f aca="false">IF(AND(V$1&gt;=Units!$Q85,MOD(V$1-Units!$Q85,12)=0),IF(AND(Units!$L85=1,V$1=Units!$Q85),1,Inputs!$B$15)*Inputs!$B$16*(1+Inputs!$B$11)^(V$2-1),0)</f>
        <v>0</v>
      </c>
      <c r="W86" s="11" t="n">
        <f aca="false">IF(AND(W$1&gt;=Units!$Q85,MOD(W$1-Units!$Q85,12)=0),IF(AND(Units!$L85=1,W$1=Units!$Q85),1,Inputs!$B$15)*Inputs!$B$16*(1+Inputs!$B$11)^(W$2-1),0)</f>
        <v>0</v>
      </c>
      <c r="X86" s="11" t="n">
        <f aca="false">IF(AND(X$1&gt;=Units!$Q85,MOD(X$1-Units!$Q85,12)=0),IF(AND(Units!$L85=1,X$1=Units!$Q85),1,Inputs!$B$15)*Inputs!$B$16*(1+Inputs!$B$11)^(X$2-1),0)</f>
        <v>0</v>
      </c>
      <c r="Y86" s="11" t="n">
        <f aca="false">IF(AND(Y$1&gt;=Units!$Q85,MOD(Y$1-Units!$Q85,12)=0),IF(AND(Units!$L85=1,Y$1=Units!$Q85),1,Inputs!$B$15)*Inputs!$B$16*(1+Inputs!$B$11)^(Y$2-1),0)</f>
        <v>0</v>
      </c>
      <c r="Z86" s="11" t="n">
        <f aca="false">IF(AND(Z$1&gt;=Units!$Q85,MOD(Z$1-Units!$Q85,12)=0),IF(AND(Units!$L85=1,Z$1=Units!$Q85),1,Inputs!$B$15)*Inputs!$B$16*(1+Inputs!$B$11)^(Z$2-1),0)</f>
        <v>515</v>
      </c>
      <c r="AA86" s="11" t="n">
        <f aca="false">IF(AND(AA$1&gt;=Units!$Q85,MOD(AA$1-Units!$Q85,12)=0),IF(AND(Units!$L85=1,AA$1=Units!$Q85),1,Inputs!$B$15)*Inputs!$B$16*(1+Inputs!$B$11)^(AA$2-1),0)</f>
        <v>0</v>
      </c>
      <c r="AB86" s="11" t="n">
        <f aca="false">IF(AND(AB$1&gt;=Units!$Q85,MOD(AB$1-Units!$Q85,12)=0),IF(AND(Units!$L85=1,AB$1=Units!$Q85),1,Inputs!$B$15)*Inputs!$B$16*(1+Inputs!$B$11)^(AB$2-1),0)</f>
        <v>0</v>
      </c>
      <c r="AC86" s="11" t="n">
        <f aca="false">IF(AND(AC$1&gt;=Units!$Q85,MOD(AC$1-Units!$Q85,12)=0),IF(AND(Units!$L85=1,AC$1=Units!$Q85),1,Inputs!$B$15)*Inputs!$B$16*(1+Inputs!$B$11)^(AC$2-1),0)</f>
        <v>0</v>
      </c>
      <c r="AD86" s="11" t="n">
        <f aca="false">IF(AND(AD$1&gt;=Units!$Q85,MOD(AD$1-Units!$Q85,12)=0),IF(AND(Units!$L85=1,AD$1=Units!$Q85),1,Inputs!$B$15)*Inputs!$B$16*(1+Inputs!$B$11)^(AD$2-1),0)</f>
        <v>0</v>
      </c>
      <c r="AE86" s="11" t="n">
        <f aca="false">IF(AND(AE$1&gt;=Units!$Q85,MOD(AE$1-Units!$Q85,12)=0),IF(AND(Units!$L85=1,AE$1=Units!$Q85),1,Inputs!$B$15)*Inputs!$B$16*(1+Inputs!$B$11)^(AE$2-1),0)</f>
        <v>0</v>
      </c>
      <c r="AF86" s="11" t="n">
        <f aca="false">IF(AND(AF$1&gt;=Units!$Q85,MOD(AF$1-Units!$Q85,12)=0),IF(AND(Units!$L85=1,AF$1=Units!$Q85),1,Inputs!$B$15)*Inputs!$B$16*(1+Inputs!$B$11)^(AF$2-1),0)</f>
        <v>0</v>
      </c>
      <c r="AG86" s="11" t="n">
        <f aca="false">IF(AND(AG$1&gt;=Units!$Q85,MOD(AG$1-Units!$Q85,12)=0),IF(AND(Units!$L85=1,AG$1=Units!$Q85),1,Inputs!$B$15)*Inputs!$B$16*(1+Inputs!$B$11)^(AG$2-1),0)</f>
        <v>0</v>
      </c>
      <c r="AH86" s="11" t="n">
        <f aca="false">IF(AND(AH$1&gt;=Units!$Q85,MOD(AH$1-Units!$Q85,12)=0),IF(AND(Units!$L85=1,AH$1=Units!$Q85),1,Inputs!$B$15)*Inputs!$B$16*(1+Inputs!$B$11)^(AH$2-1),0)</f>
        <v>0</v>
      </c>
      <c r="AI86" s="11" t="n">
        <f aca="false">IF(AND(AI$1&gt;=Units!$Q85,MOD(AI$1-Units!$Q85,12)=0),IF(AND(Units!$L85=1,AI$1=Units!$Q85),1,Inputs!$B$15)*Inputs!$B$16*(1+Inputs!$B$11)^(AI$2-1),0)</f>
        <v>0</v>
      </c>
      <c r="AJ86" s="11" t="n">
        <f aca="false">IF(AND(AJ$1&gt;=Units!$Q85,MOD(AJ$1-Units!$Q85,12)=0),IF(AND(Units!$L85=1,AJ$1=Units!$Q85),1,Inputs!$B$15)*Inputs!$B$16*(1+Inputs!$B$11)^(AJ$2-1),0)</f>
        <v>0</v>
      </c>
      <c r="AK86" s="11" t="n">
        <f aca="false">IF(AND(AK$1&gt;=Units!$Q85,MOD(AK$1-Units!$Q85,12)=0),IF(AND(Units!$L85=1,AK$1=Units!$Q85),1,Inputs!$B$15)*Inputs!$B$16*(1+Inputs!$B$11)^(AK$2-1),0)</f>
        <v>0</v>
      </c>
      <c r="AL86" s="11" t="n">
        <f aca="false">IF(AND(AL$1&gt;=Units!$Q85,MOD(AL$1-Units!$Q85,12)=0),IF(AND(Units!$L85=1,AL$1=Units!$Q85),1,Inputs!$B$15)*Inputs!$B$16*(1+Inputs!$B$11)^(AL$2-1),0)</f>
        <v>530.45</v>
      </c>
      <c r="AM86" s="11" t="n">
        <f aca="false">IF(AND(AM$1&gt;=Units!$Q85,MOD(AM$1-Units!$Q85,12)=0),IF(AND(Units!$L85=1,AM$1=Units!$Q85),1,Inputs!$B$15)*Inputs!$B$16*(1+Inputs!$B$11)^(AM$2-1),0)</f>
        <v>0</v>
      </c>
      <c r="AN86" s="11" t="n">
        <f aca="false">IF(AND(AN$1&gt;=Units!$Q85,MOD(AN$1-Units!$Q85,12)=0),IF(AND(Units!$L85=1,AN$1=Units!$Q85),1,Inputs!$B$15)*Inputs!$B$16*(1+Inputs!$B$11)^(AN$2-1),0)</f>
        <v>0</v>
      </c>
      <c r="AO86" s="11" t="n">
        <f aca="false">IF(AND(AO$1&gt;=Units!$Q85,MOD(AO$1-Units!$Q85,12)=0),IF(AND(Units!$L85=1,AO$1=Units!$Q85),1,Inputs!$B$15)*Inputs!$B$16*(1+Inputs!$B$11)^(AO$2-1),0)</f>
        <v>0</v>
      </c>
      <c r="AP86" s="11" t="n">
        <f aca="false">IF(AND(AP$1&gt;=Units!$Q85,MOD(AP$1-Units!$Q85,12)=0),IF(AND(Units!$L85=1,AP$1=Units!$Q85),1,Inputs!$B$15)*Inputs!$B$16*(1+Inputs!$B$11)^(AP$2-1),0)</f>
        <v>0</v>
      </c>
      <c r="AQ86" s="11" t="n">
        <f aca="false">IF(AND(AQ$1&gt;=Units!$Q85,MOD(AQ$1-Units!$Q85,12)=0),IF(AND(Units!$L85=1,AQ$1=Units!$Q85),1,Inputs!$B$15)*Inputs!$B$16*(1+Inputs!$B$11)^(AQ$2-1),0)</f>
        <v>0</v>
      </c>
      <c r="AR86" s="11" t="n">
        <f aca="false">IF(AND(AR$1&gt;=Units!$Q85,MOD(AR$1-Units!$Q85,12)=0),IF(AND(Units!$L85=1,AR$1=Units!$Q85),1,Inputs!$B$15)*Inputs!$B$16*(1+Inputs!$B$11)^(AR$2-1),0)</f>
        <v>0</v>
      </c>
      <c r="AS86" s="11" t="n">
        <f aca="false">IF(AND(AS$1&gt;=Units!$Q85,MOD(AS$1-Units!$Q85,12)=0),IF(AND(Units!$L85=1,AS$1=Units!$Q85),1,Inputs!$B$15)*Inputs!$B$16*(1+Inputs!$B$11)^(AS$2-1),0)</f>
        <v>0</v>
      </c>
      <c r="AT86" s="11" t="n">
        <f aca="false">IF(AND(AT$1&gt;=Units!$Q85,MOD(AT$1-Units!$Q85,12)=0),IF(AND(Units!$L85=1,AT$1=Units!$Q85),1,Inputs!$B$15)*Inputs!$B$16*(1+Inputs!$B$11)^(AT$2-1),0)</f>
        <v>0</v>
      </c>
      <c r="AU86" s="11" t="n">
        <f aca="false">IF(AND(AU$1&gt;=Units!$Q85,MOD(AU$1-Units!$Q85,12)=0),IF(AND(Units!$L85=1,AU$1=Units!$Q85),1,Inputs!$B$15)*Inputs!$B$16*(1+Inputs!$B$11)^(AU$2-1),0)</f>
        <v>0</v>
      </c>
      <c r="AV86" s="11" t="n">
        <f aca="false">IF(AND(AV$1&gt;=Units!$Q85,MOD(AV$1-Units!$Q85,12)=0),IF(AND(Units!$L85=1,AV$1=Units!$Q85),1,Inputs!$B$15)*Inputs!$B$16*(1+Inputs!$B$11)^(AV$2-1),0)</f>
        <v>0</v>
      </c>
      <c r="AW86" s="11" t="n">
        <f aca="false">IF(AND(AW$1&gt;=Units!$Q85,MOD(AW$1-Units!$Q85,12)=0),IF(AND(Units!$L85=1,AW$1=Units!$Q85),1,Inputs!$B$15)*Inputs!$B$16*(1+Inputs!$B$11)^(AW$2-1),0)</f>
        <v>0</v>
      </c>
      <c r="AX86" s="11" t="n">
        <f aca="false">IF(AND(AX$1&gt;=Units!$Q85,MOD(AX$1-Units!$Q85,12)=0),IF(AND(Units!$L85=1,AX$1=Units!$Q85),1,Inputs!$B$15)*Inputs!$B$16*(1+Inputs!$B$11)^(AX$2-1),0)</f>
        <v>546.3635</v>
      </c>
      <c r="AY86" s="11" t="n">
        <f aca="false">IF(AND(AY$1&gt;=Units!$Q85,MOD(AY$1-Units!$Q85,12)=0),IF(AND(Units!$L85=1,AY$1=Units!$Q85),1,Inputs!$B$15)*Inputs!$B$16*(1+Inputs!$B$11)^(AY$2-1),0)</f>
        <v>0</v>
      </c>
      <c r="AZ86" s="11" t="n">
        <f aca="false">IF(AND(AZ$1&gt;=Units!$Q85,MOD(AZ$1-Units!$Q85,12)=0),IF(AND(Units!$L85=1,AZ$1=Units!$Q85),1,Inputs!$B$15)*Inputs!$B$16*(1+Inputs!$B$11)^(AZ$2-1),0)</f>
        <v>0</v>
      </c>
      <c r="BA86" s="11" t="n">
        <f aca="false">IF(AND(BA$1&gt;=Units!$Q85,MOD(BA$1-Units!$Q85,12)=0),IF(AND(Units!$L85=1,BA$1=Units!$Q85),1,Inputs!$B$15)*Inputs!$B$16*(1+Inputs!$B$11)^(BA$2-1),0)</f>
        <v>0</v>
      </c>
      <c r="BB86" s="11" t="n">
        <f aca="false">IF(AND(BB$1&gt;=Units!$Q85,MOD(BB$1-Units!$Q85,12)=0),IF(AND(Units!$L85=1,BB$1=Units!$Q85),1,Inputs!$B$15)*Inputs!$B$16*(1+Inputs!$B$11)^(BB$2-1),0)</f>
        <v>0</v>
      </c>
      <c r="BC86" s="11" t="n">
        <f aca="false">IF(AND(BC$1&gt;=Units!$Q85,MOD(BC$1-Units!$Q85,12)=0),IF(AND(Units!$L85=1,BC$1=Units!$Q85),1,Inputs!$B$15)*Inputs!$B$16*(1+Inputs!$B$11)^(BC$2-1),0)</f>
        <v>0</v>
      </c>
      <c r="BD86" s="11" t="n">
        <f aca="false">IF(AND(BD$1&gt;=Units!$Q85,MOD(BD$1-Units!$Q85,12)=0),IF(AND(Units!$L85=1,BD$1=Units!$Q85),1,Inputs!$B$15)*Inputs!$B$16*(1+Inputs!$B$11)^(BD$2-1),0)</f>
        <v>0</v>
      </c>
      <c r="BE86" s="11" t="n">
        <f aca="false">IF(AND(BE$1&gt;=Units!$Q85,MOD(BE$1-Units!$Q85,12)=0),IF(AND(Units!$L85=1,BE$1=Units!$Q85),1,Inputs!$B$15)*Inputs!$B$16*(1+Inputs!$B$11)^(BE$2-1),0)</f>
        <v>0</v>
      </c>
      <c r="BF86" s="11" t="n">
        <f aca="false">IF(AND(BF$1&gt;=Units!$Q85,MOD(BF$1-Units!$Q85,12)=0),IF(AND(Units!$L85=1,BF$1=Units!$Q85),1,Inputs!$B$15)*Inputs!$B$16*(1+Inputs!$B$11)^(BF$2-1),0)</f>
        <v>0</v>
      </c>
      <c r="BG86" s="11" t="n">
        <f aca="false">IF(AND(BG$1&gt;=Units!$Q85,MOD(BG$1-Units!$Q85,12)=0),IF(AND(Units!$L85=1,BG$1=Units!$Q85),1,Inputs!$B$15)*Inputs!$B$16*(1+Inputs!$B$11)^(BG$2-1),0)</f>
        <v>0</v>
      </c>
      <c r="BH86" s="11" t="n">
        <f aca="false">IF(AND(BH$1&gt;=Units!$Q85,MOD(BH$1-Units!$Q85,12)=0),IF(AND(Units!$L85=1,BH$1=Units!$Q85),1,Inputs!$B$15)*Inputs!$B$16*(1+Inputs!$B$11)^(BH$2-1),0)</f>
        <v>0</v>
      </c>
      <c r="BI86" s="11" t="n">
        <f aca="false">IF(AND(BI$1&gt;=Units!$Q85,MOD(BI$1-Units!$Q85,12)=0),IF(AND(Units!$L85=1,BI$1=Units!$Q85),1,Inputs!$B$15)*Inputs!$B$16*(1+Inputs!$B$11)^(BI$2-1),0)</f>
        <v>0</v>
      </c>
      <c r="BJ86" s="11" t="n">
        <f aca="false">IF(AND(BJ$1&gt;=Units!$Q85,MOD(BJ$1-Units!$Q85,12)=0),IF(AND(Units!$L85=1,BJ$1=Units!$Q85),1,Inputs!$B$15)*Inputs!$B$16*(1+Inputs!$B$11)^(BJ$2-1),0)</f>
        <v>562.754405</v>
      </c>
      <c r="BK86" s="11" t="n">
        <f aca="false">IF(AND(BK$1&gt;=Units!$Q85,MOD(BK$1-Units!$Q85,12)=0),IF(AND(Units!$L85=1,BK$1=Units!$Q85),1,Inputs!$B$15)*Inputs!$B$16*(1+Inputs!$B$11)^(BK$2-1),0)</f>
        <v>0</v>
      </c>
      <c r="BL86" s="11" t="n">
        <f aca="false">IF(AND(BL$1&gt;=Units!$Q85,MOD(BL$1-Units!$Q85,12)=0),IF(AND(Units!$L85=1,BL$1=Units!$Q85),1,Inputs!$B$15)*Inputs!$B$16*(1+Inputs!$B$11)^(BL$2-1),0)</f>
        <v>0</v>
      </c>
      <c r="BM86" s="11" t="n">
        <f aca="false">IF(AND(BM$1&gt;=Units!$Q85,MOD(BM$1-Units!$Q85,12)=0),IF(AND(Units!$L85=1,BM$1=Units!$Q85),1,Inputs!$B$15)*Inputs!$B$16*(1+Inputs!$B$11)^(BM$2-1),0)</f>
        <v>0</v>
      </c>
      <c r="BN86" s="11" t="n">
        <f aca="false">IF(AND(BN$1&gt;=Units!$Q85,MOD(BN$1-Units!$Q85,12)=0),IF(AND(Units!$L85=1,BN$1=Units!$Q85),1,Inputs!$B$15)*Inputs!$B$16*(1+Inputs!$B$11)^(BN$2-1),0)</f>
        <v>0</v>
      </c>
      <c r="BO86" s="11" t="n">
        <f aca="false">IF(AND(BO$1&gt;=Units!$Q85,MOD(BO$1-Units!$Q85,12)=0),IF(AND(Units!$L85=1,BO$1=Units!$Q85),1,Inputs!$B$15)*Inputs!$B$16*(1+Inputs!$B$11)^(BO$2-1),0)</f>
        <v>0</v>
      </c>
      <c r="BP86" s="11" t="n">
        <f aca="false">IF(AND(BP$1&gt;=Units!$Q85,MOD(BP$1-Units!$Q85,12)=0),IF(AND(Units!$L85=1,BP$1=Units!$Q85),1,Inputs!$B$15)*Inputs!$B$16*(1+Inputs!$B$11)^(BP$2-1),0)</f>
        <v>0</v>
      </c>
      <c r="BQ86" s="11" t="n">
        <f aca="false">IF(AND(BQ$1&gt;=Units!$Q85,MOD(BQ$1-Units!$Q85,12)=0),IF(AND(Units!$L85=1,BQ$1=Units!$Q85),1,Inputs!$B$15)*Inputs!$B$16*(1+Inputs!$B$11)^(BQ$2-1),0)</f>
        <v>0</v>
      </c>
      <c r="BR86" s="11" t="n">
        <f aca="false">IF(AND(BR$1&gt;=Units!$Q85,MOD(BR$1-Units!$Q85,12)=0),IF(AND(Units!$L85=1,BR$1=Units!$Q85),1,Inputs!$B$15)*Inputs!$B$16*(1+Inputs!$B$11)^(BR$2-1),0)</f>
        <v>0</v>
      </c>
      <c r="BS86" s="11" t="n">
        <f aca="false">IF(AND(BS$1&gt;=Units!$Q85,MOD(BS$1-Units!$Q85,12)=0),IF(AND(Units!$L85=1,BS$1=Units!$Q85),1,Inputs!$B$15)*Inputs!$B$16*(1+Inputs!$B$11)^(BS$2-1),0)</f>
        <v>0</v>
      </c>
      <c r="BT86" s="11" t="n">
        <f aca="false">IF(AND(BT$1&gt;=Units!$Q85,MOD(BT$1-Units!$Q85,12)=0),IF(AND(Units!$L85=1,BT$1=Units!$Q85),1,Inputs!$B$15)*Inputs!$B$16*(1+Inputs!$B$11)^(BT$2-1),0)</f>
        <v>0</v>
      </c>
      <c r="BU86" s="11" t="n">
        <f aca="false">IF(AND(BU$1&gt;=Units!$Q85,MOD(BU$1-Units!$Q85,12)=0),IF(AND(Units!$L85=1,BU$1=Units!$Q85),1,Inputs!$B$15)*Inputs!$B$16*(1+Inputs!$B$11)^(BU$2-1),0)</f>
        <v>0</v>
      </c>
      <c r="BV86" s="11" t="n">
        <f aca="false">IF(AND(BV$1&gt;=Units!$Q85,MOD(BV$1-Units!$Q85,12)=0),IF(AND(Units!$L85=1,BV$1=Units!$Q85),1,Inputs!$B$15)*Inputs!$B$16*(1+Inputs!$B$11)^(BV$2-1),0)</f>
        <v>579.63703715</v>
      </c>
      <c r="BW86" s="11" t="n">
        <f aca="false">IF(AND(BW$1&gt;=Units!$Q85,MOD(BW$1-Units!$Q85,12)=0),IF(AND(Units!$L85=1,BW$1=Units!$Q85),1,Inputs!$B$15)*Inputs!$B$16*(1+Inputs!$B$11)^(BW$2-1),0)</f>
        <v>0</v>
      </c>
      <c r="BX86" s="11" t="n">
        <f aca="false">IF(AND(BX$1&gt;=Units!$Q85,MOD(BX$1-Units!$Q85,12)=0),IF(AND(Units!$L85=1,BX$1=Units!$Q85),1,Inputs!$B$15)*Inputs!$B$16*(1+Inputs!$B$11)^(BX$2-1),0)</f>
        <v>0</v>
      </c>
      <c r="BY86" s="11" t="n">
        <f aca="false">IF(AND(BY$1&gt;=Units!$Q85,MOD(BY$1-Units!$Q85,12)=0),IF(AND(Units!$L85=1,BY$1=Units!$Q85),1,Inputs!$B$15)*Inputs!$B$16*(1+Inputs!$B$11)^(BY$2-1),0)</f>
        <v>0</v>
      </c>
      <c r="BZ86" s="11" t="n">
        <f aca="false">IF(AND(BZ$1&gt;=Units!$Q85,MOD(BZ$1-Units!$Q85,12)=0),IF(AND(Units!$L85=1,BZ$1=Units!$Q85),1,Inputs!$B$15)*Inputs!$B$16*(1+Inputs!$B$11)^(BZ$2-1),0)</f>
        <v>0</v>
      </c>
      <c r="CA86" s="11" t="n">
        <f aca="false">IF(AND(CA$1&gt;=Units!$Q85,MOD(CA$1-Units!$Q85,12)=0),IF(AND(Units!$L85=1,CA$1=Units!$Q85),1,Inputs!$B$15)*Inputs!$B$16*(1+Inputs!$B$11)^(CA$2-1),0)</f>
        <v>0</v>
      </c>
      <c r="CB86" s="11" t="n">
        <f aca="false">IF(AND(CB$1&gt;=Units!$Q85,MOD(CB$1-Units!$Q85,12)=0),IF(AND(Units!$L85=1,CB$1=Units!$Q85),1,Inputs!$B$15)*Inputs!$B$16*(1+Inputs!$B$11)^(CB$2-1),0)</f>
        <v>0</v>
      </c>
      <c r="CC86" s="11" t="n">
        <f aca="false">IF(AND(CC$1&gt;=Units!$Q85,MOD(CC$1-Units!$Q85,12)=0),IF(AND(Units!$L85=1,CC$1=Units!$Q85),1,Inputs!$B$15)*Inputs!$B$16*(1+Inputs!$B$11)^(CC$2-1),0)</f>
        <v>0</v>
      </c>
      <c r="CD86" s="11" t="n">
        <f aca="false">IF(AND(CD$1&gt;=Units!$Q85,MOD(CD$1-Units!$Q85,12)=0),IF(AND(Units!$L85=1,CD$1=Units!$Q85),1,Inputs!$B$15)*Inputs!$B$16*(1+Inputs!$B$11)^(CD$2-1),0)</f>
        <v>0</v>
      </c>
      <c r="CE86" s="11" t="n">
        <f aca="false">IF(AND(CE$1&gt;=Units!$Q85,MOD(CE$1-Units!$Q85,12)=0),IF(AND(Units!$L85=1,CE$1=Units!$Q85),1,Inputs!$B$15)*Inputs!$B$16*(1+Inputs!$B$11)^(CE$2-1),0)</f>
        <v>0</v>
      </c>
      <c r="CF86" s="11" t="n">
        <f aca="false">IF(AND(CF$1&gt;=Units!$Q85,MOD(CF$1-Units!$Q85,12)=0),IF(AND(Units!$L85=1,CF$1=Units!$Q85),1,Inputs!$B$15)*Inputs!$B$16*(1+Inputs!$B$11)^(CF$2-1),0)</f>
        <v>0</v>
      </c>
      <c r="CG86" s="11" t="n">
        <f aca="false">IF(AND(CG$1&gt;=Units!$Q85,MOD(CG$1-Units!$Q85,12)=0),IF(AND(Units!$L85=1,CG$1=Units!$Q85),1,Inputs!$B$15)*Inputs!$B$16*(1+Inputs!$B$11)^(CG$2-1),0)</f>
        <v>0</v>
      </c>
      <c r="CH86" s="11" t="n">
        <f aca="false">IF(AND(CH$1&gt;=Units!$Q85,MOD(CH$1-Units!$Q85,12)=0),IF(AND(Units!$L85=1,CH$1=Units!$Q85),1,Inputs!$B$15)*Inputs!$B$16*(1+Inputs!$B$11)^(CH$2-1),0)</f>
        <v>597.0261482645</v>
      </c>
      <c r="CI86" s="11" t="n">
        <f aca="false">IF(AND(CI$1&gt;=Units!$Q85,MOD(CI$1-Units!$Q85,12)=0),IF(AND(Units!$L85=1,CI$1=Units!$Q85),1,Inputs!$B$15)*Inputs!$B$16*(1+Inputs!$B$11)^(CI$2-1),0)</f>
        <v>0</v>
      </c>
      <c r="CJ86" s="11" t="n">
        <f aca="false">IF(AND(CJ$1&gt;=Units!$Q85,MOD(CJ$1-Units!$Q85,12)=0),IF(AND(Units!$L85=1,CJ$1=Units!$Q85),1,Inputs!$B$15)*Inputs!$B$16*(1+Inputs!$B$11)^(CJ$2-1),0)</f>
        <v>0</v>
      </c>
      <c r="CK86" s="11" t="n">
        <f aca="false">IF(AND(CK$1&gt;=Units!$Q85,MOD(CK$1-Units!$Q85,12)=0),IF(AND(Units!$L85=1,CK$1=Units!$Q85),1,Inputs!$B$15)*Inputs!$B$16*(1+Inputs!$B$11)^(CK$2-1),0)</f>
        <v>0</v>
      </c>
      <c r="CL86" s="11" t="n">
        <f aca="false">IF(AND(CL$1&gt;=Units!$Q85,MOD(CL$1-Units!$Q85,12)=0),IF(AND(Units!$L85=1,CL$1=Units!$Q85),1,Inputs!$B$15)*Inputs!$B$16*(1+Inputs!$B$11)^(CL$2-1),0)</f>
        <v>0</v>
      </c>
      <c r="CM86" s="11" t="n">
        <f aca="false">IF(AND(CM$1&gt;=Units!$Q85,MOD(CM$1-Units!$Q85,12)=0),IF(AND(Units!$L85=1,CM$1=Units!$Q85),1,Inputs!$B$15)*Inputs!$B$16*(1+Inputs!$B$11)^(CM$2-1),0)</f>
        <v>0</v>
      </c>
      <c r="CN86" s="11" t="n">
        <f aca="false">IF(AND(CN$1&gt;=Units!$Q85,MOD(CN$1-Units!$Q85,12)=0),IF(AND(Units!$L85=1,CN$1=Units!$Q85),1,Inputs!$B$15)*Inputs!$B$16*(1+Inputs!$B$11)^(CN$2-1),0)</f>
        <v>0</v>
      </c>
      <c r="CO86" s="11" t="n">
        <f aca="false">IF(AND(CO$1&gt;=Units!$Q85,MOD(CO$1-Units!$Q85,12)=0),IF(AND(Units!$L85=1,CO$1=Units!$Q85),1,Inputs!$B$15)*Inputs!$B$16*(1+Inputs!$B$11)^(CO$2-1),0)</f>
        <v>0</v>
      </c>
      <c r="CP86" s="11" t="n">
        <f aca="false">IF(AND(CP$1&gt;=Units!$Q85,MOD(CP$1-Units!$Q85,12)=0),IF(AND(Units!$L85=1,CP$1=Units!$Q85),1,Inputs!$B$15)*Inputs!$B$16*(1+Inputs!$B$11)^(CP$2-1),0)</f>
        <v>0</v>
      </c>
      <c r="CQ86" s="11" t="n">
        <f aca="false">IF(AND(CQ$1&gt;=Units!$Q85,MOD(CQ$1-Units!$Q85,12)=0),IF(AND(Units!$L85=1,CQ$1=Units!$Q85),1,Inputs!$B$15)*Inputs!$B$16*(1+Inputs!$B$11)^(CQ$2-1),0)</f>
        <v>0</v>
      </c>
      <c r="CR86" s="11" t="n">
        <f aca="false">IF(AND(CR$1&gt;=Units!$Q85,MOD(CR$1-Units!$Q85,12)=0),IF(AND(Units!$L85=1,CR$1=Units!$Q85),1,Inputs!$B$15)*Inputs!$B$16*(1+Inputs!$B$11)^(CR$2-1),0)</f>
        <v>0</v>
      </c>
      <c r="CS86" s="11" t="n">
        <f aca="false">IF(AND(CS$1&gt;=Units!$Q85,MOD(CS$1-Units!$Q85,12)=0),IF(AND(Units!$L85=1,CS$1=Units!$Q85),1,Inputs!$B$15)*Inputs!$B$16*(1+Inputs!$B$11)^(CS$2-1),0)</f>
        <v>0</v>
      </c>
      <c r="CT86" s="11" t="n">
        <f aca="false">IF(AND(CT$1&gt;=Units!$Q85,MOD(CT$1-Units!$Q85,12)=0),IF(AND(Units!$L85=1,CT$1=Units!$Q85),1,Inputs!$B$15)*Inputs!$B$16*(1+Inputs!$B$11)^(CT$2-1),0)</f>
        <v>614.936932712435</v>
      </c>
      <c r="CU86" s="11" t="n">
        <f aca="false">IF(AND(CU$1&gt;=Units!$Q85,MOD(CU$1-Units!$Q85,12)=0),IF(AND(Units!$L85=1,CU$1=Units!$Q85),1,Inputs!$B$15)*Inputs!$B$16*(1+Inputs!$B$11)^(CU$2-1),0)</f>
        <v>0</v>
      </c>
      <c r="CV86" s="11" t="n">
        <f aca="false">IF(AND(CV$1&gt;=Units!$Q85,MOD(CV$1-Units!$Q85,12)=0),IF(AND(Units!$L85=1,CV$1=Units!$Q85),1,Inputs!$B$15)*Inputs!$B$16*(1+Inputs!$B$11)^(CV$2-1),0)</f>
        <v>0</v>
      </c>
      <c r="CW86" s="11" t="n">
        <f aca="false">IF(AND(CW$1&gt;=Units!$Q85,MOD(CW$1-Units!$Q85,12)=0),IF(AND(Units!$L85=1,CW$1=Units!$Q85),1,Inputs!$B$15)*Inputs!$B$16*(1+Inputs!$B$11)^(CW$2-1),0)</f>
        <v>0</v>
      </c>
      <c r="CX86" s="11" t="n">
        <f aca="false">IF(AND(CX$1&gt;=Units!$Q85,MOD(CX$1-Units!$Q85,12)=0),IF(AND(Units!$L85=1,CX$1=Units!$Q85),1,Inputs!$B$15)*Inputs!$B$16*(1+Inputs!$B$11)^(CX$2-1),0)</f>
        <v>0</v>
      </c>
      <c r="CY86" s="11" t="n">
        <f aca="false">IF(AND(CY$1&gt;=Units!$Q85,MOD(CY$1-Units!$Q85,12)=0),IF(AND(Units!$L85=1,CY$1=Units!$Q85),1,Inputs!$B$15)*Inputs!$B$16*(1+Inputs!$B$11)^(CY$2-1),0)</f>
        <v>0</v>
      </c>
      <c r="CZ86" s="11" t="n">
        <f aca="false">IF(AND(CZ$1&gt;=Units!$Q85,MOD(CZ$1-Units!$Q85,12)=0),IF(AND(Units!$L85=1,CZ$1=Units!$Q85),1,Inputs!$B$15)*Inputs!$B$16*(1+Inputs!$B$11)^(CZ$2-1),0)</f>
        <v>0</v>
      </c>
      <c r="DA86" s="11" t="n">
        <f aca="false">IF(AND(DA$1&gt;=Units!$Q85,MOD(DA$1-Units!$Q85,12)=0),IF(AND(Units!$L85=1,DA$1=Units!$Q85),1,Inputs!$B$15)*Inputs!$B$16*(1+Inputs!$B$11)^(DA$2-1),0)</f>
        <v>0</v>
      </c>
      <c r="DB86" s="11" t="n">
        <f aca="false">IF(AND(DB$1&gt;=Units!$Q85,MOD(DB$1-Units!$Q85,12)=0),IF(AND(Units!$L85=1,DB$1=Units!$Q85),1,Inputs!$B$15)*Inputs!$B$16*(1+Inputs!$B$11)^(DB$2-1),0)</f>
        <v>0</v>
      </c>
      <c r="DC86" s="11" t="n">
        <f aca="false">IF(AND(DC$1&gt;=Units!$Q85,MOD(DC$1-Units!$Q85,12)=0),IF(AND(Units!$L85=1,DC$1=Units!$Q85),1,Inputs!$B$15)*Inputs!$B$16*(1+Inputs!$B$11)^(DC$2-1),0)</f>
        <v>0</v>
      </c>
      <c r="DD86" s="11" t="n">
        <f aca="false">IF(AND(DD$1&gt;=Units!$Q85,MOD(DD$1-Units!$Q85,12)=0),IF(AND(Units!$L85=1,DD$1=Units!$Q85),1,Inputs!$B$15)*Inputs!$B$16*(1+Inputs!$B$11)^(DD$2-1),0)</f>
        <v>0</v>
      </c>
      <c r="DE86" s="11" t="n">
        <f aca="false">IF(AND(DE$1&gt;=Units!$Q85,MOD(DE$1-Units!$Q85,12)=0),IF(AND(Units!$L85=1,DE$1=Units!$Q85),1,Inputs!$B$15)*Inputs!$B$16*(1+Inputs!$B$11)^(DE$2-1),0)</f>
        <v>0</v>
      </c>
      <c r="DF86" s="11" t="n">
        <f aca="false">IF(AND(DF$1&gt;=Units!$Q85,MOD(DF$1-Units!$Q85,12)=0),IF(AND(Units!$L85=1,DF$1=Units!$Q85),1,Inputs!$B$15)*Inputs!$B$16*(1+Inputs!$B$11)^(DF$2-1),0)</f>
        <v>633.385040693808</v>
      </c>
      <c r="DG86" s="11" t="n">
        <f aca="false">IF(AND(DG$1&gt;=Units!$Q85,MOD(DG$1-Units!$Q85,12)=0),IF(AND(Units!$L85=1,DG$1=Units!$Q85),1,Inputs!$B$15)*Inputs!$B$16*(1+Inputs!$B$11)^(DG$2-1),0)</f>
        <v>0</v>
      </c>
      <c r="DH86" s="11" t="n">
        <f aca="false">IF(AND(DH$1&gt;=Units!$Q85,MOD(DH$1-Units!$Q85,12)=0),IF(AND(Units!$L85=1,DH$1=Units!$Q85),1,Inputs!$B$15)*Inputs!$B$16*(1+Inputs!$B$11)^(DH$2-1),0)</f>
        <v>0</v>
      </c>
      <c r="DI86" s="11" t="n">
        <f aca="false">IF(AND(DI$1&gt;=Units!$Q85,MOD(DI$1-Units!$Q85,12)=0),IF(AND(Units!$L85=1,DI$1=Units!$Q85),1,Inputs!$B$15)*Inputs!$B$16*(1+Inputs!$B$11)^(DI$2-1),0)</f>
        <v>0</v>
      </c>
      <c r="DJ86" s="11" t="n">
        <f aca="false">IF(AND(DJ$1&gt;=Units!$Q85,MOD(DJ$1-Units!$Q85,12)=0),IF(AND(Units!$L85=1,DJ$1=Units!$Q85),1,Inputs!$B$15)*Inputs!$B$16*(1+Inputs!$B$11)^(DJ$2-1),0)</f>
        <v>0</v>
      </c>
      <c r="DK86" s="11" t="n">
        <f aca="false">IF(AND(DK$1&gt;=Units!$Q85,MOD(DK$1-Units!$Q85,12)=0),IF(AND(Units!$L85=1,DK$1=Units!$Q85),1,Inputs!$B$15)*Inputs!$B$16*(1+Inputs!$B$11)^(DK$2-1),0)</f>
        <v>0</v>
      </c>
      <c r="DL86" s="11" t="n">
        <f aca="false">IF(AND(DL$1&gt;=Units!$Q85,MOD(DL$1-Units!$Q85,12)=0),IF(AND(Units!$L85=1,DL$1=Units!$Q85),1,Inputs!$B$15)*Inputs!$B$16*(1+Inputs!$B$11)^(DL$2-1),0)</f>
        <v>0</v>
      </c>
      <c r="DM86" s="11" t="n">
        <f aca="false">IF(AND(DM$1&gt;=Units!$Q85,MOD(DM$1-Units!$Q85,12)=0),IF(AND(Units!$L85=1,DM$1=Units!$Q85),1,Inputs!$B$15)*Inputs!$B$16*(1+Inputs!$B$11)^(DM$2-1),0)</f>
        <v>0</v>
      </c>
      <c r="DN86" s="11" t="n">
        <f aca="false">IF(AND(DN$1&gt;=Units!$Q85,MOD(DN$1-Units!$Q85,12)=0),IF(AND(Units!$L85=1,DN$1=Units!$Q85),1,Inputs!$B$15)*Inputs!$B$16*(1+Inputs!$B$11)^(DN$2-1),0)</f>
        <v>0</v>
      </c>
      <c r="DO86" s="11" t="n">
        <f aca="false">IF(AND(DO$1&gt;=Units!$Q85,MOD(DO$1-Units!$Q85,12)=0),IF(AND(Units!$L85=1,DO$1=Units!$Q85),1,Inputs!$B$15)*Inputs!$B$16*(1+Inputs!$B$11)^(DO$2-1),0)</f>
        <v>0</v>
      </c>
      <c r="DP86" s="11" t="n">
        <f aca="false">IF(AND(DP$1&gt;=Units!$Q85,MOD(DP$1-Units!$Q85,12)=0),IF(AND(Units!$L85=1,DP$1=Units!$Q85),1,Inputs!$B$15)*Inputs!$B$16*(1+Inputs!$B$11)^(DP$2-1),0)</f>
        <v>0</v>
      </c>
      <c r="DQ86" s="11" t="n">
        <f aca="false">IF(AND(DQ$1&gt;=Units!$Q85,MOD(DQ$1-Units!$Q85,12)=0),IF(AND(Units!$L85=1,DQ$1=Units!$Q85),1,Inputs!$B$15)*Inputs!$B$16*(1+Inputs!$B$11)^(DQ$2-1),0)</f>
        <v>0</v>
      </c>
      <c r="DR86" s="11" t="n">
        <f aca="false">IF(AND(DR$1&gt;=Units!$Q85,MOD(DR$1-Units!$Q85,12)=0),IF(AND(Units!$L85=1,DR$1=Units!$Q85),1,Inputs!$B$15)*Inputs!$B$16*(1+Inputs!$B$11)^(DR$2-1),0)</f>
        <v>652.386591914623</v>
      </c>
      <c r="DS86" s="11" t="n">
        <f aca="false">IF(AND(DS$1&gt;=Units!$Q85,MOD(DS$1-Units!$Q85,12)=0),IF(AND(Units!$L85=1,DS$1=Units!$Q85),1,Inputs!$B$15)*Inputs!$B$16*(1+Inputs!$B$11)^(DS$2-1),0)</f>
        <v>0</v>
      </c>
      <c r="DT86" s="11" t="n">
        <f aca="false">IF(AND(DT$1&gt;=Units!$Q85,MOD(DT$1-Units!$Q85,12)=0),IF(AND(Units!$L85=1,DT$1=Units!$Q85),1,Inputs!$B$15)*Inputs!$B$16*(1+Inputs!$B$11)^(DT$2-1),0)</f>
        <v>0</v>
      </c>
      <c r="DU86" s="11" t="n">
        <f aca="false">IF(AND(DU$1&gt;=Units!$Q85,MOD(DU$1-Units!$Q85,12)=0),IF(AND(Units!$L85=1,DU$1=Units!$Q85),1,Inputs!$B$15)*Inputs!$B$16*(1+Inputs!$B$11)^(DU$2-1),0)</f>
        <v>0</v>
      </c>
      <c r="DV86" s="11" t="n">
        <f aca="false">IF(AND(DV$1&gt;=Units!$Q85,MOD(DV$1-Units!$Q85,12)=0),IF(AND(Units!$L85=1,DV$1=Units!$Q85),1,Inputs!$B$15)*Inputs!$B$16*(1+Inputs!$B$11)^(DV$2-1),0)</f>
        <v>0</v>
      </c>
      <c r="DW86" s="11" t="n">
        <f aca="false">IF(AND(DW$1&gt;=Units!$Q85,MOD(DW$1-Units!$Q85,12)=0),IF(AND(Units!$L85=1,DW$1=Units!$Q85),1,Inputs!$B$15)*Inputs!$B$16*(1+Inputs!$B$11)^(DW$2-1),0)</f>
        <v>0</v>
      </c>
      <c r="DX86" s="11" t="n">
        <f aca="false">IF(AND(DX$1&gt;=Units!$Q85,MOD(DX$1-Units!$Q85,12)=0),IF(AND(Units!$L85=1,DX$1=Units!$Q85),1,Inputs!$B$15)*Inputs!$B$16*(1+Inputs!$B$11)^(DX$2-1),0)</f>
        <v>0</v>
      </c>
      <c r="DY86" s="11" t="n">
        <f aca="false">IF(AND(DY$1&gt;=Units!$Q85,MOD(DY$1-Units!$Q85,12)=0),IF(AND(Units!$L85=1,DY$1=Units!$Q85),1,Inputs!$B$15)*Inputs!$B$16*(1+Inputs!$B$11)^(DY$2-1),0)</f>
        <v>0</v>
      </c>
      <c r="DZ86" s="11" t="n">
        <f aca="false">IF(AND(DZ$1&gt;=Units!$Q85,MOD(DZ$1-Units!$Q85,12)=0),IF(AND(Units!$L85=1,DZ$1=Units!$Q85),1,Inputs!$B$15)*Inputs!$B$16*(1+Inputs!$B$11)^(DZ$2-1),0)</f>
        <v>0</v>
      </c>
      <c r="EA86" s="11" t="n">
        <f aca="false">IF(AND(EA$1&gt;=Units!$Q85,MOD(EA$1-Units!$Q85,12)=0),IF(AND(Units!$L85=1,EA$1=Units!$Q85),1,Inputs!$B$15)*Inputs!$B$16*(1+Inputs!$B$11)^(EA$2-1),0)</f>
        <v>0</v>
      </c>
      <c r="EB86" s="11" t="n">
        <f aca="false">IF(AND(EB$1&gt;=Units!$Q85,MOD(EB$1-Units!$Q85,12)=0),IF(AND(Units!$L85=1,EB$1=Units!$Q85),1,Inputs!$B$15)*Inputs!$B$16*(1+Inputs!$B$11)^(EB$2-1),0)</f>
        <v>0</v>
      </c>
      <c r="EC86" s="11" t="n">
        <f aca="false">IF(AND(EC$1&gt;=Units!$Q85,MOD(EC$1-Units!$Q85,12)=0),IF(AND(Units!$L85=1,EC$1=Units!$Q85),1,Inputs!$B$15)*Inputs!$B$16*(1+Inputs!$B$11)^(EC$2-1),0)</f>
        <v>0</v>
      </c>
      <c r="ED86" s="11" t="n">
        <f aca="false">IF(AND(ED$1&gt;=Units!$Q85,MOD(ED$1-Units!$Q85,12)=0),IF(AND(Units!$L85=1,ED$1=Units!$Q85),1,Inputs!$B$15)*Inputs!$B$16*(1+Inputs!$B$11)^(ED$2-1),0)</f>
        <v>671.958189672061</v>
      </c>
    </row>
    <row r="87" customFormat="false" ht="15" hidden="false" customHeight="false" outlineLevel="0" collapsed="false">
      <c r="A87" s="22" t="n">
        <f aca="false">Units!A86</f>
        <v>325</v>
      </c>
      <c r="B87" s="23"/>
      <c r="C87" s="11" t="n">
        <f aca="false">IF(AND(C$1&gt;=Units!$Q86,MOD(C$1-Units!$Q86,12)=0),IF(AND(Units!$L86=1,C$1=Units!$Q86),1,Inputs!$B$15)*Inputs!$B$16*(1+Inputs!$B$11)^(C$2-1),0)</f>
        <v>0</v>
      </c>
      <c r="D87" s="11" t="n">
        <f aca="false">IF(AND(D$1&gt;=Units!$Q86,MOD(D$1-Units!$Q86,12)=0),IF(AND(Units!$L86=1,D$1=Units!$Q86),1,Inputs!$B$15)*Inputs!$B$16*(1+Inputs!$B$11)^(D$2-1),0)</f>
        <v>0</v>
      </c>
      <c r="E87" s="11" t="n">
        <f aca="false">IF(AND(E$1&gt;=Units!$Q86,MOD(E$1-Units!$Q86,12)=0),IF(AND(Units!$L86=1,E$1=Units!$Q86),1,Inputs!$B$15)*Inputs!$B$16*(1+Inputs!$B$11)^(E$2-1),0)</f>
        <v>0</v>
      </c>
      <c r="F87" s="11" t="n">
        <f aca="false">IF(AND(F$1&gt;=Units!$Q86,MOD(F$1-Units!$Q86,12)=0),IF(AND(Units!$L86=1,F$1=Units!$Q86),1,Inputs!$B$15)*Inputs!$B$16*(1+Inputs!$B$11)^(F$2-1),0)</f>
        <v>0</v>
      </c>
      <c r="G87" s="11" t="n">
        <f aca="false">IF(AND(G$1&gt;=Units!$Q86,MOD(G$1-Units!$Q86,12)=0),IF(AND(Units!$L86=1,G$1=Units!$Q86),1,Inputs!$B$15)*Inputs!$B$16*(1+Inputs!$B$11)^(G$2-1),0)</f>
        <v>0</v>
      </c>
      <c r="H87" s="11" t="n">
        <f aca="false">IF(AND(H$1&gt;=Units!$Q86,MOD(H$1-Units!$Q86,12)=0),IF(AND(Units!$L86=1,H$1=Units!$Q86),1,Inputs!$B$15)*Inputs!$B$16*(1+Inputs!$B$11)^(H$2-1),0)</f>
        <v>0</v>
      </c>
      <c r="I87" s="11" t="n">
        <f aca="false">IF(AND(I$1&gt;=Units!$Q86,MOD(I$1-Units!$Q86,12)=0),IF(AND(Units!$L86=1,I$1=Units!$Q86),1,Inputs!$B$15)*Inputs!$B$16*(1+Inputs!$B$11)^(I$2-1),0)</f>
        <v>0</v>
      </c>
      <c r="J87" s="11" t="n">
        <f aca="false">IF(AND(J$1&gt;=Units!$Q86,MOD(J$1-Units!$Q86,12)=0),IF(AND(Units!$L86=1,J$1=Units!$Q86),1,Inputs!$B$15)*Inputs!$B$16*(1+Inputs!$B$11)^(J$2-1),0)</f>
        <v>500</v>
      </c>
      <c r="K87" s="11" t="n">
        <f aca="false">IF(AND(K$1&gt;=Units!$Q86,MOD(K$1-Units!$Q86,12)=0),IF(AND(Units!$L86=1,K$1=Units!$Q86),1,Inputs!$B$15)*Inputs!$B$16*(1+Inputs!$B$11)^(K$2-1),0)</f>
        <v>0</v>
      </c>
      <c r="L87" s="11" t="n">
        <f aca="false">IF(AND(L$1&gt;=Units!$Q86,MOD(L$1-Units!$Q86,12)=0),IF(AND(Units!$L86=1,L$1=Units!$Q86),1,Inputs!$B$15)*Inputs!$B$16*(1+Inputs!$B$11)^(L$2-1),0)</f>
        <v>0</v>
      </c>
      <c r="M87" s="11" t="n">
        <f aca="false">IF(AND(M$1&gt;=Units!$Q86,MOD(M$1-Units!$Q86,12)=0),IF(AND(Units!$L86=1,M$1=Units!$Q86),1,Inputs!$B$15)*Inputs!$B$16*(1+Inputs!$B$11)^(M$2-1),0)</f>
        <v>0</v>
      </c>
      <c r="N87" s="11" t="n">
        <f aca="false">IF(AND(N$1&gt;=Units!$Q86,MOD(N$1-Units!$Q86,12)=0),IF(AND(Units!$L86=1,N$1=Units!$Q86),1,Inputs!$B$15)*Inputs!$B$16*(1+Inputs!$B$11)^(N$2-1),0)</f>
        <v>0</v>
      </c>
      <c r="O87" s="11" t="n">
        <f aca="false">IF(AND(O$1&gt;=Units!$Q86,MOD(O$1-Units!$Q86,12)=0),IF(AND(Units!$L86=1,O$1=Units!$Q86),1,Inputs!$B$15)*Inputs!$B$16*(1+Inputs!$B$11)^(O$2-1),0)</f>
        <v>0</v>
      </c>
      <c r="P87" s="11" t="n">
        <f aca="false">IF(AND(P$1&gt;=Units!$Q86,MOD(P$1-Units!$Q86,12)=0),IF(AND(Units!$L86=1,P$1=Units!$Q86),1,Inputs!$B$15)*Inputs!$B$16*(1+Inputs!$B$11)^(P$2-1),0)</f>
        <v>0</v>
      </c>
      <c r="Q87" s="11" t="n">
        <f aca="false">IF(AND(Q$1&gt;=Units!$Q86,MOD(Q$1-Units!$Q86,12)=0),IF(AND(Units!$L86=1,Q$1=Units!$Q86),1,Inputs!$B$15)*Inputs!$B$16*(1+Inputs!$B$11)^(Q$2-1),0)</f>
        <v>0</v>
      </c>
      <c r="R87" s="11" t="n">
        <f aca="false">IF(AND(R$1&gt;=Units!$Q86,MOD(R$1-Units!$Q86,12)=0),IF(AND(Units!$L86=1,R$1=Units!$Q86),1,Inputs!$B$15)*Inputs!$B$16*(1+Inputs!$B$11)^(R$2-1),0)</f>
        <v>0</v>
      </c>
      <c r="S87" s="11" t="n">
        <f aca="false">IF(AND(S$1&gt;=Units!$Q86,MOD(S$1-Units!$Q86,12)=0),IF(AND(Units!$L86=1,S$1=Units!$Q86),1,Inputs!$B$15)*Inputs!$B$16*(1+Inputs!$B$11)^(S$2-1),0)</f>
        <v>0</v>
      </c>
      <c r="T87" s="11" t="n">
        <f aca="false">IF(AND(T$1&gt;=Units!$Q86,MOD(T$1-Units!$Q86,12)=0),IF(AND(Units!$L86=1,T$1=Units!$Q86),1,Inputs!$B$15)*Inputs!$B$16*(1+Inputs!$B$11)^(T$2-1),0)</f>
        <v>0</v>
      </c>
      <c r="U87" s="11" t="n">
        <f aca="false">IF(AND(U$1&gt;=Units!$Q86,MOD(U$1-Units!$Q86,12)=0),IF(AND(Units!$L86=1,U$1=Units!$Q86),1,Inputs!$B$15)*Inputs!$B$16*(1+Inputs!$B$11)^(U$2-1),0)</f>
        <v>0</v>
      </c>
      <c r="V87" s="11" t="n">
        <f aca="false">IF(AND(V$1&gt;=Units!$Q86,MOD(V$1-Units!$Q86,12)=0),IF(AND(Units!$L86=1,V$1=Units!$Q86),1,Inputs!$B$15)*Inputs!$B$16*(1+Inputs!$B$11)^(V$2-1),0)</f>
        <v>515</v>
      </c>
      <c r="W87" s="11" t="n">
        <f aca="false">IF(AND(W$1&gt;=Units!$Q86,MOD(W$1-Units!$Q86,12)=0),IF(AND(Units!$L86=1,W$1=Units!$Q86),1,Inputs!$B$15)*Inputs!$B$16*(1+Inputs!$B$11)^(W$2-1),0)</f>
        <v>0</v>
      </c>
      <c r="X87" s="11" t="n">
        <f aca="false">IF(AND(X$1&gt;=Units!$Q86,MOD(X$1-Units!$Q86,12)=0),IF(AND(Units!$L86=1,X$1=Units!$Q86),1,Inputs!$B$15)*Inputs!$B$16*(1+Inputs!$B$11)^(X$2-1),0)</f>
        <v>0</v>
      </c>
      <c r="Y87" s="11" t="n">
        <f aca="false">IF(AND(Y$1&gt;=Units!$Q86,MOD(Y$1-Units!$Q86,12)=0),IF(AND(Units!$L86=1,Y$1=Units!$Q86),1,Inputs!$B$15)*Inputs!$B$16*(1+Inputs!$B$11)^(Y$2-1),0)</f>
        <v>0</v>
      </c>
      <c r="Z87" s="11" t="n">
        <f aca="false">IF(AND(Z$1&gt;=Units!$Q86,MOD(Z$1-Units!$Q86,12)=0),IF(AND(Units!$L86=1,Z$1=Units!$Q86),1,Inputs!$B$15)*Inputs!$B$16*(1+Inputs!$B$11)^(Z$2-1),0)</f>
        <v>0</v>
      </c>
      <c r="AA87" s="11" t="n">
        <f aca="false">IF(AND(AA$1&gt;=Units!$Q86,MOD(AA$1-Units!$Q86,12)=0),IF(AND(Units!$L86=1,AA$1=Units!$Q86),1,Inputs!$B$15)*Inputs!$B$16*(1+Inputs!$B$11)^(AA$2-1),0)</f>
        <v>0</v>
      </c>
      <c r="AB87" s="11" t="n">
        <f aca="false">IF(AND(AB$1&gt;=Units!$Q86,MOD(AB$1-Units!$Q86,12)=0),IF(AND(Units!$L86=1,AB$1=Units!$Q86),1,Inputs!$B$15)*Inputs!$B$16*(1+Inputs!$B$11)^(AB$2-1),0)</f>
        <v>0</v>
      </c>
      <c r="AC87" s="11" t="n">
        <f aca="false">IF(AND(AC$1&gt;=Units!$Q86,MOD(AC$1-Units!$Q86,12)=0),IF(AND(Units!$L86=1,AC$1=Units!$Q86),1,Inputs!$B$15)*Inputs!$B$16*(1+Inputs!$B$11)^(AC$2-1),0)</f>
        <v>0</v>
      </c>
      <c r="AD87" s="11" t="n">
        <f aca="false">IF(AND(AD$1&gt;=Units!$Q86,MOD(AD$1-Units!$Q86,12)=0),IF(AND(Units!$L86=1,AD$1=Units!$Q86),1,Inputs!$B$15)*Inputs!$B$16*(1+Inputs!$B$11)^(AD$2-1),0)</f>
        <v>0</v>
      </c>
      <c r="AE87" s="11" t="n">
        <f aca="false">IF(AND(AE$1&gt;=Units!$Q86,MOD(AE$1-Units!$Q86,12)=0),IF(AND(Units!$L86=1,AE$1=Units!$Q86),1,Inputs!$B$15)*Inputs!$B$16*(1+Inputs!$B$11)^(AE$2-1),0)</f>
        <v>0</v>
      </c>
      <c r="AF87" s="11" t="n">
        <f aca="false">IF(AND(AF$1&gt;=Units!$Q86,MOD(AF$1-Units!$Q86,12)=0),IF(AND(Units!$L86=1,AF$1=Units!$Q86),1,Inputs!$B$15)*Inputs!$B$16*(1+Inputs!$B$11)^(AF$2-1),0)</f>
        <v>0</v>
      </c>
      <c r="AG87" s="11" t="n">
        <f aca="false">IF(AND(AG$1&gt;=Units!$Q86,MOD(AG$1-Units!$Q86,12)=0),IF(AND(Units!$L86=1,AG$1=Units!$Q86),1,Inputs!$B$15)*Inputs!$B$16*(1+Inputs!$B$11)^(AG$2-1),0)</f>
        <v>0</v>
      </c>
      <c r="AH87" s="11" t="n">
        <f aca="false">IF(AND(AH$1&gt;=Units!$Q86,MOD(AH$1-Units!$Q86,12)=0),IF(AND(Units!$L86=1,AH$1=Units!$Q86),1,Inputs!$B$15)*Inputs!$B$16*(1+Inputs!$B$11)^(AH$2-1),0)</f>
        <v>530.45</v>
      </c>
      <c r="AI87" s="11" t="n">
        <f aca="false">IF(AND(AI$1&gt;=Units!$Q86,MOD(AI$1-Units!$Q86,12)=0),IF(AND(Units!$L86=1,AI$1=Units!$Q86),1,Inputs!$B$15)*Inputs!$B$16*(1+Inputs!$B$11)^(AI$2-1),0)</f>
        <v>0</v>
      </c>
      <c r="AJ87" s="11" t="n">
        <f aca="false">IF(AND(AJ$1&gt;=Units!$Q86,MOD(AJ$1-Units!$Q86,12)=0),IF(AND(Units!$L86=1,AJ$1=Units!$Q86),1,Inputs!$B$15)*Inputs!$B$16*(1+Inputs!$B$11)^(AJ$2-1),0)</f>
        <v>0</v>
      </c>
      <c r="AK87" s="11" t="n">
        <f aca="false">IF(AND(AK$1&gt;=Units!$Q86,MOD(AK$1-Units!$Q86,12)=0),IF(AND(Units!$L86=1,AK$1=Units!$Q86),1,Inputs!$B$15)*Inputs!$B$16*(1+Inputs!$B$11)^(AK$2-1),0)</f>
        <v>0</v>
      </c>
      <c r="AL87" s="11" t="n">
        <f aca="false">IF(AND(AL$1&gt;=Units!$Q86,MOD(AL$1-Units!$Q86,12)=0),IF(AND(Units!$L86=1,AL$1=Units!$Q86),1,Inputs!$B$15)*Inputs!$B$16*(1+Inputs!$B$11)^(AL$2-1),0)</f>
        <v>0</v>
      </c>
      <c r="AM87" s="11" t="n">
        <f aca="false">IF(AND(AM$1&gt;=Units!$Q86,MOD(AM$1-Units!$Q86,12)=0),IF(AND(Units!$L86=1,AM$1=Units!$Q86),1,Inputs!$B$15)*Inputs!$B$16*(1+Inputs!$B$11)^(AM$2-1),0)</f>
        <v>0</v>
      </c>
      <c r="AN87" s="11" t="n">
        <f aca="false">IF(AND(AN$1&gt;=Units!$Q86,MOD(AN$1-Units!$Q86,12)=0),IF(AND(Units!$L86=1,AN$1=Units!$Q86),1,Inputs!$B$15)*Inputs!$B$16*(1+Inputs!$B$11)^(AN$2-1),0)</f>
        <v>0</v>
      </c>
      <c r="AO87" s="11" t="n">
        <f aca="false">IF(AND(AO$1&gt;=Units!$Q86,MOD(AO$1-Units!$Q86,12)=0),IF(AND(Units!$L86=1,AO$1=Units!$Q86),1,Inputs!$B$15)*Inputs!$B$16*(1+Inputs!$B$11)^(AO$2-1),0)</f>
        <v>0</v>
      </c>
      <c r="AP87" s="11" t="n">
        <f aca="false">IF(AND(AP$1&gt;=Units!$Q86,MOD(AP$1-Units!$Q86,12)=0),IF(AND(Units!$L86=1,AP$1=Units!$Q86),1,Inputs!$B$15)*Inputs!$B$16*(1+Inputs!$B$11)^(AP$2-1),0)</f>
        <v>0</v>
      </c>
      <c r="AQ87" s="11" t="n">
        <f aca="false">IF(AND(AQ$1&gt;=Units!$Q86,MOD(AQ$1-Units!$Q86,12)=0),IF(AND(Units!$L86=1,AQ$1=Units!$Q86),1,Inputs!$B$15)*Inputs!$B$16*(1+Inputs!$B$11)^(AQ$2-1),0)</f>
        <v>0</v>
      </c>
      <c r="AR87" s="11" t="n">
        <f aca="false">IF(AND(AR$1&gt;=Units!$Q86,MOD(AR$1-Units!$Q86,12)=0),IF(AND(Units!$L86=1,AR$1=Units!$Q86),1,Inputs!$B$15)*Inputs!$B$16*(1+Inputs!$B$11)^(AR$2-1),0)</f>
        <v>0</v>
      </c>
      <c r="AS87" s="11" t="n">
        <f aca="false">IF(AND(AS$1&gt;=Units!$Q86,MOD(AS$1-Units!$Q86,12)=0),IF(AND(Units!$L86=1,AS$1=Units!$Q86),1,Inputs!$B$15)*Inputs!$B$16*(1+Inputs!$B$11)^(AS$2-1),0)</f>
        <v>0</v>
      </c>
      <c r="AT87" s="11" t="n">
        <f aca="false">IF(AND(AT$1&gt;=Units!$Q86,MOD(AT$1-Units!$Q86,12)=0),IF(AND(Units!$L86=1,AT$1=Units!$Q86),1,Inputs!$B$15)*Inputs!$B$16*(1+Inputs!$B$11)^(AT$2-1),0)</f>
        <v>546.3635</v>
      </c>
      <c r="AU87" s="11" t="n">
        <f aca="false">IF(AND(AU$1&gt;=Units!$Q86,MOD(AU$1-Units!$Q86,12)=0),IF(AND(Units!$L86=1,AU$1=Units!$Q86),1,Inputs!$B$15)*Inputs!$B$16*(1+Inputs!$B$11)^(AU$2-1),0)</f>
        <v>0</v>
      </c>
      <c r="AV87" s="11" t="n">
        <f aca="false">IF(AND(AV$1&gt;=Units!$Q86,MOD(AV$1-Units!$Q86,12)=0),IF(AND(Units!$L86=1,AV$1=Units!$Q86),1,Inputs!$B$15)*Inputs!$B$16*(1+Inputs!$B$11)^(AV$2-1),0)</f>
        <v>0</v>
      </c>
      <c r="AW87" s="11" t="n">
        <f aca="false">IF(AND(AW$1&gt;=Units!$Q86,MOD(AW$1-Units!$Q86,12)=0),IF(AND(Units!$L86=1,AW$1=Units!$Q86),1,Inputs!$B$15)*Inputs!$B$16*(1+Inputs!$B$11)^(AW$2-1),0)</f>
        <v>0</v>
      </c>
      <c r="AX87" s="11" t="n">
        <f aca="false">IF(AND(AX$1&gt;=Units!$Q86,MOD(AX$1-Units!$Q86,12)=0),IF(AND(Units!$L86=1,AX$1=Units!$Q86),1,Inputs!$B$15)*Inputs!$B$16*(1+Inputs!$B$11)^(AX$2-1),0)</f>
        <v>0</v>
      </c>
      <c r="AY87" s="11" t="n">
        <f aca="false">IF(AND(AY$1&gt;=Units!$Q86,MOD(AY$1-Units!$Q86,12)=0),IF(AND(Units!$L86=1,AY$1=Units!$Q86),1,Inputs!$B$15)*Inputs!$B$16*(1+Inputs!$B$11)^(AY$2-1),0)</f>
        <v>0</v>
      </c>
      <c r="AZ87" s="11" t="n">
        <f aca="false">IF(AND(AZ$1&gt;=Units!$Q86,MOD(AZ$1-Units!$Q86,12)=0),IF(AND(Units!$L86=1,AZ$1=Units!$Q86),1,Inputs!$B$15)*Inputs!$B$16*(1+Inputs!$B$11)^(AZ$2-1),0)</f>
        <v>0</v>
      </c>
      <c r="BA87" s="11" t="n">
        <f aca="false">IF(AND(BA$1&gt;=Units!$Q86,MOD(BA$1-Units!$Q86,12)=0),IF(AND(Units!$L86=1,BA$1=Units!$Q86),1,Inputs!$B$15)*Inputs!$B$16*(1+Inputs!$B$11)^(BA$2-1),0)</f>
        <v>0</v>
      </c>
      <c r="BB87" s="11" t="n">
        <f aca="false">IF(AND(BB$1&gt;=Units!$Q86,MOD(BB$1-Units!$Q86,12)=0),IF(AND(Units!$L86=1,BB$1=Units!$Q86),1,Inputs!$B$15)*Inputs!$B$16*(1+Inputs!$B$11)^(BB$2-1),0)</f>
        <v>0</v>
      </c>
      <c r="BC87" s="11" t="n">
        <f aca="false">IF(AND(BC$1&gt;=Units!$Q86,MOD(BC$1-Units!$Q86,12)=0),IF(AND(Units!$L86=1,BC$1=Units!$Q86),1,Inputs!$B$15)*Inputs!$B$16*(1+Inputs!$B$11)^(BC$2-1),0)</f>
        <v>0</v>
      </c>
      <c r="BD87" s="11" t="n">
        <f aca="false">IF(AND(BD$1&gt;=Units!$Q86,MOD(BD$1-Units!$Q86,12)=0),IF(AND(Units!$L86=1,BD$1=Units!$Q86),1,Inputs!$B$15)*Inputs!$B$16*(1+Inputs!$B$11)^(BD$2-1),0)</f>
        <v>0</v>
      </c>
      <c r="BE87" s="11" t="n">
        <f aca="false">IF(AND(BE$1&gt;=Units!$Q86,MOD(BE$1-Units!$Q86,12)=0),IF(AND(Units!$L86=1,BE$1=Units!$Q86),1,Inputs!$B$15)*Inputs!$B$16*(1+Inputs!$B$11)^(BE$2-1),0)</f>
        <v>0</v>
      </c>
      <c r="BF87" s="11" t="n">
        <f aca="false">IF(AND(BF$1&gt;=Units!$Q86,MOD(BF$1-Units!$Q86,12)=0),IF(AND(Units!$L86=1,BF$1=Units!$Q86),1,Inputs!$B$15)*Inputs!$B$16*(1+Inputs!$B$11)^(BF$2-1),0)</f>
        <v>562.754405</v>
      </c>
      <c r="BG87" s="11" t="n">
        <f aca="false">IF(AND(BG$1&gt;=Units!$Q86,MOD(BG$1-Units!$Q86,12)=0),IF(AND(Units!$L86=1,BG$1=Units!$Q86),1,Inputs!$B$15)*Inputs!$B$16*(1+Inputs!$B$11)^(BG$2-1),0)</f>
        <v>0</v>
      </c>
      <c r="BH87" s="11" t="n">
        <f aca="false">IF(AND(BH$1&gt;=Units!$Q86,MOD(BH$1-Units!$Q86,12)=0),IF(AND(Units!$L86=1,BH$1=Units!$Q86),1,Inputs!$B$15)*Inputs!$B$16*(1+Inputs!$B$11)^(BH$2-1),0)</f>
        <v>0</v>
      </c>
      <c r="BI87" s="11" t="n">
        <f aca="false">IF(AND(BI$1&gt;=Units!$Q86,MOD(BI$1-Units!$Q86,12)=0),IF(AND(Units!$L86=1,BI$1=Units!$Q86),1,Inputs!$B$15)*Inputs!$B$16*(1+Inputs!$B$11)^(BI$2-1),0)</f>
        <v>0</v>
      </c>
      <c r="BJ87" s="11" t="n">
        <f aca="false">IF(AND(BJ$1&gt;=Units!$Q86,MOD(BJ$1-Units!$Q86,12)=0),IF(AND(Units!$L86=1,BJ$1=Units!$Q86),1,Inputs!$B$15)*Inputs!$B$16*(1+Inputs!$B$11)^(BJ$2-1),0)</f>
        <v>0</v>
      </c>
      <c r="BK87" s="11" t="n">
        <f aca="false">IF(AND(BK$1&gt;=Units!$Q86,MOD(BK$1-Units!$Q86,12)=0),IF(AND(Units!$L86=1,BK$1=Units!$Q86),1,Inputs!$B$15)*Inputs!$B$16*(1+Inputs!$B$11)^(BK$2-1),0)</f>
        <v>0</v>
      </c>
      <c r="BL87" s="11" t="n">
        <f aca="false">IF(AND(BL$1&gt;=Units!$Q86,MOD(BL$1-Units!$Q86,12)=0),IF(AND(Units!$L86=1,BL$1=Units!$Q86),1,Inputs!$B$15)*Inputs!$B$16*(1+Inputs!$B$11)^(BL$2-1),0)</f>
        <v>0</v>
      </c>
      <c r="BM87" s="11" t="n">
        <f aca="false">IF(AND(BM$1&gt;=Units!$Q86,MOD(BM$1-Units!$Q86,12)=0),IF(AND(Units!$L86=1,BM$1=Units!$Q86),1,Inputs!$B$15)*Inputs!$B$16*(1+Inputs!$B$11)^(BM$2-1),0)</f>
        <v>0</v>
      </c>
      <c r="BN87" s="11" t="n">
        <f aca="false">IF(AND(BN$1&gt;=Units!$Q86,MOD(BN$1-Units!$Q86,12)=0),IF(AND(Units!$L86=1,BN$1=Units!$Q86),1,Inputs!$B$15)*Inputs!$B$16*(1+Inputs!$B$11)^(BN$2-1),0)</f>
        <v>0</v>
      </c>
      <c r="BO87" s="11" t="n">
        <f aca="false">IF(AND(BO$1&gt;=Units!$Q86,MOD(BO$1-Units!$Q86,12)=0),IF(AND(Units!$L86=1,BO$1=Units!$Q86),1,Inputs!$B$15)*Inputs!$B$16*(1+Inputs!$B$11)^(BO$2-1),0)</f>
        <v>0</v>
      </c>
      <c r="BP87" s="11" t="n">
        <f aca="false">IF(AND(BP$1&gt;=Units!$Q86,MOD(BP$1-Units!$Q86,12)=0),IF(AND(Units!$L86=1,BP$1=Units!$Q86),1,Inputs!$B$15)*Inputs!$B$16*(1+Inputs!$B$11)^(BP$2-1),0)</f>
        <v>0</v>
      </c>
      <c r="BQ87" s="11" t="n">
        <f aca="false">IF(AND(BQ$1&gt;=Units!$Q86,MOD(BQ$1-Units!$Q86,12)=0),IF(AND(Units!$L86=1,BQ$1=Units!$Q86),1,Inputs!$B$15)*Inputs!$B$16*(1+Inputs!$B$11)^(BQ$2-1),0)</f>
        <v>0</v>
      </c>
      <c r="BR87" s="11" t="n">
        <f aca="false">IF(AND(BR$1&gt;=Units!$Q86,MOD(BR$1-Units!$Q86,12)=0),IF(AND(Units!$L86=1,BR$1=Units!$Q86),1,Inputs!$B$15)*Inputs!$B$16*(1+Inputs!$B$11)^(BR$2-1),0)</f>
        <v>579.63703715</v>
      </c>
      <c r="BS87" s="11" t="n">
        <f aca="false">IF(AND(BS$1&gt;=Units!$Q86,MOD(BS$1-Units!$Q86,12)=0),IF(AND(Units!$L86=1,BS$1=Units!$Q86),1,Inputs!$B$15)*Inputs!$B$16*(1+Inputs!$B$11)^(BS$2-1),0)</f>
        <v>0</v>
      </c>
      <c r="BT87" s="11" t="n">
        <f aca="false">IF(AND(BT$1&gt;=Units!$Q86,MOD(BT$1-Units!$Q86,12)=0),IF(AND(Units!$L86=1,BT$1=Units!$Q86),1,Inputs!$B$15)*Inputs!$B$16*(1+Inputs!$B$11)^(BT$2-1),0)</f>
        <v>0</v>
      </c>
      <c r="BU87" s="11" t="n">
        <f aca="false">IF(AND(BU$1&gt;=Units!$Q86,MOD(BU$1-Units!$Q86,12)=0),IF(AND(Units!$L86=1,BU$1=Units!$Q86),1,Inputs!$B$15)*Inputs!$B$16*(1+Inputs!$B$11)^(BU$2-1),0)</f>
        <v>0</v>
      </c>
      <c r="BV87" s="11" t="n">
        <f aca="false">IF(AND(BV$1&gt;=Units!$Q86,MOD(BV$1-Units!$Q86,12)=0),IF(AND(Units!$L86=1,BV$1=Units!$Q86),1,Inputs!$B$15)*Inputs!$B$16*(1+Inputs!$B$11)^(BV$2-1),0)</f>
        <v>0</v>
      </c>
      <c r="BW87" s="11" t="n">
        <f aca="false">IF(AND(BW$1&gt;=Units!$Q86,MOD(BW$1-Units!$Q86,12)=0),IF(AND(Units!$L86=1,BW$1=Units!$Q86),1,Inputs!$B$15)*Inputs!$B$16*(1+Inputs!$B$11)^(BW$2-1),0)</f>
        <v>0</v>
      </c>
      <c r="BX87" s="11" t="n">
        <f aca="false">IF(AND(BX$1&gt;=Units!$Q86,MOD(BX$1-Units!$Q86,12)=0),IF(AND(Units!$L86=1,BX$1=Units!$Q86),1,Inputs!$B$15)*Inputs!$B$16*(1+Inputs!$B$11)^(BX$2-1),0)</f>
        <v>0</v>
      </c>
      <c r="BY87" s="11" t="n">
        <f aca="false">IF(AND(BY$1&gt;=Units!$Q86,MOD(BY$1-Units!$Q86,12)=0),IF(AND(Units!$L86=1,BY$1=Units!$Q86),1,Inputs!$B$15)*Inputs!$B$16*(1+Inputs!$B$11)^(BY$2-1),0)</f>
        <v>0</v>
      </c>
      <c r="BZ87" s="11" t="n">
        <f aca="false">IF(AND(BZ$1&gt;=Units!$Q86,MOD(BZ$1-Units!$Q86,12)=0),IF(AND(Units!$L86=1,BZ$1=Units!$Q86),1,Inputs!$B$15)*Inputs!$B$16*(1+Inputs!$B$11)^(BZ$2-1),0)</f>
        <v>0</v>
      </c>
      <c r="CA87" s="11" t="n">
        <f aca="false">IF(AND(CA$1&gt;=Units!$Q86,MOD(CA$1-Units!$Q86,12)=0),IF(AND(Units!$L86=1,CA$1=Units!$Q86),1,Inputs!$B$15)*Inputs!$B$16*(1+Inputs!$B$11)^(CA$2-1),0)</f>
        <v>0</v>
      </c>
      <c r="CB87" s="11" t="n">
        <f aca="false">IF(AND(CB$1&gt;=Units!$Q86,MOD(CB$1-Units!$Q86,12)=0),IF(AND(Units!$L86=1,CB$1=Units!$Q86),1,Inputs!$B$15)*Inputs!$B$16*(1+Inputs!$B$11)^(CB$2-1),0)</f>
        <v>0</v>
      </c>
      <c r="CC87" s="11" t="n">
        <f aca="false">IF(AND(CC$1&gt;=Units!$Q86,MOD(CC$1-Units!$Q86,12)=0),IF(AND(Units!$L86=1,CC$1=Units!$Q86),1,Inputs!$B$15)*Inputs!$B$16*(1+Inputs!$B$11)^(CC$2-1),0)</f>
        <v>0</v>
      </c>
      <c r="CD87" s="11" t="n">
        <f aca="false">IF(AND(CD$1&gt;=Units!$Q86,MOD(CD$1-Units!$Q86,12)=0),IF(AND(Units!$L86=1,CD$1=Units!$Q86),1,Inputs!$B$15)*Inputs!$B$16*(1+Inputs!$B$11)^(CD$2-1),0)</f>
        <v>597.0261482645</v>
      </c>
      <c r="CE87" s="11" t="n">
        <f aca="false">IF(AND(CE$1&gt;=Units!$Q86,MOD(CE$1-Units!$Q86,12)=0),IF(AND(Units!$L86=1,CE$1=Units!$Q86),1,Inputs!$B$15)*Inputs!$B$16*(1+Inputs!$B$11)^(CE$2-1),0)</f>
        <v>0</v>
      </c>
      <c r="CF87" s="11" t="n">
        <f aca="false">IF(AND(CF$1&gt;=Units!$Q86,MOD(CF$1-Units!$Q86,12)=0),IF(AND(Units!$L86=1,CF$1=Units!$Q86),1,Inputs!$B$15)*Inputs!$B$16*(1+Inputs!$B$11)^(CF$2-1),0)</f>
        <v>0</v>
      </c>
      <c r="CG87" s="11" t="n">
        <f aca="false">IF(AND(CG$1&gt;=Units!$Q86,MOD(CG$1-Units!$Q86,12)=0),IF(AND(Units!$L86=1,CG$1=Units!$Q86),1,Inputs!$B$15)*Inputs!$B$16*(1+Inputs!$B$11)^(CG$2-1),0)</f>
        <v>0</v>
      </c>
      <c r="CH87" s="11" t="n">
        <f aca="false">IF(AND(CH$1&gt;=Units!$Q86,MOD(CH$1-Units!$Q86,12)=0),IF(AND(Units!$L86=1,CH$1=Units!$Q86),1,Inputs!$B$15)*Inputs!$B$16*(1+Inputs!$B$11)^(CH$2-1),0)</f>
        <v>0</v>
      </c>
      <c r="CI87" s="11" t="n">
        <f aca="false">IF(AND(CI$1&gt;=Units!$Q86,MOD(CI$1-Units!$Q86,12)=0),IF(AND(Units!$L86=1,CI$1=Units!$Q86),1,Inputs!$B$15)*Inputs!$B$16*(1+Inputs!$B$11)^(CI$2-1),0)</f>
        <v>0</v>
      </c>
      <c r="CJ87" s="11" t="n">
        <f aca="false">IF(AND(CJ$1&gt;=Units!$Q86,MOD(CJ$1-Units!$Q86,12)=0),IF(AND(Units!$L86=1,CJ$1=Units!$Q86),1,Inputs!$B$15)*Inputs!$B$16*(1+Inputs!$B$11)^(CJ$2-1),0)</f>
        <v>0</v>
      </c>
      <c r="CK87" s="11" t="n">
        <f aca="false">IF(AND(CK$1&gt;=Units!$Q86,MOD(CK$1-Units!$Q86,12)=0),IF(AND(Units!$L86=1,CK$1=Units!$Q86),1,Inputs!$B$15)*Inputs!$B$16*(1+Inputs!$B$11)^(CK$2-1),0)</f>
        <v>0</v>
      </c>
      <c r="CL87" s="11" t="n">
        <f aca="false">IF(AND(CL$1&gt;=Units!$Q86,MOD(CL$1-Units!$Q86,12)=0),IF(AND(Units!$L86=1,CL$1=Units!$Q86),1,Inputs!$B$15)*Inputs!$B$16*(1+Inputs!$B$11)^(CL$2-1),0)</f>
        <v>0</v>
      </c>
      <c r="CM87" s="11" t="n">
        <f aca="false">IF(AND(CM$1&gt;=Units!$Q86,MOD(CM$1-Units!$Q86,12)=0),IF(AND(Units!$L86=1,CM$1=Units!$Q86),1,Inputs!$B$15)*Inputs!$B$16*(1+Inputs!$B$11)^(CM$2-1),0)</f>
        <v>0</v>
      </c>
      <c r="CN87" s="11" t="n">
        <f aca="false">IF(AND(CN$1&gt;=Units!$Q86,MOD(CN$1-Units!$Q86,12)=0),IF(AND(Units!$L86=1,CN$1=Units!$Q86),1,Inputs!$B$15)*Inputs!$B$16*(1+Inputs!$B$11)^(CN$2-1),0)</f>
        <v>0</v>
      </c>
      <c r="CO87" s="11" t="n">
        <f aca="false">IF(AND(CO$1&gt;=Units!$Q86,MOD(CO$1-Units!$Q86,12)=0),IF(AND(Units!$L86=1,CO$1=Units!$Q86),1,Inputs!$B$15)*Inputs!$B$16*(1+Inputs!$B$11)^(CO$2-1),0)</f>
        <v>0</v>
      </c>
      <c r="CP87" s="11" t="n">
        <f aca="false">IF(AND(CP$1&gt;=Units!$Q86,MOD(CP$1-Units!$Q86,12)=0),IF(AND(Units!$L86=1,CP$1=Units!$Q86),1,Inputs!$B$15)*Inputs!$B$16*(1+Inputs!$B$11)^(CP$2-1),0)</f>
        <v>614.936932712435</v>
      </c>
      <c r="CQ87" s="11" t="n">
        <f aca="false">IF(AND(CQ$1&gt;=Units!$Q86,MOD(CQ$1-Units!$Q86,12)=0),IF(AND(Units!$L86=1,CQ$1=Units!$Q86),1,Inputs!$B$15)*Inputs!$B$16*(1+Inputs!$B$11)^(CQ$2-1),0)</f>
        <v>0</v>
      </c>
      <c r="CR87" s="11" t="n">
        <f aca="false">IF(AND(CR$1&gt;=Units!$Q86,MOD(CR$1-Units!$Q86,12)=0),IF(AND(Units!$L86=1,CR$1=Units!$Q86),1,Inputs!$B$15)*Inputs!$B$16*(1+Inputs!$B$11)^(CR$2-1),0)</f>
        <v>0</v>
      </c>
      <c r="CS87" s="11" t="n">
        <f aca="false">IF(AND(CS$1&gt;=Units!$Q86,MOD(CS$1-Units!$Q86,12)=0),IF(AND(Units!$L86=1,CS$1=Units!$Q86),1,Inputs!$B$15)*Inputs!$B$16*(1+Inputs!$B$11)^(CS$2-1),0)</f>
        <v>0</v>
      </c>
      <c r="CT87" s="11" t="n">
        <f aca="false">IF(AND(CT$1&gt;=Units!$Q86,MOD(CT$1-Units!$Q86,12)=0),IF(AND(Units!$L86=1,CT$1=Units!$Q86),1,Inputs!$B$15)*Inputs!$B$16*(1+Inputs!$B$11)^(CT$2-1),0)</f>
        <v>0</v>
      </c>
      <c r="CU87" s="11" t="n">
        <f aca="false">IF(AND(CU$1&gt;=Units!$Q86,MOD(CU$1-Units!$Q86,12)=0),IF(AND(Units!$L86=1,CU$1=Units!$Q86),1,Inputs!$B$15)*Inputs!$B$16*(1+Inputs!$B$11)^(CU$2-1),0)</f>
        <v>0</v>
      </c>
      <c r="CV87" s="11" t="n">
        <f aca="false">IF(AND(CV$1&gt;=Units!$Q86,MOD(CV$1-Units!$Q86,12)=0),IF(AND(Units!$L86=1,CV$1=Units!$Q86),1,Inputs!$B$15)*Inputs!$B$16*(1+Inputs!$B$11)^(CV$2-1),0)</f>
        <v>0</v>
      </c>
      <c r="CW87" s="11" t="n">
        <f aca="false">IF(AND(CW$1&gt;=Units!$Q86,MOD(CW$1-Units!$Q86,12)=0),IF(AND(Units!$L86=1,CW$1=Units!$Q86),1,Inputs!$B$15)*Inputs!$B$16*(1+Inputs!$B$11)^(CW$2-1),0)</f>
        <v>0</v>
      </c>
      <c r="CX87" s="11" t="n">
        <f aca="false">IF(AND(CX$1&gt;=Units!$Q86,MOD(CX$1-Units!$Q86,12)=0),IF(AND(Units!$L86=1,CX$1=Units!$Q86),1,Inputs!$B$15)*Inputs!$B$16*(1+Inputs!$B$11)^(CX$2-1),0)</f>
        <v>0</v>
      </c>
      <c r="CY87" s="11" t="n">
        <f aca="false">IF(AND(CY$1&gt;=Units!$Q86,MOD(CY$1-Units!$Q86,12)=0),IF(AND(Units!$L86=1,CY$1=Units!$Q86),1,Inputs!$B$15)*Inputs!$B$16*(1+Inputs!$B$11)^(CY$2-1),0)</f>
        <v>0</v>
      </c>
      <c r="CZ87" s="11" t="n">
        <f aca="false">IF(AND(CZ$1&gt;=Units!$Q86,MOD(CZ$1-Units!$Q86,12)=0),IF(AND(Units!$L86=1,CZ$1=Units!$Q86),1,Inputs!$B$15)*Inputs!$B$16*(1+Inputs!$B$11)^(CZ$2-1),0)</f>
        <v>0</v>
      </c>
      <c r="DA87" s="11" t="n">
        <f aca="false">IF(AND(DA$1&gt;=Units!$Q86,MOD(DA$1-Units!$Q86,12)=0),IF(AND(Units!$L86=1,DA$1=Units!$Q86),1,Inputs!$B$15)*Inputs!$B$16*(1+Inputs!$B$11)^(DA$2-1),0)</f>
        <v>0</v>
      </c>
      <c r="DB87" s="11" t="n">
        <f aca="false">IF(AND(DB$1&gt;=Units!$Q86,MOD(DB$1-Units!$Q86,12)=0),IF(AND(Units!$L86=1,DB$1=Units!$Q86),1,Inputs!$B$15)*Inputs!$B$16*(1+Inputs!$B$11)^(DB$2-1),0)</f>
        <v>633.385040693808</v>
      </c>
      <c r="DC87" s="11" t="n">
        <f aca="false">IF(AND(DC$1&gt;=Units!$Q86,MOD(DC$1-Units!$Q86,12)=0),IF(AND(Units!$L86=1,DC$1=Units!$Q86),1,Inputs!$B$15)*Inputs!$B$16*(1+Inputs!$B$11)^(DC$2-1),0)</f>
        <v>0</v>
      </c>
      <c r="DD87" s="11" t="n">
        <f aca="false">IF(AND(DD$1&gt;=Units!$Q86,MOD(DD$1-Units!$Q86,12)=0),IF(AND(Units!$L86=1,DD$1=Units!$Q86),1,Inputs!$B$15)*Inputs!$B$16*(1+Inputs!$B$11)^(DD$2-1),0)</f>
        <v>0</v>
      </c>
      <c r="DE87" s="11" t="n">
        <f aca="false">IF(AND(DE$1&gt;=Units!$Q86,MOD(DE$1-Units!$Q86,12)=0),IF(AND(Units!$L86=1,DE$1=Units!$Q86),1,Inputs!$B$15)*Inputs!$B$16*(1+Inputs!$B$11)^(DE$2-1),0)</f>
        <v>0</v>
      </c>
      <c r="DF87" s="11" t="n">
        <f aca="false">IF(AND(DF$1&gt;=Units!$Q86,MOD(DF$1-Units!$Q86,12)=0),IF(AND(Units!$L86=1,DF$1=Units!$Q86),1,Inputs!$B$15)*Inputs!$B$16*(1+Inputs!$B$11)^(DF$2-1),0)</f>
        <v>0</v>
      </c>
      <c r="DG87" s="11" t="n">
        <f aca="false">IF(AND(DG$1&gt;=Units!$Q86,MOD(DG$1-Units!$Q86,12)=0),IF(AND(Units!$L86=1,DG$1=Units!$Q86),1,Inputs!$B$15)*Inputs!$B$16*(1+Inputs!$B$11)^(DG$2-1),0)</f>
        <v>0</v>
      </c>
      <c r="DH87" s="11" t="n">
        <f aca="false">IF(AND(DH$1&gt;=Units!$Q86,MOD(DH$1-Units!$Q86,12)=0),IF(AND(Units!$L86=1,DH$1=Units!$Q86),1,Inputs!$B$15)*Inputs!$B$16*(1+Inputs!$B$11)^(DH$2-1),0)</f>
        <v>0</v>
      </c>
      <c r="DI87" s="11" t="n">
        <f aca="false">IF(AND(DI$1&gt;=Units!$Q86,MOD(DI$1-Units!$Q86,12)=0),IF(AND(Units!$L86=1,DI$1=Units!$Q86),1,Inputs!$B$15)*Inputs!$B$16*(1+Inputs!$B$11)^(DI$2-1),0)</f>
        <v>0</v>
      </c>
      <c r="DJ87" s="11" t="n">
        <f aca="false">IF(AND(DJ$1&gt;=Units!$Q86,MOD(DJ$1-Units!$Q86,12)=0),IF(AND(Units!$L86=1,DJ$1=Units!$Q86),1,Inputs!$B$15)*Inputs!$B$16*(1+Inputs!$B$11)^(DJ$2-1),0)</f>
        <v>0</v>
      </c>
      <c r="DK87" s="11" t="n">
        <f aca="false">IF(AND(DK$1&gt;=Units!$Q86,MOD(DK$1-Units!$Q86,12)=0),IF(AND(Units!$L86=1,DK$1=Units!$Q86),1,Inputs!$B$15)*Inputs!$B$16*(1+Inputs!$B$11)^(DK$2-1),0)</f>
        <v>0</v>
      </c>
      <c r="DL87" s="11" t="n">
        <f aca="false">IF(AND(DL$1&gt;=Units!$Q86,MOD(DL$1-Units!$Q86,12)=0),IF(AND(Units!$L86=1,DL$1=Units!$Q86),1,Inputs!$B$15)*Inputs!$B$16*(1+Inputs!$B$11)^(DL$2-1),0)</f>
        <v>0</v>
      </c>
      <c r="DM87" s="11" t="n">
        <f aca="false">IF(AND(DM$1&gt;=Units!$Q86,MOD(DM$1-Units!$Q86,12)=0),IF(AND(Units!$L86=1,DM$1=Units!$Q86),1,Inputs!$B$15)*Inputs!$B$16*(1+Inputs!$B$11)^(DM$2-1),0)</f>
        <v>0</v>
      </c>
      <c r="DN87" s="11" t="n">
        <f aca="false">IF(AND(DN$1&gt;=Units!$Q86,MOD(DN$1-Units!$Q86,12)=0),IF(AND(Units!$L86=1,DN$1=Units!$Q86),1,Inputs!$B$15)*Inputs!$B$16*(1+Inputs!$B$11)^(DN$2-1),0)</f>
        <v>652.386591914623</v>
      </c>
      <c r="DO87" s="11" t="n">
        <f aca="false">IF(AND(DO$1&gt;=Units!$Q86,MOD(DO$1-Units!$Q86,12)=0),IF(AND(Units!$L86=1,DO$1=Units!$Q86),1,Inputs!$B$15)*Inputs!$B$16*(1+Inputs!$B$11)^(DO$2-1),0)</f>
        <v>0</v>
      </c>
      <c r="DP87" s="11" t="n">
        <f aca="false">IF(AND(DP$1&gt;=Units!$Q86,MOD(DP$1-Units!$Q86,12)=0),IF(AND(Units!$L86=1,DP$1=Units!$Q86),1,Inputs!$B$15)*Inputs!$B$16*(1+Inputs!$B$11)^(DP$2-1),0)</f>
        <v>0</v>
      </c>
      <c r="DQ87" s="11" t="n">
        <f aca="false">IF(AND(DQ$1&gt;=Units!$Q86,MOD(DQ$1-Units!$Q86,12)=0),IF(AND(Units!$L86=1,DQ$1=Units!$Q86),1,Inputs!$B$15)*Inputs!$B$16*(1+Inputs!$B$11)^(DQ$2-1),0)</f>
        <v>0</v>
      </c>
      <c r="DR87" s="11" t="n">
        <f aca="false">IF(AND(DR$1&gt;=Units!$Q86,MOD(DR$1-Units!$Q86,12)=0),IF(AND(Units!$L86=1,DR$1=Units!$Q86),1,Inputs!$B$15)*Inputs!$B$16*(1+Inputs!$B$11)^(DR$2-1),0)</f>
        <v>0</v>
      </c>
      <c r="DS87" s="11" t="n">
        <f aca="false">IF(AND(DS$1&gt;=Units!$Q86,MOD(DS$1-Units!$Q86,12)=0),IF(AND(Units!$L86=1,DS$1=Units!$Q86),1,Inputs!$B$15)*Inputs!$B$16*(1+Inputs!$B$11)^(DS$2-1),0)</f>
        <v>0</v>
      </c>
      <c r="DT87" s="11" t="n">
        <f aca="false">IF(AND(DT$1&gt;=Units!$Q86,MOD(DT$1-Units!$Q86,12)=0),IF(AND(Units!$L86=1,DT$1=Units!$Q86),1,Inputs!$B$15)*Inputs!$B$16*(1+Inputs!$B$11)^(DT$2-1),0)</f>
        <v>0</v>
      </c>
      <c r="DU87" s="11" t="n">
        <f aca="false">IF(AND(DU$1&gt;=Units!$Q86,MOD(DU$1-Units!$Q86,12)=0),IF(AND(Units!$L86=1,DU$1=Units!$Q86),1,Inputs!$B$15)*Inputs!$B$16*(1+Inputs!$B$11)^(DU$2-1),0)</f>
        <v>0</v>
      </c>
      <c r="DV87" s="11" t="n">
        <f aca="false">IF(AND(DV$1&gt;=Units!$Q86,MOD(DV$1-Units!$Q86,12)=0),IF(AND(Units!$L86=1,DV$1=Units!$Q86),1,Inputs!$B$15)*Inputs!$B$16*(1+Inputs!$B$11)^(DV$2-1),0)</f>
        <v>0</v>
      </c>
      <c r="DW87" s="11" t="n">
        <f aca="false">IF(AND(DW$1&gt;=Units!$Q86,MOD(DW$1-Units!$Q86,12)=0),IF(AND(Units!$L86=1,DW$1=Units!$Q86),1,Inputs!$B$15)*Inputs!$B$16*(1+Inputs!$B$11)^(DW$2-1),0)</f>
        <v>0</v>
      </c>
      <c r="DX87" s="11" t="n">
        <f aca="false">IF(AND(DX$1&gt;=Units!$Q86,MOD(DX$1-Units!$Q86,12)=0),IF(AND(Units!$L86=1,DX$1=Units!$Q86),1,Inputs!$B$15)*Inputs!$B$16*(1+Inputs!$B$11)^(DX$2-1),0)</f>
        <v>0</v>
      </c>
      <c r="DY87" s="11" t="n">
        <f aca="false">IF(AND(DY$1&gt;=Units!$Q86,MOD(DY$1-Units!$Q86,12)=0),IF(AND(Units!$L86=1,DY$1=Units!$Q86),1,Inputs!$B$15)*Inputs!$B$16*(1+Inputs!$B$11)^(DY$2-1),0)</f>
        <v>0</v>
      </c>
      <c r="DZ87" s="11" t="n">
        <f aca="false">IF(AND(DZ$1&gt;=Units!$Q86,MOD(DZ$1-Units!$Q86,12)=0),IF(AND(Units!$L86=1,DZ$1=Units!$Q86),1,Inputs!$B$15)*Inputs!$B$16*(1+Inputs!$B$11)^(DZ$2-1),0)</f>
        <v>671.958189672061</v>
      </c>
      <c r="EA87" s="11" t="n">
        <f aca="false">IF(AND(EA$1&gt;=Units!$Q86,MOD(EA$1-Units!$Q86,12)=0),IF(AND(Units!$L86=1,EA$1=Units!$Q86),1,Inputs!$B$15)*Inputs!$B$16*(1+Inputs!$B$11)^(EA$2-1),0)</f>
        <v>0</v>
      </c>
      <c r="EB87" s="11" t="n">
        <f aca="false">IF(AND(EB$1&gt;=Units!$Q86,MOD(EB$1-Units!$Q86,12)=0),IF(AND(Units!$L86=1,EB$1=Units!$Q86),1,Inputs!$B$15)*Inputs!$B$16*(1+Inputs!$B$11)^(EB$2-1),0)</f>
        <v>0</v>
      </c>
      <c r="EC87" s="11" t="n">
        <f aca="false">IF(AND(EC$1&gt;=Units!$Q86,MOD(EC$1-Units!$Q86,12)=0),IF(AND(Units!$L86=1,EC$1=Units!$Q86),1,Inputs!$B$15)*Inputs!$B$16*(1+Inputs!$B$11)^(EC$2-1),0)</f>
        <v>0</v>
      </c>
      <c r="ED87" s="11" t="n">
        <f aca="false">IF(AND(ED$1&gt;=Units!$Q86,MOD(ED$1-Units!$Q86,12)=0),IF(AND(Units!$L86=1,ED$1=Units!$Q86),1,Inputs!$B$15)*Inputs!$B$16*(1+Inputs!$B$11)^(ED$2-1),0)</f>
        <v>0</v>
      </c>
    </row>
    <row r="88" customFormat="false" ht="15" hidden="false" customHeight="false" outlineLevel="0" collapsed="false">
      <c r="A88" s="22" t="n">
        <f aca="false">Units!A87</f>
        <v>326</v>
      </c>
      <c r="B88" s="23"/>
      <c r="C88" s="11" t="n">
        <f aca="false">IF(AND(C$1&gt;=Units!$Q87,MOD(C$1-Units!$Q87,12)=0),IF(AND(Units!$L87=1,C$1=Units!$Q87),1,Inputs!$B$15)*Inputs!$B$16*(1+Inputs!$B$11)^(C$2-1),0)</f>
        <v>0</v>
      </c>
      <c r="D88" s="11" t="n">
        <f aca="false">IF(AND(D$1&gt;=Units!$Q87,MOD(D$1-Units!$Q87,12)=0),IF(AND(Units!$L87=1,D$1=Units!$Q87),1,Inputs!$B$15)*Inputs!$B$16*(1+Inputs!$B$11)^(D$2-1),0)</f>
        <v>0</v>
      </c>
      <c r="E88" s="11" t="n">
        <f aca="false">IF(AND(E$1&gt;=Units!$Q87,MOD(E$1-Units!$Q87,12)=0),IF(AND(Units!$L87=1,E$1=Units!$Q87),1,Inputs!$B$15)*Inputs!$B$16*(1+Inputs!$B$11)^(E$2-1),0)</f>
        <v>0</v>
      </c>
      <c r="F88" s="11" t="n">
        <f aca="false">IF(AND(F$1&gt;=Units!$Q87,MOD(F$1-Units!$Q87,12)=0),IF(AND(Units!$L87=1,F$1=Units!$Q87),1,Inputs!$B$15)*Inputs!$B$16*(1+Inputs!$B$11)^(F$2-1),0)</f>
        <v>0</v>
      </c>
      <c r="G88" s="11" t="n">
        <f aca="false">IF(AND(G$1&gt;=Units!$Q87,MOD(G$1-Units!$Q87,12)=0),IF(AND(Units!$L87=1,G$1=Units!$Q87),1,Inputs!$B$15)*Inputs!$B$16*(1+Inputs!$B$11)^(G$2-1),0)</f>
        <v>0</v>
      </c>
      <c r="H88" s="11" t="n">
        <f aca="false">IF(AND(H$1&gt;=Units!$Q87,MOD(H$1-Units!$Q87,12)=0),IF(AND(Units!$L87=1,H$1=Units!$Q87),1,Inputs!$B$15)*Inputs!$B$16*(1+Inputs!$B$11)^(H$2-1),0)</f>
        <v>0</v>
      </c>
      <c r="I88" s="11" t="n">
        <f aca="false">IF(AND(I$1&gt;=Units!$Q87,MOD(I$1-Units!$Q87,12)=0),IF(AND(Units!$L87=1,I$1=Units!$Q87),1,Inputs!$B$15)*Inputs!$B$16*(1+Inputs!$B$11)^(I$2-1),0)</f>
        <v>500</v>
      </c>
      <c r="J88" s="11" t="n">
        <f aca="false">IF(AND(J$1&gt;=Units!$Q87,MOD(J$1-Units!$Q87,12)=0),IF(AND(Units!$L87=1,J$1=Units!$Q87),1,Inputs!$B$15)*Inputs!$B$16*(1+Inputs!$B$11)^(J$2-1),0)</f>
        <v>0</v>
      </c>
      <c r="K88" s="11" t="n">
        <f aca="false">IF(AND(K$1&gt;=Units!$Q87,MOD(K$1-Units!$Q87,12)=0),IF(AND(Units!$L87=1,K$1=Units!$Q87),1,Inputs!$B$15)*Inputs!$B$16*(1+Inputs!$B$11)^(K$2-1),0)</f>
        <v>0</v>
      </c>
      <c r="L88" s="11" t="n">
        <f aca="false">IF(AND(L$1&gt;=Units!$Q87,MOD(L$1-Units!$Q87,12)=0),IF(AND(Units!$L87=1,L$1=Units!$Q87),1,Inputs!$B$15)*Inputs!$B$16*(1+Inputs!$B$11)^(L$2-1),0)</f>
        <v>0</v>
      </c>
      <c r="M88" s="11" t="n">
        <f aca="false">IF(AND(M$1&gt;=Units!$Q87,MOD(M$1-Units!$Q87,12)=0),IF(AND(Units!$L87=1,M$1=Units!$Q87),1,Inputs!$B$15)*Inputs!$B$16*(1+Inputs!$B$11)^(M$2-1),0)</f>
        <v>0</v>
      </c>
      <c r="N88" s="11" t="n">
        <f aca="false">IF(AND(N$1&gt;=Units!$Q87,MOD(N$1-Units!$Q87,12)=0),IF(AND(Units!$L87=1,N$1=Units!$Q87),1,Inputs!$B$15)*Inputs!$B$16*(1+Inputs!$B$11)^(N$2-1),0)</f>
        <v>0</v>
      </c>
      <c r="O88" s="11" t="n">
        <f aca="false">IF(AND(O$1&gt;=Units!$Q87,MOD(O$1-Units!$Q87,12)=0),IF(AND(Units!$L87=1,O$1=Units!$Q87),1,Inputs!$B$15)*Inputs!$B$16*(1+Inputs!$B$11)^(O$2-1),0)</f>
        <v>0</v>
      </c>
      <c r="P88" s="11" t="n">
        <f aca="false">IF(AND(P$1&gt;=Units!$Q87,MOD(P$1-Units!$Q87,12)=0),IF(AND(Units!$L87=1,P$1=Units!$Q87),1,Inputs!$B$15)*Inputs!$B$16*(1+Inputs!$B$11)^(P$2-1),0)</f>
        <v>0</v>
      </c>
      <c r="Q88" s="11" t="n">
        <f aca="false">IF(AND(Q$1&gt;=Units!$Q87,MOD(Q$1-Units!$Q87,12)=0),IF(AND(Units!$L87=1,Q$1=Units!$Q87),1,Inputs!$B$15)*Inputs!$B$16*(1+Inputs!$B$11)^(Q$2-1),0)</f>
        <v>0</v>
      </c>
      <c r="R88" s="11" t="n">
        <f aca="false">IF(AND(R$1&gt;=Units!$Q87,MOD(R$1-Units!$Q87,12)=0),IF(AND(Units!$L87=1,R$1=Units!$Q87),1,Inputs!$B$15)*Inputs!$B$16*(1+Inputs!$B$11)^(R$2-1),0)</f>
        <v>0</v>
      </c>
      <c r="S88" s="11" t="n">
        <f aca="false">IF(AND(S$1&gt;=Units!$Q87,MOD(S$1-Units!$Q87,12)=0),IF(AND(Units!$L87=1,S$1=Units!$Q87),1,Inputs!$B$15)*Inputs!$B$16*(1+Inputs!$B$11)^(S$2-1),0)</f>
        <v>0</v>
      </c>
      <c r="T88" s="11" t="n">
        <f aca="false">IF(AND(T$1&gt;=Units!$Q87,MOD(T$1-Units!$Q87,12)=0),IF(AND(Units!$L87=1,T$1=Units!$Q87),1,Inputs!$B$15)*Inputs!$B$16*(1+Inputs!$B$11)^(T$2-1),0)</f>
        <v>0</v>
      </c>
      <c r="U88" s="11" t="n">
        <f aca="false">IF(AND(U$1&gt;=Units!$Q87,MOD(U$1-Units!$Q87,12)=0),IF(AND(Units!$L87=1,U$1=Units!$Q87),1,Inputs!$B$15)*Inputs!$B$16*(1+Inputs!$B$11)^(U$2-1),0)</f>
        <v>515</v>
      </c>
      <c r="V88" s="11" t="n">
        <f aca="false">IF(AND(V$1&gt;=Units!$Q87,MOD(V$1-Units!$Q87,12)=0),IF(AND(Units!$L87=1,V$1=Units!$Q87),1,Inputs!$B$15)*Inputs!$B$16*(1+Inputs!$B$11)^(V$2-1),0)</f>
        <v>0</v>
      </c>
      <c r="W88" s="11" t="n">
        <f aca="false">IF(AND(W$1&gt;=Units!$Q87,MOD(W$1-Units!$Q87,12)=0),IF(AND(Units!$L87=1,W$1=Units!$Q87),1,Inputs!$B$15)*Inputs!$B$16*(1+Inputs!$B$11)^(W$2-1),0)</f>
        <v>0</v>
      </c>
      <c r="X88" s="11" t="n">
        <f aca="false">IF(AND(X$1&gt;=Units!$Q87,MOD(X$1-Units!$Q87,12)=0),IF(AND(Units!$L87=1,X$1=Units!$Q87),1,Inputs!$B$15)*Inputs!$B$16*(1+Inputs!$B$11)^(X$2-1),0)</f>
        <v>0</v>
      </c>
      <c r="Y88" s="11" t="n">
        <f aca="false">IF(AND(Y$1&gt;=Units!$Q87,MOD(Y$1-Units!$Q87,12)=0),IF(AND(Units!$L87=1,Y$1=Units!$Q87),1,Inputs!$B$15)*Inputs!$B$16*(1+Inputs!$B$11)^(Y$2-1),0)</f>
        <v>0</v>
      </c>
      <c r="Z88" s="11" t="n">
        <f aca="false">IF(AND(Z$1&gt;=Units!$Q87,MOD(Z$1-Units!$Q87,12)=0),IF(AND(Units!$L87=1,Z$1=Units!$Q87),1,Inputs!$B$15)*Inputs!$B$16*(1+Inputs!$B$11)^(Z$2-1),0)</f>
        <v>0</v>
      </c>
      <c r="AA88" s="11" t="n">
        <f aca="false">IF(AND(AA$1&gt;=Units!$Q87,MOD(AA$1-Units!$Q87,12)=0),IF(AND(Units!$L87=1,AA$1=Units!$Q87),1,Inputs!$B$15)*Inputs!$B$16*(1+Inputs!$B$11)^(AA$2-1),0)</f>
        <v>0</v>
      </c>
      <c r="AB88" s="11" t="n">
        <f aca="false">IF(AND(AB$1&gt;=Units!$Q87,MOD(AB$1-Units!$Q87,12)=0),IF(AND(Units!$L87=1,AB$1=Units!$Q87),1,Inputs!$B$15)*Inputs!$B$16*(1+Inputs!$B$11)^(AB$2-1),0)</f>
        <v>0</v>
      </c>
      <c r="AC88" s="11" t="n">
        <f aca="false">IF(AND(AC$1&gt;=Units!$Q87,MOD(AC$1-Units!$Q87,12)=0),IF(AND(Units!$L87=1,AC$1=Units!$Q87),1,Inputs!$B$15)*Inputs!$B$16*(1+Inputs!$B$11)^(AC$2-1),0)</f>
        <v>0</v>
      </c>
      <c r="AD88" s="11" t="n">
        <f aca="false">IF(AND(AD$1&gt;=Units!$Q87,MOD(AD$1-Units!$Q87,12)=0),IF(AND(Units!$L87=1,AD$1=Units!$Q87),1,Inputs!$B$15)*Inputs!$B$16*(1+Inputs!$B$11)^(AD$2-1),0)</f>
        <v>0</v>
      </c>
      <c r="AE88" s="11" t="n">
        <f aca="false">IF(AND(AE$1&gt;=Units!$Q87,MOD(AE$1-Units!$Q87,12)=0),IF(AND(Units!$L87=1,AE$1=Units!$Q87),1,Inputs!$B$15)*Inputs!$B$16*(1+Inputs!$B$11)^(AE$2-1),0)</f>
        <v>0</v>
      </c>
      <c r="AF88" s="11" t="n">
        <f aca="false">IF(AND(AF$1&gt;=Units!$Q87,MOD(AF$1-Units!$Q87,12)=0),IF(AND(Units!$L87=1,AF$1=Units!$Q87),1,Inputs!$B$15)*Inputs!$B$16*(1+Inputs!$B$11)^(AF$2-1),0)</f>
        <v>0</v>
      </c>
      <c r="AG88" s="11" t="n">
        <f aca="false">IF(AND(AG$1&gt;=Units!$Q87,MOD(AG$1-Units!$Q87,12)=0),IF(AND(Units!$L87=1,AG$1=Units!$Q87),1,Inputs!$B$15)*Inputs!$B$16*(1+Inputs!$B$11)^(AG$2-1),0)</f>
        <v>530.45</v>
      </c>
      <c r="AH88" s="11" t="n">
        <f aca="false">IF(AND(AH$1&gt;=Units!$Q87,MOD(AH$1-Units!$Q87,12)=0),IF(AND(Units!$L87=1,AH$1=Units!$Q87),1,Inputs!$B$15)*Inputs!$B$16*(1+Inputs!$B$11)^(AH$2-1),0)</f>
        <v>0</v>
      </c>
      <c r="AI88" s="11" t="n">
        <f aca="false">IF(AND(AI$1&gt;=Units!$Q87,MOD(AI$1-Units!$Q87,12)=0),IF(AND(Units!$L87=1,AI$1=Units!$Q87),1,Inputs!$B$15)*Inputs!$B$16*(1+Inputs!$B$11)^(AI$2-1),0)</f>
        <v>0</v>
      </c>
      <c r="AJ88" s="11" t="n">
        <f aca="false">IF(AND(AJ$1&gt;=Units!$Q87,MOD(AJ$1-Units!$Q87,12)=0),IF(AND(Units!$L87=1,AJ$1=Units!$Q87),1,Inputs!$B$15)*Inputs!$B$16*(1+Inputs!$B$11)^(AJ$2-1),0)</f>
        <v>0</v>
      </c>
      <c r="AK88" s="11" t="n">
        <f aca="false">IF(AND(AK$1&gt;=Units!$Q87,MOD(AK$1-Units!$Q87,12)=0),IF(AND(Units!$L87=1,AK$1=Units!$Q87),1,Inputs!$B$15)*Inputs!$B$16*(1+Inputs!$B$11)^(AK$2-1),0)</f>
        <v>0</v>
      </c>
      <c r="AL88" s="11" t="n">
        <f aca="false">IF(AND(AL$1&gt;=Units!$Q87,MOD(AL$1-Units!$Q87,12)=0),IF(AND(Units!$L87=1,AL$1=Units!$Q87),1,Inputs!$B$15)*Inputs!$B$16*(1+Inputs!$B$11)^(AL$2-1),0)</f>
        <v>0</v>
      </c>
      <c r="AM88" s="11" t="n">
        <f aca="false">IF(AND(AM$1&gt;=Units!$Q87,MOD(AM$1-Units!$Q87,12)=0),IF(AND(Units!$L87=1,AM$1=Units!$Q87),1,Inputs!$B$15)*Inputs!$B$16*(1+Inputs!$B$11)^(AM$2-1),0)</f>
        <v>0</v>
      </c>
      <c r="AN88" s="11" t="n">
        <f aca="false">IF(AND(AN$1&gt;=Units!$Q87,MOD(AN$1-Units!$Q87,12)=0),IF(AND(Units!$L87=1,AN$1=Units!$Q87),1,Inputs!$B$15)*Inputs!$B$16*(1+Inputs!$B$11)^(AN$2-1),0)</f>
        <v>0</v>
      </c>
      <c r="AO88" s="11" t="n">
        <f aca="false">IF(AND(AO$1&gt;=Units!$Q87,MOD(AO$1-Units!$Q87,12)=0),IF(AND(Units!$L87=1,AO$1=Units!$Q87),1,Inputs!$B$15)*Inputs!$B$16*(1+Inputs!$B$11)^(AO$2-1),0)</f>
        <v>0</v>
      </c>
      <c r="AP88" s="11" t="n">
        <f aca="false">IF(AND(AP$1&gt;=Units!$Q87,MOD(AP$1-Units!$Q87,12)=0),IF(AND(Units!$L87=1,AP$1=Units!$Q87),1,Inputs!$B$15)*Inputs!$B$16*(1+Inputs!$B$11)^(AP$2-1),0)</f>
        <v>0</v>
      </c>
      <c r="AQ88" s="11" t="n">
        <f aca="false">IF(AND(AQ$1&gt;=Units!$Q87,MOD(AQ$1-Units!$Q87,12)=0),IF(AND(Units!$L87=1,AQ$1=Units!$Q87),1,Inputs!$B$15)*Inputs!$B$16*(1+Inputs!$B$11)^(AQ$2-1),0)</f>
        <v>0</v>
      </c>
      <c r="AR88" s="11" t="n">
        <f aca="false">IF(AND(AR$1&gt;=Units!$Q87,MOD(AR$1-Units!$Q87,12)=0),IF(AND(Units!$L87=1,AR$1=Units!$Q87),1,Inputs!$B$15)*Inputs!$B$16*(1+Inputs!$B$11)^(AR$2-1),0)</f>
        <v>0</v>
      </c>
      <c r="AS88" s="11" t="n">
        <f aca="false">IF(AND(AS$1&gt;=Units!$Q87,MOD(AS$1-Units!$Q87,12)=0),IF(AND(Units!$L87=1,AS$1=Units!$Q87),1,Inputs!$B$15)*Inputs!$B$16*(1+Inputs!$B$11)^(AS$2-1),0)</f>
        <v>546.3635</v>
      </c>
      <c r="AT88" s="11" t="n">
        <f aca="false">IF(AND(AT$1&gt;=Units!$Q87,MOD(AT$1-Units!$Q87,12)=0),IF(AND(Units!$L87=1,AT$1=Units!$Q87),1,Inputs!$B$15)*Inputs!$B$16*(1+Inputs!$B$11)^(AT$2-1),0)</f>
        <v>0</v>
      </c>
      <c r="AU88" s="11" t="n">
        <f aca="false">IF(AND(AU$1&gt;=Units!$Q87,MOD(AU$1-Units!$Q87,12)=0),IF(AND(Units!$L87=1,AU$1=Units!$Q87),1,Inputs!$B$15)*Inputs!$B$16*(1+Inputs!$B$11)^(AU$2-1),0)</f>
        <v>0</v>
      </c>
      <c r="AV88" s="11" t="n">
        <f aca="false">IF(AND(AV$1&gt;=Units!$Q87,MOD(AV$1-Units!$Q87,12)=0),IF(AND(Units!$L87=1,AV$1=Units!$Q87),1,Inputs!$B$15)*Inputs!$B$16*(1+Inputs!$B$11)^(AV$2-1),0)</f>
        <v>0</v>
      </c>
      <c r="AW88" s="11" t="n">
        <f aca="false">IF(AND(AW$1&gt;=Units!$Q87,MOD(AW$1-Units!$Q87,12)=0),IF(AND(Units!$L87=1,AW$1=Units!$Q87),1,Inputs!$B$15)*Inputs!$B$16*(1+Inputs!$B$11)^(AW$2-1),0)</f>
        <v>0</v>
      </c>
      <c r="AX88" s="11" t="n">
        <f aca="false">IF(AND(AX$1&gt;=Units!$Q87,MOD(AX$1-Units!$Q87,12)=0),IF(AND(Units!$L87=1,AX$1=Units!$Q87),1,Inputs!$B$15)*Inputs!$B$16*(1+Inputs!$B$11)^(AX$2-1),0)</f>
        <v>0</v>
      </c>
      <c r="AY88" s="11" t="n">
        <f aca="false">IF(AND(AY$1&gt;=Units!$Q87,MOD(AY$1-Units!$Q87,12)=0),IF(AND(Units!$L87=1,AY$1=Units!$Q87),1,Inputs!$B$15)*Inputs!$B$16*(1+Inputs!$B$11)^(AY$2-1),0)</f>
        <v>0</v>
      </c>
      <c r="AZ88" s="11" t="n">
        <f aca="false">IF(AND(AZ$1&gt;=Units!$Q87,MOD(AZ$1-Units!$Q87,12)=0),IF(AND(Units!$L87=1,AZ$1=Units!$Q87),1,Inputs!$B$15)*Inputs!$B$16*(1+Inputs!$B$11)^(AZ$2-1),0)</f>
        <v>0</v>
      </c>
      <c r="BA88" s="11" t="n">
        <f aca="false">IF(AND(BA$1&gt;=Units!$Q87,MOD(BA$1-Units!$Q87,12)=0),IF(AND(Units!$L87=1,BA$1=Units!$Q87),1,Inputs!$B$15)*Inputs!$B$16*(1+Inputs!$B$11)^(BA$2-1),0)</f>
        <v>0</v>
      </c>
      <c r="BB88" s="11" t="n">
        <f aca="false">IF(AND(BB$1&gt;=Units!$Q87,MOD(BB$1-Units!$Q87,12)=0),IF(AND(Units!$L87=1,BB$1=Units!$Q87),1,Inputs!$B$15)*Inputs!$B$16*(1+Inputs!$B$11)^(BB$2-1),0)</f>
        <v>0</v>
      </c>
      <c r="BC88" s="11" t="n">
        <f aca="false">IF(AND(BC$1&gt;=Units!$Q87,MOD(BC$1-Units!$Q87,12)=0),IF(AND(Units!$L87=1,BC$1=Units!$Q87),1,Inputs!$B$15)*Inputs!$B$16*(1+Inputs!$B$11)^(BC$2-1),0)</f>
        <v>0</v>
      </c>
      <c r="BD88" s="11" t="n">
        <f aca="false">IF(AND(BD$1&gt;=Units!$Q87,MOD(BD$1-Units!$Q87,12)=0),IF(AND(Units!$L87=1,BD$1=Units!$Q87),1,Inputs!$B$15)*Inputs!$B$16*(1+Inputs!$B$11)^(BD$2-1),0)</f>
        <v>0</v>
      </c>
      <c r="BE88" s="11" t="n">
        <f aca="false">IF(AND(BE$1&gt;=Units!$Q87,MOD(BE$1-Units!$Q87,12)=0),IF(AND(Units!$L87=1,BE$1=Units!$Q87),1,Inputs!$B$15)*Inputs!$B$16*(1+Inputs!$B$11)^(BE$2-1),0)</f>
        <v>562.754405</v>
      </c>
      <c r="BF88" s="11" t="n">
        <f aca="false">IF(AND(BF$1&gt;=Units!$Q87,MOD(BF$1-Units!$Q87,12)=0),IF(AND(Units!$L87=1,BF$1=Units!$Q87),1,Inputs!$B$15)*Inputs!$B$16*(1+Inputs!$B$11)^(BF$2-1),0)</f>
        <v>0</v>
      </c>
      <c r="BG88" s="11" t="n">
        <f aca="false">IF(AND(BG$1&gt;=Units!$Q87,MOD(BG$1-Units!$Q87,12)=0),IF(AND(Units!$L87=1,BG$1=Units!$Q87),1,Inputs!$B$15)*Inputs!$B$16*(1+Inputs!$B$11)^(BG$2-1),0)</f>
        <v>0</v>
      </c>
      <c r="BH88" s="11" t="n">
        <f aca="false">IF(AND(BH$1&gt;=Units!$Q87,MOD(BH$1-Units!$Q87,12)=0),IF(AND(Units!$L87=1,BH$1=Units!$Q87),1,Inputs!$B$15)*Inputs!$B$16*(1+Inputs!$B$11)^(BH$2-1),0)</f>
        <v>0</v>
      </c>
      <c r="BI88" s="11" t="n">
        <f aca="false">IF(AND(BI$1&gt;=Units!$Q87,MOD(BI$1-Units!$Q87,12)=0),IF(AND(Units!$L87=1,BI$1=Units!$Q87),1,Inputs!$B$15)*Inputs!$B$16*(1+Inputs!$B$11)^(BI$2-1),0)</f>
        <v>0</v>
      </c>
      <c r="BJ88" s="11" t="n">
        <f aca="false">IF(AND(BJ$1&gt;=Units!$Q87,MOD(BJ$1-Units!$Q87,12)=0),IF(AND(Units!$L87=1,BJ$1=Units!$Q87),1,Inputs!$B$15)*Inputs!$B$16*(1+Inputs!$B$11)^(BJ$2-1),0)</f>
        <v>0</v>
      </c>
      <c r="BK88" s="11" t="n">
        <f aca="false">IF(AND(BK$1&gt;=Units!$Q87,MOD(BK$1-Units!$Q87,12)=0),IF(AND(Units!$L87=1,BK$1=Units!$Q87),1,Inputs!$B$15)*Inputs!$B$16*(1+Inputs!$B$11)^(BK$2-1),0)</f>
        <v>0</v>
      </c>
      <c r="BL88" s="11" t="n">
        <f aca="false">IF(AND(BL$1&gt;=Units!$Q87,MOD(BL$1-Units!$Q87,12)=0),IF(AND(Units!$L87=1,BL$1=Units!$Q87),1,Inputs!$B$15)*Inputs!$B$16*(1+Inputs!$B$11)^(BL$2-1),0)</f>
        <v>0</v>
      </c>
      <c r="BM88" s="11" t="n">
        <f aca="false">IF(AND(BM$1&gt;=Units!$Q87,MOD(BM$1-Units!$Q87,12)=0),IF(AND(Units!$L87=1,BM$1=Units!$Q87),1,Inputs!$B$15)*Inputs!$B$16*(1+Inputs!$B$11)^(BM$2-1),0)</f>
        <v>0</v>
      </c>
      <c r="BN88" s="11" t="n">
        <f aca="false">IF(AND(BN$1&gt;=Units!$Q87,MOD(BN$1-Units!$Q87,12)=0),IF(AND(Units!$L87=1,BN$1=Units!$Q87),1,Inputs!$B$15)*Inputs!$B$16*(1+Inputs!$B$11)^(BN$2-1),0)</f>
        <v>0</v>
      </c>
      <c r="BO88" s="11" t="n">
        <f aca="false">IF(AND(BO$1&gt;=Units!$Q87,MOD(BO$1-Units!$Q87,12)=0),IF(AND(Units!$L87=1,BO$1=Units!$Q87),1,Inputs!$B$15)*Inputs!$B$16*(1+Inputs!$B$11)^(BO$2-1),0)</f>
        <v>0</v>
      </c>
      <c r="BP88" s="11" t="n">
        <f aca="false">IF(AND(BP$1&gt;=Units!$Q87,MOD(BP$1-Units!$Q87,12)=0),IF(AND(Units!$L87=1,BP$1=Units!$Q87),1,Inputs!$B$15)*Inputs!$B$16*(1+Inputs!$B$11)^(BP$2-1),0)</f>
        <v>0</v>
      </c>
      <c r="BQ88" s="11" t="n">
        <f aca="false">IF(AND(BQ$1&gt;=Units!$Q87,MOD(BQ$1-Units!$Q87,12)=0),IF(AND(Units!$L87=1,BQ$1=Units!$Q87),1,Inputs!$B$15)*Inputs!$B$16*(1+Inputs!$B$11)^(BQ$2-1),0)</f>
        <v>579.63703715</v>
      </c>
      <c r="BR88" s="11" t="n">
        <f aca="false">IF(AND(BR$1&gt;=Units!$Q87,MOD(BR$1-Units!$Q87,12)=0),IF(AND(Units!$L87=1,BR$1=Units!$Q87),1,Inputs!$B$15)*Inputs!$B$16*(1+Inputs!$B$11)^(BR$2-1),0)</f>
        <v>0</v>
      </c>
      <c r="BS88" s="11" t="n">
        <f aca="false">IF(AND(BS$1&gt;=Units!$Q87,MOD(BS$1-Units!$Q87,12)=0),IF(AND(Units!$L87=1,BS$1=Units!$Q87),1,Inputs!$B$15)*Inputs!$B$16*(1+Inputs!$B$11)^(BS$2-1),0)</f>
        <v>0</v>
      </c>
      <c r="BT88" s="11" t="n">
        <f aca="false">IF(AND(BT$1&gt;=Units!$Q87,MOD(BT$1-Units!$Q87,12)=0),IF(AND(Units!$L87=1,BT$1=Units!$Q87),1,Inputs!$B$15)*Inputs!$B$16*(1+Inputs!$B$11)^(BT$2-1),0)</f>
        <v>0</v>
      </c>
      <c r="BU88" s="11" t="n">
        <f aca="false">IF(AND(BU$1&gt;=Units!$Q87,MOD(BU$1-Units!$Q87,12)=0),IF(AND(Units!$L87=1,BU$1=Units!$Q87),1,Inputs!$B$15)*Inputs!$B$16*(1+Inputs!$B$11)^(BU$2-1),0)</f>
        <v>0</v>
      </c>
      <c r="BV88" s="11" t="n">
        <f aca="false">IF(AND(BV$1&gt;=Units!$Q87,MOD(BV$1-Units!$Q87,12)=0),IF(AND(Units!$L87=1,BV$1=Units!$Q87),1,Inputs!$B$15)*Inputs!$B$16*(1+Inputs!$B$11)^(BV$2-1),0)</f>
        <v>0</v>
      </c>
      <c r="BW88" s="11" t="n">
        <f aca="false">IF(AND(BW$1&gt;=Units!$Q87,MOD(BW$1-Units!$Q87,12)=0),IF(AND(Units!$L87=1,BW$1=Units!$Q87),1,Inputs!$B$15)*Inputs!$B$16*(1+Inputs!$B$11)^(BW$2-1),0)</f>
        <v>0</v>
      </c>
      <c r="BX88" s="11" t="n">
        <f aca="false">IF(AND(BX$1&gt;=Units!$Q87,MOD(BX$1-Units!$Q87,12)=0),IF(AND(Units!$L87=1,BX$1=Units!$Q87),1,Inputs!$B$15)*Inputs!$B$16*(1+Inputs!$B$11)^(BX$2-1),0)</f>
        <v>0</v>
      </c>
      <c r="BY88" s="11" t="n">
        <f aca="false">IF(AND(BY$1&gt;=Units!$Q87,MOD(BY$1-Units!$Q87,12)=0),IF(AND(Units!$L87=1,BY$1=Units!$Q87),1,Inputs!$B$15)*Inputs!$B$16*(1+Inputs!$B$11)^(BY$2-1),0)</f>
        <v>0</v>
      </c>
      <c r="BZ88" s="11" t="n">
        <f aca="false">IF(AND(BZ$1&gt;=Units!$Q87,MOD(BZ$1-Units!$Q87,12)=0),IF(AND(Units!$L87=1,BZ$1=Units!$Q87),1,Inputs!$B$15)*Inputs!$B$16*(1+Inputs!$B$11)^(BZ$2-1),0)</f>
        <v>0</v>
      </c>
      <c r="CA88" s="11" t="n">
        <f aca="false">IF(AND(CA$1&gt;=Units!$Q87,MOD(CA$1-Units!$Q87,12)=0),IF(AND(Units!$L87=1,CA$1=Units!$Q87),1,Inputs!$B$15)*Inputs!$B$16*(1+Inputs!$B$11)^(CA$2-1),0)</f>
        <v>0</v>
      </c>
      <c r="CB88" s="11" t="n">
        <f aca="false">IF(AND(CB$1&gt;=Units!$Q87,MOD(CB$1-Units!$Q87,12)=0),IF(AND(Units!$L87=1,CB$1=Units!$Q87),1,Inputs!$B$15)*Inputs!$B$16*(1+Inputs!$B$11)^(CB$2-1),0)</f>
        <v>0</v>
      </c>
      <c r="CC88" s="11" t="n">
        <f aca="false">IF(AND(CC$1&gt;=Units!$Q87,MOD(CC$1-Units!$Q87,12)=0),IF(AND(Units!$L87=1,CC$1=Units!$Q87),1,Inputs!$B$15)*Inputs!$B$16*(1+Inputs!$B$11)^(CC$2-1),0)</f>
        <v>597.0261482645</v>
      </c>
      <c r="CD88" s="11" t="n">
        <f aca="false">IF(AND(CD$1&gt;=Units!$Q87,MOD(CD$1-Units!$Q87,12)=0),IF(AND(Units!$L87=1,CD$1=Units!$Q87),1,Inputs!$B$15)*Inputs!$B$16*(1+Inputs!$B$11)^(CD$2-1),0)</f>
        <v>0</v>
      </c>
      <c r="CE88" s="11" t="n">
        <f aca="false">IF(AND(CE$1&gt;=Units!$Q87,MOD(CE$1-Units!$Q87,12)=0),IF(AND(Units!$L87=1,CE$1=Units!$Q87),1,Inputs!$B$15)*Inputs!$B$16*(1+Inputs!$B$11)^(CE$2-1),0)</f>
        <v>0</v>
      </c>
      <c r="CF88" s="11" t="n">
        <f aca="false">IF(AND(CF$1&gt;=Units!$Q87,MOD(CF$1-Units!$Q87,12)=0),IF(AND(Units!$L87=1,CF$1=Units!$Q87),1,Inputs!$B$15)*Inputs!$B$16*(1+Inputs!$B$11)^(CF$2-1),0)</f>
        <v>0</v>
      </c>
      <c r="CG88" s="11" t="n">
        <f aca="false">IF(AND(CG$1&gt;=Units!$Q87,MOD(CG$1-Units!$Q87,12)=0),IF(AND(Units!$L87=1,CG$1=Units!$Q87),1,Inputs!$B$15)*Inputs!$B$16*(1+Inputs!$B$11)^(CG$2-1),0)</f>
        <v>0</v>
      </c>
      <c r="CH88" s="11" t="n">
        <f aca="false">IF(AND(CH$1&gt;=Units!$Q87,MOD(CH$1-Units!$Q87,12)=0),IF(AND(Units!$L87=1,CH$1=Units!$Q87),1,Inputs!$B$15)*Inputs!$B$16*(1+Inputs!$B$11)^(CH$2-1),0)</f>
        <v>0</v>
      </c>
      <c r="CI88" s="11" t="n">
        <f aca="false">IF(AND(CI$1&gt;=Units!$Q87,MOD(CI$1-Units!$Q87,12)=0),IF(AND(Units!$L87=1,CI$1=Units!$Q87),1,Inputs!$B$15)*Inputs!$B$16*(1+Inputs!$B$11)^(CI$2-1),0)</f>
        <v>0</v>
      </c>
      <c r="CJ88" s="11" t="n">
        <f aca="false">IF(AND(CJ$1&gt;=Units!$Q87,MOD(CJ$1-Units!$Q87,12)=0),IF(AND(Units!$L87=1,CJ$1=Units!$Q87),1,Inputs!$B$15)*Inputs!$B$16*(1+Inputs!$B$11)^(CJ$2-1),0)</f>
        <v>0</v>
      </c>
      <c r="CK88" s="11" t="n">
        <f aca="false">IF(AND(CK$1&gt;=Units!$Q87,MOD(CK$1-Units!$Q87,12)=0),IF(AND(Units!$L87=1,CK$1=Units!$Q87),1,Inputs!$B$15)*Inputs!$B$16*(1+Inputs!$B$11)^(CK$2-1),0)</f>
        <v>0</v>
      </c>
      <c r="CL88" s="11" t="n">
        <f aca="false">IF(AND(CL$1&gt;=Units!$Q87,MOD(CL$1-Units!$Q87,12)=0),IF(AND(Units!$L87=1,CL$1=Units!$Q87),1,Inputs!$B$15)*Inputs!$B$16*(1+Inputs!$B$11)^(CL$2-1),0)</f>
        <v>0</v>
      </c>
      <c r="CM88" s="11" t="n">
        <f aca="false">IF(AND(CM$1&gt;=Units!$Q87,MOD(CM$1-Units!$Q87,12)=0),IF(AND(Units!$L87=1,CM$1=Units!$Q87),1,Inputs!$B$15)*Inputs!$B$16*(1+Inputs!$B$11)^(CM$2-1),0)</f>
        <v>0</v>
      </c>
      <c r="CN88" s="11" t="n">
        <f aca="false">IF(AND(CN$1&gt;=Units!$Q87,MOD(CN$1-Units!$Q87,12)=0),IF(AND(Units!$L87=1,CN$1=Units!$Q87),1,Inputs!$B$15)*Inputs!$B$16*(1+Inputs!$B$11)^(CN$2-1),0)</f>
        <v>0</v>
      </c>
      <c r="CO88" s="11" t="n">
        <f aca="false">IF(AND(CO$1&gt;=Units!$Q87,MOD(CO$1-Units!$Q87,12)=0),IF(AND(Units!$L87=1,CO$1=Units!$Q87),1,Inputs!$B$15)*Inputs!$B$16*(1+Inputs!$B$11)^(CO$2-1),0)</f>
        <v>614.936932712435</v>
      </c>
      <c r="CP88" s="11" t="n">
        <f aca="false">IF(AND(CP$1&gt;=Units!$Q87,MOD(CP$1-Units!$Q87,12)=0),IF(AND(Units!$L87=1,CP$1=Units!$Q87),1,Inputs!$B$15)*Inputs!$B$16*(1+Inputs!$B$11)^(CP$2-1),0)</f>
        <v>0</v>
      </c>
      <c r="CQ88" s="11" t="n">
        <f aca="false">IF(AND(CQ$1&gt;=Units!$Q87,MOD(CQ$1-Units!$Q87,12)=0),IF(AND(Units!$L87=1,CQ$1=Units!$Q87),1,Inputs!$B$15)*Inputs!$B$16*(1+Inputs!$B$11)^(CQ$2-1),0)</f>
        <v>0</v>
      </c>
      <c r="CR88" s="11" t="n">
        <f aca="false">IF(AND(CR$1&gt;=Units!$Q87,MOD(CR$1-Units!$Q87,12)=0),IF(AND(Units!$L87=1,CR$1=Units!$Q87),1,Inputs!$B$15)*Inputs!$B$16*(1+Inputs!$B$11)^(CR$2-1),0)</f>
        <v>0</v>
      </c>
      <c r="CS88" s="11" t="n">
        <f aca="false">IF(AND(CS$1&gt;=Units!$Q87,MOD(CS$1-Units!$Q87,12)=0),IF(AND(Units!$L87=1,CS$1=Units!$Q87),1,Inputs!$B$15)*Inputs!$B$16*(1+Inputs!$B$11)^(CS$2-1),0)</f>
        <v>0</v>
      </c>
      <c r="CT88" s="11" t="n">
        <f aca="false">IF(AND(CT$1&gt;=Units!$Q87,MOD(CT$1-Units!$Q87,12)=0),IF(AND(Units!$L87=1,CT$1=Units!$Q87),1,Inputs!$B$15)*Inputs!$B$16*(1+Inputs!$B$11)^(CT$2-1),0)</f>
        <v>0</v>
      </c>
      <c r="CU88" s="11" t="n">
        <f aca="false">IF(AND(CU$1&gt;=Units!$Q87,MOD(CU$1-Units!$Q87,12)=0),IF(AND(Units!$L87=1,CU$1=Units!$Q87),1,Inputs!$B$15)*Inputs!$B$16*(1+Inputs!$B$11)^(CU$2-1),0)</f>
        <v>0</v>
      </c>
      <c r="CV88" s="11" t="n">
        <f aca="false">IF(AND(CV$1&gt;=Units!$Q87,MOD(CV$1-Units!$Q87,12)=0),IF(AND(Units!$L87=1,CV$1=Units!$Q87),1,Inputs!$B$15)*Inputs!$B$16*(1+Inputs!$B$11)^(CV$2-1),0)</f>
        <v>0</v>
      </c>
      <c r="CW88" s="11" t="n">
        <f aca="false">IF(AND(CW$1&gt;=Units!$Q87,MOD(CW$1-Units!$Q87,12)=0),IF(AND(Units!$L87=1,CW$1=Units!$Q87),1,Inputs!$B$15)*Inputs!$B$16*(1+Inputs!$B$11)^(CW$2-1),0)</f>
        <v>0</v>
      </c>
      <c r="CX88" s="11" t="n">
        <f aca="false">IF(AND(CX$1&gt;=Units!$Q87,MOD(CX$1-Units!$Q87,12)=0),IF(AND(Units!$L87=1,CX$1=Units!$Q87),1,Inputs!$B$15)*Inputs!$B$16*(1+Inputs!$B$11)^(CX$2-1),0)</f>
        <v>0</v>
      </c>
      <c r="CY88" s="11" t="n">
        <f aca="false">IF(AND(CY$1&gt;=Units!$Q87,MOD(CY$1-Units!$Q87,12)=0),IF(AND(Units!$L87=1,CY$1=Units!$Q87),1,Inputs!$B$15)*Inputs!$B$16*(1+Inputs!$B$11)^(CY$2-1),0)</f>
        <v>0</v>
      </c>
      <c r="CZ88" s="11" t="n">
        <f aca="false">IF(AND(CZ$1&gt;=Units!$Q87,MOD(CZ$1-Units!$Q87,12)=0),IF(AND(Units!$L87=1,CZ$1=Units!$Q87),1,Inputs!$B$15)*Inputs!$B$16*(1+Inputs!$B$11)^(CZ$2-1),0)</f>
        <v>0</v>
      </c>
      <c r="DA88" s="11" t="n">
        <f aca="false">IF(AND(DA$1&gt;=Units!$Q87,MOD(DA$1-Units!$Q87,12)=0),IF(AND(Units!$L87=1,DA$1=Units!$Q87),1,Inputs!$B$15)*Inputs!$B$16*(1+Inputs!$B$11)^(DA$2-1),0)</f>
        <v>633.385040693808</v>
      </c>
      <c r="DB88" s="11" t="n">
        <f aca="false">IF(AND(DB$1&gt;=Units!$Q87,MOD(DB$1-Units!$Q87,12)=0),IF(AND(Units!$L87=1,DB$1=Units!$Q87),1,Inputs!$B$15)*Inputs!$B$16*(1+Inputs!$B$11)^(DB$2-1),0)</f>
        <v>0</v>
      </c>
      <c r="DC88" s="11" t="n">
        <f aca="false">IF(AND(DC$1&gt;=Units!$Q87,MOD(DC$1-Units!$Q87,12)=0),IF(AND(Units!$L87=1,DC$1=Units!$Q87),1,Inputs!$B$15)*Inputs!$B$16*(1+Inputs!$B$11)^(DC$2-1),0)</f>
        <v>0</v>
      </c>
      <c r="DD88" s="11" t="n">
        <f aca="false">IF(AND(DD$1&gt;=Units!$Q87,MOD(DD$1-Units!$Q87,12)=0),IF(AND(Units!$L87=1,DD$1=Units!$Q87),1,Inputs!$B$15)*Inputs!$B$16*(1+Inputs!$B$11)^(DD$2-1),0)</f>
        <v>0</v>
      </c>
      <c r="DE88" s="11" t="n">
        <f aca="false">IF(AND(DE$1&gt;=Units!$Q87,MOD(DE$1-Units!$Q87,12)=0),IF(AND(Units!$L87=1,DE$1=Units!$Q87),1,Inputs!$B$15)*Inputs!$B$16*(1+Inputs!$B$11)^(DE$2-1),0)</f>
        <v>0</v>
      </c>
      <c r="DF88" s="11" t="n">
        <f aca="false">IF(AND(DF$1&gt;=Units!$Q87,MOD(DF$1-Units!$Q87,12)=0),IF(AND(Units!$L87=1,DF$1=Units!$Q87),1,Inputs!$B$15)*Inputs!$B$16*(1+Inputs!$B$11)^(DF$2-1),0)</f>
        <v>0</v>
      </c>
      <c r="DG88" s="11" t="n">
        <f aca="false">IF(AND(DG$1&gt;=Units!$Q87,MOD(DG$1-Units!$Q87,12)=0),IF(AND(Units!$L87=1,DG$1=Units!$Q87),1,Inputs!$B$15)*Inputs!$B$16*(1+Inputs!$B$11)^(DG$2-1),0)</f>
        <v>0</v>
      </c>
      <c r="DH88" s="11" t="n">
        <f aca="false">IF(AND(DH$1&gt;=Units!$Q87,MOD(DH$1-Units!$Q87,12)=0),IF(AND(Units!$L87=1,DH$1=Units!$Q87),1,Inputs!$B$15)*Inputs!$B$16*(1+Inputs!$B$11)^(DH$2-1),0)</f>
        <v>0</v>
      </c>
      <c r="DI88" s="11" t="n">
        <f aca="false">IF(AND(DI$1&gt;=Units!$Q87,MOD(DI$1-Units!$Q87,12)=0),IF(AND(Units!$L87=1,DI$1=Units!$Q87),1,Inputs!$B$15)*Inputs!$B$16*(1+Inputs!$B$11)^(DI$2-1),0)</f>
        <v>0</v>
      </c>
      <c r="DJ88" s="11" t="n">
        <f aca="false">IF(AND(DJ$1&gt;=Units!$Q87,MOD(DJ$1-Units!$Q87,12)=0),IF(AND(Units!$L87=1,DJ$1=Units!$Q87),1,Inputs!$B$15)*Inputs!$B$16*(1+Inputs!$B$11)^(DJ$2-1),0)</f>
        <v>0</v>
      </c>
      <c r="DK88" s="11" t="n">
        <f aca="false">IF(AND(DK$1&gt;=Units!$Q87,MOD(DK$1-Units!$Q87,12)=0),IF(AND(Units!$L87=1,DK$1=Units!$Q87),1,Inputs!$B$15)*Inputs!$B$16*(1+Inputs!$B$11)^(DK$2-1),0)</f>
        <v>0</v>
      </c>
      <c r="DL88" s="11" t="n">
        <f aca="false">IF(AND(DL$1&gt;=Units!$Q87,MOD(DL$1-Units!$Q87,12)=0),IF(AND(Units!$L87=1,DL$1=Units!$Q87),1,Inputs!$B$15)*Inputs!$B$16*(1+Inputs!$B$11)^(DL$2-1),0)</f>
        <v>0</v>
      </c>
      <c r="DM88" s="11" t="n">
        <f aca="false">IF(AND(DM$1&gt;=Units!$Q87,MOD(DM$1-Units!$Q87,12)=0),IF(AND(Units!$L87=1,DM$1=Units!$Q87),1,Inputs!$B$15)*Inputs!$B$16*(1+Inputs!$B$11)^(DM$2-1),0)</f>
        <v>652.386591914623</v>
      </c>
      <c r="DN88" s="11" t="n">
        <f aca="false">IF(AND(DN$1&gt;=Units!$Q87,MOD(DN$1-Units!$Q87,12)=0),IF(AND(Units!$L87=1,DN$1=Units!$Q87),1,Inputs!$B$15)*Inputs!$B$16*(1+Inputs!$B$11)^(DN$2-1),0)</f>
        <v>0</v>
      </c>
      <c r="DO88" s="11" t="n">
        <f aca="false">IF(AND(DO$1&gt;=Units!$Q87,MOD(DO$1-Units!$Q87,12)=0),IF(AND(Units!$L87=1,DO$1=Units!$Q87),1,Inputs!$B$15)*Inputs!$B$16*(1+Inputs!$B$11)^(DO$2-1),0)</f>
        <v>0</v>
      </c>
      <c r="DP88" s="11" t="n">
        <f aca="false">IF(AND(DP$1&gt;=Units!$Q87,MOD(DP$1-Units!$Q87,12)=0),IF(AND(Units!$L87=1,DP$1=Units!$Q87),1,Inputs!$B$15)*Inputs!$B$16*(1+Inputs!$B$11)^(DP$2-1),0)</f>
        <v>0</v>
      </c>
      <c r="DQ88" s="11" t="n">
        <f aca="false">IF(AND(DQ$1&gt;=Units!$Q87,MOD(DQ$1-Units!$Q87,12)=0),IF(AND(Units!$L87=1,DQ$1=Units!$Q87),1,Inputs!$B$15)*Inputs!$B$16*(1+Inputs!$B$11)^(DQ$2-1),0)</f>
        <v>0</v>
      </c>
      <c r="DR88" s="11" t="n">
        <f aca="false">IF(AND(DR$1&gt;=Units!$Q87,MOD(DR$1-Units!$Q87,12)=0),IF(AND(Units!$L87=1,DR$1=Units!$Q87),1,Inputs!$B$15)*Inputs!$B$16*(1+Inputs!$B$11)^(DR$2-1),0)</f>
        <v>0</v>
      </c>
      <c r="DS88" s="11" t="n">
        <f aca="false">IF(AND(DS$1&gt;=Units!$Q87,MOD(DS$1-Units!$Q87,12)=0),IF(AND(Units!$L87=1,DS$1=Units!$Q87),1,Inputs!$B$15)*Inputs!$B$16*(1+Inputs!$B$11)^(DS$2-1),0)</f>
        <v>0</v>
      </c>
      <c r="DT88" s="11" t="n">
        <f aca="false">IF(AND(DT$1&gt;=Units!$Q87,MOD(DT$1-Units!$Q87,12)=0),IF(AND(Units!$L87=1,DT$1=Units!$Q87),1,Inputs!$B$15)*Inputs!$B$16*(1+Inputs!$B$11)^(DT$2-1),0)</f>
        <v>0</v>
      </c>
      <c r="DU88" s="11" t="n">
        <f aca="false">IF(AND(DU$1&gt;=Units!$Q87,MOD(DU$1-Units!$Q87,12)=0),IF(AND(Units!$L87=1,DU$1=Units!$Q87),1,Inputs!$B$15)*Inputs!$B$16*(1+Inputs!$B$11)^(DU$2-1),0)</f>
        <v>0</v>
      </c>
      <c r="DV88" s="11" t="n">
        <f aca="false">IF(AND(DV$1&gt;=Units!$Q87,MOD(DV$1-Units!$Q87,12)=0),IF(AND(Units!$L87=1,DV$1=Units!$Q87),1,Inputs!$B$15)*Inputs!$B$16*(1+Inputs!$B$11)^(DV$2-1),0)</f>
        <v>0</v>
      </c>
      <c r="DW88" s="11" t="n">
        <f aca="false">IF(AND(DW$1&gt;=Units!$Q87,MOD(DW$1-Units!$Q87,12)=0),IF(AND(Units!$L87=1,DW$1=Units!$Q87),1,Inputs!$B$15)*Inputs!$B$16*(1+Inputs!$B$11)^(DW$2-1),0)</f>
        <v>0</v>
      </c>
      <c r="DX88" s="11" t="n">
        <f aca="false">IF(AND(DX$1&gt;=Units!$Q87,MOD(DX$1-Units!$Q87,12)=0),IF(AND(Units!$L87=1,DX$1=Units!$Q87),1,Inputs!$B$15)*Inputs!$B$16*(1+Inputs!$B$11)^(DX$2-1),0)</f>
        <v>0</v>
      </c>
      <c r="DY88" s="11" t="n">
        <f aca="false">IF(AND(DY$1&gt;=Units!$Q87,MOD(DY$1-Units!$Q87,12)=0),IF(AND(Units!$L87=1,DY$1=Units!$Q87),1,Inputs!$B$15)*Inputs!$B$16*(1+Inputs!$B$11)^(DY$2-1),0)</f>
        <v>671.958189672061</v>
      </c>
      <c r="DZ88" s="11" t="n">
        <f aca="false">IF(AND(DZ$1&gt;=Units!$Q87,MOD(DZ$1-Units!$Q87,12)=0),IF(AND(Units!$L87=1,DZ$1=Units!$Q87),1,Inputs!$B$15)*Inputs!$B$16*(1+Inputs!$B$11)^(DZ$2-1),0)</f>
        <v>0</v>
      </c>
      <c r="EA88" s="11" t="n">
        <f aca="false">IF(AND(EA$1&gt;=Units!$Q87,MOD(EA$1-Units!$Q87,12)=0),IF(AND(Units!$L87=1,EA$1=Units!$Q87),1,Inputs!$B$15)*Inputs!$B$16*(1+Inputs!$B$11)^(EA$2-1),0)</f>
        <v>0</v>
      </c>
      <c r="EB88" s="11" t="n">
        <f aca="false">IF(AND(EB$1&gt;=Units!$Q87,MOD(EB$1-Units!$Q87,12)=0),IF(AND(Units!$L87=1,EB$1=Units!$Q87),1,Inputs!$B$15)*Inputs!$B$16*(1+Inputs!$B$11)^(EB$2-1),0)</f>
        <v>0</v>
      </c>
      <c r="EC88" s="11" t="n">
        <f aca="false">IF(AND(EC$1&gt;=Units!$Q87,MOD(EC$1-Units!$Q87,12)=0),IF(AND(Units!$L87=1,EC$1=Units!$Q87),1,Inputs!$B$15)*Inputs!$B$16*(1+Inputs!$B$11)^(EC$2-1),0)</f>
        <v>0</v>
      </c>
      <c r="ED88" s="11" t="n">
        <f aca="false">IF(AND(ED$1&gt;=Units!$Q87,MOD(ED$1-Units!$Q87,12)=0),IF(AND(Units!$L87=1,ED$1=Units!$Q87),1,Inputs!$B$15)*Inputs!$B$16*(1+Inputs!$B$11)^(ED$2-1),0)</f>
        <v>0</v>
      </c>
    </row>
    <row r="89" customFormat="false" ht="15" hidden="false" customHeight="false" outlineLevel="0" collapsed="false">
      <c r="A89" s="22" t="n">
        <f aca="false">Units!A88</f>
        <v>327</v>
      </c>
      <c r="B89" s="23"/>
      <c r="C89" s="11" t="n">
        <f aca="false">IF(AND(C$1&gt;=Units!$Q88,MOD(C$1-Units!$Q88,12)=0),IF(AND(Units!$L88=1,C$1=Units!$Q88),1,Inputs!$B$15)*Inputs!$B$16*(1+Inputs!$B$11)^(C$2-1),0)</f>
        <v>0</v>
      </c>
      <c r="D89" s="11" t="n">
        <f aca="false">IF(AND(D$1&gt;=Units!$Q88,MOD(D$1-Units!$Q88,12)=0),IF(AND(Units!$L88=1,D$1=Units!$Q88),1,Inputs!$B$15)*Inputs!$B$16*(1+Inputs!$B$11)^(D$2-1),0)</f>
        <v>500</v>
      </c>
      <c r="E89" s="11" t="n">
        <f aca="false">IF(AND(E$1&gt;=Units!$Q88,MOD(E$1-Units!$Q88,12)=0),IF(AND(Units!$L88=1,E$1=Units!$Q88),1,Inputs!$B$15)*Inputs!$B$16*(1+Inputs!$B$11)^(E$2-1),0)</f>
        <v>0</v>
      </c>
      <c r="F89" s="11" t="n">
        <f aca="false">IF(AND(F$1&gt;=Units!$Q88,MOD(F$1-Units!$Q88,12)=0),IF(AND(Units!$L88=1,F$1=Units!$Q88),1,Inputs!$B$15)*Inputs!$B$16*(1+Inputs!$B$11)^(F$2-1),0)</f>
        <v>0</v>
      </c>
      <c r="G89" s="11" t="n">
        <f aca="false">IF(AND(G$1&gt;=Units!$Q88,MOD(G$1-Units!$Q88,12)=0),IF(AND(Units!$L88=1,G$1=Units!$Q88),1,Inputs!$B$15)*Inputs!$B$16*(1+Inputs!$B$11)^(G$2-1),0)</f>
        <v>0</v>
      </c>
      <c r="H89" s="11" t="n">
        <f aca="false">IF(AND(H$1&gt;=Units!$Q88,MOD(H$1-Units!$Q88,12)=0),IF(AND(Units!$L88=1,H$1=Units!$Q88),1,Inputs!$B$15)*Inputs!$B$16*(1+Inputs!$B$11)^(H$2-1),0)</f>
        <v>0</v>
      </c>
      <c r="I89" s="11" t="n">
        <f aca="false">IF(AND(I$1&gt;=Units!$Q88,MOD(I$1-Units!$Q88,12)=0),IF(AND(Units!$L88=1,I$1=Units!$Q88),1,Inputs!$B$15)*Inputs!$B$16*(1+Inputs!$B$11)^(I$2-1),0)</f>
        <v>0</v>
      </c>
      <c r="J89" s="11" t="n">
        <f aca="false">IF(AND(J$1&gt;=Units!$Q88,MOD(J$1-Units!$Q88,12)=0),IF(AND(Units!$L88=1,J$1=Units!$Q88),1,Inputs!$B$15)*Inputs!$B$16*(1+Inputs!$B$11)^(J$2-1),0)</f>
        <v>0</v>
      </c>
      <c r="K89" s="11" t="n">
        <f aca="false">IF(AND(K$1&gt;=Units!$Q88,MOD(K$1-Units!$Q88,12)=0),IF(AND(Units!$L88=1,K$1=Units!$Q88),1,Inputs!$B$15)*Inputs!$B$16*(1+Inputs!$B$11)^(K$2-1),0)</f>
        <v>0</v>
      </c>
      <c r="L89" s="11" t="n">
        <f aca="false">IF(AND(L$1&gt;=Units!$Q88,MOD(L$1-Units!$Q88,12)=0),IF(AND(Units!$L88=1,L$1=Units!$Q88),1,Inputs!$B$15)*Inputs!$B$16*(1+Inputs!$B$11)^(L$2-1),0)</f>
        <v>0</v>
      </c>
      <c r="M89" s="11" t="n">
        <f aca="false">IF(AND(M$1&gt;=Units!$Q88,MOD(M$1-Units!$Q88,12)=0),IF(AND(Units!$L88=1,M$1=Units!$Q88),1,Inputs!$B$15)*Inputs!$B$16*(1+Inputs!$B$11)^(M$2-1),0)</f>
        <v>0</v>
      </c>
      <c r="N89" s="11" t="n">
        <f aca="false">IF(AND(N$1&gt;=Units!$Q88,MOD(N$1-Units!$Q88,12)=0),IF(AND(Units!$L88=1,N$1=Units!$Q88),1,Inputs!$B$15)*Inputs!$B$16*(1+Inputs!$B$11)^(N$2-1),0)</f>
        <v>0</v>
      </c>
      <c r="O89" s="11" t="n">
        <f aca="false">IF(AND(O$1&gt;=Units!$Q88,MOD(O$1-Units!$Q88,12)=0),IF(AND(Units!$L88=1,O$1=Units!$Q88),1,Inputs!$B$15)*Inputs!$B$16*(1+Inputs!$B$11)^(O$2-1),0)</f>
        <v>0</v>
      </c>
      <c r="P89" s="11" t="n">
        <f aca="false">IF(AND(P$1&gt;=Units!$Q88,MOD(P$1-Units!$Q88,12)=0),IF(AND(Units!$L88=1,P$1=Units!$Q88),1,Inputs!$B$15)*Inputs!$B$16*(1+Inputs!$B$11)^(P$2-1),0)</f>
        <v>515</v>
      </c>
      <c r="Q89" s="11" t="n">
        <f aca="false">IF(AND(Q$1&gt;=Units!$Q88,MOD(Q$1-Units!$Q88,12)=0),IF(AND(Units!$L88=1,Q$1=Units!$Q88),1,Inputs!$B$15)*Inputs!$B$16*(1+Inputs!$B$11)^(Q$2-1),0)</f>
        <v>0</v>
      </c>
      <c r="R89" s="11" t="n">
        <f aca="false">IF(AND(R$1&gt;=Units!$Q88,MOD(R$1-Units!$Q88,12)=0),IF(AND(Units!$L88=1,R$1=Units!$Q88),1,Inputs!$B$15)*Inputs!$B$16*(1+Inputs!$B$11)^(R$2-1),0)</f>
        <v>0</v>
      </c>
      <c r="S89" s="11" t="n">
        <f aca="false">IF(AND(S$1&gt;=Units!$Q88,MOD(S$1-Units!$Q88,12)=0),IF(AND(Units!$L88=1,S$1=Units!$Q88),1,Inputs!$B$15)*Inputs!$B$16*(1+Inputs!$B$11)^(S$2-1),0)</f>
        <v>0</v>
      </c>
      <c r="T89" s="11" t="n">
        <f aca="false">IF(AND(T$1&gt;=Units!$Q88,MOD(T$1-Units!$Q88,12)=0),IF(AND(Units!$L88=1,T$1=Units!$Q88),1,Inputs!$B$15)*Inputs!$B$16*(1+Inputs!$B$11)^(T$2-1),0)</f>
        <v>0</v>
      </c>
      <c r="U89" s="11" t="n">
        <f aca="false">IF(AND(U$1&gt;=Units!$Q88,MOD(U$1-Units!$Q88,12)=0),IF(AND(Units!$L88=1,U$1=Units!$Q88),1,Inputs!$B$15)*Inputs!$B$16*(1+Inputs!$B$11)^(U$2-1),0)</f>
        <v>0</v>
      </c>
      <c r="V89" s="11" t="n">
        <f aca="false">IF(AND(V$1&gt;=Units!$Q88,MOD(V$1-Units!$Q88,12)=0),IF(AND(Units!$L88=1,V$1=Units!$Q88),1,Inputs!$B$15)*Inputs!$B$16*(1+Inputs!$B$11)^(V$2-1),0)</f>
        <v>0</v>
      </c>
      <c r="W89" s="11" t="n">
        <f aca="false">IF(AND(W$1&gt;=Units!$Q88,MOD(W$1-Units!$Q88,12)=0),IF(AND(Units!$L88=1,W$1=Units!$Q88),1,Inputs!$B$15)*Inputs!$B$16*(1+Inputs!$B$11)^(W$2-1),0)</f>
        <v>0</v>
      </c>
      <c r="X89" s="11" t="n">
        <f aca="false">IF(AND(X$1&gt;=Units!$Q88,MOD(X$1-Units!$Q88,12)=0),IF(AND(Units!$L88=1,X$1=Units!$Q88),1,Inputs!$B$15)*Inputs!$B$16*(1+Inputs!$B$11)^(X$2-1),0)</f>
        <v>0</v>
      </c>
      <c r="Y89" s="11" t="n">
        <f aca="false">IF(AND(Y$1&gt;=Units!$Q88,MOD(Y$1-Units!$Q88,12)=0),IF(AND(Units!$L88=1,Y$1=Units!$Q88),1,Inputs!$B$15)*Inputs!$B$16*(1+Inputs!$B$11)^(Y$2-1),0)</f>
        <v>0</v>
      </c>
      <c r="Z89" s="11" t="n">
        <f aca="false">IF(AND(Z$1&gt;=Units!$Q88,MOD(Z$1-Units!$Q88,12)=0),IF(AND(Units!$L88=1,Z$1=Units!$Q88),1,Inputs!$B$15)*Inputs!$B$16*(1+Inputs!$B$11)^(Z$2-1),0)</f>
        <v>0</v>
      </c>
      <c r="AA89" s="11" t="n">
        <f aca="false">IF(AND(AA$1&gt;=Units!$Q88,MOD(AA$1-Units!$Q88,12)=0),IF(AND(Units!$L88=1,AA$1=Units!$Q88),1,Inputs!$B$15)*Inputs!$B$16*(1+Inputs!$B$11)^(AA$2-1),0)</f>
        <v>0</v>
      </c>
      <c r="AB89" s="11" t="n">
        <f aca="false">IF(AND(AB$1&gt;=Units!$Q88,MOD(AB$1-Units!$Q88,12)=0),IF(AND(Units!$L88=1,AB$1=Units!$Q88),1,Inputs!$B$15)*Inputs!$B$16*(1+Inputs!$B$11)^(AB$2-1),0)</f>
        <v>530.45</v>
      </c>
      <c r="AC89" s="11" t="n">
        <f aca="false">IF(AND(AC$1&gt;=Units!$Q88,MOD(AC$1-Units!$Q88,12)=0),IF(AND(Units!$L88=1,AC$1=Units!$Q88),1,Inputs!$B$15)*Inputs!$B$16*(1+Inputs!$B$11)^(AC$2-1),0)</f>
        <v>0</v>
      </c>
      <c r="AD89" s="11" t="n">
        <f aca="false">IF(AND(AD$1&gt;=Units!$Q88,MOD(AD$1-Units!$Q88,12)=0),IF(AND(Units!$L88=1,AD$1=Units!$Q88),1,Inputs!$B$15)*Inputs!$B$16*(1+Inputs!$B$11)^(AD$2-1),0)</f>
        <v>0</v>
      </c>
      <c r="AE89" s="11" t="n">
        <f aca="false">IF(AND(AE$1&gt;=Units!$Q88,MOD(AE$1-Units!$Q88,12)=0),IF(AND(Units!$L88=1,AE$1=Units!$Q88),1,Inputs!$B$15)*Inputs!$B$16*(1+Inputs!$B$11)^(AE$2-1),0)</f>
        <v>0</v>
      </c>
      <c r="AF89" s="11" t="n">
        <f aca="false">IF(AND(AF$1&gt;=Units!$Q88,MOD(AF$1-Units!$Q88,12)=0),IF(AND(Units!$L88=1,AF$1=Units!$Q88),1,Inputs!$B$15)*Inputs!$B$16*(1+Inputs!$B$11)^(AF$2-1),0)</f>
        <v>0</v>
      </c>
      <c r="AG89" s="11" t="n">
        <f aca="false">IF(AND(AG$1&gt;=Units!$Q88,MOD(AG$1-Units!$Q88,12)=0),IF(AND(Units!$L88=1,AG$1=Units!$Q88),1,Inputs!$B$15)*Inputs!$B$16*(1+Inputs!$B$11)^(AG$2-1),0)</f>
        <v>0</v>
      </c>
      <c r="AH89" s="11" t="n">
        <f aca="false">IF(AND(AH$1&gt;=Units!$Q88,MOD(AH$1-Units!$Q88,12)=0),IF(AND(Units!$L88=1,AH$1=Units!$Q88),1,Inputs!$B$15)*Inputs!$B$16*(1+Inputs!$B$11)^(AH$2-1),0)</f>
        <v>0</v>
      </c>
      <c r="AI89" s="11" t="n">
        <f aca="false">IF(AND(AI$1&gt;=Units!$Q88,MOD(AI$1-Units!$Q88,12)=0),IF(AND(Units!$L88=1,AI$1=Units!$Q88),1,Inputs!$B$15)*Inputs!$B$16*(1+Inputs!$B$11)^(AI$2-1),0)</f>
        <v>0</v>
      </c>
      <c r="AJ89" s="11" t="n">
        <f aca="false">IF(AND(AJ$1&gt;=Units!$Q88,MOD(AJ$1-Units!$Q88,12)=0),IF(AND(Units!$L88=1,AJ$1=Units!$Q88),1,Inputs!$B$15)*Inputs!$B$16*(1+Inputs!$B$11)^(AJ$2-1),0)</f>
        <v>0</v>
      </c>
      <c r="AK89" s="11" t="n">
        <f aca="false">IF(AND(AK$1&gt;=Units!$Q88,MOD(AK$1-Units!$Q88,12)=0),IF(AND(Units!$L88=1,AK$1=Units!$Q88),1,Inputs!$B$15)*Inputs!$B$16*(1+Inputs!$B$11)^(AK$2-1),0)</f>
        <v>0</v>
      </c>
      <c r="AL89" s="11" t="n">
        <f aca="false">IF(AND(AL$1&gt;=Units!$Q88,MOD(AL$1-Units!$Q88,12)=0),IF(AND(Units!$L88=1,AL$1=Units!$Q88),1,Inputs!$B$15)*Inputs!$B$16*(1+Inputs!$B$11)^(AL$2-1),0)</f>
        <v>0</v>
      </c>
      <c r="AM89" s="11" t="n">
        <f aca="false">IF(AND(AM$1&gt;=Units!$Q88,MOD(AM$1-Units!$Q88,12)=0),IF(AND(Units!$L88=1,AM$1=Units!$Q88),1,Inputs!$B$15)*Inputs!$B$16*(1+Inputs!$B$11)^(AM$2-1),0)</f>
        <v>0</v>
      </c>
      <c r="AN89" s="11" t="n">
        <f aca="false">IF(AND(AN$1&gt;=Units!$Q88,MOD(AN$1-Units!$Q88,12)=0),IF(AND(Units!$L88=1,AN$1=Units!$Q88),1,Inputs!$B$15)*Inputs!$B$16*(1+Inputs!$B$11)^(AN$2-1),0)</f>
        <v>546.3635</v>
      </c>
      <c r="AO89" s="11" t="n">
        <f aca="false">IF(AND(AO$1&gt;=Units!$Q88,MOD(AO$1-Units!$Q88,12)=0),IF(AND(Units!$L88=1,AO$1=Units!$Q88),1,Inputs!$B$15)*Inputs!$B$16*(1+Inputs!$B$11)^(AO$2-1),0)</f>
        <v>0</v>
      </c>
      <c r="AP89" s="11" t="n">
        <f aca="false">IF(AND(AP$1&gt;=Units!$Q88,MOD(AP$1-Units!$Q88,12)=0),IF(AND(Units!$L88=1,AP$1=Units!$Q88),1,Inputs!$B$15)*Inputs!$B$16*(1+Inputs!$B$11)^(AP$2-1),0)</f>
        <v>0</v>
      </c>
      <c r="AQ89" s="11" t="n">
        <f aca="false">IF(AND(AQ$1&gt;=Units!$Q88,MOD(AQ$1-Units!$Q88,12)=0),IF(AND(Units!$L88=1,AQ$1=Units!$Q88),1,Inputs!$B$15)*Inputs!$B$16*(1+Inputs!$B$11)^(AQ$2-1),0)</f>
        <v>0</v>
      </c>
      <c r="AR89" s="11" t="n">
        <f aca="false">IF(AND(AR$1&gt;=Units!$Q88,MOD(AR$1-Units!$Q88,12)=0),IF(AND(Units!$L88=1,AR$1=Units!$Q88),1,Inputs!$B$15)*Inputs!$B$16*(1+Inputs!$B$11)^(AR$2-1),0)</f>
        <v>0</v>
      </c>
      <c r="AS89" s="11" t="n">
        <f aca="false">IF(AND(AS$1&gt;=Units!$Q88,MOD(AS$1-Units!$Q88,12)=0),IF(AND(Units!$L88=1,AS$1=Units!$Q88),1,Inputs!$B$15)*Inputs!$B$16*(1+Inputs!$B$11)^(AS$2-1),0)</f>
        <v>0</v>
      </c>
      <c r="AT89" s="11" t="n">
        <f aca="false">IF(AND(AT$1&gt;=Units!$Q88,MOD(AT$1-Units!$Q88,12)=0),IF(AND(Units!$L88=1,AT$1=Units!$Q88),1,Inputs!$B$15)*Inputs!$B$16*(1+Inputs!$B$11)^(AT$2-1),0)</f>
        <v>0</v>
      </c>
      <c r="AU89" s="11" t="n">
        <f aca="false">IF(AND(AU$1&gt;=Units!$Q88,MOD(AU$1-Units!$Q88,12)=0),IF(AND(Units!$L88=1,AU$1=Units!$Q88),1,Inputs!$B$15)*Inputs!$B$16*(1+Inputs!$B$11)^(AU$2-1),0)</f>
        <v>0</v>
      </c>
      <c r="AV89" s="11" t="n">
        <f aca="false">IF(AND(AV$1&gt;=Units!$Q88,MOD(AV$1-Units!$Q88,12)=0),IF(AND(Units!$L88=1,AV$1=Units!$Q88),1,Inputs!$B$15)*Inputs!$B$16*(1+Inputs!$B$11)^(AV$2-1),0)</f>
        <v>0</v>
      </c>
      <c r="AW89" s="11" t="n">
        <f aca="false">IF(AND(AW$1&gt;=Units!$Q88,MOD(AW$1-Units!$Q88,12)=0),IF(AND(Units!$L88=1,AW$1=Units!$Q88),1,Inputs!$B$15)*Inputs!$B$16*(1+Inputs!$B$11)^(AW$2-1),0)</f>
        <v>0</v>
      </c>
      <c r="AX89" s="11" t="n">
        <f aca="false">IF(AND(AX$1&gt;=Units!$Q88,MOD(AX$1-Units!$Q88,12)=0),IF(AND(Units!$L88=1,AX$1=Units!$Q88),1,Inputs!$B$15)*Inputs!$B$16*(1+Inputs!$B$11)^(AX$2-1),0)</f>
        <v>0</v>
      </c>
      <c r="AY89" s="11" t="n">
        <f aca="false">IF(AND(AY$1&gt;=Units!$Q88,MOD(AY$1-Units!$Q88,12)=0),IF(AND(Units!$L88=1,AY$1=Units!$Q88),1,Inputs!$B$15)*Inputs!$B$16*(1+Inputs!$B$11)^(AY$2-1),0)</f>
        <v>0</v>
      </c>
      <c r="AZ89" s="11" t="n">
        <f aca="false">IF(AND(AZ$1&gt;=Units!$Q88,MOD(AZ$1-Units!$Q88,12)=0),IF(AND(Units!$L88=1,AZ$1=Units!$Q88),1,Inputs!$B$15)*Inputs!$B$16*(1+Inputs!$B$11)^(AZ$2-1),0)</f>
        <v>562.754405</v>
      </c>
      <c r="BA89" s="11" t="n">
        <f aca="false">IF(AND(BA$1&gt;=Units!$Q88,MOD(BA$1-Units!$Q88,12)=0),IF(AND(Units!$L88=1,BA$1=Units!$Q88),1,Inputs!$B$15)*Inputs!$B$16*(1+Inputs!$B$11)^(BA$2-1),0)</f>
        <v>0</v>
      </c>
      <c r="BB89" s="11" t="n">
        <f aca="false">IF(AND(BB$1&gt;=Units!$Q88,MOD(BB$1-Units!$Q88,12)=0),IF(AND(Units!$L88=1,BB$1=Units!$Q88),1,Inputs!$B$15)*Inputs!$B$16*(1+Inputs!$B$11)^(BB$2-1),0)</f>
        <v>0</v>
      </c>
      <c r="BC89" s="11" t="n">
        <f aca="false">IF(AND(BC$1&gt;=Units!$Q88,MOD(BC$1-Units!$Q88,12)=0),IF(AND(Units!$L88=1,BC$1=Units!$Q88),1,Inputs!$B$15)*Inputs!$B$16*(1+Inputs!$B$11)^(BC$2-1),0)</f>
        <v>0</v>
      </c>
      <c r="BD89" s="11" t="n">
        <f aca="false">IF(AND(BD$1&gt;=Units!$Q88,MOD(BD$1-Units!$Q88,12)=0),IF(AND(Units!$L88=1,BD$1=Units!$Q88),1,Inputs!$B$15)*Inputs!$B$16*(1+Inputs!$B$11)^(BD$2-1),0)</f>
        <v>0</v>
      </c>
      <c r="BE89" s="11" t="n">
        <f aca="false">IF(AND(BE$1&gt;=Units!$Q88,MOD(BE$1-Units!$Q88,12)=0),IF(AND(Units!$L88=1,BE$1=Units!$Q88),1,Inputs!$B$15)*Inputs!$B$16*(1+Inputs!$B$11)^(BE$2-1),0)</f>
        <v>0</v>
      </c>
      <c r="BF89" s="11" t="n">
        <f aca="false">IF(AND(BF$1&gt;=Units!$Q88,MOD(BF$1-Units!$Q88,12)=0),IF(AND(Units!$L88=1,BF$1=Units!$Q88),1,Inputs!$B$15)*Inputs!$B$16*(1+Inputs!$B$11)^(BF$2-1),0)</f>
        <v>0</v>
      </c>
      <c r="BG89" s="11" t="n">
        <f aca="false">IF(AND(BG$1&gt;=Units!$Q88,MOD(BG$1-Units!$Q88,12)=0),IF(AND(Units!$L88=1,BG$1=Units!$Q88),1,Inputs!$B$15)*Inputs!$B$16*(1+Inputs!$B$11)^(BG$2-1),0)</f>
        <v>0</v>
      </c>
      <c r="BH89" s="11" t="n">
        <f aca="false">IF(AND(BH$1&gt;=Units!$Q88,MOD(BH$1-Units!$Q88,12)=0),IF(AND(Units!$L88=1,BH$1=Units!$Q88),1,Inputs!$B$15)*Inputs!$B$16*(1+Inputs!$B$11)^(BH$2-1),0)</f>
        <v>0</v>
      </c>
      <c r="BI89" s="11" t="n">
        <f aca="false">IF(AND(BI$1&gt;=Units!$Q88,MOD(BI$1-Units!$Q88,12)=0),IF(AND(Units!$L88=1,BI$1=Units!$Q88),1,Inputs!$B$15)*Inputs!$B$16*(1+Inputs!$B$11)^(BI$2-1),0)</f>
        <v>0</v>
      </c>
      <c r="BJ89" s="11" t="n">
        <f aca="false">IF(AND(BJ$1&gt;=Units!$Q88,MOD(BJ$1-Units!$Q88,12)=0),IF(AND(Units!$L88=1,BJ$1=Units!$Q88),1,Inputs!$B$15)*Inputs!$B$16*(1+Inputs!$B$11)^(BJ$2-1),0)</f>
        <v>0</v>
      </c>
      <c r="BK89" s="11" t="n">
        <f aca="false">IF(AND(BK$1&gt;=Units!$Q88,MOD(BK$1-Units!$Q88,12)=0),IF(AND(Units!$L88=1,BK$1=Units!$Q88),1,Inputs!$B$15)*Inputs!$B$16*(1+Inputs!$B$11)^(BK$2-1),0)</f>
        <v>0</v>
      </c>
      <c r="BL89" s="11" t="n">
        <f aca="false">IF(AND(BL$1&gt;=Units!$Q88,MOD(BL$1-Units!$Q88,12)=0),IF(AND(Units!$L88=1,BL$1=Units!$Q88),1,Inputs!$B$15)*Inputs!$B$16*(1+Inputs!$B$11)^(BL$2-1),0)</f>
        <v>579.63703715</v>
      </c>
      <c r="BM89" s="11" t="n">
        <f aca="false">IF(AND(BM$1&gt;=Units!$Q88,MOD(BM$1-Units!$Q88,12)=0),IF(AND(Units!$L88=1,BM$1=Units!$Q88),1,Inputs!$B$15)*Inputs!$B$16*(1+Inputs!$B$11)^(BM$2-1),0)</f>
        <v>0</v>
      </c>
      <c r="BN89" s="11" t="n">
        <f aca="false">IF(AND(BN$1&gt;=Units!$Q88,MOD(BN$1-Units!$Q88,12)=0),IF(AND(Units!$L88=1,BN$1=Units!$Q88),1,Inputs!$B$15)*Inputs!$B$16*(1+Inputs!$B$11)^(BN$2-1),0)</f>
        <v>0</v>
      </c>
      <c r="BO89" s="11" t="n">
        <f aca="false">IF(AND(BO$1&gt;=Units!$Q88,MOD(BO$1-Units!$Q88,12)=0),IF(AND(Units!$L88=1,BO$1=Units!$Q88),1,Inputs!$B$15)*Inputs!$B$16*(1+Inputs!$B$11)^(BO$2-1),0)</f>
        <v>0</v>
      </c>
      <c r="BP89" s="11" t="n">
        <f aca="false">IF(AND(BP$1&gt;=Units!$Q88,MOD(BP$1-Units!$Q88,12)=0),IF(AND(Units!$L88=1,BP$1=Units!$Q88),1,Inputs!$B$15)*Inputs!$B$16*(1+Inputs!$B$11)^(BP$2-1),0)</f>
        <v>0</v>
      </c>
      <c r="BQ89" s="11" t="n">
        <f aca="false">IF(AND(BQ$1&gt;=Units!$Q88,MOD(BQ$1-Units!$Q88,12)=0),IF(AND(Units!$L88=1,BQ$1=Units!$Q88),1,Inputs!$B$15)*Inputs!$B$16*(1+Inputs!$B$11)^(BQ$2-1),0)</f>
        <v>0</v>
      </c>
      <c r="BR89" s="11" t="n">
        <f aca="false">IF(AND(BR$1&gt;=Units!$Q88,MOD(BR$1-Units!$Q88,12)=0),IF(AND(Units!$L88=1,BR$1=Units!$Q88),1,Inputs!$B$15)*Inputs!$B$16*(1+Inputs!$B$11)^(BR$2-1),0)</f>
        <v>0</v>
      </c>
      <c r="BS89" s="11" t="n">
        <f aca="false">IF(AND(BS$1&gt;=Units!$Q88,MOD(BS$1-Units!$Q88,12)=0),IF(AND(Units!$L88=1,BS$1=Units!$Q88),1,Inputs!$B$15)*Inputs!$B$16*(1+Inputs!$B$11)^(BS$2-1),0)</f>
        <v>0</v>
      </c>
      <c r="BT89" s="11" t="n">
        <f aca="false">IF(AND(BT$1&gt;=Units!$Q88,MOD(BT$1-Units!$Q88,12)=0),IF(AND(Units!$L88=1,BT$1=Units!$Q88),1,Inputs!$B$15)*Inputs!$B$16*(1+Inputs!$B$11)^(BT$2-1),0)</f>
        <v>0</v>
      </c>
      <c r="BU89" s="11" t="n">
        <f aca="false">IF(AND(BU$1&gt;=Units!$Q88,MOD(BU$1-Units!$Q88,12)=0),IF(AND(Units!$L88=1,BU$1=Units!$Q88),1,Inputs!$B$15)*Inputs!$B$16*(1+Inputs!$B$11)^(BU$2-1),0)</f>
        <v>0</v>
      </c>
      <c r="BV89" s="11" t="n">
        <f aca="false">IF(AND(BV$1&gt;=Units!$Q88,MOD(BV$1-Units!$Q88,12)=0),IF(AND(Units!$L88=1,BV$1=Units!$Q88),1,Inputs!$B$15)*Inputs!$B$16*(1+Inputs!$B$11)^(BV$2-1),0)</f>
        <v>0</v>
      </c>
      <c r="BW89" s="11" t="n">
        <f aca="false">IF(AND(BW$1&gt;=Units!$Q88,MOD(BW$1-Units!$Q88,12)=0),IF(AND(Units!$L88=1,BW$1=Units!$Q88),1,Inputs!$B$15)*Inputs!$B$16*(1+Inputs!$B$11)^(BW$2-1),0)</f>
        <v>0</v>
      </c>
      <c r="BX89" s="11" t="n">
        <f aca="false">IF(AND(BX$1&gt;=Units!$Q88,MOD(BX$1-Units!$Q88,12)=0),IF(AND(Units!$L88=1,BX$1=Units!$Q88),1,Inputs!$B$15)*Inputs!$B$16*(1+Inputs!$B$11)^(BX$2-1),0)</f>
        <v>597.0261482645</v>
      </c>
      <c r="BY89" s="11" t="n">
        <f aca="false">IF(AND(BY$1&gt;=Units!$Q88,MOD(BY$1-Units!$Q88,12)=0),IF(AND(Units!$L88=1,BY$1=Units!$Q88),1,Inputs!$B$15)*Inputs!$B$16*(1+Inputs!$B$11)^(BY$2-1),0)</f>
        <v>0</v>
      </c>
      <c r="BZ89" s="11" t="n">
        <f aca="false">IF(AND(BZ$1&gt;=Units!$Q88,MOD(BZ$1-Units!$Q88,12)=0),IF(AND(Units!$L88=1,BZ$1=Units!$Q88),1,Inputs!$B$15)*Inputs!$B$16*(1+Inputs!$B$11)^(BZ$2-1),0)</f>
        <v>0</v>
      </c>
      <c r="CA89" s="11" t="n">
        <f aca="false">IF(AND(CA$1&gt;=Units!$Q88,MOD(CA$1-Units!$Q88,12)=0),IF(AND(Units!$L88=1,CA$1=Units!$Q88),1,Inputs!$B$15)*Inputs!$B$16*(1+Inputs!$B$11)^(CA$2-1),0)</f>
        <v>0</v>
      </c>
      <c r="CB89" s="11" t="n">
        <f aca="false">IF(AND(CB$1&gt;=Units!$Q88,MOD(CB$1-Units!$Q88,12)=0),IF(AND(Units!$L88=1,CB$1=Units!$Q88),1,Inputs!$B$15)*Inputs!$B$16*(1+Inputs!$B$11)^(CB$2-1),0)</f>
        <v>0</v>
      </c>
      <c r="CC89" s="11" t="n">
        <f aca="false">IF(AND(CC$1&gt;=Units!$Q88,MOD(CC$1-Units!$Q88,12)=0),IF(AND(Units!$L88=1,CC$1=Units!$Q88),1,Inputs!$B$15)*Inputs!$B$16*(1+Inputs!$B$11)^(CC$2-1),0)</f>
        <v>0</v>
      </c>
      <c r="CD89" s="11" t="n">
        <f aca="false">IF(AND(CD$1&gt;=Units!$Q88,MOD(CD$1-Units!$Q88,12)=0),IF(AND(Units!$L88=1,CD$1=Units!$Q88),1,Inputs!$B$15)*Inputs!$B$16*(1+Inputs!$B$11)^(CD$2-1),0)</f>
        <v>0</v>
      </c>
      <c r="CE89" s="11" t="n">
        <f aca="false">IF(AND(CE$1&gt;=Units!$Q88,MOD(CE$1-Units!$Q88,12)=0),IF(AND(Units!$L88=1,CE$1=Units!$Q88),1,Inputs!$B$15)*Inputs!$B$16*(1+Inputs!$B$11)^(CE$2-1),0)</f>
        <v>0</v>
      </c>
      <c r="CF89" s="11" t="n">
        <f aca="false">IF(AND(CF$1&gt;=Units!$Q88,MOD(CF$1-Units!$Q88,12)=0),IF(AND(Units!$L88=1,CF$1=Units!$Q88),1,Inputs!$B$15)*Inputs!$B$16*(1+Inputs!$B$11)^(CF$2-1),0)</f>
        <v>0</v>
      </c>
      <c r="CG89" s="11" t="n">
        <f aca="false">IF(AND(CG$1&gt;=Units!$Q88,MOD(CG$1-Units!$Q88,12)=0),IF(AND(Units!$L88=1,CG$1=Units!$Q88),1,Inputs!$B$15)*Inputs!$B$16*(1+Inputs!$B$11)^(CG$2-1),0)</f>
        <v>0</v>
      </c>
      <c r="CH89" s="11" t="n">
        <f aca="false">IF(AND(CH$1&gt;=Units!$Q88,MOD(CH$1-Units!$Q88,12)=0),IF(AND(Units!$L88=1,CH$1=Units!$Q88),1,Inputs!$B$15)*Inputs!$B$16*(1+Inputs!$B$11)^(CH$2-1),0)</f>
        <v>0</v>
      </c>
      <c r="CI89" s="11" t="n">
        <f aca="false">IF(AND(CI$1&gt;=Units!$Q88,MOD(CI$1-Units!$Q88,12)=0),IF(AND(Units!$L88=1,CI$1=Units!$Q88),1,Inputs!$B$15)*Inputs!$B$16*(1+Inputs!$B$11)^(CI$2-1),0)</f>
        <v>0</v>
      </c>
      <c r="CJ89" s="11" t="n">
        <f aca="false">IF(AND(CJ$1&gt;=Units!$Q88,MOD(CJ$1-Units!$Q88,12)=0),IF(AND(Units!$L88=1,CJ$1=Units!$Q88),1,Inputs!$B$15)*Inputs!$B$16*(1+Inputs!$B$11)^(CJ$2-1),0)</f>
        <v>614.936932712435</v>
      </c>
      <c r="CK89" s="11" t="n">
        <f aca="false">IF(AND(CK$1&gt;=Units!$Q88,MOD(CK$1-Units!$Q88,12)=0),IF(AND(Units!$L88=1,CK$1=Units!$Q88),1,Inputs!$B$15)*Inputs!$B$16*(1+Inputs!$B$11)^(CK$2-1),0)</f>
        <v>0</v>
      </c>
      <c r="CL89" s="11" t="n">
        <f aca="false">IF(AND(CL$1&gt;=Units!$Q88,MOD(CL$1-Units!$Q88,12)=0),IF(AND(Units!$L88=1,CL$1=Units!$Q88),1,Inputs!$B$15)*Inputs!$B$16*(1+Inputs!$B$11)^(CL$2-1),0)</f>
        <v>0</v>
      </c>
      <c r="CM89" s="11" t="n">
        <f aca="false">IF(AND(CM$1&gt;=Units!$Q88,MOD(CM$1-Units!$Q88,12)=0),IF(AND(Units!$L88=1,CM$1=Units!$Q88),1,Inputs!$B$15)*Inputs!$B$16*(1+Inputs!$B$11)^(CM$2-1),0)</f>
        <v>0</v>
      </c>
      <c r="CN89" s="11" t="n">
        <f aca="false">IF(AND(CN$1&gt;=Units!$Q88,MOD(CN$1-Units!$Q88,12)=0),IF(AND(Units!$L88=1,CN$1=Units!$Q88),1,Inputs!$B$15)*Inputs!$B$16*(1+Inputs!$B$11)^(CN$2-1),0)</f>
        <v>0</v>
      </c>
      <c r="CO89" s="11" t="n">
        <f aca="false">IF(AND(CO$1&gt;=Units!$Q88,MOD(CO$1-Units!$Q88,12)=0),IF(AND(Units!$L88=1,CO$1=Units!$Q88),1,Inputs!$B$15)*Inputs!$B$16*(1+Inputs!$B$11)^(CO$2-1),0)</f>
        <v>0</v>
      </c>
      <c r="CP89" s="11" t="n">
        <f aca="false">IF(AND(CP$1&gt;=Units!$Q88,MOD(CP$1-Units!$Q88,12)=0),IF(AND(Units!$L88=1,CP$1=Units!$Q88),1,Inputs!$B$15)*Inputs!$B$16*(1+Inputs!$B$11)^(CP$2-1),0)</f>
        <v>0</v>
      </c>
      <c r="CQ89" s="11" t="n">
        <f aca="false">IF(AND(CQ$1&gt;=Units!$Q88,MOD(CQ$1-Units!$Q88,12)=0),IF(AND(Units!$L88=1,CQ$1=Units!$Q88),1,Inputs!$B$15)*Inputs!$B$16*(1+Inputs!$B$11)^(CQ$2-1),0)</f>
        <v>0</v>
      </c>
      <c r="CR89" s="11" t="n">
        <f aca="false">IF(AND(CR$1&gt;=Units!$Q88,MOD(CR$1-Units!$Q88,12)=0),IF(AND(Units!$L88=1,CR$1=Units!$Q88),1,Inputs!$B$15)*Inputs!$B$16*(1+Inputs!$B$11)^(CR$2-1),0)</f>
        <v>0</v>
      </c>
      <c r="CS89" s="11" t="n">
        <f aca="false">IF(AND(CS$1&gt;=Units!$Q88,MOD(CS$1-Units!$Q88,12)=0),IF(AND(Units!$L88=1,CS$1=Units!$Q88),1,Inputs!$B$15)*Inputs!$B$16*(1+Inputs!$B$11)^(CS$2-1),0)</f>
        <v>0</v>
      </c>
      <c r="CT89" s="11" t="n">
        <f aca="false">IF(AND(CT$1&gt;=Units!$Q88,MOD(CT$1-Units!$Q88,12)=0),IF(AND(Units!$L88=1,CT$1=Units!$Q88),1,Inputs!$B$15)*Inputs!$B$16*(1+Inputs!$B$11)^(CT$2-1),0)</f>
        <v>0</v>
      </c>
      <c r="CU89" s="11" t="n">
        <f aca="false">IF(AND(CU$1&gt;=Units!$Q88,MOD(CU$1-Units!$Q88,12)=0),IF(AND(Units!$L88=1,CU$1=Units!$Q88),1,Inputs!$B$15)*Inputs!$B$16*(1+Inputs!$B$11)^(CU$2-1),0)</f>
        <v>0</v>
      </c>
      <c r="CV89" s="11" t="n">
        <f aca="false">IF(AND(CV$1&gt;=Units!$Q88,MOD(CV$1-Units!$Q88,12)=0),IF(AND(Units!$L88=1,CV$1=Units!$Q88),1,Inputs!$B$15)*Inputs!$B$16*(1+Inputs!$B$11)^(CV$2-1),0)</f>
        <v>633.385040693808</v>
      </c>
      <c r="CW89" s="11" t="n">
        <f aca="false">IF(AND(CW$1&gt;=Units!$Q88,MOD(CW$1-Units!$Q88,12)=0),IF(AND(Units!$L88=1,CW$1=Units!$Q88),1,Inputs!$B$15)*Inputs!$B$16*(1+Inputs!$B$11)^(CW$2-1),0)</f>
        <v>0</v>
      </c>
      <c r="CX89" s="11" t="n">
        <f aca="false">IF(AND(CX$1&gt;=Units!$Q88,MOD(CX$1-Units!$Q88,12)=0),IF(AND(Units!$L88=1,CX$1=Units!$Q88),1,Inputs!$B$15)*Inputs!$B$16*(1+Inputs!$B$11)^(CX$2-1),0)</f>
        <v>0</v>
      </c>
      <c r="CY89" s="11" t="n">
        <f aca="false">IF(AND(CY$1&gt;=Units!$Q88,MOD(CY$1-Units!$Q88,12)=0),IF(AND(Units!$L88=1,CY$1=Units!$Q88),1,Inputs!$B$15)*Inputs!$B$16*(1+Inputs!$B$11)^(CY$2-1),0)</f>
        <v>0</v>
      </c>
      <c r="CZ89" s="11" t="n">
        <f aca="false">IF(AND(CZ$1&gt;=Units!$Q88,MOD(CZ$1-Units!$Q88,12)=0),IF(AND(Units!$L88=1,CZ$1=Units!$Q88),1,Inputs!$B$15)*Inputs!$B$16*(1+Inputs!$B$11)^(CZ$2-1),0)</f>
        <v>0</v>
      </c>
      <c r="DA89" s="11" t="n">
        <f aca="false">IF(AND(DA$1&gt;=Units!$Q88,MOD(DA$1-Units!$Q88,12)=0),IF(AND(Units!$L88=1,DA$1=Units!$Q88),1,Inputs!$B$15)*Inputs!$B$16*(1+Inputs!$B$11)^(DA$2-1),0)</f>
        <v>0</v>
      </c>
      <c r="DB89" s="11" t="n">
        <f aca="false">IF(AND(DB$1&gt;=Units!$Q88,MOD(DB$1-Units!$Q88,12)=0),IF(AND(Units!$L88=1,DB$1=Units!$Q88),1,Inputs!$B$15)*Inputs!$B$16*(1+Inputs!$B$11)^(DB$2-1),0)</f>
        <v>0</v>
      </c>
      <c r="DC89" s="11" t="n">
        <f aca="false">IF(AND(DC$1&gt;=Units!$Q88,MOD(DC$1-Units!$Q88,12)=0),IF(AND(Units!$L88=1,DC$1=Units!$Q88),1,Inputs!$B$15)*Inputs!$B$16*(1+Inputs!$B$11)^(DC$2-1),0)</f>
        <v>0</v>
      </c>
      <c r="DD89" s="11" t="n">
        <f aca="false">IF(AND(DD$1&gt;=Units!$Q88,MOD(DD$1-Units!$Q88,12)=0),IF(AND(Units!$L88=1,DD$1=Units!$Q88),1,Inputs!$B$15)*Inputs!$B$16*(1+Inputs!$B$11)^(DD$2-1),0)</f>
        <v>0</v>
      </c>
      <c r="DE89" s="11" t="n">
        <f aca="false">IF(AND(DE$1&gt;=Units!$Q88,MOD(DE$1-Units!$Q88,12)=0),IF(AND(Units!$L88=1,DE$1=Units!$Q88),1,Inputs!$B$15)*Inputs!$B$16*(1+Inputs!$B$11)^(DE$2-1),0)</f>
        <v>0</v>
      </c>
      <c r="DF89" s="11" t="n">
        <f aca="false">IF(AND(DF$1&gt;=Units!$Q88,MOD(DF$1-Units!$Q88,12)=0),IF(AND(Units!$L88=1,DF$1=Units!$Q88),1,Inputs!$B$15)*Inputs!$B$16*(1+Inputs!$B$11)^(DF$2-1),0)</f>
        <v>0</v>
      </c>
      <c r="DG89" s="11" t="n">
        <f aca="false">IF(AND(DG$1&gt;=Units!$Q88,MOD(DG$1-Units!$Q88,12)=0),IF(AND(Units!$L88=1,DG$1=Units!$Q88),1,Inputs!$B$15)*Inputs!$B$16*(1+Inputs!$B$11)^(DG$2-1),0)</f>
        <v>0</v>
      </c>
      <c r="DH89" s="11" t="n">
        <f aca="false">IF(AND(DH$1&gt;=Units!$Q88,MOD(DH$1-Units!$Q88,12)=0),IF(AND(Units!$L88=1,DH$1=Units!$Q88),1,Inputs!$B$15)*Inputs!$B$16*(1+Inputs!$B$11)^(DH$2-1),0)</f>
        <v>652.386591914623</v>
      </c>
      <c r="DI89" s="11" t="n">
        <f aca="false">IF(AND(DI$1&gt;=Units!$Q88,MOD(DI$1-Units!$Q88,12)=0),IF(AND(Units!$L88=1,DI$1=Units!$Q88),1,Inputs!$B$15)*Inputs!$B$16*(1+Inputs!$B$11)^(DI$2-1),0)</f>
        <v>0</v>
      </c>
      <c r="DJ89" s="11" t="n">
        <f aca="false">IF(AND(DJ$1&gt;=Units!$Q88,MOD(DJ$1-Units!$Q88,12)=0),IF(AND(Units!$L88=1,DJ$1=Units!$Q88),1,Inputs!$B$15)*Inputs!$B$16*(1+Inputs!$B$11)^(DJ$2-1),0)</f>
        <v>0</v>
      </c>
      <c r="DK89" s="11" t="n">
        <f aca="false">IF(AND(DK$1&gt;=Units!$Q88,MOD(DK$1-Units!$Q88,12)=0),IF(AND(Units!$L88=1,DK$1=Units!$Q88),1,Inputs!$B$15)*Inputs!$B$16*(1+Inputs!$B$11)^(DK$2-1),0)</f>
        <v>0</v>
      </c>
      <c r="DL89" s="11" t="n">
        <f aca="false">IF(AND(DL$1&gt;=Units!$Q88,MOD(DL$1-Units!$Q88,12)=0),IF(AND(Units!$L88=1,DL$1=Units!$Q88),1,Inputs!$B$15)*Inputs!$B$16*(1+Inputs!$B$11)^(DL$2-1),0)</f>
        <v>0</v>
      </c>
      <c r="DM89" s="11" t="n">
        <f aca="false">IF(AND(DM$1&gt;=Units!$Q88,MOD(DM$1-Units!$Q88,12)=0),IF(AND(Units!$L88=1,DM$1=Units!$Q88),1,Inputs!$B$15)*Inputs!$B$16*(1+Inputs!$B$11)^(DM$2-1),0)</f>
        <v>0</v>
      </c>
      <c r="DN89" s="11" t="n">
        <f aca="false">IF(AND(DN$1&gt;=Units!$Q88,MOD(DN$1-Units!$Q88,12)=0),IF(AND(Units!$L88=1,DN$1=Units!$Q88),1,Inputs!$B$15)*Inputs!$B$16*(1+Inputs!$B$11)^(DN$2-1),0)</f>
        <v>0</v>
      </c>
      <c r="DO89" s="11" t="n">
        <f aca="false">IF(AND(DO$1&gt;=Units!$Q88,MOD(DO$1-Units!$Q88,12)=0),IF(AND(Units!$L88=1,DO$1=Units!$Q88),1,Inputs!$B$15)*Inputs!$B$16*(1+Inputs!$B$11)^(DO$2-1),0)</f>
        <v>0</v>
      </c>
      <c r="DP89" s="11" t="n">
        <f aca="false">IF(AND(DP$1&gt;=Units!$Q88,MOD(DP$1-Units!$Q88,12)=0),IF(AND(Units!$L88=1,DP$1=Units!$Q88),1,Inputs!$B$15)*Inputs!$B$16*(1+Inputs!$B$11)^(DP$2-1),0)</f>
        <v>0</v>
      </c>
      <c r="DQ89" s="11" t="n">
        <f aca="false">IF(AND(DQ$1&gt;=Units!$Q88,MOD(DQ$1-Units!$Q88,12)=0),IF(AND(Units!$L88=1,DQ$1=Units!$Q88),1,Inputs!$B$15)*Inputs!$B$16*(1+Inputs!$B$11)^(DQ$2-1),0)</f>
        <v>0</v>
      </c>
      <c r="DR89" s="11" t="n">
        <f aca="false">IF(AND(DR$1&gt;=Units!$Q88,MOD(DR$1-Units!$Q88,12)=0),IF(AND(Units!$L88=1,DR$1=Units!$Q88),1,Inputs!$B$15)*Inputs!$B$16*(1+Inputs!$B$11)^(DR$2-1),0)</f>
        <v>0</v>
      </c>
      <c r="DS89" s="11" t="n">
        <f aca="false">IF(AND(DS$1&gt;=Units!$Q88,MOD(DS$1-Units!$Q88,12)=0),IF(AND(Units!$L88=1,DS$1=Units!$Q88),1,Inputs!$B$15)*Inputs!$B$16*(1+Inputs!$B$11)^(DS$2-1),0)</f>
        <v>0</v>
      </c>
      <c r="DT89" s="11" t="n">
        <f aca="false">IF(AND(DT$1&gt;=Units!$Q88,MOD(DT$1-Units!$Q88,12)=0),IF(AND(Units!$L88=1,DT$1=Units!$Q88),1,Inputs!$B$15)*Inputs!$B$16*(1+Inputs!$B$11)^(DT$2-1),0)</f>
        <v>671.958189672061</v>
      </c>
      <c r="DU89" s="11" t="n">
        <f aca="false">IF(AND(DU$1&gt;=Units!$Q88,MOD(DU$1-Units!$Q88,12)=0),IF(AND(Units!$L88=1,DU$1=Units!$Q88),1,Inputs!$B$15)*Inputs!$B$16*(1+Inputs!$B$11)^(DU$2-1),0)</f>
        <v>0</v>
      </c>
      <c r="DV89" s="11" t="n">
        <f aca="false">IF(AND(DV$1&gt;=Units!$Q88,MOD(DV$1-Units!$Q88,12)=0),IF(AND(Units!$L88=1,DV$1=Units!$Q88),1,Inputs!$B$15)*Inputs!$B$16*(1+Inputs!$B$11)^(DV$2-1),0)</f>
        <v>0</v>
      </c>
      <c r="DW89" s="11" t="n">
        <f aca="false">IF(AND(DW$1&gt;=Units!$Q88,MOD(DW$1-Units!$Q88,12)=0),IF(AND(Units!$L88=1,DW$1=Units!$Q88),1,Inputs!$B$15)*Inputs!$B$16*(1+Inputs!$B$11)^(DW$2-1),0)</f>
        <v>0</v>
      </c>
      <c r="DX89" s="11" t="n">
        <f aca="false">IF(AND(DX$1&gt;=Units!$Q88,MOD(DX$1-Units!$Q88,12)=0),IF(AND(Units!$L88=1,DX$1=Units!$Q88),1,Inputs!$B$15)*Inputs!$B$16*(1+Inputs!$B$11)^(DX$2-1),0)</f>
        <v>0</v>
      </c>
      <c r="DY89" s="11" t="n">
        <f aca="false">IF(AND(DY$1&gt;=Units!$Q88,MOD(DY$1-Units!$Q88,12)=0),IF(AND(Units!$L88=1,DY$1=Units!$Q88),1,Inputs!$B$15)*Inputs!$B$16*(1+Inputs!$B$11)^(DY$2-1),0)</f>
        <v>0</v>
      </c>
      <c r="DZ89" s="11" t="n">
        <f aca="false">IF(AND(DZ$1&gt;=Units!$Q88,MOD(DZ$1-Units!$Q88,12)=0),IF(AND(Units!$L88=1,DZ$1=Units!$Q88),1,Inputs!$B$15)*Inputs!$B$16*(1+Inputs!$B$11)^(DZ$2-1),0)</f>
        <v>0</v>
      </c>
      <c r="EA89" s="11" t="n">
        <f aca="false">IF(AND(EA$1&gt;=Units!$Q88,MOD(EA$1-Units!$Q88,12)=0),IF(AND(Units!$L88=1,EA$1=Units!$Q88),1,Inputs!$B$15)*Inputs!$B$16*(1+Inputs!$B$11)^(EA$2-1),0)</f>
        <v>0</v>
      </c>
      <c r="EB89" s="11" t="n">
        <f aca="false">IF(AND(EB$1&gt;=Units!$Q88,MOD(EB$1-Units!$Q88,12)=0),IF(AND(Units!$L88=1,EB$1=Units!$Q88),1,Inputs!$B$15)*Inputs!$B$16*(1+Inputs!$B$11)^(EB$2-1),0)</f>
        <v>0</v>
      </c>
      <c r="EC89" s="11" t="n">
        <f aca="false">IF(AND(EC$1&gt;=Units!$Q88,MOD(EC$1-Units!$Q88,12)=0),IF(AND(Units!$L88=1,EC$1=Units!$Q88),1,Inputs!$B$15)*Inputs!$B$16*(1+Inputs!$B$11)^(EC$2-1),0)</f>
        <v>0</v>
      </c>
      <c r="ED89" s="11" t="n">
        <f aca="false">IF(AND(ED$1&gt;=Units!$Q88,MOD(ED$1-Units!$Q88,12)=0),IF(AND(Units!$L88=1,ED$1=Units!$Q88),1,Inputs!$B$15)*Inputs!$B$16*(1+Inputs!$B$11)^(ED$2-1),0)</f>
        <v>0</v>
      </c>
    </row>
    <row r="90" customFormat="false" ht="15" hidden="false" customHeight="false" outlineLevel="0" collapsed="false">
      <c r="A90" s="22" t="n">
        <f aca="false">Units!A89</f>
        <v>328</v>
      </c>
      <c r="B90" s="23"/>
      <c r="C90" s="11" t="n">
        <f aca="false">IF(AND(C$1&gt;=Units!$Q89,MOD(C$1-Units!$Q89,12)=0),IF(AND(Units!$L89=1,C$1=Units!$Q89),1,Inputs!$B$15)*Inputs!$B$16*(1+Inputs!$B$11)^(C$2-1),0)</f>
        <v>0</v>
      </c>
      <c r="D90" s="11" t="n">
        <f aca="false">IF(AND(D$1&gt;=Units!$Q89,MOD(D$1-Units!$Q89,12)=0),IF(AND(Units!$L89=1,D$1=Units!$Q89),1,Inputs!$B$15)*Inputs!$B$16*(1+Inputs!$B$11)^(D$2-1),0)</f>
        <v>0</v>
      </c>
      <c r="E90" s="11" t="n">
        <f aca="false">IF(AND(E$1&gt;=Units!$Q89,MOD(E$1-Units!$Q89,12)=0),IF(AND(Units!$L89=1,E$1=Units!$Q89),1,Inputs!$B$15)*Inputs!$B$16*(1+Inputs!$B$11)^(E$2-1),0)</f>
        <v>0</v>
      </c>
      <c r="F90" s="11" t="n">
        <f aca="false">IF(AND(F$1&gt;=Units!$Q89,MOD(F$1-Units!$Q89,12)=0),IF(AND(Units!$L89=1,F$1=Units!$Q89),1,Inputs!$B$15)*Inputs!$B$16*(1+Inputs!$B$11)^(F$2-1),0)</f>
        <v>0</v>
      </c>
      <c r="G90" s="11" t="n">
        <f aca="false">IF(AND(G$1&gt;=Units!$Q89,MOD(G$1-Units!$Q89,12)=0),IF(AND(Units!$L89=1,G$1=Units!$Q89),1,Inputs!$B$15)*Inputs!$B$16*(1+Inputs!$B$11)^(G$2-1),0)</f>
        <v>0</v>
      </c>
      <c r="H90" s="11" t="n">
        <f aca="false">IF(AND(H$1&gt;=Units!$Q89,MOD(H$1-Units!$Q89,12)=0),IF(AND(Units!$L89=1,H$1=Units!$Q89),1,Inputs!$B$15)*Inputs!$B$16*(1+Inputs!$B$11)^(H$2-1),0)</f>
        <v>0</v>
      </c>
      <c r="I90" s="11" t="n">
        <f aca="false">IF(AND(I$1&gt;=Units!$Q89,MOD(I$1-Units!$Q89,12)=0),IF(AND(Units!$L89=1,I$1=Units!$Q89),1,Inputs!$B$15)*Inputs!$B$16*(1+Inputs!$B$11)^(I$2-1),0)</f>
        <v>0</v>
      </c>
      <c r="J90" s="11" t="n">
        <f aca="false">IF(AND(J$1&gt;=Units!$Q89,MOD(J$1-Units!$Q89,12)=0),IF(AND(Units!$L89=1,J$1=Units!$Q89),1,Inputs!$B$15)*Inputs!$B$16*(1+Inputs!$B$11)^(J$2-1),0)</f>
        <v>500</v>
      </c>
      <c r="K90" s="11" t="n">
        <f aca="false">IF(AND(K$1&gt;=Units!$Q89,MOD(K$1-Units!$Q89,12)=0),IF(AND(Units!$L89=1,K$1=Units!$Q89),1,Inputs!$B$15)*Inputs!$B$16*(1+Inputs!$B$11)^(K$2-1),0)</f>
        <v>0</v>
      </c>
      <c r="L90" s="11" t="n">
        <f aca="false">IF(AND(L$1&gt;=Units!$Q89,MOD(L$1-Units!$Q89,12)=0),IF(AND(Units!$L89=1,L$1=Units!$Q89),1,Inputs!$B$15)*Inputs!$B$16*(1+Inputs!$B$11)^(L$2-1),0)</f>
        <v>0</v>
      </c>
      <c r="M90" s="11" t="n">
        <f aca="false">IF(AND(M$1&gt;=Units!$Q89,MOD(M$1-Units!$Q89,12)=0),IF(AND(Units!$L89=1,M$1=Units!$Q89),1,Inputs!$B$15)*Inputs!$B$16*(1+Inputs!$B$11)^(M$2-1),0)</f>
        <v>0</v>
      </c>
      <c r="N90" s="11" t="n">
        <f aca="false">IF(AND(N$1&gt;=Units!$Q89,MOD(N$1-Units!$Q89,12)=0),IF(AND(Units!$L89=1,N$1=Units!$Q89),1,Inputs!$B$15)*Inputs!$B$16*(1+Inputs!$B$11)^(N$2-1),0)</f>
        <v>0</v>
      </c>
      <c r="O90" s="11" t="n">
        <f aca="false">IF(AND(O$1&gt;=Units!$Q89,MOD(O$1-Units!$Q89,12)=0),IF(AND(Units!$L89=1,O$1=Units!$Q89),1,Inputs!$B$15)*Inputs!$B$16*(1+Inputs!$B$11)^(O$2-1),0)</f>
        <v>0</v>
      </c>
      <c r="P90" s="11" t="n">
        <f aca="false">IF(AND(P$1&gt;=Units!$Q89,MOD(P$1-Units!$Q89,12)=0),IF(AND(Units!$L89=1,P$1=Units!$Q89),1,Inputs!$B$15)*Inputs!$B$16*(1+Inputs!$B$11)^(P$2-1),0)</f>
        <v>0</v>
      </c>
      <c r="Q90" s="11" t="n">
        <f aca="false">IF(AND(Q$1&gt;=Units!$Q89,MOD(Q$1-Units!$Q89,12)=0),IF(AND(Units!$L89=1,Q$1=Units!$Q89),1,Inputs!$B$15)*Inputs!$B$16*(1+Inputs!$B$11)^(Q$2-1),0)</f>
        <v>0</v>
      </c>
      <c r="R90" s="11" t="n">
        <f aca="false">IF(AND(R$1&gt;=Units!$Q89,MOD(R$1-Units!$Q89,12)=0),IF(AND(Units!$L89=1,R$1=Units!$Q89),1,Inputs!$B$15)*Inputs!$B$16*(1+Inputs!$B$11)^(R$2-1),0)</f>
        <v>0</v>
      </c>
      <c r="S90" s="11" t="n">
        <f aca="false">IF(AND(S$1&gt;=Units!$Q89,MOD(S$1-Units!$Q89,12)=0),IF(AND(Units!$L89=1,S$1=Units!$Q89),1,Inputs!$B$15)*Inputs!$B$16*(1+Inputs!$B$11)^(S$2-1),0)</f>
        <v>0</v>
      </c>
      <c r="T90" s="11" t="n">
        <f aca="false">IF(AND(T$1&gt;=Units!$Q89,MOD(T$1-Units!$Q89,12)=0),IF(AND(Units!$L89=1,T$1=Units!$Q89),1,Inputs!$B$15)*Inputs!$B$16*(1+Inputs!$B$11)^(T$2-1),0)</f>
        <v>0</v>
      </c>
      <c r="U90" s="11" t="n">
        <f aca="false">IF(AND(U$1&gt;=Units!$Q89,MOD(U$1-Units!$Q89,12)=0),IF(AND(Units!$L89=1,U$1=Units!$Q89),1,Inputs!$B$15)*Inputs!$B$16*(1+Inputs!$B$11)^(U$2-1),0)</f>
        <v>0</v>
      </c>
      <c r="V90" s="11" t="n">
        <f aca="false">IF(AND(V$1&gt;=Units!$Q89,MOD(V$1-Units!$Q89,12)=0),IF(AND(Units!$L89=1,V$1=Units!$Q89),1,Inputs!$B$15)*Inputs!$B$16*(1+Inputs!$B$11)^(V$2-1),0)</f>
        <v>515</v>
      </c>
      <c r="W90" s="11" t="n">
        <f aca="false">IF(AND(W$1&gt;=Units!$Q89,MOD(W$1-Units!$Q89,12)=0),IF(AND(Units!$L89=1,W$1=Units!$Q89),1,Inputs!$B$15)*Inputs!$B$16*(1+Inputs!$B$11)^(W$2-1),0)</f>
        <v>0</v>
      </c>
      <c r="X90" s="11" t="n">
        <f aca="false">IF(AND(X$1&gt;=Units!$Q89,MOD(X$1-Units!$Q89,12)=0),IF(AND(Units!$L89=1,X$1=Units!$Q89),1,Inputs!$B$15)*Inputs!$B$16*(1+Inputs!$B$11)^(X$2-1),0)</f>
        <v>0</v>
      </c>
      <c r="Y90" s="11" t="n">
        <f aca="false">IF(AND(Y$1&gt;=Units!$Q89,MOD(Y$1-Units!$Q89,12)=0),IF(AND(Units!$L89=1,Y$1=Units!$Q89),1,Inputs!$B$15)*Inputs!$B$16*(1+Inputs!$B$11)^(Y$2-1),0)</f>
        <v>0</v>
      </c>
      <c r="Z90" s="11" t="n">
        <f aca="false">IF(AND(Z$1&gt;=Units!$Q89,MOD(Z$1-Units!$Q89,12)=0),IF(AND(Units!$L89=1,Z$1=Units!$Q89),1,Inputs!$B$15)*Inputs!$B$16*(1+Inputs!$B$11)^(Z$2-1),0)</f>
        <v>0</v>
      </c>
      <c r="AA90" s="11" t="n">
        <f aca="false">IF(AND(AA$1&gt;=Units!$Q89,MOD(AA$1-Units!$Q89,12)=0),IF(AND(Units!$L89=1,AA$1=Units!$Q89),1,Inputs!$B$15)*Inputs!$B$16*(1+Inputs!$B$11)^(AA$2-1),0)</f>
        <v>0</v>
      </c>
      <c r="AB90" s="11" t="n">
        <f aca="false">IF(AND(AB$1&gt;=Units!$Q89,MOD(AB$1-Units!$Q89,12)=0),IF(AND(Units!$L89=1,AB$1=Units!$Q89),1,Inputs!$B$15)*Inputs!$B$16*(1+Inputs!$B$11)^(AB$2-1),0)</f>
        <v>0</v>
      </c>
      <c r="AC90" s="11" t="n">
        <f aca="false">IF(AND(AC$1&gt;=Units!$Q89,MOD(AC$1-Units!$Q89,12)=0),IF(AND(Units!$L89=1,AC$1=Units!$Q89),1,Inputs!$B$15)*Inputs!$B$16*(1+Inputs!$B$11)^(AC$2-1),0)</f>
        <v>0</v>
      </c>
      <c r="AD90" s="11" t="n">
        <f aca="false">IF(AND(AD$1&gt;=Units!$Q89,MOD(AD$1-Units!$Q89,12)=0),IF(AND(Units!$L89=1,AD$1=Units!$Q89),1,Inputs!$B$15)*Inputs!$B$16*(1+Inputs!$B$11)^(AD$2-1),0)</f>
        <v>0</v>
      </c>
      <c r="AE90" s="11" t="n">
        <f aca="false">IF(AND(AE$1&gt;=Units!$Q89,MOD(AE$1-Units!$Q89,12)=0),IF(AND(Units!$L89=1,AE$1=Units!$Q89),1,Inputs!$B$15)*Inputs!$B$16*(1+Inputs!$B$11)^(AE$2-1),0)</f>
        <v>0</v>
      </c>
      <c r="AF90" s="11" t="n">
        <f aca="false">IF(AND(AF$1&gt;=Units!$Q89,MOD(AF$1-Units!$Q89,12)=0),IF(AND(Units!$L89=1,AF$1=Units!$Q89),1,Inputs!$B$15)*Inputs!$B$16*(1+Inputs!$B$11)^(AF$2-1),0)</f>
        <v>0</v>
      </c>
      <c r="AG90" s="11" t="n">
        <f aca="false">IF(AND(AG$1&gt;=Units!$Q89,MOD(AG$1-Units!$Q89,12)=0),IF(AND(Units!$L89=1,AG$1=Units!$Q89),1,Inputs!$B$15)*Inputs!$B$16*(1+Inputs!$B$11)^(AG$2-1),0)</f>
        <v>0</v>
      </c>
      <c r="AH90" s="11" t="n">
        <f aca="false">IF(AND(AH$1&gt;=Units!$Q89,MOD(AH$1-Units!$Q89,12)=0),IF(AND(Units!$L89=1,AH$1=Units!$Q89),1,Inputs!$B$15)*Inputs!$B$16*(1+Inputs!$B$11)^(AH$2-1),0)</f>
        <v>530.45</v>
      </c>
      <c r="AI90" s="11" t="n">
        <f aca="false">IF(AND(AI$1&gt;=Units!$Q89,MOD(AI$1-Units!$Q89,12)=0),IF(AND(Units!$L89=1,AI$1=Units!$Q89),1,Inputs!$B$15)*Inputs!$B$16*(1+Inputs!$B$11)^(AI$2-1),0)</f>
        <v>0</v>
      </c>
      <c r="AJ90" s="11" t="n">
        <f aca="false">IF(AND(AJ$1&gt;=Units!$Q89,MOD(AJ$1-Units!$Q89,12)=0),IF(AND(Units!$L89=1,AJ$1=Units!$Q89),1,Inputs!$B$15)*Inputs!$B$16*(1+Inputs!$B$11)^(AJ$2-1),0)</f>
        <v>0</v>
      </c>
      <c r="AK90" s="11" t="n">
        <f aca="false">IF(AND(AK$1&gt;=Units!$Q89,MOD(AK$1-Units!$Q89,12)=0),IF(AND(Units!$L89=1,AK$1=Units!$Q89),1,Inputs!$B$15)*Inputs!$B$16*(1+Inputs!$B$11)^(AK$2-1),0)</f>
        <v>0</v>
      </c>
      <c r="AL90" s="11" t="n">
        <f aca="false">IF(AND(AL$1&gt;=Units!$Q89,MOD(AL$1-Units!$Q89,12)=0),IF(AND(Units!$L89=1,AL$1=Units!$Q89),1,Inputs!$B$15)*Inputs!$B$16*(1+Inputs!$B$11)^(AL$2-1),0)</f>
        <v>0</v>
      </c>
      <c r="AM90" s="11" t="n">
        <f aca="false">IF(AND(AM$1&gt;=Units!$Q89,MOD(AM$1-Units!$Q89,12)=0),IF(AND(Units!$L89=1,AM$1=Units!$Q89),1,Inputs!$B$15)*Inputs!$B$16*(1+Inputs!$B$11)^(AM$2-1),0)</f>
        <v>0</v>
      </c>
      <c r="AN90" s="11" t="n">
        <f aca="false">IF(AND(AN$1&gt;=Units!$Q89,MOD(AN$1-Units!$Q89,12)=0),IF(AND(Units!$L89=1,AN$1=Units!$Q89),1,Inputs!$B$15)*Inputs!$B$16*(1+Inputs!$B$11)^(AN$2-1),0)</f>
        <v>0</v>
      </c>
      <c r="AO90" s="11" t="n">
        <f aca="false">IF(AND(AO$1&gt;=Units!$Q89,MOD(AO$1-Units!$Q89,12)=0),IF(AND(Units!$L89=1,AO$1=Units!$Q89),1,Inputs!$B$15)*Inputs!$B$16*(1+Inputs!$B$11)^(AO$2-1),0)</f>
        <v>0</v>
      </c>
      <c r="AP90" s="11" t="n">
        <f aca="false">IF(AND(AP$1&gt;=Units!$Q89,MOD(AP$1-Units!$Q89,12)=0),IF(AND(Units!$L89=1,AP$1=Units!$Q89),1,Inputs!$B$15)*Inputs!$B$16*(1+Inputs!$B$11)^(AP$2-1),0)</f>
        <v>0</v>
      </c>
      <c r="AQ90" s="11" t="n">
        <f aca="false">IF(AND(AQ$1&gt;=Units!$Q89,MOD(AQ$1-Units!$Q89,12)=0),IF(AND(Units!$L89=1,AQ$1=Units!$Q89),1,Inputs!$B$15)*Inputs!$B$16*(1+Inputs!$B$11)^(AQ$2-1),0)</f>
        <v>0</v>
      </c>
      <c r="AR90" s="11" t="n">
        <f aca="false">IF(AND(AR$1&gt;=Units!$Q89,MOD(AR$1-Units!$Q89,12)=0),IF(AND(Units!$L89=1,AR$1=Units!$Q89),1,Inputs!$B$15)*Inputs!$B$16*(1+Inputs!$B$11)^(AR$2-1),0)</f>
        <v>0</v>
      </c>
      <c r="AS90" s="11" t="n">
        <f aca="false">IF(AND(AS$1&gt;=Units!$Q89,MOD(AS$1-Units!$Q89,12)=0),IF(AND(Units!$L89=1,AS$1=Units!$Q89),1,Inputs!$B$15)*Inputs!$B$16*(1+Inputs!$B$11)^(AS$2-1),0)</f>
        <v>0</v>
      </c>
      <c r="AT90" s="11" t="n">
        <f aca="false">IF(AND(AT$1&gt;=Units!$Q89,MOD(AT$1-Units!$Q89,12)=0),IF(AND(Units!$L89=1,AT$1=Units!$Q89),1,Inputs!$B$15)*Inputs!$B$16*(1+Inputs!$B$11)^(AT$2-1),0)</f>
        <v>546.3635</v>
      </c>
      <c r="AU90" s="11" t="n">
        <f aca="false">IF(AND(AU$1&gt;=Units!$Q89,MOD(AU$1-Units!$Q89,12)=0),IF(AND(Units!$L89=1,AU$1=Units!$Q89),1,Inputs!$B$15)*Inputs!$B$16*(1+Inputs!$B$11)^(AU$2-1),0)</f>
        <v>0</v>
      </c>
      <c r="AV90" s="11" t="n">
        <f aca="false">IF(AND(AV$1&gt;=Units!$Q89,MOD(AV$1-Units!$Q89,12)=0),IF(AND(Units!$L89=1,AV$1=Units!$Q89),1,Inputs!$B$15)*Inputs!$B$16*(1+Inputs!$B$11)^(AV$2-1),0)</f>
        <v>0</v>
      </c>
      <c r="AW90" s="11" t="n">
        <f aca="false">IF(AND(AW$1&gt;=Units!$Q89,MOD(AW$1-Units!$Q89,12)=0),IF(AND(Units!$L89=1,AW$1=Units!$Q89),1,Inputs!$B$15)*Inputs!$B$16*(1+Inputs!$B$11)^(AW$2-1),0)</f>
        <v>0</v>
      </c>
      <c r="AX90" s="11" t="n">
        <f aca="false">IF(AND(AX$1&gt;=Units!$Q89,MOD(AX$1-Units!$Q89,12)=0),IF(AND(Units!$L89=1,AX$1=Units!$Q89),1,Inputs!$B$15)*Inputs!$B$16*(1+Inputs!$B$11)^(AX$2-1),0)</f>
        <v>0</v>
      </c>
      <c r="AY90" s="11" t="n">
        <f aca="false">IF(AND(AY$1&gt;=Units!$Q89,MOD(AY$1-Units!$Q89,12)=0),IF(AND(Units!$L89=1,AY$1=Units!$Q89),1,Inputs!$B$15)*Inputs!$B$16*(1+Inputs!$B$11)^(AY$2-1),0)</f>
        <v>0</v>
      </c>
      <c r="AZ90" s="11" t="n">
        <f aca="false">IF(AND(AZ$1&gt;=Units!$Q89,MOD(AZ$1-Units!$Q89,12)=0),IF(AND(Units!$L89=1,AZ$1=Units!$Q89),1,Inputs!$B$15)*Inputs!$B$16*(1+Inputs!$B$11)^(AZ$2-1),0)</f>
        <v>0</v>
      </c>
      <c r="BA90" s="11" t="n">
        <f aca="false">IF(AND(BA$1&gt;=Units!$Q89,MOD(BA$1-Units!$Q89,12)=0),IF(AND(Units!$L89=1,BA$1=Units!$Q89),1,Inputs!$B$15)*Inputs!$B$16*(1+Inputs!$B$11)^(BA$2-1),0)</f>
        <v>0</v>
      </c>
      <c r="BB90" s="11" t="n">
        <f aca="false">IF(AND(BB$1&gt;=Units!$Q89,MOD(BB$1-Units!$Q89,12)=0),IF(AND(Units!$L89=1,BB$1=Units!$Q89),1,Inputs!$B$15)*Inputs!$B$16*(1+Inputs!$B$11)^(BB$2-1),0)</f>
        <v>0</v>
      </c>
      <c r="BC90" s="11" t="n">
        <f aca="false">IF(AND(BC$1&gt;=Units!$Q89,MOD(BC$1-Units!$Q89,12)=0),IF(AND(Units!$L89=1,BC$1=Units!$Q89),1,Inputs!$B$15)*Inputs!$B$16*(1+Inputs!$B$11)^(BC$2-1),0)</f>
        <v>0</v>
      </c>
      <c r="BD90" s="11" t="n">
        <f aca="false">IF(AND(BD$1&gt;=Units!$Q89,MOD(BD$1-Units!$Q89,12)=0),IF(AND(Units!$L89=1,BD$1=Units!$Q89),1,Inputs!$B$15)*Inputs!$B$16*(1+Inputs!$B$11)^(BD$2-1),0)</f>
        <v>0</v>
      </c>
      <c r="BE90" s="11" t="n">
        <f aca="false">IF(AND(BE$1&gt;=Units!$Q89,MOD(BE$1-Units!$Q89,12)=0),IF(AND(Units!$L89=1,BE$1=Units!$Q89),1,Inputs!$B$15)*Inputs!$B$16*(1+Inputs!$B$11)^(BE$2-1),0)</f>
        <v>0</v>
      </c>
      <c r="BF90" s="11" t="n">
        <f aca="false">IF(AND(BF$1&gt;=Units!$Q89,MOD(BF$1-Units!$Q89,12)=0),IF(AND(Units!$L89=1,BF$1=Units!$Q89),1,Inputs!$B$15)*Inputs!$B$16*(1+Inputs!$B$11)^(BF$2-1),0)</f>
        <v>562.754405</v>
      </c>
      <c r="BG90" s="11" t="n">
        <f aca="false">IF(AND(BG$1&gt;=Units!$Q89,MOD(BG$1-Units!$Q89,12)=0),IF(AND(Units!$L89=1,BG$1=Units!$Q89),1,Inputs!$B$15)*Inputs!$B$16*(1+Inputs!$B$11)^(BG$2-1),0)</f>
        <v>0</v>
      </c>
      <c r="BH90" s="11" t="n">
        <f aca="false">IF(AND(BH$1&gt;=Units!$Q89,MOD(BH$1-Units!$Q89,12)=0),IF(AND(Units!$L89=1,BH$1=Units!$Q89),1,Inputs!$B$15)*Inputs!$B$16*(1+Inputs!$B$11)^(BH$2-1),0)</f>
        <v>0</v>
      </c>
      <c r="BI90" s="11" t="n">
        <f aca="false">IF(AND(BI$1&gt;=Units!$Q89,MOD(BI$1-Units!$Q89,12)=0),IF(AND(Units!$L89=1,BI$1=Units!$Q89),1,Inputs!$B$15)*Inputs!$B$16*(1+Inputs!$B$11)^(BI$2-1),0)</f>
        <v>0</v>
      </c>
      <c r="BJ90" s="11" t="n">
        <f aca="false">IF(AND(BJ$1&gt;=Units!$Q89,MOD(BJ$1-Units!$Q89,12)=0),IF(AND(Units!$L89=1,BJ$1=Units!$Q89),1,Inputs!$B$15)*Inputs!$B$16*(1+Inputs!$B$11)^(BJ$2-1),0)</f>
        <v>0</v>
      </c>
      <c r="BK90" s="11" t="n">
        <f aca="false">IF(AND(BK$1&gt;=Units!$Q89,MOD(BK$1-Units!$Q89,12)=0),IF(AND(Units!$L89=1,BK$1=Units!$Q89),1,Inputs!$B$15)*Inputs!$B$16*(1+Inputs!$B$11)^(BK$2-1),0)</f>
        <v>0</v>
      </c>
      <c r="BL90" s="11" t="n">
        <f aca="false">IF(AND(BL$1&gt;=Units!$Q89,MOD(BL$1-Units!$Q89,12)=0),IF(AND(Units!$L89=1,BL$1=Units!$Q89),1,Inputs!$B$15)*Inputs!$B$16*(1+Inputs!$B$11)^(BL$2-1),0)</f>
        <v>0</v>
      </c>
      <c r="BM90" s="11" t="n">
        <f aca="false">IF(AND(BM$1&gt;=Units!$Q89,MOD(BM$1-Units!$Q89,12)=0),IF(AND(Units!$L89=1,BM$1=Units!$Q89),1,Inputs!$B$15)*Inputs!$B$16*(1+Inputs!$B$11)^(BM$2-1),0)</f>
        <v>0</v>
      </c>
      <c r="BN90" s="11" t="n">
        <f aca="false">IF(AND(BN$1&gt;=Units!$Q89,MOD(BN$1-Units!$Q89,12)=0),IF(AND(Units!$L89=1,BN$1=Units!$Q89),1,Inputs!$B$15)*Inputs!$B$16*(1+Inputs!$B$11)^(BN$2-1),0)</f>
        <v>0</v>
      </c>
      <c r="BO90" s="11" t="n">
        <f aca="false">IF(AND(BO$1&gt;=Units!$Q89,MOD(BO$1-Units!$Q89,12)=0),IF(AND(Units!$L89=1,BO$1=Units!$Q89),1,Inputs!$B$15)*Inputs!$B$16*(1+Inputs!$B$11)^(BO$2-1),0)</f>
        <v>0</v>
      </c>
      <c r="BP90" s="11" t="n">
        <f aca="false">IF(AND(BP$1&gt;=Units!$Q89,MOD(BP$1-Units!$Q89,12)=0),IF(AND(Units!$L89=1,BP$1=Units!$Q89),1,Inputs!$B$15)*Inputs!$B$16*(1+Inputs!$B$11)^(BP$2-1),0)</f>
        <v>0</v>
      </c>
      <c r="BQ90" s="11" t="n">
        <f aca="false">IF(AND(BQ$1&gt;=Units!$Q89,MOD(BQ$1-Units!$Q89,12)=0),IF(AND(Units!$L89=1,BQ$1=Units!$Q89),1,Inputs!$B$15)*Inputs!$B$16*(1+Inputs!$B$11)^(BQ$2-1),0)</f>
        <v>0</v>
      </c>
      <c r="BR90" s="11" t="n">
        <f aca="false">IF(AND(BR$1&gt;=Units!$Q89,MOD(BR$1-Units!$Q89,12)=0),IF(AND(Units!$L89=1,BR$1=Units!$Q89),1,Inputs!$B$15)*Inputs!$B$16*(1+Inputs!$B$11)^(BR$2-1),0)</f>
        <v>579.63703715</v>
      </c>
      <c r="BS90" s="11" t="n">
        <f aca="false">IF(AND(BS$1&gt;=Units!$Q89,MOD(BS$1-Units!$Q89,12)=0),IF(AND(Units!$L89=1,BS$1=Units!$Q89),1,Inputs!$B$15)*Inputs!$B$16*(1+Inputs!$B$11)^(BS$2-1),0)</f>
        <v>0</v>
      </c>
      <c r="BT90" s="11" t="n">
        <f aca="false">IF(AND(BT$1&gt;=Units!$Q89,MOD(BT$1-Units!$Q89,12)=0),IF(AND(Units!$L89=1,BT$1=Units!$Q89),1,Inputs!$B$15)*Inputs!$B$16*(1+Inputs!$B$11)^(BT$2-1),0)</f>
        <v>0</v>
      </c>
      <c r="BU90" s="11" t="n">
        <f aca="false">IF(AND(BU$1&gt;=Units!$Q89,MOD(BU$1-Units!$Q89,12)=0),IF(AND(Units!$L89=1,BU$1=Units!$Q89),1,Inputs!$B$15)*Inputs!$B$16*(1+Inputs!$B$11)^(BU$2-1),0)</f>
        <v>0</v>
      </c>
      <c r="BV90" s="11" t="n">
        <f aca="false">IF(AND(BV$1&gt;=Units!$Q89,MOD(BV$1-Units!$Q89,12)=0),IF(AND(Units!$L89=1,BV$1=Units!$Q89),1,Inputs!$B$15)*Inputs!$B$16*(1+Inputs!$B$11)^(BV$2-1),0)</f>
        <v>0</v>
      </c>
      <c r="BW90" s="11" t="n">
        <f aca="false">IF(AND(BW$1&gt;=Units!$Q89,MOD(BW$1-Units!$Q89,12)=0),IF(AND(Units!$L89=1,BW$1=Units!$Q89),1,Inputs!$B$15)*Inputs!$B$16*(1+Inputs!$B$11)^(BW$2-1),0)</f>
        <v>0</v>
      </c>
      <c r="BX90" s="11" t="n">
        <f aca="false">IF(AND(BX$1&gt;=Units!$Q89,MOD(BX$1-Units!$Q89,12)=0),IF(AND(Units!$L89=1,BX$1=Units!$Q89),1,Inputs!$B$15)*Inputs!$B$16*(1+Inputs!$B$11)^(BX$2-1),0)</f>
        <v>0</v>
      </c>
      <c r="BY90" s="11" t="n">
        <f aca="false">IF(AND(BY$1&gt;=Units!$Q89,MOD(BY$1-Units!$Q89,12)=0),IF(AND(Units!$L89=1,BY$1=Units!$Q89),1,Inputs!$B$15)*Inputs!$B$16*(1+Inputs!$B$11)^(BY$2-1),0)</f>
        <v>0</v>
      </c>
      <c r="BZ90" s="11" t="n">
        <f aca="false">IF(AND(BZ$1&gt;=Units!$Q89,MOD(BZ$1-Units!$Q89,12)=0),IF(AND(Units!$L89=1,BZ$1=Units!$Q89),1,Inputs!$B$15)*Inputs!$B$16*(1+Inputs!$B$11)^(BZ$2-1),0)</f>
        <v>0</v>
      </c>
      <c r="CA90" s="11" t="n">
        <f aca="false">IF(AND(CA$1&gt;=Units!$Q89,MOD(CA$1-Units!$Q89,12)=0),IF(AND(Units!$L89=1,CA$1=Units!$Q89),1,Inputs!$B$15)*Inputs!$B$16*(1+Inputs!$B$11)^(CA$2-1),0)</f>
        <v>0</v>
      </c>
      <c r="CB90" s="11" t="n">
        <f aca="false">IF(AND(CB$1&gt;=Units!$Q89,MOD(CB$1-Units!$Q89,12)=0),IF(AND(Units!$L89=1,CB$1=Units!$Q89),1,Inputs!$B$15)*Inputs!$B$16*(1+Inputs!$B$11)^(CB$2-1),0)</f>
        <v>0</v>
      </c>
      <c r="CC90" s="11" t="n">
        <f aca="false">IF(AND(CC$1&gt;=Units!$Q89,MOD(CC$1-Units!$Q89,12)=0),IF(AND(Units!$L89=1,CC$1=Units!$Q89),1,Inputs!$B$15)*Inputs!$B$16*(1+Inputs!$B$11)^(CC$2-1),0)</f>
        <v>0</v>
      </c>
      <c r="CD90" s="11" t="n">
        <f aca="false">IF(AND(CD$1&gt;=Units!$Q89,MOD(CD$1-Units!$Q89,12)=0),IF(AND(Units!$L89=1,CD$1=Units!$Q89),1,Inputs!$B$15)*Inputs!$B$16*(1+Inputs!$B$11)^(CD$2-1),0)</f>
        <v>597.0261482645</v>
      </c>
      <c r="CE90" s="11" t="n">
        <f aca="false">IF(AND(CE$1&gt;=Units!$Q89,MOD(CE$1-Units!$Q89,12)=0),IF(AND(Units!$L89=1,CE$1=Units!$Q89),1,Inputs!$B$15)*Inputs!$B$16*(1+Inputs!$B$11)^(CE$2-1),0)</f>
        <v>0</v>
      </c>
      <c r="CF90" s="11" t="n">
        <f aca="false">IF(AND(CF$1&gt;=Units!$Q89,MOD(CF$1-Units!$Q89,12)=0),IF(AND(Units!$L89=1,CF$1=Units!$Q89),1,Inputs!$B$15)*Inputs!$B$16*(1+Inputs!$B$11)^(CF$2-1),0)</f>
        <v>0</v>
      </c>
      <c r="CG90" s="11" t="n">
        <f aca="false">IF(AND(CG$1&gt;=Units!$Q89,MOD(CG$1-Units!$Q89,12)=0),IF(AND(Units!$L89=1,CG$1=Units!$Q89),1,Inputs!$B$15)*Inputs!$B$16*(1+Inputs!$B$11)^(CG$2-1),0)</f>
        <v>0</v>
      </c>
      <c r="CH90" s="11" t="n">
        <f aca="false">IF(AND(CH$1&gt;=Units!$Q89,MOD(CH$1-Units!$Q89,12)=0),IF(AND(Units!$L89=1,CH$1=Units!$Q89),1,Inputs!$B$15)*Inputs!$B$16*(1+Inputs!$B$11)^(CH$2-1),0)</f>
        <v>0</v>
      </c>
      <c r="CI90" s="11" t="n">
        <f aca="false">IF(AND(CI$1&gt;=Units!$Q89,MOD(CI$1-Units!$Q89,12)=0),IF(AND(Units!$L89=1,CI$1=Units!$Q89),1,Inputs!$B$15)*Inputs!$B$16*(1+Inputs!$B$11)^(CI$2-1),0)</f>
        <v>0</v>
      </c>
      <c r="CJ90" s="11" t="n">
        <f aca="false">IF(AND(CJ$1&gt;=Units!$Q89,MOD(CJ$1-Units!$Q89,12)=0),IF(AND(Units!$L89=1,CJ$1=Units!$Q89),1,Inputs!$B$15)*Inputs!$B$16*(1+Inputs!$B$11)^(CJ$2-1),0)</f>
        <v>0</v>
      </c>
      <c r="CK90" s="11" t="n">
        <f aca="false">IF(AND(CK$1&gt;=Units!$Q89,MOD(CK$1-Units!$Q89,12)=0),IF(AND(Units!$L89=1,CK$1=Units!$Q89),1,Inputs!$B$15)*Inputs!$B$16*(1+Inputs!$B$11)^(CK$2-1),0)</f>
        <v>0</v>
      </c>
      <c r="CL90" s="11" t="n">
        <f aca="false">IF(AND(CL$1&gt;=Units!$Q89,MOD(CL$1-Units!$Q89,12)=0),IF(AND(Units!$L89=1,CL$1=Units!$Q89),1,Inputs!$B$15)*Inputs!$B$16*(1+Inputs!$B$11)^(CL$2-1),0)</f>
        <v>0</v>
      </c>
      <c r="CM90" s="11" t="n">
        <f aca="false">IF(AND(CM$1&gt;=Units!$Q89,MOD(CM$1-Units!$Q89,12)=0),IF(AND(Units!$L89=1,CM$1=Units!$Q89),1,Inputs!$B$15)*Inputs!$B$16*(1+Inputs!$B$11)^(CM$2-1),0)</f>
        <v>0</v>
      </c>
      <c r="CN90" s="11" t="n">
        <f aca="false">IF(AND(CN$1&gt;=Units!$Q89,MOD(CN$1-Units!$Q89,12)=0),IF(AND(Units!$L89=1,CN$1=Units!$Q89),1,Inputs!$B$15)*Inputs!$B$16*(1+Inputs!$B$11)^(CN$2-1),0)</f>
        <v>0</v>
      </c>
      <c r="CO90" s="11" t="n">
        <f aca="false">IF(AND(CO$1&gt;=Units!$Q89,MOD(CO$1-Units!$Q89,12)=0),IF(AND(Units!$L89=1,CO$1=Units!$Q89),1,Inputs!$B$15)*Inputs!$B$16*(1+Inputs!$B$11)^(CO$2-1),0)</f>
        <v>0</v>
      </c>
      <c r="CP90" s="11" t="n">
        <f aca="false">IF(AND(CP$1&gt;=Units!$Q89,MOD(CP$1-Units!$Q89,12)=0),IF(AND(Units!$L89=1,CP$1=Units!$Q89),1,Inputs!$B$15)*Inputs!$B$16*(1+Inputs!$B$11)^(CP$2-1),0)</f>
        <v>614.936932712435</v>
      </c>
      <c r="CQ90" s="11" t="n">
        <f aca="false">IF(AND(CQ$1&gt;=Units!$Q89,MOD(CQ$1-Units!$Q89,12)=0),IF(AND(Units!$L89=1,CQ$1=Units!$Q89),1,Inputs!$B$15)*Inputs!$B$16*(1+Inputs!$B$11)^(CQ$2-1),0)</f>
        <v>0</v>
      </c>
      <c r="CR90" s="11" t="n">
        <f aca="false">IF(AND(CR$1&gt;=Units!$Q89,MOD(CR$1-Units!$Q89,12)=0),IF(AND(Units!$L89=1,CR$1=Units!$Q89),1,Inputs!$B$15)*Inputs!$B$16*(1+Inputs!$B$11)^(CR$2-1),0)</f>
        <v>0</v>
      </c>
      <c r="CS90" s="11" t="n">
        <f aca="false">IF(AND(CS$1&gt;=Units!$Q89,MOD(CS$1-Units!$Q89,12)=0),IF(AND(Units!$L89=1,CS$1=Units!$Q89),1,Inputs!$B$15)*Inputs!$B$16*(1+Inputs!$B$11)^(CS$2-1),0)</f>
        <v>0</v>
      </c>
      <c r="CT90" s="11" t="n">
        <f aca="false">IF(AND(CT$1&gt;=Units!$Q89,MOD(CT$1-Units!$Q89,12)=0),IF(AND(Units!$L89=1,CT$1=Units!$Q89),1,Inputs!$B$15)*Inputs!$B$16*(1+Inputs!$B$11)^(CT$2-1),0)</f>
        <v>0</v>
      </c>
      <c r="CU90" s="11" t="n">
        <f aca="false">IF(AND(CU$1&gt;=Units!$Q89,MOD(CU$1-Units!$Q89,12)=0),IF(AND(Units!$L89=1,CU$1=Units!$Q89),1,Inputs!$B$15)*Inputs!$B$16*(1+Inputs!$B$11)^(CU$2-1),0)</f>
        <v>0</v>
      </c>
      <c r="CV90" s="11" t="n">
        <f aca="false">IF(AND(CV$1&gt;=Units!$Q89,MOD(CV$1-Units!$Q89,12)=0),IF(AND(Units!$L89=1,CV$1=Units!$Q89),1,Inputs!$B$15)*Inputs!$B$16*(1+Inputs!$B$11)^(CV$2-1),0)</f>
        <v>0</v>
      </c>
      <c r="CW90" s="11" t="n">
        <f aca="false">IF(AND(CW$1&gt;=Units!$Q89,MOD(CW$1-Units!$Q89,12)=0),IF(AND(Units!$L89=1,CW$1=Units!$Q89),1,Inputs!$B$15)*Inputs!$B$16*(1+Inputs!$B$11)^(CW$2-1),0)</f>
        <v>0</v>
      </c>
      <c r="CX90" s="11" t="n">
        <f aca="false">IF(AND(CX$1&gt;=Units!$Q89,MOD(CX$1-Units!$Q89,12)=0),IF(AND(Units!$L89=1,CX$1=Units!$Q89),1,Inputs!$B$15)*Inputs!$B$16*(1+Inputs!$B$11)^(CX$2-1),0)</f>
        <v>0</v>
      </c>
      <c r="CY90" s="11" t="n">
        <f aca="false">IF(AND(CY$1&gt;=Units!$Q89,MOD(CY$1-Units!$Q89,12)=0),IF(AND(Units!$L89=1,CY$1=Units!$Q89),1,Inputs!$B$15)*Inputs!$B$16*(1+Inputs!$B$11)^(CY$2-1),0)</f>
        <v>0</v>
      </c>
      <c r="CZ90" s="11" t="n">
        <f aca="false">IF(AND(CZ$1&gt;=Units!$Q89,MOD(CZ$1-Units!$Q89,12)=0),IF(AND(Units!$L89=1,CZ$1=Units!$Q89),1,Inputs!$B$15)*Inputs!$B$16*(1+Inputs!$B$11)^(CZ$2-1),0)</f>
        <v>0</v>
      </c>
      <c r="DA90" s="11" t="n">
        <f aca="false">IF(AND(DA$1&gt;=Units!$Q89,MOD(DA$1-Units!$Q89,12)=0),IF(AND(Units!$L89=1,DA$1=Units!$Q89),1,Inputs!$B$15)*Inputs!$B$16*(1+Inputs!$B$11)^(DA$2-1),0)</f>
        <v>0</v>
      </c>
      <c r="DB90" s="11" t="n">
        <f aca="false">IF(AND(DB$1&gt;=Units!$Q89,MOD(DB$1-Units!$Q89,12)=0),IF(AND(Units!$L89=1,DB$1=Units!$Q89),1,Inputs!$B$15)*Inputs!$B$16*(1+Inputs!$B$11)^(DB$2-1),0)</f>
        <v>633.385040693808</v>
      </c>
      <c r="DC90" s="11" t="n">
        <f aca="false">IF(AND(DC$1&gt;=Units!$Q89,MOD(DC$1-Units!$Q89,12)=0),IF(AND(Units!$L89=1,DC$1=Units!$Q89),1,Inputs!$B$15)*Inputs!$B$16*(1+Inputs!$B$11)^(DC$2-1),0)</f>
        <v>0</v>
      </c>
      <c r="DD90" s="11" t="n">
        <f aca="false">IF(AND(DD$1&gt;=Units!$Q89,MOD(DD$1-Units!$Q89,12)=0),IF(AND(Units!$L89=1,DD$1=Units!$Q89),1,Inputs!$B$15)*Inputs!$B$16*(1+Inputs!$B$11)^(DD$2-1),0)</f>
        <v>0</v>
      </c>
      <c r="DE90" s="11" t="n">
        <f aca="false">IF(AND(DE$1&gt;=Units!$Q89,MOD(DE$1-Units!$Q89,12)=0),IF(AND(Units!$L89=1,DE$1=Units!$Q89),1,Inputs!$B$15)*Inputs!$B$16*(1+Inputs!$B$11)^(DE$2-1),0)</f>
        <v>0</v>
      </c>
      <c r="DF90" s="11" t="n">
        <f aca="false">IF(AND(DF$1&gt;=Units!$Q89,MOD(DF$1-Units!$Q89,12)=0),IF(AND(Units!$L89=1,DF$1=Units!$Q89),1,Inputs!$B$15)*Inputs!$B$16*(1+Inputs!$B$11)^(DF$2-1),0)</f>
        <v>0</v>
      </c>
      <c r="DG90" s="11" t="n">
        <f aca="false">IF(AND(DG$1&gt;=Units!$Q89,MOD(DG$1-Units!$Q89,12)=0),IF(AND(Units!$L89=1,DG$1=Units!$Q89),1,Inputs!$B$15)*Inputs!$B$16*(1+Inputs!$B$11)^(DG$2-1),0)</f>
        <v>0</v>
      </c>
      <c r="DH90" s="11" t="n">
        <f aca="false">IF(AND(DH$1&gt;=Units!$Q89,MOD(DH$1-Units!$Q89,12)=0),IF(AND(Units!$L89=1,DH$1=Units!$Q89),1,Inputs!$B$15)*Inputs!$B$16*(1+Inputs!$B$11)^(DH$2-1),0)</f>
        <v>0</v>
      </c>
      <c r="DI90" s="11" t="n">
        <f aca="false">IF(AND(DI$1&gt;=Units!$Q89,MOD(DI$1-Units!$Q89,12)=0),IF(AND(Units!$L89=1,DI$1=Units!$Q89),1,Inputs!$B$15)*Inputs!$B$16*(1+Inputs!$B$11)^(DI$2-1),0)</f>
        <v>0</v>
      </c>
      <c r="DJ90" s="11" t="n">
        <f aca="false">IF(AND(DJ$1&gt;=Units!$Q89,MOD(DJ$1-Units!$Q89,12)=0),IF(AND(Units!$L89=1,DJ$1=Units!$Q89),1,Inputs!$B$15)*Inputs!$B$16*(1+Inputs!$B$11)^(DJ$2-1),0)</f>
        <v>0</v>
      </c>
      <c r="DK90" s="11" t="n">
        <f aca="false">IF(AND(DK$1&gt;=Units!$Q89,MOD(DK$1-Units!$Q89,12)=0),IF(AND(Units!$L89=1,DK$1=Units!$Q89),1,Inputs!$B$15)*Inputs!$B$16*(1+Inputs!$B$11)^(DK$2-1),0)</f>
        <v>0</v>
      </c>
      <c r="DL90" s="11" t="n">
        <f aca="false">IF(AND(DL$1&gt;=Units!$Q89,MOD(DL$1-Units!$Q89,12)=0),IF(AND(Units!$L89=1,DL$1=Units!$Q89),1,Inputs!$B$15)*Inputs!$B$16*(1+Inputs!$B$11)^(DL$2-1),0)</f>
        <v>0</v>
      </c>
      <c r="DM90" s="11" t="n">
        <f aca="false">IF(AND(DM$1&gt;=Units!$Q89,MOD(DM$1-Units!$Q89,12)=0),IF(AND(Units!$L89=1,DM$1=Units!$Q89),1,Inputs!$B$15)*Inputs!$B$16*(1+Inputs!$B$11)^(DM$2-1),0)</f>
        <v>0</v>
      </c>
      <c r="DN90" s="11" t="n">
        <f aca="false">IF(AND(DN$1&gt;=Units!$Q89,MOD(DN$1-Units!$Q89,12)=0),IF(AND(Units!$L89=1,DN$1=Units!$Q89),1,Inputs!$B$15)*Inputs!$B$16*(1+Inputs!$B$11)^(DN$2-1),0)</f>
        <v>652.386591914623</v>
      </c>
      <c r="DO90" s="11" t="n">
        <f aca="false">IF(AND(DO$1&gt;=Units!$Q89,MOD(DO$1-Units!$Q89,12)=0),IF(AND(Units!$L89=1,DO$1=Units!$Q89),1,Inputs!$B$15)*Inputs!$B$16*(1+Inputs!$B$11)^(DO$2-1),0)</f>
        <v>0</v>
      </c>
      <c r="DP90" s="11" t="n">
        <f aca="false">IF(AND(DP$1&gt;=Units!$Q89,MOD(DP$1-Units!$Q89,12)=0),IF(AND(Units!$L89=1,DP$1=Units!$Q89),1,Inputs!$B$15)*Inputs!$B$16*(1+Inputs!$B$11)^(DP$2-1),0)</f>
        <v>0</v>
      </c>
      <c r="DQ90" s="11" t="n">
        <f aca="false">IF(AND(DQ$1&gt;=Units!$Q89,MOD(DQ$1-Units!$Q89,12)=0),IF(AND(Units!$L89=1,DQ$1=Units!$Q89),1,Inputs!$B$15)*Inputs!$B$16*(1+Inputs!$B$11)^(DQ$2-1),0)</f>
        <v>0</v>
      </c>
      <c r="DR90" s="11" t="n">
        <f aca="false">IF(AND(DR$1&gt;=Units!$Q89,MOD(DR$1-Units!$Q89,12)=0),IF(AND(Units!$L89=1,DR$1=Units!$Q89),1,Inputs!$B$15)*Inputs!$B$16*(1+Inputs!$B$11)^(DR$2-1),0)</f>
        <v>0</v>
      </c>
      <c r="DS90" s="11" t="n">
        <f aca="false">IF(AND(DS$1&gt;=Units!$Q89,MOD(DS$1-Units!$Q89,12)=0),IF(AND(Units!$L89=1,DS$1=Units!$Q89),1,Inputs!$B$15)*Inputs!$B$16*(1+Inputs!$B$11)^(DS$2-1),0)</f>
        <v>0</v>
      </c>
      <c r="DT90" s="11" t="n">
        <f aca="false">IF(AND(DT$1&gt;=Units!$Q89,MOD(DT$1-Units!$Q89,12)=0),IF(AND(Units!$L89=1,DT$1=Units!$Q89),1,Inputs!$B$15)*Inputs!$B$16*(1+Inputs!$B$11)^(DT$2-1),0)</f>
        <v>0</v>
      </c>
      <c r="DU90" s="11" t="n">
        <f aca="false">IF(AND(DU$1&gt;=Units!$Q89,MOD(DU$1-Units!$Q89,12)=0),IF(AND(Units!$L89=1,DU$1=Units!$Q89),1,Inputs!$B$15)*Inputs!$B$16*(1+Inputs!$B$11)^(DU$2-1),0)</f>
        <v>0</v>
      </c>
      <c r="DV90" s="11" t="n">
        <f aca="false">IF(AND(DV$1&gt;=Units!$Q89,MOD(DV$1-Units!$Q89,12)=0),IF(AND(Units!$L89=1,DV$1=Units!$Q89),1,Inputs!$B$15)*Inputs!$B$16*(1+Inputs!$B$11)^(DV$2-1),0)</f>
        <v>0</v>
      </c>
      <c r="DW90" s="11" t="n">
        <f aca="false">IF(AND(DW$1&gt;=Units!$Q89,MOD(DW$1-Units!$Q89,12)=0),IF(AND(Units!$L89=1,DW$1=Units!$Q89),1,Inputs!$B$15)*Inputs!$B$16*(1+Inputs!$B$11)^(DW$2-1),0)</f>
        <v>0</v>
      </c>
      <c r="DX90" s="11" t="n">
        <f aca="false">IF(AND(DX$1&gt;=Units!$Q89,MOD(DX$1-Units!$Q89,12)=0),IF(AND(Units!$L89=1,DX$1=Units!$Q89),1,Inputs!$B$15)*Inputs!$B$16*(1+Inputs!$B$11)^(DX$2-1),0)</f>
        <v>0</v>
      </c>
      <c r="DY90" s="11" t="n">
        <f aca="false">IF(AND(DY$1&gt;=Units!$Q89,MOD(DY$1-Units!$Q89,12)=0),IF(AND(Units!$L89=1,DY$1=Units!$Q89),1,Inputs!$B$15)*Inputs!$B$16*(1+Inputs!$B$11)^(DY$2-1),0)</f>
        <v>0</v>
      </c>
      <c r="DZ90" s="11" t="n">
        <f aca="false">IF(AND(DZ$1&gt;=Units!$Q89,MOD(DZ$1-Units!$Q89,12)=0),IF(AND(Units!$L89=1,DZ$1=Units!$Q89),1,Inputs!$B$15)*Inputs!$B$16*(1+Inputs!$B$11)^(DZ$2-1),0)</f>
        <v>671.958189672061</v>
      </c>
      <c r="EA90" s="11" t="n">
        <f aca="false">IF(AND(EA$1&gt;=Units!$Q89,MOD(EA$1-Units!$Q89,12)=0),IF(AND(Units!$L89=1,EA$1=Units!$Q89),1,Inputs!$B$15)*Inputs!$B$16*(1+Inputs!$B$11)^(EA$2-1),0)</f>
        <v>0</v>
      </c>
      <c r="EB90" s="11" t="n">
        <f aca="false">IF(AND(EB$1&gt;=Units!$Q89,MOD(EB$1-Units!$Q89,12)=0),IF(AND(Units!$L89=1,EB$1=Units!$Q89),1,Inputs!$B$15)*Inputs!$B$16*(1+Inputs!$B$11)^(EB$2-1),0)</f>
        <v>0</v>
      </c>
      <c r="EC90" s="11" t="n">
        <f aca="false">IF(AND(EC$1&gt;=Units!$Q89,MOD(EC$1-Units!$Q89,12)=0),IF(AND(Units!$L89=1,EC$1=Units!$Q89),1,Inputs!$B$15)*Inputs!$B$16*(1+Inputs!$B$11)^(EC$2-1),0)</f>
        <v>0</v>
      </c>
      <c r="ED90" s="11" t="n">
        <f aca="false">IF(AND(ED$1&gt;=Units!$Q89,MOD(ED$1-Units!$Q89,12)=0),IF(AND(Units!$L89=1,ED$1=Units!$Q89),1,Inputs!$B$15)*Inputs!$B$16*(1+Inputs!$B$11)^(ED$2-1),0)</f>
        <v>0</v>
      </c>
    </row>
    <row r="91" customFormat="false" ht="15" hidden="false" customHeight="false" outlineLevel="0" collapsed="false">
      <c r="A91" s="22" t="n">
        <f aca="false">Units!A90</f>
        <v>329</v>
      </c>
      <c r="B91" s="23"/>
      <c r="C91" s="11" t="n">
        <f aca="false">IF(AND(C$1&gt;=Units!$Q90,MOD(C$1-Units!$Q90,12)=0),IF(AND(Units!$L90=1,C$1=Units!$Q90),1,Inputs!$B$15)*Inputs!$B$16*(1+Inputs!$B$11)^(C$2-1),0)</f>
        <v>0</v>
      </c>
      <c r="D91" s="11" t="n">
        <f aca="false">IF(AND(D$1&gt;=Units!$Q90,MOD(D$1-Units!$Q90,12)=0),IF(AND(Units!$L90=1,D$1=Units!$Q90),1,Inputs!$B$15)*Inputs!$B$16*(1+Inputs!$B$11)^(D$2-1),0)</f>
        <v>0</v>
      </c>
      <c r="E91" s="11" t="n">
        <f aca="false">IF(AND(E$1&gt;=Units!$Q90,MOD(E$1-Units!$Q90,12)=0),IF(AND(Units!$L90=1,E$1=Units!$Q90),1,Inputs!$B$15)*Inputs!$B$16*(1+Inputs!$B$11)^(E$2-1),0)</f>
        <v>0</v>
      </c>
      <c r="F91" s="11" t="n">
        <f aca="false">IF(AND(F$1&gt;=Units!$Q90,MOD(F$1-Units!$Q90,12)=0),IF(AND(Units!$L90=1,F$1=Units!$Q90),1,Inputs!$B$15)*Inputs!$B$16*(1+Inputs!$B$11)^(F$2-1),0)</f>
        <v>0</v>
      </c>
      <c r="G91" s="11" t="n">
        <f aca="false">IF(AND(G$1&gt;=Units!$Q90,MOD(G$1-Units!$Q90,12)=0),IF(AND(Units!$L90=1,G$1=Units!$Q90),1,Inputs!$B$15)*Inputs!$B$16*(1+Inputs!$B$11)^(G$2-1),0)</f>
        <v>0</v>
      </c>
      <c r="H91" s="11" t="n">
        <f aca="false">IF(AND(H$1&gt;=Units!$Q90,MOD(H$1-Units!$Q90,12)=0),IF(AND(Units!$L90=1,H$1=Units!$Q90),1,Inputs!$B$15)*Inputs!$B$16*(1+Inputs!$B$11)^(H$2-1),0)</f>
        <v>0</v>
      </c>
      <c r="I91" s="11" t="n">
        <f aca="false">IF(AND(I$1&gt;=Units!$Q90,MOD(I$1-Units!$Q90,12)=0),IF(AND(Units!$L90=1,I$1=Units!$Q90),1,Inputs!$B$15)*Inputs!$B$16*(1+Inputs!$B$11)^(I$2-1),0)</f>
        <v>500</v>
      </c>
      <c r="J91" s="11" t="n">
        <f aca="false">IF(AND(J$1&gt;=Units!$Q90,MOD(J$1-Units!$Q90,12)=0),IF(AND(Units!$L90=1,J$1=Units!$Q90),1,Inputs!$B$15)*Inputs!$B$16*(1+Inputs!$B$11)^(J$2-1),0)</f>
        <v>0</v>
      </c>
      <c r="K91" s="11" t="n">
        <f aca="false">IF(AND(K$1&gt;=Units!$Q90,MOD(K$1-Units!$Q90,12)=0),IF(AND(Units!$L90=1,K$1=Units!$Q90),1,Inputs!$B$15)*Inputs!$B$16*(1+Inputs!$B$11)^(K$2-1),0)</f>
        <v>0</v>
      </c>
      <c r="L91" s="11" t="n">
        <f aca="false">IF(AND(L$1&gt;=Units!$Q90,MOD(L$1-Units!$Q90,12)=0),IF(AND(Units!$L90=1,L$1=Units!$Q90),1,Inputs!$B$15)*Inputs!$B$16*(1+Inputs!$B$11)^(L$2-1),0)</f>
        <v>0</v>
      </c>
      <c r="M91" s="11" t="n">
        <f aca="false">IF(AND(M$1&gt;=Units!$Q90,MOD(M$1-Units!$Q90,12)=0),IF(AND(Units!$L90=1,M$1=Units!$Q90),1,Inputs!$B$15)*Inputs!$B$16*(1+Inputs!$B$11)^(M$2-1),0)</f>
        <v>0</v>
      </c>
      <c r="N91" s="11" t="n">
        <f aca="false">IF(AND(N$1&gt;=Units!$Q90,MOD(N$1-Units!$Q90,12)=0),IF(AND(Units!$L90=1,N$1=Units!$Q90),1,Inputs!$B$15)*Inputs!$B$16*(1+Inputs!$B$11)^(N$2-1),0)</f>
        <v>0</v>
      </c>
      <c r="O91" s="11" t="n">
        <f aca="false">IF(AND(O$1&gt;=Units!$Q90,MOD(O$1-Units!$Q90,12)=0),IF(AND(Units!$L90=1,O$1=Units!$Q90),1,Inputs!$B$15)*Inputs!$B$16*(1+Inputs!$B$11)^(O$2-1),0)</f>
        <v>0</v>
      </c>
      <c r="P91" s="11" t="n">
        <f aca="false">IF(AND(P$1&gt;=Units!$Q90,MOD(P$1-Units!$Q90,12)=0),IF(AND(Units!$L90=1,P$1=Units!$Q90),1,Inputs!$B$15)*Inputs!$B$16*(1+Inputs!$B$11)^(P$2-1),0)</f>
        <v>0</v>
      </c>
      <c r="Q91" s="11" t="n">
        <f aca="false">IF(AND(Q$1&gt;=Units!$Q90,MOD(Q$1-Units!$Q90,12)=0),IF(AND(Units!$L90=1,Q$1=Units!$Q90),1,Inputs!$B$15)*Inputs!$B$16*(1+Inputs!$B$11)^(Q$2-1),0)</f>
        <v>0</v>
      </c>
      <c r="R91" s="11" t="n">
        <f aca="false">IF(AND(R$1&gt;=Units!$Q90,MOD(R$1-Units!$Q90,12)=0),IF(AND(Units!$L90=1,R$1=Units!$Q90),1,Inputs!$B$15)*Inputs!$B$16*(1+Inputs!$B$11)^(R$2-1),0)</f>
        <v>0</v>
      </c>
      <c r="S91" s="11" t="n">
        <f aca="false">IF(AND(S$1&gt;=Units!$Q90,MOD(S$1-Units!$Q90,12)=0),IF(AND(Units!$L90=1,S$1=Units!$Q90),1,Inputs!$B$15)*Inputs!$B$16*(1+Inputs!$B$11)^(S$2-1),0)</f>
        <v>0</v>
      </c>
      <c r="T91" s="11" t="n">
        <f aca="false">IF(AND(T$1&gt;=Units!$Q90,MOD(T$1-Units!$Q90,12)=0),IF(AND(Units!$L90=1,T$1=Units!$Q90),1,Inputs!$B$15)*Inputs!$B$16*(1+Inputs!$B$11)^(T$2-1),0)</f>
        <v>0</v>
      </c>
      <c r="U91" s="11" t="n">
        <f aca="false">IF(AND(U$1&gt;=Units!$Q90,MOD(U$1-Units!$Q90,12)=0),IF(AND(Units!$L90=1,U$1=Units!$Q90),1,Inputs!$B$15)*Inputs!$B$16*(1+Inputs!$B$11)^(U$2-1),0)</f>
        <v>515</v>
      </c>
      <c r="V91" s="11" t="n">
        <f aca="false">IF(AND(V$1&gt;=Units!$Q90,MOD(V$1-Units!$Q90,12)=0),IF(AND(Units!$L90=1,V$1=Units!$Q90),1,Inputs!$B$15)*Inputs!$B$16*(1+Inputs!$B$11)^(V$2-1),0)</f>
        <v>0</v>
      </c>
      <c r="W91" s="11" t="n">
        <f aca="false">IF(AND(W$1&gt;=Units!$Q90,MOD(W$1-Units!$Q90,12)=0),IF(AND(Units!$L90=1,W$1=Units!$Q90),1,Inputs!$B$15)*Inputs!$B$16*(1+Inputs!$B$11)^(W$2-1),0)</f>
        <v>0</v>
      </c>
      <c r="X91" s="11" t="n">
        <f aca="false">IF(AND(X$1&gt;=Units!$Q90,MOD(X$1-Units!$Q90,12)=0),IF(AND(Units!$L90=1,X$1=Units!$Q90),1,Inputs!$B$15)*Inputs!$B$16*(1+Inputs!$B$11)^(X$2-1),0)</f>
        <v>0</v>
      </c>
      <c r="Y91" s="11" t="n">
        <f aca="false">IF(AND(Y$1&gt;=Units!$Q90,MOD(Y$1-Units!$Q90,12)=0),IF(AND(Units!$L90=1,Y$1=Units!$Q90),1,Inputs!$B$15)*Inputs!$B$16*(1+Inputs!$B$11)^(Y$2-1),0)</f>
        <v>0</v>
      </c>
      <c r="Z91" s="11" t="n">
        <f aca="false">IF(AND(Z$1&gt;=Units!$Q90,MOD(Z$1-Units!$Q90,12)=0),IF(AND(Units!$L90=1,Z$1=Units!$Q90),1,Inputs!$B$15)*Inputs!$B$16*(1+Inputs!$B$11)^(Z$2-1),0)</f>
        <v>0</v>
      </c>
      <c r="AA91" s="11" t="n">
        <f aca="false">IF(AND(AA$1&gt;=Units!$Q90,MOD(AA$1-Units!$Q90,12)=0),IF(AND(Units!$L90=1,AA$1=Units!$Q90),1,Inputs!$B$15)*Inputs!$B$16*(1+Inputs!$B$11)^(AA$2-1),0)</f>
        <v>0</v>
      </c>
      <c r="AB91" s="11" t="n">
        <f aca="false">IF(AND(AB$1&gt;=Units!$Q90,MOD(AB$1-Units!$Q90,12)=0),IF(AND(Units!$L90=1,AB$1=Units!$Q90),1,Inputs!$B$15)*Inputs!$B$16*(1+Inputs!$B$11)^(AB$2-1),0)</f>
        <v>0</v>
      </c>
      <c r="AC91" s="11" t="n">
        <f aca="false">IF(AND(AC$1&gt;=Units!$Q90,MOD(AC$1-Units!$Q90,12)=0),IF(AND(Units!$L90=1,AC$1=Units!$Q90),1,Inputs!$B$15)*Inputs!$B$16*(1+Inputs!$B$11)^(AC$2-1),0)</f>
        <v>0</v>
      </c>
      <c r="AD91" s="11" t="n">
        <f aca="false">IF(AND(AD$1&gt;=Units!$Q90,MOD(AD$1-Units!$Q90,12)=0),IF(AND(Units!$L90=1,AD$1=Units!$Q90),1,Inputs!$B$15)*Inputs!$B$16*(1+Inputs!$B$11)^(AD$2-1),0)</f>
        <v>0</v>
      </c>
      <c r="AE91" s="11" t="n">
        <f aca="false">IF(AND(AE$1&gt;=Units!$Q90,MOD(AE$1-Units!$Q90,12)=0),IF(AND(Units!$L90=1,AE$1=Units!$Q90),1,Inputs!$B$15)*Inputs!$B$16*(1+Inputs!$B$11)^(AE$2-1),0)</f>
        <v>0</v>
      </c>
      <c r="AF91" s="11" t="n">
        <f aca="false">IF(AND(AF$1&gt;=Units!$Q90,MOD(AF$1-Units!$Q90,12)=0),IF(AND(Units!$L90=1,AF$1=Units!$Q90),1,Inputs!$B$15)*Inputs!$B$16*(1+Inputs!$B$11)^(AF$2-1),0)</f>
        <v>0</v>
      </c>
      <c r="AG91" s="11" t="n">
        <f aca="false">IF(AND(AG$1&gt;=Units!$Q90,MOD(AG$1-Units!$Q90,12)=0),IF(AND(Units!$L90=1,AG$1=Units!$Q90),1,Inputs!$B$15)*Inputs!$B$16*(1+Inputs!$B$11)^(AG$2-1),0)</f>
        <v>530.45</v>
      </c>
      <c r="AH91" s="11" t="n">
        <f aca="false">IF(AND(AH$1&gt;=Units!$Q90,MOD(AH$1-Units!$Q90,12)=0),IF(AND(Units!$L90=1,AH$1=Units!$Q90),1,Inputs!$B$15)*Inputs!$B$16*(1+Inputs!$B$11)^(AH$2-1),0)</f>
        <v>0</v>
      </c>
      <c r="AI91" s="11" t="n">
        <f aca="false">IF(AND(AI$1&gt;=Units!$Q90,MOD(AI$1-Units!$Q90,12)=0),IF(AND(Units!$L90=1,AI$1=Units!$Q90),1,Inputs!$B$15)*Inputs!$B$16*(1+Inputs!$B$11)^(AI$2-1),0)</f>
        <v>0</v>
      </c>
      <c r="AJ91" s="11" t="n">
        <f aca="false">IF(AND(AJ$1&gt;=Units!$Q90,MOD(AJ$1-Units!$Q90,12)=0),IF(AND(Units!$L90=1,AJ$1=Units!$Q90),1,Inputs!$B$15)*Inputs!$B$16*(1+Inputs!$B$11)^(AJ$2-1),0)</f>
        <v>0</v>
      </c>
      <c r="AK91" s="11" t="n">
        <f aca="false">IF(AND(AK$1&gt;=Units!$Q90,MOD(AK$1-Units!$Q90,12)=0),IF(AND(Units!$L90=1,AK$1=Units!$Q90),1,Inputs!$B$15)*Inputs!$B$16*(1+Inputs!$B$11)^(AK$2-1),0)</f>
        <v>0</v>
      </c>
      <c r="AL91" s="11" t="n">
        <f aca="false">IF(AND(AL$1&gt;=Units!$Q90,MOD(AL$1-Units!$Q90,12)=0),IF(AND(Units!$L90=1,AL$1=Units!$Q90),1,Inputs!$B$15)*Inputs!$B$16*(1+Inputs!$B$11)^(AL$2-1),0)</f>
        <v>0</v>
      </c>
      <c r="AM91" s="11" t="n">
        <f aca="false">IF(AND(AM$1&gt;=Units!$Q90,MOD(AM$1-Units!$Q90,12)=0),IF(AND(Units!$L90=1,AM$1=Units!$Q90),1,Inputs!$B$15)*Inputs!$B$16*(1+Inputs!$B$11)^(AM$2-1),0)</f>
        <v>0</v>
      </c>
      <c r="AN91" s="11" t="n">
        <f aca="false">IF(AND(AN$1&gt;=Units!$Q90,MOD(AN$1-Units!$Q90,12)=0),IF(AND(Units!$L90=1,AN$1=Units!$Q90),1,Inputs!$B$15)*Inputs!$B$16*(1+Inputs!$B$11)^(AN$2-1),0)</f>
        <v>0</v>
      </c>
      <c r="AO91" s="11" t="n">
        <f aca="false">IF(AND(AO$1&gt;=Units!$Q90,MOD(AO$1-Units!$Q90,12)=0),IF(AND(Units!$L90=1,AO$1=Units!$Q90),1,Inputs!$B$15)*Inputs!$B$16*(1+Inputs!$B$11)^(AO$2-1),0)</f>
        <v>0</v>
      </c>
      <c r="AP91" s="11" t="n">
        <f aca="false">IF(AND(AP$1&gt;=Units!$Q90,MOD(AP$1-Units!$Q90,12)=0),IF(AND(Units!$L90=1,AP$1=Units!$Q90),1,Inputs!$B$15)*Inputs!$B$16*(1+Inputs!$B$11)^(AP$2-1),0)</f>
        <v>0</v>
      </c>
      <c r="AQ91" s="11" t="n">
        <f aca="false">IF(AND(AQ$1&gt;=Units!$Q90,MOD(AQ$1-Units!$Q90,12)=0),IF(AND(Units!$L90=1,AQ$1=Units!$Q90),1,Inputs!$B$15)*Inputs!$B$16*(1+Inputs!$B$11)^(AQ$2-1),0)</f>
        <v>0</v>
      </c>
      <c r="AR91" s="11" t="n">
        <f aca="false">IF(AND(AR$1&gt;=Units!$Q90,MOD(AR$1-Units!$Q90,12)=0),IF(AND(Units!$L90=1,AR$1=Units!$Q90),1,Inputs!$B$15)*Inputs!$B$16*(1+Inputs!$B$11)^(AR$2-1),0)</f>
        <v>0</v>
      </c>
      <c r="AS91" s="11" t="n">
        <f aca="false">IF(AND(AS$1&gt;=Units!$Q90,MOD(AS$1-Units!$Q90,12)=0),IF(AND(Units!$L90=1,AS$1=Units!$Q90),1,Inputs!$B$15)*Inputs!$B$16*(1+Inputs!$B$11)^(AS$2-1),0)</f>
        <v>546.3635</v>
      </c>
      <c r="AT91" s="11" t="n">
        <f aca="false">IF(AND(AT$1&gt;=Units!$Q90,MOD(AT$1-Units!$Q90,12)=0),IF(AND(Units!$L90=1,AT$1=Units!$Q90),1,Inputs!$B$15)*Inputs!$B$16*(1+Inputs!$B$11)^(AT$2-1),0)</f>
        <v>0</v>
      </c>
      <c r="AU91" s="11" t="n">
        <f aca="false">IF(AND(AU$1&gt;=Units!$Q90,MOD(AU$1-Units!$Q90,12)=0),IF(AND(Units!$L90=1,AU$1=Units!$Q90),1,Inputs!$B$15)*Inputs!$B$16*(1+Inputs!$B$11)^(AU$2-1),0)</f>
        <v>0</v>
      </c>
      <c r="AV91" s="11" t="n">
        <f aca="false">IF(AND(AV$1&gt;=Units!$Q90,MOD(AV$1-Units!$Q90,12)=0),IF(AND(Units!$L90=1,AV$1=Units!$Q90),1,Inputs!$B$15)*Inputs!$B$16*(1+Inputs!$B$11)^(AV$2-1),0)</f>
        <v>0</v>
      </c>
      <c r="AW91" s="11" t="n">
        <f aca="false">IF(AND(AW$1&gt;=Units!$Q90,MOD(AW$1-Units!$Q90,12)=0),IF(AND(Units!$L90=1,AW$1=Units!$Q90),1,Inputs!$B$15)*Inputs!$B$16*(1+Inputs!$B$11)^(AW$2-1),0)</f>
        <v>0</v>
      </c>
      <c r="AX91" s="11" t="n">
        <f aca="false">IF(AND(AX$1&gt;=Units!$Q90,MOD(AX$1-Units!$Q90,12)=0),IF(AND(Units!$L90=1,AX$1=Units!$Q90),1,Inputs!$B$15)*Inputs!$B$16*(1+Inputs!$B$11)^(AX$2-1),0)</f>
        <v>0</v>
      </c>
      <c r="AY91" s="11" t="n">
        <f aca="false">IF(AND(AY$1&gt;=Units!$Q90,MOD(AY$1-Units!$Q90,12)=0),IF(AND(Units!$L90=1,AY$1=Units!$Q90),1,Inputs!$B$15)*Inputs!$B$16*(1+Inputs!$B$11)^(AY$2-1),0)</f>
        <v>0</v>
      </c>
      <c r="AZ91" s="11" t="n">
        <f aca="false">IF(AND(AZ$1&gt;=Units!$Q90,MOD(AZ$1-Units!$Q90,12)=0),IF(AND(Units!$L90=1,AZ$1=Units!$Q90),1,Inputs!$B$15)*Inputs!$B$16*(1+Inputs!$B$11)^(AZ$2-1),0)</f>
        <v>0</v>
      </c>
      <c r="BA91" s="11" t="n">
        <f aca="false">IF(AND(BA$1&gt;=Units!$Q90,MOD(BA$1-Units!$Q90,12)=0),IF(AND(Units!$L90=1,BA$1=Units!$Q90),1,Inputs!$B$15)*Inputs!$B$16*(1+Inputs!$B$11)^(BA$2-1),0)</f>
        <v>0</v>
      </c>
      <c r="BB91" s="11" t="n">
        <f aca="false">IF(AND(BB$1&gt;=Units!$Q90,MOD(BB$1-Units!$Q90,12)=0),IF(AND(Units!$L90=1,BB$1=Units!$Q90),1,Inputs!$B$15)*Inputs!$B$16*(1+Inputs!$B$11)^(BB$2-1),0)</f>
        <v>0</v>
      </c>
      <c r="BC91" s="11" t="n">
        <f aca="false">IF(AND(BC$1&gt;=Units!$Q90,MOD(BC$1-Units!$Q90,12)=0),IF(AND(Units!$L90=1,BC$1=Units!$Q90),1,Inputs!$B$15)*Inputs!$B$16*(1+Inputs!$B$11)^(BC$2-1),0)</f>
        <v>0</v>
      </c>
      <c r="BD91" s="11" t="n">
        <f aca="false">IF(AND(BD$1&gt;=Units!$Q90,MOD(BD$1-Units!$Q90,12)=0),IF(AND(Units!$L90=1,BD$1=Units!$Q90),1,Inputs!$B$15)*Inputs!$B$16*(1+Inputs!$B$11)^(BD$2-1),0)</f>
        <v>0</v>
      </c>
      <c r="BE91" s="11" t="n">
        <f aca="false">IF(AND(BE$1&gt;=Units!$Q90,MOD(BE$1-Units!$Q90,12)=0),IF(AND(Units!$L90=1,BE$1=Units!$Q90),1,Inputs!$B$15)*Inputs!$B$16*(1+Inputs!$B$11)^(BE$2-1),0)</f>
        <v>562.754405</v>
      </c>
      <c r="BF91" s="11" t="n">
        <f aca="false">IF(AND(BF$1&gt;=Units!$Q90,MOD(BF$1-Units!$Q90,12)=0),IF(AND(Units!$L90=1,BF$1=Units!$Q90),1,Inputs!$B$15)*Inputs!$B$16*(1+Inputs!$B$11)^(BF$2-1),0)</f>
        <v>0</v>
      </c>
      <c r="BG91" s="11" t="n">
        <f aca="false">IF(AND(BG$1&gt;=Units!$Q90,MOD(BG$1-Units!$Q90,12)=0),IF(AND(Units!$L90=1,BG$1=Units!$Q90),1,Inputs!$B$15)*Inputs!$B$16*(1+Inputs!$B$11)^(BG$2-1),0)</f>
        <v>0</v>
      </c>
      <c r="BH91" s="11" t="n">
        <f aca="false">IF(AND(BH$1&gt;=Units!$Q90,MOD(BH$1-Units!$Q90,12)=0),IF(AND(Units!$L90=1,BH$1=Units!$Q90),1,Inputs!$B$15)*Inputs!$B$16*(1+Inputs!$B$11)^(BH$2-1),0)</f>
        <v>0</v>
      </c>
      <c r="BI91" s="11" t="n">
        <f aca="false">IF(AND(BI$1&gt;=Units!$Q90,MOD(BI$1-Units!$Q90,12)=0),IF(AND(Units!$L90=1,BI$1=Units!$Q90),1,Inputs!$B$15)*Inputs!$B$16*(1+Inputs!$B$11)^(BI$2-1),0)</f>
        <v>0</v>
      </c>
      <c r="BJ91" s="11" t="n">
        <f aca="false">IF(AND(BJ$1&gt;=Units!$Q90,MOD(BJ$1-Units!$Q90,12)=0),IF(AND(Units!$L90=1,BJ$1=Units!$Q90),1,Inputs!$B$15)*Inputs!$B$16*(1+Inputs!$B$11)^(BJ$2-1),0)</f>
        <v>0</v>
      </c>
      <c r="BK91" s="11" t="n">
        <f aca="false">IF(AND(BK$1&gt;=Units!$Q90,MOD(BK$1-Units!$Q90,12)=0),IF(AND(Units!$L90=1,BK$1=Units!$Q90),1,Inputs!$B$15)*Inputs!$B$16*(1+Inputs!$B$11)^(BK$2-1),0)</f>
        <v>0</v>
      </c>
      <c r="BL91" s="11" t="n">
        <f aca="false">IF(AND(BL$1&gt;=Units!$Q90,MOD(BL$1-Units!$Q90,12)=0),IF(AND(Units!$L90=1,BL$1=Units!$Q90),1,Inputs!$B$15)*Inputs!$B$16*(1+Inputs!$B$11)^(BL$2-1),0)</f>
        <v>0</v>
      </c>
      <c r="BM91" s="11" t="n">
        <f aca="false">IF(AND(BM$1&gt;=Units!$Q90,MOD(BM$1-Units!$Q90,12)=0),IF(AND(Units!$L90=1,BM$1=Units!$Q90),1,Inputs!$B$15)*Inputs!$B$16*(1+Inputs!$B$11)^(BM$2-1),0)</f>
        <v>0</v>
      </c>
      <c r="BN91" s="11" t="n">
        <f aca="false">IF(AND(BN$1&gt;=Units!$Q90,MOD(BN$1-Units!$Q90,12)=0),IF(AND(Units!$L90=1,BN$1=Units!$Q90),1,Inputs!$B$15)*Inputs!$B$16*(1+Inputs!$B$11)^(BN$2-1),0)</f>
        <v>0</v>
      </c>
      <c r="BO91" s="11" t="n">
        <f aca="false">IF(AND(BO$1&gt;=Units!$Q90,MOD(BO$1-Units!$Q90,12)=0),IF(AND(Units!$L90=1,BO$1=Units!$Q90),1,Inputs!$B$15)*Inputs!$B$16*(1+Inputs!$B$11)^(BO$2-1),0)</f>
        <v>0</v>
      </c>
      <c r="BP91" s="11" t="n">
        <f aca="false">IF(AND(BP$1&gt;=Units!$Q90,MOD(BP$1-Units!$Q90,12)=0),IF(AND(Units!$L90=1,BP$1=Units!$Q90),1,Inputs!$B$15)*Inputs!$B$16*(1+Inputs!$B$11)^(BP$2-1),0)</f>
        <v>0</v>
      </c>
      <c r="BQ91" s="11" t="n">
        <f aca="false">IF(AND(BQ$1&gt;=Units!$Q90,MOD(BQ$1-Units!$Q90,12)=0),IF(AND(Units!$L90=1,BQ$1=Units!$Q90),1,Inputs!$B$15)*Inputs!$B$16*(1+Inputs!$B$11)^(BQ$2-1),0)</f>
        <v>579.63703715</v>
      </c>
      <c r="BR91" s="11" t="n">
        <f aca="false">IF(AND(BR$1&gt;=Units!$Q90,MOD(BR$1-Units!$Q90,12)=0),IF(AND(Units!$L90=1,BR$1=Units!$Q90),1,Inputs!$B$15)*Inputs!$B$16*(1+Inputs!$B$11)^(BR$2-1),0)</f>
        <v>0</v>
      </c>
      <c r="BS91" s="11" t="n">
        <f aca="false">IF(AND(BS$1&gt;=Units!$Q90,MOD(BS$1-Units!$Q90,12)=0),IF(AND(Units!$L90=1,BS$1=Units!$Q90),1,Inputs!$B$15)*Inputs!$B$16*(1+Inputs!$B$11)^(BS$2-1),0)</f>
        <v>0</v>
      </c>
      <c r="BT91" s="11" t="n">
        <f aca="false">IF(AND(BT$1&gt;=Units!$Q90,MOD(BT$1-Units!$Q90,12)=0),IF(AND(Units!$L90=1,BT$1=Units!$Q90),1,Inputs!$B$15)*Inputs!$B$16*(1+Inputs!$B$11)^(BT$2-1),0)</f>
        <v>0</v>
      </c>
      <c r="BU91" s="11" t="n">
        <f aca="false">IF(AND(BU$1&gt;=Units!$Q90,MOD(BU$1-Units!$Q90,12)=0),IF(AND(Units!$L90=1,BU$1=Units!$Q90),1,Inputs!$B$15)*Inputs!$B$16*(1+Inputs!$B$11)^(BU$2-1),0)</f>
        <v>0</v>
      </c>
      <c r="BV91" s="11" t="n">
        <f aca="false">IF(AND(BV$1&gt;=Units!$Q90,MOD(BV$1-Units!$Q90,12)=0),IF(AND(Units!$L90=1,BV$1=Units!$Q90),1,Inputs!$B$15)*Inputs!$B$16*(1+Inputs!$B$11)^(BV$2-1),0)</f>
        <v>0</v>
      </c>
      <c r="BW91" s="11" t="n">
        <f aca="false">IF(AND(BW$1&gt;=Units!$Q90,MOD(BW$1-Units!$Q90,12)=0),IF(AND(Units!$L90=1,BW$1=Units!$Q90),1,Inputs!$B$15)*Inputs!$B$16*(1+Inputs!$B$11)^(BW$2-1),0)</f>
        <v>0</v>
      </c>
      <c r="BX91" s="11" t="n">
        <f aca="false">IF(AND(BX$1&gt;=Units!$Q90,MOD(BX$1-Units!$Q90,12)=0),IF(AND(Units!$L90=1,BX$1=Units!$Q90),1,Inputs!$B$15)*Inputs!$B$16*(1+Inputs!$B$11)^(BX$2-1),0)</f>
        <v>0</v>
      </c>
      <c r="BY91" s="11" t="n">
        <f aca="false">IF(AND(BY$1&gt;=Units!$Q90,MOD(BY$1-Units!$Q90,12)=0),IF(AND(Units!$L90=1,BY$1=Units!$Q90),1,Inputs!$B$15)*Inputs!$B$16*(1+Inputs!$B$11)^(BY$2-1),0)</f>
        <v>0</v>
      </c>
      <c r="BZ91" s="11" t="n">
        <f aca="false">IF(AND(BZ$1&gt;=Units!$Q90,MOD(BZ$1-Units!$Q90,12)=0),IF(AND(Units!$L90=1,BZ$1=Units!$Q90),1,Inputs!$B$15)*Inputs!$B$16*(1+Inputs!$B$11)^(BZ$2-1),0)</f>
        <v>0</v>
      </c>
      <c r="CA91" s="11" t="n">
        <f aca="false">IF(AND(CA$1&gt;=Units!$Q90,MOD(CA$1-Units!$Q90,12)=0),IF(AND(Units!$L90=1,CA$1=Units!$Q90),1,Inputs!$B$15)*Inputs!$B$16*(1+Inputs!$B$11)^(CA$2-1),0)</f>
        <v>0</v>
      </c>
      <c r="CB91" s="11" t="n">
        <f aca="false">IF(AND(CB$1&gt;=Units!$Q90,MOD(CB$1-Units!$Q90,12)=0),IF(AND(Units!$L90=1,CB$1=Units!$Q90),1,Inputs!$B$15)*Inputs!$B$16*(1+Inputs!$B$11)^(CB$2-1),0)</f>
        <v>0</v>
      </c>
      <c r="CC91" s="11" t="n">
        <f aca="false">IF(AND(CC$1&gt;=Units!$Q90,MOD(CC$1-Units!$Q90,12)=0),IF(AND(Units!$L90=1,CC$1=Units!$Q90),1,Inputs!$B$15)*Inputs!$B$16*(1+Inputs!$B$11)^(CC$2-1),0)</f>
        <v>597.0261482645</v>
      </c>
      <c r="CD91" s="11" t="n">
        <f aca="false">IF(AND(CD$1&gt;=Units!$Q90,MOD(CD$1-Units!$Q90,12)=0),IF(AND(Units!$L90=1,CD$1=Units!$Q90),1,Inputs!$B$15)*Inputs!$B$16*(1+Inputs!$B$11)^(CD$2-1),0)</f>
        <v>0</v>
      </c>
      <c r="CE91" s="11" t="n">
        <f aca="false">IF(AND(CE$1&gt;=Units!$Q90,MOD(CE$1-Units!$Q90,12)=0),IF(AND(Units!$L90=1,CE$1=Units!$Q90),1,Inputs!$B$15)*Inputs!$B$16*(1+Inputs!$B$11)^(CE$2-1),0)</f>
        <v>0</v>
      </c>
      <c r="CF91" s="11" t="n">
        <f aca="false">IF(AND(CF$1&gt;=Units!$Q90,MOD(CF$1-Units!$Q90,12)=0),IF(AND(Units!$L90=1,CF$1=Units!$Q90),1,Inputs!$B$15)*Inputs!$B$16*(1+Inputs!$B$11)^(CF$2-1),0)</f>
        <v>0</v>
      </c>
      <c r="CG91" s="11" t="n">
        <f aca="false">IF(AND(CG$1&gt;=Units!$Q90,MOD(CG$1-Units!$Q90,12)=0),IF(AND(Units!$L90=1,CG$1=Units!$Q90),1,Inputs!$B$15)*Inputs!$B$16*(1+Inputs!$B$11)^(CG$2-1),0)</f>
        <v>0</v>
      </c>
      <c r="CH91" s="11" t="n">
        <f aca="false">IF(AND(CH$1&gt;=Units!$Q90,MOD(CH$1-Units!$Q90,12)=0),IF(AND(Units!$L90=1,CH$1=Units!$Q90),1,Inputs!$B$15)*Inputs!$B$16*(1+Inputs!$B$11)^(CH$2-1),0)</f>
        <v>0</v>
      </c>
      <c r="CI91" s="11" t="n">
        <f aca="false">IF(AND(CI$1&gt;=Units!$Q90,MOD(CI$1-Units!$Q90,12)=0),IF(AND(Units!$L90=1,CI$1=Units!$Q90),1,Inputs!$B$15)*Inputs!$B$16*(1+Inputs!$B$11)^(CI$2-1),0)</f>
        <v>0</v>
      </c>
      <c r="CJ91" s="11" t="n">
        <f aca="false">IF(AND(CJ$1&gt;=Units!$Q90,MOD(CJ$1-Units!$Q90,12)=0),IF(AND(Units!$L90=1,CJ$1=Units!$Q90),1,Inputs!$B$15)*Inputs!$B$16*(1+Inputs!$B$11)^(CJ$2-1),0)</f>
        <v>0</v>
      </c>
      <c r="CK91" s="11" t="n">
        <f aca="false">IF(AND(CK$1&gt;=Units!$Q90,MOD(CK$1-Units!$Q90,12)=0),IF(AND(Units!$L90=1,CK$1=Units!$Q90),1,Inputs!$B$15)*Inputs!$B$16*(1+Inputs!$B$11)^(CK$2-1),0)</f>
        <v>0</v>
      </c>
      <c r="CL91" s="11" t="n">
        <f aca="false">IF(AND(CL$1&gt;=Units!$Q90,MOD(CL$1-Units!$Q90,12)=0),IF(AND(Units!$L90=1,CL$1=Units!$Q90),1,Inputs!$B$15)*Inputs!$B$16*(1+Inputs!$B$11)^(CL$2-1),0)</f>
        <v>0</v>
      </c>
      <c r="CM91" s="11" t="n">
        <f aca="false">IF(AND(CM$1&gt;=Units!$Q90,MOD(CM$1-Units!$Q90,12)=0),IF(AND(Units!$L90=1,CM$1=Units!$Q90),1,Inputs!$B$15)*Inputs!$B$16*(1+Inputs!$B$11)^(CM$2-1),0)</f>
        <v>0</v>
      </c>
      <c r="CN91" s="11" t="n">
        <f aca="false">IF(AND(CN$1&gt;=Units!$Q90,MOD(CN$1-Units!$Q90,12)=0),IF(AND(Units!$L90=1,CN$1=Units!$Q90),1,Inputs!$B$15)*Inputs!$B$16*(1+Inputs!$B$11)^(CN$2-1),0)</f>
        <v>0</v>
      </c>
      <c r="CO91" s="11" t="n">
        <f aca="false">IF(AND(CO$1&gt;=Units!$Q90,MOD(CO$1-Units!$Q90,12)=0),IF(AND(Units!$L90=1,CO$1=Units!$Q90),1,Inputs!$B$15)*Inputs!$B$16*(1+Inputs!$B$11)^(CO$2-1),0)</f>
        <v>614.936932712435</v>
      </c>
      <c r="CP91" s="11" t="n">
        <f aca="false">IF(AND(CP$1&gt;=Units!$Q90,MOD(CP$1-Units!$Q90,12)=0),IF(AND(Units!$L90=1,CP$1=Units!$Q90),1,Inputs!$B$15)*Inputs!$B$16*(1+Inputs!$B$11)^(CP$2-1),0)</f>
        <v>0</v>
      </c>
      <c r="CQ91" s="11" t="n">
        <f aca="false">IF(AND(CQ$1&gt;=Units!$Q90,MOD(CQ$1-Units!$Q90,12)=0),IF(AND(Units!$L90=1,CQ$1=Units!$Q90),1,Inputs!$B$15)*Inputs!$B$16*(1+Inputs!$B$11)^(CQ$2-1),0)</f>
        <v>0</v>
      </c>
      <c r="CR91" s="11" t="n">
        <f aca="false">IF(AND(CR$1&gt;=Units!$Q90,MOD(CR$1-Units!$Q90,12)=0),IF(AND(Units!$L90=1,CR$1=Units!$Q90),1,Inputs!$B$15)*Inputs!$B$16*(1+Inputs!$B$11)^(CR$2-1),0)</f>
        <v>0</v>
      </c>
      <c r="CS91" s="11" t="n">
        <f aca="false">IF(AND(CS$1&gt;=Units!$Q90,MOD(CS$1-Units!$Q90,12)=0),IF(AND(Units!$L90=1,CS$1=Units!$Q90),1,Inputs!$B$15)*Inputs!$B$16*(1+Inputs!$B$11)^(CS$2-1),0)</f>
        <v>0</v>
      </c>
      <c r="CT91" s="11" t="n">
        <f aca="false">IF(AND(CT$1&gt;=Units!$Q90,MOD(CT$1-Units!$Q90,12)=0),IF(AND(Units!$L90=1,CT$1=Units!$Q90),1,Inputs!$B$15)*Inputs!$B$16*(1+Inputs!$B$11)^(CT$2-1),0)</f>
        <v>0</v>
      </c>
      <c r="CU91" s="11" t="n">
        <f aca="false">IF(AND(CU$1&gt;=Units!$Q90,MOD(CU$1-Units!$Q90,12)=0),IF(AND(Units!$L90=1,CU$1=Units!$Q90),1,Inputs!$B$15)*Inputs!$B$16*(1+Inputs!$B$11)^(CU$2-1),0)</f>
        <v>0</v>
      </c>
      <c r="CV91" s="11" t="n">
        <f aca="false">IF(AND(CV$1&gt;=Units!$Q90,MOD(CV$1-Units!$Q90,12)=0),IF(AND(Units!$L90=1,CV$1=Units!$Q90),1,Inputs!$B$15)*Inputs!$B$16*(1+Inputs!$B$11)^(CV$2-1),0)</f>
        <v>0</v>
      </c>
      <c r="CW91" s="11" t="n">
        <f aca="false">IF(AND(CW$1&gt;=Units!$Q90,MOD(CW$1-Units!$Q90,12)=0),IF(AND(Units!$L90=1,CW$1=Units!$Q90),1,Inputs!$B$15)*Inputs!$B$16*(1+Inputs!$B$11)^(CW$2-1),0)</f>
        <v>0</v>
      </c>
      <c r="CX91" s="11" t="n">
        <f aca="false">IF(AND(CX$1&gt;=Units!$Q90,MOD(CX$1-Units!$Q90,12)=0),IF(AND(Units!$L90=1,CX$1=Units!$Q90),1,Inputs!$B$15)*Inputs!$B$16*(1+Inputs!$B$11)^(CX$2-1),0)</f>
        <v>0</v>
      </c>
      <c r="CY91" s="11" t="n">
        <f aca="false">IF(AND(CY$1&gt;=Units!$Q90,MOD(CY$1-Units!$Q90,12)=0),IF(AND(Units!$L90=1,CY$1=Units!$Q90),1,Inputs!$B$15)*Inputs!$B$16*(1+Inputs!$B$11)^(CY$2-1),0)</f>
        <v>0</v>
      </c>
      <c r="CZ91" s="11" t="n">
        <f aca="false">IF(AND(CZ$1&gt;=Units!$Q90,MOD(CZ$1-Units!$Q90,12)=0),IF(AND(Units!$L90=1,CZ$1=Units!$Q90),1,Inputs!$B$15)*Inputs!$B$16*(1+Inputs!$B$11)^(CZ$2-1),0)</f>
        <v>0</v>
      </c>
      <c r="DA91" s="11" t="n">
        <f aca="false">IF(AND(DA$1&gt;=Units!$Q90,MOD(DA$1-Units!$Q90,12)=0),IF(AND(Units!$L90=1,DA$1=Units!$Q90),1,Inputs!$B$15)*Inputs!$B$16*(1+Inputs!$B$11)^(DA$2-1),0)</f>
        <v>633.385040693808</v>
      </c>
      <c r="DB91" s="11" t="n">
        <f aca="false">IF(AND(DB$1&gt;=Units!$Q90,MOD(DB$1-Units!$Q90,12)=0),IF(AND(Units!$L90=1,DB$1=Units!$Q90),1,Inputs!$B$15)*Inputs!$B$16*(1+Inputs!$B$11)^(DB$2-1),0)</f>
        <v>0</v>
      </c>
      <c r="DC91" s="11" t="n">
        <f aca="false">IF(AND(DC$1&gt;=Units!$Q90,MOD(DC$1-Units!$Q90,12)=0),IF(AND(Units!$L90=1,DC$1=Units!$Q90),1,Inputs!$B$15)*Inputs!$B$16*(1+Inputs!$B$11)^(DC$2-1),0)</f>
        <v>0</v>
      </c>
      <c r="DD91" s="11" t="n">
        <f aca="false">IF(AND(DD$1&gt;=Units!$Q90,MOD(DD$1-Units!$Q90,12)=0),IF(AND(Units!$L90=1,DD$1=Units!$Q90),1,Inputs!$B$15)*Inputs!$B$16*(1+Inputs!$B$11)^(DD$2-1),0)</f>
        <v>0</v>
      </c>
      <c r="DE91" s="11" t="n">
        <f aca="false">IF(AND(DE$1&gt;=Units!$Q90,MOD(DE$1-Units!$Q90,12)=0),IF(AND(Units!$L90=1,DE$1=Units!$Q90),1,Inputs!$B$15)*Inputs!$B$16*(1+Inputs!$B$11)^(DE$2-1),0)</f>
        <v>0</v>
      </c>
      <c r="DF91" s="11" t="n">
        <f aca="false">IF(AND(DF$1&gt;=Units!$Q90,MOD(DF$1-Units!$Q90,12)=0),IF(AND(Units!$L90=1,DF$1=Units!$Q90),1,Inputs!$B$15)*Inputs!$B$16*(1+Inputs!$B$11)^(DF$2-1),0)</f>
        <v>0</v>
      </c>
      <c r="DG91" s="11" t="n">
        <f aca="false">IF(AND(DG$1&gt;=Units!$Q90,MOD(DG$1-Units!$Q90,12)=0),IF(AND(Units!$L90=1,DG$1=Units!$Q90),1,Inputs!$B$15)*Inputs!$B$16*(1+Inputs!$B$11)^(DG$2-1),0)</f>
        <v>0</v>
      </c>
      <c r="DH91" s="11" t="n">
        <f aca="false">IF(AND(DH$1&gt;=Units!$Q90,MOD(DH$1-Units!$Q90,12)=0),IF(AND(Units!$L90=1,DH$1=Units!$Q90),1,Inputs!$B$15)*Inputs!$B$16*(1+Inputs!$B$11)^(DH$2-1),0)</f>
        <v>0</v>
      </c>
      <c r="DI91" s="11" t="n">
        <f aca="false">IF(AND(DI$1&gt;=Units!$Q90,MOD(DI$1-Units!$Q90,12)=0),IF(AND(Units!$L90=1,DI$1=Units!$Q90),1,Inputs!$B$15)*Inputs!$B$16*(1+Inputs!$B$11)^(DI$2-1),0)</f>
        <v>0</v>
      </c>
      <c r="DJ91" s="11" t="n">
        <f aca="false">IF(AND(DJ$1&gt;=Units!$Q90,MOD(DJ$1-Units!$Q90,12)=0),IF(AND(Units!$L90=1,DJ$1=Units!$Q90),1,Inputs!$B$15)*Inputs!$B$16*(1+Inputs!$B$11)^(DJ$2-1),0)</f>
        <v>0</v>
      </c>
      <c r="DK91" s="11" t="n">
        <f aca="false">IF(AND(DK$1&gt;=Units!$Q90,MOD(DK$1-Units!$Q90,12)=0),IF(AND(Units!$L90=1,DK$1=Units!$Q90),1,Inputs!$B$15)*Inputs!$B$16*(1+Inputs!$B$11)^(DK$2-1),0)</f>
        <v>0</v>
      </c>
      <c r="DL91" s="11" t="n">
        <f aca="false">IF(AND(DL$1&gt;=Units!$Q90,MOD(DL$1-Units!$Q90,12)=0),IF(AND(Units!$L90=1,DL$1=Units!$Q90),1,Inputs!$B$15)*Inputs!$B$16*(1+Inputs!$B$11)^(DL$2-1),0)</f>
        <v>0</v>
      </c>
      <c r="DM91" s="11" t="n">
        <f aca="false">IF(AND(DM$1&gt;=Units!$Q90,MOD(DM$1-Units!$Q90,12)=0),IF(AND(Units!$L90=1,DM$1=Units!$Q90),1,Inputs!$B$15)*Inputs!$B$16*(1+Inputs!$B$11)^(DM$2-1),0)</f>
        <v>652.386591914623</v>
      </c>
      <c r="DN91" s="11" t="n">
        <f aca="false">IF(AND(DN$1&gt;=Units!$Q90,MOD(DN$1-Units!$Q90,12)=0),IF(AND(Units!$L90=1,DN$1=Units!$Q90),1,Inputs!$B$15)*Inputs!$B$16*(1+Inputs!$B$11)^(DN$2-1),0)</f>
        <v>0</v>
      </c>
      <c r="DO91" s="11" t="n">
        <f aca="false">IF(AND(DO$1&gt;=Units!$Q90,MOD(DO$1-Units!$Q90,12)=0),IF(AND(Units!$L90=1,DO$1=Units!$Q90),1,Inputs!$B$15)*Inputs!$B$16*(1+Inputs!$B$11)^(DO$2-1),0)</f>
        <v>0</v>
      </c>
      <c r="DP91" s="11" t="n">
        <f aca="false">IF(AND(DP$1&gt;=Units!$Q90,MOD(DP$1-Units!$Q90,12)=0),IF(AND(Units!$L90=1,DP$1=Units!$Q90),1,Inputs!$B$15)*Inputs!$B$16*(1+Inputs!$B$11)^(DP$2-1),0)</f>
        <v>0</v>
      </c>
      <c r="DQ91" s="11" t="n">
        <f aca="false">IF(AND(DQ$1&gt;=Units!$Q90,MOD(DQ$1-Units!$Q90,12)=0),IF(AND(Units!$L90=1,DQ$1=Units!$Q90),1,Inputs!$B$15)*Inputs!$B$16*(1+Inputs!$B$11)^(DQ$2-1),0)</f>
        <v>0</v>
      </c>
      <c r="DR91" s="11" t="n">
        <f aca="false">IF(AND(DR$1&gt;=Units!$Q90,MOD(DR$1-Units!$Q90,12)=0),IF(AND(Units!$L90=1,DR$1=Units!$Q90),1,Inputs!$B$15)*Inputs!$B$16*(1+Inputs!$B$11)^(DR$2-1),0)</f>
        <v>0</v>
      </c>
      <c r="DS91" s="11" t="n">
        <f aca="false">IF(AND(DS$1&gt;=Units!$Q90,MOD(DS$1-Units!$Q90,12)=0),IF(AND(Units!$L90=1,DS$1=Units!$Q90),1,Inputs!$B$15)*Inputs!$B$16*(1+Inputs!$B$11)^(DS$2-1),0)</f>
        <v>0</v>
      </c>
      <c r="DT91" s="11" t="n">
        <f aca="false">IF(AND(DT$1&gt;=Units!$Q90,MOD(DT$1-Units!$Q90,12)=0),IF(AND(Units!$L90=1,DT$1=Units!$Q90),1,Inputs!$B$15)*Inputs!$B$16*(1+Inputs!$B$11)^(DT$2-1),0)</f>
        <v>0</v>
      </c>
      <c r="DU91" s="11" t="n">
        <f aca="false">IF(AND(DU$1&gt;=Units!$Q90,MOD(DU$1-Units!$Q90,12)=0),IF(AND(Units!$L90=1,DU$1=Units!$Q90),1,Inputs!$B$15)*Inputs!$B$16*(1+Inputs!$B$11)^(DU$2-1),0)</f>
        <v>0</v>
      </c>
      <c r="DV91" s="11" t="n">
        <f aca="false">IF(AND(DV$1&gt;=Units!$Q90,MOD(DV$1-Units!$Q90,12)=0),IF(AND(Units!$L90=1,DV$1=Units!$Q90),1,Inputs!$B$15)*Inputs!$B$16*(1+Inputs!$B$11)^(DV$2-1),0)</f>
        <v>0</v>
      </c>
      <c r="DW91" s="11" t="n">
        <f aca="false">IF(AND(DW$1&gt;=Units!$Q90,MOD(DW$1-Units!$Q90,12)=0),IF(AND(Units!$L90=1,DW$1=Units!$Q90),1,Inputs!$B$15)*Inputs!$B$16*(1+Inputs!$B$11)^(DW$2-1),0)</f>
        <v>0</v>
      </c>
      <c r="DX91" s="11" t="n">
        <f aca="false">IF(AND(DX$1&gt;=Units!$Q90,MOD(DX$1-Units!$Q90,12)=0),IF(AND(Units!$L90=1,DX$1=Units!$Q90),1,Inputs!$B$15)*Inputs!$B$16*(1+Inputs!$B$11)^(DX$2-1),0)</f>
        <v>0</v>
      </c>
      <c r="DY91" s="11" t="n">
        <f aca="false">IF(AND(DY$1&gt;=Units!$Q90,MOD(DY$1-Units!$Q90,12)=0),IF(AND(Units!$L90=1,DY$1=Units!$Q90),1,Inputs!$B$15)*Inputs!$B$16*(1+Inputs!$B$11)^(DY$2-1),0)</f>
        <v>671.958189672061</v>
      </c>
      <c r="DZ91" s="11" t="n">
        <f aca="false">IF(AND(DZ$1&gt;=Units!$Q90,MOD(DZ$1-Units!$Q90,12)=0),IF(AND(Units!$L90=1,DZ$1=Units!$Q90),1,Inputs!$B$15)*Inputs!$B$16*(1+Inputs!$B$11)^(DZ$2-1),0)</f>
        <v>0</v>
      </c>
      <c r="EA91" s="11" t="n">
        <f aca="false">IF(AND(EA$1&gt;=Units!$Q90,MOD(EA$1-Units!$Q90,12)=0),IF(AND(Units!$L90=1,EA$1=Units!$Q90),1,Inputs!$B$15)*Inputs!$B$16*(1+Inputs!$B$11)^(EA$2-1),0)</f>
        <v>0</v>
      </c>
      <c r="EB91" s="11" t="n">
        <f aca="false">IF(AND(EB$1&gt;=Units!$Q90,MOD(EB$1-Units!$Q90,12)=0),IF(AND(Units!$L90=1,EB$1=Units!$Q90),1,Inputs!$B$15)*Inputs!$B$16*(1+Inputs!$B$11)^(EB$2-1),0)</f>
        <v>0</v>
      </c>
      <c r="EC91" s="11" t="n">
        <f aca="false">IF(AND(EC$1&gt;=Units!$Q90,MOD(EC$1-Units!$Q90,12)=0),IF(AND(Units!$L90=1,EC$1=Units!$Q90),1,Inputs!$B$15)*Inputs!$B$16*(1+Inputs!$B$11)^(EC$2-1),0)</f>
        <v>0</v>
      </c>
      <c r="ED91" s="11" t="n">
        <f aca="false">IF(AND(ED$1&gt;=Units!$Q90,MOD(ED$1-Units!$Q90,12)=0),IF(AND(Units!$L90=1,ED$1=Units!$Q90),1,Inputs!$B$15)*Inputs!$B$16*(1+Inputs!$B$11)^(ED$2-1),0)</f>
        <v>0</v>
      </c>
    </row>
    <row r="92" customFormat="false" ht="15" hidden="false" customHeight="false" outlineLevel="0" collapsed="false">
      <c r="A92" s="22" t="n">
        <f aca="false">Units!A91</f>
        <v>330</v>
      </c>
      <c r="B92" s="23"/>
      <c r="C92" s="11" t="n">
        <f aca="false">IF(AND(C$1&gt;=Units!$Q91,MOD(C$1-Units!$Q91,12)=0),IF(AND(Units!$L91=1,C$1=Units!$Q91),1,Inputs!$B$15)*Inputs!$B$16*(1+Inputs!$B$11)^(C$2-1),0)</f>
        <v>0</v>
      </c>
      <c r="D92" s="11" t="n">
        <f aca="false">IF(AND(D$1&gt;=Units!$Q91,MOD(D$1-Units!$Q91,12)=0),IF(AND(Units!$L91=1,D$1=Units!$Q91),1,Inputs!$B$15)*Inputs!$B$16*(1+Inputs!$B$11)^(D$2-1),0)</f>
        <v>0</v>
      </c>
      <c r="E92" s="11" t="n">
        <f aca="false">IF(AND(E$1&gt;=Units!$Q91,MOD(E$1-Units!$Q91,12)=0),IF(AND(Units!$L91=1,E$1=Units!$Q91),1,Inputs!$B$15)*Inputs!$B$16*(1+Inputs!$B$11)^(E$2-1),0)</f>
        <v>500</v>
      </c>
      <c r="F92" s="11" t="n">
        <f aca="false">IF(AND(F$1&gt;=Units!$Q91,MOD(F$1-Units!$Q91,12)=0),IF(AND(Units!$L91=1,F$1=Units!$Q91),1,Inputs!$B$15)*Inputs!$B$16*(1+Inputs!$B$11)^(F$2-1),0)</f>
        <v>0</v>
      </c>
      <c r="G92" s="11" t="n">
        <f aca="false">IF(AND(G$1&gt;=Units!$Q91,MOD(G$1-Units!$Q91,12)=0),IF(AND(Units!$L91=1,G$1=Units!$Q91),1,Inputs!$B$15)*Inputs!$B$16*(1+Inputs!$B$11)^(G$2-1),0)</f>
        <v>0</v>
      </c>
      <c r="H92" s="11" t="n">
        <f aca="false">IF(AND(H$1&gt;=Units!$Q91,MOD(H$1-Units!$Q91,12)=0),IF(AND(Units!$L91=1,H$1=Units!$Q91),1,Inputs!$B$15)*Inputs!$B$16*(1+Inputs!$B$11)^(H$2-1),0)</f>
        <v>0</v>
      </c>
      <c r="I92" s="11" t="n">
        <f aca="false">IF(AND(I$1&gt;=Units!$Q91,MOD(I$1-Units!$Q91,12)=0),IF(AND(Units!$L91=1,I$1=Units!$Q91),1,Inputs!$B$15)*Inputs!$B$16*(1+Inputs!$B$11)^(I$2-1),0)</f>
        <v>0</v>
      </c>
      <c r="J92" s="11" t="n">
        <f aca="false">IF(AND(J$1&gt;=Units!$Q91,MOD(J$1-Units!$Q91,12)=0),IF(AND(Units!$L91=1,J$1=Units!$Q91),1,Inputs!$B$15)*Inputs!$B$16*(1+Inputs!$B$11)^(J$2-1),0)</f>
        <v>0</v>
      </c>
      <c r="K92" s="11" t="n">
        <f aca="false">IF(AND(K$1&gt;=Units!$Q91,MOD(K$1-Units!$Q91,12)=0),IF(AND(Units!$L91=1,K$1=Units!$Q91),1,Inputs!$B$15)*Inputs!$B$16*(1+Inputs!$B$11)^(K$2-1),0)</f>
        <v>0</v>
      </c>
      <c r="L92" s="11" t="n">
        <f aca="false">IF(AND(L$1&gt;=Units!$Q91,MOD(L$1-Units!$Q91,12)=0),IF(AND(Units!$L91=1,L$1=Units!$Q91),1,Inputs!$B$15)*Inputs!$B$16*(1+Inputs!$B$11)^(L$2-1),0)</f>
        <v>0</v>
      </c>
      <c r="M92" s="11" t="n">
        <f aca="false">IF(AND(M$1&gt;=Units!$Q91,MOD(M$1-Units!$Q91,12)=0),IF(AND(Units!$L91=1,M$1=Units!$Q91),1,Inputs!$B$15)*Inputs!$B$16*(1+Inputs!$B$11)^(M$2-1),0)</f>
        <v>0</v>
      </c>
      <c r="N92" s="11" t="n">
        <f aca="false">IF(AND(N$1&gt;=Units!$Q91,MOD(N$1-Units!$Q91,12)=0),IF(AND(Units!$L91=1,N$1=Units!$Q91),1,Inputs!$B$15)*Inputs!$B$16*(1+Inputs!$B$11)^(N$2-1),0)</f>
        <v>0</v>
      </c>
      <c r="O92" s="11" t="n">
        <f aca="false">IF(AND(O$1&gt;=Units!$Q91,MOD(O$1-Units!$Q91,12)=0),IF(AND(Units!$L91=1,O$1=Units!$Q91),1,Inputs!$B$15)*Inputs!$B$16*(1+Inputs!$B$11)^(O$2-1),0)</f>
        <v>0</v>
      </c>
      <c r="P92" s="11" t="n">
        <f aca="false">IF(AND(P$1&gt;=Units!$Q91,MOD(P$1-Units!$Q91,12)=0),IF(AND(Units!$L91=1,P$1=Units!$Q91),1,Inputs!$B$15)*Inputs!$B$16*(1+Inputs!$B$11)^(P$2-1),0)</f>
        <v>0</v>
      </c>
      <c r="Q92" s="11" t="n">
        <f aca="false">IF(AND(Q$1&gt;=Units!$Q91,MOD(Q$1-Units!$Q91,12)=0),IF(AND(Units!$L91=1,Q$1=Units!$Q91),1,Inputs!$B$15)*Inputs!$B$16*(1+Inputs!$B$11)^(Q$2-1),0)</f>
        <v>515</v>
      </c>
      <c r="R92" s="11" t="n">
        <f aca="false">IF(AND(R$1&gt;=Units!$Q91,MOD(R$1-Units!$Q91,12)=0),IF(AND(Units!$L91=1,R$1=Units!$Q91),1,Inputs!$B$15)*Inputs!$B$16*(1+Inputs!$B$11)^(R$2-1),0)</f>
        <v>0</v>
      </c>
      <c r="S92" s="11" t="n">
        <f aca="false">IF(AND(S$1&gt;=Units!$Q91,MOD(S$1-Units!$Q91,12)=0),IF(AND(Units!$L91=1,S$1=Units!$Q91),1,Inputs!$B$15)*Inputs!$B$16*(1+Inputs!$B$11)^(S$2-1),0)</f>
        <v>0</v>
      </c>
      <c r="T92" s="11" t="n">
        <f aca="false">IF(AND(T$1&gt;=Units!$Q91,MOD(T$1-Units!$Q91,12)=0),IF(AND(Units!$L91=1,T$1=Units!$Q91),1,Inputs!$B$15)*Inputs!$B$16*(1+Inputs!$B$11)^(T$2-1),0)</f>
        <v>0</v>
      </c>
      <c r="U92" s="11" t="n">
        <f aca="false">IF(AND(U$1&gt;=Units!$Q91,MOD(U$1-Units!$Q91,12)=0),IF(AND(Units!$L91=1,U$1=Units!$Q91),1,Inputs!$B$15)*Inputs!$B$16*(1+Inputs!$B$11)^(U$2-1),0)</f>
        <v>0</v>
      </c>
      <c r="V92" s="11" t="n">
        <f aca="false">IF(AND(V$1&gt;=Units!$Q91,MOD(V$1-Units!$Q91,12)=0),IF(AND(Units!$L91=1,V$1=Units!$Q91),1,Inputs!$B$15)*Inputs!$B$16*(1+Inputs!$B$11)^(V$2-1),0)</f>
        <v>0</v>
      </c>
      <c r="W92" s="11" t="n">
        <f aca="false">IF(AND(W$1&gt;=Units!$Q91,MOD(W$1-Units!$Q91,12)=0),IF(AND(Units!$L91=1,W$1=Units!$Q91),1,Inputs!$B$15)*Inputs!$B$16*(1+Inputs!$B$11)^(W$2-1),0)</f>
        <v>0</v>
      </c>
      <c r="X92" s="11" t="n">
        <f aca="false">IF(AND(X$1&gt;=Units!$Q91,MOD(X$1-Units!$Q91,12)=0),IF(AND(Units!$L91=1,X$1=Units!$Q91),1,Inputs!$B$15)*Inputs!$B$16*(1+Inputs!$B$11)^(X$2-1),0)</f>
        <v>0</v>
      </c>
      <c r="Y92" s="11" t="n">
        <f aca="false">IF(AND(Y$1&gt;=Units!$Q91,MOD(Y$1-Units!$Q91,12)=0),IF(AND(Units!$L91=1,Y$1=Units!$Q91),1,Inputs!$B$15)*Inputs!$B$16*(1+Inputs!$B$11)^(Y$2-1),0)</f>
        <v>0</v>
      </c>
      <c r="Z92" s="11" t="n">
        <f aca="false">IF(AND(Z$1&gt;=Units!$Q91,MOD(Z$1-Units!$Q91,12)=0),IF(AND(Units!$L91=1,Z$1=Units!$Q91),1,Inputs!$B$15)*Inputs!$B$16*(1+Inputs!$B$11)^(Z$2-1),0)</f>
        <v>0</v>
      </c>
      <c r="AA92" s="11" t="n">
        <f aca="false">IF(AND(AA$1&gt;=Units!$Q91,MOD(AA$1-Units!$Q91,12)=0),IF(AND(Units!$L91=1,AA$1=Units!$Q91),1,Inputs!$B$15)*Inputs!$B$16*(1+Inputs!$B$11)^(AA$2-1),0)</f>
        <v>0</v>
      </c>
      <c r="AB92" s="11" t="n">
        <f aca="false">IF(AND(AB$1&gt;=Units!$Q91,MOD(AB$1-Units!$Q91,12)=0),IF(AND(Units!$L91=1,AB$1=Units!$Q91),1,Inputs!$B$15)*Inputs!$B$16*(1+Inputs!$B$11)^(AB$2-1),0)</f>
        <v>0</v>
      </c>
      <c r="AC92" s="11" t="n">
        <f aca="false">IF(AND(AC$1&gt;=Units!$Q91,MOD(AC$1-Units!$Q91,12)=0),IF(AND(Units!$L91=1,AC$1=Units!$Q91),1,Inputs!$B$15)*Inputs!$B$16*(1+Inputs!$B$11)^(AC$2-1),0)</f>
        <v>530.45</v>
      </c>
      <c r="AD92" s="11" t="n">
        <f aca="false">IF(AND(AD$1&gt;=Units!$Q91,MOD(AD$1-Units!$Q91,12)=0),IF(AND(Units!$L91=1,AD$1=Units!$Q91),1,Inputs!$B$15)*Inputs!$B$16*(1+Inputs!$B$11)^(AD$2-1),0)</f>
        <v>0</v>
      </c>
      <c r="AE92" s="11" t="n">
        <f aca="false">IF(AND(AE$1&gt;=Units!$Q91,MOD(AE$1-Units!$Q91,12)=0),IF(AND(Units!$L91=1,AE$1=Units!$Q91),1,Inputs!$B$15)*Inputs!$B$16*(1+Inputs!$B$11)^(AE$2-1),0)</f>
        <v>0</v>
      </c>
      <c r="AF92" s="11" t="n">
        <f aca="false">IF(AND(AF$1&gt;=Units!$Q91,MOD(AF$1-Units!$Q91,12)=0),IF(AND(Units!$L91=1,AF$1=Units!$Q91),1,Inputs!$B$15)*Inputs!$B$16*(1+Inputs!$B$11)^(AF$2-1),0)</f>
        <v>0</v>
      </c>
      <c r="AG92" s="11" t="n">
        <f aca="false">IF(AND(AG$1&gt;=Units!$Q91,MOD(AG$1-Units!$Q91,12)=0),IF(AND(Units!$L91=1,AG$1=Units!$Q91),1,Inputs!$B$15)*Inputs!$B$16*(1+Inputs!$B$11)^(AG$2-1),0)</f>
        <v>0</v>
      </c>
      <c r="AH92" s="11" t="n">
        <f aca="false">IF(AND(AH$1&gt;=Units!$Q91,MOD(AH$1-Units!$Q91,12)=0),IF(AND(Units!$L91=1,AH$1=Units!$Q91),1,Inputs!$B$15)*Inputs!$B$16*(1+Inputs!$B$11)^(AH$2-1),0)</f>
        <v>0</v>
      </c>
      <c r="AI92" s="11" t="n">
        <f aca="false">IF(AND(AI$1&gt;=Units!$Q91,MOD(AI$1-Units!$Q91,12)=0),IF(AND(Units!$L91=1,AI$1=Units!$Q91),1,Inputs!$B$15)*Inputs!$B$16*(1+Inputs!$B$11)^(AI$2-1),0)</f>
        <v>0</v>
      </c>
      <c r="AJ92" s="11" t="n">
        <f aca="false">IF(AND(AJ$1&gt;=Units!$Q91,MOD(AJ$1-Units!$Q91,12)=0),IF(AND(Units!$L91=1,AJ$1=Units!$Q91),1,Inputs!$B$15)*Inputs!$B$16*(1+Inputs!$B$11)^(AJ$2-1),0)</f>
        <v>0</v>
      </c>
      <c r="AK92" s="11" t="n">
        <f aca="false">IF(AND(AK$1&gt;=Units!$Q91,MOD(AK$1-Units!$Q91,12)=0),IF(AND(Units!$L91=1,AK$1=Units!$Q91),1,Inputs!$B$15)*Inputs!$B$16*(1+Inputs!$B$11)^(AK$2-1),0)</f>
        <v>0</v>
      </c>
      <c r="AL92" s="11" t="n">
        <f aca="false">IF(AND(AL$1&gt;=Units!$Q91,MOD(AL$1-Units!$Q91,12)=0),IF(AND(Units!$L91=1,AL$1=Units!$Q91),1,Inputs!$B$15)*Inputs!$B$16*(1+Inputs!$B$11)^(AL$2-1),0)</f>
        <v>0</v>
      </c>
      <c r="AM92" s="11" t="n">
        <f aca="false">IF(AND(AM$1&gt;=Units!$Q91,MOD(AM$1-Units!$Q91,12)=0),IF(AND(Units!$L91=1,AM$1=Units!$Q91),1,Inputs!$B$15)*Inputs!$B$16*(1+Inputs!$B$11)^(AM$2-1),0)</f>
        <v>0</v>
      </c>
      <c r="AN92" s="11" t="n">
        <f aca="false">IF(AND(AN$1&gt;=Units!$Q91,MOD(AN$1-Units!$Q91,12)=0),IF(AND(Units!$L91=1,AN$1=Units!$Q91),1,Inputs!$B$15)*Inputs!$B$16*(1+Inputs!$B$11)^(AN$2-1),0)</f>
        <v>0</v>
      </c>
      <c r="AO92" s="11" t="n">
        <f aca="false">IF(AND(AO$1&gt;=Units!$Q91,MOD(AO$1-Units!$Q91,12)=0),IF(AND(Units!$L91=1,AO$1=Units!$Q91),1,Inputs!$B$15)*Inputs!$B$16*(1+Inputs!$B$11)^(AO$2-1),0)</f>
        <v>546.3635</v>
      </c>
      <c r="AP92" s="11" t="n">
        <f aca="false">IF(AND(AP$1&gt;=Units!$Q91,MOD(AP$1-Units!$Q91,12)=0),IF(AND(Units!$L91=1,AP$1=Units!$Q91),1,Inputs!$B$15)*Inputs!$B$16*(1+Inputs!$B$11)^(AP$2-1),0)</f>
        <v>0</v>
      </c>
      <c r="AQ92" s="11" t="n">
        <f aca="false">IF(AND(AQ$1&gt;=Units!$Q91,MOD(AQ$1-Units!$Q91,12)=0),IF(AND(Units!$L91=1,AQ$1=Units!$Q91),1,Inputs!$B$15)*Inputs!$B$16*(1+Inputs!$B$11)^(AQ$2-1),0)</f>
        <v>0</v>
      </c>
      <c r="AR92" s="11" t="n">
        <f aca="false">IF(AND(AR$1&gt;=Units!$Q91,MOD(AR$1-Units!$Q91,12)=0),IF(AND(Units!$L91=1,AR$1=Units!$Q91),1,Inputs!$B$15)*Inputs!$B$16*(1+Inputs!$B$11)^(AR$2-1),0)</f>
        <v>0</v>
      </c>
      <c r="AS92" s="11" t="n">
        <f aca="false">IF(AND(AS$1&gt;=Units!$Q91,MOD(AS$1-Units!$Q91,12)=0),IF(AND(Units!$L91=1,AS$1=Units!$Q91),1,Inputs!$B$15)*Inputs!$B$16*(1+Inputs!$B$11)^(AS$2-1),0)</f>
        <v>0</v>
      </c>
      <c r="AT92" s="11" t="n">
        <f aca="false">IF(AND(AT$1&gt;=Units!$Q91,MOD(AT$1-Units!$Q91,12)=0),IF(AND(Units!$L91=1,AT$1=Units!$Q91),1,Inputs!$B$15)*Inputs!$B$16*(1+Inputs!$B$11)^(AT$2-1),0)</f>
        <v>0</v>
      </c>
      <c r="AU92" s="11" t="n">
        <f aca="false">IF(AND(AU$1&gt;=Units!$Q91,MOD(AU$1-Units!$Q91,12)=0),IF(AND(Units!$L91=1,AU$1=Units!$Q91),1,Inputs!$B$15)*Inputs!$B$16*(1+Inputs!$B$11)^(AU$2-1),0)</f>
        <v>0</v>
      </c>
      <c r="AV92" s="11" t="n">
        <f aca="false">IF(AND(AV$1&gt;=Units!$Q91,MOD(AV$1-Units!$Q91,12)=0),IF(AND(Units!$L91=1,AV$1=Units!$Q91),1,Inputs!$B$15)*Inputs!$B$16*(1+Inputs!$B$11)^(AV$2-1),0)</f>
        <v>0</v>
      </c>
      <c r="AW92" s="11" t="n">
        <f aca="false">IF(AND(AW$1&gt;=Units!$Q91,MOD(AW$1-Units!$Q91,12)=0),IF(AND(Units!$L91=1,AW$1=Units!$Q91),1,Inputs!$B$15)*Inputs!$B$16*(1+Inputs!$B$11)^(AW$2-1),0)</f>
        <v>0</v>
      </c>
      <c r="AX92" s="11" t="n">
        <f aca="false">IF(AND(AX$1&gt;=Units!$Q91,MOD(AX$1-Units!$Q91,12)=0),IF(AND(Units!$L91=1,AX$1=Units!$Q91),1,Inputs!$B$15)*Inputs!$B$16*(1+Inputs!$B$11)^(AX$2-1),0)</f>
        <v>0</v>
      </c>
      <c r="AY92" s="11" t="n">
        <f aca="false">IF(AND(AY$1&gt;=Units!$Q91,MOD(AY$1-Units!$Q91,12)=0),IF(AND(Units!$L91=1,AY$1=Units!$Q91),1,Inputs!$B$15)*Inputs!$B$16*(1+Inputs!$B$11)^(AY$2-1),0)</f>
        <v>0</v>
      </c>
      <c r="AZ92" s="11" t="n">
        <f aca="false">IF(AND(AZ$1&gt;=Units!$Q91,MOD(AZ$1-Units!$Q91,12)=0),IF(AND(Units!$L91=1,AZ$1=Units!$Q91),1,Inputs!$B$15)*Inputs!$B$16*(1+Inputs!$B$11)^(AZ$2-1),0)</f>
        <v>0</v>
      </c>
      <c r="BA92" s="11" t="n">
        <f aca="false">IF(AND(BA$1&gt;=Units!$Q91,MOD(BA$1-Units!$Q91,12)=0),IF(AND(Units!$L91=1,BA$1=Units!$Q91),1,Inputs!$B$15)*Inputs!$B$16*(1+Inputs!$B$11)^(BA$2-1),0)</f>
        <v>562.754405</v>
      </c>
      <c r="BB92" s="11" t="n">
        <f aca="false">IF(AND(BB$1&gt;=Units!$Q91,MOD(BB$1-Units!$Q91,12)=0),IF(AND(Units!$L91=1,BB$1=Units!$Q91),1,Inputs!$B$15)*Inputs!$B$16*(1+Inputs!$B$11)^(BB$2-1),0)</f>
        <v>0</v>
      </c>
      <c r="BC92" s="11" t="n">
        <f aca="false">IF(AND(BC$1&gt;=Units!$Q91,MOD(BC$1-Units!$Q91,12)=0),IF(AND(Units!$L91=1,BC$1=Units!$Q91),1,Inputs!$B$15)*Inputs!$B$16*(1+Inputs!$B$11)^(BC$2-1),0)</f>
        <v>0</v>
      </c>
      <c r="BD92" s="11" t="n">
        <f aca="false">IF(AND(BD$1&gt;=Units!$Q91,MOD(BD$1-Units!$Q91,12)=0),IF(AND(Units!$L91=1,BD$1=Units!$Q91),1,Inputs!$B$15)*Inputs!$B$16*(1+Inputs!$B$11)^(BD$2-1),0)</f>
        <v>0</v>
      </c>
      <c r="BE92" s="11" t="n">
        <f aca="false">IF(AND(BE$1&gt;=Units!$Q91,MOD(BE$1-Units!$Q91,12)=0),IF(AND(Units!$L91=1,BE$1=Units!$Q91),1,Inputs!$B$15)*Inputs!$B$16*(1+Inputs!$B$11)^(BE$2-1),0)</f>
        <v>0</v>
      </c>
      <c r="BF92" s="11" t="n">
        <f aca="false">IF(AND(BF$1&gt;=Units!$Q91,MOD(BF$1-Units!$Q91,12)=0),IF(AND(Units!$L91=1,BF$1=Units!$Q91),1,Inputs!$B$15)*Inputs!$B$16*(1+Inputs!$B$11)^(BF$2-1),0)</f>
        <v>0</v>
      </c>
      <c r="BG92" s="11" t="n">
        <f aca="false">IF(AND(BG$1&gt;=Units!$Q91,MOD(BG$1-Units!$Q91,12)=0),IF(AND(Units!$L91=1,BG$1=Units!$Q91),1,Inputs!$B$15)*Inputs!$B$16*(1+Inputs!$B$11)^(BG$2-1),0)</f>
        <v>0</v>
      </c>
      <c r="BH92" s="11" t="n">
        <f aca="false">IF(AND(BH$1&gt;=Units!$Q91,MOD(BH$1-Units!$Q91,12)=0),IF(AND(Units!$L91=1,BH$1=Units!$Q91),1,Inputs!$B$15)*Inputs!$B$16*(1+Inputs!$B$11)^(BH$2-1),0)</f>
        <v>0</v>
      </c>
      <c r="BI92" s="11" t="n">
        <f aca="false">IF(AND(BI$1&gt;=Units!$Q91,MOD(BI$1-Units!$Q91,12)=0),IF(AND(Units!$L91=1,BI$1=Units!$Q91),1,Inputs!$B$15)*Inputs!$B$16*(1+Inputs!$B$11)^(BI$2-1),0)</f>
        <v>0</v>
      </c>
      <c r="BJ92" s="11" t="n">
        <f aca="false">IF(AND(BJ$1&gt;=Units!$Q91,MOD(BJ$1-Units!$Q91,12)=0),IF(AND(Units!$L91=1,BJ$1=Units!$Q91),1,Inputs!$B$15)*Inputs!$B$16*(1+Inputs!$B$11)^(BJ$2-1),0)</f>
        <v>0</v>
      </c>
      <c r="BK92" s="11" t="n">
        <f aca="false">IF(AND(BK$1&gt;=Units!$Q91,MOD(BK$1-Units!$Q91,12)=0),IF(AND(Units!$L91=1,BK$1=Units!$Q91),1,Inputs!$B$15)*Inputs!$B$16*(1+Inputs!$B$11)^(BK$2-1),0)</f>
        <v>0</v>
      </c>
      <c r="BL92" s="11" t="n">
        <f aca="false">IF(AND(BL$1&gt;=Units!$Q91,MOD(BL$1-Units!$Q91,12)=0),IF(AND(Units!$L91=1,BL$1=Units!$Q91),1,Inputs!$B$15)*Inputs!$B$16*(1+Inputs!$B$11)^(BL$2-1),0)</f>
        <v>0</v>
      </c>
      <c r="BM92" s="11" t="n">
        <f aca="false">IF(AND(BM$1&gt;=Units!$Q91,MOD(BM$1-Units!$Q91,12)=0),IF(AND(Units!$L91=1,BM$1=Units!$Q91),1,Inputs!$B$15)*Inputs!$B$16*(1+Inputs!$B$11)^(BM$2-1),0)</f>
        <v>579.63703715</v>
      </c>
      <c r="BN92" s="11" t="n">
        <f aca="false">IF(AND(BN$1&gt;=Units!$Q91,MOD(BN$1-Units!$Q91,12)=0),IF(AND(Units!$L91=1,BN$1=Units!$Q91),1,Inputs!$B$15)*Inputs!$B$16*(1+Inputs!$B$11)^(BN$2-1),0)</f>
        <v>0</v>
      </c>
      <c r="BO92" s="11" t="n">
        <f aca="false">IF(AND(BO$1&gt;=Units!$Q91,MOD(BO$1-Units!$Q91,12)=0),IF(AND(Units!$L91=1,BO$1=Units!$Q91),1,Inputs!$B$15)*Inputs!$B$16*(1+Inputs!$B$11)^(BO$2-1),0)</f>
        <v>0</v>
      </c>
      <c r="BP92" s="11" t="n">
        <f aca="false">IF(AND(BP$1&gt;=Units!$Q91,MOD(BP$1-Units!$Q91,12)=0),IF(AND(Units!$L91=1,BP$1=Units!$Q91),1,Inputs!$B$15)*Inputs!$B$16*(1+Inputs!$B$11)^(BP$2-1),0)</f>
        <v>0</v>
      </c>
      <c r="BQ92" s="11" t="n">
        <f aca="false">IF(AND(BQ$1&gt;=Units!$Q91,MOD(BQ$1-Units!$Q91,12)=0),IF(AND(Units!$L91=1,BQ$1=Units!$Q91),1,Inputs!$B$15)*Inputs!$B$16*(1+Inputs!$B$11)^(BQ$2-1),0)</f>
        <v>0</v>
      </c>
      <c r="BR92" s="11" t="n">
        <f aca="false">IF(AND(BR$1&gt;=Units!$Q91,MOD(BR$1-Units!$Q91,12)=0),IF(AND(Units!$L91=1,BR$1=Units!$Q91),1,Inputs!$B$15)*Inputs!$B$16*(1+Inputs!$B$11)^(BR$2-1),0)</f>
        <v>0</v>
      </c>
      <c r="BS92" s="11" t="n">
        <f aca="false">IF(AND(BS$1&gt;=Units!$Q91,MOD(BS$1-Units!$Q91,12)=0),IF(AND(Units!$L91=1,BS$1=Units!$Q91),1,Inputs!$B$15)*Inputs!$B$16*(1+Inputs!$B$11)^(BS$2-1),0)</f>
        <v>0</v>
      </c>
      <c r="BT92" s="11" t="n">
        <f aca="false">IF(AND(BT$1&gt;=Units!$Q91,MOD(BT$1-Units!$Q91,12)=0),IF(AND(Units!$L91=1,BT$1=Units!$Q91),1,Inputs!$B$15)*Inputs!$B$16*(1+Inputs!$B$11)^(BT$2-1),0)</f>
        <v>0</v>
      </c>
      <c r="BU92" s="11" t="n">
        <f aca="false">IF(AND(BU$1&gt;=Units!$Q91,MOD(BU$1-Units!$Q91,12)=0),IF(AND(Units!$L91=1,BU$1=Units!$Q91),1,Inputs!$B$15)*Inputs!$B$16*(1+Inputs!$B$11)^(BU$2-1),0)</f>
        <v>0</v>
      </c>
      <c r="BV92" s="11" t="n">
        <f aca="false">IF(AND(BV$1&gt;=Units!$Q91,MOD(BV$1-Units!$Q91,12)=0),IF(AND(Units!$L91=1,BV$1=Units!$Q91),1,Inputs!$B$15)*Inputs!$B$16*(1+Inputs!$B$11)^(BV$2-1),0)</f>
        <v>0</v>
      </c>
      <c r="BW92" s="11" t="n">
        <f aca="false">IF(AND(BW$1&gt;=Units!$Q91,MOD(BW$1-Units!$Q91,12)=0),IF(AND(Units!$L91=1,BW$1=Units!$Q91),1,Inputs!$B$15)*Inputs!$B$16*(1+Inputs!$B$11)^(BW$2-1),0)</f>
        <v>0</v>
      </c>
      <c r="BX92" s="11" t="n">
        <f aca="false">IF(AND(BX$1&gt;=Units!$Q91,MOD(BX$1-Units!$Q91,12)=0),IF(AND(Units!$L91=1,BX$1=Units!$Q91),1,Inputs!$B$15)*Inputs!$B$16*(1+Inputs!$B$11)^(BX$2-1),0)</f>
        <v>0</v>
      </c>
      <c r="BY92" s="11" t="n">
        <f aca="false">IF(AND(BY$1&gt;=Units!$Q91,MOD(BY$1-Units!$Q91,12)=0),IF(AND(Units!$L91=1,BY$1=Units!$Q91),1,Inputs!$B$15)*Inputs!$B$16*(1+Inputs!$B$11)^(BY$2-1),0)</f>
        <v>597.0261482645</v>
      </c>
      <c r="BZ92" s="11" t="n">
        <f aca="false">IF(AND(BZ$1&gt;=Units!$Q91,MOD(BZ$1-Units!$Q91,12)=0),IF(AND(Units!$L91=1,BZ$1=Units!$Q91),1,Inputs!$B$15)*Inputs!$B$16*(1+Inputs!$B$11)^(BZ$2-1),0)</f>
        <v>0</v>
      </c>
      <c r="CA92" s="11" t="n">
        <f aca="false">IF(AND(CA$1&gt;=Units!$Q91,MOD(CA$1-Units!$Q91,12)=0),IF(AND(Units!$L91=1,CA$1=Units!$Q91),1,Inputs!$B$15)*Inputs!$B$16*(1+Inputs!$B$11)^(CA$2-1),0)</f>
        <v>0</v>
      </c>
      <c r="CB92" s="11" t="n">
        <f aca="false">IF(AND(CB$1&gt;=Units!$Q91,MOD(CB$1-Units!$Q91,12)=0),IF(AND(Units!$L91=1,CB$1=Units!$Q91),1,Inputs!$B$15)*Inputs!$B$16*(1+Inputs!$B$11)^(CB$2-1),0)</f>
        <v>0</v>
      </c>
      <c r="CC92" s="11" t="n">
        <f aca="false">IF(AND(CC$1&gt;=Units!$Q91,MOD(CC$1-Units!$Q91,12)=0),IF(AND(Units!$L91=1,CC$1=Units!$Q91),1,Inputs!$B$15)*Inputs!$B$16*(1+Inputs!$B$11)^(CC$2-1),0)</f>
        <v>0</v>
      </c>
      <c r="CD92" s="11" t="n">
        <f aca="false">IF(AND(CD$1&gt;=Units!$Q91,MOD(CD$1-Units!$Q91,12)=0),IF(AND(Units!$L91=1,CD$1=Units!$Q91),1,Inputs!$B$15)*Inputs!$B$16*(1+Inputs!$B$11)^(CD$2-1),0)</f>
        <v>0</v>
      </c>
      <c r="CE92" s="11" t="n">
        <f aca="false">IF(AND(CE$1&gt;=Units!$Q91,MOD(CE$1-Units!$Q91,12)=0),IF(AND(Units!$L91=1,CE$1=Units!$Q91),1,Inputs!$B$15)*Inputs!$B$16*(1+Inputs!$B$11)^(CE$2-1),0)</f>
        <v>0</v>
      </c>
      <c r="CF92" s="11" t="n">
        <f aca="false">IF(AND(CF$1&gt;=Units!$Q91,MOD(CF$1-Units!$Q91,12)=0),IF(AND(Units!$L91=1,CF$1=Units!$Q91),1,Inputs!$B$15)*Inputs!$B$16*(1+Inputs!$B$11)^(CF$2-1),0)</f>
        <v>0</v>
      </c>
      <c r="CG92" s="11" t="n">
        <f aca="false">IF(AND(CG$1&gt;=Units!$Q91,MOD(CG$1-Units!$Q91,12)=0),IF(AND(Units!$L91=1,CG$1=Units!$Q91),1,Inputs!$B$15)*Inputs!$B$16*(1+Inputs!$B$11)^(CG$2-1),0)</f>
        <v>0</v>
      </c>
      <c r="CH92" s="11" t="n">
        <f aca="false">IF(AND(CH$1&gt;=Units!$Q91,MOD(CH$1-Units!$Q91,12)=0),IF(AND(Units!$L91=1,CH$1=Units!$Q91),1,Inputs!$B$15)*Inputs!$B$16*(1+Inputs!$B$11)^(CH$2-1),0)</f>
        <v>0</v>
      </c>
      <c r="CI92" s="11" t="n">
        <f aca="false">IF(AND(CI$1&gt;=Units!$Q91,MOD(CI$1-Units!$Q91,12)=0),IF(AND(Units!$L91=1,CI$1=Units!$Q91),1,Inputs!$B$15)*Inputs!$B$16*(1+Inputs!$B$11)^(CI$2-1),0)</f>
        <v>0</v>
      </c>
      <c r="CJ92" s="11" t="n">
        <f aca="false">IF(AND(CJ$1&gt;=Units!$Q91,MOD(CJ$1-Units!$Q91,12)=0),IF(AND(Units!$L91=1,CJ$1=Units!$Q91),1,Inputs!$B$15)*Inputs!$B$16*(1+Inputs!$B$11)^(CJ$2-1),0)</f>
        <v>0</v>
      </c>
      <c r="CK92" s="11" t="n">
        <f aca="false">IF(AND(CK$1&gt;=Units!$Q91,MOD(CK$1-Units!$Q91,12)=0),IF(AND(Units!$L91=1,CK$1=Units!$Q91),1,Inputs!$B$15)*Inputs!$B$16*(1+Inputs!$B$11)^(CK$2-1),0)</f>
        <v>614.936932712435</v>
      </c>
      <c r="CL92" s="11" t="n">
        <f aca="false">IF(AND(CL$1&gt;=Units!$Q91,MOD(CL$1-Units!$Q91,12)=0),IF(AND(Units!$L91=1,CL$1=Units!$Q91),1,Inputs!$B$15)*Inputs!$B$16*(1+Inputs!$B$11)^(CL$2-1),0)</f>
        <v>0</v>
      </c>
      <c r="CM92" s="11" t="n">
        <f aca="false">IF(AND(CM$1&gt;=Units!$Q91,MOD(CM$1-Units!$Q91,12)=0),IF(AND(Units!$L91=1,CM$1=Units!$Q91),1,Inputs!$B$15)*Inputs!$B$16*(1+Inputs!$B$11)^(CM$2-1),0)</f>
        <v>0</v>
      </c>
      <c r="CN92" s="11" t="n">
        <f aca="false">IF(AND(CN$1&gt;=Units!$Q91,MOD(CN$1-Units!$Q91,12)=0),IF(AND(Units!$L91=1,CN$1=Units!$Q91),1,Inputs!$B$15)*Inputs!$B$16*(1+Inputs!$B$11)^(CN$2-1),0)</f>
        <v>0</v>
      </c>
      <c r="CO92" s="11" t="n">
        <f aca="false">IF(AND(CO$1&gt;=Units!$Q91,MOD(CO$1-Units!$Q91,12)=0),IF(AND(Units!$L91=1,CO$1=Units!$Q91),1,Inputs!$B$15)*Inputs!$B$16*(1+Inputs!$B$11)^(CO$2-1),0)</f>
        <v>0</v>
      </c>
      <c r="CP92" s="11" t="n">
        <f aca="false">IF(AND(CP$1&gt;=Units!$Q91,MOD(CP$1-Units!$Q91,12)=0),IF(AND(Units!$L91=1,CP$1=Units!$Q91),1,Inputs!$B$15)*Inputs!$B$16*(1+Inputs!$B$11)^(CP$2-1),0)</f>
        <v>0</v>
      </c>
      <c r="CQ92" s="11" t="n">
        <f aca="false">IF(AND(CQ$1&gt;=Units!$Q91,MOD(CQ$1-Units!$Q91,12)=0),IF(AND(Units!$L91=1,CQ$1=Units!$Q91),1,Inputs!$B$15)*Inputs!$B$16*(1+Inputs!$B$11)^(CQ$2-1),0)</f>
        <v>0</v>
      </c>
      <c r="CR92" s="11" t="n">
        <f aca="false">IF(AND(CR$1&gt;=Units!$Q91,MOD(CR$1-Units!$Q91,12)=0),IF(AND(Units!$L91=1,CR$1=Units!$Q91),1,Inputs!$B$15)*Inputs!$B$16*(1+Inputs!$B$11)^(CR$2-1),0)</f>
        <v>0</v>
      </c>
      <c r="CS92" s="11" t="n">
        <f aca="false">IF(AND(CS$1&gt;=Units!$Q91,MOD(CS$1-Units!$Q91,12)=0),IF(AND(Units!$L91=1,CS$1=Units!$Q91),1,Inputs!$B$15)*Inputs!$B$16*(1+Inputs!$B$11)^(CS$2-1),0)</f>
        <v>0</v>
      </c>
      <c r="CT92" s="11" t="n">
        <f aca="false">IF(AND(CT$1&gt;=Units!$Q91,MOD(CT$1-Units!$Q91,12)=0),IF(AND(Units!$L91=1,CT$1=Units!$Q91),1,Inputs!$B$15)*Inputs!$B$16*(1+Inputs!$B$11)^(CT$2-1),0)</f>
        <v>0</v>
      </c>
      <c r="CU92" s="11" t="n">
        <f aca="false">IF(AND(CU$1&gt;=Units!$Q91,MOD(CU$1-Units!$Q91,12)=0),IF(AND(Units!$L91=1,CU$1=Units!$Q91),1,Inputs!$B$15)*Inputs!$B$16*(1+Inputs!$B$11)^(CU$2-1),0)</f>
        <v>0</v>
      </c>
      <c r="CV92" s="11" t="n">
        <f aca="false">IF(AND(CV$1&gt;=Units!$Q91,MOD(CV$1-Units!$Q91,12)=0),IF(AND(Units!$L91=1,CV$1=Units!$Q91),1,Inputs!$B$15)*Inputs!$B$16*(1+Inputs!$B$11)^(CV$2-1),0)</f>
        <v>0</v>
      </c>
      <c r="CW92" s="11" t="n">
        <f aca="false">IF(AND(CW$1&gt;=Units!$Q91,MOD(CW$1-Units!$Q91,12)=0),IF(AND(Units!$L91=1,CW$1=Units!$Q91),1,Inputs!$B$15)*Inputs!$B$16*(1+Inputs!$B$11)^(CW$2-1),0)</f>
        <v>633.385040693808</v>
      </c>
      <c r="CX92" s="11" t="n">
        <f aca="false">IF(AND(CX$1&gt;=Units!$Q91,MOD(CX$1-Units!$Q91,12)=0),IF(AND(Units!$L91=1,CX$1=Units!$Q91),1,Inputs!$B$15)*Inputs!$B$16*(1+Inputs!$B$11)^(CX$2-1),0)</f>
        <v>0</v>
      </c>
      <c r="CY92" s="11" t="n">
        <f aca="false">IF(AND(CY$1&gt;=Units!$Q91,MOD(CY$1-Units!$Q91,12)=0),IF(AND(Units!$L91=1,CY$1=Units!$Q91),1,Inputs!$B$15)*Inputs!$B$16*(1+Inputs!$B$11)^(CY$2-1),0)</f>
        <v>0</v>
      </c>
      <c r="CZ92" s="11" t="n">
        <f aca="false">IF(AND(CZ$1&gt;=Units!$Q91,MOD(CZ$1-Units!$Q91,12)=0),IF(AND(Units!$L91=1,CZ$1=Units!$Q91),1,Inputs!$B$15)*Inputs!$B$16*(1+Inputs!$B$11)^(CZ$2-1),0)</f>
        <v>0</v>
      </c>
      <c r="DA92" s="11" t="n">
        <f aca="false">IF(AND(DA$1&gt;=Units!$Q91,MOD(DA$1-Units!$Q91,12)=0),IF(AND(Units!$L91=1,DA$1=Units!$Q91),1,Inputs!$B$15)*Inputs!$B$16*(1+Inputs!$B$11)^(DA$2-1),0)</f>
        <v>0</v>
      </c>
      <c r="DB92" s="11" t="n">
        <f aca="false">IF(AND(DB$1&gt;=Units!$Q91,MOD(DB$1-Units!$Q91,12)=0),IF(AND(Units!$L91=1,DB$1=Units!$Q91),1,Inputs!$B$15)*Inputs!$B$16*(1+Inputs!$B$11)^(DB$2-1),0)</f>
        <v>0</v>
      </c>
      <c r="DC92" s="11" t="n">
        <f aca="false">IF(AND(DC$1&gt;=Units!$Q91,MOD(DC$1-Units!$Q91,12)=0),IF(AND(Units!$L91=1,DC$1=Units!$Q91),1,Inputs!$B$15)*Inputs!$B$16*(1+Inputs!$B$11)^(DC$2-1),0)</f>
        <v>0</v>
      </c>
      <c r="DD92" s="11" t="n">
        <f aca="false">IF(AND(DD$1&gt;=Units!$Q91,MOD(DD$1-Units!$Q91,12)=0),IF(AND(Units!$L91=1,DD$1=Units!$Q91),1,Inputs!$B$15)*Inputs!$B$16*(1+Inputs!$B$11)^(DD$2-1),0)</f>
        <v>0</v>
      </c>
      <c r="DE92" s="11" t="n">
        <f aca="false">IF(AND(DE$1&gt;=Units!$Q91,MOD(DE$1-Units!$Q91,12)=0),IF(AND(Units!$L91=1,DE$1=Units!$Q91),1,Inputs!$B$15)*Inputs!$B$16*(1+Inputs!$B$11)^(DE$2-1),0)</f>
        <v>0</v>
      </c>
      <c r="DF92" s="11" t="n">
        <f aca="false">IF(AND(DF$1&gt;=Units!$Q91,MOD(DF$1-Units!$Q91,12)=0),IF(AND(Units!$L91=1,DF$1=Units!$Q91),1,Inputs!$B$15)*Inputs!$B$16*(1+Inputs!$B$11)^(DF$2-1),0)</f>
        <v>0</v>
      </c>
      <c r="DG92" s="11" t="n">
        <f aca="false">IF(AND(DG$1&gt;=Units!$Q91,MOD(DG$1-Units!$Q91,12)=0),IF(AND(Units!$L91=1,DG$1=Units!$Q91),1,Inputs!$B$15)*Inputs!$B$16*(1+Inputs!$B$11)^(DG$2-1),0)</f>
        <v>0</v>
      </c>
      <c r="DH92" s="11" t="n">
        <f aca="false">IF(AND(DH$1&gt;=Units!$Q91,MOD(DH$1-Units!$Q91,12)=0),IF(AND(Units!$L91=1,DH$1=Units!$Q91),1,Inputs!$B$15)*Inputs!$B$16*(1+Inputs!$B$11)^(DH$2-1),0)</f>
        <v>0</v>
      </c>
      <c r="DI92" s="11" t="n">
        <f aca="false">IF(AND(DI$1&gt;=Units!$Q91,MOD(DI$1-Units!$Q91,12)=0),IF(AND(Units!$L91=1,DI$1=Units!$Q91),1,Inputs!$B$15)*Inputs!$B$16*(1+Inputs!$B$11)^(DI$2-1),0)</f>
        <v>652.386591914623</v>
      </c>
      <c r="DJ92" s="11" t="n">
        <f aca="false">IF(AND(DJ$1&gt;=Units!$Q91,MOD(DJ$1-Units!$Q91,12)=0),IF(AND(Units!$L91=1,DJ$1=Units!$Q91),1,Inputs!$B$15)*Inputs!$B$16*(1+Inputs!$B$11)^(DJ$2-1),0)</f>
        <v>0</v>
      </c>
      <c r="DK92" s="11" t="n">
        <f aca="false">IF(AND(DK$1&gt;=Units!$Q91,MOD(DK$1-Units!$Q91,12)=0),IF(AND(Units!$L91=1,DK$1=Units!$Q91),1,Inputs!$B$15)*Inputs!$B$16*(1+Inputs!$B$11)^(DK$2-1),0)</f>
        <v>0</v>
      </c>
      <c r="DL92" s="11" t="n">
        <f aca="false">IF(AND(DL$1&gt;=Units!$Q91,MOD(DL$1-Units!$Q91,12)=0),IF(AND(Units!$L91=1,DL$1=Units!$Q91),1,Inputs!$B$15)*Inputs!$B$16*(1+Inputs!$B$11)^(DL$2-1),0)</f>
        <v>0</v>
      </c>
      <c r="DM92" s="11" t="n">
        <f aca="false">IF(AND(DM$1&gt;=Units!$Q91,MOD(DM$1-Units!$Q91,12)=0),IF(AND(Units!$L91=1,DM$1=Units!$Q91),1,Inputs!$B$15)*Inputs!$B$16*(1+Inputs!$B$11)^(DM$2-1),0)</f>
        <v>0</v>
      </c>
      <c r="DN92" s="11" t="n">
        <f aca="false">IF(AND(DN$1&gt;=Units!$Q91,MOD(DN$1-Units!$Q91,12)=0),IF(AND(Units!$L91=1,DN$1=Units!$Q91),1,Inputs!$B$15)*Inputs!$B$16*(1+Inputs!$B$11)^(DN$2-1),0)</f>
        <v>0</v>
      </c>
      <c r="DO92" s="11" t="n">
        <f aca="false">IF(AND(DO$1&gt;=Units!$Q91,MOD(DO$1-Units!$Q91,12)=0),IF(AND(Units!$L91=1,DO$1=Units!$Q91),1,Inputs!$B$15)*Inputs!$B$16*(1+Inputs!$B$11)^(DO$2-1),0)</f>
        <v>0</v>
      </c>
      <c r="DP92" s="11" t="n">
        <f aca="false">IF(AND(DP$1&gt;=Units!$Q91,MOD(DP$1-Units!$Q91,12)=0),IF(AND(Units!$L91=1,DP$1=Units!$Q91),1,Inputs!$B$15)*Inputs!$B$16*(1+Inputs!$B$11)^(DP$2-1),0)</f>
        <v>0</v>
      </c>
      <c r="DQ92" s="11" t="n">
        <f aca="false">IF(AND(DQ$1&gt;=Units!$Q91,MOD(DQ$1-Units!$Q91,12)=0),IF(AND(Units!$L91=1,DQ$1=Units!$Q91),1,Inputs!$B$15)*Inputs!$B$16*(1+Inputs!$B$11)^(DQ$2-1),0)</f>
        <v>0</v>
      </c>
      <c r="DR92" s="11" t="n">
        <f aca="false">IF(AND(DR$1&gt;=Units!$Q91,MOD(DR$1-Units!$Q91,12)=0),IF(AND(Units!$L91=1,DR$1=Units!$Q91),1,Inputs!$B$15)*Inputs!$B$16*(1+Inputs!$B$11)^(DR$2-1),0)</f>
        <v>0</v>
      </c>
      <c r="DS92" s="11" t="n">
        <f aca="false">IF(AND(DS$1&gt;=Units!$Q91,MOD(DS$1-Units!$Q91,12)=0),IF(AND(Units!$L91=1,DS$1=Units!$Q91),1,Inputs!$B$15)*Inputs!$B$16*(1+Inputs!$B$11)^(DS$2-1),0)</f>
        <v>0</v>
      </c>
      <c r="DT92" s="11" t="n">
        <f aca="false">IF(AND(DT$1&gt;=Units!$Q91,MOD(DT$1-Units!$Q91,12)=0),IF(AND(Units!$L91=1,DT$1=Units!$Q91),1,Inputs!$B$15)*Inputs!$B$16*(1+Inputs!$B$11)^(DT$2-1),0)</f>
        <v>0</v>
      </c>
      <c r="DU92" s="11" t="n">
        <f aca="false">IF(AND(DU$1&gt;=Units!$Q91,MOD(DU$1-Units!$Q91,12)=0),IF(AND(Units!$L91=1,DU$1=Units!$Q91),1,Inputs!$B$15)*Inputs!$B$16*(1+Inputs!$B$11)^(DU$2-1),0)</f>
        <v>671.958189672061</v>
      </c>
      <c r="DV92" s="11" t="n">
        <f aca="false">IF(AND(DV$1&gt;=Units!$Q91,MOD(DV$1-Units!$Q91,12)=0),IF(AND(Units!$L91=1,DV$1=Units!$Q91),1,Inputs!$B$15)*Inputs!$B$16*(1+Inputs!$B$11)^(DV$2-1),0)</f>
        <v>0</v>
      </c>
      <c r="DW92" s="11" t="n">
        <f aca="false">IF(AND(DW$1&gt;=Units!$Q91,MOD(DW$1-Units!$Q91,12)=0),IF(AND(Units!$L91=1,DW$1=Units!$Q91),1,Inputs!$B$15)*Inputs!$B$16*(1+Inputs!$B$11)^(DW$2-1),0)</f>
        <v>0</v>
      </c>
      <c r="DX92" s="11" t="n">
        <f aca="false">IF(AND(DX$1&gt;=Units!$Q91,MOD(DX$1-Units!$Q91,12)=0),IF(AND(Units!$L91=1,DX$1=Units!$Q91),1,Inputs!$B$15)*Inputs!$B$16*(1+Inputs!$B$11)^(DX$2-1),0)</f>
        <v>0</v>
      </c>
      <c r="DY92" s="11" t="n">
        <f aca="false">IF(AND(DY$1&gt;=Units!$Q91,MOD(DY$1-Units!$Q91,12)=0),IF(AND(Units!$L91=1,DY$1=Units!$Q91),1,Inputs!$B$15)*Inputs!$B$16*(1+Inputs!$B$11)^(DY$2-1),0)</f>
        <v>0</v>
      </c>
      <c r="DZ92" s="11" t="n">
        <f aca="false">IF(AND(DZ$1&gt;=Units!$Q91,MOD(DZ$1-Units!$Q91,12)=0),IF(AND(Units!$L91=1,DZ$1=Units!$Q91),1,Inputs!$B$15)*Inputs!$B$16*(1+Inputs!$B$11)^(DZ$2-1),0)</f>
        <v>0</v>
      </c>
      <c r="EA92" s="11" t="n">
        <f aca="false">IF(AND(EA$1&gt;=Units!$Q91,MOD(EA$1-Units!$Q91,12)=0),IF(AND(Units!$L91=1,EA$1=Units!$Q91),1,Inputs!$B$15)*Inputs!$B$16*(1+Inputs!$B$11)^(EA$2-1),0)</f>
        <v>0</v>
      </c>
      <c r="EB92" s="11" t="n">
        <f aca="false">IF(AND(EB$1&gt;=Units!$Q91,MOD(EB$1-Units!$Q91,12)=0),IF(AND(Units!$L91=1,EB$1=Units!$Q91),1,Inputs!$B$15)*Inputs!$B$16*(1+Inputs!$B$11)^(EB$2-1),0)</f>
        <v>0</v>
      </c>
      <c r="EC92" s="11" t="n">
        <f aca="false">IF(AND(EC$1&gt;=Units!$Q91,MOD(EC$1-Units!$Q91,12)=0),IF(AND(Units!$L91=1,EC$1=Units!$Q91),1,Inputs!$B$15)*Inputs!$B$16*(1+Inputs!$B$11)^(EC$2-1),0)</f>
        <v>0</v>
      </c>
      <c r="ED92" s="11" t="n">
        <f aca="false">IF(AND(ED$1&gt;=Units!$Q91,MOD(ED$1-Units!$Q91,12)=0),IF(AND(Units!$L91=1,ED$1=Units!$Q91),1,Inputs!$B$15)*Inputs!$B$16*(1+Inputs!$B$11)^(ED$2-1),0)</f>
        <v>0</v>
      </c>
    </row>
    <row r="93" customFormat="false" ht="15" hidden="false" customHeight="false" outlineLevel="0" collapsed="false">
      <c r="A93" s="22" t="n">
        <f aca="false">Units!A92</f>
        <v>401</v>
      </c>
      <c r="B93" s="23"/>
      <c r="C93" s="11" t="n">
        <f aca="false">IF(AND(C$1&gt;=Units!$Q92,MOD(C$1-Units!$Q92,12)=0),IF(AND(Units!$L92=1,C$1=Units!$Q92),1,Inputs!$B$15)*Inputs!$B$16*(1+Inputs!$B$11)^(C$2-1),0)</f>
        <v>0</v>
      </c>
      <c r="D93" s="11" t="n">
        <f aca="false">IF(AND(D$1&gt;=Units!$Q92,MOD(D$1-Units!$Q92,12)=0),IF(AND(Units!$L92=1,D$1=Units!$Q92),1,Inputs!$B$15)*Inputs!$B$16*(1+Inputs!$B$11)^(D$2-1),0)</f>
        <v>0</v>
      </c>
      <c r="E93" s="11" t="n">
        <f aca="false">IF(AND(E$1&gt;=Units!$Q92,MOD(E$1-Units!$Q92,12)=0),IF(AND(Units!$L92=1,E$1=Units!$Q92),1,Inputs!$B$15)*Inputs!$B$16*(1+Inputs!$B$11)^(E$2-1),0)</f>
        <v>0</v>
      </c>
      <c r="F93" s="11" t="n">
        <f aca="false">IF(AND(F$1&gt;=Units!$Q92,MOD(F$1-Units!$Q92,12)=0),IF(AND(Units!$L92=1,F$1=Units!$Q92),1,Inputs!$B$15)*Inputs!$B$16*(1+Inputs!$B$11)^(F$2-1),0)</f>
        <v>0</v>
      </c>
      <c r="G93" s="11" t="n">
        <f aca="false">IF(AND(G$1&gt;=Units!$Q92,MOD(G$1-Units!$Q92,12)=0),IF(AND(Units!$L92=1,G$1=Units!$Q92),1,Inputs!$B$15)*Inputs!$B$16*(1+Inputs!$B$11)^(G$2-1),0)</f>
        <v>0</v>
      </c>
      <c r="H93" s="11" t="n">
        <f aca="false">IF(AND(H$1&gt;=Units!$Q92,MOD(H$1-Units!$Q92,12)=0),IF(AND(Units!$L92=1,H$1=Units!$Q92),1,Inputs!$B$15)*Inputs!$B$16*(1+Inputs!$B$11)^(H$2-1),0)</f>
        <v>0</v>
      </c>
      <c r="I93" s="11" t="n">
        <f aca="false">IF(AND(I$1&gt;=Units!$Q92,MOD(I$1-Units!$Q92,12)=0),IF(AND(Units!$L92=1,I$1=Units!$Q92),1,Inputs!$B$15)*Inputs!$B$16*(1+Inputs!$B$11)^(I$2-1),0)</f>
        <v>0</v>
      </c>
      <c r="J93" s="11" t="n">
        <f aca="false">IF(AND(J$1&gt;=Units!$Q92,MOD(J$1-Units!$Q92,12)=0),IF(AND(Units!$L92=1,J$1=Units!$Q92),1,Inputs!$B$15)*Inputs!$B$16*(1+Inputs!$B$11)^(J$2-1),0)</f>
        <v>0</v>
      </c>
      <c r="K93" s="11" t="n">
        <f aca="false">IF(AND(K$1&gt;=Units!$Q92,MOD(K$1-Units!$Q92,12)=0),IF(AND(Units!$L92=1,K$1=Units!$Q92),1,Inputs!$B$15)*Inputs!$B$16*(1+Inputs!$B$11)^(K$2-1),0)</f>
        <v>500</v>
      </c>
      <c r="L93" s="11" t="n">
        <f aca="false">IF(AND(L$1&gt;=Units!$Q92,MOD(L$1-Units!$Q92,12)=0),IF(AND(Units!$L92=1,L$1=Units!$Q92),1,Inputs!$B$15)*Inputs!$B$16*(1+Inputs!$B$11)^(L$2-1),0)</f>
        <v>0</v>
      </c>
      <c r="M93" s="11" t="n">
        <f aca="false">IF(AND(M$1&gt;=Units!$Q92,MOD(M$1-Units!$Q92,12)=0),IF(AND(Units!$L92=1,M$1=Units!$Q92),1,Inputs!$B$15)*Inputs!$B$16*(1+Inputs!$B$11)^(M$2-1),0)</f>
        <v>0</v>
      </c>
      <c r="N93" s="11" t="n">
        <f aca="false">IF(AND(N$1&gt;=Units!$Q92,MOD(N$1-Units!$Q92,12)=0),IF(AND(Units!$L92=1,N$1=Units!$Q92),1,Inputs!$B$15)*Inputs!$B$16*(1+Inputs!$B$11)^(N$2-1),0)</f>
        <v>0</v>
      </c>
      <c r="O93" s="11" t="n">
        <f aca="false">IF(AND(O$1&gt;=Units!$Q92,MOD(O$1-Units!$Q92,12)=0),IF(AND(Units!$L92=1,O$1=Units!$Q92),1,Inputs!$B$15)*Inputs!$B$16*(1+Inputs!$B$11)^(O$2-1),0)</f>
        <v>0</v>
      </c>
      <c r="P93" s="11" t="n">
        <f aca="false">IF(AND(P$1&gt;=Units!$Q92,MOD(P$1-Units!$Q92,12)=0),IF(AND(Units!$L92=1,P$1=Units!$Q92),1,Inputs!$B$15)*Inputs!$B$16*(1+Inputs!$B$11)^(P$2-1),0)</f>
        <v>0</v>
      </c>
      <c r="Q93" s="11" t="n">
        <f aca="false">IF(AND(Q$1&gt;=Units!$Q92,MOD(Q$1-Units!$Q92,12)=0),IF(AND(Units!$L92=1,Q$1=Units!$Q92),1,Inputs!$B$15)*Inputs!$B$16*(1+Inputs!$B$11)^(Q$2-1),0)</f>
        <v>0</v>
      </c>
      <c r="R93" s="11" t="n">
        <f aca="false">IF(AND(R$1&gt;=Units!$Q92,MOD(R$1-Units!$Q92,12)=0),IF(AND(Units!$L92=1,R$1=Units!$Q92),1,Inputs!$B$15)*Inputs!$B$16*(1+Inputs!$B$11)^(R$2-1),0)</f>
        <v>0</v>
      </c>
      <c r="S93" s="11" t="n">
        <f aca="false">IF(AND(S$1&gt;=Units!$Q92,MOD(S$1-Units!$Q92,12)=0),IF(AND(Units!$L92=1,S$1=Units!$Q92),1,Inputs!$B$15)*Inputs!$B$16*(1+Inputs!$B$11)^(S$2-1),0)</f>
        <v>0</v>
      </c>
      <c r="T93" s="11" t="n">
        <f aca="false">IF(AND(T$1&gt;=Units!$Q92,MOD(T$1-Units!$Q92,12)=0),IF(AND(Units!$L92=1,T$1=Units!$Q92),1,Inputs!$B$15)*Inputs!$B$16*(1+Inputs!$B$11)^(T$2-1),0)</f>
        <v>0</v>
      </c>
      <c r="U93" s="11" t="n">
        <f aca="false">IF(AND(U$1&gt;=Units!$Q92,MOD(U$1-Units!$Q92,12)=0),IF(AND(Units!$L92=1,U$1=Units!$Q92),1,Inputs!$B$15)*Inputs!$B$16*(1+Inputs!$B$11)^(U$2-1),0)</f>
        <v>0</v>
      </c>
      <c r="V93" s="11" t="n">
        <f aca="false">IF(AND(V$1&gt;=Units!$Q92,MOD(V$1-Units!$Q92,12)=0),IF(AND(Units!$L92=1,V$1=Units!$Q92),1,Inputs!$B$15)*Inputs!$B$16*(1+Inputs!$B$11)^(V$2-1),0)</f>
        <v>0</v>
      </c>
      <c r="W93" s="11" t="n">
        <f aca="false">IF(AND(W$1&gt;=Units!$Q92,MOD(W$1-Units!$Q92,12)=0),IF(AND(Units!$L92=1,W$1=Units!$Q92),1,Inputs!$B$15)*Inputs!$B$16*(1+Inputs!$B$11)^(W$2-1),0)</f>
        <v>515</v>
      </c>
      <c r="X93" s="11" t="n">
        <f aca="false">IF(AND(X$1&gt;=Units!$Q92,MOD(X$1-Units!$Q92,12)=0),IF(AND(Units!$L92=1,X$1=Units!$Q92),1,Inputs!$B$15)*Inputs!$B$16*(1+Inputs!$B$11)^(X$2-1),0)</f>
        <v>0</v>
      </c>
      <c r="Y93" s="11" t="n">
        <f aca="false">IF(AND(Y$1&gt;=Units!$Q92,MOD(Y$1-Units!$Q92,12)=0),IF(AND(Units!$L92=1,Y$1=Units!$Q92),1,Inputs!$B$15)*Inputs!$B$16*(1+Inputs!$B$11)^(Y$2-1),0)</f>
        <v>0</v>
      </c>
      <c r="Z93" s="11" t="n">
        <f aca="false">IF(AND(Z$1&gt;=Units!$Q92,MOD(Z$1-Units!$Q92,12)=0),IF(AND(Units!$L92=1,Z$1=Units!$Q92),1,Inputs!$B$15)*Inputs!$B$16*(1+Inputs!$B$11)^(Z$2-1),0)</f>
        <v>0</v>
      </c>
      <c r="AA93" s="11" t="n">
        <f aca="false">IF(AND(AA$1&gt;=Units!$Q92,MOD(AA$1-Units!$Q92,12)=0),IF(AND(Units!$L92=1,AA$1=Units!$Q92),1,Inputs!$B$15)*Inputs!$B$16*(1+Inputs!$B$11)^(AA$2-1),0)</f>
        <v>0</v>
      </c>
      <c r="AB93" s="11" t="n">
        <f aca="false">IF(AND(AB$1&gt;=Units!$Q92,MOD(AB$1-Units!$Q92,12)=0),IF(AND(Units!$L92=1,AB$1=Units!$Q92),1,Inputs!$B$15)*Inputs!$B$16*(1+Inputs!$B$11)^(AB$2-1),0)</f>
        <v>0</v>
      </c>
      <c r="AC93" s="11" t="n">
        <f aca="false">IF(AND(AC$1&gt;=Units!$Q92,MOD(AC$1-Units!$Q92,12)=0),IF(AND(Units!$L92=1,AC$1=Units!$Q92),1,Inputs!$B$15)*Inputs!$B$16*(1+Inputs!$B$11)^(AC$2-1),0)</f>
        <v>0</v>
      </c>
      <c r="AD93" s="11" t="n">
        <f aca="false">IF(AND(AD$1&gt;=Units!$Q92,MOD(AD$1-Units!$Q92,12)=0),IF(AND(Units!$L92=1,AD$1=Units!$Q92),1,Inputs!$B$15)*Inputs!$B$16*(1+Inputs!$B$11)^(AD$2-1),0)</f>
        <v>0</v>
      </c>
      <c r="AE93" s="11" t="n">
        <f aca="false">IF(AND(AE$1&gt;=Units!$Q92,MOD(AE$1-Units!$Q92,12)=0),IF(AND(Units!$L92=1,AE$1=Units!$Q92),1,Inputs!$B$15)*Inputs!$B$16*(1+Inputs!$B$11)^(AE$2-1),0)</f>
        <v>0</v>
      </c>
      <c r="AF93" s="11" t="n">
        <f aca="false">IF(AND(AF$1&gt;=Units!$Q92,MOD(AF$1-Units!$Q92,12)=0),IF(AND(Units!$L92=1,AF$1=Units!$Q92),1,Inputs!$B$15)*Inputs!$B$16*(1+Inputs!$B$11)^(AF$2-1),0)</f>
        <v>0</v>
      </c>
      <c r="AG93" s="11" t="n">
        <f aca="false">IF(AND(AG$1&gt;=Units!$Q92,MOD(AG$1-Units!$Q92,12)=0),IF(AND(Units!$L92=1,AG$1=Units!$Q92),1,Inputs!$B$15)*Inputs!$B$16*(1+Inputs!$B$11)^(AG$2-1),0)</f>
        <v>0</v>
      </c>
      <c r="AH93" s="11" t="n">
        <f aca="false">IF(AND(AH$1&gt;=Units!$Q92,MOD(AH$1-Units!$Q92,12)=0),IF(AND(Units!$L92=1,AH$1=Units!$Q92),1,Inputs!$B$15)*Inputs!$B$16*(1+Inputs!$B$11)^(AH$2-1),0)</f>
        <v>0</v>
      </c>
      <c r="AI93" s="11" t="n">
        <f aca="false">IF(AND(AI$1&gt;=Units!$Q92,MOD(AI$1-Units!$Q92,12)=0),IF(AND(Units!$L92=1,AI$1=Units!$Q92),1,Inputs!$B$15)*Inputs!$B$16*(1+Inputs!$B$11)^(AI$2-1),0)</f>
        <v>530.45</v>
      </c>
      <c r="AJ93" s="11" t="n">
        <f aca="false">IF(AND(AJ$1&gt;=Units!$Q92,MOD(AJ$1-Units!$Q92,12)=0),IF(AND(Units!$L92=1,AJ$1=Units!$Q92),1,Inputs!$B$15)*Inputs!$B$16*(1+Inputs!$B$11)^(AJ$2-1),0)</f>
        <v>0</v>
      </c>
      <c r="AK93" s="11" t="n">
        <f aca="false">IF(AND(AK$1&gt;=Units!$Q92,MOD(AK$1-Units!$Q92,12)=0),IF(AND(Units!$L92=1,AK$1=Units!$Q92),1,Inputs!$B$15)*Inputs!$B$16*(1+Inputs!$B$11)^(AK$2-1),0)</f>
        <v>0</v>
      </c>
      <c r="AL93" s="11" t="n">
        <f aca="false">IF(AND(AL$1&gt;=Units!$Q92,MOD(AL$1-Units!$Q92,12)=0),IF(AND(Units!$L92=1,AL$1=Units!$Q92),1,Inputs!$B$15)*Inputs!$B$16*(1+Inputs!$B$11)^(AL$2-1),0)</f>
        <v>0</v>
      </c>
      <c r="AM93" s="11" t="n">
        <f aca="false">IF(AND(AM$1&gt;=Units!$Q92,MOD(AM$1-Units!$Q92,12)=0),IF(AND(Units!$L92=1,AM$1=Units!$Q92),1,Inputs!$B$15)*Inputs!$B$16*(1+Inputs!$B$11)^(AM$2-1),0)</f>
        <v>0</v>
      </c>
      <c r="AN93" s="11" t="n">
        <f aca="false">IF(AND(AN$1&gt;=Units!$Q92,MOD(AN$1-Units!$Q92,12)=0),IF(AND(Units!$L92=1,AN$1=Units!$Q92),1,Inputs!$B$15)*Inputs!$B$16*(1+Inputs!$B$11)^(AN$2-1),0)</f>
        <v>0</v>
      </c>
      <c r="AO93" s="11" t="n">
        <f aca="false">IF(AND(AO$1&gt;=Units!$Q92,MOD(AO$1-Units!$Q92,12)=0),IF(AND(Units!$L92=1,AO$1=Units!$Q92),1,Inputs!$B$15)*Inputs!$B$16*(1+Inputs!$B$11)^(AO$2-1),0)</f>
        <v>0</v>
      </c>
      <c r="AP93" s="11" t="n">
        <f aca="false">IF(AND(AP$1&gt;=Units!$Q92,MOD(AP$1-Units!$Q92,12)=0),IF(AND(Units!$L92=1,AP$1=Units!$Q92),1,Inputs!$B$15)*Inputs!$B$16*(1+Inputs!$B$11)^(AP$2-1),0)</f>
        <v>0</v>
      </c>
      <c r="AQ93" s="11" t="n">
        <f aca="false">IF(AND(AQ$1&gt;=Units!$Q92,MOD(AQ$1-Units!$Q92,12)=0),IF(AND(Units!$L92=1,AQ$1=Units!$Q92),1,Inputs!$B$15)*Inputs!$B$16*(1+Inputs!$B$11)^(AQ$2-1),0)</f>
        <v>0</v>
      </c>
      <c r="AR93" s="11" t="n">
        <f aca="false">IF(AND(AR$1&gt;=Units!$Q92,MOD(AR$1-Units!$Q92,12)=0),IF(AND(Units!$L92=1,AR$1=Units!$Q92),1,Inputs!$B$15)*Inputs!$B$16*(1+Inputs!$B$11)^(AR$2-1),0)</f>
        <v>0</v>
      </c>
      <c r="AS93" s="11" t="n">
        <f aca="false">IF(AND(AS$1&gt;=Units!$Q92,MOD(AS$1-Units!$Q92,12)=0),IF(AND(Units!$L92=1,AS$1=Units!$Q92),1,Inputs!$B$15)*Inputs!$B$16*(1+Inputs!$B$11)^(AS$2-1),0)</f>
        <v>0</v>
      </c>
      <c r="AT93" s="11" t="n">
        <f aca="false">IF(AND(AT$1&gt;=Units!$Q92,MOD(AT$1-Units!$Q92,12)=0),IF(AND(Units!$L92=1,AT$1=Units!$Q92),1,Inputs!$B$15)*Inputs!$B$16*(1+Inputs!$B$11)^(AT$2-1),0)</f>
        <v>0</v>
      </c>
      <c r="AU93" s="11" t="n">
        <f aca="false">IF(AND(AU$1&gt;=Units!$Q92,MOD(AU$1-Units!$Q92,12)=0),IF(AND(Units!$L92=1,AU$1=Units!$Q92),1,Inputs!$B$15)*Inputs!$B$16*(1+Inputs!$B$11)^(AU$2-1),0)</f>
        <v>546.3635</v>
      </c>
      <c r="AV93" s="11" t="n">
        <f aca="false">IF(AND(AV$1&gt;=Units!$Q92,MOD(AV$1-Units!$Q92,12)=0),IF(AND(Units!$L92=1,AV$1=Units!$Q92),1,Inputs!$B$15)*Inputs!$B$16*(1+Inputs!$B$11)^(AV$2-1),0)</f>
        <v>0</v>
      </c>
      <c r="AW93" s="11" t="n">
        <f aca="false">IF(AND(AW$1&gt;=Units!$Q92,MOD(AW$1-Units!$Q92,12)=0),IF(AND(Units!$L92=1,AW$1=Units!$Q92),1,Inputs!$B$15)*Inputs!$B$16*(1+Inputs!$B$11)^(AW$2-1),0)</f>
        <v>0</v>
      </c>
      <c r="AX93" s="11" t="n">
        <f aca="false">IF(AND(AX$1&gt;=Units!$Q92,MOD(AX$1-Units!$Q92,12)=0),IF(AND(Units!$L92=1,AX$1=Units!$Q92),1,Inputs!$B$15)*Inputs!$B$16*(1+Inputs!$B$11)^(AX$2-1),0)</f>
        <v>0</v>
      </c>
      <c r="AY93" s="11" t="n">
        <f aca="false">IF(AND(AY$1&gt;=Units!$Q92,MOD(AY$1-Units!$Q92,12)=0),IF(AND(Units!$L92=1,AY$1=Units!$Q92),1,Inputs!$B$15)*Inputs!$B$16*(1+Inputs!$B$11)^(AY$2-1),0)</f>
        <v>0</v>
      </c>
      <c r="AZ93" s="11" t="n">
        <f aca="false">IF(AND(AZ$1&gt;=Units!$Q92,MOD(AZ$1-Units!$Q92,12)=0),IF(AND(Units!$L92=1,AZ$1=Units!$Q92),1,Inputs!$B$15)*Inputs!$B$16*(1+Inputs!$B$11)^(AZ$2-1),0)</f>
        <v>0</v>
      </c>
      <c r="BA93" s="11" t="n">
        <f aca="false">IF(AND(BA$1&gt;=Units!$Q92,MOD(BA$1-Units!$Q92,12)=0),IF(AND(Units!$L92=1,BA$1=Units!$Q92),1,Inputs!$B$15)*Inputs!$B$16*(1+Inputs!$B$11)^(BA$2-1),0)</f>
        <v>0</v>
      </c>
      <c r="BB93" s="11" t="n">
        <f aca="false">IF(AND(BB$1&gt;=Units!$Q92,MOD(BB$1-Units!$Q92,12)=0),IF(AND(Units!$L92=1,BB$1=Units!$Q92),1,Inputs!$B$15)*Inputs!$B$16*(1+Inputs!$B$11)^(BB$2-1),0)</f>
        <v>0</v>
      </c>
      <c r="BC93" s="11" t="n">
        <f aca="false">IF(AND(BC$1&gt;=Units!$Q92,MOD(BC$1-Units!$Q92,12)=0),IF(AND(Units!$L92=1,BC$1=Units!$Q92),1,Inputs!$B$15)*Inputs!$B$16*(1+Inputs!$B$11)^(BC$2-1),0)</f>
        <v>0</v>
      </c>
      <c r="BD93" s="11" t="n">
        <f aca="false">IF(AND(BD$1&gt;=Units!$Q92,MOD(BD$1-Units!$Q92,12)=0),IF(AND(Units!$L92=1,BD$1=Units!$Q92),1,Inputs!$B$15)*Inputs!$B$16*(1+Inputs!$B$11)^(BD$2-1),0)</f>
        <v>0</v>
      </c>
      <c r="BE93" s="11" t="n">
        <f aca="false">IF(AND(BE$1&gt;=Units!$Q92,MOD(BE$1-Units!$Q92,12)=0),IF(AND(Units!$L92=1,BE$1=Units!$Q92),1,Inputs!$B$15)*Inputs!$B$16*(1+Inputs!$B$11)^(BE$2-1),0)</f>
        <v>0</v>
      </c>
      <c r="BF93" s="11" t="n">
        <f aca="false">IF(AND(BF$1&gt;=Units!$Q92,MOD(BF$1-Units!$Q92,12)=0),IF(AND(Units!$L92=1,BF$1=Units!$Q92),1,Inputs!$B$15)*Inputs!$B$16*(1+Inputs!$B$11)^(BF$2-1),0)</f>
        <v>0</v>
      </c>
      <c r="BG93" s="11" t="n">
        <f aca="false">IF(AND(BG$1&gt;=Units!$Q92,MOD(BG$1-Units!$Q92,12)=0),IF(AND(Units!$L92=1,BG$1=Units!$Q92),1,Inputs!$B$15)*Inputs!$B$16*(1+Inputs!$B$11)^(BG$2-1),0)</f>
        <v>562.754405</v>
      </c>
      <c r="BH93" s="11" t="n">
        <f aca="false">IF(AND(BH$1&gt;=Units!$Q92,MOD(BH$1-Units!$Q92,12)=0),IF(AND(Units!$L92=1,BH$1=Units!$Q92),1,Inputs!$B$15)*Inputs!$B$16*(1+Inputs!$B$11)^(BH$2-1),0)</f>
        <v>0</v>
      </c>
      <c r="BI93" s="11" t="n">
        <f aca="false">IF(AND(BI$1&gt;=Units!$Q92,MOD(BI$1-Units!$Q92,12)=0),IF(AND(Units!$L92=1,BI$1=Units!$Q92),1,Inputs!$B$15)*Inputs!$B$16*(1+Inputs!$B$11)^(BI$2-1),0)</f>
        <v>0</v>
      </c>
      <c r="BJ93" s="11" t="n">
        <f aca="false">IF(AND(BJ$1&gt;=Units!$Q92,MOD(BJ$1-Units!$Q92,12)=0),IF(AND(Units!$L92=1,BJ$1=Units!$Q92),1,Inputs!$B$15)*Inputs!$B$16*(1+Inputs!$B$11)^(BJ$2-1),0)</f>
        <v>0</v>
      </c>
      <c r="BK93" s="11" t="n">
        <f aca="false">IF(AND(BK$1&gt;=Units!$Q92,MOD(BK$1-Units!$Q92,12)=0),IF(AND(Units!$L92=1,BK$1=Units!$Q92),1,Inputs!$B$15)*Inputs!$B$16*(1+Inputs!$B$11)^(BK$2-1),0)</f>
        <v>0</v>
      </c>
      <c r="BL93" s="11" t="n">
        <f aca="false">IF(AND(BL$1&gt;=Units!$Q92,MOD(BL$1-Units!$Q92,12)=0),IF(AND(Units!$L92=1,BL$1=Units!$Q92),1,Inputs!$B$15)*Inputs!$B$16*(1+Inputs!$B$11)^(BL$2-1),0)</f>
        <v>0</v>
      </c>
      <c r="BM93" s="11" t="n">
        <f aca="false">IF(AND(BM$1&gt;=Units!$Q92,MOD(BM$1-Units!$Q92,12)=0),IF(AND(Units!$L92=1,BM$1=Units!$Q92),1,Inputs!$B$15)*Inputs!$B$16*(1+Inputs!$B$11)^(BM$2-1),0)</f>
        <v>0</v>
      </c>
      <c r="BN93" s="11" t="n">
        <f aca="false">IF(AND(BN$1&gt;=Units!$Q92,MOD(BN$1-Units!$Q92,12)=0),IF(AND(Units!$L92=1,BN$1=Units!$Q92),1,Inputs!$B$15)*Inputs!$B$16*(1+Inputs!$B$11)^(BN$2-1),0)</f>
        <v>0</v>
      </c>
      <c r="BO93" s="11" t="n">
        <f aca="false">IF(AND(BO$1&gt;=Units!$Q92,MOD(BO$1-Units!$Q92,12)=0),IF(AND(Units!$L92=1,BO$1=Units!$Q92),1,Inputs!$B$15)*Inputs!$B$16*(1+Inputs!$B$11)^(BO$2-1),0)</f>
        <v>0</v>
      </c>
      <c r="BP93" s="11" t="n">
        <f aca="false">IF(AND(BP$1&gt;=Units!$Q92,MOD(BP$1-Units!$Q92,12)=0),IF(AND(Units!$L92=1,BP$1=Units!$Q92),1,Inputs!$B$15)*Inputs!$B$16*(1+Inputs!$B$11)^(BP$2-1),0)</f>
        <v>0</v>
      </c>
      <c r="BQ93" s="11" t="n">
        <f aca="false">IF(AND(BQ$1&gt;=Units!$Q92,MOD(BQ$1-Units!$Q92,12)=0),IF(AND(Units!$L92=1,BQ$1=Units!$Q92),1,Inputs!$B$15)*Inputs!$B$16*(1+Inputs!$B$11)^(BQ$2-1),0)</f>
        <v>0</v>
      </c>
      <c r="BR93" s="11" t="n">
        <f aca="false">IF(AND(BR$1&gt;=Units!$Q92,MOD(BR$1-Units!$Q92,12)=0),IF(AND(Units!$L92=1,BR$1=Units!$Q92),1,Inputs!$B$15)*Inputs!$B$16*(1+Inputs!$B$11)^(BR$2-1),0)</f>
        <v>0</v>
      </c>
      <c r="BS93" s="11" t="n">
        <f aca="false">IF(AND(BS$1&gt;=Units!$Q92,MOD(BS$1-Units!$Q92,12)=0),IF(AND(Units!$L92=1,BS$1=Units!$Q92),1,Inputs!$B$15)*Inputs!$B$16*(1+Inputs!$B$11)^(BS$2-1),0)</f>
        <v>579.63703715</v>
      </c>
      <c r="BT93" s="11" t="n">
        <f aca="false">IF(AND(BT$1&gt;=Units!$Q92,MOD(BT$1-Units!$Q92,12)=0),IF(AND(Units!$L92=1,BT$1=Units!$Q92),1,Inputs!$B$15)*Inputs!$B$16*(1+Inputs!$B$11)^(BT$2-1),0)</f>
        <v>0</v>
      </c>
      <c r="BU93" s="11" t="n">
        <f aca="false">IF(AND(BU$1&gt;=Units!$Q92,MOD(BU$1-Units!$Q92,12)=0),IF(AND(Units!$L92=1,BU$1=Units!$Q92),1,Inputs!$B$15)*Inputs!$B$16*(1+Inputs!$B$11)^(BU$2-1),0)</f>
        <v>0</v>
      </c>
      <c r="BV93" s="11" t="n">
        <f aca="false">IF(AND(BV$1&gt;=Units!$Q92,MOD(BV$1-Units!$Q92,12)=0),IF(AND(Units!$L92=1,BV$1=Units!$Q92),1,Inputs!$B$15)*Inputs!$B$16*(1+Inputs!$B$11)^(BV$2-1),0)</f>
        <v>0</v>
      </c>
      <c r="BW93" s="11" t="n">
        <f aca="false">IF(AND(BW$1&gt;=Units!$Q92,MOD(BW$1-Units!$Q92,12)=0),IF(AND(Units!$L92=1,BW$1=Units!$Q92),1,Inputs!$B$15)*Inputs!$B$16*(1+Inputs!$B$11)^(BW$2-1),0)</f>
        <v>0</v>
      </c>
      <c r="BX93" s="11" t="n">
        <f aca="false">IF(AND(BX$1&gt;=Units!$Q92,MOD(BX$1-Units!$Q92,12)=0),IF(AND(Units!$L92=1,BX$1=Units!$Q92),1,Inputs!$B$15)*Inputs!$B$16*(1+Inputs!$B$11)^(BX$2-1),0)</f>
        <v>0</v>
      </c>
      <c r="BY93" s="11" t="n">
        <f aca="false">IF(AND(BY$1&gt;=Units!$Q92,MOD(BY$1-Units!$Q92,12)=0),IF(AND(Units!$L92=1,BY$1=Units!$Q92),1,Inputs!$B$15)*Inputs!$B$16*(1+Inputs!$B$11)^(BY$2-1),0)</f>
        <v>0</v>
      </c>
      <c r="BZ93" s="11" t="n">
        <f aca="false">IF(AND(BZ$1&gt;=Units!$Q92,MOD(BZ$1-Units!$Q92,12)=0),IF(AND(Units!$L92=1,BZ$1=Units!$Q92),1,Inputs!$B$15)*Inputs!$B$16*(1+Inputs!$B$11)^(BZ$2-1),0)</f>
        <v>0</v>
      </c>
      <c r="CA93" s="11" t="n">
        <f aca="false">IF(AND(CA$1&gt;=Units!$Q92,MOD(CA$1-Units!$Q92,12)=0),IF(AND(Units!$L92=1,CA$1=Units!$Q92),1,Inputs!$B$15)*Inputs!$B$16*(1+Inputs!$B$11)^(CA$2-1),0)</f>
        <v>0</v>
      </c>
      <c r="CB93" s="11" t="n">
        <f aca="false">IF(AND(CB$1&gt;=Units!$Q92,MOD(CB$1-Units!$Q92,12)=0),IF(AND(Units!$L92=1,CB$1=Units!$Q92),1,Inputs!$B$15)*Inputs!$B$16*(1+Inputs!$B$11)^(CB$2-1),0)</f>
        <v>0</v>
      </c>
      <c r="CC93" s="11" t="n">
        <f aca="false">IF(AND(CC$1&gt;=Units!$Q92,MOD(CC$1-Units!$Q92,12)=0),IF(AND(Units!$L92=1,CC$1=Units!$Q92),1,Inputs!$B$15)*Inputs!$B$16*(1+Inputs!$B$11)^(CC$2-1),0)</f>
        <v>0</v>
      </c>
      <c r="CD93" s="11" t="n">
        <f aca="false">IF(AND(CD$1&gt;=Units!$Q92,MOD(CD$1-Units!$Q92,12)=0),IF(AND(Units!$L92=1,CD$1=Units!$Q92),1,Inputs!$B$15)*Inputs!$B$16*(1+Inputs!$B$11)^(CD$2-1),0)</f>
        <v>0</v>
      </c>
      <c r="CE93" s="11" t="n">
        <f aca="false">IF(AND(CE$1&gt;=Units!$Q92,MOD(CE$1-Units!$Q92,12)=0),IF(AND(Units!$L92=1,CE$1=Units!$Q92),1,Inputs!$B$15)*Inputs!$B$16*(1+Inputs!$B$11)^(CE$2-1),0)</f>
        <v>597.0261482645</v>
      </c>
      <c r="CF93" s="11" t="n">
        <f aca="false">IF(AND(CF$1&gt;=Units!$Q92,MOD(CF$1-Units!$Q92,12)=0),IF(AND(Units!$L92=1,CF$1=Units!$Q92),1,Inputs!$B$15)*Inputs!$B$16*(1+Inputs!$B$11)^(CF$2-1),0)</f>
        <v>0</v>
      </c>
      <c r="CG93" s="11" t="n">
        <f aca="false">IF(AND(CG$1&gt;=Units!$Q92,MOD(CG$1-Units!$Q92,12)=0),IF(AND(Units!$L92=1,CG$1=Units!$Q92),1,Inputs!$B$15)*Inputs!$B$16*(1+Inputs!$B$11)^(CG$2-1),0)</f>
        <v>0</v>
      </c>
      <c r="CH93" s="11" t="n">
        <f aca="false">IF(AND(CH$1&gt;=Units!$Q92,MOD(CH$1-Units!$Q92,12)=0),IF(AND(Units!$L92=1,CH$1=Units!$Q92),1,Inputs!$B$15)*Inputs!$B$16*(1+Inputs!$B$11)^(CH$2-1),0)</f>
        <v>0</v>
      </c>
      <c r="CI93" s="11" t="n">
        <f aca="false">IF(AND(CI$1&gt;=Units!$Q92,MOD(CI$1-Units!$Q92,12)=0),IF(AND(Units!$L92=1,CI$1=Units!$Q92),1,Inputs!$B$15)*Inputs!$B$16*(1+Inputs!$B$11)^(CI$2-1),0)</f>
        <v>0</v>
      </c>
      <c r="CJ93" s="11" t="n">
        <f aca="false">IF(AND(CJ$1&gt;=Units!$Q92,MOD(CJ$1-Units!$Q92,12)=0),IF(AND(Units!$L92=1,CJ$1=Units!$Q92),1,Inputs!$B$15)*Inputs!$B$16*(1+Inputs!$B$11)^(CJ$2-1),0)</f>
        <v>0</v>
      </c>
      <c r="CK93" s="11" t="n">
        <f aca="false">IF(AND(CK$1&gt;=Units!$Q92,MOD(CK$1-Units!$Q92,12)=0),IF(AND(Units!$L92=1,CK$1=Units!$Q92),1,Inputs!$B$15)*Inputs!$B$16*(1+Inputs!$B$11)^(CK$2-1),0)</f>
        <v>0</v>
      </c>
      <c r="CL93" s="11" t="n">
        <f aca="false">IF(AND(CL$1&gt;=Units!$Q92,MOD(CL$1-Units!$Q92,12)=0),IF(AND(Units!$L92=1,CL$1=Units!$Q92),1,Inputs!$B$15)*Inputs!$B$16*(1+Inputs!$B$11)^(CL$2-1),0)</f>
        <v>0</v>
      </c>
      <c r="CM93" s="11" t="n">
        <f aca="false">IF(AND(CM$1&gt;=Units!$Q92,MOD(CM$1-Units!$Q92,12)=0),IF(AND(Units!$L92=1,CM$1=Units!$Q92),1,Inputs!$B$15)*Inputs!$B$16*(1+Inputs!$B$11)^(CM$2-1),0)</f>
        <v>0</v>
      </c>
      <c r="CN93" s="11" t="n">
        <f aca="false">IF(AND(CN$1&gt;=Units!$Q92,MOD(CN$1-Units!$Q92,12)=0),IF(AND(Units!$L92=1,CN$1=Units!$Q92),1,Inputs!$B$15)*Inputs!$B$16*(1+Inputs!$B$11)^(CN$2-1),0)</f>
        <v>0</v>
      </c>
      <c r="CO93" s="11" t="n">
        <f aca="false">IF(AND(CO$1&gt;=Units!$Q92,MOD(CO$1-Units!$Q92,12)=0),IF(AND(Units!$L92=1,CO$1=Units!$Q92),1,Inputs!$B$15)*Inputs!$B$16*(1+Inputs!$B$11)^(CO$2-1),0)</f>
        <v>0</v>
      </c>
      <c r="CP93" s="11" t="n">
        <f aca="false">IF(AND(CP$1&gt;=Units!$Q92,MOD(CP$1-Units!$Q92,12)=0),IF(AND(Units!$L92=1,CP$1=Units!$Q92),1,Inputs!$B$15)*Inputs!$B$16*(1+Inputs!$B$11)^(CP$2-1),0)</f>
        <v>0</v>
      </c>
      <c r="CQ93" s="11" t="n">
        <f aca="false">IF(AND(CQ$1&gt;=Units!$Q92,MOD(CQ$1-Units!$Q92,12)=0),IF(AND(Units!$L92=1,CQ$1=Units!$Q92),1,Inputs!$B$15)*Inputs!$B$16*(1+Inputs!$B$11)^(CQ$2-1),0)</f>
        <v>614.936932712435</v>
      </c>
      <c r="CR93" s="11" t="n">
        <f aca="false">IF(AND(CR$1&gt;=Units!$Q92,MOD(CR$1-Units!$Q92,12)=0),IF(AND(Units!$L92=1,CR$1=Units!$Q92),1,Inputs!$B$15)*Inputs!$B$16*(1+Inputs!$B$11)^(CR$2-1),0)</f>
        <v>0</v>
      </c>
      <c r="CS93" s="11" t="n">
        <f aca="false">IF(AND(CS$1&gt;=Units!$Q92,MOD(CS$1-Units!$Q92,12)=0),IF(AND(Units!$L92=1,CS$1=Units!$Q92),1,Inputs!$B$15)*Inputs!$B$16*(1+Inputs!$B$11)^(CS$2-1),0)</f>
        <v>0</v>
      </c>
      <c r="CT93" s="11" t="n">
        <f aca="false">IF(AND(CT$1&gt;=Units!$Q92,MOD(CT$1-Units!$Q92,12)=0),IF(AND(Units!$L92=1,CT$1=Units!$Q92),1,Inputs!$B$15)*Inputs!$B$16*(1+Inputs!$B$11)^(CT$2-1),0)</f>
        <v>0</v>
      </c>
      <c r="CU93" s="11" t="n">
        <f aca="false">IF(AND(CU$1&gt;=Units!$Q92,MOD(CU$1-Units!$Q92,12)=0),IF(AND(Units!$L92=1,CU$1=Units!$Q92),1,Inputs!$B$15)*Inputs!$B$16*(1+Inputs!$B$11)^(CU$2-1),0)</f>
        <v>0</v>
      </c>
      <c r="CV93" s="11" t="n">
        <f aca="false">IF(AND(CV$1&gt;=Units!$Q92,MOD(CV$1-Units!$Q92,12)=0),IF(AND(Units!$L92=1,CV$1=Units!$Q92),1,Inputs!$B$15)*Inputs!$B$16*(1+Inputs!$B$11)^(CV$2-1),0)</f>
        <v>0</v>
      </c>
      <c r="CW93" s="11" t="n">
        <f aca="false">IF(AND(CW$1&gt;=Units!$Q92,MOD(CW$1-Units!$Q92,12)=0),IF(AND(Units!$L92=1,CW$1=Units!$Q92),1,Inputs!$B$15)*Inputs!$B$16*(1+Inputs!$B$11)^(CW$2-1),0)</f>
        <v>0</v>
      </c>
      <c r="CX93" s="11" t="n">
        <f aca="false">IF(AND(CX$1&gt;=Units!$Q92,MOD(CX$1-Units!$Q92,12)=0),IF(AND(Units!$L92=1,CX$1=Units!$Q92),1,Inputs!$B$15)*Inputs!$B$16*(1+Inputs!$B$11)^(CX$2-1),0)</f>
        <v>0</v>
      </c>
      <c r="CY93" s="11" t="n">
        <f aca="false">IF(AND(CY$1&gt;=Units!$Q92,MOD(CY$1-Units!$Q92,12)=0),IF(AND(Units!$L92=1,CY$1=Units!$Q92),1,Inputs!$B$15)*Inputs!$B$16*(1+Inputs!$B$11)^(CY$2-1),0)</f>
        <v>0</v>
      </c>
      <c r="CZ93" s="11" t="n">
        <f aca="false">IF(AND(CZ$1&gt;=Units!$Q92,MOD(CZ$1-Units!$Q92,12)=0),IF(AND(Units!$L92=1,CZ$1=Units!$Q92),1,Inputs!$B$15)*Inputs!$B$16*(1+Inputs!$B$11)^(CZ$2-1),0)</f>
        <v>0</v>
      </c>
      <c r="DA93" s="11" t="n">
        <f aca="false">IF(AND(DA$1&gt;=Units!$Q92,MOD(DA$1-Units!$Q92,12)=0),IF(AND(Units!$L92=1,DA$1=Units!$Q92),1,Inputs!$B$15)*Inputs!$B$16*(1+Inputs!$B$11)^(DA$2-1),0)</f>
        <v>0</v>
      </c>
      <c r="DB93" s="11" t="n">
        <f aca="false">IF(AND(DB$1&gt;=Units!$Q92,MOD(DB$1-Units!$Q92,12)=0),IF(AND(Units!$L92=1,DB$1=Units!$Q92),1,Inputs!$B$15)*Inputs!$B$16*(1+Inputs!$B$11)^(DB$2-1),0)</f>
        <v>0</v>
      </c>
      <c r="DC93" s="11" t="n">
        <f aca="false">IF(AND(DC$1&gt;=Units!$Q92,MOD(DC$1-Units!$Q92,12)=0),IF(AND(Units!$L92=1,DC$1=Units!$Q92),1,Inputs!$B$15)*Inputs!$B$16*(1+Inputs!$B$11)^(DC$2-1),0)</f>
        <v>633.385040693808</v>
      </c>
      <c r="DD93" s="11" t="n">
        <f aca="false">IF(AND(DD$1&gt;=Units!$Q92,MOD(DD$1-Units!$Q92,12)=0),IF(AND(Units!$L92=1,DD$1=Units!$Q92),1,Inputs!$B$15)*Inputs!$B$16*(1+Inputs!$B$11)^(DD$2-1),0)</f>
        <v>0</v>
      </c>
      <c r="DE93" s="11" t="n">
        <f aca="false">IF(AND(DE$1&gt;=Units!$Q92,MOD(DE$1-Units!$Q92,12)=0),IF(AND(Units!$L92=1,DE$1=Units!$Q92),1,Inputs!$B$15)*Inputs!$B$16*(1+Inputs!$B$11)^(DE$2-1),0)</f>
        <v>0</v>
      </c>
      <c r="DF93" s="11" t="n">
        <f aca="false">IF(AND(DF$1&gt;=Units!$Q92,MOD(DF$1-Units!$Q92,12)=0),IF(AND(Units!$L92=1,DF$1=Units!$Q92),1,Inputs!$B$15)*Inputs!$B$16*(1+Inputs!$B$11)^(DF$2-1),0)</f>
        <v>0</v>
      </c>
      <c r="DG93" s="11" t="n">
        <f aca="false">IF(AND(DG$1&gt;=Units!$Q92,MOD(DG$1-Units!$Q92,12)=0),IF(AND(Units!$L92=1,DG$1=Units!$Q92),1,Inputs!$B$15)*Inputs!$B$16*(1+Inputs!$B$11)^(DG$2-1),0)</f>
        <v>0</v>
      </c>
      <c r="DH93" s="11" t="n">
        <f aca="false">IF(AND(DH$1&gt;=Units!$Q92,MOD(DH$1-Units!$Q92,12)=0),IF(AND(Units!$L92=1,DH$1=Units!$Q92),1,Inputs!$B$15)*Inputs!$B$16*(1+Inputs!$B$11)^(DH$2-1),0)</f>
        <v>0</v>
      </c>
      <c r="DI93" s="11" t="n">
        <f aca="false">IF(AND(DI$1&gt;=Units!$Q92,MOD(DI$1-Units!$Q92,12)=0),IF(AND(Units!$L92=1,DI$1=Units!$Q92),1,Inputs!$B$15)*Inputs!$B$16*(1+Inputs!$B$11)^(DI$2-1),0)</f>
        <v>0</v>
      </c>
      <c r="DJ93" s="11" t="n">
        <f aca="false">IF(AND(DJ$1&gt;=Units!$Q92,MOD(DJ$1-Units!$Q92,12)=0),IF(AND(Units!$L92=1,DJ$1=Units!$Q92),1,Inputs!$B$15)*Inputs!$B$16*(1+Inputs!$B$11)^(DJ$2-1),0)</f>
        <v>0</v>
      </c>
      <c r="DK93" s="11" t="n">
        <f aca="false">IF(AND(DK$1&gt;=Units!$Q92,MOD(DK$1-Units!$Q92,12)=0),IF(AND(Units!$L92=1,DK$1=Units!$Q92),1,Inputs!$B$15)*Inputs!$B$16*(1+Inputs!$B$11)^(DK$2-1),0)</f>
        <v>0</v>
      </c>
      <c r="DL93" s="11" t="n">
        <f aca="false">IF(AND(DL$1&gt;=Units!$Q92,MOD(DL$1-Units!$Q92,12)=0),IF(AND(Units!$L92=1,DL$1=Units!$Q92),1,Inputs!$B$15)*Inputs!$B$16*(1+Inputs!$B$11)^(DL$2-1),0)</f>
        <v>0</v>
      </c>
      <c r="DM93" s="11" t="n">
        <f aca="false">IF(AND(DM$1&gt;=Units!$Q92,MOD(DM$1-Units!$Q92,12)=0),IF(AND(Units!$L92=1,DM$1=Units!$Q92),1,Inputs!$B$15)*Inputs!$B$16*(1+Inputs!$B$11)^(DM$2-1),0)</f>
        <v>0</v>
      </c>
      <c r="DN93" s="11" t="n">
        <f aca="false">IF(AND(DN$1&gt;=Units!$Q92,MOD(DN$1-Units!$Q92,12)=0),IF(AND(Units!$L92=1,DN$1=Units!$Q92),1,Inputs!$B$15)*Inputs!$B$16*(1+Inputs!$B$11)^(DN$2-1),0)</f>
        <v>0</v>
      </c>
      <c r="DO93" s="11" t="n">
        <f aca="false">IF(AND(DO$1&gt;=Units!$Q92,MOD(DO$1-Units!$Q92,12)=0),IF(AND(Units!$L92=1,DO$1=Units!$Q92),1,Inputs!$B$15)*Inputs!$B$16*(1+Inputs!$B$11)^(DO$2-1),0)</f>
        <v>652.386591914623</v>
      </c>
      <c r="DP93" s="11" t="n">
        <f aca="false">IF(AND(DP$1&gt;=Units!$Q92,MOD(DP$1-Units!$Q92,12)=0),IF(AND(Units!$L92=1,DP$1=Units!$Q92),1,Inputs!$B$15)*Inputs!$B$16*(1+Inputs!$B$11)^(DP$2-1),0)</f>
        <v>0</v>
      </c>
      <c r="DQ93" s="11" t="n">
        <f aca="false">IF(AND(DQ$1&gt;=Units!$Q92,MOD(DQ$1-Units!$Q92,12)=0),IF(AND(Units!$L92=1,DQ$1=Units!$Q92),1,Inputs!$B$15)*Inputs!$B$16*(1+Inputs!$B$11)^(DQ$2-1),0)</f>
        <v>0</v>
      </c>
      <c r="DR93" s="11" t="n">
        <f aca="false">IF(AND(DR$1&gt;=Units!$Q92,MOD(DR$1-Units!$Q92,12)=0),IF(AND(Units!$L92=1,DR$1=Units!$Q92),1,Inputs!$B$15)*Inputs!$B$16*(1+Inputs!$B$11)^(DR$2-1),0)</f>
        <v>0</v>
      </c>
      <c r="DS93" s="11" t="n">
        <f aca="false">IF(AND(DS$1&gt;=Units!$Q92,MOD(DS$1-Units!$Q92,12)=0),IF(AND(Units!$L92=1,DS$1=Units!$Q92),1,Inputs!$B$15)*Inputs!$B$16*(1+Inputs!$B$11)^(DS$2-1),0)</f>
        <v>0</v>
      </c>
      <c r="DT93" s="11" t="n">
        <f aca="false">IF(AND(DT$1&gt;=Units!$Q92,MOD(DT$1-Units!$Q92,12)=0),IF(AND(Units!$L92=1,DT$1=Units!$Q92),1,Inputs!$B$15)*Inputs!$B$16*(1+Inputs!$B$11)^(DT$2-1),0)</f>
        <v>0</v>
      </c>
      <c r="DU93" s="11" t="n">
        <f aca="false">IF(AND(DU$1&gt;=Units!$Q92,MOD(DU$1-Units!$Q92,12)=0),IF(AND(Units!$L92=1,DU$1=Units!$Q92),1,Inputs!$B$15)*Inputs!$B$16*(1+Inputs!$B$11)^(DU$2-1),0)</f>
        <v>0</v>
      </c>
      <c r="DV93" s="11" t="n">
        <f aca="false">IF(AND(DV$1&gt;=Units!$Q92,MOD(DV$1-Units!$Q92,12)=0),IF(AND(Units!$L92=1,DV$1=Units!$Q92),1,Inputs!$B$15)*Inputs!$B$16*(1+Inputs!$B$11)^(DV$2-1),0)</f>
        <v>0</v>
      </c>
      <c r="DW93" s="11" t="n">
        <f aca="false">IF(AND(DW$1&gt;=Units!$Q92,MOD(DW$1-Units!$Q92,12)=0),IF(AND(Units!$L92=1,DW$1=Units!$Q92),1,Inputs!$B$15)*Inputs!$B$16*(1+Inputs!$B$11)^(DW$2-1),0)</f>
        <v>0</v>
      </c>
      <c r="DX93" s="11" t="n">
        <f aca="false">IF(AND(DX$1&gt;=Units!$Q92,MOD(DX$1-Units!$Q92,12)=0),IF(AND(Units!$L92=1,DX$1=Units!$Q92),1,Inputs!$B$15)*Inputs!$B$16*(1+Inputs!$B$11)^(DX$2-1),0)</f>
        <v>0</v>
      </c>
      <c r="DY93" s="11" t="n">
        <f aca="false">IF(AND(DY$1&gt;=Units!$Q92,MOD(DY$1-Units!$Q92,12)=0),IF(AND(Units!$L92=1,DY$1=Units!$Q92),1,Inputs!$B$15)*Inputs!$B$16*(1+Inputs!$B$11)^(DY$2-1),0)</f>
        <v>0</v>
      </c>
      <c r="DZ93" s="11" t="n">
        <f aca="false">IF(AND(DZ$1&gt;=Units!$Q92,MOD(DZ$1-Units!$Q92,12)=0),IF(AND(Units!$L92=1,DZ$1=Units!$Q92),1,Inputs!$B$15)*Inputs!$B$16*(1+Inputs!$B$11)^(DZ$2-1),0)</f>
        <v>0</v>
      </c>
      <c r="EA93" s="11" t="n">
        <f aca="false">IF(AND(EA$1&gt;=Units!$Q92,MOD(EA$1-Units!$Q92,12)=0),IF(AND(Units!$L92=1,EA$1=Units!$Q92),1,Inputs!$B$15)*Inputs!$B$16*(1+Inputs!$B$11)^(EA$2-1),0)</f>
        <v>671.958189672061</v>
      </c>
      <c r="EB93" s="11" t="n">
        <f aca="false">IF(AND(EB$1&gt;=Units!$Q92,MOD(EB$1-Units!$Q92,12)=0),IF(AND(Units!$L92=1,EB$1=Units!$Q92),1,Inputs!$B$15)*Inputs!$B$16*(1+Inputs!$B$11)^(EB$2-1),0)</f>
        <v>0</v>
      </c>
      <c r="EC93" s="11" t="n">
        <f aca="false">IF(AND(EC$1&gt;=Units!$Q92,MOD(EC$1-Units!$Q92,12)=0),IF(AND(Units!$L92=1,EC$1=Units!$Q92),1,Inputs!$B$15)*Inputs!$B$16*(1+Inputs!$B$11)^(EC$2-1),0)</f>
        <v>0</v>
      </c>
      <c r="ED93" s="11" t="n">
        <f aca="false">IF(AND(ED$1&gt;=Units!$Q92,MOD(ED$1-Units!$Q92,12)=0),IF(AND(Units!$L92=1,ED$1=Units!$Q92),1,Inputs!$B$15)*Inputs!$B$16*(1+Inputs!$B$11)^(ED$2-1),0)</f>
        <v>0</v>
      </c>
    </row>
    <row r="94" customFormat="false" ht="15" hidden="false" customHeight="false" outlineLevel="0" collapsed="false">
      <c r="A94" s="22" t="n">
        <f aca="false">Units!A93</f>
        <v>402</v>
      </c>
      <c r="B94" s="23"/>
      <c r="C94" s="11" t="n">
        <f aca="false">IF(AND(C$1&gt;=Units!$Q93,MOD(C$1-Units!$Q93,12)=0),IF(AND(Units!$L93=1,C$1=Units!$Q93),1,Inputs!$B$15)*Inputs!$B$16*(1+Inputs!$B$11)^(C$2-1),0)</f>
        <v>0</v>
      </c>
      <c r="D94" s="11" t="n">
        <f aca="false">IF(AND(D$1&gt;=Units!$Q93,MOD(D$1-Units!$Q93,12)=0),IF(AND(Units!$L93=1,D$1=Units!$Q93),1,Inputs!$B$15)*Inputs!$B$16*(1+Inputs!$B$11)^(D$2-1),0)</f>
        <v>0</v>
      </c>
      <c r="E94" s="11" t="n">
        <f aca="false">IF(AND(E$1&gt;=Units!$Q93,MOD(E$1-Units!$Q93,12)=0),IF(AND(Units!$L93=1,E$1=Units!$Q93),1,Inputs!$B$15)*Inputs!$B$16*(1+Inputs!$B$11)^(E$2-1),0)</f>
        <v>0</v>
      </c>
      <c r="F94" s="11" t="n">
        <f aca="false">IF(AND(F$1&gt;=Units!$Q93,MOD(F$1-Units!$Q93,12)=0),IF(AND(Units!$L93=1,F$1=Units!$Q93),1,Inputs!$B$15)*Inputs!$B$16*(1+Inputs!$B$11)^(F$2-1),0)</f>
        <v>0</v>
      </c>
      <c r="G94" s="11" t="n">
        <f aca="false">IF(AND(G$1&gt;=Units!$Q93,MOD(G$1-Units!$Q93,12)=0),IF(AND(Units!$L93=1,G$1=Units!$Q93),1,Inputs!$B$15)*Inputs!$B$16*(1+Inputs!$B$11)^(G$2-1),0)</f>
        <v>0</v>
      </c>
      <c r="H94" s="11" t="n">
        <f aca="false">IF(AND(H$1&gt;=Units!$Q93,MOD(H$1-Units!$Q93,12)=0),IF(AND(Units!$L93=1,H$1=Units!$Q93),1,Inputs!$B$15)*Inputs!$B$16*(1+Inputs!$B$11)^(H$2-1),0)</f>
        <v>0</v>
      </c>
      <c r="I94" s="11" t="n">
        <f aca="false">IF(AND(I$1&gt;=Units!$Q93,MOD(I$1-Units!$Q93,12)=0),IF(AND(Units!$L93=1,I$1=Units!$Q93),1,Inputs!$B$15)*Inputs!$B$16*(1+Inputs!$B$11)^(I$2-1),0)</f>
        <v>500</v>
      </c>
      <c r="J94" s="11" t="n">
        <f aca="false">IF(AND(J$1&gt;=Units!$Q93,MOD(J$1-Units!$Q93,12)=0),IF(AND(Units!$L93=1,J$1=Units!$Q93),1,Inputs!$B$15)*Inputs!$B$16*(1+Inputs!$B$11)^(J$2-1),0)</f>
        <v>0</v>
      </c>
      <c r="K94" s="11" t="n">
        <f aca="false">IF(AND(K$1&gt;=Units!$Q93,MOD(K$1-Units!$Q93,12)=0),IF(AND(Units!$L93=1,K$1=Units!$Q93),1,Inputs!$B$15)*Inputs!$B$16*(1+Inputs!$B$11)^(K$2-1),0)</f>
        <v>0</v>
      </c>
      <c r="L94" s="11" t="n">
        <f aca="false">IF(AND(L$1&gt;=Units!$Q93,MOD(L$1-Units!$Q93,12)=0),IF(AND(Units!$L93=1,L$1=Units!$Q93),1,Inputs!$B$15)*Inputs!$B$16*(1+Inputs!$B$11)^(L$2-1),0)</f>
        <v>0</v>
      </c>
      <c r="M94" s="11" t="n">
        <f aca="false">IF(AND(M$1&gt;=Units!$Q93,MOD(M$1-Units!$Q93,12)=0),IF(AND(Units!$L93=1,M$1=Units!$Q93),1,Inputs!$B$15)*Inputs!$B$16*(1+Inputs!$B$11)^(M$2-1),0)</f>
        <v>0</v>
      </c>
      <c r="N94" s="11" t="n">
        <f aca="false">IF(AND(N$1&gt;=Units!$Q93,MOD(N$1-Units!$Q93,12)=0),IF(AND(Units!$L93=1,N$1=Units!$Q93),1,Inputs!$B$15)*Inputs!$B$16*(1+Inputs!$B$11)^(N$2-1),0)</f>
        <v>0</v>
      </c>
      <c r="O94" s="11" t="n">
        <f aca="false">IF(AND(O$1&gt;=Units!$Q93,MOD(O$1-Units!$Q93,12)=0),IF(AND(Units!$L93=1,O$1=Units!$Q93),1,Inputs!$B$15)*Inputs!$B$16*(1+Inputs!$B$11)^(O$2-1),0)</f>
        <v>0</v>
      </c>
      <c r="P94" s="11" t="n">
        <f aca="false">IF(AND(P$1&gt;=Units!$Q93,MOD(P$1-Units!$Q93,12)=0),IF(AND(Units!$L93=1,P$1=Units!$Q93),1,Inputs!$B$15)*Inputs!$B$16*(1+Inputs!$B$11)^(P$2-1),0)</f>
        <v>0</v>
      </c>
      <c r="Q94" s="11" t="n">
        <f aca="false">IF(AND(Q$1&gt;=Units!$Q93,MOD(Q$1-Units!$Q93,12)=0),IF(AND(Units!$L93=1,Q$1=Units!$Q93),1,Inputs!$B$15)*Inputs!$B$16*(1+Inputs!$B$11)^(Q$2-1),0)</f>
        <v>0</v>
      </c>
      <c r="R94" s="11" t="n">
        <f aca="false">IF(AND(R$1&gt;=Units!$Q93,MOD(R$1-Units!$Q93,12)=0),IF(AND(Units!$L93=1,R$1=Units!$Q93),1,Inputs!$B$15)*Inputs!$B$16*(1+Inputs!$B$11)^(R$2-1),0)</f>
        <v>0</v>
      </c>
      <c r="S94" s="11" t="n">
        <f aca="false">IF(AND(S$1&gt;=Units!$Q93,MOD(S$1-Units!$Q93,12)=0),IF(AND(Units!$L93=1,S$1=Units!$Q93),1,Inputs!$B$15)*Inputs!$B$16*(1+Inputs!$B$11)^(S$2-1),0)</f>
        <v>0</v>
      </c>
      <c r="T94" s="11" t="n">
        <f aca="false">IF(AND(T$1&gt;=Units!$Q93,MOD(T$1-Units!$Q93,12)=0),IF(AND(Units!$L93=1,T$1=Units!$Q93),1,Inputs!$B$15)*Inputs!$B$16*(1+Inputs!$B$11)^(T$2-1),0)</f>
        <v>0</v>
      </c>
      <c r="U94" s="11" t="n">
        <f aca="false">IF(AND(U$1&gt;=Units!$Q93,MOD(U$1-Units!$Q93,12)=0),IF(AND(Units!$L93=1,U$1=Units!$Q93),1,Inputs!$B$15)*Inputs!$B$16*(1+Inputs!$B$11)^(U$2-1),0)</f>
        <v>515</v>
      </c>
      <c r="V94" s="11" t="n">
        <f aca="false">IF(AND(V$1&gt;=Units!$Q93,MOD(V$1-Units!$Q93,12)=0),IF(AND(Units!$L93=1,V$1=Units!$Q93),1,Inputs!$B$15)*Inputs!$B$16*(1+Inputs!$B$11)^(V$2-1),0)</f>
        <v>0</v>
      </c>
      <c r="W94" s="11" t="n">
        <f aca="false">IF(AND(W$1&gt;=Units!$Q93,MOD(W$1-Units!$Q93,12)=0),IF(AND(Units!$L93=1,W$1=Units!$Q93),1,Inputs!$B$15)*Inputs!$B$16*(1+Inputs!$B$11)^(W$2-1),0)</f>
        <v>0</v>
      </c>
      <c r="X94" s="11" t="n">
        <f aca="false">IF(AND(X$1&gt;=Units!$Q93,MOD(X$1-Units!$Q93,12)=0),IF(AND(Units!$L93=1,X$1=Units!$Q93),1,Inputs!$B$15)*Inputs!$B$16*(1+Inputs!$B$11)^(X$2-1),0)</f>
        <v>0</v>
      </c>
      <c r="Y94" s="11" t="n">
        <f aca="false">IF(AND(Y$1&gt;=Units!$Q93,MOD(Y$1-Units!$Q93,12)=0),IF(AND(Units!$L93=1,Y$1=Units!$Q93),1,Inputs!$B$15)*Inputs!$B$16*(1+Inputs!$B$11)^(Y$2-1),0)</f>
        <v>0</v>
      </c>
      <c r="Z94" s="11" t="n">
        <f aca="false">IF(AND(Z$1&gt;=Units!$Q93,MOD(Z$1-Units!$Q93,12)=0),IF(AND(Units!$L93=1,Z$1=Units!$Q93),1,Inputs!$B$15)*Inputs!$B$16*(1+Inputs!$B$11)^(Z$2-1),0)</f>
        <v>0</v>
      </c>
      <c r="AA94" s="11" t="n">
        <f aca="false">IF(AND(AA$1&gt;=Units!$Q93,MOD(AA$1-Units!$Q93,12)=0),IF(AND(Units!$L93=1,AA$1=Units!$Q93),1,Inputs!$B$15)*Inputs!$B$16*(1+Inputs!$B$11)^(AA$2-1),0)</f>
        <v>0</v>
      </c>
      <c r="AB94" s="11" t="n">
        <f aca="false">IF(AND(AB$1&gt;=Units!$Q93,MOD(AB$1-Units!$Q93,12)=0),IF(AND(Units!$L93=1,AB$1=Units!$Q93),1,Inputs!$B$15)*Inputs!$B$16*(1+Inputs!$B$11)^(AB$2-1),0)</f>
        <v>0</v>
      </c>
      <c r="AC94" s="11" t="n">
        <f aca="false">IF(AND(AC$1&gt;=Units!$Q93,MOD(AC$1-Units!$Q93,12)=0),IF(AND(Units!$L93=1,AC$1=Units!$Q93),1,Inputs!$B$15)*Inputs!$B$16*(1+Inputs!$B$11)^(AC$2-1),0)</f>
        <v>0</v>
      </c>
      <c r="AD94" s="11" t="n">
        <f aca="false">IF(AND(AD$1&gt;=Units!$Q93,MOD(AD$1-Units!$Q93,12)=0),IF(AND(Units!$L93=1,AD$1=Units!$Q93),1,Inputs!$B$15)*Inputs!$B$16*(1+Inputs!$B$11)^(AD$2-1),0)</f>
        <v>0</v>
      </c>
      <c r="AE94" s="11" t="n">
        <f aca="false">IF(AND(AE$1&gt;=Units!$Q93,MOD(AE$1-Units!$Q93,12)=0),IF(AND(Units!$L93=1,AE$1=Units!$Q93),1,Inputs!$B$15)*Inputs!$B$16*(1+Inputs!$B$11)^(AE$2-1),0)</f>
        <v>0</v>
      </c>
      <c r="AF94" s="11" t="n">
        <f aca="false">IF(AND(AF$1&gt;=Units!$Q93,MOD(AF$1-Units!$Q93,12)=0),IF(AND(Units!$L93=1,AF$1=Units!$Q93),1,Inputs!$B$15)*Inputs!$B$16*(1+Inputs!$B$11)^(AF$2-1),0)</f>
        <v>0</v>
      </c>
      <c r="AG94" s="11" t="n">
        <f aca="false">IF(AND(AG$1&gt;=Units!$Q93,MOD(AG$1-Units!$Q93,12)=0),IF(AND(Units!$L93=1,AG$1=Units!$Q93),1,Inputs!$B$15)*Inputs!$B$16*(1+Inputs!$B$11)^(AG$2-1),0)</f>
        <v>530.45</v>
      </c>
      <c r="AH94" s="11" t="n">
        <f aca="false">IF(AND(AH$1&gt;=Units!$Q93,MOD(AH$1-Units!$Q93,12)=0),IF(AND(Units!$L93=1,AH$1=Units!$Q93),1,Inputs!$B$15)*Inputs!$B$16*(1+Inputs!$B$11)^(AH$2-1),0)</f>
        <v>0</v>
      </c>
      <c r="AI94" s="11" t="n">
        <f aca="false">IF(AND(AI$1&gt;=Units!$Q93,MOD(AI$1-Units!$Q93,12)=0),IF(AND(Units!$L93=1,AI$1=Units!$Q93),1,Inputs!$B$15)*Inputs!$B$16*(1+Inputs!$B$11)^(AI$2-1),0)</f>
        <v>0</v>
      </c>
      <c r="AJ94" s="11" t="n">
        <f aca="false">IF(AND(AJ$1&gt;=Units!$Q93,MOD(AJ$1-Units!$Q93,12)=0),IF(AND(Units!$L93=1,AJ$1=Units!$Q93),1,Inputs!$B$15)*Inputs!$B$16*(1+Inputs!$B$11)^(AJ$2-1),0)</f>
        <v>0</v>
      </c>
      <c r="AK94" s="11" t="n">
        <f aca="false">IF(AND(AK$1&gt;=Units!$Q93,MOD(AK$1-Units!$Q93,12)=0),IF(AND(Units!$L93=1,AK$1=Units!$Q93),1,Inputs!$B$15)*Inputs!$B$16*(1+Inputs!$B$11)^(AK$2-1),0)</f>
        <v>0</v>
      </c>
      <c r="AL94" s="11" t="n">
        <f aca="false">IF(AND(AL$1&gt;=Units!$Q93,MOD(AL$1-Units!$Q93,12)=0),IF(AND(Units!$L93=1,AL$1=Units!$Q93),1,Inputs!$B$15)*Inputs!$B$16*(1+Inputs!$B$11)^(AL$2-1),0)</f>
        <v>0</v>
      </c>
      <c r="AM94" s="11" t="n">
        <f aca="false">IF(AND(AM$1&gt;=Units!$Q93,MOD(AM$1-Units!$Q93,12)=0),IF(AND(Units!$L93=1,AM$1=Units!$Q93),1,Inputs!$B$15)*Inputs!$B$16*(1+Inputs!$B$11)^(AM$2-1),0)</f>
        <v>0</v>
      </c>
      <c r="AN94" s="11" t="n">
        <f aca="false">IF(AND(AN$1&gt;=Units!$Q93,MOD(AN$1-Units!$Q93,12)=0),IF(AND(Units!$L93=1,AN$1=Units!$Q93),1,Inputs!$B$15)*Inputs!$B$16*(1+Inputs!$B$11)^(AN$2-1),0)</f>
        <v>0</v>
      </c>
      <c r="AO94" s="11" t="n">
        <f aca="false">IF(AND(AO$1&gt;=Units!$Q93,MOD(AO$1-Units!$Q93,12)=0),IF(AND(Units!$L93=1,AO$1=Units!$Q93),1,Inputs!$B$15)*Inputs!$B$16*(1+Inputs!$B$11)^(AO$2-1),0)</f>
        <v>0</v>
      </c>
      <c r="AP94" s="11" t="n">
        <f aca="false">IF(AND(AP$1&gt;=Units!$Q93,MOD(AP$1-Units!$Q93,12)=0),IF(AND(Units!$L93=1,AP$1=Units!$Q93),1,Inputs!$B$15)*Inputs!$B$16*(1+Inputs!$B$11)^(AP$2-1),0)</f>
        <v>0</v>
      </c>
      <c r="AQ94" s="11" t="n">
        <f aca="false">IF(AND(AQ$1&gt;=Units!$Q93,MOD(AQ$1-Units!$Q93,12)=0),IF(AND(Units!$L93=1,AQ$1=Units!$Q93),1,Inputs!$B$15)*Inputs!$B$16*(1+Inputs!$B$11)^(AQ$2-1),0)</f>
        <v>0</v>
      </c>
      <c r="AR94" s="11" t="n">
        <f aca="false">IF(AND(AR$1&gt;=Units!$Q93,MOD(AR$1-Units!$Q93,12)=0),IF(AND(Units!$L93=1,AR$1=Units!$Q93),1,Inputs!$B$15)*Inputs!$B$16*(1+Inputs!$B$11)^(AR$2-1),0)</f>
        <v>0</v>
      </c>
      <c r="AS94" s="11" t="n">
        <f aca="false">IF(AND(AS$1&gt;=Units!$Q93,MOD(AS$1-Units!$Q93,12)=0),IF(AND(Units!$L93=1,AS$1=Units!$Q93),1,Inputs!$B$15)*Inputs!$B$16*(1+Inputs!$B$11)^(AS$2-1),0)</f>
        <v>546.3635</v>
      </c>
      <c r="AT94" s="11" t="n">
        <f aca="false">IF(AND(AT$1&gt;=Units!$Q93,MOD(AT$1-Units!$Q93,12)=0),IF(AND(Units!$L93=1,AT$1=Units!$Q93),1,Inputs!$B$15)*Inputs!$B$16*(1+Inputs!$B$11)^(AT$2-1),0)</f>
        <v>0</v>
      </c>
      <c r="AU94" s="11" t="n">
        <f aca="false">IF(AND(AU$1&gt;=Units!$Q93,MOD(AU$1-Units!$Q93,12)=0),IF(AND(Units!$L93=1,AU$1=Units!$Q93),1,Inputs!$B$15)*Inputs!$B$16*(1+Inputs!$B$11)^(AU$2-1),0)</f>
        <v>0</v>
      </c>
      <c r="AV94" s="11" t="n">
        <f aca="false">IF(AND(AV$1&gt;=Units!$Q93,MOD(AV$1-Units!$Q93,12)=0),IF(AND(Units!$L93=1,AV$1=Units!$Q93),1,Inputs!$B$15)*Inputs!$B$16*(1+Inputs!$B$11)^(AV$2-1),0)</f>
        <v>0</v>
      </c>
      <c r="AW94" s="11" t="n">
        <f aca="false">IF(AND(AW$1&gt;=Units!$Q93,MOD(AW$1-Units!$Q93,12)=0),IF(AND(Units!$L93=1,AW$1=Units!$Q93),1,Inputs!$B$15)*Inputs!$B$16*(1+Inputs!$B$11)^(AW$2-1),0)</f>
        <v>0</v>
      </c>
      <c r="AX94" s="11" t="n">
        <f aca="false">IF(AND(AX$1&gt;=Units!$Q93,MOD(AX$1-Units!$Q93,12)=0),IF(AND(Units!$L93=1,AX$1=Units!$Q93),1,Inputs!$B$15)*Inputs!$B$16*(1+Inputs!$B$11)^(AX$2-1),0)</f>
        <v>0</v>
      </c>
      <c r="AY94" s="11" t="n">
        <f aca="false">IF(AND(AY$1&gt;=Units!$Q93,MOD(AY$1-Units!$Q93,12)=0),IF(AND(Units!$L93=1,AY$1=Units!$Q93),1,Inputs!$B$15)*Inputs!$B$16*(1+Inputs!$B$11)^(AY$2-1),0)</f>
        <v>0</v>
      </c>
      <c r="AZ94" s="11" t="n">
        <f aca="false">IF(AND(AZ$1&gt;=Units!$Q93,MOD(AZ$1-Units!$Q93,12)=0),IF(AND(Units!$L93=1,AZ$1=Units!$Q93),1,Inputs!$B$15)*Inputs!$B$16*(1+Inputs!$B$11)^(AZ$2-1),0)</f>
        <v>0</v>
      </c>
      <c r="BA94" s="11" t="n">
        <f aca="false">IF(AND(BA$1&gt;=Units!$Q93,MOD(BA$1-Units!$Q93,12)=0),IF(AND(Units!$L93=1,BA$1=Units!$Q93),1,Inputs!$B$15)*Inputs!$B$16*(1+Inputs!$B$11)^(BA$2-1),0)</f>
        <v>0</v>
      </c>
      <c r="BB94" s="11" t="n">
        <f aca="false">IF(AND(BB$1&gt;=Units!$Q93,MOD(BB$1-Units!$Q93,12)=0),IF(AND(Units!$L93=1,BB$1=Units!$Q93),1,Inputs!$B$15)*Inputs!$B$16*(1+Inputs!$B$11)^(BB$2-1),0)</f>
        <v>0</v>
      </c>
      <c r="BC94" s="11" t="n">
        <f aca="false">IF(AND(BC$1&gt;=Units!$Q93,MOD(BC$1-Units!$Q93,12)=0),IF(AND(Units!$L93=1,BC$1=Units!$Q93),1,Inputs!$B$15)*Inputs!$B$16*(1+Inputs!$B$11)^(BC$2-1),0)</f>
        <v>0</v>
      </c>
      <c r="BD94" s="11" t="n">
        <f aca="false">IF(AND(BD$1&gt;=Units!$Q93,MOD(BD$1-Units!$Q93,12)=0),IF(AND(Units!$L93=1,BD$1=Units!$Q93),1,Inputs!$B$15)*Inputs!$B$16*(1+Inputs!$B$11)^(BD$2-1),0)</f>
        <v>0</v>
      </c>
      <c r="BE94" s="11" t="n">
        <f aca="false">IF(AND(BE$1&gt;=Units!$Q93,MOD(BE$1-Units!$Q93,12)=0),IF(AND(Units!$L93=1,BE$1=Units!$Q93),1,Inputs!$B$15)*Inputs!$B$16*(1+Inputs!$B$11)^(BE$2-1),0)</f>
        <v>562.754405</v>
      </c>
      <c r="BF94" s="11" t="n">
        <f aca="false">IF(AND(BF$1&gt;=Units!$Q93,MOD(BF$1-Units!$Q93,12)=0),IF(AND(Units!$L93=1,BF$1=Units!$Q93),1,Inputs!$B$15)*Inputs!$B$16*(1+Inputs!$B$11)^(BF$2-1),0)</f>
        <v>0</v>
      </c>
      <c r="BG94" s="11" t="n">
        <f aca="false">IF(AND(BG$1&gt;=Units!$Q93,MOD(BG$1-Units!$Q93,12)=0),IF(AND(Units!$L93=1,BG$1=Units!$Q93),1,Inputs!$B$15)*Inputs!$B$16*(1+Inputs!$B$11)^(BG$2-1),0)</f>
        <v>0</v>
      </c>
      <c r="BH94" s="11" t="n">
        <f aca="false">IF(AND(BH$1&gt;=Units!$Q93,MOD(BH$1-Units!$Q93,12)=0),IF(AND(Units!$L93=1,BH$1=Units!$Q93),1,Inputs!$B$15)*Inputs!$B$16*(1+Inputs!$B$11)^(BH$2-1),0)</f>
        <v>0</v>
      </c>
      <c r="BI94" s="11" t="n">
        <f aca="false">IF(AND(BI$1&gt;=Units!$Q93,MOD(BI$1-Units!$Q93,12)=0),IF(AND(Units!$L93=1,BI$1=Units!$Q93),1,Inputs!$B$15)*Inputs!$B$16*(1+Inputs!$B$11)^(BI$2-1),0)</f>
        <v>0</v>
      </c>
      <c r="BJ94" s="11" t="n">
        <f aca="false">IF(AND(BJ$1&gt;=Units!$Q93,MOD(BJ$1-Units!$Q93,12)=0),IF(AND(Units!$L93=1,BJ$1=Units!$Q93),1,Inputs!$B$15)*Inputs!$B$16*(1+Inputs!$B$11)^(BJ$2-1),0)</f>
        <v>0</v>
      </c>
      <c r="BK94" s="11" t="n">
        <f aca="false">IF(AND(BK$1&gt;=Units!$Q93,MOD(BK$1-Units!$Q93,12)=0),IF(AND(Units!$L93=1,BK$1=Units!$Q93),1,Inputs!$B$15)*Inputs!$B$16*(1+Inputs!$B$11)^(BK$2-1),0)</f>
        <v>0</v>
      </c>
      <c r="BL94" s="11" t="n">
        <f aca="false">IF(AND(BL$1&gt;=Units!$Q93,MOD(BL$1-Units!$Q93,12)=0),IF(AND(Units!$L93=1,BL$1=Units!$Q93),1,Inputs!$B$15)*Inputs!$B$16*(1+Inputs!$B$11)^(BL$2-1),0)</f>
        <v>0</v>
      </c>
      <c r="BM94" s="11" t="n">
        <f aca="false">IF(AND(BM$1&gt;=Units!$Q93,MOD(BM$1-Units!$Q93,12)=0),IF(AND(Units!$L93=1,BM$1=Units!$Q93),1,Inputs!$B$15)*Inputs!$B$16*(1+Inputs!$B$11)^(BM$2-1),0)</f>
        <v>0</v>
      </c>
      <c r="BN94" s="11" t="n">
        <f aca="false">IF(AND(BN$1&gt;=Units!$Q93,MOD(BN$1-Units!$Q93,12)=0),IF(AND(Units!$L93=1,BN$1=Units!$Q93),1,Inputs!$B$15)*Inputs!$B$16*(1+Inputs!$B$11)^(BN$2-1),0)</f>
        <v>0</v>
      </c>
      <c r="BO94" s="11" t="n">
        <f aca="false">IF(AND(BO$1&gt;=Units!$Q93,MOD(BO$1-Units!$Q93,12)=0),IF(AND(Units!$L93=1,BO$1=Units!$Q93),1,Inputs!$B$15)*Inputs!$B$16*(1+Inputs!$B$11)^(BO$2-1),0)</f>
        <v>0</v>
      </c>
      <c r="BP94" s="11" t="n">
        <f aca="false">IF(AND(BP$1&gt;=Units!$Q93,MOD(BP$1-Units!$Q93,12)=0),IF(AND(Units!$L93=1,BP$1=Units!$Q93),1,Inputs!$B$15)*Inputs!$B$16*(1+Inputs!$B$11)^(BP$2-1),0)</f>
        <v>0</v>
      </c>
      <c r="BQ94" s="11" t="n">
        <f aca="false">IF(AND(BQ$1&gt;=Units!$Q93,MOD(BQ$1-Units!$Q93,12)=0),IF(AND(Units!$L93=1,BQ$1=Units!$Q93),1,Inputs!$B$15)*Inputs!$B$16*(1+Inputs!$B$11)^(BQ$2-1),0)</f>
        <v>579.63703715</v>
      </c>
      <c r="BR94" s="11" t="n">
        <f aca="false">IF(AND(BR$1&gt;=Units!$Q93,MOD(BR$1-Units!$Q93,12)=0),IF(AND(Units!$L93=1,BR$1=Units!$Q93),1,Inputs!$B$15)*Inputs!$B$16*(1+Inputs!$B$11)^(BR$2-1),0)</f>
        <v>0</v>
      </c>
      <c r="BS94" s="11" t="n">
        <f aca="false">IF(AND(BS$1&gt;=Units!$Q93,MOD(BS$1-Units!$Q93,12)=0),IF(AND(Units!$L93=1,BS$1=Units!$Q93),1,Inputs!$B$15)*Inputs!$B$16*(1+Inputs!$B$11)^(BS$2-1),0)</f>
        <v>0</v>
      </c>
      <c r="BT94" s="11" t="n">
        <f aca="false">IF(AND(BT$1&gt;=Units!$Q93,MOD(BT$1-Units!$Q93,12)=0),IF(AND(Units!$L93=1,BT$1=Units!$Q93),1,Inputs!$B$15)*Inputs!$B$16*(1+Inputs!$B$11)^(BT$2-1),0)</f>
        <v>0</v>
      </c>
      <c r="BU94" s="11" t="n">
        <f aca="false">IF(AND(BU$1&gt;=Units!$Q93,MOD(BU$1-Units!$Q93,12)=0),IF(AND(Units!$L93=1,BU$1=Units!$Q93),1,Inputs!$B$15)*Inputs!$B$16*(1+Inputs!$B$11)^(BU$2-1),0)</f>
        <v>0</v>
      </c>
      <c r="BV94" s="11" t="n">
        <f aca="false">IF(AND(BV$1&gt;=Units!$Q93,MOD(BV$1-Units!$Q93,12)=0),IF(AND(Units!$L93=1,BV$1=Units!$Q93),1,Inputs!$B$15)*Inputs!$B$16*(1+Inputs!$B$11)^(BV$2-1),0)</f>
        <v>0</v>
      </c>
      <c r="BW94" s="11" t="n">
        <f aca="false">IF(AND(BW$1&gt;=Units!$Q93,MOD(BW$1-Units!$Q93,12)=0),IF(AND(Units!$L93=1,BW$1=Units!$Q93),1,Inputs!$B$15)*Inputs!$B$16*(1+Inputs!$B$11)^(BW$2-1),0)</f>
        <v>0</v>
      </c>
      <c r="BX94" s="11" t="n">
        <f aca="false">IF(AND(BX$1&gt;=Units!$Q93,MOD(BX$1-Units!$Q93,12)=0),IF(AND(Units!$L93=1,BX$1=Units!$Q93),1,Inputs!$B$15)*Inputs!$B$16*(1+Inputs!$B$11)^(BX$2-1),0)</f>
        <v>0</v>
      </c>
      <c r="BY94" s="11" t="n">
        <f aca="false">IF(AND(BY$1&gt;=Units!$Q93,MOD(BY$1-Units!$Q93,12)=0),IF(AND(Units!$L93=1,BY$1=Units!$Q93),1,Inputs!$B$15)*Inputs!$B$16*(1+Inputs!$B$11)^(BY$2-1),0)</f>
        <v>0</v>
      </c>
      <c r="BZ94" s="11" t="n">
        <f aca="false">IF(AND(BZ$1&gt;=Units!$Q93,MOD(BZ$1-Units!$Q93,12)=0),IF(AND(Units!$L93=1,BZ$1=Units!$Q93),1,Inputs!$B$15)*Inputs!$B$16*(1+Inputs!$B$11)^(BZ$2-1),0)</f>
        <v>0</v>
      </c>
      <c r="CA94" s="11" t="n">
        <f aca="false">IF(AND(CA$1&gt;=Units!$Q93,MOD(CA$1-Units!$Q93,12)=0),IF(AND(Units!$L93=1,CA$1=Units!$Q93),1,Inputs!$B$15)*Inputs!$B$16*(1+Inputs!$B$11)^(CA$2-1),0)</f>
        <v>0</v>
      </c>
      <c r="CB94" s="11" t="n">
        <f aca="false">IF(AND(CB$1&gt;=Units!$Q93,MOD(CB$1-Units!$Q93,12)=0),IF(AND(Units!$L93=1,CB$1=Units!$Q93),1,Inputs!$B$15)*Inputs!$B$16*(1+Inputs!$B$11)^(CB$2-1),0)</f>
        <v>0</v>
      </c>
      <c r="CC94" s="11" t="n">
        <f aca="false">IF(AND(CC$1&gt;=Units!$Q93,MOD(CC$1-Units!$Q93,12)=0),IF(AND(Units!$L93=1,CC$1=Units!$Q93),1,Inputs!$B$15)*Inputs!$B$16*(1+Inputs!$B$11)^(CC$2-1),0)</f>
        <v>597.0261482645</v>
      </c>
      <c r="CD94" s="11" t="n">
        <f aca="false">IF(AND(CD$1&gt;=Units!$Q93,MOD(CD$1-Units!$Q93,12)=0),IF(AND(Units!$L93=1,CD$1=Units!$Q93),1,Inputs!$B$15)*Inputs!$B$16*(1+Inputs!$B$11)^(CD$2-1),0)</f>
        <v>0</v>
      </c>
      <c r="CE94" s="11" t="n">
        <f aca="false">IF(AND(CE$1&gt;=Units!$Q93,MOD(CE$1-Units!$Q93,12)=0),IF(AND(Units!$L93=1,CE$1=Units!$Q93),1,Inputs!$B$15)*Inputs!$B$16*(1+Inputs!$B$11)^(CE$2-1),0)</f>
        <v>0</v>
      </c>
      <c r="CF94" s="11" t="n">
        <f aca="false">IF(AND(CF$1&gt;=Units!$Q93,MOD(CF$1-Units!$Q93,12)=0),IF(AND(Units!$L93=1,CF$1=Units!$Q93),1,Inputs!$B$15)*Inputs!$B$16*(1+Inputs!$B$11)^(CF$2-1),0)</f>
        <v>0</v>
      </c>
      <c r="CG94" s="11" t="n">
        <f aca="false">IF(AND(CG$1&gt;=Units!$Q93,MOD(CG$1-Units!$Q93,12)=0),IF(AND(Units!$L93=1,CG$1=Units!$Q93),1,Inputs!$B$15)*Inputs!$B$16*(1+Inputs!$B$11)^(CG$2-1),0)</f>
        <v>0</v>
      </c>
      <c r="CH94" s="11" t="n">
        <f aca="false">IF(AND(CH$1&gt;=Units!$Q93,MOD(CH$1-Units!$Q93,12)=0),IF(AND(Units!$L93=1,CH$1=Units!$Q93),1,Inputs!$B$15)*Inputs!$B$16*(1+Inputs!$B$11)^(CH$2-1),0)</f>
        <v>0</v>
      </c>
      <c r="CI94" s="11" t="n">
        <f aca="false">IF(AND(CI$1&gt;=Units!$Q93,MOD(CI$1-Units!$Q93,12)=0),IF(AND(Units!$L93=1,CI$1=Units!$Q93),1,Inputs!$B$15)*Inputs!$B$16*(1+Inputs!$B$11)^(CI$2-1),0)</f>
        <v>0</v>
      </c>
      <c r="CJ94" s="11" t="n">
        <f aca="false">IF(AND(CJ$1&gt;=Units!$Q93,MOD(CJ$1-Units!$Q93,12)=0),IF(AND(Units!$L93=1,CJ$1=Units!$Q93),1,Inputs!$B$15)*Inputs!$B$16*(1+Inputs!$B$11)^(CJ$2-1),0)</f>
        <v>0</v>
      </c>
      <c r="CK94" s="11" t="n">
        <f aca="false">IF(AND(CK$1&gt;=Units!$Q93,MOD(CK$1-Units!$Q93,12)=0),IF(AND(Units!$L93=1,CK$1=Units!$Q93),1,Inputs!$B$15)*Inputs!$B$16*(1+Inputs!$B$11)^(CK$2-1),0)</f>
        <v>0</v>
      </c>
      <c r="CL94" s="11" t="n">
        <f aca="false">IF(AND(CL$1&gt;=Units!$Q93,MOD(CL$1-Units!$Q93,12)=0),IF(AND(Units!$L93=1,CL$1=Units!$Q93),1,Inputs!$B$15)*Inputs!$B$16*(1+Inputs!$B$11)^(CL$2-1),0)</f>
        <v>0</v>
      </c>
      <c r="CM94" s="11" t="n">
        <f aca="false">IF(AND(CM$1&gt;=Units!$Q93,MOD(CM$1-Units!$Q93,12)=0),IF(AND(Units!$L93=1,CM$1=Units!$Q93),1,Inputs!$B$15)*Inputs!$B$16*(1+Inputs!$B$11)^(CM$2-1),0)</f>
        <v>0</v>
      </c>
      <c r="CN94" s="11" t="n">
        <f aca="false">IF(AND(CN$1&gt;=Units!$Q93,MOD(CN$1-Units!$Q93,12)=0),IF(AND(Units!$L93=1,CN$1=Units!$Q93),1,Inputs!$B$15)*Inputs!$B$16*(1+Inputs!$B$11)^(CN$2-1),0)</f>
        <v>0</v>
      </c>
      <c r="CO94" s="11" t="n">
        <f aca="false">IF(AND(CO$1&gt;=Units!$Q93,MOD(CO$1-Units!$Q93,12)=0),IF(AND(Units!$L93=1,CO$1=Units!$Q93),1,Inputs!$B$15)*Inputs!$B$16*(1+Inputs!$B$11)^(CO$2-1),0)</f>
        <v>614.936932712435</v>
      </c>
      <c r="CP94" s="11" t="n">
        <f aca="false">IF(AND(CP$1&gt;=Units!$Q93,MOD(CP$1-Units!$Q93,12)=0),IF(AND(Units!$L93=1,CP$1=Units!$Q93),1,Inputs!$B$15)*Inputs!$B$16*(1+Inputs!$B$11)^(CP$2-1),0)</f>
        <v>0</v>
      </c>
      <c r="CQ94" s="11" t="n">
        <f aca="false">IF(AND(CQ$1&gt;=Units!$Q93,MOD(CQ$1-Units!$Q93,12)=0),IF(AND(Units!$L93=1,CQ$1=Units!$Q93),1,Inputs!$B$15)*Inputs!$B$16*(1+Inputs!$B$11)^(CQ$2-1),0)</f>
        <v>0</v>
      </c>
      <c r="CR94" s="11" t="n">
        <f aca="false">IF(AND(CR$1&gt;=Units!$Q93,MOD(CR$1-Units!$Q93,12)=0),IF(AND(Units!$L93=1,CR$1=Units!$Q93),1,Inputs!$B$15)*Inputs!$B$16*(1+Inputs!$B$11)^(CR$2-1),0)</f>
        <v>0</v>
      </c>
      <c r="CS94" s="11" t="n">
        <f aca="false">IF(AND(CS$1&gt;=Units!$Q93,MOD(CS$1-Units!$Q93,12)=0),IF(AND(Units!$L93=1,CS$1=Units!$Q93),1,Inputs!$B$15)*Inputs!$B$16*(1+Inputs!$B$11)^(CS$2-1),0)</f>
        <v>0</v>
      </c>
      <c r="CT94" s="11" t="n">
        <f aca="false">IF(AND(CT$1&gt;=Units!$Q93,MOD(CT$1-Units!$Q93,12)=0),IF(AND(Units!$L93=1,CT$1=Units!$Q93),1,Inputs!$B$15)*Inputs!$B$16*(1+Inputs!$B$11)^(CT$2-1),0)</f>
        <v>0</v>
      </c>
      <c r="CU94" s="11" t="n">
        <f aca="false">IF(AND(CU$1&gt;=Units!$Q93,MOD(CU$1-Units!$Q93,12)=0),IF(AND(Units!$L93=1,CU$1=Units!$Q93),1,Inputs!$B$15)*Inputs!$B$16*(1+Inputs!$B$11)^(CU$2-1),0)</f>
        <v>0</v>
      </c>
      <c r="CV94" s="11" t="n">
        <f aca="false">IF(AND(CV$1&gt;=Units!$Q93,MOD(CV$1-Units!$Q93,12)=0),IF(AND(Units!$L93=1,CV$1=Units!$Q93),1,Inputs!$B$15)*Inputs!$B$16*(1+Inputs!$B$11)^(CV$2-1),0)</f>
        <v>0</v>
      </c>
      <c r="CW94" s="11" t="n">
        <f aca="false">IF(AND(CW$1&gt;=Units!$Q93,MOD(CW$1-Units!$Q93,12)=0),IF(AND(Units!$L93=1,CW$1=Units!$Q93),1,Inputs!$B$15)*Inputs!$B$16*(1+Inputs!$B$11)^(CW$2-1),0)</f>
        <v>0</v>
      </c>
      <c r="CX94" s="11" t="n">
        <f aca="false">IF(AND(CX$1&gt;=Units!$Q93,MOD(CX$1-Units!$Q93,12)=0),IF(AND(Units!$L93=1,CX$1=Units!$Q93),1,Inputs!$B$15)*Inputs!$B$16*(1+Inputs!$B$11)^(CX$2-1),0)</f>
        <v>0</v>
      </c>
      <c r="CY94" s="11" t="n">
        <f aca="false">IF(AND(CY$1&gt;=Units!$Q93,MOD(CY$1-Units!$Q93,12)=0),IF(AND(Units!$L93=1,CY$1=Units!$Q93),1,Inputs!$B$15)*Inputs!$B$16*(1+Inputs!$B$11)^(CY$2-1),0)</f>
        <v>0</v>
      </c>
      <c r="CZ94" s="11" t="n">
        <f aca="false">IF(AND(CZ$1&gt;=Units!$Q93,MOD(CZ$1-Units!$Q93,12)=0),IF(AND(Units!$L93=1,CZ$1=Units!$Q93),1,Inputs!$B$15)*Inputs!$B$16*(1+Inputs!$B$11)^(CZ$2-1),0)</f>
        <v>0</v>
      </c>
      <c r="DA94" s="11" t="n">
        <f aca="false">IF(AND(DA$1&gt;=Units!$Q93,MOD(DA$1-Units!$Q93,12)=0),IF(AND(Units!$L93=1,DA$1=Units!$Q93),1,Inputs!$B$15)*Inputs!$B$16*(1+Inputs!$B$11)^(DA$2-1),0)</f>
        <v>633.385040693808</v>
      </c>
      <c r="DB94" s="11" t="n">
        <f aca="false">IF(AND(DB$1&gt;=Units!$Q93,MOD(DB$1-Units!$Q93,12)=0),IF(AND(Units!$L93=1,DB$1=Units!$Q93),1,Inputs!$B$15)*Inputs!$B$16*(1+Inputs!$B$11)^(DB$2-1),0)</f>
        <v>0</v>
      </c>
      <c r="DC94" s="11" t="n">
        <f aca="false">IF(AND(DC$1&gt;=Units!$Q93,MOD(DC$1-Units!$Q93,12)=0),IF(AND(Units!$L93=1,DC$1=Units!$Q93),1,Inputs!$B$15)*Inputs!$B$16*(1+Inputs!$B$11)^(DC$2-1),0)</f>
        <v>0</v>
      </c>
      <c r="DD94" s="11" t="n">
        <f aca="false">IF(AND(DD$1&gt;=Units!$Q93,MOD(DD$1-Units!$Q93,12)=0),IF(AND(Units!$L93=1,DD$1=Units!$Q93),1,Inputs!$B$15)*Inputs!$B$16*(1+Inputs!$B$11)^(DD$2-1),0)</f>
        <v>0</v>
      </c>
      <c r="DE94" s="11" t="n">
        <f aca="false">IF(AND(DE$1&gt;=Units!$Q93,MOD(DE$1-Units!$Q93,12)=0),IF(AND(Units!$L93=1,DE$1=Units!$Q93),1,Inputs!$B$15)*Inputs!$B$16*(1+Inputs!$B$11)^(DE$2-1),0)</f>
        <v>0</v>
      </c>
      <c r="DF94" s="11" t="n">
        <f aca="false">IF(AND(DF$1&gt;=Units!$Q93,MOD(DF$1-Units!$Q93,12)=0),IF(AND(Units!$L93=1,DF$1=Units!$Q93),1,Inputs!$B$15)*Inputs!$B$16*(1+Inputs!$B$11)^(DF$2-1),0)</f>
        <v>0</v>
      </c>
      <c r="DG94" s="11" t="n">
        <f aca="false">IF(AND(DG$1&gt;=Units!$Q93,MOD(DG$1-Units!$Q93,12)=0),IF(AND(Units!$L93=1,DG$1=Units!$Q93),1,Inputs!$B$15)*Inputs!$B$16*(1+Inputs!$B$11)^(DG$2-1),0)</f>
        <v>0</v>
      </c>
      <c r="DH94" s="11" t="n">
        <f aca="false">IF(AND(DH$1&gt;=Units!$Q93,MOD(DH$1-Units!$Q93,12)=0),IF(AND(Units!$L93=1,DH$1=Units!$Q93),1,Inputs!$B$15)*Inputs!$B$16*(1+Inputs!$B$11)^(DH$2-1),0)</f>
        <v>0</v>
      </c>
      <c r="DI94" s="11" t="n">
        <f aca="false">IF(AND(DI$1&gt;=Units!$Q93,MOD(DI$1-Units!$Q93,12)=0),IF(AND(Units!$L93=1,DI$1=Units!$Q93),1,Inputs!$B$15)*Inputs!$B$16*(1+Inputs!$B$11)^(DI$2-1),0)</f>
        <v>0</v>
      </c>
      <c r="DJ94" s="11" t="n">
        <f aca="false">IF(AND(DJ$1&gt;=Units!$Q93,MOD(DJ$1-Units!$Q93,12)=0),IF(AND(Units!$L93=1,DJ$1=Units!$Q93),1,Inputs!$B$15)*Inputs!$B$16*(1+Inputs!$B$11)^(DJ$2-1),0)</f>
        <v>0</v>
      </c>
      <c r="DK94" s="11" t="n">
        <f aca="false">IF(AND(DK$1&gt;=Units!$Q93,MOD(DK$1-Units!$Q93,12)=0),IF(AND(Units!$L93=1,DK$1=Units!$Q93),1,Inputs!$B$15)*Inputs!$B$16*(1+Inputs!$B$11)^(DK$2-1),0)</f>
        <v>0</v>
      </c>
      <c r="DL94" s="11" t="n">
        <f aca="false">IF(AND(DL$1&gt;=Units!$Q93,MOD(DL$1-Units!$Q93,12)=0),IF(AND(Units!$L93=1,DL$1=Units!$Q93),1,Inputs!$B$15)*Inputs!$B$16*(1+Inputs!$B$11)^(DL$2-1),0)</f>
        <v>0</v>
      </c>
      <c r="DM94" s="11" t="n">
        <f aca="false">IF(AND(DM$1&gt;=Units!$Q93,MOD(DM$1-Units!$Q93,12)=0),IF(AND(Units!$L93=1,DM$1=Units!$Q93),1,Inputs!$B$15)*Inputs!$B$16*(1+Inputs!$B$11)^(DM$2-1),0)</f>
        <v>652.386591914623</v>
      </c>
      <c r="DN94" s="11" t="n">
        <f aca="false">IF(AND(DN$1&gt;=Units!$Q93,MOD(DN$1-Units!$Q93,12)=0),IF(AND(Units!$L93=1,DN$1=Units!$Q93),1,Inputs!$B$15)*Inputs!$B$16*(1+Inputs!$B$11)^(DN$2-1),0)</f>
        <v>0</v>
      </c>
      <c r="DO94" s="11" t="n">
        <f aca="false">IF(AND(DO$1&gt;=Units!$Q93,MOD(DO$1-Units!$Q93,12)=0),IF(AND(Units!$L93=1,DO$1=Units!$Q93),1,Inputs!$B$15)*Inputs!$B$16*(1+Inputs!$B$11)^(DO$2-1),0)</f>
        <v>0</v>
      </c>
      <c r="DP94" s="11" t="n">
        <f aca="false">IF(AND(DP$1&gt;=Units!$Q93,MOD(DP$1-Units!$Q93,12)=0),IF(AND(Units!$L93=1,DP$1=Units!$Q93),1,Inputs!$B$15)*Inputs!$B$16*(1+Inputs!$B$11)^(DP$2-1),0)</f>
        <v>0</v>
      </c>
      <c r="DQ94" s="11" t="n">
        <f aca="false">IF(AND(DQ$1&gt;=Units!$Q93,MOD(DQ$1-Units!$Q93,12)=0),IF(AND(Units!$L93=1,DQ$1=Units!$Q93),1,Inputs!$B$15)*Inputs!$B$16*(1+Inputs!$B$11)^(DQ$2-1),0)</f>
        <v>0</v>
      </c>
      <c r="DR94" s="11" t="n">
        <f aca="false">IF(AND(DR$1&gt;=Units!$Q93,MOD(DR$1-Units!$Q93,12)=0),IF(AND(Units!$L93=1,DR$1=Units!$Q93),1,Inputs!$B$15)*Inputs!$B$16*(1+Inputs!$B$11)^(DR$2-1),0)</f>
        <v>0</v>
      </c>
      <c r="DS94" s="11" t="n">
        <f aca="false">IF(AND(DS$1&gt;=Units!$Q93,MOD(DS$1-Units!$Q93,12)=0),IF(AND(Units!$L93=1,DS$1=Units!$Q93),1,Inputs!$B$15)*Inputs!$B$16*(1+Inputs!$B$11)^(DS$2-1),0)</f>
        <v>0</v>
      </c>
      <c r="DT94" s="11" t="n">
        <f aca="false">IF(AND(DT$1&gt;=Units!$Q93,MOD(DT$1-Units!$Q93,12)=0),IF(AND(Units!$L93=1,DT$1=Units!$Q93),1,Inputs!$B$15)*Inputs!$B$16*(1+Inputs!$B$11)^(DT$2-1),0)</f>
        <v>0</v>
      </c>
      <c r="DU94" s="11" t="n">
        <f aca="false">IF(AND(DU$1&gt;=Units!$Q93,MOD(DU$1-Units!$Q93,12)=0),IF(AND(Units!$L93=1,DU$1=Units!$Q93),1,Inputs!$B$15)*Inputs!$B$16*(1+Inputs!$B$11)^(DU$2-1),0)</f>
        <v>0</v>
      </c>
      <c r="DV94" s="11" t="n">
        <f aca="false">IF(AND(DV$1&gt;=Units!$Q93,MOD(DV$1-Units!$Q93,12)=0),IF(AND(Units!$L93=1,DV$1=Units!$Q93),1,Inputs!$B$15)*Inputs!$B$16*(1+Inputs!$B$11)^(DV$2-1),0)</f>
        <v>0</v>
      </c>
      <c r="DW94" s="11" t="n">
        <f aca="false">IF(AND(DW$1&gt;=Units!$Q93,MOD(DW$1-Units!$Q93,12)=0),IF(AND(Units!$L93=1,DW$1=Units!$Q93),1,Inputs!$B$15)*Inputs!$B$16*(1+Inputs!$B$11)^(DW$2-1),0)</f>
        <v>0</v>
      </c>
      <c r="DX94" s="11" t="n">
        <f aca="false">IF(AND(DX$1&gt;=Units!$Q93,MOD(DX$1-Units!$Q93,12)=0),IF(AND(Units!$L93=1,DX$1=Units!$Q93),1,Inputs!$B$15)*Inputs!$B$16*(1+Inputs!$B$11)^(DX$2-1),0)</f>
        <v>0</v>
      </c>
      <c r="DY94" s="11" t="n">
        <f aca="false">IF(AND(DY$1&gt;=Units!$Q93,MOD(DY$1-Units!$Q93,12)=0),IF(AND(Units!$L93=1,DY$1=Units!$Q93),1,Inputs!$B$15)*Inputs!$B$16*(1+Inputs!$B$11)^(DY$2-1),0)</f>
        <v>671.958189672061</v>
      </c>
      <c r="DZ94" s="11" t="n">
        <f aca="false">IF(AND(DZ$1&gt;=Units!$Q93,MOD(DZ$1-Units!$Q93,12)=0),IF(AND(Units!$L93=1,DZ$1=Units!$Q93),1,Inputs!$B$15)*Inputs!$B$16*(1+Inputs!$B$11)^(DZ$2-1),0)</f>
        <v>0</v>
      </c>
      <c r="EA94" s="11" t="n">
        <f aca="false">IF(AND(EA$1&gt;=Units!$Q93,MOD(EA$1-Units!$Q93,12)=0),IF(AND(Units!$L93=1,EA$1=Units!$Q93),1,Inputs!$B$15)*Inputs!$B$16*(1+Inputs!$B$11)^(EA$2-1),0)</f>
        <v>0</v>
      </c>
      <c r="EB94" s="11" t="n">
        <f aca="false">IF(AND(EB$1&gt;=Units!$Q93,MOD(EB$1-Units!$Q93,12)=0),IF(AND(Units!$L93=1,EB$1=Units!$Q93),1,Inputs!$B$15)*Inputs!$B$16*(1+Inputs!$B$11)^(EB$2-1),0)</f>
        <v>0</v>
      </c>
      <c r="EC94" s="11" t="n">
        <f aca="false">IF(AND(EC$1&gt;=Units!$Q93,MOD(EC$1-Units!$Q93,12)=0),IF(AND(Units!$L93=1,EC$1=Units!$Q93),1,Inputs!$B$15)*Inputs!$B$16*(1+Inputs!$B$11)^(EC$2-1),0)</f>
        <v>0</v>
      </c>
      <c r="ED94" s="11" t="n">
        <f aca="false">IF(AND(ED$1&gt;=Units!$Q93,MOD(ED$1-Units!$Q93,12)=0),IF(AND(Units!$L93=1,ED$1=Units!$Q93),1,Inputs!$B$15)*Inputs!$B$16*(1+Inputs!$B$11)^(ED$2-1),0)</f>
        <v>0</v>
      </c>
    </row>
    <row r="95" customFormat="false" ht="15" hidden="false" customHeight="false" outlineLevel="0" collapsed="false">
      <c r="A95" s="22" t="n">
        <f aca="false">Units!A94</f>
        <v>403</v>
      </c>
      <c r="B95" s="23"/>
      <c r="C95" s="11" t="n">
        <f aca="false">IF(AND(C$1&gt;=Units!$Q94,MOD(C$1-Units!$Q94,12)=0),IF(AND(Units!$L94=1,C$1=Units!$Q94),1,Inputs!$B$15)*Inputs!$B$16*(1+Inputs!$B$11)^(C$2-1),0)</f>
        <v>0</v>
      </c>
      <c r="D95" s="11" t="n">
        <f aca="false">IF(AND(D$1&gt;=Units!$Q94,MOD(D$1-Units!$Q94,12)=0),IF(AND(Units!$L94=1,D$1=Units!$Q94),1,Inputs!$B$15)*Inputs!$B$16*(1+Inputs!$B$11)^(D$2-1),0)</f>
        <v>0</v>
      </c>
      <c r="E95" s="11" t="n">
        <f aca="false">IF(AND(E$1&gt;=Units!$Q94,MOD(E$1-Units!$Q94,12)=0),IF(AND(Units!$L94=1,E$1=Units!$Q94),1,Inputs!$B$15)*Inputs!$B$16*(1+Inputs!$B$11)^(E$2-1),0)</f>
        <v>0</v>
      </c>
      <c r="F95" s="11" t="n">
        <f aca="false">IF(AND(F$1&gt;=Units!$Q94,MOD(F$1-Units!$Q94,12)=0),IF(AND(Units!$L94=1,F$1=Units!$Q94),1,Inputs!$B$15)*Inputs!$B$16*(1+Inputs!$B$11)^(F$2-1),0)</f>
        <v>0</v>
      </c>
      <c r="G95" s="11" t="n">
        <f aca="false">IF(AND(G$1&gt;=Units!$Q94,MOD(G$1-Units!$Q94,12)=0),IF(AND(Units!$L94=1,G$1=Units!$Q94),1,Inputs!$B$15)*Inputs!$B$16*(1+Inputs!$B$11)^(G$2-1),0)</f>
        <v>0</v>
      </c>
      <c r="H95" s="11" t="n">
        <f aca="false">IF(AND(H$1&gt;=Units!$Q94,MOD(H$1-Units!$Q94,12)=0),IF(AND(Units!$L94=1,H$1=Units!$Q94),1,Inputs!$B$15)*Inputs!$B$16*(1+Inputs!$B$11)^(H$2-1),0)</f>
        <v>500</v>
      </c>
      <c r="I95" s="11" t="n">
        <f aca="false">IF(AND(I$1&gt;=Units!$Q94,MOD(I$1-Units!$Q94,12)=0),IF(AND(Units!$L94=1,I$1=Units!$Q94),1,Inputs!$B$15)*Inputs!$B$16*(1+Inputs!$B$11)^(I$2-1),0)</f>
        <v>0</v>
      </c>
      <c r="J95" s="11" t="n">
        <f aca="false">IF(AND(J$1&gt;=Units!$Q94,MOD(J$1-Units!$Q94,12)=0),IF(AND(Units!$L94=1,J$1=Units!$Q94),1,Inputs!$B$15)*Inputs!$B$16*(1+Inputs!$B$11)^(J$2-1),0)</f>
        <v>0</v>
      </c>
      <c r="K95" s="11" t="n">
        <f aca="false">IF(AND(K$1&gt;=Units!$Q94,MOD(K$1-Units!$Q94,12)=0),IF(AND(Units!$L94=1,K$1=Units!$Q94),1,Inputs!$B$15)*Inputs!$B$16*(1+Inputs!$B$11)^(K$2-1),0)</f>
        <v>0</v>
      </c>
      <c r="L95" s="11" t="n">
        <f aca="false">IF(AND(L$1&gt;=Units!$Q94,MOD(L$1-Units!$Q94,12)=0),IF(AND(Units!$L94=1,L$1=Units!$Q94),1,Inputs!$B$15)*Inputs!$B$16*(1+Inputs!$B$11)^(L$2-1),0)</f>
        <v>0</v>
      </c>
      <c r="M95" s="11" t="n">
        <f aca="false">IF(AND(M$1&gt;=Units!$Q94,MOD(M$1-Units!$Q94,12)=0),IF(AND(Units!$L94=1,M$1=Units!$Q94),1,Inputs!$B$15)*Inputs!$B$16*(1+Inputs!$B$11)^(M$2-1),0)</f>
        <v>0</v>
      </c>
      <c r="N95" s="11" t="n">
        <f aca="false">IF(AND(N$1&gt;=Units!$Q94,MOD(N$1-Units!$Q94,12)=0),IF(AND(Units!$L94=1,N$1=Units!$Q94),1,Inputs!$B$15)*Inputs!$B$16*(1+Inputs!$B$11)^(N$2-1),0)</f>
        <v>0</v>
      </c>
      <c r="O95" s="11" t="n">
        <f aca="false">IF(AND(O$1&gt;=Units!$Q94,MOD(O$1-Units!$Q94,12)=0),IF(AND(Units!$L94=1,O$1=Units!$Q94),1,Inputs!$B$15)*Inputs!$B$16*(1+Inputs!$B$11)^(O$2-1),0)</f>
        <v>0</v>
      </c>
      <c r="P95" s="11" t="n">
        <f aca="false">IF(AND(P$1&gt;=Units!$Q94,MOD(P$1-Units!$Q94,12)=0),IF(AND(Units!$L94=1,P$1=Units!$Q94),1,Inputs!$B$15)*Inputs!$B$16*(1+Inputs!$B$11)^(P$2-1),0)</f>
        <v>0</v>
      </c>
      <c r="Q95" s="11" t="n">
        <f aca="false">IF(AND(Q$1&gt;=Units!$Q94,MOD(Q$1-Units!$Q94,12)=0),IF(AND(Units!$L94=1,Q$1=Units!$Q94),1,Inputs!$B$15)*Inputs!$B$16*(1+Inputs!$B$11)^(Q$2-1),0)</f>
        <v>0</v>
      </c>
      <c r="R95" s="11" t="n">
        <f aca="false">IF(AND(R$1&gt;=Units!$Q94,MOD(R$1-Units!$Q94,12)=0),IF(AND(Units!$L94=1,R$1=Units!$Q94),1,Inputs!$B$15)*Inputs!$B$16*(1+Inputs!$B$11)^(R$2-1),0)</f>
        <v>0</v>
      </c>
      <c r="S95" s="11" t="n">
        <f aca="false">IF(AND(S$1&gt;=Units!$Q94,MOD(S$1-Units!$Q94,12)=0),IF(AND(Units!$L94=1,S$1=Units!$Q94),1,Inputs!$B$15)*Inputs!$B$16*(1+Inputs!$B$11)^(S$2-1),0)</f>
        <v>0</v>
      </c>
      <c r="T95" s="11" t="n">
        <f aca="false">IF(AND(T$1&gt;=Units!$Q94,MOD(T$1-Units!$Q94,12)=0),IF(AND(Units!$L94=1,T$1=Units!$Q94),1,Inputs!$B$15)*Inputs!$B$16*(1+Inputs!$B$11)^(T$2-1),0)</f>
        <v>515</v>
      </c>
      <c r="U95" s="11" t="n">
        <f aca="false">IF(AND(U$1&gt;=Units!$Q94,MOD(U$1-Units!$Q94,12)=0),IF(AND(Units!$L94=1,U$1=Units!$Q94),1,Inputs!$B$15)*Inputs!$B$16*(1+Inputs!$B$11)^(U$2-1),0)</f>
        <v>0</v>
      </c>
      <c r="V95" s="11" t="n">
        <f aca="false">IF(AND(V$1&gt;=Units!$Q94,MOD(V$1-Units!$Q94,12)=0),IF(AND(Units!$L94=1,V$1=Units!$Q94),1,Inputs!$B$15)*Inputs!$B$16*(1+Inputs!$B$11)^(V$2-1),0)</f>
        <v>0</v>
      </c>
      <c r="W95" s="11" t="n">
        <f aca="false">IF(AND(W$1&gt;=Units!$Q94,MOD(W$1-Units!$Q94,12)=0),IF(AND(Units!$L94=1,W$1=Units!$Q94),1,Inputs!$B$15)*Inputs!$B$16*(1+Inputs!$B$11)^(W$2-1),0)</f>
        <v>0</v>
      </c>
      <c r="X95" s="11" t="n">
        <f aca="false">IF(AND(X$1&gt;=Units!$Q94,MOD(X$1-Units!$Q94,12)=0),IF(AND(Units!$L94=1,X$1=Units!$Q94),1,Inputs!$B$15)*Inputs!$B$16*(1+Inputs!$B$11)^(X$2-1),0)</f>
        <v>0</v>
      </c>
      <c r="Y95" s="11" t="n">
        <f aca="false">IF(AND(Y$1&gt;=Units!$Q94,MOD(Y$1-Units!$Q94,12)=0),IF(AND(Units!$L94=1,Y$1=Units!$Q94),1,Inputs!$B$15)*Inputs!$B$16*(1+Inputs!$B$11)^(Y$2-1),0)</f>
        <v>0</v>
      </c>
      <c r="Z95" s="11" t="n">
        <f aca="false">IF(AND(Z$1&gt;=Units!$Q94,MOD(Z$1-Units!$Q94,12)=0),IF(AND(Units!$L94=1,Z$1=Units!$Q94),1,Inputs!$B$15)*Inputs!$B$16*(1+Inputs!$B$11)^(Z$2-1),0)</f>
        <v>0</v>
      </c>
      <c r="AA95" s="11" t="n">
        <f aca="false">IF(AND(AA$1&gt;=Units!$Q94,MOD(AA$1-Units!$Q94,12)=0),IF(AND(Units!$L94=1,AA$1=Units!$Q94),1,Inputs!$B$15)*Inputs!$B$16*(1+Inputs!$B$11)^(AA$2-1),0)</f>
        <v>0</v>
      </c>
      <c r="AB95" s="11" t="n">
        <f aca="false">IF(AND(AB$1&gt;=Units!$Q94,MOD(AB$1-Units!$Q94,12)=0),IF(AND(Units!$L94=1,AB$1=Units!$Q94),1,Inputs!$B$15)*Inputs!$B$16*(1+Inputs!$B$11)^(AB$2-1),0)</f>
        <v>0</v>
      </c>
      <c r="AC95" s="11" t="n">
        <f aca="false">IF(AND(AC$1&gt;=Units!$Q94,MOD(AC$1-Units!$Q94,12)=0),IF(AND(Units!$L94=1,AC$1=Units!$Q94),1,Inputs!$B$15)*Inputs!$B$16*(1+Inputs!$B$11)^(AC$2-1),0)</f>
        <v>0</v>
      </c>
      <c r="AD95" s="11" t="n">
        <f aca="false">IF(AND(AD$1&gt;=Units!$Q94,MOD(AD$1-Units!$Q94,12)=0),IF(AND(Units!$L94=1,AD$1=Units!$Q94),1,Inputs!$B$15)*Inputs!$B$16*(1+Inputs!$B$11)^(AD$2-1),0)</f>
        <v>0</v>
      </c>
      <c r="AE95" s="11" t="n">
        <f aca="false">IF(AND(AE$1&gt;=Units!$Q94,MOD(AE$1-Units!$Q94,12)=0),IF(AND(Units!$L94=1,AE$1=Units!$Q94),1,Inputs!$B$15)*Inputs!$B$16*(1+Inputs!$B$11)^(AE$2-1),0)</f>
        <v>0</v>
      </c>
      <c r="AF95" s="11" t="n">
        <f aca="false">IF(AND(AF$1&gt;=Units!$Q94,MOD(AF$1-Units!$Q94,12)=0),IF(AND(Units!$L94=1,AF$1=Units!$Q94),1,Inputs!$B$15)*Inputs!$B$16*(1+Inputs!$B$11)^(AF$2-1),0)</f>
        <v>530.45</v>
      </c>
      <c r="AG95" s="11" t="n">
        <f aca="false">IF(AND(AG$1&gt;=Units!$Q94,MOD(AG$1-Units!$Q94,12)=0),IF(AND(Units!$L94=1,AG$1=Units!$Q94),1,Inputs!$B$15)*Inputs!$B$16*(1+Inputs!$B$11)^(AG$2-1),0)</f>
        <v>0</v>
      </c>
      <c r="AH95" s="11" t="n">
        <f aca="false">IF(AND(AH$1&gt;=Units!$Q94,MOD(AH$1-Units!$Q94,12)=0),IF(AND(Units!$L94=1,AH$1=Units!$Q94),1,Inputs!$B$15)*Inputs!$B$16*(1+Inputs!$B$11)^(AH$2-1),0)</f>
        <v>0</v>
      </c>
      <c r="AI95" s="11" t="n">
        <f aca="false">IF(AND(AI$1&gt;=Units!$Q94,MOD(AI$1-Units!$Q94,12)=0),IF(AND(Units!$L94=1,AI$1=Units!$Q94),1,Inputs!$B$15)*Inputs!$B$16*(1+Inputs!$B$11)^(AI$2-1),0)</f>
        <v>0</v>
      </c>
      <c r="AJ95" s="11" t="n">
        <f aca="false">IF(AND(AJ$1&gt;=Units!$Q94,MOD(AJ$1-Units!$Q94,12)=0),IF(AND(Units!$L94=1,AJ$1=Units!$Q94),1,Inputs!$B$15)*Inputs!$B$16*(1+Inputs!$B$11)^(AJ$2-1),0)</f>
        <v>0</v>
      </c>
      <c r="AK95" s="11" t="n">
        <f aca="false">IF(AND(AK$1&gt;=Units!$Q94,MOD(AK$1-Units!$Q94,12)=0),IF(AND(Units!$L94=1,AK$1=Units!$Q94),1,Inputs!$B$15)*Inputs!$B$16*(1+Inputs!$B$11)^(AK$2-1),0)</f>
        <v>0</v>
      </c>
      <c r="AL95" s="11" t="n">
        <f aca="false">IF(AND(AL$1&gt;=Units!$Q94,MOD(AL$1-Units!$Q94,12)=0),IF(AND(Units!$L94=1,AL$1=Units!$Q94),1,Inputs!$B$15)*Inputs!$B$16*(1+Inputs!$B$11)^(AL$2-1),0)</f>
        <v>0</v>
      </c>
      <c r="AM95" s="11" t="n">
        <f aca="false">IF(AND(AM$1&gt;=Units!$Q94,MOD(AM$1-Units!$Q94,12)=0),IF(AND(Units!$L94=1,AM$1=Units!$Q94),1,Inputs!$B$15)*Inputs!$B$16*(1+Inputs!$B$11)^(AM$2-1),0)</f>
        <v>0</v>
      </c>
      <c r="AN95" s="11" t="n">
        <f aca="false">IF(AND(AN$1&gt;=Units!$Q94,MOD(AN$1-Units!$Q94,12)=0),IF(AND(Units!$L94=1,AN$1=Units!$Q94),1,Inputs!$B$15)*Inputs!$B$16*(1+Inputs!$B$11)^(AN$2-1),0)</f>
        <v>0</v>
      </c>
      <c r="AO95" s="11" t="n">
        <f aca="false">IF(AND(AO$1&gt;=Units!$Q94,MOD(AO$1-Units!$Q94,12)=0),IF(AND(Units!$L94=1,AO$1=Units!$Q94),1,Inputs!$B$15)*Inputs!$B$16*(1+Inputs!$B$11)^(AO$2-1),0)</f>
        <v>0</v>
      </c>
      <c r="AP95" s="11" t="n">
        <f aca="false">IF(AND(AP$1&gt;=Units!$Q94,MOD(AP$1-Units!$Q94,12)=0),IF(AND(Units!$L94=1,AP$1=Units!$Q94),1,Inputs!$B$15)*Inputs!$B$16*(1+Inputs!$B$11)^(AP$2-1),0)</f>
        <v>0</v>
      </c>
      <c r="AQ95" s="11" t="n">
        <f aca="false">IF(AND(AQ$1&gt;=Units!$Q94,MOD(AQ$1-Units!$Q94,12)=0),IF(AND(Units!$L94=1,AQ$1=Units!$Q94),1,Inputs!$B$15)*Inputs!$B$16*(1+Inputs!$B$11)^(AQ$2-1),0)</f>
        <v>0</v>
      </c>
      <c r="AR95" s="11" t="n">
        <f aca="false">IF(AND(AR$1&gt;=Units!$Q94,MOD(AR$1-Units!$Q94,12)=0),IF(AND(Units!$L94=1,AR$1=Units!$Q94),1,Inputs!$B$15)*Inputs!$B$16*(1+Inputs!$B$11)^(AR$2-1),0)</f>
        <v>546.3635</v>
      </c>
      <c r="AS95" s="11" t="n">
        <f aca="false">IF(AND(AS$1&gt;=Units!$Q94,MOD(AS$1-Units!$Q94,12)=0),IF(AND(Units!$L94=1,AS$1=Units!$Q94),1,Inputs!$B$15)*Inputs!$B$16*(1+Inputs!$B$11)^(AS$2-1),0)</f>
        <v>0</v>
      </c>
      <c r="AT95" s="11" t="n">
        <f aca="false">IF(AND(AT$1&gt;=Units!$Q94,MOD(AT$1-Units!$Q94,12)=0),IF(AND(Units!$L94=1,AT$1=Units!$Q94),1,Inputs!$B$15)*Inputs!$B$16*(1+Inputs!$B$11)^(AT$2-1),0)</f>
        <v>0</v>
      </c>
      <c r="AU95" s="11" t="n">
        <f aca="false">IF(AND(AU$1&gt;=Units!$Q94,MOD(AU$1-Units!$Q94,12)=0),IF(AND(Units!$L94=1,AU$1=Units!$Q94),1,Inputs!$B$15)*Inputs!$B$16*(1+Inputs!$B$11)^(AU$2-1),0)</f>
        <v>0</v>
      </c>
      <c r="AV95" s="11" t="n">
        <f aca="false">IF(AND(AV$1&gt;=Units!$Q94,MOD(AV$1-Units!$Q94,12)=0),IF(AND(Units!$L94=1,AV$1=Units!$Q94),1,Inputs!$B$15)*Inputs!$B$16*(1+Inputs!$B$11)^(AV$2-1),0)</f>
        <v>0</v>
      </c>
      <c r="AW95" s="11" t="n">
        <f aca="false">IF(AND(AW$1&gt;=Units!$Q94,MOD(AW$1-Units!$Q94,12)=0),IF(AND(Units!$L94=1,AW$1=Units!$Q94),1,Inputs!$B$15)*Inputs!$B$16*(1+Inputs!$B$11)^(AW$2-1),0)</f>
        <v>0</v>
      </c>
      <c r="AX95" s="11" t="n">
        <f aca="false">IF(AND(AX$1&gt;=Units!$Q94,MOD(AX$1-Units!$Q94,12)=0),IF(AND(Units!$L94=1,AX$1=Units!$Q94),1,Inputs!$B$15)*Inputs!$B$16*(1+Inputs!$B$11)^(AX$2-1),0)</f>
        <v>0</v>
      </c>
      <c r="AY95" s="11" t="n">
        <f aca="false">IF(AND(AY$1&gt;=Units!$Q94,MOD(AY$1-Units!$Q94,12)=0),IF(AND(Units!$L94=1,AY$1=Units!$Q94),1,Inputs!$B$15)*Inputs!$B$16*(1+Inputs!$B$11)^(AY$2-1),0)</f>
        <v>0</v>
      </c>
      <c r="AZ95" s="11" t="n">
        <f aca="false">IF(AND(AZ$1&gt;=Units!$Q94,MOD(AZ$1-Units!$Q94,12)=0),IF(AND(Units!$L94=1,AZ$1=Units!$Q94),1,Inputs!$B$15)*Inputs!$B$16*(1+Inputs!$B$11)^(AZ$2-1),0)</f>
        <v>0</v>
      </c>
      <c r="BA95" s="11" t="n">
        <f aca="false">IF(AND(BA$1&gt;=Units!$Q94,MOD(BA$1-Units!$Q94,12)=0),IF(AND(Units!$L94=1,BA$1=Units!$Q94),1,Inputs!$B$15)*Inputs!$B$16*(1+Inputs!$B$11)^(BA$2-1),0)</f>
        <v>0</v>
      </c>
      <c r="BB95" s="11" t="n">
        <f aca="false">IF(AND(BB$1&gt;=Units!$Q94,MOD(BB$1-Units!$Q94,12)=0),IF(AND(Units!$L94=1,BB$1=Units!$Q94),1,Inputs!$B$15)*Inputs!$B$16*(1+Inputs!$B$11)^(BB$2-1),0)</f>
        <v>0</v>
      </c>
      <c r="BC95" s="11" t="n">
        <f aca="false">IF(AND(BC$1&gt;=Units!$Q94,MOD(BC$1-Units!$Q94,12)=0),IF(AND(Units!$L94=1,BC$1=Units!$Q94),1,Inputs!$B$15)*Inputs!$B$16*(1+Inputs!$B$11)^(BC$2-1),0)</f>
        <v>0</v>
      </c>
      <c r="BD95" s="11" t="n">
        <f aca="false">IF(AND(BD$1&gt;=Units!$Q94,MOD(BD$1-Units!$Q94,12)=0),IF(AND(Units!$L94=1,BD$1=Units!$Q94),1,Inputs!$B$15)*Inputs!$B$16*(1+Inputs!$B$11)^(BD$2-1),0)</f>
        <v>562.754405</v>
      </c>
      <c r="BE95" s="11" t="n">
        <f aca="false">IF(AND(BE$1&gt;=Units!$Q94,MOD(BE$1-Units!$Q94,12)=0),IF(AND(Units!$L94=1,BE$1=Units!$Q94),1,Inputs!$B$15)*Inputs!$B$16*(1+Inputs!$B$11)^(BE$2-1),0)</f>
        <v>0</v>
      </c>
      <c r="BF95" s="11" t="n">
        <f aca="false">IF(AND(BF$1&gt;=Units!$Q94,MOD(BF$1-Units!$Q94,12)=0),IF(AND(Units!$L94=1,BF$1=Units!$Q94),1,Inputs!$B$15)*Inputs!$B$16*(1+Inputs!$B$11)^(BF$2-1),0)</f>
        <v>0</v>
      </c>
      <c r="BG95" s="11" t="n">
        <f aca="false">IF(AND(BG$1&gt;=Units!$Q94,MOD(BG$1-Units!$Q94,12)=0),IF(AND(Units!$L94=1,BG$1=Units!$Q94),1,Inputs!$B$15)*Inputs!$B$16*(1+Inputs!$B$11)^(BG$2-1),0)</f>
        <v>0</v>
      </c>
      <c r="BH95" s="11" t="n">
        <f aca="false">IF(AND(BH$1&gt;=Units!$Q94,MOD(BH$1-Units!$Q94,12)=0),IF(AND(Units!$L94=1,BH$1=Units!$Q94),1,Inputs!$B$15)*Inputs!$B$16*(1+Inputs!$B$11)^(BH$2-1),0)</f>
        <v>0</v>
      </c>
      <c r="BI95" s="11" t="n">
        <f aca="false">IF(AND(BI$1&gt;=Units!$Q94,MOD(BI$1-Units!$Q94,12)=0),IF(AND(Units!$L94=1,BI$1=Units!$Q94),1,Inputs!$B$15)*Inputs!$B$16*(1+Inputs!$B$11)^(BI$2-1),0)</f>
        <v>0</v>
      </c>
      <c r="BJ95" s="11" t="n">
        <f aca="false">IF(AND(BJ$1&gt;=Units!$Q94,MOD(BJ$1-Units!$Q94,12)=0),IF(AND(Units!$L94=1,BJ$1=Units!$Q94),1,Inputs!$B$15)*Inputs!$B$16*(1+Inputs!$B$11)^(BJ$2-1),0)</f>
        <v>0</v>
      </c>
      <c r="BK95" s="11" t="n">
        <f aca="false">IF(AND(BK$1&gt;=Units!$Q94,MOD(BK$1-Units!$Q94,12)=0),IF(AND(Units!$L94=1,BK$1=Units!$Q94),1,Inputs!$B$15)*Inputs!$B$16*(1+Inputs!$B$11)^(BK$2-1),0)</f>
        <v>0</v>
      </c>
      <c r="BL95" s="11" t="n">
        <f aca="false">IF(AND(BL$1&gt;=Units!$Q94,MOD(BL$1-Units!$Q94,12)=0),IF(AND(Units!$L94=1,BL$1=Units!$Q94),1,Inputs!$B$15)*Inputs!$B$16*(1+Inputs!$B$11)^(BL$2-1),0)</f>
        <v>0</v>
      </c>
      <c r="BM95" s="11" t="n">
        <f aca="false">IF(AND(BM$1&gt;=Units!$Q94,MOD(BM$1-Units!$Q94,12)=0),IF(AND(Units!$L94=1,BM$1=Units!$Q94),1,Inputs!$B$15)*Inputs!$B$16*(1+Inputs!$B$11)^(BM$2-1),0)</f>
        <v>0</v>
      </c>
      <c r="BN95" s="11" t="n">
        <f aca="false">IF(AND(BN$1&gt;=Units!$Q94,MOD(BN$1-Units!$Q94,12)=0),IF(AND(Units!$L94=1,BN$1=Units!$Q94),1,Inputs!$B$15)*Inputs!$B$16*(1+Inputs!$B$11)^(BN$2-1),0)</f>
        <v>0</v>
      </c>
      <c r="BO95" s="11" t="n">
        <f aca="false">IF(AND(BO$1&gt;=Units!$Q94,MOD(BO$1-Units!$Q94,12)=0),IF(AND(Units!$L94=1,BO$1=Units!$Q94),1,Inputs!$B$15)*Inputs!$B$16*(1+Inputs!$B$11)^(BO$2-1),0)</f>
        <v>0</v>
      </c>
      <c r="BP95" s="11" t="n">
        <f aca="false">IF(AND(BP$1&gt;=Units!$Q94,MOD(BP$1-Units!$Q94,12)=0),IF(AND(Units!$L94=1,BP$1=Units!$Q94),1,Inputs!$B$15)*Inputs!$B$16*(1+Inputs!$B$11)^(BP$2-1),0)</f>
        <v>579.63703715</v>
      </c>
      <c r="BQ95" s="11" t="n">
        <f aca="false">IF(AND(BQ$1&gt;=Units!$Q94,MOD(BQ$1-Units!$Q94,12)=0),IF(AND(Units!$L94=1,BQ$1=Units!$Q94),1,Inputs!$B$15)*Inputs!$B$16*(1+Inputs!$B$11)^(BQ$2-1),0)</f>
        <v>0</v>
      </c>
      <c r="BR95" s="11" t="n">
        <f aca="false">IF(AND(BR$1&gt;=Units!$Q94,MOD(BR$1-Units!$Q94,12)=0),IF(AND(Units!$L94=1,BR$1=Units!$Q94),1,Inputs!$B$15)*Inputs!$B$16*(1+Inputs!$B$11)^(BR$2-1),0)</f>
        <v>0</v>
      </c>
      <c r="BS95" s="11" t="n">
        <f aca="false">IF(AND(BS$1&gt;=Units!$Q94,MOD(BS$1-Units!$Q94,12)=0),IF(AND(Units!$L94=1,BS$1=Units!$Q94),1,Inputs!$B$15)*Inputs!$B$16*(1+Inputs!$B$11)^(BS$2-1),0)</f>
        <v>0</v>
      </c>
      <c r="BT95" s="11" t="n">
        <f aca="false">IF(AND(BT$1&gt;=Units!$Q94,MOD(BT$1-Units!$Q94,12)=0),IF(AND(Units!$L94=1,BT$1=Units!$Q94),1,Inputs!$B$15)*Inputs!$B$16*(1+Inputs!$B$11)^(BT$2-1),0)</f>
        <v>0</v>
      </c>
      <c r="BU95" s="11" t="n">
        <f aca="false">IF(AND(BU$1&gt;=Units!$Q94,MOD(BU$1-Units!$Q94,12)=0),IF(AND(Units!$L94=1,BU$1=Units!$Q94),1,Inputs!$B$15)*Inputs!$B$16*(1+Inputs!$B$11)^(BU$2-1),0)</f>
        <v>0</v>
      </c>
      <c r="BV95" s="11" t="n">
        <f aca="false">IF(AND(BV$1&gt;=Units!$Q94,MOD(BV$1-Units!$Q94,12)=0),IF(AND(Units!$L94=1,BV$1=Units!$Q94),1,Inputs!$B$15)*Inputs!$B$16*(1+Inputs!$B$11)^(BV$2-1),0)</f>
        <v>0</v>
      </c>
      <c r="BW95" s="11" t="n">
        <f aca="false">IF(AND(BW$1&gt;=Units!$Q94,MOD(BW$1-Units!$Q94,12)=0),IF(AND(Units!$L94=1,BW$1=Units!$Q94),1,Inputs!$B$15)*Inputs!$B$16*(1+Inputs!$B$11)^(BW$2-1),0)</f>
        <v>0</v>
      </c>
      <c r="BX95" s="11" t="n">
        <f aca="false">IF(AND(BX$1&gt;=Units!$Q94,MOD(BX$1-Units!$Q94,12)=0),IF(AND(Units!$L94=1,BX$1=Units!$Q94),1,Inputs!$B$15)*Inputs!$B$16*(1+Inputs!$B$11)^(BX$2-1),0)</f>
        <v>0</v>
      </c>
      <c r="BY95" s="11" t="n">
        <f aca="false">IF(AND(BY$1&gt;=Units!$Q94,MOD(BY$1-Units!$Q94,12)=0),IF(AND(Units!$L94=1,BY$1=Units!$Q94),1,Inputs!$B$15)*Inputs!$B$16*(1+Inputs!$B$11)^(BY$2-1),0)</f>
        <v>0</v>
      </c>
      <c r="BZ95" s="11" t="n">
        <f aca="false">IF(AND(BZ$1&gt;=Units!$Q94,MOD(BZ$1-Units!$Q94,12)=0),IF(AND(Units!$L94=1,BZ$1=Units!$Q94),1,Inputs!$B$15)*Inputs!$B$16*(1+Inputs!$B$11)^(BZ$2-1),0)</f>
        <v>0</v>
      </c>
      <c r="CA95" s="11" t="n">
        <f aca="false">IF(AND(CA$1&gt;=Units!$Q94,MOD(CA$1-Units!$Q94,12)=0),IF(AND(Units!$L94=1,CA$1=Units!$Q94),1,Inputs!$B$15)*Inputs!$B$16*(1+Inputs!$B$11)^(CA$2-1),0)</f>
        <v>0</v>
      </c>
      <c r="CB95" s="11" t="n">
        <f aca="false">IF(AND(CB$1&gt;=Units!$Q94,MOD(CB$1-Units!$Q94,12)=0),IF(AND(Units!$L94=1,CB$1=Units!$Q94),1,Inputs!$B$15)*Inputs!$B$16*(1+Inputs!$B$11)^(CB$2-1),0)</f>
        <v>597.0261482645</v>
      </c>
      <c r="CC95" s="11" t="n">
        <f aca="false">IF(AND(CC$1&gt;=Units!$Q94,MOD(CC$1-Units!$Q94,12)=0),IF(AND(Units!$L94=1,CC$1=Units!$Q94),1,Inputs!$B$15)*Inputs!$B$16*(1+Inputs!$B$11)^(CC$2-1),0)</f>
        <v>0</v>
      </c>
      <c r="CD95" s="11" t="n">
        <f aca="false">IF(AND(CD$1&gt;=Units!$Q94,MOD(CD$1-Units!$Q94,12)=0),IF(AND(Units!$L94=1,CD$1=Units!$Q94),1,Inputs!$B$15)*Inputs!$B$16*(1+Inputs!$B$11)^(CD$2-1),0)</f>
        <v>0</v>
      </c>
      <c r="CE95" s="11" t="n">
        <f aca="false">IF(AND(CE$1&gt;=Units!$Q94,MOD(CE$1-Units!$Q94,12)=0),IF(AND(Units!$L94=1,CE$1=Units!$Q94),1,Inputs!$B$15)*Inputs!$B$16*(1+Inputs!$B$11)^(CE$2-1),0)</f>
        <v>0</v>
      </c>
      <c r="CF95" s="11" t="n">
        <f aca="false">IF(AND(CF$1&gt;=Units!$Q94,MOD(CF$1-Units!$Q94,12)=0),IF(AND(Units!$L94=1,CF$1=Units!$Q94),1,Inputs!$B$15)*Inputs!$B$16*(1+Inputs!$B$11)^(CF$2-1),0)</f>
        <v>0</v>
      </c>
      <c r="CG95" s="11" t="n">
        <f aca="false">IF(AND(CG$1&gt;=Units!$Q94,MOD(CG$1-Units!$Q94,12)=0),IF(AND(Units!$L94=1,CG$1=Units!$Q94),1,Inputs!$B$15)*Inputs!$B$16*(1+Inputs!$B$11)^(CG$2-1),0)</f>
        <v>0</v>
      </c>
      <c r="CH95" s="11" t="n">
        <f aca="false">IF(AND(CH$1&gt;=Units!$Q94,MOD(CH$1-Units!$Q94,12)=0),IF(AND(Units!$L94=1,CH$1=Units!$Q94),1,Inputs!$B$15)*Inputs!$B$16*(1+Inputs!$B$11)^(CH$2-1),0)</f>
        <v>0</v>
      </c>
      <c r="CI95" s="11" t="n">
        <f aca="false">IF(AND(CI$1&gt;=Units!$Q94,MOD(CI$1-Units!$Q94,12)=0),IF(AND(Units!$L94=1,CI$1=Units!$Q94),1,Inputs!$B$15)*Inputs!$B$16*(1+Inputs!$B$11)^(CI$2-1),0)</f>
        <v>0</v>
      </c>
      <c r="CJ95" s="11" t="n">
        <f aca="false">IF(AND(CJ$1&gt;=Units!$Q94,MOD(CJ$1-Units!$Q94,12)=0),IF(AND(Units!$L94=1,CJ$1=Units!$Q94),1,Inputs!$B$15)*Inputs!$B$16*(1+Inputs!$B$11)^(CJ$2-1),0)</f>
        <v>0</v>
      </c>
      <c r="CK95" s="11" t="n">
        <f aca="false">IF(AND(CK$1&gt;=Units!$Q94,MOD(CK$1-Units!$Q94,12)=0),IF(AND(Units!$L94=1,CK$1=Units!$Q94),1,Inputs!$B$15)*Inputs!$B$16*(1+Inputs!$B$11)^(CK$2-1),0)</f>
        <v>0</v>
      </c>
      <c r="CL95" s="11" t="n">
        <f aca="false">IF(AND(CL$1&gt;=Units!$Q94,MOD(CL$1-Units!$Q94,12)=0),IF(AND(Units!$L94=1,CL$1=Units!$Q94),1,Inputs!$B$15)*Inputs!$B$16*(1+Inputs!$B$11)^(CL$2-1),0)</f>
        <v>0</v>
      </c>
      <c r="CM95" s="11" t="n">
        <f aca="false">IF(AND(CM$1&gt;=Units!$Q94,MOD(CM$1-Units!$Q94,12)=0),IF(AND(Units!$L94=1,CM$1=Units!$Q94),1,Inputs!$B$15)*Inputs!$B$16*(1+Inputs!$B$11)^(CM$2-1),0)</f>
        <v>0</v>
      </c>
      <c r="CN95" s="11" t="n">
        <f aca="false">IF(AND(CN$1&gt;=Units!$Q94,MOD(CN$1-Units!$Q94,12)=0),IF(AND(Units!$L94=1,CN$1=Units!$Q94),1,Inputs!$B$15)*Inputs!$B$16*(1+Inputs!$B$11)^(CN$2-1),0)</f>
        <v>614.936932712435</v>
      </c>
      <c r="CO95" s="11" t="n">
        <f aca="false">IF(AND(CO$1&gt;=Units!$Q94,MOD(CO$1-Units!$Q94,12)=0),IF(AND(Units!$L94=1,CO$1=Units!$Q94),1,Inputs!$B$15)*Inputs!$B$16*(1+Inputs!$B$11)^(CO$2-1),0)</f>
        <v>0</v>
      </c>
      <c r="CP95" s="11" t="n">
        <f aca="false">IF(AND(CP$1&gt;=Units!$Q94,MOD(CP$1-Units!$Q94,12)=0),IF(AND(Units!$L94=1,CP$1=Units!$Q94),1,Inputs!$B$15)*Inputs!$B$16*(1+Inputs!$B$11)^(CP$2-1),0)</f>
        <v>0</v>
      </c>
      <c r="CQ95" s="11" t="n">
        <f aca="false">IF(AND(CQ$1&gt;=Units!$Q94,MOD(CQ$1-Units!$Q94,12)=0),IF(AND(Units!$L94=1,CQ$1=Units!$Q94),1,Inputs!$B$15)*Inputs!$B$16*(1+Inputs!$B$11)^(CQ$2-1),0)</f>
        <v>0</v>
      </c>
      <c r="CR95" s="11" t="n">
        <f aca="false">IF(AND(CR$1&gt;=Units!$Q94,MOD(CR$1-Units!$Q94,12)=0),IF(AND(Units!$L94=1,CR$1=Units!$Q94),1,Inputs!$B$15)*Inputs!$B$16*(1+Inputs!$B$11)^(CR$2-1),0)</f>
        <v>0</v>
      </c>
      <c r="CS95" s="11" t="n">
        <f aca="false">IF(AND(CS$1&gt;=Units!$Q94,MOD(CS$1-Units!$Q94,12)=0),IF(AND(Units!$L94=1,CS$1=Units!$Q94),1,Inputs!$B$15)*Inputs!$B$16*(1+Inputs!$B$11)^(CS$2-1),0)</f>
        <v>0</v>
      </c>
      <c r="CT95" s="11" t="n">
        <f aca="false">IF(AND(CT$1&gt;=Units!$Q94,MOD(CT$1-Units!$Q94,12)=0),IF(AND(Units!$L94=1,CT$1=Units!$Q94),1,Inputs!$B$15)*Inputs!$B$16*(1+Inputs!$B$11)^(CT$2-1),0)</f>
        <v>0</v>
      </c>
      <c r="CU95" s="11" t="n">
        <f aca="false">IF(AND(CU$1&gt;=Units!$Q94,MOD(CU$1-Units!$Q94,12)=0),IF(AND(Units!$L94=1,CU$1=Units!$Q94),1,Inputs!$B$15)*Inputs!$B$16*(1+Inputs!$B$11)^(CU$2-1),0)</f>
        <v>0</v>
      </c>
      <c r="CV95" s="11" t="n">
        <f aca="false">IF(AND(CV$1&gt;=Units!$Q94,MOD(CV$1-Units!$Q94,12)=0),IF(AND(Units!$L94=1,CV$1=Units!$Q94),1,Inputs!$B$15)*Inputs!$B$16*(1+Inputs!$B$11)^(CV$2-1),0)</f>
        <v>0</v>
      </c>
      <c r="CW95" s="11" t="n">
        <f aca="false">IF(AND(CW$1&gt;=Units!$Q94,MOD(CW$1-Units!$Q94,12)=0),IF(AND(Units!$L94=1,CW$1=Units!$Q94),1,Inputs!$B$15)*Inputs!$B$16*(1+Inputs!$B$11)^(CW$2-1),0)</f>
        <v>0</v>
      </c>
      <c r="CX95" s="11" t="n">
        <f aca="false">IF(AND(CX$1&gt;=Units!$Q94,MOD(CX$1-Units!$Q94,12)=0),IF(AND(Units!$L94=1,CX$1=Units!$Q94),1,Inputs!$B$15)*Inputs!$B$16*(1+Inputs!$B$11)^(CX$2-1),0)</f>
        <v>0</v>
      </c>
      <c r="CY95" s="11" t="n">
        <f aca="false">IF(AND(CY$1&gt;=Units!$Q94,MOD(CY$1-Units!$Q94,12)=0),IF(AND(Units!$L94=1,CY$1=Units!$Q94),1,Inputs!$B$15)*Inputs!$B$16*(1+Inputs!$B$11)^(CY$2-1),0)</f>
        <v>0</v>
      </c>
      <c r="CZ95" s="11" t="n">
        <f aca="false">IF(AND(CZ$1&gt;=Units!$Q94,MOD(CZ$1-Units!$Q94,12)=0),IF(AND(Units!$L94=1,CZ$1=Units!$Q94),1,Inputs!$B$15)*Inputs!$B$16*(1+Inputs!$B$11)^(CZ$2-1),0)</f>
        <v>633.385040693808</v>
      </c>
      <c r="DA95" s="11" t="n">
        <f aca="false">IF(AND(DA$1&gt;=Units!$Q94,MOD(DA$1-Units!$Q94,12)=0),IF(AND(Units!$L94=1,DA$1=Units!$Q94),1,Inputs!$B$15)*Inputs!$B$16*(1+Inputs!$B$11)^(DA$2-1),0)</f>
        <v>0</v>
      </c>
      <c r="DB95" s="11" t="n">
        <f aca="false">IF(AND(DB$1&gt;=Units!$Q94,MOD(DB$1-Units!$Q94,12)=0),IF(AND(Units!$L94=1,DB$1=Units!$Q94),1,Inputs!$B$15)*Inputs!$B$16*(1+Inputs!$B$11)^(DB$2-1),0)</f>
        <v>0</v>
      </c>
      <c r="DC95" s="11" t="n">
        <f aca="false">IF(AND(DC$1&gt;=Units!$Q94,MOD(DC$1-Units!$Q94,12)=0),IF(AND(Units!$L94=1,DC$1=Units!$Q94),1,Inputs!$B$15)*Inputs!$B$16*(1+Inputs!$B$11)^(DC$2-1),0)</f>
        <v>0</v>
      </c>
      <c r="DD95" s="11" t="n">
        <f aca="false">IF(AND(DD$1&gt;=Units!$Q94,MOD(DD$1-Units!$Q94,12)=0),IF(AND(Units!$L94=1,DD$1=Units!$Q94),1,Inputs!$B$15)*Inputs!$B$16*(1+Inputs!$B$11)^(DD$2-1),0)</f>
        <v>0</v>
      </c>
      <c r="DE95" s="11" t="n">
        <f aca="false">IF(AND(DE$1&gt;=Units!$Q94,MOD(DE$1-Units!$Q94,12)=0),IF(AND(Units!$L94=1,DE$1=Units!$Q94),1,Inputs!$B$15)*Inputs!$B$16*(1+Inputs!$B$11)^(DE$2-1),0)</f>
        <v>0</v>
      </c>
      <c r="DF95" s="11" t="n">
        <f aca="false">IF(AND(DF$1&gt;=Units!$Q94,MOD(DF$1-Units!$Q94,12)=0),IF(AND(Units!$L94=1,DF$1=Units!$Q94),1,Inputs!$B$15)*Inputs!$B$16*(1+Inputs!$B$11)^(DF$2-1),0)</f>
        <v>0</v>
      </c>
      <c r="DG95" s="11" t="n">
        <f aca="false">IF(AND(DG$1&gt;=Units!$Q94,MOD(DG$1-Units!$Q94,12)=0),IF(AND(Units!$L94=1,DG$1=Units!$Q94),1,Inputs!$B$15)*Inputs!$B$16*(1+Inputs!$B$11)^(DG$2-1),0)</f>
        <v>0</v>
      </c>
      <c r="DH95" s="11" t="n">
        <f aca="false">IF(AND(DH$1&gt;=Units!$Q94,MOD(DH$1-Units!$Q94,12)=0),IF(AND(Units!$L94=1,DH$1=Units!$Q94),1,Inputs!$B$15)*Inputs!$B$16*(1+Inputs!$B$11)^(DH$2-1),0)</f>
        <v>0</v>
      </c>
      <c r="DI95" s="11" t="n">
        <f aca="false">IF(AND(DI$1&gt;=Units!$Q94,MOD(DI$1-Units!$Q94,12)=0),IF(AND(Units!$L94=1,DI$1=Units!$Q94),1,Inputs!$B$15)*Inputs!$B$16*(1+Inputs!$B$11)^(DI$2-1),0)</f>
        <v>0</v>
      </c>
      <c r="DJ95" s="11" t="n">
        <f aca="false">IF(AND(DJ$1&gt;=Units!$Q94,MOD(DJ$1-Units!$Q94,12)=0),IF(AND(Units!$L94=1,DJ$1=Units!$Q94),1,Inputs!$B$15)*Inputs!$B$16*(1+Inputs!$B$11)^(DJ$2-1),0)</f>
        <v>0</v>
      </c>
      <c r="DK95" s="11" t="n">
        <f aca="false">IF(AND(DK$1&gt;=Units!$Q94,MOD(DK$1-Units!$Q94,12)=0),IF(AND(Units!$L94=1,DK$1=Units!$Q94),1,Inputs!$B$15)*Inputs!$B$16*(1+Inputs!$B$11)^(DK$2-1),0)</f>
        <v>0</v>
      </c>
      <c r="DL95" s="11" t="n">
        <f aca="false">IF(AND(DL$1&gt;=Units!$Q94,MOD(DL$1-Units!$Q94,12)=0),IF(AND(Units!$L94=1,DL$1=Units!$Q94),1,Inputs!$B$15)*Inputs!$B$16*(1+Inputs!$B$11)^(DL$2-1),0)</f>
        <v>652.386591914623</v>
      </c>
      <c r="DM95" s="11" t="n">
        <f aca="false">IF(AND(DM$1&gt;=Units!$Q94,MOD(DM$1-Units!$Q94,12)=0),IF(AND(Units!$L94=1,DM$1=Units!$Q94),1,Inputs!$B$15)*Inputs!$B$16*(1+Inputs!$B$11)^(DM$2-1),0)</f>
        <v>0</v>
      </c>
      <c r="DN95" s="11" t="n">
        <f aca="false">IF(AND(DN$1&gt;=Units!$Q94,MOD(DN$1-Units!$Q94,12)=0),IF(AND(Units!$L94=1,DN$1=Units!$Q94),1,Inputs!$B$15)*Inputs!$B$16*(1+Inputs!$B$11)^(DN$2-1),0)</f>
        <v>0</v>
      </c>
      <c r="DO95" s="11" t="n">
        <f aca="false">IF(AND(DO$1&gt;=Units!$Q94,MOD(DO$1-Units!$Q94,12)=0),IF(AND(Units!$L94=1,DO$1=Units!$Q94),1,Inputs!$B$15)*Inputs!$B$16*(1+Inputs!$B$11)^(DO$2-1),0)</f>
        <v>0</v>
      </c>
      <c r="DP95" s="11" t="n">
        <f aca="false">IF(AND(DP$1&gt;=Units!$Q94,MOD(DP$1-Units!$Q94,12)=0),IF(AND(Units!$L94=1,DP$1=Units!$Q94),1,Inputs!$B$15)*Inputs!$B$16*(1+Inputs!$B$11)^(DP$2-1),0)</f>
        <v>0</v>
      </c>
      <c r="DQ95" s="11" t="n">
        <f aca="false">IF(AND(DQ$1&gt;=Units!$Q94,MOD(DQ$1-Units!$Q94,12)=0),IF(AND(Units!$L94=1,DQ$1=Units!$Q94),1,Inputs!$B$15)*Inputs!$B$16*(1+Inputs!$B$11)^(DQ$2-1),0)</f>
        <v>0</v>
      </c>
      <c r="DR95" s="11" t="n">
        <f aca="false">IF(AND(DR$1&gt;=Units!$Q94,MOD(DR$1-Units!$Q94,12)=0),IF(AND(Units!$L94=1,DR$1=Units!$Q94),1,Inputs!$B$15)*Inputs!$B$16*(1+Inputs!$B$11)^(DR$2-1),0)</f>
        <v>0</v>
      </c>
      <c r="DS95" s="11" t="n">
        <f aca="false">IF(AND(DS$1&gt;=Units!$Q94,MOD(DS$1-Units!$Q94,12)=0),IF(AND(Units!$L94=1,DS$1=Units!$Q94),1,Inputs!$B$15)*Inputs!$B$16*(1+Inputs!$B$11)^(DS$2-1),0)</f>
        <v>0</v>
      </c>
      <c r="DT95" s="11" t="n">
        <f aca="false">IF(AND(DT$1&gt;=Units!$Q94,MOD(DT$1-Units!$Q94,12)=0),IF(AND(Units!$L94=1,DT$1=Units!$Q94),1,Inputs!$B$15)*Inputs!$B$16*(1+Inputs!$B$11)^(DT$2-1),0)</f>
        <v>0</v>
      </c>
      <c r="DU95" s="11" t="n">
        <f aca="false">IF(AND(DU$1&gt;=Units!$Q94,MOD(DU$1-Units!$Q94,12)=0),IF(AND(Units!$L94=1,DU$1=Units!$Q94),1,Inputs!$B$15)*Inputs!$B$16*(1+Inputs!$B$11)^(DU$2-1),0)</f>
        <v>0</v>
      </c>
      <c r="DV95" s="11" t="n">
        <f aca="false">IF(AND(DV$1&gt;=Units!$Q94,MOD(DV$1-Units!$Q94,12)=0),IF(AND(Units!$L94=1,DV$1=Units!$Q94),1,Inputs!$B$15)*Inputs!$B$16*(1+Inputs!$B$11)^(DV$2-1),0)</f>
        <v>0</v>
      </c>
      <c r="DW95" s="11" t="n">
        <f aca="false">IF(AND(DW$1&gt;=Units!$Q94,MOD(DW$1-Units!$Q94,12)=0),IF(AND(Units!$L94=1,DW$1=Units!$Q94),1,Inputs!$B$15)*Inputs!$B$16*(1+Inputs!$B$11)^(DW$2-1),0)</f>
        <v>0</v>
      </c>
      <c r="DX95" s="11" t="n">
        <f aca="false">IF(AND(DX$1&gt;=Units!$Q94,MOD(DX$1-Units!$Q94,12)=0),IF(AND(Units!$L94=1,DX$1=Units!$Q94),1,Inputs!$B$15)*Inputs!$B$16*(1+Inputs!$B$11)^(DX$2-1),0)</f>
        <v>671.958189672061</v>
      </c>
      <c r="DY95" s="11" t="n">
        <f aca="false">IF(AND(DY$1&gt;=Units!$Q94,MOD(DY$1-Units!$Q94,12)=0),IF(AND(Units!$L94=1,DY$1=Units!$Q94),1,Inputs!$B$15)*Inputs!$B$16*(1+Inputs!$B$11)^(DY$2-1),0)</f>
        <v>0</v>
      </c>
      <c r="DZ95" s="11" t="n">
        <f aca="false">IF(AND(DZ$1&gt;=Units!$Q94,MOD(DZ$1-Units!$Q94,12)=0),IF(AND(Units!$L94=1,DZ$1=Units!$Q94),1,Inputs!$B$15)*Inputs!$B$16*(1+Inputs!$B$11)^(DZ$2-1),0)</f>
        <v>0</v>
      </c>
      <c r="EA95" s="11" t="n">
        <f aca="false">IF(AND(EA$1&gt;=Units!$Q94,MOD(EA$1-Units!$Q94,12)=0),IF(AND(Units!$L94=1,EA$1=Units!$Q94),1,Inputs!$B$15)*Inputs!$B$16*(1+Inputs!$B$11)^(EA$2-1),0)</f>
        <v>0</v>
      </c>
      <c r="EB95" s="11" t="n">
        <f aca="false">IF(AND(EB$1&gt;=Units!$Q94,MOD(EB$1-Units!$Q94,12)=0),IF(AND(Units!$L94=1,EB$1=Units!$Q94),1,Inputs!$B$15)*Inputs!$B$16*(1+Inputs!$B$11)^(EB$2-1),0)</f>
        <v>0</v>
      </c>
      <c r="EC95" s="11" t="n">
        <f aca="false">IF(AND(EC$1&gt;=Units!$Q94,MOD(EC$1-Units!$Q94,12)=0),IF(AND(Units!$L94=1,EC$1=Units!$Q94),1,Inputs!$B$15)*Inputs!$B$16*(1+Inputs!$B$11)^(EC$2-1),0)</f>
        <v>0</v>
      </c>
      <c r="ED95" s="11" t="n">
        <f aca="false">IF(AND(ED$1&gt;=Units!$Q94,MOD(ED$1-Units!$Q94,12)=0),IF(AND(Units!$L94=1,ED$1=Units!$Q94),1,Inputs!$B$15)*Inputs!$B$16*(1+Inputs!$B$11)^(ED$2-1),0)</f>
        <v>0</v>
      </c>
    </row>
    <row r="96" customFormat="false" ht="15" hidden="false" customHeight="false" outlineLevel="0" collapsed="false">
      <c r="A96" s="22" t="n">
        <f aca="false">Units!A95</f>
        <v>404</v>
      </c>
      <c r="B96" s="23"/>
      <c r="C96" s="11" t="n">
        <f aca="false">IF(AND(C$1&gt;=Units!$Q95,MOD(C$1-Units!$Q95,12)=0),IF(AND(Units!$L95=1,C$1=Units!$Q95),1,Inputs!$B$15)*Inputs!$B$16*(1+Inputs!$B$11)^(C$2-1),0)</f>
        <v>0</v>
      </c>
      <c r="D96" s="11" t="n">
        <f aca="false">IF(AND(D$1&gt;=Units!$Q95,MOD(D$1-Units!$Q95,12)=0),IF(AND(Units!$L95=1,D$1=Units!$Q95),1,Inputs!$B$15)*Inputs!$B$16*(1+Inputs!$B$11)^(D$2-1),0)</f>
        <v>500</v>
      </c>
      <c r="E96" s="11" t="n">
        <f aca="false">IF(AND(E$1&gt;=Units!$Q95,MOD(E$1-Units!$Q95,12)=0),IF(AND(Units!$L95=1,E$1=Units!$Q95),1,Inputs!$B$15)*Inputs!$B$16*(1+Inputs!$B$11)^(E$2-1),0)</f>
        <v>0</v>
      </c>
      <c r="F96" s="11" t="n">
        <f aca="false">IF(AND(F$1&gt;=Units!$Q95,MOD(F$1-Units!$Q95,12)=0),IF(AND(Units!$L95=1,F$1=Units!$Q95),1,Inputs!$B$15)*Inputs!$B$16*(1+Inputs!$B$11)^(F$2-1),0)</f>
        <v>0</v>
      </c>
      <c r="G96" s="11" t="n">
        <f aca="false">IF(AND(G$1&gt;=Units!$Q95,MOD(G$1-Units!$Q95,12)=0),IF(AND(Units!$L95=1,G$1=Units!$Q95),1,Inputs!$B$15)*Inputs!$B$16*(1+Inputs!$B$11)^(G$2-1),0)</f>
        <v>0</v>
      </c>
      <c r="H96" s="11" t="n">
        <f aca="false">IF(AND(H$1&gt;=Units!$Q95,MOD(H$1-Units!$Q95,12)=0),IF(AND(Units!$L95=1,H$1=Units!$Q95),1,Inputs!$B$15)*Inputs!$B$16*(1+Inputs!$B$11)^(H$2-1),0)</f>
        <v>0</v>
      </c>
      <c r="I96" s="11" t="n">
        <f aca="false">IF(AND(I$1&gt;=Units!$Q95,MOD(I$1-Units!$Q95,12)=0),IF(AND(Units!$L95=1,I$1=Units!$Q95),1,Inputs!$B$15)*Inputs!$B$16*(1+Inputs!$B$11)^(I$2-1),0)</f>
        <v>0</v>
      </c>
      <c r="J96" s="11" t="n">
        <f aca="false">IF(AND(J$1&gt;=Units!$Q95,MOD(J$1-Units!$Q95,12)=0),IF(AND(Units!$L95=1,J$1=Units!$Q95),1,Inputs!$B$15)*Inputs!$B$16*(1+Inputs!$B$11)^(J$2-1),0)</f>
        <v>0</v>
      </c>
      <c r="K96" s="11" t="n">
        <f aca="false">IF(AND(K$1&gt;=Units!$Q95,MOD(K$1-Units!$Q95,12)=0),IF(AND(Units!$L95=1,K$1=Units!$Q95),1,Inputs!$B$15)*Inputs!$B$16*(1+Inputs!$B$11)^(K$2-1),0)</f>
        <v>0</v>
      </c>
      <c r="L96" s="11" t="n">
        <f aca="false">IF(AND(L$1&gt;=Units!$Q95,MOD(L$1-Units!$Q95,12)=0),IF(AND(Units!$L95=1,L$1=Units!$Q95),1,Inputs!$B$15)*Inputs!$B$16*(1+Inputs!$B$11)^(L$2-1),0)</f>
        <v>0</v>
      </c>
      <c r="M96" s="11" t="n">
        <f aca="false">IF(AND(M$1&gt;=Units!$Q95,MOD(M$1-Units!$Q95,12)=0),IF(AND(Units!$L95=1,M$1=Units!$Q95),1,Inputs!$B$15)*Inputs!$B$16*(1+Inputs!$B$11)^(M$2-1),0)</f>
        <v>0</v>
      </c>
      <c r="N96" s="11" t="n">
        <f aca="false">IF(AND(N$1&gt;=Units!$Q95,MOD(N$1-Units!$Q95,12)=0),IF(AND(Units!$L95=1,N$1=Units!$Q95),1,Inputs!$B$15)*Inputs!$B$16*(1+Inputs!$B$11)^(N$2-1),0)</f>
        <v>0</v>
      </c>
      <c r="O96" s="11" t="n">
        <f aca="false">IF(AND(O$1&gt;=Units!$Q95,MOD(O$1-Units!$Q95,12)=0),IF(AND(Units!$L95=1,O$1=Units!$Q95),1,Inputs!$B$15)*Inputs!$B$16*(1+Inputs!$B$11)^(O$2-1),0)</f>
        <v>0</v>
      </c>
      <c r="P96" s="11" t="n">
        <f aca="false">IF(AND(P$1&gt;=Units!$Q95,MOD(P$1-Units!$Q95,12)=0),IF(AND(Units!$L95=1,P$1=Units!$Q95),1,Inputs!$B$15)*Inputs!$B$16*(1+Inputs!$B$11)^(P$2-1),0)</f>
        <v>515</v>
      </c>
      <c r="Q96" s="11" t="n">
        <f aca="false">IF(AND(Q$1&gt;=Units!$Q95,MOD(Q$1-Units!$Q95,12)=0),IF(AND(Units!$L95=1,Q$1=Units!$Q95),1,Inputs!$B$15)*Inputs!$B$16*(1+Inputs!$B$11)^(Q$2-1),0)</f>
        <v>0</v>
      </c>
      <c r="R96" s="11" t="n">
        <f aca="false">IF(AND(R$1&gt;=Units!$Q95,MOD(R$1-Units!$Q95,12)=0),IF(AND(Units!$L95=1,R$1=Units!$Q95),1,Inputs!$B$15)*Inputs!$B$16*(1+Inputs!$B$11)^(R$2-1),0)</f>
        <v>0</v>
      </c>
      <c r="S96" s="11" t="n">
        <f aca="false">IF(AND(S$1&gt;=Units!$Q95,MOD(S$1-Units!$Q95,12)=0),IF(AND(Units!$L95=1,S$1=Units!$Q95),1,Inputs!$B$15)*Inputs!$B$16*(1+Inputs!$B$11)^(S$2-1),0)</f>
        <v>0</v>
      </c>
      <c r="T96" s="11" t="n">
        <f aca="false">IF(AND(T$1&gt;=Units!$Q95,MOD(T$1-Units!$Q95,12)=0),IF(AND(Units!$L95=1,T$1=Units!$Q95),1,Inputs!$B$15)*Inputs!$B$16*(1+Inputs!$B$11)^(T$2-1),0)</f>
        <v>0</v>
      </c>
      <c r="U96" s="11" t="n">
        <f aca="false">IF(AND(U$1&gt;=Units!$Q95,MOD(U$1-Units!$Q95,12)=0),IF(AND(Units!$L95=1,U$1=Units!$Q95),1,Inputs!$B$15)*Inputs!$B$16*(1+Inputs!$B$11)^(U$2-1),0)</f>
        <v>0</v>
      </c>
      <c r="V96" s="11" t="n">
        <f aca="false">IF(AND(V$1&gt;=Units!$Q95,MOD(V$1-Units!$Q95,12)=0),IF(AND(Units!$L95=1,V$1=Units!$Q95),1,Inputs!$B$15)*Inputs!$B$16*(1+Inputs!$B$11)^(V$2-1),0)</f>
        <v>0</v>
      </c>
      <c r="W96" s="11" t="n">
        <f aca="false">IF(AND(W$1&gt;=Units!$Q95,MOD(W$1-Units!$Q95,12)=0),IF(AND(Units!$L95=1,W$1=Units!$Q95),1,Inputs!$B$15)*Inputs!$B$16*(1+Inputs!$B$11)^(W$2-1),0)</f>
        <v>0</v>
      </c>
      <c r="X96" s="11" t="n">
        <f aca="false">IF(AND(X$1&gt;=Units!$Q95,MOD(X$1-Units!$Q95,12)=0),IF(AND(Units!$L95=1,X$1=Units!$Q95),1,Inputs!$B$15)*Inputs!$B$16*(1+Inputs!$B$11)^(X$2-1),0)</f>
        <v>0</v>
      </c>
      <c r="Y96" s="11" t="n">
        <f aca="false">IF(AND(Y$1&gt;=Units!$Q95,MOD(Y$1-Units!$Q95,12)=0),IF(AND(Units!$L95=1,Y$1=Units!$Q95),1,Inputs!$B$15)*Inputs!$B$16*(1+Inputs!$B$11)^(Y$2-1),0)</f>
        <v>0</v>
      </c>
      <c r="Z96" s="11" t="n">
        <f aca="false">IF(AND(Z$1&gt;=Units!$Q95,MOD(Z$1-Units!$Q95,12)=0),IF(AND(Units!$L95=1,Z$1=Units!$Q95),1,Inputs!$B$15)*Inputs!$B$16*(1+Inputs!$B$11)^(Z$2-1),0)</f>
        <v>0</v>
      </c>
      <c r="AA96" s="11" t="n">
        <f aca="false">IF(AND(AA$1&gt;=Units!$Q95,MOD(AA$1-Units!$Q95,12)=0),IF(AND(Units!$L95=1,AA$1=Units!$Q95),1,Inputs!$B$15)*Inputs!$B$16*(1+Inputs!$B$11)^(AA$2-1),0)</f>
        <v>0</v>
      </c>
      <c r="AB96" s="11" t="n">
        <f aca="false">IF(AND(AB$1&gt;=Units!$Q95,MOD(AB$1-Units!$Q95,12)=0),IF(AND(Units!$L95=1,AB$1=Units!$Q95),1,Inputs!$B$15)*Inputs!$B$16*(1+Inputs!$B$11)^(AB$2-1),0)</f>
        <v>530.45</v>
      </c>
      <c r="AC96" s="11" t="n">
        <f aca="false">IF(AND(AC$1&gt;=Units!$Q95,MOD(AC$1-Units!$Q95,12)=0),IF(AND(Units!$L95=1,AC$1=Units!$Q95),1,Inputs!$B$15)*Inputs!$B$16*(1+Inputs!$B$11)^(AC$2-1),0)</f>
        <v>0</v>
      </c>
      <c r="AD96" s="11" t="n">
        <f aca="false">IF(AND(AD$1&gt;=Units!$Q95,MOD(AD$1-Units!$Q95,12)=0),IF(AND(Units!$L95=1,AD$1=Units!$Q95),1,Inputs!$B$15)*Inputs!$B$16*(1+Inputs!$B$11)^(AD$2-1),0)</f>
        <v>0</v>
      </c>
      <c r="AE96" s="11" t="n">
        <f aca="false">IF(AND(AE$1&gt;=Units!$Q95,MOD(AE$1-Units!$Q95,12)=0),IF(AND(Units!$L95=1,AE$1=Units!$Q95),1,Inputs!$B$15)*Inputs!$B$16*(1+Inputs!$B$11)^(AE$2-1),0)</f>
        <v>0</v>
      </c>
      <c r="AF96" s="11" t="n">
        <f aca="false">IF(AND(AF$1&gt;=Units!$Q95,MOD(AF$1-Units!$Q95,12)=0),IF(AND(Units!$L95=1,AF$1=Units!$Q95),1,Inputs!$B$15)*Inputs!$B$16*(1+Inputs!$B$11)^(AF$2-1),0)</f>
        <v>0</v>
      </c>
      <c r="AG96" s="11" t="n">
        <f aca="false">IF(AND(AG$1&gt;=Units!$Q95,MOD(AG$1-Units!$Q95,12)=0),IF(AND(Units!$L95=1,AG$1=Units!$Q95),1,Inputs!$B$15)*Inputs!$B$16*(1+Inputs!$B$11)^(AG$2-1),0)</f>
        <v>0</v>
      </c>
      <c r="AH96" s="11" t="n">
        <f aca="false">IF(AND(AH$1&gt;=Units!$Q95,MOD(AH$1-Units!$Q95,12)=0),IF(AND(Units!$L95=1,AH$1=Units!$Q95),1,Inputs!$B$15)*Inputs!$B$16*(1+Inputs!$B$11)^(AH$2-1),0)</f>
        <v>0</v>
      </c>
      <c r="AI96" s="11" t="n">
        <f aca="false">IF(AND(AI$1&gt;=Units!$Q95,MOD(AI$1-Units!$Q95,12)=0),IF(AND(Units!$L95=1,AI$1=Units!$Q95),1,Inputs!$B$15)*Inputs!$B$16*(1+Inputs!$B$11)^(AI$2-1),0)</f>
        <v>0</v>
      </c>
      <c r="AJ96" s="11" t="n">
        <f aca="false">IF(AND(AJ$1&gt;=Units!$Q95,MOD(AJ$1-Units!$Q95,12)=0),IF(AND(Units!$L95=1,AJ$1=Units!$Q95),1,Inputs!$B$15)*Inputs!$B$16*(1+Inputs!$B$11)^(AJ$2-1),0)</f>
        <v>0</v>
      </c>
      <c r="AK96" s="11" t="n">
        <f aca="false">IF(AND(AK$1&gt;=Units!$Q95,MOD(AK$1-Units!$Q95,12)=0),IF(AND(Units!$L95=1,AK$1=Units!$Q95),1,Inputs!$B$15)*Inputs!$B$16*(1+Inputs!$B$11)^(AK$2-1),0)</f>
        <v>0</v>
      </c>
      <c r="AL96" s="11" t="n">
        <f aca="false">IF(AND(AL$1&gt;=Units!$Q95,MOD(AL$1-Units!$Q95,12)=0),IF(AND(Units!$L95=1,AL$1=Units!$Q95),1,Inputs!$B$15)*Inputs!$B$16*(1+Inputs!$B$11)^(AL$2-1),0)</f>
        <v>0</v>
      </c>
      <c r="AM96" s="11" t="n">
        <f aca="false">IF(AND(AM$1&gt;=Units!$Q95,MOD(AM$1-Units!$Q95,12)=0),IF(AND(Units!$L95=1,AM$1=Units!$Q95),1,Inputs!$B$15)*Inputs!$B$16*(1+Inputs!$B$11)^(AM$2-1),0)</f>
        <v>0</v>
      </c>
      <c r="AN96" s="11" t="n">
        <f aca="false">IF(AND(AN$1&gt;=Units!$Q95,MOD(AN$1-Units!$Q95,12)=0),IF(AND(Units!$L95=1,AN$1=Units!$Q95),1,Inputs!$B$15)*Inputs!$B$16*(1+Inputs!$B$11)^(AN$2-1),0)</f>
        <v>546.3635</v>
      </c>
      <c r="AO96" s="11" t="n">
        <f aca="false">IF(AND(AO$1&gt;=Units!$Q95,MOD(AO$1-Units!$Q95,12)=0),IF(AND(Units!$L95=1,AO$1=Units!$Q95),1,Inputs!$B$15)*Inputs!$B$16*(1+Inputs!$B$11)^(AO$2-1),0)</f>
        <v>0</v>
      </c>
      <c r="AP96" s="11" t="n">
        <f aca="false">IF(AND(AP$1&gt;=Units!$Q95,MOD(AP$1-Units!$Q95,12)=0),IF(AND(Units!$L95=1,AP$1=Units!$Q95),1,Inputs!$B$15)*Inputs!$B$16*(1+Inputs!$B$11)^(AP$2-1),0)</f>
        <v>0</v>
      </c>
      <c r="AQ96" s="11" t="n">
        <f aca="false">IF(AND(AQ$1&gt;=Units!$Q95,MOD(AQ$1-Units!$Q95,12)=0),IF(AND(Units!$L95=1,AQ$1=Units!$Q95),1,Inputs!$B$15)*Inputs!$B$16*(1+Inputs!$B$11)^(AQ$2-1),0)</f>
        <v>0</v>
      </c>
      <c r="AR96" s="11" t="n">
        <f aca="false">IF(AND(AR$1&gt;=Units!$Q95,MOD(AR$1-Units!$Q95,12)=0),IF(AND(Units!$L95=1,AR$1=Units!$Q95),1,Inputs!$B$15)*Inputs!$B$16*(1+Inputs!$B$11)^(AR$2-1),0)</f>
        <v>0</v>
      </c>
      <c r="AS96" s="11" t="n">
        <f aca="false">IF(AND(AS$1&gt;=Units!$Q95,MOD(AS$1-Units!$Q95,12)=0),IF(AND(Units!$L95=1,AS$1=Units!$Q95),1,Inputs!$B$15)*Inputs!$B$16*(1+Inputs!$B$11)^(AS$2-1),0)</f>
        <v>0</v>
      </c>
      <c r="AT96" s="11" t="n">
        <f aca="false">IF(AND(AT$1&gt;=Units!$Q95,MOD(AT$1-Units!$Q95,12)=0),IF(AND(Units!$L95=1,AT$1=Units!$Q95),1,Inputs!$B$15)*Inputs!$B$16*(1+Inputs!$B$11)^(AT$2-1),0)</f>
        <v>0</v>
      </c>
      <c r="AU96" s="11" t="n">
        <f aca="false">IF(AND(AU$1&gt;=Units!$Q95,MOD(AU$1-Units!$Q95,12)=0),IF(AND(Units!$L95=1,AU$1=Units!$Q95),1,Inputs!$B$15)*Inputs!$B$16*(1+Inputs!$B$11)^(AU$2-1),0)</f>
        <v>0</v>
      </c>
      <c r="AV96" s="11" t="n">
        <f aca="false">IF(AND(AV$1&gt;=Units!$Q95,MOD(AV$1-Units!$Q95,12)=0),IF(AND(Units!$L95=1,AV$1=Units!$Q95),1,Inputs!$B$15)*Inputs!$B$16*(1+Inputs!$B$11)^(AV$2-1),0)</f>
        <v>0</v>
      </c>
      <c r="AW96" s="11" t="n">
        <f aca="false">IF(AND(AW$1&gt;=Units!$Q95,MOD(AW$1-Units!$Q95,12)=0),IF(AND(Units!$L95=1,AW$1=Units!$Q95),1,Inputs!$B$15)*Inputs!$B$16*(1+Inputs!$B$11)^(AW$2-1),0)</f>
        <v>0</v>
      </c>
      <c r="AX96" s="11" t="n">
        <f aca="false">IF(AND(AX$1&gt;=Units!$Q95,MOD(AX$1-Units!$Q95,12)=0),IF(AND(Units!$L95=1,AX$1=Units!$Q95),1,Inputs!$B$15)*Inputs!$B$16*(1+Inputs!$B$11)^(AX$2-1),0)</f>
        <v>0</v>
      </c>
      <c r="AY96" s="11" t="n">
        <f aca="false">IF(AND(AY$1&gt;=Units!$Q95,MOD(AY$1-Units!$Q95,12)=0),IF(AND(Units!$L95=1,AY$1=Units!$Q95),1,Inputs!$B$15)*Inputs!$B$16*(1+Inputs!$B$11)^(AY$2-1),0)</f>
        <v>0</v>
      </c>
      <c r="AZ96" s="11" t="n">
        <f aca="false">IF(AND(AZ$1&gt;=Units!$Q95,MOD(AZ$1-Units!$Q95,12)=0),IF(AND(Units!$L95=1,AZ$1=Units!$Q95),1,Inputs!$B$15)*Inputs!$B$16*(1+Inputs!$B$11)^(AZ$2-1),0)</f>
        <v>562.754405</v>
      </c>
      <c r="BA96" s="11" t="n">
        <f aca="false">IF(AND(BA$1&gt;=Units!$Q95,MOD(BA$1-Units!$Q95,12)=0),IF(AND(Units!$L95=1,BA$1=Units!$Q95),1,Inputs!$B$15)*Inputs!$B$16*(1+Inputs!$B$11)^(BA$2-1),0)</f>
        <v>0</v>
      </c>
      <c r="BB96" s="11" t="n">
        <f aca="false">IF(AND(BB$1&gt;=Units!$Q95,MOD(BB$1-Units!$Q95,12)=0),IF(AND(Units!$L95=1,BB$1=Units!$Q95),1,Inputs!$B$15)*Inputs!$B$16*(1+Inputs!$B$11)^(BB$2-1),0)</f>
        <v>0</v>
      </c>
      <c r="BC96" s="11" t="n">
        <f aca="false">IF(AND(BC$1&gt;=Units!$Q95,MOD(BC$1-Units!$Q95,12)=0),IF(AND(Units!$L95=1,BC$1=Units!$Q95),1,Inputs!$B$15)*Inputs!$B$16*(1+Inputs!$B$11)^(BC$2-1),0)</f>
        <v>0</v>
      </c>
      <c r="BD96" s="11" t="n">
        <f aca="false">IF(AND(BD$1&gt;=Units!$Q95,MOD(BD$1-Units!$Q95,12)=0),IF(AND(Units!$L95=1,BD$1=Units!$Q95),1,Inputs!$B$15)*Inputs!$B$16*(1+Inputs!$B$11)^(BD$2-1),0)</f>
        <v>0</v>
      </c>
      <c r="BE96" s="11" t="n">
        <f aca="false">IF(AND(BE$1&gt;=Units!$Q95,MOD(BE$1-Units!$Q95,12)=0),IF(AND(Units!$L95=1,BE$1=Units!$Q95),1,Inputs!$B$15)*Inputs!$B$16*(1+Inputs!$B$11)^(BE$2-1),0)</f>
        <v>0</v>
      </c>
      <c r="BF96" s="11" t="n">
        <f aca="false">IF(AND(BF$1&gt;=Units!$Q95,MOD(BF$1-Units!$Q95,12)=0),IF(AND(Units!$L95=1,BF$1=Units!$Q95),1,Inputs!$B$15)*Inputs!$B$16*(1+Inputs!$B$11)^(BF$2-1),0)</f>
        <v>0</v>
      </c>
      <c r="BG96" s="11" t="n">
        <f aca="false">IF(AND(BG$1&gt;=Units!$Q95,MOD(BG$1-Units!$Q95,12)=0),IF(AND(Units!$L95=1,BG$1=Units!$Q95),1,Inputs!$B$15)*Inputs!$B$16*(1+Inputs!$B$11)^(BG$2-1),0)</f>
        <v>0</v>
      </c>
      <c r="BH96" s="11" t="n">
        <f aca="false">IF(AND(BH$1&gt;=Units!$Q95,MOD(BH$1-Units!$Q95,12)=0),IF(AND(Units!$L95=1,BH$1=Units!$Q95),1,Inputs!$B$15)*Inputs!$B$16*(1+Inputs!$B$11)^(BH$2-1),0)</f>
        <v>0</v>
      </c>
      <c r="BI96" s="11" t="n">
        <f aca="false">IF(AND(BI$1&gt;=Units!$Q95,MOD(BI$1-Units!$Q95,12)=0),IF(AND(Units!$L95=1,BI$1=Units!$Q95),1,Inputs!$B$15)*Inputs!$B$16*(1+Inputs!$B$11)^(BI$2-1),0)</f>
        <v>0</v>
      </c>
      <c r="BJ96" s="11" t="n">
        <f aca="false">IF(AND(BJ$1&gt;=Units!$Q95,MOD(BJ$1-Units!$Q95,12)=0),IF(AND(Units!$L95=1,BJ$1=Units!$Q95),1,Inputs!$B$15)*Inputs!$B$16*(1+Inputs!$B$11)^(BJ$2-1),0)</f>
        <v>0</v>
      </c>
      <c r="BK96" s="11" t="n">
        <f aca="false">IF(AND(BK$1&gt;=Units!$Q95,MOD(BK$1-Units!$Q95,12)=0),IF(AND(Units!$L95=1,BK$1=Units!$Q95),1,Inputs!$B$15)*Inputs!$B$16*(1+Inputs!$B$11)^(BK$2-1),0)</f>
        <v>0</v>
      </c>
      <c r="BL96" s="11" t="n">
        <f aca="false">IF(AND(BL$1&gt;=Units!$Q95,MOD(BL$1-Units!$Q95,12)=0),IF(AND(Units!$L95=1,BL$1=Units!$Q95),1,Inputs!$B$15)*Inputs!$B$16*(1+Inputs!$B$11)^(BL$2-1),0)</f>
        <v>579.63703715</v>
      </c>
      <c r="BM96" s="11" t="n">
        <f aca="false">IF(AND(BM$1&gt;=Units!$Q95,MOD(BM$1-Units!$Q95,12)=0),IF(AND(Units!$L95=1,BM$1=Units!$Q95),1,Inputs!$B$15)*Inputs!$B$16*(1+Inputs!$B$11)^(BM$2-1),0)</f>
        <v>0</v>
      </c>
      <c r="BN96" s="11" t="n">
        <f aca="false">IF(AND(BN$1&gt;=Units!$Q95,MOD(BN$1-Units!$Q95,12)=0),IF(AND(Units!$L95=1,BN$1=Units!$Q95),1,Inputs!$B$15)*Inputs!$B$16*(1+Inputs!$B$11)^(BN$2-1),0)</f>
        <v>0</v>
      </c>
      <c r="BO96" s="11" t="n">
        <f aca="false">IF(AND(BO$1&gt;=Units!$Q95,MOD(BO$1-Units!$Q95,12)=0),IF(AND(Units!$L95=1,BO$1=Units!$Q95),1,Inputs!$B$15)*Inputs!$B$16*(1+Inputs!$B$11)^(BO$2-1),0)</f>
        <v>0</v>
      </c>
      <c r="BP96" s="11" t="n">
        <f aca="false">IF(AND(BP$1&gt;=Units!$Q95,MOD(BP$1-Units!$Q95,12)=0),IF(AND(Units!$L95=1,BP$1=Units!$Q95),1,Inputs!$B$15)*Inputs!$B$16*(1+Inputs!$B$11)^(BP$2-1),0)</f>
        <v>0</v>
      </c>
      <c r="BQ96" s="11" t="n">
        <f aca="false">IF(AND(BQ$1&gt;=Units!$Q95,MOD(BQ$1-Units!$Q95,12)=0),IF(AND(Units!$L95=1,BQ$1=Units!$Q95),1,Inputs!$B$15)*Inputs!$B$16*(1+Inputs!$B$11)^(BQ$2-1),0)</f>
        <v>0</v>
      </c>
      <c r="BR96" s="11" t="n">
        <f aca="false">IF(AND(BR$1&gt;=Units!$Q95,MOD(BR$1-Units!$Q95,12)=0),IF(AND(Units!$L95=1,BR$1=Units!$Q95),1,Inputs!$B$15)*Inputs!$B$16*(1+Inputs!$B$11)^(BR$2-1),0)</f>
        <v>0</v>
      </c>
      <c r="BS96" s="11" t="n">
        <f aca="false">IF(AND(BS$1&gt;=Units!$Q95,MOD(BS$1-Units!$Q95,12)=0),IF(AND(Units!$L95=1,BS$1=Units!$Q95),1,Inputs!$B$15)*Inputs!$B$16*(1+Inputs!$B$11)^(BS$2-1),0)</f>
        <v>0</v>
      </c>
      <c r="BT96" s="11" t="n">
        <f aca="false">IF(AND(BT$1&gt;=Units!$Q95,MOD(BT$1-Units!$Q95,12)=0),IF(AND(Units!$L95=1,BT$1=Units!$Q95),1,Inputs!$B$15)*Inputs!$B$16*(1+Inputs!$B$11)^(BT$2-1),0)</f>
        <v>0</v>
      </c>
      <c r="BU96" s="11" t="n">
        <f aca="false">IF(AND(BU$1&gt;=Units!$Q95,MOD(BU$1-Units!$Q95,12)=0),IF(AND(Units!$L95=1,BU$1=Units!$Q95),1,Inputs!$B$15)*Inputs!$B$16*(1+Inputs!$B$11)^(BU$2-1),0)</f>
        <v>0</v>
      </c>
      <c r="BV96" s="11" t="n">
        <f aca="false">IF(AND(BV$1&gt;=Units!$Q95,MOD(BV$1-Units!$Q95,12)=0),IF(AND(Units!$L95=1,BV$1=Units!$Q95),1,Inputs!$B$15)*Inputs!$B$16*(1+Inputs!$B$11)^(BV$2-1),0)</f>
        <v>0</v>
      </c>
      <c r="BW96" s="11" t="n">
        <f aca="false">IF(AND(BW$1&gt;=Units!$Q95,MOD(BW$1-Units!$Q95,12)=0),IF(AND(Units!$L95=1,BW$1=Units!$Q95),1,Inputs!$B$15)*Inputs!$B$16*(1+Inputs!$B$11)^(BW$2-1),0)</f>
        <v>0</v>
      </c>
      <c r="BX96" s="11" t="n">
        <f aca="false">IF(AND(BX$1&gt;=Units!$Q95,MOD(BX$1-Units!$Q95,12)=0),IF(AND(Units!$L95=1,BX$1=Units!$Q95),1,Inputs!$B$15)*Inputs!$B$16*(1+Inputs!$B$11)^(BX$2-1),0)</f>
        <v>597.0261482645</v>
      </c>
      <c r="BY96" s="11" t="n">
        <f aca="false">IF(AND(BY$1&gt;=Units!$Q95,MOD(BY$1-Units!$Q95,12)=0),IF(AND(Units!$L95=1,BY$1=Units!$Q95),1,Inputs!$B$15)*Inputs!$B$16*(1+Inputs!$B$11)^(BY$2-1),0)</f>
        <v>0</v>
      </c>
      <c r="BZ96" s="11" t="n">
        <f aca="false">IF(AND(BZ$1&gt;=Units!$Q95,MOD(BZ$1-Units!$Q95,12)=0),IF(AND(Units!$L95=1,BZ$1=Units!$Q95),1,Inputs!$B$15)*Inputs!$B$16*(1+Inputs!$B$11)^(BZ$2-1),0)</f>
        <v>0</v>
      </c>
      <c r="CA96" s="11" t="n">
        <f aca="false">IF(AND(CA$1&gt;=Units!$Q95,MOD(CA$1-Units!$Q95,12)=0),IF(AND(Units!$L95=1,CA$1=Units!$Q95),1,Inputs!$B$15)*Inputs!$B$16*(1+Inputs!$B$11)^(CA$2-1),0)</f>
        <v>0</v>
      </c>
      <c r="CB96" s="11" t="n">
        <f aca="false">IF(AND(CB$1&gt;=Units!$Q95,MOD(CB$1-Units!$Q95,12)=0),IF(AND(Units!$L95=1,CB$1=Units!$Q95),1,Inputs!$B$15)*Inputs!$B$16*(1+Inputs!$B$11)^(CB$2-1),0)</f>
        <v>0</v>
      </c>
      <c r="CC96" s="11" t="n">
        <f aca="false">IF(AND(CC$1&gt;=Units!$Q95,MOD(CC$1-Units!$Q95,12)=0),IF(AND(Units!$L95=1,CC$1=Units!$Q95),1,Inputs!$B$15)*Inputs!$B$16*(1+Inputs!$B$11)^(CC$2-1),0)</f>
        <v>0</v>
      </c>
      <c r="CD96" s="11" t="n">
        <f aca="false">IF(AND(CD$1&gt;=Units!$Q95,MOD(CD$1-Units!$Q95,12)=0),IF(AND(Units!$L95=1,CD$1=Units!$Q95),1,Inputs!$B$15)*Inputs!$B$16*(1+Inputs!$B$11)^(CD$2-1),0)</f>
        <v>0</v>
      </c>
      <c r="CE96" s="11" t="n">
        <f aca="false">IF(AND(CE$1&gt;=Units!$Q95,MOD(CE$1-Units!$Q95,12)=0),IF(AND(Units!$L95=1,CE$1=Units!$Q95),1,Inputs!$B$15)*Inputs!$B$16*(1+Inputs!$B$11)^(CE$2-1),0)</f>
        <v>0</v>
      </c>
      <c r="CF96" s="11" t="n">
        <f aca="false">IF(AND(CF$1&gt;=Units!$Q95,MOD(CF$1-Units!$Q95,12)=0),IF(AND(Units!$L95=1,CF$1=Units!$Q95),1,Inputs!$B$15)*Inputs!$B$16*(1+Inputs!$B$11)^(CF$2-1),0)</f>
        <v>0</v>
      </c>
      <c r="CG96" s="11" t="n">
        <f aca="false">IF(AND(CG$1&gt;=Units!$Q95,MOD(CG$1-Units!$Q95,12)=0),IF(AND(Units!$L95=1,CG$1=Units!$Q95),1,Inputs!$B$15)*Inputs!$B$16*(1+Inputs!$B$11)^(CG$2-1),0)</f>
        <v>0</v>
      </c>
      <c r="CH96" s="11" t="n">
        <f aca="false">IF(AND(CH$1&gt;=Units!$Q95,MOD(CH$1-Units!$Q95,12)=0),IF(AND(Units!$L95=1,CH$1=Units!$Q95),1,Inputs!$B$15)*Inputs!$B$16*(1+Inputs!$B$11)^(CH$2-1),0)</f>
        <v>0</v>
      </c>
      <c r="CI96" s="11" t="n">
        <f aca="false">IF(AND(CI$1&gt;=Units!$Q95,MOD(CI$1-Units!$Q95,12)=0),IF(AND(Units!$L95=1,CI$1=Units!$Q95),1,Inputs!$B$15)*Inputs!$B$16*(1+Inputs!$B$11)^(CI$2-1),0)</f>
        <v>0</v>
      </c>
      <c r="CJ96" s="11" t="n">
        <f aca="false">IF(AND(CJ$1&gt;=Units!$Q95,MOD(CJ$1-Units!$Q95,12)=0),IF(AND(Units!$L95=1,CJ$1=Units!$Q95),1,Inputs!$B$15)*Inputs!$B$16*(1+Inputs!$B$11)^(CJ$2-1),0)</f>
        <v>614.936932712435</v>
      </c>
      <c r="CK96" s="11" t="n">
        <f aca="false">IF(AND(CK$1&gt;=Units!$Q95,MOD(CK$1-Units!$Q95,12)=0),IF(AND(Units!$L95=1,CK$1=Units!$Q95),1,Inputs!$B$15)*Inputs!$B$16*(1+Inputs!$B$11)^(CK$2-1),0)</f>
        <v>0</v>
      </c>
      <c r="CL96" s="11" t="n">
        <f aca="false">IF(AND(CL$1&gt;=Units!$Q95,MOD(CL$1-Units!$Q95,12)=0),IF(AND(Units!$L95=1,CL$1=Units!$Q95),1,Inputs!$B$15)*Inputs!$B$16*(1+Inputs!$B$11)^(CL$2-1),0)</f>
        <v>0</v>
      </c>
      <c r="CM96" s="11" t="n">
        <f aca="false">IF(AND(CM$1&gt;=Units!$Q95,MOD(CM$1-Units!$Q95,12)=0),IF(AND(Units!$L95=1,CM$1=Units!$Q95),1,Inputs!$B$15)*Inputs!$B$16*(1+Inputs!$B$11)^(CM$2-1),0)</f>
        <v>0</v>
      </c>
      <c r="CN96" s="11" t="n">
        <f aca="false">IF(AND(CN$1&gt;=Units!$Q95,MOD(CN$1-Units!$Q95,12)=0),IF(AND(Units!$L95=1,CN$1=Units!$Q95),1,Inputs!$B$15)*Inputs!$B$16*(1+Inputs!$B$11)^(CN$2-1),0)</f>
        <v>0</v>
      </c>
      <c r="CO96" s="11" t="n">
        <f aca="false">IF(AND(CO$1&gt;=Units!$Q95,MOD(CO$1-Units!$Q95,12)=0),IF(AND(Units!$L95=1,CO$1=Units!$Q95),1,Inputs!$B$15)*Inputs!$B$16*(1+Inputs!$B$11)^(CO$2-1),0)</f>
        <v>0</v>
      </c>
      <c r="CP96" s="11" t="n">
        <f aca="false">IF(AND(CP$1&gt;=Units!$Q95,MOD(CP$1-Units!$Q95,12)=0),IF(AND(Units!$L95=1,CP$1=Units!$Q95),1,Inputs!$B$15)*Inputs!$B$16*(1+Inputs!$B$11)^(CP$2-1),0)</f>
        <v>0</v>
      </c>
      <c r="CQ96" s="11" t="n">
        <f aca="false">IF(AND(CQ$1&gt;=Units!$Q95,MOD(CQ$1-Units!$Q95,12)=0),IF(AND(Units!$L95=1,CQ$1=Units!$Q95),1,Inputs!$B$15)*Inputs!$B$16*(1+Inputs!$B$11)^(CQ$2-1),0)</f>
        <v>0</v>
      </c>
      <c r="CR96" s="11" t="n">
        <f aca="false">IF(AND(CR$1&gt;=Units!$Q95,MOD(CR$1-Units!$Q95,12)=0),IF(AND(Units!$L95=1,CR$1=Units!$Q95),1,Inputs!$B$15)*Inputs!$B$16*(1+Inputs!$B$11)^(CR$2-1),0)</f>
        <v>0</v>
      </c>
      <c r="CS96" s="11" t="n">
        <f aca="false">IF(AND(CS$1&gt;=Units!$Q95,MOD(CS$1-Units!$Q95,12)=0),IF(AND(Units!$L95=1,CS$1=Units!$Q95),1,Inputs!$B$15)*Inputs!$B$16*(1+Inputs!$B$11)^(CS$2-1),0)</f>
        <v>0</v>
      </c>
      <c r="CT96" s="11" t="n">
        <f aca="false">IF(AND(CT$1&gt;=Units!$Q95,MOD(CT$1-Units!$Q95,12)=0),IF(AND(Units!$L95=1,CT$1=Units!$Q95),1,Inputs!$B$15)*Inputs!$B$16*(1+Inputs!$B$11)^(CT$2-1),0)</f>
        <v>0</v>
      </c>
      <c r="CU96" s="11" t="n">
        <f aca="false">IF(AND(CU$1&gt;=Units!$Q95,MOD(CU$1-Units!$Q95,12)=0),IF(AND(Units!$L95=1,CU$1=Units!$Q95),1,Inputs!$B$15)*Inputs!$B$16*(1+Inputs!$B$11)^(CU$2-1),0)</f>
        <v>0</v>
      </c>
      <c r="CV96" s="11" t="n">
        <f aca="false">IF(AND(CV$1&gt;=Units!$Q95,MOD(CV$1-Units!$Q95,12)=0),IF(AND(Units!$L95=1,CV$1=Units!$Q95),1,Inputs!$B$15)*Inputs!$B$16*(1+Inputs!$B$11)^(CV$2-1),0)</f>
        <v>633.385040693808</v>
      </c>
      <c r="CW96" s="11" t="n">
        <f aca="false">IF(AND(CW$1&gt;=Units!$Q95,MOD(CW$1-Units!$Q95,12)=0),IF(AND(Units!$L95=1,CW$1=Units!$Q95),1,Inputs!$B$15)*Inputs!$B$16*(1+Inputs!$B$11)^(CW$2-1),0)</f>
        <v>0</v>
      </c>
      <c r="CX96" s="11" t="n">
        <f aca="false">IF(AND(CX$1&gt;=Units!$Q95,MOD(CX$1-Units!$Q95,12)=0),IF(AND(Units!$L95=1,CX$1=Units!$Q95),1,Inputs!$B$15)*Inputs!$B$16*(1+Inputs!$B$11)^(CX$2-1),0)</f>
        <v>0</v>
      </c>
      <c r="CY96" s="11" t="n">
        <f aca="false">IF(AND(CY$1&gt;=Units!$Q95,MOD(CY$1-Units!$Q95,12)=0),IF(AND(Units!$L95=1,CY$1=Units!$Q95),1,Inputs!$B$15)*Inputs!$B$16*(1+Inputs!$B$11)^(CY$2-1),0)</f>
        <v>0</v>
      </c>
      <c r="CZ96" s="11" t="n">
        <f aca="false">IF(AND(CZ$1&gt;=Units!$Q95,MOD(CZ$1-Units!$Q95,12)=0),IF(AND(Units!$L95=1,CZ$1=Units!$Q95),1,Inputs!$B$15)*Inputs!$B$16*(1+Inputs!$B$11)^(CZ$2-1),0)</f>
        <v>0</v>
      </c>
      <c r="DA96" s="11" t="n">
        <f aca="false">IF(AND(DA$1&gt;=Units!$Q95,MOD(DA$1-Units!$Q95,12)=0),IF(AND(Units!$L95=1,DA$1=Units!$Q95),1,Inputs!$B$15)*Inputs!$B$16*(1+Inputs!$B$11)^(DA$2-1),0)</f>
        <v>0</v>
      </c>
      <c r="DB96" s="11" t="n">
        <f aca="false">IF(AND(DB$1&gt;=Units!$Q95,MOD(DB$1-Units!$Q95,12)=0),IF(AND(Units!$L95=1,DB$1=Units!$Q95),1,Inputs!$B$15)*Inputs!$B$16*(1+Inputs!$B$11)^(DB$2-1),0)</f>
        <v>0</v>
      </c>
      <c r="DC96" s="11" t="n">
        <f aca="false">IF(AND(DC$1&gt;=Units!$Q95,MOD(DC$1-Units!$Q95,12)=0),IF(AND(Units!$L95=1,DC$1=Units!$Q95),1,Inputs!$B$15)*Inputs!$B$16*(1+Inputs!$B$11)^(DC$2-1),0)</f>
        <v>0</v>
      </c>
      <c r="DD96" s="11" t="n">
        <f aca="false">IF(AND(DD$1&gt;=Units!$Q95,MOD(DD$1-Units!$Q95,12)=0),IF(AND(Units!$L95=1,DD$1=Units!$Q95),1,Inputs!$B$15)*Inputs!$B$16*(1+Inputs!$B$11)^(DD$2-1),0)</f>
        <v>0</v>
      </c>
      <c r="DE96" s="11" t="n">
        <f aca="false">IF(AND(DE$1&gt;=Units!$Q95,MOD(DE$1-Units!$Q95,12)=0),IF(AND(Units!$L95=1,DE$1=Units!$Q95),1,Inputs!$B$15)*Inputs!$B$16*(1+Inputs!$B$11)^(DE$2-1),0)</f>
        <v>0</v>
      </c>
      <c r="DF96" s="11" t="n">
        <f aca="false">IF(AND(DF$1&gt;=Units!$Q95,MOD(DF$1-Units!$Q95,12)=0),IF(AND(Units!$L95=1,DF$1=Units!$Q95),1,Inputs!$B$15)*Inputs!$B$16*(1+Inputs!$B$11)^(DF$2-1),0)</f>
        <v>0</v>
      </c>
      <c r="DG96" s="11" t="n">
        <f aca="false">IF(AND(DG$1&gt;=Units!$Q95,MOD(DG$1-Units!$Q95,12)=0),IF(AND(Units!$L95=1,DG$1=Units!$Q95),1,Inputs!$B$15)*Inputs!$B$16*(1+Inputs!$B$11)^(DG$2-1),0)</f>
        <v>0</v>
      </c>
      <c r="DH96" s="11" t="n">
        <f aca="false">IF(AND(DH$1&gt;=Units!$Q95,MOD(DH$1-Units!$Q95,12)=0),IF(AND(Units!$L95=1,DH$1=Units!$Q95),1,Inputs!$B$15)*Inputs!$B$16*(1+Inputs!$B$11)^(DH$2-1),0)</f>
        <v>652.386591914623</v>
      </c>
      <c r="DI96" s="11" t="n">
        <f aca="false">IF(AND(DI$1&gt;=Units!$Q95,MOD(DI$1-Units!$Q95,12)=0),IF(AND(Units!$L95=1,DI$1=Units!$Q95),1,Inputs!$B$15)*Inputs!$B$16*(1+Inputs!$B$11)^(DI$2-1),0)</f>
        <v>0</v>
      </c>
      <c r="DJ96" s="11" t="n">
        <f aca="false">IF(AND(DJ$1&gt;=Units!$Q95,MOD(DJ$1-Units!$Q95,12)=0),IF(AND(Units!$L95=1,DJ$1=Units!$Q95),1,Inputs!$B$15)*Inputs!$B$16*(1+Inputs!$B$11)^(DJ$2-1),0)</f>
        <v>0</v>
      </c>
      <c r="DK96" s="11" t="n">
        <f aca="false">IF(AND(DK$1&gt;=Units!$Q95,MOD(DK$1-Units!$Q95,12)=0),IF(AND(Units!$L95=1,DK$1=Units!$Q95),1,Inputs!$B$15)*Inputs!$B$16*(1+Inputs!$B$11)^(DK$2-1),0)</f>
        <v>0</v>
      </c>
      <c r="DL96" s="11" t="n">
        <f aca="false">IF(AND(DL$1&gt;=Units!$Q95,MOD(DL$1-Units!$Q95,12)=0),IF(AND(Units!$L95=1,DL$1=Units!$Q95),1,Inputs!$B$15)*Inputs!$B$16*(1+Inputs!$B$11)^(DL$2-1),0)</f>
        <v>0</v>
      </c>
      <c r="DM96" s="11" t="n">
        <f aca="false">IF(AND(DM$1&gt;=Units!$Q95,MOD(DM$1-Units!$Q95,12)=0),IF(AND(Units!$L95=1,DM$1=Units!$Q95),1,Inputs!$B$15)*Inputs!$B$16*(1+Inputs!$B$11)^(DM$2-1),0)</f>
        <v>0</v>
      </c>
      <c r="DN96" s="11" t="n">
        <f aca="false">IF(AND(DN$1&gt;=Units!$Q95,MOD(DN$1-Units!$Q95,12)=0),IF(AND(Units!$L95=1,DN$1=Units!$Q95),1,Inputs!$B$15)*Inputs!$B$16*(1+Inputs!$B$11)^(DN$2-1),0)</f>
        <v>0</v>
      </c>
      <c r="DO96" s="11" t="n">
        <f aca="false">IF(AND(DO$1&gt;=Units!$Q95,MOD(DO$1-Units!$Q95,12)=0),IF(AND(Units!$L95=1,DO$1=Units!$Q95),1,Inputs!$B$15)*Inputs!$B$16*(1+Inputs!$B$11)^(DO$2-1),0)</f>
        <v>0</v>
      </c>
      <c r="DP96" s="11" t="n">
        <f aca="false">IF(AND(DP$1&gt;=Units!$Q95,MOD(DP$1-Units!$Q95,12)=0),IF(AND(Units!$L95=1,DP$1=Units!$Q95),1,Inputs!$B$15)*Inputs!$B$16*(1+Inputs!$B$11)^(DP$2-1),0)</f>
        <v>0</v>
      </c>
      <c r="DQ96" s="11" t="n">
        <f aca="false">IF(AND(DQ$1&gt;=Units!$Q95,MOD(DQ$1-Units!$Q95,12)=0),IF(AND(Units!$L95=1,DQ$1=Units!$Q95),1,Inputs!$B$15)*Inputs!$B$16*(1+Inputs!$B$11)^(DQ$2-1),0)</f>
        <v>0</v>
      </c>
      <c r="DR96" s="11" t="n">
        <f aca="false">IF(AND(DR$1&gt;=Units!$Q95,MOD(DR$1-Units!$Q95,12)=0),IF(AND(Units!$L95=1,DR$1=Units!$Q95),1,Inputs!$B$15)*Inputs!$B$16*(1+Inputs!$B$11)^(DR$2-1),0)</f>
        <v>0</v>
      </c>
      <c r="DS96" s="11" t="n">
        <f aca="false">IF(AND(DS$1&gt;=Units!$Q95,MOD(DS$1-Units!$Q95,12)=0),IF(AND(Units!$L95=1,DS$1=Units!$Q95),1,Inputs!$B$15)*Inputs!$B$16*(1+Inputs!$B$11)^(DS$2-1),0)</f>
        <v>0</v>
      </c>
      <c r="DT96" s="11" t="n">
        <f aca="false">IF(AND(DT$1&gt;=Units!$Q95,MOD(DT$1-Units!$Q95,12)=0),IF(AND(Units!$L95=1,DT$1=Units!$Q95),1,Inputs!$B$15)*Inputs!$B$16*(1+Inputs!$B$11)^(DT$2-1),0)</f>
        <v>671.958189672061</v>
      </c>
      <c r="DU96" s="11" t="n">
        <f aca="false">IF(AND(DU$1&gt;=Units!$Q95,MOD(DU$1-Units!$Q95,12)=0),IF(AND(Units!$L95=1,DU$1=Units!$Q95),1,Inputs!$B$15)*Inputs!$B$16*(1+Inputs!$B$11)^(DU$2-1),0)</f>
        <v>0</v>
      </c>
      <c r="DV96" s="11" t="n">
        <f aca="false">IF(AND(DV$1&gt;=Units!$Q95,MOD(DV$1-Units!$Q95,12)=0),IF(AND(Units!$L95=1,DV$1=Units!$Q95),1,Inputs!$B$15)*Inputs!$B$16*(1+Inputs!$B$11)^(DV$2-1),0)</f>
        <v>0</v>
      </c>
      <c r="DW96" s="11" t="n">
        <f aca="false">IF(AND(DW$1&gt;=Units!$Q95,MOD(DW$1-Units!$Q95,12)=0),IF(AND(Units!$L95=1,DW$1=Units!$Q95),1,Inputs!$B$15)*Inputs!$B$16*(1+Inputs!$B$11)^(DW$2-1),0)</f>
        <v>0</v>
      </c>
      <c r="DX96" s="11" t="n">
        <f aca="false">IF(AND(DX$1&gt;=Units!$Q95,MOD(DX$1-Units!$Q95,12)=0),IF(AND(Units!$L95=1,DX$1=Units!$Q95),1,Inputs!$B$15)*Inputs!$B$16*(1+Inputs!$B$11)^(DX$2-1),0)</f>
        <v>0</v>
      </c>
      <c r="DY96" s="11" t="n">
        <f aca="false">IF(AND(DY$1&gt;=Units!$Q95,MOD(DY$1-Units!$Q95,12)=0),IF(AND(Units!$L95=1,DY$1=Units!$Q95),1,Inputs!$B$15)*Inputs!$B$16*(1+Inputs!$B$11)^(DY$2-1),0)</f>
        <v>0</v>
      </c>
      <c r="DZ96" s="11" t="n">
        <f aca="false">IF(AND(DZ$1&gt;=Units!$Q95,MOD(DZ$1-Units!$Q95,12)=0),IF(AND(Units!$L95=1,DZ$1=Units!$Q95),1,Inputs!$B$15)*Inputs!$B$16*(1+Inputs!$B$11)^(DZ$2-1),0)</f>
        <v>0</v>
      </c>
      <c r="EA96" s="11" t="n">
        <f aca="false">IF(AND(EA$1&gt;=Units!$Q95,MOD(EA$1-Units!$Q95,12)=0),IF(AND(Units!$L95=1,EA$1=Units!$Q95),1,Inputs!$B$15)*Inputs!$B$16*(1+Inputs!$B$11)^(EA$2-1),0)</f>
        <v>0</v>
      </c>
      <c r="EB96" s="11" t="n">
        <f aca="false">IF(AND(EB$1&gt;=Units!$Q95,MOD(EB$1-Units!$Q95,12)=0),IF(AND(Units!$L95=1,EB$1=Units!$Q95),1,Inputs!$B$15)*Inputs!$B$16*(1+Inputs!$B$11)^(EB$2-1),0)</f>
        <v>0</v>
      </c>
      <c r="EC96" s="11" t="n">
        <f aca="false">IF(AND(EC$1&gt;=Units!$Q95,MOD(EC$1-Units!$Q95,12)=0),IF(AND(Units!$L95=1,EC$1=Units!$Q95),1,Inputs!$B$15)*Inputs!$B$16*(1+Inputs!$B$11)^(EC$2-1),0)</f>
        <v>0</v>
      </c>
      <c r="ED96" s="11" t="n">
        <f aca="false">IF(AND(ED$1&gt;=Units!$Q95,MOD(ED$1-Units!$Q95,12)=0),IF(AND(Units!$L95=1,ED$1=Units!$Q95),1,Inputs!$B$15)*Inputs!$B$16*(1+Inputs!$B$11)^(ED$2-1),0)</f>
        <v>0</v>
      </c>
    </row>
    <row r="97" customFormat="false" ht="15" hidden="false" customHeight="false" outlineLevel="0" collapsed="false">
      <c r="A97" s="22" t="n">
        <f aca="false">Units!A96</f>
        <v>405</v>
      </c>
      <c r="B97" s="23"/>
      <c r="C97" s="11" t="n">
        <f aca="false">IF(AND(C$1&gt;=Units!$Q96,MOD(C$1-Units!$Q96,12)=0),IF(AND(Units!$L96=1,C$1=Units!$Q96),1,Inputs!$B$15)*Inputs!$B$16*(1+Inputs!$B$11)^(C$2-1),0)</f>
        <v>0</v>
      </c>
      <c r="D97" s="11" t="n">
        <f aca="false">IF(AND(D$1&gt;=Units!$Q96,MOD(D$1-Units!$Q96,12)=0),IF(AND(Units!$L96=1,D$1=Units!$Q96),1,Inputs!$B$15)*Inputs!$B$16*(1+Inputs!$B$11)^(D$2-1),0)</f>
        <v>0</v>
      </c>
      <c r="E97" s="11" t="n">
        <f aca="false">IF(AND(E$1&gt;=Units!$Q96,MOD(E$1-Units!$Q96,12)=0),IF(AND(Units!$L96=1,E$1=Units!$Q96),1,Inputs!$B$15)*Inputs!$B$16*(1+Inputs!$B$11)^(E$2-1),0)</f>
        <v>0</v>
      </c>
      <c r="F97" s="11" t="n">
        <f aca="false">IF(AND(F$1&gt;=Units!$Q96,MOD(F$1-Units!$Q96,12)=0),IF(AND(Units!$L96=1,F$1=Units!$Q96),1,Inputs!$B$15)*Inputs!$B$16*(1+Inputs!$B$11)^(F$2-1),0)</f>
        <v>0</v>
      </c>
      <c r="G97" s="11" t="n">
        <f aca="false">IF(AND(G$1&gt;=Units!$Q96,MOD(G$1-Units!$Q96,12)=0),IF(AND(Units!$L96=1,G$1=Units!$Q96),1,Inputs!$B$15)*Inputs!$B$16*(1+Inputs!$B$11)^(G$2-1),0)</f>
        <v>0</v>
      </c>
      <c r="H97" s="11" t="n">
        <f aca="false">IF(AND(H$1&gt;=Units!$Q96,MOD(H$1-Units!$Q96,12)=0),IF(AND(Units!$L96=1,H$1=Units!$Q96),1,Inputs!$B$15)*Inputs!$B$16*(1+Inputs!$B$11)^(H$2-1),0)</f>
        <v>0</v>
      </c>
      <c r="I97" s="11" t="n">
        <f aca="false">IF(AND(I$1&gt;=Units!$Q96,MOD(I$1-Units!$Q96,12)=0),IF(AND(Units!$L96=1,I$1=Units!$Q96),1,Inputs!$B$15)*Inputs!$B$16*(1+Inputs!$B$11)^(I$2-1),0)</f>
        <v>0</v>
      </c>
      <c r="J97" s="11" t="n">
        <f aca="false">IF(AND(J$1&gt;=Units!$Q96,MOD(J$1-Units!$Q96,12)=0),IF(AND(Units!$L96=1,J$1=Units!$Q96),1,Inputs!$B$15)*Inputs!$B$16*(1+Inputs!$B$11)^(J$2-1),0)</f>
        <v>0</v>
      </c>
      <c r="K97" s="11" t="n">
        <f aca="false">IF(AND(K$1&gt;=Units!$Q96,MOD(K$1-Units!$Q96,12)=0),IF(AND(Units!$L96=1,K$1=Units!$Q96),1,Inputs!$B$15)*Inputs!$B$16*(1+Inputs!$B$11)^(K$2-1),0)</f>
        <v>0</v>
      </c>
      <c r="L97" s="11" t="n">
        <f aca="false">IF(AND(L$1&gt;=Units!$Q96,MOD(L$1-Units!$Q96,12)=0),IF(AND(Units!$L96=1,L$1=Units!$Q96),1,Inputs!$B$15)*Inputs!$B$16*(1+Inputs!$B$11)^(L$2-1),0)</f>
        <v>0</v>
      </c>
      <c r="M97" s="11" t="n">
        <f aca="false">IF(AND(M$1&gt;=Units!$Q96,MOD(M$1-Units!$Q96,12)=0),IF(AND(Units!$L96=1,M$1=Units!$Q96),1,Inputs!$B$15)*Inputs!$B$16*(1+Inputs!$B$11)^(M$2-1),0)</f>
        <v>0</v>
      </c>
      <c r="N97" s="11" t="n">
        <f aca="false">IF(AND(N$1&gt;=Units!$Q96,MOD(N$1-Units!$Q96,12)=0),IF(AND(Units!$L96=1,N$1=Units!$Q96),1,Inputs!$B$15)*Inputs!$B$16*(1+Inputs!$B$11)^(N$2-1),0)</f>
        <v>500</v>
      </c>
      <c r="O97" s="11" t="n">
        <f aca="false">IF(AND(O$1&gt;=Units!$Q96,MOD(O$1-Units!$Q96,12)=0),IF(AND(Units!$L96=1,O$1=Units!$Q96),1,Inputs!$B$15)*Inputs!$B$16*(1+Inputs!$B$11)^(O$2-1),0)</f>
        <v>0</v>
      </c>
      <c r="P97" s="11" t="n">
        <f aca="false">IF(AND(P$1&gt;=Units!$Q96,MOD(P$1-Units!$Q96,12)=0),IF(AND(Units!$L96=1,P$1=Units!$Q96),1,Inputs!$B$15)*Inputs!$B$16*(1+Inputs!$B$11)^(P$2-1),0)</f>
        <v>0</v>
      </c>
      <c r="Q97" s="11" t="n">
        <f aca="false">IF(AND(Q$1&gt;=Units!$Q96,MOD(Q$1-Units!$Q96,12)=0),IF(AND(Units!$L96=1,Q$1=Units!$Q96),1,Inputs!$B$15)*Inputs!$B$16*(1+Inputs!$B$11)^(Q$2-1),0)</f>
        <v>0</v>
      </c>
      <c r="R97" s="11" t="n">
        <f aca="false">IF(AND(R$1&gt;=Units!$Q96,MOD(R$1-Units!$Q96,12)=0),IF(AND(Units!$L96=1,R$1=Units!$Q96),1,Inputs!$B$15)*Inputs!$B$16*(1+Inputs!$B$11)^(R$2-1),0)</f>
        <v>0</v>
      </c>
      <c r="S97" s="11" t="n">
        <f aca="false">IF(AND(S$1&gt;=Units!$Q96,MOD(S$1-Units!$Q96,12)=0),IF(AND(Units!$L96=1,S$1=Units!$Q96),1,Inputs!$B$15)*Inputs!$B$16*(1+Inputs!$B$11)^(S$2-1),0)</f>
        <v>0</v>
      </c>
      <c r="T97" s="11" t="n">
        <f aca="false">IF(AND(T$1&gt;=Units!$Q96,MOD(T$1-Units!$Q96,12)=0),IF(AND(Units!$L96=1,T$1=Units!$Q96),1,Inputs!$B$15)*Inputs!$B$16*(1+Inputs!$B$11)^(T$2-1),0)</f>
        <v>0</v>
      </c>
      <c r="U97" s="11" t="n">
        <f aca="false">IF(AND(U$1&gt;=Units!$Q96,MOD(U$1-Units!$Q96,12)=0),IF(AND(Units!$L96=1,U$1=Units!$Q96),1,Inputs!$B$15)*Inputs!$B$16*(1+Inputs!$B$11)^(U$2-1),0)</f>
        <v>0</v>
      </c>
      <c r="V97" s="11" t="n">
        <f aca="false">IF(AND(V$1&gt;=Units!$Q96,MOD(V$1-Units!$Q96,12)=0),IF(AND(Units!$L96=1,V$1=Units!$Q96),1,Inputs!$B$15)*Inputs!$B$16*(1+Inputs!$B$11)^(V$2-1),0)</f>
        <v>0</v>
      </c>
      <c r="W97" s="11" t="n">
        <f aca="false">IF(AND(W$1&gt;=Units!$Q96,MOD(W$1-Units!$Q96,12)=0),IF(AND(Units!$L96=1,W$1=Units!$Q96),1,Inputs!$B$15)*Inputs!$B$16*(1+Inputs!$B$11)^(W$2-1),0)</f>
        <v>0</v>
      </c>
      <c r="X97" s="11" t="n">
        <f aca="false">IF(AND(X$1&gt;=Units!$Q96,MOD(X$1-Units!$Q96,12)=0),IF(AND(Units!$L96=1,X$1=Units!$Q96),1,Inputs!$B$15)*Inputs!$B$16*(1+Inputs!$B$11)^(X$2-1),0)</f>
        <v>0</v>
      </c>
      <c r="Y97" s="11" t="n">
        <f aca="false">IF(AND(Y$1&gt;=Units!$Q96,MOD(Y$1-Units!$Q96,12)=0),IF(AND(Units!$L96=1,Y$1=Units!$Q96),1,Inputs!$B$15)*Inputs!$B$16*(1+Inputs!$B$11)^(Y$2-1),0)</f>
        <v>0</v>
      </c>
      <c r="Z97" s="11" t="n">
        <f aca="false">IF(AND(Z$1&gt;=Units!$Q96,MOD(Z$1-Units!$Q96,12)=0),IF(AND(Units!$L96=1,Z$1=Units!$Q96),1,Inputs!$B$15)*Inputs!$B$16*(1+Inputs!$B$11)^(Z$2-1),0)</f>
        <v>515</v>
      </c>
      <c r="AA97" s="11" t="n">
        <f aca="false">IF(AND(AA$1&gt;=Units!$Q96,MOD(AA$1-Units!$Q96,12)=0),IF(AND(Units!$L96=1,AA$1=Units!$Q96),1,Inputs!$B$15)*Inputs!$B$16*(1+Inputs!$B$11)^(AA$2-1),0)</f>
        <v>0</v>
      </c>
      <c r="AB97" s="11" t="n">
        <f aca="false">IF(AND(AB$1&gt;=Units!$Q96,MOD(AB$1-Units!$Q96,12)=0),IF(AND(Units!$L96=1,AB$1=Units!$Q96),1,Inputs!$B$15)*Inputs!$B$16*(1+Inputs!$B$11)^(AB$2-1),0)</f>
        <v>0</v>
      </c>
      <c r="AC97" s="11" t="n">
        <f aca="false">IF(AND(AC$1&gt;=Units!$Q96,MOD(AC$1-Units!$Q96,12)=0),IF(AND(Units!$L96=1,AC$1=Units!$Q96),1,Inputs!$B$15)*Inputs!$B$16*(1+Inputs!$B$11)^(AC$2-1),0)</f>
        <v>0</v>
      </c>
      <c r="AD97" s="11" t="n">
        <f aca="false">IF(AND(AD$1&gt;=Units!$Q96,MOD(AD$1-Units!$Q96,12)=0),IF(AND(Units!$L96=1,AD$1=Units!$Q96),1,Inputs!$B$15)*Inputs!$B$16*(1+Inputs!$B$11)^(AD$2-1),0)</f>
        <v>0</v>
      </c>
      <c r="AE97" s="11" t="n">
        <f aca="false">IF(AND(AE$1&gt;=Units!$Q96,MOD(AE$1-Units!$Q96,12)=0),IF(AND(Units!$L96=1,AE$1=Units!$Q96),1,Inputs!$B$15)*Inputs!$B$16*(1+Inputs!$B$11)^(AE$2-1),0)</f>
        <v>0</v>
      </c>
      <c r="AF97" s="11" t="n">
        <f aca="false">IF(AND(AF$1&gt;=Units!$Q96,MOD(AF$1-Units!$Q96,12)=0),IF(AND(Units!$L96=1,AF$1=Units!$Q96),1,Inputs!$B$15)*Inputs!$B$16*(1+Inputs!$B$11)^(AF$2-1),0)</f>
        <v>0</v>
      </c>
      <c r="AG97" s="11" t="n">
        <f aca="false">IF(AND(AG$1&gt;=Units!$Q96,MOD(AG$1-Units!$Q96,12)=0),IF(AND(Units!$L96=1,AG$1=Units!$Q96),1,Inputs!$B$15)*Inputs!$B$16*(1+Inputs!$B$11)^(AG$2-1),0)</f>
        <v>0</v>
      </c>
      <c r="AH97" s="11" t="n">
        <f aca="false">IF(AND(AH$1&gt;=Units!$Q96,MOD(AH$1-Units!$Q96,12)=0),IF(AND(Units!$L96=1,AH$1=Units!$Q96),1,Inputs!$B$15)*Inputs!$B$16*(1+Inputs!$B$11)^(AH$2-1),0)</f>
        <v>0</v>
      </c>
      <c r="AI97" s="11" t="n">
        <f aca="false">IF(AND(AI$1&gt;=Units!$Q96,MOD(AI$1-Units!$Q96,12)=0),IF(AND(Units!$L96=1,AI$1=Units!$Q96),1,Inputs!$B$15)*Inputs!$B$16*(1+Inputs!$B$11)^(AI$2-1),0)</f>
        <v>0</v>
      </c>
      <c r="AJ97" s="11" t="n">
        <f aca="false">IF(AND(AJ$1&gt;=Units!$Q96,MOD(AJ$1-Units!$Q96,12)=0),IF(AND(Units!$L96=1,AJ$1=Units!$Q96),1,Inputs!$B$15)*Inputs!$B$16*(1+Inputs!$B$11)^(AJ$2-1),0)</f>
        <v>0</v>
      </c>
      <c r="AK97" s="11" t="n">
        <f aca="false">IF(AND(AK$1&gt;=Units!$Q96,MOD(AK$1-Units!$Q96,12)=0),IF(AND(Units!$L96=1,AK$1=Units!$Q96),1,Inputs!$B$15)*Inputs!$B$16*(1+Inputs!$B$11)^(AK$2-1),0)</f>
        <v>0</v>
      </c>
      <c r="AL97" s="11" t="n">
        <f aca="false">IF(AND(AL$1&gt;=Units!$Q96,MOD(AL$1-Units!$Q96,12)=0),IF(AND(Units!$L96=1,AL$1=Units!$Q96),1,Inputs!$B$15)*Inputs!$B$16*(1+Inputs!$B$11)^(AL$2-1),0)</f>
        <v>530.45</v>
      </c>
      <c r="AM97" s="11" t="n">
        <f aca="false">IF(AND(AM$1&gt;=Units!$Q96,MOD(AM$1-Units!$Q96,12)=0),IF(AND(Units!$L96=1,AM$1=Units!$Q96),1,Inputs!$B$15)*Inputs!$B$16*(1+Inputs!$B$11)^(AM$2-1),0)</f>
        <v>0</v>
      </c>
      <c r="AN97" s="11" t="n">
        <f aca="false">IF(AND(AN$1&gt;=Units!$Q96,MOD(AN$1-Units!$Q96,12)=0),IF(AND(Units!$L96=1,AN$1=Units!$Q96),1,Inputs!$B$15)*Inputs!$B$16*(1+Inputs!$B$11)^(AN$2-1),0)</f>
        <v>0</v>
      </c>
      <c r="AO97" s="11" t="n">
        <f aca="false">IF(AND(AO$1&gt;=Units!$Q96,MOD(AO$1-Units!$Q96,12)=0),IF(AND(Units!$L96=1,AO$1=Units!$Q96),1,Inputs!$B$15)*Inputs!$B$16*(1+Inputs!$B$11)^(AO$2-1),0)</f>
        <v>0</v>
      </c>
      <c r="AP97" s="11" t="n">
        <f aca="false">IF(AND(AP$1&gt;=Units!$Q96,MOD(AP$1-Units!$Q96,12)=0),IF(AND(Units!$L96=1,AP$1=Units!$Q96),1,Inputs!$B$15)*Inputs!$B$16*(1+Inputs!$B$11)^(AP$2-1),0)</f>
        <v>0</v>
      </c>
      <c r="AQ97" s="11" t="n">
        <f aca="false">IF(AND(AQ$1&gt;=Units!$Q96,MOD(AQ$1-Units!$Q96,12)=0),IF(AND(Units!$L96=1,AQ$1=Units!$Q96),1,Inputs!$B$15)*Inputs!$B$16*(1+Inputs!$B$11)^(AQ$2-1),0)</f>
        <v>0</v>
      </c>
      <c r="AR97" s="11" t="n">
        <f aca="false">IF(AND(AR$1&gt;=Units!$Q96,MOD(AR$1-Units!$Q96,12)=0),IF(AND(Units!$L96=1,AR$1=Units!$Q96),1,Inputs!$B$15)*Inputs!$B$16*(1+Inputs!$B$11)^(AR$2-1),0)</f>
        <v>0</v>
      </c>
      <c r="AS97" s="11" t="n">
        <f aca="false">IF(AND(AS$1&gt;=Units!$Q96,MOD(AS$1-Units!$Q96,12)=0),IF(AND(Units!$L96=1,AS$1=Units!$Q96),1,Inputs!$B$15)*Inputs!$B$16*(1+Inputs!$B$11)^(AS$2-1),0)</f>
        <v>0</v>
      </c>
      <c r="AT97" s="11" t="n">
        <f aca="false">IF(AND(AT$1&gt;=Units!$Q96,MOD(AT$1-Units!$Q96,12)=0),IF(AND(Units!$L96=1,AT$1=Units!$Q96),1,Inputs!$B$15)*Inputs!$B$16*(1+Inputs!$B$11)^(AT$2-1),0)</f>
        <v>0</v>
      </c>
      <c r="AU97" s="11" t="n">
        <f aca="false">IF(AND(AU$1&gt;=Units!$Q96,MOD(AU$1-Units!$Q96,12)=0),IF(AND(Units!$L96=1,AU$1=Units!$Q96),1,Inputs!$B$15)*Inputs!$B$16*(1+Inputs!$B$11)^(AU$2-1),0)</f>
        <v>0</v>
      </c>
      <c r="AV97" s="11" t="n">
        <f aca="false">IF(AND(AV$1&gt;=Units!$Q96,MOD(AV$1-Units!$Q96,12)=0),IF(AND(Units!$L96=1,AV$1=Units!$Q96),1,Inputs!$B$15)*Inputs!$B$16*(1+Inputs!$B$11)^(AV$2-1),0)</f>
        <v>0</v>
      </c>
      <c r="AW97" s="11" t="n">
        <f aca="false">IF(AND(AW$1&gt;=Units!$Q96,MOD(AW$1-Units!$Q96,12)=0),IF(AND(Units!$L96=1,AW$1=Units!$Q96),1,Inputs!$B$15)*Inputs!$B$16*(1+Inputs!$B$11)^(AW$2-1),0)</f>
        <v>0</v>
      </c>
      <c r="AX97" s="11" t="n">
        <f aca="false">IF(AND(AX$1&gt;=Units!$Q96,MOD(AX$1-Units!$Q96,12)=0),IF(AND(Units!$L96=1,AX$1=Units!$Q96),1,Inputs!$B$15)*Inputs!$B$16*(1+Inputs!$B$11)^(AX$2-1),0)</f>
        <v>546.3635</v>
      </c>
      <c r="AY97" s="11" t="n">
        <f aca="false">IF(AND(AY$1&gt;=Units!$Q96,MOD(AY$1-Units!$Q96,12)=0),IF(AND(Units!$L96=1,AY$1=Units!$Q96),1,Inputs!$B$15)*Inputs!$B$16*(1+Inputs!$B$11)^(AY$2-1),0)</f>
        <v>0</v>
      </c>
      <c r="AZ97" s="11" t="n">
        <f aca="false">IF(AND(AZ$1&gt;=Units!$Q96,MOD(AZ$1-Units!$Q96,12)=0),IF(AND(Units!$L96=1,AZ$1=Units!$Q96),1,Inputs!$B$15)*Inputs!$B$16*(1+Inputs!$B$11)^(AZ$2-1),0)</f>
        <v>0</v>
      </c>
      <c r="BA97" s="11" t="n">
        <f aca="false">IF(AND(BA$1&gt;=Units!$Q96,MOD(BA$1-Units!$Q96,12)=0),IF(AND(Units!$L96=1,BA$1=Units!$Q96),1,Inputs!$B$15)*Inputs!$B$16*(1+Inputs!$B$11)^(BA$2-1),0)</f>
        <v>0</v>
      </c>
      <c r="BB97" s="11" t="n">
        <f aca="false">IF(AND(BB$1&gt;=Units!$Q96,MOD(BB$1-Units!$Q96,12)=0),IF(AND(Units!$L96=1,BB$1=Units!$Q96),1,Inputs!$B$15)*Inputs!$B$16*(1+Inputs!$B$11)^(BB$2-1),0)</f>
        <v>0</v>
      </c>
      <c r="BC97" s="11" t="n">
        <f aca="false">IF(AND(BC$1&gt;=Units!$Q96,MOD(BC$1-Units!$Q96,12)=0),IF(AND(Units!$L96=1,BC$1=Units!$Q96),1,Inputs!$B$15)*Inputs!$B$16*(1+Inputs!$B$11)^(BC$2-1),0)</f>
        <v>0</v>
      </c>
      <c r="BD97" s="11" t="n">
        <f aca="false">IF(AND(BD$1&gt;=Units!$Q96,MOD(BD$1-Units!$Q96,12)=0),IF(AND(Units!$L96=1,BD$1=Units!$Q96),1,Inputs!$B$15)*Inputs!$B$16*(1+Inputs!$B$11)^(BD$2-1),0)</f>
        <v>0</v>
      </c>
      <c r="BE97" s="11" t="n">
        <f aca="false">IF(AND(BE$1&gt;=Units!$Q96,MOD(BE$1-Units!$Q96,12)=0),IF(AND(Units!$L96=1,BE$1=Units!$Q96),1,Inputs!$B$15)*Inputs!$B$16*(1+Inputs!$B$11)^(BE$2-1),0)</f>
        <v>0</v>
      </c>
      <c r="BF97" s="11" t="n">
        <f aca="false">IF(AND(BF$1&gt;=Units!$Q96,MOD(BF$1-Units!$Q96,12)=0),IF(AND(Units!$L96=1,BF$1=Units!$Q96),1,Inputs!$B$15)*Inputs!$B$16*(1+Inputs!$B$11)^(BF$2-1),0)</f>
        <v>0</v>
      </c>
      <c r="BG97" s="11" t="n">
        <f aca="false">IF(AND(BG$1&gt;=Units!$Q96,MOD(BG$1-Units!$Q96,12)=0),IF(AND(Units!$L96=1,BG$1=Units!$Q96),1,Inputs!$B$15)*Inputs!$B$16*(1+Inputs!$B$11)^(BG$2-1),0)</f>
        <v>0</v>
      </c>
      <c r="BH97" s="11" t="n">
        <f aca="false">IF(AND(BH$1&gt;=Units!$Q96,MOD(BH$1-Units!$Q96,12)=0),IF(AND(Units!$L96=1,BH$1=Units!$Q96),1,Inputs!$B$15)*Inputs!$B$16*(1+Inputs!$B$11)^(BH$2-1),0)</f>
        <v>0</v>
      </c>
      <c r="BI97" s="11" t="n">
        <f aca="false">IF(AND(BI$1&gt;=Units!$Q96,MOD(BI$1-Units!$Q96,12)=0),IF(AND(Units!$L96=1,BI$1=Units!$Q96),1,Inputs!$B$15)*Inputs!$B$16*(1+Inputs!$B$11)^(BI$2-1),0)</f>
        <v>0</v>
      </c>
      <c r="BJ97" s="11" t="n">
        <f aca="false">IF(AND(BJ$1&gt;=Units!$Q96,MOD(BJ$1-Units!$Q96,12)=0),IF(AND(Units!$L96=1,BJ$1=Units!$Q96),1,Inputs!$B$15)*Inputs!$B$16*(1+Inputs!$B$11)^(BJ$2-1),0)</f>
        <v>562.754405</v>
      </c>
      <c r="BK97" s="11" t="n">
        <f aca="false">IF(AND(BK$1&gt;=Units!$Q96,MOD(BK$1-Units!$Q96,12)=0),IF(AND(Units!$L96=1,BK$1=Units!$Q96),1,Inputs!$B$15)*Inputs!$B$16*(1+Inputs!$B$11)^(BK$2-1),0)</f>
        <v>0</v>
      </c>
      <c r="BL97" s="11" t="n">
        <f aca="false">IF(AND(BL$1&gt;=Units!$Q96,MOD(BL$1-Units!$Q96,12)=0),IF(AND(Units!$L96=1,BL$1=Units!$Q96),1,Inputs!$B$15)*Inputs!$B$16*(1+Inputs!$B$11)^(BL$2-1),0)</f>
        <v>0</v>
      </c>
      <c r="BM97" s="11" t="n">
        <f aca="false">IF(AND(BM$1&gt;=Units!$Q96,MOD(BM$1-Units!$Q96,12)=0),IF(AND(Units!$L96=1,BM$1=Units!$Q96),1,Inputs!$B$15)*Inputs!$B$16*(1+Inputs!$B$11)^(BM$2-1),0)</f>
        <v>0</v>
      </c>
      <c r="BN97" s="11" t="n">
        <f aca="false">IF(AND(BN$1&gt;=Units!$Q96,MOD(BN$1-Units!$Q96,12)=0),IF(AND(Units!$L96=1,BN$1=Units!$Q96),1,Inputs!$B$15)*Inputs!$B$16*(1+Inputs!$B$11)^(BN$2-1),0)</f>
        <v>0</v>
      </c>
      <c r="BO97" s="11" t="n">
        <f aca="false">IF(AND(BO$1&gt;=Units!$Q96,MOD(BO$1-Units!$Q96,12)=0),IF(AND(Units!$L96=1,BO$1=Units!$Q96),1,Inputs!$B$15)*Inputs!$B$16*(1+Inputs!$B$11)^(BO$2-1),0)</f>
        <v>0</v>
      </c>
      <c r="BP97" s="11" t="n">
        <f aca="false">IF(AND(BP$1&gt;=Units!$Q96,MOD(BP$1-Units!$Q96,12)=0),IF(AND(Units!$L96=1,BP$1=Units!$Q96),1,Inputs!$B$15)*Inputs!$B$16*(1+Inputs!$B$11)^(BP$2-1),0)</f>
        <v>0</v>
      </c>
      <c r="BQ97" s="11" t="n">
        <f aca="false">IF(AND(BQ$1&gt;=Units!$Q96,MOD(BQ$1-Units!$Q96,12)=0),IF(AND(Units!$L96=1,BQ$1=Units!$Q96),1,Inputs!$B$15)*Inputs!$B$16*(1+Inputs!$B$11)^(BQ$2-1),0)</f>
        <v>0</v>
      </c>
      <c r="BR97" s="11" t="n">
        <f aca="false">IF(AND(BR$1&gt;=Units!$Q96,MOD(BR$1-Units!$Q96,12)=0),IF(AND(Units!$L96=1,BR$1=Units!$Q96),1,Inputs!$B$15)*Inputs!$B$16*(1+Inputs!$B$11)^(BR$2-1),0)</f>
        <v>0</v>
      </c>
      <c r="BS97" s="11" t="n">
        <f aca="false">IF(AND(BS$1&gt;=Units!$Q96,MOD(BS$1-Units!$Q96,12)=0),IF(AND(Units!$L96=1,BS$1=Units!$Q96),1,Inputs!$B$15)*Inputs!$B$16*(1+Inputs!$B$11)^(BS$2-1),0)</f>
        <v>0</v>
      </c>
      <c r="BT97" s="11" t="n">
        <f aca="false">IF(AND(BT$1&gt;=Units!$Q96,MOD(BT$1-Units!$Q96,12)=0),IF(AND(Units!$L96=1,BT$1=Units!$Q96),1,Inputs!$B$15)*Inputs!$B$16*(1+Inputs!$B$11)^(BT$2-1),0)</f>
        <v>0</v>
      </c>
      <c r="BU97" s="11" t="n">
        <f aca="false">IF(AND(BU$1&gt;=Units!$Q96,MOD(BU$1-Units!$Q96,12)=0),IF(AND(Units!$L96=1,BU$1=Units!$Q96),1,Inputs!$B$15)*Inputs!$B$16*(1+Inputs!$B$11)^(BU$2-1),0)</f>
        <v>0</v>
      </c>
      <c r="BV97" s="11" t="n">
        <f aca="false">IF(AND(BV$1&gt;=Units!$Q96,MOD(BV$1-Units!$Q96,12)=0),IF(AND(Units!$L96=1,BV$1=Units!$Q96),1,Inputs!$B$15)*Inputs!$B$16*(1+Inputs!$B$11)^(BV$2-1),0)</f>
        <v>579.63703715</v>
      </c>
      <c r="BW97" s="11" t="n">
        <f aca="false">IF(AND(BW$1&gt;=Units!$Q96,MOD(BW$1-Units!$Q96,12)=0),IF(AND(Units!$L96=1,BW$1=Units!$Q96),1,Inputs!$B$15)*Inputs!$B$16*(1+Inputs!$B$11)^(BW$2-1),0)</f>
        <v>0</v>
      </c>
      <c r="BX97" s="11" t="n">
        <f aca="false">IF(AND(BX$1&gt;=Units!$Q96,MOD(BX$1-Units!$Q96,12)=0),IF(AND(Units!$L96=1,BX$1=Units!$Q96),1,Inputs!$B$15)*Inputs!$B$16*(1+Inputs!$B$11)^(BX$2-1),0)</f>
        <v>0</v>
      </c>
      <c r="BY97" s="11" t="n">
        <f aca="false">IF(AND(BY$1&gt;=Units!$Q96,MOD(BY$1-Units!$Q96,12)=0),IF(AND(Units!$L96=1,BY$1=Units!$Q96),1,Inputs!$B$15)*Inputs!$B$16*(1+Inputs!$B$11)^(BY$2-1),0)</f>
        <v>0</v>
      </c>
      <c r="BZ97" s="11" t="n">
        <f aca="false">IF(AND(BZ$1&gt;=Units!$Q96,MOD(BZ$1-Units!$Q96,12)=0),IF(AND(Units!$L96=1,BZ$1=Units!$Q96),1,Inputs!$B$15)*Inputs!$B$16*(1+Inputs!$B$11)^(BZ$2-1),0)</f>
        <v>0</v>
      </c>
      <c r="CA97" s="11" t="n">
        <f aca="false">IF(AND(CA$1&gt;=Units!$Q96,MOD(CA$1-Units!$Q96,12)=0),IF(AND(Units!$L96=1,CA$1=Units!$Q96),1,Inputs!$B$15)*Inputs!$B$16*(1+Inputs!$B$11)^(CA$2-1),0)</f>
        <v>0</v>
      </c>
      <c r="CB97" s="11" t="n">
        <f aca="false">IF(AND(CB$1&gt;=Units!$Q96,MOD(CB$1-Units!$Q96,12)=0),IF(AND(Units!$L96=1,CB$1=Units!$Q96),1,Inputs!$B$15)*Inputs!$B$16*(1+Inputs!$B$11)^(CB$2-1),0)</f>
        <v>0</v>
      </c>
      <c r="CC97" s="11" t="n">
        <f aca="false">IF(AND(CC$1&gt;=Units!$Q96,MOD(CC$1-Units!$Q96,12)=0),IF(AND(Units!$L96=1,CC$1=Units!$Q96),1,Inputs!$B$15)*Inputs!$B$16*(1+Inputs!$B$11)^(CC$2-1),0)</f>
        <v>0</v>
      </c>
      <c r="CD97" s="11" t="n">
        <f aca="false">IF(AND(CD$1&gt;=Units!$Q96,MOD(CD$1-Units!$Q96,12)=0),IF(AND(Units!$L96=1,CD$1=Units!$Q96),1,Inputs!$B$15)*Inputs!$B$16*(1+Inputs!$B$11)^(CD$2-1),0)</f>
        <v>0</v>
      </c>
      <c r="CE97" s="11" t="n">
        <f aca="false">IF(AND(CE$1&gt;=Units!$Q96,MOD(CE$1-Units!$Q96,12)=0),IF(AND(Units!$L96=1,CE$1=Units!$Q96),1,Inputs!$B$15)*Inputs!$B$16*(1+Inputs!$B$11)^(CE$2-1),0)</f>
        <v>0</v>
      </c>
      <c r="CF97" s="11" t="n">
        <f aca="false">IF(AND(CF$1&gt;=Units!$Q96,MOD(CF$1-Units!$Q96,12)=0),IF(AND(Units!$L96=1,CF$1=Units!$Q96),1,Inputs!$B$15)*Inputs!$B$16*(1+Inputs!$B$11)^(CF$2-1),0)</f>
        <v>0</v>
      </c>
      <c r="CG97" s="11" t="n">
        <f aca="false">IF(AND(CG$1&gt;=Units!$Q96,MOD(CG$1-Units!$Q96,12)=0),IF(AND(Units!$L96=1,CG$1=Units!$Q96),1,Inputs!$B$15)*Inputs!$B$16*(1+Inputs!$B$11)^(CG$2-1),0)</f>
        <v>0</v>
      </c>
      <c r="CH97" s="11" t="n">
        <f aca="false">IF(AND(CH$1&gt;=Units!$Q96,MOD(CH$1-Units!$Q96,12)=0),IF(AND(Units!$L96=1,CH$1=Units!$Q96),1,Inputs!$B$15)*Inputs!$B$16*(1+Inputs!$B$11)^(CH$2-1),0)</f>
        <v>597.0261482645</v>
      </c>
      <c r="CI97" s="11" t="n">
        <f aca="false">IF(AND(CI$1&gt;=Units!$Q96,MOD(CI$1-Units!$Q96,12)=0),IF(AND(Units!$L96=1,CI$1=Units!$Q96),1,Inputs!$B$15)*Inputs!$B$16*(1+Inputs!$B$11)^(CI$2-1),0)</f>
        <v>0</v>
      </c>
      <c r="CJ97" s="11" t="n">
        <f aca="false">IF(AND(CJ$1&gt;=Units!$Q96,MOD(CJ$1-Units!$Q96,12)=0),IF(AND(Units!$L96=1,CJ$1=Units!$Q96),1,Inputs!$B$15)*Inputs!$B$16*(1+Inputs!$B$11)^(CJ$2-1),0)</f>
        <v>0</v>
      </c>
      <c r="CK97" s="11" t="n">
        <f aca="false">IF(AND(CK$1&gt;=Units!$Q96,MOD(CK$1-Units!$Q96,12)=0),IF(AND(Units!$L96=1,CK$1=Units!$Q96),1,Inputs!$B$15)*Inputs!$B$16*(1+Inputs!$B$11)^(CK$2-1),0)</f>
        <v>0</v>
      </c>
      <c r="CL97" s="11" t="n">
        <f aca="false">IF(AND(CL$1&gt;=Units!$Q96,MOD(CL$1-Units!$Q96,12)=0),IF(AND(Units!$L96=1,CL$1=Units!$Q96),1,Inputs!$B$15)*Inputs!$B$16*(1+Inputs!$B$11)^(CL$2-1),0)</f>
        <v>0</v>
      </c>
      <c r="CM97" s="11" t="n">
        <f aca="false">IF(AND(CM$1&gt;=Units!$Q96,MOD(CM$1-Units!$Q96,12)=0),IF(AND(Units!$L96=1,CM$1=Units!$Q96),1,Inputs!$B$15)*Inputs!$B$16*(1+Inputs!$B$11)^(CM$2-1),0)</f>
        <v>0</v>
      </c>
      <c r="CN97" s="11" t="n">
        <f aca="false">IF(AND(CN$1&gt;=Units!$Q96,MOD(CN$1-Units!$Q96,12)=0),IF(AND(Units!$L96=1,CN$1=Units!$Q96),1,Inputs!$B$15)*Inputs!$B$16*(1+Inputs!$B$11)^(CN$2-1),0)</f>
        <v>0</v>
      </c>
      <c r="CO97" s="11" t="n">
        <f aca="false">IF(AND(CO$1&gt;=Units!$Q96,MOD(CO$1-Units!$Q96,12)=0),IF(AND(Units!$L96=1,CO$1=Units!$Q96),1,Inputs!$B$15)*Inputs!$B$16*(1+Inputs!$B$11)^(CO$2-1),0)</f>
        <v>0</v>
      </c>
      <c r="CP97" s="11" t="n">
        <f aca="false">IF(AND(CP$1&gt;=Units!$Q96,MOD(CP$1-Units!$Q96,12)=0),IF(AND(Units!$L96=1,CP$1=Units!$Q96),1,Inputs!$B$15)*Inputs!$B$16*(1+Inputs!$B$11)^(CP$2-1),0)</f>
        <v>0</v>
      </c>
      <c r="CQ97" s="11" t="n">
        <f aca="false">IF(AND(CQ$1&gt;=Units!$Q96,MOD(CQ$1-Units!$Q96,12)=0),IF(AND(Units!$L96=1,CQ$1=Units!$Q96),1,Inputs!$B$15)*Inputs!$B$16*(1+Inputs!$B$11)^(CQ$2-1),0)</f>
        <v>0</v>
      </c>
      <c r="CR97" s="11" t="n">
        <f aca="false">IF(AND(CR$1&gt;=Units!$Q96,MOD(CR$1-Units!$Q96,12)=0),IF(AND(Units!$L96=1,CR$1=Units!$Q96),1,Inputs!$B$15)*Inputs!$B$16*(1+Inputs!$B$11)^(CR$2-1),0)</f>
        <v>0</v>
      </c>
      <c r="CS97" s="11" t="n">
        <f aca="false">IF(AND(CS$1&gt;=Units!$Q96,MOD(CS$1-Units!$Q96,12)=0),IF(AND(Units!$L96=1,CS$1=Units!$Q96),1,Inputs!$B$15)*Inputs!$B$16*(1+Inputs!$B$11)^(CS$2-1),0)</f>
        <v>0</v>
      </c>
      <c r="CT97" s="11" t="n">
        <f aca="false">IF(AND(CT$1&gt;=Units!$Q96,MOD(CT$1-Units!$Q96,12)=0),IF(AND(Units!$L96=1,CT$1=Units!$Q96),1,Inputs!$B$15)*Inputs!$B$16*(1+Inputs!$B$11)^(CT$2-1),0)</f>
        <v>614.936932712435</v>
      </c>
      <c r="CU97" s="11" t="n">
        <f aca="false">IF(AND(CU$1&gt;=Units!$Q96,MOD(CU$1-Units!$Q96,12)=0),IF(AND(Units!$L96=1,CU$1=Units!$Q96),1,Inputs!$B$15)*Inputs!$B$16*(1+Inputs!$B$11)^(CU$2-1),0)</f>
        <v>0</v>
      </c>
      <c r="CV97" s="11" t="n">
        <f aca="false">IF(AND(CV$1&gt;=Units!$Q96,MOD(CV$1-Units!$Q96,12)=0),IF(AND(Units!$L96=1,CV$1=Units!$Q96),1,Inputs!$B$15)*Inputs!$B$16*(1+Inputs!$B$11)^(CV$2-1),0)</f>
        <v>0</v>
      </c>
      <c r="CW97" s="11" t="n">
        <f aca="false">IF(AND(CW$1&gt;=Units!$Q96,MOD(CW$1-Units!$Q96,12)=0),IF(AND(Units!$L96=1,CW$1=Units!$Q96),1,Inputs!$B$15)*Inputs!$B$16*(1+Inputs!$B$11)^(CW$2-1),0)</f>
        <v>0</v>
      </c>
      <c r="CX97" s="11" t="n">
        <f aca="false">IF(AND(CX$1&gt;=Units!$Q96,MOD(CX$1-Units!$Q96,12)=0),IF(AND(Units!$L96=1,CX$1=Units!$Q96),1,Inputs!$B$15)*Inputs!$B$16*(1+Inputs!$B$11)^(CX$2-1),0)</f>
        <v>0</v>
      </c>
      <c r="CY97" s="11" t="n">
        <f aca="false">IF(AND(CY$1&gt;=Units!$Q96,MOD(CY$1-Units!$Q96,12)=0),IF(AND(Units!$L96=1,CY$1=Units!$Q96),1,Inputs!$B$15)*Inputs!$B$16*(1+Inputs!$B$11)^(CY$2-1),0)</f>
        <v>0</v>
      </c>
      <c r="CZ97" s="11" t="n">
        <f aca="false">IF(AND(CZ$1&gt;=Units!$Q96,MOD(CZ$1-Units!$Q96,12)=0),IF(AND(Units!$L96=1,CZ$1=Units!$Q96),1,Inputs!$B$15)*Inputs!$B$16*(1+Inputs!$B$11)^(CZ$2-1),0)</f>
        <v>0</v>
      </c>
      <c r="DA97" s="11" t="n">
        <f aca="false">IF(AND(DA$1&gt;=Units!$Q96,MOD(DA$1-Units!$Q96,12)=0),IF(AND(Units!$L96=1,DA$1=Units!$Q96),1,Inputs!$B$15)*Inputs!$B$16*(1+Inputs!$B$11)^(DA$2-1),0)</f>
        <v>0</v>
      </c>
      <c r="DB97" s="11" t="n">
        <f aca="false">IF(AND(DB$1&gt;=Units!$Q96,MOD(DB$1-Units!$Q96,12)=0),IF(AND(Units!$L96=1,DB$1=Units!$Q96),1,Inputs!$B$15)*Inputs!$B$16*(1+Inputs!$B$11)^(DB$2-1),0)</f>
        <v>0</v>
      </c>
      <c r="DC97" s="11" t="n">
        <f aca="false">IF(AND(DC$1&gt;=Units!$Q96,MOD(DC$1-Units!$Q96,12)=0),IF(AND(Units!$L96=1,DC$1=Units!$Q96),1,Inputs!$B$15)*Inputs!$B$16*(1+Inputs!$B$11)^(DC$2-1),0)</f>
        <v>0</v>
      </c>
      <c r="DD97" s="11" t="n">
        <f aca="false">IF(AND(DD$1&gt;=Units!$Q96,MOD(DD$1-Units!$Q96,12)=0),IF(AND(Units!$L96=1,DD$1=Units!$Q96),1,Inputs!$B$15)*Inputs!$B$16*(1+Inputs!$B$11)^(DD$2-1),0)</f>
        <v>0</v>
      </c>
      <c r="DE97" s="11" t="n">
        <f aca="false">IF(AND(DE$1&gt;=Units!$Q96,MOD(DE$1-Units!$Q96,12)=0),IF(AND(Units!$L96=1,DE$1=Units!$Q96),1,Inputs!$B$15)*Inputs!$B$16*(1+Inputs!$B$11)^(DE$2-1),0)</f>
        <v>0</v>
      </c>
      <c r="DF97" s="11" t="n">
        <f aca="false">IF(AND(DF$1&gt;=Units!$Q96,MOD(DF$1-Units!$Q96,12)=0),IF(AND(Units!$L96=1,DF$1=Units!$Q96),1,Inputs!$B$15)*Inputs!$B$16*(1+Inputs!$B$11)^(DF$2-1),0)</f>
        <v>633.385040693808</v>
      </c>
      <c r="DG97" s="11" t="n">
        <f aca="false">IF(AND(DG$1&gt;=Units!$Q96,MOD(DG$1-Units!$Q96,12)=0),IF(AND(Units!$L96=1,DG$1=Units!$Q96),1,Inputs!$B$15)*Inputs!$B$16*(1+Inputs!$B$11)^(DG$2-1),0)</f>
        <v>0</v>
      </c>
      <c r="DH97" s="11" t="n">
        <f aca="false">IF(AND(DH$1&gt;=Units!$Q96,MOD(DH$1-Units!$Q96,12)=0),IF(AND(Units!$L96=1,DH$1=Units!$Q96),1,Inputs!$B$15)*Inputs!$B$16*(1+Inputs!$B$11)^(DH$2-1),0)</f>
        <v>0</v>
      </c>
      <c r="DI97" s="11" t="n">
        <f aca="false">IF(AND(DI$1&gt;=Units!$Q96,MOD(DI$1-Units!$Q96,12)=0),IF(AND(Units!$L96=1,DI$1=Units!$Q96),1,Inputs!$B$15)*Inputs!$B$16*(1+Inputs!$B$11)^(DI$2-1),0)</f>
        <v>0</v>
      </c>
      <c r="DJ97" s="11" t="n">
        <f aca="false">IF(AND(DJ$1&gt;=Units!$Q96,MOD(DJ$1-Units!$Q96,12)=0),IF(AND(Units!$L96=1,DJ$1=Units!$Q96),1,Inputs!$B$15)*Inputs!$B$16*(1+Inputs!$B$11)^(DJ$2-1),0)</f>
        <v>0</v>
      </c>
      <c r="DK97" s="11" t="n">
        <f aca="false">IF(AND(DK$1&gt;=Units!$Q96,MOD(DK$1-Units!$Q96,12)=0),IF(AND(Units!$L96=1,DK$1=Units!$Q96),1,Inputs!$B$15)*Inputs!$B$16*(1+Inputs!$B$11)^(DK$2-1),0)</f>
        <v>0</v>
      </c>
      <c r="DL97" s="11" t="n">
        <f aca="false">IF(AND(DL$1&gt;=Units!$Q96,MOD(DL$1-Units!$Q96,12)=0),IF(AND(Units!$L96=1,DL$1=Units!$Q96),1,Inputs!$B$15)*Inputs!$B$16*(1+Inputs!$B$11)^(DL$2-1),0)</f>
        <v>0</v>
      </c>
      <c r="DM97" s="11" t="n">
        <f aca="false">IF(AND(DM$1&gt;=Units!$Q96,MOD(DM$1-Units!$Q96,12)=0),IF(AND(Units!$L96=1,DM$1=Units!$Q96),1,Inputs!$B$15)*Inputs!$B$16*(1+Inputs!$B$11)^(DM$2-1),0)</f>
        <v>0</v>
      </c>
      <c r="DN97" s="11" t="n">
        <f aca="false">IF(AND(DN$1&gt;=Units!$Q96,MOD(DN$1-Units!$Q96,12)=0),IF(AND(Units!$L96=1,DN$1=Units!$Q96),1,Inputs!$B$15)*Inputs!$B$16*(1+Inputs!$B$11)^(DN$2-1),0)</f>
        <v>0</v>
      </c>
      <c r="DO97" s="11" t="n">
        <f aca="false">IF(AND(DO$1&gt;=Units!$Q96,MOD(DO$1-Units!$Q96,12)=0),IF(AND(Units!$L96=1,DO$1=Units!$Q96),1,Inputs!$B$15)*Inputs!$B$16*(1+Inputs!$B$11)^(DO$2-1),0)</f>
        <v>0</v>
      </c>
      <c r="DP97" s="11" t="n">
        <f aca="false">IF(AND(DP$1&gt;=Units!$Q96,MOD(DP$1-Units!$Q96,12)=0),IF(AND(Units!$L96=1,DP$1=Units!$Q96),1,Inputs!$B$15)*Inputs!$B$16*(1+Inputs!$B$11)^(DP$2-1),0)</f>
        <v>0</v>
      </c>
      <c r="DQ97" s="11" t="n">
        <f aca="false">IF(AND(DQ$1&gt;=Units!$Q96,MOD(DQ$1-Units!$Q96,12)=0),IF(AND(Units!$L96=1,DQ$1=Units!$Q96),1,Inputs!$B$15)*Inputs!$B$16*(1+Inputs!$B$11)^(DQ$2-1),0)</f>
        <v>0</v>
      </c>
      <c r="DR97" s="11" t="n">
        <f aca="false">IF(AND(DR$1&gt;=Units!$Q96,MOD(DR$1-Units!$Q96,12)=0),IF(AND(Units!$L96=1,DR$1=Units!$Q96),1,Inputs!$B$15)*Inputs!$B$16*(1+Inputs!$B$11)^(DR$2-1),0)</f>
        <v>652.386591914623</v>
      </c>
      <c r="DS97" s="11" t="n">
        <f aca="false">IF(AND(DS$1&gt;=Units!$Q96,MOD(DS$1-Units!$Q96,12)=0),IF(AND(Units!$L96=1,DS$1=Units!$Q96),1,Inputs!$B$15)*Inputs!$B$16*(1+Inputs!$B$11)^(DS$2-1),0)</f>
        <v>0</v>
      </c>
      <c r="DT97" s="11" t="n">
        <f aca="false">IF(AND(DT$1&gt;=Units!$Q96,MOD(DT$1-Units!$Q96,12)=0),IF(AND(Units!$L96=1,DT$1=Units!$Q96),1,Inputs!$B$15)*Inputs!$B$16*(1+Inputs!$B$11)^(DT$2-1),0)</f>
        <v>0</v>
      </c>
      <c r="DU97" s="11" t="n">
        <f aca="false">IF(AND(DU$1&gt;=Units!$Q96,MOD(DU$1-Units!$Q96,12)=0),IF(AND(Units!$L96=1,DU$1=Units!$Q96),1,Inputs!$B$15)*Inputs!$B$16*(1+Inputs!$B$11)^(DU$2-1),0)</f>
        <v>0</v>
      </c>
      <c r="DV97" s="11" t="n">
        <f aca="false">IF(AND(DV$1&gt;=Units!$Q96,MOD(DV$1-Units!$Q96,12)=0),IF(AND(Units!$L96=1,DV$1=Units!$Q96),1,Inputs!$B$15)*Inputs!$B$16*(1+Inputs!$B$11)^(DV$2-1),0)</f>
        <v>0</v>
      </c>
      <c r="DW97" s="11" t="n">
        <f aca="false">IF(AND(DW$1&gt;=Units!$Q96,MOD(DW$1-Units!$Q96,12)=0),IF(AND(Units!$L96=1,DW$1=Units!$Q96),1,Inputs!$B$15)*Inputs!$B$16*(1+Inputs!$B$11)^(DW$2-1),0)</f>
        <v>0</v>
      </c>
      <c r="DX97" s="11" t="n">
        <f aca="false">IF(AND(DX$1&gt;=Units!$Q96,MOD(DX$1-Units!$Q96,12)=0),IF(AND(Units!$L96=1,DX$1=Units!$Q96),1,Inputs!$B$15)*Inputs!$B$16*(1+Inputs!$B$11)^(DX$2-1),0)</f>
        <v>0</v>
      </c>
      <c r="DY97" s="11" t="n">
        <f aca="false">IF(AND(DY$1&gt;=Units!$Q96,MOD(DY$1-Units!$Q96,12)=0),IF(AND(Units!$L96=1,DY$1=Units!$Q96),1,Inputs!$B$15)*Inputs!$B$16*(1+Inputs!$B$11)^(DY$2-1),0)</f>
        <v>0</v>
      </c>
      <c r="DZ97" s="11" t="n">
        <f aca="false">IF(AND(DZ$1&gt;=Units!$Q96,MOD(DZ$1-Units!$Q96,12)=0),IF(AND(Units!$L96=1,DZ$1=Units!$Q96),1,Inputs!$B$15)*Inputs!$B$16*(1+Inputs!$B$11)^(DZ$2-1),0)</f>
        <v>0</v>
      </c>
      <c r="EA97" s="11" t="n">
        <f aca="false">IF(AND(EA$1&gt;=Units!$Q96,MOD(EA$1-Units!$Q96,12)=0),IF(AND(Units!$L96=1,EA$1=Units!$Q96),1,Inputs!$B$15)*Inputs!$B$16*(1+Inputs!$B$11)^(EA$2-1),0)</f>
        <v>0</v>
      </c>
      <c r="EB97" s="11" t="n">
        <f aca="false">IF(AND(EB$1&gt;=Units!$Q96,MOD(EB$1-Units!$Q96,12)=0),IF(AND(Units!$L96=1,EB$1=Units!$Q96),1,Inputs!$B$15)*Inputs!$B$16*(1+Inputs!$B$11)^(EB$2-1),0)</f>
        <v>0</v>
      </c>
      <c r="EC97" s="11" t="n">
        <f aca="false">IF(AND(EC$1&gt;=Units!$Q96,MOD(EC$1-Units!$Q96,12)=0),IF(AND(Units!$L96=1,EC$1=Units!$Q96),1,Inputs!$B$15)*Inputs!$B$16*(1+Inputs!$B$11)^(EC$2-1),0)</f>
        <v>0</v>
      </c>
      <c r="ED97" s="11" t="n">
        <f aca="false">IF(AND(ED$1&gt;=Units!$Q96,MOD(ED$1-Units!$Q96,12)=0),IF(AND(Units!$L96=1,ED$1=Units!$Q96),1,Inputs!$B$15)*Inputs!$B$16*(1+Inputs!$B$11)^(ED$2-1),0)</f>
        <v>671.958189672061</v>
      </c>
    </row>
    <row r="98" customFormat="false" ht="15" hidden="false" customHeight="false" outlineLevel="0" collapsed="false">
      <c r="A98" s="22" t="n">
        <f aca="false">Units!A97</f>
        <v>406</v>
      </c>
      <c r="B98" s="23"/>
      <c r="C98" s="11" t="n">
        <f aca="false">IF(AND(C$1&gt;=Units!$Q97,MOD(C$1-Units!$Q97,12)=0),IF(AND(Units!$L97=1,C$1=Units!$Q97),1,Inputs!$B$15)*Inputs!$B$16*(1+Inputs!$B$11)^(C$2-1),0)</f>
        <v>0</v>
      </c>
      <c r="D98" s="11" t="n">
        <f aca="false">IF(AND(D$1&gt;=Units!$Q97,MOD(D$1-Units!$Q97,12)=0),IF(AND(Units!$L97=1,D$1=Units!$Q97),1,Inputs!$B$15)*Inputs!$B$16*(1+Inputs!$B$11)^(D$2-1),0)</f>
        <v>0</v>
      </c>
      <c r="E98" s="11" t="n">
        <f aca="false">IF(AND(E$1&gt;=Units!$Q97,MOD(E$1-Units!$Q97,12)=0),IF(AND(Units!$L97=1,E$1=Units!$Q97),1,Inputs!$B$15)*Inputs!$B$16*(1+Inputs!$B$11)^(E$2-1),0)</f>
        <v>0</v>
      </c>
      <c r="F98" s="11" t="n">
        <f aca="false">IF(AND(F$1&gt;=Units!$Q97,MOD(F$1-Units!$Q97,12)=0),IF(AND(Units!$L97=1,F$1=Units!$Q97),1,Inputs!$B$15)*Inputs!$B$16*(1+Inputs!$B$11)^(F$2-1),0)</f>
        <v>0</v>
      </c>
      <c r="G98" s="11" t="n">
        <f aca="false">IF(AND(G$1&gt;=Units!$Q97,MOD(G$1-Units!$Q97,12)=0),IF(AND(Units!$L97=1,G$1=Units!$Q97),1,Inputs!$B$15)*Inputs!$B$16*(1+Inputs!$B$11)^(G$2-1),0)</f>
        <v>0</v>
      </c>
      <c r="H98" s="11" t="n">
        <f aca="false">IF(AND(H$1&gt;=Units!$Q97,MOD(H$1-Units!$Q97,12)=0),IF(AND(Units!$L97=1,H$1=Units!$Q97),1,Inputs!$B$15)*Inputs!$B$16*(1+Inputs!$B$11)^(H$2-1),0)</f>
        <v>0</v>
      </c>
      <c r="I98" s="11" t="n">
        <f aca="false">IF(AND(I$1&gt;=Units!$Q97,MOD(I$1-Units!$Q97,12)=0),IF(AND(Units!$L97=1,I$1=Units!$Q97),1,Inputs!$B$15)*Inputs!$B$16*(1+Inputs!$B$11)^(I$2-1),0)</f>
        <v>0</v>
      </c>
      <c r="J98" s="11" t="n">
        <f aca="false">IF(AND(J$1&gt;=Units!$Q97,MOD(J$1-Units!$Q97,12)=0),IF(AND(Units!$L97=1,J$1=Units!$Q97),1,Inputs!$B$15)*Inputs!$B$16*(1+Inputs!$B$11)^(J$2-1),0)</f>
        <v>0</v>
      </c>
      <c r="K98" s="11" t="n">
        <f aca="false">IF(AND(K$1&gt;=Units!$Q97,MOD(K$1-Units!$Q97,12)=0),IF(AND(Units!$L97=1,K$1=Units!$Q97),1,Inputs!$B$15)*Inputs!$B$16*(1+Inputs!$B$11)^(K$2-1),0)</f>
        <v>500</v>
      </c>
      <c r="L98" s="11" t="n">
        <f aca="false">IF(AND(L$1&gt;=Units!$Q97,MOD(L$1-Units!$Q97,12)=0),IF(AND(Units!$L97=1,L$1=Units!$Q97),1,Inputs!$B$15)*Inputs!$B$16*(1+Inputs!$B$11)^(L$2-1),0)</f>
        <v>0</v>
      </c>
      <c r="M98" s="11" t="n">
        <f aca="false">IF(AND(M$1&gt;=Units!$Q97,MOD(M$1-Units!$Q97,12)=0),IF(AND(Units!$L97=1,M$1=Units!$Q97),1,Inputs!$B$15)*Inputs!$B$16*(1+Inputs!$B$11)^(M$2-1),0)</f>
        <v>0</v>
      </c>
      <c r="N98" s="11" t="n">
        <f aca="false">IF(AND(N$1&gt;=Units!$Q97,MOD(N$1-Units!$Q97,12)=0),IF(AND(Units!$L97=1,N$1=Units!$Q97),1,Inputs!$B$15)*Inputs!$B$16*(1+Inputs!$B$11)^(N$2-1),0)</f>
        <v>0</v>
      </c>
      <c r="O98" s="11" t="n">
        <f aca="false">IF(AND(O$1&gt;=Units!$Q97,MOD(O$1-Units!$Q97,12)=0),IF(AND(Units!$L97=1,O$1=Units!$Q97),1,Inputs!$B$15)*Inputs!$B$16*(1+Inputs!$B$11)^(O$2-1),0)</f>
        <v>0</v>
      </c>
      <c r="P98" s="11" t="n">
        <f aca="false">IF(AND(P$1&gt;=Units!$Q97,MOD(P$1-Units!$Q97,12)=0),IF(AND(Units!$L97=1,P$1=Units!$Q97),1,Inputs!$B$15)*Inputs!$B$16*(1+Inputs!$B$11)^(P$2-1),0)</f>
        <v>0</v>
      </c>
      <c r="Q98" s="11" t="n">
        <f aca="false">IF(AND(Q$1&gt;=Units!$Q97,MOD(Q$1-Units!$Q97,12)=0),IF(AND(Units!$L97=1,Q$1=Units!$Q97),1,Inputs!$B$15)*Inputs!$B$16*(1+Inputs!$B$11)^(Q$2-1),0)</f>
        <v>0</v>
      </c>
      <c r="R98" s="11" t="n">
        <f aca="false">IF(AND(R$1&gt;=Units!$Q97,MOD(R$1-Units!$Q97,12)=0),IF(AND(Units!$L97=1,R$1=Units!$Q97),1,Inputs!$B$15)*Inputs!$B$16*(1+Inputs!$B$11)^(R$2-1),0)</f>
        <v>0</v>
      </c>
      <c r="S98" s="11" t="n">
        <f aca="false">IF(AND(S$1&gt;=Units!$Q97,MOD(S$1-Units!$Q97,12)=0),IF(AND(Units!$L97=1,S$1=Units!$Q97),1,Inputs!$B$15)*Inputs!$B$16*(1+Inputs!$B$11)^(S$2-1),0)</f>
        <v>0</v>
      </c>
      <c r="T98" s="11" t="n">
        <f aca="false">IF(AND(T$1&gt;=Units!$Q97,MOD(T$1-Units!$Q97,12)=0),IF(AND(Units!$L97=1,T$1=Units!$Q97),1,Inputs!$B$15)*Inputs!$B$16*(1+Inputs!$B$11)^(T$2-1),0)</f>
        <v>0</v>
      </c>
      <c r="U98" s="11" t="n">
        <f aca="false">IF(AND(U$1&gt;=Units!$Q97,MOD(U$1-Units!$Q97,12)=0),IF(AND(Units!$L97=1,U$1=Units!$Q97),1,Inputs!$B$15)*Inputs!$B$16*(1+Inputs!$B$11)^(U$2-1),0)</f>
        <v>0</v>
      </c>
      <c r="V98" s="11" t="n">
        <f aca="false">IF(AND(V$1&gt;=Units!$Q97,MOD(V$1-Units!$Q97,12)=0),IF(AND(Units!$L97=1,V$1=Units!$Q97),1,Inputs!$B$15)*Inputs!$B$16*(1+Inputs!$B$11)^(V$2-1),0)</f>
        <v>0</v>
      </c>
      <c r="W98" s="11" t="n">
        <f aca="false">IF(AND(W$1&gt;=Units!$Q97,MOD(W$1-Units!$Q97,12)=0),IF(AND(Units!$L97=1,W$1=Units!$Q97),1,Inputs!$B$15)*Inputs!$B$16*(1+Inputs!$B$11)^(W$2-1),0)</f>
        <v>515</v>
      </c>
      <c r="X98" s="11" t="n">
        <f aca="false">IF(AND(X$1&gt;=Units!$Q97,MOD(X$1-Units!$Q97,12)=0),IF(AND(Units!$L97=1,X$1=Units!$Q97),1,Inputs!$B$15)*Inputs!$B$16*(1+Inputs!$B$11)^(X$2-1),0)</f>
        <v>0</v>
      </c>
      <c r="Y98" s="11" t="n">
        <f aca="false">IF(AND(Y$1&gt;=Units!$Q97,MOD(Y$1-Units!$Q97,12)=0),IF(AND(Units!$L97=1,Y$1=Units!$Q97),1,Inputs!$B$15)*Inputs!$B$16*(1+Inputs!$B$11)^(Y$2-1),0)</f>
        <v>0</v>
      </c>
      <c r="Z98" s="11" t="n">
        <f aca="false">IF(AND(Z$1&gt;=Units!$Q97,MOD(Z$1-Units!$Q97,12)=0),IF(AND(Units!$L97=1,Z$1=Units!$Q97),1,Inputs!$B$15)*Inputs!$B$16*(1+Inputs!$B$11)^(Z$2-1),0)</f>
        <v>0</v>
      </c>
      <c r="AA98" s="11" t="n">
        <f aca="false">IF(AND(AA$1&gt;=Units!$Q97,MOD(AA$1-Units!$Q97,12)=0),IF(AND(Units!$L97=1,AA$1=Units!$Q97),1,Inputs!$B$15)*Inputs!$B$16*(1+Inputs!$B$11)^(AA$2-1),0)</f>
        <v>0</v>
      </c>
      <c r="AB98" s="11" t="n">
        <f aca="false">IF(AND(AB$1&gt;=Units!$Q97,MOD(AB$1-Units!$Q97,12)=0),IF(AND(Units!$L97=1,AB$1=Units!$Q97),1,Inputs!$B$15)*Inputs!$B$16*(1+Inputs!$B$11)^(AB$2-1),0)</f>
        <v>0</v>
      </c>
      <c r="AC98" s="11" t="n">
        <f aca="false">IF(AND(AC$1&gt;=Units!$Q97,MOD(AC$1-Units!$Q97,12)=0),IF(AND(Units!$L97=1,AC$1=Units!$Q97),1,Inputs!$B$15)*Inputs!$B$16*(1+Inputs!$B$11)^(AC$2-1),0)</f>
        <v>0</v>
      </c>
      <c r="AD98" s="11" t="n">
        <f aca="false">IF(AND(AD$1&gt;=Units!$Q97,MOD(AD$1-Units!$Q97,12)=0),IF(AND(Units!$L97=1,AD$1=Units!$Q97),1,Inputs!$B$15)*Inputs!$B$16*(1+Inputs!$B$11)^(AD$2-1),0)</f>
        <v>0</v>
      </c>
      <c r="AE98" s="11" t="n">
        <f aca="false">IF(AND(AE$1&gt;=Units!$Q97,MOD(AE$1-Units!$Q97,12)=0),IF(AND(Units!$L97=1,AE$1=Units!$Q97),1,Inputs!$B$15)*Inputs!$B$16*(1+Inputs!$B$11)^(AE$2-1),0)</f>
        <v>0</v>
      </c>
      <c r="AF98" s="11" t="n">
        <f aca="false">IF(AND(AF$1&gt;=Units!$Q97,MOD(AF$1-Units!$Q97,12)=0),IF(AND(Units!$L97=1,AF$1=Units!$Q97),1,Inputs!$B$15)*Inputs!$B$16*(1+Inputs!$B$11)^(AF$2-1),0)</f>
        <v>0</v>
      </c>
      <c r="AG98" s="11" t="n">
        <f aca="false">IF(AND(AG$1&gt;=Units!$Q97,MOD(AG$1-Units!$Q97,12)=0),IF(AND(Units!$L97=1,AG$1=Units!$Q97),1,Inputs!$B$15)*Inputs!$B$16*(1+Inputs!$B$11)^(AG$2-1),0)</f>
        <v>0</v>
      </c>
      <c r="AH98" s="11" t="n">
        <f aca="false">IF(AND(AH$1&gt;=Units!$Q97,MOD(AH$1-Units!$Q97,12)=0),IF(AND(Units!$L97=1,AH$1=Units!$Q97),1,Inputs!$B$15)*Inputs!$B$16*(1+Inputs!$B$11)^(AH$2-1),0)</f>
        <v>0</v>
      </c>
      <c r="AI98" s="11" t="n">
        <f aca="false">IF(AND(AI$1&gt;=Units!$Q97,MOD(AI$1-Units!$Q97,12)=0),IF(AND(Units!$L97=1,AI$1=Units!$Q97),1,Inputs!$B$15)*Inputs!$B$16*(1+Inputs!$B$11)^(AI$2-1),0)</f>
        <v>530.45</v>
      </c>
      <c r="AJ98" s="11" t="n">
        <f aca="false">IF(AND(AJ$1&gt;=Units!$Q97,MOD(AJ$1-Units!$Q97,12)=0),IF(AND(Units!$L97=1,AJ$1=Units!$Q97),1,Inputs!$B$15)*Inputs!$B$16*(1+Inputs!$B$11)^(AJ$2-1),0)</f>
        <v>0</v>
      </c>
      <c r="AK98" s="11" t="n">
        <f aca="false">IF(AND(AK$1&gt;=Units!$Q97,MOD(AK$1-Units!$Q97,12)=0),IF(AND(Units!$L97=1,AK$1=Units!$Q97),1,Inputs!$B$15)*Inputs!$B$16*(1+Inputs!$B$11)^(AK$2-1),0)</f>
        <v>0</v>
      </c>
      <c r="AL98" s="11" t="n">
        <f aca="false">IF(AND(AL$1&gt;=Units!$Q97,MOD(AL$1-Units!$Q97,12)=0),IF(AND(Units!$L97=1,AL$1=Units!$Q97),1,Inputs!$B$15)*Inputs!$B$16*(1+Inputs!$B$11)^(AL$2-1),0)</f>
        <v>0</v>
      </c>
      <c r="AM98" s="11" t="n">
        <f aca="false">IF(AND(AM$1&gt;=Units!$Q97,MOD(AM$1-Units!$Q97,12)=0),IF(AND(Units!$L97=1,AM$1=Units!$Q97),1,Inputs!$B$15)*Inputs!$B$16*(1+Inputs!$B$11)^(AM$2-1),0)</f>
        <v>0</v>
      </c>
      <c r="AN98" s="11" t="n">
        <f aca="false">IF(AND(AN$1&gt;=Units!$Q97,MOD(AN$1-Units!$Q97,12)=0),IF(AND(Units!$L97=1,AN$1=Units!$Q97),1,Inputs!$B$15)*Inputs!$B$16*(1+Inputs!$B$11)^(AN$2-1),0)</f>
        <v>0</v>
      </c>
      <c r="AO98" s="11" t="n">
        <f aca="false">IF(AND(AO$1&gt;=Units!$Q97,MOD(AO$1-Units!$Q97,12)=0),IF(AND(Units!$L97=1,AO$1=Units!$Q97),1,Inputs!$B$15)*Inputs!$B$16*(1+Inputs!$B$11)^(AO$2-1),0)</f>
        <v>0</v>
      </c>
      <c r="AP98" s="11" t="n">
        <f aca="false">IF(AND(AP$1&gt;=Units!$Q97,MOD(AP$1-Units!$Q97,12)=0),IF(AND(Units!$L97=1,AP$1=Units!$Q97),1,Inputs!$B$15)*Inputs!$B$16*(1+Inputs!$B$11)^(AP$2-1),0)</f>
        <v>0</v>
      </c>
      <c r="AQ98" s="11" t="n">
        <f aca="false">IF(AND(AQ$1&gt;=Units!$Q97,MOD(AQ$1-Units!$Q97,12)=0),IF(AND(Units!$L97=1,AQ$1=Units!$Q97),1,Inputs!$B$15)*Inputs!$B$16*(1+Inputs!$B$11)^(AQ$2-1),0)</f>
        <v>0</v>
      </c>
      <c r="AR98" s="11" t="n">
        <f aca="false">IF(AND(AR$1&gt;=Units!$Q97,MOD(AR$1-Units!$Q97,12)=0),IF(AND(Units!$L97=1,AR$1=Units!$Q97),1,Inputs!$B$15)*Inputs!$B$16*(1+Inputs!$B$11)^(AR$2-1),0)</f>
        <v>0</v>
      </c>
      <c r="AS98" s="11" t="n">
        <f aca="false">IF(AND(AS$1&gt;=Units!$Q97,MOD(AS$1-Units!$Q97,12)=0),IF(AND(Units!$L97=1,AS$1=Units!$Q97),1,Inputs!$B$15)*Inputs!$B$16*(1+Inputs!$B$11)^(AS$2-1),0)</f>
        <v>0</v>
      </c>
      <c r="AT98" s="11" t="n">
        <f aca="false">IF(AND(AT$1&gt;=Units!$Q97,MOD(AT$1-Units!$Q97,12)=0),IF(AND(Units!$L97=1,AT$1=Units!$Q97),1,Inputs!$B$15)*Inputs!$B$16*(1+Inputs!$B$11)^(AT$2-1),0)</f>
        <v>0</v>
      </c>
      <c r="AU98" s="11" t="n">
        <f aca="false">IF(AND(AU$1&gt;=Units!$Q97,MOD(AU$1-Units!$Q97,12)=0),IF(AND(Units!$L97=1,AU$1=Units!$Q97),1,Inputs!$B$15)*Inputs!$B$16*(1+Inputs!$B$11)^(AU$2-1),0)</f>
        <v>546.3635</v>
      </c>
      <c r="AV98" s="11" t="n">
        <f aca="false">IF(AND(AV$1&gt;=Units!$Q97,MOD(AV$1-Units!$Q97,12)=0),IF(AND(Units!$L97=1,AV$1=Units!$Q97),1,Inputs!$B$15)*Inputs!$B$16*(1+Inputs!$B$11)^(AV$2-1),0)</f>
        <v>0</v>
      </c>
      <c r="AW98" s="11" t="n">
        <f aca="false">IF(AND(AW$1&gt;=Units!$Q97,MOD(AW$1-Units!$Q97,12)=0),IF(AND(Units!$L97=1,AW$1=Units!$Q97),1,Inputs!$B$15)*Inputs!$B$16*(1+Inputs!$B$11)^(AW$2-1),0)</f>
        <v>0</v>
      </c>
      <c r="AX98" s="11" t="n">
        <f aca="false">IF(AND(AX$1&gt;=Units!$Q97,MOD(AX$1-Units!$Q97,12)=0),IF(AND(Units!$L97=1,AX$1=Units!$Q97),1,Inputs!$B$15)*Inputs!$B$16*(1+Inputs!$B$11)^(AX$2-1),0)</f>
        <v>0</v>
      </c>
      <c r="AY98" s="11" t="n">
        <f aca="false">IF(AND(AY$1&gt;=Units!$Q97,MOD(AY$1-Units!$Q97,12)=0),IF(AND(Units!$L97=1,AY$1=Units!$Q97),1,Inputs!$B$15)*Inputs!$B$16*(1+Inputs!$B$11)^(AY$2-1),0)</f>
        <v>0</v>
      </c>
      <c r="AZ98" s="11" t="n">
        <f aca="false">IF(AND(AZ$1&gt;=Units!$Q97,MOD(AZ$1-Units!$Q97,12)=0),IF(AND(Units!$L97=1,AZ$1=Units!$Q97),1,Inputs!$B$15)*Inputs!$B$16*(1+Inputs!$B$11)^(AZ$2-1),0)</f>
        <v>0</v>
      </c>
      <c r="BA98" s="11" t="n">
        <f aca="false">IF(AND(BA$1&gt;=Units!$Q97,MOD(BA$1-Units!$Q97,12)=0),IF(AND(Units!$L97=1,BA$1=Units!$Q97),1,Inputs!$B$15)*Inputs!$B$16*(1+Inputs!$B$11)^(BA$2-1),0)</f>
        <v>0</v>
      </c>
      <c r="BB98" s="11" t="n">
        <f aca="false">IF(AND(BB$1&gt;=Units!$Q97,MOD(BB$1-Units!$Q97,12)=0),IF(AND(Units!$L97=1,BB$1=Units!$Q97),1,Inputs!$B$15)*Inputs!$B$16*(1+Inputs!$B$11)^(BB$2-1),0)</f>
        <v>0</v>
      </c>
      <c r="BC98" s="11" t="n">
        <f aca="false">IF(AND(BC$1&gt;=Units!$Q97,MOD(BC$1-Units!$Q97,12)=0),IF(AND(Units!$L97=1,BC$1=Units!$Q97),1,Inputs!$B$15)*Inputs!$B$16*(1+Inputs!$B$11)^(BC$2-1),0)</f>
        <v>0</v>
      </c>
      <c r="BD98" s="11" t="n">
        <f aca="false">IF(AND(BD$1&gt;=Units!$Q97,MOD(BD$1-Units!$Q97,12)=0),IF(AND(Units!$L97=1,BD$1=Units!$Q97),1,Inputs!$B$15)*Inputs!$B$16*(1+Inputs!$B$11)^(BD$2-1),0)</f>
        <v>0</v>
      </c>
      <c r="BE98" s="11" t="n">
        <f aca="false">IF(AND(BE$1&gt;=Units!$Q97,MOD(BE$1-Units!$Q97,12)=0),IF(AND(Units!$L97=1,BE$1=Units!$Q97),1,Inputs!$B$15)*Inputs!$B$16*(1+Inputs!$B$11)^(BE$2-1),0)</f>
        <v>0</v>
      </c>
      <c r="BF98" s="11" t="n">
        <f aca="false">IF(AND(BF$1&gt;=Units!$Q97,MOD(BF$1-Units!$Q97,12)=0),IF(AND(Units!$L97=1,BF$1=Units!$Q97),1,Inputs!$B$15)*Inputs!$B$16*(1+Inputs!$B$11)^(BF$2-1),0)</f>
        <v>0</v>
      </c>
      <c r="BG98" s="11" t="n">
        <f aca="false">IF(AND(BG$1&gt;=Units!$Q97,MOD(BG$1-Units!$Q97,12)=0),IF(AND(Units!$L97=1,BG$1=Units!$Q97),1,Inputs!$B$15)*Inputs!$B$16*(1+Inputs!$B$11)^(BG$2-1),0)</f>
        <v>562.754405</v>
      </c>
      <c r="BH98" s="11" t="n">
        <f aca="false">IF(AND(BH$1&gt;=Units!$Q97,MOD(BH$1-Units!$Q97,12)=0),IF(AND(Units!$L97=1,BH$1=Units!$Q97),1,Inputs!$B$15)*Inputs!$B$16*(1+Inputs!$B$11)^(BH$2-1),0)</f>
        <v>0</v>
      </c>
      <c r="BI98" s="11" t="n">
        <f aca="false">IF(AND(BI$1&gt;=Units!$Q97,MOD(BI$1-Units!$Q97,12)=0),IF(AND(Units!$L97=1,BI$1=Units!$Q97),1,Inputs!$B$15)*Inputs!$B$16*(1+Inputs!$B$11)^(BI$2-1),0)</f>
        <v>0</v>
      </c>
      <c r="BJ98" s="11" t="n">
        <f aca="false">IF(AND(BJ$1&gt;=Units!$Q97,MOD(BJ$1-Units!$Q97,12)=0),IF(AND(Units!$L97=1,BJ$1=Units!$Q97),1,Inputs!$B$15)*Inputs!$B$16*(1+Inputs!$B$11)^(BJ$2-1),0)</f>
        <v>0</v>
      </c>
      <c r="BK98" s="11" t="n">
        <f aca="false">IF(AND(BK$1&gt;=Units!$Q97,MOD(BK$1-Units!$Q97,12)=0),IF(AND(Units!$L97=1,BK$1=Units!$Q97),1,Inputs!$B$15)*Inputs!$B$16*(1+Inputs!$B$11)^(BK$2-1),0)</f>
        <v>0</v>
      </c>
      <c r="BL98" s="11" t="n">
        <f aca="false">IF(AND(BL$1&gt;=Units!$Q97,MOD(BL$1-Units!$Q97,12)=0),IF(AND(Units!$L97=1,BL$1=Units!$Q97),1,Inputs!$B$15)*Inputs!$B$16*(1+Inputs!$B$11)^(BL$2-1),0)</f>
        <v>0</v>
      </c>
      <c r="BM98" s="11" t="n">
        <f aca="false">IF(AND(BM$1&gt;=Units!$Q97,MOD(BM$1-Units!$Q97,12)=0),IF(AND(Units!$L97=1,BM$1=Units!$Q97),1,Inputs!$B$15)*Inputs!$B$16*(1+Inputs!$B$11)^(BM$2-1),0)</f>
        <v>0</v>
      </c>
      <c r="BN98" s="11" t="n">
        <f aca="false">IF(AND(BN$1&gt;=Units!$Q97,MOD(BN$1-Units!$Q97,12)=0),IF(AND(Units!$L97=1,BN$1=Units!$Q97),1,Inputs!$B$15)*Inputs!$B$16*(1+Inputs!$B$11)^(BN$2-1),0)</f>
        <v>0</v>
      </c>
      <c r="BO98" s="11" t="n">
        <f aca="false">IF(AND(BO$1&gt;=Units!$Q97,MOD(BO$1-Units!$Q97,12)=0),IF(AND(Units!$L97=1,BO$1=Units!$Q97),1,Inputs!$B$15)*Inputs!$B$16*(1+Inputs!$B$11)^(BO$2-1),0)</f>
        <v>0</v>
      </c>
      <c r="BP98" s="11" t="n">
        <f aca="false">IF(AND(BP$1&gt;=Units!$Q97,MOD(BP$1-Units!$Q97,12)=0),IF(AND(Units!$L97=1,BP$1=Units!$Q97),1,Inputs!$B$15)*Inputs!$B$16*(1+Inputs!$B$11)^(BP$2-1),0)</f>
        <v>0</v>
      </c>
      <c r="BQ98" s="11" t="n">
        <f aca="false">IF(AND(BQ$1&gt;=Units!$Q97,MOD(BQ$1-Units!$Q97,12)=0),IF(AND(Units!$L97=1,BQ$1=Units!$Q97),1,Inputs!$B$15)*Inputs!$B$16*(1+Inputs!$B$11)^(BQ$2-1),0)</f>
        <v>0</v>
      </c>
      <c r="BR98" s="11" t="n">
        <f aca="false">IF(AND(BR$1&gt;=Units!$Q97,MOD(BR$1-Units!$Q97,12)=0),IF(AND(Units!$L97=1,BR$1=Units!$Q97),1,Inputs!$B$15)*Inputs!$B$16*(1+Inputs!$B$11)^(BR$2-1),0)</f>
        <v>0</v>
      </c>
      <c r="BS98" s="11" t="n">
        <f aca="false">IF(AND(BS$1&gt;=Units!$Q97,MOD(BS$1-Units!$Q97,12)=0),IF(AND(Units!$L97=1,BS$1=Units!$Q97),1,Inputs!$B$15)*Inputs!$B$16*(1+Inputs!$B$11)^(BS$2-1),0)</f>
        <v>579.63703715</v>
      </c>
      <c r="BT98" s="11" t="n">
        <f aca="false">IF(AND(BT$1&gt;=Units!$Q97,MOD(BT$1-Units!$Q97,12)=0),IF(AND(Units!$L97=1,BT$1=Units!$Q97),1,Inputs!$B$15)*Inputs!$B$16*(1+Inputs!$B$11)^(BT$2-1),0)</f>
        <v>0</v>
      </c>
      <c r="BU98" s="11" t="n">
        <f aca="false">IF(AND(BU$1&gt;=Units!$Q97,MOD(BU$1-Units!$Q97,12)=0),IF(AND(Units!$L97=1,BU$1=Units!$Q97),1,Inputs!$B$15)*Inputs!$B$16*(1+Inputs!$B$11)^(BU$2-1),0)</f>
        <v>0</v>
      </c>
      <c r="BV98" s="11" t="n">
        <f aca="false">IF(AND(BV$1&gt;=Units!$Q97,MOD(BV$1-Units!$Q97,12)=0),IF(AND(Units!$L97=1,BV$1=Units!$Q97),1,Inputs!$B$15)*Inputs!$B$16*(1+Inputs!$B$11)^(BV$2-1),0)</f>
        <v>0</v>
      </c>
      <c r="BW98" s="11" t="n">
        <f aca="false">IF(AND(BW$1&gt;=Units!$Q97,MOD(BW$1-Units!$Q97,12)=0),IF(AND(Units!$L97=1,BW$1=Units!$Q97),1,Inputs!$B$15)*Inputs!$B$16*(1+Inputs!$B$11)^(BW$2-1),0)</f>
        <v>0</v>
      </c>
      <c r="BX98" s="11" t="n">
        <f aca="false">IF(AND(BX$1&gt;=Units!$Q97,MOD(BX$1-Units!$Q97,12)=0),IF(AND(Units!$L97=1,BX$1=Units!$Q97),1,Inputs!$B$15)*Inputs!$B$16*(1+Inputs!$B$11)^(BX$2-1),0)</f>
        <v>0</v>
      </c>
      <c r="BY98" s="11" t="n">
        <f aca="false">IF(AND(BY$1&gt;=Units!$Q97,MOD(BY$1-Units!$Q97,12)=0),IF(AND(Units!$L97=1,BY$1=Units!$Q97),1,Inputs!$B$15)*Inputs!$B$16*(1+Inputs!$B$11)^(BY$2-1),0)</f>
        <v>0</v>
      </c>
      <c r="BZ98" s="11" t="n">
        <f aca="false">IF(AND(BZ$1&gt;=Units!$Q97,MOD(BZ$1-Units!$Q97,12)=0),IF(AND(Units!$L97=1,BZ$1=Units!$Q97),1,Inputs!$B$15)*Inputs!$B$16*(1+Inputs!$B$11)^(BZ$2-1),0)</f>
        <v>0</v>
      </c>
      <c r="CA98" s="11" t="n">
        <f aca="false">IF(AND(CA$1&gt;=Units!$Q97,MOD(CA$1-Units!$Q97,12)=0),IF(AND(Units!$L97=1,CA$1=Units!$Q97),1,Inputs!$B$15)*Inputs!$B$16*(1+Inputs!$B$11)^(CA$2-1),0)</f>
        <v>0</v>
      </c>
      <c r="CB98" s="11" t="n">
        <f aca="false">IF(AND(CB$1&gt;=Units!$Q97,MOD(CB$1-Units!$Q97,12)=0),IF(AND(Units!$L97=1,CB$1=Units!$Q97),1,Inputs!$B$15)*Inputs!$B$16*(1+Inputs!$B$11)^(CB$2-1),0)</f>
        <v>0</v>
      </c>
      <c r="CC98" s="11" t="n">
        <f aca="false">IF(AND(CC$1&gt;=Units!$Q97,MOD(CC$1-Units!$Q97,12)=0),IF(AND(Units!$L97=1,CC$1=Units!$Q97),1,Inputs!$B$15)*Inputs!$B$16*(1+Inputs!$B$11)^(CC$2-1),0)</f>
        <v>0</v>
      </c>
      <c r="CD98" s="11" t="n">
        <f aca="false">IF(AND(CD$1&gt;=Units!$Q97,MOD(CD$1-Units!$Q97,12)=0),IF(AND(Units!$L97=1,CD$1=Units!$Q97),1,Inputs!$B$15)*Inputs!$B$16*(1+Inputs!$B$11)^(CD$2-1),0)</f>
        <v>0</v>
      </c>
      <c r="CE98" s="11" t="n">
        <f aca="false">IF(AND(CE$1&gt;=Units!$Q97,MOD(CE$1-Units!$Q97,12)=0),IF(AND(Units!$L97=1,CE$1=Units!$Q97),1,Inputs!$B$15)*Inputs!$B$16*(1+Inputs!$B$11)^(CE$2-1),0)</f>
        <v>597.0261482645</v>
      </c>
      <c r="CF98" s="11" t="n">
        <f aca="false">IF(AND(CF$1&gt;=Units!$Q97,MOD(CF$1-Units!$Q97,12)=0),IF(AND(Units!$L97=1,CF$1=Units!$Q97),1,Inputs!$B$15)*Inputs!$B$16*(1+Inputs!$B$11)^(CF$2-1),0)</f>
        <v>0</v>
      </c>
      <c r="CG98" s="11" t="n">
        <f aca="false">IF(AND(CG$1&gt;=Units!$Q97,MOD(CG$1-Units!$Q97,12)=0),IF(AND(Units!$L97=1,CG$1=Units!$Q97),1,Inputs!$B$15)*Inputs!$B$16*(1+Inputs!$B$11)^(CG$2-1),0)</f>
        <v>0</v>
      </c>
      <c r="CH98" s="11" t="n">
        <f aca="false">IF(AND(CH$1&gt;=Units!$Q97,MOD(CH$1-Units!$Q97,12)=0),IF(AND(Units!$L97=1,CH$1=Units!$Q97),1,Inputs!$B$15)*Inputs!$B$16*(1+Inputs!$B$11)^(CH$2-1),0)</f>
        <v>0</v>
      </c>
      <c r="CI98" s="11" t="n">
        <f aca="false">IF(AND(CI$1&gt;=Units!$Q97,MOD(CI$1-Units!$Q97,12)=0),IF(AND(Units!$L97=1,CI$1=Units!$Q97),1,Inputs!$B$15)*Inputs!$B$16*(1+Inputs!$B$11)^(CI$2-1),0)</f>
        <v>0</v>
      </c>
      <c r="CJ98" s="11" t="n">
        <f aca="false">IF(AND(CJ$1&gt;=Units!$Q97,MOD(CJ$1-Units!$Q97,12)=0),IF(AND(Units!$L97=1,CJ$1=Units!$Q97),1,Inputs!$B$15)*Inputs!$B$16*(1+Inputs!$B$11)^(CJ$2-1),0)</f>
        <v>0</v>
      </c>
      <c r="CK98" s="11" t="n">
        <f aca="false">IF(AND(CK$1&gt;=Units!$Q97,MOD(CK$1-Units!$Q97,12)=0),IF(AND(Units!$L97=1,CK$1=Units!$Q97),1,Inputs!$B$15)*Inputs!$B$16*(1+Inputs!$B$11)^(CK$2-1),0)</f>
        <v>0</v>
      </c>
      <c r="CL98" s="11" t="n">
        <f aca="false">IF(AND(CL$1&gt;=Units!$Q97,MOD(CL$1-Units!$Q97,12)=0),IF(AND(Units!$L97=1,CL$1=Units!$Q97),1,Inputs!$B$15)*Inputs!$B$16*(1+Inputs!$B$11)^(CL$2-1),0)</f>
        <v>0</v>
      </c>
      <c r="CM98" s="11" t="n">
        <f aca="false">IF(AND(CM$1&gt;=Units!$Q97,MOD(CM$1-Units!$Q97,12)=0),IF(AND(Units!$L97=1,CM$1=Units!$Q97),1,Inputs!$B$15)*Inputs!$B$16*(1+Inputs!$B$11)^(CM$2-1),0)</f>
        <v>0</v>
      </c>
      <c r="CN98" s="11" t="n">
        <f aca="false">IF(AND(CN$1&gt;=Units!$Q97,MOD(CN$1-Units!$Q97,12)=0),IF(AND(Units!$L97=1,CN$1=Units!$Q97),1,Inputs!$B$15)*Inputs!$B$16*(1+Inputs!$B$11)^(CN$2-1),0)</f>
        <v>0</v>
      </c>
      <c r="CO98" s="11" t="n">
        <f aca="false">IF(AND(CO$1&gt;=Units!$Q97,MOD(CO$1-Units!$Q97,12)=0),IF(AND(Units!$L97=1,CO$1=Units!$Q97),1,Inputs!$B$15)*Inputs!$B$16*(1+Inputs!$B$11)^(CO$2-1),0)</f>
        <v>0</v>
      </c>
      <c r="CP98" s="11" t="n">
        <f aca="false">IF(AND(CP$1&gt;=Units!$Q97,MOD(CP$1-Units!$Q97,12)=0),IF(AND(Units!$L97=1,CP$1=Units!$Q97),1,Inputs!$B$15)*Inputs!$B$16*(1+Inputs!$B$11)^(CP$2-1),0)</f>
        <v>0</v>
      </c>
      <c r="CQ98" s="11" t="n">
        <f aca="false">IF(AND(CQ$1&gt;=Units!$Q97,MOD(CQ$1-Units!$Q97,12)=0),IF(AND(Units!$L97=1,CQ$1=Units!$Q97),1,Inputs!$B$15)*Inputs!$B$16*(1+Inputs!$B$11)^(CQ$2-1),0)</f>
        <v>614.936932712435</v>
      </c>
      <c r="CR98" s="11" t="n">
        <f aca="false">IF(AND(CR$1&gt;=Units!$Q97,MOD(CR$1-Units!$Q97,12)=0),IF(AND(Units!$L97=1,CR$1=Units!$Q97),1,Inputs!$B$15)*Inputs!$B$16*(1+Inputs!$B$11)^(CR$2-1),0)</f>
        <v>0</v>
      </c>
      <c r="CS98" s="11" t="n">
        <f aca="false">IF(AND(CS$1&gt;=Units!$Q97,MOD(CS$1-Units!$Q97,12)=0),IF(AND(Units!$L97=1,CS$1=Units!$Q97),1,Inputs!$B$15)*Inputs!$B$16*(1+Inputs!$B$11)^(CS$2-1),0)</f>
        <v>0</v>
      </c>
      <c r="CT98" s="11" t="n">
        <f aca="false">IF(AND(CT$1&gt;=Units!$Q97,MOD(CT$1-Units!$Q97,12)=0),IF(AND(Units!$L97=1,CT$1=Units!$Q97),1,Inputs!$B$15)*Inputs!$B$16*(1+Inputs!$B$11)^(CT$2-1),0)</f>
        <v>0</v>
      </c>
      <c r="CU98" s="11" t="n">
        <f aca="false">IF(AND(CU$1&gt;=Units!$Q97,MOD(CU$1-Units!$Q97,12)=0),IF(AND(Units!$L97=1,CU$1=Units!$Q97),1,Inputs!$B$15)*Inputs!$B$16*(1+Inputs!$B$11)^(CU$2-1),0)</f>
        <v>0</v>
      </c>
      <c r="CV98" s="11" t="n">
        <f aca="false">IF(AND(CV$1&gt;=Units!$Q97,MOD(CV$1-Units!$Q97,12)=0),IF(AND(Units!$L97=1,CV$1=Units!$Q97),1,Inputs!$B$15)*Inputs!$B$16*(1+Inputs!$B$11)^(CV$2-1),0)</f>
        <v>0</v>
      </c>
      <c r="CW98" s="11" t="n">
        <f aca="false">IF(AND(CW$1&gt;=Units!$Q97,MOD(CW$1-Units!$Q97,12)=0),IF(AND(Units!$L97=1,CW$1=Units!$Q97),1,Inputs!$B$15)*Inputs!$B$16*(1+Inputs!$B$11)^(CW$2-1),0)</f>
        <v>0</v>
      </c>
      <c r="CX98" s="11" t="n">
        <f aca="false">IF(AND(CX$1&gt;=Units!$Q97,MOD(CX$1-Units!$Q97,12)=0),IF(AND(Units!$L97=1,CX$1=Units!$Q97),1,Inputs!$B$15)*Inputs!$B$16*(1+Inputs!$B$11)^(CX$2-1),0)</f>
        <v>0</v>
      </c>
      <c r="CY98" s="11" t="n">
        <f aca="false">IF(AND(CY$1&gt;=Units!$Q97,MOD(CY$1-Units!$Q97,12)=0),IF(AND(Units!$L97=1,CY$1=Units!$Q97),1,Inputs!$B$15)*Inputs!$B$16*(1+Inputs!$B$11)^(CY$2-1),0)</f>
        <v>0</v>
      </c>
      <c r="CZ98" s="11" t="n">
        <f aca="false">IF(AND(CZ$1&gt;=Units!$Q97,MOD(CZ$1-Units!$Q97,12)=0),IF(AND(Units!$L97=1,CZ$1=Units!$Q97),1,Inputs!$B$15)*Inputs!$B$16*(1+Inputs!$B$11)^(CZ$2-1),0)</f>
        <v>0</v>
      </c>
      <c r="DA98" s="11" t="n">
        <f aca="false">IF(AND(DA$1&gt;=Units!$Q97,MOD(DA$1-Units!$Q97,12)=0),IF(AND(Units!$L97=1,DA$1=Units!$Q97),1,Inputs!$B$15)*Inputs!$B$16*(1+Inputs!$B$11)^(DA$2-1),0)</f>
        <v>0</v>
      </c>
      <c r="DB98" s="11" t="n">
        <f aca="false">IF(AND(DB$1&gt;=Units!$Q97,MOD(DB$1-Units!$Q97,12)=0),IF(AND(Units!$L97=1,DB$1=Units!$Q97),1,Inputs!$B$15)*Inputs!$B$16*(1+Inputs!$B$11)^(DB$2-1),0)</f>
        <v>0</v>
      </c>
      <c r="DC98" s="11" t="n">
        <f aca="false">IF(AND(DC$1&gt;=Units!$Q97,MOD(DC$1-Units!$Q97,12)=0),IF(AND(Units!$L97=1,DC$1=Units!$Q97),1,Inputs!$B$15)*Inputs!$B$16*(1+Inputs!$B$11)^(DC$2-1),0)</f>
        <v>633.385040693808</v>
      </c>
      <c r="DD98" s="11" t="n">
        <f aca="false">IF(AND(DD$1&gt;=Units!$Q97,MOD(DD$1-Units!$Q97,12)=0),IF(AND(Units!$L97=1,DD$1=Units!$Q97),1,Inputs!$B$15)*Inputs!$B$16*(1+Inputs!$B$11)^(DD$2-1),0)</f>
        <v>0</v>
      </c>
      <c r="DE98" s="11" t="n">
        <f aca="false">IF(AND(DE$1&gt;=Units!$Q97,MOD(DE$1-Units!$Q97,12)=0),IF(AND(Units!$L97=1,DE$1=Units!$Q97),1,Inputs!$B$15)*Inputs!$B$16*(1+Inputs!$B$11)^(DE$2-1),0)</f>
        <v>0</v>
      </c>
      <c r="DF98" s="11" t="n">
        <f aca="false">IF(AND(DF$1&gt;=Units!$Q97,MOD(DF$1-Units!$Q97,12)=0),IF(AND(Units!$L97=1,DF$1=Units!$Q97),1,Inputs!$B$15)*Inputs!$B$16*(1+Inputs!$B$11)^(DF$2-1),0)</f>
        <v>0</v>
      </c>
      <c r="DG98" s="11" t="n">
        <f aca="false">IF(AND(DG$1&gt;=Units!$Q97,MOD(DG$1-Units!$Q97,12)=0),IF(AND(Units!$L97=1,DG$1=Units!$Q97),1,Inputs!$B$15)*Inputs!$B$16*(1+Inputs!$B$11)^(DG$2-1),0)</f>
        <v>0</v>
      </c>
      <c r="DH98" s="11" t="n">
        <f aca="false">IF(AND(DH$1&gt;=Units!$Q97,MOD(DH$1-Units!$Q97,12)=0),IF(AND(Units!$L97=1,DH$1=Units!$Q97),1,Inputs!$B$15)*Inputs!$B$16*(1+Inputs!$B$11)^(DH$2-1),0)</f>
        <v>0</v>
      </c>
      <c r="DI98" s="11" t="n">
        <f aca="false">IF(AND(DI$1&gt;=Units!$Q97,MOD(DI$1-Units!$Q97,12)=0),IF(AND(Units!$L97=1,DI$1=Units!$Q97),1,Inputs!$B$15)*Inputs!$B$16*(1+Inputs!$B$11)^(DI$2-1),0)</f>
        <v>0</v>
      </c>
      <c r="DJ98" s="11" t="n">
        <f aca="false">IF(AND(DJ$1&gt;=Units!$Q97,MOD(DJ$1-Units!$Q97,12)=0),IF(AND(Units!$L97=1,DJ$1=Units!$Q97),1,Inputs!$B$15)*Inputs!$B$16*(1+Inputs!$B$11)^(DJ$2-1),0)</f>
        <v>0</v>
      </c>
      <c r="DK98" s="11" t="n">
        <f aca="false">IF(AND(DK$1&gt;=Units!$Q97,MOD(DK$1-Units!$Q97,12)=0),IF(AND(Units!$L97=1,DK$1=Units!$Q97),1,Inputs!$B$15)*Inputs!$B$16*(1+Inputs!$B$11)^(DK$2-1),0)</f>
        <v>0</v>
      </c>
      <c r="DL98" s="11" t="n">
        <f aca="false">IF(AND(DL$1&gt;=Units!$Q97,MOD(DL$1-Units!$Q97,12)=0),IF(AND(Units!$L97=1,DL$1=Units!$Q97),1,Inputs!$B$15)*Inputs!$B$16*(1+Inputs!$B$11)^(DL$2-1),0)</f>
        <v>0</v>
      </c>
      <c r="DM98" s="11" t="n">
        <f aca="false">IF(AND(DM$1&gt;=Units!$Q97,MOD(DM$1-Units!$Q97,12)=0),IF(AND(Units!$L97=1,DM$1=Units!$Q97),1,Inputs!$B$15)*Inputs!$B$16*(1+Inputs!$B$11)^(DM$2-1),0)</f>
        <v>0</v>
      </c>
      <c r="DN98" s="11" t="n">
        <f aca="false">IF(AND(DN$1&gt;=Units!$Q97,MOD(DN$1-Units!$Q97,12)=0),IF(AND(Units!$L97=1,DN$1=Units!$Q97),1,Inputs!$B$15)*Inputs!$B$16*(1+Inputs!$B$11)^(DN$2-1),0)</f>
        <v>0</v>
      </c>
      <c r="DO98" s="11" t="n">
        <f aca="false">IF(AND(DO$1&gt;=Units!$Q97,MOD(DO$1-Units!$Q97,12)=0),IF(AND(Units!$L97=1,DO$1=Units!$Q97),1,Inputs!$B$15)*Inputs!$B$16*(1+Inputs!$B$11)^(DO$2-1),0)</f>
        <v>652.386591914623</v>
      </c>
      <c r="DP98" s="11" t="n">
        <f aca="false">IF(AND(DP$1&gt;=Units!$Q97,MOD(DP$1-Units!$Q97,12)=0),IF(AND(Units!$L97=1,DP$1=Units!$Q97),1,Inputs!$B$15)*Inputs!$B$16*(1+Inputs!$B$11)^(DP$2-1),0)</f>
        <v>0</v>
      </c>
      <c r="DQ98" s="11" t="n">
        <f aca="false">IF(AND(DQ$1&gt;=Units!$Q97,MOD(DQ$1-Units!$Q97,12)=0),IF(AND(Units!$L97=1,DQ$1=Units!$Q97),1,Inputs!$B$15)*Inputs!$B$16*(1+Inputs!$B$11)^(DQ$2-1),0)</f>
        <v>0</v>
      </c>
      <c r="DR98" s="11" t="n">
        <f aca="false">IF(AND(DR$1&gt;=Units!$Q97,MOD(DR$1-Units!$Q97,12)=0),IF(AND(Units!$L97=1,DR$1=Units!$Q97),1,Inputs!$B$15)*Inputs!$B$16*(1+Inputs!$B$11)^(DR$2-1),0)</f>
        <v>0</v>
      </c>
      <c r="DS98" s="11" t="n">
        <f aca="false">IF(AND(DS$1&gt;=Units!$Q97,MOD(DS$1-Units!$Q97,12)=0),IF(AND(Units!$L97=1,DS$1=Units!$Q97),1,Inputs!$B$15)*Inputs!$B$16*(1+Inputs!$B$11)^(DS$2-1),0)</f>
        <v>0</v>
      </c>
      <c r="DT98" s="11" t="n">
        <f aca="false">IF(AND(DT$1&gt;=Units!$Q97,MOD(DT$1-Units!$Q97,12)=0),IF(AND(Units!$L97=1,DT$1=Units!$Q97),1,Inputs!$B$15)*Inputs!$B$16*(1+Inputs!$B$11)^(DT$2-1),0)</f>
        <v>0</v>
      </c>
      <c r="DU98" s="11" t="n">
        <f aca="false">IF(AND(DU$1&gt;=Units!$Q97,MOD(DU$1-Units!$Q97,12)=0),IF(AND(Units!$L97=1,DU$1=Units!$Q97),1,Inputs!$B$15)*Inputs!$B$16*(1+Inputs!$B$11)^(DU$2-1),0)</f>
        <v>0</v>
      </c>
      <c r="DV98" s="11" t="n">
        <f aca="false">IF(AND(DV$1&gt;=Units!$Q97,MOD(DV$1-Units!$Q97,12)=0),IF(AND(Units!$L97=1,DV$1=Units!$Q97),1,Inputs!$B$15)*Inputs!$B$16*(1+Inputs!$B$11)^(DV$2-1),0)</f>
        <v>0</v>
      </c>
      <c r="DW98" s="11" t="n">
        <f aca="false">IF(AND(DW$1&gt;=Units!$Q97,MOD(DW$1-Units!$Q97,12)=0),IF(AND(Units!$L97=1,DW$1=Units!$Q97),1,Inputs!$B$15)*Inputs!$B$16*(1+Inputs!$B$11)^(DW$2-1),0)</f>
        <v>0</v>
      </c>
      <c r="DX98" s="11" t="n">
        <f aca="false">IF(AND(DX$1&gt;=Units!$Q97,MOD(DX$1-Units!$Q97,12)=0),IF(AND(Units!$L97=1,DX$1=Units!$Q97),1,Inputs!$B$15)*Inputs!$B$16*(1+Inputs!$B$11)^(DX$2-1),0)</f>
        <v>0</v>
      </c>
      <c r="DY98" s="11" t="n">
        <f aca="false">IF(AND(DY$1&gt;=Units!$Q97,MOD(DY$1-Units!$Q97,12)=0),IF(AND(Units!$L97=1,DY$1=Units!$Q97),1,Inputs!$B$15)*Inputs!$B$16*(1+Inputs!$B$11)^(DY$2-1),0)</f>
        <v>0</v>
      </c>
      <c r="DZ98" s="11" t="n">
        <f aca="false">IF(AND(DZ$1&gt;=Units!$Q97,MOD(DZ$1-Units!$Q97,12)=0),IF(AND(Units!$L97=1,DZ$1=Units!$Q97),1,Inputs!$B$15)*Inputs!$B$16*(1+Inputs!$B$11)^(DZ$2-1),0)</f>
        <v>0</v>
      </c>
      <c r="EA98" s="11" t="n">
        <f aca="false">IF(AND(EA$1&gt;=Units!$Q97,MOD(EA$1-Units!$Q97,12)=0),IF(AND(Units!$L97=1,EA$1=Units!$Q97),1,Inputs!$B$15)*Inputs!$B$16*(1+Inputs!$B$11)^(EA$2-1),0)</f>
        <v>671.958189672061</v>
      </c>
      <c r="EB98" s="11" t="n">
        <f aca="false">IF(AND(EB$1&gt;=Units!$Q97,MOD(EB$1-Units!$Q97,12)=0),IF(AND(Units!$L97=1,EB$1=Units!$Q97),1,Inputs!$B$15)*Inputs!$B$16*(1+Inputs!$B$11)^(EB$2-1),0)</f>
        <v>0</v>
      </c>
      <c r="EC98" s="11" t="n">
        <f aca="false">IF(AND(EC$1&gt;=Units!$Q97,MOD(EC$1-Units!$Q97,12)=0),IF(AND(Units!$L97=1,EC$1=Units!$Q97),1,Inputs!$B$15)*Inputs!$B$16*(1+Inputs!$B$11)^(EC$2-1),0)</f>
        <v>0</v>
      </c>
      <c r="ED98" s="11" t="n">
        <f aca="false">IF(AND(ED$1&gt;=Units!$Q97,MOD(ED$1-Units!$Q97,12)=0),IF(AND(Units!$L97=1,ED$1=Units!$Q97),1,Inputs!$B$15)*Inputs!$B$16*(1+Inputs!$B$11)^(ED$2-1),0)</f>
        <v>0</v>
      </c>
    </row>
    <row r="99" customFormat="false" ht="15" hidden="false" customHeight="false" outlineLevel="0" collapsed="false">
      <c r="A99" s="22" t="n">
        <f aca="false">Units!A98</f>
        <v>407</v>
      </c>
      <c r="B99" s="23"/>
      <c r="C99" s="11" t="n">
        <f aca="false">IF(AND(C$1&gt;=Units!$Q98,MOD(C$1-Units!$Q98,12)=0),IF(AND(Units!$L98=1,C$1=Units!$Q98),1,Inputs!$B$15)*Inputs!$B$16*(1+Inputs!$B$11)^(C$2-1),0)</f>
        <v>0</v>
      </c>
      <c r="D99" s="11" t="n">
        <f aca="false">IF(AND(D$1&gt;=Units!$Q98,MOD(D$1-Units!$Q98,12)=0),IF(AND(Units!$L98=1,D$1=Units!$Q98),1,Inputs!$B$15)*Inputs!$B$16*(1+Inputs!$B$11)^(D$2-1),0)</f>
        <v>0</v>
      </c>
      <c r="E99" s="11" t="n">
        <f aca="false">IF(AND(E$1&gt;=Units!$Q98,MOD(E$1-Units!$Q98,12)=0),IF(AND(Units!$L98=1,E$1=Units!$Q98),1,Inputs!$B$15)*Inputs!$B$16*(1+Inputs!$B$11)^(E$2-1),0)</f>
        <v>0</v>
      </c>
      <c r="F99" s="11" t="n">
        <f aca="false">IF(AND(F$1&gt;=Units!$Q98,MOD(F$1-Units!$Q98,12)=0),IF(AND(Units!$L98=1,F$1=Units!$Q98),1,Inputs!$B$15)*Inputs!$B$16*(1+Inputs!$B$11)^(F$2-1),0)</f>
        <v>0</v>
      </c>
      <c r="G99" s="11" t="n">
        <f aca="false">IF(AND(G$1&gt;=Units!$Q98,MOD(G$1-Units!$Q98,12)=0),IF(AND(Units!$L98=1,G$1=Units!$Q98),1,Inputs!$B$15)*Inputs!$B$16*(1+Inputs!$B$11)^(G$2-1),0)</f>
        <v>0</v>
      </c>
      <c r="H99" s="11" t="n">
        <f aca="false">IF(AND(H$1&gt;=Units!$Q98,MOD(H$1-Units!$Q98,12)=0),IF(AND(Units!$L98=1,H$1=Units!$Q98),1,Inputs!$B$15)*Inputs!$B$16*(1+Inputs!$B$11)^(H$2-1),0)</f>
        <v>500</v>
      </c>
      <c r="I99" s="11" t="n">
        <f aca="false">IF(AND(I$1&gt;=Units!$Q98,MOD(I$1-Units!$Q98,12)=0),IF(AND(Units!$L98=1,I$1=Units!$Q98),1,Inputs!$B$15)*Inputs!$B$16*(1+Inputs!$B$11)^(I$2-1),0)</f>
        <v>0</v>
      </c>
      <c r="J99" s="11" t="n">
        <f aca="false">IF(AND(J$1&gt;=Units!$Q98,MOD(J$1-Units!$Q98,12)=0),IF(AND(Units!$L98=1,J$1=Units!$Q98),1,Inputs!$B$15)*Inputs!$B$16*(1+Inputs!$B$11)^(J$2-1),0)</f>
        <v>0</v>
      </c>
      <c r="K99" s="11" t="n">
        <f aca="false">IF(AND(K$1&gt;=Units!$Q98,MOD(K$1-Units!$Q98,12)=0),IF(AND(Units!$L98=1,K$1=Units!$Q98),1,Inputs!$B$15)*Inputs!$B$16*(1+Inputs!$B$11)^(K$2-1),0)</f>
        <v>0</v>
      </c>
      <c r="L99" s="11" t="n">
        <f aca="false">IF(AND(L$1&gt;=Units!$Q98,MOD(L$1-Units!$Q98,12)=0),IF(AND(Units!$L98=1,L$1=Units!$Q98),1,Inputs!$B$15)*Inputs!$B$16*(1+Inputs!$B$11)^(L$2-1),0)</f>
        <v>0</v>
      </c>
      <c r="M99" s="11" t="n">
        <f aca="false">IF(AND(M$1&gt;=Units!$Q98,MOD(M$1-Units!$Q98,12)=0),IF(AND(Units!$L98=1,M$1=Units!$Q98),1,Inputs!$B$15)*Inputs!$B$16*(1+Inputs!$B$11)^(M$2-1),0)</f>
        <v>0</v>
      </c>
      <c r="N99" s="11" t="n">
        <f aca="false">IF(AND(N$1&gt;=Units!$Q98,MOD(N$1-Units!$Q98,12)=0),IF(AND(Units!$L98=1,N$1=Units!$Q98),1,Inputs!$B$15)*Inputs!$B$16*(1+Inputs!$B$11)^(N$2-1),0)</f>
        <v>0</v>
      </c>
      <c r="O99" s="11" t="n">
        <f aca="false">IF(AND(O$1&gt;=Units!$Q98,MOD(O$1-Units!$Q98,12)=0),IF(AND(Units!$L98=1,O$1=Units!$Q98),1,Inputs!$B$15)*Inputs!$B$16*(1+Inputs!$B$11)^(O$2-1),0)</f>
        <v>0</v>
      </c>
      <c r="P99" s="11" t="n">
        <f aca="false">IF(AND(P$1&gt;=Units!$Q98,MOD(P$1-Units!$Q98,12)=0),IF(AND(Units!$L98=1,P$1=Units!$Q98),1,Inputs!$B$15)*Inputs!$B$16*(1+Inputs!$B$11)^(P$2-1),0)</f>
        <v>0</v>
      </c>
      <c r="Q99" s="11" t="n">
        <f aca="false">IF(AND(Q$1&gt;=Units!$Q98,MOD(Q$1-Units!$Q98,12)=0),IF(AND(Units!$L98=1,Q$1=Units!$Q98),1,Inputs!$B$15)*Inputs!$B$16*(1+Inputs!$B$11)^(Q$2-1),0)</f>
        <v>0</v>
      </c>
      <c r="R99" s="11" t="n">
        <f aca="false">IF(AND(R$1&gt;=Units!$Q98,MOD(R$1-Units!$Q98,12)=0),IF(AND(Units!$L98=1,R$1=Units!$Q98),1,Inputs!$B$15)*Inputs!$B$16*(1+Inputs!$B$11)^(R$2-1),0)</f>
        <v>0</v>
      </c>
      <c r="S99" s="11" t="n">
        <f aca="false">IF(AND(S$1&gt;=Units!$Q98,MOD(S$1-Units!$Q98,12)=0),IF(AND(Units!$L98=1,S$1=Units!$Q98),1,Inputs!$B$15)*Inputs!$B$16*(1+Inputs!$B$11)^(S$2-1),0)</f>
        <v>0</v>
      </c>
      <c r="T99" s="11" t="n">
        <f aca="false">IF(AND(T$1&gt;=Units!$Q98,MOD(T$1-Units!$Q98,12)=0),IF(AND(Units!$L98=1,T$1=Units!$Q98),1,Inputs!$B$15)*Inputs!$B$16*(1+Inputs!$B$11)^(T$2-1),0)</f>
        <v>515</v>
      </c>
      <c r="U99" s="11" t="n">
        <f aca="false">IF(AND(U$1&gt;=Units!$Q98,MOD(U$1-Units!$Q98,12)=0),IF(AND(Units!$L98=1,U$1=Units!$Q98),1,Inputs!$B$15)*Inputs!$B$16*(1+Inputs!$B$11)^(U$2-1),0)</f>
        <v>0</v>
      </c>
      <c r="V99" s="11" t="n">
        <f aca="false">IF(AND(V$1&gt;=Units!$Q98,MOD(V$1-Units!$Q98,12)=0),IF(AND(Units!$L98=1,V$1=Units!$Q98),1,Inputs!$B$15)*Inputs!$B$16*(1+Inputs!$B$11)^(V$2-1),0)</f>
        <v>0</v>
      </c>
      <c r="W99" s="11" t="n">
        <f aca="false">IF(AND(W$1&gt;=Units!$Q98,MOD(W$1-Units!$Q98,12)=0),IF(AND(Units!$L98=1,W$1=Units!$Q98),1,Inputs!$B$15)*Inputs!$B$16*(1+Inputs!$B$11)^(W$2-1),0)</f>
        <v>0</v>
      </c>
      <c r="X99" s="11" t="n">
        <f aca="false">IF(AND(X$1&gt;=Units!$Q98,MOD(X$1-Units!$Q98,12)=0),IF(AND(Units!$L98=1,X$1=Units!$Q98),1,Inputs!$B$15)*Inputs!$B$16*(1+Inputs!$B$11)^(X$2-1),0)</f>
        <v>0</v>
      </c>
      <c r="Y99" s="11" t="n">
        <f aca="false">IF(AND(Y$1&gt;=Units!$Q98,MOD(Y$1-Units!$Q98,12)=0),IF(AND(Units!$L98=1,Y$1=Units!$Q98),1,Inputs!$B$15)*Inputs!$B$16*(1+Inputs!$B$11)^(Y$2-1),0)</f>
        <v>0</v>
      </c>
      <c r="Z99" s="11" t="n">
        <f aca="false">IF(AND(Z$1&gt;=Units!$Q98,MOD(Z$1-Units!$Q98,12)=0),IF(AND(Units!$L98=1,Z$1=Units!$Q98),1,Inputs!$B$15)*Inputs!$B$16*(1+Inputs!$B$11)^(Z$2-1),0)</f>
        <v>0</v>
      </c>
      <c r="AA99" s="11" t="n">
        <f aca="false">IF(AND(AA$1&gt;=Units!$Q98,MOD(AA$1-Units!$Q98,12)=0),IF(AND(Units!$L98=1,AA$1=Units!$Q98),1,Inputs!$B$15)*Inputs!$B$16*(1+Inputs!$B$11)^(AA$2-1),0)</f>
        <v>0</v>
      </c>
      <c r="AB99" s="11" t="n">
        <f aca="false">IF(AND(AB$1&gt;=Units!$Q98,MOD(AB$1-Units!$Q98,12)=0),IF(AND(Units!$L98=1,AB$1=Units!$Q98),1,Inputs!$B$15)*Inputs!$B$16*(1+Inputs!$B$11)^(AB$2-1),0)</f>
        <v>0</v>
      </c>
      <c r="AC99" s="11" t="n">
        <f aca="false">IF(AND(AC$1&gt;=Units!$Q98,MOD(AC$1-Units!$Q98,12)=0),IF(AND(Units!$L98=1,AC$1=Units!$Q98),1,Inputs!$B$15)*Inputs!$B$16*(1+Inputs!$B$11)^(AC$2-1),0)</f>
        <v>0</v>
      </c>
      <c r="AD99" s="11" t="n">
        <f aca="false">IF(AND(AD$1&gt;=Units!$Q98,MOD(AD$1-Units!$Q98,12)=0),IF(AND(Units!$L98=1,AD$1=Units!$Q98),1,Inputs!$B$15)*Inputs!$B$16*(1+Inputs!$B$11)^(AD$2-1),0)</f>
        <v>0</v>
      </c>
      <c r="AE99" s="11" t="n">
        <f aca="false">IF(AND(AE$1&gt;=Units!$Q98,MOD(AE$1-Units!$Q98,12)=0),IF(AND(Units!$L98=1,AE$1=Units!$Q98),1,Inputs!$B$15)*Inputs!$B$16*(1+Inputs!$B$11)^(AE$2-1),0)</f>
        <v>0</v>
      </c>
      <c r="AF99" s="11" t="n">
        <f aca="false">IF(AND(AF$1&gt;=Units!$Q98,MOD(AF$1-Units!$Q98,12)=0),IF(AND(Units!$L98=1,AF$1=Units!$Q98),1,Inputs!$B$15)*Inputs!$B$16*(1+Inputs!$B$11)^(AF$2-1),0)</f>
        <v>530.45</v>
      </c>
      <c r="AG99" s="11" t="n">
        <f aca="false">IF(AND(AG$1&gt;=Units!$Q98,MOD(AG$1-Units!$Q98,12)=0),IF(AND(Units!$L98=1,AG$1=Units!$Q98),1,Inputs!$B$15)*Inputs!$B$16*(1+Inputs!$B$11)^(AG$2-1),0)</f>
        <v>0</v>
      </c>
      <c r="AH99" s="11" t="n">
        <f aca="false">IF(AND(AH$1&gt;=Units!$Q98,MOD(AH$1-Units!$Q98,12)=0),IF(AND(Units!$L98=1,AH$1=Units!$Q98),1,Inputs!$B$15)*Inputs!$B$16*(1+Inputs!$B$11)^(AH$2-1),0)</f>
        <v>0</v>
      </c>
      <c r="AI99" s="11" t="n">
        <f aca="false">IF(AND(AI$1&gt;=Units!$Q98,MOD(AI$1-Units!$Q98,12)=0),IF(AND(Units!$L98=1,AI$1=Units!$Q98),1,Inputs!$B$15)*Inputs!$B$16*(1+Inputs!$B$11)^(AI$2-1),0)</f>
        <v>0</v>
      </c>
      <c r="AJ99" s="11" t="n">
        <f aca="false">IF(AND(AJ$1&gt;=Units!$Q98,MOD(AJ$1-Units!$Q98,12)=0),IF(AND(Units!$L98=1,AJ$1=Units!$Q98),1,Inputs!$B$15)*Inputs!$B$16*(1+Inputs!$B$11)^(AJ$2-1),0)</f>
        <v>0</v>
      </c>
      <c r="AK99" s="11" t="n">
        <f aca="false">IF(AND(AK$1&gt;=Units!$Q98,MOD(AK$1-Units!$Q98,12)=0),IF(AND(Units!$L98=1,AK$1=Units!$Q98),1,Inputs!$B$15)*Inputs!$B$16*(1+Inputs!$B$11)^(AK$2-1),0)</f>
        <v>0</v>
      </c>
      <c r="AL99" s="11" t="n">
        <f aca="false">IF(AND(AL$1&gt;=Units!$Q98,MOD(AL$1-Units!$Q98,12)=0),IF(AND(Units!$L98=1,AL$1=Units!$Q98),1,Inputs!$B$15)*Inputs!$B$16*(1+Inputs!$B$11)^(AL$2-1),0)</f>
        <v>0</v>
      </c>
      <c r="AM99" s="11" t="n">
        <f aca="false">IF(AND(AM$1&gt;=Units!$Q98,MOD(AM$1-Units!$Q98,12)=0),IF(AND(Units!$L98=1,AM$1=Units!$Q98),1,Inputs!$B$15)*Inputs!$B$16*(1+Inputs!$B$11)^(AM$2-1),0)</f>
        <v>0</v>
      </c>
      <c r="AN99" s="11" t="n">
        <f aca="false">IF(AND(AN$1&gt;=Units!$Q98,MOD(AN$1-Units!$Q98,12)=0),IF(AND(Units!$L98=1,AN$1=Units!$Q98),1,Inputs!$B$15)*Inputs!$B$16*(1+Inputs!$B$11)^(AN$2-1),0)</f>
        <v>0</v>
      </c>
      <c r="AO99" s="11" t="n">
        <f aca="false">IF(AND(AO$1&gt;=Units!$Q98,MOD(AO$1-Units!$Q98,12)=0),IF(AND(Units!$L98=1,AO$1=Units!$Q98),1,Inputs!$B$15)*Inputs!$B$16*(1+Inputs!$B$11)^(AO$2-1),0)</f>
        <v>0</v>
      </c>
      <c r="AP99" s="11" t="n">
        <f aca="false">IF(AND(AP$1&gt;=Units!$Q98,MOD(AP$1-Units!$Q98,12)=0),IF(AND(Units!$L98=1,AP$1=Units!$Q98),1,Inputs!$B$15)*Inputs!$B$16*(1+Inputs!$B$11)^(AP$2-1),0)</f>
        <v>0</v>
      </c>
      <c r="AQ99" s="11" t="n">
        <f aca="false">IF(AND(AQ$1&gt;=Units!$Q98,MOD(AQ$1-Units!$Q98,12)=0),IF(AND(Units!$L98=1,AQ$1=Units!$Q98),1,Inputs!$B$15)*Inputs!$B$16*(1+Inputs!$B$11)^(AQ$2-1),0)</f>
        <v>0</v>
      </c>
      <c r="AR99" s="11" t="n">
        <f aca="false">IF(AND(AR$1&gt;=Units!$Q98,MOD(AR$1-Units!$Q98,12)=0),IF(AND(Units!$L98=1,AR$1=Units!$Q98),1,Inputs!$B$15)*Inputs!$B$16*(1+Inputs!$B$11)^(AR$2-1),0)</f>
        <v>546.3635</v>
      </c>
      <c r="AS99" s="11" t="n">
        <f aca="false">IF(AND(AS$1&gt;=Units!$Q98,MOD(AS$1-Units!$Q98,12)=0),IF(AND(Units!$L98=1,AS$1=Units!$Q98),1,Inputs!$B$15)*Inputs!$B$16*(1+Inputs!$B$11)^(AS$2-1),0)</f>
        <v>0</v>
      </c>
      <c r="AT99" s="11" t="n">
        <f aca="false">IF(AND(AT$1&gt;=Units!$Q98,MOD(AT$1-Units!$Q98,12)=0),IF(AND(Units!$L98=1,AT$1=Units!$Q98),1,Inputs!$B$15)*Inputs!$B$16*(1+Inputs!$B$11)^(AT$2-1),0)</f>
        <v>0</v>
      </c>
      <c r="AU99" s="11" t="n">
        <f aca="false">IF(AND(AU$1&gt;=Units!$Q98,MOD(AU$1-Units!$Q98,12)=0),IF(AND(Units!$L98=1,AU$1=Units!$Q98),1,Inputs!$B$15)*Inputs!$B$16*(1+Inputs!$B$11)^(AU$2-1),0)</f>
        <v>0</v>
      </c>
      <c r="AV99" s="11" t="n">
        <f aca="false">IF(AND(AV$1&gt;=Units!$Q98,MOD(AV$1-Units!$Q98,12)=0),IF(AND(Units!$L98=1,AV$1=Units!$Q98),1,Inputs!$B$15)*Inputs!$B$16*(1+Inputs!$B$11)^(AV$2-1),0)</f>
        <v>0</v>
      </c>
      <c r="AW99" s="11" t="n">
        <f aca="false">IF(AND(AW$1&gt;=Units!$Q98,MOD(AW$1-Units!$Q98,12)=0),IF(AND(Units!$L98=1,AW$1=Units!$Q98),1,Inputs!$B$15)*Inputs!$B$16*(1+Inputs!$B$11)^(AW$2-1),0)</f>
        <v>0</v>
      </c>
      <c r="AX99" s="11" t="n">
        <f aca="false">IF(AND(AX$1&gt;=Units!$Q98,MOD(AX$1-Units!$Q98,12)=0),IF(AND(Units!$L98=1,AX$1=Units!$Q98),1,Inputs!$B$15)*Inputs!$B$16*(1+Inputs!$B$11)^(AX$2-1),0)</f>
        <v>0</v>
      </c>
      <c r="AY99" s="11" t="n">
        <f aca="false">IF(AND(AY$1&gt;=Units!$Q98,MOD(AY$1-Units!$Q98,12)=0),IF(AND(Units!$L98=1,AY$1=Units!$Q98),1,Inputs!$B$15)*Inputs!$B$16*(1+Inputs!$B$11)^(AY$2-1),0)</f>
        <v>0</v>
      </c>
      <c r="AZ99" s="11" t="n">
        <f aca="false">IF(AND(AZ$1&gt;=Units!$Q98,MOD(AZ$1-Units!$Q98,12)=0),IF(AND(Units!$L98=1,AZ$1=Units!$Q98),1,Inputs!$B$15)*Inputs!$B$16*(1+Inputs!$B$11)^(AZ$2-1),0)</f>
        <v>0</v>
      </c>
      <c r="BA99" s="11" t="n">
        <f aca="false">IF(AND(BA$1&gt;=Units!$Q98,MOD(BA$1-Units!$Q98,12)=0),IF(AND(Units!$L98=1,BA$1=Units!$Q98),1,Inputs!$B$15)*Inputs!$B$16*(1+Inputs!$B$11)^(BA$2-1),0)</f>
        <v>0</v>
      </c>
      <c r="BB99" s="11" t="n">
        <f aca="false">IF(AND(BB$1&gt;=Units!$Q98,MOD(BB$1-Units!$Q98,12)=0),IF(AND(Units!$L98=1,BB$1=Units!$Q98),1,Inputs!$B$15)*Inputs!$B$16*(1+Inputs!$B$11)^(BB$2-1),0)</f>
        <v>0</v>
      </c>
      <c r="BC99" s="11" t="n">
        <f aca="false">IF(AND(BC$1&gt;=Units!$Q98,MOD(BC$1-Units!$Q98,12)=0),IF(AND(Units!$L98=1,BC$1=Units!$Q98),1,Inputs!$B$15)*Inputs!$B$16*(1+Inputs!$B$11)^(BC$2-1),0)</f>
        <v>0</v>
      </c>
      <c r="BD99" s="11" t="n">
        <f aca="false">IF(AND(BD$1&gt;=Units!$Q98,MOD(BD$1-Units!$Q98,12)=0),IF(AND(Units!$L98=1,BD$1=Units!$Q98),1,Inputs!$B$15)*Inputs!$B$16*(1+Inputs!$B$11)^(BD$2-1),0)</f>
        <v>562.754405</v>
      </c>
      <c r="BE99" s="11" t="n">
        <f aca="false">IF(AND(BE$1&gt;=Units!$Q98,MOD(BE$1-Units!$Q98,12)=0),IF(AND(Units!$L98=1,BE$1=Units!$Q98),1,Inputs!$B$15)*Inputs!$B$16*(1+Inputs!$B$11)^(BE$2-1),0)</f>
        <v>0</v>
      </c>
      <c r="BF99" s="11" t="n">
        <f aca="false">IF(AND(BF$1&gt;=Units!$Q98,MOD(BF$1-Units!$Q98,12)=0),IF(AND(Units!$L98=1,BF$1=Units!$Q98),1,Inputs!$B$15)*Inputs!$B$16*(1+Inputs!$B$11)^(BF$2-1),0)</f>
        <v>0</v>
      </c>
      <c r="BG99" s="11" t="n">
        <f aca="false">IF(AND(BG$1&gt;=Units!$Q98,MOD(BG$1-Units!$Q98,12)=0),IF(AND(Units!$L98=1,BG$1=Units!$Q98),1,Inputs!$B$15)*Inputs!$B$16*(1+Inputs!$B$11)^(BG$2-1),0)</f>
        <v>0</v>
      </c>
      <c r="BH99" s="11" t="n">
        <f aca="false">IF(AND(BH$1&gt;=Units!$Q98,MOD(BH$1-Units!$Q98,12)=0),IF(AND(Units!$L98=1,BH$1=Units!$Q98),1,Inputs!$B$15)*Inputs!$B$16*(1+Inputs!$B$11)^(BH$2-1),0)</f>
        <v>0</v>
      </c>
      <c r="BI99" s="11" t="n">
        <f aca="false">IF(AND(BI$1&gt;=Units!$Q98,MOD(BI$1-Units!$Q98,12)=0),IF(AND(Units!$L98=1,BI$1=Units!$Q98),1,Inputs!$B$15)*Inputs!$B$16*(1+Inputs!$B$11)^(BI$2-1),0)</f>
        <v>0</v>
      </c>
      <c r="BJ99" s="11" t="n">
        <f aca="false">IF(AND(BJ$1&gt;=Units!$Q98,MOD(BJ$1-Units!$Q98,12)=0),IF(AND(Units!$L98=1,BJ$1=Units!$Q98),1,Inputs!$B$15)*Inputs!$B$16*(1+Inputs!$B$11)^(BJ$2-1),0)</f>
        <v>0</v>
      </c>
      <c r="BK99" s="11" t="n">
        <f aca="false">IF(AND(BK$1&gt;=Units!$Q98,MOD(BK$1-Units!$Q98,12)=0),IF(AND(Units!$L98=1,BK$1=Units!$Q98),1,Inputs!$B$15)*Inputs!$B$16*(1+Inputs!$B$11)^(BK$2-1),0)</f>
        <v>0</v>
      </c>
      <c r="BL99" s="11" t="n">
        <f aca="false">IF(AND(BL$1&gt;=Units!$Q98,MOD(BL$1-Units!$Q98,12)=0),IF(AND(Units!$L98=1,BL$1=Units!$Q98),1,Inputs!$B$15)*Inputs!$B$16*(1+Inputs!$B$11)^(BL$2-1),0)</f>
        <v>0</v>
      </c>
      <c r="BM99" s="11" t="n">
        <f aca="false">IF(AND(BM$1&gt;=Units!$Q98,MOD(BM$1-Units!$Q98,12)=0),IF(AND(Units!$L98=1,BM$1=Units!$Q98),1,Inputs!$B$15)*Inputs!$B$16*(1+Inputs!$B$11)^(BM$2-1),0)</f>
        <v>0</v>
      </c>
      <c r="BN99" s="11" t="n">
        <f aca="false">IF(AND(BN$1&gt;=Units!$Q98,MOD(BN$1-Units!$Q98,12)=0),IF(AND(Units!$L98=1,BN$1=Units!$Q98),1,Inputs!$B$15)*Inputs!$B$16*(1+Inputs!$B$11)^(BN$2-1),0)</f>
        <v>0</v>
      </c>
      <c r="BO99" s="11" t="n">
        <f aca="false">IF(AND(BO$1&gt;=Units!$Q98,MOD(BO$1-Units!$Q98,12)=0),IF(AND(Units!$L98=1,BO$1=Units!$Q98),1,Inputs!$B$15)*Inputs!$B$16*(1+Inputs!$B$11)^(BO$2-1),0)</f>
        <v>0</v>
      </c>
      <c r="BP99" s="11" t="n">
        <f aca="false">IF(AND(BP$1&gt;=Units!$Q98,MOD(BP$1-Units!$Q98,12)=0),IF(AND(Units!$L98=1,BP$1=Units!$Q98),1,Inputs!$B$15)*Inputs!$B$16*(1+Inputs!$B$11)^(BP$2-1),0)</f>
        <v>579.63703715</v>
      </c>
      <c r="BQ99" s="11" t="n">
        <f aca="false">IF(AND(BQ$1&gt;=Units!$Q98,MOD(BQ$1-Units!$Q98,12)=0),IF(AND(Units!$L98=1,BQ$1=Units!$Q98),1,Inputs!$B$15)*Inputs!$B$16*(1+Inputs!$B$11)^(BQ$2-1),0)</f>
        <v>0</v>
      </c>
      <c r="BR99" s="11" t="n">
        <f aca="false">IF(AND(BR$1&gt;=Units!$Q98,MOD(BR$1-Units!$Q98,12)=0),IF(AND(Units!$L98=1,BR$1=Units!$Q98),1,Inputs!$B$15)*Inputs!$B$16*(1+Inputs!$B$11)^(BR$2-1),0)</f>
        <v>0</v>
      </c>
      <c r="BS99" s="11" t="n">
        <f aca="false">IF(AND(BS$1&gt;=Units!$Q98,MOD(BS$1-Units!$Q98,12)=0),IF(AND(Units!$L98=1,BS$1=Units!$Q98),1,Inputs!$B$15)*Inputs!$B$16*(1+Inputs!$B$11)^(BS$2-1),0)</f>
        <v>0</v>
      </c>
      <c r="BT99" s="11" t="n">
        <f aca="false">IF(AND(BT$1&gt;=Units!$Q98,MOD(BT$1-Units!$Q98,12)=0),IF(AND(Units!$L98=1,BT$1=Units!$Q98),1,Inputs!$B$15)*Inputs!$B$16*(1+Inputs!$B$11)^(BT$2-1),0)</f>
        <v>0</v>
      </c>
      <c r="BU99" s="11" t="n">
        <f aca="false">IF(AND(BU$1&gt;=Units!$Q98,MOD(BU$1-Units!$Q98,12)=0),IF(AND(Units!$L98=1,BU$1=Units!$Q98),1,Inputs!$B$15)*Inputs!$B$16*(1+Inputs!$B$11)^(BU$2-1),0)</f>
        <v>0</v>
      </c>
      <c r="BV99" s="11" t="n">
        <f aca="false">IF(AND(BV$1&gt;=Units!$Q98,MOD(BV$1-Units!$Q98,12)=0),IF(AND(Units!$L98=1,BV$1=Units!$Q98),1,Inputs!$B$15)*Inputs!$B$16*(1+Inputs!$B$11)^(BV$2-1),0)</f>
        <v>0</v>
      </c>
      <c r="BW99" s="11" t="n">
        <f aca="false">IF(AND(BW$1&gt;=Units!$Q98,MOD(BW$1-Units!$Q98,12)=0),IF(AND(Units!$L98=1,BW$1=Units!$Q98),1,Inputs!$B$15)*Inputs!$B$16*(1+Inputs!$B$11)^(BW$2-1),0)</f>
        <v>0</v>
      </c>
      <c r="BX99" s="11" t="n">
        <f aca="false">IF(AND(BX$1&gt;=Units!$Q98,MOD(BX$1-Units!$Q98,12)=0),IF(AND(Units!$L98=1,BX$1=Units!$Q98),1,Inputs!$B$15)*Inputs!$B$16*(1+Inputs!$B$11)^(BX$2-1),0)</f>
        <v>0</v>
      </c>
      <c r="BY99" s="11" t="n">
        <f aca="false">IF(AND(BY$1&gt;=Units!$Q98,MOD(BY$1-Units!$Q98,12)=0),IF(AND(Units!$L98=1,BY$1=Units!$Q98),1,Inputs!$B$15)*Inputs!$B$16*(1+Inputs!$B$11)^(BY$2-1),0)</f>
        <v>0</v>
      </c>
      <c r="BZ99" s="11" t="n">
        <f aca="false">IF(AND(BZ$1&gt;=Units!$Q98,MOD(BZ$1-Units!$Q98,12)=0),IF(AND(Units!$L98=1,BZ$1=Units!$Q98),1,Inputs!$B$15)*Inputs!$B$16*(1+Inputs!$B$11)^(BZ$2-1),0)</f>
        <v>0</v>
      </c>
      <c r="CA99" s="11" t="n">
        <f aca="false">IF(AND(CA$1&gt;=Units!$Q98,MOD(CA$1-Units!$Q98,12)=0),IF(AND(Units!$L98=1,CA$1=Units!$Q98),1,Inputs!$B$15)*Inputs!$B$16*(1+Inputs!$B$11)^(CA$2-1),0)</f>
        <v>0</v>
      </c>
      <c r="CB99" s="11" t="n">
        <f aca="false">IF(AND(CB$1&gt;=Units!$Q98,MOD(CB$1-Units!$Q98,12)=0),IF(AND(Units!$L98=1,CB$1=Units!$Q98),1,Inputs!$B$15)*Inputs!$B$16*(1+Inputs!$B$11)^(CB$2-1),0)</f>
        <v>597.0261482645</v>
      </c>
      <c r="CC99" s="11" t="n">
        <f aca="false">IF(AND(CC$1&gt;=Units!$Q98,MOD(CC$1-Units!$Q98,12)=0),IF(AND(Units!$L98=1,CC$1=Units!$Q98),1,Inputs!$B$15)*Inputs!$B$16*(1+Inputs!$B$11)^(CC$2-1),0)</f>
        <v>0</v>
      </c>
      <c r="CD99" s="11" t="n">
        <f aca="false">IF(AND(CD$1&gt;=Units!$Q98,MOD(CD$1-Units!$Q98,12)=0),IF(AND(Units!$L98=1,CD$1=Units!$Q98),1,Inputs!$B$15)*Inputs!$B$16*(1+Inputs!$B$11)^(CD$2-1),0)</f>
        <v>0</v>
      </c>
      <c r="CE99" s="11" t="n">
        <f aca="false">IF(AND(CE$1&gt;=Units!$Q98,MOD(CE$1-Units!$Q98,12)=0),IF(AND(Units!$L98=1,CE$1=Units!$Q98),1,Inputs!$B$15)*Inputs!$B$16*(1+Inputs!$B$11)^(CE$2-1),0)</f>
        <v>0</v>
      </c>
      <c r="CF99" s="11" t="n">
        <f aca="false">IF(AND(CF$1&gt;=Units!$Q98,MOD(CF$1-Units!$Q98,12)=0),IF(AND(Units!$L98=1,CF$1=Units!$Q98),1,Inputs!$B$15)*Inputs!$B$16*(1+Inputs!$B$11)^(CF$2-1),0)</f>
        <v>0</v>
      </c>
      <c r="CG99" s="11" t="n">
        <f aca="false">IF(AND(CG$1&gt;=Units!$Q98,MOD(CG$1-Units!$Q98,12)=0),IF(AND(Units!$L98=1,CG$1=Units!$Q98),1,Inputs!$B$15)*Inputs!$B$16*(1+Inputs!$B$11)^(CG$2-1),0)</f>
        <v>0</v>
      </c>
      <c r="CH99" s="11" t="n">
        <f aca="false">IF(AND(CH$1&gt;=Units!$Q98,MOD(CH$1-Units!$Q98,12)=0),IF(AND(Units!$L98=1,CH$1=Units!$Q98),1,Inputs!$B$15)*Inputs!$B$16*(1+Inputs!$B$11)^(CH$2-1),0)</f>
        <v>0</v>
      </c>
      <c r="CI99" s="11" t="n">
        <f aca="false">IF(AND(CI$1&gt;=Units!$Q98,MOD(CI$1-Units!$Q98,12)=0),IF(AND(Units!$L98=1,CI$1=Units!$Q98),1,Inputs!$B$15)*Inputs!$B$16*(1+Inputs!$B$11)^(CI$2-1),0)</f>
        <v>0</v>
      </c>
      <c r="CJ99" s="11" t="n">
        <f aca="false">IF(AND(CJ$1&gt;=Units!$Q98,MOD(CJ$1-Units!$Q98,12)=0),IF(AND(Units!$L98=1,CJ$1=Units!$Q98),1,Inputs!$B$15)*Inputs!$B$16*(1+Inputs!$B$11)^(CJ$2-1),0)</f>
        <v>0</v>
      </c>
      <c r="CK99" s="11" t="n">
        <f aca="false">IF(AND(CK$1&gt;=Units!$Q98,MOD(CK$1-Units!$Q98,12)=0),IF(AND(Units!$L98=1,CK$1=Units!$Q98),1,Inputs!$B$15)*Inputs!$B$16*(1+Inputs!$B$11)^(CK$2-1),0)</f>
        <v>0</v>
      </c>
      <c r="CL99" s="11" t="n">
        <f aca="false">IF(AND(CL$1&gt;=Units!$Q98,MOD(CL$1-Units!$Q98,12)=0),IF(AND(Units!$L98=1,CL$1=Units!$Q98),1,Inputs!$B$15)*Inputs!$B$16*(1+Inputs!$B$11)^(CL$2-1),0)</f>
        <v>0</v>
      </c>
      <c r="CM99" s="11" t="n">
        <f aca="false">IF(AND(CM$1&gt;=Units!$Q98,MOD(CM$1-Units!$Q98,12)=0),IF(AND(Units!$L98=1,CM$1=Units!$Q98),1,Inputs!$B$15)*Inputs!$B$16*(1+Inputs!$B$11)^(CM$2-1),0)</f>
        <v>0</v>
      </c>
      <c r="CN99" s="11" t="n">
        <f aca="false">IF(AND(CN$1&gt;=Units!$Q98,MOD(CN$1-Units!$Q98,12)=0),IF(AND(Units!$L98=1,CN$1=Units!$Q98),1,Inputs!$B$15)*Inputs!$B$16*(1+Inputs!$B$11)^(CN$2-1),0)</f>
        <v>614.936932712435</v>
      </c>
      <c r="CO99" s="11" t="n">
        <f aca="false">IF(AND(CO$1&gt;=Units!$Q98,MOD(CO$1-Units!$Q98,12)=0),IF(AND(Units!$L98=1,CO$1=Units!$Q98),1,Inputs!$B$15)*Inputs!$B$16*(1+Inputs!$B$11)^(CO$2-1),0)</f>
        <v>0</v>
      </c>
      <c r="CP99" s="11" t="n">
        <f aca="false">IF(AND(CP$1&gt;=Units!$Q98,MOD(CP$1-Units!$Q98,12)=0),IF(AND(Units!$L98=1,CP$1=Units!$Q98),1,Inputs!$B$15)*Inputs!$B$16*(1+Inputs!$B$11)^(CP$2-1),0)</f>
        <v>0</v>
      </c>
      <c r="CQ99" s="11" t="n">
        <f aca="false">IF(AND(CQ$1&gt;=Units!$Q98,MOD(CQ$1-Units!$Q98,12)=0),IF(AND(Units!$L98=1,CQ$1=Units!$Q98),1,Inputs!$B$15)*Inputs!$B$16*(1+Inputs!$B$11)^(CQ$2-1),0)</f>
        <v>0</v>
      </c>
      <c r="CR99" s="11" t="n">
        <f aca="false">IF(AND(CR$1&gt;=Units!$Q98,MOD(CR$1-Units!$Q98,12)=0),IF(AND(Units!$L98=1,CR$1=Units!$Q98),1,Inputs!$B$15)*Inputs!$B$16*(1+Inputs!$B$11)^(CR$2-1),0)</f>
        <v>0</v>
      </c>
      <c r="CS99" s="11" t="n">
        <f aca="false">IF(AND(CS$1&gt;=Units!$Q98,MOD(CS$1-Units!$Q98,12)=0),IF(AND(Units!$L98=1,CS$1=Units!$Q98),1,Inputs!$B$15)*Inputs!$B$16*(1+Inputs!$B$11)^(CS$2-1),0)</f>
        <v>0</v>
      </c>
      <c r="CT99" s="11" t="n">
        <f aca="false">IF(AND(CT$1&gt;=Units!$Q98,MOD(CT$1-Units!$Q98,12)=0),IF(AND(Units!$L98=1,CT$1=Units!$Q98),1,Inputs!$B$15)*Inputs!$B$16*(1+Inputs!$B$11)^(CT$2-1),0)</f>
        <v>0</v>
      </c>
      <c r="CU99" s="11" t="n">
        <f aca="false">IF(AND(CU$1&gt;=Units!$Q98,MOD(CU$1-Units!$Q98,12)=0),IF(AND(Units!$L98=1,CU$1=Units!$Q98),1,Inputs!$B$15)*Inputs!$B$16*(1+Inputs!$B$11)^(CU$2-1),0)</f>
        <v>0</v>
      </c>
      <c r="CV99" s="11" t="n">
        <f aca="false">IF(AND(CV$1&gt;=Units!$Q98,MOD(CV$1-Units!$Q98,12)=0),IF(AND(Units!$L98=1,CV$1=Units!$Q98),1,Inputs!$B$15)*Inputs!$B$16*(1+Inputs!$B$11)^(CV$2-1),0)</f>
        <v>0</v>
      </c>
      <c r="CW99" s="11" t="n">
        <f aca="false">IF(AND(CW$1&gt;=Units!$Q98,MOD(CW$1-Units!$Q98,12)=0),IF(AND(Units!$L98=1,CW$1=Units!$Q98),1,Inputs!$B$15)*Inputs!$B$16*(1+Inputs!$B$11)^(CW$2-1),0)</f>
        <v>0</v>
      </c>
      <c r="CX99" s="11" t="n">
        <f aca="false">IF(AND(CX$1&gt;=Units!$Q98,MOD(CX$1-Units!$Q98,12)=0),IF(AND(Units!$L98=1,CX$1=Units!$Q98),1,Inputs!$B$15)*Inputs!$B$16*(1+Inputs!$B$11)^(CX$2-1),0)</f>
        <v>0</v>
      </c>
      <c r="CY99" s="11" t="n">
        <f aca="false">IF(AND(CY$1&gt;=Units!$Q98,MOD(CY$1-Units!$Q98,12)=0),IF(AND(Units!$L98=1,CY$1=Units!$Q98),1,Inputs!$B$15)*Inputs!$B$16*(1+Inputs!$B$11)^(CY$2-1),0)</f>
        <v>0</v>
      </c>
      <c r="CZ99" s="11" t="n">
        <f aca="false">IF(AND(CZ$1&gt;=Units!$Q98,MOD(CZ$1-Units!$Q98,12)=0),IF(AND(Units!$L98=1,CZ$1=Units!$Q98),1,Inputs!$B$15)*Inputs!$B$16*(1+Inputs!$B$11)^(CZ$2-1),0)</f>
        <v>633.385040693808</v>
      </c>
      <c r="DA99" s="11" t="n">
        <f aca="false">IF(AND(DA$1&gt;=Units!$Q98,MOD(DA$1-Units!$Q98,12)=0),IF(AND(Units!$L98=1,DA$1=Units!$Q98),1,Inputs!$B$15)*Inputs!$B$16*(1+Inputs!$B$11)^(DA$2-1),0)</f>
        <v>0</v>
      </c>
      <c r="DB99" s="11" t="n">
        <f aca="false">IF(AND(DB$1&gt;=Units!$Q98,MOD(DB$1-Units!$Q98,12)=0),IF(AND(Units!$L98=1,DB$1=Units!$Q98),1,Inputs!$B$15)*Inputs!$B$16*(1+Inputs!$B$11)^(DB$2-1),0)</f>
        <v>0</v>
      </c>
      <c r="DC99" s="11" t="n">
        <f aca="false">IF(AND(DC$1&gt;=Units!$Q98,MOD(DC$1-Units!$Q98,12)=0),IF(AND(Units!$L98=1,DC$1=Units!$Q98),1,Inputs!$B$15)*Inputs!$B$16*(1+Inputs!$B$11)^(DC$2-1),0)</f>
        <v>0</v>
      </c>
      <c r="DD99" s="11" t="n">
        <f aca="false">IF(AND(DD$1&gt;=Units!$Q98,MOD(DD$1-Units!$Q98,12)=0),IF(AND(Units!$L98=1,DD$1=Units!$Q98),1,Inputs!$B$15)*Inputs!$B$16*(1+Inputs!$B$11)^(DD$2-1),0)</f>
        <v>0</v>
      </c>
      <c r="DE99" s="11" t="n">
        <f aca="false">IF(AND(DE$1&gt;=Units!$Q98,MOD(DE$1-Units!$Q98,12)=0),IF(AND(Units!$L98=1,DE$1=Units!$Q98),1,Inputs!$B$15)*Inputs!$B$16*(1+Inputs!$B$11)^(DE$2-1),0)</f>
        <v>0</v>
      </c>
      <c r="DF99" s="11" t="n">
        <f aca="false">IF(AND(DF$1&gt;=Units!$Q98,MOD(DF$1-Units!$Q98,12)=0),IF(AND(Units!$L98=1,DF$1=Units!$Q98),1,Inputs!$B$15)*Inputs!$B$16*(1+Inputs!$B$11)^(DF$2-1),0)</f>
        <v>0</v>
      </c>
      <c r="DG99" s="11" t="n">
        <f aca="false">IF(AND(DG$1&gt;=Units!$Q98,MOD(DG$1-Units!$Q98,12)=0),IF(AND(Units!$L98=1,DG$1=Units!$Q98),1,Inputs!$B$15)*Inputs!$B$16*(1+Inputs!$B$11)^(DG$2-1),0)</f>
        <v>0</v>
      </c>
      <c r="DH99" s="11" t="n">
        <f aca="false">IF(AND(DH$1&gt;=Units!$Q98,MOD(DH$1-Units!$Q98,12)=0),IF(AND(Units!$L98=1,DH$1=Units!$Q98),1,Inputs!$B$15)*Inputs!$B$16*(1+Inputs!$B$11)^(DH$2-1),0)</f>
        <v>0</v>
      </c>
      <c r="DI99" s="11" t="n">
        <f aca="false">IF(AND(DI$1&gt;=Units!$Q98,MOD(DI$1-Units!$Q98,12)=0),IF(AND(Units!$L98=1,DI$1=Units!$Q98),1,Inputs!$B$15)*Inputs!$B$16*(1+Inputs!$B$11)^(DI$2-1),0)</f>
        <v>0</v>
      </c>
      <c r="DJ99" s="11" t="n">
        <f aca="false">IF(AND(DJ$1&gt;=Units!$Q98,MOD(DJ$1-Units!$Q98,12)=0),IF(AND(Units!$L98=1,DJ$1=Units!$Q98),1,Inputs!$B$15)*Inputs!$B$16*(1+Inputs!$B$11)^(DJ$2-1),0)</f>
        <v>0</v>
      </c>
      <c r="DK99" s="11" t="n">
        <f aca="false">IF(AND(DK$1&gt;=Units!$Q98,MOD(DK$1-Units!$Q98,12)=0),IF(AND(Units!$L98=1,DK$1=Units!$Q98),1,Inputs!$B$15)*Inputs!$B$16*(1+Inputs!$B$11)^(DK$2-1),0)</f>
        <v>0</v>
      </c>
      <c r="DL99" s="11" t="n">
        <f aca="false">IF(AND(DL$1&gt;=Units!$Q98,MOD(DL$1-Units!$Q98,12)=0),IF(AND(Units!$L98=1,DL$1=Units!$Q98),1,Inputs!$B$15)*Inputs!$B$16*(1+Inputs!$B$11)^(DL$2-1),0)</f>
        <v>652.386591914623</v>
      </c>
      <c r="DM99" s="11" t="n">
        <f aca="false">IF(AND(DM$1&gt;=Units!$Q98,MOD(DM$1-Units!$Q98,12)=0),IF(AND(Units!$L98=1,DM$1=Units!$Q98),1,Inputs!$B$15)*Inputs!$B$16*(1+Inputs!$B$11)^(DM$2-1),0)</f>
        <v>0</v>
      </c>
      <c r="DN99" s="11" t="n">
        <f aca="false">IF(AND(DN$1&gt;=Units!$Q98,MOD(DN$1-Units!$Q98,12)=0),IF(AND(Units!$L98=1,DN$1=Units!$Q98),1,Inputs!$B$15)*Inputs!$B$16*(1+Inputs!$B$11)^(DN$2-1),0)</f>
        <v>0</v>
      </c>
      <c r="DO99" s="11" t="n">
        <f aca="false">IF(AND(DO$1&gt;=Units!$Q98,MOD(DO$1-Units!$Q98,12)=0),IF(AND(Units!$L98=1,DO$1=Units!$Q98),1,Inputs!$B$15)*Inputs!$B$16*(1+Inputs!$B$11)^(DO$2-1),0)</f>
        <v>0</v>
      </c>
      <c r="DP99" s="11" t="n">
        <f aca="false">IF(AND(DP$1&gt;=Units!$Q98,MOD(DP$1-Units!$Q98,12)=0),IF(AND(Units!$L98=1,DP$1=Units!$Q98),1,Inputs!$B$15)*Inputs!$B$16*(1+Inputs!$B$11)^(DP$2-1),0)</f>
        <v>0</v>
      </c>
      <c r="DQ99" s="11" t="n">
        <f aca="false">IF(AND(DQ$1&gt;=Units!$Q98,MOD(DQ$1-Units!$Q98,12)=0),IF(AND(Units!$L98=1,DQ$1=Units!$Q98),1,Inputs!$B$15)*Inputs!$B$16*(1+Inputs!$B$11)^(DQ$2-1),0)</f>
        <v>0</v>
      </c>
      <c r="DR99" s="11" t="n">
        <f aca="false">IF(AND(DR$1&gt;=Units!$Q98,MOD(DR$1-Units!$Q98,12)=0),IF(AND(Units!$L98=1,DR$1=Units!$Q98),1,Inputs!$B$15)*Inputs!$B$16*(1+Inputs!$B$11)^(DR$2-1),0)</f>
        <v>0</v>
      </c>
      <c r="DS99" s="11" t="n">
        <f aca="false">IF(AND(DS$1&gt;=Units!$Q98,MOD(DS$1-Units!$Q98,12)=0),IF(AND(Units!$L98=1,DS$1=Units!$Q98),1,Inputs!$B$15)*Inputs!$B$16*(1+Inputs!$B$11)^(DS$2-1),0)</f>
        <v>0</v>
      </c>
      <c r="DT99" s="11" t="n">
        <f aca="false">IF(AND(DT$1&gt;=Units!$Q98,MOD(DT$1-Units!$Q98,12)=0),IF(AND(Units!$L98=1,DT$1=Units!$Q98),1,Inputs!$B$15)*Inputs!$B$16*(1+Inputs!$B$11)^(DT$2-1),0)</f>
        <v>0</v>
      </c>
      <c r="DU99" s="11" t="n">
        <f aca="false">IF(AND(DU$1&gt;=Units!$Q98,MOD(DU$1-Units!$Q98,12)=0),IF(AND(Units!$L98=1,DU$1=Units!$Q98),1,Inputs!$B$15)*Inputs!$B$16*(1+Inputs!$B$11)^(DU$2-1),0)</f>
        <v>0</v>
      </c>
      <c r="DV99" s="11" t="n">
        <f aca="false">IF(AND(DV$1&gt;=Units!$Q98,MOD(DV$1-Units!$Q98,12)=0),IF(AND(Units!$L98=1,DV$1=Units!$Q98),1,Inputs!$B$15)*Inputs!$B$16*(1+Inputs!$B$11)^(DV$2-1),0)</f>
        <v>0</v>
      </c>
      <c r="DW99" s="11" t="n">
        <f aca="false">IF(AND(DW$1&gt;=Units!$Q98,MOD(DW$1-Units!$Q98,12)=0),IF(AND(Units!$L98=1,DW$1=Units!$Q98),1,Inputs!$B$15)*Inputs!$B$16*(1+Inputs!$B$11)^(DW$2-1),0)</f>
        <v>0</v>
      </c>
      <c r="DX99" s="11" t="n">
        <f aca="false">IF(AND(DX$1&gt;=Units!$Q98,MOD(DX$1-Units!$Q98,12)=0),IF(AND(Units!$L98=1,DX$1=Units!$Q98),1,Inputs!$B$15)*Inputs!$B$16*(1+Inputs!$B$11)^(DX$2-1),0)</f>
        <v>671.958189672061</v>
      </c>
      <c r="DY99" s="11" t="n">
        <f aca="false">IF(AND(DY$1&gt;=Units!$Q98,MOD(DY$1-Units!$Q98,12)=0),IF(AND(Units!$L98=1,DY$1=Units!$Q98),1,Inputs!$B$15)*Inputs!$B$16*(1+Inputs!$B$11)^(DY$2-1),0)</f>
        <v>0</v>
      </c>
      <c r="DZ99" s="11" t="n">
        <f aca="false">IF(AND(DZ$1&gt;=Units!$Q98,MOD(DZ$1-Units!$Q98,12)=0),IF(AND(Units!$L98=1,DZ$1=Units!$Q98),1,Inputs!$B$15)*Inputs!$B$16*(1+Inputs!$B$11)^(DZ$2-1),0)</f>
        <v>0</v>
      </c>
      <c r="EA99" s="11" t="n">
        <f aca="false">IF(AND(EA$1&gt;=Units!$Q98,MOD(EA$1-Units!$Q98,12)=0),IF(AND(Units!$L98=1,EA$1=Units!$Q98),1,Inputs!$B$15)*Inputs!$B$16*(1+Inputs!$B$11)^(EA$2-1),0)</f>
        <v>0</v>
      </c>
      <c r="EB99" s="11" t="n">
        <f aca="false">IF(AND(EB$1&gt;=Units!$Q98,MOD(EB$1-Units!$Q98,12)=0),IF(AND(Units!$L98=1,EB$1=Units!$Q98),1,Inputs!$B$15)*Inputs!$B$16*(1+Inputs!$B$11)^(EB$2-1),0)</f>
        <v>0</v>
      </c>
      <c r="EC99" s="11" t="n">
        <f aca="false">IF(AND(EC$1&gt;=Units!$Q98,MOD(EC$1-Units!$Q98,12)=0),IF(AND(Units!$L98=1,EC$1=Units!$Q98),1,Inputs!$B$15)*Inputs!$B$16*(1+Inputs!$B$11)^(EC$2-1),0)</f>
        <v>0</v>
      </c>
      <c r="ED99" s="11" t="n">
        <f aca="false">IF(AND(ED$1&gt;=Units!$Q98,MOD(ED$1-Units!$Q98,12)=0),IF(AND(Units!$L98=1,ED$1=Units!$Q98),1,Inputs!$B$15)*Inputs!$B$16*(1+Inputs!$B$11)^(ED$2-1),0)</f>
        <v>0</v>
      </c>
    </row>
    <row r="100" customFormat="false" ht="15" hidden="false" customHeight="false" outlineLevel="0" collapsed="false">
      <c r="A100" s="22" t="n">
        <f aca="false">Units!A99</f>
        <v>408</v>
      </c>
      <c r="B100" s="23"/>
      <c r="C100" s="11" t="n">
        <f aca="false">IF(AND(C$1&gt;=Units!$Q99,MOD(C$1-Units!$Q99,12)=0),IF(AND(Units!$L99=1,C$1=Units!$Q99),1,Inputs!$B$15)*Inputs!$B$16*(1+Inputs!$B$11)^(C$2-1),0)</f>
        <v>0</v>
      </c>
      <c r="D100" s="11" t="n">
        <f aca="false">IF(AND(D$1&gt;=Units!$Q99,MOD(D$1-Units!$Q99,12)=0),IF(AND(Units!$L99=1,D$1=Units!$Q99),1,Inputs!$B$15)*Inputs!$B$16*(1+Inputs!$B$11)^(D$2-1),0)</f>
        <v>0</v>
      </c>
      <c r="E100" s="11" t="n">
        <f aca="false">IF(AND(E$1&gt;=Units!$Q99,MOD(E$1-Units!$Q99,12)=0),IF(AND(Units!$L99=1,E$1=Units!$Q99),1,Inputs!$B$15)*Inputs!$B$16*(1+Inputs!$B$11)^(E$2-1),0)</f>
        <v>0</v>
      </c>
      <c r="F100" s="11" t="n">
        <f aca="false">IF(AND(F$1&gt;=Units!$Q99,MOD(F$1-Units!$Q99,12)=0),IF(AND(Units!$L99=1,F$1=Units!$Q99),1,Inputs!$B$15)*Inputs!$B$16*(1+Inputs!$B$11)^(F$2-1),0)</f>
        <v>500</v>
      </c>
      <c r="G100" s="11" t="n">
        <f aca="false">IF(AND(G$1&gt;=Units!$Q99,MOD(G$1-Units!$Q99,12)=0),IF(AND(Units!$L99=1,G$1=Units!$Q99),1,Inputs!$B$15)*Inputs!$B$16*(1+Inputs!$B$11)^(G$2-1),0)</f>
        <v>0</v>
      </c>
      <c r="H100" s="11" t="n">
        <f aca="false">IF(AND(H$1&gt;=Units!$Q99,MOD(H$1-Units!$Q99,12)=0),IF(AND(Units!$L99=1,H$1=Units!$Q99),1,Inputs!$B$15)*Inputs!$B$16*(1+Inputs!$B$11)^(H$2-1),0)</f>
        <v>0</v>
      </c>
      <c r="I100" s="11" t="n">
        <f aca="false">IF(AND(I$1&gt;=Units!$Q99,MOD(I$1-Units!$Q99,12)=0),IF(AND(Units!$L99=1,I$1=Units!$Q99),1,Inputs!$B$15)*Inputs!$B$16*(1+Inputs!$B$11)^(I$2-1),0)</f>
        <v>0</v>
      </c>
      <c r="J100" s="11" t="n">
        <f aca="false">IF(AND(J$1&gt;=Units!$Q99,MOD(J$1-Units!$Q99,12)=0),IF(AND(Units!$L99=1,J$1=Units!$Q99),1,Inputs!$B$15)*Inputs!$B$16*(1+Inputs!$B$11)^(J$2-1),0)</f>
        <v>0</v>
      </c>
      <c r="K100" s="11" t="n">
        <f aca="false">IF(AND(K$1&gt;=Units!$Q99,MOD(K$1-Units!$Q99,12)=0),IF(AND(Units!$L99=1,K$1=Units!$Q99),1,Inputs!$B$15)*Inputs!$B$16*(1+Inputs!$B$11)^(K$2-1),0)</f>
        <v>0</v>
      </c>
      <c r="L100" s="11" t="n">
        <f aca="false">IF(AND(L$1&gt;=Units!$Q99,MOD(L$1-Units!$Q99,12)=0),IF(AND(Units!$L99=1,L$1=Units!$Q99),1,Inputs!$B$15)*Inputs!$B$16*(1+Inputs!$B$11)^(L$2-1),0)</f>
        <v>0</v>
      </c>
      <c r="M100" s="11" t="n">
        <f aca="false">IF(AND(M$1&gt;=Units!$Q99,MOD(M$1-Units!$Q99,12)=0),IF(AND(Units!$L99=1,M$1=Units!$Q99),1,Inputs!$B$15)*Inputs!$B$16*(1+Inputs!$B$11)^(M$2-1),0)</f>
        <v>0</v>
      </c>
      <c r="N100" s="11" t="n">
        <f aca="false">IF(AND(N$1&gt;=Units!$Q99,MOD(N$1-Units!$Q99,12)=0),IF(AND(Units!$L99=1,N$1=Units!$Q99),1,Inputs!$B$15)*Inputs!$B$16*(1+Inputs!$B$11)^(N$2-1),0)</f>
        <v>0</v>
      </c>
      <c r="O100" s="11" t="n">
        <f aca="false">IF(AND(O$1&gt;=Units!$Q99,MOD(O$1-Units!$Q99,12)=0),IF(AND(Units!$L99=1,O$1=Units!$Q99),1,Inputs!$B$15)*Inputs!$B$16*(1+Inputs!$B$11)^(O$2-1),0)</f>
        <v>0</v>
      </c>
      <c r="P100" s="11" t="n">
        <f aca="false">IF(AND(P$1&gt;=Units!$Q99,MOD(P$1-Units!$Q99,12)=0),IF(AND(Units!$L99=1,P$1=Units!$Q99),1,Inputs!$B$15)*Inputs!$B$16*(1+Inputs!$B$11)^(P$2-1),0)</f>
        <v>0</v>
      </c>
      <c r="Q100" s="11" t="n">
        <f aca="false">IF(AND(Q$1&gt;=Units!$Q99,MOD(Q$1-Units!$Q99,12)=0),IF(AND(Units!$L99=1,Q$1=Units!$Q99),1,Inputs!$B$15)*Inputs!$B$16*(1+Inputs!$B$11)^(Q$2-1),0)</f>
        <v>0</v>
      </c>
      <c r="R100" s="11" t="n">
        <f aca="false">IF(AND(R$1&gt;=Units!$Q99,MOD(R$1-Units!$Q99,12)=0),IF(AND(Units!$L99=1,R$1=Units!$Q99),1,Inputs!$B$15)*Inputs!$B$16*(1+Inputs!$B$11)^(R$2-1),0)</f>
        <v>515</v>
      </c>
      <c r="S100" s="11" t="n">
        <f aca="false">IF(AND(S$1&gt;=Units!$Q99,MOD(S$1-Units!$Q99,12)=0),IF(AND(Units!$L99=1,S$1=Units!$Q99),1,Inputs!$B$15)*Inputs!$B$16*(1+Inputs!$B$11)^(S$2-1),0)</f>
        <v>0</v>
      </c>
      <c r="T100" s="11" t="n">
        <f aca="false">IF(AND(T$1&gt;=Units!$Q99,MOD(T$1-Units!$Q99,12)=0),IF(AND(Units!$L99=1,T$1=Units!$Q99),1,Inputs!$B$15)*Inputs!$B$16*(1+Inputs!$B$11)^(T$2-1),0)</f>
        <v>0</v>
      </c>
      <c r="U100" s="11" t="n">
        <f aca="false">IF(AND(U$1&gt;=Units!$Q99,MOD(U$1-Units!$Q99,12)=0),IF(AND(Units!$L99=1,U$1=Units!$Q99),1,Inputs!$B$15)*Inputs!$B$16*(1+Inputs!$B$11)^(U$2-1),0)</f>
        <v>0</v>
      </c>
      <c r="V100" s="11" t="n">
        <f aca="false">IF(AND(V$1&gt;=Units!$Q99,MOD(V$1-Units!$Q99,12)=0),IF(AND(Units!$L99=1,V$1=Units!$Q99),1,Inputs!$B$15)*Inputs!$B$16*(1+Inputs!$B$11)^(V$2-1),0)</f>
        <v>0</v>
      </c>
      <c r="W100" s="11" t="n">
        <f aca="false">IF(AND(W$1&gt;=Units!$Q99,MOD(W$1-Units!$Q99,12)=0),IF(AND(Units!$L99=1,W$1=Units!$Q99),1,Inputs!$B$15)*Inputs!$B$16*(1+Inputs!$B$11)^(W$2-1),0)</f>
        <v>0</v>
      </c>
      <c r="X100" s="11" t="n">
        <f aca="false">IF(AND(X$1&gt;=Units!$Q99,MOD(X$1-Units!$Q99,12)=0),IF(AND(Units!$L99=1,X$1=Units!$Q99),1,Inputs!$B$15)*Inputs!$B$16*(1+Inputs!$B$11)^(X$2-1),0)</f>
        <v>0</v>
      </c>
      <c r="Y100" s="11" t="n">
        <f aca="false">IF(AND(Y$1&gt;=Units!$Q99,MOD(Y$1-Units!$Q99,12)=0),IF(AND(Units!$L99=1,Y$1=Units!$Q99),1,Inputs!$B$15)*Inputs!$B$16*(1+Inputs!$B$11)^(Y$2-1),0)</f>
        <v>0</v>
      </c>
      <c r="Z100" s="11" t="n">
        <f aca="false">IF(AND(Z$1&gt;=Units!$Q99,MOD(Z$1-Units!$Q99,12)=0),IF(AND(Units!$L99=1,Z$1=Units!$Q99),1,Inputs!$B$15)*Inputs!$B$16*(1+Inputs!$B$11)^(Z$2-1),0)</f>
        <v>0</v>
      </c>
      <c r="AA100" s="11" t="n">
        <f aca="false">IF(AND(AA$1&gt;=Units!$Q99,MOD(AA$1-Units!$Q99,12)=0),IF(AND(Units!$L99=1,AA$1=Units!$Q99),1,Inputs!$B$15)*Inputs!$B$16*(1+Inputs!$B$11)^(AA$2-1),0)</f>
        <v>0</v>
      </c>
      <c r="AB100" s="11" t="n">
        <f aca="false">IF(AND(AB$1&gt;=Units!$Q99,MOD(AB$1-Units!$Q99,12)=0),IF(AND(Units!$L99=1,AB$1=Units!$Q99),1,Inputs!$B$15)*Inputs!$B$16*(1+Inputs!$B$11)^(AB$2-1),0)</f>
        <v>0</v>
      </c>
      <c r="AC100" s="11" t="n">
        <f aca="false">IF(AND(AC$1&gt;=Units!$Q99,MOD(AC$1-Units!$Q99,12)=0),IF(AND(Units!$L99=1,AC$1=Units!$Q99),1,Inputs!$B$15)*Inputs!$B$16*(1+Inputs!$B$11)^(AC$2-1),0)</f>
        <v>0</v>
      </c>
      <c r="AD100" s="11" t="n">
        <f aca="false">IF(AND(AD$1&gt;=Units!$Q99,MOD(AD$1-Units!$Q99,12)=0),IF(AND(Units!$L99=1,AD$1=Units!$Q99),1,Inputs!$B$15)*Inputs!$B$16*(1+Inputs!$B$11)^(AD$2-1),0)</f>
        <v>530.45</v>
      </c>
      <c r="AE100" s="11" t="n">
        <f aca="false">IF(AND(AE$1&gt;=Units!$Q99,MOD(AE$1-Units!$Q99,12)=0),IF(AND(Units!$L99=1,AE$1=Units!$Q99),1,Inputs!$B$15)*Inputs!$B$16*(1+Inputs!$B$11)^(AE$2-1),0)</f>
        <v>0</v>
      </c>
      <c r="AF100" s="11" t="n">
        <f aca="false">IF(AND(AF$1&gt;=Units!$Q99,MOD(AF$1-Units!$Q99,12)=0),IF(AND(Units!$L99=1,AF$1=Units!$Q99),1,Inputs!$B$15)*Inputs!$B$16*(1+Inputs!$B$11)^(AF$2-1),0)</f>
        <v>0</v>
      </c>
      <c r="AG100" s="11" t="n">
        <f aca="false">IF(AND(AG$1&gt;=Units!$Q99,MOD(AG$1-Units!$Q99,12)=0),IF(AND(Units!$L99=1,AG$1=Units!$Q99),1,Inputs!$B$15)*Inputs!$B$16*(1+Inputs!$B$11)^(AG$2-1),0)</f>
        <v>0</v>
      </c>
      <c r="AH100" s="11" t="n">
        <f aca="false">IF(AND(AH$1&gt;=Units!$Q99,MOD(AH$1-Units!$Q99,12)=0),IF(AND(Units!$L99=1,AH$1=Units!$Q99),1,Inputs!$B$15)*Inputs!$B$16*(1+Inputs!$B$11)^(AH$2-1),0)</f>
        <v>0</v>
      </c>
      <c r="AI100" s="11" t="n">
        <f aca="false">IF(AND(AI$1&gt;=Units!$Q99,MOD(AI$1-Units!$Q99,12)=0),IF(AND(Units!$L99=1,AI$1=Units!$Q99),1,Inputs!$B$15)*Inputs!$B$16*(1+Inputs!$B$11)^(AI$2-1),0)</f>
        <v>0</v>
      </c>
      <c r="AJ100" s="11" t="n">
        <f aca="false">IF(AND(AJ$1&gt;=Units!$Q99,MOD(AJ$1-Units!$Q99,12)=0),IF(AND(Units!$L99=1,AJ$1=Units!$Q99),1,Inputs!$B$15)*Inputs!$B$16*(1+Inputs!$B$11)^(AJ$2-1),0)</f>
        <v>0</v>
      </c>
      <c r="AK100" s="11" t="n">
        <f aca="false">IF(AND(AK$1&gt;=Units!$Q99,MOD(AK$1-Units!$Q99,12)=0),IF(AND(Units!$L99=1,AK$1=Units!$Q99),1,Inputs!$B$15)*Inputs!$B$16*(1+Inputs!$B$11)^(AK$2-1),0)</f>
        <v>0</v>
      </c>
      <c r="AL100" s="11" t="n">
        <f aca="false">IF(AND(AL$1&gt;=Units!$Q99,MOD(AL$1-Units!$Q99,12)=0),IF(AND(Units!$L99=1,AL$1=Units!$Q99),1,Inputs!$B$15)*Inputs!$B$16*(1+Inputs!$B$11)^(AL$2-1),0)</f>
        <v>0</v>
      </c>
      <c r="AM100" s="11" t="n">
        <f aca="false">IF(AND(AM$1&gt;=Units!$Q99,MOD(AM$1-Units!$Q99,12)=0),IF(AND(Units!$L99=1,AM$1=Units!$Q99),1,Inputs!$B$15)*Inputs!$B$16*(1+Inputs!$B$11)^(AM$2-1),0)</f>
        <v>0</v>
      </c>
      <c r="AN100" s="11" t="n">
        <f aca="false">IF(AND(AN$1&gt;=Units!$Q99,MOD(AN$1-Units!$Q99,12)=0),IF(AND(Units!$L99=1,AN$1=Units!$Q99),1,Inputs!$B$15)*Inputs!$B$16*(1+Inputs!$B$11)^(AN$2-1),0)</f>
        <v>0</v>
      </c>
      <c r="AO100" s="11" t="n">
        <f aca="false">IF(AND(AO$1&gt;=Units!$Q99,MOD(AO$1-Units!$Q99,12)=0),IF(AND(Units!$L99=1,AO$1=Units!$Q99),1,Inputs!$B$15)*Inputs!$B$16*(1+Inputs!$B$11)^(AO$2-1),0)</f>
        <v>0</v>
      </c>
      <c r="AP100" s="11" t="n">
        <f aca="false">IF(AND(AP$1&gt;=Units!$Q99,MOD(AP$1-Units!$Q99,12)=0),IF(AND(Units!$L99=1,AP$1=Units!$Q99),1,Inputs!$B$15)*Inputs!$B$16*(1+Inputs!$B$11)^(AP$2-1),0)</f>
        <v>546.3635</v>
      </c>
      <c r="AQ100" s="11" t="n">
        <f aca="false">IF(AND(AQ$1&gt;=Units!$Q99,MOD(AQ$1-Units!$Q99,12)=0),IF(AND(Units!$L99=1,AQ$1=Units!$Q99),1,Inputs!$B$15)*Inputs!$B$16*(1+Inputs!$B$11)^(AQ$2-1),0)</f>
        <v>0</v>
      </c>
      <c r="AR100" s="11" t="n">
        <f aca="false">IF(AND(AR$1&gt;=Units!$Q99,MOD(AR$1-Units!$Q99,12)=0),IF(AND(Units!$L99=1,AR$1=Units!$Q99),1,Inputs!$B$15)*Inputs!$B$16*(1+Inputs!$B$11)^(AR$2-1),0)</f>
        <v>0</v>
      </c>
      <c r="AS100" s="11" t="n">
        <f aca="false">IF(AND(AS$1&gt;=Units!$Q99,MOD(AS$1-Units!$Q99,12)=0),IF(AND(Units!$L99=1,AS$1=Units!$Q99),1,Inputs!$B$15)*Inputs!$B$16*(1+Inputs!$B$11)^(AS$2-1),0)</f>
        <v>0</v>
      </c>
      <c r="AT100" s="11" t="n">
        <f aca="false">IF(AND(AT$1&gt;=Units!$Q99,MOD(AT$1-Units!$Q99,12)=0),IF(AND(Units!$L99=1,AT$1=Units!$Q99),1,Inputs!$B$15)*Inputs!$B$16*(1+Inputs!$B$11)^(AT$2-1),0)</f>
        <v>0</v>
      </c>
      <c r="AU100" s="11" t="n">
        <f aca="false">IF(AND(AU$1&gt;=Units!$Q99,MOD(AU$1-Units!$Q99,12)=0),IF(AND(Units!$L99=1,AU$1=Units!$Q99),1,Inputs!$B$15)*Inputs!$B$16*(1+Inputs!$B$11)^(AU$2-1),0)</f>
        <v>0</v>
      </c>
      <c r="AV100" s="11" t="n">
        <f aca="false">IF(AND(AV$1&gt;=Units!$Q99,MOD(AV$1-Units!$Q99,12)=0),IF(AND(Units!$L99=1,AV$1=Units!$Q99),1,Inputs!$B$15)*Inputs!$B$16*(1+Inputs!$B$11)^(AV$2-1),0)</f>
        <v>0</v>
      </c>
      <c r="AW100" s="11" t="n">
        <f aca="false">IF(AND(AW$1&gt;=Units!$Q99,MOD(AW$1-Units!$Q99,12)=0),IF(AND(Units!$L99=1,AW$1=Units!$Q99),1,Inputs!$B$15)*Inputs!$B$16*(1+Inputs!$B$11)^(AW$2-1),0)</f>
        <v>0</v>
      </c>
      <c r="AX100" s="11" t="n">
        <f aca="false">IF(AND(AX$1&gt;=Units!$Q99,MOD(AX$1-Units!$Q99,12)=0),IF(AND(Units!$L99=1,AX$1=Units!$Q99),1,Inputs!$B$15)*Inputs!$B$16*(1+Inputs!$B$11)^(AX$2-1),0)</f>
        <v>0</v>
      </c>
      <c r="AY100" s="11" t="n">
        <f aca="false">IF(AND(AY$1&gt;=Units!$Q99,MOD(AY$1-Units!$Q99,12)=0),IF(AND(Units!$L99=1,AY$1=Units!$Q99),1,Inputs!$B$15)*Inputs!$B$16*(1+Inputs!$B$11)^(AY$2-1),0)</f>
        <v>0</v>
      </c>
      <c r="AZ100" s="11" t="n">
        <f aca="false">IF(AND(AZ$1&gt;=Units!$Q99,MOD(AZ$1-Units!$Q99,12)=0),IF(AND(Units!$L99=1,AZ$1=Units!$Q99),1,Inputs!$B$15)*Inputs!$B$16*(1+Inputs!$B$11)^(AZ$2-1),0)</f>
        <v>0</v>
      </c>
      <c r="BA100" s="11" t="n">
        <f aca="false">IF(AND(BA$1&gt;=Units!$Q99,MOD(BA$1-Units!$Q99,12)=0),IF(AND(Units!$L99=1,BA$1=Units!$Q99),1,Inputs!$B$15)*Inputs!$B$16*(1+Inputs!$B$11)^(BA$2-1),0)</f>
        <v>0</v>
      </c>
      <c r="BB100" s="11" t="n">
        <f aca="false">IF(AND(BB$1&gt;=Units!$Q99,MOD(BB$1-Units!$Q99,12)=0),IF(AND(Units!$L99=1,BB$1=Units!$Q99),1,Inputs!$B$15)*Inputs!$B$16*(1+Inputs!$B$11)^(BB$2-1),0)</f>
        <v>562.754405</v>
      </c>
      <c r="BC100" s="11" t="n">
        <f aca="false">IF(AND(BC$1&gt;=Units!$Q99,MOD(BC$1-Units!$Q99,12)=0),IF(AND(Units!$L99=1,BC$1=Units!$Q99),1,Inputs!$B$15)*Inputs!$B$16*(1+Inputs!$B$11)^(BC$2-1),0)</f>
        <v>0</v>
      </c>
      <c r="BD100" s="11" t="n">
        <f aca="false">IF(AND(BD$1&gt;=Units!$Q99,MOD(BD$1-Units!$Q99,12)=0),IF(AND(Units!$L99=1,BD$1=Units!$Q99),1,Inputs!$B$15)*Inputs!$B$16*(1+Inputs!$B$11)^(BD$2-1),0)</f>
        <v>0</v>
      </c>
      <c r="BE100" s="11" t="n">
        <f aca="false">IF(AND(BE$1&gt;=Units!$Q99,MOD(BE$1-Units!$Q99,12)=0),IF(AND(Units!$L99=1,BE$1=Units!$Q99),1,Inputs!$B$15)*Inputs!$B$16*(1+Inputs!$B$11)^(BE$2-1),0)</f>
        <v>0</v>
      </c>
      <c r="BF100" s="11" t="n">
        <f aca="false">IF(AND(BF$1&gt;=Units!$Q99,MOD(BF$1-Units!$Q99,12)=0),IF(AND(Units!$L99=1,BF$1=Units!$Q99),1,Inputs!$B$15)*Inputs!$B$16*(1+Inputs!$B$11)^(BF$2-1),0)</f>
        <v>0</v>
      </c>
      <c r="BG100" s="11" t="n">
        <f aca="false">IF(AND(BG$1&gt;=Units!$Q99,MOD(BG$1-Units!$Q99,12)=0),IF(AND(Units!$L99=1,BG$1=Units!$Q99),1,Inputs!$B$15)*Inputs!$B$16*(1+Inputs!$B$11)^(BG$2-1),0)</f>
        <v>0</v>
      </c>
      <c r="BH100" s="11" t="n">
        <f aca="false">IF(AND(BH$1&gt;=Units!$Q99,MOD(BH$1-Units!$Q99,12)=0),IF(AND(Units!$L99=1,BH$1=Units!$Q99),1,Inputs!$B$15)*Inputs!$B$16*(1+Inputs!$B$11)^(BH$2-1),0)</f>
        <v>0</v>
      </c>
      <c r="BI100" s="11" t="n">
        <f aca="false">IF(AND(BI$1&gt;=Units!$Q99,MOD(BI$1-Units!$Q99,12)=0),IF(AND(Units!$L99=1,BI$1=Units!$Q99),1,Inputs!$B$15)*Inputs!$B$16*(1+Inputs!$B$11)^(BI$2-1),0)</f>
        <v>0</v>
      </c>
      <c r="BJ100" s="11" t="n">
        <f aca="false">IF(AND(BJ$1&gt;=Units!$Q99,MOD(BJ$1-Units!$Q99,12)=0),IF(AND(Units!$L99=1,BJ$1=Units!$Q99),1,Inputs!$B$15)*Inputs!$B$16*(1+Inputs!$B$11)^(BJ$2-1),0)</f>
        <v>0</v>
      </c>
      <c r="BK100" s="11" t="n">
        <f aca="false">IF(AND(BK$1&gt;=Units!$Q99,MOD(BK$1-Units!$Q99,12)=0),IF(AND(Units!$L99=1,BK$1=Units!$Q99),1,Inputs!$B$15)*Inputs!$B$16*(1+Inputs!$B$11)^(BK$2-1),0)</f>
        <v>0</v>
      </c>
      <c r="BL100" s="11" t="n">
        <f aca="false">IF(AND(BL$1&gt;=Units!$Q99,MOD(BL$1-Units!$Q99,12)=0),IF(AND(Units!$L99=1,BL$1=Units!$Q99),1,Inputs!$B$15)*Inputs!$B$16*(1+Inputs!$B$11)^(BL$2-1),0)</f>
        <v>0</v>
      </c>
      <c r="BM100" s="11" t="n">
        <f aca="false">IF(AND(BM$1&gt;=Units!$Q99,MOD(BM$1-Units!$Q99,12)=0),IF(AND(Units!$L99=1,BM$1=Units!$Q99),1,Inputs!$B$15)*Inputs!$B$16*(1+Inputs!$B$11)^(BM$2-1),0)</f>
        <v>0</v>
      </c>
      <c r="BN100" s="11" t="n">
        <f aca="false">IF(AND(BN$1&gt;=Units!$Q99,MOD(BN$1-Units!$Q99,12)=0),IF(AND(Units!$L99=1,BN$1=Units!$Q99),1,Inputs!$B$15)*Inputs!$B$16*(1+Inputs!$B$11)^(BN$2-1),0)</f>
        <v>579.63703715</v>
      </c>
      <c r="BO100" s="11" t="n">
        <f aca="false">IF(AND(BO$1&gt;=Units!$Q99,MOD(BO$1-Units!$Q99,12)=0),IF(AND(Units!$L99=1,BO$1=Units!$Q99),1,Inputs!$B$15)*Inputs!$B$16*(1+Inputs!$B$11)^(BO$2-1),0)</f>
        <v>0</v>
      </c>
      <c r="BP100" s="11" t="n">
        <f aca="false">IF(AND(BP$1&gt;=Units!$Q99,MOD(BP$1-Units!$Q99,12)=0),IF(AND(Units!$L99=1,BP$1=Units!$Q99),1,Inputs!$B$15)*Inputs!$B$16*(1+Inputs!$B$11)^(BP$2-1),0)</f>
        <v>0</v>
      </c>
      <c r="BQ100" s="11" t="n">
        <f aca="false">IF(AND(BQ$1&gt;=Units!$Q99,MOD(BQ$1-Units!$Q99,12)=0),IF(AND(Units!$L99=1,BQ$1=Units!$Q99),1,Inputs!$B$15)*Inputs!$B$16*(1+Inputs!$B$11)^(BQ$2-1),0)</f>
        <v>0</v>
      </c>
      <c r="BR100" s="11" t="n">
        <f aca="false">IF(AND(BR$1&gt;=Units!$Q99,MOD(BR$1-Units!$Q99,12)=0),IF(AND(Units!$L99=1,BR$1=Units!$Q99),1,Inputs!$B$15)*Inputs!$B$16*(1+Inputs!$B$11)^(BR$2-1),0)</f>
        <v>0</v>
      </c>
      <c r="BS100" s="11" t="n">
        <f aca="false">IF(AND(BS$1&gt;=Units!$Q99,MOD(BS$1-Units!$Q99,12)=0),IF(AND(Units!$L99=1,BS$1=Units!$Q99),1,Inputs!$B$15)*Inputs!$B$16*(1+Inputs!$B$11)^(BS$2-1),0)</f>
        <v>0</v>
      </c>
      <c r="BT100" s="11" t="n">
        <f aca="false">IF(AND(BT$1&gt;=Units!$Q99,MOD(BT$1-Units!$Q99,12)=0),IF(AND(Units!$L99=1,BT$1=Units!$Q99),1,Inputs!$B$15)*Inputs!$B$16*(1+Inputs!$B$11)^(BT$2-1),0)</f>
        <v>0</v>
      </c>
      <c r="BU100" s="11" t="n">
        <f aca="false">IF(AND(BU$1&gt;=Units!$Q99,MOD(BU$1-Units!$Q99,12)=0),IF(AND(Units!$L99=1,BU$1=Units!$Q99),1,Inputs!$B$15)*Inputs!$B$16*(1+Inputs!$B$11)^(BU$2-1),0)</f>
        <v>0</v>
      </c>
      <c r="BV100" s="11" t="n">
        <f aca="false">IF(AND(BV$1&gt;=Units!$Q99,MOD(BV$1-Units!$Q99,12)=0),IF(AND(Units!$L99=1,BV$1=Units!$Q99),1,Inputs!$B$15)*Inputs!$B$16*(1+Inputs!$B$11)^(BV$2-1),0)</f>
        <v>0</v>
      </c>
      <c r="BW100" s="11" t="n">
        <f aca="false">IF(AND(BW$1&gt;=Units!$Q99,MOD(BW$1-Units!$Q99,12)=0),IF(AND(Units!$L99=1,BW$1=Units!$Q99),1,Inputs!$B$15)*Inputs!$B$16*(1+Inputs!$B$11)^(BW$2-1),0)</f>
        <v>0</v>
      </c>
      <c r="BX100" s="11" t="n">
        <f aca="false">IF(AND(BX$1&gt;=Units!$Q99,MOD(BX$1-Units!$Q99,12)=0),IF(AND(Units!$L99=1,BX$1=Units!$Q99),1,Inputs!$B$15)*Inputs!$B$16*(1+Inputs!$B$11)^(BX$2-1),0)</f>
        <v>0</v>
      </c>
      <c r="BY100" s="11" t="n">
        <f aca="false">IF(AND(BY$1&gt;=Units!$Q99,MOD(BY$1-Units!$Q99,12)=0),IF(AND(Units!$L99=1,BY$1=Units!$Q99),1,Inputs!$B$15)*Inputs!$B$16*(1+Inputs!$B$11)^(BY$2-1),0)</f>
        <v>0</v>
      </c>
      <c r="BZ100" s="11" t="n">
        <f aca="false">IF(AND(BZ$1&gt;=Units!$Q99,MOD(BZ$1-Units!$Q99,12)=0),IF(AND(Units!$L99=1,BZ$1=Units!$Q99),1,Inputs!$B$15)*Inputs!$B$16*(1+Inputs!$B$11)^(BZ$2-1),0)</f>
        <v>597.0261482645</v>
      </c>
      <c r="CA100" s="11" t="n">
        <f aca="false">IF(AND(CA$1&gt;=Units!$Q99,MOD(CA$1-Units!$Q99,12)=0),IF(AND(Units!$L99=1,CA$1=Units!$Q99),1,Inputs!$B$15)*Inputs!$B$16*(1+Inputs!$B$11)^(CA$2-1),0)</f>
        <v>0</v>
      </c>
      <c r="CB100" s="11" t="n">
        <f aca="false">IF(AND(CB$1&gt;=Units!$Q99,MOD(CB$1-Units!$Q99,12)=0),IF(AND(Units!$L99=1,CB$1=Units!$Q99),1,Inputs!$B$15)*Inputs!$B$16*(1+Inputs!$B$11)^(CB$2-1),0)</f>
        <v>0</v>
      </c>
      <c r="CC100" s="11" t="n">
        <f aca="false">IF(AND(CC$1&gt;=Units!$Q99,MOD(CC$1-Units!$Q99,12)=0),IF(AND(Units!$L99=1,CC$1=Units!$Q99),1,Inputs!$B$15)*Inputs!$B$16*(1+Inputs!$B$11)^(CC$2-1),0)</f>
        <v>0</v>
      </c>
      <c r="CD100" s="11" t="n">
        <f aca="false">IF(AND(CD$1&gt;=Units!$Q99,MOD(CD$1-Units!$Q99,12)=0),IF(AND(Units!$L99=1,CD$1=Units!$Q99),1,Inputs!$B$15)*Inputs!$B$16*(1+Inputs!$B$11)^(CD$2-1),0)</f>
        <v>0</v>
      </c>
      <c r="CE100" s="11" t="n">
        <f aca="false">IF(AND(CE$1&gt;=Units!$Q99,MOD(CE$1-Units!$Q99,12)=0),IF(AND(Units!$L99=1,CE$1=Units!$Q99),1,Inputs!$B$15)*Inputs!$B$16*(1+Inputs!$B$11)^(CE$2-1),0)</f>
        <v>0</v>
      </c>
      <c r="CF100" s="11" t="n">
        <f aca="false">IF(AND(CF$1&gt;=Units!$Q99,MOD(CF$1-Units!$Q99,12)=0),IF(AND(Units!$L99=1,CF$1=Units!$Q99),1,Inputs!$B$15)*Inputs!$B$16*(1+Inputs!$B$11)^(CF$2-1),0)</f>
        <v>0</v>
      </c>
      <c r="CG100" s="11" t="n">
        <f aca="false">IF(AND(CG$1&gt;=Units!$Q99,MOD(CG$1-Units!$Q99,12)=0),IF(AND(Units!$L99=1,CG$1=Units!$Q99),1,Inputs!$B$15)*Inputs!$B$16*(1+Inputs!$B$11)^(CG$2-1),0)</f>
        <v>0</v>
      </c>
      <c r="CH100" s="11" t="n">
        <f aca="false">IF(AND(CH$1&gt;=Units!$Q99,MOD(CH$1-Units!$Q99,12)=0),IF(AND(Units!$L99=1,CH$1=Units!$Q99),1,Inputs!$B$15)*Inputs!$B$16*(1+Inputs!$B$11)^(CH$2-1),0)</f>
        <v>0</v>
      </c>
      <c r="CI100" s="11" t="n">
        <f aca="false">IF(AND(CI$1&gt;=Units!$Q99,MOD(CI$1-Units!$Q99,12)=0),IF(AND(Units!$L99=1,CI$1=Units!$Q99),1,Inputs!$B$15)*Inputs!$B$16*(1+Inputs!$B$11)^(CI$2-1),0)</f>
        <v>0</v>
      </c>
      <c r="CJ100" s="11" t="n">
        <f aca="false">IF(AND(CJ$1&gt;=Units!$Q99,MOD(CJ$1-Units!$Q99,12)=0),IF(AND(Units!$L99=1,CJ$1=Units!$Q99),1,Inputs!$B$15)*Inputs!$B$16*(1+Inputs!$B$11)^(CJ$2-1),0)</f>
        <v>0</v>
      </c>
      <c r="CK100" s="11" t="n">
        <f aca="false">IF(AND(CK$1&gt;=Units!$Q99,MOD(CK$1-Units!$Q99,12)=0),IF(AND(Units!$L99=1,CK$1=Units!$Q99),1,Inputs!$B$15)*Inputs!$B$16*(1+Inputs!$B$11)^(CK$2-1),0)</f>
        <v>0</v>
      </c>
      <c r="CL100" s="11" t="n">
        <f aca="false">IF(AND(CL$1&gt;=Units!$Q99,MOD(CL$1-Units!$Q99,12)=0),IF(AND(Units!$L99=1,CL$1=Units!$Q99),1,Inputs!$B$15)*Inputs!$B$16*(1+Inputs!$B$11)^(CL$2-1),0)</f>
        <v>614.936932712435</v>
      </c>
      <c r="CM100" s="11" t="n">
        <f aca="false">IF(AND(CM$1&gt;=Units!$Q99,MOD(CM$1-Units!$Q99,12)=0),IF(AND(Units!$L99=1,CM$1=Units!$Q99),1,Inputs!$B$15)*Inputs!$B$16*(1+Inputs!$B$11)^(CM$2-1),0)</f>
        <v>0</v>
      </c>
      <c r="CN100" s="11" t="n">
        <f aca="false">IF(AND(CN$1&gt;=Units!$Q99,MOD(CN$1-Units!$Q99,12)=0),IF(AND(Units!$L99=1,CN$1=Units!$Q99),1,Inputs!$B$15)*Inputs!$B$16*(1+Inputs!$B$11)^(CN$2-1),0)</f>
        <v>0</v>
      </c>
      <c r="CO100" s="11" t="n">
        <f aca="false">IF(AND(CO$1&gt;=Units!$Q99,MOD(CO$1-Units!$Q99,12)=0),IF(AND(Units!$L99=1,CO$1=Units!$Q99),1,Inputs!$B$15)*Inputs!$B$16*(1+Inputs!$B$11)^(CO$2-1),0)</f>
        <v>0</v>
      </c>
      <c r="CP100" s="11" t="n">
        <f aca="false">IF(AND(CP$1&gt;=Units!$Q99,MOD(CP$1-Units!$Q99,12)=0),IF(AND(Units!$L99=1,CP$1=Units!$Q99),1,Inputs!$B$15)*Inputs!$B$16*(1+Inputs!$B$11)^(CP$2-1),0)</f>
        <v>0</v>
      </c>
      <c r="CQ100" s="11" t="n">
        <f aca="false">IF(AND(CQ$1&gt;=Units!$Q99,MOD(CQ$1-Units!$Q99,12)=0),IF(AND(Units!$L99=1,CQ$1=Units!$Q99),1,Inputs!$B$15)*Inputs!$B$16*(1+Inputs!$B$11)^(CQ$2-1),0)</f>
        <v>0</v>
      </c>
      <c r="CR100" s="11" t="n">
        <f aca="false">IF(AND(CR$1&gt;=Units!$Q99,MOD(CR$1-Units!$Q99,12)=0),IF(AND(Units!$L99=1,CR$1=Units!$Q99),1,Inputs!$B$15)*Inputs!$B$16*(1+Inputs!$B$11)^(CR$2-1),0)</f>
        <v>0</v>
      </c>
      <c r="CS100" s="11" t="n">
        <f aca="false">IF(AND(CS$1&gt;=Units!$Q99,MOD(CS$1-Units!$Q99,12)=0),IF(AND(Units!$L99=1,CS$1=Units!$Q99),1,Inputs!$B$15)*Inputs!$B$16*(1+Inputs!$B$11)^(CS$2-1),0)</f>
        <v>0</v>
      </c>
      <c r="CT100" s="11" t="n">
        <f aca="false">IF(AND(CT$1&gt;=Units!$Q99,MOD(CT$1-Units!$Q99,12)=0),IF(AND(Units!$L99=1,CT$1=Units!$Q99),1,Inputs!$B$15)*Inputs!$B$16*(1+Inputs!$B$11)^(CT$2-1),0)</f>
        <v>0</v>
      </c>
      <c r="CU100" s="11" t="n">
        <f aca="false">IF(AND(CU$1&gt;=Units!$Q99,MOD(CU$1-Units!$Q99,12)=0),IF(AND(Units!$L99=1,CU$1=Units!$Q99),1,Inputs!$B$15)*Inputs!$B$16*(1+Inputs!$B$11)^(CU$2-1),0)</f>
        <v>0</v>
      </c>
      <c r="CV100" s="11" t="n">
        <f aca="false">IF(AND(CV$1&gt;=Units!$Q99,MOD(CV$1-Units!$Q99,12)=0),IF(AND(Units!$L99=1,CV$1=Units!$Q99),1,Inputs!$B$15)*Inputs!$B$16*(1+Inputs!$B$11)^(CV$2-1),0)</f>
        <v>0</v>
      </c>
      <c r="CW100" s="11" t="n">
        <f aca="false">IF(AND(CW$1&gt;=Units!$Q99,MOD(CW$1-Units!$Q99,12)=0),IF(AND(Units!$L99=1,CW$1=Units!$Q99),1,Inputs!$B$15)*Inputs!$B$16*(1+Inputs!$B$11)^(CW$2-1),0)</f>
        <v>0</v>
      </c>
      <c r="CX100" s="11" t="n">
        <f aca="false">IF(AND(CX$1&gt;=Units!$Q99,MOD(CX$1-Units!$Q99,12)=0),IF(AND(Units!$L99=1,CX$1=Units!$Q99),1,Inputs!$B$15)*Inputs!$B$16*(1+Inputs!$B$11)^(CX$2-1),0)</f>
        <v>633.385040693808</v>
      </c>
      <c r="CY100" s="11" t="n">
        <f aca="false">IF(AND(CY$1&gt;=Units!$Q99,MOD(CY$1-Units!$Q99,12)=0),IF(AND(Units!$L99=1,CY$1=Units!$Q99),1,Inputs!$B$15)*Inputs!$B$16*(1+Inputs!$B$11)^(CY$2-1),0)</f>
        <v>0</v>
      </c>
      <c r="CZ100" s="11" t="n">
        <f aca="false">IF(AND(CZ$1&gt;=Units!$Q99,MOD(CZ$1-Units!$Q99,12)=0),IF(AND(Units!$L99=1,CZ$1=Units!$Q99),1,Inputs!$B$15)*Inputs!$B$16*(1+Inputs!$B$11)^(CZ$2-1),0)</f>
        <v>0</v>
      </c>
      <c r="DA100" s="11" t="n">
        <f aca="false">IF(AND(DA$1&gt;=Units!$Q99,MOD(DA$1-Units!$Q99,12)=0),IF(AND(Units!$L99=1,DA$1=Units!$Q99),1,Inputs!$B$15)*Inputs!$B$16*(1+Inputs!$B$11)^(DA$2-1),0)</f>
        <v>0</v>
      </c>
      <c r="DB100" s="11" t="n">
        <f aca="false">IF(AND(DB$1&gt;=Units!$Q99,MOD(DB$1-Units!$Q99,12)=0),IF(AND(Units!$L99=1,DB$1=Units!$Q99),1,Inputs!$B$15)*Inputs!$B$16*(1+Inputs!$B$11)^(DB$2-1),0)</f>
        <v>0</v>
      </c>
      <c r="DC100" s="11" t="n">
        <f aca="false">IF(AND(DC$1&gt;=Units!$Q99,MOD(DC$1-Units!$Q99,12)=0),IF(AND(Units!$L99=1,DC$1=Units!$Q99),1,Inputs!$B$15)*Inputs!$B$16*(1+Inputs!$B$11)^(DC$2-1),0)</f>
        <v>0</v>
      </c>
      <c r="DD100" s="11" t="n">
        <f aca="false">IF(AND(DD$1&gt;=Units!$Q99,MOD(DD$1-Units!$Q99,12)=0),IF(AND(Units!$L99=1,DD$1=Units!$Q99),1,Inputs!$B$15)*Inputs!$B$16*(1+Inputs!$B$11)^(DD$2-1),0)</f>
        <v>0</v>
      </c>
      <c r="DE100" s="11" t="n">
        <f aca="false">IF(AND(DE$1&gt;=Units!$Q99,MOD(DE$1-Units!$Q99,12)=0),IF(AND(Units!$L99=1,DE$1=Units!$Q99),1,Inputs!$B$15)*Inputs!$B$16*(1+Inputs!$B$11)^(DE$2-1),0)</f>
        <v>0</v>
      </c>
      <c r="DF100" s="11" t="n">
        <f aca="false">IF(AND(DF$1&gt;=Units!$Q99,MOD(DF$1-Units!$Q99,12)=0),IF(AND(Units!$L99=1,DF$1=Units!$Q99),1,Inputs!$B$15)*Inputs!$B$16*(1+Inputs!$B$11)^(DF$2-1),0)</f>
        <v>0</v>
      </c>
      <c r="DG100" s="11" t="n">
        <f aca="false">IF(AND(DG$1&gt;=Units!$Q99,MOD(DG$1-Units!$Q99,12)=0),IF(AND(Units!$L99=1,DG$1=Units!$Q99),1,Inputs!$B$15)*Inputs!$B$16*(1+Inputs!$B$11)^(DG$2-1),0)</f>
        <v>0</v>
      </c>
      <c r="DH100" s="11" t="n">
        <f aca="false">IF(AND(DH$1&gt;=Units!$Q99,MOD(DH$1-Units!$Q99,12)=0),IF(AND(Units!$L99=1,DH$1=Units!$Q99),1,Inputs!$B$15)*Inputs!$B$16*(1+Inputs!$B$11)^(DH$2-1),0)</f>
        <v>0</v>
      </c>
      <c r="DI100" s="11" t="n">
        <f aca="false">IF(AND(DI$1&gt;=Units!$Q99,MOD(DI$1-Units!$Q99,12)=0),IF(AND(Units!$L99=1,DI$1=Units!$Q99),1,Inputs!$B$15)*Inputs!$B$16*(1+Inputs!$B$11)^(DI$2-1),0)</f>
        <v>0</v>
      </c>
      <c r="DJ100" s="11" t="n">
        <f aca="false">IF(AND(DJ$1&gt;=Units!$Q99,MOD(DJ$1-Units!$Q99,12)=0),IF(AND(Units!$L99=1,DJ$1=Units!$Q99),1,Inputs!$B$15)*Inputs!$B$16*(1+Inputs!$B$11)^(DJ$2-1),0)</f>
        <v>652.386591914623</v>
      </c>
      <c r="DK100" s="11" t="n">
        <f aca="false">IF(AND(DK$1&gt;=Units!$Q99,MOD(DK$1-Units!$Q99,12)=0),IF(AND(Units!$L99=1,DK$1=Units!$Q99),1,Inputs!$B$15)*Inputs!$B$16*(1+Inputs!$B$11)^(DK$2-1),0)</f>
        <v>0</v>
      </c>
      <c r="DL100" s="11" t="n">
        <f aca="false">IF(AND(DL$1&gt;=Units!$Q99,MOD(DL$1-Units!$Q99,12)=0),IF(AND(Units!$L99=1,DL$1=Units!$Q99),1,Inputs!$B$15)*Inputs!$B$16*(1+Inputs!$B$11)^(DL$2-1),0)</f>
        <v>0</v>
      </c>
      <c r="DM100" s="11" t="n">
        <f aca="false">IF(AND(DM$1&gt;=Units!$Q99,MOD(DM$1-Units!$Q99,12)=0),IF(AND(Units!$L99=1,DM$1=Units!$Q99),1,Inputs!$B$15)*Inputs!$B$16*(1+Inputs!$B$11)^(DM$2-1),0)</f>
        <v>0</v>
      </c>
      <c r="DN100" s="11" t="n">
        <f aca="false">IF(AND(DN$1&gt;=Units!$Q99,MOD(DN$1-Units!$Q99,12)=0),IF(AND(Units!$L99=1,DN$1=Units!$Q99),1,Inputs!$B$15)*Inputs!$B$16*(1+Inputs!$B$11)^(DN$2-1),0)</f>
        <v>0</v>
      </c>
      <c r="DO100" s="11" t="n">
        <f aca="false">IF(AND(DO$1&gt;=Units!$Q99,MOD(DO$1-Units!$Q99,12)=0),IF(AND(Units!$L99=1,DO$1=Units!$Q99),1,Inputs!$B$15)*Inputs!$B$16*(1+Inputs!$B$11)^(DO$2-1),0)</f>
        <v>0</v>
      </c>
      <c r="DP100" s="11" t="n">
        <f aca="false">IF(AND(DP$1&gt;=Units!$Q99,MOD(DP$1-Units!$Q99,12)=0),IF(AND(Units!$L99=1,DP$1=Units!$Q99),1,Inputs!$B$15)*Inputs!$B$16*(1+Inputs!$B$11)^(DP$2-1),0)</f>
        <v>0</v>
      </c>
      <c r="DQ100" s="11" t="n">
        <f aca="false">IF(AND(DQ$1&gt;=Units!$Q99,MOD(DQ$1-Units!$Q99,12)=0),IF(AND(Units!$L99=1,DQ$1=Units!$Q99),1,Inputs!$B$15)*Inputs!$B$16*(1+Inputs!$B$11)^(DQ$2-1),0)</f>
        <v>0</v>
      </c>
      <c r="DR100" s="11" t="n">
        <f aca="false">IF(AND(DR$1&gt;=Units!$Q99,MOD(DR$1-Units!$Q99,12)=0),IF(AND(Units!$L99=1,DR$1=Units!$Q99),1,Inputs!$B$15)*Inputs!$B$16*(1+Inputs!$B$11)^(DR$2-1),0)</f>
        <v>0</v>
      </c>
      <c r="DS100" s="11" t="n">
        <f aca="false">IF(AND(DS$1&gt;=Units!$Q99,MOD(DS$1-Units!$Q99,12)=0),IF(AND(Units!$L99=1,DS$1=Units!$Q99),1,Inputs!$B$15)*Inputs!$B$16*(1+Inputs!$B$11)^(DS$2-1),0)</f>
        <v>0</v>
      </c>
      <c r="DT100" s="11" t="n">
        <f aca="false">IF(AND(DT$1&gt;=Units!$Q99,MOD(DT$1-Units!$Q99,12)=0),IF(AND(Units!$L99=1,DT$1=Units!$Q99),1,Inputs!$B$15)*Inputs!$B$16*(1+Inputs!$B$11)^(DT$2-1),0)</f>
        <v>0</v>
      </c>
      <c r="DU100" s="11" t="n">
        <f aca="false">IF(AND(DU$1&gt;=Units!$Q99,MOD(DU$1-Units!$Q99,12)=0),IF(AND(Units!$L99=1,DU$1=Units!$Q99),1,Inputs!$B$15)*Inputs!$B$16*(1+Inputs!$B$11)^(DU$2-1),0)</f>
        <v>0</v>
      </c>
      <c r="DV100" s="11" t="n">
        <f aca="false">IF(AND(DV$1&gt;=Units!$Q99,MOD(DV$1-Units!$Q99,12)=0),IF(AND(Units!$L99=1,DV$1=Units!$Q99),1,Inputs!$B$15)*Inputs!$B$16*(1+Inputs!$B$11)^(DV$2-1),0)</f>
        <v>671.958189672061</v>
      </c>
      <c r="DW100" s="11" t="n">
        <f aca="false">IF(AND(DW$1&gt;=Units!$Q99,MOD(DW$1-Units!$Q99,12)=0),IF(AND(Units!$L99=1,DW$1=Units!$Q99),1,Inputs!$B$15)*Inputs!$B$16*(1+Inputs!$B$11)^(DW$2-1),0)</f>
        <v>0</v>
      </c>
      <c r="DX100" s="11" t="n">
        <f aca="false">IF(AND(DX$1&gt;=Units!$Q99,MOD(DX$1-Units!$Q99,12)=0),IF(AND(Units!$L99=1,DX$1=Units!$Q99),1,Inputs!$B$15)*Inputs!$B$16*(1+Inputs!$B$11)^(DX$2-1),0)</f>
        <v>0</v>
      </c>
      <c r="DY100" s="11" t="n">
        <f aca="false">IF(AND(DY$1&gt;=Units!$Q99,MOD(DY$1-Units!$Q99,12)=0),IF(AND(Units!$L99=1,DY$1=Units!$Q99),1,Inputs!$B$15)*Inputs!$B$16*(1+Inputs!$B$11)^(DY$2-1),0)</f>
        <v>0</v>
      </c>
      <c r="DZ100" s="11" t="n">
        <f aca="false">IF(AND(DZ$1&gt;=Units!$Q99,MOD(DZ$1-Units!$Q99,12)=0),IF(AND(Units!$L99=1,DZ$1=Units!$Q99),1,Inputs!$B$15)*Inputs!$B$16*(1+Inputs!$B$11)^(DZ$2-1),0)</f>
        <v>0</v>
      </c>
      <c r="EA100" s="11" t="n">
        <f aca="false">IF(AND(EA$1&gt;=Units!$Q99,MOD(EA$1-Units!$Q99,12)=0),IF(AND(Units!$L99=1,EA$1=Units!$Q99),1,Inputs!$B$15)*Inputs!$B$16*(1+Inputs!$B$11)^(EA$2-1),0)</f>
        <v>0</v>
      </c>
      <c r="EB100" s="11" t="n">
        <f aca="false">IF(AND(EB$1&gt;=Units!$Q99,MOD(EB$1-Units!$Q99,12)=0),IF(AND(Units!$L99=1,EB$1=Units!$Q99),1,Inputs!$B$15)*Inputs!$B$16*(1+Inputs!$B$11)^(EB$2-1),0)</f>
        <v>0</v>
      </c>
      <c r="EC100" s="11" t="n">
        <f aca="false">IF(AND(EC$1&gt;=Units!$Q99,MOD(EC$1-Units!$Q99,12)=0),IF(AND(Units!$L99=1,EC$1=Units!$Q99),1,Inputs!$B$15)*Inputs!$B$16*(1+Inputs!$B$11)^(EC$2-1),0)</f>
        <v>0</v>
      </c>
      <c r="ED100" s="11" t="n">
        <f aca="false">IF(AND(ED$1&gt;=Units!$Q99,MOD(ED$1-Units!$Q99,12)=0),IF(AND(Units!$L99=1,ED$1=Units!$Q99),1,Inputs!$B$15)*Inputs!$B$16*(1+Inputs!$B$11)^(ED$2-1),0)</f>
        <v>0</v>
      </c>
    </row>
    <row r="101" customFormat="false" ht="15" hidden="false" customHeight="false" outlineLevel="0" collapsed="false">
      <c r="A101" s="22" t="n">
        <f aca="false">Units!A100</f>
        <v>409</v>
      </c>
      <c r="B101" s="23"/>
      <c r="C101" s="11" t="n">
        <f aca="false">IF(AND(C$1&gt;=Units!$Q100,MOD(C$1-Units!$Q100,12)=0),IF(AND(Units!$L100=1,C$1=Units!$Q100),1,Inputs!$B$15)*Inputs!$B$16*(1+Inputs!$B$11)^(C$2-1),0)</f>
        <v>0</v>
      </c>
      <c r="D101" s="11" t="n">
        <f aca="false">IF(AND(D$1&gt;=Units!$Q100,MOD(D$1-Units!$Q100,12)=0),IF(AND(Units!$L100=1,D$1=Units!$Q100),1,Inputs!$B$15)*Inputs!$B$16*(1+Inputs!$B$11)^(D$2-1),0)</f>
        <v>0</v>
      </c>
      <c r="E101" s="11" t="n">
        <f aca="false">IF(AND(E$1&gt;=Units!$Q100,MOD(E$1-Units!$Q100,12)=0),IF(AND(Units!$L100=1,E$1=Units!$Q100),1,Inputs!$B$15)*Inputs!$B$16*(1+Inputs!$B$11)^(E$2-1),0)</f>
        <v>0</v>
      </c>
      <c r="F101" s="11" t="n">
        <f aca="false">IF(AND(F$1&gt;=Units!$Q100,MOD(F$1-Units!$Q100,12)=0),IF(AND(Units!$L100=1,F$1=Units!$Q100),1,Inputs!$B$15)*Inputs!$B$16*(1+Inputs!$B$11)^(F$2-1),0)</f>
        <v>0</v>
      </c>
      <c r="G101" s="11" t="n">
        <f aca="false">IF(AND(G$1&gt;=Units!$Q100,MOD(G$1-Units!$Q100,12)=0),IF(AND(Units!$L100=1,G$1=Units!$Q100),1,Inputs!$B$15)*Inputs!$B$16*(1+Inputs!$B$11)^(G$2-1),0)</f>
        <v>0</v>
      </c>
      <c r="H101" s="11" t="n">
        <f aca="false">IF(AND(H$1&gt;=Units!$Q100,MOD(H$1-Units!$Q100,12)=0),IF(AND(Units!$L100=1,H$1=Units!$Q100),1,Inputs!$B$15)*Inputs!$B$16*(1+Inputs!$B$11)^(H$2-1),0)</f>
        <v>0</v>
      </c>
      <c r="I101" s="11" t="n">
        <f aca="false">IF(AND(I$1&gt;=Units!$Q100,MOD(I$1-Units!$Q100,12)=0),IF(AND(Units!$L100=1,I$1=Units!$Q100),1,Inputs!$B$15)*Inputs!$B$16*(1+Inputs!$B$11)^(I$2-1),0)</f>
        <v>0</v>
      </c>
      <c r="J101" s="11" t="n">
        <f aca="false">IF(AND(J$1&gt;=Units!$Q100,MOD(J$1-Units!$Q100,12)=0),IF(AND(Units!$L100=1,J$1=Units!$Q100),1,Inputs!$B$15)*Inputs!$B$16*(1+Inputs!$B$11)^(J$2-1),0)</f>
        <v>500</v>
      </c>
      <c r="K101" s="11" t="n">
        <f aca="false">IF(AND(K$1&gt;=Units!$Q100,MOD(K$1-Units!$Q100,12)=0),IF(AND(Units!$L100=1,K$1=Units!$Q100),1,Inputs!$B$15)*Inputs!$B$16*(1+Inputs!$B$11)^(K$2-1),0)</f>
        <v>0</v>
      </c>
      <c r="L101" s="11" t="n">
        <f aca="false">IF(AND(L$1&gt;=Units!$Q100,MOD(L$1-Units!$Q100,12)=0),IF(AND(Units!$L100=1,L$1=Units!$Q100),1,Inputs!$B$15)*Inputs!$B$16*(1+Inputs!$B$11)^(L$2-1),0)</f>
        <v>0</v>
      </c>
      <c r="M101" s="11" t="n">
        <f aca="false">IF(AND(M$1&gt;=Units!$Q100,MOD(M$1-Units!$Q100,12)=0),IF(AND(Units!$L100=1,M$1=Units!$Q100),1,Inputs!$B$15)*Inputs!$B$16*(1+Inputs!$B$11)^(M$2-1),0)</f>
        <v>0</v>
      </c>
      <c r="N101" s="11" t="n">
        <f aca="false">IF(AND(N$1&gt;=Units!$Q100,MOD(N$1-Units!$Q100,12)=0),IF(AND(Units!$L100=1,N$1=Units!$Q100),1,Inputs!$B$15)*Inputs!$B$16*(1+Inputs!$B$11)^(N$2-1),0)</f>
        <v>0</v>
      </c>
      <c r="O101" s="11" t="n">
        <f aca="false">IF(AND(O$1&gt;=Units!$Q100,MOD(O$1-Units!$Q100,12)=0),IF(AND(Units!$L100=1,O$1=Units!$Q100),1,Inputs!$B$15)*Inputs!$B$16*(1+Inputs!$B$11)^(O$2-1),0)</f>
        <v>0</v>
      </c>
      <c r="P101" s="11" t="n">
        <f aca="false">IF(AND(P$1&gt;=Units!$Q100,MOD(P$1-Units!$Q100,12)=0),IF(AND(Units!$L100=1,P$1=Units!$Q100),1,Inputs!$B$15)*Inputs!$B$16*(1+Inputs!$B$11)^(P$2-1),0)</f>
        <v>0</v>
      </c>
      <c r="Q101" s="11" t="n">
        <f aca="false">IF(AND(Q$1&gt;=Units!$Q100,MOD(Q$1-Units!$Q100,12)=0),IF(AND(Units!$L100=1,Q$1=Units!$Q100),1,Inputs!$B$15)*Inputs!$B$16*(1+Inputs!$B$11)^(Q$2-1),0)</f>
        <v>0</v>
      </c>
      <c r="R101" s="11" t="n">
        <f aca="false">IF(AND(R$1&gt;=Units!$Q100,MOD(R$1-Units!$Q100,12)=0),IF(AND(Units!$L100=1,R$1=Units!$Q100),1,Inputs!$B$15)*Inputs!$B$16*(1+Inputs!$B$11)^(R$2-1),0)</f>
        <v>0</v>
      </c>
      <c r="S101" s="11" t="n">
        <f aca="false">IF(AND(S$1&gt;=Units!$Q100,MOD(S$1-Units!$Q100,12)=0),IF(AND(Units!$L100=1,S$1=Units!$Q100),1,Inputs!$B$15)*Inputs!$B$16*(1+Inputs!$B$11)^(S$2-1),0)</f>
        <v>0</v>
      </c>
      <c r="T101" s="11" t="n">
        <f aca="false">IF(AND(T$1&gt;=Units!$Q100,MOD(T$1-Units!$Q100,12)=0),IF(AND(Units!$L100=1,T$1=Units!$Q100),1,Inputs!$B$15)*Inputs!$B$16*(1+Inputs!$B$11)^(T$2-1),0)</f>
        <v>0</v>
      </c>
      <c r="U101" s="11" t="n">
        <f aca="false">IF(AND(U$1&gt;=Units!$Q100,MOD(U$1-Units!$Q100,12)=0),IF(AND(Units!$L100=1,U$1=Units!$Q100),1,Inputs!$B$15)*Inputs!$B$16*(1+Inputs!$B$11)^(U$2-1),0)</f>
        <v>0</v>
      </c>
      <c r="V101" s="11" t="n">
        <f aca="false">IF(AND(V$1&gt;=Units!$Q100,MOD(V$1-Units!$Q100,12)=0),IF(AND(Units!$L100=1,V$1=Units!$Q100),1,Inputs!$B$15)*Inputs!$B$16*(1+Inputs!$B$11)^(V$2-1),0)</f>
        <v>515</v>
      </c>
      <c r="W101" s="11" t="n">
        <f aca="false">IF(AND(W$1&gt;=Units!$Q100,MOD(W$1-Units!$Q100,12)=0),IF(AND(Units!$L100=1,W$1=Units!$Q100),1,Inputs!$B$15)*Inputs!$B$16*(1+Inputs!$B$11)^(W$2-1),0)</f>
        <v>0</v>
      </c>
      <c r="X101" s="11" t="n">
        <f aca="false">IF(AND(X$1&gt;=Units!$Q100,MOD(X$1-Units!$Q100,12)=0),IF(AND(Units!$L100=1,X$1=Units!$Q100),1,Inputs!$B$15)*Inputs!$B$16*(1+Inputs!$B$11)^(X$2-1),0)</f>
        <v>0</v>
      </c>
      <c r="Y101" s="11" t="n">
        <f aca="false">IF(AND(Y$1&gt;=Units!$Q100,MOD(Y$1-Units!$Q100,12)=0),IF(AND(Units!$L100=1,Y$1=Units!$Q100),1,Inputs!$B$15)*Inputs!$B$16*(1+Inputs!$B$11)^(Y$2-1),0)</f>
        <v>0</v>
      </c>
      <c r="Z101" s="11" t="n">
        <f aca="false">IF(AND(Z$1&gt;=Units!$Q100,MOD(Z$1-Units!$Q100,12)=0),IF(AND(Units!$L100=1,Z$1=Units!$Q100),1,Inputs!$B$15)*Inputs!$B$16*(1+Inputs!$B$11)^(Z$2-1),0)</f>
        <v>0</v>
      </c>
      <c r="AA101" s="11" t="n">
        <f aca="false">IF(AND(AA$1&gt;=Units!$Q100,MOD(AA$1-Units!$Q100,12)=0),IF(AND(Units!$L100=1,AA$1=Units!$Q100),1,Inputs!$B$15)*Inputs!$B$16*(1+Inputs!$B$11)^(AA$2-1),0)</f>
        <v>0</v>
      </c>
      <c r="AB101" s="11" t="n">
        <f aca="false">IF(AND(AB$1&gt;=Units!$Q100,MOD(AB$1-Units!$Q100,12)=0),IF(AND(Units!$L100=1,AB$1=Units!$Q100),1,Inputs!$B$15)*Inputs!$B$16*(1+Inputs!$B$11)^(AB$2-1),0)</f>
        <v>0</v>
      </c>
      <c r="AC101" s="11" t="n">
        <f aca="false">IF(AND(AC$1&gt;=Units!$Q100,MOD(AC$1-Units!$Q100,12)=0),IF(AND(Units!$L100=1,AC$1=Units!$Q100),1,Inputs!$B$15)*Inputs!$B$16*(1+Inputs!$B$11)^(AC$2-1),0)</f>
        <v>0</v>
      </c>
      <c r="AD101" s="11" t="n">
        <f aca="false">IF(AND(AD$1&gt;=Units!$Q100,MOD(AD$1-Units!$Q100,12)=0),IF(AND(Units!$L100=1,AD$1=Units!$Q100),1,Inputs!$B$15)*Inputs!$B$16*(1+Inputs!$B$11)^(AD$2-1),0)</f>
        <v>0</v>
      </c>
      <c r="AE101" s="11" t="n">
        <f aca="false">IF(AND(AE$1&gt;=Units!$Q100,MOD(AE$1-Units!$Q100,12)=0),IF(AND(Units!$L100=1,AE$1=Units!$Q100),1,Inputs!$B$15)*Inputs!$B$16*(1+Inputs!$B$11)^(AE$2-1),0)</f>
        <v>0</v>
      </c>
      <c r="AF101" s="11" t="n">
        <f aca="false">IF(AND(AF$1&gt;=Units!$Q100,MOD(AF$1-Units!$Q100,12)=0),IF(AND(Units!$L100=1,AF$1=Units!$Q100),1,Inputs!$B$15)*Inputs!$B$16*(1+Inputs!$B$11)^(AF$2-1),0)</f>
        <v>0</v>
      </c>
      <c r="AG101" s="11" t="n">
        <f aca="false">IF(AND(AG$1&gt;=Units!$Q100,MOD(AG$1-Units!$Q100,12)=0),IF(AND(Units!$L100=1,AG$1=Units!$Q100),1,Inputs!$B$15)*Inputs!$B$16*(1+Inputs!$B$11)^(AG$2-1),0)</f>
        <v>0</v>
      </c>
      <c r="AH101" s="11" t="n">
        <f aca="false">IF(AND(AH$1&gt;=Units!$Q100,MOD(AH$1-Units!$Q100,12)=0),IF(AND(Units!$L100=1,AH$1=Units!$Q100),1,Inputs!$B$15)*Inputs!$B$16*(1+Inputs!$B$11)^(AH$2-1),0)</f>
        <v>530.45</v>
      </c>
      <c r="AI101" s="11" t="n">
        <f aca="false">IF(AND(AI$1&gt;=Units!$Q100,MOD(AI$1-Units!$Q100,12)=0),IF(AND(Units!$L100=1,AI$1=Units!$Q100),1,Inputs!$B$15)*Inputs!$B$16*(1+Inputs!$B$11)^(AI$2-1),0)</f>
        <v>0</v>
      </c>
      <c r="AJ101" s="11" t="n">
        <f aca="false">IF(AND(AJ$1&gt;=Units!$Q100,MOD(AJ$1-Units!$Q100,12)=0),IF(AND(Units!$L100=1,AJ$1=Units!$Q100),1,Inputs!$B$15)*Inputs!$B$16*(1+Inputs!$B$11)^(AJ$2-1),0)</f>
        <v>0</v>
      </c>
      <c r="AK101" s="11" t="n">
        <f aca="false">IF(AND(AK$1&gt;=Units!$Q100,MOD(AK$1-Units!$Q100,12)=0),IF(AND(Units!$L100=1,AK$1=Units!$Q100),1,Inputs!$B$15)*Inputs!$B$16*(1+Inputs!$B$11)^(AK$2-1),0)</f>
        <v>0</v>
      </c>
      <c r="AL101" s="11" t="n">
        <f aca="false">IF(AND(AL$1&gt;=Units!$Q100,MOD(AL$1-Units!$Q100,12)=0),IF(AND(Units!$L100=1,AL$1=Units!$Q100),1,Inputs!$B$15)*Inputs!$B$16*(1+Inputs!$B$11)^(AL$2-1),0)</f>
        <v>0</v>
      </c>
      <c r="AM101" s="11" t="n">
        <f aca="false">IF(AND(AM$1&gt;=Units!$Q100,MOD(AM$1-Units!$Q100,12)=0),IF(AND(Units!$L100=1,AM$1=Units!$Q100),1,Inputs!$B$15)*Inputs!$B$16*(1+Inputs!$B$11)^(AM$2-1),0)</f>
        <v>0</v>
      </c>
      <c r="AN101" s="11" t="n">
        <f aca="false">IF(AND(AN$1&gt;=Units!$Q100,MOD(AN$1-Units!$Q100,12)=0),IF(AND(Units!$L100=1,AN$1=Units!$Q100),1,Inputs!$B$15)*Inputs!$B$16*(1+Inputs!$B$11)^(AN$2-1),0)</f>
        <v>0</v>
      </c>
      <c r="AO101" s="11" t="n">
        <f aca="false">IF(AND(AO$1&gt;=Units!$Q100,MOD(AO$1-Units!$Q100,12)=0),IF(AND(Units!$L100=1,AO$1=Units!$Q100),1,Inputs!$B$15)*Inputs!$B$16*(1+Inputs!$B$11)^(AO$2-1),0)</f>
        <v>0</v>
      </c>
      <c r="AP101" s="11" t="n">
        <f aca="false">IF(AND(AP$1&gt;=Units!$Q100,MOD(AP$1-Units!$Q100,12)=0),IF(AND(Units!$L100=1,AP$1=Units!$Q100),1,Inputs!$B$15)*Inputs!$B$16*(1+Inputs!$B$11)^(AP$2-1),0)</f>
        <v>0</v>
      </c>
      <c r="AQ101" s="11" t="n">
        <f aca="false">IF(AND(AQ$1&gt;=Units!$Q100,MOD(AQ$1-Units!$Q100,12)=0),IF(AND(Units!$L100=1,AQ$1=Units!$Q100),1,Inputs!$B$15)*Inputs!$B$16*(1+Inputs!$B$11)^(AQ$2-1),0)</f>
        <v>0</v>
      </c>
      <c r="AR101" s="11" t="n">
        <f aca="false">IF(AND(AR$1&gt;=Units!$Q100,MOD(AR$1-Units!$Q100,12)=0),IF(AND(Units!$L100=1,AR$1=Units!$Q100),1,Inputs!$B$15)*Inputs!$B$16*(1+Inputs!$B$11)^(AR$2-1),0)</f>
        <v>0</v>
      </c>
      <c r="AS101" s="11" t="n">
        <f aca="false">IF(AND(AS$1&gt;=Units!$Q100,MOD(AS$1-Units!$Q100,12)=0),IF(AND(Units!$L100=1,AS$1=Units!$Q100),1,Inputs!$B$15)*Inputs!$B$16*(1+Inputs!$B$11)^(AS$2-1),0)</f>
        <v>0</v>
      </c>
      <c r="AT101" s="11" t="n">
        <f aca="false">IF(AND(AT$1&gt;=Units!$Q100,MOD(AT$1-Units!$Q100,12)=0),IF(AND(Units!$L100=1,AT$1=Units!$Q100),1,Inputs!$B$15)*Inputs!$B$16*(1+Inputs!$B$11)^(AT$2-1),0)</f>
        <v>546.3635</v>
      </c>
      <c r="AU101" s="11" t="n">
        <f aca="false">IF(AND(AU$1&gt;=Units!$Q100,MOD(AU$1-Units!$Q100,12)=0),IF(AND(Units!$L100=1,AU$1=Units!$Q100),1,Inputs!$B$15)*Inputs!$B$16*(1+Inputs!$B$11)^(AU$2-1),0)</f>
        <v>0</v>
      </c>
      <c r="AV101" s="11" t="n">
        <f aca="false">IF(AND(AV$1&gt;=Units!$Q100,MOD(AV$1-Units!$Q100,12)=0),IF(AND(Units!$L100=1,AV$1=Units!$Q100),1,Inputs!$B$15)*Inputs!$B$16*(1+Inputs!$B$11)^(AV$2-1),0)</f>
        <v>0</v>
      </c>
      <c r="AW101" s="11" t="n">
        <f aca="false">IF(AND(AW$1&gt;=Units!$Q100,MOD(AW$1-Units!$Q100,12)=0),IF(AND(Units!$L100=1,AW$1=Units!$Q100),1,Inputs!$B$15)*Inputs!$B$16*(1+Inputs!$B$11)^(AW$2-1),0)</f>
        <v>0</v>
      </c>
      <c r="AX101" s="11" t="n">
        <f aca="false">IF(AND(AX$1&gt;=Units!$Q100,MOD(AX$1-Units!$Q100,12)=0),IF(AND(Units!$L100=1,AX$1=Units!$Q100),1,Inputs!$B$15)*Inputs!$B$16*(1+Inputs!$B$11)^(AX$2-1),0)</f>
        <v>0</v>
      </c>
      <c r="AY101" s="11" t="n">
        <f aca="false">IF(AND(AY$1&gt;=Units!$Q100,MOD(AY$1-Units!$Q100,12)=0),IF(AND(Units!$L100=1,AY$1=Units!$Q100),1,Inputs!$B$15)*Inputs!$B$16*(1+Inputs!$B$11)^(AY$2-1),0)</f>
        <v>0</v>
      </c>
      <c r="AZ101" s="11" t="n">
        <f aca="false">IF(AND(AZ$1&gt;=Units!$Q100,MOD(AZ$1-Units!$Q100,12)=0),IF(AND(Units!$L100=1,AZ$1=Units!$Q100),1,Inputs!$B$15)*Inputs!$B$16*(1+Inputs!$B$11)^(AZ$2-1),0)</f>
        <v>0</v>
      </c>
      <c r="BA101" s="11" t="n">
        <f aca="false">IF(AND(BA$1&gt;=Units!$Q100,MOD(BA$1-Units!$Q100,12)=0),IF(AND(Units!$L100=1,BA$1=Units!$Q100),1,Inputs!$B$15)*Inputs!$B$16*(1+Inputs!$B$11)^(BA$2-1),0)</f>
        <v>0</v>
      </c>
      <c r="BB101" s="11" t="n">
        <f aca="false">IF(AND(BB$1&gt;=Units!$Q100,MOD(BB$1-Units!$Q100,12)=0),IF(AND(Units!$L100=1,BB$1=Units!$Q100),1,Inputs!$B$15)*Inputs!$B$16*(1+Inputs!$B$11)^(BB$2-1),0)</f>
        <v>0</v>
      </c>
      <c r="BC101" s="11" t="n">
        <f aca="false">IF(AND(BC$1&gt;=Units!$Q100,MOD(BC$1-Units!$Q100,12)=0),IF(AND(Units!$L100=1,BC$1=Units!$Q100),1,Inputs!$B$15)*Inputs!$B$16*(1+Inputs!$B$11)^(BC$2-1),0)</f>
        <v>0</v>
      </c>
      <c r="BD101" s="11" t="n">
        <f aca="false">IF(AND(BD$1&gt;=Units!$Q100,MOD(BD$1-Units!$Q100,12)=0),IF(AND(Units!$L100=1,BD$1=Units!$Q100),1,Inputs!$B$15)*Inputs!$B$16*(1+Inputs!$B$11)^(BD$2-1),0)</f>
        <v>0</v>
      </c>
      <c r="BE101" s="11" t="n">
        <f aca="false">IF(AND(BE$1&gt;=Units!$Q100,MOD(BE$1-Units!$Q100,12)=0),IF(AND(Units!$L100=1,BE$1=Units!$Q100),1,Inputs!$B$15)*Inputs!$B$16*(1+Inputs!$B$11)^(BE$2-1),0)</f>
        <v>0</v>
      </c>
      <c r="BF101" s="11" t="n">
        <f aca="false">IF(AND(BF$1&gt;=Units!$Q100,MOD(BF$1-Units!$Q100,12)=0),IF(AND(Units!$L100=1,BF$1=Units!$Q100),1,Inputs!$B$15)*Inputs!$B$16*(1+Inputs!$B$11)^(BF$2-1),0)</f>
        <v>562.754405</v>
      </c>
      <c r="BG101" s="11" t="n">
        <f aca="false">IF(AND(BG$1&gt;=Units!$Q100,MOD(BG$1-Units!$Q100,12)=0),IF(AND(Units!$L100=1,BG$1=Units!$Q100),1,Inputs!$B$15)*Inputs!$B$16*(1+Inputs!$B$11)^(BG$2-1),0)</f>
        <v>0</v>
      </c>
      <c r="BH101" s="11" t="n">
        <f aca="false">IF(AND(BH$1&gt;=Units!$Q100,MOD(BH$1-Units!$Q100,12)=0),IF(AND(Units!$L100=1,BH$1=Units!$Q100),1,Inputs!$B$15)*Inputs!$B$16*(1+Inputs!$B$11)^(BH$2-1),0)</f>
        <v>0</v>
      </c>
      <c r="BI101" s="11" t="n">
        <f aca="false">IF(AND(BI$1&gt;=Units!$Q100,MOD(BI$1-Units!$Q100,12)=0),IF(AND(Units!$L100=1,BI$1=Units!$Q100),1,Inputs!$B$15)*Inputs!$B$16*(1+Inputs!$B$11)^(BI$2-1),0)</f>
        <v>0</v>
      </c>
      <c r="BJ101" s="11" t="n">
        <f aca="false">IF(AND(BJ$1&gt;=Units!$Q100,MOD(BJ$1-Units!$Q100,12)=0),IF(AND(Units!$L100=1,BJ$1=Units!$Q100),1,Inputs!$B$15)*Inputs!$B$16*(1+Inputs!$B$11)^(BJ$2-1),0)</f>
        <v>0</v>
      </c>
      <c r="BK101" s="11" t="n">
        <f aca="false">IF(AND(BK$1&gt;=Units!$Q100,MOD(BK$1-Units!$Q100,12)=0),IF(AND(Units!$L100=1,BK$1=Units!$Q100),1,Inputs!$B$15)*Inputs!$B$16*(1+Inputs!$B$11)^(BK$2-1),0)</f>
        <v>0</v>
      </c>
      <c r="BL101" s="11" t="n">
        <f aca="false">IF(AND(BL$1&gt;=Units!$Q100,MOD(BL$1-Units!$Q100,12)=0),IF(AND(Units!$L100=1,BL$1=Units!$Q100),1,Inputs!$B$15)*Inputs!$B$16*(1+Inputs!$B$11)^(BL$2-1),0)</f>
        <v>0</v>
      </c>
      <c r="BM101" s="11" t="n">
        <f aca="false">IF(AND(BM$1&gt;=Units!$Q100,MOD(BM$1-Units!$Q100,12)=0),IF(AND(Units!$L100=1,BM$1=Units!$Q100),1,Inputs!$B$15)*Inputs!$B$16*(1+Inputs!$B$11)^(BM$2-1),0)</f>
        <v>0</v>
      </c>
      <c r="BN101" s="11" t="n">
        <f aca="false">IF(AND(BN$1&gt;=Units!$Q100,MOD(BN$1-Units!$Q100,12)=0),IF(AND(Units!$L100=1,BN$1=Units!$Q100),1,Inputs!$B$15)*Inputs!$B$16*(1+Inputs!$B$11)^(BN$2-1),0)</f>
        <v>0</v>
      </c>
      <c r="BO101" s="11" t="n">
        <f aca="false">IF(AND(BO$1&gt;=Units!$Q100,MOD(BO$1-Units!$Q100,12)=0),IF(AND(Units!$L100=1,BO$1=Units!$Q100),1,Inputs!$B$15)*Inputs!$B$16*(1+Inputs!$B$11)^(BO$2-1),0)</f>
        <v>0</v>
      </c>
      <c r="BP101" s="11" t="n">
        <f aca="false">IF(AND(BP$1&gt;=Units!$Q100,MOD(BP$1-Units!$Q100,12)=0),IF(AND(Units!$L100=1,BP$1=Units!$Q100),1,Inputs!$B$15)*Inputs!$B$16*(1+Inputs!$B$11)^(BP$2-1),0)</f>
        <v>0</v>
      </c>
      <c r="BQ101" s="11" t="n">
        <f aca="false">IF(AND(BQ$1&gt;=Units!$Q100,MOD(BQ$1-Units!$Q100,12)=0),IF(AND(Units!$L100=1,BQ$1=Units!$Q100),1,Inputs!$B$15)*Inputs!$B$16*(1+Inputs!$B$11)^(BQ$2-1),0)</f>
        <v>0</v>
      </c>
      <c r="BR101" s="11" t="n">
        <f aca="false">IF(AND(BR$1&gt;=Units!$Q100,MOD(BR$1-Units!$Q100,12)=0),IF(AND(Units!$L100=1,BR$1=Units!$Q100),1,Inputs!$B$15)*Inputs!$B$16*(1+Inputs!$B$11)^(BR$2-1),0)</f>
        <v>579.63703715</v>
      </c>
      <c r="BS101" s="11" t="n">
        <f aca="false">IF(AND(BS$1&gt;=Units!$Q100,MOD(BS$1-Units!$Q100,12)=0),IF(AND(Units!$L100=1,BS$1=Units!$Q100),1,Inputs!$B$15)*Inputs!$B$16*(1+Inputs!$B$11)^(BS$2-1),0)</f>
        <v>0</v>
      </c>
      <c r="BT101" s="11" t="n">
        <f aca="false">IF(AND(BT$1&gt;=Units!$Q100,MOD(BT$1-Units!$Q100,12)=0),IF(AND(Units!$L100=1,BT$1=Units!$Q100),1,Inputs!$B$15)*Inputs!$B$16*(1+Inputs!$B$11)^(BT$2-1),0)</f>
        <v>0</v>
      </c>
      <c r="BU101" s="11" t="n">
        <f aca="false">IF(AND(BU$1&gt;=Units!$Q100,MOD(BU$1-Units!$Q100,12)=0),IF(AND(Units!$L100=1,BU$1=Units!$Q100),1,Inputs!$B$15)*Inputs!$B$16*(1+Inputs!$B$11)^(BU$2-1),0)</f>
        <v>0</v>
      </c>
      <c r="BV101" s="11" t="n">
        <f aca="false">IF(AND(BV$1&gt;=Units!$Q100,MOD(BV$1-Units!$Q100,12)=0),IF(AND(Units!$L100=1,BV$1=Units!$Q100),1,Inputs!$B$15)*Inputs!$B$16*(1+Inputs!$B$11)^(BV$2-1),0)</f>
        <v>0</v>
      </c>
      <c r="BW101" s="11" t="n">
        <f aca="false">IF(AND(BW$1&gt;=Units!$Q100,MOD(BW$1-Units!$Q100,12)=0),IF(AND(Units!$L100=1,BW$1=Units!$Q100),1,Inputs!$B$15)*Inputs!$B$16*(1+Inputs!$B$11)^(BW$2-1),0)</f>
        <v>0</v>
      </c>
      <c r="BX101" s="11" t="n">
        <f aca="false">IF(AND(BX$1&gt;=Units!$Q100,MOD(BX$1-Units!$Q100,12)=0),IF(AND(Units!$L100=1,BX$1=Units!$Q100),1,Inputs!$B$15)*Inputs!$B$16*(1+Inputs!$B$11)^(BX$2-1),0)</f>
        <v>0</v>
      </c>
      <c r="BY101" s="11" t="n">
        <f aca="false">IF(AND(BY$1&gt;=Units!$Q100,MOD(BY$1-Units!$Q100,12)=0),IF(AND(Units!$L100=1,BY$1=Units!$Q100),1,Inputs!$B$15)*Inputs!$B$16*(1+Inputs!$B$11)^(BY$2-1),0)</f>
        <v>0</v>
      </c>
      <c r="BZ101" s="11" t="n">
        <f aca="false">IF(AND(BZ$1&gt;=Units!$Q100,MOD(BZ$1-Units!$Q100,12)=0),IF(AND(Units!$L100=1,BZ$1=Units!$Q100),1,Inputs!$B$15)*Inputs!$B$16*(1+Inputs!$B$11)^(BZ$2-1),0)</f>
        <v>0</v>
      </c>
      <c r="CA101" s="11" t="n">
        <f aca="false">IF(AND(CA$1&gt;=Units!$Q100,MOD(CA$1-Units!$Q100,12)=0),IF(AND(Units!$L100=1,CA$1=Units!$Q100),1,Inputs!$B$15)*Inputs!$B$16*(1+Inputs!$B$11)^(CA$2-1),0)</f>
        <v>0</v>
      </c>
      <c r="CB101" s="11" t="n">
        <f aca="false">IF(AND(CB$1&gt;=Units!$Q100,MOD(CB$1-Units!$Q100,12)=0),IF(AND(Units!$L100=1,CB$1=Units!$Q100),1,Inputs!$B$15)*Inputs!$B$16*(1+Inputs!$B$11)^(CB$2-1),0)</f>
        <v>0</v>
      </c>
      <c r="CC101" s="11" t="n">
        <f aca="false">IF(AND(CC$1&gt;=Units!$Q100,MOD(CC$1-Units!$Q100,12)=0),IF(AND(Units!$L100=1,CC$1=Units!$Q100),1,Inputs!$B$15)*Inputs!$B$16*(1+Inputs!$B$11)^(CC$2-1),0)</f>
        <v>0</v>
      </c>
      <c r="CD101" s="11" t="n">
        <f aca="false">IF(AND(CD$1&gt;=Units!$Q100,MOD(CD$1-Units!$Q100,12)=0),IF(AND(Units!$L100=1,CD$1=Units!$Q100),1,Inputs!$B$15)*Inputs!$B$16*(1+Inputs!$B$11)^(CD$2-1),0)</f>
        <v>597.0261482645</v>
      </c>
      <c r="CE101" s="11" t="n">
        <f aca="false">IF(AND(CE$1&gt;=Units!$Q100,MOD(CE$1-Units!$Q100,12)=0),IF(AND(Units!$L100=1,CE$1=Units!$Q100),1,Inputs!$B$15)*Inputs!$B$16*(1+Inputs!$B$11)^(CE$2-1),0)</f>
        <v>0</v>
      </c>
      <c r="CF101" s="11" t="n">
        <f aca="false">IF(AND(CF$1&gt;=Units!$Q100,MOD(CF$1-Units!$Q100,12)=0),IF(AND(Units!$L100=1,CF$1=Units!$Q100),1,Inputs!$B$15)*Inputs!$B$16*(1+Inputs!$B$11)^(CF$2-1),0)</f>
        <v>0</v>
      </c>
      <c r="CG101" s="11" t="n">
        <f aca="false">IF(AND(CG$1&gt;=Units!$Q100,MOD(CG$1-Units!$Q100,12)=0),IF(AND(Units!$L100=1,CG$1=Units!$Q100),1,Inputs!$B$15)*Inputs!$B$16*(1+Inputs!$B$11)^(CG$2-1),0)</f>
        <v>0</v>
      </c>
      <c r="CH101" s="11" t="n">
        <f aca="false">IF(AND(CH$1&gt;=Units!$Q100,MOD(CH$1-Units!$Q100,12)=0),IF(AND(Units!$L100=1,CH$1=Units!$Q100),1,Inputs!$B$15)*Inputs!$B$16*(1+Inputs!$B$11)^(CH$2-1),0)</f>
        <v>0</v>
      </c>
      <c r="CI101" s="11" t="n">
        <f aca="false">IF(AND(CI$1&gt;=Units!$Q100,MOD(CI$1-Units!$Q100,12)=0),IF(AND(Units!$L100=1,CI$1=Units!$Q100),1,Inputs!$B$15)*Inputs!$B$16*(1+Inputs!$B$11)^(CI$2-1),0)</f>
        <v>0</v>
      </c>
      <c r="CJ101" s="11" t="n">
        <f aca="false">IF(AND(CJ$1&gt;=Units!$Q100,MOD(CJ$1-Units!$Q100,12)=0),IF(AND(Units!$L100=1,CJ$1=Units!$Q100),1,Inputs!$B$15)*Inputs!$B$16*(1+Inputs!$B$11)^(CJ$2-1),0)</f>
        <v>0</v>
      </c>
      <c r="CK101" s="11" t="n">
        <f aca="false">IF(AND(CK$1&gt;=Units!$Q100,MOD(CK$1-Units!$Q100,12)=0),IF(AND(Units!$L100=1,CK$1=Units!$Q100),1,Inputs!$B$15)*Inputs!$B$16*(1+Inputs!$B$11)^(CK$2-1),0)</f>
        <v>0</v>
      </c>
      <c r="CL101" s="11" t="n">
        <f aca="false">IF(AND(CL$1&gt;=Units!$Q100,MOD(CL$1-Units!$Q100,12)=0),IF(AND(Units!$L100=1,CL$1=Units!$Q100),1,Inputs!$B$15)*Inputs!$B$16*(1+Inputs!$B$11)^(CL$2-1),0)</f>
        <v>0</v>
      </c>
      <c r="CM101" s="11" t="n">
        <f aca="false">IF(AND(CM$1&gt;=Units!$Q100,MOD(CM$1-Units!$Q100,12)=0),IF(AND(Units!$L100=1,CM$1=Units!$Q100),1,Inputs!$B$15)*Inputs!$B$16*(1+Inputs!$B$11)^(CM$2-1),0)</f>
        <v>0</v>
      </c>
      <c r="CN101" s="11" t="n">
        <f aca="false">IF(AND(CN$1&gt;=Units!$Q100,MOD(CN$1-Units!$Q100,12)=0),IF(AND(Units!$L100=1,CN$1=Units!$Q100),1,Inputs!$B$15)*Inputs!$B$16*(1+Inputs!$B$11)^(CN$2-1),0)</f>
        <v>0</v>
      </c>
      <c r="CO101" s="11" t="n">
        <f aca="false">IF(AND(CO$1&gt;=Units!$Q100,MOD(CO$1-Units!$Q100,12)=0),IF(AND(Units!$L100=1,CO$1=Units!$Q100),1,Inputs!$B$15)*Inputs!$B$16*(1+Inputs!$B$11)^(CO$2-1),0)</f>
        <v>0</v>
      </c>
      <c r="CP101" s="11" t="n">
        <f aca="false">IF(AND(CP$1&gt;=Units!$Q100,MOD(CP$1-Units!$Q100,12)=0),IF(AND(Units!$L100=1,CP$1=Units!$Q100),1,Inputs!$B$15)*Inputs!$B$16*(1+Inputs!$B$11)^(CP$2-1),0)</f>
        <v>614.936932712435</v>
      </c>
      <c r="CQ101" s="11" t="n">
        <f aca="false">IF(AND(CQ$1&gt;=Units!$Q100,MOD(CQ$1-Units!$Q100,12)=0),IF(AND(Units!$L100=1,CQ$1=Units!$Q100),1,Inputs!$B$15)*Inputs!$B$16*(1+Inputs!$B$11)^(CQ$2-1),0)</f>
        <v>0</v>
      </c>
      <c r="CR101" s="11" t="n">
        <f aca="false">IF(AND(CR$1&gt;=Units!$Q100,MOD(CR$1-Units!$Q100,12)=0),IF(AND(Units!$L100=1,CR$1=Units!$Q100),1,Inputs!$B$15)*Inputs!$B$16*(1+Inputs!$B$11)^(CR$2-1),0)</f>
        <v>0</v>
      </c>
      <c r="CS101" s="11" t="n">
        <f aca="false">IF(AND(CS$1&gt;=Units!$Q100,MOD(CS$1-Units!$Q100,12)=0),IF(AND(Units!$L100=1,CS$1=Units!$Q100),1,Inputs!$B$15)*Inputs!$B$16*(1+Inputs!$B$11)^(CS$2-1),0)</f>
        <v>0</v>
      </c>
      <c r="CT101" s="11" t="n">
        <f aca="false">IF(AND(CT$1&gt;=Units!$Q100,MOD(CT$1-Units!$Q100,12)=0),IF(AND(Units!$L100=1,CT$1=Units!$Q100),1,Inputs!$B$15)*Inputs!$B$16*(1+Inputs!$B$11)^(CT$2-1),0)</f>
        <v>0</v>
      </c>
      <c r="CU101" s="11" t="n">
        <f aca="false">IF(AND(CU$1&gt;=Units!$Q100,MOD(CU$1-Units!$Q100,12)=0),IF(AND(Units!$L100=1,CU$1=Units!$Q100),1,Inputs!$B$15)*Inputs!$B$16*(1+Inputs!$B$11)^(CU$2-1),0)</f>
        <v>0</v>
      </c>
      <c r="CV101" s="11" t="n">
        <f aca="false">IF(AND(CV$1&gt;=Units!$Q100,MOD(CV$1-Units!$Q100,12)=0),IF(AND(Units!$L100=1,CV$1=Units!$Q100),1,Inputs!$B$15)*Inputs!$B$16*(1+Inputs!$B$11)^(CV$2-1),0)</f>
        <v>0</v>
      </c>
      <c r="CW101" s="11" t="n">
        <f aca="false">IF(AND(CW$1&gt;=Units!$Q100,MOD(CW$1-Units!$Q100,12)=0),IF(AND(Units!$L100=1,CW$1=Units!$Q100),1,Inputs!$B$15)*Inputs!$B$16*(1+Inputs!$B$11)^(CW$2-1),0)</f>
        <v>0</v>
      </c>
      <c r="CX101" s="11" t="n">
        <f aca="false">IF(AND(CX$1&gt;=Units!$Q100,MOD(CX$1-Units!$Q100,12)=0),IF(AND(Units!$L100=1,CX$1=Units!$Q100),1,Inputs!$B$15)*Inputs!$B$16*(1+Inputs!$B$11)^(CX$2-1),0)</f>
        <v>0</v>
      </c>
      <c r="CY101" s="11" t="n">
        <f aca="false">IF(AND(CY$1&gt;=Units!$Q100,MOD(CY$1-Units!$Q100,12)=0),IF(AND(Units!$L100=1,CY$1=Units!$Q100),1,Inputs!$B$15)*Inputs!$B$16*(1+Inputs!$B$11)^(CY$2-1),0)</f>
        <v>0</v>
      </c>
      <c r="CZ101" s="11" t="n">
        <f aca="false">IF(AND(CZ$1&gt;=Units!$Q100,MOD(CZ$1-Units!$Q100,12)=0),IF(AND(Units!$L100=1,CZ$1=Units!$Q100),1,Inputs!$B$15)*Inputs!$B$16*(1+Inputs!$B$11)^(CZ$2-1),0)</f>
        <v>0</v>
      </c>
      <c r="DA101" s="11" t="n">
        <f aca="false">IF(AND(DA$1&gt;=Units!$Q100,MOD(DA$1-Units!$Q100,12)=0),IF(AND(Units!$L100=1,DA$1=Units!$Q100),1,Inputs!$B$15)*Inputs!$B$16*(1+Inputs!$B$11)^(DA$2-1),0)</f>
        <v>0</v>
      </c>
      <c r="DB101" s="11" t="n">
        <f aca="false">IF(AND(DB$1&gt;=Units!$Q100,MOD(DB$1-Units!$Q100,12)=0),IF(AND(Units!$L100=1,DB$1=Units!$Q100),1,Inputs!$B$15)*Inputs!$B$16*(1+Inputs!$B$11)^(DB$2-1),0)</f>
        <v>633.385040693808</v>
      </c>
      <c r="DC101" s="11" t="n">
        <f aca="false">IF(AND(DC$1&gt;=Units!$Q100,MOD(DC$1-Units!$Q100,12)=0),IF(AND(Units!$L100=1,DC$1=Units!$Q100),1,Inputs!$B$15)*Inputs!$B$16*(1+Inputs!$B$11)^(DC$2-1),0)</f>
        <v>0</v>
      </c>
      <c r="DD101" s="11" t="n">
        <f aca="false">IF(AND(DD$1&gt;=Units!$Q100,MOD(DD$1-Units!$Q100,12)=0),IF(AND(Units!$L100=1,DD$1=Units!$Q100),1,Inputs!$B$15)*Inputs!$B$16*(1+Inputs!$B$11)^(DD$2-1),0)</f>
        <v>0</v>
      </c>
      <c r="DE101" s="11" t="n">
        <f aca="false">IF(AND(DE$1&gt;=Units!$Q100,MOD(DE$1-Units!$Q100,12)=0),IF(AND(Units!$L100=1,DE$1=Units!$Q100),1,Inputs!$B$15)*Inputs!$B$16*(1+Inputs!$B$11)^(DE$2-1),0)</f>
        <v>0</v>
      </c>
      <c r="DF101" s="11" t="n">
        <f aca="false">IF(AND(DF$1&gt;=Units!$Q100,MOD(DF$1-Units!$Q100,12)=0),IF(AND(Units!$L100=1,DF$1=Units!$Q100),1,Inputs!$B$15)*Inputs!$B$16*(1+Inputs!$B$11)^(DF$2-1),0)</f>
        <v>0</v>
      </c>
      <c r="DG101" s="11" t="n">
        <f aca="false">IF(AND(DG$1&gt;=Units!$Q100,MOD(DG$1-Units!$Q100,12)=0),IF(AND(Units!$L100=1,DG$1=Units!$Q100),1,Inputs!$B$15)*Inputs!$B$16*(1+Inputs!$B$11)^(DG$2-1),0)</f>
        <v>0</v>
      </c>
      <c r="DH101" s="11" t="n">
        <f aca="false">IF(AND(DH$1&gt;=Units!$Q100,MOD(DH$1-Units!$Q100,12)=0),IF(AND(Units!$L100=1,DH$1=Units!$Q100),1,Inputs!$B$15)*Inputs!$B$16*(1+Inputs!$B$11)^(DH$2-1),0)</f>
        <v>0</v>
      </c>
      <c r="DI101" s="11" t="n">
        <f aca="false">IF(AND(DI$1&gt;=Units!$Q100,MOD(DI$1-Units!$Q100,12)=0),IF(AND(Units!$L100=1,DI$1=Units!$Q100),1,Inputs!$B$15)*Inputs!$B$16*(1+Inputs!$B$11)^(DI$2-1),0)</f>
        <v>0</v>
      </c>
      <c r="DJ101" s="11" t="n">
        <f aca="false">IF(AND(DJ$1&gt;=Units!$Q100,MOD(DJ$1-Units!$Q100,12)=0),IF(AND(Units!$L100=1,DJ$1=Units!$Q100),1,Inputs!$B$15)*Inputs!$B$16*(1+Inputs!$B$11)^(DJ$2-1),0)</f>
        <v>0</v>
      </c>
      <c r="DK101" s="11" t="n">
        <f aca="false">IF(AND(DK$1&gt;=Units!$Q100,MOD(DK$1-Units!$Q100,12)=0),IF(AND(Units!$L100=1,DK$1=Units!$Q100),1,Inputs!$B$15)*Inputs!$B$16*(1+Inputs!$B$11)^(DK$2-1),0)</f>
        <v>0</v>
      </c>
      <c r="DL101" s="11" t="n">
        <f aca="false">IF(AND(DL$1&gt;=Units!$Q100,MOD(DL$1-Units!$Q100,12)=0),IF(AND(Units!$L100=1,DL$1=Units!$Q100),1,Inputs!$B$15)*Inputs!$B$16*(1+Inputs!$B$11)^(DL$2-1),0)</f>
        <v>0</v>
      </c>
      <c r="DM101" s="11" t="n">
        <f aca="false">IF(AND(DM$1&gt;=Units!$Q100,MOD(DM$1-Units!$Q100,12)=0),IF(AND(Units!$L100=1,DM$1=Units!$Q100),1,Inputs!$B$15)*Inputs!$B$16*(1+Inputs!$B$11)^(DM$2-1),0)</f>
        <v>0</v>
      </c>
      <c r="DN101" s="11" t="n">
        <f aca="false">IF(AND(DN$1&gt;=Units!$Q100,MOD(DN$1-Units!$Q100,12)=0),IF(AND(Units!$L100=1,DN$1=Units!$Q100),1,Inputs!$B$15)*Inputs!$B$16*(1+Inputs!$B$11)^(DN$2-1),0)</f>
        <v>652.386591914623</v>
      </c>
      <c r="DO101" s="11" t="n">
        <f aca="false">IF(AND(DO$1&gt;=Units!$Q100,MOD(DO$1-Units!$Q100,12)=0),IF(AND(Units!$L100=1,DO$1=Units!$Q100),1,Inputs!$B$15)*Inputs!$B$16*(1+Inputs!$B$11)^(DO$2-1),0)</f>
        <v>0</v>
      </c>
      <c r="DP101" s="11" t="n">
        <f aca="false">IF(AND(DP$1&gt;=Units!$Q100,MOD(DP$1-Units!$Q100,12)=0),IF(AND(Units!$L100=1,DP$1=Units!$Q100),1,Inputs!$B$15)*Inputs!$B$16*(1+Inputs!$B$11)^(DP$2-1),0)</f>
        <v>0</v>
      </c>
      <c r="DQ101" s="11" t="n">
        <f aca="false">IF(AND(DQ$1&gt;=Units!$Q100,MOD(DQ$1-Units!$Q100,12)=0),IF(AND(Units!$L100=1,DQ$1=Units!$Q100),1,Inputs!$B$15)*Inputs!$B$16*(1+Inputs!$B$11)^(DQ$2-1),0)</f>
        <v>0</v>
      </c>
      <c r="DR101" s="11" t="n">
        <f aca="false">IF(AND(DR$1&gt;=Units!$Q100,MOD(DR$1-Units!$Q100,12)=0),IF(AND(Units!$L100=1,DR$1=Units!$Q100),1,Inputs!$B$15)*Inputs!$B$16*(1+Inputs!$B$11)^(DR$2-1),0)</f>
        <v>0</v>
      </c>
      <c r="DS101" s="11" t="n">
        <f aca="false">IF(AND(DS$1&gt;=Units!$Q100,MOD(DS$1-Units!$Q100,12)=0),IF(AND(Units!$L100=1,DS$1=Units!$Q100),1,Inputs!$B$15)*Inputs!$B$16*(1+Inputs!$B$11)^(DS$2-1),0)</f>
        <v>0</v>
      </c>
      <c r="DT101" s="11" t="n">
        <f aca="false">IF(AND(DT$1&gt;=Units!$Q100,MOD(DT$1-Units!$Q100,12)=0),IF(AND(Units!$L100=1,DT$1=Units!$Q100),1,Inputs!$B$15)*Inputs!$B$16*(1+Inputs!$B$11)^(DT$2-1),0)</f>
        <v>0</v>
      </c>
      <c r="DU101" s="11" t="n">
        <f aca="false">IF(AND(DU$1&gt;=Units!$Q100,MOD(DU$1-Units!$Q100,12)=0),IF(AND(Units!$L100=1,DU$1=Units!$Q100),1,Inputs!$B$15)*Inputs!$B$16*(1+Inputs!$B$11)^(DU$2-1),0)</f>
        <v>0</v>
      </c>
      <c r="DV101" s="11" t="n">
        <f aca="false">IF(AND(DV$1&gt;=Units!$Q100,MOD(DV$1-Units!$Q100,12)=0),IF(AND(Units!$L100=1,DV$1=Units!$Q100),1,Inputs!$B$15)*Inputs!$B$16*(1+Inputs!$B$11)^(DV$2-1),0)</f>
        <v>0</v>
      </c>
      <c r="DW101" s="11" t="n">
        <f aca="false">IF(AND(DW$1&gt;=Units!$Q100,MOD(DW$1-Units!$Q100,12)=0),IF(AND(Units!$L100=1,DW$1=Units!$Q100),1,Inputs!$B$15)*Inputs!$B$16*(1+Inputs!$B$11)^(DW$2-1),0)</f>
        <v>0</v>
      </c>
      <c r="DX101" s="11" t="n">
        <f aca="false">IF(AND(DX$1&gt;=Units!$Q100,MOD(DX$1-Units!$Q100,12)=0),IF(AND(Units!$L100=1,DX$1=Units!$Q100),1,Inputs!$B$15)*Inputs!$B$16*(1+Inputs!$B$11)^(DX$2-1),0)</f>
        <v>0</v>
      </c>
      <c r="DY101" s="11" t="n">
        <f aca="false">IF(AND(DY$1&gt;=Units!$Q100,MOD(DY$1-Units!$Q100,12)=0),IF(AND(Units!$L100=1,DY$1=Units!$Q100),1,Inputs!$B$15)*Inputs!$B$16*(1+Inputs!$B$11)^(DY$2-1),0)</f>
        <v>0</v>
      </c>
      <c r="DZ101" s="11" t="n">
        <f aca="false">IF(AND(DZ$1&gt;=Units!$Q100,MOD(DZ$1-Units!$Q100,12)=0),IF(AND(Units!$L100=1,DZ$1=Units!$Q100),1,Inputs!$B$15)*Inputs!$B$16*(1+Inputs!$B$11)^(DZ$2-1),0)</f>
        <v>671.958189672061</v>
      </c>
      <c r="EA101" s="11" t="n">
        <f aca="false">IF(AND(EA$1&gt;=Units!$Q100,MOD(EA$1-Units!$Q100,12)=0),IF(AND(Units!$L100=1,EA$1=Units!$Q100),1,Inputs!$B$15)*Inputs!$B$16*(1+Inputs!$B$11)^(EA$2-1),0)</f>
        <v>0</v>
      </c>
      <c r="EB101" s="11" t="n">
        <f aca="false">IF(AND(EB$1&gt;=Units!$Q100,MOD(EB$1-Units!$Q100,12)=0),IF(AND(Units!$L100=1,EB$1=Units!$Q100),1,Inputs!$B$15)*Inputs!$B$16*(1+Inputs!$B$11)^(EB$2-1),0)</f>
        <v>0</v>
      </c>
      <c r="EC101" s="11" t="n">
        <f aca="false">IF(AND(EC$1&gt;=Units!$Q100,MOD(EC$1-Units!$Q100,12)=0),IF(AND(Units!$L100=1,EC$1=Units!$Q100),1,Inputs!$B$15)*Inputs!$B$16*(1+Inputs!$B$11)^(EC$2-1),0)</f>
        <v>0</v>
      </c>
      <c r="ED101" s="11" t="n">
        <f aca="false">IF(AND(ED$1&gt;=Units!$Q100,MOD(ED$1-Units!$Q100,12)=0),IF(AND(Units!$L100=1,ED$1=Units!$Q100),1,Inputs!$B$15)*Inputs!$B$16*(1+Inputs!$B$11)^(ED$2-1),0)</f>
        <v>0</v>
      </c>
    </row>
    <row r="102" customFormat="false" ht="15" hidden="false" customHeight="false" outlineLevel="0" collapsed="false">
      <c r="A102" s="22" t="n">
        <f aca="false">Units!A101</f>
        <v>410</v>
      </c>
      <c r="B102" s="23"/>
      <c r="C102" s="11" t="n">
        <f aca="false">IF(AND(C$1&gt;=Units!$Q101,MOD(C$1-Units!$Q101,12)=0),IF(AND(Units!$L101=1,C$1=Units!$Q101),1,Inputs!$B$15)*Inputs!$B$16*(1+Inputs!$B$11)^(C$2-1),0)</f>
        <v>500</v>
      </c>
      <c r="D102" s="11" t="n">
        <f aca="false">IF(AND(D$1&gt;=Units!$Q101,MOD(D$1-Units!$Q101,12)=0),IF(AND(Units!$L101=1,D$1=Units!$Q101),1,Inputs!$B$15)*Inputs!$B$16*(1+Inputs!$B$11)^(D$2-1),0)</f>
        <v>0</v>
      </c>
      <c r="E102" s="11" t="n">
        <f aca="false">IF(AND(E$1&gt;=Units!$Q101,MOD(E$1-Units!$Q101,12)=0),IF(AND(Units!$L101=1,E$1=Units!$Q101),1,Inputs!$B$15)*Inputs!$B$16*(1+Inputs!$B$11)^(E$2-1),0)</f>
        <v>0</v>
      </c>
      <c r="F102" s="11" t="n">
        <f aca="false">IF(AND(F$1&gt;=Units!$Q101,MOD(F$1-Units!$Q101,12)=0),IF(AND(Units!$L101=1,F$1=Units!$Q101),1,Inputs!$B$15)*Inputs!$B$16*(1+Inputs!$B$11)^(F$2-1),0)</f>
        <v>0</v>
      </c>
      <c r="G102" s="11" t="n">
        <f aca="false">IF(AND(G$1&gt;=Units!$Q101,MOD(G$1-Units!$Q101,12)=0),IF(AND(Units!$L101=1,G$1=Units!$Q101),1,Inputs!$B$15)*Inputs!$B$16*(1+Inputs!$B$11)^(G$2-1),0)</f>
        <v>0</v>
      </c>
      <c r="H102" s="11" t="n">
        <f aca="false">IF(AND(H$1&gt;=Units!$Q101,MOD(H$1-Units!$Q101,12)=0),IF(AND(Units!$L101=1,H$1=Units!$Q101),1,Inputs!$B$15)*Inputs!$B$16*(1+Inputs!$B$11)^(H$2-1),0)</f>
        <v>0</v>
      </c>
      <c r="I102" s="11" t="n">
        <f aca="false">IF(AND(I$1&gt;=Units!$Q101,MOD(I$1-Units!$Q101,12)=0),IF(AND(Units!$L101=1,I$1=Units!$Q101),1,Inputs!$B$15)*Inputs!$B$16*(1+Inputs!$B$11)^(I$2-1),0)</f>
        <v>0</v>
      </c>
      <c r="J102" s="11" t="n">
        <f aca="false">IF(AND(J$1&gt;=Units!$Q101,MOD(J$1-Units!$Q101,12)=0),IF(AND(Units!$L101=1,J$1=Units!$Q101),1,Inputs!$B$15)*Inputs!$B$16*(1+Inputs!$B$11)^(J$2-1),0)</f>
        <v>0</v>
      </c>
      <c r="K102" s="11" t="n">
        <f aca="false">IF(AND(K$1&gt;=Units!$Q101,MOD(K$1-Units!$Q101,12)=0),IF(AND(Units!$L101=1,K$1=Units!$Q101),1,Inputs!$B$15)*Inputs!$B$16*(1+Inputs!$B$11)^(K$2-1),0)</f>
        <v>0</v>
      </c>
      <c r="L102" s="11" t="n">
        <f aca="false">IF(AND(L$1&gt;=Units!$Q101,MOD(L$1-Units!$Q101,12)=0),IF(AND(Units!$L101=1,L$1=Units!$Q101),1,Inputs!$B$15)*Inputs!$B$16*(1+Inputs!$B$11)^(L$2-1),0)</f>
        <v>0</v>
      </c>
      <c r="M102" s="11" t="n">
        <f aca="false">IF(AND(M$1&gt;=Units!$Q101,MOD(M$1-Units!$Q101,12)=0),IF(AND(Units!$L101=1,M$1=Units!$Q101),1,Inputs!$B$15)*Inputs!$B$16*(1+Inputs!$B$11)^(M$2-1),0)</f>
        <v>0</v>
      </c>
      <c r="N102" s="11" t="n">
        <f aca="false">IF(AND(N$1&gt;=Units!$Q101,MOD(N$1-Units!$Q101,12)=0),IF(AND(Units!$L101=1,N$1=Units!$Q101),1,Inputs!$B$15)*Inputs!$B$16*(1+Inputs!$B$11)^(N$2-1),0)</f>
        <v>0</v>
      </c>
      <c r="O102" s="11" t="n">
        <f aca="false">IF(AND(O$1&gt;=Units!$Q101,MOD(O$1-Units!$Q101,12)=0),IF(AND(Units!$L101=1,O$1=Units!$Q101),1,Inputs!$B$15)*Inputs!$B$16*(1+Inputs!$B$11)^(O$2-1),0)</f>
        <v>515</v>
      </c>
      <c r="P102" s="11" t="n">
        <f aca="false">IF(AND(P$1&gt;=Units!$Q101,MOD(P$1-Units!$Q101,12)=0),IF(AND(Units!$L101=1,P$1=Units!$Q101),1,Inputs!$B$15)*Inputs!$B$16*(1+Inputs!$B$11)^(P$2-1),0)</f>
        <v>0</v>
      </c>
      <c r="Q102" s="11" t="n">
        <f aca="false">IF(AND(Q$1&gt;=Units!$Q101,MOD(Q$1-Units!$Q101,12)=0),IF(AND(Units!$L101=1,Q$1=Units!$Q101),1,Inputs!$B$15)*Inputs!$B$16*(1+Inputs!$B$11)^(Q$2-1),0)</f>
        <v>0</v>
      </c>
      <c r="R102" s="11" t="n">
        <f aca="false">IF(AND(R$1&gt;=Units!$Q101,MOD(R$1-Units!$Q101,12)=0),IF(AND(Units!$L101=1,R$1=Units!$Q101),1,Inputs!$B$15)*Inputs!$B$16*(1+Inputs!$B$11)^(R$2-1),0)</f>
        <v>0</v>
      </c>
      <c r="S102" s="11" t="n">
        <f aca="false">IF(AND(S$1&gt;=Units!$Q101,MOD(S$1-Units!$Q101,12)=0),IF(AND(Units!$L101=1,S$1=Units!$Q101),1,Inputs!$B$15)*Inputs!$B$16*(1+Inputs!$B$11)^(S$2-1),0)</f>
        <v>0</v>
      </c>
      <c r="T102" s="11" t="n">
        <f aca="false">IF(AND(T$1&gt;=Units!$Q101,MOD(T$1-Units!$Q101,12)=0),IF(AND(Units!$L101=1,T$1=Units!$Q101),1,Inputs!$B$15)*Inputs!$B$16*(1+Inputs!$B$11)^(T$2-1),0)</f>
        <v>0</v>
      </c>
      <c r="U102" s="11" t="n">
        <f aca="false">IF(AND(U$1&gt;=Units!$Q101,MOD(U$1-Units!$Q101,12)=0),IF(AND(Units!$L101=1,U$1=Units!$Q101),1,Inputs!$B$15)*Inputs!$B$16*(1+Inputs!$B$11)^(U$2-1),0)</f>
        <v>0</v>
      </c>
      <c r="V102" s="11" t="n">
        <f aca="false">IF(AND(V$1&gt;=Units!$Q101,MOD(V$1-Units!$Q101,12)=0),IF(AND(Units!$L101=1,V$1=Units!$Q101),1,Inputs!$B$15)*Inputs!$B$16*(1+Inputs!$B$11)^(V$2-1),0)</f>
        <v>0</v>
      </c>
      <c r="W102" s="11" t="n">
        <f aca="false">IF(AND(W$1&gt;=Units!$Q101,MOD(W$1-Units!$Q101,12)=0),IF(AND(Units!$L101=1,W$1=Units!$Q101),1,Inputs!$B$15)*Inputs!$B$16*(1+Inputs!$B$11)^(W$2-1),0)</f>
        <v>0</v>
      </c>
      <c r="X102" s="11" t="n">
        <f aca="false">IF(AND(X$1&gt;=Units!$Q101,MOD(X$1-Units!$Q101,12)=0),IF(AND(Units!$L101=1,X$1=Units!$Q101),1,Inputs!$B$15)*Inputs!$B$16*(1+Inputs!$B$11)^(X$2-1),0)</f>
        <v>0</v>
      </c>
      <c r="Y102" s="11" t="n">
        <f aca="false">IF(AND(Y$1&gt;=Units!$Q101,MOD(Y$1-Units!$Q101,12)=0),IF(AND(Units!$L101=1,Y$1=Units!$Q101),1,Inputs!$B$15)*Inputs!$B$16*(1+Inputs!$B$11)^(Y$2-1),0)</f>
        <v>0</v>
      </c>
      <c r="Z102" s="11" t="n">
        <f aca="false">IF(AND(Z$1&gt;=Units!$Q101,MOD(Z$1-Units!$Q101,12)=0),IF(AND(Units!$L101=1,Z$1=Units!$Q101),1,Inputs!$B$15)*Inputs!$B$16*(1+Inputs!$B$11)^(Z$2-1),0)</f>
        <v>0</v>
      </c>
      <c r="AA102" s="11" t="n">
        <f aca="false">IF(AND(AA$1&gt;=Units!$Q101,MOD(AA$1-Units!$Q101,12)=0),IF(AND(Units!$L101=1,AA$1=Units!$Q101),1,Inputs!$B$15)*Inputs!$B$16*(1+Inputs!$B$11)^(AA$2-1),0)</f>
        <v>530.45</v>
      </c>
      <c r="AB102" s="11" t="n">
        <f aca="false">IF(AND(AB$1&gt;=Units!$Q101,MOD(AB$1-Units!$Q101,12)=0),IF(AND(Units!$L101=1,AB$1=Units!$Q101),1,Inputs!$B$15)*Inputs!$B$16*(1+Inputs!$B$11)^(AB$2-1),0)</f>
        <v>0</v>
      </c>
      <c r="AC102" s="11" t="n">
        <f aca="false">IF(AND(AC$1&gt;=Units!$Q101,MOD(AC$1-Units!$Q101,12)=0),IF(AND(Units!$L101=1,AC$1=Units!$Q101),1,Inputs!$B$15)*Inputs!$B$16*(1+Inputs!$B$11)^(AC$2-1),0)</f>
        <v>0</v>
      </c>
      <c r="AD102" s="11" t="n">
        <f aca="false">IF(AND(AD$1&gt;=Units!$Q101,MOD(AD$1-Units!$Q101,12)=0),IF(AND(Units!$L101=1,AD$1=Units!$Q101),1,Inputs!$B$15)*Inputs!$B$16*(1+Inputs!$B$11)^(AD$2-1),0)</f>
        <v>0</v>
      </c>
      <c r="AE102" s="11" t="n">
        <f aca="false">IF(AND(AE$1&gt;=Units!$Q101,MOD(AE$1-Units!$Q101,12)=0),IF(AND(Units!$L101=1,AE$1=Units!$Q101),1,Inputs!$B$15)*Inputs!$B$16*(1+Inputs!$B$11)^(AE$2-1),0)</f>
        <v>0</v>
      </c>
      <c r="AF102" s="11" t="n">
        <f aca="false">IF(AND(AF$1&gt;=Units!$Q101,MOD(AF$1-Units!$Q101,12)=0),IF(AND(Units!$L101=1,AF$1=Units!$Q101),1,Inputs!$B$15)*Inputs!$B$16*(1+Inputs!$B$11)^(AF$2-1),0)</f>
        <v>0</v>
      </c>
      <c r="AG102" s="11" t="n">
        <f aca="false">IF(AND(AG$1&gt;=Units!$Q101,MOD(AG$1-Units!$Q101,12)=0),IF(AND(Units!$L101=1,AG$1=Units!$Q101),1,Inputs!$B$15)*Inputs!$B$16*(1+Inputs!$B$11)^(AG$2-1),0)</f>
        <v>0</v>
      </c>
      <c r="AH102" s="11" t="n">
        <f aca="false">IF(AND(AH$1&gt;=Units!$Q101,MOD(AH$1-Units!$Q101,12)=0),IF(AND(Units!$L101=1,AH$1=Units!$Q101),1,Inputs!$B$15)*Inputs!$B$16*(1+Inputs!$B$11)^(AH$2-1),0)</f>
        <v>0</v>
      </c>
      <c r="AI102" s="11" t="n">
        <f aca="false">IF(AND(AI$1&gt;=Units!$Q101,MOD(AI$1-Units!$Q101,12)=0),IF(AND(Units!$L101=1,AI$1=Units!$Q101),1,Inputs!$B$15)*Inputs!$B$16*(1+Inputs!$B$11)^(AI$2-1),0)</f>
        <v>0</v>
      </c>
      <c r="AJ102" s="11" t="n">
        <f aca="false">IF(AND(AJ$1&gt;=Units!$Q101,MOD(AJ$1-Units!$Q101,12)=0),IF(AND(Units!$L101=1,AJ$1=Units!$Q101),1,Inputs!$B$15)*Inputs!$B$16*(1+Inputs!$B$11)^(AJ$2-1),0)</f>
        <v>0</v>
      </c>
      <c r="AK102" s="11" t="n">
        <f aca="false">IF(AND(AK$1&gt;=Units!$Q101,MOD(AK$1-Units!$Q101,12)=0),IF(AND(Units!$L101=1,AK$1=Units!$Q101),1,Inputs!$B$15)*Inputs!$B$16*(1+Inputs!$B$11)^(AK$2-1),0)</f>
        <v>0</v>
      </c>
      <c r="AL102" s="11" t="n">
        <f aca="false">IF(AND(AL$1&gt;=Units!$Q101,MOD(AL$1-Units!$Q101,12)=0),IF(AND(Units!$L101=1,AL$1=Units!$Q101),1,Inputs!$B$15)*Inputs!$B$16*(1+Inputs!$B$11)^(AL$2-1),0)</f>
        <v>0</v>
      </c>
      <c r="AM102" s="11" t="n">
        <f aca="false">IF(AND(AM$1&gt;=Units!$Q101,MOD(AM$1-Units!$Q101,12)=0),IF(AND(Units!$L101=1,AM$1=Units!$Q101),1,Inputs!$B$15)*Inputs!$B$16*(1+Inputs!$B$11)^(AM$2-1),0)</f>
        <v>546.3635</v>
      </c>
      <c r="AN102" s="11" t="n">
        <f aca="false">IF(AND(AN$1&gt;=Units!$Q101,MOD(AN$1-Units!$Q101,12)=0),IF(AND(Units!$L101=1,AN$1=Units!$Q101),1,Inputs!$B$15)*Inputs!$B$16*(1+Inputs!$B$11)^(AN$2-1),0)</f>
        <v>0</v>
      </c>
      <c r="AO102" s="11" t="n">
        <f aca="false">IF(AND(AO$1&gt;=Units!$Q101,MOD(AO$1-Units!$Q101,12)=0),IF(AND(Units!$L101=1,AO$1=Units!$Q101),1,Inputs!$B$15)*Inputs!$B$16*(1+Inputs!$B$11)^(AO$2-1),0)</f>
        <v>0</v>
      </c>
      <c r="AP102" s="11" t="n">
        <f aca="false">IF(AND(AP$1&gt;=Units!$Q101,MOD(AP$1-Units!$Q101,12)=0),IF(AND(Units!$L101=1,AP$1=Units!$Q101),1,Inputs!$B$15)*Inputs!$B$16*(1+Inputs!$B$11)^(AP$2-1),0)</f>
        <v>0</v>
      </c>
      <c r="AQ102" s="11" t="n">
        <f aca="false">IF(AND(AQ$1&gt;=Units!$Q101,MOD(AQ$1-Units!$Q101,12)=0),IF(AND(Units!$L101=1,AQ$1=Units!$Q101),1,Inputs!$B$15)*Inputs!$B$16*(1+Inputs!$B$11)^(AQ$2-1),0)</f>
        <v>0</v>
      </c>
      <c r="AR102" s="11" t="n">
        <f aca="false">IF(AND(AR$1&gt;=Units!$Q101,MOD(AR$1-Units!$Q101,12)=0),IF(AND(Units!$L101=1,AR$1=Units!$Q101),1,Inputs!$B$15)*Inputs!$B$16*(1+Inputs!$B$11)^(AR$2-1),0)</f>
        <v>0</v>
      </c>
      <c r="AS102" s="11" t="n">
        <f aca="false">IF(AND(AS$1&gt;=Units!$Q101,MOD(AS$1-Units!$Q101,12)=0),IF(AND(Units!$L101=1,AS$1=Units!$Q101),1,Inputs!$B$15)*Inputs!$B$16*(1+Inputs!$B$11)^(AS$2-1),0)</f>
        <v>0</v>
      </c>
      <c r="AT102" s="11" t="n">
        <f aca="false">IF(AND(AT$1&gt;=Units!$Q101,MOD(AT$1-Units!$Q101,12)=0),IF(AND(Units!$L101=1,AT$1=Units!$Q101),1,Inputs!$B$15)*Inputs!$B$16*(1+Inputs!$B$11)^(AT$2-1),0)</f>
        <v>0</v>
      </c>
      <c r="AU102" s="11" t="n">
        <f aca="false">IF(AND(AU$1&gt;=Units!$Q101,MOD(AU$1-Units!$Q101,12)=0),IF(AND(Units!$L101=1,AU$1=Units!$Q101),1,Inputs!$B$15)*Inputs!$B$16*(1+Inputs!$B$11)^(AU$2-1),0)</f>
        <v>0</v>
      </c>
      <c r="AV102" s="11" t="n">
        <f aca="false">IF(AND(AV$1&gt;=Units!$Q101,MOD(AV$1-Units!$Q101,12)=0),IF(AND(Units!$L101=1,AV$1=Units!$Q101),1,Inputs!$B$15)*Inputs!$B$16*(1+Inputs!$B$11)^(AV$2-1),0)</f>
        <v>0</v>
      </c>
      <c r="AW102" s="11" t="n">
        <f aca="false">IF(AND(AW$1&gt;=Units!$Q101,MOD(AW$1-Units!$Q101,12)=0),IF(AND(Units!$L101=1,AW$1=Units!$Q101),1,Inputs!$B$15)*Inputs!$B$16*(1+Inputs!$B$11)^(AW$2-1),0)</f>
        <v>0</v>
      </c>
      <c r="AX102" s="11" t="n">
        <f aca="false">IF(AND(AX$1&gt;=Units!$Q101,MOD(AX$1-Units!$Q101,12)=0),IF(AND(Units!$L101=1,AX$1=Units!$Q101),1,Inputs!$B$15)*Inputs!$B$16*(1+Inputs!$B$11)^(AX$2-1),0)</f>
        <v>0</v>
      </c>
      <c r="AY102" s="11" t="n">
        <f aca="false">IF(AND(AY$1&gt;=Units!$Q101,MOD(AY$1-Units!$Q101,12)=0),IF(AND(Units!$L101=1,AY$1=Units!$Q101),1,Inputs!$B$15)*Inputs!$B$16*(1+Inputs!$B$11)^(AY$2-1),0)</f>
        <v>562.754405</v>
      </c>
      <c r="AZ102" s="11" t="n">
        <f aca="false">IF(AND(AZ$1&gt;=Units!$Q101,MOD(AZ$1-Units!$Q101,12)=0),IF(AND(Units!$L101=1,AZ$1=Units!$Q101),1,Inputs!$B$15)*Inputs!$B$16*(1+Inputs!$B$11)^(AZ$2-1),0)</f>
        <v>0</v>
      </c>
      <c r="BA102" s="11" t="n">
        <f aca="false">IF(AND(BA$1&gt;=Units!$Q101,MOD(BA$1-Units!$Q101,12)=0),IF(AND(Units!$L101=1,BA$1=Units!$Q101),1,Inputs!$B$15)*Inputs!$B$16*(1+Inputs!$B$11)^(BA$2-1),0)</f>
        <v>0</v>
      </c>
      <c r="BB102" s="11" t="n">
        <f aca="false">IF(AND(BB$1&gt;=Units!$Q101,MOD(BB$1-Units!$Q101,12)=0),IF(AND(Units!$L101=1,BB$1=Units!$Q101),1,Inputs!$B$15)*Inputs!$B$16*(1+Inputs!$B$11)^(BB$2-1),0)</f>
        <v>0</v>
      </c>
      <c r="BC102" s="11" t="n">
        <f aca="false">IF(AND(BC$1&gt;=Units!$Q101,MOD(BC$1-Units!$Q101,12)=0),IF(AND(Units!$L101=1,BC$1=Units!$Q101),1,Inputs!$B$15)*Inputs!$B$16*(1+Inputs!$B$11)^(BC$2-1),0)</f>
        <v>0</v>
      </c>
      <c r="BD102" s="11" t="n">
        <f aca="false">IF(AND(BD$1&gt;=Units!$Q101,MOD(BD$1-Units!$Q101,12)=0),IF(AND(Units!$L101=1,BD$1=Units!$Q101),1,Inputs!$B$15)*Inputs!$B$16*(1+Inputs!$B$11)^(BD$2-1),0)</f>
        <v>0</v>
      </c>
      <c r="BE102" s="11" t="n">
        <f aca="false">IF(AND(BE$1&gt;=Units!$Q101,MOD(BE$1-Units!$Q101,12)=0),IF(AND(Units!$L101=1,BE$1=Units!$Q101),1,Inputs!$B$15)*Inputs!$B$16*(1+Inputs!$B$11)^(BE$2-1),0)</f>
        <v>0</v>
      </c>
      <c r="BF102" s="11" t="n">
        <f aca="false">IF(AND(BF$1&gt;=Units!$Q101,MOD(BF$1-Units!$Q101,12)=0),IF(AND(Units!$L101=1,BF$1=Units!$Q101),1,Inputs!$B$15)*Inputs!$B$16*(1+Inputs!$B$11)^(BF$2-1),0)</f>
        <v>0</v>
      </c>
      <c r="BG102" s="11" t="n">
        <f aca="false">IF(AND(BG$1&gt;=Units!$Q101,MOD(BG$1-Units!$Q101,12)=0),IF(AND(Units!$L101=1,BG$1=Units!$Q101),1,Inputs!$B$15)*Inputs!$B$16*(1+Inputs!$B$11)^(BG$2-1),0)</f>
        <v>0</v>
      </c>
      <c r="BH102" s="11" t="n">
        <f aca="false">IF(AND(BH$1&gt;=Units!$Q101,MOD(BH$1-Units!$Q101,12)=0),IF(AND(Units!$L101=1,BH$1=Units!$Q101),1,Inputs!$B$15)*Inputs!$B$16*(1+Inputs!$B$11)^(BH$2-1),0)</f>
        <v>0</v>
      </c>
      <c r="BI102" s="11" t="n">
        <f aca="false">IF(AND(BI$1&gt;=Units!$Q101,MOD(BI$1-Units!$Q101,12)=0),IF(AND(Units!$L101=1,BI$1=Units!$Q101),1,Inputs!$B$15)*Inputs!$B$16*(1+Inputs!$B$11)^(BI$2-1),0)</f>
        <v>0</v>
      </c>
      <c r="BJ102" s="11" t="n">
        <f aca="false">IF(AND(BJ$1&gt;=Units!$Q101,MOD(BJ$1-Units!$Q101,12)=0),IF(AND(Units!$L101=1,BJ$1=Units!$Q101),1,Inputs!$B$15)*Inputs!$B$16*(1+Inputs!$B$11)^(BJ$2-1),0)</f>
        <v>0</v>
      </c>
      <c r="BK102" s="11" t="n">
        <f aca="false">IF(AND(BK$1&gt;=Units!$Q101,MOD(BK$1-Units!$Q101,12)=0),IF(AND(Units!$L101=1,BK$1=Units!$Q101),1,Inputs!$B$15)*Inputs!$B$16*(1+Inputs!$B$11)^(BK$2-1),0)</f>
        <v>579.63703715</v>
      </c>
      <c r="BL102" s="11" t="n">
        <f aca="false">IF(AND(BL$1&gt;=Units!$Q101,MOD(BL$1-Units!$Q101,12)=0),IF(AND(Units!$L101=1,BL$1=Units!$Q101),1,Inputs!$B$15)*Inputs!$B$16*(1+Inputs!$B$11)^(BL$2-1),0)</f>
        <v>0</v>
      </c>
      <c r="BM102" s="11" t="n">
        <f aca="false">IF(AND(BM$1&gt;=Units!$Q101,MOD(BM$1-Units!$Q101,12)=0),IF(AND(Units!$L101=1,BM$1=Units!$Q101),1,Inputs!$B$15)*Inputs!$B$16*(1+Inputs!$B$11)^(BM$2-1),0)</f>
        <v>0</v>
      </c>
      <c r="BN102" s="11" t="n">
        <f aca="false">IF(AND(BN$1&gt;=Units!$Q101,MOD(BN$1-Units!$Q101,12)=0),IF(AND(Units!$L101=1,BN$1=Units!$Q101),1,Inputs!$B$15)*Inputs!$B$16*(1+Inputs!$B$11)^(BN$2-1),0)</f>
        <v>0</v>
      </c>
      <c r="BO102" s="11" t="n">
        <f aca="false">IF(AND(BO$1&gt;=Units!$Q101,MOD(BO$1-Units!$Q101,12)=0),IF(AND(Units!$L101=1,BO$1=Units!$Q101),1,Inputs!$B$15)*Inputs!$B$16*(1+Inputs!$B$11)^(BO$2-1),0)</f>
        <v>0</v>
      </c>
      <c r="BP102" s="11" t="n">
        <f aca="false">IF(AND(BP$1&gt;=Units!$Q101,MOD(BP$1-Units!$Q101,12)=0),IF(AND(Units!$L101=1,BP$1=Units!$Q101),1,Inputs!$B$15)*Inputs!$B$16*(1+Inputs!$B$11)^(BP$2-1),0)</f>
        <v>0</v>
      </c>
      <c r="BQ102" s="11" t="n">
        <f aca="false">IF(AND(BQ$1&gt;=Units!$Q101,MOD(BQ$1-Units!$Q101,12)=0),IF(AND(Units!$L101=1,BQ$1=Units!$Q101),1,Inputs!$B$15)*Inputs!$B$16*(1+Inputs!$B$11)^(BQ$2-1),0)</f>
        <v>0</v>
      </c>
      <c r="BR102" s="11" t="n">
        <f aca="false">IF(AND(BR$1&gt;=Units!$Q101,MOD(BR$1-Units!$Q101,12)=0),IF(AND(Units!$L101=1,BR$1=Units!$Q101),1,Inputs!$B$15)*Inputs!$B$16*(1+Inputs!$B$11)^(BR$2-1),0)</f>
        <v>0</v>
      </c>
      <c r="BS102" s="11" t="n">
        <f aca="false">IF(AND(BS$1&gt;=Units!$Q101,MOD(BS$1-Units!$Q101,12)=0),IF(AND(Units!$L101=1,BS$1=Units!$Q101),1,Inputs!$B$15)*Inputs!$B$16*(1+Inputs!$B$11)^(BS$2-1),0)</f>
        <v>0</v>
      </c>
      <c r="BT102" s="11" t="n">
        <f aca="false">IF(AND(BT$1&gt;=Units!$Q101,MOD(BT$1-Units!$Q101,12)=0),IF(AND(Units!$L101=1,BT$1=Units!$Q101),1,Inputs!$B$15)*Inputs!$B$16*(1+Inputs!$B$11)^(BT$2-1),0)</f>
        <v>0</v>
      </c>
      <c r="BU102" s="11" t="n">
        <f aca="false">IF(AND(BU$1&gt;=Units!$Q101,MOD(BU$1-Units!$Q101,12)=0),IF(AND(Units!$L101=1,BU$1=Units!$Q101),1,Inputs!$B$15)*Inputs!$B$16*(1+Inputs!$B$11)^(BU$2-1),0)</f>
        <v>0</v>
      </c>
      <c r="BV102" s="11" t="n">
        <f aca="false">IF(AND(BV$1&gt;=Units!$Q101,MOD(BV$1-Units!$Q101,12)=0),IF(AND(Units!$L101=1,BV$1=Units!$Q101),1,Inputs!$B$15)*Inputs!$B$16*(1+Inputs!$B$11)^(BV$2-1),0)</f>
        <v>0</v>
      </c>
      <c r="BW102" s="11" t="n">
        <f aca="false">IF(AND(BW$1&gt;=Units!$Q101,MOD(BW$1-Units!$Q101,12)=0),IF(AND(Units!$L101=1,BW$1=Units!$Q101),1,Inputs!$B$15)*Inputs!$B$16*(1+Inputs!$B$11)^(BW$2-1),0)</f>
        <v>597.0261482645</v>
      </c>
      <c r="BX102" s="11" t="n">
        <f aca="false">IF(AND(BX$1&gt;=Units!$Q101,MOD(BX$1-Units!$Q101,12)=0),IF(AND(Units!$L101=1,BX$1=Units!$Q101),1,Inputs!$B$15)*Inputs!$B$16*(1+Inputs!$B$11)^(BX$2-1),0)</f>
        <v>0</v>
      </c>
      <c r="BY102" s="11" t="n">
        <f aca="false">IF(AND(BY$1&gt;=Units!$Q101,MOD(BY$1-Units!$Q101,12)=0),IF(AND(Units!$L101=1,BY$1=Units!$Q101),1,Inputs!$B$15)*Inputs!$B$16*(1+Inputs!$B$11)^(BY$2-1),0)</f>
        <v>0</v>
      </c>
      <c r="BZ102" s="11" t="n">
        <f aca="false">IF(AND(BZ$1&gt;=Units!$Q101,MOD(BZ$1-Units!$Q101,12)=0),IF(AND(Units!$L101=1,BZ$1=Units!$Q101),1,Inputs!$B$15)*Inputs!$B$16*(1+Inputs!$B$11)^(BZ$2-1),0)</f>
        <v>0</v>
      </c>
      <c r="CA102" s="11" t="n">
        <f aca="false">IF(AND(CA$1&gt;=Units!$Q101,MOD(CA$1-Units!$Q101,12)=0),IF(AND(Units!$L101=1,CA$1=Units!$Q101),1,Inputs!$B$15)*Inputs!$B$16*(1+Inputs!$B$11)^(CA$2-1),0)</f>
        <v>0</v>
      </c>
      <c r="CB102" s="11" t="n">
        <f aca="false">IF(AND(CB$1&gt;=Units!$Q101,MOD(CB$1-Units!$Q101,12)=0),IF(AND(Units!$L101=1,CB$1=Units!$Q101),1,Inputs!$B$15)*Inputs!$B$16*(1+Inputs!$B$11)^(CB$2-1),0)</f>
        <v>0</v>
      </c>
      <c r="CC102" s="11" t="n">
        <f aca="false">IF(AND(CC$1&gt;=Units!$Q101,MOD(CC$1-Units!$Q101,12)=0),IF(AND(Units!$L101=1,CC$1=Units!$Q101),1,Inputs!$B$15)*Inputs!$B$16*(1+Inputs!$B$11)^(CC$2-1),0)</f>
        <v>0</v>
      </c>
      <c r="CD102" s="11" t="n">
        <f aca="false">IF(AND(CD$1&gt;=Units!$Q101,MOD(CD$1-Units!$Q101,12)=0),IF(AND(Units!$L101=1,CD$1=Units!$Q101),1,Inputs!$B$15)*Inputs!$B$16*(1+Inputs!$B$11)^(CD$2-1),0)</f>
        <v>0</v>
      </c>
      <c r="CE102" s="11" t="n">
        <f aca="false">IF(AND(CE$1&gt;=Units!$Q101,MOD(CE$1-Units!$Q101,12)=0),IF(AND(Units!$L101=1,CE$1=Units!$Q101),1,Inputs!$B$15)*Inputs!$B$16*(1+Inputs!$B$11)^(CE$2-1),0)</f>
        <v>0</v>
      </c>
      <c r="CF102" s="11" t="n">
        <f aca="false">IF(AND(CF$1&gt;=Units!$Q101,MOD(CF$1-Units!$Q101,12)=0),IF(AND(Units!$L101=1,CF$1=Units!$Q101),1,Inputs!$B$15)*Inputs!$B$16*(1+Inputs!$B$11)^(CF$2-1),0)</f>
        <v>0</v>
      </c>
      <c r="CG102" s="11" t="n">
        <f aca="false">IF(AND(CG$1&gt;=Units!$Q101,MOD(CG$1-Units!$Q101,12)=0),IF(AND(Units!$L101=1,CG$1=Units!$Q101),1,Inputs!$B$15)*Inputs!$B$16*(1+Inputs!$B$11)^(CG$2-1),0)</f>
        <v>0</v>
      </c>
      <c r="CH102" s="11" t="n">
        <f aca="false">IF(AND(CH$1&gt;=Units!$Q101,MOD(CH$1-Units!$Q101,12)=0),IF(AND(Units!$L101=1,CH$1=Units!$Q101),1,Inputs!$B$15)*Inputs!$B$16*(1+Inputs!$B$11)^(CH$2-1),0)</f>
        <v>0</v>
      </c>
      <c r="CI102" s="11" t="n">
        <f aca="false">IF(AND(CI$1&gt;=Units!$Q101,MOD(CI$1-Units!$Q101,12)=0),IF(AND(Units!$L101=1,CI$1=Units!$Q101),1,Inputs!$B$15)*Inputs!$B$16*(1+Inputs!$B$11)^(CI$2-1),0)</f>
        <v>614.936932712435</v>
      </c>
      <c r="CJ102" s="11" t="n">
        <f aca="false">IF(AND(CJ$1&gt;=Units!$Q101,MOD(CJ$1-Units!$Q101,12)=0),IF(AND(Units!$L101=1,CJ$1=Units!$Q101),1,Inputs!$B$15)*Inputs!$B$16*(1+Inputs!$B$11)^(CJ$2-1),0)</f>
        <v>0</v>
      </c>
      <c r="CK102" s="11" t="n">
        <f aca="false">IF(AND(CK$1&gt;=Units!$Q101,MOD(CK$1-Units!$Q101,12)=0),IF(AND(Units!$L101=1,CK$1=Units!$Q101),1,Inputs!$B$15)*Inputs!$B$16*(1+Inputs!$B$11)^(CK$2-1),0)</f>
        <v>0</v>
      </c>
      <c r="CL102" s="11" t="n">
        <f aca="false">IF(AND(CL$1&gt;=Units!$Q101,MOD(CL$1-Units!$Q101,12)=0),IF(AND(Units!$L101=1,CL$1=Units!$Q101),1,Inputs!$B$15)*Inputs!$B$16*(1+Inputs!$B$11)^(CL$2-1),0)</f>
        <v>0</v>
      </c>
      <c r="CM102" s="11" t="n">
        <f aca="false">IF(AND(CM$1&gt;=Units!$Q101,MOD(CM$1-Units!$Q101,12)=0),IF(AND(Units!$L101=1,CM$1=Units!$Q101),1,Inputs!$B$15)*Inputs!$B$16*(1+Inputs!$B$11)^(CM$2-1),0)</f>
        <v>0</v>
      </c>
      <c r="CN102" s="11" t="n">
        <f aca="false">IF(AND(CN$1&gt;=Units!$Q101,MOD(CN$1-Units!$Q101,12)=0),IF(AND(Units!$L101=1,CN$1=Units!$Q101),1,Inputs!$B$15)*Inputs!$B$16*(1+Inputs!$B$11)^(CN$2-1),0)</f>
        <v>0</v>
      </c>
      <c r="CO102" s="11" t="n">
        <f aca="false">IF(AND(CO$1&gt;=Units!$Q101,MOD(CO$1-Units!$Q101,12)=0),IF(AND(Units!$L101=1,CO$1=Units!$Q101),1,Inputs!$B$15)*Inputs!$B$16*(1+Inputs!$B$11)^(CO$2-1),0)</f>
        <v>0</v>
      </c>
      <c r="CP102" s="11" t="n">
        <f aca="false">IF(AND(CP$1&gt;=Units!$Q101,MOD(CP$1-Units!$Q101,12)=0),IF(AND(Units!$L101=1,CP$1=Units!$Q101),1,Inputs!$B$15)*Inputs!$B$16*(1+Inputs!$B$11)^(CP$2-1),0)</f>
        <v>0</v>
      </c>
      <c r="CQ102" s="11" t="n">
        <f aca="false">IF(AND(CQ$1&gt;=Units!$Q101,MOD(CQ$1-Units!$Q101,12)=0),IF(AND(Units!$L101=1,CQ$1=Units!$Q101),1,Inputs!$B$15)*Inputs!$B$16*(1+Inputs!$B$11)^(CQ$2-1),0)</f>
        <v>0</v>
      </c>
      <c r="CR102" s="11" t="n">
        <f aca="false">IF(AND(CR$1&gt;=Units!$Q101,MOD(CR$1-Units!$Q101,12)=0),IF(AND(Units!$L101=1,CR$1=Units!$Q101),1,Inputs!$B$15)*Inputs!$B$16*(1+Inputs!$B$11)^(CR$2-1),0)</f>
        <v>0</v>
      </c>
      <c r="CS102" s="11" t="n">
        <f aca="false">IF(AND(CS$1&gt;=Units!$Q101,MOD(CS$1-Units!$Q101,12)=0),IF(AND(Units!$L101=1,CS$1=Units!$Q101),1,Inputs!$B$15)*Inputs!$B$16*(1+Inputs!$B$11)^(CS$2-1),0)</f>
        <v>0</v>
      </c>
      <c r="CT102" s="11" t="n">
        <f aca="false">IF(AND(CT$1&gt;=Units!$Q101,MOD(CT$1-Units!$Q101,12)=0),IF(AND(Units!$L101=1,CT$1=Units!$Q101),1,Inputs!$B$15)*Inputs!$B$16*(1+Inputs!$B$11)^(CT$2-1),0)</f>
        <v>0</v>
      </c>
      <c r="CU102" s="11" t="n">
        <f aca="false">IF(AND(CU$1&gt;=Units!$Q101,MOD(CU$1-Units!$Q101,12)=0),IF(AND(Units!$L101=1,CU$1=Units!$Q101),1,Inputs!$B$15)*Inputs!$B$16*(1+Inputs!$B$11)^(CU$2-1),0)</f>
        <v>633.385040693808</v>
      </c>
      <c r="CV102" s="11" t="n">
        <f aca="false">IF(AND(CV$1&gt;=Units!$Q101,MOD(CV$1-Units!$Q101,12)=0),IF(AND(Units!$L101=1,CV$1=Units!$Q101),1,Inputs!$B$15)*Inputs!$B$16*(1+Inputs!$B$11)^(CV$2-1),0)</f>
        <v>0</v>
      </c>
      <c r="CW102" s="11" t="n">
        <f aca="false">IF(AND(CW$1&gt;=Units!$Q101,MOD(CW$1-Units!$Q101,12)=0),IF(AND(Units!$L101=1,CW$1=Units!$Q101),1,Inputs!$B$15)*Inputs!$B$16*(1+Inputs!$B$11)^(CW$2-1),0)</f>
        <v>0</v>
      </c>
      <c r="CX102" s="11" t="n">
        <f aca="false">IF(AND(CX$1&gt;=Units!$Q101,MOD(CX$1-Units!$Q101,12)=0),IF(AND(Units!$L101=1,CX$1=Units!$Q101),1,Inputs!$B$15)*Inputs!$B$16*(1+Inputs!$B$11)^(CX$2-1),0)</f>
        <v>0</v>
      </c>
      <c r="CY102" s="11" t="n">
        <f aca="false">IF(AND(CY$1&gt;=Units!$Q101,MOD(CY$1-Units!$Q101,12)=0),IF(AND(Units!$L101=1,CY$1=Units!$Q101),1,Inputs!$B$15)*Inputs!$B$16*(1+Inputs!$B$11)^(CY$2-1),0)</f>
        <v>0</v>
      </c>
      <c r="CZ102" s="11" t="n">
        <f aca="false">IF(AND(CZ$1&gt;=Units!$Q101,MOD(CZ$1-Units!$Q101,12)=0),IF(AND(Units!$L101=1,CZ$1=Units!$Q101),1,Inputs!$B$15)*Inputs!$B$16*(1+Inputs!$B$11)^(CZ$2-1),0)</f>
        <v>0</v>
      </c>
      <c r="DA102" s="11" t="n">
        <f aca="false">IF(AND(DA$1&gt;=Units!$Q101,MOD(DA$1-Units!$Q101,12)=0),IF(AND(Units!$L101=1,DA$1=Units!$Q101),1,Inputs!$B$15)*Inputs!$B$16*(1+Inputs!$B$11)^(DA$2-1),0)</f>
        <v>0</v>
      </c>
      <c r="DB102" s="11" t="n">
        <f aca="false">IF(AND(DB$1&gt;=Units!$Q101,MOD(DB$1-Units!$Q101,12)=0),IF(AND(Units!$L101=1,DB$1=Units!$Q101),1,Inputs!$B$15)*Inputs!$B$16*(1+Inputs!$B$11)^(DB$2-1),0)</f>
        <v>0</v>
      </c>
      <c r="DC102" s="11" t="n">
        <f aca="false">IF(AND(DC$1&gt;=Units!$Q101,MOD(DC$1-Units!$Q101,12)=0),IF(AND(Units!$L101=1,DC$1=Units!$Q101),1,Inputs!$B$15)*Inputs!$B$16*(1+Inputs!$B$11)^(DC$2-1),0)</f>
        <v>0</v>
      </c>
      <c r="DD102" s="11" t="n">
        <f aca="false">IF(AND(DD$1&gt;=Units!$Q101,MOD(DD$1-Units!$Q101,12)=0),IF(AND(Units!$L101=1,DD$1=Units!$Q101),1,Inputs!$B$15)*Inputs!$B$16*(1+Inputs!$B$11)^(DD$2-1),0)</f>
        <v>0</v>
      </c>
      <c r="DE102" s="11" t="n">
        <f aca="false">IF(AND(DE$1&gt;=Units!$Q101,MOD(DE$1-Units!$Q101,12)=0),IF(AND(Units!$L101=1,DE$1=Units!$Q101),1,Inputs!$B$15)*Inputs!$B$16*(1+Inputs!$B$11)^(DE$2-1),0)</f>
        <v>0</v>
      </c>
      <c r="DF102" s="11" t="n">
        <f aca="false">IF(AND(DF$1&gt;=Units!$Q101,MOD(DF$1-Units!$Q101,12)=0),IF(AND(Units!$L101=1,DF$1=Units!$Q101),1,Inputs!$B$15)*Inputs!$B$16*(1+Inputs!$B$11)^(DF$2-1),0)</f>
        <v>0</v>
      </c>
      <c r="DG102" s="11" t="n">
        <f aca="false">IF(AND(DG$1&gt;=Units!$Q101,MOD(DG$1-Units!$Q101,12)=0),IF(AND(Units!$L101=1,DG$1=Units!$Q101),1,Inputs!$B$15)*Inputs!$B$16*(1+Inputs!$B$11)^(DG$2-1),0)</f>
        <v>652.386591914623</v>
      </c>
      <c r="DH102" s="11" t="n">
        <f aca="false">IF(AND(DH$1&gt;=Units!$Q101,MOD(DH$1-Units!$Q101,12)=0),IF(AND(Units!$L101=1,DH$1=Units!$Q101),1,Inputs!$B$15)*Inputs!$B$16*(1+Inputs!$B$11)^(DH$2-1),0)</f>
        <v>0</v>
      </c>
      <c r="DI102" s="11" t="n">
        <f aca="false">IF(AND(DI$1&gt;=Units!$Q101,MOD(DI$1-Units!$Q101,12)=0),IF(AND(Units!$L101=1,DI$1=Units!$Q101),1,Inputs!$B$15)*Inputs!$B$16*(1+Inputs!$B$11)^(DI$2-1),0)</f>
        <v>0</v>
      </c>
      <c r="DJ102" s="11" t="n">
        <f aca="false">IF(AND(DJ$1&gt;=Units!$Q101,MOD(DJ$1-Units!$Q101,12)=0),IF(AND(Units!$L101=1,DJ$1=Units!$Q101),1,Inputs!$B$15)*Inputs!$B$16*(1+Inputs!$B$11)^(DJ$2-1),0)</f>
        <v>0</v>
      </c>
      <c r="DK102" s="11" t="n">
        <f aca="false">IF(AND(DK$1&gt;=Units!$Q101,MOD(DK$1-Units!$Q101,12)=0),IF(AND(Units!$L101=1,DK$1=Units!$Q101),1,Inputs!$B$15)*Inputs!$B$16*(1+Inputs!$B$11)^(DK$2-1),0)</f>
        <v>0</v>
      </c>
      <c r="DL102" s="11" t="n">
        <f aca="false">IF(AND(DL$1&gt;=Units!$Q101,MOD(DL$1-Units!$Q101,12)=0),IF(AND(Units!$L101=1,DL$1=Units!$Q101),1,Inputs!$B$15)*Inputs!$B$16*(1+Inputs!$B$11)^(DL$2-1),0)</f>
        <v>0</v>
      </c>
      <c r="DM102" s="11" t="n">
        <f aca="false">IF(AND(DM$1&gt;=Units!$Q101,MOD(DM$1-Units!$Q101,12)=0),IF(AND(Units!$L101=1,DM$1=Units!$Q101),1,Inputs!$B$15)*Inputs!$B$16*(1+Inputs!$B$11)^(DM$2-1),0)</f>
        <v>0</v>
      </c>
      <c r="DN102" s="11" t="n">
        <f aca="false">IF(AND(DN$1&gt;=Units!$Q101,MOD(DN$1-Units!$Q101,12)=0),IF(AND(Units!$L101=1,DN$1=Units!$Q101),1,Inputs!$B$15)*Inputs!$B$16*(1+Inputs!$B$11)^(DN$2-1),0)</f>
        <v>0</v>
      </c>
      <c r="DO102" s="11" t="n">
        <f aca="false">IF(AND(DO$1&gt;=Units!$Q101,MOD(DO$1-Units!$Q101,12)=0),IF(AND(Units!$L101=1,DO$1=Units!$Q101),1,Inputs!$B$15)*Inputs!$B$16*(1+Inputs!$B$11)^(DO$2-1),0)</f>
        <v>0</v>
      </c>
      <c r="DP102" s="11" t="n">
        <f aca="false">IF(AND(DP$1&gt;=Units!$Q101,MOD(DP$1-Units!$Q101,12)=0),IF(AND(Units!$L101=1,DP$1=Units!$Q101),1,Inputs!$B$15)*Inputs!$B$16*(1+Inputs!$B$11)^(DP$2-1),0)</f>
        <v>0</v>
      </c>
      <c r="DQ102" s="11" t="n">
        <f aca="false">IF(AND(DQ$1&gt;=Units!$Q101,MOD(DQ$1-Units!$Q101,12)=0),IF(AND(Units!$L101=1,DQ$1=Units!$Q101),1,Inputs!$B$15)*Inputs!$B$16*(1+Inputs!$B$11)^(DQ$2-1),0)</f>
        <v>0</v>
      </c>
      <c r="DR102" s="11" t="n">
        <f aca="false">IF(AND(DR$1&gt;=Units!$Q101,MOD(DR$1-Units!$Q101,12)=0),IF(AND(Units!$L101=1,DR$1=Units!$Q101),1,Inputs!$B$15)*Inputs!$B$16*(1+Inputs!$B$11)^(DR$2-1),0)</f>
        <v>0</v>
      </c>
      <c r="DS102" s="11" t="n">
        <f aca="false">IF(AND(DS$1&gt;=Units!$Q101,MOD(DS$1-Units!$Q101,12)=0),IF(AND(Units!$L101=1,DS$1=Units!$Q101),1,Inputs!$B$15)*Inputs!$B$16*(1+Inputs!$B$11)^(DS$2-1),0)</f>
        <v>671.958189672061</v>
      </c>
      <c r="DT102" s="11" t="n">
        <f aca="false">IF(AND(DT$1&gt;=Units!$Q101,MOD(DT$1-Units!$Q101,12)=0),IF(AND(Units!$L101=1,DT$1=Units!$Q101),1,Inputs!$B$15)*Inputs!$B$16*(1+Inputs!$B$11)^(DT$2-1),0)</f>
        <v>0</v>
      </c>
      <c r="DU102" s="11" t="n">
        <f aca="false">IF(AND(DU$1&gt;=Units!$Q101,MOD(DU$1-Units!$Q101,12)=0),IF(AND(Units!$L101=1,DU$1=Units!$Q101),1,Inputs!$B$15)*Inputs!$B$16*(1+Inputs!$B$11)^(DU$2-1),0)</f>
        <v>0</v>
      </c>
      <c r="DV102" s="11" t="n">
        <f aca="false">IF(AND(DV$1&gt;=Units!$Q101,MOD(DV$1-Units!$Q101,12)=0),IF(AND(Units!$L101=1,DV$1=Units!$Q101),1,Inputs!$B$15)*Inputs!$B$16*(1+Inputs!$B$11)^(DV$2-1),0)</f>
        <v>0</v>
      </c>
      <c r="DW102" s="11" t="n">
        <f aca="false">IF(AND(DW$1&gt;=Units!$Q101,MOD(DW$1-Units!$Q101,12)=0),IF(AND(Units!$L101=1,DW$1=Units!$Q101),1,Inputs!$B$15)*Inputs!$B$16*(1+Inputs!$B$11)^(DW$2-1),0)</f>
        <v>0</v>
      </c>
      <c r="DX102" s="11" t="n">
        <f aca="false">IF(AND(DX$1&gt;=Units!$Q101,MOD(DX$1-Units!$Q101,12)=0),IF(AND(Units!$L101=1,DX$1=Units!$Q101),1,Inputs!$B$15)*Inputs!$B$16*(1+Inputs!$B$11)^(DX$2-1),0)</f>
        <v>0</v>
      </c>
      <c r="DY102" s="11" t="n">
        <f aca="false">IF(AND(DY$1&gt;=Units!$Q101,MOD(DY$1-Units!$Q101,12)=0),IF(AND(Units!$L101=1,DY$1=Units!$Q101),1,Inputs!$B$15)*Inputs!$B$16*(1+Inputs!$B$11)^(DY$2-1),0)</f>
        <v>0</v>
      </c>
      <c r="DZ102" s="11" t="n">
        <f aca="false">IF(AND(DZ$1&gt;=Units!$Q101,MOD(DZ$1-Units!$Q101,12)=0),IF(AND(Units!$L101=1,DZ$1=Units!$Q101),1,Inputs!$B$15)*Inputs!$B$16*(1+Inputs!$B$11)^(DZ$2-1),0)</f>
        <v>0</v>
      </c>
      <c r="EA102" s="11" t="n">
        <f aca="false">IF(AND(EA$1&gt;=Units!$Q101,MOD(EA$1-Units!$Q101,12)=0),IF(AND(Units!$L101=1,EA$1=Units!$Q101),1,Inputs!$B$15)*Inputs!$B$16*(1+Inputs!$B$11)^(EA$2-1),0)</f>
        <v>0</v>
      </c>
      <c r="EB102" s="11" t="n">
        <f aca="false">IF(AND(EB$1&gt;=Units!$Q101,MOD(EB$1-Units!$Q101,12)=0),IF(AND(Units!$L101=1,EB$1=Units!$Q101),1,Inputs!$B$15)*Inputs!$B$16*(1+Inputs!$B$11)^(EB$2-1),0)</f>
        <v>0</v>
      </c>
      <c r="EC102" s="11" t="n">
        <f aca="false">IF(AND(EC$1&gt;=Units!$Q101,MOD(EC$1-Units!$Q101,12)=0),IF(AND(Units!$L101=1,EC$1=Units!$Q101),1,Inputs!$B$15)*Inputs!$B$16*(1+Inputs!$B$11)^(EC$2-1),0)</f>
        <v>0</v>
      </c>
      <c r="ED102" s="11" t="n">
        <f aca="false">IF(AND(ED$1&gt;=Units!$Q101,MOD(ED$1-Units!$Q101,12)=0),IF(AND(Units!$L101=1,ED$1=Units!$Q101),1,Inputs!$B$15)*Inputs!$B$16*(1+Inputs!$B$11)^(ED$2-1),0)</f>
        <v>0</v>
      </c>
    </row>
    <row r="103" customFormat="false" ht="15" hidden="false" customHeight="false" outlineLevel="0" collapsed="false">
      <c r="A103" s="22" t="n">
        <f aca="false">Units!A102</f>
        <v>411</v>
      </c>
      <c r="B103" s="23"/>
      <c r="C103" s="11" t="n">
        <f aca="false">IF(AND(C$1&gt;=Units!$Q102,MOD(C$1-Units!$Q102,12)=0),IF(AND(Units!$L102=1,C$1=Units!$Q102),1,Inputs!$B$15)*Inputs!$B$16*(1+Inputs!$B$11)^(C$2-1),0)</f>
        <v>0</v>
      </c>
      <c r="D103" s="11" t="n">
        <f aca="false">IF(AND(D$1&gt;=Units!$Q102,MOD(D$1-Units!$Q102,12)=0),IF(AND(Units!$L102=1,D$1=Units!$Q102),1,Inputs!$B$15)*Inputs!$B$16*(1+Inputs!$B$11)^(D$2-1),0)</f>
        <v>0</v>
      </c>
      <c r="E103" s="11" t="n">
        <f aca="false">IF(AND(E$1&gt;=Units!$Q102,MOD(E$1-Units!$Q102,12)=0),IF(AND(Units!$L102=1,E$1=Units!$Q102),1,Inputs!$B$15)*Inputs!$B$16*(1+Inputs!$B$11)^(E$2-1),0)</f>
        <v>500</v>
      </c>
      <c r="F103" s="11" t="n">
        <f aca="false">IF(AND(F$1&gt;=Units!$Q102,MOD(F$1-Units!$Q102,12)=0),IF(AND(Units!$L102=1,F$1=Units!$Q102),1,Inputs!$B$15)*Inputs!$B$16*(1+Inputs!$B$11)^(F$2-1),0)</f>
        <v>0</v>
      </c>
      <c r="G103" s="11" t="n">
        <f aca="false">IF(AND(G$1&gt;=Units!$Q102,MOD(G$1-Units!$Q102,12)=0),IF(AND(Units!$L102=1,G$1=Units!$Q102),1,Inputs!$B$15)*Inputs!$B$16*(1+Inputs!$B$11)^(G$2-1),0)</f>
        <v>0</v>
      </c>
      <c r="H103" s="11" t="n">
        <f aca="false">IF(AND(H$1&gt;=Units!$Q102,MOD(H$1-Units!$Q102,12)=0),IF(AND(Units!$L102=1,H$1=Units!$Q102),1,Inputs!$B$15)*Inputs!$B$16*(1+Inputs!$B$11)^(H$2-1),0)</f>
        <v>0</v>
      </c>
      <c r="I103" s="11" t="n">
        <f aca="false">IF(AND(I$1&gt;=Units!$Q102,MOD(I$1-Units!$Q102,12)=0),IF(AND(Units!$L102=1,I$1=Units!$Q102),1,Inputs!$B$15)*Inputs!$B$16*(1+Inputs!$B$11)^(I$2-1),0)</f>
        <v>0</v>
      </c>
      <c r="J103" s="11" t="n">
        <f aca="false">IF(AND(J$1&gt;=Units!$Q102,MOD(J$1-Units!$Q102,12)=0),IF(AND(Units!$L102=1,J$1=Units!$Q102),1,Inputs!$B$15)*Inputs!$B$16*(1+Inputs!$B$11)^(J$2-1),0)</f>
        <v>0</v>
      </c>
      <c r="K103" s="11" t="n">
        <f aca="false">IF(AND(K$1&gt;=Units!$Q102,MOD(K$1-Units!$Q102,12)=0),IF(AND(Units!$L102=1,K$1=Units!$Q102),1,Inputs!$B$15)*Inputs!$B$16*(1+Inputs!$B$11)^(K$2-1),0)</f>
        <v>0</v>
      </c>
      <c r="L103" s="11" t="n">
        <f aca="false">IF(AND(L$1&gt;=Units!$Q102,MOD(L$1-Units!$Q102,12)=0),IF(AND(Units!$L102=1,L$1=Units!$Q102),1,Inputs!$B$15)*Inputs!$B$16*(1+Inputs!$B$11)^(L$2-1),0)</f>
        <v>0</v>
      </c>
      <c r="M103" s="11" t="n">
        <f aca="false">IF(AND(M$1&gt;=Units!$Q102,MOD(M$1-Units!$Q102,12)=0),IF(AND(Units!$L102=1,M$1=Units!$Q102),1,Inputs!$B$15)*Inputs!$B$16*(1+Inputs!$B$11)^(M$2-1),0)</f>
        <v>0</v>
      </c>
      <c r="N103" s="11" t="n">
        <f aca="false">IF(AND(N$1&gt;=Units!$Q102,MOD(N$1-Units!$Q102,12)=0),IF(AND(Units!$L102=1,N$1=Units!$Q102),1,Inputs!$B$15)*Inputs!$B$16*(1+Inputs!$B$11)^(N$2-1),0)</f>
        <v>0</v>
      </c>
      <c r="O103" s="11" t="n">
        <f aca="false">IF(AND(O$1&gt;=Units!$Q102,MOD(O$1-Units!$Q102,12)=0),IF(AND(Units!$L102=1,O$1=Units!$Q102),1,Inputs!$B$15)*Inputs!$B$16*(1+Inputs!$B$11)^(O$2-1),0)</f>
        <v>0</v>
      </c>
      <c r="P103" s="11" t="n">
        <f aca="false">IF(AND(P$1&gt;=Units!$Q102,MOD(P$1-Units!$Q102,12)=0),IF(AND(Units!$L102=1,P$1=Units!$Q102),1,Inputs!$B$15)*Inputs!$B$16*(1+Inputs!$B$11)^(P$2-1),0)</f>
        <v>0</v>
      </c>
      <c r="Q103" s="11" t="n">
        <f aca="false">IF(AND(Q$1&gt;=Units!$Q102,MOD(Q$1-Units!$Q102,12)=0),IF(AND(Units!$L102=1,Q$1=Units!$Q102),1,Inputs!$B$15)*Inputs!$B$16*(1+Inputs!$B$11)^(Q$2-1),0)</f>
        <v>515</v>
      </c>
      <c r="R103" s="11" t="n">
        <f aca="false">IF(AND(R$1&gt;=Units!$Q102,MOD(R$1-Units!$Q102,12)=0),IF(AND(Units!$L102=1,R$1=Units!$Q102),1,Inputs!$B$15)*Inputs!$B$16*(1+Inputs!$B$11)^(R$2-1),0)</f>
        <v>0</v>
      </c>
      <c r="S103" s="11" t="n">
        <f aca="false">IF(AND(S$1&gt;=Units!$Q102,MOD(S$1-Units!$Q102,12)=0),IF(AND(Units!$L102=1,S$1=Units!$Q102),1,Inputs!$B$15)*Inputs!$B$16*(1+Inputs!$B$11)^(S$2-1),0)</f>
        <v>0</v>
      </c>
      <c r="T103" s="11" t="n">
        <f aca="false">IF(AND(T$1&gt;=Units!$Q102,MOD(T$1-Units!$Q102,12)=0),IF(AND(Units!$L102=1,T$1=Units!$Q102),1,Inputs!$B$15)*Inputs!$B$16*(1+Inputs!$B$11)^(T$2-1),0)</f>
        <v>0</v>
      </c>
      <c r="U103" s="11" t="n">
        <f aca="false">IF(AND(U$1&gt;=Units!$Q102,MOD(U$1-Units!$Q102,12)=0),IF(AND(Units!$L102=1,U$1=Units!$Q102),1,Inputs!$B$15)*Inputs!$B$16*(1+Inputs!$B$11)^(U$2-1),0)</f>
        <v>0</v>
      </c>
      <c r="V103" s="11" t="n">
        <f aca="false">IF(AND(V$1&gt;=Units!$Q102,MOD(V$1-Units!$Q102,12)=0),IF(AND(Units!$L102=1,V$1=Units!$Q102),1,Inputs!$B$15)*Inputs!$B$16*(1+Inputs!$B$11)^(V$2-1),0)</f>
        <v>0</v>
      </c>
      <c r="W103" s="11" t="n">
        <f aca="false">IF(AND(W$1&gt;=Units!$Q102,MOD(W$1-Units!$Q102,12)=0),IF(AND(Units!$L102=1,W$1=Units!$Q102),1,Inputs!$B$15)*Inputs!$B$16*(1+Inputs!$B$11)^(W$2-1),0)</f>
        <v>0</v>
      </c>
      <c r="X103" s="11" t="n">
        <f aca="false">IF(AND(X$1&gt;=Units!$Q102,MOD(X$1-Units!$Q102,12)=0),IF(AND(Units!$L102=1,X$1=Units!$Q102),1,Inputs!$B$15)*Inputs!$B$16*(1+Inputs!$B$11)^(X$2-1),0)</f>
        <v>0</v>
      </c>
      <c r="Y103" s="11" t="n">
        <f aca="false">IF(AND(Y$1&gt;=Units!$Q102,MOD(Y$1-Units!$Q102,12)=0),IF(AND(Units!$L102=1,Y$1=Units!$Q102),1,Inputs!$B$15)*Inputs!$B$16*(1+Inputs!$B$11)^(Y$2-1),0)</f>
        <v>0</v>
      </c>
      <c r="Z103" s="11" t="n">
        <f aca="false">IF(AND(Z$1&gt;=Units!$Q102,MOD(Z$1-Units!$Q102,12)=0),IF(AND(Units!$L102=1,Z$1=Units!$Q102),1,Inputs!$B$15)*Inputs!$B$16*(1+Inputs!$B$11)^(Z$2-1),0)</f>
        <v>0</v>
      </c>
      <c r="AA103" s="11" t="n">
        <f aca="false">IF(AND(AA$1&gt;=Units!$Q102,MOD(AA$1-Units!$Q102,12)=0),IF(AND(Units!$L102=1,AA$1=Units!$Q102),1,Inputs!$B$15)*Inputs!$B$16*(1+Inputs!$B$11)^(AA$2-1),0)</f>
        <v>0</v>
      </c>
      <c r="AB103" s="11" t="n">
        <f aca="false">IF(AND(AB$1&gt;=Units!$Q102,MOD(AB$1-Units!$Q102,12)=0),IF(AND(Units!$L102=1,AB$1=Units!$Q102),1,Inputs!$B$15)*Inputs!$B$16*(1+Inputs!$B$11)^(AB$2-1),0)</f>
        <v>0</v>
      </c>
      <c r="AC103" s="11" t="n">
        <f aca="false">IF(AND(AC$1&gt;=Units!$Q102,MOD(AC$1-Units!$Q102,12)=0),IF(AND(Units!$L102=1,AC$1=Units!$Q102),1,Inputs!$B$15)*Inputs!$B$16*(1+Inputs!$B$11)^(AC$2-1),0)</f>
        <v>530.45</v>
      </c>
      <c r="AD103" s="11" t="n">
        <f aca="false">IF(AND(AD$1&gt;=Units!$Q102,MOD(AD$1-Units!$Q102,12)=0),IF(AND(Units!$L102=1,AD$1=Units!$Q102),1,Inputs!$B$15)*Inputs!$B$16*(1+Inputs!$B$11)^(AD$2-1),0)</f>
        <v>0</v>
      </c>
      <c r="AE103" s="11" t="n">
        <f aca="false">IF(AND(AE$1&gt;=Units!$Q102,MOD(AE$1-Units!$Q102,12)=0),IF(AND(Units!$L102=1,AE$1=Units!$Q102),1,Inputs!$B$15)*Inputs!$B$16*(1+Inputs!$B$11)^(AE$2-1),0)</f>
        <v>0</v>
      </c>
      <c r="AF103" s="11" t="n">
        <f aca="false">IF(AND(AF$1&gt;=Units!$Q102,MOD(AF$1-Units!$Q102,12)=0),IF(AND(Units!$L102=1,AF$1=Units!$Q102),1,Inputs!$B$15)*Inputs!$B$16*(1+Inputs!$B$11)^(AF$2-1),0)</f>
        <v>0</v>
      </c>
      <c r="AG103" s="11" t="n">
        <f aca="false">IF(AND(AG$1&gt;=Units!$Q102,MOD(AG$1-Units!$Q102,12)=0),IF(AND(Units!$L102=1,AG$1=Units!$Q102),1,Inputs!$B$15)*Inputs!$B$16*(1+Inputs!$B$11)^(AG$2-1),0)</f>
        <v>0</v>
      </c>
      <c r="AH103" s="11" t="n">
        <f aca="false">IF(AND(AH$1&gt;=Units!$Q102,MOD(AH$1-Units!$Q102,12)=0),IF(AND(Units!$L102=1,AH$1=Units!$Q102),1,Inputs!$B$15)*Inputs!$B$16*(1+Inputs!$B$11)^(AH$2-1),0)</f>
        <v>0</v>
      </c>
      <c r="AI103" s="11" t="n">
        <f aca="false">IF(AND(AI$1&gt;=Units!$Q102,MOD(AI$1-Units!$Q102,12)=0),IF(AND(Units!$L102=1,AI$1=Units!$Q102),1,Inputs!$B$15)*Inputs!$B$16*(1+Inputs!$B$11)^(AI$2-1),0)</f>
        <v>0</v>
      </c>
      <c r="AJ103" s="11" t="n">
        <f aca="false">IF(AND(AJ$1&gt;=Units!$Q102,MOD(AJ$1-Units!$Q102,12)=0),IF(AND(Units!$L102=1,AJ$1=Units!$Q102),1,Inputs!$B$15)*Inputs!$B$16*(1+Inputs!$B$11)^(AJ$2-1),0)</f>
        <v>0</v>
      </c>
      <c r="AK103" s="11" t="n">
        <f aca="false">IF(AND(AK$1&gt;=Units!$Q102,MOD(AK$1-Units!$Q102,12)=0),IF(AND(Units!$L102=1,AK$1=Units!$Q102),1,Inputs!$B$15)*Inputs!$B$16*(1+Inputs!$B$11)^(AK$2-1),0)</f>
        <v>0</v>
      </c>
      <c r="AL103" s="11" t="n">
        <f aca="false">IF(AND(AL$1&gt;=Units!$Q102,MOD(AL$1-Units!$Q102,12)=0),IF(AND(Units!$L102=1,AL$1=Units!$Q102),1,Inputs!$B$15)*Inputs!$B$16*(1+Inputs!$B$11)^(AL$2-1),0)</f>
        <v>0</v>
      </c>
      <c r="AM103" s="11" t="n">
        <f aca="false">IF(AND(AM$1&gt;=Units!$Q102,MOD(AM$1-Units!$Q102,12)=0),IF(AND(Units!$L102=1,AM$1=Units!$Q102),1,Inputs!$B$15)*Inputs!$B$16*(1+Inputs!$B$11)^(AM$2-1),0)</f>
        <v>0</v>
      </c>
      <c r="AN103" s="11" t="n">
        <f aca="false">IF(AND(AN$1&gt;=Units!$Q102,MOD(AN$1-Units!$Q102,12)=0),IF(AND(Units!$L102=1,AN$1=Units!$Q102),1,Inputs!$B$15)*Inputs!$B$16*(1+Inputs!$B$11)^(AN$2-1),0)</f>
        <v>0</v>
      </c>
      <c r="AO103" s="11" t="n">
        <f aca="false">IF(AND(AO$1&gt;=Units!$Q102,MOD(AO$1-Units!$Q102,12)=0),IF(AND(Units!$L102=1,AO$1=Units!$Q102),1,Inputs!$B$15)*Inputs!$B$16*(1+Inputs!$B$11)^(AO$2-1),0)</f>
        <v>546.3635</v>
      </c>
      <c r="AP103" s="11" t="n">
        <f aca="false">IF(AND(AP$1&gt;=Units!$Q102,MOD(AP$1-Units!$Q102,12)=0),IF(AND(Units!$L102=1,AP$1=Units!$Q102),1,Inputs!$B$15)*Inputs!$B$16*(1+Inputs!$B$11)^(AP$2-1),0)</f>
        <v>0</v>
      </c>
      <c r="AQ103" s="11" t="n">
        <f aca="false">IF(AND(AQ$1&gt;=Units!$Q102,MOD(AQ$1-Units!$Q102,12)=0),IF(AND(Units!$L102=1,AQ$1=Units!$Q102),1,Inputs!$B$15)*Inputs!$B$16*(1+Inputs!$B$11)^(AQ$2-1),0)</f>
        <v>0</v>
      </c>
      <c r="AR103" s="11" t="n">
        <f aca="false">IF(AND(AR$1&gt;=Units!$Q102,MOD(AR$1-Units!$Q102,12)=0),IF(AND(Units!$L102=1,AR$1=Units!$Q102),1,Inputs!$B$15)*Inputs!$B$16*(1+Inputs!$B$11)^(AR$2-1),0)</f>
        <v>0</v>
      </c>
      <c r="AS103" s="11" t="n">
        <f aca="false">IF(AND(AS$1&gt;=Units!$Q102,MOD(AS$1-Units!$Q102,12)=0),IF(AND(Units!$L102=1,AS$1=Units!$Q102),1,Inputs!$B$15)*Inputs!$B$16*(1+Inputs!$B$11)^(AS$2-1),0)</f>
        <v>0</v>
      </c>
      <c r="AT103" s="11" t="n">
        <f aca="false">IF(AND(AT$1&gt;=Units!$Q102,MOD(AT$1-Units!$Q102,12)=0),IF(AND(Units!$L102=1,AT$1=Units!$Q102),1,Inputs!$B$15)*Inputs!$B$16*(1+Inputs!$B$11)^(AT$2-1),0)</f>
        <v>0</v>
      </c>
      <c r="AU103" s="11" t="n">
        <f aca="false">IF(AND(AU$1&gt;=Units!$Q102,MOD(AU$1-Units!$Q102,12)=0),IF(AND(Units!$L102=1,AU$1=Units!$Q102),1,Inputs!$B$15)*Inputs!$B$16*(1+Inputs!$B$11)^(AU$2-1),0)</f>
        <v>0</v>
      </c>
      <c r="AV103" s="11" t="n">
        <f aca="false">IF(AND(AV$1&gt;=Units!$Q102,MOD(AV$1-Units!$Q102,12)=0),IF(AND(Units!$L102=1,AV$1=Units!$Q102),1,Inputs!$B$15)*Inputs!$B$16*(1+Inputs!$B$11)^(AV$2-1),0)</f>
        <v>0</v>
      </c>
      <c r="AW103" s="11" t="n">
        <f aca="false">IF(AND(AW$1&gt;=Units!$Q102,MOD(AW$1-Units!$Q102,12)=0),IF(AND(Units!$L102=1,AW$1=Units!$Q102),1,Inputs!$B$15)*Inputs!$B$16*(1+Inputs!$B$11)^(AW$2-1),0)</f>
        <v>0</v>
      </c>
      <c r="AX103" s="11" t="n">
        <f aca="false">IF(AND(AX$1&gt;=Units!$Q102,MOD(AX$1-Units!$Q102,12)=0),IF(AND(Units!$L102=1,AX$1=Units!$Q102),1,Inputs!$B$15)*Inputs!$B$16*(1+Inputs!$B$11)^(AX$2-1),0)</f>
        <v>0</v>
      </c>
      <c r="AY103" s="11" t="n">
        <f aca="false">IF(AND(AY$1&gt;=Units!$Q102,MOD(AY$1-Units!$Q102,12)=0),IF(AND(Units!$L102=1,AY$1=Units!$Q102),1,Inputs!$B$15)*Inputs!$B$16*(1+Inputs!$B$11)^(AY$2-1),0)</f>
        <v>0</v>
      </c>
      <c r="AZ103" s="11" t="n">
        <f aca="false">IF(AND(AZ$1&gt;=Units!$Q102,MOD(AZ$1-Units!$Q102,12)=0),IF(AND(Units!$L102=1,AZ$1=Units!$Q102),1,Inputs!$B$15)*Inputs!$B$16*(1+Inputs!$B$11)^(AZ$2-1),0)</f>
        <v>0</v>
      </c>
      <c r="BA103" s="11" t="n">
        <f aca="false">IF(AND(BA$1&gt;=Units!$Q102,MOD(BA$1-Units!$Q102,12)=0),IF(AND(Units!$L102=1,BA$1=Units!$Q102),1,Inputs!$B$15)*Inputs!$B$16*(1+Inputs!$B$11)^(BA$2-1),0)</f>
        <v>562.754405</v>
      </c>
      <c r="BB103" s="11" t="n">
        <f aca="false">IF(AND(BB$1&gt;=Units!$Q102,MOD(BB$1-Units!$Q102,12)=0),IF(AND(Units!$L102=1,BB$1=Units!$Q102),1,Inputs!$B$15)*Inputs!$B$16*(1+Inputs!$B$11)^(BB$2-1),0)</f>
        <v>0</v>
      </c>
      <c r="BC103" s="11" t="n">
        <f aca="false">IF(AND(BC$1&gt;=Units!$Q102,MOD(BC$1-Units!$Q102,12)=0),IF(AND(Units!$L102=1,BC$1=Units!$Q102),1,Inputs!$B$15)*Inputs!$B$16*(1+Inputs!$B$11)^(BC$2-1),0)</f>
        <v>0</v>
      </c>
      <c r="BD103" s="11" t="n">
        <f aca="false">IF(AND(BD$1&gt;=Units!$Q102,MOD(BD$1-Units!$Q102,12)=0),IF(AND(Units!$L102=1,BD$1=Units!$Q102),1,Inputs!$B$15)*Inputs!$B$16*(1+Inputs!$B$11)^(BD$2-1),0)</f>
        <v>0</v>
      </c>
      <c r="BE103" s="11" t="n">
        <f aca="false">IF(AND(BE$1&gt;=Units!$Q102,MOD(BE$1-Units!$Q102,12)=0),IF(AND(Units!$L102=1,BE$1=Units!$Q102),1,Inputs!$B$15)*Inputs!$B$16*(1+Inputs!$B$11)^(BE$2-1),0)</f>
        <v>0</v>
      </c>
      <c r="BF103" s="11" t="n">
        <f aca="false">IF(AND(BF$1&gt;=Units!$Q102,MOD(BF$1-Units!$Q102,12)=0),IF(AND(Units!$L102=1,BF$1=Units!$Q102),1,Inputs!$B$15)*Inputs!$B$16*(1+Inputs!$B$11)^(BF$2-1),0)</f>
        <v>0</v>
      </c>
      <c r="BG103" s="11" t="n">
        <f aca="false">IF(AND(BG$1&gt;=Units!$Q102,MOD(BG$1-Units!$Q102,12)=0),IF(AND(Units!$L102=1,BG$1=Units!$Q102),1,Inputs!$B$15)*Inputs!$B$16*(1+Inputs!$B$11)^(BG$2-1),0)</f>
        <v>0</v>
      </c>
      <c r="BH103" s="11" t="n">
        <f aca="false">IF(AND(BH$1&gt;=Units!$Q102,MOD(BH$1-Units!$Q102,12)=0),IF(AND(Units!$L102=1,BH$1=Units!$Q102),1,Inputs!$B$15)*Inputs!$B$16*(1+Inputs!$B$11)^(BH$2-1),0)</f>
        <v>0</v>
      </c>
      <c r="BI103" s="11" t="n">
        <f aca="false">IF(AND(BI$1&gt;=Units!$Q102,MOD(BI$1-Units!$Q102,12)=0),IF(AND(Units!$L102=1,BI$1=Units!$Q102),1,Inputs!$B$15)*Inputs!$B$16*(1+Inputs!$B$11)^(BI$2-1),0)</f>
        <v>0</v>
      </c>
      <c r="BJ103" s="11" t="n">
        <f aca="false">IF(AND(BJ$1&gt;=Units!$Q102,MOD(BJ$1-Units!$Q102,12)=0),IF(AND(Units!$L102=1,BJ$1=Units!$Q102),1,Inputs!$B$15)*Inputs!$B$16*(1+Inputs!$B$11)^(BJ$2-1),0)</f>
        <v>0</v>
      </c>
      <c r="BK103" s="11" t="n">
        <f aca="false">IF(AND(BK$1&gt;=Units!$Q102,MOD(BK$1-Units!$Q102,12)=0),IF(AND(Units!$L102=1,BK$1=Units!$Q102),1,Inputs!$B$15)*Inputs!$B$16*(1+Inputs!$B$11)^(BK$2-1),0)</f>
        <v>0</v>
      </c>
      <c r="BL103" s="11" t="n">
        <f aca="false">IF(AND(BL$1&gt;=Units!$Q102,MOD(BL$1-Units!$Q102,12)=0),IF(AND(Units!$L102=1,BL$1=Units!$Q102),1,Inputs!$B$15)*Inputs!$B$16*(1+Inputs!$B$11)^(BL$2-1),0)</f>
        <v>0</v>
      </c>
      <c r="BM103" s="11" t="n">
        <f aca="false">IF(AND(BM$1&gt;=Units!$Q102,MOD(BM$1-Units!$Q102,12)=0),IF(AND(Units!$L102=1,BM$1=Units!$Q102),1,Inputs!$B$15)*Inputs!$B$16*(1+Inputs!$B$11)^(BM$2-1),0)</f>
        <v>579.63703715</v>
      </c>
      <c r="BN103" s="11" t="n">
        <f aca="false">IF(AND(BN$1&gt;=Units!$Q102,MOD(BN$1-Units!$Q102,12)=0),IF(AND(Units!$L102=1,BN$1=Units!$Q102),1,Inputs!$B$15)*Inputs!$B$16*(1+Inputs!$B$11)^(BN$2-1),0)</f>
        <v>0</v>
      </c>
      <c r="BO103" s="11" t="n">
        <f aca="false">IF(AND(BO$1&gt;=Units!$Q102,MOD(BO$1-Units!$Q102,12)=0),IF(AND(Units!$L102=1,BO$1=Units!$Q102),1,Inputs!$B$15)*Inputs!$B$16*(1+Inputs!$B$11)^(BO$2-1),0)</f>
        <v>0</v>
      </c>
      <c r="BP103" s="11" t="n">
        <f aca="false">IF(AND(BP$1&gt;=Units!$Q102,MOD(BP$1-Units!$Q102,12)=0),IF(AND(Units!$L102=1,BP$1=Units!$Q102),1,Inputs!$B$15)*Inputs!$B$16*(1+Inputs!$B$11)^(BP$2-1),0)</f>
        <v>0</v>
      </c>
      <c r="BQ103" s="11" t="n">
        <f aca="false">IF(AND(BQ$1&gt;=Units!$Q102,MOD(BQ$1-Units!$Q102,12)=0),IF(AND(Units!$L102=1,BQ$1=Units!$Q102),1,Inputs!$B$15)*Inputs!$B$16*(1+Inputs!$B$11)^(BQ$2-1),0)</f>
        <v>0</v>
      </c>
      <c r="BR103" s="11" t="n">
        <f aca="false">IF(AND(BR$1&gt;=Units!$Q102,MOD(BR$1-Units!$Q102,12)=0),IF(AND(Units!$L102=1,BR$1=Units!$Q102),1,Inputs!$B$15)*Inputs!$B$16*(1+Inputs!$B$11)^(BR$2-1),0)</f>
        <v>0</v>
      </c>
      <c r="BS103" s="11" t="n">
        <f aca="false">IF(AND(BS$1&gt;=Units!$Q102,MOD(BS$1-Units!$Q102,12)=0),IF(AND(Units!$L102=1,BS$1=Units!$Q102),1,Inputs!$B$15)*Inputs!$B$16*(1+Inputs!$B$11)^(BS$2-1),0)</f>
        <v>0</v>
      </c>
      <c r="BT103" s="11" t="n">
        <f aca="false">IF(AND(BT$1&gt;=Units!$Q102,MOD(BT$1-Units!$Q102,12)=0),IF(AND(Units!$L102=1,BT$1=Units!$Q102),1,Inputs!$B$15)*Inputs!$B$16*(1+Inputs!$B$11)^(BT$2-1),0)</f>
        <v>0</v>
      </c>
      <c r="BU103" s="11" t="n">
        <f aca="false">IF(AND(BU$1&gt;=Units!$Q102,MOD(BU$1-Units!$Q102,12)=0),IF(AND(Units!$L102=1,BU$1=Units!$Q102),1,Inputs!$B$15)*Inputs!$B$16*(1+Inputs!$B$11)^(BU$2-1),0)</f>
        <v>0</v>
      </c>
      <c r="BV103" s="11" t="n">
        <f aca="false">IF(AND(BV$1&gt;=Units!$Q102,MOD(BV$1-Units!$Q102,12)=0),IF(AND(Units!$L102=1,BV$1=Units!$Q102),1,Inputs!$B$15)*Inputs!$B$16*(1+Inputs!$B$11)^(BV$2-1),0)</f>
        <v>0</v>
      </c>
      <c r="BW103" s="11" t="n">
        <f aca="false">IF(AND(BW$1&gt;=Units!$Q102,MOD(BW$1-Units!$Q102,12)=0),IF(AND(Units!$L102=1,BW$1=Units!$Q102),1,Inputs!$B$15)*Inputs!$B$16*(1+Inputs!$B$11)^(BW$2-1),0)</f>
        <v>0</v>
      </c>
      <c r="BX103" s="11" t="n">
        <f aca="false">IF(AND(BX$1&gt;=Units!$Q102,MOD(BX$1-Units!$Q102,12)=0),IF(AND(Units!$L102=1,BX$1=Units!$Q102),1,Inputs!$B$15)*Inputs!$B$16*(1+Inputs!$B$11)^(BX$2-1),0)</f>
        <v>0</v>
      </c>
      <c r="BY103" s="11" t="n">
        <f aca="false">IF(AND(BY$1&gt;=Units!$Q102,MOD(BY$1-Units!$Q102,12)=0),IF(AND(Units!$L102=1,BY$1=Units!$Q102),1,Inputs!$B$15)*Inputs!$B$16*(1+Inputs!$B$11)^(BY$2-1),0)</f>
        <v>597.0261482645</v>
      </c>
      <c r="BZ103" s="11" t="n">
        <f aca="false">IF(AND(BZ$1&gt;=Units!$Q102,MOD(BZ$1-Units!$Q102,12)=0),IF(AND(Units!$L102=1,BZ$1=Units!$Q102),1,Inputs!$B$15)*Inputs!$B$16*(1+Inputs!$B$11)^(BZ$2-1),0)</f>
        <v>0</v>
      </c>
      <c r="CA103" s="11" t="n">
        <f aca="false">IF(AND(CA$1&gt;=Units!$Q102,MOD(CA$1-Units!$Q102,12)=0),IF(AND(Units!$L102=1,CA$1=Units!$Q102),1,Inputs!$B$15)*Inputs!$B$16*(1+Inputs!$B$11)^(CA$2-1),0)</f>
        <v>0</v>
      </c>
      <c r="CB103" s="11" t="n">
        <f aca="false">IF(AND(CB$1&gt;=Units!$Q102,MOD(CB$1-Units!$Q102,12)=0),IF(AND(Units!$L102=1,CB$1=Units!$Q102),1,Inputs!$B$15)*Inputs!$B$16*(1+Inputs!$B$11)^(CB$2-1),0)</f>
        <v>0</v>
      </c>
      <c r="CC103" s="11" t="n">
        <f aca="false">IF(AND(CC$1&gt;=Units!$Q102,MOD(CC$1-Units!$Q102,12)=0),IF(AND(Units!$L102=1,CC$1=Units!$Q102),1,Inputs!$B$15)*Inputs!$B$16*(1+Inputs!$B$11)^(CC$2-1),0)</f>
        <v>0</v>
      </c>
      <c r="CD103" s="11" t="n">
        <f aca="false">IF(AND(CD$1&gt;=Units!$Q102,MOD(CD$1-Units!$Q102,12)=0),IF(AND(Units!$L102=1,CD$1=Units!$Q102),1,Inputs!$B$15)*Inputs!$B$16*(1+Inputs!$B$11)^(CD$2-1),0)</f>
        <v>0</v>
      </c>
      <c r="CE103" s="11" t="n">
        <f aca="false">IF(AND(CE$1&gt;=Units!$Q102,MOD(CE$1-Units!$Q102,12)=0),IF(AND(Units!$L102=1,CE$1=Units!$Q102),1,Inputs!$B$15)*Inputs!$B$16*(1+Inputs!$B$11)^(CE$2-1),0)</f>
        <v>0</v>
      </c>
      <c r="CF103" s="11" t="n">
        <f aca="false">IF(AND(CF$1&gt;=Units!$Q102,MOD(CF$1-Units!$Q102,12)=0),IF(AND(Units!$L102=1,CF$1=Units!$Q102),1,Inputs!$B$15)*Inputs!$B$16*(1+Inputs!$B$11)^(CF$2-1),0)</f>
        <v>0</v>
      </c>
      <c r="CG103" s="11" t="n">
        <f aca="false">IF(AND(CG$1&gt;=Units!$Q102,MOD(CG$1-Units!$Q102,12)=0),IF(AND(Units!$L102=1,CG$1=Units!$Q102),1,Inputs!$B$15)*Inputs!$B$16*(1+Inputs!$B$11)^(CG$2-1),0)</f>
        <v>0</v>
      </c>
      <c r="CH103" s="11" t="n">
        <f aca="false">IF(AND(CH$1&gt;=Units!$Q102,MOD(CH$1-Units!$Q102,12)=0),IF(AND(Units!$L102=1,CH$1=Units!$Q102),1,Inputs!$B$15)*Inputs!$B$16*(1+Inputs!$B$11)^(CH$2-1),0)</f>
        <v>0</v>
      </c>
      <c r="CI103" s="11" t="n">
        <f aca="false">IF(AND(CI$1&gt;=Units!$Q102,MOD(CI$1-Units!$Q102,12)=0),IF(AND(Units!$L102=1,CI$1=Units!$Q102),1,Inputs!$B$15)*Inputs!$B$16*(1+Inputs!$B$11)^(CI$2-1),0)</f>
        <v>0</v>
      </c>
      <c r="CJ103" s="11" t="n">
        <f aca="false">IF(AND(CJ$1&gt;=Units!$Q102,MOD(CJ$1-Units!$Q102,12)=0),IF(AND(Units!$L102=1,CJ$1=Units!$Q102),1,Inputs!$B$15)*Inputs!$B$16*(1+Inputs!$B$11)^(CJ$2-1),0)</f>
        <v>0</v>
      </c>
      <c r="CK103" s="11" t="n">
        <f aca="false">IF(AND(CK$1&gt;=Units!$Q102,MOD(CK$1-Units!$Q102,12)=0),IF(AND(Units!$L102=1,CK$1=Units!$Q102),1,Inputs!$B$15)*Inputs!$B$16*(1+Inputs!$B$11)^(CK$2-1),0)</f>
        <v>614.936932712435</v>
      </c>
      <c r="CL103" s="11" t="n">
        <f aca="false">IF(AND(CL$1&gt;=Units!$Q102,MOD(CL$1-Units!$Q102,12)=0),IF(AND(Units!$L102=1,CL$1=Units!$Q102),1,Inputs!$B$15)*Inputs!$B$16*(1+Inputs!$B$11)^(CL$2-1),0)</f>
        <v>0</v>
      </c>
      <c r="CM103" s="11" t="n">
        <f aca="false">IF(AND(CM$1&gt;=Units!$Q102,MOD(CM$1-Units!$Q102,12)=0),IF(AND(Units!$L102=1,CM$1=Units!$Q102),1,Inputs!$B$15)*Inputs!$B$16*(1+Inputs!$B$11)^(CM$2-1),0)</f>
        <v>0</v>
      </c>
      <c r="CN103" s="11" t="n">
        <f aca="false">IF(AND(CN$1&gt;=Units!$Q102,MOD(CN$1-Units!$Q102,12)=0),IF(AND(Units!$L102=1,CN$1=Units!$Q102),1,Inputs!$B$15)*Inputs!$B$16*(1+Inputs!$B$11)^(CN$2-1),0)</f>
        <v>0</v>
      </c>
      <c r="CO103" s="11" t="n">
        <f aca="false">IF(AND(CO$1&gt;=Units!$Q102,MOD(CO$1-Units!$Q102,12)=0),IF(AND(Units!$L102=1,CO$1=Units!$Q102),1,Inputs!$B$15)*Inputs!$B$16*(1+Inputs!$B$11)^(CO$2-1),0)</f>
        <v>0</v>
      </c>
      <c r="CP103" s="11" t="n">
        <f aca="false">IF(AND(CP$1&gt;=Units!$Q102,MOD(CP$1-Units!$Q102,12)=0),IF(AND(Units!$L102=1,CP$1=Units!$Q102),1,Inputs!$B$15)*Inputs!$B$16*(1+Inputs!$B$11)^(CP$2-1),0)</f>
        <v>0</v>
      </c>
      <c r="CQ103" s="11" t="n">
        <f aca="false">IF(AND(CQ$1&gt;=Units!$Q102,MOD(CQ$1-Units!$Q102,12)=0),IF(AND(Units!$L102=1,CQ$1=Units!$Q102),1,Inputs!$B$15)*Inputs!$B$16*(1+Inputs!$B$11)^(CQ$2-1),0)</f>
        <v>0</v>
      </c>
      <c r="CR103" s="11" t="n">
        <f aca="false">IF(AND(CR$1&gt;=Units!$Q102,MOD(CR$1-Units!$Q102,12)=0),IF(AND(Units!$L102=1,CR$1=Units!$Q102),1,Inputs!$B$15)*Inputs!$B$16*(1+Inputs!$B$11)^(CR$2-1),0)</f>
        <v>0</v>
      </c>
      <c r="CS103" s="11" t="n">
        <f aca="false">IF(AND(CS$1&gt;=Units!$Q102,MOD(CS$1-Units!$Q102,12)=0),IF(AND(Units!$L102=1,CS$1=Units!$Q102),1,Inputs!$B$15)*Inputs!$B$16*(1+Inputs!$B$11)^(CS$2-1),0)</f>
        <v>0</v>
      </c>
      <c r="CT103" s="11" t="n">
        <f aca="false">IF(AND(CT$1&gt;=Units!$Q102,MOD(CT$1-Units!$Q102,12)=0),IF(AND(Units!$L102=1,CT$1=Units!$Q102),1,Inputs!$B$15)*Inputs!$B$16*(1+Inputs!$B$11)^(CT$2-1),0)</f>
        <v>0</v>
      </c>
      <c r="CU103" s="11" t="n">
        <f aca="false">IF(AND(CU$1&gt;=Units!$Q102,MOD(CU$1-Units!$Q102,12)=0),IF(AND(Units!$L102=1,CU$1=Units!$Q102),1,Inputs!$B$15)*Inputs!$B$16*(1+Inputs!$B$11)^(CU$2-1),0)</f>
        <v>0</v>
      </c>
      <c r="CV103" s="11" t="n">
        <f aca="false">IF(AND(CV$1&gt;=Units!$Q102,MOD(CV$1-Units!$Q102,12)=0),IF(AND(Units!$L102=1,CV$1=Units!$Q102),1,Inputs!$B$15)*Inputs!$B$16*(1+Inputs!$B$11)^(CV$2-1),0)</f>
        <v>0</v>
      </c>
      <c r="CW103" s="11" t="n">
        <f aca="false">IF(AND(CW$1&gt;=Units!$Q102,MOD(CW$1-Units!$Q102,12)=0),IF(AND(Units!$L102=1,CW$1=Units!$Q102),1,Inputs!$B$15)*Inputs!$B$16*(1+Inputs!$B$11)^(CW$2-1),0)</f>
        <v>633.385040693808</v>
      </c>
      <c r="CX103" s="11" t="n">
        <f aca="false">IF(AND(CX$1&gt;=Units!$Q102,MOD(CX$1-Units!$Q102,12)=0),IF(AND(Units!$L102=1,CX$1=Units!$Q102),1,Inputs!$B$15)*Inputs!$B$16*(1+Inputs!$B$11)^(CX$2-1),0)</f>
        <v>0</v>
      </c>
      <c r="CY103" s="11" t="n">
        <f aca="false">IF(AND(CY$1&gt;=Units!$Q102,MOD(CY$1-Units!$Q102,12)=0),IF(AND(Units!$L102=1,CY$1=Units!$Q102),1,Inputs!$B$15)*Inputs!$B$16*(1+Inputs!$B$11)^(CY$2-1),0)</f>
        <v>0</v>
      </c>
      <c r="CZ103" s="11" t="n">
        <f aca="false">IF(AND(CZ$1&gt;=Units!$Q102,MOD(CZ$1-Units!$Q102,12)=0),IF(AND(Units!$L102=1,CZ$1=Units!$Q102),1,Inputs!$B$15)*Inputs!$B$16*(1+Inputs!$B$11)^(CZ$2-1),0)</f>
        <v>0</v>
      </c>
      <c r="DA103" s="11" t="n">
        <f aca="false">IF(AND(DA$1&gt;=Units!$Q102,MOD(DA$1-Units!$Q102,12)=0),IF(AND(Units!$L102=1,DA$1=Units!$Q102),1,Inputs!$B$15)*Inputs!$B$16*(1+Inputs!$B$11)^(DA$2-1),0)</f>
        <v>0</v>
      </c>
      <c r="DB103" s="11" t="n">
        <f aca="false">IF(AND(DB$1&gt;=Units!$Q102,MOD(DB$1-Units!$Q102,12)=0),IF(AND(Units!$L102=1,DB$1=Units!$Q102),1,Inputs!$B$15)*Inputs!$B$16*(1+Inputs!$B$11)^(DB$2-1),0)</f>
        <v>0</v>
      </c>
      <c r="DC103" s="11" t="n">
        <f aca="false">IF(AND(DC$1&gt;=Units!$Q102,MOD(DC$1-Units!$Q102,12)=0),IF(AND(Units!$L102=1,DC$1=Units!$Q102),1,Inputs!$B$15)*Inputs!$B$16*(1+Inputs!$B$11)^(DC$2-1),0)</f>
        <v>0</v>
      </c>
      <c r="DD103" s="11" t="n">
        <f aca="false">IF(AND(DD$1&gt;=Units!$Q102,MOD(DD$1-Units!$Q102,12)=0),IF(AND(Units!$L102=1,DD$1=Units!$Q102),1,Inputs!$B$15)*Inputs!$B$16*(1+Inputs!$B$11)^(DD$2-1),0)</f>
        <v>0</v>
      </c>
      <c r="DE103" s="11" t="n">
        <f aca="false">IF(AND(DE$1&gt;=Units!$Q102,MOD(DE$1-Units!$Q102,12)=0),IF(AND(Units!$L102=1,DE$1=Units!$Q102),1,Inputs!$B$15)*Inputs!$B$16*(1+Inputs!$B$11)^(DE$2-1),0)</f>
        <v>0</v>
      </c>
      <c r="DF103" s="11" t="n">
        <f aca="false">IF(AND(DF$1&gt;=Units!$Q102,MOD(DF$1-Units!$Q102,12)=0),IF(AND(Units!$L102=1,DF$1=Units!$Q102),1,Inputs!$B$15)*Inputs!$B$16*(1+Inputs!$B$11)^(DF$2-1),0)</f>
        <v>0</v>
      </c>
      <c r="DG103" s="11" t="n">
        <f aca="false">IF(AND(DG$1&gt;=Units!$Q102,MOD(DG$1-Units!$Q102,12)=0),IF(AND(Units!$L102=1,DG$1=Units!$Q102),1,Inputs!$B$15)*Inputs!$B$16*(1+Inputs!$B$11)^(DG$2-1),0)</f>
        <v>0</v>
      </c>
      <c r="DH103" s="11" t="n">
        <f aca="false">IF(AND(DH$1&gt;=Units!$Q102,MOD(DH$1-Units!$Q102,12)=0),IF(AND(Units!$L102=1,DH$1=Units!$Q102),1,Inputs!$B$15)*Inputs!$B$16*(1+Inputs!$B$11)^(DH$2-1),0)</f>
        <v>0</v>
      </c>
      <c r="DI103" s="11" t="n">
        <f aca="false">IF(AND(DI$1&gt;=Units!$Q102,MOD(DI$1-Units!$Q102,12)=0),IF(AND(Units!$L102=1,DI$1=Units!$Q102),1,Inputs!$B$15)*Inputs!$B$16*(1+Inputs!$B$11)^(DI$2-1),0)</f>
        <v>652.386591914623</v>
      </c>
      <c r="DJ103" s="11" t="n">
        <f aca="false">IF(AND(DJ$1&gt;=Units!$Q102,MOD(DJ$1-Units!$Q102,12)=0),IF(AND(Units!$L102=1,DJ$1=Units!$Q102),1,Inputs!$B$15)*Inputs!$B$16*(1+Inputs!$B$11)^(DJ$2-1),0)</f>
        <v>0</v>
      </c>
      <c r="DK103" s="11" t="n">
        <f aca="false">IF(AND(DK$1&gt;=Units!$Q102,MOD(DK$1-Units!$Q102,12)=0),IF(AND(Units!$L102=1,DK$1=Units!$Q102),1,Inputs!$B$15)*Inputs!$B$16*(1+Inputs!$B$11)^(DK$2-1),0)</f>
        <v>0</v>
      </c>
      <c r="DL103" s="11" t="n">
        <f aca="false">IF(AND(DL$1&gt;=Units!$Q102,MOD(DL$1-Units!$Q102,12)=0),IF(AND(Units!$L102=1,DL$1=Units!$Q102),1,Inputs!$B$15)*Inputs!$B$16*(1+Inputs!$B$11)^(DL$2-1),0)</f>
        <v>0</v>
      </c>
      <c r="DM103" s="11" t="n">
        <f aca="false">IF(AND(DM$1&gt;=Units!$Q102,MOD(DM$1-Units!$Q102,12)=0),IF(AND(Units!$L102=1,DM$1=Units!$Q102),1,Inputs!$B$15)*Inputs!$B$16*(1+Inputs!$B$11)^(DM$2-1),0)</f>
        <v>0</v>
      </c>
      <c r="DN103" s="11" t="n">
        <f aca="false">IF(AND(DN$1&gt;=Units!$Q102,MOD(DN$1-Units!$Q102,12)=0),IF(AND(Units!$L102=1,DN$1=Units!$Q102),1,Inputs!$B$15)*Inputs!$B$16*(1+Inputs!$B$11)^(DN$2-1),0)</f>
        <v>0</v>
      </c>
      <c r="DO103" s="11" t="n">
        <f aca="false">IF(AND(DO$1&gt;=Units!$Q102,MOD(DO$1-Units!$Q102,12)=0),IF(AND(Units!$L102=1,DO$1=Units!$Q102),1,Inputs!$B$15)*Inputs!$B$16*(1+Inputs!$B$11)^(DO$2-1),0)</f>
        <v>0</v>
      </c>
      <c r="DP103" s="11" t="n">
        <f aca="false">IF(AND(DP$1&gt;=Units!$Q102,MOD(DP$1-Units!$Q102,12)=0),IF(AND(Units!$L102=1,DP$1=Units!$Q102),1,Inputs!$B$15)*Inputs!$B$16*(1+Inputs!$B$11)^(DP$2-1),0)</f>
        <v>0</v>
      </c>
      <c r="DQ103" s="11" t="n">
        <f aca="false">IF(AND(DQ$1&gt;=Units!$Q102,MOD(DQ$1-Units!$Q102,12)=0),IF(AND(Units!$L102=1,DQ$1=Units!$Q102),1,Inputs!$B$15)*Inputs!$B$16*(1+Inputs!$B$11)^(DQ$2-1),0)</f>
        <v>0</v>
      </c>
      <c r="DR103" s="11" t="n">
        <f aca="false">IF(AND(DR$1&gt;=Units!$Q102,MOD(DR$1-Units!$Q102,12)=0),IF(AND(Units!$L102=1,DR$1=Units!$Q102),1,Inputs!$B$15)*Inputs!$B$16*(1+Inputs!$B$11)^(DR$2-1),0)</f>
        <v>0</v>
      </c>
      <c r="DS103" s="11" t="n">
        <f aca="false">IF(AND(DS$1&gt;=Units!$Q102,MOD(DS$1-Units!$Q102,12)=0),IF(AND(Units!$L102=1,DS$1=Units!$Q102),1,Inputs!$B$15)*Inputs!$B$16*(1+Inputs!$B$11)^(DS$2-1),0)</f>
        <v>0</v>
      </c>
      <c r="DT103" s="11" t="n">
        <f aca="false">IF(AND(DT$1&gt;=Units!$Q102,MOD(DT$1-Units!$Q102,12)=0),IF(AND(Units!$L102=1,DT$1=Units!$Q102),1,Inputs!$B$15)*Inputs!$B$16*(1+Inputs!$B$11)^(DT$2-1),0)</f>
        <v>0</v>
      </c>
      <c r="DU103" s="11" t="n">
        <f aca="false">IF(AND(DU$1&gt;=Units!$Q102,MOD(DU$1-Units!$Q102,12)=0),IF(AND(Units!$L102=1,DU$1=Units!$Q102),1,Inputs!$B$15)*Inputs!$B$16*(1+Inputs!$B$11)^(DU$2-1),0)</f>
        <v>671.958189672061</v>
      </c>
      <c r="DV103" s="11" t="n">
        <f aca="false">IF(AND(DV$1&gt;=Units!$Q102,MOD(DV$1-Units!$Q102,12)=0),IF(AND(Units!$L102=1,DV$1=Units!$Q102),1,Inputs!$B$15)*Inputs!$B$16*(1+Inputs!$B$11)^(DV$2-1),0)</f>
        <v>0</v>
      </c>
      <c r="DW103" s="11" t="n">
        <f aca="false">IF(AND(DW$1&gt;=Units!$Q102,MOD(DW$1-Units!$Q102,12)=0),IF(AND(Units!$L102=1,DW$1=Units!$Q102),1,Inputs!$B$15)*Inputs!$B$16*(1+Inputs!$B$11)^(DW$2-1),0)</f>
        <v>0</v>
      </c>
      <c r="DX103" s="11" t="n">
        <f aca="false">IF(AND(DX$1&gt;=Units!$Q102,MOD(DX$1-Units!$Q102,12)=0),IF(AND(Units!$L102=1,DX$1=Units!$Q102),1,Inputs!$B$15)*Inputs!$B$16*(1+Inputs!$B$11)^(DX$2-1),0)</f>
        <v>0</v>
      </c>
      <c r="DY103" s="11" t="n">
        <f aca="false">IF(AND(DY$1&gt;=Units!$Q102,MOD(DY$1-Units!$Q102,12)=0),IF(AND(Units!$L102=1,DY$1=Units!$Q102),1,Inputs!$B$15)*Inputs!$B$16*(1+Inputs!$B$11)^(DY$2-1),0)</f>
        <v>0</v>
      </c>
      <c r="DZ103" s="11" t="n">
        <f aca="false">IF(AND(DZ$1&gt;=Units!$Q102,MOD(DZ$1-Units!$Q102,12)=0),IF(AND(Units!$L102=1,DZ$1=Units!$Q102),1,Inputs!$B$15)*Inputs!$B$16*(1+Inputs!$B$11)^(DZ$2-1),0)</f>
        <v>0</v>
      </c>
      <c r="EA103" s="11" t="n">
        <f aca="false">IF(AND(EA$1&gt;=Units!$Q102,MOD(EA$1-Units!$Q102,12)=0),IF(AND(Units!$L102=1,EA$1=Units!$Q102),1,Inputs!$B$15)*Inputs!$B$16*(1+Inputs!$B$11)^(EA$2-1),0)</f>
        <v>0</v>
      </c>
      <c r="EB103" s="11" t="n">
        <f aca="false">IF(AND(EB$1&gt;=Units!$Q102,MOD(EB$1-Units!$Q102,12)=0),IF(AND(Units!$L102=1,EB$1=Units!$Q102),1,Inputs!$B$15)*Inputs!$B$16*(1+Inputs!$B$11)^(EB$2-1),0)</f>
        <v>0</v>
      </c>
      <c r="EC103" s="11" t="n">
        <f aca="false">IF(AND(EC$1&gt;=Units!$Q102,MOD(EC$1-Units!$Q102,12)=0),IF(AND(Units!$L102=1,EC$1=Units!$Q102),1,Inputs!$B$15)*Inputs!$B$16*(1+Inputs!$B$11)^(EC$2-1),0)</f>
        <v>0</v>
      </c>
      <c r="ED103" s="11" t="n">
        <f aca="false">IF(AND(ED$1&gt;=Units!$Q102,MOD(ED$1-Units!$Q102,12)=0),IF(AND(Units!$L102=1,ED$1=Units!$Q102),1,Inputs!$B$15)*Inputs!$B$16*(1+Inputs!$B$11)^(ED$2-1),0)</f>
        <v>0</v>
      </c>
    </row>
    <row r="104" customFormat="false" ht="15" hidden="false" customHeight="false" outlineLevel="0" collapsed="false">
      <c r="A104" s="22" t="n">
        <f aca="false">Units!A103</f>
        <v>412</v>
      </c>
      <c r="B104" s="23"/>
      <c r="C104" s="11" t="n">
        <f aca="false">IF(AND(C$1&gt;=Units!$Q103,MOD(C$1-Units!$Q103,12)=0),IF(AND(Units!$L103=1,C$1=Units!$Q103),1,Inputs!$B$15)*Inputs!$B$16*(1+Inputs!$B$11)^(C$2-1),0)</f>
        <v>0</v>
      </c>
      <c r="D104" s="11" t="n">
        <f aca="false">IF(AND(D$1&gt;=Units!$Q103,MOD(D$1-Units!$Q103,12)=0),IF(AND(Units!$L103=1,D$1=Units!$Q103),1,Inputs!$B$15)*Inputs!$B$16*(1+Inputs!$B$11)^(D$2-1),0)</f>
        <v>0</v>
      </c>
      <c r="E104" s="11" t="n">
        <f aca="false">IF(AND(E$1&gt;=Units!$Q103,MOD(E$1-Units!$Q103,12)=0),IF(AND(Units!$L103=1,E$1=Units!$Q103),1,Inputs!$B$15)*Inputs!$B$16*(1+Inputs!$B$11)^(E$2-1),0)</f>
        <v>0</v>
      </c>
      <c r="F104" s="11" t="n">
        <f aca="false">IF(AND(F$1&gt;=Units!$Q103,MOD(F$1-Units!$Q103,12)=0),IF(AND(Units!$L103=1,F$1=Units!$Q103),1,Inputs!$B$15)*Inputs!$B$16*(1+Inputs!$B$11)^(F$2-1),0)</f>
        <v>0</v>
      </c>
      <c r="G104" s="11" t="n">
        <f aca="false">IF(AND(G$1&gt;=Units!$Q103,MOD(G$1-Units!$Q103,12)=0),IF(AND(Units!$L103=1,G$1=Units!$Q103),1,Inputs!$B$15)*Inputs!$B$16*(1+Inputs!$B$11)^(G$2-1),0)</f>
        <v>0</v>
      </c>
      <c r="H104" s="11" t="n">
        <f aca="false">IF(AND(H$1&gt;=Units!$Q103,MOD(H$1-Units!$Q103,12)=0),IF(AND(Units!$L103=1,H$1=Units!$Q103),1,Inputs!$B$15)*Inputs!$B$16*(1+Inputs!$B$11)^(H$2-1),0)</f>
        <v>0</v>
      </c>
      <c r="I104" s="11" t="n">
        <f aca="false">IF(AND(I$1&gt;=Units!$Q103,MOD(I$1-Units!$Q103,12)=0),IF(AND(Units!$L103=1,I$1=Units!$Q103),1,Inputs!$B$15)*Inputs!$B$16*(1+Inputs!$B$11)^(I$2-1),0)</f>
        <v>0</v>
      </c>
      <c r="J104" s="11" t="n">
        <f aca="false">IF(AND(J$1&gt;=Units!$Q103,MOD(J$1-Units!$Q103,12)=0),IF(AND(Units!$L103=1,J$1=Units!$Q103),1,Inputs!$B$15)*Inputs!$B$16*(1+Inputs!$B$11)^(J$2-1),0)</f>
        <v>0</v>
      </c>
      <c r="K104" s="11" t="n">
        <f aca="false">IF(AND(K$1&gt;=Units!$Q103,MOD(K$1-Units!$Q103,12)=0),IF(AND(Units!$L103=1,K$1=Units!$Q103),1,Inputs!$B$15)*Inputs!$B$16*(1+Inputs!$B$11)^(K$2-1),0)</f>
        <v>0</v>
      </c>
      <c r="L104" s="11" t="n">
        <f aca="false">IF(AND(L$1&gt;=Units!$Q103,MOD(L$1-Units!$Q103,12)=0),IF(AND(Units!$L103=1,L$1=Units!$Q103),1,Inputs!$B$15)*Inputs!$B$16*(1+Inputs!$B$11)^(L$2-1),0)</f>
        <v>0</v>
      </c>
      <c r="M104" s="11" t="n">
        <f aca="false">IF(AND(M$1&gt;=Units!$Q103,MOD(M$1-Units!$Q103,12)=0),IF(AND(Units!$L103=1,M$1=Units!$Q103),1,Inputs!$B$15)*Inputs!$B$16*(1+Inputs!$B$11)^(M$2-1),0)</f>
        <v>0</v>
      </c>
      <c r="N104" s="11" t="n">
        <f aca="false">IF(AND(N$1&gt;=Units!$Q103,MOD(N$1-Units!$Q103,12)=0),IF(AND(Units!$L103=1,N$1=Units!$Q103),1,Inputs!$B$15)*Inputs!$B$16*(1+Inputs!$B$11)^(N$2-1),0)</f>
        <v>0</v>
      </c>
      <c r="O104" s="11" t="n">
        <f aca="false">IF(AND(O$1&gt;=Units!$Q103,MOD(O$1-Units!$Q103,12)=0),IF(AND(Units!$L103=1,O$1=Units!$Q103),1,Inputs!$B$15)*Inputs!$B$16*(1+Inputs!$B$11)^(O$2-1),0)</f>
        <v>0</v>
      </c>
      <c r="P104" s="11" t="n">
        <f aca="false">IF(AND(P$1&gt;=Units!$Q103,MOD(P$1-Units!$Q103,12)=0),IF(AND(Units!$L103=1,P$1=Units!$Q103),1,Inputs!$B$15)*Inputs!$B$16*(1+Inputs!$B$11)^(P$2-1),0)</f>
        <v>515</v>
      </c>
      <c r="Q104" s="11" t="n">
        <f aca="false">IF(AND(Q$1&gt;=Units!$Q103,MOD(Q$1-Units!$Q103,12)=0),IF(AND(Units!$L103=1,Q$1=Units!$Q103),1,Inputs!$B$15)*Inputs!$B$16*(1+Inputs!$B$11)^(Q$2-1),0)</f>
        <v>0</v>
      </c>
      <c r="R104" s="11" t="n">
        <f aca="false">IF(AND(R$1&gt;=Units!$Q103,MOD(R$1-Units!$Q103,12)=0),IF(AND(Units!$L103=1,R$1=Units!$Q103),1,Inputs!$B$15)*Inputs!$B$16*(1+Inputs!$B$11)^(R$2-1),0)</f>
        <v>0</v>
      </c>
      <c r="S104" s="11" t="n">
        <f aca="false">IF(AND(S$1&gt;=Units!$Q103,MOD(S$1-Units!$Q103,12)=0),IF(AND(Units!$L103=1,S$1=Units!$Q103),1,Inputs!$B$15)*Inputs!$B$16*(1+Inputs!$B$11)^(S$2-1),0)</f>
        <v>0</v>
      </c>
      <c r="T104" s="11" t="n">
        <f aca="false">IF(AND(T$1&gt;=Units!$Q103,MOD(T$1-Units!$Q103,12)=0),IF(AND(Units!$L103=1,T$1=Units!$Q103),1,Inputs!$B$15)*Inputs!$B$16*(1+Inputs!$B$11)^(T$2-1),0)</f>
        <v>0</v>
      </c>
      <c r="U104" s="11" t="n">
        <f aca="false">IF(AND(U$1&gt;=Units!$Q103,MOD(U$1-Units!$Q103,12)=0),IF(AND(Units!$L103=1,U$1=Units!$Q103),1,Inputs!$B$15)*Inputs!$B$16*(1+Inputs!$B$11)^(U$2-1),0)</f>
        <v>0</v>
      </c>
      <c r="V104" s="11" t="n">
        <f aca="false">IF(AND(V$1&gt;=Units!$Q103,MOD(V$1-Units!$Q103,12)=0),IF(AND(Units!$L103=1,V$1=Units!$Q103),1,Inputs!$B$15)*Inputs!$B$16*(1+Inputs!$B$11)^(V$2-1),0)</f>
        <v>0</v>
      </c>
      <c r="W104" s="11" t="n">
        <f aca="false">IF(AND(W$1&gt;=Units!$Q103,MOD(W$1-Units!$Q103,12)=0),IF(AND(Units!$L103=1,W$1=Units!$Q103),1,Inputs!$B$15)*Inputs!$B$16*(1+Inputs!$B$11)^(W$2-1),0)</f>
        <v>0</v>
      </c>
      <c r="X104" s="11" t="n">
        <f aca="false">IF(AND(X$1&gt;=Units!$Q103,MOD(X$1-Units!$Q103,12)=0),IF(AND(Units!$L103=1,X$1=Units!$Q103),1,Inputs!$B$15)*Inputs!$B$16*(1+Inputs!$B$11)^(X$2-1),0)</f>
        <v>0</v>
      </c>
      <c r="Y104" s="11" t="n">
        <f aca="false">IF(AND(Y$1&gt;=Units!$Q103,MOD(Y$1-Units!$Q103,12)=0),IF(AND(Units!$L103=1,Y$1=Units!$Q103),1,Inputs!$B$15)*Inputs!$B$16*(1+Inputs!$B$11)^(Y$2-1),0)</f>
        <v>0</v>
      </c>
      <c r="Z104" s="11" t="n">
        <f aca="false">IF(AND(Z$1&gt;=Units!$Q103,MOD(Z$1-Units!$Q103,12)=0),IF(AND(Units!$L103=1,Z$1=Units!$Q103),1,Inputs!$B$15)*Inputs!$B$16*(1+Inputs!$B$11)^(Z$2-1),0)</f>
        <v>0</v>
      </c>
      <c r="AA104" s="11" t="n">
        <f aca="false">IF(AND(AA$1&gt;=Units!$Q103,MOD(AA$1-Units!$Q103,12)=0),IF(AND(Units!$L103=1,AA$1=Units!$Q103),1,Inputs!$B$15)*Inputs!$B$16*(1+Inputs!$B$11)^(AA$2-1),0)</f>
        <v>0</v>
      </c>
      <c r="AB104" s="11" t="n">
        <f aca="false">IF(AND(AB$1&gt;=Units!$Q103,MOD(AB$1-Units!$Q103,12)=0),IF(AND(Units!$L103=1,AB$1=Units!$Q103),1,Inputs!$B$15)*Inputs!$B$16*(1+Inputs!$B$11)^(AB$2-1),0)</f>
        <v>530.45</v>
      </c>
      <c r="AC104" s="11" t="n">
        <f aca="false">IF(AND(AC$1&gt;=Units!$Q103,MOD(AC$1-Units!$Q103,12)=0),IF(AND(Units!$L103=1,AC$1=Units!$Q103),1,Inputs!$B$15)*Inputs!$B$16*(1+Inputs!$B$11)^(AC$2-1),0)</f>
        <v>0</v>
      </c>
      <c r="AD104" s="11" t="n">
        <f aca="false">IF(AND(AD$1&gt;=Units!$Q103,MOD(AD$1-Units!$Q103,12)=0),IF(AND(Units!$L103=1,AD$1=Units!$Q103),1,Inputs!$B$15)*Inputs!$B$16*(1+Inputs!$B$11)^(AD$2-1),0)</f>
        <v>0</v>
      </c>
      <c r="AE104" s="11" t="n">
        <f aca="false">IF(AND(AE$1&gt;=Units!$Q103,MOD(AE$1-Units!$Q103,12)=0),IF(AND(Units!$L103=1,AE$1=Units!$Q103),1,Inputs!$B$15)*Inputs!$B$16*(1+Inputs!$B$11)^(AE$2-1),0)</f>
        <v>0</v>
      </c>
      <c r="AF104" s="11" t="n">
        <f aca="false">IF(AND(AF$1&gt;=Units!$Q103,MOD(AF$1-Units!$Q103,12)=0),IF(AND(Units!$L103=1,AF$1=Units!$Q103),1,Inputs!$B$15)*Inputs!$B$16*(1+Inputs!$B$11)^(AF$2-1),0)</f>
        <v>0</v>
      </c>
      <c r="AG104" s="11" t="n">
        <f aca="false">IF(AND(AG$1&gt;=Units!$Q103,MOD(AG$1-Units!$Q103,12)=0),IF(AND(Units!$L103=1,AG$1=Units!$Q103),1,Inputs!$B$15)*Inputs!$B$16*(1+Inputs!$B$11)^(AG$2-1),0)</f>
        <v>0</v>
      </c>
      <c r="AH104" s="11" t="n">
        <f aca="false">IF(AND(AH$1&gt;=Units!$Q103,MOD(AH$1-Units!$Q103,12)=0),IF(AND(Units!$L103=1,AH$1=Units!$Q103),1,Inputs!$B$15)*Inputs!$B$16*(1+Inputs!$B$11)^(AH$2-1),0)</f>
        <v>0</v>
      </c>
      <c r="AI104" s="11" t="n">
        <f aca="false">IF(AND(AI$1&gt;=Units!$Q103,MOD(AI$1-Units!$Q103,12)=0),IF(AND(Units!$L103=1,AI$1=Units!$Q103),1,Inputs!$B$15)*Inputs!$B$16*(1+Inputs!$B$11)^(AI$2-1),0)</f>
        <v>0</v>
      </c>
      <c r="AJ104" s="11" t="n">
        <f aca="false">IF(AND(AJ$1&gt;=Units!$Q103,MOD(AJ$1-Units!$Q103,12)=0),IF(AND(Units!$L103=1,AJ$1=Units!$Q103),1,Inputs!$B$15)*Inputs!$B$16*(1+Inputs!$B$11)^(AJ$2-1),0)</f>
        <v>0</v>
      </c>
      <c r="AK104" s="11" t="n">
        <f aca="false">IF(AND(AK$1&gt;=Units!$Q103,MOD(AK$1-Units!$Q103,12)=0),IF(AND(Units!$L103=1,AK$1=Units!$Q103),1,Inputs!$B$15)*Inputs!$B$16*(1+Inputs!$B$11)^(AK$2-1),0)</f>
        <v>0</v>
      </c>
      <c r="AL104" s="11" t="n">
        <f aca="false">IF(AND(AL$1&gt;=Units!$Q103,MOD(AL$1-Units!$Q103,12)=0),IF(AND(Units!$L103=1,AL$1=Units!$Q103),1,Inputs!$B$15)*Inputs!$B$16*(1+Inputs!$B$11)^(AL$2-1),0)</f>
        <v>0</v>
      </c>
      <c r="AM104" s="11" t="n">
        <f aca="false">IF(AND(AM$1&gt;=Units!$Q103,MOD(AM$1-Units!$Q103,12)=0),IF(AND(Units!$L103=1,AM$1=Units!$Q103),1,Inputs!$B$15)*Inputs!$B$16*(1+Inputs!$B$11)^(AM$2-1),0)</f>
        <v>0</v>
      </c>
      <c r="AN104" s="11" t="n">
        <f aca="false">IF(AND(AN$1&gt;=Units!$Q103,MOD(AN$1-Units!$Q103,12)=0),IF(AND(Units!$L103=1,AN$1=Units!$Q103),1,Inputs!$B$15)*Inputs!$B$16*(1+Inputs!$B$11)^(AN$2-1),0)</f>
        <v>546.3635</v>
      </c>
      <c r="AO104" s="11" t="n">
        <f aca="false">IF(AND(AO$1&gt;=Units!$Q103,MOD(AO$1-Units!$Q103,12)=0),IF(AND(Units!$L103=1,AO$1=Units!$Q103),1,Inputs!$B$15)*Inputs!$B$16*(1+Inputs!$B$11)^(AO$2-1),0)</f>
        <v>0</v>
      </c>
      <c r="AP104" s="11" t="n">
        <f aca="false">IF(AND(AP$1&gt;=Units!$Q103,MOD(AP$1-Units!$Q103,12)=0),IF(AND(Units!$L103=1,AP$1=Units!$Q103),1,Inputs!$B$15)*Inputs!$B$16*(1+Inputs!$B$11)^(AP$2-1),0)</f>
        <v>0</v>
      </c>
      <c r="AQ104" s="11" t="n">
        <f aca="false">IF(AND(AQ$1&gt;=Units!$Q103,MOD(AQ$1-Units!$Q103,12)=0),IF(AND(Units!$L103=1,AQ$1=Units!$Q103),1,Inputs!$B$15)*Inputs!$B$16*(1+Inputs!$B$11)^(AQ$2-1),0)</f>
        <v>0</v>
      </c>
      <c r="AR104" s="11" t="n">
        <f aca="false">IF(AND(AR$1&gt;=Units!$Q103,MOD(AR$1-Units!$Q103,12)=0),IF(AND(Units!$L103=1,AR$1=Units!$Q103),1,Inputs!$B$15)*Inputs!$B$16*(1+Inputs!$B$11)^(AR$2-1),0)</f>
        <v>0</v>
      </c>
      <c r="AS104" s="11" t="n">
        <f aca="false">IF(AND(AS$1&gt;=Units!$Q103,MOD(AS$1-Units!$Q103,12)=0),IF(AND(Units!$L103=1,AS$1=Units!$Q103),1,Inputs!$B$15)*Inputs!$B$16*(1+Inputs!$B$11)^(AS$2-1),0)</f>
        <v>0</v>
      </c>
      <c r="AT104" s="11" t="n">
        <f aca="false">IF(AND(AT$1&gt;=Units!$Q103,MOD(AT$1-Units!$Q103,12)=0),IF(AND(Units!$L103=1,AT$1=Units!$Q103),1,Inputs!$B$15)*Inputs!$B$16*(1+Inputs!$B$11)^(AT$2-1),0)</f>
        <v>0</v>
      </c>
      <c r="AU104" s="11" t="n">
        <f aca="false">IF(AND(AU$1&gt;=Units!$Q103,MOD(AU$1-Units!$Q103,12)=0),IF(AND(Units!$L103=1,AU$1=Units!$Q103),1,Inputs!$B$15)*Inputs!$B$16*(1+Inputs!$B$11)^(AU$2-1),0)</f>
        <v>0</v>
      </c>
      <c r="AV104" s="11" t="n">
        <f aca="false">IF(AND(AV$1&gt;=Units!$Q103,MOD(AV$1-Units!$Q103,12)=0),IF(AND(Units!$L103=1,AV$1=Units!$Q103),1,Inputs!$B$15)*Inputs!$B$16*(1+Inputs!$B$11)^(AV$2-1),0)</f>
        <v>0</v>
      </c>
      <c r="AW104" s="11" t="n">
        <f aca="false">IF(AND(AW$1&gt;=Units!$Q103,MOD(AW$1-Units!$Q103,12)=0),IF(AND(Units!$L103=1,AW$1=Units!$Q103),1,Inputs!$B$15)*Inputs!$B$16*(1+Inputs!$B$11)^(AW$2-1),0)</f>
        <v>0</v>
      </c>
      <c r="AX104" s="11" t="n">
        <f aca="false">IF(AND(AX$1&gt;=Units!$Q103,MOD(AX$1-Units!$Q103,12)=0),IF(AND(Units!$L103=1,AX$1=Units!$Q103),1,Inputs!$B$15)*Inputs!$B$16*(1+Inputs!$B$11)^(AX$2-1),0)</f>
        <v>0</v>
      </c>
      <c r="AY104" s="11" t="n">
        <f aca="false">IF(AND(AY$1&gt;=Units!$Q103,MOD(AY$1-Units!$Q103,12)=0),IF(AND(Units!$L103=1,AY$1=Units!$Q103),1,Inputs!$B$15)*Inputs!$B$16*(1+Inputs!$B$11)^(AY$2-1),0)</f>
        <v>0</v>
      </c>
      <c r="AZ104" s="11" t="n">
        <f aca="false">IF(AND(AZ$1&gt;=Units!$Q103,MOD(AZ$1-Units!$Q103,12)=0),IF(AND(Units!$L103=1,AZ$1=Units!$Q103),1,Inputs!$B$15)*Inputs!$B$16*(1+Inputs!$B$11)^(AZ$2-1),0)</f>
        <v>562.754405</v>
      </c>
      <c r="BA104" s="11" t="n">
        <f aca="false">IF(AND(BA$1&gt;=Units!$Q103,MOD(BA$1-Units!$Q103,12)=0),IF(AND(Units!$L103=1,BA$1=Units!$Q103),1,Inputs!$B$15)*Inputs!$B$16*(1+Inputs!$B$11)^(BA$2-1),0)</f>
        <v>0</v>
      </c>
      <c r="BB104" s="11" t="n">
        <f aca="false">IF(AND(BB$1&gt;=Units!$Q103,MOD(BB$1-Units!$Q103,12)=0),IF(AND(Units!$L103=1,BB$1=Units!$Q103),1,Inputs!$B$15)*Inputs!$B$16*(1+Inputs!$B$11)^(BB$2-1),0)</f>
        <v>0</v>
      </c>
      <c r="BC104" s="11" t="n">
        <f aca="false">IF(AND(BC$1&gt;=Units!$Q103,MOD(BC$1-Units!$Q103,12)=0),IF(AND(Units!$L103=1,BC$1=Units!$Q103),1,Inputs!$B$15)*Inputs!$B$16*(1+Inputs!$B$11)^(BC$2-1),0)</f>
        <v>0</v>
      </c>
      <c r="BD104" s="11" t="n">
        <f aca="false">IF(AND(BD$1&gt;=Units!$Q103,MOD(BD$1-Units!$Q103,12)=0),IF(AND(Units!$L103=1,BD$1=Units!$Q103),1,Inputs!$B$15)*Inputs!$B$16*(1+Inputs!$B$11)^(BD$2-1),0)</f>
        <v>0</v>
      </c>
      <c r="BE104" s="11" t="n">
        <f aca="false">IF(AND(BE$1&gt;=Units!$Q103,MOD(BE$1-Units!$Q103,12)=0),IF(AND(Units!$L103=1,BE$1=Units!$Q103),1,Inputs!$B$15)*Inputs!$B$16*(1+Inputs!$B$11)^(BE$2-1),0)</f>
        <v>0</v>
      </c>
      <c r="BF104" s="11" t="n">
        <f aca="false">IF(AND(BF$1&gt;=Units!$Q103,MOD(BF$1-Units!$Q103,12)=0),IF(AND(Units!$L103=1,BF$1=Units!$Q103),1,Inputs!$B$15)*Inputs!$B$16*(1+Inputs!$B$11)^(BF$2-1),0)</f>
        <v>0</v>
      </c>
      <c r="BG104" s="11" t="n">
        <f aca="false">IF(AND(BG$1&gt;=Units!$Q103,MOD(BG$1-Units!$Q103,12)=0),IF(AND(Units!$L103=1,BG$1=Units!$Q103),1,Inputs!$B$15)*Inputs!$B$16*(1+Inputs!$B$11)^(BG$2-1),0)</f>
        <v>0</v>
      </c>
      <c r="BH104" s="11" t="n">
        <f aca="false">IF(AND(BH$1&gt;=Units!$Q103,MOD(BH$1-Units!$Q103,12)=0),IF(AND(Units!$L103=1,BH$1=Units!$Q103),1,Inputs!$B$15)*Inputs!$B$16*(1+Inputs!$B$11)^(BH$2-1),0)</f>
        <v>0</v>
      </c>
      <c r="BI104" s="11" t="n">
        <f aca="false">IF(AND(BI$1&gt;=Units!$Q103,MOD(BI$1-Units!$Q103,12)=0),IF(AND(Units!$L103=1,BI$1=Units!$Q103),1,Inputs!$B$15)*Inputs!$B$16*(1+Inputs!$B$11)^(BI$2-1),0)</f>
        <v>0</v>
      </c>
      <c r="BJ104" s="11" t="n">
        <f aca="false">IF(AND(BJ$1&gt;=Units!$Q103,MOD(BJ$1-Units!$Q103,12)=0),IF(AND(Units!$L103=1,BJ$1=Units!$Q103),1,Inputs!$B$15)*Inputs!$B$16*(1+Inputs!$B$11)^(BJ$2-1),0)</f>
        <v>0</v>
      </c>
      <c r="BK104" s="11" t="n">
        <f aca="false">IF(AND(BK$1&gt;=Units!$Q103,MOD(BK$1-Units!$Q103,12)=0),IF(AND(Units!$L103=1,BK$1=Units!$Q103),1,Inputs!$B$15)*Inputs!$B$16*(1+Inputs!$B$11)^(BK$2-1),0)</f>
        <v>0</v>
      </c>
      <c r="BL104" s="11" t="n">
        <f aca="false">IF(AND(BL$1&gt;=Units!$Q103,MOD(BL$1-Units!$Q103,12)=0),IF(AND(Units!$L103=1,BL$1=Units!$Q103),1,Inputs!$B$15)*Inputs!$B$16*(1+Inputs!$B$11)^(BL$2-1),0)</f>
        <v>579.63703715</v>
      </c>
      <c r="BM104" s="11" t="n">
        <f aca="false">IF(AND(BM$1&gt;=Units!$Q103,MOD(BM$1-Units!$Q103,12)=0),IF(AND(Units!$L103=1,BM$1=Units!$Q103),1,Inputs!$B$15)*Inputs!$B$16*(1+Inputs!$B$11)^(BM$2-1),0)</f>
        <v>0</v>
      </c>
      <c r="BN104" s="11" t="n">
        <f aca="false">IF(AND(BN$1&gt;=Units!$Q103,MOD(BN$1-Units!$Q103,12)=0),IF(AND(Units!$L103=1,BN$1=Units!$Q103),1,Inputs!$B$15)*Inputs!$B$16*(1+Inputs!$B$11)^(BN$2-1),0)</f>
        <v>0</v>
      </c>
      <c r="BO104" s="11" t="n">
        <f aca="false">IF(AND(BO$1&gt;=Units!$Q103,MOD(BO$1-Units!$Q103,12)=0),IF(AND(Units!$L103=1,BO$1=Units!$Q103),1,Inputs!$B$15)*Inputs!$B$16*(1+Inputs!$B$11)^(BO$2-1),0)</f>
        <v>0</v>
      </c>
      <c r="BP104" s="11" t="n">
        <f aca="false">IF(AND(BP$1&gt;=Units!$Q103,MOD(BP$1-Units!$Q103,12)=0),IF(AND(Units!$L103=1,BP$1=Units!$Q103),1,Inputs!$B$15)*Inputs!$B$16*(1+Inputs!$B$11)^(BP$2-1),0)</f>
        <v>0</v>
      </c>
      <c r="BQ104" s="11" t="n">
        <f aca="false">IF(AND(BQ$1&gt;=Units!$Q103,MOD(BQ$1-Units!$Q103,12)=0),IF(AND(Units!$L103=1,BQ$1=Units!$Q103),1,Inputs!$B$15)*Inputs!$B$16*(1+Inputs!$B$11)^(BQ$2-1),0)</f>
        <v>0</v>
      </c>
      <c r="BR104" s="11" t="n">
        <f aca="false">IF(AND(BR$1&gt;=Units!$Q103,MOD(BR$1-Units!$Q103,12)=0),IF(AND(Units!$L103=1,BR$1=Units!$Q103),1,Inputs!$B$15)*Inputs!$B$16*(1+Inputs!$B$11)^(BR$2-1),0)</f>
        <v>0</v>
      </c>
      <c r="BS104" s="11" t="n">
        <f aca="false">IF(AND(BS$1&gt;=Units!$Q103,MOD(BS$1-Units!$Q103,12)=0),IF(AND(Units!$L103=1,BS$1=Units!$Q103),1,Inputs!$B$15)*Inputs!$B$16*(1+Inputs!$B$11)^(BS$2-1),0)</f>
        <v>0</v>
      </c>
      <c r="BT104" s="11" t="n">
        <f aca="false">IF(AND(BT$1&gt;=Units!$Q103,MOD(BT$1-Units!$Q103,12)=0),IF(AND(Units!$L103=1,BT$1=Units!$Q103),1,Inputs!$B$15)*Inputs!$B$16*(1+Inputs!$B$11)^(BT$2-1),0)</f>
        <v>0</v>
      </c>
      <c r="BU104" s="11" t="n">
        <f aca="false">IF(AND(BU$1&gt;=Units!$Q103,MOD(BU$1-Units!$Q103,12)=0),IF(AND(Units!$L103=1,BU$1=Units!$Q103),1,Inputs!$B$15)*Inputs!$B$16*(1+Inputs!$B$11)^(BU$2-1),0)</f>
        <v>0</v>
      </c>
      <c r="BV104" s="11" t="n">
        <f aca="false">IF(AND(BV$1&gt;=Units!$Q103,MOD(BV$1-Units!$Q103,12)=0),IF(AND(Units!$L103=1,BV$1=Units!$Q103),1,Inputs!$B$15)*Inputs!$B$16*(1+Inputs!$B$11)^(BV$2-1),0)</f>
        <v>0</v>
      </c>
      <c r="BW104" s="11" t="n">
        <f aca="false">IF(AND(BW$1&gt;=Units!$Q103,MOD(BW$1-Units!$Q103,12)=0),IF(AND(Units!$L103=1,BW$1=Units!$Q103),1,Inputs!$B$15)*Inputs!$B$16*(1+Inputs!$B$11)^(BW$2-1),0)</f>
        <v>0</v>
      </c>
      <c r="BX104" s="11" t="n">
        <f aca="false">IF(AND(BX$1&gt;=Units!$Q103,MOD(BX$1-Units!$Q103,12)=0),IF(AND(Units!$L103=1,BX$1=Units!$Q103),1,Inputs!$B$15)*Inputs!$B$16*(1+Inputs!$B$11)^(BX$2-1),0)</f>
        <v>597.0261482645</v>
      </c>
      <c r="BY104" s="11" t="n">
        <f aca="false">IF(AND(BY$1&gt;=Units!$Q103,MOD(BY$1-Units!$Q103,12)=0),IF(AND(Units!$L103=1,BY$1=Units!$Q103),1,Inputs!$B$15)*Inputs!$B$16*(1+Inputs!$B$11)^(BY$2-1),0)</f>
        <v>0</v>
      </c>
      <c r="BZ104" s="11" t="n">
        <f aca="false">IF(AND(BZ$1&gt;=Units!$Q103,MOD(BZ$1-Units!$Q103,12)=0),IF(AND(Units!$L103=1,BZ$1=Units!$Q103),1,Inputs!$B$15)*Inputs!$B$16*(1+Inputs!$B$11)^(BZ$2-1),0)</f>
        <v>0</v>
      </c>
      <c r="CA104" s="11" t="n">
        <f aca="false">IF(AND(CA$1&gt;=Units!$Q103,MOD(CA$1-Units!$Q103,12)=0),IF(AND(Units!$L103=1,CA$1=Units!$Q103),1,Inputs!$B$15)*Inputs!$B$16*(1+Inputs!$B$11)^(CA$2-1),0)</f>
        <v>0</v>
      </c>
      <c r="CB104" s="11" t="n">
        <f aca="false">IF(AND(CB$1&gt;=Units!$Q103,MOD(CB$1-Units!$Q103,12)=0),IF(AND(Units!$L103=1,CB$1=Units!$Q103),1,Inputs!$B$15)*Inputs!$B$16*(1+Inputs!$B$11)^(CB$2-1),0)</f>
        <v>0</v>
      </c>
      <c r="CC104" s="11" t="n">
        <f aca="false">IF(AND(CC$1&gt;=Units!$Q103,MOD(CC$1-Units!$Q103,12)=0),IF(AND(Units!$L103=1,CC$1=Units!$Q103),1,Inputs!$B$15)*Inputs!$B$16*(1+Inputs!$B$11)^(CC$2-1),0)</f>
        <v>0</v>
      </c>
      <c r="CD104" s="11" t="n">
        <f aca="false">IF(AND(CD$1&gt;=Units!$Q103,MOD(CD$1-Units!$Q103,12)=0),IF(AND(Units!$L103=1,CD$1=Units!$Q103),1,Inputs!$B$15)*Inputs!$B$16*(1+Inputs!$B$11)^(CD$2-1),0)</f>
        <v>0</v>
      </c>
      <c r="CE104" s="11" t="n">
        <f aca="false">IF(AND(CE$1&gt;=Units!$Q103,MOD(CE$1-Units!$Q103,12)=0),IF(AND(Units!$L103=1,CE$1=Units!$Q103),1,Inputs!$B$15)*Inputs!$B$16*(1+Inputs!$B$11)^(CE$2-1),0)</f>
        <v>0</v>
      </c>
      <c r="CF104" s="11" t="n">
        <f aca="false">IF(AND(CF$1&gt;=Units!$Q103,MOD(CF$1-Units!$Q103,12)=0),IF(AND(Units!$L103=1,CF$1=Units!$Q103),1,Inputs!$B$15)*Inputs!$B$16*(1+Inputs!$B$11)^(CF$2-1),0)</f>
        <v>0</v>
      </c>
      <c r="CG104" s="11" t="n">
        <f aca="false">IF(AND(CG$1&gt;=Units!$Q103,MOD(CG$1-Units!$Q103,12)=0),IF(AND(Units!$L103=1,CG$1=Units!$Q103),1,Inputs!$B$15)*Inputs!$B$16*(1+Inputs!$B$11)^(CG$2-1),0)</f>
        <v>0</v>
      </c>
      <c r="CH104" s="11" t="n">
        <f aca="false">IF(AND(CH$1&gt;=Units!$Q103,MOD(CH$1-Units!$Q103,12)=0),IF(AND(Units!$L103=1,CH$1=Units!$Q103),1,Inputs!$B$15)*Inputs!$B$16*(1+Inputs!$B$11)^(CH$2-1),0)</f>
        <v>0</v>
      </c>
      <c r="CI104" s="11" t="n">
        <f aca="false">IF(AND(CI$1&gt;=Units!$Q103,MOD(CI$1-Units!$Q103,12)=0),IF(AND(Units!$L103=1,CI$1=Units!$Q103),1,Inputs!$B$15)*Inputs!$B$16*(1+Inputs!$B$11)^(CI$2-1),0)</f>
        <v>0</v>
      </c>
      <c r="CJ104" s="11" t="n">
        <f aca="false">IF(AND(CJ$1&gt;=Units!$Q103,MOD(CJ$1-Units!$Q103,12)=0),IF(AND(Units!$L103=1,CJ$1=Units!$Q103),1,Inputs!$B$15)*Inputs!$B$16*(1+Inputs!$B$11)^(CJ$2-1),0)</f>
        <v>614.936932712435</v>
      </c>
      <c r="CK104" s="11" t="n">
        <f aca="false">IF(AND(CK$1&gt;=Units!$Q103,MOD(CK$1-Units!$Q103,12)=0),IF(AND(Units!$L103=1,CK$1=Units!$Q103),1,Inputs!$B$15)*Inputs!$B$16*(1+Inputs!$B$11)^(CK$2-1),0)</f>
        <v>0</v>
      </c>
      <c r="CL104" s="11" t="n">
        <f aca="false">IF(AND(CL$1&gt;=Units!$Q103,MOD(CL$1-Units!$Q103,12)=0),IF(AND(Units!$L103=1,CL$1=Units!$Q103),1,Inputs!$B$15)*Inputs!$B$16*(1+Inputs!$B$11)^(CL$2-1),0)</f>
        <v>0</v>
      </c>
      <c r="CM104" s="11" t="n">
        <f aca="false">IF(AND(CM$1&gt;=Units!$Q103,MOD(CM$1-Units!$Q103,12)=0),IF(AND(Units!$L103=1,CM$1=Units!$Q103),1,Inputs!$B$15)*Inputs!$B$16*(1+Inputs!$B$11)^(CM$2-1),0)</f>
        <v>0</v>
      </c>
      <c r="CN104" s="11" t="n">
        <f aca="false">IF(AND(CN$1&gt;=Units!$Q103,MOD(CN$1-Units!$Q103,12)=0),IF(AND(Units!$L103=1,CN$1=Units!$Q103),1,Inputs!$B$15)*Inputs!$B$16*(1+Inputs!$B$11)^(CN$2-1),0)</f>
        <v>0</v>
      </c>
      <c r="CO104" s="11" t="n">
        <f aca="false">IF(AND(CO$1&gt;=Units!$Q103,MOD(CO$1-Units!$Q103,12)=0),IF(AND(Units!$L103=1,CO$1=Units!$Q103),1,Inputs!$B$15)*Inputs!$B$16*(1+Inputs!$B$11)^(CO$2-1),0)</f>
        <v>0</v>
      </c>
      <c r="CP104" s="11" t="n">
        <f aca="false">IF(AND(CP$1&gt;=Units!$Q103,MOD(CP$1-Units!$Q103,12)=0),IF(AND(Units!$L103=1,CP$1=Units!$Q103),1,Inputs!$B$15)*Inputs!$B$16*(1+Inputs!$B$11)^(CP$2-1),0)</f>
        <v>0</v>
      </c>
      <c r="CQ104" s="11" t="n">
        <f aca="false">IF(AND(CQ$1&gt;=Units!$Q103,MOD(CQ$1-Units!$Q103,12)=0),IF(AND(Units!$L103=1,CQ$1=Units!$Q103),1,Inputs!$B$15)*Inputs!$B$16*(1+Inputs!$B$11)^(CQ$2-1),0)</f>
        <v>0</v>
      </c>
      <c r="CR104" s="11" t="n">
        <f aca="false">IF(AND(CR$1&gt;=Units!$Q103,MOD(CR$1-Units!$Q103,12)=0),IF(AND(Units!$L103=1,CR$1=Units!$Q103),1,Inputs!$B$15)*Inputs!$B$16*(1+Inputs!$B$11)^(CR$2-1),0)</f>
        <v>0</v>
      </c>
      <c r="CS104" s="11" t="n">
        <f aca="false">IF(AND(CS$1&gt;=Units!$Q103,MOD(CS$1-Units!$Q103,12)=0),IF(AND(Units!$L103=1,CS$1=Units!$Q103),1,Inputs!$B$15)*Inputs!$B$16*(1+Inputs!$B$11)^(CS$2-1),0)</f>
        <v>0</v>
      </c>
      <c r="CT104" s="11" t="n">
        <f aca="false">IF(AND(CT$1&gt;=Units!$Q103,MOD(CT$1-Units!$Q103,12)=0),IF(AND(Units!$L103=1,CT$1=Units!$Q103),1,Inputs!$B$15)*Inputs!$B$16*(1+Inputs!$B$11)^(CT$2-1),0)</f>
        <v>0</v>
      </c>
      <c r="CU104" s="11" t="n">
        <f aca="false">IF(AND(CU$1&gt;=Units!$Q103,MOD(CU$1-Units!$Q103,12)=0),IF(AND(Units!$L103=1,CU$1=Units!$Q103),1,Inputs!$B$15)*Inputs!$B$16*(1+Inputs!$B$11)^(CU$2-1),0)</f>
        <v>0</v>
      </c>
      <c r="CV104" s="11" t="n">
        <f aca="false">IF(AND(CV$1&gt;=Units!$Q103,MOD(CV$1-Units!$Q103,12)=0),IF(AND(Units!$L103=1,CV$1=Units!$Q103),1,Inputs!$B$15)*Inputs!$B$16*(1+Inputs!$B$11)^(CV$2-1),0)</f>
        <v>633.385040693808</v>
      </c>
      <c r="CW104" s="11" t="n">
        <f aca="false">IF(AND(CW$1&gt;=Units!$Q103,MOD(CW$1-Units!$Q103,12)=0),IF(AND(Units!$L103=1,CW$1=Units!$Q103),1,Inputs!$B$15)*Inputs!$B$16*(1+Inputs!$B$11)^(CW$2-1),0)</f>
        <v>0</v>
      </c>
      <c r="CX104" s="11" t="n">
        <f aca="false">IF(AND(CX$1&gt;=Units!$Q103,MOD(CX$1-Units!$Q103,12)=0),IF(AND(Units!$L103=1,CX$1=Units!$Q103),1,Inputs!$B$15)*Inputs!$B$16*(1+Inputs!$B$11)^(CX$2-1),0)</f>
        <v>0</v>
      </c>
      <c r="CY104" s="11" t="n">
        <f aca="false">IF(AND(CY$1&gt;=Units!$Q103,MOD(CY$1-Units!$Q103,12)=0),IF(AND(Units!$L103=1,CY$1=Units!$Q103),1,Inputs!$B$15)*Inputs!$B$16*(1+Inputs!$B$11)^(CY$2-1),0)</f>
        <v>0</v>
      </c>
      <c r="CZ104" s="11" t="n">
        <f aca="false">IF(AND(CZ$1&gt;=Units!$Q103,MOD(CZ$1-Units!$Q103,12)=0),IF(AND(Units!$L103=1,CZ$1=Units!$Q103),1,Inputs!$B$15)*Inputs!$B$16*(1+Inputs!$B$11)^(CZ$2-1),0)</f>
        <v>0</v>
      </c>
      <c r="DA104" s="11" t="n">
        <f aca="false">IF(AND(DA$1&gt;=Units!$Q103,MOD(DA$1-Units!$Q103,12)=0),IF(AND(Units!$L103=1,DA$1=Units!$Q103),1,Inputs!$B$15)*Inputs!$B$16*(1+Inputs!$B$11)^(DA$2-1),0)</f>
        <v>0</v>
      </c>
      <c r="DB104" s="11" t="n">
        <f aca="false">IF(AND(DB$1&gt;=Units!$Q103,MOD(DB$1-Units!$Q103,12)=0),IF(AND(Units!$L103=1,DB$1=Units!$Q103),1,Inputs!$B$15)*Inputs!$B$16*(1+Inputs!$B$11)^(DB$2-1),0)</f>
        <v>0</v>
      </c>
      <c r="DC104" s="11" t="n">
        <f aca="false">IF(AND(DC$1&gt;=Units!$Q103,MOD(DC$1-Units!$Q103,12)=0),IF(AND(Units!$L103=1,DC$1=Units!$Q103),1,Inputs!$B$15)*Inputs!$B$16*(1+Inputs!$B$11)^(DC$2-1),0)</f>
        <v>0</v>
      </c>
      <c r="DD104" s="11" t="n">
        <f aca="false">IF(AND(DD$1&gt;=Units!$Q103,MOD(DD$1-Units!$Q103,12)=0),IF(AND(Units!$L103=1,DD$1=Units!$Q103),1,Inputs!$B$15)*Inputs!$B$16*(1+Inputs!$B$11)^(DD$2-1),0)</f>
        <v>0</v>
      </c>
      <c r="DE104" s="11" t="n">
        <f aca="false">IF(AND(DE$1&gt;=Units!$Q103,MOD(DE$1-Units!$Q103,12)=0),IF(AND(Units!$L103=1,DE$1=Units!$Q103),1,Inputs!$B$15)*Inputs!$B$16*(1+Inputs!$B$11)^(DE$2-1),0)</f>
        <v>0</v>
      </c>
      <c r="DF104" s="11" t="n">
        <f aca="false">IF(AND(DF$1&gt;=Units!$Q103,MOD(DF$1-Units!$Q103,12)=0),IF(AND(Units!$L103=1,DF$1=Units!$Q103),1,Inputs!$B$15)*Inputs!$B$16*(1+Inputs!$B$11)^(DF$2-1),0)</f>
        <v>0</v>
      </c>
      <c r="DG104" s="11" t="n">
        <f aca="false">IF(AND(DG$1&gt;=Units!$Q103,MOD(DG$1-Units!$Q103,12)=0),IF(AND(Units!$L103=1,DG$1=Units!$Q103),1,Inputs!$B$15)*Inputs!$B$16*(1+Inputs!$B$11)^(DG$2-1),0)</f>
        <v>0</v>
      </c>
      <c r="DH104" s="11" t="n">
        <f aca="false">IF(AND(DH$1&gt;=Units!$Q103,MOD(DH$1-Units!$Q103,12)=0),IF(AND(Units!$L103=1,DH$1=Units!$Q103),1,Inputs!$B$15)*Inputs!$B$16*(1+Inputs!$B$11)^(DH$2-1),0)</f>
        <v>652.386591914623</v>
      </c>
      <c r="DI104" s="11" t="n">
        <f aca="false">IF(AND(DI$1&gt;=Units!$Q103,MOD(DI$1-Units!$Q103,12)=0),IF(AND(Units!$L103=1,DI$1=Units!$Q103),1,Inputs!$B$15)*Inputs!$B$16*(1+Inputs!$B$11)^(DI$2-1),0)</f>
        <v>0</v>
      </c>
      <c r="DJ104" s="11" t="n">
        <f aca="false">IF(AND(DJ$1&gt;=Units!$Q103,MOD(DJ$1-Units!$Q103,12)=0),IF(AND(Units!$L103=1,DJ$1=Units!$Q103),1,Inputs!$B$15)*Inputs!$B$16*(1+Inputs!$B$11)^(DJ$2-1),0)</f>
        <v>0</v>
      </c>
      <c r="DK104" s="11" t="n">
        <f aca="false">IF(AND(DK$1&gt;=Units!$Q103,MOD(DK$1-Units!$Q103,12)=0),IF(AND(Units!$L103=1,DK$1=Units!$Q103),1,Inputs!$B$15)*Inputs!$B$16*(1+Inputs!$B$11)^(DK$2-1),0)</f>
        <v>0</v>
      </c>
      <c r="DL104" s="11" t="n">
        <f aca="false">IF(AND(DL$1&gt;=Units!$Q103,MOD(DL$1-Units!$Q103,12)=0),IF(AND(Units!$L103=1,DL$1=Units!$Q103),1,Inputs!$B$15)*Inputs!$B$16*(1+Inputs!$B$11)^(DL$2-1),0)</f>
        <v>0</v>
      </c>
      <c r="DM104" s="11" t="n">
        <f aca="false">IF(AND(DM$1&gt;=Units!$Q103,MOD(DM$1-Units!$Q103,12)=0),IF(AND(Units!$L103=1,DM$1=Units!$Q103),1,Inputs!$B$15)*Inputs!$B$16*(1+Inputs!$B$11)^(DM$2-1),0)</f>
        <v>0</v>
      </c>
      <c r="DN104" s="11" t="n">
        <f aca="false">IF(AND(DN$1&gt;=Units!$Q103,MOD(DN$1-Units!$Q103,12)=0),IF(AND(Units!$L103=1,DN$1=Units!$Q103),1,Inputs!$B$15)*Inputs!$B$16*(1+Inputs!$B$11)^(DN$2-1),0)</f>
        <v>0</v>
      </c>
      <c r="DO104" s="11" t="n">
        <f aca="false">IF(AND(DO$1&gt;=Units!$Q103,MOD(DO$1-Units!$Q103,12)=0),IF(AND(Units!$L103=1,DO$1=Units!$Q103),1,Inputs!$B$15)*Inputs!$B$16*(1+Inputs!$B$11)^(DO$2-1),0)</f>
        <v>0</v>
      </c>
      <c r="DP104" s="11" t="n">
        <f aca="false">IF(AND(DP$1&gt;=Units!$Q103,MOD(DP$1-Units!$Q103,12)=0),IF(AND(Units!$L103=1,DP$1=Units!$Q103),1,Inputs!$B$15)*Inputs!$B$16*(1+Inputs!$B$11)^(DP$2-1),0)</f>
        <v>0</v>
      </c>
      <c r="DQ104" s="11" t="n">
        <f aca="false">IF(AND(DQ$1&gt;=Units!$Q103,MOD(DQ$1-Units!$Q103,12)=0),IF(AND(Units!$L103=1,DQ$1=Units!$Q103),1,Inputs!$B$15)*Inputs!$B$16*(1+Inputs!$B$11)^(DQ$2-1),0)</f>
        <v>0</v>
      </c>
      <c r="DR104" s="11" t="n">
        <f aca="false">IF(AND(DR$1&gt;=Units!$Q103,MOD(DR$1-Units!$Q103,12)=0),IF(AND(Units!$L103=1,DR$1=Units!$Q103),1,Inputs!$B$15)*Inputs!$B$16*(1+Inputs!$B$11)^(DR$2-1),0)</f>
        <v>0</v>
      </c>
      <c r="DS104" s="11" t="n">
        <f aca="false">IF(AND(DS$1&gt;=Units!$Q103,MOD(DS$1-Units!$Q103,12)=0),IF(AND(Units!$L103=1,DS$1=Units!$Q103),1,Inputs!$B$15)*Inputs!$B$16*(1+Inputs!$B$11)^(DS$2-1),0)</f>
        <v>0</v>
      </c>
      <c r="DT104" s="11" t="n">
        <f aca="false">IF(AND(DT$1&gt;=Units!$Q103,MOD(DT$1-Units!$Q103,12)=0),IF(AND(Units!$L103=1,DT$1=Units!$Q103),1,Inputs!$B$15)*Inputs!$B$16*(1+Inputs!$B$11)^(DT$2-1),0)</f>
        <v>671.958189672061</v>
      </c>
      <c r="DU104" s="11" t="n">
        <f aca="false">IF(AND(DU$1&gt;=Units!$Q103,MOD(DU$1-Units!$Q103,12)=0),IF(AND(Units!$L103=1,DU$1=Units!$Q103),1,Inputs!$B$15)*Inputs!$B$16*(1+Inputs!$B$11)^(DU$2-1),0)</f>
        <v>0</v>
      </c>
      <c r="DV104" s="11" t="n">
        <f aca="false">IF(AND(DV$1&gt;=Units!$Q103,MOD(DV$1-Units!$Q103,12)=0),IF(AND(Units!$L103=1,DV$1=Units!$Q103),1,Inputs!$B$15)*Inputs!$B$16*(1+Inputs!$B$11)^(DV$2-1),0)</f>
        <v>0</v>
      </c>
      <c r="DW104" s="11" t="n">
        <f aca="false">IF(AND(DW$1&gt;=Units!$Q103,MOD(DW$1-Units!$Q103,12)=0),IF(AND(Units!$L103=1,DW$1=Units!$Q103),1,Inputs!$B$15)*Inputs!$B$16*(1+Inputs!$B$11)^(DW$2-1),0)</f>
        <v>0</v>
      </c>
      <c r="DX104" s="11" t="n">
        <f aca="false">IF(AND(DX$1&gt;=Units!$Q103,MOD(DX$1-Units!$Q103,12)=0),IF(AND(Units!$L103=1,DX$1=Units!$Q103),1,Inputs!$B$15)*Inputs!$B$16*(1+Inputs!$B$11)^(DX$2-1),0)</f>
        <v>0</v>
      </c>
      <c r="DY104" s="11" t="n">
        <f aca="false">IF(AND(DY$1&gt;=Units!$Q103,MOD(DY$1-Units!$Q103,12)=0),IF(AND(Units!$L103=1,DY$1=Units!$Q103),1,Inputs!$B$15)*Inputs!$B$16*(1+Inputs!$B$11)^(DY$2-1),0)</f>
        <v>0</v>
      </c>
      <c r="DZ104" s="11" t="n">
        <f aca="false">IF(AND(DZ$1&gt;=Units!$Q103,MOD(DZ$1-Units!$Q103,12)=0),IF(AND(Units!$L103=1,DZ$1=Units!$Q103),1,Inputs!$B$15)*Inputs!$B$16*(1+Inputs!$B$11)^(DZ$2-1),0)</f>
        <v>0</v>
      </c>
      <c r="EA104" s="11" t="n">
        <f aca="false">IF(AND(EA$1&gt;=Units!$Q103,MOD(EA$1-Units!$Q103,12)=0),IF(AND(Units!$L103=1,EA$1=Units!$Q103),1,Inputs!$B$15)*Inputs!$B$16*(1+Inputs!$B$11)^(EA$2-1),0)</f>
        <v>0</v>
      </c>
      <c r="EB104" s="11" t="n">
        <f aca="false">IF(AND(EB$1&gt;=Units!$Q103,MOD(EB$1-Units!$Q103,12)=0),IF(AND(Units!$L103=1,EB$1=Units!$Q103),1,Inputs!$B$15)*Inputs!$B$16*(1+Inputs!$B$11)^(EB$2-1),0)</f>
        <v>0</v>
      </c>
      <c r="EC104" s="11" t="n">
        <f aca="false">IF(AND(EC$1&gt;=Units!$Q103,MOD(EC$1-Units!$Q103,12)=0),IF(AND(Units!$L103=1,EC$1=Units!$Q103),1,Inputs!$B$15)*Inputs!$B$16*(1+Inputs!$B$11)^(EC$2-1),0)</f>
        <v>0</v>
      </c>
      <c r="ED104" s="11" t="n">
        <f aca="false">IF(AND(ED$1&gt;=Units!$Q103,MOD(ED$1-Units!$Q103,12)=0),IF(AND(Units!$L103=1,ED$1=Units!$Q103),1,Inputs!$B$15)*Inputs!$B$16*(1+Inputs!$B$11)^(ED$2-1),0)</f>
        <v>0</v>
      </c>
    </row>
    <row r="105" customFormat="false" ht="15" hidden="false" customHeight="false" outlineLevel="0" collapsed="false">
      <c r="A105" s="22" t="n">
        <f aca="false">Units!A104</f>
        <v>413</v>
      </c>
      <c r="B105" s="23"/>
      <c r="C105" s="11" t="n">
        <f aca="false">IF(AND(C$1&gt;=Units!$Q104,MOD(C$1-Units!$Q104,12)=0),IF(AND(Units!$L104=1,C$1=Units!$Q104),1,Inputs!$B$15)*Inputs!$B$16*(1+Inputs!$B$11)^(C$2-1),0)</f>
        <v>0</v>
      </c>
      <c r="D105" s="11" t="n">
        <f aca="false">IF(AND(D$1&gt;=Units!$Q104,MOD(D$1-Units!$Q104,12)=0),IF(AND(Units!$L104=1,D$1=Units!$Q104),1,Inputs!$B$15)*Inputs!$B$16*(1+Inputs!$B$11)^(D$2-1),0)</f>
        <v>0</v>
      </c>
      <c r="E105" s="11" t="n">
        <f aca="false">IF(AND(E$1&gt;=Units!$Q104,MOD(E$1-Units!$Q104,12)=0),IF(AND(Units!$L104=1,E$1=Units!$Q104),1,Inputs!$B$15)*Inputs!$B$16*(1+Inputs!$B$11)^(E$2-1),0)</f>
        <v>500</v>
      </c>
      <c r="F105" s="11" t="n">
        <f aca="false">IF(AND(F$1&gt;=Units!$Q104,MOD(F$1-Units!$Q104,12)=0),IF(AND(Units!$L104=1,F$1=Units!$Q104),1,Inputs!$B$15)*Inputs!$B$16*(1+Inputs!$B$11)^(F$2-1),0)</f>
        <v>0</v>
      </c>
      <c r="G105" s="11" t="n">
        <f aca="false">IF(AND(G$1&gt;=Units!$Q104,MOD(G$1-Units!$Q104,12)=0),IF(AND(Units!$L104=1,G$1=Units!$Q104),1,Inputs!$B$15)*Inputs!$B$16*(1+Inputs!$B$11)^(G$2-1),0)</f>
        <v>0</v>
      </c>
      <c r="H105" s="11" t="n">
        <f aca="false">IF(AND(H$1&gt;=Units!$Q104,MOD(H$1-Units!$Q104,12)=0),IF(AND(Units!$L104=1,H$1=Units!$Q104),1,Inputs!$B$15)*Inputs!$B$16*(1+Inputs!$B$11)^(H$2-1),0)</f>
        <v>0</v>
      </c>
      <c r="I105" s="11" t="n">
        <f aca="false">IF(AND(I$1&gt;=Units!$Q104,MOD(I$1-Units!$Q104,12)=0),IF(AND(Units!$L104=1,I$1=Units!$Q104),1,Inputs!$B$15)*Inputs!$B$16*(1+Inputs!$B$11)^(I$2-1),0)</f>
        <v>0</v>
      </c>
      <c r="J105" s="11" t="n">
        <f aca="false">IF(AND(J$1&gt;=Units!$Q104,MOD(J$1-Units!$Q104,12)=0),IF(AND(Units!$L104=1,J$1=Units!$Q104),1,Inputs!$B$15)*Inputs!$B$16*(1+Inputs!$B$11)^(J$2-1),0)</f>
        <v>0</v>
      </c>
      <c r="K105" s="11" t="n">
        <f aca="false">IF(AND(K$1&gt;=Units!$Q104,MOD(K$1-Units!$Q104,12)=0),IF(AND(Units!$L104=1,K$1=Units!$Q104),1,Inputs!$B$15)*Inputs!$B$16*(1+Inputs!$B$11)^(K$2-1),0)</f>
        <v>0</v>
      </c>
      <c r="L105" s="11" t="n">
        <f aca="false">IF(AND(L$1&gt;=Units!$Q104,MOD(L$1-Units!$Q104,12)=0),IF(AND(Units!$L104=1,L$1=Units!$Q104),1,Inputs!$B$15)*Inputs!$B$16*(1+Inputs!$B$11)^(L$2-1),0)</f>
        <v>0</v>
      </c>
      <c r="M105" s="11" t="n">
        <f aca="false">IF(AND(M$1&gt;=Units!$Q104,MOD(M$1-Units!$Q104,12)=0),IF(AND(Units!$L104=1,M$1=Units!$Q104),1,Inputs!$B$15)*Inputs!$B$16*(1+Inputs!$B$11)^(M$2-1),0)</f>
        <v>0</v>
      </c>
      <c r="N105" s="11" t="n">
        <f aca="false">IF(AND(N$1&gt;=Units!$Q104,MOD(N$1-Units!$Q104,12)=0),IF(AND(Units!$L104=1,N$1=Units!$Q104),1,Inputs!$B$15)*Inputs!$B$16*(1+Inputs!$B$11)^(N$2-1),0)</f>
        <v>0</v>
      </c>
      <c r="O105" s="11" t="n">
        <f aca="false">IF(AND(O$1&gt;=Units!$Q104,MOD(O$1-Units!$Q104,12)=0),IF(AND(Units!$L104=1,O$1=Units!$Q104),1,Inputs!$B$15)*Inputs!$B$16*(1+Inputs!$B$11)^(O$2-1),0)</f>
        <v>0</v>
      </c>
      <c r="P105" s="11" t="n">
        <f aca="false">IF(AND(P$1&gt;=Units!$Q104,MOD(P$1-Units!$Q104,12)=0),IF(AND(Units!$L104=1,P$1=Units!$Q104),1,Inputs!$B$15)*Inputs!$B$16*(1+Inputs!$B$11)^(P$2-1),0)</f>
        <v>0</v>
      </c>
      <c r="Q105" s="11" t="n">
        <f aca="false">IF(AND(Q$1&gt;=Units!$Q104,MOD(Q$1-Units!$Q104,12)=0),IF(AND(Units!$L104=1,Q$1=Units!$Q104),1,Inputs!$B$15)*Inputs!$B$16*(1+Inputs!$B$11)^(Q$2-1),0)</f>
        <v>515</v>
      </c>
      <c r="R105" s="11" t="n">
        <f aca="false">IF(AND(R$1&gt;=Units!$Q104,MOD(R$1-Units!$Q104,12)=0),IF(AND(Units!$L104=1,R$1=Units!$Q104),1,Inputs!$B$15)*Inputs!$B$16*(1+Inputs!$B$11)^(R$2-1),0)</f>
        <v>0</v>
      </c>
      <c r="S105" s="11" t="n">
        <f aca="false">IF(AND(S$1&gt;=Units!$Q104,MOD(S$1-Units!$Q104,12)=0),IF(AND(Units!$L104=1,S$1=Units!$Q104),1,Inputs!$B$15)*Inputs!$B$16*(1+Inputs!$B$11)^(S$2-1),0)</f>
        <v>0</v>
      </c>
      <c r="T105" s="11" t="n">
        <f aca="false">IF(AND(T$1&gt;=Units!$Q104,MOD(T$1-Units!$Q104,12)=0),IF(AND(Units!$L104=1,T$1=Units!$Q104),1,Inputs!$B$15)*Inputs!$B$16*(1+Inputs!$B$11)^(T$2-1),0)</f>
        <v>0</v>
      </c>
      <c r="U105" s="11" t="n">
        <f aca="false">IF(AND(U$1&gt;=Units!$Q104,MOD(U$1-Units!$Q104,12)=0),IF(AND(Units!$L104=1,U$1=Units!$Q104),1,Inputs!$B$15)*Inputs!$B$16*(1+Inputs!$B$11)^(U$2-1),0)</f>
        <v>0</v>
      </c>
      <c r="V105" s="11" t="n">
        <f aca="false">IF(AND(V$1&gt;=Units!$Q104,MOD(V$1-Units!$Q104,12)=0),IF(AND(Units!$L104=1,V$1=Units!$Q104),1,Inputs!$B$15)*Inputs!$B$16*(1+Inputs!$B$11)^(V$2-1),0)</f>
        <v>0</v>
      </c>
      <c r="W105" s="11" t="n">
        <f aca="false">IF(AND(W$1&gt;=Units!$Q104,MOD(W$1-Units!$Q104,12)=0),IF(AND(Units!$L104=1,W$1=Units!$Q104),1,Inputs!$B$15)*Inputs!$B$16*(1+Inputs!$B$11)^(W$2-1),0)</f>
        <v>0</v>
      </c>
      <c r="X105" s="11" t="n">
        <f aca="false">IF(AND(X$1&gt;=Units!$Q104,MOD(X$1-Units!$Q104,12)=0),IF(AND(Units!$L104=1,X$1=Units!$Q104),1,Inputs!$B$15)*Inputs!$B$16*(1+Inputs!$B$11)^(X$2-1),0)</f>
        <v>0</v>
      </c>
      <c r="Y105" s="11" t="n">
        <f aca="false">IF(AND(Y$1&gt;=Units!$Q104,MOD(Y$1-Units!$Q104,12)=0),IF(AND(Units!$L104=1,Y$1=Units!$Q104),1,Inputs!$B$15)*Inputs!$B$16*(1+Inputs!$B$11)^(Y$2-1),0)</f>
        <v>0</v>
      </c>
      <c r="Z105" s="11" t="n">
        <f aca="false">IF(AND(Z$1&gt;=Units!$Q104,MOD(Z$1-Units!$Q104,12)=0),IF(AND(Units!$L104=1,Z$1=Units!$Q104),1,Inputs!$B$15)*Inputs!$B$16*(1+Inputs!$B$11)^(Z$2-1),0)</f>
        <v>0</v>
      </c>
      <c r="AA105" s="11" t="n">
        <f aca="false">IF(AND(AA$1&gt;=Units!$Q104,MOD(AA$1-Units!$Q104,12)=0),IF(AND(Units!$L104=1,AA$1=Units!$Q104),1,Inputs!$B$15)*Inputs!$B$16*(1+Inputs!$B$11)^(AA$2-1),0)</f>
        <v>0</v>
      </c>
      <c r="AB105" s="11" t="n">
        <f aca="false">IF(AND(AB$1&gt;=Units!$Q104,MOD(AB$1-Units!$Q104,12)=0),IF(AND(Units!$L104=1,AB$1=Units!$Q104),1,Inputs!$B$15)*Inputs!$B$16*(1+Inputs!$B$11)^(AB$2-1),0)</f>
        <v>0</v>
      </c>
      <c r="AC105" s="11" t="n">
        <f aca="false">IF(AND(AC$1&gt;=Units!$Q104,MOD(AC$1-Units!$Q104,12)=0),IF(AND(Units!$L104=1,AC$1=Units!$Q104),1,Inputs!$B$15)*Inputs!$B$16*(1+Inputs!$B$11)^(AC$2-1),0)</f>
        <v>530.45</v>
      </c>
      <c r="AD105" s="11" t="n">
        <f aca="false">IF(AND(AD$1&gt;=Units!$Q104,MOD(AD$1-Units!$Q104,12)=0),IF(AND(Units!$L104=1,AD$1=Units!$Q104),1,Inputs!$B$15)*Inputs!$B$16*(1+Inputs!$B$11)^(AD$2-1),0)</f>
        <v>0</v>
      </c>
      <c r="AE105" s="11" t="n">
        <f aca="false">IF(AND(AE$1&gt;=Units!$Q104,MOD(AE$1-Units!$Q104,12)=0),IF(AND(Units!$L104=1,AE$1=Units!$Q104),1,Inputs!$B$15)*Inputs!$B$16*(1+Inputs!$B$11)^(AE$2-1),0)</f>
        <v>0</v>
      </c>
      <c r="AF105" s="11" t="n">
        <f aca="false">IF(AND(AF$1&gt;=Units!$Q104,MOD(AF$1-Units!$Q104,12)=0),IF(AND(Units!$L104=1,AF$1=Units!$Q104),1,Inputs!$B$15)*Inputs!$B$16*(1+Inputs!$B$11)^(AF$2-1),0)</f>
        <v>0</v>
      </c>
      <c r="AG105" s="11" t="n">
        <f aca="false">IF(AND(AG$1&gt;=Units!$Q104,MOD(AG$1-Units!$Q104,12)=0),IF(AND(Units!$L104=1,AG$1=Units!$Q104),1,Inputs!$B$15)*Inputs!$B$16*(1+Inputs!$B$11)^(AG$2-1),0)</f>
        <v>0</v>
      </c>
      <c r="AH105" s="11" t="n">
        <f aca="false">IF(AND(AH$1&gt;=Units!$Q104,MOD(AH$1-Units!$Q104,12)=0),IF(AND(Units!$L104=1,AH$1=Units!$Q104),1,Inputs!$B$15)*Inputs!$B$16*(1+Inputs!$B$11)^(AH$2-1),0)</f>
        <v>0</v>
      </c>
      <c r="AI105" s="11" t="n">
        <f aca="false">IF(AND(AI$1&gt;=Units!$Q104,MOD(AI$1-Units!$Q104,12)=0),IF(AND(Units!$L104=1,AI$1=Units!$Q104),1,Inputs!$B$15)*Inputs!$B$16*(1+Inputs!$B$11)^(AI$2-1),0)</f>
        <v>0</v>
      </c>
      <c r="AJ105" s="11" t="n">
        <f aca="false">IF(AND(AJ$1&gt;=Units!$Q104,MOD(AJ$1-Units!$Q104,12)=0),IF(AND(Units!$L104=1,AJ$1=Units!$Q104),1,Inputs!$B$15)*Inputs!$B$16*(1+Inputs!$B$11)^(AJ$2-1),0)</f>
        <v>0</v>
      </c>
      <c r="AK105" s="11" t="n">
        <f aca="false">IF(AND(AK$1&gt;=Units!$Q104,MOD(AK$1-Units!$Q104,12)=0),IF(AND(Units!$L104=1,AK$1=Units!$Q104),1,Inputs!$B$15)*Inputs!$B$16*(1+Inputs!$B$11)^(AK$2-1),0)</f>
        <v>0</v>
      </c>
      <c r="AL105" s="11" t="n">
        <f aca="false">IF(AND(AL$1&gt;=Units!$Q104,MOD(AL$1-Units!$Q104,12)=0),IF(AND(Units!$L104=1,AL$1=Units!$Q104),1,Inputs!$B$15)*Inputs!$B$16*(1+Inputs!$B$11)^(AL$2-1),0)</f>
        <v>0</v>
      </c>
      <c r="AM105" s="11" t="n">
        <f aca="false">IF(AND(AM$1&gt;=Units!$Q104,MOD(AM$1-Units!$Q104,12)=0),IF(AND(Units!$L104=1,AM$1=Units!$Q104),1,Inputs!$B$15)*Inputs!$B$16*(1+Inputs!$B$11)^(AM$2-1),0)</f>
        <v>0</v>
      </c>
      <c r="AN105" s="11" t="n">
        <f aca="false">IF(AND(AN$1&gt;=Units!$Q104,MOD(AN$1-Units!$Q104,12)=0),IF(AND(Units!$L104=1,AN$1=Units!$Q104),1,Inputs!$B$15)*Inputs!$B$16*(1+Inputs!$B$11)^(AN$2-1),0)</f>
        <v>0</v>
      </c>
      <c r="AO105" s="11" t="n">
        <f aca="false">IF(AND(AO$1&gt;=Units!$Q104,MOD(AO$1-Units!$Q104,12)=0),IF(AND(Units!$L104=1,AO$1=Units!$Q104),1,Inputs!$B$15)*Inputs!$B$16*(1+Inputs!$B$11)^(AO$2-1),0)</f>
        <v>546.3635</v>
      </c>
      <c r="AP105" s="11" t="n">
        <f aca="false">IF(AND(AP$1&gt;=Units!$Q104,MOD(AP$1-Units!$Q104,12)=0),IF(AND(Units!$L104=1,AP$1=Units!$Q104),1,Inputs!$B$15)*Inputs!$B$16*(1+Inputs!$B$11)^(AP$2-1),0)</f>
        <v>0</v>
      </c>
      <c r="AQ105" s="11" t="n">
        <f aca="false">IF(AND(AQ$1&gt;=Units!$Q104,MOD(AQ$1-Units!$Q104,12)=0),IF(AND(Units!$L104=1,AQ$1=Units!$Q104),1,Inputs!$B$15)*Inputs!$B$16*(1+Inputs!$B$11)^(AQ$2-1),0)</f>
        <v>0</v>
      </c>
      <c r="AR105" s="11" t="n">
        <f aca="false">IF(AND(AR$1&gt;=Units!$Q104,MOD(AR$1-Units!$Q104,12)=0),IF(AND(Units!$L104=1,AR$1=Units!$Q104),1,Inputs!$B$15)*Inputs!$B$16*(1+Inputs!$B$11)^(AR$2-1),0)</f>
        <v>0</v>
      </c>
      <c r="AS105" s="11" t="n">
        <f aca="false">IF(AND(AS$1&gt;=Units!$Q104,MOD(AS$1-Units!$Q104,12)=0),IF(AND(Units!$L104=1,AS$1=Units!$Q104),1,Inputs!$B$15)*Inputs!$B$16*(1+Inputs!$B$11)^(AS$2-1),0)</f>
        <v>0</v>
      </c>
      <c r="AT105" s="11" t="n">
        <f aca="false">IF(AND(AT$1&gt;=Units!$Q104,MOD(AT$1-Units!$Q104,12)=0),IF(AND(Units!$L104=1,AT$1=Units!$Q104),1,Inputs!$B$15)*Inputs!$B$16*(1+Inputs!$B$11)^(AT$2-1),0)</f>
        <v>0</v>
      </c>
      <c r="AU105" s="11" t="n">
        <f aca="false">IF(AND(AU$1&gt;=Units!$Q104,MOD(AU$1-Units!$Q104,12)=0),IF(AND(Units!$L104=1,AU$1=Units!$Q104),1,Inputs!$B$15)*Inputs!$B$16*(1+Inputs!$B$11)^(AU$2-1),0)</f>
        <v>0</v>
      </c>
      <c r="AV105" s="11" t="n">
        <f aca="false">IF(AND(AV$1&gt;=Units!$Q104,MOD(AV$1-Units!$Q104,12)=0),IF(AND(Units!$L104=1,AV$1=Units!$Q104),1,Inputs!$B$15)*Inputs!$B$16*(1+Inputs!$B$11)^(AV$2-1),0)</f>
        <v>0</v>
      </c>
      <c r="AW105" s="11" t="n">
        <f aca="false">IF(AND(AW$1&gt;=Units!$Q104,MOD(AW$1-Units!$Q104,12)=0),IF(AND(Units!$L104=1,AW$1=Units!$Q104),1,Inputs!$B$15)*Inputs!$B$16*(1+Inputs!$B$11)^(AW$2-1),0)</f>
        <v>0</v>
      </c>
      <c r="AX105" s="11" t="n">
        <f aca="false">IF(AND(AX$1&gt;=Units!$Q104,MOD(AX$1-Units!$Q104,12)=0),IF(AND(Units!$L104=1,AX$1=Units!$Q104),1,Inputs!$B$15)*Inputs!$B$16*(1+Inputs!$B$11)^(AX$2-1),0)</f>
        <v>0</v>
      </c>
      <c r="AY105" s="11" t="n">
        <f aca="false">IF(AND(AY$1&gt;=Units!$Q104,MOD(AY$1-Units!$Q104,12)=0),IF(AND(Units!$L104=1,AY$1=Units!$Q104),1,Inputs!$B$15)*Inputs!$B$16*(1+Inputs!$B$11)^(AY$2-1),0)</f>
        <v>0</v>
      </c>
      <c r="AZ105" s="11" t="n">
        <f aca="false">IF(AND(AZ$1&gt;=Units!$Q104,MOD(AZ$1-Units!$Q104,12)=0),IF(AND(Units!$L104=1,AZ$1=Units!$Q104),1,Inputs!$B$15)*Inputs!$B$16*(1+Inputs!$B$11)^(AZ$2-1),0)</f>
        <v>0</v>
      </c>
      <c r="BA105" s="11" t="n">
        <f aca="false">IF(AND(BA$1&gt;=Units!$Q104,MOD(BA$1-Units!$Q104,12)=0),IF(AND(Units!$L104=1,BA$1=Units!$Q104),1,Inputs!$B$15)*Inputs!$B$16*(1+Inputs!$B$11)^(BA$2-1),0)</f>
        <v>562.754405</v>
      </c>
      <c r="BB105" s="11" t="n">
        <f aca="false">IF(AND(BB$1&gt;=Units!$Q104,MOD(BB$1-Units!$Q104,12)=0),IF(AND(Units!$L104=1,BB$1=Units!$Q104),1,Inputs!$B$15)*Inputs!$B$16*(1+Inputs!$B$11)^(BB$2-1),0)</f>
        <v>0</v>
      </c>
      <c r="BC105" s="11" t="n">
        <f aca="false">IF(AND(BC$1&gt;=Units!$Q104,MOD(BC$1-Units!$Q104,12)=0),IF(AND(Units!$L104=1,BC$1=Units!$Q104),1,Inputs!$B$15)*Inputs!$B$16*(1+Inputs!$B$11)^(BC$2-1),0)</f>
        <v>0</v>
      </c>
      <c r="BD105" s="11" t="n">
        <f aca="false">IF(AND(BD$1&gt;=Units!$Q104,MOD(BD$1-Units!$Q104,12)=0),IF(AND(Units!$L104=1,BD$1=Units!$Q104),1,Inputs!$B$15)*Inputs!$B$16*(1+Inputs!$B$11)^(BD$2-1),0)</f>
        <v>0</v>
      </c>
      <c r="BE105" s="11" t="n">
        <f aca="false">IF(AND(BE$1&gt;=Units!$Q104,MOD(BE$1-Units!$Q104,12)=0),IF(AND(Units!$L104=1,BE$1=Units!$Q104),1,Inputs!$B$15)*Inputs!$B$16*(1+Inputs!$B$11)^(BE$2-1),0)</f>
        <v>0</v>
      </c>
      <c r="BF105" s="11" t="n">
        <f aca="false">IF(AND(BF$1&gt;=Units!$Q104,MOD(BF$1-Units!$Q104,12)=0),IF(AND(Units!$L104=1,BF$1=Units!$Q104),1,Inputs!$B$15)*Inputs!$B$16*(1+Inputs!$B$11)^(BF$2-1),0)</f>
        <v>0</v>
      </c>
      <c r="BG105" s="11" t="n">
        <f aca="false">IF(AND(BG$1&gt;=Units!$Q104,MOD(BG$1-Units!$Q104,12)=0),IF(AND(Units!$L104=1,BG$1=Units!$Q104),1,Inputs!$B$15)*Inputs!$B$16*(1+Inputs!$B$11)^(BG$2-1),0)</f>
        <v>0</v>
      </c>
      <c r="BH105" s="11" t="n">
        <f aca="false">IF(AND(BH$1&gt;=Units!$Q104,MOD(BH$1-Units!$Q104,12)=0),IF(AND(Units!$L104=1,BH$1=Units!$Q104),1,Inputs!$B$15)*Inputs!$B$16*(1+Inputs!$B$11)^(BH$2-1),0)</f>
        <v>0</v>
      </c>
      <c r="BI105" s="11" t="n">
        <f aca="false">IF(AND(BI$1&gt;=Units!$Q104,MOD(BI$1-Units!$Q104,12)=0),IF(AND(Units!$L104=1,BI$1=Units!$Q104),1,Inputs!$B$15)*Inputs!$B$16*(1+Inputs!$B$11)^(BI$2-1),0)</f>
        <v>0</v>
      </c>
      <c r="BJ105" s="11" t="n">
        <f aca="false">IF(AND(BJ$1&gt;=Units!$Q104,MOD(BJ$1-Units!$Q104,12)=0),IF(AND(Units!$L104=1,BJ$1=Units!$Q104),1,Inputs!$B$15)*Inputs!$B$16*(1+Inputs!$B$11)^(BJ$2-1),0)</f>
        <v>0</v>
      </c>
      <c r="BK105" s="11" t="n">
        <f aca="false">IF(AND(BK$1&gt;=Units!$Q104,MOD(BK$1-Units!$Q104,12)=0),IF(AND(Units!$L104=1,BK$1=Units!$Q104),1,Inputs!$B$15)*Inputs!$B$16*(1+Inputs!$B$11)^(BK$2-1),0)</f>
        <v>0</v>
      </c>
      <c r="BL105" s="11" t="n">
        <f aca="false">IF(AND(BL$1&gt;=Units!$Q104,MOD(BL$1-Units!$Q104,12)=0),IF(AND(Units!$L104=1,BL$1=Units!$Q104),1,Inputs!$B$15)*Inputs!$B$16*(1+Inputs!$B$11)^(BL$2-1),0)</f>
        <v>0</v>
      </c>
      <c r="BM105" s="11" t="n">
        <f aca="false">IF(AND(BM$1&gt;=Units!$Q104,MOD(BM$1-Units!$Q104,12)=0),IF(AND(Units!$L104=1,BM$1=Units!$Q104),1,Inputs!$B$15)*Inputs!$B$16*(1+Inputs!$B$11)^(BM$2-1),0)</f>
        <v>579.63703715</v>
      </c>
      <c r="BN105" s="11" t="n">
        <f aca="false">IF(AND(BN$1&gt;=Units!$Q104,MOD(BN$1-Units!$Q104,12)=0),IF(AND(Units!$L104=1,BN$1=Units!$Q104),1,Inputs!$B$15)*Inputs!$B$16*(1+Inputs!$B$11)^(BN$2-1),0)</f>
        <v>0</v>
      </c>
      <c r="BO105" s="11" t="n">
        <f aca="false">IF(AND(BO$1&gt;=Units!$Q104,MOD(BO$1-Units!$Q104,12)=0),IF(AND(Units!$L104=1,BO$1=Units!$Q104),1,Inputs!$B$15)*Inputs!$B$16*(1+Inputs!$B$11)^(BO$2-1),0)</f>
        <v>0</v>
      </c>
      <c r="BP105" s="11" t="n">
        <f aca="false">IF(AND(BP$1&gt;=Units!$Q104,MOD(BP$1-Units!$Q104,12)=0),IF(AND(Units!$L104=1,BP$1=Units!$Q104),1,Inputs!$B$15)*Inputs!$B$16*(1+Inputs!$B$11)^(BP$2-1),0)</f>
        <v>0</v>
      </c>
      <c r="BQ105" s="11" t="n">
        <f aca="false">IF(AND(BQ$1&gt;=Units!$Q104,MOD(BQ$1-Units!$Q104,12)=0),IF(AND(Units!$L104=1,BQ$1=Units!$Q104),1,Inputs!$B$15)*Inputs!$B$16*(1+Inputs!$B$11)^(BQ$2-1),0)</f>
        <v>0</v>
      </c>
      <c r="BR105" s="11" t="n">
        <f aca="false">IF(AND(BR$1&gt;=Units!$Q104,MOD(BR$1-Units!$Q104,12)=0),IF(AND(Units!$L104=1,BR$1=Units!$Q104),1,Inputs!$B$15)*Inputs!$B$16*(1+Inputs!$B$11)^(BR$2-1),0)</f>
        <v>0</v>
      </c>
      <c r="BS105" s="11" t="n">
        <f aca="false">IF(AND(BS$1&gt;=Units!$Q104,MOD(BS$1-Units!$Q104,12)=0),IF(AND(Units!$L104=1,BS$1=Units!$Q104),1,Inputs!$B$15)*Inputs!$B$16*(1+Inputs!$B$11)^(BS$2-1),0)</f>
        <v>0</v>
      </c>
      <c r="BT105" s="11" t="n">
        <f aca="false">IF(AND(BT$1&gt;=Units!$Q104,MOD(BT$1-Units!$Q104,12)=0),IF(AND(Units!$L104=1,BT$1=Units!$Q104),1,Inputs!$B$15)*Inputs!$B$16*(1+Inputs!$B$11)^(BT$2-1),0)</f>
        <v>0</v>
      </c>
      <c r="BU105" s="11" t="n">
        <f aca="false">IF(AND(BU$1&gt;=Units!$Q104,MOD(BU$1-Units!$Q104,12)=0),IF(AND(Units!$L104=1,BU$1=Units!$Q104),1,Inputs!$B$15)*Inputs!$B$16*(1+Inputs!$B$11)^(BU$2-1),0)</f>
        <v>0</v>
      </c>
      <c r="BV105" s="11" t="n">
        <f aca="false">IF(AND(BV$1&gt;=Units!$Q104,MOD(BV$1-Units!$Q104,12)=0),IF(AND(Units!$L104=1,BV$1=Units!$Q104),1,Inputs!$B$15)*Inputs!$B$16*(1+Inputs!$B$11)^(BV$2-1),0)</f>
        <v>0</v>
      </c>
      <c r="BW105" s="11" t="n">
        <f aca="false">IF(AND(BW$1&gt;=Units!$Q104,MOD(BW$1-Units!$Q104,12)=0),IF(AND(Units!$L104=1,BW$1=Units!$Q104),1,Inputs!$B$15)*Inputs!$B$16*(1+Inputs!$B$11)^(BW$2-1),0)</f>
        <v>0</v>
      </c>
      <c r="BX105" s="11" t="n">
        <f aca="false">IF(AND(BX$1&gt;=Units!$Q104,MOD(BX$1-Units!$Q104,12)=0),IF(AND(Units!$L104=1,BX$1=Units!$Q104),1,Inputs!$B$15)*Inputs!$B$16*(1+Inputs!$B$11)^(BX$2-1),0)</f>
        <v>0</v>
      </c>
      <c r="BY105" s="11" t="n">
        <f aca="false">IF(AND(BY$1&gt;=Units!$Q104,MOD(BY$1-Units!$Q104,12)=0),IF(AND(Units!$L104=1,BY$1=Units!$Q104),1,Inputs!$B$15)*Inputs!$B$16*(1+Inputs!$B$11)^(BY$2-1),0)</f>
        <v>597.0261482645</v>
      </c>
      <c r="BZ105" s="11" t="n">
        <f aca="false">IF(AND(BZ$1&gt;=Units!$Q104,MOD(BZ$1-Units!$Q104,12)=0),IF(AND(Units!$L104=1,BZ$1=Units!$Q104),1,Inputs!$B$15)*Inputs!$B$16*(1+Inputs!$B$11)^(BZ$2-1),0)</f>
        <v>0</v>
      </c>
      <c r="CA105" s="11" t="n">
        <f aca="false">IF(AND(CA$1&gt;=Units!$Q104,MOD(CA$1-Units!$Q104,12)=0),IF(AND(Units!$L104=1,CA$1=Units!$Q104),1,Inputs!$B$15)*Inputs!$B$16*(1+Inputs!$B$11)^(CA$2-1),0)</f>
        <v>0</v>
      </c>
      <c r="CB105" s="11" t="n">
        <f aca="false">IF(AND(CB$1&gt;=Units!$Q104,MOD(CB$1-Units!$Q104,12)=0),IF(AND(Units!$L104=1,CB$1=Units!$Q104),1,Inputs!$B$15)*Inputs!$B$16*(1+Inputs!$B$11)^(CB$2-1),0)</f>
        <v>0</v>
      </c>
      <c r="CC105" s="11" t="n">
        <f aca="false">IF(AND(CC$1&gt;=Units!$Q104,MOD(CC$1-Units!$Q104,12)=0),IF(AND(Units!$L104=1,CC$1=Units!$Q104),1,Inputs!$B$15)*Inputs!$B$16*(1+Inputs!$B$11)^(CC$2-1),0)</f>
        <v>0</v>
      </c>
      <c r="CD105" s="11" t="n">
        <f aca="false">IF(AND(CD$1&gt;=Units!$Q104,MOD(CD$1-Units!$Q104,12)=0),IF(AND(Units!$L104=1,CD$1=Units!$Q104),1,Inputs!$B$15)*Inputs!$B$16*(1+Inputs!$B$11)^(CD$2-1),0)</f>
        <v>0</v>
      </c>
      <c r="CE105" s="11" t="n">
        <f aca="false">IF(AND(CE$1&gt;=Units!$Q104,MOD(CE$1-Units!$Q104,12)=0),IF(AND(Units!$L104=1,CE$1=Units!$Q104),1,Inputs!$B$15)*Inputs!$B$16*(1+Inputs!$B$11)^(CE$2-1),0)</f>
        <v>0</v>
      </c>
      <c r="CF105" s="11" t="n">
        <f aca="false">IF(AND(CF$1&gt;=Units!$Q104,MOD(CF$1-Units!$Q104,12)=0),IF(AND(Units!$L104=1,CF$1=Units!$Q104),1,Inputs!$B$15)*Inputs!$B$16*(1+Inputs!$B$11)^(CF$2-1),0)</f>
        <v>0</v>
      </c>
      <c r="CG105" s="11" t="n">
        <f aca="false">IF(AND(CG$1&gt;=Units!$Q104,MOD(CG$1-Units!$Q104,12)=0),IF(AND(Units!$L104=1,CG$1=Units!$Q104),1,Inputs!$B$15)*Inputs!$B$16*(1+Inputs!$B$11)^(CG$2-1),0)</f>
        <v>0</v>
      </c>
      <c r="CH105" s="11" t="n">
        <f aca="false">IF(AND(CH$1&gt;=Units!$Q104,MOD(CH$1-Units!$Q104,12)=0),IF(AND(Units!$L104=1,CH$1=Units!$Q104),1,Inputs!$B$15)*Inputs!$B$16*(1+Inputs!$B$11)^(CH$2-1),0)</f>
        <v>0</v>
      </c>
      <c r="CI105" s="11" t="n">
        <f aca="false">IF(AND(CI$1&gt;=Units!$Q104,MOD(CI$1-Units!$Q104,12)=0),IF(AND(Units!$L104=1,CI$1=Units!$Q104),1,Inputs!$B$15)*Inputs!$B$16*(1+Inputs!$B$11)^(CI$2-1),0)</f>
        <v>0</v>
      </c>
      <c r="CJ105" s="11" t="n">
        <f aca="false">IF(AND(CJ$1&gt;=Units!$Q104,MOD(CJ$1-Units!$Q104,12)=0),IF(AND(Units!$L104=1,CJ$1=Units!$Q104),1,Inputs!$B$15)*Inputs!$B$16*(1+Inputs!$B$11)^(CJ$2-1),0)</f>
        <v>0</v>
      </c>
      <c r="CK105" s="11" t="n">
        <f aca="false">IF(AND(CK$1&gt;=Units!$Q104,MOD(CK$1-Units!$Q104,12)=0),IF(AND(Units!$L104=1,CK$1=Units!$Q104),1,Inputs!$B$15)*Inputs!$B$16*(1+Inputs!$B$11)^(CK$2-1),0)</f>
        <v>614.936932712435</v>
      </c>
      <c r="CL105" s="11" t="n">
        <f aca="false">IF(AND(CL$1&gt;=Units!$Q104,MOD(CL$1-Units!$Q104,12)=0),IF(AND(Units!$L104=1,CL$1=Units!$Q104),1,Inputs!$B$15)*Inputs!$B$16*(1+Inputs!$B$11)^(CL$2-1),0)</f>
        <v>0</v>
      </c>
      <c r="CM105" s="11" t="n">
        <f aca="false">IF(AND(CM$1&gt;=Units!$Q104,MOD(CM$1-Units!$Q104,12)=0),IF(AND(Units!$L104=1,CM$1=Units!$Q104),1,Inputs!$B$15)*Inputs!$B$16*(1+Inputs!$B$11)^(CM$2-1),0)</f>
        <v>0</v>
      </c>
      <c r="CN105" s="11" t="n">
        <f aca="false">IF(AND(CN$1&gt;=Units!$Q104,MOD(CN$1-Units!$Q104,12)=0),IF(AND(Units!$L104=1,CN$1=Units!$Q104),1,Inputs!$B$15)*Inputs!$B$16*(1+Inputs!$B$11)^(CN$2-1),0)</f>
        <v>0</v>
      </c>
      <c r="CO105" s="11" t="n">
        <f aca="false">IF(AND(CO$1&gt;=Units!$Q104,MOD(CO$1-Units!$Q104,12)=0),IF(AND(Units!$L104=1,CO$1=Units!$Q104),1,Inputs!$B$15)*Inputs!$B$16*(1+Inputs!$B$11)^(CO$2-1),0)</f>
        <v>0</v>
      </c>
      <c r="CP105" s="11" t="n">
        <f aca="false">IF(AND(CP$1&gt;=Units!$Q104,MOD(CP$1-Units!$Q104,12)=0),IF(AND(Units!$L104=1,CP$1=Units!$Q104),1,Inputs!$B$15)*Inputs!$B$16*(1+Inputs!$B$11)^(CP$2-1),0)</f>
        <v>0</v>
      </c>
      <c r="CQ105" s="11" t="n">
        <f aca="false">IF(AND(CQ$1&gt;=Units!$Q104,MOD(CQ$1-Units!$Q104,12)=0),IF(AND(Units!$L104=1,CQ$1=Units!$Q104),1,Inputs!$B$15)*Inputs!$B$16*(1+Inputs!$B$11)^(CQ$2-1),0)</f>
        <v>0</v>
      </c>
      <c r="CR105" s="11" t="n">
        <f aca="false">IF(AND(CR$1&gt;=Units!$Q104,MOD(CR$1-Units!$Q104,12)=0),IF(AND(Units!$L104=1,CR$1=Units!$Q104),1,Inputs!$B$15)*Inputs!$B$16*(1+Inputs!$B$11)^(CR$2-1),0)</f>
        <v>0</v>
      </c>
      <c r="CS105" s="11" t="n">
        <f aca="false">IF(AND(CS$1&gt;=Units!$Q104,MOD(CS$1-Units!$Q104,12)=0),IF(AND(Units!$L104=1,CS$1=Units!$Q104),1,Inputs!$B$15)*Inputs!$B$16*(1+Inputs!$B$11)^(CS$2-1),0)</f>
        <v>0</v>
      </c>
      <c r="CT105" s="11" t="n">
        <f aca="false">IF(AND(CT$1&gt;=Units!$Q104,MOD(CT$1-Units!$Q104,12)=0),IF(AND(Units!$L104=1,CT$1=Units!$Q104),1,Inputs!$B$15)*Inputs!$B$16*(1+Inputs!$B$11)^(CT$2-1),0)</f>
        <v>0</v>
      </c>
      <c r="CU105" s="11" t="n">
        <f aca="false">IF(AND(CU$1&gt;=Units!$Q104,MOD(CU$1-Units!$Q104,12)=0),IF(AND(Units!$L104=1,CU$1=Units!$Q104),1,Inputs!$B$15)*Inputs!$B$16*(1+Inputs!$B$11)^(CU$2-1),0)</f>
        <v>0</v>
      </c>
      <c r="CV105" s="11" t="n">
        <f aca="false">IF(AND(CV$1&gt;=Units!$Q104,MOD(CV$1-Units!$Q104,12)=0),IF(AND(Units!$L104=1,CV$1=Units!$Q104),1,Inputs!$B$15)*Inputs!$B$16*(1+Inputs!$B$11)^(CV$2-1),0)</f>
        <v>0</v>
      </c>
      <c r="CW105" s="11" t="n">
        <f aca="false">IF(AND(CW$1&gt;=Units!$Q104,MOD(CW$1-Units!$Q104,12)=0),IF(AND(Units!$L104=1,CW$1=Units!$Q104),1,Inputs!$B$15)*Inputs!$B$16*(1+Inputs!$B$11)^(CW$2-1),0)</f>
        <v>633.385040693808</v>
      </c>
      <c r="CX105" s="11" t="n">
        <f aca="false">IF(AND(CX$1&gt;=Units!$Q104,MOD(CX$1-Units!$Q104,12)=0),IF(AND(Units!$L104=1,CX$1=Units!$Q104),1,Inputs!$B$15)*Inputs!$B$16*(1+Inputs!$B$11)^(CX$2-1),0)</f>
        <v>0</v>
      </c>
      <c r="CY105" s="11" t="n">
        <f aca="false">IF(AND(CY$1&gt;=Units!$Q104,MOD(CY$1-Units!$Q104,12)=0),IF(AND(Units!$L104=1,CY$1=Units!$Q104),1,Inputs!$B$15)*Inputs!$B$16*(1+Inputs!$B$11)^(CY$2-1),0)</f>
        <v>0</v>
      </c>
      <c r="CZ105" s="11" t="n">
        <f aca="false">IF(AND(CZ$1&gt;=Units!$Q104,MOD(CZ$1-Units!$Q104,12)=0),IF(AND(Units!$L104=1,CZ$1=Units!$Q104),1,Inputs!$B$15)*Inputs!$B$16*(1+Inputs!$B$11)^(CZ$2-1),0)</f>
        <v>0</v>
      </c>
      <c r="DA105" s="11" t="n">
        <f aca="false">IF(AND(DA$1&gt;=Units!$Q104,MOD(DA$1-Units!$Q104,12)=0),IF(AND(Units!$L104=1,DA$1=Units!$Q104),1,Inputs!$B$15)*Inputs!$B$16*(1+Inputs!$B$11)^(DA$2-1),0)</f>
        <v>0</v>
      </c>
      <c r="DB105" s="11" t="n">
        <f aca="false">IF(AND(DB$1&gt;=Units!$Q104,MOD(DB$1-Units!$Q104,12)=0),IF(AND(Units!$L104=1,DB$1=Units!$Q104),1,Inputs!$B$15)*Inputs!$B$16*(1+Inputs!$B$11)^(DB$2-1),0)</f>
        <v>0</v>
      </c>
      <c r="DC105" s="11" t="n">
        <f aca="false">IF(AND(DC$1&gt;=Units!$Q104,MOD(DC$1-Units!$Q104,12)=0),IF(AND(Units!$L104=1,DC$1=Units!$Q104),1,Inputs!$B$15)*Inputs!$B$16*(1+Inputs!$B$11)^(DC$2-1),0)</f>
        <v>0</v>
      </c>
      <c r="DD105" s="11" t="n">
        <f aca="false">IF(AND(DD$1&gt;=Units!$Q104,MOD(DD$1-Units!$Q104,12)=0),IF(AND(Units!$L104=1,DD$1=Units!$Q104),1,Inputs!$B$15)*Inputs!$B$16*(1+Inputs!$B$11)^(DD$2-1),0)</f>
        <v>0</v>
      </c>
      <c r="DE105" s="11" t="n">
        <f aca="false">IF(AND(DE$1&gt;=Units!$Q104,MOD(DE$1-Units!$Q104,12)=0),IF(AND(Units!$L104=1,DE$1=Units!$Q104),1,Inputs!$B$15)*Inputs!$B$16*(1+Inputs!$B$11)^(DE$2-1),0)</f>
        <v>0</v>
      </c>
      <c r="DF105" s="11" t="n">
        <f aca="false">IF(AND(DF$1&gt;=Units!$Q104,MOD(DF$1-Units!$Q104,12)=0),IF(AND(Units!$L104=1,DF$1=Units!$Q104),1,Inputs!$B$15)*Inputs!$B$16*(1+Inputs!$B$11)^(DF$2-1),0)</f>
        <v>0</v>
      </c>
      <c r="DG105" s="11" t="n">
        <f aca="false">IF(AND(DG$1&gt;=Units!$Q104,MOD(DG$1-Units!$Q104,12)=0),IF(AND(Units!$L104=1,DG$1=Units!$Q104),1,Inputs!$B$15)*Inputs!$B$16*(1+Inputs!$B$11)^(DG$2-1),0)</f>
        <v>0</v>
      </c>
      <c r="DH105" s="11" t="n">
        <f aca="false">IF(AND(DH$1&gt;=Units!$Q104,MOD(DH$1-Units!$Q104,12)=0),IF(AND(Units!$L104=1,DH$1=Units!$Q104),1,Inputs!$B$15)*Inputs!$B$16*(1+Inputs!$B$11)^(DH$2-1),0)</f>
        <v>0</v>
      </c>
      <c r="DI105" s="11" t="n">
        <f aca="false">IF(AND(DI$1&gt;=Units!$Q104,MOD(DI$1-Units!$Q104,12)=0),IF(AND(Units!$L104=1,DI$1=Units!$Q104),1,Inputs!$B$15)*Inputs!$B$16*(1+Inputs!$B$11)^(DI$2-1),0)</f>
        <v>652.386591914623</v>
      </c>
      <c r="DJ105" s="11" t="n">
        <f aca="false">IF(AND(DJ$1&gt;=Units!$Q104,MOD(DJ$1-Units!$Q104,12)=0),IF(AND(Units!$L104=1,DJ$1=Units!$Q104),1,Inputs!$B$15)*Inputs!$B$16*(1+Inputs!$B$11)^(DJ$2-1),0)</f>
        <v>0</v>
      </c>
      <c r="DK105" s="11" t="n">
        <f aca="false">IF(AND(DK$1&gt;=Units!$Q104,MOD(DK$1-Units!$Q104,12)=0),IF(AND(Units!$L104=1,DK$1=Units!$Q104),1,Inputs!$B$15)*Inputs!$B$16*(1+Inputs!$B$11)^(DK$2-1),0)</f>
        <v>0</v>
      </c>
      <c r="DL105" s="11" t="n">
        <f aca="false">IF(AND(DL$1&gt;=Units!$Q104,MOD(DL$1-Units!$Q104,12)=0),IF(AND(Units!$L104=1,DL$1=Units!$Q104),1,Inputs!$B$15)*Inputs!$B$16*(1+Inputs!$B$11)^(DL$2-1),0)</f>
        <v>0</v>
      </c>
      <c r="DM105" s="11" t="n">
        <f aca="false">IF(AND(DM$1&gt;=Units!$Q104,MOD(DM$1-Units!$Q104,12)=0),IF(AND(Units!$L104=1,DM$1=Units!$Q104),1,Inputs!$B$15)*Inputs!$B$16*(1+Inputs!$B$11)^(DM$2-1),0)</f>
        <v>0</v>
      </c>
      <c r="DN105" s="11" t="n">
        <f aca="false">IF(AND(DN$1&gt;=Units!$Q104,MOD(DN$1-Units!$Q104,12)=0),IF(AND(Units!$L104=1,DN$1=Units!$Q104),1,Inputs!$B$15)*Inputs!$B$16*(1+Inputs!$B$11)^(DN$2-1),0)</f>
        <v>0</v>
      </c>
      <c r="DO105" s="11" t="n">
        <f aca="false">IF(AND(DO$1&gt;=Units!$Q104,MOD(DO$1-Units!$Q104,12)=0),IF(AND(Units!$L104=1,DO$1=Units!$Q104),1,Inputs!$B$15)*Inputs!$B$16*(1+Inputs!$B$11)^(DO$2-1),0)</f>
        <v>0</v>
      </c>
      <c r="DP105" s="11" t="n">
        <f aca="false">IF(AND(DP$1&gt;=Units!$Q104,MOD(DP$1-Units!$Q104,12)=0),IF(AND(Units!$L104=1,DP$1=Units!$Q104),1,Inputs!$B$15)*Inputs!$B$16*(1+Inputs!$B$11)^(DP$2-1),0)</f>
        <v>0</v>
      </c>
      <c r="DQ105" s="11" t="n">
        <f aca="false">IF(AND(DQ$1&gt;=Units!$Q104,MOD(DQ$1-Units!$Q104,12)=0),IF(AND(Units!$L104=1,DQ$1=Units!$Q104),1,Inputs!$B$15)*Inputs!$B$16*(1+Inputs!$B$11)^(DQ$2-1),0)</f>
        <v>0</v>
      </c>
      <c r="DR105" s="11" t="n">
        <f aca="false">IF(AND(DR$1&gt;=Units!$Q104,MOD(DR$1-Units!$Q104,12)=0),IF(AND(Units!$L104=1,DR$1=Units!$Q104),1,Inputs!$B$15)*Inputs!$B$16*(1+Inputs!$B$11)^(DR$2-1),0)</f>
        <v>0</v>
      </c>
      <c r="DS105" s="11" t="n">
        <f aca="false">IF(AND(DS$1&gt;=Units!$Q104,MOD(DS$1-Units!$Q104,12)=0),IF(AND(Units!$L104=1,DS$1=Units!$Q104),1,Inputs!$B$15)*Inputs!$B$16*(1+Inputs!$B$11)^(DS$2-1),0)</f>
        <v>0</v>
      </c>
      <c r="DT105" s="11" t="n">
        <f aca="false">IF(AND(DT$1&gt;=Units!$Q104,MOD(DT$1-Units!$Q104,12)=0),IF(AND(Units!$L104=1,DT$1=Units!$Q104),1,Inputs!$B$15)*Inputs!$B$16*(1+Inputs!$B$11)^(DT$2-1),0)</f>
        <v>0</v>
      </c>
      <c r="DU105" s="11" t="n">
        <f aca="false">IF(AND(DU$1&gt;=Units!$Q104,MOD(DU$1-Units!$Q104,12)=0),IF(AND(Units!$L104=1,DU$1=Units!$Q104),1,Inputs!$B$15)*Inputs!$B$16*(1+Inputs!$B$11)^(DU$2-1),0)</f>
        <v>671.958189672061</v>
      </c>
      <c r="DV105" s="11" t="n">
        <f aca="false">IF(AND(DV$1&gt;=Units!$Q104,MOD(DV$1-Units!$Q104,12)=0),IF(AND(Units!$L104=1,DV$1=Units!$Q104),1,Inputs!$B$15)*Inputs!$B$16*(1+Inputs!$B$11)^(DV$2-1),0)</f>
        <v>0</v>
      </c>
      <c r="DW105" s="11" t="n">
        <f aca="false">IF(AND(DW$1&gt;=Units!$Q104,MOD(DW$1-Units!$Q104,12)=0),IF(AND(Units!$L104=1,DW$1=Units!$Q104),1,Inputs!$B$15)*Inputs!$B$16*(1+Inputs!$B$11)^(DW$2-1),0)</f>
        <v>0</v>
      </c>
      <c r="DX105" s="11" t="n">
        <f aca="false">IF(AND(DX$1&gt;=Units!$Q104,MOD(DX$1-Units!$Q104,12)=0),IF(AND(Units!$L104=1,DX$1=Units!$Q104),1,Inputs!$B$15)*Inputs!$B$16*(1+Inputs!$B$11)^(DX$2-1),0)</f>
        <v>0</v>
      </c>
      <c r="DY105" s="11" t="n">
        <f aca="false">IF(AND(DY$1&gt;=Units!$Q104,MOD(DY$1-Units!$Q104,12)=0),IF(AND(Units!$L104=1,DY$1=Units!$Q104),1,Inputs!$B$15)*Inputs!$B$16*(1+Inputs!$B$11)^(DY$2-1),0)</f>
        <v>0</v>
      </c>
      <c r="DZ105" s="11" t="n">
        <f aca="false">IF(AND(DZ$1&gt;=Units!$Q104,MOD(DZ$1-Units!$Q104,12)=0),IF(AND(Units!$L104=1,DZ$1=Units!$Q104),1,Inputs!$B$15)*Inputs!$B$16*(1+Inputs!$B$11)^(DZ$2-1),0)</f>
        <v>0</v>
      </c>
      <c r="EA105" s="11" t="n">
        <f aca="false">IF(AND(EA$1&gt;=Units!$Q104,MOD(EA$1-Units!$Q104,12)=0),IF(AND(Units!$L104=1,EA$1=Units!$Q104),1,Inputs!$B$15)*Inputs!$B$16*(1+Inputs!$B$11)^(EA$2-1),0)</f>
        <v>0</v>
      </c>
      <c r="EB105" s="11" t="n">
        <f aca="false">IF(AND(EB$1&gt;=Units!$Q104,MOD(EB$1-Units!$Q104,12)=0),IF(AND(Units!$L104=1,EB$1=Units!$Q104),1,Inputs!$B$15)*Inputs!$B$16*(1+Inputs!$B$11)^(EB$2-1),0)</f>
        <v>0</v>
      </c>
      <c r="EC105" s="11" t="n">
        <f aca="false">IF(AND(EC$1&gt;=Units!$Q104,MOD(EC$1-Units!$Q104,12)=0),IF(AND(Units!$L104=1,EC$1=Units!$Q104),1,Inputs!$B$15)*Inputs!$B$16*(1+Inputs!$B$11)^(EC$2-1),0)</f>
        <v>0</v>
      </c>
      <c r="ED105" s="11" t="n">
        <f aca="false">IF(AND(ED$1&gt;=Units!$Q104,MOD(ED$1-Units!$Q104,12)=0),IF(AND(Units!$L104=1,ED$1=Units!$Q104),1,Inputs!$B$15)*Inputs!$B$16*(1+Inputs!$B$11)^(ED$2-1),0)</f>
        <v>0</v>
      </c>
    </row>
    <row r="106" customFormat="false" ht="15" hidden="false" customHeight="false" outlineLevel="0" collapsed="false">
      <c r="A106" s="22" t="n">
        <f aca="false">Units!A105</f>
        <v>414</v>
      </c>
      <c r="B106" s="23"/>
      <c r="C106" s="11" t="n">
        <f aca="false">IF(AND(C$1&gt;=Units!$Q105,MOD(C$1-Units!$Q105,12)=0),IF(AND(Units!$L105=1,C$1=Units!$Q105),1,Inputs!$B$15)*Inputs!$B$16*(1+Inputs!$B$11)^(C$2-1),0)</f>
        <v>0</v>
      </c>
      <c r="D106" s="11" t="n">
        <f aca="false">IF(AND(D$1&gt;=Units!$Q105,MOD(D$1-Units!$Q105,12)=0),IF(AND(Units!$L105=1,D$1=Units!$Q105),1,Inputs!$B$15)*Inputs!$B$16*(1+Inputs!$B$11)^(D$2-1),0)</f>
        <v>0</v>
      </c>
      <c r="E106" s="11" t="n">
        <f aca="false">IF(AND(E$1&gt;=Units!$Q105,MOD(E$1-Units!$Q105,12)=0),IF(AND(Units!$L105=1,E$1=Units!$Q105),1,Inputs!$B$15)*Inputs!$B$16*(1+Inputs!$B$11)^(E$2-1),0)</f>
        <v>0</v>
      </c>
      <c r="F106" s="11" t="n">
        <f aca="false">IF(AND(F$1&gt;=Units!$Q105,MOD(F$1-Units!$Q105,12)=0),IF(AND(Units!$L105=1,F$1=Units!$Q105),1,Inputs!$B$15)*Inputs!$B$16*(1+Inputs!$B$11)^(F$2-1),0)</f>
        <v>0</v>
      </c>
      <c r="G106" s="11" t="n">
        <f aca="false">IF(AND(G$1&gt;=Units!$Q105,MOD(G$1-Units!$Q105,12)=0),IF(AND(Units!$L105=1,G$1=Units!$Q105),1,Inputs!$B$15)*Inputs!$B$16*(1+Inputs!$B$11)^(G$2-1),0)</f>
        <v>500</v>
      </c>
      <c r="H106" s="11" t="n">
        <f aca="false">IF(AND(H$1&gt;=Units!$Q105,MOD(H$1-Units!$Q105,12)=0),IF(AND(Units!$L105=1,H$1=Units!$Q105),1,Inputs!$B$15)*Inputs!$B$16*(1+Inputs!$B$11)^(H$2-1),0)</f>
        <v>0</v>
      </c>
      <c r="I106" s="11" t="n">
        <f aca="false">IF(AND(I$1&gt;=Units!$Q105,MOD(I$1-Units!$Q105,12)=0),IF(AND(Units!$L105=1,I$1=Units!$Q105),1,Inputs!$B$15)*Inputs!$B$16*(1+Inputs!$B$11)^(I$2-1),0)</f>
        <v>0</v>
      </c>
      <c r="J106" s="11" t="n">
        <f aca="false">IF(AND(J$1&gt;=Units!$Q105,MOD(J$1-Units!$Q105,12)=0),IF(AND(Units!$L105=1,J$1=Units!$Q105),1,Inputs!$B$15)*Inputs!$B$16*(1+Inputs!$B$11)^(J$2-1),0)</f>
        <v>0</v>
      </c>
      <c r="K106" s="11" t="n">
        <f aca="false">IF(AND(K$1&gt;=Units!$Q105,MOD(K$1-Units!$Q105,12)=0),IF(AND(Units!$L105=1,K$1=Units!$Q105),1,Inputs!$B$15)*Inputs!$B$16*(1+Inputs!$B$11)^(K$2-1),0)</f>
        <v>0</v>
      </c>
      <c r="L106" s="11" t="n">
        <f aca="false">IF(AND(L$1&gt;=Units!$Q105,MOD(L$1-Units!$Q105,12)=0),IF(AND(Units!$L105=1,L$1=Units!$Q105),1,Inputs!$B$15)*Inputs!$B$16*(1+Inputs!$B$11)^(L$2-1),0)</f>
        <v>0</v>
      </c>
      <c r="M106" s="11" t="n">
        <f aca="false">IF(AND(M$1&gt;=Units!$Q105,MOD(M$1-Units!$Q105,12)=0),IF(AND(Units!$L105=1,M$1=Units!$Q105),1,Inputs!$B$15)*Inputs!$B$16*(1+Inputs!$B$11)^(M$2-1),0)</f>
        <v>0</v>
      </c>
      <c r="N106" s="11" t="n">
        <f aca="false">IF(AND(N$1&gt;=Units!$Q105,MOD(N$1-Units!$Q105,12)=0),IF(AND(Units!$L105=1,N$1=Units!$Q105),1,Inputs!$B$15)*Inputs!$B$16*(1+Inputs!$B$11)^(N$2-1),0)</f>
        <v>0</v>
      </c>
      <c r="O106" s="11" t="n">
        <f aca="false">IF(AND(O$1&gt;=Units!$Q105,MOD(O$1-Units!$Q105,12)=0),IF(AND(Units!$L105=1,O$1=Units!$Q105),1,Inputs!$B$15)*Inputs!$B$16*(1+Inputs!$B$11)^(O$2-1),0)</f>
        <v>0</v>
      </c>
      <c r="P106" s="11" t="n">
        <f aca="false">IF(AND(P$1&gt;=Units!$Q105,MOD(P$1-Units!$Q105,12)=0),IF(AND(Units!$L105=1,P$1=Units!$Q105),1,Inputs!$B$15)*Inputs!$B$16*(1+Inputs!$B$11)^(P$2-1),0)</f>
        <v>0</v>
      </c>
      <c r="Q106" s="11" t="n">
        <f aca="false">IF(AND(Q$1&gt;=Units!$Q105,MOD(Q$1-Units!$Q105,12)=0),IF(AND(Units!$L105=1,Q$1=Units!$Q105),1,Inputs!$B$15)*Inputs!$B$16*(1+Inputs!$B$11)^(Q$2-1),0)</f>
        <v>0</v>
      </c>
      <c r="R106" s="11" t="n">
        <f aca="false">IF(AND(R$1&gt;=Units!$Q105,MOD(R$1-Units!$Q105,12)=0),IF(AND(Units!$L105=1,R$1=Units!$Q105),1,Inputs!$B$15)*Inputs!$B$16*(1+Inputs!$B$11)^(R$2-1),0)</f>
        <v>0</v>
      </c>
      <c r="S106" s="11" t="n">
        <f aca="false">IF(AND(S$1&gt;=Units!$Q105,MOD(S$1-Units!$Q105,12)=0),IF(AND(Units!$L105=1,S$1=Units!$Q105),1,Inputs!$B$15)*Inputs!$B$16*(1+Inputs!$B$11)^(S$2-1),0)</f>
        <v>515</v>
      </c>
      <c r="T106" s="11" t="n">
        <f aca="false">IF(AND(T$1&gt;=Units!$Q105,MOD(T$1-Units!$Q105,12)=0),IF(AND(Units!$L105=1,T$1=Units!$Q105),1,Inputs!$B$15)*Inputs!$B$16*(1+Inputs!$B$11)^(T$2-1),0)</f>
        <v>0</v>
      </c>
      <c r="U106" s="11" t="n">
        <f aca="false">IF(AND(U$1&gt;=Units!$Q105,MOD(U$1-Units!$Q105,12)=0),IF(AND(Units!$L105=1,U$1=Units!$Q105),1,Inputs!$B$15)*Inputs!$B$16*(1+Inputs!$B$11)^(U$2-1),0)</f>
        <v>0</v>
      </c>
      <c r="V106" s="11" t="n">
        <f aca="false">IF(AND(V$1&gt;=Units!$Q105,MOD(V$1-Units!$Q105,12)=0),IF(AND(Units!$L105=1,V$1=Units!$Q105),1,Inputs!$B$15)*Inputs!$B$16*(1+Inputs!$B$11)^(V$2-1),0)</f>
        <v>0</v>
      </c>
      <c r="W106" s="11" t="n">
        <f aca="false">IF(AND(W$1&gt;=Units!$Q105,MOD(W$1-Units!$Q105,12)=0),IF(AND(Units!$L105=1,W$1=Units!$Q105),1,Inputs!$B$15)*Inputs!$B$16*(1+Inputs!$B$11)^(W$2-1),0)</f>
        <v>0</v>
      </c>
      <c r="X106" s="11" t="n">
        <f aca="false">IF(AND(X$1&gt;=Units!$Q105,MOD(X$1-Units!$Q105,12)=0),IF(AND(Units!$L105=1,X$1=Units!$Q105),1,Inputs!$B$15)*Inputs!$B$16*(1+Inputs!$B$11)^(X$2-1),0)</f>
        <v>0</v>
      </c>
      <c r="Y106" s="11" t="n">
        <f aca="false">IF(AND(Y$1&gt;=Units!$Q105,MOD(Y$1-Units!$Q105,12)=0),IF(AND(Units!$L105=1,Y$1=Units!$Q105),1,Inputs!$B$15)*Inputs!$B$16*(1+Inputs!$B$11)^(Y$2-1),0)</f>
        <v>0</v>
      </c>
      <c r="Z106" s="11" t="n">
        <f aca="false">IF(AND(Z$1&gt;=Units!$Q105,MOD(Z$1-Units!$Q105,12)=0),IF(AND(Units!$L105=1,Z$1=Units!$Q105),1,Inputs!$B$15)*Inputs!$B$16*(1+Inputs!$B$11)^(Z$2-1),0)</f>
        <v>0</v>
      </c>
      <c r="AA106" s="11" t="n">
        <f aca="false">IF(AND(AA$1&gt;=Units!$Q105,MOD(AA$1-Units!$Q105,12)=0),IF(AND(Units!$L105=1,AA$1=Units!$Q105),1,Inputs!$B$15)*Inputs!$B$16*(1+Inputs!$B$11)^(AA$2-1),0)</f>
        <v>0</v>
      </c>
      <c r="AB106" s="11" t="n">
        <f aca="false">IF(AND(AB$1&gt;=Units!$Q105,MOD(AB$1-Units!$Q105,12)=0),IF(AND(Units!$L105=1,AB$1=Units!$Q105),1,Inputs!$B$15)*Inputs!$B$16*(1+Inputs!$B$11)^(AB$2-1),0)</f>
        <v>0</v>
      </c>
      <c r="AC106" s="11" t="n">
        <f aca="false">IF(AND(AC$1&gt;=Units!$Q105,MOD(AC$1-Units!$Q105,12)=0),IF(AND(Units!$L105=1,AC$1=Units!$Q105),1,Inputs!$B$15)*Inputs!$B$16*(1+Inputs!$B$11)^(AC$2-1),0)</f>
        <v>0</v>
      </c>
      <c r="AD106" s="11" t="n">
        <f aca="false">IF(AND(AD$1&gt;=Units!$Q105,MOD(AD$1-Units!$Q105,12)=0),IF(AND(Units!$L105=1,AD$1=Units!$Q105),1,Inputs!$B$15)*Inputs!$B$16*(1+Inputs!$B$11)^(AD$2-1),0)</f>
        <v>0</v>
      </c>
      <c r="AE106" s="11" t="n">
        <f aca="false">IF(AND(AE$1&gt;=Units!$Q105,MOD(AE$1-Units!$Q105,12)=0),IF(AND(Units!$L105=1,AE$1=Units!$Q105),1,Inputs!$B$15)*Inputs!$B$16*(1+Inputs!$B$11)^(AE$2-1),0)</f>
        <v>530.45</v>
      </c>
      <c r="AF106" s="11" t="n">
        <f aca="false">IF(AND(AF$1&gt;=Units!$Q105,MOD(AF$1-Units!$Q105,12)=0),IF(AND(Units!$L105=1,AF$1=Units!$Q105),1,Inputs!$B$15)*Inputs!$B$16*(1+Inputs!$B$11)^(AF$2-1),0)</f>
        <v>0</v>
      </c>
      <c r="AG106" s="11" t="n">
        <f aca="false">IF(AND(AG$1&gt;=Units!$Q105,MOD(AG$1-Units!$Q105,12)=0),IF(AND(Units!$L105=1,AG$1=Units!$Q105),1,Inputs!$B$15)*Inputs!$B$16*(1+Inputs!$B$11)^(AG$2-1),0)</f>
        <v>0</v>
      </c>
      <c r="AH106" s="11" t="n">
        <f aca="false">IF(AND(AH$1&gt;=Units!$Q105,MOD(AH$1-Units!$Q105,12)=0),IF(AND(Units!$L105=1,AH$1=Units!$Q105),1,Inputs!$B$15)*Inputs!$B$16*(1+Inputs!$B$11)^(AH$2-1),0)</f>
        <v>0</v>
      </c>
      <c r="AI106" s="11" t="n">
        <f aca="false">IF(AND(AI$1&gt;=Units!$Q105,MOD(AI$1-Units!$Q105,12)=0),IF(AND(Units!$L105=1,AI$1=Units!$Q105),1,Inputs!$B$15)*Inputs!$B$16*(1+Inputs!$B$11)^(AI$2-1),0)</f>
        <v>0</v>
      </c>
      <c r="AJ106" s="11" t="n">
        <f aca="false">IF(AND(AJ$1&gt;=Units!$Q105,MOD(AJ$1-Units!$Q105,12)=0),IF(AND(Units!$L105=1,AJ$1=Units!$Q105),1,Inputs!$B$15)*Inputs!$B$16*(1+Inputs!$B$11)^(AJ$2-1),0)</f>
        <v>0</v>
      </c>
      <c r="AK106" s="11" t="n">
        <f aca="false">IF(AND(AK$1&gt;=Units!$Q105,MOD(AK$1-Units!$Q105,12)=0),IF(AND(Units!$L105=1,AK$1=Units!$Q105),1,Inputs!$B$15)*Inputs!$B$16*(1+Inputs!$B$11)^(AK$2-1),0)</f>
        <v>0</v>
      </c>
      <c r="AL106" s="11" t="n">
        <f aca="false">IF(AND(AL$1&gt;=Units!$Q105,MOD(AL$1-Units!$Q105,12)=0),IF(AND(Units!$L105=1,AL$1=Units!$Q105),1,Inputs!$B$15)*Inputs!$B$16*(1+Inputs!$B$11)^(AL$2-1),0)</f>
        <v>0</v>
      </c>
      <c r="AM106" s="11" t="n">
        <f aca="false">IF(AND(AM$1&gt;=Units!$Q105,MOD(AM$1-Units!$Q105,12)=0),IF(AND(Units!$L105=1,AM$1=Units!$Q105),1,Inputs!$B$15)*Inputs!$B$16*(1+Inputs!$B$11)^(AM$2-1),0)</f>
        <v>0</v>
      </c>
      <c r="AN106" s="11" t="n">
        <f aca="false">IF(AND(AN$1&gt;=Units!$Q105,MOD(AN$1-Units!$Q105,12)=0),IF(AND(Units!$L105=1,AN$1=Units!$Q105),1,Inputs!$B$15)*Inputs!$B$16*(1+Inputs!$B$11)^(AN$2-1),0)</f>
        <v>0</v>
      </c>
      <c r="AO106" s="11" t="n">
        <f aca="false">IF(AND(AO$1&gt;=Units!$Q105,MOD(AO$1-Units!$Q105,12)=0),IF(AND(Units!$L105=1,AO$1=Units!$Q105),1,Inputs!$B$15)*Inputs!$B$16*(1+Inputs!$B$11)^(AO$2-1),0)</f>
        <v>0</v>
      </c>
      <c r="AP106" s="11" t="n">
        <f aca="false">IF(AND(AP$1&gt;=Units!$Q105,MOD(AP$1-Units!$Q105,12)=0),IF(AND(Units!$L105=1,AP$1=Units!$Q105),1,Inputs!$B$15)*Inputs!$B$16*(1+Inputs!$B$11)^(AP$2-1),0)</f>
        <v>0</v>
      </c>
      <c r="AQ106" s="11" t="n">
        <f aca="false">IF(AND(AQ$1&gt;=Units!$Q105,MOD(AQ$1-Units!$Q105,12)=0),IF(AND(Units!$L105=1,AQ$1=Units!$Q105),1,Inputs!$B$15)*Inputs!$B$16*(1+Inputs!$B$11)^(AQ$2-1),0)</f>
        <v>546.3635</v>
      </c>
      <c r="AR106" s="11" t="n">
        <f aca="false">IF(AND(AR$1&gt;=Units!$Q105,MOD(AR$1-Units!$Q105,12)=0),IF(AND(Units!$L105=1,AR$1=Units!$Q105),1,Inputs!$B$15)*Inputs!$B$16*(1+Inputs!$B$11)^(AR$2-1),0)</f>
        <v>0</v>
      </c>
      <c r="AS106" s="11" t="n">
        <f aca="false">IF(AND(AS$1&gt;=Units!$Q105,MOD(AS$1-Units!$Q105,12)=0),IF(AND(Units!$L105=1,AS$1=Units!$Q105),1,Inputs!$B$15)*Inputs!$B$16*(1+Inputs!$B$11)^(AS$2-1),0)</f>
        <v>0</v>
      </c>
      <c r="AT106" s="11" t="n">
        <f aca="false">IF(AND(AT$1&gt;=Units!$Q105,MOD(AT$1-Units!$Q105,12)=0),IF(AND(Units!$L105=1,AT$1=Units!$Q105),1,Inputs!$B$15)*Inputs!$B$16*(1+Inputs!$B$11)^(AT$2-1),0)</f>
        <v>0</v>
      </c>
      <c r="AU106" s="11" t="n">
        <f aca="false">IF(AND(AU$1&gt;=Units!$Q105,MOD(AU$1-Units!$Q105,12)=0),IF(AND(Units!$L105=1,AU$1=Units!$Q105),1,Inputs!$B$15)*Inputs!$B$16*(1+Inputs!$B$11)^(AU$2-1),0)</f>
        <v>0</v>
      </c>
      <c r="AV106" s="11" t="n">
        <f aca="false">IF(AND(AV$1&gt;=Units!$Q105,MOD(AV$1-Units!$Q105,12)=0),IF(AND(Units!$L105=1,AV$1=Units!$Q105),1,Inputs!$B$15)*Inputs!$B$16*(1+Inputs!$B$11)^(AV$2-1),0)</f>
        <v>0</v>
      </c>
      <c r="AW106" s="11" t="n">
        <f aca="false">IF(AND(AW$1&gt;=Units!$Q105,MOD(AW$1-Units!$Q105,12)=0),IF(AND(Units!$L105=1,AW$1=Units!$Q105),1,Inputs!$B$15)*Inputs!$B$16*(1+Inputs!$B$11)^(AW$2-1),0)</f>
        <v>0</v>
      </c>
      <c r="AX106" s="11" t="n">
        <f aca="false">IF(AND(AX$1&gt;=Units!$Q105,MOD(AX$1-Units!$Q105,12)=0),IF(AND(Units!$L105=1,AX$1=Units!$Q105),1,Inputs!$B$15)*Inputs!$B$16*(1+Inputs!$B$11)^(AX$2-1),0)</f>
        <v>0</v>
      </c>
      <c r="AY106" s="11" t="n">
        <f aca="false">IF(AND(AY$1&gt;=Units!$Q105,MOD(AY$1-Units!$Q105,12)=0),IF(AND(Units!$L105=1,AY$1=Units!$Q105),1,Inputs!$B$15)*Inputs!$B$16*(1+Inputs!$B$11)^(AY$2-1),0)</f>
        <v>0</v>
      </c>
      <c r="AZ106" s="11" t="n">
        <f aca="false">IF(AND(AZ$1&gt;=Units!$Q105,MOD(AZ$1-Units!$Q105,12)=0),IF(AND(Units!$L105=1,AZ$1=Units!$Q105),1,Inputs!$B$15)*Inputs!$B$16*(1+Inputs!$B$11)^(AZ$2-1),0)</f>
        <v>0</v>
      </c>
      <c r="BA106" s="11" t="n">
        <f aca="false">IF(AND(BA$1&gt;=Units!$Q105,MOD(BA$1-Units!$Q105,12)=0),IF(AND(Units!$L105=1,BA$1=Units!$Q105),1,Inputs!$B$15)*Inputs!$B$16*(1+Inputs!$B$11)^(BA$2-1),0)</f>
        <v>0</v>
      </c>
      <c r="BB106" s="11" t="n">
        <f aca="false">IF(AND(BB$1&gt;=Units!$Q105,MOD(BB$1-Units!$Q105,12)=0),IF(AND(Units!$L105=1,BB$1=Units!$Q105),1,Inputs!$B$15)*Inputs!$B$16*(1+Inputs!$B$11)^(BB$2-1),0)</f>
        <v>0</v>
      </c>
      <c r="BC106" s="11" t="n">
        <f aca="false">IF(AND(BC$1&gt;=Units!$Q105,MOD(BC$1-Units!$Q105,12)=0),IF(AND(Units!$L105=1,BC$1=Units!$Q105),1,Inputs!$B$15)*Inputs!$B$16*(1+Inputs!$B$11)^(BC$2-1),0)</f>
        <v>562.754405</v>
      </c>
      <c r="BD106" s="11" t="n">
        <f aca="false">IF(AND(BD$1&gt;=Units!$Q105,MOD(BD$1-Units!$Q105,12)=0),IF(AND(Units!$L105=1,BD$1=Units!$Q105),1,Inputs!$B$15)*Inputs!$B$16*(1+Inputs!$B$11)^(BD$2-1),0)</f>
        <v>0</v>
      </c>
      <c r="BE106" s="11" t="n">
        <f aca="false">IF(AND(BE$1&gt;=Units!$Q105,MOD(BE$1-Units!$Q105,12)=0),IF(AND(Units!$L105=1,BE$1=Units!$Q105),1,Inputs!$B$15)*Inputs!$B$16*(1+Inputs!$B$11)^(BE$2-1),0)</f>
        <v>0</v>
      </c>
      <c r="BF106" s="11" t="n">
        <f aca="false">IF(AND(BF$1&gt;=Units!$Q105,MOD(BF$1-Units!$Q105,12)=0),IF(AND(Units!$L105=1,BF$1=Units!$Q105),1,Inputs!$B$15)*Inputs!$B$16*(1+Inputs!$B$11)^(BF$2-1),0)</f>
        <v>0</v>
      </c>
      <c r="BG106" s="11" t="n">
        <f aca="false">IF(AND(BG$1&gt;=Units!$Q105,MOD(BG$1-Units!$Q105,12)=0),IF(AND(Units!$L105=1,BG$1=Units!$Q105),1,Inputs!$B$15)*Inputs!$B$16*(1+Inputs!$B$11)^(BG$2-1),0)</f>
        <v>0</v>
      </c>
      <c r="BH106" s="11" t="n">
        <f aca="false">IF(AND(BH$1&gt;=Units!$Q105,MOD(BH$1-Units!$Q105,12)=0),IF(AND(Units!$L105=1,BH$1=Units!$Q105),1,Inputs!$B$15)*Inputs!$B$16*(1+Inputs!$B$11)^(BH$2-1),0)</f>
        <v>0</v>
      </c>
      <c r="BI106" s="11" t="n">
        <f aca="false">IF(AND(BI$1&gt;=Units!$Q105,MOD(BI$1-Units!$Q105,12)=0),IF(AND(Units!$L105=1,BI$1=Units!$Q105),1,Inputs!$B$15)*Inputs!$B$16*(1+Inputs!$B$11)^(BI$2-1),0)</f>
        <v>0</v>
      </c>
      <c r="BJ106" s="11" t="n">
        <f aca="false">IF(AND(BJ$1&gt;=Units!$Q105,MOD(BJ$1-Units!$Q105,12)=0),IF(AND(Units!$L105=1,BJ$1=Units!$Q105),1,Inputs!$B$15)*Inputs!$B$16*(1+Inputs!$B$11)^(BJ$2-1),0)</f>
        <v>0</v>
      </c>
      <c r="BK106" s="11" t="n">
        <f aca="false">IF(AND(BK$1&gt;=Units!$Q105,MOD(BK$1-Units!$Q105,12)=0),IF(AND(Units!$L105=1,BK$1=Units!$Q105),1,Inputs!$B$15)*Inputs!$B$16*(1+Inputs!$B$11)^(BK$2-1),0)</f>
        <v>0</v>
      </c>
      <c r="BL106" s="11" t="n">
        <f aca="false">IF(AND(BL$1&gt;=Units!$Q105,MOD(BL$1-Units!$Q105,12)=0),IF(AND(Units!$L105=1,BL$1=Units!$Q105),1,Inputs!$B$15)*Inputs!$B$16*(1+Inputs!$B$11)^(BL$2-1),0)</f>
        <v>0</v>
      </c>
      <c r="BM106" s="11" t="n">
        <f aca="false">IF(AND(BM$1&gt;=Units!$Q105,MOD(BM$1-Units!$Q105,12)=0),IF(AND(Units!$L105=1,BM$1=Units!$Q105),1,Inputs!$B$15)*Inputs!$B$16*(1+Inputs!$B$11)^(BM$2-1),0)</f>
        <v>0</v>
      </c>
      <c r="BN106" s="11" t="n">
        <f aca="false">IF(AND(BN$1&gt;=Units!$Q105,MOD(BN$1-Units!$Q105,12)=0),IF(AND(Units!$L105=1,BN$1=Units!$Q105),1,Inputs!$B$15)*Inputs!$B$16*(1+Inputs!$B$11)^(BN$2-1),0)</f>
        <v>0</v>
      </c>
      <c r="BO106" s="11" t="n">
        <f aca="false">IF(AND(BO$1&gt;=Units!$Q105,MOD(BO$1-Units!$Q105,12)=0),IF(AND(Units!$L105=1,BO$1=Units!$Q105),1,Inputs!$B$15)*Inputs!$B$16*(1+Inputs!$B$11)^(BO$2-1),0)</f>
        <v>579.63703715</v>
      </c>
      <c r="BP106" s="11" t="n">
        <f aca="false">IF(AND(BP$1&gt;=Units!$Q105,MOD(BP$1-Units!$Q105,12)=0),IF(AND(Units!$L105=1,BP$1=Units!$Q105),1,Inputs!$B$15)*Inputs!$B$16*(1+Inputs!$B$11)^(BP$2-1),0)</f>
        <v>0</v>
      </c>
      <c r="BQ106" s="11" t="n">
        <f aca="false">IF(AND(BQ$1&gt;=Units!$Q105,MOD(BQ$1-Units!$Q105,12)=0),IF(AND(Units!$L105=1,BQ$1=Units!$Q105),1,Inputs!$B$15)*Inputs!$B$16*(1+Inputs!$B$11)^(BQ$2-1),0)</f>
        <v>0</v>
      </c>
      <c r="BR106" s="11" t="n">
        <f aca="false">IF(AND(BR$1&gt;=Units!$Q105,MOD(BR$1-Units!$Q105,12)=0),IF(AND(Units!$L105=1,BR$1=Units!$Q105),1,Inputs!$B$15)*Inputs!$B$16*(1+Inputs!$B$11)^(BR$2-1),0)</f>
        <v>0</v>
      </c>
      <c r="BS106" s="11" t="n">
        <f aca="false">IF(AND(BS$1&gt;=Units!$Q105,MOD(BS$1-Units!$Q105,12)=0),IF(AND(Units!$L105=1,BS$1=Units!$Q105),1,Inputs!$B$15)*Inputs!$B$16*(1+Inputs!$B$11)^(BS$2-1),0)</f>
        <v>0</v>
      </c>
      <c r="BT106" s="11" t="n">
        <f aca="false">IF(AND(BT$1&gt;=Units!$Q105,MOD(BT$1-Units!$Q105,12)=0),IF(AND(Units!$L105=1,BT$1=Units!$Q105),1,Inputs!$B$15)*Inputs!$B$16*(1+Inputs!$B$11)^(BT$2-1),0)</f>
        <v>0</v>
      </c>
      <c r="BU106" s="11" t="n">
        <f aca="false">IF(AND(BU$1&gt;=Units!$Q105,MOD(BU$1-Units!$Q105,12)=0),IF(AND(Units!$L105=1,BU$1=Units!$Q105),1,Inputs!$B$15)*Inputs!$B$16*(1+Inputs!$B$11)^(BU$2-1),0)</f>
        <v>0</v>
      </c>
      <c r="BV106" s="11" t="n">
        <f aca="false">IF(AND(BV$1&gt;=Units!$Q105,MOD(BV$1-Units!$Q105,12)=0),IF(AND(Units!$L105=1,BV$1=Units!$Q105),1,Inputs!$B$15)*Inputs!$B$16*(1+Inputs!$B$11)^(BV$2-1),0)</f>
        <v>0</v>
      </c>
      <c r="BW106" s="11" t="n">
        <f aca="false">IF(AND(BW$1&gt;=Units!$Q105,MOD(BW$1-Units!$Q105,12)=0),IF(AND(Units!$L105=1,BW$1=Units!$Q105),1,Inputs!$B$15)*Inputs!$B$16*(1+Inputs!$B$11)^(BW$2-1),0)</f>
        <v>0</v>
      </c>
      <c r="BX106" s="11" t="n">
        <f aca="false">IF(AND(BX$1&gt;=Units!$Q105,MOD(BX$1-Units!$Q105,12)=0),IF(AND(Units!$L105=1,BX$1=Units!$Q105),1,Inputs!$B$15)*Inputs!$B$16*(1+Inputs!$B$11)^(BX$2-1),0)</f>
        <v>0</v>
      </c>
      <c r="BY106" s="11" t="n">
        <f aca="false">IF(AND(BY$1&gt;=Units!$Q105,MOD(BY$1-Units!$Q105,12)=0),IF(AND(Units!$L105=1,BY$1=Units!$Q105),1,Inputs!$B$15)*Inputs!$B$16*(1+Inputs!$B$11)^(BY$2-1),0)</f>
        <v>0</v>
      </c>
      <c r="BZ106" s="11" t="n">
        <f aca="false">IF(AND(BZ$1&gt;=Units!$Q105,MOD(BZ$1-Units!$Q105,12)=0),IF(AND(Units!$L105=1,BZ$1=Units!$Q105),1,Inputs!$B$15)*Inputs!$B$16*(1+Inputs!$B$11)^(BZ$2-1),0)</f>
        <v>0</v>
      </c>
      <c r="CA106" s="11" t="n">
        <f aca="false">IF(AND(CA$1&gt;=Units!$Q105,MOD(CA$1-Units!$Q105,12)=0),IF(AND(Units!$L105=1,CA$1=Units!$Q105),1,Inputs!$B$15)*Inputs!$B$16*(1+Inputs!$B$11)^(CA$2-1),0)</f>
        <v>597.0261482645</v>
      </c>
      <c r="CB106" s="11" t="n">
        <f aca="false">IF(AND(CB$1&gt;=Units!$Q105,MOD(CB$1-Units!$Q105,12)=0),IF(AND(Units!$L105=1,CB$1=Units!$Q105),1,Inputs!$B$15)*Inputs!$B$16*(1+Inputs!$B$11)^(CB$2-1),0)</f>
        <v>0</v>
      </c>
      <c r="CC106" s="11" t="n">
        <f aca="false">IF(AND(CC$1&gt;=Units!$Q105,MOD(CC$1-Units!$Q105,12)=0),IF(AND(Units!$L105=1,CC$1=Units!$Q105),1,Inputs!$B$15)*Inputs!$B$16*(1+Inputs!$B$11)^(CC$2-1),0)</f>
        <v>0</v>
      </c>
      <c r="CD106" s="11" t="n">
        <f aca="false">IF(AND(CD$1&gt;=Units!$Q105,MOD(CD$1-Units!$Q105,12)=0),IF(AND(Units!$L105=1,CD$1=Units!$Q105),1,Inputs!$B$15)*Inputs!$B$16*(1+Inputs!$B$11)^(CD$2-1),0)</f>
        <v>0</v>
      </c>
      <c r="CE106" s="11" t="n">
        <f aca="false">IF(AND(CE$1&gt;=Units!$Q105,MOD(CE$1-Units!$Q105,12)=0),IF(AND(Units!$L105=1,CE$1=Units!$Q105),1,Inputs!$B$15)*Inputs!$B$16*(1+Inputs!$B$11)^(CE$2-1),0)</f>
        <v>0</v>
      </c>
      <c r="CF106" s="11" t="n">
        <f aca="false">IF(AND(CF$1&gt;=Units!$Q105,MOD(CF$1-Units!$Q105,12)=0),IF(AND(Units!$L105=1,CF$1=Units!$Q105),1,Inputs!$B$15)*Inputs!$B$16*(1+Inputs!$B$11)^(CF$2-1),0)</f>
        <v>0</v>
      </c>
      <c r="CG106" s="11" t="n">
        <f aca="false">IF(AND(CG$1&gt;=Units!$Q105,MOD(CG$1-Units!$Q105,12)=0),IF(AND(Units!$L105=1,CG$1=Units!$Q105),1,Inputs!$B$15)*Inputs!$B$16*(1+Inputs!$B$11)^(CG$2-1),0)</f>
        <v>0</v>
      </c>
      <c r="CH106" s="11" t="n">
        <f aca="false">IF(AND(CH$1&gt;=Units!$Q105,MOD(CH$1-Units!$Q105,12)=0),IF(AND(Units!$L105=1,CH$1=Units!$Q105),1,Inputs!$B$15)*Inputs!$B$16*(1+Inputs!$B$11)^(CH$2-1),0)</f>
        <v>0</v>
      </c>
      <c r="CI106" s="11" t="n">
        <f aca="false">IF(AND(CI$1&gt;=Units!$Q105,MOD(CI$1-Units!$Q105,12)=0),IF(AND(Units!$L105=1,CI$1=Units!$Q105),1,Inputs!$B$15)*Inputs!$B$16*(1+Inputs!$B$11)^(CI$2-1),0)</f>
        <v>0</v>
      </c>
      <c r="CJ106" s="11" t="n">
        <f aca="false">IF(AND(CJ$1&gt;=Units!$Q105,MOD(CJ$1-Units!$Q105,12)=0),IF(AND(Units!$L105=1,CJ$1=Units!$Q105),1,Inputs!$B$15)*Inputs!$B$16*(1+Inputs!$B$11)^(CJ$2-1),0)</f>
        <v>0</v>
      </c>
      <c r="CK106" s="11" t="n">
        <f aca="false">IF(AND(CK$1&gt;=Units!$Q105,MOD(CK$1-Units!$Q105,12)=0),IF(AND(Units!$L105=1,CK$1=Units!$Q105),1,Inputs!$B$15)*Inputs!$B$16*(1+Inputs!$B$11)^(CK$2-1),0)</f>
        <v>0</v>
      </c>
      <c r="CL106" s="11" t="n">
        <f aca="false">IF(AND(CL$1&gt;=Units!$Q105,MOD(CL$1-Units!$Q105,12)=0),IF(AND(Units!$L105=1,CL$1=Units!$Q105),1,Inputs!$B$15)*Inputs!$B$16*(1+Inputs!$B$11)^(CL$2-1),0)</f>
        <v>0</v>
      </c>
      <c r="CM106" s="11" t="n">
        <f aca="false">IF(AND(CM$1&gt;=Units!$Q105,MOD(CM$1-Units!$Q105,12)=0),IF(AND(Units!$L105=1,CM$1=Units!$Q105),1,Inputs!$B$15)*Inputs!$B$16*(1+Inputs!$B$11)^(CM$2-1),0)</f>
        <v>614.936932712435</v>
      </c>
      <c r="CN106" s="11" t="n">
        <f aca="false">IF(AND(CN$1&gt;=Units!$Q105,MOD(CN$1-Units!$Q105,12)=0),IF(AND(Units!$L105=1,CN$1=Units!$Q105),1,Inputs!$B$15)*Inputs!$B$16*(1+Inputs!$B$11)^(CN$2-1),0)</f>
        <v>0</v>
      </c>
      <c r="CO106" s="11" t="n">
        <f aca="false">IF(AND(CO$1&gt;=Units!$Q105,MOD(CO$1-Units!$Q105,12)=0),IF(AND(Units!$L105=1,CO$1=Units!$Q105),1,Inputs!$B$15)*Inputs!$B$16*(1+Inputs!$B$11)^(CO$2-1),0)</f>
        <v>0</v>
      </c>
      <c r="CP106" s="11" t="n">
        <f aca="false">IF(AND(CP$1&gt;=Units!$Q105,MOD(CP$1-Units!$Q105,12)=0),IF(AND(Units!$L105=1,CP$1=Units!$Q105),1,Inputs!$B$15)*Inputs!$B$16*(1+Inputs!$B$11)^(CP$2-1),0)</f>
        <v>0</v>
      </c>
      <c r="CQ106" s="11" t="n">
        <f aca="false">IF(AND(CQ$1&gt;=Units!$Q105,MOD(CQ$1-Units!$Q105,12)=0),IF(AND(Units!$L105=1,CQ$1=Units!$Q105),1,Inputs!$B$15)*Inputs!$B$16*(1+Inputs!$B$11)^(CQ$2-1),0)</f>
        <v>0</v>
      </c>
      <c r="CR106" s="11" t="n">
        <f aca="false">IF(AND(CR$1&gt;=Units!$Q105,MOD(CR$1-Units!$Q105,12)=0),IF(AND(Units!$L105=1,CR$1=Units!$Q105),1,Inputs!$B$15)*Inputs!$B$16*(1+Inputs!$B$11)^(CR$2-1),0)</f>
        <v>0</v>
      </c>
      <c r="CS106" s="11" t="n">
        <f aca="false">IF(AND(CS$1&gt;=Units!$Q105,MOD(CS$1-Units!$Q105,12)=0),IF(AND(Units!$L105=1,CS$1=Units!$Q105),1,Inputs!$B$15)*Inputs!$B$16*(1+Inputs!$B$11)^(CS$2-1),0)</f>
        <v>0</v>
      </c>
      <c r="CT106" s="11" t="n">
        <f aca="false">IF(AND(CT$1&gt;=Units!$Q105,MOD(CT$1-Units!$Q105,12)=0),IF(AND(Units!$L105=1,CT$1=Units!$Q105),1,Inputs!$B$15)*Inputs!$B$16*(1+Inputs!$B$11)^(CT$2-1),0)</f>
        <v>0</v>
      </c>
      <c r="CU106" s="11" t="n">
        <f aca="false">IF(AND(CU$1&gt;=Units!$Q105,MOD(CU$1-Units!$Q105,12)=0),IF(AND(Units!$L105=1,CU$1=Units!$Q105),1,Inputs!$B$15)*Inputs!$B$16*(1+Inputs!$B$11)^(CU$2-1),0)</f>
        <v>0</v>
      </c>
      <c r="CV106" s="11" t="n">
        <f aca="false">IF(AND(CV$1&gt;=Units!$Q105,MOD(CV$1-Units!$Q105,12)=0),IF(AND(Units!$L105=1,CV$1=Units!$Q105),1,Inputs!$B$15)*Inputs!$B$16*(1+Inputs!$B$11)^(CV$2-1),0)</f>
        <v>0</v>
      </c>
      <c r="CW106" s="11" t="n">
        <f aca="false">IF(AND(CW$1&gt;=Units!$Q105,MOD(CW$1-Units!$Q105,12)=0),IF(AND(Units!$L105=1,CW$1=Units!$Q105),1,Inputs!$B$15)*Inputs!$B$16*(1+Inputs!$B$11)^(CW$2-1),0)</f>
        <v>0</v>
      </c>
      <c r="CX106" s="11" t="n">
        <f aca="false">IF(AND(CX$1&gt;=Units!$Q105,MOD(CX$1-Units!$Q105,12)=0),IF(AND(Units!$L105=1,CX$1=Units!$Q105),1,Inputs!$B$15)*Inputs!$B$16*(1+Inputs!$B$11)^(CX$2-1),0)</f>
        <v>0</v>
      </c>
      <c r="CY106" s="11" t="n">
        <f aca="false">IF(AND(CY$1&gt;=Units!$Q105,MOD(CY$1-Units!$Q105,12)=0),IF(AND(Units!$L105=1,CY$1=Units!$Q105),1,Inputs!$B$15)*Inputs!$B$16*(1+Inputs!$B$11)^(CY$2-1),0)</f>
        <v>633.385040693808</v>
      </c>
      <c r="CZ106" s="11" t="n">
        <f aca="false">IF(AND(CZ$1&gt;=Units!$Q105,MOD(CZ$1-Units!$Q105,12)=0),IF(AND(Units!$L105=1,CZ$1=Units!$Q105),1,Inputs!$B$15)*Inputs!$B$16*(1+Inputs!$B$11)^(CZ$2-1),0)</f>
        <v>0</v>
      </c>
      <c r="DA106" s="11" t="n">
        <f aca="false">IF(AND(DA$1&gt;=Units!$Q105,MOD(DA$1-Units!$Q105,12)=0),IF(AND(Units!$L105=1,DA$1=Units!$Q105),1,Inputs!$B$15)*Inputs!$B$16*(1+Inputs!$B$11)^(DA$2-1),0)</f>
        <v>0</v>
      </c>
      <c r="DB106" s="11" t="n">
        <f aca="false">IF(AND(DB$1&gt;=Units!$Q105,MOD(DB$1-Units!$Q105,12)=0),IF(AND(Units!$L105=1,DB$1=Units!$Q105),1,Inputs!$B$15)*Inputs!$B$16*(1+Inputs!$B$11)^(DB$2-1),0)</f>
        <v>0</v>
      </c>
      <c r="DC106" s="11" t="n">
        <f aca="false">IF(AND(DC$1&gt;=Units!$Q105,MOD(DC$1-Units!$Q105,12)=0),IF(AND(Units!$L105=1,DC$1=Units!$Q105),1,Inputs!$B$15)*Inputs!$B$16*(1+Inputs!$B$11)^(DC$2-1),0)</f>
        <v>0</v>
      </c>
      <c r="DD106" s="11" t="n">
        <f aca="false">IF(AND(DD$1&gt;=Units!$Q105,MOD(DD$1-Units!$Q105,12)=0),IF(AND(Units!$L105=1,DD$1=Units!$Q105),1,Inputs!$B$15)*Inputs!$B$16*(1+Inputs!$B$11)^(DD$2-1),0)</f>
        <v>0</v>
      </c>
      <c r="DE106" s="11" t="n">
        <f aca="false">IF(AND(DE$1&gt;=Units!$Q105,MOD(DE$1-Units!$Q105,12)=0),IF(AND(Units!$L105=1,DE$1=Units!$Q105),1,Inputs!$B$15)*Inputs!$B$16*(1+Inputs!$B$11)^(DE$2-1),0)</f>
        <v>0</v>
      </c>
      <c r="DF106" s="11" t="n">
        <f aca="false">IF(AND(DF$1&gt;=Units!$Q105,MOD(DF$1-Units!$Q105,12)=0),IF(AND(Units!$L105=1,DF$1=Units!$Q105),1,Inputs!$B$15)*Inputs!$B$16*(1+Inputs!$B$11)^(DF$2-1),0)</f>
        <v>0</v>
      </c>
      <c r="DG106" s="11" t="n">
        <f aca="false">IF(AND(DG$1&gt;=Units!$Q105,MOD(DG$1-Units!$Q105,12)=0),IF(AND(Units!$L105=1,DG$1=Units!$Q105),1,Inputs!$B$15)*Inputs!$B$16*(1+Inputs!$B$11)^(DG$2-1),0)</f>
        <v>0</v>
      </c>
      <c r="DH106" s="11" t="n">
        <f aca="false">IF(AND(DH$1&gt;=Units!$Q105,MOD(DH$1-Units!$Q105,12)=0),IF(AND(Units!$L105=1,DH$1=Units!$Q105),1,Inputs!$B$15)*Inputs!$B$16*(1+Inputs!$B$11)^(DH$2-1),0)</f>
        <v>0</v>
      </c>
      <c r="DI106" s="11" t="n">
        <f aca="false">IF(AND(DI$1&gt;=Units!$Q105,MOD(DI$1-Units!$Q105,12)=0),IF(AND(Units!$L105=1,DI$1=Units!$Q105),1,Inputs!$B$15)*Inputs!$B$16*(1+Inputs!$B$11)^(DI$2-1),0)</f>
        <v>0</v>
      </c>
      <c r="DJ106" s="11" t="n">
        <f aca="false">IF(AND(DJ$1&gt;=Units!$Q105,MOD(DJ$1-Units!$Q105,12)=0),IF(AND(Units!$L105=1,DJ$1=Units!$Q105),1,Inputs!$B$15)*Inputs!$B$16*(1+Inputs!$B$11)^(DJ$2-1),0)</f>
        <v>0</v>
      </c>
      <c r="DK106" s="11" t="n">
        <f aca="false">IF(AND(DK$1&gt;=Units!$Q105,MOD(DK$1-Units!$Q105,12)=0),IF(AND(Units!$L105=1,DK$1=Units!$Q105),1,Inputs!$B$15)*Inputs!$B$16*(1+Inputs!$B$11)^(DK$2-1),0)</f>
        <v>652.386591914623</v>
      </c>
      <c r="DL106" s="11" t="n">
        <f aca="false">IF(AND(DL$1&gt;=Units!$Q105,MOD(DL$1-Units!$Q105,12)=0),IF(AND(Units!$L105=1,DL$1=Units!$Q105),1,Inputs!$B$15)*Inputs!$B$16*(1+Inputs!$B$11)^(DL$2-1),0)</f>
        <v>0</v>
      </c>
      <c r="DM106" s="11" t="n">
        <f aca="false">IF(AND(DM$1&gt;=Units!$Q105,MOD(DM$1-Units!$Q105,12)=0),IF(AND(Units!$L105=1,DM$1=Units!$Q105),1,Inputs!$B$15)*Inputs!$B$16*(1+Inputs!$B$11)^(DM$2-1),0)</f>
        <v>0</v>
      </c>
      <c r="DN106" s="11" t="n">
        <f aca="false">IF(AND(DN$1&gt;=Units!$Q105,MOD(DN$1-Units!$Q105,12)=0),IF(AND(Units!$L105=1,DN$1=Units!$Q105),1,Inputs!$B$15)*Inputs!$B$16*(1+Inputs!$B$11)^(DN$2-1),0)</f>
        <v>0</v>
      </c>
      <c r="DO106" s="11" t="n">
        <f aca="false">IF(AND(DO$1&gt;=Units!$Q105,MOD(DO$1-Units!$Q105,12)=0),IF(AND(Units!$L105=1,DO$1=Units!$Q105),1,Inputs!$B$15)*Inputs!$B$16*(1+Inputs!$B$11)^(DO$2-1),0)</f>
        <v>0</v>
      </c>
      <c r="DP106" s="11" t="n">
        <f aca="false">IF(AND(DP$1&gt;=Units!$Q105,MOD(DP$1-Units!$Q105,12)=0),IF(AND(Units!$L105=1,DP$1=Units!$Q105),1,Inputs!$B$15)*Inputs!$B$16*(1+Inputs!$B$11)^(DP$2-1),0)</f>
        <v>0</v>
      </c>
      <c r="DQ106" s="11" t="n">
        <f aca="false">IF(AND(DQ$1&gt;=Units!$Q105,MOD(DQ$1-Units!$Q105,12)=0),IF(AND(Units!$L105=1,DQ$1=Units!$Q105),1,Inputs!$B$15)*Inputs!$B$16*(1+Inputs!$B$11)^(DQ$2-1),0)</f>
        <v>0</v>
      </c>
      <c r="DR106" s="11" t="n">
        <f aca="false">IF(AND(DR$1&gt;=Units!$Q105,MOD(DR$1-Units!$Q105,12)=0),IF(AND(Units!$L105=1,DR$1=Units!$Q105),1,Inputs!$B$15)*Inputs!$B$16*(1+Inputs!$B$11)^(DR$2-1),0)</f>
        <v>0</v>
      </c>
      <c r="DS106" s="11" t="n">
        <f aca="false">IF(AND(DS$1&gt;=Units!$Q105,MOD(DS$1-Units!$Q105,12)=0),IF(AND(Units!$L105=1,DS$1=Units!$Q105),1,Inputs!$B$15)*Inputs!$B$16*(1+Inputs!$B$11)^(DS$2-1),0)</f>
        <v>0</v>
      </c>
      <c r="DT106" s="11" t="n">
        <f aca="false">IF(AND(DT$1&gt;=Units!$Q105,MOD(DT$1-Units!$Q105,12)=0),IF(AND(Units!$L105=1,DT$1=Units!$Q105),1,Inputs!$B$15)*Inputs!$B$16*(1+Inputs!$B$11)^(DT$2-1),0)</f>
        <v>0</v>
      </c>
      <c r="DU106" s="11" t="n">
        <f aca="false">IF(AND(DU$1&gt;=Units!$Q105,MOD(DU$1-Units!$Q105,12)=0),IF(AND(Units!$L105=1,DU$1=Units!$Q105),1,Inputs!$B$15)*Inputs!$B$16*(1+Inputs!$B$11)^(DU$2-1),0)</f>
        <v>0</v>
      </c>
      <c r="DV106" s="11" t="n">
        <f aca="false">IF(AND(DV$1&gt;=Units!$Q105,MOD(DV$1-Units!$Q105,12)=0),IF(AND(Units!$L105=1,DV$1=Units!$Q105),1,Inputs!$B$15)*Inputs!$B$16*(1+Inputs!$B$11)^(DV$2-1),0)</f>
        <v>0</v>
      </c>
      <c r="DW106" s="11" t="n">
        <f aca="false">IF(AND(DW$1&gt;=Units!$Q105,MOD(DW$1-Units!$Q105,12)=0),IF(AND(Units!$L105=1,DW$1=Units!$Q105),1,Inputs!$B$15)*Inputs!$B$16*(1+Inputs!$B$11)^(DW$2-1),0)</f>
        <v>671.958189672061</v>
      </c>
      <c r="DX106" s="11" t="n">
        <f aca="false">IF(AND(DX$1&gt;=Units!$Q105,MOD(DX$1-Units!$Q105,12)=0),IF(AND(Units!$L105=1,DX$1=Units!$Q105),1,Inputs!$B$15)*Inputs!$B$16*(1+Inputs!$B$11)^(DX$2-1),0)</f>
        <v>0</v>
      </c>
      <c r="DY106" s="11" t="n">
        <f aca="false">IF(AND(DY$1&gt;=Units!$Q105,MOD(DY$1-Units!$Q105,12)=0),IF(AND(Units!$L105=1,DY$1=Units!$Q105),1,Inputs!$B$15)*Inputs!$B$16*(1+Inputs!$B$11)^(DY$2-1),0)</f>
        <v>0</v>
      </c>
      <c r="DZ106" s="11" t="n">
        <f aca="false">IF(AND(DZ$1&gt;=Units!$Q105,MOD(DZ$1-Units!$Q105,12)=0),IF(AND(Units!$L105=1,DZ$1=Units!$Q105),1,Inputs!$B$15)*Inputs!$B$16*(1+Inputs!$B$11)^(DZ$2-1),0)</f>
        <v>0</v>
      </c>
      <c r="EA106" s="11" t="n">
        <f aca="false">IF(AND(EA$1&gt;=Units!$Q105,MOD(EA$1-Units!$Q105,12)=0),IF(AND(Units!$L105=1,EA$1=Units!$Q105),1,Inputs!$B$15)*Inputs!$B$16*(1+Inputs!$B$11)^(EA$2-1),0)</f>
        <v>0</v>
      </c>
      <c r="EB106" s="11" t="n">
        <f aca="false">IF(AND(EB$1&gt;=Units!$Q105,MOD(EB$1-Units!$Q105,12)=0),IF(AND(Units!$L105=1,EB$1=Units!$Q105),1,Inputs!$B$15)*Inputs!$B$16*(1+Inputs!$B$11)^(EB$2-1),0)</f>
        <v>0</v>
      </c>
      <c r="EC106" s="11" t="n">
        <f aca="false">IF(AND(EC$1&gt;=Units!$Q105,MOD(EC$1-Units!$Q105,12)=0),IF(AND(Units!$L105=1,EC$1=Units!$Q105),1,Inputs!$B$15)*Inputs!$B$16*(1+Inputs!$B$11)^(EC$2-1),0)</f>
        <v>0</v>
      </c>
      <c r="ED106" s="11" t="n">
        <f aca="false">IF(AND(ED$1&gt;=Units!$Q105,MOD(ED$1-Units!$Q105,12)=0),IF(AND(Units!$L105=1,ED$1=Units!$Q105),1,Inputs!$B$15)*Inputs!$B$16*(1+Inputs!$B$11)^(ED$2-1),0)</f>
        <v>0</v>
      </c>
    </row>
    <row r="107" customFormat="false" ht="15" hidden="false" customHeight="false" outlineLevel="0" collapsed="false">
      <c r="A107" s="22" t="n">
        <f aca="false">Units!A106</f>
        <v>415</v>
      </c>
      <c r="B107" s="23"/>
      <c r="C107" s="11" t="n">
        <f aca="false">IF(AND(C$1&gt;=Units!$Q106,MOD(C$1-Units!$Q106,12)=0),IF(AND(Units!$L106=1,C$1=Units!$Q106),1,Inputs!$B$15)*Inputs!$B$16*(1+Inputs!$B$11)^(C$2-1),0)</f>
        <v>500</v>
      </c>
      <c r="D107" s="11" t="n">
        <f aca="false">IF(AND(D$1&gt;=Units!$Q106,MOD(D$1-Units!$Q106,12)=0),IF(AND(Units!$L106=1,D$1=Units!$Q106),1,Inputs!$B$15)*Inputs!$B$16*(1+Inputs!$B$11)^(D$2-1),0)</f>
        <v>0</v>
      </c>
      <c r="E107" s="11" t="n">
        <f aca="false">IF(AND(E$1&gt;=Units!$Q106,MOD(E$1-Units!$Q106,12)=0),IF(AND(Units!$L106=1,E$1=Units!$Q106),1,Inputs!$B$15)*Inputs!$B$16*(1+Inputs!$B$11)^(E$2-1),0)</f>
        <v>0</v>
      </c>
      <c r="F107" s="11" t="n">
        <f aca="false">IF(AND(F$1&gt;=Units!$Q106,MOD(F$1-Units!$Q106,12)=0),IF(AND(Units!$L106=1,F$1=Units!$Q106),1,Inputs!$B$15)*Inputs!$B$16*(1+Inputs!$B$11)^(F$2-1),0)</f>
        <v>0</v>
      </c>
      <c r="G107" s="11" t="n">
        <f aca="false">IF(AND(G$1&gt;=Units!$Q106,MOD(G$1-Units!$Q106,12)=0),IF(AND(Units!$L106=1,G$1=Units!$Q106),1,Inputs!$B$15)*Inputs!$B$16*(1+Inputs!$B$11)^(G$2-1),0)</f>
        <v>0</v>
      </c>
      <c r="H107" s="11" t="n">
        <f aca="false">IF(AND(H$1&gt;=Units!$Q106,MOD(H$1-Units!$Q106,12)=0),IF(AND(Units!$L106=1,H$1=Units!$Q106),1,Inputs!$B$15)*Inputs!$B$16*(1+Inputs!$B$11)^(H$2-1),0)</f>
        <v>0</v>
      </c>
      <c r="I107" s="11" t="n">
        <f aca="false">IF(AND(I$1&gt;=Units!$Q106,MOD(I$1-Units!$Q106,12)=0),IF(AND(Units!$L106=1,I$1=Units!$Q106),1,Inputs!$B$15)*Inputs!$B$16*(1+Inputs!$B$11)^(I$2-1),0)</f>
        <v>0</v>
      </c>
      <c r="J107" s="11" t="n">
        <f aca="false">IF(AND(J$1&gt;=Units!$Q106,MOD(J$1-Units!$Q106,12)=0),IF(AND(Units!$L106=1,J$1=Units!$Q106),1,Inputs!$B$15)*Inputs!$B$16*(1+Inputs!$B$11)^(J$2-1),0)</f>
        <v>0</v>
      </c>
      <c r="K107" s="11" t="n">
        <f aca="false">IF(AND(K$1&gt;=Units!$Q106,MOD(K$1-Units!$Q106,12)=0),IF(AND(Units!$L106=1,K$1=Units!$Q106),1,Inputs!$B$15)*Inputs!$B$16*(1+Inputs!$B$11)^(K$2-1),0)</f>
        <v>0</v>
      </c>
      <c r="L107" s="11" t="n">
        <f aca="false">IF(AND(L$1&gt;=Units!$Q106,MOD(L$1-Units!$Q106,12)=0),IF(AND(Units!$L106=1,L$1=Units!$Q106),1,Inputs!$B$15)*Inputs!$B$16*(1+Inputs!$B$11)^(L$2-1),0)</f>
        <v>0</v>
      </c>
      <c r="M107" s="11" t="n">
        <f aca="false">IF(AND(M$1&gt;=Units!$Q106,MOD(M$1-Units!$Q106,12)=0),IF(AND(Units!$L106=1,M$1=Units!$Q106),1,Inputs!$B$15)*Inputs!$B$16*(1+Inputs!$B$11)^(M$2-1),0)</f>
        <v>0</v>
      </c>
      <c r="N107" s="11" t="n">
        <f aca="false">IF(AND(N$1&gt;=Units!$Q106,MOD(N$1-Units!$Q106,12)=0),IF(AND(Units!$L106=1,N$1=Units!$Q106),1,Inputs!$B$15)*Inputs!$B$16*(1+Inputs!$B$11)^(N$2-1),0)</f>
        <v>0</v>
      </c>
      <c r="O107" s="11" t="n">
        <f aca="false">IF(AND(O$1&gt;=Units!$Q106,MOD(O$1-Units!$Q106,12)=0),IF(AND(Units!$L106=1,O$1=Units!$Q106),1,Inputs!$B$15)*Inputs!$B$16*(1+Inputs!$B$11)^(O$2-1),0)</f>
        <v>515</v>
      </c>
      <c r="P107" s="11" t="n">
        <f aca="false">IF(AND(P$1&gt;=Units!$Q106,MOD(P$1-Units!$Q106,12)=0),IF(AND(Units!$L106=1,P$1=Units!$Q106),1,Inputs!$B$15)*Inputs!$B$16*(1+Inputs!$B$11)^(P$2-1),0)</f>
        <v>0</v>
      </c>
      <c r="Q107" s="11" t="n">
        <f aca="false">IF(AND(Q$1&gt;=Units!$Q106,MOD(Q$1-Units!$Q106,12)=0),IF(AND(Units!$L106=1,Q$1=Units!$Q106),1,Inputs!$B$15)*Inputs!$B$16*(1+Inputs!$B$11)^(Q$2-1),0)</f>
        <v>0</v>
      </c>
      <c r="R107" s="11" t="n">
        <f aca="false">IF(AND(R$1&gt;=Units!$Q106,MOD(R$1-Units!$Q106,12)=0),IF(AND(Units!$L106=1,R$1=Units!$Q106),1,Inputs!$B$15)*Inputs!$B$16*(1+Inputs!$B$11)^(R$2-1),0)</f>
        <v>0</v>
      </c>
      <c r="S107" s="11" t="n">
        <f aca="false">IF(AND(S$1&gt;=Units!$Q106,MOD(S$1-Units!$Q106,12)=0),IF(AND(Units!$L106=1,S$1=Units!$Q106),1,Inputs!$B$15)*Inputs!$B$16*(1+Inputs!$B$11)^(S$2-1),0)</f>
        <v>0</v>
      </c>
      <c r="T107" s="11" t="n">
        <f aca="false">IF(AND(T$1&gt;=Units!$Q106,MOD(T$1-Units!$Q106,12)=0),IF(AND(Units!$L106=1,T$1=Units!$Q106),1,Inputs!$B$15)*Inputs!$B$16*(1+Inputs!$B$11)^(T$2-1),0)</f>
        <v>0</v>
      </c>
      <c r="U107" s="11" t="n">
        <f aca="false">IF(AND(U$1&gt;=Units!$Q106,MOD(U$1-Units!$Q106,12)=0),IF(AND(Units!$L106=1,U$1=Units!$Q106),1,Inputs!$B$15)*Inputs!$B$16*(1+Inputs!$B$11)^(U$2-1),0)</f>
        <v>0</v>
      </c>
      <c r="V107" s="11" t="n">
        <f aca="false">IF(AND(V$1&gt;=Units!$Q106,MOD(V$1-Units!$Q106,12)=0),IF(AND(Units!$L106=1,V$1=Units!$Q106),1,Inputs!$B$15)*Inputs!$B$16*(1+Inputs!$B$11)^(V$2-1),0)</f>
        <v>0</v>
      </c>
      <c r="W107" s="11" t="n">
        <f aca="false">IF(AND(W$1&gt;=Units!$Q106,MOD(W$1-Units!$Q106,12)=0),IF(AND(Units!$L106=1,W$1=Units!$Q106),1,Inputs!$B$15)*Inputs!$B$16*(1+Inputs!$B$11)^(W$2-1),0)</f>
        <v>0</v>
      </c>
      <c r="X107" s="11" t="n">
        <f aca="false">IF(AND(X$1&gt;=Units!$Q106,MOD(X$1-Units!$Q106,12)=0),IF(AND(Units!$L106=1,X$1=Units!$Q106),1,Inputs!$B$15)*Inputs!$B$16*(1+Inputs!$B$11)^(X$2-1),0)</f>
        <v>0</v>
      </c>
      <c r="Y107" s="11" t="n">
        <f aca="false">IF(AND(Y$1&gt;=Units!$Q106,MOD(Y$1-Units!$Q106,12)=0),IF(AND(Units!$L106=1,Y$1=Units!$Q106),1,Inputs!$B$15)*Inputs!$B$16*(1+Inputs!$B$11)^(Y$2-1),0)</f>
        <v>0</v>
      </c>
      <c r="Z107" s="11" t="n">
        <f aca="false">IF(AND(Z$1&gt;=Units!$Q106,MOD(Z$1-Units!$Q106,12)=0),IF(AND(Units!$L106=1,Z$1=Units!$Q106),1,Inputs!$B$15)*Inputs!$B$16*(1+Inputs!$B$11)^(Z$2-1),0)</f>
        <v>0</v>
      </c>
      <c r="AA107" s="11" t="n">
        <f aca="false">IF(AND(AA$1&gt;=Units!$Q106,MOD(AA$1-Units!$Q106,12)=0),IF(AND(Units!$L106=1,AA$1=Units!$Q106),1,Inputs!$B$15)*Inputs!$B$16*(1+Inputs!$B$11)^(AA$2-1),0)</f>
        <v>530.45</v>
      </c>
      <c r="AB107" s="11" t="n">
        <f aca="false">IF(AND(AB$1&gt;=Units!$Q106,MOD(AB$1-Units!$Q106,12)=0),IF(AND(Units!$L106=1,AB$1=Units!$Q106),1,Inputs!$B$15)*Inputs!$B$16*(1+Inputs!$B$11)^(AB$2-1),0)</f>
        <v>0</v>
      </c>
      <c r="AC107" s="11" t="n">
        <f aca="false">IF(AND(AC$1&gt;=Units!$Q106,MOD(AC$1-Units!$Q106,12)=0),IF(AND(Units!$L106=1,AC$1=Units!$Q106),1,Inputs!$B$15)*Inputs!$B$16*(1+Inputs!$B$11)^(AC$2-1),0)</f>
        <v>0</v>
      </c>
      <c r="AD107" s="11" t="n">
        <f aca="false">IF(AND(AD$1&gt;=Units!$Q106,MOD(AD$1-Units!$Q106,12)=0),IF(AND(Units!$L106=1,AD$1=Units!$Q106),1,Inputs!$B$15)*Inputs!$B$16*(1+Inputs!$B$11)^(AD$2-1),0)</f>
        <v>0</v>
      </c>
      <c r="AE107" s="11" t="n">
        <f aca="false">IF(AND(AE$1&gt;=Units!$Q106,MOD(AE$1-Units!$Q106,12)=0),IF(AND(Units!$L106=1,AE$1=Units!$Q106),1,Inputs!$B$15)*Inputs!$B$16*(1+Inputs!$B$11)^(AE$2-1),0)</f>
        <v>0</v>
      </c>
      <c r="AF107" s="11" t="n">
        <f aca="false">IF(AND(AF$1&gt;=Units!$Q106,MOD(AF$1-Units!$Q106,12)=0),IF(AND(Units!$L106=1,AF$1=Units!$Q106),1,Inputs!$B$15)*Inputs!$B$16*(1+Inputs!$B$11)^(AF$2-1),0)</f>
        <v>0</v>
      </c>
      <c r="AG107" s="11" t="n">
        <f aca="false">IF(AND(AG$1&gt;=Units!$Q106,MOD(AG$1-Units!$Q106,12)=0),IF(AND(Units!$L106=1,AG$1=Units!$Q106),1,Inputs!$B$15)*Inputs!$B$16*(1+Inputs!$B$11)^(AG$2-1),0)</f>
        <v>0</v>
      </c>
      <c r="AH107" s="11" t="n">
        <f aca="false">IF(AND(AH$1&gt;=Units!$Q106,MOD(AH$1-Units!$Q106,12)=0),IF(AND(Units!$L106=1,AH$1=Units!$Q106),1,Inputs!$B$15)*Inputs!$B$16*(1+Inputs!$B$11)^(AH$2-1),0)</f>
        <v>0</v>
      </c>
      <c r="AI107" s="11" t="n">
        <f aca="false">IF(AND(AI$1&gt;=Units!$Q106,MOD(AI$1-Units!$Q106,12)=0),IF(AND(Units!$L106=1,AI$1=Units!$Q106),1,Inputs!$B$15)*Inputs!$B$16*(1+Inputs!$B$11)^(AI$2-1),0)</f>
        <v>0</v>
      </c>
      <c r="AJ107" s="11" t="n">
        <f aca="false">IF(AND(AJ$1&gt;=Units!$Q106,MOD(AJ$1-Units!$Q106,12)=0),IF(AND(Units!$L106=1,AJ$1=Units!$Q106),1,Inputs!$B$15)*Inputs!$B$16*(1+Inputs!$B$11)^(AJ$2-1),0)</f>
        <v>0</v>
      </c>
      <c r="AK107" s="11" t="n">
        <f aca="false">IF(AND(AK$1&gt;=Units!$Q106,MOD(AK$1-Units!$Q106,12)=0),IF(AND(Units!$L106=1,AK$1=Units!$Q106),1,Inputs!$B$15)*Inputs!$B$16*(1+Inputs!$B$11)^(AK$2-1),0)</f>
        <v>0</v>
      </c>
      <c r="AL107" s="11" t="n">
        <f aca="false">IF(AND(AL$1&gt;=Units!$Q106,MOD(AL$1-Units!$Q106,12)=0),IF(AND(Units!$L106=1,AL$1=Units!$Q106),1,Inputs!$B$15)*Inputs!$B$16*(1+Inputs!$B$11)^(AL$2-1),0)</f>
        <v>0</v>
      </c>
      <c r="AM107" s="11" t="n">
        <f aca="false">IF(AND(AM$1&gt;=Units!$Q106,MOD(AM$1-Units!$Q106,12)=0),IF(AND(Units!$L106=1,AM$1=Units!$Q106),1,Inputs!$B$15)*Inputs!$B$16*(1+Inputs!$B$11)^(AM$2-1),0)</f>
        <v>546.3635</v>
      </c>
      <c r="AN107" s="11" t="n">
        <f aca="false">IF(AND(AN$1&gt;=Units!$Q106,MOD(AN$1-Units!$Q106,12)=0),IF(AND(Units!$L106=1,AN$1=Units!$Q106),1,Inputs!$B$15)*Inputs!$B$16*(1+Inputs!$B$11)^(AN$2-1),0)</f>
        <v>0</v>
      </c>
      <c r="AO107" s="11" t="n">
        <f aca="false">IF(AND(AO$1&gt;=Units!$Q106,MOD(AO$1-Units!$Q106,12)=0),IF(AND(Units!$L106=1,AO$1=Units!$Q106),1,Inputs!$B$15)*Inputs!$B$16*(1+Inputs!$B$11)^(AO$2-1),0)</f>
        <v>0</v>
      </c>
      <c r="AP107" s="11" t="n">
        <f aca="false">IF(AND(AP$1&gt;=Units!$Q106,MOD(AP$1-Units!$Q106,12)=0),IF(AND(Units!$L106=1,AP$1=Units!$Q106),1,Inputs!$B$15)*Inputs!$B$16*(1+Inputs!$B$11)^(AP$2-1),0)</f>
        <v>0</v>
      </c>
      <c r="AQ107" s="11" t="n">
        <f aca="false">IF(AND(AQ$1&gt;=Units!$Q106,MOD(AQ$1-Units!$Q106,12)=0),IF(AND(Units!$L106=1,AQ$1=Units!$Q106),1,Inputs!$B$15)*Inputs!$B$16*(1+Inputs!$B$11)^(AQ$2-1),0)</f>
        <v>0</v>
      </c>
      <c r="AR107" s="11" t="n">
        <f aca="false">IF(AND(AR$1&gt;=Units!$Q106,MOD(AR$1-Units!$Q106,12)=0),IF(AND(Units!$L106=1,AR$1=Units!$Q106),1,Inputs!$B$15)*Inputs!$B$16*(1+Inputs!$B$11)^(AR$2-1),0)</f>
        <v>0</v>
      </c>
      <c r="AS107" s="11" t="n">
        <f aca="false">IF(AND(AS$1&gt;=Units!$Q106,MOD(AS$1-Units!$Q106,12)=0),IF(AND(Units!$L106=1,AS$1=Units!$Q106),1,Inputs!$B$15)*Inputs!$B$16*(1+Inputs!$B$11)^(AS$2-1),0)</f>
        <v>0</v>
      </c>
      <c r="AT107" s="11" t="n">
        <f aca="false">IF(AND(AT$1&gt;=Units!$Q106,MOD(AT$1-Units!$Q106,12)=0),IF(AND(Units!$L106=1,AT$1=Units!$Q106),1,Inputs!$B$15)*Inputs!$B$16*(1+Inputs!$B$11)^(AT$2-1),0)</f>
        <v>0</v>
      </c>
      <c r="AU107" s="11" t="n">
        <f aca="false">IF(AND(AU$1&gt;=Units!$Q106,MOD(AU$1-Units!$Q106,12)=0),IF(AND(Units!$L106=1,AU$1=Units!$Q106),1,Inputs!$B$15)*Inputs!$B$16*(1+Inputs!$B$11)^(AU$2-1),0)</f>
        <v>0</v>
      </c>
      <c r="AV107" s="11" t="n">
        <f aca="false">IF(AND(AV$1&gt;=Units!$Q106,MOD(AV$1-Units!$Q106,12)=0),IF(AND(Units!$L106=1,AV$1=Units!$Q106),1,Inputs!$B$15)*Inputs!$B$16*(1+Inputs!$B$11)^(AV$2-1),0)</f>
        <v>0</v>
      </c>
      <c r="AW107" s="11" t="n">
        <f aca="false">IF(AND(AW$1&gt;=Units!$Q106,MOD(AW$1-Units!$Q106,12)=0),IF(AND(Units!$L106=1,AW$1=Units!$Q106),1,Inputs!$B$15)*Inputs!$B$16*(1+Inputs!$B$11)^(AW$2-1),0)</f>
        <v>0</v>
      </c>
      <c r="AX107" s="11" t="n">
        <f aca="false">IF(AND(AX$1&gt;=Units!$Q106,MOD(AX$1-Units!$Q106,12)=0),IF(AND(Units!$L106=1,AX$1=Units!$Q106),1,Inputs!$B$15)*Inputs!$B$16*(1+Inputs!$B$11)^(AX$2-1),0)</f>
        <v>0</v>
      </c>
      <c r="AY107" s="11" t="n">
        <f aca="false">IF(AND(AY$1&gt;=Units!$Q106,MOD(AY$1-Units!$Q106,12)=0),IF(AND(Units!$L106=1,AY$1=Units!$Q106),1,Inputs!$B$15)*Inputs!$B$16*(1+Inputs!$B$11)^(AY$2-1),0)</f>
        <v>562.754405</v>
      </c>
      <c r="AZ107" s="11" t="n">
        <f aca="false">IF(AND(AZ$1&gt;=Units!$Q106,MOD(AZ$1-Units!$Q106,12)=0),IF(AND(Units!$L106=1,AZ$1=Units!$Q106),1,Inputs!$B$15)*Inputs!$B$16*(1+Inputs!$B$11)^(AZ$2-1),0)</f>
        <v>0</v>
      </c>
      <c r="BA107" s="11" t="n">
        <f aca="false">IF(AND(BA$1&gt;=Units!$Q106,MOD(BA$1-Units!$Q106,12)=0),IF(AND(Units!$L106=1,BA$1=Units!$Q106),1,Inputs!$B$15)*Inputs!$B$16*(1+Inputs!$B$11)^(BA$2-1),0)</f>
        <v>0</v>
      </c>
      <c r="BB107" s="11" t="n">
        <f aca="false">IF(AND(BB$1&gt;=Units!$Q106,MOD(BB$1-Units!$Q106,12)=0),IF(AND(Units!$L106=1,BB$1=Units!$Q106),1,Inputs!$B$15)*Inputs!$B$16*(1+Inputs!$B$11)^(BB$2-1),0)</f>
        <v>0</v>
      </c>
      <c r="BC107" s="11" t="n">
        <f aca="false">IF(AND(BC$1&gt;=Units!$Q106,MOD(BC$1-Units!$Q106,12)=0),IF(AND(Units!$L106=1,BC$1=Units!$Q106),1,Inputs!$B$15)*Inputs!$B$16*(1+Inputs!$B$11)^(BC$2-1),0)</f>
        <v>0</v>
      </c>
      <c r="BD107" s="11" t="n">
        <f aca="false">IF(AND(BD$1&gt;=Units!$Q106,MOD(BD$1-Units!$Q106,12)=0),IF(AND(Units!$L106=1,BD$1=Units!$Q106),1,Inputs!$B$15)*Inputs!$B$16*(1+Inputs!$B$11)^(BD$2-1),0)</f>
        <v>0</v>
      </c>
      <c r="BE107" s="11" t="n">
        <f aca="false">IF(AND(BE$1&gt;=Units!$Q106,MOD(BE$1-Units!$Q106,12)=0),IF(AND(Units!$L106=1,BE$1=Units!$Q106),1,Inputs!$B$15)*Inputs!$B$16*(1+Inputs!$B$11)^(BE$2-1),0)</f>
        <v>0</v>
      </c>
      <c r="BF107" s="11" t="n">
        <f aca="false">IF(AND(BF$1&gt;=Units!$Q106,MOD(BF$1-Units!$Q106,12)=0),IF(AND(Units!$L106=1,BF$1=Units!$Q106),1,Inputs!$B$15)*Inputs!$B$16*(1+Inputs!$B$11)^(BF$2-1),0)</f>
        <v>0</v>
      </c>
      <c r="BG107" s="11" t="n">
        <f aca="false">IF(AND(BG$1&gt;=Units!$Q106,MOD(BG$1-Units!$Q106,12)=0),IF(AND(Units!$L106=1,BG$1=Units!$Q106),1,Inputs!$B$15)*Inputs!$B$16*(1+Inputs!$B$11)^(BG$2-1),0)</f>
        <v>0</v>
      </c>
      <c r="BH107" s="11" t="n">
        <f aca="false">IF(AND(BH$1&gt;=Units!$Q106,MOD(BH$1-Units!$Q106,12)=0),IF(AND(Units!$L106=1,BH$1=Units!$Q106),1,Inputs!$B$15)*Inputs!$B$16*(1+Inputs!$B$11)^(BH$2-1),0)</f>
        <v>0</v>
      </c>
      <c r="BI107" s="11" t="n">
        <f aca="false">IF(AND(BI$1&gt;=Units!$Q106,MOD(BI$1-Units!$Q106,12)=0),IF(AND(Units!$L106=1,BI$1=Units!$Q106),1,Inputs!$B$15)*Inputs!$B$16*(1+Inputs!$B$11)^(BI$2-1),0)</f>
        <v>0</v>
      </c>
      <c r="BJ107" s="11" t="n">
        <f aca="false">IF(AND(BJ$1&gt;=Units!$Q106,MOD(BJ$1-Units!$Q106,12)=0),IF(AND(Units!$L106=1,BJ$1=Units!$Q106),1,Inputs!$B$15)*Inputs!$B$16*(1+Inputs!$B$11)^(BJ$2-1),0)</f>
        <v>0</v>
      </c>
      <c r="BK107" s="11" t="n">
        <f aca="false">IF(AND(BK$1&gt;=Units!$Q106,MOD(BK$1-Units!$Q106,12)=0),IF(AND(Units!$L106=1,BK$1=Units!$Q106),1,Inputs!$B$15)*Inputs!$B$16*(1+Inputs!$B$11)^(BK$2-1),0)</f>
        <v>579.63703715</v>
      </c>
      <c r="BL107" s="11" t="n">
        <f aca="false">IF(AND(BL$1&gt;=Units!$Q106,MOD(BL$1-Units!$Q106,12)=0),IF(AND(Units!$L106=1,BL$1=Units!$Q106),1,Inputs!$B$15)*Inputs!$B$16*(1+Inputs!$B$11)^(BL$2-1),0)</f>
        <v>0</v>
      </c>
      <c r="BM107" s="11" t="n">
        <f aca="false">IF(AND(BM$1&gt;=Units!$Q106,MOD(BM$1-Units!$Q106,12)=0),IF(AND(Units!$L106=1,BM$1=Units!$Q106),1,Inputs!$B$15)*Inputs!$B$16*(1+Inputs!$B$11)^(BM$2-1),0)</f>
        <v>0</v>
      </c>
      <c r="BN107" s="11" t="n">
        <f aca="false">IF(AND(BN$1&gt;=Units!$Q106,MOD(BN$1-Units!$Q106,12)=0),IF(AND(Units!$L106=1,BN$1=Units!$Q106),1,Inputs!$B$15)*Inputs!$B$16*(1+Inputs!$B$11)^(BN$2-1),0)</f>
        <v>0</v>
      </c>
      <c r="BO107" s="11" t="n">
        <f aca="false">IF(AND(BO$1&gt;=Units!$Q106,MOD(BO$1-Units!$Q106,12)=0),IF(AND(Units!$L106=1,BO$1=Units!$Q106),1,Inputs!$B$15)*Inputs!$B$16*(1+Inputs!$B$11)^(BO$2-1),0)</f>
        <v>0</v>
      </c>
      <c r="BP107" s="11" t="n">
        <f aca="false">IF(AND(BP$1&gt;=Units!$Q106,MOD(BP$1-Units!$Q106,12)=0),IF(AND(Units!$L106=1,BP$1=Units!$Q106),1,Inputs!$B$15)*Inputs!$B$16*(1+Inputs!$B$11)^(BP$2-1),0)</f>
        <v>0</v>
      </c>
      <c r="BQ107" s="11" t="n">
        <f aca="false">IF(AND(BQ$1&gt;=Units!$Q106,MOD(BQ$1-Units!$Q106,12)=0),IF(AND(Units!$L106=1,BQ$1=Units!$Q106),1,Inputs!$B$15)*Inputs!$B$16*(1+Inputs!$B$11)^(BQ$2-1),0)</f>
        <v>0</v>
      </c>
      <c r="BR107" s="11" t="n">
        <f aca="false">IF(AND(BR$1&gt;=Units!$Q106,MOD(BR$1-Units!$Q106,12)=0),IF(AND(Units!$L106=1,BR$1=Units!$Q106),1,Inputs!$B$15)*Inputs!$B$16*(1+Inputs!$B$11)^(BR$2-1),0)</f>
        <v>0</v>
      </c>
      <c r="BS107" s="11" t="n">
        <f aca="false">IF(AND(BS$1&gt;=Units!$Q106,MOD(BS$1-Units!$Q106,12)=0),IF(AND(Units!$L106=1,BS$1=Units!$Q106),1,Inputs!$B$15)*Inputs!$B$16*(1+Inputs!$B$11)^(BS$2-1),0)</f>
        <v>0</v>
      </c>
      <c r="BT107" s="11" t="n">
        <f aca="false">IF(AND(BT$1&gt;=Units!$Q106,MOD(BT$1-Units!$Q106,12)=0),IF(AND(Units!$L106=1,BT$1=Units!$Q106),1,Inputs!$B$15)*Inputs!$B$16*(1+Inputs!$B$11)^(BT$2-1),0)</f>
        <v>0</v>
      </c>
      <c r="BU107" s="11" t="n">
        <f aca="false">IF(AND(BU$1&gt;=Units!$Q106,MOD(BU$1-Units!$Q106,12)=0),IF(AND(Units!$L106=1,BU$1=Units!$Q106),1,Inputs!$B$15)*Inputs!$B$16*(1+Inputs!$B$11)^(BU$2-1),0)</f>
        <v>0</v>
      </c>
      <c r="BV107" s="11" t="n">
        <f aca="false">IF(AND(BV$1&gt;=Units!$Q106,MOD(BV$1-Units!$Q106,12)=0),IF(AND(Units!$L106=1,BV$1=Units!$Q106),1,Inputs!$B$15)*Inputs!$B$16*(1+Inputs!$B$11)^(BV$2-1),0)</f>
        <v>0</v>
      </c>
      <c r="BW107" s="11" t="n">
        <f aca="false">IF(AND(BW$1&gt;=Units!$Q106,MOD(BW$1-Units!$Q106,12)=0),IF(AND(Units!$L106=1,BW$1=Units!$Q106),1,Inputs!$B$15)*Inputs!$B$16*(1+Inputs!$B$11)^(BW$2-1),0)</f>
        <v>597.0261482645</v>
      </c>
      <c r="BX107" s="11" t="n">
        <f aca="false">IF(AND(BX$1&gt;=Units!$Q106,MOD(BX$1-Units!$Q106,12)=0),IF(AND(Units!$L106=1,BX$1=Units!$Q106),1,Inputs!$B$15)*Inputs!$B$16*(1+Inputs!$B$11)^(BX$2-1),0)</f>
        <v>0</v>
      </c>
      <c r="BY107" s="11" t="n">
        <f aca="false">IF(AND(BY$1&gt;=Units!$Q106,MOD(BY$1-Units!$Q106,12)=0),IF(AND(Units!$L106=1,BY$1=Units!$Q106),1,Inputs!$B$15)*Inputs!$B$16*(1+Inputs!$B$11)^(BY$2-1),0)</f>
        <v>0</v>
      </c>
      <c r="BZ107" s="11" t="n">
        <f aca="false">IF(AND(BZ$1&gt;=Units!$Q106,MOD(BZ$1-Units!$Q106,12)=0),IF(AND(Units!$L106=1,BZ$1=Units!$Q106),1,Inputs!$B$15)*Inputs!$B$16*(1+Inputs!$B$11)^(BZ$2-1),0)</f>
        <v>0</v>
      </c>
      <c r="CA107" s="11" t="n">
        <f aca="false">IF(AND(CA$1&gt;=Units!$Q106,MOD(CA$1-Units!$Q106,12)=0),IF(AND(Units!$L106=1,CA$1=Units!$Q106),1,Inputs!$B$15)*Inputs!$B$16*(1+Inputs!$B$11)^(CA$2-1),0)</f>
        <v>0</v>
      </c>
      <c r="CB107" s="11" t="n">
        <f aca="false">IF(AND(CB$1&gt;=Units!$Q106,MOD(CB$1-Units!$Q106,12)=0),IF(AND(Units!$L106=1,CB$1=Units!$Q106),1,Inputs!$B$15)*Inputs!$B$16*(1+Inputs!$B$11)^(CB$2-1),0)</f>
        <v>0</v>
      </c>
      <c r="CC107" s="11" t="n">
        <f aca="false">IF(AND(CC$1&gt;=Units!$Q106,MOD(CC$1-Units!$Q106,12)=0),IF(AND(Units!$L106=1,CC$1=Units!$Q106),1,Inputs!$B$15)*Inputs!$B$16*(1+Inputs!$B$11)^(CC$2-1),0)</f>
        <v>0</v>
      </c>
      <c r="CD107" s="11" t="n">
        <f aca="false">IF(AND(CD$1&gt;=Units!$Q106,MOD(CD$1-Units!$Q106,12)=0),IF(AND(Units!$L106=1,CD$1=Units!$Q106),1,Inputs!$B$15)*Inputs!$B$16*(1+Inputs!$B$11)^(CD$2-1),0)</f>
        <v>0</v>
      </c>
      <c r="CE107" s="11" t="n">
        <f aca="false">IF(AND(CE$1&gt;=Units!$Q106,MOD(CE$1-Units!$Q106,12)=0),IF(AND(Units!$L106=1,CE$1=Units!$Q106),1,Inputs!$B$15)*Inputs!$B$16*(1+Inputs!$B$11)^(CE$2-1),0)</f>
        <v>0</v>
      </c>
      <c r="CF107" s="11" t="n">
        <f aca="false">IF(AND(CF$1&gt;=Units!$Q106,MOD(CF$1-Units!$Q106,12)=0),IF(AND(Units!$L106=1,CF$1=Units!$Q106),1,Inputs!$B$15)*Inputs!$B$16*(1+Inputs!$B$11)^(CF$2-1),0)</f>
        <v>0</v>
      </c>
      <c r="CG107" s="11" t="n">
        <f aca="false">IF(AND(CG$1&gt;=Units!$Q106,MOD(CG$1-Units!$Q106,12)=0),IF(AND(Units!$L106=1,CG$1=Units!$Q106),1,Inputs!$B$15)*Inputs!$B$16*(1+Inputs!$B$11)^(CG$2-1),0)</f>
        <v>0</v>
      </c>
      <c r="CH107" s="11" t="n">
        <f aca="false">IF(AND(CH$1&gt;=Units!$Q106,MOD(CH$1-Units!$Q106,12)=0),IF(AND(Units!$L106=1,CH$1=Units!$Q106),1,Inputs!$B$15)*Inputs!$B$16*(1+Inputs!$B$11)^(CH$2-1),0)</f>
        <v>0</v>
      </c>
      <c r="CI107" s="11" t="n">
        <f aca="false">IF(AND(CI$1&gt;=Units!$Q106,MOD(CI$1-Units!$Q106,12)=0),IF(AND(Units!$L106=1,CI$1=Units!$Q106),1,Inputs!$B$15)*Inputs!$B$16*(1+Inputs!$B$11)^(CI$2-1),0)</f>
        <v>614.936932712435</v>
      </c>
      <c r="CJ107" s="11" t="n">
        <f aca="false">IF(AND(CJ$1&gt;=Units!$Q106,MOD(CJ$1-Units!$Q106,12)=0),IF(AND(Units!$L106=1,CJ$1=Units!$Q106),1,Inputs!$B$15)*Inputs!$B$16*(1+Inputs!$B$11)^(CJ$2-1),0)</f>
        <v>0</v>
      </c>
      <c r="CK107" s="11" t="n">
        <f aca="false">IF(AND(CK$1&gt;=Units!$Q106,MOD(CK$1-Units!$Q106,12)=0),IF(AND(Units!$L106=1,CK$1=Units!$Q106),1,Inputs!$B$15)*Inputs!$B$16*(1+Inputs!$B$11)^(CK$2-1),0)</f>
        <v>0</v>
      </c>
      <c r="CL107" s="11" t="n">
        <f aca="false">IF(AND(CL$1&gt;=Units!$Q106,MOD(CL$1-Units!$Q106,12)=0),IF(AND(Units!$L106=1,CL$1=Units!$Q106),1,Inputs!$B$15)*Inputs!$B$16*(1+Inputs!$B$11)^(CL$2-1),0)</f>
        <v>0</v>
      </c>
      <c r="CM107" s="11" t="n">
        <f aca="false">IF(AND(CM$1&gt;=Units!$Q106,MOD(CM$1-Units!$Q106,12)=0),IF(AND(Units!$L106=1,CM$1=Units!$Q106),1,Inputs!$B$15)*Inputs!$B$16*(1+Inputs!$B$11)^(CM$2-1),0)</f>
        <v>0</v>
      </c>
      <c r="CN107" s="11" t="n">
        <f aca="false">IF(AND(CN$1&gt;=Units!$Q106,MOD(CN$1-Units!$Q106,12)=0),IF(AND(Units!$L106=1,CN$1=Units!$Q106),1,Inputs!$B$15)*Inputs!$B$16*(1+Inputs!$B$11)^(CN$2-1),0)</f>
        <v>0</v>
      </c>
      <c r="CO107" s="11" t="n">
        <f aca="false">IF(AND(CO$1&gt;=Units!$Q106,MOD(CO$1-Units!$Q106,12)=0),IF(AND(Units!$L106=1,CO$1=Units!$Q106),1,Inputs!$B$15)*Inputs!$B$16*(1+Inputs!$B$11)^(CO$2-1),0)</f>
        <v>0</v>
      </c>
      <c r="CP107" s="11" t="n">
        <f aca="false">IF(AND(CP$1&gt;=Units!$Q106,MOD(CP$1-Units!$Q106,12)=0),IF(AND(Units!$L106=1,CP$1=Units!$Q106),1,Inputs!$B$15)*Inputs!$B$16*(1+Inputs!$B$11)^(CP$2-1),0)</f>
        <v>0</v>
      </c>
      <c r="CQ107" s="11" t="n">
        <f aca="false">IF(AND(CQ$1&gt;=Units!$Q106,MOD(CQ$1-Units!$Q106,12)=0),IF(AND(Units!$L106=1,CQ$1=Units!$Q106),1,Inputs!$B$15)*Inputs!$B$16*(1+Inputs!$B$11)^(CQ$2-1),0)</f>
        <v>0</v>
      </c>
      <c r="CR107" s="11" t="n">
        <f aca="false">IF(AND(CR$1&gt;=Units!$Q106,MOD(CR$1-Units!$Q106,12)=0),IF(AND(Units!$L106=1,CR$1=Units!$Q106),1,Inputs!$B$15)*Inputs!$B$16*(1+Inputs!$B$11)^(CR$2-1),0)</f>
        <v>0</v>
      </c>
      <c r="CS107" s="11" t="n">
        <f aca="false">IF(AND(CS$1&gt;=Units!$Q106,MOD(CS$1-Units!$Q106,12)=0),IF(AND(Units!$L106=1,CS$1=Units!$Q106),1,Inputs!$B$15)*Inputs!$B$16*(1+Inputs!$B$11)^(CS$2-1),0)</f>
        <v>0</v>
      </c>
      <c r="CT107" s="11" t="n">
        <f aca="false">IF(AND(CT$1&gt;=Units!$Q106,MOD(CT$1-Units!$Q106,12)=0),IF(AND(Units!$L106=1,CT$1=Units!$Q106),1,Inputs!$B$15)*Inputs!$B$16*(1+Inputs!$B$11)^(CT$2-1),0)</f>
        <v>0</v>
      </c>
      <c r="CU107" s="11" t="n">
        <f aca="false">IF(AND(CU$1&gt;=Units!$Q106,MOD(CU$1-Units!$Q106,12)=0),IF(AND(Units!$L106=1,CU$1=Units!$Q106),1,Inputs!$B$15)*Inputs!$B$16*(1+Inputs!$B$11)^(CU$2-1),0)</f>
        <v>633.385040693808</v>
      </c>
      <c r="CV107" s="11" t="n">
        <f aca="false">IF(AND(CV$1&gt;=Units!$Q106,MOD(CV$1-Units!$Q106,12)=0),IF(AND(Units!$L106=1,CV$1=Units!$Q106),1,Inputs!$B$15)*Inputs!$B$16*(1+Inputs!$B$11)^(CV$2-1),0)</f>
        <v>0</v>
      </c>
      <c r="CW107" s="11" t="n">
        <f aca="false">IF(AND(CW$1&gt;=Units!$Q106,MOD(CW$1-Units!$Q106,12)=0),IF(AND(Units!$L106=1,CW$1=Units!$Q106),1,Inputs!$B$15)*Inputs!$B$16*(1+Inputs!$B$11)^(CW$2-1),0)</f>
        <v>0</v>
      </c>
      <c r="CX107" s="11" t="n">
        <f aca="false">IF(AND(CX$1&gt;=Units!$Q106,MOD(CX$1-Units!$Q106,12)=0),IF(AND(Units!$L106=1,CX$1=Units!$Q106),1,Inputs!$B$15)*Inputs!$B$16*(1+Inputs!$B$11)^(CX$2-1),0)</f>
        <v>0</v>
      </c>
      <c r="CY107" s="11" t="n">
        <f aca="false">IF(AND(CY$1&gt;=Units!$Q106,MOD(CY$1-Units!$Q106,12)=0),IF(AND(Units!$L106=1,CY$1=Units!$Q106),1,Inputs!$B$15)*Inputs!$B$16*(1+Inputs!$B$11)^(CY$2-1),0)</f>
        <v>0</v>
      </c>
      <c r="CZ107" s="11" t="n">
        <f aca="false">IF(AND(CZ$1&gt;=Units!$Q106,MOD(CZ$1-Units!$Q106,12)=0),IF(AND(Units!$L106=1,CZ$1=Units!$Q106),1,Inputs!$B$15)*Inputs!$B$16*(1+Inputs!$B$11)^(CZ$2-1),0)</f>
        <v>0</v>
      </c>
      <c r="DA107" s="11" t="n">
        <f aca="false">IF(AND(DA$1&gt;=Units!$Q106,MOD(DA$1-Units!$Q106,12)=0),IF(AND(Units!$L106=1,DA$1=Units!$Q106),1,Inputs!$B$15)*Inputs!$B$16*(1+Inputs!$B$11)^(DA$2-1),0)</f>
        <v>0</v>
      </c>
      <c r="DB107" s="11" t="n">
        <f aca="false">IF(AND(DB$1&gt;=Units!$Q106,MOD(DB$1-Units!$Q106,12)=0),IF(AND(Units!$L106=1,DB$1=Units!$Q106),1,Inputs!$B$15)*Inputs!$B$16*(1+Inputs!$B$11)^(DB$2-1),0)</f>
        <v>0</v>
      </c>
      <c r="DC107" s="11" t="n">
        <f aca="false">IF(AND(DC$1&gt;=Units!$Q106,MOD(DC$1-Units!$Q106,12)=0),IF(AND(Units!$L106=1,DC$1=Units!$Q106),1,Inputs!$B$15)*Inputs!$B$16*(1+Inputs!$B$11)^(DC$2-1),0)</f>
        <v>0</v>
      </c>
      <c r="DD107" s="11" t="n">
        <f aca="false">IF(AND(DD$1&gt;=Units!$Q106,MOD(DD$1-Units!$Q106,12)=0),IF(AND(Units!$L106=1,DD$1=Units!$Q106),1,Inputs!$B$15)*Inputs!$B$16*(1+Inputs!$B$11)^(DD$2-1),0)</f>
        <v>0</v>
      </c>
      <c r="DE107" s="11" t="n">
        <f aca="false">IF(AND(DE$1&gt;=Units!$Q106,MOD(DE$1-Units!$Q106,12)=0),IF(AND(Units!$L106=1,DE$1=Units!$Q106),1,Inputs!$B$15)*Inputs!$B$16*(1+Inputs!$B$11)^(DE$2-1),0)</f>
        <v>0</v>
      </c>
      <c r="DF107" s="11" t="n">
        <f aca="false">IF(AND(DF$1&gt;=Units!$Q106,MOD(DF$1-Units!$Q106,12)=0),IF(AND(Units!$L106=1,DF$1=Units!$Q106),1,Inputs!$B$15)*Inputs!$B$16*(1+Inputs!$B$11)^(DF$2-1),0)</f>
        <v>0</v>
      </c>
      <c r="DG107" s="11" t="n">
        <f aca="false">IF(AND(DG$1&gt;=Units!$Q106,MOD(DG$1-Units!$Q106,12)=0),IF(AND(Units!$L106=1,DG$1=Units!$Q106),1,Inputs!$B$15)*Inputs!$B$16*(1+Inputs!$B$11)^(DG$2-1),0)</f>
        <v>652.386591914623</v>
      </c>
      <c r="DH107" s="11" t="n">
        <f aca="false">IF(AND(DH$1&gt;=Units!$Q106,MOD(DH$1-Units!$Q106,12)=0),IF(AND(Units!$L106=1,DH$1=Units!$Q106),1,Inputs!$B$15)*Inputs!$B$16*(1+Inputs!$B$11)^(DH$2-1),0)</f>
        <v>0</v>
      </c>
      <c r="DI107" s="11" t="n">
        <f aca="false">IF(AND(DI$1&gt;=Units!$Q106,MOD(DI$1-Units!$Q106,12)=0),IF(AND(Units!$L106=1,DI$1=Units!$Q106),1,Inputs!$B$15)*Inputs!$B$16*(1+Inputs!$B$11)^(DI$2-1),0)</f>
        <v>0</v>
      </c>
      <c r="DJ107" s="11" t="n">
        <f aca="false">IF(AND(DJ$1&gt;=Units!$Q106,MOD(DJ$1-Units!$Q106,12)=0),IF(AND(Units!$L106=1,DJ$1=Units!$Q106),1,Inputs!$B$15)*Inputs!$B$16*(1+Inputs!$B$11)^(DJ$2-1),0)</f>
        <v>0</v>
      </c>
      <c r="DK107" s="11" t="n">
        <f aca="false">IF(AND(DK$1&gt;=Units!$Q106,MOD(DK$1-Units!$Q106,12)=0),IF(AND(Units!$L106=1,DK$1=Units!$Q106),1,Inputs!$B$15)*Inputs!$B$16*(1+Inputs!$B$11)^(DK$2-1),0)</f>
        <v>0</v>
      </c>
      <c r="DL107" s="11" t="n">
        <f aca="false">IF(AND(DL$1&gt;=Units!$Q106,MOD(DL$1-Units!$Q106,12)=0),IF(AND(Units!$L106=1,DL$1=Units!$Q106),1,Inputs!$B$15)*Inputs!$B$16*(1+Inputs!$B$11)^(DL$2-1),0)</f>
        <v>0</v>
      </c>
      <c r="DM107" s="11" t="n">
        <f aca="false">IF(AND(DM$1&gt;=Units!$Q106,MOD(DM$1-Units!$Q106,12)=0),IF(AND(Units!$L106=1,DM$1=Units!$Q106),1,Inputs!$B$15)*Inputs!$B$16*(1+Inputs!$B$11)^(DM$2-1),0)</f>
        <v>0</v>
      </c>
      <c r="DN107" s="11" t="n">
        <f aca="false">IF(AND(DN$1&gt;=Units!$Q106,MOD(DN$1-Units!$Q106,12)=0),IF(AND(Units!$L106=1,DN$1=Units!$Q106),1,Inputs!$B$15)*Inputs!$B$16*(1+Inputs!$B$11)^(DN$2-1),0)</f>
        <v>0</v>
      </c>
      <c r="DO107" s="11" t="n">
        <f aca="false">IF(AND(DO$1&gt;=Units!$Q106,MOD(DO$1-Units!$Q106,12)=0),IF(AND(Units!$L106=1,DO$1=Units!$Q106),1,Inputs!$B$15)*Inputs!$B$16*(1+Inputs!$B$11)^(DO$2-1),0)</f>
        <v>0</v>
      </c>
      <c r="DP107" s="11" t="n">
        <f aca="false">IF(AND(DP$1&gt;=Units!$Q106,MOD(DP$1-Units!$Q106,12)=0),IF(AND(Units!$L106=1,DP$1=Units!$Q106),1,Inputs!$B$15)*Inputs!$B$16*(1+Inputs!$B$11)^(DP$2-1),0)</f>
        <v>0</v>
      </c>
      <c r="DQ107" s="11" t="n">
        <f aca="false">IF(AND(DQ$1&gt;=Units!$Q106,MOD(DQ$1-Units!$Q106,12)=0),IF(AND(Units!$L106=1,DQ$1=Units!$Q106),1,Inputs!$B$15)*Inputs!$B$16*(1+Inputs!$B$11)^(DQ$2-1),0)</f>
        <v>0</v>
      </c>
      <c r="DR107" s="11" t="n">
        <f aca="false">IF(AND(DR$1&gt;=Units!$Q106,MOD(DR$1-Units!$Q106,12)=0),IF(AND(Units!$L106=1,DR$1=Units!$Q106),1,Inputs!$B$15)*Inputs!$B$16*(1+Inputs!$B$11)^(DR$2-1),0)</f>
        <v>0</v>
      </c>
      <c r="DS107" s="11" t="n">
        <f aca="false">IF(AND(DS$1&gt;=Units!$Q106,MOD(DS$1-Units!$Q106,12)=0),IF(AND(Units!$L106=1,DS$1=Units!$Q106),1,Inputs!$B$15)*Inputs!$B$16*(1+Inputs!$B$11)^(DS$2-1),0)</f>
        <v>671.958189672061</v>
      </c>
      <c r="DT107" s="11" t="n">
        <f aca="false">IF(AND(DT$1&gt;=Units!$Q106,MOD(DT$1-Units!$Q106,12)=0),IF(AND(Units!$L106=1,DT$1=Units!$Q106),1,Inputs!$B$15)*Inputs!$B$16*(1+Inputs!$B$11)^(DT$2-1),0)</f>
        <v>0</v>
      </c>
      <c r="DU107" s="11" t="n">
        <f aca="false">IF(AND(DU$1&gt;=Units!$Q106,MOD(DU$1-Units!$Q106,12)=0),IF(AND(Units!$L106=1,DU$1=Units!$Q106),1,Inputs!$B$15)*Inputs!$B$16*(1+Inputs!$B$11)^(DU$2-1),0)</f>
        <v>0</v>
      </c>
      <c r="DV107" s="11" t="n">
        <f aca="false">IF(AND(DV$1&gt;=Units!$Q106,MOD(DV$1-Units!$Q106,12)=0),IF(AND(Units!$L106=1,DV$1=Units!$Q106),1,Inputs!$B$15)*Inputs!$B$16*(1+Inputs!$B$11)^(DV$2-1),0)</f>
        <v>0</v>
      </c>
      <c r="DW107" s="11" t="n">
        <f aca="false">IF(AND(DW$1&gt;=Units!$Q106,MOD(DW$1-Units!$Q106,12)=0),IF(AND(Units!$L106=1,DW$1=Units!$Q106),1,Inputs!$B$15)*Inputs!$B$16*(1+Inputs!$B$11)^(DW$2-1),0)</f>
        <v>0</v>
      </c>
      <c r="DX107" s="11" t="n">
        <f aca="false">IF(AND(DX$1&gt;=Units!$Q106,MOD(DX$1-Units!$Q106,12)=0),IF(AND(Units!$L106=1,DX$1=Units!$Q106),1,Inputs!$B$15)*Inputs!$B$16*(1+Inputs!$B$11)^(DX$2-1),0)</f>
        <v>0</v>
      </c>
      <c r="DY107" s="11" t="n">
        <f aca="false">IF(AND(DY$1&gt;=Units!$Q106,MOD(DY$1-Units!$Q106,12)=0),IF(AND(Units!$L106=1,DY$1=Units!$Q106),1,Inputs!$B$15)*Inputs!$B$16*(1+Inputs!$B$11)^(DY$2-1),0)</f>
        <v>0</v>
      </c>
      <c r="DZ107" s="11" t="n">
        <f aca="false">IF(AND(DZ$1&gt;=Units!$Q106,MOD(DZ$1-Units!$Q106,12)=0),IF(AND(Units!$L106=1,DZ$1=Units!$Q106),1,Inputs!$B$15)*Inputs!$B$16*(1+Inputs!$B$11)^(DZ$2-1),0)</f>
        <v>0</v>
      </c>
      <c r="EA107" s="11" t="n">
        <f aca="false">IF(AND(EA$1&gt;=Units!$Q106,MOD(EA$1-Units!$Q106,12)=0),IF(AND(Units!$L106=1,EA$1=Units!$Q106),1,Inputs!$B$15)*Inputs!$B$16*(1+Inputs!$B$11)^(EA$2-1),0)</f>
        <v>0</v>
      </c>
      <c r="EB107" s="11" t="n">
        <f aca="false">IF(AND(EB$1&gt;=Units!$Q106,MOD(EB$1-Units!$Q106,12)=0),IF(AND(Units!$L106=1,EB$1=Units!$Q106),1,Inputs!$B$15)*Inputs!$B$16*(1+Inputs!$B$11)^(EB$2-1),0)</f>
        <v>0</v>
      </c>
      <c r="EC107" s="11" t="n">
        <f aca="false">IF(AND(EC$1&gt;=Units!$Q106,MOD(EC$1-Units!$Q106,12)=0),IF(AND(Units!$L106=1,EC$1=Units!$Q106),1,Inputs!$B$15)*Inputs!$B$16*(1+Inputs!$B$11)^(EC$2-1),0)</f>
        <v>0</v>
      </c>
      <c r="ED107" s="11" t="n">
        <f aca="false">IF(AND(ED$1&gt;=Units!$Q106,MOD(ED$1-Units!$Q106,12)=0),IF(AND(Units!$L106=1,ED$1=Units!$Q106),1,Inputs!$B$15)*Inputs!$B$16*(1+Inputs!$B$11)^(ED$2-1),0)</f>
        <v>0</v>
      </c>
    </row>
    <row r="108" customFormat="false" ht="15" hidden="false" customHeight="false" outlineLevel="0" collapsed="false">
      <c r="A108" s="22" t="n">
        <f aca="false">Units!A107</f>
        <v>416</v>
      </c>
      <c r="B108" s="23"/>
      <c r="C108" s="11" t="n">
        <f aca="false">IF(AND(C$1&gt;=Units!$Q107,MOD(C$1-Units!$Q107,12)=0),IF(AND(Units!$L107=1,C$1=Units!$Q107),1,Inputs!$B$15)*Inputs!$B$16*(1+Inputs!$B$11)^(C$2-1),0)</f>
        <v>0</v>
      </c>
      <c r="D108" s="11" t="n">
        <f aca="false">IF(AND(D$1&gt;=Units!$Q107,MOD(D$1-Units!$Q107,12)=0),IF(AND(Units!$L107=1,D$1=Units!$Q107),1,Inputs!$B$15)*Inputs!$B$16*(1+Inputs!$B$11)^(D$2-1),0)</f>
        <v>500</v>
      </c>
      <c r="E108" s="11" t="n">
        <f aca="false">IF(AND(E$1&gt;=Units!$Q107,MOD(E$1-Units!$Q107,12)=0),IF(AND(Units!$L107=1,E$1=Units!$Q107),1,Inputs!$B$15)*Inputs!$B$16*(1+Inputs!$B$11)^(E$2-1),0)</f>
        <v>0</v>
      </c>
      <c r="F108" s="11" t="n">
        <f aca="false">IF(AND(F$1&gt;=Units!$Q107,MOD(F$1-Units!$Q107,12)=0),IF(AND(Units!$L107=1,F$1=Units!$Q107),1,Inputs!$B$15)*Inputs!$B$16*(1+Inputs!$B$11)^(F$2-1),0)</f>
        <v>0</v>
      </c>
      <c r="G108" s="11" t="n">
        <f aca="false">IF(AND(G$1&gt;=Units!$Q107,MOD(G$1-Units!$Q107,12)=0),IF(AND(Units!$L107=1,G$1=Units!$Q107),1,Inputs!$B$15)*Inputs!$B$16*(1+Inputs!$B$11)^(G$2-1),0)</f>
        <v>0</v>
      </c>
      <c r="H108" s="11" t="n">
        <f aca="false">IF(AND(H$1&gt;=Units!$Q107,MOD(H$1-Units!$Q107,12)=0),IF(AND(Units!$L107=1,H$1=Units!$Q107),1,Inputs!$B$15)*Inputs!$B$16*(1+Inputs!$B$11)^(H$2-1),0)</f>
        <v>0</v>
      </c>
      <c r="I108" s="11" t="n">
        <f aca="false">IF(AND(I$1&gt;=Units!$Q107,MOD(I$1-Units!$Q107,12)=0),IF(AND(Units!$L107=1,I$1=Units!$Q107),1,Inputs!$B$15)*Inputs!$B$16*(1+Inputs!$B$11)^(I$2-1),0)</f>
        <v>0</v>
      </c>
      <c r="J108" s="11" t="n">
        <f aca="false">IF(AND(J$1&gt;=Units!$Q107,MOD(J$1-Units!$Q107,12)=0),IF(AND(Units!$L107=1,J$1=Units!$Q107),1,Inputs!$B$15)*Inputs!$B$16*(1+Inputs!$B$11)^(J$2-1),0)</f>
        <v>0</v>
      </c>
      <c r="K108" s="11" t="n">
        <f aca="false">IF(AND(K$1&gt;=Units!$Q107,MOD(K$1-Units!$Q107,12)=0),IF(AND(Units!$L107=1,K$1=Units!$Q107),1,Inputs!$B$15)*Inputs!$B$16*(1+Inputs!$B$11)^(K$2-1),0)</f>
        <v>0</v>
      </c>
      <c r="L108" s="11" t="n">
        <f aca="false">IF(AND(L$1&gt;=Units!$Q107,MOD(L$1-Units!$Q107,12)=0),IF(AND(Units!$L107=1,L$1=Units!$Q107),1,Inputs!$B$15)*Inputs!$B$16*(1+Inputs!$B$11)^(L$2-1),0)</f>
        <v>0</v>
      </c>
      <c r="M108" s="11" t="n">
        <f aca="false">IF(AND(M$1&gt;=Units!$Q107,MOD(M$1-Units!$Q107,12)=0),IF(AND(Units!$L107=1,M$1=Units!$Q107),1,Inputs!$B$15)*Inputs!$B$16*(1+Inputs!$B$11)^(M$2-1),0)</f>
        <v>0</v>
      </c>
      <c r="N108" s="11" t="n">
        <f aca="false">IF(AND(N$1&gt;=Units!$Q107,MOD(N$1-Units!$Q107,12)=0),IF(AND(Units!$L107=1,N$1=Units!$Q107),1,Inputs!$B$15)*Inputs!$B$16*(1+Inputs!$B$11)^(N$2-1),0)</f>
        <v>0</v>
      </c>
      <c r="O108" s="11" t="n">
        <f aca="false">IF(AND(O$1&gt;=Units!$Q107,MOD(O$1-Units!$Q107,12)=0),IF(AND(Units!$L107=1,O$1=Units!$Q107),1,Inputs!$B$15)*Inputs!$B$16*(1+Inputs!$B$11)^(O$2-1),0)</f>
        <v>0</v>
      </c>
      <c r="P108" s="11" t="n">
        <f aca="false">IF(AND(P$1&gt;=Units!$Q107,MOD(P$1-Units!$Q107,12)=0),IF(AND(Units!$L107=1,P$1=Units!$Q107),1,Inputs!$B$15)*Inputs!$B$16*(1+Inputs!$B$11)^(P$2-1),0)</f>
        <v>515</v>
      </c>
      <c r="Q108" s="11" t="n">
        <f aca="false">IF(AND(Q$1&gt;=Units!$Q107,MOD(Q$1-Units!$Q107,12)=0),IF(AND(Units!$L107=1,Q$1=Units!$Q107),1,Inputs!$B$15)*Inputs!$B$16*(1+Inputs!$B$11)^(Q$2-1),0)</f>
        <v>0</v>
      </c>
      <c r="R108" s="11" t="n">
        <f aca="false">IF(AND(R$1&gt;=Units!$Q107,MOD(R$1-Units!$Q107,12)=0),IF(AND(Units!$L107=1,R$1=Units!$Q107),1,Inputs!$B$15)*Inputs!$B$16*(1+Inputs!$B$11)^(R$2-1),0)</f>
        <v>0</v>
      </c>
      <c r="S108" s="11" t="n">
        <f aca="false">IF(AND(S$1&gt;=Units!$Q107,MOD(S$1-Units!$Q107,12)=0),IF(AND(Units!$L107=1,S$1=Units!$Q107),1,Inputs!$B$15)*Inputs!$B$16*(1+Inputs!$B$11)^(S$2-1),0)</f>
        <v>0</v>
      </c>
      <c r="T108" s="11" t="n">
        <f aca="false">IF(AND(T$1&gt;=Units!$Q107,MOD(T$1-Units!$Q107,12)=0),IF(AND(Units!$L107=1,T$1=Units!$Q107),1,Inputs!$B$15)*Inputs!$B$16*(1+Inputs!$B$11)^(T$2-1),0)</f>
        <v>0</v>
      </c>
      <c r="U108" s="11" t="n">
        <f aca="false">IF(AND(U$1&gt;=Units!$Q107,MOD(U$1-Units!$Q107,12)=0),IF(AND(Units!$L107=1,U$1=Units!$Q107),1,Inputs!$B$15)*Inputs!$B$16*(1+Inputs!$B$11)^(U$2-1),0)</f>
        <v>0</v>
      </c>
      <c r="V108" s="11" t="n">
        <f aca="false">IF(AND(V$1&gt;=Units!$Q107,MOD(V$1-Units!$Q107,12)=0),IF(AND(Units!$L107=1,V$1=Units!$Q107),1,Inputs!$B$15)*Inputs!$B$16*(1+Inputs!$B$11)^(V$2-1),0)</f>
        <v>0</v>
      </c>
      <c r="W108" s="11" t="n">
        <f aca="false">IF(AND(W$1&gt;=Units!$Q107,MOD(W$1-Units!$Q107,12)=0),IF(AND(Units!$L107=1,W$1=Units!$Q107),1,Inputs!$B$15)*Inputs!$B$16*(1+Inputs!$B$11)^(W$2-1),0)</f>
        <v>0</v>
      </c>
      <c r="X108" s="11" t="n">
        <f aca="false">IF(AND(X$1&gt;=Units!$Q107,MOD(X$1-Units!$Q107,12)=0),IF(AND(Units!$L107=1,X$1=Units!$Q107),1,Inputs!$B$15)*Inputs!$B$16*(1+Inputs!$B$11)^(X$2-1),0)</f>
        <v>0</v>
      </c>
      <c r="Y108" s="11" t="n">
        <f aca="false">IF(AND(Y$1&gt;=Units!$Q107,MOD(Y$1-Units!$Q107,12)=0),IF(AND(Units!$L107=1,Y$1=Units!$Q107),1,Inputs!$B$15)*Inputs!$B$16*(1+Inputs!$B$11)^(Y$2-1),0)</f>
        <v>0</v>
      </c>
      <c r="Z108" s="11" t="n">
        <f aca="false">IF(AND(Z$1&gt;=Units!$Q107,MOD(Z$1-Units!$Q107,12)=0),IF(AND(Units!$L107=1,Z$1=Units!$Q107),1,Inputs!$B$15)*Inputs!$B$16*(1+Inputs!$B$11)^(Z$2-1),0)</f>
        <v>0</v>
      </c>
      <c r="AA108" s="11" t="n">
        <f aca="false">IF(AND(AA$1&gt;=Units!$Q107,MOD(AA$1-Units!$Q107,12)=0),IF(AND(Units!$L107=1,AA$1=Units!$Q107),1,Inputs!$B$15)*Inputs!$B$16*(1+Inputs!$B$11)^(AA$2-1),0)</f>
        <v>0</v>
      </c>
      <c r="AB108" s="11" t="n">
        <f aca="false">IF(AND(AB$1&gt;=Units!$Q107,MOD(AB$1-Units!$Q107,12)=0),IF(AND(Units!$L107=1,AB$1=Units!$Q107),1,Inputs!$B$15)*Inputs!$B$16*(1+Inputs!$B$11)^(AB$2-1),0)</f>
        <v>530.45</v>
      </c>
      <c r="AC108" s="11" t="n">
        <f aca="false">IF(AND(AC$1&gt;=Units!$Q107,MOD(AC$1-Units!$Q107,12)=0),IF(AND(Units!$L107=1,AC$1=Units!$Q107),1,Inputs!$B$15)*Inputs!$B$16*(1+Inputs!$B$11)^(AC$2-1),0)</f>
        <v>0</v>
      </c>
      <c r="AD108" s="11" t="n">
        <f aca="false">IF(AND(AD$1&gt;=Units!$Q107,MOD(AD$1-Units!$Q107,12)=0),IF(AND(Units!$L107=1,AD$1=Units!$Q107),1,Inputs!$B$15)*Inputs!$B$16*(1+Inputs!$B$11)^(AD$2-1),0)</f>
        <v>0</v>
      </c>
      <c r="AE108" s="11" t="n">
        <f aca="false">IF(AND(AE$1&gt;=Units!$Q107,MOD(AE$1-Units!$Q107,12)=0),IF(AND(Units!$L107=1,AE$1=Units!$Q107),1,Inputs!$B$15)*Inputs!$B$16*(1+Inputs!$B$11)^(AE$2-1),0)</f>
        <v>0</v>
      </c>
      <c r="AF108" s="11" t="n">
        <f aca="false">IF(AND(AF$1&gt;=Units!$Q107,MOD(AF$1-Units!$Q107,12)=0),IF(AND(Units!$L107=1,AF$1=Units!$Q107),1,Inputs!$B$15)*Inputs!$B$16*(1+Inputs!$B$11)^(AF$2-1),0)</f>
        <v>0</v>
      </c>
      <c r="AG108" s="11" t="n">
        <f aca="false">IF(AND(AG$1&gt;=Units!$Q107,MOD(AG$1-Units!$Q107,12)=0),IF(AND(Units!$L107=1,AG$1=Units!$Q107),1,Inputs!$B$15)*Inputs!$B$16*(1+Inputs!$B$11)^(AG$2-1),0)</f>
        <v>0</v>
      </c>
      <c r="AH108" s="11" t="n">
        <f aca="false">IF(AND(AH$1&gt;=Units!$Q107,MOD(AH$1-Units!$Q107,12)=0),IF(AND(Units!$L107=1,AH$1=Units!$Q107),1,Inputs!$B$15)*Inputs!$B$16*(1+Inputs!$B$11)^(AH$2-1),0)</f>
        <v>0</v>
      </c>
      <c r="AI108" s="11" t="n">
        <f aca="false">IF(AND(AI$1&gt;=Units!$Q107,MOD(AI$1-Units!$Q107,12)=0),IF(AND(Units!$L107=1,AI$1=Units!$Q107),1,Inputs!$B$15)*Inputs!$B$16*(1+Inputs!$B$11)^(AI$2-1),0)</f>
        <v>0</v>
      </c>
      <c r="AJ108" s="11" t="n">
        <f aca="false">IF(AND(AJ$1&gt;=Units!$Q107,MOD(AJ$1-Units!$Q107,12)=0),IF(AND(Units!$L107=1,AJ$1=Units!$Q107),1,Inputs!$B$15)*Inputs!$B$16*(1+Inputs!$B$11)^(AJ$2-1),0)</f>
        <v>0</v>
      </c>
      <c r="AK108" s="11" t="n">
        <f aca="false">IF(AND(AK$1&gt;=Units!$Q107,MOD(AK$1-Units!$Q107,12)=0),IF(AND(Units!$L107=1,AK$1=Units!$Q107),1,Inputs!$B$15)*Inputs!$B$16*(1+Inputs!$B$11)^(AK$2-1),0)</f>
        <v>0</v>
      </c>
      <c r="AL108" s="11" t="n">
        <f aca="false">IF(AND(AL$1&gt;=Units!$Q107,MOD(AL$1-Units!$Q107,12)=0),IF(AND(Units!$L107=1,AL$1=Units!$Q107),1,Inputs!$B$15)*Inputs!$B$16*(1+Inputs!$B$11)^(AL$2-1),0)</f>
        <v>0</v>
      </c>
      <c r="AM108" s="11" t="n">
        <f aca="false">IF(AND(AM$1&gt;=Units!$Q107,MOD(AM$1-Units!$Q107,12)=0),IF(AND(Units!$L107=1,AM$1=Units!$Q107),1,Inputs!$B$15)*Inputs!$B$16*(1+Inputs!$B$11)^(AM$2-1),0)</f>
        <v>0</v>
      </c>
      <c r="AN108" s="11" t="n">
        <f aca="false">IF(AND(AN$1&gt;=Units!$Q107,MOD(AN$1-Units!$Q107,12)=0),IF(AND(Units!$L107=1,AN$1=Units!$Q107),1,Inputs!$B$15)*Inputs!$B$16*(1+Inputs!$B$11)^(AN$2-1),0)</f>
        <v>546.3635</v>
      </c>
      <c r="AO108" s="11" t="n">
        <f aca="false">IF(AND(AO$1&gt;=Units!$Q107,MOD(AO$1-Units!$Q107,12)=0),IF(AND(Units!$L107=1,AO$1=Units!$Q107),1,Inputs!$B$15)*Inputs!$B$16*(1+Inputs!$B$11)^(AO$2-1),0)</f>
        <v>0</v>
      </c>
      <c r="AP108" s="11" t="n">
        <f aca="false">IF(AND(AP$1&gt;=Units!$Q107,MOD(AP$1-Units!$Q107,12)=0),IF(AND(Units!$L107=1,AP$1=Units!$Q107),1,Inputs!$B$15)*Inputs!$B$16*(1+Inputs!$B$11)^(AP$2-1),0)</f>
        <v>0</v>
      </c>
      <c r="AQ108" s="11" t="n">
        <f aca="false">IF(AND(AQ$1&gt;=Units!$Q107,MOD(AQ$1-Units!$Q107,12)=0),IF(AND(Units!$L107=1,AQ$1=Units!$Q107),1,Inputs!$B$15)*Inputs!$B$16*(1+Inputs!$B$11)^(AQ$2-1),0)</f>
        <v>0</v>
      </c>
      <c r="AR108" s="11" t="n">
        <f aca="false">IF(AND(AR$1&gt;=Units!$Q107,MOD(AR$1-Units!$Q107,12)=0),IF(AND(Units!$L107=1,AR$1=Units!$Q107),1,Inputs!$B$15)*Inputs!$B$16*(1+Inputs!$B$11)^(AR$2-1),0)</f>
        <v>0</v>
      </c>
      <c r="AS108" s="11" t="n">
        <f aca="false">IF(AND(AS$1&gt;=Units!$Q107,MOD(AS$1-Units!$Q107,12)=0),IF(AND(Units!$L107=1,AS$1=Units!$Q107),1,Inputs!$B$15)*Inputs!$B$16*(1+Inputs!$B$11)^(AS$2-1),0)</f>
        <v>0</v>
      </c>
      <c r="AT108" s="11" t="n">
        <f aca="false">IF(AND(AT$1&gt;=Units!$Q107,MOD(AT$1-Units!$Q107,12)=0),IF(AND(Units!$L107=1,AT$1=Units!$Q107),1,Inputs!$B$15)*Inputs!$B$16*(1+Inputs!$B$11)^(AT$2-1),0)</f>
        <v>0</v>
      </c>
      <c r="AU108" s="11" t="n">
        <f aca="false">IF(AND(AU$1&gt;=Units!$Q107,MOD(AU$1-Units!$Q107,12)=0),IF(AND(Units!$L107=1,AU$1=Units!$Q107),1,Inputs!$B$15)*Inputs!$B$16*(1+Inputs!$B$11)^(AU$2-1),0)</f>
        <v>0</v>
      </c>
      <c r="AV108" s="11" t="n">
        <f aca="false">IF(AND(AV$1&gt;=Units!$Q107,MOD(AV$1-Units!$Q107,12)=0),IF(AND(Units!$L107=1,AV$1=Units!$Q107),1,Inputs!$B$15)*Inputs!$B$16*(1+Inputs!$B$11)^(AV$2-1),0)</f>
        <v>0</v>
      </c>
      <c r="AW108" s="11" t="n">
        <f aca="false">IF(AND(AW$1&gt;=Units!$Q107,MOD(AW$1-Units!$Q107,12)=0),IF(AND(Units!$L107=1,AW$1=Units!$Q107),1,Inputs!$B$15)*Inputs!$B$16*(1+Inputs!$B$11)^(AW$2-1),0)</f>
        <v>0</v>
      </c>
      <c r="AX108" s="11" t="n">
        <f aca="false">IF(AND(AX$1&gt;=Units!$Q107,MOD(AX$1-Units!$Q107,12)=0),IF(AND(Units!$L107=1,AX$1=Units!$Q107),1,Inputs!$B$15)*Inputs!$B$16*(1+Inputs!$B$11)^(AX$2-1),0)</f>
        <v>0</v>
      </c>
      <c r="AY108" s="11" t="n">
        <f aca="false">IF(AND(AY$1&gt;=Units!$Q107,MOD(AY$1-Units!$Q107,12)=0),IF(AND(Units!$L107=1,AY$1=Units!$Q107),1,Inputs!$B$15)*Inputs!$B$16*(1+Inputs!$B$11)^(AY$2-1),0)</f>
        <v>0</v>
      </c>
      <c r="AZ108" s="11" t="n">
        <f aca="false">IF(AND(AZ$1&gt;=Units!$Q107,MOD(AZ$1-Units!$Q107,12)=0),IF(AND(Units!$L107=1,AZ$1=Units!$Q107),1,Inputs!$B$15)*Inputs!$B$16*(1+Inputs!$B$11)^(AZ$2-1),0)</f>
        <v>562.754405</v>
      </c>
      <c r="BA108" s="11" t="n">
        <f aca="false">IF(AND(BA$1&gt;=Units!$Q107,MOD(BA$1-Units!$Q107,12)=0),IF(AND(Units!$L107=1,BA$1=Units!$Q107),1,Inputs!$B$15)*Inputs!$B$16*(1+Inputs!$B$11)^(BA$2-1),0)</f>
        <v>0</v>
      </c>
      <c r="BB108" s="11" t="n">
        <f aca="false">IF(AND(BB$1&gt;=Units!$Q107,MOD(BB$1-Units!$Q107,12)=0),IF(AND(Units!$L107=1,BB$1=Units!$Q107),1,Inputs!$B$15)*Inputs!$B$16*(1+Inputs!$B$11)^(BB$2-1),0)</f>
        <v>0</v>
      </c>
      <c r="BC108" s="11" t="n">
        <f aca="false">IF(AND(BC$1&gt;=Units!$Q107,MOD(BC$1-Units!$Q107,12)=0),IF(AND(Units!$L107=1,BC$1=Units!$Q107),1,Inputs!$B$15)*Inputs!$B$16*(1+Inputs!$B$11)^(BC$2-1),0)</f>
        <v>0</v>
      </c>
      <c r="BD108" s="11" t="n">
        <f aca="false">IF(AND(BD$1&gt;=Units!$Q107,MOD(BD$1-Units!$Q107,12)=0),IF(AND(Units!$L107=1,BD$1=Units!$Q107),1,Inputs!$B$15)*Inputs!$B$16*(1+Inputs!$B$11)^(BD$2-1),0)</f>
        <v>0</v>
      </c>
      <c r="BE108" s="11" t="n">
        <f aca="false">IF(AND(BE$1&gt;=Units!$Q107,MOD(BE$1-Units!$Q107,12)=0),IF(AND(Units!$L107=1,BE$1=Units!$Q107),1,Inputs!$B$15)*Inputs!$B$16*(1+Inputs!$B$11)^(BE$2-1),0)</f>
        <v>0</v>
      </c>
      <c r="BF108" s="11" t="n">
        <f aca="false">IF(AND(BF$1&gt;=Units!$Q107,MOD(BF$1-Units!$Q107,12)=0),IF(AND(Units!$L107=1,BF$1=Units!$Q107),1,Inputs!$B$15)*Inputs!$B$16*(1+Inputs!$B$11)^(BF$2-1),0)</f>
        <v>0</v>
      </c>
      <c r="BG108" s="11" t="n">
        <f aca="false">IF(AND(BG$1&gt;=Units!$Q107,MOD(BG$1-Units!$Q107,12)=0),IF(AND(Units!$L107=1,BG$1=Units!$Q107),1,Inputs!$B$15)*Inputs!$B$16*(1+Inputs!$B$11)^(BG$2-1),0)</f>
        <v>0</v>
      </c>
      <c r="BH108" s="11" t="n">
        <f aca="false">IF(AND(BH$1&gt;=Units!$Q107,MOD(BH$1-Units!$Q107,12)=0),IF(AND(Units!$L107=1,BH$1=Units!$Q107),1,Inputs!$B$15)*Inputs!$B$16*(1+Inputs!$B$11)^(BH$2-1),0)</f>
        <v>0</v>
      </c>
      <c r="BI108" s="11" t="n">
        <f aca="false">IF(AND(BI$1&gt;=Units!$Q107,MOD(BI$1-Units!$Q107,12)=0),IF(AND(Units!$L107=1,BI$1=Units!$Q107),1,Inputs!$B$15)*Inputs!$B$16*(1+Inputs!$B$11)^(BI$2-1),0)</f>
        <v>0</v>
      </c>
      <c r="BJ108" s="11" t="n">
        <f aca="false">IF(AND(BJ$1&gt;=Units!$Q107,MOD(BJ$1-Units!$Q107,12)=0),IF(AND(Units!$L107=1,BJ$1=Units!$Q107),1,Inputs!$B$15)*Inputs!$B$16*(1+Inputs!$B$11)^(BJ$2-1),0)</f>
        <v>0</v>
      </c>
      <c r="BK108" s="11" t="n">
        <f aca="false">IF(AND(BK$1&gt;=Units!$Q107,MOD(BK$1-Units!$Q107,12)=0),IF(AND(Units!$L107=1,BK$1=Units!$Q107),1,Inputs!$B$15)*Inputs!$B$16*(1+Inputs!$B$11)^(BK$2-1),0)</f>
        <v>0</v>
      </c>
      <c r="BL108" s="11" t="n">
        <f aca="false">IF(AND(BL$1&gt;=Units!$Q107,MOD(BL$1-Units!$Q107,12)=0),IF(AND(Units!$L107=1,BL$1=Units!$Q107),1,Inputs!$B$15)*Inputs!$B$16*(1+Inputs!$B$11)^(BL$2-1),0)</f>
        <v>579.63703715</v>
      </c>
      <c r="BM108" s="11" t="n">
        <f aca="false">IF(AND(BM$1&gt;=Units!$Q107,MOD(BM$1-Units!$Q107,12)=0),IF(AND(Units!$L107=1,BM$1=Units!$Q107),1,Inputs!$B$15)*Inputs!$B$16*(1+Inputs!$B$11)^(BM$2-1),0)</f>
        <v>0</v>
      </c>
      <c r="BN108" s="11" t="n">
        <f aca="false">IF(AND(BN$1&gt;=Units!$Q107,MOD(BN$1-Units!$Q107,12)=0),IF(AND(Units!$L107=1,BN$1=Units!$Q107),1,Inputs!$B$15)*Inputs!$B$16*(1+Inputs!$B$11)^(BN$2-1),0)</f>
        <v>0</v>
      </c>
      <c r="BO108" s="11" t="n">
        <f aca="false">IF(AND(BO$1&gt;=Units!$Q107,MOD(BO$1-Units!$Q107,12)=0),IF(AND(Units!$L107=1,BO$1=Units!$Q107),1,Inputs!$B$15)*Inputs!$B$16*(1+Inputs!$B$11)^(BO$2-1),0)</f>
        <v>0</v>
      </c>
      <c r="BP108" s="11" t="n">
        <f aca="false">IF(AND(BP$1&gt;=Units!$Q107,MOD(BP$1-Units!$Q107,12)=0),IF(AND(Units!$L107=1,BP$1=Units!$Q107),1,Inputs!$B$15)*Inputs!$B$16*(1+Inputs!$B$11)^(BP$2-1),0)</f>
        <v>0</v>
      </c>
      <c r="BQ108" s="11" t="n">
        <f aca="false">IF(AND(BQ$1&gt;=Units!$Q107,MOD(BQ$1-Units!$Q107,12)=0),IF(AND(Units!$L107=1,BQ$1=Units!$Q107),1,Inputs!$B$15)*Inputs!$B$16*(1+Inputs!$B$11)^(BQ$2-1),0)</f>
        <v>0</v>
      </c>
      <c r="BR108" s="11" t="n">
        <f aca="false">IF(AND(BR$1&gt;=Units!$Q107,MOD(BR$1-Units!$Q107,12)=0),IF(AND(Units!$L107=1,BR$1=Units!$Q107),1,Inputs!$B$15)*Inputs!$B$16*(1+Inputs!$B$11)^(BR$2-1),0)</f>
        <v>0</v>
      </c>
      <c r="BS108" s="11" t="n">
        <f aca="false">IF(AND(BS$1&gt;=Units!$Q107,MOD(BS$1-Units!$Q107,12)=0),IF(AND(Units!$L107=1,BS$1=Units!$Q107),1,Inputs!$B$15)*Inputs!$B$16*(1+Inputs!$B$11)^(BS$2-1),0)</f>
        <v>0</v>
      </c>
      <c r="BT108" s="11" t="n">
        <f aca="false">IF(AND(BT$1&gt;=Units!$Q107,MOD(BT$1-Units!$Q107,12)=0),IF(AND(Units!$L107=1,BT$1=Units!$Q107),1,Inputs!$B$15)*Inputs!$B$16*(1+Inputs!$B$11)^(BT$2-1),0)</f>
        <v>0</v>
      </c>
      <c r="BU108" s="11" t="n">
        <f aca="false">IF(AND(BU$1&gt;=Units!$Q107,MOD(BU$1-Units!$Q107,12)=0),IF(AND(Units!$L107=1,BU$1=Units!$Q107),1,Inputs!$B$15)*Inputs!$B$16*(1+Inputs!$B$11)^(BU$2-1),0)</f>
        <v>0</v>
      </c>
      <c r="BV108" s="11" t="n">
        <f aca="false">IF(AND(BV$1&gt;=Units!$Q107,MOD(BV$1-Units!$Q107,12)=0),IF(AND(Units!$L107=1,BV$1=Units!$Q107),1,Inputs!$B$15)*Inputs!$B$16*(1+Inputs!$B$11)^(BV$2-1),0)</f>
        <v>0</v>
      </c>
      <c r="BW108" s="11" t="n">
        <f aca="false">IF(AND(BW$1&gt;=Units!$Q107,MOD(BW$1-Units!$Q107,12)=0),IF(AND(Units!$L107=1,BW$1=Units!$Q107),1,Inputs!$B$15)*Inputs!$B$16*(1+Inputs!$B$11)^(BW$2-1),0)</f>
        <v>0</v>
      </c>
      <c r="BX108" s="11" t="n">
        <f aca="false">IF(AND(BX$1&gt;=Units!$Q107,MOD(BX$1-Units!$Q107,12)=0),IF(AND(Units!$L107=1,BX$1=Units!$Q107),1,Inputs!$B$15)*Inputs!$B$16*(1+Inputs!$B$11)^(BX$2-1),0)</f>
        <v>597.0261482645</v>
      </c>
      <c r="BY108" s="11" t="n">
        <f aca="false">IF(AND(BY$1&gt;=Units!$Q107,MOD(BY$1-Units!$Q107,12)=0),IF(AND(Units!$L107=1,BY$1=Units!$Q107),1,Inputs!$B$15)*Inputs!$B$16*(1+Inputs!$B$11)^(BY$2-1),0)</f>
        <v>0</v>
      </c>
      <c r="BZ108" s="11" t="n">
        <f aca="false">IF(AND(BZ$1&gt;=Units!$Q107,MOD(BZ$1-Units!$Q107,12)=0),IF(AND(Units!$L107=1,BZ$1=Units!$Q107),1,Inputs!$B$15)*Inputs!$B$16*(1+Inputs!$B$11)^(BZ$2-1),0)</f>
        <v>0</v>
      </c>
      <c r="CA108" s="11" t="n">
        <f aca="false">IF(AND(CA$1&gt;=Units!$Q107,MOD(CA$1-Units!$Q107,12)=0),IF(AND(Units!$L107=1,CA$1=Units!$Q107),1,Inputs!$B$15)*Inputs!$B$16*(1+Inputs!$B$11)^(CA$2-1),0)</f>
        <v>0</v>
      </c>
      <c r="CB108" s="11" t="n">
        <f aca="false">IF(AND(CB$1&gt;=Units!$Q107,MOD(CB$1-Units!$Q107,12)=0),IF(AND(Units!$L107=1,CB$1=Units!$Q107),1,Inputs!$B$15)*Inputs!$B$16*(1+Inputs!$B$11)^(CB$2-1),0)</f>
        <v>0</v>
      </c>
      <c r="CC108" s="11" t="n">
        <f aca="false">IF(AND(CC$1&gt;=Units!$Q107,MOD(CC$1-Units!$Q107,12)=0),IF(AND(Units!$L107=1,CC$1=Units!$Q107),1,Inputs!$B$15)*Inputs!$B$16*(1+Inputs!$B$11)^(CC$2-1),0)</f>
        <v>0</v>
      </c>
      <c r="CD108" s="11" t="n">
        <f aca="false">IF(AND(CD$1&gt;=Units!$Q107,MOD(CD$1-Units!$Q107,12)=0),IF(AND(Units!$L107=1,CD$1=Units!$Q107),1,Inputs!$B$15)*Inputs!$B$16*(1+Inputs!$B$11)^(CD$2-1),0)</f>
        <v>0</v>
      </c>
      <c r="CE108" s="11" t="n">
        <f aca="false">IF(AND(CE$1&gt;=Units!$Q107,MOD(CE$1-Units!$Q107,12)=0),IF(AND(Units!$L107=1,CE$1=Units!$Q107),1,Inputs!$B$15)*Inputs!$B$16*(1+Inputs!$B$11)^(CE$2-1),0)</f>
        <v>0</v>
      </c>
      <c r="CF108" s="11" t="n">
        <f aca="false">IF(AND(CF$1&gt;=Units!$Q107,MOD(CF$1-Units!$Q107,12)=0),IF(AND(Units!$L107=1,CF$1=Units!$Q107),1,Inputs!$B$15)*Inputs!$B$16*(1+Inputs!$B$11)^(CF$2-1),0)</f>
        <v>0</v>
      </c>
      <c r="CG108" s="11" t="n">
        <f aca="false">IF(AND(CG$1&gt;=Units!$Q107,MOD(CG$1-Units!$Q107,12)=0),IF(AND(Units!$L107=1,CG$1=Units!$Q107),1,Inputs!$B$15)*Inputs!$B$16*(1+Inputs!$B$11)^(CG$2-1),0)</f>
        <v>0</v>
      </c>
      <c r="CH108" s="11" t="n">
        <f aca="false">IF(AND(CH$1&gt;=Units!$Q107,MOD(CH$1-Units!$Q107,12)=0),IF(AND(Units!$L107=1,CH$1=Units!$Q107),1,Inputs!$B$15)*Inputs!$B$16*(1+Inputs!$B$11)^(CH$2-1),0)</f>
        <v>0</v>
      </c>
      <c r="CI108" s="11" t="n">
        <f aca="false">IF(AND(CI$1&gt;=Units!$Q107,MOD(CI$1-Units!$Q107,12)=0),IF(AND(Units!$L107=1,CI$1=Units!$Q107),1,Inputs!$B$15)*Inputs!$B$16*(1+Inputs!$B$11)^(CI$2-1),0)</f>
        <v>0</v>
      </c>
      <c r="CJ108" s="11" t="n">
        <f aca="false">IF(AND(CJ$1&gt;=Units!$Q107,MOD(CJ$1-Units!$Q107,12)=0),IF(AND(Units!$L107=1,CJ$1=Units!$Q107),1,Inputs!$B$15)*Inputs!$B$16*(1+Inputs!$B$11)^(CJ$2-1),0)</f>
        <v>614.936932712435</v>
      </c>
      <c r="CK108" s="11" t="n">
        <f aca="false">IF(AND(CK$1&gt;=Units!$Q107,MOD(CK$1-Units!$Q107,12)=0),IF(AND(Units!$L107=1,CK$1=Units!$Q107),1,Inputs!$B$15)*Inputs!$B$16*(1+Inputs!$B$11)^(CK$2-1),0)</f>
        <v>0</v>
      </c>
      <c r="CL108" s="11" t="n">
        <f aca="false">IF(AND(CL$1&gt;=Units!$Q107,MOD(CL$1-Units!$Q107,12)=0),IF(AND(Units!$L107=1,CL$1=Units!$Q107),1,Inputs!$B$15)*Inputs!$B$16*(1+Inputs!$B$11)^(CL$2-1),0)</f>
        <v>0</v>
      </c>
      <c r="CM108" s="11" t="n">
        <f aca="false">IF(AND(CM$1&gt;=Units!$Q107,MOD(CM$1-Units!$Q107,12)=0),IF(AND(Units!$L107=1,CM$1=Units!$Q107),1,Inputs!$B$15)*Inputs!$B$16*(1+Inputs!$B$11)^(CM$2-1),0)</f>
        <v>0</v>
      </c>
      <c r="CN108" s="11" t="n">
        <f aca="false">IF(AND(CN$1&gt;=Units!$Q107,MOD(CN$1-Units!$Q107,12)=0),IF(AND(Units!$L107=1,CN$1=Units!$Q107),1,Inputs!$B$15)*Inputs!$B$16*(1+Inputs!$B$11)^(CN$2-1),0)</f>
        <v>0</v>
      </c>
      <c r="CO108" s="11" t="n">
        <f aca="false">IF(AND(CO$1&gt;=Units!$Q107,MOD(CO$1-Units!$Q107,12)=0),IF(AND(Units!$L107=1,CO$1=Units!$Q107),1,Inputs!$B$15)*Inputs!$B$16*(1+Inputs!$B$11)^(CO$2-1),0)</f>
        <v>0</v>
      </c>
      <c r="CP108" s="11" t="n">
        <f aca="false">IF(AND(CP$1&gt;=Units!$Q107,MOD(CP$1-Units!$Q107,12)=0),IF(AND(Units!$L107=1,CP$1=Units!$Q107),1,Inputs!$B$15)*Inputs!$B$16*(1+Inputs!$B$11)^(CP$2-1),0)</f>
        <v>0</v>
      </c>
      <c r="CQ108" s="11" t="n">
        <f aca="false">IF(AND(CQ$1&gt;=Units!$Q107,MOD(CQ$1-Units!$Q107,12)=0),IF(AND(Units!$L107=1,CQ$1=Units!$Q107),1,Inputs!$B$15)*Inputs!$B$16*(1+Inputs!$B$11)^(CQ$2-1),0)</f>
        <v>0</v>
      </c>
      <c r="CR108" s="11" t="n">
        <f aca="false">IF(AND(CR$1&gt;=Units!$Q107,MOD(CR$1-Units!$Q107,12)=0),IF(AND(Units!$L107=1,CR$1=Units!$Q107),1,Inputs!$B$15)*Inputs!$B$16*(1+Inputs!$B$11)^(CR$2-1),0)</f>
        <v>0</v>
      </c>
      <c r="CS108" s="11" t="n">
        <f aca="false">IF(AND(CS$1&gt;=Units!$Q107,MOD(CS$1-Units!$Q107,12)=0),IF(AND(Units!$L107=1,CS$1=Units!$Q107),1,Inputs!$B$15)*Inputs!$B$16*(1+Inputs!$B$11)^(CS$2-1),0)</f>
        <v>0</v>
      </c>
      <c r="CT108" s="11" t="n">
        <f aca="false">IF(AND(CT$1&gt;=Units!$Q107,MOD(CT$1-Units!$Q107,12)=0),IF(AND(Units!$L107=1,CT$1=Units!$Q107),1,Inputs!$B$15)*Inputs!$B$16*(1+Inputs!$B$11)^(CT$2-1),0)</f>
        <v>0</v>
      </c>
      <c r="CU108" s="11" t="n">
        <f aca="false">IF(AND(CU$1&gt;=Units!$Q107,MOD(CU$1-Units!$Q107,12)=0),IF(AND(Units!$L107=1,CU$1=Units!$Q107),1,Inputs!$B$15)*Inputs!$B$16*(1+Inputs!$B$11)^(CU$2-1),0)</f>
        <v>0</v>
      </c>
      <c r="CV108" s="11" t="n">
        <f aca="false">IF(AND(CV$1&gt;=Units!$Q107,MOD(CV$1-Units!$Q107,12)=0),IF(AND(Units!$L107=1,CV$1=Units!$Q107),1,Inputs!$B$15)*Inputs!$B$16*(1+Inputs!$B$11)^(CV$2-1),0)</f>
        <v>633.385040693808</v>
      </c>
      <c r="CW108" s="11" t="n">
        <f aca="false">IF(AND(CW$1&gt;=Units!$Q107,MOD(CW$1-Units!$Q107,12)=0),IF(AND(Units!$L107=1,CW$1=Units!$Q107),1,Inputs!$B$15)*Inputs!$B$16*(1+Inputs!$B$11)^(CW$2-1),0)</f>
        <v>0</v>
      </c>
      <c r="CX108" s="11" t="n">
        <f aca="false">IF(AND(CX$1&gt;=Units!$Q107,MOD(CX$1-Units!$Q107,12)=0),IF(AND(Units!$L107=1,CX$1=Units!$Q107),1,Inputs!$B$15)*Inputs!$B$16*(1+Inputs!$B$11)^(CX$2-1),0)</f>
        <v>0</v>
      </c>
      <c r="CY108" s="11" t="n">
        <f aca="false">IF(AND(CY$1&gt;=Units!$Q107,MOD(CY$1-Units!$Q107,12)=0),IF(AND(Units!$L107=1,CY$1=Units!$Q107),1,Inputs!$B$15)*Inputs!$B$16*(1+Inputs!$B$11)^(CY$2-1),0)</f>
        <v>0</v>
      </c>
      <c r="CZ108" s="11" t="n">
        <f aca="false">IF(AND(CZ$1&gt;=Units!$Q107,MOD(CZ$1-Units!$Q107,12)=0),IF(AND(Units!$L107=1,CZ$1=Units!$Q107),1,Inputs!$B$15)*Inputs!$B$16*(1+Inputs!$B$11)^(CZ$2-1),0)</f>
        <v>0</v>
      </c>
      <c r="DA108" s="11" t="n">
        <f aca="false">IF(AND(DA$1&gt;=Units!$Q107,MOD(DA$1-Units!$Q107,12)=0),IF(AND(Units!$L107=1,DA$1=Units!$Q107),1,Inputs!$B$15)*Inputs!$B$16*(1+Inputs!$B$11)^(DA$2-1),0)</f>
        <v>0</v>
      </c>
      <c r="DB108" s="11" t="n">
        <f aca="false">IF(AND(DB$1&gt;=Units!$Q107,MOD(DB$1-Units!$Q107,12)=0),IF(AND(Units!$L107=1,DB$1=Units!$Q107),1,Inputs!$B$15)*Inputs!$B$16*(1+Inputs!$B$11)^(DB$2-1),0)</f>
        <v>0</v>
      </c>
      <c r="DC108" s="11" t="n">
        <f aca="false">IF(AND(DC$1&gt;=Units!$Q107,MOD(DC$1-Units!$Q107,12)=0),IF(AND(Units!$L107=1,DC$1=Units!$Q107),1,Inputs!$B$15)*Inputs!$B$16*(1+Inputs!$B$11)^(DC$2-1),0)</f>
        <v>0</v>
      </c>
      <c r="DD108" s="11" t="n">
        <f aca="false">IF(AND(DD$1&gt;=Units!$Q107,MOD(DD$1-Units!$Q107,12)=0),IF(AND(Units!$L107=1,DD$1=Units!$Q107),1,Inputs!$B$15)*Inputs!$B$16*(1+Inputs!$B$11)^(DD$2-1),0)</f>
        <v>0</v>
      </c>
      <c r="DE108" s="11" t="n">
        <f aca="false">IF(AND(DE$1&gt;=Units!$Q107,MOD(DE$1-Units!$Q107,12)=0),IF(AND(Units!$L107=1,DE$1=Units!$Q107),1,Inputs!$B$15)*Inputs!$B$16*(1+Inputs!$B$11)^(DE$2-1),0)</f>
        <v>0</v>
      </c>
      <c r="DF108" s="11" t="n">
        <f aca="false">IF(AND(DF$1&gt;=Units!$Q107,MOD(DF$1-Units!$Q107,12)=0),IF(AND(Units!$L107=1,DF$1=Units!$Q107),1,Inputs!$B$15)*Inputs!$B$16*(1+Inputs!$B$11)^(DF$2-1),0)</f>
        <v>0</v>
      </c>
      <c r="DG108" s="11" t="n">
        <f aca="false">IF(AND(DG$1&gt;=Units!$Q107,MOD(DG$1-Units!$Q107,12)=0),IF(AND(Units!$L107=1,DG$1=Units!$Q107),1,Inputs!$B$15)*Inputs!$B$16*(1+Inputs!$B$11)^(DG$2-1),0)</f>
        <v>0</v>
      </c>
      <c r="DH108" s="11" t="n">
        <f aca="false">IF(AND(DH$1&gt;=Units!$Q107,MOD(DH$1-Units!$Q107,12)=0),IF(AND(Units!$L107=1,DH$1=Units!$Q107),1,Inputs!$B$15)*Inputs!$B$16*(1+Inputs!$B$11)^(DH$2-1),0)</f>
        <v>652.386591914623</v>
      </c>
      <c r="DI108" s="11" t="n">
        <f aca="false">IF(AND(DI$1&gt;=Units!$Q107,MOD(DI$1-Units!$Q107,12)=0),IF(AND(Units!$L107=1,DI$1=Units!$Q107),1,Inputs!$B$15)*Inputs!$B$16*(1+Inputs!$B$11)^(DI$2-1),0)</f>
        <v>0</v>
      </c>
      <c r="DJ108" s="11" t="n">
        <f aca="false">IF(AND(DJ$1&gt;=Units!$Q107,MOD(DJ$1-Units!$Q107,12)=0),IF(AND(Units!$L107=1,DJ$1=Units!$Q107),1,Inputs!$B$15)*Inputs!$B$16*(1+Inputs!$B$11)^(DJ$2-1),0)</f>
        <v>0</v>
      </c>
      <c r="DK108" s="11" t="n">
        <f aca="false">IF(AND(DK$1&gt;=Units!$Q107,MOD(DK$1-Units!$Q107,12)=0),IF(AND(Units!$L107=1,DK$1=Units!$Q107),1,Inputs!$B$15)*Inputs!$B$16*(1+Inputs!$B$11)^(DK$2-1),0)</f>
        <v>0</v>
      </c>
      <c r="DL108" s="11" t="n">
        <f aca="false">IF(AND(DL$1&gt;=Units!$Q107,MOD(DL$1-Units!$Q107,12)=0),IF(AND(Units!$L107=1,DL$1=Units!$Q107),1,Inputs!$B$15)*Inputs!$B$16*(1+Inputs!$B$11)^(DL$2-1),0)</f>
        <v>0</v>
      </c>
      <c r="DM108" s="11" t="n">
        <f aca="false">IF(AND(DM$1&gt;=Units!$Q107,MOD(DM$1-Units!$Q107,12)=0),IF(AND(Units!$L107=1,DM$1=Units!$Q107),1,Inputs!$B$15)*Inputs!$B$16*(1+Inputs!$B$11)^(DM$2-1),0)</f>
        <v>0</v>
      </c>
      <c r="DN108" s="11" t="n">
        <f aca="false">IF(AND(DN$1&gt;=Units!$Q107,MOD(DN$1-Units!$Q107,12)=0),IF(AND(Units!$L107=1,DN$1=Units!$Q107),1,Inputs!$B$15)*Inputs!$B$16*(1+Inputs!$B$11)^(DN$2-1),0)</f>
        <v>0</v>
      </c>
      <c r="DO108" s="11" t="n">
        <f aca="false">IF(AND(DO$1&gt;=Units!$Q107,MOD(DO$1-Units!$Q107,12)=0),IF(AND(Units!$L107=1,DO$1=Units!$Q107),1,Inputs!$B$15)*Inputs!$B$16*(1+Inputs!$B$11)^(DO$2-1),0)</f>
        <v>0</v>
      </c>
      <c r="DP108" s="11" t="n">
        <f aca="false">IF(AND(DP$1&gt;=Units!$Q107,MOD(DP$1-Units!$Q107,12)=0),IF(AND(Units!$L107=1,DP$1=Units!$Q107),1,Inputs!$B$15)*Inputs!$B$16*(1+Inputs!$B$11)^(DP$2-1),0)</f>
        <v>0</v>
      </c>
      <c r="DQ108" s="11" t="n">
        <f aca="false">IF(AND(DQ$1&gt;=Units!$Q107,MOD(DQ$1-Units!$Q107,12)=0),IF(AND(Units!$L107=1,DQ$1=Units!$Q107),1,Inputs!$B$15)*Inputs!$B$16*(1+Inputs!$B$11)^(DQ$2-1),0)</f>
        <v>0</v>
      </c>
      <c r="DR108" s="11" t="n">
        <f aca="false">IF(AND(DR$1&gt;=Units!$Q107,MOD(DR$1-Units!$Q107,12)=0),IF(AND(Units!$L107=1,DR$1=Units!$Q107),1,Inputs!$B$15)*Inputs!$B$16*(1+Inputs!$B$11)^(DR$2-1),0)</f>
        <v>0</v>
      </c>
      <c r="DS108" s="11" t="n">
        <f aca="false">IF(AND(DS$1&gt;=Units!$Q107,MOD(DS$1-Units!$Q107,12)=0),IF(AND(Units!$L107=1,DS$1=Units!$Q107),1,Inputs!$B$15)*Inputs!$B$16*(1+Inputs!$B$11)^(DS$2-1),0)</f>
        <v>0</v>
      </c>
      <c r="DT108" s="11" t="n">
        <f aca="false">IF(AND(DT$1&gt;=Units!$Q107,MOD(DT$1-Units!$Q107,12)=0),IF(AND(Units!$L107=1,DT$1=Units!$Q107),1,Inputs!$B$15)*Inputs!$B$16*(1+Inputs!$B$11)^(DT$2-1),0)</f>
        <v>671.958189672061</v>
      </c>
      <c r="DU108" s="11" t="n">
        <f aca="false">IF(AND(DU$1&gt;=Units!$Q107,MOD(DU$1-Units!$Q107,12)=0),IF(AND(Units!$L107=1,DU$1=Units!$Q107),1,Inputs!$B$15)*Inputs!$B$16*(1+Inputs!$B$11)^(DU$2-1),0)</f>
        <v>0</v>
      </c>
      <c r="DV108" s="11" t="n">
        <f aca="false">IF(AND(DV$1&gt;=Units!$Q107,MOD(DV$1-Units!$Q107,12)=0),IF(AND(Units!$L107=1,DV$1=Units!$Q107),1,Inputs!$B$15)*Inputs!$B$16*(1+Inputs!$B$11)^(DV$2-1),0)</f>
        <v>0</v>
      </c>
      <c r="DW108" s="11" t="n">
        <f aca="false">IF(AND(DW$1&gt;=Units!$Q107,MOD(DW$1-Units!$Q107,12)=0),IF(AND(Units!$L107=1,DW$1=Units!$Q107),1,Inputs!$B$15)*Inputs!$B$16*(1+Inputs!$B$11)^(DW$2-1),0)</f>
        <v>0</v>
      </c>
      <c r="DX108" s="11" t="n">
        <f aca="false">IF(AND(DX$1&gt;=Units!$Q107,MOD(DX$1-Units!$Q107,12)=0),IF(AND(Units!$L107=1,DX$1=Units!$Q107),1,Inputs!$B$15)*Inputs!$B$16*(1+Inputs!$B$11)^(DX$2-1),0)</f>
        <v>0</v>
      </c>
      <c r="DY108" s="11" t="n">
        <f aca="false">IF(AND(DY$1&gt;=Units!$Q107,MOD(DY$1-Units!$Q107,12)=0),IF(AND(Units!$L107=1,DY$1=Units!$Q107),1,Inputs!$B$15)*Inputs!$B$16*(1+Inputs!$B$11)^(DY$2-1),0)</f>
        <v>0</v>
      </c>
      <c r="DZ108" s="11" t="n">
        <f aca="false">IF(AND(DZ$1&gt;=Units!$Q107,MOD(DZ$1-Units!$Q107,12)=0),IF(AND(Units!$L107=1,DZ$1=Units!$Q107),1,Inputs!$B$15)*Inputs!$B$16*(1+Inputs!$B$11)^(DZ$2-1),0)</f>
        <v>0</v>
      </c>
      <c r="EA108" s="11" t="n">
        <f aca="false">IF(AND(EA$1&gt;=Units!$Q107,MOD(EA$1-Units!$Q107,12)=0),IF(AND(Units!$L107=1,EA$1=Units!$Q107),1,Inputs!$B$15)*Inputs!$B$16*(1+Inputs!$B$11)^(EA$2-1),0)</f>
        <v>0</v>
      </c>
      <c r="EB108" s="11" t="n">
        <f aca="false">IF(AND(EB$1&gt;=Units!$Q107,MOD(EB$1-Units!$Q107,12)=0),IF(AND(Units!$L107=1,EB$1=Units!$Q107),1,Inputs!$B$15)*Inputs!$B$16*(1+Inputs!$B$11)^(EB$2-1),0)</f>
        <v>0</v>
      </c>
      <c r="EC108" s="11" t="n">
        <f aca="false">IF(AND(EC$1&gt;=Units!$Q107,MOD(EC$1-Units!$Q107,12)=0),IF(AND(Units!$L107=1,EC$1=Units!$Q107),1,Inputs!$B$15)*Inputs!$B$16*(1+Inputs!$B$11)^(EC$2-1),0)</f>
        <v>0</v>
      </c>
      <c r="ED108" s="11" t="n">
        <f aca="false">IF(AND(ED$1&gt;=Units!$Q107,MOD(ED$1-Units!$Q107,12)=0),IF(AND(Units!$L107=1,ED$1=Units!$Q107),1,Inputs!$B$15)*Inputs!$B$16*(1+Inputs!$B$11)^(ED$2-1),0)</f>
        <v>0</v>
      </c>
    </row>
    <row r="109" customFormat="false" ht="15" hidden="false" customHeight="false" outlineLevel="0" collapsed="false">
      <c r="A109" s="22" t="n">
        <f aca="false">Units!A108</f>
        <v>417</v>
      </c>
      <c r="B109" s="23"/>
      <c r="C109" s="11" t="n">
        <f aca="false">IF(AND(C$1&gt;=Units!$Q108,MOD(C$1-Units!$Q108,12)=0),IF(AND(Units!$L108=1,C$1=Units!$Q108),1,Inputs!$B$15)*Inputs!$B$16*(1+Inputs!$B$11)^(C$2-1),0)</f>
        <v>0</v>
      </c>
      <c r="D109" s="11" t="n">
        <f aca="false">IF(AND(D$1&gt;=Units!$Q108,MOD(D$1-Units!$Q108,12)=0),IF(AND(Units!$L108=1,D$1=Units!$Q108),1,Inputs!$B$15)*Inputs!$B$16*(1+Inputs!$B$11)^(D$2-1),0)</f>
        <v>0</v>
      </c>
      <c r="E109" s="11" t="n">
        <f aca="false">IF(AND(E$1&gt;=Units!$Q108,MOD(E$1-Units!$Q108,12)=0),IF(AND(Units!$L108=1,E$1=Units!$Q108),1,Inputs!$B$15)*Inputs!$B$16*(1+Inputs!$B$11)^(E$2-1),0)</f>
        <v>0</v>
      </c>
      <c r="F109" s="11" t="n">
        <f aca="false">IF(AND(F$1&gt;=Units!$Q108,MOD(F$1-Units!$Q108,12)=0),IF(AND(Units!$L108=1,F$1=Units!$Q108),1,Inputs!$B$15)*Inputs!$B$16*(1+Inputs!$B$11)^(F$2-1),0)</f>
        <v>0</v>
      </c>
      <c r="G109" s="11" t="n">
        <f aca="false">IF(AND(G$1&gt;=Units!$Q108,MOD(G$1-Units!$Q108,12)=0),IF(AND(Units!$L108=1,G$1=Units!$Q108),1,Inputs!$B$15)*Inputs!$B$16*(1+Inputs!$B$11)^(G$2-1),0)</f>
        <v>0</v>
      </c>
      <c r="H109" s="11" t="n">
        <f aca="false">IF(AND(H$1&gt;=Units!$Q108,MOD(H$1-Units!$Q108,12)=0),IF(AND(Units!$L108=1,H$1=Units!$Q108),1,Inputs!$B$15)*Inputs!$B$16*(1+Inputs!$B$11)^(H$2-1),0)</f>
        <v>0</v>
      </c>
      <c r="I109" s="11" t="n">
        <f aca="false">IF(AND(I$1&gt;=Units!$Q108,MOD(I$1-Units!$Q108,12)=0),IF(AND(Units!$L108=1,I$1=Units!$Q108),1,Inputs!$B$15)*Inputs!$B$16*(1+Inputs!$B$11)^(I$2-1),0)</f>
        <v>0</v>
      </c>
      <c r="J109" s="11" t="n">
        <f aca="false">IF(AND(J$1&gt;=Units!$Q108,MOD(J$1-Units!$Q108,12)=0),IF(AND(Units!$L108=1,J$1=Units!$Q108),1,Inputs!$B$15)*Inputs!$B$16*(1+Inputs!$B$11)^(J$2-1),0)</f>
        <v>0</v>
      </c>
      <c r="K109" s="11" t="n">
        <f aca="false">IF(AND(K$1&gt;=Units!$Q108,MOD(K$1-Units!$Q108,12)=0),IF(AND(Units!$L108=1,K$1=Units!$Q108),1,Inputs!$B$15)*Inputs!$B$16*(1+Inputs!$B$11)^(K$2-1),0)</f>
        <v>0</v>
      </c>
      <c r="L109" s="11" t="n">
        <f aca="false">IF(AND(L$1&gt;=Units!$Q108,MOD(L$1-Units!$Q108,12)=0),IF(AND(Units!$L108=1,L$1=Units!$Q108),1,Inputs!$B$15)*Inputs!$B$16*(1+Inputs!$B$11)^(L$2-1),0)</f>
        <v>0</v>
      </c>
      <c r="M109" s="11" t="n">
        <f aca="false">IF(AND(M$1&gt;=Units!$Q108,MOD(M$1-Units!$Q108,12)=0),IF(AND(Units!$L108=1,M$1=Units!$Q108),1,Inputs!$B$15)*Inputs!$B$16*(1+Inputs!$B$11)^(M$2-1),0)</f>
        <v>0</v>
      </c>
      <c r="N109" s="11" t="n">
        <f aca="false">IF(AND(N$1&gt;=Units!$Q108,MOD(N$1-Units!$Q108,12)=0),IF(AND(Units!$L108=1,N$1=Units!$Q108),1,Inputs!$B$15)*Inputs!$B$16*(1+Inputs!$B$11)^(N$2-1),0)</f>
        <v>500</v>
      </c>
      <c r="O109" s="11" t="n">
        <f aca="false">IF(AND(O$1&gt;=Units!$Q108,MOD(O$1-Units!$Q108,12)=0),IF(AND(Units!$L108=1,O$1=Units!$Q108),1,Inputs!$B$15)*Inputs!$B$16*(1+Inputs!$B$11)^(O$2-1),0)</f>
        <v>0</v>
      </c>
      <c r="P109" s="11" t="n">
        <f aca="false">IF(AND(P$1&gt;=Units!$Q108,MOD(P$1-Units!$Q108,12)=0),IF(AND(Units!$L108=1,P$1=Units!$Q108),1,Inputs!$B$15)*Inputs!$B$16*(1+Inputs!$B$11)^(P$2-1),0)</f>
        <v>0</v>
      </c>
      <c r="Q109" s="11" t="n">
        <f aca="false">IF(AND(Q$1&gt;=Units!$Q108,MOD(Q$1-Units!$Q108,12)=0),IF(AND(Units!$L108=1,Q$1=Units!$Q108),1,Inputs!$B$15)*Inputs!$B$16*(1+Inputs!$B$11)^(Q$2-1),0)</f>
        <v>0</v>
      </c>
      <c r="R109" s="11" t="n">
        <f aca="false">IF(AND(R$1&gt;=Units!$Q108,MOD(R$1-Units!$Q108,12)=0),IF(AND(Units!$L108=1,R$1=Units!$Q108),1,Inputs!$B$15)*Inputs!$B$16*(1+Inputs!$B$11)^(R$2-1),0)</f>
        <v>0</v>
      </c>
      <c r="S109" s="11" t="n">
        <f aca="false">IF(AND(S$1&gt;=Units!$Q108,MOD(S$1-Units!$Q108,12)=0),IF(AND(Units!$L108=1,S$1=Units!$Q108),1,Inputs!$B$15)*Inputs!$B$16*(1+Inputs!$B$11)^(S$2-1),0)</f>
        <v>0</v>
      </c>
      <c r="T109" s="11" t="n">
        <f aca="false">IF(AND(T$1&gt;=Units!$Q108,MOD(T$1-Units!$Q108,12)=0),IF(AND(Units!$L108=1,T$1=Units!$Q108),1,Inputs!$B$15)*Inputs!$B$16*(1+Inputs!$B$11)^(T$2-1),0)</f>
        <v>0</v>
      </c>
      <c r="U109" s="11" t="n">
        <f aca="false">IF(AND(U$1&gt;=Units!$Q108,MOD(U$1-Units!$Q108,12)=0),IF(AND(Units!$L108=1,U$1=Units!$Q108),1,Inputs!$B$15)*Inputs!$B$16*(1+Inputs!$B$11)^(U$2-1),0)</f>
        <v>0</v>
      </c>
      <c r="V109" s="11" t="n">
        <f aca="false">IF(AND(V$1&gt;=Units!$Q108,MOD(V$1-Units!$Q108,12)=0),IF(AND(Units!$L108=1,V$1=Units!$Q108),1,Inputs!$B$15)*Inputs!$B$16*(1+Inputs!$B$11)^(V$2-1),0)</f>
        <v>0</v>
      </c>
      <c r="W109" s="11" t="n">
        <f aca="false">IF(AND(W$1&gt;=Units!$Q108,MOD(W$1-Units!$Q108,12)=0),IF(AND(Units!$L108=1,W$1=Units!$Q108),1,Inputs!$B$15)*Inputs!$B$16*(1+Inputs!$B$11)^(W$2-1),0)</f>
        <v>0</v>
      </c>
      <c r="X109" s="11" t="n">
        <f aca="false">IF(AND(X$1&gt;=Units!$Q108,MOD(X$1-Units!$Q108,12)=0),IF(AND(Units!$L108=1,X$1=Units!$Q108),1,Inputs!$B$15)*Inputs!$B$16*(1+Inputs!$B$11)^(X$2-1),0)</f>
        <v>0</v>
      </c>
      <c r="Y109" s="11" t="n">
        <f aca="false">IF(AND(Y$1&gt;=Units!$Q108,MOD(Y$1-Units!$Q108,12)=0),IF(AND(Units!$L108=1,Y$1=Units!$Q108),1,Inputs!$B$15)*Inputs!$B$16*(1+Inputs!$B$11)^(Y$2-1),0)</f>
        <v>0</v>
      </c>
      <c r="Z109" s="11" t="n">
        <f aca="false">IF(AND(Z$1&gt;=Units!$Q108,MOD(Z$1-Units!$Q108,12)=0),IF(AND(Units!$L108=1,Z$1=Units!$Q108),1,Inputs!$B$15)*Inputs!$B$16*(1+Inputs!$B$11)^(Z$2-1),0)</f>
        <v>515</v>
      </c>
      <c r="AA109" s="11" t="n">
        <f aca="false">IF(AND(AA$1&gt;=Units!$Q108,MOD(AA$1-Units!$Q108,12)=0),IF(AND(Units!$L108=1,AA$1=Units!$Q108),1,Inputs!$B$15)*Inputs!$B$16*(1+Inputs!$B$11)^(AA$2-1),0)</f>
        <v>0</v>
      </c>
      <c r="AB109" s="11" t="n">
        <f aca="false">IF(AND(AB$1&gt;=Units!$Q108,MOD(AB$1-Units!$Q108,12)=0),IF(AND(Units!$L108=1,AB$1=Units!$Q108),1,Inputs!$B$15)*Inputs!$B$16*(1+Inputs!$B$11)^(AB$2-1),0)</f>
        <v>0</v>
      </c>
      <c r="AC109" s="11" t="n">
        <f aca="false">IF(AND(AC$1&gt;=Units!$Q108,MOD(AC$1-Units!$Q108,12)=0),IF(AND(Units!$L108=1,AC$1=Units!$Q108),1,Inputs!$B$15)*Inputs!$B$16*(1+Inputs!$B$11)^(AC$2-1),0)</f>
        <v>0</v>
      </c>
      <c r="AD109" s="11" t="n">
        <f aca="false">IF(AND(AD$1&gt;=Units!$Q108,MOD(AD$1-Units!$Q108,12)=0),IF(AND(Units!$L108=1,AD$1=Units!$Q108),1,Inputs!$B$15)*Inputs!$B$16*(1+Inputs!$B$11)^(AD$2-1),0)</f>
        <v>0</v>
      </c>
      <c r="AE109" s="11" t="n">
        <f aca="false">IF(AND(AE$1&gt;=Units!$Q108,MOD(AE$1-Units!$Q108,12)=0),IF(AND(Units!$L108=1,AE$1=Units!$Q108),1,Inputs!$B$15)*Inputs!$B$16*(1+Inputs!$B$11)^(AE$2-1),0)</f>
        <v>0</v>
      </c>
      <c r="AF109" s="11" t="n">
        <f aca="false">IF(AND(AF$1&gt;=Units!$Q108,MOD(AF$1-Units!$Q108,12)=0),IF(AND(Units!$L108=1,AF$1=Units!$Q108),1,Inputs!$B$15)*Inputs!$B$16*(1+Inputs!$B$11)^(AF$2-1),0)</f>
        <v>0</v>
      </c>
      <c r="AG109" s="11" t="n">
        <f aca="false">IF(AND(AG$1&gt;=Units!$Q108,MOD(AG$1-Units!$Q108,12)=0),IF(AND(Units!$L108=1,AG$1=Units!$Q108),1,Inputs!$B$15)*Inputs!$B$16*(1+Inputs!$B$11)^(AG$2-1),0)</f>
        <v>0</v>
      </c>
      <c r="AH109" s="11" t="n">
        <f aca="false">IF(AND(AH$1&gt;=Units!$Q108,MOD(AH$1-Units!$Q108,12)=0),IF(AND(Units!$L108=1,AH$1=Units!$Q108),1,Inputs!$B$15)*Inputs!$B$16*(1+Inputs!$B$11)^(AH$2-1),0)</f>
        <v>0</v>
      </c>
      <c r="AI109" s="11" t="n">
        <f aca="false">IF(AND(AI$1&gt;=Units!$Q108,MOD(AI$1-Units!$Q108,12)=0),IF(AND(Units!$L108=1,AI$1=Units!$Q108),1,Inputs!$B$15)*Inputs!$B$16*(1+Inputs!$B$11)^(AI$2-1),0)</f>
        <v>0</v>
      </c>
      <c r="AJ109" s="11" t="n">
        <f aca="false">IF(AND(AJ$1&gt;=Units!$Q108,MOD(AJ$1-Units!$Q108,12)=0),IF(AND(Units!$L108=1,AJ$1=Units!$Q108),1,Inputs!$B$15)*Inputs!$B$16*(1+Inputs!$B$11)^(AJ$2-1),0)</f>
        <v>0</v>
      </c>
      <c r="AK109" s="11" t="n">
        <f aca="false">IF(AND(AK$1&gt;=Units!$Q108,MOD(AK$1-Units!$Q108,12)=0),IF(AND(Units!$L108=1,AK$1=Units!$Q108),1,Inputs!$B$15)*Inputs!$B$16*(1+Inputs!$B$11)^(AK$2-1),0)</f>
        <v>0</v>
      </c>
      <c r="AL109" s="11" t="n">
        <f aca="false">IF(AND(AL$1&gt;=Units!$Q108,MOD(AL$1-Units!$Q108,12)=0),IF(AND(Units!$L108=1,AL$1=Units!$Q108),1,Inputs!$B$15)*Inputs!$B$16*(1+Inputs!$B$11)^(AL$2-1),0)</f>
        <v>530.45</v>
      </c>
      <c r="AM109" s="11" t="n">
        <f aca="false">IF(AND(AM$1&gt;=Units!$Q108,MOD(AM$1-Units!$Q108,12)=0),IF(AND(Units!$L108=1,AM$1=Units!$Q108),1,Inputs!$B$15)*Inputs!$B$16*(1+Inputs!$B$11)^(AM$2-1),0)</f>
        <v>0</v>
      </c>
      <c r="AN109" s="11" t="n">
        <f aca="false">IF(AND(AN$1&gt;=Units!$Q108,MOD(AN$1-Units!$Q108,12)=0),IF(AND(Units!$L108=1,AN$1=Units!$Q108),1,Inputs!$B$15)*Inputs!$B$16*(1+Inputs!$B$11)^(AN$2-1),0)</f>
        <v>0</v>
      </c>
      <c r="AO109" s="11" t="n">
        <f aca="false">IF(AND(AO$1&gt;=Units!$Q108,MOD(AO$1-Units!$Q108,12)=0),IF(AND(Units!$L108=1,AO$1=Units!$Q108),1,Inputs!$B$15)*Inputs!$B$16*(1+Inputs!$B$11)^(AO$2-1),0)</f>
        <v>0</v>
      </c>
      <c r="AP109" s="11" t="n">
        <f aca="false">IF(AND(AP$1&gt;=Units!$Q108,MOD(AP$1-Units!$Q108,12)=0),IF(AND(Units!$L108=1,AP$1=Units!$Q108),1,Inputs!$B$15)*Inputs!$B$16*(1+Inputs!$B$11)^(AP$2-1),0)</f>
        <v>0</v>
      </c>
      <c r="AQ109" s="11" t="n">
        <f aca="false">IF(AND(AQ$1&gt;=Units!$Q108,MOD(AQ$1-Units!$Q108,12)=0),IF(AND(Units!$L108=1,AQ$1=Units!$Q108),1,Inputs!$B$15)*Inputs!$B$16*(1+Inputs!$B$11)^(AQ$2-1),0)</f>
        <v>0</v>
      </c>
      <c r="AR109" s="11" t="n">
        <f aca="false">IF(AND(AR$1&gt;=Units!$Q108,MOD(AR$1-Units!$Q108,12)=0),IF(AND(Units!$L108=1,AR$1=Units!$Q108),1,Inputs!$B$15)*Inputs!$B$16*(1+Inputs!$B$11)^(AR$2-1),0)</f>
        <v>0</v>
      </c>
      <c r="AS109" s="11" t="n">
        <f aca="false">IF(AND(AS$1&gt;=Units!$Q108,MOD(AS$1-Units!$Q108,12)=0),IF(AND(Units!$L108=1,AS$1=Units!$Q108),1,Inputs!$B$15)*Inputs!$B$16*(1+Inputs!$B$11)^(AS$2-1),0)</f>
        <v>0</v>
      </c>
      <c r="AT109" s="11" t="n">
        <f aca="false">IF(AND(AT$1&gt;=Units!$Q108,MOD(AT$1-Units!$Q108,12)=0),IF(AND(Units!$L108=1,AT$1=Units!$Q108),1,Inputs!$B$15)*Inputs!$B$16*(1+Inputs!$B$11)^(AT$2-1),0)</f>
        <v>0</v>
      </c>
      <c r="AU109" s="11" t="n">
        <f aca="false">IF(AND(AU$1&gt;=Units!$Q108,MOD(AU$1-Units!$Q108,12)=0),IF(AND(Units!$L108=1,AU$1=Units!$Q108),1,Inputs!$B$15)*Inputs!$B$16*(1+Inputs!$B$11)^(AU$2-1),0)</f>
        <v>0</v>
      </c>
      <c r="AV109" s="11" t="n">
        <f aca="false">IF(AND(AV$1&gt;=Units!$Q108,MOD(AV$1-Units!$Q108,12)=0),IF(AND(Units!$L108=1,AV$1=Units!$Q108),1,Inputs!$B$15)*Inputs!$B$16*(1+Inputs!$B$11)^(AV$2-1),0)</f>
        <v>0</v>
      </c>
      <c r="AW109" s="11" t="n">
        <f aca="false">IF(AND(AW$1&gt;=Units!$Q108,MOD(AW$1-Units!$Q108,12)=0),IF(AND(Units!$L108=1,AW$1=Units!$Q108),1,Inputs!$B$15)*Inputs!$B$16*(1+Inputs!$B$11)^(AW$2-1),0)</f>
        <v>0</v>
      </c>
      <c r="AX109" s="11" t="n">
        <f aca="false">IF(AND(AX$1&gt;=Units!$Q108,MOD(AX$1-Units!$Q108,12)=0),IF(AND(Units!$L108=1,AX$1=Units!$Q108),1,Inputs!$B$15)*Inputs!$B$16*(1+Inputs!$B$11)^(AX$2-1),0)</f>
        <v>546.3635</v>
      </c>
      <c r="AY109" s="11" t="n">
        <f aca="false">IF(AND(AY$1&gt;=Units!$Q108,MOD(AY$1-Units!$Q108,12)=0),IF(AND(Units!$L108=1,AY$1=Units!$Q108),1,Inputs!$B$15)*Inputs!$B$16*(1+Inputs!$B$11)^(AY$2-1),0)</f>
        <v>0</v>
      </c>
      <c r="AZ109" s="11" t="n">
        <f aca="false">IF(AND(AZ$1&gt;=Units!$Q108,MOD(AZ$1-Units!$Q108,12)=0),IF(AND(Units!$L108=1,AZ$1=Units!$Q108),1,Inputs!$B$15)*Inputs!$B$16*(1+Inputs!$B$11)^(AZ$2-1),0)</f>
        <v>0</v>
      </c>
      <c r="BA109" s="11" t="n">
        <f aca="false">IF(AND(BA$1&gt;=Units!$Q108,MOD(BA$1-Units!$Q108,12)=0),IF(AND(Units!$L108=1,BA$1=Units!$Q108),1,Inputs!$B$15)*Inputs!$B$16*(1+Inputs!$B$11)^(BA$2-1),0)</f>
        <v>0</v>
      </c>
      <c r="BB109" s="11" t="n">
        <f aca="false">IF(AND(BB$1&gt;=Units!$Q108,MOD(BB$1-Units!$Q108,12)=0),IF(AND(Units!$L108=1,BB$1=Units!$Q108),1,Inputs!$B$15)*Inputs!$B$16*(1+Inputs!$B$11)^(BB$2-1),0)</f>
        <v>0</v>
      </c>
      <c r="BC109" s="11" t="n">
        <f aca="false">IF(AND(BC$1&gt;=Units!$Q108,MOD(BC$1-Units!$Q108,12)=0),IF(AND(Units!$L108=1,BC$1=Units!$Q108),1,Inputs!$B$15)*Inputs!$B$16*(1+Inputs!$B$11)^(BC$2-1),0)</f>
        <v>0</v>
      </c>
      <c r="BD109" s="11" t="n">
        <f aca="false">IF(AND(BD$1&gt;=Units!$Q108,MOD(BD$1-Units!$Q108,12)=0),IF(AND(Units!$L108=1,BD$1=Units!$Q108),1,Inputs!$B$15)*Inputs!$B$16*(1+Inputs!$B$11)^(BD$2-1),0)</f>
        <v>0</v>
      </c>
      <c r="BE109" s="11" t="n">
        <f aca="false">IF(AND(BE$1&gt;=Units!$Q108,MOD(BE$1-Units!$Q108,12)=0),IF(AND(Units!$L108=1,BE$1=Units!$Q108),1,Inputs!$B$15)*Inputs!$B$16*(1+Inputs!$B$11)^(BE$2-1),0)</f>
        <v>0</v>
      </c>
      <c r="BF109" s="11" t="n">
        <f aca="false">IF(AND(BF$1&gt;=Units!$Q108,MOD(BF$1-Units!$Q108,12)=0),IF(AND(Units!$L108=1,BF$1=Units!$Q108),1,Inputs!$B$15)*Inputs!$B$16*(1+Inputs!$B$11)^(BF$2-1),0)</f>
        <v>0</v>
      </c>
      <c r="BG109" s="11" t="n">
        <f aca="false">IF(AND(BG$1&gt;=Units!$Q108,MOD(BG$1-Units!$Q108,12)=0),IF(AND(Units!$L108=1,BG$1=Units!$Q108),1,Inputs!$B$15)*Inputs!$B$16*(1+Inputs!$B$11)^(BG$2-1),0)</f>
        <v>0</v>
      </c>
      <c r="BH109" s="11" t="n">
        <f aca="false">IF(AND(BH$1&gt;=Units!$Q108,MOD(BH$1-Units!$Q108,12)=0),IF(AND(Units!$L108=1,BH$1=Units!$Q108),1,Inputs!$B$15)*Inputs!$B$16*(1+Inputs!$B$11)^(BH$2-1),0)</f>
        <v>0</v>
      </c>
      <c r="BI109" s="11" t="n">
        <f aca="false">IF(AND(BI$1&gt;=Units!$Q108,MOD(BI$1-Units!$Q108,12)=0),IF(AND(Units!$L108=1,BI$1=Units!$Q108),1,Inputs!$B$15)*Inputs!$B$16*(1+Inputs!$B$11)^(BI$2-1),0)</f>
        <v>0</v>
      </c>
      <c r="BJ109" s="11" t="n">
        <f aca="false">IF(AND(BJ$1&gt;=Units!$Q108,MOD(BJ$1-Units!$Q108,12)=0),IF(AND(Units!$L108=1,BJ$1=Units!$Q108),1,Inputs!$B$15)*Inputs!$B$16*(1+Inputs!$B$11)^(BJ$2-1),0)</f>
        <v>562.754405</v>
      </c>
      <c r="BK109" s="11" t="n">
        <f aca="false">IF(AND(BK$1&gt;=Units!$Q108,MOD(BK$1-Units!$Q108,12)=0),IF(AND(Units!$L108=1,BK$1=Units!$Q108),1,Inputs!$B$15)*Inputs!$B$16*(1+Inputs!$B$11)^(BK$2-1),0)</f>
        <v>0</v>
      </c>
      <c r="BL109" s="11" t="n">
        <f aca="false">IF(AND(BL$1&gt;=Units!$Q108,MOD(BL$1-Units!$Q108,12)=0),IF(AND(Units!$L108=1,BL$1=Units!$Q108),1,Inputs!$B$15)*Inputs!$B$16*(1+Inputs!$B$11)^(BL$2-1),0)</f>
        <v>0</v>
      </c>
      <c r="BM109" s="11" t="n">
        <f aca="false">IF(AND(BM$1&gt;=Units!$Q108,MOD(BM$1-Units!$Q108,12)=0),IF(AND(Units!$L108=1,BM$1=Units!$Q108),1,Inputs!$B$15)*Inputs!$B$16*(1+Inputs!$B$11)^(BM$2-1),0)</f>
        <v>0</v>
      </c>
      <c r="BN109" s="11" t="n">
        <f aca="false">IF(AND(BN$1&gt;=Units!$Q108,MOD(BN$1-Units!$Q108,12)=0),IF(AND(Units!$L108=1,BN$1=Units!$Q108),1,Inputs!$B$15)*Inputs!$B$16*(1+Inputs!$B$11)^(BN$2-1),0)</f>
        <v>0</v>
      </c>
      <c r="BO109" s="11" t="n">
        <f aca="false">IF(AND(BO$1&gt;=Units!$Q108,MOD(BO$1-Units!$Q108,12)=0),IF(AND(Units!$L108=1,BO$1=Units!$Q108),1,Inputs!$B$15)*Inputs!$B$16*(1+Inputs!$B$11)^(BO$2-1),0)</f>
        <v>0</v>
      </c>
      <c r="BP109" s="11" t="n">
        <f aca="false">IF(AND(BP$1&gt;=Units!$Q108,MOD(BP$1-Units!$Q108,12)=0),IF(AND(Units!$L108=1,BP$1=Units!$Q108),1,Inputs!$B$15)*Inputs!$B$16*(1+Inputs!$B$11)^(BP$2-1),0)</f>
        <v>0</v>
      </c>
      <c r="BQ109" s="11" t="n">
        <f aca="false">IF(AND(BQ$1&gt;=Units!$Q108,MOD(BQ$1-Units!$Q108,12)=0),IF(AND(Units!$L108=1,BQ$1=Units!$Q108),1,Inputs!$B$15)*Inputs!$B$16*(1+Inputs!$B$11)^(BQ$2-1),0)</f>
        <v>0</v>
      </c>
      <c r="BR109" s="11" t="n">
        <f aca="false">IF(AND(BR$1&gt;=Units!$Q108,MOD(BR$1-Units!$Q108,12)=0),IF(AND(Units!$L108=1,BR$1=Units!$Q108),1,Inputs!$B$15)*Inputs!$B$16*(1+Inputs!$B$11)^(BR$2-1),0)</f>
        <v>0</v>
      </c>
      <c r="BS109" s="11" t="n">
        <f aca="false">IF(AND(BS$1&gt;=Units!$Q108,MOD(BS$1-Units!$Q108,12)=0),IF(AND(Units!$L108=1,BS$1=Units!$Q108),1,Inputs!$B$15)*Inputs!$B$16*(1+Inputs!$B$11)^(BS$2-1),0)</f>
        <v>0</v>
      </c>
      <c r="BT109" s="11" t="n">
        <f aca="false">IF(AND(BT$1&gt;=Units!$Q108,MOD(BT$1-Units!$Q108,12)=0),IF(AND(Units!$L108=1,BT$1=Units!$Q108),1,Inputs!$B$15)*Inputs!$B$16*(1+Inputs!$B$11)^(BT$2-1),0)</f>
        <v>0</v>
      </c>
      <c r="BU109" s="11" t="n">
        <f aca="false">IF(AND(BU$1&gt;=Units!$Q108,MOD(BU$1-Units!$Q108,12)=0),IF(AND(Units!$L108=1,BU$1=Units!$Q108),1,Inputs!$B$15)*Inputs!$B$16*(1+Inputs!$B$11)^(BU$2-1),0)</f>
        <v>0</v>
      </c>
      <c r="BV109" s="11" t="n">
        <f aca="false">IF(AND(BV$1&gt;=Units!$Q108,MOD(BV$1-Units!$Q108,12)=0),IF(AND(Units!$L108=1,BV$1=Units!$Q108),1,Inputs!$B$15)*Inputs!$B$16*(1+Inputs!$B$11)^(BV$2-1),0)</f>
        <v>579.63703715</v>
      </c>
      <c r="BW109" s="11" t="n">
        <f aca="false">IF(AND(BW$1&gt;=Units!$Q108,MOD(BW$1-Units!$Q108,12)=0),IF(AND(Units!$L108=1,BW$1=Units!$Q108),1,Inputs!$B$15)*Inputs!$B$16*(1+Inputs!$B$11)^(BW$2-1),0)</f>
        <v>0</v>
      </c>
      <c r="BX109" s="11" t="n">
        <f aca="false">IF(AND(BX$1&gt;=Units!$Q108,MOD(BX$1-Units!$Q108,12)=0),IF(AND(Units!$L108=1,BX$1=Units!$Q108),1,Inputs!$B$15)*Inputs!$B$16*(1+Inputs!$B$11)^(BX$2-1),0)</f>
        <v>0</v>
      </c>
      <c r="BY109" s="11" t="n">
        <f aca="false">IF(AND(BY$1&gt;=Units!$Q108,MOD(BY$1-Units!$Q108,12)=0),IF(AND(Units!$L108=1,BY$1=Units!$Q108),1,Inputs!$B$15)*Inputs!$B$16*(1+Inputs!$B$11)^(BY$2-1),0)</f>
        <v>0</v>
      </c>
      <c r="BZ109" s="11" t="n">
        <f aca="false">IF(AND(BZ$1&gt;=Units!$Q108,MOD(BZ$1-Units!$Q108,12)=0),IF(AND(Units!$L108=1,BZ$1=Units!$Q108),1,Inputs!$B$15)*Inputs!$B$16*(1+Inputs!$B$11)^(BZ$2-1),0)</f>
        <v>0</v>
      </c>
      <c r="CA109" s="11" t="n">
        <f aca="false">IF(AND(CA$1&gt;=Units!$Q108,MOD(CA$1-Units!$Q108,12)=0),IF(AND(Units!$L108=1,CA$1=Units!$Q108),1,Inputs!$B$15)*Inputs!$B$16*(1+Inputs!$B$11)^(CA$2-1),0)</f>
        <v>0</v>
      </c>
      <c r="CB109" s="11" t="n">
        <f aca="false">IF(AND(CB$1&gt;=Units!$Q108,MOD(CB$1-Units!$Q108,12)=0),IF(AND(Units!$L108=1,CB$1=Units!$Q108),1,Inputs!$B$15)*Inputs!$B$16*(1+Inputs!$B$11)^(CB$2-1),0)</f>
        <v>0</v>
      </c>
      <c r="CC109" s="11" t="n">
        <f aca="false">IF(AND(CC$1&gt;=Units!$Q108,MOD(CC$1-Units!$Q108,12)=0),IF(AND(Units!$L108=1,CC$1=Units!$Q108),1,Inputs!$B$15)*Inputs!$B$16*(1+Inputs!$B$11)^(CC$2-1),0)</f>
        <v>0</v>
      </c>
      <c r="CD109" s="11" t="n">
        <f aca="false">IF(AND(CD$1&gt;=Units!$Q108,MOD(CD$1-Units!$Q108,12)=0),IF(AND(Units!$L108=1,CD$1=Units!$Q108),1,Inputs!$B$15)*Inputs!$B$16*(1+Inputs!$B$11)^(CD$2-1),0)</f>
        <v>0</v>
      </c>
      <c r="CE109" s="11" t="n">
        <f aca="false">IF(AND(CE$1&gt;=Units!$Q108,MOD(CE$1-Units!$Q108,12)=0),IF(AND(Units!$L108=1,CE$1=Units!$Q108),1,Inputs!$B$15)*Inputs!$B$16*(1+Inputs!$B$11)^(CE$2-1),0)</f>
        <v>0</v>
      </c>
      <c r="CF109" s="11" t="n">
        <f aca="false">IF(AND(CF$1&gt;=Units!$Q108,MOD(CF$1-Units!$Q108,12)=0),IF(AND(Units!$L108=1,CF$1=Units!$Q108),1,Inputs!$B$15)*Inputs!$B$16*(1+Inputs!$B$11)^(CF$2-1),0)</f>
        <v>0</v>
      </c>
      <c r="CG109" s="11" t="n">
        <f aca="false">IF(AND(CG$1&gt;=Units!$Q108,MOD(CG$1-Units!$Q108,12)=0),IF(AND(Units!$L108=1,CG$1=Units!$Q108),1,Inputs!$B$15)*Inputs!$B$16*(1+Inputs!$B$11)^(CG$2-1),0)</f>
        <v>0</v>
      </c>
      <c r="CH109" s="11" t="n">
        <f aca="false">IF(AND(CH$1&gt;=Units!$Q108,MOD(CH$1-Units!$Q108,12)=0),IF(AND(Units!$L108=1,CH$1=Units!$Q108),1,Inputs!$B$15)*Inputs!$B$16*(1+Inputs!$B$11)^(CH$2-1),0)</f>
        <v>597.0261482645</v>
      </c>
      <c r="CI109" s="11" t="n">
        <f aca="false">IF(AND(CI$1&gt;=Units!$Q108,MOD(CI$1-Units!$Q108,12)=0),IF(AND(Units!$L108=1,CI$1=Units!$Q108),1,Inputs!$B$15)*Inputs!$B$16*(1+Inputs!$B$11)^(CI$2-1),0)</f>
        <v>0</v>
      </c>
      <c r="CJ109" s="11" t="n">
        <f aca="false">IF(AND(CJ$1&gt;=Units!$Q108,MOD(CJ$1-Units!$Q108,12)=0),IF(AND(Units!$L108=1,CJ$1=Units!$Q108),1,Inputs!$B$15)*Inputs!$B$16*(1+Inputs!$B$11)^(CJ$2-1),0)</f>
        <v>0</v>
      </c>
      <c r="CK109" s="11" t="n">
        <f aca="false">IF(AND(CK$1&gt;=Units!$Q108,MOD(CK$1-Units!$Q108,12)=0),IF(AND(Units!$L108=1,CK$1=Units!$Q108),1,Inputs!$B$15)*Inputs!$B$16*(1+Inputs!$B$11)^(CK$2-1),0)</f>
        <v>0</v>
      </c>
      <c r="CL109" s="11" t="n">
        <f aca="false">IF(AND(CL$1&gt;=Units!$Q108,MOD(CL$1-Units!$Q108,12)=0),IF(AND(Units!$L108=1,CL$1=Units!$Q108),1,Inputs!$B$15)*Inputs!$B$16*(1+Inputs!$B$11)^(CL$2-1),0)</f>
        <v>0</v>
      </c>
      <c r="CM109" s="11" t="n">
        <f aca="false">IF(AND(CM$1&gt;=Units!$Q108,MOD(CM$1-Units!$Q108,12)=0),IF(AND(Units!$L108=1,CM$1=Units!$Q108),1,Inputs!$B$15)*Inputs!$B$16*(1+Inputs!$B$11)^(CM$2-1),0)</f>
        <v>0</v>
      </c>
      <c r="CN109" s="11" t="n">
        <f aca="false">IF(AND(CN$1&gt;=Units!$Q108,MOD(CN$1-Units!$Q108,12)=0),IF(AND(Units!$L108=1,CN$1=Units!$Q108),1,Inputs!$B$15)*Inputs!$B$16*(1+Inputs!$B$11)^(CN$2-1),0)</f>
        <v>0</v>
      </c>
      <c r="CO109" s="11" t="n">
        <f aca="false">IF(AND(CO$1&gt;=Units!$Q108,MOD(CO$1-Units!$Q108,12)=0),IF(AND(Units!$L108=1,CO$1=Units!$Q108),1,Inputs!$B$15)*Inputs!$B$16*(1+Inputs!$B$11)^(CO$2-1),0)</f>
        <v>0</v>
      </c>
      <c r="CP109" s="11" t="n">
        <f aca="false">IF(AND(CP$1&gt;=Units!$Q108,MOD(CP$1-Units!$Q108,12)=0),IF(AND(Units!$L108=1,CP$1=Units!$Q108),1,Inputs!$B$15)*Inputs!$B$16*(1+Inputs!$B$11)^(CP$2-1),0)</f>
        <v>0</v>
      </c>
      <c r="CQ109" s="11" t="n">
        <f aca="false">IF(AND(CQ$1&gt;=Units!$Q108,MOD(CQ$1-Units!$Q108,12)=0),IF(AND(Units!$L108=1,CQ$1=Units!$Q108),1,Inputs!$B$15)*Inputs!$B$16*(1+Inputs!$B$11)^(CQ$2-1),0)</f>
        <v>0</v>
      </c>
      <c r="CR109" s="11" t="n">
        <f aca="false">IF(AND(CR$1&gt;=Units!$Q108,MOD(CR$1-Units!$Q108,12)=0),IF(AND(Units!$L108=1,CR$1=Units!$Q108),1,Inputs!$B$15)*Inputs!$B$16*(1+Inputs!$B$11)^(CR$2-1),0)</f>
        <v>0</v>
      </c>
      <c r="CS109" s="11" t="n">
        <f aca="false">IF(AND(CS$1&gt;=Units!$Q108,MOD(CS$1-Units!$Q108,12)=0),IF(AND(Units!$L108=1,CS$1=Units!$Q108),1,Inputs!$B$15)*Inputs!$B$16*(1+Inputs!$B$11)^(CS$2-1),0)</f>
        <v>0</v>
      </c>
      <c r="CT109" s="11" t="n">
        <f aca="false">IF(AND(CT$1&gt;=Units!$Q108,MOD(CT$1-Units!$Q108,12)=0),IF(AND(Units!$L108=1,CT$1=Units!$Q108),1,Inputs!$B$15)*Inputs!$B$16*(1+Inputs!$B$11)^(CT$2-1),0)</f>
        <v>614.936932712435</v>
      </c>
      <c r="CU109" s="11" t="n">
        <f aca="false">IF(AND(CU$1&gt;=Units!$Q108,MOD(CU$1-Units!$Q108,12)=0),IF(AND(Units!$L108=1,CU$1=Units!$Q108),1,Inputs!$B$15)*Inputs!$B$16*(1+Inputs!$B$11)^(CU$2-1),0)</f>
        <v>0</v>
      </c>
      <c r="CV109" s="11" t="n">
        <f aca="false">IF(AND(CV$1&gt;=Units!$Q108,MOD(CV$1-Units!$Q108,12)=0),IF(AND(Units!$L108=1,CV$1=Units!$Q108),1,Inputs!$B$15)*Inputs!$B$16*(1+Inputs!$B$11)^(CV$2-1),0)</f>
        <v>0</v>
      </c>
      <c r="CW109" s="11" t="n">
        <f aca="false">IF(AND(CW$1&gt;=Units!$Q108,MOD(CW$1-Units!$Q108,12)=0),IF(AND(Units!$L108=1,CW$1=Units!$Q108),1,Inputs!$B$15)*Inputs!$B$16*(1+Inputs!$B$11)^(CW$2-1),0)</f>
        <v>0</v>
      </c>
      <c r="CX109" s="11" t="n">
        <f aca="false">IF(AND(CX$1&gt;=Units!$Q108,MOD(CX$1-Units!$Q108,12)=0),IF(AND(Units!$L108=1,CX$1=Units!$Q108),1,Inputs!$B$15)*Inputs!$B$16*(1+Inputs!$B$11)^(CX$2-1),0)</f>
        <v>0</v>
      </c>
      <c r="CY109" s="11" t="n">
        <f aca="false">IF(AND(CY$1&gt;=Units!$Q108,MOD(CY$1-Units!$Q108,12)=0),IF(AND(Units!$L108=1,CY$1=Units!$Q108),1,Inputs!$B$15)*Inputs!$B$16*(1+Inputs!$B$11)^(CY$2-1),0)</f>
        <v>0</v>
      </c>
      <c r="CZ109" s="11" t="n">
        <f aca="false">IF(AND(CZ$1&gt;=Units!$Q108,MOD(CZ$1-Units!$Q108,12)=0),IF(AND(Units!$L108=1,CZ$1=Units!$Q108),1,Inputs!$B$15)*Inputs!$B$16*(1+Inputs!$B$11)^(CZ$2-1),0)</f>
        <v>0</v>
      </c>
      <c r="DA109" s="11" t="n">
        <f aca="false">IF(AND(DA$1&gt;=Units!$Q108,MOD(DA$1-Units!$Q108,12)=0),IF(AND(Units!$L108=1,DA$1=Units!$Q108),1,Inputs!$B$15)*Inputs!$B$16*(1+Inputs!$B$11)^(DA$2-1),0)</f>
        <v>0</v>
      </c>
      <c r="DB109" s="11" t="n">
        <f aca="false">IF(AND(DB$1&gt;=Units!$Q108,MOD(DB$1-Units!$Q108,12)=0),IF(AND(Units!$L108=1,DB$1=Units!$Q108),1,Inputs!$B$15)*Inputs!$B$16*(1+Inputs!$B$11)^(DB$2-1),0)</f>
        <v>0</v>
      </c>
      <c r="DC109" s="11" t="n">
        <f aca="false">IF(AND(DC$1&gt;=Units!$Q108,MOD(DC$1-Units!$Q108,12)=0),IF(AND(Units!$L108=1,DC$1=Units!$Q108),1,Inputs!$B$15)*Inputs!$B$16*(1+Inputs!$B$11)^(DC$2-1),0)</f>
        <v>0</v>
      </c>
      <c r="DD109" s="11" t="n">
        <f aca="false">IF(AND(DD$1&gt;=Units!$Q108,MOD(DD$1-Units!$Q108,12)=0),IF(AND(Units!$L108=1,DD$1=Units!$Q108),1,Inputs!$B$15)*Inputs!$B$16*(1+Inputs!$B$11)^(DD$2-1),0)</f>
        <v>0</v>
      </c>
      <c r="DE109" s="11" t="n">
        <f aca="false">IF(AND(DE$1&gt;=Units!$Q108,MOD(DE$1-Units!$Q108,12)=0),IF(AND(Units!$L108=1,DE$1=Units!$Q108),1,Inputs!$B$15)*Inputs!$B$16*(1+Inputs!$B$11)^(DE$2-1),0)</f>
        <v>0</v>
      </c>
      <c r="DF109" s="11" t="n">
        <f aca="false">IF(AND(DF$1&gt;=Units!$Q108,MOD(DF$1-Units!$Q108,12)=0),IF(AND(Units!$L108=1,DF$1=Units!$Q108),1,Inputs!$B$15)*Inputs!$B$16*(1+Inputs!$B$11)^(DF$2-1),0)</f>
        <v>633.385040693808</v>
      </c>
      <c r="DG109" s="11" t="n">
        <f aca="false">IF(AND(DG$1&gt;=Units!$Q108,MOD(DG$1-Units!$Q108,12)=0),IF(AND(Units!$L108=1,DG$1=Units!$Q108),1,Inputs!$B$15)*Inputs!$B$16*(1+Inputs!$B$11)^(DG$2-1),0)</f>
        <v>0</v>
      </c>
      <c r="DH109" s="11" t="n">
        <f aca="false">IF(AND(DH$1&gt;=Units!$Q108,MOD(DH$1-Units!$Q108,12)=0),IF(AND(Units!$L108=1,DH$1=Units!$Q108),1,Inputs!$B$15)*Inputs!$B$16*(1+Inputs!$B$11)^(DH$2-1),0)</f>
        <v>0</v>
      </c>
      <c r="DI109" s="11" t="n">
        <f aca="false">IF(AND(DI$1&gt;=Units!$Q108,MOD(DI$1-Units!$Q108,12)=0),IF(AND(Units!$L108=1,DI$1=Units!$Q108),1,Inputs!$B$15)*Inputs!$B$16*(1+Inputs!$B$11)^(DI$2-1),0)</f>
        <v>0</v>
      </c>
      <c r="DJ109" s="11" t="n">
        <f aca="false">IF(AND(DJ$1&gt;=Units!$Q108,MOD(DJ$1-Units!$Q108,12)=0),IF(AND(Units!$L108=1,DJ$1=Units!$Q108),1,Inputs!$B$15)*Inputs!$B$16*(1+Inputs!$B$11)^(DJ$2-1),0)</f>
        <v>0</v>
      </c>
      <c r="DK109" s="11" t="n">
        <f aca="false">IF(AND(DK$1&gt;=Units!$Q108,MOD(DK$1-Units!$Q108,12)=0),IF(AND(Units!$L108=1,DK$1=Units!$Q108),1,Inputs!$B$15)*Inputs!$B$16*(1+Inputs!$B$11)^(DK$2-1),0)</f>
        <v>0</v>
      </c>
      <c r="DL109" s="11" t="n">
        <f aca="false">IF(AND(DL$1&gt;=Units!$Q108,MOD(DL$1-Units!$Q108,12)=0),IF(AND(Units!$L108=1,DL$1=Units!$Q108),1,Inputs!$B$15)*Inputs!$B$16*(1+Inputs!$B$11)^(DL$2-1),0)</f>
        <v>0</v>
      </c>
      <c r="DM109" s="11" t="n">
        <f aca="false">IF(AND(DM$1&gt;=Units!$Q108,MOD(DM$1-Units!$Q108,12)=0),IF(AND(Units!$L108=1,DM$1=Units!$Q108),1,Inputs!$B$15)*Inputs!$B$16*(1+Inputs!$B$11)^(DM$2-1),0)</f>
        <v>0</v>
      </c>
      <c r="DN109" s="11" t="n">
        <f aca="false">IF(AND(DN$1&gt;=Units!$Q108,MOD(DN$1-Units!$Q108,12)=0),IF(AND(Units!$L108=1,DN$1=Units!$Q108),1,Inputs!$B$15)*Inputs!$B$16*(1+Inputs!$B$11)^(DN$2-1),0)</f>
        <v>0</v>
      </c>
      <c r="DO109" s="11" t="n">
        <f aca="false">IF(AND(DO$1&gt;=Units!$Q108,MOD(DO$1-Units!$Q108,12)=0),IF(AND(Units!$L108=1,DO$1=Units!$Q108),1,Inputs!$B$15)*Inputs!$B$16*(1+Inputs!$B$11)^(DO$2-1),0)</f>
        <v>0</v>
      </c>
      <c r="DP109" s="11" t="n">
        <f aca="false">IF(AND(DP$1&gt;=Units!$Q108,MOD(DP$1-Units!$Q108,12)=0),IF(AND(Units!$L108=1,DP$1=Units!$Q108),1,Inputs!$B$15)*Inputs!$B$16*(1+Inputs!$B$11)^(DP$2-1),0)</f>
        <v>0</v>
      </c>
      <c r="DQ109" s="11" t="n">
        <f aca="false">IF(AND(DQ$1&gt;=Units!$Q108,MOD(DQ$1-Units!$Q108,12)=0),IF(AND(Units!$L108=1,DQ$1=Units!$Q108),1,Inputs!$B$15)*Inputs!$B$16*(1+Inputs!$B$11)^(DQ$2-1),0)</f>
        <v>0</v>
      </c>
      <c r="DR109" s="11" t="n">
        <f aca="false">IF(AND(DR$1&gt;=Units!$Q108,MOD(DR$1-Units!$Q108,12)=0),IF(AND(Units!$L108=1,DR$1=Units!$Q108),1,Inputs!$B$15)*Inputs!$B$16*(1+Inputs!$B$11)^(DR$2-1),0)</f>
        <v>652.386591914623</v>
      </c>
      <c r="DS109" s="11" t="n">
        <f aca="false">IF(AND(DS$1&gt;=Units!$Q108,MOD(DS$1-Units!$Q108,12)=0),IF(AND(Units!$L108=1,DS$1=Units!$Q108),1,Inputs!$B$15)*Inputs!$B$16*(1+Inputs!$B$11)^(DS$2-1),0)</f>
        <v>0</v>
      </c>
      <c r="DT109" s="11" t="n">
        <f aca="false">IF(AND(DT$1&gt;=Units!$Q108,MOD(DT$1-Units!$Q108,12)=0),IF(AND(Units!$L108=1,DT$1=Units!$Q108),1,Inputs!$B$15)*Inputs!$B$16*(1+Inputs!$B$11)^(DT$2-1),0)</f>
        <v>0</v>
      </c>
      <c r="DU109" s="11" t="n">
        <f aca="false">IF(AND(DU$1&gt;=Units!$Q108,MOD(DU$1-Units!$Q108,12)=0),IF(AND(Units!$L108=1,DU$1=Units!$Q108),1,Inputs!$B$15)*Inputs!$B$16*(1+Inputs!$B$11)^(DU$2-1),0)</f>
        <v>0</v>
      </c>
      <c r="DV109" s="11" t="n">
        <f aca="false">IF(AND(DV$1&gt;=Units!$Q108,MOD(DV$1-Units!$Q108,12)=0),IF(AND(Units!$L108=1,DV$1=Units!$Q108),1,Inputs!$B$15)*Inputs!$B$16*(1+Inputs!$B$11)^(DV$2-1),0)</f>
        <v>0</v>
      </c>
      <c r="DW109" s="11" t="n">
        <f aca="false">IF(AND(DW$1&gt;=Units!$Q108,MOD(DW$1-Units!$Q108,12)=0),IF(AND(Units!$L108=1,DW$1=Units!$Q108),1,Inputs!$B$15)*Inputs!$B$16*(1+Inputs!$B$11)^(DW$2-1),0)</f>
        <v>0</v>
      </c>
      <c r="DX109" s="11" t="n">
        <f aca="false">IF(AND(DX$1&gt;=Units!$Q108,MOD(DX$1-Units!$Q108,12)=0),IF(AND(Units!$L108=1,DX$1=Units!$Q108),1,Inputs!$B$15)*Inputs!$B$16*(1+Inputs!$B$11)^(DX$2-1),0)</f>
        <v>0</v>
      </c>
      <c r="DY109" s="11" t="n">
        <f aca="false">IF(AND(DY$1&gt;=Units!$Q108,MOD(DY$1-Units!$Q108,12)=0),IF(AND(Units!$L108=1,DY$1=Units!$Q108),1,Inputs!$B$15)*Inputs!$B$16*(1+Inputs!$B$11)^(DY$2-1),0)</f>
        <v>0</v>
      </c>
      <c r="DZ109" s="11" t="n">
        <f aca="false">IF(AND(DZ$1&gt;=Units!$Q108,MOD(DZ$1-Units!$Q108,12)=0),IF(AND(Units!$L108=1,DZ$1=Units!$Q108),1,Inputs!$B$15)*Inputs!$B$16*(1+Inputs!$B$11)^(DZ$2-1),0)</f>
        <v>0</v>
      </c>
      <c r="EA109" s="11" t="n">
        <f aca="false">IF(AND(EA$1&gt;=Units!$Q108,MOD(EA$1-Units!$Q108,12)=0),IF(AND(Units!$L108=1,EA$1=Units!$Q108),1,Inputs!$B$15)*Inputs!$B$16*(1+Inputs!$B$11)^(EA$2-1),0)</f>
        <v>0</v>
      </c>
      <c r="EB109" s="11" t="n">
        <f aca="false">IF(AND(EB$1&gt;=Units!$Q108,MOD(EB$1-Units!$Q108,12)=0),IF(AND(Units!$L108=1,EB$1=Units!$Q108),1,Inputs!$B$15)*Inputs!$B$16*(1+Inputs!$B$11)^(EB$2-1),0)</f>
        <v>0</v>
      </c>
      <c r="EC109" s="11" t="n">
        <f aca="false">IF(AND(EC$1&gt;=Units!$Q108,MOD(EC$1-Units!$Q108,12)=0),IF(AND(Units!$L108=1,EC$1=Units!$Q108),1,Inputs!$B$15)*Inputs!$B$16*(1+Inputs!$B$11)^(EC$2-1),0)</f>
        <v>0</v>
      </c>
      <c r="ED109" s="11" t="n">
        <f aca="false">IF(AND(ED$1&gt;=Units!$Q108,MOD(ED$1-Units!$Q108,12)=0),IF(AND(Units!$L108=1,ED$1=Units!$Q108),1,Inputs!$B$15)*Inputs!$B$16*(1+Inputs!$B$11)^(ED$2-1),0)</f>
        <v>671.958189672061</v>
      </c>
    </row>
    <row r="110" customFormat="false" ht="15" hidden="false" customHeight="false" outlineLevel="0" collapsed="false">
      <c r="A110" s="22" t="n">
        <f aca="false">Units!A109</f>
        <v>418</v>
      </c>
      <c r="B110" s="23"/>
      <c r="C110" s="11" t="n">
        <f aca="false">IF(AND(C$1&gt;=Units!$Q109,MOD(C$1-Units!$Q109,12)=0),IF(AND(Units!$L109=1,C$1=Units!$Q109),1,Inputs!$B$15)*Inputs!$B$16*(1+Inputs!$B$11)^(C$2-1),0)</f>
        <v>0</v>
      </c>
      <c r="D110" s="11" t="n">
        <f aca="false">IF(AND(D$1&gt;=Units!$Q109,MOD(D$1-Units!$Q109,12)=0),IF(AND(Units!$L109=1,D$1=Units!$Q109),1,Inputs!$B$15)*Inputs!$B$16*(1+Inputs!$B$11)^(D$2-1),0)</f>
        <v>0</v>
      </c>
      <c r="E110" s="11" t="n">
        <f aca="false">IF(AND(E$1&gt;=Units!$Q109,MOD(E$1-Units!$Q109,12)=0),IF(AND(Units!$L109=1,E$1=Units!$Q109),1,Inputs!$B$15)*Inputs!$B$16*(1+Inputs!$B$11)^(E$2-1),0)</f>
        <v>0</v>
      </c>
      <c r="F110" s="11" t="n">
        <f aca="false">IF(AND(F$1&gt;=Units!$Q109,MOD(F$1-Units!$Q109,12)=0),IF(AND(Units!$L109=1,F$1=Units!$Q109),1,Inputs!$B$15)*Inputs!$B$16*(1+Inputs!$B$11)^(F$2-1),0)</f>
        <v>500</v>
      </c>
      <c r="G110" s="11" t="n">
        <f aca="false">IF(AND(G$1&gt;=Units!$Q109,MOD(G$1-Units!$Q109,12)=0),IF(AND(Units!$L109=1,G$1=Units!$Q109),1,Inputs!$B$15)*Inputs!$B$16*(1+Inputs!$B$11)^(G$2-1),0)</f>
        <v>0</v>
      </c>
      <c r="H110" s="11" t="n">
        <f aca="false">IF(AND(H$1&gt;=Units!$Q109,MOD(H$1-Units!$Q109,12)=0),IF(AND(Units!$L109=1,H$1=Units!$Q109),1,Inputs!$B$15)*Inputs!$B$16*(1+Inputs!$B$11)^(H$2-1),0)</f>
        <v>0</v>
      </c>
      <c r="I110" s="11" t="n">
        <f aca="false">IF(AND(I$1&gt;=Units!$Q109,MOD(I$1-Units!$Q109,12)=0),IF(AND(Units!$L109=1,I$1=Units!$Q109),1,Inputs!$B$15)*Inputs!$B$16*(1+Inputs!$B$11)^(I$2-1),0)</f>
        <v>0</v>
      </c>
      <c r="J110" s="11" t="n">
        <f aca="false">IF(AND(J$1&gt;=Units!$Q109,MOD(J$1-Units!$Q109,12)=0),IF(AND(Units!$L109=1,J$1=Units!$Q109),1,Inputs!$B$15)*Inputs!$B$16*(1+Inputs!$B$11)^(J$2-1),0)</f>
        <v>0</v>
      </c>
      <c r="K110" s="11" t="n">
        <f aca="false">IF(AND(K$1&gt;=Units!$Q109,MOD(K$1-Units!$Q109,12)=0),IF(AND(Units!$L109=1,K$1=Units!$Q109),1,Inputs!$B$15)*Inputs!$B$16*(1+Inputs!$B$11)^(K$2-1),0)</f>
        <v>0</v>
      </c>
      <c r="L110" s="11" t="n">
        <f aca="false">IF(AND(L$1&gt;=Units!$Q109,MOD(L$1-Units!$Q109,12)=0),IF(AND(Units!$L109=1,L$1=Units!$Q109),1,Inputs!$B$15)*Inputs!$B$16*(1+Inputs!$B$11)^(L$2-1),0)</f>
        <v>0</v>
      </c>
      <c r="M110" s="11" t="n">
        <f aca="false">IF(AND(M$1&gt;=Units!$Q109,MOD(M$1-Units!$Q109,12)=0),IF(AND(Units!$L109=1,M$1=Units!$Q109),1,Inputs!$B$15)*Inputs!$B$16*(1+Inputs!$B$11)^(M$2-1),0)</f>
        <v>0</v>
      </c>
      <c r="N110" s="11" t="n">
        <f aca="false">IF(AND(N$1&gt;=Units!$Q109,MOD(N$1-Units!$Q109,12)=0),IF(AND(Units!$L109=1,N$1=Units!$Q109),1,Inputs!$B$15)*Inputs!$B$16*(1+Inputs!$B$11)^(N$2-1),0)</f>
        <v>0</v>
      </c>
      <c r="O110" s="11" t="n">
        <f aca="false">IF(AND(O$1&gt;=Units!$Q109,MOD(O$1-Units!$Q109,12)=0),IF(AND(Units!$L109=1,O$1=Units!$Q109),1,Inputs!$B$15)*Inputs!$B$16*(1+Inputs!$B$11)^(O$2-1),0)</f>
        <v>0</v>
      </c>
      <c r="P110" s="11" t="n">
        <f aca="false">IF(AND(P$1&gt;=Units!$Q109,MOD(P$1-Units!$Q109,12)=0),IF(AND(Units!$L109=1,P$1=Units!$Q109),1,Inputs!$B$15)*Inputs!$B$16*(1+Inputs!$B$11)^(P$2-1),0)</f>
        <v>0</v>
      </c>
      <c r="Q110" s="11" t="n">
        <f aca="false">IF(AND(Q$1&gt;=Units!$Q109,MOD(Q$1-Units!$Q109,12)=0),IF(AND(Units!$L109=1,Q$1=Units!$Q109),1,Inputs!$B$15)*Inputs!$B$16*(1+Inputs!$B$11)^(Q$2-1),0)</f>
        <v>0</v>
      </c>
      <c r="R110" s="11" t="n">
        <f aca="false">IF(AND(R$1&gt;=Units!$Q109,MOD(R$1-Units!$Q109,12)=0),IF(AND(Units!$L109=1,R$1=Units!$Q109),1,Inputs!$B$15)*Inputs!$B$16*(1+Inputs!$B$11)^(R$2-1),0)</f>
        <v>515</v>
      </c>
      <c r="S110" s="11" t="n">
        <f aca="false">IF(AND(S$1&gt;=Units!$Q109,MOD(S$1-Units!$Q109,12)=0),IF(AND(Units!$L109=1,S$1=Units!$Q109),1,Inputs!$B$15)*Inputs!$B$16*(1+Inputs!$B$11)^(S$2-1),0)</f>
        <v>0</v>
      </c>
      <c r="T110" s="11" t="n">
        <f aca="false">IF(AND(T$1&gt;=Units!$Q109,MOD(T$1-Units!$Q109,12)=0),IF(AND(Units!$L109=1,T$1=Units!$Q109),1,Inputs!$B$15)*Inputs!$B$16*(1+Inputs!$B$11)^(T$2-1),0)</f>
        <v>0</v>
      </c>
      <c r="U110" s="11" t="n">
        <f aca="false">IF(AND(U$1&gt;=Units!$Q109,MOD(U$1-Units!$Q109,12)=0),IF(AND(Units!$L109=1,U$1=Units!$Q109),1,Inputs!$B$15)*Inputs!$B$16*(1+Inputs!$B$11)^(U$2-1),0)</f>
        <v>0</v>
      </c>
      <c r="V110" s="11" t="n">
        <f aca="false">IF(AND(V$1&gt;=Units!$Q109,MOD(V$1-Units!$Q109,12)=0),IF(AND(Units!$L109=1,V$1=Units!$Q109),1,Inputs!$B$15)*Inputs!$B$16*(1+Inputs!$B$11)^(V$2-1),0)</f>
        <v>0</v>
      </c>
      <c r="W110" s="11" t="n">
        <f aca="false">IF(AND(W$1&gt;=Units!$Q109,MOD(W$1-Units!$Q109,12)=0),IF(AND(Units!$L109=1,W$1=Units!$Q109),1,Inputs!$B$15)*Inputs!$B$16*(1+Inputs!$B$11)^(W$2-1),0)</f>
        <v>0</v>
      </c>
      <c r="X110" s="11" t="n">
        <f aca="false">IF(AND(X$1&gt;=Units!$Q109,MOD(X$1-Units!$Q109,12)=0),IF(AND(Units!$L109=1,X$1=Units!$Q109),1,Inputs!$B$15)*Inputs!$B$16*(1+Inputs!$B$11)^(X$2-1),0)</f>
        <v>0</v>
      </c>
      <c r="Y110" s="11" t="n">
        <f aca="false">IF(AND(Y$1&gt;=Units!$Q109,MOD(Y$1-Units!$Q109,12)=0),IF(AND(Units!$L109=1,Y$1=Units!$Q109),1,Inputs!$B$15)*Inputs!$B$16*(1+Inputs!$B$11)^(Y$2-1),0)</f>
        <v>0</v>
      </c>
      <c r="Z110" s="11" t="n">
        <f aca="false">IF(AND(Z$1&gt;=Units!$Q109,MOD(Z$1-Units!$Q109,12)=0),IF(AND(Units!$L109=1,Z$1=Units!$Q109),1,Inputs!$B$15)*Inputs!$B$16*(1+Inputs!$B$11)^(Z$2-1),0)</f>
        <v>0</v>
      </c>
      <c r="AA110" s="11" t="n">
        <f aca="false">IF(AND(AA$1&gt;=Units!$Q109,MOD(AA$1-Units!$Q109,12)=0),IF(AND(Units!$L109=1,AA$1=Units!$Q109),1,Inputs!$B$15)*Inputs!$B$16*(1+Inputs!$B$11)^(AA$2-1),0)</f>
        <v>0</v>
      </c>
      <c r="AB110" s="11" t="n">
        <f aca="false">IF(AND(AB$1&gt;=Units!$Q109,MOD(AB$1-Units!$Q109,12)=0),IF(AND(Units!$L109=1,AB$1=Units!$Q109),1,Inputs!$B$15)*Inputs!$B$16*(1+Inputs!$B$11)^(AB$2-1),0)</f>
        <v>0</v>
      </c>
      <c r="AC110" s="11" t="n">
        <f aca="false">IF(AND(AC$1&gt;=Units!$Q109,MOD(AC$1-Units!$Q109,12)=0),IF(AND(Units!$L109=1,AC$1=Units!$Q109),1,Inputs!$B$15)*Inputs!$B$16*(1+Inputs!$B$11)^(AC$2-1),0)</f>
        <v>0</v>
      </c>
      <c r="AD110" s="11" t="n">
        <f aca="false">IF(AND(AD$1&gt;=Units!$Q109,MOD(AD$1-Units!$Q109,12)=0),IF(AND(Units!$L109=1,AD$1=Units!$Q109),1,Inputs!$B$15)*Inputs!$B$16*(1+Inputs!$B$11)^(AD$2-1),0)</f>
        <v>530.45</v>
      </c>
      <c r="AE110" s="11" t="n">
        <f aca="false">IF(AND(AE$1&gt;=Units!$Q109,MOD(AE$1-Units!$Q109,12)=0),IF(AND(Units!$L109=1,AE$1=Units!$Q109),1,Inputs!$B$15)*Inputs!$B$16*(1+Inputs!$B$11)^(AE$2-1),0)</f>
        <v>0</v>
      </c>
      <c r="AF110" s="11" t="n">
        <f aca="false">IF(AND(AF$1&gt;=Units!$Q109,MOD(AF$1-Units!$Q109,12)=0),IF(AND(Units!$L109=1,AF$1=Units!$Q109),1,Inputs!$B$15)*Inputs!$B$16*(1+Inputs!$B$11)^(AF$2-1),0)</f>
        <v>0</v>
      </c>
      <c r="AG110" s="11" t="n">
        <f aca="false">IF(AND(AG$1&gt;=Units!$Q109,MOD(AG$1-Units!$Q109,12)=0),IF(AND(Units!$L109=1,AG$1=Units!$Q109),1,Inputs!$B$15)*Inputs!$B$16*(1+Inputs!$B$11)^(AG$2-1),0)</f>
        <v>0</v>
      </c>
      <c r="AH110" s="11" t="n">
        <f aca="false">IF(AND(AH$1&gt;=Units!$Q109,MOD(AH$1-Units!$Q109,12)=0),IF(AND(Units!$L109=1,AH$1=Units!$Q109),1,Inputs!$B$15)*Inputs!$B$16*(1+Inputs!$B$11)^(AH$2-1),0)</f>
        <v>0</v>
      </c>
      <c r="AI110" s="11" t="n">
        <f aca="false">IF(AND(AI$1&gt;=Units!$Q109,MOD(AI$1-Units!$Q109,12)=0),IF(AND(Units!$L109=1,AI$1=Units!$Q109),1,Inputs!$B$15)*Inputs!$B$16*(1+Inputs!$B$11)^(AI$2-1),0)</f>
        <v>0</v>
      </c>
      <c r="AJ110" s="11" t="n">
        <f aca="false">IF(AND(AJ$1&gt;=Units!$Q109,MOD(AJ$1-Units!$Q109,12)=0),IF(AND(Units!$L109=1,AJ$1=Units!$Q109),1,Inputs!$B$15)*Inputs!$B$16*(1+Inputs!$B$11)^(AJ$2-1),0)</f>
        <v>0</v>
      </c>
      <c r="AK110" s="11" t="n">
        <f aca="false">IF(AND(AK$1&gt;=Units!$Q109,MOD(AK$1-Units!$Q109,12)=0),IF(AND(Units!$L109=1,AK$1=Units!$Q109),1,Inputs!$B$15)*Inputs!$B$16*(1+Inputs!$B$11)^(AK$2-1),0)</f>
        <v>0</v>
      </c>
      <c r="AL110" s="11" t="n">
        <f aca="false">IF(AND(AL$1&gt;=Units!$Q109,MOD(AL$1-Units!$Q109,12)=0),IF(AND(Units!$L109=1,AL$1=Units!$Q109),1,Inputs!$B$15)*Inputs!$B$16*(1+Inputs!$B$11)^(AL$2-1),0)</f>
        <v>0</v>
      </c>
      <c r="AM110" s="11" t="n">
        <f aca="false">IF(AND(AM$1&gt;=Units!$Q109,MOD(AM$1-Units!$Q109,12)=0),IF(AND(Units!$L109=1,AM$1=Units!$Q109),1,Inputs!$B$15)*Inputs!$B$16*(1+Inputs!$B$11)^(AM$2-1),0)</f>
        <v>0</v>
      </c>
      <c r="AN110" s="11" t="n">
        <f aca="false">IF(AND(AN$1&gt;=Units!$Q109,MOD(AN$1-Units!$Q109,12)=0),IF(AND(Units!$L109=1,AN$1=Units!$Q109),1,Inputs!$B$15)*Inputs!$B$16*(1+Inputs!$B$11)^(AN$2-1),0)</f>
        <v>0</v>
      </c>
      <c r="AO110" s="11" t="n">
        <f aca="false">IF(AND(AO$1&gt;=Units!$Q109,MOD(AO$1-Units!$Q109,12)=0),IF(AND(Units!$L109=1,AO$1=Units!$Q109),1,Inputs!$B$15)*Inputs!$B$16*(1+Inputs!$B$11)^(AO$2-1),0)</f>
        <v>0</v>
      </c>
      <c r="AP110" s="11" t="n">
        <f aca="false">IF(AND(AP$1&gt;=Units!$Q109,MOD(AP$1-Units!$Q109,12)=0),IF(AND(Units!$L109=1,AP$1=Units!$Q109),1,Inputs!$B$15)*Inputs!$B$16*(1+Inputs!$B$11)^(AP$2-1),0)</f>
        <v>546.3635</v>
      </c>
      <c r="AQ110" s="11" t="n">
        <f aca="false">IF(AND(AQ$1&gt;=Units!$Q109,MOD(AQ$1-Units!$Q109,12)=0),IF(AND(Units!$L109=1,AQ$1=Units!$Q109),1,Inputs!$B$15)*Inputs!$B$16*(1+Inputs!$B$11)^(AQ$2-1),0)</f>
        <v>0</v>
      </c>
      <c r="AR110" s="11" t="n">
        <f aca="false">IF(AND(AR$1&gt;=Units!$Q109,MOD(AR$1-Units!$Q109,12)=0),IF(AND(Units!$L109=1,AR$1=Units!$Q109),1,Inputs!$B$15)*Inputs!$B$16*(1+Inputs!$B$11)^(AR$2-1),0)</f>
        <v>0</v>
      </c>
      <c r="AS110" s="11" t="n">
        <f aca="false">IF(AND(AS$1&gt;=Units!$Q109,MOD(AS$1-Units!$Q109,12)=0),IF(AND(Units!$L109=1,AS$1=Units!$Q109),1,Inputs!$B$15)*Inputs!$B$16*(1+Inputs!$B$11)^(AS$2-1),0)</f>
        <v>0</v>
      </c>
      <c r="AT110" s="11" t="n">
        <f aca="false">IF(AND(AT$1&gt;=Units!$Q109,MOD(AT$1-Units!$Q109,12)=0),IF(AND(Units!$L109=1,AT$1=Units!$Q109),1,Inputs!$B$15)*Inputs!$B$16*(1+Inputs!$B$11)^(AT$2-1),0)</f>
        <v>0</v>
      </c>
      <c r="AU110" s="11" t="n">
        <f aca="false">IF(AND(AU$1&gt;=Units!$Q109,MOD(AU$1-Units!$Q109,12)=0),IF(AND(Units!$L109=1,AU$1=Units!$Q109),1,Inputs!$B$15)*Inputs!$B$16*(1+Inputs!$B$11)^(AU$2-1),0)</f>
        <v>0</v>
      </c>
      <c r="AV110" s="11" t="n">
        <f aca="false">IF(AND(AV$1&gt;=Units!$Q109,MOD(AV$1-Units!$Q109,12)=0),IF(AND(Units!$L109=1,AV$1=Units!$Q109),1,Inputs!$B$15)*Inputs!$B$16*(1+Inputs!$B$11)^(AV$2-1),0)</f>
        <v>0</v>
      </c>
      <c r="AW110" s="11" t="n">
        <f aca="false">IF(AND(AW$1&gt;=Units!$Q109,MOD(AW$1-Units!$Q109,12)=0),IF(AND(Units!$L109=1,AW$1=Units!$Q109),1,Inputs!$B$15)*Inputs!$B$16*(1+Inputs!$B$11)^(AW$2-1),0)</f>
        <v>0</v>
      </c>
      <c r="AX110" s="11" t="n">
        <f aca="false">IF(AND(AX$1&gt;=Units!$Q109,MOD(AX$1-Units!$Q109,12)=0),IF(AND(Units!$L109=1,AX$1=Units!$Q109),1,Inputs!$B$15)*Inputs!$B$16*(1+Inputs!$B$11)^(AX$2-1),0)</f>
        <v>0</v>
      </c>
      <c r="AY110" s="11" t="n">
        <f aca="false">IF(AND(AY$1&gt;=Units!$Q109,MOD(AY$1-Units!$Q109,12)=0),IF(AND(Units!$L109=1,AY$1=Units!$Q109),1,Inputs!$B$15)*Inputs!$B$16*(1+Inputs!$B$11)^(AY$2-1),0)</f>
        <v>0</v>
      </c>
      <c r="AZ110" s="11" t="n">
        <f aca="false">IF(AND(AZ$1&gt;=Units!$Q109,MOD(AZ$1-Units!$Q109,12)=0),IF(AND(Units!$L109=1,AZ$1=Units!$Q109),1,Inputs!$B$15)*Inputs!$B$16*(1+Inputs!$B$11)^(AZ$2-1),0)</f>
        <v>0</v>
      </c>
      <c r="BA110" s="11" t="n">
        <f aca="false">IF(AND(BA$1&gt;=Units!$Q109,MOD(BA$1-Units!$Q109,12)=0),IF(AND(Units!$L109=1,BA$1=Units!$Q109),1,Inputs!$B$15)*Inputs!$B$16*(1+Inputs!$B$11)^(BA$2-1),0)</f>
        <v>0</v>
      </c>
      <c r="BB110" s="11" t="n">
        <f aca="false">IF(AND(BB$1&gt;=Units!$Q109,MOD(BB$1-Units!$Q109,12)=0),IF(AND(Units!$L109=1,BB$1=Units!$Q109),1,Inputs!$B$15)*Inputs!$B$16*(1+Inputs!$B$11)^(BB$2-1),0)</f>
        <v>562.754405</v>
      </c>
      <c r="BC110" s="11" t="n">
        <f aca="false">IF(AND(BC$1&gt;=Units!$Q109,MOD(BC$1-Units!$Q109,12)=0),IF(AND(Units!$L109=1,BC$1=Units!$Q109),1,Inputs!$B$15)*Inputs!$B$16*(1+Inputs!$B$11)^(BC$2-1),0)</f>
        <v>0</v>
      </c>
      <c r="BD110" s="11" t="n">
        <f aca="false">IF(AND(BD$1&gt;=Units!$Q109,MOD(BD$1-Units!$Q109,12)=0),IF(AND(Units!$L109=1,BD$1=Units!$Q109),1,Inputs!$B$15)*Inputs!$B$16*(1+Inputs!$B$11)^(BD$2-1),0)</f>
        <v>0</v>
      </c>
      <c r="BE110" s="11" t="n">
        <f aca="false">IF(AND(BE$1&gt;=Units!$Q109,MOD(BE$1-Units!$Q109,12)=0),IF(AND(Units!$L109=1,BE$1=Units!$Q109),1,Inputs!$B$15)*Inputs!$B$16*(1+Inputs!$B$11)^(BE$2-1),0)</f>
        <v>0</v>
      </c>
      <c r="BF110" s="11" t="n">
        <f aca="false">IF(AND(BF$1&gt;=Units!$Q109,MOD(BF$1-Units!$Q109,12)=0),IF(AND(Units!$L109=1,BF$1=Units!$Q109),1,Inputs!$B$15)*Inputs!$B$16*(1+Inputs!$B$11)^(BF$2-1),0)</f>
        <v>0</v>
      </c>
      <c r="BG110" s="11" t="n">
        <f aca="false">IF(AND(BG$1&gt;=Units!$Q109,MOD(BG$1-Units!$Q109,12)=0),IF(AND(Units!$L109=1,BG$1=Units!$Q109),1,Inputs!$B$15)*Inputs!$B$16*(1+Inputs!$B$11)^(BG$2-1),0)</f>
        <v>0</v>
      </c>
      <c r="BH110" s="11" t="n">
        <f aca="false">IF(AND(BH$1&gt;=Units!$Q109,MOD(BH$1-Units!$Q109,12)=0),IF(AND(Units!$L109=1,BH$1=Units!$Q109),1,Inputs!$B$15)*Inputs!$B$16*(1+Inputs!$B$11)^(BH$2-1),0)</f>
        <v>0</v>
      </c>
      <c r="BI110" s="11" t="n">
        <f aca="false">IF(AND(BI$1&gt;=Units!$Q109,MOD(BI$1-Units!$Q109,12)=0),IF(AND(Units!$L109=1,BI$1=Units!$Q109),1,Inputs!$B$15)*Inputs!$B$16*(1+Inputs!$B$11)^(BI$2-1),0)</f>
        <v>0</v>
      </c>
      <c r="BJ110" s="11" t="n">
        <f aca="false">IF(AND(BJ$1&gt;=Units!$Q109,MOD(BJ$1-Units!$Q109,12)=0),IF(AND(Units!$L109=1,BJ$1=Units!$Q109),1,Inputs!$B$15)*Inputs!$B$16*(1+Inputs!$B$11)^(BJ$2-1),0)</f>
        <v>0</v>
      </c>
      <c r="BK110" s="11" t="n">
        <f aca="false">IF(AND(BK$1&gt;=Units!$Q109,MOD(BK$1-Units!$Q109,12)=0),IF(AND(Units!$L109=1,BK$1=Units!$Q109),1,Inputs!$B$15)*Inputs!$B$16*(1+Inputs!$B$11)^(BK$2-1),0)</f>
        <v>0</v>
      </c>
      <c r="BL110" s="11" t="n">
        <f aca="false">IF(AND(BL$1&gt;=Units!$Q109,MOD(BL$1-Units!$Q109,12)=0),IF(AND(Units!$L109=1,BL$1=Units!$Q109),1,Inputs!$B$15)*Inputs!$B$16*(1+Inputs!$B$11)^(BL$2-1),0)</f>
        <v>0</v>
      </c>
      <c r="BM110" s="11" t="n">
        <f aca="false">IF(AND(BM$1&gt;=Units!$Q109,MOD(BM$1-Units!$Q109,12)=0),IF(AND(Units!$L109=1,BM$1=Units!$Q109),1,Inputs!$B$15)*Inputs!$B$16*(1+Inputs!$B$11)^(BM$2-1),0)</f>
        <v>0</v>
      </c>
      <c r="BN110" s="11" t="n">
        <f aca="false">IF(AND(BN$1&gt;=Units!$Q109,MOD(BN$1-Units!$Q109,12)=0),IF(AND(Units!$L109=1,BN$1=Units!$Q109),1,Inputs!$B$15)*Inputs!$B$16*(1+Inputs!$B$11)^(BN$2-1),0)</f>
        <v>579.63703715</v>
      </c>
      <c r="BO110" s="11" t="n">
        <f aca="false">IF(AND(BO$1&gt;=Units!$Q109,MOD(BO$1-Units!$Q109,12)=0),IF(AND(Units!$L109=1,BO$1=Units!$Q109),1,Inputs!$B$15)*Inputs!$B$16*(1+Inputs!$B$11)^(BO$2-1),0)</f>
        <v>0</v>
      </c>
      <c r="BP110" s="11" t="n">
        <f aca="false">IF(AND(BP$1&gt;=Units!$Q109,MOD(BP$1-Units!$Q109,12)=0),IF(AND(Units!$L109=1,BP$1=Units!$Q109),1,Inputs!$B$15)*Inputs!$B$16*(1+Inputs!$B$11)^(BP$2-1),0)</f>
        <v>0</v>
      </c>
      <c r="BQ110" s="11" t="n">
        <f aca="false">IF(AND(BQ$1&gt;=Units!$Q109,MOD(BQ$1-Units!$Q109,12)=0),IF(AND(Units!$L109=1,BQ$1=Units!$Q109),1,Inputs!$B$15)*Inputs!$B$16*(1+Inputs!$B$11)^(BQ$2-1),0)</f>
        <v>0</v>
      </c>
      <c r="BR110" s="11" t="n">
        <f aca="false">IF(AND(BR$1&gt;=Units!$Q109,MOD(BR$1-Units!$Q109,12)=0),IF(AND(Units!$L109=1,BR$1=Units!$Q109),1,Inputs!$B$15)*Inputs!$B$16*(1+Inputs!$B$11)^(BR$2-1),0)</f>
        <v>0</v>
      </c>
      <c r="BS110" s="11" t="n">
        <f aca="false">IF(AND(BS$1&gt;=Units!$Q109,MOD(BS$1-Units!$Q109,12)=0),IF(AND(Units!$L109=1,BS$1=Units!$Q109),1,Inputs!$B$15)*Inputs!$B$16*(1+Inputs!$B$11)^(BS$2-1),0)</f>
        <v>0</v>
      </c>
      <c r="BT110" s="11" t="n">
        <f aca="false">IF(AND(BT$1&gt;=Units!$Q109,MOD(BT$1-Units!$Q109,12)=0),IF(AND(Units!$L109=1,BT$1=Units!$Q109),1,Inputs!$B$15)*Inputs!$B$16*(1+Inputs!$B$11)^(BT$2-1),0)</f>
        <v>0</v>
      </c>
      <c r="BU110" s="11" t="n">
        <f aca="false">IF(AND(BU$1&gt;=Units!$Q109,MOD(BU$1-Units!$Q109,12)=0),IF(AND(Units!$L109=1,BU$1=Units!$Q109),1,Inputs!$B$15)*Inputs!$B$16*(1+Inputs!$B$11)^(BU$2-1),0)</f>
        <v>0</v>
      </c>
      <c r="BV110" s="11" t="n">
        <f aca="false">IF(AND(BV$1&gt;=Units!$Q109,MOD(BV$1-Units!$Q109,12)=0),IF(AND(Units!$L109=1,BV$1=Units!$Q109),1,Inputs!$B$15)*Inputs!$B$16*(1+Inputs!$B$11)^(BV$2-1),0)</f>
        <v>0</v>
      </c>
      <c r="BW110" s="11" t="n">
        <f aca="false">IF(AND(BW$1&gt;=Units!$Q109,MOD(BW$1-Units!$Q109,12)=0),IF(AND(Units!$L109=1,BW$1=Units!$Q109),1,Inputs!$B$15)*Inputs!$B$16*(1+Inputs!$B$11)^(BW$2-1),0)</f>
        <v>0</v>
      </c>
      <c r="BX110" s="11" t="n">
        <f aca="false">IF(AND(BX$1&gt;=Units!$Q109,MOD(BX$1-Units!$Q109,12)=0),IF(AND(Units!$L109=1,BX$1=Units!$Q109),1,Inputs!$B$15)*Inputs!$B$16*(1+Inputs!$B$11)^(BX$2-1),0)</f>
        <v>0</v>
      </c>
      <c r="BY110" s="11" t="n">
        <f aca="false">IF(AND(BY$1&gt;=Units!$Q109,MOD(BY$1-Units!$Q109,12)=0),IF(AND(Units!$L109=1,BY$1=Units!$Q109),1,Inputs!$B$15)*Inputs!$B$16*(1+Inputs!$B$11)^(BY$2-1),0)</f>
        <v>0</v>
      </c>
      <c r="BZ110" s="11" t="n">
        <f aca="false">IF(AND(BZ$1&gt;=Units!$Q109,MOD(BZ$1-Units!$Q109,12)=0),IF(AND(Units!$L109=1,BZ$1=Units!$Q109),1,Inputs!$B$15)*Inputs!$B$16*(1+Inputs!$B$11)^(BZ$2-1),0)</f>
        <v>597.0261482645</v>
      </c>
      <c r="CA110" s="11" t="n">
        <f aca="false">IF(AND(CA$1&gt;=Units!$Q109,MOD(CA$1-Units!$Q109,12)=0),IF(AND(Units!$L109=1,CA$1=Units!$Q109),1,Inputs!$B$15)*Inputs!$B$16*(1+Inputs!$B$11)^(CA$2-1),0)</f>
        <v>0</v>
      </c>
      <c r="CB110" s="11" t="n">
        <f aca="false">IF(AND(CB$1&gt;=Units!$Q109,MOD(CB$1-Units!$Q109,12)=0),IF(AND(Units!$L109=1,CB$1=Units!$Q109),1,Inputs!$B$15)*Inputs!$B$16*(1+Inputs!$B$11)^(CB$2-1),0)</f>
        <v>0</v>
      </c>
      <c r="CC110" s="11" t="n">
        <f aca="false">IF(AND(CC$1&gt;=Units!$Q109,MOD(CC$1-Units!$Q109,12)=0),IF(AND(Units!$L109=1,CC$1=Units!$Q109),1,Inputs!$B$15)*Inputs!$B$16*(1+Inputs!$B$11)^(CC$2-1),0)</f>
        <v>0</v>
      </c>
      <c r="CD110" s="11" t="n">
        <f aca="false">IF(AND(CD$1&gt;=Units!$Q109,MOD(CD$1-Units!$Q109,12)=0),IF(AND(Units!$L109=1,CD$1=Units!$Q109),1,Inputs!$B$15)*Inputs!$B$16*(1+Inputs!$B$11)^(CD$2-1),0)</f>
        <v>0</v>
      </c>
      <c r="CE110" s="11" t="n">
        <f aca="false">IF(AND(CE$1&gt;=Units!$Q109,MOD(CE$1-Units!$Q109,12)=0),IF(AND(Units!$L109=1,CE$1=Units!$Q109),1,Inputs!$B$15)*Inputs!$B$16*(1+Inputs!$B$11)^(CE$2-1),0)</f>
        <v>0</v>
      </c>
      <c r="CF110" s="11" t="n">
        <f aca="false">IF(AND(CF$1&gt;=Units!$Q109,MOD(CF$1-Units!$Q109,12)=0),IF(AND(Units!$L109=1,CF$1=Units!$Q109),1,Inputs!$B$15)*Inputs!$B$16*(1+Inputs!$B$11)^(CF$2-1),0)</f>
        <v>0</v>
      </c>
      <c r="CG110" s="11" t="n">
        <f aca="false">IF(AND(CG$1&gt;=Units!$Q109,MOD(CG$1-Units!$Q109,12)=0),IF(AND(Units!$L109=1,CG$1=Units!$Q109),1,Inputs!$B$15)*Inputs!$B$16*(1+Inputs!$B$11)^(CG$2-1),0)</f>
        <v>0</v>
      </c>
      <c r="CH110" s="11" t="n">
        <f aca="false">IF(AND(CH$1&gt;=Units!$Q109,MOD(CH$1-Units!$Q109,12)=0),IF(AND(Units!$L109=1,CH$1=Units!$Q109),1,Inputs!$B$15)*Inputs!$B$16*(1+Inputs!$B$11)^(CH$2-1),0)</f>
        <v>0</v>
      </c>
      <c r="CI110" s="11" t="n">
        <f aca="false">IF(AND(CI$1&gt;=Units!$Q109,MOD(CI$1-Units!$Q109,12)=0),IF(AND(Units!$L109=1,CI$1=Units!$Q109),1,Inputs!$B$15)*Inputs!$B$16*(1+Inputs!$B$11)^(CI$2-1),0)</f>
        <v>0</v>
      </c>
      <c r="CJ110" s="11" t="n">
        <f aca="false">IF(AND(CJ$1&gt;=Units!$Q109,MOD(CJ$1-Units!$Q109,12)=0),IF(AND(Units!$L109=1,CJ$1=Units!$Q109),1,Inputs!$B$15)*Inputs!$B$16*(1+Inputs!$B$11)^(CJ$2-1),0)</f>
        <v>0</v>
      </c>
      <c r="CK110" s="11" t="n">
        <f aca="false">IF(AND(CK$1&gt;=Units!$Q109,MOD(CK$1-Units!$Q109,12)=0),IF(AND(Units!$L109=1,CK$1=Units!$Q109),1,Inputs!$B$15)*Inputs!$B$16*(1+Inputs!$B$11)^(CK$2-1),0)</f>
        <v>0</v>
      </c>
      <c r="CL110" s="11" t="n">
        <f aca="false">IF(AND(CL$1&gt;=Units!$Q109,MOD(CL$1-Units!$Q109,12)=0),IF(AND(Units!$L109=1,CL$1=Units!$Q109),1,Inputs!$B$15)*Inputs!$B$16*(1+Inputs!$B$11)^(CL$2-1),0)</f>
        <v>614.936932712435</v>
      </c>
      <c r="CM110" s="11" t="n">
        <f aca="false">IF(AND(CM$1&gt;=Units!$Q109,MOD(CM$1-Units!$Q109,12)=0),IF(AND(Units!$L109=1,CM$1=Units!$Q109),1,Inputs!$B$15)*Inputs!$B$16*(1+Inputs!$B$11)^(CM$2-1),0)</f>
        <v>0</v>
      </c>
      <c r="CN110" s="11" t="n">
        <f aca="false">IF(AND(CN$1&gt;=Units!$Q109,MOD(CN$1-Units!$Q109,12)=0),IF(AND(Units!$L109=1,CN$1=Units!$Q109),1,Inputs!$B$15)*Inputs!$B$16*(1+Inputs!$B$11)^(CN$2-1),0)</f>
        <v>0</v>
      </c>
      <c r="CO110" s="11" t="n">
        <f aca="false">IF(AND(CO$1&gt;=Units!$Q109,MOD(CO$1-Units!$Q109,12)=0),IF(AND(Units!$L109=1,CO$1=Units!$Q109),1,Inputs!$B$15)*Inputs!$B$16*(1+Inputs!$B$11)^(CO$2-1),0)</f>
        <v>0</v>
      </c>
      <c r="CP110" s="11" t="n">
        <f aca="false">IF(AND(CP$1&gt;=Units!$Q109,MOD(CP$1-Units!$Q109,12)=0),IF(AND(Units!$L109=1,CP$1=Units!$Q109),1,Inputs!$B$15)*Inputs!$B$16*(1+Inputs!$B$11)^(CP$2-1),0)</f>
        <v>0</v>
      </c>
      <c r="CQ110" s="11" t="n">
        <f aca="false">IF(AND(CQ$1&gt;=Units!$Q109,MOD(CQ$1-Units!$Q109,12)=0),IF(AND(Units!$L109=1,CQ$1=Units!$Q109),1,Inputs!$B$15)*Inputs!$B$16*(1+Inputs!$B$11)^(CQ$2-1),0)</f>
        <v>0</v>
      </c>
      <c r="CR110" s="11" t="n">
        <f aca="false">IF(AND(CR$1&gt;=Units!$Q109,MOD(CR$1-Units!$Q109,12)=0),IF(AND(Units!$L109=1,CR$1=Units!$Q109),1,Inputs!$B$15)*Inputs!$B$16*(1+Inputs!$B$11)^(CR$2-1),0)</f>
        <v>0</v>
      </c>
      <c r="CS110" s="11" t="n">
        <f aca="false">IF(AND(CS$1&gt;=Units!$Q109,MOD(CS$1-Units!$Q109,12)=0),IF(AND(Units!$L109=1,CS$1=Units!$Q109),1,Inputs!$B$15)*Inputs!$B$16*(1+Inputs!$B$11)^(CS$2-1),0)</f>
        <v>0</v>
      </c>
      <c r="CT110" s="11" t="n">
        <f aca="false">IF(AND(CT$1&gt;=Units!$Q109,MOD(CT$1-Units!$Q109,12)=0),IF(AND(Units!$L109=1,CT$1=Units!$Q109),1,Inputs!$B$15)*Inputs!$B$16*(1+Inputs!$B$11)^(CT$2-1),0)</f>
        <v>0</v>
      </c>
      <c r="CU110" s="11" t="n">
        <f aca="false">IF(AND(CU$1&gt;=Units!$Q109,MOD(CU$1-Units!$Q109,12)=0),IF(AND(Units!$L109=1,CU$1=Units!$Q109),1,Inputs!$B$15)*Inputs!$B$16*(1+Inputs!$B$11)^(CU$2-1),0)</f>
        <v>0</v>
      </c>
      <c r="CV110" s="11" t="n">
        <f aca="false">IF(AND(CV$1&gt;=Units!$Q109,MOD(CV$1-Units!$Q109,12)=0),IF(AND(Units!$L109=1,CV$1=Units!$Q109),1,Inputs!$B$15)*Inputs!$B$16*(1+Inputs!$B$11)^(CV$2-1),0)</f>
        <v>0</v>
      </c>
      <c r="CW110" s="11" t="n">
        <f aca="false">IF(AND(CW$1&gt;=Units!$Q109,MOD(CW$1-Units!$Q109,12)=0),IF(AND(Units!$L109=1,CW$1=Units!$Q109),1,Inputs!$B$15)*Inputs!$B$16*(1+Inputs!$B$11)^(CW$2-1),0)</f>
        <v>0</v>
      </c>
      <c r="CX110" s="11" t="n">
        <f aca="false">IF(AND(CX$1&gt;=Units!$Q109,MOD(CX$1-Units!$Q109,12)=0),IF(AND(Units!$L109=1,CX$1=Units!$Q109),1,Inputs!$B$15)*Inputs!$B$16*(1+Inputs!$B$11)^(CX$2-1),0)</f>
        <v>633.385040693808</v>
      </c>
      <c r="CY110" s="11" t="n">
        <f aca="false">IF(AND(CY$1&gt;=Units!$Q109,MOD(CY$1-Units!$Q109,12)=0),IF(AND(Units!$L109=1,CY$1=Units!$Q109),1,Inputs!$B$15)*Inputs!$B$16*(1+Inputs!$B$11)^(CY$2-1),0)</f>
        <v>0</v>
      </c>
      <c r="CZ110" s="11" t="n">
        <f aca="false">IF(AND(CZ$1&gt;=Units!$Q109,MOD(CZ$1-Units!$Q109,12)=0),IF(AND(Units!$L109=1,CZ$1=Units!$Q109),1,Inputs!$B$15)*Inputs!$B$16*(1+Inputs!$B$11)^(CZ$2-1),0)</f>
        <v>0</v>
      </c>
      <c r="DA110" s="11" t="n">
        <f aca="false">IF(AND(DA$1&gt;=Units!$Q109,MOD(DA$1-Units!$Q109,12)=0),IF(AND(Units!$L109=1,DA$1=Units!$Q109),1,Inputs!$B$15)*Inputs!$B$16*(1+Inputs!$B$11)^(DA$2-1),0)</f>
        <v>0</v>
      </c>
      <c r="DB110" s="11" t="n">
        <f aca="false">IF(AND(DB$1&gt;=Units!$Q109,MOD(DB$1-Units!$Q109,12)=0),IF(AND(Units!$L109=1,DB$1=Units!$Q109),1,Inputs!$B$15)*Inputs!$B$16*(1+Inputs!$B$11)^(DB$2-1),0)</f>
        <v>0</v>
      </c>
      <c r="DC110" s="11" t="n">
        <f aca="false">IF(AND(DC$1&gt;=Units!$Q109,MOD(DC$1-Units!$Q109,12)=0),IF(AND(Units!$L109=1,DC$1=Units!$Q109),1,Inputs!$B$15)*Inputs!$B$16*(1+Inputs!$B$11)^(DC$2-1),0)</f>
        <v>0</v>
      </c>
      <c r="DD110" s="11" t="n">
        <f aca="false">IF(AND(DD$1&gt;=Units!$Q109,MOD(DD$1-Units!$Q109,12)=0),IF(AND(Units!$L109=1,DD$1=Units!$Q109),1,Inputs!$B$15)*Inputs!$B$16*(1+Inputs!$B$11)^(DD$2-1),0)</f>
        <v>0</v>
      </c>
      <c r="DE110" s="11" t="n">
        <f aca="false">IF(AND(DE$1&gt;=Units!$Q109,MOD(DE$1-Units!$Q109,12)=0),IF(AND(Units!$L109=1,DE$1=Units!$Q109),1,Inputs!$B$15)*Inputs!$B$16*(1+Inputs!$B$11)^(DE$2-1),0)</f>
        <v>0</v>
      </c>
      <c r="DF110" s="11" t="n">
        <f aca="false">IF(AND(DF$1&gt;=Units!$Q109,MOD(DF$1-Units!$Q109,12)=0),IF(AND(Units!$L109=1,DF$1=Units!$Q109),1,Inputs!$B$15)*Inputs!$B$16*(1+Inputs!$B$11)^(DF$2-1),0)</f>
        <v>0</v>
      </c>
      <c r="DG110" s="11" t="n">
        <f aca="false">IF(AND(DG$1&gt;=Units!$Q109,MOD(DG$1-Units!$Q109,12)=0),IF(AND(Units!$L109=1,DG$1=Units!$Q109),1,Inputs!$B$15)*Inputs!$B$16*(1+Inputs!$B$11)^(DG$2-1),0)</f>
        <v>0</v>
      </c>
      <c r="DH110" s="11" t="n">
        <f aca="false">IF(AND(DH$1&gt;=Units!$Q109,MOD(DH$1-Units!$Q109,12)=0),IF(AND(Units!$L109=1,DH$1=Units!$Q109),1,Inputs!$B$15)*Inputs!$B$16*(1+Inputs!$B$11)^(DH$2-1),0)</f>
        <v>0</v>
      </c>
      <c r="DI110" s="11" t="n">
        <f aca="false">IF(AND(DI$1&gt;=Units!$Q109,MOD(DI$1-Units!$Q109,12)=0),IF(AND(Units!$L109=1,DI$1=Units!$Q109),1,Inputs!$B$15)*Inputs!$B$16*(1+Inputs!$B$11)^(DI$2-1),0)</f>
        <v>0</v>
      </c>
      <c r="DJ110" s="11" t="n">
        <f aca="false">IF(AND(DJ$1&gt;=Units!$Q109,MOD(DJ$1-Units!$Q109,12)=0),IF(AND(Units!$L109=1,DJ$1=Units!$Q109),1,Inputs!$B$15)*Inputs!$B$16*(1+Inputs!$B$11)^(DJ$2-1),0)</f>
        <v>652.386591914623</v>
      </c>
      <c r="DK110" s="11" t="n">
        <f aca="false">IF(AND(DK$1&gt;=Units!$Q109,MOD(DK$1-Units!$Q109,12)=0),IF(AND(Units!$L109=1,DK$1=Units!$Q109),1,Inputs!$B$15)*Inputs!$B$16*(1+Inputs!$B$11)^(DK$2-1),0)</f>
        <v>0</v>
      </c>
      <c r="DL110" s="11" t="n">
        <f aca="false">IF(AND(DL$1&gt;=Units!$Q109,MOD(DL$1-Units!$Q109,12)=0),IF(AND(Units!$L109=1,DL$1=Units!$Q109),1,Inputs!$B$15)*Inputs!$B$16*(1+Inputs!$B$11)^(DL$2-1),0)</f>
        <v>0</v>
      </c>
      <c r="DM110" s="11" t="n">
        <f aca="false">IF(AND(DM$1&gt;=Units!$Q109,MOD(DM$1-Units!$Q109,12)=0),IF(AND(Units!$L109=1,DM$1=Units!$Q109),1,Inputs!$B$15)*Inputs!$B$16*(1+Inputs!$B$11)^(DM$2-1),0)</f>
        <v>0</v>
      </c>
      <c r="DN110" s="11" t="n">
        <f aca="false">IF(AND(DN$1&gt;=Units!$Q109,MOD(DN$1-Units!$Q109,12)=0),IF(AND(Units!$L109=1,DN$1=Units!$Q109),1,Inputs!$B$15)*Inputs!$B$16*(1+Inputs!$B$11)^(DN$2-1),0)</f>
        <v>0</v>
      </c>
      <c r="DO110" s="11" t="n">
        <f aca="false">IF(AND(DO$1&gt;=Units!$Q109,MOD(DO$1-Units!$Q109,12)=0),IF(AND(Units!$L109=1,DO$1=Units!$Q109),1,Inputs!$B$15)*Inputs!$B$16*(1+Inputs!$B$11)^(DO$2-1),0)</f>
        <v>0</v>
      </c>
      <c r="DP110" s="11" t="n">
        <f aca="false">IF(AND(DP$1&gt;=Units!$Q109,MOD(DP$1-Units!$Q109,12)=0),IF(AND(Units!$L109=1,DP$1=Units!$Q109),1,Inputs!$B$15)*Inputs!$B$16*(1+Inputs!$B$11)^(DP$2-1),0)</f>
        <v>0</v>
      </c>
      <c r="DQ110" s="11" t="n">
        <f aca="false">IF(AND(DQ$1&gt;=Units!$Q109,MOD(DQ$1-Units!$Q109,12)=0),IF(AND(Units!$L109=1,DQ$1=Units!$Q109),1,Inputs!$B$15)*Inputs!$B$16*(1+Inputs!$B$11)^(DQ$2-1),0)</f>
        <v>0</v>
      </c>
      <c r="DR110" s="11" t="n">
        <f aca="false">IF(AND(DR$1&gt;=Units!$Q109,MOD(DR$1-Units!$Q109,12)=0),IF(AND(Units!$L109=1,DR$1=Units!$Q109),1,Inputs!$B$15)*Inputs!$B$16*(1+Inputs!$B$11)^(DR$2-1),0)</f>
        <v>0</v>
      </c>
      <c r="DS110" s="11" t="n">
        <f aca="false">IF(AND(DS$1&gt;=Units!$Q109,MOD(DS$1-Units!$Q109,12)=0),IF(AND(Units!$L109=1,DS$1=Units!$Q109),1,Inputs!$B$15)*Inputs!$B$16*(1+Inputs!$B$11)^(DS$2-1),0)</f>
        <v>0</v>
      </c>
      <c r="DT110" s="11" t="n">
        <f aca="false">IF(AND(DT$1&gt;=Units!$Q109,MOD(DT$1-Units!$Q109,12)=0),IF(AND(Units!$L109=1,DT$1=Units!$Q109),1,Inputs!$B$15)*Inputs!$B$16*(1+Inputs!$B$11)^(DT$2-1),0)</f>
        <v>0</v>
      </c>
      <c r="DU110" s="11" t="n">
        <f aca="false">IF(AND(DU$1&gt;=Units!$Q109,MOD(DU$1-Units!$Q109,12)=0),IF(AND(Units!$L109=1,DU$1=Units!$Q109),1,Inputs!$B$15)*Inputs!$B$16*(1+Inputs!$B$11)^(DU$2-1),0)</f>
        <v>0</v>
      </c>
      <c r="DV110" s="11" t="n">
        <f aca="false">IF(AND(DV$1&gt;=Units!$Q109,MOD(DV$1-Units!$Q109,12)=0),IF(AND(Units!$L109=1,DV$1=Units!$Q109),1,Inputs!$B$15)*Inputs!$B$16*(1+Inputs!$B$11)^(DV$2-1),0)</f>
        <v>671.958189672061</v>
      </c>
      <c r="DW110" s="11" t="n">
        <f aca="false">IF(AND(DW$1&gt;=Units!$Q109,MOD(DW$1-Units!$Q109,12)=0),IF(AND(Units!$L109=1,DW$1=Units!$Q109),1,Inputs!$B$15)*Inputs!$B$16*(1+Inputs!$B$11)^(DW$2-1),0)</f>
        <v>0</v>
      </c>
      <c r="DX110" s="11" t="n">
        <f aca="false">IF(AND(DX$1&gt;=Units!$Q109,MOD(DX$1-Units!$Q109,12)=0),IF(AND(Units!$L109=1,DX$1=Units!$Q109),1,Inputs!$B$15)*Inputs!$B$16*(1+Inputs!$B$11)^(DX$2-1),0)</f>
        <v>0</v>
      </c>
      <c r="DY110" s="11" t="n">
        <f aca="false">IF(AND(DY$1&gt;=Units!$Q109,MOD(DY$1-Units!$Q109,12)=0),IF(AND(Units!$L109=1,DY$1=Units!$Q109),1,Inputs!$B$15)*Inputs!$B$16*(1+Inputs!$B$11)^(DY$2-1),0)</f>
        <v>0</v>
      </c>
      <c r="DZ110" s="11" t="n">
        <f aca="false">IF(AND(DZ$1&gt;=Units!$Q109,MOD(DZ$1-Units!$Q109,12)=0),IF(AND(Units!$L109=1,DZ$1=Units!$Q109),1,Inputs!$B$15)*Inputs!$B$16*(1+Inputs!$B$11)^(DZ$2-1),0)</f>
        <v>0</v>
      </c>
      <c r="EA110" s="11" t="n">
        <f aca="false">IF(AND(EA$1&gt;=Units!$Q109,MOD(EA$1-Units!$Q109,12)=0),IF(AND(Units!$L109=1,EA$1=Units!$Q109),1,Inputs!$B$15)*Inputs!$B$16*(1+Inputs!$B$11)^(EA$2-1),0)</f>
        <v>0</v>
      </c>
      <c r="EB110" s="11" t="n">
        <f aca="false">IF(AND(EB$1&gt;=Units!$Q109,MOD(EB$1-Units!$Q109,12)=0),IF(AND(Units!$L109=1,EB$1=Units!$Q109),1,Inputs!$B$15)*Inputs!$B$16*(1+Inputs!$B$11)^(EB$2-1),0)</f>
        <v>0</v>
      </c>
      <c r="EC110" s="11" t="n">
        <f aca="false">IF(AND(EC$1&gt;=Units!$Q109,MOD(EC$1-Units!$Q109,12)=0),IF(AND(Units!$L109=1,EC$1=Units!$Q109),1,Inputs!$B$15)*Inputs!$B$16*(1+Inputs!$B$11)^(EC$2-1),0)</f>
        <v>0</v>
      </c>
      <c r="ED110" s="11" t="n">
        <f aca="false">IF(AND(ED$1&gt;=Units!$Q109,MOD(ED$1-Units!$Q109,12)=0),IF(AND(Units!$L109=1,ED$1=Units!$Q109),1,Inputs!$B$15)*Inputs!$B$16*(1+Inputs!$B$11)^(ED$2-1),0)</f>
        <v>0</v>
      </c>
    </row>
    <row r="111" customFormat="false" ht="15" hidden="false" customHeight="false" outlineLevel="0" collapsed="false">
      <c r="A111" s="22" t="n">
        <f aca="false">Units!A110</f>
        <v>419</v>
      </c>
      <c r="B111" s="23"/>
      <c r="C111" s="11" t="n">
        <f aca="false">IF(AND(C$1&gt;=Units!$Q110,MOD(C$1-Units!$Q110,12)=0),IF(AND(Units!$L110=1,C$1=Units!$Q110),1,Inputs!$B$15)*Inputs!$B$16*(1+Inputs!$B$11)^(C$2-1),0)</f>
        <v>0</v>
      </c>
      <c r="D111" s="11" t="n">
        <f aca="false">IF(AND(D$1&gt;=Units!$Q110,MOD(D$1-Units!$Q110,12)=0),IF(AND(Units!$L110=1,D$1=Units!$Q110),1,Inputs!$B$15)*Inputs!$B$16*(1+Inputs!$B$11)^(D$2-1),0)</f>
        <v>0</v>
      </c>
      <c r="E111" s="11" t="n">
        <f aca="false">IF(AND(E$1&gt;=Units!$Q110,MOD(E$1-Units!$Q110,12)=0),IF(AND(Units!$L110=1,E$1=Units!$Q110),1,Inputs!$B$15)*Inputs!$B$16*(1+Inputs!$B$11)^(E$2-1),0)</f>
        <v>0</v>
      </c>
      <c r="F111" s="11" t="n">
        <f aca="false">IF(AND(F$1&gt;=Units!$Q110,MOD(F$1-Units!$Q110,12)=0),IF(AND(Units!$L110=1,F$1=Units!$Q110),1,Inputs!$B$15)*Inputs!$B$16*(1+Inputs!$B$11)^(F$2-1),0)</f>
        <v>0</v>
      </c>
      <c r="G111" s="11" t="n">
        <f aca="false">IF(AND(G$1&gt;=Units!$Q110,MOD(G$1-Units!$Q110,12)=0),IF(AND(Units!$L110=1,G$1=Units!$Q110),1,Inputs!$B$15)*Inputs!$B$16*(1+Inputs!$B$11)^(G$2-1),0)</f>
        <v>0</v>
      </c>
      <c r="H111" s="11" t="n">
        <f aca="false">IF(AND(H$1&gt;=Units!$Q110,MOD(H$1-Units!$Q110,12)=0),IF(AND(Units!$L110=1,H$1=Units!$Q110),1,Inputs!$B$15)*Inputs!$B$16*(1+Inputs!$B$11)^(H$2-1),0)</f>
        <v>0</v>
      </c>
      <c r="I111" s="11" t="n">
        <f aca="false">IF(AND(I$1&gt;=Units!$Q110,MOD(I$1-Units!$Q110,12)=0),IF(AND(Units!$L110=1,I$1=Units!$Q110),1,Inputs!$B$15)*Inputs!$B$16*(1+Inputs!$B$11)^(I$2-1),0)</f>
        <v>0</v>
      </c>
      <c r="J111" s="11" t="n">
        <f aca="false">IF(AND(J$1&gt;=Units!$Q110,MOD(J$1-Units!$Q110,12)=0),IF(AND(Units!$L110=1,J$1=Units!$Q110),1,Inputs!$B$15)*Inputs!$B$16*(1+Inputs!$B$11)^(J$2-1),0)</f>
        <v>0</v>
      </c>
      <c r="K111" s="11" t="n">
        <f aca="false">IF(AND(K$1&gt;=Units!$Q110,MOD(K$1-Units!$Q110,12)=0),IF(AND(Units!$L110=1,K$1=Units!$Q110),1,Inputs!$B$15)*Inputs!$B$16*(1+Inputs!$B$11)^(K$2-1),0)</f>
        <v>500</v>
      </c>
      <c r="L111" s="11" t="n">
        <f aca="false">IF(AND(L$1&gt;=Units!$Q110,MOD(L$1-Units!$Q110,12)=0),IF(AND(Units!$L110=1,L$1=Units!$Q110),1,Inputs!$B$15)*Inputs!$B$16*(1+Inputs!$B$11)^(L$2-1),0)</f>
        <v>0</v>
      </c>
      <c r="M111" s="11" t="n">
        <f aca="false">IF(AND(M$1&gt;=Units!$Q110,MOD(M$1-Units!$Q110,12)=0),IF(AND(Units!$L110=1,M$1=Units!$Q110),1,Inputs!$B$15)*Inputs!$B$16*(1+Inputs!$B$11)^(M$2-1),0)</f>
        <v>0</v>
      </c>
      <c r="N111" s="11" t="n">
        <f aca="false">IF(AND(N$1&gt;=Units!$Q110,MOD(N$1-Units!$Q110,12)=0),IF(AND(Units!$L110=1,N$1=Units!$Q110),1,Inputs!$B$15)*Inputs!$B$16*(1+Inputs!$B$11)^(N$2-1),0)</f>
        <v>0</v>
      </c>
      <c r="O111" s="11" t="n">
        <f aca="false">IF(AND(O$1&gt;=Units!$Q110,MOD(O$1-Units!$Q110,12)=0),IF(AND(Units!$L110=1,O$1=Units!$Q110),1,Inputs!$B$15)*Inputs!$B$16*(1+Inputs!$B$11)^(O$2-1),0)</f>
        <v>0</v>
      </c>
      <c r="P111" s="11" t="n">
        <f aca="false">IF(AND(P$1&gt;=Units!$Q110,MOD(P$1-Units!$Q110,12)=0),IF(AND(Units!$L110=1,P$1=Units!$Q110),1,Inputs!$B$15)*Inputs!$B$16*(1+Inputs!$B$11)^(P$2-1),0)</f>
        <v>0</v>
      </c>
      <c r="Q111" s="11" t="n">
        <f aca="false">IF(AND(Q$1&gt;=Units!$Q110,MOD(Q$1-Units!$Q110,12)=0),IF(AND(Units!$L110=1,Q$1=Units!$Q110),1,Inputs!$B$15)*Inputs!$B$16*(1+Inputs!$B$11)^(Q$2-1),0)</f>
        <v>0</v>
      </c>
      <c r="R111" s="11" t="n">
        <f aca="false">IF(AND(R$1&gt;=Units!$Q110,MOD(R$1-Units!$Q110,12)=0),IF(AND(Units!$L110=1,R$1=Units!$Q110),1,Inputs!$B$15)*Inputs!$B$16*(1+Inputs!$B$11)^(R$2-1),0)</f>
        <v>0</v>
      </c>
      <c r="S111" s="11" t="n">
        <f aca="false">IF(AND(S$1&gt;=Units!$Q110,MOD(S$1-Units!$Q110,12)=0),IF(AND(Units!$L110=1,S$1=Units!$Q110),1,Inputs!$B$15)*Inputs!$B$16*(1+Inputs!$B$11)^(S$2-1),0)</f>
        <v>0</v>
      </c>
      <c r="T111" s="11" t="n">
        <f aca="false">IF(AND(T$1&gt;=Units!$Q110,MOD(T$1-Units!$Q110,12)=0),IF(AND(Units!$L110=1,T$1=Units!$Q110),1,Inputs!$B$15)*Inputs!$B$16*(1+Inputs!$B$11)^(T$2-1),0)</f>
        <v>0</v>
      </c>
      <c r="U111" s="11" t="n">
        <f aca="false">IF(AND(U$1&gt;=Units!$Q110,MOD(U$1-Units!$Q110,12)=0),IF(AND(Units!$L110=1,U$1=Units!$Q110),1,Inputs!$B$15)*Inputs!$B$16*(1+Inputs!$B$11)^(U$2-1),0)</f>
        <v>0</v>
      </c>
      <c r="V111" s="11" t="n">
        <f aca="false">IF(AND(V$1&gt;=Units!$Q110,MOD(V$1-Units!$Q110,12)=0),IF(AND(Units!$L110=1,V$1=Units!$Q110),1,Inputs!$B$15)*Inputs!$B$16*(1+Inputs!$B$11)^(V$2-1),0)</f>
        <v>0</v>
      </c>
      <c r="W111" s="11" t="n">
        <f aca="false">IF(AND(W$1&gt;=Units!$Q110,MOD(W$1-Units!$Q110,12)=0),IF(AND(Units!$L110=1,W$1=Units!$Q110),1,Inputs!$B$15)*Inputs!$B$16*(1+Inputs!$B$11)^(W$2-1),0)</f>
        <v>515</v>
      </c>
      <c r="X111" s="11" t="n">
        <f aca="false">IF(AND(X$1&gt;=Units!$Q110,MOD(X$1-Units!$Q110,12)=0),IF(AND(Units!$L110=1,X$1=Units!$Q110),1,Inputs!$B$15)*Inputs!$B$16*(1+Inputs!$B$11)^(X$2-1),0)</f>
        <v>0</v>
      </c>
      <c r="Y111" s="11" t="n">
        <f aca="false">IF(AND(Y$1&gt;=Units!$Q110,MOD(Y$1-Units!$Q110,12)=0),IF(AND(Units!$L110=1,Y$1=Units!$Q110),1,Inputs!$B$15)*Inputs!$B$16*(1+Inputs!$B$11)^(Y$2-1),0)</f>
        <v>0</v>
      </c>
      <c r="Z111" s="11" t="n">
        <f aca="false">IF(AND(Z$1&gt;=Units!$Q110,MOD(Z$1-Units!$Q110,12)=0),IF(AND(Units!$L110=1,Z$1=Units!$Q110),1,Inputs!$B$15)*Inputs!$B$16*(1+Inputs!$B$11)^(Z$2-1),0)</f>
        <v>0</v>
      </c>
      <c r="AA111" s="11" t="n">
        <f aca="false">IF(AND(AA$1&gt;=Units!$Q110,MOD(AA$1-Units!$Q110,12)=0),IF(AND(Units!$L110=1,AA$1=Units!$Q110),1,Inputs!$B$15)*Inputs!$B$16*(1+Inputs!$B$11)^(AA$2-1),0)</f>
        <v>0</v>
      </c>
      <c r="AB111" s="11" t="n">
        <f aca="false">IF(AND(AB$1&gt;=Units!$Q110,MOD(AB$1-Units!$Q110,12)=0),IF(AND(Units!$L110=1,AB$1=Units!$Q110),1,Inputs!$B$15)*Inputs!$B$16*(1+Inputs!$B$11)^(AB$2-1),0)</f>
        <v>0</v>
      </c>
      <c r="AC111" s="11" t="n">
        <f aca="false">IF(AND(AC$1&gt;=Units!$Q110,MOD(AC$1-Units!$Q110,12)=0),IF(AND(Units!$L110=1,AC$1=Units!$Q110),1,Inputs!$B$15)*Inputs!$B$16*(1+Inputs!$B$11)^(AC$2-1),0)</f>
        <v>0</v>
      </c>
      <c r="AD111" s="11" t="n">
        <f aca="false">IF(AND(AD$1&gt;=Units!$Q110,MOD(AD$1-Units!$Q110,12)=0),IF(AND(Units!$L110=1,AD$1=Units!$Q110),1,Inputs!$B$15)*Inputs!$B$16*(1+Inputs!$B$11)^(AD$2-1),0)</f>
        <v>0</v>
      </c>
      <c r="AE111" s="11" t="n">
        <f aca="false">IF(AND(AE$1&gt;=Units!$Q110,MOD(AE$1-Units!$Q110,12)=0),IF(AND(Units!$L110=1,AE$1=Units!$Q110),1,Inputs!$B$15)*Inputs!$B$16*(1+Inputs!$B$11)^(AE$2-1),0)</f>
        <v>0</v>
      </c>
      <c r="AF111" s="11" t="n">
        <f aca="false">IF(AND(AF$1&gt;=Units!$Q110,MOD(AF$1-Units!$Q110,12)=0),IF(AND(Units!$L110=1,AF$1=Units!$Q110),1,Inputs!$B$15)*Inputs!$B$16*(1+Inputs!$B$11)^(AF$2-1),0)</f>
        <v>0</v>
      </c>
      <c r="AG111" s="11" t="n">
        <f aca="false">IF(AND(AG$1&gt;=Units!$Q110,MOD(AG$1-Units!$Q110,12)=0),IF(AND(Units!$L110=1,AG$1=Units!$Q110),1,Inputs!$B$15)*Inputs!$B$16*(1+Inputs!$B$11)^(AG$2-1),0)</f>
        <v>0</v>
      </c>
      <c r="AH111" s="11" t="n">
        <f aca="false">IF(AND(AH$1&gt;=Units!$Q110,MOD(AH$1-Units!$Q110,12)=0),IF(AND(Units!$L110=1,AH$1=Units!$Q110),1,Inputs!$B$15)*Inputs!$B$16*(1+Inputs!$B$11)^(AH$2-1),0)</f>
        <v>0</v>
      </c>
      <c r="AI111" s="11" t="n">
        <f aca="false">IF(AND(AI$1&gt;=Units!$Q110,MOD(AI$1-Units!$Q110,12)=0),IF(AND(Units!$L110=1,AI$1=Units!$Q110),1,Inputs!$B$15)*Inputs!$B$16*(1+Inputs!$B$11)^(AI$2-1),0)</f>
        <v>530.45</v>
      </c>
      <c r="AJ111" s="11" t="n">
        <f aca="false">IF(AND(AJ$1&gt;=Units!$Q110,MOD(AJ$1-Units!$Q110,12)=0),IF(AND(Units!$L110=1,AJ$1=Units!$Q110),1,Inputs!$B$15)*Inputs!$B$16*(1+Inputs!$B$11)^(AJ$2-1),0)</f>
        <v>0</v>
      </c>
      <c r="AK111" s="11" t="n">
        <f aca="false">IF(AND(AK$1&gt;=Units!$Q110,MOD(AK$1-Units!$Q110,12)=0),IF(AND(Units!$L110=1,AK$1=Units!$Q110),1,Inputs!$B$15)*Inputs!$B$16*(1+Inputs!$B$11)^(AK$2-1),0)</f>
        <v>0</v>
      </c>
      <c r="AL111" s="11" t="n">
        <f aca="false">IF(AND(AL$1&gt;=Units!$Q110,MOD(AL$1-Units!$Q110,12)=0),IF(AND(Units!$L110=1,AL$1=Units!$Q110),1,Inputs!$B$15)*Inputs!$B$16*(1+Inputs!$B$11)^(AL$2-1),0)</f>
        <v>0</v>
      </c>
      <c r="AM111" s="11" t="n">
        <f aca="false">IF(AND(AM$1&gt;=Units!$Q110,MOD(AM$1-Units!$Q110,12)=0),IF(AND(Units!$L110=1,AM$1=Units!$Q110),1,Inputs!$B$15)*Inputs!$B$16*(1+Inputs!$B$11)^(AM$2-1),0)</f>
        <v>0</v>
      </c>
      <c r="AN111" s="11" t="n">
        <f aca="false">IF(AND(AN$1&gt;=Units!$Q110,MOD(AN$1-Units!$Q110,12)=0),IF(AND(Units!$L110=1,AN$1=Units!$Q110),1,Inputs!$B$15)*Inputs!$B$16*(1+Inputs!$B$11)^(AN$2-1),0)</f>
        <v>0</v>
      </c>
      <c r="AO111" s="11" t="n">
        <f aca="false">IF(AND(AO$1&gt;=Units!$Q110,MOD(AO$1-Units!$Q110,12)=0),IF(AND(Units!$L110=1,AO$1=Units!$Q110),1,Inputs!$B$15)*Inputs!$B$16*(1+Inputs!$B$11)^(AO$2-1),0)</f>
        <v>0</v>
      </c>
      <c r="AP111" s="11" t="n">
        <f aca="false">IF(AND(AP$1&gt;=Units!$Q110,MOD(AP$1-Units!$Q110,12)=0),IF(AND(Units!$L110=1,AP$1=Units!$Q110),1,Inputs!$B$15)*Inputs!$B$16*(1+Inputs!$B$11)^(AP$2-1),0)</f>
        <v>0</v>
      </c>
      <c r="AQ111" s="11" t="n">
        <f aca="false">IF(AND(AQ$1&gt;=Units!$Q110,MOD(AQ$1-Units!$Q110,12)=0),IF(AND(Units!$L110=1,AQ$1=Units!$Q110),1,Inputs!$B$15)*Inputs!$B$16*(1+Inputs!$B$11)^(AQ$2-1),0)</f>
        <v>0</v>
      </c>
      <c r="AR111" s="11" t="n">
        <f aca="false">IF(AND(AR$1&gt;=Units!$Q110,MOD(AR$1-Units!$Q110,12)=0),IF(AND(Units!$L110=1,AR$1=Units!$Q110),1,Inputs!$B$15)*Inputs!$B$16*(1+Inputs!$B$11)^(AR$2-1),0)</f>
        <v>0</v>
      </c>
      <c r="AS111" s="11" t="n">
        <f aca="false">IF(AND(AS$1&gt;=Units!$Q110,MOD(AS$1-Units!$Q110,12)=0),IF(AND(Units!$L110=1,AS$1=Units!$Q110),1,Inputs!$B$15)*Inputs!$B$16*(1+Inputs!$B$11)^(AS$2-1),0)</f>
        <v>0</v>
      </c>
      <c r="AT111" s="11" t="n">
        <f aca="false">IF(AND(AT$1&gt;=Units!$Q110,MOD(AT$1-Units!$Q110,12)=0),IF(AND(Units!$L110=1,AT$1=Units!$Q110),1,Inputs!$B$15)*Inputs!$B$16*(1+Inputs!$B$11)^(AT$2-1),0)</f>
        <v>0</v>
      </c>
      <c r="AU111" s="11" t="n">
        <f aca="false">IF(AND(AU$1&gt;=Units!$Q110,MOD(AU$1-Units!$Q110,12)=0),IF(AND(Units!$L110=1,AU$1=Units!$Q110),1,Inputs!$B$15)*Inputs!$B$16*(1+Inputs!$B$11)^(AU$2-1),0)</f>
        <v>546.3635</v>
      </c>
      <c r="AV111" s="11" t="n">
        <f aca="false">IF(AND(AV$1&gt;=Units!$Q110,MOD(AV$1-Units!$Q110,12)=0),IF(AND(Units!$L110=1,AV$1=Units!$Q110),1,Inputs!$B$15)*Inputs!$B$16*(1+Inputs!$B$11)^(AV$2-1),0)</f>
        <v>0</v>
      </c>
      <c r="AW111" s="11" t="n">
        <f aca="false">IF(AND(AW$1&gt;=Units!$Q110,MOD(AW$1-Units!$Q110,12)=0),IF(AND(Units!$L110=1,AW$1=Units!$Q110),1,Inputs!$B$15)*Inputs!$B$16*(1+Inputs!$B$11)^(AW$2-1),0)</f>
        <v>0</v>
      </c>
      <c r="AX111" s="11" t="n">
        <f aca="false">IF(AND(AX$1&gt;=Units!$Q110,MOD(AX$1-Units!$Q110,12)=0),IF(AND(Units!$L110=1,AX$1=Units!$Q110),1,Inputs!$B$15)*Inputs!$B$16*(1+Inputs!$B$11)^(AX$2-1),0)</f>
        <v>0</v>
      </c>
      <c r="AY111" s="11" t="n">
        <f aca="false">IF(AND(AY$1&gt;=Units!$Q110,MOD(AY$1-Units!$Q110,12)=0),IF(AND(Units!$L110=1,AY$1=Units!$Q110),1,Inputs!$B$15)*Inputs!$B$16*(1+Inputs!$B$11)^(AY$2-1),0)</f>
        <v>0</v>
      </c>
      <c r="AZ111" s="11" t="n">
        <f aca="false">IF(AND(AZ$1&gt;=Units!$Q110,MOD(AZ$1-Units!$Q110,12)=0),IF(AND(Units!$L110=1,AZ$1=Units!$Q110),1,Inputs!$B$15)*Inputs!$B$16*(1+Inputs!$B$11)^(AZ$2-1),0)</f>
        <v>0</v>
      </c>
      <c r="BA111" s="11" t="n">
        <f aca="false">IF(AND(BA$1&gt;=Units!$Q110,MOD(BA$1-Units!$Q110,12)=0),IF(AND(Units!$L110=1,BA$1=Units!$Q110),1,Inputs!$B$15)*Inputs!$B$16*(1+Inputs!$B$11)^(BA$2-1),0)</f>
        <v>0</v>
      </c>
      <c r="BB111" s="11" t="n">
        <f aca="false">IF(AND(BB$1&gt;=Units!$Q110,MOD(BB$1-Units!$Q110,12)=0),IF(AND(Units!$L110=1,BB$1=Units!$Q110),1,Inputs!$B$15)*Inputs!$B$16*(1+Inputs!$B$11)^(BB$2-1),0)</f>
        <v>0</v>
      </c>
      <c r="BC111" s="11" t="n">
        <f aca="false">IF(AND(BC$1&gt;=Units!$Q110,MOD(BC$1-Units!$Q110,12)=0),IF(AND(Units!$L110=1,BC$1=Units!$Q110),1,Inputs!$B$15)*Inputs!$B$16*(1+Inputs!$B$11)^(BC$2-1),0)</f>
        <v>0</v>
      </c>
      <c r="BD111" s="11" t="n">
        <f aca="false">IF(AND(BD$1&gt;=Units!$Q110,MOD(BD$1-Units!$Q110,12)=0),IF(AND(Units!$L110=1,BD$1=Units!$Q110),1,Inputs!$B$15)*Inputs!$B$16*(1+Inputs!$B$11)^(BD$2-1),0)</f>
        <v>0</v>
      </c>
      <c r="BE111" s="11" t="n">
        <f aca="false">IF(AND(BE$1&gt;=Units!$Q110,MOD(BE$1-Units!$Q110,12)=0),IF(AND(Units!$L110=1,BE$1=Units!$Q110),1,Inputs!$B$15)*Inputs!$B$16*(1+Inputs!$B$11)^(BE$2-1),0)</f>
        <v>0</v>
      </c>
      <c r="BF111" s="11" t="n">
        <f aca="false">IF(AND(BF$1&gt;=Units!$Q110,MOD(BF$1-Units!$Q110,12)=0),IF(AND(Units!$L110=1,BF$1=Units!$Q110),1,Inputs!$B$15)*Inputs!$B$16*(1+Inputs!$B$11)^(BF$2-1),0)</f>
        <v>0</v>
      </c>
      <c r="BG111" s="11" t="n">
        <f aca="false">IF(AND(BG$1&gt;=Units!$Q110,MOD(BG$1-Units!$Q110,12)=0),IF(AND(Units!$L110=1,BG$1=Units!$Q110),1,Inputs!$B$15)*Inputs!$B$16*(1+Inputs!$B$11)^(BG$2-1),0)</f>
        <v>562.754405</v>
      </c>
      <c r="BH111" s="11" t="n">
        <f aca="false">IF(AND(BH$1&gt;=Units!$Q110,MOD(BH$1-Units!$Q110,12)=0),IF(AND(Units!$L110=1,BH$1=Units!$Q110),1,Inputs!$B$15)*Inputs!$B$16*(1+Inputs!$B$11)^(BH$2-1),0)</f>
        <v>0</v>
      </c>
      <c r="BI111" s="11" t="n">
        <f aca="false">IF(AND(BI$1&gt;=Units!$Q110,MOD(BI$1-Units!$Q110,12)=0),IF(AND(Units!$L110=1,BI$1=Units!$Q110),1,Inputs!$B$15)*Inputs!$B$16*(1+Inputs!$B$11)^(BI$2-1),0)</f>
        <v>0</v>
      </c>
      <c r="BJ111" s="11" t="n">
        <f aca="false">IF(AND(BJ$1&gt;=Units!$Q110,MOD(BJ$1-Units!$Q110,12)=0),IF(AND(Units!$L110=1,BJ$1=Units!$Q110),1,Inputs!$B$15)*Inputs!$B$16*(1+Inputs!$B$11)^(BJ$2-1),0)</f>
        <v>0</v>
      </c>
      <c r="BK111" s="11" t="n">
        <f aca="false">IF(AND(BK$1&gt;=Units!$Q110,MOD(BK$1-Units!$Q110,12)=0),IF(AND(Units!$L110=1,BK$1=Units!$Q110),1,Inputs!$B$15)*Inputs!$B$16*(1+Inputs!$B$11)^(BK$2-1),0)</f>
        <v>0</v>
      </c>
      <c r="BL111" s="11" t="n">
        <f aca="false">IF(AND(BL$1&gt;=Units!$Q110,MOD(BL$1-Units!$Q110,12)=0),IF(AND(Units!$L110=1,BL$1=Units!$Q110),1,Inputs!$B$15)*Inputs!$B$16*(1+Inputs!$B$11)^(BL$2-1),0)</f>
        <v>0</v>
      </c>
      <c r="BM111" s="11" t="n">
        <f aca="false">IF(AND(BM$1&gt;=Units!$Q110,MOD(BM$1-Units!$Q110,12)=0),IF(AND(Units!$L110=1,BM$1=Units!$Q110),1,Inputs!$B$15)*Inputs!$B$16*(1+Inputs!$B$11)^(BM$2-1),0)</f>
        <v>0</v>
      </c>
      <c r="BN111" s="11" t="n">
        <f aca="false">IF(AND(BN$1&gt;=Units!$Q110,MOD(BN$1-Units!$Q110,12)=0),IF(AND(Units!$L110=1,BN$1=Units!$Q110),1,Inputs!$B$15)*Inputs!$B$16*(1+Inputs!$B$11)^(BN$2-1),0)</f>
        <v>0</v>
      </c>
      <c r="BO111" s="11" t="n">
        <f aca="false">IF(AND(BO$1&gt;=Units!$Q110,MOD(BO$1-Units!$Q110,12)=0),IF(AND(Units!$L110=1,BO$1=Units!$Q110),1,Inputs!$B$15)*Inputs!$B$16*(1+Inputs!$B$11)^(BO$2-1),0)</f>
        <v>0</v>
      </c>
      <c r="BP111" s="11" t="n">
        <f aca="false">IF(AND(BP$1&gt;=Units!$Q110,MOD(BP$1-Units!$Q110,12)=0),IF(AND(Units!$L110=1,BP$1=Units!$Q110),1,Inputs!$B$15)*Inputs!$B$16*(1+Inputs!$B$11)^(BP$2-1),0)</f>
        <v>0</v>
      </c>
      <c r="BQ111" s="11" t="n">
        <f aca="false">IF(AND(BQ$1&gt;=Units!$Q110,MOD(BQ$1-Units!$Q110,12)=0),IF(AND(Units!$L110=1,BQ$1=Units!$Q110),1,Inputs!$B$15)*Inputs!$B$16*(1+Inputs!$B$11)^(BQ$2-1),0)</f>
        <v>0</v>
      </c>
      <c r="BR111" s="11" t="n">
        <f aca="false">IF(AND(BR$1&gt;=Units!$Q110,MOD(BR$1-Units!$Q110,12)=0),IF(AND(Units!$L110=1,BR$1=Units!$Q110),1,Inputs!$B$15)*Inputs!$B$16*(1+Inputs!$B$11)^(BR$2-1),0)</f>
        <v>0</v>
      </c>
      <c r="BS111" s="11" t="n">
        <f aca="false">IF(AND(BS$1&gt;=Units!$Q110,MOD(BS$1-Units!$Q110,12)=0),IF(AND(Units!$L110=1,BS$1=Units!$Q110),1,Inputs!$B$15)*Inputs!$B$16*(1+Inputs!$B$11)^(BS$2-1),0)</f>
        <v>579.63703715</v>
      </c>
      <c r="BT111" s="11" t="n">
        <f aca="false">IF(AND(BT$1&gt;=Units!$Q110,MOD(BT$1-Units!$Q110,12)=0),IF(AND(Units!$L110=1,BT$1=Units!$Q110),1,Inputs!$B$15)*Inputs!$B$16*(1+Inputs!$B$11)^(BT$2-1),0)</f>
        <v>0</v>
      </c>
      <c r="BU111" s="11" t="n">
        <f aca="false">IF(AND(BU$1&gt;=Units!$Q110,MOD(BU$1-Units!$Q110,12)=0),IF(AND(Units!$L110=1,BU$1=Units!$Q110),1,Inputs!$B$15)*Inputs!$B$16*(1+Inputs!$B$11)^(BU$2-1),0)</f>
        <v>0</v>
      </c>
      <c r="BV111" s="11" t="n">
        <f aca="false">IF(AND(BV$1&gt;=Units!$Q110,MOD(BV$1-Units!$Q110,12)=0),IF(AND(Units!$L110=1,BV$1=Units!$Q110),1,Inputs!$B$15)*Inputs!$B$16*(1+Inputs!$B$11)^(BV$2-1),0)</f>
        <v>0</v>
      </c>
      <c r="BW111" s="11" t="n">
        <f aca="false">IF(AND(BW$1&gt;=Units!$Q110,MOD(BW$1-Units!$Q110,12)=0),IF(AND(Units!$L110=1,BW$1=Units!$Q110),1,Inputs!$B$15)*Inputs!$B$16*(1+Inputs!$B$11)^(BW$2-1),0)</f>
        <v>0</v>
      </c>
      <c r="BX111" s="11" t="n">
        <f aca="false">IF(AND(BX$1&gt;=Units!$Q110,MOD(BX$1-Units!$Q110,12)=0),IF(AND(Units!$L110=1,BX$1=Units!$Q110),1,Inputs!$B$15)*Inputs!$B$16*(1+Inputs!$B$11)^(BX$2-1),0)</f>
        <v>0</v>
      </c>
      <c r="BY111" s="11" t="n">
        <f aca="false">IF(AND(BY$1&gt;=Units!$Q110,MOD(BY$1-Units!$Q110,12)=0),IF(AND(Units!$L110=1,BY$1=Units!$Q110),1,Inputs!$B$15)*Inputs!$B$16*(1+Inputs!$B$11)^(BY$2-1),0)</f>
        <v>0</v>
      </c>
      <c r="BZ111" s="11" t="n">
        <f aca="false">IF(AND(BZ$1&gt;=Units!$Q110,MOD(BZ$1-Units!$Q110,12)=0),IF(AND(Units!$L110=1,BZ$1=Units!$Q110),1,Inputs!$B$15)*Inputs!$B$16*(1+Inputs!$B$11)^(BZ$2-1),0)</f>
        <v>0</v>
      </c>
      <c r="CA111" s="11" t="n">
        <f aca="false">IF(AND(CA$1&gt;=Units!$Q110,MOD(CA$1-Units!$Q110,12)=0),IF(AND(Units!$L110=1,CA$1=Units!$Q110),1,Inputs!$B$15)*Inputs!$B$16*(1+Inputs!$B$11)^(CA$2-1),0)</f>
        <v>0</v>
      </c>
      <c r="CB111" s="11" t="n">
        <f aca="false">IF(AND(CB$1&gt;=Units!$Q110,MOD(CB$1-Units!$Q110,12)=0),IF(AND(Units!$L110=1,CB$1=Units!$Q110),1,Inputs!$B$15)*Inputs!$B$16*(1+Inputs!$B$11)^(CB$2-1),0)</f>
        <v>0</v>
      </c>
      <c r="CC111" s="11" t="n">
        <f aca="false">IF(AND(CC$1&gt;=Units!$Q110,MOD(CC$1-Units!$Q110,12)=0),IF(AND(Units!$L110=1,CC$1=Units!$Q110),1,Inputs!$B$15)*Inputs!$B$16*(1+Inputs!$B$11)^(CC$2-1),0)</f>
        <v>0</v>
      </c>
      <c r="CD111" s="11" t="n">
        <f aca="false">IF(AND(CD$1&gt;=Units!$Q110,MOD(CD$1-Units!$Q110,12)=0),IF(AND(Units!$L110=1,CD$1=Units!$Q110),1,Inputs!$B$15)*Inputs!$B$16*(1+Inputs!$B$11)^(CD$2-1),0)</f>
        <v>0</v>
      </c>
      <c r="CE111" s="11" t="n">
        <f aca="false">IF(AND(CE$1&gt;=Units!$Q110,MOD(CE$1-Units!$Q110,12)=0),IF(AND(Units!$L110=1,CE$1=Units!$Q110),1,Inputs!$B$15)*Inputs!$B$16*(1+Inputs!$B$11)^(CE$2-1),0)</f>
        <v>597.0261482645</v>
      </c>
      <c r="CF111" s="11" t="n">
        <f aca="false">IF(AND(CF$1&gt;=Units!$Q110,MOD(CF$1-Units!$Q110,12)=0),IF(AND(Units!$L110=1,CF$1=Units!$Q110),1,Inputs!$B$15)*Inputs!$B$16*(1+Inputs!$B$11)^(CF$2-1),0)</f>
        <v>0</v>
      </c>
      <c r="CG111" s="11" t="n">
        <f aca="false">IF(AND(CG$1&gt;=Units!$Q110,MOD(CG$1-Units!$Q110,12)=0),IF(AND(Units!$L110=1,CG$1=Units!$Q110),1,Inputs!$B$15)*Inputs!$B$16*(1+Inputs!$B$11)^(CG$2-1),0)</f>
        <v>0</v>
      </c>
      <c r="CH111" s="11" t="n">
        <f aca="false">IF(AND(CH$1&gt;=Units!$Q110,MOD(CH$1-Units!$Q110,12)=0),IF(AND(Units!$L110=1,CH$1=Units!$Q110),1,Inputs!$B$15)*Inputs!$B$16*(1+Inputs!$B$11)^(CH$2-1),0)</f>
        <v>0</v>
      </c>
      <c r="CI111" s="11" t="n">
        <f aca="false">IF(AND(CI$1&gt;=Units!$Q110,MOD(CI$1-Units!$Q110,12)=0),IF(AND(Units!$L110=1,CI$1=Units!$Q110),1,Inputs!$B$15)*Inputs!$B$16*(1+Inputs!$B$11)^(CI$2-1),0)</f>
        <v>0</v>
      </c>
      <c r="CJ111" s="11" t="n">
        <f aca="false">IF(AND(CJ$1&gt;=Units!$Q110,MOD(CJ$1-Units!$Q110,12)=0),IF(AND(Units!$L110=1,CJ$1=Units!$Q110),1,Inputs!$B$15)*Inputs!$B$16*(1+Inputs!$B$11)^(CJ$2-1),0)</f>
        <v>0</v>
      </c>
      <c r="CK111" s="11" t="n">
        <f aca="false">IF(AND(CK$1&gt;=Units!$Q110,MOD(CK$1-Units!$Q110,12)=0),IF(AND(Units!$L110=1,CK$1=Units!$Q110),1,Inputs!$B$15)*Inputs!$B$16*(1+Inputs!$B$11)^(CK$2-1),0)</f>
        <v>0</v>
      </c>
      <c r="CL111" s="11" t="n">
        <f aca="false">IF(AND(CL$1&gt;=Units!$Q110,MOD(CL$1-Units!$Q110,12)=0),IF(AND(Units!$L110=1,CL$1=Units!$Q110),1,Inputs!$B$15)*Inputs!$B$16*(1+Inputs!$B$11)^(CL$2-1),0)</f>
        <v>0</v>
      </c>
      <c r="CM111" s="11" t="n">
        <f aca="false">IF(AND(CM$1&gt;=Units!$Q110,MOD(CM$1-Units!$Q110,12)=0),IF(AND(Units!$L110=1,CM$1=Units!$Q110),1,Inputs!$B$15)*Inputs!$B$16*(1+Inputs!$B$11)^(CM$2-1),0)</f>
        <v>0</v>
      </c>
      <c r="CN111" s="11" t="n">
        <f aca="false">IF(AND(CN$1&gt;=Units!$Q110,MOD(CN$1-Units!$Q110,12)=0),IF(AND(Units!$L110=1,CN$1=Units!$Q110),1,Inputs!$B$15)*Inputs!$B$16*(1+Inputs!$B$11)^(CN$2-1),0)</f>
        <v>0</v>
      </c>
      <c r="CO111" s="11" t="n">
        <f aca="false">IF(AND(CO$1&gt;=Units!$Q110,MOD(CO$1-Units!$Q110,12)=0),IF(AND(Units!$L110=1,CO$1=Units!$Q110),1,Inputs!$B$15)*Inputs!$B$16*(1+Inputs!$B$11)^(CO$2-1),0)</f>
        <v>0</v>
      </c>
      <c r="CP111" s="11" t="n">
        <f aca="false">IF(AND(CP$1&gt;=Units!$Q110,MOD(CP$1-Units!$Q110,12)=0),IF(AND(Units!$L110=1,CP$1=Units!$Q110),1,Inputs!$B$15)*Inputs!$B$16*(1+Inputs!$B$11)^(CP$2-1),0)</f>
        <v>0</v>
      </c>
      <c r="CQ111" s="11" t="n">
        <f aca="false">IF(AND(CQ$1&gt;=Units!$Q110,MOD(CQ$1-Units!$Q110,12)=0),IF(AND(Units!$L110=1,CQ$1=Units!$Q110),1,Inputs!$B$15)*Inputs!$B$16*(1+Inputs!$B$11)^(CQ$2-1),0)</f>
        <v>614.936932712435</v>
      </c>
      <c r="CR111" s="11" t="n">
        <f aca="false">IF(AND(CR$1&gt;=Units!$Q110,MOD(CR$1-Units!$Q110,12)=0),IF(AND(Units!$L110=1,CR$1=Units!$Q110),1,Inputs!$B$15)*Inputs!$B$16*(1+Inputs!$B$11)^(CR$2-1),0)</f>
        <v>0</v>
      </c>
      <c r="CS111" s="11" t="n">
        <f aca="false">IF(AND(CS$1&gt;=Units!$Q110,MOD(CS$1-Units!$Q110,12)=0),IF(AND(Units!$L110=1,CS$1=Units!$Q110),1,Inputs!$B$15)*Inputs!$B$16*(1+Inputs!$B$11)^(CS$2-1),0)</f>
        <v>0</v>
      </c>
      <c r="CT111" s="11" t="n">
        <f aca="false">IF(AND(CT$1&gt;=Units!$Q110,MOD(CT$1-Units!$Q110,12)=0),IF(AND(Units!$L110=1,CT$1=Units!$Q110),1,Inputs!$B$15)*Inputs!$B$16*(1+Inputs!$B$11)^(CT$2-1),0)</f>
        <v>0</v>
      </c>
      <c r="CU111" s="11" t="n">
        <f aca="false">IF(AND(CU$1&gt;=Units!$Q110,MOD(CU$1-Units!$Q110,12)=0),IF(AND(Units!$L110=1,CU$1=Units!$Q110),1,Inputs!$B$15)*Inputs!$B$16*(1+Inputs!$B$11)^(CU$2-1),0)</f>
        <v>0</v>
      </c>
      <c r="CV111" s="11" t="n">
        <f aca="false">IF(AND(CV$1&gt;=Units!$Q110,MOD(CV$1-Units!$Q110,12)=0),IF(AND(Units!$L110=1,CV$1=Units!$Q110),1,Inputs!$B$15)*Inputs!$B$16*(1+Inputs!$B$11)^(CV$2-1),0)</f>
        <v>0</v>
      </c>
      <c r="CW111" s="11" t="n">
        <f aca="false">IF(AND(CW$1&gt;=Units!$Q110,MOD(CW$1-Units!$Q110,12)=0),IF(AND(Units!$L110=1,CW$1=Units!$Q110),1,Inputs!$B$15)*Inputs!$B$16*(1+Inputs!$B$11)^(CW$2-1),0)</f>
        <v>0</v>
      </c>
      <c r="CX111" s="11" t="n">
        <f aca="false">IF(AND(CX$1&gt;=Units!$Q110,MOD(CX$1-Units!$Q110,12)=0),IF(AND(Units!$L110=1,CX$1=Units!$Q110),1,Inputs!$B$15)*Inputs!$B$16*(1+Inputs!$B$11)^(CX$2-1),0)</f>
        <v>0</v>
      </c>
      <c r="CY111" s="11" t="n">
        <f aca="false">IF(AND(CY$1&gt;=Units!$Q110,MOD(CY$1-Units!$Q110,12)=0),IF(AND(Units!$L110=1,CY$1=Units!$Q110),1,Inputs!$B$15)*Inputs!$B$16*(1+Inputs!$B$11)^(CY$2-1),0)</f>
        <v>0</v>
      </c>
      <c r="CZ111" s="11" t="n">
        <f aca="false">IF(AND(CZ$1&gt;=Units!$Q110,MOD(CZ$1-Units!$Q110,12)=0),IF(AND(Units!$L110=1,CZ$1=Units!$Q110),1,Inputs!$B$15)*Inputs!$B$16*(1+Inputs!$B$11)^(CZ$2-1),0)</f>
        <v>0</v>
      </c>
      <c r="DA111" s="11" t="n">
        <f aca="false">IF(AND(DA$1&gt;=Units!$Q110,MOD(DA$1-Units!$Q110,12)=0),IF(AND(Units!$L110=1,DA$1=Units!$Q110),1,Inputs!$B$15)*Inputs!$B$16*(1+Inputs!$B$11)^(DA$2-1),0)</f>
        <v>0</v>
      </c>
      <c r="DB111" s="11" t="n">
        <f aca="false">IF(AND(DB$1&gt;=Units!$Q110,MOD(DB$1-Units!$Q110,12)=0),IF(AND(Units!$L110=1,DB$1=Units!$Q110),1,Inputs!$B$15)*Inputs!$B$16*(1+Inputs!$B$11)^(DB$2-1),0)</f>
        <v>0</v>
      </c>
      <c r="DC111" s="11" t="n">
        <f aca="false">IF(AND(DC$1&gt;=Units!$Q110,MOD(DC$1-Units!$Q110,12)=0),IF(AND(Units!$L110=1,DC$1=Units!$Q110),1,Inputs!$B$15)*Inputs!$B$16*(1+Inputs!$B$11)^(DC$2-1),0)</f>
        <v>633.385040693808</v>
      </c>
      <c r="DD111" s="11" t="n">
        <f aca="false">IF(AND(DD$1&gt;=Units!$Q110,MOD(DD$1-Units!$Q110,12)=0),IF(AND(Units!$L110=1,DD$1=Units!$Q110),1,Inputs!$B$15)*Inputs!$B$16*(1+Inputs!$B$11)^(DD$2-1),0)</f>
        <v>0</v>
      </c>
      <c r="DE111" s="11" t="n">
        <f aca="false">IF(AND(DE$1&gt;=Units!$Q110,MOD(DE$1-Units!$Q110,12)=0),IF(AND(Units!$L110=1,DE$1=Units!$Q110),1,Inputs!$B$15)*Inputs!$B$16*(1+Inputs!$B$11)^(DE$2-1),0)</f>
        <v>0</v>
      </c>
      <c r="DF111" s="11" t="n">
        <f aca="false">IF(AND(DF$1&gt;=Units!$Q110,MOD(DF$1-Units!$Q110,12)=0),IF(AND(Units!$L110=1,DF$1=Units!$Q110),1,Inputs!$B$15)*Inputs!$B$16*(1+Inputs!$B$11)^(DF$2-1),0)</f>
        <v>0</v>
      </c>
      <c r="DG111" s="11" t="n">
        <f aca="false">IF(AND(DG$1&gt;=Units!$Q110,MOD(DG$1-Units!$Q110,12)=0),IF(AND(Units!$L110=1,DG$1=Units!$Q110),1,Inputs!$B$15)*Inputs!$B$16*(1+Inputs!$B$11)^(DG$2-1),0)</f>
        <v>0</v>
      </c>
      <c r="DH111" s="11" t="n">
        <f aca="false">IF(AND(DH$1&gt;=Units!$Q110,MOD(DH$1-Units!$Q110,12)=0),IF(AND(Units!$L110=1,DH$1=Units!$Q110),1,Inputs!$B$15)*Inputs!$B$16*(1+Inputs!$B$11)^(DH$2-1),0)</f>
        <v>0</v>
      </c>
      <c r="DI111" s="11" t="n">
        <f aca="false">IF(AND(DI$1&gt;=Units!$Q110,MOD(DI$1-Units!$Q110,12)=0),IF(AND(Units!$L110=1,DI$1=Units!$Q110),1,Inputs!$B$15)*Inputs!$B$16*(1+Inputs!$B$11)^(DI$2-1),0)</f>
        <v>0</v>
      </c>
      <c r="DJ111" s="11" t="n">
        <f aca="false">IF(AND(DJ$1&gt;=Units!$Q110,MOD(DJ$1-Units!$Q110,12)=0),IF(AND(Units!$L110=1,DJ$1=Units!$Q110),1,Inputs!$B$15)*Inputs!$B$16*(1+Inputs!$B$11)^(DJ$2-1),0)</f>
        <v>0</v>
      </c>
      <c r="DK111" s="11" t="n">
        <f aca="false">IF(AND(DK$1&gt;=Units!$Q110,MOD(DK$1-Units!$Q110,12)=0),IF(AND(Units!$L110=1,DK$1=Units!$Q110),1,Inputs!$B$15)*Inputs!$B$16*(1+Inputs!$B$11)^(DK$2-1),0)</f>
        <v>0</v>
      </c>
      <c r="DL111" s="11" t="n">
        <f aca="false">IF(AND(DL$1&gt;=Units!$Q110,MOD(DL$1-Units!$Q110,12)=0),IF(AND(Units!$L110=1,DL$1=Units!$Q110),1,Inputs!$B$15)*Inputs!$B$16*(1+Inputs!$B$11)^(DL$2-1),0)</f>
        <v>0</v>
      </c>
      <c r="DM111" s="11" t="n">
        <f aca="false">IF(AND(DM$1&gt;=Units!$Q110,MOD(DM$1-Units!$Q110,12)=0),IF(AND(Units!$L110=1,DM$1=Units!$Q110),1,Inputs!$B$15)*Inputs!$B$16*(1+Inputs!$B$11)^(DM$2-1),0)</f>
        <v>0</v>
      </c>
      <c r="DN111" s="11" t="n">
        <f aca="false">IF(AND(DN$1&gt;=Units!$Q110,MOD(DN$1-Units!$Q110,12)=0),IF(AND(Units!$L110=1,DN$1=Units!$Q110),1,Inputs!$B$15)*Inputs!$B$16*(1+Inputs!$B$11)^(DN$2-1),0)</f>
        <v>0</v>
      </c>
      <c r="DO111" s="11" t="n">
        <f aca="false">IF(AND(DO$1&gt;=Units!$Q110,MOD(DO$1-Units!$Q110,12)=0),IF(AND(Units!$L110=1,DO$1=Units!$Q110),1,Inputs!$B$15)*Inputs!$B$16*(1+Inputs!$B$11)^(DO$2-1),0)</f>
        <v>652.386591914623</v>
      </c>
      <c r="DP111" s="11" t="n">
        <f aca="false">IF(AND(DP$1&gt;=Units!$Q110,MOD(DP$1-Units!$Q110,12)=0),IF(AND(Units!$L110=1,DP$1=Units!$Q110),1,Inputs!$B$15)*Inputs!$B$16*(1+Inputs!$B$11)^(DP$2-1),0)</f>
        <v>0</v>
      </c>
      <c r="DQ111" s="11" t="n">
        <f aca="false">IF(AND(DQ$1&gt;=Units!$Q110,MOD(DQ$1-Units!$Q110,12)=0),IF(AND(Units!$L110=1,DQ$1=Units!$Q110),1,Inputs!$B$15)*Inputs!$B$16*(1+Inputs!$B$11)^(DQ$2-1),0)</f>
        <v>0</v>
      </c>
      <c r="DR111" s="11" t="n">
        <f aca="false">IF(AND(DR$1&gt;=Units!$Q110,MOD(DR$1-Units!$Q110,12)=0),IF(AND(Units!$L110=1,DR$1=Units!$Q110),1,Inputs!$B$15)*Inputs!$B$16*(1+Inputs!$B$11)^(DR$2-1),0)</f>
        <v>0</v>
      </c>
      <c r="DS111" s="11" t="n">
        <f aca="false">IF(AND(DS$1&gt;=Units!$Q110,MOD(DS$1-Units!$Q110,12)=0),IF(AND(Units!$L110=1,DS$1=Units!$Q110),1,Inputs!$B$15)*Inputs!$B$16*(1+Inputs!$B$11)^(DS$2-1),0)</f>
        <v>0</v>
      </c>
      <c r="DT111" s="11" t="n">
        <f aca="false">IF(AND(DT$1&gt;=Units!$Q110,MOD(DT$1-Units!$Q110,12)=0),IF(AND(Units!$L110=1,DT$1=Units!$Q110),1,Inputs!$B$15)*Inputs!$B$16*(1+Inputs!$B$11)^(DT$2-1),0)</f>
        <v>0</v>
      </c>
      <c r="DU111" s="11" t="n">
        <f aca="false">IF(AND(DU$1&gt;=Units!$Q110,MOD(DU$1-Units!$Q110,12)=0),IF(AND(Units!$L110=1,DU$1=Units!$Q110),1,Inputs!$B$15)*Inputs!$B$16*(1+Inputs!$B$11)^(DU$2-1),0)</f>
        <v>0</v>
      </c>
      <c r="DV111" s="11" t="n">
        <f aca="false">IF(AND(DV$1&gt;=Units!$Q110,MOD(DV$1-Units!$Q110,12)=0),IF(AND(Units!$L110=1,DV$1=Units!$Q110),1,Inputs!$B$15)*Inputs!$B$16*(1+Inputs!$B$11)^(DV$2-1),0)</f>
        <v>0</v>
      </c>
      <c r="DW111" s="11" t="n">
        <f aca="false">IF(AND(DW$1&gt;=Units!$Q110,MOD(DW$1-Units!$Q110,12)=0),IF(AND(Units!$L110=1,DW$1=Units!$Q110),1,Inputs!$B$15)*Inputs!$B$16*(1+Inputs!$B$11)^(DW$2-1),0)</f>
        <v>0</v>
      </c>
      <c r="DX111" s="11" t="n">
        <f aca="false">IF(AND(DX$1&gt;=Units!$Q110,MOD(DX$1-Units!$Q110,12)=0),IF(AND(Units!$L110=1,DX$1=Units!$Q110),1,Inputs!$B$15)*Inputs!$B$16*(1+Inputs!$B$11)^(DX$2-1),0)</f>
        <v>0</v>
      </c>
      <c r="DY111" s="11" t="n">
        <f aca="false">IF(AND(DY$1&gt;=Units!$Q110,MOD(DY$1-Units!$Q110,12)=0),IF(AND(Units!$L110=1,DY$1=Units!$Q110),1,Inputs!$B$15)*Inputs!$B$16*(1+Inputs!$B$11)^(DY$2-1),0)</f>
        <v>0</v>
      </c>
      <c r="DZ111" s="11" t="n">
        <f aca="false">IF(AND(DZ$1&gt;=Units!$Q110,MOD(DZ$1-Units!$Q110,12)=0),IF(AND(Units!$L110=1,DZ$1=Units!$Q110),1,Inputs!$B$15)*Inputs!$B$16*(1+Inputs!$B$11)^(DZ$2-1),0)</f>
        <v>0</v>
      </c>
      <c r="EA111" s="11" t="n">
        <f aca="false">IF(AND(EA$1&gt;=Units!$Q110,MOD(EA$1-Units!$Q110,12)=0),IF(AND(Units!$L110=1,EA$1=Units!$Q110),1,Inputs!$B$15)*Inputs!$B$16*(1+Inputs!$B$11)^(EA$2-1),0)</f>
        <v>671.958189672061</v>
      </c>
      <c r="EB111" s="11" t="n">
        <f aca="false">IF(AND(EB$1&gt;=Units!$Q110,MOD(EB$1-Units!$Q110,12)=0),IF(AND(Units!$L110=1,EB$1=Units!$Q110),1,Inputs!$B$15)*Inputs!$B$16*(1+Inputs!$B$11)^(EB$2-1),0)</f>
        <v>0</v>
      </c>
      <c r="EC111" s="11" t="n">
        <f aca="false">IF(AND(EC$1&gt;=Units!$Q110,MOD(EC$1-Units!$Q110,12)=0),IF(AND(Units!$L110=1,EC$1=Units!$Q110),1,Inputs!$B$15)*Inputs!$B$16*(1+Inputs!$B$11)^(EC$2-1),0)</f>
        <v>0</v>
      </c>
      <c r="ED111" s="11" t="n">
        <f aca="false">IF(AND(ED$1&gt;=Units!$Q110,MOD(ED$1-Units!$Q110,12)=0),IF(AND(Units!$L110=1,ED$1=Units!$Q110),1,Inputs!$B$15)*Inputs!$B$16*(1+Inputs!$B$11)^(ED$2-1),0)</f>
        <v>0</v>
      </c>
    </row>
    <row r="112" customFormat="false" ht="15" hidden="false" customHeight="false" outlineLevel="0" collapsed="false">
      <c r="A112" s="22" t="n">
        <f aca="false">Units!A111</f>
        <v>420</v>
      </c>
      <c r="B112" s="23"/>
      <c r="C112" s="11" t="n">
        <f aca="false">IF(AND(C$1&gt;=Units!$Q111,MOD(C$1-Units!$Q111,12)=0),IF(AND(Units!$L111=1,C$1=Units!$Q111),1,Inputs!$B$15)*Inputs!$B$16*(1+Inputs!$B$11)^(C$2-1),0)</f>
        <v>0</v>
      </c>
      <c r="D112" s="11" t="n">
        <f aca="false">IF(AND(D$1&gt;=Units!$Q111,MOD(D$1-Units!$Q111,12)=0),IF(AND(Units!$L111=1,D$1=Units!$Q111),1,Inputs!$B$15)*Inputs!$B$16*(1+Inputs!$B$11)^(D$2-1),0)</f>
        <v>0</v>
      </c>
      <c r="E112" s="11" t="n">
        <f aca="false">IF(AND(E$1&gt;=Units!$Q111,MOD(E$1-Units!$Q111,12)=0),IF(AND(Units!$L111=1,E$1=Units!$Q111),1,Inputs!$B$15)*Inputs!$B$16*(1+Inputs!$B$11)^(E$2-1),0)</f>
        <v>0</v>
      </c>
      <c r="F112" s="11" t="n">
        <f aca="false">IF(AND(F$1&gt;=Units!$Q111,MOD(F$1-Units!$Q111,12)=0),IF(AND(Units!$L111=1,F$1=Units!$Q111),1,Inputs!$B$15)*Inputs!$B$16*(1+Inputs!$B$11)^(F$2-1),0)</f>
        <v>0</v>
      </c>
      <c r="G112" s="11" t="n">
        <f aca="false">IF(AND(G$1&gt;=Units!$Q111,MOD(G$1-Units!$Q111,12)=0),IF(AND(Units!$L111=1,G$1=Units!$Q111),1,Inputs!$B$15)*Inputs!$B$16*(1+Inputs!$B$11)^(G$2-1),0)</f>
        <v>0</v>
      </c>
      <c r="H112" s="11" t="n">
        <f aca="false">IF(AND(H$1&gt;=Units!$Q111,MOD(H$1-Units!$Q111,12)=0),IF(AND(Units!$L111=1,H$1=Units!$Q111),1,Inputs!$B$15)*Inputs!$B$16*(1+Inputs!$B$11)^(H$2-1),0)</f>
        <v>0</v>
      </c>
      <c r="I112" s="11" t="n">
        <f aca="false">IF(AND(I$1&gt;=Units!$Q111,MOD(I$1-Units!$Q111,12)=0),IF(AND(Units!$L111=1,I$1=Units!$Q111),1,Inputs!$B$15)*Inputs!$B$16*(1+Inputs!$B$11)^(I$2-1),0)</f>
        <v>0</v>
      </c>
      <c r="J112" s="11" t="n">
        <f aca="false">IF(AND(J$1&gt;=Units!$Q111,MOD(J$1-Units!$Q111,12)=0),IF(AND(Units!$L111=1,J$1=Units!$Q111),1,Inputs!$B$15)*Inputs!$B$16*(1+Inputs!$B$11)^(J$2-1),0)</f>
        <v>0</v>
      </c>
      <c r="K112" s="11" t="n">
        <f aca="false">IF(AND(K$1&gt;=Units!$Q111,MOD(K$1-Units!$Q111,12)=0),IF(AND(Units!$L111=1,K$1=Units!$Q111),1,Inputs!$B$15)*Inputs!$B$16*(1+Inputs!$B$11)^(K$2-1),0)</f>
        <v>0</v>
      </c>
      <c r="L112" s="11" t="n">
        <f aca="false">IF(AND(L$1&gt;=Units!$Q111,MOD(L$1-Units!$Q111,12)=0),IF(AND(Units!$L111=1,L$1=Units!$Q111),1,Inputs!$B$15)*Inputs!$B$16*(1+Inputs!$B$11)^(L$2-1),0)</f>
        <v>0</v>
      </c>
      <c r="M112" s="11" t="n">
        <f aca="false">IF(AND(M$1&gt;=Units!$Q111,MOD(M$1-Units!$Q111,12)=0),IF(AND(Units!$L111=1,M$1=Units!$Q111),1,Inputs!$B$15)*Inputs!$B$16*(1+Inputs!$B$11)^(M$2-1),0)</f>
        <v>500</v>
      </c>
      <c r="N112" s="11" t="n">
        <f aca="false">IF(AND(N$1&gt;=Units!$Q111,MOD(N$1-Units!$Q111,12)=0),IF(AND(Units!$L111=1,N$1=Units!$Q111),1,Inputs!$B$15)*Inputs!$B$16*(1+Inputs!$B$11)^(N$2-1),0)</f>
        <v>0</v>
      </c>
      <c r="O112" s="11" t="n">
        <f aca="false">IF(AND(O$1&gt;=Units!$Q111,MOD(O$1-Units!$Q111,12)=0),IF(AND(Units!$L111=1,O$1=Units!$Q111),1,Inputs!$B$15)*Inputs!$B$16*(1+Inputs!$B$11)^(O$2-1),0)</f>
        <v>0</v>
      </c>
      <c r="P112" s="11" t="n">
        <f aca="false">IF(AND(P$1&gt;=Units!$Q111,MOD(P$1-Units!$Q111,12)=0),IF(AND(Units!$L111=1,P$1=Units!$Q111),1,Inputs!$B$15)*Inputs!$B$16*(1+Inputs!$B$11)^(P$2-1),0)</f>
        <v>0</v>
      </c>
      <c r="Q112" s="11" t="n">
        <f aca="false">IF(AND(Q$1&gt;=Units!$Q111,MOD(Q$1-Units!$Q111,12)=0),IF(AND(Units!$L111=1,Q$1=Units!$Q111),1,Inputs!$B$15)*Inputs!$B$16*(1+Inputs!$B$11)^(Q$2-1),0)</f>
        <v>0</v>
      </c>
      <c r="R112" s="11" t="n">
        <f aca="false">IF(AND(R$1&gt;=Units!$Q111,MOD(R$1-Units!$Q111,12)=0),IF(AND(Units!$L111=1,R$1=Units!$Q111),1,Inputs!$B$15)*Inputs!$B$16*(1+Inputs!$B$11)^(R$2-1),0)</f>
        <v>0</v>
      </c>
      <c r="S112" s="11" t="n">
        <f aca="false">IF(AND(S$1&gt;=Units!$Q111,MOD(S$1-Units!$Q111,12)=0),IF(AND(Units!$L111=1,S$1=Units!$Q111),1,Inputs!$B$15)*Inputs!$B$16*(1+Inputs!$B$11)^(S$2-1),0)</f>
        <v>0</v>
      </c>
      <c r="T112" s="11" t="n">
        <f aca="false">IF(AND(T$1&gt;=Units!$Q111,MOD(T$1-Units!$Q111,12)=0),IF(AND(Units!$L111=1,T$1=Units!$Q111),1,Inputs!$B$15)*Inputs!$B$16*(1+Inputs!$B$11)^(T$2-1),0)</f>
        <v>0</v>
      </c>
      <c r="U112" s="11" t="n">
        <f aca="false">IF(AND(U$1&gt;=Units!$Q111,MOD(U$1-Units!$Q111,12)=0),IF(AND(Units!$L111=1,U$1=Units!$Q111),1,Inputs!$B$15)*Inputs!$B$16*(1+Inputs!$B$11)^(U$2-1),0)</f>
        <v>0</v>
      </c>
      <c r="V112" s="11" t="n">
        <f aca="false">IF(AND(V$1&gt;=Units!$Q111,MOD(V$1-Units!$Q111,12)=0),IF(AND(Units!$L111=1,V$1=Units!$Q111),1,Inputs!$B$15)*Inputs!$B$16*(1+Inputs!$B$11)^(V$2-1),0)</f>
        <v>0</v>
      </c>
      <c r="W112" s="11" t="n">
        <f aca="false">IF(AND(W$1&gt;=Units!$Q111,MOD(W$1-Units!$Q111,12)=0),IF(AND(Units!$L111=1,W$1=Units!$Q111),1,Inputs!$B$15)*Inputs!$B$16*(1+Inputs!$B$11)^(W$2-1),0)</f>
        <v>0</v>
      </c>
      <c r="X112" s="11" t="n">
        <f aca="false">IF(AND(X$1&gt;=Units!$Q111,MOD(X$1-Units!$Q111,12)=0),IF(AND(Units!$L111=1,X$1=Units!$Q111),1,Inputs!$B$15)*Inputs!$B$16*(1+Inputs!$B$11)^(X$2-1),0)</f>
        <v>0</v>
      </c>
      <c r="Y112" s="11" t="n">
        <f aca="false">IF(AND(Y$1&gt;=Units!$Q111,MOD(Y$1-Units!$Q111,12)=0),IF(AND(Units!$L111=1,Y$1=Units!$Q111),1,Inputs!$B$15)*Inputs!$B$16*(1+Inputs!$B$11)^(Y$2-1),0)</f>
        <v>515</v>
      </c>
      <c r="Z112" s="11" t="n">
        <f aca="false">IF(AND(Z$1&gt;=Units!$Q111,MOD(Z$1-Units!$Q111,12)=0),IF(AND(Units!$L111=1,Z$1=Units!$Q111),1,Inputs!$B$15)*Inputs!$B$16*(1+Inputs!$B$11)^(Z$2-1),0)</f>
        <v>0</v>
      </c>
      <c r="AA112" s="11" t="n">
        <f aca="false">IF(AND(AA$1&gt;=Units!$Q111,MOD(AA$1-Units!$Q111,12)=0),IF(AND(Units!$L111=1,AA$1=Units!$Q111),1,Inputs!$B$15)*Inputs!$B$16*(1+Inputs!$B$11)^(AA$2-1),0)</f>
        <v>0</v>
      </c>
      <c r="AB112" s="11" t="n">
        <f aca="false">IF(AND(AB$1&gt;=Units!$Q111,MOD(AB$1-Units!$Q111,12)=0),IF(AND(Units!$L111=1,AB$1=Units!$Q111),1,Inputs!$B$15)*Inputs!$B$16*(1+Inputs!$B$11)^(AB$2-1),0)</f>
        <v>0</v>
      </c>
      <c r="AC112" s="11" t="n">
        <f aca="false">IF(AND(AC$1&gt;=Units!$Q111,MOD(AC$1-Units!$Q111,12)=0),IF(AND(Units!$L111=1,AC$1=Units!$Q111),1,Inputs!$B$15)*Inputs!$B$16*(1+Inputs!$B$11)^(AC$2-1),0)</f>
        <v>0</v>
      </c>
      <c r="AD112" s="11" t="n">
        <f aca="false">IF(AND(AD$1&gt;=Units!$Q111,MOD(AD$1-Units!$Q111,12)=0),IF(AND(Units!$L111=1,AD$1=Units!$Q111),1,Inputs!$B$15)*Inputs!$B$16*(1+Inputs!$B$11)^(AD$2-1),0)</f>
        <v>0</v>
      </c>
      <c r="AE112" s="11" t="n">
        <f aca="false">IF(AND(AE$1&gt;=Units!$Q111,MOD(AE$1-Units!$Q111,12)=0),IF(AND(Units!$L111=1,AE$1=Units!$Q111),1,Inputs!$B$15)*Inputs!$B$16*(1+Inputs!$B$11)^(AE$2-1),0)</f>
        <v>0</v>
      </c>
      <c r="AF112" s="11" t="n">
        <f aca="false">IF(AND(AF$1&gt;=Units!$Q111,MOD(AF$1-Units!$Q111,12)=0),IF(AND(Units!$L111=1,AF$1=Units!$Q111),1,Inputs!$B$15)*Inputs!$B$16*(1+Inputs!$B$11)^(AF$2-1),0)</f>
        <v>0</v>
      </c>
      <c r="AG112" s="11" t="n">
        <f aca="false">IF(AND(AG$1&gt;=Units!$Q111,MOD(AG$1-Units!$Q111,12)=0),IF(AND(Units!$L111=1,AG$1=Units!$Q111),1,Inputs!$B$15)*Inputs!$B$16*(1+Inputs!$B$11)^(AG$2-1),0)</f>
        <v>0</v>
      </c>
      <c r="AH112" s="11" t="n">
        <f aca="false">IF(AND(AH$1&gt;=Units!$Q111,MOD(AH$1-Units!$Q111,12)=0),IF(AND(Units!$L111=1,AH$1=Units!$Q111),1,Inputs!$B$15)*Inputs!$B$16*(1+Inputs!$B$11)^(AH$2-1),0)</f>
        <v>0</v>
      </c>
      <c r="AI112" s="11" t="n">
        <f aca="false">IF(AND(AI$1&gt;=Units!$Q111,MOD(AI$1-Units!$Q111,12)=0),IF(AND(Units!$L111=1,AI$1=Units!$Q111),1,Inputs!$B$15)*Inputs!$B$16*(1+Inputs!$B$11)^(AI$2-1),0)</f>
        <v>0</v>
      </c>
      <c r="AJ112" s="11" t="n">
        <f aca="false">IF(AND(AJ$1&gt;=Units!$Q111,MOD(AJ$1-Units!$Q111,12)=0),IF(AND(Units!$L111=1,AJ$1=Units!$Q111),1,Inputs!$B$15)*Inputs!$B$16*(1+Inputs!$B$11)^(AJ$2-1),0)</f>
        <v>0</v>
      </c>
      <c r="AK112" s="11" t="n">
        <f aca="false">IF(AND(AK$1&gt;=Units!$Q111,MOD(AK$1-Units!$Q111,12)=0),IF(AND(Units!$L111=1,AK$1=Units!$Q111),1,Inputs!$B$15)*Inputs!$B$16*(1+Inputs!$B$11)^(AK$2-1),0)</f>
        <v>530.45</v>
      </c>
      <c r="AL112" s="11" t="n">
        <f aca="false">IF(AND(AL$1&gt;=Units!$Q111,MOD(AL$1-Units!$Q111,12)=0),IF(AND(Units!$L111=1,AL$1=Units!$Q111),1,Inputs!$B$15)*Inputs!$B$16*(1+Inputs!$B$11)^(AL$2-1),0)</f>
        <v>0</v>
      </c>
      <c r="AM112" s="11" t="n">
        <f aca="false">IF(AND(AM$1&gt;=Units!$Q111,MOD(AM$1-Units!$Q111,12)=0),IF(AND(Units!$L111=1,AM$1=Units!$Q111),1,Inputs!$B$15)*Inputs!$B$16*(1+Inputs!$B$11)^(AM$2-1),0)</f>
        <v>0</v>
      </c>
      <c r="AN112" s="11" t="n">
        <f aca="false">IF(AND(AN$1&gt;=Units!$Q111,MOD(AN$1-Units!$Q111,12)=0),IF(AND(Units!$L111=1,AN$1=Units!$Q111),1,Inputs!$B$15)*Inputs!$B$16*(1+Inputs!$B$11)^(AN$2-1),0)</f>
        <v>0</v>
      </c>
      <c r="AO112" s="11" t="n">
        <f aca="false">IF(AND(AO$1&gt;=Units!$Q111,MOD(AO$1-Units!$Q111,12)=0),IF(AND(Units!$L111=1,AO$1=Units!$Q111),1,Inputs!$B$15)*Inputs!$B$16*(1+Inputs!$B$11)^(AO$2-1),0)</f>
        <v>0</v>
      </c>
      <c r="AP112" s="11" t="n">
        <f aca="false">IF(AND(AP$1&gt;=Units!$Q111,MOD(AP$1-Units!$Q111,12)=0),IF(AND(Units!$L111=1,AP$1=Units!$Q111),1,Inputs!$B$15)*Inputs!$B$16*(1+Inputs!$B$11)^(AP$2-1),0)</f>
        <v>0</v>
      </c>
      <c r="AQ112" s="11" t="n">
        <f aca="false">IF(AND(AQ$1&gt;=Units!$Q111,MOD(AQ$1-Units!$Q111,12)=0),IF(AND(Units!$L111=1,AQ$1=Units!$Q111),1,Inputs!$B$15)*Inputs!$B$16*(1+Inputs!$B$11)^(AQ$2-1),0)</f>
        <v>0</v>
      </c>
      <c r="AR112" s="11" t="n">
        <f aca="false">IF(AND(AR$1&gt;=Units!$Q111,MOD(AR$1-Units!$Q111,12)=0),IF(AND(Units!$L111=1,AR$1=Units!$Q111),1,Inputs!$B$15)*Inputs!$B$16*(1+Inputs!$B$11)^(AR$2-1),0)</f>
        <v>0</v>
      </c>
      <c r="AS112" s="11" t="n">
        <f aca="false">IF(AND(AS$1&gt;=Units!$Q111,MOD(AS$1-Units!$Q111,12)=0),IF(AND(Units!$L111=1,AS$1=Units!$Q111),1,Inputs!$B$15)*Inputs!$B$16*(1+Inputs!$B$11)^(AS$2-1),0)</f>
        <v>0</v>
      </c>
      <c r="AT112" s="11" t="n">
        <f aca="false">IF(AND(AT$1&gt;=Units!$Q111,MOD(AT$1-Units!$Q111,12)=0),IF(AND(Units!$L111=1,AT$1=Units!$Q111),1,Inputs!$B$15)*Inputs!$B$16*(1+Inputs!$B$11)^(AT$2-1),0)</f>
        <v>0</v>
      </c>
      <c r="AU112" s="11" t="n">
        <f aca="false">IF(AND(AU$1&gt;=Units!$Q111,MOD(AU$1-Units!$Q111,12)=0),IF(AND(Units!$L111=1,AU$1=Units!$Q111),1,Inputs!$B$15)*Inputs!$B$16*(1+Inputs!$B$11)^(AU$2-1),0)</f>
        <v>0</v>
      </c>
      <c r="AV112" s="11" t="n">
        <f aca="false">IF(AND(AV$1&gt;=Units!$Q111,MOD(AV$1-Units!$Q111,12)=0),IF(AND(Units!$L111=1,AV$1=Units!$Q111),1,Inputs!$B$15)*Inputs!$B$16*(1+Inputs!$B$11)^(AV$2-1),0)</f>
        <v>0</v>
      </c>
      <c r="AW112" s="11" t="n">
        <f aca="false">IF(AND(AW$1&gt;=Units!$Q111,MOD(AW$1-Units!$Q111,12)=0),IF(AND(Units!$L111=1,AW$1=Units!$Q111),1,Inputs!$B$15)*Inputs!$B$16*(1+Inputs!$B$11)^(AW$2-1),0)</f>
        <v>546.3635</v>
      </c>
      <c r="AX112" s="11" t="n">
        <f aca="false">IF(AND(AX$1&gt;=Units!$Q111,MOD(AX$1-Units!$Q111,12)=0),IF(AND(Units!$L111=1,AX$1=Units!$Q111),1,Inputs!$B$15)*Inputs!$B$16*(1+Inputs!$B$11)^(AX$2-1),0)</f>
        <v>0</v>
      </c>
      <c r="AY112" s="11" t="n">
        <f aca="false">IF(AND(AY$1&gt;=Units!$Q111,MOD(AY$1-Units!$Q111,12)=0),IF(AND(Units!$L111=1,AY$1=Units!$Q111),1,Inputs!$B$15)*Inputs!$B$16*(1+Inputs!$B$11)^(AY$2-1),0)</f>
        <v>0</v>
      </c>
      <c r="AZ112" s="11" t="n">
        <f aca="false">IF(AND(AZ$1&gt;=Units!$Q111,MOD(AZ$1-Units!$Q111,12)=0),IF(AND(Units!$L111=1,AZ$1=Units!$Q111),1,Inputs!$B$15)*Inputs!$B$16*(1+Inputs!$B$11)^(AZ$2-1),0)</f>
        <v>0</v>
      </c>
      <c r="BA112" s="11" t="n">
        <f aca="false">IF(AND(BA$1&gt;=Units!$Q111,MOD(BA$1-Units!$Q111,12)=0),IF(AND(Units!$L111=1,BA$1=Units!$Q111),1,Inputs!$B$15)*Inputs!$B$16*(1+Inputs!$B$11)^(BA$2-1),0)</f>
        <v>0</v>
      </c>
      <c r="BB112" s="11" t="n">
        <f aca="false">IF(AND(BB$1&gt;=Units!$Q111,MOD(BB$1-Units!$Q111,12)=0),IF(AND(Units!$L111=1,BB$1=Units!$Q111),1,Inputs!$B$15)*Inputs!$B$16*(1+Inputs!$B$11)^(BB$2-1),0)</f>
        <v>0</v>
      </c>
      <c r="BC112" s="11" t="n">
        <f aca="false">IF(AND(BC$1&gt;=Units!$Q111,MOD(BC$1-Units!$Q111,12)=0),IF(AND(Units!$L111=1,BC$1=Units!$Q111),1,Inputs!$B$15)*Inputs!$B$16*(1+Inputs!$B$11)^(BC$2-1),0)</f>
        <v>0</v>
      </c>
      <c r="BD112" s="11" t="n">
        <f aca="false">IF(AND(BD$1&gt;=Units!$Q111,MOD(BD$1-Units!$Q111,12)=0),IF(AND(Units!$L111=1,BD$1=Units!$Q111),1,Inputs!$B$15)*Inputs!$B$16*(1+Inputs!$B$11)^(BD$2-1),0)</f>
        <v>0</v>
      </c>
      <c r="BE112" s="11" t="n">
        <f aca="false">IF(AND(BE$1&gt;=Units!$Q111,MOD(BE$1-Units!$Q111,12)=0),IF(AND(Units!$L111=1,BE$1=Units!$Q111),1,Inputs!$B$15)*Inputs!$B$16*(1+Inputs!$B$11)^(BE$2-1),0)</f>
        <v>0</v>
      </c>
      <c r="BF112" s="11" t="n">
        <f aca="false">IF(AND(BF$1&gt;=Units!$Q111,MOD(BF$1-Units!$Q111,12)=0),IF(AND(Units!$L111=1,BF$1=Units!$Q111),1,Inputs!$B$15)*Inputs!$B$16*(1+Inputs!$B$11)^(BF$2-1),0)</f>
        <v>0</v>
      </c>
      <c r="BG112" s="11" t="n">
        <f aca="false">IF(AND(BG$1&gt;=Units!$Q111,MOD(BG$1-Units!$Q111,12)=0),IF(AND(Units!$L111=1,BG$1=Units!$Q111),1,Inputs!$B$15)*Inputs!$B$16*(1+Inputs!$B$11)^(BG$2-1),0)</f>
        <v>0</v>
      </c>
      <c r="BH112" s="11" t="n">
        <f aca="false">IF(AND(BH$1&gt;=Units!$Q111,MOD(BH$1-Units!$Q111,12)=0),IF(AND(Units!$L111=1,BH$1=Units!$Q111),1,Inputs!$B$15)*Inputs!$B$16*(1+Inputs!$B$11)^(BH$2-1),0)</f>
        <v>0</v>
      </c>
      <c r="BI112" s="11" t="n">
        <f aca="false">IF(AND(BI$1&gt;=Units!$Q111,MOD(BI$1-Units!$Q111,12)=0),IF(AND(Units!$L111=1,BI$1=Units!$Q111),1,Inputs!$B$15)*Inputs!$B$16*(1+Inputs!$B$11)^(BI$2-1),0)</f>
        <v>562.754405</v>
      </c>
      <c r="BJ112" s="11" t="n">
        <f aca="false">IF(AND(BJ$1&gt;=Units!$Q111,MOD(BJ$1-Units!$Q111,12)=0),IF(AND(Units!$L111=1,BJ$1=Units!$Q111),1,Inputs!$B$15)*Inputs!$B$16*(1+Inputs!$B$11)^(BJ$2-1),0)</f>
        <v>0</v>
      </c>
      <c r="BK112" s="11" t="n">
        <f aca="false">IF(AND(BK$1&gt;=Units!$Q111,MOD(BK$1-Units!$Q111,12)=0),IF(AND(Units!$L111=1,BK$1=Units!$Q111),1,Inputs!$B$15)*Inputs!$B$16*(1+Inputs!$B$11)^(BK$2-1),0)</f>
        <v>0</v>
      </c>
      <c r="BL112" s="11" t="n">
        <f aca="false">IF(AND(BL$1&gt;=Units!$Q111,MOD(BL$1-Units!$Q111,12)=0),IF(AND(Units!$L111=1,BL$1=Units!$Q111),1,Inputs!$B$15)*Inputs!$B$16*(1+Inputs!$B$11)^(BL$2-1),0)</f>
        <v>0</v>
      </c>
      <c r="BM112" s="11" t="n">
        <f aca="false">IF(AND(BM$1&gt;=Units!$Q111,MOD(BM$1-Units!$Q111,12)=0),IF(AND(Units!$L111=1,BM$1=Units!$Q111),1,Inputs!$B$15)*Inputs!$B$16*(1+Inputs!$B$11)^(BM$2-1),0)</f>
        <v>0</v>
      </c>
      <c r="BN112" s="11" t="n">
        <f aca="false">IF(AND(BN$1&gt;=Units!$Q111,MOD(BN$1-Units!$Q111,12)=0),IF(AND(Units!$L111=1,BN$1=Units!$Q111),1,Inputs!$B$15)*Inputs!$B$16*(1+Inputs!$B$11)^(BN$2-1),0)</f>
        <v>0</v>
      </c>
      <c r="BO112" s="11" t="n">
        <f aca="false">IF(AND(BO$1&gt;=Units!$Q111,MOD(BO$1-Units!$Q111,12)=0),IF(AND(Units!$L111=1,BO$1=Units!$Q111),1,Inputs!$B$15)*Inputs!$B$16*(1+Inputs!$B$11)^(BO$2-1),0)</f>
        <v>0</v>
      </c>
      <c r="BP112" s="11" t="n">
        <f aca="false">IF(AND(BP$1&gt;=Units!$Q111,MOD(BP$1-Units!$Q111,12)=0),IF(AND(Units!$L111=1,BP$1=Units!$Q111),1,Inputs!$B$15)*Inputs!$B$16*(1+Inputs!$B$11)^(BP$2-1),0)</f>
        <v>0</v>
      </c>
      <c r="BQ112" s="11" t="n">
        <f aca="false">IF(AND(BQ$1&gt;=Units!$Q111,MOD(BQ$1-Units!$Q111,12)=0),IF(AND(Units!$L111=1,BQ$1=Units!$Q111),1,Inputs!$B$15)*Inputs!$B$16*(1+Inputs!$B$11)^(BQ$2-1),0)</f>
        <v>0</v>
      </c>
      <c r="BR112" s="11" t="n">
        <f aca="false">IF(AND(BR$1&gt;=Units!$Q111,MOD(BR$1-Units!$Q111,12)=0),IF(AND(Units!$L111=1,BR$1=Units!$Q111),1,Inputs!$B$15)*Inputs!$B$16*(1+Inputs!$B$11)^(BR$2-1),0)</f>
        <v>0</v>
      </c>
      <c r="BS112" s="11" t="n">
        <f aca="false">IF(AND(BS$1&gt;=Units!$Q111,MOD(BS$1-Units!$Q111,12)=0),IF(AND(Units!$L111=1,BS$1=Units!$Q111),1,Inputs!$B$15)*Inputs!$B$16*(1+Inputs!$B$11)^(BS$2-1),0)</f>
        <v>0</v>
      </c>
      <c r="BT112" s="11" t="n">
        <f aca="false">IF(AND(BT$1&gt;=Units!$Q111,MOD(BT$1-Units!$Q111,12)=0),IF(AND(Units!$L111=1,BT$1=Units!$Q111),1,Inputs!$B$15)*Inputs!$B$16*(1+Inputs!$B$11)^(BT$2-1),0)</f>
        <v>0</v>
      </c>
      <c r="BU112" s="11" t="n">
        <f aca="false">IF(AND(BU$1&gt;=Units!$Q111,MOD(BU$1-Units!$Q111,12)=0),IF(AND(Units!$L111=1,BU$1=Units!$Q111),1,Inputs!$B$15)*Inputs!$B$16*(1+Inputs!$B$11)^(BU$2-1),0)</f>
        <v>579.63703715</v>
      </c>
      <c r="BV112" s="11" t="n">
        <f aca="false">IF(AND(BV$1&gt;=Units!$Q111,MOD(BV$1-Units!$Q111,12)=0),IF(AND(Units!$L111=1,BV$1=Units!$Q111),1,Inputs!$B$15)*Inputs!$B$16*(1+Inputs!$B$11)^(BV$2-1),0)</f>
        <v>0</v>
      </c>
      <c r="BW112" s="11" t="n">
        <f aca="false">IF(AND(BW$1&gt;=Units!$Q111,MOD(BW$1-Units!$Q111,12)=0),IF(AND(Units!$L111=1,BW$1=Units!$Q111),1,Inputs!$B$15)*Inputs!$B$16*(1+Inputs!$B$11)^(BW$2-1),0)</f>
        <v>0</v>
      </c>
      <c r="BX112" s="11" t="n">
        <f aca="false">IF(AND(BX$1&gt;=Units!$Q111,MOD(BX$1-Units!$Q111,12)=0),IF(AND(Units!$L111=1,BX$1=Units!$Q111),1,Inputs!$B$15)*Inputs!$B$16*(1+Inputs!$B$11)^(BX$2-1),0)</f>
        <v>0</v>
      </c>
      <c r="BY112" s="11" t="n">
        <f aca="false">IF(AND(BY$1&gt;=Units!$Q111,MOD(BY$1-Units!$Q111,12)=0),IF(AND(Units!$L111=1,BY$1=Units!$Q111),1,Inputs!$B$15)*Inputs!$B$16*(1+Inputs!$B$11)^(BY$2-1),0)</f>
        <v>0</v>
      </c>
      <c r="BZ112" s="11" t="n">
        <f aca="false">IF(AND(BZ$1&gt;=Units!$Q111,MOD(BZ$1-Units!$Q111,12)=0),IF(AND(Units!$L111=1,BZ$1=Units!$Q111),1,Inputs!$B$15)*Inputs!$B$16*(1+Inputs!$B$11)^(BZ$2-1),0)</f>
        <v>0</v>
      </c>
      <c r="CA112" s="11" t="n">
        <f aca="false">IF(AND(CA$1&gt;=Units!$Q111,MOD(CA$1-Units!$Q111,12)=0),IF(AND(Units!$L111=1,CA$1=Units!$Q111),1,Inputs!$B$15)*Inputs!$B$16*(1+Inputs!$B$11)^(CA$2-1),0)</f>
        <v>0</v>
      </c>
      <c r="CB112" s="11" t="n">
        <f aca="false">IF(AND(CB$1&gt;=Units!$Q111,MOD(CB$1-Units!$Q111,12)=0),IF(AND(Units!$L111=1,CB$1=Units!$Q111),1,Inputs!$B$15)*Inputs!$B$16*(1+Inputs!$B$11)^(CB$2-1),0)</f>
        <v>0</v>
      </c>
      <c r="CC112" s="11" t="n">
        <f aca="false">IF(AND(CC$1&gt;=Units!$Q111,MOD(CC$1-Units!$Q111,12)=0),IF(AND(Units!$L111=1,CC$1=Units!$Q111),1,Inputs!$B$15)*Inputs!$B$16*(1+Inputs!$B$11)^(CC$2-1),0)</f>
        <v>0</v>
      </c>
      <c r="CD112" s="11" t="n">
        <f aca="false">IF(AND(CD$1&gt;=Units!$Q111,MOD(CD$1-Units!$Q111,12)=0),IF(AND(Units!$L111=1,CD$1=Units!$Q111),1,Inputs!$B$15)*Inputs!$B$16*(1+Inputs!$B$11)^(CD$2-1),0)</f>
        <v>0</v>
      </c>
      <c r="CE112" s="11" t="n">
        <f aca="false">IF(AND(CE$1&gt;=Units!$Q111,MOD(CE$1-Units!$Q111,12)=0),IF(AND(Units!$L111=1,CE$1=Units!$Q111),1,Inputs!$B$15)*Inputs!$B$16*(1+Inputs!$B$11)^(CE$2-1),0)</f>
        <v>0</v>
      </c>
      <c r="CF112" s="11" t="n">
        <f aca="false">IF(AND(CF$1&gt;=Units!$Q111,MOD(CF$1-Units!$Q111,12)=0),IF(AND(Units!$L111=1,CF$1=Units!$Q111),1,Inputs!$B$15)*Inputs!$B$16*(1+Inputs!$B$11)^(CF$2-1),0)</f>
        <v>0</v>
      </c>
      <c r="CG112" s="11" t="n">
        <f aca="false">IF(AND(CG$1&gt;=Units!$Q111,MOD(CG$1-Units!$Q111,12)=0),IF(AND(Units!$L111=1,CG$1=Units!$Q111),1,Inputs!$B$15)*Inputs!$B$16*(1+Inputs!$B$11)^(CG$2-1),0)</f>
        <v>597.0261482645</v>
      </c>
      <c r="CH112" s="11" t="n">
        <f aca="false">IF(AND(CH$1&gt;=Units!$Q111,MOD(CH$1-Units!$Q111,12)=0),IF(AND(Units!$L111=1,CH$1=Units!$Q111),1,Inputs!$B$15)*Inputs!$B$16*(1+Inputs!$B$11)^(CH$2-1),0)</f>
        <v>0</v>
      </c>
      <c r="CI112" s="11" t="n">
        <f aca="false">IF(AND(CI$1&gt;=Units!$Q111,MOD(CI$1-Units!$Q111,12)=0),IF(AND(Units!$L111=1,CI$1=Units!$Q111),1,Inputs!$B$15)*Inputs!$B$16*(1+Inputs!$B$11)^(CI$2-1),0)</f>
        <v>0</v>
      </c>
      <c r="CJ112" s="11" t="n">
        <f aca="false">IF(AND(CJ$1&gt;=Units!$Q111,MOD(CJ$1-Units!$Q111,12)=0),IF(AND(Units!$L111=1,CJ$1=Units!$Q111),1,Inputs!$B$15)*Inputs!$B$16*(1+Inputs!$B$11)^(CJ$2-1),0)</f>
        <v>0</v>
      </c>
      <c r="CK112" s="11" t="n">
        <f aca="false">IF(AND(CK$1&gt;=Units!$Q111,MOD(CK$1-Units!$Q111,12)=0),IF(AND(Units!$L111=1,CK$1=Units!$Q111),1,Inputs!$B$15)*Inputs!$B$16*(1+Inputs!$B$11)^(CK$2-1),0)</f>
        <v>0</v>
      </c>
      <c r="CL112" s="11" t="n">
        <f aca="false">IF(AND(CL$1&gt;=Units!$Q111,MOD(CL$1-Units!$Q111,12)=0),IF(AND(Units!$L111=1,CL$1=Units!$Q111),1,Inputs!$B$15)*Inputs!$B$16*(1+Inputs!$B$11)^(CL$2-1),0)</f>
        <v>0</v>
      </c>
      <c r="CM112" s="11" t="n">
        <f aca="false">IF(AND(CM$1&gt;=Units!$Q111,MOD(CM$1-Units!$Q111,12)=0),IF(AND(Units!$L111=1,CM$1=Units!$Q111),1,Inputs!$B$15)*Inputs!$B$16*(1+Inputs!$B$11)^(CM$2-1),0)</f>
        <v>0</v>
      </c>
      <c r="CN112" s="11" t="n">
        <f aca="false">IF(AND(CN$1&gt;=Units!$Q111,MOD(CN$1-Units!$Q111,12)=0),IF(AND(Units!$L111=1,CN$1=Units!$Q111),1,Inputs!$B$15)*Inputs!$B$16*(1+Inputs!$B$11)^(CN$2-1),0)</f>
        <v>0</v>
      </c>
      <c r="CO112" s="11" t="n">
        <f aca="false">IF(AND(CO$1&gt;=Units!$Q111,MOD(CO$1-Units!$Q111,12)=0),IF(AND(Units!$L111=1,CO$1=Units!$Q111),1,Inputs!$B$15)*Inputs!$B$16*(1+Inputs!$B$11)^(CO$2-1),0)</f>
        <v>0</v>
      </c>
      <c r="CP112" s="11" t="n">
        <f aca="false">IF(AND(CP$1&gt;=Units!$Q111,MOD(CP$1-Units!$Q111,12)=0),IF(AND(Units!$L111=1,CP$1=Units!$Q111),1,Inputs!$B$15)*Inputs!$B$16*(1+Inputs!$B$11)^(CP$2-1),0)</f>
        <v>0</v>
      </c>
      <c r="CQ112" s="11" t="n">
        <f aca="false">IF(AND(CQ$1&gt;=Units!$Q111,MOD(CQ$1-Units!$Q111,12)=0),IF(AND(Units!$L111=1,CQ$1=Units!$Q111),1,Inputs!$B$15)*Inputs!$B$16*(1+Inputs!$B$11)^(CQ$2-1),0)</f>
        <v>0</v>
      </c>
      <c r="CR112" s="11" t="n">
        <f aca="false">IF(AND(CR$1&gt;=Units!$Q111,MOD(CR$1-Units!$Q111,12)=0),IF(AND(Units!$L111=1,CR$1=Units!$Q111),1,Inputs!$B$15)*Inputs!$B$16*(1+Inputs!$B$11)^(CR$2-1),0)</f>
        <v>0</v>
      </c>
      <c r="CS112" s="11" t="n">
        <f aca="false">IF(AND(CS$1&gt;=Units!$Q111,MOD(CS$1-Units!$Q111,12)=0),IF(AND(Units!$L111=1,CS$1=Units!$Q111),1,Inputs!$B$15)*Inputs!$B$16*(1+Inputs!$B$11)^(CS$2-1),0)</f>
        <v>614.936932712435</v>
      </c>
      <c r="CT112" s="11" t="n">
        <f aca="false">IF(AND(CT$1&gt;=Units!$Q111,MOD(CT$1-Units!$Q111,12)=0),IF(AND(Units!$L111=1,CT$1=Units!$Q111),1,Inputs!$B$15)*Inputs!$B$16*(1+Inputs!$B$11)^(CT$2-1),0)</f>
        <v>0</v>
      </c>
      <c r="CU112" s="11" t="n">
        <f aca="false">IF(AND(CU$1&gt;=Units!$Q111,MOD(CU$1-Units!$Q111,12)=0),IF(AND(Units!$L111=1,CU$1=Units!$Q111),1,Inputs!$B$15)*Inputs!$B$16*(1+Inputs!$B$11)^(CU$2-1),0)</f>
        <v>0</v>
      </c>
      <c r="CV112" s="11" t="n">
        <f aca="false">IF(AND(CV$1&gt;=Units!$Q111,MOD(CV$1-Units!$Q111,12)=0),IF(AND(Units!$L111=1,CV$1=Units!$Q111),1,Inputs!$B$15)*Inputs!$B$16*(1+Inputs!$B$11)^(CV$2-1),0)</f>
        <v>0</v>
      </c>
      <c r="CW112" s="11" t="n">
        <f aca="false">IF(AND(CW$1&gt;=Units!$Q111,MOD(CW$1-Units!$Q111,12)=0),IF(AND(Units!$L111=1,CW$1=Units!$Q111),1,Inputs!$B$15)*Inputs!$B$16*(1+Inputs!$B$11)^(CW$2-1),0)</f>
        <v>0</v>
      </c>
      <c r="CX112" s="11" t="n">
        <f aca="false">IF(AND(CX$1&gt;=Units!$Q111,MOD(CX$1-Units!$Q111,12)=0),IF(AND(Units!$L111=1,CX$1=Units!$Q111),1,Inputs!$B$15)*Inputs!$B$16*(1+Inputs!$B$11)^(CX$2-1),0)</f>
        <v>0</v>
      </c>
      <c r="CY112" s="11" t="n">
        <f aca="false">IF(AND(CY$1&gt;=Units!$Q111,MOD(CY$1-Units!$Q111,12)=0),IF(AND(Units!$L111=1,CY$1=Units!$Q111),1,Inputs!$B$15)*Inputs!$B$16*(1+Inputs!$B$11)^(CY$2-1),0)</f>
        <v>0</v>
      </c>
      <c r="CZ112" s="11" t="n">
        <f aca="false">IF(AND(CZ$1&gt;=Units!$Q111,MOD(CZ$1-Units!$Q111,12)=0),IF(AND(Units!$L111=1,CZ$1=Units!$Q111),1,Inputs!$B$15)*Inputs!$B$16*(1+Inputs!$B$11)^(CZ$2-1),0)</f>
        <v>0</v>
      </c>
      <c r="DA112" s="11" t="n">
        <f aca="false">IF(AND(DA$1&gt;=Units!$Q111,MOD(DA$1-Units!$Q111,12)=0),IF(AND(Units!$L111=1,DA$1=Units!$Q111),1,Inputs!$B$15)*Inputs!$B$16*(1+Inputs!$B$11)^(DA$2-1),0)</f>
        <v>0</v>
      </c>
      <c r="DB112" s="11" t="n">
        <f aca="false">IF(AND(DB$1&gt;=Units!$Q111,MOD(DB$1-Units!$Q111,12)=0),IF(AND(Units!$L111=1,DB$1=Units!$Q111),1,Inputs!$B$15)*Inputs!$B$16*(1+Inputs!$B$11)^(DB$2-1),0)</f>
        <v>0</v>
      </c>
      <c r="DC112" s="11" t="n">
        <f aca="false">IF(AND(DC$1&gt;=Units!$Q111,MOD(DC$1-Units!$Q111,12)=0),IF(AND(Units!$L111=1,DC$1=Units!$Q111),1,Inputs!$B$15)*Inputs!$B$16*(1+Inputs!$B$11)^(DC$2-1),0)</f>
        <v>0</v>
      </c>
      <c r="DD112" s="11" t="n">
        <f aca="false">IF(AND(DD$1&gt;=Units!$Q111,MOD(DD$1-Units!$Q111,12)=0),IF(AND(Units!$L111=1,DD$1=Units!$Q111),1,Inputs!$B$15)*Inputs!$B$16*(1+Inputs!$B$11)^(DD$2-1),0)</f>
        <v>0</v>
      </c>
      <c r="DE112" s="11" t="n">
        <f aca="false">IF(AND(DE$1&gt;=Units!$Q111,MOD(DE$1-Units!$Q111,12)=0),IF(AND(Units!$L111=1,DE$1=Units!$Q111),1,Inputs!$B$15)*Inputs!$B$16*(1+Inputs!$B$11)^(DE$2-1),0)</f>
        <v>633.385040693808</v>
      </c>
      <c r="DF112" s="11" t="n">
        <f aca="false">IF(AND(DF$1&gt;=Units!$Q111,MOD(DF$1-Units!$Q111,12)=0),IF(AND(Units!$L111=1,DF$1=Units!$Q111),1,Inputs!$B$15)*Inputs!$B$16*(1+Inputs!$B$11)^(DF$2-1),0)</f>
        <v>0</v>
      </c>
      <c r="DG112" s="11" t="n">
        <f aca="false">IF(AND(DG$1&gt;=Units!$Q111,MOD(DG$1-Units!$Q111,12)=0),IF(AND(Units!$L111=1,DG$1=Units!$Q111),1,Inputs!$B$15)*Inputs!$B$16*(1+Inputs!$B$11)^(DG$2-1),0)</f>
        <v>0</v>
      </c>
      <c r="DH112" s="11" t="n">
        <f aca="false">IF(AND(DH$1&gt;=Units!$Q111,MOD(DH$1-Units!$Q111,12)=0),IF(AND(Units!$L111=1,DH$1=Units!$Q111),1,Inputs!$B$15)*Inputs!$B$16*(1+Inputs!$B$11)^(DH$2-1),0)</f>
        <v>0</v>
      </c>
      <c r="DI112" s="11" t="n">
        <f aca="false">IF(AND(DI$1&gt;=Units!$Q111,MOD(DI$1-Units!$Q111,12)=0),IF(AND(Units!$L111=1,DI$1=Units!$Q111),1,Inputs!$B$15)*Inputs!$B$16*(1+Inputs!$B$11)^(DI$2-1),0)</f>
        <v>0</v>
      </c>
      <c r="DJ112" s="11" t="n">
        <f aca="false">IF(AND(DJ$1&gt;=Units!$Q111,MOD(DJ$1-Units!$Q111,12)=0),IF(AND(Units!$L111=1,DJ$1=Units!$Q111),1,Inputs!$B$15)*Inputs!$B$16*(1+Inputs!$B$11)^(DJ$2-1),0)</f>
        <v>0</v>
      </c>
      <c r="DK112" s="11" t="n">
        <f aca="false">IF(AND(DK$1&gt;=Units!$Q111,MOD(DK$1-Units!$Q111,12)=0),IF(AND(Units!$L111=1,DK$1=Units!$Q111),1,Inputs!$B$15)*Inputs!$B$16*(1+Inputs!$B$11)^(DK$2-1),0)</f>
        <v>0</v>
      </c>
      <c r="DL112" s="11" t="n">
        <f aca="false">IF(AND(DL$1&gt;=Units!$Q111,MOD(DL$1-Units!$Q111,12)=0),IF(AND(Units!$L111=1,DL$1=Units!$Q111),1,Inputs!$B$15)*Inputs!$B$16*(1+Inputs!$B$11)^(DL$2-1),0)</f>
        <v>0</v>
      </c>
      <c r="DM112" s="11" t="n">
        <f aca="false">IF(AND(DM$1&gt;=Units!$Q111,MOD(DM$1-Units!$Q111,12)=0),IF(AND(Units!$L111=1,DM$1=Units!$Q111),1,Inputs!$B$15)*Inputs!$B$16*(1+Inputs!$B$11)^(DM$2-1),0)</f>
        <v>0</v>
      </c>
      <c r="DN112" s="11" t="n">
        <f aca="false">IF(AND(DN$1&gt;=Units!$Q111,MOD(DN$1-Units!$Q111,12)=0),IF(AND(Units!$L111=1,DN$1=Units!$Q111),1,Inputs!$B$15)*Inputs!$B$16*(1+Inputs!$B$11)^(DN$2-1),0)</f>
        <v>0</v>
      </c>
      <c r="DO112" s="11" t="n">
        <f aca="false">IF(AND(DO$1&gt;=Units!$Q111,MOD(DO$1-Units!$Q111,12)=0),IF(AND(Units!$L111=1,DO$1=Units!$Q111),1,Inputs!$B$15)*Inputs!$B$16*(1+Inputs!$B$11)^(DO$2-1),0)</f>
        <v>0</v>
      </c>
      <c r="DP112" s="11" t="n">
        <f aca="false">IF(AND(DP$1&gt;=Units!$Q111,MOD(DP$1-Units!$Q111,12)=0),IF(AND(Units!$L111=1,DP$1=Units!$Q111),1,Inputs!$B$15)*Inputs!$B$16*(1+Inputs!$B$11)^(DP$2-1),0)</f>
        <v>0</v>
      </c>
      <c r="DQ112" s="11" t="n">
        <f aca="false">IF(AND(DQ$1&gt;=Units!$Q111,MOD(DQ$1-Units!$Q111,12)=0),IF(AND(Units!$L111=1,DQ$1=Units!$Q111),1,Inputs!$B$15)*Inputs!$B$16*(1+Inputs!$B$11)^(DQ$2-1),0)</f>
        <v>652.386591914623</v>
      </c>
      <c r="DR112" s="11" t="n">
        <f aca="false">IF(AND(DR$1&gt;=Units!$Q111,MOD(DR$1-Units!$Q111,12)=0),IF(AND(Units!$L111=1,DR$1=Units!$Q111),1,Inputs!$B$15)*Inputs!$B$16*(1+Inputs!$B$11)^(DR$2-1),0)</f>
        <v>0</v>
      </c>
      <c r="DS112" s="11" t="n">
        <f aca="false">IF(AND(DS$1&gt;=Units!$Q111,MOD(DS$1-Units!$Q111,12)=0),IF(AND(Units!$L111=1,DS$1=Units!$Q111),1,Inputs!$B$15)*Inputs!$B$16*(1+Inputs!$B$11)^(DS$2-1),0)</f>
        <v>0</v>
      </c>
      <c r="DT112" s="11" t="n">
        <f aca="false">IF(AND(DT$1&gt;=Units!$Q111,MOD(DT$1-Units!$Q111,12)=0),IF(AND(Units!$L111=1,DT$1=Units!$Q111),1,Inputs!$B$15)*Inputs!$B$16*(1+Inputs!$B$11)^(DT$2-1),0)</f>
        <v>0</v>
      </c>
      <c r="DU112" s="11" t="n">
        <f aca="false">IF(AND(DU$1&gt;=Units!$Q111,MOD(DU$1-Units!$Q111,12)=0),IF(AND(Units!$L111=1,DU$1=Units!$Q111),1,Inputs!$B$15)*Inputs!$B$16*(1+Inputs!$B$11)^(DU$2-1),0)</f>
        <v>0</v>
      </c>
      <c r="DV112" s="11" t="n">
        <f aca="false">IF(AND(DV$1&gt;=Units!$Q111,MOD(DV$1-Units!$Q111,12)=0),IF(AND(Units!$L111=1,DV$1=Units!$Q111),1,Inputs!$B$15)*Inputs!$B$16*(1+Inputs!$B$11)^(DV$2-1),0)</f>
        <v>0</v>
      </c>
      <c r="DW112" s="11" t="n">
        <f aca="false">IF(AND(DW$1&gt;=Units!$Q111,MOD(DW$1-Units!$Q111,12)=0),IF(AND(Units!$L111=1,DW$1=Units!$Q111),1,Inputs!$B$15)*Inputs!$B$16*(1+Inputs!$B$11)^(DW$2-1),0)</f>
        <v>0</v>
      </c>
      <c r="DX112" s="11" t="n">
        <f aca="false">IF(AND(DX$1&gt;=Units!$Q111,MOD(DX$1-Units!$Q111,12)=0),IF(AND(Units!$L111=1,DX$1=Units!$Q111),1,Inputs!$B$15)*Inputs!$B$16*(1+Inputs!$B$11)^(DX$2-1),0)</f>
        <v>0</v>
      </c>
      <c r="DY112" s="11" t="n">
        <f aca="false">IF(AND(DY$1&gt;=Units!$Q111,MOD(DY$1-Units!$Q111,12)=0),IF(AND(Units!$L111=1,DY$1=Units!$Q111),1,Inputs!$B$15)*Inputs!$B$16*(1+Inputs!$B$11)^(DY$2-1),0)</f>
        <v>0</v>
      </c>
      <c r="DZ112" s="11" t="n">
        <f aca="false">IF(AND(DZ$1&gt;=Units!$Q111,MOD(DZ$1-Units!$Q111,12)=0),IF(AND(Units!$L111=1,DZ$1=Units!$Q111),1,Inputs!$B$15)*Inputs!$B$16*(1+Inputs!$B$11)^(DZ$2-1),0)</f>
        <v>0</v>
      </c>
      <c r="EA112" s="11" t="n">
        <f aca="false">IF(AND(EA$1&gt;=Units!$Q111,MOD(EA$1-Units!$Q111,12)=0),IF(AND(Units!$L111=1,EA$1=Units!$Q111),1,Inputs!$B$15)*Inputs!$B$16*(1+Inputs!$B$11)^(EA$2-1),0)</f>
        <v>0</v>
      </c>
      <c r="EB112" s="11" t="n">
        <f aca="false">IF(AND(EB$1&gt;=Units!$Q111,MOD(EB$1-Units!$Q111,12)=0),IF(AND(Units!$L111=1,EB$1=Units!$Q111),1,Inputs!$B$15)*Inputs!$B$16*(1+Inputs!$B$11)^(EB$2-1),0)</f>
        <v>0</v>
      </c>
      <c r="EC112" s="11" t="n">
        <f aca="false">IF(AND(EC$1&gt;=Units!$Q111,MOD(EC$1-Units!$Q111,12)=0),IF(AND(Units!$L111=1,EC$1=Units!$Q111),1,Inputs!$B$15)*Inputs!$B$16*(1+Inputs!$B$11)^(EC$2-1),0)</f>
        <v>671.958189672061</v>
      </c>
      <c r="ED112" s="11" t="n">
        <f aca="false">IF(AND(ED$1&gt;=Units!$Q111,MOD(ED$1-Units!$Q111,12)=0),IF(AND(Units!$L111=1,ED$1=Units!$Q111),1,Inputs!$B$15)*Inputs!$B$16*(1+Inputs!$B$11)^(ED$2-1),0)</f>
        <v>0</v>
      </c>
    </row>
    <row r="113" customFormat="false" ht="15" hidden="false" customHeight="false" outlineLevel="0" collapsed="false">
      <c r="A113" s="22" t="n">
        <f aca="false">Units!A112</f>
        <v>421</v>
      </c>
      <c r="B113" s="23"/>
      <c r="C113" s="11" t="n">
        <f aca="false">IF(AND(C$1&gt;=Units!$Q112,MOD(C$1-Units!$Q112,12)=0),IF(AND(Units!$L112=1,C$1=Units!$Q112),1,Inputs!$B$15)*Inputs!$B$16*(1+Inputs!$B$11)^(C$2-1),0)</f>
        <v>0</v>
      </c>
      <c r="D113" s="11" t="n">
        <f aca="false">IF(AND(D$1&gt;=Units!$Q112,MOD(D$1-Units!$Q112,12)=0),IF(AND(Units!$L112=1,D$1=Units!$Q112),1,Inputs!$B$15)*Inputs!$B$16*(1+Inputs!$B$11)^(D$2-1),0)</f>
        <v>500</v>
      </c>
      <c r="E113" s="11" t="n">
        <f aca="false">IF(AND(E$1&gt;=Units!$Q112,MOD(E$1-Units!$Q112,12)=0),IF(AND(Units!$L112=1,E$1=Units!$Q112),1,Inputs!$B$15)*Inputs!$B$16*(1+Inputs!$B$11)^(E$2-1),0)</f>
        <v>0</v>
      </c>
      <c r="F113" s="11" t="n">
        <f aca="false">IF(AND(F$1&gt;=Units!$Q112,MOD(F$1-Units!$Q112,12)=0),IF(AND(Units!$L112=1,F$1=Units!$Q112),1,Inputs!$B$15)*Inputs!$B$16*(1+Inputs!$B$11)^(F$2-1),0)</f>
        <v>0</v>
      </c>
      <c r="G113" s="11" t="n">
        <f aca="false">IF(AND(G$1&gt;=Units!$Q112,MOD(G$1-Units!$Q112,12)=0),IF(AND(Units!$L112=1,G$1=Units!$Q112),1,Inputs!$B$15)*Inputs!$B$16*(1+Inputs!$B$11)^(G$2-1),0)</f>
        <v>0</v>
      </c>
      <c r="H113" s="11" t="n">
        <f aca="false">IF(AND(H$1&gt;=Units!$Q112,MOD(H$1-Units!$Q112,12)=0),IF(AND(Units!$L112=1,H$1=Units!$Q112),1,Inputs!$B$15)*Inputs!$B$16*(1+Inputs!$B$11)^(H$2-1),0)</f>
        <v>0</v>
      </c>
      <c r="I113" s="11" t="n">
        <f aca="false">IF(AND(I$1&gt;=Units!$Q112,MOD(I$1-Units!$Q112,12)=0),IF(AND(Units!$L112=1,I$1=Units!$Q112),1,Inputs!$B$15)*Inputs!$B$16*(1+Inputs!$B$11)^(I$2-1),0)</f>
        <v>0</v>
      </c>
      <c r="J113" s="11" t="n">
        <f aca="false">IF(AND(J$1&gt;=Units!$Q112,MOD(J$1-Units!$Q112,12)=0),IF(AND(Units!$L112=1,J$1=Units!$Q112),1,Inputs!$B$15)*Inputs!$B$16*(1+Inputs!$B$11)^(J$2-1),0)</f>
        <v>0</v>
      </c>
      <c r="K113" s="11" t="n">
        <f aca="false">IF(AND(K$1&gt;=Units!$Q112,MOD(K$1-Units!$Q112,12)=0),IF(AND(Units!$L112=1,K$1=Units!$Q112),1,Inputs!$B$15)*Inputs!$B$16*(1+Inputs!$B$11)^(K$2-1),0)</f>
        <v>0</v>
      </c>
      <c r="L113" s="11" t="n">
        <f aca="false">IF(AND(L$1&gt;=Units!$Q112,MOD(L$1-Units!$Q112,12)=0),IF(AND(Units!$L112=1,L$1=Units!$Q112),1,Inputs!$B$15)*Inputs!$B$16*(1+Inputs!$B$11)^(L$2-1),0)</f>
        <v>0</v>
      </c>
      <c r="M113" s="11" t="n">
        <f aca="false">IF(AND(M$1&gt;=Units!$Q112,MOD(M$1-Units!$Q112,12)=0),IF(AND(Units!$L112=1,M$1=Units!$Q112),1,Inputs!$B$15)*Inputs!$B$16*(1+Inputs!$B$11)^(M$2-1),0)</f>
        <v>0</v>
      </c>
      <c r="N113" s="11" t="n">
        <f aca="false">IF(AND(N$1&gt;=Units!$Q112,MOD(N$1-Units!$Q112,12)=0),IF(AND(Units!$L112=1,N$1=Units!$Q112),1,Inputs!$B$15)*Inputs!$B$16*(1+Inputs!$B$11)^(N$2-1),0)</f>
        <v>0</v>
      </c>
      <c r="O113" s="11" t="n">
        <f aca="false">IF(AND(O$1&gt;=Units!$Q112,MOD(O$1-Units!$Q112,12)=0),IF(AND(Units!$L112=1,O$1=Units!$Q112),1,Inputs!$B$15)*Inputs!$B$16*(1+Inputs!$B$11)^(O$2-1),0)</f>
        <v>0</v>
      </c>
      <c r="P113" s="11" t="n">
        <f aca="false">IF(AND(P$1&gt;=Units!$Q112,MOD(P$1-Units!$Q112,12)=0),IF(AND(Units!$L112=1,P$1=Units!$Q112),1,Inputs!$B$15)*Inputs!$B$16*(1+Inputs!$B$11)^(P$2-1),0)</f>
        <v>515</v>
      </c>
      <c r="Q113" s="11" t="n">
        <f aca="false">IF(AND(Q$1&gt;=Units!$Q112,MOD(Q$1-Units!$Q112,12)=0),IF(AND(Units!$L112=1,Q$1=Units!$Q112),1,Inputs!$B$15)*Inputs!$B$16*(1+Inputs!$B$11)^(Q$2-1),0)</f>
        <v>0</v>
      </c>
      <c r="R113" s="11" t="n">
        <f aca="false">IF(AND(R$1&gt;=Units!$Q112,MOD(R$1-Units!$Q112,12)=0),IF(AND(Units!$L112=1,R$1=Units!$Q112),1,Inputs!$B$15)*Inputs!$B$16*(1+Inputs!$B$11)^(R$2-1),0)</f>
        <v>0</v>
      </c>
      <c r="S113" s="11" t="n">
        <f aca="false">IF(AND(S$1&gt;=Units!$Q112,MOD(S$1-Units!$Q112,12)=0),IF(AND(Units!$L112=1,S$1=Units!$Q112),1,Inputs!$B$15)*Inputs!$B$16*(1+Inputs!$B$11)^(S$2-1),0)</f>
        <v>0</v>
      </c>
      <c r="T113" s="11" t="n">
        <f aca="false">IF(AND(T$1&gt;=Units!$Q112,MOD(T$1-Units!$Q112,12)=0),IF(AND(Units!$L112=1,T$1=Units!$Q112),1,Inputs!$B$15)*Inputs!$B$16*(1+Inputs!$B$11)^(T$2-1),0)</f>
        <v>0</v>
      </c>
      <c r="U113" s="11" t="n">
        <f aca="false">IF(AND(U$1&gt;=Units!$Q112,MOD(U$1-Units!$Q112,12)=0),IF(AND(Units!$L112=1,U$1=Units!$Q112),1,Inputs!$B$15)*Inputs!$B$16*(1+Inputs!$B$11)^(U$2-1),0)</f>
        <v>0</v>
      </c>
      <c r="V113" s="11" t="n">
        <f aca="false">IF(AND(V$1&gt;=Units!$Q112,MOD(V$1-Units!$Q112,12)=0),IF(AND(Units!$L112=1,V$1=Units!$Q112),1,Inputs!$B$15)*Inputs!$B$16*(1+Inputs!$B$11)^(V$2-1),0)</f>
        <v>0</v>
      </c>
      <c r="W113" s="11" t="n">
        <f aca="false">IF(AND(W$1&gt;=Units!$Q112,MOD(W$1-Units!$Q112,12)=0),IF(AND(Units!$L112=1,W$1=Units!$Q112),1,Inputs!$B$15)*Inputs!$B$16*(1+Inputs!$B$11)^(W$2-1),0)</f>
        <v>0</v>
      </c>
      <c r="X113" s="11" t="n">
        <f aca="false">IF(AND(X$1&gt;=Units!$Q112,MOD(X$1-Units!$Q112,12)=0),IF(AND(Units!$L112=1,X$1=Units!$Q112),1,Inputs!$B$15)*Inputs!$B$16*(1+Inputs!$B$11)^(X$2-1),0)</f>
        <v>0</v>
      </c>
      <c r="Y113" s="11" t="n">
        <f aca="false">IF(AND(Y$1&gt;=Units!$Q112,MOD(Y$1-Units!$Q112,12)=0),IF(AND(Units!$L112=1,Y$1=Units!$Q112),1,Inputs!$B$15)*Inputs!$B$16*(1+Inputs!$B$11)^(Y$2-1),0)</f>
        <v>0</v>
      </c>
      <c r="Z113" s="11" t="n">
        <f aca="false">IF(AND(Z$1&gt;=Units!$Q112,MOD(Z$1-Units!$Q112,12)=0),IF(AND(Units!$L112=1,Z$1=Units!$Q112),1,Inputs!$B$15)*Inputs!$B$16*(1+Inputs!$B$11)^(Z$2-1),0)</f>
        <v>0</v>
      </c>
      <c r="AA113" s="11" t="n">
        <f aca="false">IF(AND(AA$1&gt;=Units!$Q112,MOD(AA$1-Units!$Q112,12)=0),IF(AND(Units!$L112=1,AA$1=Units!$Q112),1,Inputs!$B$15)*Inputs!$B$16*(1+Inputs!$B$11)^(AA$2-1),0)</f>
        <v>0</v>
      </c>
      <c r="AB113" s="11" t="n">
        <f aca="false">IF(AND(AB$1&gt;=Units!$Q112,MOD(AB$1-Units!$Q112,12)=0),IF(AND(Units!$L112=1,AB$1=Units!$Q112),1,Inputs!$B$15)*Inputs!$B$16*(1+Inputs!$B$11)^(AB$2-1),0)</f>
        <v>530.45</v>
      </c>
      <c r="AC113" s="11" t="n">
        <f aca="false">IF(AND(AC$1&gt;=Units!$Q112,MOD(AC$1-Units!$Q112,12)=0),IF(AND(Units!$L112=1,AC$1=Units!$Q112),1,Inputs!$B$15)*Inputs!$B$16*(1+Inputs!$B$11)^(AC$2-1),0)</f>
        <v>0</v>
      </c>
      <c r="AD113" s="11" t="n">
        <f aca="false">IF(AND(AD$1&gt;=Units!$Q112,MOD(AD$1-Units!$Q112,12)=0),IF(AND(Units!$L112=1,AD$1=Units!$Q112),1,Inputs!$B$15)*Inputs!$B$16*(1+Inputs!$B$11)^(AD$2-1),0)</f>
        <v>0</v>
      </c>
      <c r="AE113" s="11" t="n">
        <f aca="false">IF(AND(AE$1&gt;=Units!$Q112,MOD(AE$1-Units!$Q112,12)=0),IF(AND(Units!$L112=1,AE$1=Units!$Q112),1,Inputs!$B$15)*Inputs!$B$16*(1+Inputs!$B$11)^(AE$2-1),0)</f>
        <v>0</v>
      </c>
      <c r="AF113" s="11" t="n">
        <f aca="false">IF(AND(AF$1&gt;=Units!$Q112,MOD(AF$1-Units!$Q112,12)=0),IF(AND(Units!$L112=1,AF$1=Units!$Q112),1,Inputs!$B$15)*Inputs!$B$16*(1+Inputs!$B$11)^(AF$2-1),0)</f>
        <v>0</v>
      </c>
      <c r="AG113" s="11" t="n">
        <f aca="false">IF(AND(AG$1&gt;=Units!$Q112,MOD(AG$1-Units!$Q112,12)=0),IF(AND(Units!$L112=1,AG$1=Units!$Q112),1,Inputs!$B$15)*Inputs!$B$16*(1+Inputs!$B$11)^(AG$2-1),0)</f>
        <v>0</v>
      </c>
      <c r="AH113" s="11" t="n">
        <f aca="false">IF(AND(AH$1&gt;=Units!$Q112,MOD(AH$1-Units!$Q112,12)=0),IF(AND(Units!$L112=1,AH$1=Units!$Q112),1,Inputs!$B$15)*Inputs!$B$16*(1+Inputs!$B$11)^(AH$2-1),0)</f>
        <v>0</v>
      </c>
      <c r="AI113" s="11" t="n">
        <f aca="false">IF(AND(AI$1&gt;=Units!$Q112,MOD(AI$1-Units!$Q112,12)=0),IF(AND(Units!$L112=1,AI$1=Units!$Q112),1,Inputs!$B$15)*Inputs!$B$16*(1+Inputs!$B$11)^(AI$2-1),0)</f>
        <v>0</v>
      </c>
      <c r="AJ113" s="11" t="n">
        <f aca="false">IF(AND(AJ$1&gt;=Units!$Q112,MOD(AJ$1-Units!$Q112,12)=0),IF(AND(Units!$L112=1,AJ$1=Units!$Q112),1,Inputs!$B$15)*Inputs!$B$16*(1+Inputs!$B$11)^(AJ$2-1),0)</f>
        <v>0</v>
      </c>
      <c r="AK113" s="11" t="n">
        <f aca="false">IF(AND(AK$1&gt;=Units!$Q112,MOD(AK$1-Units!$Q112,12)=0),IF(AND(Units!$L112=1,AK$1=Units!$Q112),1,Inputs!$B$15)*Inputs!$B$16*(1+Inputs!$B$11)^(AK$2-1),0)</f>
        <v>0</v>
      </c>
      <c r="AL113" s="11" t="n">
        <f aca="false">IF(AND(AL$1&gt;=Units!$Q112,MOD(AL$1-Units!$Q112,12)=0),IF(AND(Units!$L112=1,AL$1=Units!$Q112),1,Inputs!$B$15)*Inputs!$B$16*(1+Inputs!$B$11)^(AL$2-1),0)</f>
        <v>0</v>
      </c>
      <c r="AM113" s="11" t="n">
        <f aca="false">IF(AND(AM$1&gt;=Units!$Q112,MOD(AM$1-Units!$Q112,12)=0),IF(AND(Units!$L112=1,AM$1=Units!$Q112),1,Inputs!$B$15)*Inputs!$B$16*(1+Inputs!$B$11)^(AM$2-1),0)</f>
        <v>0</v>
      </c>
      <c r="AN113" s="11" t="n">
        <f aca="false">IF(AND(AN$1&gt;=Units!$Q112,MOD(AN$1-Units!$Q112,12)=0),IF(AND(Units!$L112=1,AN$1=Units!$Q112),1,Inputs!$B$15)*Inputs!$B$16*(1+Inputs!$B$11)^(AN$2-1),0)</f>
        <v>546.3635</v>
      </c>
      <c r="AO113" s="11" t="n">
        <f aca="false">IF(AND(AO$1&gt;=Units!$Q112,MOD(AO$1-Units!$Q112,12)=0),IF(AND(Units!$L112=1,AO$1=Units!$Q112),1,Inputs!$B$15)*Inputs!$B$16*(1+Inputs!$B$11)^(AO$2-1),0)</f>
        <v>0</v>
      </c>
      <c r="AP113" s="11" t="n">
        <f aca="false">IF(AND(AP$1&gt;=Units!$Q112,MOD(AP$1-Units!$Q112,12)=0),IF(AND(Units!$L112=1,AP$1=Units!$Q112),1,Inputs!$B$15)*Inputs!$B$16*(1+Inputs!$B$11)^(AP$2-1),0)</f>
        <v>0</v>
      </c>
      <c r="AQ113" s="11" t="n">
        <f aca="false">IF(AND(AQ$1&gt;=Units!$Q112,MOD(AQ$1-Units!$Q112,12)=0),IF(AND(Units!$L112=1,AQ$1=Units!$Q112),1,Inputs!$B$15)*Inputs!$B$16*(1+Inputs!$B$11)^(AQ$2-1),0)</f>
        <v>0</v>
      </c>
      <c r="AR113" s="11" t="n">
        <f aca="false">IF(AND(AR$1&gt;=Units!$Q112,MOD(AR$1-Units!$Q112,12)=0),IF(AND(Units!$L112=1,AR$1=Units!$Q112),1,Inputs!$B$15)*Inputs!$B$16*(1+Inputs!$B$11)^(AR$2-1),0)</f>
        <v>0</v>
      </c>
      <c r="AS113" s="11" t="n">
        <f aca="false">IF(AND(AS$1&gt;=Units!$Q112,MOD(AS$1-Units!$Q112,12)=0),IF(AND(Units!$L112=1,AS$1=Units!$Q112),1,Inputs!$B$15)*Inputs!$B$16*(1+Inputs!$B$11)^(AS$2-1),0)</f>
        <v>0</v>
      </c>
      <c r="AT113" s="11" t="n">
        <f aca="false">IF(AND(AT$1&gt;=Units!$Q112,MOD(AT$1-Units!$Q112,12)=0),IF(AND(Units!$L112=1,AT$1=Units!$Q112),1,Inputs!$B$15)*Inputs!$B$16*(1+Inputs!$B$11)^(AT$2-1),0)</f>
        <v>0</v>
      </c>
      <c r="AU113" s="11" t="n">
        <f aca="false">IF(AND(AU$1&gt;=Units!$Q112,MOD(AU$1-Units!$Q112,12)=0),IF(AND(Units!$L112=1,AU$1=Units!$Q112),1,Inputs!$B$15)*Inputs!$B$16*(1+Inputs!$B$11)^(AU$2-1),0)</f>
        <v>0</v>
      </c>
      <c r="AV113" s="11" t="n">
        <f aca="false">IF(AND(AV$1&gt;=Units!$Q112,MOD(AV$1-Units!$Q112,12)=0),IF(AND(Units!$L112=1,AV$1=Units!$Q112),1,Inputs!$B$15)*Inputs!$B$16*(1+Inputs!$B$11)^(AV$2-1),0)</f>
        <v>0</v>
      </c>
      <c r="AW113" s="11" t="n">
        <f aca="false">IF(AND(AW$1&gt;=Units!$Q112,MOD(AW$1-Units!$Q112,12)=0),IF(AND(Units!$L112=1,AW$1=Units!$Q112),1,Inputs!$B$15)*Inputs!$B$16*(1+Inputs!$B$11)^(AW$2-1),0)</f>
        <v>0</v>
      </c>
      <c r="AX113" s="11" t="n">
        <f aca="false">IF(AND(AX$1&gt;=Units!$Q112,MOD(AX$1-Units!$Q112,12)=0),IF(AND(Units!$L112=1,AX$1=Units!$Q112),1,Inputs!$B$15)*Inputs!$B$16*(1+Inputs!$B$11)^(AX$2-1),0)</f>
        <v>0</v>
      </c>
      <c r="AY113" s="11" t="n">
        <f aca="false">IF(AND(AY$1&gt;=Units!$Q112,MOD(AY$1-Units!$Q112,12)=0),IF(AND(Units!$L112=1,AY$1=Units!$Q112),1,Inputs!$B$15)*Inputs!$B$16*(1+Inputs!$B$11)^(AY$2-1),0)</f>
        <v>0</v>
      </c>
      <c r="AZ113" s="11" t="n">
        <f aca="false">IF(AND(AZ$1&gt;=Units!$Q112,MOD(AZ$1-Units!$Q112,12)=0),IF(AND(Units!$L112=1,AZ$1=Units!$Q112),1,Inputs!$B$15)*Inputs!$B$16*(1+Inputs!$B$11)^(AZ$2-1),0)</f>
        <v>562.754405</v>
      </c>
      <c r="BA113" s="11" t="n">
        <f aca="false">IF(AND(BA$1&gt;=Units!$Q112,MOD(BA$1-Units!$Q112,12)=0),IF(AND(Units!$L112=1,BA$1=Units!$Q112),1,Inputs!$B$15)*Inputs!$B$16*(1+Inputs!$B$11)^(BA$2-1),0)</f>
        <v>0</v>
      </c>
      <c r="BB113" s="11" t="n">
        <f aca="false">IF(AND(BB$1&gt;=Units!$Q112,MOD(BB$1-Units!$Q112,12)=0),IF(AND(Units!$L112=1,BB$1=Units!$Q112),1,Inputs!$B$15)*Inputs!$B$16*(1+Inputs!$B$11)^(BB$2-1),0)</f>
        <v>0</v>
      </c>
      <c r="BC113" s="11" t="n">
        <f aca="false">IF(AND(BC$1&gt;=Units!$Q112,MOD(BC$1-Units!$Q112,12)=0),IF(AND(Units!$L112=1,BC$1=Units!$Q112),1,Inputs!$B$15)*Inputs!$B$16*(1+Inputs!$B$11)^(BC$2-1),0)</f>
        <v>0</v>
      </c>
      <c r="BD113" s="11" t="n">
        <f aca="false">IF(AND(BD$1&gt;=Units!$Q112,MOD(BD$1-Units!$Q112,12)=0),IF(AND(Units!$L112=1,BD$1=Units!$Q112),1,Inputs!$B$15)*Inputs!$B$16*(1+Inputs!$B$11)^(BD$2-1),0)</f>
        <v>0</v>
      </c>
      <c r="BE113" s="11" t="n">
        <f aca="false">IF(AND(BE$1&gt;=Units!$Q112,MOD(BE$1-Units!$Q112,12)=0),IF(AND(Units!$L112=1,BE$1=Units!$Q112),1,Inputs!$B$15)*Inputs!$B$16*(1+Inputs!$B$11)^(BE$2-1),0)</f>
        <v>0</v>
      </c>
      <c r="BF113" s="11" t="n">
        <f aca="false">IF(AND(BF$1&gt;=Units!$Q112,MOD(BF$1-Units!$Q112,12)=0),IF(AND(Units!$L112=1,BF$1=Units!$Q112),1,Inputs!$B$15)*Inputs!$B$16*(1+Inputs!$B$11)^(BF$2-1),0)</f>
        <v>0</v>
      </c>
      <c r="BG113" s="11" t="n">
        <f aca="false">IF(AND(BG$1&gt;=Units!$Q112,MOD(BG$1-Units!$Q112,12)=0),IF(AND(Units!$L112=1,BG$1=Units!$Q112),1,Inputs!$B$15)*Inputs!$B$16*(1+Inputs!$B$11)^(BG$2-1),0)</f>
        <v>0</v>
      </c>
      <c r="BH113" s="11" t="n">
        <f aca="false">IF(AND(BH$1&gt;=Units!$Q112,MOD(BH$1-Units!$Q112,12)=0),IF(AND(Units!$L112=1,BH$1=Units!$Q112),1,Inputs!$B$15)*Inputs!$B$16*(1+Inputs!$B$11)^(BH$2-1),0)</f>
        <v>0</v>
      </c>
      <c r="BI113" s="11" t="n">
        <f aca="false">IF(AND(BI$1&gt;=Units!$Q112,MOD(BI$1-Units!$Q112,12)=0),IF(AND(Units!$L112=1,BI$1=Units!$Q112),1,Inputs!$B$15)*Inputs!$B$16*(1+Inputs!$B$11)^(BI$2-1),0)</f>
        <v>0</v>
      </c>
      <c r="BJ113" s="11" t="n">
        <f aca="false">IF(AND(BJ$1&gt;=Units!$Q112,MOD(BJ$1-Units!$Q112,12)=0),IF(AND(Units!$L112=1,BJ$1=Units!$Q112),1,Inputs!$B$15)*Inputs!$B$16*(1+Inputs!$B$11)^(BJ$2-1),0)</f>
        <v>0</v>
      </c>
      <c r="BK113" s="11" t="n">
        <f aca="false">IF(AND(BK$1&gt;=Units!$Q112,MOD(BK$1-Units!$Q112,12)=0),IF(AND(Units!$L112=1,BK$1=Units!$Q112),1,Inputs!$B$15)*Inputs!$B$16*(1+Inputs!$B$11)^(BK$2-1),0)</f>
        <v>0</v>
      </c>
      <c r="BL113" s="11" t="n">
        <f aca="false">IF(AND(BL$1&gt;=Units!$Q112,MOD(BL$1-Units!$Q112,12)=0),IF(AND(Units!$L112=1,BL$1=Units!$Q112),1,Inputs!$B$15)*Inputs!$B$16*(1+Inputs!$B$11)^(BL$2-1),0)</f>
        <v>579.63703715</v>
      </c>
      <c r="BM113" s="11" t="n">
        <f aca="false">IF(AND(BM$1&gt;=Units!$Q112,MOD(BM$1-Units!$Q112,12)=0),IF(AND(Units!$L112=1,BM$1=Units!$Q112),1,Inputs!$B$15)*Inputs!$B$16*(1+Inputs!$B$11)^(BM$2-1),0)</f>
        <v>0</v>
      </c>
      <c r="BN113" s="11" t="n">
        <f aca="false">IF(AND(BN$1&gt;=Units!$Q112,MOD(BN$1-Units!$Q112,12)=0),IF(AND(Units!$L112=1,BN$1=Units!$Q112),1,Inputs!$B$15)*Inputs!$B$16*(1+Inputs!$B$11)^(BN$2-1),0)</f>
        <v>0</v>
      </c>
      <c r="BO113" s="11" t="n">
        <f aca="false">IF(AND(BO$1&gt;=Units!$Q112,MOD(BO$1-Units!$Q112,12)=0),IF(AND(Units!$L112=1,BO$1=Units!$Q112),1,Inputs!$B$15)*Inputs!$B$16*(1+Inputs!$B$11)^(BO$2-1),0)</f>
        <v>0</v>
      </c>
      <c r="BP113" s="11" t="n">
        <f aca="false">IF(AND(BP$1&gt;=Units!$Q112,MOD(BP$1-Units!$Q112,12)=0),IF(AND(Units!$L112=1,BP$1=Units!$Q112),1,Inputs!$B$15)*Inputs!$B$16*(1+Inputs!$B$11)^(BP$2-1),0)</f>
        <v>0</v>
      </c>
      <c r="BQ113" s="11" t="n">
        <f aca="false">IF(AND(BQ$1&gt;=Units!$Q112,MOD(BQ$1-Units!$Q112,12)=0),IF(AND(Units!$L112=1,BQ$1=Units!$Q112),1,Inputs!$B$15)*Inputs!$B$16*(1+Inputs!$B$11)^(BQ$2-1),0)</f>
        <v>0</v>
      </c>
      <c r="BR113" s="11" t="n">
        <f aca="false">IF(AND(BR$1&gt;=Units!$Q112,MOD(BR$1-Units!$Q112,12)=0),IF(AND(Units!$L112=1,BR$1=Units!$Q112),1,Inputs!$B$15)*Inputs!$B$16*(1+Inputs!$B$11)^(BR$2-1),0)</f>
        <v>0</v>
      </c>
      <c r="BS113" s="11" t="n">
        <f aca="false">IF(AND(BS$1&gt;=Units!$Q112,MOD(BS$1-Units!$Q112,12)=0),IF(AND(Units!$L112=1,BS$1=Units!$Q112),1,Inputs!$B$15)*Inputs!$B$16*(1+Inputs!$B$11)^(BS$2-1),0)</f>
        <v>0</v>
      </c>
      <c r="BT113" s="11" t="n">
        <f aca="false">IF(AND(BT$1&gt;=Units!$Q112,MOD(BT$1-Units!$Q112,12)=0),IF(AND(Units!$L112=1,BT$1=Units!$Q112),1,Inputs!$B$15)*Inputs!$B$16*(1+Inputs!$B$11)^(BT$2-1),0)</f>
        <v>0</v>
      </c>
      <c r="BU113" s="11" t="n">
        <f aca="false">IF(AND(BU$1&gt;=Units!$Q112,MOD(BU$1-Units!$Q112,12)=0),IF(AND(Units!$L112=1,BU$1=Units!$Q112),1,Inputs!$B$15)*Inputs!$B$16*(1+Inputs!$B$11)^(BU$2-1),0)</f>
        <v>0</v>
      </c>
      <c r="BV113" s="11" t="n">
        <f aca="false">IF(AND(BV$1&gt;=Units!$Q112,MOD(BV$1-Units!$Q112,12)=0),IF(AND(Units!$L112=1,BV$1=Units!$Q112),1,Inputs!$B$15)*Inputs!$B$16*(1+Inputs!$B$11)^(BV$2-1),0)</f>
        <v>0</v>
      </c>
      <c r="BW113" s="11" t="n">
        <f aca="false">IF(AND(BW$1&gt;=Units!$Q112,MOD(BW$1-Units!$Q112,12)=0),IF(AND(Units!$L112=1,BW$1=Units!$Q112),1,Inputs!$B$15)*Inputs!$B$16*(1+Inputs!$B$11)^(BW$2-1),0)</f>
        <v>0</v>
      </c>
      <c r="BX113" s="11" t="n">
        <f aca="false">IF(AND(BX$1&gt;=Units!$Q112,MOD(BX$1-Units!$Q112,12)=0),IF(AND(Units!$L112=1,BX$1=Units!$Q112),1,Inputs!$B$15)*Inputs!$B$16*(1+Inputs!$B$11)^(BX$2-1),0)</f>
        <v>597.0261482645</v>
      </c>
      <c r="BY113" s="11" t="n">
        <f aca="false">IF(AND(BY$1&gt;=Units!$Q112,MOD(BY$1-Units!$Q112,12)=0),IF(AND(Units!$L112=1,BY$1=Units!$Q112),1,Inputs!$B$15)*Inputs!$B$16*(1+Inputs!$B$11)^(BY$2-1),0)</f>
        <v>0</v>
      </c>
      <c r="BZ113" s="11" t="n">
        <f aca="false">IF(AND(BZ$1&gt;=Units!$Q112,MOD(BZ$1-Units!$Q112,12)=0),IF(AND(Units!$L112=1,BZ$1=Units!$Q112),1,Inputs!$B$15)*Inputs!$B$16*(1+Inputs!$B$11)^(BZ$2-1),0)</f>
        <v>0</v>
      </c>
      <c r="CA113" s="11" t="n">
        <f aca="false">IF(AND(CA$1&gt;=Units!$Q112,MOD(CA$1-Units!$Q112,12)=0),IF(AND(Units!$L112=1,CA$1=Units!$Q112),1,Inputs!$B$15)*Inputs!$B$16*(1+Inputs!$B$11)^(CA$2-1),0)</f>
        <v>0</v>
      </c>
      <c r="CB113" s="11" t="n">
        <f aca="false">IF(AND(CB$1&gt;=Units!$Q112,MOD(CB$1-Units!$Q112,12)=0),IF(AND(Units!$L112=1,CB$1=Units!$Q112),1,Inputs!$B$15)*Inputs!$B$16*(1+Inputs!$B$11)^(CB$2-1),0)</f>
        <v>0</v>
      </c>
      <c r="CC113" s="11" t="n">
        <f aca="false">IF(AND(CC$1&gt;=Units!$Q112,MOD(CC$1-Units!$Q112,12)=0),IF(AND(Units!$L112=1,CC$1=Units!$Q112),1,Inputs!$B$15)*Inputs!$B$16*(1+Inputs!$B$11)^(CC$2-1),0)</f>
        <v>0</v>
      </c>
      <c r="CD113" s="11" t="n">
        <f aca="false">IF(AND(CD$1&gt;=Units!$Q112,MOD(CD$1-Units!$Q112,12)=0),IF(AND(Units!$L112=1,CD$1=Units!$Q112),1,Inputs!$B$15)*Inputs!$B$16*(1+Inputs!$B$11)^(CD$2-1),0)</f>
        <v>0</v>
      </c>
      <c r="CE113" s="11" t="n">
        <f aca="false">IF(AND(CE$1&gt;=Units!$Q112,MOD(CE$1-Units!$Q112,12)=0),IF(AND(Units!$L112=1,CE$1=Units!$Q112),1,Inputs!$B$15)*Inputs!$B$16*(1+Inputs!$B$11)^(CE$2-1),0)</f>
        <v>0</v>
      </c>
      <c r="CF113" s="11" t="n">
        <f aca="false">IF(AND(CF$1&gt;=Units!$Q112,MOD(CF$1-Units!$Q112,12)=0),IF(AND(Units!$L112=1,CF$1=Units!$Q112),1,Inputs!$B$15)*Inputs!$B$16*(1+Inputs!$B$11)^(CF$2-1),0)</f>
        <v>0</v>
      </c>
      <c r="CG113" s="11" t="n">
        <f aca="false">IF(AND(CG$1&gt;=Units!$Q112,MOD(CG$1-Units!$Q112,12)=0),IF(AND(Units!$L112=1,CG$1=Units!$Q112),1,Inputs!$B$15)*Inputs!$B$16*(1+Inputs!$B$11)^(CG$2-1),0)</f>
        <v>0</v>
      </c>
      <c r="CH113" s="11" t="n">
        <f aca="false">IF(AND(CH$1&gt;=Units!$Q112,MOD(CH$1-Units!$Q112,12)=0),IF(AND(Units!$L112=1,CH$1=Units!$Q112),1,Inputs!$B$15)*Inputs!$B$16*(1+Inputs!$B$11)^(CH$2-1),0)</f>
        <v>0</v>
      </c>
      <c r="CI113" s="11" t="n">
        <f aca="false">IF(AND(CI$1&gt;=Units!$Q112,MOD(CI$1-Units!$Q112,12)=0),IF(AND(Units!$L112=1,CI$1=Units!$Q112),1,Inputs!$B$15)*Inputs!$B$16*(1+Inputs!$B$11)^(CI$2-1),0)</f>
        <v>0</v>
      </c>
      <c r="CJ113" s="11" t="n">
        <f aca="false">IF(AND(CJ$1&gt;=Units!$Q112,MOD(CJ$1-Units!$Q112,12)=0),IF(AND(Units!$L112=1,CJ$1=Units!$Q112),1,Inputs!$B$15)*Inputs!$B$16*(1+Inputs!$B$11)^(CJ$2-1),0)</f>
        <v>614.936932712435</v>
      </c>
      <c r="CK113" s="11" t="n">
        <f aca="false">IF(AND(CK$1&gt;=Units!$Q112,MOD(CK$1-Units!$Q112,12)=0),IF(AND(Units!$L112=1,CK$1=Units!$Q112),1,Inputs!$B$15)*Inputs!$B$16*(1+Inputs!$B$11)^(CK$2-1),0)</f>
        <v>0</v>
      </c>
      <c r="CL113" s="11" t="n">
        <f aca="false">IF(AND(CL$1&gt;=Units!$Q112,MOD(CL$1-Units!$Q112,12)=0),IF(AND(Units!$L112=1,CL$1=Units!$Q112),1,Inputs!$B$15)*Inputs!$B$16*(1+Inputs!$B$11)^(CL$2-1),0)</f>
        <v>0</v>
      </c>
      <c r="CM113" s="11" t="n">
        <f aca="false">IF(AND(CM$1&gt;=Units!$Q112,MOD(CM$1-Units!$Q112,12)=0),IF(AND(Units!$L112=1,CM$1=Units!$Q112),1,Inputs!$B$15)*Inputs!$B$16*(1+Inputs!$B$11)^(CM$2-1),0)</f>
        <v>0</v>
      </c>
      <c r="CN113" s="11" t="n">
        <f aca="false">IF(AND(CN$1&gt;=Units!$Q112,MOD(CN$1-Units!$Q112,12)=0),IF(AND(Units!$L112=1,CN$1=Units!$Q112),1,Inputs!$B$15)*Inputs!$B$16*(1+Inputs!$B$11)^(CN$2-1),0)</f>
        <v>0</v>
      </c>
      <c r="CO113" s="11" t="n">
        <f aca="false">IF(AND(CO$1&gt;=Units!$Q112,MOD(CO$1-Units!$Q112,12)=0),IF(AND(Units!$L112=1,CO$1=Units!$Q112),1,Inputs!$B$15)*Inputs!$B$16*(1+Inputs!$B$11)^(CO$2-1),0)</f>
        <v>0</v>
      </c>
      <c r="CP113" s="11" t="n">
        <f aca="false">IF(AND(CP$1&gt;=Units!$Q112,MOD(CP$1-Units!$Q112,12)=0),IF(AND(Units!$L112=1,CP$1=Units!$Q112),1,Inputs!$B$15)*Inputs!$B$16*(1+Inputs!$B$11)^(CP$2-1),0)</f>
        <v>0</v>
      </c>
      <c r="CQ113" s="11" t="n">
        <f aca="false">IF(AND(CQ$1&gt;=Units!$Q112,MOD(CQ$1-Units!$Q112,12)=0),IF(AND(Units!$L112=1,CQ$1=Units!$Q112),1,Inputs!$B$15)*Inputs!$B$16*(1+Inputs!$B$11)^(CQ$2-1),0)</f>
        <v>0</v>
      </c>
      <c r="CR113" s="11" t="n">
        <f aca="false">IF(AND(CR$1&gt;=Units!$Q112,MOD(CR$1-Units!$Q112,12)=0),IF(AND(Units!$L112=1,CR$1=Units!$Q112),1,Inputs!$B$15)*Inputs!$B$16*(1+Inputs!$B$11)^(CR$2-1),0)</f>
        <v>0</v>
      </c>
      <c r="CS113" s="11" t="n">
        <f aca="false">IF(AND(CS$1&gt;=Units!$Q112,MOD(CS$1-Units!$Q112,12)=0),IF(AND(Units!$L112=1,CS$1=Units!$Q112),1,Inputs!$B$15)*Inputs!$B$16*(1+Inputs!$B$11)^(CS$2-1),0)</f>
        <v>0</v>
      </c>
      <c r="CT113" s="11" t="n">
        <f aca="false">IF(AND(CT$1&gt;=Units!$Q112,MOD(CT$1-Units!$Q112,12)=0),IF(AND(Units!$L112=1,CT$1=Units!$Q112),1,Inputs!$B$15)*Inputs!$B$16*(1+Inputs!$B$11)^(CT$2-1),0)</f>
        <v>0</v>
      </c>
      <c r="CU113" s="11" t="n">
        <f aca="false">IF(AND(CU$1&gt;=Units!$Q112,MOD(CU$1-Units!$Q112,12)=0),IF(AND(Units!$L112=1,CU$1=Units!$Q112),1,Inputs!$B$15)*Inputs!$B$16*(1+Inputs!$B$11)^(CU$2-1),0)</f>
        <v>0</v>
      </c>
      <c r="CV113" s="11" t="n">
        <f aca="false">IF(AND(CV$1&gt;=Units!$Q112,MOD(CV$1-Units!$Q112,12)=0),IF(AND(Units!$L112=1,CV$1=Units!$Q112),1,Inputs!$B$15)*Inputs!$B$16*(1+Inputs!$B$11)^(CV$2-1),0)</f>
        <v>633.385040693808</v>
      </c>
      <c r="CW113" s="11" t="n">
        <f aca="false">IF(AND(CW$1&gt;=Units!$Q112,MOD(CW$1-Units!$Q112,12)=0),IF(AND(Units!$L112=1,CW$1=Units!$Q112),1,Inputs!$B$15)*Inputs!$B$16*(1+Inputs!$B$11)^(CW$2-1),0)</f>
        <v>0</v>
      </c>
      <c r="CX113" s="11" t="n">
        <f aca="false">IF(AND(CX$1&gt;=Units!$Q112,MOD(CX$1-Units!$Q112,12)=0),IF(AND(Units!$L112=1,CX$1=Units!$Q112),1,Inputs!$B$15)*Inputs!$B$16*(1+Inputs!$B$11)^(CX$2-1),0)</f>
        <v>0</v>
      </c>
      <c r="CY113" s="11" t="n">
        <f aca="false">IF(AND(CY$1&gt;=Units!$Q112,MOD(CY$1-Units!$Q112,12)=0),IF(AND(Units!$L112=1,CY$1=Units!$Q112),1,Inputs!$B$15)*Inputs!$B$16*(1+Inputs!$B$11)^(CY$2-1),0)</f>
        <v>0</v>
      </c>
      <c r="CZ113" s="11" t="n">
        <f aca="false">IF(AND(CZ$1&gt;=Units!$Q112,MOD(CZ$1-Units!$Q112,12)=0),IF(AND(Units!$L112=1,CZ$1=Units!$Q112),1,Inputs!$B$15)*Inputs!$B$16*(1+Inputs!$B$11)^(CZ$2-1),0)</f>
        <v>0</v>
      </c>
      <c r="DA113" s="11" t="n">
        <f aca="false">IF(AND(DA$1&gt;=Units!$Q112,MOD(DA$1-Units!$Q112,12)=0),IF(AND(Units!$L112=1,DA$1=Units!$Q112),1,Inputs!$B$15)*Inputs!$B$16*(1+Inputs!$B$11)^(DA$2-1),0)</f>
        <v>0</v>
      </c>
      <c r="DB113" s="11" t="n">
        <f aca="false">IF(AND(DB$1&gt;=Units!$Q112,MOD(DB$1-Units!$Q112,12)=0),IF(AND(Units!$L112=1,DB$1=Units!$Q112),1,Inputs!$B$15)*Inputs!$B$16*(1+Inputs!$B$11)^(DB$2-1),0)</f>
        <v>0</v>
      </c>
      <c r="DC113" s="11" t="n">
        <f aca="false">IF(AND(DC$1&gt;=Units!$Q112,MOD(DC$1-Units!$Q112,12)=0),IF(AND(Units!$L112=1,DC$1=Units!$Q112),1,Inputs!$B$15)*Inputs!$B$16*(1+Inputs!$B$11)^(DC$2-1),0)</f>
        <v>0</v>
      </c>
      <c r="DD113" s="11" t="n">
        <f aca="false">IF(AND(DD$1&gt;=Units!$Q112,MOD(DD$1-Units!$Q112,12)=0),IF(AND(Units!$L112=1,DD$1=Units!$Q112),1,Inputs!$B$15)*Inputs!$B$16*(1+Inputs!$B$11)^(DD$2-1),0)</f>
        <v>0</v>
      </c>
      <c r="DE113" s="11" t="n">
        <f aca="false">IF(AND(DE$1&gt;=Units!$Q112,MOD(DE$1-Units!$Q112,12)=0),IF(AND(Units!$L112=1,DE$1=Units!$Q112),1,Inputs!$B$15)*Inputs!$B$16*(1+Inputs!$B$11)^(DE$2-1),0)</f>
        <v>0</v>
      </c>
      <c r="DF113" s="11" t="n">
        <f aca="false">IF(AND(DF$1&gt;=Units!$Q112,MOD(DF$1-Units!$Q112,12)=0),IF(AND(Units!$L112=1,DF$1=Units!$Q112),1,Inputs!$B$15)*Inputs!$B$16*(1+Inputs!$B$11)^(DF$2-1),0)</f>
        <v>0</v>
      </c>
      <c r="DG113" s="11" t="n">
        <f aca="false">IF(AND(DG$1&gt;=Units!$Q112,MOD(DG$1-Units!$Q112,12)=0),IF(AND(Units!$L112=1,DG$1=Units!$Q112),1,Inputs!$B$15)*Inputs!$B$16*(1+Inputs!$B$11)^(DG$2-1),0)</f>
        <v>0</v>
      </c>
      <c r="DH113" s="11" t="n">
        <f aca="false">IF(AND(DH$1&gt;=Units!$Q112,MOD(DH$1-Units!$Q112,12)=0),IF(AND(Units!$L112=1,DH$1=Units!$Q112),1,Inputs!$B$15)*Inputs!$B$16*(1+Inputs!$B$11)^(DH$2-1),0)</f>
        <v>652.386591914623</v>
      </c>
      <c r="DI113" s="11" t="n">
        <f aca="false">IF(AND(DI$1&gt;=Units!$Q112,MOD(DI$1-Units!$Q112,12)=0),IF(AND(Units!$L112=1,DI$1=Units!$Q112),1,Inputs!$B$15)*Inputs!$B$16*(1+Inputs!$B$11)^(DI$2-1),0)</f>
        <v>0</v>
      </c>
      <c r="DJ113" s="11" t="n">
        <f aca="false">IF(AND(DJ$1&gt;=Units!$Q112,MOD(DJ$1-Units!$Q112,12)=0),IF(AND(Units!$L112=1,DJ$1=Units!$Q112),1,Inputs!$B$15)*Inputs!$B$16*(1+Inputs!$B$11)^(DJ$2-1),0)</f>
        <v>0</v>
      </c>
      <c r="DK113" s="11" t="n">
        <f aca="false">IF(AND(DK$1&gt;=Units!$Q112,MOD(DK$1-Units!$Q112,12)=0),IF(AND(Units!$L112=1,DK$1=Units!$Q112),1,Inputs!$B$15)*Inputs!$B$16*(1+Inputs!$B$11)^(DK$2-1),0)</f>
        <v>0</v>
      </c>
      <c r="DL113" s="11" t="n">
        <f aca="false">IF(AND(DL$1&gt;=Units!$Q112,MOD(DL$1-Units!$Q112,12)=0),IF(AND(Units!$L112=1,DL$1=Units!$Q112),1,Inputs!$B$15)*Inputs!$B$16*(1+Inputs!$B$11)^(DL$2-1),0)</f>
        <v>0</v>
      </c>
      <c r="DM113" s="11" t="n">
        <f aca="false">IF(AND(DM$1&gt;=Units!$Q112,MOD(DM$1-Units!$Q112,12)=0),IF(AND(Units!$L112=1,DM$1=Units!$Q112),1,Inputs!$B$15)*Inputs!$B$16*(1+Inputs!$B$11)^(DM$2-1),0)</f>
        <v>0</v>
      </c>
      <c r="DN113" s="11" t="n">
        <f aca="false">IF(AND(DN$1&gt;=Units!$Q112,MOD(DN$1-Units!$Q112,12)=0),IF(AND(Units!$L112=1,DN$1=Units!$Q112),1,Inputs!$B$15)*Inputs!$B$16*(1+Inputs!$B$11)^(DN$2-1),0)</f>
        <v>0</v>
      </c>
      <c r="DO113" s="11" t="n">
        <f aca="false">IF(AND(DO$1&gt;=Units!$Q112,MOD(DO$1-Units!$Q112,12)=0),IF(AND(Units!$L112=1,DO$1=Units!$Q112),1,Inputs!$B$15)*Inputs!$B$16*(1+Inputs!$B$11)^(DO$2-1),0)</f>
        <v>0</v>
      </c>
      <c r="DP113" s="11" t="n">
        <f aca="false">IF(AND(DP$1&gt;=Units!$Q112,MOD(DP$1-Units!$Q112,12)=0),IF(AND(Units!$L112=1,DP$1=Units!$Q112),1,Inputs!$B$15)*Inputs!$B$16*(1+Inputs!$B$11)^(DP$2-1),0)</f>
        <v>0</v>
      </c>
      <c r="DQ113" s="11" t="n">
        <f aca="false">IF(AND(DQ$1&gt;=Units!$Q112,MOD(DQ$1-Units!$Q112,12)=0),IF(AND(Units!$L112=1,DQ$1=Units!$Q112),1,Inputs!$B$15)*Inputs!$B$16*(1+Inputs!$B$11)^(DQ$2-1),0)</f>
        <v>0</v>
      </c>
      <c r="DR113" s="11" t="n">
        <f aca="false">IF(AND(DR$1&gt;=Units!$Q112,MOD(DR$1-Units!$Q112,12)=0),IF(AND(Units!$L112=1,DR$1=Units!$Q112),1,Inputs!$B$15)*Inputs!$B$16*(1+Inputs!$B$11)^(DR$2-1),0)</f>
        <v>0</v>
      </c>
      <c r="DS113" s="11" t="n">
        <f aca="false">IF(AND(DS$1&gt;=Units!$Q112,MOD(DS$1-Units!$Q112,12)=0),IF(AND(Units!$L112=1,DS$1=Units!$Q112),1,Inputs!$B$15)*Inputs!$B$16*(1+Inputs!$B$11)^(DS$2-1),0)</f>
        <v>0</v>
      </c>
      <c r="DT113" s="11" t="n">
        <f aca="false">IF(AND(DT$1&gt;=Units!$Q112,MOD(DT$1-Units!$Q112,12)=0),IF(AND(Units!$L112=1,DT$1=Units!$Q112),1,Inputs!$B$15)*Inputs!$B$16*(1+Inputs!$B$11)^(DT$2-1),0)</f>
        <v>671.958189672061</v>
      </c>
      <c r="DU113" s="11" t="n">
        <f aca="false">IF(AND(DU$1&gt;=Units!$Q112,MOD(DU$1-Units!$Q112,12)=0),IF(AND(Units!$L112=1,DU$1=Units!$Q112),1,Inputs!$B$15)*Inputs!$B$16*(1+Inputs!$B$11)^(DU$2-1),0)</f>
        <v>0</v>
      </c>
      <c r="DV113" s="11" t="n">
        <f aca="false">IF(AND(DV$1&gt;=Units!$Q112,MOD(DV$1-Units!$Q112,12)=0),IF(AND(Units!$L112=1,DV$1=Units!$Q112),1,Inputs!$B$15)*Inputs!$B$16*(1+Inputs!$B$11)^(DV$2-1),0)</f>
        <v>0</v>
      </c>
      <c r="DW113" s="11" t="n">
        <f aca="false">IF(AND(DW$1&gt;=Units!$Q112,MOD(DW$1-Units!$Q112,12)=0),IF(AND(Units!$L112=1,DW$1=Units!$Q112),1,Inputs!$B$15)*Inputs!$B$16*(1+Inputs!$B$11)^(DW$2-1),0)</f>
        <v>0</v>
      </c>
      <c r="DX113" s="11" t="n">
        <f aca="false">IF(AND(DX$1&gt;=Units!$Q112,MOD(DX$1-Units!$Q112,12)=0),IF(AND(Units!$L112=1,DX$1=Units!$Q112),1,Inputs!$B$15)*Inputs!$B$16*(1+Inputs!$B$11)^(DX$2-1),0)</f>
        <v>0</v>
      </c>
      <c r="DY113" s="11" t="n">
        <f aca="false">IF(AND(DY$1&gt;=Units!$Q112,MOD(DY$1-Units!$Q112,12)=0),IF(AND(Units!$L112=1,DY$1=Units!$Q112),1,Inputs!$B$15)*Inputs!$B$16*(1+Inputs!$B$11)^(DY$2-1),0)</f>
        <v>0</v>
      </c>
      <c r="DZ113" s="11" t="n">
        <f aca="false">IF(AND(DZ$1&gt;=Units!$Q112,MOD(DZ$1-Units!$Q112,12)=0),IF(AND(Units!$L112=1,DZ$1=Units!$Q112),1,Inputs!$B$15)*Inputs!$B$16*(1+Inputs!$B$11)^(DZ$2-1),0)</f>
        <v>0</v>
      </c>
      <c r="EA113" s="11" t="n">
        <f aca="false">IF(AND(EA$1&gt;=Units!$Q112,MOD(EA$1-Units!$Q112,12)=0),IF(AND(Units!$L112=1,EA$1=Units!$Q112),1,Inputs!$B$15)*Inputs!$B$16*(1+Inputs!$B$11)^(EA$2-1),0)</f>
        <v>0</v>
      </c>
      <c r="EB113" s="11" t="n">
        <f aca="false">IF(AND(EB$1&gt;=Units!$Q112,MOD(EB$1-Units!$Q112,12)=0),IF(AND(Units!$L112=1,EB$1=Units!$Q112),1,Inputs!$B$15)*Inputs!$B$16*(1+Inputs!$B$11)^(EB$2-1),0)</f>
        <v>0</v>
      </c>
      <c r="EC113" s="11" t="n">
        <f aca="false">IF(AND(EC$1&gt;=Units!$Q112,MOD(EC$1-Units!$Q112,12)=0),IF(AND(Units!$L112=1,EC$1=Units!$Q112),1,Inputs!$B$15)*Inputs!$B$16*(1+Inputs!$B$11)^(EC$2-1),0)</f>
        <v>0</v>
      </c>
      <c r="ED113" s="11" t="n">
        <f aca="false">IF(AND(ED$1&gt;=Units!$Q112,MOD(ED$1-Units!$Q112,12)=0),IF(AND(Units!$L112=1,ED$1=Units!$Q112),1,Inputs!$B$15)*Inputs!$B$16*(1+Inputs!$B$11)^(ED$2-1),0)</f>
        <v>0</v>
      </c>
    </row>
    <row r="114" customFormat="false" ht="15" hidden="false" customHeight="false" outlineLevel="0" collapsed="false">
      <c r="A114" s="22" t="n">
        <f aca="false">Units!A113</f>
        <v>422</v>
      </c>
      <c r="B114" s="23"/>
      <c r="C114" s="11" t="n">
        <f aca="false">IF(AND(C$1&gt;=Units!$Q113,MOD(C$1-Units!$Q113,12)=0),IF(AND(Units!$L113=1,C$1=Units!$Q113),1,Inputs!$B$15)*Inputs!$B$16*(1+Inputs!$B$11)^(C$2-1),0)</f>
        <v>0</v>
      </c>
      <c r="D114" s="11" t="n">
        <f aca="false">IF(AND(D$1&gt;=Units!$Q113,MOD(D$1-Units!$Q113,12)=0),IF(AND(Units!$L113=1,D$1=Units!$Q113),1,Inputs!$B$15)*Inputs!$B$16*(1+Inputs!$B$11)^(D$2-1),0)</f>
        <v>0</v>
      </c>
      <c r="E114" s="11" t="n">
        <f aca="false">IF(AND(E$1&gt;=Units!$Q113,MOD(E$1-Units!$Q113,12)=0),IF(AND(Units!$L113=1,E$1=Units!$Q113),1,Inputs!$B$15)*Inputs!$B$16*(1+Inputs!$B$11)^(E$2-1),0)</f>
        <v>0</v>
      </c>
      <c r="F114" s="11" t="n">
        <f aca="false">IF(AND(F$1&gt;=Units!$Q113,MOD(F$1-Units!$Q113,12)=0),IF(AND(Units!$L113=1,F$1=Units!$Q113),1,Inputs!$B$15)*Inputs!$B$16*(1+Inputs!$B$11)^(F$2-1),0)</f>
        <v>0</v>
      </c>
      <c r="G114" s="11" t="n">
        <f aca="false">IF(AND(G$1&gt;=Units!$Q113,MOD(G$1-Units!$Q113,12)=0),IF(AND(Units!$L113=1,G$1=Units!$Q113),1,Inputs!$B$15)*Inputs!$B$16*(1+Inputs!$B$11)^(G$2-1),0)</f>
        <v>0</v>
      </c>
      <c r="H114" s="11" t="n">
        <f aca="false">IF(AND(H$1&gt;=Units!$Q113,MOD(H$1-Units!$Q113,12)=0),IF(AND(Units!$L113=1,H$1=Units!$Q113),1,Inputs!$B$15)*Inputs!$B$16*(1+Inputs!$B$11)^(H$2-1),0)</f>
        <v>0</v>
      </c>
      <c r="I114" s="11" t="n">
        <f aca="false">IF(AND(I$1&gt;=Units!$Q113,MOD(I$1-Units!$Q113,12)=0),IF(AND(Units!$L113=1,I$1=Units!$Q113),1,Inputs!$B$15)*Inputs!$B$16*(1+Inputs!$B$11)^(I$2-1),0)</f>
        <v>0</v>
      </c>
      <c r="J114" s="11" t="n">
        <f aca="false">IF(AND(J$1&gt;=Units!$Q113,MOD(J$1-Units!$Q113,12)=0),IF(AND(Units!$L113=1,J$1=Units!$Q113),1,Inputs!$B$15)*Inputs!$B$16*(1+Inputs!$B$11)^(J$2-1),0)</f>
        <v>0</v>
      </c>
      <c r="K114" s="11" t="n">
        <f aca="false">IF(AND(K$1&gt;=Units!$Q113,MOD(K$1-Units!$Q113,12)=0),IF(AND(Units!$L113=1,K$1=Units!$Q113),1,Inputs!$B$15)*Inputs!$B$16*(1+Inputs!$B$11)^(K$2-1),0)</f>
        <v>0</v>
      </c>
      <c r="L114" s="11" t="n">
        <f aca="false">IF(AND(L$1&gt;=Units!$Q113,MOD(L$1-Units!$Q113,12)=0),IF(AND(Units!$L113=1,L$1=Units!$Q113),1,Inputs!$B$15)*Inputs!$B$16*(1+Inputs!$B$11)^(L$2-1),0)</f>
        <v>0</v>
      </c>
      <c r="M114" s="11" t="n">
        <f aca="false">IF(AND(M$1&gt;=Units!$Q113,MOD(M$1-Units!$Q113,12)=0),IF(AND(Units!$L113=1,M$1=Units!$Q113),1,Inputs!$B$15)*Inputs!$B$16*(1+Inputs!$B$11)^(M$2-1),0)</f>
        <v>0</v>
      </c>
      <c r="N114" s="11" t="n">
        <f aca="false">IF(AND(N$1&gt;=Units!$Q113,MOD(N$1-Units!$Q113,12)=0),IF(AND(Units!$L113=1,N$1=Units!$Q113),1,Inputs!$B$15)*Inputs!$B$16*(1+Inputs!$B$11)^(N$2-1),0)</f>
        <v>500</v>
      </c>
      <c r="O114" s="11" t="n">
        <f aca="false">IF(AND(O$1&gt;=Units!$Q113,MOD(O$1-Units!$Q113,12)=0),IF(AND(Units!$L113=1,O$1=Units!$Q113),1,Inputs!$B$15)*Inputs!$B$16*(1+Inputs!$B$11)^(O$2-1),0)</f>
        <v>0</v>
      </c>
      <c r="P114" s="11" t="n">
        <f aca="false">IF(AND(P$1&gt;=Units!$Q113,MOD(P$1-Units!$Q113,12)=0),IF(AND(Units!$L113=1,P$1=Units!$Q113),1,Inputs!$B$15)*Inputs!$B$16*(1+Inputs!$B$11)^(P$2-1),0)</f>
        <v>0</v>
      </c>
      <c r="Q114" s="11" t="n">
        <f aca="false">IF(AND(Q$1&gt;=Units!$Q113,MOD(Q$1-Units!$Q113,12)=0),IF(AND(Units!$L113=1,Q$1=Units!$Q113),1,Inputs!$B$15)*Inputs!$B$16*(1+Inputs!$B$11)^(Q$2-1),0)</f>
        <v>0</v>
      </c>
      <c r="R114" s="11" t="n">
        <f aca="false">IF(AND(R$1&gt;=Units!$Q113,MOD(R$1-Units!$Q113,12)=0),IF(AND(Units!$L113=1,R$1=Units!$Q113),1,Inputs!$B$15)*Inputs!$B$16*(1+Inputs!$B$11)^(R$2-1),0)</f>
        <v>0</v>
      </c>
      <c r="S114" s="11" t="n">
        <f aca="false">IF(AND(S$1&gt;=Units!$Q113,MOD(S$1-Units!$Q113,12)=0),IF(AND(Units!$L113=1,S$1=Units!$Q113),1,Inputs!$B$15)*Inputs!$B$16*(1+Inputs!$B$11)^(S$2-1),0)</f>
        <v>0</v>
      </c>
      <c r="T114" s="11" t="n">
        <f aca="false">IF(AND(T$1&gt;=Units!$Q113,MOD(T$1-Units!$Q113,12)=0),IF(AND(Units!$L113=1,T$1=Units!$Q113),1,Inputs!$B$15)*Inputs!$B$16*(1+Inputs!$B$11)^(T$2-1),0)</f>
        <v>0</v>
      </c>
      <c r="U114" s="11" t="n">
        <f aca="false">IF(AND(U$1&gt;=Units!$Q113,MOD(U$1-Units!$Q113,12)=0),IF(AND(Units!$L113=1,U$1=Units!$Q113),1,Inputs!$B$15)*Inputs!$B$16*(1+Inputs!$B$11)^(U$2-1),0)</f>
        <v>0</v>
      </c>
      <c r="V114" s="11" t="n">
        <f aca="false">IF(AND(V$1&gt;=Units!$Q113,MOD(V$1-Units!$Q113,12)=0),IF(AND(Units!$L113=1,V$1=Units!$Q113),1,Inputs!$B$15)*Inputs!$B$16*(1+Inputs!$B$11)^(V$2-1),0)</f>
        <v>0</v>
      </c>
      <c r="W114" s="11" t="n">
        <f aca="false">IF(AND(W$1&gt;=Units!$Q113,MOD(W$1-Units!$Q113,12)=0),IF(AND(Units!$L113=1,W$1=Units!$Q113),1,Inputs!$B$15)*Inputs!$B$16*(1+Inputs!$B$11)^(W$2-1),0)</f>
        <v>0</v>
      </c>
      <c r="X114" s="11" t="n">
        <f aca="false">IF(AND(X$1&gt;=Units!$Q113,MOD(X$1-Units!$Q113,12)=0),IF(AND(Units!$L113=1,X$1=Units!$Q113),1,Inputs!$B$15)*Inputs!$B$16*(1+Inputs!$B$11)^(X$2-1),0)</f>
        <v>0</v>
      </c>
      <c r="Y114" s="11" t="n">
        <f aca="false">IF(AND(Y$1&gt;=Units!$Q113,MOD(Y$1-Units!$Q113,12)=0),IF(AND(Units!$L113=1,Y$1=Units!$Q113),1,Inputs!$B$15)*Inputs!$B$16*(1+Inputs!$B$11)^(Y$2-1),0)</f>
        <v>0</v>
      </c>
      <c r="Z114" s="11" t="n">
        <f aca="false">IF(AND(Z$1&gt;=Units!$Q113,MOD(Z$1-Units!$Q113,12)=0),IF(AND(Units!$L113=1,Z$1=Units!$Q113),1,Inputs!$B$15)*Inputs!$B$16*(1+Inputs!$B$11)^(Z$2-1),0)</f>
        <v>515</v>
      </c>
      <c r="AA114" s="11" t="n">
        <f aca="false">IF(AND(AA$1&gt;=Units!$Q113,MOD(AA$1-Units!$Q113,12)=0),IF(AND(Units!$L113=1,AA$1=Units!$Q113),1,Inputs!$B$15)*Inputs!$B$16*(1+Inputs!$B$11)^(AA$2-1),0)</f>
        <v>0</v>
      </c>
      <c r="AB114" s="11" t="n">
        <f aca="false">IF(AND(AB$1&gt;=Units!$Q113,MOD(AB$1-Units!$Q113,12)=0),IF(AND(Units!$L113=1,AB$1=Units!$Q113),1,Inputs!$B$15)*Inputs!$B$16*(1+Inputs!$B$11)^(AB$2-1),0)</f>
        <v>0</v>
      </c>
      <c r="AC114" s="11" t="n">
        <f aca="false">IF(AND(AC$1&gt;=Units!$Q113,MOD(AC$1-Units!$Q113,12)=0),IF(AND(Units!$L113=1,AC$1=Units!$Q113),1,Inputs!$B$15)*Inputs!$B$16*(1+Inputs!$B$11)^(AC$2-1),0)</f>
        <v>0</v>
      </c>
      <c r="AD114" s="11" t="n">
        <f aca="false">IF(AND(AD$1&gt;=Units!$Q113,MOD(AD$1-Units!$Q113,12)=0),IF(AND(Units!$L113=1,AD$1=Units!$Q113),1,Inputs!$B$15)*Inputs!$B$16*(1+Inputs!$B$11)^(AD$2-1),0)</f>
        <v>0</v>
      </c>
      <c r="AE114" s="11" t="n">
        <f aca="false">IF(AND(AE$1&gt;=Units!$Q113,MOD(AE$1-Units!$Q113,12)=0),IF(AND(Units!$L113=1,AE$1=Units!$Q113),1,Inputs!$B$15)*Inputs!$B$16*(1+Inputs!$B$11)^(AE$2-1),0)</f>
        <v>0</v>
      </c>
      <c r="AF114" s="11" t="n">
        <f aca="false">IF(AND(AF$1&gt;=Units!$Q113,MOD(AF$1-Units!$Q113,12)=0),IF(AND(Units!$L113=1,AF$1=Units!$Q113),1,Inputs!$B$15)*Inputs!$B$16*(1+Inputs!$B$11)^(AF$2-1),0)</f>
        <v>0</v>
      </c>
      <c r="AG114" s="11" t="n">
        <f aca="false">IF(AND(AG$1&gt;=Units!$Q113,MOD(AG$1-Units!$Q113,12)=0),IF(AND(Units!$L113=1,AG$1=Units!$Q113),1,Inputs!$B$15)*Inputs!$B$16*(1+Inputs!$B$11)^(AG$2-1),0)</f>
        <v>0</v>
      </c>
      <c r="AH114" s="11" t="n">
        <f aca="false">IF(AND(AH$1&gt;=Units!$Q113,MOD(AH$1-Units!$Q113,12)=0),IF(AND(Units!$L113=1,AH$1=Units!$Q113),1,Inputs!$B$15)*Inputs!$B$16*(1+Inputs!$B$11)^(AH$2-1),0)</f>
        <v>0</v>
      </c>
      <c r="AI114" s="11" t="n">
        <f aca="false">IF(AND(AI$1&gt;=Units!$Q113,MOD(AI$1-Units!$Q113,12)=0),IF(AND(Units!$L113=1,AI$1=Units!$Q113),1,Inputs!$B$15)*Inputs!$B$16*(1+Inputs!$B$11)^(AI$2-1),0)</f>
        <v>0</v>
      </c>
      <c r="AJ114" s="11" t="n">
        <f aca="false">IF(AND(AJ$1&gt;=Units!$Q113,MOD(AJ$1-Units!$Q113,12)=0),IF(AND(Units!$L113=1,AJ$1=Units!$Q113),1,Inputs!$B$15)*Inputs!$B$16*(1+Inputs!$B$11)^(AJ$2-1),0)</f>
        <v>0</v>
      </c>
      <c r="AK114" s="11" t="n">
        <f aca="false">IF(AND(AK$1&gt;=Units!$Q113,MOD(AK$1-Units!$Q113,12)=0),IF(AND(Units!$L113=1,AK$1=Units!$Q113),1,Inputs!$B$15)*Inputs!$B$16*(1+Inputs!$B$11)^(AK$2-1),0)</f>
        <v>0</v>
      </c>
      <c r="AL114" s="11" t="n">
        <f aca="false">IF(AND(AL$1&gt;=Units!$Q113,MOD(AL$1-Units!$Q113,12)=0),IF(AND(Units!$L113=1,AL$1=Units!$Q113),1,Inputs!$B$15)*Inputs!$B$16*(1+Inputs!$B$11)^(AL$2-1),0)</f>
        <v>530.45</v>
      </c>
      <c r="AM114" s="11" t="n">
        <f aca="false">IF(AND(AM$1&gt;=Units!$Q113,MOD(AM$1-Units!$Q113,12)=0),IF(AND(Units!$L113=1,AM$1=Units!$Q113),1,Inputs!$B$15)*Inputs!$B$16*(1+Inputs!$B$11)^(AM$2-1),0)</f>
        <v>0</v>
      </c>
      <c r="AN114" s="11" t="n">
        <f aca="false">IF(AND(AN$1&gt;=Units!$Q113,MOD(AN$1-Units!$Q113,12)=0),IF(AND(Units!$L113=1,AN$1=Units!$Q113),1,Inputs!$B$15)*Inputs!$B$16*(1+Inputs!$B$11)^(AN$2-1),0)</f>
        <v>0</v>
      </c>
      <c r="AO114" s="11" t="n">
        <f aca="false">IF(AND(AO$1&gt;=Units!$Q113,MOD(AO$1-Units!$Q113,12)=0),IF(AND(Units!$L113=1,AO$1=Units!$Q113),1,Inputs!$B$15)*Inputs!$B$16*(1+Inputs!$B$11)^(AO$2-1),0)</f>
        <v>0</v>
      </c>
      <c r="AP114" s="11" t="n">
        <f aca="false">IF(AND(AP$1&gt;=Units!$Q113,MOD(AP$1-Units!$Q113,12)=0),IF(AND(Units!$L113=1,AP$1=Units!$Q113),1,Inputs!$B$15)*Inputs!$B$16*(1+Inputs!$B$11)^(AP$2-1),0)</f>
        <v>0</v>
      </c>
      <c r="AQ114" s="11" t="n">
        <f aca="false">IF(AND(AQ$1&gt;=Units!$Q113,MOD(AQ$1-Units!$Q113,12)=0),IF(AND(Units!$L113=1,AQ$1=Units!$Q113),1,Inputs!$B$15)*Inputs!$B$16*(1+Inputs!$B$11)^(AQ$2-1),0)</f>
        <v>0</v>
      </c>
      <c r="AR114" s="11" t="n">
        <f aca="false">IF(AND(AR$1&gt;=Units!$Q113,MOD(AR$1-Units!$Q113,12)=0),IF(AND(Units!$L113=1,AR$1=Units!$Q113),1,Inputs!$B$15)*Inputs!$B$16*(1+Inputs!$B$11)^(AR$2-1),0)</f>
        <v>0</v>
      </c>
      <c r="AS114" s="11" t="n">
        <f aca="false">IF(AND(AS$1&gt;=Units!$Q113,MOD(AS$1-Units!$Q113,12)=0),IF(AND(Units!$L113=1,AS$1=Units!$Q113),1,Inputs!$B$15)*Inputs!$B$16*(1+Inputs!$B$11)^(AS$2-1),0)</f>
        <v>0</v>
      </c>
      <c r="AT114" s="11" t="n">
        <f aca="false">IF(AND(AT$1&gt;=Units!$Q113,MOD(AT$1-Units!$Q113,12)=0),IF(AND(Units!$L113=1,AT$1=Units!$Q113),1,Inputs!$B$15)*Inputs!$B$16*(1+Inputs!$B$11)^(AT$2-1),0)</f>
        <v>0</v>
      </c>
      <c r="AU114" s="11" t="n">
        <f aca="false">IF(AND(AU$1&gt;=Units!$Q113,MOD(AU$1-Units!$Q113,12)=0),IF(AND(Units!$L113=1,AU$1=Units!$Q113),1,Inputs!$B$15)*Inputs!$B$16*(1+Inputs!$B$11)^(AU$2-1),0)</f>
        <v>0</v>
      </c>
      <c r="AV114" s="11" t="n">
        <f aca="false">IF(AND(AV$1&gt;=Units!$Q113,MOD(AV$1-Units!$Q113,12)=0),IF(AND(Units!$L113=1,AV$1=Units!$Q113),1,Inputs!$B$15)*Inputs!$B$16*(1+Inputs!$B$11)^(AV$2-1),0)</f>
        <v>0</v>
      </c>
      <c r="AW114" s="11" t="n">
        <f aca="false">IF(AND(AW$1&gt;=Units!$Q113,MOD(AW$1-Units!$Q113,12)=0),IF(AND(Units!$L113=1,AW$1=Units!$Q113),1,Inputs!$B$15)*Inputs!$B$16*(1+Inputs!$B$11)^(AW$2-1),0)</f>
        <v>0</v>
      </c>
      <c r="AX114" s="11" t="n">
        <f aca="false">IF(AND(AX$1&gt;=Units!$Q113,MOD(AX$1-Units!$Q113,12)=0),IF(AND(Units!$L113=1,AX$1=Units!$Q113),1,Inputs!$B$15)*Inputs!$B$16*(1+Inputs!$B$11)^(AX$2-1),0)</f>
        <v>546.3635</v>
      </c>
      <c r="AY114" s="11" t="n">
        <f aca="false">IF(AND(AY$1&gt;=Units!$Q113,MOD(AY$1-Units!$Q113,12)=0),IF(AND(Units!$L113=1,AY$1=Units!$Q113),1,Inputs!$B$15)*Inputs!$B$16*(1+Inputs!$B$11)^(AY$2-1),0)</f>
        <v>0</v>
      </c>
      <c r="AZ114" s="11" t="n">
        <f aca="false">IF(AND(AZ$1&gt;=Units!$Q113,MOD(AZ$1-Units!$Q113,12)=0),IF(AND(Units!$L113=1,AZ$1=Units!$Q113),1,Inputs!$B$15)*Inputs!$B$16*(1+Inputs!$B$11)^(AZ$2-1),0)</f>
        <v>0</v>
      </c>
      <c r="BA114" s="11" t="n">
        <f aca="false">IF(AND(BA$1&gt;=Units!$Q113,MOD(BA$1-Units!$Q113,12)=0),IF(AND(Units!$L113=1,BA$1=Units!$Q113),1,Inputs!$B$15)*Inputs!$B$16*(1+Inputs!$B$11)^(BA$2-1),0)</f>
        <v>0</v>
      </c>
      <c r="BB114" s="11" t="n">
        <f aca="false">IF(AND(BB$1&gt;=Units!$Q113,MOD(BB$1-Units!$Q113,12)=0),IF(AND(Units!$L113=1,BB$1=Units!$Q113),1,Inputs!$B$15)*Inputs!$B$16*(1+Inputs!$B$11)^(BB$2-1),0)</f>
        <v>0</v>
      </c>
      <c r="BC114" s="11" t="n">
        <f aca="false">IF(AND(BC$1&gt;=Units!$Q113,MOD(BC$1-Units!$Q113,12)=0),IF(AND(Units!$L113=1,BC$1=Units!$Q113),1,Inputs!$B$15)*Inputs!$B$16*(1+Inputs!$B$11)^(BC$2-1),0)</f>
        <v>0</v>
      </c>
      <c r="BD114" s="11" t="n">
        <f aca="false">IF(AND(BD$1&gt;=Units!$Q113,MOD(BD$1-Units!$Q113,12)=0),IF(AND(Units!$L113=1,BD$1=Units!$Q113),1,Inputs!$B$15)*Inputs!$B$16*(1+Inputs!$B$11)^(BD$2-1),0)</f>
        <v>0</v>
      </c>
      <c r="BE114" s="11" t="n">
        <f aca="false">IF(AND(BE$1&gt;=Units!$Q113,MOD(BE$1-Units!$Q113,12)=0),IF(AND(Units!$L113=1,BE$1=Units!$Q113),1,Inputs!$B$15)*Inputs!$B$16*(1+Inputs!$B$11)^(BE$2-1),0)</f>
        <v>0</v>
      </c>
      <c r="BF114" s="11" t="n">
        <f aca="false">IF(AND(BF$1&gt;=Units!$Q113,MOD(BF$1-Units!$Q113,12)=0),IF(AND(Units!$L113=1,BF$1=Units!$Q113),1,Inputs!$B$15)*Inputs!$B$16*(1+Inputs!$B$11)^(BF$2-1),0)</f>
        <v>0</v>
      </c>
      <c r="BG114" s="11" t="n">
        <f aca="false">IF(AND(BG$1&gt;=Units!$Q113,MOD(BG$1-Units!$Q113,12)=0),IF(AND(Units!$L113=1,BG$1=Units!$Q113),1,Inputs!$B$15)*Inputs!$B$16*(1+Inputs!$B$11)^(BG$2-1),0)</f>
        <v>0</v>
      </c>
      <c r="BH114" s="11" t="n">
        <f aca="false">IF(AND(BH$1&gt;=Units!$Q113,MOD(BH$1-Units!$Q113,12)=0),IF(AND(Units!$L113=1,BH$1=Units!$Q113),1,Inputs!$B$15)*Inputs!$B$16*(1+Inputs!$B$11)^(BH$2-1),0)</f>
        <v>0</v>
      </c>
      <c r="BI114" s="11" t="n">
        <f aca="false">IF(AND(BI$1&gt;=Units!$Q113,MOD(BI$1-Units!$Q113,12)=0),IF(AND(Units!$L113=1,BI$1=Units!$Q113),1,Inputs!$B$15)*Inputs!$B$16*(1+Inputs!$B$11)^(BI$2-1),0)</f>
        <v>0</v>
      </c>
      <c r="BJ114" s="11" t="n">
        <f aca="false">IF(AND(BJ$1&gt;=Units!$Q113,MOD(BJ$1-Units!$Q113,12)=0),IF(AND(Units!$L113=1,BJ$1=Units!$Q113),1,Inputs!$B$15)*Inputs!$B$16*(1+Inputs!$B$11)^(BJ$2-1),0)</f>
        <v>562.754405</v>
      </c>
      <c r="BK114" s="11" t="n">
        <f aca="false">IF(AND(BK$1&gt;=Units!$Q113,MOD(BK$1-Units!$Q113,12)=0),IF(AND(Units!$L113=1,BK$1=Units!$Q113),1,Inputs!$B$15)*Inputs!$B$16*(1+Inputs!$B$11)^(BK$2-1),0)</f>
        <v>0</v>
      </c>
      <c r="BL114" s="11" t="n">
        <f aca="false">IF(AND(BL$1&gt;=Units!$Q113,MOD(BL$1-Units!$Q113,12)=0),IF(AND(Units!$L113=1,BL$1=Units!$Q113),1,Inputs!$B$15)*Inputs!$B$16*(1+Inputs!$B$11)^(BL$2-1),0)</f>
        <v>0</v>
      </c>
      <c r="BM114" s="11" t="n">
        <f aca="false">IF(AND(BM$1&gt;=Units!$Q113,MOD(BM$1-Units!$Q113,12)=0),IF(AND(Units!$L113=1,BM$1=Units!$Q113),1,Inputs!$B$15)*Inputs!$B$16*(1+Inputs!$B$11)^(BM$2-1),0)</f>
        <v>0</v>
      </c>
      <c r="BN114" s="11" t="n">
        <f aca="false">IF(AND(BN$1&gt;=Units!$Q113,MOD(BN$1-Units!$Q113,12)=0),IF(AND(Units!$L113=1,BN$1=Units!$Q113),1,Inputs!$B$15)*Inputs!$B$16*(1+Inputs!$B$11)^(BN$2-1),0)</f>
        <v>0</v>
      </c>
      <c r="BO114" s="11" t="n">
        <f aca="false">IF(AND(BO$1&gt;=Units!$Q113,MOD(BO$1-Units!$Q113,12)=0),IF(AND(Units!$L113=1,BO$1=Units!$Q113),1,Inputs!$B$15)*Inputs!$B$16*(1+Inputs!$B$11)^(BO$2-1),0)</f>
        <v>0</v>
      </c>
      <c r="BP114" s="11" t="n">
        <f aca="false">IF(AND(BP$1&gt;=Units!$Q113,MOD(BP$1-Units!$Q113,12)=0),IF(AND(Units!$L113=1,BP$1=Units!$Q113),1,Inputs!$B$15)*Inputs!$B$16*(1+Inputs!$B$11)^(BP$2-1),0)</f>
        <v>0</v>
      </c>
      <c r="BQ114" s="11" t="n">
        <f aca="false">IF(AND(BQ$1&gt;=Units!$Q113,MOD(BQ$1-Units!$Q113,12)=0),IF(AND(Units!$L113=1,BQ$1=Units!$Q113),1,Inputs!$B$15)*Inputs!$B$16*(1+Inputs!$B$11)^(BQ$2-1),0)</f>
        <v>0</v>
      </c>
      <c r="BR114" s="11" t="n">
        <f aca="false">IF(AND(BR$1&gt;=Units!$Q113,MOD(BR$1-Units!$Q113,12)=0),IF(AND(Units!$L113=1,BR$1=Units!$Q113),1,Inputs!$B$15)*Inputs!$B$16*(1+Inputs!$B$11)^(BR$2-1),0)</f>
        <v>0</v>
      </c>
      <c r="BS114" s="11" t="n">
        <f aca="false">IF(AND(BS$1&gt;=Units!$Q113,MOD(BS$1-Units!$Q113,12)=0),IF(AND(Units!$L113=1,BS$1=Units!$Q113),1,Inputs!$B$15)*Inputs!$B$16*(1+Inputs!$B$11)^(BS$2-1),0)</f>
        <v>0</v>
      </c>
      <c r="BT114" s="11" t="n">
        <f aca="false">IF(AND(BT$1&gt;=Units!$Q113,MOD(BT$1-Units!$Q113,12)=0),IF(AND(Units!$L113=1,BT$1=Units!$Q113),1,Inputs!$B$15)*Inputs!$B$16*(1+Inputs!$B$11)^(BT$2-1),0)</f>
        <v>0</v>
      </c>
      <c r="BU114" s="11" t="n">
        <f aca="false">IF(AND(BU$1&gt;=Units!$Q113,MOD(BU$1-Units!$Q113,12)=0),IF(AND(Units!$L113=1,BU$1=Units!$Q113),1,Inputs!$B$15)*Inputs!$B$16*(1+Inputs!$B$11)^(BU$2-1),0)</f>
        <v>0</v>
      </c>
      <c r="BV114" s="11" t="n">
        <f aca="false">IF(AND(BV$1&gt;=Units!$Q113,MOD(BV$1-Units!$Q113,12)=0),IF(AND(Units!$L113=1,BV$1=Units!$Q113),1,Inputs!$B$15)*Inputs!$B$16*(1+Inputs!$B$11)^(BV$2-1),0)</f>
        <v>579.63703715</v>
      </c>
      <c r="BW114" s="11" t="n">
        <f aca="false">IF(AND(BW$1&gt;=Units!$Q113,MOD(BW$1-Units!$Q113,12)=0),IF(AND(Units!$L113=1,BW$1=Units!$Q113),1,Inputs!$B$15)*Inputs!$B$16*(1+Inputs!$B$11)^(BW$2-1),0)</f>
        <v>0</v>
      </c>
      <c r="BX114" s="11" t="n">
        <f aca="false">IF(AND(BX$1&gt;=Units!$Q113,MOD(BX$1-Units!$Q113,12)=0),IF(AND(Units!$L113=1,BX$1=Units!$Q113),1,Inputs!$B$15)*Inputs!$B$16*(1+Inputs!$B$11)^(BX$2-1),0)</f>
        <v>0</v>
      </c>
      <c r="BY114" s="11" t="n">
        <f aca="false">IF(AND(BY$1&gt;=Units!$Q113,MOD(BY$1-Units!$Q113,12)=0),IF(AND(Units!$L113=1,BY$1=Units!$Q113),1,Inputs!$B$15)*Inputs!$B$16*(1+Inputs!$B$11)^(BY$2-1),0)</f>
        <v>0</v>
      </c>
      <c r="BZ114" s="11" t="n">
        <f aca="false">IF(AND(BZ$1&gt;=Units!$Q113,MOD(BZ$1-Units!$Q113,12)=0),IF(AND(Units!$L113=1,BZ$1=Units!$Q113),1,Inputs!$B$15)*Inputs!$B$16*(1+Inputs!$B$11)^(BZ$2-1),0)</f>
        <v>0</v>
      </c>
      <c r="CA114" s="11" t="n">
        <f aca="false">IF(AND(CA$1&gt;=Units!$Q113,MOD(CA$1-Units!$Q113,12)=0),IF(AND(Units!$L113=1,CA$1=Units!$Q113),1,Inputs!$B$15)*Inputs!$B$16*(1+Inputs!$B$11)^(CA$2-1),0)</f>
        <v>0</v>
      </c>
      <c r="CB114" s="11" t="n">
        <f aca="false">IF(AND(CB$1&gt;=Units!$Q113,MOD(CB$1-Units!$Q113,12)=0),IF(AND(Units!$L113=1,CB$1=Units!$Q113),1,Inputs!$B$15)*Inputs!$B$16*(1+Inputs!$B$11)^(CB$2-1),0)</f>
        <v>0</v>
      </c>
      <c r="CC114" s="11" t="n">
        <f aca="false">IF(AND(CC$1&gt;=Units!$Q113,MOD(CC$1-Units!$Q113,12)=0),IF(AND(Units!$L113=1,CC$1=Units!$Q113),1,Inputs!$B$15)*Inputs!$B$16*(1+Inputs!$B$11)^(CC$2-1),0)</f>
        <v>0</v>
      </c>
      <c r="CD114" s="11" t="n">
        <f aca="false">IF(AND(CD$1&gt;=Units!$Q113,MOD(CD$1-Units!$Q113,12)=0),IF(AND(Units!$L113=1,CD$1=Units!$Q113),1,Inputs!$B$15)*Inputs!$B$16*(1+Inputs!$B$11)^(CD$2-1),0)</f>
        <v>0</v>
      </c>
      <c r="CE114" s="11" t="n">
        <f aca="false">IF(AND(CE$1&gt;=Units!$Q113,MOD(CE$1-Units!$Q113,12)=0),IF(AND(Units!$L113=1,CE$1=Units!$Q113),1,Inputs!$B$15)*Inputs!$B$16*(1+Inputs!$B$11)^(CE$2-1),0)</f>
        <v>0</v>
      </c>
      <c r="CF114" s="11" t="n">
        <f aca="false">IF(AND(CF$1&gt;=Units!$Q113,MOD(CF$1-Units!$Q113,12)=0),IF(AND(Units!$L113=1,CF$1=Units!$Q113),1,Inputs!$B$15)*Inputs!$B$16*(1+Inputs!$B$11)^(CF$2-1),0)</f>
        <v>0</v>
      </c>
      <c r="CG114" s="11" t="n">
        <f aca="false">IF(AND(CG$1&gt;=Units!$Q113,MOD(CG$1-Units!$Q113,12)=0),IF(AND(Units!$L113=1,CG$1=Units!$Q113),1,Inputs!$B$15)*Inputs!$B$16*(1+Inputs!$B$11)^(CG$2-1),0)</f>
        <v>0</v>
      </c>
      <c r="CH114" s="11" t="n">
        <f aca="false">IF(AND(CH$1&gt;=Units!$Q113,MOD(CH$1-Units!$Q113,12)=0),IF(AND(Units!$L113=1,CH$1=Units!$Q113),1,Inputs!$B$15)*Inputs!$B$16*(1+Inputs!$B$11)^(CH$2-1),0)</f>
        <v>597.0261482645</v>
      </c>
      <c r="CI114" s="11" t="n">
        <f aca="false">IF(AND(CI$1&gt;=Units!$Q113,MOD(CI$1-Units!$Q113,12)=0),IF(AND(Units!$L113=1,CI$1=Units!$Q113),1,Inputs!$B$15)*Inputs!$B$16*(1+Inputs!$B$11)^(CI$2-1),0)</f>
        <v>0</v>
      </c>
      <c r="CJ114" s="11" t="n">
        <f aca="false">IF(AND(CJ$1&gt;=Units!$Q113,MOD(CJ$1-Units!$Q113,12)=0),IF(AND(Units!$L113=1,CJ$1=Units!$Q113),1,Inputs!$B$15)*Inputs!$B$16*(1+Inputs!$B$11)^(CJ$2-1),0)</f>
        <v>0</v>
      </c>
      <c r="CK114" s="11" t="n">
        <f aca="false">IF(AND(CK$1&gt;=Units!$Q113,MOD(CK$1-Units!$Q113,12)=0),IF(AND(Units!$L113=1,CK$1=Units!$Q113),1,Inputs!$B$15)*Inputs!$B$16*(1+Inputs!$B$11)^(CK$2-1),0)</f>
        <v>0</v>
      </c>
      <c r="CL114" s="11" t="n">
        <f aca="false">IF(AND(CL$1&gt;=Units!$Q113,MOD(CL$1-Units!$Q113,12)=0),IF(AND(Units!$L113=1,CL$1=Units!$Q113),1,Inputs!$B$15)*Inputs!$B$16*(1+Inputs!$B$11)^(CL$2-1),0)</f>
        <v>0</v>
      </c>
      <c r="CM114" s="11" t="n">
        <f aca="false">IF(AND(CM$1&gt;=Units!$Q113,MOD(CM$1-Units!$Q113,12)=0),IF(AND(Units!$L113=1,CM$1=Units!$Q113),1,Inputs!$B$15)*Inputs!$B$16*(1+Inputs!$B$11)^(CM$2-1),0)</f>
        <v>0</v>
      </c>
      <c r="CN114" s="11" t="n">
        <f aca="false">IF(AND(CN$1&gt;=Units!$Q113,MOD(CN$1-Units!$Q113,12)=0),IF(AND(Units!$L113=1,CN$1=Units!$Q113),1,Inputs!$B$15)*Inputs!$B$16*(1+Inputs!$B$11)^(CN$2-1),0)</f>
        <v>0</v>
      </c>
      <c r="CO114" s="11" t="n">
        <f aca="false">IF(AND(CO$1&gt;=Units!$Q113,MOD(CO$1-Units!$Q113,12)=0),IF(AND(Units!$L113=1,CO$1=Units!$Q113),1,Inputs!$B$15)*Inputs!$B$16*(1+Inputs!$B$11)^(CO$2-1),0)</f>
        <v>0</v>
      </c>
      <c r="CP114" s="11" t="n">
        <f aca="false">IF(AND(CP$1&gt;=Units!$Q113,MOD(CP$1-Units!$Q113,12)=0),IF(AND(Units!$L113=1,CP$1=Units!$Q113),1,Inputs!$B$15)*Inputs!$B$16*(1+Inputs!$B$11)^(CP$2-1),0)</f>
        <v>0</v>
      </c>
      <c r="CQ114" s="11" t="n">
        <f aca="false">IF(AND(CQ$1&gt;=Units!$Q113,MOD(CQ$1-Units!$Q113,12)=0),IF(AND(Units!$L113=1,CQ$1=Units!$Q113),1,Inputs!$B$15)*Inputs!$B$16*(1+Inputs!$B$11)^(CQ$2-1),0)</f>
        <v>0</v>
      </c>
      <c r="CR114" s="11" t="n">
        <f aca="false">IF(AND(CR$1&gt;=Units!$Q113,MOD(CR$1-Units!$Q113,12)=0),IF(AND(Units!$L113=1,CR$1=Units!$Q113),1,Inputs!$B$15)*Inputs!$B$16*(1+Inputs!$B$11)^(CR$2-1),0)</f>
        <v>0</v>
      </c>
      <c r="CS114" s="11" t="n">
        <f aca="false">IF(AND(CS$1&gt;=Units!$Q113,MOD(CS$1-Units!$Q113,12)=0),IF(AND(Units!$L113=1,CS$1=Units!$Q113),1,Inputs!$B$15)*Inputs!$B$16*(1+Inputs!$B$11)^(CS$2-1),0)</f>
        <v>0</v>
      </c>
      <c r="CT114" s="11" t="n">
        <f aca="false">IF(AND(CT$1&gt;=Units!$Q113,MOD(CT$1-Units!$Q113,12)=0),IF(AND(Units!$L113=1,CT$1=Units!$Q113),1,Inputs!$B$15)*Inputs!$B$16*(1+Inputs!$B$11)^(CT$2-1),0)</f>
        <v>614.936932712435</v>
      </c>
      <c r="CU114" s="11" t="n">
        <f aca="false">IF(AND(CU$1&gt;=Units!$Q113,MOD(CU$1-Units!$Q113,12)=0),IF(AND(Units!$L113=1,CU$1=Units!$Q113),1,Inputs!$B$15)*Inputs!$B$16*(1+Inputs!$B$11)^(CU$2-1),0)</f>
        <v>0</v>
      </c>
      <c r="CV114" s="11" t="n">
        <f aca="false">IF(AND(CV$1&gt;=Units!$Q113,MOD(CV$1-Units!$Q113,12)=0),IF(AND(Units!$L113=1,CV$1=Units!$Q113),1,Inputs!$B$15)*Inputs!$B$16*(1+Inputs!$B$11)^(CV$2-1),0)</f>
        <v>0</v>
      </c>
      <c r="CW114" s="11" t="n">
        <f aca="false">IF(AND(CW$1&gt;=Units!$Q113,MOD(CW$1-Units!$Q113,12)=0),IF(AND(Units!$L113=1,CW$1=Units!$Q113),1,Inputs!$B$15)*Inputs!$B$16*(1+Inputs!$B$11)^(CW$2-1),0)</f>
        <v>0</v>
      </c>
      <c r="CX114" s="11" t="n">
        <f aca="false">IF(AND(CX$1&gt;=Units!$Q113,MOD(CX$1-Units!$Q113,12)=0),IF(AND(Units!$L113=1,CX$1=Units!$Q113),1,Inputs!$B$15)*Inputs!$B$16*(1+Inputs!$B$11)^(CX$2-1),0)</f>
        <v>0</v>
      </c>
      <c r="CY114" s="11" t="n">
        <f aca="false">IF(AND(CY$1&gt;=Units!$Q113,MOD(CY$1-Units!$Q113,12)=0),IF(AND(Units!$L113=1,CY$1=Units!$Q113),1,Inputs!$B$15)*Inputs!$B$16*(1+Inputs!$B$11)^(CY$2-1),0)</f>
        <v>0</v>
      </c>
      <c r="CZ114" s="11" t="n">
        <f aca="false">IF(AND(CZ$1&gt;=Units!$Q113,MOD(CZ$1-Units!$Q113,12)=0),IF(AND(Units!$L113=1,CZ$1=Units!$Q113),1,Inputs!$B$15)*Inputs!$B$16*(1+Inputs!$B$11)^(CZ$2-1),0)</f>
        <v>0</v>
      </c>
      <c r="DA114" s="11" t="n">
        <f aca="false">IF(AND(DA$1&gt;=Units!$Q113,MOD(DA$1-Units!$Q113,12)=0),IF(AND(Units!$L113=1,DA$1=Units!$Q113),1,Inputs!$B$15)*Inputs!$B$16*(1+Inputs!$B$11)^(DA$2-1),0)</f>
        <v>0</v>
      </c>
      <c r="DB114" s="11" t="n">
        <f aca="false">IF(AND(DB$1&gt;=Units!$Q113,MOD(DB$1-Units!$Q113,12)=0),IF(AND(Units!$L113=1,DB$1=Units!$Q113),1,Inputs!$B$15)*Inputs!$B$16*(1+Inputs!$B$11)^(DB$2-1),0)</f>
        <v>0</v>
      </c>
      <c r="DC114" s="11" t="n">
        <f aca="false">IF(AND(DC$1&gt;=Units!$Q113,MOD(DC$1-Units!$Q113,12)=0),IF(AND(Units!$L113=1,DC$1=Units!$Q113),1,Inputs!$B$15)*Inputs!$B$16*(1+Inputs!$B$11)^(DC$2-1),0)</f>
        <v>0</v>
      </c>
      <c r="DD114" s="11" t="n">
        <f aca="false">IF(AND(DD$1&gt;=Units!$Q113,MOD(DD$1-Units!$Q113,12)=0),IF(AND(Units!$L113=1,DD$1=Units!$Q113),1,Inputs!$B$15)*Inputs!$B$16*(1+Inputs!$B$11)^(DD$2-1),0)</f>
        <v>0</v>
      </c>
      <c r="DE114" s="11" t="n">
        <f aca="false">IF(AND(DE$1&gt;=Units!$Q113,MOD(DE$1-Units!$Q113,12)=0),IF(AND(Units!$L113=1,DE$1=Units!$Q113),1,Inputs!$B$15)*Inputs!$B$16*(1+Inputs!$B$11)^(DE$2-1),0)</f>
        <v>0</v>
      </c>
      <c r="DF114" s="11" t="n">
        <f aca="false">IF(AND(DF$1&gt;=Units!$Q113,MOD(DF$1-Units!$Q113,12)=0),IF(AND(Units!$L113=1,DF$1=Units!$Q113),1,Inputs!$B$15)*Inputs!$B$16*(1+Inputs!$B$11)^(DF$2-1),0)</f>
        <v>633.385040693808</v>
      </c>
      <c r="DG114" s="11" t="n">
        <f aca="false">IF(AND(DG$1&gt;=Units!$Q113,MOD(DG$1-Units!$Q113,12)=0),IF(AND(Units!$L113=1,DG$1=Units!$Q113),1,Inputs!$B$15)*Inputs!$B$16*(1+Inputs!$B$11)^(DG$2-1),0)</f>
        <v>0</v>
      </c>
      <c r="DH114" s="11" t="n">
        <f aca="false">IF(AND(DH$1&gt;=Units!$Q113,MOD(DH$1-Units!$Q113,12)=0),IF(AND(Units!$L113=1,DH$1=Units!$Q113),1,Inputs!$B$15)*Inputs!$B$16*(1+Inputs!$B$11)^(DH$2-1),0)</f>
        <v>0</v>
      </c>
      <c r="DI114" s="11" t="n">
        <f aca="false">IF(AND(DI$1&gt;=Units!$Q113,MOD(DI$1-Units!$Q113,12)=0),IF(AND(Units!$L113=1,DI$1=Units!$Q113),1,Inputs!$B$15)*Inputs!$B$16*(1+Inputs!$B$11)^(DI$2-1),0)</f>
        <v>0</v>
      </c>
      <c r="DJ114" s="11" t="n">
        <f aca="false">IF(AND(DJ$1&gt;=Units!$Q113,MOD(DJ$1-Units!$Q113,12)=0),IF(AND(Units!$L113=1,DJ$1=Units!$Q113),1,Inputs!$B$15)*Inputs!$B$16*(1+Inputs!$B$11)^(DJ$2-1),0)</f>
        <v>0</v>
      </c>
      <c r="DK114" s="11" t="n">
        <f aca="false">IF(AND(DK$1&gt;=Units!$Q113,MOD(DK$1-Units!$Q113,12)=0),IF(AND(Units!$L113=1,DK$1=Units!$Q113),1,Inputs!$B$15)*Inputs!$B$16*(1+Inputs!$B$11)^(DK$2-1),0)</f>
        <v>0</v>
      </c>
      <c r="DL114" s="11" t="n">
        <f aca="false">IF(AND(DL$1&gt;=Units!$Q113,MOD(DL$1-Units!$Q113,12)=0),IF(AND(Units!$L113=1,DL$1=Units!$Q113),1,Inputs!$B$15)*Inputs!$B$16*(1+Inputs!$B$11)^(DL$2-1),0)</f>
        <v>0</v>
      </c>
      <c r="DM114" s="11" t="n">
        <f aca="false">IF(AND(DM$1&gt;=Units!$Q113,MOD(DM$1-Units!$Q113,12)=0),IF(AND(Units!$L113=1,DM$1=Units!$Q113),1,Inputs!$B$15)*Inputs!$B$16*(1+Inputs!$B$11)^(DM$2-1),0)</f>
        <v>0</v>
      </c>
      <c r="DN114" s="11" t="n">
        <f aca="false">IF(AND(DN$1&gt;=Units!$Q113,MOD(DN$1-Units!$Q113,12)=0),IF(AND(Units!$L113=1,DN$1=Units!$Q113),1,Inputs!$B$15)*Inputs!$B$16*(1+Inputs!$B$11)^(DN$2-1),0)</f>
        <v>0</v>
      </c>
      <c r="DO114" s="11" t="n">
        <f aca="false">IF(AND(DO$1&gt;=Units!$Q113,MOD(DO$1-Units!$Q113,12)=0),IF(AND(Units!$L113=1,DO$1=Units!$Q113),1,Inputs!$B$15)*Inputs!$B$16*(1+Inputs!$B$11)^(DO$2-1),0)</f>
        <v>0</v>
      </c>
      <c r="DP114" s="11" t="n">
        <f aca="false">IF(AND(DP$1&gt;=Units!$Q113,MOD(DP$1-Units!$Q113,12)=0),IF(AND(Units!$L113=1,DP$1=Units!$Q113),1,Inputs!$B$15)*Inputs!$B$16*(1+Inputs!$B$11)^(DP$2-1),0)</f>
        <v>0</v>
      </c>
      <c r="DQ114" s="11" t="n">
        <f aca="false">IF(AND(DQ$1&gt;=Units!$Q113,MOD(DQ$1-Units!$Q113,12)=0),IF(AND(Units!$L113=1,DQ$1=Units!$Q113),1,Inputs!$B$15)*Inputs!$B$16*(1+Inputs!$B$11)^(DQ$2-1),0)</f>
        <v>0</v>
      </c>
      <c r="DR114" s="11" t="n">
        <f aca="false">IF(AND(DR$1&gt;=Units!$Q113,MOD(DR$1-Units!$Q113,12)=0),IF(AND(Units!$L113=1,DR$1=Units!$Q113),1,Inputs!$B$15)*Inputs!$B$16*(1+Inputs!$B$11)^(DR$2-1),0)</f>
        <v>652.386591914623</v>
      </c>
      <c r="DS114" s="11" t="n">
        <f aca="false">IF(AND(DS$1&gt;=Units!$Q113,MOD(DS$1-Units!$Q113,12)=0),IF(AND(Units!$L113=1,DS$1=Units!$Q113),1,Inputs!$B$15)*Inputs!$B$16*(1+Inputs!$B$11)^(DS$2-1),0)</f>
        <v>0</v>
      </c>
      <c r="DT114" s="11" t="n">
        <f aca="false">IF(AND(DT$1&gt;=Units!$Q113,MOD(DT$1-Units!$Q113,12)=0),IF(AND(Units!$L113=1,DT$1=Units!$Q113),1,Inputs!$B$15)*Inputs!$B$16*(1+Inputs!$B$11)^(DT$2-1),0)</f>
        <v>0</v>
      </c>
      <c r="DU114" s="11" t="n">
        <f aca="false">IF(AND(DU$1&gt;=Units!$Q113,MOD(DU$1-Units!$Q113,12)=0),IF(AND(Units!$L113=1,DU$1=Units!$Q113),1,Inputs!$B$15)*Inputs!$B$16*(1+Inputs!$B$11)^(DU$2-1),0)</f>
        <v>0</v>
      </c>
      <c r="DV114" s="11" t="n">
        <f aca="false">IF(AND(DV$1&gt;=Units!$Q113,MOD(DV$1-Units!$Q113,12)=0),IF(AND(Units!$L113=1,DV$1=Units!$Q113),1,Inputs!$B$15)*Inputs!$B$16*(1+Inputs!$B$11)^(DV$2-1),0)</f>
        <v>0</v>
      </c>
      <c r="DW114" s="11" t="n">
        <f aca="false">IF(AND(DW$1&gt;=Units!$Q113,MOD(DW$1-Units!$Q113,12)=0),IF(AND(Units!$L113=1,DW$1=Units!$Q113),1,Inputs!$B$15)*Inputs!$B$16*(1+Inputs!$B$11)^(DW$2-1),0)</f>
        <v>0</v>
      </c>
      <c r="DX114" s="11" t="n">
        <f aca="false">IF(AND(DX$1&gt;=Units!$Q113,MOD(DX$1-Units!$Q113,12)=0),IF(AND(Units!$L113=1,DX$1=Units!$Q113),1,Inputs!$B$15)*Inputs!$B$16*(1+Inputs!$B$11)^(DX$2-1),0)</f>
        <v>0</v>
      </c>
      <c r="DY114" s="11" t="n">
        <f aca="false">IF(AND(DY$1&gt;=Units!$Q113,MOD(DY$1-Units!$Q113,12)=0),IF(AND(Units!$L113=1,DY$1=Units!$Q113),1,Inputs!$B$15)*Inputs!$B$16*(1+Inputs!$B$11)^(DY$2-1),0)</f>
        <v>0</v>
      </c>
      <c r="DZ114" s="11" t="n">
        <f aca="false">IF(AND(DZ$1&gt;=Units!$Q113,MOD(DZ$1-Units!$Q113,12)=0),IF(AND(Units!$L113=1,DZ$1=Units!$Q113),1,Inputs!$B$15)*Inputs!$B$16*(1+Inputs!$B$11)^(DZ$2-1),0)</f>
        <v>0</v>
      </c>
      <c r="EA114" s="11" t="n">
        <f aca="false">IF(AND(EA$1&gt;=Units!$Q113,MOD(EA$1-Units!$Q113,12)=0),IF(AND(Units!$L113=1,EA$1=Units!$Q113),1,Inputs!$B$15)*Inputs!$B$16*(1+Inputs!$B$11)^(EA$2-1),0)</f>
        <v>0</v>
      </c>
      <c r="EB114" s="11" t="n">
        <f aca="false">IF(AND(EB$1&gt;=Units!$Q113,MOD(EB$1-Units!$Q113,12)=0),IF(AND(Units!$L113=1,EB$1=Units!$Q113),1,Inputs!$B$15)*Inputs!$B$16*(1+Inputs!$B$11)^(EB$2-1),0)</f>
        <v>0</v>
      </c>
      <c r="EC114" s="11" t="n">
        <f aca="false">IF(AND(EC$1&gt;=Units!$Q113,MOD(EC$1-Units!$Q113,12)=0),IF(AND(Units!$L113=1,EC$1=Units!$Q113),1,Inputs!$B$15)*Inputs!$B$16*(1+Inputs!$B$11)^(EC$2-1),0)</f>
        <v>0</v>
      </c>
      <c r="ED114" s="11" t="n">
        <f aca="false">IF(AND(ED$1&gt;=Units!$Q113,MOD(ED$1-Units!$Q113,12)=0),IF(AND(Units!$L113=1,ED$1=Units!$Q113),1,Inputs!$B$15)*Inputs!$B$16*(1+Inputs!$B$11)^(ED$2-1),0)</f>
        <v>671.958189672061</v>
      </c>
    </row>
    <row r="115" customFormat="false" ht="15" hidden="false" customHeight="false" outlineLevel="0" collapsed="false">
      <c r="A115" s="22" t="n">
        <f aca="false">Units!A114</f>
        <v>423</v>
      </c>
      <c r="B115" s="23"/>
      <c r="C115" s="11" t="n">
        <f aca="false">IF(AND(C$1&gt;=Units!$Q114,MOD(C$1-Units!$Q114,12)=0),IF(AND(Units!$L114=1,C$1=Units!$Q114),1,Inputs!$B$15)*Inputs!$B$16*(1+Inputs!$B$11)^(C$2-1),0)</f>
        <v>0</v>
      </c>
      <c r="D115" s="11" t="n">
        <f aca="false">IF(AND(D$1&gt;=Units!$Q114,MOD(D$1-Units!$Q114,12)=0),IF(AND(Units!$L114=1,D$1=Units!$Q114),1,Inputs!$B$15)*Inputs!$B$16*(1+Inputs!$B$11)^(D$2-1),0)</f>
        <v>500</v>
      </c>
      <c r="E115" s="11" t="n">
        <f aca="false">IF(AND(E$1&gt;=Units!$Q114,MOD(E$1-Units!$Q114,12)=0),IF(AND(Units!$L114=1,E$1=Units!$Q114),1,Inputs!$B$15)*Inputs!$B$16*(1+Inputs!$B$11)^(E$2-1),0)</f>
        <v>0</v>
      </c>
      <c r="F115" s="11" t="n">
        <f aca="false">IF(AND(F$1&gt;=Units!$Q114,MOD(F$1-Units!$Q114,12)=0),IF(AND(Units!$L114=1,F$1=Units!$Q114),1,Inputs!$B$15)*Inputs!$B$16*(1+Inputs!$B$11)^(F$2-1),0)</f>
        <v>0</v>
      </c>
      <c r="G115" s="11" t="n">
        <f aca="false">IF(AND(G$1&gt;=Units!$Q114,MOD(G$1-Units!$Q114,12)=0),IF(AND(Units!$L114=1,G$1=Units!$Q114),1,Inputs!$B$15)*Inputs!$B$16*(1+Inputs!$B$11)^(G$2-1),0)</f>
        <v>0</v>
      </c>
      <c r="H115" s="11" t="n">
        <f aca="false">IF(AND(H$1&gt;=Units!$Q114,MOD(H$1-Units!$Q114,12)=0),IF(AND(Units!$L114=1,H$1=Units!$Q114),1,Inputs!$B$15)*Inputs!$B$16*(1+Inputs!$B$11)^(H$2-1),0)</f>
        <v>0</v>
      </c>
      <c r="I115" s="11" t="n">
        <f aca="false">IF(AND(I$1&gt;=Units!$Q114,MOD(I$1-Units!$Q114,12)=0),IF(AND(Units!$L114=1,I$1=Units!$Q114),1,Inputs!$B$15)*Inputs!$B$16*(1+Inputs!$B$11)^(I$2-1),0)</f>
        <v>0</v>
      </c>
      <c r="J115" s="11" t="n">
        <f aca="false">IF(AND(J$1&gt;=Units!$Q114,MOD(J$1-Units!$Q114,12)=0),IF(AND(Units!$L114=1,J$1=Units!$Q114),1,Inputs!$B$15)*Inputs!$B$16*(1+Inputs!$B$11)^(J$2-1),0)</f>
        <v>0</v>
      </c>
      <c r="K115" s="11" t="n">
        <f aca="false">IF(AND(K$1&gt;=Units!$Q114,MOD(K$1-Units!$Q114,12)=0),IF(AND(Units!$L114=1,K$1=Units!$Q114),1,Inputs!$B$15)*Inputs!$B$16*(1+Inputs!$B$11)^(K$2-1),0)</f>
        <v>0</v>
      </c>
      <c r="L115" s="11" t="n">
        <f aca="false">IF(AND(L$1&gt;=Units!$Q114,MOD(L$1-Units!$Q114,12)=0),IF(AND(Units!$L114=1,L$1=Units!$Q114),1,Inputs!$B$15)*Inputs!$B$16*(1+Inputs!$B$11)^(L$2-1),0)</f>
        <v>0</v>
      </c>
      <c r="M115" s="11" t="n">
        <f aca="false">IF(AND(M$1&gt;=Units!$Q114,MOD(M$1-Units!$Q114,12)=0),IF(AND(Units!$L114=1,M$1=Units!$Q114),1,Inputs!$B$15)*Inputs!$B$16*(1+Inputs!$B$11)^(M$2-1),0)</f>
        <v>0</v>
      </c>
      <c r="N115" s="11" t="n">
        <f aca="false">IF(AND(N$1&gt;=Units!$Q114,MOD(N$1-Units!$Q114,12)=0),IF(AND(Units!$L114=1,N$1=Units!$Q114),1,Inputs!$B$15)*Inputs!$B$16*(1+Inputs!$B$11)^(N$2-1),0)</f>
        <v>0</v>
      </c>
      <c r="O115" s="11" t="n">
        <f aca="false">IF(AND(O$1&gt;=Units!$Q114,MOD(O$1-Units!$Q114,12)=0),IF(AND(Units!$L114=1,O$1=Units!$Q114),1,Inputs!$B$15)*Inputs!$B$16*(1+Inputs!$B$11)^(O$2-1),0)</f>
        <v>0</v>
      </c>
      <c r="P115" s="11" t="n">
        <f aca="false">IF(AND(P$1&gt;=Units!$Q114,MOD(P$1-Units!$Q114,12)=0),IF(AND(Units!$L114=1,P$1=Units!$Q114),1,Inputs!$B$15)*Inputs!$B$16*(1+Inputs!$B$11)^(P$2-1),0)</f>
        <v>515</v>
      </c>
      <c r="Q115" s="11" t="n">
        <f aca="false">IF(AND(Q$1&gt;=Units!$Q114,MOD(Q$1-Units!$Q114,12)=0),IF(AND(Units!$L114=1,Q$1=Units!$Q114),1,Inputs!$B$15)*Inputs!$B$16*(1+Inputs!$B$11)^(Q$2-1),0)</f>
        <v>0</v>
      </c>
      <c r="R115" s="11" t="n">
        <f aca="false">IF(AND(R$1&gt;=Units!$Q114,MOD(R$1-Units!$Q114,12)=0),IF(AND(Units!$L114=1,R$1=Units!$Q114),1,Inputs!$B$15)*Inputs!$B$16*(1+Inputs!$B$11)^(R$2-1),0)</f>
        <v>0</v>
      </c>
      <c r="S115" s="11" t="n">
        <f aca="false">IF(AND(S$1&gt;=Units!$Q114,MOD(S$1-Units!$Q114,12)=0),IF(AND(Units!$L114=1,S$1=Units!$Q114),1,Inputs!$B$15)*Inputs!$B$16*(1+Inputs!$B$11)^(S$2-1),0)</f>
        <v>0</v>
      </c>
      <c r="T115" s="11" t="n">
        <f aca="false">IF(AND(T$1&gt;=Units!$Q114,MOD(T$1-Units!$Q114,12)=0),IF(AND(Units!$L114=1,T$1=Units!$Q114),1,Inputs!$B$15)*Inputs!$B$16*(1+Inputs!$B$11)^(T$2-1),0)</f>
        <v>0</v>
      </c>
      <c r="U115" s="11" t="n">
        <f aca="false">IF(AND(U$1&gt;=Units!$Q114,MOD(U$1-Units!$Q114,12)=0),IF(AND(Units!$L114=1,U$1=Units!$Q114),1,Inputs!$B$15)*Inputs!$B$16*(1+Inputs!$B$11)^(U$2-1),0)</f>
        <v>0</v>
      </c>
      <c r="V115" s="11" t="n">
        <f aca="false">IF(AND(V$1&gt;=Units!$Q114,MOD(V$1-Units!$Q114,12)=0),IF(AND(Units!$L114=1,V$1=Units!$Q114),1,Inputs!$B$15)*Inputs!$B$16*(1+Inputs!$B$11)^(V$2-1),0)</f>
        <v>0</v>
      </c>
      <c r="W115" s="11" t="n">
        <f aca="false">IF(AND(W$1&gt;=Units!$Q114,MOD(W$1-Units!$Q114,12)=0),IF(AND(Units!$L114=1,W$1=Units!$Q114),1,Inputs!$B$15)*Inputs!$B$16*(1+Inputs!$B$11)^(W$2-1),0)</f>
        <v>0</v>
      </c>
      <c r="X115" s="11" t="n">
        <f aca="false">IF(AND(X$1&gt;=Units!$Q114,MOD(X$1-Units!$Q114,12)=0),IF(AND(Units!$L114=1,X$1=Units!$Q114),1,Inputs!$B$15)*Inputs!$B$16*(1+Inputs!$B$11)^(X$2-1),0)</f>
        <v>0</v>
      </c>
      <c r="Y115" s="11" t="n">
        <f aca="false">IF(AND(Y$1&gt;=Units!$Q114,MOD(Y$1-Units!$Q114,12)=0),IF(AND(Units!$L114=1,Y$1=Units!$Q114),1,Inputs!$B$15)*Inputs!$B$16*(1+Inputs!$B$11)^(Y$2-1),0)</f>
        <v>0</v>
      </c>
      <c r="Z115" s="11" t="n">
        <f aca="false">IF(AND(Z$1&gt;=Units!$Q114,MOD(Z$1-Units!$Q114,12)=0),IF(AND(Units!$L114=1,Z$1=Units!$Q114),1,Inputs!$B$15)*Inputs!$B$16*(1+Inputs!$B$11)^(Z$2-1),0)</f>
        <v>0</v>
      </c>
      <c r="AA115" s="11" t="n">
        <f aca="false">IF(AND(AA$1&gt;=Units!$Q114,MOD(AA$1-Units!$Q114,12)=0),IF(AND(Units!$L114=1,AA$1=Units!$Q114),1,Inputs!$B$15)*Inputs!$B$16*(1+Inputs!$B$11)^(AA$2-1),0)</f>
        <v>0</v>
      </c>
      <c r="AB115" s="11" t="n">
        <f aca="false">IF(AND(AB$1&gt;=Units!$Q114,MOD(AB$1-Units!$Q114,12)=0),IF(AND(Units!$L114=1,AB$1=Units!$Q114),1,Inputs!$B$15)*Inputs!$B$16*(1+Inputs!$B$11)^(AB$2-1),0)</f>
        <v>530.45</v>
      </c>
      <c r="AC115" s="11" t="n">
        <f aca="false">IF(AND(AC$1&gt;=Units!$Q114,MOD(AC$1-Units!$Q114,12)=0),IF(AND(Units!$L114=1,AC$1=Units!$Q114),1,Inputs!$B$15)*Inputs!$B$16*(1+Inputs!$B$11)^(AC$2-1),0)</f>
        <v>0</v>
      </c>
      <c r="AD115" s="11" t="n">
        <f aca="false">IF(AND(AD$1&gt;=Units!$Q114,MOD(AD$1-Units!$Q114,12)=0),IF(AND(Units!$L114=1,AD$1=Units!$Q114),1,Inputs!$B$15)*Inputs!$B$16*(1+Inputs!$B$11)^(AD$2-1),0)</f>
        <v>0</v>
      </c>
      <c r="AE115" s="11" t="n">
        <f aca="false">IF(AND(AE$1&gt;=Units!$Q114,MOD(AE$1-Units!$Q114,12)=0),IF(AND(Units!$L114=1,AE$1=Units!$Q114),1,Inputs!$B$15)*Inputs!$B$16*(1+Inputs!$B$11)^(AE$2-1),0)</f>
        <v>0</v>
      </c>
      <c r="AF115" s="11" t="n">
        <f aca="false">IF(AND(AF$1&gt;=Units!$Q114,MOD(AF$1-Units!$Q114,12)=0),IF(AND(Units!$L114=1,AF$1=Units!$Q114),1,Inputs!$B$15)*Inputs!$B$16*(1+Inputs!$B$11)^(AF$2-1),0)</f>
        <v>0</v>
      </c>
      <c r="AG115" s="11" t="n">
        <f aca="false">IF(AND(AG$1&gt;=Units!$Q114,MOD(AG$1-Units!$Q114,12)=0),IF(AND(Units!$L114=1,AG$1=Units!$Q114),1,Inputs!$B$15)*Inputs!$B$16*(1+Inputs!$B$11)^(AG$2-1),0)</f>
        <v>0</v>
      </c>
      <c r="AH115" s="11" t="n">
        <f aca="false">IF(AND(AH$1&gt;=Units!$Q114,MOD(AH$1-Units!$Q114,12)=0),IF(AND(Units!$L114=1,AH$1=Units!$Q114),1,Inputs!$B$15)*Inputs!$B$16*(1+Inputs!$B$11)^(AH$2-1),0)</f>
        <v>0</v>
      </c>
      <c r="AI115" s="11" t="n">
        <f aca="false">IF(AND(AI$1&gt;=Units!$Q114,MOD(AI$1-Units!$Q114,12)=0),IF(AND(Units!$L114=1,AI$1=Units!$Q114),1,Inputs!$B$15)*Inputs!$B$16*(1+Inputs!$B$11)^(AI$2-1),0)</f>
        <v>0</v>
      </c>
      <c r="AJ115" s="11" t="n">
        <f aca="false">IF(AND(AJ$1&gt;=Units!$Q114,MOD(AJ$1-Units!$Q114,12)=0),IF(AND(Units!$L114=1,AJ$1=Units!$Q114),1,Inputs!$B$15)*Inputs!$B$16*(1+Inputs!$B$11)^(AJ$2-1),0)</f>
        <v>0</v>
      </c>
      <c r="AK115" s="11" t="n">
        <f aca="false">IF(AND(AK$1&gt;=Units!$Q114,MOD(AK$1-Units!$Q114,12)=0),IF(AND(Units!$L114=1,AK$1=Units!$Q114),1,Inputs!$B$15)*Inputs!$B$16*(1+Inputs!$B$11)^(AK$2-1),0)</f>
        <v>0</v>
      </c>
      <c r="AL115" s="11" t="n">
        <f aca="false">IF(AND(AL$1&gt;=Units!$Q114,MOD(AL$1-Units!$Q114,12)=0),IF(AND(Units!$L114=1,AL$1=Units!$Q114),1,Inputs!$B$15)*Inputs!$B$16*(1+Inputs!$B$11)^(AL$2-1),0)</f>
        <v>0</v>
      </c>
      <c r="AM115" s="11" t="n">
        <f aca="false">IF(AND(AM$1&gt;=Units!$Q114,MOD(AM$1-Units!$Q114,12)=0),IF(AND(Units!$L114=1,AM$1=Units!$Q114),1,Inputs!$B$15)*Inputs!$B$16*(1+Inputs!$B$11)^(AM$2-1),0)</f>
        <v>0</v>
      </c>
      <c r="AN115" s="11" t="n">
        <f aca="false">IF(AND(AN$1&gt;=Units!$Q114,MOD(AN$1-Units!$Q114,12)=0),IF(AND(Units!$L114=1,AN$1=Units!$Q114),1,Inputs!$B$15)*Inputs!$B$16*(1+Inputs!$B$11)^(AN$2-1),0)</f>
        <v>546.3635</v>
      </c>
      <c r="AO115" s="11" t="n">
        <f aca="false">IF(AND(AO$1&gt;=Units!$Q114,MOD(AO$1-Units!$Q114,12)=0),IF(AND(Units!$L114=1,AO$1=Units!$Q114),1,Inputs!$B$15)*Inputs!$B$16*(1+Inputs!$B$11)^(AO$2-1),0)</f>
        <v>0</v>
      </c>
      <c r="AP115" s="11" t="n">
        <f aca="false">IF(AND(AP$1&gt;=Units!$Q114,MOD(AP$1-Units!$Q114,12)=0),IF(AND(Units!$L114=1,AP$1=Units!$Q114),1,Inputs!$B$15)*Inputs!$B$16*(1+Inputs!$B$11)^(AP$2-1),0)</f>
        <v>0</v>
      </c>
      <c r="AQ115" s="11" t="n">
        <f aca="false">IF(AND(AQ$1&gt;=Units!$Q114,MOD(AQ$1-Units!$Q114,12)=0),IF(AND(Units!$L114=1,AQ$1=Units!$Q114),1,Inputs!$B$15)*Inputs!$B$16*(1+Inputs!$B$11)^(AQ$2-1),0)</f>
        <v>0</v>
      </c>
      <c r="AR115" s="11" t="n">
        <f aca="false">IF(AND(AR$1&gt;=Units!$Q114,MOD(AR$1-Units!$Q114,12)=0),IF(AND(Units!$L114=1,AR$1=Units!$Q114),1,Inputs!$B$15)*Inputs!$B$16*(1+Inputs!$B$11)^(AR$2-1),0)</f>
        <v>0</v>
      </c>
      <c r="AS115" s="11" t="n">
        <f aca="false">IF(AND(AS$1&gt;=Units!$Q114,MOD(AS$1-Units!$Q114,12)=0),IF(AND(Units!$L114=1,AS$1=Units!$Q114),1,Inputs!$B$15)*Inputs!$B$16*(1+Inputs!$B$11)^(AS$2-1),0)</f>
        <v>0</v>
      </c>
      <c r="AT115" s="11" t="n">
        <f aca="false">IF(AND(AT$1&gt;=Units!$Q114,MOD(AT$1-Units!$Q114,12)=0),IF(AND(Units!$L114=1,AT$1=Units!$Q114),1,Inputs!$B$15)*Inputs!$B$16*(1+Inputs!$B$11)^(AT$2-1),0)</f>
        <v>0</v>
      </c>
      <c r="AU115" s="11" t="n">
        <f aca="false">IF(AND(AU$1&gt;=Units!$Q114,MOD(AU$1-Units!$Q114,12)=0),IF(AND(Units!$L114=1,AU$1=Units!$Q114),1,Inputs!$B$15)*Inputs!$B$16*(1+Inputs!$B$11)^(AU$2-1),0)</f>
        <v>0</v>
      </c>
      <c r="AV115" s="11" t="n">
        <f aca="false">IF(AND(AV$1&gt;=Units!$Q114,MOD(AV$1-Units!$Q114,12)=0),IF(AND(Units!$L114=1,AV$1=Units!$Q114),1,Inputs!$B$15)*Inputs!$B$16*(1+Inputs!$B$11)^(AV$2-1),0)</f>
        <v>0</v>
      </c>
      <c r="AW115" s="11" t="n">
        <f aca="false">IF(AND(AW$1&gt;=Units!$Q114,MOD(AW$1-Units!$Q114,12)=0),IF(AND(Units!$L114=1,AW$1=Units!$Q114),1,Inputs!$B$15)*Inputs!$B$16*(1+Inputs!$B$11)^(AW$2-1),0)</f>
        <v>0</v>
      </c>
      <c r="AX115" s="11" t="n">
        <f aca="false">IF(AND(AX$1&gt;=Units!$Q114,MOD(AX$1-Units!$Q114,12)=0),IF(AND(Units!$L114=1,AX$1=Units!$Q114),1,Inputs!$B$15)*Inputs!$B$16*(1+Inputs!$B$11)^(AX$2-1),0)</f>
        <v>0</v>
      </c>
      <c r="AY115" s="11" t="n">
        <f aca="false">IF(AND(AY$1&gt;=Units!$Q114,MOD(AY$1-Units!$Q114,12)=0),IF(AND(Units!$L114=1,AY$1=Units!$Q114),1,Inputs!$B$15)*Inputs!$B$16*(1+Inputs!$B$11)^(AY$2-1),0)</f>
        <v>0</v>
      </c>
      <c r="AZ115" s="11" t="n">
        <f aca="false">IF(AND(AZ$1&gt;=Units!$Q114,MOD(AZ$1-Units!$Q114,12)=0),IF(AND(Units!$L114=1,AZ$1=Units!$Q114),1,Inputs!$B$15)*Inputs!$B$16*(1+Inputs!$B$11)^(AZ$2-1),0)</f>
        <v>562.754405</v>
      </c>
      <c r="BA115" s="11" t="n">
        <f aca="false">IF(AND(BA$1&gt;=Units!$Q114,MOD(BA$1-Units!$Q114,12)=0),IF(AND(Units!$L114=1,BA$1=Units!$Q114),1,Inputs!$B$15)*Inputs!$B$16*(1+Inputs!$B$11)^(BA$2-1),0)</f>
        <v>0</v>
      </c>
      <c r="BB115" s="11" t="n">
        <f aca="false">IF(AND(BB$1&gt;=Units!$Q114,MOD(BB$1-Units!$Q114,12)=0),IF(AND(Units!$L114=1,BB$1=Units!$Q114),1,Inputs!$B$15)*Inputs!$B$16*(1+Inputs!$B$11)^(BB$2-1),0)</f>
        <v>0</v>
      </c>
      <c r="BC115" s="11" t="n">
        <f aca="false">IF(AND(BC$1&gt;=Units!$Q114,MOD(BC$1-Units!$Q114,12)=0),IF(AND(Units!$L114=1,BC$1=Units!$Q114),1,Inputs!$B$15)*Inputs!$B$16*(1+Inputs!$B$11)^(BC$2-1),0)</f>
        <v>0</v>
      </c>
      <c r="BD115" s="11" t="n">
        <f aca="false">IF(AND(BD$1&gt;=Units!$Q114,MOD(BD$1-Units!$Q114,12)=0),IF(AND(Units!$L114=1,BD$1=Units!$Q114),1,Inputs!$B$15)*Inputs!$B$16*(1+Inputs!$B$11)^(BD$2-1),0)</f>
        <v>0</v>
      </c>
      <c r="BE115" s="11" t="n">
        <f aca="false">IF(AND(BE$1&gt;=Units!$Q114,MOD(BE$1-Units!$Q114,12)=0),IF(AND(Units!$L114=1,BE$1=Units!$Q114),1,Inputs!$B$15)*Inputs!$B$16*(1+Inputs!$B$11)^(BE$2-1),0)</f>
        <v>0</v>
      </c>
      <c r="BF115" s="11" t="n">
        <f aca="false">IF(AND(BF$1&gt;=Units!$Q114,MOD(BF$1-Units!$Q114,12)=0),IF(AND(Units!$L114=1,BF$1=Units!$Q114),1,Inputs!$B$15)*Inputs!$B$16*(1+Inputs!$B$11)^(BF$2-1),0)</f>
        <v>0</v>
      </c>
      <c r="BG115" s="11" t="n">
        <f aca="false">IF(AND(BG$1&gt;=Units!$Q114,MOD(BG$1-Units!$Q114,12)=0),IF(AND(Units!$L114=1,BG$1=Units!$Q114),1,Inputs!$B$15)*Inputs!$B$16*(1+Inputs!$B$11)^(BG$2-1),0)</f>
        <v>0</v>
      </c>
      <c r="BH115" s="11" t="n">
        <f aca="false">IF(AND(BH$1&gt;=Units!$Q114,MOD(BH$1-Units!$Q114,12)=0),IF(AND(Units!$L114=1,BH$1=Units!$Q114),1,Inputs!$B$15)*Inputs!$B$16*(1+Inputs!$B$11)^(BH$2-1),0)</f>
        <v>0</v>
      </c>
      <c r="BI115" s="11" t="n">
        <f aca="false">IF(AND(BI$1&gt;=Units!$Q114,MOD(BI$1-Units!$Q114,12)=0),IF(AND(Units!$L114=1,BI$1=Units!$Q114),1,Inputs!$B$15)*Inputs!$B$16*(1+Inputs!$B$11)^(BI$2-1),0)</f>
        <v>0</v>
      </c>
      <c r="BJ115" s="11" t="n">
        <f aca="false">IF(AND(BJ$1&gt;=Units!$Q114,MOD(BJ$1-Units!$Q114,12)=0),IF(AND(Units!$L114=1,BJ$1=Units!$Q114),1,Inputs!$B$15)*Inputs!$B$16*(1+Inputs!$B$11)^(BJ$2-1),0)</f>
        <v>0</v>
      </c>
      <c r="BK115" s="11" t="n">
        <f aca="false">IF(AND(BK$1&gt;=Units!$Q114,MOD(BK$1-Units!$Q114,12)=0),IF(AND(Units!$L114=1,BK$1=Units!$Q114),1,Inputs!$B$15)*Inputs!$B$16*(1+Inputs!$B$11)^(BK$2-1),0)</f>
        <v>0</v>
      </c>
      <c r="BL115" s="11" t="n">
        <f aca="false">IF(AND(BL$1&gt;=Units!$Q114,MOD(BL$1-Units!$Q114,12)=0),IF(AND(Units!$L114=1,BL$1=Units!$Q114),1,Inputs!$B$15)*Inputs!$B$16*(1+Inputs!$B$11)^(BL$2-1),0)</f>
        <v>579.63703715</v>
      </c>
      <c r="BM115" s="11" t="n">
        <f aca="false">IF(AND(BM$1&gt;=Units!$Q114,MOD(BM$1-Units!$Q114,12)=0),IF(AND(Units!$L114=1,BM$1=Units!$Q114),1,Inputs!$B$15)*Inputs!$B$16*(1+Inputs!$B$11)^(BM$2-1),0)</f>
        <v>0</v>
      </c>
      <c r="BN115" s="11" t="n">
        <f aca="false">IF(AND(BN$1&gt;=Units!$Q114,MOD(BN$1-Units!$Q114,12)=0),IF(AND(Units!$L114=1,BN$1=Units!$Q114),1,Inputs!$B$15)*Inputs!$B$16*(1+Inputs!$B$11)^(BN$2-1),0)</f>
        <v>0</v>
      </c>
      <c r="BO115" s="11" t="n">
        <f aca="false">IF(AND(BO$1&gt;=Units!$Q114,MOD(BO$1-Units!$Q114,12)=0),IF(AND(Units!$L114=1,BO$1=Units!$Q114),1,Inputs!$B$15)*Inputs!$B$16*(1+Inputs!$B$11)^(BO$2-1),0)</f>
        <v>0</v>
      </c>
      <c r="BP115" s="11" t="n">
        <f aca="false">IF(AND(BP$1&gt;=Units!$Q114,MOD(BP$1-Units!$Q114,12)=0),IF(AND(Units!$L114=1,BP$1=Units!$Q114),1,Inputs!$B$15)*Inputs!$B$16*(1+Inputs!$B$11)^(BP$2-1),0)</f>
        <v>0</v>
      </c>
      <c r="BQ115" s="11" t="n">
        <f aca="false">IF(AND(BQ$1&gt;=Units!$Q114,MOD(BQ$1-Units!$Q114,12)=0),IF(AND(Units!$L114=1,BQ$1=Units!$Q114),1,Inputs!$B$15)*Inputs!$B$16*(1+Inputs!$B$11)^(BQ$2-1),0)</f>
        <v>0</v>
      </c>
      <c r="BR115" s="11" t="n">
        <f aca="false">IF(AND(BR$1&gt;=Units!$Q114,MOD(BR$1-Units!$Q114,12)=0),IF(AND(Units!$L114=1,BR$1=Units!$Q114),1,Inputs!$B$15)*Inputs!$B$16*(1+Inputs!$B$11)^(BR$2-1),0)</f>
        <v>0</v>
      </c>
      <c r="BS115" s="11" t="n">
        <f aca="false">IF(AND(BS$1&gt;=Units!$Q114,MOD(BS$1-Units!$Q114,12)=0),IF(AND(Units!$L114=1,BS$1=Units!$Q114),1,Inputs!$B$15)*Inputs!$B$16*(1+Inputs!$B$11)^(BS$2-1),0)</f>
        <v>0</v>
      </c>
      <c r="BT115" s="11" t="n">
        <f aca="false">IF(AND(BT$1&gt;=Units!$Q114,MOD(BT$1-Units!$Q114,12)=0),IF(AND(Units!$L114=1,BT$1=Units!$Q114),1,Inputs!$B$15)*Inputs!$B$16*(1+Inputs!$B$11)^(BT$2-1),0)</f>
        <v>0</v>
      </c>
      <c r="BU115" s="11" t="n">
        <f aca="false">IF(AND(BU$1&gt;=Units!$Q114,MOD(BU$1-Units!$Q114,12)=0),IF(AND(Units!$L114=1,BU$1=Units!$Q114),1,Inputs!$B$15)*Inputs!$B$16*(1+Inputs!$B$11)^(BU$2-1),0)</f>
        <v>0</v>
      </c>
      <c r="BV115" s="11" t="n">
        <f aca="false">IF(AND(BV$1&gt;=Units!$Q114,MOD(BV$1-Units!$Q114,12)=0),IF(AND(Units!$L114=1,BV$1=Units!$Q114),1,Inputs!$B$15)*Inputs!$B$16*(1+Inputs!$B$11)^(BV$2-1),0)</f>
        <v>0</v>
      </c>
      <c r="BW115" s="11" t="n">
        <f aca="false">IF(AND(BW$1&gt;=Units!$Q114,MOD(BW$1-Units!$Q114,12)=0),IF(AND(Units!$L114=1,BW$1=Units!$Q114),1,Inputs!$B$15)*Inputs!$B$16*(1+Inputs!$B$11)^(BW$2-1),0)</f>
        <v>0</v>
      </c>
      <c r="BX115" s="11" t="n">
        <f aca="false">IF(AND(BX$1&gt;=Units!$Q114,MOD(BX$1-Units!$Q114,12)=0),IF(AND(Units!$L114=1,BX$1=Units!$Q114),1,Inputs!$B$15)*Inputs!$B$16*(1+Inputs!$B$11)^(BX$2-1),0)</f>
        <v>597.0261482645</v>
      </c>
      <c r="BY115" s="11" t="n">
        <f aca="false">IF(AND(BY$1&gt;=Units!$Q114,MOD(BY$1-Units!$Q114,12)=0),IF(AND(Units!$L114=1,BY$1=Units!$Q114),1,Inputs!$B$15)*Inputs!$B$16*(1+Inputs!$B$11)^(BY$2-1),0)</f>
        <v>0</v>
      </c>
      <c r="BZ115" s="11" t="n">
        <f aca="false">IF(AND(BZ$1&gt;=Units!$Q114,MOD(BZ$1-Units!$Q114,12)=0),IF(AND(Units!$L114=1,BZ$1=Units!$Q114),1,Inputs!$B$15)*Inputs!$B$16*(1+Inputs!$B$11)^(BZ$2-1),0)</f>
        <v>0</v>
      </c>
      <c r="CA115" s="11" t="n">
        <f aca="false">IF(AND(CA$1&gt;=Units!$Q114,MOD(CA$1-Units!$Q114,12)=0),IF(AND(Units!$L114=1,CA$1=Units!$Q114),1,Inputs!$B$15)*Inputs!$B$16*(1+Inputs!$B$11)^(CA$2-1),0)</f>
        <v>0</v>
      </c>
      <c r="CB115" s="11" t="n">
        <f aca="false">IF(AND(CB$1&gt;=Units!$Q114,MOD(CB$1-Units!$Q114,12)=0),IF(AND(Units!$L114=1,CB$1=Units!$Q114),1,Inputs!$B$15)*Inputs!$B$16*(1+Inputs!$B$11)^(CB$2-1),0)</f>
        <v>0</v>
      </c>
      <c r="CC115" s="11" t="n">
        <f aca="false">IF(AND(CC$1&gt;=Units!$Q114,MOD(CC$1-Units!$Q114,12)=0),IF(AND(Units!$L114=1,CC$1=Units!$Q114),1,Inputs!$B$15)*Inputs!$B$16*(1+Inputs!$B$11)^(CC$2-1),0)</f>
        <v>0</v>
      </c>
      <c r="CD115" s="11" t="n">
        <f aca="false">IF(AND(CD$1&gt;=Units!$Q114,MOD(CD$1-Units!$Q114,12)=0),IF(AND(Units!$L114=1,CD$1=Units!$Q114),1,Inputs!$B$15)*Inputs!$B$16*(1+Inputs!$B$11)^(CD$2-1),0)</f>
        <v>0</v>
      </c>
      <c r="CE115" s="11" t="n">
        <f aca="false">IF(AND(CE$1&gt;=Units!$Q114,MOD(CE$1-Units!$Q114,12)=0),IF(AND(Units!$L114=1,CE$1=Units!$Q114),1,Inputs!$B$15)*Inputs!$B$16*(1+Inputs!$B$11)^(CE$2-1),0)</f>
        <v>0</v>
      </c>
      <c r="CF115" s="11" t="n">
        <f aca="false">IF(AND(CF$1&gt;=Units!$Q114,MOD(CF$1-Units!$Q114,12)=0),IF(AND(Units!$L114=1,CF$1=Units!$Q114),1,Inputs!$B$15)*Inputs!$B$16*(1+Inputs!$B$11)^(CF$2-1),0)</f>
        <v>0</v>
      </c>
      <c r="CG115" s="11" t="n">
        <f aca="false">IF(AND(CG$1&gt;=Units!$Q114,MOD(CG$1-Units!$Q114,12)=0),IF(AND(Units!$L114=1,CG$1=Units!$Q114),1,Inputs!$B$15)*Inputs!$B$16*(1+Inputs!$B$11)^(CG$2-1),0)</f>
        <v>0</v>
      </c>
      <c r="CH115" s="11" t="n">
        <f aca="false">IF(AND(CH$1&gt;=Units!$Q114,MOD(CH$1-Units!$Q114,12)=0),IF(AND(Units!$L114=1,CH$1=Units!$Q114),1,Inputs!$B$15)*Inputs!$B$16*(1+Inputs!$B$11)^(CH$2-1),0)</f>
        <v>0</v>
      </c>
      <c r="CI115" s="11" t="n">
        <f aca="false">IF(AND(CI$1&gt;=Units!$Q114,MOD(CI$1-Units!$Q114,12)=0),IF(AND(Units!$L114=1,CI$1=Units!$Q114),1,Inputs!$B$15)*Inputs!$B$16*(1+Inputs!$B$11)^(CI$2-1),0)</f>
        <v>0</v>
      </c>
      <c r="CJ115" s="11" t="n">
        <f aca="false">IF(AND(CJ$1&gt;=Units!$Q114,MOD(CJ$1-Units!$Q114,12)=0),IF(AND(Units!$L114=1,CJ$1=Units!$Q114),1,Inputs!$B$15)*Inputs!$B$16*(1+Inputs!$B$11)^(CJ$2-1),0)</f>
        <v>614.936932712435</v>
      </c>
      <c r="CK115" s="11" t="n">
        <f aca="false">IF(AND(CK$1&gt;=Units!$Q114,MOD(CK$1-Units!$Q114,12)=0),IF(AND(Units!$L114=1,CK$1=Units!$Q114),1,Inputs!$B$15)*Inputs!$B$16*(1+Inputs!$B$11)^(CK$2-1),0)</f>
        <v>0</v>
      </c>
      <c r="CL115" s="11" t="n">
        <f aca="false">IF(AND(CL$1&gt;=Units!$Q114,MOD(CL$1-Units!$Q114,12)=0),IF(AND(Units!$L114=1,CL$1=Units!$Q114),1,Inputs!$B$15)*Inputs!$B$16*(1+Inputs!$B$11)^(CL$2-1),0)</f>
        <v>0</v>
      </c>
      <c r="CM115" s="11" t="n">
        <f aca="false">IF(AND(CM$1&gt;=Units!$Q114,MOD(CM$1-Units!$Q114,12)=0),IF(AND(Units!$L114=1,CM$1=Units!$Q114),1,Inputs!$B$15)*Inputs!$B$16*(1+Inputs!$B$11)^(CM$2-1),0)</f>
        <v>0</v>
      </c>
      <c r="CN115" s="11" t="n">
        <f aca="false">IF(AND(CN$1&gt;=Units!$Q114,MOD(CN$1-Units!$Q114,12)=0),IF(AND(Units!$L114=1,CN$1=Units!$Q114),1,Inputs!$B$15)*Inputs!$B$16*(1+Inputs!$B$11)^(CN$2-1),0)</f>
        <v>0</v>
      </c>
      <c r="CO115" s="11" t="n">
        <f aca="false">IF(AND(CO$1&gt;=Units!$Q114,MOD(CO$1-Units!$Q114,12)=0),IF(AND(Units!$L114=1,CO$1=Units!$Q114),1,Inputs!$B$15)*Inputs!$B$16*(1+Inputs!$B$11)^(CO$2-1),0)</f>
        <v>0</v>
      </c>
      <c r="CP115" s="11" t="n">
        <f aca="false">IF(AND(CP$1&gt;=Units!$Q114,MOD(CP$1-Units!$Q114,12)=0),IF(AND(Units!$L114=1,CP$1=Units!$Q114),1,Inputs!$B$15)*Inputs!$B$16*(1+Inputs!$B$11)^(CP$2-1),0)</f>
        <v>0</v>
      </c>
      <c r="CQ115" s="11" t="n">
        <f aca="false">IF(AND(CQ$1&gt;=Units!$Q114,MOD(CQ$1-Units!$Q114,12)=0),IF(AND(Units!$L114=1,CQ$1=Units!$Q114),1,Inputs!$B$15)*Inputs!$B$16*(1+Inputs!$B$11)^(CQ$2-1),0)</f>
        <v>0</v>
      </c>
      <c r="CR115" s="11" t="n">
        <f aca="false">IF(AND(CR$1&gt;=Units!$Q114,MOD(CR$1-Units!$Q114,12)=0),IF(AND(Units!$L114=1,CR$1=Units!$Q114),1,Inputs!$B$15)*Inputs!$B$16*(1+Inputs!$B$11)^(CR$2-1),0)</f>
        <v>0</v>
      </c>
      <c r="CS115" s="11" t="n">
        <f aca="false">IF(AND(CS$1&gt;=Units!$Q114,MOD(CS$1-Units!$Q114,12)=0),IF(AND(Units!$L114=1,CS$1=Units!$Q114),1,Inputs!$B$15)*Inputs!$B$16*(1+Inputs!$B$11)^(CS$2-1),0)</f>
        <v>0</v>
      </c>
      <c r="CT115" s="11" t="n">
        <f aca="false">IF(AND(CT$1&gt;=Units!$Q114,MOD(CT$1-Units!$Q114,12)=0),IF(AND(Units!$L114=1,CT$1=Units!$Q114),1,Inputs!$B$15)*Inputs!$B$16*(1+Inputs!$B$11)^(CT$2-1),0)</f>
        <v>0</v>
      </c>
      <c r="CU115" s="11" t="n">
        <f aca="false">IF(AND(CU$1&gt;=Units!$Q114,MOD(CU$1-Units!$Q114,12)=0),IF(AND(Units!$L114=1,CU$1=Units!$Q114),1,Inputs!$B$15)*Inputs!$B$16*(1+Inputs!$B$11)^(CU$2-1),0)</f>
        <v>0</v>
      </c>
      <c r="CV115" s="11" t="n">
        <f aca="false">IF(AND(CV$1&gt;=Units!$Q114,MOD(CV$1-Units!$Q114,12)=0),IF(AND(Units!$L114=1,CV$1=Units!$Q114),1,Inputs!$B$15)*Inputs!$B$16*(1+Inputs!$B$11)^(CV$2-1),0)</f>
        <v>633.385040693808</v>
      </c>
      <c r="CW115" s="11" t="n">
        <f aca="false">IF(AND(CW$1&gt;=Units!$Q114,MOD(CW$1-Units!$Q114,12)=0),IF(AND(Units!$L114=1,CW$1=Units!$Q114),1,Inputs!$B$15)*Inputs!$B$16*(1+Inputs!$B$11)^(CW$2-1),0)</f>
        <v>0</v>
      </c>
      <c r="CX115" s="11" t="n">
        <f aca="false">IF(AND(CX$1&gt;=Units!$Q114,MOD(CX$1-Units!$Q114,12)=0),IF(AND(Units!$L114=1,CX$1=Units!$Q114),1,Inputs!$B$15)*Inputs!$B$16*(1+Inputs!$B$11)^(CX$2-1),0)</f>
        <v>0</v>
      </c>
      <c r="CY115" s="11" t="n">
        <f aca="false">IF(AND(CY$1&gt;=Units!$Q114,MOD(CY$1-Units!$Q114,12)=0),IF(AND(Units!$L114=1,CY$1=Units!$Q114),1,Inputs!$B$15)*Inputs!$B$16*(1+Inputs!$B$11)^(CY$2-1),0)</f>
        <v>0</v>
      </c>
      <c r="CZ115" s="11" t="n">
        <f aca="false">IF(AND(CZ$1&gt;=Units!$Q114,MOD(CZ$1-Units!$Q114,12)=0),IF(AND(Units!$L114=1,CZ$1=Units!$Q114),1,Inputs!$B$15)*Inputs!$B$16*(1+Inputs!$B$11)^(CZ$2-1),0)</f>
        <v>0</v>
      </c>
      <c r="DA115" s="11" t="n">
        <f aca="false">IF(AND(DA$1&gt;=Units!$Q114,MOD(DA$1-Units!$Q114,12)=0),IF(AND(Units!$L114=1,DA$1=Units!$Q114),1,Inputs!$B$15)*Inputs!$B$16*(1+Inputs!$B$11)^(DA$2-1),0)</f>
        <v>0</v>
      </c>
      <c r="DB115" s="11" t="n">
        <f aca="false">IF(AND(DB$1&gt;=Units!$Q114,MOD(DB$1-Units!$Q114,12)=0),IF(AND(Units!$L114=1,DB$1=Units!$Q114),1,Inputs!$B$15)*Inputs!$B$16*(1+Inputs!$B$11)^(DB$2-1),0)</f>
        <v>0</v>
      </c>
      <c r="DC115" s="11" t="n">
        <f aca="false">IF(AND(DC$1&gt;=Units!$Q114,MOD(DC$1-Units!$Q114,12)=0),IF(AND(Units!$L114=1,DC$1=Units!$Q114),1,Inputs!$B$15)*Inputs!$B$16*(1+Inputs!$B$11)^(DC$2-1),0)</f>
        <v>0</v>
      </c>
      <c r="DD115" s="11" t="n">
        <f aca="false">IF(AND(DD$1&gt;=Units!$Q114,MOD(DD$1-Units!$Q114,12)=0),IF(AND(Units!$L114=1,DD$1=Units!$Q114),1,Inputs!$B$15)*Inputs!$B$16*(1+Inputs!$B$11)^(DD$2-1),0)</f>
        <v>0</v>
      </c>
      <c r="DE115" s="11" t="n">
        <f aca="false">IF(AND(DE$1&gt;=Units!$Q114,MOD(DE$1-Units!$Q114,12)=0),IF(AND(Units!$L114=1,DE$1=Units!$Q114),1,Inputs!$B$15)*Inputs!$B$16*(1+Inputs!$B$11)^(DE$2-1),0)</f>
        <v>0</v>
      </c>
      <c r="DF115" s="11" t="n">
        <f aca="false">IF(AND(DF$1&gt;=Units!$Q114,MOD(DF$1-Units!$Q114,12)=0),IF(AND(Units!$L114=1,DF$1=Units!$Q114),1,Inputs!$B$15)*Inputs!$B$16*(1+Inputs!$B$11)^(DF$2-1),0)</f>
        <v>0</v>
      </c>
      <c r="DG115" s="11" t="n">
        <f aca="false">IF(AND(DG$1&gt;=Units!$Q114,MOD(DG$1-Units!$Q114,12)=0),IF(AND(Units!$L114=1,DG$1=Units!$Q114),1,Inputs!$B$15)*Inputs!$B$16*(1+Inputs!$B$11)^(DG$2-1),0)</f>
        <v>0</v>
      </c>
      <c r="DH115" s="11" t="n">
        <f aca="false">IF(AND(DH$1&gt;=Units!$Q114,MOD(DH$1-Units!$Q114,12)=0),IF(AND(Units!$L114=1,DH$1=Units!$Q114),1,Inputs!$B$15)*Inputs!$B$16*(1+Inputs!$B$11)^(DH$2-1),0)</f>
        <v>652.386591914623</v>
      </c>
      <c r="DI115" s="11" t="n">
        <f aca="false">IF(AND(DI$1&gt;=Units!$Q114,MOD(DI$1-Units!$Q114,12)=0),IF(AND(Units!$L114=1,DI$1=Units!$Q114),1,Inputs!$B$15)*Inputs!$B$16*(1+Inputs!$B$11)^(DI$2-1),0)</f>
        <v>0</v>
      </c>
      <c r="DJ115" s="11" t="n">
        <f aca="false">IF(AND(DJ$1&gt;=Units!$Q114,MOD(DJ$1-Units!$Q114,12)=0),IF(AND(Units!$L114=1,DJ$1=Units!$Q114),1,Inputs!$B$15)*Inputs!$B$16*(1+Inputs!$B$11)^(DJ$2-1),0)</f>
        <v>0</v>
      </c>
      <c r="DK115" s="11" t="n">
        <f aca="false">IF(AND(DK$1&gt;=Units!$Q114,MOD(DK$1-Units!$Q114,12)=0),IF(AND(Units!$L114=1,DK$1=Units!$Q114),1,Inputs!$B$15)*Inputs!$B$16*(1+Inputs!$B$11)^(DK$2-1),0)</f>
        <v>0</v>
      </c>
      <c r="DL115" s="11" t="n">
        <f aca="false">IF(AND(DL$1&gt;=Units!$Q114,MOD(DL$1-Units!$Q114,12)=0),IF(AND(Units!$L114=1,DL$1=Units!$Q114),1,Inputs!$B$15)*Inputs!$B$16*(1+Inputs!$B$11)^(DL$2-1),0)</f>
        <v>0</v>
      </c>
      <c r="DM115" s="11" t="n">
        <f aca="false">IF(AND(DM$1&gt;=Units!$Q114,MOD(DM$1-Units!$Q114,12)=0),IF(AND(Units!$L114=1,DM$1=Units!$Q114),1,Inputs!$B$15)*Inputs!$B$16*(1+Inputs!$B$11)^(DM$2-1),0)</f>
        <v>0</v>
      </c>
      <c r="DN115" s="11" t="n">
        <f aca="false">IF(AND(DN$1&gt;=Units!$Q114,MOD(DN$1-Units!$Q114,12)=0),IF(AND(Units!$L114=1,DN$1=Units!$Q114),1,Inputs!$B$15)*Inputs!$B$16*(1+Inputs!$B$11)^(DN$2-1),0)</f>
        <v>0</v>
      </c>
      <c r="DO115" s="11" t="n">
        <f aca="false">IF(AND(DO$1&gt;=Units!$Q114,MOD(DO$1-Units!$Q114,12)=0),IF(AND(Units!$L114=1,DO$1=Units!$Q114),1,Inputs!$B$15)*Inputs!$B$16*(1+Inputs!$B$11)^(DO$2-1),0)</f>
        <v>0</v>
      </c>
      <c r="DP115" s="11" t="n">
        <f aca="false">IF(AND(DP$1&gt;=Units!$Q114,MOD(DP$1-Units!$Q114,12)=0),IF(AND(Units!$L114=1,DP$1=Units!$Q114),1,Inputs!$B$15)*Inputs!$B$16*(1+Inputs!$B$11)^(DP$2-1),0)</f>
        <v>0</v>
      </c>
      <c r="DQ115" s="11" t="n">
        <f aca="false">IF(AND(DQ$1&gt;=Units!$Q114,MOD(DQ$1-Units!$Q114,12)=0),IF(AND(Units!$L114=1,DQ$1=Units!$Q114),1,Inputs!$B$15)*Inputs!$B$16*(1+Inputs!$B$11)^(DQ$2-1),0)</f>
        <v>0</v>
      </c>
      <c r="DR115" s="11" t="n">
        <f aca="false">IF(AND(DR$1&gt;=Units!$Q114,MOD(DR$1-Units!$Q114,12)=0),IF(AND(Units!$L114=1,DR$1=Units!$Q114),1,Inputs!$B$15)*Inputs!$B$16*(1+Inputs!$B$11)^(DR$2-1),0)</f>
        <v>0</v>
      </c>
      <c r="DS115" s="11" t="n">
        <f aca="false">IF(AND(DS$1&gt;=Units!$Q114,MOD(DS$1-Units!$Q114,12)=0),IF(AND(Units!$L114=1,DS$1=Units!$Q114),1,Inputs!$B$15)*Inputs!$B$16*(1+Inputs!$B$11)^(DS$2-1),0)</f>
        <v>0</v>
      </c>
      <c r="DT115" s="11" t="n">
        <f aca="false">IF(AND(DT$1&gt;=Units!$Q114,MOD(DT$1-Units!$Q114,12)=0),IF(AND(Units!$L114=1,DT$1=Units!$Q114),1,Inputs!$B$15)*Inputs!$B$16*(1+Inputs!$B$11)^(DT$2-1),0)</f>
        <v>671.958189672061</v>
      </c>
      <c r="DU115" s="11" t="n">
        <f aca="false">IF(AND(DU$1&gt;=Units!$Q114,MOD(DU$1-Units!$Q114,12)=0),IF(AND(Units!$L114=1,DU$1=Units!$Q114),1,Inputs!$B$15)*Inputs!$B$16*(1+Inputs!$B$11)^(DU$2-1),0)</f>
        <v>0</v>
      </c>
      <c r="DV115" s="11" t="n">
        <f aca="false">IF(AND(DV$1&gt;=Units!$Q114,MOD(DV$1-Units!$Q114,12)=0),IF(AND(Units!$L114=1,DV$1=Units!$Q114),1,Inputs!$B$15)*Inputs!$B$16*(1+Inputs!$B$11)^(DV$2-1),0)</f>
        <v>0</v>
      </c>
      <c r="DW115" s="11" t="n">
        <f aca="false">IF(AND(DW$1&gt;=Units!$Q114,MOD(DW$1-Units!$Q114,12)=0),IF(AND(Units!$L114=1,DW$1=Units!$Q114),1,Inputs!$B$15)*Inputs!$B$16*(1+Inputs!$B$11)^(DW$2-1),0)</f>
        <v>0</v>
      </c>
      <c r="DX115" s="11" t="n">
        <f aca="false">IF(AND(DX$1&gt;=Units!$Q114,MOD(DX$1-Units!$Q114,12)=0),IF(AND(Units!$L114=1,DX$1=Units!$Q114),1,Inputs!$B$15)*Inputs!$B$16*(1+Inputs!$B$11)^(DX$2-1),0)</f>
        <v>0</v>
      </c>
      <c r="DY115" s="11" t="n">
        <f aca="false">IF(AND(DY$1&gt;=Units!$Q114,MOD(DY$1-Units!$Q114,12)=0),IF(AND(Units!$L114=1,DY$1=Units!$Q114),1,Inputs!$B$15)*Inputs!$B$16*(1+Inputs!$B$11)^(DY$2-1),0)</f>
        <v>0</v>
      </c>
      <c r="DZ115" s="11" t="n">
        <f aca="false">IF(AND(DZ$1&gt;=Units!$Q114,MOD(DZ$1-Units!$Q114,12)=0),IF(AND(Units!$L114=1,DZ$1=Units!$Q114),1,Inputs!$B$15)*Inputs!$B$16*(1+Inputs!$B$11)^(DZ$2-1),0)</f>
        <v>0</v>
      </c>
      <c r="EA115" s="11" t="n">
        <f aca="false">IF(AND(EA$1&gt;=Units!$Q114,MOD(EA$1-Units!$Q114,12)=0),IF(AND(Units!$L114=1,EA$1=Units!$Q114),1,Inputs!$B$15)*Inputs!$B$16*(1+Inputs!$B$11)^(EA$2-1),0)</f>
        <v>0</v>
      </c>
      <c r="EB115" s="11" t="n">
        <f aca="false">IF(AND(EB$1&gt;=Units!$Q114,MOD(EB$1-Units!$Q114,12)=0),IF(AND(Units!$L114=1,EB$1=Units!$Q114),1,Inputs!$B$15)*Inputs!$B$16*(1+Inputs!$B$11)^(EB$2-1),0)</f>
        <v>0</v>
      </c>
      <c r="EC115" s="11" t="n">
        <f aca="false">IF(AND(EC$1&gt;=Units!$Q114,MOD(EC$1-Units!$Q114,12)=0),IF(AND(Units!$L114=1,EC$1=Units!$Q114),1,Inputs!$B$15)*Inputs!$B$16*(1+Inputs!$B$11)^(EC$2-1),0)</f>
        <v>0</v>
      </c>
      <c r="ED115" s="11" t="n">
        <f aca="false">IF(AND(ED$1&gt;=Units!$Q114,MOD(ED$1-Units!$Q114,12)=0),IF(AND(Units!$L114=1,ED$1=Units!$Q114),1,Inputs!$B$15)*Inputs!$B$16*(1+Inputs!$B$11)^(ED$2-1),0)</f>
        <v>0</v>
      </c>
    </row>
    <row r="116" customFormat="false" ht="15" hidden="false" customHeight="false" outlineLevel="0" collapsed="false">
      <c r="A116" s="22" t="n">
        <f aca="false">Units!A115</f>
        <v>424</v>
      </c>
      <c r="B116" s="23"/>
      <c r="C116" s="11" t="n">
        <f aca="false">IF(AND(C$1&gt;=Units!$Q115,MOD(C$1-Units!$Q115,12)=0),IF(AND(Units!$L115=1,C$1=Units!$Q115),1,Inputs!$B$15)*Inputs!$B$16*(1+Inputs!$B$11)^(C$2-1),0)</f>
        <v>0</v>
      </c>
      <c r="D116" s="11" t="n">
        <f aca="false">IF(AND(D$1&gt;=Units!$Q115,MOD(D$1-Units!$Q115,12)=0),IF(AND(Units!$L115=1,D$1=Units!$Q115),1,Inputs!$B$15)*Inputs!$B$16*(1+Inputs!$B$11)^(D$2-1),0)</f>
        <v>0</v>
      </c>
      <c r="E116" s="11" t="n">
        <f aca="false">IF(AND(E$1&gt;=Units!$Q115,MOD(E$1-Units!$Q115,12)=0),IF(AND(Units!$L115=1,E$1=Units!$Q115),1,Inputs!$B$15)*Inputs!$B$16*(1+Inputs!$B$11)^(E$2-1),0)</f>
        <v>0</v>
      </c>
      <c r="F116" s="11" t="n">
        <f aca="false">IF(AND(F$1&gt;=Units!$Q115,MOD(F$1-Units!$Q115,12)=0),IF(AND(Units!$L115=1,F$1=Units!$Q115),1,Inputs!$B$15)*Inputs!$B$16*(1+Inputs!$B$11)^(F$2-1),0)</f>
        <v>0</v>
      </c>
      <c r="G116" s="11" t="n">
        <f aca="false">IF(AND(G$1&gt;=Units!$Q115,MOD(G$1-Units!$Q115,12)=0),IF(AND(Units!$L115=1,G$1=Units!$Q115),1,Inputs!$B$15)*Inputs!$B$16*(1+Inputs!$B$11)^(G$2-1),0)</f>
        <v>0</v>
      </c>
      <c r="H116" s="11" t="n">
        <f aca="false">IF(AND(H$1&gt;=Units!$Q115,MOD(H$1-Units!$Q115,12)=0),IF(AND(Units!$L115=1,H$1=Units!$Q115),1,Inputs!$B$15)*Inputs!$B$16*(1+Inputs!$B$11)^(H$2-1),0)</f>
        <v>500</v>
      </c>
      <c r="I116" s="11" t="n">
        <f aca="false">IF(AND(I$1&gt;=Units!$Q115,MOD(I$1-Units!$Q115,12)=0),IF(AND(Units!$L115=1,I$1=Units!$Q115),1,Inputs!$B$15)*Inputs!$B$16*(1+Inputs!$B$11)^(I$2-1),0)</f>
        <v>0</v>
      </c>
      <c r="J116" s="11" t="n">
        <f aca="false">IF(AND(J$1&gt;=Units!$Q115,MOD(J$1-Units!$Q115,12)=0),IF(AND(Units!$L115=1,J$1=Units!$Q115),1,Inputs!$B$15)*Inputs!$B$16*(1+Inputs!$B$11)^(J$2-1),0)</f>
        <v>0</v>
      </c>
      <c r="K116" s="11" t="n">
        <f aca="false">IF(AND(K$1&gt;=Units!$Q115,MOD(K$1-Units!$Q115,12)=0),IF(AND(Units!$L115=1,K$1=Units!$Q115),1,Inputs!$B$15)*Inputs!$B$16*(1+Inputs!$B$11)^(K$2-1),0)</f>
        <v>0</v>
      </c>
      <c r="L116" s="11" t="n">
        <f aca="false">IF(AND(L$1&gt;=Units!$Q115,MOD(L$1-Units!$Q115,12)=0),IF(AND(Units!$L115=1,L$1=Units!$Q115),1,Inputs!$B$15)*Inputs!$B$16*(1+Inputs!$B$11)^(L$2-1),0)</f>
        <v>0</v>
      </c>
      <c r="M116" s="11" t="n">
        <f aca="false">IF(AND(M$1&gt;=Units!$Q115,MOD(M$1-Units!$Q115,12)=0),IF(AND(Units!$L115=1,M$1=Units!$Q115),1,Inputs!$B$15)*Inputs!$B$16*(1+Inputs!$B$11)^(M$2-1),0)</f>
        <v>0</v>
      </c>
      <c r="N116" s="11" t="n">
        <f aca="false">IF(AND(N$1&gt;=Units!$Q115,MOD(N$1-Units!$Q115,12)=0),IF(AND(Units!$L115=1,N$1=Units!$Q115),1,Inputs!$B$15)*Inputs!$B$16*(1+Inputs!$B$11)^(N$2-1),0)</f>
        <v>0</v>
      </c>
      <c r="O116" s="11" t="n">
        <f aca="false">IF(AND(O$1&gt;=Units!$Q115,MOD(O$1-Units!$Q115,12)=0),IF(AND(Units!$L115=1,O$1=Units!$Q115),1,Inputs!$B$15)*Inputs!$B$16*(1+Inputs!$B$11)^(O$2-1),0)</f>
        <v>0</v>
      </c>
      <c r="P116" s="11" t="n">
        <f aca="false">IF(AND(P$1&gt;=Units!$Q115,MOD(P$1-Units!$Q115,12)=0),IF(AND(Units!$L115=1,P$1=Units!$Q115),1,Inputs!$B$15)*Inputs!$B$16*(1+Inputs!$B$11)^(P$2-1),0)</f>
        <v>0</v>
      </c>
      <c r="Q116" s="11" t="n">
        <f aca="false">IF(AND(Q$1&gt;=Units!$Q115,MOD(Q$1-Units!$Q115,12)=0),IF(AND(Units!$L115=1,Q$1=Units!$Q115),1,Inputs!$B$15)*Inputs!$B$16*(1+Inputs!$B$11)^(Q$2-1),0)</f>
        <v>0</v>
      </c>
      <c r="R116" s="11" t="n">
        <f aca="false">IF(AND(R$1&gt;=Units!$Q115,MOD(R$1-Units!$Q115,12)=0),IF(AND(Units!$L115=1,R$1=Units!$Q115),1,Inputs!$B$15)*Inputs!$B$16*(1+Inputs!$B$11)^(R$2-1),0)</f>
        <v>0</v>
      </c>
      <c r="S116" s="11" t="n">
        <f aca="false">IF(AND(S$1&gt;=Units!$Q115,MOD(S$1-Units!$Q115,12)=0),IF(AND(Units!$L115=1,S$1=Units!$Q115),1,Inputs!$B$15)*Inputs!$B$16*(1+Inputs!$B$11)^(S$2-1),0)</f>
        <v>0</v>
      </c>
      <c r="T116" s="11" t="n">
        <f aca="false">IF(AND(T$1&gt;=Units!$Q115,MOD(T$1-Units!$Q115,12)=0),IF(AND(Units!$L115=1,T$1=Units!$Q115),1,Inputs!$B$15)*Inputs!$B$16*(1+Inputs!$B$11)^(T$2-1),0)</f>
        <v>515</v>
      </c>
      <c r="U116" s="11" t="n">
        <f aca="false">IF(AND(U$1&gt;=Units!$Q115,MOD(U$1-Units!$Q115,12)=0),IF(AND(Units!$L115=1,U$1=Units!$Q115),1,Inputs!$B$15)*Inputs!$B$16*(1+Inputs!$B$11)^(U$2-1),0)</f>
        <v>0</v>
      </c>
      <c r="V116" s="11" t="n">
        <f aca="false">IF(AND(V$1&gt;=Units!$Q115,MOD(V$1-Units!$Q115,12)=0),IF(AND(Units!$L115=1,V$1=Units!$Q115),1,Inputs!$B$15)*Inputs!$B$16*(1+Inputs!$B$11)^(V$2-1),0)</f>
        <v>0</v>
      </c>
      <c r="W116" s="11" t="n">
        <f aca="false">IF(AND(W$1&gt;=Units!$Q115,MOD(W$1-Units!$Q115,12)=0),IF(AND(Units!$L115=1,W$1=Units!$Q115),1,Inputs!$B$15)*Inputs!$B$16*(1+Inputs!$B$11)^(W$2-1),0)</f>
        <v>0</v>
      </c>
      <c r="X116" s="11" t="n">
        <f aca="false">IF(AND(X$1&gt;=Units!$Q115,MOD(X$1-Units!$Q115,12)=0),IF(AND(Units!$L115=1,X$1=Units!$Q115),1,Inputs!$B$15)*Inputs!$B$16*(1+Inputs!$B$11)^(X$2-1),0)</f>
        <v>0</v>
      </c>
      <c r="Y116" s="11" t="n">
        <f aca="false">IF(AND(Y$1&gt;=Units!$Q115,MOD(Y$1-Units!$Q115,12)=0),IF(AND(Units!$L115=1,Y$1=Units!$Q115),1,Inputs!$B$15)*Inputs!$B$16*(1+Inputs!$B$11)^(Y$2-1),0)</f>
        <v>0</v>
      </c>
      <c r="Z116" s="11" t="n">
        <f aca="false">IF(AND(Z$1&gt;=Units!$Q115,MOD(Z$1-Units!$Q115,12)=0),IF(AND(Units!$L115=1,Z$1=Units!$Q115),1,Inputs!$B$15)*Inputs!$B$16*(1+Inputs!$B$11)^(Z$2-1),0)</f>
        <v>0</v>
      </c>
      <c r="AA116" s="11" t="n">
        <f aca="false">IF(AND(AA$1&gt;=Units!$Q115,MOD(AA$1-Units!$Q115,12)=0),IF(AND(Units!$L115=1,AA$1=Units!$Q115),1,Inputs!$B$15)*Inputs!$B$16*(1+Inputs!$B$11)^(AA$2-1),0)</f>
        <v>0</v>
      </c>
      <c r="AB116" s="11" t="n">
        <f aca="false">IF(AND(AB$1&gt;=Units!$Q115,MOD(AB$1-Units!$Q115,12)=0),IF(AND(Units!$L115=1,AB$1=Units!$Q115),1,Inputs!$B$15)*Inputs!$B$16*(1+Inputs!$B$11)^(AB$2-1),0)</f>
        <v>0</v>
      </c>
      <c r="AC116" s="11" t="n">
        <f aca="false">IF(AND(AC$1&gt;=Units!$Q115,MOD(AC$1-Units!$Q115,12)=0),IF(AND(Units!$L115=1,AC$1=Units!$Q115),1,Inputs!$B$15)*Inputs!$B$16*(1+Inputs!$B$11)^(AC$2-1),0)</f>
        <v>0</v>
      </c>
      <c r="AD116" s="11" t="n">
        <f aca="false">IF(AND(AD$1&gt;=Units!$Q115,MOD(AD$1-Units!$Q115,12)=0),IF(AND(Units!$L115=1,AD$1=Units!$Q115),1,Inputs!$B$15)*Inputs!$B$16*(1+Inputs!$B$11)^(AD$2-1),0)</f>
        <v>0</v>
      </c>
      <c r="AE116" s="11" t="n">
        <f aca="false">IF(AND(AE$1&gt;=Units!$Q115,MOD(AE$1-Units!$Q115,12)=0),IF(AND(Units!$L115=1,AE$1=Units!$Q115),1,Inputs!$B$15)*Inputs!$B$16*(1+Inputs!$B$11)^(AE$2-1),0)</f>
        <v>0</v>
      </c>
      <c r="AF116" s="11" t="n">
        <f aca="false">IF(AND(AF$1&gt;=Units!$Q115,MOD(AF$1-Units!$Q115,12)=0),IF(AND(Units!$L115=1,AF$1=Units!$Q115),1,Inputs!$B$15)*Inputs!$B$16*(1+Inputs!$B$11)^(AF$2-1),0)</f>
        <v>530.45</v>
      </c>
      <c r="AG116" s="11" t="n">
        <f aca="false">IF(AND(AG$1&gt;=Units!$Q115,MOD(AG$1-Units!$Q115,12)=0),IF(AND(Units!$L115=1,AG$1=Units!$Q115),1,Inputs!$B$15)*Inputs!$B$16*(1+Inputs!$B$11)^(AG$2-1),0)</f>
        <v>0</v>
      </c>
      <c r="AH116" s="11" t="n">
        <f aca="false">IF(AND(AH$1&gt;=Units!$Q115,MOD(AH$1-Units!$Q115,12)=0),IF(AND(Units!$L115=1,AH$1=Units!$Q115),1,Inputs!$B$15)*Inputs!$B$16*(1+Inputs!$B$11)^(AH$2-1),0)</f>
        <v>0</v>
      </c>
      <c r="AI116" s="11" t="n">
        <f aca="false">IF(AND(AI$1&gt;=Units!$Q115,MOD(AI$1-Units!$Q115,12)=0),IF(AND(Units!$L115=1,AI$1=Units!$Q115),1,Inputs!$B$15)*Inputs!$B$16*(1+Inputs!$B$11)^(AI$2-1),0)</f>
        <v>0</v>
      </c>
      <c r="AJ116" s="11" t="n">
        <f aca="false">IF(AND(AJ$1&gt;=Units!$Q115,MOD(AJ$1-Units!$Q115,12)=0),IF(AND(Units!$L115=1,AJ$1=Units!$Q115),1,Inputs!$B$15)*Inputs!$B$16*(1+Inputs!$B$11)^(AJ$2-1),0)</f>
        <v>0</v>
      </c>
      <c r="AK116" s="11" t="n">
        <f aca="false">IF(AND(AK$1&gt;=Units!$Q115,MOD(AK$1-Units!$Q115,12)=0),IF(AND(Units!$L115=1,AK$1=Units!$Q115),1,Inputs!$B$15)*Inputs!$B$16*(1+Inputs!$B$11)^(AK$2-1),0)</f>
        <v>0</v>
      </c>
      <c r="AL116" s="11" t="n">
        <f aca="false">IF(AND(AL$1&gt;=Units!$Q115,MOD(AL$1-Units!$Q115,12)=0),IF(AND(Units!$L115=1,AL$1=Units!$Q115),1,Inputs!$B$15)*Inputs!$B$16*(1+Inputs!$B$11)^(AL$2-1),0)</f>
        <v>0</v>
      </c>
      <c r="AM116" s="11" t="n">
        <f aca="false">IF(AND(AM$1&gt;=Units!$Q115,MOD(AM$1-Units!$Q115,12)=0),IF(AND(Units!$L115=1,AM$1=Units!$Q115),1,Inputs!$B$15)*Inputs!$B$16*(1+Inputs!$B$11)^(AM$2-1),0)</f>
        <v>0</v>
      </c>
      <c r="AN116" s="11" t="n">
        <f aca="false">IF(AND(AN$1&gt;=Units!$Q115,MOD(AN$1-Units!$Q115,12)=0),IF(AND(Units!$L115=1,AN$1=Units!$Q115),1,Inputs!$B$15)*Inputs!$B$16*(1+Inputs!$B$11)^(AN$2-1),0)</f>
        <v>0</v>
      </c>
      <c r="AO116" s="11" t="n">
        <f aca="false">IF(AND(AO$1&gt;=Units!$Q115,MOD(AO$1-Units!$Q115,12)=0),IF(AND(Units!$L115=1,AO$1=Units!$Q115),1,Inputs!$B$15)*Inputs!$B$16*(1+Inputs!$B$11)^(AO$2-1),0)</f>
        <v>0</v>
      </c>
      <c r="AP116" s="11" t="n">
        <f aca="false">IF(AND(AP$1&gt;=Units!$Q115,MOD(AP$1-Units!$Q115,12)=0),IF(AND(Units!$L115=1,AP$1=Units!$Q115),1,Inputs!$B$15)*Inputs!$B$16*(1+Inputs!$B$11)^(AP$2-1),0)</f>
        <v>0</v>
      </c>
      <c r="AQ116" s="11" t="n">
        <f aca="false">IF(AND(AQ$1&gt;=Units!$Q115,MOD(AQ$1-Units!$Q115,12)=0),IF(AND(Units!$L115=1,AQ$1=Units!$Q115),1,Inputs!$B$15)*Inputs!$B$16*(1+Inputs!$B$11)^(AQ$2-1),0)</f>
        <v>0</v>
      </c>
      <c r="AR116" s="11" t="n">
        <f aca="false">IF(AND(AR$1&gt;=Units!$Q115,MOD(AR$1-Units!$Q115,12)=0),IF(AND(Units!$L115=1,AR$1=Units!$Q115),1,Inputs!$B$15)*Inputs!$B$16*(1+Inputs!$B$11)^(AR$2-1),0)</f>
        <v>546.3635</v>
      </c>
      <c r="AS116" s="11" t="n">
        <f aca="false">IF(AND(AS$1&gt;=Units!$Q115,MOD(AS$1-Units!$Q115,12)=0),IF(AND(Units!$L115=1,AS$1=Units!$Q115),1,Inputs!$B$15)*Inputs!$B$16*(1+Inputs!$B$11)^(AS$2-1),0)</f>
        <v>0</v>
      </c>
      <c r="AT116" s="11" t="n">
        <f aca="false">IF(AND(AT$1&gt;=Units!$Q115,MOD(AT$1-Units!$Q115,12)=0),IF(AND(Units!$L115=1,AT$1=Units!$Q115),1,Inputs!$B$15)*Inputs!$B$16*(1+Inputs!$B$11)^(AT$2-1),0)</f>
        <v>0</v>
      </c>
      <c r="AU116" s="11" t="n">
        <f aca="false">IF(AND(AU$1&gt;=Units!$Q115,MOD(AU$1-Units!$Q115,12)=0),IF(AND(Units!$L115=1,AU$1=Units!$Q115),1,Inputs!$B$15)*Inputs!$B$16*(1+Inputs!$B$11)^(AU$2-1),0)</f>
        <v>0</v>
      </c>
      <c r="AV116" s="11" t="n">
        <f aca="false">IF(AND(AV$1&gt;=Units!$Q115,MOD(AV$1-Units!$Q115,12)=0),IF(AND(Units!$L115=1,AV$1=Units!$Q115),1,Inputs!$B$15)*Inputs!$B$16*(1+Inputs!$B$11)^(AV$2-1),0)</f>
        <v>0</v>
      </c>
      <c r="AW116" s="11" t="n">
        <f aca="false">IF(AND(AW$1&gt;=Units!$Q115,MOD(AW$1-Units!$Q115,12)=0),IF(AND(Units!$L115=1,AW$1=Units!$Q115),1,Inputs!$B$15)*Inputs!$B$16*(1+Inputs!$B$11)^(AW$2-1),0)</f>
        <v>0</v>
      </c>
      <c r="AX116" s="11" t="n">
        <f aca="false">IF(AND(AX$1&gt;=Units!$Q115,MOD(AX$1-Units!$Q115,12)=0),IF(AND(Units!$L115=1,AX$1=Units!$Q115),1,Inputs!$B$15)*Inputs!$B$16*(1+Inputs!$B$11)^(AX$2-1),0)</f>
        <v>0</v>
      </c>
      <c r="AY116" s="11" t="n">
        <f aca="false">IF(AND(AY$1&gt;=Units!$Q115,MOD(AY$1-Units!$Q115,12)=0),IF(AND(Units!$L115=1,AY$1=Units!$Q115),1,Inputs!$B$15)*Inputs!$B$16*(1+Inputs!$B$11)^(AY$2-1),0)</f>
        <v>0</v>
      </c>
      <c r="AZ116" s="11" t="n">
        <f aca="false">IF(AND(AZ$1&gt;=Units!$Q115,MOD(AZ$1-Units!$Q115,12)=0),IF(AND(Units!$L115=1,AZ$1=Units!$Q115),1,Inputs!$B$15)*Inputs!$B$16*(1+Inputs!$B$11)^(AZ$2-1),0)</f>
        <v>0</v>
      </c>
      <c r="BA116" s="11" t="n">
        <f aca="false">IF(AND(BA$1&gt;=Units!$Q115,MOD(BA$1-Units!$Q115,12)=0),IF(AND(Units!$L115=1,BA$1=Units!$Q115),1,Inputs!$B$15)*Inputs!$B$16*(1+Inputs!$B$11)^(BA$2-1),0)</f>
        <v>0</v>
      </c>
      <c r="BB116" s="11" t="n">
        <f aca="false">IF(AND(BB$1&gt;=Units!$Q115,MOD(BB$1-Units!$Q115,12)=0),IF(AND(Units!$L115=1,BB$1=Units!$Q115),1,Inputs!$B$15)*Inputs!$B$16*(1+Inputs!$B$11)^(BB$2-1),0)</f>
        <v>0</v>
      </c>
      <c r="BC116" s="11" t="n">
        <f aca="false">IF(AND(BC$1&gt;=Units!$Q115,MOD(BC$1-Units!$Q115,12)=0),IF(AND(Units!$L115=1,BC$1=Units!$Q115),1,Inputs!$B$15)*Inputs!$B$16*(1+Inputs!$B$11)^(BC$2-1),0)</f>
        <v>0</v>
      </c>
      <c r="BD116" s="11" t="n">
        <f aca="false">IF(AND(BD$1&gt;=Units!$Q115,MOD(BD$1-Units!$Q115,12)=0),IF(AND(Units!$L115=1,BD$1=Units!$Q115),1,Inputs!$B$15)*Inputs!$B$16*(1+Inputs!$B$11)^(BD$2-1),0)</f>
        <v>562.754405</v>
      </c>
      <c r="BE116" s="11" t="n">
        <f aca="false">IF(AND(BE$1&gt;=Units!$Q115,MOD(BE$1-Units!$Q115,12)=0),IF(AND(Units!$L115=1,BE$1=Units!$Q115),1,Inputs!$B$15)*Inputs!$B$16*(1+Inputs!$B$11)^(BE$2-1),0)</f>
        <v>0</v>
      </c>
      <c r="BF116" s="11" t="n">
        <f aca="false">IF(AND(BF$1&gt;=Units!$Q115,MOD(BF$1-Units!$Q115,12)=0),IF(AND(Units!$L115=1,BF$1=Units!$Q115),1,Inputs!$B$15)*Inputs!$B$16*(1+Inputs!$B$11)^(BF$2-1),0)</f>
        <v>0</v>
      </c>
      <c r="BG116" s="11" t="n">
        <f aca="false">IF(AND(BG$1&gt;=Units!$Q115,MOD(BG$1-Units!$Q115,12)=0),IF(AND(Units!$L115=1,BG$1=Units!$Q115),1,Inputs!$B$15)*Inputs!$B$16*(1+Inputs!$B$11)^(BG$2-1),0)</f>
        <v>0</v>
      </c>
      <c r="BH116" s="11" t="n">
        <f aca="false">IF(AND(BH$1&gt;=Units!$Q115,MOD(BH$1-Units!$Q115,12)=0),IF(AND(Units!$L115=1,BH$1=Units!$Q115),1,Inputs!$B$15)*Inputs!$B$16*(1+Inputs!$B$11)^(BH$2-1),0)</f>
        <v>0</v>
      </c>
      <c r="BI116" s="11" t="n">
        <f aca="false">IF(AND(BI$1&gt;=Units!$Q115,MOD(BI$1-Units!$Q115,12)=0),IF(AND(Units!$L115=1,BI$1=Units!$Q115),1,Inputs!$B$15)*Inputs!$B$16*(1+Inputs!$B$11)^(BI$2-1),0)</f>
        <v>0</v>
      </c>
      <c r="BJ116" s="11" t="n">
        <f aca="false">IF(AND(BJ$1&gt;=Units!$Q115,MOD(BJ$1-Units!$Q115,12)=0),IF(AND(Units!$L115=1,BJ$1=Units!$Q115),1,Inputs!$B$15)*Inputs!$B$16*(1+Inputs!$B$11)^(BJ$2-1),0)</f>
        <v>0</v>
      </c>
      <c r="BK116" s="11" t="n">
        <f aca="false">IF(AND(BK$1&gt;=Units!$Q115,MOD(BK$1-Units!$Q115,12)=0),IF(AND(Units!$L115=1,BK$1=Units!$Q115),1,Inputs!$B$15)*Inputs!$B$16*(1+Inputs!$B$11)^(BK$2-1),0)</f>
        <v>0</v>
      </c>
      <c r="BL116" s="11" t="n">
        <f aca="false">IF(AND(BL$1&gt;=Units!$Q115,MOD(BL$1-Units!$Q115,12)=0),IF(AND(Units!$L115=1,BL$1=Units!$Q115),1,Inputs!$B$15)*Inputs!$B$16*(1+Inputs!$B$11)^(BL$2-1),0)</f>
        <v>0</v>
      </c>
      <c r="BM116" s="11" t="n">
        <f aca="false">IF(AND(BM$1&gt;=Units!$Q115,MOD(BM$1-Units!$Q115,12)=0),IF(AND(Units!$L115=1,BM$1=Units!$Q115),1,Inputs!$B$15)*Inputs!$B$16*(1+Inputs!$B$11)^(BM$2-1),0)</f>
        <v>0</v>
      </c>
      <c r="BN116" s="11" t="n">
        <f aca="false">IF(AND(BN$1&gt;=Units!$Q115,MOD(BN$1-Units!$Q115,12)=0),IF(AND(Units!$L115=1,BN$1=Units!$Q115),1,Inputs!$B$15)*Inputs!$B$16*(1+Inputs!$B$11)^(BN$2-1),0)</f>
        <v>0</v>
      </c>
      <c r="BO116" s="11" t="n">
        <f aca="false">IF(AND(BO$1&gt;=Units!$Q115,MOD(BO$1-Units!$Q115,12)=0),IF(AND(Units!$L115=1,BO$1=Units!$Q115),1,Inputs!$B$15)*Inputs!$B$16*(1+Inputs!$B$11)^(BO$2-1),0)</f>
        <v>0</v>
      </c>
      <c r="BP116" s="11" t="n">
        <f aca="false">IF(AND(BP$1&gt;=Units!$Q115,MOD(BP$1-Units!$Q115,12)=0),IF(AND(Units!$L115=1,BP$1=Units!$Q115),1,Inputs!$B$15)*Inputs!$B$16*(1+Inputs!$B$11)^(BP$2-1),0)</f>
        <v>579.63703715</v>
      </c>
      <c r="BQ116" s="11" t="n">
        <f aca="false">IF(AND(BQ$1&gt;=Units!$Q115,MOD(BQ$1-Units!$Q115,12)=0),IF(AND(Units!$L115=1,BQ$1=Units!$Q115),1,Inputs!$B$15)*Inputs!$B$16*(1+Inputs!$B$11)^(BQ$2-1),0)</f>
        <v>0</v>
      </c>
      <c r="BR116" s="11" t="n">
        <f aca="false">IF(AND(BR$1&gt;=Units!$Q115,MOD(BR$1-Units!$Q115,12)=0),IF(AND(Units!$L115=1,BR$1=Units!$Q115),1,Inputs!$B$15)*Inputs!$B$16*(1+Inputs!$B$11)^(BR$2-1),0)</f>
        <v>0</v>
      </c>
      <c r="BS116" s="11" t="n">
        <f aca="false">IF(AND(BS$1&gt;=Units!$Q115,MOD(BS$1-Units!$Q115,12)=0),IF(AND(Units!$L115=1,BS$1=Units!$Q115),1,Inputs!$B$15)*Inputs!$B$16*(1+Inputs!$B$11)^(BS$2-1),0)</f>
        <v>0</v>
      </c>
      <c r="BT116" s="11" t="n">
        <f aca="false">IF(AND(BT$1&gt;=Units!$Q115,MOD(BT$1-Units!$Q115,12)=0),IF(AND(Units!$L115=1,BT$1=Units!$Q115),1,Inputs!$B$15)*Inputs!$B$16*(1+Inputs!$B$11)^(BT$2-1),0)</f>
        <v>0</v>
      </c>
      <c r="BU116" s="11" t="n">
        <f aca="false">IF(AND(BU$1&gt;=Units!$Q115,MOD(BU$1-Units!$Q115,12)=0),IF(AND(Units!$L115=1,BU$1=Units!$Q115),1,Inputs!$B$15)*Inputs!$B$16*(1+Inputs!$B$11)^(BU$2-1),0)</f>
        <v>0</v>
      </c>
      <c r="BV116" s="11" t="n">
        <f aca="false">IF(AND(BV$1&gt;=Units!$Q115,MOD(BV$1-Units!$Q115,12)=0),IF(AND(Units!$L115=1,BV$1=Units!$Q115),1,Inputs!$B$15)*Inputs!$B$16*(1+Inputs!$B$11)^(BV$2-1),0)</f>
        <v>0</v>
      </c>
      <c r="BW116" s="11" t="n">
        <f aca="false">IF(AND(BW$1&gt;=Units!$Q115,MOD(BW$1-Units!$Q115,12)=0),IF(AND(Units!$L115=1,BW$1=Units!$Q115),1,Inputs!$B$15)*Inputs!$B$16*(1+Inputs!$B$11)^(BW$2-1),0)</f>
        <v>0</v>
      </c>
      <c r="BX116" s="11" t="n">
        <f aca="false">IF(AND(BX$1&gt;=Units!$Q115,MOD(BX$1-Units!$Q115,12)=0),IF(AND(Units!$L115=1,BX$1=Units!$Q115),1,Inputs!$B$15)*Inputs!$B$16*(1+Inputs!$B$11)^(BX$2-1),0)</f>
        <v>0</v>
      </c>
      <c r="BY116" s="11" t="n">
        <f aca="false">IF(AND(BY$1&gt;=Units!$Q115,MOD(BY$1-Units!$Q115,12)=0),IF(AND(Units!$L115=1,BY$1=Units!$Q115),1,Inputs!$B$15)*Inputs!$B$16*(1+Inputs!$B$11)^(BY$2-1),0)</f>
        <v>0</v>
      </c>
      <c r="BZ116" s="11" t="n">
        <f aca="false">IF(AND(BZ$1&gt;=Units!$Q115,MOD(BZ$1-Units!$Q115,12)=0),IF(AND(Units!$L115=1,BZ$1=Units!$Q115),1,Inputs!$B$15)*Inputs!$B$16*(1+Inputs!$B$11)^(BZ$2-1),0)</f>
        <v>0</v>
      </c>
      <c r="CA116" s="11" t="n">
        <f aca="false">IF(AND(CA$1&gt;=Units!$Q115,MOD(CA$1-Units!$Q115,12)=0),IF(AND(Units!$L115=1,CA$1=Units!$Q115),1,Inputs!$B$15)*Inputs!$B$16*(1+Inputs!$B$11)^(CA$2-1),0)</f>
        <v>0</v>
      </c>
      <c r="CB116" s="11" t="n">
        <f aca="false">IF(AND(CB$1&gt;=Units!$Q115,MOD(CB$1-Units!$Q115,12)=0),IF(AND(Units!$L115=1,CB$1=Units!$Q115),1,Inputs!$B$15)*Inputs!$B$16*(1+Inputs!$B$11)^(CB$2-1),0)</f>
        <v>597.0261482645</v>
      </c>
      <c r="CC116" s="11" t="n">
        <f aca="false">IF(AND(CC$1&gt;=Units!$Q115,MOD(CC$1-Units!$Q115,12)=0),IF(AND(Units!$L115=1,CC$1=Units!$Q115),1,Inputs!$B$15)*Inputs!$B$16*(1+Inputs!$B$11)^(CC$2-1),0)</f>
        <v>0</v>
      </c>
      <c r="CD116" s="11" t="n">
        <f aca="false">IF(AND(CD$1&gt;=Units!$Q115,MOD(CD$1-Units!$Q115,12)=0),IF(AND(Units!$L115=1,CD$1=Units!$Q115),1,Inputs!$B$15)*Inputs!$B$16*(1+Inputs!$B$11)^(CD$2-1),0)</f>
        <v>0</v>
      </c>
      <c r="CE116" s="11" t="n">
        <f aca="false">IF(AND(CE$1&gt;=Units!$Q115,MOD(CE$1-Units!$Q115,12)=0),IF(AND(Units!$L115=1,CE$1=Units!$Q115),1,Inputs!$B$15)*Inputs!$B$16*(1+Inputs!$B$11)^(CE$2-1),0)</f>
        <v>0</v>
      </c>
      <c r="CF116" s="11" t="n">
        <f aca="false">IF(AND(CF$1&gt;=Units!$Q115,MOD(CF$1-Units!$Q115,12)=0),IF(AND(Units!$L115=1,CF$1=Units!$Q115),1,Inputs!$B$15)*Inputs!$B$16*(1+Inputs!$B$11)^(CF$2-1),0)</f>
        <v>0</v>
      </c>
      <c r="CG116" s="11" t="n">
        <f aca="false">IF(AND(CG$1&gt;=Units!$Q115,MOD(CG$1-Units!$Q115,12)=0),IF(AND(Units!$L115=1,CG$1=Units!$Q115),1,Inputs!$B$15)*Inputs!$B$16*(1+Inputs!$B$11)^(CG$2-1),0)</f>
        <v>0</v>
      </c>
      <c r="CH116" s="11" t="n">
        <f aca="false">IF(AND(CH$1&gt;=Units!$Q115,MOD(CH$1-Units!$Q115,12)=0),IF(AND(Units!$L115=1,CH$1=Units!$Q115),1,Inputs!$B$15)*Inputs!$B$16*(1+Inputs!$B$11)^(CH$2-1),0)</f>
        <v>0</v>
      </c>
      <c r="CI116" s="11" t="n">
        <f aca="false">IF(AND(CI$1&gt;=Units!$Q115,MOD(CI$1-Units!$Q115,12)=0),IF(AND(Units!$L115=1,CI$1=Units!$Q115),1,Inputs!$B$15)*Inputs!$B$16*(1+Inputs!$B$11)^(CI$2-1),0)</f>
        <v>0</v>
      </c>
      <c r="CJ116" s="11" t="n">
        <f aca="false">IF(AND(CJ$1&gt;=Units!$Q115,MOD(CJ$1-Units!$Q115,12)=0),IF(AND(Units!$L115=1,CJ$1=Units!$Q115),1,Inputs!$B$15)*Inputs!$B$16*(1+Inputs!$B$11)^(CJ$2-1),0)</f>
        <v>0</v>
      </c>
      <c r="CK116" s="11" t="n">
        <f aca="false">IF(AND(CK$1&gt;=Units!$Q115,MOD(CK$1-Units!$Q115,12)=0),IF(AND(Units!$L115=1,CK$1=Units!$Q115),1,Inputs!$B$15)*Inputs!$B$16*(1+Inputs!$B$11)^(CK$2-1),0)</f>
        <v>0</v>
      </c>
      <c r="CL116" s="11" t="n">
        <f aca="false">IF(AND(CL$1&gt;=Units!$Q115,MOD(CL$1-Units!$Q115,12)=0),IF(AND(Units!$L115=1,CL$1=Units!$Q115),1,Inputs!$B$15)*Inputs!$B$16*(1+Inputs!$B$11)^(CL$2-1),0)</f>
        <v>0</v>
      </c>
      <c r="CM116" s="11" t="n">
        <f aca="false">IF(AND(CM$1&gt;=Units!$Q115,MOD(CM$1-Units!$Q115,12)=0),IF(AND(Units!$L115=1,CM$1=Units!$Q115),1,Inputs!$B$15)*Inputs!$B$16*(1+Inputs!$B$11)^(CM$2-1),0)</f>
        <v>0</v>
      </c>
      <c r="CN116" s="11" t="n">
        <f aca="false">IF(AND(CN$1&gt;=Units!$Q115,MOD(CN$1-Units!$Q115,12)=0),IF(AND(Units!$L115=1,CN$1=Units!$Q115),1,Inputs!$B$15)*Inputs!$B$16*(1+Inputs!$B$11)^(CN$2-1),0)</f>
        <v>614.936932712435</v>
      </c>
      <c r="CO116" s="11" t="n">
        <f aca="false">IF(AND(CO$1&gt;=Units!$Q115,MOD(CO$1-Units!$Q115,12)=0),IF(AND(Units!$L115=1,CO$1=Units!$Q115),1,Inputs!$B$15)*Inputs!$B$16*(1+Inputs!$B$11)^(CO$2-1),0)</f>
        <v>0</v>
      </c>
      <c r="CP116" s="11" t="n">
        <f aca="false">IF(AND(CP$1&gt;=Units!$Q115,MOD(CP$1-Units!$Q115,12)=0),IF(AND(Units!$L115=1,CP$1=Units!$Q115),1,Inputs!$B$15)*Inputs!$B$16*(1+Inputs!$B$11)^(CP$2-1),0)</f>
        <v>0</v>
      </c>
      <c r="CQ116" s="11" t="n">
        <f aca="false">IF(AND(CQ$1&gt;=Units!$Q115,MOD(CQ$1-Units!$Q115,12)=0),IF(AND(Units!$L115=1,CQ$1=Units!$Q115),1,Inputs!$B$15)*Inputs!$B$16*(1+Inputs!$B$11)^(CQ$2-1),0)</f>
        <v>0</v>
      </c>
      <c r="CR116" s="11" t="n">
        <f aca="false">IF(AND(CR$1&gt;=Units!$Q115,MOD(CR$1-Units!$Q115,12)=0),IF(AND(Units!$L115=1,CR$1=Units!$Q115),1,Inputs!$B$15)*Inputs!$B$16*(1+Inputs!$B$11)^(CR$2-1),0)</f>
        <v>0</v>
      </c>
      <c r="CS116" s="11" t="n">
        <f aca="false">IF(AND(CS$1&gt;=Units!$Q115,MOD(CS$1-Units!$Q115,12)=0),IF(AND(Units!$L115=1,CS$1=Units!$Q115),1,Inputs!$B$15)*Inputs!$B$16*(1+Inputs!$B$11)^(CS$2-1),0)</f>
        <v>0</v>
      </c>
      <c r="CT116" s="11" t="n">
        <f aca="false">IF(AND(CT$1&gt;=Units!$Q115,MOD(CT$1-Units!$Q115,12)=0),IF(AND(Units!$L115=1,CT$1=Units!$Q115),1,Inputs!$B$15)*Inputs!$B$16*(1+Inputs!$B$11)^(CT$2-1),0)</f>
        <v>0</v>
      </c>
      <c r="CU116" s="11" t="n">
        <f aca="false">IF(AND(CU$1&gt;=Units!$Q115,MOD(CU$1-Units!$Q115,12)=0),IF(AND(Units!$L115=1,CU$1=Units!$Q115),1,Inputs!$B$15)*Inputs!$B$16*(1+Inputs!$B$11)^(CU$2-1),0)</f>
        <v>0</v>
      </c>
      <c r="CV116" s="11" t="n">
        <f aca="false">IF(AND(CV$1&gt;=Units!$Q115,MOD(CV$1-Units!$Q115,12)=0),IF(AND(Units!$L115=1,CV$1=Units!$Q115),1,Inputs!$B$15)*Inputs!$B$16*(1+Inputs!$B$11)^(CV$2-1),0)</f>
        <v>0</v>
      </c>
      <c r="CW116" s="11" t="n">
        <f aca="false">IF(AND(CW$1&gt;=Units!$Q115,MOD(CW$1-Units!$Q115,12)=0),IF(AND(Units!$L115=1,CW$1=Units!$Q115),1,Inputs!$B$15)*Inputs!$B$16*(1+Inputs!$B$11)^(CW$2-1),0)</f>
        <v>0</v>
      </c>
      <c r="CX116" s="11" t="n">
        <f aca="false">IF(AND(CX$1&gt;=Units!$Q115,MOD(CX$1-Units!$Q115,12)=0),IF(AND(Units!$L115=1,CX$1=Units!$Q115),1,Inputs!$B$15)*Inputs!$B$16*(1+Inputs!$B$11)^(CX$2-1),0)</f>
        <v>0</v>
      </c>
      <c r="CY116" s="11" t="n">
        <f aca="false">IF(AND(CY$1&gt;=Units!$Q115,MOD(CY$1-Units!$Q115,12)=0),IF(AND(Units!$L115=1,CY$1=Units!$Q115),1,Inputs!$B$15)*Inputs!$B$16*(1+Inputs!$B$11)^(CY$2-1),0)</f>
        <v>0</v>
      </c>
      <c r="CZ116" s="11" t="n">
        <f aca="false">IF(AND(CZ$1&gt;=Units!$Q115,MOD(CZ$1-Units!$Q115,12)=0),IF(AND(Units!$L115=1,CZ$1=Units!$Q115),1,Inputs!$B$15)*Inputs!$B$16*(1+Inputs!$B$11)^(CZ$2-1),0)</f>
        <v>633.385040693808</v>
      </c>
      <c r="DA116" s="11" t="n">
        <f aca="false">IF(AND(DA$1&gt;=Units!$Q115,MOD(DA$1-Units!$Q115,12)=0),IF(AND(Units!$L115=1,DA$1=Units!$Q115),1,Inputs!$B$15)*Inputs!$B$16*(1+Inputs!$B$11)^(DA$2-1),0)</f>
        <v>0</v>
      </c>
      <c r="DB116" s="11" t="n">
        <f aca="false">IF(AND(DB$1&gt;=Units!$Q115,MOD(DB$1-Units!$Q115,12)=0),IF(AND(Units!$L115=1,DB$1=Units!$Q115),1,Inputs!$B$15)*Inputs!$B$16*(1+Inputs!$B$11)^(DB$2-1),0)</f>
        <v>0</v>
      </c>
      <c r="DC116" s="11" t="n">
        <f aca="false">IF(AND(DC$1&gt;=Units!$Q115,MOD(DC$1-Units!$Q115,12)=0),IF(AND(Units!$L115=1,DC$1=Units!$Q115),1,Inputs!$B$15)*Inputs!$B$16*(1+Inputs!$B$11)^(DC$2-1),0)</f>
        <v>0</v>
      </c>
      <c r="DD116" s="11" t="n">
        <f aca="false">IF(AND(DD$1&gt;=Units!$Q115,MOD(DD$1-Units!$Q115,12)=0),IF(AND(Units!$L115=1,DD$1=Units!$Q115),1,Inputs!$B$15)*Inputs!$B$16*(1+Inputs!$B$11)^(DD$2-1),0)</f>
        <v>0</v>
      </c>
      <c r="DE116" s="11" t="n">
        <f aca="false">IF(AND(DE$1&gt;=Units!$Q115,MOD(DE$1-Units!$Q115,12)=0),IF(AND(Units!$L115=1,DE$1=Units!$Q115),1,Inputs!$B$15)*Inputs!$B$16*(1+Inputs!$B$11)^(DE$2-1),0)</f>
        <v>0</v>
      </c>
      <c r="DF116" s="11" t="n">
        <f aca="false">IF(AND(DF$1&gt;=Units!$Q115,MOD(DF$1-Units!$Q115,12)=0),IF(AND(Units!$L115=1,DF$1=Units!$Q115),1,Inputs!$B$15)*Inputs!$B$16*(1+Inputs!$B$11)^(DF$2-1),0)</f>
        <v>0</v>
      </c>
      <c r="DG116" s="11" t="n">
        <f aca="false">IF(AND(DG$1&gt;=Units!$Q115,MOD(DG$1-Units!$Q115,12)=0),IF(AND(Units!$L115=1,DG$1=Units!$Q115),1,Inputs!$B$15)*Inputs!$B$16*(1+Inputs!$B$11)^(DG$2-1),0)</f>
        <v>0</v>
      </c>
      <c r="DH116" s="11" t="n">
        <f aca="false">IF(AND(DH$1&gt;=Units!$Q115,MOD(DH$1-Units!$Q115,12)=0),IF(AND(Units!$L115=1,DH$1=Units!$Q115),1,Inputs!$B$15)*Inputs!$B$16*(1+Inputs!$B$11)^(DH$2-1),0)</f>
        <v>0</v>
      </c>
      <c r="DI116" s="11" t="n">
        <f aca="false">IF(AND(DI$1&gt;=Units!$Q115,MOD(DI$1-Units!$Q115,12)=0),IF(AND(Units!$L115=1,DI$1=Units!$Q115),1,Inputs!$B$15)*Inputs!$B$16*(1+Inputs!$B$11)^(DI$2-1),0)</f>
        <v>0</v>
      </c>
      <c r="DJ116" s="11" t="n">
        <f aca="false">IF(AND(DJ$1&gt;=Units!$Q115,MOD(DJ$1-Units!$Q115,12)=0),IF(AND(Units!$L115=1,DJ$1=Units!$Q115),1,Inputs!$B$15)*Inputs!$B$16*(1+Inputs!$B$11)^(DJ$2-1),0)</f>
        <v>0</v>
      </c>
      <c r="DK116" s="11" t="n">
        <f aca="false">IF(AND(DK$1&gt;=Units!$Q115,MOD(DK$1-Units!$Q115,12)=0),IF(AND(Units!$L115=1,DK$1=Units!$Q115),1,Inputs!$B$15)*Inputs!$B$16*(1+Inputs!$B$11)^(DK$2-1),0)</f>
        <v>0</v>
      </c>
      <c r="DL116" s="11" t="n">
        <f aca="false">IF(AND(DL$1&gt;=Units!$Q115,MOD(DL$1-Units!$Q115,12)=0),IF(AND(Units!$L115=1,DL$1=Units!$Q115),1,Inputs!$B$15)*Inputs!$B$16*(1+Inputs!$B$11)^(DL$2-1),0)</f>
        <v>652.386591914623</v>
      </c>
      <c r="DM116" s="11" t="n">
        <f aca="false">IF(AND(DM$1&gt;=Units!$Q115,MOD(DM$1-Units!$Q115,12)=0),IF(AND(Units!$L115=1,DM$1=Units!$Q115),1,Inputs!$B$15)*Inputs!$B$16*(1+Inputs!$B$11)^(DM$2-1),0)</f>
        <v>0</v>
      </c>
      <c r="DN116" s="11" t="n">
        <f aca="false">IF(AND(DN$1&gt;=Units!$Q115,MOD(DN$1-Units!$Q115,12)=0),IF(AND(Units!$L115=1,DN$1=Units!$Q115),1,Inputs!$B$15)*Inputs!$B$16*(1+Inputs!$B$11)^(DN$2-1),0)</f>
        <v>0</v>
      </c>
      <c r="DO116" s="11" t="n">
        <f aca="false">IF(AND(DO$1&gt;=Units!$Q115,MOD(DO$1-Units!$Q115,12)=0),IF(AND(Units!$L115=1,DO$1=Units!$Q115),1,Inputs!$B$15)*Inputs!$B$16*(1+Inputs!$B$11)^(DO$2-1),0)</f>
        <v>0</v>
      </c>
      <c r="DP116" s="11" t="n">
        <f aca="false">IF(AND(DP$1&gt;=Units!$Q115,MOD(DP$1-Units!$Q115,12)=0),IF(AND(Units!$L115=1,DP$1=Units!$Q115),1,Inputs!$B$15)*Inputs!$B$16*(1+Inputs!$B$11)^(DP$2-1),0)</f>
        <v>0</v>
      </c>
      <c r="DQ116" s="11" t="n">
        <f aca="false">IF(AND(DQ$1&gt;=Units!$Q115,MOD(DQ$1-Units!$Q115,12)=0),IF(AND(Units!$L115=1,DQ$1=Units!$Q115),1,Inputs!$B$15)*Inputs!$B$16*(1+Inputs!$B$11)^(DQ$2-1),0)</f>
        <v>0</v>
      </c>
      <c r="DR116" s="11" t="n">
        <f aca="false">IF(AND(DR$1&gt;=Units!$Q115,MOD(DR$1-Units!$Q115,12)=0),IF(AND(Units!$L115=1,DR$1=Units!$Q115),1,Inputs!$B$15)*Inputs!$B$16*(1+Inputs!$B$11)^(DR$2-1),0)</f>
        <v>0</v>
      </c>
      <c r="DS116" s="11" t="n">
        <f aca="false">IF(AND(DS$1&gt;=Units!$Q115,MOD(DS$1-Units!$Q115,12)=0),IF(AND(Units!$L115=1,DS$1=Units!$Q115),1,Inputs!$B$15)*Inputs!$B$16*(1+Inputs!$B$11)^(DS$2-1),0)</f>
        <v>0</v>
      </c>
      <c r="DT116" s="11" t="n">
        <f aca="false">IF(AND(DT$1&gt;=Units!$Q115,MOD(DT$1-Units!$Q115,12)=0),IF(AND(Units!$L115=1,DT$1=Units!$Q115),1,Inputs!$B$15)*Inputs!$B$16*(1+Inputs!$B$11)^(DT$2-1),0)</f>
        <v>0</v>
      </c>
      <c r="DU116" s="11" t="n">
        <f aca="false">IF(AND(DU$1&gt;=Units!$Q115,MOD(DU$1-Units!$Q115,12)=0),IF(AND(Units!$L115=1,DU$1=Units!$Q115),1,Inputs!$B$15)*Inputs!$B$16*(1+Inputs!$B$11)^(DU$2-1),0)</f>
        <v>0</v>
      </c>
      <c r="DV116" s="11" t="n">
        <f aca="false">IF(AND(DV$1&gt;=Units!$Q115,MOD(DV$1-Units!$Q115,12)=0),IF(AND(Units!$L115=1,DV$1=Units!$Q115),1,Inputs!$B$15)*Inputs!$B$16*(1+Inputs!$B$11)^(DV$2-1),0)</f>
        <v>0</v>
      </c>
      <c r="DW116" s="11" t="n">
        <f aca="false">IF(AND(DW$1&gt;=Units!$Q115,MOD(DW$1-Units!$Q115,12)=0),IF(AND(Units!$L115=1,DW$1=Units!$Q115),1,Inputs!$B$15)*Inputs!$B$16*(1+Inputs!$B$11)^(DW$2-1),0)</f>
        <v>0</v>
      </c>
      <c r="DX116" s="11" t="n">
        <f aca="false">IF(AND(DX$1&gt;=Units!$Q115,MOD(DX$1-Units!$Q115,12)=0),IF(AND(Units!$L115=1,DX$1=Units!$Q115),1,Inputs!$B$15)*Inputs!$B$16*(1+Inputs!$B$11)^(DX$2-1),0)</f>
        <v>671.958189672061</v>
      </c>
      <c r="DY116" s="11" t="n">
        <f aca="false">IF(AND(DY$1&gt;=Units!$Q115,MOD(DY$1-Units!$Q115,12)=0),IF(AND(Units!$L115=1,DY$1=Units!$Q115),1,Inputs!$B$15)*Inputs!$B$16*(1+Inputs!$B$11)^(DY$2-1),0)</f>
        <v>0</v>
      </c>
      <c r="DZ116" s="11" t="n">
        <f aca="false">IF(AND(DZ$1&gt;=Units!$Q115,MOD(DZ$1-Units!$Q115,12)=0),IF(AND(Units!$L115=1,DZ$1=Units!$Q115),1,Inputs!$B$15)*Inputs!$B$16*(1+Inputs!$B$11)^(DZ$2-1),0)</f>
        <v>0</v>
      </c>
      <c r="EA116" s="11" t="n">
        <f aca="false">IF(AND(EA$1&gt;=Units!$Q115,MOD(EA$1-Units!$Q115,12)=0),IF(AND(Units!$L115=1,EA$1=Units!$Q115),1,Inputs!$B$15)*Inputs!$B$16*(1+Inputs!$B$11)^(EA$2-1),0)</f>
        <v>0</v>
      </c>
      <c r="EB116" s="11" t="n">
        <f aca="false">IF(AND(EB$1&gt;=Units!$Q115,MOD(EB$1-Units!$Q115,12)=0),IF(AND(Units!$L115=1,EB$1=Units!$Q115),1,Inputs!$B$15)*Inputs!$B$16*(1+Inputs!$B$11)^(EB$2-1),0)</f>
        <v>0</v>
      </c>
      <c r="EC116" s="11" t="n">
        <f aca="false">IF(AND(EC$1&gt;=Units!$Q115,MOD(EC$1-Units!$Q115,12)=0),IF(AND(Units!$L115=1,EC$1=Units!$Q115),1,Inputs!$B$15)*Inputs!$B$16*(1+Inputs!$B$11)^(EC$2-1),0)</f>
        <v>0</v>
      </c>
      <c r="ED116" s="11" t="n">
        <f aca="false">IF(AND(ED$1&gt;=Units!$Q115,MOD(ED$1-Units!$Q115,12)=0),IF(AND(Units!$L115=1,ED$1=Units!$Q115),1,Inputs!$B$15)*Inputs!$B$16*(1+Inputs!$B$11)^(ED$2-1),0)</f>
        <v>0</v>
      </c>
    </row>
    <row r="117" customFormat="false" ht="15" hidden="false" customHeight="false" outlineLevel="0" collapsed="false">
      <c r="A117" s="22" t="n">
        <f aca="false">Units!A116</f>
        <v>425</v>
      </c>
      <c r="B117" s="23"/>
      <c r="C117" s="11" t="n">
        <f aca="false">IF(AND(C$1&gt;=Units!$Q116,MOD(C$1-Units!$Q116,12)=0),IF(AND(Units!$L116=1,C$1=Units!$Q116),1,Inputs!$B$15)*Inputs!$B$16*(1+Inputs!$B$11)^(C$2-1),0)</f>
        <v>0</v>
      </c>
      <c r="D117" s="11" t="n">
        <f aca="false">IF(AND(D$1&gt;=Units!$Q116,MOD(D$1-Units!$Q116,12)=0),IF(AND(Units!$L116=1,D$1=Units!$Q116),1,Inputs!$B$15)*Inputs!$B$16*(1+Inputs!$B$11)^(D$2-1),0)</f>
        <v>0</v>
      </c>
      <c r="E117" s="11" t="n">
        <f aca="false">IF(AND(E$1&gt;=Units!$Q116,MOD(E$1-Units!$Q116,12)=0),IF(AND(Units!$L116=1,E$1=Units!$Q116),1,Inputs!$B$15)*Inputs!$B$16*(1+Inputs!$B$11)^(E$2-1),0)</f>
        <v>0</v>
      </c>
      <c r="F117" s="11" t="n">
        <f aca="false">IF(AND(F$1&gt;=Units!$Q116,MOD(F$1-Units!$Q116,12)=0),IF(AND(Units!$L116=1,F$1=Units!$Q116),1,Inputs!$B$15)*Inputs!$B$16*(1+Inputs!$B$11)^(F$2-1),0)</f>
        <v>0</v>
      </c>
      <c r="G117" s="11" t="n">
        <f aca="false">IF(AND(G$1&gt;=Units!$Q116,MOD(G$1-Units!$Q116,12)=0),IF(AND(Units!$L116=1,G$1=Units!$Q116),1,Inputs!$B$15)*Inputs!$B$16*(1+Inputs!$B$11)^(G$2-1),0)</f>
        <v>500</v>
      </c>
      <c r="H117" s="11" t="n">
        <f aca="false">IF(AND(H$1&gt;=Units!$Q116,MOD(H$1-Units!$Q116,12)=0),IF(AND(Units!$L116=1,H$1=Units!$Q116),1,Inputs!$B$15)*Inputs!$B$16*(1+Inputs!$B$11)^(H$2-1),0)</f>
        <v>0</v>
      </c>
      <c r="I117" s="11" t="n">
        <f aca="false">IF(AND(I$1&gt;=Units!$Q116,MOD(I$1-Units!$Q116,12)=0),IF(AND(Units!$L116=1,I$1=Units!$Q116),1,Inputs!$B$15)*Inputs!$B$16*(1+Inputs!$B$11)^(I$2-1),0)</f>
        <v>0</v>
      </c>
      <c r="J117" s="11" t="n">
        <f aca="false">IF(AND(J$1&gt;=Units!$Q116,MOD(J$1-Units!$Q116,12)=0),IF(AND(Units!$L116=1,J$1=Units!$Q116),1,Inputs!$B$15)*Inputs!$B$16*(1+Inputs!$B$11)^(J$2-1),0)</f>
        <v>0</v>
      </c>
      <c r="K117" s="11" t="n">
        <f aca="false">IF(AND(K$1&gt;=Units!$Q116,MOD(K$1-Units!$Q116,12)=0),IF(AND(Units!$L116=1,K$1=Units!$Q116),1,Inputs!$B$15)*Inputs!$B$16*(1+Inputs!$B$11)^(K$2-1),0)</f>
        <v>0</v>
      </c>
      <c r="L117" s="11" t="n">
        <f aca="false">IF(AND(L$1&gt;=Units!$Q116,MOD(L$1-Units!$Q116,12)=0),IF(AND(Units!$L116=1,L$1=Units!$Q116),1,Inputs!$B$15)*Inputs!$B$16*(1+Inputs!$B$11)^(L$2-1),0)</f>
        <v>0</v>
      </c>
      <c r="M117" s="11" t="n">
        <f aca="false">IF(AND(M$1&gt;=Units!$Q116,MOD(M$1-Units!$Q116,12)=0),IF(AND(Units!$L116=1,M$1=Units!$Q116),1,Inputs!$B$15)*Inputs!$B$16*(1+Inputs!$B$11)^(M$2-1),0)</f>
        <v>0</v>
      </c>
      <c r="N117" s="11" t="n">
        <f aca="false">IF(AND(N$1&gt;=Units!$Q116,MOD(N$1-Units!$Q116,12)=0),IF(AND(Units!$L116=1,N$1=Units!$Q116),1,Inputs!$B$15)*Inputs!$B$16*(1+Inputs!$B$11)^(N$2-1),0)</f>
        <v>0</v>
      </c>
      <c r="O117" s="11" t="n">
        <f aca="false">IF(AND(O$1&gt;=Units!$Q116,MOD(O$1-Units!$Q116,12)=0),IF(AND(Units!$L116=1,O$1=Units!$Q116),1,Inputs!$B$15)*Inputs!$B$16*(1+Inputs!$B$11)^(O$2-1),0)</f>
        <v>0</v>
      </c>
      <c r="P117" s="11" t="n">
        <f aca="false">IF(AND(P$1&gt;=Units!$Q116,MOD(P$1-Units!$Q116,12)=0),IF(AND(Units!$L116=1,P$1=Units!$Q116),1,Inputs!$B$15)*Inputs!$B$16*(1+Inputs!$B$11)^(P$2-1),0)</f>
        <v>0</v>
      </c>
      <c r="Q117" s="11" t="n">
        <f aca="false">IF(AND(Q$1&gt;=Units!$Q116,MOD(Q$1-Units!$Q116,12)=0),IF(AND(Units!$L116=1,Q$1=Units!$Q116),1,Inputs!$B$15)*Inputs!$B$16*(1+Inputs!$B$11)^(Q$2-1),0)</f>
        <v>0</v>
      </c>
      <c r="R117" s="11" t="n">
        <f aca="false">IF(AND(R$1&gt;=Units!$Q116,MOD(R$1-Units!$Q116,12)=0),IF(AND(Units!$L116=1,R$1=Units!$Q116),1,Inputs!$B$15)*Inputs!$B$16*(1+Inputs!$B$11)^(R$2-1),0)</f>
        <v>0</v>
      </c>
      <c r="S117" s="11" t="n">
        <f aca="false">IF(AND(S$1&gt;=Units!$Q116,MOD(S$1-Units!$Q116,12)=0),IF(AND(Units!$L116=1,S$1=Units!$Q116),1,Inputs!$B$15)*Inputs!$B$16*(1+Inputs!$B$11)^(S$2-1),0)</f>
        <v>515</v>
      </c>
      <c r="T117" s="11" t="n">
        <f aca="false">IF(AND(T$1&gt;=Units!$Q116,MOD(T$1-Units!$Q116,12)=0),IF(AND(Units!$L116=1,T$1=Units!$Q116),1,Inputs!$B$15)*Inputs!$B$16*(1+Inputs!$B$11)^(T$2-1),0)</f>
        <v>0</v>
      </c>
      <c r="U117" s="11" t="n">
        <f aca="false">IF(AND(U$1&gt;=Units!$Q116,MOD(U$1-Units!$Q116,12)=0),IF(AND(Units!$L116=1,U$1=Units!$Q116),1,Inputs!$B$15)*Inputs!$B$16*(1+Inputs!$B$11)^(U$2-1),0)</f>
        <v>0</v>
      </c>
      <c r="V117" s="11" t="n">
        <f aca="false">IF(AND(V$1&gt;=Units!$Q116,MOD(V$1-Units!$Q116,12)=0),IF(AND(Units!$L116=1,V$1=Units!$Q116),1,Inputs!$B$15)*Inputs!$B$16*(1+Inputs!$B$11)^(V$2-1),0)</f>
        <v>0</v>
      </c>
      <c r="W117" s="11" t="n">
        <f aca="false">IF(AND(W$1&gt;=Units!$Q116,MOD(W$1-Units!$Q116,12)=0),IF(AND(Units!$L116=1,W$1=Units!$Q116),1,Inputs!$B$15)*Inputs!$B$16*(1+Inputs!$B$11)^(W$2-1),0)</f>
        <v>0</v>
      </c>
      <c r="X117" s="11" t="n">
        <f aca="false">IF(AND(X$1&gt;=Units!$Q116,MOD(X$1-Units!$Q116,12)=0),IF(AND(Units!$L116=1,X$1=Units!$Q116),1,Inputs!$B$15)*Inputs!$B$16*(1+Inputs!$B$11)^(X$2-1),0)</f>
        <v>0</v>
      </c>
      <c r="Y117" s="11" t="n">
        <f aca="false">IF(AND(Y$1&gt;=Units!$Q116,MOD(Y$1-Units!$Q116,12)=0),IF(AND(Units!$L116=1,Y$1=Units!$Q116),1,Inputs!$B$15)*Inputs!$B$16*(1+Inputs!$B$11)^(Y$2-1),0)</f>
        <v>0</v>
      </c>
      <c r="Z117" s="11" t="n">
        <f aca="false">IF(AND(Z$1&gt;=Units!$Q116,MOD(Z$1-Units!$Q116,12)=0),IF(AND(Units!$L116=1,Z$1=Units!$Q116),1,Inputs!$B$15)*Inputs!$B$16*(1+Inputs!$B$11)^(Z$2-1),0)</f>
        <v>0</v>
      </c>
      <c r="AA117" s="11" t="n">
        <f aca="false">IF(AND(AA$1&gt;=Units!$Q116,MOD(AA$1-Units!$Q116,12)=0),IF(AND(Units!$L116=1,AA$1=Units!$Q116),1,Inputs!$B$15)*Inputs!$B$16*(1+Inputs!$B$11)^(AA$2-1),0)</f>
        <v>0</v>
      </c>
      <c r="AB117" s="11" t="n">
        <f aca="false">IF(AND(AB$1&gt;=Units!$Q116,MOD(AB$1-Units!$Q116,12)=0),IF(AND(Units!$L116=1,AB$1=Units!$Q116),1,Inputs!$B$15)*Inputs!$B$16*(1+Inputs!$B$11)^(AB$2-1),0)</f>
        <v>0</v>
      </c>
      <c r="AC117" s="11" t="n">
        <f aca="false">IF(AND(AC$1&gt;=Units!$Q116,MOD(AC$1-Units!$Q116,12)=0),IF(AND(Units!$L116=1,AC$1=Units!$Q116),1,Inputs!$B$15)*Inputs!$B$16*(1+Inputs!$B$11)^(AC$2-1),0)</f>
        <v>0</v>
      </c>
      <c r="AD117" s="11" t="n">
        <f aca="false">IF(AND(AD$1&gt;=Units!$Q116,MOD(AD$1-Units!$Q116,12)=0),IF(AND(Units!$L116=1,AD$1=Units!$Q116),1,Inputs!$B$15)*Inputs!$B$16*(1+Inputs!$B$11)^(AD$2-1),0)</f>
        <v>0</v>
      </c>
      <c r="AE117" s="11" t="n">
        <f aca="false">IF(AND(AE$1&gt;=Units!$Q116,MOD(AE$1-Units!$Q116,12)=0),IF(AND(Units!$L116=1,AE$1=Units!$Q116),1,Inputs!$B$15)*Inputs!$B$16*(1+Inputs!$B$11)^(AE$2-1),0)</f>
        <v>530.45</v>
      </c>
      <c r="AF117" s="11" t="n">
        <f aca="false">IF(AND(AF$1&gt;=Units!$Q116,MOD(AF$1-Units!$Q116,12)=0),IF(AND(Units!$L116=1,AF$1=Units!$Q116),1,Inputs!$B$15)*Inputs!$B$16*(1+Inputs!$B$11)^(AF$2-1),0)</f>
        <v>0</v>
      </c>
      <c r="AG117" s="11" t="n">
        <f aca="false">IF(AND(AG$1&gt;=Units!$Q116,MOD(AG$1-Units!$Q116,12)=0),IF(AND(Units!$L116=1,AG$1=Units!$Q116),1,Inputs!$B$15)*Inputs!$B$16*(1+Inputs!$B$11)^(AG$2-1),0)</f>
        <v>0</v>
      </c>
      <c r="AH117" s="11" t="n">
        <f aca="false">IF(AND(AH$1&gt;=Units!$Q116,MOD(AH$1-Units!$Q116,12)=0),IF(AND(Units!$L116=1,AH$1=Units!$Q116),1,Inputs!$B$15)*Inputs!$B$16*(1+Inputs!$B$11)^(AH$2-1),0)</f>
        <v>0</v>
      </c>
      <c r="AI117" s="11" t="n">
        <f aca="false">IF(AND(AI$1&gt;=Units!$Q116,MOD(AI$1-Units!$Q116,12)=0),IF(AND(Units!$L116=1,AI$1=Units!$Q116),1,Inputs!$B$15)*Inputs!$B$16*(1+Inputs!$B$11)^(AI$2-1),0)</f>
        <v>0</v>
      </c>
      <c r="AJ117" s="11" t="n">
        <f aca="false">IF(AND(AJ$1&gt;=Units!$Q116,MOD(AJ$1-Units!$Q116,12)=0),IF(AND(Units!$L116=1,AJ$1=Units!$Q116),1,Inputs!$B$15)*Inputs!$B$16*(1+Inputs!$B$11)^(AJ$2-1),0)</f>
        <v>0</v>
      </c>
      <c r="AK117" s="11" t="n">
        <f aca="false">IF(AND(AK$1&gt;=Units!$Q116,MOD(AK$1-Units!$Q116,12)=0),IF(AND(Units!$L116=1,AK$1=Units!$Q116),1,Inputs!$B$15)*Inputs!$B$16*(1+Inputs!$B$11)^(AK$2-1),0)</f>
        <v>0</v>
      </c>
      <c r="AL117" s="11" t="n">
        <f aca="false">IF(AND(AL$1&gt;=Units!$Q116,MOD(AL$1-Units!$Q116,12)=0),IF(AND(Units!$L116=1,AL$1=Units!$Q116),1,Inputs!$B$15)*Inputs!$B$16*(1+Inputs!$B$11)^(AL$2-1),0)</f>
        <v>0</v>
      </c>
      <c r="AM117" s="11" t="n">
        <f aca="false">IF(AND(AM$1&gt;=Units!$Q116,MOD(AM$1-Units!$Q116,12)=0),IF(AND(Units!$L116=1,AM$1=Units!$Q116),1,Inputs!$B$15)*Inputs!$B$16*(1+Inputs!$B$11)^(AM$2-1),0)</f>
        <v>0</v>
      </c>
      <c r="AN117" s="11" t="n">
        <f aca="false">IF(AND(AN$1&gt;=Units!$Q116,MOD(AN$1-Units!$Q116,12)=0),IF(AND(Units!$L116=1,AN$1=Units!$Q116),1,Inputs!$B$15)*Inputs!$B$16*(1+Inputs!$B$11)^(AN$2-1),0)</f>
        <v>0</v>
      </c>
      <c r="AO117" s="11" t="n">
        <f aca="false">IF(AND(AO$1&gt;=Units!$Q116,MOD(AO$1-Units!$Q116,12)=0),IF(AND(Units!$L116=1,AO$1=Units!$Q116),1,Inputs!$B$15)*Inputs!$B$16*(1+Inputs!$B$11)^(AO$2-1),0)</f>
        <v>0</v>
      </c>
      <c r="AP117" s="11" t="n">
        <f aca="false">IF(AND(AP$1&gt;=Units!$Q116,MOD(AP$1-Units!$Q116,12)=0),IF(AND(Units!$L116=1,AP$1=Units!$Q116),1,Inputs!$B$15)*Inputs!$B$16*(1+Inputs!$B$11)^(AP$2-1),0)</f>
        <v>0</v>
      </c>
      <c r="AQ117" s="11" t="n">
        <f aca="false">IF(AND(AQ$1&gt;=Units!$Q116,MOD(AQ$1-Units!$Q116,12)=0),IF(AND(Units!$L116=1,AQ$1=Units!$Q116),1,Inputs!$B$15)*Inputs!$B$16*(1+Inputs!$B$11)^(AQ$2-1),0)</f>
        <v>546.3635</v>
      </c>
      <c r="AR117" s="11" t="n">
        <f aca="false">IF(AND(AR$1&gt;=Units!$Q116,MOD(AR$1-Units!$Q116,12)=0),IF(AND(Units!$L116=1,AR$1=Units!$Q116),1,Inputs!$B$15)*Inputs!$B$16*(1+Inputs!$B$11)^(AR$2-1),0)</f>
        <v>0</v>
      </c>
      <c r="AS117" s="11" t="n">
        <f aca="false">IF(AND(AS$1&gt;=Units!$Q116,MOD(AS$1-Units!$Q116,12)=0),IF(AND(Units!$L116=1,AS$1=Units!$Q116),1,Inputs!$B$15)*Inputs!$B$16*(1+Inputs!$B$11)^(AS$2-1),0)</f>
        <v>0</v>
      </c>
      <c r="AT117" s="11" t="n">
        <f aca="false">IF(AND(AT$1&gt;=Units!$Q116,MOD(AT$1-Units!$Q116,12)=0),IF(AND(Units!$L116=1,AT$1=Units!$Q116),1,Inputs!$B$15)*Inputs!$B$16*(1+Inputs!$B$11)^(AT$2-1),0)</f>
        <v>0</v>
      </c>
      <c r="AU117" s="11" t="n">
        <f aca="false">IF(AND(AU$1&gt;=Units!$Q116,MOD(AU$1-Units!$Q116,12)=0),IF(AND(Units!$L116=1,AU$1=Units!$Q116),1,Inputs!$B$15)*Inputs!$B$16*(1+Inputs!$B$11)^(AU$2-1),0)</f>
        <v>0</v>
      </c>
      <c r="AV117" s="11" t="n">
        <f aca="false">IF(AND(AV$1&gt;=Units!$Q116,MOD(AV$1-Units!$Q116,12)=0),IF(AND(Units!$L116=1,AV$1=Units!$Q116),1,Inputs!$B$15)*Inputs!$B$16*(1+Inputs!$B$11)^(AV$2-1),0)</f>
        <v>0</v>
      </c>
      <c r="AW117" s="11" t="n">
        <f aca="false">IF(AND(AW$1&gt;=Units!$Q116,MOD(AW$1-Units!$Q116,12)=0),IF(AND(Units!$L116=1,AW$1=Units!$Q116),1,Inputs!$B$15)*Inputs!$B$16*(1+Inputs!$B$11)^(AW$2-1),0)</f>
        <v>0</v>
      </c>
      <c r="AX117" s="11" t="n">
        <f aca="false">IF(AND(AX$1&gt;=Units!$Q116,MOD(AX$1-Units!$Q116,12)=0),IF(AND(Units!$L116=1,AX$1=Units!$Q116),1,Inputs!$B$15)*Inputs!$B$16*(1+Inputs!$B$11)^(AX$2-1),0)</f>
        <v>0</v>
      </c>
      <c r="AY117" s="11" t="n">
        <f aca="false">IF(AND(AY$1&gt;=Units!$Q116,MOD(AY$1-Units!$Q116,12)=0),IF(AND(Units!$L116=1,AY$1=Units!$Q116),1,Inputs!$B$15)*Inputs!$B$16*(1+Inputs!$B$11)^(AY$2-1),0)</f>
        <v>0</v>
      </c>
      <c r="AZ117" s="11" t="n">
        <f aca="false">IF(AND(AZ$1&gt;=Units!$Q116,MOD(AZ$1-Units!$Q116,12)=0),IF(AND(Units!$L116=1,AZ$1=Units!$Q116),1,Inputs!$B$15)*Inputs!$B$16*(1+Inputs!$B$11)^(AZ$2-1),0)</f>
        <v>0</v>
      </c>
      <c r="BA117" s="11" t="n">
        <f aca="false">IF(AND(BA$1&gt;=Units!$Q116,MOD(BA$1-Units!$Q116,12)=0),IF(AND(Units!$L116=1,BA$1=Units!$Q116),1,Inputs!$B$15)*Inputs!$B$16*(1+Inputs!$B$11)^(BA$2-1),0)</f>
        <v>0</v>
      </c>
      <c r="BB117" s="11" t="n">
        <f aca="false">IF(AND(BB$1&gt;=Units!$Q116,MOD(BB$1-Units!$Q116,12)=0),IF(AND(Units!$L116=1,BB$1=Units!$Q116),1,Inputs!$B$15)*Inputs!$B$16*(1+Inputs!$B$11)^(BB$2-1),0)</f>
        <v>0</v>
      </c>
      <c r="BC117" s="11" t="n">
        <f aca="false">IF(AND(BC$1&gt;=Units!$Q116,MOD(BC$1-Units!$Q116,12)=0),IF(AND(Units!$L116=1,BC$1=Units!$Q116),1,Inputs!$B$15)*Inputs!$B$16*(1+Inputs!$B$11)^(BC$2-1),0)</f>
        <v>562.754405</v>
      </c>
      <c r="BD117" s="11" t="n">
        <f aca="false">IF(AND(BD$1&gt;=Units!$Q116,MOD(BD$1-Units!$Q116,12)=0),IF(AND(Units!$L116=1,BD$1=Units!$Q116),1,Inputs!$B$15)*Inputs!$B$16*(1+Inputs!$B$11)^(BD$2-1),0)</f>
        <v>0</v>
      </c>
      <c r="BE117" s="11" t="n">
        <f aca="false">IF(AND(BE$1&gt;=Units!$Q116,MOD(BE$1-Units!$Q116,12)=0),IF(AND(Units!$L116=1,BE$1=Units!$Q116),1,Inputs!$B$15)*Inputs!$B$16*(1+Inputs!$B$11)^(BE$2-1),0)</f>
        <v>0</v>
      </c>
      <c r="BF117" s="11" t="n">
        <f aca="false">IF(AND(BF$1&gt;=Units!$Q116,MOD(BF$1-Units!$Q116,12)=0),IF(AND(Units!$L116=1,BF$1=Units!$Q116),1,Inputs!$B$15)*Inputs!$B$16*(1+Inputs!$B$11)^(BF$2-1),0)</f>
        <v>0</v>
      </c>
      <c r="BG117" s="11" t="n">
        <f aca="false">IF(AND(BG$1&gt;=Units!$Q116,MOD(BG$1-Units!$Q116,12)=0),IF(AND(Units!$L116=1,BG$1=Units!$Q116),1,Inputs!$B$15)*Inputs!$B$16*(1+Inputs!$B$11)^(BG$2-1),0)</f>
        <v>0</v>
      </c>
      <c r="BH117" s="11" t="n">
        <f aca="false">IF(AND(BH$1&gt;=Units!$Q116,MOD(BH$1-Units!$Q116,12)=0),IF(AND(Units!$L116=1,BH$1=Units!$Q116),1,Inputs!$B$15)*Inputs!$B$16*(1+Inputs!$B$11)^(BH$2-1),0)</f>
        <v>0</v>
      </c>
      <c r="BI117" s="11" t="n">
        <f aca="false">IF(AND(BI$1&gt;=Units!$Q116,MOD(BI$1-Units!$Q116,12)=0),IF(AND(Units!$L116=1,BI$1=Units!$Q116),1,Inputs!$B$15)*Inputs!$B$16*(1+Inputs!$B$11)^(BI$2-1),0)</f>
        <v>0</v>
      </c>
      <c r="BJ117" s="11" t="n">
        <f aca="false">IF(AND(BJ$1&gt;=Units!$Q116,MOD(BJ$1-Units!$Q116,12)=0),IF(AND(Units!$L116=1,BJ$1=Units!$Q116),1,Inputs!$B$15)*Inputs!$B$16*(1+Inputs!$B$11)^(BJ$2-1),0)</f>
        <v>0</v>
      </c>
      <c r="BK117" s="11" t="n">
        <f aca="false">IF(AND(BK$1&gt;=Units!$Q116,MOD(BK$1-Units!$Q116,12)=0),IF(AND(Units!$L116=1,BK$1=Units!$Q116),1,Inputs!$B$15)*Inputs!$B$16*(1+Inputs!$B$11)^(BK$2-1),0)</f>
        <v>0</v>
      </c>
      <c r="BL117" s="11" t="n">
        <f aca="false">IF(AND(BL$1&gt;=Units!$Q116,MOD(BL$1-Units!$Q116,12)=0),IF(AND(Units!$L116=1,BL$1=Units!$Q116),1,Inputs!$B$15)*Inputs!$B$16*(1+Inputs!$B$11)^(BL$2-1),0)</f>
        <v>0</v>
      </c>
      <c r="BM117" s="11" t="n">
        <f aca="false">IF(AND(BM$1&gt;=Units!$Q116,MOD(BM$1-Units!$Q116,12)=0),IF(AND(Units!$L116=1,BM$1=Units!$Q116),1,Inputs!$B$15)*Inputs!$B$16*(1+Inputs!$B$11)^(BM$2-1),0)</f>
        <v>0</v>
      </c>
      <c r="BN117" s="11" t="n">
        <f aca="false">IF(AND(BN$1&gt;=Units!$Q116,MOD(BN$1-Units!$Q116,12)=0),IF(AND(Units!$L116=1,BN$1=Units!$Q116),1,Inputs!$B$15)*Inputs!$B$16*(1+Inputs!$B$11)^(BN$2-1),0)</f>
        <v>0</v>
      </c>
      <c r="BO117" s="11" t="n">
        <f aca="false">IF(AND(BO$1&gt;=Units!$Q116,MOD(BO$1-Units!$Q116,12)=0),IF(AND(Units!$L116=1,BO$1=Units!$Q116),1,Inputs!$B$15)*Inputs!$B$16*(1+Inputs!$B$11)^(BO$2-1),0)</f>
        <v>579.63703715</v>
      </c>
      <c r="BP117" s="11" t="n">
        <f aca="false">IF(AND(BP$1&gt;=Units!$Q116,MOD(BP$1-Units!$Q116,12)=0),IF(AND(Units!$L116=1,BP$1=Units!$Q116),1,Inputs!$B$15)*Inputs!$B$16*(1+Inputs!$B$11)^(BP$2-1),0)</f>
        <v>0</v>
      </c>
      <c r="BQ117" s="11" t="n">
        <f aca="false">IF(AND(BQ$1&gt;=Units!$Q116,MOD(BQ$1-Units!$Q116,12)=0),IF(AND(Units!$L116=1,BQ$1=Units!$Q116),1,Inputs!$B$15)*Inputs!$B$16*(1+Inputs!$B$11)^(BQ$2-1),0)</f>
        <v>0</v>
      </c>
      <c r="BR117" s="11" t="n">
        <f aca="false">IF(AND(BR$1&gt;=Units!$Q116,MOD(BR$1-Units!$Q116,12)=0),IF(AND(Units!$L116=1,BR$1=Units!$Q116),1,Inputs!$B$15)*Inputs!$B$16*(1+Inputs!$B$11)^(BR$2-1),0)</f>
        <v>0</v>
      </c>
      <c r="BS117" s="11" t="n">
        <f aca="false">IF(AND(BS$1&gt;=Units!$Q116,MOD(BS$1-Units!$Q116,12)=0),IF(AND(Units!$L116=1,BS$1=Units!$Q116),1,Inputs!$B$15)*Inputs!$B$16*(1+Inputs!$B$11)^(BS$2-1),0)</f>
        <v>0</v>
      </c>
      <c r="BT117" s="11" t="n">
        <f aca="false">IF(AND(BT$1&gt;=Units!$Q116,MOD(BT$1-Units!$Q116,12)=0),IF(AND(Units!$L116=1,BT$1=Units!$Q116),1,Inputs!$B$15)*Inputs!$B$16*(1+Inputs!$B$11)^(BT$2-1),0)</f>
        <v>0</v>
      </c>
      <c r="BU117" s="11" t="n">
        <f aca="false">IF(AND(BU$1&gt;=Units!$Q116,MOD(BU$1-Units!$Q116,12)=0),IF(AND(Units!$L116=1,BU$1=Units!$Q116),1,Inputs!$B$15)*Inputs!$B$16*(1+Inputs!$B$11)^(BU$2-1),0)</f>
        <v>0</v>
      </c>
      <c r="BV117" s="11" t="n">
        <f aca="false">IF(AND(BV$1&gt;=Units!$Q116,MOD(BV$1-Units!$Q116,12)=0),IF(AND(Units!$L116=1,BV$1=Units!$Q116),1,Inputs!$B$15)*Inputs!$B$16*(1+Inputs!$B$11)^(BV$2-1),0)</f>
        <v>0</v>
      </c>
      <c r="BW117" s="11" t="n">
        <f aca="false">IF(AND(BW$1&gt;=Units!$Q116,MOD(BW$1-Units!$Q116,12)=0),IF(AND(Units!$L116=1,BW$1=Units!$Q116),1,Inputs!$B$15)*Inputs!$B$16*(1+Inputs!$B$11)^(BW$2-1),0)</f>
        <v>0</v>
      </c>
      <c r="BX117" s="11" t="n">
        <f aca="false">IF(AND(BX$1&gt;=Units!$Q116,MOD(BX$1-Units!$Q116,12)=0),IF(AND(Units!$L116=1,BX$1=Units!$Q116),1,Inputs!$B$15)*Inputs!$B$16*(1+Inputs!$B$11)^(BX$2-1),0)</f>
        <v>0</v>
      </c>
      <c r="BY117" s="11" t="n">
        <f aca="false">IF(AND(BY$1&gt;=Units!$Q116,MOD(BY$1-Units!$Q116,12)=0),IF(AND(Units!$L116=1,BY$1=Units!$Q116),1,Inputs!$B$15)*Inputs!$B$16*(1+Inputs!$B$11)^(BY$2-1),0)</f>
        <v>0</v>
      </c>
      <c r="BZ117" s="11" t="n">
        <f aca="false">IF(AND(BZ$1&gt;=Units!$Q116,MOD(BZ$1-Units!$Q116,12)=0),IF(AND(Units!$L116=1,BZ$1=Units!$Q116),1,Inputs!$B$15)*Inputs!$B$16*(1+Inputs!$B$11)^(BZ$2-1),0)</f>
        <v>0</v>
      </c>
      <c r="CA117" s="11" t="n">
        <f aca="false">IF(AND(CA$1&gt;=Units!$Q116,MOD(CA$1-Units!$Q116,12)=0),IF(AND(Units!$L116=1,CA$1=Units!$Q116),1,Inputs!$B$15)*Inputs!$B$16*(1+Inputs!$B$11)^(CA$2-1),0)</f>
        <v>597.0261482645</v>
      </c>
      <c r="CB117" s="11" t="n">
        <f aca="false">IF(AND(CB$1&gt;=Units!$Q116,MOD(CB$1-Units!$Q116,12)=0),IF(AND(Units!$L116=1,CB$1=Units!$Q116),1,Inputs!$B$15)*Inputs!$B$16*(1+Inputs!$B$11)^(CB$2-1),0)</f>
        <v>0</v>
      </c>
      <c r="CC117" s="11" t="n">
        <f aca="false">IF(AND(CC$1&gt;=Units!$Q116,MOD(CC$1-Units!$Q116,12)=0),IF(AND(Units!$L116=1,CC$1=Units!$Q116),1,Inputs!$B$15)*Inputs!$B$16*(1+Inputs!$B$11)^(CC$2-1),0)</f>
        <v>0</v>
      </c>
      <c r="CD117" s="11" t="n">
        <f aca="false">IF(AND(CD$1&gt;=Units!$Q116,MOD(CD$1-Units!$Q116,12)=0),IF(AND(Units!$L116=1,CD$1=Units!$Q116),1,Inputs!$B$15)*Inputs!$B$16*(1+Inputs!$B$11)^(CD$2-1),0)</f>
        <v>0</v>
      </c>
      <c r="CE117" s="11" t="n">
        <f aca="false">IF(AND(CE$1&gt;=Units!$Q116,MOD(CE$1-Units!$Q116,12)=0),IF(AND(Units!$L116=1,CE$1=Units!$Q116),1,Inputs!$B$15)*Inputs!$B$16*(1+Inputs!$B$11)^(CE$2-1),0)</f>
        <v>0</v>
      </c>
      <c r="CF117" s="11" t="n">
        <f aca="false">IF(AND(CF$1&gt;=Units!$Q116,MOD(CF$1-Units!$Q116,12)=0),IF(AND(Units!$L116=1,CF$1=Units!$Q116),1,Inputs!$B$15)*Inputs!$B$16*(1+Inputs!$B$11)^(CF$2-1),0)</f>
        <v>0</v>
      </c>
      <c r="CG117" s="11" t="n">
        <f aca="false">IF(AND(CG$1&gt;=Units!$Q116,MOD(CG$1-Units!$Q116,12)=0),IF(AND(Units!$L116=1,CG$1=Units!$Q116),1,Inputs!$B$15)*Inputs!$B$16*(1+Inputs!$B$11)^(CG$2-1),0)</f>
        <v>0</v>
      </c>
      <c r="CH117" s="11" t="n">
        <f aca="false">IF(AND(CH$1&gt;=Units!$Q116,MOD(CH$1-Units!$Q116,12)=0),IF(AND(Units!$L116=1,CH$1=Units!$Q116),1,Inputs!$B$15)*Inputs!$B$16*(1+Inputs!$B$11)^(CH$2-1),0)</f>
        <v>0</v>
      </c>
      <c r="CI117" s="11" t="n">
        <f aca="false">IF(AND(CI$1&gt;=Units!$Q116,MOD(CI$1-Units!$Q116,12)=0),IF(AND(Units!$L116=1,CI$1=Units!$Q116),1,Inputs!$B$15)*Inputs!$B$16*(1+Inputs!$B$11)^(CI$2-1),0)</f>
        <v>0</v>
      </c>
      <c r="CJ117" s="11" t="n">
        <f aca="false">IF(AND(CJ$1&gt;=Units!$Q116,MOD(CJ$1-Units!$Q116,12)=0),IF(AND(Units!$L116=1,CJ$1=Units!$Q116),1,Inputs!$B$15)*Inputs!$B$16*(1+Inputs!$B$11)^(CJ$2-1),0)</f>
        <v>0</v>
      </c>
      <c r="CK117" s="11" t="n">
        <f aca="false">IF(AND(CK$1&gt;=Units!$Q116,MOD(CK$1-Units!$Q116,12)=0),IF(AND(Units!$L116=1,CK$1=Units!$Q116),1,Inputs!$B$15)*Inputs!$B$16*(1+Inputs!$B$11)^(CK$2-1),0)</f>
        <v>0</v>
      </c>
      <c r="CL117" s="11" t="n">
        <f aca="false">IF(AND(CL$1&gt;=Units!$Q116,MOD(CL$1-Units!$Q116,12)=0),IF(AND(Units!$L116=1,CL$1=Units!$Q116),1,Inputs!$B$15)*Inputs!$B$16*(1+Inputs!$B$11)^(CL$2-1),0)</f>
        <v>0</v>
      </c>
      <c r="CM117" s="11" t="n">
        <f aca="false">IF(AND(CM$1&gt;=Units!$Q116,MOD(CM$1-Units!$Q116,12)=0),IF(AND(Units!$L116=1,CM$1=Units!$Q116),1,Inputs!$B$15)*Inputs!$B$16*(1+Inputs!$B$11)^(CM$2-1),0)</f>
        <v>614.936932712435</v>
      </c>
      <c r="CN117" s="11" t="n">
        <f aca="false">IF(AND(CN$1&gt;=Units!$Q116,MOD(CN$1-Units!$Q116,12)=0),IF(AND(Units!$L116=1,CN$1=Units!$Q116),1,Inputs!$B$15)*Inputs!$B$16*(1+Inputs!$B$11)^(CN$2-1),0)</f>
        <v>0</v>
      </c>
      <c r="CO117" s="11" t="n">
        <f aca="false">IF(AND(CO$1&gt;=Units!$Q116,MOD(CO$1-Units!$Q116,12)=0),IF(AND(Units!$L116=1,CO$1=Units!$Q116),1,Inputs!$B$15)*Inputs!$B$16*(1+Inputs!$B$11)^(CO$2-1),0)</f>
        <v>0</v>
      </c>
      <c r="CP117" s="11" t="n">
        <f aca="false">IF(AND(CP$1&gt;=Units!$Q116,MOD(CP$1-Units!$Q116,12)=0),IF(AND(Units!$L116=1,CP$1=Units!$Q116),1,Inputs!$B$15)*Inputs!$B$16*(1+Inputs!$B$11)^(CP$2-1),0)</f>
        <v>0</v>
      </c>
      <c r="CQ117" s="11" t="n">
        <f aca="false">IF(AND(CQ$1&gt;=Units!$Q116,MOD(CQ$1-Units!$Q116,12)=0),IF(AND(Units!$L116=1,CQ$1=Units!$Q116),1,Inputs!$B$15)*Inputs!$B$16*(1+Inputs!$B$11)^(CQ$2-1),0)</f>
        <v>0</v>
      </c>
      <c r="CR117" s="11" t="n">
        <f aca="false">IF(AND(CR$1&gt;=Units!$Q116,MOD(CR$1-Units!$Q116,12)=0),IF(AND(Units!$L116=1,CR$1=Units!$Q116),1,Inputs!$B$15)*Inputs!$B$16*(1+Inputs!$B$11)^(CR$2-1),0)</f>
        <v>0</v>
      </c>
      <c r="CS117" s="11" t="n">
        <f aca="false">IF(AND(CS$1&gt;=Units!$Q116,MOD(CS$1-Units!$Q116,12)=0),IF(AND(Units!$L116=1,CS$1=Units!$Q116),1,Inputs!$B$15)*Inputs!$B$16*(1+Inputs!$B$11)^(CS$2-1),0)</f>
        <v>0</v>
      </c>
      <c r="CT117" s="11" t="n">
        <f aca="false">IF(AND(CT$1&gt;=Units!$Q116,MOD(CT$1-Units!$Q116,12)=0),IF(AND(Units!$L116=1,CT$1=Units!$Q116),1,Inputs!$B$15)*Inputs!$B$16*(1+Inputs!$B$11)^(CT$2-1),0)</f>
        <v>0</v>
      </c>
      <c r="CU117" s="11" t="n">
        <f aca="false">IF(AND(CU$1&gt;=Units!$Q116,MOD(CU$1-Units!$Q116,12)=0),IF(AND(Units!$L116=1,CU$1=Units!$Q116),1,Inputs!$B$15)*Inputs!$B$16*(1+Inputs!$B$11)^(CU$2-1),0)</f>
        <v>0</v>
      </c>
      <c r="CV117" s="11" t="n">
        <f aca="false">IF(AND(CV$1&gt;=Units!$Q116,MOD(CV$1-Units!$Q116,12)=0),IF(AND(Units!$L116=1,CV$1=Units!$Q116),1,Inputs!$B$15)*Inputs!$B$16*(1+Inputs!$B$11)^(CV$2-1),0)</f>
        <v>0</v>
      </c>
      <c r="CW117" s="11" t="n">
        <f aca="false">IF(AND(CW$1&gt;=Units!$Q116,MOD(CW$1-Units!$Q116,12)=0),IF(AND(Units!$L116=1,CW$1=Units!$Q116),1,Inputs!$B$15)*Inputs!$B$16*(1+Inputs!$B$11)^(CW$2-1),0)</f>
        <v>0</v>
      </c>
      <c r="CX117" s="11" t="n">
        <f aca="false">IF(AND(CX$1&gt;=Units!$Q116,MOD(CX$1-Units!$Q116,12)=0),IF(AND(Units!$L116=1,CX$1=Units!$Q116),1,Inputs!$B$15)*Inputs!$B$16*(1+Inputs!$B$11)^(CX$2-1),0)</f>
        <v>0</v>
      </c>
      <c r="CY117" s="11" t="n">
        <f aca="false">IF(AND(CY$1&gt;=Units!$Q116,MOD(CY$1-Units!$Q116,12)=0),IF(AND(Units!$L116=1,CY$1=Units!$Q116),1,Inputs!$B$15)*Inputs!$B$16*(1+Inputs!$B$11)^(CY$2-1),0)</f>
        <v>633.385040693808</v>
      </c>
      <c r="CZ117" s="11" t="n">
        <f aca="false">IF(AND(CZ$1&gt;=Units!$Q116,MOD(CZ$1-Units!$Q116,12)=0),IF(AND(Units!$L116=1,CZ$1=Units!$Q116),1,Inputs!$B$15)*Inputs!$B$16*(1+Inputs!$B$11)^(CZ$2-1),0)</f>
        <v>0</v>
      </c>
      <c r="DA117" s="11" t="n">
        <f aca="false">IF(AND(DA$1&gt;=Units!$Q116,MOD(DA$1-Units!$Q116,12)=0),IF(AND(Units!$L116=1,DA$1=Units!$Q116),1,Inputs!$B$15)*Inputs!$B$16*(1+Inputs!$B$11)^(DA$2-1),0)</f>
        <v>0</v>
      </c>
      <c r="DB117" s="11" t="n">
        <f aca="false">IF(AND(DB$1&gt;=Units!$Q116,MOD(DB$1-Units!$Q116,12)=0),IF(AND(Units!$L116=1,DB$1=Units!$Q116),1,Inputs!$B$15)*Inputs!$B$16*(1+Inputs!$B$11)^(DB$2-1),0)</f>
        <v>0</v>
      </c>
      <c r="DC117" s="11" t="n">
        <f aca="false">IF(AND(DC$1&gt;=Units!$Q116,MOD(DC$1-Units!$Q116,12)=0),IF(AND(Units!$L116=1,DC$1=Units!$Q116),1,Inputs!$B$15)*Inputs!$B$16*(1+Inputs!$B$11)^(DC$2-1),0)</f>
        <v>0</v>
      </c>
      <c r="DD117" s="11" t="n">
        <f aca="false">IF(AND(DD$1&gt;=Units!$Q116,MOD(DD$1-Units!$Q116,12)=0),IF(AND(Units!$L116=1,DD$1=Units!$Q116),1,Inputs!$B$15)*Inputs!$B$16*(1+Inputs!$B$11)^(DD$2-1),0)</f>
        <v>0</v>
      </c>
      <c r="DE117" s="11" t="n">
        <f aca="false">IF(AND(DE$1&gt;=Units!$Q116,MOD(DE$1-Units!$Q116,12)=0),IF(AND(Units!$L116=1,DE$1=Units!$Q116),1,Inputs!$B$15)*Inputs!$B$16*(1+Inputs!$B$11)^(DE$2-1),0)</f>
        <v>0</v>
      </c>
      <c r="DF117" s="11" t="n">
        <f aca="false">IF(AND(DF$1&gt;=Units!$Q116,MOD(DF$1-Units!$Q116,12)=0),IF(AND(Units!$L116=1,DF$1=Units!$Q116),1,Inputs!$B$15)*Inputs!$B$16*(1+Inputs!$B$11)^(DF$2-1),0)</f>
        <v>0</v>
      </c>
      <c r="DG117" s="11" t="n">
        <f aca="false">IF(AND(DG$1&gt;=Units!$Q116,MOD(DG$1-Units!$Q116,12)=0),IF(AND(Units!$L116=1,DG$1=Units!$Q116),1,Inputs!$B$15)*Inputs!$B$16*(1+Inputs!$B$11)^(DG$2-1),0)</f>
        <v>0</v>
      </c>
      <c r="DH117" s="11" t="n">
        <f aca="false">IF(AND(DH$1&gt;=Units!$Q116,MOD(DH$1-Units!$Q116,12)=0),IF(AND(Units!$L116=1,DH$1=Units!$Q116),1,Inputs!$B$15)*Inputs!$B$16*(1+Inputs!$B$11)^(DH$2-1),0)</f>
        <v>0</v>
      </c>
      <c r="DI117" s="11" t="n">
        <f aca="false">IF(AND(DI$1&gt;=Units!$Q116,MOD(DI$1-Units!$Q116,12)=0),IF(AND(Units!$L116=1,DI$1=Units!$Q116),1,Inputs!$B$15)*Inputs!$B$16*(1+Inputs!$B$11)^(DI$2-1),0)</f>
        <v>0</v>
      </c>
      <c r="DJ117" s="11" t="n">
        <f aca="false">IF(AND(DJ$1&gt;=Units!$Q116,MOD(DJ$1-Units!$Q116,12)=0),IF(AND(Units!$L116=1,DJ$1=Units!$Q116),1,Inputs!$B$15)*Inputs!$B$16*(1+Inputs!$B$11)^(DJ$2-1),0)</f>
        <v>0</v>
      </c>
      <c r="DK117" s="11" t="n">
        <f aca="false">IF(AND(DK$1&gt;=Units!$Q116,MOD(DK$1-Units!$Q116,12)=0),IF(AND(Units!$L116=1,DK$1=Units!$Q116),1,Inputs!$B$15)*Inputs!$B$16*(1+Inputs!$B$11)^(DK$2-1),0)</f>
        <v>652.386591914623</v>
      </c>
      <c r="DL117" s="11" t="n">
        <f aca="false">IF(AND(DL$1&gt;=Units!$Q116,MOD(DL$1-Units!$Q116,12)=0),IF(AND(Units!$L116=1,DL$1=Units!$Q116),1,Inputs!$B$15)*Inputs!$B$16*(1+Inputs!$B$11)^(DL$2-1),0)</f>
        <v>0</v>
      </c>
      <c r="DM117" s="11" t="n">
        <f aca="false">IF(AND(DM$1&gt;=Units!$Q116,MOD(DM$1-Units!$Q116,12)=0),IF(AND(Units!$L116=1,DM$1=Units!$Q116),1,Inputs!$B$15)*Inputs!$B$16*(1+Inputs!$B$11)^(DM$2-1),0)</f>
        <v>0</v>
      </c>
      <c r="DN117" s="11" t="n">
        <f aca="false">IF(AND(DN$1&gt;=Units!$Q116,MOD(DN$1-Units!$Q116,12)=0),IF(AND(Units!$L116=1,DN$1=Units!$Q116),1,Inputs!$B$15)*Inputs!$B$16*(1+Inputs!$B$11)^(DN$2-1),0)</f>
        <v>0</v>
      </c>
      <c r="DO117" s="11" t="n">
        <f aca="false">IF(AND(DO$1&gt;=Units!$Q116,MOD(DO$1-Units!$Q116,12)=0),IF(AND(Units!$L116=1,DO$1=Units!$Q116),1,Inputs!$B$15)*Inputs!$B$16*(1+Inputs!$B$11)^(DO$2-1),0)</f>
        <v>0</v>
      </c>
      <c r="DP117" s="11" t="n">
        <f aca="false">IF(AND(DP$1&gt;=Units!$Q116,MOD(DP$1-Units!$Q116,12)=0),IF(AND(Units!$L116=1,DP$1=Units!$Q116),1,Inputs!$B$15)*Inputs!$B$16*(1+Inputs!$B$11)^(DP$2-1),0)</f>
        <v>0</v>
      </c>
      <c r="DQ117" s="11" t="n">
        <f aca="false">IF(AND(DQ$1&gt;=Units!$Q116,MOD(DQ$1-Units!$Q116,12)=0),IF(AND(Units!$L116=1,DQ$1=Units!$Q116),1,Inputs!$B$15)*Inputs!$B$16*(1+Inputs!$B$11)^(DQ$2-1),0)</f>
        <v>0</v>
      </c>
      <c r="DR117" s="11" t="n">
        <f aca="false">IF(AND(DR$1&gt;=Units!$Q116,MOD(DR$1-Units!$Q116,12)=0),IF(AND(Units!$L116=1,DR$1=Units!$Q116),1,Inputs!$B$15)*Inputs!$B$16*(1+Inputs!$B$11)^(DR$2-1),0)</f>
        <v>0</v>
      </c>
      <c r="DS117" s="11" t="n">
        <f aca="false">IF(AND(DS$1&gt;=Units!$Q116,MOD(DS$1-Units!$Q116,12)=0),IF(AND(Units!$L116=1,DS$1=Units!$Q116),1,Inputs!$B$15)*Inputs!$B$16*(1+Inputs!$B$11)^(DS$2-1),0)</f>
        <v>0</v>
      </c>
      <c r="DT117" s="11" t="n">
        <f aca="false">IF(AND(DT$1&gt;=Units!$Q116,MOD(DT$1-Units!$Q116,12)=0),IF(AND(Units!$L116=1,DT$1=Units!$Q116),1,Inputs!$B$15)*Inputs!$B$16*(1+Inputs!$B$11)^(DT$2-1),0)</f>
        <v>0</v>
      </c>
      <c r="DU117" s="11" t="n">
        <f aca="false">IF(AND(DU$1&gt;=Units!$Q116,MOD(DU$1-Units!$Q116,12)=0),IF(AND(Units!$L116=1,DU$1=Units!$Q116),1,Inputs!$B$15)*Inputs!$B$16*(1+Inputs!$B$11)^(DU$2-1),0)</f>
        <v>0</v>
      </c>
      <c r="DV117" s="11" t="n">
        <f aca="false">IF(AND(DV$1&gt;=Units!$Q116,MOD(DV$1-Units!$Q116,12)=0),IF(AND(Units!$L116=1,DV$1=Units!$Q116),1,Inputs!$B$15)*Inputs!$B$16*(1+Inputs!$B$11)^(DV$2-1),0)</f>
        <v>0</v>
      </c>
      <c r="DW117" s="11" t="n">
        <f aca="false">IF(AND(DW$1&gt;=Units!$Q116,MOD(DW$1-Units!$Q116,12)=0),IF(AND(Units!$L116=1,DW$1=Units!$Q116),1,Inputs!$B$15)*Inputs!$B$16*(1+Inputs!$B$11)^(DW$2-1),0)</f>
        <v>671.958189672061</v>
      </c>
      <c r="DX117" s="11" t="n">
        <f aca="false">IF(AND(DX$1&gt;=Units!$Q116,MOD(DX$1-Units!$Q116,12)=0),IF(AND(Units!$L116=1,DX$1=Units!$Q116),1,Inputs!$B$15)*Inputs!$B$16*(1+Inputs!$B$11)^(DX$2-1),0)</f>
        <v>0</v>
      </c>
      <c r="DY117" s="11" t="n">
        <f aca="false">IF(AND(DY$1&gt;=Units!$Q116,MOD(DY$1-Units!$Q116,12)=0),IF(AND(Units!$L116=1,DY$1=Units!$Q116),1,Inputs!$B$15)*Inputs!$B$16*(1+Inputs!$B$11)^(DY$2-1),0)</f>
        <v>0</v>
      </c>
      <c r="DZ117" s="11" t="n">
        <f aca="false">IF(AND(DZ$1&gt;=Units!$Q116,MOD(DZ$1-Units!$Q116,12)=0),IF(AND(Units!$L116=1,DZ$1=Units!$Q116),1,Inputs!$B$15)*Inputs!$B$16*(1+Inputs!$B$11)^(DZ$2-1),0)</f>
        <v>0</v>
      </c>
      <c r="EA117" s="11" t="n">
        <f aca="false">IF(AND(EA$1&gt;=Units!$Q116,MOD(EA$1-Units!$Q116,12)=0),IF(AND(Units!$L116=1,EA$1=Units!$Q116),1,Inputs!$B$15)*Inputs!$B$16*(1+Inputs!$B$11)^(EA$2-1),0)</f>
        <v>0</v>
      </c>
      <c r="EB117" s="11" t="n">
        <f aca="false">IF(AND(EB$1&gt;=Units!$Q116,MOD(EB$1-Units!$Q116,12)=0),IF(AND(Units!$L116=1,EB$1=Units!$Q116),1,Inputs!$B$15)*Inputs!$B$16*(1+Inputs!$B$11)^(EB$2-1),0)</f>
        <v>0</v>
      </c>
      <c r="EC117" s="11" t="n">
        <f aca="false">IF(AND(EC$1&gt;=Units!$Q116,MOD(EC$1-Units!$Q116,12)=0),IF(AND(Units!$L116=1,EC$1=Units!$Q116),1,Inputs!$B$15)*Inputs!$B$16*(1+Inputs!$B$11)^(EC$2-1),0)</f>
        <v>0</v>
      </c>
      <c r="ED117" s="11" t="n">
        <f aca="false">IF(AND(ED$1&gt;=Units!$Q116,MOD(ED$1-Units!$Q116,12)=0),IF(AND(Units!$L116=1,ED$1=Units!$Q116),1,Inputs!$B$15)*Inputs!$B$16*(1+Inputs!$B$11)^(ED$2-1),0)</f>
        <v>0</v>
      </c>
    </row>
    <row r="118" customFormat="false" ht="15" hidden="false" customHeight="false" outlineLevel="0" collapsed="false">
      <c r="A118" s="22" t="n">
        <f aca="false">Units!A117</f>
        <v>426</v>
      </c>
      <c r="B118" s="23"/>
      <c r="C118" s="11" t="n">
        <f aca="false">IF(AND(C$1&gt;=Units!$Q117,MOD(C$1-Units!$Q117,12)=0),IF(AND(Units!$L117=1,C$1=Units!$Q117),1,Inputs!$B$15)*Inputs!$B$16*(1+Inputs!$B$11)^(C$2-1),0)</f>
        <v>0</v>
      </c>
      <c r="D118" s="11" t="n">
        <f aca="false">IF(AND(D$1&gt;=Units!$Q117,MOD(D$1-Units!$Q117,12)=0),IF(AND(Units!$L117=1,D$1=Units!$Q117),1,Inputs!$B$15)*Inputs!$B$16*(1+Inputs!$B$11)^(D$2-1),0)</f>
        <v>0</v>
      </c>
      <c r="E118" s="11" t="n">
        <f aca="false">IF(AND(E$1&gt;=Units!$Q117,MOD(E$1-Units!$Q117,12)=0),IF(AND(Units!$L117=1,E$1=Units!$Q117),1,Inputs!$B$15)*Inputs!$B$16*(1+Inputs!$B$11)^(E$2-1),0)</f>
        <v>500</v>
      </c>
      <c r="F118" s="11" t="n">
        <f aca="false">IF(AND(F$1&gt;=Units!$Q117,MOD(F$1-Units!$Q117,12)=0),IF(AND(Units!$L117=1,F$1=Units!$Q117),1,Inputs!$B$15)*Inputs!$B$16*(1+Inputs!$B$11)^(F$2-1),0)</f>
        <v>0</v>
      </c>
      <c r="G118" s="11" t="n">
        <f aca="false">IF(AND(G$1&gt;=Units!$Q117,MOD(G$1-Units!$Q117,12)=0),IF(AND(Units!$L117=1,G$1=Units!$Q117),1,Inputs!$B$15)*Inputs!$B$16*(1+Inputs!$B$11)^(G$2-1),0)</f>
        <v>0</v>
      </c>
      <c r="H118" s="11" t="n">
        <f aca="false">IF(AND(H$1&gt;=Units!$Q117,MOD(H$1-Units!$Q117,12)=0),IF(AND(Units!$L117=1,H$1=Units!$Q117),1,Inputs!$B$15)*Inputs!$B$16*(1+Inputs!$B$11)^(H$2-1),0)</f>
        <v>0</v>
      </c>
      <c r="I118" s="11" t="n">
        <f aca="false">IF(AND(I$1&gt;=Units!$Q117,MOD(I$1-Units!$Q117,12)=0),IF(AND(Units!$L117=1,I$1=Units!$Q117),1,Inputs!$B$15)*Inputs!$B$16*(1+Inputs!$B$11)^(I$2-1),0)</f>
        <v>0</v>
      </c>
      <c r="J118" s="11" t="n">
        <f aca="false">IF(AND(J$1&gt;=Units!$Q117,MOD(J$1-Units!$Q117,12)=0),IF(AND(Units!$L117=1,J$1=Units!$Q117),1,Inputs!$B$15)*Inputs!$B$16*(1+Inputs!$B$11)^(J$2-1),0)</f>
        <v>0</v>
      </c>
      <c r="K118" s="11" t="n">
        <f aca="false">IF(AND(K$1&gt;=Units!$Q117,MOD(K$1-Units!$Q117,12)=0),IF(AND(Units!$L117=1,K$1=Units!$Q117),1,Inputs!$B$15)*Inputs!$B$16*(1+Inputs!$B$11)^(K$2-1),0)</f>
        <v>0</v>
      </c>
      <c r="L118" s="11" t="n">
        <f aca="false">IF(AND(L$1&gt;=Units!$Q117,MOD(L$1-Units!$Q117,12)=0),IF(AND(Units!$L117=1,L$1=Units!$Q117),1,Inputs!$B$15)*Inputs!$B$16*(1+Inputs!$B$11)^(L$2-1),0)</f>
        <v>0</v>
      </c>
      <c r="M118" s="11" t="n">
        <f aca="false">IF(AND(M$1&gt;=Units!$Q117,MOD(M$1-Units!$Q117,12)=0),IF(AND(Units!$L117=1,M$1=Units!$Q117),1,Inputs!$B$15)*Inputs!$B$16*(1+Inputs!$B$11)^(M$2-1),0)</f>
        <v>0</v>
      </c>
      <c r="N118" s="11" t="n">
        <f aca="false">IF(AND(N$1&gt;=Units!$Q117,MOD(N$1-Units!$Q117,12)=0),IF(AND(Units!$L117=1,N$1=Units!$Q117),1,Inputs!$B$15)*Inputs!$B$16*(1+Inputs!$B$11)^(N$2-1),0)</f>
        <v>0</v>
      </c>
      <c r="O118" s="11" t="n">
        <f aca="false">IF(AND(O$1&gt;=Units!$Q117,MOD(O$1-Units!$Q117,12)=0),IF(AND(Units!$L117=1,O$1=Units!$Q117),1,Inputs!$B$15)*Inputs!$B$16*(1+Inputs!$B$11)^(O$2-1),0)</f>
        <v>0</v>
      </c>
      <c r="P118" s="11" t="n">
        <f aca="false">IF(AND(P$1&gt;=Units!$Q117,MOD(P$1-Units!$Q117,12)=0),IF(AND(Units!$L117=1,P$1=Units!$Q117),1,Inputs!$B$15)*Inputs!$B$16*(1+Inputs!$B$11)^(P$2-1),0)</f>
        <v>0</v>
      </c>
      <c r="Q118" s="11" t="n">
        <f aca="false">IF(AND(Q$1&gt;=Units!$Q117,MOD(Q$1-Units!$Q117,12)=0),IF(AND(Units!$L117=1,Q$1=Units!$Q117),1,Inputs!$B$15)*Inputs!$B$16*(1+Inputs!$B$11)^(Q$2-1),0)</f>
        <v>515</v>
      </c>
      <c r="R118" s="11" t="n">
        <f aca="false">IF(AND(R$1&gt;=Units!$Q117,MOD(R$1-Units!$Q117,12)=0),IF(AND(Units!$L117=1,R$1=Units!$Q117),1,Inputs!$B$15)*Inputs!$B$16*(1+Inputs!$B$11)^(R$2-1),0)</f>
        <v>0</v>
      </c>
      <c r="S118" s="11" t="n">
        <f aca="false">IF(AND(S$1&gt;=Units!$Q117,MOD(S$1-Units!$Q117,12)=0),IF(AND(Units!$L117=1,S$1=Units!$Q117),1,Inputs!$B$15)*Inputs!$B$16*(1+Inputs!$B$11)^(S$2-1),0)</f>
        <v>0</v>
      </c>
      <c r="T118" s="11" t="n">
        <f aca="false">IF(AND(T$1&gt;=Units!$Q117,MOD(T$1-Units!$Q117,12)=0),IF(AND(Units!$L117=1,T$1=Units!$Q117),1,Inputs!$B$15)*Inputs!$B$16*(1+Inputs!$B$11)^(T$2-1),0)</f>
        <v>0</v>
      </c>
      <c r="U118" s="11" t="n">
        <f aca="false">IF(AND(U$1&gt;=Units!$Q117,MOD(U$1-Units!$Q117,12)=0),IF(AND(Units!$L117=1,U$1=Units!$Q117),1,Inputs!$B$15)*Inputs!$B$16*(1+Inputs!$B$11)^(U$2-1),0)</f>
        <v>0</v>
      </c>
      <c r="V118" s="11" t="n">
        <f aca="false">IF(AND(V$1&gt;=Units!$Q117,MOD(V$1-Units!$Q117,12)=0),IF(AND(Units!$L117=1,V$1=Units!$Q117),1,Inputs!$B$15)*Inputs!$B$16*(1+Inputs!$B$11)^(V$2-1),0)</f>
        <v>0</v>
      </c>
      <c r="W118" s="11" t="n">
        <f aca="false">IF(AND(W$1&gt;=Units!$Q117,MOD(W$1-Units!$Q117,12)=0),IF(AND(Units!$L117=1,W$1=Units!$Q117),1,Inputs!$B$15)*Inputs!$B$16*(1+Inputs!$B$11)^(W$2-1),0)</f>
        <v>0</v>
      </c>
      <c r="X118" s="11" t="n">
        <f aca="false">IF(AND(X$1&gt;=Units!$Q117,MOD(X$1-Units!$Q117,12)=0),IF(AND(Units!$L117=1,X$1=Units!$Q117),1,Inputs!$B$15)*Inputs!$B$16*(1+Inputs!$B$11)^(X$2-1),0)</f>
        <v>0</v>
      </c>
      <c r="Y118" s="11" t="n">
        <f aca="false">IF(AND(Y$1&gt;=Units!$Q117,MOD(Y$1-Units!$Q117,12)=0),IF(AND(Units!$L117=1,Y$1=Units!$Q117),1,Inputs!$B$15)*Inputs!$B$16*(1+Inputs!$B$11)^(Y$2-1),0)</f>
        <v>0</v>
      </c>
      <c r="Z118" s="11" t="n">
        <f aca="false">IF(AND(Z$1&gt;=Units!$Q117,MOD(Z$1-Units!$Q117,12)=0),IF(AND(Units!$L117=1,Z$1=Units!$Q117),1,Inputs!$B$15)*Inputs!$B$16*(1+Inputs!$B$11)^(Z$2-1),0)</f>
        <v>0</v>
      </c>
      <c r="AA118" s="11" t="n">
        <f aca="false">IF(AND(AA$1&gt;=Units!$Q117,MOD(AA$1-Units!$Q117,12)=0),IF(AND(Units!$L117=1,AA$1=Units!$Q117),1,Inputs!$B$15)*Inputs!$B$16*(1+Inputs!$B$11)^(AA$2-1),0)</f>
        <v>0</v>
      </c>
      <c r="AB118" s="11" t="n">
        <f aca="false">IF(AND(AB$1&gt;=Units!$Q117,MOD(AB$1-Units!$Q117,12)=0),IF(AND(Units!$L117=1,AB$1=Units!$Q117),1,Inputs!$B$15)*Inputs!$B$16*(1+Inputs!$B$11)^(AB$2-1),0)</f>
        <v>0</v>
      </c>
      <c r="AC118" s="11" t="n">
        <f aca="false">IF(AND(AC$1&gt;=Units!$Q117,MOD(AC$1-Units!$Q117,12)=0),IF(AND(Units!$L117=1,AC$1=Units!$Q117),1,Inputs!$B$15)*Inputs!$B$16*(1+Inputs!$B$11)^(AC$2-1),0)</f>
        <v>530.45</v>
      </c>
      <c r="AD118" s="11" t="n">
        <f aca="false">IF(AND(AD$1&gt;=Units!$Q117,MOD(AD$1-Units!$Q117,12)=0),IF(AND(Units!$L117=1,AD$1=Units!$Q117),1,Inputs!$B$15)*Inputs!$B$16*(1+Inputs!$B$11)^(AD$2-1),0)</f>
        <v>0</v>
      </c>
      <c r="AE118" s="11" t="n">
        <f aca="false">IF(AND(AE$1&gt;=Units!$Q117,MOD(AE$1-Units!$Q117,12)=0),IF(AND(Units!$L117=1,AE$1=Units!$Q117),1,Inputs!$B$15)*Inputs!$B$16*(1+Inputs!$B$11)^(AE$2-1),0)</f>
        <v>0</v>
      </c>
      <c r="AF118" s="11" t="n">
        <f aca="false">IF(AND(AF$1&gt;=Units!$Q117,MOD(AF$1-Units!$Q117,12)=0),IF(AND(Units!$L117=1,AF$1=Units!$Q117),1,Inputs!$B$15)*Inputs!$B$16*(1+Inputs!$B$11)^(AF$2-1),0)</f>
        <v>0</v>
      </c>
      <c r="AG118" s="11" t="n">
        <f aca="false">IF(AND(AG$1&gt;=Units!$Q117,MOD(AG$1-Units!$Q117,12)=0),IF(AND(Units!$L117=1,AG$1=Units!$Q117),1,Inputs!$B$15)*Inputs!$B$16*(1+Inputs!$B$11)^(AG$2-1),0)</f>
        <v>0</v>
      </c>
      <c r="AH118" s="11" t="n">
        <f aca="false">IF(AND(AH$1&gt;=Units!$Q117,MOD(AH$1-Units!$Q117,12)=0),IF(AND(Units!$L117=1,AH$1=Units!$Q117),1,Inputs!$B$15)*Inputs!$B$16*(1+Inputs!$B$11)^(AH$2-1),0)</f>
        <v>0</v>
      </c>
      <c r="AI118" s="11" t="n">
        <f aca="false">IF(AND(AI$1&gt;=Units!$Q117,MOD(AI$1-Units!$Q117,12)=0),IF(AND(Units!$L117=1,AI$1=Units!$Q117),1,Inputs!$B$15)*Inputs!$B$16*(1+Inputs!$B$11)^(AI$2-1),0)</f>
        <v>0</v>
      </c>
      <c r="AJ118" s="11" t="n">
        <f aca="false">IF(AND(AJ$1&gt;=Units!$Q117,MOD(AJ$1-Units!$Q117,12)=0),IF(AND(Units!$L117=1,AJ$1=Units!$Q117),1,Inputs!$B$15)*Inputs!$B$16*(1+Inputs!$B$11)^(AJ$2-1),0)</f>
        <v>0</v>
      </c>
      <c r="AK118" s="11" t="n">
        <f aca="false">IF(AND(AK$1&gt;=Units!$Q117,MOD(AK$1-Units!$Q117,12)=0),IF(AND(Units!$L117=1,AK$1=Units!$Q117),1,Inputs!$B$15)*Inputs!$B$16*(1+Inputs!$B$11)^(AK$2-1),0)</f>
        <v>0</v>
      </c>
      <c r="AL118" s="11" t="n">
        <f aca="false">IF(AND(AL$1&gt;=Units!$Q117,MOD(AL$1-Units!$Q117,12)=0),IF(AND(Units!$L117=1,AL$1=Units!$Q117),1,Inputs!$B$15)*Inputs!$B$16*(1+Inputs!$B$11)^(AL$2-1),0)</f>
        <v>0</v>
      </c>
      <c r="AM118" s="11" t="n">
        <f aca="false">IF(AND(AM$1&gt;=Units!$Q117,MOD(AM$1-Units!$Q117,12)=0),IF(AND(Units!$L117=1,AM$1=Units!$Q117),1,Inputs!$B$15)*Inputs!$B$16*(1+Inputs!$B$11)^(AM$2-1),0)</f>
        <v>0</v>
      </c>
      <c r="AN118" s="11" t="n">
        <f aca="false">IF(AND(AN$1&gt;=Units!$Q117,MOD(AN$1-Units!$Q117,12)=0),IF(AND(Units!$L117=1,AN$1=Units!$Q117),1,Inputs!$B$15)*Inputs!$B$16*(1+Inputs!$B$11)^(AN$2-1),0)</f>
        <v>0</v>
      </c>
      <c r="AO118" s="11" t="n">
        <f aca="false">IF(AND(AO$1&gt;=Units!$Q117,MOD(AO$1-Units!$Q117,12)=0),IF(AND(Units!$L117=1,AO$1=Units!$Q117),1,Inputs!$B$15)*Inputs!$B$16*(1+Inputs!$B$11)^(AO$2-1),0)</f>
        <v>546.3635</v>
      </c>
      <c r="AP118" s="11" t="n">
        <f aca="false">IF(AND(AP$1&gt;=Units!$Q117,MOD(AP$1-Units!$Q117,12)=0),IF(AND(Units!$L117=1,AP$1=Units!$Q117),1,Inputs!$B$15)*Inputs!$B$16*(1+Inputs!$B$11)^(AP$2-1),0)</f>
        <v>0</v>
      </c>
      <c r="AQ118" s="11" t="n">
        <f aca="false">IF(AND(AQ$1&gt;=Units!$Q117,MOD(AQ$1-Units!$Q117,12)=0),IF(AND(Units!$L117=1,AQ$1=Units!$Q117),1,Inputs!$B$15)*Inputs!$B$16*(1+Inputs!$B$11)^(AQ$2-1),0)</f>
        <v>0</v>
      </c>
      <c r="AR118" s="11" t="n">
        <f aca="false">IF(AND(AR$1&gt;=Units!$Q117,MOD(AR$1-Units!$Q117,12)=0),IF(AND(Units!$L117=1,AR$1=Units!$Q117),1,Inputs!$B$15)*Inputs!$B$16*(1+Inputs!$B$11)^(AR$2-1),0)</f>
        <v>0</v>
      </c>
      <c r="AS118" s="11" t="n">
        <f aca="false">IF(AND(AS$1&gt;=Units!$Q117,MOD(AS$1-Units!$Q117,12)=0),IF(AND(Units!$L117=1,AS$1=Units!$Q117),1,Inputs!$B$15)*Inputs!$B$16*(1+Inputs!$B$11)^(AS$2-1),0)</f>
        <v>0</v>
      </c>
      <c r="AT118" s="11" t="n">
        <f aca="false">IF(AND(AT$1&gt;=Units!$Q117,MOD(AT$1-Units!$Q117,12)=0),IF(AND(Units!$L117=1,AT$1=Units!$Q117),1,Inputs!$B$15)*Inputs!$B$16*(1+Inputs!$B$11)^(AT$2-1),0)</f>
        <v>0</v>
      </c>
      <c r="AU118" s="11" t="n">
        <f aca="false">IF(AND(AU$1&gt;=Units!$Q117,MOD(AU$1-Units!$Q117,12)=0),IF(AND(Units!$L117=1,AU$1=Units!$Q117),1,Inputs!$B$15)*Inputs!$B$16*(1+Inputs!$B$11)^(AU$2-1),0)</f>
        <v>0</v>
      </c>
      <c r="AV118" s="11" t="n">
        <f aca="false">IF(AND(AV$1&gt;=Units!$Q117,MOD(AV$1-Units!$Q117,12)=0),IF(AND(Units!$L117=1,AV$1=Units!$Q117),1,Inputs!$B$15)*Inputs!$B$16*(1+Inputs!$B$11)^(AV$2-1),0)</f>
        <v>0</v>
      </c>
      <c r="AW118" s="11" t="n">
        <f aca="false">IF(AND(AW$1&gt;=Units!$Q117,MOD(AW$1-Units!$Q117,12)=0),IF(AND(Units!$L117=1,AW$1=Units!$Q117),1,Inputs!$B$15)*Inputs!$B$16*(1+Inputs!$B$11)^(AW$2-1),0)</f>
        <v>0</v>
      </c>
      <c r="AX118" s="11" t="n">
        <f aca="false">IF(AND(AX$1&gt;=Units!$Q117,MOD(AX$1-Units!$Q117,12)=0),IF(AND(Units!$L117=1,AX$1=Units!$Q117),1,Inputs!$B$15)*Inputs!$B$16*(1+Inputs!$B$11)^(AX$2-1),0)</f>
        <v>0</v>
      </c>
      <c r="AY118" s="11" t="n">
        <f aca="false">IF(AND(AY$1&gt;=Units!$Q117,MOD(AY$1-Units!$Q117,12)=0),IF(AND(Units!$L117=1,AY$1=Units!$Q117),1,Inputs!$B$15)*Inputs!$B$16*(1+Inputs!$B$11)^(AY$2-1),0)</f>
        <v>0</v>
      </c>
      <c r="AZ118" s="11" t="n">
        <f aca="false">IF(AND(AZ$1&gt;=Units!$Q117,MOD(AZ$1-Units!$Q117,12)=0),IF(AND(Units!$L117=1,AZ$1=Units!$Q117),1,Inputs!$B$15)*Inputs!$B$16*(1+Inputs!$B$11)^(AZ$2-1),0)</f>
        <v>0</v>
      </c>
      <c r="BA118" s="11" t="n">
        <f aca="false">IF(AND(BA$1&gt;=Units!$Q117,MOD(BA$1-Units!$Q117,12)=0),IF(AND(Units!$L117=1,BA$1=Units!$Q117),1,Inputs!$B$15)*Inputs!$B$16*(1+Inputs!$B$11)^(BA$2-1),0)</f>
        <v>562.754405</v>
      </c>
      <c r="BB118" s="11" t="n">
        <f aca="false">IF(AND(BB$1&gt;=Units!$Q117,MOD(BB$1-Units!$Q117,12)=0),IF(AND(Units!$L117=1,BB$1=Units!$Q117),1,Inputs!$B$15)*Inputs!$B$16*(1+Inputs!$B$11)^(BB$2-1),0)</f>
        <v>0</v>
      </c>
      <c r="BC118" s="11" t="n">
        <f aca="false">IF(AND(BC$1&gt;=Units!$Q117,MOD(BC$1-Units!$Q117,12)=0),IF(AND(Units!$L117=1,BC$1=Units!$Q117),1,Inputs!$B$15)*Inputs!$B$16*(1+Inputs!$B$11)^(BC$2-1),0)</f>
        <v>0</v>
      </c>
      <c r="BD118" s="11" t="n">
        <f aca="false">IF(AND(BD$1&gt;=Units!$Q117,MOD(BD$1-Units!$Q117,12)=0),IF(AND(Units!$L117=1,BD$1=Units!$Q117),1,Inputs!$B$15)*Inputs!$B$16*(1+Inputs!$B$11)^(BD$2-1),0)</f>
        <v>0</v>
      </c>
      <c r="BE118" s="11" t="n">
        <f aca="false">IF(AND(BE$1&gt;=Units!$Q117,MOD(BE$1-Units!$Q117,12)=0),IF(AND(Units!$L117=1,BE$1=Units!$Q117),1,Inputs!$B$15)*Inputs!$B$16*(1+Inputs!$B$11)^(BE$2-1),0)</f>
        <v>0</v>
      </c>
      <c r="BF118" s="11" t="n">
        <f aca="false">IF(AND(BF$1&gt;=Units!$Q117,MOD(BF$1-Units!$Q117,12)=0),IF(AND(Units!$L117=1,BF$1=Units!$Q117),1,Inputs!$B$15)*Inputs!$B$16*(1+Inputs!$B$11)^(BF$2-1),0)</f>
        <v>0</v>
      </c>
      <c r="BG118" s="11" t="n">
        <f aca="false">IF(AND(BG$1&gt;=Units!$Q117,MOD(BG$1-Units!$Q117,12)=0),IF(AND(Units!$L117=1,BG$1=Units!$Q117),1,Inputs!$B$15)*Inputs!$B$16*(1+Inputs!$B$11)^(BG$2-1),0)</f>
        <v>0</v>
      </c>
      <c r="BH118" s="11" t="n">
        <f aca="false">IF(AND(BH$1&gt;=Units!$Q117,MOD(BH$1-Units!$Q117,12)=0),IF(AND(Units!$L117=1,BH$1=Units!$Q117),1,Inputs!$B$15)*Inputs!$B$16*(1+Inputs!$B$11)^(BH$2-1),0)</f>
        <v>0</v>
      </c>
      <c r="BI118" s="11" t="n">
        <f aca="false">IF(AND(BI$1&gt;=Units!$Q117,MOD(BI$1-Units!$Q117,12)=0),IF(AND(Units!$L117=1,BI$1=Units!$Q117),1,Inputs!$B$15)*Inputs!$B$16*(1+Inputs!$B$11)^(BI$2-1),0)</f>
        <v>0</v>
      </c>
      <c r="BJ118" s="11" t="n">
        <f aca="false">IF(AND(BJ$1&gt;=Units!$Q117,MOD(BJ$1-Units!$Q117,12)=0),IF(AND(Units!$L117=1,BJ$1=Units!$Q117),1,Inputs!$B$15)*Inputs!$B$16*(1+Inputs!$B$11)^(BJ$2-1),0)</f>
        <v>0</v>
      </c>
      <c r="BK118" s="11" t="n">
        <f aca="false">IF(AND(BK$1&gt;=Units!$Q117,MOD(BK$1-Units!$Q117,12)=0),IF(AND(Units!$L117=1,BK$1=Units!$Q117),1,Inputs!$B$15)*Inputs!$B$16*(1+Inputs!$B$11)^(BK$2-1),0)</f>
        <v>0</v>
      </c>
      <c r="BL118" s="11" t="n">
        <f aca="false">IF(AND(BL$1&gt;=Units!$Q117,MOD(BL$1-Units!$Q117,12)=0),IF(AND(Units!$L117=1,BL$1=Units!$Q117),1,Inputs!$B$15)*Inputs!$B$16*(1+Inputs!$B$11)^(BL$2-1),0)</f>
        <v>0</v>
      </c>
      <c r="BM118" s="11" t="n">
        <f aca="false">IF(AND(BM$1&gt;=Units!$Q117,MOD(BM$1-Units!$Q117,12)=0),IF(AND(Units!$L117=1,BM$1=Units!$Q117),1,Inputs!$B$15)*Inputs!$B$16*(1+Inputs!$B$11)^(BM$2-1),0)</f>
        <v>579.63703715</v>
      </c>
      <c r="BN118" s="11" t="n">
        <f aca="false">IF(AND(BN$1&gt;=Units!$Q117,MOD(BN$1-Units!$Q117,12)=0),IF(AND(Units!$L117=1,BN$1=Units!$Q117),1,Inputs!$B$15)*Inputs!$B$16*(1+Inputs!$B$11)^(BN$2-1),0)</f>
        <v>0</v>
      </c>
      <c r="BO118" s="11" t="n">
        <f aca="false">IF(AND(BO$1&gt;=Units!$Q117,MOD(BO$1-Units!$Q117,12)=0),IF(AND(Units!$L117=1,BO$1=Units!$Q117),1,Inputs!$B$15)*Inputs!$B$16*(1+Inputs!$B$11)^(BO$2-1),0)</f>
        <v>0</v>
      </c>
      <c r="BP118" s="11" t="n">
        <f aca="false">IF(AND(BP$1&gt;=Units!$Q117,MOD(BP$1-Units!$Q117,12)=0),IF(AND(Units!$L117=1,BP$1=Units!$Q117),1,Inputs!$B$15)*Inputs!$B$16*(1+Inputs!$B$11)^(BP$2-1),0)</f>
        <v>0</v>
      </c>
      <c r="BQ118" s="11" t="n">
        <f aca="false">IF(AND(BQ$1&gt;=Units!$Q117,MOD(BQ$1-Units!$Q117,12)=0),IF(AND(Units!$L117=1,BQ$1=Units!$Q117),1,Inputs!$B$15)*Inputs!$B$16*(1+Inputs!$B$11)^(BQ$2-1),0)</f>
        <v>0</v>
      </c>
      <c r="BR118" s="11" t="n">
        <f aca="false">IF(AND(BR$1&gt;=Units!$Q117,MOD(BR$1-Units!$Q117,12)=0),IF(AND(Units!$L117=1,BR$1=Units!$Q117),1,Inputs!$B$15)*Inputs!$B$16*(1+Inputs!$B$11)^(BR$2-1),0)</f>
        <v>0</v>
      </c>
      <c r="BS118" s="11" t="n">
        <f aca="false">IF(AND(BS$1&gt;=Units!$Q117,MOD(BS$1-Units!$Q117,12)=0),IF(AND(Units!$L117=1,BS$1=Units!$Q117),1,Inputs!$B$15)*Inputs!$B$16*(1+Inputs!$B$11)^(BS$2-1),0)</f>
        <v>0</v>
      </c>
      <c r="BT118" s="11" t="n">
        <f aca="false">IF(AND(BT$1&gt;=Units!$Q117,MOD(BT$1-Units!$Q117,12)=0),IF(AND(Units!$L117=1,BT$1=Units!$Q117),1,Inputs!$B$15)*Inputs!$B$16*(1+Inputs!$B$11)^(BT$2-1),0)</f>
        <v>0</v>
      </c>
      <c r="BU118" s="11" t="n">
        <f aca="false">IF(AND(BU$1&gt;=Units!$Q117,MOD(BU$1-Units!$Q117,12)=0),IF(AND(Units!$L117=1,BU$1=Units!$Q117),1,Inputs!$B$15)*Inputs!$B$16*(1+Inputs!$B$11)^(BU$2-1),0)</f>
        <v>0</v>
      </c>
      <c r="BV118" s="11" t="n">
        <f aca="false">IF(AND(BV$1&gt;=Units!$Q117,MOD(BV$1-Units!$Q117,12)=0),IF(AND(Units!$L117=1,BV$1=Units!$Q117),1,Inputs!$B$15)*Inputs!$B$16*(1+Inputs!$B$11)^(BV$2-1),0)</f>
        <v>0</v>
      </c>
      <c r="BW118" s="11" t="n">
        <f aca="false">IF(AND(BW$1&gt;=Units!$Q117,MOD(BW$1-Units!$Q117,12)=0),IF(AND(Units!$L117=1,BW$1=Units!$Q117),1,Inputs!$B$15)*Inputs!$B$16*(1+Inputs!$B$11)^(BW$2-1),0)</f>
        <v>0</v>
      </c>
      <c r="BX118" s="11" t="n">
        <f aca="false">IF(AND(BX$1&gt;=Units!$Q117,MOD(BX$1-Units!$Q117,12)=0),IF(AND(Units!$L117=1,BX$1=Units!$Q117),1,Inputs!$B$15)*Inputs!$B$16*(1+Inputs!$B$11)^(BX$2-1),0)</f>
        <v>0</v>
      </c>
      <c r="BY118" s="11" t="n">
        <f aca="false">IF(AND(BY$1&gt;=Units!$Q117,MOD(BY$1-Units!$Q117,12)=0),IF(AND(Units!$L117=1,BY$1=Units!$Q117),1,Inputs!$B$15)*Inputs!$B$16*(1+Inputs!$B$11)^(BY$2-1),0)</f>
        <v>597.0261482645</v>
      </c>
      <c r="BZ118" s="11" t="n">
        <f aca="false">IF(AND(BZ$1&gt;=Units!$Q117,MOD(BZ$1-Units!$Q117,12)=0),IF(AND(Units!$L117=1,BZ$1=Units!$Q117),1,Inputs!$B$15)*Inputs!$B$16*(1+Inputs!$B$11)^(BZ$2-1),0)</f>
        <v>0</v>
      </c>
      <c r="CA118" s="11" t="n">
        <f aca="false">IF(AND(CA$1&gt;=Units!$Q117,MOD(CA$1-Units!$Q117,12)=0),IF(AND(Units!$L117=1,CA$1=Units!$Q117),1,Inputs!$B$15)*Inputs!$B$16*(1+Inputs!$B$11)^(CA$2-1),0)</f>
        <v>0</v>
      </c>
      <c r="CB118" s="11" t="n">
        <f aca="false">IF(AND(CB$1&gt;=Units!$Q117,MOD(CB$1-Units!$Q117,12)=0),IF(AND(Units!$L117=1,CB$1=Units!$Q117),1,Inputs!$B$15)*Inputs!$B$16*(1+Inputs!$B$11)^(CB$2-1),0)</f>
        <v>0</v>
      </c>
      <c r="CC118" s="11" t="n">
        <f aca="false">IF(AND(CC$1&gt;=Units!$Q117,MOD(CC$1-Units!$Q117,12)=0),IF(AND(Units!$L117=1,CC$1=Units!$Q117),1,Inputs!$B$15)*Inputs!$B$16*(1+Inputs!$B$11)^(CC$2-1),0)</f>
        <v>0</v>
      </c>
      <c r="CD118" s="11" t="n">
        <f aca="false">IF(AND(CD$1&gt;=Units!$Q117,MOD(CD$1-Units!$Q117,12)=0),IF(AND(Units!$L117=1,CD$1=Units!$Q117),1,Inputs!$B$15)*Inputs!$B$16*(1+Inputs!$B$11)^(CD$2-1),0)</f>
        <v>0</v>
      </c>
      <c r="CE118" s="11" t="n">
        <f aca="false">IF(AND(CE$1&gt;=Units!$Q117,MOD(CE$1-Units!$Q117,12)=0),IF(AND(Units!$L117=1,CE$1=Units!$Q117),1,Inputs!$B$15)*Inputs!$B$16*(1+Inputs!$B$11)^(CE$2-1),0)</f>
        <v>0</v>
      </c>
      <c r="CF118" s="11" t="n">
        <f aca="false">IF(AND(CF$1&gt;=Units!$Q117,MOD(CF$1-Units!$Q117,12)=0),IF(AND(Units!$L117=1,CF$1=Units!$Q117),1,Inputs!$B$15)*Inputs!$B$16*(1+Inputs!$B$11)^(CF$2-1),0)</f>
        <v>0</v>
      </c>
      <c r="CG118" s="11" t="n">
        <f aca="false">IF(AND(CG$1&gt;=Units!$Q117,MOD(CG$1-Units!$Q117,12)=0),IF(AND(Units!$L117=1,CG$1=Units!$Q117),1,Inputs!$B$15)*Inputs!$B$16*(1+Inputs!$B$11)^(CG$2-1),0)</f>
        <v>0</v>
      </c>
      <c r="CH118" s="11" t="n">
        <f aca="false">IF(AND(CH$1&gt;=Units!$Q117,MOD(CH$1-Units!$Q117,12)=0),IF(AND(Units!$L117=1,CH$1=Units!$Q117),1,Inputs!$B$15)*Inputs!$B$16*(1+Inputs!$B$11)^(CH$2-1),0)</f>
        <v>0</v>
      </c>
      <c r="CI118" s="11" t="n">
        <f aca="false">IF(AND(CI$1&gt;=Units!$Q117,MOD(CI$1-Units!$Q117,12)=0),IF(AND(Units!$L117=1,CI$1=Units!$Q117),1,Inputs!$B$15)*Inputs!$B$16*(1+Inputs!$B$11)^(CI$2-1),0)</f>
        <v>0</v>
      </c>
      <c r="CJ118" s="11" t="n">
        <f aca="false">IF(AND(CJ$1&gt;=Units!$Q117,MOD(CJ$1-Units!$Q117,12)=0),IF(AND(Units!$L117=1,CJ$1=Units!$Q117),1,Inputs!$B$15)*Inputs!$B$16*(1+Inputs!$B$11)^(CJ$2-1),0)</f>
        <v>0</v>
      </c>
      <c r="CK118" s="11" t="n">
        <f aca="false">IF(AND(CK$1&gt;=Units!$Q117,MOD(CK$1-Units!$Q117,12)=0),IF(AND(Units!$L117=1,CK$1=Units!$Q117),1,Inputs!$B$15)*Inputs!$B$16*(1+Inputs!$B$11)^(CK$2-1),0)</f>
        <v>614.936932712435</v>
      </c>
      <c r="CL118" s="11" t="n">
        <f aca="false">IF(AND(CL$1&gt;=Units!$Q117,MOD(CL$1-Units!$Q117,12)=0),IF(AND(Units!$L117=1,CL$1=Units!$Q117),1,Inputs!$B$15)*Inputs!$B$16*(1+Inputs!$B$11)^(CL$2-1),0)</f>
        <v>0</v>
      </c>
      <c r="CM118" s="11" t="n">
        <f aca="false">IF(AND(CM$1&gt;=Units!$Q117,MOD(CM$1-Units!$Q117,12)=0),IF(AND(Units!$L117=1,CM$1=Units!$Q117),1,Inputs!$B$15)*Inputs!$B$16*(1+Inputs!$B$11)^(CM$2-1),0)</f>
        <v>0</v>
      </c>
      <c r="CN118" s="11" t="n">
        <f aca="false">IF(AND(CN$1&gt;=Units!$Q117,MOD(CN$1-Units!$Q117,12)=0),IF(AND(Units!$L117=1,CN$1=Units!$Q117),1,Inputs!$B$15)*Inputs!$B$16*(1+Inputs!$B$11)^(CN$2-1),0)</f>
        <v>0</v>
      </c>
      <c r="CO118" s="11" t="n">
        <f aca="false">IF(AND(CO$1&gt;=Units!$Q117,MOD(CO$1-Units!$Q117,12)=0),IF(AND(Units!$L117=1,CO$1=Units!$Q117),1,Inputs!$B$15)*Inputs!$B$16*(1+Inputs!$B$11)^(CO$2-1),0)</f>
        <v>0</v>
      </c>
      <c r="CP118" s="11" t="n">
        <f aca="false">IF(AND(CP$1&gt;=Units!$Q117,MOD(CP$1-Units!$Q117,12)=0),IF(AND(Units!$L117=1,CP$1=Units!$Q117),1,Inputs!$B$15)*Inputs!$B$16*(1+Inputs!$B$11)^(CP$2-1),0)</f>
        <v>0</v>
      </c>
      <c r="CQ118" s="11" t="n">
        <f aca="false">IF(AND(CQ$1&gt;=Units!$Q117,MOD(CQ$1-Units!$Q117,12)=0),IF(AND(Units!$L117=1,CQ$1=Units!$Q117),1,Inputs!$B$15)*Inputs!$B$16*(1+Inputs!$B$11)^(CQ$2-1),0)</f>
        <v>0</v>
      </c>
      <c r="CR118" s="11" t="n">
        <f aca="false">IF(AND(CR$1&gt;=Units!$Q117,MOD(CR$1-Units!$Q117,12)=0),IF(AND(Units!$L117=1,CR$1=Units!$Q117),1,Inputs!$B$15)*Inputs!$B$16*(1+Inputs!$B$11)^(CR$2-1),0)</f>
        <v>0</v>
      </c>
      <c r="CS118" s="11" t="n">
        <f aca="false">IF(AND(CS$1&gt;=Units!$Q117,MOD(CS$1-Units!$Q117,12)=0),IF(AND(Units!$L117=1,CS$1=Units!$Q117),1,Inputs!$B$15)*Inputs!$B$16*(1+Inputs!$B$11)^(CS$2-1),0)</f>
        <v>0</v>
      </c>
      <c r="CT118" s="11" t="n">
        <f aca="false">IF(AND(CT$1&gt;=Units!$Q117,MOD(CT$1-Units!$Q117,12)=0),IF(AND(Units!$L117=1,CT$1=Units!$Q117),1,Inputs!$B$15)*Inputs!$B$16*(1+Inputs!$B$11)^(CT$2-1),0)</f>
        <v>0</v>
      </c>
      <c r="CU118" s="11" t="n">
        <f aca="false">IF(AND(CU$1&gt;=Units!$Q117,MOD(CU$1-Units!$Q117,12)=0),IF(AND(Units!$L117=1,CU$1=Units!$Q117),1,Inputs!$B$15)*Inputs!$B$16*(1+Inputs!$B$11)^(CU$2-1),0)</f>
        <v>0</v>
      </c>
      <c r="CV118" s="11" t="n">
        <f aca="false">IF(AND(CV$1&gt;=Units!$Q117,MOD(CV$1-Units!$Q117,12)=0),IF(AND(Units!$L117=1,CV$1=Units!$Q117),1,Inputs!$B$15)*Inputs!$B$16*(1+Inputs!$B$11)^(CV$2-1),0)</f>
        <v>0</v>
      </c>
      <c r="CW118" s="11" t="n">
        <f aca="false">IF(AND(CW$1&gt;=Units!$Q117,MOD(CW$1-Units!$Q117,12)=0),IF(AND(Units!$L117=1,CW$1=Units!$Q117),1,Inputs!$B$15)*Inputs!$B$16*(1+Inputs!$B$11)^(CW$2-1),0)</f>
        <v>633.385040693808</v>
      </c>
      <c r="CX118" s="11" t="n">
        <f aca="false">IF(AND(CX$1&gt;=Units!$Q117,MOD(CX$1-Units!$Q117,12)=0),IF(AND(Units!$L117=1,CX$1=Units!$Q117),1,Inputs!$B$15)*Inputs!$B$16*(1+Inputs!$B$11)^(CX$2-1),0)</f>
        <v>0</v>
      </c>
      <c r="CY118" s="11" t="n">
        <f aca="false">IF(AND(CY$1&gt;=Units!$Q117,MOD(CY$1-Units!$Q117,12)=0),IF(AND(Units!$L117=1,CY$1=Units!$Q117),1,Inputs!$B$15)*Inputs!$B$16*(1+Inputs!$B$11)^(CY$2-1),0)</f>
        <v>0</v>
      </c>
      <c r="CZ118" s="11" t="n">
        <f aca="false">IF(AND(CZ$1&gt;=Units!$Q117,MOD(CZ$1-Units!$Q117,12)=0),IF(AND(Units!$L117=1,CZ$1=Units!$Q117),1,Inputs!$B$15)*Inputs!$B$16*(1+Inputs!$B$11)^(CZ$2-1),0)</f>
        <v>0</v>
      </c>
      <c r="DA118" s="11" t="n">
        <f aca="false">IF(AND(DA$1&gt;=Units!$Q117,MOD(DA$1-Units!$Q117,12)=0),IF(AND(Units!$L117=1,DA$1=Units!$Q117),1,Inputs!$B$15)*Inputs!$B$16*(1+Inputs!$B$11)^(DA$2-1),0)</f>
        <v>0</v>
      </c>
      <c r="DB118" s="11" t="n">
        <f aca="false">IF(AND(DB$1&gt;=Units!$Q117,MOD(DB$1-Units!$Q117,12)=0),IF(AND(Units!$L117=1,DB$1=Units!$Q117),1,Inputs!$B$15)*Inputs!$B$16*(1+Inputs!$B$11)^(DB$2-1),0)</f>
        <v>0</v>
      </c>
      <c r="DC118" s="11" t="n">
        <f aca="false">IF(AND(DC$1&gt;=Units!$Q117,MOD(DC$1-Units!$Q117,12)=0),IF(AND(Units!$L117=1,DC$1=Units!$Q117),1,Inputs!$B$15)*Inputs!$B$16*(1+Inputs!$B$11)^(DC$2-1),0)</f>
        <v>0</v>
      </c>
      <c r="DD118" s="11" t="n">
        <f aca="false">IF(AND(DD$1&gt;=Units!$Q117,MOD(DD$1-Units!$Q117,12)=0),IF(AND(Units!$L117=1,DD$1=Units!$Q117),1,Inputs!$B$15)*Inputs!$B$16*(1+Inputs!$B$11)^(DD$2-1),0)</f>
        <v>0</v>
      </c>
      <c r="DE118" s="11" t="n">
        <f aca="false">IF(AND(DE$1&gt;=Units!$Q117,MOD(DE$1-Units!$Q117,12)=0),IF(AND(Units!$L117=1,DE$1=Units!$Q117),1,Inputs!$B$15)*Inputs!$B$16*(1+Inputs!$B$11)^(DE$2-1),0)</f>
        <v>0</v>
      </c>
      <c r="DF118" s="11" t="n">
        <f aca="false">IF(AND(DF$1&gt;=Units!$Q117,MOD(DF$1-Units!$Q117,12)=0),IF(AND(Units!$L117=1,DF$1=Units!$Q117),1,Inputs!$B$15)*Inputs!$B$16*(1+Inputs!$B$11)^(DF$2-1),0)</f>
        <v>0</v>
      </c>
      <c r="DG118" s="11" t="n">
        <f aca="false">IF(AND(DG$1&gt;=Units!$Q117,MOD(DG$1-Units!$Q117,12)=0),IF(AND(Units!$L117=1,DG$1=Units!$Q117),1,Inputs!$B$15)*Inputs!$B$16*(1+Inputs!$B$11)^(DG$2-1),0)</f>
        <v>0</v>
      </c>
      <c r="DH118" s="11" t="n">
        <f aca="false">IF(AND(DH$1&gt;=Units!$Q117,MOD(DH$1-Units!$Q117,12)=0),IF(AND(Units!$L117=1,DH$1=Units!$Q117),1,Inputs!$B$15)*Inputs!$B$16*(1+Inputs!$B$11)^(DH$2-1),0)</f>
        <v>0</v>
      </c>
      <c r="DI118" s="11" t="n">
        <f aca="false">IF(AND(DI$1&gt;=Units!$Q117,MOD(DI$1-Units!$Q117,12)=0),IF(AND(Units!$L117=1,DI$1=Units!$Q117),1,Inputs!$B$15)*Inputs!$B$16*(1+Inputs!$B$11)^(DI$2-1),0)</f>
        <v>652.386591914623</v>
      </c>
      <c r="DJ118" s="11" t="n">
        <f aca="false">IF(AND(DJ$1&gt;=Units!$Q117,MOD(DJ$1-Units!$Q117,12)=0),IF(AND(Units!$L117=1,DJ$1=Units!$Q117),1,Inputs!$B$15)*Inputs!$B$16*(1+Inputs!$B$11)^(DJ$2-1),0)</f>
        <v>0</v>
      </c>
      <c r="DK118" s="11" t="n">
        <f aca="false">IF(AND(DK$1&gt;=Units!$Q117,MOD(DK$1-Units!$Q117,12)=0),IF(AND(Units!$L117=1,DK$1=Units!$Q117),1,Inputs!$B$15)*Inputs!$B$16*(1+Inputs!$B$11)^(DK$2-1),0)</f>
        <v>0</v>
      </c>
      <c r="DL118" s="11" t="n">
        <f aca="false">IF(AND(DL$1&gt;=Units!$Q117,MOD(DL$1-Units!$Q117,12)=0),IF(AND(Units!$L117=1,DL$1=Units!$Q117),1,Inputs!$B$15)*Inputs!$B$16*(1+Inputs!$B$11)^(DL$2-1),0)</f>
        <v>0</v>
      </c>
      <c r="DM118" s="11" t="n">
        <f aca="false">IF(AND(DM$1&gt;=Units!$Q117,MOD(DM$1-Units!$Q117,12)=0),IF(AND(Units!$L117=1,DM$1=Units!$Q117),1,Inputs!$B$15)*Inputs!$B$16*(1+Inputs!$B$11)^(DM$2-1),0)</f>
        <v>0</v>
      </c>
      <c r="DN118" s="11" t="n">
        <f aca="false">IF(AND(DN$1&gt;=Units!$Q117,MOD(DN$1-Units!$Q117,12)=0),IF(AND(Units!$L117=1,DN$1=Units!$Q117),1,Inputs!$B$15)*Inputs!$B$16*(1+Inputs!$B$11)^(DN$2-1),0)</f>
        <v>0</v>
      </c>
      <c r="DO118" s="11" t="n">
        <f aca="false">IF(AND(DO$1&gt;=Units!$Q117,MOD(DO$1-Units!$Q117,12)=0),IF(AND(Units!$L117=1,DO$1=Units!$Q117),1,Inputs!$B$15)*Inputs!$B$16*(1+Inputs!$B$11)^(DO$2-1),0)</f>
        <v>0</v>
      </c>
      <c r="DP118" s="11" t="n">
        <f aca="false">IF(AND(DP$1&gt;=Units!$Q117,MOD(DP$1-Units!$Q117,12)=0),IF(AND(Units!$L117=1,DP$1=Units!$Q117),1,Inputs!$B$15)*Inputs!$B$16*(1+Inputs!$B$11)^(DP$2-1),0)</f>
        <v>0</v>
      </c>
      <c r="DQ118" s="11" t="n">
        <f aca="false">IF(AND(DQ$1&gt;=Units!$Q117,MOD(DQ$1-Units!$Q117,12)=0),IF(AND(Units!$L117=1,DQ$1=Units!$Q117),1,Inputs!$B$15)*Inputs!$B$16*(1+Inputs!$B$11)^(DQ$2-1),0)</f>
        <v>0</v>
      </c>
      <c r="DR118" s="11" t="n">
        <f aca="false">IF(AND(DR$1&gt;=Units!$Q117,MOD(DR$1-Units!$Q117,12)=0),IF(AND(Units!$L117=1,DR$1=Units!$Q117),1,Inputs!$B$15)*Inputs!$B$16*(1+Inputs!$B$11)^(DR$2-1),0)</f>
        <v>0</v>
      </c>
      <c r="DS118" s="11" t="n">
        <f aca="false">IF(AND(DS$1&gt;=Units!$Q117,MOD(DS$1-Units!$Q117,12)=0),IF(AND(Units!$L117=1,DS$1=Units!$Q117),1,Inputs!$B$15)*Inputs!$B$16*(1+Inputs!$B$11)^(DS$2-1),0)</f>
        <v>0</v>
      </c>
      <c r="DT118" s="11" t="n">
        <f aca="false">IF(AND(DT$1&gt;=Units!$Q117,MOD(DT$1-Units!$Q117,12)=0),IF(AND(Units!$L117=1,DT$1=Units!$Q117),1,Inputs!$B$15)*Inputs!$B$16*(1+Inputs!$B$11)^(DT$2-1),0)</f>
        <v>0</v>
      </c>
      <c r="DU118" s="11" t="n">
        <f aca="false">IF(AND(DU$1&gt;=Units!$Q117,MOD(DU$1-Units!$Q117,12)=0),IF(AND(Units!$L117=1,DU$1=Units!$Q117),1,Inputs!$B$15)*Inputs!$B$16*(1+Inputs!$B$11)^(DU$2-1),0)</f>
        <v>671.958189672061</v>
      </c>
      <c r="DV118" s="11" t="n">
        <f aca="false">IF(AND(DV$1&gt;=Units!$Q117,MOD(DV$1-Units!$Q117,12)=0),IF(AND(Units!$L117=1,DV$1=Units!$Q117),1,Inputs!$B$15)*Inputs!$B$16*(1+Inputs!$B$11)^(DV$2-1),0)</f>
        <v>0</v>
      </c>
      <c r="DW118" s="11" t="n">
        <f aca="false">IF(AND(DW$1&gt;=Units!$Q117,MOD(DW$1-Units!$Q117,12)=0),IF(AND(Units!$L117=1,DW$1=Units!$Q117),1,Inputs!$B$15)*Inputs!$B$16*(1+Inputs!$B$11)^(DW$2-1),0)</f>
        <v>0</v>
      </c>
      <c r="DX118" s="11" t="n">
        <f aca="false">IF(AND(DX$1&gt;=Units!$Q117,MOD(DX$1-Units!$Q117,12)=0),IF(AND(Units!$L117=1,DX$1=Units!$Q117),1,Inputs!$B$15)*Inputs!$B$16*(1+Inputs!$B$11)^(DX$2-1),0)</f>
        <v>0</v>
      </c>
      <c r="DY118" s="11" t="n">
        <f aca="false">IF(AND(DY$1&gt;=Units!$Q117,MOD(DY$1-Units!$Q117,12)=0),IF(AND(Units!$L117=1,DY$1=Units!$Q117),1,Inputs!$B$15)*Inputs!$B$16*(1+Inputs!$B$11)^(DY$2-1),0)</f>
        <v>0</v>
      </c>
      <c r="DZ118" s="11" t="n">
        <f aca="false">IF(AND(DZ$1&gt;=Units!$Q117,MOD(DZ$1-Units!$Q117,12)=0),IF(AND(Units!$L117=1,DZ$1=Units!$Q117),1,Inputs!$B$15)*Inputs!$B$16*(1+Inputs!$B$11)^(DZ$2-1),0)</f>
        <v>0</v>
      </c>
      <c r="EA118" s="11" t="n">
        <f aca="false">IF(AND(EA$1&gt;=Units!$Q117,MOD(EA$1-Units!$Q117,12)=0),IF(AND(Units!$L117=1,EA$1=Units!$Q117),1,Inputs!$B$15)*Inputs!$B$16*(1+Inputs!$B$11)^(EA$2-1),0)</f>
        <v>0</v>
      </c>
      <c r="EB118" s="11" t="n">
        <f aca="false">IF(AND(EB$1&gt;=Units!$Q117,MOD(EB$1-Units!$Q117,12)=0),IF(AND(Units!$L117=1,EB$1=Units!$Q117),1,Inputs!$B$15)*Inputs!$B$16*(1+Inputs!$B$11)^(EB$2-1),0)</f>
        <v>0</v>
      </c>
      <c r="EC118" s="11" t="n">
        <f aca="false">IF(AND(EC$1&gt;=Units!$Q117,MOD(EC$1-Units!$Q117,12)=0),IF(AND(Units!$L117=1,EC$1=Units!$Q117),1,Inputs!$B$15)*Inputs!$B$16*(1+Inputs!$B$11)^(EC$2-1),0)</f>
        <v>0</v>
      </c>
      <c r="ED118" s="11" t="n">
        <f aca="false">IF(AND(ED$1&gt;=Units!$Q117,MOD(ED$1-Units!$Q117,12)=0),IF(AND(Units!$L117=1,ED$1=Units!$Q117),1,Inputs!$B$15)*Inputs!$B$16*(1+Inputs!$B$11)^(ED$2-1),0)</f>
        <v>0</v>
      </c>
    </row>
    <row r="119" customFormat="false" ht="15" hidden="false" customHeight="false" outlineLevel="0" collapsed="false">
      <c r="A119" s="22" t="n">
        <f aca="false">Units!A118</f>
        <v>427</v>
      </c>
      <c r="B119" s="23"/>
      <c r="C119" s="11" t="n">
        <f aca="false">IF(AND(C$1&gt;=Units!$Q118,MOD(C$1-Units!$Q118,12)=0),IF(AND(Units!$L118=1,C$1=Units!$Q118),1,Inputs!$B$15)*Inputs!$B$16*(1+Inputs!$B$11)^(C$2-1),0)</f>
        <v>0</v>
      </c>
      <c r="D119" s="11" t="n">
        <f aca="false">IF(AND(D$1&gt;=Units!$Q118,MOD(D$1-Units!$Q118,12)=0),IF(AND(Units!$L118=1,D$1=Units!$Q118),1,Inputs!$B$15)*Inputs!$B$16*(1+Inputs!$B$11)^(D$2-1),0)</f>
        <v>0</v>
      </c>
      <c r="E119" s="11" t="n">
        <f aca="false">IF(AND(E$1&gt;=Units!$Q118,MOD(E$1-Units!$Q118,12)=0),IF(AND(Units!$L118=1,E$1=Units!$Q118),1,Inputs!$B$15)*Inputs!$B$16*(1+Inputs!$B$11)^(E$2-1),0)</f>
        <v>0</v>
      </c>
      <c r="F119" s="11" t="n">
        <f aca="false">IF(AND(F$1&gt;=Units!$Q118,MOD(F$1-Units!$Q118,12)=0),IF(AND(Units!$L118=1,F$1=Units!$Q118),1,Inputs!$B$15)*Inputs!$B$16*(1+Inputs!$B$11)^(F$2-1),0)</f>
        <v>0</v>
      </c>
      <c r="G119" s="11" t="n">
        <f aca="false">IF(AND(G$1&gt;=Units!$Q118,MOD(G$1-Units!$Q118,12)=0),IF(AND(Units!$L118=1,G$1=Units!$Q118),1,Inputs!$B$15)*Inputs!$B$16*(1+Inputs!$B$11)^(G$2-1),0)</f>
        <v>0</v>
      </c>
      <c r="H119" s="11" t="n">
        <f aca="false">IF(AND(H$1&gt;=Units!$Q118,MOD(H$1-Units!$Q118,12)=0),IF(AND(Units!$L118=1,H$1=Units!$Q118),1,Inputs!$B$15)*Inputs!$B$16*(1+Inputs!$B$11)^(H$2-1),0)</f>
        <v>0</v>
      </c>
      <c r="I119" s="11" t="n">
        <f aca="false">IF(AND(I$1&gt;=Units!$Q118,MOD(I$1-Units!$Q118,12)=0),IF(AND(Units!$L118=1,I$1=Units!$Q118),1,Inputs!$B$15)*Inputs!$B$16*(1+Inputs!$B$11)^(I$2-1),0)</f>
        <v>0</v>
      </c>
      <c r="J119" s="11" t="n">
        <f aca="false">IF(AND(J$1&gt;=Units!$Q118,MOD(J$1-Units!$Q118,12)=0),IF(AND(Units!$L118=1,J$1=Units!$Q118),1,Inputs!$B$15)*Inputs!$B$16*(1+Inputs!$B$11)^(J$2-1),0)</f>
        <v>0</v>
      </c>
      <c r="K119" s="11" t="n">
        <f aca="false">IF(AND(K$1&gt;=Units!$Q118,MOD(K$1-Units!$Q118,12)=0),IF(AND(Units!$L118=1,K$1=Units!$Q118),1,Inputs!$B$15)*Inputs!$B$16*(1+Inputs!$B$11)^(K$2-1),0)</f>
        <v>0</v>
      </c>
      <c r="L119" s="11" t="n">
        <f aca="false">IF(AND(L$1&gt;=Units!$Q118,MOD(L$1-Units!$Q118,12)=0),IF(AND(Units!$L118=1,L$1=Units!$Q118),1,Inputs!$B$15)*Inputs!$B$16*(1+Inputs!$B$11)^(L$2-1),0)</f>
        <v>0</v>
      </c>
      <c r="M119" s="11" t="n">
        <f aca="false">IF(AND(M$1&gt;=Units!$Q118,MOD(M$1-Units!$Q118,12)=0),IF(AND(Units!$L118=1,M$1=Units!$Q118),1,Inputs!$B$15)*Inputs!$B$16*(1+Inputs!$B$11)^(M$2-1),0)</f>
        <v>0</v>
      </c>
      <c r="N119" s="11" t="n">
        <f aca="false">IF(AND(N$1&gt;=Units!$Q118,MOD(N$1-Units!$Q118,12)=0),IF(AND(Units!$L118=1,N$1=Units!$Q118),1,Inputs!$B$15)*Inputs!$B$16*(1+Inputs!$B$11)^(N$2-1),0)</f>
        <v>0</v>
      </c>
      <c r="O119" s="11" t="n">
        <f aca="false">IF(AND(O$1&gt;=Units!$Q118,MOD(O$1-Units!$Q118,12)=0),IF(AND(Units!$L118=1,O$1=Units!$Q118),1,Inputs!$B$15)*Inputs!$B$16*(1+Inputs!$B$11)^(O$2-1),0)</f>
        <v>515</v>
      </c>
      <c r="P119" s="11" t="n">
        <f aca="false">IF(AND(P$1&gt;=Units!$Q118,MOD(P$1-Units!$Q118,12)=0),IF(AND(Units!$L118=1,P$1=Units!$Q118),1,Inputs!$B$15)*Inputs!$B$16*(1+Inputs!$B$11)^(P$2-1),0)</f>
        <v>0</v>
      </c>
      <c r="Q119" s="11" t="n">
        <f aca="false">IF(AND(Q$1&gt;=Units!$Q118,MOD(Q$1-Units!$Q118,12)=0),IF(AND(Units!$L118=1,Q$1=Units!$Q118),1,Inputs!$B$15)*Inputs!$B$16*(1+Inputs!$B$11)^(Q$2-1),0)</f>
        <v>0</v>
      </c>
      <c r="R119" s="11" t="n">
        <f aca="false">IF(AND(R$1&gt;=Units!$Q118,MOD(R$1-Units!$Q118,12)=0),IF(AND(Units!$L118=1,R$1=Units!$Q118),1,Inputs!$B$15)*Inputs!$B$16*(1+Inputs!$B$11)^(R$2-1),0)</f>
        <v>0</v>
      </c>
      <c r="S119" s="11" t="n">
        <f aca="false">IF(AND(S$1&gt;=Units!$Q118,MOD(S$1-Units!$Q118,12)=0),IF(AND(Units!$L118=1,S$1=Units!$Q118),1,Inputs!$B$15)*Inputs!$B$16*(1+Inputs!$B$11)^(S$2-1),0)</f>
        <v>0</v>
      </c>
      <c r="T119" s="11" t="n">
        <f aca="false">IF(AND(T$1&gt;=Units!$Q118,MOD(T$1-Units!$Q118,12)=0),IF(AND(Units!$L118=1,T$1=Units!$Q118),1,Inputs!$B$15)*Inputs!$B$16*(1+Inputs!$B$11)^(T$2-1),0)</f>
        <v>0</v>
      </c>
      <c r="U119" s="11" t="n">
        <f aca="false">IF(AND(U$1&gt;=Units!$Q118,MOD(U$1-Units!$Q118,12)=0),IF(AND(Units!$L118=1,U$1=Units!$Q118),1,Inputs!$B$15)*Inputs!$B$16*(1+Inputs!$B$11)^(U$2-1),0)</f>
        <v>0</v>
      </c>
      <c r="V119" s="11" t="n">
        <f aca="false">IF(AND(V$1&gt;=Units!$Q118,MOD(V$1-Units!$Q118,12)=0),IF(AND(Units!$L118=1,V$1=Units!$Q118),1,Inputs!$B$15)*Inputs!$B$16*(1+Inputs!$B$11)^(V$2-1),0)</f>
        <v>0</v>
      </c>
      <c r="W119" s="11" t="n">
        <f aca="false">IF(AND(W$1&gt;=Units!$Q118,MOD(W$1-Units!$Q118,12)=0),IF(AND(Units!$L118=1,W$1=Units!$Q118),1,Inputs!$B$15)*Inputs!$B$16*(1+Inputs!$B$11)^(W$2-1),0)</f>
        <v>0</v>
      </c>
      <c r="X119" s="11" t="n">
        <f aca="false">IF(AND(X$1&gt;=Units!$Q118,MOD(X$1-Units!$Q118,12)=0),IF(AND(Units!$L118=1,X$1=Units!$Q118),1,Inputs!$B$15)*Inputs!$B$16*(1+Inputs!$B$11)^(X$2-1),0)</f>
        <v>0</v>
      </c>
      <c r="Y119" s="11" t="n">
        <f aca="false">IF(AND(Y$1&gt;=Units!$Q118,MOD(Y$1-Units!$Q118,12)=0),IF(AND(Units!$L118=1,Y$1=Units!$Q118),1,Inputs!$B$15)*Inputs!$B$16*(1+Inputs!$B$11)^(Y$2-1),0)</f>
        <v>0</v>
      </c>
      <c r="Z119" s="11" t="n">
        <f aca="false">IF(AND(Z$1&gt;=Units!$Q118,MOD(Z$1-Units!$Q118,12)=0),IF(AND(Units!$L118=1,Z$1=Units!$Q118),1,Inputs!$B$15)*Inputs!$B$16*(1+Inputs!$B$11)^(Z$2-1),0)</f>
        <v>0</v>
      </c>
      <c r="AA119" s="11" t="n">
        <f aca="false">IF(AND(AA$1&gt;=Units!$Q118,MOD(AA$1-Units!$Q118,12)=0),IF(AND(Units!$L118=1,AA$1=Units!$Q118),1,Inputs!$B$15)*Inputs!$B$16*(1+Inputs!$B$11)^(AA$2-1),0)</f>
        <v>530.45</v>
      </c>
      <c r="AB119" s="11" t="n">
        <f aca="false">IF(AND(AB$1&gt;=Units!$Q118,MOD(AB$1-Units!$Q118,12)=0),IF(AND(Units!$L118=1,AB$1=Units!$Q118),1,Inputs!$B$15)*Inputs!$B$16*(1+Inputs!$B$11)^(AB$2-1),0)</f>
        <v>0</v>
      </c>
      <c r="AC119" s="11" t="n">
        <f aca="false">IF(AND(AC$1&gt;=Units!$Q118,MOD(AC$1-Units!$Q118,12)=0),IF(AND(Units!$L118=1,AC$1=Units!$Q118),1,Inputs!$B$15)*Inputs!$B$16*(1+Inputs!$B$11)^(AC$2-1),0)</f>
        <v>0</v>
      </c>
      <c r="AD119" s="11" t="n">
        <f aca="false">IF(AND(AD$1&gt;=Units!$Q118,MOD(AD$1-Units!$Q118,12)=0),IF(AND(Units!$L118=1,AD$1=Units!$Q118),1,Inputs!$B$15)*Inputs!$B$16*(1+Inputs!$B$11)^(AD$2-1),0)</f>
        <v>0</v>
      </c>
      <c r="AE119" s="11" t="n">
        <f aca="false">IF(AND(AE$1&gt;=Units!$Q118,MOD(AE$1-Units!$Q118,12)=0),IF(AND(Units!$L118=1,AE$1=Units!$Q118),1,Inputs!$B$15)*Inputs!$B$16*(1+Inputs!$B$11)^(AE$2-1),0)</f>
        <v>0</v>
      </c>
      <c r="AF119" s="11" t="n">
        <f aca="false">IF(AND(AF$1&gt;=Units!$Q118,MOD(AF$1-Units!$Q118,12)=0),IF(AND(Units!$L118=1,AF$1=Units!$Q118),1,Inputs!$B$15)*Inputs!$B$16*(1+Inputs!$B$11)^(AF$2-1),0)</f>
        <v>0</v>
      </c>
      <c r="AG119" s="11" t="n">
        <f aca="false">IF(AND(AG$1&gt;=Units!$Q118,MOD(AG$1-Units!$Q118,12)=0),IF(AND(Units!$L118=1,AG$1=Units!$Q118),1,Inputs!$B$15)*Inputs!$B$16*(1+Inputs!$B$11)^(AG$2-1),0)</f>
        <v>0</v>
      </c>
      <c r="AH119" s="11" t="n">
        <f aca="false">IF(AND(AH$1&gt;=Units!$Q118,MOD(AH$1-Units!$Q118,12)=0),IF(AND(Units!$L118=1,AH$1=Units!$Q118),1,Inputs!$B$15)*Inputs!$B$16*(1+Inputs!$B$11)^(AH$2-1),0)</f>
        <v>0</v>
      </c>
      <c r="AI119" s="11" t="n">
        <f aca="false">IF(AND(AI$1&gt;=Units!$Q118,MOD(AI$1-Units!$Q118,12)=0),IF(AND(Units!$L118=1,AI$1=Units!$Q118),1,Inputs!$B$15)*Inputs!$B$16*(1+Inputs!$B$11)^(AI$2-1),0)</f>
        <v>0</v>
      </c>
      <c r="AJ119" s="11" t="n">
        <f aca="false">IF(AND(AJ$1&gt;=Units!$Q118,MOD(AJ$1-Units!$Q118,12)=0),IF(AND(Units!$L118=1,AJ$1=Units!$Q118),1,Inputs!$B$15)*Inputs!$B$16*(1+Inputs!$B$11)^(AJ$2-1),0)</f>
        <v>0</v>
      </c>
      <c r="AK119" s="11" t="n">
        <f aca="false">IF(AND(AK$1&gt;=Units!$Q118,MOD(AK$1-Units!$Q118,12)=0),IF(AND(Units!$L118=1,AK$1=Units!$Q118),1,Inputs!$B$15)*Inputs!$B$16*(1+Inputs!$B$11)^(AK$2-1),0)</f>
        <v>0</v>
      </c>
      <c r="AL119" s="11" t="n">
        <f aca="false">IF(AND(AL$1&gt;=Units!$Q118,MOD(AL$1-Units!$Q118,12)=0),IF(AND(Units!$L118=1,AL$1=Units!$Q118),1,Inputs!$B$15)*Inputs!$B$16*(1+Inputs!$B$11)^(AL$2-1),0)</f>
        <v>0</v>
      </c>
      <c r="AM119" s="11" t="n">
        <f aca="false">IF(AND(AM$1&gt;=Units!$Q118,MOD(AM$1-Units!$Q118,12)=0),IF(AND(Units!$L118=1,AM$1=Units!$Q118),1,Inputs!$B$15)*Inputs!$B$16*(1+Inputs!$B$11)^(AM$2-1),0)</f>
        <v>546.3635</v>
      </c>
      <c r="AN119" s="11" t="n">
        <f aca="false">IF(AND(AN$1&gt;=Units!$Q118,MOD(AN$1-Units!$Q118,12)=0),IF(AND(Units!$L118=1,AN$1=Units!$Q118),1,Inputs!$B$15)*Inputs!$B$16*(1+Inputs!$B$11)^(AN$2-1),0)</f>
        <v>0</v>
      </c>
      <c r="AO119" s="11" t="n">
        <f aca="false">IF(AND(AO$1&gt;=Units!$Q118,MOD(AO$1-Units!$Q118,12)=0),IF(AND(Units!$L118=1,AO$1=Units!$Q118),1,Inputs!$B$15)*Inputs!$B$16*(1+Inputs!$B$11)^(AO$2-1),0)</f>
        <v>0</v>
      </c>
      <c r="AP119" s="11" t="n">
        <f aca="false">IF(AND(AP$1&gt;=Units!$Q118,MOD(AP$1-Units!$Q118,12)=0),IF(AND(Units!$L118=1,AP$1=Units!$Q118),1,Inputs!$B$15)*Inputs!$B$16*(1+Inputs!$B$11)^(AP$2-1),0)</f>
        <v>0</v>
      </c>
      <c r="AQ119" s="11" t="n">
        <f aca="false">IF(AND(AQ$1&gt;=Units!$Q118,MOD(AQ$1-Units!$Q118,12)=0),IF(AND(Units!$L118=1,AQ$1=Units!$Q118),1,Inputs!$B$15)*Inputs!$B$16*(1+Inputs!$B$11)^(AQ$2-1),0)</f>
        <v>0</v>
      </c>
      <c r="AR119" s="11" t="n">
        <f aca="false">IF(AND(AR$1&gt;=Units!$Q118,MOD(AR$1-Units!$Q118,12)=0),IF(AND(Units!$L118=1,AR$1=Units!$Q118),1,Inputs!$B$15)*Inputs!$B$16*(1+Inputs!$B$11)^(AR$2-1),0)</f>
        <v>0</v>
      </c>
      <c r="AS119" s="11" t="n">
        <f aca="false">IF(AND(AS$1&gt;=Units!$Q118,MOD(AS$1-Units!$Q118,12)=0),IF(AND(Units!$L118=1,AS$1=Units!$Q118),1,Inputs!$B$15)*Inputs!$B$16*(1+Inputs!$B$11)^(AS$2-1),0)</f>
        <v>0</v>
      </c>
      <c r="AT119" s="11" t="n">
        <f aca="false">IF(AND(AT$1&gt;=Units!$Q118,MOD(AT$1-Units!$Q118,12)=0),IF(AND(Units!$L118=1,AT$1=Units!$Q118),1,Inputs!$B$15)*Inputs!$B$16*(1+Inputs!$B$11)^(AT$2-1),0)</f>
        <v>0</v>
      </c>
      <c r="AU119" s="11" t="n">
        <f aca="false">IF(AND(AU$1&gt;=Units!$Q118,MOD(AU$1-Units!$Q118,12)=0),IF(AND(Units!$L118=1,AU$1=Units!$Q118),1,Inputs!$B$15)*Inputs!$B$16*(1+Inputs!$B$11)^(AU$2-1),0)</f>
        <v>0</v>
      </c>
      <c r="AV119" s="11" t="n">
        <f aca="false">IF(AND(AV$1&gt;=Units!$Q118,MOD(AV$1-Units!$Q118,12)=0),IF(AND(Units!$L118=1,AV$1=Units!$Q118),1,Inputs!$B$15)*Inputs!$B$16*(1+Inputs!$B$11)^(AV$2-1),0)</f>
        <v>0</v>
      </c>
      <c r="AW119" s="11" t="n">
        <f aca="false">IF(AND(AW$1&gt;=Units!$Q118,MOD(AW$1-Units!$Q118,12)=0),IF(AND(Units!$L118=1,AW$1=Units!$Q118),1,Inputs!$B$15)*Inputs!$B$16*(1+Inputs!$B$11)^(AW$2-1),0)</f>
        <v>0</v>
      </c>
      <c r="AX119" s="11" t="n">
        <f aca="false">IF(AND(AX$1&gt;=Units!$Q118,MOD(AX$1-Units!$Q118,12)=0),IF(AND(Units!$L118=1,AX$1=Units!$Q118),1,Inputs!$B$15)*Inputs!$B$16*(1+Inputs!$B$11)^(AX$2-1),0)</f>
        <v>0</v>
      </c>
      <c r="AY119" s="11" t="n">
        <f aca="false">IF(AND(AY$1&gt;=Units!$Q118,MOD(AY$1-Units!$Q118,12)=0),IF(AND(Units!$L118=1,AY$1=Units!$Q118),1,Inputs!$B$15)*Inputs!$B$16*(1+Inputs!$B$11)^(AY$2-1),0)</f>
        <v>562.754405</v>
      </c>
      <c r="AZ119" s="11" t="n">
        <f aca="false">IF(AND(AZ$1&gt;=Units!$Q118,MOD(AZ$1-Units!$Q118,12)=0),IF(AND(Units!$L118=1,AZ$1=Units!$Q118),1,Inputs!$B$15)*Inputs!$B$16*(1+Inputs!$B$11)^(AZ$2-1),0)</f>
        <v>0</v>
      </c>
      <c r="BA119" s="11" t="n">
        <f aca="false">IF(AND(BA$1&gt;=Units!$Q118,MOD(BA$1-Units!$Q118,12)=0),IF(AND(Units!$L118=1,BA$1=Units!$Q118),1,Inputs!$B$15)*Inputs!$B$16*(1+Inputs!$B$11)^(BA$2-1),0)</f>
        <v>0</v>
      </c>
      <c r="BB119" s="11" t="n">
        <f aca="false">IF(AND(BB$1&gt;=Units!$Q118,MOD(BB$1-Units!$Q118,12)=0),IF(AND(Units!$L118=1,BB$1=Units!$Q118),1,Inputs!$B$15)*Inputs!$B$16*(1+Inputs!$B$11)^(BB$2-1),0)</f>
        <v>0</v>
      </c>
      <c r="BC119" s="11" t="n">
        <f aca="false">IF(AND(BC$1&gt;=Units!$Q118,MOD(BC$1-Units!$Q118,12)=0),IF(AND(Units!$L118=1,BC$1=Units!$Q118),1,Inputs!$B$15)*Inputs!$B$16*(1+Inputs!$B$11)^(BC$2-1),0)</f>
        <v>0</v>
      </c>
      <c r="BD119" s="11" t="n">
        <f aca="false">IF(AND(BD$1&gt;=Units!$Q118,MOD(BD$1-Units!$Q118,12)=0),IF(AND(Units!$L118=1,BD$1=Units!$Q118),1,Inputs!$B$15)*Inputs!$B$16*(1+Inputs!$B$11)^(BD$2-1),0)</f>
        <v>0</v>
      </c>
      <c r="BE119" s="11" t="n">
        <f aca="false">IF(AND(BE$1&gt;=Units!$Q118,MOD(BE$1-Units!$Q118,12)=0),IF(AND(Units!$L118=1,BE$1=Units!$Q118),1,Inputs!$B$15)*Inputs!$B$16*(1+Inputs!$B$11)^(BE$2-1),0)</f>
        <v>0</v>
      </c>
      <c r="BF119" s="11" t="n">
        <f aca="false">IF(AND(BF$1&gt;=Units!$Q118,MOD(BF$1-Units!$Q118,12)=0),IF(AND(Units!$L118=1,BF$1=Units!$Q118),1,Inputs!$B$15)*Inputs!$B$16*(1+Inputs!$B$11)^(BF$2-1),0)</f>
        <v>0</v>
      </c>
      <c r="BG119" s="11" t="n">
        <f aca="false">IF(AND(BG$1&gt;=Units!$Q118,MOD(BG$1-Units!$Q118,12)=0),IF(AND(Units!$L118=1,BG$1=Units!$Q118),1,Inputs!$B$15)*Inputs!$B$16*(1+Inputs!$B$11)^(BG$2-1),0)</f>
        <v>0</v>
      </c>
      <c r="BH119" s="11" t="n">
        <f aca="false">IF(AND(BH$1&gt;=Units!$Q118,MOD(BH$1-Units!$Q118,12)=0),IF(AND(Units!$L118=1,BH$1=Units!$Q118),1,Inputs!$B$15)*Inputs!$B$16*(1+Inputs!$B$11)^(BH$2-1),0)</f>
        <v>0</v>
      </c>
      <c r="BI119" s="11" t="n">
        <f aca="false">IF(AND(BI$1&gt;=Units!$Q118,MOD(BI$1-Units!$Q118,12)=0),IF(AND(Units!$L118=1,BI$1=Units!$Q118),1,Inputs!$B$15)*Inputs!$B$16*(1+Inputs!$B$11)^(BI$2-1),0)</f>
        <v>0</v>
      </c>
      <c r="BJ119" s="11" t="n">
        <f aca="false">IF(AND(BJ$1&gt;=Units!$Q118,MOD(BJ$1-Units!$Q118,12)=0),IF(AND(Units!$L118=1,BJ$1=Units!$Q118),1,Inputs!$B$15)*Inputs!$B$16*(1+Inputs!$B$11)^(BJ$2-1),0)</f>
        <v>0</v>
      </c>
      <c r="BK119" s="11" t="n">
        <f aca="false">IF(AND(BK$1&gt;=Units!$Q118,MOD(BK$1-Units!$Q118,12)=0),IF(AND(Units!$L118=1,BK$1=Units!$Q118),1,Inputs!$B$15)*Inputs!$B$16*(1+Inputs!$B$11)^(BK$2-1),0)</f>
        <v>579.63703715</v>
      </c>
      <c r="BL119" s="11" t="n">
        <f aca="false">IF(AND(BL$1&gt;=Units!$Q118,MOD(BL$1-Units!$Q118,12)=0),IF(AND(Units!$L118=1,BL$1=Units!$Q118),1,Inputs!$B$15)*Inputs!$B$16*(1+Inputs!$B$11)^(BL$2-1),0)</f>
        <v>0</v>
      </c>
      <c r="BM119" s="11" t="n">
        <f aca="false">IF(AND(BM$1&gt;=Units!$Q118,MOD(BM$1-Units!$Q118,12)=0),IF(AND(Units!$L118=1,BM$1=Units!$Q118),1,Inputs!$B$15)*Inputs!$B$16*(1+Inputs!$B$11)^(BM$2-1),0)</f>
        <v>0</v>
      </c>
      <c r="BN119" s="11" t="n">
        <f aca="false">IF(AND(BN$1&gt;=Units!$Q118,MOD(BN$1-Units!$Q118,12)=0),IF(AND(Units!$L118=1,BN$1=Units!$Q118),1,Inputs!$B$15)*Inputs!$B$16*(1+Inputs!$B$11)^(BN$2-1),0)</f>
        <v>0</v>
      </c>
      <c r="BO119" s="11" t="n">
        <f aca="false">IF(AND(BO$1&gt;=Units!$Q118,MOD(BO$1-Units!$Q118,12)=0),IF(AND(Units!$L118=1,BO$1=Units!$Q118),1,Inputs!$B$15)*Inputs!$B$16*(1+Inputs!$B$11)^(BO$2-1),0)</f>
        <v>0</v>
      </c>
      <c r="BP119" s="11" t="n">
        <f aca="false">IF(AND(BP$1&gt;=Units!$Q118,MOD(BP$1-Units!$Q118,12)=0),IF(AND(Units!$L118=1,BP$1=Units!$Q118),1,Inputs!$B$15)*Inputs!$B$16*(1+Inputs!$B$11)^(BP$2-1),0)</f>
        <v>0</v>
      </c>
      <c r="BQ119" s="11" t="n">
        <f aca="false">IF(AND(BQ$1&gt;=Units!$Q118,MOD(BQ$1-Units!$Q118,12)=0),IF(AND(Units!$L118=1,BQ$1=Units!$Q118),1,Inputs!$B$15)*Inputs!$B$16*(1+Inputs!$B$11)^(BQ$2-1),0)</f>
        <v>0</v>
      </c>
      <c r="BR119" s="11" t="n">
        <f aca="false">IF(AND(BR$1&gt;=Units!$Q118,MOD(BR$1-Units!$Q118,12)=0),IF(AND(Units!$L118=1,BR$1=Units!$Q118),1,Inputs!$B$15)*Inputs!$B$16*(1+Inputs!$B$11)^(BR$2-1),0)</f>
        <v>0</v>
      </c>
      <c r="BS119" s="11" t="n">
        <f aca="false">IF(AND(BS$1&gt;=Units!$Q118,MOD(BS$1-Units!$Q118,12)=0),IF(AND(Units!$L118=1,BS$1=Units!$Q118),1,Inputs!$B$15)*Inputs!$B$16*(1+Inputs!$B$11)^(BS$2-1),0)</f>
        <v>0</v>
      </c>
      <c r="BT119" s="11" t="n">
        <f aca="false">IF(AND(BT$1&gt;=Units!$Q118,MOD(BT$1-Units!$Q118,12)=0),IF(AND(Units!$L118=1,BT$1=Units!$Q118),1,Inputs!$B$15)*Inputs!$B$16*(1+Inputs!$B$11)^(BT$2-1),0)</f>
        <v>0</v>
      </c>
      <c r="BU119" s="11" t="n">
        <f aca="false">IF(AND(BU$1&gt;=Units!$Q118,MOD(BU$1-Units!$Q118,12)=0),IF(AND(Units!$L118=1,BU$1=Units!$Q118),1,Inputs!$B$15)*Inputs!$B$16*(1+Inputs!$B$11)^(BU$2-1),0)</f>
        <v>0</v>
      </c>
      <c r="BV119" s="11" t="n">
        <f aca="false">IF(AND(BV$1&gt;=Units!$Q118,MOD(BV$1-Units!$Q118,12)=0),IF(AND(Units!$L118=1,BV$1=Units!$Q118),1,Inputs!$B$15)*Inputs!$B$16*(1+Inputs!$B$11)^(BV$2-1),0)</f>
        <v>0</v>
      </c>
      <c r="BW119" s="11" t="n">
        <f aca="false">IF(AND(BW$1&gt;=Units!$Q118,MOD(BW$1-Units!$Q118,12)=0),IF(AND(Units!$L118=1,BW$1=Units!$Q118),1,Inputs!$B$15)*Inputs!$B$16*(1+Inputs!$B$11)^(BW$2-1),0)</f>
        <v>597.0261482645</v>
      </c>
      <c r="BX119" s="11" t="n">
        <f aca="false">IF(AND(BX$1&gt;=Units!$Q118,MOD(BX$1-Units!$Q118,12)=0),IF(AND(Units!$L118=1,BX$1=Units!$Q118),1,Inputs!$B$15)*Inputs!$B$16*(1+Inputs!$B$11)^(BX$2-1),0)</f>
        <v>0</v>
      </c>
      <c r="BY119" s="11" t="n">
        <f aca="false">IF(AND(BY$1&gt;=Units!$Q118,MOD(BY$1-Units!$Q118,12)=0),IF(AND(Units!$L118=1,BY$1=Units!$Q118),1,Inputs!$B$15)*Inputs!$B$16*(1+Inputs!$B$11)^(BY$2-1),0)</f>
        <v>0</v>
      </c>
      <c r="BZ119" s="11" t="n">
        <f aca="false">IF(AND(BZ$1&gt;=Units!$Q118,MOD(BZ$1-Units!$Q118,12)=0),IF(AND(Units!$L118=1,BZ$1=Units!$Q118),1,Inputs!$B$15)*Inputs!$B$16*(1+Inputs!$B$11)^(BZ$2-1),0)</f>
        <v>0</v>
      </c>
      <c r="CA119" s="11" t="n">
        <f aca="false">IF(AND(CA$1&gt;=Units!$Q118,MOD(CA$1-Units!$Q118,12)=0),IF(AND(Units!$L118=1,CA$1=Units!$Q118),1,Inputs!$B$15)*Inputs!$B$16*(1+Inputs!$B$11)^(CA$2-1),0)</f>
        <v>0</v>
      </c>
      <c r="CB119" s="11" t="n">
        <f aca="false">IF(AND(CB$1&gt;=Units!$Q118,MOD(CB$1-Units!$Q118,12)=0),IF(AND(Units!$L118=1,CB$1=Units!$Q118),1,Inputs!$B$15)*Inputs!$B$16*(1+Inputs!$B$11)^(CB$2-1),0)</f>
        <v>0</v>
      </c>
      <c r="CC119" s="11" t="n">
        <f aca="false">IF(AND(CC$1&gt;=Units!$Q118,MOD(CC$1-Units!$Q118,12)=0),IF(AND(Units!$L118=1,CC$1=Units!$Q118),1,Inputs!$B$15)*Inputs!$B$16*(1+Inputs!$B$11)^(CC$2-1),0)</f>
        <v>0</v>
      </c>
      <c r="CD119" s="11" t="n">
        <f aca="false">IF(AND(CD$1&gt;=Units!$Q118,MOD(CD$1-Units!$Q118,12)=0),IF(AND(Units!$L118=1,CD$1=Units!$Q118),1,Inputs!$B$15)*Inputs!$B$16*(1+Inputs!$B$11)^(CD$2-1),0)</f>
        <v>0</v>
      </c>
      <c r="CE119" s="11" t="n">
        <f aca="false">IF(AND(CE$1&gt;=Units!$Q118,MOD(CE$1-Units!$Q118,12)=0),IF(AND(Units!$L118=1,CE$1=Units!$Q118),1,Inputs!$B$15)*Inputs!$B$16*(1+Inputs!$B$11)^(CE$2-1),0)</f>
        <v>0</v>
      </c>
      <c r="CF119" s="11" t="n">
        <f aca="false">IF(AND(CF$1&gt;=Units!$Q118,MOD(CF$1-Units!$Q118,12)=0),IF(AND(Units!$L118=1,CF$1=Units!$Q118),1,Inputs!$B$15)*Inputs!$B$16*(1+Inputs!$B$11)^(CF$2-1),0)</f>
        <v>0</v>
      </c>
      <c r="CG119" s="11" t="n">
        <f aca="false">IF(AND(CG$1&gt;=Units!$Q118,MOD(CG$1-Units!$Q118,12)=0),IF(AND(Units!$L118=1,CG$1=Units!$Q118),1,Inputs!$B$15)*Inputs!$B$16*(1+Inputs!$B$11)^(CG$2-1),0)</f>
        <v>0</v>
      </c>
      <c r="CH119" s="11" t="n">
        <f aca="false">IF(AND(CH$1&gt;=Units!$Q118,MOD(CH$1-Units!$Q118,12)=0),IF(AND(Units!$L118=1,CH$1=Units!$Q118),1,Inputs!$B$15)*Inputs!$B$16*(1+Inputs!$B$11)^(CH$2-1),0)</f>
        <v>0</v>
      </c>
      <c r="CI119" s="11" t="n">
        <f aca="false">IF(AND(CI$1&gt;=Units!$Q118,MOD(CI$1-Units!$Q118,12)=0),IF(AND(Units!$L118=1,CI$1=Units!$Q118),1,Inputs!$B$15)*Inputs!$B$16*(1+Inputs!$B$11)^(CI$2-1),0)</f>
        <v>614.936932712435</v>
      </c>
      <c r="CJ119" s="11" t="n">
        <f aca="false">IF(AND(CJ$1&gt;=Units!$Q118,MOD(CJ$1-Units!$Q118,12)=0),IF(AND(Units!$L118=1,CJ$1=Units!$Q118),1,Inputs!$B$15)*Inputs!$B$16*(1+Inputs!$B$11)^(CJ$2-1),0)</f>
        <v>0</v>
      </c>
      <c r="CK119" s="11" t="n">
        <f aca="false">IF(AND(CK$1&gt;=Units!$Q118,MOD(CK$1-Units!$Q118,12)=0),IF(AND(Units!$L118=1,CK$1=Units!$Q118),1,Inputs!$B$15)*Inputs!$B$16*(1+Inputs!$B$11)^(CK$2-1),0)</f>
        <v>0</v>
      </c>
      <c r="CL119" s="11" t="n">
        <f aca="false">IF(AND(CL$1&gt;=Units!$Q118,MOD(CL$1-Units!$Q118,12)=0),IF(AND(Units!$L118=1,CL$1=Units!$Q118),1,Inputs!$B$15)*Inputs!$B$16*(1+Inputs!$B$11)^(CL$2-1),0)</f>
        <v>0</v>
      </c>
      <c r="CM119" s="11" t="n">
        <f aca="false">IF(AND(CM$1&gt;=Units!$Q118,MOD(CM$1-Units!$Q118,12)=0),IF(AND(Units!$L118=1,CM$1=Units!$Q118),1,Inputs!$B$15)*Inputs!$B$16*(1+Inputs!$B$11)^(CM$2-1),0)</f>
        <v>0</v>
      </c>
      <c r="CN119" s="11" t="n">
        <f aca="false">IF(AND(CN$1&gt;=Units!$Q118,MOD(CN$1-Units!$Q118,12)=0),IF(AND(Units!$L118=1,CN$1=Units!$Q118),1,Inputs!$B$15)*Inputs!$B$16*(1+Inputs!$B$11)^(CN$2-1),0)</f>
        <v>0</v>
      </c>
      <c r="CO119" s="11" t="n">
        <f aca="false">IF(AND(CO$1&gt;=Units!$Q118,MOD(CO$1-Units!$Q118,12)=0),IF(AND(Units!$L118=1,CO$1=Units!$Q118),1,Inputs!$B$15)*Inputs!$B$16*(1+Inputs!$B$11)^(CO$2-1),0)</f>
        <v>0</v>
      </c>
      <c r="CP119" s="11" t="n">
        <f aca="false">IF(AND(CP$1&gt;=Units!$Q118,MOD(CP$1-Units!$Q118,12)=0),IF(AND(Units!$L118=1,CP$1=Units!$Q118),1,Inputs!$B$15)*Inputs!$B$16*(1+Inputs!$B$11)^(CP$2-1),0)</f>
        <v>0</v>
      </c>
      <c r="CQ119" s="11" t="n">
        <f aca="false">IF(AND(CQ$1&gt;=Units!$Q118,MOD(CQ$1-Units!$Q118,12)=0),IF(AND(Units!$L118=1,CQ$1=Units!$Q118),1,Inputs!$B$15)*Inputs!$B$16*(1+Inputs!$B$11)^(CQ$2-1),0)</f>
        <v>0</v>
      </c>
      <c r="CR119" s="11" t="n">
        <f aca="false">IF(AND(CR$1&gt;=Units!$Q118,MOD(CR$1-Units!$Q118,12)=0),IF(AND(Units!$L118=1,CR$1=Units!$Q118),1,Inputs!$B$15)*Inputs!$B$16*(1+Inputs!$B$11)^(CR$2-1),0)</f>
        <v>0</v>
      </c>
      <c r="CS119" s="11" t="n">
        <f aca="false">IF(AND(CS$1&gt;=Units!$Q118,MOD(CS$1-Units!$Q118,12)=0),IF(AND(Units!$L118=1,CS$1=Units!$Q118),1,Inputs!$B$15)*Inputs!$B$16*(1+Inputs!$B$11)^(CS$2-1),0)</f>
        <v>0</v>
      </c>
      <c r="CT119" s="11" t="n">
        <f aca="false">IF(AND(CT$1&gt;=Units!$Q118,MOD(CT$1-Units!$Q118,12)=0),IF(AND(Units!$L118=1,CT$1=Units!$Q118),1,Inputs!$B$15)*Inputs!$B$16*(1+Inputs!$B$11)^(CT$2-1),0)</f>
        <v>0</v>
      </c>
      <c r="CU119" s="11" t="n">
        <f aca="false">IF(AND(CU$1&gt;=Units!$Q118,MOD(CU$1-Units!$Q118,12)=0),IF(AND(Units!$L118=1,CU$1=Units!$Q118),1,Inputs!$B$15)*Inputs!$B$16*(1+Inputs!$B$11)^(CU$2-1),0)</f>
        <v>633.385040693808</v>
      </c>
      <c r="CV119" s="11" t="n">
        <f aca="false">IF(AND(CV$1&gt;=Units!$Q118,MOD(CV$1-Units!$Q118,12)=0),IF(AND(Units!$L118=1,CV$1=Units!$Q118),1,Inputs!$B$15)*Inputs!$B$16*(1+Inputs!$B$11)^(CV$2-1),0)</f>
        <v>0</v>
      </c>
      <c r="CW119" s="11" t="n">
        <f aca="false">IF(AND(CW$1&gt;=Units!$Q118,MOD(CW$1-Units!$Q118,12)=0),IF(AND(Units!$L118=1,CW$1=Units!$Q118),1,Inputs!$B$15)*Inputs!$B$16*(1+Inputs!$B$11)^(CW$2-1),0)</f>
        <v>0</v>
      </c>
      <c r="CX119" s="11" t="n">
        <f aca="false">IF(AND(CX$1&gt;=Units!$Q118,MOD(CX$1-Units!$Q118,12)=0),IF(AND(Units!$L118=1,CX$1=Units!$Q118),1,Inputs!$B$15)*Inputs!$B$16*(1+Inputs!$B$11)^(CX$2-1),0)</f>
        <v>0</v>
      </c>
      <c r="CY119" s="11" t="n">
        <f aca="false">IF(AND(CY$1&gt;=Units!$Q118,MOD(CY$1-Units!$Q118,12)=0),IF(AND(Units!$L118=1,CY$1=Units!$Q118),1,Inputs!$B$15)*Inputs!$B$16*(1+Inputs!$B$11)^(CY$2-1),0)</f>
        <v>0</v>
      </c>
      <c r="CZ119" s="11" t="n">
        <f aca="false">IF(AND(CZ$1&gt;=Units!$Q118,MOD(CZ$1-Units!$Q118,12)=0),IF(AND(Units!$L118=1,CZ$1=Units!$Q118),1,Inputs!$B$15)*Inputs!$B$16*(1+Inputs!$B$11)^(CZ$2-1),0)</f>
        <v>0</v>
      </c>
      <c r="DA119" s="11" t="n">
        <f aca="false">IF(AND(DA$1&gt;=Units!$Q118,MOD(DA$1-Units!$Q118,12)=0),IF(AND(Units!$L118=1,DA$1=Units!$Q118),1,Inputs!$B$15)*Inputs!$B$16*(1+Inputs!$B$11)^(DA$2-1),0)</f>
        <v>0</v>
      </c>
      <c r="DB119" s="11" t="n">
        <f aca="false">IF(AND(DB$1&gt;=Units!$Q118,MOD(DB$1-Units!$Q118,12)=0),IF(AND(Units!$L118=1,DB$1=Units!$Q118),1,Inputs!$B$15)*Inputs!$B$16*(1+Inputs!$B$11)^(DB$2-1),0)</f>
        <v>0</v>
      </c>
      <c r="DC119" s="11" t="n">
        <f aca="false">IF(AND(DC$1&gt;=Units!$Q118,MOD(DC$1-Units!$Q118,12)=0),IF(AND(Units!$L118=1,DC$1=Units!$Q118),1,Inputs!$B$15)*Inputs!$B$16*(1+Inputs!$B$11)^(DC$2-1),0)</f>
        <v>0</v>
      </c>
      <c r="DD119" s="11" t="n">
        <f aca="false">IF(AND(DD$1&gt;=Units!$Q118,MOD(DD$1-Units!$Q118,12)=0),IF(AND(Units!$L118=1,DD$1=Units!$Q118),1,Inputs!$B$15)*Inputs!$B$16*(1+Inputs!$B$11)^(DD$2-1),0)</f>
        <v>0</v>
      </c>
      <c r="DE119" s="11" t="n">
        <f aca="false">IF(AND(DE$1&gt;=Units!$Q118,MOD(DE$1-Units!$Q118,12)=0),IF(AND(Units!$L118=1,DE$1=Units!$Q118),1,Inputs!$B$15)*Inputs!$B$16*(1+Inputs!$B$11)^(DE$2-1),0)</f>
        <v>0</v>
      </c>
      <c r="DF119" s="11" t="n">
        <f aca="false">IF(AND(DF$1&gt;=Units!$Q118,MOD(DF$1-Units!$Q118,12)=0),IF(AND(Units!$L118=1,DF$1=Units!$Q118),1,Inputs!$B$15)*Inputs!$B$16*(1+Inputs!$B$11)^(DF$2-1),0)</f>
        <v>0</v>
      </c>
      <c r="DG119" s="11" t="n">
        <f aca="false">IF(AND(DG$1&gt;=Units!$Q118,MOD(DG$1-Units!$Q118,12)=0),IF(AND(Units!$L118=1,DG$1=Units!$Q118),1,Inputs!$B$15)*Inputs!$B$16*(1+Inputs!$B$11)^(DG$2-1),0)</f>
        <v>652.386591914623</v>
      </c>
      <c r="DH119" s="11" t="n">
        <f aca="false">IF(AND(DH$1&gt;=Units!$Q118,MOD(DH$1-Units!$Q118,12)=0),IF(AND(Units!$L118=1,DH$1=Units!$Q118),1,Inputs!$B$15)*Inputs!$B$16*(1+Inputs!$B$11)^(DH$2-1),0)</f>
        <v>0</v>
      </c>
      <c r="DI119" s="11" t="n">
        <f aca="false">IF(AND(DI$1&gt;=Units!$Q118,MOD(DI$1-Units!$Q118,12)=0),IF(AND(Units!$L118=1,DI$1=Units!$Q118),1,Inputs!$B$15)*Inputs!$B$16*(1+Inputs!$B$11)^(DI$2-1),0)</f>
        <v>0</v>
      </c>
      <c r="DJ119" s="11" t="n">
        <f aca="false">IF(AND(DJ$1&gt;=Units!$Q118,MOD(DJ$1-Units!$Q118,12)=0),IF(AND(Units!$L118=1,DJ$1=Units!$Q118),1,Inputs!$B$15)*Inputs!$B$16*(1+Inputs!$B$11)^(DJ$2-1),0)</f>
        <v>0</v>
      </c>
      <c r="DK119" s="11" t="n">
        <f aca="false">IF(AND(DK$1&gt;=Units!$Q118,MOD(DK$1-Units!$Q118,12)=0),IF(AND(Units!$L118=1,DK$1=Units!$Q118),1,Inputs!$B$15)*Inputs!$B$16*(1+Inputs!$B$11)^(DK$2-1),0)</f>
        <v>0</v>
      </c>
      <c r="DL119" s="11" t="n">
        <f aca="false">IF(AND(DL$1&gt;=Units!$Q118,MOD(DL$1-Units!$Q118,12)=0),IF(AND(Units!$L118=1,DL$1=Units!$Q118),1,Inputs!$B$15)*Inputs!$B$16*(1+Inputs!$B$11)^(DL$2-1),0)</f>
        <v>0</v>
      </c>
      <c r="DM119" s="11" t="n">
        <f aca="false">IF(AND(DM$1&gt;=Units!$Q118,MOD(DM$1-Units!$Q118,12)=0),IF(AND(Units!$L118=1,DM$1=Units!$Q118),1,Inputs!$B$15)*Inputs!$B$16*(1+Inputs!$B$11)^(DM$2-1),0)</f>
        <v>0</v>
      </c>
      <c r="DN119" s="11" t="n">
        <f aca="false">IF(AND(DN$1&gt;=Units!$Q118,MOD(DN$1-Units!$Q118,12)=0),IF(AND(Units!$L118=1,DN$1=Units!$Q118),1,Inputs!$B$15)*Inputs!$B$16*(1+Inputs!$B$11)^(DN$2-1),0)</f>
        <v>0</v>
      </c>
      <c r="DO119" s="11" t="n">
        <f aca="false">IF(AND(DO$1&gt;=Units!$Q118,MOD(DO$1-Units!$Q118,12)=0),IF(AND(Units!$L118=1,DO$1=Units!$Q118),1,Inputs!$B$15)*Inputs!$B$16*(1+Inputs!$B$11)^(DO$2-1),0)</f>
        <v>0</v>
      </c>
      <c r="DP119" s="11" t="n">
        <f aca="false">IF(AND(DP$1&gt;=Units!$Q118,MOD(DP$1-Units!$Q118,12)=0),IF(AND(Units!$L118=1,DP$1=Units!$Q118),1,Inputs!$B$15)*Inputs!$B$16*(1+Inputs!$B$11)^(DP$2-1),0)</f>
        <v>0</v>
      </c>
      <c r="DQ119" s="11" t="n">
        <f aca="false">IF(AND(DQ$1&gt;=Units!$Q118,MOD(DQ$1-Units!$Q118,12)=0),IF(AND(Units!$L118=1,DQ$1=Units!$Q118),1,Inputs!$B$15)*Inputs!$B$16*(1+Inputs!$B$11)^(DQ$2-1),0)</f>
        <v>0</v>
      </c>
      <c r="DR119" s="11" t="n">
        <f aca="false">IF(AND(DR$1&gt;=Units!$Q118,MOD(DR$1-Units!$Q118,12)=0),IF(AND(Units!$L118=1,DR$1=Units!$Q118),1,Inputs!$B$15)*Inputs!$B$16*(1+Inputs!$B$11)^(DR$2-1),0)</f>
        <v>0</v>
      </c>
      <c r="DS119" s="11" t="n">
        <f aca="false">IF(AND(DS$1&gt;=Units!$Q118,MOD(DS$1-Units!$Q118,12)=0),IF(AND(Units!$L118=1,DS$1=Units!$Q118),1,Inputs!$B$15)*Inputs!$B$16*(1+Inputs!$B$11)^(DS$2-1),0)</f>
        <v>671.958189672061</v>
      </c>
      <c r="DT119" s="11" t="n">
        <f aca="false">IF(AND(DT$1&gt;=Units!$Q118,MOD(DT$1-Units!$Q118,12)=0),IF(AND(Units!$L118=1,DT$1=Units!$Q118),1,Inputs!$B$15)*Inputs!$B$16*(1+Inputs!$B$11)^(DT$2-1),0)</f>
        <v>0</v>
      </c>
      <c r="DU119" s="11" t="n">
        <f aca="false">IF(AND(DU$1&gt;=Units!$Q118,MOD(DU$1-Units!$Q118,12)=0),IF(AND(Units!$L118=1,DU$1=Units!$Q118),1,Inputs!$B$15)*Inputs!$B$16*(1+Inputs!$B$11)^(DU$2-1),0)</f>
        <v>0</v>
      </c>
      <c r="DV119" s="11" t="n">
        <f aca="false">IF(AND(DV$1&gt;=Units!$Q118,MOD(DV$1-Units!$Q118,12)=0),IF(AND(Units!$L118=1,DV$1=Units!$Q118),1,Inputs!$B$15)*Inputs!$B$16*(1+Inputs!$B$11)^(DV$2-1),0)</f>
        <v>0</v>
      </c>
      <c r="DW119" s="11" t="n">
        <f aca="false">IF(AND(DW$1&gt;=Units!$Q118,MOD(DW$1-Units!$Q118,12)=0),IF(AND(Units!$L118=1,DW$1=Units!$Q118),1,Inputs!$B$15)*Inputs!$B$16*(1+Inputs!$B$11)^(DW$2-1),0)</f>
        <v>0</v>
      </c>
      <c r="DX119" s="11" t="n">
        <f aca="false">IF(AND(DX$1&gt;=Units!$Q118,MOD(DX$1-Units!$Q118,12)=0),IF(AND(Units!$L118=1,DX$1=Units!$Q118),1,Inputs!$B$15)*Inputs!$B$16*(1+Inputs!$B$11)^(DX$2-1),0)</f>
        <v>0</v>
      </c>
      <c r="DY119" s="11" t="n">
        <f aca="false">IF(AND(DY$1&gt;=Units!$Q118,MOD(DY$1-Units!$Q118,12)=0),IF(AND(Units!$L118=1,DY$1=Units!$Q118),1,Inputs!$B$15)*Inputs!$B$16*(1+Inputs!$B$11)^(DY$2-1),0)</f>
        <v>0</v>
      </c>
      <c r="DZ119" s="11" t="n">
        <f aca="false">IF(AND(DZ$1&gt;=Units!$Q118,MOD(DZ$1-Units!$Q118,12)=0),IF(AND(Units!$L118=1,DZ$1=Units!$Q118),1,Inputs!$B$15)*Inputs!$B$16*(1+Inputs!$B$11)^(DZ$2-1),0)</f>
        <v>0</v>
      </c>
      <c r="EA119" s="11" t="n">
        <f aca="false">IF(AND(EA$1&gt;=Units!$Q118,MOD(EA$1-Units!$Q118,12)=0),IF(AND(Units!$L118=1,EA$1=Units!$Q118),1,Inputs!$B$15)*Inputs!$B$16*(1+Inputs!$B$11)^(EA$2-1),0)</f>
        <v>0</v>
      </c>
      <c r="EB119" s="11" t="n">
        <f aca="false">IF(AND(EB$1&gt;=Units!$Q118,MOD(EB$1-Units!$Q118,12)=0),IF(AND(Units!$L118=1,EB$1=Units!$Q118),1,Inputs!$B$15)*Inputs!$B$16*(1+Inputs!$B$11)^(EB$2-1),0)</f>
        <v>0</v>
      </c>
      <c r="EC119" s="11" t="n">
        <f aca="false">IF(AND(EC$1&gt;=Units!$Q118,MOD(EC$1-Units!$Q118,12)=0),IF(AND(Units!$L118=1,EC$1=Units!$Q118),1,Inputs!$B$15)*Inputs!$B$16*(1+Inputs!$B$11)^(EC$2-1),0)</f>
        <v>0</v>
      </c>
      <c r="ED119" s="11" t="n">
        <f aca="false">IF(AND(ED$1&gt;=Units!$Q118,MOD(ED$1-Units!$Q118,12)=0),IF(AND(Units!$L118=1,ED$1=Units!$Q118),1,Inputs!$B$15)*Inputs!$B$16*(1+Inputs!$B$11)^(ED$2-1),0)</f>
        <v>0</v>
      </c>
    </row>
    <row r="120" customFormat="false" ht="15" hidden="false" customHeight="false" outlineLevel="0" collapsed="false">
      <c r="A120" s="22" t="n">
        <f aca="false">Units!A119</f>
        <v>428</v>
      </c>
      <c r="B120" s="23"/>
      <c r="C120" s="11" t="n">
        <f aca="false">IF(AND(C$1&gt;=Units!$Q119,MOD(C$1-Units!$Q119,12)=0),IF(AND(Units!$L119=1,C$1=Units!$Q119),1,Inputs!$B$15)*Inputs!$B$16*(1+Inputs!$B$11)^(C$2-1),0)</f>
        <v>0</v>
      </c>
      <c r="D120" s="11" t="n">
        <f aca="false">IF(AND(D$1&gt;=Units!$Q119,MOD(D$1-Units!$Q119,12)=0),IF(AND(Units!$L119=1,D$1=Units!$Q119),1,Inputs!$B$15)*Inputs!$B$16*(1+Inputs!$B$11)^(D$2-1),0)</f>
        <v>0</v>
      </c>
      <c r="E120" s="11" t="n">
        <f aca="false">IF(AND(E$1&gt;=Units!$Q119,MOD(E$1-Units!$Q119,12)=0),IF(AND(Units!$L119=1,E$1=Units!$Q119),1,Inputs!$B$15)*Inputs!$B$16*(1+Inputs!$B$11)^(E$2-1),0)</f>
        <v>0</v>
      </c>
      <c r="F120" s="11" t="n">
        <f aca="false">IF(AND(F$1&gt;=Units!$Q119,MOD(F$1-Units!$Q119,12)=0),IF(AND(Units!$L119=1,F$1=Units!$Q119),1,Inputs!$B$15)*Inputs!$B$16*(1+Inputs!$B$11)^(F$2-1),0)</f>
        <v>0</v>
      </c>
      <c r="G120" s="11" t="n">
        <f aca="false">IF(AND(G$1&gt;=Units!$Q119,MOD(G$1-Units!$Q119,12)=0),IF(AND(Units!$L119=1,G$1=Units!$Q119),1,Inputs!$B$15)*Inputs!$B$16*(1+Inputs!$B$11)^(G$2-1),0)</f>
        <v>0</v>
      </c>
      <c r="H120" s="11" t="n">
        <f aca="false">IF(AND(H$1&gt;=Units!$Q119,MOD(H$1-Units!$Q119,12)=0),IF(AND(Units!$L119=1,H$1=Units!$Q119),1,Inputs!$B$15)*Inputs!$B$16*(1+Inputs!$B$11)^(H$2-1),0)</f>
        <v>0</v>
      </c>
      <c r="I120" s="11" t="n">
        <f aca="false">IF(AND(I$1&gt;=Units!$Q119,MOD(I$1-Units!$Q119,12)=0),IF(AND(Units!$L119=1,I$1=Units!$Q119),1,Inputs!$B$15)*Inputs!$B$16*(1+Inputs!$B$11)^(I$2-1),0)</f>
        <v>500</v>
      </c>
      <c r="J120" s="11" t="n">
        <f aca="false">IF(AND(J$1&gt;=Units!$Q119,MOD(J$1-Units!$Q119,12)=0),IF(AND(Units!$L119=1,J$1=Units!$Q119),1,Inputs!$B$15)*Inputs!$B$16*(1+Inputs!$B$11)^(J$2-1),0)</f>
        <v>0</v>
      </c>
      <c r="K120" s="11" t="n">
        <f aca="false">IF(AND(K$1&gt;=Units!$Q119,MOD(K$1-Units!$Q119,12)=0),IF(AND(Units!$L119=1,K$1=Units!$Q119),1,Inputs!$B$15)*Inputs!$B$16*(1+Inputs!$B$11)^(K$2-1),0)</f>
        <v>0</v>
      </c>
      <c r="L120" s="11" t="n">
        <f aca="false">IF(AND(L$1&gt;=Units!$Q119,MOD(L$1-Units!$Q119,12)=0),IF(AND(Units!$L119=1,L$1=Units!$Q119),1,Inputs!$B$15)*Inputs!$B$16*(1+Inputs!$B$11)^(L$2-1),0)</f>
        <v>0</v>
      </c>
      <c r="M120" s="11" t="n">
        <f aca="false">IF(AND(M$1&gt;=Units!$Q119,MOD(M$1-Units!$Q119,12)=0),IF(AND(Units!$L119=1,M$1=Units!$Q119),1,Inputs!$B$15)*Inputs!$B$16*(1+Inputs!$B$11)^(M$2-1),0)</f>
        <v>0</v>
      </c>
      <c r="N120" s="11" t="n">
        <f aca="false">IF(AND(N$1&gt;=Units!$Q119,MOD(N$1-Units!$Q119,12)=0),IF(AND(Units!$L119=1,N$1=Units!$Q119),1,Inputs!$B$15)*Inputs!$B$16*(1+Inputs!$B$11)^(N$2-1),0)</f>
        <v>0</v>
      </c>
      <c r="O120" s="11" t="n">
        <f aca="false">IF(AND(O$1&gt;=Units!$Q119,MOD(O$1-Units!$Q119,12)=0),IF(AND(Units!$L119=1,O$1=Units!$Q119),1,Inputs!$B$15)*Inputs!$B$16*(1+Inputs!$B$11)^(O$2-1),0)</f>
        <v>0</v>
      </c>
      <c r="P120" s="11" t="n">
        <f aca="false">IF(AND(P$1&gt;=Units!$Q119,MOD(P$1-Units!$Q119,12)=0),IF(AND(Units!$L119=1,P$1=Units!$Q119),1,Inputs!$B$15)*Inputs!$B$16*(1+Inputs!$B$11)^(P$2-1),0)</f>
        <v>0</v>
      </c>
      <c r="Q120" s="11" t="n">
        <f aca="false">IF(AND(Q$1&gt;=Units!$Q119,MOD(Q$1-Units!$Q119,12)=0),IF(AND(Units!$L119=1,Q$1=Units!$Q119),1,Inputs!$B$15)*Inputs!$B$16*(1+Inputs!$B$11)^(Q$2-1),0)</f>
        <v>0</v>
      </c>
      <c r="R120" s="11" t="n">
        <f aca="false">IF(AND(R$1&gt;=Units!$Q119,MOD(R$1-Units!$Q119,12)=0),IF(AND(Units!$L119=1,R$1=Units!$Q119),1,Inputs!$B$15)*Inputs!$B$16*(1+Inputs!$B$11)^(R$2-1),0)</f>
        <v>0</v>
      </c>
      <c r="S120" s="11" t="n">
        <f aca="false">IF(AND(S$1&gt;=Units!$Q119,MOD(S$1-Units!$Q119,12)=0),IF(AND(Units!$L119=1,S$1=Units!$Q119),1,Inputs!$B$15)*Inputs!$B$16*(1+Inputs!$B$11)^(S$2-1),0)</f>
        <v>0</v>
      </c>
      <c r="T120" s="11" t="n">
        <f aca="false">IF(AND(T$1&gt;=Units!$Q119,MOD(T$1-Units!$Q119,12)=0),IF(AND(Units!$L119=1,T$1=Units!$Q119),1,Inputs!$B$15)*Inputs!$B$16*(1+Inputs!$B$11)^(T$2-1),0)</f>
        <v>0</v>
      </c>
      <c r="U120" s="11" t="n">
        <f aca="false">IF(AND(U$1&gt;=Units!$Q119,MOD(U$1-Units!$Q119,12)=0),IF(AND(Units!$L119=1,U$1=Units!$Q119),1,Inputs!$B$15)*Inputs!$B$16*(1+Inputs!$B$11)^(U$2-1),0)</f>
        <v>515</v>
      </c>
      <c r="V120" s="11" t="n">
        <f aca="false">IF(AND(V$1&gt;=Units!$Q119,MOD(V$1-Units!$Q119,12)=0),IF(AND(Units!$L119=1,V$1=Units!$Q119),1,Inputs!$B$15)*Inputs!$B$16*(1+Inputs!$B$11)^(V$2-1),0)</f>
        <v>0</v>
      </c>
      <c r="W120" s="11" t="n">
        <f aca="false">IF(AND(W$1&gt;=Units!$Q119,MOD(W$1-Units!$Q119,12)=0),IF(AND(Units!$L119=1,W$1=Units!$Q119),1,Inputs!$B$15)*Inputs!$B$16*(1+Inputs!$B$11)^(W$2-1),0)</f>
        <v>0</v>
      </c>
      <c r="X120" s="11" t="n">
        <f aca="false">IF(AND(X$1&gt;=Units!$Q119,MOD(X$1-Units!$Q119,12)=0),IF(AND(Units!$L119=1,X$1=Units!$Q119),1,Inputs!$B$15)*Inputs!$B$16*(1+Inputs!$B$11)^(X$2-1),0)</f>
        <v>0</v>
      </c>
      <c r="Y120" s="11" t="n">
        <f aca="false">IF(AND(Y$1&gt;=Units!$Q119,MOD(Y$1-Units!$Q119,12)=0),IF(AND(Units!$L119=1,Y$1=Units!$Q119),1,Inputs!$B$15)*Inputs!$B$16*(1+Inputs!$B$11)^(Y$2-1),0)</f>
        <v>0</v>
      </c>
      <c r="Z120" s="11" t="n">
        <f aca="false">IF(AND(Z$1&gt;=Units!$Q119,MOD(Z$1-Units!$Q119,12)=0),IF(AND(Units!$L119=1,Z$1=Units!$Q119),1,Inputs!$B$15)*Inputs!$B$16*(1+Inputs!$B$11)^(Z$2-1),0)</f>
        <v>0</v>
      </c>
      <c r="AA120" s="11" t="n">
        <f aca="false">IF(AND(AA$1&gt;=Units!$Q119,MOD(AA$1-Units!$Q119,12)=0),IF(AND(Units!$L119=1,AA$1=Units!$Q119),1,Inputs!$B$15)*Inputs!$B$16*(1+Inputs!$B$11)^(AA$2-1),0)</f>
        <v>0</v>
      </c>
      <c r="AB120" s="11" t="n">
        <f aca="false">IF(AND(AB$1&gt;=Units!$Q119,MOD(AB$1-Units!$Q119,12)=0),IF(AND(Units!$L119=1,AB$1=Units!$Q119),1,Inputs!$B$15)*Inputs!$B$16*(1+Inputs!$B$11)^(AB$2-1),0)</f>
        <v>0</v>
      </c>
      <c r="AC120" s="11" t="n">
        <f aca="false">IF(AND(AC$1&gt;=Units!$Q119,MOD(AC$1-Units!$Q119,12)=0),IF(AND(Units!$L119=1,AC$1=Units!$Q119),1,Inputs!$B$15)*Inputs!$B$16*(1+Inputs!$B$11)^(AC$2-1),0)</f>
        <v>0</v>
      </c>
      <c r="AD120" s="11" t="n">
        <f aca="false">IF(AND(AD$1&gt;=Units!$Q119,MOD(AD$1-Units!$Q119,12)=0),IF(AND(Units!$L119=1,AD$1=Units!$Q119),1,Inputs!$B$15)*Inputs!$B$16*(1+Inputs!$B$11)^(AD$2-1),0)</f>
        <v>0</v>
      </c>
      <c r="AE120" s="11" t="n">
        <f aca="false">IF(AND(AE$1&gt;=Units!$Q119,MOD(AE$1-Units!$Q119,12)=0),IF(AND(Units!$L119=1,AE$1=Units!$Q119),1,Inputs!$B$15)*Inputs!$B$16*(1+Inputs!$B$11)^(AE$2-1),0)</f>
        <v>0</v>
      </c>
      <c r="AF120" s="11" t="n">
        <f aca="false">IF(AND(AF$1&gt;=Units!$Q119,MOD(AF$1-Units!$Q119,12)=0),IF(AND(Units!$L119=1,AF$1=Units!$Q119),1,Inputs!$B$15)*Inputs!$B$16*(1+Inputs!$B$11)^(AF$2-1),0)</f>
        <v>0</v>
      </c>
      <c r="AG120" s="11" t="n">
        <f aca="false">IF(AND(AG$1&gt;=Units!$Q119,MOD(AG$1-Units!$Q119,12)=0),IF(AND(Units!$L119=1,AG$1=Units!$Q119),1,Inputs!$B$15)*Inputs!$B$16*(1+Inputs!$B$11)^(AG$2-1),0)</f>
        <v>530.45</v>
      </c>
      <c r="AH120" s="11" t="n">
        <f aca="false">IF(AND(AH$1&gt;=Units!$Q119,MOD(AH$1-Units!$Q119,12)=0),IF(AND(Units!$L119=1,AH$1=Units!$Q119),1,Inputs!$B$15)*Inputs!$B$16*(1+Inputs!$B$11)^(AH$2-1),0)</f>
        <v>0</v>
      </c>
      <c r="AI120" s="11" t="n">
        <f aca="false">IF(AND(AI$1&gt;=Units!$Q119,MOD(AI$1-Units!$Q119,12)=0),IF(AND(Units!$L119=1,AI$1=Units!$Q119),1,Inputs!$B$15)*Inputs!$B$16*(1+Inputs!$B$11)^(AI$2-1),0)</f>
        <v>0</v>
      </c>
      <c r="AJ120" s="11" t="n">
        <f aca="false">IF(AND(AJ$1&gt;=Units!$Q119,MOD(AJ$1-Units!$Q119,12)=0),IF(AND(Units!$L119=1,AJ$1=Units!$Q119),1,Inputs!$B$15)*Inputs!$B$16*(1+Inputs!$B$11)^(AJ$2-1),0)</f>
        <v>0</v>
      </c>
      <c r="AK120" s="11" t="n">
        <f aca="false">IF(AND(AK$1&gt;=Units!$Q119,MOD(AK$1-Units!$Q119,12)=0),IF(AND(Units!$L119=1,AK$1=Units!$Q119),1,Inputs!$B$15)*Inputs!$B$16*(1+Inputs!$B$11)^(AK$2-1),0)</f>
        <v>0</v>
      </c>
      <c r="AL120" s="11" t="n">
        <f aca="false">IF(AND(AL$1&gt;=Units!$Q119,MOD(AL$1-Units!$Q119,12)=0),IF(AND(Units!$L119=1,AL$1=Units!$Q119),1,Inputs!$B$15)*Inputs!$B$16*(1+Inputs!$B$11)^(AL$2-1),0)</f>
        <v>0</v>
      </c>
      <c r="AM120" s="11" t="n">
        <f aca="false">IF(AND(AM$1&gt;=Units!$Q119,MOD(AM$1-Units!$Q119,12)=0),IF(AND(Units!$L119=1,AM$1=Units!$Q119),1,Inputs!$B$15)*Inputs!$B$16*(1+Inputs!$B$11)^(AM$2-1),0)</f>
        <v>0</v>
      </c>
      <c r="AN120" s="11" t="n">
        <f aca="false">IF(AND(AN$1&gt;=Units!$Q119,MOD(AN$1-Units!$Q119,12)=0),IF(AND(Units!$L119=1,AN$1=Units!$Q119),1,Inputs!$B$15)*Inputs!$B$16*(1+Inputs!$B$11)^(AN$2-1),0)</f>
        <v>0</v>
      </c>
      <c r="AO120" s="11" t="n">
        <f aca="false">IF(AND(AO$1&gt;=Units!$Q119,MOD(AO$1-Units!$Q119,12)=0),IF(AND(Units!$L119=1,AO$1=Units!$Q119),1,Inputs!$B$15)*Inputs!$B$16*(1+Inputs!$B$11)^(AO$2-1),0)</f>
        <v>0</v>
      </c>
      <c r="AP120" s="11" t="n">
        <f aca="false">IF(AND(AP$1&gt;=Units!$Q119,MOD(AP$1-Units!$Q119,12)=0),IF(AND(Units!$L119=1,AP$1=Units!$Q119),1,Inputs!$B$15)*Inputs!$B$16*(1+Inputs!$B$11)^(AP$2-1),0)</f>
        <v>0</v>
      </c>
      <c r="AQ120" s="11" t="n">
        <f aca="false">IF(AND(AQ$1&gt;=Units!$Q119,MOD(AQ$1-Units!$Q119,12)=0),IF(AND(Units!$L119=1,AQ$1=Units!$Q119),1,Inputs!$B$15)*Inputs!$B$16*(1+Inputs!$B$11)^(AQ$2-1),0)</f>
        <v>0</v>
      </c>
      <c r="AR120" s="11" t="n">
        <f aca="false">IF(AND(AR$1&gt;=Units!$Q119,MOD(AR$1-Units!$Q119,12)=0),IF(AND(Units!$L119=1,AR$1=Units!$Q119),1,Inputs!$B$15)*Inputs!$B$16*(1+Inputs!$B$11)^(AR$2-1),0)</f>
        <v>0</v>
      </c>
      <c r="AS120" s="11" t="n">
        <f aca="false">IF(AND(AS$1&gt;=Units!$Q119,MOD(AS$1-Units!$Q119,12)=0),IF(AND(Units!$L119=1,AS$1=Units!$Q119),1,Inputs!$B$15)*Inputs!$B$16*(1+Inputs!$B$11)^(AS$2-1),0)</f>
        <v>546.3635</v>
      </c>
      <c r="AT120" s="11" t="n">
        <f aca="false">IF(AND(AT$1&gt;=Units!$Q119,MOD(AT$1-Units!$Q119,12)=0),IF(AND(Units!$L119=1,AT$1=Units!$Q119),1,Inputs!$B$15)*Inputs!$B$16*(1+Inputs!$B$11)^(AT$2-1),0)</f>
        <v>0</v>
      </c>
      <c r="AU120" s="11" t="n">
        <f aca="false">IF(AND(AU$1&gt;=Units!$Q119,MOD(AU$1-Units!$Q119,12)=0),IF(AND(Units!$L119=1,AU$1=Units!$Q119),1,Inputs!$B$15)*Inputs!$B$16*(1+Inputs!$B$11)^(AU$2-1),0)</f>
        <v>0</v>
      </c>
      <c r="AV120" s="11" t="n">
        <f aca="false">IF(AND(AV$1&gt;=Units!$Q119,MOD(AV$1-Units!$Q119,12)=0),IF(AND(Units!$L119=1,AV$1=Units!$Q119),1,Inputs!$B$15)*Inputs!$B$16*(1+Inputs!$B$11)^(AV$2-1),0)</f>
        <v>0</v>
      </c>
      <c r="AW120" s="11" t="n">
        <f aca="false">IF(AND(AW$1&gt;=Units!$Q119,MOD(AW$1-Units!$Q119,12)=0),IF(AND(Units!$L119=1,AW$1=Units!$Q119),1,Inputs!$B$15)*Inputs!$B$16*(1+Inputs!$B$11)^(AW$2-1),0)</f>
        <v>0</v>
      </c>
      <c r="AX120" s="11" t="n">
        <f aca="false">IF(AND(AX$1&gt;=Units!$Q119,MOD(AX$1-Units!$Q119,12)=0),IF(AND(Units!$L119=1,AX$1=Units!$Q119),1,Inputs!$B$15)*Inputs!$B$16*(1+Inputs!$B$11)^(AX$2-1),0)</f>
        <v>0</v>
      </c>
      <c r="AY120" s="11" t="n">
        <f aca="false">IF(AND(AY$1&gt;=Units!$Q119,MOD(AY$1-Units!$Q119,12)=0),IF(AND(Units!$L119=1,AY$1=Units!$Q119),1,Inputs!$B$15)*Inputs!$B$16*(1+Inputs!$B$11)^(AY$2-1),0)</f>
        <v>0</v>
      </c>
      <c r="AZ120" s="11" t="n">
        <f aca="false">IF(AND(AZ$1&gt;=Units!$Q119,MOD(AZ$1-Units!$Q119,12)=0),IF(AND(Units!$L119=1,AZ$1=Units!$Q119),1,Inputs!$B$15)*Inputs!$B$16*(1+Inputs!$B$11)^(AZ$2-1),0)</f>
        <v>0</v>
      </c>
      <c r="BA120" s="11" t="n">
        <f aca="false">IF(AND(BA$1&gt;=Units!$Q119,MOD(BA$1-Units!$Q119,12)=0),IF(AND(Units!$L119=1,BA$1=Units!$Q119),1,Inputs!$B$15)*Inputs!$B$16*(1+Inputs!$B$11)^(BA$2-1),0)</f>
        <v>0</v>
      </c>
      <c r="BB120" s="11" t="n">
        <f aca="false">IF(AND(BB$1&gt;=Units!$Q119,MOD(BB$1-Units!$Q119,12)=0),IF(AND(Units!$L119=1,BB$1=Units!$Q119),1,Inputs!$B$15)*Inputs!$B$16*(1+Inputs!$B$11)^(BB$2-1),0)</f>
        <v>0</v>
      </c>
      <c r="BC120" s="11" t="n">
        <f aca="false">IF(AND(BC$1&gt;=Units!$Q119,MOD(BC$1-Units!$Q119,12)=0),IF(AND(Units!$L119=1,BC$1=Units!$Q119),1,Inputs!$B$15)*Inputs!$B$16*(1+Inputs!$B$11)^(BC$2-1),0)</f>
        <v>0</v>
      </c>
      <c r="BD120" s="11" t="n">
        <f aca="false">IF(AND(BD$1&gt;=Units!$Q119,MOD(BD$1-Units!$Q119,12)=0),IF(AND(Units!$L119=1,BD$1=Units!$Q119),1,Inputs!$B$15)*Inputs!$B$16*(1+Inputs!$B$11)^(BD$2-1),0)</f>
        <v>0</v>
      </c>
      <c r="BE120" s="11" t="n">
        <f aca="false">IF(AND(BE$1&gt;=Units!$Q119,MOD(BE$1-Units!$Q119,12)=0),IF(AND(Units!$L119=1,BE$1=Units!$Q119),1,Inputs!$B$15)*Inputs!$B$16*(1+Inputs!$B$11)^(BE$2-1),0)</f>
        <v>562.754405</v>
      </c>
      <c r="BF120" s="11" t="n">
        <f aca="false">IF(AND(BF$1&gt;=Units!$Q119,MOD(BF$1-Units!$Q119,12)=0),IF(AND(Units!$L119=1,BF$1=Units!$Q119),1,Inputs!$B$15)*Inputs!$B$16*(1+Inputs!$B$11)^(BF$2-1),0)</f>
        <v>0</v>
      </c>
      <c r="BG120" s="11" t="n">
        <f aca="false">IF(AND(BG$1&gt;=Units!$Q119,MOD(BG$1-Units!$Q119,12)=0),IF(AND(Units!$L119=1,BG$1=Units!$Q119),1,Inputs!$B$15)*Inputs!$B$16*(1+Inputs!$B$11)^(BG$2-1),0)</f>
        <v>0</v>
      </c>
      <c r="BH120" s="11" t="n">
        <f aca="false">IF(AND(BH$1&gt;=Units!$Q119,MOD(BH$1-Units!$Q119,12)=0),IF(AND(Units!$L119=1,BH$1=Units!$Q119),1,Inputs!$B$15)*Inputs!$B$16*(1+Inputs!$B$11)^(BH$2-1),0)</f>
        <v>0</v>
      </c>
      <c r="BI120" s="11" t="n">
        <f aca="false">IF(AND(BI$1&gt;=Units!$Q119,MOD(BI$1-Units!$Q119,12)=0),IF(AND(Units!$L119=1,BI$1=Units!$Q119),1,Inputs!$B$15)*Inputs!$B$16*(1+Inputs!$B$11)^(BI$2-1),0)</f>
        <v>0</v>
      </c>
      <c r="BJ120" s="11" t="n">
        <f aca="false">IF(AND(BJ$1&gt;=Units!$Q119,MOD(BJ$1-Units!$Q119,12)=0),IF(AND(Units!$L119=1,BJ$1=Units!$Q119),1,Inputs!$B$15)*Inputs!$B$16*(1+Inputs!$B$11)^(BJ$2-1),0)</f>
        <v>0</v>
      </c>
      <c r="BK120" s="11" t="n">
        <f aca="false">IF(AND(BK$1&gt;=Units!$Q119,MOD(BK$1-Units!$Q119,12)=0),IF(AND(Units!$L119=1,BK$1=Units!$Q119),1,Inputs!$B$15)*Inputs!$B$16*(1+Inputs!$B$11)^(BK$2-1),0)</f>
        <v>0</v>
      </c>
      <c r="BL120" s="11" t="n">
        <f aca="false">IF(AND(BL$1&gt;=Units!$Q119,MOD(BL$1-Units!$Q119,12)=0),IF(AND(Units!$L119=1,BL$1=Units!$Q119),1,Inputs!$B$15)*Inputs!$B$16*(1+Inputs!$B$11)^(BL$2-1),0)</f>
        <v>0</v>
      </c>
      <c r="BM120" s="11" t="n">
        <f aca="false">IF(AND(BM$1&gt;=Units!$Q119,MOD(BM$1-Units!$Q119,12)=0),IF(AND(Units!$L119=1,BM$1=Units!$Q119),1,Inputs!$B$15)*Inputs!$B$16*(1+Inputs!$B$11)^(BM$2-1),0)</f>
        <v>0</v>
      </c>
      <c r="BN120" s="11" t="n">
        <f aca="false">IF(AND(BN$1&gt;=Units!$Q119,MOD(BN$1-Units!$Q119,12)=0),IF(AND(Units!$L119=1,BN$1=Units!$Q119),1,Inputs!$B$15)*Inputs!$B$16*(1+Inputs!$B$11)^(BN$2-1),0)</f>
        <v>0</v>
      </c>
      <c r="BO120" s="11" t="n">
        <f aca="false">IF(AND(BO$1&gt;=Units!$Q119,MOD(BO$1-Units!$Q119,12)=0),IF(AND(Units!$L119=1,BO$1=Units!$Q119),1,Inputs!$B$15)*Inputs!$B$16*(1+Inputs!$B$11)^(BO$2-1),0)</f>
        <v>0</v>
      </c>
      <c r="BP120" s="11" t="n">
        <f aca="false">IF(AND(BP$1&gt;=Units!$Q119,MOD(BP$1-Units!$Q119,12)=0),IF(AND(Units!$L119=1,BP$1=Units!$Q119),1,Inputs!$B$15)*Inputs!$B$16*(1+Inputs!$B$11)^(BP$2-1),0)</f>
        <v>0</v>
      </c>
      <c r="BQ120" s="11" t="n">
        <f aca="false">IF(AND(BQ$1&gt;=Units!$Q119,MOD(BQ$1-Units!$Q119,12)=0),IF(AND(Units!$L119=1,BQ$1=Units!$Q119),1,Inputs!$B$15)*Inputs!$B$16*(1+Inputs!$B$11)^(BQ$2-1),0)</f>
        <v>579.63703715</v>
      </c>
      <c r="BR120" s="11" t="n">
        <f aca="false">IF(AND(BR$1&gt;=Units!$Q119,MOD(BR$1-Units!$Q119,12)=0),IF(AND(Units!$L119=1,BR$1=Units!$Q119),1,Inputs!$B$15)*Inputs!$B$16*(1+Inputs!$B$11)^(BR$2-1),0)</f>
        <v>0</v>
      </c>
      <c r="BS120" s="11" t="n">
        <f aca="false">IF(AND(BS$1&gt;=Units!$Q119,MOD(BS$1-Units!$Q119,12)=0),IF(AND(Units!$L119=1,BS$1=Units!$Q119),1,Inputs!$B$15)*Inputs!$B$16*(1+Inputs!$B$11)^(BS$2-1),0)</f>
        <v>0</v>
      </c>
      <c r="BT120" s="11" t="n">
        <f aca="false">IF(AND(BT$1&gt;=Units!$Q119,MOD(BT$1-Units!$Q119,12)=0),IF(AND(Units!$L119=1,BT$1=Units!$Q119),1,Inputs!$B$15)*Inputs!$B$16*(1+Inputs!$B$11)^(BT$2-1),0)</f>
        <v>0</v>
      </c>
      <c r="BU120" s="11" t="n">
        <f aca="false">IF(AND(BU$1&gt;=Units!$Q119,MOD(BU$1-Units!$Q119,12)=0),IF(AND(Units!$L119=1,BU$1=Units!$Q119),1,Inputs!$B$15)*Inputs!$B$16*(1+Inputs!$B$11)^(BU$2-1),0)</f>
        <v>0</v>
      </c>
      <c r="BV120" s="11" t="n">
        <f aca="false">IF(AND(BV$1&gt;=Units!$Q119,MOD(BV$1-Units!$Q119,12)=0),IF(AND(Units!$L119=1,BV$1=Units!$Q119),1,Inputs!$B$15)*Inputs!$B$16*(1+Inputs!$B$11)^(BV$2-1),0)</f>
        <v>0</v>
      </c>
      <c r="BW120" s="11" t="n">
        <f aca="false">IF(AND(BW$1&gt;=Units!$Q119,MOD(BW$1-Units!$Q119,12)=0),IF(AND(Units!$L119=1,BW$1=Units!$Q119),1,Inputs!$B$15)*Inputs!$B$16*(1+Inputs!$B$11)^(BW$2-1),0)</f>
        <v>0</v>
      </c>
      <c r="BX120" s="11" t="n">
        <f aca="false">IF(AND(BX$1&gt;=Units!$Q119,MOD(BX$1-Units!$Q119,12)=0),IF(AND(Units!$L119=1,BX$1=Units!$Q119),1,Inputs!$B$15)*Inputs!$B$16*(1+Inputs!$B$11)^(BX$2-1),0)</f>
        <v>0</v>
      </c>
      <c r="BY120" s="11" t="n">
        <f aca="false">IF(AND(BY$1&gt;=Units!$Q119,MOD(BY$1-Units!$Q119,12)=0),IF(AND(Units!$L119=1,BY$1=Units!$Q119),1,Inputs!$B$15)*Inputs!$B$16*(1+Inputs!$B$11)^(BY$2-1),0)</f>
        <v>0</v>
      </c>
      <c r="BZ120" s="11" t="n">
        <f aca="false">IF(AND(BZ$1&gt;=Units!$Q119,MOD(BZ$1-Units!$Q119,12)=0),IF(AND(Units!$L119=1,BZ$1=Units!$Q119),1,Inputs!$B$15)*Inputs!$B$16*(1+Inputs!$B$11)^(BZ$2-1),0)</f>
        <v>0</v>
      </c>
      <c r="CA120" s="11" t="n">
        <f aca="false">IF(AND(CA$1&gt;=Units!$Q119,MOD(CA$1-Units!$Q119,12)=0),IF(AND(Units!$L119=1,CA$1=Units!$Q119),1,Inputs!$B$15)*Inputs!$B$16*(1+Inputs!$B$11)^(CA$2-1),0)</f>
        <v>0</v>
      </c>
      <c r="CB120" s="11" t="n">
        <f aca="false">IF(AND(CB$1&gt;=Units!$Q119,MOD(CB$1-Units!$Q119,12)=0),IF(AND(Units!$L119=1,CB$1=Units!$Q119),1,Inputs!$B$15)*Inputs!$B$16*(1+Inputs!$B$11)^(CB$2-1),0)</f>
        <v>0</v>
      </c>
      <c r="CC120" s="11" t="n">
        <f aca="false">IF(AND(CC$1&gt;=Units!$Q119,MOD(CC$1-Units!$Q119,12)=0),IF(AND(Units!$L119=1,CC$1=Units!$Q119),1,Inputs!$B$15)*Inputs!$B$16*(1+Inputs!$B$11)^(CC$2-1),0)</f>
        <v>597.0261482645</v>
      </c>
      <c r="CD120" s="11" t="n">
        <f aca="false">IF(AND(CD$1&gt;=Units!$Q119,MOD(CD$1-Units!$Q119,12)=0),IF(AND(Units!$L119=1,CD$1=Units!$Q119),1,Inputs!$B$15)*Inputs!$B$16*(1+Inputs!$B$11)^(CD$2-1),0)</f>
        <v>0</v>
      </c>
      <c r="CE120" s="11" t="n">
        <f aca="false">IF(AND(CE$1&gt;=Units!$Q119,MOD(CE$1-Units!$Q119,12)=0),IF(AND(Units!$L119=1,CE$1=Units!$Q119),1,Inputs!$B$15)*Inputs!$B$16*(1+Inputs!$B$11)^(CE$2-1),0)</f>
        <v>0</v>
      </c>
      <c r="CF120" s="11" t="n">
        <f aca="false">IF(AND(CF$1&gt;=Units!$Q119,MOD(CF$1-Units!$Q119,12)=0),IF(AND(Units!$L119=1,CF$1=Units!$Q119),1,Inputs!$B$15)*Inputs!$B$16*(1+Inputs!$B$11)^(CF$2-1),0)</f>
        <v>0</v>
      </c>
      <c r="CG120" s="11" t="n">
        <f aca="false">IF(AND(CG$1&gt;=Units!$Q119,MOD(CG$1-Units!$Q119,12)=0),IF(AND(Units!$L119=1,CG$1=Units!$Q119),1,Inputs!$B$15)*Inputs!$B$16*(1+Inputs!$B$11)^(CG$2-1),0)</f>
        <v>0</v>
      </c>
      <c r="CH120" s="11" t="n">
        <f aca="false">IF(AND(CH$1&gt;=Units!$Q119,MOD(CH$1-Units!$Q119,12)=0),IF(AND(Units!$L119=1,CH$1=Units!$Q119),1,Inputs!$B$15)*Inputs!$B$16*(1+Inputs!$B$11)^(CH$2-1),0)</f>
        <v>0</v>
      </c>
      <c r="CI120" s="11" t="n">
        <f aca="false">IF(AND(CI$1&gt;=Units!$Q119,MOD(CI$1-Units!$Q119,12)=0),IF(AND(Units!$L119=1,CI$1=Units!$Q119),1,Inputs!$B$15)*Inputs!$B$16*(1+Inputs!$B$11)^(CI$2-1),0)</f>
        <v>0</v>
      </c>
      <c r="CJ120" s="11" t="n">
        <f aca="false">IF(AND(CJ$1&gt;=Units!$Q119,MOD(CJ$1-Units!$Q119,12)=0),IF(AND(Units!$L119=1,CJ$1=Units!$Q119),1,Inputs!$B$15)*Inputs!$B$16*(1+Inputs!$B$11)^(CJ$2-1),0)</f>
        <v>0</v>
      </c>
      <c r="CK120" s="11" t="n">
        <f aca="false">IF(AND(CK$1&gt;=Units!$Q119,MOD(CK$1-Units!$Q119,12)=0),IF(AND(Units!$L119=1,CK$1=Units!$Q119),1,Inputs!$B$15)*Inputs!$B$16*(1+Inputs!$B$11)^(CK$2-1),0)</f>
        <v>0</v>
      </c>
      <c r="CL120" s="11" t="n">
        <f aca="false">IF(AND(CL$1&gt;=Units!$Q119,MOD(CL$1-Units!$Q119,12)=0),IF(AND(Units!$L119=1,CL$1=Units!$Q119),1,Inputs!$B$15)*Inputs!$B$16*(1+Inputs!$B$11)^(CL$2-1),0)</f>
        <v>0</v>
      </c>
      <c r="CM120" s="11" t="n">
        <f aca="false">IF(AND(CM$1&gt;=Units!$Q119,MOD(CM$1-Units!$Q119,12)=0),IF(AND(Units!$L119=1,CM$1=Units!$Q119),1,Inputs!$B$15)*Inputs!$B$16*(1+Inputs!$B$11)^(CM$2-1),0)</f>
        <v>0</v>
      </c>
      <c r="CN120" s="11" t="n">
        <f aca="false">IF(AND(CN$1&gt;=Units!$Q119,MOD(CN$1-Units!$Q119,12)=0),IF(AND(Units!$L119=1,CN$1=Units!$Q119),1,Inputs!$B$15)*Inputs!$B$16*(1+Inputs!$B$11)^(CN$2-1),0)</f>
        <v>0</v>
      </c>
      <c r="CO120" s="11" t="n">
        <f aca="false">IF(AND(CO$1&gt;=Units!$Q119,MOD(CO$1-Units!$Q119,12)=0),IF(AND(Units!$L119=1,CO$1=Units!$Q119),1,Inputs!$B$15)*Inputs!$B$16*(1+Inputs!$B$11)^(CO$2-1),0)</f>
        <v>614.936932712435</v>
      </c>
      <c r="CP120" s="11" t="n">
        <f aca="false">IF(AND(CP$1&gt;=Units!$Q119,MOD(CP$1-Units!$Q119,12)=0),IF(AND(Units!$L119=1,CP$1=Units!$Q119),1,Inputs!$B$15)*Inputs!$B$16*(1+Inputs!$B$11)^(CP$2-1),0)</f>
        <v>0</v>
      </c>
      <c r="CQ120" s="11" t="n">
        <f aca="false">IF(AND(CQ$1&gt;=Units!$Q119,MOD(CQ$1-Units!$Q119,12)=0),IF(AND(Units!$L119=1,CQ$1=Units!$Q119),1,Inputs!$B$15)*Inputs!$B$16*(1+Inputs!$B$11)^(CQ$2-1),0)</f>
        <v>0</v>
      </c>
      <c r="CR120" s="11" t="n">
        <f aca="false">IF(AND(CR$1&gt;=Units!$Q119,MOD(CR$1-Units!$Q119,12)=0),IF(AND(Units!$L119=1,CR$1=Units!$Q119),1,Inputs!$B$15)*Inputs!$B$16*(1+Inputs!$B$11)^(CR$2-1),0)</f>
        <v>0</v>
      </c>
      <c r="CS120" s="11" t="n">
        <f aca="false">IF(AND(CS$1&gt;=Units!$Q119,MOD(CS$1-Units!$Q119,12)=0),IF(AND(Units!$L119=1,CS$1=Units!$Q119),1,Inputs!$B$15)*Inputs!$B$16*(1+Inputs!$B$11)^(CS$2-1),0)</f>
        <v>0</v>
      </c>
      <c r="CT120" s="11" t="n">
        <f aca="false">IF(AND(CT$1&gt;=Units!$Q119,MOD(CT$1-Units!$Q119,12)=0),IF(AND(Units!$L119=1,CT$1=Units!$Q119),1,Inputs!$B$15)*Inputs!$B$16*(1+Inputs!$B$11)^(CT$2-1),0)</f>
        <v>0</v>
      </c>
      <c r="CU120" s="11" t="n">
        <f aca="false">IF(AND(CU$1&gt;=Units!$Q119,MOD(CU$1-Units!$Q119,12)=0),IF(AND(Units!$L119=1,CU$1=Units!$Q119),1,Inputs!$B$15)*Inputs!$B$16*(1+Inputs!$B$11)^(CU$2-1),0)</f>
        <v>0</v>
      </c>
      <c r="CV120" s="11" t="n">
        <f aca="false">IF(AND(CV$1&gt;=Units!$Q119,MOD(CV$1-Units!$Q119,12)=0),IF(AND(Units!$L119=1,CV$1=Units!$Q119),1,Inputs!$B$15)*Inputs!$B$16*(1+Inputs!$B$11)^(CV$2-1),0)</f>
        <v>0</v>
      </c>
      <c r="CW120" s="11" t="n">
        <f aca="false">IF(AND(CW$1&gt;=Units!$Q119,MOD(CW$1-Units!$Q119,12)=0),IF(AND(Units!$L119=1,CW$1=Units!$Q119),1,Inputs!$B$15)*Inputs!$B$16*(1+Inputs!$B$11)^(CW$2-1),0)</f>
        <v>0</v>
      </c>
      <c r="CX120" s="11" t="n">
        <f aca="false">IF(AND(CX$1&gt;=Units!$Q119,MOD(CX$1-Units!$Q119,12)=0),IF(AND(Units!$L119=1,CX$1=Units!$Q119),1,Inputs!$B$15)*Inputs!$B$16*(1+Inputs!$B$11)^(CX$2-1),0)</f>
        <v>0</v>
      </c>
      <c r="CY120" s="11" t="n">
        <f aca="false">IF(AND(CY$1&gt;=Units!$Q119,MOD(CY$1-Units!$Q119,12)=0),IF(AND(Units!$L119=1,CY$1=Units!$Q119),1,Inputs!$B$15)*Inputs!$B$16*(1+Inputs!$B$11)^(CY$2-1),0)</f>
        <v>0</v>
      </c>
      <c r="CZ120" s="11" t="n">
        <f aca="false">IF(AND(CZ$1&gt;=Units!$Q119,MOD(CZ$1-Units!$Q119,12)=0),IF(AND(Units!$L119=1,CZ$1=Units!$Q119),1,Inputs!$B$15)*Inputs!$B$16*(1+Inputs!$B$11)^(CZ$2-1),0)</f>
        <v>0</v>
      </c>
      <c r="DA120" s="11" t="n">
        <f aca="false">IF(AND(DA$1&gt;=Units!$Q119,MOD(DA$1-Units!$Q119,12)=0),IF(AND(Units!$L119=1,DA$1=Units!$Q119),1,Inputs!$B$15)*Inputs!$B$16*(1+Inputs!$B$11)^(DA$2-1),0)</f>
        <v>633.385040693808</v>
      </c>
      <c r="DB120" s="11" t="n">
        <f aca="false">IF(AND(DB$1&gt;=Units!$Q119,MOD(DB$1-Units!$Q119,12)=0),IF(AND(Units!$L119=1,DB$1=Units!$Q119),1,Inputs!$B$15)*Inputs!$B$16*(1+Inputs!$B$11)^(DB$2-1),0)</f>
        <v>0</v>
      </c>
      <c r="DC120" s="11" t="n">
        <f aca="false">IF(AND(DC$1&gt;=Units!$Q119,MOD(DC$1-Units!$Q119,12)=0),IF(AND(Units!$L119=1,DC$1=Units!$Q119),1,Inputs!$B$15)*Inputs!$B$16*(1+Inputs!$B$11)^(DC$2-1),0)</f>
        <v>0</v>
      </c>
      <c r="DD120" s="11" t="n">
        <f aca="false">IF(AND(DD$1&gt;=Units!$Q119,MOD(DD$1-Units!$Q119,12)=0),IF(AND(Units!$L119=1,DD$1=Units!$Q119),1,Inputs!$B$15)*Inputs!$B$16*(1+Inputs!$B$11)^(DD$2-1),0)</f>
        <v>0</v>
      </c>
      <c r="DE120" s="11" t="n">
        <f aca="false">IF(AND(DE$1&gt;=Units!$Q119,MOD(DE$1-Units!$Q119,12)=0),IF(AND(Units!$L119=1,DE$1=Units!$Q119),1,Inputs!$B$15)*Inputs!$B$16*(1+Inputs!$B$11)^(DE$2-1),0)</f>
        <v>0</v>
      </c>
      <c r="DF120" s="11" t="n">
        <f aca="false">IF(AND(DF$1&gt;=Units!$Q119,MOD(DF$1-Units!$Q119,12)=0),IF(AND(Units!$L119=1,DF$1=Units!$Q119),1,Inputs!$B$15)*Inputs!$B$16*(1+Inputs!$B$11)^(DF$2-1),0)</f>
        <v>0</v>
      </c>
      <c r="DG120" s="11" t="n">
        <f aca="false">IF(AND(DG$1&gt;=Units!$Q119,MOD(DG$1-Units!$Q119,12)=0),IF(AND(Units!$L119=1,DG$1=Units!$Q119),1,Inputs!$B$15)*Inputs!$B$16*(1+Inputs!$B$11)^(DG$2-1),0)</f>
        <v>0</v>
      </c>
      <c r="DH120" s="11" t="n">
        <f aca="false">IF(AND(DH$1&gt;=Units!$Q119,MOD(DH$1-Units!$Q119,12)=0),IF(AND(Units!$L119=1,DH$1=Units!$Q119),1,Inputs!$B$15)*Inputs!$B$16*(1+Inputs!$B$11)^(DH$2-1),0)</f>
        <v>0</v>
      </c>
      <c r="DI120" s="11" t="n">
        <f aca="false">IF(AND(DI$1&gt;=Units!$Q119,MOD(DI$1-Units!$Q119,12)=0),IF(AND(Units!$L119=1,DI$1=Units!$Q119),1,Inputs!$B$15)*Inputs!$B$16*(1+Inputs!$B$11)^(DI$2-1),0)</f>
        <v>0</v>
      </c>
      <c r="DJ120" s="11" t="n">
        <f aca="false">IF(AND(DJ$1&gt;=Units!$Q119,MOD(DJ$1-Units!$Q119,12)=0),IF(AND(Units!$L119=1,DJ$1=Units!$Q119),1,Inputs!$B$15)*Inputs!$B$16*(1+Inputs!$B$11)^(DJ$2-1),0)</f>
        <v>0</v>
      </c>
      <c r="DK120" s="11" t="n">
        <f aca="false">IF(AND(DK$1&gt;=Units!$Q119,MOD(DK$1-Units!$Q119,12)=0),IF(AND(Units!$L119=1,DK$1=Units!$Q119),1,Inputs!$B$15)*Inputs!$B$16*(1+Inputs!$B$11)^(DK$2-1),0)</f>
        <v>0</v>
      </c>
      <c r="DL120" s="11" t="n">
        <f aca="false">IF(AND(DL$1&gt;=Units!$Q119,MOD(DL$1-Units!$Q119,12)=0),IF(AND(Units!$L119=1,DL$1=Units!$Q119),1,Inputs!$B$15)*Inputs!$B$16*(1+Inputs!$B$11)^(DL$2-1),0)</f>
        <v>0</v>
      </c>
      <c r="DM120" s="11" t="n">
        <f aca="false">IF(AND(DM$1&gt;=Units!$Q119,MOD(DM$1-Units!$Q119,12)=0),IF(AND(Units!$L119=1,DM$1=Units!$Q119),1,Inputs!$B$15)*Inputs!$B$16*(1+Inputs!$B$11)^(DM$2-1),0)</f>
        <v>652.386591914623</v>
      </c>
      <c r="DN120" s="11" t="n">
        <f aca="false">IF(AND(DN$1&gt;=Units!$Q119,MOD(DN$1-Units!$Q119,12)=0),IF(AND(Units!$L119=1,DN$1=Units!$Q119),1,Inputs!$B$15)*Inputs!$B$16*(1+Inputs!$B$11)^(DN$2-1),0)</f>
        <v>0</v>
      </c>
      <c r="DO120" s="11" t="n">
        <f aca="false">IF(AND(DO$1&gt;=Units!$Q119,MOD(DO$1-Units!$Q119,12)=0),IF(AND(Units!$L119=1,DO$1=Units!$Q119),1,Inputs!$B$15)*Inputs!$B$16*(1+Inputs!$B$11)^(DO$2-1),0)</f>
        <v>0</v>
      </c>
      <c r="DP120" s="11" t="n">
        <f aca="false">IF(AND(DP$1&gt;=Units!$Q119,MOD(DP$1-Units!$Q119,12)=0),IF(AND(Units!$L119=1,DP$1=Units!$Q119),1,Inputs!$B$15)*Inputs!$B$16*(1+Inputs!$B$11)^(DP$2-1),0)</f>
        <v>0</v>
      </c>
      <c r="DQ120" s="11" t="n">
        <f aca="false">IF(AND(DQ$1&gt;=Units!$Q119,MOD(DQ$1-Units!$Q119,12)=0),IF(AND(Units!$L119=1,DQ$1=Units!$Q119),1,Inputs!$B$15)*Inputs!$B$16*(1+Inputs!$B$11)^(DQ$2-1),0)</f>
        <v>0</v>
      </c>
      <c r="DR120" s="11" t="n">
        <f aca="false">IF(AND(DR$1&gt;=Units!$Q119,MOD(DR$1-Units!$Q119,12)=0),IF(AND(Units!$L119=1,DR$1=Units!$Q119),1,Inputs!$B$15)*Inputs!$B$16*(1+Inputs!$B$11)^(DR$2-1),0)</f>
        <v>0</v>
      </c>
      <c r="DS120" s="11" t="n">
        <f aca="false">IF(AND(DS$1&gt;=Units!$Q119,MOD(DS$1-Units!$Q119,12)=0),IF(AND(Units!$L119=1,DS$1=Units!$Q119),1,Inputs!$B$15)*Inputs!$B$16*(1+Inputs!$B$11)^(DS$2-1),0)</f>
        <v>0</v>
      </c>
      <c r="DT120" s="11" t="n">
        <f aca="false">IF(AND(DT$1&gt;=Units!$Q119,MOD(DT$1-Units!$Q119,12)=0),IF(AND(Units!$L119=1,DT$1=Units!$Q119),1,Inputs!$B$15)*Inputs!$B$16*(1+Inputs!$B$11)^(DT$2-1),0)</f>
        <v>0</v>
      </c>
      <c r="DU120" s="11" t="n">
        <f aca="false">IF(AND(DU$1&gt;=Units!$Q119,MOD(DU$1-Units!$Q119,12)=0),IF(AND(Units!$L119=1,DU$1=Units!$Q119),1,Inputs!$B$15)*Inputs!$B$16*(1+Inputs!$B$11)^(DU$2-1),0)</f>
        <v>0</v>
      </c>
      <c r="DV120" s="11" t="n">
        <f aca="false">IF(AND(DV$1&gt;=Units!$Q119,MOD(DV$1-Units!$Q119,12)=0),IF(AND(Units!$L119=1,DV$1=Units!$Q119),1,Inputs!$B$15)*Inputs!$B$16*(1+Inputs!$B$11)^(DV$2-1),0)</f>
        <v>0</v>
      </c>
      <c r="DW120" s="11" t="n">
        <f aca="false">IF(AND(DW$1&gt;=Units!$Q119,MOD(DW$1-Units!$Q119,12)=0),IF(AND(Units!$L119=1,DW$1=Units!$Q119),1,Inputs!$B$15)*Inputs!$B$16*(1+Inputs!$B$11)^(DW$2-1),0)</f>
        <v>0</v>
      </c>
      <c r="DX120" s="11" t="n">
        <f aca="false">IF(AND(DX$1&gt;=Units!$Q119,MOD(DX$1-Units!$Q119,12)=0),IF(AND(Units!$L119=1,DX$1=Units!$Q119),1,Inputs!$B$15)*Inputs!$B$16*(1+Inputs!$B$11)^(DX$2-1),0)</f>
        <v>0</v>
      </c>
      <c r="DY120" s="11" t="n">
        <f aca="false">IF(AND(DY$1&gt;=Units!$Q119,MOD(DY$1-Units!$Q119,12)=0),IF(AND(Units!$L119=1,DY$1=Units!$Q119),1,Inputs!$B$15)*Inputs!$B$16*(1+Inputs!$B$11)^(DY$2-1),0)</f>
        <v>671.958189672061</v>
      </c>
      <c r="DZ120" s="11" t="n">
        <f aca="false">IF(AND(DZ$1&gt;=Units!$Q119,MOD(DZ$1-Units!$Q119,12)=0),IF(AND(Units!$L119=1,DZ$1=Units!$Q119),1,Inputs!$B$15)*Inputs!$B$16*(1+Inputs!$B$11)^(DZ$2-1),0)</f>
        <v>0</v>
      </c>
      <c r="EA120" s="11" t="n">
        <f aca="false">IF(AND(EA$1&gt;=Units!$Q119,MOD(EA$1-Units!$Q119,12)=0),IF(AND(Units!$L119=1,EA$1=Units!$Q119),1,Inputs!$B$15)*Inputs!$B$16*(1+Inputs!$B$11)^(EA$2-1),0)</f>
        <v>0</v>
      </c>
      <c r="EB120" s="11" t="n">
        <f aca="false">IF(AND(EB$1&gt;=Units!$Q119,MOD(EB$1-Units!$Q119,12)=0),IF(AND(Units!$L119=1,EB$1=Units!$Q119),1,Inputs!$B$15)*Inputs!$B$16*(1+Inputs!$B$11)^(EB$2-1),0)</f>
        <v>0</v>
      </c>
      <c r="EC120" s="11" t="n">
        <f aca="false">IF(AND(EC$1&gt;=Units!$Q119,MOD(EC$1-Units!$Q119,12)=0),IF(AND(Units!$L119=1,EC$1=Units!$Q119),1,Inputs!$B$15)*Inputs!$B$16*(1+Inputs!$B$11)^(EC$2-1),0)</f>
        <v>0</v>
      </c>
      <c r="ED120" s="11" t="n">
        <f aca="false">IF(AND(ED$1&gt;=Units!$Q119,MOD(ED$1-Units!$Q119,12)=0),IF(AND(Units!$L119=1,ED$1=Units!$Q119),1,Inputs!$B$15)*Inputs!$B$16*(1+Inputs!$B$11)^(ED$2-1),0)</f>
        <v>0</v>
      </c>
    </row>
    <row r="121" customFormat="false" ht="15" hidden="false" customHeight="false" outlineLevel="0" collapsed="false">
      <c r="A121" s="22" t="n">
        <f aca="false">Units!A120</f>
        <v>429</v>
      </c>
      <c r="B121" s="23"/>
      <c r="C121" s="11" t="n">
        <f aca="false">IF(AND(C$1&gt;=Units!$Q120,MOD(C$1-Units!$Q120,12)=0),IF(AND(Units!$L120=1,C$1=Units!$Q120),1,Inputs!$B$15)*Inputs!$B$16*(1+Inputs!$B$11)^(C$2-1),0)</f>
        <v>500</v>
      </c>
      <c r="D121" s="11" t="n">
        <f aca="false">IF(AND(D$1&gt;=Units!$Q120,MOD(D$1-Units!$Q120,12)=0),IF(AND(Units!$L120=1,D$1=Units!$Q120),1,Inputs!$B$15)*Inputs!$B$16*(1+Inputs!$B$11)^(D$2-1),0)</f>
        <v>0</v>
      </c>
      <c r="E121" s="11" t="n">
        <f aca="false">IF(AND(E$1&gt;=Units!$Q120,MOD(E$1-Units!$Q120,12)=0),IF(AND(Units!$L120=1,E$1=Units!$Q120),1,Inputs!$B$15)*Inputs!$B$16*(1+Inputs!$B$11)^(E$2-1),0)</f>
        <v>0</v>
      </c>
      <c r="F121" s="11" t="n">
        <f aca="false">IF(AND(F$1&gt;=Units!$Q120,MOD(F$1-Units!$Q120,12)=0),IF(AND(Units!$L120=1,F$1=Units!$Q120),1,Inputs!$B$15)*Inputs!$B$16*(1+Inputs!$B$11)^(F$2-1),0)</f>
        <v>0</v>
      </c>
      <c r="G121" s="11" t="n">
        <f aca="false">IF(AND(G$1&gt;=Units!$Q120,MOD(G$1-Units!$Q120,12)=0),IF(AND(Units!$L120=1,G$1=Units!$Q120),1,Inputs!$B$15)*Inputs!$B$16*(1+Inputs!$B$11)^(G$2-1),0)</f>
        <v>0</v>
      </c>
      <c r="H121" s="11" t="n">
        <f aca="false">IF(AND(H$1&gt;=Units!$Q120,MOD(H$1-Units!$Q120,12)=0),IF(AND(Units!$L120=1,H$1=Units!$Q120),1,Inputs!$B$15)*Inputs!$B$16*(1+Inputs!$B$11)^(H$2-1),0)</f>
        <v>0</v>
      </c>
      <c r="I121" s="11" t="n">
        <f aca="false">IF(AND(I$1&gt;=Units!$Q120,MOD(I$1-Units!$Q120,12)=0),IF(AND(Units!$L120=1,I$1=Units!$Q120),1,Inputs!$B$15)*Inputs!$B$16*(1+Inputs!$B$11)^(I$2-1),0)</f>
        <v>0</v>
      </c>
      <c r="J121" s="11" t="n">
        <f aca="false">IF(AND(J$1&gt;=Units!$Q120,MOD(J$1-Units!$Q120,12)=0),IF(AND(Units!$L120=1,J$1=Units!$Q120),1,Inputs!$B$15)*Inputs!$B$16*(1+Inputs!$B$11)^(J$2-1),0)</f>
        <v>0</v>
      </c>
      <c r="K121" s="11" t="n">
        <f aca="false">IF(AND(K$1&gt;=Units!$Q120,MOD(K$1-Units!$Q120,12)=0),IF(AND(Units!$L120=1,K$1=Units!$Q120),1,Inputs!$B$15)*Inputs!$B$16*(1+Inputs!$B$11)^(K$2-1),0)</f>
        <v>0</v>
      </c>
      <c r="L121" s="11" t="n">
        <f aca="false">IF(AND(L$1&gt;=Units!$Q120,MOD(L$1-Units!$Q120,12)=0),IF(AND(Units!$L120=1,L$1=Units!$Q120),1,Inputs!$B$15)*Inputs!$B$16*(1+Inputs!$B$11)^(L$2-1),0)</f>
        <v>0</v>
      </c>
      <c r="M121" s="11" t="n">
        <f aca="false">IF(AND(M$1&gt;=Units!$Q120,MOD(M$1-Units!$Q120,12)=0),IF(AND(Units!$L120=1,M$1=Units!$Q120),1,Inputs!$B$15)*Inputs!$B$16*(1+Inputs!$B$11)^(M$2-1),0)</f>
        <v>0</v>
      </c>
      <c r="N121" s="11" t="n">
        <f aca="false">IF(AND(N$1&gt;=Units!$Q120,MOD(N$1-Units!$Q120,12)=0),IF(AND(Units!$L120=1,N$1=Units!$Q120),1,Inputs!$B$15)*Inputs!$B$16*(1+Inputs!$B$11)^(N$2-1),0)</f>
        <v>0</v>
      </c>
      <c r="O121" s="11" t="n">
        <f aca="false">IF(AND(O$1&gt;=Units!$Q120,MOD(O$1-Units!$Q120,12)=0),IF(AND(Units!$L120=1,O$1=Units!$Q120),1,Inputs!$B$15)*Inputs!$B$16*(1+Inputs!$B$11)^(O$2-1),0)</f>
        <v>515</v>
      </c>
      <c r="P121" s="11" t="n">
        <f aca="false">IF(AND(P$1&gt;=Units!$Q120,MOD(P$1-Units!$Q120,12)=0),IF(AND(Units!$L120=1,P$1=Units!$Q120),1,Inputs!$B$15)*Inputs!$B$16*(1+Inputs!$B$11)^(P$2-1),0)</f>
        <v>0</v>
      </c>
      <c r="Q121" s="11" t="n">
        <f aca="false">IF(AND(Q$1&gt;=Units!$Q120,MOD(Q$1-Units!$Q120,12)=0),IF(AND(Units!$L120=1,Q$1=Units!$Q120),1,Inputs!$B$15)*Inputs!$B$16*(1+Inputs!$B$11)^(Q$2-1),0)</f>
        <v>0</v>
      </c>
      <c r="R121" s="11" t="n">
        <f aca="false">IF(AND(R$1&gt;=Units!$Q120,MOD(R$1-Units!$Q120,12)=0),IF(AND(Units!$L120=1,R$1=Units!$Q120),1,Inputs!$B$15)*Inputs!$B$16*(1+Inputs!$B$11)^(R$2-1),0)</f>
        <v>0</v>
      </c>
      <c r="S121" s="11" t="n">
        <f aca="false">IF(AND(S$1&gt;=Units!$Q120,MOD(S$1-Units!$Q120,12)=0),IF(AND(Units!$L120=1,S$1=Units!$Q120),1,Inputs!$B$15)*Inputs!$B$16*(1+Inputs!$B$11)^(S$2-1),0)</f>
        <v>0</v>
      </c>
      <c r="T121" s="11" t="n">
        <f aca="false">IF(AND(T$1&gt;=Units!$Q120,MOD(T$1-Units!$Q120,12)=0),IF(AND(Units!$L120=1,T$1=Units!$Q120),1,Inputs!$B$15)*Inputs!$B$16*(1+Inputs!$B$11)^(T$2-1),0)</f>
        <v>0</v>
      </c>
      <c r="U121" s="11" t="n">
        <f aca="false">IF(AND(U$1&gt;=Units!$Q120,MOD(U$1-Units!$Q120,12)=0),IF(AND(Units!$L120=1,U$1=Units!$Q120),1,Inputs!$B$15)*Inputs!$B$16*(1+Inputs!$B$11)^(U$2-1),0)</f>
        <v>0</v>
      </c>
      <c r="V121" s="11" t="n">
        <f aca="false">IF(AND(V$1&gt;=Units!$Q120,MOD(V$1-Units!$Q120,12)=0),IF(AND(Units!$L120=1,V$1=Units!$Q120),1,Inputs!$B$15)*Inputs!$B$16*(1+Inputs!$B$11)^(V$2-1),0)</f>
        <v>0</v>
      </c>
      <c r="W121" s="11" t="n">
        <f aca="false">IF(AND(W$1&gt;=Units!$Q120,MOD(W$1-Units!$Q120,12)=0),IF(AND(Units!$L120=1,W$1=Units!$Q120),1,Inputs!$B$15)*Inputs!$B$16*(1+Inputs!$B$11)^(W$2-1),0)</f>
        <v>0</v>
      </c>
      <c r="X121" s="11" t="n">
        <f aca="false">IF(AND(X$1&gt;=Units!$Q120,MOD(X$1-Units!$Q120,12)=0),IF(AND(Units!$L120=1,X$1=Units!$Q120),1,Inputs!$B$15)*Inputs!$B$16*(1+Inputs!$B$11)^(X$2-1),0)</f>
        <v>0</v>
      </c>
      <c r="Y121" s="11" t="n">
        <f aca="false">IF(AND(Y$1&gt;=Units!$Q120,MOD(Y$1-Units!$Q120,12)=0),IF(AND(Units!$L120=1,Y$1=Units!$Q120),1,Inputs!$B$15)*Inputs!$B$16*(1+Inputs!$B$11)^(Y$2-1),0)</f>
        <v>0</v>
      </c>
      <c r="Z121" s="11" t="n">
        <f aca="false">IF(AND(Z$1&gt;=Units!$Q120,MOD(Z$1-Units!$Q120,12)=0),IF(AND(Units!$L120=1,Z$1=Units!$Q120),1,Inputs!$B$15)*Inputs!$B$16*(1+Inputs!$B$11)^(Z$2-1),0)</f>
        <v>0</v>
      </c>
      <c r="AA121" s="11" t="n">
        <f aca="false">IF(AND(AA$1&gt;=Units!$Q120,MOD(AA$1-Units!$Q120,12)=0),IF(AND(Units!$L120=1,AA$1=Units!$Q120),1,Inputs!$B$15)*Inputs!$B$16*(1+Inputs!$B$11)^(AA$2-1),0)</f>
        <v>530.45</v>
      </c>
      <c r="AB121" s="11" t="n">
        <f aca="false">IF(AND(AB$1&gt;=Units!$Q120,MOD(AB$1-Units!$Q120,12)=0),IF(AND(Units!$L120=1,AB$1=Units!$Q120),1,Inputs!$B$15)*Inputs!$B$16*(1+Inputs!$B$11)^(AB$2-1),0)</f>
        <v>0</v>
      </c>
      <c r="AC121" s="11" t="n">
        <f aca="false">IF(AND(AC$1&gt;=Units!$Q120,MOD(AC$1-Units!$Q120,12)=0),IF(AND(Units!$L120=1,AC$1=Units!$Q120),1,Inputs!$B$15)*Inputs!$B$16*(1+Inputs!$B$11)^(AC$2-1),0)</f>
        <v>0</v>
      </c>
      <c r="AD121" s="11" t="n">
        <f aca="false">IF(AND(AD$1&gt;=Units!$Q120,MOD(AD$1-Units!$Q120,12)=0),IF(AND(Units!$L120=1,AD$1=Units!$Q120),1,Inputs!$B$15)*Inputs!$B$16*(1+Inputs!$B$11)^(AD$2-1),0)</f>
        <v>0</v>
      </c>
      <c r="AE121" s="11" t="n">
        <f aca="false">IF(AND(AE$1&gt;=Units!$Q120,MOD(AE$1-Units!$Q120,12)=0),IF(AND(Units!$L120=1,AE$1=Units!$Q120),1,Inputs!$B$15)*Inputs!$B$16*(1+Inputs!$B$11)^(AE$2-1),0)</f>
        <v>0</v>
      </c>
      <c r="AF121" s="11" t="n">
        <f aca="false">IF(AND(AF$1&gt;=Units!$Q120,MOD(AF$1-Units!$Q120,12)=0),IF(AND(Units!$L120=1,AF$1=Units!$Q120),1,Inputs!$B$15)*Inputs!$B$16*(1+Inputs!$B$11)^(AF$2-1),0)</f>
        <v>0</v>
      </c>
      <c r="AG121" s="11" t="n">
        <f aca="false">IF(AND(AG$1&gt;=Units!$Q120,MOD(AG$1-Units!$Q120,12)=0),IF(AND(Units!$L120=1,AG$1=Units!$Q120),1,Inputs!$B$15)*Inputs!$B$16*(1+Inputs!$B$11)^(AG$2-1),0)</f>
        <v>0</v>
      </c>
      <c r="AH121" s="11" t="n">
        <f aca="false">IF(AND(AH$1&gt;=Units!$Q120,MOD(AH$1-Units!$Q120,12)=0),IF(AND(Units!$L120=1,AH$1=Units!$Q120),1,Inputs!$B$15)*Inputs!$B$16*(1+Inputs!$B$11)^(AH$2-1),0)</f>
        <v>0</v>
      </c>
      <c r="AI121" s="11" t="n">
        <f aca="false">IF(AND(AI$1&gt;=Units!$Q120,MOD(AI$1-Units!$Q120,12)=0),IF(AND(Units!$L120=1,AI$1=Units!$Q120),1,Inputs!$B$15)*Inputs!$B$16*(1+Inputs!$B$11)^(AI$2-1),0)</f>
        <v>0</v>
      </c>
      <c r="AJ121" s="11" t="n">
        <f aca="false">IF(AND(AJ$1&gt;=Units!$Q120,MOD(AJ$1-Units!$Q120,12)=0),IF(AND(Units!$L120=1,AJ$1=Units!$Q120),1,Inputs!$B$15)*Inputs!$B$16*(1+Inputs!$B$11)^(AJ$2-1),0)</f>
        <v>0</v>
      </c>
      <c r="AK121" s="11" t="n">
        <f aca="false">IF(AND(AK$1&gt;=Units!$Q120,MOD(AK$1-Units!$Q120,12)=0),IF(AND(Units!$L120=1,AK$1=Units!$Q120),1,Inputs!$B$15)*Inputs!$B$16*(1+Inputs!$B$11)^(AK$2-1),0)</f>
        <v>0</v>
      </c>
      <c r="AL121" s="11" t="n">
        <f aca="false">IF(AND(AL$1&gt;=Units!$Q120,MOD(AL$1-Units!$Q120,12)=0),IF(AND(Units!$L120=1,AL$1=Units!$Q120),1,Inputs!$B$15)*Inputs!$B$16*(1+Inputs!$B$11)^(AL$2-1),0)</f>
        <v>0</v>
      </c>
      <c r="AM121" s="11" t="n">
        <f aca="false">IF(AND(AM$1&gt;=Units!$Q120,MOD(AM$1-Units!$Q120,12)=0),IF(AND(Units!$L120=1,AM$1=Units!$Q120),1,Inputs!$B$15)*Inputs!$B$16*(1+Inputs!$B$11)^(AM$2-1),0)</f>
        <v>546.3635</v>
      </c>
      <c r="AN121" s="11" t="n">
        <f aca="false">IF(AND(AN$1&gt;=Units!$Q120,MOD(AN$1-Units!$Q120,12)=0),IF(AND(Units!$L120=1,AN$1=Units!$Q120),1,Inputs!$B$15)*Inputs!$B$16*(1+Inputs!$B$11)^(AN$2-1),0)</f>
        <v>0</v>
      </c>
      <c r="AO121" s="11" t="n">
        <f aca="false">IF(AND(AO$1&gt;=Units!$Q120,MOD(AO$1-Units!$Q120,12)=0),IF(AND(Units!$L120=1,AO$1=Units!$Q120),1,Inputs!$B$15)*Inputs!$B$16*(1+Inputs!$B$11)^(AO$2-1),0)</f>
        <v>0</v>
      </c>
      <c r="AP121" s="11" t="n">
        <f aca="false">IF(AND(AP$1&gt;=Units!$Q120,MOD(AP$1-Units!$Q120,12)=0),IF(AND(Units!$L120=1,AP$1=Units!$Q120),1,Inputs!$B$15)*Inputs!$B$16*(1+Inputs!$B$11)^(AP$2-1),0)</f>
        <v>0</v>
      </c>
      <c r="AQ121" s="11" t="n">
        <f aca="false">IF(AND(AQ$1&gt;=Units!$Q120,MOD(AQ$1-Units!$Q120,12)=0),IF(AND(Units!$L120=1,AQ$1=Units!$Q120),1,Inputs!$B$15)*Inputs!$B$16*(1+Inputs!$B$11)^(AQ$2-1),0)</f>
        <v>0</v>
      </c>
      <c r="AR121" s="11" t="n">
        <f aca="false">IF(AND(AR$1&gt;=Units!$Q120,MOD(AR$1-Units!$Q120,12)=0),IF(AND(Units!$L120=1,AR$1=Units!$Q120),1,Inputs!$B$15)*Inputs!$B$16*(1+Inputs!$B$11)^(AR$2-1),0)</f>
        <v>0</v>
      </c>
      <c r="AS121" s="11" t="n">
        <f aca="false">IF(AND(AS$1&gt;=Units!$Q120,MOD(AS$1-Units!$Q120,12)=0),IF(AND(Units!$L120=1,AS$1=Units!$Q120),1,Inputs!$B$15)*Inputs!$B$16*(1+Inputs!$B$11)^(AS$2-1),0)</f>
        <v>0</v>
      </c>
      <c r="AT121" s="11" t="n">
        <f aca="false">IF(AND(AT$1&gt;=Units!$Q120,MOD(AT$1-Units!$Q120,12)=0),IF(AND(Units!$L120=1,AT$1=Units!$Q120),1,Inputs!$B$15)*Inputs!$B$16*(1+Inputs!$B$11)^(AT$2-1),0)</f>
        <v>0</v>
      </c>
      <c r="AU121" s="11" t="n">
        <f aca="false">IF(AND(AU$1&gt;=Units!$Q120,MOD(AU$1-Units!$Q120,12)=0),IF(AND(Units!$L120=1,AU$1=Units!$Q120),1,Inputs!$B$15)*Inputs!$B$16*(1+Inputs!$B$11)^(AU$2-1),0)</f>
        <v>0</v>
      </c>
      <c r="AV121" s="11" t="n">
        <f aca="false">IF(AND(AV$1&gt;=Units!$Q120,MOD(AV$1-Units!$Q120,12)=0),IF(AND(Units!$L120=1,AV$1=Units!$Q120),1,Inputs!$B$15)*Inputs!$B$16*(1+Inputs!$B$11)^(AV$2-1),0)</f>
        <v>0</v>
      </c>
      <c r="AW121" s="11" t="n">
        <f aca="false">IF(AND(AW$1&gt;=Units!$Q120,MOD(AW$1-Units!$Q120,12)=0),IF(AND(Units!$L120=1,AW$1=Units!$Q120),1,Inputs!$B$15)*Inputs!$B$16*(1+Inputs!$B$11)^(AW$2-1),0)</f>
        <v>0</v>
      </c>
      <c r="AX121" s="11" t="n">
        <f aca="false">IF(AND(AX$1&gt;=Units!$Q120,MOD(AX$1-Units!$Q120,12)=0),IF(AND(Units!$L120=1,AX$1=Units!$Q120),1,Inputs!$B$15)*Inputs!$B$16*(1+Inputs!$B$11)^(AX$2-1),0)</f>
        <v>0</v>
      </c>
      <c r="AY121" s="11" t="n">
        <f aca="false">IF(AND(AY$1&gt;=Units!$Q120,MOD(AY$1-Units!$Q120,12)=0),IF(AND(Units!$L120=1,AY$1=Units!$Q120),1,Inputs!$B$15)*Inputs!$B$16*(1+Inputs!$B$11)^(AY$2-1),0)</f>
        <v>562.754405</v>
      </c>
      <c r="AZ121" s="11" t="n">
        <f aca="false">IF(AND(AZ$1&gt;=Units!$Q120,MOD(AZ$1-Units!$Q120,12)=0),IF(AND(Units!$L120=1,AZ$1=Units!$Q120),1,Inputs!$B$15)*Inputs!$B$16*(1+Inputs!$B$11)^(AZ$2-1),0)</f>
        <v>0</v>
      </c>
      <c r="BA121" s="11" t="n">
        <f aca="false">IF(AND(BA$1&gt;=Units!$Q120,MOD(BA$1-Units!$Q120,12)=0),IF(AND(Units!$L120=1,BA$1=Units!$Q120),1,Inputs!$B$15)*Inputs!$B$16*(1+Inputs!$B$11)^(BA$2-1),0)</f>
        <v>0</v>
      </c>
      <c r="BB121" s="11" t="n">
        <f aca="false">IF(AND(BB$1&gt;=Units!$Q120,MOD(BB$1-Units!$Q120,12)=0),IF(AND(Units!$L120=1,BB$1=Units!$Q120),1,Inputs!$B$15)*Inputs!$B$16*(1+Inputs!$B$11)^(BB$2-1),0)</f>
        <v>0</v>
      </c>
      <c r="BC121" s="11" t="n">
        <f aca="false">IF(AND(BC$1&gt;=Units!$Q120,MOD(BC$1-Units!$Q120,12)=0),IF(AND(Units!$L120=1,BC$1=Units!$Q120),1,Inputs!$B$15)*Inputs!$B$16*(1+Inputs!$B$11)^(BC$2-1),0)</f>
        <v>0</v>
      </c>
      <c r="BD121" s="11" t="n">
        <f aca="false">IF(AND(BD$1&gt;=Units!$Q120,MOD(BD$1-Units!$Q120,12)=0),IF(AND(Units!$L120=1,BD$1=Units!$Q120),1,Inputs!$B$15)*Inputs!$B$16*(1+Inputs!$B$11)^(BD$2-1),0)</f>
        <v>0</v>
      </c>
      <c r="BE121" s="11" t="n">
        <f aca="false">IF(AND(BE$1&gt;=Units!$Q120,MOD(BE$1-Units!$Q120,12)=0),IF(AND(Units!$L120=1,BE$1=Units!$Q120),1,Inputs!$B$15)*Inputs!$B$16*(1+Inputs!$B$11)^(BE$2-1),0)</f>
        <v>0</v>
      </c>
      <c r="BF121" s="11" t="n">
        <f aca="false">IF(AND(BF$1&gt;=Units!$Q120,MOD(BF$1-Units!$Q120,12)=0),IF(AND(Units!$L120=1,BF$1=Units!$Q120),1,Inputs!$B$15)*Inputs!$B$16*(1+Inputs!$B$11)^(BF$2-1),0)</f>
        <v>0</v>
      </c>
      <c r="BG121" s="11" t="n">
        <f aca="false">IF(AND(BG$1&gt;=Units!$Q120,MOD(BG$1-Units!$Q120,12)=0),IF(AND(Units!$L120=1,BG$1=Units!$Q120),1,Inputs!$B$15)*Inputs!$B$16*(1+Inputs!$B$11)^(BG$2-1),0)</f>
        <v>0</v>
      </c>
      <c r="BH121" s="11" t="n">
        <f aca="false">IF(AND(BH$1&gt;=Units!$Q120,MOD(BH$1-Units!$Q120,12)=0),IF(AND(Units!$L120=1,BH$1=Units!$Q120),1,Inputs!$B$15)*Inputs!$B$16*(1+Inputs!$B$11)^(BH$2-1),0)</f>
        <v>0</v>
      </c>
      <c r="BI121" s="11" t="n">
        <f aca="false">IF(AND(BI$1&gt;=Units!$Q120,MOD(BI$1-Units!$Q120,12)=0),IF(AND(Units!$L120=1,BI$1=Units!$Q120),1,Inputs!$B$15)*Inputs!$B$16*(1+Inputs!$B$11)^(BI$2-1),0)</f>
        <v>0</v>
      </c>
      <c r="BJ121" s="11" t="n">
        <f aca="false">IF(AND(BJ$1&gt;=Units!$Q120,MOD(BJ$1-Units!$Q120,12)=0),IF(AND(Units!$L120=1,BJ$1=Units!$Q120),1,Inputs!$B$15)*Inputs!$B$16*(1+Inputs!$B$11)^(BJ$2-1),0)</f>
        <v>0</v>
      </c>
      <c r="BK121" s="11" t="n">
        <f aca="false">IF(AND(BK$1&gt;=Units!$Q120,MOD(BK$1-Units!$Q120,12)=0),IF(AND(Units!$L120=1,BK$1=Units!$Q120),1,Inputs!$B$15)*Inputs!$B$16*(1+Inputs!$B$11)^(BK$2-1),0)</f>
        <v>579.63703715</v>
      </c>
      <c r="BL121" s="11" t="n">
        <f aca="false">IF(AND(BL$1&gt;=Units!$Q120,MOD(BL$1-Units!$Q120,12)=0),IF(AND(Units!$L120=1,BL$1=Units!$Q120),1,Inputs!$B$15)*Inputs!$B$16*(1+Inputs!$B$11)^(BL$2-1),0)</f>
        <v>0</v>
      </c>
      <c r="BM121" s="11" t="n">
        <f aca="false">IF(AND(BM$1&gt;=Units!$Q120,MOD(BM$1-Units!$Q120,12)=0),IF(AND(Units!$L120=1,BM$1=Units!$Q120),1,Inputs!$B$15)*Inputs!$B$16*(1+Inputs!$B$11)^(BM$2-1),0)</f>
        <v>0</v>
      </c>
      <c r="BN121" s="11" t="n">
        <f aca="false">IF(AND(BN$1&gt;=Units!$Q120,MOD(BN$1-Units!$Q120,12)=0),IF(AND(Units!$L120=1,BN$1=Units!$Q120),1,Inputs!$B$15)*Inputs!$B$16*(1+Inputs!$B$11)^(BN$2-1),0)</f>
        <v>0</v>
      </c>
      <c r="BO121" s="11" t="n">
        <f aca="false">IF(AND(BO$1&gt;=Units!$Q120,MOD(BO$1-Units!$Q120,12)=0),IF(AND(Units!$L120=1,BO$1=Units!$Q120),1,Inputs!$B$15)*Inputs!$B$16*(1+Inputs!$B$11)^(BO$2-1),0)</f>
        <v>0</v>
      </c>
      <c r="BP121" s="11" t="n">
        <f aca="false">IF(AND(BP$1&gt;=Units!$Q120,MOD(BP$1-Units!$Q120,12)=0),IF(AND(Units!$L120=1,BP$1=Units!$Q120),1,Inputs!$B$15)*Inputs!$B$16*(1+Inputs!$B$11)^(BP$2-1),0)</f>
        <v>0</v>
      </c>
      <c r="BQ121" s="11" t="n">
        <f aca="false">IF(AND(BQ$1&gt;=Units!$Q120,MOD(BQ$1-Units!$Q120,12)=0),IF(AND(Units!$L120=1,BQ$1=Units!$Q120),1,Inputs!$B$15)*Inputs!$B$16*(1+Inputs!$B$11)^(BQ$2-1),0)</f>
        <v>0</v>
      </c>
      <c r="BR121" s="11" t="n">
        <f aca="false">IF(AND(BR$1&gt;=Units!$Q120,MOD(BR$1-Units!$Q120,12)=0),IF(AND(Units!$L120=1,BR$1=Units!$Q120),1,Inputs!$B$15)*Inputs!$B$16*(1+Inputs!$B$11)^(BR$2-1),0)</f>
        <v>0</v>
      </c>
      <c r="BS121" s="11" t="n">
        <f aca="false">IF(AND(BS$1&gt;=Units!$Q120,MOD(BS$1-Units!$Q120,12)=0),IF(AND(Units!$L120=1,BS$1=Units!$Q120),1,Inputs!$B$15)*Inputs!$B$16*(1+Inputs!$B$11)^(BS$2-1),0)</f>
        <v>0</v>
      </c>
      <c r="BT121" s="11" t="n">
        <f aca="false">IF(AND(BT$1&gt;=Units!$Q120,MOD(BT$1-Units!$Q120,12)=0),IF(AND(Units!$L120=1,BT$1=Units!$Q120),1,Inputs!$B$15)*Inputs!$B$16*(1+Inputs!$B$11)^(BT$2-1),0)</f>
        <v>0</v>
      </c>
      <c r="BU121" s="11" t="n">
        <f aca="false">IF(AND(BU$1&gt;=Units!$Q120,MOD(BU$1-Units!$Q120,12)=0),IF(AND(Units!$L120=1,BU$1=Units!$Q120),1,Inputs!$B$15)*Inputs!$B$16*(1+Inputs!$B$11)^(BU$2-1),0)</f>
        <v>0</v>
      </c>
      <c r="BV121" s="11" t="n">
        <f aca="false">IF(AND(BV$1&gt;=Units!$Q120,MOD(BV$1-Units!$Q120,12)=0),IF(AND(Units!$L120=1,BV$1=Units!$Q120),1,Inputs!$B$15)*Inputs!$B$16*(1+Inputs!$B$11)^(BV$2-1),0)</f>
        <v>0</v>
      </c>
      <c r="BW121" s="11" t="n">
        <f aca="false">IF(AND(BW$1&gt;=Units!$Q120,MOD(BW$1-Units!$Q120,12)=0),IF(AND(Units!$L120=1,BW$1=Units!$Q120),1,Inputs!$B$15)*Inputs!$B$16*(1+Inputs!$B$11)^(BW$2-1),0)</f>
        <v>597.0261482645</v>
      </c>
      <c r="BX121" s="11" t="n">
        <f aca="false">IF(AND(BX$1&gt;=Units!$Q120,MOD(BX$1-Units!$Q120,12)=0),IF(AND(Units!$L120=1,BX$1=Units!$Q120),1,Inputs!$B$15)*Inputs!$B$16*(1+Inputs!$B$11)^(BX$2-1),0)</f>
        <v>0</v>
      </c>
      <c r="BY121" s="11" t="n">
        <f aca="false">IF(AND(BY$1&gt;=Units!$Q120,MOD(BY$1-Units!$Q120,12)=0),IF(AND(Units!$L120=1,BY$1=Units!$Q120),1,Inputs!$B$15)*Inputs!$B$16*(1+Inputs!$B$11)^(BY$2-1),0)</f>
        <v>0</v>
      </c>
      <c r="BZ121" s="11" t="n">
        <f aca="false">IF(AND(BZ$1&gt;=Units!$Q120,MOD(BZ$1-Units!$Q120,12)=0),IF(AND(Units!$L120=1,BZ$1=Units!$Q120),1,Inputs!$B$15)*Inputs!$B$16*(1+Inputs!$B$11)^(BZ$2-1),0)</f>
        <v>0</v>
      </c>
      <c r="CA121" s="11" t="n">
        <f aca="false">IF(AND(CA$1&gt;=Units!$Q120,MOD(CA$1-Units!$Q120,12)=0),IF(AND(Units!$L120=1,CA$1=Units!$Q120),1,Inputs!$B$15)*Inputs!$B$16*(1+Inputs!$B$11)^(CA$2-1),0)</f>
        <v>0</v>
      </c>
      <c r="CB121" s="11" t="n">
        <f aca="false">IF(AND(CB$1&gt;=Units!$Q120,MOD(CB$1-Units!$Q120,12)=0),IF(AND(Units!$L120=1,CB$1=Units!$Q120),1,Inputs!$B$15)*Inputs!$B$16*(1+Inputs!$B$11)^(CB$2-1),0)</f>
        <v>0</v>
      </c>
      <c r="CC121" s="11" t="n">
        <f aca="false">IF(AND(CC$1&gt;=Units!$Q120,MOD(CC$1-Units!$Q120,12)=0),IF(AND(Units!$L120=1,CC$1=Units!$Q120),1,Inputs!$B$15)*Inputs!$B$16*(1+Inputs!$B$11)^(CC$2-1),0)</f>
        <v>0</v>
      </c>
      <c r="CD121" s="11" t="n">
        <f aca="false">IF(AND(CD$1&gt;=Units!$Q120,MOD(CD$1-Units!$Q120,12)=0),IF(AND(Units!$L120=1,CD$1=Units!$Q120),1,Inputs!$B$15)*Inputs!$B$16*(1+Inputs!$B$11)^(CD$2-1),0)</f>
        <v>0</v>
      </c>
      <c r="CE121" s="11" t="n">
        <f aca="false">IF(AND(CE$1&gt;=Units!$Q120,MOD(CE$1-Units!$Q120,12)=0),IF(AND(Units!$L120=1,CE$1=Units!$Q120),1,Inputs!$B$15)*Inputs!$B$16*(1+Inputs!$B$11)^(CE$2-1),0)</f>
        <v>0</v>
      </c>
      <c r="CF121" s="11" t="n">
        <f aca="false">IF(AND(CF$1&gt;=Units!$Q120,MOD(CF$1-Units!$Q120,12)=0),IF(AND(Units!$L120=1,CF$1=Units!$Q120),1,Inputs!$B$15)*Inputs!$B$16*(1+Inputs!$B$11)^(CF$2-1),0)</f>
        <v>0</v>
      </c>
      <c r="CG121" s="11" t="n">
        <f aca="false">IF(AND(CG$1&gt;=Units!$Q120,MOD(CG$1-Units!$Q120,12)=0),IF(AND(Units!$L120=1,CG$1=Units!$Q120),1,Inputs!$B$15)*Inputs!$B$16*(1+Inputs!$B$11)^(CG$2-1),0)</f>
        <v>0</v>
      </c>
      <c r="CH121" s="11" t="n">
        <f aca="false">IF(AND(CH$1&gt;=Units!$Q120,MOD(CH$1-Units!$Q120,12)=0),IF(AND(Units!$L120=1,CH$1=Units!$Q120),1,Inputs!$B$15)*Inputs!$B$16*(1+Inputs!$B$11)^(CH$2-1),0)</f>
        <v>0</v>
      </c>
      <c r="CI121" s="11" t="n">
        <f aca="false">IF(AND(CI$1&gt;=Units!$Q120,MOD(CI$1-Units!$Q120,12)=0),IF(AND(Units!$L120=1,CI$1=Units!$Q120),1,Inputs!$B$15)*Inputs!$B$16*(1+Inputs!$B$11)^(CI$2-1),0)</f>
        <v>614.936932712435</v>
      </c>
      <c r="CJ121" s="11" t="n">
        <f aca="false">IF(AND(CJ$1&gt;=Units!$Q120,MOD(CJ$1-Units!$Q120,12)=0),IF(AND(Units!$L120=1,CJ$1=Units!$Q120),1,Inputs!$B$15)*Inputs!$B$16*(1+Inputs!$B$11)^(CJ$2-1),0)</f>
        <v>0</v>
      </c>
      <c r="CK121" s="11" t="n">
        <f aca="false">IF(AND(CK$1&gt;=Units!$Q120,MOD(CK$1-Units!$Q120,12)=0),IF(AND(Units!$L120=1,CK$1=Units!$Q120),1,Inputs!$B$15)*Inputs!$B$16*(1+Inputs!$B$11)^(CK$2-1),0)</f>
        <v>0</v>
      </c>
      <c r="CL121" s="11" t="n">
        <f aca="false">IF(AND(CL$1&gt;=Units!$Q120,MOD(CL$1-Units!$Q120,12)=0),IF(AND(Units!$L120=1,CL$1=Units!$Q120),1,Inputs!$B$15)*Inputs!$B$16*(1+Inputs!$B$11)^(CL$2-1),0)</f>
        <v>0</v>
      </c>
      <c r="CM121" s="11" t="n">
        <f aca="false">IF(AND(CM$1&gt;=Units!$Q120,MOD(CM$1-Units!$Q120,12)=0),IF(AND(Units!$L120=1,CM$1=Units!$Q120),1,Inputs!$B$15)*Inputs!$B$16*(1+Inputs!$B$11)^(CM$2-1),0)</f>
        <v>0</v>
      </c>
      <c r="CN121" s="11" t="n">
        <f aca="false">IF(AND(CN$1&gt;=Units!$Q120,MOD(CN$1-Units!$Q120,12)=0),IF(AND(Units!$L120=1,CN$1=Units!$Q120),1,Inputs!$B$15)*Inputs!$B$16*(1+Inputs!$B$11)^(CN$2-1),0)</f>
        <v>0</v>
      </c>
      <c r="CO121" s="11" t="n">
        <f aca="false">IF(AND(CO$1&gt;=Units!$Q120,MOD(CO$1-Units!$Q120,12)=0),IF(AND(Units!$L120=1,CO$1=Units!$Q120),1,Inputs!$B$15)*Inputs!$B$16*(1+Inputs!$B$11)^(CO$2-1),0)</f>
        <v>0</v>
      </c>
      <c r="CP121" s="11" t="n">
        <f aca="false">IF(AND(CP$1&gt;=Units!$Q120,MOD(CP$1-Units!$Q120,12)=0),IF(AND(Units!$L120=1,CP$1=Units!$Q120),1,Inputs!$B$15)*Inputs!$B$16*(1+Inputs!$B$11)^(CP$2-1),0)</f>
        <v>0</v>
      </c>
      <c r="CQ121" s="11" t="n">
        <f aca="false">IF(AND(CQ$1&gt;=Units!$Q120,MOD(CQ$1-Units!$Q120,12)=0),IF(AND(Units!$L120=1,CQ$1=Units!$Q120),1,Inputs!$B$15)*Inputs!$B$16*(1+Inputs!$B$11)^(CQ$2-1),0)</f>
        <v>0</v>
      </c>
      <c r="CR121" s="11" t="n">
        <f aca="false">IF(AND(CR$1&gt;=Units!$Q120,MOD(CR$1-Units!$Q120,12)=0),IF(AND(Units!$L120=1,CR$1=Units!$Q120),1,Inputs!$B$15)*Inputs!$B$16*(1+Inputs!$B$11)^(CR$2-1),0)</f>
        <v>0</v>
      </c>
      <c r="CS121" s="11" t="n">
        <f aca="false">IF(AND(CS$1&gt;=Units!$Q120,MOD(CS$1-Units!$Q120,12)=0),IF(AND(Units!$L120=1,CS$1=Units!$Q120),1,Inputs!$B$15)*Inputs!$B$16*(1+Inputs!$B$11)^(CS$2-1),0)</f>
        <v>0</v>
      </c>
      <c r="CT121" s="11" t="n">
        <f aca="false">IF(AND(CT$1&gt;=Units!$Q120,MOD(CT$1-Units!$Q120,12)=0),IF(AND(Units!$L120=1,CT$1=Units!$Q120),1,Inputs!$B$15)*Inputs!$B$16*(1+Inputs!$B$11)^(CT$2-1),0)</f>
        <v>0</v>
      </c>
      <c r="CU121" s="11" t="n">
        <f aca="false">IF(AND(CU$1&gt;=Units!$Q120,MOD(CU$1-Units!$Q120,12)=0),IF(AND(Units!$L120=1,CU$1=Units!$Q120),1,Inputs!$B$15)*Inputs!$B$16*(1+Inputs!$B$11)^(CU$2-1),0)</f>
        <v>633.385040693808</v>
      </c>
      <c r="CV121" s="11" t="n">
        <f aca="false">IF(AND(CV$1&gt;=Units!$Q120,MOD(CV$1-Units!$Q120,12)=0),IF(AND(Units!$L120=1,CV$1=Units!$Q120),1,Inputs!$B$15)*Inputs!$B$16*(1+Inputs!$B$11)^(CV$2-1),0)</f>
        <v>0</v>
      </c>
      <c r="CW121" s="11" t="n">
        <f aca="false">IF(AND(CW$1&gt;=Units!$Q120,MOD(CW$1-Units!$Q120,12)=0),IF(AND(Units!$L120=1,CW$1=Units!$Q120),1,Inputs!$B$15)*Inputs!$B$16*(1+Inputs!$B$11)^(CW$2-1),0)</f>
        <v>0</v>
      </c>
      <c r="CX121" s="11" t="n">
        <f aca="false">IF(AND(CX$1&gt;=Units!$Q120,MOD(CX$1-Units!$Q120,12)=0),IF(AND(Units!$L120=1,CX$1=Units!$Q120),1,Inputs!$B$15)*Inputs!$B$16*(1+Inputs!$B$11)^(CX$2-1),0)</f>
        <v>0</v>
      </c>
      <c r="CY121" s="11" t="n">
        <f aca="false">IF(AND(CY$1&gt;=Units!$Q120,MOD(CY$1-Units!$Q120,12)=0),IF(AND(Units!$L120=1,CY$1=Units!$Q120),1,Inputs!$B$15)*Inputs!$B$16*(1+Inputs!$B$11)^(CY$2-1),0)</f>
        <v>0</v>
      </c>
      <c r="CZ121" s="11" t="n">
        <f aca="false">IF(AND(CZ$1&gt;=Units!$Q120,MOD(CZ$1-Units!$Q120,12)=0),IF(AND(Units!$L120=1,CZ$1=Units!$Q120),1,Inputs!$B$15)*Inputs!$B$16*(1+Inputs!$B$11)^(CZ$2-1),0)</f>
        <v>0</v>
      </c>
      <c r="DA121" s="11" t="n">
        <f aca="false">IF(AND(DA$1&gt;=Units!$Q120,MOD(DA$1-Units!$Q120,12)=0),IF(AND(Units!$L120=1,DA$1=Units!$Q120),1,Inputs!$B$15)*Inputs!$B$16*(1+Inputs!$B$11)^(DA$2-1),0)</f>
        <v>0</v>
      </c>
      <c r="DB121" s="11" t="n">
        <f aca="false">IF(AND(DB$1&gt;=Units!$Q120,MOD(DB$1-Units!$Q120,12)=0),IF(AND(Units!$L120=1,DB$1=Units!$Q120),1,Inputs!$B$15)*Inputs!$B$16*(1+Inputs!$B$11)^(DB$2-1),0)</f>
        <v>0</v>
      </c>
      <c r="DC121" s="11" t="n">
        <f aca="false">IF(AND(DC$1&gt;=Units!$Q120,MOD(DC$1-Units!$Q120,12)=0),IF(AND(Units!$L120=1,DC$1=Units!$Q120),1,Inputs!$B$15)*Inputs!$B$16*(1+Inputs!$B$11)^(DC$2-1),0)</f>
        <v>0</v>
      </c>
      <c r="DD121" s="11" t="n">
        <f aca="false">IF(AND(DD$1&gt;=Units!$Q120,MOD(DD$1-Units!$Q120,12)=0),IF(AND(Units!$L120=1,DD$1=Units!$Q120),1,Inputs!$B$15)*Inputs!$B$16*(1+Inputs!$B$11)^(DD$2-1),0)</f>
        <v>0</v>
      </c>
      <c r="DE121" s="11" t="n">
        <f aca="false">IF(AND(DE$1&gt;=Units!$Q120,MOD(DE$1-Units!$Q120,12)=0),IF(AND(Units!$L120=1,DE$1=Units!$Q120),1,Inputs!$B$15)*Inputs!$B$16*(1+Inputs!$B$11)^(DE$2-1),0)</f>
        <v>0</v>
      </c>
      <c r="DF121" s="11" t="n">
        <f aca="false">IF(AND(DF$1&gt;=Units!$Q120,MOD(DF$1-Units!$Q120,12)=0),IF(AND(Units!$L120=1,DF$1=Units!$Q120),1,Inputs!$B$15)*Inputs!$B$16*(1+Inputs!$B$11)^(DF$2-1),0)</f>
        <v>0</v>
      </c>
      <c r="DG121" s="11" t="n">
        <f aca="false">IF(AND(DG$1&gt;=Units!$Q120,MOD(DG$1-Units!$Q120,12)=0),IF(AND(Units!$L120=1,DG$1=Units!$Q120),1,Inputs!$B$15)*Inputs!$B$16*(1+Inputs!$B$11)^(DG$2-1),0)</f>
        <v>652.386591914623</v>
      </c>
      <c r="DH121" s="11" t="n">
        <f aca="false">IF(AND(DH$1&gt;=Units!$Q120,MOD(DH$1-Units!$Q120,12)=0),IF(AND(Units!$L120=1,DH$1=Units!$Q120),1,Inputs!$B$15)*Inputs!$B$16*(1+Inputs!$B$11)^(DH$2-1),0)</f>
        <v>0</v>
      </c>
      <c r="DI121" s="11" t="n">
        <f aca="false">IF(AND(DI$1&gt;=Units!$Q120,MOD(DI$1-Units!$Q120,12)=0),IF(AND(Units!$L120=1,DI$1=Units!$Q120),1,Inputs!$B$15)*Inputs!$B$16*(1+Inputs!$B$11)^(DI$2-1),0)</f>
        <v>0</v>
      </c>
      <c r="DJ121" s="11" t="n">
        <f aca="false">IF(AND(DJ$1&gt;=Units!$Q120,MOD(DJ$1-Units!$Q120,12)=0),IF(AND(Units!$L120=1,DJ$1=Units!$Q120),1,Inputs!$B$15)*Inputs!$B$16*(1+Inputs!$B$11)^(DJ$2-1),0)</f>
        <v>0</v>
      </c>
      <c r="DK121" s="11" t="n">
        <f aca="false">IF(AND(DK$1&gt;=Units!$Q120,MOD(DK$1-Units!$Q120,12)=0),IF(AND(Units!$L120=1,DK$1=Units!$Q120),1,Inputs!$B$15)*Inputs!$B$16*(1+Inputs!$B$11)^(DK$2-1),0)</f>
        <v>0</v>
      </c>
      <c r="DL121" s="11" t="n">
        <f aca="false">IF(AND(DL$1&gt;=Units!$Q120,MOD(DL$1-Units!$Q120,12)=0),IF(AND(Units!$L120=1,DL$1=Units!$Q120),1,Inputs!$B$15)*Inputs!$B$16*(1+Inputs!$B$11)^(DL$2-1),0)</f>
        <v>0</v>
      </c>
      <c r="DM121" s="11" t="n">
        <f aca="false">IF(AND(DM$1&gt;=Units!$Q120,MOD(DM$1-Units!$Q120,12)=0),IF(AND(Units!$L120=1,DM$1=Units!$Q120),1,Inputs!$B$15)*Inputs!$B$16*(1+Inputs!$B$11)^(DM$2-1),0)</f>
        <v>0</v>
      </c>
      <c r="DN121" s="11" t="n">
        <f aca="false">IF(AND(DN$1&gt;=Units!$Q120,MOD(DN$1-Units!$Q120,12)=0),IF(AND(Units!$L120=1,DN$1=Units!$Q120),1,Inputs!$B$15)*Inputs!$B$16*(1+Inputs!$B$11)^(DN$2-1),0)</f>
        <v>0</v>
      </c>
      <c r="DO121" s="11" t="n">
        <f aca="false">IF(AND(DO$1&gt;=Units!$Q120,MOD(DO$1-Units!$Q120,12)=0),IF(AND(Units!$L120=1,DO$1=Units!$Q120),1,Inputs!$B$15)*Inputs!$B$16*(1+Inputs!$B$11)^(DO$2-1),0)</f>
        <v>0</v>
      </c>
      <c r="DP121" s="11" t="n">
        <f aca="false">IF(AND(DP$1&gt;=Units!$Q120,MOD(DP$1-Units!$Q120,12)=0),IF(AND(Units!$L120=1,DP$1=Units!$Q120),1,Inputs!$B$15)*Inputs!$B$16*(1+Inputs!$B$11)^(DP$2-1),0)</f>
        <v>0</v>
      </c>
      <c r="DQ121" s="11" t="n">
        <f aca="false">IF(AND(DQ$1&gt;=Units!$Q120,MOD(DQ$1-Units!$Q120,12)=0),IF(AND(Units!$L120=1,DQ$1=Units!$Q120),1,Inputs!$B$15)*Inputs!$B$16*(1+Inputs!$B$11)^(DQ$2-1),0)</f>
        <v>0</v>
      </c>
      <c r="DR121" s="11" t="n">
        <f aca="false">IF(AND(DR$1&gt;=Units!$Q120,MOD(DR$1-Units!$Q120,12)=0),IF(AND(Units!$L120=1,DR$1=Units!$Q120),1,Inputs!$B$15)*Inputs!$B$16*(1+Inputs!$B$11)^(DR$2-1),0)</f>
        <v>0</v>
      </c>
      <c r="DS121" s="11" t="n">
        <f aca="false">IF(AND(DS$1&gt;=Units!$Q120,MOD(DS$1-Units!$Q120,12)=0),IF(AND(Units!$L120=1,DS$1=Units!$Q120),1,Inputs!$B$15)*Inputs!$B$16*(1+Inputs!$B$11)^(DS$2-1),0)</f>
        <v>671.958189672061</v>
      </c>
      <c r="DT121" s="11" t="n">
        <f aca="false">IF(AND(DT$1&gt;=Units!$Q120,MOD(DT$1-Units!$Q120,12)=0),IF(AND(Units!$L120=1,DT$1=Units!$Q120),1,Inputs!$B$15)*Inputs!$B$16*(1+Inputs!$B$11)^(DT$2-1),0)</f>
        <v>0</v>
      </c>
      <c r="DU121" s="11" t="n">
        <f aca="false">IF(AND(DU$1&gt;=Units!$Q120,MOD(DU$1-Units!$Q120,12)=0),IF(AND(Units!$L120=1,DU$1=Units!$Q120),1,Inputs!$B$15)*Inputs!$B$16*(1+Inputs!$B$11)^(DU$2-1),0)</f>
        <v>0</v>
      </c>
      <c r="DV121" s="11" t="n">
        <f aca="false">IF(AND(DV$1&gt;=Units!$Q120,MOD(DV$1-Units!$Q120,12)=0),IF(AND(Units!$L120=1,DV$1=Units!$Q120),1,Inputs!$B$15)*Inputs!$B$16*(1+Inputs!$B$11)^(DV$2-1),0)</f>
        <v>0</v>
      </c>
      <c r="DW121" s="11" t="n">
        <f aca="false">IF(AND(DW$1&gt;=Units!$Q120,MOD(DW$1-Units!$Q120,12)=0),IF(AND(Units!$L120=1,DW$1=Units!$Q120),1,Inputs!$B$15)*Inputs!$B$16*(1+Inputs!$B$11)^(DW$2-1),0)</f>
        <v>0</v>
      </c>
      <c r="DX121" s="11" t="n">
        <f aca="false">IF(AND(DX$1&gt;=Units!$Q120,MOD(DX$1-Units!$Q120,12)=0),IF(AND(Units!$L120=1,DX$1=Units!$Q120),1,Inputs!$B$15)*Inputs!$B$16*(1+Inputs!$B$11)^(DX$2-1),0)</f>
        <v>0</v>
      </c>
      <c r="DY121" s="11" t="n">
        <f aca="false">IF(AND(DY$1&gt;=Units!$Q120,MOD(DY$1-Units!$Q120,12)=0),IF(AND(Units!$L120=1,DY$1=Units!$Q120),1,Inputs!$B$15)*Inputs!$B$16*(1+Inputs!$B$11)^(DY$2-1),0)</f>
        <v>0</v>
      </c>
      <c r="DZ121" s="11" t="n">
        <f aca="false">IF(AND(DZ$1&gt;=Units!$Q120,MOD(DZ$1-Units!$Q120,12)=0),IF(AND(Units!$L120=1,DZ$1=Units!$Q120),1,Inputs!$B$15)*Inputs!$B$16*(1+Inputs!$B$11)^(DZ$2-1),0)</f>
        <v>0</v>
      </c>
      <c r="EA121" s="11" t="n">
        <f aca="false">IF(AND(EA$1&gt;=Units!$Q120,MOD(EA$1-Units!$Q120,12)=0),IF(AND(Units!$L120=1,EA$1=Units!$Q120),1,Inputs!$B$15)*Inputs!$B$16*(1+Inputs!$B$11)^(EA$2-1),0)</f>
        <v>0</v>
      </c>
      <c r="EB121" s="11" t="n">
        <f aca="false">IF(AND(EB$1&gt;=Units!$Q120,MOD(EB$1-Units!$Q120,12)=0),IF(AND(Units!$L120=1,EB$1=Units!$Q120),1,Inputs!$B$15)*Inputs!$B$16*(1+Inputs!$B$11)^(EB$2-1),0)</f>
        <v>0</v>
      </c>
      <c r="EC121" s="11" t="n">
        <f aca="false">IF(AND(EC$1&gt;=Units!$Q120,MOD(EC$1-Units!$Q120,12)=0),IF(AND(Units!$L120=1,EC$1=Units!$Q120),1,Inputs!$B$15)*Inputs!$B$16*(1+Inputs!$B$11)^(EC$2-1),0)</f>
        <v>0</v>
      </c>
      <c r="ED121" s="11" t="n">
        <f aca="false">IF(AND(ED$1&gt;=Units!$Q120,MOD(ED$1-Units!$Q120,12)=0),IF(AND(Units!$L120=1,ED$1=Units!$Q120),1,Inputs!$B$15)*Inputs!$B$16*(1+Inputs!$B$11)^(ED$2-1),0)</f>
        <v>0</v>
      </c>
    </row>
    <row r="122" customFormat="false" ht="15" hidden="false" customHeight="false" outlineLevel="0" collapsed="false">
      <c r="A122" s="22" t="n">
        <f aca="false">Units!A121</f>
        <v>430</v>
      </c>
      <c r="B122" s="23"/>
      <c r="C122" s="11" t="n">
        <f aca="false">IF(AND(C$1&gt;=Units!$Q121,MOD(C$1-Units!$Q121,12)=0),IF(AND(Units!$L121=1,C$1=Units!$Q121),1,Inputs!$B$15)*Inputs!$B$16*(1+Inputs!$B$11)^(C$2-1),0)</f>
        <v>0</v>
      </c>
      <c r="D122" s="11" t="n">
        <f aca="false">IF(AND(D$1&gt;=Units!$Q121,MOD(D$1-Units!$Q121,12)=0),IF(AND(Units!$L121=1,D$1=Units!$Q121),1,Inputs!$B$15)*Inputs!$B$16*(1+Inputs!$B$11)^(D$2-1),0)</f>
        <v>0</v>
      </c>
      <c r="E122" s="11" t="n">
        <f aca="false">IF(AND(E$1&gt;=Units!$Q121,MOD(E$1-Units!$Q121,12)=0),IF(AND(Units!$L121=1,E$1=Units!$Q121),1,Inputs!$B$15)*Inputs!$B$16*(1+Inputs!$B$11)^(E$2-1),0)</f>
        <v>0</v>
      </c>
      <c r="F122" s="11" t="n">
        <f aca="false">IF(AND(F$1&gt;=Units!$Q121,MOD(F$1-Units!$Q121,12)=0),IF(AND(Units!$L121=1,F$1=Units!$Q121),1,Inputs!$B$15)*Inputs!$B$16*(1+Inputs!$B$11)^(F$2-1),0)</f>
        <v>0</v>
      </c>
      <c r="G122" s="11" t="n">
        <f aca="false">IF(AND(G$1&gt;=Units!$Q121,MOD(G$1-Units!$Q121,12)=0),IF(AND(Units!$L121=1,G$1=Units!$Q121),1,Inputs!$B$15)*Inputs!$B$16*(1+Inputs!$B$11)^(G$2-1),0)</f>
        <v>0</v>
      </c>
      <c r="H122" s="11" t="n">
        <f aca="false">IF(AND(H$1&gt;=Units!$Q121,MOD(H$1-Units!$Q121,12)=0),IF(AND(Units!$L121=1,H$1=Units!$Q121),1,Inputs!$B$15)*Inputs!$B$16*(1+Inputs!$B$11)^(H$2-1),0)</f>
        <v>0</v>
      </c>
      <c r="I122" s="11" t="n">
        <f aca="false">IF(AND(I$1&gt;=Units!$Q121,MOD(I$1-Units!$Q121,12)=0),IF(AND(Units!$L121=1,I$1=Units!$Q121),1,Inputs!$B$15)*Inputs!$B$16*(1+Inputs!$B$11)^(I$2-1),0)</f>
        <v>0</v>
      </c>
      <c r="J122" s="11" t="n">
        <f aca="false">IF(AND(J$1&gt;=Units!$Q121,MOD(J$1-Units!$Q121,12)=0),IF(AND(Units!$L121=1,J$1=Units!$Q121),1,Inputs!$B$15)*Inputs!$B$16*(1+Inputs!$B$11)^(J$2-1),0)</f>
        <v>0</v>
      </c>
      <c r="K122" s="11" t="n">
        <f aca="false">IF(AND(K$1&gt;=Units!$Q121,MOD(K$1-Units!$Q121,12)=0),IF(AND(Units!$L121=1,K$1=Units!$Q121),1,Inputs!$B$15)*Inputs!$B$16*(1+Inputs!$B$11)^(K$2-1),0)</f>
        <v>0</v>
      </c>
      <c r="L122" s="11" t="n">
        <f aca="false">IF(AND(L$1&gt;=Units!$Q121,MOD(L$1-Units!$Q121,12)=0),IF(AND(Units!$L121=1,L$1=Units!$Q121),1,Inputs!$B$15)*Inputs!$B$16*(1+Inputs!$B$11)^(L$2-1),0)</f>
        <v>500</v>
      </c>
      <c r="M122" s="11" t="n">
        <f aca="false">IF(AND(M$1&gt;=Units!$Q121,MOD(M$1-Units!$Q121,12)=0),IF(AND(Units!$L121=1,M$1=Units!$Q121),1,Inputs!$B$15)*Inputs!$B$16*(1+Inputs!$B$11)^(M$2-1),0)</f>
        <v>0</v>
      </c>
      <c r="N122" s="11" t="n">
        <f aca="false">IF(AND(N$1&gt;=Units!$Q121,MOD(N$1-Units!$Q121,12)=0),IF(AND(Units!$L121=1,N$1=Units!$Q121),1,Inputs!$B$15)*Inputs!$B$16*(1+Inputs!$B$11)^(N$2-1),0)</f>
        <v>0</v>
      </c>
      <c r="O122" s="11" t="n">
        <f aca="false">IF(AND(O$1&gt;=Units!$Q121,MOD(O$1-Units!$Q121,12)=0),IF(AND(Units!$L121=1,O$1=Units!$Q121),1,Inputs!$B$15)*Inputs!$B$16*(1+Inputs!$B$11)^(O$2-1),0)</f>
        <v>0</v>
      </c>
      <c r="P122" s="11" t="n">
        <f aca="false">IF(AND(P$1&gt;=Units!$Q121,MOD(P$1-Units!$Q121,12)=0),IF(AND(Units!$L121=1,P$1=Units!$Q121),1,Inputs!$B$15)*Inputs!$B$16*(1+Inputs!$B$11)^(P$2-1),0)</f>
        <v>0</v>
      </c>
      <c r="Q122" s="11" t="n">
        <f aca="false">IF(AND(Q$1&gt;=Units!$Q121,MOD(Q$1-Units!$Q121,12)=0),IF(AND(Units!$L121=1,Q$1=Units!$Q121),1,Inputs!$B$15)*Inputs!$B$16*(1+Inputs!$B$11)^(Q$2-1),0)</f>
        <v>0</v>
      </c>
      <c r="R122" s="11" t="n">
        <f aca="false">IF(AND(R$1&gt;=Units!$Q121,MOD(R$1-Units!$Q121,12)=0),IF(AND(Units!$L121=1,R$1=Units!$Q121),1,Inputs!$B$15)*Inputs!$B$16*(1+Inputs!$B$11)^(R$2-1),0)</f>
        <v>0</v>
      </c>
      <c r="S122" s="11" t="n">
        <f aca="false">IF(AND(S$1&gt;=Units!$Q121,MOD(S$1-Units!$Q121,12)=0),IF(AND(Units!$L121=1,S$1=Units!$Q121),1,Inputs!$B$15)*Inputs!$B$16*(1+Inputs!$B$11)^(S$2-1),0)</f>
        <v>0</v>
      </c>
      <c r="T122" s="11" t="n">
        <f aca="false">IF(AND(T$1&gt;=Units!$Q121,MOD(T$1-Units!$Q121,12)=0),IF(AND(Units!$L121=1,T$1=Units!$Q121),1,Inputs!$B$15)*Inputs!$B$16*(1+Inputs!$B$11)^(T$2-1),0)</f>
        <v>0</v>
      </c>
      <c r="U122" s="11" t="n">
        <f aca="false">IF(AND(U$1&gt;=Units!$Q121,MOD(U$1-Units!$Q121,12)=0),IF(AND(Units!$L121=1,U$1=Units!$Q121),1,Inputs!$B$15)*Inputs!$B$16*(1+Inputs!$B$11)^(U$2-1),0)</f>
        <v>0</v>
      </c>
      <c r="V122" s="11" t="n">
        <f aca="false">IF(AND(V$1&gt;=Units!$Q121,MOD(V$1-Units!$Q121,12)=0),IF(AND(Units!$L121=1,V$1=Units!$Q121),1,Inputs!$B$15)*Inputs!$B$16*(1+Inputs!$B$11)^(V$2-1),0)</f>
        <v>0</v>
      </c>
      <c r="W122" s="11" t="n">
        <f aca="false">IF(AND(W$1&gt;=Units!$Q121,MOD(W$1-Units!$Q121,12)=0),IF(AND(Units!$L121=1,W$1=Units!$Q121),1,Inputs!$B$15)*Inputs!$B$16*(1+Inputs!$B$11)^(W$2-1),0)</f>
        <v>0</v>
      </c>
      <c r="X122" s="11" t="n">
        <f aca="false">IF(AND(X$1&gt;=Units!$Q121,MOD(X$1-Units!$Q121,12)=0),IF(AND(Units!$L121=1,X$1=Units!$Q121),1,Inputs!$B$15)*Inputs!$B$16*(1+Inputs!$B$11)^(X$2-1),0)</f>
        <v>515</v>
      </c>
      <c r="Y122" s="11" t="n">
        <f aca="false">IF(AND(Y$1&gt;=Units!$Q121,MOD(Y$1-Units!$Q121,12)=0),IF(AND(Units!$L121=1,Y$1=Units!$Q121),1,Inputs!$B$15)*Inputs!$B$16*(1+Inputs!$B$11)^(Y$2-1),0)</f>
        <v>0</v>
      </c>
      <c r="Z122" s="11" t="n">
        <f aca="false">IF(AND(Z$1&gt;=Units!$Q121,MOD(Z$1-Units!$Q121,12)=0),IF(AND(Units!$L121=1,Z$1=Units!$Q121),1,Inputs!$B$15)*Inputs!$B$16*(1+Inputs!$B$11)^(Z$2-1),0)</f>
        <v>0</v>
      </c>
      <c r="AA122" s="11" t="n">
        <f aca="false">IF(AND(AA$1&gt;=Units!$Q121,MOD(AA$1-Units!$Q121,12)=0),IF(AND(Units!$L121=1,AA$1=Units!$Q121),1,Inputs!$B$15)*Inputs!$B$16*(1+Inputs!$B$11)^(AA$2-1),0)</f>
        <v>0</v>
      </c>
      <c r="AB122" s="11" t="n">
        <f aca="false">IF(AND(AB$1&gt;=Units!$Q121,MOD(AB$1-Units!$Q121,12)=0),IF(AND(Units!$L121=1,AB$1=Units!$Q121),1,Inputs!$B$15)*Inputs!$B$16*(1+Inputs!$B$11)^(AB$2-1),0)</f>
        <v>0</v>
      </c>
      <c r="AC122" s="11" t="n">
        <f aca="false">IF(AND(AC$1&gt;=Units!$Q121,MOD(AC$1-Units!$Q121,12)=0),IF(AND(Units!$L121=1,AC$1=Units!$Q121),1,Inputs!$B$15)*Inputs!$B$16*(1+Inputs!$B$11)^(AC$2-1),0)</f>
        <v>0</v>
      </c>
      <c r="AD122" s="11" t="n">
        <f aca="false">IF(AND(AD$1&gt;=Units!$Q121,MOD(AD$1-Units!$Q121,12)=0),IF(AND(Units!$L121=1,AD$1=Units!$Q121),1,Inputs!$B$15)*Inputs!$B$16*(1+Inputs!$B$11)^(AD$2-1),0)</f>
        <v>0</v>
      </c>
      <c r="AE122" s="11" t="n">
        <f aca="false">IF(AND(AE$1&gt;=Units!$Q121,MOD(AE$1-Units!$Q121,12)=0),IF(AND(Units!$L121=1,AE$1=Units!$Q121),1,Inputs!$B$15)*Inputs!$B$16*(1+Inputs!$B$11)^(AE$2-1),0)</f>
        <v>0</v>
      </c>
      <c r="AF122" s="11" t="n">
        <f aca="false">IF(AND(AF$1&gt;=Units!$Q121,MOD(AF$1-Units!$Q121,12)=0),IF(AND(Units!$L121=1,AF$1=Units!$Q121),1,Inputs!$B$15)*Inputs!$B$16*(1+Inputs!$B$11)^(AF$2-1),0)</f>
        <v>0</v>
      </c>
      <c r="AG122" s="11" t="n">
        <f aca="false">IF(AND(AG$1&gt;=Units!$Q121,MOD(AG$1-Units!$Q121,12)=0),IF(AND(Units!$L121=1,AG$1=Units!$Q121),1,Inputs!$B$15)*Inputs!$B$16*(1+Inputs!$B$11)^(AG$2-1),0)</f>
        <v>0</v>
      </c>
      <c r="AH122" s="11" t="n">
        <f aca="false">IF(AND(AH$1&gt;=Units!$Q121,MOD(AH$1-Units!$Q121,12)=0),IF(AND(Units!$L121=1,AH$1=Units!$Q121),1,Inputs!$B$15)*Inputs!$B$16*(1+Inputs!$B$11)^(AH$2-1),0)</f>
        <v>0</v>
      </c>
      <c r="AI122" s="11" t="n">
        <f aca="false">IF(AND(AI$1&gt;=Units!$Q121,MOD(AI$1-Units!$Q121,12)=0),IF(AND(Units!$L121=1,AI$1=Units!$Q121),1,Inputs!$B$15)*Inputs!$B$16*(1+Inputs!$B$11)^(AI$2-1),0)</f>
        <v>0</v>
      </c>
      <c r="AJ122" s="11" t="n">
        <f aca="false">IF(AND(AJ$1&gt;=Units!$Q121,MOD(AJ$1-Units!$Q121,12)=0),IF(AND(Units!$L121=1,AJ$1=Units!$Q121),1,Inputs!$B$15)*Inputs!$B$16*(1+Inputs!$B$11)^(AJ$2-1),0)</f>
        <v>530.45</v>
      </c>
      <c r="AK122" s="11" t="n">
        <f aca="false">IF(AND(AK$1&gt;=Units!$Q121,MOD(AK$1-Units!$Q121,12)=0),IF(AND(Units!$L121=1,AK$1=Units!$Q121),1,Inputs!$B$15)*Inputs!$B$16*(1+Inputs!$B$11)^(AK$2-1),0)</f>
        <v>0</v>
      </c>
      <c r="AL122" s="11" t="n">
        <f aca="false">IF(AND(AL$1&gt;=Units!$Q121,MOD(AL$1-Units!$Q121,12)=0),IF(AND(Units!$L121=1,AL$1=Units!$Q121),1,Inputs!$B$15)*Inputs!$B$16*(1+Inputs!$B$11)^(AL$2-1),0)</f>
        <v>0</v>
      </c>
      <c r="AM122" s="11" t="n">
        <f aca="false">IF(AND(AM$1&gt;=Units!$Q121,MOD(AM$1-Units!$Q121,12)=0),IF(AND(Units!$L121=1,AM$1=Units!$Q121),1,Inputs!$B$15)*Inputs!$B$16*(1+Inputs!$B$11)^(AM$2-1),0)</f>
        <v>0</v>
      </c>
      <c r="AN122" s="11" t="n">
        <f aca="false">IF(AND(AN$1&gt;=Units!$Q121,MOD(AN$1-Units!$Q121,12)=0),IF(AND(Units!$L121=1,AN$1=Units!$Q121),1,Inputs!$B$15)*Inputs!$B$16*(1+Inputs!$B$11)^(AN$2-1),0)</f>
        <v>0</v>
      </c>
      <c r="AO122" s="11" t="n">
        <f aca="false">IF(AND(AO$1&gt;=Units!$Q121,MOD(AO$1-Units!$Q121,12)=0),IF(AND(Units!$L121=1,AO$1=Units!$Q121),1,Inputs!$B$15)*Inputs!$B$16*(1+Inputs!$B$11)^(AO$2-1),0)</f>
        <v>0</v>
      </c>
      <c r="AP122" s="11" t="n">
        <f aca="false">IF(AND(AP$1&gt;=Units!$Q121,MOD(AP$1-Units!$Q121,12)=0),IF(AND(Units!$L121=1,AP$1=Units!$Q121),1,Inputs!$B$15)*Inputs!$B$16*(1+Inputs!$B$11)^(AP$2-1),0)</f>
        <v>0</v>
      </c>
      <c r="AQ122" s="11" t="n">
        <f aca="false">IF(AND(AQ$1&gt;=Units!$Q121,MOD(AQ$1-Units!$Q121,12)=0),IF(AND(Units!$L121=1,AQ$1=Units!$Q121),1,Inputs!$B$15)*Inputs!$B$16*(1+Inputs!$B$11)^(AQ$2-1),0)</f>
        <v>0</v>
      </c>
      <c r="AR122" s="11" t="n">
        <f aca="false">IF(AND(AR$1&gt;=Units!$Q121,MOD(AR$1-Units!$Q121,12)=0),IF(AND(Units!$L121=1,AR$1=Units!$Q121),1,Inputs!$B$15)*Inputs!$B$16*(1+Inputs!$B$11)^(AR$2-1),0)</f>
        <v>0</v>
      </c>
      <c r="AS122" s="11" t="n">
        <f aca="false">IF(AND(AS$1&gt;=Units!$Q121,MOD(AS$1-Units!$Q121,12)=0),IF(AND(Units!$L121=1,AS$1=Units!$Q121),1,Inputs!$B$15)*Inputs!$B$16*(1+Inputs!$B$11)^(AS$2-1),0)</f>
        <v>0</v>
      </c>
      <c r="AT122" s="11" t="n">
        <f aca="false">IF(AND(AT$1&gt;=Units!$Q121,MOD(AT$1-Units!$Q121,12)=0),IF(AND(Units!$L121=1,AT$1=Units!$Q121),1,Inputs!$B$15)*Inputs!$B$16*(1+Inputs!$B$11)^(AT$2-1),0)</f>
        <v>0</v>
      </c>
      <c r="AU122" s="11" t="n">
        <f aca="false">IF(AND(AU$1&gt;=Units!$Q121,MOD(AU$1-Units!$Q121,12)=0),IF(AND(Units!$L121=1,AU$1=Units!$Q121),1,Inputs!$B$15)*Inputs!$B$16*(1+Inputs!$B$11)^(AU$2-1),0)</f>
        <v>0</v>
      </c>
      <c r="AV122" s="11" t="n">
        <f aca="false">IF(AND(AV$1&gt;=Units!$Q121,MOD(AV$1-Units!$Q121,12)=0),IF(AND(Units!$L121=1,AV$1=Units!$Q121),1,Inputs!$B$15)*Inputs!$B$16*(1+Inputs!$B$11)^(AV$2-1),0)</f>
        <v>546.3635</v>
      </c>
      <c r="AW122" s="11" t="n">
        <f aca="false">IF(AND(AW$1&gt;=Units!$Q121,MOD(AW$1-Units!$Q121,12)=0),IF(AND(Units!$L121=1,AW$1=Units!$Q121),1,Inputs!$B$15)*Inputs!$B$16*(1+Inputs!$B$11)^(AW$2-1),0)</f>
        <v>0</v>
      </c>
      <c r="AX122" s="11" t="n">
        <f aca="false">IF(AND(AX$1&gt;=Units!$Q121,MOD(AX$1-Units!$Q121,12)=0),IF(AND(Units!$L121=1,AX$1=Units!$Q121),1,Inputs!$B$15)*Inputs!$B$16*(1+Inputs!$B$11)^(AX$2-1),0)</f>
        <v>0</v>
      </c>
      <c r="AY122" s="11" t="n">
        <f aca="false">IF(AND(AY$1&gt;=Units!$Q121,MOD(AY$1-Units!$Q121,12)=0),IF(AND(Units!$L121=1,AY$1=Units!$Q121),1,Inputs!$B$15)*Inputs!$B$16*(1+Inputs!$B$11)^(AY$2-1),0)</f>
        <v>0</v>
      </c>
      <c r="AZ122" s="11" t="n">
        <f aca="false">IF(AND(AZ$1&gt;=Units!$Q121,MOD(AZ$1-Units!$Q121,12)=0),IF(AND(Units!$L121=1,AZ$1=Units!$Q121),1,Inputs!$B$15)*Inputs!$B$16*(1+Inputs!$B$11)^(AZ$2-1),0)</f>
        <v>0</v>
      </c>
      <c r="BA122" s="11" t="n">
        <f aca="false">IF(AND(BA$1&gt;=Units!$Q121,MOD(BA$1-Units!$Q121,12)=0),IF(AND(Units!$L121=1,BA$1=Units!$Q121),1,Inputs!$B$15)*Inputs!$B$16*(1+Inputs!$B$11)^(BA$2-1),0)</f>
        <v>0</v>
      </c>
      <c r="BB122" s="11" t="n">
        <f aca="false">IF(AND(BB$1&gt;=Units!$Q121,MOD(BB$1-Units!$Q121,12)=0),IF(AND(Units!$L121=1,BB$1=Units!$Q121),1,Inputs!$B$15)*Inputs!$B$16*(1+Inputs!$B$11)^(BB$2-1),0)</f>
        <v>0</v>
      </c>
      <c r="BC122" s="11" t="n">
        <f aca="false">IF(AND(BC$1&gt;=Units!$Q121,MOD(BC$1-Units!$Q121,12)=0),IF(AND(Units!$L121=1,BC$1=Units!$Q121),1,Inputs!$B$15)*Inputs!$B$16*(1+Inputs!$B$11)^(BC$2-1),0)</f>
        <v>0</v>
      </c>
      <c r="BD122" s="11" t="n">
        <f aca="false">IF(AND(BD$1&gt;=Units!$Q121,MOD(BD$1-Units!$Q121,12)=0),IF(AND(Units!$L121=1,BD$1=Units!$Q121),1,Inputs!$B$15)*Inputs!$B$16*(1+Inputs!$B$11)^(BD$2-1),0)</f>
        <v>0</v>
      </c>
      <c r="BE122" s="11" t="n">
        <f aca="false">IF(AND(BE$1&gt;=Units!$Q121,MOD(BE$1-Units!$Q121,12)=0),IF(AND(Units!$L121=1,BE$1=Units!$Q121),1,Inputs!$B$15)*Inputs!$B$16*(1+Inputs!$B$11)^(BE$2-1),0)</f>
        <v>0</v>
      </c>
      <c r="BF122" s="11" t="n">
        <f aca="false">IF(AND(BF$1&gt;=Units!$Q121,MOD(BF$1-Units!$Q121,12)=0),IF(AND(Units!$L121=1,BF$1=Units!$Q121),1,Inputs!$B$15)*Inputs!$B$16*(1+Inputs!$B$11)^(BF$2-1),0)</f>
        <v>0</v>
      </c>
      <c r="BG122" s="11" t="n">
        <f aca="false">IF(AND(BG$1&gt;=Units!$Q121,MOD(BG$1-Units!$Q121,12)=0),IF(AND(Units!$L121=1,BG$1=Units!$Q121),1,Inputs!$B$15)*Inputs!$B$16*(1+Inputs!$B$11)^(BG$2-1),0)</f>
        <v>0</v>
      </c>
      <c r="BH122" s="11" t="n">
        <f aca="false">IF(AND(BH$1&gt;=Units!$Q121,MOD(BH$1-Units!$Q121,12)=0),IF(AND(Units!$L121=1,BH$1=Units!$Q121),1,Inputs!$B$15)*Inputs!$B$16*(1+Inputs!$B$11)^(BH$2-1),0)</f>
        <v>562.754405</v>
      </c>
      <c r="BI122" s="11" t="n">
        <f aca="false">IF(AND(BI$1&gt;=Units!$Q121,MOD(BI$1-Units!$Q121,12)=0),IF(AND(Units!$L121=1,BI$1=Units!$Q121),1,Inputs!$B$15)*Inputs!$B$16*(1+Inputs!$B$11)^(BI$2-1),0)</f>
        <v>0</v>
      </c>
      <c r="BJ122" s="11" t="n">
        <f aca="false">IF(AND(BJ$1&gt;=Units!$Q121,MOD(BJ$1-Units!$Q121,12)=0),IF(AND(Units!$L121=1,BJ$1=Units!$Q121),1,Inputs!$B$15)*Inputs!$B$16*(1+Inputs!$B$11)^(BJ$2-1),0)</f>
        <v>0</v>
      </c>
      <c r="BK122" s="11" t="n">
        <f aca="false">IF(AND(BK$1&gt;=Units!$Q121,MOD(BK$1-Units!$Q121,12)=0),IF(AND(Units!$L121=1,BK$1=Units!$Q121),1,Inputs!$B$15)*Inputs!$B$16*(1+Inputs!$B$11)^(BK$2-1),0)</f>
        <v>0</v>
      </c>
      <c r="BL122" s="11" t="n">
        <f aca="false">IF(AND(BL$1&gt;=Units!$Q121,MOD(BL$1-Units!$Q121,12)=0),IF(AND(Units!$L121=1,BL$1=Units!$Q121),1,Inputs!$B$15)*Inputs!$B$16*(1+Inputs!$B$11)^(BL$2-1),0)</f>
        <v>0</v>
      </c>
      <c r="BM122" s="11" t="n">
        <f aca="false">IF(AND(BM$1&gt;=Units!$Q121,MOD(BM$1-Units!$Q121,12)=0),IF(AND(Units!$L121=1,BM$1=Units!$Q121),1,Inputs!$B$15)*Inputs!$B$16*(1+Inputs!$B$11)^(BM$2-1),0)</f>
        <v>0</v>
      </c>
      <c r="BN122" s="11" t="n">
        <f aca="false">IF(AND(BN$1&gt;=Units!$Q121,MOD(BN$1-Units!$Q121,12)=0),IF(AND(Units!$L121=1,BN$1=Units!$Q121),1,Inputs!$B$15)*Inputs!$B$16*(1+Inputs!$B$11)^(BN$2-1),0)</f>
        <v>0</v>
      </c>
      <c r="BO122" s="11" t="n">
        <f aca="false">IF(AND(BO$1&gt;=Units!$Q121,MOD(BO$1-Units!$Q121,12)=0),IF(AND(Units!$L121=1,BO$1=Units!$Q121),1,Inputs!$B$15)*Inputs!$B$16*(1+Inputs!$B$11)^(BO$2-1),0)</f>
        <v>0</v>
      </c>
      <c r="BP122" s="11" t="n">
        <f aca="false">IF(AND(BP$1&gt;=Units!$Q121,MOD(BP$1-Units!$Q121,12)=0),IF(AND(Units!$L121=1,BP$1=Units!$Q121),1,Inputs!$B$15)*Inputs!$B$16*(1+Inputs!$B$11)^(BP$2-1),0)</f>
        <v>0</v>
      </c>
      <c r="BQ122" s="11" t="n">
        <f aca="false">IF(AND(BQ$1&gt;=Units!$Q121,MOD(BQ$1-Units!$Q121,12)=0),IF(AND(Units!$L121=1,BQ$1=Units!$Q121),1,Inputs!$B$15)*Inputs!$B$16*(1+Inputs!$B$11)^(BQ$2-1),0)</f>
        <v>0</v>
      </c>
      <c r="BR122" s="11" t="n">
        <f aca="false">IF(AND(BR$1&gt;=Units!$Q121,MOD(BR$1-Units!$Q121,12)=0),IF(AND(Units!$L121=1,BR$1=Units!$Q121),1,Inputs!$B$15)*Inputs!$B$16*(1+Inputs!$B$11)^(BR$2-1),0)</f>
        <v>0</v>
      </c>
      <c r="BS122" s="11" t="n">
        <f aca="false">IF(AND(BS$1&gt;=Units!$Q121,MOD(BS$1-Units!$Q121,12)=0),IF(AND(Units!$L121=1,BS$1=Units!$Q121),1,Inputs!$B$15)*Inputs!$B$16*(1+Inputs!$B$11)^(BS$2-1),0)</f>
        <v>0</v>
      </c>
      <c r="BT122" s="11" t="n">
        <f aca="false">IF(AND(BT$1&gt;=Units!$Q121,MOD(BT$1-Units!$Q121,12)=0),IF(AND(Units!$L121=1,BT$1=Units!$Q121),1,Inputs!$B$15)*Inputs!$B$16*(1+Inputs!$B$11)^(BT$2-1),0)</f>
        <v>579.63703715</v>
      </c>
      <c r="BU122" s="11" t="n">
        <f aca="false">IF(AND(BU$1&gt;=Units!$Q121,MOD(BU$1-Units!$Q121,12)=0),IF(AND(Units!$L121=1,BU$1=Units!$Q121),1,Inputs!$B$15)*Inputs!$B$16*(1+Inputs!$B$11)^(BU$2-1),0)</f>
        <v>0</v>
      </c>
      <c r="BV122" s="11" t="n">
        <f aca="false">IF(AND(BV$1&gt;=Units!$Q121,MOD(BV$1-Units!$Q121,12)=0),IF(AND(Units!$L121=1,BV$1=Units!$Q121),1,Inputs!$B$15)*Inputs!$B$16*(1+Inputs!$B$11)^(BV$2-1),0)</f>
        <v>0</v>
      </c>
      <c r="BW122" s="11" t="n">
        <f aca="false">IF(AND(BW$1&gt;=Units!$Q121,MOD(BW$1-Units!$Q121,12)=0),IF(AND(Units!$L121=1,BW$1=Units!$Q121),1,Inputs!$B$15)*Inputs!$B$16*(1+Inputs!$B$11)^(BW$2-1),0)</f>
        <v>0</v>
      </c>
      <c r="BX122" s="11" t="n">
        <f aca="false">IF(AND(BX$1&gt;=Units!$Q121,MOD(BX$1-Units!$Q121,12)=0),IF(AND(Units!$L121=1,BX$1=Units!$Q121),1,Inputs!$B$15)*Inputs!$B$16*(1+Inputs!$B$11)^(BX$2-1),0)</f>
        <v>0</v>
      </c>
      <c r="BY122" s="11" t="n">
        <f aca="false">IF(AND(BY$1&gt;=Units!$Q121,MOD(BY$1-Units!$Q121,12)=0),IF(AND(Units!$L121=1,BY$1=Units!$Q121),1,Inputs!$B$15)*Inputs!$B$16*(1+Inputs!$B$11)^(BY$2-1),0)</f>
        <v>0</v>
      </c>
      <c r="BZ122" s="11" t="n">
        <f aca="false">IF(AND(BZ$1&gt;=Units!$Q121,MOD(BZ$1-Units!$Q121,12)=0),IF(AND(Units!$L121=1,BZ$1=Units!$Q121),1,Inputs!$B$15)*Inputs!$B$16*(1+Inputs!$B$11)^(BZ$2-1),0)</f>
        <v>0</v>
      </c>
      <c r="CA122" s="11" t="n">
        <f aca="false">IF(AND(CA$1&gt;=Units!$Q121,MOD(CA$1-Units!$Q121,12)=0),IF(AND(Units!$L121=1,CA$1=Units!$Q121),1,Inputs!$B$15)*Inputs!$B$16*(1+Inputs!$B$11)^(CA$2-1),0)</f>
        <v>0</v>
      </c>
      <c r="CB122" s="11" t="n">
        <f aca="false">IF(AND(CB$1&gt;=Units!$Q121,MOD(CB$1-Units!$Q121,12)=0),IF(AND(Units!$L121=1,CB$1=Units!$Q121),1,Inputs!$B$15)*Inputs!$B$16*(1+Inputs!$B$11)^(CB$2-1),0)</f>
        <v>0</v>
      </c>
      <c r="CC122" s="11" t="n">
        <f aca="false">IF(AND(CC$1&gt;=Units!$Q121,MOD(CC$1-Units!$Q121,12)=0),IF(AND(Units!$L121=1,CC$1=Units!$Q121),1,Inputs!$B$15)*Inputs!$B$16*(1+Inputs!$B$11)^(CC$2-1),0)</f>
        <v>0</v>
      </c>
      <c r="CD122" s="11" t="n">
        <f aca="false">IF(AND(CD$1&gt;=Units!$Q121,MOD(CD$1-Units!$Q121,12)=0),IF(AND(Units!$L121=1,CD$1=Units!$Q121),1,Inputs!$B$15)*Inputs!$B$16*(1+Inputs!$B$11)^(CD$2-1),0)</f>
        <v>0</v>
      </c>
      <c r="CE122" s="11" t="n">
        <f aca="false">IF(AND(CE$1&gt;=Units!$Q121,MOD(CE$1-Units!$Q121,12)=0),IF(AND(Units!$L121=1,CE$1=Units!$Q121),1,Inputs!$B$15)*Inputs!$B$16*(1+Inputs!$B$11)^(CE$2-1),0)</f>
        <v>0</v>
      </c>
      <c r="CF122" s="11" t="n">
        <f aca="false">IF(AND(CF$1&gt;=Units!$Q121,MOD(CF$1-Units!$Q121,12)=0),IF(AND(Units!$L121=1,CF$1=Units!$Q121),1,Inputs!$B$15)*Inputs!$B$16*(1+Inputs!$B$11)^(CF$2-1),0)</f>
        <v>597.0261482645</v>
      </c>
      <c r="CG122" s="11" t="n">
        <f aca="false">IF(AND(CG$1&gt;=Units!$Q121,MOD(CG$1-Units!$Q121,12)=0),IF(AND(Units!$L121=1,CG$1=Units!$Q121),1,Inputs!$B$15)*Inputs!$B$16*(1+Inputs!$B$11)^(CG$2-1),0)</f>
        <v>0</v>
      </c>
      <c r="CH122" s="11" t="n">
        <f aca="false">IF(AND(CH$1&gt;=Units!$Q121,MOD(CH$1-Units!$Q121,12)=0),IF(AND(Units!$L121=1,CH$1=Units!$Q121),1,Inputs!$B$15)*Inputs!$B$16*(1+Inputs!$B$11)^(CH$2-1),0)</f>
        <v>0</v>
      </c>
      <c r="CI122" s="11" t="n">
        <f aca="false">IF(AND(CI$1&gt;=Units!$Q121,MOD(CI$1-Units!$Q121,12)=0),IF(AND(Units!$L121=1,CI$1=Units!$Q121),1,Inputs!$B$15)*Inputs!$B$16*(1+Inputs!$B$11)^(CI$2-1),0)</f>
        <v>0</v>
      </c>
      <c r="CJ122" s="11" t="n">
        <f aca="false">IF(AND(CJ$1&gt;=Units!$Q121,MOD(CJ$1-Units!$Q121,12)=0),IF(AND(Units!$L121=1,CJ$1=Units!$Q121),1,Inputs!$B$15)*Inputs!$B$16*(1+Inputs!$B$11)^(CJ$2-1),0)</f>
        <v>0</v>
      </c>
      <c r="CK122" s="11" t="n">
        <f aca="false">IF(AND(CK$1&gt;=Units!$Q121,MOD(CK$1-Units!$Q121,12)=0),IF(AND(Units!$L121=1,CK$1=Units!$Q121),1,Inputs!$B$15)*Inputs!$B$16*(1+Inputs!$B$11)^(CK$2-1),0)</f>
        <v>0</v>
      </c>
      <c r="CL122" s="11" t="n">
        <f aca="false">IF(AND(CL$1&gt;=Units!$Q121,MOD(CL$1-Units!$Q121,12)=0),IF(AND(Units!$L121=1,CL$1=Units!$Q121),1,Inputs!$B$15)*Inputs!$B$16*(1+Inputs!$B$11)^(CL$2-1),0)</f>
        <v>0</v>
      </c>
      <c r="CM122" s="11" t="n">
        <f aca="false">IF(AND(CM$1&gt;=Units!$Q121,MOD(CM$1-Units!$Q121,12)=0),IF(AND(Units!$L121=1,CM$1=Units!$Q121),1,Inputs!$B$15)*Inputs!$B$16*(1+Inputs!$B$11)^(CM$2-1),0)</f>
        <v>0</v>
      </c>
      <c r="CN122" s="11" t="n">
        <f aca="false">IF(AND(CN$1&gt;=Units!$Q121,MOD(CN$1-Units!$Q121,12)=0),IF(AND(Units!$L121=1,CN$1=Units!$Q121),1,Inputs!$B$15)*Inputs!$B$16*(1+Inputs!$B$11)^(CN$2-1),0)</f>
        <v>0</v>
      </c>
      <c r="CO122" s="11" t="n">
        <f aca="false">IF(AND(CO$1&gt;=Units!$Q121,MOD(CO$1-Units!$Q121,12)=0),IF(AND(Units!$L121=1,CO$1=Units!$Q121),1,Inputs!$B$15)*Inputs!$B$16*(1+Inputs!$B$11)^(CO$2-1),0)</f>
        <v>0</v>
      </c>
      <c r="CP122" s="11" t="n">
        <f aca="false">IF(AND(CP$1&gt;=Units!$Q121,MOD(CP$1-Units!$Q121,12)=0),IF(AND(Units!$L121=1,CP$1=Units!$Q121),1,Inputs!$B$15)*Inputs!$B$16*(1+Inputs!$B$11)^(CP$2-1),0)</f>
        <v>0</v>
      </c>
      <c r="CQ122" s="11" t="n">
        <f aca="false">IF(AND(CQ$1&gt;=Units!$Q121,MOD(CQ$1-Units!$Q121,12)=0),IF(AND(Units!$L121=1,CQ$1=Units!$Q121),1,Inputs!$B$15)*Inputs!$B$16*(1+Inputs!$B$11)^(CQ$2-1),0)</f>
        <v>0</v>
      </c>
      <c r="CR122" s="11" t="n">
        <f aca="false">IF(AND(CR$1&gt;=Units!$Q121,MOD(CR$1-Units!$Q121,12)=0),IF(AND(Units!$L121=1,CR$1=Units!$Q121),1,Inputs!$B$15)*Inputs!$B$16*(1+Inputs!$B$11)^(CR$2-1),0)</f>
        <v>614.936932712435</v>
      </c>
      <c r="CS122" s="11" t="n">
        <f aca="false">IF(AND(CS$1&gt;=Units!$Q121,MOD(CS$1-Units!$Q121,12)=0),IF(AND(Units!$L121=1,CS$1=Units!$Q121),1,Inputs!$B$15)*Inputs!$B$16*(1+Inputs!$B$11)^(CS$2-1),0)</f>
        <v>0</v>
      </c>
      <c r="CT122" s="11" t="n">
        <f aca="false">IF(AND(CT$1&gt;=Units!$Q121,MOD(CT$1-Units!$Q121,12)=0),IF(AND(Units!$L121=1,CT$1=Units!$Q121),1,Inputs!$B$15)*Inputs!$B$16*(1+Inputs!$B$11)^(CT$2-1),0)</f>
        <v>0</v>
      </c>
      <c r="CU122" s="11" t="n">
        <f aca="false">IF(AND(CU$1&gt;=Units!$Q121,MOD(CU$1-Units!$Q121,12)=0),IF(AND(Units!$L121=1,CU$1=Units!$Q121),1,Inputs!$B$15)*Inputs!$B$16*(1+Inputs!$B$11)^(CU$2-1),0)</f>
        <v>0</v>
      </c>
      <c r="CV122" s="11" t="n">
        <f aca="false">IF(AND(CV$1&gt;=Units!$Q121,MOD(CV$1-Units!$Q121,12)=0),IF(AND(Units!$L121=1,CV$1=Units!$Q121),1,Inputs!$B$15)*Inputs!$B$16*(1+Inputs!$B$11)^(CV$2-1),0)</f>
        <v>0</v>
      </c>
      <c r="CW122" s="11" t="n">
        <f aca="false">IF(AND(CW$1&gt;=Units!$Q121,MOD(CW$1-Units!$Q121,12)=0),IF(AND(Units!$L121=1,CW$1=Units!$Q121),1,Inputs!$B$15)*Inputs!$B$16*(1+Inputs!$B$11)^(CW$2-1),0)</f>
        <v>0</v>
      </c>
      <c r="CX122" s="11" t="n">
        <f aca="false">IF(AND(CX$1&gt;=Units!$Q121,MOD(CX$1-Units!$Q121,12)=0),IF(AND(Units!$L121=1,CX$1=Units!$Q121),1,Inputs!$B$15)*Inputs!$B$16*(1+Inputs!$B$11)^(CX$2-1),0)</f>
        <v>0</v>
      </c>
      <c r="CY122" s="11" t="n">
        <f aca="false">IF(AND(CY$1&gt;=Units!$Q121,MOD(CY$1-Units!$Q121,12)=0),IF(AND(Units!$L121=1,CY$1=Units!$Q121),1,Inputs!$B$15)*Inputs!$B$16*(1+Inputs!$B$11)^(CY$2-1),0)</f>
        <v>0</v>
      </c>
      <c r="CZ122" s="11" t="n">
        <f aca="false">IF(AND(CZ$1&gt;=Units!$Q121,MOD(CZ$1-Units!$Q121,12)=0),IF(AND(Units!$L121=1,CZ$1=Units!$Q121),1,Inputs!$B$15)*Inputs!$B$16*(1+Inputs!$B$11)^(CZ$2-1),0)</f>
        <v>0</v>
      </c>
      <c r="DA122" s="11" t="n">
        <f aca="false">IF(AND(DA$1&gt;=Units!$Q121,MOD(DA$1-Units!$Q121,12)=0),IF(AND(Units!$L121=1,DA$1=Units!$Q121),1,Inputs!$B$15)*Inputs!$B$16*(1+Inputs!$B$11)^(DA$2-1),0)</f>
        <v>0</v>
      </c>
      <c r="DB122" s="11" t="n">
        <f aca="false">IF(AND(DB$1&gt;=Units!$Q121,MOD(DB$1-Units!$Q121,12)=0),IF(AND(Units!$L121=1,DB$1=Units!$Q121),1,Inputs!$B$15)*Inputs!$B$16*(1+Inputs!$B$11)^(DB$2-1),0)</f>
        <v>0</v>
      </c>
      <c r="DC122" s="11" t="n">
        <f aca="false">IF(AND(DC$1&gt;=Units!$Q121,MOD(DC$1-Units!$Q121,12)=0),IF(AND(Units!$L121=1,DC$1=Units!$Q121),1,Inputs!$B$15)*Inputs!$B$16*(1+Inputs!$B$11)^(DC$2-1),0)</f>
        <v>0</v>
      </c>
      <c r="DD122" s="11" t="n">
        <f aca="false">IF(AND(DD$1&gt;=Units!$Q121,MOD(DD$1-Units!$Q121,12)=0),IF(AND(Units!$L121=1,DD$1=Units!$Q121),1,Inputs!$B$15)*Inputs!$B$16*(1+Inputs!$B$11)^(DD$2-1),0)</f>
        <v>633.385040693808</v>
      </c>
      <c r="DE122" s="11" t="n">
        <f aca="false">IF(AND(DE$1&gt;=Units!$Q121,MOD(DE$1-Units!$Q121,12)=0),IF(AND(Units!$L121=1,DE$1=Units!$Q121),1,Inputs!$B$15)*Inputs!$B$16*(1+Inputs!$B$11)^(DE$2-1),0)</f>
        <v>0</v>
      </c>
      <c r="DF122" s="11" t="n">
        <f aca="false">IF(AND(DF$1&gt;=Units!$Q121,MOD(DF$1-Units!$Q121,12)=0),IF(AND(Units!$L121=1,DF$1=Units!$Q121),1,Inputs!$B$15)*Inputs!$B$16*(1+Inputs!$B$11)^(DF$2-1),0)</f>
        <v>0</v>
      </c>
      <c r="DG122" s="11" t="n">
        <f aca="false">IF(AND(DG$1&gt;=Units!$Q121,MOD(DG$1-Units!$Q121,12)=0),IF(AND(Units!$L121=1,DG$1=Units!$Q121),1,Inputs!$B$15)*Inputs!$B$16*(1+Inputs!$B$11)^(DG$2-1),0)</f>
        <v>0</v>
      </c>
      <c r="DH122" s="11" t="n">
        <f aca="false">IF(AND(DH$1&gt;=Units!$Q121,MOD(DH$1-Units!$Q121,12)=0),IF(AND(Units!$L121=1,DH$1=Units!$Q121),1,Inputs!$B$15)*Inputs!$B$16*(1+Inputs!$B$11)^(DH$2-1),0)</f>
        <v>0</v>
      </c>
      <c r="DI122" s="11" t="n">
        <f aca="false">IF(AND(DI$1&gt;=Units!$Q121,MOD(DI$1-Units!$Q121,12)=0),IF(AND(Units!$L121=1,DI$1=Units!$Q121),1,Inputs!$B$15)*Inputs!$B$16*(1+Inputs!$B$11)^(DI$2-1),0)</f>
        <v>0</v>
      </c>
      <c r="DJ122" s="11" t="n">
        <f aca="false">IF(AND(DJ$1&gt;=Units!$Q121,MOD(DJ$1-Units!$Q121,12)=0),IF(AND(Units!$L121=1,DJ$1=Units!$Q121),1,Inputs!$B$15)*Inputs!$B$16*(1+Inputs!$B$11)^(DJ$2-1),0)</f>
        <v>0</v>
      </c>
      <c r="DK122" s="11" t="n">
        <f aca="false">IF(AND(DK$1&gt;=Units!$Q121,MOD(DK$1-Units!$Q121,12)=0),IF(AND(Units!$L121=1,DK$1=Units!$Q121),1,Inputs!$B$15)*Inputs!$B$16*(1+Inputs!$B$11)^(DK$2-1),0)</f>
        <v>0</v>
      </c>
      <c r="DL122" s="11" t="n">
        <f aca="false">IF(AND(DL$1&gt;=Units!$Q121,MOD(DL$1-Units!$Q121,12)=0),IF(AND(Units!$L121=1,DL$1=Units!$Q121),1,Inputs!$B$15)*Inputs!$B$16*(1+Inputs!$B$11)^(DL$2-1),0)</f>
        <v>0</v>
      </c>
      <c r="DM122" s="11" t="n">
        <f aca="false">IF(AND(DM$1&gt;=Units!$Q121,MOD(DM$1-Units!$Q121,12)=0),IF(AND(Units!$L121=1,DM$1=Units!$Q121),1,Inputs!$B$15)*Inputs!$B$16*(1+Inputs!$B$11)^(DM$2-1),0)</f>
        <v>0</v>
      </c>
      <c r="DN122" s="11" t="n">
        <f aca="false">IF(AND(DN$1&gt;=Units!$Q121,MOD(DN$1-Units!$Q121,12)=0),IF(AND(Units!$L121=1,DN$1=Units!$Q121),1,Inputs!$B$15)*Inputs!$B$16*(1+Inputs!$B$11)^(DN$2-1),0)</f>
        <v>0</v>
      </c>
      <c r="DO122" s="11" t="n">
        <f aca="false">IF(AND(DO$1&gt;=Units!$Q121,MOD(DO$1-Units!$Q121,12)=0),IF(AND(Units!$L121=1,DO$1=Units!$Q121),1,Inputs!$B$15)*Inputs!$B$16*(1+Inputs!$B$11)^(DO$2-1),0)</f>
        <v>0</v>
      </c>
      <c r="DP122" s="11" t="n">
        <f aca="false">IF(AND(DP$1&gt;=Units!$Q121,MOD(DP$1-Units!$Q121,12)=0),IF(AND(Units!$L121=1,DP$1=Units!$Q121),1,Inputs!$B$15)*Inputs!$B$16*(1+Inputs!$B$11)^(DP$2-1),0)</f>
        <v>652.386591914623</v>
      </c>
      <c r="DQ122" s="11" t="n">
        <f aca="false">IF(AND(DQ$1&gt;=Units!$Q121,MOD(DQ$1-Units!$Q121,12)=0),IF(AND(Units!$L121=1,DQ$1=Units!$Q121),1,Inputs!$B$15)*Inputs!$B$16*(1+Inputs!$B$11)^(DQ$2-1),0)</f>
        <v>0</v>
      </c>
      <c r="DR122" s="11" t="n">
        <f aca="false">IF(AND(DR$1&gt;=Units!$Q121,MOD(DR$1-Units!$Q121,12)=0),IF(AND(Units!$L121=1,DR$1=Units!$Q121),1,Inputs!$B$15)*Inputs!$B$16*(1+Inputs!$B$11)^(DR$2-1),0)</f>
        <v>0</v>
      </c>
      <c r="DS122" s="11" t="n">
        <f aca="false">IF(AND(DS$1&gt;=Units!$Q121,MOD(DS$1-Units!$Q121,12)=0),IF(AND(Units!$L121=1,DS$1=Units!$Q121),1,Inputs!$B$15)*Inputs!$B$16*(1+Inputs!$B$11)^(DS$2-1),0)</f>
        <v>0</v>
      </c>
      <c r="DT122" s="11" t="n">
        <f aca="false">IF(AND(DT$1&gt;=Units!$Q121,MOD(DT$1-Units!$Q121,12)=0),IF(AND(Units!$L121=1,DT$1=Units!$Q121),1,Inputs!$B$15)*Inputs!$B$16*(1+Inputs!$B$11)^(DT$2-1),0)</f>
        <v>0</v>
      </c>
      <c r="DU122" s="11" t="n">
        <f aca="false">IF(AND(DU$1&gt;=Units!$Q121,MOD(DU$1-Units!$Q121,12)=0),IF(AND(Units!$L121=1,DU$1=Units!$Q121),1,Inputs!$B$15)*Inputs!$B$16*(1+Inputs!$B$11)^(DU$2-1),0)</f>
        <v>0</v>
      </c>
      <c r="DV122" s="11" t="n">
        <f aca="false">IF(AND(DV$1&gt;=Units!$Q121,MOD(DV$1-Units!$Q121,12)=0),IF(AND(Units!$L121=1,DV$1=Units!$Q121),1,Inputs!$B$15)*Inputs!$B$16*(1+Inputs!$B$11)^(DV$2-1),0)</f>
        <v>0</v>
      </c>
      <c r="DW122" s="11" t="n">
        <f aca="false">IF(AND(DW$1&gt;=Units!$Q121,MOD(DW$1-Units!$Q121,12)=0),IF(AND(Units!$L121=1,DW$1=Units!$Q121),1,Inputs!$B$15)*Inputs!$B$16*(1+Inputs!$B$11)^(DW$2-1),0)</f>
        <v>0</v>
      </c>
      <c r="DX122" s="11" t="n">
        <f aca="false">IF(AND(DX$1&gt;=Units!$Q121,MOD(DX$1-Units!$Q121,12)=0),IF(AND(Units!$L121=1,DX$1=Units!$Q121),1,Inputs!$B$15)*Inputs!$B$16*(1+Inputs!$B$11)^(DX$2-1),0)</f>
        <v>0</v>
      </c>
      <c r="DY122" s="11" t="n">
        <f aca="false">IF(AND(DY$1&gt;=Units!$Q121,MOD(DY$1-Units!$Q121,12)=0),IF(AND(Units!$L121=1,DY$1=Units!$Q121),1,Inputs!$B$15)*Inputs!$B$16*(1+Inputs!$B$11)^(DY$2-1),0)</f>
        <v>0</v>
      </c>
      <c r="DZ122" s="11" t="n">
        <f aca="false">IF(AND(DZ$1&gt;=Units!$Q121,MOD(DZ$1-Units!$Q121,12)=0),IF(AND(Units!$L121=1,DZ$1=Units!$Q121),1,Inputs!$B$15)*Inputs!$B$16*(1+Inputs!$B$11)^(DZ$2-1),0)</f>
        <v>0</v>
      </c>
      <c r="EA122" s="11" t="n">
        <f aca="false">IF(AND(EA$1&gt;=Units!$Q121,MOD(EA$1-Units!$Q121,12)=0),IF(AND(Units!$L121=1,EA$1=Units!$Q121),1,Inputs!$B$15)*Inputs!$B$16*(1+Inputs!$B$11)^(EA$2-1),0)</f>
        <v>0</v>
      </c>
      <c r="EB122" s="11" t="n">
        <f aca="false">IF(AND(EB$1&gt;=Units!$Q121,MOD(EB$1-Units!$Q121,12)=0),IF(AND(Units!$L121=1,EB$1=Units!$Q121),1,Inputs!$B$15)*Inputs!$B$16*(1+Inputs!$B$11)^(EB$2-1),0)</f>
        <v>671.958189672061</v>
      </c>
      <c r="EC122" s="11" t="n">
        <f aca="false">IF(AND(EC$1&gt;=Units!$Q121,MOD(EC$1-Units!$Q121,12)=0),IF(AND(Units!$L121=1,EC$1=Units!$Q121),1,Inputs!$B$15)*Inputs!$B$16*(1+Inputs!$B$11)^(EC$2-1),0)</f>
        <v>0</v>
      </c>
      <c r="ED122" s="11" t="n">
        <f aca="false">IF(AND(ED$1&gt;=Units!$Q121,MOD(ED$1-Units!$Q121,12)=0),IF(AND(Units!$L121=1,ED$1=Units!$Q121),1,Inputs!$B$15)*Inputs!$B$16*(1+Inputs!$B$11)^(ED$2-1),0)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5" min="3" style="0" width="13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3" min="11" style="0" width="11"/>
    <col collapsed="false" customWidth="true" hidden="false" outlineLevel="0" max="14" min="14" style="0" width="14"/>
  </cols>
  <sheetData>
    <row r="1" customFormat="false" ht="45" hidden="false" customHeight="true" outlineLevel="0" collapsed="false">
      <c r="A1" s="20" t="s">
        <v>130</v>
      </c>
      <c r="B1" s="20" t="s">
        <v>54</v>
      </c>
      <c r="C1" s="20" t="s">
        <v>133</v>
      </c>
      <c r="D1" s="20" t="s">
        <v>134</v>
      </c>
      <c r="E1" s="20" t="s">
        <v>135</v>
      </c>
      <c r="F1" s="20" t="s">
        <v>136</v>
      </c>
      <c r="G1" s="20" t="s">
        <v>137</v>
      </c>
      <c r="H1" s="20" t="s">
        <v>138</v>
      </c>
      <c r="I1" s="20" t="s">
        <v>91</v>
      </c>
      <c r="J1" s="20" t="s">
        <v>139</v>
      </c>
      <c r="K1" s="20" t="s">
        <v>140</v>
      </c>
      <c r="L1" s="20" t="s">
        <v>141</v>
      </c>
      <c r="M1" s="20" t="s">
        <v>142</v>
      </c>
      <c r="N1" s="20" t="s">
        <v>143</v>
      </c>
    </row>
    <row r="2" customFormat="false" ht="15" hidden="false" customHeight="false" outlineLevel="0" collapsed="false">
      <c r="A2" s="2" t="n">
        <v>1</v>
      </c>
      <c r="B2" s="2" t="n">
        <f aca="false">ROUNDUP(A2/12,0)</f>
        <v>1</v>
      </c>
      <c r="C2" s="11" t="n">
        <f aca="false">SUM(INDEX(Mkt!$C$3:$ED$122,0,A2))</f>
        <v>194430</v>
      </c>
      <c r="D2" s="11" t="n">
        <f aca="false">SUMIF(Units!$P$2:$P$121,"&lt;="&amp;A2,INDEX(Mkt!$C$3:$ED$122,0,A2))</f>
        <v>191055</v>
      </c>
      <c r="E2" s="11" t="n">
        <f aca="false">SUM(INDEX(Rent!$C$3:$ED$122,0,A2))</f>
        <v>185825.5</v>
      </c>
      <c r="F2" s="11" t="n">
        <f aca="false">D2-E2</f>
        <v>5229.5</v>
      </c>
      <c r="G2" s="11" t="n">
        <f aca="false">C2-D2</f>
        <v>3375</v>
      </c>
      <c r="H2" s="2" t="n">
        <f aca="false">COUNTIF(Units!$P$2:$P$121,"&lt;="&amp;A2)</f>
        <v>118</v>
      </c>
      <c r="I2" s="11" t="n">
        <f aca="false">SUM(INDEX(Turnover!$C$3:$ED$122,0,A2))</f>
        <v>7000</v>
      </c>
      <c r="J2" s="11" t="n">
        <f aca="false">Returns!$C$8</f>
        <v>12591864.150696</v>
      </c>
      <c r="K2" s="11" t="n">
        <f aca="false">IF(A2&gt;Inputs!$B$21*12,0,IF(A2&lt;=Inputs!$B$24*12,J2*(Inputs!$B$23/12),Returns!$C$11))</f>
        <v>68205.93081627</v>
      </c>
      <c r="L2" s="11" t="n">
        <f aca="false">IF(A2&gt;Inputs!$B$21*12,0,J2*(Inputs!$B$23/12))</f>
        <v>68205.93081627</v>
      </c>
      <c r="M2" s="11" t="n">
        <f aca="false">K2-L2</f>
        <v>0</v>
      </c>
      <c r="N2" s="11" t="n">
        <f aca="false">J2-M2</f>
        <v>12591864.150696</v>
      </c>
    </row>
    <row r="3" customFormat="false" ht="15" hidden="false" customHeight="false" outlineLevel="0" collapsed="false">
      <c r="A3" s="2" t="n">
        <v>2</v>
      </c>
      <c r="B3" s="2" t="n">
        <f aca="false">ROUNDUP(A3/12,0)</f>
        <v>1</v>
      </c>
      <c r="C3" s="11" t="n">
        <f aca="false">SUM(INDEX(Mkt!$C$3:$ED$122,0,A3))</f>
        <v>194430</v>
      </c>
      <c r="D3" s="11" t="n">
        <f aca="false">SUMIF(Units!$P$2:$P$121,"&lt;="&amp;A3,INDEX(Mkt!$C$3:$ED$122,0,A3))</f>
        <v>194430</v>
      </c>
      <c r="E3" s="11" t="n">
        <f aca="false">SUM(INDEX(Rent!$C$3:$ED$122,0,A3))</f>
        <v>189386.75</v>
      </c>
      <c r="F3" s="11" t="n">
        <f aca="false">D3-E3</f>
        <v>5043.25</v>
      </c>
      <c r="G3" s="11" t="n">
        <f aca="false">C3-D3</f>
        <v>0</v>
      </c>
      <c r="H3" s="2" t="n">
        <f aca="false">COUNTIF(Units!$P$2:$P$121,"&lt;="&amp;A3)</f>
        <v>120</v>
      </c>
      <c r="I3" s="11" t="n">
        <f aca="false">SUM(INDEX(Turnover!$C$3:$ED$122,0,A3))</f>
        <v>4500</v>
      </c>
      <c r="J3" s="11" t="n">
        <f aca="false">N2</f>
        <v>12591864.150696</v>
      </c>
      <c r="K3" s="11" t="n">
        <f aca="false">IF(A3&gt;Inputs!$B$21*12,0,IF(A3&lt;=Inputs!$B$24*12,J3*(Inputs!$B$23/12),Returns!$C$11))</f>
        <v>68205.93081627</v>
      </c>
      <c r="L3" s="11" t="n">
        <f aca="false">IF(A3&gt;Inputs!$B$21*12,0,J3*(Inputs!$B$23/12))</f>
        <v>68205.93081627</v>
      </c>
      <c r="M3" s="11" t="n">
        <f aca="false">K3-L3</f>
        <v>0</v>
      </c>
      <c r="N3" s="11" t="n">
        <f aca="false">J3-M3</f>
        <v>12591864.150696</v>
      </c>
    </row>
    <row r="4" customFormat="false" ht="15" hidden="false" customHeight="false" outlineLevel="0" collapsed="false">
      <c r="A4" s="2" t="n">
        <v>3</v>
      </c>
      <c r="B4" s="2" t="n">
        <f aca="false">ROUNDUP(A4/12,0)</f>
        <v>1</v>
      </c>
      <c r="C4" s="11" t="n">
        <f aca="false">SUM(INDEX(Mkt!$C$3:$ED$122,0,A4))</f>
        <v>194430</v>
      </c>
      <c r="D4" s="11" t="n">
        <f aca="false">SUMIF(Units!$P$2:$P$121,"&lt;="&amp;A4,INDEX(Mkt!$C$3:$ED$122,0,A4))</f>
        <v>194430</v>
      </c>
      <c r="E4" s="11" t="n">
        <f aca="false">SUM(INDEX(Rent!$C$3:$ED$122,0,A4))</f>
        <v>189781</v>
      </c>
      <c r="F4" s="11" t="n">
        <f aca="false">D4-E4</f>
        <v>4649</v>
      </c>
      <c r="G4" s="11" t="n">
        <f aca="false">C4-D4</f>
        <v>0</v>
      </c>
      <c r="H4" s="2" t="n">
        <f aca="false">COUNTIF(Units!$P$2:$P$121,"&lt;="&amp;A4)</f>
        <v>120</v>
      </c>
      <c r="I4" s="11" t="n">
        <f aca="false">SUM(INDEX(Turnover!$C$3:$ED$122,0,A4))</f>
        <v>6000</v>
      </c>
      <c r="J4" s="11" t="n">
        <f aca="false">N3</f>
        <v>12591864.150696</v>
      </c>
      <c r="K4" s="11" t="n">
        <f aca="false">IF(A4&gt;Inputs!$B$21*12,0,IF(A4&lt;=Inputs!$B$24*12,J4*(Inputs!$B$23/12),Returns!$C$11))</f>
        <v>68205.93081627</v>
      </c>
      <c r="L4" s="11" t="n">
        <f aca="false">IF(A4&gt;Inputs!$B$21*12,0,J4*(Inputs!$B$23/12))</f>
        <v>68205.93081627</v>
      </c>
      <c r="M4" s="11" t="n">
        <f aca="false">K4-L4</f>
        <v>0</v>
      </c>
      <c r="N4" s="11" t="n">
        <f aca="false">J4-M4</f>
        <v>12591864.150696</v>
      </c>
    </row>
    <row r="5" customFormat="false" ht="15" hidden="false" customHeight="false" outlineLevel="0" collapsed="false">
      <c r="A5" s="2" t="n">
        <v>4</v>
      </c>
      <c r="B5" s="2" t="n">
        <f aca="false">ROUNDUP(A5/12,0)</f>
        <v>1</v>
      </c>
      <c r="C5" s="11" t="n">
        <f aca="false">SUM(INDEX(Mkt!$C$3:$ED$122,0,A5))</f>
        <v>194430</v>
      </c>
      <c r="D5" s="11" t="n">
        <f aca="false">SUMIF(Units!$P$2:$P$121,"&lt;="&amp;A5,INDEX(Mkt!$C$3:$ED$122,0,A5))</f>
        <v>194430</v>
      </c>
      <c r="E5" s="11" t="n">
        <f aca="false">SUM(INDEX(Rent!$C$3:$ED$122,0,A5))</f>
        <v>190324.375</v>
      </c>
      <c r="F5" s="11" t="n">
        <f aca="false">D5-E5</f>
        <v>4105.625</v>
      </c>
      <c r="G5" s="11" t="n">
        <f aca="false">C5-D5</f>
        <v>0</v>
      </c>
      <c r="H5" s="2" t="n">
        <f aca="false">COUNTIF(Units!$P$2:$P$121,"&lt;="&amp;A5)</f>
        <v>120</v>
      </c>
      <c r="I5" s="11" t="n">
        <f aca="false">SUM(INDEX(Turnover!$C$3:$ED$122,0,A5))</f>
        <v>5500</v>
      </c>
      <c r="J5" s="11" t="n">
        <f aca="false">N4</f>
        <v>12591864.150696</v>
      </c>
      <c r="K5" s="11" t="n">
        <f aca="false">IF(A5&gt;Inputs!$B$21*12,0,IF(A5&lt;=Inputs!$B$24*12,J5*(Inputs!$B$23/12),Returns!$C$11))</f>
        <v>68205.93081627</v>
      </c>
      <c r="L5" s="11" t="n">
        <f aca="false">IF(A5&gt;Inputs!$B$21*12,0,J5*(Inputs!$B$23/12))</f>
        <v>68205.93081627</v>
      </c>
      <c r="M5" s="11" t="n">
        <f aca="false">K5-L5</f>
        <v>0</v>
      </c>
      <c r="N5" s="11" t="n">
        <f aca="false">J5-M5</f>
        <v>12591864.150696</v>
      </c>
    </row>
    <row r="6" customFormat="false" ht="15" hidden="false" customHeight="false" outlineLevel="0" collapsed="false">
      <c r="A6" s="2" t="n">
        <v>5</v>
      </c>
      <c r="B6" s="2" t="n">
        <f aca="false">ROUNDUP(A6/12,0)</f>
        <v>1</v>
      </c>
      <c r="C6" s="11" t="n">
        <f aca="false">SUM(INDEX(Mkt!$C$3:$ED$122,0,A6))</f>
        <v>194430</v>
      </c>
      <c r="D6" s="11" t="n">
        <f aca="false">SUMIF(Units!$P$2:$P$121,"&lt;="&amp;A6,INDEX(Mkt!$C$3:$ED$122,0,A6))</f>
        <v>194430</v>
      </c>
      <c r="E6" s="11" t="n">
        <f aca="false">SUM(INDEX(Rent!$C$3:$ED$122,0,A6))</f>
        <v>190432.375</v>
      </c>
      <c r="F6" s="11" t="n">
        <f aca="false">D6-E6</f>
        <v>3997.625</v>
      </c>
      <c r="G6" s="11" t="n">
        <f aca="false">C6-D6</f>
        <v>0</v>
      </c>
      <c r="H6" s="2" t="n">
        <f aca="false">COUNTIF(Units!$P$2:$P$121,"&lt;="&amp;A6)</f>
        <v>120</v>
      </c>
      <c r="I6" s="11" t="n">
        <f aca="false">SUM(INDEX(Turnover!$C$3:$ED$122,0,A6))</f>
        <v>2500</v>
      </c>
      <c r="J6" s="11" t="n">
        <f aca="false">N5</f>
        <v>12591864.150696</v>
      </c>
      <c r="K6" s="11" t="n">
        <f aca="false">IF(A6&gt;Inputs!$B$21*12,0,IF(A6&lt;=Inputs!$B$24*12,J6*(Inputs!$B$23/12),Returns!$C$11))</f>
        <v>68205.93081627</v>
      </c>
      <c r="L6" s="11" t="n">
        <f aca="false">IF(A6&gt;Inputs!$B$21*12,0,J6*(Inputs!$B$23/12))</f>
        <v>68205.93081627</v>
      </c>
      <c r="M6" s="11" t="n">
        <f aca="false">K6-L6</f>
        <v>0</v>
      </c>
      <c r="N6" s="11" t="n">
        <f aca="false">J6-M6</f>
        <v>12591864.150696</v>
      </c>
    </row>
    <row r="7" customFormat="false" ht="15" hidden="false" customHeight="false" outlineLevel="0" collapsed="false">
      <c r="A7" s="2" t="n">
        <v>6</v>
      </c>
      <c r="B7" s="2" t="n">
        <f aca="false">ROUNDUP(A7/12,0)</f>
        <v>1</v>
      </c>
      <c r="C7" s="11" t="n">
        <f aca="false">SUM(INDEX(Mkt!$C$3:$ED$122,0,A7))</f>
        <v>194430</v>
      </c>
      <c r="D7" s="11" t="n">
        <f aca="false">SUMIF(Units!$P$2:$P$121,"&lt;="&amp;A7,INDEX(Mkt!$C$3:$ED$122,0,A7))</f>
        <v>194430</v>
      </c>
      <c r="E7" s="11" t="n">
        <f aca="false">SUM(INDEX(Rent!$C$3:$ED$122,0,A7))</f>
        <v>190970.5</v>
      </c>
      <c r="F7" s="11" t="n">
        <f aca="false">D7-E7</f>
        <v>3459.5</v>
      </c>
      <c r="G7" s="11" t="n">
        <f aca="false">C7-D7</f>
        <v>0</v>
      </c>
      <c r="H7" s="2" t="n">
        <f aca="false">COUNTIF(Units!$P$2:$P$121,"&lt;="&amp;A7)</f>
        <v>120</v>
      </c>
      <c r="I7" s="11" t="n">
        <f aca="false">SUM(INDEX(Turnover!$C$3:$ED$122,0,A7))</f>
        <v>3000</v>
      </c>
      <c r="J7" s="11" t="n">
        <f aca="false">N6</f>
        <v>12591864.150696</v>
      </c>
      <c r="K7" s="11" t="n">
        <f aca="false">IF(A7&gt;Inputs!$B$21*12,0,IF(A7&lt;=Inputs!$B$24*12,J7*(Inputs!$B$23/12),Returns!$C$11))</f>
        <v>68205.93081627</v>
      </c>
      <c r="L7" s="11" t="n">
        <f aca="false">IF(A7&gt;Inputs!$B$21*12,0,J7*(Inputs!$B$23/12))</f>
        <v>68205.93081627</v>
      </c>
      <c r="M7" s="11" t="n">
        <f aca="false">K7-L7</f>
        <v>0</v>
      </c>
      <c r="N7" s="11" t="n">
        <f aca="false">J7-M7</f>
        <v>12591864.150696</v>
      </c>
    </row>
    <row r="8" customFormat="false" ht="15" hidden="false" customHeight="false" outlineLevel="0" collapsed="false">
      <c r="A8" s="2" t="n">
        <v>7</v>
      </c>
      <c r="B8" s="2" t="n">
        <f aca="false">ROUNDUP(A8/12,0)</f>
        <v>1</v>
      </c>
      <c r="C8" s="11" t="n">
        <f aca="false">SUM(INDEX(Mkt!$C$3:$ED$122,0,A8))</f>
        <v>194430</v>
      </c>
      <c r="D8" s="11" t="n">
        <f aca="false">SUMIF(Units!$P$2:$P$121,"&lt;="&amp;A8,INDEX(Mkt!$C$3:$ED$122,0,A8))</f>
        <v>194430</v>
      </c>
      <c r="E8" s="11" t="n">
        <f aca="false">SUM(INDEX(Rent!$C$3:$ED$122,0,A8))</f>
        <v>191333</v>
      </c>
      <c r="F8" s="11" t="n">
        <f aca="false">D8-E8</f>
        <v>3097</v>
      </c>
      <c r="G8" s="11" t="n">
        <f aca="false">C8-D8</f>
        <v>0</v>
      </c>
      <c r="H8" s="2" t="n">
        <f aca="false">COUNTIF(Units!$P$2:$P$121,"&lt;="&amp;A8)</f>
        <v>120</v>
      </c>
      <c r="I8" s="11" t="n">
        <f aca="false">SUM(INDEX(Turnover!$C$3:$ED$122,0,A8))</f>
        <v>4500</v>
      </c>
      <c r="J8" s="11" t="n">
        <f aca="false">N7</f>
        <v>12591864.150696</v>
      </c>
      <c r="K8" s="11" t="n">
        <f aca="false">IF(A8&gt;Inputs!$B$21*12,0,IF(A8&lt;=Inputs!$B$24*12,J8*(Inputs!$B$23/12),Returns!$C$11))</f>
        <v>68205.93081627</v>
      </c>
      <c r="L8" s="11" t="n">
        <f aca="false">IF(A8&gt;Inputs!$B$21*12,0,J8*(Inputs!$B$23/12))</f>
        <v>68205.93081627</v>
      </c>
      <c r="M8" s="11" t="n">
        <f aca="false">K8-L8</f>
        <v>0</v>
      </c>
      <c r="N8" s="11" t="n">
        <f aca="false">J8-M8</f>
        <v>12591864.150696</v>
      </c>
    </row>
    <row r="9" customFormat="false" ht="15" hidden="false" customHeight="false" outlineLevel="0" collapsed="false">
      <c r="A9" s="2" t="n">
        <v>8</v>
      </c>
      <c r="B9" s="2" t="n">
        <f aca="false">ROUNDUP(A9/12,0)</f>
        <v>1</v>
      </c>
      <c r="C9" s="11" t="n">
        <f aca="false">SUM(INDEX(Mkt!$C$3:$ED$122,0,A9))</f>
        <v>194430</v>
      </c>
      <c r="D9" s="11" t="n">
        <f aca="false">SUMIF(Units!$P$2:$P$121,"&lt;="&amp;A9,INDEX(Mkt!$C$3:$ED$122,0,A9))</f>
        <v>194430</v>
      </c>
      <c r="E9" s="11" t="n">
        <f aca="false">SUM(INDEX(Rent!$C$3:$ED$122,0,A9))</f>
        <v>191737.375</v>
      </c>
      <c r="F9" s="11" t="n">
        <f aca="false">D9-E9</f>
        <v>2692.625</v>
      </c>
      <c r="G9" s="11" t="n">
        <f aca="false">C9-D9</f>
        <v>0</v>
      </c>
      <c r="H9" s="2" t="n">
        <f aca="false">COUNTIF(Units!$P$2:$P$121,"&lt;="&amp;A9)</f>
        <v>120</v>
      </c>
      <c r="I9" s="11" t="n">
        <f aca="false">SUM(INDEX(Turnover!$C$3:$ED$122,0,A9))</f>
        <v>5000</v>
      </c>
      <c r="J9" s="11" t="n">
        <f aca="false">N8</f>
        <v>12591864.150696</v>
      </c>
      <c r="K9" s="11" t="n">
        <f aca="false">IF(A9&gt;Inputs!$B$21*12,0,IF(A9&lt;=Inputs!$B$24*12,J9*(Inputs!$B$23/12),Returns!$C$11))</f>
        <v>68205.93081627</v>
      </c>
      <c r="L9" s="11" t="n">
        <f aca="false">IF(A9&gt;Inputs!$B$21*12,0,J9*(Inputs!$B$23/12))</f>
        <v>68205.93081627</v>
      </c>
      <c r="M9" s="11" t="n">
        <f aca="false">K9-L9</f>
        <v>0</v>
      </c>
      <c r="N9" s="11" t="n">
        <f aca="false">J9-M9</f>
        <v>12591864.150696</v>
      </c>
    </row>
    <row r="10" customFormat="false" ht="15" hidden="false" customHeight="false" outlineLevel="0" collapsed="false">
      <c r="A10" s="2" t="n">
        <v>9</v>
      </c>
      <c r="B10" s="2" t="n">
        <f aca="false">ROUNDUP(A10/12,0)</f>
        <v>1</v>
      </c>
      <c r="C10" s="11" t="n">
        <f aca="false">SUM(INDEX(Mkt!$C$3:$ED$122,0,A10))</f>
        <v>194430</v>
      </c>
      <c r="D10" s="11" t="n">
        <f aca="false">SUMIF(Units!$P$2:$P$121,"&lt;="&amp;A10,INDEX(Mkt!$C$3:$ED$122,0,A10))</f>
        <v>194430</v>
      </c>
      <c r="E10" s="11" t="n">
        <f aca="false">SUM(INDEX(Rent!$C$3:$ED$122,0,A10))</f>
        <v>191960</v>
      </c>
      <c r="F10" s="11" t="n">
        <f aca="false">D10-E10</f>
        <v>2470</v>
      </c>
      <c r="G10" s="11" t="n">
        <f aca="false">C10-D10</f>
        <v>0</v>
      </c>
      <c r="H10" s="2" t="n">
        <f aca="false">COUNTIF(Units!$P$2:$P$121,"&lt;="&amp;A10)</f>
        <v>120</v>
      </c>
      <c r="I10" s="11" t="n">
        <f aca="false">SUM(INDEX(Turnover!$C$3:$ED$122,0,A10))</f>
        <v>5500</v>
      </c>
      <c r="J10" s="11" t="n">
        <f aca="false">N9</f>
        <v>12591864.150696</v>
      </c>
      <c r="K10" s="11" t="n">
        <f aca="false">IF(A10&gt;Inputs!$B$21*12,0,IF(A10&lt;=Inputs!$B$24*12,J10*(Inputs!$B$23/12),Returns!$C$11))</f>
        <v>68205.93081627</v>
      </c>
      <c r="L10" s="11" t="n">
        <f aca="false">IF(A10&gt;Inputs!$B$21*12,0,J10*(Inputs!$B$23/12))</f>
        <v>68205.93081627</v>
      </c>
      <c r="M10" s="11" t="n">
        <f aca="false">K10-L10</f>
        <v>0</v>
      </c>
      <c r="N10" s="11" t="n">
        <f aca="false">J10-M10</f>
        <v>12591864.150696</v>
      </c>
    </row>
    <row r="11" customFormat="false" ht="15" hidden="false" customHeight="false" outlineLevel="0" collapsed="false">
      <c r="A11" s="2" t="n">
        <v>10</v>
      </c>
      <c r="B11" s="2" t="n">
        <f aca="false">ROUNDUP(A11/12,0)</f>
        <v>1</v>
      </c>
      <c r="C11" s="11" t="n">
        <f aca="false">SUM(INDEX(Mkt!$C$3:$ED$122,0,A11))</f>
        <v>194430</v>
      </c>
      <c r="D11" s="11" t="n">
        <f aca="false">SUMIF(Units!$P$2:$P$121,"&lt;="&amp;A11,INDEX(Mkt!$C$3:$ED$122,0,A11))</f>
        <v>194430</v>
      </c>
      <c r="E11" s="11" t="n">
        <f aca="false">SUM(INDEX(Rent!$C$3:$ED$122,0,A11))</f>
        <v>192325.125</v>
      </c>
      <c r="F11" s="11" t="n">
        <f aca="false">D11-E11</f>
        <v>2104.875</v>
      </c>
      <c r="G11" s="11" t="n">
        <f aca="false">C11-D11</f>
        <v>0</v>
      </c>
      <c r="H11" s="2" t="n">
        <f aca="false">COUNTIF(Units!$P$2:$P$121,"&lt;="&amp;A11)</f>
        <v>120</v>
      </c>
      <c r="I11" s="11" t="n">
        <f aca="false">SUM(INDEX(Turnover!$C$3:$ED$122,0,A11))</f>
        <v>3500</v>
      </c>
      <c r="J11" s="11" t="n">
        <f aca="false">N10</f>
        <v>12591864.150696</v>
      </c>
      <c r="K11" s="11" t="n">
        <f aca="false">IF(A11&gt;Inputs!$B$21*12,0,IF(A11&lt;=Inputs!$B$24*12,J11*(Inputs!$B$23/12),Returns!$C$11))</f>
        <v>68205.93081627</v>
      </c>
      <c r="L11" s="11" t="n">
        <f aca="false">IF(A11&gt;Inputs!$B$21*12,0,J11*(Inputs!$B$23/12))</f>
        <v>68205.93081627</v>
      </c>
      <c r="M11" s="11" t="n">
        <f aca="false">K11-L11</f>
        <v>0</v>
      </c>
      <c r="N11" s="11" t="n">
        <f aca="false">J11-M11</f>
        <v>12591864.150696</v>
      </c>
    </row>
    <row r="12" customFormat="false" ht="15" hidden="false" customHeight="false" outlineLevel="0" collapsed="false">
      <c r="A12" s="2" t="n">
        <v>11</v>
      </c>
      <c r="B12" s="2" t="n">
        <f aca="false">ROUNDUP(A12/12,0)</f>
        <v>1</v>
      </c>
      <c r="C12" s="11" t="n">
        <f aca="false">SUM(INDEX(Mkt!$C$3:$ED$122,0,A12))</f>
        <v>194430</v>
      </c>
      <c r="D12" s="11" t="n">
        <f aca="false">SUMIF(Units!$P$2:$P$121,"&lt;="&amp;A12,INDEX(Mkt!$C$3:$ED$122,0,A12))</f>
        <v>194430</v>
      </c>
      <c r="E12" s="11" t="n">
        <f aca="false">SUM(INDEX(Rent!$C$3:$ED$122,0,A12))</f>
        <v>192669.125</v>
      </c>
      <c r="F12" s="11" t="n">
        <f aca="false">D12-E12</f>
        <v>1760.875</v>
      </c>
      <c r="G12" s="11" t="n">
        <f aca="false">C12-D12</f>
        <v>0</v>
      </c>
      <c r="H12" s="2" t="n">
        <f aca="false">COUNTIF(Units!$P$2:$P$121,"&lt;="&amp;A12)</f>
        <v>120</v>
      </c>
      <c r="I12" s="11" t="n">
        <f aca="false">SUM(INDEX(Turnover!$C$3:$ED$122,0,A12))</f>
        <v>3500</v>
      </c>
      <c r="J12" s="11" t="n">
        <f aca="false">N11</f>
        <v>12591864.150696</v>
      </c>
      <c r="K12" s="11" t="n">
        <f aca="false">IF(A12&gt;Inputs!$B$21*12,0,IF(A12&lt;=Inputs!$B$24*12,J12*(Inputs!$B$23/12),Returns!$C$11))</f>
        <v>68205.93081627</v>
      </c>
      <c r="L12" s="11" t="n">
        <f aca="false">IF(A12&gt;Inputs!$B$21*12,0,J12*(Inputs!$B$23/12))</f>
        <v>68205.93081627</v>
      </c>
      <c r="M12" s="11" t="n">
        <f aca="false">K12-L12</f>
        <v>0</v>
      </c>
      <c r="N12" s="11" t="n">
        <f aca="false">J12-M12</f>
        <v>12591864.150696</v>
      </c>
    </row>
    <row r="13" customFormat="false" ht="15" hidden="false" customHeight="false" outlineLevel="0" collapsed="false">
      <c r="A13" s="2" t="n">
        <v>12</v>
      </c>
      <c r="B13" s="2" t="n">
        <f aca="false">ROUNDUP(A13/12,0)</f>
        <v>1</v>
      </c>
      <c r="C13" s="11" t="n">
        <f aca="false">SUM(INDEX(Mkt!$C$3:$ED$122,0,A13))</f>
        <v>194430</v>
      </c>
      <c r="D13" s="11" t="n">
        <f aca="false">SUMIF(Units!$P$2:$P$121,"&lt;="&amp;A13,INDEX(Mkt!$C$3:$ED$122,0,A13))</f>
        <v>194430</v>
      </c>
      <c r="E13" s="11" t="n">
        <f aca="false">SUM(INDEX(Rent!$C$3:$ED$122,0,A13))</f>
        <v>192959.375</v>
      </c>
      <c r="F13" s="11" t="n">
        <f aca="false">D13-E13</f>
        <v>1470.625</v>
      </c>
      <c r="G13" s="11" t="n">
        <f aca="false">C13-D13</f>
        <v>0</v>
      </c>
      <c r="H13" s="2" t="n">
        <f aca="false">COUNTIF(Units!$P$2:$P$121,"&lt;="&amp;A13)</f>
        <v>120</v>
      </c>
      <c r="I13" s="11" t="n">
        <f aca="false">SUM(INDEX(Turnover!$C$3:$ED$122,0,A13))</f>
        <v>5000</v>
      </c>
      <c r="J13" s="11" t="n">
        <f aca="false">N12</f>
        <v>12591864.150696</v>
      </c>
      <c r="K13" s="11" t="n">
        <f aca="false">IF(A13&gt;Inputs!$B$21*12,0,IF(A13&lt;=Inputs!$B$24*12,J13*(Inputs!$B$23/12),Returns!$C$11))</f>
        <v>68205.93081627</v>
      </c>
      <c r="L13" s="11" t="n">
        <f aca="false">IF(A13&gt;Inputs!$B$21*12,0,J13*(Inputs!$B$23/12))</f>
        <v>68205.93081627</v>
      </c>
      <c r="M13" s="11" t="n">
        <f aca="false">K13-L13</f>
        <v>0</v>
      </c>
      <c r="N13" s="11" t="n">
        <f aca="false">J13-M13</f>
        <v>12591864.150696</v>
      </c>
    </row>
    <row r="14" customFormat="false" ht="15" hidden="false" customHeight="false" outlineLevel="0" collapsed="false">
      <c r="A14" s="2" t="n">
        <v>13</v>
      </c>
      <c r="B14" s="2" t="n">
        <f aca="false">ROUNDUP(A14/12,0)</f>
        <v>2</v>
      </c>
      <c r="C14" s="11" t="n">
        <f aca="false">SUM(INDEX(Mkt!$C$3:$ED$122,0,A14))</f>
        <v>200262.9</v>
      </c>
      <c r="D14" s="11" t="n">
        <f aca="false">SUMIF(Units!$P$2:$P$121,"&lt;="&amp;A14,INDEX(Mkt!$C$3:$ED$122,0,A14))</f>
        <v>200262.9</v>
      </c>
      <c r="E14" s="11" t="n">
        <f aca="false">SUM(INDEX(Rent!$C$3:$ED$122,0,A14))</f>
        <v>194045.425</v>
      </c>
      <c r="F14" s="11" t="n">
        <f aca="false">D14-E14</f>
        <v>6217.47500000001</v>
      </c>
      <c r="G14" s="11" t="n">
        <f aca="false">C14-D14</f>
        <v>0</v>
      </c>
      <c r="H14" s="2" t="n">
        <f aca="false">COUNTIF(Units!$P$2:$P$121,"&lt;="&amp;A14)</f>
        <v>120</v>
      </c>
      <c r="I14" s="11" t="n">
        <f aca="false">SUM(INDEX(Turnover!$C$3:$ED$122,0,A14))</f>
        <v>10815</v>
      </c>
      <c r="J14" s="11" t="n">
        <f aca="false">N13</f>
        <v>12591864.150696</v>
      </c>
      <c r="K14" s="11" t="n">
        <f aca="false">IF(A14&gt;Inputs!$B$21*12,0,IF(A14&lt;=Inputs!$B$24*12,J14*(Inputs!$B$23/12),Returns!$C$11))</f>
        <v>68205.93081627</v>
      </c>
      <c r="L14" s="11" t="n">
        <f aca="false">IF(A14&gt;Inputs!$B$21*12,0,J14*(Inputs!$B$23/12))</f>
        <v>68205.93081627</v>
      </c>
      <c r="M14" s="11" t="n">
        <f aca="false">K14-L14</f>
        <v>0</v>
      </c>
      <c r="N14" s="11" t="n">
        <f aca="false">J14-M14</f>
        <v>12591864.150696</v>
      </c>
    </row>
    <row r="15" customFormat="false" ht="15" hidden="false" customHeight="false" outlineLevel="0" collapsed="false">
      <c r="A15" s="2" t="n">
        <v>14</v>
      </c>
      <c r="B15" s="2" t="n">
        <f aca="false">ROUNDUP(A15/12,0)</f>
        <v>2</v>
      </c>
      <c r="C15" s="11" t="n">
        <f aca="false">SUM(INDEX(Mkt!$C$3:$ED$122,0,A15))</f>
        <v>200262.9</v>
      </c>
      <c r="D15" s="11" t="n">
        <f aca="false">SUMIF(Units!$P$2:$P$121,"&lt;="&amp;A15,INDEX(Mkt!$C$3:$ED$122,0,A15))</f>
        <v>200262.9</v>
      </c>
      <c r="E15" s="11" t="n">
        <f aca="false">SUM(INDEX(Rent!$C$3:$ED$122,0,A15))</f>
        <v>194595.725</v>
      </c>
      <c r="F15" s="11" t="n">
        <f aca="false">D15-E15</f>
        <v>5667.17499999999</v>
      </c>
      <c r="G15" s="11" t="n">
        <f aca="false">C15-D15</f>
        <v>0</v>
      </c>
      <c r="H15" s="2" t="n">
        <f aca="false">COUNTIF(Units!$P$2:$P$121,"&lt;="&amp;A15)</f>
        <v>120</v>
      </c>
      <c r="I15" s="11" t="n">
        <f aca="false">SUM(INDEX(Turnover!$C$3:$ED$122,0,A15))</f>
        <v>5665</v>
      </c>
      <c r="J15" s="11" t="n">
        <f aca="false">N14</f>
        <v>12591864.150696</v>
      </c>
      <c r="K15" s="11" t="n">
        <f aca="false">IF(A15&gt;Inputs!$B$21*12,0,IF(A15&lt;=Inputs!$B$24*12,J15*(Inputs!$B$23/12),Returns!$C$11))</f>
        <v>68205.93081627</v>
      </c>
      <c r="L15" s="11" t="n">
        <f aca="false">IF(A15&gt;Inputs!$B$21*12,0,J15*(Inputs!$B$23/12))</f>
        <v>68205.93081627</v>
      </c>
      <c r="M15" s="11" t="n">
        <f aca="false">K15-L15</f>
        <v>0</v>
      </c>
      <c r="N15" s="11" t="n">
        <f aca="false">J15-M15</f>
        <v>12591864.150696</v>
      </c>
    </row>
    <row r="16" customFormat="false" ht="15" hidden="false" customHeight="false" outlineLevel="0" collapsed="false">
      <c r="A16" s="2" t="n">
        <v>15</v>
      </c>
      <c r="B16" s="2" t="n">
        <f aca="false">ROUNDUP(A16/12,0)</f>
        <v>2</v>
      </c>
      <c r="C16" s="11" t="n">
        <f aca="false">SUM(INDEX(Mkt!$C$3:$ED$122,0,A16))</f>
        <v>200262.9</v>
      </c>
      <c r="D16" s="11" t="n">
        <f aca="false">SUMIF(Units!$P$2:$P$121,"&lt;="&amp;A16,INDEX(Mkt!$C$3:$ED$122,0,A16))</f>
        <v>200262.9</v>
      </c>
      <c r="E16" s="11" t="n">
        <f aca="false">SUM(INDEX(Rent!$C$3:$ED$122,0,A16))</f>
        <v>195391.065625</v>
      </c>
      <c r="F16" s="11" t="n">
        <f aca="false">D16-E16</f>
        <v>4871.83437500001</v>
      </c>
      <c r="G16" s="11" t="n">
        <f aca="false">C16-D16</f>
        <v>0</v>
      </c>
      <c r="H16" s="2" t="n">
        <f aca="false">COUNTIF(Units!$P$2:$P$121,"&lt;="&amp;A16)</f>
        <v>120</v>
      </c>
      <c r="I16" s="11" t="n">
        <f aca="false">SUM(INDEX(Turnover!$C$3:$ED$122,0,A16))</f>
        <v>6180</v>
      </c>
      <c r="J16" s="11" t="n">
        <f aca="false">N15</f>
        <v>12591864.150696</v>
      </c>
      <c r="K16" s="11" t="n">
        <f aca="false">IF(A16&gt;Inputs!$B$21*12,0,IF(A16&lt;=Inputs!$B$24*12,J16*(Inputs!$B$23/12),Returns!$C$11))</f>
        <v>68205.93081627</v>
      </c>
      <c r="L16" s="11" t="n">
        <f aca="false">IF(A16&gt;Inputs!$B$21*12,0,J16*(Inputs!$B$23/12))</f>
        <v>68205.93081627</v>
      </c>
      <c r="M16" s="11" t="n">
        <f aca="false">K16-L16</f>
        <v>0</v>
      </c>
      <c r="N16" s="11" t="n">
        <f aca="false">J16-M16</f>
        <v>12591864.150696</v>
      </c>
    </row>
    <row r="17" customFormat="false" ht="15" hidden="false" customHeight="false" outlineLevel="0" collapsed="false">
      <c r="A17" s="2" t="n">
        <v>16</v>
      </c>
      <c r="B17" s="2" t="n">
        <f aca="false">ROUNDUP(A17/12,0)</f>
        <v>2</v>
      </c>
      <c r="C17" s="11" t="n">
        <f aca="false">SUM(INDEX(Mkt!$C$3:$ED$122,0,A17))</f>
        <v>200262.9</v>
      </c>
      <c r="D17" s="11" t="n">
        <f aca="false">SUMIF(Units!$P$2:$P$121,"&lt;="&amp;A17,INDEX(Mkt!$C$3:$ED$122,0,A17))</f>
        <v>200262.9</v>
      </c>
      <c r="E17" s="11" t="n">
        <f aca="false">SUM(INDEX(Rent!$C$3:$ED$122,0,A17))</f>
        <v>196047.940625</v>
      </c>
      <c r="F17" s="11" t="n">
        <f aca="false">D17-E17</f>
        <v>4214.95937499998</v>
      </c>
      <c r="G17" s="11" t="n">
        <f aca="false">C17-D17</f>
        <v>0</v>
      </c>
      <c r="H17" s="2" t="n">
        <f aca="false">COUNTIF(Units!$P$2:$P$121,"&lt;="&amp;A17)</f>
        <v>120</v>
      </c>
      <c r="I17" s="11" t="n">
        <f aca="false">SUM(INDEX(Turnover!$C$3:$ED$122,0,A17))</f>
        <v>5665</v>
      </c>
      <c r="J17" s="11" t="n">
        <f aca="false">N16</f>
        <v>12591864.150696</v>
      </c>
      <c r="K17" s="11" t="n">
        <f aca="false">IF(A17&gt;Inputs!$B$21*12,0,IF(A17&lt;=Inputs!$B$24*12,J17*(Inputs!$B$23/12),Returns!$C$11))</f>
        <v>68205.93081627</v>
      </c>
      <c r="L17" s="11" t="n">
        <f aca="false">IF(A17&gt;Inputs!$B$21*12,0,J17*(Inputs!$B$23/12))</f>
        <v>68205.93081627</v>
      </c>
      <c r="M17" s="11" t="n">
        <f aca="false">K17-L17</f>
        <v>0</v>
      </c>
      <c r="N17" s="11" t="n">
        <f aca="false">J17-M17</f>
        <v>12591864.150696</v>
      </c>
    </row>
    <row r="18" customFormat="false" ht="15" hidden="false" customHeight="false" outlineLevel="0" collapsed="false">
      <c r="A18" s="2" t="n">
        <v>17</v>
      </c>
      <c r="B18" s="2" t="n">
        <f aca="false">ROUNDUP(A18/12,0)</f>
        <v>2</v>
      </c>
      <c r="C18" s="11" t="n">
        <f aca="false">SUM(INDEX(Mkt!$C$3:$ED$122,0,A18))</f>
        <v>200262.9</v>
      </c>
      <c r="D18" s="11" t="n">
        <f aca="false">SUMIF(Units!$P$2:$P$121,"&lt;="&amp;A18,INDEX(Mkt!$C$3:$ED$122,0,A18))</f>
        <v>200262.9</v>
      </c>
      <c r="E18" s="11" t="n">
        <f aca="false">SUM(INDEX(Rent!$C$3:$ED$122,0,A18))</f>
        <v>196304.390625</v>
      </c>
      <c r="F18" s="11" t="n">
        <f aca="false">D18-E18</f>
        <v>3958.50937499999</v>
      </c>
      <c r="G18" s="11" t="n">
        <f aca="false">C18-D18</f>
        <v>0</v>
      </c>
      <c r="H18" s="2" t="n">
        <f aca="false">COUNTIF(Units!$P$2:$P$121,"&lt;="&amp;A18)</f>
        <v>120</v>
      </c>
      <c r="I18" s="11" t="n">
        <f aca="false">SUM(INDEX(Turnover!$C$3:$ED$122,0,A18))</f>
        <v>2575</v>
      </c>
      <c r="J18" s="11" t="n">
        <f aca="false">N17</f>
        <v>12591864.150696</v>
      </c>
      <c r="K18" s="11" t="n">
        <f aca="false">IF(A18&gt;Inputs!$B$21*12,0,IF(A18&lt;=Inputs!$B$24*12,J18*(Inputs!$B$23/12),Returns!$C$11))</f>
        <v>68205.93081627</v>
      </c>
      <c r="L18" s="11" t="n">
        <f aca="false">IF(A18&gt;Inputs!$B$21*12,0,J18*(Inputs!$B$23/12))</f>
        <v>68205.93081627</v>
      </c>
      <c r="M18" s="11" t="n">
        <f aca="false">K18-L18</f>
        <v>0</v>
      </c>
      <c r="N18" s="11" t="n">
        <f aca="false">J18-M18</f>
        <v>12591864.150696</v>
      </c>
    </row>
    <row r="19" customFormat="false" ht="15" hidden="false" customHeight="false" outlineLevel="0" collapsed="false">
      <c r="A19" s="2" t="n">
        <v>18</v>
      </c>
      <c r="B19" s="2" t="n">
        <f aca="false">ROUNDUP(A19/12,0)</f>
        <v>2</v>
      </c>
      <c r="C19" s="11" t="n">
        <f aca="false">SUM(INDEX(Mkt!$C$3:$ED$122,0,A19))</f>
        <v>200262.9</v>
      </c>
      <c r="D19" s="11" t="n">
        <f aca="false">SUMIF(Units!$P$2:$P$121,"&lt;="&amp;A19,INDEX(Mkt!$C$3:$ED$122,0,A19))</f>
        <v>200262.9</v>
      </c>
      <c r="E19" s="11" t="n">
        <f aca="false">SUM(INDEX(Rent!$C$3:$ED$122,0,A19))</f>
        <v>196723.684375</v>
      </c>
      <c r="F19" s="11" t="n">
        <f aca="false">D19-E19</f>
        <v>3539.21562499998</v>
      </c>
      <c r="G19" s="11" t="n">
        <f aca="false">C19-D19</f>
        <v>0</v>
      </c>
      <c r="H19" s="2" t="n">
        <f aca="false">COUNTIF(Units!$P$2:$P$121,"&lt;="&amp;A19)</f>
        <v>120</v>
      </c>
      <c r="I19" s="11" t="n">
        <f aca="false">SUM(INDEX(Turnover!$C$3:$ED$122,0,A19))</f>
        <v>3090</v>
      </c>
      <c r="J19" s="11" t="n">
        <f aca="false">N18</f>
        <v>12591864.150696</v>
      </c>
      <c r="K19" s="11" t="n">
        <f aca="false">IF(A19&gt;Inputs!$B$21*12,0,IF(A19&lt;=Inputs!$B$24*12,J19*(Inputs!$B$23/12),Returns!$C$11))</f>
        <v>68205.93081627</v>
      </c>
      <c r="L19" s="11" t="n">
        <f aca="false">IF(A19&gt;Inputs!$B$21*12,0,J19*(Inputs!$B$23/12))</f>
        <v>68205.93081627</v>
      </c>
      <c r="M19" s="11" t="n">
        <f aca="false">K19-L19</f>
        <v>0</v>
      </c>
      <c r="N19" s="11" t="n">
        <f aca="false">J19-M19</f>
        <v>12591864.150696</v>
      </c>
    </row>
    <row r="20" customFormat="false" ht="15" hidden="false" customHeight="false" outlineLevel="0" collapsed="false">
      <c r="A20" s="2" t="n">
        <v>19</v>
      </c>
      <c r="B20" s="2" t="n">
        <f aca="false">ROUNDUP(A20/12,0)</f>
        <v>2</v>
      </c>
      <c r="C20" s="11" t="n">
        <f aca="false">SUM(INDEX(Mkt!$C$3:$ED$122,0,A20))</f>
        <v>200262.9</v>
      </c>
      <c r="D20" s="11" t="n">
        <f aca="false">SUMIF(Units!$P$2:$P$121,"&lt;="&amp;A20,INDEX(Mkt!$C$3:$ED$122,0,A20))</f>
        <v>200262.9</v>
      </c>
      <c r="E20" s="11" t="n">
        <f aca="false">SUM(INDEX(Rent!$C$3:$ED$122,0,A20))</f>
        <v>197316.115625</v>
      </c>
      <c r="F20" s="11" t="n">
        <f aca="false">D20-E20</f>
        <v>2946.78437499999</v>
      </c>
      <c r="G20" s="11" t="n">
        <f aca="false">C20-D20</f>
        <v>0</v>
      </c>
      <c r="H20" s="2" t="n">
        <f aca="false">COUNTIF(Units!$P$2:$P$121,"&lt;="&amp;A20)</f>
        <v>120</v>
      </c>
      <c r="I20" s="11" t="n">
        <f aca="false">SUM(INDEX(Turnover!$C$3:$ED$122,0,A20))</f>
        <v>4635</v>
      </c>
      <c r="J20" s="11" t="n">
        <f aca="false">N19</f>
        <v>12591864.150696</v>
      </c>
      <c r="K20" s="11" t="n">
        <f aca="false">IF(A20&gt;Inputs!$B$21*12,0,IF(A20&lt;=Inputs!$B$24*12,J20*(Inputs!$B$23/12),Returns!$C$11))</f>
        <v>68205.93081627</v>
      </c>
      <c r="L20" s="11" t="n">
        <f aca="false">IF(A20&gt;Inputs!$B$21*12,0,J20*(Inputs!$B$23/12))</f>
        <v>68205.93081627</v>
      </c>
      <c r="M20" s="11" t="n">
        <f aca="false">K20-L20</f>
        <v>0</v>
      </c>
      <c r="N20" s="11" t="n">
        <f aca="false">J20-M20</f>
        <v>12591864.150696</v>
      </c>
    </row>
    <row r="21" customFormat="false" ht="15" hidden="false" customHeight="false" outlineLevel="0" collapsed="false">
      <c r="A21" s="2" t="n">
        <v>20</v>
      </c>
      <c r="B21" s="2" t="n">
        <f aca="false">ROUNDUP(A21/12,0)</f>
        <v>2</v>
      </c>
      <c r="C21" s="11" t="n">
        <f aca="false">SUM(INDEX(Mkt!$C$3:$ED$122,0,A21))</f>
        <v>200262.9</v>
      </c>
      <c r="D21" s="11" t="n">
        <f aca="false">SUMIF(Units!$P$2:$P$121,"&lt;="&amp;A21,INDEX(Mkt!$C$3:$ED$122,0,A21))</f>
        <v>200262.9</v>
      </c>
      <c r="E21" s="11" t="n">
        <f aca="false">SUM(INDEX(Rent!$C$3:$ED$122,0,A21))</f>
        <v>197948.140625</v>
      </c>
      <c r="F21" s="11" t="n">
        <f aca="false">D21-E21</f>
        <v>2314.75937499999</v>
      </c>
      <c r="G21" s="11" t="n">
        <f aca="false">C21-D21</f>
        <v>0</v>
      </c>
      <c r="H21" s="2" t="n">
        <f aca="false">COUNTIF(Units!$P$2:$P$121,"&lt;="&amp;A21)</f>
        <v>120</v>
      </c>
      <c r="I21" s="11" t="n">
        <f aca="false">SUM(INDEX(Turnover!$C$3:$ED$122,0,A21))</f>
        <v>5150</v>
      </c>
      <c r="J21" s="11" t="n">
        <f aca="false">N20</f>
        <v>12591864.150696</v>
      </c>
      <c r="K21" s="11" t="n">
        <f aca="false">IF(A21&gt;Inputs!$B$21*12,0,IF(A21&lt;=Inputs!$B$24*12,J21*(Inputs!$B$23/12),Returns!$C$11))</f>
        <v>68205.93081627</v>
      </c>
      <c r="L21" s="11" t="n">
        <f aca="false">IF(A21&gt;Inputs!$B$21*12,0,J21*(Inputs!$B$23/12))</f>
        <v>68205.93081627</v>
      </c>
      <c r="M21" s="11" t="n">
        <f aca="false">K21-L21</f>
        <v>0</v>
      </c>
      <c r="N21" s="11" t="n">
        <f aca="false">J21-M21</f>
        <v>12591864.150696</v>
      </c>
    </row>
    <row r="22" customFormat="false" ht="15" hidden="false" customHeight="false" outlineLevel="0" collapsed="false">
      <c r="A22" s="2" t="n">
        <v>21</v>
      </c>
      <c r="B22" s="2" t="n">
        <f aca="false">ROUNDUP(A22/12,0)</f>
        <v>2</v>
      </c>
      <c r="C22" s="11" t="n">
        <f aca="false">SUM(INDEX(Mkt!$C$3:$ED$122,0,A22))</f>
        <v>200262.9</v>
      </c>
      <c r="D22" s="11" t="n">
        <f aca="false">SUMIF(Units!$P$2:$P$121,"&lt;="&amp;A22,INDEX(Mkt!$C$3:$ED$122,0,A22))</f>
        <v>200262.9</v>
      </c>
      <c r="E22" s="11" t="n">
        <f aca="false">SUM(INDEX(Rent!$C$3:$ED$122,0,A22))</f>
        <v>198506.871875</v>
      </c>
      <c r="F22" s="11" t="n">
        <f aca="false">D22-E22</f>
        <v>1756.02812499998</v>
      </c>
      <c r="G22" s="11" t="n">
        <f aca="false">C22-D22</f>
        <v>0</v>
      </c>
      <c r="H22" s="2" t="n">
        <f aca="false">COUNTIF(Units!$P$2:$P$121,"&lt;="&amp;A22)</f>
        <v>120</v>
      </c>
      <c r="I22" s="11" t="n">
        <f aca="false">SUM(INDEX(Turnover!$C$3:$ED$122,0,A22))</f>
        <v>5665</v>
      </c>
      <c r="J22" s="11" t="n">
        <f aca="false">N21</f>
        <v>12591864.150696</v>
      </c>
      <c r="K22" s="11" t="n">
        <f aca="false">IF(A22&gt;Inputs!$B$21*12,0,IF(A22&lt;=Inputs!$B$24*12,J22*(Inputs!$B$23/12),Returns!$C$11))</f>
        <v>68205.93081627</v>
      </c>
      <c r="L22" s="11" t="n">
        <f aca="false">IF(A22&gt;Inputs!$B$21*12,0,J22*(Inputs!$B$23/12))</f>
        <v>68205.93081627</v>
      </c>
      <c r="M22" s="11" t="n">
        <f aca="false">K22-L22</f>
        <v>0</v>
      </c>
      <c r="N22" s="11" t="n">
        <f aca="false">J22-M22</f>
        <v>12591864.150696</v>
      </c>
    </row>
    <row r="23" customFormat="false" ht="15" hidden="false" customHeight="false" outlineLevel="0" collapsed="false">
      <c r="A23" s="2" t="n">
        <v>22</v>
      </c>
      <c r="B23" s="2" t="n">
        <f aca="false">ROUNDUP(A23/12,0)</f>
        <v>2</v>
      </c>
      <c r="C23" s="11" t="n">
        <f aca="false">SUM(INDEX(Mkt!$C$3:$ED$122,0,A23))</f>
        <v>200262.9</v>
      </c>
      <c r="D23" s="11" t="n">
        <f aca="false">SUMIF(Units!$P$2:$P$121,"&lt;="&amp;A23,INDEX(Mkt!$C$3:$ED$122,0,A23))</f>
        <v>200262.9</v>
      </c>
      <c r="E23" s="11" t="n">
        <f aca="false">SUM(INDEX(Rent!$C$3:$ED$122,0,A23))</f>
        <v>198971.053125</v>
      </c>
      <c r="F23" s="11" t="n">
        <f aca="false">D23-E23</f>
        <v>1291.84687499999</v>
      </c>
      <c r="G23" s="11" t="n">
        <f aca="false">C23-D23</f>
        <v>0</v>
      </c>
      <c r="H23" s="2" t="n">
        <f aca="false">COUNTIF(Units!$P$2:$P$121,"&lt;="&amp;A23)</f>
        <v>120</v>
      </c>
      <c r="I23" s="11" t="n">
        <f aca="false">SUM(INDEX(Turnover!$C$3:$ED$122,0,A23))</f>
        <v>3605</v>
      </c>
      <c r="J23" s="11" t="n">
        <f aca="false">N22</f>
        <v>12591864.150696</v>
      </c>
      <c r="K23" s="11" t="n">
        <f aca="false">IF(A23&gt;Inputs!$B$21*12,0,IF(A23&lt;=Inputs!$B$24*12,J23*(Inputs!$B$23/12),Returns!$C$11))</f>
        <v>68205.93081627</v>
      </c>
      <c r="L23" s="11" t="n">
        <f aca="false">IF(A23&gt;Inputs!$B$21*12,0,J23*(Inputs!$B$23/12))</f>
        <v>68205.93081627</v>
      </c>
      <c r="M23" s="11" t="n">
        <f aca="false">K23-L23</f>
        <v>0</v>
      </c>
      <c r="N23" s="11" t="n">
        <f aca="false">J23-M23</f>
        <v>12591864.150696</v>
      </c>
    </row>
    <row r="24" customFormat="false" ht="15" hidden="false" customHeight="false" outlineLevel="0" collapsed="false">
      <c r="A24" s="2" t="n">
        <v>23</v>
      </c>
      <c r="B24" s="2" t="n">
        <f aca="false">ROUNDUP(A24/12,0)</f>
        <v>2</v>
      </c>
      <c r="C24" s="11" t="n">
        <f aca="false">SUM(INDEX(Mkt!$C$3:$ED$122,0,A24))</f>
        <v>200262.9</v>
      </c>
      <c r="D24" s="11" t="n">
        <f aca="false">SUMIF(Units!$P$2:$P$121,"&lt;="&amp;A24,INDEX(Mkt!$C$3:$ED$122,0,A24))</f>
        <v>200262.9</v>
      </c>
      <c r="E24" s="11" t="n">
        <f aca="false">SUM(INDEX(Rent!$C$3:$ED$122,0,A24))</f>
        <v>199360.378125</v>
      </c>
      <c r="F24" s="11" t="n">
        <f aca="false">D24-E24</f>
        <v>902.521874999977</v>
      </c>
      <c r="G24" s="11" t="n">
        <f aca="false">C24-D24</f>
        <v>0</v>
      </c>
      <c r="H24" s="2" t="n">
        <f aca="false">COUNTIF(Units!$P$2:$P$121,"&lt;="&amp;A24)</f>
        <v>120</v>
      </c>
      <c r="I24" s="11" t="n">
        <f aca="false">SUM(INDEX(Turnover!$C$3:$ED$122,0,A24))</f>
        <v>3605</v>
      </c>
      <c r="J24" s="11" t="n">
        <f aca="false">N23</f>
        <v>12591864.150696</v>
      </c>
      <c r="K24" s="11" t="n">
        <f aca="false">IF(A24&gt;Inputs!$B$21*12,0,IF(A24&lt;=Inputs!$B$24*12,J24*(Inputs!$B$23/12),Returns!$C$11))</f>
        <v>68205.93081627</v>
      </c>
      <c r="L24" s="11" t="n">
        <f aca="false">IF(A24&gt;Inputs!$B$21*12,0,J24*(Inputs!$B$23/12))</f>
        <v>68205.93081627</v>
      </c>
      <c r="M24" s="11" t="n">
        <f aca="false">K24-L24</f>
        <v>0</v>
      </c>
      <c r="N24" s="11" t="n">
        <f aca="false">J24-M24</f>
        <v>12591864.150696</v>
      </c>
    </row>
    <row r="25" customFormat="false" ht="15" hidden="false" customHeight="false" outlineLevel="0" collapsed="false">
      <c r="A25" s="2" t="n">
        <v>24</v>
      </c>
      <c r="B25" s="2" t="n">
        <f aca="false">ROUNDUP(A25/12,0)</f>
        <v>2</v>
      </c>
      <c r="C25" s="11" t="n">
        <f aca="false">SUM(INDEX(Mkt!$C$3:$ED$122,0,A25))</f>
        <v>200262.9</v>
      </c>
      <c r="D25" s="11" t="n">
        <f aca="false">SUMIF(Units!$P$2:$P$121,"&lt;="&amp;A25,INDEX(Mkt!$C$3:$ED$122,0,A25))</f>
        <v>200262.9</v>
      </c>
      <c r="E25" s="11" t="n">
        <f aca="false">SUM(INDEX(Rent!$C$3:$ED$122,0,A25))</f>
        <v>199919.096875</v>
      </c>
      <c r="F25" s="11" t="n">
        <f aca="false">D25-E25</f>
        <v>343.803124999977</v>
      </c>
      <c r="G25" s="11" t="n">
        <f aca="false">C25-D25</f>
        <v>0</v>
      </c>
      <c r="H25" s="2" t="n">
        <f aca="false">COUNTIF(Units!$P$2:$P$121,"&lt;="&amp;A25)</f>
        <v>120</v>
      </c>
      <c r="I25" s="11" t="n">
        <f aca="false">SUM(INDEX(Turnover!$C$3:$ED$122,0,A25))</f>
        <v>5150</v>
      </c>
      <c r="J25" s="11" t="n">
        <f aca="false">N24</f>
        <v>12591864.150696</v>
      </c>
      <c r="K25" s="11" t="n">
        <f aca="false">IF(A25&gt;Inputs!$B$21*12,0,IF(A25&lt;=Inputs!$B$24*12,J25*(Inputs!$B$23/12),Returns!$C$11))</f>
        <v>68205.93081627</v>
      </c>
      <c r="L25" s="11" t="n">
        <f aca="false">IF(A25&gt;Inputs!$B$21*12,0,J25*(Inputs!$B$23/12))</f>
        <v>68205.93081627</v>
      </c>
      <c r="M25" s="11" t="n">
        <f aca="false">K25-L25</f>
        <v>0</v>
      </c>
      <c r="N25" s="11" t="n">
        <f aca="false">J25-M25</f>
        <v>12591864.150696</v>
      </c>
    </row>
    <row r="26" customFormat="false" ht="15" hidden="false" customHeight="false" outlineLevel="0" collapsed="false">
      <c r="A26" s="2" t="n">
        <v>25</v>
      </c>
      <c r="B26" s="2" t="n">
        <f aca="false">ROUNDUP(A26/12,0)</f>
        <v>3</v>
      </c>
      <c r="C26" s="11" t="n">
        <f aca="false">SUM(INDEX(Mkt!$C$3:$ED$122,0,A26))</f>
        <v>206270.787</v>
      </c>
      <c r="D26" s="11" t="n">
        <f aca="false">SUMIF(Units!$P$2:$P$121,"&lt;="&amp;A26,INDEX(Mkt!$C$3:$ED$122,0,A26))</f>
        <v>206270.787</v>
      </c>
      <c r="E26" s="11" t="n">
        <f aca="false">SUM(INDEX(Rent!$C$3:$ED$122,0,A26))</f>
        <v>200955.084375</v>
      </c>
      <c r="F26" s="11" t="n">
        <f aca="false">D26-E26</f>
        <v>5315.70262499998</v>
      </c>
      <c r="G26" s="11" t="n">
        <f aca="false">C26-D26</f>
        <v>0</v>
      </c>
      <c r="H26" s="2" t="n">
        <f aca="false">COUNTIF(Units!$P$2:$P$121,"&lt;="&amp;A26)</f>
        <v>120</v>
      </c>
      <c r="I26" s="11" t="n">
        <f aca="false">SUM(INDEX(Turnover!$C$3:$ED$122,0,A26))</f>
        <v>11139.45</v>
      </c>
      <c r="J26" s="11" t="n">
        <f aca="false">N25</f>
        <v>12591864.150696</v>
      </c>
      <c r="K26" s="11" t="n">
        <f aca="false">IF(A26&gt;Inputs!$B$21*12,0,IF(A26&lt;=Inputs!$B$24*12,J26*(Inputs!$B$23/12),Returns!$C$11))</f>
        <v>79589.1468582233</v>
      </c>
      <c r="L26" s="11" t="n">
        <f aca="false">IF(A26&gt;Inputs!$B$21*12,0,J26*(Inputs!$B$23/12))</f>
        <v>68205.93081627</v>
      </c>
      <c r="M26" s="11" t="n">
        <f aca="false">K26-L26</f>
        <v>11383.2160419533</v>
      </c>
      <c r="N26" s="11" t="n">
        <f aca="false">J26-M26</f>
        <v>12580480.934654</v>
      </c>
    </row>
    <row r="27" customFormat="false" ht="15" hidden="false" customHeight="false" outlineLevel="0" collapsed="false">
      <c r="A27" s="2" t="n">
        <v>26</v>
      </c>
      <c r="B27" s="2" t="n">
        <f aca="false">ROUNDUP(A27/12,0)</f>
        <v>3</v>
      </c>
      <c r="C27" s="11" t="n">
        <f aca="false">SUM(INDEX(Mkt!$C$3:$ED$122,0,A27))</f>
        <v>206270.787</v>
      </c>
      <c r="D27" s="11" t="n">
        <f aca="false">SUMIF(Units!$P$2:$P$121,"&lt;="&amp;A27,INDEX(Mkt!$C$3:$ED$122,0,A27))</f>
        <v>206270.787</v>
      </c>
      <c r="E27" s="11" t="n">
        <f aca="false">SUM(INDEX(Rent!$C$3:$ED$122,0,A27))</f>
        <v>201492.280875</v>
      </c>
      <c r="F27" s="11" t="n">
        <f aca="false">D27-E27</f>
        <v>4778.50612499996</v>
      </c>
      <c r="G27" s="11" t="n">
        <f aca="false">C27-D27</f>
        <v>0</v>
      </c>
      <c r="H27" s="2" t="n">
        <f aca="false">COUNTIF(Units!$P$2:$P$121,"&lt;="&amp;A27)</f>
        <v>120</v>
      </c>
      <c r="I27" s="11" t="n">
        <f aca="false">SUM(INDEX(Turnover!$C$3:$ED$122,0,A27))</f>
        <v>5834.95</v>
      </c>
      <c r="J27" s="11" t="n">
        <f aca="false">N26</f>
        <v>12580480.934654</v>
      </c>
      <c r="K27" s="11" t="n">
        <f aca="false">IF(A27&gt;Inputs!$B$21*12,0,IF(A27&lt;=Inputs!$B$24*12,J27*(Inputs!$B$23/12),Returns!$C$11))</f>
        <v>79589.1468582233</v>
      </c>
      <c r="L27" s="11" t="n">
        <f aca="false">IF(A27&gt;Inputs!$B$21*12,0,J27*(Inputs!$B$23/12))</f>
        <v>68144.2717293761</v>
      </c>
      <c r="M27" s="11" t="n">
        <f aca="false">K27-L27</f>
        <v>11444.8751288472</v>
      </c>
      <c r="N27" s="11" t="n">
        <f aca="false">J27-M27</f>
        <v>12569036.0595252</v>
      </c>
    </row>
    <row r="28" customFormat="false" ht="15" hidden="false" customHeight="false" outlineLevel="0" collapsed="false">
      <c r="A28" s="2" t="n">
        <v>27</v>
      </c>
      <c r="B28" s="2" t="n">
        <f aca="false">ROUNDUP(A28/12,0)</f>
        <v>3</v>
      </c>
      <c r="C28" s="11" t="n">
        <f aca="false">SUM(INDEX(Mkt!$C$3:$ED$122,0,A28))</f>
        <v>206270.787</v>
      </c>
      <c r="D28" s="11" t="n">
        <f aca="false">SUMIF(Units!$P$2:$P$121,"&lt;="&amp;A28,INDEX(Mkt!$C$3:$ED$122,0,A28))</f>
        <v>206270.787</v>
      </c>
      <c r="E28" s="11" t="n">
        <f aca="false">SUM(INDEX(Rent!$C$3:$ED$122,0,A28))</f>
        <v>202201.454234375</v>
      </c>
      <c r="F28" s="11" t="n">
        <f aca="false">D28-E28</f>
        <v>4069.33276562498</v>
      </c>
      <c r="G28" s="11" t="n">
        <f aca="false">C28-D28</f>
        <v>0</v>
      </c>
      <c r="H28" s="2" t="n">
        <f aca="false">COUNTIF(Units!$P$2:$P$121,"&lt;="&amp;A28)</f>
        <v>120</v>
      </c>
      <c r="I28" s="11" t="n">
        <f aca="false">SUM(INDEX(Turnover!$C$3:$ED$122,0,A28))</f>
        <v>6365.4</v>
      </c>
      <c r="J28" s="11" t="n">
        <f aca="false">N27</f>
        <v>12569036.0595252</v>
      </c>
      <c r="K28" s="11" t="n">
        <f aca="false">IF(A28&gt;Inputs!$B$21*12,0,IF(A28&lt;=Inputs!$B$24*12,J28*(Inputs!$B$23/12),Returns!$C$11))</f>
        <v>79589.1468582233</v>
      </c>
      <c r="L28" s="11" t="n">
        <f aca="false">IF(A28&gt;Inputs!$B$21*12,0,J28*(Inputs!$B$23/12))</f>
        <v>68082.2786557615</v>
      </c>
      <c r="M28" s="11" t="n">
        <f aca="false">K28-L28</f>
        <v>11506.8682024618</v>
      </c>
      <c r="N28" s="11" t="n">
        <f aca="false">J28-M28</f>
        <v>12557529.1913227</v>
      </c>
    </row>
    <row r="29" customFormat="false" ht="15" hidden="false" customHeight="false" outlineLevel="0" collapsed="false">
      <c r="A29" s="2" t="n">
        <v>28</v>
      </c>
      <c r="B29" s="2" t="n">
        <f aca="false">ROUNDUP(A29/12,0)</f>
        <v>3</v>
      </c>
      <c r="C29" s="11" t="n">
        <f aca="false">SUM(INDEX(Mkt!$C$3:$ED$122,0,A29))</f>
        <v>206270.787</v>
      </c>
      <c r="D29" s="11" t="n">
        <f aca="false">SUMIF(Units!$P$2:$P$121,"&lt;="&amp;A29,INDEX(Mkt!$C$3:$ED$122,0,A29))</f>
        <v>206270.787</v>
      </c>
      <c r="E29" s="11" t="n">
        <f aca="false">SUM(INDEX(Rent!$C$3:$ED$122,0,A29))</f>
        <v>202774.92775</v>
      </c>
      <c r="F29" s="11" t="n">
        <f aca="false">D29-E29</f>
        <v>3495.85924999998</v>
      </c>
      <c r="G29" s="11" t="n">
        <f aca="false">C29-D29</f>
        <v>0</v>
      </c>
      <c r="H29" s="2" t="n">
        <f aca="false">COUNTIF(Units!$P$2:$P$121,"&lt;="&amp;A29)</f>
        <v>120</v>
      </c>
      <c r="I29" s="11" t="n">
        <f aca="false">SUM(INDEX(Turnover!$C$3:$ED$122,0,A29))</f>
        <v>5834.95</v>
      </c>
      <c r="J29" s="11" t="n">
        <f aca="false">N28</f>
        <v>12557529.1913227</v>
      </c>
      <c r="K29" s="11" t="n">
        <f aca="false">IF(A29&gt;Inputs!$B$21*12,0,IF(A29&lt;=Inputs!$B$24*12,J29*(Inputs!$B$23/12),Returns!$C$11))</f>
        <v>79589.1468582233</v>
      </c>
      <c r="L29" s="11" t="n">
        <f aca="false">IF(A29&gt;Inputs!$B$21*12,0,J29*(Inputs!$B$23/12))</f>
        <v>68019.9497863315</v>
      </c>
      <c r="M29" s="11" t="n">
        <f aca="false">K29-L29</f>
        <v>11569.1970718918</v>
      </c>
      <c r="N29" s="11" t="n">
        <f aca="false">J29-M29</f>
        <v>12545959.9942508</v>
      </c>
    </row>
    <row r="30" customFormat="false" ht="15" hidden="false" customHeight="false" outlineLevel="0" collapsed="false">
      <c r="A30" s="2" t="n">
        <v>29</v>
      </c>
      <c r="B30" s="2" t="n">
        <f aca="false">ROUNDUP(A30/12,0)</f>
        <v>3</v>
      </c>
      <c r="C30" s="11" t="n">
        <f aca="false">SUM(INDEX(Mkt!$C$3:$ED$122,0,A30))</f>
        <v>206270.787</v>
      </c>
      <c r="D30" s="11" t="n">
        <f aca="false">SUMIF(Units!$P$2:$P$121,"&lt;="&amp;A30,INDEX(Mkt!$C$3:$ED$122,0,A30))</f>
        <v>206270.787</v>
      </c>
      <c r="E30" s="11" t="n">
        <f aca="false">SUM(INDEX(Rent!$C$3:$ED$122,0,A30))</f>
        <v>203016.41125</v>
      </c>
      <c r="F30" s="11" t="n">
        <f aca="false">D30-E30</f>
        <v>3254.37574999998</v>
      </c>
      <c r="G30" s="11" t="n">
        <f aca="false">C30-D30</f>
        <v>0</v>
      </c>
      <c r="H30" s="2" t="n">
        <f aca="false">COUNTIF(Units!$P$2:$P$121,"&lt;="&amp;A30)</f>
        <v>120</v>
      </c>
      <c r="I30" s="11" t="n">
        <f aca="false">SUM(INDEX(Turnover!$C$3:$ED$122,0,A30))</f>
        <v>2652.25</v>
      </c>
      <c r="J30" s="11" t="n">
        <f aca="false">N29</f>
        <v>12545959.9942508</v>
      </c>
      <c r="K30" s="11" t="n">
        <f aca="false">IF(A30&gt;Inputs!$B$21*12,0,IF(A30&lt;=Inputs!$B$24*12,J30*(Inputs!$B$23/12),Returns!$C$11))</f>
        <v>79589.1468582233</v>
      </c>
      <c r="L30" s="11" t="n">
        <f aca="false">IF(A30&gt;Inputs!$B$21*12,0,J30*(Inputs!$B$23/12))</f>
        <v>67957.2833021921</v>
      </c>
      <c r="M30" s="11" t="n">
        <f aca="false">K30-L30</f>
        <v>11631.8635560312</v>
      </c>
      <c r="N30" s="11" t="n">
        <f aca="false">J30-M30</f>
        <v>12534328.1306948</v>
      </c>
    </row>
    <row r="31" customFormat="false" ht="15" hidden="false" customHeight="false" outlineLevel="0" collapsed="false">
      <c r="A31" s="2" t="n">
        <v>30</v>
      </c>
      <c r="B31" s="2" t="n">
        <f aca="false">ROUNDUP(A31/12,0)</f>
        <v>3</v>
      </c>
      <c r="C31" s="11" t="n">
        <f aca="false">SUM(INDEX(Mkt!$C$3:$ED$122,0,A31))</f>
        <v>206270.787</v>
      </c>
      <c r="D31" s="11" t="n">
        <f aca="false">SUMIF(Units!$P$2:$P$121,"&lt;="&amp;A31,INDEX(Mkt!$C$3:$ED$122,0,A31))</f>
        <v>206270.787</v>
      </c>
      <c r="E31" s="11" t="n">
        <f aca="false">SUM(INDEX(Rent!$C$3:$ED$122,0,A31))</f>
        <v>203344.271046875</v>
      </c>
      <c r="F31" s="11" t="n">
        <f aca="false">D31-E31</f>
        <v>2926.51595312497</v>
      </c>
      <c r="G31" s="11" t="n">
        <f aca="false">C31-D31</f>
        <v>0</v>
      </c>
      <c r="H31" s="2" t="n">
        <f aca="false">COUNTIF(Units!$P$2:$P$121,"&lt;="&amp;A31)</f>
        <v>120</v>
      </c>
      <c r="I31" s="11" t="n">
        <f aca="false">SUM(INDEX(Turnover!$C$3:$ED$122,0,A31))</f>
        <v>3182.7</v>
      </c>
      <c r="J31" s="11" t="n">
        <f aca="false">N30</f>
        <v>12534328.1306948</v>
      </c>
      <c r="K31" s="11" t="n">
        <f aca="false">IF(A31&gt;Inputs!$B$21*12,0,IF(A31&lt;=Inputs!$B$24*12,J31*(Inputs!$B$23/12),Returns!$C$11))</f>
        <v>79589.1468582233</v>
      </c>
      <c r="L31" s="11" t="n">
        <f aca="false">IF(A31&gt;Inputs!$B$21*12,0,J31*(Inputs!$B$23/12))</f>
        <v>67894.2773745969</v>
      </c>
      <c r="M31" s="11" t="n">
        <f aca="false">K31-L31</f>
        <v>11694.8694836263</v>
      </c>
      <c r="N31" s="11" t="n">
        <f aca="false">J31-M31</f>
        <v>12522633.2612112</v>
      </c>
    </row>
    <row r="32" customFormat="false" ht="15" hidden="false" customHeight="false" outlineLevel="0" collapsed="false">
      <c r="A32" s="2" t="n">
        <v>31</v>
      </c>
      <c r="B32" s="2" t="n">
        <f aca="false">ROUNDUP(A32/12,0)</f>
        <v>3</v>
      </c>
      <c r="C32" s="11" t="n">
        <f aca="false">SUM(INDEX(Mkt!$C$3:$ED$122,0,A32))</f>
        <v>206270.787</v>
      </c>
      <c r="D32" s="11" t="n">
        <f aca="false">SUMIF(Units!$P$2:$P$121,"&lt;="&amp;A32,INDEX(Mkt!$C$3:$ED$122,0,A32))</f>
        <v>206270.787</v>
      </c>
      <c r="E32" s="11" t="n">
        <f aca="false">SUM(INDEX(Rent!$C$3:$ED$122,0,A32))</f>
        <v>203878.396203125</v>
      </c>
      <c r="F32" s="11" t="n">
        <f aca="false">D32-E32</f>
        <v>2392.39079687497</v>
      </c>
      <c r="G32" s="11" t="n">
        <f aca="false">C32-D32</f>
        <v>0</v>
      </c>
      <c r="H32" s="2" t="n">
        <f aca="false">COUNTIF(Units!$P$2:$P$121,"&lt;="&amp;A32)</f>
        <v>120</v>
      </c>
      <c r="I32" s="11" t="n">
        <f aca="false">SUM(INDEX(Turnover!$C$3:$ED$122,0,A32))</f>
        <v>4774.05</v>
      </c>
      <c r="J32" s="11" t="n">
        <f aca="false">N31</f>
        <v>12522633.2612112</v>
      </c>
      <c r="K32" s="11" t="n">
        <f aca="false">IF(A32&gt;Inputs!$B$21*12,0,IF(A32&lt;=Inputs!$B$24*12,J32*(Inputs!$B$23/12),Returns!$C$11))</f>
        <v>79589.1468582233</v>
      </c>
      <c r="L32" s="11" t="n">
        <f aca="false">IF(A32&gt;Inputs!$B$21*12,0,J32*(Inputs!$B$23/12))</f>
        <v>67830.930164894</v>
      </c>
      <c r="M32" s="11" t="n">
        <f aca="false">K32-L32</f>
        <v>11758.2166933293</v>
      </c>
      <c r="N32" s="11" t="n">
        <f aca="false">J32-M32</f>
        <v>12510875.0445179</v>
      </c>
    </row>
    <row r="33" customFormat="false" ht="15" hidden="false" customHeight="false" outlineLevel="0" collapsed="false">
      <c r="A33" s="2" t="n">
        <v>32</v>
      </c>
      <c r="B33" s="2" t="n">
        <f aca="false">ROUNDUP(A33/12,0)</f>
        <v>3</v>
      </c>
      <c r="C33" s="11" t="n">
        <f aca="false">SUM(INDEX(Mkt!$C$3:$ED$122,0,A33))</f>
        <v>206270.787</v>
      </c>
      <c r="D33" s="11" t="n">
        <f aca="false">SUMIF(Units!$P$2:$P$121,"&lt;="&amp;A33,INDEX(Mkt!$C$3:$ED$122,0,A33))</f>
        <v>206270.787</v>
      </c>
      <c r="E33" s="11" t="n">
        <f aca="false">SUM(INDEX(Rent!$C$3:$ED$122,0,A33))</f>
        <v>204457.480703125</v>
      </c>
      <c r="F33" s="11" t="n">
        <f aca="false">D33-E33</f>
        <v>1813.30629687497</v>
      </c>
      <c r="G33" s="11" t="n">
        <f aca="false">C33-D33</f>
        <v>0</v>
      </c>
      <c r="H33" s="2" t="n">
        <f aca="false">COUNTIF(Units!$P$2:$P$121,"&lt;="&amp;A33)</f>
        <v>120</v>
      </c>
      <c r="I33" s="11" t="n">
        <f aca="false">SUM(INDEX(Turnover!$C$3:$ED$122,0,A33))</f>
        <v>5304.5</v>
      </c>
      <c r="J33" s="11" t="n">
        <f aca="false">N32</f>
        <v>12510875.0445179</v>
      </c>
      <c r="K33" s="11" t="n">
        <f aca="false">IF(A33&gt;Inputs!$B$21*12,0,IF(A33&lt;=Inputs!$B$24*12,J33*(Inputs!$B$23/12),Returns!$C$11))</f>
        <v>79589.1468582233</v>
      </c>
      <c r="L33" s="11" t="n">
        <f aca="false">IF(A33&gt;Inputs!$B$21*12,0,J33*(Inputs!$B$23/12))</f>
        <v>67767.2398244718</v>
      </c>
      <c r="M33" s="11" t="n">
        <f aca="false">K33-L33</f>
        <v>11821.9070337515</v>
      </c>
      <c r="N33" s="11" t="n">
        <f aca="false">J33-M33</f>
        <v>12499053.1374841</v>
      </c>
    </row>
    <row r="34" customFormat="false" ht="15" hidden="false" customHeight="false" outlineLevel="0" collapsed="false">
      <c r="A34" s="2" t="n">
        <v>33</v>
      </c>
      <c r="B34" s="2" t="n">
        <f aca="false">ROUNDUP(A34/12,0)</f>
        <v>3</v>
      </c>
      <c r="C34" s="11" t="n">
        <f aca="false">SUM(INDEX(Mkt!$C$3:$ED$122,0,A34))</f>
        <v>206270.787</v>
      </c>
      <c r="D34" s="11" t="n">
        <f aca="false">SUMIF(Units!$P$2:$P$121,"&lt;="&amp;A34,INDEX(Mkt!$C$3:$ED$122,0,A34))</f>
        <v>206270.787</v>
      </c>
      <c r="E34" s="11" t="n">
        <f aca="false">SUM(INDEX(Rent!$C$3:$ED$122,0,A34))</f>
        <v>204957.223453125</v>
      </c>
      <c r="F34" s="11" t="n">
        <f aca="false">D34-E34</f>
        <v>1313.56354687497</v>
      </c>
      <c r="G34" s="11" t="n">
        <f aca="false">C34-D34</f>
        <v>0</v>
      </c>
      <c r="H34" s="2" t="n">
        <f aca="false">COUNTIF(Units!$P$2:$P$121,"&lt;="&amp;A34)</f>
        <v>120</v>
      </c>
      <c r="I34" s="11" t="n">
        <f aca="false">SUM(INDEX(Turnover!$C$3:$ED$122,0,A34))</f>
        <v>5834.95</v>
      </c>
      <c r="J34" s="11" t="n">
        <f aca="false">N33</f>
        <v>12499053.1374841</v>
      </c>
      <c r="K34" s="11" t="n">
        <f aca="false">IF(A34&gt;Inputs!$B$21*12,0,IF(A34&lt;=Inputs!$B$24*12,J34*(Inputs!$B$23/12),Returns!$C$11))</f>
        <v>79589.1468582233</v>
      </c>
      <c r="L34" s="11" t="n">
        <f aca="false">IF(A34&gt;Inputs!$B$21*12,0,J34*(Inputs!$B$23/12))</f>
        <v>67703.2044947056</v>
      </c>
      <c r="M34" s="11" t="n">
        <f aca="false">K34-L34</f>
        <v>11885.9423635177</v>
      </c>
      <c r="N34" s="11" t="n">
        <f aca="false">J34-M34</f>
        <v>12487167.1951206</v>
      </c>
    </row>
    <row r="35" customFormat="false" ht="15" hidden="false" customHeight="false" outlineLevel="0" collapsed="false">
      <c r="A35" s="2" t="n">
        <v>34</v>
      </c>
      <c r="B35" s="2" t="n">
        <f aca="false">ROUNDUP(A35/12,0)</f>
        <v>3</v>
      </c>
      <c r="C35" s="11" t="n">
        <f aca="false">SUM(INDEX(Mkt!$C$3:$ED$122,0,A35))</f>
        <v>206270.787</v>
      </c>
      <c r="D35" s="11" t="n">
        <f aca="false">SUMIF(Units!$P$2:$P$121,"&lt;="&amp;A35,INDEX(Mkt!$C$3:$ED$122,0,A35))</f>
        <v>206270.787</v>
      </c>
      <c r="E35" s="11" t="n">
        <f aca="false">SUM(INDEX(Rent!$C$3:$ED$122,0,A35))</f>
        <v>205348.853484375</v>
      </c>
      <c r="F35" s="11" t="n">
        <f aca="false">D35-E35</f>
        <v>921.933515624987</v>
      </c>
      <c r="G35" s="11" t="n">
        <f aca="false">C35-D35</f>
        <v>0</v>
      </c>
      <c r="H35" s="2" t="n">
        <f aca="false">COUNTIF(Units!$P$2:$P$121,"&lt;="&amp;A35)</f>
        <v>120</v>
      </c>
      <c r="I35" s="11" t="n">
        <f aca="false">SUM(INDEX(Turnover!$C$3:$ED$122,0,A35))</f>
        <v>3713.15</v>
      </c>
      <c r="J35" s="11" t="n">
        <f aca="false">N34</f>
        <v>12487167.1951206</v>
      </c>
      <c r="K35" s="11" t="n">
        <f aca="false">IF(A35&gt;Inputs!$B$21*12,0,IF(A35&lt;=Inputs!$B$24*12,J35*(Inputs!$B$23/12),Returns!$C$11))</f>
        <v>79589.1468582233</v>
      </c>
      <c r="L35" s="11" t="n">
        <f aca="false">IF(A35&gt;Inputs!$B$21*12,0,J35*(Inputs!$B$23/12))</f>
        <v>67638.8223069032</v>
      </c>
      <c r="M35" s="11" t="n">
        <f aca="false">K35-L35</f>
        <v>11950.3245513201</v>
      </c>
      <c r="N35" s="11" t="n">
        <f aca="false">J35-M35</f>
        <v>12475216.8705693</v>
      </c>
    </row>
    <row r="36" customFormat="false" ht="15" hidden="false" customHeight="false" outlineLevel="0" collapsed="false">
      <c r="A36" s="2" t="n">
        <v>35</v>
      </c>
      <c r="B36" s="2" t="n">
        <f aca="false">ROUNDUP(A36/12,0)</f>
        <v>3</v>
      </c>
      <c r="C36" s="11" t="n">
        <f aca="false">SUM(INDEX(Mkt!$C$3:$ED$122,0,A36))</f>
        <v>206270.787</v>
      </c>
      <c r="D36" s="11" t="n">
        <f aca="false">SUMIF(Units!$P$2:$P$121,"&lt;="&amp;A36,INDEX(Mkt!$C$3:$ED$122,0,A36))</f>
        <v>206270.787</v>
      </c>
      <c r="E36" s="11" t="n">
        <f aca="false">SUM(INDEX(Rent!$C$3:$ED$122,0,A36))</f>
        <v>205710.750484375</v>
      </c>
      <c r="F36" s="11" t="n">
        <f aca="false">D36-E36</f>
        <v>560.03651562499</v>
      </c>
      <c r="G36" s="11" t="n">
        <f aca="false">C36-D36</f>
        <v>0</v>
      </c>
      <c r="H36" s="2" t="n">
        <f aca="false">COUNTIF(Units!$P$2:$P$121,"&lt;="&amp;A36)</f>
        <v>120</v>
      </c>
      <c r="I36" s="11" t="n">
        <f aca="false">SUM(INDEX(Turnover!$C$3:$ED$122,0,A36))</f>
        <v>3713.15</v>
      </c>
      <c r="J36" s="11" t="n">
        <f aca="false">N35</f>
        <v>12475216.8705693</v>
      </c>
      <c r="K36" s="11" t="n">
        <f aca="false">IF(A36&gt;Inputs!$B$21*12,0,IF(A36&lt;=Inputs!$B$24*12,J36*(Inputs!$B$23/12),Returns!$C$11))</f>
        <v>79589.1468582233</v>
      </c>
      <c r="L36" s="11" t="n">
        <f aca="false">IF(A36&gt;Inputs!$B$21*12,0,J36*(Inputs!$B$23/12))</f>
        <v>67574.0913822503</v>
      </c>
      <c r="M36" s="11" t="n">
        <f aca="false">K36-L36</f>
        <v>12015.055475973</v>
      </c>
      <c r="N36" s="11" t="n">
        <f aca="false">J36-M36</f>
        <v>12463201.8150933</v>
      </c>
    </row>
    <row r="37" customFormat="false" ht="15" hidden="false" customHeight="false" outlineLevel="0" collapsed="false">
      <c r="A37" s="2" t="n">
        <v>36</v>
      </c>
      <c r="B37" s="2" t="n">
        <f aca="false">ROUNDUP(A37/12,0)</f>
        <v>3</v>
      </c>
      <c r="C37" s="11" t="n">
        <f aca="false">SUM(INDEX(Mkt!$C$3:$ED$122,0,A37))</f>
        <v>206270.787</v>
      </c>
      <c r="D37" s="11" t="n">
        <f aca="false">SUMIF(Units!$P$2:$P$121,"&lt;="&amp;A37,INDEX(Mkt!$C$3:$ED$122,0,A37))</f>
        <v>206270.787</v>
      </c>
      <c r="E37" s="11" t="n">
        <f aca="false">SUM(INDEX(Rent!$C$3:$ED$122,0,A37))</f>
        <v>206207.655734375</v>
      </c>
      <c r="F37" s="11" t="n">
        <f aca="false">D37-E37</f>
        <v>63.1312656250084</v>
      </c>
      <c r="G37" s="11" t="n">
        <f aca="false">C37-D37</f>
        <v>0</v>
      </c>
      <c r="H37" s="2" t="n">
        <f aca="false">COUNTIF(Units!$P$2:$P$121,"&lt;="&amp;A37)</f>
        <v>120</v>
      </c>
      <c r="I37" s="11" t="n">
        <f aca="false">SUM(INDEX(Turnover!$C$3:$ED$122,0,A37))</f>
        <v>5304.5</v>
      </c>
      <c r="J37" s="11" t="n">
        <f aca="false">N36</f>
        <v>12463201.8150933</v>
      </c>
      <c r="K37" s="11" t="n">
        <f aca="false">IF(A37&gt;Inputs!$B$21*12,0,IF(A37&lt;=Inputs!$B$24*12,J37*(Inputs!$B$23/12),Returns!$C$11))</f>
        <v>79589.1468582233</v>
      </c>
      <c r="L37" s="11" t="n">
        <f aca="false">IF(A37&gt;Inputs!$B$21*12,0,J37*(Inputs!$B$23/12))</f>
        <v>67509.0098317554</v>
      </c>
      <c r="M37" s="11" t="n">
        <f aca="false">K37-L37</f>
        <v>12080.1370264679</v>
      </c>
      <c r="N37" s="11" t="n">
        <f aca="false">J37-M37</f>
        <v>12451121.6780668</v>
      </c>
    </row>
    <row r="38" customFormat="false" ht="15" hidden="false" customHeight="false" outlineLevel="0" collapsed="false">
      <c r="A38" s="2" t="n">
        <v>37</v>
      </c>
      <c r="B38" s="2" t="n">
        <f aca="false">ROUNDUP(A38/12,0)</f>
        <v>4</v>
      </c>
      <c r="C38" s="11" t="n">
        <f aca="false">SUM(INDEX(Mkt!$C$3:$ED$122,0,A38))</f>
        <v>212458.91061</v>
      </c>
      <c r="D38" s="11" t="n">
        <f aca="false">SUMIF(Units!$P$2:$P$121,"&lt;="&amp;A38,INDEX(Mkt!$C$3:$ED$122,0,A38))</f>
        <v>212458.91061</v>
      </c>
      <c r="E38" s="11" t="n">
        <f aca="false">SUM(INDEX(Rent!$C$3:$ED$122,0,A38))</f>
        <v>207269.881859375</v>
      </c>
      <c r="F38" s="11" t="n">
        <f aca="false">D38-E38</f>
        <v>5189.028750625</v>
      </c>
      <c r="G38" s="11" t="n">
        <f aca="false">C38-D38</f>
        <v>0</v>
      </c>
      <c r="H38" s="2" t="n">
        <f aca="false">COUNTIF(Units!$P$2:$P$121,"&lt;="&amp;A38)</f>
        <v>120</v>
      </c>
      <c r="I38" s="11" t="n">
        <f aca="false">SUM(INDEX(Turnover!$C$3:$ED$122,0,A38))</f>
        <v>11473.6335</v>
      </c>
      <c r="J38" s="11" t="n">
        <f aca="false">N37</f>
        <v>12451121.6780668</v>
      </c>
      <c r="K38" s="11" t="n">
        <f aca="false">IF(A38&gt;Inputs!$B$21*12,0,IF(A38&lt;=Inputs!$B$24*12,J38*(Inputs!$B$23/12),Returns!$C$11))</f>
        <v>79589.1468582233</v>
      </c>
      <c r="L38" s="11" t="n">
        <f aca="false">IF(A38&gt;Inputs!$B$21*12,0,J38*(Inputs!$B$23/12))</f>
        <v>67443.5757561954</v>
      </c>
      <c r="M38" s="11" t="n">
        <f aca="false">K38-L38</f>
        <v>12145.5711020279</v>
      </c>
      <c r="N38" s="11" t="n">
        <f aca="false">J38-M38</f>
        <v>12438976.1069648</v>
      </c>
    </row>
    <row r="39" customFormat="false" ht="15" hidden="false" customHeight="false" outlineLevel="0" collapsed="false">
      <c r="A39" s="2" t="n">
        <v>38</v>
      </c>
      <c r="B39" s="2" t="n">
        <f aca="false">ROUNDUP(A39/12,0)</f>
        <v>4</v>
      </c>
      <c r="C39" s="11" t="n">
        <f aca="false">SUM(INDEX(Mkt!$C$3:$ED$122,0,A39))</f>
        <v>212458.91061</v>
      </c>
      <c r="D39" s="11" t="n">
        <f aca="false">SUMIF(Units!$P$2:$P$121,"&lt;="&amp;A39,INDEX(Mkt!$C$3:$ED$122,0,A39))</f>
        <v>212458.91061</v>
      </c>
      <c r="E39" s="11" t="n">
        <f aca="false">SUM(INDEX(Rent!$C$3:$ED$122,0,A39))</f>
        <v>207823.194254375</v>
      </c>
      <c r="F39" s="11" t="n">
        <f aca="false">D39-E39</f>
        <v>4635.71635562502</v>
      </c>
      <c r="G39" s="11" t="n">
        <f aca="false">C39-D39</f>
        <v>0</v>
      </c>
      <c r="H39" s="2" t="n">
        <f aca="false">COUNTIF(Units!$P$2:$P$121,"&lt;="&amp;A39)</f>
        <v>120</v>
      </c>
      <c r="I39" s="11" t="n">
        <f aca="false">SUM(INDEX(Turnover!$C$3:$ED$122,0,A39))</f>
        <v>6009.9985</v>
      </c>
      <c r="J39" s="11" t="n">
        <f aca="false">N38</f>
        <v>12438976.1069648</v>
      </c>
      <c r="K39" s="11" t="n">
        <f aca="false">IF(A39&gt;Inputs!$B$21*12,0,IF(A39&lt;=Inputs!$B$24*12,J39*(Inputs!$B$23/12),Returns!$C$11))</f>
        <v>79589.1468582233</v>
      </c>
      <c r="L39" s="11" t="n">
        <f aca="false">IF(A39&gt;Inputs!$B$21*12,0,J39*(Inputs!$B$23/12))</f>
        <v>67377.7872460594</v>
      </c>
      <c r="M39" s="11" t="n">
        <f aca="false">K39-L39</f>
        <v>12211.3596121639</v>
      </c>
      <c r="N39" s="11" t="n">
        <f aca="false">J39-M39</f>
        <v>12426764.7473526</v>
      </c>
    </row>
    <row r="40" customFormat="false" ht="15" hidden="false" customHeight="false" outlineLevel="0" collapsed="false">
      <c r="A40" s="2" t="n">
        <v>39</v>
      </c>
      <c r="B40" s="2" t="n">
        <f aca="false">ROUNDUP(A40/12,0)</f>
        <v>4</v>
      </c>
      <c r="C40" s="11" t="n">
        <f aca="false">SUM(INDEX(Mkt!$C$3:$ED$122,0,A40))</f>
        <v>212458.91061</v>
      </c>
      <c r="D40" s="11" t="n">
        <f aca="false">SUMIF(Units!$P$2:$P$121,"&lt;="&amp;A40,INDEX(Mkt!$C$3:$ED$122,0,A40))</f>
        <v>212458.91061</v>
      </c>
      <c r="E40" s="11" t="n">
        <f aca="false">SUM(INDEX(Rent!$C$3:$ED$122,0,A40))</f>
        <v>208508.288145</v>
      </c>
      <c r="F40" s="11" t="n">
        <f aca="false">D40-E40</f>
        <v>3950.62246499999</v>
      </c>
      <c r="G40" s="11" t="n">
        <f aca="false">C40-D40</f>
        <v>0</v>
      </c>
      <c r="H40" s="2" t="n">
        <f aca="false">COUNTIF(Units!$P$2:$P$121,"&lt;="&amp;A40)</f>
        <v>120</v>
      </c>
      <c r="I40" s="11" t="n">
        <f aca="false">SUM(INDEX(Turnover!$C$3:$ED$122,0,A40))</f>
        <v>6556.362</v>
      </c>
      <c r="J40" s="11" t="n">
        <f aca="false">N39</f>
        <v>12426764.7473526</v>
      </c>
      <c r="K40" s="11" t="n">
        <f aca="false">IF(A40&gt;Inputs!$B$21*12,0,IF(A40&lt;=Inputs!$B$24*12,J40*(Inputs!$B$23/12),Returns!$C$11))</f>
        <v>79589.1468582233</v>
      </c>
      <c r="L40" s="11" t="n">
        <f aca="false">IF(A40&gt;Inputs!$B$21*12,0,J40*(Inputs!$B$23/12))</f>
        <v>67311.6423814935</v>
      </c>
      <c r="M40" s="11" t="n">
        <f aca="false">K40-L40</f>
        <v>12277.5044767298</v>
      </c>
      <c r="N40" s="11" t="n">
        <f aca="false">J40-M40</f>
        <v>12414487.2428759</v>
      </c>
    </row>
    <row r="41" customFormat="false" ht="15" hidden="false" customHeight="false" outlineLevel="0" collapsed="false">
      <c r="A41" s="2" t="n">
        <v>40</v>
      </c>
      <c r="B41" s="2" t="n">
        <f aca="false">ROUNDUP(A41/12,0)</f>
        <v>4</v>
      </c>
      <c r="C41" s="11" t="n">
        <f aca="false">SUM(INDEX(Mkt!$C$3:$ED$122,0,A41))</f>
        <v>212458.91061</v>
      </c>
      <c r="D41" s="11" t="n">
        <f aca="false">SUMIF(Units!$P$2:$P$121,"&lt;="&amp;A41,INDEX(Mkt!$C$3:$ED$122,0,A41))</f>
        <v>212458.91061</v>
      </c>
      <c r="E41" s="11" t="n">
        <f aca="false">SUM(INDEX(Rent!$C$3:$ED$122,0,A41))</f>
        <v>209062.514504375</v>
      </c>
      <c r="F41" s="11" t="n">
        <f aca="false">D41-E41</f>
        <v>3396.396105625</v>
      </c>
      <c r="G41" s="11" t="n">
        <f aca="false">C41-D41</f>
        <v>0</v>
      </c>
      <c r="H41" s="2" t="n">
        <f aca="false">COUNTIF(Units!$P$2:$P$121,"&lt;="&amp;A41)</f>
        <v>120</v>
      </c>
      <c r="I41" s="11" t="n">
        <f aca="false">SUM(INDEX(Turnover!$C$3:$ED$122,0,A41))</f>
        <v>6009.9985</v>
      </c>
      <c r="J41" s="11" t="n">
        <f aca="false">N40</f>
        <v>12414487.2428759</v>
      </c>
      <c r="K41" s="11" t="n">
        <f aca="false">IF(A41&gt;Inputs!$B$21*12,0,IF(A41&lt;=Inputs!$B$24*12,J41*(Inputs!$B$23/12),Returns!$C$11))</f>
        <v>79589.1468582233</v>
      </c>
      <c r="L41" s="11" t="n">
        <f aca="false">IF(A41&gt;Inputs!$B$21*12,0,J41*(Inputs!$B$23/12))</f>
        <v>67245.1392322445</v>
      </c>
      <c r="M41" s="11" t="n">
        <f aca="false">K41-L41</f>
        <v>12344.0076259787</v>
      </c>
      <c r="N41" s="11" t="n">
        <f aca="false">J41-M41</f>
        <v>12402143.2352499</v>
      </c>
    </row>
    <row r="42" customFormat="false" ht="15" hidden="false" customHeight="false" outlineLevel="0" collapsed="false">
      <c r="A42" s="2" t="n">
        <v>41</v>
      </c>
      <c r="B42" s="2" t="n">
        <f aca="false">ROUNDUP(A42/12,0)</f>
        <v>4</v>
      </c>
      <c r="C42" s="11" t="n">
        <f aca="false">SUM(INDEX(Mkt!$C$3:$ED$122,0,A42))</f>
        <v>212458.91061</v>
      </c>
      <c r="D42" s="11" t="n">
        <f aca="false">SUMIF(Units!$P$2:$P$121,"&lt;="&amp;A42,INDEX(Mkt!$C$3:$ED$122,0,A42))</f>
        <v>212458.91061</v>
      </c>
      <c r="E42" s="11" t="n">
        <f aca="false">SUM(INDEX(Rent!$C$3:$ED$122,0,A42))</f>
        <v>209311.242509375</v>
      </c>
      <c r="F42" s="11" t="n">
        <f aca="false">D42-E42</f>
        <v>3147.66810062501</v>
      </c>
      <c r="G42" s="11" t="n">
        <f aca="false">C42-D42</f>
        <v>0</v>
      </c>
      <c r="H42" s="2" t="n">
        <f aca="false">COUNTIF(Units!$P$2:$P$121,"&lt;="&amp;A42)</f>
        <v>120</v>
      </c>
      <c r="I42" s="11" t="n">
        <f aca="false">SUM(INDEX(Turnover!$C$3:$ED$122,0,A42))</f>
        <v>2731.8175</v>
      </c>
      <c r="J42" s="11" t="n">
        <f aca="false">N41</f>
        <v>12402143.2352499</v>
      </c>
      <c r="K42" s="11" t="n">
        <f aca="false">IF(A42&gt;Inputs!$B$21*12,0,IF(A42&lt;=Inputs!$B$24*12,J42*(Inputs!$B$23/12),Returns!$C$11))</f>
        <v>79589.1468582233</v>
      </c>
      <c r="L42" s="11" t="n">
        <f aca="false">IF(A42&gt;Inputs!$B$21*12,0,J42*(Inputs!$B$23/12))</f>
        <v>67178.2758576038</v>
      </c>
      <c r="M42" s="11" t="n">
        <f aca="false">K42-L42</f>
        <v>12410.8710006195</v>
      </c>
      <c r="N42" s="11" t="n">
        <f aca="false">J42-M42</f>
        <v>12389732.3642493</v>
      </c>
    </row>
    <row r="43" customFormat="false" ht="15" hidden="false" customHeight="false" outlineLevel="0" collapsed="false">
      <c r="A43" s="2" t="n">
        <v>42</v>
      </c>
      <c r="B43" s="2" t="n">
        <f aca="false">ROUNDUP(A43/12,0)</f>
        <v>4</v>
      </c>
      <c r="C43" s="11" t="n">
        <f aca="false">SUM(INDEX(Mkt!$C$3:$ED$122,0,A43))</f>
        <v>212458.91061</v>
      </c>
      <c r="D43" s="11" t="n">
        <f aca="false">SUMIF(Units!$P$2:$P$121,"&lt;="&amp;A43,INDEX(Mkt!$C$3:$ED$122,0,A43))</f>
        <v>212458.91061</v>
      </c>
      <c r="E43" s="11" t="n">
        <f aca="false">SUM(INDEX(Rent!$C$3:$ED$122,0,A43))</f>
        <v>209613.2250775</v>
      </c>
      <c r="F43" s="11" t="n">
        <f aca="false">D43-E43</f>
        <v>2845.68553250001</v>
      </c>
      <c r="G43" s="11" t="n">
        <f aca="false">C43-D43</f>
        <v>0</v>
      </c>
      <c r="H43" s="2" t="n">
        <f aca="false">COUNTIF(Units!$P$2:$P$121,"&lt;="&amp;A43)</f>
        <v>120</v>
      </c>
      <c r="I43" s="11" t="n">
        <f aca="false">SUM(INDEX(Turnover!$C$3:$ED$122,0,A43))</f>
        <v>3278.181</v>
      </c>
      <c r="J43" s="11" t="n">
        <f aca="false">N42</f>
        <v>12389732.3642493</v>
      </c>
      <c r="K43" s="11" t="n">
        <f aca="false">IF(A43&gt;Inputs!$B$21*12,0,IF(A43&lt;=Inputs!$B$24*12,J43*(Inputs!$B$23/12),Returns!$C$11))</f>
        <v>79589.1468582233</v>
      </c>
      <c r="L43" s="11" t="n">
        <f aca="false">IF(A43&gt;Inputs!$B$21*12,0,J43*(Inputs!$B$23/12))</f>
        <v>67111.0503063505</v>
      </c>
      <c r="M43" s="11" t="n">
        <f aca="false">K43-L43</f>
        <v>12478.0965518728</v>
      </c>
      <c r="N43" s="11" t="n">
        <f aca="false">J43-M43</f>
        <v>12377254.2676974</v>
      </c>
    </row>
    <row r="44" customFormat="false" ht="15" hidden="false" customHeight="false" outlineLevel="0" collapsed="false">
      <c r="A44" s="2" t="n">
        <v>43</v>
      </c>
      <c r="B44" s="2" t="n">
        <f aca="false">ROUNDUP(A44/12,0)</f>
        <v>4</v>
      </c>
      <c r="C44" s="11" t="n">
        <f aca="false">SUM(INDEX(Mkt!$C$3:$ED$122,0,A44))</f>
        <v>212458.91061</v>
      </c>
      <c r="D44" s="11" t="n">
        <f aca="false">SUMIF(Units!$P$2:$P$121,"&lt;="&amp;A44,INDEX(Mkt!$C$3:$ED$122,0,A44))</f>
        <v>212458.91061</v>
      </c>
      <c r="E44" s="11" t="n">
        <f aca="false">SUM(INDEX(Rent!$C$3:$ED$122,0,A44))</f>
        <v>210133.52797125</v>
      </c>
      <c r="F44" s="11" t="n">
        <f aca="false">D44-E44</f>
        <v>2325.38263874999</v>
      </c>
      <c r="G44" s="11" t="n">
        <f aca="false">C44-D44</f>
        <v>0</v>
      </c>
      <c r="H44" s="2" t="n">
        <f aca="false">COUNTIF(Units!$P$2:$P$121,"&lt;="&amp;A44)</f>
        <v>120</v>
      </c>
      <c r="I44" s="11" t="n">
        <f aca="false">SUM(INDEX(Turnover!$C$3:$ED$122,0,A44))</f>
        <v>4917.2715</v>
      </c>
      <c r="J44" s="11" t="n">
        <f aca="false">N43</f>
        <v>12377254.2676974</v>
      </c>
      <c r="K44" s="11" t="n">
        <f aca="false">IF(A44&gt;Inputs!$B$21*12,0,IF(A44&lt;=Inputs!$B$24*12,J44*(Inputs!$B$23/12),Returns!$C$11))</f>
        <v>79589.1468582233</v>
      </c>
      <c r="L44" s="11" t="n">
        <f aca="false">IF(A44&gt;Inputs!$B$21*12,0,J44*(Inputs!$B$23/12))</f>
        <v>67043.4606166945</v>
      </c>
      <c r="M44" s="11" t="n">
        <f aca="false">K44-L44</f>
        <v>12545.6862415288</v>
      </c>
      <c r="N44" s="11" t="n">
        <f aca="false">J44-M44</f>
        <v>12364708.5814559</v>
      </c>
    </row>
    <row r="45" customFormat="false" ht="15" hidden="false" customHeight="false" outlineLevel="0" collapsed="false">
      <c r="A45" s="2" t="n">
        <v>44</v>
      </c>
      <c r="B45" s="2" t="n">
        <f aca="false">ROUNDUP(A45/12,0)</f>
        <v>4</v>
      </c>
      <c r="C45" s="11" t="n">
        <f aca="false">SUM(INDEX(Mkt!$C$3:$ED$122,0,A45))</f>
        <v>212458.91061</v>
      </c>
      <c r="D45" s="11" t="n">
        <f aca="false">SUMIF(Units!$P$2:$P$121,"&lt;="&amp;A45,INDEX(Mkt!$C$3:$ED$122,0,A45))</f>
        <v>212458.91061</v>
      </c>
      <c r="E45" s="11" t="n">
        <f aca="false">SUM(INDEX(Rent!$C$3:$ED$122,0,A45))</f>
        <v>210695.00238125</v>
      </c>
      <c r="F45" s="11" t="n">
        <f aca="false">D45-E45</f>
        <v>1763.90822874999</v>
      </c>
      <c r="G45" s="11" t="n">
        <f aca="false">C45-D45</f>
        <v>0</v>
      </c>
      <c r="H45" s="2" t="n">
        <f aca="false">COUNTIF(Units!$P$2:$P$121,"&lt;="&amp;A45)</f>
        <v>120</v>
      </c>
      <c r="I45" s="11" t="n">
        <f aca="false">SUM(INDEX(Turnover!$C$3:$ED$122,0,A45))</f>
        <v>5463.635</v>
      </c>
      <c r="J45" s="11" t="n">
        <f aca="false">N44</f>
        <v>12364708.5814559</v>
      </c>
      <c r="K45" s="11" t="n">
        <f aca="false">IF(A45&gt;Inputs!$B$21*12,0,IF(A45&lt;=Inputs!$B$24*12,J45*(Inputs!$B$23/12),Returns!$C$11))</f>
        <v>79589.1468582233</v>
      </c>
      <c r="L45" s="11" t="n">
        <f aca="false">IF(A45&gt;Inputs!$B$21*12,0,J45*(Inputs!$B$23/12))</f>
        <v>66975.5048162196</v>
      </c>
      <c r="M45" s="11" t="n">
        <f aca="false">K45-L45</f>
        <v>12613.6420420037</v>
      </c>
      <c r="N45" s="11" t="n">
        <f aca="false">J45-M45</f>
        <v>12352094.9394139</v>
      </c>
    </row>
    <row r="46" customFormat="false" ht="15" hidden="false" customHeight="false" outlineLevel="0" collapsed="false">
      <c r="A46" s="2" t="n">
        <v>45</v>
      </c>
      <c r="B46" s="2" t="n">
        <f aca="false">ROUNDUP(A46/12,0)</f>
        <v>4</v>
      </c>
      <c r="C46" s="11" t="n">
        <f aca="false">SUM(INDEX(Mkt!$C$3:$ED$122,0,A46))</f>
        <v>212458.91061</v>
      </c>
      <c r="D46" s="11" t="n">
        <f aca="false">SUMIF(Units!$P$2:$P$121,"&lt;="&amp;A46,INDEX(Mkt!$C$3:$ED$122,0,A46))</f>
        <v>212458.91061</v>
      </c>
      <c r="E46" s="11" t="n">
        <f aca="false">SUM(INDEX(Rent!$C$3:$ED$122,0,A46))</f>
        <v>211207.73535125</v>
      </c>
      <c r="F46" s="11" t="n">
        <f aca="false">D46-E46</f>
        <v>1251.17525875001</v>
      </c>
      <c r="G46" s="11" t="n">
        <f aca="false">C46-D46</f>
        <v>0</v>
      </c>
      <c r="H46" s="2" t="n">
        <f aca="false">COUNTIF(Units!$P$2:$P$121,"&lt;="&amp;A46)</f>
        <v>120</v>
      </c>
      <c r="I46" s="11" t="n">
        <f aca="false">SUM(INDEX(Turnover!$C$3:$ED$122,0,A46))</f>
        <v>6009.9985</v>
      </c>
      <c r="J46" s="11" t="n">
        <f aca="false">N45</f>
        <v>12352094.9394139</v>
      </c>
      <c r="K46" s="11" t="n">
        <f aca="false">IF(A46&gt;Inputs!$B$21*12,0,IF(A46&lt;=Inputs!$B$24*12,J46*(Inputs!$B$23/12),Returns!$C$11))</f>
        <v>79589.1468582233</v>
      </c>
      <c r="L46" s="11" t="n">
        <f aca="false">IF(A46&gt;Inputs!$B$21*12,0,J46*(Inputs!$B$23/12))</f>
        <v>66907.1809218254</v>
      </c>
      <c r="M46" s="11" t="n">
        <f aca="false">K46-L46</f>
        <v>12681.9659363979</v>
      </c>
      <c r="N46" s="11" t="n">
        <f aca="false">J46-M46</f>
        <v>12339412.9734775</v>
      </c>
    </row>
    <row r="47" customFormat="false" ht="15" hidden="false" customHeight="false" outlineLevel="0" collapsed="false">
      <c r="A47" s="2" t="n">
        <v>46</v>
      </c>
      <c r="B47" s="2" t="n">
        <f aca="false">ROUNDUP(A47/12,0)</f>
        <v>4</v>
      </c>
      <c r="C47" s="11" t="n">
        <f aca="false">SUM(INDEX(Mkt!$C$3:$ED$122,0,A47))</f>
        <v>212458.91061</v>
      </c>
      <c r="D47" s="11" t="n">
        <f aca="false">SUMIF(Units!$P$2:$P$121,"&lt;="&amp;A47,INDEX(Mkt!$C$3:$ED$122,0,A47))</f>
        <v>212458.91061</v>
      </c>
      <c r="E47" s="11" t="n">
        <f aca="false">SUM(INDEX(Rent!$C$3:$ED$122,0,A47))</f>
        <v>211585.57773</v>
      </c>
      <c r="F47" s="11" t="n">
        <f aca="false">D47-E47</f>
        <v>873.332880000002</v>
      </c>
      <c r="G47" s="11" t="n">
        <f aca="false">C47-D47</f>
        <v>0</v>
      </c>
      <c r="H47" s="2" t="n">
        <f aca="false">COUNTIF(Units!$P$2:$P$121,"&lt;="&amp;A47)</f>
        <v>120</v>
      </c>
      <c r="I47" s="11" t="n">
        <f aca="false">SUM(INDEX(Turnover!$C$3:$ED$122,0,A47))</f>
        <v>3824.5445</v>
      </c>
      <c r="J47" s="11" t="n">
        <f aca="false">N46</f>
        <v>12339412.9734775</v>
      </c>
      <c r="K47" s="11" t="n">
        <f aca="false">IF(A47&gt;Inputs!$B$21*12,0,IF(A47&lt;=Inputs!$B$24*12,J47*(Inputs!$B$23/12),Returns!$C$11))</f>
        <v>79589.1468582233</v>
      </c>
      <c r="L47" s="11" t="n">
        <f aca="false">IF(A47&gt;Inputs!$B$21*12,0,J47*(Inputs!$B$23/12))</f>
        <v>66838.4869396699</v>
      </c>
      <c r="M47" s="11" t="n">
        <f aca="false">K47-L47</f>
        <v>12750.6599185534</v>
      </c>
      <c r="N47" s="11" t="n">
        <f aca="false">J47-M47</f>
        <v>12326662.313559</v>
      </c>
    </row>
    <row r="48" customFormat="false" ht="15" hidden="false" customHeight="false" outlineLevel="0" collapsed="false">
      <c r="A48" s="2" t="n">
        <v>47</v>
      </c>
      <c r="B48" s="2" t="n">
        <f aca="false">ROUNDUP(A48/12,0)</f>
        <v>4</v>
      </c>
      <c r="C48" s="11" t="n">
        <f aca="false">SUM(INDEX(Mkt!$C$3:$ED$122,0,A48))</f>
        <v>212458.91061</v>
      </c>
      <c r="D48" s="11" t="n">
        <f aca="false">SUMIF(Units!$P$2:$P$121,"&lt;="&amp;A48,INDEX(Mkt!$C$3:$ED$122,0,A48))</f>
        <v>212458.91061</v>
      </c>
      <c r="E48" s="11" t="n">
        <f aca="false">SUM(INDEX(Rent!$C$3:$ED$122,0,A48))</f>
        <v>211954.13439</v>
      </c>
      <c r="F48" s="11" t="n">
        <f aca="false">D48-E48</f>
        <v>504.77622</v>
      </c>
      <c r="G48" s="11" t="n">
        <f aca="false">C48-D48</f>
        <v>0</v>
      </c>
      <c r="H48" s="2" t="n">
        <f aca="false">COUNTIF(Units!$P$2:$P$121,"&lt;="&amp;A48)</f>
        <v>120</v>
      </c>
      <c r="I48" s="11" t="n">
        <f aca="false">SUM(INDEX(Turnover!$C$3:$ED$122,0,A48))</f>
        <v>3824.5445</v>
      </c>
      <c r="J48" s="11" t="n">
        <f aca="false">N47</f>
        <v>12326662.313559</v>
      </c>
      <c r="K48" s="11" t="n">
        <f aca="false">IF(A48&gt;Inputs!$B$21*12,0,IF(A48&lt;=Inputs!$B$24*12,J48*(Inputs!$B$23/12),Returns!$C$11))</f>
        <v>79589.1468582233</v>
      </c>
      <c r="L48" s="11" t="n">
        <f aca="false">IF(A48&gt;Inputs!$B$21*12,0,J48*(Inputs!$B$23/12))</f>
        <v>66769.420865111</v>
      </c>
      <c r="M48" s="11" t="n">
        <f aca="false">K48-L48</f>
        <v>12819.7259931123</v>
      </c>
      <c r="N48" s="11" t="n">
        <f aca="false">J48-M48</f>
        <v>12313842.5875658</v>
      </c>
    </row>
    <row r="49" customFormat="false" ht="15" hidden="false" customHeight="false" outlineLevel="0" collapsed="false">
      <c r="A49" s="2" t="n">
        <v>48</v>
      </c>
      <c r="B49" s="2" t="n">
        <f aca="false">ROUNDUP(A49/12,0)</f>
        <v>4</v>
      </c>
      <c r="C49" s="11" t="n">
        <f aca="false">SUM(INDEX(Mkt!$C$3:$ED$122,0,A49))</f>
        <v>212458.91061</v>
      </c>
      <c r="D49" s="11" t="n">
        <f aca="false">SUMIF(Units!$P$2:$P$121,"&lt;="&amp;A49,INDEX(Mkt!$C$3:$ED$122,0,A49))</f>
        <v>212458.91061</v>
      </c>
      <c r="E49" s="11" t="n">
        <f aca="false">SUM(INDEX(Rent!$C$3:$ED$122,0,A49))</f>
        <v>212458.91061</v>
      </c>
      <c r="F49" s="11" t="n">
        <f aca="false">D49-E49</f>
        <v>0</v>
      </c>
      <c r="G49" s="11" t="n">
        <f aca="false">C49-D49</f>
        <v>0</v>
      </c>
      <c r="H49" s="2" t="n">
        <f aca="false">COUNTIF(Units!$P$2:$P$121,"&lt;="&amp;A49)</f>
        <v>120</v>
      </c>
      <c r="I49" s="11" t="n">
        <f aca="false">SUM(INDEX(Turnover!$C$3:$ED$122,0,A49))</f>
        <v>5463.635</v>
      </c>
      <c r="J49" s="11" t="n">
        <f aca="false">N48</f>
        <v>12313842.5875658</v>
      </c>
      <c r="K49" s="11" t="n">
        <f aca="false">IF(A49&gt;Inputs!$B$21*12,0,IF(A49&lt;=Inputs!$B$24*12,J49*(Inputs!$B$23/12),Returns!$C$11))</f>
        <v>79589.1468582233</v>
      </c>
      <c r="L49" s="11" t="n">
        <f aca="false">IF(A49&gt;Inputs!$B$21*12,0,J49*(Inputs!$B$23/12))</f>
        <v>66699.9806826483</v>
      </c>
      <c r="M49" s="11" t="n">
        <f aca="false">K49-L49</f>
        <v>12889.1661755749</v>
      </c>
      <c r="N49" s="11" t="n">
        <f aca="false">J49-M49</f>
        <v>12300953.4213903</v>
      </c>
    </row>
    <row r="50" customFormat="false" ht="15" hidden="false" customHeight="false" outlineLevel="0" collapsed="false">
      <c r="A50" s="2" t="n">
        <v>49</v>
      </c>
      <c r="B50" s="2" t="n">
        <f aca="false">ROUNDUP(A50/12,0)</f>
        <v>5</v>
      </c>
      <c r="C50" s="11" t="n">
        <f aca="false">SUM(INDEX(Mkt!$C$3:$ED$122,0,A50))</f>
        <v>218832.6779283</v>
      </c>
      <c r="D50" s="11" t="n">
        <f aca="false">SUMIF(Units!$P$2:$P$121,"&lt;="&amp;A50,INDEX(Mkt!$C$3:$ED$122,0,A50))</f>
        <v>218832.6779283</v>
      </c>
      <c r="E50" s="11" t="n">
        <f aca="false">SUM(INDEX(Rent!$C$3:$ED$122,0,A50))</f>
        <v>213553.00351875</v>
      </c>
      <c r="F50" s="11" t="n">
        <f aca="false">D50-E50</f>
        <v>5279.67440955003</v>
      </c>
      <c r="G50" s="11" t="n">
        <f aca="false">C50-D50</f>
        <v>0</v>
      </c>
      <c r="H50" s="2" t="n">
        <f aca="false">COUNTIF(Units!$P$2:$P$121,"&lt;="&amp;A50)</f>
        <v>120</v>
      </c>
      <c r="I50" s="11" t="n">
        <f aca="false">SUM(INDEX(Turnover!$C$3:$ED$122,0,A50))</f>
        <v>11817.842505</v>
      </c>
      <c r="J50" s="11" t="n">
        <f aca="false">N49</f>
        <v>12300953.4213903</v>
      </c>
      <c r="K50" s="11" t="n">
        <f aca="false">IF(A50&gt;Inputs!$B$21*12,0,IF(A50&lt;=Inputs!$B$24*12,J50*(Inputs!$B$23/12),Returns!$C$11))</f>
        <v>79589.1468582233</v>
      </c>
      <c r="L50" s="11" t="n">
        <f aca="false">IF(A50&gt;Inputs!$B$21*12,0,J50*(Inputs!$B$23/12))</f>
        <v>66630.164365864</v>
      </c>
      <c r="M50" s="11" t="n">
        <f aca="false">K50-L50</f>
        <v>12958.9824923593</v>
      </c>
      <c r="N50" s="11" t="n">
        <f aca="false">J50-M50</f>
        <v>12287994.4388979</v>
      </c>
    </row>
    <row r="51" customFormat="false" ht="15" hidden="false" customHeight="false" outlineLevel="0" collapsed="false">
      <c r="A51" s="2" t="n">
        <v>50</v>
      </c>
      <c r="B51" s="2" t="n">
        <f aca="false">ROUNDUP(A51/12,0)</f>
        <v>5</v>
      </c>
      <c r="C51" s="11" t="n">
        <f aca="false">SUM(INDEX(Mkt!$C$3:$ED$122,0,A51))</f>
        <v>218832.6779283</v>
      </c>
      <c r="D51" s="11" t="n">
        <f aca="false">SUMIF(Units!$P$2:$P$121,"&lt;="&amp;A51,INDEX(Mkt!$C$3:$ED$122,0,A51))</f>
        <v>218832.6779283</v>
      </c>
      <c r="E51" s="11" t="n">
        <f aca="false">SUM(INDEX(Rent!$C$3:$ED$122,0,A51))</f>
        <v>214122.9152856</v>
      </c>
      <c r="F51" s="11" t="n">
        <f aca="false">D51-E51</f>
        <v>4709.76264270002</v>
      </c>
      <c r="G51" s="11" t="n">
        <f aca="false">C51-D51</f>
        <v>0</v>
      </c>
      <c r="H51" s="2" t="n">
        <f aca="false">COUNTIF(Units!$P$2:$P$121,"&lt;="&amp;A51)</f>
        <v>120</v>
      </c>
      <c r="I51" s="11" t="n">
        <f aca="false">SUM(INDEX(Turnover!$C$3:$ED$122,0,A51))</f>
        <v>6190.298455</v>
      </c>
      <c r="J51" s="11" t="n">
        <f aca="false">N50</f>
        <v>12287994.4388979</v>
      </c>
      <c r="K51" s="11" t="n">
        <f aca="false">IF(A51&gt;Inputs!$B$21*12,0,IF(A51&lt;=Inputs!$B$24*12,J51*(Inputs!$B$23/12),Returns!$C$11))</f>
        <v>79589.1468582233</v>
      </c>
      <c r="L51" s="11" t="n">
        <f aca="false">IF(A51&gt;Inputs!$B$21*12,0,J51*(Inputs!$B$23/12))</f>
        <v>66559.9698773637</v>
      </c>
      <c r="M51" s="11" t="n">
        <f aca="false">K51-L51</f>
        <v>13029.1769808596</v>
      </c>
      <c r="N51" s="11" t="n">
        <f aca="false">J51-M51</f>
        <v>12274965.2619171</v>
      </c>
    </row>
    <row r="52" customFormat="false" ht="15" hidden="false" customHeight="false" outlineLevel="0" collapsed="false">
      <c r="A52" s="2" t="n">
        <v>51</v>
      </c>
      <c r="B52" s="2" t="n">
        <f aca="false">ROUNDUP(A52/12,0)</f>
        <v>5</v>
      </c>
      <c r="C52" s="11" t="n">
        <f aca="false">SUM(INDEX(Mkt!$C$3:$ED$122,0,A52))</f>
        <v>218832.6779283</v>
      </c>
      <c r="D52" s="11" t="n">
        <f aca="false">SUMIF(Units!$P$2:$P$121,"&lt;="&amp;A52,INDEX(Mkt!$C$3:$ED$122,0,A52))</f>
        <v>218832.6779283</v>
      </c>
      <c r="E52" s="11" t="n">
        <f aca="false">SUM(INDEX(Rent!$C$3:$ED$122,0,A52))</f>
        <v>214815.43102185</v>
      </c>
      <c r="F52" s="11" t="n">
        <f aca="false">D52-E52</f>
        <v>4017.24690645002</v>
      </c>
      <c r="G52" s="11" t="n">
        <f aca="false">C52-D52</f>
        <v>0</v>
      </c>
      <c r="H52" s="2" t="n">
        <f aca="false">COUNTIF(Units!$P$2:$P$121,"&lt;="&amp;A52)</f>
        <v>120</v>
      </c>
      <c r="I52" s="11" t="n">
        <f aca="false">SUM(INDEX(Turnover!$C$3:$ED$122,0,A52))</f>
        <v>6753.05286</v>
      </c>
      <c r="J52" s="11" t="n">
        <f aca="false">N51</f>
        <v>12274965.2619171</v>
      </c>
      <c r="K52" s="11" t="n">
        <f aca="false">IF(A52&gt;Inputs!$B$21*12,0,IF(A52&lt;=Inputs!$B$24*12,J52*(Inputs!$B$23/12),Returns!$C$11))</f>
        <v>79589.1468582233</v>
      </c>
      <c r="L52" s="11" t="n">
        <f aca="false">IF(A52&gt;Inputs!$B$21*12,0,J52*(Inputs!$B$23/12))</f>
        <v>66489.3951687174</v>
      </c>
      <c r="M52" s="11" t="n">
        <f aca="false">K52-L52</f>
        <v>13099.7516895059</v>
      </c>
      <c r="N52" s="11" t="n">
        <f aca="false">J52-M52</f>
        <v>12261865.5102275</v>
      </c>
    </row>
    <row r="53" customFormat="false" ht="15" hidden="false" customHeight="false" outlineLevel="0" collapsed="false">
      <c r="A53" s="2" t="n">
        <v>52</v>
      </c>
      <c r="B53" s="2" t="n">
        <f aca="false">ROUNDUP(A53/12,0)</f>
        <v>5</v>
      </c>
      <c r="C53" s="11" t="n">
        <f aca="false">SUM(INDEX(Mkt!$C$3:$ED$122,0,A53))</f>
        <v>218832.6779283</v>
      </c>
      <c r="D53" s="11" t="n">
        <f aca="false">SUMIF(Units!$P$2:$P$121,"&lt;="&amp;A53,INDEX(Mkt!$C$3:$ED$122,0,A53))</f>
        <v>218832.6779283</v>
      </c>
      <c r="E53" s="11" t="n">
        <f aca="false">SUM(INDEX(Rent!$C$3:$ED$122,0,A53))</f>
        <v>215376.8195181</v>
      </c>
      <c r="F53" s="11" t="n">
        <f aca="false">D53-E53</f>
        <v>3455.85841020002</v>
      </c>
      <c r="G53" s="11" t="n">
        <f aca="false">C53-D53</f>
        <v>0</v>
      </c>
      <c r="H53" s="2" t="n">
        <f aca="false">COUNTIF(Units!$P$2:$P$121,"&lt;="&amp;A53)</f>
        <v>120</v>
      </c>
      <c r="I53" s="11" t="n">
        <f aca="false">SUM(INDEX(Turnover!$C$3:$ED$122,0,A53))</f>
        <v>6190.298455</v>
      </c>
      <c r="J53" s="11" t="n">
        <f aca="false">N52</f>
        <v>12261865.5102275</v>
      </c>
      <c r="K53" s="11" t="n">
        <f aca="false">IF(A53&gt;Inputs!$B$21*12,0,IF(A53&lt;=Inputs!$B$24*12,J53*(Inputs!$B$23/12),Returns!$C$11))</f>
        <v>79589.1468582233</v>
      </c>
      <c r="L53" s="11" t="n">
        <f aca="false">IF(A53&gt;Inputs!$B$21*12,0,J53*(Inputs!$B$23/12))</f>
        <v>66418.4381803992</v>
      </c>
      <c r="M53" s="11" t="n">
        <f aca="false">K53-L53</f>
        <v>13170.7086778241</v>
      </c>
      <c r="N53" s="11" t="n">
        <f aca="false">J53-M53</f>
        <v>12248694.8015497</v>
      </c>
    </row>
    <row r="54" customFormat="false" ht="15" hidden="false" customHeight="false" outlineLevel="0" collapsed="false">
      <c r="A54" s="2" t="n">
        <v>53</v>
      </c>
      <c r="B54" s="2" t="n">
        <f aca="false">ROUNDUP(A54/12,0)</f>
        <v>5</v>
      </c>
      <c r="C54" s="11" t="n">
        <f aca="false">SUM(INDEX(Mkt!$C$3:$ED$122,0,A54))</f>
        <v>218832.6779283</v>
      </c>
      <c r="D54" s="11" t="n">
        <f aca="false">SUMIF(Units!$P$2:$P$121,"&lt;="&amp;A54,INDEX(Mkt!$C$3:$ED$122,0,A54))</f>
        <v>218832.6779283</v>
      </c>
      <c r="E54" s="11" t="n">
        <f aca="false">SUM(INDEX(Rent!$C$3:$ED$122,0,A54))</f>
        <v>215633.00936325</v>
      </c>
      <c r="F54" s="11" t="n">
        <f aca="false">D54-E54</f>
        <v>3199.66856505</v>
      </c>
      <c r="G54" s="11" t="n">
        <f aca="false">C54-D54</f>
        <v>0</v>
      </c>
      <c r="H54" s="2" t="n">
        <f aca="false">COUNTIF(Units!$P$2:$P$121,"&lt;="&amp;A54)</f>
        <v>120</v>
      </c>
      <c r="I54" s="11" t="n">
        <f aca="false">SUM(INDEX(Turnover!$C$3:$ED$122,0,A54))</f>
        <v>2813.772025</v>
      </c>
      <c r="J54" s="11" t="n">
        <f aca="false">N53</f>
        <v>12248694.8015497</v>
      </c>
      <c r="K54" s="11" t="n">
        <f aca="false">IF(A54&gt;Inputs!$B$21*12,0,IF(A54&lt;=Inputs!$B$24*12,J54*(Inputs!$B$23/12),Returns!$C$11))</f>
        <v>79589.1468582233</v>
      </c>
      <c r="L54" s="11" t="n">
        <f aca="false">IF(A54&gt;Inputs!$B$21*12,0,J54*(Inputs!$B$23/12))</f>
        <v>66347.0968417277</v>
      </c>
      <c r="M54" s="11" t="n">
        <f aca="false">K54-L54</f>
        <v>13242.0500164956</v>
      </c>
      <c r="N54" s="11" t="n">
        <f aca="false">J54-M54</f>
        <v>12235452.7515332</v>
      </c>
    </row>
    <row r="55" customFormat="false" ht="15" hidden="false" customHeight="false" outlineLevel="0" collapsed="false">
      <c r="A55" s="2" t="n">
        <v>54</v>
      </c>
      <c r="B55" s="2" t="n">
        <f aca="false">ROUNDUP(A55/12,0)</f>
        <v>5</v>
      </c>
      <c r="C55" s="11" t="n">
        <f aca="false">SUM(INDEX(Mkt!$C$3:$ED$122,0,A55))</f>
        <v>218832.6779283</v>
      </c>
      <c r="D55" s="11" t="n">
        <f aca="false">SUMIF(Units!$P$2:$P$121,"&lt;="&amp;A55,INDEX(Mkt!$C$3:$ED$122,0,A55))</f>
        <v>218832.6779283</v>
      </c>
      <c r="E55" s="11" t="n">
        <f aca="false">SUM(INDEX(Rent!$C$3:$ED$122,0,A55))</f>
        <v>215936.0771967</v>
      </c>
      <c r="F55" s="11" t="n">
        <f aca="false">D55-E55</f>
        <v>2896.60073160002</v>
      </c>
      <c r="G55" s="11" t="n">
        <f aca="false">C55-D55</f>
        <v>0</v>
      </c>
      <c r="H55" s="2" t="n">
        <f aca="false">COUNTIF(Units!$P$2:$P$121,"&lt;="&amp;A55)</f>
        <v>120</v>
      </c>
      <c r="I55" s="11" t="n">
        <f aca="false">SUM(INDEX(Turnover!$C$3:$ED$122,0,A55))</f>
        <v>3376.52643</v>
      </c>
      <c r="J55" s="11" t="n">
        <f aca="false">N54</f>
        <v>12235452.7515332</v>
      </c>
      <c r="K55" s="11" t="n">
        <f aca="false">IF(A55&gt;Inputs!$B$21*12,0,IF(A55&lt;=Inputs!$B$24*12,J55*(Inputs!$B$23/12),Returns!$C$11))</f>
        <v>79589.1468582233</v>
      </c>
      <c r="L55" s="11" t="n">
        <f aca="false">IF(A55&gt;Inputs!$B$21*12,0,J55*(Inputs!$B$23/12))</f>
        <v>66275.369070805</v>
      </c>
      <c r="M55" s="11" t="n">
        <f aca="false">K55-L55</f>
        <v>13313.7777874183</v>
      </c>
      <c r="N55" s="11" t="n">
        <f aca="false">J55-M55</f>
        <v>12222138.9737458</v>
      </c>
    </row>
    <row r="56" customFormat="false" ht="15" hidden="false" customHeight="false" outlineLevel="0" collapsed="false">
      <c r="A56" s="2" t="n">
        <v>55</v>
      </c>
      <c r="B56" s="2" t="n">
        <f aca="false">ROUNDUP(A56/12,0)</f>
        <v>5</v>
      </c>
      <c r="C56" s="11" t="n">
        <f aca="false">SUM(INDEX(Mkt!$C$3:$ED$122,0,A56))</f>
        <v>218832.6779283</v>
      </c>
      <c r="D56" s="11" t="n">
        <f aca="false">SUMIF(Units!$P$2:$P$121,"&lt;="&amp;A56,INDEX(Mkt!$C$3:$ED$122,0,A56))</f>
        <v>218832.6779283</v>
      </c>
      <c r="E56" s="11" t="n">
        <f aca="false">SUM(INDEX(Rent!$C$3:$ED$122,0,A56))</f>
        <v>216457.3079757</v>
      </c>
      <c r="F56" s="11" t="n">
        <f aca="false">D56-E56</f>
        <v>2375.36995260001</v>
      </c>
      <c r="G56" s="11" t="n">
        <f aca="false">C56-D56</f>
        <v>0</v>
      </c>
      <c r="H56" s="2" t="n">
        <f aca="false">COUNTIF(Units!$P$2:$P$121,"&lt;="&amp;A56)</f>
        <v>120</v>
      </c>
      <c r="I56" s="11" t="n">
        <f aca="false">SUM(INDEX(Turnover!$C$3:$ED$122,0,A56))</f>
        <v>5064.789645</v>
      </c>
      <c r="J56" s="11" t="n">
        <f aca="false">N55</f>
        <v>12222138.9737458</v>
      </c>
      <c r="K56" s="11" t="n">
        <f aca="false">IF(A56&gt;Inputs!$B$21*12,0,IF(A56&lt;=Inputs!$B$24*12,J56*(Inputs!$B$23/12),Returns!$C$11))</f>
        <v>79589.1468582233</v>
      </c>
      <c r="L56" s="11" t="n">
        <f aca="false">IF(A56&gt;Inputs!$B$21*12,0,J56*(Inputs!$B$23/12))</f>
        <v>66203.2527744565</v>
      </c>
      <c r="M56" s="11" t="n">
        <f aca="false">K56-L56</f>
        <v>13385.8940837668</v>
      </c>
      <c r="N56" s="11" t="n">
        <f aca="false">J56-M56</f>
        <v>12208753.079662</v>
      </c>
    </row>
    <row r="57" customFormat="false" ht="15" hidden="false" customHeight="false" outlineLevel="0" collapsed="false">
      <c r="A57" s="2" t="n">
        <v>56</v>
      </c>
      <c r="B57" s="2" t="n">
        <f aca="false">ROUNDUP(A57/12,0)</f>
        <v>5</v>
      </c>
      <c r="C57" s="11" t="n">
        <f aca="false">SUM(INDEX(Mkt!$C$3:$ED$122,0,A57))</f>
        <v>218832.6779283</v>
      </c>
      <c r="D57" s="11" t="n">
        <f aca="false">SUMIF(Units!$P$2:$P$121,"&lt;="&amp;A57,INDEX(Mkt!$C$3:$ED$122,0,A57))</f>
        <v>218832.6779283</v>
      </c>
      <c r="E57" s="11" t="n">
        <f aca="false">SUM(INDEX(Rent!$C$3:$ED$122,0,A57))</f>
        <v>217025.416743</v>
      </c>
      <c r="F57" s="11" t="n">
        <f aca="false">D57-E57</f>
        <v>1807.26118530001</v>
      </c>
      <c r="G57" s="11" t="n">
        <f aca="false">C57-D57</f>
        <v>0</v>
      </c>
      <c r="H57" s="2" t="n">
        <f aca="false">COUNTIF(Units!$P$2:$P$121,"&lt;="&amp;A57)</f>
        <v>120</v>
      </c>
      <c r="I57" s="11" t="n">
        <f aca="false">SUM(INDEX(Turnover!$C$3:$ED$122,0,A57))</f>
        <v>5627.54405</v>
      </c>
      <c r="J57" s="11" t="n">
        <f aca="false">N56</f>
        <v>12208753.079662</v>
      </c>
      <c r="K57" s="11" t="n">
        <f aca="false">IF(A57&gt;Inputs!$B$21*12,0,IF(A57&lt;=Inputs!$B$24*12,J57*(Inputs!$B$23/12),Returns!$C$11))</f>
        <v>79589.1468582233</v>
      </c>
      <c r="L57" s="11" t="n">
        <f aca="false">IF(A57&gt;Inputs!$B$21*12,0,J57*(Inputs!$B$23/12))</f>
        <v>66130.7458481694</v>
      </c>
      <c r="M57" s="11" t="n">
        <f aca="false">K57-L57</f>
        <v>13458.4010100539</v>
      </c>
      <c r="N57" s="11" t="n">
        <f aca="false">J57-M57</f>
        <v>12195294.678652</v>
      </c>
    </row>
    <row r="58" customFormat="false" ht="15" hidden="false" customHeight="false" outlineLevel="0" collapsed="false">
      <c r="A58" s="2" t="n">
        <v>57</v>
      </c>
      <c r="B58" s="2" t="n">
        <f aca="false">ROUNDUP(A58/12,0)</f>
        <v>5</v>
      </c>
      <c r="C58" s="11" t="n">
        <f aca="false">SUM(INDEX(Mkt!$C$3:$ED$122,0,A58))</f>
        <v>218832.6779283</v>
      </c>
      <c r="D58" s="11" t="n">
        <f aca="false">SUMIF(Units!$P$2:$P$121,"&lt;="&amp;A58,INDEX(Mkt!$C$3:$ED$122,0,A58))</f>
        <v>218832.6779283</v>
      </c>
      <c r="E58" s="11" t="n">
        <f aca="false">SUM(INDEX(Rent!$C$3:$ED$122,0,A58))</f>
        <v>217553.5317021</v>
      </c>
      <c r="F58" s="11" t="n">
        <f aca="false">D58-E58</f>
        <v>1279.14622620001</v>
      </c>
      <c r="G58" s="11" t="n">
        <f aca="false">C58-D58</f>
        <v>0</v>
      </c>
      <c r="H58" s="2" t="n">
        <f aca="false">COUNTIF(Units!$P$2:$P$121,"&lt;="&amp;A58)</f>
        <v>120</v>
      </c>
      <c r="I58" s="11" t="n">
        <f aca="false">SUM(INDEX(Turnover!$C$3:$ED$122,0,A58))</f>
        <v>6190.298455</v>
      </c>
      <c r="J58" s="11" t="n">
        <f aca="false">N57</f>
        <v>12195294.678652</v>
      </c>
      <c r="K58" s="11" t="n">
        <f aca="false">IF(A58&gt;Inputs!$B$21*12,0,IF(A58&lt;=Inputs!$B$24*12,J58*(Inputs!$B$23/12),Returns!$C$11))</f>
        <v>79589.1468582233</v>
      </c>
      <c r="L58" s="11" t="n">
        <f aca="false">IF(A58&gt;Inputs!$B$21*12,0,J58*(Inputs!$B$23/12))</f>
        <v>66057.8461760316</v>
      </c>
      <c r="M58" s="11" t="n">
        <f aca="false">K58-L58</f>
        <v>13531.3006821917</v>
      </c>
      <c r="N58" s="11" t="n">
        <f aca="false">J58-M58</f>
        <v>12181763.3779698</v>
      </c>
    </row>
    <row r="59" customFormat="false" ht="15" hidden="false" customHeight="false" outlineLevel="0" collapsed="false">
      <c r="A59" s="2" t="n">
        <v>58</v>
      </c>
      <c r="B59" s="2" t="n">
        <f aca="false">ROUNDUP(A59/12,0)</f>
        <v>5</v>
      </c>
      <c r="C59" s="11" t="n">
        <f aca="false">SUM(INDEX(Mkt!$C$3:$ED$122,0,A59))</f>
        <v>218832.6779283</v>
      </c>
      <c r="D59" s="11" t="n">
        <f aca="false">SUMIF(Units!$P$2:$P$121,"&lt;="&amp;A59,INDEX(Mkt!$C$3:$ED$122,0,A59))</f>
        <v>218832.6779283</v>
      </c>
      <c r="E59" s="11" t="n">
        <f aca="false">SUM(INDEX(Rent!$C$3:$ED$122,0,A59))</f>
        <v>217933.1450619</v>
      </c>
      <c r="F59" s="11" t="n">
        <f aca="false">D59-E59</f>
        <v>899.532866399997</v>
      </c>
      <c r="G59" s="11" t="n">
        <f aca="false">C59-D59</f>
        <v>0</v>
      </c>
      <c r="H59" s="2" t="n">
        <f aca="false">COUNTIF(Units!$P$2:$P$121,"&lt;="&amp;A59)</f>
        <v>120</v>
      </c>
      <c r="I59" s="11" t="n">
        <f aca="false">SUM(INDEX(Turnover!$C$3:$ED$122,0,A59))</f>
        <v>3939.280835</v>
      </c>
      <c r="J59" s="11" t="n">
        <f aca="false">N58</f>
        <v>12181763.3779698</v>
      </c>
      <c r="K59" s="11" t="n">
        <f aca="false">IF(A59&gt;Inputs!$B$21*12,0,IF(A59&lt;=Inputs!$B$24*12,J59*(Inputs!$B$23/12),Returns!$C$11))</f>
        <v>79589.1468582233</v>
      </c>
      <c r="L59" s="11" t="n">
        <f aca="false">IF(A59&gt;Inputs!$B$21*12,0,J59*(Inputs!$B$23/12))</f>
        <v>65984.5516306697</v>
      </c>
      <c r="M59" s="11" t="n">
        <f aca="false">K59-L59</f>
        <v>13604.5952275535</v>
      </c>
      <c r="N59" s="11" t="n">
        <f aca="false">J59-M59</f>
        <v>12168158.7827422</v>
      </c>
    </row>
    <row r="60" customFormat="false" ht="15" hidden="false" customHeight="false" outlineLevel="0" collapsed="false">
      <c r="A60" s="2" t="n">
        <v>59</v>
      </c>
      <c r="B60" s="2" t="n">
        <f aca="false">ROUNDUP(A60/12,0)</f>
        <v>5</v>
      </c>
      <c r="C60" s="11" t="n">
        <f aca="false">SUM(INDEX(Mkt!$C$3:$ED$122,0,A60))</f>
        <v>218832.6779283</v>
      </c>
      <c r="D60" s="11" t="n">
        <f aca="false">SUMIF(Units!$P$2:$P$121,"&lt;="&amp;A60,INDEX(Mkt!$C$3:$ED$122,0,A60))</f>
        <v>218832.6779283</v>
      </c>
      <c r="E60" s="11" t="n">
        <f aca="false">SUM(INDEX(Rent!$C$3:$ED$122,0,A60))</f>
        <v>218312.7584217</v>
      </c>
      <c r="F60" s="11" t="n">
        <f aca="false">D60-E60</f>
        <v>519.91950660001</v>
      </c>
      <c r="G60" s="11" t="n">
        <f aca="false">C60-D60</f>
        <v>0</v>
      </c>
      <c r="H60" s="2" t="n">
        <f aca="false">COUNTIF(Units!$P$2:$P$121,"&lt;="&amp;A60)</f>
        <v>120</v>
      </c>
      <c r="I60" s="11" t="n">
        <f aca="false">SUM(INDEX(Turnover!$C$3:$ED$122,0,A60))</f>
        <v>3939.280835</v>
      </c>
      <c r="J60" s="11" t="n">
        <f aca="false">N59</f>
        <v>12168158.7827422</v>
      </c>
      <c r="K60" s="11" t="n">
        <f aca="false">IF(A60&gt;Inputs!$B$21*12,0,IF(A60&lt;=Inputs!$B$24*12,J60*(Inputs!$B$23/12),Returns!$C$11))</f>
        <v>79589.1468582233</v>
      </c>
      <c r="L60" s="11" t="n">
        <f aca="false">IF(A60&gt;Inputs!$B$21*12,0,J60*(Inputs!$B$23/12))</f>
        <v>65910.8600731872</v>
      </c>
      <c r="M60" s="11" t="n">
        <f aca="false">K60-L60</f>
        <v>13678.2867850361</v>
      </c>
      <c r="N60" s="11" t="n">
        <f aca="false">J60-M60</f>
        <v>12154480.4959572</v>
      </c>
    </row>
    <row r="61" customFormat="false" ht="15" hidden="false" customHeight="false" outlineLevel="0" collapsed="false">
      <c r="A61" s="2" t="n">
        <v>60</v>
      </c>
      <c r="B61" s="2" t="n">
        <f aca="false">ROUNDUP(A61/12,0)</f>
        <v>5</v>
      </c>
      <c r="C61" s="11" t="n">
        <f aca="false">SUM(INDEX(Mkt!$C$3:$ED$122,0,A61))</f>
        <v>218832.6779283</v>
      </c>
      <c r="D61" s="11" t="n">
        <f aca="false">SUMIF(Units!$P$2:$P$121,"&lt;="&amp;A61,INDEX(Mkt!$C$3:$ED$122,0,A61))</f>
        <v>218832.6779283</v>
      </c>
      <c r="E61" s="11" t="n">
        <f aca="false">SUM(INDEX(Rent!$C$3:$ED$122,0,A61))</f>
        <v>218832.6779283</v>
      </c>
      <c r="F61" s="11" t="n">
        <f aca="false">D61-E61</f>
        <v>0</v>
      </c>
      <c r="G61" s="11" t="n">
        <f aca="false">C61-D61</f>
        <v>0</v>
      </c>
      <c r="H61" s="2" t="n">
        <f aca="false">COUNTIF(Units!$P$2:$P$121,"&lt;="&amp;A61)</f>
        <v>120</v>
      </c>
      <c r="I61" s="11" t="n">
        <f aca="false">SUM(INDEX(Turnover!$C$3:$ED$122,0,A61))</f>
        <v>5627.54405</v>
      </c>
      <c r="J61" s="11" t="n">
        <f aca="false">N60</f>
        <v>12154480.4959572</v>
      </c>
      <c r="K61" s="11" t="n">
        <f aca="false">IF(A61&gt;Inputs!$B$21*12,0,IF(A61&lt;=Inputs!$B$24*12,J61*(Inputs!$B$23/12),Returns!$C$11))</f>
        <v>79589.1468582233</v>
      </c>
      <c r="L61" s="11" t="n">
        <f aca="false">IF(A61&gt;Inputs!$B$21*12,0,J61*(Inputs!$B$23/12))</f>
        <v>65836.7693531015</v>
      </c>
      <c r="M61" s="11" t="n">
        <f aca="false">K61-L61</f>
        <v>13752.3775051217</v>
      </c>
      <c r="N61" s="11" t="n">
        <f aca="false">J61-M61</f>
        <v>12140728.1184521</v>
      </c>
    </row>
    <row r="62" customFormat="false" ht="15" hidden="false" customHeight="false" outlineLevel="0" collapsed="false">
      <c r="A62" s="2" t="n">
        <v>61</v>
      </c>
      <c r="B62" s="2" t="n">
        <f aca="false">ROUNDUP(A62/12,0)</f>
        <v>6</v>
      </c>
      <c r="C62" s="11" t="n">
        <f aca="false">SUM(INDEX(Mkt!$C$3:$ED$122,0,A62))</f>
        <v>225397.658266149</v>
      </c>
      <c r="D62" s="11" t="n">
        <f aca="false">SUMIF(Units!$P$2:$P$121,"&lt;="&amp;A62,INDEX(Mkt!$C$3:$ED$122,0,A62))</f>
        <v>225397.658266149</v>
      </c>
      <c r="E62" s="11" t="n">
        <f aca="false">SUM(INDEX(Rent!$C$3:$ED$122,0,A62))</f>
        <v>219959.593624313</v>
      </c>
      <c r="F62" s="11" t="n">
        <f aca="false">D62-E62</f>
        <v>5438.06464183651</v>
      </c>
      <c r="G62" s="11" t="n">
        <f aca="false">C62-D62</f>
        <v>0</v>
      </c>
      <c r="H62" s="2" t="n">
        <f aca="false">COUNTIF(Units!$P$2:$P$121,"&lt;="&amp;A62)</f>
        <v>120</v>
      </c>
      <c r="I62" s="11" t="n">
        <f aca="false">SUM(INDEX(Turnover!$C$3:$ED$122,0,A62))</f>
        <v>12172.37778015</v>
      </c>
      <c r="J62" s="11" t="n">
        <f aca="false">N61</f>
        <v>12140728.1184521</v>
      </c>
      <c r="K62" s="11" t="n">
        <f aca="false">IF(A62&gt;Inputs!$B$21*12,0,IF(A62&lt;=Inputs!$B$24*12,J62*(Inputs!$B$23/12),Returns!$C$11))</f>
        <v>79589.1468582233</v>
      </c>
      <c r="L62" s="11" t="n">
        <f aca="false">IF(A62&gt;Inputs!$B$21*12,0,J62*(Inputs!$B$23/12))</f>
        <v>65762.2773082821</v>
      </c>
      <c r="M62" s="11" t="n">
        <f aca="false">K62-L62</f>
        <v>13826.8695499411</v>
      </c>
      <c r="N62" s="11" t="n">
        <f aca="false">J62-M62</f>
        <v>12126901.2489021</v>
      </c>
    </row>
    <row r="63" customFormat="false" ht="15" hidden="false" customHeight="false" outlineLevel="0" collapsed="false">
      <c r="A63" s="2" t="n">
        <v>62</v>
      </c>
      <c r="B63" s="2" t="n">
        <f aca="false">ROUNDUP(A63/12,0)</f>
        <v>6</v>
      </c>
      <c r="C63" s="11" t="n">
        <f aca="false">SUM(INDEX(Mkt!$C$3:$ED$122,0,A63))</f>
        <v>225397.658266149</v>
      </c>
      <c r="D63" s="11" t="n">
        <f aca="false">SUMIF(Units!$P$2:$P$121,"&lt;="&amp;A63,INDEX(Mkt!$C$3:$ED$122,0,A63))</f>
        <v>225397.658266149</v>
      </c>
      <c r="E63" s="11" t="n">
        <f aca="false">SUM(INDEX(Rent!$C$3:$ED$122,0,A63))</f>
        <v>220546.602744168</v>
      </c>
      <c r="F63" s="11" t="n">
        <f aca="false">D63-E63</f>
        <v>4851.05552198101</v>
      </c>
      <c r="G63" s="11" t="n">
        <f aca="false">C63-D63</f>
        <v>0</v>
      </c>
      <c r="H63" s="2" t="n">
        <f aca="false">COUNTIF(Units!$P$2:$P$121,"&lt;="&amp;A63)</f>
        <v>120</v>
      </c>
      <c r="I63" s="11" t="n">
        <f aca="false">SUM(INDEX(Turnover!$C$3:$ED$122,0,A63))</f>
        <v>6376.00740865</v>
      </c>
      <c r="J63" s="11" t="n">
        <f aca="false">N62</f>
        <v>12126901.2489021</v>
      </c>
      <c r="K63" s="11" t="n">
        <f aca="false">IF(A63&gt;Inputs!$B$21*12,0,IF(A63&lt;=Inputs!$B$24*12,J63*(Inputs!$B$23/12),Returns!$C$11))</f>
        <v>79589.1468582233</v>
      </c>
      <c r="L63" s="11" t="n">
        <f aca="false">IF(A63&gt;Inputs!$B$21*12,0,J63*(Inputs!$B$23/12))</f>
        <v>65687.3817648866</v>
      </c>
      <c r="M63" s="11" t="n">
        <f aca="false">K63-L63</f>
        <v>13901.7650933367</v>
      </c>
      <c r="N63" s="11" t="n">
        <f aca="false">J63-M63</f>
        <v>12112999.4838088</v>
      </c>
    </row>
    <row r="64" customFormat="false" ht="15" hidden="false" customHeight="false" outlineLevel="0" collapsed="false">
      <c r="A64" s="2" t="n">
        <v>63</v>
      </c>
      <c r="B64" s="2" t="n">
        <f aca="false">ROUNDUP(A64/12,0)</f>
        <v>6</v>
      </c>
      <c r="C64" s="11" t="n">
        <f aca="false">SUM(INDEX(Mkt!$C$3:$ED$122,0,A64))</f>
        <v>225397.658266149</v>
      </c>
      <c r="D64" s="11" t="n">
        <f aca="false">SUMIF(Units!$P$2:$P$121,"&lt;="&amp;A64,INDEX(Mkt!$C$3:$ED$122,0,A64))</f>
        <v>225397.658266149</v>
      </c>
      <c r="E64" s="11" t="n">
        <f aca="false">SUM(INDEX(Rent!$C$3:$ED$122,0,A64))</f>
        <v>221259.893952506</v>
      </c>
      <c r="F64" s="11" t="n">
        <f aca="false">D64-E64</f>
        <v>4137.76431364351</v>
      </c>
      <c r="G64" s="11" t="n">
        <f aca="false">C64-D64</f>
        <v>0</v>
      </c>
      <c r="H64" s="2" t="n">
        <f aca="false">COUNTIF(Units!$P$2:$P$121,"&lt;="&amp;A64)</f>
        <v>120</v>
      </c>
      <c r="I64" s="11" t="n">
        <f aca="false">SUM(INDEX(Turnover!$C$3:$ED$122,0,A64))</f>
        <v>6955.6444458</v>
      </c>
      <c r="J64" s="11" t="n">
        <f aca="false">N63</f>
        <v>12112999.4838088</v>
      </c>
      <c r="K64" s="11" t="n">
        <f aca="false">IF(A64&gt;Inputs!$B$21*12,0,IF(A64&lt;=Inputs!$B$24*12,J64*(Inputs!$B$23/12),Returns!$C$11))</f>
        <v>79589.1468582233</v>
      </c>
      <c r="L64" s="11" t="n">
        <f aca="false">IF(A64&gt;Inputs!$B$21*12,0,J64*(Inputs!$B$23/12))</f>
        <v>65612.0805372977</v>
      </c>
      <c r="M64" s="11" t="n">
        <f aca="false">K64-L64</f>
        <v>13977.0663209256</v>
      </c>
      <c r="N64" s="11" t="n">
        <f aca="false">J64-M64</f>
        <v>12099022.4174879</v>
      </c>
    </row>
    <row r="65" customFormat="false" ht="15" hidden="false" customHeight="false" outlineLevel="0" collapsed="false">
      <c r="A65" s="2" t="n">
        <v>64</v>
      </c>
      <c r="B65" s="2" t="n">
        <f aca="false">ROUNDUP(A65/12,0)</f>
        <v>6</v>
      </c>
      <c r="C65" s="11" t="n">
        <f aca="false">SUM(INDEX(Mkt!$C$3:$ED$122,0,A65))</f>
        <v>225397.658266149</v>
      </c>
      <c r="D65" s="11" t="n">
        <f aca="false">SUMIF(Units!$P$2:$P$121,"&lt;="&amp;A65,INDEX(Mkt!$C$3:$ED$122,0,A65))</f>
        <v>225397.658266149</v>
      </c>
      <c r="E65" s="11" t="n">
        <f aca="false">SUM(INDEX(Rent!$C$3:$ED$122,0,A65))</f>
        <v>221838.124103643</v>
      </c>
      <c r="F65" s="11" t="n">
        <f aca="false">D65-E65</f>
        <v>3559.534162506</v>
      </c>
      <c r="G65" s="11" t="n">
        <f aca="false">C65-D65</f>
        <v>0</v>
      </c>
      <c r="H65" s="2" t="n">
        <f aca="false">COUNTIF(Units!$P$2:$P$121,"&lt;="&amp;A65)</f>
        <v>120</v>
      </c>
      <c r="I65" s="11" t="n">
        <f aca="false">SUM(INDEX(Turnover!$C$3:$ED$122,0,A65))</f>
        <v>6376.00740865</v>
      </c>
      <c r="J65" s="11" t="n">
        <f aca="false">N64</f>
        <v>12099022.4174879</v>
      </c>
      <c r="K65" s="11" t="n">
        <f aca="false">IF(A65&gt;Inputs!$B$21*12,0,IF(A65&lt;=Inputs!$B$24*12,J65*(Inputs!$B$23/12),Returns!$C$11))</f>
        <v>79589.1468582233</v>
      </c>
      <c r="L65" s="11" t="n">
        <f aca="false">IF(A65&gt;Inputs!$B$21*12,0,J65*(Inputs!$B$23/12))</f>
        <v>65536.3714280594</v>
      </c>
      <c r="M65" s="11" t="n">
        <f aca="false">K65-L65</f>
        <v>14052.7754301639</v>
      </c>
      <c r="N65" s="11" t="n">
        <f aca="false">J65-M65</f>
        <v>12084969.6420577</v>
      </c>
    </row>
    <row r="66" customFormat="false" ht="15" hidden="false" customHeight="false" outlineLevel="0" collapsed="false">
      <c r="A66" s="2" t="n">
        <v>65</v>
      </c>
      <c r="B66" s="2" t="n">
        <f aca="false">ROUNDUP(A66/12,0)</f>
        <v>6</v>
      </c>
      <c r="C66" s="11" t="n">
        <f aca="false">SUM(INDEX(Mkt!$C$3:$ED$122,0,A66))</f>
        <v>225397.658266149</v>
      </c>
      <c r="D66" s="11" t="n">
        <f aca="false">SUMIF(Units!$P$2:$P$121,"&lt;="&amp;A66,INDEX(Mkt!$C$3:$ED$122,0,A66))</f>
        <v>225397.658266149</v>
      </c>
      <c r="E66" s="11" t="n">
        <f aca="false">SUM(INDEX(Rent!$C$3:$ED$122,0,A66))</f>
        <v>222101.999644148</v>
      </c>
      <c r="F66" s="11" t="n">
        <f aca="false">D66-E66</f>
        <v>3295.6586220015</v>
      </c>
      <c r="G66" s="11" t="n">
        <f aca="false">C66-D66</f>
        <v>0</v>
      </c>
      <c r="H66" s="2" t="n">
        <f aca="false">COUNTIF(Units!$P$2:$P$121,"&lt;="&amp;A66)</f>
        <v>120</v>
      </c>
      <c r="I66" s="11" t="n">
        <f aca="false">SUM(INDEX(Turnover!$C$3:$ED$122,0,A66))</f>
        <v>2898.18518575</v>
      </c>
      <c r="J66" s="11" t="n">
        <f aca="false">N65</f>
        <v>12084969.6420577</v>
      </c>
      <c r="K66" s="11" t="n">
        <f aca="false">IF(A66&gt;Inputs!$B$21*12,0,IF(A66&lt;=Inputs!$B$24*12,J66*(Inputs!$B$23/12),Returns!$C$11))</f>
        <v>79589.1468582233</v>
      </c>
      <c r="L66" s="11" t="n">
        <f aca="false">IF(A66&gt;Inputs!$B$21*12,0,J66*(Inputs!$B$23/12))</f>
        <v>65460.2522278126</v>
      </c>
      <c r="M66" s="11" t="n">
        <f aca="false">K66-L66</f>
        <v>14128.8946304106</v>
      </c>
      <c r="N66" s="11" t="n">
        <f aca="false">J66-M66</f>
        <v>12070840.7474273</v>
      </c>
    </row>
    <row r="67" customFormat="false" ht="15" hidden="false" customHeight="false" outlineLevel="0" collapsed="false">
      <c r="A67" s="2" t="n">
        <v>66</v>
      </c>
      <c r="B67" s="2" t="n">
        <f aca="false">ROUNDUP(A67/12,0)</f>
        <v>6</v>
      </c>
      <c r="C67" s="11" t="n">
        <f aca="false">SUM(INDEX(Mkt!$C$3:$ED$122,0,A67))</f>
        <v>225397.658266149</v>
      </c>
      <c r="D67" s="11" t="n">
        <f aca="false">SUMIF(Units!$P$2:$P$121,"&lt;="&amp;A67,INDEX(Mkt!$C$3:$ED$122,0,A67))</f>
        <v>225397.658266149</v>
      </c>
      <c r="E67" s="11" t="n">
        <f aca="false">SUM(INDEX(Rent!$C$3:$ED$122,0,A67))</f>
        <v>222414.159512601</v>
      </c>
      <c r="F67" s="11" t="n">
        <f aca="false">D67-E67</f>
        <v>2983.49875354802</v>
      </c>
      <c r="G67" s="11" t="n">
        <f aca="false">C67-D67</f>
        <v>0</v>
      </c>
      <c r="H67" s="2" t="n">
        <f aca="false">COUNTIF(Units!$P$2:$P$121,"&lt;="&amp;A67)</f>
        <v>120</v>
      </c>
      <c r="I67" s="11" t="n">
        <f aca="false">SUM(INDEX(Turnover!$C$3:$ED$122,0,A67))</f>
        <v>3477.8222229</v>
      </c>
      <c r="J67" s="11" t="n">
        <f aca="false">N66</f>
        <v>12070840.7474273</v>
      </c>
      <c r="K67" s="11" t="n">
        <f aca="false">IF(A67&gt;Inputs!$B$21*12,0,IF(A67&lt;=Inputs!$B$24*12,J67*(Inputs!$B$23/12),Returns!$C$11))</f>
        <v>79589.1468582233</v>
      </c>
      <c r="L67" s="11" t="n">
        <f aca="false">IF(A67&gt;Inputs!$B$21*12,0,J67*(Inputs!$B$23/12))</f>
        <v>65383.7207152313</v>
      </c>
      <c r="M67" s="11" t="n">
        <f aca="false">K67-L67</f>
        <v>14205.426142992</v>
      </c>
      <c r="N67" s="11" t="n">
        <f aca="false">J67-M67</f>
        <v>12056635.3212843</v>
      </c>
    </row>
    <row r="68" customFormat="false" ht="15" hidden="false" customHeight="false" outlineLevel="0" collapsed="false">
      <c r="A68" s="2" t="n">
        <v>67</v>
      </c>
      <c r="B68" s="2" t="n">
        <f aca="false">ROUNDUP(A68/12,0)</f>
        <v>6</v>
      </c>
      <c r="C68" s="11" t="n">
        <f aca="false">SUM(INDEX(Mkt!$C$3:$ED$122,0,A68))</f>
        <v>225397.658266149</v>
      </c>
      <c r="D68" s="11" t="n">
        <f aca="false">SUMIF(Units!$P$2:$P$121,"&lt;="&amp;A68,INDEX(Mkt!$C$3:$ED$122,0,A68))</f>
        <v>225397.658266149</v>
      </c>
      <c r="E68" s="11" t="n">
        <f aca="false">SUM(INDEX(Rent!$C$3:$ED$122,0,A68))</f>
        <v>222951.027214971</v>
      </c>
      <c r="F68" s="11" t="n">
        <f aca="false">D68-E68</f>
        <v>2446.631051178</v>
      </c>
      <c r="G68" s="11" t="n">
        <f aca="false">C68-D68</f>
        <v>0</v>
      </c>
      <c r="H68" s="2" t="n">
        <f aca="false">COUNTIF(Units!$P$2:$P$121,"&lt;="&amp;A68)</f>
        <v>120</v>
      </c>
      <c r="I68" s="11" t="n">
        <f aca="false">SUM(INDEX(Turnover!$C$3:$ED$122,0,A68))</f>
        <v>5216.73333435</v>
      </c>
      <c r="J68" s="11" t="n">
        <f aca="false">N67</f>
        <v>12056635.3212843</v>
      </c>
      <c r="K68" s="11" t="n">
        <f aca="false">IF(A68&gt;Inputs!$B$21*12,0,IF(A68&lt;=Inputs!$B$24*12,J68*(Inputs!$B$23/12),Returns!$C$11))</f>
        <v>79589.1468582233</v>
      </c>
      <c r="L68" s="11" t="n">
        <f aca="false">IF(A68&gt;Inputs!$B$21*12,0,J68*(Inputs!$B$23/12))</f>
        <v>65306.7746569567</v>
      </c>
      <c r="M68" s="11" t="n">
        <f aca="false">K68-L68</f>
        <v>14282.3722012666</v>
      </c>
      <c r="N68" s="11" t="n">
        <f aca="false">J68-M68</f>
        <v>12042352.9490831</v>
      </c>
    </row>
    <row r="69" customFormat="false" ht="15" hidden="false" customHeight="false" outlineLevel="0" collapsed="false">
      <c r="A69" s="2" t="n">
        <v>68</v>
      </c>
      <c r="B69" s="2" t="n">
        <f aca="false">ROUNDUP(A69/12,0)</f>
        <v>6</v>
      </c>
      <c r="C69" s="11" t="n">
        <f aca="false">SUM(INDEX(Mkt!$C$3:$ED$122,0,A69))</f>
        <v>225397.658266149</v>
      </c>
      <c r="D69" s="11" t="n">
        <f aca="false">SUMIF(Units!$P$2:$P$121,"&lt;="&amp;A69,INDEX(Mkt!$C$3:$ED$122,0,A69))</f>
        <v>225397.658266149</v>
      </c>
      <c r="E69" s="11" t="n">
        <f aca="false">SUM(INDEX(Rent!$C$3:$ED$122,0,A69))</f>
        <v>223536.17924529</v>
      </c>
      <c r="F69" s="11" t="n">
        <f aca="false">D69-E69</f>
        <v>1861.479020859</v>
      </c>
      <c r="G69" s="11" t="n">
        <f aca="false">C69-D69</f>
        <v>0</v>
      </c>
      <c r="H69" s="2" t="n">
        <f aca="false">COUNTIF(Units!$P$2:$P$121,"&lt;="&amp;A69)</f>
        <v>120</v>
      </c>
      <c r="I69" s="11" t="n">
        <f aca="false">SUM(INDEX(Turnover!$C$3:$ED$122,0,A69))</f>
        <v>5796.3703715</v>
      </c>
      <c r="J69" s="11" t="n">
        <f aca="false">N68</f>
        <v>12042352.9490831</v>
      </c>
      <c r="K69" s="11" t="n">
        <f aca="false">IF(A69&gt;Inputs!$B$21*12,0,IF(A69&lt;=Inputs!$B$24*12,J69*(Inputs!$B$23/12),Returns!$C$11))</f>
        <v>79589.1468582233</v>
      </c>
      <c r="L69" s="11" t="n">
        <f aca="false">IF(A69&gt;Inputs!$B$21*12,0,J69*(Inputs!$B$23/12))</f>
        <v>65229.4118075332</v>
      </c>
      <c r="M69" s="11" t="n">
        <f aca="false">K69-L69</f>
        <v>14359.7350506901</v>
      </c>
      <c r="N69" s="11" t="n">
        <f aca="false">J69-M69</f>
        <v>12027993.2140324</v>
      </c>
    </row>
    <row r="70" customFormat="false" ht="15" hidden="false" customHeight="false" outlineLevel="0" collapsed="false">
      <c r="A70" s="2" t="n">
        <v>69</v>
      </c>
      <c r="B70" s="2" t="n">
        <f aca="false">ROUNDUP(A70/12,0)</f>
        <v>6</v>
      </c>
      <c r="C70" s="11" t="n">
        <f aca="false">SUM(INDEX(Mkt!$C$3:$ED$122,0,A70))</f>
        <v>225397.658266149</v>
      </c>
      <c r="D70" s="11" t="n">
        <f aca="false">SUMIF(Units!$P$2:$P$121,"&lt;="&amp;A70,INDEX(Mkt!$C$3:$ED$122,0,A70))</f>
        <v>225397.658266149</v>
      </c>
      <c r="E70" s="11" t="n">
        <f aca="false">SUM(INDEX(Rent!$C$3:$ED$122,0,A70))</f>
        <v>224080.137653163</v>
      </c>
      <c r="F70" s="11" t="n">
        <f aca="false">D70-E70</f>
        <v>1317.520612986</v>
      </c>
      <c r="G70" s="11" t="n">
        <f aca="false">C70-D70</f>
        <v>0</v>
      </c>
      <c r="H70" s="2" t="n">
        <f aca="false">COUNTIF(Units!$P$2:$P$121,"&lt;="&amp;A70)</f>
        <v>120</v>
      </c>
      <c r="I70" s="11" t="n">
        <f aca="false">SUM(INDEX(Turnover!$C$3:$ED$122,0,A70))</f>
        <v>6376.00740865</v>
      </c>
      <c r="J70" s="11" t="n">
        <f aca="false">N69</f>
        <v>12027993.2140324</v>
      </c>
      <c r="K70" s="11" t="n">
        <f aca="false">IF(A70&gt;Inputs!$B$21*12,0,IF(A70&lt;=Inputs!$B$24*12,J70*(Inputs!$B$23/12),Returns!$C$11))</f>
        <v>79589.1468582233</v>
      </c>
      <c r="L70" s="11" t="n">
        <f aca="false">IF(A70&gt;Inputs!$B$21*12,0,J70*(Inputs!$B$23/12))</f>
        <v>65151.629909342</v>
      </c>
      <c r="M70" s="11" t="n">
        <f aca="false">K70-L70</f>
        <v>14437.5169488813</v>
      </c>
      <c r="N70" s="11" t="n">
        <f aca="false">J70-M70</f>
        <v>12013555.6970835</v>
      </c>
    </row>
    <row r="71" customFormat="false" ht="15" hidden="false" customHeight="false" outlineLevel="0" collapsed="false">
      <c r="A71" s="2" t="n">
        <v>70</v>
      </c>
      <c r="B71" s="2" t="n">
        <f aca="false">ROUNDUP(A71/12,0)</f>
        <v>6</v>
      </c>
      <c r="C71" s="11" t="n">
        <f aca="false">SUM(INDEX(Mkt!$C$3:$ED$122,0,A71))</f>
        <v>225397.658266149</v>
      </c>
      <c r="D71" s="11" t="n">
        <f aca="false">SUMIF(Units!$P$2:$P$121,"&lt;="&amp;A71,INDEX(Mkt!$C$3:$ED$122,0,A71))</f>
        <v>225397.658266149</v>
      </c>
      <c r="E71" s="11" t="n">
        <f aca="false">SUM(INDEX(Rent!$C$3:$ED$122,0,A71))</f>
        <v>224471.139413757</v>
      </c>
      <c r="F71" s="11" t="n">
        <f aca="false">D71-E71</f>
        <v>926.518852391979</v>
      </c>
      <c r="G71" s="11" t="n">
        <f aca="false">C71-D71</f>
        <v>0</v>
      </c>
      <c r="H71" s="2" t="n">
        <f aca="false">COUNTIF(Units!$P$2:$P$121,"&lt;="&amp;A71)</f>
        <v>120</v>
      </c>
      <c r="I71" s="11" t="n">
        <f aca="false">SUM(INDEX(Turnover!$C$3:$ED$122,0,A71))</f>
        <v>4057.45926005</v>
      </c>
      <c r="J71" s="11" t="n">
        <f aca="false">N70</f>
        <v>12013555.6970835</v>
      </c>
      <c r="K71" s="11" t="n">
        <f aca="false">IF(A71&gt;Inputs!$B$21*12,0,IF(A71&lt;=Inputs!$B$24*12,J71*(Inputs!$B$23/12),Returns!$C$11))</f>
        <v>79589.1468582233</v>
      </c>
      <c r="L71" s="11" t="n">
        <f aca="false">IF(A71&gt;Inputs!$B$21*12,0,J71*(Inputs!$B$23/12))</f>
        <v>65073.4266925355</v>
      </c>
      <c r="M71" s="11" t="n">
        <f aca="false">K71-L71</f>
        <v>14515.7201656878</v>
      </c>
      <c r="N71" s="11" t="n">
        <f aca="false">J71-M71</f>
        <v>11999039.9769178</v>
      </c>
    </row>
    <row r="72" customFormat="false" ht="15" hidden="false" customHeight="false" outlineLevel="0" collapsed="false">
      <c r="A72" s="2" t="n">
        <v>71</v>
      </c>
      <c r="B72" s="2" t="n">
        <f aca="false">ROUNDUP(A72/12,0)</f>
        <v>6</v>
      </c>
      <c r="C72" s="11" t="n">
        <f aca="false">SUM(INDEX(Mkt!$C$3:$ED$122,0,A72))</f>
        <v>225397.658266149</v>
      </c>
      <c r="D72" s="11" t="n">
        <f aca="false">SUMIF(Units!$P$2:$P$121,"&lt;="&amp;A72,INDEX(Mkt!$C$3:$ED$122,0,A72))</f>
        <v>225397.658266149</v>
      </c>
      <c r="E72" s="11" t="n">
        <f aca="false">SUM(INDEX(Rent!$C$3:$ED$122,0,A72))</f>
        <v>224862.141174351</v>
      </c>
      <c r="F72" s="11" t="n">
        <f aca="false">D72-E72</f>
        <v>535.517091797985</v>
      </c>
      <c r="G72" s="11" t="n">
        <f aca="false">C72-D72</f>
        <v>0</v>
      </c>
      <c r="H72" s="2" t="n">
        <f aca="false">COUNTIF(Units!$P$2:$P$121,"&lt;="&amp;A72)</f>
        <v>120</v>
      </c>
      <c r="I72" s="11" t="n">
        <f aca="false">SUM(INDEX(Turnover!$C$3:$ED$122,0,A72))</f>
        <v>4057.45926005</v>
      </c>
      <c r="J72" s="11" t="n">
        <f aca="false">N71</f>
        <v>11999039.9769178</v>
      </c>
      <c r="K72" s="11" t="n">
        <f aca="false">IF(A72&gt;Inputs!$B$21*12,0,IF(A72&lt;=Inputs!$B$24*12,J72*(Inputs!$B$23/12),Returns!$C$11))</f>
        <v>79589.1468582233</v>
      </c>
      <c r="L72" s="11" t="n">
        <f aca="false">IF(A72&gt;Inputs!$B$21*12,0,J72*(Inputs!$B$23/12))</f>
        <v>64994.7998749714</v>
      </c>
      <c r="M72" s="11" t="n">
        <f aca="false">K72-L72</f>
        <v>14594.3469832519</v>
      </c>
      <c r="N72" s="11" t="n">
        <f aca="false">J72-M72</f>
        <v>11984445.6299345</v>
      </c>
    </row>
    <row r="73" customFormat="false" ht="15" hidden="false" customHeight="false" outlineLevel="0" collapsed="false">
      <c r="A73" s="2" t="n">
        <v>72</v>
      </c>
      <c r="B73" s="2" t="n">
        <f aca="false">ROUNDUP(A73/12,0)</f>
        <v>6</v>
      </c>
      <c r="C73" s="11" t="n">
        <f aca="false">SUM(INDEX(Mkt!$C$3:$ED$122,0,A73))</f>
        <v>225397.658266149</v>
      </c>
      <c r="D73" s="11" t="n">
        <f aca="false">SUMIF(Units!$P$2:$P$121,"&lt;="&amp;A73,INDEX(Mkt!$C$3:$ED$122,0,A73))</f>
        <v>225397.658266149</v>
      </c>
      <c r="E73" s="11" t="n">
        <f aca="false">SUM(INDEX(Rent!$C$3:$ED$122,0,A73))</f>
        <v>225397.658266149</v>
      </c>
      <c r="F73" s="11" t="n">
        <f aca="false">D73-E73</f>
        <v>0</v>
      </c>
      <c r="G73" s="11" t="n">
        <f aca="false">C73-D73</f>
        <v>0</v>
      </c>
      <c r="H73" s="2" t="n">
        <f aca="false">COUNTIF(Units!$P$2:$P$121,"&lt;="&amp;A73)</f>
        <v>120</v>
      </c>
      <c r="I73" s="11" t="n">
        <f aca="false">SUM(INDEX(Turnover!$C$3:$ED$122,0,A73))</f>
        <v>5796.3703715</v>
      </c>
      <c r="J73" s="11" t="n">
        <f aca="false">N72</f>
        <v>11984445.6299345</v>
      </c>
      <c r="K73" s="11" t="n">
        <f aca="false">IF(A73&gt;Inputs!$B$21*12,0,IF(A73&lt;=Inputs!$B$24*12,J73*(Inputs!$B$23/12),Returns!$C$11))</f>
        <v>79589.1468582233</v>
      </c>
      <c r="L73" s="11" t="n">
        <f aca="false">IF(A73&gt;Inputs!$B$21*12,0,J73*(Inputs!$B$23/12))</f>
        <v>64915.7471621454</v>
      </c>
      <c r="M73" s="11" t="n">
        <f aca="false">K73-L73</f>
        <v>14673.3996960779</v>
      </c>
      <c r="N73" s="11" t="n">
        <f aca="false">J73-M73</f>
        <v>11969772.2302385</v>
      </c>
    </row>
    <row r="74" customFormat="false" ht="15" hidden="false" customHeight="false" outlineLevel="0" collapsed="false">
      <c r="A74" s="2" t="n">
        <v>73</v>
      </c>
      <c r="B74" s="2" t="n">
        <f aca="false">ROUNDUP(A74/12,0)</f>
        <v>7</v>
      </c>
      <c r="C74" s="11" t="n">
        <f aca="false">SUM(INDEX(Mkt!$C$3:$ED$122,0,A74))</f>
        <v>232159.588014133</v>
      </c>
      <c r="D74" s="11" t="n">
        <f aca="false">SUMIF(Units!$P$2:$P$121,"&lt;="&amp;A74,INDEX(Mkt!$C$3:$ED$122,0,A74))</f>
        <v>232159.588014133</v>
      </c>
      <c r="E74" s="11" t="n">
        <f aca="false">SUM(INDEX(Rent!$C$3:$ED$122,0,A74))</f>
        <v>226558.381433042</v>
      </c>
      <c r="F74" s="11" t="n">
        <f aca="false">D74-E74</f>
        <v>5601.20658109157</v>
      </c>
      <c r="G74" s="11" t="n">
        <f aca="false">C74-D74</f>
        <v>0</v>
      </c>
      <c r="H74" s="2" t="n">
        <f aca="false">COUNTIF(Units!$P$2:$P$121,"&lt;="&amp;A74)</f>
        <v>120</v>
      </c>
      <c r="I74" s="11" t="n">
        <f aca="false">SUM(INDEX(Turnover!$C$3:$ED$122,0,A74))</f>
        <v>12537.5491135545</v>
      </c>
      <c r="J74" s="11" t="n">
        <f aca="false">N73</f>
        <v>11969772.2302385</v>
      </c>
      <c r="K74" s="11" t="n">
        <f aca="false">IF(A74&gt;Inputs!$B$21*12,0,IF(A74&lt;=Inputs!$B$24*12,J74*(Inputs!$B$23/12),Returns!$C$11))</f>
        <v>79589.1468582233</v>
      </c>
      <c r="L74" s="11" t="n">
        <f aca="false">IF(A74&gt;Inputs!$B$21*12,0,J74*(Inputs!$B$23/12))</f>
        <v>64836.266247125</v>
      </c>
      <c r="M74" s="11" t="n">
        <f aca="false">K74-L74</f>
        <v>14752.8806110983</v>
      </c>
      <c r="N74" s="11" t="n">
        <f aca="false">J74-M74</f>
        <v>11955019.3496274</v>
      </c>
    </row>
    <row r="75" customFormat="false" ht="15" hidden="false" customHeight="false" outlineLevel="0" collapsed="false">
      <c r="A75" s="2" t="n">
        <v>74</v>
      </c>
      <c r="B75" s="2" t="n">
        <f aca="false">ROUNDUP(A75/12,0)</f>
        <v>7</v>
      </c>
      <c r="C75" s="11" t="n">
        <f aca="false">SUM(INDEX(Mkt!$C$3:$ED$122,0,A75))</f>
        <v>232159.588014133</v>
      </c>
      <c r="D75" s="11" t="n">
        <f aca="false">SUMIF(Units!$P$2:$P$121,"&lt;="&amp;A75,INDEX(Mkt!$C$3:$ED$122,0,A75))</f>
        <v>232159.588014133</v>
      </c>
      <c r="E75" s="11" t="n">
        <f aca="false">SUM(INDEX(Rent!$C$3:$ED$122,0,A75))</f>
        <v>227163.000826493</v>
      </c>
      <c r="F75" s="11" t="n">
        <f aca="false">D75-E75</f>
        <v>4996.5871876404</v>
      </c>
      <c r="G75" s="11" t="n">
        <f aca="false">C75-D75</f>
        <v>0</v>
      </c>
      <c r="H75" s="2" t="n">
        <f aca="false">COUNTIF(Units!$P$2:$P$121,"&lt;="&amp;A75)</f>
        <v>120</v>
      </c>
      <c r="I75" s="11" t="n">
        <f aca="false">SUM(INDEX(Turnover!$C$3:$ED$122,0,A75))</f>
        <v>6567.2876309095</v>
      </c>
      <c r="J75" s="11" t="n">
        <f aca="false">N74</f>
        <v>11955019.3496274</v>
      </c>
      <c r="K75" s="11" t="n">
        <f aca="false">IF(A75&gt;Inputs!$B$21*12,0,IF(A75&lt;=Inputs!$B$24*12,J75*(Inputs!$B$23/12),Returns!$C$11))</f>
        <v>79589.1468582233</v>
      </c>
      <c r="L75" s="11" t="n">
        <f aca="false">IF(A75&gt;Inputs!$B$21*12,0,J75*(Inputs!$B$23/12))</f>
        <v>64756.3548104816</v>
      </c>
      <c r="M75" s="11" t="n">
        <f aca="false">K75-L75</f>
        <v>14832.7920477417</v>
      </c>
      <c r="N75" s="11" t="n">
        <f aca="false">J75-M75</f>
        <v>11940186.5575796</v>
      </c>
    </row>
    <row r="76" customFormat="false" ht="15" hidden="false" customHeight="false" outlineLevel="0" collapsed="false">
      <c r="A76" s="2" t="n">
        <v>75</v>
      </c>
      <c r="B76" s="2" t="n">
        <f aca="false">ROUNDUP(A76/12,0)</f>
        <v>7</v>
      </c>
      <c r="C76" s="11" t="n">
        <f aca="false">SUM(INDEX(Mkt!$C$3:$ED$122,0,A76))</f>
        <v>232159.588014133</v>
      </c>
      <c r="D76" s="11" t="n">
        <f aca="false">SUMIF(Units!$P$2:$P$121,"&lt;="&amp;A76,INDEX(Mkt!$C$3:$ED$122,0,A76))</f>
        <v>232159.588014133</v>
      </c>
      <c r="E76" s="11" t="n">
        <f aca="false">SUM(INDEX(Rent!$C$3:$ED$122,0,A76))</f>
        <v>227897.690771081</v>
      </c>
      <c r="F76" s="11" t="n">
        <f aca="false">D76-E76</f>
        <v>4261.89724305278</v>
      </c>
      <c r="G76" s="11" t="n">
        <f aca="false">C76-D76</f>
        <v>0</v>
      </c>
      <c r="H76" s="2" t="n">
        <f aca="false">COUNTIF(Units!$P$2:$P$121,"&lt;="&amp;A76)</f>
        <v>120</v>
      </c>
      <c r="I76" s="11" t="n">
        <f aca="false">SUM(INDEX(Turnover!$C$3:$ED$122,0,A76))</f>
        <v>7164.313779174</v>
      </c>
      <c r="J76" s="11" t="n">
        <f aca="false">N75</f>
        <v>11940186.5575796</v>
      </c>
      <c r="K76" s="11" t="n">
        <f aca="false">IF(A76&gt;Inputs!$B$21*12,0,IF(A76&lt;=Inputs!$B$24*12,J76*(Inputs!$B$23/12),Returns!$C$11))</f>
        <v>79589.1468582233</v>
      </c>
      <c r="L76" s="11" t="n">
        <f aca="false">IF(A76&gt;Inputs!$B$21*12,0,J76*(Inputs!$B$23/12))</f>
        <v>64676.010520223</v>
      </c>
      <c r="M76" s="11" t="n">
        <f aca="false">K76-L76</f>
        <v>14913.1363380003</v>
      </c>
      <c r="N76" s="11" t="n">
        <f aca="false">J76-M76</f>
        <v>11925273.4212416</v>
      </c>
    </row>
    <row r="77" customFormat="false" ht="15" hidden="false" customHeight="false" outlineLevel="0" collapsed="false">
      <c r="A77" s="2" t="n">
        <v>76</v>
      </c>
      <c r="B77" s="2" t="n">
        <f aca="false">ROUNDUP(A77/12,0)</f>
        <v>7</v>
      </c>
      <c r="C77" s="11" t="n">
        <f aca="false">SUM(INDEX(Mkt!$C$3:$ED$122,0,A77))</f>
        <v>232159.588014133</v>
      </c>
      <c r="D77" s="11" t="n">
        <f aca="false">SUMIF(Units!$P$2:$P$121,"&lt;="&amp;A77,INDEX(Mkt!$C$3:$ED$122,0,A77))</f>
        <v>232159.588014133</v>
      </c>
      <c r="E77" s="11" t="n">
        <f aca="false">SUM(INDEX(Rent!$C$3:$ED$122,0,A77))</f>
        <v>228493.267826752</v>
      </c>
      <c r="F77" s="11" t="n">
        <f aca="false">D77-E77</f>
        <v>3666.32018738115</v>
      </c>
      <c r="G77" s="11" t="n">
        <f aca="false">C77-D77</f>
        <v>0</v>
      </c>
      <c r="H77" s="2" t="n">
        <f aca="false">COUNTIF(Units!$P$2:$P$121,"&lt;="&amp;A77)</f>
        <v>120</v>
      </c>
      <c r="I77" s="11" t="n">
        <f aca="false">SUM(INDEX(Turnover!$C$3:$ED$122,0,A77))</f>
        <v>6567.2876309095</v>
      </c>
      <c r="J77" s="11" t="n">
        <f aca="false">N76</f>
        <v>11925273.4212416</v>
      </c>
      <c r="K77" s="11" t="n">
        <f aca="false">IF(A77&gt;Inputs!$B$21*12,0,IF(A77&lt;=Inputs!$B$24*12,J77*(Inputs!$B$23/12),Returns!$C$11))</f>
        <v>79589.1468582233</v>
      </c>
      <c r="L77" s="11" t="n">
        <f aca="false">IF(A77&gt;Inputs!$B$21*12,0,J77*(Inputs!$B$23/12))</f>
        <v>64595.2310317255</v>
      </c>
      <c r="M77" s="11" t="n">
        <f aca="false">K77-L77</f>
        <v>14993.9158264978</v>
      </c>
      <c r="N77" s="11" t="n">
        <f aca="false">J77-M77</f>
        <v>11910279.5054151</v>
      </c>
    </row>
    <row r="78" customFormat="false" ht="15" hidden="false" customHeight="false" outlineLevel="0" collapsed="false">
      <c r="A78" s="2" t="n">
        <v>77</v>
      </c>
      <c r="B78" s="2" t="n">
        <f aca="false">ROUNDUP(A78/12,0)</f>
        <v>7</v>
      </c>
      <c r="C78" s="11" t="n">
        <f aca="false">SUM(INDEX(Mkt!$C$3:$ED$122,0,A78))</f>
        <v>232159.588014133</v>
      </c>
      <c r="D78" s="11" t="n">
        <f aca="false">SUMIF(Units!$P$2:$P$121,"&lt;="&amp;A78,INDEX(Mkt!$C$3:$ED$122,0,A78))</f>
        <v>232159.588014133</v>
      </c>
      <c r="E78" s="11" t="n">
        <f aca="false">SUM(INDEX(Rent!$C$3:$ED$122,0,A78))</f>
        <v>228765.059633472</v>
      </c>
      <c r="F78" s="11" t="n">
        <f aca="false">D78-E78</f>
        <v>3394.52838066153</v>
      </c>
      <c r="G78" s="11" t="n">
        <f aca="false">C78-D78</f>
        <v>0</v>
      </c>
      <c r="H78" s="2" t="n">
        <f aca="false">COUNTIF(Units!$P$2:$P$121,"&lt;="&amp;A78)</f>
        <v>120</v>
      </c>
      <c r="I78" s="11" t="n">
        <f aca="false">SUM(INDEX(Turnover!$C$3:$ED$122,0,A78))</f>
        <v>2985.1307413225</v>
      </c>
      <c r="J78" s="11" t="n">
        <f aca="false">N77</f>
        <v>11910279.5054151</v>
      </c>
      <c r="K78" s="11" t="n">
        <f aca="false">IF(A78&gt;Inputs!$B$21*12,0,IF(A78&lt;=Inputs!$B$24*12,J78*(Inputs!$B$23/12),Returns!$C$11))</f>
        <v>79589.1468582233</v>
      </c>
      <c r="L78" s="11" t="n">
        <f aca="false">IF(A78&gt;Inputs!$B$21*12,0,J78*(Inputs!$B$23/12))</f>
        <v>64514.0139876653</v>
      </c>
      <c r="M78" s="11" t="n">
        <f aca="false">K78-L78</f>
        <v>15075.132870558</v>
      </c>
      <c r="N78" s="11" t="n">
        <f aca="false">J78-M78</f>
        <v>11895204.3725446</v>
      </c>
    </row>
    <row r="79" customFormat="false" ht="15" hidden="false" customHeight="false" outlineLevel="0" collapsed="false">
      <c r="A79" s="2" t="n">
        <v>78</v>
      </c>
      <c r="B79" s="2" t="n">
        <f aca="false">ROUNDUP(A79/12,0)</f>
        <v>7</v>
      </c>
      <c r="C79" s="11" t="n">
        <f aca="false">SUM(INDEX(Mkt!$C$3:$ED$122,0,A79))</f>
        <v>232159.588014133</v>
      </c>
      <c r="D79" s="11" t="n">
        <f aca="false">SUMIF(Units!$P$2:$P$121,"&lt;="&amp;A79,INDEX(Mkt!$C$3:$ED$122,0,A79))</f>
        <v>232159.588014133</v>
      </c>
      <c r="E79" s="11" t="n">
        <f aca="false">SUM(INDEX(Rent!$C$3:$ED$122,0,A79))</f>
        <v>229086.584297979</v>
      </c>
      <c r="F79" s="11" t="n">
        <f aca="false">D79-E79</f>
        <v>3073.0037161544</v>
      </c>
      <c r="G79" s="11" t="n">
        <f aca="false">C79-D79</f>
        <v>0</v>
      </c>
      <c r="H79" s="2" t="n">
        <f aca="false">COUNTIF(Units!$P$2:$P$121,"&lt;="&amp;A79)</f>
        <v>120</v>
      </c>
      <c r="I79" s="11" t="n">
        <f aca="false">SUM(INDEX(Turnover!$C$3:$ED$122,0,A79))</f>
        <v>3582.156889587</v>
      </c>
      <c r="J79" s="11" t="n">
        <f aca="false">N78</f>
        <v>11895204.3725446</v>
      </c>
      <c r="K79" s="11" t="n">
        <f aca="false">IF(A79&gt;Inputs!$B$21*12,0,IF(A79&lt;=Inputs!$B$24*12,J79*(Inputs!$B$23/12),Returns!$C$11))</f>
        <v>79589.1468582233</v>
      </c>
      <c r="L79" s="11" t="n">
        <f aca="false">IF(A79&gt;Inputs!$B$21*12,0,J79*(Inputs!$B$23/12))</f>
        <v>64432.3570179497</v>
      </c>
      <c r="M79" s="11" t="n">
        <f aca="false">K79-L79</f>
        <v>15156.7898402735</v>
      </c>
      <c r="N79" s="11" t="n">
        <f aca="false">J79-M79</f>
        <v>11880047.5827043</v>
      </c>
    </row>
    <row r="80" customFormat="false" ht="15" hidden="false" customHeight="false" outlineLevel="0" collapsed="false">
      <c r="A80" s="2" t="n">
        <v>79</v>
      </c>
      <c r="B80" s="2" t="n">
        <f aca="false">ROUNDUP(A80/12,0)</f>
        <v>7</v>
      </c>
      <c r="C80" s="11" t="n">
        <f aca="false">SUM(INDEX(Mkt!$C$3:$ED$122,0,A80))</f>
        <v>232159.588014133</v>
      </c>
      <c r="D80" s="11" t="n">
        <f aca="false">SUMIF(Units!$P$2:$P$121,"&lt;="&amp;A80,INDEX(Mkt!$C$3:$ED$122,0,A80))</f>
        <v>232159.588014133</v>
      </c>
      <c r="E80" s="11" t="n">
        <f aca="false">SUM(INDEX(Rent!$C$3:$ED$122,0,A80))</f>
        <v>229639.55803142</v>
      </c>
      <c r="F80" s="11" t="n">
        <f aca="false">D80-E80</f>
        <v>2520.02998271331</v>
      </c>
      <c r="G80" s="11" t="n">
        <f aca="false">C80-D80</f>
        <v>0</v>
      </c>
      <c r="H80" s="2" t="n">
        <f aca="false">COUNTIF(Units!$P$2:$P$121,"&lt;="&amp;A80)</f>
        <v>120</v>
      </c>
      <c r="I80" s="11" t="n">
        <f aca="false">SUM(INDEX(Turnover!$C$3:$ED$122,0,A80))</f>
        <v>5373.2353343805</v>
      </c>
      <c r="J80" s="11" t="n">
        <f aca="false">N79</f>
        <v>11880047.5827043</v>
      </c>
      <c r="K80" s="11" t="n">
        <f aca="false">IF(A80&gt;Inputs!$B$21*12,0,IF(A80&lt;=Inputs!$B$24*12,J80*(Inputs!$B$23/12),Returns!$C$11))</f>
        <v>79589.1468582233</v>
      </c>
      <c r="L80" s="11" t="n">
        <f aca="false">IF(A80&gt;Inputs!$B$21*12,0,J80*(Inputs!$B$23/12))</f>
        <v>64350.2577396483</v>
      </c>
      <c r="M80" s="11" t="n">
        <f aca="false">K80-L80</f>
        <v>15238.889118575</v>
      </c>
      <c r="N80" s="11" t="n">
        <f aca="false">J80-M80</f>
        <v>11864808.6935857</v>
      </c>
    </row>
    <row r="81" customFormat="false" ht="15" hidden="false" customHeight="false" outlineLevel="0" collapsed="false">
      <c r="A81" s="2" t="n">
        <v>80</v>
      </c>
      <c r="B81" s="2" t="n">
        <f aca="false">ROUNDUP(A81/12,0)</f>
        <v>7</v>
      </c>
      <c r="C81" s="11" t="n">
        <f aca="false">SUM(INDEX(Mkt!$C$3:$ED$122,0,A81))</f>
        <v>232159.588014133</v>
      </c>
      <c r="D81" s="11" t="n">
        <f aca="false">SUMIF(Units!$P$2:$P$121,"&lt;="&amp;A81,INDEX(Mkt!$C$3:$ED$122,0,A81))</f>
        <v>232159.588014133</v>
      </c>
      <c r="E81" s="11" t="n">
        <f aca="false">SUM(INDEX(Rent!$C$3:$ED$122,0,A81))</f>
        <v>230242.264622649</v>
      </c>
      <c r="F81" s="11" t="n">
        <f aca="false">D81-E81</f>
        <v>1917.32339148474</v>
      </c>
      <c r="G81" s="11" t="n">
        <f aca="false">C81-D81</f>
        <v>0</v>
      </c>
      <c r="H81" s="2" t="n">
        <f aca="false">COUNTIF(Units!$P$2:$P$121,"&lt;="&amp;A81)</f>
        <v>120</v>
      </c>
      <c r="I81" s="11" t="n">
        <f aca="false">SUM(INDEX(Turnover!$C$3:$ED$122,0,A81))</f>
        <v>5970.261482645</v>
      </c>
      <c r="J81" s="11" t="n">
        <f aca="false">N80</f>
        <v>11864808.6935857</v>
      </c>
      <c r="K81" s="11" t="n">
        <f aca="false">IF(A81&gt;Inputs!$B$21*12,0,IF(A81&lt;=Inputs!$B$24*12,J81*(Inputs!$B$23/12),Returns!$C$11))</f>
        <v>79589.1468582233</v>
      </c>
      <c r="L81" s="11" t="n">
        <f aca="false">IF(A81&gt;Inputs!$B$21*12,0,J81*(Inputs!$B$23/12))</f>
        <v>64267.7137569226</v>
      </c>
      <c r="M81" s="11" t="n">
        <f aca="false">K81-L81</f>
        <v>15321.4331013006</v>
      </c>
      <c r="N81" s="11" t="n">
        <f aca="false">J81-M81</f>
        <v>11849487.2604844</v>
      </c>
    </row>
    <row r="82" customFormat="false" ht="15" hidden="false" customHeight="false" outlineLevel="0" collapsed="false">
      <c r="A82" s="2" t="n">
        <v>81</v>
      </c>
      <c r="B82" s="2" t="n">
        <f aca="false">ROUNDUP(A82/12,0)</f>
        <v>7</v>
      </c>
      <c r="C82" s="11" t="n">
        <f aca="false">SUM(INDEX(Mkt!$C$3:$ED$122,0,A82))</f>
        <v>232159.588014133</v>
      </c>
      <c r="D82" s="11" t="n">
        <f aca="false">SUMIF(Units!$P$2:$P$121,"&lt;="&amp;A82,INDEX(Mkt!$C$3:$ED$122,0,A82))</f>
        <v>232159.588014133</v>
      </c>
      <c r="E82" s="11" t="n">
        <f aca="false">SUM(INDEX(Rent!$C$3:$ED$122,0,A82))</f>
        <v>230802.541782758</v>
      </c>
      <c r="F82" s="11" t="n">
        <f aca="false">D82-E82</f>
        <v>1357.04623137557</v>
      </c>
      <c r="G82" s="11" t="n">
        <f aca="false">C82-D82</f>
        <v>0</v>
      </c>
      <c r="H82" s="2" t="n">
        <f aca="false">COUNTIF(Units!$P$2:$P$121,"&lt;="&amp;A82)</f>
        <v>120</v>
      </c>
      <c r="I82" s="11" t="n">
        <f aca="false">SUM(INDEX(Turnover!$C$3:$ED$122,0,A82))</f>
        <v>6567.2876309095</v>
      </c>
      <c r="J82" s="11" t="n">
        <f aca="false">N81</f>
        <v>11849487.2604844</v>
      </c>
      <c r="K82" s="11" t="n">
        <f aca="false">IF(A82&gt;Inputs!$B$21*12,0,IF(A82&lt;=Inputs!$B$24*12,J82*(Inputs!$B$23/12),Returns!$C$11))</f>
        <v>79589.1468582233</v>
      </c>
      <c r="L82" s="11" t="n">
        <f aca="false">IF(A82&gt;Inputs!$B$21*12,0,J82*(Inputs!$B$23/12))</f>
        <v>64184.7226609573</v>
      </c>
      <c r="M82" s="11" t="n">
        <f aca="false">K82-L82</f>
        <v>15404.424197266</v>
      </c>
      <c r="N82" s="11" t="n">
        <f aca="false">J82-M82</f>
        <v>11834082.8362872</v>
      </c>
    </row>
    <row r="83" customFormat="false" ht="15" hidden="false" customHeight="false" outlineLevel="0" collapsed="false">
      <c r="A83" s="2" t="n">
        <v>82</v>
      </c>
      <c r="B83" s="2" t="n">
        <f aca="false">ROUNDUP(A83/12,0)</f>
        <v>7</v>
      </c>
      <c r="C83" s="11" t="n">
        <f aca="false">SUM(INDEX(Mkt!$C$3:$ED$122,0,A83))</f>
        <v>232159.588014133</v>
      </c>
      <c r="D83" s="11" t="n">
        <f aca="false">SUMIF(Units!$P$2:$P$121,"&lt;="&amp;A83,INDEX(Mkt!$C$3:$ED$122,0,A83))</f>
        <v>232159.588014133</v>
      </c>
      <c r="E83" s="11" t="n">
        <f aca="false">SUM(INDEX(Rent!$C$3:$ED$122,0,A83))</f>
        <v>231205.27359617</v>
      </c>
      <c r="F83" s="11" t="n">
        <f aca="false">D83-E83</f>
        <v>954.31441796376</v>
      </c>
      <c r="G83" s="11" t="n">
        <f aca="false">C83-D83</f>
        <v>0</v>
      </c>
      <c r="H83" s="2" t="n">
        <f aca="false">COUNTIF(Units!$P$2:$P$121,"&lt;="&amp;A83)</f>
        <v>120</v>
      </c>
      <c r="I83" s="11" t="n">
        <f aca="false">SUM(INDEX(Turnover!$C$3:$ED$122,0,A83))</f>
        <v>4179.1830378515</v>
      </c>
      <c r="J83" s="11" t="n">
        <f aca="false">N82</f>
        <v>11834082.8362872</v>
      </c>
      <c r="K83" s="11" t="n">
        <f aca="false">IF(A83&gt;Inputs!$B$21*12,0,IF(A83&lt;=Inputs!$B$24*12,J83*(Inputs!$B$23/12),Returns!$C$11))</f>
        <v>79589.1468582233</v>
      </c>
      <c r="L83" s="11" t="n">
        <f aca="false">IF(A83&gt;Inputs!$B$21*12,0,J83*(Inputs!$B$23/12))</f>
        <v>64101.2820298887</v>
      </c>
      <c r="M83" s="11" t="n">
        <f aca="false">K83-L83</f>
        <v>15487.8648283345</v>
      </c>
      <c r="N83" s="11" t="n">
        <f aca="false">J83-M83</f>
        <v>11818594.9714588</v>
      </c>
    </row>
    <row r="84" customFormat="false" ht="15" hidden="false" customHeight="false" outlineLevel="0" collapsed="false">
      <c r="A84" s="2" t="n">
        <v>83</v>
      </c>
      <c r="B84" s="2" t="n">
        <f aca="false">ROUNDUP(A84/12,0)</f>
        <v>7</v>
      </c>
      <c r="C84" s="11" t="n">
        <f aca="false">SUM(INDEX(Mkt!$C$3:$ED$122,0,A84))</f>
        <v>232159.588014133</v>
      </c>
      <c r="D84" s="11" t="n">
        <f aca="false">SUMIF(Units!$P$2:$P$121,"&lt;="&amp;A84,INDEX(Mkt!$C$3:$ED$122,0,A84))</f>
        <v>232159.588014133</v>
      </c>
      <c r="E84" s="11" t="n">
        <f aca="false">SUM(INDEX(Rent!$C$3:$ED$122,0,A84))</f>
        <v>231608.005409582</v>
      </c>
      <c r="F84" s="11" t="n">
        <f aca="false">D84-E84</f>
        <v>551.582604551921</v>
      </c>
      <c r="G84" s="11" t="n">
        <f aca="false">C84-D84</f>
        <v>0</v>
      </c>
      <c r="H84" s="2" t="n">
        <f aca="false">COUNTIF(Units!$P$2:$P$121,"&lt;="&amp;A84)</f>
        <v>120</v>
      </c>
      <c r="I84" s="11" t="n">
        <f aca="false">SUM(INDEX(Turnover!$C$3:$ED$122,0,A84))</f>
        <v>4179.1830378515</v>
      </c>
      <c r="J84" s="11" t="n">
        <f aca="false">N83</f>
        <v>11818594.9714588</v>
      </c>
      <c r="K84" s="11" t="n">
        <f aca="false">IF(A84&gt;Inputs!$B$21*12,0,IF(A84&lt;=Inputs!$B$24*12,J84*(Inputs!$B$23/12),Returns!$C$11))</f>
        <v>79589.1468582233</v>
      </c>
      <c r="L84" s="11" t="n">
        <f aca="false">IF(A84&gt;Inputs!$B$21*12,0,J84*(Inputs!$B$23/12))</f>
        <v>64017.3894287353</v>
      </c>
      <c r="M84" s="11" t="n">
        <f aca="false">K84-L84</f>
        <v>15571.757429488</v>
      </c>
      <c r="N84" s="11" t="n">
        <f aca="false">J84-M84</f>
        <v>11803023.2140293</v>
      </c>
    </row>
    <row r="85" customFormat="false" ht="15" hidden="false" customHeight="false" outlineLevel="0" collapsed="false">
      <c r="A85" s="2" t="n">
        <v>84</v>
      </c>
      <c r="B85" s="2" t="n">
        <f aca="false">ROUNDUP(A85/12,0)</f>
        <v>7</v>
      </c>
      <c r="C85" s="11" t="n">
        <f aca="false">SUM(INDEX(Mkt!$C$3:$ED$122,0,A85))</f>
        <v>232159.588014133</v>
      </c>
      <c r="D85" s="11" t="n">
        <f aca="false">SUMIF(Units!$P$2:$P$121,"&lt;="&amp;A85,INDEX(Mkt!$C$3:$ED$122,0,A85))</f>
        <v>232159.588014133</v>
      </c>
      <c r="E85" s="11" t="n">
        <f aca="false">SUM(INDEX(Rent!$C$3:$ED$122,0,A85))</f>
        <v>232159.588014133</v>
      </c>
      <c r="F85" s="11" t="n">
        <f aca="false">D85-E85</f>
        <v>0</v>
      </c>
      <c r="G85" s="11" t="n">
        <f aca="false">C85-D85</f>
        <v>0</v>
      </c>
      <c r="H85" s="2" t="n">
        <f aca="false">COUNTIF(Units!$P$2:$P$121,"&lt;="&amp;A85)</f>
        <v>120</v>
      </c>
      <c r="I85" s="11" t="n">
        <f aca="false">SUM(INDEX(Turnover!$C$3:$ED$122,0,A85))</f>
        <v>5970.261482645</v>
      </c>
      <c r="J85" s="11" t="n">
        <f aca="false">N84</f>
        <v>11803023.2140293</v>
      </c>
      <c r="K85" s="11" t="n">
        <f aca="false">IF(A85&gt;Inputs!$B$21*12,0,IF(A85&lt;=Inputs!$B$24*12,J85*(Inputs!$B$23/12),Returns!$C$11))</f>
        <v>79589.1468582233</v>
      </c>
      <c r="L85" s="11" t="n">
        <f aca="false">IF(A85&gt;Inputs!$B$21*12,0,J85*(Inputs!$B$23/12))</f>
        <v>63933.0424093255</v>
      </c>
      <c r="M85" s="11" t="n">
        <f aca="false">K85-L85</f>
        <v>15656.1044488977</v>
      </c>
      <c r="N85" s="11" t="n">
        <f aca="false">J85-M85</f>
        <v>11787367.1095804</v>
      </c>
    </row>
    <row r="86" customFormat="false" ht="15" hidden="false" customHeight="false" outlineLevel="0" collapsed="false">
      <c r="A86" s="2" t="n">
        <v>85</v>
      </c>
      <c r="B86" s="2" t="n">
        <f aca="false">ROUNDUP(A86/12,0)</f>
        <v>8</v>
      </c>
      <c r="C86" s="11" t="n">
        <f aca="false">SUM(INDEX(Mkt!$C$3:$ED$122,0,A86))</f>
        <v>239124.375654558</v>
      </c>
      <c r="D86" s="11" t="n">
        <f aca="false">SUMIF(Units!$P$2:$P$121,"&lt;="&amp;A86,INDEX(Mkt!$C$3:$ED$122,0,A86))</f>
        <v>239124.375654558</v>
      </c>
      <c r="E86" s="11" t="n">
        <f aca="false">SUM(INDEX(Rent!$C$3:$ED$122,0,A86))</f>
        <v>233355.132876033</v>
      </c>
      <c r="F86" s="11" t="n">
        <f aca="false">D86-E86</f>
        <v>5769.24277852435</v>
      </c>
      <c r="G86" s="11" t="n">
        <f aca="false">C86-D86</f>
        <v>0</v>
      </c>
      <c r="H86" s="2" t="n">
        <f aca="false">COUNTIF(Units!$P$2:$P$121,"&lt;="&amp;A86)</f>
        <v>120</v>
      </c>
      <c r="I86" s="11" t="n">
        <f aca="false">SUM(INDEX(Turnover!$C$3:$ED$122,0,A86))</f>
        <v>12913.6755869611</v>
      </c>
      <c r="J86" s="11" t="n">
        <f aca="false">N85</f>
        <v>11787367.1095804</v>
      </c>
      <c r="K86" s="11" t="n">
        <f aca="false">IF(A86&gt;Inputs!$B$21*12,0,IF(A86&lt;=Inputs!$B$24*12,J86*(Inputs!$B$23/12),Returns!$C$11))</f>
        <v>79589.1468582233</v>
      </c>
      <c r="L86" s="11" t="n">
        <f aca="false">IF(A86&gt;Inputs!$B$21*12,0,J86*(Inputs!$B$23/12))</f>
        <v>63848.2385102273</v>
      </c>
      <c r="M86" s="11" t="n">
        <f aca="false">K86-L86</f>
        <v>15740.9083479959</v>
      </c>
      <c r="N86" s="11" t="n">
        <f aca="false">J86-M86</f>
        <v>11771626.2012324</v>
      </c>
    </row>
    <row r="87" customFormat="false" ht="15" hidden="false" customHeight="false" outlineLevel="0" collapsed="false">
      <c r="A87" s="2" t="n">
        <v>86</v>
      </c>
      <c r="B87" s="2" t="n">
        <f aca="false">ROUNDUP(A87/12,0)</f>
        <v>8</v>
      </c>
      <c r="C87" s="11" t="n">
        <f aca="false">SUM(INDEX(Mkt!$C$3:$ED$122,0,A87))</f>
        <v>239124.375654558</v>
      </c>
      <c r="D87" s="11" t="n">
        <f aca="false">SUMIF(Units!$P$2:$P$121,"&lt;="&amp;A87,INDEX(Mkt!$C$3:$ED$122,0,A87))</f>
        <v>239124.375654558</v>
      </c>
      <c r="E87" s="11" t="n">
        <f aca="false">SUM(INDEX(Rent!$C$3:$ED$122,0,A87))</f>
        <v>233977.890851288</v>
      </c>
      <c r="F87" s="11" t="n">
        <f aca="false">D87-E87</f>
        <v>5146.48480326965</v>
      </c>
      <c r="G87" s="11" t="n">
        <f aca="false">C87-D87</f>
        <v>0</v>
      </c>
      <c r="H87" s="2" t="n">
        <f aca="false">COUNTIF(Units!$P$2:$P$121,"&lt;="&amp;A87)</f>
        <v>120</v>
      </c>
      <c r="I87" s="11" t="n">
        <f aca="false">SUM(INDEX(Turnover!$C$3:$ED$122,0,A87))</f>
        <v>6764.30625983679</v>
      </c>
      <c r="J87" s="11" t="n">
        <f aca="false">N86</f>
        <v>11771626.2012324</v>
      </c>
      <c r="K87" s="11" t="n">
        <f aca="false">IF(A87&gt;Inputs!$B$21*12,0,IF(A87&lt;=Inputs!$B$24*12,J87*(Inputs!$B$23/12),Returns!$C$11))</f>
        <v>79589.1468582233</v>
      </c>
      <c r="L87" s="11" t="n">
        <f aca="false">IF(A87&gt;Inputs!$B$21*12,0,J87*(Inputs!$B$23/12))</f>
        <v>63762.9752566757</v>
      </c>
      <c r="M87" s="11" t="n">
        <f aca="false">K87-L87</f>
        <v>15826.1716015476</v>
      </c>
      <c r="N87" s="11" t="n">
        <f aca="false">J87-M87</f>
        <v>11755800.0296309</v>
      </c>
    </row>
    <row r="88" customFormat="false" ht="15" hidden="false" customHeight="false" outlineLevel="0" collapsed="false">
      <c r="A88" s="2" t="n">
        <v>87</v>
      </c>
      <c r="B88" s="2" t="n">
        <f aca="false">ROUNDUP(A88/12,0)</f>
        <v>8</v>
      </c>
      <c r="C88" s="11" t="n">
        <f aca="false">SUM(INDEX(Mkt!$C$3:$ED$122,0,A88))</f>
        <v>239124.375654558</v>
      </c>
      <c r="D88" s="11" t="n">
        <f aca="false">SUMIF(Units!$P$2:$P$121,"&lt;="&amp;A88,INDEX(Mkt!$C$3:$ED$122,0,A88))</f>
        <v>239124.375654558</v>
      </c>
      <c r="E88" s="11" t="n">
        <f aca="false">SUM(INDEX(Rent!$C$3:$ED$122,0,A88))</f>
        <v>234734.621494213</v>
      </c>
      <c r="F88" s="11" t="n">
        <f aca="false">D88-E88</f>
        <v>4389.7541603444</v>
      </c>
      <c r="G88" s="11" t="n">
        <f aca="false">C88-D88</f>
        <v>0</v>
      </c>
      <c r="H88" s="2" t="n">
        <f aca="false">COUNTIF(Units!$P$2:$P$121,"&lt;="&amp;A88)</f>
        <v>120</v>
      </c>
      <c r="I88" s="11" t="n">
        <f aca="false">SUM(INDEX(Turnover!$C$3:$ED$122,0,A88))</f>
        <v>7379.24319254922</v>
      </c>
      <c r="J88" s="11" t="n">
        <f aca="false">N87</f>
        <v>11755800.0296309</v>
      </c>
      <c r="K88" s="11" t="n">
        <f aca="false">IF(A88&gt;Inputs!$B$21*12,0,IF(A88&lt;=Inputs!$B$24*12,J88*(Inputs!$B$23/12),Returns!$C$11))</f>
        <v>79589.1468582233</v>
      </c>
      <c r="L88" s="11" t="n">
        <f aca="false">IF(A88&gt;Inputs!$B$21*12,0,J88*(Inputs!$B$23/12))</f>
        <v>63677.2501605007</v>
      </c>
      <c r="M88" s="11" t="n">
        <f aca="false">K88-L88</f>
        <v>15911.8966977226</v>
      </c>
      <c r="N88" s="11" t="n">
        <f aca="false">J88-M88</f>
        <v>11739888.1329332</v>
      </c>
    </row>
    <row r="89" customFormat="false" ht="15" hidden="false" customHeight="false" outlineLevel="0" collapsed="false">
      <c r="A89" s="2" t="n">
        <v>88</v>
      </c>
      <c r="B89" s="2" t="n">
        <f aca="false">ROUNDUP(A89/12,0)</f>
        <v>8</v>
      </c>
      <c r="C89" s="11" t="n">
        <f aca="false">SUM(INDEX(Mkt!$C$3:$ED$122,0,A89))</f>
        <v>239124.375654558</v>
      </c>
      <c r="D89" s="11" t="n">
        <f aca="false">SUMIF(Units!$P$2:$P$121,"&lt;="&amp;A89,INDEX(Mkt!$C$3:$ED$122,0,A89))</f>
        <v>239124.375654558</v>
      </c>
      <c r="E89" s="11" t="n">
        <f aca="false">SUM(INDEX(Rent!$C$3:$ED$122,0,A89))</f>
        <v>235348.065861555</v>
      </c>
      <c r="F89" s="11" t="n">
        <f aca="false">D89-E89</f>
        <v>3776.30979300264</v>
      </c>
      <c r="G89" s="11" t="n">
        <f aca="false">C89-D89</f>
        <v>0</v>
      </c>
      <c r="H89" s="2" t="n">
        <f aca="false">COUNTIF(Units!$P$2:$P$121,"&lt;="&amp;A89)</f>
        <v>120</v>
      </c>
      <c r="I89" s="11" t="n">
        <f aca="false">SUM(INDEX(Turnover!$C$3:$ED$122,0,A89))</f>
        <v>6764.30625983679</v>
      </c>
      <c r="J89" s="11" t="n">
        <f aca="false">N88</f>
        <v>11739888.1329332</v>
      </c>
      <c r="K89" s="11" t="n">
        <f aca="false">IF(A89&gt;Inputs!$B$21*12,0,IF(A89&lt;=Inputs!$B$24*12,J89*(Inputs!$B$23/12),Returns!$C$11))</f>
        <v>79589.1468582233</v>
      </c>
      <c r="L89" s="11" t="n">
        <f aca="false">IF(A89&gt;Inputs!$B$21*12,0,J89*(Inputs!$B$23/12))</f>
        <v>63591.0607200547</v>
      </c>
      <c r="M89" s="11" t="n">
        <f aca="false">K89-L89</f>
        <v>15998.0861381686</v>
      </c>
      <c r="N89" s="11" t="n">
        <f aca="false">J89-M89</f>
        <v>11723890.046795</v>
      </c>
    </row>
    <row r="90" customFormat="false" ht="15" hidden="false" customHeight="false" outlineLevel="0" collapsed="false">
      <c r="A90" s="2" t="n">
        <v>89</v>
      </c>
      <c r="B90" s="2" t="n">
        <f aca="false">ROUNDUP(A90/12,0)</f>
        <v>8</v>
      </c>
      <c r="C90" s="11" t="n">
        <f aca="false">SUM(INDEX(Mkt!$C$3:$ED$122,0,A90))</f>
        <v>239124.375654558</v>
      </c>
      <c r="D90" s="11" t="n">
        <f aca="false">SUMIF(Units!$P$2:$P$121,"&lt;="&amp;A90,INDEX(Mkt!$C$3:$ED$122,0,A90))</f>
        <v>239124.375654558</v>
      </c>
      <c r="E90" s="11" t="n">
        <f aca="false">SUM(INDEX(Rent!$C$3:$ED$122,0,A90))</f>
        <v>235628.011422476</v>
      </c>
      <c r="F90" s="11" t="n">
        <f aca="false">D90-E90</f>
        <v>3496.3642320814</v>
      </c>
      <c r="G90" s="11" t="n">
        <f aca="false">C90-D90</f>
        <v>0</v>
      </c>
      <c r="H90" s="2" t="n">
        <f aca="false">COUNTIF(Units!$P$2:$P$121,"&lt;="&amp;A90)</f>
        <v>120</v>
      </c>
      <c r="I90" s="11" t="n">
        <f aca="false">SUM(INDEX(Turnover!$C$3:$ED$122,0,A90))</f>
        <v>3074.68466356218</v>
      </c>
      <c r="J90" s="11" t="n">
        <f aca="false">N89</f>
        <v>11723890.046795</v>
      </c>
      <c r="K90" s="11" t="n">
        <f aca="false">IF(A90&gt;Inputs!$B$21*12,0,IF(A90&lt;=Inputs!$B$24*12,J90*(Inputs!$B$23/12),Returns!$C$11))</f>
        <v>79589.1468582233</v>
      </c>
      <c r="L90" s="11" t="n">
        <f aca="false">IF(A90&gt;Inputs!$B$21*12,0,J90*(Inputs!$B$23/12))</f>
        <v>63504.4044201396</v>
      </c>
      <c r="M90" s="11" t="n">
        <f aca="false">K90-L90</f>
        <v>16084.7424380837</v>
      </c>
      <c r="N90" s="11" t="n">
        <f aca="false">J90-M90</f>
        <v>11707805.3043569</v>
      </c>
    </row>
    <row r="91" customFormat="false" ht="15" hidden="false" customHeight="false" outlineLevel="0" collapsed="false">
      <c r="A91" s="2" t="n">
        <v>90</v>
      </c>
      <c r="B91" s="2" t="n">
        <f aca="false">ROUNDUP(A91/12,0)</f>
        <v>8</v>
      </c>
      <c r="C91" s="11" t="n">
        <f aca="false">SUM(INDEX(Mkt!$C$3:$ED$122,0,A91))</f>
        <v>239124.375654558</v>
      </c>
      <c r="D91" s="11" t="n">
        <f aca="false">SUMIF(Units!$P$2:$P$121,"&lt;="&amp;A91,INDEX(Mkt!$C$3:$ED$122,0,A91))</f>
        <v>239124.375654558</v>
      </c>
      <c r="E91" s="11" t="n">
        <f aca="false">SUM(INDEX(Rent!$C$3:$ED$122,0,A91))</f>
        <v>235959.181826918</v>
      </c>
      <c r="F91" s="11" t="n">
        <f aca="false">D91-E91</f>
        <v>3165.19382763907</v>
      </c>
      <c r="G91" s="11" t="n">
        <f aca="false">C91-D91</f>
        <v>0</v>
      </c>
      <c r="H91" s="2" t="n">
        <f aca="false">COUNTIF(Units!$P$2:$P$121,"&lt;="&amp;A91)</f>
        <v>120</v>
      </c>
      <c r="I91" s="11" t="n">
        <f aca="false">SUM(INDEX(Turnover!$C$3:$ED$122,0,A91))</f>
        <v>3689.62159627461</v>
      </c>
      <c r="J91" s="11" t="n">
        <f aca="false">N90</f>
        <v>11707805.3043569</v>
      </c>
      <c r="K91" s="11" t="n">
        <f aca="false">IF(A91&gt;Inputs!$B$21*12,0,IF(A91&lt;=Inputs!$B$24*12,J91*(Inputs!$B$23/12),Returns!$C$11))</f>
        <v>79589.1468582233</v>
      </c>
      <c r="L91" s="11" t="n">
        <f aca="false">IF(A91&gt;Inputs!$B$21*12,0,J91*(Inputs!$B$23/12))</f>
        <v>63417.2787319333</v>
      </c>
      <c r="M91" s="11" t="n">
        <f aca="false">K91-L91</f>
        <v>16171.86812629</v>
      </c>
      <c r="N91" s="11" t="n">
        <f aca="false">J91-M91</f>
        <v>11691633.4362306</v>
      </c>
    </row>
    <row r="92" customFormat="false" ht="15" hidden="false" customHeight="false" outlineLevel="0" collapsed="false">
      <c r="A92" s="2" t="n">
        <v>91</v>
      </c>
      <c r="B92" s="2" t="n">
        <f aca="false">ROUNDUP(A92/12,0)</f>
        <v>8</v>
      </c>
      <c r="C92" s="11" t="n">
        <f aca="false">SUM(INDEX(Mkt!$C$3:$ED$122,0,A92))</f>
        <v>239124.375654558</v>
      </c>
      <c r="D92" s="11" t="n">
        <f aca="false">SUMIF(Units!$P$2:$P$121,"&lt;="&amp;A92,INDEX(Mkt!$C$3:$ED$122,0,A92))</f>
        <v>239124.375654558</v>
      </c>
      <c r="E92" s="11" t="n">
        <f aca="false">SUM(INDEX(Rent!$C$3:$ED$122,0,A92))</f>
        <v>236528.744772363</v>
      </c>
      <c r="F92" s="11" t="n">
        <f aca="false">D92-E92</f>
        <v>2595.63088219476</v>
      </c>
      <c r="G92" s="11" t="n">
        <f aca="false">C92-D92</f>
        <v>0</v>
      </c>
      <c r="H92" s="2" t="n">
        <f aca="false">COUNTIF(Units!$P$2:$P$121,"&lt;="&amp;A92)</f>
        <v>120</v>
      </c>
      <c r="I92" s="11" t="n">
        <f aca="false">SUM(INDEX(Turnover!$C$3:$ED$122,0,A92))</f>
        <v>5534.43239441192</v>
      </c>
      <c r="J92" s="11" t="n">
        <f aca="false">N91</f>
        <v>11691633.4362306</v>
      </c>
      <c r="K92" s="11" t="n">
        <f aca="false">IF(A92&gt;Inputs!$B$21*12,0,IF(A92&lt;=Inputs!$B$24*12,J92*(Inputs!$B$23/12),Returns!$C$11))</f>
        <v>79589.1468582233</v>
      </c>
      <c r="L92" s="11" t="n">
        <f aca="false">IF(A92&gt;Inputs!$B$21*12,0,J92*(Inputs!$B$23/12))</f>
        <v>63329.6811129159</v>
      </c>
      <c r="M92" s="11" t="n">
        <f aca="false">K92-L92</f>
        <v>16259.4657453074</v>
      </c>
      <c r="N92" s="11" t="n">
        <f aca="false">J92-M92</f>
        <v>11675373.9704853</v>
      </c>
    </row>
    <row r="93" customFormat="false" ht="15" hidden="false" customHeight="false" outlineLevel="0" collapsed="false">
      <c r="A93" s="2" t="n">
        <v>92</v>
      </c>
      <c r="B93" s="2" t="n">
        <f aca="false">ROUNDUP(A93/12,0)</f>
        <v>8</v>
      </c>
      <c r="C93" s="11" t="n">
        <f aca="false">SUM(INDEX(Mkt!$C$3:$ED$122,0,A93))</f>
        <v>239124.375654558</v>
      </c>
      <c r="D93" s="11" t="n">
        <f aca="false">SUMIF(Units!$P$2:$P$121,"&lt;="&amp;A93,INDEX(Mkt!$C$3:$ED$122,0,A93))</f>
        <v>239124.375654558</v>
      </c>
      <c r="E93" s="11" t="n">
        <f aca="false">SUM(INDEX(Rent!$C$3:$ED$122,0,A93))</f>
        <v>237149.532561328</v>
      </c>
      <c r="F93" s="11" t="n">
        <f aca="false">D93-E93</f>
        <v>1974.84309322931</v>
      </c>
      <c r="G93" s="11" t="n">
        <f aca="false">C93-D93</f>
        <v>0</v>
      </c>
      <c r="H93" s="2" t="n">
        <f aca="false">COUNTIF(Units!$P$2:$P$121,"&lt;="&amp;A93)</f>
        <v>120</v>
      </c>
      <c r="I93" s="11" t="n">
        <f aca="false">SUM(INDEX(Turnover!$C$3:$ED$122,0,A93))</f>
        <v>6149.36932712435</v>
      </c>
      <c r="J93" s="11" t="n">
        <f aca="false">N92</f>
        <v>11675373.9704853</v>
      </c>
      <c r="K93" s="11" t="n">
        <f aca="false">IF(A93&gt;Inputs!$B$21*12,0,IF(A93&lt;=Inputs!$B$24*12,J93*(Inputs!$B$23/12),Returns!$C$11))</f>
        <v>79589.1468582233</v>
      </c>
      <c r="L93" s="11" t="n">
        <f aca="false">IF(A93&gt;Inputs!$B$21*12,0,J93*(Inputs!$B$23/12))</f>
        <v>63241.6090067955</v>
      </c>
      <c r="M93" s="11" t="n">
        <f aca="false">K93-L93</f>
        <v>16347.5378514278</v>
      </c>
      <c r="N93" s="11" t="n">
        <f aca="false">J93-M93</f>
        <v>11659026.4326339</v>
      </c>
    </row>
    <row r="94" customFormat="false" ht="15" hidden="false" customHeight="false" outlineLevel="0" collapsed="false">
      <c r="A94" s="2" t="n">
        <v>93</v>
      </c>
      <c r="B94" s="2" t="n">
        <f aca="false">ROUNDUP(A94/12,0)</f>
        <v>8</v>
      </c>
      <c r="C94" s="11" t="n">
        <f aca="false">SUM(INDEX(Mkt!$C$3:$ED$122,0,A94))</f>
        <v>239124.375654558</v>
      </c>
      <c r="D94" s="11" t="n">
        <f aca="false">SUMIF(Units!$P$2:$P$121,"&lt;="&amp;A94,INDEX(Mkt!$C$3:$ED$122,0,A94))</f>
        <v>239124.375654558</v>
      </c>
      <c r="E94" s="11" t="n">
        <f aca="false">SUM(INDEX(Rent!$C$3:$ED$122,0,A94))</f>
        <v>237726.618036241</v>
      </c>
      <c r="F94" s="11" t="n">
        <f aca="false">D94-E94</f>
        <v>1397.75761831686</v>
      </c>
      <c r="G94" s="11" t="n">
        <f aca="false">C94-D94</f>
        <v>0</v>
      </c>
      <c r="H94" s="2" t="n">
        <f aca="false">COUNTIF(Units!$P$2:$P$121,"&lt;="&amp;A94)</f>
        <v>120</v>
      </c>
      <c r="I94" s="11" t="n">
        <f aca="false">SUM(INDEX(Turnover!$C$3:$ED$122,0,A94))</f>
        <v>6764.30625983679</v>
      </c>
      <c r="J94" s="11" t="n">
        <f aca="false">N93</f>
        <v>11659026.4326339</v>
      </c>
      <c r="K94" s="11" t="n">
        <f aca="false">IF(A94&gt;Inputs!$B$21*12,0,IF(A94&lt;=Inputs!$B$24*12,J94*(Inputs!$B$23/12),Returns!$C$11))</f>
        <v>79589.1468582233</v>
      </c>
      <c r="L94" s="11" t="n">
        <f aca="false">IF(A94&gt;Inputs!$B$21*12,0,J94*(Inputs!$B$23/12))</f>
        <v>63153.0598434336</v>
      </c>
      <c r="M94" s="11" t="n">
        <f aca="false">K94-L94</f>
        <v>16436.0870147897</v>
      </c>
      <c r="N94" s="11" t="n">
        <f aca="false">J94-M94</f>
        <v>11642590.3456191</v>
      </c>
    </row>
    <row r="95" customFormat="false" ht="15" hidden="false" customHeight="false" outlineLevel="0" collapsed="false">
      <c r="A95" s="2" t="n">
        <v>94</v>
      </c>
      <c r="B95" s="2" t="n">
        <f aca="false">ROUNDUP(A95/12,0)</f>
        <v>8</v>
      </c>
      <c r="C95" s="11" t="n">
        <f aca="false">SUM(INDEX(Mkt!$C$3:$ED$122,0,A95))</f>
        <v>239124.375654558</v>
      </c>
      <c r="D95" s="11" t="n">
        <f aca="false">SUMIF(Units!$P$2:$P$121,"&lt;="&amp;A95,INDEX(Mkt!$C$3:$ED$122,0,A95))</f>
        <v>239124.375654558</v>
      </c>
      <c r="E95" s="11" t="n">
        <f aca="false">SUM(INDEX(Rent!$C$3:$ED$122,0,A95))</f>
        <v>238141.431804055</v>
      </c>
      <c r="F95" s="11" t="n">
        <f aca="false">D95-E95</f>
        <v>982.943850502692</v>
      </c>
      <c r="G95" s="11" t="n">
        <f aca="false">C95-D95</f>
        <v>0</v>
      </c>
      <c r="H95" s="2" t="n">
        <f aca="false">COUNTIF(Units!$P$2:$P$121,"&lt;="&amp;A95)</f>
        <v>120</v>
      </c>
      <c r="I95" s="11" t="n">
        <f aca="false">SUM(INDEX(Turnover!$C$3:$ED$122,0,A95))</f>
        <v>4304.55852898705</v>
      </c>
      <c r="J95" s="11" t="n">
        <f aca="false">N94</f>
        <v>11642590.3456191</v>
      </c>
      <c r="K95" s="11" t="n">
        <f aca="false">IF(A95&gt;Inputs!$B$21*12,0,IF(A95&lt;=Inputs!$B$24*12,J95*(Inputs!$B$23/12),Returns!$C$11))</f>
        <v>79589.1468582233</v>
      </c>
      <c r="L95" s="11" t="n">
        <f aca="false">IF(A95&gt;Inputs!$B$21*12,0,J95*(Inputs!$B$23/12))</f>
        <v>63064.0310387701</v>
      </c>
      <c r="M95" s="11" t="n">
        <f aca="false">K95-L95</f>
        <v>16525.1158194532</v>
      </c>
      <c r="N95" s="11" t="n">
        <f aca="false">J95-M95</f>
        <v>11626065.2297996</v>
      </c>
    </row>
    <row r="96" customFormat="false" ht="15" hidden="false" customHeight="false" outlineLevel="0" collapsed="false">
      <c r="A96" s="2" t="n">
        <v>95</v>
      </c>
      <c r="B96" s="2" t="n">
        <f aca="false">ROUNDUP(A96/12,0)</f>
        <v>8</v>
      </c>
      <c r="C96" s="11" t="n">
        <f aca="false">SUM(INDEX(Mkt!$C$3:$ED$122,0,A96))</f>
        <v>239124.375654558</v>
      </c>
      <c r="D96" s="11" t="n">
        <f aca="false">SUMIF(Units!$P$2:$P$121,"&lt;="&amp;A96,INDEX(Mkt!$C$3:$ED$122,0,A96))</f>
        <v>239124.375654558</v>
      </c>
      <c r="E96" s="11" t="n">
        <f aca="false">SUM(INDEX(Rent!$C$3:$ED$122,0,A96))</f>
        <v>238556.245571869</v>
      </c>
      <c r="F96" s="11" t="n">
        <f aca="false">D96-E96</f>
        <v>568.130082688498</v>
      </c>
      <c r="G96" s="11" t="n">
        <f aca="false">C96-D96</f>
        <v>0</v>
      </c>
      <c r="H96" s="2" t="n">
        <f aca="false">COUNTIF(Units!$P$2:$P$121,"&lt;="&amp;A96)</f>
        <v>120</v>
      </c>
      <c r="I96" s="11" t="n">
        <f aca="false">SUM(INDEX(Turnover!$C$3:$ED$122,0,A96))</f>
        <v>4304.55852898705</v>
      </c>
      <c r="J96" s="11" t="n">
        <f aca="false">N95</f>
        <v>11626065.2297996</v>
      </c>
      <c r="K96" s="11" t="n">
        <f aca="false">IF(A96&gt;Inputs!$B$21*12,0,IF(A96&lt;=Inputs!$B$24*12,J96*(Inputs!$B$23/12),Returns!$C$11))</f>
        <v>79589.1468582233</v>
      </c>
      <c r="L96" s="11" t="n">
        <f aca="false">IF(A96&gt;Inputs!$B$21*12,0,J96*(Inputs!$B$23/12))</f>
        <v>62974.5199947481</v>
      </c>
      <c r="M96" s="11" t="n">
        <f aca="false">K96-L96</f>
        <v>16614.6268634752</v>
      </c>
      <c r="N96" s="11" t="n">
        <f aca="false">J96-M96</f>
        <v>11609450.6029362</v>
      </c>
    </row>
    <row r="97" customFormat="false" ht="15" hidden="false" customHeight="false" outlineLevel="0" collapsed="false">
      <c r="A97" s="2" t="n">
        <v>96</v>
      </c>
      <c r="B97" s="2" t="n">
        <f aca="false">ROUNDUP(A97/12,0)</f>
        <v>8</v>
      </c>
      <c r="C97" s="11" t="n">
        <f aca="false">SUM(INDEX(Mkt!$C$3:$ED$122,0,A97))</f>
        <v>239124.375654558</v>
      </c>
      <c r="D97" s="11" t="n">
        <f aca="false">SUMIF(Units!$P$2:$P$121,"&lt;="&amp;A97,INDEX(Mkt!$C$3:$ED$122,0,A97))</f>
        <v>239124.375654558</v>
      </c>
      <c r="E97" s="11" t="n">
        <f aca="false">SUM(INDEX(Rent!$C$3:$ED$122,0,A97))</f>
        <v>239124.375654558</v>
      </c>
      <c r="F97" s="11" t="n">
        <f aca="false">D97-E97</f>
        <v>0</v>
      </c>
      <c r="G97" s="11" t="n">
        <f aca="false">C97-D97</f>
        <v>0</v>
      </c>
      <c r="H97" s="2" t="n">
        <f aca="false">COUNTIF(Units!$P$2:$P$121,"&lt;="&amp;A97)</f>
        <v>120</v>
      </c>
      <c r="I97" s="11" t="n">
        <f aca="false">SUM(INDEX(Turnover!$C$3:$ED$122,0,A97))</f>
        <v>6149.36932712435</v>
      </c>
      <c r="J97" s="11" t="n">
        <f aca="false">N96</f>
        <v>11609450.6029362</v>
      </c>
      <c r="K97" s="11" t="n">
        <f aca="false">IF(A97&gt;Inputs!$B$21*12,0,IF(A97&lt;=Inputs!$B$24*12,J97*(Inputs!$B$23/12),Returns!$C$11))</f>
        <v>79589.1468582233</v>
      </c>
      <c r="L97" s="11" t="n">
        <f aca="false">IF(A97&gt;Inputs!$B$21*12,0,J97*(Inputs!$B$23/12))</f>
        <v>62884.5240992376</v>
      </c>
      <c r="M97" s="11" t="n">
        <f aca="false">K97-L97</f>
        <v>16704.6227589857</v>
      </c>
      <c r="N97" s="11" t="n">
        <f aca="false">J97-M97</f>
        <v>11592745.9801772</v>
      </c>
    </row>
    <row r="98" customFormat="false" ht="15" hidden="false" customHeight="false" outlineLevel="0" collapsed="false">
      <c r="A98" s="2" t="n">
        <v>97</v>
      </c>
      <c r="B98" s="2" t="n">
        <f aca="false">ROUNDUP(A98/12,0)</f>
        <v>9</v>
      </c>
      <c r="C98" s="11" t="n">
        <f aca="false">SUM(INDEX(Mkt!$C$3:$ED$122,0,A98))</f>
        <v>246298.106924194</v>
      </c>
      <c r="D98" s="11" t="n">
        <f aca="false">SUMIF(Units!$P$2:$P$121,"&lt;="&amp;A98,INDEX(Mkt!$C$3:$ED$122,0,A98))</f>
        <v>246298.106924194</v>
      </c>
      <c r="E98" s="11" t="n">
        <f aca="false">SUM(INDEX(Rent!$C$3:$ED$122,0,A98))</f>
        <v>240355.786862314</v>
      </c>
      <c r="F98" s="11" t="n">
        <f aca="false">D98-E98</f>
        <v>5942.32006188011</v>
      </c>
      <c r="G98" s="11" t="n">
        <f aca="false">C98-D98</f>
        <v>0</v>
      </c>
      <c r="H98" s="2" t="n">
        <f aca="false">COUNTIF(Units!$P$2:$P$121,"&lt;="&amp;A98)</f>
        <v>120</v>
      </c>
      <c r="I98" s="11" t="n">
        <f aca="false">SUM(INDEX(Turnover!$C$3:$ED$122,0,A98))</f>
        <v>13301.08585457</v>
      </c>
      <c r="J98" s="11" t="n">
        <f aca="false">N97</f>
        <v>11592745.9801772</v>
      </c>
      <c r="K98" s="11" t="n">
        <f aca="false">IF(A98&gt;Inputs!$B$21*12,0,IF(A98&lt;=Inputs!$B$24*12,J98*(Inputs!$B$23/12),Returns!$C$11))</f>
        <v>79589.1468582233</v>
      </c>
      <c r="L98" s="11" t="n">
        <f aca="false">IF(A98&gt;Inputs!$B$21*12,0,J98*(Inputs!$B$23/12))</f>
        <v>62794.0407259597</v>
      </c>
      <c r="M98" s="11" t="n">
        <f aca="false">K98-L98</f>
        <v>16795.1061322635</v>
      </c>
      <c r="N98" s="11" t="n">
        <f aca="false">J98-M98</f>
        <v>11575950.8740449</v>
      </c>
    </row>
    <row r="99" customFormat="false" ht="15" hidden="false" customHeight="false" outlineLevel="0" collapsed="false">
      <c r="A99" s="2" t="n">
        <v>98</v>
      </c>
      <c r="B99" s="2" t="n">
        <f aca="false">ROUNDUP(A99/12,0)</f>
        <v>9</v>
      </c>
      <c r="C99" s="11" t="n">
        <f aca="false">SUM(INDEX(Mkt!$C$3:$ED$122,0,A99))</f>
        <v>246298.106924194</v>
      </c>
      <c r="D99" s="11" t="n">
        <f aca="false">SUMIF(Units!$P$2:$P$121,"&lt;="&amp;A99,INDEX(Mkt!$C$3:$ED$122,0,A99))</f>
        <v>246298.106924194</v>
      </c>
      <c r="E99" s="11" t="n">
        <f aca="false">SUM(INDEX(Rent!$C$3:$ED$122,0,A99))</f>
        <v>240997.227576827</v>
      </c>
      <c r="F99" s="11" t="n">
        <f aca="false">D99-E99</f>
        <v>5300.87934736777</v>
      </c>
      <c r="G99" s="11" t="n">
        <f aca="false">C99-D99</f>
        <v>0</v>
      </c>
      <c r="H99" s="2" t="n">
        <f aca="false">COUNTIF(Units!$P$2:$P$121,"&lt;="&amp;A99)</f>
        <v>120</v>
      </c>
      <c r="I99" s="11" t="n">
        <f aca="false">SUM(INDEX(Turnover!$C$3:$ED$122,0,A99))</f>
        <v>6967.23544763189</v>
      </c>
      <c r="J99" s="11" t="n">
        <f aca="false">N98</f>
        <v>11575950.8740449</v>
      </c>
      <c r="K99" s="11" t="n">
        <f aca="false">IF(A99&gt;Inputs!$B$21*12,0,IF(A99&lt;=Inputs!$B$24*12,J99*(Inputs!$B$23/12),Returns!$C$11))</f>
        <v>79589.1468582233</v>
      </c>
      <c r="L99" s="11" t="n">
        <f aca="false">IF(A99&gt;Inputs!$B$21*12,0,J99*(Inputs!$B$23/12))</f>
        <v>62703.06723441</v>
      </c>
      <c r="M99" s="11" t="n">
        <f aca="false">K99-L99</f>
        <v>16886.0796238133</v>
      </c>
      <c r="N99" s="11" t="n">
        <f aca="false">J99-M99</f>
        <v>11559064.7944211</v>
      </c>
    </row>
    <row r="100" customFormat="false" ht="15" hidden="false" customHeight="false" outlineLevel="0" collapsed="false">
      <c r="A100" s="2" t="n">
        <v>99</v>
      </c>
      <c r="B100" s="2" t="n">
        <f aca="false">ROUNDUP(A100/12,0)</f>
        <v>9</v>
      </c>
      <c r="C100" s="11" t="n">
        <f aca="false">SUM(INDEX(Mkt!$C$3:$ED$122,0,A100))</f>
        <v>246298.106924194</v>
      </c>
      <c r="D100" s="11" t="n">
        <f aca="false">SUMIF(Units!$P$2:$P$121,"&lt;="&amp;A100,INDEX(Mkt!$C$3:$ED$122,0,A100))</f>
        <v>246298.106924194</v>
      </c>
      <c r="E100" s="11" t="n">
        <f aca="false">SUM(INDEX(Rent!$C$3:$ED$122,0,A100))</f>
        <v>241776.66013904</v>
      </c>
      <c r="F100" s="11" t="n">
        <f aca="false">D100-E100</f>
        <v>4521.44678515475</v>
      </c>
      <c r="G100" s="11" t="n">
        <f aca="false">C100-D100</f>
        <v>0</v>
      </c>
      <c r="H100" s="2" t="n">
        <f aca="false">COUNTIF(Units!$P$2:$P$121,"&lt;="&amp;A100)</f>
        <v>120</v>
      </c>
      <c r="I100" s="11" t="n">
        <f aca="false">SUM(INDEX(Turnover!$C$3:$ED$122,0,A100))</f>
        <v>7600.6204883257</v>
      </c>
      <c r="J100" s="11" t="n">
        <f aca="false">N99</f>
        <v>11559064.7944211</v>
      </c>
      <c r="K100" s="11" t="n">
        <f aca="false">IF(A100&gt;Inputs!$B$21*12,0,IF(A100&lt;=Inputs!$B$24*12,J100*(Inputs!$B$23/12),Returns!$C$11))</f>
        <v>79589.1468582233</v>
      </c>
      <c r="L100" s="11" t="n">
        <f aca="false">IF(A100&gt;Inputs!$B$21*12,0,J100*(Inputs!$B$23/12))</f>
        <v>62611.600969781</v>
      </c>
      <c r="M100" s="11" t="n">
        <f aca="false">K100-L100</f>
        <v>16977.5458884423</v>
      </c>
      <c r="N100" s="11" t="n">
        <f aca="false">J100-M100</f>
        <v>11542087.2485327</v>
      </c>
    </row>
    <row r="101" customFormat="false" ht="15" hidden="false" customHeight="false" outlineLevel="0" collapsed="false">
      <c r="A101" s="2" t="n">
        <v>100</v>
      </c>
      <c r="B101" s="2" t="n">
        <f aca="false">ROUNDUP(A101/12,0)</f>
        <v>9</v>
      </c>
      <c r="C101" s="11" t="n">
        <f aca="false">SUM(INDEX(Mkt!$C$3:$ED$122,0,A101))</f>
        <v>246298.106924194</v>
      </c>
      <c r="D101" s="11" t="n">
        <f aca="false">SUMIF(Units!$P$2:$P$121,"&lt;="&amp;A101,INDEX(Mkt!$C$3:$ED$122,0,A101))</f>
        <v>246298.106924194</v>
      </c>
      <c r="E101" s="11" t="n">
        <f aca="false">SUM(INDEX(Rent!$C$3:$ED$122,0,A101))</f>
        <v>242408.507837402</v>
      </c>
      <c r="F101" s="11" t="n">
        <f aca="false">D101-E101</f>
        <v>3889.5990867927</v>
      </c>
      <c r="G101" s="11" t="n">
        <f aca="false">C101-D101</f>
        <v>0</v>
      </c>
      <c r="H101" s="2" t="n">
        <f aca="false">COUNTIF(Units!$P$2:$P$121,"&lt;="&amp;A101)</f>
        <v>120</v>
      </c>
      <c r="I101" s="11" t="n">
        <f aca="false">SUM(INDEX(Turnover!$C$3:$ED$122,0,A101))</f>
        <v>6967.23544763189</v>
      </c>
      <c r="J101" s="11" t="n">
        <f aca="false">N100</f>
        <v>11542087.2485327</v>
      </c>
      <c r="K101" s="11" t="n">
        <f aca="false">IF(A101&gt;Inputs!$B$21*12,0,IF(A101&lt;=Inputs!$B$24*12,J101*(Inputs!$B$23/12),Returns!$C$11))</f>
        <v>79589.1468582233</v>
      </c>
      <c r="L101" s="11" t="n">
        <f aca="false">IF(A101&gt;Inputs!$B$21*12,0,J101*(Inputs!$B$23/12))</f>
        <v>62519.6392628853</v>
      </c>
      <c r="M101" s="11" t="n">
        <f aca="false">K101-L101</f>
        <v>17069.507595338</v>
      </c>
      <c r="N101" s="11" t="n">
        <f aca="false">J101-M101</f>
        <v>11525017.7409373</v>
      </c>
    </row>
    <row r="102" customFormat="false" ht="15" hidden="false" customHeight="false" outlineLevel="0" collapsed="false">
      <c r="A102" s="2" t="n">
        <v>101</v>
      </c>
      <c r="B102" s="2" t="n">
        <f aca="false">ROUNDUP(A102/12,0)</f>
        <v>9</v>
      </c>
      <c r="C102" s="11" t="n">
        <f aca="false">SUM(INDEX(Mkt!$C$3:$ED$122,0,A102))</f>
        <v>246298.106924194</v>
      </c>
      <c r="D102" s="11" t="n">
        <f aca="false">SUMIF(Units!$P$2:$P$121,"&lt;="&amp;A102,INDEX(Mkt!$C$3:$ED$122,0,A102))</f>
        <v>246298.106924194</v>
      </c>
      <c r="E102" s="11" t="n">
        <f aca="false">SUM(INDEX(Rent!$C$3:$ED$122,0,A102))</f>
        <v>242696.85176515</v>
      </c>
      <c r="F102" s="11" t="n">
        <f aca="false">D102-E102</f>
        <v>3601.25515904385</v>
      </c>
      <c r="G102" s="11" t="n">
        <f aca="false">C102-D102</f>
        <v>0</v>
      </c>
      <c r="H102" s="2" t="n">
        <f aca="false">COUNTIF(Units!$P$2:$P$121,"&lt;="&amp;A102)</f>
        <v>120</v>
      </c>
      <c r="I102" s="11" t="n">
        <f aca="false">SUM(INDEX(Turnover!$C$3:$ED$122,0,A102))</f>
        <v>3166.92520346904</v>
      </c>
      <c r="J102" s="11" t="n">
        <f aca="false">N101</f>
        <v>11525017.7409373</v>
      </c>
      <c r="K102" s="11" t="n">
        <f aca="false">IF(A102&gt;Inputs!$B$21*12,0,IF(A102&lt;=Inputs!$B$24*12,J102*(Inputs!$B$23/12),Returns!$C$11))</f>
        <v>79589.1468582233</v>
      </c>
      <c r="L102" s="11" t="n">
        <f aca="false">IF(A102&gt;Inputs!$B$21*12,0,J102*(Inputs!$B$23/12))</f>
        <v>62427.1794300772</v>
      </c>
      <c r="M102" s="11" t="n">
        <f aca="false">K102-L102</f>
        <v>17161.9674281461</v>
      </c>
      <c r="N102" s="11" t="n">
        <f aca="false">J102-M102</f>
        <v>11507855.7735092</v>
      </c>
    </row>
    <row r="103" customFormat="false" ht="15" hidden="false" customHeight="false" outlineLevel="0" collapsed="false">
      <c r="A103" s="2" t="n">
        <v>102</v>
      </c>
      <c r="B103" s="2" t="n">
        <f aca="false">ROUNDUP(A103/12,0)</f>
        <v>9</v>
      </c>
      <c r="C103" s="11" t="n">
        <f aca="false">SUM(INDEX(Mkt!$C$3:$ED$122,0,A103))</f>
        <v>246298.106924194</v>
      </c>
      <c r="D103" s="11" t="n">
        <f aca="false">SUMIF(Units!$P$2:$P$121,"&lt;="&amp;A103,INDEX(Mkt!$C$3:$ED$122,0,A103))</f>
        <v>246298.106924194</v>
      </c>
      <c r="E103" s="11" t="n">
        <f aca="false">SUM(INDEX(Rent!$C$3:$ED$122,0,A103))</f>
        <v>243037.957281726</v>
      </c>
      <c r="F103" s="11" t="n">
        <f aca="false">D103-E103</f>
        <v>3260.14964246826</v>
      </c>
      <c r="G103" s="11" t="n">
        <f aca="false">C103-D103</f>
        <v>0</v>
      </c>
      <c r="H103" s="2" t="n">
        <f aca="false">COUNTIF(Units!$P$2:$P$121,"&lt;="&amp;A103)</f>
        <v>120</v>
      </c>
      <c r="I103" s="11" t="n">
        <f aca="false">SUM(INDEX(Turnover!$C$3:$ED$122,0,A103))</f>
        <v>3800.31024416285</v>
      </c>
      <c r="J103" s="11" t="n">
        <f aca="false">N102</f>
        <v>11507855.7735092</v>
      </c>
      <c r="K103" s="11" t="n">
        <f aca="false">IF(A103&gt;Inputs!$B$21*12,0,IF(A103&lt;=Inputs!$B$24*12,J103*(Inputs!$B$23/12),Returns!$C$11))</f>
        <v>79589.1468582233</v>
      </c>
      <c r="L103" s="11" t="n">
        <f aca="false">IF(A103&gt;Inputs!$B$21*12,0,J103*(Inputs!$B$23/12))</f>
        <v>62334.2187731747</v>
      </c>
      <c r="M103" s="11" t="n">
        <f aca="false">K103-L103</f>
        <v>17254.9280850486</v>
      </c>
      <c r="N103" s="11" t="n">
        <f aca="false">J103-M103</f>
        <v>11490600.8454241</v>
      </c>
    </row>
    <row r="104" customFormat="false" ht="15" hidden="false" customHeight="false" outlineLevel="0" collapsed="false">
      <c r="A104" s="2" t="n">
        <v>103</v>
      </c>
      <c r="B104" s="2" t="n">
        <f aca="false">ROUNDUP(A104/12,0)</f>
        <v>9</v>
      </c>
      <c r="C104" s="11" t="n">
        <f aca="false">SUM(INDEX(Mkt!$C$3:$ED$122,0,A104))</f>
        <v>246298.106924194</v>
      </c>
      <c r="D104" s="11" t="n">
        <f aca="false">SUMIF(Units!$P$2:$P$121,"&lt;="&amp;A104,INDEX(Mkt!$C$3:$ED$122,0,A104))</f>
        <v>246298.106924194</v>
      </c>
      <c r="E104" s="11" t="n">
        <f aca="false">SUM(INDEX(Rent!$C$3:$ED$122,0,A104))</f>
        <v>243624.607115534</v>
      </c>
      <c r="F104" s="11" t="n">
        <f aca="false">D104-E104</f>
        <v>2673.49980866059</v>
      </c>
      <c r="G104" s="11" t="n">
        <f aca="false">C104-D104</f>
        <v>0</v>
      </c>
      <c r="H104" s="2" t="n">
        <f aca="false">COUNTIF(Units!$P$2:$P$121,"&lt;="&amp;A104)</f>
        <v>120</v>
      </c>
      <c r="I104" s="11" t="n">
        <f aca="false">SUM(INDEX(Turnover!$C$3:$ED$122,0,A104))</f>
        <v>5700.46536624427</v>
      </c>
      <c r="J104" s="11" t="n">
        <f aca="false">N103</f>
        <v>11490600.8454241</v>
      </c>
      <c r="K104" s="11" t="n">
        <f aca="false">IF(A104&gt;Inputs!$B$21*12,0,IF(A104&lt;=Inputs!$B$24*12,J104*(Inputs!$B$23/12),Returns!$C$11))</f>
        <v>79589.1468582233</v>
      </c>
      <c r="L104" s="11" t="n">
        <f aca="false">IF(A104&gt;Inputs!$B$21*12,0,J104*(Inputs!$B$23/12))</f>
        <v>62240.7545793807</v>
      </c>
      <c r="M104" s="11" t="n">
        <f aca="false">K104-L104</f>
        <v>17348.3922788426</v>
      </c>
      <c r="N104" s="11" t="n">
        <f aca="false">J104-M104</f>
        <v>11473252.4531453</v>
      </c>
    </row>
    <row r="105" customFormat="false" ht="15" hidden="false" customHeight="false" outlineLevel="0" collapsed="false">
      <c r="A105" s="2" t="n">
        <v>104</v>
      </c>
      <c r="B105" s="2" t="n">
        <f aca="false">ROUNDUP(A105/12,0)</f>
        <v>9</v>
      </c>
      <c r="C105" s="11" t="n">
        <f aca="false">SUM(INDEX(Mkt!$C$3:$ED$122,0,A105))</f>
        <v>246298.106924194</v>
      </c>
      <c r="D105" s="11" t="n">
        <f aca="false">SUMIF(Units!$P$2:$P$121,"&lt;="&amp;A105,INDEX(Mkt!$C$3:$ED$122,0,A105))</f>
        <v>246298.106924194</v>
      </c>
      <c r="E105" s="11" t="n">
        <f aca="false">SUM(INDEX(Rent!$C$3:$ED$122,0,A105))</f>
        <v>244264.018538168</v>
      </c>
      <c r="F105" s="11" t="n">
        <f aca="false">D105-E105</f>
        <v>2034.08838602621</v>
      </c>
      <c r="G105" s="11" t="n">
        <f aca="false">C105-D105</f>
        <v>0</v>
      </c>
      <c r="H105" s="2" t="n">
        <f aca="false">COUNTIF(Units!$P$2:$P$121,"&lt;="&amp;A105)</f>
        <v>120</v>
      </c>
      <c r="I105" s="11" t="n">
        <f aca="false">SUM(INDEX(Turnover!$C$3:$ED$122,0,A105))</f>
        <v>6333.85040693808</v>
      </c>
      <c r="J105" s="11" t="n">
        <f aca="false">N104</f>
        <v>11473252.4531453</v>
      </c>
      <c r="K105" s="11" t="n">
        <f aca="false">IF(A105&gt;Inputs!$B$21*12,0,IF(A105&lt;=Inputs!$B$24*12,J105*(Inputs!$B$23/12),Returns!$C$11))</f>
        <v>79589.1468582233</v>
      </c>
      <c r="L105" s="11" t="n">
        <f aca="false">IF(A105&gt;Inputs!$B$21*12,0,J105*(Inputs!$B$23/12))</f>
        <v>62146.7841212037</v>
      </c>
      <c r="M105" s="11" t="n">
        <f aca="false">K105-L105</f>
        <v>17442.3627370196</v>
      </c>
      <c r="N105" s="11" t="n">
        <f aca="false">J105-M105</f>
        <v>11455810.0904083</v>
      </c>
    </row>
    <row r="106" customFormat="false" ht="15" hidden="false" customHeight="false" outlineLevel="0" collapsed="false">
      <c r="A106" s="2" t="n">
        <v>105</v>
      </c>
      <c r="B106" s="2" t="n">
        <f aca="false">ROUNDUP(A106/12,0)</f>
        <v>9</v>
      </c>
      <c r="C106" s="11" t="n">
        <f aca="false">SUM(INDEX(Mkt!$C$3:$ED$122,0,A106))</f>
        <v>246298.106924194</v>
      </c>
      <c r="D106" s="11" t="n">
        <f aca="false">SUMIF(Units!$P$2:$P$121,"&lt;="&amp;A106,INDEX(Mkt!$C$3:$ED$122,0,A106))</f>
        <v>246298.106924194</v>
      </c>
      <c r="E106" s="11" t="n">
        <f aca="false">SUM(INDEX(Rent!$C$3:$ED$122,0,A106))</f>
        <v>244858.416577328</v>
      </c>
      <c r="F106" s="11" t="n">
        <f aca="false">D106-E106</f>
        <v>1439.69034686638</v>
      </c>
      <c r="G106" s="11" t="n">
        <f aca="false">C106-D106</f>
        <v>0</v>
      </c>
      <c r="H106" s="2" t="n">
        <f aca="false">COUNTIF(Units!$P$2:$P$121,"&lt;="&amp;A106)</f>
        <v>120</v>
      </c>
      <c r="I106" s="11" t="n">
        <f aca="false">SUM(INDEX(Turnover!$C$3:$ED$122,0,A106))</f>
        <v>6967.23544763189</v>
      </c>
      <c r="J106" s="11" t="n">
        <f aca="false">N105</f>
        <v>11455810.0904083</v>
      </c>
      <c r="K106" s="11" t="n">
        <f aca="false">IF(A106&gt;Inputs!$B$21*12,0,IF(A106&lt;=Inputs!$B$24*12,J106*(Inputs!$B$23/12),Returns!$C$11))</f>
        <v>79589.1468582233</v>
      </c>
      <c r="L106" s="11" t="n">
        <f aca="false">IF(A106&gt;Inputs!$B$21*12,0,J106*(Inputs!$B$23/12))</f>
        <v>62052.3046563781</v>
      </c>
      <c r="M106" s="11" t="n">
        <f aca="false">K106-L106</f>
        <v>17536.8422018452</v>
      </c>
      <c r="N106" s="11" t="n">
        <f aca="false">J106-M106</f>
        <v>11438273.2482064</v>
      </c>
    </row>
    <row r="107" customFormat="false" ht="15" hidden="false" customHeight="false" outlineLevel="0" collapsed="false">
      <c r="A107" s="2" t="n">
        <v>106</v>
      </c>
      <c r="B107" s="2" t="n">
        <f aca="false">ROUNDUP(A107/12,0)</f>
        <v>9</v>
      </c>
      <c r="C107" s="11" t="n">
        <f aca="false">SUM(INDEX(Mkt!$C$3:$ED$122,0,A107))</f>
        <v>246298.106924194</v>
      </c>
      <c r="D107" s="11" t="n">
        <f aca="false">SUMIF(Units!$P$2:$P$121,"&lt;="&amp;A107,INDEX(Mkt!$C$3:$ED$122,0,A107))</f>
        <v>246298.106924194</v>
      </c>
      <c r="E107" s="11" t="n">
        <f aca="false">SUM(INDEX(Rent!$C$3:$ED$122,0,A107))</f>
        <v>245285.674758177</v>
      </c>
      <c r="F107" s="11" t="n">
        <f aca="false">D107-E107</f>
        <v>1012.43216601777</v>
      </c>
      <c r="G107" s="11" t="n">
        <f aca="false">C107-D107</f>
        <v>0</v>
      </c>
      <c r="H107" s="2" t="n">
        <f aca="false">COUNTIF(Units!$P$2:$P$121,"&lt;="&amp;A107)</f>
        <v>120</v>
      </c>
      <c r="I107" s="11" t="n">
        <f aca="false">SUM(INDEX(Turnover!$C$3:$ED$122,0,A107))</f>
        <v>4433.69528485666</v>
      </c>
      <c r="J107" s="11" t="n">
        <f aca="false">N106</f>
        <v>11438273.2482064</v>
      </c>
      <c r="K107" s="11" t="n">
        <f aca="false">IF(A107&gt;Inputs!$B$21*12,0,IF(A107&lt;=Inputs!$B$24*12,J107*(Inputs!$B$23/12),Returns!$C$11))</f>
        <v>79589.1468582233</v>
      </c>
      <c r="L107" s="11" t="n">
        <f aca="false">IF(A107&gt;Inputs!$B$21*12,0,J107*(Inputs!$B$23/12))</f>
        <v>61957.3134277848</v>
      </c>
      <c r="M107" s="11" t="n">
        <f aca="false">K107-L107</f>
        <v>17631.8334304385</v>
      </c>
      <c r="N107" s="11" t="n">
        <f aca="false">J107-M107</f>
        <v>11420641.414776</v>
      </c>
    </row>
    <row r="108" customFormat="false" ht="15" hidden="false" customHeight="false" outlineLevel="0" collapsed="false">
      <c r="A108" s="2" t="n">
        <v>107</v>
      </c>
      <c r="B108" s="2" t="n">
        <f aca="false">ROUNDUP(A108/12,0)</f>
        <v>9</v>
      </c>
      <c r="C108" s="11" t="n">
        <f aca="false">SUM(INDEX(Mkt!$C$3:$ED$122,0,A108))</f>
        <v>246298.106924194</v>
      </c>
      <c r="D108" s="11" t="n">
        <f aca="false">SUMIF(Units!$P$2:$P$121,"&lt;="&amp;A108,INDEX(Mkt!$C$3:$ED$122,0,A108))</f>
        <v>246298.106924194</v>
      </c>
      <c r="E108" s="11" t="n">
        <f aca="false">SUM(INDEX(Rent!$C$3:$ED$122,0,A108))</f>
        <v>245712.932939025</v>
      </c>
      <c r="F108" s="11" t="n">
        <f aca="false">D108-E108</f>
        <v>585.173985169182</v>
      </c>
      <c r="G108" s="11" t="n">
        <f aca="false">C108-D108</f>
        <v>0</v>
      </c>
      <c r="H108" s="2" t="n">
        <f aca="false">COUNTIF(Units!$P$2:$P$121,"&lt;="&amp;A108)</f>
        <v>120</v>
      </c>
      <c r="I108" s="11" t="n">
        <f aca="false">SUM(INDEX(Turnover!$C$3:$ED$122,0,A108))</f>
        <v>4433.69528485666</v>
      </c>
      <c r="J108" s="11" t="n">
        <f aca="false">N107</f>
        <v>11420641.414776</v>
      </c>
      <c r="K108" s="11" t="n">
        <f aca="false">IF(A108&gt;Inputs!$B$21*12,0,IF(A108&lt;=Inputs!$B$24*12,J108*(Inputs!$B$23/12),Returns!$C$11))</f>
        <v>79589.1468582233</v>
      </c>
      <c r="L108" s="11" t="n">
        <f aca="false">IF(A108&gt;Inputs!$B$21*12,0,J108*(Inputs!$B$23/12))</f>
        <v>61861.8076633699</v>
      </c>
      <c r="M108" s="11" t="n">
        <f aca="false">K108-L108</f>
        <v>17727.3391948534</v>
      </c>
      <c r="N108" s="11" t="n">
        <f aca="false">J108-M108</f>
        <v>11402914.0755811</v>
      </c>
    </row>
    <row r="109" customFormat="false" ht="15" hidden="false" customHeight="false" outlineLevel="0" collapsed="false">
      <c r="A109" s="2" t="n">
        <v>108</v>
      </c>
      <c r="B109" s="2" t="n">
        <f aca="false">ROUNDUP(A109/12,0)</f>
        <v>9</v>
      </c>
      <c r="C109" s="11" t="n">
        <f aca="false">SUM(INDEX(Mkt!$C$3:$ED$122,0,A109))</f>
        <v>246298.106924194</v>
      </c>
      <c r="D109" s="11" t="n">
        <f aca="false">SUMIF(Units!$P$2:$P$121,"&lt;="&amp;A109,INDEX(Mkt!$C$3:$ED$122,0,A109))</f>
        <v>246298.106924194</v>
      </c>
      <c r="E109" s="11" t="n">
        <f aca="false">SUM(INDEX(Rent!$C$3:$ED$122,0,A109))</f>
        <v>246298.106924194</v>
      </c>
      <c r="F109" s="11" t="n">
        <f aca="false">D109-E109</f>
        <v>0</v>
      </c>
      <c r="G109" s="11" t="n">
        <f aca="false">C109-D109</f>
        <v>0</v>
      </c>
      <c r="H109" s="2" t="n">
        <f aca="false">COUNTIF(Units!$P$2:$P$121,"&lt;="&amp;A109)</f>
        <v>120</v>
      </c>
      <c r="I109" s="11" t="n">
        <f aca="false">SUM(INDEX(Turnover!$C$3:$ED$122,0,A109))</f>
        <v>6333.85040693808</v>
      </c>
      <c r="J109" s="11" t="n">
        <f aca="false">N108</f>
        <v>11402914.0755811</v>
      </c>
      <c r="K109" s="11" t="n">
        <f aca="false">IF(A109&gt;Inputs!$B$21*12,0,IF(A109&lt;=Inputs!$B$24*12,J109*(Inputs!$B$23/12),Returns!$C$11))</f>
        <v>79589.1468582233</v>
      </c>
      <c r="L109" s="11" t="n">
        <f aca="false">IF(A109&gt;Inputs!$B$21*12,0,J109*(Inputs!$B$23/12))</f>
        <v>61765.7845760645</v>
      </c>
      <c r="M109" s="11" t="n">
        <f aca="false">K109-L109</f>
        <v>17823.3622821588</v>
      </c>
      <c r="N109" s="11" t="n">
        <f aca="false">J109-M109</f>
        <v>11385090.713299</v>
      </c>
    </row>
    <row r="110" customFormat="false" ht="15" hidden="false" customHeight="false" outlineLevel="0" collapsed="false">
      <c r="A110" s="2" t="n">
        <v>109</v>
      </c>
      <c r="B110" s="2" t="n">
        <f aca="false">ROUNDUP(A110/12,0)</f>
        <v>10</v>
      </c>
      <c r="C110" s="11" t="n">
        <f aca="false">SUM(INDEX(Mkt!$C$3:$ED$122,0,A110))</f>
        <v>253687.05013192</v>
      </c>
      <c r="D110" s="11" t="n">
        <f aca="false">SUMIF(Units!$P$2:$P$121,"&lt;="&amp;A110,INDEX(Mkt!$C$3:$ED$122,0,A110))</f>
        <v>253687.05013192</v>
      </c>
      <c r="E110" s="11" t="n">
        <f aca="false">SUM(INDEX(Rent!$C$3:$ED$122,0,A110))</f>
        <v>247566.460468184</v>
      </c>
      <c r="F110" s="11" t="n">
        <f aca="false">D110-E110</f>
        <v>6120.58966373649</v>
      </c>
      <c r="G110" s="11" t="n">
        <f aca="false">C110-D110</f>
        <v>0</v>
      </c>
      <c r="H110" s="2" t="n">
        <f aca="false">COUNTIF(Units!$P$2:$P$121,"&lt;="&amp;A110)</f>
        <v>120</v>
      </c>
      <c r="I110" s="11" t="n">
        <f aca="false">SUM(INDEX(Turnover!$C$3:$ED$122,0,A110))</f>
        <v>13700.1184302071</v>
      </c>
      <c r="J110" s="11" t="n">
        <f aca="false">N109</f>
        <v>11385090.713299</v>
      </c>
      <c r="K110" s="11" t="n">
        <f aca="false">IF(A110&gt;Inputs!$B$21*12,0,IF(A110&lt;=Inputs!$B$24*12,J110*(Inputs!$B$23/12),Returns!$C$11))</f>
        <v>79589.1468582233</v>
      </c>
      <c r="L110" s="11" t="n">
        <f aca="false">IF(A110&gt;Inputs!$B$21*12,0,J110*(Inputs!$B$23/12))</f>
        <v>61669.2413637028</v>
      </c>
      <c r="M110" s="11" t="n">
        <f aca="false">K110-L110</f>
        <v>17919.9054945205</v>
      </c>
      <c r="N110" s="11" t="n">
        <f aca="false">J110-M110</f>
        <v>11367170.8078045</v>
      </c>
    </row>
    <row r="111" customFormat="false" ht="15" hidden="false" customHeight="false" outlineLevel="0" collapsed="false">
      <c r="A111" s="2" t="n">
        <v>110</v>
      </c>
      <c r="B111" s="2" t="n">
        <f aca="false">ROUNDUP(A111/12,0)</f>
        <v>10</v>
      </c>
      <c r="C111" s="11" t="n">
        <f aca="false">SUM(INDEX(Mkt!$C$3:$ED$122,0,A111))</f>
        <v>253687.05013192</v>
      </c>
      <c r="D111" s="11" t="n">
        <f aca="false">SUMIF(Units!$P$2:$P$121,"&lt;="&amp;A111,INDEX(Mkt!$C$3:$ED$122,0,A111))</f>
        <v>253687.05013192</v>
      </c>
      <c r="E111" s="11" t="n">
        <f aca="false">SUM(INDEX(Rent!$C$3:$ED$122,0,A111))</f>
        <v>248227.144404131</v>
      </c>
      <c r="F111" s="11" t="n">
        <f aca="false">D111-E111</f>
        <v>5459.90572778878</v>
      </c>
      <c r="G111" s="11" t="n">
        <f aca="false">C111-D111</f>
        <v>0</v>
      </c>
      <c r="H111" s="2" t="n">
        <f aca="false">COUNTIF(Units!$P$2:$P$121,"&lt;="&amp;A111)</f>
        <v>120</v>
      </c>
      <c r="I111" s="11" t="n">
        <f aca="false">SUM(INDEX(Turnover!$C$3:$ED$122,0,A111))</f>
        <v>7176.25251106085</v>
      </c>
      <c r="J111" s="11" t="n">
        <f aca="false">N110</f>
        <v>11367170.8078045</v>
      </c>
      <c r="K111" s="11" t="n">
        <f aca="false">IF(A111&gt;Inputs!$B$21*12,0,IF(A111&lt;=Inputs!$B$24*12,J111*(Inputs!$B$23/12),Returns!$C$11))</f>
        <v>79589.1468582233</v>
      </c>
      <c r="L111" s="11" t="n">
        <f aca="false">IF(A111&gt;Inputs!$B$21*12,0,J111*(Inputs!$B$23/12))</f>
        <v>61572.1752089408</v>
      </c>
      <c r="M111" s="11" t="n">
        <f aca="false">K111-L111</f>
        <v>18016.9716492825</v>
      </c>
      <c r="N111" s="11" t="n">
        <f aca="false">J111-M111</f>
        <v>11349153.8361552</v>
      </c>
    </row>
    <row r="112" customFormat="false" ht="15" hidden="false" customHeight="false" outlineLevel="0" collapsed="false">
      <c r="A112" s="2" t="n">
        <v>111</v>
      </c>
      <c r="B112" s="2" t="n">
        <f aca="false">ROUNDUP(A112/12,0)</f>
        <v>10</v>
      </c>
      <c r="C112" s="11" t="n">
        <f aca="false">SUM(INDEX(Mkt!$C$3:$ED$122,0,A112))</f>
        <v>253687.05013192</v>
      </c>
      <c r="D112" s="11" t="n">
        <f aca="false">SUMIF(Units!$P$2:$P$121,"&lt;="&amp;A112,INDEX(Mkt!$C$3:$ED$122,0,A112))</f>
        <v>253687.05013192</v>
      </c>
      <c r="E112" s="11" t="n">
        <f aca="false">SUM(INDEX(Rent!$C$3:$ED$122,0,A112))</f>
        <v>249029.959943211</v>
      </c>
      <c r="F112" s="11" t="n">
        <f aca="false">D112-E112</f>
        <v>4657.09018870938</v>
      </c>
      <c r="G112" s="11" t="n">
        <f aca="false">C112-D112</f>
        <v>0</v>
      </c>
      <c r="H112" s="2" t="n">
        <f aca="false">COUNTIF(Units!$P$2:$P$121,"&lt;="&amp;A112)</f>
        <v>120</v>
      </c>
      <c r="I112" s="11" t="n">
        <f aca="false">SUM(INDEX(Turnover!$C$3:$ED$122,0,A112))</f>
        <v>7828.63910297547</v>
      </c>
      <c r="J112" s="11" t="n">
        <f aca="false">N111</f>
        <v>11349153.8361552</v>
      </c>
      <c r="K112" s="11" t="n">
        <f aca="false">IF(A112&gt;Inputs!$B$21*12,0,IF(A112&lt;=Inputs!$B$24*12,J112*(Inputs!$B$23/12),Returns!$C$11))</f>
        <v>79589.1468582233</v>
      </c>
      <c r="L112" s="11" t="n">
        <f aca="false">IF(A112&gt;Inputs!$B$21*12,0,J112*(Inputs!$B$23/12))</f>
        <v>61474.5832791738</v>
      </c>
      <c r="M112" s="11" t="n">
        <f aca="false">K112-L112</f>
        <v>18114.5635790494</v>
      </c>
      <c r="N112" s="11" t="n">
        <f aca="false">J112-M112</f>
        <v>11331039.2725761</v>
      </c>
    </row>
    <row r="113" customFormat="false" ht="15" hidden="false" customHeight="false" outlineLevel="0" collapsed="false">
      <c r="A113" s="2" t="n">
        <v>112</v>
      </c>
      <c r="B113" s="2" t="n">
        <f aca="false">ROUNDUP(A113/12,0)</f>
        <v>10</v>
      </c>
      <c r="C113" s="11" t="n">
        <f aca="false">SUM(INDEX(Mkt!$C$3:$ED$122,0,A113))</f>
        <v>253687.05013192</v>
      </c>
      <c r="D113" s="11" t="n">
        <f aca="false">SUMIF(Units!$P$2:$P$121,"&lt;="&amp;A113,INDEX(Mkt!$C$3:$ED$122,0,A113))</f>
        <v>253687.05013192</v>
      </c>
      <c r="E113" s="11" t="n">
        <f aca="false">SUM(INDEX(Rent!$C$3:$ED$122,0,A113))</f>
        <v>249680.763072524</v>
      </c>
      <c r="F113" s="11" t="n">
        <f aca="false">D113-E113</f>
        <v>4006.28705939648</v>
      </c>
      <c r="G113" s="11" t="n">
        <f aca="false">C113-D113</f>
        <v>0</v>
      </c>
      <c r="H113" s="2" t="n">
        <f aca="false">COUNTIF(Units!$P$2:$P$121,"&lt;="&amp;A113)</f>
        <v>120</v>
      </c>
      <c r="I113" s="11" t="n">
        <f aca="false">SUM(INDEX(Turnover!$C$3:$ED$122,0,A113))</f>
        <v>7176.25251106085</v>
      </c>
      <c r="J113" s="11" t="n">
        <f aca="false">N112</f>
        <v>11331039.2725761</v>
      </c>
      <c r="K113" s="11" t="n">
        <f aca="false">IF(A113&gt;Inputs!$B$21*12,0,IF(A113&lt;=Inputs!$B$24*12,J113*(Inputs!$B$23/12),Returns!$C$11))</f>
        <v>79589.1468582233</v>
      </c>
      <c r="L113" s="11" t="n">
        <f aca="false">IF(A113&gt;Inputs!$B$21*12,0,J113*(Inputs!$B$23/12))</f>
        <v>61376.462726454</v>
      </c>
      <c r="M113" s="11" t="n">
        <f aca="false">K113-L113</f>
        <v>18212.6841317693</v>
      </c>
      <c r="N113" s="11" t="n">
        <f aca="false">J113-M113</f>
        <v>11312826.5884444</v>
      </c>
    </row>
    <row r="114" customFormat="false" ht="15" hidden="false" customHeight="false" outlineLevel="0" collapsed="false">
      <c r="A114" s="2" t="n">
        <v>113</v>
      </c>
      <c r="B114" s="2" t="n">
        <f aca="false">ROUNDUP(A114/12,0)</f>
        <v>10</v>
      </c>
      <c r="C114" s="11" t="n">
        <f aca="false">SUM(INDEX(Mkt!$C$3:$ED$122,0,A114))</f>
        <v>253687.05013192</v>
      </c>
      <c r="D114" s="11" t="n">
        <f aca="false">SUMIF(Units!$P$2:$P$121,"&lt;="&amp;A114,INDEX(Mkt!$C$3:$ED$122,0,A114))</f>
        <v>253687.05013192</v>
      </c>
      <c r="E114" s="11" t="n">
        <f aca="false">SUM(INDEX(Rent!$C$3:$ED$122,0,A114))</f>
        <v>249977.757318105</v>
      </c>
      <c r="F114" s="11" t="n">
        <f aca="false">D114-E114</f>
        <v>3709.29281381515</v>
      </c>
      <c r="G114" s="11" t="n">
        <f aca="false">C114-D114</f>
        <v>0</v>
      </c>
      <c r="H114" s="2" t="n">
        <f aca="false">COUNTIF(Units!$P$2:$P$121,"&lt;="&amp;A114)</f>
        <v>120</v>
      </c>
      <c r="I114" s="11" t="n">
        <f aca="false">SUM(INDEX(Turnover!$C$3:$ED$122,0,A114))</f>
        <v>3261.93295957311</v>
      </c>
      <c r="J114" s="11" t="n">
        <f aca="false">N113</f>
        <v>11312826.5884444</v>
      </c>
      <c r="K114" s="11" t="n">
        <f aca="false">IF(A114&gt;Inputs!$B$21*12,0,IF(A114&lt;=Inputs!$B$24*12,J114*(Inputs!$B$23/12),Returns!$C$11))</f>
        <v>79589.1468582233</v>
      </c>
      <c r="L114" s="11" t="n">
        <f aca="false">IF(A114&gt;Inputs!$B$21*12,0,J114*(Inputs!$B$23/12))</f>
        <v>61277.8106874069</v>
      </c>
      <c r="M114" s="11" t="n">
        <f aca="false">K114-L114</f>
        <v>18311.3361708164</v>
      </c>
      <c r="N114" s="11" t="n">
        <f aca="false">J114-M114</f>
        <v>11294515.2522735</v>
      </c>
    </row>
    <row r="115" customFormat="false" ht="15" hidden="false" customHeight="false" outlineLevel="0" collapsed="false">
      <c r="A115" s="2" t="n">
        <v>114</v>
      </c>
      <c r="B115" s="2" t="n">
        <f aca="false">ROUNDUP(A115/12,0)</f>
        <v>10</v>
      </c>
      <c r="C115" s="11" t="n">
        <f aca="false">SUM(INDEX(Mkt!$C$3:$ED$122,0,A115))</f>
        <v>253687.05013192</v>
      </c>
      <c r="D115" s="11" t="n">
        <f aca="false">SUMIF(Units!$P$2:$P$121,"&lt;="&amp;A115,INDEX(Mkt!$C$3:$ED$122,0,A115))</f>
        <v>253687.05013192</v>
      </c>
      <c r="E115" s="11" t="n">
        <f aca="false">SUM(INDEX(Rent!$C$3:$ED$122,0,A115))</f>
        <v>250329.096000178</v>
      </c>
      <c r="F115" s="11" t="n">
        <f aca="false">D115-E115</f>
        <v>3357.9541317423</v>
      </c>
      <c r="G115" s="11" t="n">
        <f aca="false">C115-D115</f>
        <v>0</v>
      </c>
      <c r="H115" s="2" t="n">
        <f aca="false">COUNTIF(Units!$P$2:$P$121,"&lt;="&amp;A115)</f>
        <v>120</v>
      </c>
      <c r="I115" s="11" t="n">
        <f aca="false">SUM(INDEX(Turnover!$C$3:$ED$122,0,A115))</f>
        <v>3914.31955148773</v>
      </c>
      <c r="J115" s="11" t="n">
        <f aca="false">N114</f>
        <v>11294515.2522735</v>
      </c>
      <c r="K115" s="11" t="n">
        <f aca="false">IF(A115&gt;Inputs!$B$21*12,0,IF(A115&lt;=Inputs!$B$24*12,J115*(Inputs!$B$23/12),Returns!$C$11))</f>
        <v>79589.1468582233</v>
      </c>
      <c r="L115" s="11" t="n">
        <f aca="false">IF(A115&gt;Inputs!$B$21*12,0,J115*(Inputs!$B$23/12))</f>
        <v>61178.6242831483</v>
      </c>
      <c r="M115" s="11" t="n">
        <f aca="false">K115-L115</f>
        <v>18410.522575075</v>
      </c>
      <c r="N115" s="11" t="n">
        <f aca="false">J115-M115</f>
        <v>11276104.7296985</v>
      </c>
    </row>
    <row r="116" customFormat="false" ht="15" hidden="false" customHeight="false" outlineLevel="0" collapsed="false">
      <c r="A116" s="2" t="n">
        <v>115</v>
      </c>
      <c r="B116" s="2" t="n">
        <f aca="false">ROUNDUP(A116/12,0)</f>
        <v>10</v>
      </c>
      <c r="C116" s="11" t="n">
        <f aca="false">SUM(INDEX(Mkt!$C$3:$ED$122,0,A116))</f>
        <v>253687.05013192</v>
      </c>
      <c r="D116" s="11" t="n">
        <f aca="false">SUMIF(Units!$P$2:$P$121,"&lt;="&amp;A116,INDEX(Mkt!$C$3:$ED$122,0,A116))</f>
        <v>253687.05013192</v>
      </c>
      <c r="E116" s="11" t="n">
        <f aca="false">SUM(INDEX(Rent!$C$3:$ED$122,0,A116))</f>
        <v>250933.345329</v>
      </c>
      <c r="F116" s="11" t="n">
        <f aca="false">D116-E116</f>
        <v>2753.7048029204</v>
      </c>
      <c r="G116" s="11" t="n">
        <f aca="false">C116-D116</f>
        <v>0</v>
      </c>
      <c r="H116" s="2" t="n">
        <f aca="false">COUNTIF(Units!$P$2:$P$121,"&lt;="&amp;A116)</f>
        <v>120</v>
      </c>
      <c r="I116" s="11" t="n">
        <f aca="false">SUM(INDEX(Turnover!$C$3:$ED$122,0,A116))</f>
        <v>5871.4793272316</v>
      </c>
      <c r="J116" s="11" t="n">
        <f aca="false">N115</f>
        <v>11276104.7296985</v>
      </c>
      <c r="K116" s="11" t="n">
        <f aca="false">IF(A116&gt;Inputs!$B$21*12,0,IF(A116&lt;=Inputs!$B$24*12,J116*(Inputs!$B$23/12),Returns!$C$11))</f>
        <v>79589.1468582233</v>
      </c>
      <c r="L116" s="11" t="n">
        <f aca="false">IF(A116&gt;Inputs!$B$21*12,0,J116*(Inputs!$B$23/12))</f>
        <v>61078.9006192</v>
      </c>
      <c r="M116" s="11" t="n">
        <f aca="false">K116-L116</f>
        <v>18510.2462390233</v>
      </c>
      <c r="N116" s="11" t="n">
        <f aca="false">J116-M116</f>
        <v>11257594.4834594</v>
      </c>
    </row>
    <row r="117" customFormat="false" ht="15" hidden="false" customHeight="false" outlineLevel="0" collapsed="false">
      <c r="A117" s="2" t="n">
        <v>116</v>
      </c>
      <c r="B117" s="2" t="n">
        <f aca="false">ROUNDUP(A117/12,0)</f>
        <v>10</v>
      </c>
      <c r="C117" s="11" t="n">
        <f aca="false">SUM(INDEX(Mkt!$C$3:$ED$122,0,A117))</f>
        <v>253687.05013192</v>
      </c>
      <c r="D117" s="11" t="n">
        <f aca="false">SUMIF(Units!$P$2:$P$121,"&lt;="&amp;A117,INDEX(Mkt!$C$3:$ED$122,0,A117))</f>
        <v>253687.05013192</v>
      </c>
      <c r="E117" s="11" t="n">
        <f aca="false">SUM(INDEX(Rent!$C$3:$ED$122,0,A117))</f>
        <v>251591.939094313</v>
      </c>
      <c r="F117" s="11" t="n">
        <f aca="false">D117-E117</f>
        <v>2095.11103760698</v>
      </c>
      <c r="G117" s="11" t="n">
        <f aca="false">C117-D117</f>
        <v>0</v>
      </c>
      <c r="H117" s="2" t="n">
        <f aca="false">COUNTIF(Units!$P$2:$P$121,"&lt;="&amp;A117)</f>
        <v>120</v>
      </c>
      <c r="I117" s="11" t="n">
        <f aca="false">SUM(INDEX(Turnover!$C$3:$ED$122,0,A117))</f>
        <v>6523.86591914623</v>
      </c>
      <c r="J117" s="11" t="n">
        <f aca="false">N116</f>
        <v>11257594.4834594</v>
      </c>
      <c r="K117" s="11" t="n">
        <f aca="false">IF(A117&gt;Inputs!$B$21*12,0,IF(A117&lt;=Inputs!$B$24*12,J117*(Inputs!$B$23/12),Returns!$C$11))</f>
        <v>79589.1468582233</v>
      </c>
      <c r="L117" s="11" t="n">
        <f aca="false">IF(A117&gt;Inputs!$B$21*12,0,J117*(Inputs!$B$23/12))</f>
        <v>60978.6367854053</v>
      </c>
      <c r="M117" s="11" t="n">
        <f aca="false">K117-L117</f>
        <v>18610.510072818</v>
      </c>
      <c r="N117" s="11" t="n">
        <f aca="false">J117-M117</f>
        <v>11238983.9733866</v>
      </c>
    </row>
    <row r="118" customFormat="false" ht="15" hidden="false" customHeight="false" outlineLevel="0" collapsed="false">
      <c r="A118" s="2" t="n">
        <v>117</v>
      </c>
      <c r="B118" s="2" t="n">
        <f aca="false">ROUNDUP(A118/12,0)</f>
        <v>10</v>
      </c>
      <c r="C118" s="11" t="n">
        <f aca="false">SUM(INDEX(Mkt!$C$3:$ED$122,0,A118))</f>
        <v>253687.05013192</v>
      </c>
      <c r="D118" s="11" t="n">
        <f aca="false">SUMIF(Units!$P$2:$P$121,"&lt;="&amp;A118,INDEX(Mkt!$C$3:$ED$122,0,A118))</f>
        <v>253687.05013192</v>
      </c>
      <c r="E118" s="11" t="n">
        <f aca="false">SUM(INDEX(Rent!$C$3:$ED$122,0,A118))</f>
        <v>252204.169074648</v>
      </c>
      <c r="F118" s="11" t="n">
        <f aca="false">D118-E118</f>
        <v>1482.88105727235</v>
      </c>
      <c r="G118" s="11" t="n">
        <f aca="false">C118-D118</f>
        <v>0</v>
      </c>
      <c r="H118" s="2" t="n">
        <f aca="false">COUNTIF(Units!$P$2:$P$121,"&lt;="&amp;A118)</f>
        <v>120</v>
      </c>
      <c r="I118" s="11" t="n">
        <f aca="false">SUM(INDEX(Turnover!$C$3:$ED$122,0,A118))</f>
        <v>7176.25251106085</v>
      </c>
      <c r="J118" s="11" t="n">
        <f aca="false">N117</f>
        <v>11238983.9733866</v>
      </c>
      <c r="K118" s="11" t="n">
        <f aca="false">IF(A118&gt;Inputs!$B$21*12,0,IF(A118&lt;=Inputs!$B$24*12,J118*(Inputs!$B$23/12),Returns!$C$11))</f>
        <v>79589.1468582233</v>
      </c>
      <c r="L118" s="11" t="n">
        <f aca="false">IF(A118&gt;Inputs!$B$21*12,0,J118*(Inputs!$B$23/12))</f>
        <v>60877.8298558442</v>
      </c>
      <c r="M118" s="11" t="n">
        <f aca="false">K118-L118</f>
        <v>18711.3170023791</v>
      </c>
      <c r="N118" s="11" t="n">
        <f aca="false">J118-M118</f>
        <v>11220272.6563842</v>
      </c>
    </row>
    <row r="119" customFormat="false" ht="15" hidden="false" customHeight="false" outlineLevel="0" collapsed="false">
      <c r="A119" s="2" t="n">
        <v>118</v>
      </c>
      <c r="B119" s="2" t="n">
        <f aca="false">ROUNDUP(A119/12,0)</f>
        <v>10</v>
      </c>
      <c r="C119" s="11" t="n">
        <f aca="false">SUM(INDEX(Mkt!$C$3:$ED$122,0,A119))</f>
        <v>253687.05013192</v>
      </c>
      <c r="D119" s="11" t="n">
        <f aca="false">SUMIF(Units!$P$2:$P$121,"&lt;="&amp;A119,INDEX(Mkt!$C$3:$ED$122,0,A119))</f>
        <v>253687.05013192</v>
      </c>
      <c r="E119" s="11" t="n">
        <f aca="false">SUM(INDEX(Rent!$C$3:$ED$122,0,A119))</f>
        <v>252644.245000922</v>
      </c>
      <c r="F119" s="11" t="n">
        <f aca="false">D119-E119</f>
        <v>1042.80513099828</v>
      </c>
      <c r="G119" s="11" t="n">
        <f aca="false">C119-D119</f>
        <v>0</v>
      </c>
      <c r="H119" s="2" t="n">
        <f aca="false">COUNTIF(Units!$P$2:$P$121,"&lt;="&amp;A119)</f>
        <v>120</v>
      </c>
      <c r="I119" s="11" t="n">
        <f aca="false">SUM(INDEX(Turnover!$C$3:$ED$122,0,A119))</f>
        <v>4566.70614340236</v>
      </c>
      <c r="J119" s="11" t="n">
        <f aca="false">N118</f>
        <v>11220272.6563842</v>
      </c>
      <c r="K119" s="11" t="n">
        <f aca="false">IF(A119&gt;Inputs!$B$21*12,0,IF(A119&lt;=Inputs!$B$24*12,J119*(Inputs!$B$23/12),Returns!$C$11))</f>
        <v>79589.1468582233</v>
      </c>
      <c r="L119" s="11" t="n">
        <f aca="false">IF(A119&gt;Inputs!$B$21*12,0,J119*(Inputs!$B$23/12))</f>
        <v>60776.476888748</v>
      </c>
      <c r="M119" s="11" t="n">
        <f aca="false">K119-L119</f>
        <v>18812.6699694753</v>
      </c>
      <c r="N119" s="11" t="n">
        <f aca="false">J119-M119</f>
        <v>11201459.9864148</v>
      </c>
    </row>
    <row r="120" customFormat="false" ht="15" hidden="false" customHeight="false" outlineLevel="0" collapsed="false">
      <c r="A120" s="2" t="n">
        <v>119</v>
      </c>
      <c r="B120" s="2" t="n">
        <f aca="false">ROUNDUP(A120/12,0)</f>
        <v>10</v>
      </c>
      <c r="C120" s="11" t="n">
        <f aca="false">SUM(INDEX(Mkt!$C$3:$ED$122,0,A120))</f>
        <v>253687.05013192</v>
      </c>
      <c r="D120" s="11" t="n">
        <f aca="false">SUMIF(Units!$P$2:$P$121,"&lt;="&amp;A120,INDEX(Mkt!$C$3:$ED$122,0,A120))</f>
        <v>253687.05013192</v>
      </c>
      <c r="E120" s="11" t="n">
        <f aca="false">SUM(INDEX(Rent!$C$3:$ED$122,0,A120))</f>
        <v>253084.320927196</v>
      </c>
      <c r="F120" s="11" t="n">
        <f aca="false">D120-E120</f>
        <v>602.729204724223</v>
      </c>
      <c r="G120" s="11" t="n">
        <f aca="false">C120-D120</f>
        <v>0</v>
      </c>
      <c r="H120" s="2" t="n">
        <f aca="false">COUNTIF(Units!$P$2:$P$121,"&lt;="&amp;A120)</f>
        <v>120</v>
      </c>
      <c r="I120" s="11" t="n">
        <f aca="false">SUM(INDEX(Turnover!$C$3:$ED$122,0,A120))</f>
        <v>4566.70614340236</v>
      </c>
      <c r="J120" s="11" t="n">
        <f aca="false">N119</f>
        <v>11201459.9864148</v>
      </c>
      <c r="K120" s="11" t="n">
        <f aca="false">IF(A120&gt;Inputs!$B$21*12,0,IF(A120&lt;=Inputs!$B$24*12,J120*(Inputs!$B$23/12),Returns!$C$11))</f>
        <v>79589.1468582233</v>
      </c>
      <c r="L120" s="11" t="n">
        <f aca="false">IF(A120&gt;Inputs!$B$21*12,0,J120*(Inputs!$B$23/12))</f>
        <v>60674.5749264133</v>
      </c>
      <c r="M120" s="11" t="n">
        <f aca="false">K120-L120</f>
        <v>18914.57193181</v>
      </c>
      <c r="N120" s="11" t="n">
        <f aca="false">J120-M120</f>
        <v>11182545.414483</v>
      </c>
    </row>
    <row r="121" customFormat="false" ht="15" hidden="false" customHeight="false" outlineLevel="0" collapsed="false">
      <c r="A121" s="2" t="n">
        <v>120</v>
      </c>
      <c r="B121" s="2" t="n">
        <f aca="false">ROUNDUP(A121/12,0)</f>
        <v>10</v>
      </c>
      <c r="C121" s="11" t="n">
        <f aca="false">SUM(INDEX(Mkt!$C$3:$ED$122,0,A121))</f>
        <v>253687.05013192</v>
      </c>
      <c r="D121" s="11" t="n">
        <f aca="false">SUMIF(Units!$P$2:$P$121,"&lt;="&amp;A121,INDEX(Mkt!$C$3:$ED$122,0,A121))</f>
        <v>253687.05013192</v>
      </c>
      <c r="E121" s="11" t="n">
        <f aca="false">SUM(INDEX(Rent!$C$3:$ED$122,0,A121))</f>
        <v>253687.05013192</v>
      </c>
      <c r="F121" s="11" t="n">
        <f aca="false">D121-E121</f>
        <v>0</v>
      </c>
      <c r="G121" s="11" t="n">
        <f aca="false">C121-D121</f>
        <v>0</v>
      </c>
      <c r="H121" s="2" t="n">
        <f aca="false">COUNTIF(Units!$P$2:$P$121,"&lt;="&amp;A121)</f>
        <v>120</v>
      </c>
      <c r="I121" s="11" t="n">
        <f aca="false">SUM(INDEX(Turnover!$C$3:$ED$122,0,A121))</f>
        <v>6523.86591914623</v>
      </c>
      <c r="J121" s="11" t="n">
        <f aca="false">N120</f>
        <v>11182545.414483</v>
      </c>
      <c r="K121" s="11" t="n">
        <f aca="false">IF(A121&gt;Inputs!$B$21*12,0,IF(A121&lt;=Inputs!$B$24*12,J121*(Inputs!$B$23/12),Returns!$C$11))</f>
        <v>79589.1468582233</v>
      </c>
      <c r="L121" s="11" t="n">
        <f aca="false">IF(A121&gt;Inputs!$B$21*12,0,J121*(Inputs!$B$23/12))</f>
        <v>60572.120995116</v>
      </c>
      <c r="M121" s="11" t="n">
        <f aca="false">K121-L121</f>
        <v>19017.0258631073</v>
      </c>
      <c r="N121" s="11" t="n">
        <f aca="false">J121-M121</f>
        <v>11163528.3886199</v>
      </c>
    </row>
    <row r="122" customFormat="false" ht="15" hidden="false" customHeight="false" outlineLevel="0" collapsed="false">
      <c r="A122" s="2" t="n">
        <v>121</v>
      </c>
      <c r="B122" s="2" t="n">
        <f aca="false">ROUNDUP(A122/12,0)</f>
        <v>11</v>
      </c>
      <c r="C122" s="11" t="n">
        <f aca="false">SUM(INDEX(Mkt!$C$3:$ED$122,0,A122))</f>
        <v>261297.661635878</v>
      </c>
      <c r="D122" s="11" t="n">
        <f aca="false">SUMIF(Units!$P$2:$P$121,"&lt;="&amp;A122,INDEX(Mkt!$C$3:$ED$122,0,A122))</f>
        <v>261297.661635878</v>
      </c>
      <c r="E122" s="11" t="n">
        <f aca="false">SUM(INDEX(Rent!$C$3:$ED$122,0,A122))</f>
        <v>254993.454282229</v>
      </c>
      <c r="F122" s="11" t="n">
        <f aca="false">D122-E122</f>
        <v>6304.20735364856</v>
      </c>
      <c r="G122" s="11" t="n">
        <f aca="false">C122-D122</f>
        <v>0</v>
      </c>
      <c r="H122" s="2" t="n">
        <f aca="false">COUNTIF(Units!$P$2:$P$121,"&lt;="&amp;A122)</f>
        <v>120</v>
      </c>
      <c r="I122" s="11" t="n">
        <f aca="false">SUM(INDEX(Turnover!$C$3:$ED$122,0,A122))</f>
        <v>14111.1219831133</v>
      </c>
      <c r="J122" s="11" t="n">
        <f aca="false">N121</f>
        <v>11163528.3886199</v>
      </c>
      <c r="K122" s="11" t="n">
        <f aca="false">IF(A122&gt;Inputs!$B$21*12,0,IF(A122&lt;=Inputs!$B$24*12,J122*(Inputs!$B$23/12),Returns!$C$11))</f>
        <v>0</v>
      </c>
      <c r="L122" s="11" t="n">
        <f aca="false">IF(A122&gt;Inputs!$B$21*12,0,J122*(Inputs!$B$23/12))</f>
        <v>0</v>
      </c>
      <c r="M122" s="11" t="n">
        <f aca="false">K122-L122</f>
        <v>0</v>
      </c>
      <c r="N122" s="11" t="n">
        <f aca="false">J122-M122</f>
        <v>11163528.3886199</v>
      </c>
    </row>
    <row r="123" customFormat="false" ht="15" hidden="false" customHeight="false" outlineLevel="0" collapsed="false">
      <c r="A123" s="2" t="n">
        <v>122</v>
      </c>
      <c r="B123" s="2" t="n">
        <f aca="false">ROUNDUP(A123/12,0)</f>
        <v>11</v>
      </c>
      <c r="C123" s="11" t="n">
        <f aca="false">SUM(INDEX(Mkt!$C$3:$ED$122,0,A123))</f>
        <v>261297.661635878</v>
      </c>
      <c r="D123" s="11" t="n">
        <f aca="false">SUMIF(Units!$P$2:$P$121,"&lt;="&amp;A123,INDEX(Mkt!$C$3:$ED$122,0,A123))</f>
        <v>261297.661635878</v>
      </c>
      <c r="E123" s="11" t="n">
        <f aca="false">SUM(INDEX(Rent!$C$3:$ED$122,0,A123))</f>
        <v>255673.958736255</v>
      </c>
      <c r="F123" s="11" t="n">
        <f aca="false">D123-E123</f>
        <v>5623.70289962241</v>
      </c>
      <c r="G123" s="11" t="n">
        <f aca="false">C123-D123</f>
        <v>0</v>
      </c>
      <c r="H123" s="2" t="n">
        <f aca="false">COUNTIF(Units!$P$2:$P$121,"&lt;="&amp;A123)</f>
        <v>120</v>
      </c>
      <c r="I123" s="11" t="n">
        <f aca="false">SUM(INDEX(Turnover!$C$3:$ED$122,0,A123))</f>
        <v>7391.54008639267</v>
      </c>
      <c r="J123" s="11" t="n">
        <f aca="false">N122</f>
        <v>11163528.3886199</v>
      </c>
      <c r="K123" s="11" t="n">
        <f aca="false">IF(A123&gt;Inputs!$B$21*12,0,IF(A123&lt;=Inputs!$B$24*12,J123*(Inputs!$B$23/12),Returns!$C$11))</f>
        <v>0</v>
      </c>
      <c r="L123" s="11" t="n">
        <f aca="false">IF(A123&gt;Inputs!$B$21*12,0,J123*(Inputs!$B$23/12))</f>
        <v>0</v>
      </c>
      <c r="M123" s="11" t="n">
        <f aca="false">K123-L123</f>
        <v>0</v>
      </c>
      <c r="N123" s="11" t="n">
        <f aca="false">J123-M123</f>
        <v>11163528.3886199</v>
      </c>
    </row>
    <row r="124" customFormat="false" ht="15" hidden="false" customHeight="false" outlineLevel="0" collapsed="false">
      <c r="A124" s="2" t="n">
        <v>123</v>
      </c>
      <c r="B124" s="2" t="n">
        <f aca="false">ROUNDUP(A124/12,0)</f>
        <v>11</v>
      </c>
      <c r="C124" s="11" t="n">
        <f aca="false">SUM(INDEX(Mkt!$C$3:$ED$122,0,A124))</f>
        <v>261297.661635878</v>
      </c>
      <c r="D124" s="11" t="n">
        <f aca="false">SUMIF(Units!$P$2:$P$121,"&lt;="&amp;A124,INDEX(Mkt!$C$3:$ED$122,0,A124))</f>
        <v>261297.661635878</v>
      </c>
      <c r="E124" s="11" t="n">
        <f aca="false">SUM(INDEX(Rent!$C$3:$ED$122,0,A124))</f>
        <v>256500.858741507</v>
      </c>
      <c r="F124" s="11" t="n">
        <f aca="false">D124-E124</f>
        <v>4796.80289437063</v>
      </c>
      <c r="G124" s="11" t="n">
        <f aca="false">C124-D124</f>
        <v>0</v>
      </c>
      <c r="H124" s="2" t="n">
        <f aca="false">COUNTIF(Units!$P$2:$P$121,"&lt;="&amp;A124)</f>
        <v>120</v>
      </c>
      <c r="I124" s="11" t="n">
        <f aca="false">SUM(INDEX(Turnover!$C$3:$ED$122,0,A124))</f>
        <v>8063.49827606473</v>
      </c>
      <c r="J124" s="11" t="n">
        <f aca="false">N123</f>
        <v>11163528.3886199</v>
      </c>
      <c r="K124" s="11" t="n">
        <f aca="false">IF(A124&gt;Inputs!$B$21*12,0,IF(A124&lt;=Inputs!$B$24*12,J124*(Inputs!$B$23/12),Returns!$C$11))</f>
        <v>0</v>
      </c>
      <c r="L124" s="11" t="n">
        <f aca="false">IF(A124&gt;Inputs!$B$21*12,0,J124*(Inputs!$B$23/12))</f>
        <v>0</v>
      </c>
      <c r="M124" s="11" t="n">
        <f aca="false">K124-L124</f>
        <v>0</v>
      </c>
      <c r="N124" s="11" t="n">
        <f aca="false">J124-M124</f>
        <v>11163528.3886199</v>
      </c>
    </row>
    <row r="125" customFormat="false" ht="15" hidden="false" customHeight="false" outlineLevel="0" collapsed="false">
      <c r="A125" s="2" t="n">
        <v>124</v>
      </c>
      <c r="B125" s="2" t="n">
        <f aca="false">ROUNDUP(A125/12,0)</f>
        <v>11</v>
      </c>
      <c r="C125" s="11" t="n">
        <f aca="false">SUM(INDEX(Mkt!$C$3:$ED$122,0,A125))</f>
        <v>261297.661635878</v>
      </c>
      <c r="D125" s="11" t="n">
        <f aca="false">SUMIF(Units!$P$2:$P$121,"&lt;="&amp;A125,INDEX(Mkt!$C$3:$ED$122,0,A125))</f>
        <v>261297.661635878</v>
      </c>
      <c r="E125" s="11" t="n">
        <f aca="false">SUM(INDEX(Rent!$C$3:$ED$122,0,A125))</f>
        <v>257171.185964699</v>
      </c>
      <c r="F125" s="11" t="n">
        <f aca="false">D125-E125</f>
        <v>4126.47567117834</v>
      </c>
      <c r="G125" s="11" t="n">
        <f aca="false">C125-D125</f>
        <v>0</v>
      </c>
      <c r="H125" s="2" t="n">
        <f aca="false">COUNTIF(Units!$P$2:$P$121,"&lt;="&amp;A125)</f>
        <v>120</v>
      </c>
      <c r="I125" s="11" t="n">
        <f aca="false">SUM(INDEX(Turnover!$C$3:$ED$122,0,A125))</f>
        <v>7391.54008639267</v>
      </c>
      <c r="J125" s="11" t="n">
        <f aca="false">N124</f>
        <v>11163528.3886199</v>
      </c>
      <c r="K125" s="11" t="n">
        <f aca="false">IF(A125&gt;Inputs!$B$21*12,0,IF(A125&lt;=Inputs!$B$24*12,J125*(Inputs!$B$23/12),Returns!$C$11))</f>
        <v>0</v>
      </c>
      <c r="L125" s="11" t="n">
        <f aca="false">IF(A125&gt;Inputs!$B$21*12,0,J125*(Inputs!$B$23/12))</f>
        <v>0</v>
      </c>
      <c r="M125" s="11" t="n">
        <f aca="false">K125-L125</f>
        <v>0</v>
      </c>
      <c r="N125" s="11" t="n">
        <f aca="false">J125-M125</f>
        <v>11163528.3886199</v>
      </c>
    </row>
    <row r="126" customFormat="false" ht="15" hidden="false" customHeight="false" outlineLevel="0" collapsed="false">
      <c r="A126" s="2" t="n">
        <v>125</v>
      </c>
      <c r="B126" s="2" t="n">
        <f aca="false">ROUNDUP(A126/12,0)</f>
        <v>11</v>
      </c>
      <c r="C126" s="11" t="n">
        <f aca="false">SUM(INDEX(Mkt!$C$3:$ED$122,0,A126))</f>
        <v>261297.661635878</v>
      </c>
      <c r="D126" s="11" t="n">
        <f aca="false">SUMIF(Units!$P$2:$P$121,"&lt;="&amp;A126,INDEX(Mkt!$C$3:$ED$122,0,A126))</f>
        <v>261297.661635878</v>
      </c>
      <c r="E126" s="11" t="n">
        <f aca="false">SUM(INDEX(Rent!$C$3:$ED$122,0,A126))</f>
        <v>257477.090037648</v>
      </c>
      <c r="F126" s="11" t="n">
        <f aca="false">D126-E126</f>
        <v>3820.57159822958</v>
      </c>
      <c r="G126" s="11" t="n">
        <f aca="false">C126-D126</f>
        <v>0</v>
      </c>
      <c r="H126" s="2" t="n">
        <f aca="false">COUNTIF(Units!$P$2:$P$121,"&lt;="&amp;A126)</f>
        <v>120</v>
      </c>
      <c r="I126" s="11" t="n">
        <f aca="false">SUM(INDEX(Turnover!$C$3:$ED$122,0,A126))</f>
        <v>3359.79094836031</v>
      </c>
      <c r="J126" s="11" t="n">
        <f aca="false">N125</f>
        <v>11163528.3886199</v>
      </c>
      <c r="K126" s="11" t="n">
        <f aca="false">IF(A126&gt;Inputs!$B$21*12,0,IF(A126&lt;=Inputs!$B$24*12,J126*(Inputs!$B$23/12),Returns!$C$11))</f>
        <v>0</v>
      </c>
      <c r="L126" s="11" t="n">
        <f aca="false">IF(A126&gt;Inputs!$B$21*12,0,J126*(Inputs!$B$23/12))</f>
        <v>0</v>
      </c>
      <c r="M126" s="11" t="n">
        <f aca="false">K126-L126</f>
        <v>0</v>
      </c>
      <c r="N126" s="11" t="n">
        <f aca="false">J126-M126</f>
        <v>11163528.3886199</v>
      </c>
    </row>
    <row r="127" customFormat="false" ht="15" hidden="false" customHeight="false" outlineLevel="0" collapsed="false">
      <c r="A127" s="2" t="n">
        <v>126</v>
      </c>
      <c r="B127" s="2" t="n">
        <f aca="false">ROUNDUP(A127/12,0)</f>
        <v>11</v>
      </c>
      <c r="C127" s="11" t="n">
        <f aca="false">SUM(INDEX(Mkt!$C$3:$ED$122,0,A127))</f>
        <v>261297.661635878</v>
      </c>
      <c r="D127" s="11" t="n">
        <f aca="false">SUMIF(Units!$P$2:$P$121,"&lt;="&amp;A127,INDEX(Mkt!$C$3:$ED$122,0,A127))</f>
        <v>261297.661635878</v>
      </c>
      <c r="E127" s="11" t="n">
        <f aca="false">SUM(INDEX(Rent!$C$3:$ED$122,0,A127))</f>
        <v>257838.968880183</v>
      </c>
      <c r="F127" s="11" t="n">
        <f aca="false">D127-E127</f>
        <v>3458.69275569453</v>
      </c>
      <c r="G127" s="11" t="n">
        <f aca="false">C127-D127</f>
        <v>0</v>
      </c>
      <c r="H127" s="2" t="n">
        <f aca="false">COUNTIF(Units!$P$2:$P$121,"&lt;="&amp;A127)</f>
        <v>120</v>
      </c>
      <c r="I127" s="11" t="n">
        <f aca="false">SUM(INDEX(Turnover!$C$3:$ED$122,0,A127))</f>
        <v>4031.74913803237</v>
      </c>
      <c r="J127" s="11" t="n">
        <f aca="false">N126</f>
        <v>11163528.3886199</v>
      </c>
      <c r="K127" s="11" t="n">
        <f aca="false">IF(A127&gt;Inputs!$B$21*12,0,IF(A127&lt;=Inputs!$B$24*12,J127*(Inputs!$B$23/12),Returns!$C$11))</f>
        <v>0</v>
      </c>
      <c r="L127" s="11" t="n">
        <f aca="false">IF(A127&gt;Inputs!$B$21*12,0,J127*(Inputs!$B$23/12))</f>
        <v>0</v>
      </c>
      <c r="M127" s="11" t="n">
        <f aca="false">K127-L127</f>
        <v>0</v>
      </c>
      <c r="N127" s="11" t="n">
        <f aca="false">J127-M127</f>
        <v>11163528.3886199</v>
      </c>
    </row>
    <row r="128" customFormat="false" ht="15" hidden="false" customHeight="false" outlineLevel="0" collapsed="false">
      <c r="A128" s="2" t="n">
        <v>127</v>
      </c>
      <c r="B128" s="2" t="n">
        <f aca="false">ROUNDUP(A128/12,0)</f>
        <v>11</v>
      </c>
      <c r="C128" s="11" t="n">
        <f aca="false">SUM(INDEX(Mkt!$C$3:$ED$122,0,A128))</f>
        <v>261297.661635878</v>
      </c>
      <c r="D128" s="11" t="n">
        <f aca="false">SUMIF(Units!$P$2:$P$121,"&lt;="&amp;A128,INDEX(Mkt!$C$3:$ED$122,0,A128))</f>
        <v>261297.661635878</v>
      </c>
      <c r="E128" s="11" t="n">
        <f aca="false">SUM(INDEX(Rent!$C$3:$ED$122,0,A128))</f>
        <v>258461.34568887</v>
      </c>
      <c r="F128" s="11" t="n">
        <f aca="false">D128-E128</f>
        <v>2836.315947008</v>
      </c>
      <c r="G128" s="11" t="n">
        <f aca="false">C128-D128</f>
        <v>0</v>
      </c>
      <c r="H128" s="2" t="n">
        <f aca="false">COUNTIF(Units!$P$2:$P$121,"&lt;="&amp;A128)</f>
        <v>120</v>
      </c>
      <c r="I128" s="11" t="n">
        <f aca="false">SUM(INDEX(Turnover!$C$3:$ED$122,0,A128))</f>
        <v>6047.62370704855</v>
      </c>
      <c r="J128" s="11" t="n">
        <f aca="false">N127</f>
        <v>11163528.3886199</v>
      </c>
      <c r="K128" s="11" t="n">
        <f aca="false">IF(A128&gt;Inputs!$B$21*12,0,IF(A128&lt;=Inputs!$B$24*12,J128*(Inputs!$B$23/12),Returns!$C$11))</f>
        <v>0</v>
      </c>
      <c r="L128" s="11" t="n">
        <f aca="false">IF(A128&gt;Inputs!$B$21*12,0,J128*(Inputs!$B$23/12))</f>
        <v>0</v>
      </c>
      <c r="M128" s="11" t="n">
        <f aca="false">K128-L128</f>
        <v>0</v>
      </c>
      <c r="N128" s="11" t="n">
        <f aca="false">J128-M128</f>
        <v>11163528.3886199</v>
      </c>
    </row>
    <row r="129" customFormat="false" ht="15" hidden="false" customHeight="false" outlineLevel="0" collapsed="false">
      <c r="A129" s="2" t="n">
        <v>128</v>
      </c>
      <c r="B129" s="2" t="n">
        <f aca="false">ROUNDUP(A129/12,0)</f>
        <v>11</v>
      </c>
      <c r="C129" s="11" t="n">
        <f aca="false">SUM(INDEX(Mkt!$C$3:$ED$122,0,A129))</f>
        <v>261297.661635878</v>
      </c>
      <c r="D129" s="11" t="n">
        <f aca="false">SUMIF(Units!$P$2:$P$121,"&lt;="&amp;A129,INDEX(Mkt!$C$3:$ED$122,0,A129))</f>
        <v>261297.661635878</v>
      </c>
      <c r="E129" s="11" t="n">
        <f aca="false">SUM(INDEX(Rent!$C$3:$ED$122,0,A129))</f>
        <v>259139.697267143</v>
      </c>
      <c r="F129" s="11" t="n">
        <f aca="false">D129-E129</f>
        <v>2157.96436873518</v>
      </c>
      <c r="G129" s="11" t="n">
        <f aca="false">C129-D129</f>
        <v>0</v>
      </c>
      <c r="H129" s="2" t="n">
        <f aca="false">COUNTIF(Units!$P$2:$P$121,"&lt;="&amp;A129)</f>
        <v>120</v>
      </c>
      <c r="I129" s="11" t="n">
        <f aca="false">SUM(INDEX(Turnover!$C$3:$ED$122,0,A129))</f>
        <v>6719.58189672061</v>
      </c>
      <c r="J129" s="11" t="n">
        <f aca="false">N128</f>
        <v>11163528.3886199</v>
      </c>
      <c r="K129" s="11" t="n">
        <f aca="false">IF(A129&gt;Inputs!$B$21*12,0,IF(A129&lt;=Inputs!$B$24*12,J129*(Inputs!$B$23/12),Returns!$C$11))</f>
        <v>0</v>
      </c>
      <c r="L129" s="11" t="n">
        <f aca="false">IF(A129&gt;Inputs!$B$21*12,0,J129*(Inputs!$B$23/12))</f>
        <v>0</v>
      </c>
      <c r="M129" s="11" t="n">
        <f aca="false">K129-L129</f>
        <v>0</v>
      </c>
      <c r="N129" s="11" t="n">
        <f aca="false">J129-M129</f>
        <v>11163528.3886199</v>
      </c>
    </row>
    <row r="130" customFormat="false" ht="15" hidden="false" customHeight="false" outlineLevel="0" collapsed="false">
      <c r="A130" s="2" t="n">
        <v>129</v>
      </c>
      <c r="B130" s="2" t="n">
        <f aca="false">ROUNDUP(A130/12,0)</f>
        <v>11</v>
      </c>
      <c r="C130" s="11" t="n">
        <f aca="false">SUM(INDEX(Mkt!$C$3:$ED$122,0,A130))</f>
        <v>261297.661635878</v>
      </c>
      <c r="D130" s="11" t="n">
        <f aca="false">SUMIF(Units!$P$2:$P$121,"&lt;="&amp;A130,INDEX(Mkt!$C$3:$ED$122,0,A130))</f>
        <v>261297.661635878</v>
      </c>
      <c r="E130" s="11" t="n">
        <f aca="false">SUM(INDEX(Rent!$C$3:$ED$122,0,A130))</f>
        <v>259770.294146887</v>
      </c>
      <c r="F130" s="11" t="n">
        <f aca="false">D130-E130</f>
        <v>1527.36748899051</v>
      </c>
      <c r="G130" s="11" t="n">
        <f aca="false">C130-D130</f>
        <v>0</v>
      </c>
      <c r="H130" s="2" t="n">
        <f aca="false">COUNTIF(Units!$P$2:$P$121,"&lt;="&amp;A130)</f>
        <v>120</v>
      </c>
      <c r="I130" s="11" t="n">
        <f aca="false">SUM(INDEX(Turnover!$C$3:$ED$122,0,A130))</f>
        <v>7391.54008639267</v>
      </c>
      <c r="J130" s="11" t="n">
        <f aca="false">N129</f>
        <v>11163528.3886199</v>
      </c>
      <c r="K130" s="11" t="n">
        <f aca="false">IF(A130&gt;Inputs!$B$21*12,0,IF(A130&lt;=Inputs!$B$24*12,J130*(Inputs!$B$23/12),Returns!$C$11))</f>
        <v>0</v>
      </c>
      <c r="L130" s="11" t="n">
        <f aca="false">IF(A130&gt;Inputs!$B$21*12,0,J130*(Inputs!$B$23/12))</f>
        <v>0</v>
      </c>
      <c r="M130" s="11" t="n">
        <f aca="false">K130-L130</f>
        <v>0</v>
      </c>
      <c r="N130" s="11" t="n">
        <f aca="false">J130-M130</f>
        <v>11163528.3886199</v>
      </c>
    </row>
    <row r="131" customFormat="false" ht="15" hidden="false" customHeight="false" outlineLevel="0" collapsed="false">
      <c r="A131" s="2" t="n">
        <v>130</v>
      </c>
      <c r="B131" s="2" t="n">
        <f aca="false">ROUNDUP(A131/12,0)</f>
        <v>11</v>
      </c>
      <c r="C131" s="11" t="n">
        <f aca="false">SUM(INDEX(Mkt!$C$3:$ED$122,0,A131))</f>
        <v>261297.661635878</v>
      </c>
      <c r="D131" s="11" t="n">
        <f aca="false">SUMIF(Units!$P$2:$P$121,"&lt;="&amp;A131,INDEX(Mkt!$C$3:$ED$122,0,A131))</f>
        <v>261297.661635878</v>
      </c>
      <c r="E131" s="11" t="n">
        <f aca="false">SUM(INDEX(Rent!$C$3:$ED$122,0,A131))</f>
        <v>260223.572350949</v>
      </c>
      <c r="F131" s="11" t="n">
        <f aca="false">D131-E131</f>
        <v>1074.08928492822</v>
      </c>
      <c r="G131" s="11" t="n">
        <f aca="false">C131-D131</f>
        <v>0</v>
      </c>
      <c r="H131" s="2" t="n">
        <f aca="false">COUNTIF(Units!$P$2:$P$121,"&lt;="&amp;A131)</f>
        <v>120</v>
      </c>
      <c r="I131" s="11" t="n">
        <f aca="false">SUM(INDEX(Turnover!$C$3:$ED$122,0,A131))</f>
        <v>4703.70732770443</v>
      </c>
      <c r="J131" s="11" t="n">
        <f aca="false">N130</f>
        <v>11163528.3886199</v>
      </c>
      <c r="K131" s="11" t="n">
        <f aca="false">IF(A131&gt;Inputs!$B$21*12,0,IF(A131&lt;=Inputs!$B$24*12,J131*(Inputs!$B$23/12),Returns!$C$11))</f>
        <v>0</v>
      </c>
      <c r="L131" s="11" t="n">
        <f aca="false">IF(A131&gt;Inputs!$B$21*12,0,J131*(Inputs!$B$23/12))</f>
        <v>0</v>
      </c>
      <c r="M131" s="11" t="n">
        <f aca="false">K131-L131</f>
        <v>0</v>
      </c>
      <c r="N131" s="11" t="n">
        <f aca="false">J131-M131</f>
        <v>11163528.3886199</v>
      </c>
    </row>
    <row r="132" customFormat="false" ht="15" hidden="false" customHeight="false" outlineLevel="0" collapsed="false">
      <c r="A132" s="2" t="n">
        <v>131</v>
      </c>
      <c r="B132" s="2" t="n">
        <f aca="false">ROUNDUP(A132/12,0)</f>
        <v>11</v>
      </c>
      <c r="C132" s="11" t="n">
        <f aca="false">SUM(INDEX(Mkt!$C$3:$ED$122,0,A132))</f>
        <v>261297.661635878</v>
      </c>
      <c r="D132" s="11" t="n">
        <f aca="false">SUMIF(Units!$P$2:$P$121,"&lt;="&amp;A132,INDEX(Mkt!$C$3:$ED$122,0,A132))</f>
        <v>261297.661635878</v>
      </c>
      <c r="E132" s="11" t="n">
        <f aca="false">SUM(INDEX(Rent!$C$3:$ED$122,0,A132))</f>
        <v>260676.850555012</v>
      </c>
      <c r="F132" s="11" t="n">
        <f aca="false">D132-E132</f>
        <v>620.81108086594</v>
      </c>
      <c r="G132" s="11" t="n">
        <f aca="false">C132-D132</f>
        <v>0</v>
      </c>
      <c r="H132" s="2" t="n">
        <f aca="false">COUNTIF(Units!$P$2:$P$121,"&lt;="&amp;A132)</f>
        <v>120</v>
      </c>
      <c r="I132" s="11" t="n">
        <f aca="false">SUM(INDEX(Turnover!$C$3:$ED$122,0,A132))</f>
        <v>4703.70732770443</v>
      </c>
      <c r="J132" s="11" t="n">
        <f aca="false">N131</f>
        <v>11163528.3886199</v>
      </c>
      <c r="K132" s="11" t="n">
        <f aca="false">IF(A132&gt;Inputs!$B$21*12,0,IF(A132&lt;=Inputs!$B$24*12,J132*(Inputs!$B$23/12),Returns!$C$11))</f>
        <v>0</v>
      </c>
      <c r="L132" s="11" t="n">
        <f aca="false">IF(A132&gt;Inputs!$B$21*12,0,J132*(Inputs!$B$23/12))</f>
        <v>0</v>
      </c>
      <c r="M132" s="11" t="n">
        <f aca="false">K132-L132</f>
        <v>0</v>
      </c>
      <c r="N132" s="11" t="n">
        <f aca="false">J132-M132</f>
        <v>11163528.3886199</v>
      </c>
    </row>
    <row r="133" customFormat="false" ht="15" hidden="false" customHeight="false" outlineLevel="0" collapsed="false">
      <c r="A133" s="2" t="n">
        <v>132</v>
      </c>
      <c r="B133" s="2" t="n">
        <f aca="false">ROUNDUP(A133/12,0)</f>
        <v>11</v>
      </c>
      <c r="C133" s="11" t="n">
        <f aca="false">SUM(INDEX(Mkt!$C$3:$ED$122,0,A133))</f>
        <v>261297.661635878</v>
      </c>
      <c r="D133" s="11" t="n">
        <f aca="false">SUMIF(Units!$P$2:$P$121,"&lt;="&amp;A133,INDEX(Mkt!$C$3:$ED$122,0,A133))</f>
        <v>261297.661635878</v>
      </c>
      <c r="E133" s="11" t="n">
        <f aca="false">SUM(INDEX(Rent!$C$3:$ED$122,0,A133))</f>
        <v>261297.661635878</v>
      </c>
      <c r="F133" s="11" t="n">
        <f aca="false">D133-E133</f>
        <v>0</v>
      </c>
      <c r="G133" s="11" t="n">
        <f aca="false">C133-D133</f>
        <v>0</v>
      </c>
      <c r="H133" s="2" t="n">
        <f aca="false">COUNTIF(Units!$P$2:$P$121,"&lt;="&amp;A133)</f>
        <v>120</v>
      </c>
      <c r="I133" s="11" t="n">
        <f aca="false">SUM(INDEX(Turnover!$C$3:$ED$122,0,A133))</f>
        <v>6719.58189672061</v>
      </c>
      <c r="J133" s="11" t="n">
        <f aca="false">N132</f>
        <v>11163528.3886199</v>
      </c>
      <c r="K133" s="11" t="n">
        <f aca="false">IF(A133&gt;Inputs!$B$21*12,0,IF(A133&lt;=Inputs!$B$24*12,J133*(Inputs!$B$23/12),Returns!$C$11))</f>
        <v>0</v>
      </c>
      <c r="L133" s="11" t="n">
        <f aca="false">IF(A133&gt;Inputs!$B$21*12,0,J133*(Inputs!$B$23/12))</f>
        <v>0</v>
      </c>
      <c r="M133" s="11" t="n">
        <f aca="false">K133-L133</f>
        <v>0</v>
      </c>
      <c r="N133" s="11" t="n">
        <f aca="false">J133-M133</f>
        <v>11163528.3886199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2026-10-24T16:57:20Z</dcterms:created>
  <dc:creator>openpyxl</dc:creator>
  <dc:description/>
  <dc:language>en-US</dc:language>
  <cp:lastModifiedBy/>
  <dcterms:modified xsi:type="dcterms:W3CDTF">2026-10-24T16:57:21Z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